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_HERE" sheetId="1" r:id="rId1"/>
    <sheet name="OPPONENT_IMPORT" sheetId="2" r:id="rId2"/>
    <sheet name="DEF_SELF_SCOUT_IMPORT" sheetId="3" r:id="rId3"/>
    <sheet name="CALL_LOOKUP_BOARD" sheetId="4" r:id="rId4"/>
    <sheet name="DEF_CALL_DECISION_SUPPORT" sheetId="5" r:id="rId5"/>
    <sheet name="HOT_CALL_RESPONSE_CARD" sheetId="6" r:id="rId6"/>
    <sheet name="GAMEPLAN_CHEAT_SHEET" sheetId="7" r:id="rId7"/>
    <sheet name="PRACTICE_SCRIPT_BOARD" sheetId="8" r:id="rId8"/>
    <sheet name="FORMULA_CHECK" sheetId="9" r:id="rId9"/>
  </sheets>
  <definedNames>
    <definedName name="_xlnm._FilterDatabase" localSheetId="5" hidden="1">HOT_CALL_RESPONSE_CARD!$A$6:$R$63</definedName>
    <definedName name="ConceptList">'START_HERE'!$K$1:$K$27</definedName>
    <definedName name="PlayWatchList">'START_HERE'!$L$1:$L$71</definedName>
    <definedName name="_xlnm.Print_Area" localSheetId="3">CALL_LOOKUP_BOARD!$A$1:$F$22</definedName>
    <definedName name="_xlnm.Print_Area" localSheetId="2">DEF_SELF_SCOUT_IMPORT!$A$1:$R$1040</definedName>
    <definedName name="_xlnm.Print_Area" localSheetId="8">FORMULA_CHECK!$A$1:$F$66</definedName>
    <definedName name="_xlnm.Print_Area" localSheetId="6">GAMEPLAN_CHEAT_SHEET!$A$1:$F$50</definedName>
    <definedName name="_xlnm.Print_Area" localSheetId="5">HOT_CALL_RESPONSE_CARD!$A$1:$R$63</definedName>
    <definedName name="_xlnm.Print_Area" localSheetId="1">OPPONENT_IMPORT!$A$1:$R$1040</definedName>
    <definedName name="_xlnm.Print_Area" localSheetId="7">PRACTICE_SCRIPT_BOARD!$A$1:$H$80</definedName>
    <definedName name="_xlnm.Print_Area" localSheetId="0">START_HERE!$A$1:$H$42</definedName>
    <definedName name="_xlnm.Print_Titles" localSheetId="6">GAMEPLAN_CHEAT_SHEET!$1:$3</definedName>
    <definedName name="SituationList">'START_HERE'!$J$1:$J$18</definedName>
  </definedNames>
  <calcPr calcId="124519" fullCalcOnLoad="1"/>
</workbook>
</file>

<file path=xl/sharedStrings.xml><?xml version="1.0" encoding="utf-8"?>
<sst xmlns="http://schemas.openxmlformats.org/spreadsheetml/2006/main" count="35019" uniqueCount="3098">
  <si>
    <t>DEFENSIVE CALL DECISION SUPPORT</t>
  </si>
  <si>
    <t>START</t>
  </si>
  <si>
    <t>FIND A CALL</t>
  </si>
  <si>
    <t>OPPONENT ALERTS</t>
  </si>
  <si>
    <t>PRACTICE</t>
  </si>
  <si>
    <t>Detailed concept and context evidence behind the lookup board. Exact opponent plays are watch items; defensive performance is never claimed as exact-play proof.</t>
  </si>
  <si>
    <t>1. D&amp;D + HOT CALL</t>
  </si>
  <si>
    <t>Rates and scores describe only the stated defensive self-scout context. Small samples remain watch items.</t>
  </si>
  <si>
    <t>Context</t>
  </si>
  <si>
    <t>Hot Call</t>
  </si>
  <si>
    <t>Reps</t>
  </si>
  <si>
    <t>Defensive Success Rate</t>
  </si>
  <si>
    <t>Explosive Allowed Rate</t>
  </si>
  <si>
    <t>Average Gain Allowed</t>
  </si>
  <si>
    <t>Rush %</t>
  </si>
  <si>
    <t>Dropback %</t>
  </si>
  <si>
    <t>Confidence</t>
  </si>
  <si>
    <t>Call Fit Score</t>
  </si>
  <si>
    <t>Call Label</t>
  </si>
  <si>
    <t>Coach Note</t>
  </si>
  <si>
    <t>Situation</t>
  </si>
  <si>
    <t>Personnel</t>
  </si>
  <si>
    <t>Structure</t>
  </si>
  <si>
    <t>Concept</t>
  </si>
  <si>
    <t>Opponent Actual Playcall</t>
  </si>
  <si>
    <t>Evidence Basis</t>
  </si>
  <si>
    <t>1D 1-3</t>
  </si>
  <si>
    <t>9 DICE</t>
  </si>
  <si>
    <t>Sample Watch • Defensive context signal</t>
  </si>
  <si>
    <t>6:1D 1-3|</t>
  </si>
  <si>
    <t>GOLD</t>
  </si>
  <si>
    <t>1D 11+</t>
  </si>
  <si>
    <t>BOOGIE</t>
  </si>
  <si>
    <t>6:1D 11+|</t>
  </si>
  <si>
    <t>FALCON</t>
  </si>
  <si>
    <t>RAMBO</t>
  </si>
  <si>
    <t>1D 4-6</t>
  </si>
  <si>
    <t>9 LEBO MIKE</t>
  </si>
  <si>
    <t>6:1D 4-6|</t>
  </si>
  <si>
    <t>1D 7-10</t>
  </si>
  <si>
    <t>$ SPIN REBEL</t>
  </si>
  <si>
    <t>7:1D 7-10|</t>
  </si>
  <si>
    <t>9 MOW</t>
  </si>
  <si>
    <t>BLIZZARD</t>
  </si>
  <si>
    <t>BOURBON</t>
  </si>
  <si>
    <t>Defensive context signal</t>
  </si>
  <si>
    <t>CAPTAIN</t>
  </si>
  <si>
    <t>DOG SHINE</t>
  </si>
  <si>
    <t>EAGLE</t>
  </si>
  <si>
    <t>FLOOD</t>
  </si>
  <si>
    <t>KEY BOOGIE</t>
  </si>
  <si>
    <t>KEY BOURBON</t>
  </si>
  <si>
    <t>KEY CAPTAIN</t>
  </si>
  <si>
    <t>KNIFE</t>
  </si>
  <si>
    <t>MIX BOURBON</t>
  </si>
  <si>
    <t>MIX CAPTAIN</t>
  </si>
  <si>
    <t>OX</t>
  </si>
  <si>
    <t>OX GLOCK</t>
  </si>
  <si>
    <t>PHILLY</t>
  </si>
  <si>
    <t>RAMBO SWAP</t>
  </si>
  <si>
    <t>REBEL</t>
  </si>
  <si>
    <t>SHINE BUC</t>
  </si>
  <si>
    <t>SILVER KNIFE</t>
  </si>
  <si>
    <t>SMOKE WHITE</t>
  </si>
  <si>
    <t>STICK KNIFE</t>
  </si>
  <si>
    <t>STICK TEX</t>
  </si>
  <si>
    <t>STUD</t>
  </si>
  <si>
    <t>SWAP</t>
  </si>
  <si>
    <t>TEX</t>
  </si>
  <si>
    <t>TSUNAMI</t>
  </si>
  <si>
    <t>2D 1-3</t>
  </si>
  <si>
    <t>6:2D 1-3|</t>
  </si>
  <si>
    <t>MIX TEX</t>
  </si>
  <si>
    <t>ROLEX KNIFE</t>
  </si>
  <si>
    <t>STICK OX</t>
  </si>
  <si>
    <t>TORNADO</t>
  </si>
  <si>
    <t>2D 11+</t>
  </si>
  <si>
    <t>9 STUD</t>
  </si>
  <si>
    <t>6:2D 11+|</t>
  </si>
  <si>
    <t>HOUND KNIFE</t>
  </si>
  <si>
    <t>HOUND TEX</t>
  </si>
  <si>
    <t>MIX SHINE</t>
  </si>
  <si>
    <t>2D 4-6</t>
  </si>
  <si>
    <t>6:2D 4-6|</t>
  </si>
  <si>
    <t>SPIN REBEL</t>
  </si>
  <si>
    <t>2D 7-10</t>
  </si>
  <si>
    <t>7:2D 7-10|</t>
  </si>
  <si>
    <t>GLOCK KNIFE</t>
  </si>
  <si>
    <t>KEY SHINE</t>
  </si>
  <si>
    <t>SHINE</t>
  </si>
  <si>
    <t>SMOKE FLOOD</t>
  </si>
  <si>
    <t>WALL</t>
  </si>
  <si>
    <t>3D 1-3</t>
  </si>
  <si>
    <t>$ BANJO POP POP</t>
  </si>
  <si>
    <t>6:3D 1-3|</t>
  </si>
  <si>
    <t>Q RAMBO</t>
  </si>
  <si>
    <t>3D 11+</t>
  </si>
  <si>
    <t>GAMES</t>
  </si>
  <si>
    <t>6:3D 11+|</t>
  </si>
  <si>
    <t>MIX SMOKE BUC</t>
  </si>
  <si>
    <t>PIT FALCON</t>
  </si>
  <si>
    <t>SMOKE BUC</t>
  </si>
  <si>
    <t>STICK GAMES</t>
  </si>
  <si>
    <t>3D 4-6</t>
  </si>
  <si>
    <t>6:3D 4-6|</t>
  </si>
  <si>
    <t>POP POP</t>
  </si>
  <si>
    <t>SHINE WALL</t>
  </si>
  <si>
    <t>3D 7-10</t>
  </si>
  <si>
    <t>7:3D 7-10|</t>
  </si>
  <si>
    <t>MIX 9 DICE</t>
  </si>
  <si>
    <t>ROLEX GAMES</t>
  </si>
  <si>
    <t>4D 1-3</t>
  </si>
  <si>
    <t>6:4D 1-3|</t>
  </si>
  <si>
    <t>4D 4-6</t>
  </si>
  <si>
    <t>6:4D 4-6|</t>
  </si>
  <si>
    <t>P&amp;10</t>
  </si>
  <si>
    <t>4:P&amp;10|</t>
  </si>
  <si>
    <t>MIX KEY CAPTAIN</t>
  </si>
  <si>
    <t>2. D&amp;D + PERSONNEL + HOT CALL</t>
  </si>
  <si>
    <t>1D 1-3 | 11</t>
  </si>
  <si>
    <t>11</t>
  </si>
  <si>
    <t>6:1D 1-3|2:11|</t>
  </si>
  <si>
    <t>1D 1-3 | 12</t>
  </si>
  <si>
    <t>12</t>
  </si>
  <si>
    <t>6:1D 1-3|2:12|</t>
  </si>
  <si>
    <t>1D 11+ | 11</t>
  </si>
  <si>
    <t>6:1D 11+|2:11|</t>
  </si>
  <si>
    <t>1D 11+ | 12</t>
  </si>
  <si>
    <t>6:1D 11+|2:12|</t>
  </si>
  <si>
    <t>1D 4-6 | 12</t>
  </si>
  <si>
    <t>6:1D 4-6|2:12|</t>
  </si>
  <si>
    <t>1D 7-10 | 00</t>
  </si>
  <si>
    <t>00</t>
  </si>
  <si>
    <t>7:1D 7-10|2:00|</t>
  </si>
  <si>
    <t>1D 7-10 | 11</t>
  </si>
  <si>
    <t>7:1D 7-10|2:11|</t>
  </si>
  <si>
    <t>1D 7-10 | 12</t>
  </si>
  <si>
    <t>7:1D 7-10|2:12|</t>
  </si>
  <si>
    <t>2D 1-3 | 00</t>
  </si>
  <si>
    <t>6:2D 1-3|2:00|</t>
  </si>
  <si>
    <t>2D 1-3 | 11</t>
  </si>
  <si>
    <t>6:2D 1-3|2:11|</t>
  </si>
  <si>
    <t>2D 1-3 | 12</t>
  </si>
  <si>
    <t>6:2D 1-3|2:12|</t>
  </si>
  <si>
    <t>2D 1-3 | 22</t>
  </si>
  <si>
    <t>22</t>
  </si>
  <si>
    <t>6:2D 1-3|2:22|</t>
  </si>
  <si>
    <t>2D 11+ | 11</t>
  </si>
  <si>
    <t>6:2D 11+|2:11|</t>
  </si>
  <si>
    <t>2D 4-6 | 00</t>
  </si>
  <si>
    <t>6:2D 4-6|2:00|</t>
  </si>
  <si>
    <t>2D 4-6 | 11</t>
  </si>
  <si>
    <t>6:2D 4-6|2:11|</t>
  </si>
  <si>
    <t>2D 4-6 | 12</t>
  </si>
  <si>
    <t>6:2D 4-6|2:12|</t>
  </si>
  <si>
    <t>2D 4-6 | 20</t>
  </si>
  <si>
    <t>20</t>
  </si>
  <si>
    <t>6:2D 4-6|2:20|</t>
  </si>
  <si>
    <t>2D 7-10 | 00</t>
  </si>
  <si>
    <t>7:2D 7-10|2:00|</t>
  </si>
  <si>
    <t>2D 7-10 | 11</t>
  </si>
  <si>
    <t>7:2D 7-10|2:11|</t>
  </si>
  <si>
    <t>2D 7-10 | 12</t>
  </si>
  <si>
    <t>7:2D 7-10|2:12|</t>
  </si>
  <si>
    <t>3D 1-3 | 00</t>
  </si>
  <si>
    <t>6:3D 1-3|2:00|</t>
  </si>
  <si>
    <t>3D 1-3 | 11</t>
  </si>
  <si>
    <t>6:3D 1-3|2:11|</t>
  </si>
  <si>
    <t>3D 1-3 | 12</t>
  </si>
  <si>
    <t>6:3D 1-3|2:12|</t>
  </si>
  <si>
    <t>3D 11+ | 11</t>
  </si>
  <si>
    <t>6:3D 11+|2:11|</t>
  </si>
  <si>
    <t>3D 4-6 | 00</t>
  </si>
  <si>
    <t>6:3D 4-6|2:00|</t>
  </si>
  <si>
    <t>3D 4-6 | 10</t>
  </si>
  <si>
    <t>10</t>
  </si>
  <si>
    <t>6:3D 4-6|2:10|</t>
  </si>
  <si>
    <t>3D 4-6 | 11</t>
  </si>
  <si>
    <t>6:3D 4-6|2:11|</t>
  </si>
  <si>
    <t>3D 4-6 | 12</t>
  </si>
  <si>
    <t>6:3D 4-6|2:12|</t>
  </si>
  <si>
    <t>3D 7-10 | 00</t>
  </si>
  <si>
    <t>7:3D 7-10|2:00|</t>
  </si>
  <si>
    <t>3D 7-10 | 11</t>
  </si>
  <si>
    <t>7:3D 7-10|2:11|</t>
  </si>
  <si>
    <t>3D 7-10 | 12</t>
  </si>
  <si>
    <t>7:3D 7-10|2:12|</t>
  </si>
  <si>
    <t>4D 1-3 | 11</t>
  </si>
  <si>
    <t>6:4D 1-3|2:11|</t>
  </si>
  <si>
    <t>4D 1-3 | 12</t>
  </si>
  <si>
    <t>6:4D 1-3|2:12|</t>
  </si>
  <si>
    <t>4D 4-6 | 00</t>
  </si>
  <si>
    <t>6:4D 4-6|2:00|</t>
  </si>
  <si>
    <t>4D 4-6 | 11</t>
  </si>
  <si>
    <t>6:4D 4-6|2:11|</t>
  </si>
  <si>
    <t>P&amp;10 | 00</t>
  </si>
  <si>
    <t>4:P&amp;10|2:00|</t>
  </si>
  <si>
    <t>P&amp;10 | 11</t>
  </si>
  <si>
    <t>4:P&amp;10|2:11|</t>
  </si>
  <si>
    <t>P&amp;10 | 12</t>
  </si>
  <si>
    <t>4:P&amp;10|2:12|</t>
  </si>
  <si>
    <t>3. D&amp;D + STRUCTURE + HOT CALL</t>
  </si>
  <si>
    <t>1D 1-3 | 2X2</t>
  </si>
  <si>
    <t>2X2</t>
  </si>
  <si>
    <t>6:1D 1-3|3:2X2|</t>
  </si>
  <si>
    <t>1D 1-3 | 3X1</t>
  </si>
  <si>
    <t>3X1</t>
  </si>
  <si>
    <t>6:1D 1-3|3:3X1|</t>
  </si>
  <si>
    <t>1D 11+ | 2X2</t>
  </si>
  <si>
    <t>6:1D 11+|3:2X2|</t>
  </si>
  <si>
    <t>1D 11+ | 3X1</t>
  </si>
  <si>
    <t>6:1D 11+|3:3X1|</t>
  </si>
  <si>
    <t>1D 4-6 | 2X2</t>
  </si>
  <si>
    <t>6:1D 4-6|3:2X2|</t>
  </si>
  <si>
    <t>1D 4-6 | 4X1</t>
  </si>
  <si>
    <t>4X1</t>
  </si>
  <si>
    <t>6:1D 4-6|3:4X1|</t>
  </si>
  <si>
    <t>1D 7-10 | 2X2</t>
  </si>
  <si>
    <t>7:1D 7-10|3:2X2|</t>
  </si>
  <si>
    <t>1D 7-10 | 3X1</t>
  </si>
  <si>
    <t>7:1D 7-10|3:3X1|</t>
  </si>
  <si>
    <t>1D 7-10 | 3X2</t>
  </si>
  <si>
    <t>3X2</t>
  </si>
  <si>
    <t>7:1D 7-10|3:3X2|</t>
  </si>
  <si>
    <t>1D 7-10 | 4X1</t>
  </si>
  <si>
    <t>7:1D 7-10|3:4X1|</t>
  </si>
  <si>
    <t>2D 1-3 | 2X2</t>
  </si>
  <si>
    <t>6:2D 1-3|3:2X2|</t>
  </si>
  <si>
    <t>2D 1-3 | 3X1</t>
  </si>
  <si>
    <t>6:2D 1-3|3:3X1|</t>
  </si>
  <si>
    <t>2D 11+ | 2X2</t>
  </si>
  <si>
    <t>6:2D 11+|3:2X2|</t>
  </si>
  <si>
    <t>2D 11+ | 3X1</t>
  </si>
  <si>
    <t>6:2D 11+|3:3X1|</t>
  </si>
  <si>
    <t>2D 4-6 | 2X1</t>
  </si>
  <si>
    <t>2X1</t>
  </si>
  <si>
    <t>6:2D 4-6|3:2X1|</t>
  </si>
  <si>
    <t>2D 4-6 | 2X2</t>
  </si>
  <si>
    <t>6:2D 4-6|3:2X2|</t>
  </si>
  <si>
    <t>2D 4-6 | 3X1</t>
  </si>
  <si>
    <t>6:2D 4-6|3:3X1|</t>
  </si>
  <si>
    <t>2D 4-6 | 3X2</t>
  </si>
  <si>
    <t>6:2D 4-6|3:3X2|</t>
  </si>
  <si>
    <t>2D 7-10 | 2X2</t>
  </si>
  <si>
    <t>7:2D 7-10|3:2X2|</t>
  </si>
  <si>
    <t>2D 7-10 | 3X1</t>
  </si>
  <si>
    <t>7:2D 7-10|3:3X1|</t>
  </si>
  <si>
    <t>2D 7-10 | 3X2</t>
  </si>
  <si>
    <t>7:2D 7-10|3:3X2|</t>
  </si>
  <si>
    <t>2D 7-10 | 4X1</t>
  </si>
  <si>
    <t>7:2D 7-10|3:4X1|</t>
  </si>
  <si>
    <t>3D 1-3 | 2X2</t>
  </si>
  <si>
    <t>6:3D 1-3|3:2X2|</t>
  </si>
  <si>
    <t>3D 1-3 | 3X1</t>
  </si>
  <si>
    <t>6:3D 1-3|3:3X1|</t>
  </si>
  <si>
    <t>3D 11+ | 2X2</t>
  </si>
  <si>
    <t>6:3D 11+|3:2X2|</t>
  </si>
  <si>
    <t>3D 11+ | 3X1</t>
  </si>
  <si>
    <t>6:3D 11+|3:3X1|</t>
  </si>
  <si>
    <t>3D 4-6 | 2X2</t>
  </si>
  <si>
    <t>6:3D 4-6|3:2X2|</t>
  </si>
  <si>
    <t>3D 4-6 | 3X1</t>
  </si>
  <si>
    <t>6:3D 4-6|3:3X1|</t>
  </si>
  <si>
    <t>3D 4-6 | 4X1</t>
  </si>
  <si>
    <t>6:3D 4-6|3:4X1|</t>
  </si>
  <si>
    <t>3D 7-10 | 2X2</t>
  </si>
  <si>
    <t>7:3D 7-10|3:2X2|</t>
  </si>
  <si>
    <t>3D 7-10 | 3X1</t>
  </si>
  <si>
    <t>7:3D 7-10|3:3X1|</t>
  </si>
  <si>
    <t>3D 7-10 | 3X2</t>
  </si>
  <si>
    <t>7:3D 7-10|3:3X2|</t>
  </si>
  <si>
    <t>4D 1-3 | 2X2</t>
  </si>
  <si>
    <t>6:4D 1-3|3:2X2|</t>
  </si>
  <si>
    <t>4D 1-3 | 3X1</t>
  </si>
  <si>
    <t>6:4D 1-3|3:3X1|</t>
  </si>
  <si>
    <t>4D 4-6 | 3X1</t>
  </si>
  <si>
    <t>6:4D 4-6|3:3X1|</t>
  </si>
  <si>
    <t>4D 4-6 | 3X2</t>
  </si>
  <si>
    <t>6:4D 4-6|3:3X2|</t>
  </si>
  <si>
    <t>P&amp;10 | 2X2</t>
  </si>
  <si>
    <t>4:P&amp;10|3:2X2|</t>
  </si>
  <si>
    <t>P&amp;10 | 3X1</t>
  </si>
  <si>
    <t>4:P&amp;10|3:3X1|</t>
  </si>
  <si>
    <t>4. D&amp;D + PERSONNEL + STRUCTURE + HOT CALL</t>
  </si>
  <si>
    <t>1D 1-3 | 11 | 2X2</t>
  </si>
  <si>
    <t>6:1D 1-3|2:11|3:2X2|</t>
  </si>
  <si>
    <t>1D 1-3 | 12 | 2X2</t>
  </si>
  <si>
    <t>6:1D 1-3|2:12|3:2X2|</t>
  </si>
  <si>
    <t>1D 1-3 | 12 | 3X1</t>
  </si>
  <si>
    <t>6:1D 1-3|2:12|3:3X1|</t>
  </si>
  <si>
    <t>1D 11+ | 11 | 2X2</t>
  </si>
  <si>
    <t>6:1D 11+|2:11|3:2X2|</t>
  </si>
  <si>
    <t>1D 11+ | 11 | 3X1</t>
  </si>
  <si>
    <t>6:1D 11+|2:11|3:3X1|</t>
  </si>
  <si>
    <t>1D 11+ | 12 | 2X2</t>
  </si>
  <si>
    <t>6:1D 11+|2:12|3:2X2|</t>
  </si>
  <si>
    <t>1D 4-6 | 12 | 2X2</t>
  </si>
  <si>
    <t>6:1D 4-6|2:12|3:2X2|</t>
  </si>
  <si>
    <t>1D 4-6 | 12 | 4X1</t>
  </si>
  <si>
    <t>6:1D 4-6|2:12|3:4X1|</t>
  </si>
  <si>
    <t>1D 7-10 | 00 | 2X2</t>
  </si>
  <si>
    <t>7:1D 7-10|2:00|3:2X2|</t>
  </si>
  <si>
    <t>1D 7-10 | 00 | 3X1</t>
  </si>
  <si>
    <t>7:1D 7-10|2:00|3:3X1|</t>
  </si>
  <si>
    <t>1D 7-10 | 11 | 2X2</t>
  </si>
  <si>
    <t>7:1D 7-10|2:11|3:2X2|</t>
  </si>
  <si>
    <t>1D 7-10 | 11 | 3X1</t>
  </si>
  <si>
    <t>7:1D 7-10|2:11|3:3X1|</t>
  </si>
  <si>
    <t>1D 7-10 | 11 | 3X2</t>
  </si>
  <si>
    <t>7:1D 7-10|2:11|3:3X2|</t>
  </si>
  <si>
    <t>1D 7-10 | 11 | 4X1</t>
  </si>
  <si>
    <t>7:1D 7-10|2:11|3:4X1|</t>
  </si>
  <si>
    <t>1D 7-10 | 12 | 2X2</t>
  </si>
  <si>
    <t>7:1D 7-10|2:12|3:2X2|</t>
  </si>
  <si>
    <t>1D 7-10 | 12 | 3X1</t>
  </si>
  <si>
    <t>7:1D 7-10|2:12|3:3X1|</t>
  </si>
  <si>
    <t>1D 7-10 | 12 | 3X2</t>
  </si>
  <si>
    <t>7:1D 7-10|2:12|3:3X2|</t>
  </si>
  <si>
    <t>1D 7-10 | 12 | 4X1</t>
  </si>
  <si>
    <t>7:1D 7-10|2:12|3:4X1|</t>
  </si>
  <si>
    <t>2D 1-3 | 00 | 3X1</t>
  </si>
  <si>
    <t>6:2D 1-3|2:00|3:3X1|</t>
  </si>
  <si>
    <t>2D 1-3 | 11 | 2X2</t>
  </si>
  <si>
    <t>6:2D 1-3|2:11|3:2X2|</t>
  </si>
  <si>
    <t>2D 1-3 | 11 | 3X1</t>
  </si>
  <si>
    <t>6:2D 1-3|2:11|3:3X1|</t>
  </si>
  <si>
    <t>2D 1-3 | 12 | 2X2</t>
  </si>
  <si>
    <t>6:2D 1-3|2:12|3:2X2|</t>
  </si>
  <si>
    <t>2D 1-3 | 12 | 3X1</t>
  </si>
  <si>
    <t>6:2D 1-3|2:12|3:3X1|</t>
  </si>
  <si>
    <t>2D 1-3 | 22 | 2X2</t>
  </si>
  <si>
    <t>6:2D 1-3|2:22|3:2X2|</t>
  </si>
  <si>
    <t>2D 11+ | 11 | 2X2</t>
  </si>
  <si>
    <t>6:2D 11+|2:11|3:2X2|</t>
  </si>
  <si>
    <t>2D 11+ | 11 | 3X1</t>
  </si>
  <si>
    <t>6:2D 11+|2:11|3:3X1|</t>
  </si>
  <si>
    <t>2D 4-6 | 00 | 2X2</t>
  </si>
  <si>
    <t>6:2D 4-6|2:00|3:2X2|</t>
  </si>
  <si>
    <t>2D 4-6 | 00 | 3X1</t>
  </si>
  <si>
    <t>6:2D 4-6|2:00|3:3X1|</t>
  </si>
  <si>
    <t>2D 4-6 | 11 | 2X2</t>
  </si>
  <si>
    <t>6:2D 4-6|2:11|3:2X2|</t>
  </si>
  <si>
    <t>2D 4-6 | 11 | 3X1</t>
  </si>
  <si>
    <t>6:2D 4-6|2:11|3:3X1|</t>
  </si>
  <si>
    <t>2D 4-6 | 11 | 3X2</t>
  </si>
  <si>
    <t>6:2D 4-6|2:11|3:3X2|</t>
  </si>
  <si>
    <t>2D 4-6 | 12 | 2X2</t>
  </si>
  <si>
    <t>6:2D 4-6|2:12|3:2X2|</t>
  </si>
  <si>
    <t>2D 4-6 | 12 | 3X1</t>
  </si>
  <si>
    <t>6:2D 4-6|2:12|3:3X1|</t>
  </si>
  <si>
    <t>2D 4-6 | 20 | 2X1</t>
  </si>
  <si>
    <t>6:2D 4-6|2:20|3:2X1|</t>
  </si>
  <si>
    <t>2D 7-10 | 00 | 2X2</t>
  </si>
  <si>
    <t>7:2D 7-10|2:00|3:2X2|</t>
  </si>
  <si>
    <t>2D 7-10 | 11 | 2X2</t>
  </si>
  <si>
    <t>7:2D 7-10|2:11|3:2X2|</t>
  </si>
  <si>
    <t>2D 7-10 | 11 | 3X1</t>
  </si>
  <si>
    <t>7:2D 7-10|2:11|3:3X1|</t>
  </si>
  <si>
    <t>2D 7-10 | 11 | 3X2</t>
  </si>
  <si>
    <t>7:2D 7-10|2:11|3:3X2|</t>
  </si>
  <si>
    <t>2D 7-10 | 12 | 2X2</t>
  </si>
  <si>
    <t>7:2D 7-10|2:12|3:2X2|</t>
  </si>
  <si>
    <t>2D 7-10 | 12 | 3X1</t>
  </si>
  <si>
    <t>7:2D 7-10|2:12|3:3X1|</t>
  </si>
  <si>
    <t>2D 7-10 | 12 | 3X2</t>
  </si>
  <si>
    <t>7:2D 7-10|2:12|3:3X2|</t>
  </si>
  <si>
    <t>2D 7-10 | 12 | 4X1</t>
  </si>
  <si>
    <t>7:2D 7-10|2:12|3:4X1|</t>
  </si>
  <si>
    <t>3D 1-3 | 00 | 3X1</t>
  </si>
  <si>
    <t>6:3D 1-3|2:00|3:3X1|</t>
  </si>
  <si>
    <t>3D 1-3 | 11 | 2X2</t>
  </si>
  <si>
    <t>6:3D 1-3|2:11|3:2X2|</t>
  </si>
  <si>
    <t>3D 1-3 | 11 | 3X1</t>
  </si>
  <si>
    <t>6:3D 1-3|2:11|3:3X1|</t>
  </si>
  <si>
    <t>3D 1-3 | 12 | 2X2</t>
  </si>
  <si>
    <t>6:3D 1-3|2:12|3:2X2|</t>
  </si>
  <si>
    <t>3D 11+ | 11 | 2X2</t>
  </si>
  <si>
    <t>6:3D 11+|2:11|3:2X2|</t>
  </si>
  <si>
    <t>3D 11+ | 11 | 3X1</t>
  </si>
  <si>
    <t>6:3D 11+|2:11|3:3X1|</t>
  </si>
  <si>
    <t>3D 4-6 | 00 | 3X1</t>
  </si>
  <si>
    <t>6:3D 4-6|2:00|3:3X1|</t>
  </si>
  <si>
    <t>3D 4-6 | 10 | 3X1</t>
  </si>
  <si>
    <t>6:3D 4-6|2:10|3:3X1|</t>
  </si>
  <si>
    <t>3D 4-6 | 11 | 2X2</t>
  </si>
  <si>
    <t>6:3D 4-6|2:11|3:2X2|</t>
  </si>
  <si>
    <t>3D 4-6 | 11 | 3X1</t>
  </si>
  <si>
    <t>6:3D 4-6|2:11|3:3X1|</t>
  </si>
  <si>
    <t>3D 4-6 | 11 | 4X1</t>
  </si>
  <si>
    <t>6:3D 4-6|2:11|3:4X1|</t>
  </si>
  <si>
    <t>3D 4-6 | 12 | 2X2</t>
  </si>
  <si>
    <t>6:3D 4-6|2:12|3:2X2|</t>
  </si>
  <si>
    <t>3D 4-6 | 12 | 3X1</t>
  </si>
  <si>
    <t>6:3D 4-6|2:12|3:3X1|</t>
  </si>
  <si>
    <t>3D 7-10 | 00 | 3X1</t>
  </si>
  <si>
    <t>7:3D 7-10|2:00|3:3X1|</t>
  </si>
  <si>
    <t>3D 7-10 | 11 | 2X2</t>
  </si>
  <si>
    <t>7:3D 7-10|2:11|3:2X2|</t>
  </si>
  <si>
    <t>3D 7-10 | 11 | 3X1</t>
  </si>
  <si>
    <t>7:3D 7-10|2:11|3:3X1|</t>
  </si>
  <si>
    <t>3D 7-10 | 11 | 3X2</t>
  </si>
  <si>
    <t>7:3D 7-10|2:11|3:3X2|</t>
  </si>
  <si>
    <t>3D 7-10 | 12 | 2X2</t>
  </si>
  <si>
    <t>7:3D 7-10|2:12|3:2X2|</t>
  </si>
  <si>
    <t>4D 1-3 | 11 | 2X2</t>
  </si>
  <si>
    <t>6:4D 1-3|2:11|3:2X2|</t>
  </si>
  <si>
    <t>4D 1-3 | 11 | 3X1</t>
  </si>
  <si>
    <t>6:4D 1-3|2:11|3:3X1|</t>
  </si>
  <si>
    <t>4D 1-3 | 12 | 2X2</t>
  </si>
  <si>
    <t>6:4D 1-3|2:12|3:2X2|</t>
  </si>
  <si>
    <t>4D 4-6 | 00 | 3X2</t>
  </si>
  <si>
    <t>6:4D 4-6|2:00|3:3X2|</t>
  </si>
  <si>
    <t>4D 4-6 | 11 | 3X1</t>
  </si>
  <si>
    <t>6:4D 4-6|2:11|3:3X1|</t>
  </si>
  <si>
    <t>P&amp;10 | 00 | 2X2</t>
  </si>
  <si>
    <t>4:P&amp;10|2:00|3:2X2|</t>
  </si>
  <si>
    <t>P&amp;10 | 00 | 3X1</t>
  </si>
  <si>
    <t>4:P&amp;10|2:00|3:3X1|</t>
  </si>
  <si>
    <t>P&amp;10 | 11 | 2X2</t>
  </si>
  <si>
    <t>4:P&amp;10|2:11|3:2X2|</t>
  </si>
  <si>
    <t>P&amp;10 | 11 | 3X1</t>
  </si>
  <si>
    <t>4:P&amp;10|2:11|3:3X1|</t>
  </si>
  <si>
    <t>P&amp;10 | 12 | 2X2</t>
  </si>
  <si>
    <t>4:P&amp;10|2:12|3:2X2|</t>
  </si>
  <si>
    <t>P&amp;10 | 12 | 3X1</t>
  </si>
  <si>
    <t>4:P&amp;10|2:12|3:3X1|</t>
  </si>
  <si>
    <t>5. D&amp;D + CONCEPT + HOT CALL</t>
  </si>
  <si>
    <t>1D 1-3 | INSIDE ZONE</t>
  </si>
  <si>
    <t>INSIDE ZONE</t>
  </si>
  <si>
    <t>Sample Watch • D&amp;D + Concept Match</t>
  </si>
  <si>
    <t>6:1D 1-3|11:INSIDE ZONE|</t>
  </si>
  <si>
    <t>1D 11+ | COUNTER</t>
  </si>
  <si>
    <t>COUNTER</t>
  </si>
  <si>
    <t>6:1D 11+|7:COUNTER|</t>
  </si>
  <si>
    <t>1D 11+ | MAN</t>
  </si>
  <si>
    <t>MAN</t>
  </si>
  <si>
    <t>6:1D 11+|3:MAN|</t>
  </si>
  <si>
    <t>1D 11+ | PIN PULL</t>
  </si>
  <si>
    <t>PIN PULL</t>
  </si>
  <si>
    <t>6:1D 11+|8:PIN PULL|</t>
  </si>
  <si>
    <t>1D 4-6 | INSIDE ZONE</t>
  </si>
  <si>
    <t>6:1D 4-6|11:INSIDE ZONE|</t>
  </si>
  <si>
    <t>1D 4-6 | SOP</t>
  </si>
  <si>
    <t>SOP</t>
  </si>
  <si>
    <t>6:1D 4-6|3:SOP|</t>
  </si>
  <si>
    <t>1D 7-10 | 3 STEP</t>
  </si>
  <si>
    <t>3 STEP</t>
  </si>
  <si>
    <t>7:1D 7-10|6:3 STEP|</t>
  </si>
  <si>
    <t>1D 7-10 | 5 STEP</t>
  </si>
  <si>
    <t>5 STEP</t>
  </si>
  <si>
    <t>7:1D 7-10|6:5 STEP|</t>
  </si>
  <si>
    <t>1D 7-10 | BOOT</t>
  </si>
  <si>
    <t>BOOT</t>
  </si>
  <si>
    <t>7:1D 7-10|4:BOOT|</t>
  </si>
  <si>
    <t>1D 7-10 | COUNTER</t>
  </si>
  <si>
    <t>7:1D 7-10|7:COUNTER|</t>
  </si>
  <si>
    <t>1D 7-10 | DUO</t>
  </si>
  <si>
    <t>DUO</t>
  </si>
  <si>
    <t>7:1D 7-10|3:DUO|</t>
  </si>
  <si>
    <t>1D 7-10 | FLY TOSS</t>
  </si>
  <si>
    <t>FLY TOSS</t>
  </si>
  <si>
    <t>7:1D 7-10|8:FLY TOSS|</t>
  </si>
  <si>
    <t>1D 7-10 | INSIDE ZONE</t>
  </si>
  <si>
    <t>7:1D 7-10|11:INSIDE ZONE|</t>
  </si>
  <si>
    <t>1D 7-10 | OUTSIDE ZONE</t>
  </si>
  <si>
    <t>OUTSIDE ZONE</t>
  </si>
  <si>
    <t>7:1D 7-10|12:OUTSIDE ZONE|</t>
  </si>
  <si>
    <t>1D 7-10 | PAP</t>
  </si>
  <si>
    <t>PAP</t>
  </si>
  <si>
    <t>7:1D 7-10|3:PAP|</t>
  </si>
  <si>
    <t>1D 7-10 | RPO</t>
  </si>
  <si>
    <t>RPO</t>
  </si>
  <si>
    <t>7:1D 7-10|3:RPO|</t>
  </si>
  <si>
    <t>1D 7-10 | SCREEN</t>
  </si>
  <si>
    <t>SCREEN</t>
  </si>
  <si>
    <t>7:1D 7-10|6:SCREEN|</t>
  </si>
  <si>
    <t>1D 7-10 | SPLIT ZONE</t>
  </si>
  <si>
    <t>SPLIT ZONE</t>
  </si>
  <si>
    <t>7:1D 7-10|10:SPLIT ZONE|</t>
  </si>
  <si>
    <t>1D 7-10 | TOSS PASS</t>
  </si>
  <si>
    <t>TOSS PASS</t>
  </si>
  <si>
    <t>7:1D 7-10|9:TOSS PASS|</t>
  </si>
  <si>
    <t>2D 1-3 | 3 STEP</t>
  </si>
  <si>
    <t>6:2D 1-3|6:3 STEP|</t>
  </si>
  <si>
    <t>2D 1-3 | 5 STEP</t>
  </si>
  <si>
    <t>6:2D 1-3|6:5 STEP|</t>
  </si>
  <si>
    <t>2D 1-3 | BELLY</t>
  </si>
  <si>
    <t>BELLY</t>
  </si>
  <si>
    <t>6:2D 1-3|5:BELLY|</t>
  </si>
  <si>
    <t>2D 1-3 | COUNTER</t>
  </si>
  <si>
    <t>6:2D 1-3|7:COUNTER|</t>
  </si>
  <si>
    <t>2D 1-3 | INSIDE ZONE</t>
  </si>
  <si>
    <t>6:2D 1-3|11:INSIDE ZONE|</t>
  </si>
  <si>
    <t>2D 1-3 | PAP</t>
  </si>
  <si>
    <t>6:2D 1-3|3:PAP|</t>
  </si>
  <si>
    <t>2D 1-3 | RPO</t>
  </si>
  <si>
    <t>6:2D 1-3|3:RPO|</t>
  </si>
  <si>
    <t>2D 11+ | (UNSPECIFIED)</t>
  </si>
  <si>
    <t>(UNSPECIFIED)</t>
  </si>
  <si>
    <t>6:2D 11+|13:(UNSPECIFIED)|</t>
  </si>
  <si>
    <t>2D 11+ | 3 STEP</t>
  </si>
  <si>
    <t>6:2D 11+|6:3 STEP|</t>
  </si>
  <si>
    <t>2D 11+ | 5 STEP</t>
  </si>
  <si>
    <t>6:2D 11+|6:5 STEP|</t>
  </si>
  <si>
    <t>2D 11+ | COUNTER</t>
  </si>
  <si>
    <t>6:2D 11+|7:COUNTER|</t>
  </si>
  <si>
    <t>2D 11+ | INSIDE ZONE</t>
  </si>
  <si>
    <t>6:2D 11+|11:INSIDE ZONE|</t>
  </si>
  <si>
    <t>2D 11+ | OUTSIDE ZONE</t>
  </si>
  <si>
    <t>6:2D 11+|12:OUTSIDE ZONE|</t>
  </si>
  <si>
    <t>2D 11+ | RPO</t>
  </si>
  <si>
    <t>6:2D 11+|3:RPO|</t>
  </si>
  <si>
    <t>2D 4-6 | 3 STEP</t>
  </si>
  <si>
    <t>6:2D 4-6|6:3 STEP|</t>
  </si>
  <si>
    <t>2D 4-6 | 5 STEP</t>
  </si>
  <si>
    <t>6:2D 4-6|6:5 STEP|</t>
  </si>
  <si>
    <t>2D 4-6 | COUNTER</t>
  </si>
  <si>
    <t>6:2D 4-6|7:COUNTER|</t>
  </si>
  <si>
    <t>2D 4-6 | INSIDE ZONE</t>
  </si>
  <si>
    <t>6:2D 4-6|11:INSIDE ZONE|</t>
  </si>
  <si>
    <t>2D 4-6 | OUTSIDE ZONE</t>
  </si>
  <si>
    <t>6:2D 4-6|12:OUTSIDE ZONE|</t>
  </si>
  <si>
    <t>2D 4-6 | PAP</t>
  </si>
  <si>
    <t>6:2D 4-6|3:PAP|</t>
  </si>
  <si>
    <t>2D 4-6 | RPO</t>
  </si>
  <si>
    <t>6:2D 4-6|3:RPO|</t>
  </si>
  <si>
    <t>2D 4-6 | SPLIT ZONE</t>
  </si>
  <si>
    <t>6:2D 4-6|10:SPLIT ZONE|</t>
  </si>
  <si>
    <t>2D 7-10 | 3 STEP</t>
  </si>
  <si>
    <t>7:2D 7-10|6:3 STEP|</t>
  </si>
  <si>
    <t>2D 7-10 | 5 STEP</t>
  </si>
  <si>
    <t>7:2D 7-10|6:5 STEP|</t>
  </si>
  <si>
    <t>2D 7-10 | COUNTER</t>
  </si>
  <si>
    <t>7:2D 7-10|7:COUNTER|</t>
  </si>
  <si>
    <t>2D 7-10 | INSIDE ZONE</t>
  </si>
  <si>
    <t>7:2D 7-10|11:INSIDE ZONE|</t>
  </si>
  <si>
    <t>2D 7-10 | OUTSIDE ZONE</t>
  </si>
  <si>
    <t>7:2D 7-10|12:OUTSIDE ZONE|</t>
  </si>
  <si>
    <t>2D 7-10 | PAP</t>
  </si>
  <si>
    <t>7:2D 7-10|3:PAP|</t>
  </si>
  <si>
    <t>2D 7-10 | POWER</t>
  </si>
  <si>
    <t>POWER</t>
  </si>
  <si>
    <t>7:2D 7-10|5:POWER|</t>
  </si>
  <si>
    <t>2D 7-10 | RPO</t>
  </si>
  <si>
    <t>7:2D 7-10|3:RPO|</t>
  </si>
  <si>
    <t>2D 7-10 | TOSS PASS</t>
  </si>
  <si>
    <t>7:2D 7-10|9:TOSS PASS|</t>
  </si>
  <si>
    <t>3D 1-3 | 5 STEP</t>
  </si>
  <si>
    <t>6:3D 1-3|6:5 STEP|</t>
  </si>
  <si>
    <t>3D 1-3 | COUNTER</t>
  </si>
  <si>
    <t>6:3D 1-3|7:COUNTER|</t>
  </si>
  <si>
    <t>3D 1-3 | INSIDE ZONE</t>
  </si>
  <si>
    <t>6:3D 1-3|11:INSIDE ZONE|</t>
  </si>
  <si>
    <t>3D 1-3 | SPLIT ZONE</t>
  </si>
  <si>
    <t>6:3D 1-3|10:SPLIT ZONE|</t>
  </si>
  <si>
    <t>3D 11+ | 3 STEP</t>
  </si>
  <si>
    <t>6:3D 11+|6:3 STEP|</t>
  </si>
  <si>
    <t>3D 11+ | 5 STEP</t>
  </si>
  <si>
    <t>6:3D 11+|6:5 STEP|</t>
  </si>
  <si>
    <t>D&amp;D + Concept Match</t>
  </si>
  <si>
    <t>3D 11+ | FUZZY</t>
  </si>
  <si>
    <t>FUZZY</t>
  </si>
  <si>
    <t>6:3D 11+|5:FUZZY|</t>
  </si>
  <si>
    <t>3D 11+ | SCREEN</t>
  </si>
  <si>
    <t>6:3D 11+|6:SCREEN|</t>
  </si>
  <si>
    <t>3D 4-6 | 3 STEP</t>
  </si>
  <si>
    <t>6:3D 4-6|6:3 STEP|</t>
  </si>
  <si>
    <t>3D 4-6 | 5 STEP</t>
  </si>
  <si>
    <t>6:3D 4-6|6:5 STEP|</t>
  </si>
  <si>
    <t>3D 4-6 | COUNTER</t>
  </si>
  <si>
    <t>6:3D 4-6|7:COUNTER|</t>
  </si>
  <si>
    <t>3D 4-6 | INSIDE ZONE</t>
  </si>
  <si>
    <t>6:3D 4-6|11:INSIDE ZONE|</t>
  </si>
  <si>
    <t>3D 4-6 | OPTION</t>
  </si>
  <si>
    <t>OPTION</t>
  </si>
  <si>
    <t>6:3D 4-6|6:OPTION|</t>
  </si>
  <si>
    <t>3D 4-6 | SCREEN</t>
  </si>
  <si>
    <t>6:3D 4-6|6:SCREEN|</t>
  </si>
  <si>
    <t>3D 7-10 | 3 STEP</t>
  </si>
  <si>
    <t>7:3D 7-10|6:3 STEP|</t>
  </si>
  <si>
    <t>3D 7-10 | 5 STEP</t>
  </si>
  <si>
    <t>7:3D 7-10|6:5 STEP|</t>
  </si>
  <si>
    <t>3D 7-10 | INSIDE ZONE</t>
  </si>
  <si>
    <t>7:3D 7-10|11:INSIDE ZONE|</t>
  </si>
  <si>
    <t>3D 7-10 | RPO</t>
  </si>
  <si>
    <t>7:3D 7-10|3:RPO|</t>
  </si>
  <si>
    <t>4D 1-3 | 5 STEP</t>
  </si>
  <si>
    <t>6:4D 1-3|6:5 STEP|</t>
  </si>
  <si>
    <t>4D 1-3 | INSIDE ZONE</t>
  </si>
  <si>
    <t>6:4D 1-3|11:INSIDE ZONE|</t>
  </si>
  <si>
    <t>4D 1-3 | PAP</t>
  </si>
  <si>
    <t>6:4D 1-3|3:PAP|</t>
  </si>
  <si>
    <t>4D 1-3 | SPLIT ZONE</t>
  </si>
  <si>
    <t>6:4D 1-3|10:SPLIT ZONE|</t>
  </si>
  <si>
    <t>4D 4-6 | 5 STEP</t>
  </si>
  <si>
    <t>6:4D 4-6|6:5 STEP|</t>
  </si>
  <si>
    <t>P&amp;10 | 3 STEP</t>
  </si>
  <si>
    <t>4:P&amp;10|6:3 STEP|</t>
  </si>
  <si>
    <t>P&amp;10 | 5 STEP</t>
  </si>
  <si>
    <t>4:P&amp;10|6:5 STEP|</t>
  </si>
  <si>
    <t>P&amp;10 | BOOT</t>
  </si>
  <si>
    <t>4:P&amp;10|4:BOOT|</t>
  </si>
  <si>
    <t>P&amp;10 | COUNTER</t>
  </si>
  <si>
    <t>4:P&amp;10|7:COUNTER|</t>
  </si>
  <si>
    <t>P&amp;10 | DASH</t>
  </si>
  <si>
    <t>DASH</t>
  </si>
  <si>
    <t>4:P&amp;10|4:DASH|</t>
  </si>
  <si>
    <t>P&amp;10 | DRAW</t>
  </si>
  <si>
    <t>DRAW</t>
  </si>
  <si>
    <t>4:P&amp;10|4:DRAW|</t>
  </si>
  <si>
    <t>P&amp;10 | FLY SWEEP</t>
  </si>
  <si>
    <t>FLY SWEEP</t>
  </si>
  <si>
    <t>4:P&amp;10|9:FLY SWEEP|</t>
  </si>
  <si>
    <t>P&amp;10 | FUZZY</t>
  </si>
  <si>
    <t>4:P&amp;10|5:FUZZY|</t>
  </si>
  <si>
    <t>P&amp;10 | INSIDE ZONE</t>
  </si>
  <si>
    <t>4:P&amp;10|11:INSIDE ZONE|</t>
  </si>
  <si>
    <t>P&amp;10 | OUTSIDE ZONE</t>
  </si>
  <si>
    <t>4:P&amp;10|12:OUTSIDE ZONE|</t>
  </si>
  <si>
    <t>P&amp;10 | PAP</t>
  </si>
  <si>
    <t>4:P&amp;10|3:PAP|</t>
  </si>
  <si>
    <t>P&amp;10 | POWER</t>
  </si>
  <si>
    <t>4:P&amp;10|5:POWER|</t>
  </si>
  <si>
    <t>P&amp;10 | RPO</t>
  </si>
  <si>
    <t>4:P&amp;10|3:RPO|</t>
  </si>
  <si>
    <t>P&amp;10 | SPLIT ZONE</t>
  </si>
  <si>
    <t>4:P&amp;10|10:SPLIT ZONE|</t>
  </si>
  <si>
    <t>P&amp;10 | TOSS PASS</t>
  </si>
  <si>
    <t>4:P&amp;10|9:TOSS PASS|</t>
  </si>
  <si>
    <t>CROSS-SITUATION SUPPORT • ALL HOT CALLS</t>
  </si>
  <si>
    <t>All clean reps</t>
  </si>
  <si>
    <t>ALL</t>
  </si>
  <si>
    <t>CROSS-SITUATION SUPPORT • CONCEPT + HOT CALL</t>
  </si>
  <si>
    <t>Sample Watch • Broad Concept Proxy</t>
  </si>
  <si>
    <t>13:(UNSPECIFIED)|</t>
  </si>
  <si>
    <t>6:3 STEP|</t>
  </si>
  <si>
    <t>Broad Concept Proxy</t>
  </si>
  <si>
    <t>6:5 STEP|</t>
  </si>
  <si>
    <t>5:BELLY|</t>
  </si>
  <si>
    <t>4:BOOT|</t>
  </si>
  <si>
    <t>7:COUNTER|</t>
  </si>
  <si>
    <t>4:DASH|</t>
  </si>
  <si>
    <t>4:DRAW|</t>
  </si>
  <si>
    <t>3:DUO|</t>
  </si>
  <si>
    <t>9:FLY SWEEP|</t>
  </si>
  <si>
    <t>8:FLY TOSS|</t>
  </si>
  <si>
    <t>5:FUZZY|</t>
  </si>
  <si>
    <t>11:INSIDE ZONE|</t>
  </si>
  <si>
    <t>3:MAN|</t>
  </si>
  <si>
    <t>6:OPTION|</t>
  </si>
  <si>
    <t>12:OUTSIDE ZONE|</t>
  </si>
  <si>
    <t>3:PAP|</t>
  </si>
  <si>
    <t>8:PIN PULL|</t>
  </si>
  <si>
    <t>5:POWER|</t>
  </si>
  <si>
    <t>3:RPO|</t>
  </si>
  <si>
    <t>6:SCREEN|</t>
  </si>
  <si>
    <t>3:SOP|</t>
  </si>
  <si>
    <t>10:SPLIT ZONE|</t>
  </si>
  <si>
    <t>9:TOSS PASS|</t>
  </si>
  <si>
    <t>RESPONSE-CARD SUPPORT • D&amp;D + OBSERVED PRESENTATION</t>
  </si>
  <si>
    <t>2D 1-3 | 12 | INSIDE ZONE</t>
  </si>
  <si>
    <t>Sample Watch • Exact Context Match</t>
  </si>
  <si>
    <t>6:2D 1-3|2:12|0:|11:INSIDE ZONE|</t>
  </si>
  <si>
    <t>6:2D 1-3|2:11|3:3X1|0:|</t>
  </si>
  <si>
    <t>2D 4-6 | 12 | OUTSIDE ZONE</t>
  </si>
  <si>
    <t>6:2D 4-6|2:12|0:|12:OUTSIDE ZONE|</t>
  </si>
  <si>
    <t>3D 4-6 | 11 | 5 STEP</t>
  </si>
  <si>
    <t>6:3D 4-6|2:11|0:|6:5 STEP|</t>
  </si>
  <si>
    <t>6:3D 4-6|2:11|3:3X1|0:|</t>
  </si>
  <si>
    <t>3D 7-10 | 11 | 5 STEP</t>
  </si>
  <si>
    <t>7:3D 7-10|2:11|0:|6:5 STEP|</t>
  </si>
  <si>
    <t>7:3D 7-10|2:11|3:3X1|0:|</t>
  </si>
  <si>
    <t>3D 7-10 | 2X2 | 5 STEP</t>
  </si>
  <si>
    <t>7:3D 7-10|0:|3:2X2|6:5 STEP|</t>
  </si>
  <si>
    <t>OPPONENT SOURCE IMPORT</t>
  </si>
  <si>
    <t>These are standalone value snapshots. Coach answers are on the lookup, response card, cheat sheet and practice board. Refresh from completed source scouts each week.</t>
  </si>
  <si>
    <t>Required source section</t>
  </si>
  <si>
    <t>Imported rows</t>
  </si>
  <si>
    <t>Import mode</t>
  </si>
  <si>
    <t>Navigation</t>
  </si>
  <si>
    <t>MASTER_STRATEGY_CARD</t>
  </si>
  <si>
    <t>Imported values</t>
  </si>
  <si>
    <t>View source output</t>
  </si>
  <si>
    <t>Value snapshot from the supplied source; original source-row numbers are retained.</t>
  </si>
  <si>
    <t>Source row</t>
  </si>
  <si>
    <t>D&amp;D STRATEGY MATRIX</t>
  </si>
  <si>
    <t>SITUATION</t>
  </si>
  <si>
    <t>DOWN</t>
  </si>
  <si>
    <t>BUCKET</t>
  </si>
  <si>
    <t>TOP PER/CON SIGNAL</t>
  </si>
  <si>
    <t>USAGE</t>
  </si>
  <si>
    <t>LIFT</t>
  </si>
  <si>
    <t>P-VALUE</t>
  </si>
  <si>
    <t>SUPPORT</t>
  </si>
  <si>
    <t>TOP PER/STR SIGNAL</t>
  </si>
  <si>
    <t>TOP STR/CON SIGNAL</t>
  </si>
  <si>
    <t>TOP PLAY WATCH</t>
  </si>
  <si>
    <t>COACH NOTE</t>
  </si>
  <si>
    <t>COACH INTERPRETATION</t>
  </si>
  <si>
    <t>12HP / OUTSIDE ZONE</t>
  </si>
  <si>
    <t>SAMPLE WATCH</t>
  </si>
  <si>
    <t>21HP / 2X1</t>
  </si>
  <si>
    <t>2X1 / G</t>
  </si>
  <si>
    <t>21HP / HITCH OVER</t>
  </si>
  <si>
    <t>EXACT PLAY WATCH - LOW REPS</t>
  </si>
  <si>
    <t>SAMPLE WATCH | Clip and track the tendency; build the sample before making it a call-sheet anchor.</t>
  </si>
  <si>
    <t>1-3</t>
  </si>
  <si>
    <t>14HP / OUTSIDE ZONE</t>
  </si>
  <si>
    <t>14HP / 4X0</t>
  </si>
  <si>
    <t>4X0 / OUTSIDE ZONE</t>
  </si>
  <si>
    <t>14HP / OZ TOSS STG</t>
  </si>
  <si>
    <t>4-6</t>
  </si>
  <si>
    <t>12HP / POWER</t>
  </si>
  <si>
    <t>12HP / 4X0</t>
  </si>
  <si>
    <t>4X0 / POWER</t>
  </si>
  <si>
    <t>12HP / QB POWER STG</t>
  </si>
  <si>
    <t>7-10</t>
  </si>
  <si>
    <t>11HP / G</t>
  </si>
  <si>
    <t>2X1 / OPTION</t>
  </si>
  <si>
    <t>11HP / G STG READ</t>
  </si>
  <si>
    <t>11+</t>
  </si>
  <si>
    <t>11HP / INSIDE ZONE</t>
  </si>
  <si>
    <t>11HP / 2X2</t>
  </si>
  <si>
    <t>2X2 / INSIDE ZONE</t>
  </si>
  <si>
    <t>11HP / ZONE WK READ</t>
  </si>
  <si>
    <t>12P / INSIDE ZONE</t>
  </si>
  <si>
    <t>11P / 3X1</t>
  </si>
  <si>
    <t>2X2 / PAP</t>
  </si>
  <si>
    <t>2X2 / DIG SEAM UNDER</t>
  </si>
  <si>
    <t>12P / OUTSIDE ZONE</t>
  </si>
  <si>
    <t>11HP / 2X1</t>
  </si>
  <si>
    <t>3X2 / 5 STEP</t>
  </si>
  <si>
    <t>3X2 / DIG HITCH TB SWING</t>
  </si>
  <si>
    <t>12HP / INSIDE ZONE</t>
  </si>
  <si>
    <t>15HP / 3X2</t>
  </si>
  <si>
    <t>3X2 / 3 STEP</t>
  </si>
  <si>
    <t>3X2 / VERT OUT SEAM</t>
  </si>
  <si>
    <t>4X0 / QB POWER STG</t>
  </si>
  <si>
    <t>15HP / G</t>
  </si>
  <si>
    <t>15HP / 1X1</t>
  </si>
  <si>
    <t>1X1 / G</t>
  </si>
  <si>
    <t>12P / X UNDER SCREEN</t>
  </si>
  <si>
    <t>11P / 5 STEP</t>
  </si>
  <si>
    <t>14HP / G WK LEAD</t>
  </si>
  <si>
    <t>MODERATE STAT SUPPORT</t>
  </si>
  <si>
    <t>2X2 / 5 STEP</t>
  </si>
  <si>
    <t>2X1 / DOUBLE SPOT ARROW</t>
  </si>
  <si>
    <t>STRUCTURE-DRIVEN ALERT | Let the formation declare the alert; confirm the attached concept on film.</t>
  </si>
  <si>
    <t>STRUCTURE-DRIVEN ALERT</t>
  </si>
  <si>
    <t>12P / SCREEN</t>
  </si>
  <si>
    <t>10P / 3X1</t>
  </si>
  <si>
    <t>2X2 / OUTSIDE ZONE</t>
  </si>
  <si>
    <t>10P / ZONE WK READ</t>
  </si>
  <si>
    <t>22HP / WHAM</t>
  </si>
  <si>
    <t>22HP / 1X1</t>
  </si>
  <si>
    <t>1X1 / WHAM</t>
  </si>
  <si>
    <t>22HP / WHAM STG LEAD</t>
  </si>
  <si>
    <t>NO CLEAR SIGNAL | No usable tendency in this bucket; use base rules and keep scouting.</t>
  </si>
  <si>
    <t>NO CLEAR SIGNAL</t>
  </si>
  <si>
    <t>4D 7-10</t>
  </si>
  <si>
    <t>4D 11+</t>
  </si>
  <si>
    <t>COACH ALERT / INTERPRETATION</t>
  </si>
  <si>
    <t>CONCEPT ALERT</t>
  </si>
  <si>
    <t>STRUCTURE / CONCEPT ALERT</t>
  </si>
  <si>
    <t>PLAYCALL WATCH</t>
  </si>
  <si>
    <t>COACH INTERPRETATION NOTE</t>
  </si>
  <si>
    <t>MASTER_SIGNAL_BOARD</t>
  </si>
  <si>
    <t>OPPONENT SIGNAL BOARD</t>
  </si>
  <si>
    <t>Five signal sections and five complete p-value support sections. Use the navigation links below.</t>
  </si>
  <si>
    <t>PERSONNEL/CONCEPT</t>
  </si>
  <si>
    <t>PERSONNEL/STRUCTURE</t>
  </si>
  <si>
    <t>STRUCTURE/CONCEPT</t>
  </si>
  <si>
    <t>PERSONNEL/PLAYCALL</t>
  </si>
  <si>
    <t>STRUCTURE/PLAYCALL</t>
  </si>
  <si>
    <t>P-value PERSONNEL/CONCEPT</t>
  </si>
  <si>
    <t>P-value PERSONNEL/STRUCTURE</t>
  </si>
  <si>
    <t>P-value STRUCTURE/CONCEPT</t>
  </si>
  <si>
    <t>P-value PERSONNEL/PLAYCALL</t>
  </si>
  <si>
    <t>P-value STRUCTURE/PLAYCALL</t>
  </si>
  <si>
    <t>MASTER_DD_PERSONNEL_CONCEPT</t>
  </si>
  <si>
    <t>PERSONNEL</t>
  </si>
  <si>
    <t>CONCEPT</t>
  </si>
  <si>
    <t>REPS</t>
  </si>
  <si>
    <t>SUCCESS RATE</t>
  </si>
  <si>
    <t>EXPLOSIVE RATE</t>
  </si>
  <si>
    <t>AVG GAIN</t>
  </si>
  <si>
    <t>CONFIDENCE</t>
  </si>
  <si>
    <t>IDENTITY</t>
  </si>
  <si>
    <t>SIGNAL LEVEL</t>
  </si>
  <si>
    <t>FILM PRIORITY</t>
  </si>
  <si>
    <t>COACH USE</t>
  </si>
  <si>
    <t>TRACK</t>
  </si>
  <si>
    <t>CHANGEUP</t>
  </si>
  <si>
    <t>CHANGEUP WATCH</t>
  </si>
  <si>
    <t>Changeup watch / clip review</t>
  </si>
  <si>
    <t>MEDIUM</t>
  </si>
  <si>
    <t>COMPLEMENTARY</t>
  </si>
  <si>
    <t>SITUATIONAL SIGNAL</t>
  </si>
  <si>
    <t>Situational tendency</t>
  </si>
  <si>
    <t>HIGH</t>
  </si>
  <si>
    <t>POWER READ</t>
  </si>
  <si>
    <t>LOW</t>
  </si>
  <si>
    <t>12H</t>
  </si>
  <si>
    <t>11H</t>
  </si>
  <si>
    <t>CORE</t>
  </si>
  <si>
    <t>CORE SIGNAL</t>
  </si>
  <si>
    <t>Situational game-plan consideration</t>
  </si>
  <si>
    <t>PRIMARY SIGNAL</t>
  </si>
  <si>
    <t>Scout card emphasis / call-sheet alert</t>
  </si>
  <si>
    <t>MASTER_DD_PER_STRUCTURE</t>
  </si>
  <si>
    <t>STRUCTURE</t>
  </si>
  <si>
    <t>4X0</t>
  </si>
  <si>
    <t>MASTER_DD_STRUCTURE_CONCEPT</t>
  </si>
  <si>
    <t>MASTER_DD_PER_PLAYCALL</t>
  </si>
  <si>
    <t>PLAYCALL</t>
  </si>
  <si>
    <t>OZ STG READ</t>
  </si>
  <si>
    <t>ZONE WK READ</t>
  </si>
  <si>
    <t>POWER READ STG</t>
  </si>
  <si>
    <t>ZONE STG READ</t>
  </si>
  <si>
    <t>TB SWING SCREEN</t>
  </si>
  <si>
    <t>STICKS</t>
  </si>
  <si>
    <t>VERTS</t>
  </si>
  <si>
    <t>MASTER_DD_STRUCTURE_PLAYCALL</t>
  </si>
  <si>
    <t>ZONE STG SPLIT READ</t>
  </si>
  <si>
    <t>ZONE WK SPLIT READ</t>
  </si>
  <si>
    <t>P-VALUE SUPPORT — MASTER_DD_PERSONNEL_CONCEPT</t>
  </si>
  <si>
    <t>CONTEXT REPS</t>
  </si>
  <si>
    <t>TARGET REPS</t>
  </si>
  <si>
    <t>CONTEXT USAGE</t>
  </si>
  <si>
    <t>BASELINE USAGE</t>
  </si>
  <si>
    <t>IN CTX + TARGET</t>
  </si>
  <si>
    <t>IN CTX + OTHER</t>
  </si>
  <si>
    <t>OUT CTX + TARGET</t>
  </si>
  <si>
    <t>OUT CTX + OTHER</t>
  </si>
  <si>
    <t>STAT SUPPORT</t>
  </si>
  <si>
    <t>SRC INDEX</t>
  </si>
  <si>
    <t>ALERT SCORE</t>
  </si>
  <si>
    <t>EXPECTED A</t>
  </si>
  <si>
    <t>EXPECTED B</t>
  </si>
  <si>
    <t>EXPECTED C</t>
  </si>
  <si>
    <t>EXPECTED D</t>
  </si>
  <si>
    <t>LOOKUP KEY</t>
  </si>
  <si>
    <t>21H</t>
  </si>
  <si>
    <t>P&amp;10 / 21HP: 5 STEP | 100% usage vs 19% baseline | lift 5.4x | p=0.036 | SAMPLE WATCH (small expected counts; film/sample watch)</t>
  </si>
  <si>
    <t>0|P&amp;10|66.8196675714</t>
  </si>
  <si>
    <t>P&amp;10 / 12P: OUTSIDE ZONE | 33% usage vs 17% baseline | lift 2.0x | p=0.438 | SAMPLE WATCH (small expected counts; film/sample watch)</t>
  </si>
  <si>
    <t>0|P&amp;10|52.1173537240</t>
  </si>
  <si>
    <t>P&amp;10 / 11P: 5 STEP | 8% usage vs 19% baseline | lift 0.4x | p=0.160 | SAMPLE WATCH (small expected counts; film/sample watch)</t>
  </si>
  <si>
    <t>0|P&amp;10|49.9274669803</t>
  </si>
  <si>
    <t>P&amp;10 / 11P: OUTSIDE ZONE | 17% usage vs 17% baseline | lift 1.0x | p=0.988 | SAMPLE WATCH (small expected counts; film/sample watch)</t>
  </si>
  <si>
    <t>0|P&amp;10|51.7130249121</t>
  </si>
  <si>
    <t>P&amp;10 / 11P: RPO | 4% usage vs 1% baseline | lift 3.4x | p=0.161 | SAMPLE WATCH (small expected counts; film/sample watch)</t>
  </si>
  <si>
    <t>0|P&amp;10|53.3207317601</t>
  </si>
  <si>
    <t>P&amp;10 / 11P: PAP | 8% usage vs 5% baseline | lift 1.7x | p=0.411 | SAMPLE WATCH (small expected counts; film/sample watch)</t>
  </si>
  <si>
    <t>0|P&amp;10|51.1328042125</t>
  </si>
  <si>
    <t>P&amp;10 / 11P: FLY SWEEP | 4% usage vs 2% baseline | lift 2.2x | p=0.366 | SAMPLE WATCH (small expected counts; film/sample watch)</t>
  </si>
  <si>
    <t>0|P&amp;10|50.0604541163</t>
  </si>
  <si>
    <t>P&amp;10 / 11P: POWER | 4% usage vs 2% baseline | lift 1.7x | p=0.566 | SAMPLE WATCH (small expected counts; film/sample watch)</t>
  </si>
  <si>
    <t>0|P&amp;10|47.9408542521</t>
  </si>
  <si>
    <t>P&amp;10 / 11P: SCREEN | 4% usage vs 6% baseline | lift 0.7x | p=0.742 | SAMPLE WATCH (small expected counts; film/sample watch)</t>
  </si>
  <si>
    <t>0|P&amp;10|45.1968316131</t>
  </si>
  <si>
    <t>BELOW BASELINE</t>
  </si>
  <si>
    <t>P&amp;10 / 11P: INSIDE ZONE | 17% usage vs 27% baseline | lift 0.6x | p=0.228 | BELOW BASELINE</t>
  </si>
  <si>
    <t>0|P&amp;10|19.7743359616</t>
  </si>
  <si>
    <t>P&amp;10 / 11P: OPTION | 8% usage vs 3% baseline | lift 2.7x | p=0.109 | SAMPLE WATCH (small expected counts; film/sample watch)</t>
  </si>
  <si>
    <t>0|P&amp;10|54.6525427714</t>
  </si>
  <si>
    <t>P&amp;10 / 11P: BOOT | 8% usage vs 3% baseline | lift 2.7x | p=0.109 | SAMPLE WATCH (small expected counts; film/sample watch)</t>
  </si>
  <si>
    <t>P&amp;10 / 12P: INSIDE ZONE | 67% usage vs 27% baseline | lift 2.5x | p=0.114 | SAMPLE WATCH (small expected counts; film/sample watch)</t>
  </si>
  <si>
    <t>0|P&amp;10|60.0873333233</t>
  </si>
  <si>
    <t>P&amp;10 / 11P: POWER READ | 13% usage vs 3% baseline | lift 4.0x | p=0.004 | SAMPLE WATCH (small expected counts; film/sample watch)</t>
  </si>
  <si>
    <t>0|P&amp;10|60.2798698964</t>
  </si>
  <si>
    <t>P&amp;10 / 11HP: OUTSIDE ZONE | 20% usage vs 17% baseline | lift 1.2x | p=0.844 | SAMPLE WATCH (small expected counts; film/sample watch)</t>
  </si>
  <si>
    <t>0|P&amp;10|47.1636346181</t>
  </si>
  <si>
    <t>P&amp;10 / 12HP: OUTSIDE ZONE | 100% usage vs 17% baseline | lift 6.0x | p=0.002 | SAMPLE WATCH (small expected counts; film/sample watch)</t>
  </si>
  <si>
    <t>0|P&amp;10|68.9923858289</t>
  </si>
  <si>
    <t>P&amp;10 / 11HP: INSIDE ZONE | 80% usage vs 27% baseline | lift 3.0x | p=0.006 | SAMPLE WATCH (small expected counts; film/sample watch)</t>
  </si>
  <si>
    <t>0|P&amp;10|66.9596209714</t>
  </si>
  <si>
    <t>14H</t>
  </si>
  <si>
    <t>G</t>
  </si>
  <si>
    <t>P&amp;10 / 14HP: G | 100% usage vs 4% baseline | lift 23.0x | p=0.000 | SAMPLE WATCH (small expected counts; film/sample watch)</t>
  </si>
  <si>
    <t>0|P&amp;10|66.9999873098</t>
  </si>
  <si>
    <t>P&amp;10 / 11P: TOSS PASS | 4% usage vs 1% baseline | lift 6.7x | p=0.017 | SAMPLE WATCH (small expected counts; film/sample watch)</t>
  </si>
  <si>
    <t>0|P&amp;10|57.3339417978</t>
  </si>
  <si>
    <t>1D 4-6 / 11P: OUTSIDE ZONE | 50% usage vs 17% baseline | lift 3.0x | p=0.206 | SAMPLE WATCH (small expected counts; film/sample watch)</t>
  </si>
  <si>
    <t>1|4-6|56.9349548545</t>
  </si>
  <si>
    <t>1D 7-10 / 11P: SCREEN | 10% usage vs 6% baseline | lift 1.7x | p=0.400 | SAMPLE WATCH (small expected counts; film/sample watch)</t>
  </si>
  <si>
    <t>1|7-10|51.3594149991</t>
  </si>
  <si>
    <t>1D 7-10 / 12P: INSIDE ZONE | 100% usage vs 27% baseline | lift 3.7x | p=0.097 | SAMPLE WATCH (small expected counts; film/sample watch)</t>
  </si>
  <si>
    <t>1|7-10|64.0055346455</t>
  </si>
  <si>
    <t>1D 7-10 / 11P: OUTSIDE ZONE | 10% usage vs 17% baseline | lift 0.6x | p=0.341 | SAMPLE WATCH (small expected counts; film/sample watch)</t>
  </si>
  <si>
    <t>1|7-10|49.3856676548</t>
  </si>
  <si>
    <t>1D 7-10 / 11P: FLY SWEEP | 5% usage vs 2% baseline | lift 2.6x | p=0.292 | SAMPLE WATCH (small expected counts; film/sample watch)</t>
  </si>
  <si>
    <t>1|7-10|51.1264178568</t>
  </si>
  <si>
    <t>1D 7-10 / 11P: SOP | 5% usage vs 1% baseline | lift 3.8x | p=0.118 | SAMPLE WATCH (small expected counts; film/sample watch)</t>
  </si>
  <si>
    <t>1|7-10|54.5509580749</t>
  </si>
  <si>
    <t>NORMAL / WEAK SUPPORT</t>
  </si>
  <si>
    <t>1D 7-10 / 11P: INSIDE ZONE | 29% usage vs 27% baseline | lift 1.1x | p=0.836 | NORMAL / WEAK SUPPORT</t>
  </si>
  <si>
    <t>1|7-10|37.8165060751</t>
  </si>
  <si>
    <t>1D 7-10 / 11P: FUZZY | 5% usage vs 1% baseline | lift 7.7x | p=0.010 | SAMPLE WATCH (small expected counts; film/sample watch)</t>
  </si>
  <si>
    <t>1|7-10|57.4282087891</t>
  </si>
  <si>
    <t>1D 7-10 / 11P: PAP | 14% usage vs 5% baseline | lift 2.9x | p=0.035 | SAMPLE WATCH (small expected counts; film/sample watch)</t>
  </si>
  <si>
    <t>1|7-10|58.0029721383</t>
  </si>
  <si>
    <t>1D 7-10 / 11P: 5 STEP | 10% usage vs 19% baseline | lift 0.5x | p=0.250 | SAMPLE WATCH (small expected counts; film/sample watch)</t>
  </si>
  <si>
    <t>1|7-10|49.7233159817</t>
  </si>
  <si>
    <t>1D 4-6 / 11P: G | 50% usage vs 4% baseline | lift 11.5x | p=0.001 | SAMPLE WATCH (small expected counts; film/sample watch)</t>
  </si>
  <si>
    <t>1|4-6|61.9927802370</t>
  </si>
  <si>
    <t>1D 1-3 / 14HP: OUTSIDE ZONE | 100% usage vs 17% baseline | lift 6.0x | p=0.025 | SAMPLE WATCH (small expected counts; film/sample watch)</t>
  </si>
  <si>
    <t>1|1-3|66.8728219044</t>
  </si>
  <si>
    <t>1D 7-10 / 11P: POWER READ | 5% usage vs 3% baseline | lift 1.5x | p=0.639 | SAMPLE WATCH (small expected counts; film/sample watch)</t>
  </si>
  <si>
    <t>1|7-10|47.3483086358</t>
  </si>
  <si>
    <t>1D 7-10 / 11P: OPTION | 5% usage vs 3% baseline | lift 1.5x | p=0.639 | SAMPLE WATCH (small expected counts; film/sample watch)</t>
  </si>
  <si>
    <t>1D 7-10 / 11P: BOOT | 5% usage vs 3% baseline | lift 1.5x | p=0.639 | SAMPLE WATCH (small expected counts; film/sample watch)</t>
  </si>
  <si>
    <t>1D 11+ / 11HP: INSIDE ZONE | 100% usage vs 27% baseline | lift 3.7x | p=0.097 | SAMPLE WATCH (small expected counts; film/sample watch)</t>
  </si>
  <si>
    <t>1|11+|64.0055346455</t>
  </si>
  <si>
    <t>1D 7-10 / 11HP: G | 100% usage vs 4% baseline | lift 23.0x | p=0.000 | SAMPLE WATCH (small expected counts; film/sample watch)</t>
  </si>
  <si>
    <t>1|7-10|66.9999873098</t>
  </si>
  <si>
    <t>1D 7-10 / 12HP: OUTSIDE ZONE | 33% usage vs 17% baseline | lift 2.0x | p=0.438 | SAMPLE WATCH (small expected counts; film/sample watch)</t>
  </si>
  <si>
    <t>1|7-10|52.1173537240</t>
  </si>
  <si>
    <t>1D 4-6 / 12HP: POWER | 100% usage vs 2% baseline | lift 40.3x | p=0.000 | SAMPLE WATCH (small expected counts; film/sample watch)</t>
  </si>
  <si>
    <t>1|4-6|66.9999999984</t>
  </si>
  <si>
    <t>1D 7-10 / 12HP: INSIDE ZONE | 67% usage vs 27% baseline | lift 2.5x | p=0.114 | SAMPLE WATCH (small expected counts; film/sample watch)</t>
  </si>
  <si>
    <t>1|7-10|60.0873333233</t>
  </si>
  <si>
    <t>2D 7-10 / 11P: 3 STEP | 4% usage vs 3% baseline | lift 1.4x | p=0.711 | SAMPLE WATCH (small expected counts; film/sample watch)</t>
  </si>
  <si>
    <t>2|7-10|46.6814234768</t>
  </si>
  <si>
    <t>2D 4-6 / 11P: OUTSIDE ZONE | 29% usage vs 17% baseline | lift 1.7x | p=0.393 | SAMPLE WATCH (small expected counts; film/sample watch)</t>
  </si>
  <si>
    <t>2|4-6|53.3004584389</t>
  </si>
  <si>
    <t>2D 7-10 / 11P: POWER | 4% usage vs 2% baseline | lift 1.8x | p=0.535 | SAMPLE WATCH (small expected counts; film/sample watch)</t>
  </si>
  <si>
    <t>2|7-10|48.2589028145</t>
  </si>
  <si>
    <t>2D 7-10 / 11P: 5 STEP | 22% usage vs 19% baseline | lift 1.2x | p=0.679 | SAMPLE WATCH (small expected counts; film/sample watch)</t>
  </si>
  <si>
    <t>2|7-10|56.1097742318</t>
  </si>
  <si>
    <t>2D 1-3 / 11P: PAP | 17% usage vs 5% baseline | lift 3.4x | p=0.179 | SAMPLE WATCH (small expected counts; film/sample watch)</t>
  </si>
  <si>
    <t>2|1-3|54.4800575611</t>
  </si>
  <si>
    <t>2D 11+ / 11P: 3 STEP | 20% usage vs 3% baseline | lift 6.4x | p=0.027 | SAMPLE WATCH (small expected counts; film/sample watch)</t>
  </si>
  <si>
    <t>2|11+|58.8652935408</t>
  </si>
  <si>
    <t>2D 1-3 / 11P: OPTION | 17% usage vs 3% baseline | lift 5.4x | p=0.051 | SAMPLE WATCH (small expected counts; film/sample watch)</t>
  </si>
  <si>
    <t>2|1-3|58.4117505105</t>
  </si>
  <si>
    <t>2D 1-3 / 11P: 5 STEP | 50% usage vs 19% baseline | lift 2.7x | p=0.044 | SAMPLE WATCH (small expected counts; film/sample watch)</t>
  </si>
  <si>
    <t>2|1-3|61.1450534358</t>
  </si>
  <si>
    <t>2D 4-6 / 11P: INSIDE ZONE | 29% usage vs 27% baseline | lift 1.1x | p=0.909 | SAMPLE WATCH (small expected counts; film/sample watch)</t>
  </si>
  <si>
    <t>2|4-6|49.4502212242</t>
  </si>
  <si>
    <t>2D 7-10 / 11P: FLY SWEEP | 4% usage vs 2% baseline | lift 2.3x | p=0.341 | SAMPLE WATCH (small expected counts; film/sample watch)</t>
  </si>
  <si>
    <t>2|7-10|50.3952483513</t>
  </si>
  <si>
    <t>2D 4-6 / 11P: 5 STEP | 14% usage vs 19% baseline | lift 0.8x | p=0.763 | SAMPLE WATCH (small expected counts; film/sample watch)</t>
  </si>
  <si>
    <t>2|4-6|46.1489000329</t>
  </si>
  <si>
    <t>2D 11+ / 11P: SOP | 20% usage vs 1% baseline | lift 16.1x | p=0.000 | SAMPLE WATCH (small expected counts; film/sample watch)</t>
  </si>
  <si>
    <t>2|11+|58.9994022829</t>
  </si>
  <si>
    <t>2D 4-6 / 12P: OUTSIDE ZONE | 100% usage vs 17% baseline | lift 6.0x | p=0.025 | SAMPLE WATCH (small expected counts; film/sample watch)</t>
  </si>
  <si>
    <t>2|4-6|66.8728219044</t>
  </si>
  <si>
    <t>2D 7-10 / 11P: INSIDE ZONE | 22% usage vs 27% baseline | lift 0.8x | p=0.561 | BELOW BASELINE</t>
  </si>
  <si>
    <t>2|7-10|20.9982153170</t>
  </si>
  <si>
    <t>2D 1-3 / 11P: INSIDE ZONE | 17% usage vs 27% baseline | lift 0.6x | p=0.571 | SAMPLE WATCH (small expected counts; film/sample watch)</t>
  </si>
  <si>
    <t>2|1-3|47.0597606683</t>
  </si>
  <si>
    <t>2D 7-10 / 11P: OUTSIDE ZONE | 17% usage vs 17% baseline | lift 1.0x | p=0.931 | SAMPLE WATCH (small expected counts; film/sample watch)</t>
  </si>
  <si>
    <t>2|7-10|52.1563486040</t>
  </si>
  <si>
    <t>2D 7-10 / 11P: BOOT | 4% usage vs 3% baseline | lift 1.4x | p=0.711 | SAMPLE WATCH (small expected counts; film/sample watch)</t>
  </si>
  <si>
    <t>2D 4-6 / 11P: BOOT | 14% usage vs 3% baseline | lift 4.6x | p=0.081 | SAMPLE WATCH (small expected counts; film/sample watch)</t>
  </si>
  <si>
    <t>2|4-6|57.2223568462</t>
  </si>
  <si>
    <t>TRAP</t>
  </si>
  <si>
    <t>2D 7-10 / 11P: TRAP | 4% usage vs 1% baseline | lift 7.0x | p=0.014 | SAMPLE WATCH (small expected counts; film/sample watch)</t>
  </si>
  <si>
    <t>2|7-10|57.3647570932</t>
  </si>
  <si>
    <t>2D 7-10 / 11P: OPTION | 4% usage vs 3% baseline | lift 1.4x | p=0.711 | SAMPLE WATCH (small expected counts; film/sample watch)</t>
  </si>
  <si>
    <t>2D 1-3 / 12P: INSIDE ZONE | 100% usage vs 27% baseline | lift 3.7x | p=0.097 | SAMPLE WATCH (small expected counts; film/sample watch)</t>
  </si>
  <si>
    <t>2|1-3|64.0055346455</t>
  </si>
  <si>
    <t>2D 7-10 / 11P: PAP | 4% usage vs 5% baseline | lift 0.9x | p=0.882 | SAMPLE WATCH (small expected counts; film/sample watch)</t>
  </si>
  <si>
    <t>2|7-10|44.7733174421</t>
  </si>
  <si>
    <t>2D 4-6 / 11P: POWER READ | 14% usage vs 3% baseline | lift 4.6x | p=0.081 | SAMPLE WATCH (small expected counts; film/sample watch)</t>
  </si>
  <si>
    <t>2D 7-10 / 11P: RPO | 4% usage vs 1% baseline | lift 3.5x | p=0.146 | SAMPLE WATCH (small expected counts; film/sample watch)</t>
  </si>
  <si>
    <t>2|7-10|53.7028654559</t>
  </si>
  <si>
    <t>2D 7-10 / 11P: SCREEN | 4% usage vs 6% baseline | lift 0.8x | p=0.779 | SAMPLE WATCH (small expected counts; film/sample watch)</t>
  </si>
  <si>
    <t>2|7-10|45.0933618287</t>
  </si>
  <si>
    <t>2D 11+ / 11P: SCREEN | 20% usage vs 6% baseline | lift 3.6x | p=0.154 | SAMPLE WATCH (small expected counts; film/sample watch)</t>
  </si>
  <si>
    <t>2|11+|55.3846069409</t>
  </si>
  <si>
    <t>2D 11+ / 11P: INSIDE ZONE | 40% usage vs 27% baseline | lift 1.5x | p=0.495 | SAMPLE WATCH (small expected counts; film/sample watch)</t>
  </si>
  <si>
    <t>2|11+|53.5205932061</t>
  </si>
  <si>
    <t>2D 11+ / 11HP: G | 33% usage vs 4% baseline | lift 7.7x | p=0.013 | SAMPLE WATCH (small expected counts; film/sample watch)</t>
  </si>
  <si>
    <t>2|11+|60.2685743036</t>
  </si>
  <si>
    <t>2D 11+ / 11HP: OUTSIDE ZONE | 33% usage vs 17% baseline | lift 2.0x | p=0.438 | SAMPLE WATCH (small expected counts; film/sample watch)</t>
  </si>
  <si>
    <t>2|11+|52.1173537240</t>
  </si>
  <si>
    <t>2D 11+ / 11HP: INSIDE ZONE | 33% usage vs 27% baseline | lift 1.2x | p=0.793 | SAMPLE WATCH (small expected counts; film/sample watch)</t>
  </si>
  <si>
    <t>2|11+|48.8621462656</t>
  </si>
  <si>
    <t>2D 11+ / 12P: INSIDE ZONE | 100% usage vs 27% baseline | lift 3.7x | p=0.097 | SAMPLE WATCH (small expected counts; film/sample watch)</t>
  </si>
  <si>
    <t>2|11+|64.0055346455</t>
  </si>
  <si>
    <t>2D 7-10 / 12HP: INSIDE ZONE | 100% usage vs 27% baseline | lift 3.7x | p=0.097 | SAMPLE WATCH (small expected counts; film/sample watch)</t>
  </si>
  <si>
    <t>2|7-10|64.0055346455</t>
  </si>
  <si>
    <t>2D 11+ / 12HP: INSIDE ZONE | 50% usage vs 27% baseline | lift 1.9x | p=0.454 | SAMPLE WATCH (small expected counts; film/sample watch)</t>
  </si>
  <si>
    <t>2|11+|53.4754384600</t>
  </si>
  <si>
    <t>2D 11+ / 12HP: POWER | 50% usage vs 2% baseline | lift 20.1x | p=0.000 | SAMPLE WATCH (small expected counts; film/sample watch)</t>
  </si>
  <si>
    <t>2|11+|61.9999301117</t>
  </si>
  <si>
    <t>2D 4-6 / 11HP: INSIDE ZONE | 100% usage vs 27% baseline | lift 3.7x | p=0.097 | SAMPLE WATCH (small expected counts; film/sample watch)</t>
  </si>
  <si>
    <t>2|4-6|64.0055346455</t>
  </si>
  <si>
    <t>3D 7-10 / 11P: 3 STEP | 8% usage vs 3% baseline | lift 2.5x | p=0.320 | SAMPLE WATCH (small expected counts; film/sample watch)</t>
  </si>
  <si>
    <t>3|7-10|51.1227868814</t>
  </si>
  <si>
    <t>3D 7-10 / 11P: SCREEN | 8% usage vs 6% baseline | lift 1.4x | p=0.731 | SAMPLE WATCH (small expected counts; film/sample watch)</t>
  </si>
  <si>
    <t>3|7-10|46.8676174530</t>
  </si>
  <si>
    <t>3D 7-10 / 11P: 5 STEP | 62% usage vs 19% baseline | lift 3.3x | p=0.000 | SAMPLE WATCH (small expected counts; film/sample watch)</t>
  </si>
  <si>
    <t>3|7-10|73.7588035010</t>
  </si>
  <si>
    <t>3D 1-3 / 21HP: OUTSIDE ZONE | 100% usage vs 17% baseline | lift 6.0x | p=0.025 | SAMPLE WATCH (small expected counts; film/sample watch)</t>
  </si>
  <si>
    <t>3|1-3|66.8728219044</t>
  </si>
  <si>
    <t>3D 11+ / 12P: SCREEN | 100% usage vs 6% baseline | lift 17.9x | p=0.000 | SAMPLE WATCH (small expected counts; film/sample watch)</t>
  </si>
  <si>
    <t>3|11+|66.9998125532</t>
  </si>
  <si>
    <t>3D 4-6 / 14HP: G | 100% usage vs 4% baseline | lift 23.0x | p=0.000 | SAMPLE WATCH (small expected counts; film/sample watch)</t>
  </si>
  <si>
    <t>3|4-6|66.9999873098</t>
  </si>
  <si>
    <t>3D 1-3 / 11P: 3 STEP | 50% usage vs 3% baseline | lift 16.1x | p=0.000 | SAMPLE WATCH (small expected counts; film/sample watch)</t>
  </si>
  <si>
    <t>3|1-3|63.9999997814</t>
  </si>
  <si>
    <t>3D 4-6 / 11P: 5 STEP | 55% usage vs 19% baseline | lift 2.9x | p=0.002 | SAMPLE WATCH (small expected counts; film/sample watch)</t>
  </si>
  <si>
    <t>3|4-6|68.3014445262</t>
  </si>
  <si>
    <t>3D 4-6 / 11P: DASH | 18% usage vs 1% baseline | lift 14.6x | p=0.000 | SAMPLE WATCH (small expected counts; film/sample watch)</t>
  </si>
  <si>
    <t>3|4-6|60.8181810783</t>
  </si>
  <si>
    <t>3D 4-6 / 11P: SCREEN | 9% usage vs 6% baseline | lift 1.6x | p=0.601 | SAMPLE WATCH (small expected counts; film/sample watch)</t>
  </si>
  <si>
    <t>3|4-6|48.1589159979</t>
  </si>
  <si>
    <t>3D 7-10 / 11P: OUTSIDE ZONE | 15% usage vs 17% baseline | lift 0.9x | p=0.889 | SAMPLE WATCH (small expected counts; film/sample watch)</t>
  </si>
  <si>
    <t>3|7-10|47.9278170940</t>
  </si>
  <si>
    <t>3D 7-10 / 11P: PAP | 8% usage vs 5% baseline | lift 1.5x | p=0.637 | SAMPLE WATCH (small expected counts; film/sample watch)</t>
  </si>
  <si>
    <t>3|7-10|47.6782408450</t>
  </si>
  <si>
    <t>3D 4-6 / 11P: INSIDE ZONE | 18% usage vs 27% baseline | lift 0.7x | p=0.508 | SAMPLE WATCH (small expected counts; film/sample watch)</t>
  </si>
  <si>
    <t>3|4-6|49.6404081648</t>
  </si>
  <si>
    <t>3D 11+ / 11P: 5 STEP | 20% usage vs 19% baseline | lift 1.1x | p=0.936 | SAMPLE WATCH (small expected counts; film/sample watch)</t>
  </si>
  <si>
    <t>3|11+|46.4643630772</t>
  </si>
  <si>
    <t>3D 1-3 / 12P: SCREEN | 100% usage vs 6% baseline | lift 17.9x | p=0.000 | SAMPLE WATCH (small expected counts; film/sample watch)</t>
  </si>
  <si>
    <t>3|1-3|66.9998125532</t>
  </si>
  <si>
    <t>3D 1-3 / 11P: 5 STEP | 25% usage vs 19% baseline | lift 1.3x | p=0.741 | SAMPLE WATCH (small expected counts; film/sample watch)</t>
  </si>
  <si>
    <t>3|1-3|48.4806657091</t>
  </si>
  <si>
    <t>3D 11+ / 10P: OUTSIDE ZONE | 50% usage vs 17% baseline | lift 3.0x | p=0.206 | SAMPLE WATCH (small expected counts; film/sample watch)</t>
  </si>
  <si>
    <t>3|11+|56.9349548545</t>
  </si>
  <si>
    <t>3D 11+ / 10P: INSIDE ZONE | 50% usage vs 27% baseline | lift 1.9x | p=0.454 | SAMPLE WATCH (small expected counts; film/sample watch)</t>
  </si>
  <si>
    <t>3|11+|53.4754384600</t>
  </si>
  <si>
    <t>3D 11+ / 11P: OUTSIDE ZONE | 40% usage vs 17% baseline | lift 2.4x | p=0.158 | SAMPLE WATCH (small expected counts; film/sample watch)</t>
  </si>
  <si>
    <t>3|11+|56.9812822760</t>
  </si>
  <si>
    <t>3D 11+ / 11P: INSIDE ZONE | 40% usage vs 27% baseline | lift 1.5x | p=0.495 | SAMPLE WATCH (small expected counts; film/sample watch)</t>
  </si>
  <si>
    <t>3|11+|53.5205932061</t>
  </si>
  <si>
    <t>3D 7-10 / 12P: INSIDE ZONE | 100% usage vs 27% baseline | lift 3.7x | p=0.097 | SAMPLE WATCH (small expected counts; film/sample watch)</t>
  </si>
  <si>
    <t>3|7-10|64.0055346455</t>
  </si>
  <si>
    <t>3D 1-3 / 11P: INSIDE ZONE | 25% usage vs 27% baseline | lift 0.9x | p=0.938 | SAMPLE WATCH (small expected counts; film/sample watch)</t>
  </si>
  <si>
    <t>3|1-3|46.6837079801</t>
  </si>
  <si>
    <t>15H</t>
  </si>
  <si>
    <t>3D 1-3 / 15HP: G | 100% usage vs 4% baseline | lift 23.0x | p=0.000 | SAMPLE WATCH (small expected counts; film/sample watch)</t>
  </si>
  <si>
    <t>3|1-3|66.9999873098</t>
  </si>
  <si>
    <t>22H</t>
  </si>
  <si>
    <t>WHAM</t>
  </si>
  <si>
    <t>4D 1-3 / 22HP: WHAM | 100% usage vs 1% baseline | lift 161.0x | p=0.000 | SAMPLE WATCH (small expected counts; film/sample watch)</t>
  </si>
  <si>
    <t>4|1-3|67.0000000000</t>
  </si>
  <si>
    <t>4D 1-3 / 12HP: G | 100% usage vs 4% baseline | lift 23.0x | p=0.000 | SAMPLE WATCH (small expected counts; film/sample watch)</t>
  </si>
  <si>
    <t>4|1-3|66.9999873098</t>
  </si>
  <si>
    <t>P-VALUE SUPPORT — MASTER_DD_PER_STRUCTURE</t>
  </si>
  <si>
    <t>P&amp;10 / 21HP: 2X1 | 100% usage vs 5% baseline | lift 18.2x | p=0.000 | SAMPLE WATCH (small expected counts; film/sample watch)</t>
  </si>
  <si>
    <t>0|P&amp;10|66.9998427309</t>
  </si>
  <si>
    <t>P&amp;10 / 12P: 2X2 | 67% usage vs 44% baseline | lift 1.5x | p=0.423 | SAMPLE WATCH (small expected counts; film/sample watch)</t>
  </si>
  <si>
    <t>0|P&amp;10|56.5905749333</t>
  </si>
  <si>
    <t>P&amp;10 / 11P: 2X2 | 58% usage vs 44% baseline | lift 1.3x | p=0.123 | NORMAL / WEAK SUPPORT</t>
  </si>
  <si>
    <t>0|P&amp;10|60.8751833099</t>
  </si>
  <si>
    <t>P&amp;10 / 11P: 3X1 | 42% usage vs 39% baseline | lift 1.1x | p=0.774 | NORMAL / WEAK SUPPORT</t>
  </si>
  <si>
    <t>0|P&amp;10|47.4323157615</t>
  </si>
  <si>
    <t>P&amp;10 / 11HP: 2X2 | 60% usage vs 44% baseline | lift 1.4x | p=0.461 | SAMPLE WATCH (small expected counts; film/sample watch)</t>
  </si>
  <si>
    <t>0|P&amp;10|57.4266104713</t>
  </si>
  <si>
    <t>P&amp;10 / 12HP: 3X1 | 50% usage vs 39% baseline | lift 1.3x | p=0.749 | SAMPLE WATCH (small expected counts; film/sample watch)</t>
  </si>
  <si>
    <t>0|P&amp;10|50.8182504231</t>
  </si>
  <si>
    <t>P&amp;10 / 11HP: 4X0 | 40% usage vs 6% baseline | lift 6.6x | p=0.001 | SAMPLE WATCH (small expected counts; film/sample watch)</t>
  </si>
  <si>
    <t>0|P&amp;10|62.9935350566</t>
  </si>
  <si>
    <t>P&amp;10 / 12HP: 4X0 | 50% usage vs 6% baseline | lift 8.2x | p=0.009 | SAMPLE WATCH (small expected counts; film/sample watch)</t>
  </si>
  <si>
    <t>0|P&amp;10|61.9548171371</t>
  </si>
  <si>
    <t>P&amp;10 / 14HP: 2X1 | 100% usage vs 5% baseline | lift 18.2x | p=0.000 | SAMPLE WATCH (small expected counts; film/sample watch)</t>
  </si>
  <si>
    <t>P&amp;10 / 12P: 3X1 | 33% usage vs 39% baseline | lift 0.9x | p=0.838 | SAMPLE WATCH (small expected counts; film/sample watch)</t>
  </si>
  <si>
    <t>0|P&amp;10|47.8496904007</t>
  </si>
  <si>
    <t>1D 4-6 / 11P: 2X2 | 50% usage vs 44% baseline | lift 1.1x | p=0.861 | SAMPLE WATCH (small expected counts; film/sample watch)</t>
  </si>
  <si>
    <t>1|4-6|49.9717169156</t>
  </si>
  <si>
    <t>1D 7-10 / 11P: 3X2 | 5% usage vs 4% baseline | lift 1.2x | p=0.863 | SAMPLE WATCH (small expected counts; film/sample watch)</t>
  </si>
  <si>
    <t>1|7-10|45.5286487405</t>
  </si>
  <si>
    <t>1D 7-10 / 12P: 2X2 | 100% usage vs 44% baseline | lift 2.3x | p=0.257 | SAMPLE WATCH (small expected counts; film/sample watch)</t>
  </si>
  <si>
    <t>1|7-10|60.2712691898</t>
  </si>
  <si>
    <t>1D 7-10 / 11P: 3X1 | 25% usage vs 39% baseline | lift 0.6x | p=0.170 | BELOW BASELINE</t>
  </si>
  <si>
    <t>1|7-10|22.9311266104</t>
  </si>
  <si>
    <t>1D 7-10 / 11P: 2X2 | 65% usage vs 44% baseline | lift 1.5x | p=0.042 | NORMAL / WEAK SUPPORT</t>
  </si>
  <si>
    <t>1|7-10|60.2487948324</t>
  </si>
  <si>
    <t>1D 4-6 / 11P: 2X1 | 50% usage vs 5% baseline | lift 9.1x | p=0.005 | SAMPLE WATCH (small expected counts; film/sample watch)</t>
  </si>
  <si>
    <t>1|4-6|61.9729117104</t>
  </si>
  <si>
    <t>1D 1-3 / 14HP: 4X0 | 100% usage vs 6% baseline | lift 16.4x | p=0.000 | SAMPLE WATCH (small expected counts; film/sample watch)</t>
  </si>
  <si>
    <t>1|1-3|66.9995862670</t>
  </si>
  <si>
    <t>1D 7-10 / 11P: 2X1 | 5% usage vs 5% baseline | lift 0.9x | p=0.919 | SAMPLE WATCH (small expected counts; film/sample watch)</t>
  </si>
  <si>
    <t>1|7-10|44.7293331443</t>
  </si>
  <si>
    <t>1D 11+ / 11HP: 2X2 | 100% usage vs 44% baseline | lift 2.3x | p=0.257 | SAMPLE WATCH (small expected counts; film/sample watch)</t>
  </si>
  <si>
    <t>1|11+|60.2712691898</t>
  </si>
  <si>
    <t>1D 7-10 / 11HP: 2X2 | 100% usage vs 44% baseline | lift 2.3x | p=0.257 | SAMPLE WATCH (small expected counts; film/sample watch)</t>
  </si>
  <si>
    <t>1D 7-10 / 12HP: 4X0 | 67% usage vs 6% baseline | lift 10.9x | p=0.000 | SAMPLE WATCH (small expected counts; film/sample watch)</t>
  </si>
  <si>
    <t>1|7-10|65.6666184250</t>
  </si>
  <si>
    <t>1D 4-6 / 12HP: 4X0 | 100% usage vs 6% baseline | lift 16.4x | p=0.000 | SAMPLE WATCH (small expected counts; film/sample watch)</t>
  </si>
  <si>
    <t>1|4-6|66.9995862670</t>
  </si>
  <si>
    <t>1D 7-10 / 12HP: 3X1 | 33% usage vs 39% baseline | lift 0.9x | p=0.838 | SAMPLE WATCH (small expected counts; film/sample watch)</t>
  </si>
  <si>
    <t>1|7-10|47.8496904007</t>
  </si>
  <si>
    <t>2D 7-10 / 11P: 3X2 | 4% usage vs 4% baseline | lift 1.0x | p=0.984 | SAMPLE WATCH (small expected counts; film/sample watch)</t>
  </si>
  <si>
    <t>2|7-10|44.5532300449</t>
  </si>
  <si>
    <t>2D 4-6 / 11P: 2X2 | 43% usage vs 44% baseline | lift 1.0x | p=0.955 | SAMPLE WATCH (small expected counts; film/sample watch)</t>
  </si>
  <si>
    <t>2|4-6|52.4651964574</t>
  </si>
  <si>
    <t>2D 7-10 / 11P: 2X2 | 57% usage vs 44% baseline | lift 1.3x | p=0.188 | NORMAL / WEAK SUPPORT</t>
  </si>
  <si>
    <t>2|7-10|58.2848571670</t>
  </si>
  <si>
    <t>2D 7-10 / 11P: 3X1 | 39% usage vs 39% baseline | lift 1.0x | p=0.991 | NORMAL / WEAK SUPPORT</t>
  </si>
  <si>
    <t>2|7-10|43.9633341396</t>
  </si>
  <si>
    <t>2D 1-3 / 11P: 2X2 | 17% usage vs 44% baseline | lift 0.4x | p=0.171 | SAMPLE WATCH (small expected counts; film/sample watch)</t>
  </si>
  <si>
    <t>2|1-3|48.5718602308</t>
  </si>
  <si>
    <t>2D 11+ / 11P: 2X2 | 50% usage vs 44% baseline | lift 1.1x | p=0.759 | SAMPLE WATCH (small expected counts; film/sample watch)</t>
  </si>
  <si>
    <t>2|11+|54.4821371123</t>
  </si>
  <si>
    <t>2D 1-3 / 11P: 3X1 | 67% usage vs 39% baseline | lift 1.7x | p=0.157 | SAMPLE WATCH (small expected counts; film/sample watch)</t>
  </si>
  <si>
    <t>2|1-3|62.2967497171</t>
  </si>
  <si>
    <t>2D 4-6 / 11P: 3X2 | 14% usage vs 4% baseline | lift 3.3x | p=0.180 | SAMPLE WATCH (small expected counts; film/sample watch)</t>
  </si>
  <si>
    <t>2|4-6|54.2213088906</t>
  </si>
  <si>
    <t>2D 4-6 / 12P: 2X2 | 100% usage vs 44% baseline | lift 2.3x | p=0.257 | SAMPLE WATCH (small expected counts; film/sample watch)</t>
  </si>
  <si>
    <t>2|4-6|60.2712691898</t>
  </si>
  <si>
    <t>2D 4-6 / 11P: 3X1 | 43% usage vs 39% baseline | lift 1.1x | p=0.832 | SAMPLE WATCH (small expected counts; film/sample watch)</t>
  </si>
  <si>
    <t>2|4-6|53.3234183443</t>
  </si>
  <si>
    <t>2D 1-3 / 12P: 3X1 | 100% usage vs 39% baseline | lift 2.6x | p=0.210 | SAMPLE WATCH (small expected counts; film/sample watch)</t>
  </si>
  <si>
    <t>2|1-3|61.0754782480</t>
  </si>
  <si>
    <t>2D 1-3 / 11P: 3X2 | 17% usage vs 4% baseline | lift 3.9x | p=0.126 | SAMPLE WATCH (small expected counts; film/sample watch)</t>
  </si>
  <si>
    <t>2|1-3|55.8469232827</t>
  </si>
  <si>
    <t>2D 11+ / 11P: 3X2 | 17% usage vs 4% baseline | lift 3.9x | p=0.126 | SAMPLE WATCH (small expected counts; film/sample watch)</t>
  </si>
  <si>
    <t>2|11+|55.8469232827</t>
  </si>
  <si>
    <t>2D 11+ / 11P: 3X1 | 17% usage vs 39% baseline | lift 0.4x | p=0.253 | SAMPLE WATCH (small expected counts; film/sample watch)</t>
  </si>
  <si>
    <t>2|11+|48.2573023340</t>
  </si>
  <si>
    <t>2D 7-10 / 11HP: 2X2 | 100% usage vs 44% baseline | lift 2.3x | p=0.257 | SAMPLE WATCH (small expected counts; film/sample watch)</t>
  </si>
  <si>
    <t>2|7-10|60.2712691898</t>
  </si>
  <si>
    <t>2D 11+ / 11HP: 2X2 | 67% usage vs 44% baseline | lift 1.5x | p=0.423 | SAMPLE WATCH (small expected counts; film/sample watch)</t>
  </si>
  <si>
    <t>2|11+|56.5905749333</t>
  </si>
  <si>
    <t>2D 11+ / 11HP: 3X1 | 33% usage vs 39% baseline | lift 0.9x | p=0.838 | SAMPLE WATCH (small expected counts; film/sample watch)</t>
  </si>
  <si>
    <t>2|11+|47.8496904007</t>
  </si>
  <si>
    <t>2D 11+ / 12P: 2X2 | 100% usage vs 44% baseline | lift 2.3x | p=0.257 | SAMPLE WATCH (small expected counts; film/sample watch)</t>
  </si>
  <si>
    <t>2|11+|60.2712691898</t>
  </si>
  <si>
    <t>2D 7-10 / 12HP: 4X0 | 100% usage vs 6% baseline | lift 16.4x | p=0.000 | SAMPLE WATCH (small expected counts; film/sample watch)</t>
  </si>
  <si>
    <t>2|7-10|66.9995862670</t>
  </si>
  <si>
    <t>2D 11+ / 12HP: 2X2 | 50% usage vs 44% baseline | lift 1.1x | p=0.861 | SAMPLE WATCH (small expected counts; film/sample watch)</t>
  </si>
  <si>
    <t>2|11+|49.9717169156</t>
  </si>
  <si>
    <t>2D 11+ / 12HP: 4X0 | 50% usage vs 6% baseline | lift 8.2x | p=0.009 | SAMPLE WATCH (small expected counts; film/sample watch)</t>
  </si>
  <si>
    <t>2|11+|61.9548171371</t>
  </si>
  <si>
    <t>2D 4-6 / 11HP: 2X1 | 100% usage vs 5% baseline | lift 18.2x | p=0.000 | SAMPLE WATCH (small expected counts; film/sample watch)</t>
  </si>
  <si>
    <t>2|4-6|66.9998427309</t>
  </si>
  <si>
    <t>2D 7-10 / 15HP: 3X2 | 100% usage vs 4% baseline | lift 23.4x | p=0.000 | SAMPLE WATCH (small expected counts; film/sample watch)</t>
  </si>
  <si>
    <t>2|7-10|66.9999898486</t>
  </si>
  <si>
    <t>2D 11+ / 11P: 2X1 | 17% usage vs 5% baseline | lift 3.0x | p=0.221 | SAMPLE WATCH (small expected counts; film/sample watch)</t>
  </si>
  <si>
    <t>2|11+|53.6377968762</t>
  </si>
  <si>
    <t>3D 7-10 / 11P: 3X1 | 62% usage vs 39% baseline | lift 1.6x | p=0.083 | MODERATE STAT SUPPORT</t>
  </si>
  <si>
    <t>3|7-10|109.8933283128</t>
  </si>
  <si>
    <t>3D 7-10 / 11P: 2X2 | 31% usage vs 44% baseline | lift 0.7x | p=0.320 | BELOW BASELINE</t>
  </si>
  <si>
    <t>3|7-10|20.8784834371</t>
  </si>
  <si>
    <t>3D 1-3 / 21HP: 3X1 | 100% usage vs 39% baseline | lift 2.6x | p=0.210 | SAMPLE WATCH (small expected counts; film/sample watch)</t>
  </si>
  <si>
    <t>3|1-3|61.0754782480</t>
  </si>
  <si>
    <t>3D 11+ / 12P: 3X1 | 100% usage vs 39% baseline | lift 2.6x | p=0.210 | SAMPLE WATCH (small expected counts; film/sample watch)</t>
  </si>
  <si>
    <t>3|11+|61.0754782480</t>
  </si>
  <si>
    <t>3D 4-6 / 14HP: 2X1 | 100% usage vs 5% baseline | lift 18.2x | p=0.000 | SAMPLE WATCH (small expected counts; film/sample watch)</t>
  </si>
  <si>
    <t>3|4-6|66.9998427309</t>
  </si>
  <si>
    <t>3D 1-3 / 11P: 3X1 | 60% usage vs 39% baseline | lift 1.5x | p=0.329 | SAMPLE WATCH (small expected counts; film/sample watch)</t>
  </si>
  <si>
    <t>3|1-3|58.4309417196</t>
  </si>
  <si>
    <t>3D 4-6 / 11P: 3X1 | 82% usage vs 39% baseline | lift 2.1x | p=0.003 | SAMPLE WATCH (small expected counts; film/sample watch)</t>
  </si>
  <si>
    <t>3|4-6|75.3620388422</t>
  </si>
  <si>
    <t>3D 4-6 / 11P: 2X2 | 9% usage vs 44% baseline | lift 0.2x | p=0.016 | SAMPLE WATCH (small expected counts; film/sample watch)</t>
  </si>
  <si>
    <t>3|4-6|48.2431809715</t>
  </si>
  <si>
    <t>3D 4-6 / 11P: 3X2 | 9% usage vs 4% baseline | lift 2.1x | p=0.413 | SAMPLE WATCH (small expected counts; film/sample watch)</t>
  </si>
  <si>
    <t>3|4-6|50.1055251645</t>
  </si>
  <si>
    <t>3D 7-10 / 11P: 2X1 | 8% usage vs 5% baseline | lift 1.4x | p=0.716 | SAMPLE WATCH (small expected counts; film/sample watch)</t>
  </si>
  <si>
    <t>3|7-10|46.9923307560</t>
  </si>
  <si>
    <t>3D 11+ / 11P: 3X1 | 40% usage vs 39% baseline | lift 1.0x | p=0.964 | SAMPLE WATCH (small expected counts; film/sample watch)</t>
  </si>
  <si>
    <t>3|11+|50.2311336459</t>
  </si>
  <si>
    <t>3D 1-3 / 12P: 2X2 | 100% usage vs 44% baseline | lift 2.3x | p=0.257 | SAMPLE WATCH (small expected counts; film/sample watch)</t>
  </si>
  <si>
    <t>3|1-3|60.2712691898</t>
  </si>
  <si>
    <t>3D 1-3 / 11P: 2X2 | 40% usage vs 44% baseline | lift 0.9x | p=0.858 | SAMPLE WATCH (small expected counts; film/sample watch)</t>
  </si>
  <si>
    <t>3|1-3|50.5308772284</t>
  </si>
  <si>
    <t>3D 11+ / 10P: 3X1 | 100% usage vs 39% baseline | lift 2.6x | p=0.075 | SAMPLE WATCH (small expected counts; film/sample watch)</t>
  </si>
  <si>
    <t>3|11+|63.7485106021</t>
  </si>
  <si>
    <t>3D 11+ / 11P: 2X2 | 40% usage vs 44% baseline | lift 0.9x | p=0.858 | SAMPLE WATCH (small expected counts; film/sample watch)</t>
  </si>
  <si>
    <t>3|11+|50.5308772284</t>
  </si>
  <si>
    <t>3D 11+ / 11P: 2X1 | 20% usage vs 5% baseline | lift 3.6x | p=0.148 | SAMPLE WATCH (small expected counts; film/sample watch)</t>
  </si>
  <si>
    <t>3|11+|55.5495427766</t>
  </si>
  <si>
    <t>3D 7-10 / 12P: 3X1 | 100% usage vs 39% baseline | lift 2.6x | p=0.210 | SAMPLE WATCH (small expected counts; film/sample watch)</t>
  </si>
  <si>
    <t>3|7-10|61.0754782480</t>
  </si>
  <si>
    <t>1X1</t>
  </si>
  <si>
    <t>3D 1-3 / 15HP: 1X1 | 100% usage vs 1% baseline | lift 82.0x | p=0.000 | SAMPLE WATCH (small expected counts; film/sample watch)</t>
  </si>
  <si>
    <t>3|1-3|67.0000000000</t>
  </si>
  <si>
    <t>4D 1-3 / 22HP: 1X1 | 100% usage vs 1% baseline | lift 82.0x | p=0.000 | SAMPLE WATCH (small expected counts; film/sample watch)</t>
  </si>
  <si>
    <t>4D 1-3 / 12HP: 4X0 | 100% usage vs 6% baseline | lift 16.4x | p=0.000 | SAMPLE WATCH (small expected counts; film/sample watch)</t>
  </si>
  <si>
    <t>4|1-3|66.9995862670</t>
  </si>
  <si>
    <t>P-VALUE SUPPORT — MASTER_DD_STRUCTURE_CONCEPT</t>
  </si>
  <si>
    <t>P&amp;10 / 2X1: 5 STEP | 50% usage vs 19% baseline | lift 2.7x | p=0.255 | SAMPLE WATCH (small expected counts; film/sample watch)</t>
  </si>
  <si>
    <t>0|P&amp;10|56.0606949288</t>
  </si>
  <si>
    <t>P&amp;10 / 2X2: OUTSIDE ZONE | 21% usage vs 17% baseline | lift 1.2x | p=0.605 | SAMPLE WATCH (small expected counts; film/sample watch)</t>
  </si>
  <si>
    <t>0|P&amp;10|54.5778484297</t>
  </si>
  <si>
    <t>P&amp;10 / 2X2: 5 STEP | 5% usage vs 19% baseline | lift 0.3x | p=0.109 | SAMPLE WATCH (small expected counts; film/sample watch)</t>
  </si>
  <si>
    <t>0|P&amp;10|47.5446407436</t>
  </si>
  <si>
    <t>P&amp;10 / 2X2: RPO | 5% usage vs 1% baseline | lift 4.2x | p=0.093 | SAMPLE WATCH (small expected counts; film/sample watch)</t>
  </si>
  <si>
    <t>0|P&amp;10|55.4798706636</t>
  </si>
  <si>
    <t>P&amp;10 / 2X2: PAP | 5% usage vs 5% baseline | lift 1.1x | p=0.955 | SAMPLE WATCH (small expected counts; film/sample watch)</t>
  </si>
  <si>
    <t>0|P&amp;10|44.8551313922</t>
  </si>
  <si>
    <t>P&amp;10 / 2X2: FLY SWEEP | 5% usage vs 2% baseline | lift 2.8x | p=0.246 | SAMPLE WATCH (small expected counts; film/sample watch)</t>
  </si>
  <si>
    <t>0|P&amp;10|51.9097937353</t>
  </si>
  <si>
    <t>P&amp;10 / 2X2: POWER | 5% usage vs 3% baseline | lift 2.1x | p=0.411 | SAMPLE WATCH (small expected counts; film/sample watch)</t>
  </si>
  <si>
    <t>0|P&amp;10|49.6808587551</t>
  </si>
  <si>
    <t>P&amp;10 / 3X1: 5 STEP | 8% usage vs 19% baseline | lift 0.4x | p=0.336 | SAMPLE WATCH (small expected counts; film/sample watch)</t>
  </si>
  <si>
    <t>0|P&amp;10|47.0400889797</t>
  </si>
  <si>
    <t>P&amp;10 / 3X1: SCREEN | 8% usage vs 6% baseline | lift 1.5x | p=0.672 | SAMPLE WATCH (small expected counts; film/sample watch)</t>
  </si>
  <si>
    <t>0|P&amp;10|47.4362124789</t>
  </si>
  <si>
    <t>P&amp;10 / 3X1: INSIDE ZONE | 25% usage vs 26% baseline | lift 1.0x | p=0.918 | SAMPLE WATCH (small expected counts; film/sample watch)</t>
  </si>
  <si>
    <t>0|P&amp;10|50.8122705407</t>
  </si>
  <si>
    <t>P&amp;10 / 2X2: OPTION | 11% usage vs 3% baseline | lift 3.4x | p=0.048 | SAMPLE WATCH (small expected counts; film/sample watch)</t>
  </si>
  <si>
    <t>0|P&amp;10|56.5482315056</t>
  </si>
  <si>
    <t>P&amp;10 / 3X1: BOOT | 8% usage vs 3% baseline | lift 2.7x | p=0.281 | SAMPLE WATCH (small expected counts; film/sample watch)</t>
  </si>
  <si>
    <t>0|P&amp;10|51.7618794834</t>
  </si>
  <si>
    <t>P&amp;10 / 2X2: INSIDE ZONE | 26% usage vs 26% baseline | lift 1.0x | p=0.994 | SAMPLE WATCH (small expected counts; film/sample watch)</t>
  </si>
  <si>
    <t>0|P&amp;10|54.6642892330</t>
  </si>
  <si>
    <t>P&amp;10 / 3X1: OUTSIDE ZONE | 25% usage vs 17% baseline | lift 1.5x | p=0.435 | SAMPLE WATCH (small expected counts; film/sample watch)</t>
  </si>
  <si>
    <t>0|P&amp;10|54.2900313951</t>
  </si>
  <si>
    <t>P&amp;10 / 3X1: PAP | 8% usage vs 5% baseline | lift 1.7x | p=0.582 | SAMPLE WATCH (small expected counts; film/sample watch)</t>
  </si>
  <si>
    <t>0|P&amp;10|48.2580638942</t>
  </si>
  <si>
    <t>P&amp;10 / 2X2: POWER READ | 5% usage vs 3% baseline | lift 1.7x | p=0.568 | SAMPLE WATCH (small expected counts; film/sample watch)</t>
  </si>
  <si>
    <t>0|P&amp;10|48.0534022254</t>
  </si>
  <si>
    <t>P&amp;10 / 3X1: POWER READ | 17% usage vs 3% baseline | lift 5.3x | p=0.005 | SAMPLE WATCH (small expected counts; film/sample watch)</t>
  </si>
  <si>
    <t>0|P&amp;10|60.6413710312</t>
  </si>
  <si>
    <t>P&amp;10 / 4X0: INSIDE ZONE | 67% usage vs 26% baseline | lift 2.5x | p=0.108 | SAMPLE WATCH (small expected counts; film/sample watch)</t>
  </si>
  <si>
    <t>0|P&amp;10|60.2048250023</t>
  </si>
  <si>
    <t>P&amp;10 / 4X0: OUTSIDE ZONE | 33% usage vs 17% baseline | lift 2.0x | p=0.442 | SAMPLE WATCH (small expected counts; film/sample watch)</t>
  </si>
  <si>
    <t>0|P&amp;10|52.0726058841</t>
  </si>
  <si>
    <t>P&amp;10 / 2X1: G | 50% usage vs 4% baseline | lift 11.4x | p=0.002 | SAMPLE WATCH (small expected counts; film/sample watch)</t>
  </si>
  <si>
    <t>0|P&amp;10|61.9924951116</t>
  </si>
  <si>
    <t>P&amp;10 / 2X2: TOSS PASS | 5% usage vs 1% baseline | lift 8.4x | p=0.006 | SAMPLE WATCH (small expected counts; film/sample watch)</t>
  </si>
  <si>
    <t>0|P&amp;10|57.4949083663</t>
  </si>
  <si>
    <t>P&amp;10 / 2X2: BOOT | 5% usage vs 3% baseline | lift 1.7x | p=0.568 | SAMPLE WATCH (small expected counts; film/sample watch)</t>
  </si>
  <si>
    <t>1D 4-6 / 2X2: OUTSIDE ZONE | 100% usage vs 17% baseline | lift 5.9x | p=0.026 | SAMPLE WATCH (small expected counts; film/sample watch)</t>
  </si>
  <si>
    <t>1|4-6|66.8700667272</t>
  </si>
  <si>
    <t>1D 7-10 / 3X2: SCREEN | 100% usage vs 6% baseline | lift 17.8x | p=0.000 | SAMPLE WATCH (small expected counts; film/sample watch)</t>
  </si>
  <si>
    <t>1|7-10|66.9998012510</t>
  </si>
  <si>
    <t>1D 7-10 / 2X2: INSIDE ZONE | 27% usage vs 26% baseline | lift 1.0x | p=0.969 | SAMPLE WATCH (small expected counts; film/sample watch)</t>
  </si>
  <si>
    <t>1|7-10|52.8520750054</t>
  </si>
  <si>
    <t>1D 7-10 / 3X1: OUTSIDE ZONE | 17% usage vs 17% baseline | lift 1.0x | p=0.989 | SAMPLE WATCH (small expected counts; film/sample watch)</t>
  </si>
  <si>
    <t>1|7-10|45.6973794723</t>
  </si>
  <si>
    <t>1D 7-10 / 2X2: FLY SWEEP | 7% usage vs 2% baseline | lift 3.6x | p=0.151 | SAMPLE WATCH (small expected counts; film/sample watch)</t>
  </si>
  <si>
    <t>1|7-10|54.0244744458</t>
  </si>
  <si>
    <t>1D 7-10 / 3X1: SOP | 17% usage vs 1% baseline | lift 13.3x | p=0.001 | SAMPLE WATCH (small expected counts; film/sample watch)</t>
  </si>
  <si>
    <t>1|7-10|58.6640107031</t>
  </si>
  <si>
    <t>1D 7-10 / 3X1: INSIDE ZONE | 50% usage vs 26% baseline | lift 1.9x | p=0.178 | SAMPLE WATCH (small expected counts; film/sample watch)</t>
  </si>
  <si>
    <t>1|7-10|58.9207492267</t>
  </si>
  <si>
    <t>1D 7-10 / 2X2: FUZZY | 7% usage vs 1% baseline | lift 10.7x | p=0.002 | SAMPLE WATCH (small expected counts; film/sample watch)</t>
  </si>
  <si>
    <t>1|7-10|57.6575899238</t>
  </si>
  <si>
    <t>1D 7-10 / 2X2: PAP | 13% usage vs 5% baseline | lift 2.7x | p=0.120 | SAMPLE WATCH (small expected counts; film/sample watch)</t>
  </si>
  <si>
    <t>1|7-10|55.0676318694</t>
  </si>
  <si>
    <t>1D 7-10 / 3X1: PAP | 17% usage vs 5% baseline | lift 3.3x | p=0.181 | SAMPLE WATCH (small expected counts; film/sample watch)</t>
  </si>
  <si>
    <t>1|7-10|54.4264353828</t>
  </si>
  <si>
    <t>1D 7-10 / 2X2: 5 STEP | 13% usage vs 19% baseline | lift 0.7x | p=0.572 | SAMPLE WATCH (small expected counts; film/sample watch)</t>
  </si>
  <si>
    <t>1|7-10|48.8938285980</t>
  </si>
  <si>
    <t>1D 4-6 / 2X1: G | 100% usage vs 4% baseline | lift 22.9x | p=0.000 | SAMPLE WATCH (small expected counts; film/sample watch)</t>
  </si>
  <si>
    <t>1|4-6|66.9999863291</t>
  </si>
  <si>
    <t>1D 1-3 / 4X0: OUTSIDE ZONE | 100% usage vs 17% baseline | lift 5.9x | p=0.026 | SAMPLE WATCH (small expected counts; film/sample watch)</t>
  </si>
  <si>
    <t>1|1-3|66.8700667272</t>
  </si>
  <si>
    <t>1D 7-10 / 2X2: POWER READ | 7% usage vs 3% baseline | lift 2.1x | p=0.408 | SAMPLE WATCH (small expected counts; film/sample watch)</t>
  </si>
  <si>
    <t>1|7-10|49.8953484806</t>
  </si>
  <si>
    <t>1D 7-10 / 2X2: OUTSIDE ZONE | 7% usage vs 17% baseline | lift 0.4x | p=0.267 | SAMPLE WATCH (small expected counts; film/sample watch)</t>
  </si>
  <si>
    <t>1|7-10|47.1194034493</t>
  </si>
  <si>
    <t>1D 7-10 / 2X1: OPTION | 100% usage vs 3% baseline | lift 32.0x | p=0.000 | SAMPLE WATCH (small expected counts; film/sample watch)</t>
  </si>
  <si>
    <t>1|7-10|66.9999998833</t>
  </si>
  <si>
    <t>1D 7-10 / 2X2: BOOT | 7% usage vs 3% baseline | lift 2.1x | p=0.408 | SAMPLE WATCH (small expected counts; film/sample watch)</t>
  </si>
  <si>
    <t>1D 7-10 / 2X2: SCREEN | 7% usage vs 6% baseline | lift 1.2x | p=0.854 | SAMPLE WATCH (small expected counts; film/sample watch)</t>
  </si>
  <si>
    <t>1|7-10|45.7667085951</t>
  </si>
  <si>
    <t>1D 11+ / 2X2: INSIDE ZONE | 100% usage vs 26% baseline | lift 3.8x | p=0.093 | SAMPLE WATCH (small expected counts; film/sample watch)</t>
  </si>
  <si>
    <t>1|11+|64.1556467336</t>
  </si>
  <si>
    <t>1D 7-10 / 2X2: G | 7% usage vs 4% baseline | lift 1.5x | p=0.649 | SAMPLE WATCH (small expected counts; film/sample watch)</t>
  </si>
  <si>
    <t>1|7-10|47.4717072456</t>
  </si>
  <si>
    <t>1D 7-10 / 4X0: OUTSIDE ZONE | 50% usage vs 17% baseline | lift 3.0x | p=0.208 | SAMPLE WATCH (small expected counts; film/sample watch)</t>
  </si>
  <si>
    <t>1|7-10|56.8851924715</t>
  </si>
  <si>
    <t>1D 4-6 / 4X0: POWER | 100% usage vs 3% baseline | lift 40.0x | p=0.000 | SAMPLE WATCH (small expected counts; film/sample watch)</t>
  </si>
  <si>
    <t>1|4-6|66.9999999981</t>
  </si>
  <si>
    <t>1D 7-10 / 4X0: INSIDE ZONE | 50% usage vs 26% baseline | lift 1.9x | p=0.442 | SAMPLE WATCH (small expected counts; film/sample watch)</t>
  </si>
  <si>
    <t>1|7-10|53.5976298826</t>
  </si>
  <si>
    <t>2D 7-10 / 3X2: 3 STEP | 100% usage vs 3% baseline | lift 32.0x | p=0.000 | SAMPLE WATCH (small expected counts; film/sample watch)</t>
  </si>
  <si>
    <t>2|7-10|66.9999998833</t>
  </si>
  <si>
    <t>2D 4-6 / 2X2: OUTSIDE ZONE | 50% usage vs 17% baseline | lift 3.0x | p=0.073 | SAMPLE WATCH (small expected counts; film/sample watch)</t>
  </si>
  <si>
    <t>2|4-6|59.5597911454</t>
  </si>
  <si>
    <t>2D 7-10 / 2X2: POWER | 8% usage vs 3% baseline | lift 3.1x | p=0.211 | SAMPLE WATCH (small expected counts; film/sample watch)</t>
  </si>
  <si>
    <t>2|7-10|52.8684244971</t>
  </si>
  <si>
    <t>2D 7-10 / 3X1: 5 STEP | 22% usage vs 19% baseline | lift 1.2x | p=0.784 | SAMPLE WATCH (small expected counts; film/sample watch)</t>
  </si>
  <si>
    <t>2|7-10|49.6749301473</t>
  </si>
  <si>
    <t>2D 1-3 / 2X2: PAP | 100% usage vs 5% baseline | lift 20.0x | p=0.000 | SAMPLE WATCH (small expected counts; film/sample watch)</t>
  </si>
  <si>
    <t>2|1-3|66.9999386079</t>
  </si>
  <si>
    <t>2D 7-10 / 2X2: 5 STEP | 23% usage vs 19% baseline | lift 1.2x | p=0.677 | SAMPLE WATCH (small expected counts; film/sample watch)</t>
  </si>
  <si>
    <t>2|7-10|52.3858520703</t>
  </si>
  <si>
    <t>2D 11+ / 2X2: 3 STEP | 17% usage vs 3% baseline | lift 5.3x | p=0.052 | SAMPLE WATCH (small expected counts; film/sample watch)</t>
  </si>
  <si>
    <t>2|11+|58.4067039876</t>
  </si>
  <si>
    <t>2D 1-3 / 3X1: OPTION | 20% usage vs 3% baseline | lift 6.4x | p=0.028 | SAMPLE WATCH (small expected counts; film/sample watch)</t>
  </si>
  <si>
    <t>2|1-3|58.8621648585</t>
  </si>
  <si>
    <t>2D 1-3 / 3X1: 5 STEP | 40% usage vs 19% baseline | lift 2.1x | p=0.216 | SAMPLE WATCH (small expected counts; film/sample watch)</t>
  </si>
  <si>
    <t>2|1-3|56.1859989200</t>
  </si>
  <si>
    <t>2D 4-6 / 2X2: INSIDE ZONE | 25% usage vs 26% baseline | lift 1.0x | p=0.954 | SAMPLE WATCH (small expected counts; film/sample watch)</t>
  </si>
  <si>
    <t>2|4-6|46.6341983902</t>
  </si>
  <si>
    <t>2D 7-10 / 2X2: FLY SWEEP | 8% usage vs 2% baseline | lift 4.1x | p=0.107 | SAMPLE WATCH (small expected counts; film/sample watch)</t>
  </si>
  <si>
    <t>2|7-10|55.4409196115</t>
  </si>
  <si>
    <t>2D 4-6 / 3X2: 5 STEP | 100% usage vs 19% baseline | lift 5.3x | p=0.037 | SAMPLE WATCH (small expected counts; film/sample watch)</t>
  </si>
  <si>
    <t>2|4-6|66.8161018513</t>
  </si>
  <si>
    <t>2D 11+ / 2X2: SOP | 17% usage vs 1% baseline | lift 13.3x | p=0.001 | SAMPLE WATCH (small expected counts; film/sample watch)</t>
  </si>
  <si>
    <t>2|11+|58.6640107031</t>
  </si>
  <si>
    <t>2D 4-6 / 3X1: INSIDE ZONE | 33% usage vs 26% baseline | lift 1.3x | p=0.778 | SAMPLE WATCH (small expected counts; film/sample watch)</t>
  </si>
  <si>
    <t>2|4-6|48.9813424778</t>
  </si>
  <si>
    <t>2D 7-10 / 2X2: INSIDE ZONE | 8% usage vs 26% baseline | lift 0.3x | p=0.113 | SAMPLE WATCH (small expected counts; film/sample watch)</t>
  </si>
  <si>
    <t>2|7-10|47.7922281753</t>
  </si>
  <si>
    <t>2D 1-3 / 3X1: INSIDE ZONE | 40% usage vs 26% baseline | lift 1.5x | p=0.478 | SAMPLE WATCH (small expected counts; film/sample watch)</t>
  </si>
  <si>
    <t>2|1-3|53.6589859771</t>
  </si>
  <si>
    <t>2D 7-10 / 2X2: OUTSIDE ZONE | 23% usage vs 17% baseline | lift 1.4x | p=0.533 | SAMPLE WATCH (small expected counts; film/sample watch)</t>
  </si>
  <si>
    <t>2|7-10|53.3759523924</t>
  </si>
  <si>
    <t>2D 7-10 / 3X1: INSIDE ZONE | 44% usage vs 26% baseline | lift 1.7x | p=0.202 | SAMPLE WATCH (small expected counts; film/sample watch)</t>
  </si>
  <si>
    <t>2|7-10|59.8226506842</t>
  </si>
  <si>
    <t>2D 7-10 / 2X2: BOOT | 8% usage vs 3% baseline | lift 2.5x | p=0.323 | SAMPLE WATCH (small expected counts; film/sample watch)</t>
  </si>
  <si>
    <t>2|7-10|51.0751264607</t>
  </si>
  <si>
    <t>2D 4-6 / 3X1: BOOT | 33% usage vs 3% baseline | lift 10.7x | p=0.002 | SAMPLE WATCH (small expected counts; film/sample watch)</t>
  </si>
  <si>
    <t>2|4-6|60.3213366129</t>
  </si>
  <si>
    <t>2D 7-10 / 3X1: TRAP | 11% usage vs 1% baseline | lift 17.8x | p=0.000 | SAMPLE WATCH (small expected counts; film/sample watch)</t>
  </si>
  <si>
    <t>2|7-10|58.1109123621</t>
  </si>
  <si>
    <t>2D 7-10 / 2X2: OPTION | 8% usage vs 3% baseline | lift 2.5x | p=0.323 | SAMPLE WATCH (small expected counts; film/sample watch)</t>
  </si>
  <si>
    <t>2D 7-10 / 2X2: PAP | 8% usage vs 5% baseline | lift 1.5x | p=0.642 | SAMPLE WATCH (small expected counts; film/sample watch)</t>
  </si>
  <si>
    <t>2|7-10|47.6353388290</t>
  </si>
  <si>
    <t>2D 4-6 / 2X2: POWER READ | 25% usage vs 3% baseline | lift 8.0x | p=0.011 | SAMPLE WATCH (small expected counts; film/sample watch)</t>
  </si>
  <si>
    <t>2|4-6|59.4455964914</t>
  </si>
  <si>
    <t>2D 1-3 / 3X2: 5 STEP | 100% usage vs 19% baseline | lift 5.3x | p=0.037 | SAMPLE WATCH (small expected counts; film/sample watch)</t>
  </si>
  <si>
    <t>2|1-3|66.8161018513</t>
  </si>
  <si>
    <t>2D 4-6 / 3X1: OUTSIDE ZONE | 33% usage vs 17% baseline | lift 2.0x | p=0.442 | SAMPLE WATCH (small expected counts; film/sample watch)</t>
  </si>
  <si>
    <t>2|4-6|52.0726058841</t>
  </si>
  <si>
    <t>2D 7-10 / 3X1: RPO | 11% usage vs 1% baseline | lift 8.9x | p=0.006 | SAMPLE WATCH (small expected counts; film/sample watch)</t>
  </si>
  <si>
    <t>2|7-10|58.0804766384</t>
  </si>
  <si>
    <t>2D 7-10 / 2X2: SCREEN | 8% usage vs 6% baseline | lift 1.4x | p=0.736 | SAMPLE WATCH (small expected counts; film/sample watch)</t>
  </si>
  <si>
    <t>2|7-10|46.8256161959</t>
  </si>
  <si>
    <t>2D 7-10 / 3X1: OUTSIDE ZONE | 11% usage vs 17% baseline | lift 0.7x | p=0.635 | SAMPLE WATCH (small expected counts; film/sample watch)</t>
  </si>
  <si>
    <t>2|7-10|46.2549338328</t>
  </si>
  <si>
    <t>2D 11+ / 3X2: SCREEN | 100% usage vs 6% baseline | lift 17.8x | p=0.000 | SAMPLE WATCH (small expected counts; film/sample watch)</t>
  </si>
  <si>
    <t>2|11+|66.9998012510</t>
  </si>
  <si>
    <t>2D 11+ / 3X1: INSIDE ZONE | 50% usage vs 26% baseline | lift 1.9x | p=0.442 | SAMPLE WATCH (small expected counts; film/sample watch)</t>
  </si>
  <si>
    <t>2|11+|53.5976298826</t>
  </si>
  <si>
    <t>2D 11+ / 2X2: G | 17% usage vs 4% baseline | lift 3.8x | p=0.134 | SAMPLE WATCH (small expected counts; film/sample watch)</t>
  </si>
  <si>
    <t>2|11+|55.6181790688</t>
  </si>
  <si>
    <t>2D 11+ / 3X1: OUTSIDE ZONE | 50% usage vs 17% baseline | lift 3.0x | p=0.208 | SAMPLE WATCH (small expected counts; film/sample watch)</t>
  </si>
  <si>
    <t>2|11+|56.8851924715</t>
  </si>
  <si>
    <t>2D 11+ / 2X2: INSIDE ZONE | 50% usage vs 26% baseline | lift 1.9x | p=0.178 | SAMPLE WATCH (small expected counts; film/sample watch)</t>
  </si>
  <si>
    <t>2|11+|58.9207492267</t>
  </si>
  <si>
    <t>2D 7-10 / 4X0: INSIDE ZONE | 100% usage vs 26% baseline | lift 3.8x | p=0.093 | SAMPLE WATCH (small expected counts; film/sample watch)</t>
  </si>
  <si>
    <t>2|7-10|64.1556467336</t>
  </si>
  <si>
    <t>2D 11+ / 4X0: POWER | 100% usage vs 3% baseline | lift 40.0x | p=0.000 | SAMPLE WATCH (small expected counts; film/sample watch)</t>
  </si>
  <si>
    <t>2|11+|66.9999999981</t>
  </si>
  <si>
    <t>2D 4-6 / 2X1: INSIDE ZONE | 100% usage vs 26% baseline | lift 3.8x | p=0.093 | SAMPLE WATCH (small expected counts; film/sample watch)</t>
  </si>
  <si>
    <t>2|4-6|64.1556467336</t>
  </si>
  <si>
    <t>2D 11+ / 2X1: INSIDE ZONE | 100% usage vs 26% baseline | lift 3.8x | p=0.093 | SAMPLE WATCH (small expected counts; film/sample watch)</t>
  </si>
  <si>
    <t>2|11+|64.1556467336</t>
  </si>
  <si>
    <t>3D 7-10 / 3X1: 3 STEP | 11% usage vs 3% baseline | lift 3.6x | p=0.156 | SAMPLE WATCH (small expected counts; film/sample watch)</t>
  </si>
  <si>
    <t>3|7-10|54.4404151592</t>
  </si>
  <si>
    <t>3D 7-10 / 3X1: SCREEN | 11% usage vs 6% baseline | lift 2.0x | p=0.462 | SAMPLE WATCH (small expected counts; film/sample watch)</t>
  </si>
  <si>
    <t>3|7-10|49.7509601264</t>
  </si>
  <si>
    <t>3D 7-10 / 2X2: 5 STEP | 100% usage vs 19% baseline | lift 5.3x | p=0.000 | SAMPLE WATCH (small expected counts; film/sample watch)</t>
  </si>
  <si>
    <t>3|7-10|72.9998758670</t>
  </si>
  <si>
    <t>3D 1-3 / 3X1: OUTSIDE ZONE | 33% usage vs 17% baseline | lift 2.0x | p=0.442 | SAMPLE WATCH (small expected counts; film/sample watch)</t>
  </si>
  <si>
    <t>3|1-3|52.0726058841</t>
  </si>
  <si>
    <t>3D 11+ / 3X1: SCREEN | 20% usage vs 6% baseline | lift 3.6x | p=0.156 | SAMPLE WATCH (small expected counts; film/sample watch)</t>
  </si>
  <si>
    <t>3|11+|55.3293040481</t>
  </si>
  <si>
    <t>3D 4-6 / 2X1: G | 100% usage vs 4% baseline | lift 22.9x | p=0.000 | SAMPLE WATCH (small expected counts; film/sample watch)</t>
  </si>
  <si>
    <t>3|4-6|66.9999863291</t>
  </si>
  <si>
    <t>3D 1-3 / 3X1: 3 STEP | 67% usage vs 3% baseline | lift 21.3x | p=0.000 | SAMPLE WATCH (small expected counts; film/sample watch)</t>
  </si>
  <si>
    <t>3|1-3|65.6666666658</t>
  </si>
  <si>
    <t>3D 4-6 / 3X1: 5 STEP | 44% usage vs 19% baseline | lift 2.4x | p=0.042 | SAMPLE WATCH (small expected counts; film/sample watch)</t>
  </si>
  <si>
    <t>3|4-6|61.9748807240</t>
  </si>
  <si>
    <t>3D 7-10 / 3X1: 5 STEP | 44% usage vs 19% baseline | lift 2.4x | p=0.042 | SAMPLE WATCH (small expected counts; film/sample watch)</t>
  </si>
  <si>
    <t>3|7-10|61.9748807240</t>
  </si>
  <si>
    <t>3D 4-6 / 2X2: 5 STEP | 100% usage vs 19% baseline | lift 5.3x | p=0.037 | SAMPLE WATCH (small expected counts; film/sample watch)</t>
  </si>
  <si>
    <t>3|4-6|66.8161018513</t>
  </si>
  <si>
    <t>3D 4-6 / 3X1: DASH | 22% usage vs 1% baseline | lift 17.8x | p=0.000 | SAMPLE WATCH (small expected counts; film/sample watch)</t>
  </si>
  <si>
    <t>3|4-6|61.2222221944</t>
  </si>
  <si>
    <t>3D 4-6 / 3X2: 5 STEP | 100% usage vs 19% baseline | lift 5.3x | p=0.037 | SAMPLE WATCH (small expected counts; film/sample watch)</t>
  </si>
  <si>
    <t>3D 4-6 / 3X1: SCREEN | 11% usage vs 6% baseline | lift 2.0x | p=0.462 | SAMPLE WATCH (small expected counts; film/sample watch)</t>
  </si>
  <si>
    <t>3|4-6|49.7509601264</t>
  </si>
  <si>
    <t>3D 7-10 / 3X1: OUTSIDE ZONE | 22% usage vs 17% baseline | lift 1.3x | p=0.659 | SAMPLE WATCH (small expected counts; film/sample watch)</t>
  </si>
  <si>
    <t>3|7-10|50.5595150715</t>
  </si>
  <si>
    <t>3D 7-10 / 2X1: PAP | 100% usage vs 5% baseline | lift 20.0x | p=0.000 | SAMPLE WATCH (small expected counts; film/sample watch)</t>
  </si>
  <si>
    <t>3|7-10|66.9999386079</t>
  </si>
  <si>
    <t>3D 4-6 / 3X1: INSIDE ZONE | 22% usage vs 26% baseline | lift 0.8x | p=0.777 | SAMPLE WATCH (small expected counts; film/sample watch)</t>
  </si>
  <si>
    <t>3|4-6|49.0282768965</t>
  </si>
  <si>
    <t>3D 11+ / 3X1: 5 STEP | 20% usage vs 19% baseline | lift 1.1x | p=0.942 | SAMPLE WATCH (small expected counts; film/sample watch)</t>
  </si>
  <si>
    <t>3|11+|46.4233372556</t>
  </si>
  <si>
    <t>3D 1-3 / 2X2: SCREEN | 33% usage vs 6% baseline | lift 5.9x | p=0.035 | SAMPLE WATCH (small expected counts; film/sample watch)</t>
  </si>
  <si>
    <t>3|1-3|60.1559032533</t>
  </si>
  <si>
    <t>3D 1-3 / 2X2: 5 STEP | 33% usage vs 19% baseline | lift 1.8x | p=0.514 | SAMPLE WATCH (small expected counts; film/sample watch)</t>
  </si>
  <si>
    <t>3|1-3|51.3210871094</t>
  </si>
  <si>
    <t>3D 11+ / 3X1: OUTSIDE ZONE | 20% usage vs 17% baseline | lift 1.2x | p=0.850 | SAMPLE WATCH (small expected counts; film/sample watch)</t>
  </si>
  <si>
    <t>3|11+|47.1220917139</t>
  </si>
  <si>
    <t>3D 11+ / 3X1: INSIDE ZONE | 40% usage vs 26% baseline | lift 1.5x | p=0.478 | SAMPLE WATCH (small expected counts; film/sample watch)</t>
  </si>
  <si>
    <t>3|11+|53.6589859771</t>
  </si>
  <si>
    <t>3D 11+ / 2X2: OUTSIDE ZONE | 100% usage vs 17% baseline | lift 5.9x | p=0.002 | SAMPLE WATCH (small expected counts; film/sample watch)</t>
  </si>
  <si>
    <t>3|11+|68.9920727144</t>
  </si>
  <si>
    <t>3D 11+ / 2X1: INSIDE ZONE | 100% usage vs 26% baseline | lift 3.8x | p=0.093 | SAMPLE WATCH (small expected counts; film/sample watch)</t>
  </si>
  <si>
    <t>3|11+|64.1556467336</t>
  </si>
  <si>
    <t>3D 7-10 / 3X1: INSIDE ZONE | 11% usage vs 26% baseline | lift 0.4x | p=0.288 | SAMPLE WATCH (small expected counts; film/sample watch)</t>
  </si>
  <si>
    <t>3|7-10|47.5176957090</t>
  </si>
  <si>
    <t>3D 1-3 / 2X2: INSIDE ZONE | 33% usage vs 26% baseline | lift 1.3x | p=0.778 | SAMPLE WATCH (small expected counts; film/sample watch)</t>
  </si>
  <si>
    <t>3|1-3|48.9813424778</t>
  </si>
  <si>
    <t>3D 1-3 / 1X1: G | 100% usage vs 4% baseline | lift 22.9x | p=0.000 | SAMPLE WATCH (small expected counts; film/sample watch)</t>
  </si>
  <si>
    <t>3|1-3|66.9999863291</t>
  </si>
  <si>
    <t>4D 1-3 / 1X1: WHAM | 100% usage vs 1% baseline | lift 160.0x | p=0.000 | SAMPLE WATCH (small expected counts; film/sample watch)</t>
  </si>
  <si>
    <t>4D 1-3 / 4X0: G | 100% usage vs 4% baseline | lift 22.9x | p=0.000 | SAMPLE WATCH (small expected counts; film/sample watch)</t>
  </si>
  <si>
    <t>4|1-3|66.9999863291</t>
  </si>
  <si>
    <t>P-VALUE SUPPORT — MASTER_DD_PER_PLAYCALL</t>
  </si>
  <si>
    <t>HITCH OVER</t>
  </si>
  <si>
    <t>P&amp;10 / 21HP: HITCH OVER | 100% usage vs 1% baseline | lift 161.0x | p=0.000 | EXACT PLAY WATCH - LOW REPS (small expected counts; film/sample watch)</t>
  </si>
  <si>
    <t>0|P&amp;10|72.0000000000</t>
  </si>
  <si>
    <t>OZ STG SPLIT READ</t>
  </si>
  <si>
    <t>P&amp;10 / 12P: OZ STG SPLIT READ | 33% usage vs 4% baseline | lift 8.9x | p=0.006 | EXACT PLAY WATCH - LOW REPS (small expected counts; film/sample watch)</t>
  </si>
  <si>
    <t>0|P&amp;10|65.3019403938</t>
  </si>
  <si>
    <t>HITCH POST OVER</t>
  </si>
  <si>
    <t>P&amp;10 / 11P: HITCH POST OVER | 4% usage vs 1% baseline | lift 6.7x | p=0.017 | EXACT PLAY WATCH - LOW REPS (small expected counts; film/sample watch)</t>
  </si>
  <si>
    <t>0|P&amp;10|62.3339417978</t>
  </si>
  <si>
    <t>P&amp;10 / 11P: OZ STG READ | 8% usage vs 5% baseline | lift 1.7x | p=0.411 | EXACT PLAY WATCH - LOW REPS (small expected counts; film/sample watch)</t>
  </si>
  <si>
    <t>0|P&amp;10|56.1328042125</t>
  </si>
  <si>
    <t>2 BUBBLE SCREEN</t>
  </si>
  <si>
    <t>P&amp;10 / 11P: 2 BUBBLE SCREEN | 4% usage vs 1% baseline | lift 6.7x | p=0.017 | EXACT PLAY WATCH - LOW REPS (small expected counts; film/sample watch)</t>
  </si>
  <si>
    <t>P&amp;10 / 11P: FLOOD | 13% usage vs 5% baseline | lift 2.5x | p=0.066 | SAMPLE WATCH (small expected counts; film/sample watch)</t>
  </si>
  <si>
    <t>0|P&amp;10|56.9528176106</t>
  </si>
  <si>
    <t>H FLY SWEEP STG</t>
  </si>
  <si>
    <t>P&amp;10 / 11P: H FLY SWEEP STG | 4% usage vs 2% baseline | lift 2.2x | p=0.366 | EXACT PLAY WATCH - LOW REPS (small expected counts; film/sample watch)</t>
  </si>
  <si>
    <t>0|P&amp;10|55.0604541163</t>
  </si>
  <si>
    <t>DART STG READ</t>
  </si>
  <si>
    <t>P&amp;10 / 11P: DART STG READ | 4% usage vs 1% baseline | lift 3.4x | p=0.161 | EXACT PLAY WATCH - LOW REPS (small expected counts; film/sample watch)</t>
  </si>
  <si>
    <t>0|P&amp;10|58.3207317601</t>
  </si>
  <si>
    <t>OPTION ROUTES</t>
  </si>
  <si>
    <t>P&amp;10 / 11P: OPTION ROUTES | 4% usage vs 2% baseline | lift 2.2x | p=0.366 | EXACT PLAY WATCH - LOW REPS (small expected counts; film/sample watch)</t>
  </si>
  <si>
    <t>P&amp;10 / 11P: TB SWING SCREEN | 4% usage vs 4% baseline | lift 1.0x | p=0.962 | EXACT PLAY WATCH - LOW REPS (small expected counts; film/sample watch)</t>
  </si>
  <si>
    <t>0|P&amp;10|49.5214748669</t>
  </si>
  <si>
    <t>ZONE STG INSERT READ</t>
  </si>
  <si>
    <t>P&amp;10 / 11P: ZONE STG INSERT READ | 4% usage vs 1% baseline | lift 3.4x | p=0.161 | EXACT PLAY WATCH - LOW REPS (small expected counts; film/sample watch)</t>
  </si>
  <si>
    <t>ZONE WK READ OPTION</t>
  </si>
  <si>
    <t>P&amp;10 / 11P: ZONE WK READ OPTION | 4% usage vs 2% baseline | lift 2.2x | p=0.366 | EXACT PLAY WATCH - LOW REPS (small expected counts; film/sample watch)</t>
  </si>
  <si>
    <t>ZONE WK SPLIT ARC READ</t>
  </si>
  <si>
    <t>P&amp;10 / 12P: ZONE WK SPLIT ARC READ | 33% usage vs 1% baseline | lift 53.7x | p=0.000 | EXACT PLAY WATCH - LOW REPS (small expected counts; film/sample watch)</t>
  </si>
  <si>
    <t>0|P&amp;10|65.3333333333</t>
  </si>
  <si>
    <t>P&amp;10 / 11P: OZ STG SPLIT READ | 4% usage vs 4% baseline | lift 1.1x | p=0.902 | EXACT PLAY WATCH - LOW REPS (small expected counts; film/sample watch)</t>
  </si>
  <si>
    <t>0|P&amp;10|50.1436452690</t>
  </si>
  <si>
    <t>H FLY SWEEP STG OPTION</t>
  </si>
  <si>
    <t>P&amp;10 / 11P: H FLY SWEEP STG OPTION | 4% usage vs 1% baseline | lift 6.7x | p=0.017 | EXACT PLAY WATCH - LOW REPS (small expected counts; film/sample watch)</t>
  </si>
  <si>
    <t>DIG SEAM UNDER</t>
  </si>
  <si>
    <t>P&amp;10 / 11P: DIG SEAM UNDER | 4% usage vs 1% baseline | lift 3.4x | p=0.161 | EXACT PLAY WATCH - LOW REPS (small expected counts; film/sample watch)</t>
  </si>
  <si>
    <t>ZONE WK INSERT READ</t>
  </si>
  <si>
    <t>P&amp;10 / 11P: ZONE WK INSERT READ | 4% usage vs 1% baseline | lift 6.7x | p=0.017 | EXACT PLAY WATCH - LOW REPS (small expected counts; film/sample watch)</t>
  </si>
  <si>
    <t>FLY POWE READ STG</t>
  </si>
  <si>
    <t>P&amp;10 / 11P: FLY POWE READ STG | 4% usage vs 1% baseline | lift 6.7x | p=0.017 | EXACT PLAY WATCH - LOW REPS (small expected counts; film/sample watch)</t>
  </si>
  <si>
    <t>P&amp;10 / 11HP: ZONE WK READ | 60% usage vs 15% baseline | lift 4.0x | p=0.004 | SAMPLE WATCH (small expected counts; film/sample watch)</t>
  </si>
  <si>
    <t>0|P&amp;10|65.0298698964</t>
  </si>
  <si>
    <t>OZ STG LEAD</t>
  </si>
  <si>
    <t>P&amp;10 / 11P: OZ STG LEAD | 4% usage vs 2% baseline | lift 2.2x | p=0.366 | EXACT PLAY WATCH - LOW REPS (small expected counts; film/sample watch)</t>
  </si>
  <si>
    <t>P&amp;10 / 12HP: OZ STG READ | 50% usage vs 5% baseline | lift 10.1x | p=0.003 | EXACT PLAY WATCH - LOW REPS (small expected counts; film/sample watch)</t>
  </si>
  <si>
    <t>0|P&amp;10|66.9840604662</t>
  </si>
  <si>
    <t>P&amp;10 / 11P: POWER READ STG | 8% usage vs 1% baseline | lift 6.7x | p=0.001 | EXACT PLAY WATCH - LOW REPS (small expected counts; film/sample watch)</t>
  </si>
  <si>
    <t>0|P&amp;10|64.8299645345</t>
  </si>
  <si>
    <t>P&amp;10 / 11HP: ZONE STG READ | 40% usage vs 2% baseline | lift 16.1x | p=0.000 | EXACT PLAY WATCH - LOW REPS (small expected counts; film/sample watch)</t>
  </si>
  <si>
    <t>0|P&amp;10|67.9999997814</t>
  </si>
  <si>
    <t>OZ TOSS STG</t>
  </si>
  <si>
    <t>P&amp;10 / 12HP: OZ TOSS STG | 50% usage vs 1% baseline | lift 40.3x | p=0.000 | EXACT PLAY WATCH - LOW REPS (small expected counts; film/sample watch)</t>
  </si>
  <si>
    <t>0|P&amp;10|66.9999999981</t>
  </si>
  <si>
    <t>P&amp;10 / 11P: ZONE STG SPLIT READ | 4% usage vs 4% baseline | lift 1.0x | p=0.962 | EXACT PLAY WATCH - LOW REPS (small expected counts; film/sample watch)</t>
  </si>
  <si>
    <t>QB G WK LEAD</t>
  </si>
  <si>
    <t>P&amp;10 / 14HP: QB G WK LEAD | 100% usage vs 1% baseline | lift 80.5x | p=0.000 | EXACT PLAY WATCH - LOW REPS (small expected counts; film/sample watch)</t>
  </si>
  <si>
    <t>P&amp;10 / 11P: ZONE WK READ | 4% usage vs 15% baseline | lift 0.3x | p=0.109 | EXACT PLAY WATCH - LOW REPS (small expected counts; film/sample watch)</t>
  </si>
  <si>
    <t>0|P&amp;10|52.4293726595</t>
  </si>
  <si>
    <t>H FLY TOSS</t>
  </si>
  <si>
    <t>P&amp;10 / 11P: H FLY TOSS | 4% usage vs 1% baseline | lift 6.7x | p=0.017 | EXACT PLAY WATCH - LOW REPS (small expected counts; film/sample watch)</t>
  </si>
  <si>
    <t>P&amp;10 / 12P: ZONE STG SPLIT READ | 33% usage vs 4% baseline | lift 7.7x | p=0.013 | EXACT PLAY WATCH - LOW REPS (small expected counts; film/sample watch)</t>
  </si>
  <si>
    <t>0|P&amp;10|65.2685743036</t>
  </si>
  <si>
    <t>1D 4-6 / 11P: OZ STG READ | 50% usage vs 5% baseline | lift 10.1x | p=0.003 | EXACT PLAY WATCH - LOW REPS (small expected counts; film/sample watch)</t>
  </si>
  <si>
    <t>1|4-6|66.9840604662</t>
  </si>
  <si>
    <t>1D 7-10 / 11P: TB SWING SCREEN | 10% usage vs 4% baseline | lift 2.2x | p=0.212 | EXACT PLAY WATCH - LOW REPS (small expected counts; film/sample watch)</t>
  </si>
  <si>
    <t>1|7-10|58.2718800543</t>
  </si>
  <si>
    <t>1D 7-10 / 12P: ZONE WK READ | 100% usage vs 15% baseline | lift 6.7x | p=0.017 | EXACT PLAY WATCH - LOW REPS (small expected counts; film/sample watch)</t>
  </si>
  <si>
    <t>1|7-10|71.9172751312</t>
  </si>
  <si>
    <t>1D 7-10 / 11P: OZ STG READ | 5% usage vs 5% baseline | lift 1.0x | p=0.963 | EXACT PLAY WATCH - LOW REPS (small expected counts; film/sample watch)</t>
  </si>
  <si>
    <t>1|7-10|49.5795802267</t>
  </si>
  <si>
    <t>1D 7-10 / 11P: H FLY SWEEP STG | 5% usage vs 2% baseline | lift 2.6x | p=0.292 | EXACT PLAY WATCH - LOW REPS (small expected counts; film/sample watch)</t>
  </si>
  <si>
    <t>1|7-10|56.1264178568</t>
  </si>
  <si>
    <t>SPOT SMASH ARROW</t>
  </si>
  <si>
    <t>1D 7-10 / 11P: SPOT SMASH ARROW | 5% usage vs 1% baseline | lift 7.7x | p=0.010 | EXACT PLAY WATCH - LOW REPS (small expected counts; film/sample watch)</t>
  </si>
  <si>
    <t>1|7-10|62.4282087891</t>
  </si>
  <si>
    <t>1D 7-10 / 11P: ZONE WK READ | 19% usage vs 15% baseline | lift 1.3x | p=0.568 | SAMPLE WATCH (small expected counts; film/sample watch)</t>
  </si>
  <si>
    <t>1|7-10|54.6215016960</t>
  </si>
  <si>
    <t>QB ZONE WK</t>
  </si>
  <si>
    <t>1D 7-10 / 11P: QB ZONE WK | 5% usage vs 1% baseline | lift 7.7x | p=0.010 | EXACT PLAY WATCH - LOW REPS (small expected counts; film/sample watch)</t>
  </si>
  <si>
    <t>FLY MOTION PASS</t>
  </si>
  <si>
    <t>1D 7-10 / 11P: FLY MOTION PASS | 5% usage vs 1% baseline | lift 7.7x | p=0.010 | EXACT PLAY WATCH - LOW REPS (small expected counts; film/sample watch)</t>
  </si>
  <si>
    <t>POST OVER WHEEL</t>
  </si>
  <si>
    <t>1D 7-10 / 11P: POST OVER WHEEL | 5% usage vs 1% baseline | lift 7.7x | p=0.010 | EXACT PLAY WATCH - LOW REPS (small expected counts; film/sample watch)</t>
  </si>
  <si>
    <t>1D 7-10 / 11P: FLOOD | 5% usage vs 5% baseline | lift 1.0x | p=0.963 | EXACT PLAY WATCH - LOW REPS (small expected counts; film/sample watch)</t>
  </si>
  <si>
    <t>SMASH TB SEAM</t>
  </si>
  <si>
    <t>1D 7-10 / 11P: SMASH TB SEAM | 5% usage vs 1% baseline | lift 7.7x | p=0.010 | EXACT PLAY WATCH - LOW REPS (small expected counts; film/sample watch)</t>
  </si>
  <si>
    <t>G STG LEAD</t>
  </si>
  <si>
    <t>1D 4-6 / 11P: G STG LEAD | 50% usage vs 1% baseline | lift 80.5x | p=0.000 | EXACT PLAY WATCH - LOW REPS (small expected counts; film/sample watch)</t>
  </si>
  <si>
    <t>1|4-6|67.0000000000</t>
  </si>
  <si>
    <t>1D 1-3 / 14HP: OZ TOSS STG | 100% usage vs 1% baseline | lift 80.5x | p=0.000 | EXACT PLAY WATCH - LOW REPS (small expected counts; film/sample watch)</t>
  </si>
  <si>
    <t>1|1-3|72.0000000000</t>
  </si>
  <si>
    <t>FLY POWER READ STG</t>
  </si>
  <si>
    <t>1D 7-10 / 11P: FLY POWER READ STG | 5% usage vs 1% baseline | lift 3.8x | p=0.118 | EXACT PLAY WATCH - LOW REPS (small expected counts; film/sample watch)</t>
  </si>
  <si>
    <t>1|7-10|59.5509580749</t>
  </si>
  <si>
    <t>OZ WK READ</t>
  </si>
  <si>
    <t>1D 7-10 / 11P: OZ WK READ | 5% usage vs 1% baseline | lift 3.8x | p=0.118 | EXACT PLAY WATCH - LOW REPS (small expected counts; film/sample watch)</t>
  </si>
  <si>
    <t>1D 7-10 / 11P: ZONE WK READ OPTION | 5% usage vs 2% baseline | lift 2.6x | p=0.292 | EXACT PLAY WATCH - LOW REPS (small expected counts; film/sample watch)</t>
  </si>
  <si>
    <t>VERTS TB SEAM</t>
  </si>
  <si>
    <t>1D 7-10 / 11P: VERTS TB SEAM | 5% usage vs 1% baseline | lift 3.8x | p=0.118 | EXACT PLAY WATCH - LOW REPS (small expected counts; film/sample watch)</t>
  </si>
  <si>
    <t>CLIMB POST WHEEL</t>
  </si>
  <si>
    <t>1D 7-10 / 11P: CLIMB POST WHEEL | 5% usage vs 1% baseline | lift 7.7x | p=0.010 | EXACT PLAY WATCH - LOW REPS (small expected counts; film/sample watch)</t>
  </si>
  <si>
    <t>1D 7-10 / 11P: ZONE STG INSERT READ | 5% usage vs 1% baseline | lift 3.8x | p=0.118 | EXACT PLAY WATCH - LOW REPS (small expected counts; film/sample watch)</t>
  </si>
  <si>
    <t>SMASH POST</t>
  </si>
  <si>
    <t>1D 7-10 / 11P: SMASH POST | 5% usage vs 1% baseline | lift 7.7x | p=0.010 | EXACT PLAY WATCH - LOW REPS (small expected counts; film/sample watch)</t>
  </si>
  <si>
    <t>1D 11+ / 11HP: ZONE WK READ | 100% usage vs 15% baseline | lift 6.7x | p=0.017 | EXACT PLAY WATCH - LOW REPS (small expected counts; film/sample watch)</t>
  </si>
  <si>
    <t>1|11+|71.9172751312</t>
  </si>
  <si>
    <t>G STG READ</t>
  </si>
  <si>
    <t>1D 7-10 / 11HP: G STG READ | 100% usage vs 1% baseline | lift 80.5x | p=0.000 | EXACT PLAY WATCH - LOW REPS (small expected counts; film/sample watch)</t>
  </si>
  <si>
    <t>1|7-10|72.0000000000</t>
  </si>
  <si>
    <t>OZ WK LEAD READ</t>
  </si>
  <si>
    <t>1D 7-10 / 12HP: OZ WK LEAD READ | 33% usage vs 1% baseline | lift 53.7x | p=0.000 | EXACT PLAY WATCH - LOW REPS (small expected counts; film/sample watch)</t>
  </si>
  <si>
    <t>1|7-10|65.3333333333</t>
  </si>
  <si>
    <t>QB POWER STG</t>
  </si>
  <si>
    <t>1D 4-6 / 12HP: QB POWER STG | 100% usage vs 1% baseline | lift 80.5x | p=0.000 | EXACT PLAY WATCH - LOW REPS (small expected counts; film/sample watch)</t>
  </si>
  <si>
    <t>1|4-6|72.0000000000</t>
  </si>
  <si>
    <t>1D 7-10 / 12HP: ZONE WK READ | 33% usage vs 15% baseline | lift 2.2x | p=0.366 | EXACT PLAY WATCH - LOW REPS (small expected counts; film/sample watch)</t>
  </si>
  <si>
    <t>1|7-10|57.9771207829</t>
  </si>
  <si>
    <t>1D 7-10 / 12HP: ZONE STG SPLIT READ | 33% usage vs 4% baseline | lift 7.7x | p=0.013 | EXACT PLAY WATCH - LOW REPS (small expected counts; film/sample watch)</t>
  </si>
  <si>
    <t>1|7-10|65.2685743036</t>
  </si>
  <si>
    <t>VERT OUT SEAM</t>
  </si>
  <si>
    <t>2D 7-10 / 11P: VERT OUT SEAM | 4% usage vs 1% baseline | lift 7.0x | p=0.014 | EXACT PLAY WATCH - LOW REPS (small expected counts; film/sample watch)</t>
  </si>
  <si>
    <t>2|7-10|62.3647570932</t>
  </si>
  <si>
    <t>2D 4-6 / 11P: OZ WK READ | 14% usage vs 1% baseline | lift 11.5x | p=0.001 | EXACT PLAY WATCH - LOW REPS (small expected counts; film/sample watch)</t>
  </si>
  <si>
    <t>2|4-6|63.4213516656</t>
  </si>
  <si>
    <t>2D 7-10 / 11P: DART STG READ | 4% usage vs 1% baseline | lift 3.5x | p=0.146 | EXACT PLAY WATCH - LOW REPS (small expected counts; film/sample watch)</t>
  </si>
  <si>
    <t>2|7-10|58.7028654559</t>
  </si>
  <si>
    <t>MESH TB WHEEL</t>
  </si>
  <si>
    <t>2D 7-10 / 11P: MESH TB WHEEL | 4% usage vs 2% baseline | lift 2.3x | p=0.341 | EXACT PLAY WATCH - LOW REPS (small expected counts; film/sample watch)</t>
  </si>
  <si>
    <t>2|7-10|55.3952483513</t>
  </si>
  <si>
    <t>2D 1-3 / 11P: DIG SEAM UNDER | 17% usage vs 1% baseline | lift 13.4x | p=0.001 | EXACT PLAY WATCH - LOW REPS (small expected counts; film/sample watch)</t>
  </si>
  <si>
    <t>2|1-3|63.6641267925</t>
  </si>
  <si>
    <t>SMASH LEVELS</t>
  </si>
  <si>
    <t>2D 7-10 / 11P: SMASH LEVELS | 4% usage vs 1% baseline | lift 7.0x | p=0.014 | EXACT PLAY WATCH - LOW REPS (small expected counts; film/sample watch)</t>
  </si>
  <si>
    <t>VERT OUT OPTION</t>
  </si>
  <si>
    <t>2D 11+ / 11P: VERT OUT OPTION | 20% usage vs 1% baseline | lift 32.2x | p=0.000 | EXACT PLAY WATCH - LOW REPS (small expected counts; film/sample watch)</t>
  </si>
  <si>
    <t>2|11+|63.9999998947</t>
  </si>
  <si>
    <t>LOAD OPTION STG</t>
  </si>
  <si>
    <t>2D 1-3 / 11P: LOAD OPTION STG | 17% usage vs 1% baseline | lift 26.8x | p=0.000 | EXACT PLAY WATCH - LOW REPS (small expected counts; film/sample watch)</t>
  </si>
  <si>
    <t>2|1-3|63.6666649550</t>
  </si>
  <si>
    <t>POST WHEEL SWING</t>
  </si>
  <si>
    <t>2D 1-3 / 11P: POST WHEEL SWING | 17% usage vs 1% baseline | lift 26.8x | p=0.000 | EXACT PLAY WATCH - LOW REPS (small expected counts; film/sample watch)</t>
  </si>
  <si>
    <t>2D 4-6 / 11P: ZONE WK READ | 29% usage vs 15% baseline | lift 1.9x | p=0.299 | EXACT PLAY WATCH - LOW REPS (small expected counts; film/sample watch)</t>
  </si>
  <si>
    <t>2|4-6|59.1939090462</t>
  </si>
  <si>
    <t>2D 7-10 / 11P: H FLY SWEEP STG | 4% usage vs 2% baseline | lift 2.3x | p=0.341 | EXACT PLAY WATCH - LOW REPS (small expected counts; film/sample watch)</t>
  </si>
  <si>
    <t>DIG HITCH TB SWING</t>
  </si>
  <si>
    <t>2D 4-6 / 11P: DIG HITCH TB SWING | 14% usage vs 1% baseline | lift 23.0x | p=0.000 | EXACT PLAY WATCH - LOW REPS (small expected counts; film/sample watch)</t>
  </si>
  <si>
    <t>2|4-6|63.4285587384</t>
  </si>
  <si>
    <t>DIG SEAM OVER</t>
  </si>
  <si>
    <t>2D 7-10 / 11P: DIG SEAM OVER | 4% usage vs 1% baseline | lift 7.0x | p=0.014 | EXACT PLAY WATCH - LOW REPS (small expected counts; film/sample watch)</t>
  </si>
  <si>
    <t>CURL OVER VERT</t>
  </si>
  <si>
    <t>2D 7-10 / 11P: CURL OVER VERT | 4% usage vs 1% baseline | lift 7.0x | p=0.014 | EXACT PLAY WATCH - LOW REPS (small expected counts; film/sample watch)</t>
  </si>
  <si>
    <t>2D 11+ / 11P: VERTS | 20% usage vs 2% baseline | lift 8.1x | p=0.011 | EXACT PLAY WATCH - LOW REPS (small expected counts; film/sample watch)</t>
  </si>
  <si>
    <t>2|11+|63.9470978985</t>
  </si>
  <si>
    <t>VERT SPOT SMASH</t>
  </si>
  <si>
    <t>2D 7-10 / 11P: VERT SPOT SMASH | 4% usage vs 1% baseline | lift 7.0x | p=0.014 | EXACT PLAY WATCH - LOW REPS (small expected counts; film/sample watch)</t>
  </si>
  <si>
    <t>2D 4-6 / 12P: OZ STG SPLIT READ | 100% usage vs 4% baseline | lift 26.8x | p=0.000 | EXACT PLAY WATCH - LOW REPS (small expected counts; film/sample watch)</t>
  </si>
  <si>
    <t>2|4-6|71.9999982883</t>
  </si>
  <si>
    <t>2D 7-10 / 11P: ZONE WK READ | 17% usage vs 15% baseline | lift 1.2x | p=0.718 | SAMPLE WATCH (small expected counts; film/sample watch)</t>
  </si>
  <si>
    <t>2|7-10|53.4832850536</t>
  </si>
  <si>
    <t>2D 1-3 / 11P: STICKS | 17% usage vs 3% baseline | lift 5.4x | p=0.051 | EXACT PLAY WATCH - LOW REPS (small expected counts; film/sample watch)</t>
  </si>
  <si>
    <t>2|1-3|63.4117505105</t>
  </si>
  <si>
    <t>QB ZONE STG</t>
  </si>
  <si>
    <t>2D 1-3 / 11P: QB ZONE STG | 17% usage vs 1% baseline | lift 26.8x | p=0.000 | EXACT PLAY WATCH - LOW REPS (small expected counts; film/sample watch)</t>
  </si>
  <si>
    <t>2D 7-10 / 11P: OZ STG SPLIT READ | 4% usage vs 4% baseline | lift 1.2x | p=0.865 | EXACT PLAY WATCH - LOW REPS (small expected counts; film/sample watch)</t>
  </si>
  <si>
    <t>2|7-10|50.4425220031</t>
  </si>
  <si>
    <t>2D 7-10 / 11P: FLOOD | 4% usage vs 5% baseline | lift 0.9x | p=0.882 | EXACT PLAY WATCH - LOW REPS (small expected counts; film/sample watch)</t>
  </si>
  <si>
    <t>2|7-10|49.7733174421</t>
  </si>
  <si>
    <t>2D 4-6 / 11P: FLOOD | 14% usage vs 5% baseline | lift 2.9x | p=0.246 | EXACT PLAY WATCH - LOW REPS (small expected counts; film/sample watch)</t>
  </si>
  <si>
    <t>2|4-6|57.9480237595</t>
  </si>
  <si>
    <t>TRAP STG</t>
  </si>
  <si>
    <t>2D 7-10 / 11P: TRAP STG | 4% usage vs 1% baseline | lift 7.0x | p=0.014 | EXACT PLAY WATCH - LOW REPS (small expected counts; film/sample watch)</t>
  </si>
  <si>
    <t>2D 7-10 / 11P: OZ STG READ | 4% usage vs 5% baseline | lift 0.9x | p=0.882 | EXACT PLAY WATCH - LOW REPS (small expected counts; film/sample watch)</t>
  </si>
  <si>
    <t>2D 7-10 / 11P: ZONE WK READ OPTION | 4% usage vs 2% baseline | lift 2.3x | p=0.341 | EXACT PLAY WATCH - LOW REPS (small expected counts; film/sample watch)</t>
  </si>
  <si>
    <t>2D 1-3 / 12P: ZONE STG SPLIT READ | 100% usage vs 4% baseline | lift 23.0x | p=0.000 | EXACT PLAY WATCH - LOW REPS (small expected counts; film/sample watch)</t>
  </si>
  <si>
    <t>2|1-3|71.9999873098</t>
  </si>
  <si>
    <t>DIG SEAM SMASH</t>
  </si>
  <si>
    <t>2D 7-10 / 11P: DIG SEAM SMASH | 4% usage vs 1% baseline | lift 7.0x | p=0.014 | EXACT PLAY WATCH - LOW REPS (small expected counts; film/sample watch)</t>
  </si>
  <si>
    <t>2D 4-6 / 11P: FLY POWER READ STG | 14% usage vs 1% baseline | lift 11.5x | p=0.001 | EXACT PLAY WATCH - LOW REPS (small expected counts; film/sample watch)</t>
  </si>
  <si>
    <t>2D 1-3 / 11P: OPTION ROUTES | 17% usage vs 2% baseline | lift 8.9x | p=0.006 | EXACT PLAY WATCH - LOW REPS (small expected counts; film/sample watch)</t>
  </si>
  <si>
    <t>2|1-3|63.6352737271</t>
  </si>
  <si>
    <t>2D 4-6 / 11P: OZ STG SPLIT READ | 14% usage vs 4% baseline | lift 3.8x | p=0.132 | EXACT PLAY WATCH - LOW REPS (small expected counts; film/sample watch)</t>
  </si>
  <si>
    <t>2|4-6|60.4374996884</t>
  </si>
  <si>
    <t>3 ARROW SCREEN</t>
  </si>
  <si>
    <t>2D 7-10 / 11P: 3 ARROW SCREEN | 4% usage vs 1% baseline | lift 7.0x | p=0.014 | EXACT PLAY WATCH - LOW REPS (small expected counts; film/sample watch)</t>
  </si>
  <si>
    <t>2D 7-10 / 11P: TB SWING SCREEN | 4% usage vs 4% baseline | lift 1.0x | p=1.000 | EXACT PLAY WATCH - LOW REPS (small expected counts; film/sample watch)</t>
  </si>
  <si>
    <t>2|7-10|49.4347826087</t>
  </si>
  <si>
    <t>ZONE WK ARC READ</t>
  </si>
  <si>
    <t>2D 7-10 / 11P: ZONE WK ARC READ | 4% usage vs 1% baseline | lift 7.0x | p=0.014 | EXACT PLAY WATCH - LOW REPS (small expected counts; film/sample watch)</t>
  </si>
  <si>
    <t>2D 11+ / 11P: TB SWING SCREEN | 20% usage vs 4% baseline | lift 4.6x | p=0.081 | EXACT PLAY WATCH - LOW REPS (small expected counts; film/sample watch)</t>
  </si>
  <si>
    <t>2|11+|62.7937854177</t>
  </si>
  <si>
    <t>2D 11+ / 11P: ZONE STG SPLIT READ | 20% usage vs 4% baseline | lift 4.6x | p=0.081 | EXACT PLAY WATCH - LOW REPS (small expected counts; film/sample watch)</t>
  </si>
  <si>
    <t>2D 11+ / 11HP: G STG READ | 33% usage vs 1% baseline | lift 26.8x | p=0.000 | EXACT PLAY WATCH - LOW REPS (small expected counts; film/sample watch)</t>
  </si>
  <si>
    <t>2|11+|65.3333312991</t>
  </si>
  <si>
    <t>2D 11+ / 11HP: ZONE WK READ | 33% usage vs 15% baseline | lift 2.2x | p=0.366 | EXACT PLAY WATCH - LOW REPS (small expected counts; film/sample watch)</t>
  </si>
  <si>
    <t>2|11+|57.9771207829</t>
  </si>
  <si>
    <t>2D 7-10 / 11P: ZONE STG READ | 4% usage vs 2% baseline | lift 1.8x | p=0.535 | EXACT PLAY WATCH - LOW REPS (small expected counts; film/sample watch)</t>
  </si>
  <si>
    <t>2|7-10|53.2589028145</t>
  </si>
  <si>
    <t>2D 11+ / 11HP: ZONE STG READ | 33% usage vs 2% baseline | lift 13.4x | p=0.001 | EXACT PLAY WATCH - LOW REPS (small expected counts; film/sample watch)</t>
  </si>
  <si>
    <t>2|11+|65.3306842968</t>
  </si>
  <si>
    <t>2D 11+ / 12P: ZONE WK SPLIT READ | 100% usage vs 3% baseline | lift 32.2x | p=0.000 | EXACT PLAY WATCH - LOW REPS (small expected counts; film/sample watch)</t>
  </si>
  <si>
    <t>2|11+|71.9999998947</t>
  </si>
  <si>
    <t>2D 7-10 / 12HP: ZONE WK READ | 100% usage vs 15% baseline | lift 6.7x | p=0.017 | EXACT PLAY WATCH - LOW REPS (small expected counts; film/sample watch)</t>
  </si>
  <si>
    <t>2|7-10|71.9172751312</t>
  </si>
  <si>
    <t>OZ STG LEAD READ</t>
  </si>
  <si>
    <t>2D 7-10 / 11P: OZ STG LEAD READ | 4% usage vs 1% baseline | lift 7.0x | p=0.014 | EXACT PLAY WATCH - LOW REPS (small expected counts; film/sample watch)</t>
  </si>
  <si>
    <t>2D 11+ / 12HP: ZONE WK SPLIT READ | 50% usage vs 3% baseline | lift 16.1x | p=0.000 | EXACT PLAY WATCH - LOW REPS (small expected counts; film/sample watch)</t>
  </si>
  <si>
    <t>2|11+|66.9994022829</t>
  </si>
  <si>
    <t>2D 11+ / 12HP: QB POWER STG | 50% usage vs 1% baseline | lift 40.3x | p=0.000 | EXACT PLAY WATCH - LOW REPS (small expected counts; film/sample watch)</t>
  </si>
  <si>
    <t>2D 4-6 / 11HP: ZONE WK READ | 100% usage vs 15% baseline | lift 6.7x | p=0.017 | EXACT PLAY WATCH - LOW REPS (small expected counts; film/sample watch)</t>
  </si>
  <si>
    <t>2|4-6|71.9172751312</t>
  </si>
  <si>
    <t>2D 11+ / 11P: ZONE WK SPLIT READ | 20% usage vs 3% baseline | lift 6.4x | p=0.027 | EXACT PLAY WATCH - LOW REPS (small expected counts; film/sample watch)</t>
  </si>
  <si>
    <t>2|11+|63.8652935408</t>
  </si>
  <si>
    <t>3D 7-10 / 11P: VERTS TB SEAM | 8% usage vs 1% baseline | lift 6.2x | p=0.029 | EXACT PLAY WATCH - LOW REPS (small expected counts; film/sample watch)</t>
  </si>
  <si>
    <t>3|7-10|62.6265848941</t>
  </si>
  <si>
    <t>3D 7-10 / 11P: TB SWING SCREEN | 8% usage vs 4% baseline | lift 1.8x | p=0.537 | EXACT PLAY WATCH - LOW REPS (small expected counts; film/sample watch)</t>
  </si>
  <si>
    <t>3|7-10|53.6206468432</t>
  </si>
  <si>
    <t>3D 7-10 / 11P: STICKS | 15% usage vs 3% baseline | lift 5.0x | p=0.008 | EXACT PLAY WATCH - LOW REPS (small expected counts; film/sample watch)</t>
  </si>
  <si>
    <t>3|7-10|65.4073065430</t>
  </si>
  <si>
    <t>3D 1-3 / 21HP: OZ STG READ | 100% usage vs 5% baseline | lift 20.1x | p=0.000 | EXACT PLAY WATCH - LOW REPS (small expected counts; film/sample watch)</t>
  </si>
  <si>
    <t>3|1-3|71.9999425003</t>
  </si>
  <si>
    <t>3D 11+ / 12P: TB SWING SCREEN | 100% usage vs 4% baseline | lift 23.0x | p=0.000 | EXACT PLAY WATCH - LOW REPS (small expected counts; film/sample watch)</t>
  </si>
  <si>
    <t>3|11+|71.9999873098</t>
  </si>
  <si>
    <t>G WK LEAD</t>
  </si>
  <si>
    <t>3D 4-6 / 14HP: G WK LEAD | 100% usage vs 1% baseline | lift 161.0x | p=0.000 | EXACT PLAY WATCH - LOW REPS (small expected counts; film/sample watch)</t>
  </si>
  <si>
    <t>3|4-6|72.0000000000</t>
  </si>
  <si>
    <t>3D 1-3 / 11P: STICKS | 50% usage vs 3% baseline | lift 16.1x | p=0.000 | EXACT PLAY WATCH - LOW REPS (small expected counts; film/sample watch)</t>
  </si>
  <si>
    <t>3|1-3|68.9999997814</t>
  </si>
  <si>
    <t>LEVELS UNDER</t>
  </si>
  <si>
    <t>3D 4-6 / 11P: LEVELS UNDER | 9% usage vs 1% baseline | lift 14.6x | p=0.000 | EXACT PLAY WATCH - LOW REPS (small expected counts; film/sample watch)</t>
  </si>
  <si>
    <t>3|4-6|62.9080308930</t>
  </si>
  <si>
    <t>3D 7-10 / 11P: VERTS | 15% usage vs 2% baseline | lift 6.2x | p=0.002 | EXACT PLAY WATCH - LOW REPS (small expected counts; film/sample watch)</t>
  </si>
  <si>
    <t>3|7-10|65.5293170138</t>
  </si>
  <si>
    <t>STICKS UNDER</t>
  </si>
  <si>
    <t>3D 4-6 / 11P: STICKS UNDER | 9% usage vs 1% baseline | lift 14.6x | p=0.000 | EXACT PLAY WATCH - LOW REPS (small expected counts; film/sample watch)</t>
  </si>
  <si>
    <t>3D 4-6 / 11P: MESH TB WHEEL | 9% usage vs 2% baseline | lift 4.9x | p=0.066 | EXACT PLAY WATCH - LOW REPS (small expected counts; film/sample watch)</t>
  </si>
  <si>
    <t>3|4-6|62.3352505556</t>
  </si>
  <si>
    <t>3D 4-6 / 11P: FLOOD | 18% usage vs 5% baseline | lift 3.7x | p=0.037 | EXACT PLAY WATCH - LOW REPS (small expected counts; film/sample watch)</t>
  </si>
  <si>
    <t>3|4-6|62.9529498557</t>
  </si>
  <si>
    <t>DOUBLE SPOT ARROW</t>
  </si>
  <si>
    <t>3D 4-6 / 11P: DOUBLE SPOT ARROW | 9% usage vs 1% baseline | lift 7.3x | p=0.015 | EXACT PLAY WATCH - LOW REPS (small expected counts; film/sample watch)</t>
  </si>
  <si>
    <t>3|4-6|62.8346010824</t>
  </si>
  <si>
    <t>TB SLIP SCREEN</t>
  </si>
  <si>
    <t>3D 4-6 / 11P: TB SLIP SCREEN | 9% usage vs 1% baseline | lift 14.6x | p=0.000 | EXACT PLAY WATCH - LOW REPS (small expected counts; film/sample watch)</t>
  </si>
  <si>
    <t>3D 7-10 / 11P: OZ STG SPLIT READ | 8% usage vs 4% baseline | lift 2.1x | p=0.431 | EXACT PLAY WATCH - LOW REPS (small expected counts; film/sample watch)</t>
  </si>
  <si>
    <t>3|7-10|54.7419404669</t>
  </si>
  <si>
    <t>3D 7-10 / 11P: DOUBLE SPOT ARROW | 8% usage vs 1% baseline | lift 6.2x | p=0.029 | EXACT PLAY WATCH - LOW REPS (small expected counts; film/sample watch)</t>
  </si>
  <si>
    <t>3D 4-6 / 11P: ZONE WK READ | 9% usage vs 15% baseline | lift 0.6x | p=0.575 | EXACT PLAY WATCH - LOW REPS (small expected counts; film/sample watch)</t>
  </si>
  <si>
    <t>3|4-6|51.2551499220</t>
  </si>
  <si>
    <t>VERT DIG OVER</t>
  </si>
  <si>
    <t>3D 11+ / 11P: VERT DIG OVER | 20% usage vs 1% baseline | lift 32.2x | p=0.000 | EXACT PLAY WATCH - LOW REPS (small expected counts; film/sample watch)</t>
  </si>
  <si>
    <t>3|11+|63.9999998947</t>
  </si>
  <si>
    <t>VERT SPOT UNDER</t>
  </si>
  <si>
    <t>3D 4-6 / 11P: VERT SPOT UNDER | 9% usage vs 1% baseline | lift 14.6x | p=0.000 | EXACT PLAY WATCH - LOW REPS (small expected counts; film/sample watch)</t>
  </si>
  <si>
    <t>X UNDER SCREEN</t>
  </si>
  <si>
    <t>3D 1-3 / 12P: X UNDER SCREEN | 100% usage vs 1% baseline | lift 161.0x | p=0.000 | EXACT PLAY WATCH - LOW REPS (small expected counts; film/sample watch)</t>
  </si>
  <si>
    <t>3|1-3|72.0000000000</t>
  </si>
  <si>
    <t>3D 4-6 / 11P: VERTS | 9% usage vs 2% baseline | lift 3.7x | p=0.145 | EXACT PLAY WATCH - LOW REPS (small expected counts; film/sample watch)</t>
  </si>
  <si>
    <t>3|4-6|59.5036227434</t>
  </si>
  <si>
    <t>CURL OVER Y WAGGLE</t>
  </si>
  <si>
    <t>3D 7-10 / 11P: CURL OVER Y WAGGLE | 8% usage vs 1% baseline | lift 12.4x | p=0.001 | EXACT PLAY WATCH - LOW REPS (small expected counts; film/sample watch)</t>
  </si>
  <si>
    <t>3|7-10|62.7656671502</t>
  </si>
  <si>
    <t>3D 7-10 / 11P: MESH TB WHEEL | 8% usage vs 2% baseline | lift 4.1x | p=0.105 | EXACT PLAY WATCH - LOW REPS (small expected counts; film/sample watch)</t>
  </si>
  <si>
    <t>3|7-10|60.5005450240</t>
  </si>
  <si>
    <t>POST DIG UNDER</t>
  </si>
  <si>
    <t>3D 7-10 / 11P: POST DIG UNDER | 8% usage vs 1% baseline | lift 12.4x | p=0.001 | EXACT PLAY WATCH - LOW REPS (small expected counts; film/sample watch)</t>
  </si>
  <si>
    <t>VERT DIG OPTION</t>
  </si>
  <si>
    <t>3D 1-3 / 11P: VERT DIG OPTION | 25% usage vs 1% baseline | lift 40.3x | p=0.000 | EXACT PLAY WATCH - LOW REPS (small expected counts; film/sample watch)</t>
  </si>
  <si>
    <t>3|1-3|64.4999999984</t>
  </si>
  <si>
    <t>3D 11+ / 10P: ZONE WK READ | 100% usage vs 15% baseline | lift 6.7x | p=0.001 | EXACT PLAY WATCH - LOW REPS (small expected counts; film/sample watch)</t>
  </si>
  <si>
    <t>3|11+|73.9966312012</t>
  </si>
  <si>
    <t>3D 7-10 / 11P: OZ STG LEAD | 8% usage vs 2% baseline | lift 4.1x | p=0.105 | EXACT PLAY WATCH - LOW REPS (small expected counts; film/sample watch)</t>
  </si>
  <si>
    <t>3D 4-6 / 11P: ZONE WK SPLIT READ | 9% usage vs 3% baseline | lift 2.9x | p=0.236 | EXACT PLAY WATCH - LOW REPS (small expected counts; film/sample watch)</t>
  </si>
  <si>
    <t>3|4-6|57.5846881443</t>
  </si>
  <si>
    <t>3D 11+ / 11P: OZ STG READ | 20% usage vs 5% baseline | lift 4.0x | p=0.116 | EXACT PLAY WATCH - LOW REPS (small expected counts; film/sample watch)</t>
  </si>
  <si>
    <t>3|11+|61.4694400818</t>
  </si>
  <si>
    <t>3D 7-10 / 11P: OPTION ROUTES | 8% usage vs 2% baseline | lift 4.1x | p=0.105 | EXACT PLAY WATCH - LOW REPS (small expected counts; film/sample watch)</t>
  </si>
  <si>
    <t>3D 11+ / 11P: ZONE STG SPLIT READ | 20% usage vs 4% baseline | lift 4.6x | p=0.081 | EXACT PLAY WATCH - LOW REPS (small expected counts; film/sample watch)</t>
  </si>
  <si>
    <t>3|11+|62.7937854177</t>
  </si>
  <si>
    <t>3D 7-10 / 12P: ZONE STG SPLIT READ | 100% usage vs 4% baseline | lift 23.0x | p=0.000 | EXACT PLAY WATCH - LOW REPS (small expected counts; film/sample watch)</t>
  </si>
  <si>
    <t>3|7-10|71.9999873098</t>
  </si>
  <si>
    <t>3D 1-3 / 11P: ZONE WK SPLIT READ | 25% usage vs 3% baseline | lift 8.1x | p=0.011 | EXACT PLAY WATCH - LOW REPS (small expected counts; film/sample watch)</t>
  </si>
  <si>
    <t>3|1-3|64.4470978985</t>
  </si>
  <si>
    <t>3D 11+ / 11P: ZONE WK READ | 20% usage vs 15% baseline | lift 1.3x | p=0.745 | EXACT PLAY WATCH - LOW REPS (small expected counts; film/sample watch)</t>
  </si>
  <si>
    <t>3|11+|52.9568623633</t>
  </si>
  <si>
    <t>3D 11+ / 11P: OZ STG LEAD | 20% usage vs 2% baseline | lift 10.7x | p=0.002 | EXACT PLAY WATCH - LOW REPS (small expected counts; film/sample watch)</t>
  </si>
  <si>
    <t>3|11+|63.9884314748</t>
  </si>
  <si>
    <t>3D 1-3 / 15HP: QB G WK LEAD | 100% usage vs 1% baseline | lift 80.5x | p=0.000 | EXACT PLAY WATCH - LOW REPS (small expected counts; film/sample watch)</t>
  </si>
  <si>
    <t>WHAM STG LEAD</t>
  </si>
  <si>
    <t>4D 1-3 / 22HP: WHAM STG LEAD | 100% usage vs 1% baseline | lift 161.0x | p=0.000 | EXACT PLAY WATCH - LOW REPS (small expected counts; film/sample watch)</t>
  </si>
  <si>
    <t>4|1-3|72.0000000000</t>
  </si>
  <si>
    <t>QB G STG LEAD</t>
  </si>
  <si>
    <t>4D 1-3 / 12HP: QB G STG LEAD | 100% usage vs 1% baseline | lift 161.0x | p=0.000 | EXACT PLAY WATCH - LOW REPS (small expected counts; film/sample watch)</t>
  </si>
  <si>
    <t>P-VALUE SUPPORT — MASTER_DD_STRUCTURE_PLAYCALL</t>
  </si>
  <si>
    <t>P&amp;10 / 2X1: HITCH OVER | 50% usage vs 1% baseline | lift 80.0x | p=0.000 | EXACT PLAY WATCH - LOW REPS (small expected counts; film/sample watch)</t>
  </si>
  <si>
    <t>0|P&amp;10|67.0000000000</t>
  </si>
  <si>
    <t>P&amp;10 / 2X2: OZ STG SPLIT READ | 5% usage vs 4% baseline | lift 1.4x | p=0.712 | EXACT PLAY WATCH - LOW REPS (small expected counts; film/sample watch)</t>
  </si>
  <si>
    <t>0|P&amp;10|51.7757664091</t>
  </si>
  <si>
    <t>P&amp;10 / 2X2: HITCH POST OVER | 5% usage vs 1% baseline | lift 8.4x | p=0.006 | EXACT PLAY WATCH - LOW REPS (small expected counts; film/sample watch)</t>
  </si>
  <si>
    <t>0|P&amp;10|62.4949083663</t>
  </si>
  <si>
    <t>P&amp;10 / 2X2: OZ STG READ | 5% usage vs 5% baseline | lift 1.1x | p=0.955 | EXACT PLAY WATCH - LOW REPS (small expected counts; film/sample watch)</t>
  </si>
  <si>
    <t>0|P&amp;10|49.8551313922</t>
  </si>
  <si>
    <t>P&amp;10 / 2X2: 2 BUBBLE SCREEN | 5% usage vs 1% baseline | lift 8.4x | p=0.006 | EXACT PLAY WATCH - LOW REPS (small expected counts; film/sample watch)</t>
  </si>
  <si>
    <t>P&amp;10 / 2X2: FLOOD | 11% usage vs 5% baseline | lift 2.1x | p=0.239 | EXACT PLAY WATCH - LOW REPS (small expected counts; film/sample watch)</t>
  </si>
  <si>
    <t>0|P&amp;10|58.0679357086</t>
  </si>
  <si>
    <t>P&amp;10 / 2X2: H FLY SWEEP STG | 5% usage vs 2% baseline | lift 2.8x | p=0.246 | EXACT PLAY WATCH - LOW REPS (small expected counts; film/sample watch)</t>
  </si>
  <si>
    <t>0|P&amp;10|56.9097937353</t>
  </si>
  <si>
    <t>P&amp;10 / 2X2: DART STG READ | 5% usage vs 1% baseline | lift 4.2x | p=0.093 | EXACT PLAY WATCH - LOW REPS (small expected counts; film/sample watch)</t>
  </si>
  <si>
    <t>0|P&amp;10|60.4798706636</t>
  </si>
  <si>
    <t>P&amp;10 / 3X1: OPTION ROUTES | 8% usage vs 2% baseline | lift 4.4x | p=0.086 | EXACT PLAY WATCH - LOW REPS (small expected counts; film/sample watch)</t>
  </si>
  <si>
    <t>0|P&amp;10|61.2904440221</t>
  </si>
  <si>
    <t>P&amp;10 / 3X1: TB SWING SCREEN | 8% usage vs 4% baseline | lift 1.9x | p=0.486 | EXACT PLAY WATCH - LOW REPS (small expected counts; film/sample watch)</t>
  </si>
  <si>
    <t>0|P&amp;10|54.2139666605</t>
  </si>
  <si>
    <t>P&amp;10 / 3X1: ZONE STG INSERT READ | 8% usage vs 1% baseline | lift 13.3x | p=0.000 | EXACT PLAY WATCH - LOW REPS (small expected counts; film/sample watch)</t>
  </si>
  <si>
    <t>0|P&amp;10|62.8311991595</t>
  </si>
  <si>
    <t>P&amp;10 / 2X2: ZONE WK READ OPTION | 5% usage vs 2% baseline | lift 2.8x | p=0.246 | EXACT PLAY WATCH - LOW REPS (small expected counts; film/sample watch)</t>
  </si>
  <si>
    <t>P&amp;10 / 3X1: FLOOD | 8% usage vs 5% baseline | lift 1.7x | p=0.582 | EXACT PLAY WATCH - LOW REPS (small expected counts; film/sample watch)</t>
  </si>
  <si>
    <t>0|P&amp;10|53.2580638942</t>
  </si>
  <si>
    <t>P&amp;10 / 2X2: ZONE WK SPLIT ARC READ | 5% usage vs 1% baseline | lift 8.4x | p=0.006 | EXACT PLAY WATCH - LOW REPS (small expected counts; film/sample watch)</t>
  </si>
  <si>
    <t>P&amp;10 / 3X1: OZ STG SPLIT READ | 8% usage vs 4% baseline | lift 2.2x | p=0.385 | EXACT PLAY WATCH - LOW REPS (small expected counts; film/sample watch)</t>
  </si>
  <si>
    <t>0|P&amp;10|55.3533528999</t>
  </si>
  <si>
    <t>P&amp;10 / 2X2: H FLY SWEEP STG OPTION | 5% usage vs 1% baseline | lift 8.4x | p=0.006 | EXACT PLAY WATCH - LOW REPS (small expected counts; film/sample watch)</t>
  </si>
  <si>
    <t>P&amp;10 / 3X1: DIG SEAM UNDER | 8% usage vs 1% baseline | lift 6.7x | p=0.022 | EXACT PLAY WATCH - LOW REPS (small expected counts; film/sample watch)</t>
  </si>
  <si>
    <t>0|P&amp;10|62.7250475958</t>
  </si>
  <si>
    <t>P&amp;10 / 2X2: ZONE WK INSERT READ | 5% usage vs 1% baseline | lift 8.4x | p=0.006 | EXACT PLAY WATCH - LOW REPS (small expected counts; film/sample watch)</t>
  </si>
  <si>
    <t>P&amp;10 / 2X2: FLY POWE READ STG | 5% usage vs 1% baseline | lift 8.4x | p=0.006 | EXACT PLAY WATCH - LOW REPS (small expected counts; film/sample watch)</t>
  </si>
  <si>
    <t>P&amp;10 / 3X1: OZ STG READ | 17% usage vs 5% baseline | lift 3.3x | p=0.054 | EXACT PLAY WATCH - LOW REPS (small expected counts; film/sample watch)</t>
  </si>
  <si>
    <t>0|P&amp;10|62.0640927978</t>
  </si>
  <si>
    <t>P&amp;10 / 2X2: ZONE WK READ | 11% usage vs 15% baseline | lift 0.7x | p=0.561 | EXACT PLAY WATCH - LOW REPS (small expected counts; film/sample watch)</t>
  </si>
  <si>
    <t>0|P&amp;10|53.6524697688</t>
  </si>
  <si>
    <t>P&amp;10 / 2X2: OZ STG LEAD | 5% usage vs 2% baseline | lift 2.8x | p=0.246 | EXACT PLAY WATCH - LOW REPS (small expected counts; film/sample watch)</t>
  </si>
  <si>
    <t>P&amp;10 / 3X1: POWER READ STG | 17% usage vs 1% baseline | lift 13.3x | p=0.000 | EXACT PLAY WATCH - LOW REPS (small expected counts; film/sample watch)</t>
  </si>
  <si>
    <t>0|P&amp;10|65.6666637686</t>
  </si>
  <si>
    <t>P&amp;10 / 4X0: ZONE WK READ | 67% usage vs 15% baseline | lift 4.4x | p=0.011 | EXACT PLAY WATCH - LOW REPS (small expected counts; film/sample watch)</t>
  </si>
  <si>
    <t>0|P&amp;10|69.4985296159</t>
  </si>
  <si>
    <t>P&amp;10 / 2X2: ZONE STG READ | 11% usage vs 3% baseline | lift 4.2x | p=0.017 | EXACT PLAY WATCH - LOW REPS (small expected counts; film/sample watch)</t>
  </si>
  <si>
    <t>0|P&amp;10|63.3887755560</t>
  </si>
  <si>
    <t>P&amp;10 / 4X0: OZ TOSS STG | 33% usage vs 1% baseline | lift 26.7x | p=0.000 | EXACT PLAY WATCH - LOW REPS (small expected counts; film/sample watch)</t>
  </si>
  <si>
    <t>0|P&amp;10|65.3333311156</t>
  </si>
  <si>
    <t>P&amp;10 / 3X1: ZONE STG SPLIT READ | 17% usage vs 4% baseline | lift 3.8x | p=0.030 | EXACT PLAY WATCH - LOW REPS (small expected counts; film/sample watch)</t>
  </si>
  <si>
    <t>0|P&amp;10|63.1335808410</t>
  </si>
  <si>
    <t>P&amp;10 / 2X1: QB G WK LEAD | 50% usage vs 1% baseline | lift 40.0x | p=0.000 | EXACT PLAY WATCH - LOW REPS (small expected counts; film/sample watch)</t>
  </si>
  <si>
    <t>0|P&amp;10|66.9999999979</t>
  </si>
  <si>
    <t>P&amp;10 / 2X2: H FLY TOSS | 5% usage vs 1% baseline | lift 8.4x | p=0.006 | EXACT PLAY WATCH - LOW REPS (small expected counts; film/sample watch)</t>
  </si>
  <si>
    <t>1D 4-6 / 2X2: OZ STG READ | 100% usage vs 5% baseline | lift 20.0x | p=0.000 | EXACT PLAY WATCH - LOW REPS (small expected counts; film/sample watch)</t>
  </si>
  <si>
    <t>1|4-6|71.9999386079</t>
  </si>
  <si>
    <t>1D 7-10 / 3X2: TB SWING SCREEN | 100% usage vs 4% baseline | lift 22.9x | p=0.000 | EXACT PLAY WATCH - LOW REPS (small expected counts; film/sample watch)</t>
  </si>
  <si>
    <t>1|7-10|71.9999863291</t>
  </si>
  <si>
    <t>1D 7-10 / 2X2: ZONE WK READ | 27% usage vs 15% baseline | lift 1.8x | p=0.184 | SAMPLE WATCH (small expected counts; film/sample watch)</t>
  </si>
  <si>
    <t>1|7-10|58.3034282554</t>
  </si>
  <si>
    <t>1D 7-10 / 3X1: OZ STG READ | 17% usage vs 5% baseline | lift 3.3x | p=0.181 | EXACT PLAY WATCH - LOW REPS (small expected counts; film/sample watch)</t>
  </si>
  <si>
    <t>1|7-10|59.4264353828</t>
  </si>
  <si>
    <t>1D 7-10 / 2X2: H FLY SWEEP STG | 7% usage vs 2% baseline | lift 3.6x | p=0.151 | EXACT PLAY WATCH - LOW REPS (small expected counts; film/sample watch)</t>
  </si>
  <si>
    <t>1|7-10|59.0244744458</t>
  </si>
  <si>
    <t>1D 7-10 / 3X1: SPOT SMASH ARROW | 17% usage vs 1% baseline | lift 26.7x | p=0.000 | EXACT PLAY WATCH - LOW REPS (small expected counts; film/sample watch)</t>
  </si>
  <si>
    <t>1|7-10|63.6666648006</t>
  </si>
  <si>
    <t>1D 7-10 / 3X1: QB ZONE WK | 17% usage vs 1% baseline | lift 26.7x | p=0.000 | EXACT PLAY WATCH - LOW REPS (small expected counts; film/sample watch)</t>
  </si>
  <si>
    <t>1D 7-10 / 2X2: FLY MOTION PASS | 7% usage vs 1% baseline | lift 10.7x | p=0.002 | EXACT PLAY WATCH - LOW REPS (small expected counts; film/sample watch)</t>
  </si>
  <si>
    <t>1|7-10|62.6575899238</t>
  </si>
  <si>
    <t>1D 7-10 / 2X2: POST OVER WHEEL | 7% usage vs 1% baseline | lift 10.7x | p=0.002 | EXACT PLAY WATCH - LOW REPS (small expected counts; film/sample watch)</t>
  </si>
  <si>
    <t>1D 7-10 / 3X1: FLOOD | 17% usage vs 5% baseline | lift 3.3x | p=0.181 | EXACT PLAY WATCH - LOW REPS (small expected counts; film/sample watch)</t>
  </si>
  <si>
    <t>1D 7-10 / 2X2: SMASH TB SEAM | 7% usage vs 1% baseline | lift 10.7x | p=0.002 | EXACT PLAY WATCH - LOW REPS (small expected counts; film/sample watch)</t>
  </si>
  <si>
    <t>1D 4-6 / 2X1: G STG LEAD | 100% usage vs 1% baseline | lift 160.0x | p=0.000 | EXACT PLAY WATCH - LOW REPS (small expected counts; film/sample watch)</t>
  </si>
  <si>
    <t>1D 1-3 / 4X0: OZ TOSS STG | 100% usage vs 1% baseline | lift 80.0x | p=0.000 | EXACT PLAY WATCH - LOW REPS (small expected counts; film/sample watch)</t>
  </si>
  <si>
    <t>1D 7-10 / 2X2: FLY POWER READ STG | 7% usage vs 1% baseline | lift 5.3x | p=0.047 | EXACT PLAY WATCH - LOW REPS (small expected counts; film/sample watch)</t>
  </si>
  <si>
    <t>1|7-10|62.4301034504</t>
  </si>
  <si>
    <t>1D 7-10 / 3X1: ZONE WK READ | 17% usage vs 15% baseline | lift 1.1x | p=0.907 | EXACT PLAY WATCH - LOW REPS (small expected counts; film/sample watch)</t>
  </si>
  <si>
    <t>1|7-10|51.3527594692</t>
  </si>
  <si>
    <t>1D 7-10 / 2X2: OZ WK READ | 7% usage vs 1% baseline | lift 5.3x | p=0.047 | EXACT PLAY WATCH - LOW REPS (small expected counts; film/sample watch)</t>
  </si>
  <si>
    <t>1D 7-10 / 2X1: ZONE WK READ OPTION | 100% usage vs 2% baseline | lift 53.3x | p=0.000 | EXACT PLAY WATCH - LOW REPS (small expected counts; film/sample watch)</t>
  </si>
  <si>
    <t>1D 7-10 / 2X2: VERTS TB SEAM | 7% usage vs 1% baseline | lift 5.3x | p=0.047 | EXACT PLAY WATCH - LOW REPS (small expected counts; film/sample watch)</t>
  </si>
  <si>
    <t>1D 7-10 / 2X2: CLIMB POST WHEEL | 7% usage vs 1% baseline | lift 10.7x | p=0.002 | EXACT PLAY WATCH - LOW REPS (small expected counts; film/sample watch)</t>
  </si>
  <si>
    <t>1D 7-10 / 2X2: TB SWING SCREEN | 7% usage vs 4% baseline | lift 1.5x | p=0.649 | EXACT PLAY WATCH - LOW REPS (small expected counts; film/sample watch)</t>
  </si>
  <si>
    <t>1|7-10|52.4717072456</t>
  </si>
  <si>
    <t>1D 7-10 / 2X2: SMASH POST | 7% usage vs 1% baseline | lift 10.7x | p=0.002 | EXACT PLAY WATCH - LOW REPS (small expected counts; film/sample watch)</t>
  </si>
  <si>
    <t>1D 11+ / 2X2: ZONE WK READ | 100% usage vs 15% baseline | lift 6.7x | p=0.017 | EXACT PLAY WATCH - LOW REPS (small expected counts; film/sample watch)</t>
  </si>
  <si>
    <t>1|11+|71.9152868091</t>
  </si>
  <si>
    <t>1D 7-10 / 2X2: G STG READ | 7% usage vs 1% baseline | lift 5.3x | p=0.047 | EXACT PLAY WATCH - LOW REPS (small expected counts; film/sample watch)</t>
  </si>
  <si>
    <t>1D 7-10 / 4X0: OZ WK LEAD READ | 50% usage vs 1% baseline | lift 80.0x | p=0.000 | EXACT PLAY WATCH - LOW REPS (small expected counts; film/sample watch)</t>
  </si>
  <si>
    <t>1|7-10|67.0000000000</t>
  </si>
  <si>
    <t>1D 4-6 / 4X0: QB POWER STG | 100% usage vs 1% baseline | lift 80.0x | p=0.000 | EXACT PLAY WATCH - LOW REPS (small expected counts; film/sample watch)</t>
  </si>
  <si>
    <t>1D 7-10 / 4X0: ZONE WK READ | 50% usage vs 15% baseline | lift 3.3x | p=0.163 | EXACT PLAY WATCH - LOW REPS (small expected counts; film/sample watch)</t>
  </si>
  <si>
    <t>1|7-10|62.8515157411</t>
  </si>
  <si>
    <t>1D 7-10 / 3X1: ZONE STG SPLIT READ | 17% usage vs 4% baseline | lift 3.8x | p=0.134 | EXACT PLAY WATCH - LOW REPS (small expected counts; film/sample watch)</t>
  </si>
  <si>
    <t>1|7-10|60.6181790688</t>
  </si>
  <si>
    <t>2D 7-10 / 3X2: VERT OUT SEAM | 100% usage vs 1% baseline | lift 160.0x | p=0.000 | EXACT PLAY WATCH - LOW REPS (small expected counts; film/sample watch)</t>
  </si>
  <si>
    <t>2|7-10|72.0000000000</t>
  </si>
  <si>
    <t>2D 4-6 / 2X2: OZ WK READ | 25% usage vs 1% baseline | lift 20.0x | p=0.000 | EXACT PLAY WATCH - LOW REPS (small expected counts; film/sample watch)</t>
  </si>
  <si>
    <t>2|4-6|64.4999253773</t>
  </si>
  <si>
    <t>2D 7-10 / 2X2: DART STG READ | 8% usage vs 1% baseline | lift 6.2x | p=0.029 | EXACT PLAY WATCH - LOW REPS (small expected counts; film/sample watch)</t>
  </si>
  <si>
    <t>2|7-10|62.6233791240</t>
  </si>
  <si>
    <t>2D 7-10 / 3X1: MESH TB WHEEL | 11% usage vs 2% baseline | lift 5.9x | p=0.035 | EXACT PLAY WATCH - LOW REPS (small expected counts; film/sample watch)</t>
  </si>
  <si>
    <t>2|7-10|62.9336810311</t>
  </si>
  <si>
    <t>2D 1-3 / 2X2: DIG SEAM UNDER | 100% usage vs 1% baseline | lift 80.0x | p=0.000 | EXACT PLAY WATCH - LOW REPS (small expected counts; film/sample watch)</t>
  </si>
  <si>
    <t>2|1-3|72.0000000000</t>
  </si>
  <si>
    <t>2D 7-10 / 2X2: SMASH LEVELS | 8% usage vs 1% baseline | lift 12.3x | p=0.001 | EXACT PLAY WATCH - LOW REPS (small expected counts; film/sample watch)</t>
  </si>
  <si>
    <t>2|7-10|62.7655164343</t>
  </si>
  <si>
    <t>2D 11+ / 2X2: VERT OUT OPTION | 17% usage vs 1% baseline | lift 26.7x | p=0.000 | EXACT PLAY WATCH - LOW REPS (small expected counts; film/sample watch)</t>
  </si>
  <si>
    <t>2|11+|63.6666648006</t>
  </si>
  <si>
    <t>2D 1-3 / 3X1: LOAD OPTION STG | 20% usage vs 1% baseline | lift 32.0x | p=0.000 | EXACT PLAY WATCH - LOW REPS (small expected counts; film/sample watch)</t>
  </si>
  <si>
    <t>2|1-3|63.9999998833</t>
  </si>
  <si>
    <t>2D 1-3 / 3X1: POST WHEEL SWING | 20% usage vs 1% baseline | lift 32.0x | p=0.000 | EXACT PLAY WATCH - LOW REPS (small expected counts; film/sample watch)</t>
  </si>
  <si>
    <t>2D 4-6 / 2X2: ZONE WK READ | 25% usage vs 15% baseline | lift 1.7x | p=0.571 | EXACT PLAY WATCH - LOW REPS (small expected counts; film/sample watch)</t>
  </si>
  <si>
    <t>2|4-6|54.9806031534</t>
  </si>
  <si>
    <t>2D 7-10 / 2X2: H FLY SWEEP STG | 8% usage vs 2% baseline | lift 4.1x | p=0.107 | EXACT PLAY WATCH - LOW REPS (small expected counts; film/sample watch)</t>
  </si>
  <si>
    <t>2|7-10|60.4409196115</t>
  </si>
  <si>
    <t>2D 4-6 / 3X2: DIG HITCH TB SWING | 100% usage vs 1% baseline | lift 160.0x | p=0.000 | EXACT PLAY WATCH - LOW REPS (small expected counts; film/sample watch)</t>
  </si>
  <si>
    <t>2|4-6|72.0000000000</t>
  </si>
  <si>
    <t>2D 7-10 / 3X1: DIG SEAM OVER | 11% usage vs 1% baseline | lift 17.8x | p=0.000 | EXACT PLAY WATCH - LOW REPS (small expected counts; film/sample watch)</t>
  </si>
  <si>
    <t>2|7-10|63.1109123621</t>
  </si>
  <si>
    <t>2D 7-10 / 2X2: CURL OVER VERT | 8% usage vs 1% baseline | lift 12.3x | p=0.001 | EXACT PLAY WATCH - LOW REPS (small expected counts; film/sample watch)</t>
  </si>
  <si>
    <t>2D 11+ / 2X2: VERTS | 17% usage vs 3% baseline | lift 6.7x | p=0.023 | EXACT PLAY WATCH - LOW REPS (small expected counts; film/sample watch)</t>
  </si>
  <si>
    <t>2|11+|63.5492670725</t>
  </si>
  <si>
    <t>2D 7-10 / 2X2: VERT SPOT SMASH | 8% usage vs 1% baseline | lift 12.3x | p=0.001 | EXACT PLAY WATCH - LOW REPS (small expected counts; film/sample watch)</t>
  </si>
  <si>
    <t>2D 4-6 / 2X2: OZ STG SPLIT READ | 25% usage vs 4% baseline | lift 6.7x | p=0.023 | EXACT PLAY WATCH - LOW REPS (small expected counts; film/sample watch)</t>
  </si>
  <si>
    <t>2|4-6|64.3826004058</t>
  </si>
  <si>
    <t>2D 4-6 / 3X1: ZONE WK READ | 33% usage vs 15% baseline | lift 2.2x | p=0.369 | EXACT PLAY WATCH - LOW REPS (small expected counts; film/sample watch)</t>
  </si>
  <si>
    <t>2|4-6|57.9311930311</t>
  </si>
  <si>
    <t>2D 7-10 / 2X2: ZONE WK READ | 8% usage vs 15% baseline | lift 0.5x | p=0.441 | EXACT PLAY WATCH - LOW REPS (small expected counts; film/sample watch)</t>
  </si>
  <si>
    <t>2|7-10|51.5878855933</t>
  </si>
  <si>
    <t>2D 1-3 / 3X1: STICKS | 20% usage vs 3% baseline | lift 6.4x | p=0.028 | EXACT PLAY WATCH - LOW REPS (small expected counts; film/sample watch)</t>
  </si>
  <si>
    <t>2|1-3|63.8621648585</t>
  </si>
  <si>
    <t>2D 1-3 / 3X1: QB ZONE STG | 20% usage vs 1% baseline | lift 32.0x | p=0.000 | EXACT PLAY WATCH - LOW REPS (small expected counts; film/sample watch)</t>
  </si>
  <si>
    <t>2D 7-10 / 2X2: OZ STG SPLIT READ | 8% usage vs 4% baseline | lift 2.1x | p=0.435 | EXACT PLAY WATCH - LOW REPS (small expected counts; film/sample watch)</t>
  </si>
  <si>
    <t>2|7-10|54.6964947083</t>
  </si>
  <si>
    <t>2D 7-10 / 3X1: ZONE WK READ | 33% usage vs 15% baseline | lift 2.2x | p=0.113 | SAMPLE WATCH (small expected counts; film/sample watch)</t>
  </si>
  <si>
    <t>2|7-10|58.2135672194</t>
  </si>
  <si>
    <t>2D 7-10 / 2X2: FLOOD | 8% usage vs 5% baseline | lift 1.5x | p=0.642 | EXACT PLAY WATCH - LOW REPS (small expected counts; film/sample watch)</t>
  </si>
  <si>
    <t>2|7-10|52.6353388290</t>
  </si>
  <si>
    <t>2D 4-6 / 3X1: FLOOD | 33% usage vs 5% baseline | lift 6.7x | p=0.023 | EXACT PLAY WATCH - LOW REPS (small expected counts; film/sample watch)</t>
  </si>
  <si>
    <t>2|4-6|65.2182374752</t>
  </si>
  <si>
    <t>2D 7-10 / 3X1: TRAP STG | 11% usage vs 1% baseline | lift 17.8x | p=0.000 | EXACT PLAY WATCH - LOW REPS (small expected counts; film/sample watch)</t>
  </si>
  <si>
    <t>2D 7-10 / 2X2: OZ STG READ | 8% usage vs 5% baseline | lift 1.5x | p=0.642 | EXACT PLAY WATCH - LOW REPS (small expected counts; film/sample watch)</t>
  </si>
  <si>
    <t>2D 7-10 / 2X2: ZONE WK READ OPTION | 8% usage vs 2% baseline | lift 4.1x | p=0.107 | EXACT PLAY WATCH - LOW REPS (small expected counts; film/sample watch)</t>
  </si>
  <si>
    <t>2D 1-3 / 3X1: ZONE STG SPLIT READ | 20% usage vs 4% baseline | lift 4.6x | p=0.083 | EXACT PLAY WATCH - LOW REPS (small expected counts; film/sample watch)</t>
  </si>
  <si>
    <t>2|1-3|62.7295950270</t>
  </si>
  <si>
    <t>2D 7-10 / 2X2: DIG SEAM SMASH | 8% usage vs 1% baseline | lift 12.3x | p=0.001 | EXACT PLAY WATCH - LOW REPS (small expected counts; film/sample watch)</t>
  </si>
  <si>
    <t>2D 4-6 / 2X2: FLY POWER READ STG | 25% usage vs 1% baseline | lift 20.0x | p=0.000 | EXACT PLAY WATCH - LOW REPS (small expected counts; film/sample watch)</t>
  </si>
  <si>
    <t>2D 1-3 / 3X2: OPTION ROUTES | 100% usage vs 2% baseline | lift 53.3x | p=0.000 | EXACT PLAY WATCH - LOW REPS (small expected counts; film/sample watch)</t>
  </si>
  <si>
    <t>2D 4-6 / 3X1: OZ STG SPLIT READ | 33% usage vs 4% baseline | lift 8.9x | p=0.006 | EXACT PLAY WATCH - LOW REPS (small expected counts; film/sample watch)</t>
  </si>
  <si>
    <t>2|4-6|65.3009592130</t>
  </si>
  <si>
    <t>2D 7-10 / 3X1: 3 ARROW SCREEN | 11% usage vs 1% baseline | lift 17.8x | p=0.000 | EXACT PLAY WATCH - LOW REPS (small expected counts; film/sample watch)</t>
  </si>
  <si>
    <t>2D 7-10 / 2X2: TB SWING SCREEN | 8% usage vs 4% baseline | lift 1.8x | p=0.542 | EXACT PLAY WATCH - LOW REPS (small expected counts; film/sample watch)</t>
  </si>
  <si>
    <t>2|7-10|53.5766572567</t>
  </si>
  <si>
    <t>2D 7-10 / 3X1: ZONE WK ARC READ | 11% usage vs 1% baseline | lift 17.8x | p=0.000 | EXACT PLAY WATCH - LOW REPS (small expected counts; film/sample watch)</t>
  </si>
  <si>
    <t>2D 11+ / 3X2: TB SWING SCREEN | 100% usage vs 4% baseline | lift 22.9x | p=0.000 | EXACT PLAY WATCH - LOW REPS (small expected counts; film/sample watch)</t>
  </si>
  <si>
    <t>2|11+|71.9999863291</t>
  </si>
  <si>
    <t>2D 11+ / 3X1: ZONE STG SPLIT READ | 50% usage vs 4% baseline | lift 11.4x | p=0.002 | EXACT PLAY WATCH - LOW REPS (small expected counts; film/sample watch)</t>
  </si>
  <si>
    <t>2|11+|66.9924951116</t>
  </si>
  <si>
    <t>2D 11+ / 2X2: G STG READ | 17% usage vs 1% baseline | lift 13.3x | p=0.001 | EXACT PLAY WATCH - LOW REPS (small expected counts; film/sample watch)</t>
  </si>
  <si>
    <t>2|11+|63.6640107031</t>
  </si>
  <si>
    <t>2D 11+ / 3X1: ZONE WK READ | 50% usage vs 15% baseline | lift 3.3x | p=0.163 | EXACT PLAY WATCH - LOW REPS (small expected counts; film/sample watch)</t>
  </si>
  <si>
    <t>2|11+|62.8515157411</t>
  </si>
  <si>
    <t>2D 7-10 / 3X1: ZONE STG READ | 11% usage vs 3% baseline | lift 4.4x | p=0.089 | EXACT PLAY WATCH - LOW REPS (small expected counts; film/sample watch)</t>
  </si>
  <si>
    <t>2|7-10|61.5573981397</t>
  </si>
  <si>
    <t>2D 11+ / 2X2: ZONE STG READ | 17% usage vs 3% baseline | lift 6.7x | p=0.023 | EXACT PLAY WATCH - LOW REPS (small expected counts; film/sample watch)</t>
  </si>
  <si>
    <t>2D 11+ / 2X2: ZONE WK SPLIT READ | 33% usage vs 3% baseline | lift 10.7x | p=0.000 | EXACT PLAY WATCH - LOW REPS (small expected counts; film/sample watch)</t>
  </si>
  <si>
    <t>2|11+|67.3332603939</t>
  </si>
  <si>
    <t>2D 7-10 / 4X0: ZONE WK READ | 100% usage vs 15% baseline | lift 6.7x | p=0.017 | EXACT PLAY WATCH - LOW REPS (small expected counts; film/sample watch)</t>
  </si>
  <si>
    <t>2|7-10|71.9152868091</t>
  </si>
  <si>
    <t>2D 7-10 / 2X2: OZ STG LEAD READ | 8% usage vs 1% baseline | lift 12.3x | p=0.001 | EXACT PLAY WATCH - LOW REPS (small expected counts; film/sample watch)</t>
  </si>
  <si>
    <t>2D 11+ / 4X0: QB POWER STG | 100% usage vs 1% baseline | lift 80.0x | p=0.000 | EXACT PLAY WATCH - LOW REPS (small expected counts; film/sample watch)</t>
  </si>
  <si>
    <t>2|11+|72.0000000000</t>
  </si>
  <si>
    <t>2D 4-6 / 2X1: ZONE WK READ | 100% usage vs 15% baseline | lift 6.7x | p=0.017 | EXACT PLAY WATCH - LOW REPS (small expected counts; film/sample watch)</t>
  </si>
  <si>
    <t>2|4-6|71.9152868091</t>
  </si>
  <si>
    <t>2D 11+ / 2X1: ZONE WK SPLIT READ | 100% usage vs 3% baseline | lift 32.0x | p=0.000 | EXACT PLAY WATCH - LOW REPS (small expected counts; film/sample watch)</t>
  </si>
  <si>
    <t>2|11+|71.9999998833</t>
  </si>
  <si>
    <t>3D 7-10 / 3X1: VERTS TB SEAM | 11% usage vs 1% baseline | lift 8.9x | p=0.006 | EXACT PLAY WATCH - LOW REPS (small expected counts; film/sample watch)</t>
  </si>
  <si>
    <t>3|7-10|63.0804766384</t>
  </si>
  <si>
    <t>3D 7-10 / 3X1: TB SWING SCREEN | 11% usage vs 4% baseline | lift 2.5x | p=0.309 | EXACT PLAY WATCH - LOW REPS (small expected counts; film/sample watch)</t>
  </si>
  <si>
    <t>3|7-10|56.6447441838</t>
  </si>
  <si>
    <t>3D 7-10 / 2X2: STICKS | 50% usage vs 3% baseline | lift 16.0x | p=0.000 | EXACT PLAY WATCH - LOW REPS (small expected counts; film/sample watch)</t>
  </si>
  <si>
    <t>3|7-10|68.9999997576</t>
  </si>
  <si>
    <t>3D 1-3 / 3X1: OZ STG READ | 33% usage vs 5% baseline | lift 6.7x | p=0.023 | EXACT PLAY WATCH - LOW REPS (small expected counts; film/sample watch)</t>
  </si>
  <si>
    <t>3|1-3|65.2182374752</t>
  </si>
  <si>
    <t>3D 11+ / 3X1: TB SWING SCREEN | 20% usage vs 4% baseline | lift 4.6x | p=0.083 | EXACT PLAY WATCH - LOW REPS (small expected counts; film/sample watch)</t>
  </si>
  <si>
    <t>3|11+|62.7295950270</t>
  </si>
  <si>
    <t>3D 4-6 / 2X1: G WK LEAD | 100% usage vs 1% baseline | lift 160.0x | p=0.000 | EXACT PLAY WATCH - LOW REPS (small expected counts; film/sample watch)</t>
  </si>
  <si>
    <t>3D 1-3 / 3X1: STICKS | 67% usage vs 3% baseline | lift 21.3x | p=0.000 | EXACT PLAY WATCH - LOW REPS (small expected counts; film/sample watch)</t>
  </si>
  <si>
    <t>3|1-3|70.6666666658</t>
  </si>
  <si>
    <t>3D 4-6 / 3X1: LEVELS UNDER | 11% usage vs 1% baseline | lift 17.8x | p=0.000 | EXACT PLAY WATCH - LOW REPS (small expected counts; film/sample watch)</t>
  </si>
  <si>
    <t>3|4-6|63.1109123621</t>
  </si>
  <si>
    <t>3D 7-10 / 3X1: VERTS | 22% usage vs 3% baseline | lift 8.9x | p=0.000 | EXACT PLAY WATCH - LOW REPS (small expected counts; film/sample watch)</t>
  </si>
  <si>
    <t>3|7-10|66.2217432478</t>
  </si>
  <si>
    <t>3D 4-6 / 3X1: STICKS UNDER | 11% usage vs 1% baseline | lift 17.8x | p=0.000 | EXACT PLAY WATCH - LOW REPS (small expected counts; film/sample watch)</t>
  </si>
  <si>
    <t>3D 4-6 / 2X2: MESH TB WHEEL | 100% usage vs 2% baseline | lift 53.3x | p=0.000 | EXACT PLAY WATCH - LOW REPS (small expected counts; film/sample watch)</t>
  </si>
  <si>
    <t>3D 4-6 / 3X1: FLOOD | 22% usage vs 5% baseline | lift 4.4x | p=0.015 | EXACT PLAY WATCH - LOW REPS (small expected counts; film/sample watch)</t>
  </si>
  <si>
    <t>3|4-6|65.0377265600</t>
  </si>
  <si>
    <t>3D 4-6 / 3X2: DOUBLE SPOT ARROW | 100% usage vs 1% baseline | lift 80.0x | p=0.000 | EXACT PLAY WATCH - LOW REPS (small expected counts; film/sample watch)</t>
  </si>
  <si>
    <t>3D 4-6 / 3X1: TB SLIP SCREEN | 11% usage vs 1% baseline | lift 17.8x | p=0.000 | EXACT PLAY WATCH - LOW REPS (small expected counts; film/sample watch)</t>
  </si>
  <si>
    <t>3D 7-10 / 3X1: OZ STG SPLIT READ | 11% usage vs 4% baseline | lift 3.0x | p=0.231 | EXACT PLAY WATCH - LOW REPS (small expected counts; film/sample watch)</t>
  </si>
  <si>
    <t>3|7-10|57.8795695128</t>
  </si>
  <si>
    <t>3D 7-10 / 2X1: DOUBLE SPOT ARROW | 100% usage vs 1% baseline | lift 80.0x | p=0.000 | EXACT PLAY WATCH - LOW REPS (small expected counts; film/sample watch)</t>
  </si>
  <si>
    <t>3|7-10|72.0000000000</t>
  </si>
  <si>
    <t>3D 4-6 / 3X1: ZONE WK READ | 11% usage vs 15% baseline | lift 0.7x | p=0.737 | EXACT PLAY WATCH - LOW REPS (small expected counts; film/sample watch)</t>
  </si>
  <si>
    <t>3|4-6|50.9094754602</t>
  </si>
  <si>
    <t>3D 11+ / 3X1: VERT DIG OVER | 20% usage vs 1% baseline | lift 32.0x | p=0.000 | EXACT PLAY WATCH - LOW REPS (small expected counts; film/sample watch)</t>
  </si>
  <si>
    <t>3|11+|63.9999998833</t>
  </si>
  <si>
    <t>3D 4-6 / 3X1: VERT SPOT UNDER | 11% usage vs 1% baseline | lift 17.8x | p=0.000 | EXACT PLAY WATCH - LOW REPS (small expected counts; film/sample watch)</t>
  </si>
  <si>
    <t>3D 1-3 / 2X2: X UNDER SCREEN | 33% usage vs 1% baseline | lift 53.3x | p=0.000 | EXACT PLAY WATCH - LOW REPS (small expected counts; film/sample watch)</t>
  </si>
  <si>
    <t>3|1-3|65.3333333333</t>
  </si>
  <si>
    <t>3D 4-6 / 3X1: VERTS | 11% usage vs 3% baseline | lift 4.4x | p=0.089 | EXACT PLAY WATCH - LOW REPS (small expected counts; film/sample watch)</t>
  </si>
  <si>
    <t>3|4-6|61.5573981397</t>
  </si>
  <si>
    <t>3D 7-10 / 3X1: CURL OVER Y WAGGLE | 11% usage vs 1% baseline | lift 17.8x | p=0.000 | EXACT PLAY WATCH - LOW REPS (small expected counts; film/sample watch)</t>
  </si>
  <si>
    <t>3|7-10|63.1109123621</t>
  </si>
  <si>
    <t>3D 7-10 / 2X2: MESH TB WHEEL | 25% usage vs 2% baseline | lift 13.3x | p=0.001 | EXACT PLAY WATCH - LOW REPS (small expected counts; film/sample watch)</t>
  </si>
  <si>
    <t>3|7-10|64.4972298829</t>
  </si>
  <si>
    <t>3D 7-10 / 2X2: POST DIG UNDER | 25% usage vs 1% baseline | lift 40.0x | p=0.000 | EXACT PLAY WATCH - LOW REPS (small expected counts; film/sample watch)</t>
  </si>
  <si>
    <t>3|7-10|64.4999999981</t>
  </si>
  <si>
    <t>3D 1-3 / 2X2: VERT DIG OPTION | 33% usage vs 1% baseline | lift 53.3x | p=0.000 | EXACT PLAY WATCH - LOW REPS (small expected counts; film/sample watch)</t>
  </si>
  <si>
    <t>3D 11+ / 3X1: ZONE WK READ | 60% usage vs 15% baseline | lift 4.0x | p=0.004 | SAMPLE WATCH (small expected counts; film/sample watch)</t>
  </si>
  <si>
    <t>3|11+|64.9790241144</t>
  </si>
  <si>
    <t>3D 7-10 / 3X1: OZ STG LEAD | 11% usage vs 2% baseline | lift 5.9x | p=0.035 | EXACT PLAY WATCH - LOW REPS (small expected counts; film/sample watch)</t>
  </si>
  <si>
    <t>3|7-10|62.9336810311</t>
  </si>
  <si>
    <t>3D 4-6 / 3X1: ZONE WK SPLIT READ | 11% usage vs 3% baseline | lift 3.6x | p=0.156 | EXACT PLAY WATCH - LOW REPS (small expected counts; film/sample watch)</t>
  </si>
  <si>
    <t>3|4-6|59.4404151592</t>
  </si>
  <si>
    <t>3D 11+ / 2X2: OZ STG READ | 50% usage vs 5% baseline | lift 10.0x | p=0.003 | EXACT PLAY WATCH - LOW REPS (small expected counts; film/sample watch)</t>
  </si>
  <si>
    <t>3|11+|66.9835048928</t>
  </si>
  <si>
    <t>3D 7-10 / 3X1: OPTION ROUTES | 11% usage vs 2% baseline | lift 5.9x | p=0.035 | EXACT PLAY WATCH - LOW REPS (small expected counts; film/sample watch)</t>
  </si>
  <si>
    <t>3D 11+ / 2X1: ZONE STG SPLIT READ | 100% usage vs 4% baseline | lift 22.9x | p=0.000 | EXACT PLAY WATCH - LOW REPS (small expected counts; film/sample watch)</t>
  </si>
  <si>
    <t>3|11+|71.9999863291</t>
  </si>
  <si>
    <t>3D 7-10 / 3X1: ZONE STG SPLIT READ | 11% usage vs 4% baseline | lift 2.5x | p=0.309 | EXACT PLAY WATCH - LOW REPS (small expected counts; film/sample watch)</t>
  </si>
  <si>
    <t>3D 1-3 / 2X2: ZONE WK SPLIT READ | 33% usage vs 3% baseline | lift 10.7x | p=0.002 | EXACT PLAY WATCH - LOW REPS (small expected counts; film/sample watch)</t>
  </si>
  <si>
    <t>3|1-3|65.3213366129</t>
  </si>
  <si>
    <t>3D 11+ / 2X2: OZ STG LEAD | 50% usage vs 2% baseline | lift 26.7x | p=0.000 | EXACT PLAY WATCH - LOW REPS (small expected counts; film/sample watch)</t>
  </si>
  <si>
    <t>3|11+|66.9999977822</t>
  </si>
  <si>
    <t>3D 1-3 / 1X1: QB G WK LEAD | 100% usage vs 1% baseline | lift 80.0x | p=0.000 | EXACT PLAY WATCH - LOW REPS (small expected counts; film/sample watch)</t>
  </si>
  <si>
    <t>4D 1-3 / 1X1: WHAM STG LEAD | 100% usage vs 1% baseline | lift 160.0x | p=0.000 | EXACT PLAY WATCH - LOW REPS (small expected counts; film/sample watch)</t>
  </si>
  <si>
    <t>4D 1-3 / 4X0: QB G STG LEAD | 100% usage vs 1% baseline | lift 160.0x | p=0.000 | EXACT PLAY WATCH - LOW REPS (small expected counts; film/sample watch)</t>
  </si>
  <si>
    <t>MASTER_SNAPSHOT</t>
  </si>
  <si>
    <t>OPPONENT OFFENSIVE SNAPSHOT</t>
  </si>
  <si>
    <t>METRIC</t>
  </si>
  <si>
    <t>RESULT</t>
  </si>
  <si>
    <t>TOTAL PLAYS</t>
  </si>
  <si>
    <t>OFFENSIVE SUCCESSES</t>
  </si>
  <si>
    <t>EXPLOSIVES</t>
  </si>
  <si>
    <t>UNSCORED PLAYS</t>
  </si>
  <si>
    <t>D&amp;D SNAPSHOT</t>
  </si>
  <si>
    <t>MASTER_IDENTITY_BOARD</t>
  </si>
  <si>
    <t>OPPONENT OFFENSIVE IDENTITY BOARD</t>
  </si>
  <si>
    <t>UNIQUE CONCEPTS</t>
  </si>
  <si>
    <t>UNIQUE PLAYCALLS</t>
  </si>
  <si>
    <t>IDENTITY NOTES</t>
  </si>
  <si>
    <t>Multiple</t>
  </si>
  <si>
    <t>IDENTITY TIER</t>
  </si>
  <si>
    <t>TRACK ONLY</t>
  </si>
  <si>
    <t>All categories are listed in first appearance order. Usage is within valid plays with that category tagged.</t>
  </si>
  <si>
    <t>Core concept/personnel/structure: 20% or 25+ reps. Complementary: 5% or 10+ reps. Changeup: 3+ reps.</t>
  </si>
  <si>
    <t>Core playcall: 10% or 15+ reps. Complementary: 5% or 7+ reps. Changeup: 3+ reps.</t>
  </si>
  <si>
    <t>MASTER_DD_CONCEPT_IDENTITY</t>
  </si>
  <si>
    <t>SOURCE INDEX</t>
  </si>
  <si>
    <t>SIGNAL SEQUENCE</t>
  </si>
  <si>
    <t>MASTER_DD_PLAYCALL_IDENTITY</t>
  </si>
  <si>
    <t>MASTER_INPUT</t>
  </si>
  <si>
    <t>DISTANCE</t>
  </si>
  <si>
    <t>D&amp;D BUCKET</t>
  </si>
  <si>
    <t>OFFENSIVE CONCEPT</t>
  </si>
  <si>
    <t>ACTUAL PLAYCALL</t>
  </si>
  <si>
    <t>GAIN/LOSS</t>
  </si>
  <si>
    <t>OFFENSIVE SUCCESS</t>
  </si>
  <si>
    <t>EXPLOSIVE</t>
  </si>
  <si>
    <t>NORM_PERSONNEL</t>
  </si>
  <si>
    <t>NORM_STRUCTURE</t>
  </si>
  <si>
    <t>CONCEPT_CLEAN</t>
  </si>
  <si>
    <t>PLAYCALL_CLEAN</t>
  </si>
  <si>
    <t>1x3</t>
  </si>
  <si>
    <t>2x1</t>
  </si>
  <si>
    <t>COMPLETE</t>
  </si>
  <si>
    <t>2x2</t>
  </si>
  <si>
    <t>RUSH</t>
  </si>
  <si>
    <t>QB SCRAMBLE</t>
  </si>
  <si>
    <t>3x1</t>
  </si>
  <si>
    <t>BATTED PASS</t>
  </si>
  <si>
    <t>0x4</t>
  </si>
  <si>
    <t>4x0</t>
  </si>
  <si>
    <t>RUSH TD</t>
  </si>
  <si>
    <t>1x1</t>
  </si>
  <si>
    <t>3x2</t>
  </si>
  <si>
    <t>INCOMPLETE</t>
  </si>
  <si>
    <t>HIT AS THREW</t>
  </si>
  <si>
    <t>1x2</t>
  </si>
  <si>
    <t>SACK</t>
  </si>
  <si>
    <t>FUMBLE</t>
  </si>
  <si>
    <t>2x3</t>
  </si>
  <si>
    <t xml:space="preserve"> TD</t>
  </si>
  <si>
    <t>QB LEAD DRAW STG</t>
  </si>
  <si>
    <t>DUAL SCREEN</t>
  </si>
  <si>
    <t>FORMULA_CHECK</t>
  </si>
  <si>
    <t>FORMULA AND DATA READINESS CHECK</t>
  </si>
  <si>
    <t>CHECK = a broken formula/data requirement. WATCH = missing/ambiguous source data. Error counts must be zero.</t>
  </si>
  <si>
    <t>CHECK</t>
  </si>
  <si>
    <t>WHAT IT MEANS</t>
  </si>
  <si>
    <t>D&amp;D formulas through row 1000</t>
  </si>
  <si>
    <t>OK</t>
  </si>
  <si>
    <t>Every prepared row must retain its formula.</t>
  </si>
  <si>
    <t>Success formulas through row 1000</t>
  </si>
  <si>
    <t>Explosive formulas through row 1000</t>
  </si>
  <si>
    <t>Input beyond row 1000</t>
  </si>
  <si>
    <t>Move records into rows 2–1000; later rows are excluded.</t>
  </si>
  <si>
    <t>Invalid buckets</t>
  </si>
  <si>
    <t>Correct non-P downs/distances.</t>
  </si>
  <si>
    <t>Missing results</t>
  </si>
  <si>
    <t>WATCH: MISSING RESULTS</t>
  </si>
  <si>
    <t>Rows with no result are excluded from TOTAL PLAYS.</t>
  </si>
  <si>
    <t>Unscored success</t>
  </si>
  <si>
    <t>Rates average scored plays only; review ambiguous results.</t>
  </si>
  <si>
    <t>Unscored explosive</t>
  </si>
  <si>
    <t>Add play type / numeric gain; explicit failure results score zero.</t>
  </si>
  <si>
    <t>Snapshot total</t>
  </si>
  <si>
    <t>Snapshot must match eligible records.</t>
  </si>
  <si>
    <t>D&amp;D snapshot coverage</t>
  </si>
  <si>
    <t>All plays accounted for across 17 situations.</t>
  </si>
  <si>
    <t>MASTER_DD_PERSONNEL_CONCEPT reps</t>
  </si>
  <si>
    <t>Complete detail groups must partition their population.</t>
  </si>
  <si>
    <t>MASTER_DD_PER_STRUCTURE reps</t>
  </si>
  <si>
    <t>MASTER_DD_STRUCTURE_CONCEPT reps</t>
  </si>
  <si>
    <t>MASTER_DD_PER_PLAYCALL reps</t>
  </si>
  <si>
    <t>MASTER_DD_STRUCTURE_PLAYCALL reps</t>
  </si>
  <si>
    <t>MASTER_DD_CONCEPT_IDENTITY reps</t>
  </si>
  <si>
    <t>MASTER_DD_PLAYCALL_IDENTITY reps</t>
  </si>
  <si>
    <t>PERSONNEL/CONCEPT signal coverage</t>
  </si>
  <si>
    <t>No repeated signal is dropped.</t>
  </si>
  <si>
    <t>PERSONNEL/CONCEPT stat coverage</t>
  </si>
  <si>
    <t>Support includes every complete group, including singleton watches.</t>
  </si>
  <si>
    <t>PERSONNEL/CONCEPT contingency counts</t>
  </si>
  <si>
    <t>No negative 2×2 observed counts.</t>
  </si>
  <si>
    <t>PERSONNEL/STRUCTURE signal coverage</t>
  </si>
  <si>
    <t>PERSONNEL/STRUCTURE stat coverage</t>
  </si>
  <si>
    <t>PERSONNEL/STRUCTURE contingency counts</t>
  </si>
  <si>
    <t>STRUCTURE/CONCEPT signal coverage</t>
  </si>
  <si>
    <t>STRUCTURE/CONCEPT stat coverage</t>
  </si>
  <si>
    <t>STRUCTURE/CONCEPT contingency counts</t>
  </si>
  <si>
    <t>PERSONNEL/PLAYCALL signal coverage</t>
  </si>
  <si>
    <t>PERSONNEL/PLAYCALL stat coverage</t>
  </si>
  <si>
    <t>PERSONNEL/PLAYCALL contingency counts</t>
  </si>
  <si>
    <t>STRUCTURE/PLAYCALL signal coverage</t>
  </si>
  <si>
    <t>STRUCTURE/PLAYCALL stat coverage</t>
  </si>
  <si>
    <t>STRUCTURE/PLAYCALL contingency counts</t>
  </si>
  <si>
    <t>Strategy matrix — every bucket</t>
  </si>
  <si>
    <t>All 17 situations must have an interpretation, including empty buckets.</t>
  </si>
  <si>
    <t>INSTRUCTIONS formula error count</t>
  </si>
  <si>
    <t>Must be 0. Includes hidden helper cells.</t>
  </si>
  <si>
    <t>MASTER_INPUT formula error count</t>
  </si>
  <si>
    <t>MASTER_SNAPSHOT formula error count</t>
  </si>
  <si>
    <t>MASTER_IDENTITY_BOARD formula error count</t>
  </si>
  <si>
    <t>MASTER_DD_PERSONNEL_CONCEPT formula error count</t>
  </si>
  <si>
    <t>MASTER_DD_PER_PLAYCALL formula error count</t>
  </si>
  <si>
    <t>MASTER_DD_PER_STRUCTURE formula error count</t>
  </si>
  <si>
    <t>MASTER_DD_STRUCTURE_CONCEPT formula error count</t>
  </si>
  <si>
    <t>MASTER_DD_STRUCTURE_PLAYCALL formula error count</t>
  </si>
  <si>
    <t>MASTER_DD_CONCEPT_IDENTITY formula error count</t>
  </si>
  <si>
    <t>MASTER_DD_PLAYCALL_IDENTITY formula error count</t>
  </si>
  <si>
    <t>MASTER_SIGNAL_BOARD formula error count</t>
  </si>
  <si>
    <t>MASTER_STRATEGY_CARD formula error count</t>
  </si>
  <si>
    <t>_CALC formula error count</t>
  </si>
  <si>
    <t>NORMALIZED PLAY EVIDENCE</t>
  </si>
  <si>
    <t>Source scoring flags are copied as values. Missing tags and exclusions retain their original meaning; no football scoring rules are rewritten.</t>
  </si>
  <si>
    <t>Source Row</t>
  </si>
  <si>
    <t>Down</t>
  </si>
  <si>
    <t>D&amp;D Bucket</t>
  </si>
  <si>
    <t>Actual Playcall</t>
  </si>
  <si>
    <t>Result</t>
  </si>
  <si>
    <t>Gain / Loss</t>
  </si>
  <si>
    <t>Source Eligible</t>
  </si>
  <si>
    <t>Offensive Success</t>
  </si>
  <si>
    <t>Explosive</t>
  </si>
  <si>
    <t>Play Type</t>
  </si>
  <si>
    <t>P</t>
  </si>
  <si>
    <t>PASS</t>
  </si>
  <si>
    <t>SCRAMBLE</t>
  </si>
  <si>
    <t>1</t>
  </si>
  <si>
    <t>2</t>
  </si>
  <si>
    <t>TD</t>
  </si>
  <si>
    <t>3</t>
  </si>
  <si>
    <t>4</t>
  </si>
  <si>
    <t>DEFENSIVE SELF-SCOUT SOURCE IMPORT</t>
  </si>
  <si>
    <t>DEF_INPUT</t>
  </si>
  <si>
    <t>DOWN
WEEKLY INPUT</t>
  </si>
  <si>
    <t>HOT CALL
WEEKLY INPUT</t>
  </si>
  <si>
    <t>DISTANCE
WEEKLY INPUT</t>
  </si>
  <si>
    <t>RESULT
WEEKLY INPUT</t>
  </si>
  <si>
    <t>GAIN/LOSS
WEEKLY INPUT</t>
  </si>
  <si>
    <t>CONCEPT
WEEKLY INPUT</t>
  </si>
  <si>
    <t>CLEAN PLAY
AUTO / LOCKED</t>
  </si>
  <si>
    <t>PLAY TYPE GROUP
AUTO / LOCKED</t>
  </si>
  <si>
    <t>DEFENSIVE SUCCESS
AUTO / LOCKED</t>
  </si>
  <si>
    <t>EXPLOSIVE ALLOWED
AUTO / LOCKED</t>
  </si>
  <si>
    <t>PERSONNEL
WEEKLY INPUT</t>
  </si>
  <si>
    <t>STRUCTURE
WEEKLY INPUT</t>
  </si>
  <si>
    <t>D&amp;D BUCKET
AUTO / LOCKED</t>
  </si>
  <si>
    <t>STRUCTURE FAM
AUTO / LOCKED</t>
  </si>
  <si>
    <t>PS BUCKET
AUTO / LOCKED</t>
  </si>
  <si>
    <t>INPUT STATUS</t>
  </si>
  <si>
    <t>Y</t>
  </si>
  <si>
    <t>11P_2X2</t>
  </si>
  <si>
    <t>CLEAN REPS</t>
  </si>
  <si>
    <t>EXCLUDED RECORDS</t>
  </si>
  <si>
    <t>UNSCORED CLEAN REPS</t>
  </si>
  <si>
    <t>DROPBACK</t>
  </si>
  <si>
    <t>OTHER</t>
  </si>
  <si>
    <t>TD TAGS</t>
  </si>
  <si>
    <t>00P_3X1</t>
  </si>
  <si>
    <t>MISSING CONCEPT TAGS</t>
  </si>
  <si>
    <t>12P_3X1</t>
  </si>
  <si>
    <t>ENTRY GUIDE</t>
  </si>
  <si>
    <t>PASTE VALUES: A:F and K:L</t>
  </si>
  <si>
    <t>12P_2X2</t>
  </si>
  <si>
    <t>AUTO / LOCKED: G:J and M:O</t>
  </si>
  <si>
    <t>11P_3X1</t>
  </si>
  <si>
    <t>Clear old raw input first. Keep helper formulas protected.</t>
  </si>
  <si>
    <t>Weekly instructions</t>
  </si>
  <si>
    <t>Coach snapshot</t>
  </si>
  <si>
    <t>Formula / data checks</t>
  </si>
  <si>
    <t>N</t>
  </si>
  <si>
    <t>EXCLUDE</t>
  </si>
  <si>
    <t>FIELD CUB ZONE</t>
  </si>
  <si>
    <t>KNEEL</t>
  </si>
  <si>
    <t>PASS TD</t>
  </si>
  <si>
    <t>INTERCEPTION</t>
  </si>
  <si>
    <t>RUSH, TD</t>
  </si>
  <si>
    <t>1x4</t>
  </si>
  <si>
    <t>PENALTY</t>
  </si>
  <si>
    <t>DEF_SNAPSHOT</t>
  </si>
  <si>
    <t>DEFENSIVE SELF-SCOUT SNAPSHOT</t>
  </si>
  <si>
    <t>SNAPSHOT DETAIL VIEWS</t>
  </si>
  <si>
    <t>INSTRUCTIONS</t>
  </si>
  <si>
    <t>FORMULA CHECK</t>
  </si>
  <si>
    <t>COACH VIEW • FILM CONFIRMS THE NUMBERS</t>
  </si>
  <si>
    <t>Down / distance</t>
  </si>
  <si>
    <t>Concept detail</t>
  </si>
  <si>
    <t>Personnel / structure</t>
  </si>
  <si>
    <t>COACH READOUT</t>
  </si>
  <si>
    <t>CLEAN DEFENSIVE REPS</t>
  </si>
  <si>
    <t>TD REPS</t>
  </si>
  <si>
    <t>DEFENSIVE SUCCESSES</t>
  </si>
  <si>
    <t>OTHER REPS</t>
  </si>
  <si>
    <t>DEFENSIVE SUCCESS RATE</t>
  </si>
  <si>
    <t>EXPLOSIVES ALLOWED</t>
  </si>
  <si>
    <t>WEIGHTED SCORE</t>
  </si>
  <si>
    <t>AVG GAIN ALLOWED</t>
  </si>
  <si>
    <t>SCORE LABEL</t>
  </si>
  <si>
    <t>Mixed / Review</t>
  </si>
  <si>
    <t>RUSH REPS</t>
  </si>
  <si>
    <t>COACH CAUTION</t>
  </si>
  <si>
    <t>Data identifies performance and tendencies; film confirms the numbers.</t>
  </si>
  <si>
    <t>DROPBACK REPS</t>
  </si>
  <si>
    <t>RUSH / DROPBACK SPLIT</t>
  </si>
  <si>
    <t>42% rush / 55% dropback; TD/OTHER counted separately</t>
  </si>
  <si>
    <t>BY DOWN SNAPSHOT</t>
  </si>
  <si>
    <t>D&amp;D BUCKET COVERAGE</t>
  </si>
  <si>
    <t>RUSH %</t>
  </si>
  <si>
    <t>DROPBACK %</t>
  </si>
  <si>
    <t>Problem Area</t>
  </si>
  <si>
    <t>Problem in this down. Review fit, structure, concept and execution.</t>
  </si>
  <si>
    <t>Problem in this bucket. Review fit, structure, concept and execution.</t>
  </si>
  <si>
    <t>Confirm the numbers on film before changing call usage.</t>
  </si>
  <si>
    <t>Good Candidate</t>
  </si>
  <si>
    <t>Good score, but explosive risk needs film review.</t>
  </si>
  <si>
    <t>No clean reps in this context.</t>
  </si>
  <si>
    <t>PLAY TYPE SNAPSHOT</t>
  </si>
  <si>
    <t>PLAY TYPE</t>
  </si>
  <si>
    <t>Problem in this play type. Review fit, structure, concept and execution.</t>
  </si>
  <si>
    <t>CONCEPT SNAPSHOT</t>
  </si>
  <si>
    <t>PERSONNEL AND STRUCTURE SNAPSHOT</t>
  </si>
  <si>
    <t>STRUCTURE FAM</t>
  </si>
  <si>
    <t>Track - Clip Review</t>
  </si>
  <si>
    <t>TRACK explosive alert. Tiny sample; clip review only.</t>
  </si>
  <si>
    <t>Problem in Personnel and structure performance. Review fit, structure, concept and execution.</t>
  </si>
  <si>
    <t>Problem in Concept performance. Review fit, structure, concept and execution.</t>
  </si>
  <si>
    <t>Track Only</t>
  </si>
  <si>
    <t>TRACK only. Log the sample; do not build a call plan from it.</t>
  </si>
  <si>
    <t>Problem Signal</t>
  </si>
  <si>
    <t>LOW confidence. Early signal only; confirm on film.</t>
  </si>
  <si>
    <t>Strong Early Signal</t>
  </si>
  <si>
    <t>Strong Candidate</t>
  </si>
  <si>
    <t>Concept tag missing. Review the source data and film.</t>
  </si>
  <si>
    <t>DEF_ALL</t>
  </si>
  <si>
    <t>All clean defensive calls</t>
  </si>
  <si>
    <t>Auto-updating from DEF_INPUT. Film confirms the numbers.</t>
  </si>
  <si>
    <t>SUMMARY • UPDATES AUTOMATICALLY</t>
  </si>
  <si>
    <t>HOT CALL</t>
  </si>
  <si>
    <t>Problem Call</t>
  </si>
  <si>
    <t>Problem in All clean defensive calls. Review fit, structure, concept and execution.</t>
  </si>
  <si>
    <t>Good Early Signal</t>
  </si>
  <si>
    <t>Mixed Early Signal</t>
  </si>
  <si>
    <t>DEF_D&amp;D</t>
  </si>
  <si>
    <t>Defensive calls by down and distance bucket</t>
  </si>
  <si>
    <t>Problem in Defensive calls by down and distance bucket. Review fit, structure, concept and execution.</t>
  </si>
  <si>
    <t>DEF_CONCEPT</t>
  </si>
  <si>
    <t>Offensive concept + down/distance + defensive call</t>
  </si>
  <si>
    <t>DEF_11P_ALL</t>
  </si>
  <si>
    <t>11 personnel — all structures</t>
  </si>
  <si>
    <t>Problem in 11 personnel — all structures. Review fit, structure, concept and execution.</t>
  </si>
  <si>
    <t>DEF_11P_3X1</t>
  </si>
  <si>
    <t>11 personnel — 3X1 family</t>
  </si>
  <si>
    <t>Problem in 11 personnel — 3X1 family. Review fit, structure, concept and execution.</t>
  </si>
  <si>
    <t>DEF_11P_2X2</t>
  </si>
  <si>
    <t>11 personnel — 2X2 family</t>
  </si>
  <si>
    <t>Problem in 11 personnel — 2X2 family. Review fit, structure, concept and execution.</t>
  </si>
  <si>
    <t>DEF_12P_3X1</t>
  </si>
  <si>
    <t>12 personnel — 3X1 family</t>
  </si>
  <si>
    <t>DEF_12P_2X2</t>
  </si>
  <si>
    <t>12 personnel — 2X2 family</t>
  </si>
  <si>
    <t>DEF_00P_3X1</t>
  </si>
  <si>
    <t>00 personnel — 3X1 family</t>
  </si>
  <si>
    <t>DEF_OTHER</t>
  </si>
  <si>
    <t>All other personnel/structure combinations</t>
  </si>
  <si>
    <t>DEF_P10_CALLS</t>
  </si>
  <si>
    <t>P or 0 down — P&amp;10</t>
  </si>
  <si>
    <t>Problem in P or 0 down — P&amp;10. Review fit, structure, concept and execution.</t>
  </si>
  <si>
    <t>DEF_1ST_10</t>
  </si>
  <si>
    <t>1st down — exactly 10 yards</t>
  </si>
  <si>
    <t>Problem in 1st down — exactly 10 yards. Review fit, structure, concept and execution.</t>
  </si>
  <si>
    <t>DEF_2ND_1-3</t>
  </si>
  <si>
    <t>2nd down — 1–3 yards</t>
  </si>
  <si>
    <t>DEF_2ND_4-6(m)</t>
  </si>
  <si>
    <t>2nd down — 4–6 yards</t>
  </si>
  <si>
    <t>DEF_2ND_7-10</t>
  </si>
  <si>
    <t>2nd down — 7–10 yards</t>
  </si>
  <si>
    <t>DEF_2ND_11+</t>
  </si>
  <si>
    <t>2nd down — 11+ yards</t>
  </si>
  <si>
    <t>DEF_3RD_1-3</t>
  </si>
  <si>
    <t>3rd down — 1–3 yards</t>
  </si>
  <si>
    <t>DEF_3RD_4-6</t>
  </si>
  <si>
    <t>3rd down — 4–6 yards</t>
  </si>
  <si>
    <t>DEF_3RD_7-10</t>
  </si>
  <si>
    <t>3rd down — 7–10 yards</t>
  </si>
  <si>
    <t>DEF_3RD_11+</t>
  </si>
  <si>
    <t>3rd down — 11+ yards</t>
  </si>
  <si>
    <t>DEF_3RD_SNAPSHOT</t>
  </si>
  <si>
    <t>3RD DOWN DEFENSIVE SNAPSHOT</t>
  </si>
  <si>
    <t>3RD DOWN DETAIL VIEWS</t>
  </si>
  <si>
    <t>Distance buckets</t>
  </si>
  <si>
    <t>Call detail</t>
  </si>
  <si>
    <t>CLEAN 3D REPS</t>
  </si>
  <si>
    <t>30% rush / 70% dropback; TD/OTHER counted separately</t>
  </si>
  <si>
    <t>3RD DOWN BY DISTANCE BUCKET</t>
  </si>
  <si>
    <t>Problem in this third-down bucket. Review fit, structure, concept and execution.</t>
  </si>
  <si>
    <t>3RD DOWN CONCEPT PERFORMANCE</t>
  </si>
  <si>
    <t>3RD DOWN CALL PERFORMANCE</t>
  </si>
  <si>
    <t>DEF_4TH</t>
  </si>
  <si>
    <t>4th down — 1–10 yards (original tab scope)</t>
  </si>
  <si>
    <t>DEF_FORMULA_CHECK</t>
  </si>
  <si>
    <t>DEFENSIVE FORMULA / DATA READINESS</t>
  </si>
  <si>
    <t>OK / PASS = healthy • WATCH / WARNING = review data • CHECK / FAIL or errors above 0 = fix • NO CLEAN REPS = empty situation</t>
  </si>
  <si>
    <t>MEANING</t>
  </si>
  <si>
    <t>DEF_INPUT G formulas through row 1000</t>
  </si>
  <si>
    <t>All 999 prepared rows must retain their formulas.</t>
  </si>
  <si>
    <t>DEF_INPUT H formulas through row 1000</t>
  </si>
  <si>
    <t>DEF_INPUT I formulas through row 1000</t>
  </si>
  <si>
    <t>DEF_INPUT J formulas through row 1000</t>
  </si>
  <si>
    <t>DEF_INPUT M formulas through row 1000</t>
  </si>
  <si>
    <t>DEF_INPUT N formulas through row 1000</t>
  </si>
  <si>
    <t>DEF_INPUT O formulas through row 1000</t>
  </si>
  <si>
    <t>Clean reps reconcile with snapshot</t>
  </si>
  <si>
    <t>Input and snapshot clean counts must match.</t>
  </si>
  <si>
    <t>Play type partition</t>
  </si>
  <si>
    <t>RUSH + DROPBACK + TD + OTHER = clean reps.</t>
  </si>
  <si>
    <t>Rush + Dropback where applicable</t>
  </si>
  <si>
    <t>OK: TD/OTHER SEPARATE</t>
  </si>
  <si>
    <t>TD/OTHER are explicit exceptions to the two-group split.</t>
  </si>
  <si>
    <t>D&amp;D bucket labels present</t>
  </si>
  <si>
    <t>All five requested buckets are always visible.</t>
  </si>
  <si>
    <t>D&amp;D bucket totals</t>
  </si>
  <si>
    <t>Five valid buckets plus CHECK reconcile to clean reps.</t>
  </si>
  <si>
    <t>By-down totals</t>
  </si>
  <si>
    <t>P, 1–4 and CHECK downs reconcile.</t>
  </si>
  <si>
    <t>Excluded records</t>
  </si>
  <si>
    <t>Not an error count; incomplete/penalty/no-play/kneel/invalid records are excluded.</t>
  </si>
  <si>
    <t>Unscored clean outcomes</t>
  </si>
  <si>
    <t>OTHER outcomes need film/tag review.</t>
  </si>
  <si>
    <t>Missing clean concept tags</t>
  </si>
  <si>
    <t>WATCH: MISSING CONCEPT</t>
  </si>
  <si>
    <t>Missing concept tags are retained in an explicit group.</t>
  </si>
  <si>
    <t>Clean invalid down/distance</t>
  </si>
  <si>
    <t>Numeric invalid distances/down tags require source review.</t>
  </si>
  <si>
    <t>P&amp;10 handles P and 0</t>
  </si>
  <si>
    <t>P and 0 downs are normalized and fully included.</t>
  </si>
  <si>
    <t>PS bucket partition</t>
  </si>
  <si>
    <t>Five named personnel/structure buckets plus OTHER cover all clean reps.</t>
  </si>
  <si>
    <t>Third-down bucket reconciliation</t>
  </si>
  <si>
    <t>All third-down distance buckets accounted for.</t>
  </si>
  <si>
    <t>DEF_ALL rep reconciliation</t>
  </si>
  <si>
    <t>Every clean rep in this tab’s scope is represented.</t>
  </si>
  <si>
    <t>DEF_ALL populated rows</t>
  </si>
  <si>
    <t>Empty situations are legitimate; populated groups must all appear.</t>
  </si>
  <si>
    <t>DEF_D&amp;D rep reconciliation</t>
  </si>
  <si>
    <t>DEF_D&amp;D populated rows</t>
  </si>
  <si>
    <t>DEF_CONCEPT rep reconciliation</t>
  </si>
  <si>
    <t>DEF_CONCEPT populated rows</t>
  </si>
  <si>
    <t>DEF_11P_ALL rep reconciliation</t>
  </si>
  <si>
    <t>DEF_11P_ALL populated rows</t>
  </si>
  <si>
    <t>DEF_11P_3X1 rep reconciliation</t>
  </si>
  <si>
    <t>DEF_11P_3X1 populated rows</t>
  </si>
  <si>
    <t>DEF_11P_2X2 rep reconciliation</t>
  </si>
  <si>
    <t>DEF_11P_2X2 populated rows</t>
  </si>
  <si>
    <t>DEF_12P_3X1 rep reconciliation</t>
  </si>
  <si>
    <t>DEF_12P_3X1 populated rows</t>
  </si>
  <si>
    <t>DEF_12P_2X2 rep reconciliation</t>
  </si>
  <si>
    <t>DEF_12P_2X2 populated rows</t>
  </si>
  <si>
    <t>DEF_00P_3X1 rep reconciliation</t>
  </si>
  <si>
    <t>DEF_00P_3X1 populated rows</t>
  </si>
  <si>
    <t>DEF_OTHER rep reconciliation</t>
  </si>
  <si>
    <t>DEF_OTHER populated rows</t>
  </si>
  <si>
    <t>DEF_P10_CALLS rep reconciliation</t>
  </si>
  <si>
    <t>DEF_P10_CALLS populated rows</t>
  </si>
  <si>
    <t>DEF_1ST_10 rep reconciliation</t>
  </si>
  <si>
    <t>DEF_1ST_10 populated rows</t>
  </si>
  <si>
    <t>DEF_2ND_1-3 rep reconciliation</t>
  </si>
  <si>
    <t>DEF_2ND_1-3 populated rows</t>
  </si>
  <si>
    <t>DEF_2ND_4-6(m) rep reconciliation</t>
  </si>
  <si>
    <t>DEF_2ND_4-6(m) populated rows</t>
  </si>
  <si>
    <t>DEF_2ND_7-10 rep reconciliation</t>
  </si>
  <si>
    <t>DEF_2ND_7-10 populated rows</t>
  </si>
  <si>
    <t>DEF_2ND_11+ rep reconciliation</t>
  </si>
  <si>
    <t>DEF_2ND_11+ populated rows</t>
  </si>
  <si>
    <t>DEF_3RD_1-3 rep reconciliation</t>
  </si>
  <si>
    <t>DEF_3RD_1-3 populated rows</t>
  </si>
  <si>
    <t>DEF_3RD_4-6 rep reconciliation</t>
  </si>
  <si>
    <t>DEF_3RD_4-6 populated rows</t>
  </si>
  <si>
    <t>DEF_3RD_7-10 rep reconciliation</t>
  </si>
  <si>
    <t>DEF_3RD_7-10 populated rows</t>
  </si>
  <si>
    <t>DEF_3RD_11+ rep reconciliation</t>
  </si>
  <si>
    <t>DEF_3RD_11+ populated rows</t>
  </si>
  <si>
    <t>DEF_4TH rep reconciliation</t>
  </si>
  <si>
    <t>DEF_4TH populated rows</t>
  </si>
  <si>
    <t>Must be zero; includes hidden helpers.</t>
  </si>
  <si>
    <t>INSTRUCTIONS Google wrapper count</t>
  </si>
  <si>
    <t>Must be zero; checks formula text, not cached results.</t>
  </si>
  <si>
    <t>DEF_INPUT formula error count</t>
  </si>
  <si>
    <t>DEF_INPUT Google wrapper count</t>
  </si>
  <si>
    <t>DEF_SNAPSHOT formula error count</t>
  </si>
  <si>
    <t>DEF_SNAPSHOT Google wrapper count</t>
  </si>
  <si>
    <t>DEF_ALL formula error count</t>
  </si>
  <si>
    <t>DEF_ALL Google wrapper count</t>
  </si>
  <si>
    <t>DEF_D&amp;D formula error count</t>
  </si>
  <si>
    <t>DEF_D&amp;D Google wrapper count</t>
  </si>
  <si>
    <t>DEF_CONCEPT formula error count</t>
  </si>
  <si>
    <t>DEF_CONCEPT Google wrapper count</t>
  </si>
  <si>
    <t>DEF_11P_ALL formula error count</t>
  </si>
  <si>
    <t>DEF_11P_ALL Google wrapper count</t>
  </si>
  <si>
    <t>DEF_11P_3X1 formula error count</t>
  </si>
  <si>
    <t>DEF_11P_3X1 Google wrapper count</t>
  </si>
  <si>
    <t>DEF_11P_2X2 formula error count</t>
  </si>
  <si>
    <t>DEF_11P_2X2 Google wrapper count</t>
  </si>
  <si>
    <t>DEF_12P_3X1 formula error count</t>
  </si>
  <si>
    <t>DEF_12P_3X1 Google wrapper count</t>
  </si>
  <si>
    <t>DEF_12P_2X2 formula error count</t>
  </si>
  <si>
    <t>DEF_12P_2X2 Google wrapper count</t>
  </si>
  <si>
    <t>DEF_00P_3X1 formula error count</t>
  </si>
  <si>
    <t>DEF_00P_3X1 Google wrapper count</t>
  </si>
  <si>
    <t>DEF_OTHER formula error count</t>
  </si>
  <si>
    <t>DEF_OTHER Google wrapper count</t>
  </si>
  <si>
    <t>DEF_P10_CALLS formula error count</t>
  </si>
  <si>
    <t>DEF_P10_CALLS Google wrapper count</t>
  </si>
  <si>
    <t>DEF_1ST_10 formula error count</t>
  </si>
  <si>
    <t>DEF_1ST_10 Google wrapper count</t>
  </si>
  <si>
    <t>DEF_2ND_1-3 formula error count</t>
  </si>
  <si>
    <t>DEF_2ND_1-3 Google wrapper count</t>
  </si>
  <si>
    <t>DEF_2ND_4-6(m) formula error count</t>
  </si>
  <si>
    <t>DEF_2ND_4-6(m) Google wrapper count</t>
  </si>
  <si>
    <t>DEF_2ND_7-10 formula error count</t>
  </si>
  <si>
    <t>DEF_2ND_7-10 Google wrapper count</t>
  </si>
  <si>
    <t>DEF_2ND_11+ formula error count</t>
  </si>
  <si>
    <t>DEF_2ND_11+ Google wrapper count</t>
  </si>
  <si>
    <t>DEF_3RD_1-3 formula error count</t>
  </si>
  <si>
    <t>DEF_3RD_1-3 Google wrapper count</t>
  </si>
  <si>
    <t>DEF_3RD_4-6 formula error count</t>
  </si>
  <si>
    <t>DEF_3RD_4-6 Google wrapper count</t>
  </si>
  <si>
    <t>DEF_3RD_7-10 formula error count</t>
  </si>
  <si>
    <t>DEF_3RD_7-10 Google wrapper count</t>
  </si>
  <si>
    <t>DEF_3RD_11+ formula error count</t>
  </si>
  <si>
    <t>DEF_3RD_11+ Google wrapper count</t>
  </si>
  <si>
    <t>DEF_3RD_SNAPSHOT formula error count</t>
  </si>
  <si>
    <t>DEF_3RD_SNAPSHOT Google wrapper count</t>
  </si>
  <si>
    <t>DEF_4TH formula error count</t>
  </si>
  <si>
    <t>DEF_4TH Google wrapper count</t>
  </si>
  <si>
    <t>_DEF_CALC formula error count</t>
  </si>
  <si>
    <t>_DEF_CALC Google wrapper count</t>
  </si>
  <si>
    <t>TOTAL FORMULA ERRORS</t>
  </si>
  <si>
    <t>Must be 0. All current validation checks are retained.</t>
  </si>
  <si>
    <t>TOTAL GOOGLE WRAPPERS</t>
  </si>
  <si>
    <t>COACH SNAPSHOT</t>
  </si>
  <si>
    <t>Structure Family</t>
  </si>
  <si>
    <t>Defensive Success</t>
  </si>
  <si>
    <t>Explosive Allowed</t>
  </si>
  <si>
    <t>Clean Play</t>
  </si>
  <si>
    <t>Original Result</t>
  </si>
  <si>
    <t>Original Structure</t>
  </si>
  <si>
    <t>PS Bucket</t>
  </si>
  <si>
    <t>Source Caution</t>
  </si>
  <si>
    <t>Coverage</t>
  </si>
  <si>
    <t>Excluded source record.</t>
  </si>
  <si>
    <t>Missing concept; film/tag review.</t>
  </si>
  <si>
    <t>WEEKLY GAMEPLAN • START HERE</t>
  </si>
  <si>
    <t>Opponent tendencies + defensive concept call-fit signals. Film review confirms the numbers.</t>
  </si>
  <si>
    <t>Set the week, then use FIND A CALL. The coach-facing boards are the product.</t>
  </si>
  <si>
    <t>Week / opponent</t>
  </si>
  <si>
    <t>CURRENT IMPORTED SAMPLE</t>
  </si>
  <si>
    <t>Choose concept, situation or exact-play watch. Candidates and cautions appear at the top.</t>
  </si>
  <si>
    <t>OPPONENT RESPONSE CARD</t>
  </si>
  <si>
    <t>Read D&amp;D alerts alongside matching defensive context or concept evidence.</t>
  </si>
  <si>
    <t>PRINT GAMEPLAN SUMMARY</t>
  </si>
  <si>
    <t>Two-page coach summary with identity, call-fit signals and film/practice watches.</t>
  </si>
  <si>
    <t>BUILD PRACTICE PRIORITIES</t>
  </si>
  <si>
    <t>Rep strengths, review problem calls, and track opponent exact plays.</t>
  </si>
  <si>
    <t>CHECK WORKBOOK HEALTH</t>
  </si>
  <si>
    <t>Review PASS / REVIEW statuses before building the call sheet.</t>
  </si>
  <si>
    <t>WHAT THE TWO SCOUTS TELL US</t>
  </si>
  <si>
    <t>Opponent Breakdown identifies what they tend to do: concepts, personnel, structures and actual playcalls.</t>
  </si>
  <si>
    <t>Defensive Self Scout identifies what our calls have done well or poorly in tagged concepts and situations.</t>
  </si>
  <si>
    <t>This workbook identifies call-fit candidates, risk areas and practice priorities. It guides the football conversation; it does not automatically call defenses.</t>
  </si>
  <si>
    <t>Film review confirms the numbers. Match fit, execution and the actual offensive presentation before changing call usage.</t>
  </si>
  <si>
    <t>EXACT PLAYS: HONEST EVIDENCE RULE</t>
  </si>
  <si>
    <t>Opponent Exact-Play Watch = opponent evidence. Concept Proxy = defensive results for a confirmed concept. No Defensive Exact-Play Sample is supplied. A proxy is never direct proof against the named play.</t>
  </si>
  <si>
    <t>Six opponent play names map to more than one concept. Those proxy fields stay blank until a coach confirms the concept. Do not infer the answer from the play name.</t>
  </si>
  <si>
    <t>MATCHING SCOPE shows which tags match. Exact Context Match means the tagged D&amp;D / presentation / concept world, never an exact offensive play. Sample Watch marks limited reps.</t>
  </si>
  <si>
    <t>CALL-FIT AND WATCH RULES</t>
  </si>
  <si>
    <t>Success-rate watch</t>
  </si>
  <si>
    <t>Below this rate is a watch item; not a rewritten scoring rule.</t>
  </si>
  <si>
    <t>Explosive-rate watch</t>
  </si>
  <si>
    <t>At or above this rate is an Explosive Alert.</t>
  </si>
  <si>
    <t>Average-gain watch</t>
  </si>
  <si>
    <t>Above this average is a gain-control watch item.</t>
  </si>
  <si>
    <t>Call-fit score watch</t>
  </si>
  <si>
    <t>Below this score is a call-sheet / practice review signal.</t>
  </si>
  <si>
    <t>Score = ROUND(success rate × 70 + explosive prevention × 20 + clamped gain control × 10, 1). Confidence: 1–2 TRACK; 3 LOW; 4–6 MEDIUM; 7+ HIGH.</t>
  </si>
  <si>
    <t>Ranking first separates calls meeting the lookup minimum (default 4 reps). Among that group, non-problem / non-explosive candidates lead, then score and reps. If no call meets the minimum, show the best-supported small sample with its caution.</t>
  </si>
  <si>
    <t>WEEKLY WORKFLOW</t>
  </si>
  <si>
    <t>1. Finish and check both source scouts. Send the two updated workbooks to refresh this married gameplan for a new week.</t>
  </si>
  <si>
    <t>2. Save this week’s gameplan copy. This file is a self-contained snapshot of the supplied scouts, not a live external import.</t>
  </si>
  <si>
    <t>3. Use CALL_LOOKUP_BOARD. Set the situation, concept, exact-play watch and minimum reps. Review confidence and cautions before taking a candidate to the call sheet.</t>
  </si>
  <si>
    <t>4. Confirm ambiguous concept proxies on the lookup board. Add film and practice notes on the cheat sheet and practice board.</t>
  </si>
  <si>
    <t>5. Review FORMULA_CHECK. Do not overwrite calculation formulas or assume that replacing a single archive refreshes every source output.</t>
  </si>
  <si>
    <t>All situations</t>
  </si>
  <si>
    <t>FIND A DEFENSIVE CALL-FIT CANDIDATE</t>
  </si>
  <si>
    <t>Concept evidence supports defensive candidates. Exact opponent plays support watches and concept proxies; they are not proven defensive answers.</t>
  </si>
  <si>
    <t>Priority minimum reps</t>
  </si>
  <si>
    <t>Exact-play watch</t>
  </si>
  <si>
    <t>CONCEPT CALL-FIT CANDIDATE</t>
  </si>
  <si>
    <t>OPPONENT EXACT-PLAY WATCH / CONCEPT PROXY</t>
  </si>
  <si>
    <t>Call-fit score</t>
  </si>
  <si>
    <t>Success rate</t>
  </si>
  <si>
    <t>Explosive rate</t>
  </si>
  <si>
    <t>Avg gain</t>
  </si>
  <si>
    <t>Call label</t>
  </si>
  <si>
    <t>BEST CALLS BY OFFENSIVE CONCEPT</t>
  </si>
  <si>
    <t>These metrics describe the tagged concept across the imported defensive sample. A candidate remains a signal to confirm on film.</t>
  </si>
  <si>
    <t>Concept Call-Fit Candidate</t>
  </si>
  <si>
    <t>MATCHING SCOPE</t>
  </si>
  <si>
    <t>Proxy concept / context</t>
  </si>
  <si>
    <t>OPPONENT EXACT PLAY WATCH / CONCEPT PROXY</t>
  </si>
  <si>
    <t>Actual playcalls are opponent film/practice watches. Confirmed concept fields below support proxies only. Blank ambiguous mappings require coach confirmation.</t>
  </si>
  <si>
    <t>Concept Call-Fit Candidate • proxy</t>
  </si>
  <si>
    <t>Concept Reps</t>
  </si>
  <si>
    <t>Success Rate • concept</t>
  </si>
  <si>
    <t>Explosive Rate • concept</t>
  </si>
  <si>
    <t>Avg Gain • concept</t>
  </si>
  <si>
    <t>Fit Score • concept</t>
  </si>
  <si>
    <t>Confidence • concept</t>
  </si>
  <si>
    <t>Concept Call Label</t>
  </si>
  <si>
    <t>Film / Coach Note</t>
  </si>
  <si>
    <t>Confirmed concept for proxy</t>
  </si>
  <si>
    <t>15:2 BUBBLE SCREEN|</t>
  </si>
  <si>
    <t>14:3 ARROW SCREEN|</t>
  </si>
  <si>
    <t>16:CLIMB POST WHEEL|</t>
  </si>
  <si>
    <t>14:CURL OVER VERT|</t>
  </si>
  <si>
    <t>18:CURL OVER Y WAGGLE|</t>
  </si>
  <si>
    <t>13:DART STG READ|</t>
  </si>
  <si>
    <t>18:DIG HITCH TB SWING|</t>
  </si>
  <si>
    <t>13:DIG SEAM OVER|</t>
  </si>
  <si>
    <t>14:DIG SEAM SMASH|</t>
  </si>
  <si>
    <t>14:DIG SEAM UNDER|</t>
  </si>
  <si>
    <t>17:DOUBLE SPOT ARROW|</t>
  </si>
  <si>
    <t>5:FLOOD|</t>
  </si>
  <si>
    <t>15:FLY MOTION PASS|</t>
  </si>
  <si>
    <t>17:FLY POWE READ STG|</t>
  </si>
  <si>
    <t>18:FLY POWER READ STG|</t>
  </si>
  <si>
    <t>10:G STG LEAD|</t>
  </si>
  <si>
    <t>10:G STG READ|</t>
  </si>
  <si>
    <t>9:G WK LEAD|</t>
  </si>
  <si>
    <t>15:H FLY SWEEP STG|</t>
  </si>
  <si>
    <t>22:H FLY SWEEP STG OPTION|</t>
  </si>
  <si>
    <t>10:H FLY TOSS|</t>
  </si>
  <si>
    <t>10:HITCH OVER|</t>
  </si>
  <si>
    <t>15:HITCH POST OVER|</t>
  </si>
  <si>
    <t>12:LEVELS UNDER|</t>
  </si>
  <si>
    <t>15:LOAD OPTION STG|</t>
  </si>
  <si>
    <t>13:MESH TB WHEEL|</t>
  </si>
  <si>
    <t>13:OPTION ROUTES|</t>
  </si>
  <si>
    <t>11:OZ STG LEAD|</t>
  </si>
  <si>
    <t>16:OZ STG LEAD READ|</t>
  </si>
  <si>
    <t>11:OZ STG READ|</t>
  </si>
  <si>
    <t>17:OZ STG SPLIT READ|</t>
  </si>
  <si>
    <t>11:OZ TOSS STG|</t>
  </si>
  <si>
    <t>15:OZ WK LEAD READ|</t>
  </si>
  <si>
    <t>10:OZ WK READ|</t>
  </si>
  <si>
    <t>14:POST DIG UNDER|</t>
  </si>
  <si>
    <t>15:POST OVER WHEEL|</t>
  </si>
  <si>
    <t>16:POST WHEEL SWING|</t>
  </si>
  <si>
    <t>14:POWER READ STG|</t>
  </si>
  <si>
    <t>13:QB G STG LEAD|</t>
  </si>
  <si>
    <t>12:QB G WK LEAD|</t>
  </si>
  <si>
    <t>12:QB POWER STG|</t>
  </si>
  <si>
    <t>11:QB ZONE STG|</t>
  </si>
  <si>
    <t>10:QB ZONE WK|</t>
  </si>
  <si>
    <t>12:SMASH LEVELS|</t>
  </si>
  <si>
    <t>10:SMASH POST|</t>
  </si>
  <si>
    <t>13:SMASH TB SEAM|</t>
  </si>
  <si>
    <t>16:SPOT SMASH ARROW|</t>
  </si>
  <si>
    <t>6:STICKS|</t>
  </si>
  <si>
    <t>12:STICKS UNDER|</t>
  </si>
  <si>
    <t>14:TB SLIP SCREEN|</t>
  </si>
  <si>
    <t>15:TB SWING SCREEN|</t>
  </si>
  <si>
    <t>8:TRAP STG|</t>
  </si>
  <si>
    <t>15:VERT DIG OPTION|</t>
  </si>
  <si>
    <t>13:VERT DIG OVER|</t>
  </si>
  <si>
    <t>15:VERT OUT OPTION|</t>
  </si>
  <si>
    <t>13:VERT OUT SEAM|</t>
  </si>
  <si>
    <t>15:VERT SPOT SMASH|</t>
  </si>
  <si>
    <t>15:VERT SPOT UNDER|</t>
  </si>
  <si>
    <t>5:VERTS|</t>
  </si>
  <si>
    <t>13:VERTS TB SEAM|</t>
  </si>
  <si>
    <t>13:WHAM STG LEAD|</t>
  </si>
  <si>
    <t>14:X UNDER SCREEN|</t>
  </si>
  <si>
    <t>20:ZONE STG INSERT READ|</t>
  </si>
  <si>
    <t>13:ZONE STG READ|</t>
  </si>
  <si>
    <t>19:ZONE STG SPLIT READ|</t>
  </si>
  <si>
    <t>16:ZONE WK ARC READ|</t>
  </si>
  <si>
    <t>19:ZONE WK INSERT READ|</t>
  </si>
  <si>
    <t>12:ZONE WK READ|</t>
  </si>
  <si>
    <t>19:ZONE WK READ OPTION|</t>
  </si>
  <si>
    <t>22:ZONE WK SPLIT ARC READ|</t>
  </si>
  <si>
    <t>18:ZONE WK SPLIT READ|</t>
  </si>
  <si>
    <t>BEST CALLS BY D&amp;D + CONCEPT</t>
  </si>
  <si>
    <t>Exact defensive D&amp;D + concept scope. No broader sample is silently substituted when this context has no reps.</t>
  </si>
  <si>
    <t>6:1D 1-3|12:OUTSIDE ZONE|</t>
  </si>
  <si>
    <t>6:1D 11+|11:INSIDE ZONE|</t>
  </si>
  <si>
    <t>6:1D 4-6|1:G|</t>
  </si>
  <si>
    <t>6:1D 4-6|12:OUTSIDE ZONE|</t>
  </si>
  <si>
    <t>6:1D 4-6|5:POWER|</t>
  </si>
  <si>
    <t>7:1D 7-10|9:FLY SWEEP|</t>
  </si>
  <si>
    <t>7:1D 7-10|5:FUZZY|</t>
  </si>
  <si>
    <t>7:1D 7-10|1:G|</t>
  </si>
  <si>
    <t>7:1D 7-10|6:OPTION|</t>
  </si>
  <si>
    <t>7:1D 7-10|10:POWER READ|</t>
  </si>
  <si>
    <t>7:1D 7-10|3:SOP|</t>
  </si>
  <si>
    <t>6:2D 1-3|6:OPTION|</t>
  </si>
  <si>
    <t>6:2D 11+|1:G|</t>
  </si>
  <si>
    <t>6:2D 11+|5:POWER|</t>
  </si>
  <si>
    <t>6:2D 11+|6:SCREEN|</t>
  </si>
  <si>
    <t>6:2D 11+|3:SOP|</t>
  </si>
  <si>
    <t>6:2D 4-6|4:BOOT|</t>
  </si>
  <si>
    <t>6:2D 4-6|10:POWER READ|</t>
  </si>
  <si>
    <t>7:2D 7-10|4:BOOT|</t>
  </si>
  <si>
    <t>7:2D 7-10|9:FLY SWEEP|</t>
  </si>
  <si>
    <t>7:2D 7-10|6:OPTION|</t>
  </si>
  <si>
    <t>7:2D 7-10|6:SCREEN|</t>
  </si>
  <si>
    <t>7:2D 7-10|4:TRAP|</t>
  </si>
  <si>
    <t>6:3D 1-3|6:3 STEP|</t>
  </si>
  <si>
    <t>6:3D 1-3|1:G|</t>
  </si>
  <si>
    <t>6:3D 1-3|12:OUTSIDE ZONE|</t>
  </si>
  <si>
    <t>6:3D 1-3|6:SCREEN|</t>
  </si>
  <si>
    <t>6:3D 11+|11:INSIDE ZONE|</t>
  </si>
  <si>
    <t>6:3D 11+|12:OUTSIDE ZONE|</t>
  </si>
  <si>
    <t>6:3D 4-6|4:DASH|</t>
  </si>
  <si>
    <t>6:3D 4-6|1:G|</t>
  </si>
  <si>
    <t>7:3D 7-10|12:OUTSIDE ZONE|</t>
  </si>
  <si>
    <t>7:3D 7-10|3:PAP|</t>
  </si>
  <si>
    <t>7:3D 7-10|6:SCREEN|</t>
  </si>
  <si>
    <t>6:4D 1-3|1:G|</t>
  </si>
  <si>
    <t>6:4D 1-3|4:WHAM|</t>
  </si>
  <si>
    <t>4:P&amp;10|1:G|</t>
  </si>
  <si>
    <t>4:P&amp;10|6:OPTION|</t>
  </si>
  <si>
    <t>4:P&amp;10|10:POWER READ|</t>
  </si>
  <si>
    <t>4:P&amp;10|6:SCREEN|</t>
  </si>
  <si>
    <t>OPPONENT EXACT PLAY WATCH / CONCEPT PROXY • BY D&amp;D</t>
  </si>
  <si>
    <t>These are D&amp;D opponent exact-play watches. Any displayed defensive metrics describe D&amp;D + confirmed concept, never performance proven against that exact play.</t>
  </si>
  <si>
    <t>6:1D 1-3|11:OZ TOSS STG|</t>
  </si>
  <si>
    <t>6:1D 11+|12:ZONE WK READ|</t>
  </si>
  <si>
    <t>6:1D 4-6|10:G STG LEAD|</t>
  </si>
  <si>
    <t>6:1D 4-6|11:OZ STG READ|</t>
  </si>
  <si>
    <t>6:1D 4-6|12:QB POWER STG|</t>
  </si>
  <si>
    <t>7:1D 7-10|16:CLIMB POST WHEEL|</t>
  </si>
  <si>
    <t>7:1D 7-10|5:FLOOD|</t>
  </si>
  <si>
    <t>7:1D 7-10|15:FLY MOTION PASS|</t>
  </si>
  <si>
    <t>7:1D 7-10|18:FLY POWER READ STG|</t>
  </si>
  <si>
    <t>7:1D 7-10|10:G STG READ|</t>
  </si>
  <si>
    <t>7:1D 7-10|15:H FLY SWEEP STG|</t>
  </si>
  <si>
    <t>7:1D 7-10|11:OZ STG READ|</t>
  </si>
  <si>
    <t>7:1D 7-10|15:OZ WK LEAD READ|</t>
  </si>
  <si>
    <t>7:1D 7-10|10:OZ WK READ|</t>
  </si>
  <si>
    <t>7:1D 7-10|15:POST OVER WHEEL|</t>
  </si>
  <si>
    <t>7:1D 7-10|10:QB ZONE WK|</t>
  </si>
  <si>
    <t>7:1D 7-10|10:SMASH POST|</t>
  </si>
  <si>
    <t>7:1D 7-10|13:SMASH TB SEAM|</t>
  </si>
  <si>
    <t>7:1D 7-10|16:SPOT SMASH ARROW|</t>
  </si>
  <si>
    <t>7:1D 7-10|15:TB SWING SCREEN|</t>
  </si>
  <si>
    <t>7:1D 7-10|13:VERTS TB SEAM|</t>
  </si>
  <si>
    <t>7:1D 7-10|20:ZONE STG INSERT READ|</t>
  </si>
  <si>
    <t>7:1D 7-10|19:ZONE STG SPLIT READ|</t>
  </si>
  <si>
    <t>7:1D 7-10|12:ZONE WK READ|</t>
  </si>
  <si>
    <t>7:1D 7-10|19:ZONE WK READ OPTION|</t>
  </si>
  <si>
    <t>6:2D 1-3|14:DIG SEAM UNDER|</t>
  </si>
  <si>
    <t>6:2D 1-3|15:LOAD OPTION STG|</t>
  </si>
  <si>
    <t>6:2D 1-3|13:OPTION ROUTES|</t>
  </si>
  <si>
    <t>6:2D 1-3|16:POST WHEEL SWING|</t>
  </si>
  <si>
    <t>6:2D 1-3|11:QB ZONE STG|</t>
  </si>
  <si>
    <t>6:2D 1-3|6:STICKS|</t>
  </si>
  <si>
    <t>6:2D 1-3|19:ZONE STG SPLIT READ|</t>
  </si>
  <si>
    <t>6:2D 11+|10:G STG READ|</t>
  </si>
  <si>
    <t>6:2D 11+|12:QB POWER STG|</t>
  </si>
  <si>
    <t>6:2D 11+|15:TB SWING SCREEN|</t>
  </si>
  <si>
    <t>6:2D 11+|15:VERT OUT OPTION|</t>
  </si>
  <si>
    <t>6:2D 11+|5:VERTS|</t>
  </si>
  <si>
    <t>6:2D 11+|13:ZONE STG READ|</t>
  </si>
  <si>
    <t>6:2D 11+|19:ZONE STG SPLIT READ|</t>
  </si>
  <si>
    <t>6:2D 11+|12:ZONE WK READ|</t>
  </si>
  <si>
    <t>6:2D 11+|18:ZONE WK SPLIT READ|</t>
  </si>
  <si>
    <t>6:2D 4-6|18:DIG HITCH TB SWING|</t>
  </si>
  <si>
    <t>6:2D 4-6|5:FLOOD|</t>
  </si>
  <si>
    <t>6:2D 4-6|18:FLY POWER READ STG|</t>
  </si>
  <si>
    <t>6:2D 4-6|17:OZ STG SPLIT READ|</t>
  </si>
  <si>
    <t>6:2D 4-6|10:OZ WK READ|</t>
  </si>
  <si>
    <t>6:2D 4-6|12:ZONE WK READ|</t>
  </si>
  <si>
    <t>7:2D 7-10|14:3 ARROW SCREEN|</t>
  </si>
  <si>
    <t>7:2D 7-10|14:CURL OVER VERT|</t>
  </si>
  <si>
    <t>7:2D 7-10|13:DART STG READ|</t>
  </si>
  <si>
    <t>7:2D 7-10|13:DIG SEAM OVER|</t>
  </si>
  <si>
    <t>7:2D 7-10|14:DIG SEAM SMASH|</t>
  </si>
  <si>
    <t>7:2D 7-10|5:FLOOD|</t>
  </si>
  <si>
    <t>7:2D 7-10|15:H FLY SWEEP STG|</t>
  </si>
  <si>
    <t>7:2D 7-10|13:MESH TB WHEEL|</t>
  </si>
  <si>
    <t>7:2D 7-10|16:OZ STG LEAD READ|</t>
  </si>
  <si>
    <t>7:2D 7-10|11:OZ STG READ|</t>
  </si>
  <si>
    <t>7:2D 7-10|17:OZ STG SPLIT READ|</t>
  </si>
  <si>
    <t>7:2D 7-10|12:SMASH LEVELS|</t>
  </si>
  <si>
    <t>7:2D 7-10|15:TB SWING SCREEN|</t>
  </si>
  <si>
    <t>7:2D 7-10|8:TRAP STG|</t>
  </si>
  <si>
    <t>7:2D 7-10|13:VERT OUT SEAM|</t>
  </si>
  <si>
    <t>7:2D 7-10|15:VERT SPOT SMASH|</t>
  </si>
  <si>
    <t>7:2D 7-10|13:ZONE STG READ|</t>
  </si>
  <si>
    <t>7:2D 7-10|16:ZONE WK ARC READ|</t>
  </si>
  <si>
    <t>7:2D 7-10|12:ZONE WK READ|</t>
  </si>
  <si>
    <t>7:2D 7-10|19:ZONE WK READ OPTION|</t>
  </si>
  <si>
    <t>6:3D 1-3|11:OZ STG READ|</t>
  </si>
  <si>
    <t>6:3D 1-3|12:QB G WK LEAD|</t>
  </si>
  <si>
    <t>6:3D 1-3|6:STICKS|</t>
  </si>
  <si>
    <t>6:3D 1-3|15:VERT DIG OPTION|</t>
  </si>
  <si>
    <t>6:3D 1-3|14:X UNDER SCREEN|</t>
  </si>
  <si>
    <t>6:3D 1-3|18:ZONE WK SPLIT READ|</t>
  </si>
  <si>
    <t>6:3D 11+|11:OZ STG LEAD|</t>
  </si>
  <si>
    <t>6:3D 11+|11:OZ STG READ|</t>
  </si>
  <si>
    <t>6:3D 11+|15:TB SWING SCREEN|</t>
  </si>
  <si>
    <t>6:3D 11+|13:VERT DIG OVER|</t>
  </si>
  <si>
    <t>6:3D 11+|19:ZONE STG SPLIT READ|</t>
  </si>
  <si>
    <t>6:3D 11+|12:ZONE WK READ|</t>
  </si>
  <si>
    <t>6:3D 4-6|17:DOUBLE SPOT ARROW|</t>
  </si>
  <si>
    <t>6:3D 4-6|5:FLOOD|</t>
  </si>
  <si>
    <t>6:3D 4-6|9:G WK LEAD|</t>
  </si>
  <si>
    <t>6:3D 4-6|12:LEVELS UNDER|</t>
  </si>
  <si>
    <t>6:3D 4-6|13:MESH TB WHEEL|</t>
  </si>
  <si>
    <t>6:3D 4-6|12:STICKS UNDER|</t>
  </si>
  <si>
    <t>6:3D 4-6|14:TB SLIP SCREEN|</t>
  </si>
  <si>
    <t>6:3D 4-6|15:VERT SPOT UNDER|</t>
  </si>
  <si>
    <t>6:3D 4-6|5:VERTS|</t>
  </si>
  <si>
    <t>6:3D 4-6|12:ZONE WK READ|</t>
  </si>
  <si>
    <t>6:3D 4-6|18:ZONE WK SPLIT READ|</t>
  </si>
  <si>
    <t>7:3D 7-10|18:CURL OVER Y WAGGLE|</t>
  </si>
  <si>
    <t>7:3D 7-10|17:DOUBLE SPOT ARROW|</t>
  </si>
  <si>
    <t>7:3D 7-10|13:MESH TB WHEEL|</t>
  </si>
  <si>
    <t>7:3D 7-10|13:OPTION ROUTES|</t>
  </si>
  <si>
    <t>7:3D 7-10|11:OZ STG LEAD|</t>
  </si>
  <si>
    <t>7:3D 7-10|17:OZ STG SPLIT READ|</t>
  </si>
  <si>
    <t>7:3D 7-10|14:POST DIG UNDER|</t>
  </si>
  <si>
    <t>7:3D 7-10|6:STICKS|</t>
  </si>
  <si>
    <t>7:3D 7-10|15:TB SWING SCREEN|</t>
  </si>
  <si>
    <t>7:3D 7-10|5:VERTS|</t>
  </si>
  <si>
    <t>7:3D 7-10|13:VERTS TB SEAM|</t>
  </si>
  <si>
    <t>7:3D 7-10|19:ZONE STG SPLIT READ|</t>
  </si>
  <si>
    <t>6:4D 1-3|13:QB G STG LEAD|</t>
  </si>
  <si>
    <t>6:4D 1-3|13:WHAM STG LEAD|</t>
  </si>
  <si>
    <t>4:P&amp;10|15:2 BUBBLE SCREEN|</t>
  </si>
  <si>
    <t>4:P&amp;10|13:DART STG READ|</t>
  </si>
  <si>
    <t>4:P&amp;10|14:DIG SEAM UNDER|</t>
  </si>
  <si>
    <t>4:P&amp;10|5:FLOOD|</t>
  </si>
  <si>
    <t>4:P&amp;10|17:FLY POWE READ STG|</t>
  </si>
  <si>
    <t>4:P&amp;10|15:H FLY SWEEP STG|</t>
  </si>
  <si>
    <t>4:P&amp;10|22:H FLY SWEEP STG OPTION|</t>
  </si>
  <si>
    <t>4:P&amp;10|10:H FLY TOSS|</t>
  </si>
  <si>
    <t>4:P&amp;10|10:HITCH OVER|</t>
  </si>
  <si>
    <t>4:P&amp;10|15:HITCH POST OVER|</t>
  </si>
  <si>
    <t>4:P&amp;10|13:OPTION ROUTES|</t>
  </si>
  <si>
    <t>4:P&amp;10|11:OZ STG LEAD|</t>
  </si>
  <si>
    <t>4:P&amp;10|11:OZ STG READ|</t>
  </si>
  <si>
    <t>4:P&amp;10|17:OZ STG SPLIT READ|</t>
  </si>
  <si>
    <t>4:P&amp;10|11:OZ TOSS STG|</t>
  </si>
  <si>
    <t>4:P&amp;10|14:POWER READ STG|</t>
  </si>
  <si>
    <t>4:P&amp;10|12:QB G WK LEAD|</t>
  </si>
  <si>
    <t>4:P&amp;10|15:TB SWING SCREEN|</t>
  </si>
  <si>
    <t>4:P&amp;10|20:ZONE STG INSERT READ|</t>
  </si>
  <si>
    <t>4:P&amp;10|13:ZONE STG READ|</t>
  </si>
  <si>
    <t>4:P&amp;10|19:ZONE STG SPLIT READ|</t>
  </si>
  <si>
    <t>4:P&amp;10|19:ZONE WK INSERT READ|</t>
  </si>
  <si>
    <t>4:P&amp;10|12:ZONE WK READ|</t>
  </si>
  <si>
    <t>4:P&amp;10|19:ZONE WK READ OPTION|</t>
  </si>
  <si>
    <t>4:P&amp;10|22:ZONE WK SPLIT ARC READ|</t>
  </si>
  <si>
    <t>CALLS TO BE CAREFUL WITH</t>
  </si>
  <si>
    <t>At least four reps in the stated context plus low success, explosive exposure, poor gain control or low score. These are practice / call-sheet review signals.</t>
  </si>
  <si>
    <t>Defensive Context</t>
  </si>
  <si>
    <t>Success Rate</t>
  </si>
  <si>
    <t>Explosive Rate</t>
  </si>
  <si>
    <t>Average Gain</t>
  </si>
  <si>
    <t>Evidence Label</t>
  </si>
  <si>
    <t>Signal scope</t>
  </si>
  <si>
    <t>Film Review Required</t>
  </si>
  <si>
    <t>DD</t>
  </si>
  <si>
    <t>DD_CONCEPT</t>
  </si>
  <si>
    <t>SAMPLE WATCH / CLIP REVIEW</t>
  </si>
  <si>
    <t>Interesting 1–3 rep items remain track / clip review signals. They are not major gameplan answers.</t>
  </si>
  <si>
    <t>Sample Watch / Clip Review</t>
  </si>
  <si>
    <t>CONCEPTS</t>
  </si>
  <si>
    <t>EXACT-PLAY WATCH</t>
  </si>
  <si>
    <t>D&amp;D + CONCEPT</t>
  </si>
  <si>
    <t>D&amp;D PLAY WATCH</t>
  </si>
  <si>
    <t>CAUTIONS</t>
  </si>
  <si>
    <t>SMALL SAMPLES</t>
  </si>
  <si>
    <t>Concept reps</t>
  </si>
  <si>
    <t>Concept score</t>
  </si>
  <si>
    <t>Concept success</t>
  </si>
  <si>
    <t>Concept explosive</t>
  </si>
  <si>
    <t>Concept avg gain</t>
  </si>
  <si>
    <t>6. D&amp;D + ACTUAL PLAYCALL • OPPONENT WATCH / CONCEPT PROXY</t>
  </si>
  <si>
    <t>No Defensive Exact-Play Sample is supplied. Metrics, when present, are copied from D&amp;D + confirmed concept evidence. They never assert defensive success against the exact opponent play.</t>
  </si>
  <si>
    <t>1D 1-3 | OZ TOSS STG • opponent watch</t>
  </si>
  <si>
    <t>No Defensive Exact-Play Sample • Concept Proxy</t>
  </si>
  <si>
    <t>1D 11+ | ZONE WK READ • opponent watch</t>
  </si>
  <si>
    <t>1D 4-6 | G STG LEAD • opponent watch</t>
  </si>
  <si>
    <t>1D 4-6 | OZ STG READ • opponent watch</t>
  </si>
  <si>
    <t>1D 4-6 | QB POWER STG • opponent watch</t>
  </si>
  <si>
    <t>1D 7-10 | CLIMB POST WHEEL • opponent watch</t>
  </si>
  <si>
    <t>1D 7-10 | FLOOD • opponent watch</t>
  </si>
  <si>
    <t>1D 7-10 | FLY MOTION PASS • opponent watch</t>
  </si>
  <si>
    <t>1D 7-10 | FLY POWER READ STG • opponent watch</t>
  </si>
  <si>
    <t>1D 7-10 | G STG READ • opponent watch</t>
  </si>
  <si>
    <t>1D 7-10 | H FLY SWEEP STG • opponent watch</t>
  </si>
  <si>
    <t>1D 7-10 | OZ STG READ • opponent watch</t>
  </si>
  <si>
    <t>1D 7-10 | OZ WK LEAD READ • opponent watch</t>
  </si>
  <si>
    <t>1D 7-10 | OZ WK READ • opponent watch</t>
  </si>
  <si>
    <t>1D 7-10 | POST OVER WHEEL • opponent watch</t>
  </si>
  <si>
    <t>1D 7-10 | QB ZONE WK • opponent watch</t>
  </si>
  <si>
    <t>1D 7-10 | SMASH POST • opponent watch</t>
  </si>
  <si>
    <t>1D 7-10 | SMASH TB SEAM • opponent watch</t>
  </si>
  <si>
    <t>1D 7-10 | SPOT SMASH ARROW • opponent watch</t>
  </si>
  <si>
    <t>1D 7-10 | TB SWING SCREEN • opponent watch</t>
  </si>
  <si>
    <t>1D 7-10 | VERTS TB SEAM • opponent watch</t>
  </si>
  <si>
    <t>1D 7-10 | ZONE STG INSERT READ • opponent watch</t>
  </si>
  <si>
    <t>1D 7-10 | ZONE STG SPLIT READ • opponent watch</t>
  </si>
  <si>
    <t>1D 7-10 | ZONE WK READ • opponent watch</t>
  </si>
  <si>
    <t>1D 7-10 | ZONE WK READ OPTION • opponent watch</t>
  </si>
  <si>
    <t>2D 1-3 | DIG SEAM UNDER • opponent watch</t>
  </si>
  <si>
    <t>2D 1-3 | LOAD OPTION STG • opponent watch</t>
  </si>
  <si>
    <t>2D 1-3 | OPTION ROUTES • opponent watch</t>
  </si>
  <si>
    <t>2D 1-3 | POST WHEEL SWING • opponent watch</t>
  </si>
  <si>
    <t>2D 1-3 | QB ZONE STG • opponent watch</t>
  </si>
  <si>
    <t>2D 1-3 | STICKS • opponent watch</t>
  </si>
  <si>
    <t>2D 1-3 | ZONE STG SPLIT READ • opponent watch</t>
  </si>
  <si>
    <t>2D 11+ | G STG READ • opponent watch</t>
  </si>
  <si>
    <t>2D 11+ | QB POWER STG • opponent watch</t>
  </si>
  <si>
    <t>2D 11+ | TB SWING SCREEN • opponent watch</t>
  </si>
  <si>
    <t>2D 11+ | VERT OUT OPTION • opponent watch</t>
  </si>
  <si>
    <t>2D 11+ | VERTS • opponent watch</t>
  </si>
  <si>
    <t>2D 11+ | ZONE STG READ • opponent watch</t>
  </si>
  <si>
    <t>2D 11+ | ZONE STG SPLIT READ • opponent watch</t>
  </si>
  <si>
    <t>2D 11+ | ZONE WK READ • opponent watch</t>
  </si>
  <si>
    <t>2D 11+ | ZONE WK SPLIT READ • opponent watch</t>
  </si>
  <si>
    <t>2D 4-6 | DIG HITCH TB SWING • opponent watch</t>
  </si>
  <si>
    <t>2D 4-6 | FLOOD • opponent watch</t>
  </si>
  <si>
    <t>2D 4-6 | FLY POWER READ STG • opponent watch</t>
  </si>
  <si>
    <t>2D 4-6 | OZ STG SPLIT READ • opponent watch</t>
  </si>
  <si>
    <t>2D 4-6 | OZ WK READ • opponent watch</t>
  </si>
  <si>
    <t>2D 4-6 | ZONE WK READ • opponent watch</t>
  </si>
  <si>
    <t>2D 7-10 | 3 ARROW SCREEN • opponent watch</t>
  </si>
  <si>
    <t>2D 7-10 | CURL OVER VERT • opponent watch</t>
  </si>
  <si>
    <t>2D 7-10 | DART STG READ • opponent watch</t>
  </si>
  <si>
    <t>2D 7-10 | DIG SEAM OVER • opponent watch</t>
  </si>
  <si>
    <t>2D 7-10 | DIG SEAM SMASH • opponent watch</t>
  </si>
  <si>
    <t>2D 7-10 | FLOOD • opponent watch</t>
  </si>
  <si>
    <t>2D 7-10 | H FLY SWEEP STG • opponent watch</t>
  </si>
  <si>
    <t>2D 7-10 | MESH TB WHEEL • opponent watch</t>
  </si>
  <si>
    <t>2D 7-10 | OZ STG LEAD READ • opponent watch</t>
  </si>
  <si>
    <t>2D 7-10 | OZ STG READ • opponent watch</t>
  </si>
  <si>
    <t>2D 7-10 | OZ STG SPLIT READ • opponent watch</t>
  </si>
  <si>
    <t>2D 7-10 | SMASH LEVELS • opponent watch</t>
  </si>
  <si>
    <t>2D 7-10 | TB SWING SCREEN • opponent watch</t>
  </si>
  <si>
    <t>2D 7-10 | TRAP STG • opponent watch</t>
  </si>
  <si>
    <t>2D 7-10 | VERT OUT SEAM • opponent watch</t>
  </si>
  <si>
    <t>2D 7-10 | VERT SPOT SMASH • opponent watch</t>
  </si>
  <si>
    <t>2D 7-10 | ZONE STG READ • opponent watch</t>
  </si>
  <si>
    <t>2D 7-10 | ZONE WK ARC READ • opponent watch</t>
  </si>
  <si>
    <t>2D 7-10 | ZONE WK READ • opponent watch</t>
  </si>
  <si>
    <t>2D 7-10 | ZONE WK READ OPTION • opponent watch</t>
  </si>
  <si>
    <t>3D 1-3 | OZ STG READ • opponent watch</t>
  </si>
  <si>
    <t>3D 1-3 | QB G WK LEAD • opponent watch</t>
  </si>
  <si>
    <t>3D 1-3 | STICKS • opponent watch</t>
  </si>
  <si>
    <t>3D 1-3 | VERT DIG OPTION • opponent watch</t>
  </si>
  <si>
    <t>3D 1-3 | X UNDER SCREEN • opponent watch</t>
  </si>
  <si>
    <t>3D 1-3 | ZONE WK SPLIT READ • opponent watch</t>
  </si>
  <si>
    <t>3D 11+ | OZ STG LEAD • opponent watch</t>
  </si>
  <si>
    <t>3D 11+ | OZ STG READ • opponent watch</t>
  </si>
  <si>
    <t>3D 11+ | TB SWING SCREEN • opponent watch</t>
  </si>
  <si>
    <t>3D 11+ | VERT DIG OVER • opponent watch</t>
  </si>
  <si>
    <t>3D 11+ | ZONE STG SPLIT READ • opponent watch</t>
  </si>
  <si>
    <t>3D 11+ | ZONE WK READ • opponent watch</t>
  </si>
  <si>
    <t>3D 4-6 | DOUBLE SPOT ARROW • opponent watch</t>
  </si>
  <si>
    <t>3D 4-6 | FLOOD • opponent watch</t>
  </si>
  <si>
    <t>3D 4-6 | G WK LEAD • opponent watch</t>
  </si>
  <si>
    <t>3D 4-6 | LEVELS UNDER • opponent watch</t>
  </si>
  <si>
    <t>3D 4-6 | MESH TB WHEEL • opponent watch</t>
  </si>
  <si>
    <t>3D 4-6 | STICKS UNDER • opponent watch</t>
  </si>
  <si>
    <t>3D 4-6 | TB SLIP SCREEN • opponent watch</t>
  </si>
  <si>
    <t>3D 4-6 | VERT SPOT UNDER • opponent watch</t>
  </si>
  <si>
    <t>3D 4-6 | VERTS • opponent watch</t>
  </si>
  <si>
    <t>3D 4-6 | ZONE WK READ • opponent watch</t>
  </si>
  <si>
    <t>3D 4-6 | ZONE WK SPLIT READ • opponent watch</t>
  </si>
  <si>
    <t>3D 7-10 | CURL OVER Y WAGGLE • opponent watch</t>
  </si>
  <si>
    <t>3D 7-10 | DOUBLE SPOT ARROW • opponent watch</t>
  </si>
  <si>
    <t>3D 7-10 | MESH TB WHEEL • opponent watch</t>
  </si>
  <si>
    <t>3D 7-10 | OPTION ROUTES • opponent watch</t>
  </si>
  <si>
    <t>3D 7-10 | OZ STG LEAD • opponent watch</t>
  </si>
  <si>
    <t>3D 7-10 | OZ STG SPLIT READ • opponent watch</t>
  </si>
  <si>
    <t>3D 7-10 | POST DIG UNDER • opponent watch</t>
  </si>
  <si>
    <t>3D 7-10 | STICKS • opponent watch</t>
  </si>
  <si>
    <t>3D 7-10 | TB SWING SCREEN • opponent watch</t>
  </si>
  <si>
    <t>3D 7-10 | VERTS • opponent watch</t>
  </si>
  <si>
    <t>3D 7-10 | VERTS TB SEAM • opponent watch</t>
  </si>
  <si>
    <t>3D 7-10 | ZONE STG SPLIT READ • opponent watch</t>
  </si>
  <si>
    <t>4D 1-3 | QB G STG LEAD • opponent watch</t>
  </si>
  <si>
    <t>4D 1-3 | WHAM STG LEAD • opponent watch</t>
  </si>
  <si>
    <t>P&amp;10 | 2 BUBBLE SCREEN • opponent watch</t>
  </si>
  <si>
    <t>P&amp;10 | DART STG READ • opponent watch</t>
  </si>
  <si>
    <t>P&amp;10 | DIG SEAM UNDER • opponent watch</t>
  </si>
  <si>
    <t>P&amp;10 | FLOOD • opponent watch</t>
  </si>
  <si>
    <t>P&amp;10 | FLY POWE READ STG • opponent watch</t>
  </si>
  <si>
    <t>P&amp;10 | H FLY SWEEP STG • opponent watch</t>
  </si>
  <si>
    <t>P&amp;10 | H FLY SWEEP STG OPTION • opponent watch</t>
  </si>
  <si>
    <t>P&amp;10 | H FLY TOSS • opponent watch</t>
  </si>
  <si>
    <t>P&amp;10 | HITCH OVER • opponent watch</t>
  </si>
  <si>
    <t>P&amp;10 | HITCH POST OVER • opponent watch</t>
  </si>
  <si>
    <t>P&amp;10 | OPTION ROUTES • opponent watch</t>
  </si>
  <si>
    <t>P&amp;10 | OZ STG LEAD • opponent watch</t>
  </si>
  <si>
    <t>P&amp;10 | OZ STG READ • opponent watch</t>
  </si>
  <si>
    <t>P&amp;10 | OZ STG SPLIT READ • opponent watch</t>
  </si>
  <si>
    <t>P&amp;10 | OZ TOSS STG • opponent watch</t>
  </si>
  <si>
    <t>P&amp;10 | POWER READ STG • opponent watch</t>
  </si>
  <si>
    <t>P&amp;10 | QB G WK LEAD • opponent watch</t>
  </si>
  <si>
    <t>P&amp;10 | TB SWING SCREEN • opponent watch</t>
  </si>
  <si>
    <t>P&amp;10 | ZONE STG INSERT READ • opponent watch</t>
  </si>
  <si>
    <t>P&amp;10 | ZONE STG READ • opponent watch</t>
  </si>
  <si>
    <t>P&amp;10 | ZONE STG SPLIT READ • opponent watch</t>
  </si>
  <si>
    <t>P&amp;10 | ZONE WK INSERT READ • opponent watch</t>
  </si>
  <si>
    <t>P&amp;10 | ZONE WK READ • opponent watch</t>
  </si>
  <si>
    <t>P&amp;10 | ZONE WK READ OPTION • opponent watch</t>
  </si>
  <si>
    <t>P&amp;10 | ZONE WK SPLIT ARC READ • opponent watch</t>
  </si>
  <si>
    <t>OPPONENT ALERT → DEFENSIVE RESPONSE CARD</t>
  </si>
  <si>
    <t>Read the tendency, matching scope, candidate and caution together. Opponent exact plays are watch items; concept proxies never prove an exact-play defensive answer.</t>
  </si>
  <si>
    <t>Opponent Alert</t>
  </si>
  <si>
    <t>Opponent Concept / Play World</t>
  </si>
  <si>
    <t>Concept / Context Call-Fit Candidate</t>
  </si>
  <si>
    <t>Defensive Caution</t>
  </si>
  <si>
    <t>Film / Practice Note</t>
  </si>
  <si>
    <t>Opponent Usage</t>
  </si>
  <si>
    <t>Opponent Lift</t>
  </si>
  <si>
    <t>Opponent P-Value</t>
  </si>
  <si>
    <t>Opponent Stat Support</t>
  </si>
  <si>
    <t>Coach Interpretation</t>
  </si>
  <si>
    <t>Opponent Target Reps</t>
  </si>
  <si>
    <t>Usage is within the named opponent context, not all plays. Confirm the presentation and matching scope on film; sample watches are not call-sheet anchors.</t>
  </si>
  <si>
    <t>Sample watch; build the sample and review clips.</t>
  </si>
  <si>
    <t>Personnel / structure tendency</t>
  </si>
  <si>
    <t>Opponent Exact-Play Watch: HITCH OVER</t>
  </si>
  <si>
    <t>Opponent exact play is opponent-only. No Defensive Exact-Play Sample. Practice the confirmed concept world; review the exact play on film.</t>
  </si>
  <si>
    <t>Opponent Exact-Play Watch: OZ TOSS STG</t>
  </si>
  <si>
    <t>Opponent Exact-Play Watch: QB POWER STG</t>
  </si>
  <si>
    <t>Opponent Exact-Play Watch: G STG READ</t>
  </si>
  <si>
    <t>Opponent Exact-Play Watch: ZONE WK READ</t>
  </si>
  <si>
    <t>Opponent Exact-Play Watch: DIG SEAM UNDER</t>
  </si>
  <si>
    <t>Opponent Exact-Play Watch: DIG HITCH TB SWING</t>
  </si>
  <si>
    <t>Opponent Exact-Play Watch: VERT OUT SEAM</t>
  </si>
  <si>
    <t>Opponent Exact-Play Watch: X UNDER SCREEN</t>
  </si>
  <si>
    <t>Opponent Exact-Play Watch: G WK LEAD</t>
  </si>
  <si>
    <t>Structure-driven tendency; confirm the attached concept on film.</t>
  </si>
  <si>
    <t>Opponent Exact-Play Watch: DOUBLE SPOT ARROW</t>
  </si>
  <si>
    <t>Opponent Exact-Play Watch: WHAM STG LEAD</t>
  </si>
  <si>
    <t>WEEKLY GAMEPLAN CHEAT SHEET</t>
  </si>
  <si>
    <t>Concept call-fit candidates + opponent tendencies + film / practice watches. No automatic defensive calls.</t>
  </si>
  <si>
    <t>1. OPPONENT CORE IDENTITY</t>
  </si>
  <si>
    <t>Opponent concept tendency</t>
  </si>
  <si>
    <t>43 reps</t>
  </si>
  <si>
    <t>27%</t>
  </si>
  <si>
    <t>Usage is within concept-tagged plays; film confirms identity.</t>
  </si>
  <si>
    <t>30 reps</t>
  </si>
  <si>
    <t>19%</t>
  </si>
  <si>
    <t>27 reps</t>
  </si>
  <si>
    <t>17%</t>
  </si>
  <si>
    <t>2. TOP D&amp;D ALERTS</t>
  </si>
  <si>
    <t>Opponent tendency</t>
  </si>
  <si>
    <t>Read matching scope and confidence on the response card.</t>
  </si>
  <si>
    <t>3. PERSONNEL / STRUCTURE TELLS</t>
  </si>
  <si>
    <t>Presentation tendency</t>
  </si>
  <si>
    <t>Exact Context Match</t>
  </si>
  <si>
    <t>Presentation labels are retained; a broader fallback is explicitly marked.</t>
  </si>
  <si>
    <t>4. EXACT PLAYCALL WATCH • FILM / PRACTICE ONLY</t>
  </si>
  <si>
    <t>Opponent Exact-Play Watch</t>
  </si>
  <si>
    <t>24 opponent reps</t>
  </si>
  <si>
    <t>15%</t>
  </si>
  <si>
    <t>No Defensive Exact-Play Sample. Confirm concept before using a proxy.</t>
  </si>
  <si>
    <t>8 opponent reps</t>
  </si>
  <si>
    <t>5%</t>
  </si>
  <si>
    <t>5. DEFENSIVE CALL-FIT CANDIDATES • OVERALL SIGNAL</t>
  </si>
  <si>
    <t>Overall defensive signal</t>
  </si>
  <si>
    <t>4 reps</t>
  </si>
  <si>
    <t>Check concept and presentation fit; overall score alone is not a situational answer.</t>
  </si>
  <si>
    <t>6. CONCEPT CALL-FIT CANDIDATES</t>
  </si>
  <si>
    <t>Concept evidence</t>
  </si>
  <si>
    <t>Concept Call-Fit Candidate; confirm fit and execution on film.</t>
  </si>
  <si>
    <t>7. EXACT-PLAY WATCH / CONCEPT PROXY</t>
  </si>
  <si>
    <t>Concept Proxy</t>
  </si>
  <si>
    <t>Opponent-only play</t>
  </si>
  <si>
    <t>Displayed defensive evidence describes the concept, never exact-play defensive proof.</t>
  </si>
  <si>
    <t>8. DEFENSIVE PROBLEM AREAS</t>
  </si>
  <si>
    <t>4 defensive reps</t>
  </si>
  <si>
    <t>Explosive Alert</t>
  </si>
  <si>
    <t>Practice / call-sheet review; confirm the problem on film.</t>
  </si>
  <si>
    <t>6 defensive reps</t>
  </si>
  <si>
    <t>9. EXPLOSIVE RISK SITUATIONS</t>
  </si>
  <si>
    <t>50% explosive</t>
  </si>
  <si>
    <t>Review clips, leverage and execution before using as an answer.</t>
  </si>
  <si>
    <t>33% explosive</t>
  </si>
  <si>
    <t>6 reps</t>
  </si>
  <si>
    <t>10. SAMPLE WATCH / CLIP REVIEW</t>
  </si>
  <si>
    <t>1 reps</t>
  </si>
  <si>
    <t>Sample watch; not enough evidence for a major call-plan answer.</t>
  </si>
  <si>
    <t>11. FINAL GAMEPLAN NOTES • COACH EDITS</t>
  </si>
  <si>
    <t>Film confirmation / personnel and structure fit:</t>
  </si>
  <si>
    <t>Practice emphasis / adjustments / call-sheet cautions:</t>
  </si>
  <si>
    <t>PRACTICE SCRIPT PRIORITIES</t>
  </si>
  <si>
    <t>Rep confirmed concept worlds, review defensive risk, and clip opponent exact-play watches. Priority reflects practice work, not automatic defensive calls.</t>
  </si>
  <si>
    <t>1. HIGH-PRIORITY OPPONENT ALERTS</t>
  </si>
  <si>
    <t>Concept / Exact-Play Watch</t>
  </si>
  <si>
    <t>Defensive Call-Fit Candidate</t>
  </si>
  <si>
    <t>Problem or Strength</t>
  </si>
  <si>
    <t>Evidence</t>
  </si>
  <si>
    <t>Practice Priority</t>
  </si>
  <si>
    <t>8 opponent target reps; usage 62%; Exact Context Match</t>
  </si>
  <si>
    <t>Confirm the tendency and matching scope on film; sample watches are not call-sheet anchors.</t>
  </si>
  <si>
    <t>9 opponent target reps; usage 82%; Exact Context Match</t>
  </si>
  <si>
    <t>4 opponent target reps; usage 67%; Exact Context Match</t>
  </si>
  <si>
    <t>2 opponent target reps; usage 100%; D&amp;D + Concept Match</t>
  </si>
  <si>
    <t>2 opponent target reps; usage 100%; D&amp;D + structure; personnel not conditioned</t>
  </si>
  <si>
    <t>2 opponent target reps; usage 67%; D&amp;D + structure; personnel not conditioned</t>
  </si>
  <si>
    <t>2. CONCEPT CALL-FIT CANDIDATES TO REP</t>
  </si>
  <si>
    <t>4 defensive concept reps; MEDIUM</t>
  </si>
  <si>
    <t>Rep the concept world and verify fit. This is concept evidence, not exact-play proof.</t>
  </si>
  <si>
    <t>3 defensive concept reps; LOW</t>
  </si>
  <si>
    <t>1 defensive concept reps; TRACK</t>
  </si>
  <si>
    <t xml:space="preserve"> defensive concept reps; </t>
  </si>
  <si>
    <t>3. OPPONENT EXACT-PLAY WATCH • CONCEPT PROXY REPS</t>
  </si>
  <si>
    <t>OUTSIDE ZONE concept evidence; opponent play is a watch item.</t>
  </si>
  <si>
    <t>CLIP REVIEW</t>
  </si>
  <si>
    <t>No Defensive Exact-Play Sample. Confirm the actual play on film; rep the confirmed concept world.</t>
  </si>
  <si>
    <t>SCREEN concept evidence; opponent play is a watch item.</t>
  </si>
  <si>
    <t>INSIDE ZONE concept evidence; opponent play is a watch item.</t>
  </si>
  <si>
    <t>4. DEFENSIVE PROBLEM CALLS</t>
  </si>
  <si>
    <t>Defensive self-scout risk</t>
  </si>
  <si>
    <t>Context signal</t>
  </si>
  <si>
    <t>4 reps; success 25%; gain 24.5</t>
  </si>
  <si>
    <t>Problem area; practice or call-sheet review. Confirm fit and execution on film.</t>
  </si>
  <si>
    <t>6 reps; success 0%; gain 13.7</t>
  </si>
  <si>
    <t>6 reps; success 33%; gain 14.3</t>
  </si>
  <si>
    <t>4 reps; success 25%; gain 12.5</t>
  </si>
  <si>
    <t>4 reps; success 50%; gain 16.0</t>
  </si>
  <si>
    <t>10 reps; success 30%; gain 9.4</t>
  </si>
  <si>
    <t>5. EXPLOSIVE RISK SITUATIONS</t>
  </si>
  <si>
    <t>Explosive watch item</t>
  </si>
  <si>
    <t>4 reps; explosive allowed 50%</t>
  </si>
  <si>
    <t>Review explosive clips before using as an answer; rep leverage, fit and execution.</t>
  </si>
  <si>
    <t>6 reps; explosive allowed 33%</t>
  </si>
  <si>
    <t>4 reps; explosive allowed 25%</t>
  </si>
  <si>
    <t>10 reps; explosive allowed 20%</t>
  </si>
  <si>
    <t>6. SAMPLE WATCH / CLIP REVIEW</t>
  </si>
  <si>
    <t>Small defensive sample</t>
  </si>
  <si>
    <t>1 reps; TRACK</t>
  </si>
  <si>
    <t>Track only; not enough sample for a major gameplan answer.</t>
  </si>
  <si>
    <t>7. SUGGESTED PRACTICE SCRIPT EMPHASIS</t>
  </si>
  <si>
    <t>Team / group</t>
  </si>
  <si>
    <t>Core opponent concepts</t>
  </si>
  <si>
    <t>INSIDE ZONE / 5 STEP / OUTSIDE ZONE</t>
  </si>
  <si>
    <t>Coach selects after film</t>
  </si>
  <si>
    <t>Concept work</t>
  </si>
  <si>
    <t>Most frequent opponent concept worlds</t>
  </si>
  <si>
    <t>Build reps around the actual presentation and confirmed concept fits.</t>
  </si>
  <si>
    <t>Situational</t>
  </si>
  <si>
    <t>D&amp;D + personnel / structure</t>
  </si>
  <si>
    <t>Confirm on response card</t>
  </si>
  <si>
    <t>Coach confirms candidate</t>
  </si>
  <si>
    <t>Situational fits</t>
  </si>
  <si>
    <t>Match scope and confidence before practice</t>
  </si>
  <si>
    <t>Include the same down, distance, personnel and structure that support the evidence.</t>
  </si>
  <si>
    <t>Film / scout team</t>
  </si>
  <si>
    <t>Confirm exact play and concept</t>
  </si>
  <si>
    <t>No proven exact-play answer</t>
  </si>
  <si>
    <t>No Defensive Exact-Play Sample</t>
  </si>
  <si>
    <t>Clip the exact plays, confirm their concept tags, then rep the concept proxy.</t>
  </si>
  <si>
    <t>GAMEPLAN FORMULA / EVIDENCE CHECK</t>
  </si>
  <si>
    <t>PASS confirms the checked behavior. REVIEW marks evidence limits. The exact-play sample gap is intentional and never hidden.</t>
  </si>
  <si>
    <t>Check</t>
  </si>
  <si>
    <t>Status</t>
  </si>
  <si>
    <t>Result / Count</t>
  </si>
  <si>
    <t>Meaning / Action</t>
  </si>
  <si>
    <t>Opponent import populated</t>
  </si>
  <si>
    <t>Source-eligible plays are present.</t>
  </si>
  <si>
    <t>Defensive self-scout import populated</t>
  </si>
  <si>
    <t>Clean defensive records retain source success / explosive flags.</t>
  </si>
  <si>
    <t>CALL_LOOKUP_BOARD populates</t>
  </si>
  <si>
    <t>Concept candidates exist; blank unmatched concepts remain film-review items.</t>
  </si>
  <si>
    <t>DEF_CALL_DECISION_SUPPORT populates</t>
  </si>
  <si>
    <t>D&amp;D support has nonzero reps and reconciles to clean records.</t>
  </si>
  <si>
    <t>HOT_CALL_RESPONSE_CARD populates</t>
  </si>
  <si>
    <t>Opponent alerts are paired with honest scope and evidence labels.</t>
  </si>
  <si>
    <t>GAMEPLAN_CHEAT_SHEET populates</t>
  </si>
  <si>
    <t>All eleven coach-summary sections are generated.</t>
  </si>
  <si>
    <t>PRACTICE_SCRIPT_BOARD populates</t>
  </si>
  <si>
    <t>Seven practice sections and priority labels are present.</t>
  </si>
  <si>
    <t>Required nine tabs exist</t>
  </si>
  <si>
    <t>Every required tab resolves through an internal reference.</t>
  </si>
  <si>
    <t>Required source sections exist</t>
  </si>
  <si>
    <t>All ten requested opponent outputs and all 25 defensive input/output/check sections were copied.</t>
  </si>
  <si>
    <t>No broken external workbook links</t>
  </si>
  <si>
    <t>Package audit: no external-link parts, relationships or external formula references.</t>
  </si>
  <si>
    <t>No visible or hidden formula errors</t>
  </si>
  <si>
    <t>Live ISERROR checks cover every populated sheet range, including helpers.</t>
  </si>
  <si>
    <t>No executable Google Sheets wrappers</t>
  </si>
  <si>
    <t>Live FORMULATEXT scans cover the eight data/coach sheets; a package audit also checks all nine sheets.</t>
  </si>
  <si>
    <t>Defensive D&amp;D reps reconcile</t>
  </si>
  <si>
    <t>Each clean rep is counted exactly once in the D&amp;D + Hot Call section.</t>
  </si>
  <si>
    <t>Defensive call coverage</t>
  </si>
  <si>
    <t>New unrecognized hot-call labels require refreshing the married workbook.</t>
  </si>
  <si>
    <t>Defensive actual-play evidence</t>
  </si>
  <si>
    <t>No Defensive Exact-Play Sample. Actual opponent plays are watches; defensive metrics are concept proxies.</t>
  </si>
  <si>
    <t>Ambiguous opponent play mappings</t>
  </si>
  <si>
    <t>Six play names have multiple source concepts. Their proxy fields stay blank until a coach confirms the concept.</t>
  </si>
  <si>
    <t>Source defensive formula health</t>
  </si>
  <si>
    <t>Copied source checks report zero formula errors and zero wrappers; their complete values are retained.</t>
  </si>
  <si>
    <t>Source defensive data cautions</t>
  </si>
  <si>
    <t>One missing-concept watch remains. Excluded records are data outcomes, not formula failures.</t>
  </si>
  <si>
    <t>Confidence boundaries tested</t>
  </si>
  <si>
    <t>Live boundary tests use 1, 2, 3, 4, 6 and 7 reps.</t>
  </si>
  <si>
    <t>Call-fit score boundaries tested</t>
  </si>
  <si>
    <t>Perfect, worst, high-gain and gain-control scenarios use the requested 70/20/10 score.</t>
  </si>
  <si>
    <t>Live sheet error scan</t>
  </si>
  <si>
    <t>Error count</t>
  </si>
  <si>
    <t>START_HERE</t>
  </si>
  <si>
    <t>'START_HERE'!A1:AE71</t>
  </si>
  <si>
    <t>OPPONENT_IMPORT</t>
  </si>
  <si>
    <t>'OPPONENT_IMPORT'!A1:AE2958</t>
  </si>
  <si>
    <t>DEF_SELF_SCOUT_IMPORT</t>
  </si>
  <si>
    <t>'DEF_SELF_SCOUT_IMPORT'!A1:AE2630</t>
  </si>
  <si>
    <t>CALL_LOOKUP_BOARD</t>
  </si>
  <si>
    <t>'CALL_LOOKUP_BOARD'!A1:AE730</t>
  </si>
  <si>
    <t>DEF_CALL_DECISION_SUPPORT</t>
  </si>
  <si>
    <t>'DEF_CALL_DECISION_SUPPORT'!A1:AE1491</t>
  </si>
  <si>
    <t>HOT_CALL_RESPONSE_CARD</t>
  </si>
  <si>
    <t>'HOT_CALL_RESPONSE_CARD'!A1:AE63</t>
  </si>
  <si>
    <t>GAMEPLAN_CHEAT_SHEET</t>
  </si>
  <si>
    <t>'GAMEPLAN_CHEAT_SHEET'!A1:AE50</t>
  </si>
  <si>
    <t>PRACTICE_SCRIPT_BOARD</t>
  </si>
  <si>
    <t>'PRACTICE_SCRIPT_BOARD'!A1:AE76</t>
  </si>
  <si>
    <t>Own checks / tests; aggregate scan excluded to prevent a cycle.</t>
  </si>
  <si>
    <t>Package / source audit</t>
  </si>
  <si>
    <t>State</t>
  </si>
  <si>
    <t>Audited value</t>
  </si>
  <si>
    <t>Scope</t>
  </si>
  <si>
    <t>External workbook links</t>
  </si>
  <si>
    <t>Build/source audit</t>
  </si>
  <si>
    <t>Complete XLSX package / formulas</t>
  </si>
  <si>
    <t>Executable Google wrapper functions</t>
  </si>
  <si>
    <t>All formula elements; quoted text is ignored</t>
  </si>
  <si>
    <t>Defensive exact-play samples</t>
  </si>
  <si>
    <t>Field is absent in the supplied defensive source</t>
  </si>
  <si>
    <t>Ambiguous exact-play / concept mappings</t>
  </si>
  <si>
    <t>Eligible opponent sample</t>
  </si>
  <si>
    <t>Source defensive formula errors</t>
  </si>
  <si>
    <t>DEF_FORMULA_CHECK B119</t>
  </si>
  <si>
    <t>Source defensive wrapper count</t>
  </si>
  <si>
    <t>DEF_FORMULA_CHECK B120</t>
  </si>
  <si>
    <t>Source defensive missing-concept watch</t>
  </si>
  <si>
    <t>DEF_FORMULA_CHECK B19 retains WATCH: MISSING CONCEPT</t>
  </si>
  <si>
    <t>Live wrapper-function scan</t>
  </si>
  <si>
    <t>Wrapper count</t>
  </si>
  <si>
    <t>Current formula text; source value snapshots are not executed as formulas.</t>
  </si>
  <si>
    <t>Live formula scan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</si>
</sst>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E+00"/>
  </numFmts>
  <fonts count="10">
    <font>
      <sz val="11"/>
      <color theme="1"/>
      <name val="Calibri"/>
      <family val="2"/>
      <scheme val="minor"/>
    </font>
    <font>
      <b/>
      <sz val="21"/>
      <color rgb="FF193447"/>
      <name val="Calibri"/>
      <family val="2"/>
      <scheme val="minor"/>
    </font>
    <font>
      <sz val="10"/>
      <color rgb="FF243746"/>
      <name val="Calibri"/>
      <family val="2"/>
      <scheme val="minor"/>
    </font>
    <font>
      <b/>
      <u/>
      <sz val="11"/>
      <color rgb="FF096C75"/>
      <name val="Calibri"/>
      <family val="2"/>
      <scheme val="minor"/>
    </font>
    <font>
      <sz val="11"/>
      <color rgb="FF096C75"/>
      <name val="Calibri"/>
      <family val="2"/>
      <scheme val="minor"/>
    </font>
    <font>
      <b/>
      <sz val="13"/>
      <color rgb="FF243746"/>
      <name val="Calibri"/>
      <family val="2"/>
      <scheme val="minor"/>
    </font>
    <font>
      <b/>
      <sz val="11"/>
      <color rgb="FF243746"/>
      <name val="Calibri"/>
      <family val="2"/>
      <scheme val="minor"/>
    </font>
    <font>
      <sz val="11"/>
      <color rgb="FF243746"/>
      <name val="Calibri"/>
      <family val="2"/>
      <scheme val="minor"/>
    </font>
    <font>
      <b/>
      <sz val="16"/>
      <color rgb="FF243746"/>
      <name val="Calibri"/>
      <family val="2"/>
      <scheme val="minor"/>
    </font>
    <font>
      <sz val="10"/>
      <color rgb="FF61748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AF3F9"/>
        <bgColor indexed="64"/>
      </patternFill>
    </fill>
    <fill>
      <patternFill patternType="solid">
        <fgColor rgb="FFEEEAF7"/>
        <bgColor indexed="64"/>
      </patternFill>
    </fill>
    <fill>
      <patternFill patternType="solid">
        <fgColor rgb="FFFFF7DF"/>
        <bgColor indexed="64"/>
      </patternFill>
    </fill>
    <fill>
      <patternFill patternType="solid">
        <fgColor rgb="FFFFF3DB"/>
        <bgColor indexed="64"/>
      </patternFill>
    </fill>
    <fill>
      <patternFill patternType="solid">
        <fgColor rgb="FFEAF5ED"/>
        <bgColor indexed="64"/>
      </patternFill>
    </fill>
    <fill>
      <patternFill patternType="solid">
        <fgColor rgb="FFF4F7F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5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 applyProtection="1">
      <alignment vertical="center" wrapText="1"/>
      <protection locked="0"/>
    </xf>
    <xf numFmtId="0" fontId="7" fillId="0" borderId="2" xfId="0" applyFont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0" fontId="8" fillId="6" borderId="2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</cellXfs>
  <cellStyles count="1">
    <cellStyle name="Normal" xfId="0" builtinId="0"/>
  </cellStyles>
  <dxfs count="4">
    <dxf>
      <font>
        <b/>
        <color rgb="FF245B3A"/>
      </font>
    </dxf>
    <dxf>
      <font>
        <b/>
        <color rgb="FF885A12"/>
      </font>
    </dxf>
    <dxf>
      <font>
        <b/>
        <color rgb="FF395780"/>
      </font>
    </dxf>
    <dxf>
      <font>
        <b/>
        <color rgb="FF9E3434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96C75"/>
    <pageSetUpPr fitToPage="1"/>
  </sheetPr>
  <dimension ref="A1:P71"/>
  <sheetViews>
    <sheetView tabSelected="1" workbookViewId="0"/>
  </sheetViews>
  <sheetFormatPr defaultRowHeight="25" customHeight="1"/>
  <cols>
    <col min="1" max="1" width="27.7109375" customWidth="1"/>
    <col min="2" max="2" width="25.7109375" customWidth="1"/>
    <col min="3" max="8" width="18.7109375" customWidth="1"/>
    <col min="10" max="16" width="20.7109375" hidden="1" customWidth="1"/>
  </cols>
  <sheetData>
    <row r="1" spans="1:12" ht="36" customHeight="1">
      <c r="A1" s="1" t="s">
        <v>2390</v>
      </c>
      <c r="B1" s="1"/>
      <c r="C1" s="1"/>
      <c r="D1" s="1"/>
      <c r="E1" s="1"/>
      <c r="F1" s="1"/>
      <c r="G1" s="1"/>
      <c r="H1" s="1"/>
      <c r="J1" s="2" t="s">
        <v>2430</v>
      </c>
      <c r="K1" s="2" t="s">
        <v>446</v>
      </c>
      <c r="L1" s="2" t="s">
        <v>1406</v>
      </c>
    </row>
    <row r="2" spans="1:12" ht="25" customHeight="1">
      <c r="A2" s="3" t="s">
        <v>1</v>
      </c>
      <c r="C2" s="3" t="s">
        <v>2</v>
      </c>
      <c r="F2" s="3" t="s">
        <v>3</v>
      </c>
      <c r="J2" s="2" t="s">
        <v>115</v>
      </c>
      <c r="K2" s="2" t="s">
        <v>449</v>
      </c>
      <c r="L2" s="2" t="s">
        <v>1579</v>
      </c>
    </row>
    <row r="3" spans="1:12" ht="34" customHeight="1">
      <c r="A3" s="4" t="s">
        <v>2391</v>
      </c>
      <c r="B3" s="4"/>
      <c r="C3" s="4"/>
      <c r="D3" s="4"/>
      <c r="E3" s="4"/>
      <c r="F3" s="4"/>
      <c r="G3" s="4"/>
      <c r="H3" s="4"/>
      <c r="J3" s="2" t="s">
        <v>26</v>
      </c>
      <c r="K3" s="2" t="s">
        <v>487</v>
      </c>
      <c r="L3" s="2" t="s">
        <v>1496</v>
      </c>
    </row>
    <row r="4" spans="1:12" ht="25" customHeight="1">
      <c r="J4" s="2" t="s">
        <v>36</v>
      </c>
      <c r="K4" s="2" t="s">
        <v>452</v>
      </c>
      <c r="L4" s="2" t="s">
        <v>1546</v>
      </c>
    </row>
    <row r="5" spans="1:12" ht="30" customHeight="1">
      <c r="A5" s="5" t="s">
        <v>2392</v>
      </c>
      <c r="B5" s="5"/>
      <c r="C5" s="5"/>
      <c r="D5" s="5"/>
      <c r="E5" s="5"/>
      <c r="F5" s="5"/>
      <c r="G5" s="5"/>
      <c r="H5" s="5"/>
      <c r="J5" s="2" t="s">
        <v>39</v>
      </c>
      <c r="K5" s="2" t="s">
        <v>432</v>
      </c>
      <c r="L5" s="2" t="s">
        <v>1655</v>
      </c>
    </row>
    <row r="6" spans="1:12" ht="30" customHeight="1">
      <c r="A6" s="6" t="s">
        <v>2393</v>
      </c>
      <c r="B6" s="7" t="s">
        <v>2394</v>
      </c>
      <c r="C6" s="7"/>
      <c r="D6" s="7"/>
      <c r="E6" s="7"/>
      <c r="F6" s="7"/>
      <c r="G6" s="7"/>
      <c r="H6" s="7"/>
      <c r="J6" s="2" t="s">
        <v>31</v>
      </c>
      <c r="K6" s="2" t="s">
        <v>605</v>
      </c>
      <c r="L6" s="2" t="s">
        <v>1413</v>
      </c>
    </row>
    <row r="7" spans="1:12" ht="25" customHeight="1">
      <c r="J7" s="2" t="s">
        <v>70</v>
      </c>
      <c r="K7" s="2" t="s">
        <v>608</v>
      </c>
      <c r="L7" s="2" t="s">
        <v>1541</v>
      </c>
    </row>
    <row r="8" spans="1:12" ht="35" customHeight="1">
      <c r="A8" s="3" t="s">
        <v>2</v>
      </c>
      <c r="B8" s="8" t="s">
        <v>2395</v>
      </c>
      <c r="C8" s="8"/>
      <c r="D8" s="8"/>
      <c r="E8" s="8"/>
      <c r="F8" s="8"/>
      <c r="G8" s="8"/>
      <c r="H8" s="8"/>
      <c r="J8" s="2" t="s">
        <v>82</v>
      </c>
      <c r="K8" s="2" t="s">
        <v>457</v>
      </c>
      <c r="L8" s="2" t="s">
        <v>1544</v>
      </c>
    </row>
    <row r="9" spans="1:12" ht="25" customHeight="1">
      <c r="J9" s="2" t="s">
        <v>85</v>
      </c>
      <c r="K9" s="2" t="s">
        <v>611</v>
      </c>
      <c r="L9" s="2" t="s">
        <v>1572</v>
      </c>
    </row>
    <row r="10" spans="1:12" ht="35" customHeight="1">
      <c r="A10" s="3" t="s">
        <v>2396</v>
      </c>
      <c r="B10" s="8" t="s">
        <v>2397</v>
      </c>
      <c r="C10" s="8"/>
      <c r="D10" s="8"/>
      <c r="E10" s="8"/>
      <c r="F10" s="8"/>
      <c r="G10" s="8"/>
      <c r="H10" s="8"/>
      <c r="J10" s="2" t="s">
        <v>76</v>
      </c>
      <c r="K10" s="2" t="s">
        <v>460</v>
      </c>
      <c r="L10" s="2" t="s">
        <v>1431</v>
      </c>
    </row>
    <row r="11" spans="1:12" ht="25" customHeight="1">
      <c r="J11" s="2" t="s">
        <v>92</v>
      </c>
      <c r="K11" s="2" t="s">
        <v>561</v>
      </c>
      <c r="L11" s="2" t="s">
        <v>1635</v>
      </c>
    </row>
    <row r="12" spans="1:12" ht="35" customHeight="1">
      <c r="A12" s="3" t="s">
        <v>2398</v>
      </c>
      <c r="B12" s="8" t="s">
        <v>2399</v>
      </c>
      <c r="C12" s="8"/>
      <c r="D12" s="8"/>
      <c r="E12" s="8"/>
      <c r="F12" s="8"/>
      <c r="G12" s="8"/>
      <c r="H12" s="8"/>
      <c r="J12" s="2" t="s">
        <v>103</v>
      </c>
      <c r="K12" s="2" t="s">
        <v>878</v>
      </c>
      <c r="L12" s="2" t="s">
        <v>49</v>
      </c>
    </row>
    <row r="13" spans="1:12" ht="25" customHeight="1">
      <c r="J13" s="2" t="s">
        <v>107</v>
      </c>
      <c r="K13" s="2" t="s">
        <v>428</v>
      </c>
      <c r="L13" s="2" t="s">
        <v>1476</v>
      </c>
    </row>
    <row r="14" spans="1:12" ht="35" customHeight="1">
      <c r="A14" s="3" t="s">
        <v>2400</v>
      </c>
      <c r="B14" s="8" t="s">
        <v>2401</v>
      </c>
      <c r="C14" s="8"/>
      <c r="D14" s="8"/>
      <c r="E14" s="8"/>
      <c r="F14" s="8"/>
      <c r="G14" s="8"/>
      <c r="H14" s="8"/>
      <c r="J14" s="2" t="s">
        <v>96</v>
      </c>
      <c r="K14" s="2" t="s">
        <v>435</v>
      </c>
      <c r="L14" s="2" t="s">
        <v>1435</v>
      </c>
    </row>
    <row r="15" spans="1:12" ht="25" customHeight="1">
      <c r="J15" s="2" t="s">
        <v>111</v>
      </c>
      <c r="K15" s="2" t="s">
        <v>574</v>
      </c>
      <c r="L15" s="2" t="s">
        <v>1488</v>
      </c>
    </row>
    <row r="16" spans="1:12" ht="35" customHeight="1">
      <c r="A16" s="3" t="s">
        <v>2402</v>
      </c>
      <c r="B16" s="8" t="s">
        <v>2403</v>
      </c>
      <c r="C16" s="8"/>
      <c r="D16" s="8"/>
      <c r="E16" s="8"/>
      <c r="F16" s="8"/>
      <c r="G16" s="8"/>
      <c r="H16" s="8"/>
      <c r="J16" s="2" t="s">
        <v>113</v>
      </c>
      <c r="K16" s="2" t="s">
        <v>465</v>
      </c>
      <c r="L16" s="2" t="s">
        <v>1483</v>
      </c>
    </row>
    <row r="17" spans="1:12" ht="25" customHeight="1">
      <c r="J17" s="2" t="s">
        <v>759</v>
      </c>
      <c r="K17" s="2" t="s">
        <v>468</v>
      </c>
      <c r="L17" s="2" t="s">
        <v>1503</v>
      </c>
    </row>
    <row r="18" spans="1:12" ht="25" customHeight="1">
      <c r="J18" s="2" t="s">
        <v>760</v>
      </c>
      <c r="K18" s="2" t="s">
        <v>438</v>
      </c>
      <c r="L18" s="2" t="s">
        <v>1619</v>
      </c>
    </row>
    <row r="19" spans="1:12" ht="27" customHeight="1">
      <c r="A19" s="5" t="s">
        <v>2404</v>
      </c>
      <c r="B19" s="5"/>
      <c r="C19" s="5"/>
      <c r="D19" s="5"/>
      <c r="E19" s="5"/>
      <c r="F19" s="5"/>
      <c r="G19" s="5"/>
      <c r="H19" s="5"/>
      <c r="K19" s="2" t="s">
        <v>541</v>
      </c>
      <c r="L19" s="2" t="s">
        <v>1410</v>
      </c>
    </row>
    <row r="20" spans="1:12" ht="38" customHeight="1">
      <c r="A20" s="8" t="s">
        <v>2405</v>
      </c>
      <c r="B20" s="8"/>
      <c r="C20" s="8"/>
      <c r="D20" s="8"/>
      <c r="E20" s="8"/>
      <c r="F20" s="8"/>
      <c r="G20" s="8"/>
      <c r="H20" s="8"/>
      <c r="K20" s="2" t="s">
        <v>800</v>
      </c>
      <c r="L20" s="2" t="s">
        <v>1429</v>
      </c>
    </row>
    <row r="21" spans="1:12" ht="38" customHeight="1">
      <c r="A21" s="8" t="s">
        <v>2406</v>
      </c>
      <c r="B21" s="8"/>
      <c r="C21" s="8"/>
      <c r="D21" s="8"/>
      <c r="E21" s="8"/>
      <c r="F21" s="8"/>
      <c r="G21" s="8"/>
      <c r="H21" s="8"/>
      <c r="K21" s="2" t="s">
        <v>471</v>
      </c>
      <c r="L21" s="2" t="s">
        <v>1455</v>
      </c>
    </row>
    <row r="22" spans="1:12" ht="38" customHeight="1">
      <c r="A22" s="8" t="s">
        <v>2407</v>
      </c>
      <c r="B22" s="8"/>
      <c r="C22" s="8"/>
      <c r="D22" s="8"/>
      <c r="E22" s="8"/>
      <c r="F22" s="8"/>
      <c r="G22" s="8"/>
      <c r="H22" s="8"/>
      <c r="K22" s="2" t="s">
        <v>474</v>
      </c>
      <c r="L22" s="2" t="s">
        <v>1395</v>
      </c>
    </row>
    <row r="23" spans="1:12" ht="38" customHeight="1">
      <c r="A23" s="8" t="s">
        <v>2408</v>
      </c>
      <c r="B23" s="8"/>
      <c r="C23" s="8"/>
      <c r="D23" s="8"/>
      <c r="E23" s="8"/>
      <c r="F23" s="8"/>
      <c r="G23" s="8"/>
      <c r="H23" s="8"/>
      <c r="K23" s="2" t="s">
        <v>443</v>
      </c>
      <c r="L23" s="2" t="s">
        <v>1401</v>
      </c>
    </row>
    <row r="24" spans="1:12" ht="25" customHeight="1">
      <c r="K24" s="2" t="s">
        <v>477</v>
      </c>
      <c r="L24" s="2" t="s">
        <v>1624</v>
      </c>
    </row>
    <row r="25" spans="1:12" ht="27" customHeight="1">
      <c r="A25" s="5" t="s">
        <v>2409</v>
      </c>
      <c r="B25" s="5"/>
      <c r="C25" s="5"/>
      <c r="D25" s="5"/>
      <c r="E25" s="5"/>
      <c r="F25" s="5"/>
      <c r="G25" s="5"/>
      <c r="H25" s="5"/>
      <c r="K25" s="2" t="s">
        <v>480</v>
      </c>
      <c r="L25" s="2" t="s">
        <v>1533</v>
      </c>
    </row>
    <row r="26" spans="1:12" ht="58" customHeight="1">
      <c r="A26" s="9" t="s">
        <v>2410</v>
      </c>
      <c r="B26" s="9"/>
      <c r="C26" s="9"/>
      <c r="D26" s="9"/>
      <c r="E26" s="9"/>
      <c r="F26" s="9"/>
      <c r="G26" s="9"/>
      <c r="H26" s="9"/>
      <c r="K26" s="2" t="s">
        <v>957</v>
      </c>
      <c r="L26" s="2" t="s">
        <v>1523</v>
      </c>
    </row>
    <row r="27" spans="1:12" ht="42" customHeight="1">
      <c r="A27" s="9" t="s">
        <v>2411</v>
      </c>
      <c r="B27" s="9"/>
      <c r="C27" s="9"/>
      <c r="D27" s="9"/>
      <c r="E27" s="9"/>
      <c r="F27" s="9"/>
      <c r="G27" s="9"/>
      <c r="H27" s="9"/>
      <c r="K27" s="2" t="s">
        <v>1038</v>
      </c>
      <c r="L27" s="2" t="s">
        <v>1416</v>
      </c>
    </row>
    <row r="28" spans="1:12" ht="42" customHeight="1">
      <c r="A28" s="9" t="s">
        <v>2412</v>
      </c>
      <c r="B28" s="9"/>
      <c r="C28" s="9"/>
      <c r="D28" s="9"/>
      <c r="E28" s="9"/>
      <c r="F28" s="9"/>
      <c r="G28" s="9"/>
      <c r="H28" s="9"/>
      <c r="L28" s="2" t="s">
        <v>1439</v>
      </c>
    </row>
    <row r="29" spans="1:12" ht="27" customHeight="1">
      <c r="A29" s="5" t="s">
        <v>2413</v>
      </c>
      <c r="B29" s="5"/>
      <c r="C29" s="5"/>
      <c r="D29" s="5"/>
      <c r="E29" s="5"/>
      <c r="F29" s="5"/>
      <c r="G29" s="5"/>
      <c r="H29" s="5"/>
      <c r="L29" s="2" t="s">
        <v>1600</v>
      </c>
    </row>
    <row r="30" spans="1:12" ht="30" customHeight="1">
      <c r="A30" s="8" t="s">
        <v>2414</v>
      </c>
      <c r="B30" s="10">
        <v>0.5</v>
      </c>
      <c r="C30" s="8" t="s">
        <v>2415</v>
      </c>
      <c r="D30" s="8"/>
      <c r="E30" s="8"/>
      <c r="F30" s="8"/>
      <c r="G30" s="8"/>
      <c r="H30" s="8"/>
      <c r="L30" s="2" t="s">
        <v>815</v>
      </c>
    </row>
    <row r="31" spans="1:12" ht="30" customHeight="1">
      <c r="A31" s="8" t="s">
        <v>2416</v>
      </c>
      <c r="B31" s="10">
        <v>0.2</v>
      </c>
      <c r="C31" s="8" t="s">
        <v>2417</v>
      </c>
      <c r="D31" s="8"/>
      <c r="E31" s="8"/>
      <c r="F31" s="8"/>
      <c r="G31" s="8"/>
      <c r="H31" s="8"/>
      <c r="L31" s="2" t="s">
        <v>1398</v>
      </c>
    </row>
    <row r="32" spans="1:12" ht="30" customHeight="1">
      <c r="A32" s="8" t="s">
        <v>2418</v>
      </c>
      <c r="B32" s="11">
        <v>7</v>
      </c>
      <c r="C32" s="8" t="s">
        <v>2419</v>
      </c>
      <c r="D32" s="8"/>
      <c r="E32" s="8"/>
      <c r="F32" s="8"/>
      <c r="G32" s="8"/>
      <c r="H32" s="8"/>
      <c r="L32" s="2" t="s">
        <v>1447</v>
      </c>
    </row>
    <row r="33" spans="1:12" ht="30" customHeight="1">
      <c r="A33" s="8" t="s">
        <v>2420</v>
      </c>
      <c r="B33" s="11">
        <v>50</v>
      </c>
      <c r="C33" s="8" t="s">
        <v>2421</v>
      </c>
      <c r="D33" s="8"/>
      <c r="E33" s="8"/>
      <c r="F33" s="8"/>
      <c r="G33" s="8"/>
      <c r="H33" s="8"/>
      <c r="L33" s="2" t="s">
        <v>1506</v>
      </c>
    </row>
    <row r="34" spans="1:12" ht="42" customHeight="1">
      <c r="A34" s="8" t="s">
        <v>2422</v>
      </c>
      <c r="B34" s="8"/>
      <c r="C34" s="8"/>
      <c r="D34" s="8"/>
      <c r="E34" s="8"/>
      <c r="F34" s="8"/>
      <c r="G34" s="8"/>
      <c r="H34" s="8"/>
      <c r="L34" s="2" t="s">
        <v>1491</v>
      </c>
    </row>
    <row r="35" spans="1:12" ht="56" customHeight="1">
      <c r="A35" s="9" t="s">
        <v>2423</v>
      </c>
      <c r="B35" s="9"/>
      <c r="C35" s="9"/>
      <c r="D35" s="9"/>
      <c r="E35" s="9"/>
      <c r="F35" s="9"/>
      <c r="G35" s="9"/>
      <c r="H35" s="9"/>
      <c r="L35" s="2" t="s">
        <v>1660</v>
      </c>
    </row>
    <row r="36" spans="1:12" ht="25" customHeight="1">
      <c r="L36" s="2" t="s">
        <v>1478</v>
      </c>
    </row>
    <row r="37" spans="1:12" ht="27" customHeight="1">
      <c r="A37" s="5" t="s">
        <v>2424</v>
      </c>
      <c r="B37" s="5"/>
      <c r="C37" s="5"/>
      <c r="D37" s="5"/>
      <c r="E37" s="5"/>
      <c r="F37" s="5"/>
      <c r="G37" s="5"/>
      <c r="H37" s="5"/>
      <c r="L37" s="2" t="s">
        <v>1536</v>
      </c>
    </row>
    <row r="38" spans="1:12" ht="40" customHeight="1">
      <c r="A38" s="8" t="s">
        <v>2425</v>
      </c>
      <c r="B38" s="8"/>
      <c r="C38" s="8"/>
      <c r="D38" s="8"/>
      <c r="E38" s="8"/>
      <c r="F38" s="8"/>
      <c r="G38" s="8"/>
      <c r="H38" s="8"/>
      <c r="L38" s="2" t="s">
        <v>817</v>
      </c>
    </row>
    <row r="39" spans="1:12" ht="40" customHeight="1">
      <c r="A39" s="8" t="s">
        <v>2426</v>
      </c>
      <c r="B39" s="8"/>
      <c r="C39" s="8"/>
      <c r="D39" s="8"/>
      <c r="E39" s="8"/>
      <c r="F39" s="8"/>
      <c r="G39" s="8"/>
      <c r="H39" s="8"/>
      <c r="L39" s="2" t="s">
        <v>1687</v>
      </c>
    </row>
    <row r="40" spans="1:12" ht="40" customHeight="1">
      <c r="A40" s="8" t="s">
        <v>2427</v>
      </c>
      <c r="B40" s="8"/>
      <c r="C40" s="8"/>
      <c r="D40" s="8"/>
      <c r="E40" s="8"/>
      <c r="F40" s="8"/>
      <c r="G40" s="8"/>
      <c r="H40" s="8"/>
      <c r="L40" s="2" t="s">
        <v>1451</v>
      </c>
    </row>
    <row r="41" spans="1:12" ht="40" customHeight="1">
      <c r="A41" s="8" t="s">
        <v>2428</v>
      </c>
      <c r="B41" s="8"/>
      <c r="C41" s="8"/>
      <c r="D41" s="8"/>
      <c r="E41" s="8"/>
      <c r="F41" s="8"/>
      <c r="G41" s="8"/>
      <c r="H41" s="8"/>
      <c r="L41" s="2" t="s">
        <v>1509</v>
      </c>
    </row>
    <row r="42" spans="1:12" ht="40" customHeight="1">
      <c r="A42" s="8" t="s">
        <v>2429</v>
      </c>
      <c r="B42" s="8"/>
      <c r="C42" s="8"/>
      <c r="D42" s="8"/>
      <c r="E42" s="8"/>
      <c r="F42" s="8"/>
      <c r="G42" s="8"/>
      <c r="H42" s="8"/>
      <c r="L42" s="2" t="s">
        <v>1558</v>
      </c>
    </row>
    <row r="43" spans="1:12" ht="25" customHeight="1">
      <c r="L43" s="2" t="s">
        <v>1474</v>
      </c>
    </row>
    <row r="44" spans="1:12" ht="25" customHeight="1">
      <c r="L44" s="2" t="s">
        <v>1528</v>
      </c>
    </row>
    <row r="45" spans="1:12" ht="25" customHeight="1">
      <c r="L45" s="2" t="s">
        <v>1499</v>
      </c>
    </row>
    <row r="46" spans="1:12" ht="25" customHeight="1">
      <c r="L46" s="2" t="s">
        <v>1481</v>
      </c>
    </row>
    <row r="47" spans="1:12" ht="25" customHeight="1">
      <c r="L47" s="2" t="s">
        <v>1469</v>
      </c>
    </row>
    <row r="48" spans="1:12" ht="25" customHeight="1">
      <c r="L48" s="2" t="s">
        <v>820</v>
      </c>
    </row>
    <row r="49" spans="12:12" ht="25" customHeight="1">
      <c r="L49" s="2" t="s">
        <v>1629</v>
      </c>
    </row>
    <row r="50" spans="12:12" ht="25" customHeight="1">
      <c r="L50" s="2" t="s">
        <v>1638</v>
      </c>
    </row>
    <row r="51" spans="12:12" ht="25" customHeight="1">
      <c r="L51" s="2" t="s">
        <v>819</v>
      </c>
    </row>
    <row r="52" spans="12:12" ht="25" customHeight="1">
      <c r="L52" s="2" t="s">
        <v>1566</v>
      </c>
    </row>
    <row r="53" spans="12:12" ht="25" customHeight="1">
      <c r="L53" s="2" t="s">
        <v>1662</v>
      </c>
    </row>
    <row r="54" spans="12:12" ht="25" customHeight="1">
      <c r="L54" s="2" t="s">
        <v>1645</v>
      </c>
    </row>
    <row r="55" spans="12:12" ht="25" customHeight="1">
      <c r="L55" s="2" t="s">
        <v>1530</v>
      </c>
    </row>
    <row r="56" spans="12:12" ht="25" customHeight="1">
      <c r="L56" s="2" t="s">
        <v>1516</v>
      </c>
    </row>
    <row r="57" spans="12:12" ht="25" customHeight="1">
      <c r="L57" s="2" t="s">
        <v>1550</v>
      </c>
    </row>
    <row r="58" spans="12:12" ht="25" customHeight="1">
      <c r="L58" s="2" t="s">
        <v>1648</v>
      </c>
    </row>
    <row r="59" spans="12:12" ht="25" customHeight="1">
      <c r="L59" s="2" t="s">
        <v>821</v>
      </c>
    </row>
    <row r="60" spans="12:12" ht="25" customHeight="1">
      <c r="L60" s="2" t="s">
        <v>1494</v>
      </c>
    </row>
    <row r="61" spans="12:12" ht="25" customHeight="1">
      <c r="L61" s="2" t="s">
        <v>1684</v>
      </c>
    </row>
    <row r="62" spans="12:12" ht="25" customHeight="1">
      <c r="L62" s="2" t="s">
        <v>1650</v>
      </c>
    </row>
    <row r="63" spans="12:12" ht="25" customHeight="1">
      <c r="L63" s="2" t="s">
        <v>1420</v>
      </c>
    </row>
    <row r="64" spans="12:12" ht="25" customHeight="1">
      <c r="L64" s="2" t="s">
        <v>818</v>
      </c>
    </row>
    <row r="65" spans="12:12" ht="25" customHeight="1">
      <c r="L65" s="2" t="s">
        <v>823</v>
      </c>
    </row>
    <row r="66" spans="12:12" ht="25" customHeight="1">
      <c r="L66" s="2" t="s">
        <v>1583</v>
      </c>
    </row>
    <row r="67" spans="12:12" ht="25" customHeight="1">
      <c r="L67" s="2" t="s">
        <v>1433</v>
      </c>
    </row>
    <row r="68" spans="12:12" ht="25" customHeight="1">
      <c r="L68" s="2" t="s">
        <v>816</v>
      </c>
    </row>
    <row r="69" spans="12:12" ht="25" customHeight="1">
      <c r="L69" s="2" t="s">
        <v>1422</v>
      </c>
    </row>
    <row r="70" spans="12:12" ht="25" customHeight="1">
      <c r="L70" s="2" t="s">
        <v>1424</v>
      </c>
    </row>
    <row r="71" spans="12:12" ht="25" customHeight="1">
      <c r="L71" s="2" t="s">
        <v>824</v>
      </c>
    </row>
  </sheetData>
  <sheetProtection sheet="1" objects="1" scenarios="1" autoFilter="0"/>
  <mergeCells count="31">
    <mergeCell ref="A1:H1"/>
    <mergeCell ref="A3:H3"/>
    <mergeCell ref="A5:H5"/>
    <mergeCell ref="B6:H6"/>
    <mergeCell ref="B8:H8"/>
    <mergeCell ref="B10:H10"/>
    <mergeCell ref="B12:H12"/>
    <mergeCell ref="B14:H14"/>
    <mergeCell ref="B16:H16"/>
    <mergeCell ref="A19:H19"/>
    <mergeCell ref="A20:H20"/>
    <mergeCell ref="A21:H21"/>
    <mergeCell ref="A22:H22"/>
    <mergeCell ref="A23:H23"/>
    <mergeCell ref="A25:H25"/>
    <mergeCell ref="A26:H26"/>
    <mergeCell ref="A27:H27"/>
    <mergeCell ref="A28:H28"/>
    <mergeCell ref="A29:H29"/>
    <mergeCell ref="C30:H30"/>
    <mergeCell ref="C31:H31"/>
    <mergeCell ref="C32:H32"/>
    <mergeCell ref="C33:H33"/>
    <mergeCell ref="A34:H34"/>
    <mergeCell ref="A35:H35"/>
    <mergeCell ref="A37:H37"/>
    <mergeCell ref="A38:H38"/>
    <mergeCell ref="A39:H39"/>
    <mergeCell ref="A40:H40"/>
    <mergeCell ref="A41:H41"/>
    <mergeCell ref="A42:H42"/>
  </mergeCells>
  <hyperlinks>
    <hyperlink ref="A2" location="'START_HERE'!A1" display="START"/>
    <hyperlink ref="C2" location="'CALL_LOOKUP_BOARD'!A1" display="FIND A CALL"/>
    <hyperlink ref="F2" location="'HOT_CALL_RESPONSE_CARD'!A1" display="OPPONENT ALERTS"/>
    <hyperlink ref="A8" location="'CALL_LOOKUP_BOARD'!A1" display="FIND A CALL"/>
    <hyperlink ref="A10" location="'HOT_CALL_RESPONSE_CARD'!A1" display="OPPONENT RESPONSE CARD"/>
    <hyperlink ref="A12" location="'GAMEPLAN_CHEAT_SHEET'!A1" display="PRINT GAMEPLAN SUMMARY"/>
    <hyperlink ref="A14" location="'PRACTICE_SCRIPT_BOARD'!A1" display="BUILD PRACTICE PRIORITIES"/>
    <hyperlink ref="A16" location="'FORMULA_CHECK'!A1" display="CHECK WORKBOOK HEALTH"/>
  </hyperlinks>
  <pageMargins left="0.25" right="0.25" top="0.35" bottom="0.35" header="0.3" footer="0.3"/>
  <pageSetup paperSize="1" fitToHeight="0" orientation="landscape"/>
  <headerFooter>
    <oddHeader>&amp;LWeekly Gameplan&amp;RFilm confirms the numbers</oddHeader>
    <oddFooter>&amp;LConcept call-fit candidates, not automatic calls&amp;RPage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99BAC"/>
    <pageSetUpPr fitToPage="1"/>
  </sheetPr>
  <dimension ref="A1:AM2958"/>
  <sheetViews>
    <sheetView workbookViewId="0"/>
  </sheetViews>
  <sheetFormatPr defaultRowHeight="25" customHeight="1"/>
  <cols>
    <col min="1" max="1" width="32.7109375" customWidth="1"/>
    <col min="2" max="4" width="23.7109375" customWidth="1"/>
    <col min="5" max="8" width="26.7109375" customWidth="1"/>
    <col min="9" max="13" width="17.7109375" customWidth="1"/>
    <col min="14" max="44" width="25.7109375" customWidth="1"/>
  </cols>
  <sheetData>
    <row r="1" spans="1:13" ht="36" customHeight="1">
      <c r="A1" s="1" t="s">
        <v>674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5" customHeight="1">
      <c r="A2" s="3" t="s">
        <v>1</v>
      </c>
      <c r="C2" s="3" t="s">
        <v>2</v>
      </c>
      <c r="F2" s="3" t="s">
        <v>3</v>
      </c>
      <c r="I2" s="3" t="s">
        <v>4</v>
      </c>
    </row>
    <row r="3" spans="1:13" ht="34" customHeight="1">
      <c r="A3" s="4" t="s">
        <v>675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7" spans="1:13" ht="46" customHeight="1">
      <c r="A7" s="6" t="s">
        <v>676</v>
      </c>
      <c r="B7" s="6" t="s">
        <v>677</v>
      </c>
      <c r="C7" s="6" t="s">
        <v>678</v>
      </c>
      <c r="D7" s="6" t="s">
        <v>679</v>
      </c>
    </row>
    <row r="8" spans="1:13" ht="25" customHeight="1">
      <c r="A8" s="8" t="s">
        <v>680</v>
      </c>
      <c r="B8" s="12">
        <v>38</v>
      </c>
      <c r="C8" s="8" t="s">
        <v>681</v>
      </c>
      <c r="D8" s="3" t="s">
        <v>682</v>
      </c>
    </row>
    <row r="9" spans="1:13" ht="25" customHeight="1">
      <c r="A9" s="8" t="s">
        <v>766</v>
      </c>
      <c r="B9" s="12">
        <v>694</v>
      </c>
      <c r="C9" s="8" t="s">
        <v>681</v>
      </c>
      <c r="D9" s="3" t="s">
        <v>682</v>
      </c>
    </row>
    <row r="10" spans="1:13" ht="25" customHeight="1">
      <c r="A10" s="8" t="s">
        <v>1925</v>
      </c>
      <c r="B10" s="12">
        <v>73</v>
      </c>
      <c r="C10" s="8" t="s">
        <v>681</v>
      </c>
      <c r="D10" s="3" t="s">
        <v>682</v>
      </c>
    </row>
    <row r="11" spans="1:13" ht="25" customHeight="1">
      <c r="A11" s="8" t="s">
        <v>1934</v>
      </c>
      <c r="B11" s="12">
        <v>81</v>
      </c>
      <c r="C11" s="8" t="s">
        <v>681</v>
      </c>
      <c r="D11" s="3" t="s">
        <v>682</v>
      </c>
    </row>
    <row r="12" spans="1:13" ht="25" customHeight="1">
      <c r="A12" s="8" t="s">
        <v>1945</v>
      </c>
      <c r="B12" s="12">
        <v>82</v>
      </c>
      <c r="C12" s="8" t="s">
        <v>681</v>
      </c>
      <c r="D12" s="3" t="s">
        <v>682</v>
      </c>
    </row>
    <row r="13" spans="1:13" ht="25" customHeight="1">
      <c r="A13" s="8" t="s">
        <v>1948</v>
      </c>
      <c r="B13" s="12">
        <v>130</v>
      </c>
      <c r="C13" s="8" t="s">
        <v>681</v>
      </c>
      <c r="D13" s="3" t="s">
        <v>682</v>
      </c>
    </row>
    <row r="14" spans="1:13" ht="25" customHeight="1">
      <c r="A14" s="8" t="s">
        <v>779</v>
      </c>
      <c r="B14" s="12">
        <v>100</v>
      </c>
      <c r="C14" s="8" t="s">
        <v>681</v>
      </c>
      <c r="D14" s="3" t="s">
        <v>682</v>
      </c>
    </row>
    <row r="15" spans="1:13" ht="25" customHeight="1">
      <c r="A15" s="8" t="s">
        <v>812</v>
      </c>
      <c r="B15" s="12">
        <v>112</v>
      </c>
      <c r="C15" s="8" t="s">
        <v>681</v>
      </c>
      <c r="D15" s="3" t="s">
        <v>682</v>
      </c>
    </row>
    <row r="16" spans="1:13" ht="25" customHeight="1">
      <c r="A16" s="8" t="s">
        <v>813</v>
      </c>
      <c r="B16" s="12">
        <v>142</v>
      </c>
      <c r="C16" s="8" t="s">
        <v>681</v>
      </c>
      <c r="D16" s="3" t="s">
        <v>682</v>
      </c>
    </row>
    <row r="17" spans="1:4" ht="25" customHeight="1">
      <c r="A17" s="8" t="s">
        <v>822</v>
      </c>
      <c r="B17" s="12">
        <v>142</v>
      </c>
      <c r="C17" s="8" t="s">
        <v>681</v>
      </c>
      <c r="D17" s="3" t="s">
        <v>682</v>
      </c>
    </row>
    <row r="18" spans="1:4" ht="25" customHeight="1">
      <c r="A18" s="8" t="s">
        <v>1949</v>
      </c>
      <c r="B18" s="12">
        <v>176</v>
      </c>
      <c r="C18" s="8" t="s">
        <v>681</v>
      </c>
      <c r="D18" s="3" t="s">
        <v>682</v>
      </c>
    </row>
    <row r="19" spans="1:4" ht="25" customHeight="1">
      <c r="A19" s="8" t="s">
        <v>1983</v>
      </c>
      <c r="B19" s="12">
        <v>50</v>
      </c>
      <c r="C19" s="8" t="s">
        <v>681</v>
      </c>
      <c r="D19" s="3" t="s">
        <v>682</v>
      </c>
    </row>
    <row r="39" spans="1:18" ht="27" customHeight="1">
      <c r="A39" s="5" t="s">
        <v>2051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ht="36" customHeight="1">
      <c r="A40" s="9" t="s">
        <v>2052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ht="46" customHeight="1">
      <c r="A41" s="6" t="s">
        <v>2053</v>
      </c>
      <c r="B41" s="6" t="s">
        <v>2054</v>
      </c>
      <c r="C41" s="6" t="s">
        <v>2055</v>
      </c>
      <c r="D41" s="6" t="s">
        <v>21</v>
      </c>
      <c r="E41" s="6" t="s">
        <v>22</v>
      </c>
      <c r="F41" s="6" t="s">
        <v>23</v>
      </c>
      <c r="G41" s="6" t="s">
        <v>2056</v>
      </c>
      <c r="H41" s="6" t="s">
        <v>2057</v>
      </c>
      <c r="I41" s="6" t="s">
        <v>2058</v>
      </c>
      <c r="J41" s="6" t="s">
        <v>2059</v>
      </c>
      <c r="K41" s="6" t="s">
        <v>2060</v>
      </c>
      <c r="L41" s="6" t="s">
        <v>2061</v>
      </c>
      <c r="M41" s="6" t="s">
        <v>2062</v>
      </c>
    </row>
    <row r="42" spans="1:18" ht="25" customHeight="1">
      <c r="A42" s="12"/>
      <c r="B42" s="8"/>
      <c r="C42" s="8"/>
      <c r="D42" s="8"/>
      <c r="E42" s="8"/>
      <c r="F42" s="8"/>
      <c r="G42" s="8"/>
      <c r="H42" s="8"/>
      <c r="I42" s="11"/>
      <c r="J42" s="12"/>
      <c r="K42" s="12"/>
      <c r="L42" s="12"/>
      <c r="M42" s="8"/>
    </row>
    <row r="43" spans="1:18" ht="25" customHeight="1">
      <c r="A43" s="12">
        <v>3</v>
      </c>
      <c r="B43" s="8" t="s">
        <v>2063</v>
      </c>
      <c r="C43" s="8" t="s">
        <v>115</v>
      </c>
      <c r="D43" s="8" t="s">
        <v>120</v>
      </c>
      <c r="E43" s="8" t="s">
        <v>206</v>
      </c>
      <c r="F43" s="8"/>
      <c r="G43" s="8"/>
      <c r="H43" s="8"/>
      <c r="I43" s="11">
        <v>0</v>
      </c>
      <c r="J43" s="12">
        <v>0</v>
      </c>
      <c r="K43" s="12"/>
      <c r="L43" s="12"/>
      <c r="M43" s="8"/>
    </row>
    <row r="44" spans="1:18" ht="25" customHeight="1">
      <c r="A44" s="12">
        <v>4</v>
      </c>
      <c r="B44" s="8" t="s">
        <v>2063</v>
      </c>
      <c r="C44" s="8" t="s">
        <v>115</v>
      </c>
      <c r="D44" s="8" t="s">
        <v>842</v>
      </c>
      <c r="E44" s="8" t="s">
        <v>235</v>
      </c>
      <c r="F44" s="8" t="s">
        <v>449</v>
      </c>
      <c r="G44" s="8" t="s">
        <v>1395</v>
      </c>
      <c r="H44" s="8" t="s">
        <v>1963</v>
      </c>
      <c r="I44" s="11">
        <v>5</v>
      </c>
      <c r="J44" s="12">
        <v>1</v>
      </c>
      <c r="K44" s="12">
        <v>0</v>
      </c>
      <c r="L44" s="12">
        <v>0</v>
      </c>
      <c r="M44" s="8" t="s">
        <v>2064</v>
      </c>
    </row>
    <row r="45" spans="1:18" ht="25" customHeight="1">
      <c r="A45" s="12">
        <v>5</v>
      </c>
      <c r="B45" s="8" t="s">
        <v>2063</v>
      </c>
      <c r="C45" s="8" t="s">
        <v>115</v>
      </c>
      <c r="D45" s="8" t="s">
        <v>123</v>
      </c>
      <c r="E45" s="8" t="s">
        <v>203</v>
      </c>
      <c r="F45" s="8" t="s">
        <v>465</v>
      </c>
      <c r="G45" s="8" t="s">
        <v>1398</v>
      </c>
      <c r="H45" s="8" t="s">
        <v>1965</v>
      </c>
      <c r="I45" s="11">
        <v>0</v>
      </c>
      <c r="J45" s="12">
        <v>1</v>
      </c>
      <c r="K45" s="12">
        <v>0</v>
      </c>
      <c r="L45" s="12">
        <v>0</v>
      </c>
      <c r="M45" s="8" t="s">
        <v>1965</v>
      </c>
    </row>
    <row r="46" spans="1:18" ht="25" customHeight="1">
      <c r="A46" s="12">
        <v>6</v>
      </c>
      <c r="B46" s="8" t="s">
        <v>2063</v>
      </c>
      <c r="C46" s="8" t="s">
        <v>115</v>
      </c>
      <c r="D46" s="8" t="s">
        <v>120</v>
      </c>
      <c r="E46" s="8" t="s">
        <v>203</v>
      </c>
      <c r="F46" s="8" t="s">
        <v>449</v>
      </c>
      <c r="G46" s="8" t="s">
        <v>1401</v>
      </c>
      <c r="H46" s="8" t="s">
        <v>1966</v>
      </c>
      <c r="I46" s="11">
        <v>9</v>
      </c>
      <c r="J46" s="12">
        <v>1</v>
      </c>
      <c r="K46" s="12">
        <v>1</v>
      </c>
      <c r="L46" s="12">
        <v>0</v>
      </c>
      <c r="M46" s="8" t="s">
        <v>2065</v>
      </c>
    </row>
    <row r="47" spans="1:18" ht="25" customHeight="1">
      <c r="A47" s="12">
        <v>7</v>
      </c>
      <c r="B47" s="8" t="s">
        <v>2063</v>
      </c>
      <c r="C47" s="8" t="s">
        <v>115</v>
      </c>
      <c r="D47" s="8" t="s">
        <v>120</v>
      </c>
      <c r="E47" s="8" t="s">
        <v>203</v>
      </c>
      <c r="F47" s="8" t="s">
        <v>465</v>
      </c>
      <c r="G47" s="8" t="s">
        <v>815</v>
      </c>
      <c r="H47" s="8" t="s">
        <v>1965</v>
      </c>
      <c r="I47" s="11">
        <v>10</v>
      </c>
      <c r="J47" s="12">
        <v>1</v>
      </c>
      <c r="K47" s="12">
        <v>1</v>
      </c>
      <c r="L47" s="12">
        <v>0</v>
      </c>
      <c r="M47" s="8" t="s">
        <v>1965</v>
      </c>
    </row>
    <row r="48" spans="1:18" ht="25" customHeight="1">
      <c r="A48" s="12">
        <v>8</v>
      </c>
      <c r="B48" s="8" t="s">
        <v>2063</v>
      </c>
      <c r="C48" s="8" t="s">
        <v>115</v>
      </c>
      <c r="D48" s="8" t="s">
        <v>120</v>
      </c>
      <c r="E48" s="8" t="s">
        <v>203</v>
      </c>
      <c r="F48" s="8" t="s">
        <v>471</v>
      </c>
      <c r="G48" s="8" t="s">
        <v>1406</v>
      </c>
      <c r="H48" s="8" t="s">
        <v>1963</v>
      </c>
      <c r="I48" s="11">
        <v>5</v>
      </c>
      <c r="J48" s="12">
        <v>1</v>
      </c>
      <c r="K48" s="12">
        <v>0</v>
      </c>
      <c r="L48" s="12">
        <v>0</v>
      </c>
      <c r="M48" s="8" t="s">
        <v>2064</v>
      </c>
    </row>
    <row r="49" spans="1:13" ht="25" customHeight="1">
      <c r="A49" s="12">
        <v>9</v>
      </c>
      <c r="B49" s="8" t="s">
        <v>2063</v>
      </c>
      <c r="C49" s="8" t="s">
        <v>115</v>
      </c>
      <c r="D49" s="8" t="s">
        <v>120</v>
      </c>
      <c r="E49" s="8" t="s">
        <v>203</v>
      </c>
      <c r="F49" s="8" t="s">
        <v>468</v>
      </c>
      <c r="G49" s="8" t="s">
        <v>49</v>
      </c>
      <c r="H49" s="8" t="s">
        <v>1963</v>
      </c>
      <c r="I49" s="11">
        <v>0</v>
      </c>
      <c r="J49" s="12">
        <v>1</v>
      </c>
      <c r="K49" s="12">
        <v>0</v>
      </c>
      <c r="L49" s="12">
        <v>0</v>
      </c>
      <c r="M49" s="8" t="s">
        <v>2064</v>
      </c>
    </row>
    <row r="50" spans="1:13" ht="25" customHeight="1">
      <c r="A50" s="12">
        <v>10</v>
      </c>
      <c r="B50" s="8" t="s">
        <v>2063</v>
      </c>
      <c r="C50" s="8" t="s">
        <v>115</v>
      </c>
      <c r="D50" s="8" t="s">
        <v>120</v>
      </c>
      <c r="E50" s="8" t="s">
        <v>203</v>
      </c>
      <c r="F50" s="8" t="s">
        <v>611</v>
      </c>
      <c r="G50" s="8" t="s">
        <v>1410</v>
      </c>
      <c r="H50" s="8" t="s">
        <v>1965</v>
      </c>
      <c r="I50" s="11">
        <v>-2</v>
      </c>
      <c r="J50" s="12">
        <v>1</v>
      </c>
      <c r="K50" s="12">
        <v>0</v>
      </c>
      <c r="L50" s="12">
        <v>0</v>
      </c>
      <c r="M50" s="8" t="s">
        <v>1965</v>
      </c>
    </row>
    <row r="51" spans="1:13" ht="25" customHeight="1">
      <c r="A51" s="12">
        <v>11</v>
      </c>
      <c r="B51" s="8" t="s">
        <v>2063</v>
      </c>
      <c r="C51" s="8" t="s">
        <v>115</v>
      </c>
      <c r="D51" s="8" t="s">
        <v>120</v>
      </c>
      <c r="E51" s="8" t="s">
        <v>203</v>
      </c>
      <c r="F51" s="8" t="s">
        <v>541</v>
      </c>
      <c r="G51" s="8" t="s">
        <v>1413</v>
      </c>
      <c r="H51" s="8" t="s">
        <v>1965</v>
      </c>
      <c r="I51" s="11">
        <v>6</v>
      </c>
      <c r="J51" s="12">
        <v>1</v>
      </c>
      <c r="K51" s="12">
        <v>1</v>
      </c>
      <c r="L51" s="12">
        <v>0</v>
      </c>
      <c r="M51" s="8" t="s">
        <v>1965</v>
      </c>
    </row>
    <row r="52" spans="1:13" ht="25" customHeight="1">
      <c r="A52" s="12">
        <v>12</v>
      </c>
      <c r="B52" s="8" t="s">
        <v>2063</v>
      </c>
      <c r="C52" s="8" t="s">
        <v>115</v>
      </c>
      <c r="D52" s="8" t="s">
        <v>120</v>
      </c>
      <c r="E52" s="8" t="s">
        <v>206</v>
      </c>
      <c r="F52" s="8" t="s">
        <v>449</v>
      </c>
      <c r="G52" s="8" t="s">
        <v>1416</v>
      </c>
      <c r="H52" s="8" t="s">
        <v>1966</v>
      </c>
      <c r="I52" s="11">
        <v>0</v>
      </c>
      <c r="J52" s="12">
        <v>1</v>
      </c>
      <c r="K52" s="12">
        <v>0</v>
      </c>
      <c r="L52" s="12">
        <v>0</v>
      </c>
      <c r="M52" s="8" t="s">
        <v>2065</v>
      </c>
    </row>
    <row r="53" spans="1:13" ht="25" customHeight="1">
      <c r="A53" s="12">
        <v>13</v>
      </c>
      <c r="B53" s="8" t="s">
        <v>2063</v>
      </c>
      <c r="C53" s="8" t="s">
        <v>115</v>
      </c>
      <c r="D53" s="8" t="s">
        <v>120</v>
      </c>
      <c r="E53" s="8" t="s">
        <v>206</v>
      </c>
      <c r="F53" s="8" t="s">
        <v>474</v>
      </c>
      <c r="G53" s="8" t="s">
        <v>819</v>
      </c>
      <c r="H53" s="8" t="s">
        <v>1968</v>
      </c>
      <c r="I53" s="11">
        <v>0</v>
      </c>
      <c r="J53" s="12">
        <v>1</v>
      </c>
      <c r="K53" s="12">
        <v>0</v>
      </c>
      <c r="L53" s="12">
        <v>0</v>
      </c>
      <c r="M53" s="8" t="s">
        <v>2064</v>
      </c>
    </row>
    <row r="54" spans="1:13" ht="25" customHeight="1">
      <c r="A54" s="12">
        <v>14</v>
      </c>
      <c r="B54" s="8" t="s">
        <v>2063</v>
      </c>
      <c r="C54" s="8" t="s">
        <v>115</v>
      </c>
      <c r="D54" s="8" t="s">
        <v>120</v>
      </c>
      <c r="E54" s="8" t="s">
        <v>206</v>
      </c>
      <c r="F54" s="8" t="s">
        <v>428</v>
      </c>
      <c r="G54" s="8" t="s">
        <v>1420</v>
      </c>
      <c r="H54" s="8" t="s">
        <v>1965</v>
      </c>
      <c r="I54" s="11">
        <v>3</v>
      </c>
      <c r="J54" s="12">
        <v>1</v>
      </c>
      <c r="K54" s="12">
        <v>1</v>
      </c>
      <c r="L54" s="12">
        <v>0</v>
      </c>
      <c r="M54" s="8" t="s">
        <v>1965</v>
      </c>
    </row>
    <row r="55" spans="1:13" ht="25" customHeight="1">
      <c r="A55" s="12">
        <v>15</v>
      </c>
      <c r="B55" s="8" t="s">
        <v>2063</v>
      </c>
      <c r="C55" s="8" t="s">
        <v>115</v>
      </c>
      <c r="D55" s="8" t="s">
        <v>120</v>
      </c>
      <c r="E55" s="8" t="s">
        <v>203</v>
      </c>
      <c r="F55" s="8" t="s">
        <v>574</v>
      </c>
      <c r="G55" s="8" t="s">
        <v>1422</v>
      </c>
      <c r="H55" s="8" t="s">
        <v>1965</v>
      </c>
      <c r="I55" s="11">
        <v>0</v>
      </c>
      <c r="J55" s="12">
        <v>1</v>
      </c>
      <c r="K55" s="12">
        <v>0</v>
      </c>
      <c r="L55" s="12">
        <v>0</v>
      </c>
      <c r="M55" s="8" t="s">
        <v>1965</v>
      </c>
    </row>
    <row r="56" spans="1:13" ht="25" customHeight="1">
      <c r="A56" s="12">
        <v>16</v>
      </c>
      <c r="B56" s="8" t="s">
        <v>2063</v>
      </c>
      <c r="C56" s="8" t="s">
        <v>115</v>
      </c>
      <c r="D56" s="8" t="s">
        <v>120</v>
      </c>
      <c r="E56" s="8" t="s">
        <v>206</v>
      </c>
      <c r="F56" s="8" t="s">
        <v>452</v>
      </c>
      <c r="G56" s="8" t="s">
        <v>49</v>
      </c>
      <c r="H56" s="8" t="s">
        <v>1966</v>
      </c>
      <c r="I56" s="11">
        <v>3</v>
      </c>
      <c r="J56" s="12">
        <v>1</v>
      </c>
      <c r="K56" s="12">
        <v>1</v>
      </c>
      <c r="L56" s="12">
        <v>0</v>
      </c>
      <c r="M56" s="8" t="s">
        <v>2065</v>
      </c>
    </row>
    <row r="57" spans="1:13" ht="25" customHeight="1">
      <c r="A57" s="12">
        <v>17</v>
      </c>
      <c r="B57" s="8" t="s">
        <v>2063</v>
      </c>
      <c r="C57" s="8" t="s">
        <v>115</v>
      </c>
      <c r="D57" s="8" t="s">
        <v>123</v>
      </c>
      <c r="E57" s="8" t="s">
        <v>203</v>
      </c>
      <c r="F57" s="8" t="s">
        <v>428</v>
      </c>
      <c r="G57" s="8" t="s">
        <v>1424</v>
      </c>
      <c r="H57" s="8" t="s">
        <v>1965</v>
      </c>
      <c r="I57" s="11">
        <v>7</v>
      </c>
      <c r="J57" s="12">
        <v>1</v>
      </c>
      <c r="K57" s="12">
        <v>1</v>
      </c>
      <c r="L57" s="12">
        <v>0</v>
      </c>
      <c r="M57" s="8" t="s">
        <v>1965</v>
      </c>
    </row>
    <row r="58" spans="1:13" ht="25" customHeight="1">
      <c r="A58" s="12">
        <v>18</v>
      </c>
      <c r="B58" s="8" t="s">
        <v>2063</v>
      </c>
      <c r="C58" s="8" t="s">
        <v>115</v>
      </c>
      <c r="D58" s="8" t="s">
        <v>120</v>
      </c>
      <c r="E58" s="8" t="s">
        <v>206</v>
      </c>
      <c r="F58" s="8" t="s">
        <v>465</v>
      </c>
      <c r="G58" s="8" t="s">
        <v>1398</v>
      </c>
      <c r="H58" s="8" t="s">
        <v>1965</v>
      </c>
      <c r="I58" s="11">
        <v>0</v>
      </c>
      <c r="J58" s="12">
        <v>1</v>
      </c>
      <c r="K58" s="12">
        <v>0</v>
      </c>
      <c r="L58" s="12">
        <v>0</v>
      </c>
      <c r="M58" s="8" t="s">
        <v>1965</v>
      </c>
    </row>
    <row r="59" spans="1:13" ht="25" customHeight="1">
      <c r="A59" s="12">
        <v>19</v>
      </c>
      <c r="B59" s="8" t="s">
        <v>2063</v>
      </c>
      <c r="C59" s="8" t="s">
        <v>115</v>
      </c>
      <c r="D59" s="8" t="s">
        <v>120</v>
      </c>
      <c r="E59" s="8" t="s">
        <v>203</v>
      </c>
      <c r="F59" s="8" t="s">
        <v>574</v>
      </c>
      <c r="G59" s="8" t="s">
        <v>1429</v>
      </c>
      <c r="H59" s="8" t="s">
        <v>1965</v>
      </c>
      <c r="I59" s="11">
        <v>8</v>
      </c>
      <c r="J59" s="12">
        <v>1</v>
      </c>
      <c r="K59" s="12">
        <v>1</v>
      </c>
      <c r="L59" s="12">
        <v>0</v>
      </c>
      <c r="M59" s="8" t="s">
        <v>1965</v>
      </c>
    </row>
    <row r="60" spans="1:13" ht="25" customHeight="1">
      <c r="A60" s="12">
        <v>20</v>
      </c>
      <c r="B60" s="8" t="s">
        <v>2063</v>
      </c>
      <c r="C60" s="8" t="s">
        <v>115</v>
      </c>
      <c r="D60" s="8" t="s">
        <v>120</v>
      </c>
      <c r="E60" s="8" t="s">
        <v>206</v>
      </c>
      <c r="F60" s="8" t="s">
        <v>468</v>
      </c>
      <c r="G60" s="8" t="s">
        <v>1431</v>
      </c>
      <c r="H60" s="8" t="s">
        <v>1966</v>
      </c>
      <c r="I60" s="11">
        <v>15</v>
      </c>
      <c r="J60" s="12">
        <v>1</v>
      </c>
      <c r="K60" s="12">
        <v>1</v>
      </c>
      <c r="L60" s="12">
        <v>1</v>
      </c>
      <c r="M60" s="8" t="s">
        <v>2065</v>
      </c>
    </row>
    <row r="61" spans="1:13" ht="25" customHeight="1">
      <c r="A61" s="12">
        <v>21</v>
      </c>
      <c r="B61" s="8" t="s">
        <v>2063</v>
      </c>
      <c r="C61" s="8" t="s">
        <v>115</v>
      </c>
      <c r="D61" s="8" t="s">
        <v>120</v>
      </c>
      <c r="E61" s="8" t="s">
        <v>203</v>
      </c>
      <c r="F61" s="8" t="s">
        <v>428</v>
      </c>
      <c r="G61" s="8" t="s">
        <v>1433</v>
      </c>
      <c r="H61" s="8" t="s">
        <v>1965</v>
      </c>
      <c r="I61" s="11">
        <v>1</v>
      </c>
      <c r="J61" s="12">
        <v>1</v>
      </c>
      <c r="K61" s="12">
        <v>0</v>
      </c>
      <c r="L61" s="12">
        <v>0</v>
      </c>
      <c r="M61" s="8" t="s">
        <v>1965</v>
      </c>
    </row>
    <row r="62" spans="1:13" ht="25" customHeight="1">
      <c r="A62" s="12">
        <v>22</v>
      </c>
      <c r="B62" s="8" t="s">
        <v>2063</v>
      </c>
      <c r="C62" s="8" t="s">
        <v>115</v>
      </c>
      <c r="D62" s="8" t="s">
        <v>120</v>
      </c>
      <c r="E62" s="8" t="s">
        <v>203</v>
      </c>
      <c r="F62" s="8" t="s">
        <v>800</v>
      </c>
      <c r="G62" s="8" t="s">
        <v>1435</v>
      </c>
      <c r="H62" s="8" t="s">
        <v>1965</v>
      </c>
      <c r="I62" s="11">
        <v>2</v>
      </c>
      <c r="J62" s="12">
        <v>1</v>
      </c>
      <c r="K62" s="12">
        <v>0</v>
      </c>
      <c r="L62" s="12">
        <v>0</v>
      </c>
      <c r="M62" s="8" t="s">
        <v>1965</v>
      </c>
    </row>
    <row r="63" spans="1:13" ht="25" customHeight="1">
      <c r="A63" s="12">
        <v>23</v>
      </c>
      <c r="B63" s="8" t="s">
        <v>2063</v>
      </c>
      <c r="C63" s="8" t="s">
        <v>115</v>
      </c>
      <c r="D63" s="8" t="s">
        <v>120</v>
      </c>
      <c r="E63" s="8" t="s">
        <v>206</v>
      </c>
      <c r="F63" s="8" t="s">
        <v>465</v>
      </c>
      <c r="G63" s="8" t="s">
        <v>815</v>
      </c>
      <c r="H63" s="8" t="s">
        <v>1965</v>
      </c>
      <c r="I63" s="11">
        <v>3</v>
      </c>
      <c r="J63" s="12">
        <v>1</v>
      </c>
      <c r="K63" s="12">
        <v>1</v>
      </c>
      <c r="L63" s="12">
        <v>0</v>
      </c>
      <c r="M63" s="8" t="s">
        <v>1965</v>
      </c>
    </row>
    <row r="64" spans="1:13" ht="25" customHeight="1">
      <c r="A64" s="12">
        <v>24</v>
      </c>
      <c r="B64" s="8" t="s">
        <v>2063</v>
      </c>
      <c r="C64" s="8" t="s">
        <v>115</v>
      </c>
      <c r="D64" s="8" t="s">
        <v>803</v>
      </c>
      <c r="E64" s="8" t="s">
        <v>203</v>
      </c>
      <c r="F64" s="8" t="s">
        <v>465</v>
      </c>
      <c r="G64" s="8" t="s">
        <v>816</v>
      </c>
      <c r="H64" s="8" t="s">
        <v>1965</v>
      </c>
      <c r="I64" s="11">
        <v>6</v>
      </c>
      <c r="J64" s="12">
        <v>1</v>
      </c>
      <c r="K64" s="12">
        <v>1</v>
      </c>
      <c r="L64" s="12">
        <v>0</v>
      </c>
      <c r="M64" s="8" t="s">
        <v>1965</v>
      </c>
    </row>
    <row r="65" spans="1:13" ht="25" customHeight="1">
      <c r="A65" s="12">
        <v>25</v>
      </c>
      <c r="B65" s="8" t="s">
        <v>2063</v>
      </c>
      <c r="C65" s="8" t="s">
        <v>115</v>
      </c>
      <c r="D65" s="8" t="s">
        <v>120</v>
      </c>
      <c r="E65" s="8" t="s">
        <v>203</v>
      </c>
      <c r="F65" s="8" t="s">
        <v>465</v>
      </c>
      <c r="G65" s="8" t="s">
        <v>1439</v>
      </c>
      <c r="H65" s="8" t="s">
        <v>1965</v>
      </c>
      <c r="I65" s="11">
        <v>2</v>
      </c>
      <c r="J65" s="12">
        <v>1</v>
      </c>
      <c r="K65" s="12">
        <v>0</v>
      </c>
      <c r="L65" s="12">
        <v>0</v>
      </c>
      <c r="M65" s="8" t="s">
        <v>1965</v>
      </c>
    </row>
    <row r="66" spans="1:13" ht="25" customHeight="1">
      <c r="A66" s="12">
        <v>26</v>
      </c>
      <c r="B66" s="8" t="s">
        <v>2063</v>
      </c>
      <c r="C66" s="8" t="s">
        <v>115</v>
      </c>
      <c r="D66" s="8" t="s">
        <v>802</v>
      </c>
      <c r="E66" s="8" t="s">
        <v>206</v>
      </c>
      <c r="F66" s="8" t="s">
        <v>465</v>
      </c>
      <c r="G66" s="8" t="s">
        <v>815</v>
      </c>
      <c r="H66" s="8" t="s">
        <v>1965</v>
      </c>
      <c r="I66" s="11">
        <v>-1</v>
      </c>
      <c r="J66" s="12">
        <v>1</v>
      </c>
      <c r="K66" s="12">
        <v>0</v>
      </c>
      <c r="L66" s="12">
        <v>0</v>
      </c>
      <c r="M66" s="8" t="s">
        <v>1965</v>
      </c>
    </row>
    <row r="67" spans="1:13" ht="25" customHeight="1">
      <c r="A67" s="12">
        <v>27</v>
      </c>
      <c r="B67" s="8" t="s">
        <v>2063</v>
      </c>
      <c r="C67" s="8" t="s">
        <v>115</v>
      </c>
      <c r="D67" s="8" t="s">
        <v>120</v>
      </c>
      <c r="E67" s="8" t="s">
        <v>206</v>
      </c>
      <c r="F67" s="8" t="s">
        <v>800</v>
      </c>
      <c r="G67" s="8" t="s">
        <v>817</v>
      </c>
      <c r="H67" s="8" t="s">
        <v>1965</v>
      </c>
      <c r="I67" s="11">
        <v>1</v>
      </c>
      <c r="J67" s="12">
        <v>1</v>
      </c>
      <c r="K67" s="12">
        <v>0</v>
      </c>
      <c r="L67" s="12">
        <v>0</v>
      </c>
      <c r="M67" s="8" t="s">
        <v>1965</v>
      </c>
    </row>
    <row r="68" spans="1:13" ht="25" customHeight="1">
      <c r="A68" s="12">
        <v>28</v>
      </c>
      <c r="B68" s="8" t="s">
        <v>2063</v>
      </c>
      <c r="C68" s="8" t="s">
        <v>115</v>
      </c>
      <c r="D68" s="8" t="s">
        <v>803</v>
      </c>
      <c r="E68" s="8" t="s">
        <v>811</v>
      </c>
      <c r="F68" s="8" t="s">
        <v>428</v>
      </c>
      <c r="G68" s="8" t="s">
        <v>816</v>
      </c>
      <c r="H68" s="8" t="s">
        <v>1965</v>
      </c>
      <c r="I68" s="11">
        <v>2</v>
      </c>
      <c r="J68" s="12">
        <v>1</v>
      </c>
      <c r="K68" s="12">
        <v>0</v>
      </c>
      <c r="L68" s="12">
        <v>0</v>
      </c>
      <c r="M68" s="8" t="s">
        <v>1965</v>
      </c>
    </row>
    <row r="69" spans="1:13" ht="25" customHeight="1">
      <c r="A69" s="12">
        <v>29</v>
      </c>
      <c r="B69" s="8" t="s">
        <v>2063</v>
      </c>
      <c r="C69" s="8" t="s">
        <v>115</v>
      </c>
      <c r="D69" s="8" t="s">
        <v>803</v>
      </c>
      <c r="E69" s="8" t="s">
        <v>203</v>
      </c>
      <c r="F69" s="8" t="s">
        <v>428</v>
      </c>
      <c r="G69" s="8" t="s">
        <v>818</v>
      </c>
      <c r="H69" s="8" t="s">
        <v>1965</v>
      </c>
      <c r="I69" s="11">
        <v>6</v>
      </c>
      <c r="J69" s="12">
        <v>1</v>
      </c>
      <c r="K69" s="12">
        <v>1</v>
      </c>
      <c r="L69" s="12">
        <v>0</v>
      </c>
      <c r="M69" s="8" t="s">
        <v>1965</v>
      </c>
    </row>
    <row r="70" spans="1:13" ht="25" customHeight="1">
      <c r="A70" s="12">
        <v>30</v>
      </c>
      <c r="B70" s="8" t="s">
        <v>2063</v>
      </c>
      <c r="C70" s="8" t="s">
        <v>115</v>
      </c>
      <c r="D70" s="8" t="s">
        <v>120</v>
      </c>
      <c r="E70" s="8" t="s">
        <v>206</v>
      </c>
      <c r="F70" s="8" t="s">
        <v>800</v>
      </c>
      <c r="G70" s="8" t="s">
        <v>817</v>
      </c>
      <c r="H70" s="8" t="s">
        <v>1965</v>
      </c>
      <c r="I70" s="11">
        <v>2</v>
      </c>
      <c r="J70" s="12">
        <v>1</v>
      </c>
      <c r="K70" s="12">
        <v>0</v>
      </c>
      <c r="L70" s="12">
        <v>0</v>
      </c>
      <c r="M70" s="8" t="s">
        <v>1965</v>
      </c>
    </row>
    <row r="71" spans="1:13" ht="25" customHeight="1">
      <c r="A71" s="12">
        <v>31</v>
      </c>
      <c r="B71" s="8" t="s">
        <v>2063</v>
      </c>
      <c r="C71" s="8" t="s">
        <v>115</v>
      </c>
      <c r="D71" s="8" t="s">
        <v>802</v>
      </c>
      <c r="E71" s="8" t="s">
        <v>811</v>
      </c>
      <c r="F71" s="8" t="s">
        <v>465</v>
      </c>
      <c r="G71" s="8" t="s">
        <v>1447</v>
      </c>
      <c r="H71" s="8" t="s">
        <v>1965</v>
      </c>
      <c r="I71" s="11">
        <v>-4</v>
      </c>
      <c r="J71" s="12">
        <v>1</v>
      </c>
      <c r="K71" s="12">
        <v>0</v>
      </c>
      <c r="L71" s="12">
        <v>0</v>
      </c>
      <c r="M71" s="8" t="s">
        <v>1965</v>
      </c>
    </row>
    <row r="72" spans="1:13" ht="25" customHeight="1">
      <c r="A72" s="12">
        <v>32</v>
      </c>
      <c r="B72" s="8" t="s">
        <v>2063</v>
      </c>
      <c r="C72" s="8" t="s">
        <v>115</v>
      </c>
      <c r="D72" s="8" t="s">
        <v>120</v>
      </c>
      <c r="E72" s="8" t="s">
        <v>206</v>
      </c>
      <c r="F72" s="8" t="s">
        <v>428</v>
      </c>
      <c r="G72" s="8" t="s">
        <v>823</v>
      </c>
      <c r="H72" s="8" t="s">
        <v>1965</v>
      </c>
      <c r="I72" s="11">
        <v>2</v>
      </c>
      <c r="J72" s="12">
        <v>1</v>
      </c>
      <c r="K72" s="12">
        <v>0</v>
      </c>
      <c r="L72" s="12">
        <v>0</v>
      </c>
      <c r="M72" s="8" t="s">
        <v>1965</v>
      </c>
    </row>
    <row r="73" spans="1:13" ht="25" customHeight="1">
      <c r="A73" s="12">
        <v>33</v>
      </c>
      <c r="B73" s="8" t="s">
        <v>2063</v>
      </c>
      <c r="C73" s="8" t="s">
        <v>115</v>
      </c>
      <c r="D73" s="8" t="s">
        <v>877</v>
      </c>
      <c r="E73" s="8" t="s">
        <v>235</v>
      </c>
      <c r="F73" s="8" t="s">
        <v>878</v>
      </c>
      <c r="G73" s="8" t="s">
        <v>1451</v>
      </c>
      <c r="H73" s="8" t="s">
        <v>1971</v>
      </c>
      <c r="I73" s="11">
        <v>1</v>
      </c>
      <c r="J73" s="12">
        <v>1</v>
      </c>
      <c r="K73" s="12">
        <v>1</v>
      </c>
      <c r="L73" s="12">
        <v>0</v>
      </c>
      <c r="M73" s="8" t="s">
        <v>1965</v>
      </c>
    </row>
    <row r="74" spans="1:13" ht="25" customHeight="1">
      <c r="A74" s="12">
        <v>34</v>
      </c>
      <c r="B74" s="8" t="s">
        <v>2063</v>
      </c>
      <c r="C74" s="8" t="s">
        <v>115</v>
      </c>
      <c r="D74" s="8" t="s">
        <v>803</v>
      </c>
      <c r="E74" s="8" t="s">
        <v>203</v>
      </c>
      <c r="F74" s="8" t="s">
        <v>428</v>
      </c>
      <c r="G74" s="8" t="s">
        <v>818</v>
      </c>
      <c r="H74" s="8" t="s">
        <v>1965</v>
      </c>
      <c r="I74" s="11">
        <v>-1</v>
      </c>
      <c r="J74" s="12">
        <v>1</v>
      </c>
      <c r="K74" s="12">
        <v>0</v>
      </c>
      <c r="L74" s="12">
        <v>0</v>
      </c>
      <c r="M74" s="8" t="s">
        <v>1965</v>
      </c>
    </row>
    <row r="75" spans="1:13" ht="25" customHeight="1">
      <c r="A75" s="12">
        <v>35</v>
      </c>
      <c r="B75" s="8" t="s">
        <v>2063</v>
      </c>
      <c r="C75" s="8" t="s">
        <v>115</v>
      </c>
      <c r="D75" s="8" t="s">
        <v>803</v>
      </c>
      <c r="E75" s="8" t="s">
        <v>811</v>
      </c>
      <c r="F75" s="8" t="s">
        <v>428</v>
      </c>
      <c r="G75" s="8" t="s">
        <v>816</v>
      </c>
      <c r="H75" s="8" t="s">
        <v>1965</v>
      </c>
      <c r="I75" s="11">
        <v>1</v>
      </c>
      <c r="J75" s="12">
        <v>1</v>
      </c>
      <c r="K75" s="12">
        <v>0</v>
      </c>
      <c r="L75" s="12">
        <v>0</v>
      </c>
      <c r="M75" s="8" t="s">
        <v>1965</v>
      </c>
    </row>
    <row r="76" spans="1:13" ht="25" customHeight="1">
      <c r="A76" s="12">
        <v>36</v>
      </c>
      <c r="B76" s="8" t="s">
        <v>2063</v>
      </c>
      <c r="C76" s="8" t="s">
        <v>115</v>
      </c>
      <c r="D76" s="8" t="s">
        <v>120</v>
      </c>
      <c r="E76" s="8" t="s">
        <v>203</v>
      </c>
      <c r="F76" s="8" t="s">
        <v>428</v>
      </c>
      <c r="G76" s="8" t="s">
        <v>816</v>
      </c>
      <c r="H76" s="8" t="s">
        <v>1965</v>
      </c>
      <c r="I76" s="11">
        <v>2</v>
      </c>
      <c r="J76" s="12">
        <v>1</v>
      </c>
      <c r="K76" s="12">
        <v>0</v>
      </c>
      <c r="L76" s="12">
        <v>0</v>
      </c>
      <c r="M76" s="8" t="s">
        <v>1965</v>
      </c>
    </row>
    <row r="77" spans="1:13" ht="25" customHeight="1">
      <c r="A77" s="12">
        <v>37</v>
      </c>
      <c r="B77" s="8" t="s">
        <v>2063</v>
      </c>
      <c r="C77" s="8" t="s">
        <v>115</v>
      </c>
      <c r="D77" s="8" t="s">
        <v>120</v>
      </c>
      <c r="E77" s="8" t="s">
        <v>203</v>
      </c>
      <c r="F77" s="8" t="s">
        <v>480</v>
      </c>
      <c r="G77" s="8" t="s">
        <v>1455</v>
      </c>
      <c r="H77" s="8" t="s">
        <v>1963</v>
      </c>
      <c r="I77" s="11">
        <v>-5</v>
      </c>
      <c r="J77" s="12">
        <v>1</v>
      </c>
      <c r="K77" s="12">
        <v>0</v>
      </c>
      <c r="L77" s="12">
        <v>0</v>
      </c>
      <c r="M77" s="8" t="s">
        <v>2064</v>
      </c>
    </row>
    <row r="78" spans="1:13" ht="25" customHeight="1">
      <c r="A78" s="12">
        <v>38</v>
      </c>
      <c r="B78" s="8" t="s">
        <v>2063</v>
      </c>
      <c r="C78" s="8" t="s">
        <v>115</v>
      </c>
      <c r="D78" s="8" t="s">
        <v>120</v>
      </c>
      <c r="E78" s="8" t="s">
        <v>203</v>
      </c>
      <c r="F78" s="8" t="s">
        <v>452</v>
      </c>
      <c r="G78" s="8" t="s">
        <v>49</v>
      </c>
      <c r="H78" s="8" t="s">
        <v>1963</v>
      </c>
      <c r="I78" s="11">
        <v>16</v>
      </c>
      <c r="J78" s="12">
        <v>1</v>
      </c>
      <c r="K78" s="12">
        <v>1</v>
      </c>
      <c r="L78" s="12">
        <v>1</v>
      </c>
      <c r="M78" s="8" t="s">
        <v>2064</v>
      </c>
    </row>
    <row r="79" spans="1:13" ht="25" customHeight="1">
      <c r="A79" s="12">
        <v>39</v>
      </c>
      <c r="B79" s="8" t="s">
        <v>2063</v>
      </c>
      <c r="C79" s="8" t="s">
        <v>115</v>
      </c>
      <c r="D79" s="8" t="s">
        <v>123</v>
      </c>
      <c r="E79" s="8" t="s">
        <v>206</v>
      </c>
      <c r="F79" s="8" t="s">
        <v>428</v>
      </c>
      <c r="G79" s="8" t="s">
        <v>823</v>
      </c>
      <c r="H79" s="8" t="s">
        <v>1965</v>
      </c>
      <c r="I79" s="11">
        <v>12</v>
      </c>
      <c r="J79" s="12">
        <v>1</v>
      </c>
      <c r="K79" s="12">
        <v>1</v>
      </c>
      <c r="L79" s="12">
        <v>1</v>
      </c>
      <c r="M79" s="8" t="s">
        <v>1965</v>
      </c>
    </row>
    <row r="80" spans="1:13" ht="25" customHeight="1">
      <c r="A80" s="12">
        <v>40</v>
      </c>
      <c r="B80" s="8" t="s">
        <v>2063</v>
      </c>
      <c r="C80" s="8" t="s">
        <v>115</v>
      </c>
      <c r="D80" s="8" t="s">
        <v>123</v>
      </c>
      <c r="E80" s="8" t="s">
        <v>1170</v>
      </c>
      <c r="F80" s="8"/>
      <c r="G80" s="8"/>
      <c r="H80" s="8"/>
      <c r="I80" s="11">
        <v>-2</v>
      </c>
      <c r="J80" s="12">
        <v>0</v>
      </c>
      <c r="K80" s="12"/>
      <c r="L80" s="12"/>
      <c r="M80" s="8"/>
    </row>
    <row r="81" spans="1:13" ht="25" customHeight="1">
      <c r="A81" s="12">
        <v>41</v>
      </c>
      <c r="B81" s="8" t="s">
        <v>2066</v>
      </c>
      <c r="C81" s="8" t="s">
        <v>711</v>
      </c>
      <c r="D81" s="8" t="s">
        <v>120</v>
      </c>
      <c r="E81" s="8" t="s">
        <v>203</v>
      </c>
      <c r="F81" s="8" t="s">
        <v>465</v>
      </c>
      <c r="G81" s="8" t="s">
        <v>815</v>
      </c>
      <c r="H81" s="8" t="s">
        <v>1965</v>
      </c>
      <c r="I81" s="11">
        <v>-2</v>
      </c>
      <c r="J81" s="12">
        <v>1</v>
      </c>
      <c r="K81" s="12">
        <v>0</v>
      </c>
      <c r="L81" s="12">
        <v>0</v>
      </c>
      <c r="M81" s="8" t="s">
        <v>1965</v>
      </c>
    </row>
    <row r="82" spans="1:13" ht="25" customHeight="1">
      <c r="A82" s="12">
        <v>42</v>
      </c>
      <c r="B82" s="8" t="s">
        <v>2066</v>
      </c>
      <c r="C82" s="8" t="s">
        <v>716</v>
      </c>
      <c r="D82" s="8" t="s">
        <v>120</v>
      </c>
      <c r="E82" s="8" t="s">
        <v>222</v>
      </c>
      <c r="F82" s="8" t="s">
        <v>474</v>
      </c>
      <c r="G82" s="8" t="s">
        <v>819</v>
      </c>
      <c r="H82" s="8" t="s">
        <v>1966</v>
      </c>
      <c r="I82" s="11">
        <v>0</v>
      </c>
      <c r="J82" s="12">
        <v>1</v>
      </c>
      <c r="K82" s="12">
        <v>0</v>
      </c>
      <c r="L82" s="12">
        <v>0</v>
      </c>
      <c r="M82" s="8" t="s">
        <v>2065</v>
      </c>
    </row>
    <row r="83" spans="1:13" ht="25" customHeight="1">
      <c r="A83" s="12">
        <v>43</v>
      </c>
      <c r="B83" s="8" t="s">
        <v>2066</v>
      </c>
      <c r="C83" s="8" t="s">
        <v>716</v>
      </c>
      <c r="D83" s="8" t="s">
        <v>123</v>
      </c>
      <c r="E83" s="8" t="s">
        <v>203</v>
      </c>
      <c r="F83" s="8" t="s">
        <v>428</v>
      </c>
      <c r="G83" s="8" t="s">
        <v>816</v>
      </c>
      <c r="H83" s="8" t="s">
        <v>1965</v>
      </c>
      <c r="I83" s="11">
        <v>0</v>
      </c>
      <c r="J83" s="12">
        <v>1</v>
      </c>
      <c r="K83" s="12">
        <v>0</v>
      </c>
      <c r="L83" s="12">
        <v>0</v>
      </c>
      <c r="M83" s="8" t="s">
        <v>1965</v>
      </c>
    </row>
    <row r="84" spans="1:13" ht="25" customHeight="1">
      <c r="A84" s="12">
        <v>44</v>
      </c>
      <c r="B84" s="8" t="s">
        <v>2066</v>
      </c>
      <c r="C84" s="8" t="s">
        <v>716</v>
      </c>
      <c r="D84" s="8" t="s">
        <v>120</v>
      </c>
      <c r="E84" s="8" t="s">
        <v>206</v>
      </c>
      <c r="F84" s="8" t="s">
        <v>465</v>
      </c>
      <c r="G84" s="8" t="s">
        <v>815</v>
      </c>
      <c r="H84" s="8" t="s">
        <v>1965</v>
      </c>
      <c r="I84" s="11">
        <v>8</v>
      </c>
      <c r="J84" s="12">
        <v>1</v>
      </c>
      <c r="K84" s="12">
        <v>1</v>
      </c>
      <c r="L84" s="12">
        <v>0</v>
      </c>
      <c r="M84" s="8" t="s">
        <v>1965</v>
      </c>
    </row>
    <row r="85" spans="1:13" ht="25" customHeight="1">
      <c r="A85" s="12">
        <v>45</v>
      </c>
      <c r="B85" s="8" t="s">
        <v>2066</v>
      </c>
      <c r="C85" s="8" t="s">
        <v>716</v>
      </c>
      <c r="D85" s="8" t="s">
        <v>120</v>
      </c>
      <c r="E85" s="8" t="s">
        <v>203</v>
      </c>
      <c r="F85" s="8" t="s">
        <v>611</v>
      </c>
      <c r="G85" s="8" t="s">
        <v>1410</v>
      </c>
      <c r="H85" s="8" t="s">
        <v>1965</v>
      </c>
      <c r="I85" s="11">
        <v>9</v>
      </c>
      <c r="J85" s="12">
        <v>1</v>
      </c>
      <c r="K85" s="12">
        <v>1</v>
      </c>
      <c r="L85" s="12">
        <v>0</v>
      </c>
      <c r="M85" s="8" t="s">
        <v>1965</v>
      </c>
    </row>
    <row r="86" spans="1:13" ht="25" customHeight="1">
      <c r="A86" s="12">
        <v>46</v>
      </c>
      <c r="B86" s="8" t="s">
        <v>2066</v>
      </c>
      <c r="C86" s="8" t="s">
        <v>716</v>
      </c>
      <c r="D86" s="8" t="s">
        <v>120</v>
      </c>
      <c r="E86" s="8" t="s">
        <v>206</v>
      </c>
      <c r="F86" s="8" t="s">
        <v>443</v>
      </c>
      <c r="G86" s="8" t="s">
        <v>1469</v>
      </c>
      <c r="H86" s="8" t="s">
        <v>1963</v>
      </c>
      <c r="I86" s="11">
        <v>1</v>
      </c>
      <c r="J86" s="12">
        <v>1</v>
      </c>
      <c r="K86" s="12">
        <v>0</v>
      </c>
      <c r="L86" s="12">
        <v>0</v>
      </c>
      <c r="M86" s="8" t="s">
        <v>2064</v>
      </c>
    </row>
    <row r="87" spans="1:13" ht="25" customHeight="1">
      <c r="A87" s="12">
        <v>47</v>
      </c>
      <c r="B87" s="8" t="s">
        <v>2066</v>
      </c>
      <c r="C87" s="8" t="s">
        <v>716</v>
      </c>
      <c r="D87" s="8" t="s">
        <v>120</v>
      </c>
      <c r="E87" s="8" t="s">
        <v>203</v>
      </c>
      <c r="F87" s="8" t="s">
        <v>428</v>
      </c>
      <c r="G87" s="8" t="s">
        <v>816</v>
      </c>
      <c r="H87" s="8" t="s">
        <v>1965</v>
      </c>
      <c r="I87" s="11">
        <v>0</v>
      </c>
      <c r="J87" s="12">
        <v>1</v>
      </c>
      <c r="K87" s="12">
        <v>0</v>
      </c>
      <c r="L87" s="12">
        <v>0</v>
      </c>
      <c r="M87" s="8" t="s">
        <v>1965</v>
      </c>
    </row>
    <row r="88" spans="1:13" ht="25" customHeight="1">
      <c r="A88" s="12">
        <v>48</v>
      </c>
      <c r="B88" s="8" t="s">
        <v>2066</v>
      </c>
      <c r="C88" s="8" t="s">
        <v>716</v>
      </c>
      <c r="D88" s="8" t="s">
        <v>120</v>
      </c>
      <c r="E88" s="8" t="s">
        <v>206</v>
      </c>
      <c r="F88" s="8" t="s">
        <v>428</v>
      </c>
      <c r="G88" s="8" t="s">
        <v>1474</v>
      </c>
      <c r="H88" s="8" t="s">
        <v>1965</v>
      </c>
      <c r="I88" s="11">
        <v>1</v>
      </c>
      <c r="J88" s="12">
        <v>1</v>
      </c>
      <c r="K88" s="12">
        <v>0</v>
      </c>
      <c r="L88" s="12">
        <v>0</v>
      </c>
      <c r="M88" s="8" t="s">
        <v>1965</v>
      </c>
    </row>
    <row r="89" spans="1:13" ht="25" customHeight="1">
      <c r="A89" s="12">
        <v>49</v>
      </c>
      <c r="B89" s="8" t="s">
        <v>2066</v>
      </c>
      <c r="C89" s="8" t="s">
        <v>716</v>
      </c>
      <c r="D89" s="8" t="s">
        <v>120</v>
      </c>
      <c r="E89" s="8" t="s">
        <v>203</v>
      </c>
      <c r="F89" s="8" t="s">
        <v>561</v>
      </c>
      <c r="G89" s="8" t="s">
        <v>1476</v>
      </c>
      <c r="H89" s="8" t="s">
        <v>1974</v>
      </c>
      <c r="I89" s="11">
        <v>0</v>
      </c>
      <c r="J89" s="12">
        <v>1</v>
      </c>
      <c r="K89" s="12">
        <v>0</v>
      </c>
      <c r="L89" s="12">
        <v>0</v>
      </c>
      <c r="M89" s="8" t="s">
        <v>2064</v>
      </c>
    </row>
    <row r="90" spans="1:13" ht="25" customHeight="1">
      <c r="A90" s="12">
        <v>50</v>
      </c>
      <c r="B90" s="8" t="s">
        <v>2066</v>
      </c>
      <c r="C90" s="8" t="s">
        <v>716</v>
      </c>
      <c r="D90" s="8" t="s">
        <v>120</v>
      </c>
      <c r="E90" s="8" t="s">
        <v>203</v>
      </c>
      <c r="F90" s="8" t="s">
        <v>468</v>
      </c>
      <c r="G90" s="8" t="s">
        <v>1478</v>
      </c>
      <c r="H90" s="8" t="s">
        <v>1966</v>
      </c>
      <c r="I90" s="11">
        <v>4</v>
      </c>
      <c r="J90" s="12">
        <v>1</v>
      </c>
      <c r="K90" s="12">
        <v>1</v>
      </c>
      <c r="L90" s="12">
        <v>0</v>
      </c>
      <c r="M90" s="8" t="s">
        <v>2065</v>
      </c>
    </row>
    <row r="91" spans="1:13" ht="25" customHeight="1">
      <c r="A91" s="12">
        <v>51</v>
      </c>
      <c r="B91" s="8" t="s">
        <v>2066</v>
      </c>
      <c r="C91" s="8" t="s">
        <v>716</v>
      </c>
      <c r="D91" s="8" t="s">
        <v>120</v>
      </c>
      <c r="E91" s="8" t="s">
        <v>206</v>
      </c>
      <c r="F91" s="8" t="s">
        <v>468</v>
      </c>
      <c r="G91" s="8" t="s">
        <v>49</v>
      </c>
      <c r="H91" s="8" t="s">
        <v>1963</v>
      </c>
      <c r="I91" s="11">
        <v>31</v>
      </c>
      <c r="J91" s="12">
        <v>1</v>
      </c>
      <c r="K91" s="12">
        <v>1</v>
      </c>
      <c r="L91" s="12">
        <v>1</v>
      </c>
      <c r="M91" s="8" t="s">
        <v>2064</v>
      </c>
    </row>
    <row r="92" spans="1:13" ht="25" customHeight="1">
      <c r="A92" s="12">
        <v>52</v>
      </c>
      <c r="B92" s="8" t="s">
        <v>2066</v>
      </c>
      <c r="C92" s="8" t="s">
        <v>716</v>
      </c>
      <c r="D92" s="8" t="s">
        <v>120</v>
      </c>
      <c r="E92" s="8" t="s">
        <v>203</v>
      </c>
      <c r="F92" s="8" t="s">
        <v>449</v>
      </c>
      <c r="G92" s="8" t="s">
        <v>1481</v>
      </c>
      <c r="H92" s="8" t="s">
        <v>1975</v>
      </c>
      <c r="I92" s="11">
        <v>0</v>
      </c>
      <c r="J92" s="12">
        <v>1</v>
      </c>
      <c r="K92" s="12">
        <v>0</v>
      </c>
      <c r="L92" s="12">
        <v>0</v>
      </c>
      <c r="M92" s="8" t="s">
        <v>2064</v>
      </c>
    </row>
    <row r="93" spans="1:13" ht="25" customHeight="1">
      <c r="A93" s="12">
        <v>53</v>
      </c>
      <c r="B93" s="8" t="s">
        <v>2066</v>
      </c>
      <c r="C93" s="8" t="s">
        <v>711</v>
      </c>
      <c r="D93" s="8" t="s">
        <v>120</v>
      </c>
      <c r="E93" s="8" t="s">
        <v>235</v>
      </c>
      <c r="F93" s="8" t="s">
        <v>878</v>
      </c>
      <c r="G93" s="8" t="s">
        <v>1483</v>
      </c>
      <c r="H93" s="8" t="s">
        <v>1965</v>
      </c>
      <c r="I93" s="11">
        <v>1</v>
      </c>
      <c r="J93" s="12">
        <v>1</v>
      </c>
      <c r="K93" s="12">
        <v>0</v>
      </c>
      <c r="L93" s="12">
        <v>0</v>
      </c>
      <c r="M93" s="8" t="s">
        <v>1965</v>
      </c>
    </row>
    <row r="94" spans="1:13" ht="25" customHeight="1">
      <c r="A94" s="12">
        <v>54</v>
      </c>
      <c r="B94" s="8" t="s">
        <v>2066</v>
      </c>
      <c r="C94" s="8" t="s">
        <v>706</v>
      </c>
      <c r="D94" s="8" t="s">
        <v>877</v>
      </c>
      <c r="E94" s="8" t="s">
        <v>811</v>
      </c>
      <c r="F94" s="8" t="s">
        <v>465</v>
      </c>
      <c r="G94" s="8" t="s">
        <v>1447</v>
      </c>
      <c r="H94" s="8" t="s">
        <v>1965</v>
      </c>
      <c r="I94" s="11">
        <v>0</v>
      </c>
      <c r="J94" s="12">
        <v>1</v>
      </c>
      <c r="K94" s="12">
        <v>0</v>
      </c>
      <c r="L94" s="12">
        <v>0</v>
      </c>
      <c r="M94" s="8" t="s">
        <v>1965</v>
      </c>
    </row>
    <row r="95" spans="1:13" ht="25" customHeight="1">
      <c r="A95" s="12">
        <v>55</v>
      </c>
      <c r="B95" s="8" t="s">
        <v>2066</v>
      </c>
      <c r="C95" s="8" t="s">
        <v>716</v>
      </c>
      <c r="D95" s="8" t="s">
        <v>120</v>
      </c>
      <c r="E95" s="8" t="s">
        <v>203</v>
      </c>
      <c r="F95" s="8" t="s">
        <v>428</v>
      </c>
      <c r="G95" s="8" t="s">
        <v>816</v>
      </c>
      <c r="H95" s="8" t="s">
        <v>1965</v>
      </c>
      <c r="I95" s="11">
        <v>2</v>
      </c>
      <c r="J95" s="12">
        <v>1</v>
      </c>
      <c r="K95" s="12">
        <v>0</v>
      </c>
      <c r="L95" s="12">
        <v>0</v>
      </c>
      <c r="M95" s="8" t="s">
        <v>1965</v>
      </c>
    </row>
    <row r="96" spans="1:13" ht="25" customHeight="1">
      <c r="A96" s="12">
        <v>56</v>
      </c>
      <c r="B96" s="8" t="s">
        <v>2066</v>
      </c>
      <c r="C96" s="8" t="s">
        <v>716</v>
      </c>
      <c r="D96" s="8" t="s">
        <v>120</v>
      </c>
      <c r="E96" s="8" t="s">
        <v>203</v>
      </c>
      <c r="F96" s="8" t="s">
        <v>800</v>
      </c>
      <c r="G96" s="8" t="s">
        <v>1488</v>
      </c>
      <c r="H96" s="8" t="s">
        <v>1965</v>
      </c>
      <c r="I96" s="11">
        <v>6</v>
      </c>
      <c r="J96" s="12">
        <v>1</v>
      </c>
      <c r="K96" s="12">
        <v>1</v>
      </c>
      <c r="L96" s="12">
        <v>0</v>
      </c>
      <c r="M96" s="8" t="s">
        <v>1965</v>
      </c>
    </row>
    <row r="97" spans="1:13" ht="25" customHeight="1">
      <c r="A97" s="12">
        <v>57</v>
      </c>
      <c r="B97" s="8" t="s">
        <v>2066</v>
      </c>
      <c r="C97" s="8" t="s">
        <v>716</v>
      </c>
      <c r="D97" s="8" t="s">
        <v>120</v>
      </c>
      <c r="E97" s="8" t="s">
        <v>206</v>
      </c>
      <c r="F97" s="8" t="s">
        <v>428</v>
      </c>
      <c r="G97" s="8" t="s">
        <v>816</v>
      </c>
      <c r="H97" s="8" t="s">
        <v>1965</v>
      </c>
      <c r="I97" s="11">
        <v>0</v>
      </c>
      <c r="J97" s="12">
        <v>1</v>
      </c>
      <c r="K97" s="12">
        <v>0</v>
      </c>
      <c r="L97" s="12">
        <v>0</v>
      </c>
      <c r="M97" s="8" t="s">
        <v>1965</v>
      </c>
    </row>
    <row r="98" spans="1:13" ht="25" customHeight="1">
      <c r="A98" s="12">
        <v>58</v>
      </c>
      <c r="B98" s="8" t="s">
        <v>2066</v>
      </c>
      <c r="C98" s="8" t="s">
        <v>716</v>
      </c>
      <c r="D98" s="8" t="s">
        <v>120</v>
      </c>
      <c r="E98" s="8" t="s">
        <v>203</v>
      </c>
      <c r="F98" s="8" t="s">
        <v>465</v>
      </c>
      <c r="G98" s="8" t="s">
        <v>1491</v>
      </c>
      <c r="H98" s="8" t="s">
        <v>1965</v>
      </c>
      <c r="I98" s="11">
        <v>4</v>
      </c>
      <c r="J98" s="12">
        <v>1</v>
      </c>
      <c r="K98" s="12">
        <v>1</v>
      </c>
      <c r="L98" s="12">
        <v>0</v>
      </c>
      <c r="M98" s="8" t="s">
        <v>1965</v>
      </c>
    </row>
    <row r="99" spans="1:13" ht="25" customHeight="1">
      <c r="A99" s="12">
        <v>59</v>
      </c>
      <c r="B99" s="8" t="s">
        <v>2066</v>
      </c>
      <c r="C99" s="8" t="s">
        <v>716</v>
      </c>
      <c r="D99" s="8" t="s">
        <v>120</v>
      </c>
      <c r="E99" s="8" t="s">
        <v>235</v>
      </c>
      <c r="F99" s="8" t="s">
        <v>574</v>
      </c>
      <c r="G99" s="8" t="s">
        <v>1422</v>
      </c>
      <c r="H99" s="8" t="s">
        <v>1965</v>
      </c>
      <c r="I99" s="11">
        <v>4</v>
      </c>
      <c r="J99" s="12">
        <v>1</v>
      </c>
      <c r="K99" s="12">
        <v>1</v>
      </c>
      <c r="L99" s="12">
        <v>0</v>
      </c>
      <c r="M99" s="8" t="s">
        <v>1965</v>
      </c>
    </row>
    <row r="100" spans="1:13" ht="25" customHeight="1">
      <c r="A100" s="12">
        <v>60</v>
      </c>
      <c r="B100" s="8" t="s">
        <v>2066</v>
      </c>
      <c r="C100" s="8" t="s">
        <v>716</v>
      </c>
      <c r="D100" s="8" t="s">
        <v>120</v>
      </c>
      <c r="E100" s="8" t="s">
        <v>203</v>
      </c>
      <c r="F100" s="8" t="s">
        <v>468</v>
      </c>
      <c r="G100" s="8" t="s">
        <v>1494</v>
      </c>
      <c r="H100" s="8" t="s">
        <v>1974</v>
      </c>
      <c r="I100" s="11">
        <v>0</v>
      </c>
      <c r="J100" s="12">
        <v>1</v>
      </c>
      <c r="K100" s="12">
        <v>0</v>
      </c>
      <c r="L100" s="12">
        <v>0</v>
      </c>
      <c r="M100" s="8" t="s">
        <v>2064</v>
      </c>
    </row>
    <row r="101" spans="1:13" ht="25" customHeight="1">
      <c r="A101" s="12">
        <v>61</v>
      </c>
      <c r="B101" s="8" t="s">
        <v>2066</v>
      </c>
      <c r="C101" s="8" t="s">
        <v>716</v>
      </c>
      <c r="D101" s="8" t="s">
        <v>120</v>
      </c>
      <c r="E101" s="8" t="s">
        <v>203</v>
      </c>
      <c r="F101" s="8" t="s">
        <v>452</v>
      </c>
      <c r="G101" s="8" t="s">
        <v>1496</v>
      </c>
      <c r="H101" s="8" t="s">
        <v>1977</v>
      </c>
      <c r="I101" s="11">
        <v>-15</v>
      </c>
      <c r="J101" s="12">
        <v>1</v>
      </c>
      <c r="K101" s="12">
        <v>0</v>
      </c>
      <c r="L101" s="12">
        <v>0</v>
      </c>
      <c r="M101" s="8" t="s">
        <v>2064</v>
      </c>
    </row>
    <row r="102" spans="1:13" ht="25" customHeight="1">
      <c r="A102" s="12">
        <v>62</v>
      </c>
      <c r="B102" s="8" t="s">
        <v>2066</v>
      </c>
      <c r="C102" s="8" t="s">
        <v>716</v>
      </c>
      <c r="D102" s="8" t="s">
        <v>120</v>
      </c>
      <c r="E102" s="8" t="s">
        <v>203</v>
      </c>
      <c r="F102" s="8" t="s">
        <v>474</v>
      </c>
      <c r="G102" s="8" t="s">
        <v>819</v>
      </c>
      <c r="H102" s="8" t="s">
        <v>1963</v>
      </c>
      <c r="I102" s="11">
        <v>8</v>
      </c>
      <c r="J102" s="12">
        <v>1</v>
      </c>
      <c r="K102" s="12">
        <v>1</v>
      </c>
      <c r="L102" s="12">
        <v>0</v>
      </c>
      <c r="M102" s="8" t="s">
        <v>2064</v>
      </c>
    </row>
    <row r="103" spans="1:13" ht="25" customHeight="1">
      <c r="A103" s="12">
        <v>63</v>
      </c>
      <c r="B103" s="8" t="s">
        <v>2066</v>
      </c>
      <c r="C103" s="8" t="s">
        <v>716</v>
      </c>
      <c r="D103" s="8" t="s">
        <v>120</v>
      </c>
      <c r="E103" s="8"/>
      <c r="F103" s="8" t="s">
        <v>428</v>
      </c>
      <c r="G103" s="8" t="s">
        <v>1420</v>
      </c>
      <c r="H103" s="8" t="s">
        <v>1965</v>
      </c>
      <c r="I103" s="11">
        <v>-1</v>
      </c>
      <c r="J103" s="12">
        <v>1</v>
      </c>
      <c r="K103" s="12">
        <v>0</v>
      </c>
      <c r="L103" s="12">
        <v>0</v>
      </c>
      <c r="M103" s="8" t="s">
        <v>1965</v>
      </c>
    </row>
    <row r="104" spans="1:13" ht="25" customHeight="1">
      <c r="A104" s="12">
        <v>64</v>
      </c>
      <c r="B104" s="8" t="s">
        <v>2066</v>
      </c>
      <c r="C104" s="8" t="s">
        <v>716</v>
      </c>
      <c r="D104" s="8" t="s">
        <v>120</v>
      </c>
      <c r="E104" s="8" t="s">
        <v>203</v>
      </c>
      <c r="F104" s="8" t="s">
        <v>449</v>
      </c>
      <c r="G104" s="8" t="s">
        <v>1499</v>
      </c>
      <c r="H104" s="8" t="s">
        <v>1963</v>
      </c>
      <c r="I104" s="11">
        <v>13</v>
      </c>
      <c r="J104" s="12">
        <v>1</v>
      </c>
      <c r="K104" s="12">
        <v>1</v>
      </c>
      <c r="L104" s="12">
        <v>0</v>
      </c>
      <c r="M104" s="8" t="s">
        <v>2064</v>
      </c>
    </row>
    <row r="105" spans="1:13" ht="25" customHeight="1">
      <c r="A105" s="12">
        <v>65</v>
      </c>
      <c r="B105" s="8" t="s">
        <v>2066</v>
      </c>
      <c r="C105" s="8" t="s">
        <v>716</v>
      </c>
      <c r="D105" s="8" t="s">
        <v>120</v>
      </c>
      <c r="E105" s="8" t="s">
        <v>203</v>
      </c>
      <c r="F105" s="8" t="s">
        <v>428</v>
      </c>
      <c r="G105" s="8" t="s">
        <v>816</v>
      </c>
      <c r="H105" s="8" t="s">
        <v>1978</v>
      </c>
      <c r="I105" s="11">
        <v>-2</v>
      </c>
      <c r="J105" s="12">
        <v>1</v>
      </c>
      <c r="K105" s="12">
        <v>0</v>
      </c>
      <c r="L105" s="12">
        <v>0</v>
      </c>
      <c r="M105" s="8" t="s">
        <v>1965</v>
      </c>
    </row>
    <row r="106" spans="1:13" ht="25" customHeight="1">
      <c r="A106" s="12">
        <v>66</v>
      </c>
      <c r="B106" s="8" t="s">
        <v>2066</v>
      </c>
      <c r="C106" s="8" t="s">
        <v>720</v>
      </c>
      <c r="D106" s="8" t="s">
        <v>803</v>
      </c>
      <c r="E106" s="8" t="s">
        <v>203</v>
      </c>
      <c r="F106" s="8" t="s">
        <v>428</v>
      </c>
      <c r="G106" s="8" t="s">
        <v>816</v>
      </c>
      <c r="H106" s="8" t="s">
        <v>1965</v>
      </c>
      <c r="I106" s="11">
        <v>3</v>
      </c>
      <c r="J106" s="12">
        <v>1</v>
      </c>
      <c r="K106" s="12">
        <v>1</v>
      </c>
      <c r="L106" s="12">
        <v>0</v>
      </c>
      <c r="M106" s="8" t="s">
        <v>1965</v>
      </c>
    </row>
    <row r="107" spans="1:13" ht="25" customHeight="1">
      <c r="A107" s="12">
        <v>67</v>
      </c>
      <c r="B107" s="8" t="s">
        <v>2066</v>
      </c>
      <c r="C107" s="8" t="s">
        <v>716</v>
      </c>
      <c r="D107" s="8" t="s">
        <v>803</v>
      </c>
      <c r="E107" s="8" t="s">
        <v>203</v>
      </c>
      <c r="F107" s="8" t="s">
        <v>878</v>
      </c>
      <c r="G107" s="8" t="s">
        <v>1503</v>
      </c>
      <c r="H107" s="8" t="s">
        <v>1965</v>
      </c>
      <c r="I107" s="11">
        <v>6</v>
      </c>
      <c r="J107" s="12">
        <v>1</v>
      </c>
      <c r="K107" s="12">
        <v>1</v>
      </c>
      <c r="L107" s="12">
        <v>0</v>
      </c>
      <c r="M107" s="8" t="s">
        <v>1965</v>
      </c>
    </row>
    <row r="108" spans="1:13" ht="25" customHeight="1">
      <c r="A108" s="12">
        <v>68</v>
      </c>
      <c r="B108" s="8" t="s">
        <v>2066</v>
      </c>
      <c r="C108" s="8" t="s">
        <v>716</v>
      </c>
      <c r="D108" s="8" t="s">
        <v>802</v>
      </c>
      <c r="E108" s="8" t="s">
        <v>811</v>
      </c>
      <c r="F108" s="8" t="s">
        <v>465</v>
      </c>
      <c r="G108" s="8" t="s">
        <v>1506</v>
      </c>
      <c r="H108" s="8" t="s">
        <v>1965</v>
      </c>
      <c r="I108" s="11">
        <v>2</v>
      </c>
      <c r="J108" s="12">
        <v>1</v>
      </c>
      <c r="K108" s="12">
        <v>0</v>
      </c>
      <c r="L108" s="12">
        <v>0</v>
      </c>
      <c r="M108" s="8" t="s">
        <v>1965</v>
      </c>
    </row>
    <row r="109" spans="1:13" ht="25" customHeight="1">
      <c r="A109" s="12">
        <v>69</v>
      </c>
      <c r="B109" s="8" t="s">
        <v>2066</v>
      </c>
      <c r="C109" s="8" t="s">
        <v>711</v>
      </c>
      <c r="D109" s="8" t="s">
        <v>802</v>
      </c>
      <c r="E109" s="8" t="s">
        <v>811</v>
      </c>
      <c r="F109" s="8" t="s">
        <v>541</v>
      </c>
      <c r="G109" s="8" t="s">
        <v>1509</v>
      </c>
      <c r="H109" s="8" t="s">
        <v>1971</v>
      </c>
      <c r="I109" s="11">
        <v>4</v>
      </c>
      <c r="J109" s="12">
        <v>1</v>
      </c>
      <c r="K109" s="12">
        <v>1</v>
      </c>
      <c r="L109" s="12">
        <v>0</v>
      </c>
      <c r="M109" s="8" t="s">
        <v>1965</v>
      </c>
    </row>
    <row r="110" spans="1:13" ht="25" customHeight="1">
      <c r="A110" s="12">
        <v>70</v>
      </c>
      <c r="B110" s="8" t="s">
        <v>2066</v>
      </c>
      <c r="C110" s="8" t="s">
        <v>716</v>
      </c>
      <c r="D110" s="8" t="s">
        <v>802</v>
      </c>
      <c r="E110" s="8" t="s">
        <v>811</v>
      </c>
      <c r="F110" s="8" t="s">
        <v>428</v>
      </c>
      <c r="G110" s="8" t="s">
        <v>816</v>
      </c>
      <c r="H110" s="8" t="s">
        <v>1965</v>
      </c>
      <c r="I110" s="11">
        <v>11</v>
      </c>
      <c r="J110" s="12">
        <v>1</v>
      </c>
      <c r="K110" s="12">
        <v>1</v>
      </c>
      <c r="L110" s="12">
        <v>0</v>
      </c>
      <c r="M110" s="8" t="s">
        <v>1965</v>
      </c>
    </row>
    <row r="111" spans="1:13" ht="25" customHeight="1">
      <c r="A111" s="12">
        <v>71</v>
      </c>
      <c r="B111" s="8" t="s">
        <v>2066</v>
      </c>
      <c r="C111" s="8" t="s">
        <v>716</v>
      </c>
      <c r="D111" s="8" t="s">
        <v>802</v>
      </c>
      <c r="E111" s="8" t="s">
        <v>206</v>
      </c>
      <c r="F111" s="8" t="s">
        <v>428</v>
      </c>
      <c r="G111" s="8" t="s">
        <v>823</v>
      </c>
      <c r="H111" s="8" t="s">
        <v>1965</v>
      </c>
      <c r="I111" s="11">
        <v>5</v>
      </c>
      <c r="J111" s="12">
        <v>1</v>
      </c>
      <c r="K111" s="12">
        <v>1</v>
      </c>
      <c r="L111" s="12">
        <v>0</v>
      </c>
      <c r="M111" s="8" t="s">
        <v>1965</v>
      </c>
    </row>
    <row r="112" spans="1:13" ht="25" customHeight="1">
      <c r="A112" s="12">
        <v>72</v>
      </c>
      <c r="B112" s="8" t="s">
        <v>2067</v>
      </c>
      <c r="C112" s="8" t="s">
        <v>716</v>
      </c>
      <c r="D112" s="8" t="s">
        <v>120</v>
      </c>
      <c r="E112" s="8" t="s">
        <v>222</v>
      </c>
      <c r="F112" s="8" t="s">
        <v>446</v>
      </c>
      <c r="G112" s="8" t="s">
        <v>1516</v>
      </c>
      <c r="H112" s="8" t="s">
        <v>1974</v>
      </c>
      <c r="I112" s="11">
        <v>0</v>
      </c>
      <c r="J112" s="12">
        <v>1</v>
      </c>
      <c r="K112" s="12">
        <v>0</v>
      </c>
      <c r="L112" s="12">
        <v>0</v>
      </c>
      <c r="M112" s="8" t="s">
        <v>2064</v>
      </c>
    </row>
    <row r="113" spans="1:13" ht="25" customHeight="1">
      <c r="A113" s="12">
        <v>73</v>
      </c>
      <c r="B113" s="8" t="s">
        <v>2067</v>
      </c>
      <c r="C113" s="8" t="s">
        <v>711</v>
      </c>
      <c r="D113" s="8" t="s">
        <v>120</v>
      </c>
      <c r="E113" s="8" t="s">
        <v>203</v>
      </c>
      <c r="F113" s="8" t="s">
        <v>465</v>
      </c>
      <c r="G113" s="8" t="s">
        <v>1491</v>
      </c>
      <c r="H113" s="8" t="s">
        <v>1965</v>
      </c>
      <c r="I113" s="11">
        <v>-4</v>
      </c>
      <c r="J113" s="12">
        <v>1</v>
      </c>
      <c r="K113" s="12">
        <v>0</v>
      </c>
      <c r="L113" s="12">
        <v>0</v>
      </c>
      <c r="M113" s="8" t="s">
        <v>1965</v>
      </c>
    </row>
    <row r="114" spans="1:13" ht="25" customHeight="1">
      <c r="A114" s="12">
        <v>74</v>
      </c>
      <c r="B114" s="8" t="s">
        <v>2067</v>
      </c>
      <c r="C114" s="8" t="s">
        <v>716</v>
      </c>
      <c r="D114" s="8" t="s">
        <v>120</v>
      </c>
      <c r="E114" s="8" t="s">
        <v>203</v>
      </c>
      <c r="F114" s="8" t="s">
        <v>541</v>
      </c>
      <c r="G114" s="8" t="s">
        <v>1413</v>
      </c>
      <c r="H114" s="8" t="s">
        <v>1965</v>
      </c>
      <c r="I114" s="11">
        <v>1</v>
      </c>
      <c r="J114" s="12">
        <v>1</v>
      </c>
      <c r="K114" s="12">
        <v>0</v>
      </c>
      <c r="L114" s="12">
        <v>0</v>
      </c>
      <c r="M114" s="8" t="s">
        <v>1965</v>
      </c>
    </row>
    <row r="115" spans="1:13" ht="25" customHeight="1">
      <c r="A115" s="12">
        <v>75</v>
      </c>
      <c r="B115" s="8" t="s">
        <v>2067</v>
      </c>
      <c r="C115" s="8" t="s">
        <v>716</v>
      </c>
      <c r="D115" s="8" t="s">
        <v>120</v>
      </c>
      <c r="E115" s="8" t="s">
        <v>206</v>
      </c>
      <c r="F115" s="8" t="s">
        <v>449</v>
      </c>
      <c r="G115" s="8" t="s">
        <v>1523</v>
      </c>
      <c r="H115" s="8" t="s">
        <v>1963</v>
      </c>
      <c r="I115" s="11">
        <v>12</v>
      </c>
      <c r="J115" s="12">
        <v>1</v>
      </c>
      <c r="K115" s="12">
        <v>1</v>
      </c>
      <c r="L115" s="12">
        <v>0</v>
      </c>
      <c r="M115" s="8" t="s">
        <v>2064</v>
      </c>
    </row>
    <row r="116" spans="1:13" ht="25" customHeight="1">
      <c r="A116" s="12">
        <v>76</v>
      </c>
      <c r="B116" s="8" t="s">
        <v>2067</v>
      </c>
      <c r="C116" s="8" t="s">
        <v>706</v>
      </c>
      <c r="D116" s="8" t="s">
        <v>120</v>
      </c>
      <c r="E116" s="8" t="s">
        <v>203</v>
      </c>
      <c r="F116" s="8" t="s">
        <v>468</v>
      </c>
      <c r="G116" s="8" t="s">
        <v>1431</v>
      </c>
      <c r="H116" s="8" t="s">
        <v>1974</v>
      </c>
      <c r="I116" s="11">
        <v>0</v>
      </c>
      <c r="J116" s="12">
        <v>1</v>
      </c>
      <c r="K116" s="12">
        <v>0</v>
      </c>
      <c r="L116" s="12">
        <v>0</v>
      </c>
      <c r="M116" s="8" t="s">
        <v>2064</v>
      </c>
    </row>
    <row r="117" spans="1:13" ht="25" customHeight="1">
      <c r="A117" s="12">
        <v>77</v>
      </c>
      <c r="B117" s="8" t="s">
        <v>2067</v>
      </c>
      <c r="C117" s="8" t="s">
        <v>716</v>
      </c>
      <c r="D117" s="8" t="s">
        <v>120</v>
      </c>
      <c r="E117" s="8" t="s">
        <v>203</v>
      </c>
      <c r="F117" s="8" t="s">
        <v>449</v>
      </c>
      <c r="G117" s="8" t="s">
        <v>1528</v>
      </c>
      <c r="H117" s="8" t="s">
        <v>1966</v>
      </c>
      <c r="I117" s="11">
        <v>11</v>
      </c>
      <c r="J117" s="12">
        <v>1</v>
      </c>
      <c r="K117" s="12">
        <v>1</v>
      </c>
      <c r="L117" s="12">
        <v>0</v>
      </c>
      <c r="M117" s="8" t="s">
        <v>2065</v>
      </c>
    </row>
    <row r="118" spans="1:13" ht="25" customHeight="1">
      <c r="A118" s="12">
        <v>78</v>
      </c>
      <c r="B118" s="8" t="s">
        <v>2067</v>
      </c>
      <c r="C118" s="8" t="s">
        <v>720</v>
      </c>
      <c r="D118" s="8" t="s">
        <v>120</v>
      </c>
      <c r="E118" s="8" t="s">
        <v>203</v>
      </c>
      <c r="F118" s="8" t="s">
        <v>446</v>
      </c>
      <c r="G118" s="8" t="s">
        <v>1530</v>
      </c>
      <c r="H118" s="8" t="s">
        <v>1963</v>
      </c>
      <c r="I118" s="11">
        <v>6</v>
      </c>
      <c r="J118" s="12">
        <v>1</v>
      </c>
      <c r="K118" s="12">
        <v>0</v>
      </c>
      <c r="L118" s="12">
        <v>0</v>
      </c>
      <c r="M118" s="8" t="s">
        <v>2064</v>
      </c>
    </row>
    <row r="119" spans="1:13" ht="25" customHeight="1">
      <c r="A119" s="12">
        <v>79</v>
      </c>
      <c r="B119" s="8" t="s">
        <v>2067</v>
      </c>
      <c r="C119" s="8" t="s">
        <v>706</v>
      </c>
      <c r="D119" s="8" t="s">
        <v>120</v>
      </c>
      <c r="E119" s="8" t="s">
        <v>206</v>
      </c>
      <c r="F119" s="8" t="s">
        <v>574</v>
      </c>
      <c r="G119" s="8" t="s">
        <v>1533</v>
      </c>
      <c r="H119" s="8" t="s">
        <v>1965</v>
      </c>
      <c r="I119" s="11">
        <v>-3</v>
      </c>
      <c r="J119" s="12">
        <v>1</v>
      </c>
      <c r="K119" s="12">
        <v>0</v>
      </c>
      <c r="L119" s="12">
        <v>0</v>
      </c>
      <c r="M119" s="8" t="s">
        <v>1965</v>
      </c>
    </row>
    <row r="120" spans="1:13" ht="25" customHeight="1">
      <c r="A120" s="12">
        <v>80</v>
      </c>
      <c r="B120" s="8" t="s">
        <v>2067</v>
      </c>
      <c r="C120" s="8" t="s">
        <v>706</v>
      </c>
      <c r="D120" s="8" t="s">
        <v>120</v>
      </c>
      <c r="E120" s="8" t="s">
        <v>206</v>
      </c>
      <c r="F120" s="8" t="s">
        <v>449</v>
      </c>
      <c r="G120" s="8" t="s">
        <v>1536</v>
      </c>
      <c r="H120" s="8" t="s">
        <v>1974</v>
      </c>
      <c r="I120" s="11">
        <v>0</v>
      </c>
      <c r="J120" s="12">
        <v>1</v>
      </c>
      <c r="K120" s="12">
        <v>0</v>
      </c>
      <c r="L120" s="12">
        <v>0</v>
      </c>
      <c r="M120" s="8" t="s">
        <v>2064</v>
      </c>
    </row>
    <row r="121" spans="1:13" ht="25" customHeight="1">
      <c r="A121" s="12">
        <v>81</v>
      </c>
      <c r="B121" s="8" t="s">
        <v>2067</v>
      </c>
      <c r="C121" s="8" t="s">
        <v>711</v>
      </c>
      <c r="D121" s="8" t="s">
        <v>120</v>
      </c>
      <c r="E121" s="8" t="s">
        <v>203</v>
      </c>
      <c r="F121" s="8" t="s">
        <v>428</v>
      </c>
      <c r="G121" s="8" t="s">
        <v>816</v>
      </c>
      <c r="H121" s="8" t="s">
        <v>1965</v>
      </c>
      <c r="I121" s="11">
        <v>2</v>
      </c>
      <c r="J121" s="12">
        <v>1</v>
      </c>
      <c r="K121" s="12">
        <v>0</v>
      </c>
      <c r="L121" s="12">
        <v>0</v>
      </c>
      <c r="M121" s="8" t="s">
        <v>1965</v>
      </c>
    </row>
    <row r="122" spans="1:13" ht="25" customHeight="1">
      <c r="A122" s="12">
        <v>82</v>
      </c>
      <c r="B122" s="8" t="s">
        <v>2067</v>
      </c>
      <c r="C122" s="8" t="s">
        <v>716</v>
      </c>
      <c r="D122" s="8" t="s">
        <v>120</v>
      </c>
      <c r="E122" s="8" t="s">
        <v>203</v>
      </c>
      <c r="F122" s="8" t="s">
        <v>611</v>
      </c>
      <c r="G122" s="8" t="s">
        <v>1410</v>
      </c>
      <c r="H122" s="8" t="s">
        <v>1965</v>
      </c>
      <c r="I122" s="11">
        <v>8</v>
      </c>
      <c r="J122" s="12">
        <v>1</v>
      </c>
      <c r="K122" s="12">
        <v>1</v>
      </c>
      <c r="L122" s="12">
        <v>0</v>
      </c>
      <c r="M122" s="8" t="s">
        <v>1965</v>
      </c>
    </row>
    <row r="123" spans="1:13" ht="25" customHeight="1">
      <c r="A123" s="12">
        <v>83</v>
      </c>
      <c r="B123" s="8" t="s">
        <v>2067</v>
      </c>
      <c r="C123" s="8" t="s">
        <v>711</v>
      </c>
      <c r="D123" s="8" t="s">
        <v>120</v>
      </c>
      <c r="E123" s="8" t="s">
        <v>222</v>
      </c>
      <c r="F123" s="8" t="s">
        <v>449</v>
      </c>
      <c r="G123" s="8" t="s">
        <v>1541</v>
      </c>
      <c r="H123" s="8" t="s">
        <v>1966</v>
      </c>
      <c r="I123" s="11">
        <v>1</v>
      </c>
      <c r="J123" s="12">
        <v>1</v>
      </c>
      <c r="K123" s="12">
        <v>0</v>
      </c>
      <c r="L123" s="12">
        <v>0</v>
      </c>
      <c r="M123" s="8" t="s">
        <v>2065</v>
      </c>
    </row>
    <row r="124" spans="1:13" ht="25" customHeight="1">
      <c r="A124" s="12">
        <v>84</v>
      </c>
      <c r="B124" s="8" t="s">
        <v>2067</v>
      </c>
      <c r="C124" s="8" t="s">
        <v>716</v>
      </c>
      <c r="D124" s="8" t="s">
        <v>120</v>
      </c>
      <c r="E124" s="8" t="s">
        <v>206</v>
      </c>
      <c r="F124" s="8" t="s">
        <v>449</v>
      </c>
      <c r="G124" s="8" t="s">
        <v>1544</v>
      </c>
      <c r="H124" s="8" t="s">
        <v>1963</v>
      </c>
      <c r="I124" s="11">
        <v>34</v>
      </c>
      <c r="J124" s="12">
        <v>1</v>
      </c>
      <c r="K124" s="12">
        <v>1</v>
      </c>
      <c r="L124" s="12">
        <v>1</v>
      </c>
      <c r="M124" s="8" t="s">
        <v>2064</v>
      </c>
    </row>
    <row r="125" spans="1:13" ht="25" customHeight="1">
      <c r="A125" s="12">
        <v>85</v>
      </c>
      <c r="B125" s="8" t="s">
        <v>2067</v>
      </c>
      <c r="C125" s="8" t="s">
        <v>716</v>
      </c>
      <c r="D125" s="8" t="s">
        <v>120</v>
      </c>
      <c r="E125" s="8" t="s">
        <v>203</v>
      </c>
      <c r="F125" s="8" t="s">
        <v>449</v>
      </c>
      <c r="G125" s="8" t="s">
        <v>1546</v>
      </c>
      <c r="H125" s="8" t="s">
        <v>1974</v>
      </c>
      <c r="I125" s="11">
        <v>0</v>
      </c>
      <c r="J125" s="12">
        <v>1</v>
      </c>
      <c r="K125" s="12">
        <v>0</v>
      </c>
      <c r="L125" s="12">
        <v>0</v>
      </c>
      <c r="M125" s="8" t="s">
        <v>2064</v>
      </c>
    </row>
    <row r="126" spans="1:13" ht="25" customHeight="1">
      <c r="A126" s="12">
        <v>86</v>
      </c>
      <c r="B126" s="8" t="s">
        <v>2067</v>
      </c>
      <c r="C126" s="8" t="s">
        <v>720</v>
      </c>
      <c r="D126" s="8" t="s">
        <v>120</v>
      </c>
      <c r="E126" s="8" t="s">
        <v>203</v>
      </c>
      <c r="F126" s="8" t="s">
        <v>443</v>
      </c>
      <c r="G126" s="8" t="s">
        <v>821</v>
      </c>
      <c r="H126" s="8" t="s">
        <v>1963</v>
      </c>
      <c r="I126" s="11">
        <v>21</v>
      </c>
      <c r="J126" s="12">
        <v>1</v>
      </c>
      <c r="K126" s="12">
        <v>1</v>
      </c>
      <c r="L126" s="12">
        <v>1</v>
      </c>
      <c r="M126" s="8" t="s">
        <v>2064</v>
      </c>
    </row>
    <row r="127" spans="1:13" ht="25" customHeight="1">
      <c r="A127" s="12">
        <v>87</v>
      </c>
      <c r="B127" s="8" t="s">
        <v>2067</v>
      </c>
      <c r="C127" s="8" t="s">
        <v>716</v>
      </c>
      <c r="D127" s="8" t="s">
        <v>120</v>
      </c>
      <c r="E127" s="8" t="s">
        <v>203</v>
      </c>
      <c r="F127" s="8" t="s">
        <v>449</v>
      </c>
      <c r="G127" s="8" t="s">
        <v>1550</v>
      </c>
      <c r="H127" s="8" t="s">
        <v>1974</v>
      </c>
      <c r="I127" s="11">
        <v>0</v>
      </c>
      <c r="J127" s="12">
        <v>1</v>
      </c>
      <c r="K127" s="12">
        <v>0</v>
      </c>
      <c r="L127" s="12">
        <v>0</v>
      </c>
      <c r="M127" s="8" t="s">
        <v>2064</v>
      </c>
    </row>
    <row r="128" spans="1:13" ht="25" customHeight="1">
      <c r="A128" s="12">
        <v>88</v>
      </c>
      <c r="B128" s="8" t="s">
        <v>2067</v>
      </c>
      <c r="C128" s="8" t="s">
        <v>711</v>
      </c>
      <c r="D128" s="8" t="s">
        <v>123</v>
      </c>
      <c r="E128" s="8" t="s">
        <v>203</v>
      </c>
      <c r="F128" s="8" t="s">
        <v>465</v>
      </c>
      <c r="G128" s="8" t="s">
        <v>1398</v>
      </c>
      <c r="H128" s="8" t="s">
        <v>1965</v>
      </c>
      <c r="I128" s="11">
        <v>0</v>
      </c>
      <c r="J128" s="12">
        <v>1</v>
      </c>
      <c r="K128" s="12">
        <v>0</v>
      </c>
      <c r="L128" s="12">
        <v>0</v>
      </c>
      <c r="M128" s="8" t="s">
        <v>1965</v>
      </c>
    </row>
    <row r="129" spans="1:13" ht="25" customHeight="1">
      <c r="A129" s="12">
        <v>89</v>
      </c>
      <c r="B129" s="8" t="s">
        <v>2067</v>
      </c>
      <c r="C129" s="8" t="s">
        <v>711</v>
      </c>
      <c r="D129" s="8" t="s">
        <v>120</v>
      </c>
      <c r="E129" s="8" t="s">
        <v>206</v>
      </c>
      <c r="F129" s="8" t="s">
        <v>428</v>
      </c>
      <c r="G129" s="8" t="s">
        <v>816</v>
      </c>
      <c r="H129" s="8" t="s">
        <v>1965</v>
      </c>
      <c r="I129" s="11">
        <v>9</v>
      </c>
      <c r="J129" s="12">
        <v>1</v>
      </c>
      <c r="K129" s="12">
        <v>1</v>
      </c>
      <c r="L129" s="12">
        <v>0</v>
      </c>
      <c r="M129" s="8" t="s">
        <v>1965</v>
      </c>
    </row>
    <row r="130" spans="1:13" ht="25" customHeight="1">
      <c r="A130" s="12">
        <v>90</v>
      </c>
      <c r="B130" s="8" t="s">
        <v>2067</v>
      </c>
      <c r="C130" s="8" t="s">
        <v>716</v>
      </c>
      <c r="D130" s="8" t="s">
        <v>120</v>
      </c>
      <c r="E130" s="8" t="s">
        <v>203</v>
      </c>
      <c r="F130" s="8" t="s">
        <v>428</v>
      </c>
      <c r="G130" s="8" t="s">
        <v>816</v>
      </c>
      <c r="H130" s="8" t="s">
        <v>1965</v>
      </c>
      <c r="I130" s="11">
        <v>6</v>
      </c>
      <c r="J130" s="12">
        <v>1</v>
      </c>
      <c r="K130" s="12">
        <v>1</v>
      </c>
      <c r="L130" s="12">
        <v>0</v>
      </c>
      <c r="M130" s="8" t="s">
        <v>1965</v>
      </c>
    </row>
    <row r="131" spans="1:13" ht="25" customHeight="1">
      <c r="A131" s="12">
        <v>91</v>
      </c>
      <c r="B131" s="8" t="s">
        <v>2067</v>
      </c>
      <c r="C131" s="8" t="s">
        <v>706</v>
      </c>
      <c r="D131" s="8" t="s">
        <v>120</v>
      </c>
      <c r="E131" s="8" t="s">
        <v>206</v>
      </c>
      <c r="F131" s="8" t="s">
        <v>449</v>
      </c>
      <c r="G131" s="8" t="s">
        <v>820</v>
      </c>
      <c r="H131" s="8" t="s">
        <v>1963</v>
      </c>
      <c r="I131" s="11">
        <v>1</v>
      </c>
      <c r="J131" s="12">
        <v>1</v>
      </c>
      <c r="K131" s="12">
        <v>0</v>
      </c>
      <c r="L131" s="12">
        <v>0</v>
      </c>
      <c r="M131" s="8" t="s">
        <v>2064</v>
      </c>
    </row>
    <row r="132" spans="1:13" ht="25" customHeight="1">
      <c r="A132" s="12">
        <v>92</v>
      </c>
      <c r="B132" s="8" t="s">
        <v>2067</v>
      </c>
      <c r="C132" s="8" t="s">
        <v>706</v>
      </c>
      <c r="D132" s="8" t="s">
        <v>120</v>
      </c>
      <c r="E132" s="8" t="s">
        <v>206</v>
      </c>
      <c r="F132" s="8" t="s">
        <v>428</v>
      </c>
      <c r="G132" s="8" t="s">
        <v>1558</v>
      </c>
      <c r="H132" s="8" t="s">
        <v>1965</v>
      </c>
      <c r="I132" s="11">
        <v>1</v>
      </c>
      <c r="J132" s="12">
        <v>1</v>
      </c>
      <c r="K132" s="12">
        <v>1</v>
      </c>
      <c r="L132" s="12">
        <v>0</v>
      </c>
      <c r="M132" s="8" t="s">
        <v>1965</v>
      </c>
    </row>
    <row r="133" spans="1:13" ht="25" customHeight="1">
      <c r="A133" s="12">
        <v>93</v>
      </c>
      <c r="B133" s="8" t="s">
        <v>2067</v>
      </c>
      <c r="C133" s="8" t="s">
        <v>716</v>
      </c>
      <c r="D133" s="8" t="s">
        <v>120</v>
      </c>
      <c r="E133" s="8" t="s">
        <v>203</v>
      </c>
      <c r="F133" s="8" t="s">
        <v>465</v>
      </c>
      <c r="G133" s="8" t="s">
        <v>1398</v>
      </c>
      <c r="H133" s="8" t="s">
        <v>2068</v>
      </c>
      <c r="I133" s="11">
        <v>5</v>
      </c>
      <c r="J133" s="12">
        <v>1</v>
      </c>
      <c r="K133" s="12">
        <v>1</v>
      </c>
      <c r="L133" s="12">
        <v>0</v>
      </c>
      <c r="M133" s="8" t="s">
        <v>1965</v>
      </c>
    </row>
    <row r="134" spans="1:13" ht="25" customHeight="1">
      <c r="A134" s="12">
        <v>94</v>
      </c>
      <c r="B134" s="8" t="s">
        <v>2067</v>
      </c>
      <c r="C134" s="8" t="s">
        <v>716</v>
      </c>
      <c r="D134" s="8" t="s">
        <v>120</v>
      </c>
      <c r="E134" s="8" t="s">
        <v>206</v>
      </c>
      <c r="F134" s="8" t="s">
        <v>428</v>
      </c>
      <c r="G134" s="8" t="s">
        <v>816</v>
      </c>
      <c r="H134" s="8" t="s">
        <v>1965</v>
      </c>
      <c r="I134" s="11">
        <v>5</v>
      </c>
      <c r="J134" s="12">
        <v>1</v>
      </c>
      <c r="K134" s="12">
        <v>1</v>
      </c>
      <c r="L134" s="12">
        <v>0</v>
      </c>
      <c r="M134" s="8" t="s">
        <v>1965</v>
      </c>
    </row>
    <row r="135" spans="1:13" ht="25" customHeight="1">
      <c r="A135" s="12">
        <v>95</v>
      </c>
      <c r="B135" s="8" t="s">
        <v>2067</v>
      </c>
      <c r="C135" s="8" t="s">
        <v>716</v>
      </c>
      <c r="D135" s="8" t="s">
        <v>120</v>
      </c>
      <c r="E135" s="8" t="s">
        <v>203</v>
      </c>
      <c r="F135" s="8" t="s">
        <v>452</v>
      </c>
      <c r="G135" s="8" t="s">
        <v>49</v>
      </c>
      <c r="H135" s="8" t="s">
        <v>1965</v>
      </c>
      <c r="I135" s="11">
        <v>1</v>
      </c>
      <c r="J135" s="12">
        <v>1</v>
      </c>
      <c r="K135" s="12">
        <v>0</v>
      </c>
      <c r="L135" s="12">
        <v>0</v>
      </c>
      <c r="M135" s="8" t="s">
        <v>1965</v>
      </c>
    </row>
    <row r="136" spans="1:13" ht="25" customHeight="1">
      <c r="A136" s="12">
        <v>96</v>
      </c>
      <c r="B136" s="8" t="s">
        <v>2067</v>
      </c>
      <c r="C136" s="8" t="s">
        <v>716</v>
      </c>
      <c r="D136" s="8" t="s">
        <v>120</v>
      </c>
      <c r="E136" s="8" t="s">
        <v>206</v>
      </c>
      <c r="F136" s="8" t="s">
        <v>574</v>
      </c>
      <c r="G136" s="8" t="s">
        <v>1422</v>
      </c>
      <c r="H136" s="8"/>
      <c r="I136" s="11">
        <v>-2</v>
      </c>
      <c r="J136" s="12">
        <v>0</v>
      </c>
      <c r="K136" s="12"/>
      <c r="L136" s="12"/>
      <c r="M136" s="8"/>
    </row>
    <row r="137" spans="1:13" ht="25" customHeight="1">
      <c r="A137" s="12">
        <v>97</v>
      </c>
      <c r="B137" s="8" t="s">
        <v>2067</v>
      </c>
      <c r="C137" s="8" t="s">
        <v>711</v>
      </c>
      <c r="D137" s="8" t="s">
        <v>120</v>
      </c>
      <c r="E137" s="8" t="s">
        <v>206</v>
      </c>
      <c r="F137" s="8" t="s">
        <v>452</v>
      </c>
      <c r="G137" s="8" t="s">
        <v>49</v>
      </c>
      <c r="H137" s="8" t="s">
        <v>1966</v>
      </c>
      <c r="I137" s="11">
        <v>37</v>
      </c>
      <c r="J137" s="12">
        <v>1</v>
      </c>
      <c r="K137" s="12">
        <v>1</v>
      </c>
      <c r="L137" s="12">
        <v>1</v>
      </c>
      <c r="M137" s="8" t="s">
        <v>2065</v>
      </c>
    </row>
    <row r="138" spans="1:13" ht="25" customHeight="1">
      <c r="A138" s="12">
        <v>98</v>
      </c>
      <c r="B138" s="8" t="s">
        <v>2067</v>
      </c>
      <c r="C138" s="8" t="s">
        <v>716</v>
      </c>
      <c r="D138" s="8" t="s">
        <v>120</v>
      </c>
      <c r="E138" s="8" t="s">
        <v>206</v>
      </c>
      <c r="F138" s="8" t="s">
        <v>957</v>
      </c>
      <c r="G138" s="8" t="s">
        <v>1566</v>
      </c>
      <c r="H138" s="8" t="s">
        <v>1965</v>
      </c>
      <c r="I138" s="11">
        <v>1</v>
      </c>
      <c r="J138" s="12">
        <v>1</v>
      </c>
      <c r="K138" s="12">
        <v>0</v>
      </c>
      <c r="L138" s="12">
        <v>0</v>
      </c>
      <c r="M138" s="8" t="s">
        <v>1965</v>
      </c>
    </row>
    <row r="139" spans="1:13" ht="25" customHeight="1">
      <c r="A139" s="12">
        <v>99</v>
      </c>
      <c r="B139" s="8" t="s">
        <v>2067</v>
      </c>
      <c r="C139" s="8" t="s">
        <v>716</v>
      </c>
      <c r="D139" s="8" t="s">
        <v>120</v>
      </c>
      <c r="E139" s="8" t="s">
        <v>203</v>
      </c>
      <c r="F139" s="8" t="s">
        <v>465</v>
      </c>
      <c r="G139" s="8" t="s">
        <v>815</v>
      </c>
      <c r="H139" s="8" t="s">
        <v>1963</v>
      </c>
      <c r="I139" s="11">
        <v>6</v>
      </c>
      <c r="J139" s="12">
        <v>1</v>
      </c>
      <c r="K139" s="12">
        <v>0</v>
      </c>
      <c r="L139" s="12">
        <v>0</v>
      </c>
      <c r="M139" s="8" t="s">
        <v>2064</v>
      </c>
    </row>
    <row r="140" spans="1:13" ht="25" customHeight="1">
      <c r="A140" s="12">
        <v>100</v>
      </c>
      <c r="B140" s="8" t="s">
        <v>2067</v>
      </c>
      <c r="C140" s="8" t="s">
        <v>716</v>
      </c>
      <c r="D140" s="8" t="s">
        <v>120</v>
      </c>
      <c r="E140" s="8" t="s">
        <v>203</v>
      </c>
      <c r="F140" s="8" t="s">
        <v>574</v>
      </c>
      <c r="G140" s="8" t="s">
        <v>1422</v>
      </c>
      <c r="H140" s="8" t="s">
        <v>1965</v>
      </c>
      <c r="I140" s="11">
        <v>4</v>
      </c>
      <c r="J140" s="12">
        <v>1</v>
      </c>
      <c r="K140" s="12">
        <v>1</v>
      </c>
      <c r="L140" s="12">
        <v>0</v>
      </c>
      <c r="M140" s="8" t="s">
        <v>1965</v>
      </c>
    </row>
    <row r="141" spans="1:13" ht="25" customHeight="1">
      <c r="A141" s="12">
        <v>101</v>
      </c>
      <c r="B141" s="8" t="s">
        <v>2067</v>
      </c>
      <c r="C141" s="8" t="s">
        <v>706</v>
      </c>
      <c r="D141" s="8" t="s">
        <v>123</v>
      </c>
      <c r="E141" s="8" t="s">
        <v>206</v>
      </c>
      <c r="F141" s="8" t="s">
        <v>428</v>
      </c>
      <c r="G141" s="8" t="s">
        <v>823</v>
      </c>
      <c r="H141" s="8" t="s">
        <v>1965</v>
      </c>
      <c r="I141" s="11">
        <v>2</v>
      </c>
      <c r="J141" s="12">
        <v>1</v>
      </c>
      <c r="K141" s="12">
        <v>0</v>
      </c>
      <c r="L141" s="12">
        <v>0</v>
      </c>
      <c r="M141" s="8" t="s">
        <v>1965</v>
      </c>
    </row>
    <row r="142" spans="1:13" ht="25" customHeight="1">
      <c r="A142" s="12">
        <v>102</v>
      </c>
      <c r="B142" s="8" t="s">
        <v>2067</v>
      </c>
      <c r="C142" s="8" t="s">
        <v>716</v>
      </c>
      <c r="D142" s="8" t="s">
        <v>120</v>
      </c>
      <c r="E142" s="8" t="s">
        <v>203</v>
      </c>
      <c r="F142" s="8" t="s">
        <v>468</v>
      </c>
      <c r="G142" s="8" t="s">
        <v>1572</v>
      </c>
      <c r="H142" s="8" t="s">
        <v>1965</v>
      </c>
      <c r="I142" s="11">
        <v>0</v>
      </c>
      <c r="J142" s="12">
        <v>1</v>
      </c>
      <c r="K142" s="12">
        <v>0</v>
      </c>
      <c r="L142" s="12">
        <v>0</v>
      </c>
      <c r="M142" s="8" t="s">
        <v>1965</v>
      </c>
    </row>
    <row r="143" spans="1:13" ht="25" customHeight="1">
      <c r="A143" s="12">
        <v>103</v>
      </c>
      <c r="B143" s="8" t="s">
        <v>2067</v>
      </c>
      <c r="C143" s="8" t="s">
        <v>711</v>
      </c>
      <c r="D143" s="8" t="s">
        <v>120</v>
      </c>
      <c r="E143" s="8" t="s">
        <v>203</v>
      </c>
      <c r="F143" s="8" t="s">
        <v>800</v>
      </c>
      <c r="G143" s="8" t="s">
        <v>1488</v>
      </c>
      <c r="H143" s="8" t="s">
        <v>1965</v>
      </c>
      <c r="I143" s="11">
        <v>2</v>
      </c>
      <c r="J143" s="12">
        <v>1</v>
      </c>
      <c r="K143" s="12">
        <v>0</v>
      </c>
      <c r="L143" s="12">
        <v>0</v>
      </c>
      <c r="M143" s="8" t="s">
        <v>1965</v>
      </c>
    </row>
    <row r="144" spans="1:13" ht="25" customHeight="1">
      <c r="A144" s="12">
        <v>104</v>
      </c>
      <c r="B144" s="8" t="s">
        <v>2067</v>
      </c>
      <c r="C144" s="8" t="s">
        <v>706</v>
      </c>
      <c r="D144" s="8" t="s">
        <v>120</v>
      </c>
      <c r="E144" s="8" t="s">
        <v>222</v>
      </c>
      <c r="F144" s="8" t="s">
        <v>449</v>
      </c>
      <c r="G144" s="8" t="s">
        <v>1416</v>
      </c>
      <c r="H144" s="8" t="s">
        <v>1974</v>
      </c>
      <c r="I144" s="11">
        <v>0</v>
      </c>
      <c r="J144" s="12">
        <v>1</v>
      </c>
      <c r="K144" s="12">
        <v>0</v>
      </c>
      <c r="L144" s="12">
        <v>0</v>
      </c>
      <c r="M144" s="8" t="s">
        <v>2064</v>
      </c>
    </row>
    <row r="145" spans="1:13" ht="25" customHeight="1">
      <c r="A145" s="12">
        <v>105</v>
      </c>
      <c r="B145" s="8" t="s">
        <v>2067</v>
      </c>
      <c r="C145" s="8" t="s">
        <v>711</v>
      </c>
      <c r="D145" s="8" t="s">
        <v>120</v>
      </c>
      <c r="E145" s="8" t="s">
        <v>206</v>
      </c>
      <c r="F145" s="8" t="s">
        <v>465</v>
      </c>
      <c r="G145" s="8" t="s">
        <v>1398</v>
      </c>
      <c r="H145" s="8" t="s">
        <v>1965</v>
      </c>
      <c r="I145" s="11">
        <v>0</v>
      </c>
      <c r="J145" s="12">
        <v>1</v>
      </c>
      <c r="K145" s="12">
        <v>0</v>
      </c>
      <c r="L145" s="12">
        <v>0</v>
      </c>
      <c r="M145" s="8" t="s">
        <v>1965</v>
      </c>
    </row>
    <row r="146" spans="1:13" ht="25" customHeight="1">
      <c r="A146" s="12">
        <v>106</v>
      </c>
      <c r="B146" s="8" t="s">
        <v>2067</v>
      </c>
      <c r="C146" s="8" t="s">
        <v>716</v>
      </c>
      <c r="D146" s="8" t="s">
        <v>120</v>
      </c>
      <c r="E146" s="8" t="s">
        <v>206</v>
      </c>
      <c r="F146" s="8" t="s">
        <v>471</v>
      </c>
      <c r="G146" s="8" t="s">
        <v>1579</v>
      </c>
      <c r="H146" s="8" t="s">
        <v>1974</v>
      </c>
      <c r="I146" s="11">
        <v>0</v>
      </c>
      <c r="J146" s="12">
        <v>1</v>
      </c>
      <c r="K146" s="12">
        <v>0</v>
      </c>
      <c r="L146" s="12">
        <v>0</v>
      </c>
      <c r="M146" s="8" t="s">
        <v>2064</v>
      </c>
    </row>
    <row r="147" spans="1:13" ht="25" customHeight="1">
      <c r="A147" s="12">
        <v>107</v>
      </c>
      <c r="B147" s="8" t="s">
        <v>2067</v>
      </c>
      <c r="C147" s="8" t="s">
        <v>716</v>
      </c>
      <c r="D147" s="8" t="s">
        <v>120</v>
      </c>
      <c r="E147" s="8" t="s">
        <v>203</v>
      </c>
      <c r="F147" s="8" t="s">
        <v>474</v>
      </c>
      <c r="G147" s="8" t="s">
        <v>819</v>
      </c>
      <c r="H147" s="8" t="s">
        <v>1965</v>
      </c>
      <c r="I147" s="11">
        <v>2</v>
      </c>
      <c r="J147" s="12">
        <v>1</v>
      </c>
      <c r="K147" s="12">
        <v>0</v>
      </c>
      <c r="L147" s="12">
        <v>0</v>
      </c>
      <c r="M147" s="8" t="s">
        <v>1965</v>
      </c>
    </row>
    <row r="148" spans="1:13" ht="25" customHeight="1">
      <c r="A148" s="12">
        <v>108</v>
      </c>
      <c r="B148" s="8" t="s">
        <v>2067</v>
      </c>
      <c r="C148" s="8" t="s">
        <v>716</v>
      </c>
      <c r="D148" s="8" t="s">
        <v>120</v>
      </c>
      <c r="E148" s="8" t="s">
        <v>206</v>
      </c>
      <c r="F148" s="8" t="s">
        <v>428</v>
      </c>
      <c r="G148" s="8" t="s">
        <v>1583</v>
      </c>
      <c r="H148" s="8" t="s">
        <v>1974</v>
      </c>
      <c r="I148" s="11">
        <v>0</v>
      </c>
      <c r="J148" s="12">
        <v>1</v>
      </c>
      <c r="K148" s="12">
        <v>0</v>
      </c>
      <c r="L148" s="12">
        <v>0</v>
      </c>
      <c r="M148" s="8" t="s">
        <v>2064</v>
      </c>
    </row>
    <row r="149" spans="1:13" ht="25" customHeight="1">
      <c r="A149" s="12">
        <v>109</v>
      </c>
      <c r="B149" s="8" t="s">
        <v>2067</v>
      </c>
      <c r="C149" s="8" t="s">
        <v>716</v>
      </c>
      <c r="D149" s="8" t="s">
        <v>120</v>
      </c>
      <c r="E149" s="8" t="s">
        <v>206</v>
      </c>
      <c r="F149" s="8" t="s">
        <v>465</v>
      </c>
      <c r="G149" s="8" t="s">
        <v>816</v>
      </c>
      <c r="H149" s="8" t="s">
        <v>1966</v>
      </c>
      <c r="I149" s="11">
        <v>-2</v>
      </c>
      <c r="J149" s="12">
        <v>1</v>
      </c>
      <c r="K149" s="12">
        <v>0</v>
      </c>
      <c r="L149" s="12">
        <v>0</v>
      </c>
      <c r="M149" s="8" t="s">
        <v>2065</v>
      </c>
    </row>
    <row r="150" spans="1:13" ht="25" customHeight="1">
      <c r="A150" s="12">
        <v>110</v>
      </c>
      <c r="B150" s="8" t="s">
        <v>2067</v>
      </c>
      <c r="C150" s="8" t="s">
        <v>720</v>
      </c>
      <c r="D150" s="8" t="s">
        <v>120</v>
      </c>
      <c r="E150" s="8" t="s">
        <v>203</v>
      </c>
      <c r="F150" s="8"/>
      <c r="G150" s="8"/>
      <c r="H150" s="8" t="s">
        <v>1965</v>
      </c>
      <c r="I150" s="11">
        <v>0</v>
      </c>
      <c r="J150" s="12">
        <v>1</v>
      </c>
      <c r="K150" s="12">
        <v>0</v>
      </c>
      <c r="L150" s="12">
        <v>0</v>
      </c>
      <c r="M150" s="8" t="s">
        <v>1965</v>
      </c>
    </row>
    <row r="151" spans="1:13" ht="25" customHeight="1">
      <c r="A151" s="12">
        <v>111</v>
      </c>
      <c r="B151" s="8" t="s">
        <v>2067</v>
      </c>
      <c r="C151" s="8" t="s">
        <v>720</v>
      </c>
      <c r="D151" s="8" t="s">
        <v>120</v>
      </c>
      <c r="E151" s="8" t="s">
        <v>222</v>
      </c>
      <c r="F151" s="8" t="s">
        <v>474</v>
      </c>
      <c r="G151" s="8" t="s">
        <v>819</v>
      </c>
      <c r="H151" s="8" t="s">
        <v>1965</v>
      </c>
      <c r="I151" s="11">
        <v>0</v>
      </c>
      <c r="J151" s="12">
        <v>1</v>
      </c>
      <c r="K151" s="12">
        <v>0</v>
      </c>
      <c r="L151" s="12">
        <v>0</v>
      </c>
      <c r="M151" s="8" t="s">
        <v>1965</v>
      </c>
    </row>
    <row r="152" spans="1:13" ht="25" customHeight="1">
      <c r="A152" s="12">
        <v>112</v>
      </c>
      <c r="B152" s="8" t="s">
        <v>2067</v>
      </c>
      <c r="C152" s="8" t="s">
        <v>716</v>
      </c>
      <c r="D152" s="8" t="s">
        <v>120</v>
      </c>
      <c r="E152" s="8" t="s">
        <v>206</v>
      </c>
      <c r="F152" s="8" t="s">
        <v>608</v>
      </c>
      <c r="G152" s="8" t="s">
        <v>1981</v>
      </c>
      <c r="H152" s="8"/>
      <c r="I152" s="11">
        <v>5</v>
      </c>
      <c r="J152" s="12">
        <v>0</v>
      </c>
      <c r="K152" s="12"/>
      <c r="L152" s="12"/>
      <c r="M152" s="8"/>
    </row>
    <row r="153" spans="1:13" ht="25" customHeight="1">
      <c r="A153" s="12">
        <v>113</v>
      </c>
      <c r="B153" s="8" t="s">
        <v>2067</v>
      </c>
      <c r="C153" s="8" t="s">
        <v>720</v>
      </c>
      <c r="D153" s="8" t="s">
        <v>120</v>
      </c>
      <c r="E153" s="8" t="s">
        <v>206</v>
      </c>
      <c r="F153" s="8" t="s">
        <v>428</v>
      </c>
      <c r="G153" s="8" t="s">
        <v>823</v>
      </c>
      <c r="H153" s="8" t="s">
        <v>1974</v>
      </c>
      <c r="I153" s="11">
        <v>2</v>
      </c>
      <c r="J153" s="12">
        <v>1</v>
      </c>
      <c r="K153" s="12">
        <v>0</v>
      </c>
      <c r="L153" s="12">
        <v>0</v>
      </c>
      <c r="M153" s="8" t="s">
        <v>2064</v>
      </c>
    </row>
    <row r="154" spans="1:13" ht="25" customHeight="1">
      <c r="A154" s="12">
        <v>114</v>
      </c>
      <c r="B154" s="8" t="s">
        <v>2067</v>
      </c>
      <c r="C154" s="8" t="s">
        <v>716</v>
      </c>
      <c r="D154" s="8" t="s">
        <v>803</v>
      </c>
      <c r="E154" s="8" t="s">
        <v>203</v>
      </c>
      <c r="F154" s="8"/>
      <c r="G154" s="8"/>
      <c r="H154" s="8" t="s">
        <v>1965</v>
      </c>
      <c r="I154" s="11">
        <v>0</v>
      </c>
      <c r="J154" s="12">
        <v>1</v>
      </c>
      <c r="K154" s="12">
        <v>0</v>
      </c>
      <c r="L154" s="12">
        <v>0</v>
      </c>
      <c r="M154" s="8" t="s">
        <v>1965</v>
      </c>
    </row>
    <row r="155" spans="1:13" ht="25" customHeight="1">
      <c r="A155" s="12">
        <v>115</v>
      </c>
      <c r="B155" s="8" t="s">
        <v>2067</v>
      </c>
      <c r="C155" s="8" t="s">
        <v>720</v>
      </c>
      <c r="D155" s="8" t="s">
        <v>803</v>
      </c>
      <c r="E155" s="8" t="s">
        <v>203</v>
      </c>
      <c r="F155" s="8" t="s">
        <v>878</v>
      </c>
      <c r="G155" s="8" t="s">
        <v>1503</v>
      </c>
      <c r="H155" s="8" t="s">
        <v>1965</v>
      </c>
      <c r="I155" s="11">
        <v>10</v>
      </c>
      <c r="J155" s="12">
        <v>1</v>
      </c>
      <c r="K155" s="12">
        <v>1</v>
      </c>
      <c r="L155" s="12">
        <v>0</v>
      </c>
      <c r="M155" s="8" t="s">
        <v>1965</v>
      </c>
    </row>
    <row r="156" spans="1:13" ht="25" customHeight="1">
      <c r="A156" s="12">
        <v>116</v>
      </c>
      <c r="B156" s="8" t="s">
        <v>2067</v>
      </c>
      <c r="C156" s="8" t="s">
        <v>716</v>
      </c>
      <c r="D156" s="8" t="s">
        <v>803</v>
      </c>
      <c r="E156" s="8" t="s">
        <v>203</v>
      </c>
      <c r="F156" s="8"/>
      <c r="G156" s="8"/>
      <c r="H156" s="8"/>
      <c r="I156" s="11">
        <v>0</v>
      </c>
      <c r="J156" s="12">
        <v>0</v>
      </c>
      <c r="K156" s="12"/>
      <c r="L156" s="12"/>
      <c r="M156" s="8"/>
    </row>
    <row r="157" spans="1:13" ht="25" customHeight="1">
      <c r="A157" s="12">
        <v>117</v>
      </c>
      <c r="B157" s="8" t="s">
        <v>2067</v>
      </c>
      <c r="C157" s="8" t="s">
        <v>720</v>
      </c>
      <c r="D157" s="8" t="s">
        <v>803</v>
      </c>
      <c r="E157" s="8" t="s">
        <v>206</v>
      </c>
      <c r="F157" s="8" t="s">
        <v>465</v>
      </c>
      <c r="G157" s="8" t="s">
        <v>816</v>
      </c>
      <c r="H157" s="8" t="s">
        <v>1965</v>
      </c>
      <c r="I157" s="11">
        <v>-4</v>
      </c>
      <c r="J157" s="12">
        <v>1</v>
      </c>
      <c r="K157" s="12">
        <v>0</v>
      </c>
      <c r="L157" s="12">
        <v>0</v>
      </c>
      <c r="M157" s="8" t="s">
        <v>1965</v>
      </c>
    </row>
    <row r="158" spans="1:13" ht="25" customHeight="1">
      <c r="A158" s="12">
        <v>118</v>
      </c>
      <c r="B158" s="8" t="s">
        <v>2067</v>
      </c>
      <c r="C158" s="8" t="s">
        <v>720</v>
      </c>
      <c r="D158" s="8" t="s">
        <v>120</v>
      </c>
      <c r="E158" s="8" t="s">
        <v>206</v>
      </c>
      <c r="F158" s="8" t="s">
        <v>474</v>
      </c>
      <c r="G158" s="8" t="s">
        <v>1982</v>
      </c>
      <c r="H158" s="8"/>
      <c r="I158" s="11">
        <v>0</v>
      </c>
      <c r="J158" s="12">
        <v>0</v>
      </c>
      <c r="K158" s="12"/>
      <c r="L158" s="12"/>
      <c r="M158" s="8"/>
    </row>
    <row r="159" spans="1:13" ht="25" customHeight="1">
      <c r="A159" s="12">
        <v>119</v>
      </c>
      <c r="B159" s="8" t="s">
        <v>2067</v>
      </c>
      <c r="C159" s="8" t="s">
        <v>716</v>
      </c>
      <c r="D159" s="8" t="s">
        <v>120</v>
      </c>
      <c r="E159" s="8" t="s">
        <v>206</v>
      </c>
      <c r="F159" s="8" t="s">
        <v>428</v>
      </c>
      <c r="G159" s="8" t="s">
        <v>818</v>
      </c>
      <c r="H159" s="8" t="s">
        <v>1965</v>
      </c>
      <c r="I159" s="11">
        <v>-1</v>
      </c>
      <c r="J159" s="12">
        <v>1</v>
      </c>
      <c r="K159" s="12">
        <v>0</v>
      </c>
      <c r="L159" s="12">
        <v>0</v>
      </c>
      <c r="M159" s="8" t="s">
        <v>1965</v>
      </c>
    </row>
    <row r="160" spans="1:13" ht="25" customHeight="1">
      <c r="A160" s="12">
        <v>120</v>
      </c>
      <c r="B160" s="8" t="s">
        <v>2067</v>
      </c>
      <c r="C160" s="8" t="s">
        <v>720</v>
      </c>
      <c r="D160" s="8" t="s">
        <v>803</v>
      </c>
      <c r="E160" s="8" t="s">
        <v>203</v>
      </c>
      <c r="F160" s="8" t="s">
        <v>428</v>
      </c>
      <c r="G160" s="8" t="s">
        <v>818</v>
      </c>
      <c r="H160" s="8" t="s">
        <v>1974</v>
      </c>
      <c r="I160" s="11">
        <v>-3</v>
      </c>
      <c r="J160" s="12">
        <v>1</v>
      </c>
      <c r="K160" s="12">
        <v>0</v>
      </c>
      <c r="L160" s="12">
        <v>0</v>
      </c>
      <c r="M160" s="8" t="s">
        <v>2064</v>
      </c>
    </row>
    <row r="161" spans="1:13" ht="25" customHeight="1">
      <c r="A161" s="12">
        <v>121</v>
      </c>
      <c r="B161" s="8" t="s">
        <v>2067</v>
      </c>
      <c r="C161" s="8" t="s">
        <v>716</v>
      </c>
      <c r="D161" s="8" t="s">
        <v>120</v>
      </c>
      <c r="E161" s="8" t="s">
        <v>206</v>
      </c>
      <c r="F161" s="8" t="s">
        <v>428</v>
      </c>
      <c r="G161" s="8" t="s">
        <v>816</v>
      </c>
      <c r="H161" s="8" t="s">
        <v>1965</v>
      </c>
      <c r="I161" s="11">
        <v>-2</v>
      </c>
      <c r="J161" s="12">
        <v>1</v>
      </c>
      <c r="K161" s="12">
        <v>0</v>
      </c>
      <c r="L161" s="12">
        <v>0</v>
      </c>
      <c r="M161" s="8" t="s">
        <v>1965</v>
      </c>
    </row>
    <row r="162" spans="1:13" ht="25" customHeight="1">
      <c r="A162" s="12">
        <v>122</v>
      </c>
      <c r="B162" s="8" t="s">
        <v>2067</v>
      </c>
      <c r="C162" s="8" t="s">
        <v>720</v>
      </c>
      <c r="D162" s="8" t="s">
        <v>123</v>
      </c>
      <c r="E162" s="8" t="s">
        <v>203</v>
      </c>
      <c r="F162" s="8" t="s">
        <v>428</v>
      </c>
      <c r="G162" s="8" t="s">
        <v>824</v>
      </c>
      <c r="H162" s="8" t="s">
        <v>1965</v>
      </c>
      <c r="I162" s="11">
        <v>4</v>
      </c>
      <c r="J162" s="12">
        <v>1</v>
      </c>
      <c r="K162" s="12">
        <v>1</v>
      </c>
      <c r="L162" s="12">
        <v>0</v>
      </c>
      <c r="M162" s="8" t="s">
        <v>1965</v>
      </c>
    </row>
    <row r="163" spans="1:13" ht="25" customHeight="1">
      <c r="A163" s="12">
        <v>123</v>
      </c>
      <c r="B163" s="8" t="s">
        <v>2067</v>
      </c>
      <c r="C163" s="8" t="s">
        <v>716</v>
      </c>
      <c r="D163" s="8" t="s">
        <v>802</v>
      </c>
      <c r="E163" s="8" t="s">
        <v>811</v>
      </c>
      <c r="F163" s="8" t="s">
        <v>428</v>
      </c>
      <c r="G163" s="8" t="s">
        <v>816</v>
      </c>
      <c r="H163" s="8" t="s">
        <v>1965</v>
      </c>
      <c r="I163" s="11">
        <v>7</v>
      </c>
      <c r="J163" s="12">
        <v>1</v>
      </c>
      <c r="K163" s="12">
        <v>1</v>
      </c>
      <c r="L163" s="12">
        <v>0</v>
      </c>
      <c r="M163" s="8" t="s">
        <v>1965</v>
      </c>
    </row>
    <row r="164" spans="1:13" ht="25" customHeight="1">
      <c r="A164" s="12">
        <v>124</v>
      </c>
      <c r="B164" s="8" t="s">
        <v>2067</v>
      </c>
      <c r="C164" s="8" t="s">
        <v>716</v>
      </c>
      <c r="D164" s="8" t="s">
        <v>120</v>
      </c>
      <c r="E164" s="8" t="s">
        <v>203</v>
      </c>
      <c r="F164" s="8" t="s">
        <v>465</v>
      </c>
      <c r="G164" s="8" t="s">
        <v>1600</v>
      </c>
      <c r="H164" s="8" t="s">
        <v>1965</v>
      </c>
      <c r="I164" s="11">
        <v>2</v>
      </c>
      <c r="J164" s="12">
        <v>1</v>
      </c>
      <c r="K164" s="12">
        <v>0</v>
      </c>
      <c r="L164" s="12">
        <v>0</v>
      </c>
      <c r="M164" s="8" t="s">
        <v>1965</v>
      </c>
    </row>
    <row r="165" spans="1:13" ht="25" customHeight="1">
      <c r="A165" s="12">
        <v>125</v>
      </c>
      <c r="B165" s="8" t="s">
        <v>2067</v>
      </c>
      <c r="C165" s="8" t="s">
        <v>720</v>
      </c>
      <c r="D165" s="8" t="s">
        <v>802</v>
      </c>
      <c r="E165" s="8" t="s">
        <v>203</v>
      </c>
      <c r="F165" s="8" t="s">
        <v>428</v>
      </c>
      <c r="G165" s="8" t="s">
        <v>824</v>
      </c>
      <c r="H165" s="8" t="s">
        <v>1965</v>
      </c>
      <c r="I165" s="11">
        <v>4</v>
      </c>
      <c r="J165" s="12">
        <v>1</v>
      </c>
      <c r="K165" s="12">
        <v>1</v>
      </c>
      <c r="L165" s="12">
        <v>0</v>
      </c>
      <c r="M165" s="8" t="s">
        <v>1965</v>
      </c>
    </row>
    <row r="166" spans="1:13" ht="25" customHeight="1">
      <c r="A166" s="12">
        <v>126</v>
      </c>
      <c r="B166" s="8" t="s">
        <v>2067</v>
      </c>
      <c r="C166" s="8" t="s">
        <v>720</v>
      </c>
      <c r="D166" s="8" t="s">
        <v>802</v>
      </c>
      <c r="E166" s="8" t="s">
        <v>811</v>
      </c>
      <c r="F166" s="8" t="s">
        <v>541</v>
      </c>
      <c r="G166" s="8" t="s">
        <v>1509</v>
      </c>
      <c r="H166" s="8" t="s">
        <v>1965</v>
      </c>
      <c r="I166" s="11">
        <v>1</v>
      </c>
      <c r="J166" s="12">
        <v>1</v>
      </c>
      <c r="K166" s="12">
        <v>0</v>
      </c>
      <c r="L166" s="12">
        <v>0</v>
      </c>
      <c r="M166" s="8" t="s">
        <v>1965</v>
      </c>
    </row>
    <row r="167" spans="1:13" ht="25" customHeight="1">
      <c r="A167" s="12">
        <v>127</v>
      </c>
      <c r="B167" s="8" t="s">
        <v>2067</v>
      </c>
      <c r="C167" s="8" t="s">
        <v>711</v>
      </c>
      <c r="D167" s="8" t="s">
        <v>803</v>
      </c>
      <c r="E167" s="8" t="s">
        <v>235</v>
      </c>
      <c r="F167" s="8" t="s">
        <v>428</v>
      </c>
      <c r="G167" s="8" t="s">
        <v>816</v>
      </c>
      <c r="H167" s="8" t="s">
        <v>1965</v>
      </c>
      <c r="I167" s="11">
        <v>3</v>
      </c>
      <c r="J167" s="12">
        <v>1</v>
      </c>
      <c r="K167" s="12">
        <v>1</v>
      </c>
      <c r="L167" s="12">
        <v>0</v>
      </c>
      <c r="M167" s="8" t="s">
        <v>1965</v>
      </c>
    </row>
    <row r="168" spans="1:13" ht="25" customHeight="1">
      <c r="A168" s="12">
        <v>128</v>
      </c>
      <c r="B168" s="8" t="s">
        <v>2067</v>
      </c>
      <c r="C168" s="8" t="s">
        <v>716</v>
      </c>
      <c r="D168" s="8" t="s">
        <v>1034</v>
      </c>
      <c r="E168" s="8" t="s">
        <v>222</v>
      </c>
      <c r="F168" s="8"/>
      <c r="G168" s="8"/>
      <c r="H168" s="8" t="s">
        <v>1965</v>
      </c>
      <c r="I168" s="11">
        <v>0</v>
      </c>
      <c r="J168" s="12">
        <v>1</v>
      </c>
      <c r="K168" s="12">
        <v>0</v>
      </c>
      <c r="L168" s="12">
        <v>0</v>
      </c>
      <c r="M168" s="8" t="s">
        <v>1965</v>
      </c>
    </row>
    <row r="169" spans="1:13" ht="25" customHeight="1">
      <c r="A169" s="12">
        <v>129</v>
      </c>
      <c r="B169" s="8" t="s">
        <v>2067</v>
      </c>
      <c r="C169" s="8" t="s">
        <v>720</v>
      </c>
      <c r="D169" s="8" t="s">
        <v>120</v>
      </c>
      <c r="E169" s="8" t="s">
        <v>235</v>
      </c>
      <c r="F169" s="8" t="s">
        <v>428</v>
      </c>
      <c r="G169" s="8" t="s">
        <v>824</v>
      </c>
      <c r="H169" s="8" t="s">
        <v>1965</v>
      </c>
      <c r="I169" s="11">
        <v>14</v>
      </c>
      <c r="J169" s="12">
        <v>1</v>
      </c>
      <c r="K169" s="12">
        <v>1</v>
      </c>
      <c r="L169" s="12">
        <v>1</v>
      </c>
      <c r="M169" s="8" t="s">
        <v>1965</v>
      </c>
    </row>
    <row r="170" spans="1:13" ht="25" customHeight="1">
      <c r="A170" s="12">
        <v>130</v>
      </c>
      <c r="B170" s="8" t="s">
        <v>2067</v>
      </c>
      <c r="C170" s="8" t="s">
        <v>711</v>
      </c>
      <c r="D170" s="8" t="s">
        <v>802</v>
      </c>
      <c r="E170" s="8" t="s">
        <v>206</v>
      </c>
      <c r="F170" s="8" t="s">
        <v>428</v>
      </c>
      <c r="G170" s="8" t="s">
        <v>1433</v>
      </c>
      <c r="H170" s="8"/>
      <c r="I170" s="11">
        <v>4</v>
      </c>
      <c r="J170" s="12">
        <v>0</v>
      </c>
      <c r="K170" s="12"/>
      <c r="L170" s="12"/>
      <c r="M170" s="8"/>
    </row>
    <row r="171" spans="1:13" ht="25" customHeight="1">
      <c r="A171" s="12">
        <v>131</v>
      </c>
      <c r="B171" s="8" t="s">
        <v>2069</v>
      </c>
      <c r="C171" s="8" t="s">
        <v>716</v>
      </c>
      <c r="D171" s="8" t="s">
        <v>120</v>
      </c>
      <c r="E171" s="8" t="s">
        <v>206</v>
      </c>
      <c r="F171" s="8" t="s">
        <v>446</v>
      </c>
      <c r="G171" s="8" t="s">
        <v>1494</v>
      </c>
      <c r="H171" s="8" t="s">
        <v>1965</v>
      </c>
      <c r="I171" s="11">
        <v>0</v>
      </c>
      <c r="J171" s="12">
        <v>1</v>
      </c>
      <c r="K171" s="12">
        <v>0</v>
      </c>
      <c r="L171" s="12">
        <v>0</v>
      </c>
      <c r="M171" s="8" t="s">
        <v>1965</v>
      </c>
    </row>
    <row r="172" spans="1:13" ht="25" customHeight="1">
      <c r="A172" s="12">
        <v>132</v>
      </c>
      <c r="B172" s="8" t="s">
        <v>2069</v>
      </c>
      <c r="C172" s="8" t="s">
        <v>716</v>
      </c>
      <c r="D172" s="8" t="s">
        <v>120</v>
      </c>
      <c r="E172" s="8" t="s">
        <v>206</v>
      </c>
      <c r="F172" s="8" t="s">
        <v>474</v>
      </c>
      <c r="G172" s="8" t="s">
        <v>819</v>
      </c>
      <c r="H172" s="8" t="s">
        <v>1971</v>
      </c>
      <c r="I172" s="11">
        <v>14</v>
      </c>
      <c r="J172" s="12">
        <v>1</v>
      </c>
      <c r="K172" s="12">
        <v>1</v>
      </c>
      <c r="L172" s="12">
        <v>1</v>
      </c>
      <c r="M172" s="8" t="s">
        <v>1965</v>
      </c>
    </row>
    <row r="173" spans="1:13" ht="25" customHeight="1">
      <c r="A173" s="12">
        <v>133</v>
      </c>
      <c r="B173" s="8" t="s">
        <v>2069</v>
      </c>
      <c r="C173" s="8" t="s">
        <v>716</v>
      </c>
      <c r="D173" s="8" t="s">
        <v>120</v>
      </c>
      <c r="E173" s="8" t="s">
        <v>203</v>
      </c>
      <c r="F173" s="8" t="s">
        <v>449</v>
      </c>
      <c r="G173" s="8" t="s">
        <v>820</v>
      </c>
      <c r="H173" s="8" t="s">
        <v>1968</v>
      </c>
      <c r="I173" s="11">
        <v>11</v>
      </c>
      <c r="J173" s="12">
        <v>1</v>
      </c>
      <c r="K173" s="12">
        <v>0</v>
      </c>
      <c r="L173" s="12">
        <v>0</v>
      </c>
      <c r="M173" s="8" t="s">
        <v>2064</v>
      </c>
    </row>
    <row r="174" spans="1:13" ht="25" customHeight="1">
      <c r="A174" s="12">
        <v>134</v>
      </c>
      <c r="B174" s="8" t="s">
        <v>2069</v>
      </c>
      <c r="C174" s="8" t="s">
        <v>706</v>
      </c>
      <c r="D174" s="8" t="s">
        <v>842</v>
      </c>
      <c r="E174" s="8" t="s">
        <v>206</v>
      </c>
      <c r="F174" s="8" t="s">
        <v>465</v>
      </c>
      <c r="G174" s="8" t="s">
        <v>815</v>
      </c>
      <c r="H174" s="8" t="s">
        <v>1963</v>
      </c>
      <c r="I174" s="11">
        <v>-2</v>
      </c>
      <c r="J174" s="12">
        <v>1</v>
      </c>
      <c r="K174" s="12">
        <v>0</v>
      </c>
      <c r="L174" s="12">
        <v>0</v>
      </c>
      <c r="M174" s="8" t="s">
        <v>2064</v>
      </c>
    </row>
    <row r="175" spans="1:13" ht="25" customHeight="1">
      <c r="A175" s="12">
        <v>135</v>
      </c>
      <c r="B175" s="8" t="s">
        <v>2069</v>
      </c>
      <c r="C175" s="8" t="s">
        <v>720</v>
      </c>
      <c r="D175" s="8" t="s">
        <v>123</v>
      </c>
      <c r="E175" s="8" t="s">
        <v>206</v>
      </c>
      <c r="F175" s="8" t="s">
        <v>474</v>
      </c>
      <c r="G175" s="8" t="s">
        <v>819</v>
      </c>
      <c r="H175" s="8" t="s">
        <v>1963</v>
      </c>
      <c r="I175" s="11">
        <v>-6</v>
      </c>
      <c r="J175" s="12">
        <v>1</v>
      </c>
      <c r="K175" s="12">
        <v>0</v>
      </c>
      <c r="L175" s="12">
        <v>0</v>
      </c>
      <c r="M175" s="8" t="s">
        <v>2064</v>
      </c>
    </row>
    <row r="176" spans="1:13" ht="25" customHeight="1">
      <c r="A176" s="12">
        <v>136</v>
      </c>
      <c r="B176" s="8" t="s">
        <v>2069</v>
      </c>
      <c r="C176" s="8" t="s">
        <v>711</v>
      </c>
      <c r="D176" s="8" t="s">
        <v>877</v>
      </c>
      <c r="E176" s="8" t="s">
        <v>235</v>
      </c>
      <c r="F176" s="8" t="s">
        <v>878</v>
      </c>
      <c r="G176" s="8" t="s">
        <v>1619</v>
      </c>
      <c r="H176" s="8" t="s">
        <v>1965</v>
      </c>
      <c r="I176" s="11">
        <v>0</v>
      </c>
      <c r="J176" s="12">
        <v>1</v>
      </c>
      <c r="K176" s="12">
        <v>0</v>
      </c>
      <c r="L176" s="12">
        <v>0</v>
      </c>
      <c r="M176" s="8" t="s">
        <v>1965</v>
      </c>
    </row>
    <row r="177" spans="1:13" ht="25" customHeight="1">
      <c r="A177" s="12">
        <v>137</v>
      </c>
      <c r="B177" s="8" t="s">
        <v>2069</v>
      </c>
      <c r="C177" s="8" t="s">
        <v>706</v>
      </c>
      <c r="D177" s="8" t="s">
        <v>120</v>
      </c>
      <c r="E177" s="8" t="s">
        <v>206</v>
      </c>
      <c r="F177" s="8" t="s">
        <v>446</v>
      </c>
      <c r="G177" s="8" t="s">
        <v>820</v>
      </c>
      <c r="H177" s="8" t="s">
        <v>1963</v>
      </c>
      <c r="I177" s="11">
        <v>0</v>
      </c>
      <c r="J177" s="12">
        <v>1</v>
      </c>
      <c r="K177" s="12">
        <v>0</v>
      </c>
      <c r="L177" s="12">
        <v>0</v>
      </c>
      <c r="M177" s="8" t="s">
        <v>2064</v>
      </c>
    </row>
    <row r="178" spans="1:13" ht="25" customHeight="1">
      <c r="A178" s="12">
        <v>138</v>
      </c>
      <c r="B178" s="8" t="s">
        <v>2069</v>
      </c>
      <c r="C178" s="8" t="s">
        <v>711</v>
      </c>
      <c r="D178" s="8" t="s">
        <v>120</v>
      </c>
      <c r="E178" s="8" t="s">
        <v>206</v>
      </c>
      <c r="F178" s="8" t="s">
        <v>449</v>
      </c>
      <c r="G178" s="8" t="s">
        <v>1624</v>
      </c>
      <c r="H178" s="8" t="s">
        <v>1965</v>
      </c>
      <c r="I178" s="11">
        <v>0</v>
      </c>
      <c r="J178" s="12">
        <v>1</v>
      </c>
      <c r="K178" s="12">
        <v>0</v>
      </c>
      <c r="L178" s="12">
        <v>0</v>
      </c>
      <c r="M178" s="8" t="s">
        <v>1965</v>
      </c>
    </row>
    <row r="179" spans="1:13" ht="25" customHeight="1">
      <c r="A179" s="12">
        <v>139</v>
      </c>
      <c r="B179" s="8" t="s">
        <v>2069</v>
      </c>
      <c r="C179" s="8" t="s">
        <v>716</v>
      </c>
      <c r="D179" s="8" t="s">
        <v>120</v>
      </c>
      <c r="E179" s="8" t="s">
        <v>206</v>
      </c>
      <c r="F179" s="8" t="s">
        <v>449</v>
      </c>
      <c r="G179" s="8" t="s">
        <v>821</v>
      </c>
      <c r="H179" s="8" t="s">
        <v>1974</v>
      </c>
      <c r="I179" s="11">
        <v>0</v>
      </c>
      <c r="J179" s="12">
        <v>1</v>
      </c>
      <c r="K179" s="12">
        <v>0</v>
      </c>
      <c r="L179" s="12">
        <v>0</v>
      </c>
      <c r="M179" s="8" t="s">
        <v>2064</v>
      </c>
    </row>
    <row r="180" spans="1:13" ht="25" customHeight="1">
      <c r="A180" s="12">
        <v>140</v>
      </c>
      <c r="B180" s="8" t="s">
        <v>2069</v>
      </c>
      <c r="C180" s="8" t="s">
        <v>716</v>
      </c>
      <c r="D180" s="8" t="s">
        <v>120</v>
      </c>
      <c r="E180" s="8" t="s">
        <v>206</v>
      </c>
      <c r="F180" s="8" t="s">
        <v>449</v>
      </c>
      <c r="G180" s="8" t="s">
        <v>821</v>
      </c>
      <c r="H180" s="8" t="s">
        <v>1968</v>
      </c>
      <c r="I180" s="11">
        <v>0</v>
      </c>
      <c r="J180" s="12">
        <v>1</v>
      </c>
      <c r="K180" s="12">
        <v>0</v>
      </c>
      <c r="L180" s="12">
        <v>0</v>
      </c>
      <c r="M180" s="8" t="s">
        <v>2064</v>
      </c>
    </row>
    <row r="181" spans="1:13" ht="25" customHeight="1">
      <c r="A181" s="12">
        <v>141</v>
      </c>
      <c r="B181" s="8" t="s">
        <v>2069</v>
      </c>
      <c r="C181" s="8" t="s">
        <v>711</v>
      </c>
      <c r="D181" s="8" t="s">
        <v>120</v>
      </c>
      <c r="E181" s="8" t="s">
        <v>206</v>
      </c>
      <c r="F181" s="8" t="s">
        <v>449</v>
      </c>
      <c r="G181" s="8" t="s">
        <v>1629</v>
      </c>
      <c r="H181" s="8" t="s">
        <v>1975</v>
      </c>
      <c r="I181" s="11">
        <v>10</v>
      </c>
      <c r="J181" s="12">
        <v>1</v>
      </c>
      <c r="K181" s="12">
        <v>0</v>
      </c>
      <c r="L181" s="12">
        <v>0</v>
      </c>
      <c r="M181" s="8" t="s">
        <v>2064</v>
      </c>
    </row>
    <row r="182" spans="1:13" ht="25" customHeight="1">
      <c r="A182" s="12">
        <v>142</v>
      </c>
      <c r="B182" s="8" t="s">
        <v>2069</v>
      </c>
      <c r="C182" s="8" t="s">
        <v>711</v>
      </c>
      <c r="D182" s="8" t="s">
        <v>120</v>
      </c>
      <c r="E182" s="8" t="s">
        <v>203</v>
      </c>
      <c r="F182" s="8" t="s">
        <v>449</v>
      </c>
      <c r="G182" s="8" t="s">
        <v>1523</v>
      </c>
      <c r="H182" s="8" t="s">
        <v>1974</v>
      </c>
      <c r="I182" s="11">
        <v>5</v>
      </c>
      <c r="J182" s="12">
        <v>1</v>
      </c>
      <c r="K182" s="12">
        <v>0</v>
      </c>
      <c r="L182" s="12">
        <v>0</v>
      </c>
      <c r="M182" s="8" t="s">
        <v>2064</v>
      </c>
    </row>
    <row r="183" spans="1:13" ht="25" customHeight="1">
      <c r="A183" s="12">
        <v>143</v>
      </c>
      <c r="B183" s="8" t="s">
        <v>2069</v>
      </c>
      <c r="C183" s="8" t="s">
        <v>711</v>
      </c>
      <c r="D183" s="8" t="s">
        <v>120</v>
      </c>
      <c r="E183" s="8" t="s">
        <v>206</v>
      </c>
      <c r="F183" s="8" t="s">
        <v>605</v>
      </c>
      <c r="G183" s="8" t="s">
        <v>49</v>
      </c>
      <c r="H183" s="8" t="s">
        <v>1963</v>
      </c>
      <c r="I183" s="11">
        <v>0</v>
      </c>
      <c r="J183" s="12">
        <v>1</v>
      </c>
      <c r="K183" s="12">
        <v>0</v>
      </c>
      <c r="L183" s="12">
        <v>0</v>
      </c>
      <c r="M183" s="8" t="s">
        <v>2064</v>
      </c>
    </row>
    <row r="184" spans="1:13" ht="25" customHeight="1">
      <c r="A184" s="12">
        <v>144</v>
      </c>
      <c r="B184" s="8" t="s">
        <v>2069</v>
      </c>
      <c r="C184" s="8" t="s">
        <v>711</v>
      </c>
      <c r="D184" s="8" t="s">
        <v>120</v>
      </c>
      <c r="E184" s="8" t="s">
        <v>222</v>
      </c>
      <c r="F184" s="8" t="s">
        <v>449</v>
      </c>
      <c r="G184" s="8" t="s">
        <v>1635</v>
      </c>
      <c r="H184" s="8" t="s">
        <v>1963</v>
      </c>
      <c r="I184" s="11">
        <v>0</v>
      </c>
      <c r="J184" s="12">
        <v>1</v>
      </c>
      <c r="K184" s="12">
        <v>0</v>
      </c>
      <c r="L184" s="12">
        <v>0</v>
      </c>
      <c r="M184" s="8" t="s">
        <v>2064</v>
      </c>
    </row>
    <row r="185" spans="1:13" ht="25" customHeight="1">
      <c r="A185" s="12">
        <v>145</v>
      </c>
      <c r="B185" s="8" t="s">
        <v>2069</v>
      </c>
      <c r="C185" s="8" t="s">
        <v>711</v>
      </c>
      <c r="D185" s="8" t="s">
        <v>120</v>
      </c>
      <c r="E185" s="8" t="s">
        <v>206</v>
      </c>
      <c r="F185" s="8" t="s">
        <v>474</v>
      </c>
      <c r="G185" s="8" t="s">
        <v>1638</v>
      </c>
      <c r="H185" s="8" t="s">
        <v>1968</v>
      </c>
      <c r="I185" s="11">
        <v>9</v>
      </c>
      <c r="J185" s="12">
        <v>1</v>
      </c>
      <c r="K185" s="12">
        <v>0</v>
      </c>
      <c r="L185" s="12">
        <v>0</v>
      </c>
      <c r="M185" s="8" t="s">
        <v>2064</v>
      </c>
    </row>
    <row r="186" spans="1:13" ht="25" customHeight="1">
      <c r="A186" s="12">
        <v>146</v>
      </c>
      <c r="B186" s="8" t="s">
        <v>2069</v>
      </c>
      <c r="C186" s="8" t="s">
        <v>716</v>
      </c>
      <c r="D186" s="8" t="s">
        <v>120</v>
      </c>
      <c r="E186" s="8" t="s">
        <v>206</v>
      </c>
      <c r="F186" s="8" t="s">
        <v>465</v>
      </c>
      <c r="G186" s="8" t="s">
        <v>1398</v>
      </c>
      <c r="H186" s="8" t="s">
        <v>1974</v>
      </c>
      <c r="I186" s="11">
        <v>6</v>
      </c>
      <c r="J186" s="12">
        <v>1</v>
      </c>
      <c r="K186" s="12">
        <v>0</v>
      </c>
      <c r="L186" s="12">
        <v>0</v>
      </c>
      <c r="M186" s="8" t="s">
        <v>2064</v>
      </c>
    </row>
    <row r="187" spans="1:13" ht="25" customHeight="1">
      <c r="A187" s="12">
        <v>147</v>
      </c>
      <c r="B187" s="8" t="s">
        <v>2069</v>
      </c>
      <c r="C187" s="8" t="s">
        <v>716</v>
      </c>
      <c r="D187" s="8" t="s">
        <v>120</v>
      </c>
      <c r="E187" s="8" t="s">
        <v>235</v>
      </c>
      <c r="F187" s="8" t="s">
        <v>468</v>
      </c>
      <c r="G187" s="8" t="s">
        <v>1635</v>
      </c>
      <c r="H187" s="8" t="s">
        <v>1963</v>
      </c>
      <c r="I187" s="11">
        <v>9</v>
      </c>
      <c r="J187" s="12">
        <v>1</v>
      </c>
      <c r="K187" s="12">
        <v>1</v>
      </c>
      <c r="L187" s="12">
        <v>0</v>
      </c>
      <c r="M187" s="8" t="s">
        <v>2064</v>
      </c>
    </row>
    <row r="188" spans="1:13" ht="25" customHeight="1">
      <c r="A188" s="12">
        <v>148</v>
      </c>
      <c r="B188" s="8" t="s">
        <v>2069</v>
      </c>
      <c r="C188" s="8" t="s">
        <v>711</v>
      </c>
      <c r="D188" s="8" t="s">
        <v>120</v>
      </c>
      <c r="E188" s="8" t="s">
        <v>206</v>
      </c>
      <c r="F188" s="8" t="s">
        <v>428</v>
      </c>
      <c r="G188" s="8" t="s">
        <v>816</v>
      </c>
      <c r="H188" s="8" t="s">
        <v>1965</v>
      </c>
      <c r="I188" s="11">
        <v>0</v>
      </c>
      <c r="J188" s="12">
        <v>1</v>
      </c>
      <c r="K188" s="12">
        <v>0</v>
      </c>
      <c r="L188" s="12">
        <v>0</v>
      </c>
      <c r="M188" s="8" t="s">
        <v>1965</v>
      </c>
    </row>
    <row r="189" spans="1:13" ht="25" customHeight="1">
      <c r="A189" s="12">
        <v>149</v>
      </c>
      <c r="B189" s="8" t="s">
        <v>2069</v>
      </c>
      <c r="C189" s="8" t="s">
        <v>706</v>
      </c>
      <c r="D189" s="8" t="s">
        <v>120</v>
      </c>
      <c r="E189" s="8" t="s">
        <v>206</v>
      </c>
      <c r="F189" s="8" t="s">
        <v>446</v>
      </c>
      <c r="G189" s="8" t="s">
        <v>820</v>
      </c>
      <c r="H189" s="8" t="s">
        <v>1966</v>
      </c>
      <c r="I189" s="11">
        <v>1</v>
      </c>
      <c r="J189" s="12">
        <v>1</v>
      </c>
      <c r="K189" s="12">
        <v>0</v>
      </c>
      <c r="L189" s="12">
        <v>0</v>
      </c>
      <c r="M189" s="8" t="s">
        <v>2065</v>
      </c>
    </row>
    <row r="190" spans="1:13" ht="25" customHeight="1">
      <c r="A190" s="12">
        <v>150</v>
      </c>
      <c r="B190" s="8" t="s">
        <v>2069</v>
      </c>
      <c r="C190" s="8" t="s">
        <v>720</v>
      </c>
      <c r="D190" s="8" t="s">
        <v>120</v>
      </c>
      <c r="E190" s="8" t="s">
        <v>206</v>
      </c>
      <c r="F190" s="8" t="s">
        <v>449</v>
      </c>
      <c r="G190" s="8" t="s">
        <v>1645</v>
      </c>
      <c r="H190" s="8" t="s">
        <v>1965</v>
      </c>
      <c r="I190" s="11">
        <v>0</v>
      </c>
      <c r="J190" s="12">
        <v>1</v>
      </c>
      <c r="K190" s="12">
        <v>0</v>
      </c>
      <c r="L190" s="12">
        <v>0</v>
      </c>
      <c r="M190" s="8" t="s">
        <v>1965</v>
      </c>
    </row>
    <row r="191" spans="1:13" ht="25" customHeight="1">
      <c r="A191" s="12">
        <v>151</v>
      </c>
      <c r="B191" s="8" t="s">
        <v>2069</v>
      </c>
      <c r="C191" s="8" t="s">
        <v>716</v>
      </c>
      <c r="D191" s="8" t="s">
        <v>120</v>
      </c>
      <c r="E191" s="8" t="s">
        <v>203</v>
      </c>
      <c r="F191" s="8" t="s">
        <v>449</v>
      </c>
      <c r="G191" s="8" t="s">
        <v>820</v>
      </c>
      <c r="H191" s="8" t="s">
        <v>1966</v>
      </c>
      <c r="I191" s="11">
        <v>0</v>
      </c>
      <c r="J191" s="12">
        <v>1</v>
      </c>
      <c r="K191" s="12">
        <v>0</v>
      </c>
      <c r="L191" s="12">
        <v>0</v>
      </c>
      <c r="M191" s="8" t="s">
        <v>2065</v>
      </c>
    </row>
    <row r="192" spans="1:13" ht="25" customHeight="1">
      <c r="A192" s="12">
        <v>152</v>
      </c>
      <c r="B192" s="8" t="s">
        <v>2069</v>
      </c>
      <c r="C192" s="8" t="s">
        <v>711</v>
      </c>
      <c r="D192" s="8" t="s">
        <v>120</v>
      </c>
      <c r="E192" s="8" t="s">
        <v>206</v>
      </c>
      <c r="F192" s="8" t="s">
        <v>449</v>
      </c>
      <c r="G192" s="8" t="s">
        <v>1648</v>
      </c>
      <c r="H192" s="8" t="s">
        <v>1974</v>
      </c>
      <c r="I192" s="11">
        <v>3</v>
      </c>
      <c r="J192" s="12">
        <v>1</v>
      </c>
      <c r="K192" s="12">
        <v>0</v>
      </c>
      <c r="L192" s="12">
        <v>0</v>
      </c>
      <c r="M192" s="8" t="s">
        <v>2064</v>
      </c>
    </row>
    <row r="193" spans="1:13" ht="25" customHeight="1">
      <c r="A193" s="12">
        <v>153</v>
      </c>
      <c r="B193" s="8" t="s">
        <v>2069</v>
      </c>
      <c r="C193" s="8" t="s">
        <v>706</v>
      </c>
      <c r="D193" s="8" t="s">
        <v>123</v>
      </c>
      <c r="E193" s="8" t="s">
        <v>203</v>
      </c>
      <c r="F193" s="8" t="s">
        <v>474</v>
      </c>
      <c r="G193" s="8" t="s">
        <v>1650</v>
      </c>
      <c r="H193" s="8" t="s">
        <v>1974</v>
      </c>
      <c r="I193" s="11">
        <v>0</v>
      </c>
      <c r="J193" s="12">
        <v>1</v>
      </c>
      <c r="K193" s="12">
        <v>0</v>
      </c>
      <c r="L193" s="12">
        <v>0</v>
      </c>
      <c r="M193" s="8" t="s">
        <v>2064</v>
      </c>
    </row>
    <row r="194" spans="1:13" ht="25" customHeight="1">
      <c r="A194" s="12">
        <v>154</v>
      </c>
      <c r="B194" s="8" t="s">
        <v>2069</v>
      </c>
      <c r="C194" s="8" t="s">
        <v>711</v>
      </c>
      <c r="D194" s="8" t="s">
        <v>120</v>
      </c>
      <c r="E194" s="8" t="s">
        <v>206</v>
      </c>
      <c r="F194" s="8" t="s">
        <v>449</v>
      </c>
      <c r="G194" s="8" t="s">
        <v>821</v>
      </c>
      <c r="H194" s="8" t="s">
        <v>1963</v>
      </c>
      <c r="I194" s="11">
        <v>0</v>
      </c>
      <c r="J194" s="12">
        <v>1</v>
      </c>
      <c r="K194" s="12">
        <v>0</v>
      </c>
      <c r="L194" s="12">
        <v>0</v>
      </c>
      <c r="M194" s="8" t="s">
        <v>2064</v>
      </c>
    </row>
    <row r="195" spans="1:13" ht="25" customHeight="1">
      <c r="A195" s="12">
        <v>155</v>
      </c>
      <c r="B195" s="8" t="s">
        <v>2069</v>
      </c>
      <c r="C195" s="8" t="s">
        <v>716</v>
      </c>
      <c r="D195" s="8" t="s">
        <v>120</v>
      </c>
      <c r="E195" s="8" t="s">
        <v>206</v>
      </c>
      <c r="F195" s="8" t="s">
        <v>449</v>
      </c>
      <c r="G195" s="8" t="s">
        <v>1655</v>
      </c>
      <c r="H195" s="8" t="s">
        <v>1963</v>
      </c>
      <c r="I195" s="11">
        <v>-6</v>
      </c>
      <c r="J195" s="12">
        <v>1</v>
      </c>
      <c r="K195" s="12">
        <v>0</v>
      </c>
      <c r="L195" s="12">
        <v>0</v>
      </c>
      <c r="M195" s="8" t="s">
        <v>2064</v>
      </c>
    </row>
    <row r="196" spans="1:13" ht="25" customHeight="1">
      <c r="A196" s="12">
        <v>156</v>
      </c>
      <c r="B196" s="8" t="s">
        <v>2069</v>
      </c>
      <c r="C196" s="8" t="s">
        <v>711</v>
      </c>
      <c r="D196" s="8" t="s">
        <v>120</v>
      </c>
      <c r="E196" s="8" t="s">
        <v>206</v>
      </c>
      <c r="F196" s="8" t="s">
        <v>605</v>
      </c>
      <c r="G196" s="8" t="s">
        <v>49</v>
      </c>
      <c r="H196" s="8" t="s">
        <v>1974</v>
      </c>
      <c r="I196" s="11">
        <v>18</v>
      </c>
      <c r="J196" s="12">
        <v>1</v>
      </c>
      <c r="K196" s="12">
        <v>0</v>
      </c>
      <c r="L196" s="12">
        <v>0</v>
      </c>
      <c r="M196" s="8" t="s">
        <v>2064</v>
      </c>
    </row>
    <row r="197" spans="1:13" ht="25" customHeight="1">
      <c r="A197" s="12">
        <v>157</v>
      </c>
      <c r="B197" s="8" t="s">
        <v>2069</v>
      </c>
      <c r="C197" s="8" t="s">
        <v>716</v>
      </c>
      <c r="D197" s="8" t="s">
        <v>120</v>
      </c>
      <c r="E197" s="8" t="s">
        <v>203</v>
      </c>
      <c r="F197" s="8" t="s">
        <v>449</v>
      </c>
      <c r="G197" s="8" t="s">
        <v>1523</v>
      </c>
      <c r="H197" s="8" t="s">
        <v>1977</v>
      </c>
      <c r="I197" s="11">
        <v>18</v>
      </c>
      <c r="J197" s="12">
        <v>1</v>
      </c>
      <c r="K197" s="12">
        <v>0</v>
      </c>
      <c r="L197" s="12">
        <v>0</v>
      </c>
      <c r="M197" s="8" t="s">
        <v>2064</v>
      </c>
    </row>
    <row r="198" spans="1:13" ht="25" customHeight="1">
      <c r="A198" s="12">
        <v>158</v>
      </c>
      <c r="B198" s="8" t="s">
        <v>2069</v>
      </c>
      <c r="C198" s="8" t="s">
        <v>716</v>
      </c>
      <c r="D198" s="8" t="s">
        <v>120</v>
      </c>
      <c r="E198" s="8" t="s">
        <v>203</v>
      </c>
      <c r="F198" s="8" t="s">
        <v>449</v>
      </c>
      <c r="G198" s="8" t="s">
        <v>1660</v>
      </c>
      <c r="H198" s="8" t="s">
        <v>1963</v>
      </c>
      <c r="I198" s="11">
        <v>0</v>
      </c>
      <c r="J198" s="12">
        <v>1</v>
      </c>
      <c r="K198" s="12">
        <v>0</v>
      </c>
      <c r="L198" s="12">
        <v>0</v>
      </c>
      <c r="M198" s="8" t="s">
        <v>2064</v>
      </c>
    </row>
    <row r="199" spans="1:13" ht="25" customHeight="1">
      <c r="A199" s="12">
        <v>159</v>
      </c>
      <c r="B199" s="8" t="s">
        <v>2069</v>
      </c>
      <c r="C199" s="8" t="s">
        <v>706</v>
      </c>
      <c r="D199" s="8" t="s">
        <v>120</v>
      </c>
      <c r="E199" s="8" t="s">
        <v>203</v>
      </c>
      <c r="F199" s="8" t="s">
        <v>449</v>
      </c>
      <c r="G199" s="8" t="s">
        <v>1662</v>
      </c>
      <c r="H199" s="8" t="s">
        <v>1963</v>
      </c>
      <c r="I199" s="11">
        <v>5</v>
      </c>
      <c r="J199" s="12">
        <v>1</v>
      </c>
      <c r="K199" s="12">
        <v>1</v>
      </c>
      <c r="L199" s="12">
        <v>0</v>
      </c>
      <c r="M199" s="8" t="s">
        <v>2064</v>
      </c>
    </row>
    <row r="200" spans="1:13" ht="25" customHeight="1">
      <c r="A200" s="12">
        <v>160</v>
      </c>
      <c r="B200" s="8" t="s">
        <v>2069</v>
      </c>
      <c r="C200" s="8" t="s">
        <v>720</v>
      </c>
      <c r="D200" s="8" t="s">
        <v>175</v>
      </c>
      <c r="E200" s="8" t="s">
        <v>206</v>
      </c>
      <c r="F200" s="8" t="s">
        <v>465</v>
      </c>
      <c r="G200" s="8" t="s">
        <v>816</v>
      </c>
      <c r="H200" s="8" t="s">
        <v>1974</v>
      </c>
      <c r="I200" s="11">
        <v>7</v>
      </c>
      <c r="J200" s="12">
        <v>1</v>
      </c>
      <c r="K200" s="12">
        <v>0</v>
      </c>
      <c r="L200" s="12">
        <v>0</v>
      </c>
      <c r="M200" s="8" t="s">
        <v>2064</v>
      </c>
    </row>
    <row r="201" spans="1:13" ht="25" customHeight="1">
      <c r="A201" s="12">
        <v>161</v>
      </c>
      <c r="B201" s="8" t="s">
        <v>2069</v>
      </c>
      <c r="C201" s="8" t="s">
        <v>706</v>
      </c>
      <c r="D201" s="8" t="s">
        <v>120</v>
      </c>
      <c r="E201" s="8" t="s">
        <v>206</v>
      </c>
      <c r="F201" s="8"/>
      <c r="G201" s="8"/>
      <c r="H201" s="8" t="s">
        <v>1963</v>
      </c>
      <c r="I201" s="11">
        <v>0</v>
      </c>
      <c r="J201" s="12">
        <v>1</v>
      </c>
      <c r="K201" s="12">
        <v>0</v>
      </c>
      <c r="L201" s="12">
        <v>0</v>
      </c>
      <c r="M201" s="8" t="s">
        <v>2064</v>
      </c>
    </row>
    <row r="202" spans="1:13" ht="25" customHeight="1">
      <c r="A202" s="12">
        <v>162</v>
      </c>
      <c r="B202" s="8" t="s">
        <v>2069</v>
      </c>
      <c r="C202" s="8" t="s">
        <v>716</v>
      </c>
      <c r="D202" s="8" t="s">
        <v>120</v>
      </c>
      <c r="E202" s="8" t="s">
        <v>206</v>
      </c>
      <c r="F202" s="8" t="s">
        <v>465</v>
      </c>
      <c r="G202" s="8" t="s">
        <v>1439</v>
      </c>
      <c r="H202" s="8" t="s">
        <v>1965</v>
      </c>
      <c r="I202" s="11">
        <v>4</v>
      </c>
      <c r="J202" s="12">
        <v>1</v>
      </c>
      <c r="K202" s="12">
        <v>1</v>
      </c>
      <c r="L202" s="12">
        <v>0</v>
      </c>
      <c r="M202" s="8" t="s">
        <v>1965</v>
      </c>
    </row>
    <row r="203" spans="1:13" ht="25" customHeight="1">
      <c r="A203" s="12">
        <v>163</v>
      </c>
      <c r="B203" s="8" t="s">
        <v>2069</v>
      </c>
      <c r="C203" s="8" t="s">
        <v>716</v>
      </c>
      <c r="D203" s="8" t="s">
        <v>120</v>
      </c>
      <c r="E203" s="8" t="s">
        <v>203</v>
      </c>
      <c r="F203" s="8" t="s">
        <v>465</v>
      </c>
      <c r="G203" s="8" t="s">
        <v>815</v>
      </c>
      <c r="H203" s="8"/>
      <c r="I203" s="11">
        <v>3</v>
      </c>
      <c r="J203" s="12">
        <v>0</v>
      </c>
      <c r="K203" s="12"/>
      <c r="L203" s="12"/>
      <c r="M203" s="8"/>
    </row>
    <row r="204" spans="1:13" ht="25" customHeight="1">
      <c r="A204" s="12">
        <v>164</v>
      </c>
      <c r="B204" s="8" t="s">
        <v>2069</v>
      </c>
      <c r="C204" s="8" t="s">
        <v>711</v>
      </c>
      <c r="D204" s="8" t="s">
        <v>120</v>
      </c>
      <c r="E204" s="8" t="s">
        <v>206</v>
      </c>
      <c r="F204" s="8" t="s">
        <v>428</v>
      </c>
      <c r="G204" s="8" t="s">
        <v>824</v>
      </c>
      <c r="H204" s="8" t="s">
        <v>1965</v>
      </c>
      <c r="I204" s="11">
        <v>2</v>
      </c>
      <c r="J204" s="12">
        <v>1</v>
      </c>
      <c r="K204" s="12">
        <v>0</v>
      </c>
      <c r="L204" s="12">
        <v>0</v>
      </c>
      <c r="M204" s="8" t="s">
        <v>1965</v>
      </c>
    </row>
    <row r="205" spans="1:13" ht="25" customHeight="1">
      <c r="A205" s="12">
        <v>165</v>
      </c>
      <c r="B205" s="8" t="s">
        <v>2069</v>
      </c>
      <c r="C205" s="8" t="s">
        <v>720</v>
      </c>
      <c r="D205" s="8" t="s">
        <v>175</v>
      </c>
      <c r="E205" s="8" t="s">
        <v>206</v>
      </c>
      <c r="F205" s="8" t="s">
        <v>428</v>
      </c>
      <c r="G205" s="8" t="s">
        <v>816</v>
      </c>
      <c r="H205" s="8" t="s">
        <v>1965</v>
      </c>
      <c r="I205" s="11">
        <v>-1</v>
      </c>
      <c r="J205" s="12">
        <v>1</v>
      </c>
      <c r="K205" s="12">
        <v>0</v>
      </c>
      <c r="L205" s="12">
        <v>0</v>
      </c>
      <c r="M205" s="8" t="s">
        <v>1965</v>
      </c>
    </row>
    <row r="206" spans="1:13" ht="25" customHeight="1">
      <c r="A206" s="12">
        <v>166</v>
      </c>
      <c r="B206" s="8" t="s">
        <v>2069</v>
      </c>
      <c r="C206" s="8" t="s">
        <v>720</v>
      </c>
      <c r="D206" s="8" t="s">
        <v>120</v>
      </c>
      <c r="E206" s="8" t="s">
        <v>203</v>
      </c>
      <c r="F206" s="8" t="s">
        <v>465</v>
      </c>
      <c r="G206" s="8" t="s">
        <v>815</v>
      </c>
      <c r="H206" s="8" t="s">
        <v>1965</v>
      </c>
      <c r="I206" s="11">
        <v>0</v>
      </c>
      <c r="J206" s="12">
        <v>1</v>
      </c>
      <c r="K206" s="12">
        <v>0</v>
      </c>
      <c r="L206" s="12">
        <v>0</v>
      </c>
      <c r="M206" s="8" t="s">
        <v>1965</v>
      </c>
    </row>
    <row r="207" spans="1:13" ht="25" customHeight="1">
      <c r="A207" s="12">
        <v>167</v>
      </c>
      <c r="B207" s="8" t="s">
        <v>2069</v>
      </c>
      <c r="C207" s="8" t="s">
        <v>716</v>
      </c>
      <c r="D207" s="8" t="s">
        <v>120</v>
      </c>
      <c r="E207" s="8" t="s">
        <v>206</v>
      </c>
      <c r="F207" s="8" t="s">
        <v>449</v>
      </c>
      <c r="G207" s="8" t="s">
        <v>1416</v>
      </c>
      <c r="H207" s="8" t="s">
        <v>1965</v>
      </c>
      <c r="I207" s="11">
        <v>0</v>
      </c>
      <c r="J207" s="12">
        <v>1</v>
      </c>
      <c r="K207" s="12">
        <v>0</v>
      </c>
      <c r="L207" s="12">
        <v>0</v>
      </c>
      <c r="M207" s="8" t="s">
        <v>1965</v>
      </c>
    </row>
    <row r="208" spans="1:13" ht="25" customHeight="1">
      <c r="A208" s="12">
        <v>168</v>
      </c>
      <c r="B208" s="8" t="s">
        <v>2069</v>
      </c>
      <c r="C208" s="8" t="s">
        <v>720</v>
      </c>
      <c r="D208" s="8" t="s">
        <v>120</v>
      </c>
      <c r="E208" s="8" t="s">
        <v>235</v>
      </c>
      <c r="F208" s="8" t="s">
        <v>428</v>
      </c>
      <c r="G208" s="8" t="s">
        <v>823</v>
      </c>
      <c r="H208" s="8" t="s">
        <v>1965</v>
      </c>
      <c r="I208" s="11">
        <v>-1</v>
      </c>
      <c r="J208" s="12">
        <v>1</v>
      </c>
      <c r="K208" s="12">
        <v>0</v>
      </c>
      <c r="L208" s="12">
        <v>0</v>
      </c>
      <c r="M208" s="8" t="s">
        <v>1965</v>
      </c>
    </row>
    <row r="209" spans="1:13" ht="25" customHeight="1">
      <c r="A209" s="12">
        <v>169</v>
      </c>
      <c r="B209" s="8" t="s">
        <v>2069</v>
      </c>
      <c r="C209" s="8" t="s">
        <v>716</v>
      </c>
      <c r="D209" s="8" t="s">
        <v>123</v>
      </c>
      <c r="E209" s="8" t="s">
        <v>206</v>
      </c>
      <c r="F209" s="8" t="s">
        <v>428</v>
      </c>
      <c r="G209" s="8" t="s">
        <v>823</v>
      </c>
      <c r="H209" s="8" t="s">
        <v>1974</v>
      </c>
      <c r="I209" s="11">
        <v>2</v>
      </c>
      <c r="J209" s="12">
        <v>1</v>
      </c>
      <c r="K209" s="12">
        <v>0</v>
      </c>
      <c r="L209" s="12">
        <v>0</v>
      </c>
      <c r="M209" s="8" t="s">
        <v>2064</v>
      </c>
    </row>
    <row r="210" spans="1:13" ht="25" customHeight="1">
      <c r="A210" s="12">
        <v>170</v>
      </c>
      <c r="B210" s="8" t="s">
        <v>2069</v>
      </c>
      <c r="C210" s="8" t="s">
        <v>706</v>
      </c>
      <c r="D210" s="8" t="s">
        <v>120</v>
      </c>
      <c r="E210" s="8" t="s">
        <v>203</v>
      </c>
      <c r="F210" s="8" t="s">
        <v>428</v>
      </c>
      <c r="G210" s="8" t="s">
        <v>824</v>
      </c>
      <c r="H210" s="8" t="s">
        <v>1965</v>
      </c>
      <c r="I210" s="11">
        <v>-1</v>
      </c>
      <c r="J210" s="12">
        <v>1</v>
      </c>
      <c r="K210" s="12">
        <v>0</v>
      </c>
      <c r="L210" s="12">
        <v>0</v>
      </c>
      <c r="M210" s="8" t="s">
        <v>1965</v>
      </c>
    </row>
    <row r="211" spans="1:13" ht="25" customHeight="1">
      <c r="A211" s="12">
        <v>171</v>
      </c>
      <c r="B211" s="8" t="s">
        <v>2069</v>
      </c>
      <c r="C211" s="8" t="s">
        <v>720</v>
      </c>
      <c r="D211" s="8" t="s">
        <v>120</v>
      </c>
      <c r="E211" s="8" t="s">
        <v>206</v>
      </c>
      <c r="F211" s="8" t="s">
        <v>428</v>
      </c>
      <c r="G211" s="8" t="s">
        <v>816</v>
      </c>
      <c r="H211" s="8" t="s">
        <v>1965</v>
      </c>
      <c r="I211" s="11">
        <v>3</v>
      </c>
      <c r="J211" s="12">
        <v>1</v>
      </c>
      <c r="K211" s="12">
        <v>1</v>
      </c>
      <c r="L211" s="12">
        <v>0</v>
      </c>
      <c r="M211" s="8" t="s">
        <v>1965</v>
      </c>
    </row>
    <row r="212" spans="1:13" ht="25" customHeight="1">
      <c r="A212" s="12">
        <v>172</v>
      </c>
      <c r="B212" s="8" t="s">
        <v>2069</v>
      </c>
      <c r="C212" s="8" t="s">
        <v>720</v>
      </c>
      <c r="D212" s="8" t="s">
        <v>120</v>
      </c>
      <c r="E212" s="8" t="s">
        <v>203</v>
      </c>
      <c r="F212" s="8" t="s">
        <v>465</v>
      </c>
      <c r="G212" s="8" t="s">
        <v>1439</v>
      </c>
      <c r="H212" s="8" t="s">
        <v>1965</v>
      </c>
      <c r="I212" s="11">
        <v>10</v>
      </c>
      <c r="J212" s="12">
        <v>1</v>
      </c>
      <c r="K212" s="12">
        <v>1</v>
      </c>
      <c r="L212" s="12">
        <v>0</v>
      </c>
      <c r="M212" s="8" t="s">
        <v>1965</v>
      </c>
    </row>
    <row r="213" spans="1:13" ht="25" customHeight="1">
      <c r="A213" s="12">
        <v>173</v>
      </c>
      <c r="B213" s="8" t="s">
        <v>2069</v>
      </c>
      <c r="C213" s="8" t="s">
        <v>706</v>
      </c>
      <c r="D213" s="8" t="s">
        <v>1034</v>
      </c>
      <c r="E213" s="8" t="s">
        <v>1170</v>
      </c>
      <c r="F213" s="8" t="s">
        <v>878</v>
      </c>
      <c r="G213" s="8" t="s">
        <v>1451</v>
      </c>
      <c r="H213" s="8" t="s">
        <v>1965</v>
      </c>
      <c r="I213" s="11">
        <v>36</v>
      </c>
      <c r="J213" s="12">
        <v>1</v>
      </c>
      <c r="K213" s="12">
        <v>1</v>
      </c>
      <c r="L213" s="12">
        <v>1</v>
      </c>
      <c r="M213" s="8" t="s">
        <v>1965</v>
      </c>
    </row>
    <row r="214" spans="1:13" ht="25" customHeight="1">
      <c r="A214" s="12">
        <v>174</v>
      </c>
      <c r="B214" s="8" t="s">
        <v>2070</v>
      </c>
      <c r="C214" s="8" t="s">
        <v>706</v>
      </c>
      <c r="D214" s="8" t="s">
        <v>1037</v>
      </c>
      <c r="E214" s="8" t="s">
        <v>1170</v>
      </c>
      <c r="F214" s="8" t="s">
        <v>1038</v>
      </c>
      <c r="G214" s="8" t="s">
        <v>1684</v>
      </c>
      <c r="H214" s="8" t="s">
        <v>1965</v>
      </c>
      <c r="I214" s="11">
        <v>-1</v>
      </c>
      <c r="J214" s="12">
        <v>1</v>
      </c>
      <c r="K214" s="12">
        <v>0</v>
      </c>
      <c r="L214" s="12">
        <v>0</v>
      </c>
      <c r="M214" s="8" t="s">
        <v>1965</v>
      </c>
    </row>
    <row r="215" spans="1:13" ht="25" customHeight="1">
      <c r="A215" s="12">
        <v>175</v>
      </c>
      <c r="B215" s="8" t="s">
        <v>2070</v>
      </c>
      <c r="C215" s="8" t="s">
        <v>706</v>
      </c>
      <c r="D215" s="8" t="s">
        <v>802</v>
      </c>
      <c r="E215" s="8" t="s">
        <v>811</v>
      </c>
      <c r="F215" s="8" t="s">
        <v>878</v>
      </c>
      <c r="G215" s="8" t="s">
        <v>1687</v>
      </c>
      <c r="H215" s="8" t="s">
        <v>1965</v>
      </c>
      <c r="I215" s="11">
        <v>0</v>
      </c>
      <c r="J215" s="12">
        <v>1</v>
      </c>
      <c r="K215" s="12">
        <v>0</v>
      </c>
      <c r="L215" s="12">
        <v>0</v>
      </c>
      <c r="M215" s="8" t="s">
        <v>1965</v>
      </c>
    </row>
    <row r="216" spans="1:13" ht="25" customHeight="1">
      <c r="A216" s="12">
        <v>176</v>
      </c>
      <c r="B216" s="8"/>
      <c r="C216" s="8"/>
      <c r="D216" s="8"/>
      <c r="E216" s="8"/>
      <c r="F216" s="8"/>
      <c r="G216" s="8"/>
      <c r="H216" s="8" t="s">
        <v>1965</v>
      </c>
      <c r="I216" s="11"/>
      <c r="J216" s="12">
        <v>0</v>
      </c>
      <c r="K216" s="12"/>
      <c r="L216" s="12"/>
      <c r="M216" s="8" t="s">
        <v>1965</v>
      </c>
    </row>
    <row r="217" spans="1:13" ht="25" customHeight="1">
      <c r="A217" s="12">
        <v>177</v>
      </c>
      <c r="B217" s="8"/>
      <c r="C217" s="8"/>
      <c r="D217" s="8"/>
      <c r="E217" s="8"/>
      <c r="F217" s="8"/>
      <c r="G217" s="8"/>
      <c r="H217" s="8" t="s">
        <v>1965</v>
      </c>
      <c r="I217" s="11"/>
      <c r="J217" s="12">
        <v>0</v>
      </c>
      <c r="K217" s="12"/>
      <c r="L217" s="12"/>
      <c r="M217" s="8" t="s">
        <v>1965</v>
      </c>
    </row>
    <row r="218" spans="1:13" ht="25" customHeight="1">
      <c r="A218" s="12"/>
      <c r="B218" s="8"/>
      <c r="C218" s="8"/>
      <c r="D218" s="8"/>
      <c r="E218" s="8"/>
      <c r="F218" s="8"/>
      <c r="G218" s="8"/>
      <c r="H218" s="8"/>
      <c r="I218" s="11"/>
      <c r="J218" s="12"/>
      <c r="K218" s="12"/>
      <c r="L218" s="12"/>
      <c r="M218" s="8"/>
    </row>
    <row r="219" spans="1:13" ht="25" customHeight="1">
      <c r="A219" s="12"/>
      <c r="B219" s="8"/>
      <c r="C219" s="8"/>
      <c r="D219" s="8"/>
      <c r="E219" s="8"/>
      <c r="F219" s="8"/>
      <c r="G219" s="8"/>
      <c r="H219" s="8"/>
      <c r="I219" s="11"/>
      <c r="J219" s="12"/>
      <c r="K219" s="12"/>
      <c r="L219" s="12"/>
      <c r="M219" s="8"/>
    </row>
    <row r="220" spans="1:13" ht="25" customHeight="1">
      <c r="A220" s="12"/>
      <c r="B220" s="8"/>
      <c r="C220" s="8"/>
      <c r="D220" s="8"/>
      <c r="E220" s="8"/>
      <c r="F220" s="8"/>
      <c r="G220" s="8"/>
      <c r="H220" s="8"/>
      <c r="I220" s="11"/>
      <c r="J220" s="12"/>
      <c r="K220" s="12"/>
      <c r="L220" s="12"/>
      <c r="M220" s="8"/>
    </row>
    <row r="221" spans="1:13" ht="25" customHeight="1">
      <c r="A221" s="12"/>
      <c r="B221" s="8"/>
      <c r="C221" s="8"/>
      <c r="D221" s="8"/>
      <c r="E221" s="8"/>
      <c r="F221" s="8"/>
      <c r="G221" s="8"/>
      <c r="H221" s="8"/>
      <c r="I221" s="11"/>
      <c r="J221" s="12"/>
      <c r="K221" s="12"/>
      <c r="L221" s="12"/>
      <c r="M221" s="8"/>
    </row>
    <row r="222" spans="1:13" ht="25" customHeight="1">
      <c r="A222" s="12"/>
      <c r="B222" s="8"/>
      <c r="C222" s="8"/>
      <c r="D222" s="8"/>
      <c r="E222" s="8"/>
      <c r="F222" s="8"/>
      <c r="G222" s="8"/>
      <c r="H222" s="8"/>
      <c r="I222" s="11"/>
      <c r="J222" s="12"/>
      <c r="K222" s="12"/>
      <c r="L222" s="12"/>
      <c r="M222" s="8"/>
    </row>
    <row r="223" spans="1:13" ht="25" customHeight="1">
      <c r="A223" s="12"/>
      <c r="B223" s="8"/>
      <c r="C223" s="8"/>
      <c r="D223" s="8"/>
      <c r="E223" s="8"/>
      <c r="F223" s="8"/>
      <c r="G223" s="8"/>
      <c r="H223" s="8"/>
      <c r="I223" s="11"/>
      <c r="J223" s="12"/>
      <c r="K223" s="12"/>
      <c r="L223" s="12"/>
      <c r="M223" s="8"/>
    </row>
    <row r="224" spans="1:13" ht="25" customHeight="1">
      <c r="A224" s="12"/>
      <c r="B224" s="8"/>
      <c r="C224" s="8"/>
      <c r="D224" s="8"/>
      <c r="E224" s="8"/>
      <c r="F224" s="8"/>
      <c r="G224" s="8"/>
      <c r="H224" s="8"/>
      <c r="I224" s="11"/>
      <c r="J224" s="12"/>
      <c r="K224" s="12"/>
      <c r="L224" s="12"/>
      <c r="M224" s="8"/>
    </row>
    <row r="225" spans="1:13" ht="25" customHeight="1">
      <c r="A225" s="12"/>
      <c r="B225" s="8"/>
      <c r="C225" s="8"/>
      <c r="D225" s="8"/>
      <c r="E225" s="8"/>
      <c r="F225" s="8"/>
      <c r="G225" s="8"/>
      <c r="H225" s="8"/>
      <c r="I225" s="11"/>
      <c r="J225" s="12"/>
      <c r="K225" s="12"/>
      <c r="L225" s="12"/>
      <c r="M225" s="8"/>
    </row>
    <row r="226" spans="1:13" ht="25" customHeight="1">
      <c r="A226" s="12"/>
      <c r="B226" s="8"/>
      <c r="C226" s="8"/>
      <c r="D226" s="8"/>
      <c r="E226" s="8"/>
      <c r="F226" s="8"/>
      <c r="G226" s="8"/>
      <c r="H226" s="8"/>
      <c r="I226" s="11"/>
      <c r="J226" s="12"/>
      <c r="K226" s="12"/>
      <c r="L226" s="12"/>
      <c r="M226" s="8"/>
    </row>
    <row r="227" spans="1:13" ht="25" customHeight="1">
      <c r="A227" s="12"/>
      <c r="B227" s="8"/>
      <c r="C227" s="8"/>
      <c r="D227" s="8"/>
      <c r="E227" s="8"/>
      <c r="F227" s="8"/>
      <c r="G227" s="8"/>
      <c r="H227" s="8"/>
      <c r="I227" s="11"/>
      <c r="J227" s="12"/>
      <c r="K227" s="12"/>
      <c r="L227" s="12"/>
      <c r="M227" s="8"/>
    </row>
    <row r="228" spans="1:13" ht="25" customHeight="1">
      <c r="A228" s="12"/>
      <c r="B228" s="8"/>
      <c r="C228" s="8"/>
      <c r="D228" s="8"/>
      <c r="E228" s="8"/>
      <c r="F228" s="8"/>
      <c r="G228" s="8"/>
      <c r="H228" s="8"/>
      <c r="I228" s="11"/>
      <c r="J228" s="12"/>
      <c r="K228" s="12"/>
      <c r="L228" s="12"/>
      <c r="M228" s="8"/>
    </row>
    <row r="229" spans="1:13" ht="25" customHeight="1">
      <c r="A229" s="12"/>
      <c r="B229" s="8"/>
      <c r="C229" s="8"/>
      <c r="D229" s="8"/>
      <c r="E229" s="8"/>
      <c r="F229" s="8"/>
      <c r="G229" s="8"/>
      <c r="H229" s="8"/>
      <c r="I229" s="11"/>
      <c r="J229" s="12"/>
      <c r="K229" s="12"/>
      <c r="L229" s="12"/>
      <c r="M229" s="8"/>
    </row>
    <row r="230" spans="1:13" ht="25" customHeight="1">
      <c r="A230" s="12"/>
      <c r="B230" s="8"/>
      <c r="C230" s="8"/>
      <c r="D230" s="8"/>
      <c r="E230" s="8"/>
      <c r="F230" s="8"/>
      <c r="G230" s="8"/>
      <c r="H230" s="8"/>
      <c r="I230" s="11"/>
      <c r="J230" s="12"/>
      <c r="K230" s="12"/>
      <c r="L230" s="12"/>
      <c r="M230" s="8"/>
    </row>
    <row r="231" spans="1:13" ht="25" customHeight="1">
      <c r="A231" s="12"/>
      <c r="B231" s="8"/>
      <c r="C231" s="8"/>
      <c r="D231" s="8"/>
      <c r="E231" s="8"/>
      <c r="F231" s="8"/>
      <c r="G231" s="8"/>
      <c r="H231" s="8"/>
      <c r="I231" s="11"/>
      <c r="J231" s="12"/>
      <c r="K231" s="12"/>
      <c r="L231" s="12"/>
      <c r="M231" s="8"/>
    </row>
    <row r="232" spans="1:13" ht="25" customHeight="1">
      <c r="A232" s="12"/>
      <c r="B232" s="8"/>
      <c r="C232" s="8"/>
      <c r="D232" s="8"/>
      <c r="E232" s="8"/>
      <c r="F232" s="8"/>
      <c r="G232" s="8"/>
      <c r="H232" s="8"/>
      <c r="I232" s="11"/>
      <c r="J232" s="12"/>
      <c r="K232" s="12"/>
      <c r="L232" s="12"/>
      <c r="M232" s="8"/>
    </row>
    <row r="233" spans="1:13" ht="25" customHeight="1">
      <c r="A233" s="12"/>
      <c r="B233" s="8"/>
      <c r="C233" s="8"/>
      <c r="D233" s="8"/>
      <c r="E233" s="8"/>
      <c r="F233" s="8"/>
      <c r="G233" s="8"/>
      <c r="H233" s="8"/>
      <c r="I233" s="11"/>
      <c r="J233" s="12"/>
      <c r="K233" s="12"/>
      <c r="L233" s="12"/>
      <c r="M233" s="8"/>
    </row>
    <row r="234" spans="1:13" ht="25" customHeight="1">
      <c r="A234" s="12"/>
      <c r="B234" s="8"/>
      <c r="C234" s="8"/>
      <c r="D234" s="8"/>
      <c r="E234" s="8"/>
      <c r="F234" s="8"/>
      <c r="G234" s="8"/>
      <c r="H234" s="8"/>
      <c r="I234" s="11"/>
      <c r="J234" s="12"/>
      <c r="K234" s="12"/>
      <c r="L234" s="12"/>
      <c r="M234" s="8"/>
    </row>
    <row r="235" spans="1:13" ht="25" customHeight="1">
      <c r="A235" s="12"/>
      <c r="B235" s="8"/>
      <c r="C235" s="8"/>
      <c r="D235" s="8"/>
      <c r="E235" s="8"/>
      <c r="F235" s="8"/>
      <c r="G235" s="8"/>
      <c r="H235" s="8"/>
      <c r="I235" s="11"/>
      <c r="J235" s="12"/>
      <c r="K235" s="12"/>
      <c r="L235" s="12"/>
      <c r="M235" s="8"/>
    </row>
    <row r="236" spans="1:13" ht="25" customHeight="1">
      <c r="A236" s="12"/>
      <c r="B236" s="8"/>
      <c r="C236" s="8"/>
      <c r="D236" s="8"/>
      <c r="E236" s="8"/>
      <c r="F236" s="8"/>
      <c r="G236" s="8"/>
      <c r="H236" s="8"/>
      <c r="I236" s="11"/>
      <c r="J236" s="12"/>
      <c r="K236" s="12"/>
      <c r="L236" s="12"/>
      <c r="M236" s="8"/>
    </row>
    <row r="237" spans="1:13" ht="25" customHeight="1">
      <c r="A237" s="12"/>
      <c r="B237" s="8"/>
      <c r="C237" s="8"/>
      <c r="D237" s="8"/>
      <c r="E237" s="8"/>
      <c r="F237" s="8"/>
      <c r="G237" s="8"/>
      <c r="H237" s="8"/>
      <c r="I237" s="11"/>
      <c r="J237" s="12"/>
      <c r="K237" s="12"/>
      <c r="L237" s="12"/>
      <c r="M237" s="8"/>
    </row>
    <row r="238" spans="1:13" ht="25" customHeight="1">
      <c r="A238" s="12"/>
      <c r="B238" s="8"/>
      <c r="C238" s="8"/>
      <c r="D238" s="8"/>
      <c r="E238" s="8"/>
      <c r="F238" s="8"/>
      <c r="G238" s="8"/>
      <c r="H238" s="8"/>
      <c r="I238" s="11"/>
      <c r="J238" s="12"/>
      <c r="K238" s="12"/>
      <c r="L238" s="12"/>
      <c r="M238" s="8"/>
    </row>
    <row r="239" spans="1:13" ht="25" customHeight="1">
      <c r="A239" s="12"/>
      <c r="B239" s="8"/>
      <c r="C239" s="8"/>
      <c r="D239" s="8"/>
      <c r="E239" s="8"/>
      <c r="F239" s="8"/>
      <c r="G239" s="8"/>
      <c r="H239" s="8"/>
      <c r="I239" s="11"/>
      <c r="J239" s="12"/>
      <c r="K239" s="12"/>
      <c r="L239" s="12"/>
      <c r="M239" s="8"/>
    </row>
    <row r="240" spans="1:13" ht="25" customHeight="1">
      <c r="A240" s="12"/>
      <c r="B240" s="8"/>
      <c r="C240" s="8"/>
      <c r="D240" s="8"/>
      <c r="E240" s="8"/>
      <c r="F240" s="8"/>
      <c r="G240" s="8"/>
      <c r="H240" s="8"/>
      <c r="I240" s="11"/>
      <c r="J240" s="12"/>
      <c r="K240" s="12"/>
      <c r="L240" s="12"/>
      <c r="M240" s="8"/>
    </row>
    <row r="241" spans="1:13" ht="25" customHeight="1">
      <c r="A241" s="12"/>
      <c r="B241" s="8"/>
      <c r="C241" s="8"/>
      <c r="D241" s="8"/>
      <c r="E241" s="8"/>
      <c r="F241" s="8"/>
      <c r="G241" s="8"/>
      <c r="H241" s="8"/>
      <c r="I241" s="11"/>
      <c r="J241" s="12"/>
      <c r="K241" s="12"/>
      <c r="L241" s="12"/>
      <c r="M241" s="8"/>
    </row>
    <row r="242" spans="1:13" ht="25" customHeight="1">
      <c r="A242" s="12"/>
      <c r="B242" s="8"/>
      <c r="C242" s="8"/>
      <c r="D242" s="8"/>
      <c r="E242" s="8"/>
      <c r="F242" s="8"/>
      <c r="G242" s="8"/>
      <c r="H242" s="8"/>
      <c r="I242" s="11"/>
      <c r="J242" s="12"/>
      <c r="K242" s="12"/>
      <c r="L242" s="12"/>
      <c r="M242" s="8"/>
    </row>
    <row r="243" spans="1:13" ht="25" customHeight="1">
      <c r="A243" s="12"/>
      <c r="B243" s="8"/>
      <c r="C243" s="8"/>
      <c r="D243" s="8"/>
      <c r="E243" s="8"/>
      <c r="F243" s="8"/>
      <c r="G243" s="8"/>
      <c r="H243" s="8"/>
      <c r="I243" s="11"/>
      <c r="J243" s="12"/>
      <c r="K243" s="12"/>
      <c r="L243" s="12"/>
      <c r="M243" s="8"/>
    </row>
    <row r="244" spans="1:13" ht="25" customHeight="1">
      <c r="A244" s="12"/>
      <c r="B244" s="8"/>
      <c r="C244" s="8"/>
      <c r="D244" s="8"/>
      <c r="E244" s="8"/>
      <c r="F244" s="8"/>
      <c r="G244" s="8"/>
      <c r="H244" s="8"/>
      <c r="I244" s="11"/>
      <c r="J244" s="12"/>
      <c r="K244" s="12"/>
      <c r="L244" s="12"/>
      <c r="M244" s="8"/>
    </row>
    <row r="245" spans="1:13" ht="25" customHeight="1">
      <c r="A245" s="12"/>
      <c r="B245" s="8"/>
      <c r="C245" s="8"/>
      <c r="D245" s="8"/>
      <c r="E245" s="8"/>
      <c r="F245" s="8"/>
      <c r="G245" s="8"/>
      <c r="H245" s="8"/>
      <c r="I245" s="11"/>
      <c r="J245" s="12"/>
      <c r="K245" s="12"/>
      <c r="L245" s="12"/>
      <c r="M245" s="8"/>
    </row>
    <row r="246" spans="1:13" ht="25" customHeight="1">
      <c r="A246" s="12"/>
      <c r="B246" s="8"/>
      <c r="C246" s="8"/>
      <c r="D246" s="8"/>
      <c r="E246" s="8"/>
      <c r="F246" s="8"/>
      <c r="G246" s="8"/>
      <c r="H246" s="8"/>
      <c r="I246" s="11"/>
      <c r="J246" s="12"/>
      <c r="K246" s="12"/>
      <c r="L246" s="12"/>
      <c r="M246" s="8"/>
    </row>
    <row r="247" spans="1:13" ht="25" customHeight="1">
      <c r="A247" s="12"/>
      <c r="B247" s="8"/>
      <c r="C247" s="8"/>
      <c r="D247" s="8"/>
      <c r="E247" s="8"/>
      <c r="F247" s="8"/>
      <c r="G247" s="8"/>
      <c r="H247" s="8"/>
      <c r="I247" s="11"/>
      <c r="J247" s="12"/>
      <c r="K247" s="12"/>
      <c r="L247" s="12"/>
      <c r="M247" s="8"/>
    </row>
    <row r="248" spans="1:13" ht="25" customHeight="1">
      <c r="A248" s="12"/>
      <c r="B248" s="8"/>
      <c r="C248" s="8"/>
      <c r="D248" s="8"/>
      <c r="E248" s="8"/>
      <c r="F248" s="8"/>
      <c r="G248" s="8"/>
      <c r="H248" s="8"/>
      <c r="I248" s="11"/>
      <c r="J248" s="12"/>
      <c r="K248" s="12"/>
      <c r="L248" s="12"/>
      <c r="M248" s="8"/>
    </row>
    <row r="249" spans="1:13" ht="25" customHeight="1">
      <c r="A249" s="12"/>
      <c r="B249" s="8"/>
      <c r="C249" s="8"/>
      <c r="D249" s="8"/>
      <c r="E249" s="8"/>
      <c r="F249" s="8"/>
      <c r="G249" s="8"/>
      <c r="H249" s="8"/>
      <c r="I249" s="11"/>
      <c r="J249" s="12"/>
      <c r="K249" s="12"/>
      <c r="L249" s="12"/>
      <c r="M249" s="8"/>
    </row>
    <row r="250" spans="1:13" ht="25" customHeight="1">
      <c r="A250" s="12"/>
      <c r="B250" s="8"/>
      <c r="C250" s="8"/>
      <c r="D250" s="8"/>
      <c r="E250" s="8"/>
      <c r="F250" s="8"/>
      <c r="G250" s="8"/>
      <c r="H250" s="8"/>
      <c r="I250" s="11"/>
      <c r="J250" s="12"/>
      <c r="K250" s="12"/>
      <c r="L250" s="12"/>
      <c r="M250" s="8"/>
    </row>
    <row r="251" spans="1:13" ht="25" customHeight="1">
      <c r="A251" s="12"/>
      <c r="B251" s="8"/>
      <c r="C251" s="8"/>
      <c r="D251" s="8"/>
      <c r="E251" s="8"/>
      <c r="F251" s="8"/>
      <c r="G251" s="8"/>
      <c r="H251" s="8"/>
      <c r="I251" s="11"/>
      <c r="J251" s="12"/>
      <c r="K251" s="12"/>
      <c r="L251" s="12"/>
      <c r="M251" s="8"/>
    </row>
    <row r="252" spans="1:13" ht="25" customHeight="1">
      <c r="A252" s="12"/>
      <c r="B252" s="8"/>
      <c r="C252" s="8"/>
      <c r="D252" s="8"/>
      <c r="E252" s="8"/>
      <c r="F252" s="8"/>
      <c r="G252" s="8"/>
      <c r="H252" s="8"/>
      <c r="I252" s="11"/>
      <c r="J252" s="12"/>
      <c r="K252" s="12"/>
      <c r="L252" s="12"/>
      <c r="M252" s="8"/>
    </row>
    <row r="253" spans="1:13" ht="25" customHeight="1">
      <c r="A253" s="12"/>
      <c r="B253" s="8"/>
      <c r="C253" s="8"/>
      <c r="D253" s="8"/>
      <c r="E253" s="8"/>
      <c r="F253" s="8"/>
      <c r="G253" s="8"/>
      <c r="H253" s="8"/>
      <c r="I253" s="11"/>
      <c r="J253" s="12"/>
      <c r="K253" s="12"/>
      <c r="L253" s="12"/>
      <c r="M253" s="8"/>
    </row>
    <row r="254" spans="1:13" ht="25" customHeight="1">
      <c r="A254" s="12"/>
      <c r="B254" s="8"/>
      <c r="C254" s="8"/>
      <c r="D254" s="8"/>
      <c r="E254" s="8"/>
      <c r="F254" s="8"/>
      <c r="G254" s="8"/>
      <c r="H254" s="8"/>
      <c r="I254" s="11"/>
      <c r="J254" s="12"/>
      <c r="K254" s="12"/>
      <c r="L254" s="12"/>
      <c r="M254" s="8"/>
    </row>
    <row r="255" spans="1:13" ht="25" customHeight="1">
      <c r="A255" s="12"/>
      <c r="B255" s="8"/>
      <c r="C255" s="8"/>
      <c r="D255" s="8"/>
      <c r="E255" s="8"/>
      <c r="F255" s="8"/>
      <c r="G255" s="8"/>
      <c r="H255" s="8"/>
      <c r="I255" s="11"/>
      <c r="J255" s="12"/>
      <c r="K255" s="12"/>
      <c r="L255" s="12"/>
      <c r="M255" s="8"/>
    </row>
    <row r="256" spans="1:13" ht="25" customHeight="1">
      <c r="A256" s="12"/>
      <c r="B256" s="8"/>
      <c r="C256" s="8"/>
      <c r="D256" s="8"/>
      <c r="E256" s="8"/>
      <c r="F256" s="8"/>
      <c r="G256" s="8"/>
      <c r="H256" s="8"/>
      <c r="I256" s="11"/>
      <c r="J256" s="12"/>
      <c r="K256" s="12"/>
      <c r="L256" s="12"/>
      <c r="M256" s="8"/>
    </row>
    <row r="257" spans="1:13" ht="25" customHeight="1">
      <c r="A257" s="12"/>
      <c r="B257" s="8"/>
      <c r="C257" s="8"/>
      <c r="D257" s="8"/>
      <c r="E257" s="8"/>
      <c r="F257" s="8"/>
      <c r="G257" s="8"/>
      <c r="H257" s="8"/>
      <c r="I257" s="11"/>
      <c r="J257" s="12"/>
      <c r="K257" s="12"/>
      <c r="L257" s="12"/>
      <c r="M257" s="8"/>
    </row>
    <row r="258" spans="1:13" ht="25" customHeight="1">
      <c r="A258" s="12"/>
      <c r="B258" s="8"/>
      <c r="C258" s="8"/>
      <c r="D258" s="8"/>
      <c r="E258" s="8"/>
      <c r="F258" s="8"/>
      <c r="G258" s="8"/>
      <c r="H258" s="8"/>
      <c r="I258" s="11"/>
      <c r="J258" s="12"/>
      <c r="K258" s="12"/>
      <c r="L258" s="12"/>
      <c r="M258" s="8"/>
    </row>
    <row r="259" spans="1:13" ht="25" customHeight="1">
      <c r="A259" s="12"/>
      <c r="B259" s="8"/>
      <c r="C259" s="8"/>
      <c r="D259" s="8"/>
      <c r="E259" s="8"/>
      <c r="F259" s="8"/>
      <c r="G259" s="8"/>
      <c r="H259" s="8"/>
      <c r="I259" s="11"/>
      <c r="J259" s="12"/>
      <c r="K259" s="12"/>
      <c r="L259" s="12"/>
      <c r="M259" s="8"/>
    </row>
    <row r="260" spans="1:13" ht="25" customHeight="1">
      <c r="A260" s="12"/>
      <c r="B260" s="8"/>
      <c r="C260" s="8"/>
      <c r="D260" s="8"/>
      <c r="E260" s="8"/>
      <c r="F260" s="8"/>
      <c r="G260" s="8"/>
      <c r="H260" s="8"/>
      <c r="I260" s="11"/>
      <c r="J260" s="12"/>
      <c r="K260" s="12"/>
      <c r="L260" s="12"/>
      <c r="M260" s="8"/>
    </row>
    <row r="261" spans="1:13" ht="25" customHeight="1">
      <c r="A261" s="12"/>
      <c r="B261" s="8"/>
      <c r="C261" s="8"/>
      <c r="D261" s="8"/>
      <c r="E261" s="8"/>
      <c r="F261" s="8"/>
      <c r="G261" s="8"/>
      <c r="H261" s="8"/>
      <c r="I261" s="11"/>
      <c r="J261" s="12"/>
      <c r="K261" s="12"/>
      <c r="L261" s="12"/>
      <c r="M261" s="8"/>
    </row>
    <row r="262" spans="1:13" ht="25" customHeight="1">
      <c r="A262" s="12"/>
      <c r="B262" s="8"/>
      <c r="C262" s="8"/>
      <c r="D262" s="8"/>
      <c r="E262" s="8"/>
      <c r="F262" s="8"/>
      <c r="G262" s="8"/>
      <c r="H262" s="8"/>
      <c r="I262" s="11"/>
      <c r="J262" s="12"/>
      <c r="K262" s="12"/>
      <c r="L262" s="12"/>
      <c r="M262" s="8"/>
    </row>
    <row r="263" spans="1:13" ht="25" customHeight="1">
      <c r="A263" s="12"/>
      <c r="B263" s="8"/>
      <c r="C263" s="8"/>
      <c r="D263" s="8"/>
      <c r="E263" s="8"/>
      <c r="F263" s="8"/>
      <c r="G263" s="8"/>
      <c r="H263" s="8"/>
      <c r="I263" s="11"/>
      <c r="J263" s="12"/>
      <c r="K263" s="12"/>
      <c r="L263" s="12"/>
      <c r="M263" s="8"/>
    </row>
    <row r="264" spans="1:13" ht="25" customHeight="1">
      <c r="A264" s="12"/>
      <c r="B264" s="8"/>
      <c r="C264" s="8"/>
      <c r="D264" s="8"/>
      <c r="E264" s="8"/>
      <c r="F264" s="8"/>
      <c r="G264" s="8"/>
      <c r="H264" s="8"/>
      <c r="I264" s="11"/>
      <c r="J264" s="12"/>
      <c r="K264" s="12"/>
      <c r="L264" s="12"/>
      <c r="M264" s="8"/>
    </row>
    <row r="265" spans="1:13" ht="25" customHeight="1">
      <c r="A265" s="12"/>
      <c r="B265" s="8"/>
      <c r="C265" s="8"/>
      <c r="D265" s="8"/>
      <c r="E265" s="8"/>
      <c r="F265" s="8"/>
      <c r="G265" s="8"/>
      <c r="H265" s="8"/>
      <c r="I265" s="11"/>
      <c r="J265" s="12"/>
      <c r="K265" s="12"/>
      <c r="L265" s="12"/>
      <c r="M265" s="8"/>
    </row>
    <row r="266" spans="1:13" ht="25" customHeight="1">
      <c r="A266" s="12"/>
      <c r="B266" s="8"/>
      <c r="C266" s="8"/>
      <c r="D266" s="8"/>
      <c r="E266" s="8"/>
      <c r="F266" s="8"/>
      <c r="G266" s="8"/>
      <c r="H266" s="8"/>
      <c r="I266" s="11"/>
      <c r="J266" s="12"/>
      <c r="K266" s="12"/>
      <c r="L266" s="12"/>
      <c r="M266" s="8"/>
    </row>
    <row r="267" spans="1:13" ht="25" customHeight="1">
      <c r="A267" s="12"/>
      <c r="B267" s="8"/>
      <c r="C267" s="8"/>
      <c r="D267" s="8"/>
      <c r="E267" s="8"/>
      <c r="F267" s="8"/>
      <c r="G267" s="8"/>
      <c r="H267" s="8"/>
      <c r="I267" s="11"/>
      <c r="J267" s="12"/>
      <c r="K267" s="12"/>
      <c r="L267" s="12"/>
      <c r="M267" s="8"/>
    </row>
    <row r="268" spans="1:13" ht="25" customHeight="1">
      <c r="A268" s="12"/>
      <c r="B268" s="8"/>
      <c r="C268" s="8"/>
      <c r="D268" s="8"/>
      <c r="E268" s="8"/>
      <c r="F268" s="8"/>
      <c r="G268" s="8"/>
      <c r="H268" s="8"/>
      <c r="I268" s="11"/>
      <c r="J268" s="12"/>
      <c r="K268" s="12"/>
      <c r="L268" s="12"/>
      <c r="M268" s="8"/>
    </row>
    <row r="269" spans="1:13" ht="25" customHeight="1">
      <c r="A269" s="12"/>
      <c r="B269" s="8"/>
      <c r="C269" s="8"/>
      <c r="D269" s="8"/>
      <c r="E269" s="8"/>
      <c r="F269" s="8"/>
      <c r="G269" s="8"/>
      <c r="H269" s="8"/>
      <c r="I269" s="11"/>
      <c r="J269" s="12"/>
      <c r="K269" s="12"/>
      <c r="L269" s="12"/>
      <c r="M269" s="8"/>
    </row>
    <row r="270" spans="1:13" ht="25" customHeight="1">
      <c r="A270" s="12"/>
      <c r="B270" s="8"/>
      <c r="C270" s="8"/>
      <c r="D270" s="8"/>
      <c r="E270" s="8"/>
      <c r="F270" s="8"/>
      <c r="G270" s="8"/>
      <c r="H270" s="8"/>
      <c r="I270" s="11"/>
      <c r="J270" s="12"/>
      <c r="K270" s="12"/>
      <c r="L270" s="12"/>
      <c r="M270" s="8"/>
    </row>
    <row r="271" spans="1:13" ht="25" customHeight="1">
      <c r="A271" s="12"/>
      <c r="B271" s="8"/>
      <c r="C271" s="8"/>
      <c r="D271" s="8"/>
      <c r="E271" s="8"/>
      <c r="F271" s="8"/>
      <c r="G271" s="8"/>
      <c r="H271" s="8"/>
      <c r="I271" s="11"/>
      <c r="J271" s="12"/>
      <c r="K271" s="12"/>
      <c r="L271" s="12"/>
      <c r="M271" s="8"/>
    </row>
    <row r="272" spans="1:13" ht="25" customHeight="1">
      <c r="A272" s="12"/>
      <c r="B272" s="8"/>
      <c r="C272" s="8"/>
      <c r="D272" s="8"/>
      <c r="E272" s="8"/>
      <c r="F272" s="8"/>
      <c r="G272" s="8"/>
      <c r="H272" s="8"/>
      <c r="I272" s="11"/>
      <c r="J272" s="12"/>
      <c r="K272" s="12"/>
      <c r="L272" s="12"/>
      <c r="M272" s="8"/>
    </row>
    <row r="273" spans="1:13" ht="25" customHeight="1">
      <c r="A273" s="12"/>
      <c r="B273" s="8"/>
      <c r="C273" s="8"/>
      <c r="D273" s="8"/>
      <c r="E273" s="8"/>
      <c r="F273" s="8"/>
      <c r="G273" s="8"/>
      <c r="H273" s="8"/>
      <c r="I273" s="11"/>
      <c r="J273" s="12"/>
      <c r="K273" s="12"/>
      <c r="L273" s="12"/>
      <c r="M273" s="8"/>
    </row>
    <row r="274" spans="1:13" ht="25" customHeight="1">
      <c r="A274" s="12"/>
      <c r="B274" s="8"/>
      <c r="C274" s="8"/>
      <c r="D274" s="8"/>
      <c r="E274" s="8"/>
      <c r="F274" s="8"/>
      <c r="G274" s="8"/>
      <c r="H274" s="8"/>
      <c r="I274" s="11"/>
      <c r="J274" s="12"/>
      <c r="K274" s="12"/>
      <c r="L274" s="12"/>
      <c r="M274" s="8"/>
    </row>
    <row r="275" spans="1:13" ht="25" customHeight="1">
      <c r="A275" s="12"/>
      <c r="B275" s="8"/>
      <c r="C275" s="8"/>
      <c r="D275" s="8"/>
      <c r="E275" s="8"/>
      <c r="F275" s="8"/>
      <c r="G275" s="8"/>
      <c r="H275" s="8"/>
      <c r="I275" s="11"/>
      <c r="J275" s="12"/>
      <c r="K275" s="12"/>
      <c r="L275" s="12"/>
      <c r="M275" s="8"/>
    </row>
    <row r="276" spans="1:13" ht="25" customHeight="1">
      <c r="A276" s="12"/>
      <c r="B276" s="8"/>
      <c r="C276" s="8"/>
      <c r="D276" s="8"/>
      <c r="E276" s="8"/>
      <c r="F276" s="8"/>
      <c r="G276" s="8"/>
      <c r="H276" s="8"/>
      <c r="I276" s="11"/>
      <c r="J276" s="12"/>
      <c r="K276" s="12"/>
      <c r="L276" s="12"/>
      <c r="M276" s="8"/>
    </row>
    <row r="277" spans="1:13" ht="25" customHeight="1">
      <c r="A277" s="12"/>
      <c r="B277" s="8"/>
      <c r="C277" s="8"/>
      <c r="D277" s="8"/>
      <c r="E277" s="8"/>
      <c r="F277" s="8"/>
      <c r="G277" s="8"/>
      <c r="H277" s="8"/>
      <c r="I277" s="11"/>
      <c r="J277" s="12"/>
      <c r="K277" s="12"/>
      <c r="L277" s="12"/>
      <c r="M277" s="8"/>
    </row>
    <row r="278" spans="1:13" ht="25" customHeight="1">
      <c r="A278" s="12"/>
      <c r="B278" s="8"/>
      <c r="C278" s="8"/>
      <c r="D278" s="8"/>
      <c r="E278" s="8"/>
      <c r="F278" s="8"/>
      <c r="G278" s="8"/>
      <c r="H278" s="8"/>
      <c r="I278" s="11"/>
      <c r="J278" s="12"/>
      <c r="K278" s="12"/>
      <c r="L278" s="12"/>
      <c r="M278" s="8"/>
    </row>
    <row r="279" spans="1:13" ht="25" customHeight="1">
      <c r="A279" s="12"/>
      <c r="B279" s="8"/>
      <c r="C279" s="8"/>
      <c r="D279" s="8"/>
      <c r="E279" s="8"/>
      <c r="F279" s="8"/>
      <c r="G279" s="8"/>
      <c r="H279" s="8"/>
      <c r="I279" s="11"/>
      <c r="J279" s="12"/>
      <c r="K279" s="12"/>
      <c r="L279" s="12"/>
      <c r="M279" s="8"/>
    </row>
    <row r="280" spans="1:13" ht="25" customHeight="1">
      <c r="A280" s="12"/>
      <c r="B280" s="8"/>
      <c r="C280" s="8"/>
      <c r="D280" s="8"/>
      <c r="E280" s="8"/>
      <c r="F280" s="8"/>
      <c r="G280" s="8"/>
      <c r="H280" s="8"/>
      <c r="I280" s="11"/>
      <c r="J280" s="12"/>
      <c r="K280" s="12"/>
      <c r="L280" s="12"/>
      <c r="M280" s="8"/>
    </row>
    <row r="281" spans="1:13" ht="25" customHeight="1">
      <c r="A281" s="12"/>
      <c r="B281" s="8"/>
      <c r="C281" s="8"/>
      <c r="D281" s="8"/>
      <c r="E281" s="8"/>
      <c r="F281" s="8"/>
      <c r="G281" s="8"/>
      <c r="H281" s="8"/>
      <c r="I281" s="11"/>
      <c r="J281" s="12"/>
      <c r="K281" s="12"/>
      <c r="L281" s="12"/>
      <c r="M281" s="8"/>
    </row>
    <row r="282" spans="1:13" ht="25" customHeight="1">
      <c r="A282" s="12"/>
      <c r="B282" s="8"/>
      <c r="C282" s="8"/>
      <c r="D282" s="8"/>
      <c r="E282" s="8"/>
      <c r="F282" s="8"/>
      <c r="G282" s="8"/>
      <c r="H282" s="8"/>
      <c r="I282" s="11"/>
      <c r="J282" s="12"/>
      <c r="K282" s="12"/>
      <c r="L282" s="12"/>
      <c r="M282" s="8"/>
    </row>
    <row r="283" spans="1:13" ht="25" customHeight="1">
      <c r="A283" s="12"/>
      <c r="B283" s="8"/>
      <c r="C283" s="8"/>
      <c r="D283" s="8"/>
      <c r="E283" s="8"/>
      <c r="F283" s="8"/>
      <c r="G283" s="8"/>
      <c r="H283" s="8"/>
      <c r="I283" s="11"/>
      <c r="J283" s="12"/>
      <c r="K283" s="12"/>
      <c r="L283" s="12"/>
      <c r="M283" s="8"/>
    </row>
    <row r="284" spans="1:13" ht="25" customHeight="1">
      <c r="A284" s="12"/>
      <c r="B284" s="8"/>
      <c r="C284" s="8"/>
      <c r="D284" s="8"/>
      <c r="E284" s="8"/>
      <c r="F284" s="8"/>
      <c r="G284" s="8"/>
      <c r="H284" s="8"/>
      <c r="I284" s="11"/>
      <c r="J284" s="12"/>
      <c r="K284" s="12"/>
      <c r="L284" s="12"/>
      <c r="M284" s="8"/>
    </row>
    <row r="285" spans="1:13" ht="25" customHeight="1">
      <c r="A285" s="12"/>
      <c r="B285" s="8"/>
      <c r="C285" s="8"/>
      <c r="D285" s="8"/>
      <c r="E285" s="8"/>
      <c r="F285" s="8"/>
      <c r="G285" s="8"/>
      <c r="H285" s="8"/>
      <c r="I285" s="11"/>
      <c r="J285" s="12"/>
      <c r="K285" s="12"/>
      <c r="L285" s="12"/>
      <c r="M285" s="8"/>
    </row>
    <row r="286" spans="1:13" ht="25" customHeight="1">
      <c r="A286" s="12"/>
      <c r="B286" s="8"/>
      <c r="C286" s="8"/>
      <c r="D286" s="8"/>
      <c r="E286" s="8"/>
      <c r="F286" s="8"/>
      <c r="G286" s="8"/>
      <c r="H286" s="8"/>
      <c r="I286" s="11"/>
      <c r="J286" s="12"/>
      <c r="K286" s="12"/>
      <c r="L286" s="12"/>
      <c r="M286" s="8"/>
    </row>
    <row r="287" spans="1:13" ht="25" customHeight="1">
      <c r="A287" s="12"/>
      <c r="B287" s="8"/>
      <c r="C287" s="8"/>
      <c r="D287" s="8"/>
      <c r="E287" s="8"/>
      <c r="F287" s="8"/>
      <c r="G287" s="8"/>
      <c r="H287" s="8"/>
      <c r="I287" s="11"/>
      <c r="J287" s="12"/>
      <c r="K287" s="12"/>
      <c r="L287" s="12"/>
      <c r="M287" s="8"/>
    </row>
    <row r="288" spans="1:13" ht="25" customHeight="1">
      <c r="A288" s="12"/>
      <c r="B288" s="8"/>
      <c r="C288" s="8"/>
      <c r="D288" s="8"/>
      <c r="E288" s="8"/>
      <c r="F288" s="8"/>
      <c r="G288" s="8"/>
      <c r="H288" s="8"/>
      <c r="I288" s="11"/>
      <c r="J288" s="12"/>
      <c r="K288" s="12"/>
      <c r="L288" s="12"/>
      <c r="M288" s="8"/>
    </row>
    <row r="289" spans="1:13" ht="25" customHeight="1">
      <c r="A289" s="12"/>
      <c r="B289" s="8"/>
      <c r="C289" s="8"/>
      <c r="D289" s="8"/>
      <c r="E289" s="8"/>
      <c r="F289" s="8"/>
      <c r="G289" s="8"/>
      <c r="H289" s="8"/>
      <c r="I289" s="11"/>
      <c r="J289" s="12"/>
      <c r="K289" s="12"/>
      <c r="L289" s="12"/>
      <c r="M289" s="8"/>
    </row>
    <row r="290" spans="1:13" ht="25" customHeight="1">
      <c r="A290" s="12"/>
      <c r="B290" s="8"/>
      <c r="C290" s="8"/>
      <c r="D290" s="8"/>
      <c r="E290" s="8"/>
      <c r="F290" s="8"/>
      <c r="G290" s="8"/>
      <c r="H290" s="8"/>
      <c r="I290" s="11"/>
      <c r="J290" s="12"/>
      <c r="K290" s="12"/>
      <c r="L290" s="12"/>
      <c r="M290" s="8"/>
    </row>
    <row r="291" spans="1:13" ht="25" customHeight="1">
      <c r="A291" s="12"/>
      <c r="B291" s="8"/>
      <c r="C291" s="8"/>
      <c r="D291" s="8"/>
      <c r="E291" s="8"/>
      <c r="F291" s="8"/>
      <c r="G291" s="8"/>
      <c r="H291" s="8"/>
      <c r="I291" s="11"/>
      <c r="J291" s="12"/>
      <c r="K291" s="12"/>
      <c r="L291" s="12"/>
      <c r="M291" s="8"/>
    </row>
    <row r="292" spans="1:13" ht="25" customHeight="1">
      <c r="A292" s="12"/>
      <c r="B292" s="8"/>
      <c r="C292" s="8"/>
      <c r="D292" s="8"/>
      <c r="E292" s="8"/>
      <c r="F292" s="8"/>
      <c r="G292" s="8"/>
      <c r="H292" s="8"/>
      <c r="I292" s="11"/>
      <c r="J292" s="12"/>
      <c r="K292" s="12"/>
      <c r="L292" s="12"/>
      <c r="M292" s="8"/>
    </row>
    <row r="293" spans="1:13" ht="25" customHeight="1">
      <c r="A293" s="12"/>
      <c r="B293" s="8"/>
      <c r="C293" s="8"/>
      <c r="D293" s="8"/>
      <c r="E293" s="8"/>
      <c r="F293" s="8"/>
      <c r="G293" s="8"/>
      <c r="H293" s="8"/>
      <c r="I293" s="11"/>
      <c r="J293" s="12"/>
      <c r="K293" s="12"/>
      <c r="L293" s="12"/>
      <c r="M293" s="8"/>
    </row>
    <row r="294" spans="1:13" ht="25" customHeight="1">
      <c r="A294" s="12"/>
      <c r="B294" s="8"/>
      <c r="C294" s="8"/>
      <c r="D294" s="8"/>
      <c r="E294" s="8"/>
      <c r="F294" s="8"/>
      <c r="G294" s="8"/>
      <c r="H294" s="8"/>
      <c r="I294" s="11"/>
      <c r="J294" s="12"/>
      <c r="K294" s="12"/>
      <c r="L294" s="12"/>
      <c r="M294" s="8"/>
    </row>
    <row r="295" spans="1:13" ht="25" customHeight="1">
      <c r="A295" s="12"/>
      <c r="B295" s="8"/>
      <c r="C295" s="8"/>
      <c r="D295" s="8"/>
      <c r="E295" s="8"/>
      <c r="F295" s="8"/>
      <c r="G295" s="8"/>
      <c r="H295" s="8"/>
      <c r="I295" s="11"/>
      <c r="J295" s="12"/>
      <c r="K295" s="12"/>
      <c r="L295" s="12"/>
      <c r="M295" s="8"/>
    </row>
    <row r="296" spans="1:13" ht="25" customHeight="1">
      <c r="A296" s="12"/>
      <c r="B296" s="8"/>
      <c r="C296" s="8"/>
      <c r="D296" s="8"/>
      <c r="E296" s="8"/>
      <c r="F296" s="8"/>
      <c r="G296" s="8"/>
      <c r="H296" s="8"/>
      <c r="I296" s="11"/>
      <c r="J296" s="12"/>
      <c r="K296" s="12"/>
      <c r="L296" s="12"/>
      <c r="M296" s="8"/>
    </row>
    <row r="297" spans="1:13" ht="25" customHeight="1">
      <c r="A297" s="12"/>
      <c r="B297" s="8"/>
      <c r="C297" s="8"/>
      <c r="D297" s="8"/>
      <c r="E297" s="8"/>
      <c r="F297" s="8"/>
      <c r="G297" s="8"/>
      <c r="H297" s="8"/>
      <c r="I297" s="11"/>
      <c r="J297" s="12"/>
      <c r="K297" s="12"/>
      <c r="L297" s="12"/>
      <c r="M297" s="8"/>
    </row>
    <row r="298" spans="1:13" ht="25" customHeight="1">
      <c r="A298" s="12"/>
      <c r="B298" s="8"/>
      <c r="C298" s="8"/>
      <c r="D298" s="8"/>
      <c r="E298" s="8"/>
      <c r="F298" s="8"/>
      <c r="G298" s="8"/>
      <c r="H298" s="8"/>
      <c r="I298" s="11"/>
      <c r="J298" s="12"/>
      <c r="K298" s="12"/>
      <c r="L298" s="12"/>
      <c r="M298" s="8"/>
    </row>
    <row r="299" spans="1:13" ht="25" customHeight="1">
      <c r="A299" s="12"/>
      <c r="B299" s="8"/>
      <c r="C299" s="8"/>
      <c r="D299" s="8"/>
      <c r="E299" s="8"/>
      <c r="F299" s="8"/>
      <c r="G299" s="8"/>
      <c r="H299" s="8"/>
      <c r="I299" s="11"/>
      <c r="J299" s="12"/>
      <c r="K299" s="12"/>
      <c r="L299" s="12"/>
      <c r="M299" s="8"/>
    </row>
    <row r="300" spans="1:13" ht="25" customHeight="1">
      <c r="A300" s="12"/>
      <c r="B300" s="8"/>
      <c r="C300" s="8"/>
      <c r="D300" s="8"/>
      <c r="E300" s="8"/>
      <c r="F300" s="8"/>
      <c r="G300" s="8"/>
      <c r="H300" s="8"/>
      <c r="I300" s="11"/>
      <c r="J300" s="12"/>
      <c r="K300" s="12"/>
      <c r="L300" s="12"/>
      <c r="M300" s="8"/>
    </row>
    <row r="301" spans="1:13" ht="25" customHeight="1">
      <c r="A301" s="12"/>
      <c r="B301" s="8"/>
      <c r="C301" s="8"/>
      <c r="D301" s="8"/>
      <c r="E301" s="8"/>
      <c r="F301" s="8"/>
      <c r="G301" s="8"/>
      <c r="H301" s="8"/>
      <c r="I301" s="11"/>
      <c r="J301" s="12"/>
      <c r="K301" s="12"/>
      <c r="L301" s="12"/>
      <c r="M301" s="8"/>
    </row>
    <row r="302" spans="1:13" ht="25" customHeight="1">
      <c r="A302" s="12"/>
      <c r="B302" s="8"/>
      <c r="C302" s="8"/>
      <c r="D302" s="8"/>
      <c r="E302" s="8"/>
      <c r="F302" s="8"/>
      <c r="G302" s="8"/>
      <c r="H302" s="8"/>
      <c r="I302" s="11"/>
      <c r="J302" s="12"/>
      <c r="K302" s="12"/>
      <c r="L302" s="12"/>
      <c r="M302" s="8"/>
    </row>
    <row r="303" spans="1:13" ht="25" customHeight="1">
      <c r="A303" s="12"/>
      <c r="B303" s="8"/>
      <c r="C303" s="8"/>
      <c r="D303" s="8"/>
      <c r="E303" s="8"/>
      <c r="F303" s="8"/>
      <c r="G303" s="8"/>
      <c r="H303" s="8"/>
      <c r="I303" s="11"/>
      <c r="J303" s="12"/>
      <c r="K303" s="12"/>
      <c r="L303" s="12"/>
      <c r="M303" s="8"/>
    </row>
    <row r="304" spans="1:13" ht="25" customHeight="1">
      <c r="A304" s="12"/>
      <c r="B304" s="8"/>
      <c r="C304" s="8"/>
      <c r="D304" s="8"/>
      <c r="E304" s="8"/>
      <c r="F304" s="8"/>
      <c r="G304" s="8"/>
      <c r="H304" s="8"/>
      <c r="I304" s="11"/>
      <c r="J304" s="12"/>
      <c r="K304" s="12"/>
      <c r="L304" s="12"/>
      <c r="M304" s="8"/>
    </row>
    <row r="305" spans="1:13" ht="25" customHeight="1">
      <c r="A305" s="12"/>
      <c r="B305" s="8"/>
      <c r="C305" s="8"/>
      <c r="D305" s="8"/>
      <c r="E305" s="8"/>
      <c r="F305" s="8"/>
      <c r="G305" s="8"/>
      <c r="H305" s="8"/>
      <c r="I305" s="11"/>
      <c r="J305" s="12"/>
      <c r="K305" s="12"/>
      <c r="L305" s="12"/>
      <c r="M305" s="8"/>
    </row>
    <row r="306" spans="1:13" ht="25" customHeight="1">
      <c r="A306" s="12"/>
      <c r="B306" s="8"/>
      <c r="C306" s="8"/>
      <c r="D306" s="8"/>
      <c r="E306" s="8"/>
      <c r="F306" s="8"/>
      <c r="G306" s="8"/>
      <c r="H306" s="8"/>
      <c r="I306" s="11"/>
      <c r="J306" s="12"/>
      <c r="K306" s="12"/>
      <c r="L306" s="12"/>
      <c r="M306" s="8"/>
    </row>
    <row r="307" spans="1:13" ht="25" customHeight="1">
      <c r="A307" s="12"/>
      <c r="B307" s="8"/>
      <c r="C307" s="8"/>
      <c r="D307" s="8"/>
      <c r="E307" s="8"/>
      <c r="F307" s="8"/>
      <c r="G307" s="8"/>
      <c r="H307" s="8"/>
      <c r="I307" s="11"/>
      <c r="J307" s="12"/>
      <c r="K307" s="12"/>
      <c r="L307" s="12"/>
      <c r="M307" s="8"/>
    </row>
    <row r="308" spans="1:13" ht="25" customHeight="1">
      <c r="A308" s="12"/>
      <c r="B308" s="8"/>
      <c r="C308" s="8"/>
      <c r="D308" s="8"/>
      <c r="E308" s="8"/>
      <c r="F308" s="8"/>
      <c r="G308" s="8"/>
      <c r="H308" s="8"/>
      <c r="I308" s="11"/>
      <c r="J308" s="12"/>
      <c r="K308" s="12"/>
      <c r="L308" s="12"/>
      <c r="M308" s="8"/>
    </row>
    <row r="309" spans="1:13" ht="25" customHeight="1">
      <c r="A309" s="12"/>
      <c r="B309" s="8"/>
      <c r="C309" s="8"/>
      <c r="D309" s="8"/>
      <c r="E309" s="8"/>
      <c r="F309" s="8"/>
      <c r="G309" s="8"/>
      <c r="H309" s="8"/>
      <c r="I309" s="11"/>
      <c r="J309" s="12"/>
      <c r="K309" s="12"/>
      <c r="L309" s="12"/>
      <c r="M309" s="8"/>
    </row>
    <row r="310" spans="1:13" ht="25" customHeight="1">
      <c r="A310" s="12"/>
      <c r="B310" s="8"/>
      <c r="C310" s="8"/>
      <c r="D310" s="8"/>
      <c r="E310" s="8"/>
      <c r="F310" s="8"/>
      <c r="G310" s="8"/>
      <c r="H310" s="8"/>
      <c r="I310" s="11"/>
      <c r="J310" s="12"/>
      <c r="K310" s="12"/>
      <c r="L310" s="12"/>
      <c r="M310" s="8"/>
    </row>
    <row r="311" spans="1:13" ht="25" customHeight="1">
      <c r="A311" s="12"/>
      <c r="B311" s="8"/>
      <c r="C311" s="8"/>
      <c r="D311" s="8"/>
      <c r="E311" s="8"/>
      <c r="F311" s="8"/>
      <c r="G311" s="8"/>
      <c r="H311" s="8"/>
      <c r="I311" s="11"/>
      <c r="J311" s="12"/>
      <c r="K311" s="12"/>
      <c r="L311" s="12"/>
      <c r="M311" s="8"/>
    </row>
    <row r="312" spans="1:13" ht="25" customHeight="1">
      <c r="A312" s="12"/>
      <c r="B312" s="8"/>
      <c r="C312" s="8"/>
      <c r="D312" s="8"/>
      <c r="E312" s="8"/>
      <c r="F312" s="8"/>
      <c r="G312" s="8"/>
      <c r="H312" s="8"/>
      <c r="I312" s="11"/>
      <c r="J312" s="12"/>
      <c r="K312" s="12"/>
      <c r="L312" s="12"/>
      <c r="M312" s="8"/>
    </row>
    <row r="313" spans="1:13" ht="25" customHeight="1">
      <c r="A313" s="12"/>
      <c r="B313" s="8"/>
      <c r="C313" s="8"/>
      <c r="D313" s="8"/>
      <c r="E313" s="8"/>
      <c r="F313" s="8"/>
      <c r="G313" s="8"/>
      <c r="H313" s="8"/>
      <c r="I313" s="11"/>
      <c r="J313" s="12"/>
      <c r="K313" s="12"/>
      <c r="L313" s="12"/>
      <c r="M313" s="8"/>
    </row>
    <row r="314" spans="1:13" ht="25" customHeight="1">
      <c r="A314" s="12"/>
      <c r="B314" s="8"/>
      <c r="C314" s="8"/>
      <c r="D314" s="8"/>
      <c r="E314" s="8"/>
      <c r="F314" s="8"/>
      <c r="G314" s="8"/>
      <c r="H314" s="8"/>
      <c r="I314" s="11"/>
      <c r="J314" s="12"/>
      <c r="K314" s="12"/>
      <c r="L314" s="12"/>
      <c r="M314" s="8"/>
    </row>
    <row r="315" spans="1:13" ht="25" customHeight="1">
      <c r="A315" s="12"/>
      <c r="B315" s="8"/>
      <c r="C315" s="8"/>
      <c r="D315" s="8"/>
      <c r="E315" s="8"/>
      <c r="F315" s="8"/>
      <c r="G315" s="8"/>
      <c r="H315" s="8"/>
      <c r="I315" s="11"/>
      <c r="J315" s="12"/>
      <c r="K315" s="12"/>
      <c r="L315" s="12"/>
      <c r="M315" s="8"/>
    </row>
    <row r="316" spans="1:13" ht="25" customHeight="1">
      <c r="A316" s="12"/>
      <c r="B316" s="8"/>
      <c r="C316" s="8"/>
      <c r="D316" s="8"/>
      <c r="E316" s="8"/>
      <c r="F316" s="8"/>
      <c r="G316" s="8"/>
      <c r="H316" s="8"/>
      <c r="I316" s="11"/>
      <c r="J316" s="12"/>
      <c r="K316" s="12"/>
      <c r="L316" s="12"/>
      <c r="M316" s="8"/>
    </row>
    <row r="317" spans="1:13" ht="25" customHeight="1">
      <c r="A317" s="12"/>
      <c r="B317" s="8"/>
      <c r="C317" s="8"/>
      <c r="D317" s="8"/>
      <c r="E317" s="8"/>
      <c r="F317" s="8"/>
      <c r="G317" s="8"/>
      <c r="H317" s="8"/>
      <c r="I317" s="11"/>
      <c r="J317" s="12"/>
      <c r="K317" s="12"/>
      <c r="L317" s="12"/>
      <c r="M317" s="8"/>
    </row>
    <row r="318" spans="1:13" ht="25" customHeight="1">
      <c r="A318" s="12"/>
      <c r="B318" s="8"/>
      <c r="C318" s="8"/>
      <c r="D318" s="8"/>
      <c r="E318" s="8"/>
      <c r="F318" s="8"/>
      <c r="G318" s="8"/>
      <c r="H318" s="8"/>
      <c r="I318" s="11"/>
      <c r="J318" s="12"/>
      <c r="K318" s="12"/>
      <c r="L318" s="12"/>
      <c r="M318" s="8"/>
    </row>
    <row r="319" spans="1:13" ht="25" customHeight="1">
      <c r="A319" s="12"/>
      <c r="B319" s="8"/>
      <c r="C319" s="8"/>
      <c r="D319" s="8"/>
      <c r="E319" s="8"/>
      <c r="F319" s="8"/>
      <c r="G319" s="8"/>
      <c r="H319" s="8"/>
      <c r="I319" s="11"/>
      <c r="J319" s="12"/>
      <c r="K319" s="12"/>
      <c r="L319" s="12"/>
      <c r="M319" s="8"/>
    </row>
    <row r="320" spans="1:13" ht="25" customHeight="1">
      <c r="A320" s="12"/>
      <c r="B320" s="8"/>
      <c r="C320" s="8"/>
      <c r="D320" s="8"/>
      <c r="E320" s="8"/>
      <c r="F320" s="8"/>
      <c r="G320" s="8"/>
      <c r="H320" s="8"/>
      <c r="I320" s="11"/>
      <c r="J320" s="12"/>
      <c r="K320" s="12"/>
      <c r="L320" s="12"/>
      <c r="M320" s="8"/>
    </row>
    <row r="321" spans="1:13" ht="25" customHeight="1">
      <c r="A321" s="12"/>
      <c r="B321" s="8"/>
      <c r="C321" s="8"/>
      <c r="D321" s="8"/>
      <c r="E321" s="8"/>
      <c r="F321" s="8"/>
      <c r="G321" s="8"/>
      <c r="H321" s="8"/>
      <c r="I321" s="11"/>
      <c r="J321" s="12"/>
      <c r="K321" s="12"/>
      <c r="L321" s="12"/>
      <c r="M321" s="8"/>
    </row>
    <row r="322" spans="1:13" ht="25" customHeight="1">
      <c r="A322" s="12"/>
      <c r="B322" s="8"/>
      <c r="C322" s="8"/>
      <c r="D322" s="8"/>
      <c r="E322" s="8"/>
      <c r="F322" s="8"/>
      <c r="G322" s="8"/>
      <c r="H322" s="8"/>
      <c r="I322" s="11"/>
      <c r="J322" s="12"/>
      <c r="K322" s="12"/>
      <c r="L322" s="12"/>
      <c r="M322" s="8"/>
    </row>
    <row r="323" spans="1:13" ht="25" customHeight="1">
      <c r="A323" s="12"/>
      <c r="B323" s="8"/>
      <c r="C323" s="8"/>
      <c r="D323" s="8"/>
      <c r="E323" s="8"/>
      <c r="F323" s="8"/>
      <c r="G323" s="8"/>
      <c r="H323" s="8"/>
      <c r="I323" s="11"/>
      <c r="J323" s="12"/>
      <c r="K323" s="12"/>
      <c r="L323" s="12"/>
      <c r="M323" s="8"/>
    </row>
    <row r="324" spans="1:13" ht="25" customHeight="1">
      <c r="A324" s="12"/>
      <c r="B324" s="8"/>
      <c r="C324" s="8"/>
      <c r="D324" s="8"/>
      <c r="E324" s="8"/>
      <c r="F324" s="8"/>
      <c r="G324" s="8"/>
      <c r="H324" s="8"/>
      <c r="I324" s="11"/>
      <c r="J324" s="12"/>
      <c r="K324" s="12"/>
      <c r="L324" s="12"/>
      <c r="M324" s="8"/>
    </row>
    <row r="325" spans="1:13" ht="25" customHeight="1">
      <c r="A325" s="12"/>
      <c r="B325" s="8"/>
      <c r="C325" s="8"/>
      <c r="D325" s="8"/>
      <c r="E325" s="8"/>
      <c r="F325" s="8"/>
      <c r="G325" s="8"/>
      <c r="H325" s="8"/>
      <c r="I325" s="11"/>
      <c r="J325" s="12"/>
      <c r="K325" s="12"/>
      <c r="L325" s="12"/>
      <c r="M325" s="8"/>
    </row>
    <row r="326" spans="1:13" ht="25" customHeight="1">
      <c r="A326" s="12"/>
      <c r="B326" s="8"/>
      <c r="C326" s="8"/>
      <c r="D326" s="8"/>
      <c r="E326" s="8"/>
      <c r="F326" s="8"/>
      <c r="G326" s="8"/>
      <c r="H326" s="8"/>
      <c r="I326" s="11"/>
      <c r="J326" s="12"/>
      <c r="K326" s="12"/>
      <c r="L326" s="12"/>
      <c r="M326" s="8"/>
    </row>
    <row r="327" spans="1:13" ht="25" customHeight="1">
      <c r="A327" s="12"/>
      <c r="B327" s="8"/>
      <c r="C327" s="8"/>
      <c r="D327" s="8"/>
      <c r="E327" s="8"/>
      <c r="F327" s="8"/>
      <c r="G327" s="8"/>
      <c r="H327" s="8"/>
      <c r="I327" s="11"/>
      <c r="J327" s="12"/>
      <c r="K327" s="12"/>
      <c r="L327" s="12"/>
      <c r="M327" s="8"/>
    </row>
    <row r="328" spans="1:13" ht="25" customHeight="1">
      <c r="A328" s="12"/>
      <c r="B328" s="8"/>
      <c r="C328" s="8"/>
      <c r="D328" s="8"/>
      <c r="E328" s="8"/>
      <c r="F328" s="8"/>
      <c r="G328" s="8"/>
      <c r="H328" s="8"/>
      <c r="I328" s="11"/>
      <c r="J328" s="12"/>
      <c r="K328" s="12"/>
      <c r="L328" s="12"/>
      <c r="M328" s="8"/>
    </row>
    <row r="329" spans="1:13" ht="25" customHeight="1">
      <c r="A329" s="12"/>
      <c r="B329" s="8"/>
      <c r="C329" s="8"/>
      <c r="D329" s="8"/>
      <c r="E329" s="8"/>
      <c r="F329" s="8"/>
      <c r="G329" s="8"/>
      <c r="H329" s="8"/>
      <c r="I329" s="11"/>
      <c r="J329" s="12"/>
      <c r="K329" s="12"/>
      <c r="L329" s="12"/>
      <c r="M329" s="8"/>
    </row>
    <row r="330" spans="1:13" ht="25" customHeight="1">
      <c r="A330" s="12"/>
      <c r="B330" s="8"/>
      <c r="C330" s="8"/>
      <c r="D330" s="8"/>
      <c r="E330" s="8"/>
      <c r="F330" s="8"/>
      <c r="G330" s="8"/>
      <c r="H330" s="8"/>
      <c r="I330" s="11"/>
      <c r="J330" s="12"/>
      <c r="K330" s="12"/>
      <c r="L330" s="12"/>
      <c r="M330" s="8"/>
    </row>
    <row r="331" spans="1:13" ht="25" customHeight="1">
      <c r="A331" s="12"/>
      <c r="B331" s="8"/>
      <c r="C331" s="8"/>
      <c r="D331" s="8"/>
      <c r="E331" s="8"/>
      <c r="F331" s="8"/>
      <c r="G331" s="8"/>
      <c r="H331" s="8"/>
      <c r="I331" s="11"/>
      <c r="J331" s="12"/>
      <c r="K331" s="12"/>
      <c r="L331" s="12"/>
      <c r="M331" s="8"/>
    </row>
    <row r="332" spans="1:13" ht="25" customHeight="1">
      <c r="A332" s="12"/>
      <c r="B332" s="8"/>
      <c r="C332" s="8"/>
      <c r="D332" s="8"/>
      <c r="E332" s="8"/>
      <c r="F332" s="8"/>
      <c r="G332" s="8"/>
      <c r="H332" s="8"/>
      <c r="I332" s="11"/>
      <c r="J332" s="12"/>
      <c r="K332" s="12"/>
      <c r="L332" s="12"/>
      <c r="M332" s="8"/>
    </row>
    <row r="333" spans="1:13" ht="25" customHeight="1">
      <c r="A333" s="12"/>
      <c r="B333" s="8"/>
      <c r="C333" s="8"/>
      <c r="D333" s="8"/>
      <c r="E333" s="8"/>
      <c r="F333" s="8"/>
      <c r="G333" s="8"/>
      <c r="H333" s="8"/>
      <c r="I333" s="11"/>
      <c r="J333" s="12"/>
      <c r="K333" s="12"/>
      <c r="L333" s="12"/>
      <c r="M333" s="8"/>
    </row>
    <row r="334" spans="1:13" ht="25" customHeight="1">
      <c r="A334" s="12"/>
      <c r="B334" s="8"/>
      <c r="C334" s="8"/>
      <c r="D334" s="8"/>
      <c r="E334" s="8"/>
      <c r="F334" s="8"/>
      <c r="G334" s="8"/>
      <c r="H334" s="8"/>
      <c r="I334" s="11"/>
      <c r="J334" s="12"/>
      <c r="K334" s="12"/>
      <c r="L334" s="12"/>
      <c r="M334" s="8"/>
    </row>
    <row r="335" spans="1:13" ht="25" customHeight="1">
      <c r="A335" s="12"/>
      <c r="B335" s="8"/>
      <c r="C335" s="8"/>
      <c r="D335" s="8"/>
      <c r="E335" s="8"/>
      <c r="F335" s="8"/>
      <c r="G335" s="8"/>
      <c r="H335" s="8"/>
      <c r="I335" s="11"/>
      <c r="J335" s="12"/>
      <c r="K335" s="12"/>
      <c r="L335" s="12"/>
      <c r="M335" s="8"/>
    </row>
    <row r="336" spans="1:13" ht="25" customHeight="1">
      <c r="A336" s="12"/>
      <c r="B336" s="8"/>
      <c r="C336" s="8"/>
      <c r="D336" s="8"/>
      <c r="E336" s="8"/>
      <c r="F336" s="8"/>
      <c r="G336" s="8"/>
      <c r="H336" s="8"/>
      <c r="I336" s="11"/>
      <c r="J336" s="12"/>
      <c r="K336" s="12"/>
      <c r="L336" s="12"/>
      <c r="M336" s="8"/>
    </row>
    <row r="337" spans="1:13" ht="25" customHeight="1">
      <c r="A337" s="12"/>
      <c r="B337" s="8"/>
      <c r="C337" s="8"/>
      <c r="D337" s="8"/>
      <c r="E337" s="8"/>
      <c r="F337" s="8"/>
      <c r="G337" s="8"/>
      <c r="H337" s="8"/>
      <c r="I337" s="11"/>
      <c r="J337" s="12"/>
      <c r="K337" s="12"/>
      <c r="L337" s="12"/>
      <c r="M337" s="8"/>
    </row>
    <row r="338" spans="1:13" ht="25" customHeight="1">
      <c r="A338" s="12"/>
      <c r="B338" s="8"/>
      <c r="C338" s="8"/>
      <c r="D338" s="8"/>
      <c r="E338" s="8"/>
      <c r="F338" s="8"/>
      <c r="G338" s="8"/>
      <c r="H338" s="8"/>
      <c r="I338" s="11"/>
      <c r="J338" s="12"/>
      <c r="K338" s="12"/>
      <c r="L338" s="12"/>
      <c r="M338" s="8"/>
    </row>
    <row r="339" spans="1:13" ht="25" customHeight="1">
      <c r="A339" s="12"/>
      <c r="B339" s="8"/>
      <c r="C339" s="8"/>
      <c r="D339" s="8"/>
      <c r="E339" s="8"/>
      <c r="F339" s="8"/>
      <c r="G339" s="8"/>
      <c r="H339" s="8"/>
      <c r="I339" s="11"/>
      <c r="J339" s="12"/>
      <c r="K339" s="12"/>
      <c r="L339" s="12"/>
      <c r="M339" s="8"/>
    </row>
    <row r="340" spans="1:13" ht="25" customHeight="1">
      <c r="A340" s="12"/>
      <c r="B340" s="8"/>
      <c r="C340" s="8"/>
      <c r="D340" s="8"/>
      <c r="E340" s="8"/>
      <c r="F340" s="8"/>
      <c r="G340" s="8"/>
      <c r="H340" s="8"/>
      <c r="I340" s="11"/>
      <c r="J340" s="12"/>
      <c r="K340" s="12"/>
      <c r="L340" s="12"/>
      <c r="M340" s="8"/>
    </row>
    <row r="341" spans="1:13" ht="25" customHeight="1">
      <c r="A341" s="12"/>
      <c r="B341" s="8"/>
      <c r="C341" s="8"/>
      <c r="D341" s="8"/>
      <c r="E341" s="8"/>
      <c r="F341" s="8"/>
      <c r="G341" s="8"/>
      <c r="H341" s="8"/>
      <c r="I341" s="11"/>
      <c r="J341" s="12"/>
      <c r="K341" s="12"/>
      <c r="L341" s="12"/>
      <c r="M341" s="8"/>
    </row>
    <row r="342" spans="1:13" ht="25" customHeight="1">
      <c r="A342" s="12"/>
      <c r="B342" s="8"/>
      <c r="C342" s="8"/>
      <c r="D342" s="8"/>
      <c r="E342" s="8"/>
      <c r="F342" s="8"/>
      <c r="G342" s="8"/>
      <c r="H342" s="8"/>
      <c r="I342" s="11"/>
      <c r="J342" s="12"/>
      <c r="K342" s="12"/>
      <c r="L342" s="12"/>
      <c r="M342" s="8"/>
    </row>
    <row r="343" spans="1:13" ht="25" customHeight="1">
      <c r="A343" s="12"/>
      <c r="B343" s="8"/>
      <c r="C343" s="8"/>
      <c r="D343" s="8"/>
      <c r="E343" s="8"/>
      <c r="F343" s="8"/>
      <c r="G343" s="8"/>
      <c r="H343" s="8"/>
      <c r="I343" s="11"/>
      <c r="J343" s="12"/>
      <c r="K343" s="12"/>
      <c r="L343" s="12"/>
      <c r="M343" s="8"/>
    </row>
    <row r="344" spans="1:13" ht="25" customHeight="1">
      <c r="A344" s="12"/>
      <c r="B344" s="8"/>
      <c r="C344" s="8"/>
      <c r="D344" s="8"/>
      <c r="E344" s="8"/>
      <c r="F344" s="8"/>
      <c r="G344" s="8"/>
      <c r="H344" s="8"/>
      <c r="I344" s="11"/>
      <c r="J344" s="12"/>
      <c r="K344" s="12"/>
      <c r="L344" s="12"/>
      <c r="M344" s="8"/>
    </row>
    <row r="345" spans="1:13" ht="25" customHeight="1">
      <c r="A345" s="12"/>
      <c r="B345" s="8"/>
      <c r="C345" s="8"/>
      <c r="D345" s="8"/>
      <c r="E345" s="8"/>
      <c r="F345" s="8"/>
      <c r="G345" s="8"/>
      <c r="H345" s="8"/>
      <c r="I345" s="11"/>
      <c r="J345" s="12"/>
      <c r="K345" s="12"/>
      <c r="L345" s="12"/>
      <c r="M345" s="8"/>
    </row>
    <row r="346" spans="1:13" ht="25" customHeight="1">
      <c r="A346" s="12"/>
      <c r="B346" s="8"/>
      <c r="C346" s="8"/>
      <c r="D346" s="8"/>
      <c r="E346" s="8"/>
      <c r="F346" s="8"/>
      <c r="G346" s="8"/>
      <c r="H346" s="8"/>
      <c r="I346" s="11"/>
      <c r="J346" s="12"/>
      <c r="K346" s="12"/>
      <c r="L346" s="12"/>
      <c r="M346" s="8"/>
    </row>
    <row r="347" spans="1:13" ht="25" customHeight="1">
      <c r="A347" s="12"/>
      <c r="B347" s="8"/>
      <c r="C347" s="8"/>
      <c r="D347" s="8"/>
      <c r="E347" s="8"/>
      <c r="F347" s="8"/>
      <c r="G347" s="8"/>
      <c r="H347" s="8"/>
      <c r="I347" s="11"/>
      <c r="J347" s="12"/>
      <c r="K347" s="12"/>
      <c r="L347" s="12"/>
      <c r="M347" s="8"/>
    </row>
    <row r="348" spans="1:13" ht="25" customHeight="1">
      <c r="A348" s="12"/>
      <c r="B348" s="8"/>
      <c r="C348" s="8"/>
      <c r="D348" s="8"/>
      <c r="E348" s="8"/>
      <c r="F348" s="8"/>
      <c r="G348" s="8"/>
      <c r="H348" s="8"/>
      <c r="I348" s="11"/>
      <c r="J348" s="12"/>
      <c r="K348" s="12"/>
      <c r="L348" s="12"/>
      <c r="M348" s="8"/>
    </row>
    <row r="349" spans="1:13" ht="25" customHeight="1">
      <c r="A349" s="12"/>
      <c r="B349" s="8"/>
      <c r="C349" s="8"/>
      <c r="D349" s="8"/>
      <c r="E349" s="8"/>
      <c r="F349" s="8"/>
      <c r="G349" s="8"/>
      <c r="H349" s="8"/>
      <c r="I349" s="11"/>
      <c r="J349" s="12"/>
      <c r="K349" s="12"/>
      <c r="L349" s="12"/>
      <c r="M349" s="8"/>
    </row>
    <row r="350" spans="1:13" ht="25" customHeight="1">
      <c r="A350" s="12"/>
      <c r="B350" s="8"/>
      <c r="C350" s="8"/>
      <c r="D350" s="8"/>
      <c r="E350" s="8"/>
      <c r="F350" s="8"/>
      <c r="G350" s="8"/>
      <c r="H350" s="8"/>
      <c r="I350" s="11"/>
      <c r="J350" s="12"/>
      <c r="K350" s="12"/>
      <c r="L350" s="12"/>
      <c r="M350" s="8"/>
    </row>
    <row r="351" spans="1:13" ht="25" customHeight="1">
      <c r="A351" s="12"/>
      <c r="B351" s="8"/>
      <c r="C351" s="8"/>
      <c r="D351" s="8"/>
      <c r="E351" s="8"/>
      <c r="F351" s="8"/>
      <c r="G351" s="8"/>
      <c r="H351" s="8"/>
      <c r="I351" s="11"/>
      <c r="J351" s="12"/>
      <c r="K351" s="12"/>
      <c r="L351" s="12"/>
      <c r="M351" s="8"/>
    </row>
    <row r="352" spans="1:13" ht="25" customHeight="1">
      <c r="A352" s="12"/>
      <c r="B352" s="8"/>
      <c r="C352" s="8"/>
      <c r="D352" s="8"/>
      <c r="E352" s="8"/>
      <c r="F352" s="8"/>
      <c r="G352" s="8"/>
      <c r="H352" s="8"/>
      <c r="I352" s="11"/>
      <c r="J352" s="12"/>
      <c r="K352" s="12"/>
      <c r="L352" s="12"/>
      <c r="M352" s="8"/>
    </row>
    <row r="353" spans="1:13" ht="25" customHeight="1">
      <c r="A353" s="12"/>
      <c r="B353" s="8"/>
      <c r="C353" s="8"/>
      <c r="D353" s="8"/>
      <c r="E353" s="8"/>
      <c r="F353" s="8"/>
      <c r="G353" s="8"/>
      <c r="H353" s="8"/>
      <c r="I353" s="11"/>
      <c r="J353" s="12"/>
      <c r="K353" s="12"/>
      <c r="L353" s="12"/>
      <c r="M353" s="8"/>
    </row>
    <row r="354" spans="1:13" ht="25" customHeight="1">
      <c r="A354" s="12"/>
      <c r="B354" s="8"/>
      <c r="C354" s="8"/>
      <c r="D354" s="8"/>
      <c r="E354" s="8"/>
      <c r="F354" s="8"/>
      <c r="G354" s="8"/>
      <c r="H354" s="8"/>
      <c r="I354" s="11"/>
      <c r="J354" s="12"/>
      <c r="K354" s="12"/>
      <c r="L354" s="12"/>
      <c r="M354" s="8"/>
    </row>
    <row r="355" spans="1:13" ht="25" customHeight="1">
      <c r="A355" s="12"/>
      <c r="B355" s="8"/>
      <c r="C355" s="8"/>
      <c r="D355" s="8"/>
      <c r="E355" s="8"/>
      <c r="F355" s="8"/>
      <c r="G355" s="8"/>
      <c r="H355" s="8"/>
      <c r="I355" s="11"/>
      <c r="J355" s="12"/>
      <c r="K355" s="12"/>
      <c r="L355" s="12"/>
      <c r="M355" s="8"/>
    </row>
    <row r="356" spans="1:13" ht="25" customHeight="1">
      <c r="A356" s="12"/>
      <c r="B356" s="8"/>
      <c r="C356" s="8"/>
      <c r="D356" s="8"/>
      <c r="E356" s="8"/>
      <c r="F356" s="8"/>
      <c r="G356" s="8"/>
      <c r="H356" s="8"/>
      <c r="I356" s="11"/>
      <c r="J356" s="12"/>
      <c r="K356" s="12"/>
      <c r="L356" s="12"/>
      <c r="M356" s="8"/>
    </row>
    <row r="357" spans="1:13" ht="25" customHeight="1">
      <c r="A357" s="12"/>
      <c r="B357" s="8"/>
      <c r="C357" s="8"/>
      <c r="D357" s="8"/>
      <c r="E357" s="8"/>
      <c r="F357" s="8"/>
      <c r="G357" s="8"/>
      <c r="H357" s="8"/>
      <c r="I357" s="11"/>
      <c r="J357" s="12"/>
      <c r="K357" s="12"/>
      <c r="L357" s="12"/>
      <c r="M357" s="8"/>
    </row>
    <row r="358" spans="1:13" ht="25" customHeight="1">
      <c r="A358" s="12"/>
      <c r="B358" s="8"/>
      <c r="C358" s="8"/>
      <c r="D358" s="8"/>
      <c r="E358" s="8"/>
      <c r="F358" s="8"/>
      <c r="G358" s="8"/>
      <c r="H358" s="8"/>
      <c r="I358" s="11"/>
      <c r="J358" s="12"/>
      <c r="K358" s="12"/>
      <c r="L358" s="12"/>
      <c r="M358" s="8"/>
    </row>
    <row r="359" spans="1:13" ht="25" customHeight="1">
      <c r="A359" s="12"/>
      <c r="B359" s="8"/>
      <c r="C359" s="8"/>
      <c r="D359" s="8"/>
      <c r="E359" s="8"/>
      <c r="F359" s="8"/>
      <c r="G359" s="8"/>
      <c r="H359" s="8"/>
      <c r="I359" s="11"/>
      <c r="J359" s="12"/>
      <c r="K359" s="12"/>
      <c r="L359" s="12"/>
      <c r="M359" s="8"/>
    </row>
    <row r="360" spans="1:13" ht="25" customHeight="1">
      <c r="A360" s="12"/>
      <c r="B360" s="8"/>
      <c r="C360" s="8"/>
      <c r="D360" s="8"/>
      <c r="E360" s="8"/>
      <c r="F360" s="8"/>
      <c r="G360" s="8"/>
      <c r="H360" s="8"/>
      <c r="I360" s="11"/>
      <c r="J360" s="12"/>
      <c r="K360" s="12"/>
      <c r="L360" s="12"/>
      <c r="M360" s="8"/>
    </row>
    <row r="361" spans="1:13" ht="25" customHeight="1">
      <c r="A361" s="12"/>
      <c r="B361" s="8"/>
      <c r="C361" s="8"/>
      <c r="D361" s="8"/>
      <c r="E361" s="8"/>
      <c r="F361" s="8"/>
      <c r="G361" s="8"/>
      <c r="H361" s="8"/>
      <c r="I361" s="11"/>
      <c r="J361" s="12"/>
      <c r="K361" s="12"/>
      <c r="L361" s="12"/>
      <c r="M361" s="8"/>
    </row>
    <row r="362" spans="1:13" ht="25" customHeight="1">
      <c r="A362" s="12"/>
      <c r="B362" s="8"/>
      <c r="C362" s="8"/>
      <c r="D362" s="8"/>
      <c r="E362" s="8"/>
      <c r="F362" s="8"/>
      <c r="G362" s="8"/>
      <c r="H362" s="8"/>
      <c r="I362" s="11"/>
      <c r="J362" s="12"/>
      <c r="K362" s="12"/>
      <c r="L362" s="12"/>
      <c r="M362" s="8"/>
    </row>
    <row r="363" spans="1:13" ht="25" customHeight="1">
      <c r="A363" s="12"/>
      <c r="B363" s="8"/>
      <c r="C363" s="8"/>
      <c r="D363" s="8"/>
      <c r="E363" s="8"/>
      <c r="F363" s="8"/>
      <c r="G363" s="8"/>
      <c r="H363" s="8"/>
      <c r="I363" s="11"/>
      <c r="J363" s="12"/>
      <c r="K363" s="12"/>
      <c r="L363" s="12"/>
      <c r="M363" s="8"/>
    </row>
    <row r="364" spans="1:13" ht="25" customHeight="1">
      <c r="A364" s="12"/>
      <c r="B364" s="8"/>
      <c r="C364" s="8"/>
      <c r="D364" s="8"/>
      <c r="E364" s="8"/>
      <c r="F364" s="8"/>
      <c r="G364" s="8"/>
      <c r="H364" s="8"/>
      <c r="I364" s="11"/>
      <c r="J364" s="12"/>
      <c r="K364" s="12"/>
      <c r="L364" s="12"/>
      <c r="M364" s="8"/>
    </row>
    <row r="365" spans="1:13" ht="25" customHeight="1">
      <c r="A365" s="12"/>
      <c r="B365" s="8"/>
      <c r="C365" s="8"/>
      <c r="D365" s="8"/>
      <c r="E365" s="8"/>
      <c r="F365" s="8"/>
      <c r="G365" s="8"/>
      <c r="H365" s="8"/>
      <c r="I365" s="11"/>
      <c r="J365" s="12"/>
      <c r="K365" s="12"/>
      <c r="L365" s="12"/>
      <c r="M365" s="8"/>
    </row>
    <row r="366" spans="1:13" ht="25" customHeight="1">
      <c r="A366" s="12"/>
      <c r="B366" s="8"/>
      <c r="C366" s="8"/>
      <c r="D366" s="8"/>
      <c r="E366" s="8"/>
      <c r="F366" s="8"/>
      <c r="G366" s="8"/>
      <c r="H366" s="8"/>
      <c r="I366" s="11"/>
      <c r="J366" s="12"/>
      <c r="K366" s="12"/>
      <c r="L366" s="12"/>
      <c r="M366" s="8"/>
    </row>
    <row r="367" spans="1:13" ht="25" customHeight="1">
      <c r="A367" s="12"/>
      <c r="B367" s="8"/>
      <c r="C367" s="8"/>
      <c r="D367" s="8"/>
      <c r="E367" s="8"/>
      <c r="F367" s="8"/>
      <c r="G367" s="8"/>
      <c r="H367" s="8"/>
      <c r="I367" s="11"/>
      <c r="J367" s="12"/>
      <c r="K367" s="12"/>
      <c r="L367" s="12"/>
      <c r="M367" s="8"/>
    </row>
    <row r="368" spans="1:13" ht="25" customHeight="1">
      <c r="A368" s="12"/>
      <c r="B368" s="8"/>
      <c r="C368" s="8"/>
      <c r="D368" s="8"/>
      <c r="E368" s="8"/>
      <c r="F368" s="8"/>
      <c r="G368" s="8"/>
      <c r="H368" s="8"/>
      <c r="I368" s="11"/>
      <c r="J368" s="12"/>
      <c r="K368" s="12"/>
      <c r="L368" s="12"/>
      <c r="M368" s="8"/>
    </row>
    <row r="369" spans="1:13" ht="25" customHeight="1">
      <c r="A369" s="12"/>
      <c r="B369" s="8"/>
      <c r="C369" s="8"/>
      <c r="D369" s="8"/>
      <c r="E369" s="8"/>
      <c r="F369" s="8"/>
      <c r="G369" s="8"/>
      <c r="H369" s="8"/>
      <c r="I369" s="11"/>
      <c r="J369" s="12"/>
      <c r="K369" s="12"/>
      <c r="L369" s="12"/>
      <c r="M369" s="8"/>
    </row>
    <row r="370" spans="1:13" ht="25" customHeight="1">
      <c r="A370" s="12"/>
      <c r="B370" s="8"/>
      <c r="C370" s="8"/>
      <c r="D370" s="8"/>
      <c r="E370" s="8"/>
      <c r="F370" s="8"/>
      <c r="G370" s="8"/>
      <c r="H370" s="8"/>
      <c r="I370" s="11"/>
      <c r="J370" s="12"/>
      <c r="K370" s="12"/>
      <c r="L370" s="12"/>
      <c r="M370" s="8"/>
    </row>
    <row r="371" spans="1:13" ht="25" customHeight="1">
      <c r="A371" s="12"/>
      <c r="B371" s="8"/>
      <c r="C371" s="8"/>
      <c r="D371" s="8"/>
      <c r="E371" s="8"/>
      <c r="F371" s="8"/>
      <c r="G371" s="8"/>
      <c r="H371" s="8"/>
      <c r="I371" s="11"/>
      <c r="J371" s="12"/>
      <c r="K371" s="12"/>
      <c r="L371" s="12"/>
      <c r="M371" s="8"/>
    </row>
    <row r="372" spans="1:13" ht="25" customHeight="1">
      <c r="A372" s="12"/>
      <c r="B372" s="8"/>
      <c r="C372" s="8"/>
      <c r="D372" s="8"/>
      <c r="E372" s="8"/>
      <c r="F372" s="8"/>
      <c r="G372" s="8"/>
      <c r="H372" s="8"/>
      <c r="I372" s="11"/>
      <c r="J372" s="12"/>
      <c r="K372" s="12"/>
      <c r="L372" s="12"/>
      <c r="M372" s="8"/>
    </row>
    <row r="373" spans="1:13" ht="25" customHeight="1">
      <c r="A373" s="12"/>
      <c r="B373" s="8"/>
      <c r="C373" s="8"/>
      <c r="D373" s="8"/>
      <c r="E373" s="8"/>
      <c r="F373" s="8"/>
      <c r="G373" s="8"/>
      <c r="H373" s="8"/>
      <c r="I373" s="11"/>
      <c r="J373" s="12"/>
      <c r="K373" s="12"/>
      <c r="L373" s="12"/>
      <c r="M373" s="8"/>
    </row>
    <row r="374" spans="1:13" ht="25" customHeight="1">
      <c r="A374" s="12"/>
      <c r="B374" s="8"/>
      <c r="C374" s="8"/>
      <c r="D374" s="8"/>
      <c r="E374" s="8"/>
      <c r="F374" s="8"/>
      <c r="G374" s="8"/>
      <c r="H374" s="8"/>
      <c r="I374" s="11"/>
      <c r="J374" s="12"/>
      <c r="K374" s="12"/>
      <c r="L374" s="12"/>
      <c r="M374" s="8"/>
    </row>
    <row r="375" spans="1:13" ht="25" customHeight="1">
      <c r="A375" s="12"/>
      <c r="B375" s="8"/>
      <c r="C375" s="8"/>
      <c r="D375" s="8"/>
      <c r="E375" s="8"/>
      <c r="F375" s="8"/>
      <c r="G375" s="8"/>
      <c r="H375" s="8"/>
      <c r="I375" s="11"/>
      <c r="J375" s="12"/>
      <c r="K375" s="12"/>
      <c r="L375" s="12"/>
      <c r="M375" s="8"/>
    </row>
    <row r="376" spans="1:13" ht="25" customHeight="1">
      <c r="A376" s="12"/>
      <c r="B376" s="8"/>
      <c r="C376" s="8"/>
      <c r="D376" s="8"/>
      <c r="E376" s="8"/>
      <c r="F376" s="8"/>
      <c r="G376" s="8"/>
      <c r="H376" s="8"/>
      <c r="I376" s="11"/>
      <c r="J376" s="12"/>
      <c r="K376" s="12"/>
      <c r="L376" s="12"/>
      <c r="M376" s="8"/>
    </row>
    <row r="377" spans="1:13" ht="25" customHeight="1">
      <c r="A377" s="12"/>
      <c r="B377" s="8"/>
      <c r="C377" s="8"/>
      <c r="D377" s="8"/>
      <c r="E377" s="8"/>
      <c r="F377" s="8"/>
      <c r="G377" s="8"/>
      <c r="H377" s="8"/>
      <c r="I377" s="11"/>
      <c r="J377" s="12"/>
      <c r="K377" s="12"/>
      <c r="L377" s="12"/>
      <c r="M377" s="8"/>
    </row>
    <row r="378" spans="1:13" ht="25" customHeight="1">
      <c r="A378" s="12"/>
      <c r="B378" s="8"/>
      <c r="C378" s="8"/>
      <c r="D378" s="8"/>
      <c r="E378" s="8"/>
      <c r="F378" s="8"/>
      <c r="G378" s="8"/>
      <c r="H378" s="8"/>
      <c r="I378" s="11"/>
      <c r="J378" s="12"/>
      <c r="K378" s="12"/>
      <c r="L378" s="12"/>
      <c r="M378" s="8"/>
    </row>
    <row r="379" spans="1:13" ht="25" customHeight="1">
      <c r="A379" s="12"/>
      <c r="B379" s="8"/>
      <c r="C379" s="8"/>
      <c r="D379" s="8"/>
      <c r="E379" s="8"/>
      <c r="F379" s="8"/>
      <c r="G379" s="8"/>
      <c r="H379" s="8"/>
      <c r="I379" s="11"/>
      <c r="J379" s="12"/>
      <c r="K379" s="12"/>
      <c r="L379" s="12"/>
      <c r="M379" s="8"/>
    </row>
    <row r="380" spans="1:13" ht="25" customHeight="1">
      <c r="A380" s="12"/>
      <c r="B380" s="8"/>
      <c r="C380" s="8"/>
      <c r="D380" s="8"/>
      <c r="E380" s="8"/>
      <c r="F380" s="8"/>
      <c r="G380" s="8"/>
      <c r="H380" s="8"/>
      <c r="I380" s="11"/>
      <c r="J380" s="12"/>
      <c r="K380" s="12"/>
      <c r="L380" s="12"/>
      <c r="M380" s="8"/>
    </row>
    <row r="381" spans="1:13" ht="25" customHeight="1">
      <c r="A381" s="12"/>
      <c r="B381" s="8"/>
      <c r="C381" s="8"/>
      <c r="D381" s="8"/>
      <c r="E381" s="8"/>
      <c r="F381" s="8"/>
      <c r="G381" s="8"/>
      <c r="H381" s="8"/>
      <c r="I381" s="11"/>
      <c r="J381" s="12"/>
      <c r="K381" s="12"/>
      <c r="L381" s="12"/>
      <c r="M381" s="8"/>
    </row>
    <row r="382" spans="1:13" ht="25" customHeight="1">
      <c r="A382" s="12"/>
      <c r="B382" s="8"/>
      <c r="C382" s="8"/>
      <c r="D382" s="8"/>
      <c r="E382" s="8"/>
      <c r="F382" s="8"/>
      <c r="G382" s="8"/>
      <c r="H382" s="8"/>
      <c r="I382" s="11"/>
      <c r="J382" s="12"/>
      <c r="K382" s="12"/>
      <c r="L382" s="12"/>
      <c r="M382" s="8"/>
    </row>
    <row r="383" spans="1:13" ht="25" customHeight="1">
      <c r="A383" s="12"/>
      <c r="B383" s="8"/>
      <c r="C383" s="8"/>
      <c r="D383" s="8"/>
      <c r="E383" s="8"/>
      <c r="F383" s="8"/>
      <c r="G383" s="8"/>
      <c r="H383" s="8"/>
      <c r="I383" s="11"/>
      <c r="J383" s="12"/>
      <c r="K383" s="12"/>
      <c r="L383" s="12"/>
      <c r="M383" s="8"/>
    </row>
    <row r="384" spans="1:13" ht="25" customHeight="1">
      <c r="A384" s="12"/>
      <c r="B384" s="8"/>
      <c r="C384" s="8"/>
      <c r="D384" s="8"/>
      <c r="E384" s="8"/>
      <c r="F384" s="8"/>
      <c r="G384" s="8"/>
      <c r="H384" s="8"/>
      <c r="I384" s="11"/>
      <c r="J384" s="12"/>
      <c r="K384" s="12"/>
      <c r="L384" s="12"/>
      <c r="M384" s="8"/>
    </row>
    <row r="385" spans="1:13" ht="25" customHeight="1">
      <c r="A385" s="12"/>
      <c r="B385" s="8"/>
      <c r="C385" s="8"/>
      <c r="D385" s="8"/>
      <c r="E385" s="8"/>
      <c r="F385" s="8"/>
      <c r="G385" s="8"/>
      <c r="H385" s="8"/>
      <c r="I385" s="11"/>
      <c r="J385" s="12"/>
      <c r="K385" s="12"/>
      <c r="L385" s="12"/>
      <c r="M385" s="8"/>
    </row>
    <row r="386" spans="1:13" ht="25" customHeight="1">
      <c r="A386" s="12"/>
      <c r="B386" s="8"/>
      <c r="C386" s="8"/>
      <c r="D386" s="8"/>
      <c r="E386" s="8"/>
      <c r="F386" s="8"/>
      <c r="G386" s="8"/>
      <c r="H386" s="8"/>
      <c r="I386" s="11"/>
      <c r="J386" s="12"/>
      <c r="K386" s="12"/>
      <c r="L386" s="12"/>
      <c r="M386" s="8"/>
    </row>
    <row r="387" spans="1:13" ht="25" customHeight="1">
      <c r="A387" s="12"/>
      <c r="B387" s="8"/>
      <c r="C387" s="8"/>
      <c r="D387" s="8"/>
      <c r="E387" s="8"/>
      <c r="F387" s="8"/>
      <c r="G387" s="8"/>
      <c r="H387" s="8"/>
      <c r="I387" s="11"/>
      <c r="J387" s="12"/>
      <c r="K387" s="12"/>
      <c r="L387" s="12"/>
      <c r="M387" s="8"/>
    </row>
    <row r="388" spans="1:13" ht="25" customHeight="1">
      <c r="A388" s="12"/>
      <c r="B388" s="8"/>
      <c r="C388" s="8"/>
      <c r="D388" s="8"/>
      <c r="E388" s="8"/>
      <c r="F388" s="8"/>
      <c r="G388" s="8"/>
      <c r="H388" s="8"/>
      <c r="I388" s="11"/>
      <c r="J388" s="12"/>
      <c r="K388" s="12"/>
      <c r="L388" s="12"/>
      <c r="M388" s="8"/>
    </row>
    <row r="389" spans="1:13" ht="25" customHeight="1">
      <c r="A389" s="12"/>
      <c r="B389" s="8"/>
      <c r="C389" s="8"/>
      <c r="D389" s="8"/>
      <c r="E389" s="8"/>
      <c r="F389" s="8"/>
      <c r="G389" s="8"/>
      <c r="H389" s="8"/>
      <c r="I389" s="11"/>
      <c r="J389" s="12"/>
      <c r="K389" s="12"/>
      <c r="L389" s="12"/>
      <c r="M389" s="8"/>
    </row>
    <row r="390" spans="1:13" ht="25" customHeight="1">
      <c r="A390" s="12"/>
      <c r="B390" s="8"/>
      <c r="C390" s="8"/>
      <c r="D390" s="8"/>
      <c r="E390" s="8"/>
      <c r="F390" s="8"/>
      <c r="G390" s="8"/>
      <c r="H390" s="8"/>
      <c r="I390" s="11"/>
      <c r="J390" s="12"/>
      <c r="K390" s="12"/>
      <c r="L390" s="12"/>
      <c r="M390" s="8"/>
    </row>
    <row r="391" spans="1:13" ht="25" customHeight="1">
      <c r="A391" s="12"/>
      <c r="B391" s="8"/>
      <c r="C391" s="8"/>
      <c r="D391" s="8"/>
      <c r="E391" s="8"/>
      <c r="F391" s="8"/>
      <c r="G391" s="8"/>
      <c r="H391" s="8"/>
      <c r="I391" s="11"/>
      <c r="J391" s="12"/>
      <c r="K391" s="12"/>
      <c r="L391" s="12"/>
      <c r="M391" s="8"/>
    </row>
    <row r="392" spans="1:13" ht="25" customHeight="1">
      <c r="A392" s="12"/>
      <c r="B392" s="8"/>
      <c r="C392" s="8"/>
      <c r="D392" s="8"/>
      <c r="E392" s="8"/>
      <c r="F392" s="8"/>
      <c r="G392" s="8"/>
      <c r="H392" s="8"/>
      <c r="I392" s="11"/>
      <c r="J392" s="12"/>
      <c r="K392" s="12"/>
      <c r="L392" s="12"/>
      <c r="M392" s="8"/>
    </row>
    <row r="393" spans="1:13" ht="25" customHeight="1">
      <c r="A393" s="12"/>
      <c r="B393" s="8"/>
      <c r="C393" s="8"/>
      <c r="D393" s="8"/>
      <c r="E393" s="8"/>
      <c r="F393" s="8"/>
      <c r="G393" s="8"/>
      <c r="H393" s="8"/>
      <c r="I393" s="11"/>
      <c r="J393" s="12"/>
      <c r="K393" s="12"/>
      <c r="L393" s="12"/>
      <c r="M393" s="8"/>
    </row>
    <row r="394" spans="1:13" ht="25" customHeight="1">
      <c r="A394" s="12"/>
      <c r="B394" s="8"/>
      <c r="C394" s="8"/>
      <c r="D394" s="8"/>
      <c r="E394" s="8"/>
      <c r="F394" s="8"/>
      <c r="G394" s="8"/>
      <c r="H394" s="8"/>
      <c r="I394" s="11"/>
      <c r="J394" s="12"/>
      <c r="K394" s="12"/>
      <c r="L394" s="12"/>
      <c r="M394" s="8"/>
    </row>
    <row r="395" spans="1:13" ht="25" customHeight="1">
      <c r="A395" s="12"/>
      <c r="B395" s="8"/>
      <c r="C395" s="8"/>
      <c r="D395" s="8"/>
      <c r="E395" s="8"/>
      <c r="F395" s="8"/>
      <c r="G395" s="8"/>
      <c r="H395" s="8"/>
      <c r="I395" s="11"/>
      <c r="J395" s="12"/>
      <c r="K395" s="12"/>
      <c r="L395" s="12"/>
      <c r="M395" s="8"/>
    </row>
    <row r="396" spans="1:13" ht="25" customHeight="1">
      <c r="A396" s="12"/>
      <c r="B396" s="8"/>
      <c r="C396" s="8"/>
      <c r="D396" s="8"/>
      <c r="E396" s="8"/>
      <c r="F396" s="8"/>
      <c r="G396" s="8"/>
      <c r="H396" s="8"/>
      <c r="I396" s="11"/>
      <c r="J396" s="12"/>
      <c r="K396" s="12"/>
      <c r="L396" s="12"/>
      <c r="M396" s="8"/>
    </row>
    <row r="397" spans="1:13" ht="25" customHeight="1">
      <c r="A397" s="12"/>
      <c r="B397" s="8"/>
      <c r="C397" s="8"/>
      <c r="D397" s="8"/>
      <c r="E397" s="8"/>
      <c r="F397" s="8"/>
      <c r="G397" s="8"/>
      <c r="H397" s="8"/>
      <c r="I397" s="11"/>
      <c r="J397" s="12"/>
      <c r="K397" s="12"/>
      <c r="L397" s="12"/>
      <c r="M397" s="8"/>
    </row>
    <row r="398" spans="1:13" ht="25" customHeight="1">
      <c r="A398" s="12"/>
      <c r="B398" s="8"/>
      <c r="C398" s="8"/>
      <c r="D398" s="8"/>
      <c r="E398" s="8"/>
      <c r="F398" s="8"/>
      <c r="G398" s="8"/>
      <c r="H398" s="8"/>
      <c r="I398" s="11"/>
      <c r="J398" s="12"/>
      <c r="K398" s="12"/>
      <c r="L398" s="12"/>
      <c r="M398" s="8"/>
    </row>
    <row r="399" spans="1:13" ht="25" customHeight="1">
      <c r="A399" s="12"/>
      <c r="B399" s="8"/>
      <c r="C399" s="8"/>
      <c r="D399" s="8"/>
      <c r="E399" s="8"/>
      <c r="F399" s="8"/>
      <c r="G399" s="8"/>
      <c r="H399" s="8"/>
      <c r="I399" s="11"/>
      <c r="J399" s="12"/>
      <c r="K399" s="12"/>
      <c r="L399" s="12"/>
      <c r="M399" s="8"/>
    </row>
    <row r="400" spans="1:13" ht="25" customHeight="1">
      <c r="A400" s="12"/>
      <c r="B400" s="8"/>
      <c r="C400" s="8"/>
      <c r="D400" s="8"/>
      <c r="E400" s="8"/>
      <c r="F400" s="8"/>
      <c r="G400" s="8"/>
      <c r="H400" s="8"/>
      <c r="I400" s="11"/>
      <c r="J400" s="12"/>
      <c r="K400" s="12"/>
      <c r="L400" s="12"/>
      <c r="M400" s="8"/>
    </row>
    <row r="401" spans="1:13" ht="25" customHeight="1">
      <c r="A401" s="12"/>
      <c r="B401" s="8"/>
      <c r="C401" s="8"/>
      <c r="D401" s="8"/>
      <c r="E401" s="8"/>
      <c r="F401" s="8"/>
      <c r="G401" s="8"/>
      <c r="H401" s="8"/>
      <c r="I401" s="11"/>
      <c r="J401" s="12"/>
      <c r="K401" s="12"/>
      <c r="L401" s="12"/>
      <c r="M401" s="8"/>
    </row>
    <row r="402" spans="1:13" ht="25" customHeight="1">
      <c r="A402" s="12"/>
      <c r="B402" s="8"/>
      <c r="C402" s="8"/>
      <c r="D402" s="8"/>
      <c r="E402" s="8"/>
      <c r="F402" s="8"/>
      <c r="G402" s="8"/>
      <c r="H402" s="8"/>
      <c r="I402" s="11"/>
      <c r="J402" s="12"/>
      <c r="K402" s="12"/>
      <c r="L402" s="12"/>
      <c r="M402" s="8"/>
    </row>
    <row r="403" spans="1:13" ht="25" customHeight="1">
      <c r="A403" s="12"/>
      <c r="B403" s="8"/>
      <c r="C403" s="8"/>
      <c r="D403" s="8"/>
      <c r="E403" s="8"/>
      <c r="F403" s="8"/>
      <c r="G403" s="8"/>
      <c r="H403" s="8"/>
      <c r="I403" s="11"/>
      <c r="J403" s="12"/>
      <c r="K403" s="12"/>
      <c r="L403" s="12"/>
      <c r="M403" s="8"/>
    </row>
    <row r="404" spans="1:13" ht="25" customHeight="1">
      <c r="A404" s="12"/>
      <c r="B404" s="8"/>
      <c r="C404" s="8"/>
      <c r="D404" s="8"/>
      <c r="E404" s="8"/>
      <c r="F404" s="8"/>
      <c r="G404" s="8"/>
      <c r="H404" s="8"/>
      <c r="I404" s="11"/>
      <c r="J404" s="12"/>
      <c r="K404" s="12"/>
      <c r="L404" s="12"/>
      <c r="M404" s="8"/>
    </row>
    <row r="405" spans="1:13" ht="25" customHeight="1">
      <c r="A405" s="12"/>
      <c r="B405" s="8"/>
      <c r="C405" s="8"/>
      <c r="D405" s="8"/>
      <c r="E405" s="8"/>
      <c r="F405" s="8"/>
      <c r="G405" s="8"/>
      <c r="H405" s="8"/>
      <c r="I405" s="11"/>
      <c r="J405" s="12"/>
      <c r="K405" s="12"/>
      <c r="L405" s="12"/>
      <c r="M405" s="8"/>
    </row>
    <row r="406" spans="1:13" ht="25" customHeight="1">
      <c r="A406" s="12"/>
      <c r="B406" s="8"/>
      <c r="C406" s="8"/>
      <c r="D406" s="8"/>
      <c r="E406" s="8"/>
      <c r="F406" s="8"/>
      <c r="G406" s="8"/>
      <c r="H406" s="8"/>
      <c r="I406" s="11"/>
      <c r="J406" s="12"/>
      <c r="K406" s="12"/>
      <c r="L406" s="12"/>
      <c r="M406" s="8"/>
    </row>
    <row r="407" spans="1:13" ht="25" customHeight="1">
      <c r="A407" s="12"/>
      <c r="B407" s="8"/>
      <c r="C407" s="8"/>
      <c r="D407" s="8"/>
      <c r="E407" s="8"/>
      <c r="F407" s="8"/>
      <c r="G407" s="8"/>
      <c r="H407" s="8"/>
      <c r="I407" s="11"/>
      <c r="J407" s="12"/>
      <c r="K407" s="12"/>
      <c r="L407" s="12"/>
      <c r="M407" s="8"/>
    </row>
    <row r="408" spans="1:13" ht="25" customHeight="1">
      <c r="A408" s="12"/>
      <c r="B408" s="8"/>
      <c r="C408" s="8"/>
      <c r="D408" s="8"/>
      <c r="E408" s="8"/>
      <c r="F408" s="8"/>
      <c r="G408" s="8"/>
      <c r="H408" s="8"/>
      <c r="I408" s="11"/>
      <c r="J408" s="12"/>
      <c r="K408" s="12"/>
      <c r="L408" s="12"/>
      <c r="M408" s="8"/>
    </row>
    <row r="409" spans="1:13" ht="25" customHeight="1">
      <c r="A409" s="12"/>
      <c r="B409" s="8"/>
      <c r="C409" s="8"/>
      <c r="D409" s="8"/>
      <c r="E409" s="8"/>
      <c r="F409" s="8"/>
      <c r="G409" s="8"/>
      <c r="H409" s="8"/>
      <c r="I409" s="11"/>
      <c r="J409" s="12"/>
      <c r="K409" s="12"/>
      <c r="L409" s="12"/>
      <c r="M409" s="8"/>
    </row>
    <row r="410" spans="1:13" ht="25" customHeight="1">
      <c r="A410" s="12"/>
      <c r="B410" s="8"/>
      <c r="C410" s="8"/>
      <c r="D410" s="8"/>
      <c r="E410" s="8"/>
      <c r="F410" s="8"/>
      <c r="G410" s="8"/>
      <c r="H410" s="8"/>
      <c r="I410" s="11"/>
      <c r="J410" s="12"/>
      <c r="K410" s="12"/>
      <c r="L410" s="12"/>
      <c r="M410" s="8"/>
    </row>
    <row r="411" spans="1:13" ht="25" customHeight="1">
      <c r="A411" s="12"/>
      <c r="B411" s="8"/>
      <c r="C411" s="8"/>
      <c r="D411" s="8"/>
      <c r="E411" s="8"/>
      <c r="F411" s="8"/>
      <c r="G411" s="8"/>
      <c r="H411" s="8"/>
      <c r="I411" s="11"/>
      <c r="J411" s="12"/>
      <c r="K411" s="12"/>
      <c r="L411" s="12"/>
      <c r="M411" s="8"/>
    </row>
    <row r="412" spans="1:13" ht="25" customHeight="1">
      <c r="A412" s="12"/>
      <c r="B412" s="8"/>
      <c r="C412" s="8"/>
      <c r="D412" s="8"/>
      <c r="E412" s="8"/>
      <c r="F412" s="8"/>
      <c r="G412" s="8"/>
      <c r="H412" s="8"/>
      <c r="I412" s="11"/>
      <c r="J412" s="12"/>
      <c r="K412" s="12"/>
      <c r="L412" s="12"/>
      <c r="M412" s="8"/>
    </row>
    <row r="413" spans="1:13" ht="25" customHeight="1">
      <c r="A413" s="12"/>
      <c r="B413" s="8"/>
      <c r="C413" s="8"/>
      <c r="D413" s="8"/>
      <c r="E413" s="8"/>
      <c r="F413" s="8"/>
      <c r="G413" s="8"/>
      <c r="H413" s="8"/>
      <c r="I413" s="11"/>
      <c r="J413" s="12"/>
      <c r="K413" s="12"/>
      <c r="L413" s="12"/>
      <c r="M413" s="8"/>
    </row>
    <row r="414" spans="1:13" ht="25" customHeight="1">
      <c r="A414" s="12"/>
      <c r="B414" s="8"/>
      <c r="C414" s="8"/>
      <c r="D414" s="8"/>
      <c r="E414" s="8"/>
      <c r="F414" s="8"/>
      <c r="G414" s="8"/>
      <c r="H414" s="8"/>
      <c r="I414" s="11"/>
      <c r="J414" s="12"/>
      <c r="K414" s="12"/>
      <c r="L414" s="12"/>
      <c r="M414" s="8"/>
    </row>
    <row r="415" spans="1:13" ht="25" customHeight="1">
      <c r="A415" s="12"/>
      <c r="B415" s="8"/>
      <c r="C415" s="8"/>
      <c r="D415" s="8"/>
      <c r="E415" s="8"/>
      <c r="F415" s="8"/>
      <c r="G415" s="8"/>
      <c r="H415" s="8"/>
      <c r="I415" s="11"/>
      <c r="J415" s="12"/>
      <c r="K415" s="12"/>
      <c r="L415" s="12"/>
      <c r="M415" s="8"/>
    </row>
    <row r="416" spans="1:13" ht="25" customHeight="1">
      <c r="A416" s="12"/>
      <c r="B416" s="8"/>
      <c r="C416" s="8"/>
      <c r="D416" s="8"/>
      <c r="E416" s="8"/>
      <c r="F416" s="8"/>
      <c r="G416" s="8"/>
      <c r="H416" s="8"/>
      <c r="I416" s="11"/>
      <c r="J416" s="12"/>
      <c r="K416" s="12"/>
      <c r="L416" s="12"/>
      <c r="M416" s="8"/>
    </row>
    <row r="417" spans="1:13" ht="25" customHeight="1">
      <c r="A417" s="12"/>
      <c r="B417" s="8"/>
      <c r="C417" s="8"/>
      <c r="D417" s="8"/>
      <c r="E417" s="8"/>
      <c r="F417" s="8"/>
      <c r="G417" s="8"/>
      <c r="H417" s="8"/>
      <c r="I417" s="11"/>
      <c r="J417" s="12"/>
      <c r="K417" s="12"/>
      <c r="L417" s="12"/>
      <c r="M417" s="8"/>
    </row>
    <row r="418" spans="1:13" ht="25" customHeight="1">
      <c r="A418" s="12"/>
      <c r="B418" s="8"/>
      <c r="C418" s="8"/>
      <c r="D418" s="8"/>
      <c r="E418" s="8"/>
      <c r="F418" s="8"/>
      <c r="G418" s="8"/>
      <c r="H418" s="8"/>
      <c r="I418" s="11"/>
      <c r="J418" s="12"/>
      <c r="K418" s="12"/>
      <c r="L418" s="12"/>
      <c r="M418" s="8"/>
    </row>
    <row r="419" spans="1:13" ht="25" customHeight="1">
      <c r="A419" s="12"/>
      <c r="B419" s="8"/>
      <c r="C419" s="8"/>
      <c r="D419" s="8"/>
      <c r="E419" s="8"/>
      <c r="F419" s="8"/>
      <c r="G419" s="8"/>
      <c r="H419" s="8"/>
      <c r="I419" s="11"/>
      <c r="J419" s="12"/>
      <c r="K419" s="12"/>
      <c r="L419" s="12"/>
      <c r="M419" s="8"/>
    </row>
    <row r="420" spans="1:13" ht="25" customHeight="1">
      <c r="A420" s="12"/>
      <c r="B420" s="8"/>
      <c r="C420" s="8"/>
      <c r="D420" s="8"/>
      <c r="E420" s="8"/>
      <c r="F420" s="8"/>
      <c r="G420" s="8"/>
      <c r="H420" s="8"/>
      <c r="I420" s="11"/>
      <c r="J420" s="12"/>
      <c r="K420" s="12"/>
      <c r="L420" s="12"/>
      <c r="M420" s="8"/>
    </row>
    <row r="421" spans="1:13" ht="25" customHeight="1">
      <c r="A421" s="12"/>
      <c r="B421" s="8"/>
      <c r="C421" s="8"/>
      <c r="D421" s="8"/>
      <c r="E421" s="8"/>
      <c r="F421" s="8"/>
      <c r="G421" s="8"/>
      <c r="H421" s="8"/>
      <c r="I421" s="11"/>
      <c r="J421" s="12"/>
      <c r="K421" s="12"/>
      <c r="L421" s="12"/>
      <c r="M421" s="8"/>
    </row>
    <row r="422" spans="1:13" ht="25" customHeight="1">
      <c r="A422" s="12"/>
      <c r="B422" s="8"/>
      <c r="C422" s="8"/>
      <c r="D422" s="8"/>
      <c r="E422" s="8"/>
      <c r="F422" s="8"/>
      <c r="G422" s="8"/>
      <c r="H422" s="8"/>
      <c r="I422" s="11"/>
      <c r="J422" s="12"/>
      <c r="K422" s="12"/>
      <c r="L422" s="12"/>
      <c r="M422" s="8"/>
    </row>
    <row r="423" spans="1:13" ht="25" customHeight="1">
      <c r="A423" s="12"/>
      <c r="B423" s="8"/>
      <c r="C423" s="8"/>
      <c r="D423" s="8"/>
      <c r="E423" s="8"/>
      <c r="F423" s="8"/>
      <c r="G423" s="8"/>
      <c r="H423" s="8"/>
      <c r="I423" s="11"/>
      <c r="J423" s="12"/>
      <c r="K423" s="12"/>
      <c r="L423" s="12"/>
      <c r="M423" s="8"/>
    </row>
    <row r="424" spans="1:13" ht="25" customHeight="1">
      <c r="A424" s="12"/>
      <c r="B424" s="8"/>
      <c r="C424" s="8"/>
      <c r="D424" s="8"/>
      <c r="E424" s="8"/>
      <c r="F424" s="8"/>
      <c r="G424" s="8"/>
      <c r="H424" s="8"/>
      <c r="I424" s="11"/>
      <c r="J424" s="12"/>
      <c r="K424" s="12"/>
      <c r="L424" s="12"/>
      <c r="M424" s="8"/>
    </row>
    <row r="425" spans="1:13" ht="25" customHeight="1">
      <c r="A425" s="12"/>
      <c r="B425" s="8"/>
      <c r="C425" s="8"/>
      <c r="D425" s="8"/>
      <c r="E425" s="8"/>
      <c r="F425" s="8"/>
      <c r="G425" s="8"/>
      <c r="H425" s="8"/>
      <c r="I425" s="11"/>
      <c r="J425" s="12"/>
      <c r="K425" s="12"/>
      <c r="L425" s="12"/>
      <c r="M425" s="8"/>
    </row>
    <row r="426" spans="1:13" ht="25" customHeight="1">
      <c r="A426" s="12"/>
      <c r="B426" s="8"/>
      <c r="C426" s="8"/>
      <c r="D426" s="8"/>
      <c r="E426" s="8"/>
      <c r="F426" s="8"/>
      <c r="G426" s="8"/>
      <c r="H426" s="8"/>
      <c r="I426" s="11"/>
      <c r="J426" s="12"/>
      <c r="K426" s="12"/>
      <c r="L426" s="12"/>
      <c r="M426" s="8"/>
    </row>
    <row r="427" spans="1:13" ht="25" customHeight="1">
      <c r="A427" s="12"/>
      <c r="B427" s="8"/>
      <c r="C427" s="8"/>
      <c r="D427" s="8"/>
      <c r="E427" s="8"/>
      <c r="F427" s="8"/>
      <c r="G427" s="8"/>
      <c r="H427" s="8"/>
      <c r="I427" s="11"/>
      <c r="J427" s="12"/>
      <c r="K427" s="12"/>
      <c r="L427" s="12"/>
      <c r="M427" s="8"/>
    </row>
    <row r="428" spans="1:13" ht="25" customHeight="1">
      <c r="A428" s="12"/>
      <c r="B428" s="8"/>
      <c r="C428" s="8"/>
      <c r="D428" s="8"/>
      <c r="E428" s="8"/>
      <c r="F428" s="8"/>
      <c r="G428" s="8"/>
      <c r="H428" s="8"/>
      <c r="I428" s="11"/>
      <c r="J428" s="12"/>
      <c r="K428" s="12"/>
      <c r="L428" s="12"/>
      <c r="M428" s="8"/>
    </row>
    <row r="429" spans="1:13" ht="25" customHeight="1">
      <c r="A429" s="12"/>
      <c r="B429" s="8"/>
      <c r="C429" s="8"/>
      <c r="D429" s="8"/>
      <c r="E429" s="8"/>
      <c r="F429" s="8"/>
      <c r="G429" s="8"/>
      <c r="H429" s="8"/>
      <c r="I429" s="11"/>
      <c r="J429" s="12"/>
      <c r="K429" s="12"/>
      <c r="L429" s="12"/>
      <c r="M429" s="8"/>
    </row>
    <row r="430" spans="1:13" ht="25" customHeight="1">
      <c r="A430" s="12"/>
      <c r="B430" s="8"/>
      <c r="C430" s="8"/>
      <c r="D430" s="8"/>
      <c r="E430" s="8"/>
      <c r="F430" s="8"/>
      <c r="G430" s="8"/>
      <c r="H430" s="8"/>
      <c r="I430" s="11"/>
      <c r="J430" s="12"/>
      <c r="K430" s="12"/>
      <c r="L430" s="12"/>
      <c r="M430" s="8"/>
    </row>
    <row r="431" spans="1:13" ht="25" customHeight="1">
      <c r="A431" s="12"/>
      <c r="B431" s="8"/>
      <c r="C431" s="8"/>
      <c r="D431" s="8"/>
      <c r="E431" s="8"/>
      <c r="F431" s="8"/>
      <c r="G431" s="8"/>
      <c r="H431" s="8"/>
      <c r="I431" s="11"/>
      <c r="J431" s="12"/>
      <c r="K431" s="12"/>
      <c r="L431" s="12"/>
      <c r="M431" s="8"/>
    </row>
    <row r="432" spans="1:13" ht="25" customHeight="1">
      <c r="A432" s="12"/>
      <c r="B432" s="8"/>
      <c r="C432" s="8"/>
      <c r="D432" s="8"/>
      <c r="E432" s="8"/>
      <c r="F432" s="8"/>
      <c r="G432" s="8"/>
      <c r="H432" s="8"/>
      <c r="I432" s="11"/>
      <c r="J432" s="12"/>
      <c r="K432" s="12"/>
      <c r="L432" s="12"/>
      <c r="M432" s="8"/>
    </row>
    <row r="433" spans="1:13" ht="25" customHeight="1">
      <c r="A433" s="12"/>
      <c r="B433" s="8"/>
      <c r="C433" s="8"/>
      <c r="D433" s="8"/>
      <c r="E433" s="8"/>
      <c r="F433" s="8"/>
      <c r="G433" s="8"/>
      <c r="H433" s="8"/>
      <c r="I433" s="11"/>
      <c r="J433" s="12"/>
      <c r="K433" s="12"/>
      <c r="L433" s="12"/>
      <c r="M433" s="8"/>
    </row>
    <row r="434" spans="1:13" ht="25" customHeight="1">
      <c r="A434" s="12"/>
      <c r="B434" s="8"/>
      <c r="C434" s="8"/>
      <c r="D434" s="8"/>
      <c r="E434" s="8"/>
      <c r="F434" s="8"/>
      <c r="G434" s="8"/>
      <c r="H434" s="8"/>
      <c r="I434" s="11"/>
      <c r="J434" s="12"/>
      <c r="K434" s="12"/>
      <c r="L434" s="12"/>
      <c r="M434" s="8"/>
    </row>
    <row r="435" spans="1:13" ht="25" customHeight="1">
      <c r="A435" s="12"/>
      <c r="B435" s="8"/>
      <c r="C435" s="8"/>
      <c r="D435" s="8"/>
      <c r="E435" s="8"/>
      <c r="F435" s="8"/>
      <c r="G435" s="8"/>
      <c r="H435" s="8"/>
      <c r="I435" s="11"/>
      <c r="J435" s="12"/>
      <c r="K435" s="12"/>
      <c r="L435" s="12"/>
      <c r="M435" s="8"/>
    </row>
    <row r="436" spans="1:13" ht="25" customHeight="1">
      <c r="A436" s="12"/>
      <c r="B436" s="8"/>
      <c r="C436" s="8"/>
      <c r="D436" s="8"/>
      <c r="E436" s="8"/>
      <c r="F436" s="8"/>
      <c r="G436" s="8"/>
      <c r="H436" s="8"/>
      <c r="I436" s="11"/>
      <c r="J436" s="12"/>
      <c r="K436" s="12"/>
      <c r="L436" s="12"/>
      <c r="M436" s="8"/>
    </row>
    <row r="437" spans="1:13" ht="25" customHeight="1">
      <c r="A437" s="12"/>
      <c r="B437" s="8"/>
      <c r="C437" s="8"/>
      <c r="D437" s="8"/>
      <c r="E437" s="8"/>
      <c r="F437" s="8"/>
      <c r="G437" s="8"/>
      <c r="H437" s="8"/>
      <c r="I437" s="11"/>
      <c r="J437" s="12"/>
      <c r="K437" s="12"/>
      <c r="L437" s="12"/>
      <c r="M437" s="8"/>
    </row>
    <row r="438" spans="1:13" ht="25" customHeight="1">
      <c r="A438" s="12"/>
      <c r="B438" s="8"/>
      <c r="C438" s="8"/>
      <c r="D438" s="8"/>
      <c r="E438" s="8"/>
      <c r="F438" s="8"/>
      <c r="G438" s="8"/>
      <c r="H438" s="8"/>
      <c r="I438" s="11"/>
      <c r="J438" s="12"/>
      <c r="K438" s="12"/>
      <c r="L438" s="12"/>
      <c r="M438" s="8"/>
    </row>
    <row r="439" spans="1:13" ht="25" customHeight="1">
      <c r="A439" s="12"/>
      <c r="B439" s="8"/>
      <c r="C439" s="8"/>
      <c r="D439" s="8"/>
      <c r="E439" s="8"/>
      <c r="F439" s="8"/>
      <c r="G439" s="8"/>
      <c r="H439" s="8"/>
      <c r="I439" s="11"/>
      <c r="J439" s="12"/>
      <c r="K439" s="12"/>
      <c r="L439" s="12"/>
      <c r="M439" s="8"/>
    </row>
    <row r="440" spans="1:13" ht="25" customHeight="1">
      <c r="A440" s="12"/>
      <c r="B440" s="8"/>
      <c r="C440" s="8"/>
      <c r="D440" s="8"/>
      <c r="E440" s="8"/>
      <c r="F440" s="8"/>
      <c r="G440" s="8"/>
      <c r="H440" s="8"/>
      <c r="I440" s="11"/>
      <c r="J440" s="12"/>
      <c r="K440" s="12"/>
      <c r="L440" s="12"/>
      <c r="M440" s="8"/>
    </row>
    <row r="441" spans="1:13" ht="25" customHeight="1">
      <c r="A441" s="12"/>
      <c r="B441" s="8"/>
      <c r="C441" s="8"/>
      <c r="D441" s="8"/>
      <c r="E441" s="8"/>
      <c r="F441" s="8"/>
      <c r="G441" s="8"/>
      <c r="H441" s="8"/>
      <c r="I441" s="11"/>
      <c r="J441" s="12"/>
      <c r="K441" s="12"/>
      <c r="L441" s="12"/>
      <c r="M441" s="8"/>
    </row>
    <row r="442" spans="1:13" ht="25" customHeight="1">
      <c r="A442" s="12"/>
      <c r="B442" s="8"/>
      <c r="C442" s="8"/>
      <c r="D442" s="8"/>
      <c r="E442" s="8"/>
      <c r="F442" s="8"/>
      <c r="G442" s="8"/>
      <c r="H442" s="8"/>
      <c r="I442" s="11"/>
      <c r="J442" s="12"/>
      <c r="K442" s="12"/>
      <c r="L442" s="12"/>
      <c r="M442" s="8"/>
    </row>
    <row r="443" spans="1:13" ht="25" customHeight="1">
      <c r="A443" s="12"/>
      <c r="B443" s="8"/>
      <c r="C443" s="8"/>
      <c r="D443" s="8"/>
      <c r="E443" s="8"/>
      <c r="F443" s="8"/>
      <c r="G443" s="8"/>
      <c r="H443" s="8"/>
      <c r="I443" s="11"/>
      <c r="J443" s="12"/>
      <c r="K443" s="12"/>
      <c r="L443" s="12"/>
      <c r="M443" s="8"/>
    </row>
    <row r="444" spans="1:13" ht="25" customHeight="1">
      <c r="A444" s="12"/>
      <c r="B444" s="8"/>
      <c r="C444" s="8"/>
      <c r="D444" s="8"/>
      <c r="E444" s="8"/>
      <c r="F444" s="8"/>
      <c r="G444" s="8"/>
      <c r="H444" s="8"/>
      <c r="I444" s="11"/>
      <c r="J444" s="12"/>
      <c r="K444" s="12"/>
      <c r="L444" s="12"/>
      <c r="M444" s="8"/>
    </row>
    <row r="445" spans="1:13" ht="25" customHeight="1">
      <c r="A445" s="12"/>
      <c r="B445" s="8"/>
      <c r="C445" s="8"/>
      <c r="D445" s="8"/>
      <c r="E445" s="8"/>
      <c r="F445" s="8"/>
      <c r="G445" s="8"/>
      <c r="H445" s="8"/>
      <c r="I445" s="11"/>
      <c r="J445" s="12"/>
      <c r="K445" s="12"/>
      <c r="L445" s="12"/>
      <c r="M445" s="8"/>
    </row>
    <row r="446" spans="1:13" ht="25" customHeight="1">
      <c r="A446" s="12"/>
      <c r="B446" s="8"/>
      <c r="C446" s="8"/>
      <c r="D446" s="8"/>
      <c r="E446" s="8"/>
      <c r="F446" s="8"/>
      <c r="G446" s="8"/>
      <c r="H446" s="8"/>
      <c r="I446" s="11"/>
      <c r="J446" s="12"/>
      <c r="K446" s="12"/>
      <c r="L446" s="12"/>
      <c r="M446" s="8"/>
    </row>
    <row r="447" spans="1:13" ht="25" customHeight="1">
      <c r="A447" s="12"/>
      <c r="B447" s="8"/>
      <c r="C447" s="8"/>
      <c r="D447" s="8"/>
      <c r="E447" s="8"/>
      <c r="F447" s="8"/>
      <c r="G447" s="8"/>
      <c r="H447" s="8"/>
      <c r="I447" s="11"/>
      <c r="J447" s="12"/>
      <c r="K447" s="12"/>
      <c r="L447" s="12"/>
      <c r="M447" s="8"/>
    </row>
    <row r="448" spans="1:13" ht="25" customHeight="1">
      <c r="A448" s="12"/>
      <c r="B448" s="8"/>
      <c r="C448" s="8"/>
      <c r="D448" s="8"/>
      <c r="E448" s="8"/>
      <c r="F448" s="8"/>
      <c r="G448" s="8"/>
      <c r="H448" s="8"/>
      <c r="I448" s="11"/>
      <c r="J448" s="12"/>
      <c r="K448" s="12"/>
      <c r="L448" s="12"/>
      <c r="M448" s="8"/>
    </row>
    <row r="449" spans="1:13" ht="25" customHeight="1">
      <c r="A449" s="12"/>
      <c r="B449" s="8"/>
      <c r="C449" s="8"/>
      <c r="D449" s="8"/>
      <c r="E449" s="8"/>
      <c r="F449" s="8"/>
      <c r="G449" s="8"/>
      <c r="H449" s="8"/>
      <c r="I449" s="11"/>
      <c r="J449" s="12"/>
      <c r="K449" s="12"/>
      <c r="L449" s="12"/>
      <c r="M449" s="8"/>
    </row>
    <row r="450" spans="1:13" ht="25" customHeight="1">
      <c r="A450" s="12"/>
      <c r="B450" s="8"/>
      <c r="C450" s="8"/>
      <c r="D450" s="8"/>
      <c r="E450" s="8"/>
      <c r="F450" s="8"/>
      <c r="G450" s="8"/>
      <c r="H450" s="8"/>
      <c r="I450" s="11"/>
      <c r="J450" s="12"/>
      <c r="K450" s="12"/>
      <c r="L450" s="12"/>
      <c r="M450" s="8"/>
    </row>
    <row r="451" spans="1:13" ht="25" customHeight="1">
      <c r="A451" s="12"/>
      <c r="B451" s="8"/>
      <c r="C451" s="8"/>
      <c r="D451" s="8"/>
      <c r="E451" s="8"/>
      <c r="F451" s="8"/>
      <c r="G451" s="8"/>
      <c r="H451" s="8"/>
      <c r="I451" s="11"/>
      <c r="J451" s="12"/>
      <c r="K451" s="12"/>
      <c r="L451" s="12"/>
      <c r="M451" s="8"/>
    </row>
    <row r="452" spans="1:13" ht="25" customHeight="1">
      <c r="A452" s="12"/>
      <c r="B452" s="8"/>
      <c r="C452" s="8"/>
      <c r="D452" s="8"/>
      <c r="E452" s="8"/>
      <c r="F452" s="8"/>
      <c r="G452" s="8"/>
      <c r="H452" s="8"/>
      <c r="I452" s="11"/>
      <c r="J452" s="12"/>
      <c r="K452" s="12"/>
      <c r="L452" s="12"/>
      <c r="M452" s="8"/>
    </row>
    <row r="453" spans="1:13" ht="25" customHeight="1">
      <c r="A453" s="12"/>
      <c r="B453" s="8"/>
      <c r="C453" s="8"/>
      <c r="D453" s="8"/>
      <c r="E453" s="8"/>
      <c r="F453" s="8"/>
      <c r="G453" s="8"/>
      <c r="H453" s="8"/>
      <c r="I453" s="11"/>
      <c r="J453" s="12"/>
      <c r="K453" s="12"/>
      <c r="L453" s="12"/>
      <c r="M453" s="8"/>
    </row>
    <row r="454" spans="1:13" ht="25" customHeight="1">
      <c r="A454" s="12"/>
      <c r="B454" s="8"/>
      <c r="C454" s="8"/>
      <c r="D454" s="8"/>
      <c r="E454" s="8"/>
      <c r="F454" s="8"/>
      <c r="G454" s="8"/>
      <c r="H454" s="8"/>
      <c r="I454" s="11"/>
      <c r="J454" s="12"/>
      <c r="K454" s="12"/>
      <c r="L454" s="12"/>
      <c r="M454" s="8"/>
    </row>
    <row r="455" spans="1:13" ht="25" customHeight="1">
      <c r="A455" s="12"/>
      <c r="B455" s="8"/>
      <c r="C455" s="8"/>
      <c r="D455" s="8"/>
      <c r="E455" s="8"/>
      <c r="F455" s="8"/>
      <c r="G455" s="8"/>
      <c r="H455" s="8"/>
      <c r="I455" s="11"/>
      <c r="J455" s="12"/>
      <c r="K455" s="12"/>
      <c r="L455" s="12"/>
      <c r="M455" s="8"/>
    </row>
    <row r="456" spans="1:13" ht="25" customHeight="1">
      <c r="A456" s="12"/>
      <c r="B456" s="8"/>
      <c r="C456" s="8"/>
      <c r="D456" s="8"/>
      <c r="E456" s="8"/>
      <c r="F456" s="8"/>
      <c r="G456" s="8"/>
      <c r="H456" s="8"/>
      <c r="I456" s="11"/>
      <c r="J456" s="12"/>
      <c r="K456" s="12"/>
      <c r="L456" s="12"/>
      <c r="M456" s="8"/>
    </row>
    <row r="457" spans="1:13" ht="25" customHeight="1">
      <c r="A457" s="12"/>
      <c r="B457" s="8"/>
      <c r="C457" s="8"/>
      <c r="D457" s="8"/>
      <c r="E457" s="8"/>
      <c r="F457" s="8"/>
      <c r="G457" s="8"/>
      <c r="H457" s="8"/>
      <c r="I457" s="11"/>
      <c r="J457" s="12"/>
      <c r="K457" s="12"/>
      <c r="L457" s="12"/>
      <c r="M457" s="8"/>
    </row>
    <row r="458" spans="1:13" ht="25" customHeight="1">
      <c r="A458" s="12"/>
      <c r="B458" s="8"/>
      <c r="C458" s="8"/>
      <c r="D458" s="8"/>
      <c r="E458" s="8"/>
      <c r="F458" s="8"/>
      <c r="G458" s="8"/>
      <c r="H458" s="8"/>
      <c r="I458" s="11"/>
      <c r="J458" s="12"/>
      <c r="K458" s="12"/>
      <c r="L458" s="12"/>
      <c r="M458" s="8"/>
    </row>
    <row r="459" spans="1:13" ht="25" customHeight="1">
      <c r="A459" s="12"/>
      <c r="B459" s="8"/>
      <c r="C459" s="8"/>
      <c r="D459" s="8"/>
      <c r="E459" s="8"/>
      <c r="F459" s="8"/>
      <c r="G459" s="8"/>
      <c r="H459" s="8"/>
      <c r="I459" s="11"/>
      <c r="J459" s="12"/>
      <c r="K459" s="12"/>
      <c r="L459" s="12"/>
      <c r="M459" s="8"/>
    </row>
    <row r="460" spans="1:13" ht="25" customHeight="1">
      <c r="A460" s="12"/>
      <c r="B460" s="8"/>
      <c r="C460" s="8"/>
      <c r="D460" s="8"/>
      <c r="E460" s="8"/>
      <c r="F460" s="8"/>
      <c r="G460" s="8"/>
      <c r="H460" s="8"/>
      <c r="I460" s="11"/>
      <c r="J460" s="12"/>
      <c r="K460" s="12"/>
      <c r="L460" s="12"/>
      <c r="M460" s="8"/>
    </row>
    <row r="461" spans="1:13" ht="25" customHeight="1">
      <c r="A461" s="12"/>
      <c r="B461" s="8"/>
      <c r="C461" s="8"/>
      <c r="D461" s="8"/>
      <c r="E461" s="8"/>
      <c r="F461" s="8"/>
      <c r="G461" s="8"/>
      <c r="H461" s="8"/>
      <c r="I461" s="11"/>
      <c r="J461" s="12"/>
      <c r="K461" s="12"/>
      <c r="L461" s="12"/>
      <c r="M461" s="8"/>
    </row>
    <row r="462" spans="1:13" ht="25" customHeight="1">
      <c r="A462" s="12"/>
      <c r="B462" s="8"/>
      <c r="C462" s="8"/>
      <c r="D462" s="8"/>
      <c r="E462" s="8"/>
      <c r="F462" s="8"/>
      <c r="G462" s="8"/>
      <c r="H462" s="8"/>
      <c r="I462" s="11"/>
      <c r="J462" s="12"/>
      <c r="K462" s="12"/>
      <c r="L462" s="12"/>
      <c r="M462" s="8"/>
    </row>
    <row r="463" spans="1:13" ht="25" customHeight="1">
      <c r="A463" s="12"/>
      <c r="B463" s="8"/>
      <c r="C463" s="8"/>
      <c r="D463" s="8"/>
      <c r="E463" s="8"/>
      <c r="F463" s="8"/>
      <c r="G463" s="8"/>
      <c r="H463" s="8"/>
      <c r="I463" s="11"/>
      <c r="J463" s="12"/>
      <c r="K463" s="12"/>
      <c r="L463" s="12"/>
      <c r="M463" s="8"/>
    </row>
    <row r="464" spans="1:13" ht="25" customHeight="1">
      <c r="A464" s="12"/>
      <c r="B464" s="8"/>
      <c r="C464" s="8"/>
      <c r="D464" s="8"/>
      <c r="E464" s="8"/>
      <c r="F464" s="8"/>
      <c r="G464" s="8"/>
      <c r="H464" s="8"/>
      <c r="I464" s="11"/>
      <c r="J464" s="12"/>
      <c r="K464" s="12"/>
      <c r="L464" s="12"/>
      <c r="M464" s="8"/>
    </row>
    <row r="465" spans="1:13" ht="25" customHeight="1">
      <c r="A465" s="12"/>
      <c r="B465" s="8"/>
      <c r="C465" s="8"/>
      <c r="D465" s="8"/>
      <c r="E465" s="8"/>
      <c r="F465" s="8"/>
      <c r="G465" s="8"/>
      <c r="H465" s="8"/>
      <c r="I465" s="11"/>
      <c r="J465" s="12"/>
      <c r="K465" s="12"/>
      <c r="L465" s="12"/>
      <c r="M465" s="8"/>
    </row>
    <row r="466" spans="1:13" ht="25" customHeight="1">
      <c r="A466" s="12"/>
      <c r="B466" s="8"/>
      <c r="C466" s="8"/>
      <c r="D466" s="8"/>
      <c r="E466" s="8"/>
      <c r="F466" s="8"/>
      <c r="G466" s="8"/>
      <c r="H466" s="8"/>
      <c r="I466" s="11"/>
      <c r="J466" s="12"/>
      <c r="K466" s="12"/>
      <c r="L466" s="12"/>
      <c r="M466" s="8"/>
    </row>
    <row r="467" spans="1:13" ht="25" customHeight="1">
      <c r="A467" s="12"/>
      <c r="B467" s="8"/>
      <c r="C467" s="8"/>
      <c r="D467" s="8"/>
      <c r="E467" s="8"/>
      <c r="F467" s="8"/>
      <c r="G467" s="8"/>
      <c r="H467" s="8"/>
      <c r="I467" s="11"/>
      <c r="J467" s="12"/>
      <c r="K467" s="12"/>
      <c r="L467" s="12"/>
      <c r="M467" s="8"/>
    </row>
    <row r="468" spans="1:13" ht="25" customHeight="1">
      <c r="A468" s="12"/>
      <c r="B468" s="8"/>
      <c r="C468" s="8"/>
      <c r="D468" s="8"/>
      <c r="E468" s="8"/>
      <c r="F468" s="8"/>
      <c r="G468" s="8"/>
      <c r="H468" s="8"/>
      <c r="I468" s="11"/>
      <c r="J468" s="12"/>
      <c r="K468" s="12"/>
      <c r="L468" s="12"/>
      <c r="M468" s="8"/>
    </row>
    <row r="469" spans="1:13" ht="25" customHeight="1">
      <c r="A469" s="12"/>
      <c r="B469" s="8"/>
      <c r="C469" s="8"/>
      <c r="D469" s="8"/>
      <c r="E469" s="8"/>
      <c r="F469" s="8"/>
      <c r="G469" s="8"/>
      <c r="H469" s="8"/>
      <c r="I469" s="11"/>
      <c r="J469" s="12"/>
      <c r="K469" s="12"/>
      <c r="L469" s="12"/>
      <c r="M469" s="8"/>
    </row>
    <row r="470" spans="1:13" ht="25" customHeight="1">
      <c r="A470" s="12"/>
      <c r="B470" s="8"/>
      <c r="C470" s="8"/>
      <c r="D470" s="8"/>
      <c r="E470" s="8"/>
      <c r="F470" s="8"/>
      <c r="G470" s="8"/>
      <c r="H470" s="8"/>
      <c r="I470" s="11"/>
      <c r="J470" s="12"/>
      <c r="K470" s="12"/>
      <c r="L470" s="12"/>
      <c r="M470" s="8"/>
    </row>
    <row r="471" spans="1:13" ht="25" customHeight="1">
      <c r="A471" s="12"/>
      <c r="B471" s="8"/>
      <c r="C471" s="8"/>
      <c r="D471" s="8"/>
      <c r="E471" s="8"/>
      <c r="F471" s="8"/>
      <c r="G471" s="8"/>
      <c r="H471" s="8"/>
      <c r="I471" s="11"/>
      <c r="J471" s="12"/>
      <c r="K471" s="12"/>
      <c r="L471" s="12"/>
      <c r="M471" s="8"/>
    </row>
    <row r="472" spans="1:13" ht="25" customHeight="1">
      <c r="A472" s="12"/>
      <c r="B472" s="8"/>
      <c r="C472" s="8"/>
      <c r="D472" s="8"/>
      <c r="E472" s="8"/>
      <c r="F472" s="8"/>
      <c r="G472" s="8"/>
      <c r="H472" s="8"/>
      <c r="I472" s="11"/>
      <c r="J472" s="12"/>
      <c r="K472" s="12"/>
      <c r="L472" s="12"/>
      <c r="M472" s="8"/>
    </row>
    <row r="473" spans="1:13" ht="25" customHeight="1">
      <c r="A473" s="12"/>
      <c r="B473" s="8"/>
      <c r="C473" s="8"/>
      <c r="D473" s="8"/>
      <c r="E473" s="8"/>
      <c r="F473" s="8"/>
      <c r="G473" s="8"/>
      <c r="H473" s="8"/>
      <c r="I473" s="11"/>
      <c r="J473" s="12"/>
      <c r="K473" s="12"/>
      <c r="L473" s="12"/>
      <c r="M473" s="8"/>
    </row>
    <row r="474" spans="1:13" ht="25" customHeight="1">
      <c r="A474" s="12"/>
      <c r="B474" s="8"/>
      <c r="C474" s="8"/>
      <c r="D474" s="8"/>
      <c r="E474" s="8"/>
      <c r="F474" s="8"/>
      <c r="G474" s="8"/>
      <c r="H474" s="8"/>
      <c r="I474" s="11"/>
      <c r="J474" s="12"/>
      <c r="K474" s="12"/>
      <c r="L474" s="12"/>
      <c r="M474" s="8"/>
    </row>
    <row r="475" spans="1:13" ht="25" customHeight="1">
      <c r="A475" s="12"/>
      <c r="B475" s="8"/>
      <c r="C475" s="8"/>
      <c r="D475" s="8"/>
      <c r="E475" s="8"/>
      <c r="F475" s="8"/>
      <c r="G475" s="8"/>
      <c r="H475" s="8"/>
      <c r="I475" s="11"/>
      <c r="J475" s="12"/>
      <c r="K475" s="12"/>
      <c r="L475" s="12"/>
      <c r="M475" s="8"/>
    </row>
    <row r="476" spans="1:13" ht="25" customHeight="1">
      <c r="A476" s="12"/>
      <c r="B476" s="8"/>
      <c r="C476" s="8"/>
      <c r="D476" s="8"/>
      <c r="E476" s="8"/>
      <c r="F476" s="8"/>
      <c r="G476" s="8"/>
      <c r="H476" s="8"/>
      <c r="I476" s="11"/>
      <c r="J476" s="12"/>
      <c r="K476" s="12"/>
      <c r="L476" s="12"/>
      <c r="M476" s="8"/>
    </row>
    <row r="477" spans="1:13" ht="25" customHeight="1">
      <c r="A477" s="12"/>
      <c r="B477" s="8"/>
      <c r="C477" s="8"/>
      <c r="D477" s="8"/>
      <c r="E477" s="8"/>
      <c r="F477" s="8"/>
      <c r="G477" s="8"/>
      <c r="H477" s="8"/>
      <c r="I477" s="11"/>
      <c r="J477" s="12"/>
      <c r="K477" s="12"/>
      <c r="L477" s="12"/>
      <c r="M477" s="8"/>
    </row>
    <row r="478" spans="1:13" ht="25" customHeight="1">
      <c r="A478" s="12"/>
      <c r="B478" s="8"/>
      <c r="C478" s="8"/>
      <c r="D478" s="8"/>
      <c r="E478" s="8"/>
      <c r="F478" s="8"/>
      <c r="G478" s="8"/>
      <c r="H478" s="8"/>
      <c r="I478" s="11"/>
      <c r="J478" s="12"/>
      <c r="K478" s="12"/>
      <c r="L478" s="12"/>
      <c r="M478" s="8"/>
    </row>
    <row r="479" spans="1:13" ht="25" customHeight="1">
      <c r="A479" s="12"/>
      <c r="B479" s="8"/>
      <c r="C479" s="8"/>
      <c r="D479" s="8"/>
      <c r="E479" s="8"/>
      <c r="F479" s="8"/>
      <c r="G479" s="8"/>
      <c r="H479" s="8"/>
      <c r="I479" s="11"/>
      <c r="J479" s="12"/>
      <c r="K479" s="12"/>
      <c r="L479" s="12"/>
      <c r="M479" s="8"/>
    </row>
    <row r="480" spans="1:13" ht="25" customHeight="1">
      <c r="A480" s="12"/>
      <c r="B480" s="8"/>
      <c r="C480" s="8"/>
      <c r="D480" s="8"/>
      <c r="E480" s="8"/>
      <c r="F480" s="8"/>
      <c r="G480" s="8"/>
      <c r="H480" s="8"/>
      <c r="I480" s="11"/>
      <c r="J480" s="12"/>
      <c r="K480" s="12"/>
      <c r="L480" s="12"/>
      <c r="M480" s="8"/>
    </row>
    <row r="481" spans="1:13" ht="25" customHeight="1">
      <c r="A481" s="12"/>
      <c r="B481" s="8"/>
      <c r="C481" s="8"/>
      <c r="D481" s="8"/>
      <c r="E481" s="8"/>
      <c r="F481" s="8"/>
      <c r="G481" s="8"/>
      <c r="H481" s="8"/>
      <c r="I481" s="11"/>
      <c r="J481" s="12"/>
      <c r="K481" s="12"/>
      <c r="L481" s="12"/>
      <c r="M481" s="8"/>
    </row>
    <row r="482" spans="1:13" ht="25" customHeight="1">
      <c r="A482" s="12"/>
      <c r="B482" s="8"/>
      <c r="C482" s="8"/>
      <c r="D482" s="8"/>
      <c r="E482" s="8"/>
      <c r="F482" s="8"/>
      <c r="G482" s="8"/>
      <c r="H482" s="8"/>
      <c r="I482" s="11"/>
      <c r="J482" s="12"/>
      <c r="K482" s="12"/>
      <c r="L482" s="12"/>
      <c r="M482" s="8"/>
    </row>
    <row r="483" spans="1:13" ht="25" customHeight="1">
      <c r="A483" s="12"/>
      <c r="B483" s="8"/>
      <c r="C483" s="8"/>
      <c r="D483" s="8"/>
      <c r="E483" s="8"/>
      <c r="F483" s="8"/>
      <c r="G483" s="8"/>
      <c r="H483" s="8"/>
      <c r="I483" s="11"/>
      <c r="J483" s="12"/>
      <c r="K483" s="12"/>
      <c r="L483" s="12"/>
      <c r="M483" s="8"/>
    </row>
    <row r="484" spans="1:13" ht="25" customHeight="1">
      <c r="A484" s="12"/>
      <c r="B484" s="8"/>
      <c r="C484" s="8"/>
      <c r="D484" s="8"/>
      <c r="E484" s="8"/>
      <c r="F484" s="8"/>
      <c r="G484" s="8"/>
      <c r="H484" s="8"/>
      <c r="I484" s="11"/>
      <c r="J484" s="12"/>
      <c r="K484" s="12"/>
      <c r="L484" s="12"/>
      <c r="M484" s="8"/>
    </row>
    <row r="485" spans="1:13" ht="25" customHeight="1">
      <c r="A485" s="12"/>
      <c r="B485" s="8"/>
      <c r="C485" s="8"/>
      <c r="D485" s="8"/>
      <c r="E485" s="8"/>
      <c r="F485" s="8"/>
      <c r="G485" s="8"/>
      <c r="H485" s="8"/>
      <c r="I485" s="11"/>
      <c r="J485" s="12"/>
      <c r="K485" s="12"/>
      <c r="L485" s="12"/>
      <c r="M485" s="8"/>
    </row>
    <row r="486" spans="1:13" ht="25" customHeight="1">
      <c r="A486" s="12"/>
      <c r="B486" s="8"/>
      <c r="C486" s="8"/>
      <c r="D486" s="8"/>
      <c r="E486" s="8"/>
      <c r="F486" s="8"/>
      <c r="G486" s="8"/>
      <c r="H486" s="8"/>
      <c r="I486" s="11"/>
      <c r="J486" s="12"/>
      <c r="K486" s="12"/>
      <c r="L486" s="12"/>
      <c r="M486" s="8"/>
    </row>
    <row r="487" spans="1:13" ht="25" customHeight="1">
      <c r="A487" s="12"/>
      <c r="B487" s="8"/>
      <c r="C487" s="8"/>
      <c r="D487" s="8"/>
      <c r="E487" s="8"/>
      <c r="F487" s="8"/>
      <c r="G487" s="8"/>
      <c r="H487" s="8"/>
      <c r="I487" s="11"/>
      <c r="J487" s="12"/>
      <c r="K487" s="12"/>
      <c r="L487" s="12"/>
      <c r="M487" s="8"/>
    </row>
    <row r="488" spans="1:13" ht="25" customHeight="1">
      <c r="A488" s="12"/>
      <c r="B488" s="8"/>
      <c r="C488" s="8"/>
      <c r="D488" s="8"/>
      <c r="E488" s="8"/>
      <c r="F488" s="8"/>
      <c r="G488" s="8"/>
      <c r="H488" s="8"/>
      <c r="I488" s="11"/>
      <c r="J488" s="12"/>
      <c r="K488" s="12"/>
      <c r="L488" s="12"/>
      <c r="M488" s="8"/>
    </row>
    <row r="489" spans="1:13" ht="25" customHeight="1">
      <c r="A489" s="12"/>
      <c r="B489" s="8"/>
      <c r="C489" s="8"/>
      <c r="D489" s="8"/>
      <c r="E489" s="8"/>
      <c r="F489" s="8"/>
      <c r="G489" s="8"/>
      <c r="H489" s="8"/>
      <c r="I489" s="11"/>
      <c r="J489" s="12"/>
      <c r="K489" s="12"/>
      <c r="L489" s="12"/>
      <c r="M489" s="8"/>
    </row>
    <row r="490" spans="1:13" ht="25" customHeight="1">
      <c r="A490" s="12"/>
      <c r="B490" s="8"/>
      <c r="C490" s="8"/>
      <c r="D490" s="8"/>
      <c r="E490" s="8"/>
      <c r="F490" s="8"/>
      <c r="G490" s="8"/>
      <c r="H490" s="8"/>
      <c r="I490" s="11"/>
      <c r="J490" s="12"/>
      <c r="K490" s="12"/>
      <c r="L490" s="12"/>
      <c r="M490" s="8"/>
    </row>
    <row r="491" spans="1:13" ht="25" customHeight="1">
      <c r="A491" s="12"/>
      <c r="B491" s="8"/>
      <c r="C491" s="8"/>
      <c r="D491" s="8"/>
      <c r="E491" s="8"/>
      <c r="F491" s="8"/>
      <c r="G491" s="8"/>
      <c r="H491" s="8"/>
      <c r="I491" s="11"/>
      <c r="J491" s="12"/>
      <c r="K491" s="12"/>
      <c r="L491" s="12"/>
      <c r="M491" s="8"/>
    </row>
    <row r="492" spans="1:13" ht="25" customHeight="1">
      <c r="A492" s="12"/>
      <c r="B492" s="8"/>
      <c r="C492" s="8"/>
      <c r="D492" s="8"/>
      <c r="E492" s="8"/>
      <c r="F492" s="8"/>
      <c r="G492" s="8"/>
      <c r="H492" s="8"/>
      <c r="I492" s="11"/>
      <c r="J492" s="12"/>
      <c r="K492" s="12"/>
      <c r="L492" s="12"/>
      <c r="M492" s="8"/>
    </row>
    <row r="493" spans="1:13" ht="25" customHeight="1">
      <c r="A493" s="12"/>
      <c r="B493" s="8"/>
      <c r="C493" s="8"/>
      <c r="D493" s="8"/>
      <c r="E493" s="8"/>
      <c r="F493" s="8"/>
      <c r="G493" s="8"/>
      <c r="H493" s="8"/>
      <c r="I493" s="11"/>
      <c r="J493" s="12"/>
      <c r="K493" s="12"/>
      <c r="L493" s="12"/>
      <c r="M493" s="8"/>
    </row>
    <row r="494" spans="1:13" ht="25" customHeight="1">
      <c r="A494" s="12"/>
      <c r="B494" s="8"/>
      <c r="C494" s="8"/>
      <c r="D494" s="8"/>
      <c r="E494" s="8"/>
      <c r="F494" s="8"/>
      <c r="G494" s="8"/>
      <c r="H494" s="8"/>
      <c r="I494" s="11"/>
      <c r="J494" s="12"/>
      <c r="K494" s="12"/>
      <c r="L494" s="12"/>
      <c r="M494" s="8"/>
    </row>
    <row r="495" spans="1:13" ht="25" customHeight="1">
      <c r="A495" s="12"/>
      <c r="B495" s="8"/>
      <c r="C495" s="8"/>
      <c r="D495" s="8"/>
      <c r="E495" s="8"/>
      <c r="F495" s="8"/>
      <c r="G495" s="8"/>
      <c r="H495" s="8"/>
      <c r="I495" s="11"/>
      <c r="J495" s="12"/>
      <c r="K495" s="12"/>
      <c r="L495" s="12"/>
      <c r="M495" s="8"/>
    </row>
    <row r="496" spans="1:13" ht="25" customHeight="1">
      <c r="A496" s="12"/>
      <c r="B496" s="8"/>
      <c r="C496" s="8"/>
      <c r="D496" s="8"/>
      <c r="E496" s="8"/>
      <c r="F496" s="8"/>
      <c r="G496" s="8"/>
      <c r="H496" s="8"/>
      <c r="I496" s="11"/>
      <c r="J496" s="12"/>
      <c r="K496" s="12"/>
      <c r="L496" s="12"/>
      <c r="M496" s="8"/>
    </row>
    <row r="497" spans="1:13" ht="25" customHeight="1">
      <c r="A497" s="12"/>
      <c r="B497" s="8"/>
      <c r="C497" s="8"/>
      <c r="D497" s="8"/>
      <c r="E497" s="8"/>
      <c r="F497" s="8"/>
      <c r="G497" s="8"/>
      <c r="H497" s="8"/>
      <c r="I497" s="11"/>
      <c r="J497" s="12"/>
      <c r="K497" s="12"/>
      <c r="L497" s="12"/>
      <c r="M497" s="8"/>
    </row>
    <row r="498" spans="1:13" ht="25" customHeight="1">
      <c r="A498" s="12"/>
      <c r="B498" s="8"/>
      <c r="C498" s="8"/>
      <c r="D498" s="8"/>
      <c r="E498" s="8"/>
      <c r="F498" s="8"/>
      <c r="G498" s="8"/>
      <c r="H498" s="8"/>
      <c r="I498" s="11"/>
      <c r="J498" s="12"/>
      <c r="K498" s="12"/>
      <c r="L498" s="12"/>
      <c r="M498" s="8"/>
    </row>
    <row r="499" spans="1:13" ht="25" customHeight="1">
      <c r="A499" s="12"/>
      <c r="B499" s="8"/>
      <c r="C499" s="8"/>
      <c r="D499" s="8"/>
      <c r="E499" s="8"/>
      <c r="F499" s="8"/>
      <c r="G499" s="8"/>
      <c r="H499" s="8"/>
      <c r="I499" s="11"/>
      <c r="J499" s="12"/>
      <c r="K499" s="12"/>
      <c r="L499" s="12"/>
      <c r="M499" s="8"/>
    </row>
    <row r="500" spans="1:13" ht="25" customHeight="1">
      <c r="A500" s="12"/>
      <c r="B500" s="8"/>
      <c r="C500" s="8"/>
      <c r="D500" s="8"/>
      <c r="E500" s="8"/>
      <c r="F500" s="8"/>
      <c r="G500" s="8"/>
      <c r="H500" s="8"/>
      <c r="I500" s="11"/>
      <c r="J500" s="12"/>
      <c r="K500" s="12"/>
      <c r="L500" s="12"/>
      <c r="M500" s="8"/>
    </row>
    <row r="501" spans="1:13" ht="25" customHeight="1">
      <c r="A501" s="12"/>
      <c r="B501" s="8"/>
      <c r="C501" s="8"/>
      <c r="D501" s="8"/>
      <c r="E501" s="8"/>
      <c r="F501" s="8"/>
      <c r="G501" s="8"/>
      <c r="H501" s="8"/>
      <c r="I501" s="11"/>
      <c r="J501" s="12"/>
      <c r="K501" s="12"/>
      <c r="L501" s="12"/>
      <c r="M501" s="8"/>
    </row>
    <row r="502" spans="1:13" ht="25" customHeight="1">
      <c r="A502" s="12"/>
      <c r="B502" s="8"/>
      <c r="C502" s="8"/>
      <c r="D502" s="8"/>
      <c r="E502" s="8"/>
      <c r="F502" s="8"/>
      <c r="G502" s="8"/>
      <c r="H502" s="8"/>
      <c r="I502" s="11"/>
      <c r="J502" s="12"/>
      <c r="K502" s="12"/>
      <c r="L502" s="12"/>
      <c r="M502" s="8"/>
    </row>
    <row r="503" spans="1:13" ht="25" customHeight="1">
      <c r="A503" s="12"/>
      <c r="B503" s="8"/>
      <c r="C503" s="8"/>
      <c r="D503" s="8"/>
      <c r="E503" s="8"/>
      <c r="F503" s="8"/>
      <c r="G503" s="8"/>
      <c r="H503" s="8"/>
      <c r="I503" s="11"/>
      <c r="J503" s="12"/>
      <c r="K503" s="12"/>
      <c r="L503" s="12"/>
      <c r="M503" s="8"/>
    </row>
    <row r="504" spans="1:13" ht="25" customHeight="1">
      <c r="A504" s="12"/>
      <c r="B504" s="8"/>
      <c r="C504" s="8"/>
      <c r="D504" s="8"/>
      <c r="E504" s="8"/>
      <c r="F504" s="8"/>
      <c r="G504" s="8"/>
      <c r="H504" s="8"/>
      <c r="I504" s="11"/>
      <c r="J504" s="12"/>
      <c r="K504" s="12"/>
      <c r="L504" s="12"/>
      <c r="M504" s="8"/>
    </row>
    <row r="505" spans="1:13" ht="25" customHeight="1">
      <c r="A505" s="12"/>
      <c r="B505" s="8"/>
      <c r="C505" s="8"/>
      <c r="D505" s="8"/>
      <c r="E505" s="8"/>
      <c r="F505" s="8"/>
      <c r="G505" s="8"/>
      <c r="H505" s="8"/>
      <c r="I505" s="11"/>
      <c r="J505" s="12"/>
      <c r="K505" s="12"/>
      <c r="L505" s="12"/>
      <c r="M505" s="8"/>
    </row>
    <row r="506" spans="1:13" ht="25" customHeight="1">
      <c r="A506" s="12"/>
      <c r="B506" s="8"/>
      <c r="C506" s="8"/>
      <c r="D506" s="8"/>
      <c r="E506" s="8"/>
      <c r="F506" s="8"/>
      <c r="G506" s="8"/>
      <c r="H506" s="8"/>
      <c r="I506" s="11"/>
      <c r="J506" s="12"/>
      <c r="K506" s="12"/>
      <c r="L506" s="12"/>
      <c r="M506" s="8"/>
    </row>
    <row r="507" spans="1:13" ht="25" customHeight="1">
      <c r="A507" s="12"/>
      <c r="B507" s="8"/>
      <c r="C507" s="8"/>
      <c r="D507" s="8"/>
      <c r="E507" s="8"/>
      <c r="F507" s="8"/>
      <c r="G507" s="8"/>
      <c r="H507" s="8"/>
      <c r="I507" s="11"/>
      <c r="J507" s="12"/>
      <c r="K507" s="12"/>
      <c r="L507" s="12"/>
      <c r="M507" s="8"/>
    </row>
    <row r="508" spans="1:13" ht="25" customHeight="1">
      <c r="A508" s="12"/>
      <c r="B508" s="8"/>
      <c r="C508" s="8"/>
      <c r="D508" s="8"/>
      <c r="E508" s="8"/>
      <c r="F508" s="8"/>
      <c r="G508" s="8"/>
      <c r="H508" s="8"/>
      <c r="I508" s="11"/>
      <c r="J508" s="12"/>
      <c r="K508" s="12"/>
      <c r="L508" s="12"/>
      <c r="M508" s="8"/>
    </row>
    <row r="509" spans="1:13" ht="25" customHeight="1">
      <c r="A509" s="12"/>
      <c r="B509" s="8"/>
      <c r="C509" s="8"/>
      <c r="D509" s="8"/>
      <c r="E509" s="8"/>
      <c r="F509" s="8"/>
      <c r="G509" s="8"/>
      <c r="H509" s="8"/>
      <c r="I509" s="11"/>
      <c r="J509" s="12"/>
      <c r="K509" s="12"/>
      <c r="L509" s="12"/>
      <c r="M509" s="8"/>
    </row>
    <row r="510" spans="1:13" ht="25" customHeight="1">
      <c r="A510" s="12"/>
      <c r="B510" s="8"/>
      <c r="C510" s="8"/>
      <c r="D510" s="8"/>
      <c r="E510" s="8"/>
      <c r="F510" s="8"/>
      <c r="G510" s="8"/>
      <c r="H510" s="8"/>
      <c r="I510" s="11"/>
      <c r="J510" s="12"/>
      <c r="K510" s="12"/>
      <c r="L510" s="12"/>
      <c r="M510" s="8"/>
    </row>
    <row r="511" spans="1:13" ht="25" customHeight="1">
      <c r="A511" s="12"/>
      <c r="B511" s="8"/>
      <c r="C511" s="8"/>
      <c r="D511" s="8"/>
      <c r="E511" s="8"/>
      <c r="F511" s="8"/>
      <c r="G511" s="8"/>
      <c r="H511" s="8"/>
      <c r="I511" s="11"/>
      <c r="J511" s="12"/>
      <c r="K511" s="12"/>
      <c r="L511" s="12"/>
      <c r="M511" s="8"/>
    </row>
    <row r="512" spans="1:13" ht="25" customHeight="1">
      <c r="A512" s="12"/>
      <c r="B512" s="8"/>
      <c r="C512" s="8"/>
      <c r="D512" s="8"/>
      <c r="E512" s="8"/>
      <c r="F512" s="8"/>
      <c r="G512" s="8"/>
      <c r="H512" s="8"/>
      <c r="I512" s="11"/>
      <c r="J512" s="12"/>
      <c r="K512" s="12"/>
      <c r="L512" s="12"/>
      <c r="M512" s="8"/>
    </row>
    <row r="513" spans="1:13" ht="25" customHeight="1">
      <c r="A513" s="12"/>
      <c r="B513" s="8"/>
      <c r="C513" s="8"/>
      <c r="D513" s="8"/>
      <c r="E513" s="8"/>
      <c r="F513" s="8"/>
      <c r="G513" s="8"/>
      <c r="H513" s="8"/>
      <c r="I513" s="11"/>
      <c r="J513" s="12"/>
      <c r="K513" s="12"/>
      <c r="L513" s="12"/>
      <c r="M513" s="8"/>
    </row>
    <row r="514" spans="1:13" ht="25" customHeight="1">
      <c r="A514" s="12"/>
      <c r="B514" s="8"/>
      <c r="C514" s="8"/>
      <c r="D514" s="8"/>
      <c r="E514" s="8"/>
      <c r="F514" s="8"/>
      <c r="G514" s="8"/>
      <c r="H514" s="8"/>
      <c r="I514" s="11"/>
      <c r="J514" s="12"/>
      <c r="K514" s="12"/>
      <c r="L514" s="12"/>
      <c r="M514" s="8"/>
    </row>
    <row r="515" spans="1:13" ht="25" customHeight="1">
      <c r="A515" s="12"/>
      <c r="B515" s="8"/>
      <c r="C515" s="8"/>
      <c r="D515" s="8"/>
      <c r="E515" s="8"/>
      <c r="F515" s="8"/>
      <c r="G515" s="8"/>
      <c r="H515" s="8"/>
      <c r="I515" s="11"/>
      <c r="J515" s="12"/>
      <c r="K515" s="12"/>
      <c r="L515" s="12"/>
      <c r="M515" s="8"/>
    </row>
    <row r="516" spans="1:13" ht="25" customHeight="1">
      <c r="A516" s="12"/>
      <c r="B516" s="8"/>
      <c r="C516" s="8"/>
      <c r="D516" s="8"/>
      <c r="E516" s="8"/>
      <c r="F516" s="8"/>
      <c r="G516" s="8"/>
      <c r="H516" s="8"/>
      <c r="I516" s="11"/>
      <c r="J516" s="12"/>
      <c r="K516" s="12"/>
      <c r="L516" s="12"/>
      <c r="M516" s="8"/>
    </row>
    <row r="517" spans="1:13" ht="25" customHeight="1">
      <c r="A517" s="12"/>
      <c r="B517" s="8"/>
      <c r="C517" s="8"/>
      <c r="D517" s="8"/>
      <c r="E517" s="8"/>
      <c r="F517" s="8"/>
      <c r="G517" s="8"/>
      <c r="H517" s="8"/>
      <c r="I517" s="11"/>
      <c r="J517" s="12"/>
      <c r="K517" s="12"/>
      <c r="L517" s="12"/>
      <c r="M517" s="8"/>
    </row>
    <row r="518" spans="1:13" ht="25" customHeight="1">
      <c r="A518" s="12"/>
      <c r="B518" s="8"/>
      <c r="C518" s="8"/>
      <c r="D518" s="8"/>
      <c r="E518" s="8"/>
      <c r="F518" s="8"/>
      <c r="G518" s="8"/>
      <c r="H518" s="8"/>
      <c r="I518" s="11"/>
      <c r="J518" s="12"/>
      <c r="K518" s="12"/>
      <c r="L518" s="12"/>
      <c r="M518" s="8"/>
    </row>
    <row r="519" spans="1:13" ht="25" customHeight="1">
      <c r="A519" s="12"/>
      <c r="B519" s="8"/>
      <c r="C519" s="8"/>
      <c r="D519" s="8"/>
      <c r="E519" s="8"/>
      <c r="F519" s="8"/>
      <c r="G519" s="8"/>
      <c r="H519" s="8"/>
      <c r="I519" s="11"/>
      <c r="J519" s="12"/>
      <c r="K519" s="12"/>
      <c r="L519" s="12"/>
      <c r="M519" s="8"/>
    </row>
    <row r="520" spans="1:13" ht="25" customHeight="1">
      <c r="A520" s="12"/>
      <c r="B520" s="8"/>
      <c r="C520" s="8"/>
      <c r="D520" s="8"/>
      <c r="E520" s="8"/>
      <c r="F520" s="8"/>
      <c r="G520" s="8"/>
      <c r="H520" s="8"/>
      <c r="I520" s="11"/>
      <c r="J520" s="12"/>
      <c r="K520" s="12"/>
      <c r="L520" s="12"/>
      <c r="M520" s="8"/>
    </row>
    <row r="521" spans="1:13" ht="25" customHeight="1">
      <c r="A521" s="12"/>
      <c r="B521" s="8"/>
      <c r="C521" s="8"/>
      <c r="D521" s="8"/>
      <c r="E521" s="8"/>
      <c r="F521" s="8"/>
      <c r="G521" s="8"/>
      <c r="H521" s="8"/>
      <c r="I521" s="11"/>
      <c r="J521" s="12"/>
      <c r="K521" s="12"/>
      <c r="L521" s="12"/>
      <c r="M521" s="8"/>
    </row>
    <row r="522" spans="1:13" ht="25" customHeight="1">
      <c r="A522" s="12"/>
      <c r="B522" s="8"/>
      <c r="C522" s="8"/>
      <c r="D522" s="8"/>
      <c r="E522" s="8"/>
      <c r="F522" s="8"/>
      <c r="G522" s="8"/>
      <c r="H522" s="8"/>
      <c r="I522" s="11"/>
      <c r="J522" s="12"/>
      <c r="K522" s="12"/>
      <c r="L522" s="12"/>
      <c r="M522" s="8"/>
    </row>
    <row r="523" spans="1:13" ht="25" customHeight="1">
      <c r="A523" s="12"/>
      <c r="B523" s="8"/>
      <c r="C523" s="8"/>
      <c r="D523" s="8"/>
      <c r="E523" s="8"/>
      <c r="F523" s="8"/>
      <c r="G523" s="8"/>
      <c r="H523" s="8"/>
      <c r="I523" s="11"/>
      <c r="J523" s="12"/>
      <c r="K523" s="12"/>
      <c r="L523" s="12"/>
      <c r="M523" s="8"/>
    </row>
    <row r="524" spans="1:13" ht="25" customHeight="1">
      <c r="A524" s="12"/>
      <c r="B524" s="8"/>
      <c r="C524" s="8"/>
      <c r="D524" s="8"/>
      <c r="E524" s="8"/>
      <c r="F524" s="8"/>
      <c r="G524" s="8"/>
      <c r="H524" s="8"/>
      <c r="I524" s="11"/>
      <c r="J524" s="12"/>
      <c r="K524" s="12"/>
      <c r="L524" s="12"/>
      <c r="M524" s="8"/>
    </row>
    <row r="525" spans="1:13" ht="25" customHeight="1">
      <c r="A525" s="12"/>
      <c r="B525" s="8"/>
      <c r="C525" s="8"/>
      <c r="D525" s="8"/>
      <c r="E525" s="8"/>
      <c r="F525" s="8"/>
      <c r="G525" s="8"/>
      <c r="H525" s="8"/>
      <c r="I525" s="11"/>
      <c r="J525" s="12"/>
      <c r="K525" s="12"/>
      <c r="L525" s="12"/>
      <c r="M525" s="8"/>
    </row>
    <row r="526" spans="1:13" ht="25" customHeight="1">
      <c r="A526" s="12"/>
      <c r="B526" s="8"/>
      <c r="C526" s="8"/>
      <c r="D526" s="8"/>
      <c r="E526" s="8"/>
      <c r="F526" s="8"/>
      <c r="G526" s="8"/>
      <c r="H526" s="8"/>
      <c r="I526" s="11"/>
      <c r="J526" s="12"/>
      <c r="K526" s="12"/>
      <c r="L526" s="12"/>
      <c r="M526" s="8"/>
    </row>
    <row r="527" spans="1:13" ht="25" customHeight="1">
      <c r="A527" s="12"/>
      <c r="B527" s="8"/>
      <c r="C527" s="8"/>
      <c r="D527" s="8"/>
      <c r="E527" s="8"/>
      <c r="F527" s="8"/>
      <c r="G527" s="8"/>
      <c r="H527" s="8"/>
      <c r="I527" s="11"/>
      <c r="J527" s="12"/>
      <c r="K527" s="12"/>
      <c r="L527" s="12"/>
      <c r="M527" s="8"/>
    </row>
    <row r="528" spans="1:13" ht="25" customHeight="1">
      <c r="A528" s="12"/>
      <c r="B528" s="8"/>
      <c r="C528" s="8"/>
      <c r="D528" s="8"/>
      <c r="E528" s="8"/>
      <c r="F528" s="8"/>
      <c r="G528" s="8"/>
      <c r="H528" s="8"/>
      <c r="I528" s="11"/>
      <c r="J528" s="12"/>
      <c r="K528" s="12"/>
      <c r="L528" s="12"/>
      <c r="M528" s="8"/>
    </row>
    <row r="529" spans="1:13" ht="25" customHeight="1">
      <c r="A529" s="12"/>
      <c r="B529" s="8"/>
      <c r="C529" s="8"/>
      <c r="D529" s="8"/>
      <c r="E529" s="8"/>
      <c r="F529" s="8"/>
      <c r="G529" s="8"/>
      <c r="H529" s="8"/>
      <c r="I529" s="11"/>
      <c r="J529" s="12"/>
      <c r="K529" s="12"/>
      <c r="L529" s="12"/>
      <c r="M529" s="8"/>
    </row>
    <row r="530" spans="1:13" ht="25" customHeight="1">
      <c r="A530" s="12"/>
      <c r="B530" s="8"/>
      <c r="C530" s="8"/>
      <c r="D530" s="8"/>
      <c r="E530" s="8"/>
      <c r="F530" s="8"/>
      <c r="G530" s="8"/>
      <c r="H530" s="8"/>
      <c r="I530" s="11"/>
      <c r="J530" s="12"/>
      <c r="K530" s="12"/>
      <c r="L530" s="12"/>
      <c r="M530" s="8"/>
    </row>
    <row r="531" spans="1:13" ht="25" customHeight="1">
      <c r="A531" s="12"/>
      <c r="B531" s="8"/>
      <c r="C531" s="8"/>
      <c r="D531" s="8"/>
      <c r="E531" s="8"/>
      <c r="F531" s="8"/>
      <c r="G531" s="8"/>
      <c r="H531" s="8"/>
      <c r="I531" s="11"/>
      <c r="J531" s="12"/>
      <c r="K531" s="12"/>
      <c r="L531" s="12"/>
      <c r="M531" s="8"/>
    </row>
    <row r="532" spans="1:13" ht="25" customHeight="1">
      <c r="A532" s="12"/>
      <c r="B532" s="8"/>
      <c r="C532" s="8"/>
      <c r="D532" s="8"/>
      <c r="E532" s="8"/>
      <c r="F532" s="8"/>
      <c r="G532" s="8"/>
      <c r="H532" s="8"/>
      <c r="I532" s="11"/>
      <c r="J532" s="12"/>
      <c r="K532" s="12"/>
      <c r="L532" s="12"/>
      <c r="M532" s="8"/>
    </row>
    <row r="533" spans="1:13" ht="25" customHeight="1">
      <c r="A533" s="12"/>
      <c r="B533" s="8"/>
      <c r="C533" s="8"/>
      <c r="D533" s="8"/>
      <c r="E533" s="8"/>
      <c r="F533" s="8"/>
      <c r="G533" s="8"/>
      <c r="H533" s="8"/>
      <c r="I533" s="11"/>
      <c r="J533" s="12"/>
      <c r="K533" s="12"/>
      <c r="L533" s="12"/>
      <c r="M533" s="8"/>
    </row>
    <row r="534" spans="1:13" ht="25" customHeight="1">
      <c r="A534" s="12"/>
      <c r="B534" s="8"/>
      <c r="C534" s="8"/>
      <c r="D534" s="8"/>
      <c r="E534" s="8"/>
      <c r="F534" s="8"/>
      <c r="G534" s="8"/>
      <c r="H534" s="8"/>
      <c r="I534" s="11"/>
      <c r="J534" s="12"/>
      <c r="K534" s="12"/>
      <c r="L534" s="12"/>
      <c r="M534" s="8"/>
    </row>
    <row r="535" spans="1:13" ht="25" customHeight="1">
      <c r="A535" s="12"/>
      <c r="B535" s="8"/>
      <c r="C535" s="8"/>
      <c r="D535" s="8"/>
      <c r="E535" s="8"/>
      <c r="F535" s="8"/>
      <c r="G535" s="8"/>
      <c r="H535" s="8"/>
      <c r="I535" s="11"/>
      <c r="J535" s="12"/>
      <c r="K535" s="12"/>
      <c r="L535" s="12"/>
      <c r="M535" s="8"/>
    </row>
    <row r="536" spans="1:13" ht="25" customHeight="1">
      <c r="A536" s="12"/>
      <c r="B536" s="8"/>
      <c r="C536" s="8"/>
      <c r="D536" s="8"/>
      <c r="E536" s="8"/>
      <c r="F536" s="8"/>
      <c r="G536" s="8"/>
      <c r="H536" s="8"/>
      <c r="I536" s="11"/>
      <c r="J536" s="12"/>
      <c r="K536" s="12"/>
      <c r="L536" s="12"/>
      <c r="M536" s="8"/>
    </row>
    <row r="537" spans="1:13" ht="25" customHeight="1">
      <c r="A537" s="12"/>
      <c r="B537" s="8"/>
      <c r="C537" s="8"/>
      <c r="D537" s="8"/>
      <c r="E537" s="8"/>
      <c r="F537" s="8"/>
      <c r="G537" s="8"/>
      <c r="H537" s="8"/>
      <c r="I537" s="11"/>
      <c r="J537" s="12"/>
      <c r="K537" s="12"/>
      <c r="L537" s="12"/>
      <c r="M537" s="8"/>
    </row>
    <row r="538" spans="1:13" ht="25" customHeight="1">
      <c r="A538" s="12"/>
      <c r="B538" s="8"/>
      <c r="C538" s="8"/>
      <c r="D538" s="8"/>
      <c r="E538" s="8"/>
      <c r="F538" s="8"/>
      <c r="G538" s="8"/>
      <c r="H538" s="8"/>
      <c r="I538" s="11"/>
      <c r="J538" s="12"/>
      <c r="K538" s="12"/>
      <c r="L538" s="12"/>
      <c r="M538" s="8"/>
    </row>
    <row r="539" spans="1:13" ht="25" customHeight="1">
      <c r="A539" s="12"/>
      <c r="B539" s="8"/>
      <c r="C539" s="8"/>
      <c r="D539" s="8"/>
      <c r="E539" s="8"/>
      <c r="F539" s="8"/>
      <c r="G539" s="8"/>
      <c r="H539" s="8"/>
      <c r="I539" s="11"/>
      <c r="J539" s="12"/>
      <c r="K539" s="12"/>
      <c r="L539" s="12"/>
      <c r="M539" s="8"/>
    </row>
    <row r="540" spans="1:13" ht="25" customHeight="1">
      <c r="A540" s="12"/>
      <c r="B540" s="8"/>
      <c r="C540" s="8"/>
      <c r="D540" s="8"/>
      <c r="E540" s="8"/>
      <c r="F540" s="8"/>
      <c r="G540" s="8"/>
      <c r="H540" s="8"/>
      <c r="I540" s="11"/>
      <c r="J540" s="12"/>
      <c r="K540" s="12"/>
      <c r="L540" s="12"/>
      <c r="M540" s="8"/>
    </row>
    <row r="541" spans="1:13" ht="25" customHeight="1">
      <c r="A541" s="12"/>
      <c r="B541" s="8"/>
      <c r="C541" s="8"/>
      <c r="D541" s="8"/>
      <c r="E541" s="8"/>
      <c r="F541" s="8"/>
      <c r="G541" s="8"/>
      <c r="H541" s="8"/>
      <c r="I541" s="11"/>
      <c r="J541" s="12"/>
      <c r="K541" s="12"/>
      <c r="L541" s="12"/>
      <c r="M541" s="8"/>
    </row>
    <row r="542" spans="1:13" ht="25" customHeight="1">
      <c r="A542" s="12"/>
      <c r="B542" s="8"/>
      <c r="C542" s="8"/>
      <c r="D542" s="8"/>
      <c r="E542" s="8"/>
      <c r="F542" s="8"/>
      <c r="G542" s="8"/>
      <c r="H542" s="8"/>
      <c r="I542" s="11"/>
      <c r="J542" s="12"/>
      <c r="K542" s="12"/>
      <c r="L542" s="12"/>
      <c r="M542" s="8"/>
    </row>
    <row r="543" spans="1:13" ht="25" customHeight="1">
      <c r="A543" s="12"/>
      <c r="B543" s="8"/>
      <c r="C543" s="8"/>
      <c r="D543" s="8"/>
      <c r="E543" s="8"/>
      <c r="F543" s="8"/>
      <c r="G543" s="8"/>
      <c r="H543" s="8"/>
      <c r="I543" s="11"/>
      <c r="J543" s="12"/>
      <c r="K543" s="12"/>
      <c r="L543" s="12"/>
      <c r="M543" s="8"/>
    </row>
    <row r="544" spans="1:13" ht="25" customHeight="1">
      <c r="A544" s="12"/>
      <c r="B544" s="8"/>
      <c r="C544" s="8"/>
      <c r="D544" s="8"/>
      <c r="E544" s="8"/>
      <c r="F544" s="8"/>
      <c r="G544" s="8"/>
      <c r="H544" s="8"/>
      <c r="I544" s="11"/>
      <c r="J544" s="12"/>
      <c r="K544" s="12"/>
      <c r="L544" s="12"/>
      <c r="M544" s="8"/>
    </row>
    <row r="545" spans="1:13" ht="25" customHeight="1">
      <c r="A545" s="12"/>
      <c r="B545" s="8"/>
      <c r="C545" s="8"/>
      <c r="D545" s="8"/>
      <c r="E545" s="8"/>
      <c r="F545" s="8"/>
      <c r="G545" s="8"/>
      <c r="H545" s="8"/>
      <c r="I545" s="11"/>
      <c r="J545" s="12"/>
      <c r="K545" s="12"/>
      <c r="L545" s="12"/>
      <c r="M545" s="8"/>
    </row>
    <row r="546" spans="1:13" ht="25" customHeight="1">
      <c r="A546" s="12"/>
      <c r="B546" s="8"/>
      <c r="C546" s="8"/>
      <c r="D546" s="8"/>
      <c r="E546" s="8"/>
      <c r="F546" s="8"/>
      <c r="G546" s="8"/>
      <c r="H546" s="8"/>
      <c r="I546" s="11"/>
      <c r="J546" s="12"/>
      <c r="K546" s="12"/>
      <c r="L546" s="12"/>
      <c r="M546" s="8"/>
    </row>
    <row r="547" spans="1:13" ht="25" customHeight="1">
      <c r="A547" s="12"/>
      <c r="B547" s="8"/>
      <c r="C547" s="8"/>
      <c r="D547" s="8"/>
      <c r="E547" s="8"/>
      <c r="F547" s="8"/>
      <c r="G547" s="8"/>
      <c r="H547" s="8"/>
      <c r="I547" s="11"/>
      <c r="J547" s="12"/>
      <c r="K547" s="12"/>
      <c r="L547" s="12"/>
      <c r="M547" s="8"/>
    </row>
    <row r="548" spans="1:13" ht="25" customHeight="1">
      <c r="A548" s="12"/>
      <c r="B548" s="8"/>
      <c r="C548" s="8"/>
      <c r="D548" s="8"/>
      <c r="E548" s="8"/>
      <c r="F548" s="8"/>
      <c r="G548" s="8"/>
      <c r="H548" s="8"/>
      <c r="I548" s="11"/>
      <c r="J548" s="12"/>
      <c r="K548" s="12"/>
      <c r="L548" s="12"/>
      <c r="M548" s="8"/>
    </row>
    <row r="549" spans="1:13" ht="25" customHeight="1">
      <c r="A549" s="12"/>
      <c r="B549" s="8"/>
      <c r="C549" s="8"/>
      <c r="D549" s="8"/>
      <c r="E549" s="8"/>
      <c r="F549" s="8"/>
      <c r="G549" s="8"/>
      <c r="H549" s="8"/>
      <c r="I549" s="11"/>
      <c r="J549" s="12"/>
      <c r="K549" s="12"/>
      <c r="L549" s="12"/>
      <c r="M549" s="8"/>
    </row>
    <row r="550" spans="1:13" ht="25" customHeight="1">
      <c r="A550" s="12"/>
      <c r="B550" s="8"/>
      <c r="C550" s="8"/>
      <c r="D550" s="8"/>
      <c r="E550" s="8"/>
      <c r="F550" s="8"/>
      <c r="G550" s="8"/>
      <c r="H550" s="8"/>
      <c r="I550" s="11"/>
      <c r="J550" s="12"/>
      <c r="K550" s="12"/>
      <c r="L550" s="12"/>
      <c r="M550" s="8"/>
    </row>
    <row r="551" spans="1:13" ht="25" customHeight="1">
      <c r="A551" s="12"/>
      <c r="B551" s="8"/>
      <c r="C551" s="8"/>
      <c r="D551" s="8"/>
      <c r="E551" s="8"/>
      <c r="F551" s="8"/>
      <c r="G551" s="8"/>
      <c r="H551" s="8"/>
      <c r="I551" s="11"/>
      <c r="J551" s="12"/>
      <c r="K551" s="12"/>
      <c r="L551" s="12"/>
      <c r="M551" s="8"/>
    </row>
    <row r="552" spans="1:13" ht="25" customHeight="1">
      <c r="A552" s="12"/>
      <c r="B552" s="8"/>
      <c r="C552" s="8"/>
      <c r="D552" s="8"/>
      <c r="E552" s="8"/>
      <c r="F552" s="8"/>
      <c r="G552" s="8"/>
      <c r="H552" s="8"/>
      <c r="I552" s="11"/>
      <c r="J552" s="12"/>
      <c r="K552" s="12"/>
      <c r="L552" s="12"/>
      <c r="M552" s="8"/>
    </row>
    <row r="553" spans="1:13" ht="25" customHeight="1">
      <c r="A553" s="12"/>
      <c r="B553" s="8"/>
      <c r="C553" s="8"/>
      <c r="D553" s="8"/>
      <c r="E553" s="8"/>
      <c r="F553" s="8"/>
      <c r="G553" s="8"/>
      <c r="H553" s="8"/>
      <c r="I553" s="11"/>
      <c r="J553" s="12"/>
      <c r="K553" s="12"/>
      <c r="L553" s="12"/>
      <c r="M553" s="8"/>
    </row>
    <row r="554" spans="1:13" ht="25" customHeight="1">
      <c r="A554" s="12"/>
      <c r="B554" s="8"/>
      <c r="C554" s="8"/>
      <c r="D554" s="8"/>
      <c r="E554" s="8"/>
      <c r="F554" s="8"/>
      <c r="G554" s="8"/>
      <c r="H554" s="8"/>
      <c r="I554" s="11"/>
      <c r="J554" s="12"/>
      <c r="K554" s="12"/>
      <c r="L554" s="12"/>
      <c r="M554" s="8"/>
    </row>
    <row r="555" spans="1:13" ht="25" customHeight="1">
      <c r="A555" s="12"/>
      <c r="B555" s="8"/>
      <c r="C555" s="8"/>
      <c r="D555" s="8"/>
      <c r="E555" s="8"/>
      <c r="F555" s="8"/>
      <c r="G555" s="8"/>
      <c r="H555" s="8"/>
      <c r="I555" s="11"/>
      <c r="J555" s="12"/>
      <c r="K555" s="12"/>
      <c r="L555" s="12"/>
      <c r="M555" s="8"/>
    </row>
    <row r="556" spans="1:13" ht="25" customHeight="1">
      <c r="A556" s="12"/>
      <c r="B556" s="8"/>
      <c r="C556" s="8"/>
      <c r="D556" s="8"/>
      <c r="E556" s="8"/>
      <c r="F556" s="8"/>
      <c r="G556" s="8"/>
      <c r="H556" s="8"/>
      <c r="I556" s="11"/>
      <c r="J556" s="12"/>
      <c r="K556" s="12"/>
      <c r="L556" s="12"/>
      <c r="M556" s="8"/>
    </row>
    <row r="557" spans="1:13" ht="25" customHeight="1">
      <c r="A557" s="12"/>
      <c r="B557" s="8"/>
      <c r="C557" s="8"/>
      <c r="D557" s="8"/>
      <c r="E557" s="8"/>
      <c r="F557" s="8"/>
      <c r="G557" s="8"/>
      <c r="H557" s="8"/>
      <c r="I557" s="11"/>
      <c r="J557" s="12"/>
      <c r="K557" s="12"/>
      <c r="L557" s="12"/>
      <c r="M557" s="8"/>
    </row>
    <row r="558" spans="1:13" ht="25" customHeight="1">
      <c r="A558" s="12"/>
      <c r="B558" s="8"/>
      <c r="C558" s="8"/>
      <c r="D558" s="8"/>
      <c r="E558" s="8"/>
      <c r="F558" s="8"/>
      <c r="G558" s="8"/>
      <c r="H558" s="8"/>
      <c r="I558" s="11"/>
      <c r="J558" s="12"/>
      <c r="K558" s="12"/>
      <c r="L558" s="12"/>
      <c r="M558" s="8"/>
    </row>
    <row r="559" spans="1:13" ht="25" customHeight="1">
      <c r="A559" s="12"/>
      <c r="B559" s="8"/>
      <c r="C559" s="8"/>
      <c r="D559" s="8"/>
      <c r="E559" s="8"/>
      <c r="F559" s="8"/>
      <c r="G559" s="8"/>
      <c r="H559" s="8"/>
      <c r="I559" s="11"/>
      <c r="J559" s="12"/>
      <c r="K559" s="12"/>
      <c r="L559" s="12"/>
      <c r="M559" s="8"/>
    </row>
    <row r="560" spans="1:13" ht="25" customHeight="1">
      <c r="A560" s="12"/>
      <c r="B560" s="8"/>
      <c r="C560" s="8"/>
      <c r="D560" s="8"/>
      <c r="E560" s="8"/>
      <c r="F560" s="8"/>
      <c r="G560" s="8"/>
      <c r="H560" s="8"/>
      <c r="I560" s="11"/>
      <c r="J560" s="12"/>
      <c r="K560" s="12"/>
      <c r="L560" s="12"/>
      <c r="M560" s="8"/>
    </row>
    <row r="561" spans="1:13" ht="25" customHeight="1">
      <c r="A561" s="12"/>
      <c r="B561" s="8"/>
      <c r="C561" s="8"/>
      <c r="D561" s="8"/>
      <c r="E561" s="8"/>
      <c r="F561" s="8"/>
      <c r="G561" s="8"/>
      <c r="H561" s="8"/>
      <c r="I561" s="11"/>
      <c r="J561" s="12"/>
      <c r="K561" s="12"/>
      <c r="L561" s="12"/>
      <c r="M561" s="8"/>
    </row>
    <row r="562" spans="1:13" ht="25" customHeight="1">
      <c r="A562" s="12"/>
      <c r="B562" s="8"/>
      <c r="C562" s="8"/>
      <c r="D562" s="8"/>
      <c r="E562" s="8"/>
      <c r="F562" s="8"/>
      <c r="G562" s="8"/>
      <c r="H562" s="8"/>
      <c r="I562" s="11"/>
      <c r="J562" s="12"/>
      <c r="K562" s="12"/>
      <c r="L562" s="12"/>
      <c r="M562" s="8"/>
    </row>
    <row r="563" spans="1:13" ht="25" customHeight="1">
      <c r="A563" s="12"/>
      <c r="B563" s="8"/>
      <c r="C563" s="8"/>
      <c r="D563" s="8"/>
      <c r="E563" s="8"/>
      <c r="F563" s="8"/>
      <c r="G563" s="8"/>
      <c r="H563" s="8"/>
      <c r="I563" s="11"/>
      <c r="J563" s="12"/>
      <c r="K563" s="12"/>
      <c r="L563" s="12"/>
      <c r="M563" s="8"/>
    </row>
    <row r="564" spans="1:13" ht="25" customHeight="1">
      <c r="A564" s="12"/>
      <c r="B564" s="8"/>
      <c r="C564" s="8"/>
      <c r="D564" s="8"/>
      <c r="E564" s="8"/>
      <c r="F564" s="8"/>
      <c r="G564" s="8"/>
      <c r="H564" s="8"/>
      <c r="I564" s="11"/>
      <c r="J564" s="12"/>
      <c r="K564" s="12"/>
      <c r="L564" s="12"/>
      <c r="M564" s="8"/>
    </row>
    <row r="565" spans="1:13" ht="25" customHeight="1">
      <c r="A565" s="12"/>
      <c r="B565" s="8"/>
      <c r="C565" s="8"/>
      <c r="D565" s="8"/>
      <c r="E565" s="8"/>
      <c r="F565" s="8"/>
      <c r="G565" s="8"/>
      <c r="H565" s="8"/>
      <c r="I565" s="11"/>
      <c r="J565" s="12"/>
      <c r="K565" s="12"/>
      <c r="L565" s="12"/>
      <c r="M565" s="8"/>
    </row>
    <row r="566" spans="1:13" ht="25" customHeight="1">
      <c r="A566" s="12"/>
      <c r="B566" s="8"/>
      <c r="C566" s="8"/>
      <c r="D566" s="8"/>
      <c r="E566" s="8"/>
      <c r="F566" s="8"/>
      <c r="G566" s="8"/>
      <c r="H566" s="8"/>
      <c r="I566" s="11"/>
      <c r="J566" s="12"/>
      <c r="K566" s="12"/>
      <c r="L566" s="12"/>
      <c r="M566" s="8"/>
    </row>
    <row r="567" spans="1:13" ht="25" customHeight="1">
      <c r="A567" s="12"/>
      <c r="B567" s="8"/>
      <c r="C567" s="8"/>
      <c r="D567" s="8"/>
      <c r="E567" s="8"/>
      <c r="F567" s="8"/>
      <c r="G567" s="8"/>
      <c r="H567" s="8"/>
      <c r="I567" s="11"/>
      <c r="J567" s="12"/>
      <c r="K567" s="12"/>
      <c r="L567" s="12"/>
      <c r="M567" s="8"/>
    </row>
    <row r="568" spans="1:13" ht="25" customHeight="1">
      <c r="A568" s="12"/>
      <c r="B568" s="8"/>
      <c r="C568" s="8"/>
      <c r="D568" s="8"/>
      <c r="E568" s="8"/>
      <c r="F568" s="8"/>
      <c r="G568" s="8"/>
      <c r="H568" s="8"/>
      <c r="I568" s="11"/>
      <c r="J568" s="12"/>
      <c r="K568" s="12"/>
      <c r="L568" s="12"/>
      <c r="M568" s="8"/>
    </row>
    <row r="569" spans="1:13" ht="25" customHeight="1">
      <c r="A569" s="12"/>
      <c r="B569" s="8"/>
      <c r="C569" s="8"/>
      <c r="D569" s="8"/>
      <c r="E569" s="8"/>
      <c r="F569" s="8"/>
      <c r="G569" s="8"/>
      <c r="H569" s="8"/>
      <c r="I569" s="11"/>
      <c r="J569" s="12"/>
      <c r="K569" s="12"/>
      <c r="L569" s="12"/>
      <c r="M569" s="8"/>
    </row>
    <row r="570" spans="1:13" ht="25" customHeight="1">
      <c r="A570" s="12"/>
      <c r="B570" s="8"/>
      <c r="C570" s="8"/>
      <c r="D570" s="8"/>
      <c r="E570" s="8"/>
      <c r="F570" s="8"/>
      <c r="G570" s="8"/>
      <c r="H570" s="8"/>
      <c r="I570" s="11"/>
      <c r="J570" s="12"/>
      <c r="K570" s="12"/>
      <c r="L570" s="12"/>
      <c r="M570" s="8"/>
    </row>
    <row r="571" spans="1:13" ht="25" customHeight="1">
      <c r="A571" s="12"/>
      <c r="B571" s="8"/>
      <c r="C571" s="8"/>
      <c r="D571" s="8"/>
      <c r="E571" s="8"/>
      <c r="F571" s="8"/>
      <c r="G571" s="8"/>
      <c r="H571" s="8"/>
      <c r="I571" s="11"/>
      <c r="J571" s="12"/>
      <c r="K571" s="12"/>
      <c r="L571" s="12"/>
      <c r="M571" s="8"/>
    </row>
    <row r="572" spans="1:13" ht="25" customHeight="1">
      <c r="A572" s="12"/>
      <c r="B572" s="8"/>
      <c r="C572" s="8"/>
      <c r="D572" s="8"/>
      <c r="E572" s="8"/>
      <c r="F572" s="8"/>
      <c r="G572" s="8"/>
      <c r="H572" s="8"/>
      <c r="I572" s="11"/>
      <c r="J572" s="12"/>
      <c r="K572" s="12"/>
      <c r="L572" s="12"/>
      <c r="M572" s="8"/>
    </row>
    <row r="573" spans="1:13" ht="25" customHeight="1">
      <c r="A573" s="12"/>
      <c r="B573" s="8"/>
      <c r="C573" s="8"/>
      <c r="D573" s="8"/>
      <c r="E573" s="8"/>
      <c r="F573" s="8"/>
      <c r="G573" s="8"/>
      <c r="H573" s="8"/>
      <c r="I573" s="11"/>
      <c r="J573" s="12"/>
      <c r="K573" s="12"/>
      <c r="L573" s="12"/>
      <c r="M573" s="8"/>
    </row>
    <row r="574" spans="1:13" ht="25" customHeight="1">
      <c r="A574" s="12"/>
      <c r="B574" s="8"/>
      <c r="C574" s="8"/>
      <c r="D574" s="8"/>
      <c r="E574" s="8"/>
      <c r="F574" s="8"/>
      <c r="G574" s="8"/>
      <c r="H574" s="8"/>
      <c r="I574" s="11"/>
      <c r="J574" s="12"/>
      <c r="K574" s="12"/>
      <c r="L574" s="12"/>
      <c r="M574" s="8"/>
    </row>
    <row r="575" spans="1:13" ht="25" customHeight="1">
      <c r="A575" s="12"/>
      <c r="B575" s="8"/>
      <c r="C575" s="8"/>
      <c r="D575" s="8"/>
      <c r="E575" s="8"/>
      <c r="F575" s="8"/>
      <c r="G575" s="8"/>
      <c r="H575" s="8"/>
      <c r="I575" s="11"/>
      <c r="J575" s="12"/>
      <c r="K575" s="12"/>
      <c r="L575" s="12"/>
      <c r="M575" s="8"/>
    </row>
    <row r="576" spans="1:13" ht="25" customHeight="1">
      <c r="A576" s="12"/>
      <c r="B576" s="8"/>
      <c r="C576" s="8"/>
      <c r="D576" s="8"/>
      <c r="E576" s="8"/>
      <c r="F576" s="8"/>
      <c r="G576" s="8"/>
      <c r="H576" s="8"/>
      <c r="I576" s="11"/>
      <c r="J576" s="12"/>
      <c r="K576" s="12"/>
      <c r="L576" s="12"/>
      <c r="M576" s="8"/>
    </row>
    <row r="577" spans="1:13" ht="25" customHeight="1">
      <c r="A577" s="12"/>
      <c r="B577" s="8"/>
      <c r="C577" s="8"/>
      <c r="D577" s="8"/>
      <c r="E577" s="8"/>
      <c r="F577" s="8"/>
      <c r="G577" s="8"/>
      <c r="H577" s="8"/>
      <c r="I577" s="11"/>
      <c r="J577" s="12"/>
      <c r="K577" s="12"/>
      <c r="L577" s="12"/>
      <c r="M577" s="8"/>
    </row>
    <row r="578" spans="1:13" ht="25" customHeight="1">
      <c r="A578" s="12"/>
      <c r="B578" s="8"/>
      <c r="C578" s="8"/>
      <c r="D578" s="8"/>
      <c r="E578" s="8"/>
      <c r="F578" s="8"/>
      <c r="G578" s="8"/>
      <c r="H578" s="8"/>
      <c r="I578" s="11"/>
      <c r="J578" s="12"/>
      <c r="K578" s="12"/>
      <c r="L578" s="12"/>
      <c r="M578" s="8"/>
    </row>
    <row r="579" spans="1:13" ht="25" customHeight="1">
      <c r="A579" s="12"/>
      <c r="B579" s="8"/>
      <c r="C579" s="8"/>
      <c r="D579" s="8"/>
      <c r="E579" s="8"/>
      <c r="F579" s="8"/>
      <c r="G579" s="8"/>
      <c r="H579" s="8"/>
      <c r="I579" s="11"/>
      <c r="J579" s="12"/>
      <c r="K579" s="12"/>
      <c r="L579" s="12"/>
      <c r="M579" s="8"/>
    </row>
    <row r="580" spans="1:13" ht="25" customHeight="1">
      <c r="A580" s="12"/>
      <c r="B580" s="8"/>
      <c r="C580" s="8"/>
      <c r="D580" s="8"/>
      <c r="E580" s="8"/>
      <c r="F580" s="8"/>
      <c r="G580" s="8"/>
      <c r="H580" s="8"/>
      <c r="I580" s="11"/>
      <c r="J580" s="12"/>
      <c r="K580" s="12"/>
      <c r="L580" s="12"/>
      <c r="M580" s="8"/>
    </row>
    <row r="581" spans="1:13" ht="25" customHeight="1">
      <c r="A581" s="12"/>
      <c r="B581" s="8"/>
      <c r="C581" s="8"/>
      <c r="D581" s="8"/>
      <c r="E581" s="8"/>
      <c r="F581" s="8"/>
      <c r="G581" s="8"/>
      <c r="H581" s="8"/>
      <c r="I581" s="11"/>
      <c r="J581" s="12"/>
      <c r="K581" s="12"/>
      <c r="L581" s="12"/>
      <c r="M581" s="8"/>
    </row>
    <row r="582" spans="1:13" ht="25" customHeight="1">
      <c r="A582" s="12"/>
      <c r="B582" s="8"/>
      <c r="C582" s="8"/>
      <c r="D582" s="8"/>
      <c r="E582" s="8"/>
      <c r="F582" s="8"/>
      <c r="G582" s="8"/>
      <c r="H582" s="8"/>
      <c r="I582" s="11"/>
      <c r="J582" s="12"/>
      <c r="K582" s="12"/>
      <c r="L582" s="12"/>
      <c r="M582" s="8"/>
    </row>
    <row r="583" spans="1:13" ht="25" customHeight="1">
      <c r="A583" s="12"/>
      <c r="B583" s="8"/>
      <c r="C583" s="8"/>
      <c r="D583" s="8"/>
      <c r="E583" s="8"/>
      <c r="F583" s="8"/>
      <c r="G583" s="8"/>
      <c r="H583" s="8"/>
      <c r="I583" s="11"/>
      <c r="J583" s="12"/>
      <c r="K583" s="12"/>
      <c r="L583" s="12"/>
      <c r="M583" s="8"/>
    </row>
    <row r="584" spans="1:13" ht="25" customHeight="1">
      <c r="A584" s="12"/>
      <c r="B584" s="8"/>
      <c r="C584" s="8"/>
      <c r="D584" s="8"/>
      <c r="E584" s="8"/>
      <c r="F584" s="8"/>
      <c r="G584" s="8"/>
      <c r="H584" s="8"/>
      <c r="I584" s="11"/>
      <c r="J584" s="12"/>
      <c r="K584" s="12"/>
      <c r="L584" s="12"/>
      <c r="M584" s="8"/>
    </row>
    <row r="585" spans="1:13" ht="25" customHeight="1">
      <c r="A585" s="12"/>
      <c r="B585" s="8"/>
      <c r="C585" s="8"/>
      <c r="D585" s="8"/>
      <c r="E585" s="8"/>
      <c r="F585" s="8"/>
      <c r="G585" s="8"/>
      <c r="H585" s="8"/>
      <c r="I585" s="11"/>
      <c r="J585" s="12"/>
      <c r="K585" s="12"/>
      <c r="L585" s="12"/>
      <c r="M585" s="8"/>
    </row>
    <row r="586" spans="1:13" ht="25" customHeight="1">
      <c r="A586" s="12"/>
      <c r="B586" s="8"/>
      <c r="C586" s="8"/>
      <c r="D586" s="8"/>
      <c r="E586" s="8"/>
      <c r="F586" s="8"/>
      <c r="G586" s="8"/>
      <c r="H586" s="8"/>
      <c r="I586" s="11"/>
      <c r="J586" s="12"/>
      <c r="K586" s="12"/>
      <c r="L586" s="12"/>
      <c r="M586" s="8"/>
    </row>
    <row r="587" spans="1:13" ht="25" customHeight="1">
      <c r="A587" s="12"/>
      <c r="B587" s="8"/>
      <c r="C587" s="8"/>
      <c r="D587" s="8"/>
      <c r="E587" s="8"/>
      <c r="F587" s="8"/>
      <c r="G587" s="8"/>
      <c r="H587" s="8"/>
      <c r="I587" s="11"/>
      <c r="J587" s="12"/>
      <c r="K587" s="12"/>
      <c r="L587" s="12"/>
      <c r="M587" s="8"/>
    </row>
    <row r="588" spans="1:13" ht="25" customHeight="1">
      <c r="A588" s="12"/>
      <c r="B588" s="8"/>
      <c r="C588" s="8"/>
      <c r="D588" s="8"/>
      <c r="E588" s="8"/>
      <c r="F588" s="8"/>
      <c r="G588" s="8"/>
      <c r="H588" s="8"/>
      <c r="I588" s="11"/>
      <c r="J588" s="12"/>
      <c r="K588" s="12"/>
      <c r="L588" s="12"/>
      <c r="M588" s="8"/>
    </row>
    <row r="589" spans="1:13" ht="25" customHeight="1">
      <c r="A589" s="12"/>
      <c r="B589" s="8"/>
      <c r="C589" s="8"/>
      <c r="D589" s="8"/>
      <c r="E589" s="8"/>
      <c r="F589" s="8"/>
      <c r="G589" s="8"/>
      <c r="H589" s="8"/>
      <c r="I589" s="11"/>
      <c r="J589" s="12"/>
      <c r="K589" s="12"/>
      <c r="L589" s="12"/>
      <c r="M589" s="8"/>
    </row>
    <row r="590" spans="1:13" ht="25" customHeight="1">
      <c r="A590" s="12"/>
      <c r="B590" s="8"/>
      <c r="C590" s="8"/>
      <c r="D590" s="8"/>
      <c r="E590" s="8"/>
      <c r="F590" s="8"/>
      <c r="G590" s="8"/>
      <c r="H590" s="8"/>
      <c r="I590" s="11"/>
      <c r="J590" s="12"/>
      <c r="K590" s="12"/>
      <c r="L590" s="12"/>
      <c r="M590" s="8"/>
    </row>
    <row r="591" spans="1:13" ht="25" customHeight="1">
      <c r="A591" s="12"/>
      <c r="B591" s="8"/>
      <c r="C591" s="8"/>
      <c r="D591" s="8"/>
      <c r="E591" s="8"/>
      <c r="F591" s="8"/>
      <c r="G591" s="8"/>
      <c r="H591" s="8"/>
      <c r="I591" s="11"/>
      <c r="J591" s="12"/>
      <c r="K591" s="12"/>
      <c r="L591" s="12"/>
      <c r="M591" s="8"/>
    </row>
    <row r="592" spans="1:13" ht="25" customHeight="1">
      <c r="A592" s="12"/>
      <c r="B592" s="8"/>
      <c r="C592" s="8"/>
      <c r="D592" s="8"/>
      <c r="E592" s="8"/>
      <c r="F592" s="8"/>
      <c r="G592" s="8"/>
      <c r="H592" s="8"/>
      <c r="I592" s="11"/>
      <c r="J592" s="12"/>
      <c r="K592" s="12"/>
      <c r="L592" s="12"/>
      <c r="M592" s="8"/>
    </row>
    <row r="593" spans="1:13" ht="25" customHeight="1">
      <c r="A593" s="12"/>
      <c r="B593" s="8"/>
      <c r="C593" s="8"/>
      <c r="D593" s="8"/>
      <c r="E593" s="8"/>
      <c r="F593" s="8"/>
      <c r="G593" s="8"/>
      <c r="H593" s="8"/>
      <c r="I593" s="11"/>
      <c r="J593" s="12"/>
      <c r="K593" s="12"/>
      <c r="L593" s="12"/>
      <c r="M593" s="8"/>
    </row>
    <row r="594" spans="1:13" ht="25" customHeight="1">
      <c r="A594" s="12"/>
      <c r="B594" s="8"/>
      <c r="C594" s="8"/>
      <c r="D594" s="8"/>
      <c r="E594" s="8"/>
      <c r="F594" s="8"/>
      <c r="G594" s="8"/>
      <c r="H594" s="8"/>
      <c r="I594" s="11"/>
      <c r="J594" s="12"/>
      <c r="K594" s="12"/>
      <c r="L594" s="12"/>
      <c r="M594" s="8"/>
    </row>
    <row r="595" spans="1:13" ht="25" customHeight="1">
      <c r="A595" s="12"/>
      <c r="B595" s="8"/>
      <c r="C595" s="8"/>
      <c r="D595" s="8"/>
      <c r="E595" s="8"/>
      <c r="F595" s="8"/>
      <c r="G595" s="8"/>
      <c r="H595" s="8"/>
      <c r="I595" s="11"/>
      <c r="J595" s="12"/>
      <c r="K595" s="12"/>
      <c r="L595" s="12"/>
      <c r="M595" s="8"/>
    </row>
    <row r="596" spans="1:13" ht="25" customHeight="1">
      <c r="A596" s="12"/>
      <c r="B596" s="8"/>
      <c r="C596" s="8"/>
      <c r="D596" s="8"/>
      <c r="E596" s="8"/>
      <c r="F596" s="8"/>
      <c r="G596" s="8"/>
      <c r="H596" s="8"/>
      <c r="I596" s="11"/>
      <c r="J596" s="12"/>
      <c r="K596" s="12"/>
      <c r="L596" s="12"/>
      <c r="M596" s="8"/>
    </row>
    <row r="597" spans="1:13" ht="25" customHeight="1">
      <c r="A597" s="12"/>
      <c r="B597" s="8"/>
      <c r="C597" s="8"/>
      <c r="D597" s="8"/>
      <c r="E597" s="8"/>
      <c r="F597" s="8"/>
      <c r="G597" s="8"/>
      <c r="H597" s="8"/>
      <c r="I597" s="11"/>
      <c r="J597" s="12"/>
      <c r="K597" s="12"/>
      <c r="L597" s="12"/>
      <c r="M597" s="8"/>
    </row>
    <row r="598" spans="1:13" ht="25" customHeight="1">
      <c r="A598" s="12"/>
      <c r="B598" s="8"/>
      <c r="C598" s="8"/>
      <c r="D598" s="8"/>
      <c r="E598" s="8"/>
      <c r="F598" s="8"/>
      <c r="G598" s="8"/>
      <c r="H598" s="8"/>
      <c r="I598" s="11"/>
      <c r="J598" s="12"/>
      <c r="K598" s="12"/>
      <c r="L598" s="12"/>
      <c r="M598" s="8"/>
    </row>
    <row r="599" spans="1:13" ht="25" customHeight="1">
      <c r="A599" s="12"/>
      <c r="B599" s="8"/>
      <c r="C599" s="8"/>
      <c r="D599" s="8"/>
      <c r="E599" s="8"/>
      <c r="F599" s="8"/>
      <c r="G599" s="8"/>
      <c r="H599" s="8"/>
      <c r="I599" s="11"/>
      <c r="J599" s="12"/>
      <c r="K599" s="12"/>
      <c r="L599" s="12"/>
      <c r="M599" s="8"/>
    </row>
    <row r="600" spans="1:13" ht="25" customHeight="1">
      <c r="A600" s="12"/>
      <c r="B600" s="8"/>
      <c r="C600" s="8"/>
      <c r="D600" s="8"/>
      <c r="E600" s="8"/>
      <c r="F600" s="8"/>
      <c r="G600" s="8"/>
      <c r="H600" s="8"/>
      <c r="I600" s="11"/>
      <c r="J600" s="12"/>
      <c r="K600" s="12"/>
      <c r="L600" s="12"/>
      <c r="M600" s="8"/>
    </row>
    <row r="601" spans="1:13" ht="25" customHeight="1">
      <c r="A601" s="12"/>
      <c r="B601" s="8"/>
      <c r="C601" s="8"/>
      <c r="D601" s="8"/>
      <c r="E601" s="8"/>
      <c r="F601" s="8"/>
      <c r="G601" s="8"/>
      <c r="H601" s="8"/>
      <c r="I601" s="11"/>
      <c r="J601" s="12"/>
      <c r="K601" s="12"/>
      <c r="L601" s="12"/>
      <c r="M601" s="8"/>
    </row>
    <row r="602" spans="1:13" ht="25" customHeight="1">
      <c r="A602" s="12"/>
      <c r="B602" s="8"/>
      <c r="C602" s="8"/>
      <c r="D602" s="8"/>
      <c r="E602" s="8"/>
      <c r="F602" s="8"/>
      <c r="G602" s="8"/>
      <c r="H602" s="8"/>
      <c r="I602" s="11"/>
      <c r="J602" s="12"/>
      <c r="K602" s="12"/>
      <c r="L602" s="12"/>
      <c r="M602" s="8"/>
    </row>
    <row r="603" spans="1:13" ht="25" customHeight="1">
      <c r="A603" s="12"/>
      <c r="B603" s="8"/>
      <c r="C603" s="8"/>
      <c r="D603" s="8"/>
      <c r="E603" s="8"/>
      <c r="F603" s="8"/>
      <c r="G603" s="8"/>
      <c r="H603" s="8"/>
      <c r="I603" s="11"/>
      <c r="J603" s="12"/>
      <c r="K603" s="12"/>
      <c r="L603" s="12"/>
      <c r="M603" s="8"/>
    </row>
    <row r="604" spans="1:13" ht="25" customHeight="1">
      <c r="A604" s="12"/>
      <c r="B604" s="8"/>
      <c r="C604" s="8"/>
      <c r="D604" s="8"/>
      <c r="E604" s="8"/>
      <c r="F604" s="8"/>
      <c r="G604" s="8"/>
      <c r="H604" s="8"/>
      <c r="I604" s="11"/>
      <c r="J604" s="12"/>
      <c r="K604" s="12"/>
      <c r="L604" s="12"/>
      <c r="M604" s="8"/>
    </row>
    <row r="605" spans="1:13" ht="25" customHeight="1">
      <c r="A605" s="12"/>
      <c r="B605" s="8"/>
      <c r="C605" s="8"/>
      <c r="D605" s="8"/>
      <c r="E605" s="8"/>
      <c r="F605" s="8"/>
      <c r="G605" s="8"/>
      <c r="H605" s="8"/>
      <c r="I605" s="11"/>
      <c r="J605" s="12"/>
      <c r="K605" s="12"/>
      <c r="L605" s="12"/>
      <c r="M605" s="8"/>
    </row>
    <row r="606" spans="1:13" ht="25" customHeight="1">
      <c r="A606" s="12"/>
      <c r="B606" s="8"/>
      <c r="C606" s="8"/>
      <c r="D606" s="8"/>
      <c r="E606" s="8"/>
      <c r="F606" s="8"/>
      <c r="G606" s="8"/>
      <c r="H606" s="8"/>
      <c r="I606" s="11"/>
      <c r="J606" s="12"/>
      <c r="K606" s="12"/>
      <c r="L606" s="12"/>
      <c r="M606" s="8"/>
    </row>
    <row r="607" spans="1:13" ht="25" customHeight="1">
      <c r="A607" s="12"/>
      <c r="B607" s="8"/>
      <c r="C607" s="8"/>
      <c r="D607" s="8"/>
      <c r="E607" s="8"/>
      <c r="F607" s="8"/>
      <c r="G607" s="8"/>
      <c r="H607" s="8"/>
      <c r="I607" s="11"/>
      <c r="J607" s="12"/>
      <c r="K607" s="12"/>
      <c r="L607" s="12"/>
      <c r="M607" s="8"/>
    </row>
    <row r="608" spans="1:13" ht="25" customHeight="1">
      <c r="A608" s="12"/>
      <c r="B608" s="8"/>
      <c r="C608" s="8"/>
      <c r="D608" s="8"/>
      <c r="E608" s="8"/>
      <c r="F608" s="8"/>
      <c r="G608" s="8"/>
      <c r="H608" s="8"/>
      <c r="I608" s="11"/>
      <c r="J608" s="12"/>
      <c r="K608" s="12"/>
      <c r="L608" s="12"/>
      <c r="M608" s="8"/>
    </row>
    <row r="609" spans="1:13" ht="25" customHeight="1">
      <c r="A609" s="12"/>
      <c r="B609" s="8"/>
      <c r="C609" s="8"/>
      <c r="D609" s="8"/>
      <c r="E609" s="8"/>
      <c r="F609" s="8"/>
      <c r="G609" s="8"/>
      <c r="H609" s="8"/>
      <c r="I609" s="11"/>
      <c r="J609" s="12"/>
      <c r="K609" s="12"/>
      <c r="L609" s="12"/>
      <c r="M609" s="8"/>
    </row>
    <row r="610" spans="1:13" ht="25" customHeight="1">
      <c r="A610" s="12"/>
      <c r="B610" s="8"/>
      <c r="C610" s="8"/>
      <c r="D610" s="8"/>
      <c r="E610" s="8"/>
      <c r="F610" s="8"/>
      <c r="G610" s="8"/>
      <c r="H610" s="8"/>
      <c r="I610" s="11"/>
      <c r="J610" s="12"/>
      <c r="K610" s="12"/>
      <c r="L610" s="12"/>
      <c r="M610" s="8"/>
    </row>
    <row r="611" spans="1:13" ht="25" customHeight="1">
      <c r="A611" s="12"/>
      <c r="B611" s="8"/>
      <c r="C611" s="8"/>
      <c r="D611" s="8"/>
      <c r="E611" s="8"/>
      <c r="F611" s="8"/>
      <c r="G611" s="8"/>
      <c r="H611" s="8"/>
      <c r="I611" s="11"/>
      <c r="J611" s="12"/>
      <c r="K611" s="12"/>
      <c r="L611" s="12"/>
      <c r="M611" s="8"/>
    </row>
    <row r="612" spans="1:13" ht="25" customHeight="1">
      <c r="A612" s="12"/>
      <c r="B612" s="8"/>
      <c r="C612" s="8"/>
      <c r="D612" s="8"/>
      <c r="E612" s="8"/>
      <c r="F612" s="8"/>
      <c r="G612" s="8"/>
      <c r="H612" s="8"/>
      <c r="I612" s="11"/>
      <c r="J612" s="12"/>
      <c r="K612" s="12"/>
      <c r="L612" s="12"/>
      <c r="M612" s="8"/>
    </row>
    <row r="613" spans="1:13" ht="25" customHeight="1">
      <c r="A613" s="12"/>
      <c r="B613" s="8"/>
      <c r="C613" s="8"/>
      <c r="D613" s="8"/>
      <c r="E613" s="8"/>
      <c r="F613" s="8"/>
      <c r="G613" s="8"/>
      <c r="H613" s="8"/>
      <c r="I613" s="11"/>
      <c r="J613" s="12"/>
      <c r="K613" s="12"/>
      <c r="L613" s="12"/>
      <c r="M613" s="8"/>
    </row>
    <row r="614" spans="1:13" ht="25" customHeight="1">
      <c r="A614" s="12"/>
      <c r="B614" s="8"/>
      <c r="C614" s="8"/>
      <c r="D614" s="8"/>
      <c r="E614" s="8"/>
      <c r="F614" s="8"/>
      <c r="G614" s="8"/>
      <c r="H614" s="8"/>
      <c r="I614" s="11"/>
      <c r="J614" s="12"/>
      <c r="K614" s="12"/>
      <c r="L614" s="12"/>
      <c r="M614" s="8"/>
    </row>
    <row r="615" spans="1:13" ht="25" customHeight="1">
      <c r="A615" s="12"/>
      <c r="B615" s="8"/>
      <c r="C615" s="8"/>
      <c r="D615" s="8"/>
      <c r="E615" s="8"/>
      <c r="F615" s="8"/>
      <c r="G615" s="8"/>
      <c r="H615" s="8"/>
      <c r="I615" s="11"/>
      <c r="J615" s="12"/>
      <c r="K615" s="12"/>
      <c r="L615" s="12"/>
      <c r="M615" s="8"/>
    </row>
    <row r="616" spans="1:13" ht="25" customHeight="1">
      <c r="A616" s="12"/>
      <c r="B616" s="8"/>
      <c r="C616" s="8"/>
      <c r="D616" s="8"/>
      <c r="E616" s="8"/>
      <c r="F616" s="8"/>
      <c r="G616" s="8"/>
      <c r="H616" s="8"/>
      <c r="I616" s="11"/>
      <c r="J616" s="12"/>
      <c r="K616" s="12"/>
      <c r="L616" s="12"/>
      <c r="M616" s="8"/>
    </row>
    <row r="617" spans="1:13" ht="25" customHeight="1">
      <c r="A617" s="12"/>
      <c r="B617" s="8"/>
      <c r="C617" s="8"/>
      <c r="D617" s="8"/>
      <c r="E617" s="8"/>
      <c r="F617" s="8"/>
      <c r="G617" s="8"/>
      <c r="H617" s="8"/>
      <c r="I617" s="11"/>
      <c r="J617" s="12"/>
      <c r="K617" s="12"/>
      <c r="L617" s="12"/>
      <c r="M617" s="8"/>
    </row>
    <row r="618" spans="1:13" ht="25" customHeight="1">
      <c r="A618" s="12"/>
      <c r="B618" s="8"/>
      <c r="C618" s="8"/>
      <c r="D618" s="8"/>
      <c r="E618" s="8"/>
      <c r="F618" s="8"/>
      <c r="G618" s="8"/>
      <c r="H618" s="8"/>
      <c r="I618" s="11"/>
      <c r="J618" s="12"/>
      <c r="K618" s="12"/>
      <c r="L618" s="12"/>
      <c r="M618" s="8"/>
    </row>
    <row r="619" spans="1:13" ht="25" customHeight="1">
      <c r="A619" s="12"/>
      <c r="B619" s="8"/>
      <c r="C619" s="8"/>
      <c r="D619" s="8"/>
      <c r="E619" s="8"/>
      <c r="F619" s="8"/>
      <c r="G619" s="8"/>
      <c r="H619" s="8"/>
      <c r="I619" s="11"/>
      <c r="J619" s="12"/>
      <c r="K619" s="12"/>
      <c r="L619" s="12"/>
      <c r="M619" s="8"/>
    </row>
    <row r="620" spans="1:13" ht="25" customHeight="1">
      <c r="A620" s="12"/>
      <c r="B620" s="8"/>
      <c r="C620" s="8"/>
      <c r="D620" s="8"/>
      <c r="E620" s="8"/>
      <c r="F620" s="8"/>
      <c r="G620" s="8"/>
      <c r="H620" s="8"/>
      <c r="I620" s="11"/>
      <c r="J620" s="12"/>
      <c r="K620" s="12"/>
      <c r="L620" s="12"/>
      <c r="M620" s="8"/>
    </row>
    <row r="621" spans="1:13" ht="25" customHeight="1">
      <c r="A621" s="12"/>
      <c r="B621" s="8"/>
      <c r="C621" s="8"/>
      <c r="D621" s="8"/>
      <c r="E621" s="8"/>
      <c r="F621" s="8"/>
      <c r="G621" s="8"/>
      <c r="H621" s="8"/>
      <c r="I621" s="11"/>
      <c r="J621" s="12"/>
      <c r="K621" s="12"/>
      <c r="L621" s="12"/>
      <c r="M621" s="8"/>
    </row>
    <row r="622" spans="1:13" ht="25" customHeight="1">
      <c r="A622" s="12"/>
      <c r="B622" s="8"/>
      <c r="C622" s="8"/>
      <c r="D622" s="8"/>
      <c r="E622" s="8"/>
      <c r="F622" s="8"/>
      <c r="G622" s="8"/>
      <c r="H622" s="8"/>
      <c r="I622" s="11"/>
      <c r="J622" s="12"/>
      <c r="K622" s="12"/>
      <c r="L622" s="12"/>
      <c r="M622" s="8"/>
    </row>
    <row r="623" spans="1:13" ht="25" customHeight="1">
      <c r="A623" s="12"/>
      <c r="B623" s="8"/>
      <c r="C623" s="8"/>
      <c r="D623" s="8"/>
      <c r="E623" s="8"/>
      <c r="F623" s="8"/>
      <c r="G623" s="8"/>
      <c r="H623" s="8"/>
      <c r="I623" s="11"/>
      <c r="J623" s="12"/>
      <c r="K623" s="12"/>
      <c r="L623" s="12"/>
      <c r="M623" s="8"/>
    </row>
    <row r="624" spans="1:13" ht="25" customHeight="1">
      <c r="A624" s="12"/>
      <c r="B624" s="8"/>
      <c r="C624" s="8"/>
      <c r="D624" s="8"/>
      <c r="E624" s="8"/>
      <c r="F624" s="8"/>
      <c r="G624" s="8"/>
      <c r="H624" s="8"/>
      <c r="I624" s="11"/>
      <c r="J624" s="12"/>
      <c r="K624" s="12"/>
      <c r="L624" s="12"/>
      <c r="M624" s="8"/>
    </row>
    <row r="625" spans="1:13" ht="25" customHeight="1">
      <c r="A625" s="12"/>
      <c r="B625" s="8"/>
      <c r="C625" s="8"/>
      <c r="D625" s="8"/>
      <c r="E625" s="8"/>
      <c r="F625" s="8"/>
      <c r="G625" s="8"/>
      <c r="H625" s="8"/>
      <c r="I625" s="11"/>
      <c r="J625" s="12"/>
      <c r="K625" s="12"/>
      <c r="L625" s="12"/>
      <c r="M625" s="8"/>
    </row>
    <row r="626" spans="1:13" ht="25" customHeight="1">
      <c r="A626" s="12"/>
      <c r="B626" s="8"/>
      <c r="C626" s="8"/>
      <c r="D626" s="8"/>
      <c r="E626" s="8"/>
      <c r="F626" s="8"/>
      <c r="G626" s="8"/>
      <c r="H626" s="8"/>
      <c r="I626" s="11"/>
      <c r="J626" s="12"/>
      <c r="K626" s="12"/>
      <c r="L626" s="12"/>
      <c r="M626" s="8"/>
    </row>
    <row r="627" spans="1:13" ht="25" customHeight="1">
      <c r="A627" s="12"/>
      <c r="B627" s="8"/>
      <c r="C627" s="8"/>
      <c r="D627" s="8"/>
      <c r="E627" s="8"/>
      <c r="F627" s="8"/>
      <c r="G627" s="8"/>
      <c r="H627" s="8"/>
      <c r="I627" s="11"/>
      <c r="J627" s="12"/>
      <c r="K627" s="12"/>
      <c r="L627" s="12"/>
      <c r="M627" s="8"/>
    </row>
    <row r="628" spans="1:13" ht="25" customHeight="1">
      <c r="A628" s="12"/>
      <c r="B628" s="8"/>
      <c r="C628" s="8"/>
      <c r="D628" s="8"/>
      <c r="E628" s="8"/>
      <c r="F628" s="8"/>
      <c r="G628" s="8"/>
      <c r="H628" s="8"/>
      <c r="I628" s="11"/>
      <c r="J628" s="12"/>
      <c r="K628" s="12"/>
      <c r="L628" s="12"/>
      <c r="M628" s="8"/>
    </row>
    <row r="629" spans="1:13" ht="25" customHeight="1">
      <c r="A629" s="12"/>
      <c r="B629" s="8"/>
      <c r="C629" s="8"/>
      <c r="D629" s="8"/>
      <c r="E629" s="8"/>
      <c r="F629" s="8"/>
      <c r="G629" s="8"/>
      <c r="H629" s="8"/>
      <c r="I629" s="11"/>
      <c r="J629" s="12"/>
      <c r="K629" s="12"/>
      <c r="L629" s="12"/>
      <c r="M629" s="8"/>
    </row>
    <row r="630" spans="1:13" ht="25" customHeight="1">
      <c r="A630" s="12"/>
      <c r="B630" s="8"/>
      <c r="C630" s="8"/>
      <c r="D630" s="8"/>
      <c r="E630" s="8"/>
      <c r="F630" s="8"/>
      <c r="G630" s="8"/>
      <c r="H630" s="8"/>
      <c r="I630" s="11"/>
      <c r="J630" s="12"/>
      <c r="K630" s="12"/>
      <c r="L630" s="12"/>
      <c r="M630" s="8"/>
    </row>
    <row r="631" spans="1:13" ht="25" customHeight="1">
      <c r="A631" s="12"/>
      <c r="B631" s="8"/>
      <c r="C631" s="8"/>
      <c r="D631" s="8"/>
      <c r="E631" s="8"/>
      <c r="F631" s="8"/>
      <c r="G631" s="8"/>
      <c r="H631" s="8"/>
      <c r="I631" s="11"/>
      <c r="J631" s="12"/>
      <c r="K631" s="12"/>
      <c r="L631" s="12"/>
      <c r="M631" s="8"/>
    </row>
    <row r="632" spans="1:13" ht="25" customHeight="1">
      <c r="A632" s="12"/>
      <c r="B632" s="8"/>
      <c r="C632" s="8"/>
      <c r="D632" s="8"/>
      <c r="E632" s="8"/>
      <c r="F632" s="8"/>
      <c r="G632" s="8"/>
      <c r="H632" s="8"/>
      <c r="I632" s="11"/>
      <c r="J632" s="12"/>
      <c r="K632" s="12"/>
      <c r="L632" s="12"/>
      <c r="M632" s="8"/>
    </row>
    <row r="633" spans="1:13" ht="25" customHeight="1">
      <c r="A633" s="12"/>
      <c r="B633" s="8"/>
      <c r="C633" s="8"/>
      <c r="D633" s="8"/>
      <c r="E633" s="8"/>
      <c r="F633" s="8"/>
      <c r="G633" s="8"/>
      <c r="H633" s="8"/>
      <c r="I633" s="11"/>
      <c r="J633" s="12"/>
      <c r="K633" s="12"/>
      <c r="L633" s="12"/>
      <c r="M633" s="8"/>
    </row>
    <row r="634" spans="1:13" ht="25" customHeight="1">
      <c r="A634" s="12"/>
      <c r="B634" s="8"/>
      <c r="C634" s="8"/>
      <c r="D634" s="8"/>
      <c r="E634" s="8"/>
      <c r="F634" s="8"/>
      <c r="G634" s="8"/>
      <c r="H634" s="8"/>
      <c r="I634" s="11"/>
      <c r="J634" s="12"/>
      <c r="K634" s="12"/>
      <c r="L634" s="12"/>
      <c r="M634" s="8"/>
    </row>
    <row r="635" spans="1:13" ht="25" customHeight="1">
      <c r="A635" s="12"/>
      <c r="B635" s="8"/>
      <c r="C635" s="8"/>
      <c r="D635" s="8"/>
      <c r="E635" s="8"/>
      <c r="F635" s="8"/>
      <c r="G635" s="8"/>
      <c r="H635" s="8"/>
      <c r="I635" s="11"/>
      <c r="J635" s="12"/>
      <c r="K635" s="12"/>
      <c r="L635" s="12"/>
      <c r="M635" s="8"/>
    </row>
    <row r="636" spans="1:13" ht="25" customHeight="1">
      <c r="A636" s="12"/>
      <c r="B636" s="8"/>
      <c r="C636" s="8"/>
      <c r="D636" s="8"/>
      <c r="E636" s="8"/>
      <c r="F636" s="8"/>
      <c r="G636" s="8"/>
      <c r="H636" s="8"/>
      <c r="I636" s="11"/>
      <c r="J636" s="12"/>
      <c r="K636" s="12"/>
      <c r="L636" s="12"/>
      <c r="M636" s="8"/>
    </row>
    <row r="637" spans="1:13" ht="25" customHeight="1">
      <c r="A637" s="12"/>
      <c r="B637" s="8"/>
      <c r="C637" s="8"/>
      <c r="D637" s="8"/>
      <c r="E637" s="8"/>
      <c r="F637" s="8"/>
      <c r="G637" s="8"/>
      <c r="H637" s="8"/>
      <c r="I637" s="11"/>
      <c r="J637" s="12"/>
      <c r="K637" s="12"/>
      <c r="L637" s="12"/>
      <c r="M637" s="8"/>
    </row>
    <row r="638" spans="1:13" ht="25" customHeight="1">
      <c r="A638" s="12"/>
      <c r="B638" s="8"/>
      <c r="C638" s="8"/>
      <c r="D638" s="8"/>
      <c r="E638" s="8"/>
      <c r="F638" s="8"/>
      <c r="G638" s="8"/>
      <c r="H638" s="8"/>
      <c r="I638" s="11"/>
      <c r="J638" s="12"/>
      <c r="K638" s="12"/>
      <c r="L638" s="12"/>
      <c r="M638" s="8"/>
    </row>
    <row r="639" spans="1:13" ht="25" customHeight="1">
      <c r="A639" s="12"/>
      <c r="B639" s="8"/>
      <c r="C639" s="8"/>
      <c r="D639" s="8"/>
      <c r="E639" s="8"/>
      <c r="F639" s="8"/>
      <c r="G639" s="8"/>
      <c r="H639" s="8"/>
      <c r="I639" s="11"/>
      <c r="J639" s="12"/>
      <c r="K639" s="12"/>
      <c r="L639" s="12"/>
      <c r="M639" s="8"/>
    </row>
    <row r="640" spans="1:13" ht="25" customHeight="1">
      <c r="A640" s="12"/>
      <c r="B640" s="8"/>
      <c r="C640" s="8"/>
      <c r="D640" s="8"/>
      <c r="E640" s="8"/>
      <c r="F640" s="8"/>
      <c r="G640" s="8"/>
      <c r="H640" s="8"/>
      <c r="I640" s="11"/>
      <c r="J640" s="12"/>
      <c r="K640" s="12"/>
      <c r="L640" s="12"/>
      <c r="M640" s="8"/>
    </row>
    <row r="641" spans="1:13" ht="25" customHeight="1">
      <c r="A641" s="12"/>
      <c r="B641" s="8"/>
      <c r="C641" s="8"/>
      <c r="D641" s="8"/>
      <c r="E641" s="8"/>
      <c r="F641" s="8"/>
      <c r="G641" s="8"/>
      <c r="H641" s="8"/>
      <c r="I641" s="11"/>
      <c r="J641" s="12"/>
      <c r="K641" s="12"/>
      <c r="L641" s="12"/>
      <c r="M641" s="8"/>
    </row>
    <row r="642" spans="1:13" ht="25" customHeight="1">
      <c r="A642" s="12"/>
      <c r="B642" s="8"/>
      <c r="C642" s="8"/>
      <c r="D642" s="8"/>
      <c r="E642" s="8"/>
      <c r="F642" s="8"/>
      <c r="G642" s="8"/>
      <c r="H642" s="8"/>
      <c r="I642" s="11"/>
      <c r="J642" s="12"/>
      <c r="K642" s="12"/>
      <c r="L642" s="12"/>
      <c r="M642" s="8"/>
    </row>
    <row r="643" spans="1:13" ht="25" customHeight="1">
      <c r="A643" s="12"/>
      <c r="B643" s="8"/>
      <c r="C643" s="8"/>
      <c r="D643" s="8"/>
      <c r="E643" s="8"/>
      <c r="F643" s="8"/>
      <c r="G643" s="8"/>
      <c r="H643" s="8"/>
      <c r="I643" s="11"/>
      <c r="J643" s="12"/>
      <c r="K643" s="12"/>
      <c r="L643" s="12"/>
      <c r="M643" s="8"/>
    </row>
    <row r="644" spans="1:13" ht="25" customHeight="1">
      <c r="A644" s="12"/>
      <c r="B644" s="8"/>
      <c r="C644" s="8"/>
      <c r="D644" s="8"/>
      <c r="E644" s="8"/>
      <c r="F644" s="8"/>
      <c r="G644" s="8"/>
      <c r="H644" s="8"/>
      <c r="I644" s="11"/>
      <c r="J644" s="12"/>
      <c r="K644" s="12"/>
      <c r="L644" s="12"/>
      <c r="M644" s="8"/>
    </row>
    <row r="645" spans="1:13" ht="25" customHeight="1">
      <c r="A645" s="12"/>
      <c r="B645" s="8"/>
      <c r="C645" s="8"/>
      <c r="D645" s="8"/>
      <c r="E645" s="8"/>
      <c r="F645" s="8"/>
      <c r="G645" s="8"/>
      <c r="H645" s="8"/>
      <c r="I645" s="11"/>
      <c r="J645" s="12"/>
      <c r="K645" s="12"/>
      <c r="L645" s="12"/>
      <c r="M645" s="8"/>
    </row>
    <row r="646" spans="1:13" ht="25" customHeight="1">
      <c r="A646" s="12"/>
      <c r="B646" s="8"/>
      <c r="C646" s="8"/>
      <c r="D646" s="8"/>
      <c r="E646" s="8"/>
      <c r="F646" s="8"/>
      <c r="G646" s="8"/>
      <c r="H646" s="8"/>
      <c r="I646" s="11"/>
      <c r="J646" s="12"/>
      <c r="K646" s="12"/>
      <c r="L646" s="12"/>
      <c r="M646" s="8"/>
    </row>
    <row r="647" spans="1:13" ht="25" customHeight="1">
      <c r="A647" s="12"/>
      <c r="B647" s="8"/>
      <c r="C647" s="8"/>
      <c r="D647" s="8"/>
      <c r="E647" s="8"/>
      <c r="F647" s="8"/>
      <c r="G647" s="8"/>
      <c r="H647" s="8"/>
      <c r="I647" s="11"/>
      <c r="J647" s="12"/>
      <c r="K647" s="12"/>
      <c r="L647" s="12"/>
      <c r="M647" s="8"/>
    </row>
    <row r="648" spans="1:13" ht="25" customHeight="1">
      <c r="A648" s="12"/>
      <c r="B648" s="8"/>
      <c r="C648" s="8"/>
      <c r="D648" s="8"/>
      <c r="E648" s="8"/>
      <c r="F648" s="8"/>
      <c r="G648" s="8"/>
      <c r="H648" s="8"/>
      <c r="I648" s="11"/>
      <c r="J648" s="12"/>
      <c r="K648" s="12"/>
      <c r="L648" s="12"/>
      <c r="M648" s="8"/>
    </row>
    <row r="649" spans="1:13" ht="25" customHeight="1">
      <c r="A649" s="12"/>
      <c r="B649" s="8"/>
      <c r="C649" s="8"/>
      <c r="D649" s="8"/>
      <c r="E649" s="8"/>
      <c r="F649" s="8"/>
      <c r="G649" s="8"/>
      <c r="H649" s="8"/>
      <c r="I649" s="11"/>
      <c r="J649" s="12"/>
      <c r="K649" s="12"/>
      <c r="L649" s="12"/>
      <c r="M649" s="8"/>
    </row>
    <row r="650" spans="1:13" ht="25" customHeight="1">
      <c r="A650" s="12"/>
      <c r="B650" s="8"/>
      <c r="C650" s="8"/>
      <c r="D650" s="8"/>
      <c r="E650" s="8"/>
      <c r="F650" s="8"/>
      <c r="G650" s="8"/>
      <c r="H650" s="8"/>
      <c r="I650" s="11"/>
      <c r="J650" s="12"/>
      <c r="K650" s="12"/>
      <c r="L650" s="12"/>
      <c r="M650" s="8"/>
    </row>
    <row r="651" spans="1:13" ht="25" customHeight="1">
      <c r="A651" s="12"/>
      <c r="B651" s="8"/>
      <c r="C651" s="8"/>
      <c r="D651" s="8"/>
      <c r="E651" s="8"/>
      <c r="F651" s="8"/>
      <c r="G651" s="8"/>
      <c r="H651" s="8"/>
      <c r="I651" s="11"/>
      <c r="J651" s="12"/>
      <c r="K651" s="12"/>
      <c r="L651" s="12"/>
      <c r="M651" s="8"/>
    </row>
    <row r="652" spans="1:13" ht="25" customHeight="1">
      <c r="A652" s="12"/>
      <c r="B652" s="8"/>
      <c r="C652" s="8"/>
      <c r="D652" s="8"/>
      <c r="E652" s="8"/>
      <c r="F652" s="8"/>
      <c r="G652" s="8"/>
      <c r="H652" s="8"/>
      <c r="I652" s="11"/>
      <c r="J652" s="12"/>
      <c r="K652" s="12"/>
      <c r="L652" s="12"/>
      <c r="M652" s="8"/>
    </row>
    <row r="653" spans="1:13" ht="25" customHeight="1">
      <c r="A653" s="12"/>
      <c r="B653" s="8"/>
      <c r="C653" s="8"/>
      <c r="D653" s="8"/>
      <c r="E653" s="8"/>
      <c r="F653" s="8"/>
      <c r="G653" s="8"/>
      <c r="H653" s="8"/>
      <c r="I653" s="11"/>
      <c r="J653" s="12"/>
      <c r="K653" s="12"/>
      <c r="L653" s="12"/>
      <c r="M653" s="8"/>
    </row>
    <row r="654" spans="1:13" ht="25" customHeight="1">
      <c r="A654" s="12"/>
      <c r="B654" s="8"/>
      <c r="C654" s="8"/>
      <c r="D654" s="8"/>
      <c r="E654" s="8"/>
      <c r="F654" s="8"/>
      <c r="G654" s="8"/>
      <c r="H654" s="8"/>
      <c r="I654" s="11"/>
      <c r="J654" s="12"/>
      <c r="K654" s="12"/>
      <c r="L654" s="12"/>
      <c r="M654" s="8"/>
    </row>
    <row r="655" spans="1:13" ht="25" customHeight="1">
      <c r="A655" s="12"/>
      <c r="B655" s="8"/>
      <c r="C655" s="8"/>
      <c r="D655" s="8"/>
      <c r="E655" s="8"/>
      <c r="F655" s="8"/>
      <c r="G655" s="8"/>
      <c r="H655" s="8"/>
      <c r="I655" s="11"/>
      <c r="J655" s="12"/>
      <c r="K655" s="12"/>
      <c r="L655" s="12"/>
      <c r="M655" s="8"/>
    </row>
    <row r="656" spans="1:13" ht="25" customHeight="1">
      <c r="A656" s="12"/>
      <c r="B656" s="8"/>
      <c r="C656" s="8"/>
      <c r="D656" s="8"/>
      <c r="E656" s="8"/>
      <c r="F656" s="8"/>
      <c r="G656" s="8"/>
      <c r="H656" s="8"/>
      <c r="I656" s="11"/>
      <c r="J656" s="12"/>
      <c r="K656" s="12"/>
      <c r="L656" s="12"/>
      <c r="M656" s="8"/>
    </row>
    <row r="657" spans="1:13" ht="25" customHeight="1">
      <c r="A657" s="12"/>
      <c r="B657" s="8"/>
      <c r="C657" s="8"/>
      <c r="D657" s="8"/>
      <c r="E657" s="8"/>
      <c r="F657" s="8"/>
      <c r="G657" s="8"/>
      <c r="H657" s="8"/>
      <c r="I657" s="11"/>
      <c r="J657" s="12"/>
      <c r="K657" s="12"/>
      <c r="L657" s="12"/>
      <c r="M657" s="8"/>
    </row>
    <row r="658" spans="1:13" ht="25" customHeight="1">
      <c r="A658" s="12"/>
      <c r="B658" s="8"/>
      <c r="C658" s="8"/>
      <c r="D658" s="8"/>
      <c r="E658" s="8"/>
      <c r="F658" s="8"/>
      <c r="G658" s="8"/>
      <c r="H658" s="8"/>
      <c r="I658" s="11"/>
      <c r="J658" s="12"/>
      <c r="K658" s="12"/>
      <c r="L658" s="12"/>
      <c r="M658" s="8"/>
    </row>
    <row r="659" spans="1:13" ht="25" customHeight="1">
      <c r="A659" s="12"/>
      <c r="B659" s="8"/>
      <c r="C659" s="8"/>
      <c r="D659" s="8"/>
      <c r="E659" s="8"/>
      <c r="F659" s="8"/>
      <c r="G659" s="8"/>
      <c r="H659" s="8"/>
      <c r="I659" s="11"/>
      <c r="J659" s="12"/>
      <c r="K659" s="12"/>
      <c r="L659" s="12"/>
      <c r="M659" s="8"/>
    </row>
    <row r="660" spans="1:13" ht="25" customHeight="1">
      <c r="A660" s="12"/>
      <c r="B660" s="8"/>
      <c r="C660" s="8"/>
      <c r="D660" s="8"/>
      <c r="E660" s="8"/>
      <c r="F660" s="8"/>
      <c r="G660" s="8"/>
      <c r="H660" s="8"/>
      <c r="I660" s="11"/>
      <c r="J660" s="12"/>
      <c r="K660" s="12"/>
      <c r="L660" s="12"/>
      <c r="M660" s="8"/>
    </row>
    <row r="661" spans="1:13" ht="25" customHeight="1">
      <c r="A661" s="12"/>
      <c r="B661" s="8"/>
      <c r="C661" s="8"/>
      <c r="D661" s="8"/>
      <c r="E661" s="8"/>
      <c r="F661" s="8"/>
      <c r="G661" s="8"/>
      <c r="H661" s="8"/>
      <c r="I661" s="11"/>
      <c r="J661" s="12"/>
      <c r="K661" s="12"/>
      <c r="L661" s="12"/>
      <c r="M661" s="8"/>
    </row>
    <row r="662" spans="1:13" ht="25" customHeight="1">
      <c r="A662" s="12"/>
      <c r="B662" s="8"/>
      <c r="C662" s="8"/>
      <c r="D662" s="8"/>
      <c r="E662" s="8"/>
      <c r="F662" s="8"/>
      <c r="G662" s="8"/>
      <c r="H662" s="8"/>
      <c r="I662" s="11"/>
      <c r="J662" s="12"/>
      <c r="K662" s="12"/>
      <c r="L662" s="12"/>
      <c r="M662" s="8"/>
    </row>
    <row r="663" spans="1:13" ht="25" customHeight="1">
      <c r="A663" s="12"/>
      <c r="B663" s="8"/>
      <c r="C663" s="8"/>
      <c r="D663" s="8"/>
      <c r="E663" s="8"/>
      <c r="F663" s="8"/>
      <c r="G663" s="8"/>
      <c r="H663" s="8"/>
      <c r="I663" s="11"/>
      <c r="J663" s="12"/>
      <c r="K663" s="12"/>
      <c r="L663" s="12"/>
      <c r="M663" s="8"/>
    </row>
    <row r="664" spans="1:13" ht="25" customHeight="1">
      <c r="A664" s="12"/>
      <c r="B664" s="8"/>
      <c r="C664" s="8"/>
      <c r="D664" s="8"/>
      <c r="E664" s="8"/>
      <c r="F664" s="8"/>
      <c r="G664" s="8"/>
      <c r="H664" s="8"/>
      <c r="I664" s="11"/>
      <c r="J664" s="12"/>
      <c r="K664" s="12"/>
      <c r="L664" s="12"/>
      <c r="M664" s="8"/>
    </row>
    <row r="665" spans="1:13" ht="25" customHeight="1">
      <c r="A665" s="12"/>
      <c r="B665" s="8"/>
      <c r="C665" s="8"/>
      <c r="D665" s="8"/>
      <c r="E665" s="8"/>
      <c r="F665" s="8"/>
      <c r="G665" s="8"/>
      <c r="H665" s="8"/>
      <c r="I665" s="11"/>
      <c r="J665" s="12"/>
      <c r="K665" s="12"/>
      <c r="L665" s="12"/>
      <c r="M665" s="8"/>
    </row>
    <row r="666" spans="1:13" ht="25" customHeight="1">
      <c r="A666" s="12"/>
      <c r="B666" s="8"/>
      <c r="C666" s="8"/>
      <c r="D666" s="8"/>
      <c r="E666" s="8"/>
      <c r="F666" s="8"/>
      <c r="G666" s="8"/>
      <c r="H666" s="8"/>
      <c r="I666" s="11"/>
      <c r="J666" s="12"/>
      <c r="K666" s="12"/>
      <c r="L666" s="12"/>
      <c r="M666" s="8"/>
    </row>
    <row r="667" spans="1:13" ht="25" customHeight="1">
      <c r="A667" s="12"/>
      <c r="B667" s="8"/>
      <c r="C667" s="8"/>
      <c r="D667" s="8"/>
      <c r="E667" s="8"/>
      <c r="F667" s="8"/>
      <c r="G667" s="8"/>
      <c r="H667" s="8"/>
      <c r="I667" s="11"/>
      <c r="J667" s="12"/>
      <c r="K667" s="12"/>
      <c r="L667" s="12"/>
      <c r="M667" s="8"/>
    </row>
    <row r="668" spans="1:13" ht="25" customHeight="1">
      <c r="A668" s="12"/>
      <c r="B668" s="8"/>
      <c r="C668" s="8"/>
      <c r="D668" s="8"/>
      <c r="E668" s="8"/>
      <c r="F668" s="8"/>
      <c r="G668" s="8"/>
      <c r="H668" s="8"/>
      <c r="I668" s="11"/>
      <c r="J668" s="12"/>
      <c r="K668" s="12"/>
      <c r="L668" s="12"/>
      <c r="M668" s="8"/>
    </row>
    <row r="669" spans="1:13" ht="25" customHeight="1">
      <c r="A669" s="12"/>
      <c r="B669" s="8"/>
      <c r="C669" s="8"/>
      <c r="D669" s="8"/>
      <c r="E669" s="8"/>
      <c r="F669" s="8"/>
      <c r="G669" s="8"/>
      <c r="H669" s="8"/>
      <c r="I669" s="11"/>
      <c r="J669" s="12"/>
      <c r="K669" s="12"/>
      <c r="L669" s="12"/>
      <c r="M669" s="8"/>
    </row>
    <row r="670" spans="1:13" ht="25" customHeight="1">
      <c r="A670" s="12"/>
      <c r="B670" s="8"/>
      <c r="C670" s="8"/>
      <c r="D670" s="8"/>
      <c r="E670" s="8"/>
      <c r="F670" s="8"/>
      <c r="G670" s="8"/>
      <c r="H670" s="8"/>
      <c r="I670" s="11"/>
      <c r="J670" s="12"/>
      <c r="K670" s="12"/>
      <c r="L670" s="12"/>
      <c r="M670" s="8"/>
    </row>
    <row r="671" spans="1:13" ht="25" customHeight="1">
      <c r="A671" s="12"/>
      <c r="B671" s="8"/>
      <c r="C671" s="8"/>
      <c r="D671" s="8"/>
      <c r="E671" s="8"/>
      <c r="F671" s="8"/>
      <c r="G671" s="8"/>
      <c r="H671" s="8"/>
      <c r="I671" s="11"/>
      <c r="J671" s="12"/>
      <c r="K671" s="12"/>
      <c r="L671" s="12"/>
      <c r="M671" s="8"/>
    </row>
    <row r="672" spans="1:13" ht="25" customHeight="1">
      <c r="A672" s="12"/>
      <c r="B672" s="8"/>
      <c r="C672" s="8"/>
      <c r="D672" s="8"/>
      <c r="E672" s="8"/>
      <c r="F672" s="8"/>
      <c r="G672" s="8"/>
      <c r="H672" s="8"/>
      <c r="I672" s="11"/>
      <c r="J672" s="12"/>
      <c r="K672" s="12"/>
      <c r="L672" s="12"/>
      <c r="M672" s="8"/>
    </row>
    <row r="673" spans="1:13" ht="25" customHeight="1">
      <c r="A673" s="12"/>
      <c r="B673" s="8"/>
      <c r="C673" s="8"/>
      <c r="D673" s="8"/>
      <c r="E673" s="8"/>
      <c r="F673" s="8"/>
      <c r="G673" s="8"/>
      <c r="H673" s="8"/>
      <c r="I673" s="11"/>
      <c r="J673" s="12"/>
      <c r="K673" s="12"/>
      <c r="L673" s="12"/>
      <c r="M673" s="8"/>
    </row>
    <row r="674" spans="1:13" ht="25" customHeight="1">
      <c r="A674" s="12"/>
      <c r="B674" s="8"/>
      <c r="C674" s="8"/>
      <c r="D674" s="8"/>
      <c r="E674" s="8"/>
      <c r="F674" s="8"/>
      <c r="G674" s="8"/>
      <c r="H674" s="8"/>
      <c r="I674" s="11"/>
      <c r="J674" s="12"/>
      <c r="K674" s="12"/>
      <c r="L674" s="12"/>
      <c r="M674" s="8"/>
    </row>
    <row r="675" spans="1:13" ht="25" customHeight="1">
      <c r="A675" s="12"/>
      <c r="B675" s="8"/>
      <c r="C675" s="8"/>
      <c r="D675" s="8"/>
      <c r="E675" s="8"/>
      <c r="F675" s="8"/>
      <c r="G675" s="8"/>
      <c r="H675" s="8"/>
      <c r="I675" s="11"/>
      <c r="J675" s="12"/>
      <c r="K675" s="12"/>
      <c r="L675" s="12"/>
      <c r="M675" s="8"/>
    </row>
    <row r="676" spans="1:13" ht="25" customHeight="1">
      <c r="A676" s="12"/>
      <c r="B676" s="8"/>
      <c r="C676" s="8"/>
      <c r="D676" s="8"/>
      <c r="E676" s="8"/>
      <c r="F676" s="8"/>
      <c r="G676" s="8"/>
      <c r="H676" s="8"/>
      <c r="I676" s="11"/>
      <c r="J676" s="12"/>
      <c r="K676" s="12"/>
      <c r="L676" s="12"/>
      <c r="M676" s="8"/>
    </row>
    <row r="677" spans="1:13" ht="25" customHeight="1">
      <c r="A677" s="12"/>
      <c r="B677" s="8"/>
      <c r="C677" s="8"/>
      <c r="D677" s="8"/>
      <c r="E677" s="8"/>
      <c r="F677" s="8"/>
      <c r="G677" s="8"/>
      <c r="H677" s="8"/>
      <c r="I677" s="11"/>
      <c r="J677" s="12"/>
      <c r="K677" s="12"/>
      <c r="L677" s="12"/>
      <c r="M677" s="8"/>
    </row>
    <row r="678" spans="1:13" ht="25" customHeight="1">
      <c r="A678" s="12"/>
      <c r="B678" s="8"/>
      <c r="C678" s="8"/>
      <c r="D678" s="8"/>
      <c r="E678" s="8"/>
      <c r="F678" s="8"/>
      <c r="G678" s="8"/>
      <c r="H678" s="8"/>
      <c r="I678" s="11"/>
      <c r="J678" s="12"/>
      <c r="K678" s="12"/>
      <c r="L678" s="12"/>
      <c r="M678" s="8"/>
    </row>
    <row r="679" spans="1:13" ht="25" customHeight="1">
      <c r="A679" s="12"/>
      <c r="B679" s="8"/>
      <c r="C679" s="8"/>
      <c r="D679" s="8"/>
      <c r="E679" s="8"/>
      <c r="F679" s="8"/>
      <c r="G679" s="8"/>
      <c r="H679" s="8"/>
      <c r="I679" s="11"/>
      <c r="J679" s="12"/>
      <c r="K679" s="12"/>
      <c r="L679" s="12"/>
      <c r="M679" s="8"/>
    </row>
    <row r="680" spans="1:13" ht="25" customHeight="1">
      <c r="A680" s="12"/>
      <c r="B680" s="8"/>
      <c r="C680" s="8"/>
      <c r="D680" s="8"/>
      <c r="E680" s="8"/>
      <c r="F680" s="8"/>
      <c r="G680" s="8"/>
      <c r="H680" s="8"/>
      <c r="I680" s="11"/>
      <c r="J680" s="12"/>
      <c r="K680" s="12"/>
      <c r="L680" s="12"/>
      <c r="M680" s="8"/>
    </row>
    <row r="681" spans="1:13" ht="25" customHeight="1">
      <c r="A681" s="12"/>
      <c r="B681" s="8"/>
      <c r="C681" s="8"/>
      <c r="D681" s="8"/>
      <c r="E681" s="8"/>
      <c r="F681" s="8"/>
      <c r="G681" s="8"/>
      <c r="H681" s="8"/>
      <c r="I681" s="11"/>
      <c r="J681" s="12"/>
      <c r="K681" s="12"/>
      <c r="L681" s="12"/>
      <c r="M681" s="8"/>
    </row>
    <row r="682" spans="1:13" ht="25" customHeight="1">
      <c r="A682" s="12"/>
      <c r="B682" s="8"/>
      <c r="C682" s="8"/>
      <c r="D682" s="8"/>
      <c r="E682" s="8"/>
      <c r="F682" s="8"/>
      <c r="G682" s="8"/>
      <c r="H682" s="8"/>
      <c r="I682" s="11"/>
      <c r="J682" s="12"/>
      <c r="K682" s="12"/>
      <c r="L682" s="12"/>
      <c r="M682" s="8"/>
    </row>
    <row r="683" spans="1:13" ht="25" customHeight="1">
      <c r="A683" s="12"/>
      <c r="B683" s="8"/>
      <c r="C683" s="8"/>
      <c r="D683" s="8"/>
      <c r="E683" s="8"/>
      <c r="F683" s="8"/>
      <c r="G683" s="8"/>
      <c r="H683" s="8"/>
      <c r="I683" s="11"/>
      <c r="J683" s="12"/>
      <c r="K683" s="12"/>
      <c r="L683" s="12"/>
      <c r="M683" s="8"/>
    </row>
    <row r="684" spans="1:13" ht="25" customHeight="1">
      <c r="A684" s="12"/>
      <c r="B684" s="8"/>
      <c r="C684" s="8"/>
      <c r="D684" s="8"/>
      <c r="E684" s="8"/>
      <c r="F684" s="8"/>
      <c r="G684" s="8"/>
      <c r="H684" s="8"/>
      <c r="I684" s="11"/>
      <c r="J684" s="12"/>
      <c r="K684" s="12"/>
      <c r="L684" s="12"/>
      <c r="M684" s="8"/>
    </row>
    <row r="685" spans="1:13" ht="25" customHeight="1">
      <c r="A685" s="12"/>
      <c r="B685" s="8"/>
      <c r="C685" s="8"/>
      <c r="D685" s="8"/>
      <c r="E685" s="8"/>
      <c r="F685" s="8"/>
      <c r="G685" s="8"/>
      <c r="H685" s="8"/>
      <c r="I685" s="11"/>
      <c r="J685" s="12"/>
      <c r="K685" s="12"/>
      <c r="L685" s="12"/>
      <c r="M685" s="8"/>
    </row>
    <row r="686" spans="1:13" ht="25" customHeight="1">
      <c r="A686" s="12"/>
      <c r="B686" s="8"/>
      <c r="C686" s="8"/>
      <c r="D686" s="8"/>
      <c r="E686" s="8"/>
      <c r="F686" s="8"/>
      <c r="G686" s="8"/>
      <c r="H686" s="8"/>
      <c r="I686" s="11"/>
      <c r="J686" s="12"/>
      <c r="K686" s="12"/>
      <c r="L686" s="12"/>
      <c r="M686" s="8"/>
    </row>
    <row r="687" spans="1:13" ht="25" customHeight="1">
      <c r="A687" s="12"/>
      <c r="B687" s="8"/>
      <c r="C687" s="8"/>
      <c r="D687" s="8"/>
      <c r="E687" s="8"/>
      <c r="F687" s="8"/>
      <c r="G687" s="8"/>
      <c r="H687" s="8"/>
      <c r="I687" s="11"/>
      <c r="J687" s="12"/>
      <c r="K687" s="12"/>
      <c r="L687" s="12"/>
      <c r="M687" s="8"/>
    </row>
    <row r="688" spans="1:13" ht="25" customHeight="1">
      <c r="A688" s="12"/>
      <c r="B688" s="8"/>
      <c r="C688" s="8"/>
      <c r="D688" s="8"/>
      <c r="E688" s="8"/>
      <c r="F688" s="8"/>
      <c r="G688" s="8"/>
      <c r="H688" s="8"/>
      <c r="I688" s="11"/>
      <c r="J688" s="12"/>
      <c r="K688" s="12"/>
      <c r="L688" s="12"/>
      <c r="M688" s="8"/>
    </row>
    <row r="689" spans="1:13" ht="25" customHeight="1">
      <c r="A689" s="12"/>
      <c r="B689" s="8"/>
      <c r="C689" s="8"/>
      <c r="D689" s="8"/>
      <c r="E689" s="8"/>
      <c r="F689" s="8"/>
      <c r="G689" s="8"/>
      <c r="H689" s="8"/>
      <c r="I689" s="11"/>
      <c r="J689" s="12"/>
      <c r="K689" s="12"/>
      <c r="L689" s="12"/>
      <c r="M689" s="8"/>
    </row>
    <row r="690" spans="1:13" ht="25" customHeight="1">
      <c r="A690" s="12"/>
      <c r="B690" s="8"/>
      <c r="C690" s="8"/>
      <c r="D690" s="8"/>
      <c r="E690" s="8"/>
      <c r="F690" s="8"/>
      <c r="G690" s="8"/>
      <c r="H690" s="8"/>
      <c r="I690" s="11"/>
      <c r="J690" s="12"/>
      <c r="K690" s="12"/>
      <c r="L690" s="12"/>
      <c r="M690" s="8"/>
    </row>
    <row r="691" spans="1:13" ht="25" customHeight="1">
      <c r="A691" s="12"/>
      <c r="B691" s="8"/>
      <c r="C691" s="8"/>
      <c r="D691" s="8"/>
      <c r="E691" s="8"/>
      <c r="F691" s="8"/>
      <c r="G691" s="8"/>
      <c r="H691" s="8"/>
      <c r="I691" s="11"/>
      <c r="J691" s="12"/>
      <c r="K691" s="12"/>
      <c r="L691" s="12"/>
      <c r="M691" s="8"/>
    </row>
    <row r="692" spans="1:13" ht="25" customHeight="1">
      <c r="A692" s="12"/>
      <c r="B692" s="8"/>
      <c r="C692" s="8"/>
      <c r="D692" s="8"/>
      <c r="E692" s="8"/>
      <c r="F692" s="8"/>
      <c r="G692" s="8"/>
      <c r="H692" s="8"/>
      <c r="I692" s="11"/>
      <c r="J692" s="12"/>
      <c r="K692" s="12"/>
      <c r="L692" s="12"/>
      <c r="M692" s="8"/>
    </row>
    <row r="693" spans="1:13" ht="25" customHeight="1">
      <c r="A693" s="12"/>
      <c r="B693" s="8"/>
      <c r="C693" s="8"/>
      <c r="D693" s="8"/>
      <c r="E693" s="8"/>
      <c r="F693" s="8"/>
      <c r="G693" s="8"/>
      <c r="H693" s="8"/>
      <c r="I693" s="11"/>
      <c r="J693" s="12"/>
      <c r="K693" s="12"/>
      <c r="L693" s="12"/>
      <c r="M693" s="8"/>
    </row>
    <row r="694" spans="1:13" ht="25" customHeight="1">
      <c r="A694" s="12"/>
      <c r="B694" s="8"/>
      <c r="C694" s="8"/>
      <c r="D694" s="8"/>
      <c r="E694" s="8"/>
      <c r="F694" s="8"/>
      <c r="G694" s="8"/>
      <c r="H694" s="8"/>
      <c r="I694" s="11"/>
      <c r="J694" s="12"/>
      <c r="K694" s="12"/>
      <c r="L694" s="12"/>
      <c r="M694" s="8"/>
    </row>
    <row r="695" spans="1:13" ht="25" customHeight="1">
      <c r="A695" s="12"/>
      <c r="B695" s="8"/>
      <c r="C695" s="8"/>
      <c r="D695" s="8"/>
      <c r="E695" s="8"/>
      <c r="F695" s="8"/>
      <c r="G695" s="8"/>
      <c r="H695" s="8"/>
      <c r="I695" s="11"/>
      <c r="J695" s="12"/>
      <c r="K695" s="12"/>
      <c r="L695" s="12"/>
      <c r="M695" s="8"/>
    </row>
    <row r="696" spans="1:13" ht="25" customHeight="1">
      <c r="A696" s="12"/>
      <c r="B696" s="8"/>
      <c r="C696" s="8"/>
      <c r="D696" s="8"/>
      <c r="E696" s="8"/>
      <c r="F696" s="8"/>
      <c r="G696" s="8"/>
      <c r="H696" s="8"/>
      <c r="I696" s="11"/>
      <c r="J696" s="12"/>
      <c r="K696" s="12"/>
      <c r="L696" s="12"/>
      <c r="M696" s="8"/>
    </row>
    <row r="697" spans="1:13" ht="25" customHeight="1">
      <c r="A697" s="12"/>
      <c r="B697" s="8"/>
      <c r="C697" s="8"/>
      <c r="D697" s="8"/>
      <c r="E697" s="8"/>
      <c r="F697" s="8"/>
      <c r="G697" s="8"/>
      <c r="H697" s="8"/>
      <c r="I697" s="11"/>
      <c r="J697" s="12"/>
      <c r="K697" s="12"/>
      <c r="L697" s="12"/>
      <c r="M697" s="8"/>
    </row>
    <row r="698" spans="1:13" ht="25" customHeight="1">
      <c r="A698" s="12"/>
      <c r="B698" s="8"/>
      <c r="C698" s="8"/>
      <c r="D698" s="8"/>
      <c r="E698" s="8"/>
      <c r="F698" s="8"/>
      <c r="G698" s="8"/>
      <c r="H698" s="8"/>
      <c r="I698" s="11"/>
      <c r="J698" s="12"/>
      <c r="K698" s="12"/>
      <c r="L698" s="12"/>
      <c r="M698" s="8"/>
    </row>
    <row r="699" spans="1:13" ht="25" customHeight="1">
      <c r="A699" s="12"/>
      <c r="B699" s="8"/>
      <c r="C699" s="8"/>
      <c r="D699" s="8"/>
      <c r="E699" s="8"/>
      <c r="F699" s="8"/>
      <c r="G699" s="8"/>
      <c r="H699" s="8"/>
      <c r="I699" s="11"/>
      <c r="J699" s="12"/>
      <c r="K699" s="12"/>
      <c r="L699" s="12"/>
      <c r="M699" s="8"/>
    </row>
    <row r="700" spans="1:13" ht="25" customHeight="1">
      <c r="A700" s="12"/>
      <c r="B700" s="8"/>
      <c r="C700" s="8"/>
      <c r="D700" s="8"/>
      <c r="E700" s="8"/>
      <c r="F700" s="8"/>
      <c r="G700" s="8"/>
      <c r="H700" s="8"/>
      <c r="I700" s="11"/>
      <c r="J700" s="12"/>
      <c r="K700" s="12"/>
      <c r="L700" s="12"/>
      <c r="M700" s="8"/>
    </row>
    <row r="701" spans="1:13" ht="25" customHeight="1">
      <c r="A701" s="12"/>
      <c r="B701" s="8"/>
      <c r="C701" s="8"/>
      <c r="D701" s="8"/>
      <c r="E701" s="8"/>
      <c r="F701" s="8"/>
      <c r="G701" s="8"/>
      <c r="H701" s="8"/>
      <c r="I701" s="11"/>
      <c r="J701" s="12"/>
      <c r="K701" s="12"/>
      <c r="L701" s="12"/>
      <c r="M701" s="8"/>
    </row>
    <row r="702" spans="1:13" ht="25" customHeight="1">
      <c r="A702" s="12"/>
      <c r="B702" s="8"/>
      <c r="C702" s="8"/>
      <c r="D702" s="8"/>
      <c r="E702" s="8"/>
      <c r="F702" s="8"/>
      <c r="G702" s="8"/>
      <c r="H702" s="8"/>
      <c r="I702" s="11"/>
      <c r="J702" s="12"/>
      <c r="K702" s="12"/>
      <c r="L702" s="12"/>
      <c r="M702" s="8"/>
    </row>
    <row r="703" spans="1:13" ht="25" customHeight="1">
      <c r="A703" s="12"/>
      <c r="B703" s="8"/>
      <c r="C703" s="8"/>
      <c r="D703" s="8"/>
      <c r="E703" s="8"/>
      <c r="F703" s="8"/>
      <c r="G703" s="8"/>
      <c r="H703" s="8"/>
      <c r="I703" s="11"/>
      <c r="J703" s="12"/>
      <c r="K703" s="12"/>
      <c r="L703" s="12"/>
      <c r="M703" s="8"/>
    </row>
    <row r="704" spans="1:13" ht="25" customHeight="1">
      <c r="A704" s="12"/>
      <c r="B704" s="8"/>
      <c r="C704" s="8"/>
      <c r="D704" s="8"/>
      <c r="E704" s="8"/>
      <c r="F704" s="8"/>
      <c r="G704" s="8"/>
      <c r="H704" s="8"/>
      <c r="I704" s="11"/>
      <c r="J704" s="12"/>
      <c r="K704" s="12"/>
      <c r="L704" s="12"/>
      <c r="M704" s="8"/>
    </row>
    <row r="705" spans="1:13" ht="25" customHeight="1">
      <c r="A705" s="12"/>
      <c r="B705" s="8"/>
      <c r="C705" s="8"/>
      <c r="D705" s="8"/>
      <c r="E705" s="8"/>
      <c r="F705" s="8"/>
      <c r="G705" s="8"/>
      <c r="H705" s="8"/>
      <c r="I705" s="11"/>
      <c r="J705" s="12"/>
      <c r="K705" s="12"/>
      <c r="L705" s="12"/>
      <c r="M705" s="8"/>
    </row>
    <row r="706" spans="1:13" ht="25" customHeight="1">
      <c r="A706" s="12"/>
      <c r="B706" s="8"/>
      <c r="C706" s="8"/>
      <c r="D706" s="8"/>
      <c r="E706" s="8"/>
      <c r="F706" s="8"/>
      <c r="G706" s="8"/>
      <c r="H706" s="8"/>
      <c r="I706" s="11"/>
      <c r="J706" s="12"/>
      <c r="K706" s="12"/>
      <c r="L706" s="12"/>
      <c r="M706" s="8"/>
    </row>
    <row r="707" spans="1:13" ht="25" customHeight="1">
      <c r="A707" s="12"/>
      <c r="B707" s="8"/>
      <c r="C707" s="8"/>
      <c r="D707" s="8"/>
      <c r="E707" s="8"/>
      <c r="F707" s="8"/>
      <c r="G707" s="8"/>
      <c r="H707" s="8"/>
      <c r="I707" s="11"/>
      <c r="J707" s="12"/>
      <c r="K707" s="12"/>
      <c r="L707" s="12"/>
      <c r="M707" s="8"/>
    </row>
    <row r="708" spans="1:13" ht="25" customHeight="1">
      <c r="A708" s="12"/>
      <c r="B708" s="8"/>
      <c r="C708" s="8"/>
      <c r="D708" s="8"/>
      <c r="E708" s="8"/>
      <c r="F708" s="8"/>
      <c r="G708" s="8"/>
      <c r="H708" s="8"/>
      <c r="I708" s="11"/>
      <c r="J708" s="12"/>
      <c r="K708" s="12"/>
      <c r="L708" s="12"/>
      <c r="M708" s="8"/>
    </row>
    <row r="709" spans="1:13" ht="25" customHeight="1">
      <c r="A709" s="12"/>
      <c r="B709" s="8"/>
      <c r="C709" s="8"/>
      <c r="D709" s="8"/>
      <c r="E709" s="8"/>
      <c r="F709" s="8"/>
      <c r="G709" s="8"/>
      <c r="H709" s="8"/>
      <c r="I709" s="11"/>
      <c r="J709" s="12"/>
      <c r="K709" s="12"/>
      <c r="L709" s="12"/>
      <c r="M709" s="8"/>
    </row>
    <row r="710" spans="1:13" ht="25" customHeight="1">
      <c r="A710" s="12"/>
      <c r="B710" s="8"/>
      <c r="C710" s="8"/>
      <c r="D710" s="8"/>
      <c r="E710" s="8"/>
      <c r="F710" s="8"/>
      <c r="G710" s="8"/>
      <c r="H710" s="8"/>
      <c r="I710" s="11"/>
      <c r="J710" s="12"/>
      <c r="K710" s="12"/>
      <c r="L710" s="12"/>
      <c r="M710" s="8"/>
    </row>
    <row r="711" spans="1:13" ht="25" customHeight="1">
      <c r="A711" s="12"/>
      <c r="B711" s="8"/>
      <c r="C711" s="8"/>
      <c r="D711" s="8"/>
      <c r="E711" s="8"/>
      <c r="F711" s="8"/>
      <c r="G711" s="8"/>
      <c r="H711" s="8"/>
      <c r="I711" s="11"/>
      <c r="J711" s="12"/>
      <c r="K711" s="12"/>
      <c r="L711" s="12"/>
      <c r="M711" s="8"/>
    </row>
    <row r="712" spans="1:13" ht="25" customHeight="1">
      <c r="A712" s="12"/>
      <c r="B712" s="8"/>
      <c r="C712" s="8"/>
      <c r="D712" s="8"/>
      <c r="E712" s="8"/>
      <c r="F712" s="8"/>
      <c r="G712" s="8"/>
      <c r="H712" s="8"/>
      <c r="I712" s="11"/>
      <c r="J712" s="12"/>
      <c r="K712" s="12"/>
      <c r="L712" s="12"/>
      <c r="M712" s="8"/>
    </row>
    <row r="713" spans="1:13" ht="25" customHeight="1">
      <c r="A713" s="12"/>
      <c r="B713" s="8"/>
      <c r="C713" s="8"/>
      <c r="D713" s="8"/>
      <c r="E713" s="8"/>
      <c r="F713" s="8"/>
      <c r="G713" s="8"/>
      <c r="H713" s="8"/>
      <c r="I713" s="11"/>
      <c r="J713" s="12"/>
      <c r="K713" s="12"/>
      <c r="L713" s="12"/>
      <c r="M713" s="8"/>
    </row>
    <row r="714" spans="1:13" ht="25" customHeight="1">
      <c r="A714" s="12"/>
      <c r="B714" s="8"/>
      <c r="C714" s="8"/>
      <c r="D714" s="8"/>
      <c r="E714" s="8"/>
      <c r="F714" s="8"/>
      <c r="G714" s="8"/>
      <c r="H714" s="8"/>
      <c r="I714" s="11"/>
      <c r="J714" s="12"/>
      <c r="K714" s="12"/>
      <c r="L714" s="12"/>
      <c r="M714" s="8"/>
    </row>
    <row r="715" spans="1:13" ht="25" customHeight="1">
      <c r="A715" s="12"/>
      <c r="B715" s="8"/>
      <c r="C715" s="8"/>
      <c r="D715" s="8"/>
      <c r="E715" s="8"/>
      <c r="F715" s="8"/>
      <c r="G715" s="8"/>
      <c r="H715" s="8"/>
      <c r="I715" s="11"/>
      <c r="J715" s="12"/>
      <c r="K715" s="12"/>
      <c r="L715" s="12"/>
      <c r="M715" s="8"/>
    </row>
    <row r="716" spans="1:13" ht="25" customHeight="1">
      <c r="A716" s="12"/>
      <c r="B716" s="8"/>
      <c r="C716" s="8"/>
      <c r="D716" s="8"/>
      <c r="E716" s="8"/>
      <c r="F716" s="8"/>
      <c r="G716" s="8"/>
      <c r="H716" s="8"/>
      <c r="I716" s="11"/>
      <c r="J716" s="12"/>
      <c r="K716" s="12"/>
      <c r="L716" s="12"/>
      <c r="M716" s="8"/>
    </row>
    <row r="717" spans="1:13" ht="25" customHeight="1">
      <c r="A717" s="12"/>
      <c r="B717" s="8"/>
      <c r="C717" s="8"/>
      <c r="D717" s="8"/>
      <c r="E717" s="8"/>
      <c r="F717" s="8"/>
      <c r="G717" s="8"/>
      <c r="H717" s="8"/>
      <c r="I717" s="11"/>
      <c r="J717" s="12"/>
      <c r="K717" s="12"/>
      <c r="L717" s="12"/>
      <c r="M717" s="8"/>
    </row>
    <row r="718" spans="1:13" ht="25" customHeight="1">
      <c r="A718" s="12"/>
      <c r="B718" s="8"/>
      <c r="C718" s="8"/>
      <c r="D718" s="8"/>
      <c r="E718" s="8"/>
      <c r="F718" s="8"/>
      <c r="G718" s="8"/>
      <c r="H718" s="8"/>
      <c r="I718" s="11"/>
      <c r="J718" s="12"/>
      <c r="K718" s="12"/>
      <c r="L718" s="12"/>
      <c r="M718" s="8"/>
    </row>
    <row r="719" spans="1:13" ht="25" customHeight="1">
      <c r="A719" s="12"/>
      <c r="B719" s="8"/>
      <c r="C719" s="8"/>
      <c r="D719" s="8"/>
      <c r="E719" s="8"/>
      <c r="F719" s="8"/>
      <c r="G719" s="8"/>
      <c r="H719" s="8"/>
      <c r="I719" s="11"/>
      <c r="J719" s="12"/>
      <c r="K719" s="12"/>
      <c r="L719" s="12"/>
      <c r="M719" s="8"/>
    </row>
    <row r="720" spans="1:13" ht="25" customHeight="1">
      <c r="A720" s="12"/>
      <c r="B720" s="8"/>
      <c r="C720" s="8"/>
      <c r="D720" s="8"/>
      <c r="E720" s="8"/>
      <c r="F720" s="8"/>
      <c r="G720" s="8"/>
      <c r="H720" s="8"/>
      <c r="I720" s="11"/>
      <c r="J720" s="12"/>
      <c r="K720" s="12"/>
      <c r="L720" s="12"/>
      <c r="M720" s="8"/>
    </row>
    <row r="721" spans="1:13" ht="25" customHeight="1">
      <c r="A721" s="12"/>
      <c r="B721" s="8"/>
      <c r="C721" s="8"/>
      <c r="D721" s="8"/>
      <c r="E721" s="8"/>
      <c r="F721" s="8"/>
      <c r="G721" s="8"/>
      <c r="H721" s="8"/>
      <c r="I721" s="11"/>
      <c r="J721" s="12"/>
      <c r="K721" s="12"/>
      <c r="L721" s="12"/>
      <c r="M721" s="8"/>
    </row>
    <row r="722" spans="1:13" ht="25" customHeight="1">
      <c r="A722" s="12"/>
      <c r="B722" s="8"/>
      <c r="C722" s="8"/>
      <c r="D722" s="8"/>
      <c r="E722" s="8"/>
      <c r="F722" s="8"/>
      <c r="G722" s="8"/>
      <c r="H722" s="8"/>
      <c r="I722" s="11"/>
      <c r="J722" s="12"/>
      <c r="K722" s="12"/>
      <c r="L722" s="12"/>
      <c r="M722" s="8"/>
    </row>
    <row r="723" spans="1:13" ht="25" customHeight="1">
      <c r="A723" s="12"/>
      <c r="B723" s="8"/>
      <c r="C723" s="8"/>
      <c r="D723" s="8"/>
      <c r="E723" s="8"/>
      <c r="F723" s="8"/>
      <c r="G723" s="8"/>
      <c r="H723" s="8"/>
      <c r="I723" s="11"/>
      <c r="J723" s="12"/>
      <c r="K723" s="12"/>
      <c r="L723" s="12"/>
      <c r="M723" s="8"/>
    </row>
    <row r="724" spans="1:13" ht="25" customHeight="1">
      <c r="A724" s="12"/>
      <c r="B724" s="8"/>
      <c r="C724" s="8"/>
      <c r="D724" s="8"/>
      <c r="E724" s="8"/>
      <c r="F724" s="8"/>
      <c r="G724" s="8"/>
      <c r="H724" s="8"/>
      <c r="I724" s="11"/>
      <c r="J724" s="12"/>
      <c r="K724" s="12"/>
      <c r="L724" s="12"/>
      <c r="M724" s="8"/>
    </row>
    <row r="725" spans="1:13" ht="25" customHeight="1">
      <c r="A725" s="12"/>
      <c r="B725" s="8"/>
      <c r="C725" s="8"/>
      <c r="D725" s="8"/>
      <c r="E725" s="8"/>
      <c r="F725" s="8"/>
      <c r="G725" s="8"/>
      <c r="H725" s="8"/>
      <c r="I725" s="11"/>
      <c r="J725" s="12"/>
      <c r="K725" s="12"/>
      <c r="L725" s="12"/>
      <c r="M725" s="8"/>
    </row>
    <row r="726" spans="1:13" ht="25" customHeight="1">
      <c r="A726" s="12"/>
      <c r="B726" s="8"/>
      <c r="C726" s="8"/>
      <c r="D726" s="8"/>
      <c r="E726" s="8"/>
      <c r="F726" s="8"/>
      <c r="G726" s="8"/>
      <c r="H726" s="8"/>
      <c r="I726" s="11"/>
      <c r="J726" s="12"/>
      <c r="K726" s="12"/>
      <c r="L726" s="12"/>
      <c r="M726" s="8"/>
    </row>
    <row r="727" spans="1:13" ht="25" customHeight="1">
      <c r="A727" s="12"/>
      <c r="B727" s="8"/>
      <c r="C727" s="8"/>
      <c r="D727" s="8"/>
      <c r="E727" s="8"/>
      <c r="F727" s="8"/>
      <c r="G727" s="8"/>
      <c r="H727" s="8"/>
      <c r="I727" s="11"/>
      <c r="J727" s="12"/>
      <c r="K727" s="12"/>
      <c r="L727" s="12"/>
      <c r="M727" s="8"/>
    </row>
    <row r="728" spans="1:13" ht="25" customHeight="1">
      <c r="A728" s="12"/>
      <c r="B728" s="8"/>
      <c r="C728" s="8"/>
      <c r="D728" s="8"/>
      <c r="E728" s="8"/>
      <c r="F728" s="8"/>
      <c r="G728" s="8"/>
      <c r="H728" s="8"/>
      <c r="I728" s="11"/>
      <c r="J728" s="12"/>
      <c r="K728" s="12"/>
      <c r="L728" s="12"/>
      <c r="M728" s="8"/>
    </row>
    <row r="729" spans="1:13" ht="25" customHeight="1">
      <c r="A729" s="12"/>
      <c r="B729" s="8"/>
      <c r="C729" s="8"/>
      <c r="D729" s="8"/>
      <c r="E729" s="8"/>
      <c r="F729" s="8"/>
      <c r="G729" s="8"/>
      <c r="H729" s="8"/>
      <c r="I729" s="11"/>
      <c r="J729" s="12"/>
      <c r="K729" s="12"/>
      <c r="L729" s="12"/>
      <c r="M729" s="8"/>
    </row>
    <row r="730" spans="1:13" ht="25" customHeight="1">
      <c r="A730" s="12"/>
      <c r="B730" s="8"/>
      <c r="C730" s="8"/>
      <c r="D730" s="8"/>
      <c r="E730" s="8"/>
      <c r="F730" s="8"/>
      <c r="G730" s="8"/>
      <c r="H730" s="8"/>
      <c r="I730" s="11"/>
      <c r="J730" s="12"/>
      <c r="K730" s="12"/>
      <c r="L730" s="12"/>
      <c r="M730" s="8"/>
    </row>
    <row r="731" spans="1:13" ht="25" customHeight="1">
      <c r="A731" s="12"/>
      <c r="B731" s="8"/>
      <c r="C731" s="8"/>
      <c r="D731" s="8"/>
      <c r="E731" s="8"/>
      <c r="F731" s="8"/>
      <c r="G731" s="8"/>
      <c r="H731" s="8"/>
      <c r="I731" s="11"/>
      <c r="J731" s="12"/>
      <c r="K731" s="12"/>
      <c r="L731" s="12"/>
      <c r="M731" s="8"/>
    </row>
    <row r="732" spans="1:13" ht="25" customHeight="1">
      <c r="A732" s="12"/>
      <c r="B732" s="8"/>
      <c r="C732" s="8"/>
      <c r="D732" s="8"/>
      <c r="E732" s="8"/>
      <c r="F732" s="8"/>
      <c r="G732" s="8"/>
      <c r="H732" s="8"/>
      <c r="I732" s="11"/>
      <c r="J732" s="12"/>
      <c r="K732" s="12"/>
      <c r="L732" s="12"/>
      <c r="M732" s="8"/>
    </row>
    <row r="733" spans="1:13" ht="25" customHeight="1">
      <c r="A733" s="12"/>
      <c r="B733" s="8"/>
      <c r="C733" s="8"/>
      <c r="D733" s="8"/>
      <c r="E733" s="8"/>
      <c r="F733" s="8"/>
      <c r="G733" s="8"/>
      <c r="H733" s="8"/>
      <c r="I733" s="11"/>
      <c r="J733" s="12"/>
      <c r="K733" s="12"/>
      <c r="L733" s="12"/>
      <c r="M733" s="8"/>
    </row>
    <row r="734" spans="1:13" ht="25" customHeight="1">
      <c r="A734" s="12"/>
      <c r="B734" s="8"/>
      <c r="C734" s="8"/>
      <c r="D734" s="8"/>
      <c r="E734" s="8"/>
      <c r="F734" s="8"/>
      <c r="G734" s="8"/>
      <c r="H734" s="8"/>
      <c r="I734" s="11"/>
      <c r="J734" s="12"/>
      <c r="K734" s="12"/>
      <c r="L734" s="12"/>
      <c r="M734" s="8"/>
    </row>
    <row r="735" spans="1:13" ht="25" customHeight="1">
      <c r="A735" s="12"/>
      <c r="B735" s="8"/>
      <c r="C735" s="8"/>
      <c r="D735" s="8"/>
      <c r="E735" s="8"/>
      <c r="F735" s="8"/>
      <c r="G735" s="8"/>
      <c r="H735" s="8"/>
      <c r="I735" s="11"/>
      <c r="J735" s="12"/>
      <c r="K735" s="12"/>
      <c r="L735" s="12"/>
      <c r="M735" s="8"/>
    </row>
    <row r="736" spans="1:13" ht="25" customHeight="1">
      <c r="A736" s="12"/>
      <c r="B736" s="8"/>
      <c r="C736" s="8"/>
      <c r="D736" s="8"/>
      <c r="E736" s="8"/>
      <c r="F736" s="8"/>
      <c r="G736" s="8"/>
      <c r="H736" s="8"/>
      <c r="I736" s="11"/>
      <c r="J736" s="12"/>
      <c r="K736" s="12"/>
      <c r="L736" s="12"/>
      <c r="M736" s="8"/>
    </row>
    <row r="737" spans="1:13" ht="25" customHeight="1">
      <c r="A737" s="12"/>
      <c r="B737" s="8"/>
      <c r="C737" s="8"/>
      <c r="D737" s="8"/>
      <c r="E737" s="8"/>
      <c r="F737" s="8"/>
      <c r="G737" s="8"/>
      <c r="H737" s="8"/>
      <c r="I737" s="11"/>
      <c r="J737" s="12"/>
      <c r="K737" s="12"/>
      <c r="L737" s="12"/>
      <c r="M737" s="8"/>
    </row>
    <row r="738" spans="1:13" ht="25" customHeight="1">
      <c r="A738" s="12"/>
      <c r="B738" s="8"/>
      <c r="C738" s="8"/>
      <c r="D738" s="8"/>
      <c r="E738" s="8"/>
      <c r="F738" s="8"/>
      <c r="G738" s="8"/>
      <c r="H738" s="8"/>
      <c r="I738" s="11"/>
      <c r="J738" s="12"/>
      <c r="K738" s="12"/>
      <c r="L738" s="12"/>
      <c r="M738" s="8"/>
    </row>
    <row r="739" spans="1:13" ht="25" customHeight="1">
      <c r="A739" s="12"/>
      <c r="B739" s="8"/>
      <c r="C739" s="8"/>
      <c r="D739" s="8"/>
      <c r="E739" s="8"/>
      <c r="F739" s="8"/>
      <c r="G739" s="8"/>
      <c r="H739" s="8"/>
      <c r="I739" s="11"/>
      <c r="J739" s="12"/>
      <c r="K739" s="12"/>
      <c r="L739" s="12"/>
      <c r="M739" s="8"/>
    </row>
    <row r="740" spans="1:13" ht="25" customHeight="1">
      <c r="A740" s="12"/>
      <c r="B740" s="8"/>
      <c r="C740" s="8"/>
      <c r="D740" s="8"/>
      <c r="E740" s="8"/>
      <c r="F740" s="8"/>
      <c r="G740" s="8"/>
      <c r="H740" s="8"/>
      <c r="I740" s="11"/>
      <c r="J740" s="12"/>
      <c r="K740" s="12"/>
      <c r="L740" s="12"/>
      <c r="M740" s="8"/>
    </row>
    <row r="741" spans="1:13" ht="25" customHeight="1">
      <c r="A741" s="12"/>
      <c r="B741" s="8"/>
      <c r="C741" s="8"/>
      <c r="D741" s="8"/>
      <c r="E741" s="8"/>
      <c r="F741" s="8"/>
      <c r="G741" s="8"/>
      <c r="H741" s="8"/>
      <c r="I741" s="11"/>
      <c r="J741" s="12"/>
      <c r="K741" s="12"/>
      <c r="L741" s="12"/>
      <c r="M741" s="8"/>
    </row>
    <row r="742" spans="1:13" ht="25" customHeight="1">
      <c r="A742" s="12"/>
      <c r="B742" s="8"/>
      <c r="C742" s="8"/>
      <c r="D742" s="8"/>
      <c r="E742" s="8"/>
      <c r="F742" s="8"/>
      <c r="G742" s="8"/>
      <c r="H742" s="8"/>
      <c r="I742" s="11"/>
      <c r="J742" s="12"/>
      <c r="K742" s="12"/>
      <c r="L742" s="12"/>
      <c r="M742" s="8"/>
    </row>
    <row r="743" spans="1:13" ht="25" customHeight="1">
      <c r="A743" s="12"/>
      <c r="B743" s="8"/>
      <c r="C743" s="8"/>
      <c r="D743" s="8"/>
      <c r="E743" s="8"/>
      <c r="F743" s="8"/>
      <c r="G743" s="8"/>
      <c r="H743" s="8"/>
      <c r="I743" s="11"/>
      <c r="J743" s="12"/>
      <c r="K743" s="12"/>
      <c r="L743" s="12"/>
      <c r="M743" s="8"/>
    </row>
    <row r="744" spans="1:13" ht="25" customHeight="1">
      <c r="A744" s="12"/>
      <c r="B744" s="8"/>
      <c r="C744" s="8"/>
      <c r="D744" s="8"/>
      <c r="E744" s="8"/>
      <c r="F744" s="8"/>
      <c r="G744" s="8"/>
      <c r="H744" s="8"/>
      <c r="I744" s="11"/>
      <c r="J744" s="12"/>
      <c r="K744" s="12"/>
      <c r="L744" s="12"/>
      <c r="M744" s="8"/>
    </row>
    <row r="745" spans="1:13" ht="25" customHeight="1">
      <c r="A745" s="12"/>
      <c r="B745" s="8"/>
      <c r="C745" s="8"/>
      <c r="D745" s="8"/>
      <c r="E745" s="8"/>
      <c r="F745" s="8"/>
      <c r="G745" s="8"/>
      <c r="H745" s="8"/>
      <c r="I745" s="11"/>
      <c r="J745" s="12"/>
      <c r="K745" s="12"/>
      <c r="L745" s="12"/>
      <c r="M745" s="8"/>
    </row>
    <row r="746" spans="1:13" ht="25" customHeight="1">
      <c r="A746" s="12"/>
      <c r="B746" s="8"/>
      <c r="C746" s="8"/>
      <c r="D746" s="8"/>
      <c r="E746" s="8"/>
      <c r="F746" s="8"/>
      <c r="G746" s="8"/>
      <c r="H746" s="8"/>
      <c r="I746" s="11"/>
      <c r="J746" s="12"/>
      <c r="K746" s="12"/>
      <c r="L746" s="12"/>
      <c r="M746" s="8"/>
    </row>
    <row r="747" spans="1:13" ht="25" customHeight="1">
      <c r="A747" s="12"/>
      <c r="B747" s="8"/>
      <c r="C747" s="8"/>
      <c r="D747" s="8"/>
      <c r="E747" s="8"/>
      <c r="F747" s="8"/>
      <c r="G747" s="8"/>
      <c r="H747" s="8"/>
      <c r="I747" s="11"/>
      <c r="J747" s="12"/>
      <c r="K747" s="12"/>
      <c r="L747" s="12"/>
      <c r="M747" s="8"/>
    </row>
    <row r="748" spans="1:13" ht="25" customHeight="1">
      <c r="A748" s="12"/>
      <c r="B748" s="8"/>
      <c r="C748" s="8"/>
      <c r="D748" s="8"/>
      <c r="E748" s="8"/>
      <c r="F748" s="8"/>
      <c r="G748" s="8"/>
      <c r="H748" s="8"/>
      <c r="I748" s="11"/>
      <c r="J748" s="12"/>
      <c r="K748" s="12"/>
      <c r="L748" s="12"/>
      <c r="M748" s="8"/>
    </row>
    <row r="749" spans="1:13" ht="25" customHeight="1">
      <c r="A749" s="12"/>
      <c r="B749" s="8"/>
      <c r="C749" s="8"/>
      <c r="D749" s="8"/>
      <c r="E749" s="8"/>
      <c r="F749" s="8"/>
      <c r="G749" s="8"/>
      <c r="H749" s="8"/>
      <c r="I749" s="11"/>
      <c r="J749" s="12"/>
      <c r="K749" s="12"/>
      <c r="L749" s="12"/>
      <c r="M749" s="8"/>
    </row>
    <row r="750" spans="1:13" ht="25" customHeight="1">
      <c r="A750" s="12"/>
      <c r="B750" s="8"/>
      <c r="C750" s="8"/>
      <c r="D750" s="8"/>
      <c r="E750" s="8"/>
      <c r="F750" s="8"/>
      <c r="G750" s="8"/>
      <c r="H750" s="8"/>
      <c r="I750" s="11"/>
      <c r="J750" s="12"/>
      <c r="K750" s="12"/>
      <c r="L750" s="12"/>
      <c r="M750" s="8"/>
    </row>
    <row r="751" spans="1:13" ht="25" customHeight="1">
      <c r="A751" s="12"/>
      <c r="B751" s="8"/>
      <c r="C751" s="8"/>
      <c r="D751" s="8"/>
      <c r="E751" s="8"/>
      <c r="F751" s="8"/>
      <c r="G751" s="8"/>
      <c r="H751" s="8"/>
      <c r="I751" s="11"/>
      <c r="J751" s="12"/>
      <c r="K751" s="12"/>
      <c r="L751" s="12"/>
      <c r="M751" s="8"/>
    </row>
    <row r="752" spans="1:13" ht="25" customHeight="1">
      <c r="A752" s="12"/>
      <c r="B752" s="8"/>
      <c r="C752" s="8"/>
      <c r="D752" s="8"/>
      <c r="E752" s="8"/>
      <c r="F752" s="8"/>
      <c r="G752" s="8"/>
      <c r="H752" s="8"/>
      <c r="I752" s="11"/>
      <c r="J752" s="12"/>
      <c r="K752" s="12"/>
      <c r="L752" s="12"/>
      <c r="M752" s="8"/>
    </row>
    <row r="753" spans="1:13" ht="25" customHeight="1">
      <c r="A753" s="12"/>
      <c r="B753" s="8"/>
      <c r="C753" s="8"/>
      <c r="D753" s="8"/>
      <c r="E753" s="8"/>
      <c r="F753" s="8"/>
      <c r="G753" s="8"/>
      <c r="H753" s="8"/>
      <c r="I753" s="11"/>
      <c r="J753" s="12"/>
      <c r="K753" s="12"/>
      <c r="L753" s="12"/>
      <c r="M753" s="8"/>
    </row>
    <row r="754" spans="1:13" ht="25" customHeight="1">
      <c r="A754" s="12"/>
      <c r="B754" s="8"/>
      <c r="C754" s="8"/>
      <c r="D754" s="8"/>
      <c r="E754" s="8"/>
      <c r="F754" s="8"/>
      <c r="G754" s="8"/>
      <c r="H754" s="8"/>
      <c r="I754" s="11"/>
      <c r="J754" s="12"/>
      <c r="K754" s="12"/>
      <c r="L754" s="12"/>
      <c r="M754" s="8"/>
    </row>
    <row r="755" spans="1:13" ht="25" customHeight="1">
      <c r="A755" s="12"/>
      <c r="B755" s="8"/>
      <c r="C755" s="8"/>
      <c r="D755" s="8"/>
      <c r="E755" s="8"/>
      <c r="F755" s="8"/>
      <c r="G755" s="8"/>
      <c r="H755" s="8"/>
      <c r="I755" s="11"/>
      <c r="J755" s="12"/>
      <c r="K755" s="12"/>
      <c r="L755" s="12"/>
      <c r="M755" s="8"/>
    </row>
    <row r="756" spans="1:13" ht="25" customHeight="1">
      <c r="A756" s="12"/>
      <c r="B756" s="8"/>
      <c r="C756" s="8"/>
      <c r="D756" s="8"/>
      <c r="E756" s="8"/>
      <c r="F756" s="8"/>
      <c r="G756" s="8"/>
      <c r="H756" s="8"/>
      <c r="I756" s="11"/>
      <c r="J756" s="12"/>
      <c r="K756" s="12"/>
      <c r="L756" s="12"/>
      <c r="M756" s="8"/>
    </row>
    <row r="757" spans="1:13" ht="25" customHeight="1">
      <c r="A757" s="12"/>
      <c r="B757" s="8"/>
      <c r="C757" s="8"/>
      <c r="D757" s="8"/>
      <c r="E757" s="8"/>
      <c r="F757" s="8"/>
      <c r="G757" s="8"/>
      <c r="H757" s="8"/>
      <c r="I757" s="11"/>
      <c r="J757" s="12"/>
      <c r="K757" s="12"/>
      <c r="L757" s="12"/>
      <c r="M757" s="8"/>
    </row>
    <row r="758" spans="1:13" ht="25" customHeight="1">
      <c r="A758" s="12"/>
      <c r="B758" s="8"/>
      <c r="C758" s="8"/>
      <c r="D758" s="8"/>
      <c r="E758" s="8"/>
      <c r="F758" s="8"/>
      <c r="G758" s="8"/>
      <c r="H758" s="8"/>
      <c r="I758" s="11"/>
      <c r="J758" s="12"/>
      <c r="K758" s="12"/>
      <c r="L758" s="12"/>
      <c r="M758" s="8"/>
    </row>
    <row r="759" spans="1:13" ht="25" customHeight="1">
      <c r="A759" s="12"/>
      <c r="B759" s="8"/>
      <c r="C759" s="8"/>
      <c r="D759" s="8"/>
      <c r="E759" s="8"/>
      <c r="F759" s="8"/>
      <c r="G759" s="8"/>
      <c r="H759" s="8"/>
      <c r="I759" s="11"/>
      <c r="J759" s="12"/>
      <c r="K759" s="12"/>
      <c r="L759" s="12"/>
      <c r="M759" s="8"/>
    </row>
    <row r="760" spans="1:13" ht="25" customHeight="1">
      <c r="A760" s="12"/>
      <c r="B760" s="8"/>
      <c r="C760" s="8"/>
      <c r="D760" s="8"/>
      <c r="E760" s="8"/>
      <c r="F760" s="8"/>
      <c r="G760" s="8"/>
      <c r="H760" s="8"/>
      <c r="I760" s="11"/>
      <c r="J760" s="12"/>
      <c r="K760" s="12"/>
      <c r="L760" s="12"/>
      <c r="M760" s="8"/>
    </row>
    <row r="761" spans="1:13" ht="25" customHeight="1">
      <c r="A761" s="12"/>
      <c r="B761" s="8"/>
      <c r="C761" s="8"/>
      <c r="D761" s="8"/>
      <c r="E761" s="8"/>
      <c r="F761" s="8"/>
      <c r="G761" s="8"/>
      <c r="H761" s="8"/>
      <c r="I761" s="11"/>
      <c r="J761" s="12"/>
      <c r="K761" s="12"/>
      <c r="L761" s="12"/>
      <c r="M761" s="8"/>
    </row>
    <row r="762" spans="1:13" ht="25" customHeight="1">
      <c r="A762" s="12"/>
      <c r="B762" s="8"/>
      <c r="C762" s="8"/>
      <c r="D762" s="8"/>
      <c r="E762" s="8"/>
      <c r="F762" s="8"/>
      <c r="G762" s="8"/>
      <c r="H762" s="8"/>
      <c r="I762" s="11"/>
      <c r="J762" s="12"/>
      <c r="K762" s="12"/>
      <c r="L762" s="12"/>
      <c r="M762" s="8"/>
    </row>
    <row r="763" spans="1:13" ht="25" customHeight="1">
      <c r="A763" s="12"/>
      <c r="B763" s="8"/>
      <c r="C763" s="8"/>
      <c r="D763" s="8"/>
      <c r="E763" s="8"/>
      <c r="F763" s="8"/>
      <c r="G763" s="8"/>
      <c r="H763" s="8"/>
      <c r="I763" s="11"/>
      <c r="J763" s="12"/>
      <c r="K763" s="12"/>
      <c r="L763" s="12"/>
      <c r="M763" s="8"/>
    </row>
    <row r="764" spans="1:13" ht="25" customHeight="1">
      <c r="A764" s="12"/>
      <c r="B764" s="8"/>
      <c r="C764" s="8"/>
      <c r="D764" s="8"/>
      <c r="E764" s="8"/>
      <c r="F764" s="8"/>
      <c r="G764" s="8"/>
      <c r="H764" s="8"/>
      <c r="I764" s="11"/>
      <c r="J764" s="12"/>
      <c r="K764" s="12"/>
      <c r="L764" s="12"/>
      <c r="M764" s="8"/>
    </row>
    <row r="765" spans="1:13" ht="25" customHeight="1">
      <c r="A765" s="12"/>
      <c r="B765" s="8"/>
      <c r="C765" s="8"/>
      <c r="D765" s="8"/>
      <c r="E765" s="8"/>
      <c r="F765" s="8"/>
      <c r="G765" s="8"/>
      <c r="H765" s="8"/>
      <c r="I765" s="11"/>
      <c r="J765" s="12"/>
      <c r="K765" s="12"/>
      <c r="L765" s="12"/>
      <c r="M765" s="8"/>
    </row>
    <row r="766" spans="1:13" ht="25" customHeight="1">
      <c r="A766" s="12"/>
      <c r="B766" s="8"/>
      <c r="C766" s="8"/>
      <c r="D766" s="8"/>
      <c r="E766" s="8"/>
      <c r="F766" s="8"/>
      <c r="G766" s="8"/>
      <c r="H766" s="8"/>
      <c r="I766" s="11"/>
      <c r="J766" s="12"/>
      <c r="K766" s="12"/>
      <c r="L766" s="12"/>
      <c r="M766" s="8"/>
    </row>
    <row r="767" spans="1:13" ht="25" customHeight="1">
      <c r="A767" s="12"/>
      <c r="B767" s="8"/>
      <c r="C767" s="8"/>
      <c r="D767" s="8"/>
      <c r="E767" s="8"/>
      <c r="F767" s="8"/>
      <c r="G767" s="8"/>
      <c r="H767" s="8"/>
      <c r="I767" s="11"/>
      <c r="J767" s="12"/>
      <c r="K767" s="12"/>
      <c r="L767" s="12"/>
      <c r="M767" s="8"/>
    </row>
    <row r="768" spans="1:13" ht="25" customHeight="1">
      <c r="A768" s="12"/>
      <c r="B768" s="8"/>
      <c r="C768" s="8"/>
      <c r="D768" s="8"/>
      <c r="E768" s="8"/>
      <c r="F768" s="8"/>
      <c r="G768" s="8"/>
      <c r="H768" s="8"/>
      <c r="I768" s="11"/>
      <c r="J768" s="12"/>
      <c r="K768" s="12"/>
      <c r="L768" s="12"/>
      <c r="M768" s="8"/>
    </row>
    <row r="769" spans="1:13" ht="25" customHeight="1">
      <c r="A769" s="12"/>
      <c r="B769" s="8"/>
      <c r="C769" s="8"/>
      <c r="D769" s="8"/>
      <c r="E769" s="8"/>
      <c r="F769" s="8"/>
      <c r="G769" s="8"/>
      <c r="H769" s="8"/>
      <c r="I769" s="11"/>
      <c r="J769" s="12"/>
      <c r="K769" s="12"/>
      <c r="L769" s="12"/>
      <c r="M769" s="8"/>
    </row>
    <row r="770" spans="1:13" ht="25" customHeight="1">
      <c r="A770" s="12"/>
      <c r="B770" s="8"/>
      <c r="C770" s="8"/>
      <c r="D770" s="8"/>
      <c r="E770" s="8"/>
      <c r="F770" s="8"/>
      <c r="G770" s="8"/>
      <c r="H770" s="8"/>
      <c r="I770" s="11"/>
      <c r="J770" s="12"/>
      <c r="K770" s="12"/>
      <c r="L770" s="12"/>
      <c r="M770" s="8"/>
    </row>
    <row r="771" spans="1:13" ht="25" customHeight="1">
      <c r="A771" s="12"/>
      <c r="B771" s="8"/>
      <c r="C771" s="8"/>
      <c r="D771" s="8"/>
      <c r="E771" s="8"/>
      <c r="F771" s="8"/>
      <c r="G771" s="8"/>
      <c r="H771" s="8"/>
      <c r="I771" s="11"/>
      <c r="J771" s="12"/>
      <c r="K771" s="12"/>
      <c r="L771" s="12"/>
      <c r="M771" s="8"/>
    </row>
    <row r="772" spans="1:13" ht="25" customHeight="1">
      <c r="A772" s="12"/>
      <c r="B772" s="8"/>
      <c r="C772" s="8"/>
      <c r="D772" s="8"/>
      <c r="E772" s="8"/>
      <c r="F772" s="8"/>
      <c r="G772" s="8"/>
      <c r="H772" s="8"/>
      <c r="I772" s="11"/>
      <c r="J772" s="12"/>
      <c r="K772" s="12"/>
      <c r="L772" s="12"/>
      <c r="M772" s="8"/>
    </row>
    <row r="773" spans="1:13" ht="25" customHeight="1">
      <c r="A773" s="12"/>
      <c r="B773" s="8"/>
      <c r="C773" s="8"/>
      <c r="D773" s="8"/>
      <c r="E773" s="8"/>
      <c r="F773" s="8"/>
      <c r="G773" s="8"/>
      <c r="H773" s="8"/>
      <c r="I773" s="11"/>
      <c r="J773" s="12"/>
      <c r="K773" s="12"/>
      <c r="L773" s="12"/>
      <c r="M773" s="8"/>
    </row>
    <row r="774" spans="1:13" ht="25" customHeight="1">
      <c r="A774" s="12"/>
      <c r="B774" s="8"/>
      <c r="C774" s="8"/>
      <c r="D774" s="8"/>
      <c r="E774" s="8"/>
      <c r="F774" s="8"/>
      <c r="G774" s="8"/>
      <c r="H774" s="8"/>
      <c r="I774" s="11"/>
      <c r="J774" s="12"/>
      <c r="K774" s="12"/>
      <c r="L774" s="12"/>
      <c r="M774" s="8"/>
    </row>
    <row r="775" spans="1:13" ht="25" customHeight="1">
      <c r="A775" s="12"/>
      <c r="B775" s="8"/>
      <c r="C775" s="8"/>
      <c r="D775" s="8"/>
      <c r="E775" s="8"/>
      <c r="F775" s="8"/>
      <c r="G775" s="8"/>
      <c r="H775" s="8"/>
      <c r="I775" s="11"/>
      <c r="J775" s="12"/>
      <c r="K775" s="12"/>
      <c r="L775" s="12"/>
      <c r="M775" s="8"/>
    </row>
    <row r="776" spans="1:13" ht="25" customHeight="1">
      <c r="A776" s="12"/>
      <c r="B776" s="8"/>
      <c r="C776" s="8"/>
      <c r="D776" s="8"/>
      <c r="E776" s="8"/>
      <c r="F776" s="8"/>
      <c r="G776" s="8"/>
      <c r="H776" s="8"/>
      <c r="I776" s="11"/>
      <c r="J776" s="12"/>
      <c r="K776" s="12"/>
      <c r="L776" s="12"/>
      <c r="M776" s="8"/>
    </row>
    <row r="777" spans="1:13" ht="25" customHeight="1">
      <c r="A777" s="12"/>
      <c r="B777" s="8"/>
      <c r="C777" s="8"/>
      <c r="D777" s="8"/>
      <c r="E777" s="8"/>
      <c r="F777" s="8"/>
      <c r="G777" s="8"/>
      <c r="H777" s="8"/>
      <c r="I777" s="11"/>
      <c r="J777" s="12"/>
      <c r="K777" s="12"/>
      <c r="L777" s="12"/>
      <c r="M777" s="8"/>
    </row>
    <row r="778" spans="1:13" ht="25" customHeight="1">
      <c r="A778" s="12"/>
      <c r="B778" s="8"/>
      <c r="C778" s="8"/>
      <c r="D778" s="8"/>
      <c r="E778" s="8"/>
      <c r="F778" s="8"/>
      <c r="G778" s="8"/>
      <c r="H778" s="8"/>
      <c r="I778" s="11"/>
      <c r="J778" s="12"/>
      <c r="K778" s="12"/>
      <c r="L778" s="12"/>
      <c r="M778" s="8"/>
    </row>
    <row r="779" spans="1:13" ht="25" customHeight="1">
      <c r="A779" s="12"/>
      <c r="B779" s="8"/>
      <c r="C779" s="8"/>
      <c r="D779" s="8"/>
      <c r="E779" s="8"/>
      <c r="F779" s="8"/>
      <c r="G779" s="8"/>
      <c r="H779" s="8"/>
      <c r="I779" s="11"/>
      <c r="J779" s="12"/>
      <c r="K779" s="12"/>
      <c r="L779" s="12"/>
      <c r="M779" s="8"/>
    </row>
    <row r="780" spans="1:13" ht="25" customHeight="1">
      <c r="A780" s="12"/>
      <c r="B780" s="8"/>
      <c r="C780" s="8"/>
      <c r="D780" s="8"/>
      <c r="E780" s="8"/>
      <c r="F780" s="8"/>
      <c r="G780" s="8"/>
      <c r="H780" s="8"/>
      <c r="I780" s="11"/>
      <c r="J780" s="12"/>
      <c r="K780" s="12"/>
      <c r="L780" s="12"/>
      <c r="M780" s="8"/>
    </row>
    <row r="781" spans="1:13" ht="25" customHeight="1">
      <c r="A781" s="12"/>
      <c r="B781" s="8"/>
      <c r="C781" s="8"/>
      <c r="D781" s="8"/>
      <c r="E781" s="8"/>
      <c r="F781" s="8"/>
      <c r="G781" s="8"/>
      <c r="H781" s="8"/>
      <c r="I781" s="11"/>
      <c r="J781" s="12"/>
      <c r="K781" s="12"/>
      <c r="L781" s="12"/>
      <c r="M781" s="8"/>
    </row>
    <row r="782" spans="1:13" ht="25" customHeight="1">
      <c r="A782" s="12"/>
      <c r="B782" s="8"/>
      <c r="C782" s="8"/>
      <c r="D782" s="8"/>
      <c r="E782" s="8"/>
      <c r="F782" s="8"/>
      <c r="G782" s="8"/>
      <c r="H782" s="8"/>
      <c r="I782" s="11"/>
      <c r="J782" s="12"/>
      <c r="K782" s="12"/>
      <c r="L782" s="12"/>
      <c r="M782" s="8"/>
    </row>
    <row r="783" spans="1:13" ht="25" customHeight="1">
      <c r="A783" s="12"/>
      <c r="B783" s="8"/>
      <c r="C783" s="8"/>
      <c r="D783" s="8"/>
      <c r="E783" s="8"/>
      <c r="F783" s="8"/>
      <c r="G783" s="8"/>
      <c r="H783" s="8"/>
      <c r="I783" s="11"/>
      <c r="J783" s="12"/>
      <c r="K783" s="12"/>
      <c r="L783" s="12"/>
      <c r="M783" s="8"/>
    </row>
    <row r="784" spans="1:13" ht="25" customHeight="1">
      <c r="A784" s="12"/>
      <c r="B784" s="8"/>
      <c r="C784" s="8"/>
      <c r="D784" s="8"/>
      <c r="E784" s="8"/>
      <c r="F784" s="8"/>
      <c r="G784" s="8"/>
      <c r="H784" s="8"/>
      <c r="I784" s="11"/>
      <c r="J784" s="12"/>
      <c r="K784" s="12"/>
      <c r="L784" s="12"/>
      <c r="M784" s="8"/>
    </row>
    <row r="785" spans="1:13" ht="25" customHeight="1">
      <c r="A785" s="12"/>
      <c r="B785" s="8"/>
      <c r="C785" s="8"/>
      <c r="D785" s="8"/>
      <c r="E785" s="8"/>
      <c r="F785" s="8"/>
      <c r="G785" s="8"/>
      <c r="H785" s="8"/>
      <c r="I785" s="11"/>
      <c r="J785" s="12"/>
      <c r="K785" s="12"/>
      <c r="L785" s="12"/>
      <c r="M785" s="8"/>
    </row>
    <row r="786" spans="1:13" ht="25" customHeight="1">
      <c r="A786" s="12"/>
      <c r="B786" s="8"/>
      <c r="C786" s="8"/>
      <c r="D786" s="8"/>
      <c r="E786" s="8"/>
      <c r="F786" s="8"/>
      <c r="G786" s="8"/>
      <c r="H786" s="8"/>
      <c r="I786" s="11"/>
      <c r="J786" s="12"/>
      <c r="K786" s="12"/>
      <c r="L786" s="12"/>
      <c r="M786" s="8"/>
    </row>
    <row r="787" spans="1:13" ht="25" customHeight="1">
      <c r="A787" s="12"/>
      <c r="B787" s="8"/>
      <c r="C787" s="8"/>
      <c r="D787" s="8"/>
      <c r="E787" s="8"/>
      <c r="F787" s="8"/>
      <c r="G787" s="8"/>
      <c r="H787" s="8"/>
      <c r="I787" s="11"/>
      <c r="J787" s="12"/>
      <c r="K787" s="12"/>
      <c r="L787" s="12"/>
      <c r="M787" s="8"/>
    </row>
    <row r="788" spans="1:13" ht="25" customHeight="1">
      <c r="A788" s="12"/>
      <c r="B788" s="8"/>
      <c r="C788" s="8"/>
      <c r="D788" s="8"/>
      <c r="E788" s="8"/>
      <c r="F788" s="8"/>
      <c r="G788" s="8"/>
      <c r="H788" s="8"/>
      <c r="I788" s="11"/>
      <c r="J788" s="12"/>
      <c r="K788" s="12"/>
      <c r="L788" s="12"/>
      <c r="M788" s="8"/>
    </row>
    <row r="789" spans="1:13" ht="25" customHeight="1">
      <c r="A789" s="12"/>
      <c r="B789" s="8"/>
      <c r="C789" s="8"/>
      <c r="D789" s="8"/>
      <c r="E789" s="8"/>
      <c r="F789" s="8"/>
      <c r="G789" s="8"/>
      <c r="H789" s="8"/>
      <c r="I789" s="11"/>
      <c r="J789" s="12"/>
      <c r="K789" s="12"/>
      <c r="L789" s="12"/>
      <c r="M789" s="8"/>
    </row>
    <row r="790" spans="1:13" ht="25" customHeight="1">
      <c r="A790" s="12"/>
      <c r="B790" s="8"/>
      <c r="C790" s="8"/>
      <c r="D790" s="8"/>
      <c r="E790" s="8"/>
      <c r="F790" s="8"/>
      <c r="G790" s="8"/>
      <c r="H790" s="8"/>
      <c r="I790" s="11"/>
      <c r="J790" s="12"/>
      <c r="K790" s="12"/>
      <c r="L790" s="12"/>
      <c r="M790" s="8"/>
    </row>
    <row r="791" spans="1:13" ht="25" customHeight="1">
      <c r="A791" s="12"/>
      <c r="B791" s="8"/>
      <c r="C791" s="8"/>
      <c r="D791" s="8"/>
      <c r="E791" s="8"/>
      <c r="F791" s="8"/>
      <c r="G791" s="8"/>
      <c r="H791" s="8"/>
      <c r="I791" s="11"/>
      <c r="J791" s="12"/>
      <c r="K791" s="12"/>
      <c r="L791" s="12"/>
      <c r="M791" s="8"/>
    </row>
    <row r="792" spans="1:13" ht="25" customHeight="1">
      <c r="A792" s="12"/>
      <c r="B792" s="8"/>
      <c r="C792" s="8"/>
      <c r="D792" s="8"/>
      <c r="E792" s="8"/>
      <c r="F792" s="8"/>
      <c r="G792" s="8"/>
      <c r="H792" s="8"/>
      <c r="I792" s="11"/>
      <c r="J792" s="12"/>
      <c r="K792" s="12"/>
      <c r="L792" s="12"/>
      <c r="M792" s="8"/>
    </row>
    <row r="793" spans="1:13" ht="25" customHeight="1">
      <c r="A793" s="12"/>
      <c r="B793" s="8"/>
      <c r="C793" s="8"/>
      <c r="D793" s="8"/>
      <c r="E793" s="8"/>
      <c r="F793" s="8"/>
      <c r="G793" s="8"/>
      <c r="H793" s="8"/>
      <c r="I793" s="11"/>
      <c r="J793" s="12"/>
      <c r="K793" s="12"/>
      <c r="L793" s="12"/>
      <c r="M793" s="8"/>
    </row>
    <row r="794" spans="1:13" ht="25" customHeight="1">
      <c r="A794" s="12"/>
      <c r="B794" s="8"/>
      <c r="C794" s="8"/>
      <c r="D794" s="8"/>
      <c r="E794" s="8"/>
      <c r="F794" s="8"/>
      <c r="G794" s="8"/>
      <c r="H794" s="8"/>
      <c r="I794" s="11"/>
      <c r="J794" s="12"/>
      <c r="K794" s="12"/>
      <c r="L794" s="12"/>
      <c r="M794" s="8"/>
    </row>
    <row r="795" spans="1:13" ht="25" customHeight="1">
      <c r="A795" s="12"/>
      <c r="B795" s="8"/>
      <c r="C795" s="8"/>
      <c r="D795" s="8"/>
      <c r="E795" s="8"/>
      <c r="F795" s="8"/>
      <c r="G795" s="8"/>
      <c r="H795" s="8"/>
      <c r="I795" s="11"/>
      <c r="J795" s="12"/>
      <c r="K795" s="12"/>
      <c r="L795" s="12"/>
      <c r="M795" s="8"/>
    </row>
    <row r="796" spans="1:13" ht="25" customHeight="1">
      <c r="A796" s="12"/>
      <c r="B796" s="8"/>
      <c r="C796" s="8"/>
      <c r="D796" s="8"/>
      <c r="E796" s="8"/>
      <c r="F796" s="8"/>
      <c r="G796" s="8"/>
      <c r="H796" s="8"/>
      <c r="I796" s="11"/>
      <c r="J796" s="12"/>
      <c r="K796" s="12"/>
      <c r="L796" s="12"/>
      <c r="M796" s="8"/>
    </row>
    <row r="797" spans="1:13" ht="25" customHeight="1">
      <c r="A797" s="12"/>
      <c r="B797" s="8"/>
      <c r="C797" s="8"/>
      <c r="D797" s="8"/>
      <c r="E797" s="8"/>
      <c r="F797" s="8"/>
      <c r="G797" s="8"/>
      <c r="H797" s="8"/>
      <c r="I797" s="11"/>
      <c r="J797" s="12"/>
      <c r="K797" s="12"/>
      <c r="L797" s="12"/>
      <c r="M797" s="8"/>
    </row>
    <row r="798" spans="1:13" ht="25" customHeight="1">
      <c r="A798" s="12"/>
      <c r="B798" s="8"/>
      <c r="C798" s="8"/>
      <c r="D798" s="8"/>
      <c r="E798" s="8"/>
      <c r="F798" s="8"/>
      <c r="G798" s="8"/>
      <c r="H798" s="8"/>
      <c r="I798" s="11"/>
      <c r="J798" s="12"/>
      <c r="K798" s="12"/>
      <c r="L798" s="12"/>
      <c r="M798" s="8"/>
    </row>
    <row r="799" spans="1:13" ht="25" customHeight="1">
      <c r="A799" s="12"/>
      <c r="B799" s="8"/>
      <c r="C799" s="8"/>
      <c r="D799" s="8"/>
      <c r="E799" s="8"/>
      <c r="F799" s="8"/>
      <c r="G799" s="8"/>
      <c r="H799" s="8"/>
      <c r="I799" s="11"/>
      <c r="J799" s="12"/>
      <c r="K799" s="12"/>
      <c r="L799" s="12"/>
      <c r="M799" s="8"/>
    </row>
    <row r="800" spans="1:13" ht="25" customHeight="1">
      <c r="A800" s="12"/>
      <c r="B800" s="8"/>
      <c r="C800" s="8"/>
      <c r="D800" s="8"/>
      <c r="E800" s="8"/>
      <c r="F800" s="8"/>
      <c r="G800" s="8"/>
      <c r="H800" s="8"/>
      <c r="I800" s="11"/>
      <c r="J800" s="12"/>
      <c r="K800" s="12"/>
      <c r="L800" s="12"/>
      <c r="M800" s="8"/>
    </row>
    <row r="801" spans="1:13" ht="25" customHeight="1">
      <c r="A801" s="12"/>
      <c r="B801" s="8"/>
      <c r="C801" s="8"/>
      <c r="D801" s="8"/>
      <c r="E801" s="8"/>
      <c r="F801" s="8"/>
      <c r="G801" s="8"/>
      <c r="H801" s="8"/>
      <c r="I801" s="11"/>
      <c r="J801" s="12"/>
      <c r="K801" s="12"/>
      <c r="L801" s="12"/>
      <c r="M801" s="8"/>
    </row>
    <row r="802" spans="1:13" ht="25" customHeight="1">
      <c r="A802" s="12"/>
      <c r="B802" s="8"/>
      <c r="C802" s="8"/>
      <c r="D802" s="8"/>
      <c r="E802" s="8"/>
      <c r="F802" s="8"/>
      <c r="G802" s="8"/>
      <c r="H802" s="8"/>
      <c r="I802" s="11"/>
      <c r="J802" s="12"/>
      <c r="K802" s="12"/>
      <c r="L802" s="12"/>
      <c r="M802" s="8"/>
    </row>
    <row r="803" spans="1:13" ht="25" customHeight="1">
      <c r="A803" s="12"/>
      <c r="B803" s="8"/>
      <c r="C803" s="8"/>
      <c r="D803" s="8"/>
      <c r="E803" s="8"/>
      <c r="F803" s="8"/>
      <c r="G803" s="8"/>
      <c r="H803" s="8"/>
      <c r="I803" s="11"/>
      <c r="J803" s="12"/>
      <c r="K803" s="12"/>
      <c r="L803" s="12"/>
      <c r="M803" s="8"/>
    </row>
    <row r="804" spans="1:13" ht="25" customHeight="1">
      <c r="A804" s="12"/>
      <c r="B804" s="8"/>
      <c r="C804" s="8"/>
      <c r="D804" s="8"/>
      <c r="E804" s="8"/>
      <c r="F804" s="8"/>
      <c r="G804" s="8"/>
      <c r="H804" s="8"/>
      <c r="I804" s="11"/>
      <c r="J804" s="12"/>
      <c r="K804" s="12"/>
      <c r="L804" s="12"/>
      <c r="M804" s="8"/>
    </row>
    <row r="805" spans="1:13" ht="25" customHeight="1">
      <c r="A805" s="12"/>
      <c r="B805" s="8"/>
      <c r="C805" s="8"/>
      <c r="D805" s="8"/>
      <c r="E805" s="8"/>
      <c r="F805" s="8"/>
      <c r="G805" s="8"/>
      <c r="H805" s="8"/>
      <c r="I805" s="11"/>
      <c r="J805" s="12"/>
      <c r="K805" s="12"/>
      <c r="L805" s="12"/>
      <c r="M805" s="8"/>
    </row>
    <row r="806" spans="1:13" ht="25" customHeight="1">
      <c r="A806" s="12"/>
      <c r="B806" s="8"/>
      <c r="C806" s="8"/>
      <c r="D806" s="8"/>
      <c r="E806" s="8"/>
      <c r="F806" s="8"/>
      <c r="G806" s="8"/>
      <c r="H806" s="8"/>
      <c r="I806" s="11"/>
      <c r="J806" s="12"/>
      <c r="K806" s="12"/>
      <c r="L806" s="12"/>
      <c r="M806" s="8"/>
    </row>
    <row r="807" spans="1:13" ht="25" customHeight="1">
      <c r="A807" s="12"/>
      <c r="B807" s="8"/>
      <c r="C807" s="8"/>
      <c r="D807" s="8"/>
      <c r="E807" s="8"/>
      <c r="F807" s="8"/>
      <c r="G807" s="8"/>
      <c r="H807" s="8"/>
      <c r="I807" s="11"/>
      <c r="J807" s="12"/>
      <c r="K807" s="12"/>
      <c r="L807" s="12"/>
      <c r="M807" s="8"/>
    </row>
    <row r="808" spans="1:13" ht="25" customHeight="1">
      <c r="A808" s="12"/>
      <c r="B808" s="8"/>
      <c r="C808" s="8"/>
      <c r="D808" s="8"/>
      <c r="E808" s="8"/>
      <c r="F808" s="8"/>
      <c r="G808" s="8"/>
      <c r="H808" s="8"/>
      <c r="I808" s="11"/>
      <c r="J808" s="12"/>
      <c r="K808" s="12"/>
      <c r="L808" s="12"/>
      <c r="M808" s="8"/>
    </row>
    <row r="809" spans="1:13" ht="25" customHeight="1">
      <c r="A809" s="12"/>
      <c r="B809" s="8"/>
      <c r="C809" s="8"/>
      <c r="D809" s="8"/>
      <c r="E809" s="8"/>
      <c r="F809" s="8"/>
      <c r="G809" s="8"/>
      <c r="H809" s="8"/>
      <c r="I809" s="11"/>
      <c r="J809" s="12"/>
      <c r="K809" s="12"/>
      <c r="L809" s="12"/>
      <c r="M809" s="8"/>
    </row>
    <row r="810" spans="1:13" ht="25" customHeight="1">
      <c r="A810" s="12"/>
      <c r="B810" s="8"/>
      <c r="C810" s="8"/>
      <c r="D810" s="8"/>
      <c r="E810" s="8"/>
      <c r="F810" s="8"/>
      <c r="G810" s="8"/>
      <c r="H810" s="8"/>
      <c r="I810" s="11"/>
      <c r="J810" s="12"/>
      <c r="K810" s="12"/>
      <c r="L810" s="12"/>
      <c r="M810" s="8"/>
    </row>
    <row r="811" spans="1:13" ht="25" customHeight="1">
      <c r="A811" s="12"/>
      <c r="B811" s="8"/>
      <c r="C811" s="8"/>
      <c r="D811" s="8"/>
      <c r="E811" s="8"/>
      <c r="F811" s="8"/>
      <c r="G811" s="8"/>
      <c r="H811" s="8"/>
      <c r="I811" s="11"/>
      <c r="J811" s="12"/>
      <c r="K811" s="12"/>
      <c r="L811" s="12"/>
      <c r="M811" s="8"/>
    </row>
    <row r="812" spans="1:13" ht="25" customHeight="1">
      <c r="A812" s="12"/>
      <c r="B812" s="8"/>
      <c r="C812" s="8"/>
      <c r="D812" s="8"/>
      <c r="E812" s="8"/>
      <c r="F812" s="8"/>
      <c r="G812" s="8"/>
      <c r="H812" s="8"/>
      <c r="I812" s="11"/>
      <c r="J812" s="12"/>
      <c r="K812" s="12"/>
      <c r="L812" s="12"/>
      <c r="M812" s="8"/>
    </row>
    <row r="813" spans="1:13" ht="25" customHeight="1">
      <c r="A813" s="12"/>
      <c r="B813" s="8"/>
      <c r="C813" s="8"/>
      <c r="D813" s="8"/>
      <c r="E813" s="8"/>
      <c r="F813" s="8"/>
      <c r="G813" s="8"/>
      <c r="H813" s="8"/>
      <c r="I813" s="11"/>
      <c r="J813" s="12"/>
      <c r="K813" s="12"/>
      <c r="L813" s="12"/>
      <c r="M813" s="8"/>
    </row>
    <row r="814" spans="1:13" ht="25" customHeight="1">
      <c r="A814" s="12"/>
      <c r="B814" s="8"/>
      <c r="C814" s="8"/>
      <c r="D814" s="8"/>
      <c r="E814" s="8"/>
      <c r="F814" s="8"/>
      <c r="G814" s="8"/>
      <c r="H814" s="8"/>
      <c r="I814" s="11"/>
      <c r="J814" s="12"/>
      <c r="K814" s="12"/>
      <c r="L814" s="12"/>
      <c r="M814" s="8"/>
    </row>
    <row r="815" spans="1:13" ht="25" customHeight="1">
      <c r="A815" s="12"/>
      <c r="B815" s="8"/>
      <c r="C815" s="8"/>
      <c r="D815" s="8"/>
      <c r="E815" s="8"/>
      <c r="F815" s="8"/>
      <c r="G815" s="8"/>
      <c r="H815" s="8"/>
      <c r="I815" s="11"/>
      <c r="J815" s="12"/>
      <c r="K815" s="12"/>
      <c r="L815" s="12"/>
      <c r="M815" s="8"/>
    </row>
    <row r="816" spans="1:13" ht="25" customHeight="1">
      <c r="A816" s="12"/>
      <c r="B816" s="8"/>
      <c r="C816" s="8"/>
      <c r="D816" s="8"/>
      <c r="E816" s="8"/>
      <c r="F816" s="8"/>
      <c r="G816" s="8"/>
      <c r="H816" s="8"/>
      <c r="I816" s="11"/>
      <c r="J816" s="12"/>
      <c r="K816" s="12"/>
      <c r="L816" s="12"/>
      <c r="M816" s="8"/>
    </row>
    <row r="817" spans="1:13" ht="25" customHeight="1">
      <c r="A817" s="12"/>
      <c r="B817" s="8"/>
      <c r="C817" s="8"/>
      <c r="D817" s="8"/>
      <c r="E817" s="8"/>
      <c r="F817" s="8"/>
      <c r="G817" s="8"/>
      <c r="H817" s="8"/>
      <c r="I817" s="11"/>
      <c r="J817" s="12"/>
      <c r="K817" s="12"/>
      <c r="L817" s="12"/>
      <c r="M817" s="8"/>
    </row>
    <row r="818" spans="1:13" ht="25" customHeight="1">
      <c r="A818" s="12"/>
      <c r="B818" s="8"/>
      <c r="C818" s="8"/>
      <c r="D818" s="8"/>
      <c r="E818" s="8"/>
      <c r="F818" s="8"/>
      <c r="G818" s="8"/>
      <c r="H818" s="8"/>
      <c r="I818" s="11"/>
      <c r="J818" s="12"/>
      <c r="K818" s="12"/>
      <c r="L818" s="12"/>
      <c r="M818" s="8"/>
    </row>
    <row r="819" spans="1:13" ht="25" customHeight="1">
      <c r="A819" s="12"/>
      <c r="B819" s="8"/>
      <c r="C819" s="8"/>
      <c r="D819" s="8"/>
      <c r="E819" s="8"/>
      <c r="F819" s="8"/>
      <c r="G819" s="8"/>
      <c r="H819" s="8"/>
      <c r="I819" s="11"/>
      <c r="J819" s="12"/>
      <c r="K819" s="12"/>
      <c r="L819" s="12"/>
      <c r="M819" s="8"/>
    </row>
    <row r="820" spans="1:13" ht="25" customHeight="1">
      <c r="A820" s="12"/>
      <c r="B820" s="8"/>
      <c r="C820" s="8"/>
      <c r="D820" s="8"/>
      <c r="E820" s="8"/>
      <c r="F820" s="8"/>
      <c r="G820" s="8"/>
      <c r="H820" s="8"/>
      <c r="I820" s="11"/>
      <c r="J820" s="12"/>
      <c r="K820" s="12"/>
      <c r="L820" s="12"/>
      <c r="M820" s="8"/>
    </row>
    <row r="821" spans="1:13" ht="25" customHeight="1">
      <c r="A821" s="12"/>
      <c r="B821" s="8"/>
      <c r="C821" s="8"/>
      <c r="D821" s="8"/>
      <c r="E821" s="8"/>
      <c r="F821" s="8"/>
      <c r="G821" s="8"/>
      <c r="H821" s="8"/>
      <c r="I821" s="11"/>
      <c r="J821" s="12"/>
      <c r="K821" s="12"/>
      <c r="L821" s="12"/>
      <c r="M821" s="8"/>
    </row>
    <row r="822" spans="1:13" ht="25" customHeight="1">
      <c r="A822" s="12"/>
      <c r="B822" s="8"/>
      <c r="C822" s="8"/>
      <c r="D822" s="8"/>
      <c r="E822" s="8"/>
      <c r="F822" s="8"/>
      <c r="G822" s="8"/>
      <c r="H822" s="8"/>
      <c r="I822" s="11"/>
      <c r="J822" s="12"/>
      <c r="K822" s="12"/>
      <c r="L822" s="12"/>
      <c r="M822" s="8"/>
    </row>
    <row r="823" spans="1:13" ht="25" customHeight="1">
      <c r="A823" s="12"/>
      <c r="B823" s="8"/>
      <c r="C823" s="8"/>
      <c r="D823" s="8"/>
      <c r="E823" s="8"/>
      <c r="F823" s="8"/>
      <c r="G823" s="8"/>
      <c r="H823" s="8"/>
      <c r="I823" s="11"/>
      <c r="J823" s="12"/>
      <c r="K823" s="12"/>
      <c r="L823" s="12"/>
      <c r="M823" s="8"/>
    </row>
    <row r="824" spans="1:13" ht="25" customHeight="1">
      <c r="A824" s="12"/>
      <c r="B824" s="8"/>
      <c r="C824" s="8"/>
      <c r="D824" s="8"/>
      <c r="E824" s="8"/>
      <c r="F824" s="8"/>
      <c r="G824" s="8"/>
      <c r="H824" s="8"/>
      <c r="I824" s="11"/>
      <c r="J824" s="12"/>
      <c r="K824" s="12"/>
      <c r="L824" s="12"/>
      <c r="M824" s="8"/>
    </row>
    <row r="825" spans="1:13" ht="25" customHeight="1">
      <c r="A825" s="12"/>
      <c r="B825" s="8"/>
      <c r="C825" s="8"/>
      <c r="D825" s="8"/>
      <c r="E825" s="8"/>
      <c r="F825" s="8"/>
      <c r="G825" s="8"/>
      <c r="H825" s="8"/>
      <c r="I825" s="11"/>
      <c r="J825" s="12"/>
      <c r="K825" s="12"/>
      <c r="L825" s="12"/>
      <c r="M825" s="8"/>
    </row>
    <row r="826" spans="1:13" ht="25" customHeight="1">
      <c r="A826" s="12"/>
      <c r="B826" s="8"/>
      <c r="C826" s="8"/>
      <c r="D826" s="8"/>
      <c r="E826" s="8"/>
      <c r="F826" s="8"/>
      <c r="G826" s="8"/>
      <c r="H826" s="8"/>
      <c r="I826" s="11"/>
      <c r="J826" s="12"/>
      <c r="K826" s="12"/>
      <c r="L826" s="12"/>
      <c r="M826" s="8"/>
    </row>
    <row r="827" spans="1:13" ht="25" customHeight="1">
      <c r="A827" s="12"/>
      <c r="B827" s="8"/>
      <c r="C827" s="8"/>
      <c r="D827" s="8"/>
      <c r="E827" s="8"/>
      <c r="F827" s="8"/>
      <c r="G827" s="8"/>
      <c r="H827" s="8"/>
      <c r="I827" s="11"/>
      <c r="J827" s="12"/>
      <c r="K827" s="12"/>
      <c r="L827" s="12"/>
      <c r="M827" s="8"/>
    </row>
    <row r="828" spans="1:13" ht="25" customHeight="1">
      <c r="A828" s="12"/>
      <c r="B828" s="8"/>
      <c r="C828" s="8"/>
      <c r="D828" s="8"/>
      <c r="E828" s="8"/>
      <c r="F828" s="8"/>
      <c r="G828" s="8"/>
      <c r="H828" s="8"/>
      <c r="I828" s="11"/>
      <c r="J828" s="12"/>
      <c r="K828" s="12"/>
      <c r="L828" s="12"/>
      <c r="M828" s="8"/>
    </row>
    <row r="829" spans="1:13" ht="25" customHeight="1">
      <c r="A829" s="12"/>
      <c r="B829" s="8"/>
      <c r="C829" s="8"/>
      <c r="D829" s="8"/>
      <c r="E829" s="8"/>
      <c r="F829" s="8"/>
      <c r="G829" s="8"/>
      <c r="H829" s="8"/>
      <c r="I829" s="11"/>
      <c r="J829" s="12"/>
      <c r="K829" s="12"/>
      <c r="L829" s="12"/>
      <c r="M829" s="8"/>
    </row>
    <row r="830" spans="1:13" ht="25" customHeight="1">
      <c r="A830" s="12"/>
      <c r="B830" s="8"/>
      <c r="C830" s="8"/>
      <c r="D830" s="8"/>
      <c r="E830" s="8"/>
      <c r="F830" s="8"/>
      <c r="G830" s="8"/>
      <c r="H830" s="8"/>
      <c r="I830" s="11"/>
      <c r="J830" s="12"/>
      <c r="K830" s="12"/>
      <c r="L830" s="12"/>
      <c r="M830" s="8"/>
    </row>
    <row r="831" spans="1:13" ht="25" customHeight="1">
      <c r="A831" s="12"/>
      <c r="B831" s="8"/>
      <c r="C831" s="8"/>
      <c r="D831" s="8"/>
      <c r="E831" s="8"/>
      <c r="F831" s="8"/>
      <c r="G831" s="8"/>
      <c r="H831" s="8"/>
      <c r="I831" s="11"/>
      <c r="J831" s="12"/>
      <c r="K831" s="12"/>
      <c r="L831" s="12"/>
      <c r="M831" s="8"/>
    </row>
    <row r="832" spans="1:13" ht="25" customHeight="1">
      <c r="A832" s="12"/>
      <c r="B832" s="8"/>
      <c r="C832" s="8"/>
      <c r="D832" s="8"/>
      <c r="E832" s="8"/>
      <c r="F832" s="8"/>
      <c r="G832" s="8"/>
      <c r="H832" s="8"/>
      <c r="I832" s="11"/>
      <c r="J832" s="12"/>
      <c r="K832" s="12"/>
      <c r="L832" s="12"/>
      <c r="M832" s="8"/>
    </row>
    <row r="833" spans="1:13" ht="25" customHeight="1">
      <c r="A833" s="12"/>
      <c r="B833" s="8"/>
      <c r="C833" s="8"/>
      <c r="D833" s="8"/>
      <c r="E833" s="8"/>
      <c r="F833" s="8"/>
      <c r="G833" s="8"/>
      <c r="H833" s="8"/>
      <c r="I833" s="11"/>
      <c r="J833" s="12"/>
      <c r="K833" s="12"/>
      <c r="L833" s="12"/>
      <c r="M833" s="8"/>
    </row>
    <row r="834" spans="1:13" ht="25" customHeight="1">
      <c r="A834" s="12"/>
      <c r="B834" s="8"/>
      <c r="C834" s="8"/>
      <c r="D834" s="8"/>
      <c r="E834" s="8"/>
      <c r="F834" s="8"/>
      <c r="G834" s="8"/>
      <c r="H834" s="8"/>
      <c r="I834" s="11"/>
      <c r="J834" s="12"/>
      <c r="K834" s="12"/>
      <c r="L834" s="12"/>
      <c r="M834" s="8"/>
    </row>
    <row r="835" spans="1:13" ht="25" customHeight="1">
      <c r="A835" s="12"/>
      <c r="B835" s="8"/>
      <c r="C835" s="8"/>
      <c r="D835" s="8"/>
      <c r="E835" s="8"/>
      <c r="F835" s="8"/>
      <c r="G835" s="8"/>
      <c r="H835" s="8"/>
      <c r="I835" s="11"/>
      <c r="J835" s="12"/>
      <c r="K835" s="12"/>
      <c r="L835" s="12"/>
      <c r="M835" s="8"/>
    </row>
    <row r="836" spans="1:13" ht="25" customHeight="1">
      <c r="A836" s="12"/>
      <c r="B836" s="8"/>
      <c r="C836" s="8"/>
      <c r="D836" s="8"/>
      <c r="E836" s="8"/>
      <c r="F836" s="8"/>
      <c r="G836" s="8"/>
      <c r="H836" s="8"/>
      <c r="I836" s="11"/>
      <c r="J836" s="12"/>
      <c r="K836" s="12"/>
      <c r="L836" s="12"/>
      <c r="M836" s="8"/>
    </row>
    <row r="837" spans="1:13" ht="25" customHeight="1">
      <c r="A837" s="12"/>
      <c r="B837" s="8"/>
      <c r="C837" s="8"/>
      <c r="D837" s="8"/>
      <c r="E837" s="8"/>
      <c r="F837" s="8"/>
      <c r="G837" s="8"/>
      <c r="H837" s="8"/>
      <c r="I837" s="11"/>
      <c r="J837" s="12"/>
      <c r="K837" s="12"/>
      <c r="L837" s="12"/>
      <c r="M837" s="8"/>
    </row>
    <row r="838" spans="1:13" ht="25" customHeight="1">
      <c r="A838" s="12"/>
      <c r="B838" s="8"/>
      <c r="C838" s="8"/>
      <c r="D838" s="8"/>
      <c r="E838" s="8"/>
      <c r="F838" s="8"/>
      <c r="G838" s="8"/>
      <c r="H838" s="8"/>
      <c r="I838" s="11"/>
      <c r="J838" s="12"/>
      <c r="K838" s="12"/>
      <c r="L838" s="12"/>
      <c r="M838" s="8"/>
    </row>
    <row r="839" spans="1:13" ht="25" customHeight="1">
      <c r="A839" s="12"/>
      <c r="B839" s="8"/>
      <c r="C839" s="8"/>
      <c r="D839" s="8"/>
      <c r="E839" s="8"/>
      <c r="F839" s="8"/>
      <c r="G839" s="8"/>
      <c r="H839" s="8"/>
      <c r="I839" s="11"/>
      <c r="J839" s="12"/>
      <c r="K839" s="12"/>
      <c r="L839" s="12"/>
      <c r="M839" s="8"/>
    </row>
    <row r="840" spans="1:13" ht="25" customHeight="1">
      <c r="A840" s="12"/>
      <c r="B840" s="8"/>
      <c r="C840" s="8"/>
      <c r="D840" s="8"/>
      <c r="E840" s="8"/>
      <c r="F840" s="8"/>
      <c r="G840" s="8"/>
      <c r="H840" s="8"/>
      <c r="I840" s="11"/>
      <c r="J840" s="12"/>
      <c r="K840" s="12"/>
      <c r="L840" s="12"/>
      <c r="M840" s="8"/>
    </row>
    <row r="841" spans="1:13" ht="25" customHeight="1">
      <c r="A841" s="12"/>
      <c r="B841" s="8"/>
      <c r="C841" s="8"/>
      <c r="D841" s="8"/>
      <c r="E841" s="8"/>
      <c r="F841" s="8"/>
      <c r="G841" s="8"/>
      <c r="H841" s="8"/>
      <c r="I841" s="11"/>
      <c r="J841" s="12"/>
      <c r="K841" s="12"/>
      <c r="L841" s="12"/>
      <c r="M841" s="8"/>
    </row>
    <row r="842" spans="1:13" ht="25" customHeight="1">
      <c r="A842" s="12"/>
      <c r="B842" s="8"/>
      <c r="C842" s="8"/>
      <c r="D842" s="8"/>
      <c r="E842" s="8"/>
      <c r="F842" s="8"/>
      <c r="G842" s="8"/>
      <c r="H842" s="8"/>
      <c r="I842" s="11"/>
      <c r="J842" s="12"/>
      <c r="K842" s="12"/>
      <c r="L842" s="12"/>
      <c r="M842" s="8"/>
    </row>
    <row r="843" spans="1:13" ht="25" customHeight="1">
      <c r="A843" s="12"/>
      <c r="B843" s="8"/>
      <c r="C843" s="8"/>
      <c r="D843" s="8"/>
      <c r="E843" s="8"/>
      <c r="F843" s="8"/>
      <c r="G843" s="8"/>
      <c r="H843" s="8"/>
      <c r="I843" s="11"/>
      <c r="J843" s="12"/>
      <c r="K843" s="12"/>
      <c r="L843" s="12"/>
      <c r="M843" s="8"/>
    </row>
    <row r="844" spans="1:13" ht="25" customHeight="1">
      <c r="A844" s="12"/>
      <c r="B844" s="8"/>
      <c r="C844" s="8"/>
      <c r="D844" s="8"/>
      <c r="E844" s="8"/>
      <c r="F844" s="8"/>
      <c r="G844" s="8"/>
      <c r="H844" s="8"/>
      <c r="I844" s="11"/>
      <c r="J844" s="12"/>
      <c r="K844" s="12"/>
      <c r="L844" s="12"/>
      <c r="M844" s="8"/>
    </row>
    <row r="845" spans="1:13" ht="25" customHeight="1">
      <c r="A845" s="12"/>
      <c r="B845" s="8"/>
      <c r="C845" s="8"/>
      <c r="D845" s="8"/>
      <c r="E845" s="8"/>
      <c r="F845" s="8"/>
      <c r="G845" s="8"/>
      <c r="H845" s="8"/>
      <c r="I845" s="11"/>
      <c r="J845" s="12"/>
      <c r="K845" s="12"/>
      <c r="L845" s="12"/>
      <c r="M845" s="8"/>
    </row>
    <row r="846" spans="1:13" ht="25" customHeight="1">
      <c r="A846" s="12"/>
      <c r="B846" s="8"/>
      <c r="C846" s="8"/>
      <c r="D846" s="8"/>
      <c r="E846" s="8"/>
      <c r="F846" s="8"/>
      <c r="G846" s="8"/>
      <c r="H846" s="8"/>
      <c r="I846" s="11"/>
      <c r="J846" s="12"/>
      <c r="K846" s="12"/>
      <c r="L846" s="12"/>
      <c r="M846" s="8"/>
    </row>
    <row r="847" spans="1:13" ht="25" customHeight="1">
      <c r="A847" s="12"/>
      <c r="B847" s="8"/>
      <c r="C847" s="8"/>
      <c r="D847" s="8"/>
      <c r="E847" s="8"/>
      <c r="F847" s="8"/>
      <c r="G847" s="8"/>
      <c r="H847" s="8"/>
      <c r="I847" s="11"/>
      <c r="J847" s="12"/>
      <c r="K847" s="12"/>
      <c r="L847" s="12"/>
      <c r="M847" s="8"/>
    </row>
    <row r="848" spans="1:13" ht="25" customHeight="1">
      <c r="A848" s="12"/>
      <c r="B848" s="8"/>
      <c r="C848" s="8"/>
      <c r="D848" s="8"/>
      <c r="E848" s="8"/>
      <c r="F848" s="8"/>
      <c r="G848" s="8"/>
      <c r="H848" s="8"/>
      <c r="I848" s="11"/>
      <c r="J848" s="12"/>
      <c r="K848" s="12"/>
      <c r="L848" s="12"/>
      <c r="M848" s="8"/>
    </row>
    <row r="849" spans="1:13" ht="25" customHeight="1">
      <c r="A849" s="12"/>
      <c r="B849" s="8"/>
      <c r="C849" s="8"/>
      <c r="D849" s="8"/>
      <c r="E849" s="8"/>
      <c r="F849" s="8"/>
      <c r="G849" s="8"/>
      <c r="H849" s="8"/>
      <c r="I849" s="11"/>
      <c r="J849" s="12"/>
      <c r="K849" s="12"/>
      <c r="L849" s="12"/>
      <c r="M849" s="8"/>
    </row>
    <row r="850" spans="1:13" ht="25" customHeight="1">
      <c r="A850" s="12"/>
      <c r="B850" s="8"/>
      <c r="C850" s="8"/>
      <c r="D850" s="8"/>
      <c r="E850" s="8"/>
      <c r="F850" s="8"/>
      <c r="G850" s="8"/>
      <c r="H850" s="8"/>
      <c r="I850" s="11"/>
      <c r="J850" s="12"/>
      <c r="K850" s="12"/>
      <c r="L850" s="12"/>
      <c r="M850" s="8"/>
    </row>
    <row r="851" spans="1:13" ht="25" customHeight="1">
      <c r="A851" s="12"/>
      <c r="B851" s="8"/>
      <c r="C851" s="8"/>
      <c r="D851" s="8"/>
      <c r="E851" s="8"/>
      <c r="F851" s="8"/>
      <c r="G851" s="8"/>
      <c r="H851" s="8"/>
      <c r="I851" s="11"/>
      <c r="J851" s="12"/>
      <c r="K851" s="12"/>
      <c r="L851" s="12"/>
      <c r="M851" s="8"/>
    </row>
    <row r="852" spans="1:13" ht="25" customHeight="1">
      <c r="A852" s="12"/>
      <c r="B852" s="8"/>
      <c r="C852" s="8"/>
      <c r="D852" s="8"/>
      <c r="E852" s="8"/>
      <c r="F852" s="8"/>
      <c r="G852" s="8"/>
      <c r="H852" s="8"/>
      <c r="I852" s="11"/>
      <c r="J852" s="12"/>
      <c r="K852" s="12"/>
      <c r="L852" s="12"/>
      <c r="M852" s="8"/>
    </row>
    <row r="853" spans="1:13" ht="25" customHeight="1">
      <c r="A853" s="12"/>
      <c r="B853" s="8"/>
      <c r="C853" s="8"/>
      <c r="D853" s="8"/>
      <c r="E853" s="8"/>
      <c r="F853" s="8"/>
      <c r="G853" s="8"/>
      <c r="H853" s="8"/>
      <c r="I853" s="11"/>
      <c r="J853" s="12"/>
      <c r="K853" s="12"/>
      <c r="L853" s="12"/>
      <c r="M853" s="8"/>
    </row>
    <row r="854" spans="1:13" ht="25" customHeight="1">
      <c r="A854" s="12"/>
      <c r="B854" s="8"/>
      <c r="C854" s="8"/>
      <c r="D854" s="8"/>
      <c r="E854" s="8"/>
      <c r="F854" s="8"/>
      <c r="G854" s="8"/>
      <c r="H854" s="8"/>
      <c r="I854" s="11"/>
      <c r="J854" s="12"/>
      <c r="K854" s="12"/>
      <c r="L854" s="12"/>
      <c r="M854" s="8"/>
    </row>
    <row r="855" spans="1:13" ht="25" customHeight="1">
      <c r="A855" s="12"/>
      <c r="B855" s="8"/>
      <c r="C855" s="8"/>
      <c r="D855" s="8"/>
      <c r="E855" s="8"/>
      <c r="F855" s="8"/>
      <c r="G855" s="8"/>
      <c r="H855" s="8"/>
      <c r="I855" s="11"/>
      <c r="J855" s="12"/>
      <c r="K855" s="12"/>
      <c r="L855" s="12"/>
      <c r="M855" s="8"/>
    </row>
    <row r="856" spans="1:13" ht="25" customHeight="1">
      <c r="A856" s="12"/>
      <c r="B856" s="8"/>
      <c r="C856" s="8"/>
      <c r="D856" s="8"/>
      <c r="E856" s="8"/>
      <c r="F856" s="8"/>
      <c r="G856" s="8"/>
      <c r="H856" s="8"/>
      <c r="I856" s="11"/>
      <c r="J856" s="12"/>
      <c r="K856" s="12"/>
      <c r="L856" s="12"/>
      <c r="M856" s="8"/>
    </row>
    <row r="857" spans="1:13" ht="25" customHeight="1">
      <c r="A857" s="12"/>
      <c r="B857" s="8"/>
      <c r="C857" s="8"/>
      <c r="D857" s="8"/>
      <c r="E857" s="8"/>
      <c r="F857" s="8"/>
      <c r="G857" s="8"/>
      <c r="H857" s="8"/>
      <c r="I857" s="11"/>
      <c r="J857" s="12"/>
      <c r="K857" s="12"/>
      <c r="L857" s="12"/>
      <c r="M857" s="8"/>
    </row>
    <row r="858" spans="1:13" ht="25" customHeight="1">
      <c r="A858" s="12"/>
      <c r="B858" s="8"/>
      <c r="C858" s="8"/>
      <c r="D858" s="8"/>
      <c r="E858" s="8"/>
      <c r="F858" s="8"/>
      <c r="G858" s="8"/>
      <c r="H858" s="8"/>
      <c r="I858" s="11"/>
      <c r="J858" s="12"/>
      <c r="K858" s="12"/>
      <c r="L858" s="12"/>
      <c r="M858" s="8"/>
    </row>
    <row r="859" spans="1:13" ht="25" customHeight="1">
      <c r="A859" s="12"/>
      <c r="B859" s="8"/>
      <c r="C859" s="8"/>
      <c r="D859" s="8"/>
      <c r="E859" s="8"/>
      <c r="F859" s="8"/>
      <c r="G859" s="8"/>
      <c r="H859" s="8"/>
      <c r="I859" s="11"/>
      <c r="J859" s="12"/>
      <c r="K859" s="12"/>
      <c r="L859" s="12"/>
      <c r="M859" s="8"/>
    </row>
    <row r="860" spans="1:13" ht="25" customHeight="1">
      <c r="A860" s="12"/>
      <c r="B860" s="8"/>
      <c r="C860" s="8"/>
      <c r="D860" s="8"/>
      <c r="E860" s="8"/>
      <c r="F860" s="8"/>
      <c r="G860" s="8"/>
      <c r="H860" s="8"/>
      <c r="I860" s="11"/>
      <c r="J860" s="12"/>
      <c r="K860" s="12"/>
      <c r="L860" s="12"/>
      <c r="M860" s="8"/>
    </row>
    <row r="861" spans="1:13" ht="25" customHeight="1">
      <c r="A861" s="12"/>
      <c r="B861" s="8"/>
      <c r="C861" s="8"/>
      <c r="D861" s="8"/>
      <c r="E861" s="8"/>
      <c r="F861" s="8"/>
      <c r="G861" s="8"/>
      <c r="H861" s="8"/>
      <c r="I861" s="11"/>
      <c r="J861" s="12"/>
      <c r="K861" s="12"/>
      <c r="L861" s="12"/>
      <c r="M861" s="8"/>
    </row>
    <row r="862" spans="1:13" ht="25" customHeight="1">
      <c r="A862" s="12"/>
      <c r="B862" s="8"/>
      <c r="C862" s="8"/>
      <c r="D862" s="8"/>
      <c r="E862" s="8"/>
      <c r="F862" s="8"/>
      <c r="G862" s="8"/>
      <c r="H862" s="8"/>
      <c r="I862" s="11"/>
      <c r="J862" s="12"/>
      <c r="K862" s="12"/>
      <c r="L862" s="12"/>
      <c r="M862" s="8"/>
    </row>
    <row r="863" spans="1:13" ht="25" customHeight="1">
      <c r="A863" s="12"/>
      <c r="B863" s="8"/>
      <c r="C863" s="8"/>
      <c r="D863" s="8"/>
      <c r="E863" s="8"/>
      <c r="F863" s="8"/>
      <c r="G863" s="8"/>
      <c r="H863" s="8"/>
      <c r="I863" s="11"/>
      <c r="J863" s="12"/>
      <c r="K863" s="12"/>
      <c r="L863" s="12"/>
      <c r="M863" s="8"/>
    </row>
    <row r="864" spans="1:13" ht="25" customHeight="1">
      <c r="A864" s="12"/>
      <c r="B864" s="8"/>
      <c r="C864" s="8"/>
      <c r="D864" s="8"/>
      <c r="E864" s="8"/>
      <c r="F864" s="8"/>
      <c r="G864" s="8"/>
      <c r="H864" s="8"/>
      <c r="I864" s="11"/>
      <c r="J864" s="12"/>
      <c r="K864" s="12"/>
      <c r="L864" s="12"/>
      <c r="M864" s="8"/>
    </row>
    <row r="865" spans="1:13" ht="25" customHeight="1">
      <c r="A865" s="12"/>
      <c r="B865" s="8"/>
      <c r="C865" s="8"/>
      <c r="D865" s="8"/>
      <c r="E865" s="8"/>
      <c r="F865" s="8"/>
      <c r="G865" s="8"/>
      <c r="H865" s="8"/>
      <c r="I865" s="11"/>
      <c r="J865" s="12"/>
      <c r="K865" s="12"/>
      <c r="L865" s="12"/>
      <c r="M865" s="8"/>
    </row>
    <row r="866" spans="1:13" ht="25" customHeight="1">
      <c r="A866" s="12"/>
      <c r="B866" s="8"/>
      <c r="C866" s="8"/>
      <c r="D866" s="8"/>
      <c r="E866" s="8"/>
      <c r="F866" s="8"/>
      <c r="G866" s="8"/>
      <c r="H866" s="8"/>
      <c r="I866" s="11"/>
      <c r="J866" s="12"/>
      <c r="K866" s="12"/>
      <c r="L866" s="12"/>
      <c r="M866" s="8"/>
    </row>
    <row r="867" spans="1:13" ht="25" customHeight="1">
      <c r="A867" s="12"/>
      <c r="B867" s="8"/>
      <c r="C867" s="8"/>
      <c r="D867" s="8"/>
      <c r="E867" s="8"/>
      <c r="F867" s="8"/>
      <c r="G867" s="8"/>
      <c r="H867" s="8"/>
      <c r="I867" s="11"/>
      <c r="J867" s="12"/>
      <c r="K867" s="12"/>
      <c r="L867" s="12"/>
      <c r="M867" s="8"/>
    </row>
    <row r="868" spans="1:13" ht="25" customHeight="1">
      <c r="A868" s="12"/>
      <c r="B868" s="8"/>
      <c r="C868" s="8"/>
      <c r="D868" s="8"/>
      <c r="E868" s="8"/>
      <c r="F868" s="8"/>
      <c r="G868" s="8"/>
      <c r="H868" s="8"/>
      <c r="I868" s="11"/>
      <c r="J868" s="12"/>
      <c r="K868" s="12"/>
      <c r="L868" s="12"/>
      <c r="M868" s="8"/>
    </row>
    <row r="869" spans="1:13" ht="25" customHeight="1">
      <c r="A869" s="12"/>
      <c r="B869" s="8"/>
      <c r="C869" s="8"/>
      <c r="D869" s="8"/>
      <c r="E869" s="8"/>
      <c r="F869" s="8"/>
      <c r="G869" s="8"/>
      <c r="H869" s="8"/>
      <c r="I869" s="11"/>
      <c r="J869" s="12"/>
      <c r="K869" s="12"/>
      <c r="L869" s="12"/>
      <c r="M869" s="8"/>
    </row>
    <row r="870" spans="1:13" ht="25" customHeight="1">
      <c r="A870" s="12"/>
      <c r="B870" s="8"/>
      <c r="C870" s="8"/>
      <c r="D870" s="8"/>
      <c r="E870" s="8"/>
      <c r="F870" s="8"/>
      <c r="G870" s="8"/>
      <c r="H870" s="8"/>
      <c r="I870" s="11"/>
      <c r="J870" s="12"/>
      <c r="K870" s="12"/>
      <c r="L870" s="12"/>
      <c r="M870" s="8"/>
    </row>
    <row r="871" spans="1:13" ht="25" customHeight="1">
      <c r="A871" s="12"/>
      <c r="B871" s="8"/>
      <c r="C871" s="8"/>
      <c r="D871" s="8"/>
      <c r="E871" s="8"/>
      <c r="F871" s="8"/>
      <c r="G871" s="8"/>
      <c r="H871" s="8"/>
      <c r="I871" s="11"/>
      <c r="J871" s="12"/>
      <c r="K871" s="12"/>
      <c r="L871" s="12"/>
      <c r="M871" s="8"/>
    </row>
    <row r="872" spans="1:13" ht="25" customHeight="1">
      <c r="A872" s="12"/>
      <c r="B872" s="8"/>
      <c r="C872" s="8"/>
      <c r="D872" s="8"/>
      <c r="E872" s="8"/>
      <c r="F872" s="8"/>
      <c r="G872" s="8"/>
      <c r="H872" s="8"/>
      <c r="I872" s="11"/>
      <c r="J872" s="12"/>
      <c r="K872" s="12"/>
      <c r="L872" s="12"/>
      <c r="M872" s="8"/>
    </row>
    <row r="873" spans="1:13" ht="25" customHeight="1">
      <c r="A873" s="12"/>
      <c r="B873" s="8"/>
      <c r="C873" s="8"/>
      <c r="D873" s="8"/>
      <c r="E873" s="8"/>
      <c r="F873" s="8"/>
      <c r="G873" s="8"/>
      <c r="H873" s="8"/>
      <c r="I873" s="11"/>
      <c r="J873" s="12"/>
      <c r="K873" s="12"/>
      <c r="L873" s="12"/>
      <c r="M873" s="8"/>
    </row>
    <row r="874" spans="1:13" ht="25" customHeight="1">
      <c r="A874" s="12"/>
      <c r="B874" s="8"/>
      <c r="C874" s="8"/>
      <c r="D874" s="8"/>
      <c r="E874" s="8"/>
      <c r="F874" s="8"/>
      <c r="G874" s="8"/>
      <c r="H874" s="8"/>
      <c r="I874" s="11"/>
      <c r="J874" s="12"/>
      <c r="K874" s="12"/>
      <c r="L874" s="12"/>
      <c r="M874" s="8"/>
    </row>
    <row r="875" spans="1:13" ht="25" customHeight="1">
      <c r="A875" s="12"/>
      <c r="B875" s="8"/>
      <c r="C875" s="8"/>
      <c r="D875" s="8"/>
      <c r="E875" s="8"/>
      <c r="F875" s="8"/>
      <c r="G875" s="8"/>
      <c r="H875" s="8"/>
      <c r="I875" s="11"/>
      <c r="J875" s="12"/>
      <c r="K875" s="12"/>
      <c r="L875" s="12"/>
      <c r="M875" s="8"/>
    </row>
    <row r="876" spans="1:13" ht="25" customHeight="1">
      <c r="A876" s="12"/>
      <c r="B876" s="8"/>
      <c r="C876" s="8"/>
      <c r="D876" s="8"/>
      <c r="E876" s="8"/>
      <c r="F876" s="8"/>
      <c r="G876" s="8"/>
      <c r="H876" s="8"/>
      <c r="I876" s="11"/>
      <c r="J876" s="12"/>
      <c r="K876" s="12"/>
      <c r="L876" s="12"/>
      <c r="M876" s="8"/>
    </row>
    <row r="877" spans="1:13" ht="25" customHeight="1">
      <c r="A877" s="12"/>
      <c r="B877" s="8"/>
      <c r="C877" s="8"/>
      <c r="D877" s="8"/>
      <c r="E877" s="8"/>
      <c r="F877" s="8"/>
      <c r="G877" s="8"/>
      <c r="H877" s="8"/>
      <c r="I877" s="11"/>
      <c r="J877" s="12"/>
      <c r="K877" s="12"/>
      <c r="L877" s="12"/>
      <c r="M877" s="8"/>
    </row>
    <row r="878" spans="1:13" ht="25" customHeight="1">
      <c r="A878" s="12"/>
      <c r="B878" s="8"/>
      <c r="C878" s="8"/>
      <c r="D878" s="8"/>
      <c r="E878" s="8"/>
      <c r="F878" s="8"/>
      <c r="G878" s="8"/>
      <c r="H878" s="8"/>
      <c r="I878" s="11"/>
      <c r="J878" s="12"/>
      <c r="K878" s="12"/>
      <c r="L878" s="12"/>
      <c r="M878" s="8"/>
    </row>
    <row r="879" spans="1:13" ht="25" customHeight="1">
      <c r="A879" s="12"/>
      <c r="B879" s="8"/>
      <c r="C879" s="8"/>
      <c r="D879" s="8"/>
      <c r="E879" s="8"/>
      <c r="F879" s="8"/>
      <c r="G879" s="8"/>
      <c r="H879" s="8"/>
      <c r="I879" s="11"/>
      <c r="J879" s="12"/>
      <c r="K879" s="12"/>
      <c r="L879" s="12"/>
      <c r="M879" s="8"/>
    </row>
    <row r="880" spans="1:13" ht="25" customHeight="1">
      <c r="A880" s="12"/>
      <c r="B880" s="8"/>
      <c r="C880" s="8"/>
      <c r="D880" s="8"/>
      <c r="E880" s="8"/>
      <c r="F880" s="8"/>
      <c r="G880" s="8"/>
      <c r="H880" s="8"/>
      <c r="I880" s="11"/>
      <c r="J880" s="12"/>
      <c r="K880" s="12"/>
      <c r="L880" s="12"/>
      <c r="M880" s="8"/>
    </row>
    <row r="881" spans="1:13" ht="25" customHeight="1">
      <c r="A881" s="12"/>
      <c r="B881" s="8"/>
      <c r="C881" s="8"/>
      <c r="D881" s="8"/>
      <c r="E881" s="8"/>
      <c r="F881" s="8"/>
      <c r="G881" s="8"/>
      <c r="H881" s="8"/>
      <c r="I881" s="11"/>
      <c r="J881" s="12"/>
      <c r="K881" s="12"/>
      <c r="L881" s="12"/>
      <c r="M881" s="8"/>
    </row>
    <row r="882" spans="1:13" ht="25" customHeight="1">
      <c r="A882" s="12"/>
      <c r="B882" s="8"/>
      <c r="C882" s="8"/>
      <c r="D882" s="8"/>
      <c r="E882" s="8"/>
      <c r="F882" s="8"/>
      <c r="G882" s="8"/>
      <c r="H882" s="8"/>
      <c r="I882" s="11"/>
      <c r="J882" s="12"/>
      <c r="K882" s="12"/>
      <c r="L882" s="12"/>
      <c r="M882" s="8"/>
    </row>
    <row r="883" spans="1:13" ht="25" customHeight="1">
      <c r="A883" s="12"/>
      <c r="B883" s="8"/>
      <c r="C883" s="8"/>
      <c r="D883" s="8"/>
      <c r="E883" s="8"/>
      <c r="F883" s="8"/>
      <c r="G883" s="8"/>
      <c r="H883" s="8"/>
      <c r="I883" s="11"/>
      <c r="J883" s="12"/>
      <c r="K883" s="12"/>
      <c r="L883" s="12"/>
      <c r="M883" s="8"/>
    </row>
    <row r="884" spans="1:13" ht="25" customHeight="1">
      <c r="A884" s="12"/>
      <c r="B884" s="8"/>
      <c r="C884" s="8"/>
      <c r="D884" s="8"/>
      <c r="E884" s="8"/>
      <c r="F884" s="8"/>
      <c r="G884" s="8"/>
      <c r="H884" s="8"/>
      <c r="I884" s="11"/>
      <c r="J884" s="12"/>
      <c r="K884" s="12"/>
      <c r="L884" s="12"/>
      <c r="M884" s="8"/>
    </row>
    <row r="885" spans="1:13" ht="25" customHeight="1">
      <c r="A885" s="12"/>
      <c r="B885" s="8"/>
      <c r="C885" s="8"/>
      <c r="D885" s="8"/>
      <c r="E885" s="8"/>
      <c r="F885" s="8"/>
      <c r="G885" s="8"/>
      <c r="H885" s="8"/>
      <c r="I885" s="11"/>
      <c r="J885" s="12"/>
      <c r="K885" s="12"/>
      <c r="L885" s="12"/>
      <c r="M885" s="8"/>
    </row>
    <row r="886" spans="1:13" ht="25" customHeight="1">
      <c r="A886" s="12"/>
      <c r="B886" s="8"/>
      <c r="C886" s="8"/>
      <c r="D886" s="8"/>
      <c r="E886" s="8"/>
      <c r="F886" s="8"/>
      <c r="G886" s="8"/>
      <c r="H886" s="8"/>
      <c r="I886" s="11"/>
      <c r="J886" s="12"/>
      <c r="K886" s="12"/>
      <c r="L886" s="12"/>
      <c r="M886" s="8"/>
    </row>
    <row r="887" spans="1:13" ht="25" customHeight="1">
      <c r="A887" s="12"/>
      <c r="B887" s="8"/>
      <c r="C887" s="8"/>
      <c r="D887" s="8"/>
      <c r="E887" s="8"/>
      <c r="F887" s="8"/>
      <c r="G887" s="8"/>
      <c r="H887" s="8"/>
      <c r="I887" s="11"/>
      <c r="J887" s="12"/>
      <c r="K887" s="12"/>
      <c r="L887" s="12"/>
      <c r="M887" s="8"/>
    </row>
    <row r="888" spans="1:13" ht="25" customHeight="1">
      <c r="A888" s="12"/>
      <c r="B888" s="8"/>
      <c r="C888" s="8"/>
      <c r="D888" s="8"/>
      <c r="E888" s="8"/>
      <c r="F888" s="8"/>
      <c r="G888" s="8"/>
      <c r="H888" s="8"/>
      <c r="I888" s="11"/>
      <c r="J888" s="12"/>
      <c r="K888" s="12"/>
      <c r="L888" s="12"/>
      <c r="M888" s="8"/>
    </row>
    <row r="889" spans="1:13" ht="25" customHeight="1">
      <c r="A889" s="12"/>
      <c r="B889" s="8"/>
      <c r="C889" s="8"/>
      <c r="D889" s="8"/>
      <c r="E889" s="8"/>
      <c r="F889" s="8"/>
      <c r="G889" s="8"/>
      <c r="H889" s="8"/>
      <c r="I889" s="11"/>
      <c r="J889" s="12"/>
      <c r="K889" s="12"/>
      <c r="L889" s="12"/>
      <c r="M889" s="8"/>
    </row>
    <row r="890" spans="1:13" ht="25" customHeight="1">
      <c r="A890" s="12"/>
      <c r="B890" s="8"/>
      <c r="C890" s="8"/>
      <c r="D890" s="8"/>
      <c r="E890" s="8"/>
      <c r="F890" s="8"/>
      <c r="G890" s="8"/>
      <c r="H890" s="8"/>
      <c r="I890" s="11"/>
      <c r="J890" s="12"/>
      <c r="K890" s="12"/>
      <c r="L890" s="12"/>
      <c r="M890" s="8"/>
    </row>
    <row r="891" spans="1:13" ht="25" customHeight="1">
      <c r="A891" s="12"/>
      <c r="B891" s="8"/>
      <c r="C891" s="8"/>
      <c r="D891" s="8"/>
      <c r="E891" s="8"/>
      <c r="F891" s="8"/>
      <c r="G891" s="8"/>
      <c r="H891" s="8"/>
      <c r="I891" s="11"/>
      <c r="J891" s="12"/>
      <c r="K891" s="12"/>
      <c r="L891" s="12"/>
      <c r="M891" s="8"/>
    </row>
    <row r="892" spans="1:13" ht="25" customHeight="1">
      <c r="A892" s="12"/>
      <c r="B892" s="8"/>
      <c r="C892" s="8"/>
      <c r="D892" s="8"/>
      <c r="E892" s="8"/>
      <c r="F892" s="8"/>
      <c r="G892" s="8"/>
      <c r="H892" s="8"/>
      <c r="I892" s="11"/>
      <c r="J892" s="12"/>
      <c r="K892" s="12"/>
      <c r="L892" s="12"/>
      <c r="M892" s="8"/>
    </row>
    <row r="893" spans="1:13" ht="25" customHeight="1">
      <c r="A893" s="12"/>
      <c r="B893" s="8"/>
      <c r="C893" s="8"/>
      <c r="D893" s="8"/>
      <c r="E893" s="8"/>
      <c r="F893" s="8"/>
      <c r="G893" s="8"/>
      <c r="H893" s="8"/>
      <c r="I893" s="11"/>
      <c r="J893" s="12"/>
      <c r="K893" s="12"/>
      <c r="L893" s="12"/>
      <c r="M893" s="8"/>
    </row>
    <row r="894" spans="1:13" ht="25" customHeight="1">
      <c r="A894" s="12"/>
      <c r="B894" s="8"/>
      <c r="C894" s="8"/>
      <c r="D894" s="8"/>
      <c r="E894" s="8"/>
      <c r="F894" s="8"/>
      <c r="G894" s="8"/>
      <c r="H894" s="8"/>
      <c r="I894" s="11"/>
      <c r="J894" s="12"/>
      <c r="K894" s="12"/>
      <c r="L894" s="12"/>
      <c r="M894" s="8"/>
    </row>
    <row r="895" spans="1:13" ht="25" customHeight="1">
      <c r="A895" s="12"/>
      <c r="B895" s="8"/>
      <c r="C895" s="8"/>
      <c r="D895" s="8"/>
      <c r="E895" s="8"/>
      <c r="F895" s="8"/>
      <c r="G895" s="8"/>
      <c r="H895" s="8"/>
      <c r="I895" s="11"/>
      <c r="J895" s="12"/>
      <c r="K895" s="12"/>
      <c r="L895" s="12"/>
      <c r="M895" s="8"/>
    </row>
    <row r="896" spans="1:13" ht="25" customHeight="1">
      <c r="A896" s="12"/>
      <c r="B896" s="8"/>
      <c r="C896" s="8"/>
      <c r="D896" s="8"/>
      <c r="E896" s="8"/>
      <c r="F896" s="8"/>
      <c r="G896" s="8"/>
      <c r="H896" s="8"/>
      <c r="I896" s="11"/>
      <c r="J896" s="12"/>
      <c r="K896" s="12"/>
      <c r="L896" s="12"/>
      <c r="M896" s="8"/>
    </row>
    <row r="897" spans="1:13" ht="25" customHeight="1">
      <c r="A897" s="12"/>
      <c r="B897" s="8"/>
      <c r="C897" s="8"/>
      <c r="D897" s="8"/>
      <c r="E897" s="8"/>
      <c r="F897" s="8"/>
      <c r="G897" s="8"/>
      <c r="H897" s="8"/>
      <c r="I897" s="11"/>
      <c r="J897" s="12"/>
      <c r="K897" s="12"/>
      <c r="L897" s="12"/>
      <c r="M897" s="8"/>
    </row>
    <row r="898" spans="1:13" ht="25" customHeight="1">
      <c r="A898" s="12"/>
      <c r="B898" s="8"/>
      <c r="C898" s="8"/>
      <c r="D898" s="8"/>
      <c r="E898" s="8"/>
      <c r="F898" s="8"/>
      <c r="G898" s="8"/>
      <c r="H898" s="8"/>
      <c r="I898" s="11"/>
      <c r="J898" s="12"/>
      <c r="K898" s="12"/>
      <c r="L898" s="12"/>
      <c r="M898" s="8"/>
    </row>
    <row r="899" spans="1:13" ht="25" customHeight="1">
      <c r="A899" s="12"/>
      <c r="B899" s="8"/>
      <c r="C899" s="8"/>
      <c r="D899" s="8"/>
      <c r="E899" s="8"/>
      <c r="F899" s="8"/>
      <c r="G899" s="8"/>
      <c r="H899" s="8"/>
      <c r="I899" s="11"/>
      <c r="J899" s="12"/>
      <c r="K899" s="12"/>
      <c r="L899" s="12"/>
      <c r="M899" s="8"/>
    </row>
    <row r="900" spans="1:13" ht="25" customHeight="1">
      <c r="A900" s="12"/>
      <c r="B900" s="8"/>
      <c r="C900" s="8"/>
      <c r="D900" s="8"/>
      <c r="E900" s="8"/>
      <c r="F900" s="8"/>
      <c r="G900" s="8"/>
      <c r="H900" s="8"/>
      <c r="I900" s="11"/>
      <c r="J900" s="12"/>
      <c r="K900" s="12"/>
      <c r="L900" s="12"/>
      <c r="M900" s="8"/>
    </row>
    <row r="901" spans="1:13" ht="25" customHeight="1">
      <c r="A901" s="12"/>
      <c r="B901" s="8"/>
      <c r="C901" s="8"/>
      <c r="D901" s="8"/>
      <c r="E901" s="8"/>
      <c r="F901" s="8"/>
      <c r="G901" s="8"/>
      <c r="H901" s="8"/>
      <c r="I901" s="11"/>
      <c r="J901" s="12"/>
      <c r="K901" s="12"/>
      <c r="L901" s="12"/>
      <c r="M901" s="8"/>
    </row>
    <row r="902" spans="1:13" ht="25" customHeight="1">
      <c r="A902" s="12"/>
      <c r="B902" s="8"/>
      <c r="C902" s="8"/>
      <c r="D902" s="8"/>
      <c r="E902" s="8"/>
      <c r="F902" s="8"/>
      <c r="G902" s="8"/>
      <c r="H902" s="8"/>
      <c r="I902" s="11"/>
      <c r="J902" s="12"/>
      <c r="K902" s="12"/>
      <c r="L902" s="12"/>
      <c r="M902" s="8"/>
    </row>
    <row r="903" spans="1:13" ht="25" customHeight="1">
      <c r="A903" s="12"/>
      <c r="B903" s="8"/>
      <c r="C903" s="8"/>
      <c r="D903" s="8"/>
      <c r="E903" s="8"/>
      <c r="F903" s="8"/>
      <c r="G903" s="8"/>
      <c r="H903" s="8"/>
      <c r="I903" s="11"/>
      <c r="J903" s="12"/>
      <c r="K903" s="12"/>
      <c r="L903" s="12"/>
      <c r="M903" s="8"/>
    </row>
    <row r="904" spans="1:13" ht="25" customHeight="1">
      <c r="A904" s="12"/>
      <c r="B904" s="8"/>
      <c r="C904" s="8"/>
      <c r="D904" s="8"/>
      <c r="E904" s="8"/>
      <c r="F904" s="8"/>
      <c r="G904" s="8"/>
      <c r="H904" s="8"/>
      <c r="I904" s="11"/>
      <c r="J904" s="12"/>
      <c r="K904" s="12"/>
      <c r="L904" s="12"/>
      <c r="M904" s="8"/>
    </row>
    <row r="905" spans="1:13" ht="25" customHeight="1">
      <c r="A905" s="12"/>
      <c r="B905" s="8"/>
      <c r="C905" s="8"/>
      <c r="D905" s="8"/>
      <c r="E905" s="8"/>
      <c r="F905" s="8"/>
      <c r="G905" s="8"/>
      <c r="H905" s="8"/>
      <c r="I905" s="11"/>
      <c r="J905" s="12"/>
      <c r="K905" s="12"/>
      <c r="L905" s="12"/>
      <c r="M905" s="8"/>
    </row>
    <row r="906" spans="1:13" ht="25" customHeight="1">
      <c r="A906" s="12"/>
      <c r="B906" s="8"/>
      <c r="C906" s="8"/>
      <c r="D906" s="8"/>
      <c r="E906" s="8"/>
      <c r="F906" s="8"/>
      <c r="G906" s="8"/>
      <c r="H906" s="8"/>
      <c r="I906" s="11"/>
      <c r="J906" s="12"/>
      <c r="K906" s="12"/>
      <c r="L906" s="12"/>
      <c r="M906" s="8"/>
    </row>
    <row r="907" spans="1:13" ht="25" customHeight="1">
      <c r="A907" s="12"/>
      <c r="B907" s="8"/>
      <c r="C907" s="8"/>
      <c r="D907" s="8"/>
      <c r="E907" s="8"/>
      <c r="F907" s="8"/>
      <c r="G907" s="8"/>
      <c r="H907" s="8"/>
      <c r="I907" s="11"/>
      <c r="J907" s="12"/>
      <c r="K907" s="12"/>
      <c r="L907" s="12"/>
      <c r="M907" s="8"/>
    </row>
    <row r="908" spans="1:13" ht="25" customHeight="1">
      <c r="A908" s="12"/>
      <c r="B908" s="8"/>
      <c r="C908" s="8"/>
      <c r="D908" s="8"/>
      <c r="E908" s="8"/>
      <c r="F908" s="8"/>
      <c r="G908" s="8"/>
      <c r="H908" s="8"/>
      <c r="I908" s="11"/>
      <c r="J908" s="12"/>
      <c r="K908" s="12"/>
      <c r="L908" s="12"/>
      <c r="M908" s="8"/>
    </row>
    <row r="909" spans="1:13" ht="25" customHeight="1">
      <c r="A909" s="12"/>
      <c r="B909" s="8"/>
      <c r="C909" s="8"/>
      <c r="D909" s="8"/>
      <c r="E909" s="8"/>
      <c r="F909" s="8"/>
      <c r="G909" s="8"/>
      <c r="H909" s="8"/>
      <c r="I909" s="11"/>
      <c r="J909" s="12"/>
      <c r="K909" s="12"/>
      <c r="L909" s="12"/>
      <c r="M909" s="8"/>
    </row>
    <row r="910" spans="1:13" ht="25" customHeight="1">
      <c r="A910" s="12"/>
      <c r="B910" s="8"/>
      <c r="C910" s="8"/>
      <c r="D910" s="8"/>
      <c r="E910" s="8"/>
      <c r="F910" s="8"/>
      <c r="G910" s="8"/>
      <c r="H910" s="8"/>
      <c r="I910" s="11"/>
      <c r="J910" s="12"/>
      <c r="K910" s="12"/>
      <c r="L910" s="12"/>
      <c r="M910" s="8"/>
    </row>
    <row r="911" spans="1:13" ht="25" customHeight="1">
      <c r="A911" s="12"/>
      <c r="B911" s="8"/>
      <c r="C911" s="8"/>
      <c r="D911" s="8"/>
      <c r="E911" s="8"/>
      <c r="F911" s="8"/>
      <c r="G911" s="8"/>
      <c r="H911" s="8"/>
      <c r="I911" s="11"/>
      <c r="J911" s="12"/>
      <c r="K911" s="12"/>
      <c r="L911" s="12"/>
      <c r="M911" s="8"/>
    </row>
    <row r="912" spans="1:13" ht="25" customHeight="1">
      <c r="A912" s="12"/>
      <c r="B912" s="8"/>
      <c r="C912" s="8"/>
      <c r="D912" s="8"/>
      <c r="E912" s="8"/>
      <c r="F912" s="8"/>
      <c r="G912" s="8"/>
      <c r="H912" s="8"/>
      <c r="I912" s="11"/>
      <c r="J912" s="12"/>
      <c r="K912" s="12"/>
      <c r="L912" s="12"/>
      <c r="M912" s="8"/>
    </row>
    <row r="913" spans="1:13" ht="25" customHeight="1">
      <c r="A913" s="12"/>
      <c r="B913" s="8"/>
      <c r="C913" s="8"/>
      <c r="D913" s="8"/>
      <c r="E913" s="8"/>
      <c r="F913" s="8"/>
      <c r="G913" s="8"/>
      <c r="H913" s="8"/>
      <c r="I913" s="11"/>
      <c r="J913" s="12"/>
      <c r="K913" s="12"/>
      <c r="L913" s="12"/>
      <c r="M913" s="8"/>
    </row>
    <row r="914" spans="1:13" ht="25" customHeight="1">
      <c r="A914" s="12"/>
      <c r="B914" s="8"/>
      <c r="C914" s="8"/>
      <c r="D914" s="8"/>
      <c r="E914" s="8"/>
      <c r="F914" s="8"/>
      <c r="G914" s="8"/>
      <c r="H914" s="8"/>
      <c r="I914" s="11"/>
      <c r="J914" s="12"/>
      <c r="K914" s="12"/>
      <c r="L914" s="12"/>
      <c r="M914" s="8"/>
    </row>
    <row r="915" spans="1:13" ht="25" customHeight="1">
      <c r="A915" s="12"/>
      <c r="B915" s="8"/>
      <c r="C915" s="8"/>
      <c r="D915" s="8"/>
      <c r="E915" s="8"/>
      <c r="F915" s="8"/>
      <c r="G915" s="8"/>
      <c r="H915" s="8"/>
      <c r="I915" s="11"/>
      <c r="J915" s="12"/>
      <c r="K915" s="12"/>
      <c r="L915" s="12"/>
      <c r="M915" s="8"/>
    </row>
    <row r="916" spans="1:13" ht="25" customHeight="1">
      <c r="A916" s="12"/>
      <c r="B916" s="8"/>
      <c r="C916" s="8"/>
      <c r="D916" s="8"/>
      <c r="E916" s="8"/>
      <c r="F916" s="8"/>
      <c r="G916" s="8"/>
      <c r="H916" s="8"/>
      <c r="I916" s="11"/>
      <c r="J916" s="12"/>
      <c r="K916" s="12"/>
      <c r="L916" s="12"/>
      <c r="M916" s="8"/>
    </row>
    <row r="917" spans="1:13" ht="25" customHeight="1">
      <c r="A917" s="12"/>
      <c r="B917" s="8"/>
      <c r="C917" s="8"/>
      <c r="D917" s="8"/>
      <c r="E917" s="8"/>
      <c r="F917" s="8"/>
      <c r="G917" s="8"/>
      <c r="H917" s="8"/>
      <c r="I917" s="11"/>
      <c r="J917" s="12"/>
      <c r="K917" s="12"/>
      <c r="L917" s="12"/>
      <c r="M917" s="8"/>
    </row>
    <row r="918" spans="1:13" ht="25" customHeight="1">
      <c r="A918" s="12"/>
      <c r="B918" s="8"/>
      <c r="C918" s="8"/>
      <c r="D918" s="8"/>
      <c r="E918" s="8"/>
      <c r="F918" s="8"/>
      <c r="G918" s="8"/>
      <c r="H918" s="8"/>
      <c r="I918" s="11"/>
      <c r="J918" s="12"/>
      <c r="K918" s="12"/>
      <c r="L918" s="12"/>
      <c r="M918" s="8"/>
    </row>
    <row r="919" spans="1:13" ht="25" customHeight="1">
      <c r="A919" s="12"/>
      <c r="B919" s="8"/>
      <c r="C919" s="8"/>
      <c r="D919" s="8"/>
      <c r="E919" s="8"/>
      <c r="F919" s="8"/>
      <c r="G919" s="8"/>
      <c r="H919" s="8"/>
      <c r="I919" s="11"/>
      <c r="J919" s="12"/>
      <c r="K919" s="12"/>
      <c r="L919" s="12"/>
      <c r="M919" s="8"/>
    </row>
    <row r="920" spans="1:13" ht="25" customHeight="1">
      <c r="A920" s="12"/>
      <c r="B920" s="8"/>
      <c r="C920" s="8"/>
      <c r="D920" s="8"/>
      <c r="E920" s="8"/>
      <c r="F920" s="8"/>
      <c r="G920" s="8"/>
      <c r="H920" s="8"/>
      <c r="I920" s="11"/>
      <c r="J920" s="12"/>
      <c r="K920" s="12"/>
      <c r="L920" s="12"/>
      <c r="M920" s="8"/>
    </row>
    <row r="921" spans="1:13" ht="25" customHeight="1">
      <c r="A921" s="12"/>
      <c r="B921" s="8"/>
      <c r="C921" s="8"/>
      <c r="D921" s="8"/>
      <c r="E921" s="8"/>
      <c r="F921" s="8"/>
      <c r="G921" s="8"/>
      <c r="H921" s="8"/>
      <c r="I921" s="11"/>
      <c r="J921" s="12"/>
      <c r="K921" s="12"/>
      <c r="L921" s="12"/>
      <c r="M921" s="8"/>
    </row>
    <row r="922" spans="1:13" ht="25" customHeight="1">
      <c r="A922" s="12"/>
      <c r="B922" s="8"/>
      <c r="C922" s="8"/>
      <c r="D922" s="8"/>
      <c r="E922" s="8"/>
      <c r="F922" s="8"/>
      <c r="G922" s="8"/>
      <c r="H922" s="8"/>
      <c r="I922" s="11"/>
      <c r="J922" s="12"/>
      <c r="K922" s="12"/>
      <c r="L922" s="12"/>
      <c r="M922" s="8"/>
    </row>
    <row r="923" spans="1:13" ht="25" customHeight="1">
      <c r="A923" s="12"/>
      <c r="B923" s="8"/>
      <c r="C923" s="8"/>
      <c r="D923" s="8"/>
      <c r="E923" s="8"/>
      <c r="F923" s="8"/>
      <c r="G923" s="8"/>
      <c r="H923" s="8"/>
      <c r="I923" s="11"/>
      <c r="J923" s="12"/>
      <c r="K923" s="12"/>
      <c r="L923" s="12"/>
      <c r="M923" s="8"/>
    </row>
    <row r="924" spans="1:13" ht="25" customHeight="1">
      <c r="A924" s="12"/>
      <c r="B924" s="8"/>
      <c r="C924" s="8"/>
      <c r="D924" s="8"/>
      <c r="E924" s="8"/>
      <c r="F924" s="8"/>
      <c r="G924" s="8"/>
      <c r="H924" s="8"/>
      <c r="I924" s="11"/>
      <c r="J924" s="12"/>
      <c r="K924" s="12"/>
      <c r="L924" s="12"/>
      <c r="M924" s="8"/>
    </row>
    <row r="925" spans="1:13" ht="25" customHeight="1">
      <c r="A925" s="12"/>
      <c r="B925" s="8"/>
      <c r="C925" s="8"/>
      <c r="D925" s="8"/>
      <c r="E925" s="8"/>
      <c r="F925" s="8"/>
      <c r="G925" s="8"/>
      <c r="H925" s="8"/>
      <c r="I925" s="11"/>
      <c r="J925" s="12"/>
      <c r="K925" s="12"/>
      <c r="L925" s="12"/>
      <c r="M925" s="8"/>
    </row>
    <row r="926" spans="1:13" ht="25" customHeight="1">
      <c r="A926" s="12"/>
      <c r="B926" s="8"/>
      <c r="C926" s="8"/>
      <c r="D926" s="8"/>
      <c r="E926" s="8"/>
      <c r="F926" s="8"/>
      <c r="G926" s="8"/>
      <c r="H926" s="8"/>
      <c r="I926" s="11"/>
      <c r="J926" s="12"/>
      <c r="K926" s="12"/>
      <c r="L926" s="12"/>
      <c r="M926" s="8"/>
    </row>
    <row r="927" spans="1:13" ht="25" customHeight="1">
      <c r="A927" s="12"/>
      <c r="B927" s="8"/>
      <c r="C927" s="8"/>
      <c r="D927" s="8"/>
      <c r="E927" s="8"/>
      <c r="F927" s="8"/>
      <c r="G927" s="8"/>
      <c r="H927" s="8"/>
      <c r="I927" s="11"/>
      <c r="J927" s="12"/>
      <c r="K927" s="12"/>
      <c r="L927" s="12"/>
      <c r="M927" s="8"/>
    </row>
    <row r="928" spans="1:13" ht="25" customHeight="1">
      <c r="A928" s="12"/>
      <c r="B928" s="8"/>
      <c r="C928" s="8"/>
      <c r="D928" s="8"/>
      <c r="E928" s="8"/>
      <c r="F928" s="8"/>
      <c r="G928" s="8"/>
      <c r="H928" s="8"/>
      <c r="I928" s="11"/>
      <c r="J928" s="12"/>
      <c r="K928" s="12"/>
      <c r="L928" s="12"/>
      <c r="M928" s="8"/>
    </row>
    <row r="929" spans="1:13" ht="25" customHeight="1">
      <c r="A929" s="12"/>
      <c r="B929" s="8"/>
      <c r="C929" s="8"/>
      <c r="D929" s="8"/>
      <c r="E929" s="8"/>
      <c r="F929" s="8"/>
      <c r="G929" s="8"/>
      <c r="H929" s="8"/>
      <c r="I929" s="11"/>
      <c r="J929" s="12"/>
      <c r="K929" s="12"/>
      <c r="L929" s="12"/>
      <c r="M929" s="8"/>
    </row>
    <row r="930" spans="1:13" ht="25" customHeight="1">
      <c r="A930" s="12"/>
      <c r="B930" s="8"/>
      <c r="C930" s="8"/>
      <c r="D930" s="8"/>
      <c r="E930" s="8"/>
      <c r="F930" s="8"/>
      <c r="G930" s="8"/>
      <c r="H930" s="8"/>
      <c r="I930" s="11"/>
      <c r="J930" s="12"/>
      <c r="K930" s="12"/>
      <c r="L930" s="12"/>
      <c r="M930" s="8"/>
    </row>
    <row r="931" spans="1:13" ht="25" customHeight="1">
      <c r="A931" s="12"/>
      <c r="B931" s="8"/>
      <c r="C931" s="8"/>
      <c r="D931" s="8"/>
      <c r="E931" s="8"/>
      <c r="F931" s="8"/>
      <c r="G931" s="8"/>
      <c r="H931" s="8"/>
      <c r="I931" s="11"/>
      <c r="J931" s="12"/>
      <c r="K931" s="12"/>
      <c r="L931" s="12"/>
      <c r="M931" s="8"/>
    </row>
    <row r="932" spans="1:13" ht="25" customHeight="1">
      <c r="A932" s="12"/>
      <c r="B932" s="8"/>
      <c r="C932" s="8"/>
      <c r="D932" s="8"/>
      <c r="E932" s="8"/>
      <c r="F932" s="8"/>
      <c r="G932" s="8"/>
      <c r="H932" s="8"/>
      <c r="I932" s="11"/>
      <c r="J932" s="12"/>
      <c r="K932" s="12"/>
      <c r="L932" s="12"/>
      <c r="M932" s="8"/>
    </row>
    <row r="933" spans="1:13" ht="25" customHeight="1">
      <c r="A933" s="12"/>
      <c r="B933" s="8"/>
      <c r="C933" s="8"/>
      <c r="D933" s="8"/>
      <c r="E933" s="8"/>
      <c r="F933" s="8"/>
      <c r="G933" s="8"/>
      <c r="H933" s="8"/>
      <c r="I933" s="11"/>
      <c r="J933" s="12"/>
      <c r="K933" s="12"/>
      <c r="L933" s="12"/>
      <c r="M933" s="8"/>
    </row>
    <row r="934" spans="1:13" ht="25" customHeight="1">
      <c r="A934" s="12"/>
      <c r="B934" s="8"/>
      <c r="C934" s="8"/>
      <c r="D934" s="8"/>
      <c r="E934" s="8"/>
      <c r="F934" s="8"/>
      <c r="G934" s="8"/>
      <c r="H934" s="8"/>
      <c r="I934" s="11"/>
      <c r="J934" s="12"/>
      <c r="K934" s="12"/>
      <c r="L934" s="12"/>
      <c r="M934" s="8"/>
    </row>
    <row r="935" spans="1:13" ht="25" customHeight="1">
      <c r="A935" s="12"/>
      <c r="B935" s="8"/>
      <c r="C935" s="8"/>
      <c r="D935" s="8"/>
      <c r="E935" s="8"/>
      <c r="F935" s="8"/>
      <c r="G935" s="8"/>
      <c r="H935" s="8"/>
      <c r="I935" s="11"/>
      <c r="J935" s="12"/>
      <c r="K935" s="12"/>
      <c r="L935" s="12"/>
      <c r="M935" s="8"/>
    </row>
    <row r="936" spans="1:13" ht="25" customHeight="1">
      <c r="A936" s="12"/>
      <c r="B936" s="8"/>
      <c r="C936" s="8"/>
      <c r="D936" s="8"/>
      <c r="E936" s="8"/>
      <c r="F936" s="8"/>
      <c r="G936" s="8"/>
      <c r="H936" s="8"/>
      <c r="I936" s="11"/>
      <c r="J936" s="12"/>
      <c r="K936" s="12"/>
      <c r="L936" s="12"/>
      <c r="M936" s="8"/>
    </row>
    <row r="937" spans="1:13" ht="25" customHeight="1">
      <c r="A937" s="12"/>
      <c r="B937" s="8"/>
      <c r="C937" s="8"/>
      <c r="D937" s="8"/>
      <c r="E937" s="8"/>
      <c r="F937" s="8"/>
      <c r="G937" s="8"/>
      <c r="H937" s="8"/>
      <c r="I937" s="11"/>
      <c r="J937" s="12"/>
      <c r="K937" s="12"/>
      <c r="L937" s="12"/>
      <c r="M937" s="8"/>
    </row>
    <row r="938" spans="1:13" ht="25" customHeight="1">
      <c r="A938" s="12"/>
      <c r="B938" s="8"/>
      <c r="C938" s="8"/>
      <c r="D938" s="8"/>
      <c r="E938" s="8"/>
      <c r="F938" s="8"/>
      <c r="G938" s="8"/>
      <c r="H938" s="8"/>
      <c r="I938" s="11"/>
      <c r="J938" s="12"/>
      <c r="K938" s="12"/>
      <c r="L938" s="12"/>
      <c r="M938" s="8"/>
    </row>
    <row r="939" spans="1:13" ht="25" customHeight="1">
      <c r="A939" s="12"/>
      <c r="B939" s="8"/>
      <c r="C939" s="8"/>
      <c r="D939" s="8"/>
      <c r="E939" s="8"/>
      <c r="F939" s="8"/>
      <c r="G939" s="8"/>
      <c r="H939" s="8"/>
      <c r="I939" s="11"/>
      <c r="J939" s="12"/>
      <c r="K939" s="12"/>
      <c r="L939" s="12"/>
      <c r="M939" s="8"/>
    </row>
    <row r="940" spans="1:13" ht="25" customHeight="1">
      <c r="A940" s="12"/>
      <c r="B940" s="8"/>
      <c r="C940" s="8"/>
      <c r="D940" s="8"/>
      <c r="E940" s="8"/>
      <c r="F940" s="8"/>
      <c r="G940" s="8"/>
      <c r="H940" s="8"/>
      <c r="I940" s="11"/>
      <c r="J940" s="12"/>
      <c r="K940" s="12"/>
      <c r="L940" s="12"/>
      <c r="M940" s="8"/>
    </row>
    <row r="941" spans="1:13" ht="25" customHeight="1">
      <c r="A941" s="12"/>
      <c r="B941" s="8"/>
      <c r="C941" s="8"/>
      <c r="D941" s="8"/>
      <c r="E941" s="8"/>
      <c r="F941" s="8"/>
      <c r="G941" s="8"/>
      <c r="H941" s="8"/>
      <c r="I941" s="11"/>
      <c r="J941" s="12"/>
      <c r="K941" s="12"/>
      <c r="L941" s="12"/>
      <c r="M941" s="8"/>
    </row>
    <row r="942" spans="1:13" ht="25" customHeight="1">
      <c r="A942" s="12"/>
      <c r="B942" s="8"/>
      <c r="C942" s="8"/>
      <c r="D942" s="8"/>
      <c r="E942" s="8"/>
      <c r="F942" s="8"/>
      <c r="G942" s="8"/>
      <c r="H942" s="8"/>
      <c r="I942" s="11"/>
      <c r="J942" s="12"/>
      <c r="K942" s="12"/>
      <c r="L942" s="12"/>
      <c r="M942" s="8"/>
    </row>
    <row r="943" spans="1:13" ht="25" customHeight="1">
      <c r="A943" s="12"/>
      <c r="B943" s="8"/>
      <c r="C943" s="8"/>
      <c r="D943" s="8"/>
      <c r="E943" s="8"/>
      <c r="F943" s="8"/>
      <c r="G943" s="8"/>
      <c r="H943" s="8"/>
      <c r="I943" s="11"/>
      <c r="J943" s="12"/>
      <c r="K943" s="12"/>
      <c r="L943" s="12"/>
      <c r="M943" s="8"/>
    </row>
    <row r="944" spans="1:13" ht="25" customHeight="1">
      <c r="A944" s="12"/>
      <c r="B944" s="8"/>
      <c r="C944" s="8"/>
      <c r="D944" s="8"/>
      <c r="E944" s="8"/>
      <c r="F944" s="8"/>
      <c r="G944" s="8"/>
      <c r="H944" s="8"/>
      <c r="I944" s="11"/>
      <c r="J944" s="12"/>
      <c r="K944" s="12"/>
      <c r="L944" s="12"/>
      <c r="M944" s="8"/>
    </row>
    <row r="945" spans="1:13" ht="25" customHeight="1">
      <c r="A945" s="12"/>
      <c r="B945" s="8"/>
      <c r="C945" s="8"/>
      <c r="D945" s="8"/>
      <c r="E945" s="8"/>
      <c r="F945" s="8"/>
      <c r="G945" s="8"/>
      <c r="H945" s="8"/>
      <c r="I945" s="11"/>
      <c r="J945" s="12"/>
      <c r="K945" s="12"/>
      <c r="L945" s="12"/>
      <c r="M945" s="8"/>
    </row>
    <row r="946" spans="1:13" ht="25" customHeight="1">
      <c r="A946" s="12"/>
      <c r="B946" s="8"/>
      <c r="C946" s="8"/>
      <c r="D946" s="8"/>
      <c r="E946" s="8"/>
      <c r="F946" s="8"/>
      <c r="G946" s="8"/>
      <c r="H946" s="8"/>
      <c r="I946" s="11"/>
      <c r="J946" s="12"/>
      <c r="K946" s="12"/>
      <c r="L946" s="12"/>
      <c r="M946" s="8"/>
    </row>
    <row r="947" spans="1:13" ht="25" customHeight="1">
      <c r="A947" s="12"/>
      <c r="B947" s="8"/>
      <c r="C947" s="8"/>
      <c r="D947" s="8"/>
      <c r="E947" s="8"/>
      <c r="F947" s="8"/>
      <c r="G947" s="8"/>
      <c r="H947" s="8"/>
      <c r="I947" s="11"/>
      <c r="J947" s="12"/>
      <c r="K947" s="12"/>
      <c r="L947" s="12"/>
      <c r="M947" s="8"/>
    </row>
    <row r="948" spans="1:13" ht="25" customHeight="1">
      <c r="A948" s="12"/>
      <c r="B948" s="8"/>
      <c r="C948" s="8"/>
      <c r="D948" s="8"/>
      <c r="E948" s="8"/>
      <c r="F948" s="8"/>
      <c r="G948" s="8"/>
      <c r="H948" s="8"/>
      <c r="I948" s="11"/>
      <c r="J948" s="12"/>
      <c r="K948" s="12"/>
      <c r="L948" s="12"/>
      <c r="M948" s="8"/>
    </row>
    <row r="949" spans="1:13" ht="25" customHeight="1">
      <c r="A949" s="12"/>
      <c r="B949" s="8"/>
      <c r="C949" s="8"/>
      <c r="D949" s="8"/>
      <c r="E949" s="8"/>
      <c r="F949" s="8"/>
      <c r="G949" s="8"/>
      <c r="H949" s="8"/>
      <c r="I949" s="11"/>
      <c r="J949" s="12"/>
      <c r="K949" s="12"/>
      <c r="L949" s="12"/>
      <c r="M949" s="8"/>
    </row>
    <row r="950" spans="1:13" ht="25" customHeight="1">
      <c r="A950" s="12"/>
      <c r="B950" s="8"/>
      <c r="C950" s="8"/>
      <c r="D950" s="8"/>
      <c r="E950" s="8"/>
      <c r="F950" s="8"/>
      <c r="G950" s="8"/>
      <c r="H950" s="8"/>
      <c r="I950" s="11"/>
      <c r="J950" s="12"/>
      <c r="K950" s="12"/>
      <c r="L950" s="12"/>
      <c r="M950" s="8"/>
    </row>
    <row r="951" spans="1:13" ht="25" customHeight="1">
      <c r="A951" s="12"/>
      <c r="B951" s="8"/>
      <c r="C951" s="8"/>
      <c r="D951" s="8"/>
      <c r="E951" s="8"/>
      <c r="F951" s="8"/>
      <c r="G951" s="8"/>
      <c r="H951" s="8"/>
      <c r="I951" s="11"/>
      <c r="J951" s="12"/>
      <c r="K951" s="12"/>
      <c r="L951" s="12"/>
      <c r="M951" s="8"/>
    </row>
    <row r="952" spans="1:13" ht="25" customHeight="1">
      <c r="A952" s="12"/>
      <c r="B952" s="8"/>
      <c r="C952" s="8"/>
      <c r="D952" s="8"/>
      <c r="E952" s="8"/>
      <c r="F952" s="8"/>
      <c r="G952" s="8"/>
      <c r="H952" s="8"/>
      <c r="I952" s="11"/>
      <c r="J952" s="12"/>
      <c r="K952" s="12"/>
      <c r="L952" s="12"/>
      <c r="M952" s="8"/>
    </row>
    <row r="953" spans="1:13" ht="25" customHeight="1">
      <c r="A953" s="12"/>
      <c r="B953" s="8"/>
      <c r="C953" s="8"/>
      <c r="D953" s="8"/>
      <c r="E953" s="8"/>
      <c r="F953" s="8"/>
      <c r="G953" s="8"/>
      <c r="H953" s="8"/>
      <c r="I953" s="11"/>
      <c r="J953" s="12"/>
      <c r="K953" s="12"/>
      <c r="L953" s="12"/>
      <c r="M953" s="8"/>
    </row>
    <row r="954" spans="1:13" ht="25" customHeight="1">
      <c r="A954" s="12"/>
      <c r="B954" s="8"/>
      <c r="C954" s="8"/>
      <c r="D954" s="8"/>
      <c r="E954" s="8"/>
      <c r="F954" s="8"/>
      <c r="G954" s="8"/>
      <c r="H954" s="8"/>
      <c r="I954" s="11"/>
      <c r="J954" s="12"/>
      <c r="K954" s="12"/>
      <c r="L954" s="12"/>
      <c r="M954" s="8"/>
    </row>
    <row r="955" spans="1:13" ht="25" customHeight="1">
      <c r="A955" s="12"/>
      <c r="B955" s="8"/>
      <c r="C955" s="8"/>
      <c r="D955" s="8"/>
      <c r="E955" s="8"/>
      <c r="F955" s="8"/>
      <c r="G955" s="8"/>
      <c r="H955" s="8"/>
      <c r="I955" s="11"/>
      <c r="J955" s="12"/>
      <c r="K955" s="12"/>
      <c r="L955" s="12"/>
      <c r="M955" s="8"/>
    </row>
    <row r="956" spans="1:13" ht="25" customHeight="1">
      <c r="A956" s="12"/>
      <c r="B956" s="8"/>
      <c r="C956" s="8"/>
      <c r="D956" s="8"/>
      <c r="E956" s="8"/>
      <c r="F956" s="8"/>
      <c r="G956" s="8"/>
      <c r="H956" s="8"/>
      <c r="I956" s="11"/>
      <c r="J956" s="12"/>
      <c r="K956" s="12"/>
      <c r="L956" s="12"/>
      <c r="M956" s="8"/>
    </row>
    <row r="957" spans="1:13" ht="25" customHeight="1">
      <c r="A957" s="12"/>
      <c r="B957" s="8"/>
      <c r="C957" s="8"/>
      <c r="D957" s="8"/>
      <c r="E957" s="8"/>
      <c r="F957" s="8"/>
      <c r="G957" s="8"/>
      <c r="H957" s="8"/>
      <c r="I957" s="11"/>
      <c r="J957" s="12"/>
      <c r="K957" s="12"/>
      <c r="L957" s="12"/>
      <c r="M957" s="8"/>
    </row>
    <row r="958" spans="1:13" ht="25" customHeight="1">
      <c r="A958" s="12"/>
      <c r="B958" s="8"/>
      <c r="C958" s="8"/>
      <c r="D958" s="8"/>
      <c r="E958" s="8"/>
      <c r="F958" s="8"/>
      <c r="G958" s="8"/>
      <c r="H958" s="8"/>
      <c r="I958" s="11"/>
      <c r="J958" s="12"/>
      <c r="K958" s="12"/>
      <c r="L958" s="12"/>
      <c r="M958" s="8"/>
    </row>
    <row r="959" spans="1:13" ht="25" customHeight="1">
      <c r="A959" s="12"/>
      <c r="B959" s="8"/>
      <c r="C959" s="8"/>
      <c r="D959" s="8"/>
      <c r="E959" s="8"/>
      <c r="F959" s="8"/>
      <c r="G959" s="8"/>
      <c r="H959" s="8"/>
      <c r="I959" s="11"/>
      <c r="J959" s="12"/>
      <c r="K959" s="12"/>
      <c r="L959" s="12"/>
      <c r="M959" s="8"/>
    </row>
    <row r="960" spans="1:13" ht="25" customHeight="1">
      <c r="A960" s="12"/>
      <c r="B960" s="8"/>
      <c r="C960" s="8"/>
      <c r="D960" s="8"/>
      <c r="E960" s="8"/>
      <c r="F960" s="8"/>
      <c r="G960" s="8"/>
      <c r="H960" s="8"/>
      <c r="I960" s="11"/>
      <c r="J960" s="12"/>
      <c r="K960" s="12"/>
      <c r="L960" s="12"/>
      <c r="M960" s="8"/>
    </row>
    <row r="961" spans="1:13" ht="25" customHeight="1">
      <c r="A961" s="12"/>
      <c r="B961" s="8"/>
      <c r="C961" s="8"/>
      <c r="D961" s="8"/>
      <c r="E961" s="8"/>
      <c r="F961" s="8"/>
      <c r="G961" s="8"/>
      <c r="H961" s="8"/>
      <c r="I961" s="11"/>
      <c r="J961" s="12"/>
      <c r="K961" s="12"/>
      <c r="L961" s="12"/>
      <c r="M961" s="8"/>
    </row>
    <row r="962" spans="1:13" ht="25" customHeight="1">
      <c r="A962" s="12"/>
      <c r="B962" s="8"/>
      <c r="C962" s="8"/>
      <c r="D962" s="8"/>
      <c r="E962" s="8"/>
      <c r="F962" s="8"/>
      <c r="G962" s="8"/>
      <c r="H962" s="8"/>
      <c r="I962" s="11"/>
      <c r="J962" s="12"/>
      <c r="K962" s="12"/>
      <c r="L962" s="12"/>
      <c r="M962" s="8"/>
    </row>
    <row r="963" spans="1:13" ht="25" customHeight="1">
      <c r="A963" s="12"/>
      <c r="B963" s="8"/>
      <c r="C963" s="8"/>
      <c r="D963" s="8"/>
      <c r="E963" s="8"/>
      <c r="F963" s="8"/>
      <c r="G963" s="8"/>
      <c r="H963" s="8"/>
      <c r="I963" s="11"/>
      <c r="J963" s="12"/>
      <c r="K963" s="12"/>
      <c r="L963" s="12"/>
      <c r="M963" s="8"/>
    </row>
    <row r="964" spans="1:13" ht="25" customHeight="1">
      <c r="A964" s="12"/>
      <c r="B964" s="8"/>
      <c r="C964" s="8"/>
      <c r="D964" s="8"/>
      <c r="E964" s="8"/>
      <c r="F964" s="8"/>
      <c r="G964" s="8"/>
      <c r="H964" s="8"/>
      <c r="I964" s="11"/>
      <c r="J964" s="12"/>
      <c r="K964" s="12"/>
      <c r="L964" s="12"/>
      <c r="M964" s="8"/>
    </row>
    <row r="965" spans="1:13" ht="25" customHeight="1">
      <c r="A965" s="12"/>
      <c r="B965" s="8"/>
      <c r="C965" s="8"/>
      <c r="D965" s="8"/>
      <c r="E965" s="8"/>
      <c r="F965" s="8"/>
      <c r="G965" s="8"/>
      <c r="H965" s="8"/>
      <c r="I965" s="11"/>
      <c r="J965" s="12"/>
      <c r="K965" s="12"/>
      <c r="L965" s="12"/>
      <c r="M965" s="8"/>
    </row>
    <row r="966" spans="1:13" ht="25" customHeight="1">
      <c r="A966" s="12"/>
      <c r="B966" s="8"/>
      <c r="C966" s="8"/>
      <c r="D966" s="8"/>
      <c r="E966" s="8"/>
      <c r="F966" s="8"/>
      <c r="G966" s="8"/>
      <c r="H966" s="8"/>
      <c r="I966" s="11"/>
      <c r="J966" s="12"/>
      <c r="K966" s="12"/>
      <c r="L966" s="12"/>
      <c r="M966" s="8"/>
    </row>
    <row r="967" spans="1:13" ht="25" customHeight="1">
      <c r="A967" s="12"/>
      <c r="B967" s="8"/>
      <c r="C967" s="8"/>
      <c r="D967" s="8"/>
      <c r="E967" s="8"/>
      <c r="F967" s="8"/>
      <c r="G967" s="8"/>
      <c r="H967" s="8"/>
      <c r="I967" s="11"/>
      <c r="J967" s="12"/>
      <c r="K967" s="12"/>
      <c r="L967" s="12"/>
      <c r="M967" s="8"/>
    </row>
    <row r="968" spans="1:13" ht="25" customHeight="1">
      <c r="A968" s="12"/>
      <c r="B968" s="8"/>
      <c r="C968" s="8"/>
      <c r="D968" s="8"/>
      <c r="E968" s="8"/>
      <c r="F968" s="8"/>
      <c r="G968" s="8"/>
      <c r="H968" s="8"/>
      <c r="I968" s="11"/>
      <c r="J968" s="12"/>
      <c r="K968" s="12"/>
      <c r="L968" s="12"/>
      <c r="M968" s="8"/>
    </row>
    <row r="969" spans="1:13" ht="25" customHeight="1">
      <c r="A969" s="12"/>
      <c r="B969" s="8"/>
      <c r="C969" s="8"/>
      <c r="D969" s="8"/>
      <c r="E969" s="8"/>
      <c r="F969" s="8"/>
      <c r="G969" s="8"/>
      <c r="H969" s="8"/>
      <c r="I969" s="11"/>
      <c r="J969" s="12"/>
      <c r="K969" s="12"/>
      <c r="L969" s="12"/>
      <c r="M969" s="8"/>
    </row>
    <row r="970" spans="1:13" ht="25" customHeight="1">
      <c r="A970" s="12"/>
      <c r="B970" s="8"/>
      <c r="C970" s="8"/>
      <c r="D970" s="8"/>
      <c r="E970" s="8"/>
      <c r="F970" s="8"/>
      <c r="G970" s="8"/>
      <c r="H970" s="8"/>
      <c r="I970" s="11"/>
      <c r="J970" s="12"/>
      <c r="K970" s="12"/>
      <c r="L970" s="12"/>
      <c r="M970" s="8"/>
    </row>
    <row r="971" spans="1:13" ht="25" customHeight="1">
      <c r="A971" s="12"/>
      <c r="B971" s="8"/>
      <c r="C971" s="8"/>
      <c r="D971" s="8"/>
      <c r="E971" s="8"/>
      <c r="F971" s="8"/>
      <c r="G971" s="8"/>
      <c r="H971" s="8"/>
      <c r="I971" s="11"/>
      <c r="J971" s="12"/>
      <c r="K971" s="12"/>
      <c r="L971" s="12"/>
      <c r="M971" s="8"/>
    </row>
    <row r="972" spans="1:13" ht="25" customHeight="1">
      <c r="A972" s="12"/>
      <c r="B972" s="8"/>
      <c r="C972" s="8"/>
      <c r="D972" s="8"/>
      <c r="E972" s="8"/>
      <c r="F972" s="8"/>
      <c r="G972" s="8"/>
      <c r="H972" s="8"/>
      <c r="I972" s="11"/>
      <c r="J972" s="12"/>
      <c r="K972" s="12"/>
      <c r="L972" s="12"/>
      <c r="M972" s="8"/>
    </row>
    <row r="973" spans="1:13" ht="25" customHeight="1">
      <c r="A973" s="12"/>
      <c r="B973" s="8"/>
      <c r="C973" s="8"/>
      <c r="D973" s="8"/>
      <c r="E973" s="8"/>
      <c r="F973" s="8"/>
      <c r="G973" s="8"/>
      <c r="H973" s="8"/>
      <c r="I973" s="11"/>
      <c r="J973" s="12"/>
      <c r="K973" s="12"/>
      <c r="L973" s="12"/>
      <c r="M973" s="8"/>
    </row>
    <row r="974" spans="1:13" ht="25" customHeight="1">
      <c r="A974" s="12"/>
      <c r="B974" s="8"/>
      <c r="C974" s="8"/>
      <c r="D974" s="8"/>
      <c r="E974" s="8"/>
      <c r="F974" s="8"/>
      <c r="G974" s="8"/>
      <c r="H974" s="8"/>
      <c r="I974" s="11"/>
      <c r="J974" s="12"/>
      <c r="K974" s="12"/>
      <c r="L974" s="12"/>
      <c r="M974" s="8"/>
    </row>
    <row r="975" spans="1:13" ht="25" customHeight="1">
      <c r="A975" s="12"/>
      <c r="B975" s="8"/>
      <c r="C975" s="8"/>
      <c r="D975" s="8"/>
      <c r="E975" s="8"/>
      <c r="F975" s="8"/>
      <c r="G975" s="8"/>
      <c r="H975" s="8"/>
      <c r="I975" s="11"/>
      <c r="J975" s="12"/>
      <c r="K975" s="12"/>
      <c r="L975" s="12"/>
      <c r="M975" s="8"/>
    </row>
    <row r="976" spans="1:13" ht="25" customHeight="1">
      <c r="A976" s="12"/>
      <c r="B976" s="8"/>
      <c r="C976" s="8"/>
      <c r="D976" s="8"/>
      <c r="E976" s="8"/>
      <c r="F976" s="8"/>
      <c r="G976" s="8"/>
      <c r="H976" s="8"/>
      <c r="I976" s="11"/>
      <c r="J976" s="12"/>
      <c r="K976" s="12"/>
      <c r="L976" s="12"/>
      <c r="M976" s="8"/>
    </row>
    <row r="977" spans="1:13" ht="25" customHeight="1">
      <c r="A977" s="12"/>
      <c r="B977" s="8"/>
      <c r="C977" s="8"/>
      <c r="D977" s="8"/>
      <c r="E977" s="8"/>
      <c r="F977" s="8"/>
      <c r="G977" s="8"/>
      <c r="H977" s="8"/>
      <c r="I977" s="11"/>
      <c r="J977" s="12"/>
      <c r="K977" s="12"/>
      <c r="L977" s="12"/>
      <c r="M977" s="8"/>
    </row>
    <row r="978" spans="1:13" ht="25" customHeight="1">
      <c r="A978" s="12"/>
      <c r="B978" s="8"/>
      <c r="C978" s="8"/>
      <c r="D978" s="8"/>
      <c r="E978" s="8"/>
      <c r="F978" s="8"/>
      <c r="G978" s="8"/>
      <c r="H978" s="8"/>
      <c r="I978" s="11"/>
      <c r="J978" s="12"/>
      <c r="K978" s="12"/>
      <c r="L978" s="12"/>
      <c r="M978" s="8"/>
    </row>
    <row r="979" spans="1:13" ht="25" customHeight="1">
      <c r="A979" s="12"/>
      <c r="B979" s="8"/>
      <c r="C979" s="8"/>
      <c r="D979" s="8"/>
      <c r="E979" s="8"/>
      <c r="F979" s="8"/>
      <c r="G979" s="8"/>
      <c r="H979" s="8"/>
      <c r="I979" s="11"/>
      <c r="J979" s="12"/>
      <c r="K979" s="12"/>
      <c r="L979" s="12"/>
      <c r="M979" s="8"/>
    </row>
    <row r="980" spans="1:13" ht="25" customHeight="1">
      <c r="A980" s="12"/>
      <c r="B980" s="8"/>
      <c r="C980" s="8"/>
      <c r="D980" s="8"/>
      <c r="E980" s="8"/>
      <c r="F980" s="8"/>
      <c r="G980" s="8"/>
      <c r="H980" s="8"/>
      <c r="I980" s="11"/>
      <c r="J980" s="12"/>
      <c r="K980" s="12"/>
      <c r="L980" s="12"/>
      <c r="M980" s="8"/>
    </row>
    <row r="981" spans="1:13" ht="25" customHeight="1">
      <c r="A981" s="12"/>
      <c r="B981" s="8"/>
      <c r="C981" s="8"/>
      <c r="D981" s="8"/>
      <c r="E981" s="8"/>
      <c r="F981" s="8"/>
      <c r="G981" s="8"/>
      <c r="H981" s="8"/>
      <c r="I981" s="11"/>
      <c r="J981" s="12"/>
      <c r="K981" s="12"/>
      <c r="L981" s="12"/>
      <c r="M981" s="8"/>
    </row>
    <row r="982" spans="1:13" ht="25" customHeight="1">
      <c r="A982" s="12"/>
      <c r="B982" s="8"/>
      <c r="C982" s="8"/>
      <c r="D982" s="8"/>
      <c r="E982" s="8"/>
      <c r="F982" s="8"/>
      <c r="G982" s="8"/>
      <c r="H982" s="8"/>
      <c r="I982" s="11"/>
      <c r="J982" s="12"/>
      <c r="K982" s="12"/>
      <c r="L982" s="12"/>
      <c r="M982" s="8"/>
    </row>
    <row r="983" spans="1:13" ht="25" customHeight="1">
      <c r="A983" s="12"/>
      <c r="B983" s="8"/>
      <c r="C983" s="8"/>
      <c r="D983" s="8"/>
      <c r="E983" s="8"/>
      <c r="F983" s="8"/>
      <c r="G983" s="8"/>
      <c r="H983" s="8"/>
      <c r="I983" s="11"/>
      <c r="J983" s="12"/>
      <c r="K983" s="12"/>
      <c r="L983" s="12"/>
      <c r="M983" s="8"/>
    </row>
    <row r="984" spans="1:13" ht="25" customHeight="1">
      <c r="A984" s="12"/>
      <c r="B984" s="8"/>
      <c r="C984" s="8"/>
      <c r="D984" s="8"/>
      <c r="E984" s="8"/>
      <c r="F984" s="8"/>
      <c r="G984" s="8"/>
      <c r="H984" s="8"/>
      <c r="I984" s="11"/>
      <c r="J984" s="12"/>
      <c r="K984" s="12"/>
      <c r="L984" s="12"/>
      <c r="M984" s="8"/>
    </row>
    <row r="985" spans="1:13" ht="25" customHeight="1">
      <c r="A985" s="12"/>
      <c r="B985" s="8"/>
      <c r="C985" s="8"/>
      <c r="D985" s="8"/>
      <c r="E985" s="8"/>
      <c r="F985" s="8"/>
      <c r="G985" s="8"/>
      <c r="H985" s="8"/>
      <c r="I985" s="11"/>
      <c r="J985" s="12"/>
      <c r="K985" s="12"/>
      <c r="L985" s="12"/>
      <c r="M985" s="8"/>
    </row>
    <row r="986" spans="1:13" ht="25" customHeight="1">
      <c r="A986" s="12"/>
      <c r="B986" s="8"/>
      <c r="C986" s="8"/>
      <c r="D986" s="8"/>
      <c r="E986" s="8"/>
      <c r="F986" s="8"/>
      <c r="G986" s="8"/>
      <c r="H986" s="8"/>
      <c r="I986" s="11"/>
      <c r="J986" s="12"/>
      <c r="K986" s="12"/>
      <c r="L986" s="12"/>
      <c r="M986" s="8"/>
    </row>
    <row r="987" spans="1:13" ht="25" customHeight="1">
      <c r="A987" s="12"/>
      <c r="B987" s="8"/>
      <c r="C987" s="8"/>
      <c r="D987" s="8"/>
      <c r="E987" s="8"/>
      <c r="F987" s="8"/>
      <c r="G987" s="8"/>
      <c r="H987" s="8"/>
      <c r="I987" s="11"/>
      <c r="J987" s="12"/>
      <c r="K987" s="12"/>
      <c r="L987" s="12"/>
      <c r="M987" s="8"/>
    </row>
    <row r="988" spans="1:13" ht="25" customHeight="1">
      <c r="A988" s="12"/>
      <c r="B988" s="8"/>
      <c r="C988" s="8"/>
      <c r="D988" s="8"/>
      <c r="E988" s="8"/>
      <c r="F988" s="8"/>
      <c r="G988" s="8"/>
      <c r="H988" s="8"/>
      <c r="I988" s="11"/>
      <c r="J988" s="12"/>
      <c r="K988" s="12"/>
      <c r="L988" s="12"/>
      <c r="M988" s="8"/>
    </row>
    <row r="989" spans="1:13" ht="25" customHeight="1">
      <c r="A989" s="12"/>
      <c r="B989" s="8"/>
      <c r="C989" s="8"/>
      <c r="D989" s="8"/>
      <c r="E989" s="8"/>
      <c r="F989" s="8"/>
      <c r="G989" s="8"/>
      <c r="H989" s="8"/>
      <c r="I989" s="11"/>
      <c r="J989" s="12"/>
      <c r="K989" s="12"/>
      <c r="L989" s="12"/>
      <c r="M989" s="8"/>
    </row>
    <row r="990" spans="1:13" ht="25" customHeight="1">
      <c r="A990" s="12"/>
      <c r="B990" s="8"/>
      <c r="C990" s="8"/>
      <c r="D990" s="8"/>
      <c r="E990" s="8"/>
      <c r="F990" s="8"/>
      <c r="G990" s="8"/>
      <c r="H990" s="8"/>
      <c r="I990" s="11"/>
      <c r="J990" s="12"/>
      <c r="K990" s="12"/>
      <c r="L990" s="12"/>
      <c r="M990" s="8"/>
    </row>
    <row r="991" spans="1:13" ht="25" customHeight="1">
      <c r="A991" s="12"/>
      <c r="B991" s="8"/>
      <c r="C991" s="8"/>
      <c r="D991" s="8"/>
      <c r="E991" s="8"/>
      <c r="F991" s="8"/>
      <c r="G991" s="8"/>
      <c r="H991" s="8"/>
      <c r="I991" s="11"/>
      <c r="J991" s="12"/>
      <c r="K991" s="12"/>
      <c r="L991" s="12"/>
      <c r="M991" s="8"/>
    </row>
    <row r="992" spans="1:13" ht="25" customHeight="1">
      <c r="A992" s="12"/>
      <c r="B992" s="8"/>
      <c r="C992" s="8"/>
      <c r="D992" s="8"/>
      <c r="E992" s="8"/>
      <c r="F992" s="8"/>
      <c r="G992" s="8"/>
      <c r="H992" s="8"/>
      <c r="I992" s="11"/>
      <c r="J992" s="12"/>
      <c r="K992" s="12"/>
      <c r="L992" s="12"/>
      <c r="M992" s="8"/>
    </row>
    <row r="993" spans="1:13" ht="25" customHeight="1">
      <c r="A993" s="12"/>
      <c r="B993" s="8"/>
      <c r="C993" s="8"/>
      <c r="D993" s="8"/>
      <c r="E993" s="8"/>
      <c r="F993" s="8"/>
      <c r="G993" s="8"/>
      <c r="H993" s="8"/>
      <c r="I993" s="11"/>
      <c r="J993" s="12"/>
      <c r="K993" s="12"/>
      <c r="L993" s="12"/>
      <c r="M993" s="8"/>
    </row>
    <row r="994" spans="1:13" ht="25" customHeight="1">
      <c r="A994" s="12"/>
      <c r="B994" s="8"/>
      <c r="C994" s="8"/>
      <c r="D994" s="8"/>
      <c r="E994" s="8"/>
      <c r="F994" s="8"/>
      <c r="G994" s="8"/>
      <c r="H994" s="8"/>
      <c r="I994" s="11"/>
      <c r="J994" s="12"/>
      <c r="K994" s="12"/>
      <c r="L994" s="12"/>
      <c r="M994" s="8"/>
    </row>
    <row r="995" spans="1:13" ht="25" customHeight="1">
      <c r="A995" s="12"/>
      <c r="B995" s="8"/>
      <c r="C995" s="8"/>
      <c r="D995" s="8"/>
      <c r="E995" s="8"/>
      <c r="F995" s="8"/>
      <c r="G995" s="8"/>
      <c r="H995" s="8"/>
      <c r="I995" s="11"/>
      <c r="J995" s="12"/>
      <c r="K995" s="12"/>
      <c r="L995" s="12"/>
      <c r="M995" s="8"/>
    </row>
    <row r="996" spans="1:13" ht="25" customHeight="1">
      <c r="A996" s="12"/>
      <c r="B996" s="8"/>
      <c r="C996" s="8"/>
      <c r="D996" s="8"/>
      <c r="E996" s="8"/>
      <c r="F996" s="8"/>
      <c r="G996" s="8"/>
      <c r="H996" s="8"/>
      <c r="I996" s="11"/>
      <c r="J996" s="12"/>
      <c r="K996" s="12"/>
      <c r="L996" s="12"/>
      <c r="M996" s="8"/>
    </row>
    <row r="997" spans="1:13" ht="25" customHeight="1">
      <c r="A997" s="12"/>
      <c r="B997" s="8"/>
      <c r="C997" s="8"/>
      <c r="D997" s="8"/>
      <c r="E997" s="8"/>
      <c r="F997" s="8"/>
      <c r="G997" s="8"/>
      <c r="H997" s="8"/>
      <c r="I997" s="11"/>
      <c r="J997" s="12"/>
      <c r="K997" s="12"/>
      <c r="L997" s="12"/>
      <c r="M997" s="8"/>
    </row>
    <row r="998" spans="1:13" ht="25" customHeight="1">
      <c r="A998" s="12"/>
      <c r="B998" s="8"/>
      <c r="C998" s="8"/>
      <c r="D998" s="8"/>
      <c r="E998" s="8"/>
      <c r="F998" s="8"/>
      <c r="G998" s="8"/>
      <c r="H998" s="8"/>
      <c r="I998" s="11"/>
      <c r="J998" s="12"/>
      <c r="K998" s="12"/>
      <c r="L998" s="12"/>
      <c r="M998" s="8"/>
    </row>
    <row r="999" spans="1:13" ht="25" customHeight="1">
      <c r="A999" s="12"/>
      <c r="B999" s="8"/>
      <c r="C999" s="8"/>
      <c r="D999" s="8"/>
      <c r="E999" s="8"/>
      <c r="F999" s="8"/>
      <c r="G999" s="8"/>
      <c r="H999" s="8"/>
      <c r="I999" s="11"/>
      <c r="J999" s="12"/>
      <c r="K999" s="12"/>
      <c r="L999" s="12"/>
      <c r="M999" s="8"/>
    </row>
    <row r="1000" spans="1:13" ht="25" customHeight="1">
      <c r="A1000" s="12"/>
      <c r="B1000" s="8"/>
      <c r="C1000" s="8"/>
      <c r="D1000" s="8"/>
      <c r="E1000" s="8"/>
      <c r="F1000" s="8"/>
      <c r="G1000" s="8"/>
      <c r="H1000" s="8"/>
      <c r="I1000" s="11"/>
      <c r="J1000" s="12"/>
      <c r="K1000" s="12"/>
      <c r="L1000" s="12"/>
      <c r="M1000" s="8"/>
    </row>
    <row r="1001" spans="1:13" ht="25" customHeight="1">
      <c r="A1001" s="12"/>
      <c r="B1001" s="8"/>
      <c r="C1001" s="8"/>
      <c r="D1001" s="8"/>
      <c r="E1001" s="8"/>
      <c r="F1001" s="8"/>
      <c r="G1001" s="8"/>
      <c r="H1001" s="8"/>
      <c r="I1001" s="11"/>
      <c r="J1001" s="12"/>
      <c r="K1001" s="12"/>
      <c r="L1001" s="12"/>
      <c r="M1001" s="8"/>
    </row>
    <row r="1002" spans="1:13" ht="25" customHeight="1">
      <c r="A1002" s="12"/>
      <c r="B1002" s="8"/>
      <c r="C1002" s="8"/>
      <c r="D1002" s="8"/>
      <c r="E1002" s="8"/>
      <c r="F1002" s="8"/>
      <c r="G1002" s="8"/>
      <c r="H1002" s="8"/>
      <c r="I1002" s="11"/>
      <c r="J1002" s="12"/>
      <c r="K1002" s="12"/>
      <c r="L1002" s="12"/>
      <c r="M1002" s="8"/>
    </row>
    <row r="1003" spans="1:13" ht="25" customHeight="1">
      <c r="A1003" s="12"/>
      <c r="B1003" s="8"/>
      <c r="C1003" s="8"/>
      <c r="D1003" s="8"/>
      <c r="E1003" s="8"/>
      <c r="F1003" s="8"/>
      <c r="G1003" s="8"/>
      <c r="H1003" s="8"/>
      <c r="I1003" s="11"/>
      <c r="J1003" s="12"/>
      <c r="K1003" s="12"/>
      <c r="L1003" s="12"/>
      <c r="M1003" s="8"/>
    </row>
    <row r="1004" spans="1:13" ht="25" customHeight="1">
      <c r="A1004" s="12"/>
      <c r="B1004" s="8"/>
      <c r="C1004" s="8"/>
      <c r="D1004" s="8"/>
      <c r="E1004" s="8"/>
      <c r="F1004" s="8"/>
      <c r="G1004" s="8"/>
      <c r="H1004" s="8"/>
      <c r="I1004" s="11"/>
      <c r="J1004" s="12"/>
      <c r="K1004" s="12"/>
      <c r="L1004" s="12"/>
      <c r="M1004" s="8"/>
    </row>
    <row r="1005" spans="1:13" ht="25" customHeight="1">
      <c r="A1005" s="12"/>
      <c r="B1005" s="8"/>
      <c r="C1005" s="8"/>
      <c r="D1005" s="8"/>
      <c r="E1005" s="8"/>
      <c r="F1005" s="8"/>
      <c r="G1005" s="8"/>
      <c r="H1005" s="8"/>
      <c r="I1005" s="11"/>
      <c r="J1005" s="12"/>
      <c r="K1005" s="12"/>
      <c r="L1005" s="12"/>
      <c r="M1005" s="8"/>
    </row>
    <row r="1006" spans="1:13" ht="25" customHeight="1">
      <c r="A1006" s="12"/>
      <c r="B1006" s="8"/>
      <c r="C1006" s="8"/>
      <c r="D1006" s="8"/>
      <c r="E1006" s="8"/>
      <c r="F1006" s="8"/>
      <c r="G1006" s="8"/>
      <c r="H1006" s="8"/>
      <c r="I1006" s="11"/>
      <c r="J1006" s="12"/>
      <c r="K1006" s="12"/>
      <c r="L1006" s="12"/>
      <c r="M1006" s="8"/>
    </row>
    <row r="1007" spans="1:13" ht="25" customHeight="1">
      <c r="A1007" s="12"/>
      <c r="B1007" s="8"/>
      <c r="C1007" s="8"/>
      <c r="D1007" s="8"/>
      <c r="E1007" s="8"/>
      <c r="F1007" s="8"/>
      <c r="G1007" s="8"/>
      <c r="H1007" s="8"/>
      <c r="I1007" s="11"/>
      <c r="J1007" s="12"/>
      <c r="K1007" s="12"/>
      <c r="L1007" s="12"/>
      <c r="M1007" s="8"/>
    </row>
    <row r="1008" spans="1:13" ht="25" customHeight="1">
      <c r="A1008" s="12"/>
      <c r="B1008" s="8"/>
      <c r="C1008" s="8"/>
      <c r="D1008" s="8"/>
      <c r="E1008" s="8"/>
      <c r="F1008" s="8"/>
      <c r="G1008" s="8"/>
      <c r="H1008" s="8"/>
      <c r="I1008" s="11"/>
      <c r="J1008" s="12"/>
      <c r="K1008" s="12"/>
      <c r="L1008" s="12"/>
      <c r="M1008" s="8"/>
    </row>
    <row r="1009" spans="1:13" ht="25" customHeight="1">
      <c r="A1009" s="12"/>
      <c r="B1009" s="8"/>
      <c r="C1009" s="8"/>
      <c r="D1009" s="8"/>
      <c r="E1009" s="8"/>
      <c r="F1009" s="8"/>
      <c r="G1009" s="8"/>
      <c r="H1009" s="8"/>
      <c r="I1009" s="11"/>
      <c r="J1009" s="12"/>
      <c r="K1009" s="12"/>
      <c r="L1009" s="12"/>
      <c r="M1009" s="8"/>
    </row>
    <row r="1010" spans="1:13" ht="25" customHeight="1">
      <c r="A1010" s="12"/>
      <c r="B1010" s="8"/>
      <c r="C1010" s="8"/>
      <c r="D1010" s="8"/>
      <c r="E1010" s="8"/>
      <c r="F1010" s="8"/>
      <c r="G1010" s="8"/>
      <c r="H1010" s="8"/>
      <c r="I1010" s="11"/>
      <c r="J1010" s="12"/>
      <c r="K1010" s="12"/>
      <c r="L1010" s="12"/>
      <c r="M1010" s="8"/>
    </row>
    <row r="1011" spans="1:13" ht="25" customHeight="1">
      <c r="A1011" s="12"/>
      <c r="B1011" s="8"/>
      <c r="C1011" s="8"/>
      <c r="D1011" s="8"/>
      <c r="E1011" s="8"/>
      <c r="F1011" s="8"/>
      <c r="G1011" s="8"/>
      <c r="H1011" s="8"/>
      <c r="I1011" s="11"/>
      <c r="J1011" s="12"/>
      <c r="K1011" s="12"/>
      <c r="L1011" s="12"/>
      <c r="M1011" s="8"/>
    </row>
    <row r="1012" spans="1:13" ht="25" customHeight="1">
      <c r="A1012" s="12"/>
      <c r="B1012" s="8"/>
      <c r="C1012" s="8"/>
      <c r="D1012" s="8"/>
      <c r="E1012" s="8"/>
      <c r="F1012" s="8"/>
      <c r="G1012" s="8"/>
      <c r="H1012" s="8"/>
      <c r="I1012" s="11"/>
      <c r="J1012" s="12"/>
      <c r="K1012" s="12"/>
      <c r="L1012" s="12"/>
      <c r="M1012" s="8"/>
    </row>
    <row r="1013" spans="1:13" ht="25" customHeight="1">
      <c r="A1013" s="12"/>
      <c r="B1013" s="8"/>
      <c r="C1013" s="8"/>
      <c r="D1013" s="8"/>
      <c r="E1013" s="8"/>
      <c r="F1013" s="8"/>
      <c r="G1013" s="8"/>
      <c r="H1013" s="8"/>
      <c r="I1013" s="11"/>
      <c r="J1013" s="12"/>
      <c r="K1013" s="12"/>
      <c r="L1013" s="12"/>
      <c r="M1013" s="8"/>
    </row>
    <row r="1014" spans="1:13" ht="25" customHeight="1">
      <c r="A1014" s="12"/>
      <c r="B1014" s="8"/>
      <c r="C1014" s="8"/>
      <c r="D1014" s="8"/>
      <c r="E1014" s="8"/>
      <c r="F1014" s="8"/>
      <c r="G1014" s="8"/>
      <c r="H1014" s="8"/>
      <c r="I1014" s="11"/>
      <c r="J1014" s="12"/>
      <c r="K1014" s="12"/>
      <c r="L1014" s="12"/>
      <c r="M1014" s="8"/>
    </row>
    <row r="1015" spans="1:13" ht="25" customHeight="1">
      <c r="A1015" s="12"/>
      <c r="B1015" s="8"/>
      <c r="C1015" s="8"/>
      <c r="D1015" s="8"/>
      <c r="E1015" s="8"/>
      <c r="F1015" s="8"/>
      <c r="G1015" s="8"/>
      <c r="H1015" s="8"/>
      <c r="I1015" s="11"/>
      <c r="J1015" s="12"/>
      <c r="K1015" s="12"/>
      <c r="L1015" s="12"/>
      <c r="M1015" s="8"/>
    </row>
    <row r="1016" spans="1:13" ht="25" customHeight="1">
      <c r="A1016" s="12"/>
      <c r="B1016" s="8"/>
      <c r="C1016" s="8"/>
      <c r="D1016" s="8"/>
      <c r="E1016" s="8"/>
      <c r="F1016" s="8"/>
      <c r="G1016" s="8"/>
      <c r="H1016" s="8"/>
      <c r="I1016" s="11"/>
      <c r="J1016" s="12"/>
      <c r="K1016" s="12"/>
      <c r="L1016" s="12"/>
      <c r="M1016" s="8"/>
    </row>
    <row r="1017" spans="1:13" ht="25" customHeight="1">
      <c r="A1017" s="12"/>
      <c r="B1017" s="8"/>
      <c r="C1017" s="8"/>
      <c r="D1017" s="8"/>
      <c r="E1017" s="8"/>
      <c r="F1017" s="8"/>
      <c r="G1017" s="8"/>
      <c r="H1017" s="8"/>
      <c r="I1017" s="11"/>
      <c r="J1017" s="12"/>
      <c r="K1017" s="12"/>
      <c r="L1017" s="12"/>
      <c r="M1017" s="8"/>
    </row>
    <row r="1018" spans="1:13" ht="25" customHeight="1">
      <c r="A1018" s="12"/>
      <c r="B1018" s="8"/>
      <c r="C1018" s="8"/>
      <c r="D1018" s="8"/>
      <c r="E1018" s="8"/>
      <c r="F1018" s="8"/>
      <c r="G1018" s="8"/>
      <c r="H1018" s="8"/>
      <c r="I1018" s="11"/>
      <c r="J1018" s="12"/>
      <c r="K1018" s="12"/>
      <c r="L1018" s="12"/>
      <c r="M1018" s="8"/>
    </row>
    <row r="1019" spans="1:13" ht="25" customHeight="1">
      <c r="A1019" s="12"/>
      <c r="B1019" s="8"/>
      <c r="C1019" s="8"/>
      <c r="D1019" s="8"/>
      <c r="E1019" s="8"/>
      <c r="F1019" s="8"/>
      <c r="G1019" s="8"/>
      <c r="H1019" s="8"/>
      <c r="I1019" s="11"/>
      <c r="J1019" s="12"/>
      <c r="K1019" s="12"/>
      <c r="L1019" s="12"/>
      <c r="M1019" s="8"/>
    </row>
    <row r="1020" spans="1:13" ht="25" customHeight="1">
      <c r="A1020" s="12"/>
      <c r="B1020" s="8"/>
      <c r="C1020" s="8"/>
      <c r="D1020" s="8"/>
      <c r="E1020" s="8"/>
      <c r="F1020" s="8"/>
      <c r="G1020" s="8"/>
      <c r="H1020" s="8"/>
      <c r="I1020" s="11"/>
      <c r="J1020" s="12"/>
      <c r="K1020" s="12"/>
      <c r="L1020" s="12"/>
      <c r="M1020" s="8"/>
    </row>
    <row r="1021" spans="1:13" ht="25" customHeight="1">
      <c r="A1021" s="12"/>
      <c r="B1021" s="8"/>
      <c r="C1021" s="8"/>
      <c r="D1021" s="8"/>
      <c r="E1021" s="8"/>
      <c r="F1021" s="8"/>
      <c r="G1021" s="8"/>
      <c r="H1021" s="8"/>
      <c r="I1021" s="11"/>
      <c r="J1021" s="12"/>
      <c r="K1021" s="12"/>
      <c r="L1021" s="12"/>
      <c r="M1021" s="8"/>
    </row>
    <row r="1022" spans="1:13" ht="25" customHeight="1">
      <c r="A1022" s="12"/>
      <c r="B1022" s="8"/>
      <c r="C1022" s="8"/>
      <c r="D1022" s="8"/>
      <c r="E1022" s="8"/>
      <c r="F1022" s="8"/>
      <c r="G1022" s="8"/>
      <c r="H1022" s="8"/>
      <c r="I1022" s="11"/>
      <c r="J1022" s="12"/>
      <c r="K1022" s="12"/>
      <c r="L1022" s="12"/>
      <c r="M1022" s="8"/>
    </row>
    <row r="1023" spans="1:13" ht="25" customHeight="1">
      <c r="A1023" s="12"/>
      <c r="B1023" s="8"/>
      <c r="C1023" s="8"/>
      <c r="D1023" s="8"/>
      <c r="E1023" s="8"/>
      <c r="F1023" s="8"/>
      <c r="G1023" s="8"/>
      <c r="H1023" s="8"/>
      <c r="I1023" s="11"/>
      <c r="J1023" s="12"/>
      <c r="K1023" s="12"/>
      <c r="L1023" s="12"/>
      <c r="M1023" s="8"/>
    </row>
    <row r="1024" spans="1:13" ht="25" customHeight="1">
      <c r="A1024" s="12"/>
      <c r="B1024" s="8"/>
      <c r="C1024" s="8"/>
      <c r="D1024" s="8"/>
      <c r="E1024" s="8"/>
      <c r="F1024" s="8"/>
      <c r="G1024" s="8"/>
      <c r="H1024" s="8"/>
      <c r="I1024" s="11"/>
      <c r="J1024" s="12"/>
      <c r="K1024" s="12"/>
      <c r="L1024" s="12"/>
      <c r="M1024" s="8"/>
    </row>
    <row r="1025" spans="1:13" ht="25" customHeight="1">
      <c r="A1025" s="12"/>
      <c r="B1025" s="8"/>
      <c r="C1025" s="8"/>
      <c r="D1025" s="8"/>
      <c r="E1025" s="8"/>
      <c r="F1025" s="8"/>
      <c r="G1025" s="8"/>
      <c r="H1025" s="8"/>
      <c r="I1025" s="11"/>
      <c r="J1025" s="12"/>
      <c r="K1025" s="12"/>
      <c r="L1025" s="12"/>
      <c r="M1025" s="8"/>
    </row>
    <row r="1026" spans="1:13" ht="25" customHeight="1">
      <c r="A1026" s="12"/>
      <c r="B1026" s="8"/>
      <c r="C1026" s="8"/>
      <c r="D1026" s="8"/>
      <c r="E1026" s="8"/>
      <c r="F1026" s="8"/>
      <c r="G1026" s="8"/>
      <c r="H1026" s="8"/>
      <c r="I1026" s="11"/>
      <c r="J1026" s="12"/>
      <c r="K1026" s="12"/>
      <c r="L1026" s="12"/>
      <c r="M1026" s="8"/>
    </row>
    <row r="1027" spans="1:13" ht="25" customHeight="1">
      <c r="A1027" s="12"/>
      <c r="B1027" s="8"/>
      <c r="C1027" s="8"/>
      <c r="D1027" s="8"/>
      <c r="E1027" s="8"/>
      <c r="F1027" s="8"/>
      <c r="G1027" s="8"/>
      <c r="H1027" s="8"/>
      <c r="I1027" s="11"/>
      <c r="J1027" s="12"/>
      <c r="K1027" s="12"/>
      <c r="L1027" s="12"/>
      <c r="M1027" s="8"/>
    </row>
    <row r="1028" spans="1:13" ht="25" customHeight="1">
      <c r="A1028" s="12"/>
      <c r="B1028" s="8"/>
      <c r="C1028" s="8"/>
      <c r="D1028" s="8"/>
      <c r="E1028" s="8"/>
      <c r="F1028" s="8"/>
      <c r="G1028" s="8"/>
      <c r="H1028" s="8"/>
      <c r="I1028" s="11"/>
      <c r="J1028" s="12"/>
      <c r="K1028" s="12"/>
      <c r="L1028" s="12"/>
      <c r="M1028" s="8"/>
    </row>
    <row r="1029" spans="1:13" ht="25" customHeight="1">
      <c r="A1029" s="12"/>
      <c r="B1029" s="8"/>
      <c r="C1029" s="8"/>
      <c r="D1029" s="8"/>
      <c r="E1029" s="8"/>
      <c r="F1029" s="8"/>
      <c r="G1029" s="8"/>
      <c r="H1029" s="8"/>
      <c r="I1029" s="11"/>
      <c r="J1029" s="12"/>
      <c r="K1029" s="12"/>
      <c r="L1029" s="12"/>
      <c r="M1029" s="8"/>
    </row>
    <row r="1030" spans="1:13" ht="25" customHeight="1">
      <c r="A1030" s="12"/>
      <c r="B1030" s="8"/>
      <c r="C1030" s="8"/>
      <c r="D1030" s="8"/>
      <c r="E1030" s="8"/>
      <c r="F1030" s="8"/>
      <c r="G1030" s="8"/>
      <c r="H1030" s="8"/>
      <c r="I1030" s="11"/>
      <c r="J1030" s="12"/>
      <c r="K1030" s="12"/>
      <c r="L1030" s="12"/>
      <c r="M1030" s="8"/>
    </row>
    <row r="1031" spans="1:13" ht="25" customHeight="1">
      <c r="A1031" s="12"/>
      <c r="B1031" s="8"/>
      <c r="C1031" s="8"/>
      <c r="D1031" s="8"/>
      <c r="E1031" s="8"/>
      <c r="F1031" s="8"/>
      <c r="G1031" s="8"/>
      <c r="H1031" s="8"/>
      <c r="I1031" s="11"/>
      <c r="J1031" s="12"/>
      <c r="K1031" s="12"/>
      <c r="L1031" s="12"/>
      <c r="M1031" s="8"/>
    </row>
    <row r="1032" spans="1:13" ht="25" customHeight="1">
      <c r="A1032" s="12"/>
      <c r="B1032" s="8"/>
      <c r="C1032" s="8"/>
      <c r="D1032" s="8"/>
      <c r="E1032" s="8"/>
      <c r="F1032" s="8"/>
      <c r="G1032" s="8"/>
      <c r="H1032" s="8"/>
      <c r="I1032" s="11"/>
      <c r="J1032" s="12"/>
      <c r="K1032" s="12"/>
      <c r="L1032" s="12"/>
      <c r="M1032" s="8"/>
    </row>
    <row r="1033" spans="1:13" ht="25" customHeight="1">
      <c r="A1033" s="12"/>
      <c r="B1033" s="8"/>
      <c r="C1033" s="8"/>
      <c r="D1033" s="8"/>
      <c r="E1033" s="8"/>
      <c r="F1033" s="8"/>
      <c r="G1033" s="8"/>
      <c r="H1033" s="8"/>
      <c r="I1033" s="11"/>
      <c r="J1033" s="12"/>
      <c r="K1033" s="12"/>
      <c r="L1033" s="12"/>
      <c r="M1033" s="8"/>
    </row>
    <row r="1034" spans="1:13" ht="25" customHeight="1">
      <c r="A1034" s="12"/>
      <c r="B1034" s="8"/>
      <c r="C1034" s="8"/>
      <c r="D1034" s="8"/>
      <c r="E1034" s="8"/>
      <c r="F1034" s="8"/>
      <c r="G1034" s="8"/>
      <c r="H1034" s="8"/>
      <c r="I1034" s="11"/>
      <c r="J1034" s="12"/>
      <c r="K1034" s="12"/>
      <c r="L1034" s="12"/>
      <c r="M1034" s="8"/>
    </row>
    <row r="1035" spans="1:13" ht="25" customHeight="1">
      <c r="A1035" s="12"/>
      <c r="B1035" s="8"/>
      <c r="C1035" s="8"/>
      <c r="D1035" s="8"/>
      <c r="E1035" s="8"/>
      <c r="F1035" s="8"/>
      <c r="G1035" s="8"/>
      <c r="H1035" s="8"/>
      <c r="I1035" s="11"/>
      <c r="J1035" s="12"/>
      <c r="K1035" s="12"/>
      <c r="L1035" s="12"/>
      <c r="M1035" s="8"/>
    </row>
    <row r="1036" spans="1:13" ht="25" customHeight="1">
      <c r="A1036" s="12"/>
      <c r="B1036" s="8"/>
      <c r="C1036" s="8"/>
      <c r="D1036" s="8"/>
      <c r="E1036" s="8"/>
      <c r="F1036" s="8"/>
      <c r="G1036" s="8"/>
      <c r="H1036" s="8"/>
      <c r="I1036" s="11"/>
      <c r="J1036" s="12"/>
      <c r="K1036" s="12"/>
      <c r="L1036" s="12"/>
      <c r="M1036" s="8"/>
    </row>
    <row r="1037" spans="1:13" ht="25" customHeight="1">
      <c r="A1037" s="12"/>
      <c r="B1037" s="8"/>
      <c r="C1037" s="8"/>
      <c r="D1037" s="8"/>
      <c r="E1037" s="8"/>
      <c r="F1037" s="8"/>
      <c r="G1037" s="8"/>
      <c r="H1037" s="8"/>
      <c r="I1037" s="11"/>
      <c r="J1037" s="12"/>
      <c r="K1037" s="12"/>
      <c r="L1037" s="12"/>
      <c r="M1037" s="8"/>
    </row>
    <row r="1038" spans="1:13" ht="25" customHeight="1">
      <c r="A1038" s="12"/>
      <c r="B1038" s="8"/>
      <c r="C1038" s="8"/>
      <c r="D1038" s="8"/>
      <c r="E1038" s="8"/>
      <c r="F1038" s="8"/>
      <c r="G1038" s="8"/>
      <c r="H1038" s="8"/>
      <c r="I1038" s="11"/>
      <c r="J1038" s="12"/>
      <c r="K1038" s="12"/>
      <c r="L1038" s="12"/>
      <c r="M1038" s="8"/>
    </row>
    <row r="1039" spans="1:13" ht="25" customHeight="1">
      <c r="A1039" s="12"/>
      <c r="B1039" s="8"/>
      <c r="C1039" s="8"/>
      <c r="D1039" s="8"/>
      <c r="E1039" s="8"/>
      <c r="F1039" s="8"/>
      <c r="G1039" s="8"/>
      <c r="H1039" s="8"/>
      <c r="I1039" s="11"/>
      <c r="J1039" s="12"/>
      <c r="K1039" s="12"/>
      <c r="L1039" s="12"/>
      <c r="M1039" s="8"/>
    </row>
    <row r="1040" spans="1:13" ht="25" customHeight="1">
      <c r="A1040" s="12"/>
      <c r="B1040" s="8"/>
      <c r="C1040" s="8"/>
      <c r="D1040" s="8"/>
      <c r="E1040" s="8"/>
      <c r="F1040" s="8"/>
      <c r="G1040" s="8"/>
      <c r="H1040" s="8"/>
      <c r="I1040" s="11"/>
      <c r="J1040" s="12"/>
      <c r="K1040" s="12"/>
      <c r="L1040" s="12"/>
      <c r="M1040" s="8"/>
    </row>
    <row r="1048" spans="1:30" ht="27" customHeight="1">
      <c r="A1048" s="5" t="s">
        <v>680</v>
      </c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</row>
    <row r="1049" spans="1:30" ht="36" customHeight="1">
      <c r="A1049" s="9" t="s">
        <v>683</v>
      </c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</row>
    <row r="1050" spans="1:30" ht="25" customHeight="1">
      <c r="A1050" s="6" t="s">
        <v>684</v>
      </c>
    </row>
    <row r="1051" spans="1:30" ht="25" customHeight="1">
      <c r="A1051" s="12">
        <v>1</v>
      </c>
      <c r="B1051" s="8" t="s">
        <v>685</v>
      </c>
    </row>
    <row r="1052" spans="1:30" ht="25" customHeight="1">
      <c r="A1052" s="12">
        <v>2</v>
      </c>
      <c r="B1052" s="8" t="s">
        <v>686</v>
      </c>
      <c r="C1052" s="8" t="s">
        <v>687</v>
      </c>
      <c r="D1052" s="8" t="s">
        <v>688</v>
      </c>
      <c r="E1052" s="8" t="s">
        <v>689</v>
      </c>
      <c r="F1052" s="8" t="s">
        <v>690</v>
      </c>
      <c r="G1052" s="8" t="s">
        <v>691</v>
      </c>
      <c r="H1052" s="8" t="s">
        <v>692</v>
      </c>
      <c r="I1052" s="8" t="s">
        <v>693</v>
      </c>
      <c r="J1052" s="8" t="s">
        <v>694</v>
      </c>
      <c r="K1052" s="8" t="s">
        <v>690</v>
      </c>
      <c r="L1052" s="8" t="s">
        <v>691</v>
      </c>
      <c r="M1052" s="8" t="s">
        <v>693</v>
      </c>
      <c r="N1052" s="8" t="s">
        <v>695</v>
      </c>
      <c r="O1052" s="8" t="s">
        <v>690</v>
      </c>
      <c r="P1052" s="8" t="s">
        <v>691</v>
      </c>
      <c r="Q1052" s="8" t="s">
        <v>692</v>
      </c>
      <c r="R1052" s="8" t="s">
        <v>693</v>
      </c>
      <c r="S1052" s="8" t="s">
        <v>696</v>
      </c>
      <c r="T1052" s="8" t="s">
        <v>690</v>
      </c>
      <c r="U1052" s="8" t="s">
        <v>691</v>
      </c>
      <c r="V1052" s="8" t="s">
        <v>693</v>
      </c>
      <c r="W1052" s="8" t="s">
        <v>697</v>
      </c>
      <c r="X1052" s="8" t="s">
        <v>698</v>
      </c>
    </row>
    <row r="1053" spans="1:30" ht="25" customHeight="1">
      <c r="A1053" s="12">
        <v>3</v>
      </c>
      <c r="B1053" s="8" t="s">
        <v>115</v>
      </c>
      <c r="C1053" s="8">
        <v>0</v>
      </c>
      <c r="D1053" s="8" t="s">
        <v>115</v>
      </c>
      <c r="E1053" s="8" t="s">
        <v>699</v>
      </c>
      <c r="F1053" s="8">
        <v>1</v>
      </c>
      <c r="G1053" s="11">
        <v>5.962962962962963</v>
      </c>
      <c r="H1053" s="11">
        <v>0.001522834227697107</v>
      </c>
      <c r="I1053" s="8" t="s">
        <v>700</v>
      </c>
      <c r="J1053" s="8" t="s">
        <v>701</v>
      </c>
      <c r="K1053" s="8">
        <v>1</v>
      </c>
      <c r="L1053" s="11">
        <v>18.22222222222222</v>
      </c>
      <c r="M1053" s="8" t="s">
        <v>700</v>
      </c>
      <c r="N1053" s="8" t="s">
        <v>702</v>
      </c>
      <c r="O1053" s="11">
        <v>0.5</v>
      </c>
      <c r="P1053" s="11">
        <v>11.42857142857143</v>
      </c>
      <c r="Q1053" s="11">
        <v>0.001500977678067151</v>
      </c>
      <c r="R1053" s="8" t="s">
        <v>700</v>
      </c>
      <c r="S1053" s="8" t="s">
        <v>703</v>
      </c>
      <c r="T1053" s="8">
        <v>1</v>
      </c>
      <c r="U1053" s="8">
        <v>161</v>
      </c>
      <c r="V1053" s="8" t="s">
        <v>704</v>
      </c>
      <c r="W1053" s="8" t="s">
        <v>705</v>
      </c>
      <c r="X1053" s="8" t="s">
        <v>700</v>
      </c>
      <c r="Y1053" s="8">
        <v>16</v>
      </c>
      <c r="Z1053" s="8">
        <v>1</v>
      </c>
      <c r="AA1053" s="8">
        <v>20</v>
      </c>
      <c r="AB1053" s="8">
        <v>1</v>
      </c>
      <c r="AC1053" s="8">
        <v>24</v>
      </c>
      <c r="AD1053" s="8">
        <v>1</v>
      </c>
    </row>
    <row r="1054" spans="1:30" ht="25" customHeight="1">
      <c r="A1054" s="12">
        <v>4</v>
      </c>
      <c r="B1054" s="8" t="s">
        <v>26</v>
      </c>
      <c r="C1054" s="8">
        <v>1</v>
      </c>
      <c r="D1054" s="8" t="s">
        <v>706</v>
      </c>
      <c r="E1054" s="8" t="s">
        <v>707</v>
      </c>
      <c r="F1054" s="8">
        <v>1</v>
      </c>
      <c r="G1054" s="11">
        <v>5.962962962962963</v>
      </c>
      <c r="H1054" s="11">
        <v>0.02543561912228358</v>
      </c>
      <c r="I1054" s="8" t="s">
        <v>700</v>
      </c>
      <c r="J1054" s="8" t="s">
        <v>708</v>
      </c>
      <c r="K1054" s="8">
        <v>1</v>
      </c>
      <c r="L1054" s="11">
        <v>16.4</v>
      </c>
      <c r="M1054" s="8" t="s">
        <v>700</v>
      </c>
      <c r="N1054" s="8" t="s">
        <v>709</v>
      </c>
      <c r="O1054" s="8">
        <v>1</v>
      </c>
      <c r="P1054" s="11">
        <v>5.925925925925926</v>
      </c>
      <c r="Q1054" s="11">
        <v>0.02598665456409913</v>
      </c>
      <c r="R1054" s="8" t="s">
        <v>700</v>
      </c>
      <c r="S1054" s="8" t="s">
        <v>710</v>
      </c>
      <c r="T1054" s="8">
        <v>1</v>
      </c>
      <c r="U1054" s="11">
        <v>80.5</v>
      </c>
      <c r="V1054" s="8" t="s">
        <v>704</v>
      </c>
      <c r="W1054" s="8" t="s">
        <v>705</v>
      </c>
      <c r="X1054" s="8" t="s">
        <v>700</v>
      </c>
      <c r="Y1054" s="8">
        <v>31</v>
      </c>
      <c r="Z1054" s="8">
        <v>17</v>
      </c>
      <c r="AA1054" s="8">
        <v>35</v>
      </c>
      <c r="AB1054" s="8">
        <v>43</v>
      </c>
      <c r="AC1054" s="8">
        <v>42</v>
      </c>
      <c r="AD1054" s="8">
        <v>1</v>
      </c>
    </row>
    <row r="1055" spans="1:30" ht="25" customHeight="1">
      <c r="A1055" s="12">
        <v>5</v>
      </c>
      <c r="B1055" s="8" t="s">
        <v>36</v>
      </c>
      <c r="C1055" s="8">
        <v>1</v>
      </c>
      <c r="D1055" s="8" t="s">
        <v>711</v>
      </c>
      <c r="E1055" s="8" t="s">
        <v>712</v>
      </c>
      <c r="F1055" s="8">
        <v>1</v>
      </c>
      <c r="G1055" s="11">
        <v>40.25</v>
      </c>
      <c r="H1055" s="11">
        <v>3.288478427024823E-10</v>
      </c>
      <c r="I1055" s="8" t="s">
        <v>700</v>
      </c>
      <c r="J1055" s="8" t="s">
        <v>713</v>
      </c>
      <c r="K1055" s="8">
        <v>1</v>
      </c>
      <c r="L1055" s="11">
        <v>16.4</v>
      </c>
      <c r="M1055" s="8" t="s">
        <v>700</v>
      </c>
      <c r="N1055" s="8" t="s">
        <v>714</v>
      </c>
      <c r="O1055" s="8">
        <v>1</v>
      </c>
      <c r="P1055" s="8">
        <v>40</v>
      </c>
      <c r="Q1055" s="11">
        <v>3.737702567002527E-10</v>
      </c>
      <c r="R1055" s="8" t="s">
        <v>700</v>
      </c>
      <c r="S1055" s="8" t="s">
        <v>715</v>
      </c>
      <c r="T1055" s="8">
        <v>1</v>
      </c>
      <c r="U1055" s="11">
        <v>80.5</v>
      </c>
      <c r="V1055" s="8" t="s">
        <v>704</v>
      </c>
      <c r="W1055" s="8" t="s">
        <v>705</v>
      </c>
      <c r="X1055" s="8" t="s">
        <v>700</v>
      </c>
      <c r="Y1055" s="8">
        <v>38</v>
      </c>
      <c r="Z1055" s="8">
        <v>22</v>
      </c>
      <c r="AA1055" s="8">
        <v>44</v>
      </c>
      <c r="AB1055" s="8">
        <v>54</v>
      </c>
      <c r="AC1055" s="8">
        <v>41</v>
      </c>
      <c r="AD1055" s="8">
        <v>1</v>
      </c>
    </row>
    <row r="1056" spans="1:30" ht="25" customHeight="1">
      <c r="A1056" s="12">
        <v>6</v>
      </c>
      <c r="B1056" s="8" t="s">
        <v>39</v>
      </c>
      <c r="C1056" s="8">
        <v>1</v>
      </c>
      <c r="D1056" s="8" t="s">
        <v>716</v>
      </c>
      <c r="E1056" s="8" t="s">
        <v>717</v>
      </c>
      <c r="F1056" s="8">
        <v>1</v>
      </c>
      <c r="G1056" s="8">
        <v>23</v>
      </c>
      <c r="H1056" s="11">
        <v>2.538031489740095E-06</v>
      </c>
      <c r="I1056" s="8" t="s">
        <v>700</v>
      </c>
      <c r="J1056" s="8" t="s">
        <v>713</v>
      </c>
      <c r="K1056" s="11">
        <v>0.6666666666666666</v>
      </c>
      <c r="L1056" s="11">
        <v>10.93333333333333</v>
      </c>
      <c r="M1056" s="8" t="s">
        <v>700</v>
      </c>
      <c r="N1056" s="8" t="s">
        <v>718</v>
      </c>
      <c r="O1056" s="8">
        <v>1</v>
      </c>
      <c r="P1056" s="8">
        <v>32</v>
      </c>
      <c r="Q1056" s="11">
        <v>2.333701583830451E-08</v>
      </c>
      <c r="R1056" s="8" t="s">
        <v>700</v>
      </c>
      <c r="S1056" s="8" t="s">
        <v>719</v>
      </c>
      <c r="T1056" s="8">
        <v>1</v>
      </c>
      <c r="U1056" s="11">
        <v>80.5</v>
      </c>
      <c r="V1056" s="8" t="s">
        <v>704</v>
      </c>
      <c r="W1056" s="8" t="s">
        <v>705</v>
      </c>
      <c r="X1056" s="8" t="s">
        <v>700</v>
      </c>
      <c r="Y1056" s="8">
        <v>36</v>
      </c>
      <c r="Z1056" s="8">
        <v>21</v>
      </c>
      <c r="AA1056" s="8">
        <v>38</v>
      </c>
      <c r="AB1056" s="8">
        <v>52</v>
      </c>
      <c r="AC1056" s="8">
        <v>46</v>
      </c>
      <c r="AD1056" s="8">
        <v>1</v>
      </c>
    </row>
    <row r="1057" spans="1:30" ht="25" customHeight="1">
      <c r="A1057" s="12">
        <v>7</v>
      </c>
      <c r="B1057" s="8" t="s">
        <v>31</v>
      </c>
      <c r="C1057" s="8">
        <v>1</v>
      </c>
      <c r="D1057" s="8" t="s">
        <v>720</v>
      </c>
      <c r="E1057" s="8" t="s">
        <v>721</v>
      </c>
      <c r="F1057" s="8">
        <v>1</v>
      </c>
      <c r="G1057" s="11">
        <v>3.744186046511628</v>
      </c>
      <c r="H1057" s="11">
        <v>0.09656748950022616</v>
      </c>
      <c r="I1057" s="8" t="s">
        <v>700</v>
      </c>
      <c r="J1057" s="8" t="s">
        <v>722</v>
      </c>
      <c r="K1057" s="8">
        <v>1</v>
      </c>
      <c r="L1057" s="11">
        <v>2.277777777777778</v>
      </c>
      <c r="M1057" s="8" t="s">
        <v>700</v>
      </c>
      <c r="N1057" s="8" t="s">
        <v>723</v>
      </c>
      <c r="O1057" s="8">
        <v>1</v>
      </c>
      <c r="P1057" s="11">
        <v>3.809523809523809</v>
      </c>
      <c r="Q1057" s="11">
        <v>0.09268017709703066</v>
      </c>
      <c r="R1057" s="8" t="s">
        <v>700</v>
      </c>
      <c r="S1057" s="8" t="s">
        <v>724</v>
      </c>
      <c r="T1057" s="8">
        <v>1</v>
      </c>
      <c r="U1057" s="11">
        <v>6.708333333333333</v>
      </c>
      <c r="V1057" s="8" t="s">
        <v>704</v>
      </c>
      <c r="W1057" s="8" t="s">
        <v>705</v>
      </c>
      <c r="X1057" s="8" t="s">
        <v>700</v>
      </c>
      <c r="Y1057" s="8">
        <v>35</v>
      </c>
      <c r="Z1057" s="8">
        <v>19</v>
      </c>
      <c r="AA1057" s="8">
        <v>41</v>
      </c>
      <c r="AB1057" s="8">
        <v>51</v>
      </c>
      <c r="AC1057" s="8">
        <v>51</v>
      </c>
      <c r="AD1057" s="8">
        <v>1</v>
      </c>
    </row>
    <row r="1058" spans="1:30" ht="25" customHeight="1">
      <c r="A1058" s="12">
        <v>8</v>
      </c>
      <c r="B1058" s="8" t="s">
        <v>70</v>
      </c>
      <c r="C1058" s="8">
        <v>2</v>
      </c>
      <c r="D1058" s="8" t="s">
        <v>706</v>
      </c>
      <c r="E1058" s="8" t="s">
        <v>725</v>
      </c>
      <c r="F1058" s="8">
        <v>1</v>
      </c>
      <c r="G1058" s="11">
        <v>3.744186046511628</v>
      </c>
      <c r="H1058" s="11">
        <v>0.09656748950022616</v>
      </c>
      <c r="I1058" s="8" t="s">
        <v>700</v>
      </c>
      <c r="J1058" s="8" t="s">
        <v>726</v>
      </c>
      <c r="K1058" s="11">
        <v>0.6666666666666666</v>
      </c>
      <c r="L1058" s="11">
        <v>1.708333333333333</v>
      </c>
      <c r="M1058" s="8" t="s">
        <v>700</v>
      </c>
      <c r="N1058" s="8" t="s">
        <v>727</v>
      </c>
      <c r="O1058" s="8">
        <v>1</v>
      </c>
      <c r="P1058" s="8">
        <v>20</v>
      </c>
      <c r="Q1058" s="11">
        <v>1.227841633945058E-05</v>
      </c>
      <c r="R1058" s="8" t="s">
        <v>700</v>
      </c>
      <c r="S1058" s="8" t="s">
        <v>728</v>
      </c>
      <c r="T1058" s="8">
        <v>1</v>
      </c>
      <c r="U1058" s="8">
        <v>80</v>
      </c>
      <c r="V1058" s="8" t="s">
        <v>704</v>
      </c>
      <c r="W1058" s="8" t="s">
        <v>705</v>
      </c>
      <c r="X1058" s="8" t="s">
        <v>700</v>
      </c>
      <c r="Y1058" s="8">
        <v>60</v>
      </c>
      <c r="Z1058" s="8">
        <v>30</v>
      </c>
      <c r="AA1058" s="8">
        <v>50</v>
      </c>
      <c r="AB1058" s="8">
        <v>83</v>
      </c>
      <c r="AC1058" s="8">
        <v>61</v>
      </c>
      <c r="AD1058" s="8">
        <v>2</v>
      </c>
    </row>
    <row r="1059" spans="1:30" ht="25" customHeight="1">
      <c r="A1059" s="12">
        <v>9</v>
      </c>
      <c r="B1059" s="8" t="s">
        <v>82</v>
      </c>
      <c r="C1059" s="8">
        <v>2</v>
      </c>
      <c r="D1059" s="8" t="s">
        <v>711</v>
      </c>
      <c r="E1059" s="8" t="s">
        <v>729</v>
      </c>
      <c r="F1059" s="8">
        <v>1</v>
      </c>
      <c r="G1059" s="11">
        <v>5.962962962962963</v>
      </c>
      <c r="H1059" s="11">
        <v>0.02543561912228358</v>
      </c>
      <c r="I1059" s="8" t="s">
        <v>700</v>
      </c>
      <c r="J1059" s="8" t="s">
        <v>730</v>
      </c>
      <c r="K1059" s="8">
        <v>1</v>
      </c>
      <c r="L1059" s="11">
        <v>18.22222222222222</v>
      </c>
      <c r="M1059" s="8" t="s">
        <v>700</v>
      </c>
      <c r="N1059" s="8" t="s">
        <v>731</v>
      </c>
      <c r="O1059" s="8">
        <v>1</v>
      </c>
      <c r="P1059" s="11">
        <v>5.333333333333333</v>
      </c>
      <c r="Q1059" s="11">
        <v>0.03677962974044771</v>
      </c>
      <c r="R1059" s="8" t="s">
        <v>700</v>
      </c>
      <c r="S1059" s="8" t="s">
        <v>732</v>
      </c>
      <c r="T1059" s="8">
        <v>1</v>
      </c>
      <c r="U1059" s="8">
        <v>160</v>
      </c>
      <c r="V1059" s="8" t="s">
        <v>704</v>
      </c>
      <c r="W1059" s="8" t="s">
        <v>705</v>
      </c>
      <c r="X1059" s="8" t="s">
        <v>700</v>
      </c>
      <c r="Y1059" s="8">
        <v>52</v>
      </c>
      <c r="Z1059" s="8">
        <v>45</v>
      </c>
      <c r="AA1059" s="8">
        <v>57</v>
      </c>
      <c r="AB1059" s="8">
        <v>73</v>
      </c>
      <c r="AC1059" s="8">
        <v>68</v>
      </c>
      <c r="AD1059" s="8">
        <v>2</v>
      </c>
    </row>
    <row r="1060" spans="1:30" ht="25" customHeight="1">
      <c r="A1060" s="12">
        <v>10</v>
      </c>
      <c r="B1060" s="8" t="s">
        <v>85</v>
      </c>
      <c r="C1060" s="8">
        <v>2</v>
      </c>
      <c r="D1060" s="8" t="s">
        <v>716</v>
      </c>
      <c r="E1060" s="8" t="s">
        <v>733</v>
      </c>
      <c r="F1060" s="8">
        <v>1</v>
      </c>
      <c r="G1060" s="11">
        <v>3.744186046511628</v>
      </c>
      <c r="H1060" s="11">
        <v>0.09656748950022616</v>
      </c>
      <c r="I1060" s="8" t="s">
        <v>700</v>
      </c>
      <c r="J1060" s="8" t="s">
        <v>734</v>
      </c>
      <c r="K1060" s="8">
        <v>1</v>
      </c>
      <c r="L1060" s="11">
        <v>23.42857142857143</v>
      </c>
      <c r="M1060" s="8" t="s">
        <v>700</v>
      </c>
      <c r="N1060" s="8" t="s">
        <v>735</v>
      </c>
      <c r="O1060" s="8">
        <v>1</v>
      </c>
      <c r="P1060" s="8">
        <v>32</v>
      </c>
      <c r="Q1060" s="11">
        <v>2.333701583830451E-08</v>
      </c>
      <c r="R1060" s="8" t="s">
        <v>700</v>
      </c>
      <c r="S1060" s="8" t="s">
        <v>736</v>
      </c>
      <c r="T1060" s="8">
        <v>1</v>
      </c>
      <c r="U1060" s="8">
        <v>160</v>
      </c>
      <c r="V1060" s="8" t="s">
        <v>704</v>
      </c>
      <c r="W1060" s="8" t="s">
        <v>705</v>
      </c>
      <c r="X1060" s="8" t="s">
        <v>700</v>
      </c>
      <c r="Y1060" s="8">
        <v>71</v>
      </c>
      <c r="Z1060" s="8">
        <v>46</v>
      </c>
      <c r="AA1060" s="8">
        <v>46</v>
      </c>
      <c r="AB1060" s="8">
        <v>98</v>
      </c>
      <c r="AC1060" s="8">
        <v>57</v>
      </c>
      <c r="AD1060" s="8">
        <v>2</v>
      </c>
    </row>
    <row r="1061" spans="1:30" ht="25" customHeight="1">
      <c r="A1061" s="12">
        <v>11</v>
      </c>
      <c r="B1061" s="8" t="s">
        <v>76</v>
      </c>
      <c r="C1061" s="8">
        <v>2</v>
      </c>
      <c r="D1061" s="8" t="s">
        <v>720</v>
      </c>
      <c r="E1061" s="8" t="s">
        <v>725</v>
      </c>
      <c r="F1061" s="8">
        <v>1</v>
      </c>
      <c r="G1061" s="11">
        <v>3.744186046511628</v>
      </c>
      <c r="H1061" s="11">
        <v>0.09656748950022616</v>
      </c>
      <c r="I1061" s="8" t="s">
        <v>700</v>
      </c>
      <c r="J1061" s="8" t="s">
        <v>713</v>
      </c>
      <c r="K1061" s="11">
        <v>0.5</v>
      </c>
      <c r="L1061" s="11">
        <v>8.200000000000001</v>
      </c>
      <c r="M1061" s="8" t="s">
        <v>700</v>
      </c>
      <c r="N1061" s="8" t="s">
        <v>714</v>
      </c>
      <c r="O1061" s="8">
        <v>1</v>
      </c>
      <c r="P1061" s="8">
        <v>40</v>
      </c>
      <c r="Q1061" s="11">
        <v>3.737702567002527E-10</v>
      </c>
      <c r="R1061" s="8" t="s">
        <v>700</v>
      </c>
      <c r="S1061" s="8" t="s">
        <v>737</v>
      </c>
      <c r="T1061" s="8">
        <v>1</v>
      </c>
      <c r="U1061" s="8">
        <v>80</v>
      </c>
      <c r="V1061" s="8" t="s">
        <v>704</v>
      </c>
      <c r="W1061" s="8" t="s">
        <v>705</v>
      </c>
      <c r="X1061" s="8" t="s">
        <v>700</v>
      </c>
      <c r="Y1061" s="8">
        <v>70</v>
      </c>
      <c r="Z1061" s="8">
        <v>44</v>
      </c>
      <c r="AA1061" s="8">
        <v>81</v>
      </c>
      <c r="AB1061" s="8">
        <v>97</v>
      </c>
      <c r="AC1061" s="8">
        <v>102</v>
      </c>
      <c r="AD1061" s="8">
        <v>2</v>
      </c>
    </row>
    <row r="1062" spans="1:30" ht="25" customHeight="1">
      <c r="A1062" s="12">
        <v>12</v>
      </c>
      <c r="B1062" s="8" t="s">
        <v>92</v>
      </c>
      <c r="C1062" s="8">
        <v>3</v>
      </c>
      <c r="D1062" s="8" t="s">
        <v>706</v>
      </c>
      <c r="E1062" s="8" t="s">
        <v>738</v>
      </c>
      <c r="F1062" s="8">
        <v>1</v>
      </c>
      <c r="G1062" s="8">
        <v>23</v>
      </c>
      <c r="H1062" s="11">
        <v>2.538031489740095E-06</v>
      </c>
      <c r="I1062" s="8" t="s">
        <v>700</v>
      </c>
      <c r="J1062" s="8" t="s">
        <v>739</v>
      </c>
      <c r="K1062" s="8">
        <v>1</v>
      </c>
      <c r="L1062" s="8">
        <v>82</v>
      </c>
      <c r="M1062" s="8" t="s">
        <v>700</v>
      </c>
      <c r="N1062" s="8" t="s">
        <v>740</v>
      </c>
      <c r="O1062" s="8">
        <v>1</v>
      </c>
      <c r="P1062" s="11">
        <v>22.85714285714286</v>
      </c>
      <c r="Q1062" s="11">
        <v>2.734173458838461E-06</v>
      </c>
      <c r="R1062" s="8" t="s">
        <v>700</v>
      </c>
      <c r="S1062" s="8" t="s">
        <v>741</v>
      </c>
      <c r="T1062" s="8">
        <v>1</v>
      </c>
      <c r="U1062" s="8">
        <v>161</v>
      </c>
      <c r="V1062" s="8" t="s">
        <v>704</v>
      </c>
      <c r="W1062" s="8" t="s">
        <v>705</v>
      </c>
      <c r="X1062" s="8" t="s">
        <v>700</v>
      </c>
      <c r="Y1062" s="8">
        <v>97</v>
      </c>
      <c r="Z1062" s="8">
        <v>65</v>
      </c>
      <c r="AA1062" s="8">
        <v>109</v>
      </c>
      <c r="AB1062" s="8">
        <v>123</v>
      </c>
      <c r="AC1062" s="8">
        <v>139</v>
      </c>
      <c r="AD1062" s="8">
        <v>1</v>
      </c>
    </row>
    <row r="1063" spans="1:30" ht="25" customHeight="1">
      <c r="A1063" s="12">
        <v>13</v>
      </c>
      <c r="B1063" s="8" t="s">
        <v>103</v>
      </c>
      <c r="C1063" s="8">
        <v>3</v>
      </c>
      <c r="D1063" s="8" t="s">
        <v>711</v>
      </c>
      <c r="E1063" s="8" t="s">
        <v>742</v>
      </c>
      <c r="F1063" s="11">
        <v>0.5454545454545454</v>
      </c>
      <c r="G1063" s="11">
        <v>2.927272727272727</v>
      </c>
      <c r="H1063" s="11">
        <v>0.001529276580946609</v>
      </c>
      <c r="I1063" s="8" t="s">
        <v>700</v>
      </c>
      <c r="J1063" s="8" t="s">
        <v>726</v>
      </c>
      <c r="K1063" s="11">
        <v>0.8181818181818182</v>
      </c>
      <c r="L1063" s="11">
        <v>2.096590909090909</v>
      </c>
      <c r="M1063" s="8" t="s">
        <v>700</v>
      </c>
      <c r="N1063" s="8" t="s">
        <v>702</v>
      </c>
      <c r="O1063" s="8">
        <v>1</v>
      </c>
      <c r="P1063" s="11">
        <v>22.85714285714286</v>
      </c>
      <c r="Q1063" s="11">
        <v>2.734173458838461E-06</v>
      </c>
      <c r="R1063" s="8" t="s">
        <v>700</v>
      </c>
      <c r="S1063" s="8" t="s">
        <v>743</v>
      </c>
      <c r="T1063" s="8">
        <v>1</v>
      </c>
      <c r="U1063" s="8">
        <v>161</v>
      </c>
      <c r="V1063" s="8" t="s">
        <v>704</v>
      </c>
      <c r="W1063" s="8" t="s">
        <v>705</v>
      </c>
      <c r="X1063" s="8" t="s">
        <v>700</v>
      </c>
      <c r="Y1063" s="8">
        <v>82</v>
      </c>
      <c r="Z1063" s="8">
        <v>54</v>
      </c>
      <c r="AA1063" s="8">
        <v>89</v>
      </c>
      <c r="AB1063" s="8">
        <v>109</v>
      </c>
      <c r="AC1063" s="8">
        <v>110</v>
      </c>
      <c r="AD1063" s="8">
        <v>1</v>
      </c>
    </row>
    <row r="1064" spans="1:30" ht="25" customHeight="1">
      <c r="A1064" s="12">
        <v>14</v>
      </c>
      <c r="B1064" s="8" t="s">
        <v>107</v>
      </c>
      <c r="C1064" s="8">
        <v>3</v>
      </c>
      <c r="D1064" s="8" t="s">
        <v>716</v>
      </c>
      <c r="E1064" s="8" t="s">
        <v>742</v>
      </c>
      <c r="F1064" s="11">
        <v>0.6153846153846154</v>
      </c>
      <c r="G1064" s="11">
        <v>3.302564102564103</v>
      </c>
      <c r="H1064" s="11">
        <v>3.417160240034174E-05</v>
      </c>
      <c r="I1064" s="8" t="s">
        <v>700</v>
      </c>
      <c r="J1064" s="8" t="s">
        <v>726</v>
      </c>
      <c r="K1064" s="11">
        <v>0.6153846153846154</v>
      </c>
      <c r="L1064" s="11">
        <v>1.576923076923077</v>
      </c>
      <c r="M1064" s="8" t="s">
        <v>744</v>
      </c>
      <c r="N1064" s="8" t="s">
        <v>745</v>
      </c>
      <c r="O1064" s="8">
        <v>1</v>
      </c>
      <c r="P1064" s="11">
        <v>5.333333333333333</v>
      </c>
      <c r="Q1064" s="11">
        <v>2.482660633880464E-05</v>
      </c>
      <c r="R1064" s="8" t="s">
        <v>700</v>
      </c>
      <c r="S1064" s="8" t="s">
        <v>746</v>
      </c>
      <c r="T1064" s="8">
        <v>1</v>
      </c>
      <c r="U1064" s="8">
        <v>80</v>
      </c>
      <c r="V1064" s="8" t="s">
        <v>704</v>
      </c>
      <c r="W1064" s="8" t="s">
        <v>747</v>
      </c>
      <c r="X1064" s="8" t="s">
        <v>748</v>
      </c>
      <c r="Y1064" s="8">
        <v>77</v>
      </c>
      <c r="Z1064" s="8">
        <v>48</v>
      </c>
      <c r="AA1064" s="8">
        <v>86</v>
      </c>
      <c r="AB1064" s="8">
        <v>135</v>
      </c>
      <c r="AC1064" s="8">
        <v>120</v>
      </c>
      <c r="AD1064" s="8">
        <v>2</v>
      </c>
    </row>
    <row r="1065" spans="1:30" ht="25" customHeight="1">
      <c r="A1065" s="12">
        <v>15</v>
      </c>
      <c r="B1065" s="8" t="s">
        <v>96</v>
      </c>
      <c r="C1065" s="8">
        <v>3</v>
      </c>
      <c r="D1065" s="8" t="s">
        <v>720</v>
      </c>
      <c r="E1065" s="8" t="s">
        <v>749</v>
      </c>
      <c r="F1065" s="8">
        <v>1</v>
      </c>
      <c r="G1065" s="11">
        <v>17.88888888888889</v>
      </c>
      <c r="H1065" s="11">
        <v>3.748935237268164E-05</v>
      </c>
      <c r="I1065" s="8" t="s">
        <v>700</v>
      </c>
      <c r="J1065" s="8" t="s">
        <v>750</v>
      </c>
      <c r="K1065" s="8">
        <v>1</v>
      </c>
      <c r="L1065" s="11">
        <v>2.5625</v>
      </c>
      <c r="M1065" s="8" t="s">
        <v>700</v>
      </c>
      <c r="N1065" s="8" t="s">
        <v>751</v>
      </c>
      <c r="O1065" s="8">
        <v>1</v>
      </c>
      <c r="P1065" s="11">
        <v>5.925925925925926</v>
      </c>
      <c r="Q1065" s="11">
        <v>0.001585457117046235</v>
      </c>
      <c r="R1065" s="8" t="s">
        <v>700</v>
      </c>
      <c r="S1065" s="8" t="s">
        <v>752</v>
      </c>
      <c r="T1065" s="8">
        <v>1</v>
      </c>
      <c r="U1065" s="11">
        <v>6.708333333333333</v>
      </c>
      <c r="V1065" s="8" t="s">
        <v>704</v>
      </c>
      <c r="W1065" s="8" t="s">
        <v>705</v>
      </c>
      <c r="X1065" s="8" t="s">
        <v>700</v>
      </c>
      <c r="Y1065" s="8">
        <v>79</v>
      </c>
      <c r="Z1065" s="8">
        <v>61</v>
      </c>
      <c r="AA1065" s="8">
        <v>105</v>
      </c>
      <c r="AB1065" s="8">
        <v>129</v>
      </c>
      <c r="AC1065" s="8">
        <v>135</v>
      </c>
      <c r="AD1065" s="8">
        <v>1</v>
      </c>
    </row>
    <row r="1066" spans="1:30" ht="25" customHeight="1">
      <c r="A1066" s="12">
        <v>16</v>
      </c>
      <c r="B1066" s="8" t="s">
        <v>111</v>
      </c>
      <c r="C1066" s="8">
        <v>4</v>
      </c>
      <c r="D1066" s="8" t="s">
        <v>706</v>
      </c>
      <c r="E1066" s="8" t="s">
        <v>753</v>
      </c>
      <c r="F1066" s="8">
        <v>1</v>
      </c>
      <c r="G1066" s="8">
        <v>161</v>
      </c>
      <c r="H1066" s="11">
        <v>6.841707543855235E-37</v>
      </c>
      <c r="I1066" s="8" t="s">
        <v>700</v>
      </c>
      <c r="J1066" s="8" t="s">
        <v>754</v>
      </c>
      <c r="K1066" s="8">
        <v>1</v>
      </c>
      <c r="L1066" s="8">
        <v>82</v>
      </c>
      <c r="M1066" s="8" t="s">
        <v>700</v>
      </c>
      <c r="N1066" s="8" t="s">
        <v>755</v>
      </c>
      <c r="O1066" s="8">
        <v>1</v>
      </c>
      <c r="P1066" s="8">
        <v>160</v>
      </c>
      <c r="Q1066" s="11">
        <v>1.131483790243283E-36</v>
      </c>
      <c r="R1066" s="8" t="s">
        <v>700</v>
      </c>
      <c r="S1066" s="8" t="s">
        <v>756</v>
      </c>
      <c r="T1066" s="8">
        <v>1</v>
      </c>
      <c r="U1066" s="8">
        <v>161</v>
      </c>
      <c r="V1066" s="8" t="s">
        <v>704</v>
      </c>
      <c r="W1066" s="8" t="s">
        <v>705</v>
      </c>
      <c r="X1066" s="8" t="s">
        <v>700</v>
      </c>
      <c r="Y1066" s="8">
        <v>98</v>
      </c>
      <c r="Z1066" s="8">
        <v>66</v>
      </c>
      <c r="AA1066" s="8">
        <v>110</v>
      </c>
      <c r="AB1066" s="8">
        <v>140</v>
      </c>
      <c r="AC1066" s="8">
        <v>140</v>
      </c>
      <c r="AD1066" s="8">
        <v>1</v>
      </c>
    </row>
    <row r="1067" spans="1:30" ht="25" customHeight="1">
      <c r="A1067" s="12">
        <v>17</v>
      </c>
      <c r="B1067" s="8" t="s">
        <v>113</v>
      </c>
      <c r="C1067" s="8">
        <v>4</v>
      </c>
      <c r="D1067" s="8" t="s">
        <v>711</v>
      </c>
      <c r="W1067" s="8" t="s">
        <v>757</v>
      </c>
      <c r="X1067" s="8" t="s">
        <v>758</v>
      </c>
    </row>
    <row r="1068" spans="1:30" ht="25" customHeight="1">
      <c r="A1068" s="12">
        <v>18</v>
      </c>
      <c r="B1068" s="8" t="s">
        <v>759</v>
      </c>
      <c r="C1068" s="8">
        <v>4</v>
      </c>
      <c r="D1068" s="8" t="s">
        <v>716</v>
      </c>
      <c r="W1068" s="8" t="s">
        <v>757</v>
      </c>
      <c r="X1068" s="8" t="s">
        <v>758</v>
      </c>
    </row>
    <row r="1069" spans="1:30" ht="25" customHeight="1">
      <c r="A1069" s="12">
        <v>19</v>
      </c>
      <c r="B1069" s="8" t="s">
        <v>760</v>
      </c>
      <c r="C1069" s="8">
        <v>4</v>
      </c>
      <c r="D1069" s="8" t="s">
        <v>720</v>
      </c>
      <c r="W1069" s="8" t="s">
        <v>757</v>
      </c>
      <c r="X1069" s="8" t="s">
        <v>758</v>
      </c>
    </row>
    <row r="1070" spans="1:30" ht="25" customHeight="1">
      <c r="A1070" s="12">
        <v>21</v>
      </c>
      <c r="B1070" s="8" t="s">
        <v>761</v>
      </c>
    </row>
    <row r="1071" spans="1:30" ht="25" customHeight="1">
      <c r="A1071" s="12">
        <v>22</v>
      </c>
      <c r="B1071" s="8" t="s">
        <v>686</v>
      </c>
      <c r="C1071" s="8" t="s">
        <v>698</v>
      </c>
      <c r="D1071" s="8" t="s">
        <v>762</v>
      </c>
      <c r="E1071" s="8" t="s">
        <v>763</v>
      </c>
      <c r="F1071" s="8" t="s">
        <v>764</v>
      </c>
      <c r="G1071" s="8" t="s">
        <v>765</v>
      </c>
    </row>
    <row r="1072" spans="1:30" ht="25" customHeight="1">
      <c r="A1072" s="12">
        <v>23</v>
      </c>
      <c r="B1072" s="8" t="s">
        <v>115</v>
      </c>
      <c r="C1072" s="8" t="s">
        <v>700</v>
      </c>
      <c r="D1072" s="8" t="s">
        <v>699</v>
      </c>
      <c r="E1072" s="8" t="s">
        <v>702</v>
      </c>
      <c r="F1072" s="8" t="s">
        <v>703</v>
      </c>
      <c r="G1072" s="8" t="s">
        <v>705</v>
      </c>
    </row>
    <row r="1073" spans="1:7" ht="25" customHeight="1">
      <c r="A1073" s="12">
        <v>24</v>
      </c>
      <c r="B1073" s="8" t="s">
        <v>26</v>
      </c>
      <c r="C1073" s="8" t="s">
        <v>700</v>
      </c>
      <c r="D1073" s="8" t="s">
        <v>707</v>
      </c>
      <c r="E1073" s="8" t="s">
        <v>709</v>
      </c>
      <c r="F1073" s="8" t="s">
        <v>710</v>
      </c>
      <c r="G1073" s="8" t="s">
        <v>705</v>
      </c>
    </row>
    <row r="1074" spans="1:7" ht="25" customHeight="1">
      <c r="A1074" s="12">
        <v>25</v>
      </c>
      <c r="B1074" s="8" t="s">
        <v>36</v>
      </c>
      <c r="C1074" s="8" t="s">
        <v>700</v>
      </c>
      <c r="D1074" s="8" t="s">
        <v>712</v>
      </c>
      <c r="E1074" s="8" t="s">
        <v>714</v>
      </c>
      <c r="F1074" s="8" t="s">
        <v>715</v>
      </c>
      <c r="G1074" s="8" t="s">
        <v>705</v>
      </c>
    </row>
    <row r="1075" spans="1:7" ht="25" customHeight="1">
      <c r="A1075" s="12">
        <v>26</v>
      </c>
      <c r="B1075" s="8" t="s">
        <v>39</v>
      </c>
      <c r="C1075" s="8" t="s">
        <v>700</v>
      </c>
      <c r="D1075" s="8" t="s">
        <v>717</v>
      </c>
      <c r="E1075" s="8" t="s">
        <v>718</v>
      </c>
      <c r="F1075" s="8" t="s">
        <v>719</v>
      </c>
      <c r="G1075" s="8" t="s">
        <v>705</v>
      </c>
    </row>
    <row r="1076" spans="1:7" ht="25" customHeight="1">
      <c r="A1076" s="12">
        <v>27</v>
      </c>
      <c r="B1076" s="8" t="s">
        <v>31</v>
      </c>
      <c r="C1076" s="8" t="s">
        <v>700</v>
      </c>
      <c r="D1076" s="8" t="s">
        <v>721</v>
      </c>
      <c r="E1076" s="8" t="s">
        <v>723</v>
      </c>
      <c r="F1076" s="8" t="s">
        <v>724</v>
      </c>
      <c r="G1076" s="8" t="s">
        <v>705</v>
      </c>
    </row>
    <row r="1077" spans="1:7" ht="25" customHeight="1">
      <c r="A1077" s="12">
        <v>28</v>
      </c>
      <c r="B1077" s="8" t="s">
        <v>70</v>
      </c>
      <c r="C1077" s="8" t="s">
        <v>700</v>
      </c>
      <c r="D1077" s="8" t="s">
        <v>725</v>
      </c>
      <c r="E1077" s="8" t="s">
        <v>727</v>
      </c>
      <c r="F1077" s="8" t="s">
        <v>728</v>
      </c>
      <c r="G1077" s="8" t="s">
        <v>705</v>
      </c>
    </row>
    <row r="1078" spans="1:7" ht="25" customHeight="1">
      <c r="A1078" s="12">
        <v>29</v>
      </c>
      <c r="B1078" s="8" t="s">
        <v>82</v>
      </c>
      <c r="C1078" s="8" t="s">
        <v>700</v>
      </c>
      <c r="D1078" s="8" t="s">
        <v>729</v>
      </c>
      <c r="E1078" s="8" t="s">
        <v>731</v>
      </c>
      <c r="F1078" s="8" t="s">
        <v>732</v>
      </c>
      <c r="G1078" s="8" t="s">
        <v>705</v>
      </c>
    </row>
    <row r="1079" spans="1:7" ht="25" customHeight="1">
      <c r="A1079" s="12">
        <v>30</v>
      </c>
      <c r="B1079" s="8" t="s">
        <v>85</v>
      </c>
      <c r="C1079" s="8" t="s">
        <v>700</v>
      </c>
      <c r="D1079" s="8" t="s">
        <v>733</v>
      </c>
      <c r="E1079" s="8" t="s">
        <v>735</v>
      </c>
      <c r="F1079" s="8" t="s">
        <v>736</v>
      </c>
      <c r="G1079" s="8" t="s">
        <v>705</v>
      </c>
    </row>
    <row r="1080" spans="1:7" ht="25" customHeight="1">
      <c r="A1080" s="12">
        <v>31</v>
      </c>
      <c r="B1080" s="8" t="s">
        <v>76</v>
      </c>
      <c r="C1080" s="8" t="s">
        <v>700</v>
      </c>
      <c r="D1080" s="8" t="s">
        <v>725</v>
      </c>
      <c r="E1080" s="8" t="s">
        <v>714</v>
      </c>
      <c r="F1080" s="8" t="s">
        <v>737</v>
      </c>
      <c r="G1080" s="8" t="s">
        <v>705</v>
      </c>
    </row>
    <row r="1081" spans="1:7" ht="25" customHeight="1">
      <c r="A1081" s="12">
        <v>32</v>
      </c>
      <c r="B1081" s="8" t="s">
        <v>92</v>
      </c>
      <c r="C1081" s="8" t="s">
        <v>700</v>
      </c>
      <c r="D1081" s="8" t="s">
        <v>738</v>
      </c>
      <c r="E1081" s="8" t="s">
        <v>740</v>
      </c>
      <c r="F1081" s="8" t="s">
        <v>741</v>
      </c>
      <c r="G1081" s="8" t="s">
        <v>705</v>
      </c>
    </row>
    <row r="1082" spans="1:7" ht="25" customHeight="1">
      <c r="A1082" s="12">
        <v>33</v>
      </c>
      <c r="B1082" s="8" t="s">
        <v>103</v>
      </c>
      <c r="C1082" s="8" t="s">
        <v>700</v>
      </c>
      <c r="D1082" s="8" t="s">
        <v>742</v>
      </c>
      <c r="E1082" s="8" t="s">
        <v>702</v>
      </c>
      <c r="F1082" s="8" t="s">
        <v>743</v>
      </c>
      <c r="G1082" s="8" t="s">
        <v>705</v>
      </c>
    </row>
    <row r="1083" spans="1:7" ht="25" customHeight="1">
      <c r="A1083" s="12">
        <v>34</v>
      </c>
      <c r="B1083" s="8" t="s">
        <v>107</v>
      </c>
      <c r="C1083" s="8" t="s">
        <v>748</v>
      </c>
      <c r="D1083" s="8" t="s">
        <v>742</v>
      </c>
      <c r="E1083" s="8" t="s">
        <v>745</v>
      </c>
      <c r="F1083" s="8" t="s">
        <v>746</v>
      </c>
      <c r="G1083" s="8" t="s">
        <v>747</v>
      </c>
    </row>
    <row r="1084" spans="1:7" ht="25" customHeight="1">
      <c r="A1084" s="12">
        <v>35</v>
      </c>
      <c r="B1084" s="8" t="s">
        <v>96</v>
      </c>
      <c r="C1084" s="8" t="s">
        <v>700</v>
      </c>
      <c r="D1084" s="8" t="s">
        <v>749</v>
      </c>
      <c r="E1084" s="8" t="s">
        <v>751</v>
      </c>
      <c r="F1084" s="8" t="s">
        <v>752</v>
      </c>
      <c r="G1084" s="8" t="s">
        <v>705</v>
      </c>
    </row>
    <row r="1085" spans="1:7" ht="25" customHeight="1">
      <c r="A1085" s="12">
        <v>36</v>
      </c>
      <c r="B1085" s="8" t="s">
        <v>111</v>
      </c>
      <c r="C1085" s="8" t="s">
        <v>700</v>
      </c>
      <c r="D1085" s="8" t="s">
        <v>753</v>
      </c>
      <c r="E1085" s="8" t="s">
        <v>755</v>
      </c>
      <c r="F1085" s="8" t="s">
        <v>756</v>
      </c>
      <c r="G1085" s="8" t="s">
        <v>705</v>
      </c>
    </row>
    <row r="1086" spans="1:7" ht="25" customHeight="1">
      <c r="A1086" s="12">
        <v>37</v>
      </c>
      <c r="B1086" s="8" t="s">
        <v>113</v>
      </c>
      <c r="C1086" s="8" t="s">
        <v>758</v>
      </c>
      <c r="G1086" s="8" t="s">
        <v>757</v>
      </c>
    </row>
    <row r="1087" spans="1:7" ht="25" customHeight="1">
      <c r="A1087" s="12">
        <v>38</v>
      </c>
      <c r="B1087" s="8" t="s">
        <v>759</v>
      </c>
      <c r="C1087" s="8" t="s">
        <v>758</v>
      </c>
      <c r="G1087" s="8" t="s">
        <v>757</v>
      </c>
    </row>
    <row r="1088" spans="1:7" ht="25" customHeight="1">
      <c r="A1088" s="12">
        <v>39</v>
      </c>
      <c r="B1088" s="8" t="s">
        <v>760</v>
      </c>
      <c r="C1088" s="8" t="s">
        <v>758</v>
      </c>
      <c r="G1088" s="8" t="s">
        <v>757</v>
      </c>
    </row>
    <row r="1094" spans="1:18" ht="27" customHeight="1">
      <c r="A1094" s="5" t="s">
        <v>766</v>
      </c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</row>
    <row r="1095" spans="1:18" ht="36" customHeight="1">
      <c r="A1095" s="9" t="s">
        <v>683</v>
      </c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</row>
    <row r="1096" spans="1:18" ht="25" customHeight="1">
      <c r="A1096" s="6" t="s">
        <v>684</v>
      </c>
    </row>
    <row r="1097" spans="1:18" ht="25" customHeight="1">
      <c r="A1097" s="12">
        <v>1</v>
      </c>
      <c r="B1097" s="8" t="s">
        <v>767</v>
      </c>
    </row>
    <row r="1098" spans="1:18" ht="25" customHeight="1">
      <c r="A1098" s="12">
        <v>2</v>
      </c>
      <c r="B1098" s="8" t="s">
        <v>768</v>
      </c>
    </row>
    <row r="1099" spans="1:18" ht="25" customHeight="1">
      <c r="A1099" s="12">
        <v>3</v>
      </c>
      <c r="B1099" s="8" t="s">
        <v>769</v>
      </c>
      <c r="E1099" s="8" t="s">
        <v>770</v>
      </c>
      <c r="H1099" s="8" t="s">
        <v>771</v>
      </c>
      <c r="K1099" s="8" t="s">
        <v>772</v>
      </c>
      <c r="N1099" s="8" t="s">
        <v>773</v>
      </c>
    </row>
    <row r="1100" spans="1:18" ht="25" customHeight="1">
      <c r="A1100" s="12">
        <v>4</v>
      </c>
      <c r="B1100" s="8" t="s">
        <v>774</v>
      </c>
      <c r="E1100" s="8" t="s">
        <v>775</v>
      </c>
      <c r="H1100" s="8" t="s">
        <v>776</v>
      </c>
      <c r="K1100" s="8" t="s">
        <v>777</v>
      </c>
      <c r="N1100" s="8" t="s">
        <v>778</v>
      </c>
    </row>
    <row r="1101" spans="1:18" ht="25" customHeight="1">
      <c r="A1101" s="12">
        <v>6</v>
      </c>
      <c r="B1101" s="8" t="s">
        <v>779</v>
      </c>
    </row>
    <row r="1102" spans="1:18" ht="25" customHeight="1">
      <c r="A1102" s="12">
        <v>7</v>
      </c>
      <c r="B1102" s="8" t="s">
        <v>687</v>
      </c>
      <c r="C1102" s="8" t="s">
        <v>688</v>
      </c>
      <c r="D1102" s="8" t="s">
        <v>780</v>
      </c>
      <c r="E1102" s="8" t="s">
        <v>781</v>
      </c>
      <c r="F1102" s="8" t="s">
        <v>782</v>
      </c>
      <c r="G1102" s="8" t="s">
        <v>783</v>
      </c>
      <c r="H1102" s="8" t="s">
        <v>784</v>
      </c>
      <c r="I1102" s="8" t="s">
        <v>785</v>
      </c>
      <c r="J1102" s="8" t="s">
        <v>690</v>
      </c>
      <c r="K1102" s="8" t="s">
        <v>786</v>
      </c>
      <c r="L1102" s="8" t="s">
        <v>787</v>
      </c>
      <c r="M1102" s="8" t="s">
        <v>788</v>
      </c>
      <c r="N1102" s="8" t="s">
        <v>789</v>
      </c>
      <c r="O1102" s="8" t="s">
        <v>790</v>
      </c>
    </row>
    <row r="1103" spans="1:18" ht="25" customHeight="1">
      <c r="A1103" s="12">
        <v>8</v>
      </c>
      <c r="B1103" s="8">
        <v>0</v>
      </c>
      <c r="C1103" s="8" t="s">
        <v>115</v>
      </c>
      <c r="D1103" s="8" t="s">
        <v>120</v>
      </c>
      <c r="E1103" s="8" t="s">
        <v>449</v>
      </c>
      <c r="F1103" s="8">
        <v>2</v>
      </c>
      <c r="G1103" s="11">
        <v>0.5</v>
      </c>
      <c r="H1103" s="8">
        <v>0</v>
      </c>
      <c r="I1103" s="11">
        <v>4.5</v>
      </c>
      <c r="J1103" s="11">
        <v>0.08333333333333333</v>
      </c>
      <c r="K1103" s="8" t="s">
        <v>791</v>
      </c>
      <c r="L1103" s="8" t="s">
        <v>792</v>
      </c>
      <c r="M1103" s="8" t="s">
        <v>793</v>
      </c>
      <c r="N1103" s="8" t="s">
        <v>791</v>
      </c>
      <c r="O1103" s="8" t="s">
        <v>794</v>
      </c>
      <c r="R1103" s="8">
        <v>3</v>
      </c>
    </row>
    <row r="1104" spans="1:18" ht="25" customHeight="1">
      <c r="A1104" s="12">
        <v>9</v>
      </c>
      <c r="B1104" s="8">
        <v>0</v>
      </c>
      <c r="C1104" s="8" t="s">
        <v>115</v>
      </c>
      <c r="D1104" s="8" t="s">
        <v>120</v>
      </c>
      <c r="E1104" s="8" t="s">
        <v>465</v>
      </c>
      <c r="F1104" s="8">
        <v>4</v>
      </c>
      <c r="G1104" s="11">
        <v>0.5</v>
      </c>
      <c r="H1104" s="8">
        <v>0</v>
      </c>
      <c r="I1104" s="11">
        <v>3.75</v>
      </c>
      <c r="J1104" s="11">
        <v>0.1666666666666667</v>
      </c>
      <c r="K1104" s="8" t="s">
        <v>795</v>
      </c>
      <c r="L1104" s="8" t="s">
        <v>796</v>
      </c>
      <c r="M1104" s="8" t="s">
        <v>797</v>
      </c>
      <c r="N1104" s="8" t="s">
        <v>791</v>
      </c>
      <c r="O1104" s="8" t="s">
        <v>798</v>
      </c>
      <c r="R1104" s="8">
        <v>4</v>
      </c>
    </row>
    <row r="1105" spans="1:18" ht="25" customHeight="1">
      <c r="A1105" s="12">
        <v>10</v>
      </c>
      <c r="B1105" s="8">
        <v>0</v>
      </c>
      <c r="C1105" s="8" t="s">
        <v>115</v>
      </c>
      <c r="D1105" s="8" t="s">
        <v>120</v>
      </c>
      <c r="E1105" s="8" t="s">
        <v>468</v>
      </c>
      <c r="F1105" s="8">
        <v>2</v>
      </c>
      <c r="G1105" s="11">
        <v>0.5</v>
      </c>
      <c r="H1105" s="11">
        <v>0.5</v>
      </c>
      <c r="I1105" s="11">
        <v>7.5</v>
      </c>
      <c r="J1105" s="11">
        <v>0.08333333333333333</v>
      </c>
      <c r="K1105" s="8" t="s">
        <v>791</v>
      </c>
      <c r="L1105" s="8" t="s">
        <v>792</v>
      </c>
      <c r="M1105" s="8" t="s">
        <v>793</v>
      </c>
      <c r="N1105" s="8" t="s">
        <v>799</v>
      </c>
      <c r="O1105" s="8" t="s">
        <v>794</v>
      </c>
      <c r="R1105" s="8">
        <v>6</v>
      </c>
    </row>
    <row r="1106" spans="1:18" ht="25" customHeight="1">
      <c r="A1106" s="12">
        <v>11</v>
      </c>
      <c r="B1106" s="8">
        <v>0</v>
      </c>
      <c r="C1106" s="8" t="s">
        <v>115</v>
      </c>
      <c r="D1106" s="8" t="s">
        <v>120</v>
      </c>
      <c r="E1106" s="8" t="s">
        <v>428</v>
      </c>
      <c r="F1106" s="8">
        <v>4</v>
      </c>
      <c r="G1106" s="11">
        <v>0.25</v>
      </c>
      <c r="H1106" s="8">
        <v>0</v>
      </c>
      <c r="I1106" s="8">
        <v>2</v>
      </c>
      <c r="J1106" s="11">
        <v>0.1666666666666667</v>
      </c>
      <c r="K1106" s="8" t="s">
        <v>795</v>
      </c>
      <c r="L1106" s="8" t="s">
        <v>796</v>
      </c>
      <c r="M1106" s="8" t="s">
        <v>797</v>
      </c>
      <c r="N1106" s="8" t="s">
        <v>791</v>
      </c>
      <c r="O1106" s="8" t="s">
        <v>798</v>
      </c>
      <c r="R1106" s="8">
        <v>10</v>
      </c>
    </row>
    <row r="1107" spans="1:18" ht="25" customHeight="1">
      <c r="A1107" s="12">
        <v>12</v>
      </c>
      <c r="B1107" s="8">
        <v>0</v>
      </c>
      <c r="C1107" s="8" t="s">
        <v>115</v>
      </c>
      <c r="D1107" s="8" t="s">
        <v>120</v>
      </c>
      <c r="E1107" s="8" t="s">
        <v>574</v>
      </c>
      <c r="F1107" s="8">
        <v>2</v>
      </c>
      <c r="G1107" s="11">
        <v>0.5</v>
      </c>
      <c r="H1107" s="8">
        <v>0</v>
      </c>
      <c r="I1107" s="8">
        <v>4</v>
      </c>
      <c r="J1107" s="11">
        <v>0.08333333333333333</v>
      </c>
      <c r="K1107" s="8" t="s">
        <v>791</v>
      </c>
      <c r="L1107" s="8" t="s">
        <v>792</v>
      </c>
      <c r="M1107" s="8" t="s">
        <v>793</v>
      </c>
      <c r="N1107" s="8" t="s">
        <v>791</v>
      </c>
      <c r="O1107" s="8" t="s">
        <v>794</v>
      </c>
      <c r="R1107" s="8">
        <v>11</v>
      </c>
    </row>
    <row r="1108" spans="1:18" ht="25" customHeight="1">
      <c r="A1108" s="12">
        <v>13</v>
      </c>
      <c r="B1108" s="8">
        <v>0</v>
      </c>
      <c r="C1108" s="8" t="s">
        <v>115</v>
      </c>
      <c r="D1108" s="8" t="s">
        <v>120</v>
      </c>
      <c r="E1108" s="8" t="s">
        <v>452</v>
      </c>
      <c r="F1108" s="8">
        <v>2</v>
      </c>
      <c r="G1108" s="8">
        <v>1</v>
      </c>
      <c r="H1108" s="11">
        <v>0.5</v>
      </c>
      <c r="I1108" s="11">
        <v>9.5</v>
      </c>
      <c r="J1108" s="11">
        <v>0.08333333333333333</v>
      </c>
      <c r="K1108" s="8" t="s">
        <v>791</v>
      </c>
      <c r="L1108" s="8" t="s">
        <v>792</v>
      </c>
      <c r="M1108" s="8" t="s">
        <v>793</v>
      </c>
      <c r="N1108" s="8" t="s">
        <v>799</v>
      </c>
      <c r="O1108" s="8" t="s">
        <v>794</v>
      </c>
      <c r="R1108" s="8">
        <v>12</v>
      </c>
    </row>
    <row r="1109" spans="1:18" ht="25" customHeight="1">
      <c r="A1109" s="12">
        <v>14</v>
      </c>
      <c r="B1109" s="8">
        <v>0</v>
      </c>
      <c r="C1109" s="8" t="s">
        <v>115</v>
      </c>
      <c r="D1109" s="8" t="s">
        <v>123</v>
      </c>
      <c r="E1109" s="8" t="s">
        <v>428</v>
      </c>
      <c r="F1109" s="8">
        <v>2</v>
      </c>
      <c r="G1109" s="8">
        <v>1</v>
      </c>
      <c r="H1109" s="11">
        <v>0.5</v>
      </c>
      <c r="I1109" s="11">
        <v>9.5</v>
      </c>
      <c r="J1109" s="11">
        <v>0.6666666666666666</v>
      </c>
      <c r="K1109" s="8" t="s">
        <v>791</v>
      </c>
      <c r="L1109" s="8" t="s">
        <v>796</v>
      </c>
      <c r="M1109" s="8" t="s">
        <v>797</v>
      </c>
      <c r="N1109" s="8" t="s">
        <v>799</v>
      </c>
      <c r="O1109" s="8" t="s">
        <v>798</v>
      </c>
      <c r="R1109" s="8">
        <v>13</v>
      </c>
    </row>
    <row r="1110" spans="1:18" ht="25" customHeight="1">
      <c r="A1110" s="12">
        <v>15</v>
      </c>
      <c r="B1110" s="8">
        <v>0</v>
      </c>
      <c r="C1110" s="8" t="s">
        <v>115</v>
      </c>
      <c r="D1110" s="8" t="s">
        <v>120</v>
      </c>
      <c r="E1110" s="8" t="s">
        <v>800</v>
      </c>
      <c r="F1110" s="8">
        <v>3</v>
      </c>
      <c r="G1110" s="8">
        <v>0</v>
      </c>
      <c r="H1110" s="8">
        <v>0</v>
      </c>
      <c r="I1110" s="11">
        <v>1.666666666666667</v>
      </c>
      <c r="J1110" s="11">
        <v>0.125</v>
      </c>
      <c r="K1110" s="8" t="s">
        <v>801</v>
      </c>
      <c r="L1110" s="8" t="s">
        <v>792</v>
      </c>
      <c r="M1110" s="8" t="s">
        <v>793</v>
      </c>
      <c r="N1110" s="8" t="s">
        <v>791</v>
      </c>
      <c r="O1110" s="8" t="s">
        <v>794</v>
      </c>
      <c r="R1110" s="8">
        <v>14</v>
      </c>
    </row>
    <row r="1111" spans="1:18" ht="25" customHeight="1">
      <c r="A1111" s="12">
        <v>16</v>
      </c>
      <c r="B1111" s="8">
        <v>0</v>
      </c>
      <c r="C1111" s="8" t="s">
        <v>115</v>
      </c>
      <c r="D1111" s="8" t="s">
        <v>802</v>
      </c>
      <c r="E1111" s="8" t="s">
        <v>465</v>
      </c>
      <c r="F1111" s="8">
        <v>2</v>
      </c>
      <c r="G1111" s="8">
        <v>0</v>
      </c>
      <c r="H1111" s="8">
        <v>0</v>
      </c>
      <c r="I1111" s="11">
        <v>-2.5</v>
      </c>
      <c r="J1111" s="8">
        <v>1</v>
      </c>
      <c r="K1111" s="8" t="s">
        <v>791</v>
      </c>
      <c r="L1111" s="8" t="s">
        <v>796</v>
      </c>
      <c r="M1111" s="8" t="s">
        <v>797</v>
      </c>
      <c r="N1111" s="8" t="s">
        <v>791</v>
      </c>
      <c r="O1111" s="8" t="s">
        <v>798</v>
      </c>
      <c r="R1111" s="8">
        <v>16</v>
      </c>
    </row>
    <row r="1112" spans="1:18" ht="25" customHeight="1">
      <c r="A1112" s="12">
        <v>17</v>
      </c>
      <c r="B1112" s="8">
        <v>0</v>
      </c>
      <c r="C1112" s="8" t="s">
        <v>115</v>
      </c>
      <c r="D1112" s="8" t="s">
        <v>803</v>
      </c>
      <c r="E1112" s="8" t="s">
        <v>428</v>
      </c>
      <c r="F1112" s="8">
        <v>4</v>
      </c>
      <c r="G1112" s="11">
        <v>0.25</v>
      </c>
      <c r="H1112" s="8">
        <v>0</v>
      </c>
      <c r="I1112" s="8">
        <v>2</v>
      </c>
      <c r="J1112" s="11">
        <v>0.8</v>
      </c>
      <c r="K1112" s="8" t="s">
        <v>795</v>
      </c>
      <c r="L1112" s="8" t="s">
        <v>804</v>
      </c>
      <c r="M1112" s="8" t="s">
        <v>805</v>
      </c>
      <c r="N1112" s="8" t="s">
        <v>795</v>
      </c>
      <c r="O1112" s="8" t="s">
        <v>806</v>
      </c>
      <c r="R1112" s="8">
        <v>17</v>
      </c>
    </row>
    <row r="1113" spans="1:18" ht="25" customHeight="1">
      <c r="A1113" s="12">
        <v>18</v>
      </c>
      <c r="B1113" s="8">
        <v>1</v>
      </c>
      <c r="C1113" s="8" t="s">
        <v>716</v>
      </c>
      <c r="D1113" s="8" t="s">
        <v>120</v>
      </c>
      <c r="E1113" s="8" t="s">
        <v>474</v>
      </c>
      <c r="F1113" s="8">
        <v>2</v>
      </c>
      <c r="G1113" s="11">
        <v>0.5</v>
      </c>
      <c r="H1113" s="8">
        <v>0</v>
      </c>
      <c r="I1113" s="8">
        <v>4</v>
      </c>
      <c r="J1113" s="11">
        <v>0.09523809523809523</v>
      </c>
      <c r="K1113" s="8" t="s">
        <v>791</v>
      </c>
      <c r="L1113" s="8" t="s">
        <v>792</v>
      </c>
      <c r="M1113" s="8" t="s">
        <v>793</v>
      </c>
      <c r="N1113" s="8" t="s">
        <v>791</v>
      </c>
      <c r="O1113" s="8" t="s">
        <v>794</v>
      </c>
      <c r="R1113" s="8">
        <v>21</v>
      </c>
    </row>
    <row r="1114" spans="1:18" ht="25" customHeight="1">
      <c r="A1114" s="12">
        <v>19</v>
      </c>
      <c r="B1114" s="8">
        <v>1</v>
      </c>
      <c r="C1114" s="8" t="s">
        <v>716</v>
      </c>
      <c r="D1114" s="8" t="s">
        <v>120</v>
      </c>
      <c r="E1114" s="8" t="s">
        <v>465</v>
      </c>
      <c r="F1114" s="8">
        <v>2</v>
      </c>
      <c r="G1114" s="8">
        <v>1</v>
      </c>
      <c r="H1114" s="8">
        <v>0</v>
      </c>
      <c r="I1114" s="8">
        <v>6</v>
      </c>
      <c r="J1114" s="11">
        <v>0.09523809523809523</v>
      </c>
      <c r="K1114" s="8" t="s">
        <v>791</v>
      </c>
      <c r="L1114" s="8" t="s">
        <v>792</v>
      </c>
      <c r="M1114" s="8" t="s">
        <v>793</v>
      </c>
      <c r="N1114" s="8" t="s">
        <v>795</v>
      </c>
      <c r="O1114" s="8" t="s">
        <v>794</v>
      </c>
      <c r="R1114" s="8">
        <v>23</v>
      </c>
    </row>
    <row r="1115" spans="1:18" ht="25" customHeight="1">
      <c r="A1115" s="12">
        <v>20</v>
      </c>
      <c r="B1115" s="8">
        <v>1</v>
      </c>
      <c r="C1115" s="8" t="s">
        <v>716</v>
      </c>
      <c r="D1115" s="8" t="s">
        <v>120</v>
      </c>
      <c r="E1115" s="8" t="s">
        <v>428</v>
      </c>
      <c r="F1115" s="8">
        <v>6</v>
      </c>
      <c r="G1115" s="8">
        <v>0</v>
      </c>
      <c r="H1115" s="8">
        <v>0</v>
      </c>
      <c r="I1115" s="8">
        <v>0</v>
      </c>
      <c r="J1115" s="11">
        <v>0.2857142857142857</v>
      </c>
      <c r="K1115" s="8" t="s">
        <v>795</v>
      </c>
      <c r="L1115" s="8" t="s">
        <v>796</v>
      </c>
      <c r="M1115" s="8" t="s">
        <v>797</v>
      </c>
      <c r="N1115" s="8" t="s">
        <v>791</v>
      </c>
      <c r="O1115" s="8" t="s">
        <v>798</v>
      </c>
      <c r="R1115" s="8">
        <v>26</v>
      </c>
    </row>
    <row r="1116" spans="1:18" ht="25" customHeight="1">
      <c r="A1116" s="12">
        <v>21</v>
      </c>
      <c r="B1116" s="8">
        <v>1</v>
      </c>
      <c r="C1116" s="8" t="s">
        <v>716</v>
      </c>
      <c r="D1116" s="8" t="s">
        <v>120</v>
      </c>
      <c r="E1116" s="8" t="s">
        <v>468</v>
      </c>
      <c r="F1116" s="8">
        <v>3</v>
      </c>
      <c r="G1116" s="11">
        <v>0.6666666666666666</v>
      </c>
      <c r="H1116" s="11">
        <v>0.3333333333333333</v>
      </c>
      <c r="I1116" s="11">
        <v>11.66666666666667</v>
      </c>
      <c r="J1116" s="11">
        <v>0.1428571428571428</v>
      </c>
      <c r="K1116" s="8" t="s">
        <v>801</v>
      </c>
      <c r="L1116" s="8" t="s">
        <v>792</v>
      </c>
      <c r="M1116" s="8" t="s">
        <v>793</v>
      </c>
      <c r="N1116" s="8" t="s">
        <v>799</v>
      </c>
      <c r="O1116" s="8" t="s">
        <v>794</v>
      </c>
      <c r="R1116" s="8">
        <v>28</v>
      </c>
    </row>
    <row r="1117" spans="1:18" ht="25" customHeight="1">
      <c r="A1117" s="12">
        <v>22</v>
      </c>
      <c r="B1117" s="8">
        <v>1</v>
      </c>
      <c r="C1117" s="8" t="s">
        <v>716</v>
      </c>
      <c r="D1117" s="8" t="s">
        <v>120</v>
      </c>
      <c r="E1117" s="8" t="s">
        <v>449</v>
      </c>
      <c r="F1117" s="8">
        <v>2</v>
      </c>
      <c r="G1117" s="11">
        <v>0.5</v>
      </c>
      <c r="H1117" s="8">
        <v>0</v>
      </c>
      <c r="I1117" s="11">
        <v>6.5</v>
      </c>
      <c r="J1117" s="11">
        <v>0.09523809523809523</v>
      </c>
      <c r="K1117" s="8" t="s">
        <v>791</v>
      </c>
      <c r="L1117" s="8" t="s">
        <v>792</v>
      </c>
      <c r="M1117" s="8" t="s">
        <v>793</v>
      </c>
      <c r="N1117" s="8" t="s">
        <v>791</v>
      </c>
      <c r="O1117" s="8" t="s">
        <v>794</v>
      </c>
      <c r="R1117" s="8">
        <v>29</v>
      </c>
    </row>
    <row r="1118" spans="1:18" ht="25" customHeight="1">
      <c r="A1118" s="12">
        <v>23</v>
      </c>
      <c r="B1118" s="8">
        <v>1</v>
      </c>
      <c r="C1118" s="8" t="s">
        <v>716</v>
      </c>
      <c r="D1118" s="8" t="s">
        <v>802</v>
      </c>
      <c r="E1118" s="8" t="s">
        <v>428</v>
      </c>
      <c r="F1118" s="8">
        <v>2</v>
      </c>
      <c r="G1118" s="8">
        <v>1</v>
      </c>
      <c r="H1118" s="8">
        <v>0</v>
      </c>
      <c r="I1118" s="8">
        <v>8</v>
      </c>
      <c r="J1118" s="11">
        <v>0.6666666666666666</v>
      </c>
      <c r="K1118" s="8" t="s">
        <v>791</v>
      </c>
      <c r="L1118" s="8" t="s">
        <v>796</v>
      </c>
      <c r="M1118" s="8" t="s">
        <v>797</v>
      </c>
      <c r="N1118" s="8" t="s">
        <v>795</v>
      </c>
      <c r="O1118" s="8" t="s">
        <v>798</v>
      </c>
      <c r="R1118" s="8">
        <v>39</v>
      </c>
    </row>
    <row r="1119" spans="1:18" ht="25" customHeight="1">
      <c r="A1119" s="12">
        <v>24</v>
      </c>
      <c r="B1119" s="8">
        <v>2</v>
      </c>
      <c r="C1119" s="8" t="s">
        <v>711</v>
      </c>
      <c r="D1119" s="8" t="s">
        <v>120</v>
      </c>
      <c r="E1119" s="8" t="s">
        <v>465</v>
      </c>
      <c r="F1119" s="8">
        <v>2</v>
      </c>
      <c r="G1119" s="8">
        <v>0</v>
      </c>
      <c r="H1119" s="8">
        <v>0</v>
      </c>
      <c r="I1119" s="8">
        <v>-2</v>
      </c>
      <c r="J1119" s="11">
        <v>0.2857142857142857</v>
      </c>
      <c r="K1119" s="8" t="s">
        <v>791</v>
      </c>
      <c r="L1119" s="8" t="s">
        <v>796</v>
      </c>
      <c r="M1119" s="8" t="s">
        <v>797</v>
      </c>
      <c r="N1119" s="8" t="s">
        <v>791</v>
      </c>
      <c r="O1119" s="8" t="s">
        <v>798</v>
      </c>
      <c r="R1119" s="8">
        <v>41</v>
      </c>
    </row>
    <row r="1120" spans="1:18" ht="25" customHeight="1">
      <c r="A1120" s="12">
        <v>25</v>
      </c>
      <c r="B1120" s="8">
        <v>2</v>
      </c>
      <c r="C1120" s="8" t="s">
        <v>716</v>
      </c>
      <c r="D1120" s="8" t="s">
        <v>120</v>
      </c>
      <c r="E1120" s="8" t="s">
        <v>449</v>
      </c>
      <c r="F1120" s="8">
        <v>5</v>
      </c>
      <c r="G1120" s="11">
        <v>0.6</v>
      </c>
      <c r="H1120" s="11">
        <v>0.2</v>
      </c>
      <c r="I1120" s="11">
        <v>11.4</v>
      </c>
      <c r="J1120" s="11">
        <v>0.2173913043478261</v>
      </c>
      <c r="K1120" s="8" t="s">
        <v>795</v>
      </c>
      <c r="L1120" s="8" t="s">
        <v>796</v>
      </c>
      <c r="M1120" s="8" t="s">
        <v>797</v>
      </c>
      <c r="N1120" s="8" t="s">
        <v>799</v>
      </c>
      <c r="O1120" s="8" t="s">
        <v>798</v>
      </c>
      <c r="R1120" s="8">
        <v>43</v>
      </c>
    </row>
    <row r="1121" spans="1:18" ht="25" customHeight="1">
      <c r="A1121" s="12">
        <v>26</v>
      </c>
      <c r="B1121" s="8">
        <v>2</v>
      </c>
      <c r="C1121" s="8" t="s">
        <v>706</v>
      </c>
      <c r="D1121" s="8" t="s">
        <v>120</v>
      </c>
      <c r="E1121" s="8" t="s">
        <v>449</v>
      </c>
      <c r="F1121" s="8">
        <v>3</v>
      </c>
      <c r="G1121" s="8">
        <v>0</v>
      </c>
      <c r="H1121" s="8">
        <v>0</v>
      </c>
      <c r="I1121" s="11">
        <v>0.3333333333333333</v>
      </c>
      <c r="J1121" s="11">
        <v>0.5</v>
      </c>
      <c r="K1121" s="8" t="s">
        <v>801</v>
      </c>
      <c r="L1121" s="8" t="s">
        <v>804</v>
      </c>
      <c r="M1121" s="8" t="s">
        <v>805</v>
      </c>
      <c r="N1121" s="8" t="s">
        <v>795</v>
      </c>
      <c r="O1121" s="8" t="s">
        <v>806</v>
      </c>
      <c r="R1121" s="8">
        <v>47</v>
      </c>
    </row>
    <row r="1122" spans="1:18" ht="25" customHeight="1">
      <c r="A1122" s="12">
        <v>27</v>
      </c>
      <c r="B1122" s="8">
        <v>2</v>
      </c>
      <c r="C1122" s="8" t="s">
        <v>711</v>
      </c>
      <c r="D1122" s="8" t="s">
        <v>120</v>
      </c>
      <c r="E1122" s="8" t="s">
        <v>428</v>
      </c>
      <c r="F1122" s="8">
        <v>2</v>
      </c>
      <c r="G1122" s="11">
        <v>0.5</v>
      </c>
      <c r="H1122" s="8">
        <v>0</v>
      </c>
      <c r="I1122" s="11">
        <v>5.5</v>
      </c>
      <c r="J1122" s="11">
        <v>0.2857142857142857</v>
      </c>
      <c r="K1122" s="8" t="s">
        <v>791</v>
      </c>
      <c r="L1122" s="8" t="s">
        <v>796</v>
      </c>
      <c r="M1122" s="8" t="s">
        <v>797</v>
      </c>
      <c r="N1122" s="8" t="s">
        <v>791</v>
      </c>
      <c r="O1122" s="8" t="s">
        <v>798</v>
      </c>
      <c r="R1122" s="8">
        <v>48</v>
      </c>
    </row>
    <row r="1123" spans="1:18" ht="25" customHeight="1">
      <c r="A1123" s="12">
        <v>28</v>
      </c>
      <c r="B1123" s="8">
        <v>2</v>
      </c>
      <c r="C1123" s="8" t="s">
        <v>716</v>
      </c>
      <c r="D1123" s="8" t="s">
        <v>120</v>
      </c>
      <c r="E1123" s="8" t="s">
        <v>428</v>
      </c>
      <c r="F1123" s="8">
        <v>5</v>
      </c>
      <c r="G1123" s="11">
        <v>0.4</v>
      </c>
      <c r="H1123" s="8">
        <v>0</v>
      </c>
      <c r="I1123" s="11">
        <v>1.6</v>
      </c>
      <c r="J1123" s="11">
        <v>0.2173913043478261</v>
      </c>
      <c r="K1123" s="8" t="s">
        <v>795</v>
      </c>
      <c r="L1123" s="8" t="s">
        <v>796</v>
      </c>
      <c r="M1123" s="8" t="s">
        <v>797</v>
      </c>
      <c r="N1123" s="8" t="s">
        <v>791</v>
      </c>
      <c r="O1123" s="8" t="s">
        <v>798</v>
      </c>
      <c r="R1123" s="8">
        <v>53</v>
      </c>
    </row>
    <row r="1124" spans="1:18" ht="25" customHeight="1">
      <c r="A1124" s="12">
        <v>29</v>
      </c>
      <c r="B1124" s="8">
        <v>2</v>
      </c>
      <c r="C1124" s="8" t="s">
        <v>716</v>
      </c>
      <c r="D1124" s="8" t="s">
        <v>120</v>
      </c>
      <c r="E1124" s="8" t="s">
        <v>465</v>
      </c>
      <c r="F1124" s="8">
        <v>4</v>
      </c>
      <c r="G1124" s="11">
        <v>0.25</v>
      </c>
      <c r="H1124" s="8">
        <v>0</v>
      </c>
      <c r="I1124" s="11">
        <v>2.75</v>
      </c>
      <c r="J1124" s="11">
        <v>0.1739130434782609</v>
      </c>
      <c r="K1124" s="8" t="s">
        <v>795</v>
      </c>
      <c r="L1124" s="8" t="s">
        <v>796</v>
      </c>
      <c r="M1124" s="8" t="s">
        <v>797</v>
      </c>
      <c r="N1124" s="8" t="s">
        <v>791</v>
      </c>
      <c r="O1124" s="8" t="s">
        <v>798</v>
      </c>
      <c r="R1124" s="8">
        <v>55</v>
      </c>
    </row>
    <row r="1125" spans="1:18" ht="25" customHeight="1">
      <c r="A1125" s="12">
        <v>30</v>
      </c>
      <c r="B1125" s="8">
        <v>2</v>
      </c>
      <c r="C1125" s="8" t="s">
        <v>720</v>
      </c>
      <c r="D1125" s="8" t="s">
        <v>120</v>
      </c>
      <c r="E1125" s="8" t="s">
        <v>428</v>
      </c>
      <c r="F1125" s="8">
        <v>2</v>
      </c>
      <c r="G1125" s="11">
        <v>0.5</v>
      </c>
      <c r="H1125" s="11">
        <v>0.5</v>
      </c>
      <c r="I1125" s="8">
        <v>8</v>
      </c>
      <c r="J1125" s="11">
        <v>0.4</v>
      </c>
      <c r="K1125" s="8" t="s">
        <v>791</v>
      </c>
      <c r="L1125" s="8" t="s">
        <v>796</v>
      </c>
      <c r="M1125" s="8" t="s">
        <v>797</v>
      </c>
      <c r="N1125" s="8" t="s">
        <v>799</v>
      </c>
      <c r="O1125" s="8" t="s">
        <v>798</v>
      </c>
      <c r="R1125" s="8">
        <v>66</v>
      </c>
    </row>
    <row r="1126" spans="1:18" ht="25" customHeight="1">
      <c r="A1126" s="12">
        <v>31</v>
      </c>
      <c r="B1126" s="8">
        <v>3</v>
      </c>
      <c r="C1126" s="8" t="s">
        <v>716</v>
      </c>
      <c r="D1126" s="8" t="s">
        <v>120</v>
      </c>
      <c r="E1126" s="8" t="s">
        <v>449</v>
      </c>
      <c r="F1126" s="8">
        <v>8</v>
      </c>
      <c r="G1126" s="8">
        <v>0</v>
      </c>
      <c r="H1126" s="8">
        <v>0</v>
      </c>
      <c r="I1126" s="11">
        <v>2.875</v>
      </c>
      <c r="J1126" s="11">
        <v>0.6153846153846154</v>
      </c>
      <c r="K1126" s="8" t="s">
        <v>799</v>
      </c>
      <c r="L1126" s="8" t="s">
        <v>804</v>
      </c>
      <c r="M1126" s="8" t="s">
        <v>807</v>
      </c>
      <c r="N1126" s="8" t="s">
        <v>799</v>
      </c>
      <c r="O1126" s="8" t="s">
        <v>808</v>
      </c>
      <c r="R1126" s="8">
        <v>77</v>
      </c>
    </row>
    <row r="1127" spans="1:18" ht="25" customHeight="1">
      <c r="A1127" s="12">
        <v>32</v>
      </c>
      <c r="B1127" s="8">
        <v>3</v>
      </c>
      <c r="C1127" s="8" t="s">
        <v>706</v>
      </c>
      <c r="D1127" s="8" t="s">
        <v>120</v>
      </c>
      <c r="E1127" s="8" t="s">
        <v>446</v>
      </c>
      <c r="F1127" s="8">
        <v>2</v>
      </c>
      <c r="G1127" s="8">
        <v>0</v>
      </c>
      <c r="H1127" s="8">
        <v>0</v>
      </c>
      <c r="I1127" s="11">
        <v>0.5</v>
      </c>
      <c r="J1127" s="11">
        <v>0.5</v>
      </c>
      <c r="K1127" s="8" t="s">
        <v>791</v>
      </c>
      <c r="L1127" s="8" t="s">
        <v>796</v>
      </c>
      <c r="M1127" s="8" t="s">
        <v>797</v>
      </c>
      <c r="N1127" s="8" t="s">
        <v>791</v>
      </c>
      <c r="O1127" s="8" t="s">
        <v>798</v>
      </c>
      <c r="R1127" s="8">
        <v>81</v>
      </c>
    </row>
    <row r="1128" spans="1:18" ht="25" customHeight="1">
      <c r="A1128" s="12">
        <v>33</v>
      </c>
      <c r="B1128" s="8">
        <v>3</v>
      </c>
      <c r="C1128" s="8" t="s">
        <v>711</v>
      </c>
      <c r="D1128" s="8" t="s">
        <v>120</v>
      </c>
      <c r="E1128" s="8" t="s">
        <v>449</v>
      </c>
      <c r="F1128" s="8">
        <v>6</v>
      </c>
      <c r="G1128" s="8">
        <v>0</v>
      </c>
      <c r="H1128" s="8">
        <v>0</v>
      </c>
      <c r="I1128" s="8">
        <v>3</v>
      </c>
      <c r="J1128" s="11">
        <v>0.5454545454545454</v>
      </c>
      <c r="K1128" s="8" t="s">
        <v>795</v>
      </c>
      <c r="L1128" s="8" t="s">
        <v>804</v>
      </c>
      <c r="M1128" s="8" t="s">
        <v>805</v>
      </c>
      <c r="N1128" s="8" t="s">
        <v>795</v>
      </c>
      <c r="O1128" s="8" t="s">
        <v>806</v>
      </c>
      <c r="R1128" s="8">
        <v>82</v>
      </c>
    </row>
    <row r="1129" spans="1:18" ht="25" customHeight="1">
      <c r="A1129" s="12">
        <v>34</v>
      </c>
      <c r="B1129" s="8">
        <v>3</v>
      </c>
      <c r="C1129" s="8" t="s">
        <v>711</v>
      </c>
      <c r="D1129" s="8" t="s">
        <v>120</v>
      </c>
      <c r="E1129" s="8" t="s">
        <v>605</v>
      </c>
      <c r="F1129" s="8">
        <v>2</v>
      </c>
      <c r="G1129" s="8">
        <v>0</v>
      </c>
      <c r="H1129" s="8">
        <v>0</v>
      </c>
      <c r="I1129" s="8">
        <v>9</v>
      </c>
      <c r="J1129" s="11">
        <v>0.1818181818181818</v>
      </c>
      <c r="K1129" s="8" t="s">
        <v>791</v>
      </c>
      <c r="L1129" s="8" t="s">
        <v>792</v>
      </c>
      <c r="M1129" s="8" t="s">
        <v>793</v>
      </c>
      <c r="N1129" s="8" t="s">
        <v>791</v>
      </c>
      <c r="O1129" s="8" t="s">
        <v>794</v>
      </c>
      <c r="R1129" s="8">
        <v>83</v>
      </c>
    </row>
    <row r="1130" spans="1:18" ht="25" customHeight="1">
      <c r="A1130" s="12">
        <v>35</v>
      </c>
      <c r="B1130" s="8">
        <v>3</v>
      </c>
      <c r="C1130" s="8" t="s">
        <v>716</v>
      </c>
      <c r="D1130" s="8" t="s">
        <v>120</v>
      </c>
      <c r="E1130" s="8" t="s">
        <v>465</v>
      </c>
      <c r="F1130" s="8">
        <v>2</v>
      </c>
      <c r="G1130" s="11">
        <v>0.5</v>
      </c>
      <c r="H1130" s="8">
        <v>0</v>
      </c>
      <c r="I1130" s="8">
        <v>5</v>
      </c>
      <c r="J1130" s="11">
        <v>0.1538461538461539</v>
      </c>
      <c r="K1130" s="8" t="s">
        <v>791</v>
      </c>
      <c r="L1130" s="8" t="s">
        <v>792</v>
      </c>
      <c r="M1130" s="8" t="s">
        <v>793</v>
      </c>
      <c r="N1130" s="8" t="s">
        <v>791</v>
      </c>
      <c r="O1130" s="8" t="s">
        <v>794</v>
      </c>
      <c r="R1130" s="8">
        <v>85</v>
      </c>
    </row>
    <row r="1131" spans="1:18" ht="25" customHeight="1">
      <c r="A1131" s="12">
        <v>36</v>
      </c>
      <c r="B1131" s="8">
        <v>3</v>
      </c>
      <c r="C1131" s="8" t="s">
        <v>711</v>
      </c>
      <c r="D1131" s="8" t="s">
        <v>120</v>
      </c>
      <c r="E1131" s="8" t="s">
        <v>428</v>
      </c>
      <c r="F1131" s="8">
        <v>2</v>
      </c>
      <c r="G1131" s="8">
        <v>0</v>
      </c>
      <c r="H1131" s="8">
        <v>0</v>
      </c>
      <c r="I1131" s="8">
        <v>1</v>
      </c>
      <c r="J1131" s="11">
        <v>0.1818181818181818</v>
      </c>
      <c r="K1131" s="8" t="s">
        <v>791</v>
      </c>
      <c r="L1131" s="8" t="s">
        <v>792</v>
      </c>
      <c r="M1131" s="8" t="s">
        <v>793</v>
      </c>
      <c r="N1131" s="8" t="s">
        <v>791</v>
      </c>
      <c r="O1131" s="8" t="s">
        <v>794</v>
      </c>
      <c r="R1131" s="8">
        <v>87</v>
      </c>
    </row>
    <row r="1132" spans="1:18" ht="25" customHeight="1">
      <c r="A1132" s="12">
        <v>37</v>
      </c>
      <c r="B1132" s="8">
        <v>3</v>
      </c>
      <c r="C1132" s="8" t="s">
        <v>720</v>
      </c>
      <c r="D1132" s="8" t="s">
        <v>120</v>
      </c>
      <c r="E1132" s="8" t="s">
        <v>465</v>
      </c>
      <c r="F1132" s="8">
        <v>2</v>
      </c>
      <c r="G1132" s="11">
        <v>0.5</v>
      </c>
      <c r="H1132" s="8">
        <v>0</v>
      </c>
      <c r="I1132" s="8">
        <v>5</v>
      </c>
      <c r="J1132" s="11">
        <v>0.4</v>
      </c>
      <c r="K1132" s="8" t="s">
        <v>791</v>
      </c>
      <c r="L1132" s="8" t="s">
        <v>796</v>
      </c>
      <c r="M1132" s="8" t="s">
        <v>797</v>
      </c>
      <c r="N1132" s="8" t="s">
        <v>791</v>
      </c>
      <c r="O1132" s="8" t="s">
        <v>798</v>
      </c>
      <c r="R1132" s="8">
        <v>93</v>
      </c>
    </row>
    <row r="1133" spans="1:18" ht="25" customHeight="1">
      <c r="A1133" s="12">
        <v>38</v>
      </c>
      <c r="B1133" s="8">
        <v>3</v>
      </c>
      <c r="C1133" s="8" t="s">
        <v>720</v>
      </c>
      <c r="D1133" s="8" t="s">
        <v>120</v>
      </c>
      <c r="E1133" s="8" t="s">
        <v>428</v>
      </c>
      <c r="F1133" s="8">
        <v>2</v>
      </c>
      <c r="G1133" s="11">
        <v>0.5</v>
      </c>
      <c r="H1133" s="8">
        <v>0</v>
      </c>
      <c r="I1133" s="8">
        <v>1</v>
      </c>
      <c r="J1133" s="11">
        <v>0.4</v>
      </c>
      <c r="K1133" s="8" t="s">
        <v>791</v>
      </c>
      <c r="L1133" s="8" t="s">
        <v>796</v>
      </c>
      <c r="M1133" s="8" t="s">
        <v>797</v>
      </c>
      <c r="N1133" s="8" t="s">
        <v>791</v>
      </c>
      <c r="O1133" s="8" t="s">
        <v>798</v>
      </c>
      <c r="R1133" s="8">
        <v>94</v>
      </c>
    </row>
    <row r="1134" spans="1:18" ht="25" customHeight="1">
      <c r="A1134" s="12">
        <v>509</v>
      </c>
      <c r="B1134" s="8" t="s">
        <v>809</v>
      </c>
    </row>
    <row r="1135" spans="1:18" ht="25" customHeight="1">
      <c r="A1135" s="12">
        <v>510</v>
      </c>
      <c r="B1135" s="8" t="s">
        <v>687</v>
      </c>
      <c r="C1135" s="8" t="s">
        <v>688</v>
      </c>
      <c r="D1135" s="8" t="s">
        <v>780</v>
      </c>
      <c r="E1135" s="8" t="s">
        <v>810</v>
      </c>
      <c r="F1135" s="8" t="s">
        <v>782</v>
      </c>
      <c r="G1135" s="8" t="s">
        <v>783</v>
      </c>
      <c r="H1135" s="8" t="s">
        <v>784</v>
      </c>
      <c r="I1135" s="8" t="s">
        <v>785</v>
      </c>
      <c r="J1135" s="8" t="s">
        <v>690</v>
      </c>
      <c r="K1135" s="8" t="s">
        <v>786</v>
      </c>
      <c r="L1135" s="8" t="s">
        <v>787</v>
      </c>
      <c r="M1135" s="8" t="s">
        <v>788</v>
      </c>
      <c r="N1135" s="8" t="s">
        <v>789</v>
      </c>
      <c r="O1135" s="8" t="s">
        <v>790</v>
      </c>
    </row>
    <row r="1136" spans="1:18" ht="25" customHeight="1">
      <c r="A1136" s="12">
        <v>511</v>
      </c>
      <c r="B1136" s="8">
        <v>0</v>
      </c>
      <c r="C1136" s="8" t="s">
        <v>115</v>
      </c>
      <c r="D1136" s="8" t="s">
        <v>123</v>
      </c>
      <c r="E1136" s="8" t="s">
        <v>203</v>
      </c>
      <c r="F1136" s="8">
        <v>2</v>
      </c>
      <c r="G1136" s="11">
        <v>0.5</v>
      </c>
      <c r="H1136" s="8">
        <v>0</v>
      </c>
      <c r="I1136" s="11">
        <v>3.5</v>
      </c>
      <c r="J1136" s="11">
        <v>0.6666666666666666</v>
      </c>
      <c r="K1136" s="8" t="s">
        <v>791</v>
      </c>
      <c r="L1136" s="8" t="s">
        <v>796</v>
      </c>
      <c r="M1136" s="8" t="s">
        <v>797</v>
      </c>
      <c r="N1136" s="8" t="s">
        <v>791</v>
      </c>
      <c r="O1136" s="8" t="s">
        <v>798</v>
      </c>
      <c r="R1136" s="8">
        <v>2</v>
      </c>
    </row>
    <row r="1137" spans="1:18" ht="25" customHeight="1">
      <c r="A1137" s="12">
        <v>512</v>
      </c>
      <c r="B1137" s="8">
        <v>0</v>
      </c>
      <c r="C1137" s="8" t="s">
        <v>115</v>
      </c>
      <c r="D1137" s="8" t="s">
        <v>120</v>
      </c>
      <c r="E1137" s="8" t="s">
        <v>203</v>
      </c>
      <c r="F1137" s="8">
        <v>14</v>
      </c>
      <c r="G1137" s="11">
        <v>0.3571428571428572</v>
      </c>
      <c r="H1137" s="11">
        <v>0.07142857142857142</v>
      </c>
      <c r="I1137" s="11">
        <v>3.857142857142857</v>
      </c>
      <c r="J1137" s="11">
        <v>0.5833333333333334</v>
      </c>
      <c r="K1137" s="8" t="s">
        <v>799</v>
      </c>
      <c r="L1137" s="8" t="s">
        <v>804</v>
      </c>
      <c r="M1137" s="8" t="s">
        <v>807</v>
      </c>
      <c r="N1137" s="8" t="s">
        <v>799</v>
      </c>
      <c r="O1137" s="8" t="s">
        <v>808</v>
      </c>
      <c r="R1137" s="8">
        <v>3</v>
      </c>
    </row>
    <row r="1138" spans="1:18" ht="25" customHeight="1">
      <c r="A1138" s="12">
        <v>513</v>
      </c>
      <c r="B1138" s="8">
        <v>0</v>
      </c>
      <c r="C1138" s="8" t="s">
        <v>115</v>
      </c>
      <c r="D1138" s="8" t="s">
        <v>120</v>
      </c>
      <c r="E1138" s="8" t="s">
        <v>206</v>
      </c>
      <c r="F1138" s="8">
        <v>10</v>
      </c>
      <c r="G1138" s="11">
        <v>0.4</v>
      </c>
      <c r="H1138" s="11">
        <v>0.1</v>
      </c>
      <c r="I1138" s="11">
        <v>2.9</v>
      </c>
      <c r="J1138" s="11">
        <v>0.4166666666666667</v>
      </c>
      <c r="K1138" s="8" t="s">
        <v>799</v>
      </c>
      <c r="L1138" s="8" t="s">
        <v>804</v>
      </c>
      <c r="M1138" s="8" t="s">
        <v>807</v>
      </c>
      <c r="N1138" s="8" t="s">
        <v>799</v>
      </c>
      <c r="O1138" s="8" t="s">
        <v>808</v>
      </c>
      <c r="R1138" s="8">
        <v>4</v>
      </c>
    </row>
    <row r="1139" spans="1:18" ht="25" customHeight="1">
      <c r="A1139" s="12">
        <v>514</v>
      </c>
      <c r="B1139" s="8">
        <v>0</v>
      </c>
      <c r="C1139" s="8" t="s">
        <v>115</v>
      </c>
      <c r="D1139" s="8" t="s">
        <v>803</v>
      </c>
      <c r="E1139" s="8" t="s">
        <v>203</v>
      </c>
      <c r="F1139" s="8">
        <v>3</v>
      </c>
      <c r="G1139" s="11">
        <v>0.6666666666666666</v>
      </c>
      <c r="H1139" s="8">
        <v>0</v>
      </c>
      <c r="I1139" s="11">
        <v>3.666666666666667</v>
      </c>
      <c r="J1139" s="11">
        <v>0.6</v>
      </c>
      <c r="K1139" s="8" t="s">
        <v>801</v>
      </c>
      <c r="L1139" s="8" t="s">
        <v>804</v>
      </c>
      <c r="M1139" s="8" t="s">
        <v>805</v>
      </c>
      <c r="N1139" s="8" t="s">
        <v>795</v>
      </c>
      <c r="O1139" s="8" t="s">
        <v>806</v>
      </c>
      <c r="R1139" s="8">
        <v>5</v>
      </c>
    </row>
    <row r="1140" spans="1:18" ht="25" customHeight="1">
      <c r="A1140" s="12">
        <v>515</v>
      </c>
      <c r="B1140" s="8">
        <v>0</v>
      </c>
      <c r="C1140" s="8" t="s">
        <v>115</v>
      </c>
      <c r="D1140" s="8" t="s">
        <v>803</v>
      </c>
      <c r="E1140" s="8" t="s">
        <v>811</v>
      </c>
      <c r="F1140" s="8">
        <v>2</v>
      </c>
      <c r="G1140" s="8">
        <v>0</v>
      </c>
      <c r="H1140" s="8">
        <v>0</v>
      </c>
      <c r="I1140" s="11">
        <v>1.5</v>
      </c>
      <c r="J1140" s="11">
        <v>0.4</v>
      </c>
      <c r="K1140" s="8" t="s">
        <v>791</v>
      </c>
      <c r="L1140" s="8" t="s">
        <v>796</v>
      </c>
      <c r="M1140" s="8" t="s">
        <v>797</v>
      </c>
      <c r="N1140" s="8" t="s">
        <v>791</v>
      </c>
      <c r="O1140" s="8" t="s">
        <v>798</v>
      </c>
      <c r="R1140" s="8">
        <v>7</v>
      </c>
    </row>
    <row r="1141" spans="1:18" ht="25" customHeight="1">
      <c r="A1141" s="12">
        <v>516</v>
      </c>
      <c r="B1141" s="8">
        <v>1</v>
      </c>
      <c r="C1141" s="8" t="s">
        <v>716</v>
      </c>
      <c r="D1141" s="8" t="s">
        <v>120</v>
      </c>
      <c r="E1141" s="8" t="s">
        <v>206</v>
      </c>
      <c r="F1141" s="8">
        <v>5</v>
      </c>
      <c r="G1141" s="11">
        <v>0.4</v>
      </c>
      <c r="H1141" s="11">
        <v>0.2</v>
      </c>
      <c r="I1141" s="11">
        <v>8.199999999999999</v>
      </c>
      <c r="J1141" s="11">
        <v>0.25</v>
      </c>
      <c r="K1141" s="8" t="s">
        <v>795</v>
      </c>
      <c r="L1141" s="8" t="s">
        <v>796</v>
      </c>
      <c r="M1141" s="8" t="s">
        <v>797</v>
      </c>
      <c r="N1141" s="8" t="s">
        <v>799</v>
      </c>
      <c r="O1141" s="8" t="s">
        <v>798</v>
      </c>
      <c r="R1141" s="8">
        <v>14</v>
      </c>
    </row>
    <row r="1142" spans="1:18" ht="25" customHeight="1">
      <c r="A1142" s="12">
        <v>517</v>
      </c>
      <c r="B1142" s="8">
        <v>1</v>
      </c>
      <c r="C1142" s="8" t="s">
        <v>716</v>
      </c>
      <c r="D1142" s="8" t="s">
        <v>120</v>
      </c>
      <c r="E1142" s="8" t="s">
        <v>203</v>
      </c>
      <c r="F1142" s="8">
        <v>13</v>
      </c>
      <c r="G1142" s="11">
        <v>0.4615384615384616</v>
      </c>
      <c r="H1142" s="8">
        <v>0</v>
      </c>
      <c r="I1142" s="11">
        <v>2.230769230769231</v>
      </c>
      <c r="J1142" s="11">
        <v>0.65</v>
      </c>
      <c r="K1142" s="8" t="s">
        <v>799</v>
      </c>
      <c r="L1142" s="8" t="s">
        <v>804</v>
      </c>
      <c r="M1142" s="8" t="s">
        <v>807</v>
      </c>
      <c r="N1142" s="8" t="s">
        <v>799</v>
      </c>
      <c r="O1142" s="8" t="s">
        <v>808</v>
      </c>
      <c r="R1142" s="8">
        <v>15</v>
      </c>
    </row>
    <row r="1143" spans="1:18" ht="25" customHeight="1">
      <c r="A1143" s="12">
        <v>518</v>
      </c>
      <c r="B1143" s="8">
        <v>1</v>
      </c>
      <c r="C1143" s="8" t="s">
        <v>716</v>
      </c>
      <c r="D1143" s="8" t="s">
        <v>802</v>
      </c>
      <c r="E1143" s="8" t="s">
        <v>811</v>
      </c>
      <c r="F1143" s="8">
        <v>2</v>
      </c>
      <c r="G1143" s="11">
        <v>0.5</v>
      </c>
      <c r="H1143" s="8">
        <v>0</v>
      </c>
      <c r="I1143" s="11">
        <v>6.5</v>
      </c>
      <c r="J1143" s="11">
        <v>0.6666666666666666</v>
      </c>
      <c r="K1143" s="8" t="s">
        <v>791</v>
      </c>
      <c r="L1143" s="8" t="s">
        <v>796</v>
      </c>
      <c r="M1143" s="8" t="s">
        <v>797</v>
      </c>
      <c r="N1143" s="8" t="s">
        <v>791</v>
      </c>
      <c r="O1143" s="8" t="s">
        <v>798</v>
      </c>
      <c r="R1143" s="8">
        <v>21</v>
      </c>
    </row>
    <row r="1144" spans="1:18" ht="25" customHeight="1">
      <c r="A1144" s="12">
        <v>519</v>
      </c>
      <c r="B1144" s="8">
        <v>2</v>
      </c>
      <c r="C1144" s="8" t="s">
        <v>711</v>
      </c>
      <c r="D1144" s="8" t="s">
        <v>120</v>
      </c>
      <c r="E1144" s="8" t="s">
        <v>203</v>
      </c>
      <c r="F1144" s="8">
        <v>3</v>
      </c>
      <c r="G1144" s="8">
        <v>0</v>
      </c>
      <c r="H1144" s="8">
        <v>0</v>
      </c>
      <c r="I1144" s="8">
        <v>0</v>
      </c>
      <c r="J1144" s="11">
        <v>0.4285714285714285</v>
      </c>
      <c r="K1144" s="8" t="s">
        <v>801</v>
      </c>
      <c r="L1144" s="8" t="s">
        <v>796</v>
      </c>
      <c r="M1144" s="8" t="s">
        <v>797</v>
      </c>
      <c r="N1144" s="8" t="s">
        <v>791</v>
      </c>
      <c r="O1144" s="8" t="s">
        <v>798</v>
      </c>
      <c r="R1144" s="8">
        <v>25</v>
      </c>
    </row>
    <row r="1145" spans="1:18" ht="25" customHeight="1">
      <c r="A1145" s="12">
        <v>520</v>
      </c>
      <c r="B1145" s="8">
        <v>2</v>
      </c>
      <c r="C1145" s="8" t="s">
        <v>716</v>
      </c>
      <c r="D1145" s="8" t="s">
        <v>120</v>
      </c>
      <c r="E1145" s="8" t="s">
        <v>203</v>
      </c>
      <c r="F1145" s="8">
        <v>13</v>
      </c>
      <c r="G1145" s="11">
        <v>0.3846153846153846</v>
      </c>
      <c r="H1145" s="8">
        <v>0</v>
      </c>
      <c r="I1145" s="11">
        <v>3.538461538461538</v>
      </c>
      <c r="J1145" s="11">
        <v>0.5652173913043478</v>
      </c>
      <c r="K1145" s="8" t="s">
        <v>799</v>
      </c>
      <c r="L1145" s="8" t="s">
        <v>804</v>
      </c>
      <c r="M1145" s="8" t="s">
        <v>807</v>
      </c>
      <c r="N1145" s="8" t="s">
        <v>799</v>
      </c>
      <c r="O1145" s="8" t="s">
        <v>808</v>
      </c>
      <c r="R1145" s="8">
        <v>26</v>
      </c>
    </row>
    <row r="1146" spans="1:18" ht="25" customHeight="1">
      <c r="A1146" s="12">
        <v>521</v>
      </c>
      <c r="B1146" s="8">
        <v>2</v>
      </c>
      <c r="C1146" s="8" t="s">
        <v>716</v>
      </c>
      <c r="D1146" s="8" t="s">
        <v>120</v>
      </c>
      <c r="E1146" s="8" t="s">
        <v>206</v>
      </c>
      <c r="F1146" s="8">
        <v>9</v>
      </c>
      <c r="G1146" s="11">
        <v>0.3333333333333333</v>
      </c>
      <c r="H1146" s="11">
        <v>0.1111111111111111</v>
      </c>
      <c r="I1146" s="11">
        <v>5.222222222222222</v>
      </c>
      <c r="J1146" s="11">
        <v>0.391304347826087</v>
      </c>
      <c r="K1146" s="8" t="s">
        <v>799</v>
      </c>
      <c r="L1146" s="8" t="s">
        <v>804</v>
      </c>
      <c r="M1146" s="8" t="s">
        <v>807</v>
      </c>
      <c r="N1146" s="8" t="s">
        <v>799</v>
      </c>
      <c r="O1146" s="8" t="s">
        <v>808</v>
      </c>
      <c r="R1146" s="8">
        <v>27</v>
      </c>
    </row>
    <row r="1147" spans="1:18" ht="25" customHeight="1">
      <c r="A1147" s="12">
        <v>522</v>
      </c>
      <c r="B1147" s="8">
        <v>2</v>
      </c>
      <c r="C1147" s="8" t="s">
        <v>720</v>
      </c>
      <c r="D1147" s="8" t="s">
        <v>120</v>
      </c>
      <c r="E1147" s="8" t="s">
        <v>203</v>
      </c>
      <c r="F1147" s="8">
        <v>3</v>
      </c>
      <c r="G1147" s="11">
        <v>0.3333333333333333</v>
      </c>
      <c r="H1147" s="11">
        <v>0.3333333333333333</v>
      </c>
      <c r="I1147" s="8">
        <v>9</v>
      </c>
      <c r="J1147" s="11">
        <v>0.5</v>
      </c>
      <c r="K1147" s="8" t="s">
        <v>801</v>
      </c>
      <c r="L1147" s="8" t="s">
        <v>804</v>
      </c>
      <c r="M1147" s="8" t="s">
        <v>805</v>
      </c>
      <c r="N1147" s="8" t="s">
        <v>799</v>
      </c>
      <c r="O1147" s="8" t="s">
        <v>806</v>
      </c>
      <c r="R1147" s="8">
        <v>29</v>
      </c>
    </row>
    <row r="1148" spans="1:18" ht="25" customHeight="1">
      <c r="A1148" s="12">
        <v>523</v>
      </c>
      <c r="B1148" s="8">
        <v>2</v>
      </c>
      <c r="C1148" s="8" t="s">
        <v>706</v>
      </c>
      <c r="D1148" s="8" t="s">
        <v>120</v>
      </c>
      <c r="E1148" s="8" t="s">
        <v>206</v>
      </c>
      <c r="F1148" s="8">
        <v>4</v>
      </c>
      <c r="G1148" s="11">
        <v>0.25</v>
      </c>
      <c r="H1148" s="8">
        <v>0</v>
      </c>
      <c r="I1148" s="11">
        <v>-0.25</v>
      </c>
      <c r="J1148" s="11">
        <v>0.6666666666666666</v>
      </c>
      <c r="K1148" s="8" t="s">
        <v>795</v>
      </c>
      <c r="L1148" s="8" t="s">
        <v>804</v>
      </c>
      <c r="M1148" s="8" t="s">
        <v>805</v>
      </c>
      <c r="N1148" s="8" t="s">
        <v>795</v>
      </c>
      <c r="O1148" s="8" t="s">
        <v>806</v>
      </c>
      <c r="R1148" s="8">
        <v>30</v>
      </c>
    </row>
    <row r="1149" spans="1:18" ht="25" customHeight="1">
      <c r="A1149" s="12">
        <v>524</v>
      </c>
      <c r="B1149" s="8">
        <v>2</v>
      </c>
      <c r="C1149" s="8" t="s">
        <v>711</v>
      </c>
      <c r="D1149" s="8" t="s">
        <v>120</v>
      </c>
      <c r="E1149" s="8" t="s">
        <v>206</v>
      </c>
      <c r="F1149" s="8">
        <v>3</v>
      </c>
      <c r="G1149" s="11">
        <v>0.6666666666666666</v>
      </c>
      <c r="H1149" s="11">
        <v>0.3333333333333333</v>
      </c>
      <c r="I1149" s="11">
        <v>15.33333333333333</v>
      </c>
      <c r="J1149" s="11">
        <v>0.4285714285714285</v>
      </c>
      <c r="K1149" s="8" t="s">
        <v>801</v>
      </c>
      <c r="L1149" s="8" t="s">
        <v>796</v>
      </c>
      <c r="M1149" s="8" t="s">
        <v>797</v>
      </c>
      <c r="N1149" s="8" t="s">
        <v>799</v>
      </c>
      <c r="O1149" s="8" t="s">
        <v>798</v>
      </c>
      <c r="R1149" s="8">
        <v>33</v>
      </c>
    </row>
    <row r="1150" spans="1:18" ht="25" customHeight="1">
      <c r="A1150" s="12">
        <v>525</v>
      </c>
      <c r="B1150" s="8">
        <v>2</v>
      </c>
      <c r="C1150" s="8" t="s">
        <v>720</v>
      </c>
      <c r="D1150" s="8" t="s">
        <v>803</v>
      </c>
      <c r="E1150" s="8" t="s">
        <v>203</v>
      </c>
      <c r="F1150" s="8">
        <v>2</v>
      </c>
      <c r="G1150" s="11">
        <v>0.5</v>
      </c>
      <c r="H1150" s="8">
        <v>0</v>
      </c>
      <c r="I1150" s="11">
        <v>3.5</v>
      </c>
      <c r="J1150" s="11">
        <v>0.6666666666666666</v>
      </c>
      <c r="K1150" s="8" t="s">
        <v>791</v>
      </c>
      <c r="L1150" s="8" t="s">
        <v>796</v>
      </c>
      <c r="M1150" s="8" t="s">
        <v>797</v>
      </c>
      <c r="N1150" s="8" t="s">
        <v>791</v>
      </c>
      <c r="O1150" s="8" t="s">
        <v>798</v>
      </c>
      <c r="R1150" s="8">
        <v>39</v>
      </c>
    </row>
    <row r="1151" spans="1:18" ht="25" customHeight="1">
      <c r="A1151" s="12">
        <v>526</v>
      </c>
      <c r="B1151" s="8">
        <v>3</v>
      </c>
      <c r="C1151" s="8" t="s">
        <v>716</v>
      </c>
      <c r="D1151" s="8" t="s">
        <v>120</v>
      </c>
      <c r="E1151" s="8" t="s">
        <v>206</v>
      </c>
      <c r="F1151" s="8">
        <v>8</v>
      </c>
      <c r="G1151" s="11">
        <v>0.25</v>
      </c>
      <c r="H1151" s="11">
        <v>0.125</v>
      </c>
      <c r="I1151" s="11">
        <v>2.25</v>
      </c>
      <c r="J1151" s="11">
        <v>0.6153846153846154</v>
      </c>
      <c r="K1151" s="8" t="s">
        <v>799</v>
      </c>
      <c r="L1151" s="8" t="s">
        <v>804</v>
      </c>
      <c r="M1151" s="8" t="s">
        <v>807</v>
      </c>
      <c r="N1151" s="8" t="s">
        <v>799</v>
      </c>
      <c r="O1151" s="8" t="s">
        <v>808</v>
      </c>
      <c r="R1151" s="8">
        <v>48</v>
      </c>
    </row>
    <row r="1152" spans="1:18" ht="25" customHeight="1">
      <c r="A1152" s="12">
        <v>527</v>
      </c>
      <c r="B1152" s="8">
        <v>3</v>
      </c>
      <c r="C1152" s="8" t="s">
        <v>716</v>
      </c>
      <c r="D1152" s="8" t="s">
        <v>120</v>
      </c>
      <c r="E1152" s="8" t="s">
        <v>203</v>
      </c>
      <c r="F1152" s="8">
        <v>4</v>
      </c>
      <c r="G1152" s="8">
        <v>0</v>
      </c>
      <c r="H1152" s="8">
        <v>0</v>
      </c>
      <c r="I1152" s="11">
        <v>7.25</v>
      </c>
      <c r="J1152" s="11">
        <v>0.3076923076923077</v>
      </c>
      <c r="K1152" s="8" t="s">
        <v>795</v>
      </c>
      <c r="L1152" s="8" t="s">
        <v>796</v>
      </c>
      <c r="M1152" s="8" t="s">
        <v>797</v>
      </c>
      <c r="N1152" s="8" t="s">
        <v>791</v>
      </c>
      <c r="O1152" s="8" t="s">
        <v>798</v>
      </c>
      <c r="R1152" s="8">
        <v>49</v>
      </c>
    </row>
    <row r="1153" spans="1:18" ht="25" customHeight="1">
      <c r="A1153" s="12">
        <v>528</v>
      </c>
      <c r="B1153" s="8">
        <v>3</v>
      </c>
      <c r="C1153" s="8" t="s">
        <v>706</v>
      </c>
      <c r="D1153" s="8" t="s">
        <v>120</v>
      </c>
      <c r="E1153" s="8" t="s">
        <v>206</v>
      </c>
      <c r="F1153" s="8">
        <v>3</v>
      </c>
      <c r="G1153" s="8">
        <v>0</v>
      </c>
      <c r="H1153" s="8">
        <v>0</v>
      </c>
      <c r="I1153" s="11">
        <v>0.3333333333333333</v>
      </c>
      <c r="J1153" s="11">
        <v>0.6</v>
      </c>
      <c r="K1153" s="8" t="s">
        <v>801</v>
      </c>
      <c r="L1153" s="8" t="s">
        <v>804</v>
      </c>
      <c r="M1153" s="8" t="s">
        <v>805</v>
      </c>
      <c r="N1153" s="8" t="s">
        <v>795</v>
      </c>
      <c r="O1153" s="8" t="s">
        <v>806</v>
      </c>
      <c r="R1153" s="8">
        <v>53</v>
      </c>
    </row>
    <row r="1154" spans="1:18" ht="25" customHeight="1">
      <c r="A1154" s="12">
        <v>529</v>
      </c>
      <c r="B1154" s="8">
        <v>3</v>
      </c>
      <c r="C1154" s="8" t="s">
        <v>711</v>
      </c>
      <c r="D1154" s="8" t="s">
        <v>120</v>
      </c>
      <c r="E1154" s="8" t="s">
        <v>206</v>
      </c>
      <c r="F1154" s="8">
        <v>9</v>
      </c>
      <c r="G1154" s="8">
        <v>0</v>
      </c>
      <c r="H1154" s="8">
        <v>0</v>
      </c>
      <c r="I1154" s="11">
        <v>4.666666666666667</v>
      </c>
      <c r="J1154" s="11">
        <v>0.8181818181818182</v>
      </c>
      <c r="K1154" s="8" t="s">
        <v>799</v>
      </c>
      <c r="L1154" s="8" t="s">
        <v>804</v>
      </c>
      <c r="M1154" s="8" t="s">
        <v>807</v>
      </c>
      <c r="N1154" s="8" t="s">
        <v>799</v>
      </c>
      <c r="O1154" s="8" t="s">
        <v>808</v>
      </c>
      <c r="R1154" s="8">
        <v>54</v>
      </c>
    </row>
    <row r="1155" spans="1:18" ht="25" customHeight="1">
      <c r="A1155" s="12">
        <v>530</v>
      </c>
      <c r="B1155" s="8">
        <v>3</v>
      </c>
      <c r="C1155" s="8" t="s">
        <v>720</v>
      </c>
      <c r="D1155" s="8" t="s">
        <v>120</v>
      </c>
      <c r="E1155" s="8" t="s">
        <v>206</v>
      </c>
      <c r="F1155" s="8">
        <v>2</v>
      </c>
      <c r="G1155" s="11">
        <v>0.5</v>
      </c>
      <c r="H1155" s="8">
        <v>0</v>
      </c>
      <c r="I1155" s="11">
        <v>1.5</v>
      </c>
      <c r="J1155" s="11">
        <v>0.4</v>
      </c>
      <c r="K1155" s="8" t="s">
        <v>791</v>
      </c>
      <c r="L1155" s="8" t="s">
        <v>796</v>
      </c>
      <c r="M1155" s="8" t="s">
        <v>797</v>
      </c>
      <c r="N1155" s="8" t="s">
        <v>791</v>
      </c>
      <c r="O1155" s="8" t="s">
        <v>798</v>
      </c>
      <c r="R1155" s="8">
        <v>58</v>
      </c>
    </row>
    <row r="1156" spans="1:18" ht="25" customHeight="1">
      <c r="A1156" s="12">
        <v>531</v>
      </c>
      <c r="B1156" s="8">
        <v>3</v>
      </c>
      <c r="C1156" s="8" t="s">
        <v>706</v>
      </c>
      <c r="D1156" s="8" t="s">
        <v>120</v>
      </c>
      <c r="E1156" s="8" t="s">
        <v>203</v>
      </c>
      <c r="F1156" s="8">
        <v>2</v>
      </c>
      <c r="G1156" s="11">
        <v>0.5</v>
      </c>
      <c r="H1156" s="8">
        <v>0</v>
      </c>
      <c r="I1156" s="8">
        <v>2</v>
      </c>
      <c r="J1156" s="11">
        <v>0.4</v>
      </c>
      <c r="K1156" s="8" t="s">
        <v>791</v>
      </c>
      <c r="L1156" s="8" t="s">
        <v>796</v>
      </c>
      <c r="M1156" s="8" t="s">
        <v>797</v>
      </c>
      <c r="N1156" s="8" t="s">
        <v>791</v>
      </c>
      <c r="O1156" s="8" t="s">
        <v>798</v>
      </c>
      <c r="R1156" s="8">
        <v>60</v>
      </c>
    </row>
    <row r="1157" spans="1:18" ht="25" customHeight="1">
      <c r="A1157" s="12">
        <v>532</v>
      </c>
      <c r="B1157" s="8">
        <v>3</v>
      </c>
      <c r="C1157" s="8" t="s">
        <v>720</v>
      </c>
      <c r="D1157" s="8" t="s">
        <v>175</v>
      </c>
      <c r="E1157" s="8" t="s">
        <v>206</v>
      </c>
      <c r="F1157" s="8">
        <v>2</v>
      </c>
      <c r="G1157" s="8">
        <v>0</v>
      </c>
      <c r="H1157" s="8">
        <v>0</v>
      </c>
      <c r="I1157" s="8">
        <v>3</v>
      </c>
      <c r="J1157" s="8">
        <v>1</v>
      </c>
      <c r="K1157" s="8" t="s">
        <v>791</v>
      </c>
      <c r="L1157" s="8" t="s">
        <v>796</v>
      </c>
      <c r="M1157" s="8" t="s">
        <v>797</v>
      </c>
      <c r="N1157" s="8" t="s">
        <v>791</v>
      </c>
      <c r="O1157" s="8" t="s">
        <v>798</v>
      </c>
      <c r="R1157" s="8">
        <v>61</v>
      </c>
    </row>
    <row r="1158" spans="1:18" ht="25" customHeight="1">
      <c r="A1158" s="12">
        <v>533</v>
      </c>
      <c r="B1158" s="8">
        <v>3</v>
      </c>
      <c r="C1158" s="8" t="s">
        <v>720</v>
      </c>
      <c r="D1158" s="8" t="s">
        <v>120</v>
      </c>
      <c r="E1158" s="8" t="s">
        <v>203</v>
      </c>
      <c r="F1158" s="8">
        <v>2</v>
      </c>
      <c r="G1158" s="11">
        <v>0.5</v>
      </c>
      <c r="H1158" s="8">
        <v>0</v>
      </c>
      <c r="I1158" s="8">
        <v>5</v>
      </c>
      <c r="J1158" s="11">
        <v>0.4</v>
      </c>
      <c r="K1158" s="8" t="s">
        <v>791</v>
      </c>
      <c r="L1158" s="8" t="s">
        <v>796</v>
      </c>
      <c r="M1158" s="8" t="s">
        <v>797</v>
      </c>
      <c r="N1158" s="8" t="s">
        <v>791</v>
      </c>
      <c r="O1158" s="8" t="s">
        <v>798</v>
      </c>
      <c r="R1158" s="8">
        <v>62</v>
      </c>
    </row>
    <row r="1159" spans="1:18" ht="25" customHeight="1">
      <c r="A1159" s="12">
        <v>1012</v>
      </c>
      <c r="B1159" s="8" t="s">
        <v>812</v>
      </c>
    </row>
    <row r="1160" spans="1:18" ht="25" customHeight="1">
      <c r="A1160" s="12">
        <v>1013</v>
      </c>
      <c r="B1160" s="8" t="s">
        <v>687</v>
      </c>
      <c r="C1160" s="8" t="s">
        <v>688</v>
      </c>
      <c r="D1160" s="8" t="s">
        <v>810</v>
      </c>
      <c r="E1160" s="8" t="s">
        <v>781</v>
      </c>
      <c r="F1160" s="8" t="s">
        <v>782</v>
      </c>
      <c r="G1160" s="8" t="s">
        <v>783</v>
      </c>
      <c r="H1160" s="8" t="s">
        <v>784</v>
      </c>
      <c r="I1160" s="8" t="s">
        <v>785</v>
      </c>
      <c r="J1160" s="8" t="s">
        <v>690</v>
      </c>
      <c r="K1160" s="8" t="s">
        <v>786</v>
      </c>
      <c r="L1160" s="8" t="s">
        <v>787</v>
      </c>
      <c r="M1160" s="8" t="s">
        <v>788</v>
      </c>
      <c r="N1160" s="8" t="s">
        <v>789</v>
      </c>
      <c r="O1160" s="8" t="s">
        <v>790</v>
      </c>
    </row>
    <row r="1161" spans="1:18" ht="25" customHeight="1">
      <c r="A1161" s="12">
        <v>1014</v>
      </c>
      <c r="B1161" s="8">
        <v>0</v>
      </c>
      <c r="C1161" s="8" t="s">
        <v>115</v>
      </c>
      <c r="D1161" s="8" t="s">
        <v>203</v>
      </c>
      <c r="E1161" s="8" t="s">
        <v>465</v>
      </c>
      <c r="F1161" s="8">
        <v>4</v>
      </c>
      <c r="G1161" s="11">
        <v>0.5</v>
      </c>
      <c r="H1161" s="8">
        <v>0</v>
      </c>
      <c r="I1161" s="11">
        <v>4.5</v>
      </c>
      <c r="J1161" s="11">
        <v>0.2105263157894737</v>
      </c>
      <c r="K1161" s="8" t="s">
        <v>795</v>
      </c>
      <c r="L1161" s="8" t="s">
        <v>796</v>
      </c>
      <c r="M1161" s="8" t="s">
        <v>797</v>
      </c>
      <c r="N1161" s="8" t="s">
        <v>791</v>
      </c>
      <c r="O1161" s="8" t="s">
        <v>798</v>
      </c>
      <c r="R1161" s="8">
        <v>2</v>
      </c>
    </row>
    <row r="1162" spans="1:18" ht="25" customHeight="1">
      <c r="A1162" s="12">
        <v>1015</v>
      </c>
      <c r="B1162" s="8">
        <v>0</v>
      </c>
      <c r="C1162" s="8" t="s">
        <v>115</v>
      </c>
      <c r="D1162" s="8" t="s">
        <v>206</v>
      </c>
      <c r="E1162" s="8" t="s">
        <v>428</v>
      </c>
      <c r="F1162" s="8">
        <v>3</v>
      </c>
      <c r="G1162" s="11">
        <v>0.6666666666666666</v>
      </c>
      <c r="H1162" s="11">
        <v>0.3333333333333333</v>
      </c>
      <c r="I1162" s="11">
        <v>5.666666666666667</v>
      </c>
      <c r="J1162" s="11">
        <v>0.25</v>
      </c>
      <c r="K1162" s="8" t="s">
        <v>801</v>
      </c>
      <c r="L1162" s="8" t="s">
        <v>796</v>
      </c>
      <c r="M1162" s="8" t="s">
        <v>797</v>
      </c>
      <c r="N1162" s="8" t="s">
        <v>799</v>
      </c>
      <c r="O1162" s="8" t="s">
        <v>798</v>
      </c>
      <c r="R1162" s="8">
        <v>10</v>
      </c>
    </row>
    <row r="1163" spans="1:18" ht="25" customHeight="1">
      <c r="A1163" s="12">
        <v>1016</v>
      </c>
      <c r="B1163" s="8">
        <v>0</v>
      </c>
      <c r="C1163" s="8" t="s">
        <v>115</v>
      </c>
      <c r="D1163" s="8" t="s">
        <v>203</v>
      </c>
      <c r="E1163" s="8" t="s">
        <v>574</v>
      </c>
      <c r="F1163" s="8">
        <v>2</v>
      </c>
      <c r="G1163" s="11">
        <v>0.5</v>
      </c>
      <c r="H1163" s="8">
        <v>0</v>
      </c>
      <c r="I1163" s="8">
        <v>4</v>
      </c>
      <c r="J1163" s="11">
        <v>0.1052631578947368</v>
      </c>
      <c r="K1163" s="8" t="s">
        <v>791</v>
      </c>
      <c r="L1163" s="8" t="s">
        <v>792</v>
      </c>
      <c r="M1163" s="8" t="s">
        <v>793</v>
      </c>
      <c r="N1163" s="8" t="s">
        <v>791</v>
      </c>
      <c r="O1163" s="8" t="s">
        <v>794</v>
      </c>
      <c r="R1163" s="8">
        <v>11</v>
      </c>
    </row>
    <row r="1164" spans="1:18" ht="25" customHeight="1">
      <c r="A1164" s="12">
        <v>1017</v>
      </c>
      <c r="B1164" s="8">
        <v>0</v>
      </c>
      <c r="C1164" s="8" t="s">
        <v>115</v>
      </c>
      <c r="D1164" s="8" t="s">
        <v>203</v>
      </c>
      <c r="E1164" s="8" t="s">
        <v>428</v>
      </c>
      <c r="F1164" s="8">
        <v>5</v>
      </c>
      <c r="G1164" s="11">
        <v>0.4</v>
      </c>
      <c r="H1164" s="8">
        <v>0</v>
      </c>
      <c r="I1164" s="8">
        <v>3</v>
      </c>
      <c r="J1164" s="11">
        <v>0.2631578947368421</v>
      </c>
      <c r="K1164" s="8" t="s">
        <v>795</v>
      </c>
      <c r="L1164" s="8" t="s">
        <v>796</v>
      </c>
      <c r="M1164" s="8" t="s">
        <v>797</v>
      </c>
      <c r="N1164" s="8" t="s">
        <v>791</v>
      </c>
      <c r="O1164" s="8" t="s">
        <v>798</v>
      </c>
      <c r="R1164" s="8">
        <v>13</v>
      </c>
    </row>
    <row r="1165" spans="1:18" ht="25" customHeight="1">
      <c r="A1165" s="12">
        <v>1018</v>
      </c>
      <c r="B1165" s="8">
        <v>0</v>
      </c>
      <c r="C1165" s="8" t="s">
        <v>115</v>
      </c>
      <c r="D1165" s="8" t="s">
        <v>206</v>
      </c>
      <c r="E1165" s="8" t="s">
        <v>465</v>
      </c>
      <c r="F1165" s="8">
        <v>3</v>
      </c>
      <c r="G1165" s="11">
        <v>0.3333333333333333</v>
      </c>
      <c r="H1165" s="8">
        <v>0</v>
      </c>
      <c r="I1165" s="11">
        <v>0.6666666666666666</v>
      </c>
      <c r="J1165" s="11">
        <v>0.25</v>
      </c>
      <c r="K1165" s="8" t="s">
        <v>801</v>
      </c>
      <c r="L1165" s="8" t="s">
        <v>796</v>
      </c>
      <c r="M1165" s="8" t="s">
        <v>797</v>
      </c>
      <c r="N1165" s="8" t="s">
        <v>791</v>
      </c>
      <c r="O1165" s="8" t="s">
        <v>798</v>
      </c>
      <c r="R1165" s="8">
        <v>14</v>
      </c>
    </row>
    <row r="1166" spans="1:18" ht="25" customHeight="1">
      <c r="A1166" s="12">
        <v>1019</v>
      </c>
      <c r="B1166" s="8">
        <v>0</v>
      </c>
      <c r="C1166" s="8" t="s">
        <v>115</v>
      </c>
      <c r="D1166" s="8" t="s">
        <v>206</v>
      </c>
      <c r="E1166" s="8" t="s">
        <v>800</v>
      </c>
      <c r="F1166" s="8">
        <v>2</v>
      </c>
      <c r="G1166" s="8">
        <v>0</v>
      </c>
      <c r="H1166" s="8">
        <v>0</v>
      </c>
      <c r="I1166" s="11">
        <v>1.5</v>
      </c>
      <c r="J1166" s="11">
        <v>0.1666666666666667</v>
      </c>
      <c r="K1166" s="8" t="s">
        <v>791</v>
      </c>
      <c r="L1166" s="8" t="s">
        <v>792</v>
      </c>
      <c r="M1166" s="8" t="s">
        <v>793</v>
      </c>
      <c r="N1166" s="8" t="s">
        <v>791</v>
      </c>
      <c r="O1166" s="8" t="s">
        <v>794</v>
      </c>
      <c r="R1166" s="8">
        <v>17</v>
      </c>
    </row>
    <row r="1167" spans="1:18" ht="25" customHeight="1">
      <c r="A1167" s="12">
        <v>1020</v>
      </c>
      <c r="B1167" s="8">
        <v>0</v>
      </c>
      <c r="C1167" s="8" t="s">
        <v>115</v>
      </c>
      <c r="D1167" s="8" t="s">
        <v>811</v>
      </c>
      <c r="E1167" s="8" t="s">
        <v>428</v>
      </c>
      <c r="F1167" s="8">
        <v>2</v>
      </c>
      <c r="G1167" s="8">
        <v>0</v>
      </c>
      <c r="H1167" s="8">
        <v>0</v>
      </c>
      <c r="I1167" s="11">
        <v>1.5</v>
      </c>
      <c r="J1167" s="11">
        <v>0.6666666666666666</v>
      </c>
      <c r="K1167" s="8" t="s">
        <v>791</v>
      </c>
      <c r="L1167" s="8" t="s">
        <v>796</v>
      </c>
      <c r="M1167" s="8" t="s">
        <v>797</v>
      </c>
      <c r="N1167" s="8" t="s">
        <v>791</v>
      </c>
      <c r="O1167" s="8" t="s">
        <v>798</v>
      </c>
      <c r="R1167" s="8">
        <v>18</v>
      </c>
    </row>
    <row r="1168" spans="1:18" ht="25" customHeight="1">
      <c r="A1168" s="12">
        <v>1021</v>
      </c>
      <c r="B1168" s="8">
        <v>1</v>
      </c>
      <c r="C1168" s="8" t="s">
        <v>716</v>
      </c>
      <c r="D1168" s="8" t="s">
        <v>203</v>
      </c>
      <c r="E1168" s="8" t="s">
        <v>428</v>
      </c>
      <c r="F1168" s="8">
        <v>4</v>
      </c>
      <c r="G1168" s="8">
        <v>0</v>
      </c>
      <c r="H1168" s="8">
        <v>0</v>
      </c>
      <c r="I1168" s="8">
        <v>0</v>
      </c>
      <c r="J1168" s="11">
        <v>0.2666666666666667</v>
      </c>
      <c r="K1168" s="8" t="s">
        <v>795</v>
      </c>
      <c r="L1168" s="8" t="s">
        <v>796</v>
      </c>
      <c r="M1168" s="8" t="s">
        <v>797</v>
      </c>
      <c r="N1168" s="8" t="s">
        <v>791</v>
      </c>
      <c r="O1168" s="8" t="s">
        <v>798</v>
      </c>
      <c r="R1168" s="8">
        <v>25</v>
      </c>
    </row>
    <row r="1169" spans="1:18" ht="25" customHeight="1">
      <c r="A1169" s="12">
        <v>1022</v>
      </c>
      <c r="B1169" s="8">
        <v>1</v>
      </c>
      <c r="C1169" s="8" t="s">
        <v>716</v>
      </c>
      <c r="D1169" s="8" t="s">
        <v>206</v>
      </c>
      <c r="E1169" s="8" t="s">
        <v>428</v>
      </c>
      <c r="F1169" s="8">
        <v>3</v>
      </c>
      <c r="G1169" s="11">
        <v>0.3333333333333333</v>
      </c>
      <c r="H1169" s="8">
        <v>0</v>
      </c>
      <c r="I1169" s="8">
        <v>2</v>
      </c>
      <c r="J1169" s="11">
        <v>0.5</v>
      </c>
      <c r="K1169" s="8" t="s">
        <v>801</v>
      </c>
      <c r="L1169" s="8" t="s">
        <v>804</v>
      </c>
      <c r="M1169" s="8" t="s">
        <v>805</v>
      </c>
      <c r="N1169" s="8" t="s">
        <v>795</v>
      </c>
      <c r="O1169" s="8" t="s">
        <v>806</v>
      </c>
      <c r="R1169" s="8">
        <v>29</v>
      </c>
    </row>
    <row r="1170" spans="1:18" ht="25" customHeight="1">
      <c r="A1170" s="12">
        <v>1023</v>
      </c>
      <c r="B1170" s="8">
        <v>1</v>
      </c>
      <c r="C1170" s="8" t="s">
        <v>716</v>
      </c>
      <c r="D1170" s="8" t="s">
        <v>203</v>
      </c>
      <c r="E1170" s="8" t="s">
        <v>468</v>
      </c>
      <c r="F1170" s="8">
        <v>2</v>
      </c>
      <c r="G1170" s="11">
        <v>0.5</v>
      </c>
      <c r="H1170" s="8">
        <v>0</v>
      </c>
      <c r="I1170" s="8">
        <v>2</v>
      </c>
      <c r="J1170" s="11">
        <v>0.1333333333333333</v>
      </c>
      <c r="K1170" s="8" t="s">
        <v>791</v>
      </c>
      <c r="L1170" s="8" t="s">
        <v>792</v>
      </c>
      <c r="M1170" s="8" t="s">
        <v>793</v>
      </c>
      <c r="N1170" s="8" t="s">
        <v>791</v>
      </c>
      <c r="O1170" s="8" t="s">
        <v>794</v>
      </c>
      <c r="R1170" s="8">
        <v>31</v>
      </c>
    </row>
    <row r="1171" spans="1:18" ht="25" customHeight="1">
      <c r="A1171" s="12">
        <v>1024</v>
      </c>
      <c r="B1171" s="8">
        <v>1</v>
      </c>
      <c r="C1171" s="8" t="s">
        <v>716</v>
      </c>
      <c r="D1171" s="8" t="s">
        <v>203</v>
      </c>
      <c r="E1171" s="8" t="s">
        <v>449</v>
      </c>
      <c r="F1171" s="8">
        <v>2</v>
      </c>
      <c r="G1171" s="11">
        <v>0.5</v>
      </c>
      <c r="H1171" s="8">
        <v>0</v>
      </c>
      <c r="I1171" s="11">
        <v>6.5</v>
      </c>
      <c r="J1171" s="11">
        <v>0.1333333333333333</v>
      </c>
      <c r="K1171" s="8" t="s">
        <v>791</v>
      </c>
      <c r="L1171" s="8" t="s">
        <v>792</v>
      </c>
      <c r="M1171" s="8" t="s">
        <v>793</v>
      </c>
      <c r="N1171" s="8" t="s">
        <v>791</v>
      </c>
      <c r="O1171" s="8" t="s">
        <v>794</v>
      </c>
      <c r="R1171" s="8">
        <v>33</v>
      </c>
    </row>
    <row r="1172" spans="1:18" ht="25" customHeight="1">
      <c r="A1172" s="12">
        <v>1025</v>
      </c>
      <c r="B1172" s="8">
        <v>2</v>
      </c>
      <c r="C1172" s="8" t="s">
        <v>711</v>
      </c>
      <c r="D1172" s="8" t="s">
        <v>203</v>
      </c>
      <c r="E1172" s="8" t="s">
        <v>465</v>
      </c>
      <c r="F1172" s="8">
        <v>2</v>
      </c>
      <c r="G1172" s="8">
        <v>0</v>
      </c>
      <c r="H1172" s="8">
        <v>0</v>
      </c>
      <c r="I1172" s="8">
        <v>-2</v>
      </c>
      <c r="J1172" s="11">
        <v>0.5</v>
      </c>
      <c r="K1172" s="8" t="s">
        <v>791</v>
      </c>
      <c r="L1172" s="8" t="s">
        <v>796</v>
      </c>
      <c r="M1172" s="8" t="s">
        <v>797</v>
      </c>
      <c r="N1172" s="8" t="s">
        <v>791</v>
      </c>
      <c r="O1172" s="8" t="s">
        <v>798</v>
      </c>
      <c r="R1172" s="8">
        <v>47</v>
      </c>
    </row>
    <row r="1173" spans="1:18" ht="25" customHeight="1">
      <c r="A1173" s="12">
        <v>1026</v>
      </c>
      <c r="B1173" s="8">
        <v>2</v>
      </c>
      <c r="C1173" s="8" t="s">
        <v>716</v>
      </c>
      <c r="D1173" s="8" t="s">
        <v>206</v>
      </c>
      <c r="E1173" s="8" t="s">
        <v>449</v>
      </c>
      <c r="F1173" s="8">
        <v>2</v>
      </c>
      <c r="G1173" s="8">
        <v>1</v>
      </c>
      <c r="H1173" s="11">
        <v>0.5</v>
      </c>
      <c r="I1173" s="8">
        <v>23</v>
      </c>
      <c r="J1173" s="11">
        <v>0.2222222222222222</v>
      </c>
      <c r="K1173" s="8" t="s">
        <v>791</v>
      </c>
      <c r="L1173" s="8" t="s">
        <v>792</v>
      </c>
      <c r="M1173" s="8" t="s">
        <v>793</v>
      </c>
      <c r="N1173" s="8" t="s">
        <v>799</v>
      </c>
      <c r="O1173" s="8" t="s">
        <v>794</v>
      </c>
      <c r="R1173" s="8">
        <v>49</v>
      </c>
    </row>
    <row r="1174" spans="1:18" ht="25" customHeight="1">
      <c r="A1174" s="12">
        <v>1027</v>
      </c>
      <c r="B1174" s="8">
        <v>2</v>
      </c>
      <c r="C1174" s="8" t="s">
        <v>716</v>
      </c>
      <c r="D1174" s="8" t="s">
        <v>203</v>
      </c>
      <c r="E1174" s="8" t="s">
        <v>449</v>
      </c>
      <c r="F1174" s="8">
        <v>3</v>
      </c>
      <c r="G1174" s="11">
        <v>0.3333333333333333</v>
      </c>
      <c r="H1174" s="8">
        <v>0</v>
      </c>
      <c r="I1174" s="11">
        <v>3.666666666666667</v>
      </c>
      <c r="J1174" s="11">
        <v>0.2307692307692308</v>
      </c>
      <c r="K1174" s="8" t="s">
        <v>801</v>
      </c>
      <c r="L1174" s="8" t="s">
        <v>792</v>
      </c>
      <c r="M1174" s="8" t="s">
        <v>793</v>
      </c>
      <c r="N1174" s="8" t="s">
        <v>791</v>
      </c>
      <c r="O1174" s="8" t="s">
        <v>794</v>
      </c>
      <c r="R1174" s="8">
        <v>51</v>
      </c>
    </row>
    <row r="1175" spans="1:18" ht="25" customHeight="1">
      <c r="A1175" s="12">
        <v>1028</v>
      </c>
      <c r="B1175" s="8">
        <v>2</v>
      </c>
      <c r="C1175" s="8" t="s">
        <v>706</v>
      </c>
      <c r="D1175" s="8" t="s">
        <v>206</v>
      </c>
      <c r="E1175" s="8" t="s">
        <v>449</v>
      </c>
      <c r="F1175" s="8">
        <v>2</v>
      </c>
      <c r="G1175" s="8">
        <v>0</v>
      </c>
      <c r="H1175" s="8">
        <v>0</v>
      </c>
      <c r="I1175" s="11">
        <v>0.5</v>
      </c>
      <c r="J1175" s="11">
        <v>0.4</v>
      </c>
      <c r="K1175" s="8" t="s">
        <v>791</v>
      </c>
      <c r="L1175" s="8" t="s">
        <v>796</v>
      </c>
      <c r="M1175" s="8" t="s">
        <v>797</v>
      </c>
      <c r="N1175" s="8" t="s">
        <v>791</v>
      </c>
      <c r="O1175" s="8" t="s">
        <v>798</v>
      </c>
      <c r="R1175" s="8">
        <v>54</v>
      </c>
    </row>
    <row r="1176" spans="1:18" ht="25" customHeight="1">
      <c r="A1176" s="12">
        <v>1029</v>
      </c>
      <c r="B1176" s="8">
        <v>2</v>
      </c>
      <c r="C1176" s="8" t="s">
        <v>706</v>
      </c>
      <c r="D1176" s="8" t="s">
        <v>206</v>
      </c>
      <c r="E1176" s="8" t="s">
        <v>428</v>
      </c>
      <c r="F1176" s="8">
        <v>2</v>
      </c>
      <c r="G1176" s="11">
        <v>0.5</v>
      </c>
      <c r="H1176" s="8">
        <v>0</v>
      </c>
      <c r="I1176" s="11">
        <v>1.5</v>
      </c>
      <c r="J1176" s="11">
        <v>0.4</v>
      </c>
      <c r="K1176" s="8" t="s">
        <v>791</v>
      </c>
      <c r="L1176" s="8" t="s">
        <v>796</v>
      </c>
      <c r="M1176" s="8" t="s">
        <v>797</v>
      </c>
      <c r="N1176" s="8" t="s">
        <v>791</v>
      </c>
      <c r="O1176" s="8" t="s">
        <v>798</v>
      </c>
      <c r="R1176" s="8">
        <v>61</v>
      </c>
    </row>
    <row r="1177" spans="1:18" ht="25" customHeight="1">
      <c r="A1177" s="12">
        <v>1030</v>
      </c>
      <c r="B1177" s="8">
        <v>2</v>
      </c>
      <c r="C1177" s="8" t="s">
        <v>716</v>
      </c>
      <c r="D1177" s="8" t="s">
        <v>203</v>
      </c>
      <c r="E1177" s="8" t="s">
        <v>465</v>
      </c>
      <c r="F1177" s="8">
        <v>3</v>
      </c>
      <c r="G1177" s="11">
        <v>0.3333333333333333</v>
      </c>
      <c r="H1177" s="8">
        <v>0</v>
      </c>
      <c r="I1177" s="11">
        <v>4.333333333333333</v>
      </c>
      <c r="J1177" s="11">
        <v>0.2307692307692308</v>
      </c>
      <c r="K1177" s="8" t="s">
        <v>801</v>
      </c>
      <c r="L1177" s="8" t="s">
        <v>792</v>
      </c>
      <c r="M1177" s="8" t="s">
        <v>793</v>
      </c>
      <c r="N1177" s="8" t="s">
        <v>791</v>
      </c>
      <c r="O1177" s="8" t="s">
        <v>794</v>
      </c>
      <c r="R1177" s="8">
        <v>62</v>
      </c>
    </row>
    <row r="1178" spans="1:18" ht="25" customHeight="1">
      <c r="A1178" s="12">
        <v>1031</v>
      </c>
      <c r="B1178" s="8">
        <v>2</v>
      </c>
      <c r="C1178" s="8" t="s">
        <v>716</v>
      </c>
      <c r="D1178" s="8" t="s">
        <v>206</v>
      </c>
      <c r="E1178" s="8" t="s">
        <v>428</v>
      </c>
      <c r="F1178" s="8">
        <v>4</v>
      </c>
      <c r="G1178" s="11">
        <v>0.25</v>
      </c>
      <c r="H1178" s="8">
        <v>0</v>
      </c>
      <c r="I1178" s="11">
        <v>0.5</v>
      </c>
      <c r="J1178" s="11">
        <v>0.4444444444444444</v>
      </c>
      <c r="K1178" s="8" t="s">
        <v>795</v>
      </c>
      <c r="L1178" s="8" t="s">
        <v>796</v>
      </c>
      <c r="M1178" s="8" t="s">
        <v>797</v>
      </c>
      <c r="N1178" s="8" t="s">
        <v>791</v>
      </c>
      <c r="O1178" s="8" t="s">
        <v>798</v>
      </c>
      <c r="R1178" s="8">
        <v>63</v>
      </c>
    </row>
    <row r="1179" spans="1:18" ht="25" customHeight="1">
      <c r="A1179" s="12">
        <v>1032</v>
      </c>
      <c r="B1179" s="8">
        <v>2</v>
      </c>
      <c r="C1179" s="8" t="s">
        <v>720</v>
      </c>
      <c r="D1179" s="8" t="s">
        <v>203</v>
      </c>
      <c r="E1179" s="8" t="s">
        <v>428</v>
      </c>
      <c r="F1179" s="8">
        <v>3</v>
      </c>
      <c r="G1179" s="11">
        <v>0.6666666666666666</v>
      </c>
      <c r="H1179" s="8">
        <v>0</v>
      </c>
      <c r="I1179" s="11">
        <v>1.666666666666667</v>
      </c>
      <c r="J1179" s="11">
        <v>0.5</v>
      </c>
      <c r="K1179" s="8" t="s">
        <v>801</v>
      </c>
      <c r="L1179" s="8" t="s">
        <v>804</v>
      </c>
      <c r="M1179" s="8" t="s">
        <v>805</v>
      </c>
      <c r="N1179" s="8" t="s">
        <v>795</v>
      </c>
      <c r="O1179" s="8" t="s">
        <v>806</v>
      </c>
      <c r="R1179" s="8">
        <v>79</v>
      </c>
    </row>
    <row r="1180" spans="1:18" ht="25" customHeight="1">
      <c r="A1180" s="12">
        <v>1033</v>
      </c>
      <c r="B1180" s="8">
        <v>3</v>
      </c>
      <c r="C1180" s="8" t="s">
        <v>716</v>
      </c>
      <c r="D1180" s="8" t="s">
        <v>203</v>
      </c>
      <c r="E1180" s="8" t="s">
        <v>449</v>
      </c>
      <c r="F1180" s="8">
        <v>4</v>
      </c>
      <c r="G1180" s="8">
        <v>0</v>
      </c>
      <c r="H1180" s="8">
        <v>0</v>
      </c>
      <c r="I1180" s="11">
        <v>7.25</v>
      </c>
      <c r="J1180" s="8">
        <v>1</v>
      </c>
      <c r="K1180" s="8" t="s">
        <v>795</v>
      </c>
      <c r="L1180" s="8" t="s">
        <v>804</v>
      </c>
      <c r="M1180" s="8" t="s">
        <v>805</v>
      </c>
      <c r="N1180" s="8" t="s">
        <v>795</v>
      </c>
      <c r="O1180" s="8" t="s">
        <v>806</v>
      </c>
      <c r="R1180" s="8">
        <v>86</v>
      </c>
    </row>
    <row r="1181" spans="1:18" ht="25" customHeight="1">
      <c r="A1181" s="12">
        <v>1034</v>
      </c>
      <c r="B1181" s="8">
        <v>3</v>
      </c>
      <c r="C1181" s="8" t="s">
        <v>706</v>
      </c>
      <c r="D1181" s="8" t="s">
        <v>206</v>
      </c>
      <c r="E1181" s="8" t="s">
        <v>446</v>
      </c>
      <c r="F1181" s="8">
        <v>2</v>
      </c>
      <c r="G1181" s="8">
        <v>0</v>
      </c>
      <c r="H1181" s="8">
        <v>0</v>
      </c>
      <c r="I1181" s="11">
        <v>0.5</v>
      </c>
      <c r="J1181" s="11">
        <v>0.6666666666666666</v>
      </c>
      <c r="K1181" s="8" t="s">
        <v>791</v>
      </c>
      <c r="L1181" s="8" t="s">
        <v>796</v>
      </c>
      <c r="M1181" s="8" t="s">
        <v>797</v>
      </c>
      <c r="N1181" s="8" t="s">
        <v>791</v>
      </c>
      <c r="O1181" s="8" t="s">
        <v>798</v>
      </c>
      <c r="R1181" s="8">
        <v>90</v>
      </c>
    </row>
    <row r="1182" spans="1:18" ht="25" customHeight="1">
      <c r="A1182" s="12">
        <v>1035</v>
      </c>
      <c r="B1182" s="8">
        <v>3</v>
      </c>
      <c r="C1182" s="8" t="s">
        <v>711</v>
      </c>
      <c r="D1182" s="8" t="s">
        <v>206</v>
      </c>
      <c r="E1182" s="8" t="s">
        <v>449</v>
      </c>
      <c r="F1182" s="8">
        <v>4</v>
      </c>
      <c r="G1182" s="8">
        <v>0</v>
      </c>
      <c r="H1182" s="8">
        <v>0</v>
      </c>
      <c r="I1182" s="11">
        <v>3.25</v>
      </c>
      <c r="J1182" s="11">
        <v>0.4444444444444444</v>
      </c>
      <c r="K1182" s="8" t="s">
        <v>795</v>
      </c>
      <c r="L1182" s="8" t="s">
        <v>796</v>
      </c>
      <c r="M1182" s="8" t="s">
        <v>797</v>
      </c>
      <c r="N1182" s="8" t="s">
        <v>791</v>
      </c>
      <c r="O1182" s="8" t="s">
        <v>798</v>
      </c>
      <c r="R1182" s="8">
        <v>91</v>
      </c>
    </row>
    <row r="1183" spans="1:18" ht="25" customHeight="1">
      <c r="A1183" s="12">
        <v>1036</v>
      </c>
      <c r="B1183" s="8">
        <v>3</v>
      </c>
      <c r="C1183" s="8" t="s">
        <v>716</v>
      </c>
      <c r="D1183" s="8" t="s">
        <v>206</v>
      </c>
      <c r="E1183" s="8" t="s">
        <v>449</v>
      </c>
      <c r="F1183" s="8">
        <v>4</v>
      </c>
      <c r="G1183" s="8">
        <v>0</v>
      </c>
      <c r="H1183" s="8">
        <v>0</v>
      </c>
      <c r="I1183" s="11">
        <v>-1.5</v>
      </c>
      <c r="J1183" s="11">
        <v>0.4444444444444444</v>
      </c>
      <c r="K1183" s="8" t="s">
        <v>795</v>
      </c>
      <c r="L1183" s="8" t="s">
        <v>796</v>
      </c>
      <c r="M1183" s="8" t="s">
        <v>797</v>
      </c>
      <c r="N1183" s="8" t="s">
        <v>791</v>
      </c>
      <c r="O1183" s="8" t="s">
        <v>798</v>
      </c>
      <c r="R1183" s="8">
        <v>92</v>
      </c>
    </row>
    <row r="1184" spans="1:18" ht="25" customHeight="1">
      <c r="A1184" s="12">
        <v>1037</v>
      </c>
      <c r="B1184" s="8">
        <v>3</v>
      </c>
      <c r="C1184" s="8" t="s">
        <v>711</v>
      </c>
      <c r="D1184" s="8" t="s">
        <v>206</v>
      </c>
      <c r="E1184" s="8" t="s">
        <v>605</v>
      </c>
      <c r="F1184" s="8">
        <v>2</v>
      </c>
      <c r="G1184" s="8">
        <v>0</v>
      </c>
      <c r="H1184" s="8">
        <v>0</v>
      </c>
      <c r="I1184" s="8">
        <v>9</v>
      </c>
      <c r="J1184" s="11">
        <v>0.2222222222222222</v>
      </c>
      <c r="K1184" s="8" t="s">
        <v>791</v>
      </c>
      <c r="L1184" s="8" t="s">
        <v>792</v>
      </c>
      <c r="M1184" s="8" t="s">
        <v>793</v>
      </c>
      <c r="N1184" s="8" t="s">
        <v>791</v>
      </c>
      <c r="O1184" s="8" t="s">
        <v>794</v>
      </c>
      <c r="R1184" s="8">
        <v>94</v>
      </c>
    </row>
    <row r="1185" spans="1:18" ht="25" customHeight="1">
      <c r="A1185" s="12">
        <v>1038</v>
      </c>
      <c r="B1185" s="8">
        <v>3</v>
      </c>
      <c r="C1185" s="8" t="s">
        <v>716</v>
      </c>
      <c r="D1185" s="8" t="s">
        <v>206</v>
      </c>
      <c r="E1185" s="8" t="s">
        <v>465</v>
      </c>
      <c r="F1185" s="8">
        <v>2</v>
      </c>
      <c r="G1185" s="11">
        <v>0.5</v>
      </c>
      <c r="H1185" s="8">
        <v>0</v>
      </c>
      <c r="I1185" s="8">
        <v>5</v>
      </c>
      <c r="J1185" s="11">
        <v>0.2222222222222222</v>
      </c>
      <c r="K1185" s="8" t="s">
        <v>791</v>
      </c>
      <c r="L1185" s="8" t="s">
        <v>792</v>
      </c>
      <c r="M1185" s="8" t="s">
        <v>793</v>
      </c>
      <c r="N1185" s="8" t="s">
        <v>791</v>
      </c>
      <c r="O1185" s="8" t="s">
        <v>794</v>
      </c>
      <c r="R1185" s="8">
        <v>97</v>
      </c>
    </row>
    <row r="1186" spans="1:18" ht="25" customHeight="1">
      <c r="A1186" s="12">
        <v>1039</v>
      </c>
      <c r="B1186" s="8">
        <v>3</v>
      </c>
      <c r="C1186" s="8" t="s">
        <v>711</v>
      </c>
      <c r="D1186" s="8" t="s">
        <v>206</v>
      </c>
      <c r="E1186" s="8" t="s">
        <v>428</v>
      </c>
      <c r="F1186" s="8">
        <v>2</v>
      </c>
      <c r="G1186" s="8">
        <v>0</v>
      </c>
      <c r="H1186" s="8">
        <v>0</v>
      </c>
      <c r="I1186" s="8">
        <v>1</v>
      </c>
      <c r="J1186" s="11">
        <v>0.2222222222222222</v>
      </c>
      <c r="K1186" s="8" t="s">
        <v>791</v>
      </c>
      <c r="L1186" s="8" t="s">
        <v>792</v>
      </c>
      <c r="M1186" s="8" t="s">
        <v>793</v>
      </c>
      <c r="N1186" s="8" t="s">
        <v>791</v>
      </c>
      <c r="O1186" s="8" t="s">
        <v>794</v>
      </c>
      <c r="R1186" s="8">
        <v>99</v>
      </c>
    </row>
    <row r="1187" spans="1:18" ht="25" customHeight="1">
      <c r="A1187" s="12">
        <v>1040</v>
      </c>
      <c r="B1187" s="8">
        <v>3</v>
      </c>
      <c r="C1187" s="8" t="s">
        <v>720</v>
      </c>
      <c r="D1187" s="8" t="s">
        <v>206</v>
      </c>
      <c r="E1187" s="8" t="s">
        <v>428</v>
      </c>
      <c r="F1187" s="8">
        <v>2</v>
      </c>
      <c r="G1187" s="11">
        <v>0.5</v>
      </c>
      <c r="H1187" s="8">
        <v>0</v>
      </c>
      <c r="I1187" s="8">
        <v>1</v>
      </c>
      <c r="J1187" s="11">
        <v>0.4</v>
      </c>
      <c r="K1187" s="8" t="s">
        <v>791</v>
      </c>
      <c r="L1187" s="8" t="s">
        <v>796</v>
      </c>
      <c r="M1187" s="8" t="s">
        <v>797</v>
      </c>
      <c r="N1187" s="8" t="s">
        <v>791</v>
      </c>
      <c r="O1187" s="8" t="s">
        <v>798</v>
      </c>
      <c r="R1187" s="8">
        <v>104</v>
      </c>
    </row>
    <row r="1188" spans="1:18" ht="25" customHeight="1">
      <c r="A1188" s="12">
        <v>1041</v>
      </c>
      <c r="B1188" s="8">
        <v>3</v>
      </c>
      <c r="C1188" s="8" t="s">
        <v>720</v>
      </c>
      <c r="D1188" s="8" t="s">
        <v>203</v>
      </c>
      <c r="E1188" s="8" t="s">
        <v>465</v>
      </c>
      <c r="F1188" s="8">
        <v>2</v>
      </c>
      <c r="G1188" s="11">
        <v>0.5</v>
      </c>
      <c r="H1188" s="8">
        <v>0</v>
      </c>
      <c r="I1188" s="8">
        <v>5</v>
      </c>
      <c r="J1188" s="8">
        <v>1</v>
      </c>
      <c r="K1188" s="8" t="s">
        <v>791</v>
      </c>
      <c r="L1188" s="8" t="s">
        <v>796</v>
      </c>
      <c r="M1188" s="8" t="s">
        <v>797</v>
      </c>
      <c r="N1188" s="8" t="s">
        <v>791</v>
      </c>
      <c r="O1188" s="8" t="s">
        <v>798</v>
      </c>
      <c r="R1188" s="8">
        <v>105</v>
      </c>
    </row>
    <row r="1189" spans="1:18" ht="25" customHeight="1">
      <c r="A1189" s="12">
        <v>1515</v>
      </c>
      <c r="B1189" s="8" t="s">
        <v>813</v>
      </c>
    </row>
    <row r="1190" spans="1:18" ht="25" customHeight="1">
      <c r="A1190" s="12">
        <v>1516</v>
      </c>
      <c r="B1190" s="8" t="s">
        <v>687</v>
      </c>
      <c r="C1190" s="8" t="s">
        <v>688</v>
      </c>
      <c r="D1190" s="8" t="s">
        <v>780</v>
      </c>
      <c r="E1190" s="8" t="s">
        <v>814</v>
      </c>
      <c r="F1190" s="8" t="s">
        <v>782</v>
      </c>
      <c r="G1190" s="8" t="s">
        <v>783</v>
      </c>
      <c r="H1190" s="8" t="s">
        <v>784</v>
      </c>
      <c r="I1190" s="8" t="s">
        <v>785</v>
      </c>
      <c r="J1190" s="8" t="s">
        <v>690</v>
      </c>
      <c r="K1190" s="8" t="s">
        <v>786</v>
      </c>
      <c r="L1190" s="8" t="s">
        <v>787</v>
      </c>
      <c r="M1190" s="8" t="s">
        <v>788</v>
      </c>
      <c r="N1190" s="8" t="s">
        <v>789</v>
      </c>
      <c r="O1190" s="8" t="s">
        <v>790</v>
      </c>
    </row>
    <row r="1191" spans="1:18" ht="25" customHeight="1">
      <c r="A1191" s="12">
        <v>1517</v>
      </c>
      <c r="B1191" s="8">
        <v>0</v>
      </c>
      <c r="C1191" s="8" t="s">
        <v>115</v>
      </c>
      <c r="D1191" s="8" t="s">
        <v>120</v>
      </c>
      <c r="E1191" s="8" t="s">
        <v>815</v>
      </c>
      <c r="F1191" s="8">
        <v>2</v>
      </c>
      <c r="G1191" s="8">
        <v>1</v>
      </c>
      <c r="H1191" s="8">
        <v>0</v>
      </c>
      <c r="I1191" s="11">
        <v>6.5</v>
      </c>
      <c r="J1191" s="11">
        <v>0.08333333333333333</v>
      </c>
      <c r="K1191" s="8" t="s">
        <v>791</v>
      </c>
      <c r="L1191" s="8" t="s">
        <v>792</v>
      </c>
      <c r="M1191" s="8" t="s">
        <v>793</v>
      </c>
      <c r="N1191" s="8" t="s">
        <v>795</v>
      </c>
      <c r="O1191" s="8" t="s">
        <v>794</v>
      </c>
      <c r="R1191" s="8">
        <v>4</v>
      </c>
    </row>
    <row r="1192" spans="1:18" ht="25" customHeight="1">
      <c r="A1192" s="12">
        <v>1518</v>
      </c>
      <c r="B1192" s="8">
        <v>0</v>
      </c>
      <c r="C1192" s="8" t="s">
        <v>115</v>
      </c>
      <c r="D1192" s="8" t="s">
        <v>120</v>
      </c>
      <c r="E1192" s="8" t="s">
        <v>49</v>
      </c>
      <c r="F1192" s="8">
        <v>3</v>
      </c>
      <c r="G1192" s="11">
        <v>0.6666666666666666</v>
      </c>
      <c r="H1192" s="11">
        <v>0.3333333333333333</v>
      </c>
      <c r="I1192" s="11">
        <v>6.333333333333333</v>
      </c>
      <c r="J1192" s="11">
        <v>0.125</v>
      </c>
      <c r="K1192" s="8" t="s">
        <v>801</v>
      </c>
      <c r="L1192" s="8" t="s">
        <v>796</v>
      </c>
      <c r="M1192" s="8" t="s">
        <v>797</v>
      </c>
      <c r="N1192" s="8" t="s">
        <v>799</v>
      </c>
      <c r="O1192" s="8" t="s">
        <v>798</v>
      </c>
      <c r="R1192" s="8">
        <v>6</v>
      </c>
    </row>
    <row r="1193" spans="1:18" ht="25" customHeight="1">
      <c r="A1193" s="12">
        <v>1519</v>
      </c>
      <c r="B1193" s="8">
        <v>0</v>
      </c>
      <c r="C1193" s="8" t="s">
        <v>115</v>
      </c>
      <c r="D1193" s="8" t="s">
        <v>803</v>
      </c>
      <c r="E1193" s="8" t="s">
        <v>816</v>
      </c>
      <c r="F1193" s="8">
        <v>3</v>
      </c>
      <c r="G1193" s="11">
        <v>0.3333333333333333</v>
      </c>
      <c r="H1193" s="8">
        <v>0</v>
      </c>
      <c r="I1193" s="8">
        <v>3</v>
      </c>
      <c r="J1193" s="11">
        <v>0.6</v>
      </c>
      <c r="K1193" s="8" t="s">
        <v>801</v>
      </c>
      <c r="L1193" s="8" t="s">
        <v>804</v>
      </c>
      <c r="M1193" s="8" t="s">
        <v>805</v>
      </c>
      <c r="N1193" s="8" t="s">
        <v>795</v>
      </c>
      <c r="O1193" s="8" t="s">
        <v>806</v>
      </c>
      <c r="R1193" s="8">
        <v>19</v>
      </c>
    </row>
    <row r="1194" spans="1:18" ht="25" customHeight="1">
      <c r="A1194" s="12">
        <v>1520</v>
      </c>
      <c r="B1194" s="8">
        <v>0</v>
      </c>
      <c r="C1194" s="8" t="s">
        <v>115</v>
      </c>
      <c r="D1194" s="8" t="s">
        <v>120</v>
      </c>
      <c r="E1194" s="8" t="s">
        <v>817</v>
      </c>
      <c r="F1194" s="8">
        <v>2</v>
      </c>
      <c r="G1194" s="8">
        <v>0</v>
      </c>
      <c r="H1194" s="8">
        <v>0</v>
      </c>
      <c r="I1194" s="11">
        <v>1.5</v>
      </c>
      <c r="J1194" s="11">
        <v>0.08333333333333333</v>
      </c>
      <c r="K1194" s="8" t="s">
        <v>791</v>
      </c>
      <c r="L1194" s="8" t="s">
        <v>792</v>
      </c>
      <c r="M1194" s="8" t="s">
        <v>793</v>
      </c>
      <c r="N1194" s="8" t="s">
        <v>791</v>
      </c>
      <c r="O1194" s="8" t="s">
        <v>794</v>
      </c>
      <c r="R1194" s="8">
        <v>22</v>
      </c>
    </row>
    <row r="1195" spans="1:18" ht="25" customHeight="1">
      <c r="A1195" s="12">
        <v>1521</v>
      </c>
      <c r="B1195" s="8">
        <v>0</v>
      </c>
      <c r="C1195" s="8" t="s">
        <v>115</v>
      </c>
      <c r="D1195" s="8" t="s">
        <v>803</v>
      </c>
      <c r="E1195" s="8" t="s">
        <v>818</v>
      </c>
      <c r="F1195" s="8">
        <v>2</v>
      </c>
      <c r="G1195" s="11">
        <v>0.5</v>
      </c>
      <c r="H1195" s="8">
        <v>0</v>
      </c>
      <c r="I1195" s="11">
        <v>2.5</v>
      </c>
      <c r="J1195" s="11">
        <v>0.4</v>
      </c>
      <c r="K1195" s="8" t="s">
        <v>791</v>
      </c>
      <c r="L1195" s="8" t="s">
        <v>796</v>
      </c>
      <c r="M1195" s="8" t="s">
        <v>797</v>
      </c>
      <c r="N1195" s="8" t="s">
        <v>791</v>
      </c>
      <c r="O1195" s="8" t="s">
        <v>798</v>
      </c>
      <c r="R1195" s="8">
        <v>23</v>
      </c>
    </row>
    <row r="1196" spans="1:18" ht="25" customHeight="1">
      <c r="A1196" s="12">
        <v>1522</v>
      </c>
      <c r="B1196" s="8">
        <v>1</v>
      </c>
      <c r="C1196" s="8" t="s">
        <v>716</v>
      </c>
      <c r="D1196" s="8" t="s">
        <v>120</v>
      </c>
      <c r="E1196" s="8" t="s">
        <v>819</v>
      </c>
      <c r="F1196" s="8">
        <v>2</v>
      </c>
      <c r="G1196" s="11">
        <v>0.5</v>
      </c>
      <c r="H1196" s="8">
        <v>0</v>
      </c>
      <c r="I1196" s="8">
        <v>4</v>
      </c>
      <c r="J1196" s="11">
        <v>0.09523809523809523</v>
      </c>
      <c r="K1196" s="8" t="s">
        <v>791</v>
      </c>
      <c r="L1196" s="8" t="s">
        <v>792</v>
      </c>
      <c r="M1196" s="8" t="s">
        <v>793</v>
      </c>
      <c r="N1196" s="8" t="s">
        <v>791</v>
      </c>
      <c r="O1196" s="8" t="s">
        <v>794</v>
      </c>
      <c r="R1196" s="8">
        <v>31</v>
      </c>
    </row>
    <row r="1197" spans="1:18" ht="25" customHeight="1">
      <c r="A1197" s="12">
        <v>1523</v>
      </c>
      <c r="B1197" s="8">
        <v>1</v>
      </c>
      <c r="C1197" s="8" t="s">
        <v>716</v>
      </c>
      <c r="D1197" s="8" t="s">
        <v>120</v>
      </c>
      <c r="E1197" s="8" t="s">
        <v>816</v>
      </c>
      <c r="F1197" s="8">
        <v>4</v>
      </c>
      <c r="G1197" s="8">
        <v>0</v>
      </c>
      <c r="H1197" s="8">
        <v>0</v>
      </c>
      <c r="I1197" s="8">
        <v>0</v>
      </c>
      <c r="J1197" s="11">
        <v>0.1904761904761905</v>
      </c>
      <c r="K1197" s="8" t="s">
        <v>795</v>
      </c>
      <c r="L1197" s="8" t="s">
        <v>796</v>
      </c>
      <c r="M1197" s="8" t="s">
        <v>797</v>
      </c>
      <c r="N1197" s="8" t="s">
        <v>791</v>
      </c>
      <c r="O1197" s="8" t="s">
        <v>798</v>
      </c>
      <c r="R1197" s="8">
        <v>36</v>
      </c>
    </row>
    <row r="1198" spans="1:18" ht="25" customHeight="1">
      <c r="A1198" s="12">
        <v>1524</v>
      </c>
      <c r="B1198" s="8">
        <v>2</v>
      </c>
      <c r="C1198" s="8" t="s">
        <v>711</v>
      </c>
      <c r="D1198" s="8" t="s">
        <v>120</v>
      </c>
      <c r="E1198" s="8" t="s">
        <v>816</v>
      </c>
      <c r="F1198" s="8">
        <v>2</v>
      </c>
      <c r="G1198" s="11">
        <v>0.5</v>
      </c>
      <c r="H1198" s="8">
        <v>0</v>
      </c>
      <c r="I1198" s="11">
        <v>5.5</v>
      </c>
      <c r="J1198" s="11">
        <v>0.2857142857142857</v>
      </c>
      <c r="K1198" s="8" t="s">
        <v>791</v>
      </c>
      <c r="L1198" s="8" t="s">
        <v>796</v>
      </c>
      <c r="M1198" s="8" t="s">
        <v>797</v>
      </c>
      <c r="N1198" s="8" t="s">
        <v>791</v>
      </c>
      <c r="O1198" s="8" t="s">
        <v>798</v>
      </c>
      <c r="R1198" s="8">
        <v>66</v>
      </c>
    </row>
    <row r="1199" spans="1:18" ht="25" customHeight="1">
      <c r="A1199" s="12">
        <v>1525</v>
      </c>
      <c r="B1199" s="8">
        <v>2</v>
      </c>
      <c r="C1199" s="8" t="s">
        <v>716</v>
      </c>
      <c r="D1199" s="8" t="s">
        <v>120</v>
      </c>
      <c r="E1199" s="8" t="s">
        <v>816</v>
      </c>
      <c r="F1199" s="8">
        <v>4</v>
      </c>
      <c r="G1199" s="11">
        <v>0.5</v>
      </c>
      <c r="H1199" s="8">
        <v>0</v>
      </c>
      <c r="I1199" s="11">
        <v>1.75</v>
      </c>
      <c r="J1199" s="11">
        <v>0.1739130434782609</v>
      </c>
      <c r="K1199" s="8" t="s">
        <v>795</v>
      </c>
      <c r="L1199" s="8" t="s">
        <v>796</v>
      </c>
      <c r="M1199" s="8" t="s">
        <v>797</v>
      </c>
      <c r="N1199" s="8" t="s">
        <v>791</v>
      </c>
      <c r="O1199" s="8" t="s">
        <v>798</v>
      </c>
      <c r="R1199" s="8">
        <v>74</v>
      </c>
    </row>
    <row r="1200" spans="1:18" ht="25" customHeight="1">
      <c r="A1200" s="12">
        <v>1526</v>
      </c>
      <c r="B1200" s="8">
        <v>3</v>
      </c>
      <c r="C1200" s="8" t="s">
        <v>716</v>
      </c>
      <c r="D1200" s="8" t="s">
        <v>120</v>
      </c>
      <c r="E1200" s="8" t="s">
        <v>820</v>
      </c>
      <c r="F1200" s="8">
        <v>2</v>
      </c>
      <c r="G1200" s="8">
        <v>0</v>
      </c>
      <c r="H1200" s="8">
        <v>0</v>
      </c>
      <c r="I1200" s="11">
        <v>5.5</v>
      </c>
      <c r="J1200" s="11">
        <v>0.1538461538461539</v>
      </c>
      <c r="K1200" s="8" t="s">
        <v>791</v>
      </c>
      <c r="L1200" s="8" t="s">
        <v>792</v>
      </c>
      <c r="M1200" s="8" t="s">
        <v>793</v>
      </c>
      <c r="N1200" s="8" t="s">
        <v>791</v>
      </c>
      <c r="O1200" s="8" t="s">
        <v>794</v>
      </c>
      <c r="R1200" s="8">
        <v>106</v>
      </c>
    </row>
    <row r="1201" spans="1:18" ht="25" customHeight="1">
      <c r="A1201" s="12">
        <v>1527</v>
      </c>
      <c r="B1201" s="8">
        <v>3</v>
      </c>
      <c r="C1201" s="8" t="s">
        <v>706</v>
      </c>
      <c r="D1201" s="8" t="s">
        <v>120</v>
      </c>
      <c r="E1201" s="8" t="s">
        <v>820</v>
      </c>
      <c r="F1201" s="8">
        <v>2</v>
      </c>
      <c r="G1201" s="8">
        <v>0</v>
      </c>
      <c r="H1201" s="8">
        <v>0</v>
      </c>
      <c r="I1201" s="11">
        <v>0.5</v>
      </c>
      <c r="J1201" s="11">
        <v>0.5</v>
      </c>
      <c r="K1201" s="8" t="s">
        <v>791</v>
      </c>
      <c r="L1201" s="8" t="s">
        <v>796</v>
      </c>
      <c r="M1201" s="8" t="s">
        <v>797</v>
      </c>
      <c r="N1201" s="8" t="s">
        <v>791</v>
      </c>
      <c r="O1201" s="8" t="s">
        <v>798</v>
      </c>
      <c r="R1201" s="8">
        <v>110</v>
      </c>
    </row>
    <row r="1202" spans="1:18" ht="25" customHeight="1">
      <c r="A1202" s="12">
        <v>1528</v>
      </c>
      <c r="B1202" s="8">
        <v>3</v>
      </c>
      <c r="C1202" s="8" t="s">
        <v>716</v>
      </c>
      <c r="D1202" s="8" t="s">
        <v>120</v>
      </c>
      <c r="E1202" s="8" t="s">
        <v>821</v>
      </c>
      <c r="F1202" s="8">
        <v>2</v>
      </c>
      <c r="G1202" s="8">
        <v>0</v>
      </c>
      <c r="H1202" s="8">
        <v>0</v>
      </c>
      <c r="I1202" s="8">
        <v>0</v>
      </c>
      <c r="J1202" s="11">
        <v>0.1538461538461539</v>
      </c>
      <c r="K1202" s="8" t="s">
        <v>791</v>
      </c>
      <c r="L1202" s="8" t="s">
        <v>792</v>
      </c>
      <c r="M1202" s="8" t="s">
        <v>793</v>
      </c>
      <c r="N1202" s="8" t="s">
        <v>791</v>
      </c>
      <c r="O1202" s="8" t="s">
        <v>794</v>
      </c>
      <c r="R1202" s="8">
        <v>112</v>
      </c>
    </row>
    <row r="1203" spans="1:18" ht="25" customHeight="1">
      <c r="A1203" s="12">
        <v>1529</v>
      </c>
      <c r="B1203" s="8">
        <v>3</v>
      </c>
      <c r="C1203" s="8" t="s">
        <v>711</v>
      </c>
      <c r="D1203" s="8" t="s">
        <v>120</v>
      </c>
      <c r="E1203" s="8" t="s">
        <v>49</v>
      </c>
      <c r="F1203" s="8">
        <v>2</v>
      </c>
      <c r="G1203" s="8">
        <v>0</v>
      </c>
      <c r="H1203" s="8">
        <v>0</v>
      </c>
      <c r="I1203" s="8">
        <v>9</v>
      </c>
      <c r="J1203" s="11">
        <v>0.1818181818181818</v>
      </c>
      <c r="K1203" s="8" t="s">
        <v>791</v>
      </c>
      <c r="L1203" s="8" t="s">
        <v>792</v>
      </c>
      <c r="M1203" s="8" t="s">
        <v>793</v>
      </c>
      <c r="N1203" s="8" t="s">
        <v>791</v>
      </c>
      <c r="O1203" s="8" t="s">
        <v>794</v>
      </c>
      <c r="R1203" s="8">
        <v>115</v>
      </c>
    </row>
    <row r="1204" spans="1:18" ht="25" customHeight="1">
      <c r="A1204" s="12">
        <v>1530</v>
      </c>
      <c r="B1204" s="8">
        <v>3</v>
      </c>
      <c r="C1204" s="8" t="s">
        <v>720</v>
      </c>
      <c r="D1204" s="8" t="s">
        <v>175</v>
      </c>
      <c r="E1204" s="8" t="s">
        <v>816</v>
      </c>
      <c r="F1204" s="8">
        <v>2</v>
      </c>
      <c r="G1204" s="8">
        <v>0</v>
      </c>
      <c r="H1204" s="8">
        <v>0</v>
      </c>
      <c r="I1204" s="8">
        <v>3</v>
      </c>
      <c r="J1204" s="8">
        <v>1</v>
      </c>
      <c r="K1204" s="8" t="s">
        <v>791</v>
      </c>
      <c r="L1204" s="8" t="s">
        <v>796</v>
      </c>
      <c r="M1204" s="8" t="s">
        <v>797</v>
      </c>
      <c r="N1204" s="8" t="s">
        <v>791</v>
      </c>
      <c r="O1204" s="8" t="s">
        <v>798</v>
      </c>
      <c r="R1204" s="8">
        <v>129</v>
      </c>
    </row>
    <row r="1205" spans="1:18" ht="25" customHeight="1">
      <c r="A1205" s="12">
        <v>2018</v>
      </c>
      <c r="B1205" s="8" t="s">
        <v>822</v>
      </c>
    </row>
    <row r="1206" spans="1:18" ht="25" customHeight="1">
      <c r="A1206" s="12">
        <v>2019</v>
      </c>
      <c r="B1206" s="8" t="s">
        <v>687</v>
      </c>
      <c r="C1206" s="8" t="s">
        <v>688</v>
      </c>
      <c r="D1206" s="8" t="s">
        <v>810</v>
      </c>
      <c r="E1206" s="8" t="s">
        <v>814</v>
      </c>
      <c r="F1206" s="8" t="s">
        <v>782</v>
      </c>
      <c r="G1206" s="8" t="s">
        <v>783</v>
      </c>
      <c r="H1206" s="8" t="s">
        <v>784</v>
      </c>
      <c r="I1206" s="8" t="s">
        <v>785</v>
      </c>
      <c r="J1206" s="8" t="s">
        <v>690</v>
      </c>
      <c r="K1206" s="8" t="s">
        <v>786</v>
      </c>
      <c r="L1206" s="8" t="s">
        <v>787</v>
      </c>
      <c r="M1206" s="8" t="s">
        <v>788</v>
      </c>
      <c r="N1206" s="8" t="s">
        <v>789</v>
      </c>
      <c r="O1206" s="8" t="s">
        <v>790</v>
      </c>
    </row>
    <row r="1207" spans="1:18" ht="25" customHeight="1">
      <c r="A1207" s="12">
        <v>2020</v>
      </c>
      <c r="B1207" s="8">
        <v>0</v>
      </c>
      <c r="C1207" s="8" t="s">
        <v>115</v>
      </c>
      <c r="D1207" s="8" t="s">
        <v>203</v>
      </c>
      <c r="E1207" s="8" t="s">
        <v>49</v>
      </c>
      <c r="F1207" s="8">
        <v>2</v>
      </c>
      <c r="G1207" s="11">
        <v>0.5</v>
      </c>
      <c r="H1207" s="11">
        <v>0.5</v>
      </c>
      <c r="I1207" s="8">
        <v>8</v>
      </c>
      <c r="J1207" s="11">
        <v>0.1052631578947368</v>
      </c>
      <c r="K1207" s="8" t="s">
        <v>791</v>
      </c>
      <c r="L1207" s="8" t="s">
        <v>792</v>
      </c>
      <c r="M1207" s="8" t="s">
        <v>793</v>
      </c>
      <c r="N1207" s="8" t="s">
        <v>799</v>
      </c>
      <c r="O1207" s="8" t="s">
        <v>794</v>
      </c>
      <c r="R1207" s="8">
        <v>6</v>
      </c>
    </row>
    <row r="1208" spans="1:18" ht="25" customHeight="1">
      <c r="A1208" s="12">
        <v>2021</v>
      </c>
      <c r="B1208" s="8">
        <v>0</v>
      </c>
      <c r="C1208" s="8" t="s">
        <v>115</v>
      </c>
      <c r="D1208" s="8" t="s">
        <v>206</v>
      </c>
      <c r="E1208" s="8" t="s">
        <v>815</v>
      </c>
      <c r="F1208" s="8">
        <v>2</v>
      </c>
      <c r="G1208" s="11">
        <v>0.5</v>
      </c>
      <c r="H1208" s="8">
        <v>0</v>
      </c>
      <c r="I1208" s="8">
        <v>1</v>
      </c>
      <c r="J1208" s="11">
        <v>0.1666666666666667</v>
      </c>
      <c r="K1208" s="8" t="s">
        <v>791</v>
      </c>
      <c r="L1208" s="8" t="s">
        <v>792</v>
      </c>
      <c r="M1208" s="8" t="s">
        <v>793</v>
      </c>
      <c r="N1208" s="8" t="s">
        <v>791</v>
      </c>
      <c r="O1208" s="8" t="s">
        <v>794</v>
      </c>
      <c r="R1208" s="8">
        <v>20</v>
      </c>
    </row>
    <row r="1209" spans="1:18" ht="25" customHeight="1">
      <c r="A1209" s="12">
        <v>2022</v>
      </c>
      <c r="B1209" s="8">
        <v>0</v>
      </c>
      <c r="C1209" s="8" t="s">
        <v>115</v>
      </c>
      <c r="D1209" s="8" t="s">
        <v>203</v>
      </c>
      <c r="E1209" s="8" t="s">
        <v>816</v>
      </c>
      <c r="F1209" s="8">
        <v>2</v>
      </c>
      <c r="G1209" s="11">
        <v>0.5</v>
      </c>
      <c r="H1209" s="8">
        <v>0</v>
      </c>
      <c r="I1209" s="8">
        <v>4</v>
      </c>
      <c r="J1209" s="11">
        <v>0.1052631578947368</v>
      </c>
      <c r="K1209" s="8" t="s">
        <v>791</v>
      </c>
      <c r="L1209" s="8" t="s">
        <v>792</v>
      </c>
      <c r="M1209" s="8" t="s">
        <v>793</v>
      </c>
      <c r="N1209" s="8" t="s">
        <v>791</v>
      </c>
      <c r="O1209" s="8" t="s">
        <v>794</v>
      </c>
      <c r="R1209" s="8">
        <v>21</v>
      </c>
    </row>
    <row r="1210" spans="1:18" ht="25" customHeight="1">
      <c r="A1210" s="12">
        <v>2023</v>
      </c>
      <c r="B1210" s="8">
        <v>0</v>
      </c>
      <c r="C1210" s="8" t="s">
        <v>115</v>
      </c>
      <c r="D1210" s="8" t="s">
        <v>206</v>
      </c>
      <c r="E1210" s="8" t="s">
        <v>817</v>
      </c>
      <c r="F1210" s="8">
        <v>2</v>
      </c>
      <c r="G1210" s="8">
        <v>0</v>
      </c>
      <c r="H1210" s="8">
        <v>0</v>
      </c>
      <c r="I1210" s="11">
        <v>1.5</v>
      </c>
      <c r="J1210" s="11">
        <v>0.1666666666666667</v>
      </c>
      <c r="K1210" s="8" t="s">
        <v>791</v>
      </c>
      <c r="L1210" s="8" t="s">
        <v>792</v>
      </c>
      <c r="M1210" s="8" t="s">
        <v>793</v>
      </c>
      <c r="N1210" s="8" t="s">
        <v>791</v>
      </c>
      <c r="O1210" s="8" t="s">
        <v>794</v>
      </c>
      <c r="R1210" s="8">
        <v>23</v>
      </c>
    </row>
    <row r="1211" spans="1:18" ht="25" customHeight="1">
      <c r="A1211" s="12">
        <v>2024</v>
      </c>
      <c r="B1211" s="8">
        <v>0</v>
      </c>
      <c r="C1211" s="8" t="s">
        <v>115</v>
      </c>
      <c r="D1211" s="8" t="s">
        <v>811</v>
      </c>
      <c r="E1211" s="8" t="s">
        <v>816</v>
      </c>
      <c r="F1211" s="8">
        <v>2</v>
      </c>
      <c r="G1211" s="8">
        <v>0</v>
      </c>
      <c r="H1211" s="8">
        <v>0</v>
      </c>
      <c r="I1211" s="11">
        <v>1.5</v>
      </c>
      <c r="J1211" s="11">
        <v>0.6666666666666666</v>
      </c>
      <c r="K1211" s="8" t="s">
        <v>791</v>
      </c>
      <c r="L1211" s="8" t="s">
        <v>796</v>
      </c>
      <c r="M1211" s="8" t="s">
        <v>797</v>
      </c>
      <c r="N1211" s="8" t="s">
        <v>791</v>
      </c>
      <c r="O1211" s="8" t="s">
        <v>798</v>
      </c>
      <c r="R1211" s="8">
        <v>24</v>
      </c>
    </row>
    <row r="1212" spans="1:18" ht="25" customHeight="1">
      <c r="A1212" s="12">
        <v>2025</v>
      </c>
      <c r="B1212" s="8">
        <v>0</v>
      </c>
      <c r="C1212" s="8" t="s">
        <v>115</v>
      </c>
      <c r="D1212" s="8" t="s">
        <v>203</v>
      </c>
      <c r="E1212" s="8" t="s">
        <v>818</v>
      </c>
      <c r="F1212" s="8">
        <v>2</v>
      </c>
      <c r="G1212" s="11">
        <v>0.5</v>
      </c>
      <c r="H1212" s="8">
        <v>0</v>
      </c>
      <c r="I1212" s="11">
        <v>2.5</v>
      </c>
      <c r="J1212" s="11">
        <v>0.1052631578947368</v>
      </c>
      <c r="K1212" s="8" t="s">
        <v>791</v>
      </c>
      <c r="L1212" s="8" t="s">
        <v>792</v>
      </c>
      <c r="M1212" s="8" t="s">
        <v>793</v>
      </c>
      <c r="N1212" s="8" t="s">
        <v>791</v>
      </c>
      <c r="O1212" s="8" t="s">
        <v>794</v>
      </c>
      <c r="R1212" s="8">
        <v>25</v>
      </c>
    </row>
    <row r="1213" spans="1:18" ht="25" customHeight="1">
      <c r="A1213" s="12">
        <v>2026</v>
      </c>
      <c r="B1213" s="8">
        <v>0</v>
      </c>
      <c r="C1213" s="8" t="s">
        <v>115</v>
      </c>
      <c r="D1213" s="8" t="s">
        <v>206</v>
      </c>
      <c r="E1213" s="8" t="s">
        <v>823</v>
      </c>
      <c r="F1213" s="8">
        <v>2</v>
      </c>
      <c r="G1213" s="11">
        <v>0.5</v>
      </c>
      <c r="H1213" s="11">
        <v>0.5</v>
      </c>
      <c r="I1213" s="8">
        <v>7</v>
      </c>
      <c r="J1213" s="11">
        <v>0.1666666666666667</v>
      </c>
      <c r="K1213" s="8" t="s">
        <v>791</v>
      </c>
      <c r="L1213" s="8" t="s">
        <v>792</v>
      </c>
      <c r="M1213" s="8" t="s">
        <v>793</v>
      </c>
      <c r="N1213" s="8" t="s">
        <v>799</v>
      </c>
      <c r="O1213" s="8" t="s">
        <v>794</v>
      </c>
      <c r="R1213" s="8">
        <v>27</v>
      </c>
    </row>
    <row r="1214" spans="1:18" ht="25" customHeight="1">
      <c r="A1214" s="12">
        <v>2027</v>
      </c>
      <c r="B1214" s="8">
        <v>1</v>
      </c>
      <c r="C1214" s="8" t="s">
        <v>716</v>
      </c>
      <c r="D1214" s="8" t="s">
        <v>203</v>
      </c>
      <c r="E1214" s="8" t="s">
        <v>816</v>
      </c>
      <c r="F1214" s="8">
        <v>4</v>
      </c>
      <c r="G1214" s="8">
        <v>0</v>
      </c>
      <c r="H1214" s="8">
        <v>0</v>
      </c>
      <c r="I1214" s="8">
        <v>0</v>
      </c>
      <c r="J1214" s="11">
        <v>0.2666666666666667</v>
      </c>
      <c r="K1214" s="8" t="s">
        <v>795</v>
      </c>
      <c r="L1214" s="8" t="s">
        <v>796</v>
      </c>
      <c r="M1214" s="8" t="s">
        <v>797</v>
      </c>
      <c r="N1214" s="8" t="s">
        <v>791</v>
      </c>
      <c r="O1214" s="8" t="s">
        <v>798</v>
      </c>
      <c r="R1214" s="8">
        <v>32</v>
      </c>
    </row>
    <row r="1215" spans="1:18" ht="25" customHeight="1">
      <c r="A1215" s="12">
        <v>2028</v>
      </c>
      <c r="B1215" s="8">
        <v>2</v>
      </c>
      <c r="C1215" s="8" t="s">
        <v>716</v>
      </c>
      <c r="D1215" s="8" t="s">
        <v>206</v>
      </c>
      <c r="E1215" s="8" t="s">
        <v>816</v>
      </c>
      <c r="F1215" s="8">
        <v>3</v>
      </c>
      <c r="G1215" s="11">
        <v>0.3333333333333333</v>
      </c>
      <c r="H1215" s="8">
        <v>0</v>
      </c>
      <c r="I1215" s="11">
        <v>0.3333333333333333</v>
      </c>
      <c r="J1215" s="11">
        <v>0.3333333333333333</v>
      </c>
      <c r="K1215" s="8" t="s">
        <v>801</v>
      </c>
      <c r="L1215" s="8" t="s">
        <v>796</v>
      </c>
      <c r="M1215" s="8" t="s">
        <v>797</v>
      </c>
      <c r="N1215" s="8" t="s">
        <v>791</v>
      </c>
      <c r="O1215" s="8" t="s">
        <v>798</v>
      </c>
      <c r="R1215" s="8">
        <v>79</v>
      </c>
    </row>
    <row r="1216" spans="1:18" ht="25" customHeight="1">
      <c r="A1216" s="12">
        <v>2029</v>
      </c>
      <c r="B1216" s="8">
        <v>2</v>
      </c>
      <c r="C1216" s="8" t="s">
        <v>720</v>
      </c>
      <c r="D1216" s="8" t="s">
        <v>203</v>
      </c>
      <c r="E1216" s="8" t="s">
        <v>824</v>
      </c>
      <c r="F1216" s="8">
        <v>2</v>
      </c>
      <c r="G1216" s="8">
        <v>1</v>
      </c>
      <c r="H1216" s="8">
        <v>0</v>
      </c>
      <c r="I1216" s="8">
        <v>4</v>
      </c>
      <c r="J1216" s="11">
        <v>0.3333333333333333</v>
      </c>
      <c r="K1216" s="8" t="s">
        <v>791</v>
      </c>
      <c r="L1216" s="8" t="s">
        <v>796</v>
      </c>
      <c r="M1216" s="8" t="s">
        <v>797</v>
      </c>
      <c r="N1216" s="8" t="s">
        <v>795</v>
      </c>
      <c r="O1216" s="8" t="s">
        <v>798</v>
      </c>
      <c r="R1216" s="8">
        <v>99</v>
      </c>
    </row>
    <row r="1217" spans="1:24" ht="25" customHeight="1">
      <c r="A1217" s="12">
        <v>2030</v>
      </c>
      <c r="B1217" s="8">
        <v>3</v>
      </c>
      <c r="C1217" s="8" t="s">
        <v>716</v>
      </c>
      <c r="D1217" s="8" t="s">
        <v>203</v>
      </c>
      <c r="E1217" s="8" t="s">
        <v>820</v>
      </c>
      <c r="F1217" s="8">
        <v>2</v>
      </c>
      <c r="G1217" s="8">
        <v>0</v>
      </c>
      <c r="H1217" s="8">
        <v>0</v>
      </c>
      <c r="I1217" s="11">
        <v>5.5</v>
      </c>
      <c r="J1217" s="11">
        <v>0.5</v>
      </c>
      <c r="K1217" s="8" t="s">
        <v>791</v>
      </c>
      <c r="L1217" s="8" t="s">
        <v>796</v>
      </c>
      <c r="M1217" s="8" t="s">
        <v>797</v>
      </c>
      <c r="N1217" s="8" t="s">
        <v>791</v>
      </c>
      <c r="O1217" s="8" t="s">
        <v>798</v>
      </c>
      <c r="R1217" s="8">
        <v>107</v>
      </c>
    </row>
    <row r="1218" spans="1:24" ht="25" customHeight="1">
      <c r="A1218" s="12">
        <v>2031</v>
      </c>
      <c r="B1218" s="8">
        <v>3</v>
      </c>
      <c r="C1218" s="8" t="s">
        <v>706</v>
      </c>
      <c r="D1218" s="8" t="s">
        <v>206</v>
      </c>
      <c r="E1218" s="8" t="s">
        <v>820</v>
      </c>
      <c r="F1218" s="8">
        <v>2</v>
      </c>
      <c r="G1218" s="8">
        <v>0</v>
      </c>
      <c r="H1218" s="8">
        <v>0</v>
      </c>
      <c r="I1218" s="11">
        <v>0.5</v>
      </c>
      <c r="J1218" s="11">
        <v>0.6666666666666666</v>
      </c>
      <c r="K1218" s="8" t="s">
        <v>791</v>
      </c>
      <c r="L1218" s="8" t="s">
        <v>796</v>
      </c>
      <c r="M1218" s="8" t="s">
        <v>797</v>
      </c>
      <c r="N1218" s="8" t="s">
        <v>791</v>
      </c>
      <c r="O1218" s="8" t="s">
        <v>798</v>
      </c>
      <c r="R1218" s="8">
        <v>111</v>
      </c>
    </row>
    <row r="1219" spans="1:24" ht="25" customHeight="1">
      <c r="A1219" s="12">
        <v>2032</v>
      </c>
      <c r="B1219" s="8">
        <v>3</v>
      </c>
      <c r="C1219" s="8" t="s">
        <v>716</v>
      </c>
      <c r="D1219" s="8" t="s">
        <v>206</v>
      </c>
      <c r="E1219" s="8" t="s">
        <v>821</v>
      </c>
      <c r="F1219" s="8">
        <v>2</v>
      </c>
      <c r="G1219" s="8">
        <v>0</v>
      </c>
      <c r="H1219" s="8">
        <v>0</v>
      </c>
      <c r="I1219" s="8">
        <v>0</v>
      </c>
      <c r="J1219" s="11">
        <v>0.2222222222222222</v>
      </c>
      <c r="K1219" s="8" t="s">
        <v>791</v>
      </c>
      <c r="L1219" s="8" t="s">
        <v>792</v>
      </c>
      <c r="M1219" s="8" t="s">
        <v>793</v>
      </c>
      <c r="N1219" s="8" t="s">
        <v>791</v>
      </c>
      <c r="O1219" s="8" t="s">
        <v>794</v>
      </c>
      <c r="R1219" s="8">
        <v>113</v>
      </c>
    </row>
    <row r="1220" spans="1:24" ht="25" customHeight="1">
      <c r="A1220" s="12">
        <v>2033</v>
      </c>
      <c r="B1220" s="8">
        <v>3</v>
      </c>
      <c r="C1220" s="8" t="s">
        <v>711</v>
      </c>
      <c r="D1220" s="8" t="s">
        <v>206</v>
      </c>
      <c r="E1220" s="8" t="s">
        <v>49</v>
      </c>
      <c r="F1220" s="8">
        <v>2</v>
      </c>
      <c r="G1220" s="8">
        <v>0</v>
      </c>
      <c r="H1220" s="8">
        <v>0</v>
      </c>
      <c r="I1220" s="8">
        <v>9</v>
      </c>
      <c r="J1220" s="11">
        <v>0.2222222222222222</v>
      </c>
      <c r="K1220" s="8" t="s">
        <v>791</v>
      </c>
      <c r="L1220" s="8" t="s">
        <v>792</v>
      </c>
      <c r="M1220" s="8" t="s">
        <v>793</v>
      </c>
      <c r="N1220" s="8" t="s">
        <v>791</v>
      </c>
      <c r="O1220" s="8" t="s">
        <v>794</v>
      </c>
      <c r="R1220" s="8">
        <v>116</v>
      </c>
    </row>
    <row r="1221" spans="1:24" ht="25" customHeight="1">
      <c r="A1221" s="12">
        <v>2034</v>
      </c>
      <c r="B1221" s="8">
        <v>3</v>
      </c>
      <c r="C1221" s="8" t="s">
        <v>720</v>
      </c>
      <c r="D1221" s="8" t="s">
        <v>206</v>
      </c>
      <c r="E1221" s="8" t="s">
        <v>816</v>
      </c>
      <c r="F1221" s="8">
        <v>3</v>
      </c>
      <c r="G1221" s="11">
        <v>0.3333333333333333</v>
      </c>
      <c r="H1221" s="8">
        <v>0</v>
      </c>
      <c r="I1221" s="8">
        <v>3</v>
      </c>
      <c r="J1221" s="11">
        <v>0.6</v>
      </c>
      <c r="K1221" s="8" t="s">
        <v>801</v>
      </c>
      <c r="L1221" s="8" t="s">
        <v>804</v>
      </c>
      <c r="M1221" s="8" t="s">
        <v>805</v>
      </c>
      <c r="N1221" s="8" t="s">
        <v>795</v>
      </c>
      <c r="O1221" s="8" t="s">
        <v>806</v>
      </c>
      <c r="R1221" s="8">
        <v>130</v>
      </c>
    </row>
    <row r="1222" spans="1:24" ht="25" customHeight="1">
      <c r="A1222" s="12">
        <v>2523</v>
      </c>
      <c r="B1222" s="8" t="s">
        <v>825</v>
      </c>
    </row>
    <row r="1223" spans="1:24" ht="25" customHeight="1">
      <c r="A1223" s="12">
        <v>2524</v>
      </c>
      <c r="B1223" s="8" t="s">
        <v>687</v>
      </c>
      <c r="C1223" s="8" t="s">
        <v>688</v>
      </c>
      <c r="D1223" s="8" t="s">
        <v>780</v>
      </c>
      <c r="E1223" s="8" t="s">
        <v>781</v>
      </c>
      <c r="F1223" s="8" t="s">
        <v>826</v>
      </c>
      <c r="G1223" s="8" t="s">
        <v>827</v>
      </c>
      <c r="H1223" s="8" t="s">
        <v>828</v>
      </c>
      <c r="I1223" s="8" t="s">
        <v>829</v>
      </c>
      <c r="J1223" s="8" t="s">
        <v>691</v>
      </c>
      <c r="K1223" s="8" t="s">
        <v>830</v>
      </c>
      <c r="L1223" s="8" t="s">
        <v>831</v>
      </c>
      <c r="M1223" s="8" t="s">
        <v>832</v>
      </c>
      <c r="N1223" s="8" t="s">
        <v>833</v>
      </c>
      <c r="O1223" s="8" t="s">
        <v>692</v>
      </c>
      <c r="P1223" s="8" t="s">
        <v>834</v>
      </c>
      <c r="Q1223" s="8" t="s">
        <v>697</v>
      </c>
      <c r="R1223" s="8" t="s">
        <v>835</v>
      </c>
      <c r="S1223" s="8" t="s">
        <v>836</v>
      </c>
      <c r="T1223" s="8" t="s">
        <v>837</v>
      </c>
      <c r="U1223" s="8" t="s">
        <v>838</v>
      </c>
      <c r="V1223" s="8" t="s">
        <v>839</v>
      </c>
      <c r="W1223" s="8" t="s">
        <v>840</v>
      </c>
      <c r="X1223" s="8" t="s">
        <v>841</v>
      </c>
    </row>
    <row r="1224" spans="1:24" ht="25" customHeight="1">
      <c r="A1224" s="12">
        <v>2525</v>
      </c>
      <c r="B1224" s="8">
        <v>0</v>
      </c>
      <c r="C1224" s="8" t="s">
        <v>115</v>
      </c>
      <c r="D1224" s="8" t="s">
        <v>842</v>
      </c>
      <c r="E1224" s="8" t="s">
        <v>449</v>
      </c>
      <c r="F1224" s="8">
        <v>1</v>
      </c>
      <c r="G1224" s="8">
        <v>1</v>
      </c>
      <c r="H1224" s="8">
        <v>1</v>
      </c>
      <c r="I1224" s="11">
        <v>0.1863354037267081</v>
      </c>
      <c r="J1224" s="11">
        <v>5.366666666666667</v>
      </c>
      <c r="K1224" s="8">
        <v>1</v>
      </c>
      <c r="L1224" s="8">
        <v>0</v>
      </c>
      <c r="M1224" s="8">
        <v>29</v>
      </c>
      <c r="N1224" s="8">
        <v>131</v>
      </c>
      <c r="O1224" s="11">
        <v>0.03606648572281621</v>
      </c>
      <c r="P1224" s="8" t="s">
        <v>700</v>
      </c>
      <c r="Q1224" s="8" t="s">
        <v>843</v>
      </c>
      <c r="R1224" s="8">
        <v>1</v>
      </c>
      <c r="S1224" s="11">
        <v>66.81966757138592</v>
      </c>
      <c r="T1224" s="11">
        <v>0.1863354037267081</v>
      </c>
      <c r="U1224" s="11">
        <v>0.8136645962732919</v>
      </c>
      <c r="V1224" s="11">
        <v>29.81366459627329</v>
      </c>
      <c r="W1224" s="11">
        <v>130.1863354037267</v>
      </c>
      <c r="X1224" s="8" t="s">
        <v>844</v>
      </c>
    </row>
    <row r="1225" spans="1:24" ht="25" customHeight="1">
      <c r="A1225" s="12">
        <v>2526</v>
      </c>
      <c r="B1225" s="8">
        <v>0</v>
      </c>
      <c r="C1225" s="8" t="s">
        <v>115</v>
      </c>
      <c r="D1225" s="8" t="s">
        <v>123</v>
      </c>
      <c r="E1225" s="8" t="s">
        <v>465</v>
      </c>
      <c r="F1225" s="8">
        <v>3</v>
      </c>
      <c r="G1225" s="8">
        <v>1</v>
      </c>
      <c r="H1225" s="11">
        <v>0.3333333333333333</v>
      </c>
      <c r="I1225" s="11">
        <v>0.1677018633540373</v>
      </c>
      <c r="J1225" s="11">
        <v>1.987654320987654</v>
      </c>
      <c r="K1225" s="8">
        <v>1</v>
      </c>
      <c r="L1225" s="8">
        <v>2</v>
      </c>
      <c r="M1225" s="8">
        <v>26</v>
      </c>
      <c r="N1225" s="8">
        <v>132</v>
      </c>
      <c r="O1225" s="11">
        <v>0.438257650256439</v>
      </c>
      <c r="P1225" s="8" t="s">
        <v>700</v>
      </c>
      <c r="Q1225" s="8" t="s">
        <v>845</v>
      </c>
      <c r="R1225" s="8">
        <v>2</v>
      </c>
      <c r="S1225" s="11">
        <v>52.11735372402645</v>
      </c>
      <c r="T1225" s="11">
        <v>0.5031055900621118</v>
      </c>
      <c r="U1225" s="11">
        <v>2.496894409937888</v>
      </c>
      <c r="V1225" s="11">
        <v>26.49689440993789</v>
      </c>
      <c r="W1225" s="11">
        <v>131.5031055900621</v>
      </c>
      <c r="X1225" s="8" t="s">
        <v>846</v>
      </c>
    </row>
    <row r="1226" spans="1:24" ht="25" customHeight="1">
      <c r="A1226" s="12">
        <v>2527</v>
      </c>
      <c r="B1226" s="8">
        <v>0</v>
      </c>
      <c r="C1226" s="8" t="s">
        <v>115</v>
      </c>
      <c r="D1226" s="8" t="s">
        <v>120</v>
      </c>
      <c r="E1226" s="8" t="s">
        <v>449</v>
      </c>
      <c r="F1226" s="8">
        <v>24</v>
      </c>
      <c r="G1226" s="8">
        <v>2</v>
      </c>
      <c r="H1226" s="11">
        <v>0.08333333333333333</v>
      </c>
      <c r="I1226" s="11">
        <v>0.1863354037267081</v>
      </c>
      <c r="J1226" s="11">
        <v>0.4472222222222222</v>
      </c>
      <c r="K1226" s="8">
        <v>2</v>
      </c>
      <c r="L1226" s="8">
        <v>22</v>
      </c>
      <c r="M1226" s="8">
        <v>28</v>
      </c>
      <c r="N1226" s="8">
        <v>109</v>
      </c>
      <c r="O1226" s="11">
        <v>0.1600621595045345</v>
      </c>
      <c r="P1226" s="8" t="s">
        <v>700</v>
      </c>
      <c r="Q1226" s="8" t="s">
        <v>847</v>
      </c>
      <c r="R1226" s="8">
        <v>3</v>
      </c>
      <c r="S1226" s="11">
        <v>49.92746698025511</v>
      </c>
      <c r="T1226" s="11">
        <v>4.472049689440993</v>
      </c>
      <c r="U1226" s="11">
        <v>19.52795031055901</v>
      </c>
      <c r="V1226" s="11">
        <v>25.52795031055901</v>
      </c>
      <c r="W1226" s="11">
        <v>111.472049689441</v>
      </c>
      <c r="X1226" s="8" t="s">
        <v>848</v>
      </c>
    </row>
    <row r="1227" spans="1:24" ht="25" customHeight="1">
      <c r="A1227" s="12">
        <v>2528</v>
      </c>
      <c r="B1227" s="8">
        <v>0</v>
      </c>
      <c r="C1227" s="8" t="s">
        <v>115</v>
      </c>
      <c r="D1227" s="8" t="s">
        <v>120</v>
      </c>
      <c r="E1227" s="8" t="s">
        <v>465</v>
      </c>
      <c r="F1227" s="8">
        <v>24</v>
      </c>
      <c r="G1227" s="8">
        <v>4</v>
      </c>
      <c r="H1227" s="11">
        <v>0.1666666666666667</v>
      </c>
      <c r="I1227" s="11">
        <v>0.1677018633540373</v>
      </c>
      <c r="J1227" s="11">
        <v>0.993827160493827</v>
      </c>
      <c r="K1227" s="8">
        <v>4</v>
      </c>
      <c r="L1227" s="8">
        <v>20</v>
      </c>
      <c r="M1227" s="8">
        <v>23</v>
      </c>
      <c r="N1227" s="8">
        <v>114</v>
      </c>
      <c r="O1227" s="11">
        <v>0.988259215103181</v>
      </c>
      <c r="P1227" s="8" t="s">
        <v>700</v>
      </c>
      <c r="Q1227" s="8" t="s">
        <v>849</v>
      </c>
      <c r="R1227" s="8">
        <v>4</v>
      </c>
      <c r="S1227" s="11">
        <v>51.71302491213841</v>
      </c>
      <c r="T1227" s="11">
        <v>4.024844720496894</v>
      </c>
      <c r="U1227" s="11">
        <v>19.97515527950311</v>
      </c>
      <c r="V1227" s="11">
        <v>22.97515527950311</v>
      </c>
      <c r="W1227" s="11">
        <v>114.0248447204969</v>
      </c>
      <c r="X1227" s="8" t="s">
        <v>850</v>
      </c>
    </row>
    <row r="1228" spans="1:24" ht="25" customHeight="1">
      <c r="A1228" s="12">
        <v>2529</v>
      </c>
      <c r="B1228" s="8">
        <v>0</v>
      </c>
      <c r="C1228" s="8" t="s">
        <v>115</v>
      </c>
      <c r="D1228" s="8" t="s">
        <v>120</v>
      </c>
      <c r="E1228" s="8" t="s">
        <v>471</v>
      </c>
      <c r="F1228" s="8">
        <v>24</v>
      </c>
      <c r="G1228" s="8">
        <v>1</v>
      </c>
      <c r="H1228" s="11">
        <v>0.04166666666666666</v>
      </c>
      <c r="I1228" s="11">
        <v>0.0124223602484472</v>
      </c>
      <c r="J1228" s="11">
        <v>3.354166666666667</v>
      </c>
      <c r="K1228" s="8">
        <v>1</v>
      </c>
      <c r="L1228" s="8">
        <v>23</v>
      </c>
      <c r="M1228" s="8">
        <v>1</v>
      </c>
      <c r="N1228" s="8">
        <v>136</v>
      </c>
      <c r="O1228" s="11">
        <v>0.1608536479771441</v>
      </c>
      <c r="P1228" s="8" t="s">
        <v>700</v>
      </c>
      <c r="Q1228" s="8" t="s">
        <v>851</v>
      </c>
      <c r="R1228" s="8">
        <v>5</v>
      </c>
      <c r="S1228" s="11">
        <v>53.32073176011428</v>
      </c>
      <c r="T1228" s="11">
        <v>0.2981366459627329</v>
      </c>
      <c r="U1228" s="11">
        <v>23.70186335403727</v>
      </c>
      <c r="V1228" s="11">
        <v>1.701863354037267</v>
      </c>
      <c r="W1228" s="11">
        <v>135.2981366459627</v>
      </c>
      <c r="X1228" s="8" t="s">
        <v>852</v>
      </c>
    </row>
    <row r="1229" spans="1:24" ht="25" customHeight="1">
      <c r="A1229" s="12">
        <v>2530</v>
      </c>
      <c r="B1229" s="8">
        <v>0</v>
      </c>
      <c r="C1229" s="8" t="s">
        <v>115</v>
      </c>
      <c r="D1229" s="8" t="s">
        <v>120</v>
      </c>
      <c r="E1229" s="8" t="s">
        <v>468</v>
      </c>
      <c r="F1229" s="8">
        <v>24</v>
      </c>
      <c r="G1229" s="8">
        <v>2</v>
      </c>
      <c r="H1229" s="11">
        <v>0.08333333333333333</v>
      </c>
      <c r="I1229" s="11">
        <v>0.04968944099378882</v>
      </c>
      <c r="J1229" s="11">
        <v>1.677083333333333</v>
      </c>
      <c r="K1229" s="8">
        <v>2</v>
      </c>
      <c r="L1229" s="8">
        <v>22</v>
      </c>
      <c r="M1229" s="8">
        <v>6</v>
      </c>
      <c r="N1229" s="8">
        <v>131</v>
      </c>
      <c r="O1229" s="11">
        <v>0.4109391575048982</v>
      </c>
      <c r="P1229" s="8" t="s">
        <v>700</v>
      </c>
      <c r="Q1229" s="8" t="s">
        <v>853</v>
      </c>
      <c r="R1229" s="8">
        <v>6</v>
      </c>
      <c r="S1229" s="11">
        <v>51.13280421247551</v>
      </c>
      <c r="T1229" s="11">
        <v>1.192546583850932</v>
      </c>
      <c r="U1229" s="11">
        <v>22.80745341614907</v>
      </c>
      <c r="V1229" s="11">
        <v>6.807453416149069</v>
      </c>
      <c r="W1229" s="11">
        <v>130.1925465838509</v>
      </c>
      <c r="X1229" s="8" t="s">
        <v>854</v>
      </c>
    </row>
    <row r="1230" spans="1:24" ht="25" customHeight="1">
      <c r="A1230" s="12">
        <v>2531</v>
      </c>
      <c r="B1230" s="8">
        <v>0</v>
      </c>
      <c r="C1230" s="8" t="s">
        <v>115</v>
      </c>
      <c r="D1230" s="8" t="s">
        <v>120</v>
      </c>
      <c r="E1230" s="8" t="s">
        <v>611</v>
      </c>
      <c r="F1230" s="8">
        <v>24</v>
      </c>
      <c r="G1230" s="8">
        <v>1</v>
      </c>
      <c r="H1230" s="11">
        <v>0.04166666666666666</v>
      </c>
      <c r="I1230" s="11">
        <v>0.01863354037267081</v>
      </c>
      <c r="J1230" s="11">
        <v>2.236111111111111</v>
      </c>
      <c r="K1230" s="8">
        <v>1</v>
      </c>
      <c r="L1230" s="8">
        <v>23</v>
      </c>
      <c r="M1230" s="8">
        <v>2</v>
      </c>
      <c r="N1230" s="8">
        <v>135</v>
      </c>
      <c r="O1230" s="11">
        <v>0.3656869545273346</v>
      </c>
      <c r="P1230" s="8" t="s">
        <v>700</v>
      </c>
      <c r="Q1230" s="8" t="s">
        <v>855</v>
      </c>
      <c r="R1230" s="8">
        <v>7</v>
      </c>
      <c r="S1230" s="11">
        <v>50.06045411625221</v>
      </c>
      <c r="T1230" s="11">
        <v>0.4472049689440994</v>
      </c>
      <c r="U1230" s="11">
        <v>23.5527950310559</v>
      </c>
      <c r="V1230" s="11">
        <v>2.552795031055901</v>
      </c>
      <c r="W1230" s="11">
        <v>134.4472049689441</v>
      </c>
      <c r="X1230" s="8" t="s">
        <v>856</v>
      </c>
    </row>
    <row r="1231" spans="1:24" ht="25" customHeight="1">
      <c r="A1231" s="12">
        <v>2532</v>
      </c>
      <c r="B1231" s="8">
        <v>0</v>
      </c>
      <c r="C1231" s="8" t="s">
        <v>115</v>
      </c>
      <c r="D1231" s="8" t="s">
        <v>120</v>
      </c>
      <c r="E1231" s="8" t="s">
        <v>541</v>
      </c>
      <c r="F1231" s="8">
        <v>24</v>
      </c>
      <c r="G1231" s="8">
        <v>1</v>
      </c>
      <c r="H1231" s="11">
        <v>0.04166666666666666</v>
      </c>
      <c r="I1231" s="11">
        <v>0.02484472049689441</v>
      </c>
      <c r="J1231" s="11">
        <v>1.677083333333333</v>
      </c>
      <c r="K1231" s="8">
        <v>1</v>
      </c>
      <c r="L1231" s="8">
        <v>23</v>
      </c>
      <c r="M1231" s="8">
        <v>3</v>
      </c>
      <c r="N1231" s="8">
        <v>134</v>
      </c>
      <c r="O1231" s="11">
        <v>0.5659958162418475</v>
      </c>
      <c r="P1231" s="8" t="s">
        <v>700</v>
      </c>
      <c r="Q1231" s="8" t="s">
        <v>857</v>
      </c>
      <c r="R1231" s="8">
        <v>8</v>
      </c>
      <c r="S1231" s="11">
        <v>47.94085425212409</v>
      </c>
      <c r="T1231" s="11">
        <v>0.5962732919254659</v>
      </c>
      <c r="U1231" s="11">
        <v>23.40372670807453</v>
      </c>
      <c r="V1231" s="11">
        <v>3.403726708074534</v>
      </c>
      <c r="W1231" s="11">
        <v>133.5962732919255</v>
      </c>
      <c r="X1231" s="8" t="s">
        <v>858</v>
      </c>
    </row>
    <row r="1232" spans="1:24" ht="25" customHeight="1">
      <c r="A1232" s="12">
        <v>2533</v>
      </c>
      <c r="B1232" s="8">
        <v>0</v>
      </c>
      <c r="C1232" s="8" t="s">
        <v>115</v>
      </c>
      <c r="D1232" s="8" t="s">
        <v>120</v>
      </c>
      <c r="E1232" s="8" t="s">
        <v>474</v>
      </c>
      <c r="F1232" s="8">
        <v>24</v>
      </c>
      <c r="G1232" s="8">
        <v>1</v>
      </c>
      <c r="H1232" s="11">
        <v>0.04166666666666666</v>
      </c>
      <c r="I1232" s="11">
        <v>0.05590062111801242</v>
      </c>
      <c r="J1232" s="11">
        <v>0.7453703703703703</v>
      </c>
      <c r="K1232" s="8">
        <v>1</v>
      </c>
      <c r="L1232" s="8">
        <v>23</v>
      </c>
      <c r="M1232" s="8">
        <v>8</v>
      </c>
      <c r="N1232" s="8">
        <v>129</v>
      </c>
      <c r="O1232" s="11">
        <v>0.7421151588693573</v>
      </c>
      <c r="P1232" s="8" t="s">
        <v>700</v>
      </c>
      <c r="Q1232" s="8" t="s">
        <v>859</v>
      </c>
      <c r="R1232" s="8">
        <v>9</v>
      </c>
      <c r="S1232" s="11">
        <v>45.19683161306062</v>
      </c>
      <c r="T1232" s="11">
        <v>1.341614906832298</v>
      </c>
      <c r="U1232" s="11">
        <v>22.6583850931677</v>
      </c>
      <c r="V1232" s="11">
        <v>7.658385093167702</v>
      </c>
      <c r="W1232" s="11">
        <v>129.3416149068323</v>
      </c>
      <c r="X1232" s="8" t="s">
        <v>860</v>
      </c>
    </row>
    <row r="1233" spans="1:24" ht="25" customHeight="1">
      <c r="A1233" s="12">
        <v>2534</v>
      </c>
      <c r="B1233" s="8">
        <v>0</v>
      </c>
      <c r="C1233" s="8" t="s">
        <v>115</v>
      </c>
      <c r="D1233" s="8" t="s">
        <v>120</v>
      </c>
      <c r="E1233" s="8" t="s">
        <v>428</v>
      </c>
      <c r="F1233" s="8">
        <v>24</v>
      </c>
      <c r="G1233" s="8">
        <v>4</v>
      </c>
      <c r="H1233" s="11">
        <v>0.1666666666666667</v>
      </c>
      <c r="I1233" s="11">
        <v>0.2670807453416149</v>
      </c>
      <c r="J1233" s="11">
        <v>0.624031007751938</v>
      </c>
      <c r="K1233" s="8">
        <v>4</v>
      </c>
      <c r="L1233" s="8">
        <v>20</v>
      </c>
      <c r="M1233" s="8">
        <v>39</v>
      </c>
      <c r="N1233" s="8">
        <v>98</v>
      </c>
      <c r="O1233" s="11">
        <v>0.2280785441094601</v>
      </c>
      <c r="P1233" s="8" t="s">
        <v>861</v>
      </c>
      <c r="Q1233" s="8" t="s">
        <v>862</v>
      </c>
      <c r="R1233" s="8">
        <v>10</v>
      </c>
      <c r="S1233" s="11">
        <v>19.77433596162324</v>
      </c>
      <c r="T1233" s="11">
        <v>6.409937888198757</v>
      </c>
      <c r="U1233" s="11">
        <v>17.59006211180124</v>
      </c>
      <c r="V1233" s="11">
        <v>36.59006211180125</v>
      </c>
      <c r="W1233" s="11">
        <v>100.4099378881988</v>
      </c>
      <c r="X1233" s="8" t="s">
        <v>863</v>
      </c>
    </row>
    <row r="1234" spans="1:24" ht="25" customHeight="1">
      <c r="A1234" s="12">
        <v>2535</v>
      </c>
      <c r="B1234" s="8">
        <v>0</v>
      </c>
      <c r="C1234" s="8" t="s">
        <v>115</v>
      </c>
      <c r="D1234" s="8" t="s">
        <v>120</v>
      </c>
      <c r="E1234" s="8" t="s">
        <v>574</v>
      </c>
      <c r="F1234" s="8">
        <v>24</v>
      </c>
      <c r="G1234" s="8">
        <v>2</v>
      </c>
      <c r="H1234" s="11">
        <v>0.08333333333333333</v>
      </c>
      <c r="I1234" s="11">
        <v>0.03105590062111801</v>
      </c>
      <c r="J1234" s="11">
        <v>2.683333333333333</v>
      </c>
      <c r="K1234" s="8">
        <v>2</v>
      </c>
      <c r="L1234" s="8">
        <v>22</v>
      </c>
      <c r="M1234" s="8">
        <v>3</v>
      </c>
      <c r="N1234" s="8">
        <v>134</v>
      </c>
      <c r="O1234" s="11">
        <v>0.1094914457253642</v>
      </c>
      <c r="P1234" s="8" t="s">
        <v>700</v>
      </c>
      <c r="Q1234" s="8" t="s">
        <v>864</v>
      </c>
      <c r="R1234" s="8">
        <v>11</v>
      </c>
      <c r="S1234" s="11">
        <v>54.65254277137318</v>
      </c>
      <c r="T1234" s="11">
        <v>0.7453416149068323</v>
      </c>
      <c r="U1234" s="11">
        <v>23.25465838509317</v>
      </c>
      <c r="V1234" s="11">
        <v>4.254658385093168</v>
      </c>
      <c r="W1234" s="11">
        <v>132.7453416149068</v>
      </c>
      <c r="X1234" s="8" t="s">
        <v>865</v>
      </c>
    </row>
    <row r="1235" spans="1:24" ht="25" customHeight="1">
      <c r="A1235" s="12">
        <v>2536</v>
      </c>
      <c r="B1235" s="8">
        <v>0</v>
      </c>
      <c r="C1235" s="8" t="s">
        <v>115</v>
      </c>
      <c r="D1235" s="8" t="s">
        <v>120</v>
      </c>
      <c r="E1235" s="8" t="s">
        <v>452</v>
      </c>
      <c r="F1235" s="8">
        <v>24</v>
      </c>
      <c r="G1235" s="8">
        <v>2</v>
      </c>
      <c r="H1235" s="11">
        <v>0.08333333333333333</v>
      </c>
      <c r="I1235" s="11">
        <v>0.03105590062111801</v>
      </c>
      <c r="J1235" s="11">
        <v>2.683333333333333</v>
      </c>
      <c r="K1235" s="8">
        <v>2</v>
      </c>
      <c r="L1235" s="8">
        <v>22</v>
      </c>
      <c r="M1235" s="8">
        <v>3</v>
      </c>
      <c r="N1235" s="8">
        <v>134</v>
      </c>
      <c r="O1235" s="11">
        <v>0.1094914457253642</v>
      </c>
      <c r="P1235" s="8" t="s">
        <v>700</v>
      </c>
      <c r="Q1235" s="8" t="s">
        <v>866</v>
      </c>
      <c r="R1235" s="8">
        <v>12</v>
      </c>
      <c r="S1235" s="11">
        <v>54.65254277137318</v>
      </c>
      <c r="T1235" s="11">
        <v>0.7453416149068323</v>
      </c>
      <c r="U1235" s="11">
        <v>23.25465838509317</v>
      </c>
      <c r="V1235" s="11">
        <v>4.254658385093168</v>
      </c>
      <c r="W1235" s="11">
        <v>132.7453416149068</v>
      </c>
      <c r="X1235" s="8" t="s">
        <v>865</v>
      </c>
    </row>
    <row r="1236" spans="1:24" ht="25" customHeight="1">
      <c r="A1236" s="12">
        <v>2537</v>
      </c>
      <c r="B1236" s="8">
        <v>0</v>
      </c>
      <c r="C1236" s="8" t="s">
        <v>115</v>
      </c>
      <c r="D1236" s="8" t="s">
        <v>123</v>
      </c>
      <c r="E1236" s="8" t="s">
        <v>428</v>
      </c>
      <c r="F1236" s="8">
        <v>3</v>
      </c>
      <c r="G1236" s="8">
        <v>2</v>
      </c>
      <c r="H1236" s="11">
        <v>0.6666666666666666</v>
      </c>
      <c r="I1236" s="11">
        <v>0.2670807453416149</v>
      </c>
      <c r="J1236" s="11">
        <v>2.496124031007752</v>
      </c>
      <c r="K1236" s="8">
        <v>2</v>
      </c>
      <c r="L1236" s="8">
        <v>1</v>
      </c>
      <c r="M1236" s="8">
        <v>41</v>
      </c>
      <c r="N1236" s="8">
        <v>117</v>
      </c>
      <c r="O1236" s="11">
        <v>0.1143162810688875</v>
      </c>
      <c r="P1236" s="8" t="s">
        <v>700</v>
      </c>
      <c r="Q1236" s="8" t="s">
        <v>867</v>
      </c>
      <c r="R1236" s="8">
        <v>13</v>
      </c>
      <c r="S1236" s="11">
        <v>60.08733332333773</v>
      </c>
      <c r="T1236" s="11">
        <v>0.8012422360248447</v>
      </c>
      <c r="U1236" s="11">
        <v>2.198757763975155</v>
      </c>
      <c r="V1236" s="11">
        <v>42.19875776397515</v>
      </c>
      <c r="W1236" s="11">
        <v>115.8012422360248</v>
      </c>
      <c r="X1236" s="8" t="s">
        <v>868</v>
      </c>
    </row>
    <row r="1237" spans="1:24" ht="25" customHeight="1">
      <c r="A1237" s="12">
        <v>2538</v>
      </c>
      <c r="B1237" s="8">
        <v>0</v>
      </c>
      <c r="C1237" s="8" t="s">
        <v>115</v>
      </c>
      <c r="D1237" s="8" t="s">
        <v>120</v>
      </c>
      <c r="E1237" s="8" t="s">
        <v>800</v>
      </c>
      <c r="F1237" s="8">
        <v>24</v>
      </c>
      <c r="G1237" s="8">
        <v>3</v>
      </c>
      <c r="H1237" s="11">
        <v>0.125</v>
      </c>
      <c r="I1237" s="11">
        <v>0.03105590062111801</v>
      </c>
      <c r="J1237" s="11">
        <v>4.025</v>
      </c>
      <c r="K1237" s="8">
        <v>3</v>
      </c>
      <c r="L1237" s="8">
        <v>21</v>
      </c>
      <c r="M1237" s="8">
        <v>2</v>
      </c>
      <c r="N1237" s="8">
        <v>135</v>
      </c>
      <c r="O1237" s="11">
        <v>0.00402602071249149</v>
      </c>
      <c r="P1237" s="8" t="s">
        <v>700</v>
      </c>
      <c r="Q1237" s="8" t="s">
        <v>869</v>
      </c>
      <c r="R1237" s="8">
        <v>14</v>
      </c>
      <c r="S1237" s="11">
        <v>60.27986989643754</v>
      </c>
      <c r="T1237" s="11">
        <v>0.7453416149068323</v>
      </c>
      <c r="U1237" s="11">
        <v>23.25465838509317</v>
      </c>
      <c r="V1237" s="11">
        <v>4.254658385093168</v>
      </c>
      <c r="W1237" s="11">
        <v>132.7453416149068</v>
      </c>
      <c r="X1237" s="8" t="s">
        <v>870</v>
      </c>
    </row>
    <row r="1238" spans="1:24" ht="25" customHeight="1">
      <c r="A1238" s="12">
        <v>2539</v>
      </c>
      <c r="B1238" s="8">
        <v>0</v>
      </c>
      <c r="C1238" s="8" t="s">
        <v>115</v>
      </c>
      <c r="D1238" s="8" t="s">
        <v>803</v>
      </c>
      <c r="E1238" s="8" t="s">
        <v>465</v>
      </c>
      <c r="F1238" s="8">
        <v>5</v>
      </c>
      <c r="G1238" s="8">
        <v>1</v>
      </c>
      <c r="H1238" s="11">
        <v>0.2</v>
      </c>
      <c r="I1238" s="11">
        <v>0.1677018633540373</v>
      </c>
      <c r="J1238" s="11">
        <v>1.192592592592593</v>
      </c>
      <c r="K1238" s="8">
        <v>1</v>
      </c>
      <c r="L1238" s="8">
        <v>4</v>
      </c>
      <c r="M1238" s="8">
        <v>26</v>
      </c>
      <c r="N1238" s="8">
        <v>130</v>
      </c>
      <c r="O1238" s="11">
        <v>0.8443101134155775</v>
      </c>
      <c r="P1238" s="8" t="s">
        <v>700</v>
      </c>
      <c r="Q1238" s="8" t="s">
        <v>871</v>
      </c>
      <c r="R1238" s="8">
        <v>15</v>
      </c>
      <c r="S1238" s="11">
        <v>47.1636346181073</v>
      </c>
      <c r="T1238" s="11">
        <v>0.8385093167701864</v>
      </c>
      <c r="U1238" s="11">
        <v>4.161490683229814</v>
      </c>
      <c r="V1238" s="11">
        <v>26.16149068322981</v>
      </c>
      <c r="W1238" s="11">
        <v>129.8385093167702</v>
      </c>
      <c r="X1238" s="8" t="s">
        <v>872</v>
      </c>
    </row>
    <row r="1239" spans="1:24" ht="25" customHeight="1">
      <c r="A1239" s="12">
        <v>2540</v>
      </c>
      <c r="B1239" s="8">
        <v>0</v>
      </c>
      <c r="C1239" s="8" t="s">
        <v>115</v>
      </c>
      <c r="D1239" s="8" t="s">
        <v>802</v>
      </c>
      <c r="E1239" s="8" t="s">
        <v>465</v>
      </c>
      <c r="F1239" s="8">
        <v>2</v>
      </c>
      <c r="G1239" s="8">
        <v>2</v>
      </c>
      <c r="H1239" s="8">
        <v>1</v>
      </c>
      <c r="I1239" s="11">
        <v>0.1677018633540373</v>
      </c>
      <c r="J1239" s="11">
        <v>5.962962962962963</v>
      </c>
      <c r="K1239" s="8">
        <v>2</v>
      </c>
      <c r="L1239" s="8">
        <v>0</v>
      </c>
      <c r="M1239" s="8">
        <v>25</v>
      </c>
      <c r="N1239" s="8">
        <v>134</v>
      </c>
      <c r="O1239" s="11">
        <v>0.001522834227697107</v>
      </c>
      <c r="P1239" s="8" t="s">
        <v>700</v>
      </c>
      <c r="Q1239" s="8" t="s">
        <v>873</v>
      </c>
      <c r="R1239" s="8">
        <v>16</v>
      </c>
      <c r="S1239" s="11">
        <v>68.99238582886152</v>
      </c>
      <c r="T1239" s="11">
        <v>0.3354037267080746</v>
      </c>
      <c r="U1239" s="11">
        <v>1.664596273291925</v>
      </c>
      <c r="V1239" s="11">
        <v>26.66459627329192</v>
      </c>
      <c r="W1239" s="11">
        <v>132.3354037267081</v>
      </c>
      <c r="X1239" s="8" t="s">
        <v>874</v>
      </c>
    </row>
    <row r="1240" spans="1:24" ht="25" customHeight="1">
      <c r="A1240" s="12">
        <v>2541</v>
      </c>
      <c r="B1240" s="8">
        <v>0</v>
      </c>
      <c r="C1240" s="8" t="s">
        <v>115</v>
      </c>
      <c r="D1240" s="8" t="s">
        <v>803</v>
      </c>
      <c r="E1240" s="8" t="s">
        <v>428</v>
      </c>
      <c r="F1240" s="8">
        <v>5</v>
      </c>
      <c r="G1240" s="8">
        <v>4</v>
      </c>
      <c r="H1240" s="11">
        <v>0.8</v>
      </c>
      <c r="I1240" s="11">
        <v>0.2670807453416149</v>
      </c>
      <c r="J1240" s="11">
        <v>2.995348837209302</v>
      </c>
      <c r="K1240" s="8">
        <v>4</v>
      </c>
      <c r="L1240" s="8">
        <v>1</v>
      </c>
      <c r="M1240" s="8">
        <v>39</v>
      </c>
      <c r="N1240" s="8">
        <v>117</v>
      </c>
      <c r="O1240" s="11">
        <v>0.006215340606192815</v>
      </c>
      <c r="P1240" s="8" t="s">
        <v>700</v>
      </c>
      <c r="Q1240" s="8" t="s">
        <v>875</v>
      </c>
      <c r="R1240" s="8">
        <v>17</v>
      </c>
      <c r="S1240" s="11">
        <v>66.95962097138764</v>
      </c>
      <c r="T1240" s="11">
        <v>1.335403726708075</v>
      </c>
      <c r="U1240" s="11">
        <v>3.664596273291925</v>
      </c>
      <c r="V1240" s="11">
        <v>41.66459627329193</v>
      </c>
      <c r="W1240" s="11">
        <v>114.3354037267081</v>
      </c>
      <c r="X1240" s="8" t="s">
        <v>876</v>
      </c>
    </row>
    <row r="1241" spans="1:24" ht="25" customHeight="1">
      <c r="A1241" s="12">
        <v>2542</v>
      </c>
      <c r="B1241" s="8">
        <v>0</v>
      </c>
      <c r="C1241" s="8" t="s">
        <v>115</v>
      </c>
      <c r="D1241" s="8" t="s">
        <v>877</v>
      </c>
      <c r="E1241" s="8" t="s">
        <v>878</v>
      </c>
      <c r="F1241" s="8">
        <v>1</v>
      </c>
      <c r="G1241" s="8">
        <v>1</v>
      </c>
      <c r="H1241" s="8">
        <v>1</v>
      </c>
      <c r="I1241" s="11">
        <v>0.04347826086956522</v>
      </c>
      <c r="J1241" s="8">
        <v>23</v>
      </c>
      <c r="K1241" s="8">
        <v>1</v>
      </c>
      <c r="L1241" s="8">
        <v>0</v>
      </c>
      <c r="M1241" s="8">
        <v>6</v>
      </c>
      <c r="N1241" s="8">
        <v>154</v>
      </c>
      <c r="O1241" s="11">
        <v>2.538031489740095E-06</v>
      </c>
      <c r="P1241" s="8" t="s">
        <v>700</v>
      </c>
      <c r="Q1241" s="8" t="s">
        <v>879</v>
      </c>
      <c r="R1241" s="8">
        <v>18</v>
      </c>
      <c r="S1241" s="11">
        <v>66.99998730984255</v>
      </c>
      <c r="T1241" s="11">
        <v>0.04347826086956522</v>
      </c>
      <c r="U1241" s="11">
        <v>0.9565217391304348</v>
      </c>
      <c r="V1241" s="11">
        <v>6.956521739130435</v>
      </c>
      <c r="W1241" s="11">
        <v>153.0434782608696</v>
      </c>
      <c r="X1241" s="8" t="s">
        <v>880</v>
      </c>
    </row>
    <row r="1242" spans="1:24" ht="25" customHeight="1">
      <c r="A1242" s="12">
        <v>2543</v>
      </c>
      <c r="B1242" s="8">
        <v>0</v>
      </c>
      <c r="C1242" s="8" t="s">
        <v>115</v>
      </c>
      <c r="D1242" s="8" t="s">
        <v>120</v>
      </c>
      <c r="E1242" s="8" t="s">
        <v>480</v>
      </c>
      <c r="F1242" s="8">
        <v>24</v>
      </c>
      <c r="G1242" s="8">
        <v>1</v>
      </c>
      <c r="H1242" s="11">
        <v>0.04166666666666666</v>
      </c>
      <c r="I1242" s="11">
        <v>0.006211180124223602</v>
      </c>
      <c r="J1242" s="11">
        <v>6.708333333333333</v>
      </c>
      <c r="K1242" s="8">
        <v>1</v>
      </c>
      <c r="L1242" s="8">
        <v>23</v>
      </c>
      <c r="M1242" s="8">
        <v>0</v>
      </c>
      <c r="N1242" s="8">
        <v>137</v>
      </c>
      <c r="O1242" s="11">
        <v>0.0165449737638454</v>
      </c>
      <c r="P1242" s="8" t="s">
        <v>700</v>
      </c>
      <c r="Q1242" s="8" t="s">
        <v>881</v>
      </c>
      <c r="R1242" s="8">
        <v>19</v>
      </c>
      <c r="S1242" s="11">
        <v>57.33394179784744</v>
      </c>
      <c r="T1242" s="11">
        <v>0.1490683229813665</v>
      </c>
      <c r="U1242" s="11">
        <v>23.85093167701863</v>
      </c>
      <c r="V1242" s="11">
        <v>0.8509316770186336</v>
      </c>
      <c r="W1242" s="11">
        <v>136.1490683229814</v>
      </c>
      <c r="X1242" s="8" t="s">
        <v>882</v>
      </c>
    </row>
    <row r="1243" spans="1:24" ht="25" customHeight="1">
      <c r="A1243" s="12">
        <v>2544</v>
      </c>
      <c r="B1243" s="8">
        <v>1</v>
      </c>
      <c r="C1243" s="8" t="s">
        <v>711</v>
      </c>
      <c r="D1243" s="8" t="s">
        <v>120</v>
      </c>
      <c r="E1243" s="8" t="s">
        <v>465</v>
      </c>
      <c r="F1243" s="8">
        <v>2</v>
      </c>
      <c r="G1243" s="8">
        <v>1</v>
      </c>
      <c r="H1243" s="11">
        <v>0.5</v>
      </c>
      <c r="I1243" s="11">
        <v>0.1677018633540373</v>
      </c>
      <c r="J1243" s="11">
        <v>2.981481481481481</v>
      </c>
      <c r="K1243" s="8">
        <v>1</v>
      </c>
      <c r="L1243" s="8">
        <v>1</v>
      </c>
      <c r="M1243" s="8">
        <v>26</v>
      </c>
      <c r="N1243" s="8">
        <v>133</v>
      </c>
      <c r="O1243" s="11">
        <v>0.2056016216913228</v>
      </c>
      <c r="P1243" s="8" t="s">
        <v>700</v>
      </c>
      <c r="Q1243" s="8" t="s">
        <v>883</v>
      </c>
      <c r="R1243" s="8">
        <v>20</v>
      </c>
      <c r="S1243" s="11">
        <v>56.93495485450634</v>
      </c>
      <c r="T1243" s="11">
        <v>0.3354037267080746</v>
      </c>
      <c r="U1243" s="11">
        <v>1.664596273291925</v>
      </c>
      <c r="V1243" s="11">
        <v>26.66459627329192</v>
      </c>
      <c r="W1243" s="11">
        <v>132.3354037267081</v>
      </c>
      <c r="X1243" s="8" t="s">
        <v>884</v>
      </c>
    </row>
    <row r="1244" spans="1:24" ht="25" customHeight="1">
      <c r="A1244" s="12">
        <v>2545</v>
      </c>
      <c r="B1244" s="8">
        <v>1</v>
      </c>
      <c r="C1244" s="8" t="s">
        <v>716</v>
      </c>
      <c r="D1244" s="8" t="s">
        <v>120</v>
      </c>
      <c r="E1244" s="8" t="s">
        <v>474</v>
      </c>
      <c r="F1244" s="8">
        <v>21</v>
      </c>
      <c r="G1244" s="8">
        <v>2</v>
      </c>
      <c r="H1244" s="11">
        <v>0.09523809523809523</v>
      </c>
      <c r="I1244" s="11">
        <v>0.05590062111801242</v>
      </c>
      <c r="J1244" s="11">
        <v>1.703703703703703</v>
      </c>
      <c r="K1244" s="8">
        <v>2</v>
      </c>
      <c r="L1244" s="8">
        <v>19</v>
      </c>
      <c r="M1244" s="8">
        <v>7</v>
      </c>
      <c r="N1244" s="8">
        <v>133</v>
      </c>
      <c r="O1244" s="11">
        <v>0.4000746721462543</v>
      </c>
      <c r="P1244" s="8" t="s">
        <v>700</v>
      </c>
      <c r="Q1244" s="8" t="s">
        <v>885</v>
      </c>
      <c r="R1244" s="8">
        <v>21</v>
      </c>
      <c r="S1244" s="11">
        <v>51.35941499905708</v>
      </c>
      <c r="T1244" s="11">
        <v>1.173913043478261</v>
      </c>
      <c r="U1244" s="11">
        <v>19.82608695652174</v>
      </c>
      <c r="V1244" s="11">
        <v>7.826086956521739</v>
      </c>
      <c r="W1244" s="11">
        <v>132.1739130434783</v>
      </c>
      <c r="X1244" s="8" t="s">
        <v>886</v>
      </c>
    </row>
    <row r="1245" spans="1:24" ht="25" customHeight="1">
      <c r="A1245" s="12">
        <v>2546</v>
      </c>
      <c r="B1245" s="8">
        <v>1</v>
      </c>
      <c r="C1245" s="8" t="s">
        <v>716</v>
      </c>
      <c r="D1245" s="8" t="s">
        <v>123</v>
      </c>
      <c r="E1245" s="8" t="s">
        <v>428</v>
      </c>
      <c r="F1245" s="8">
        <v>1</v>
      </c>
      <c r="G1245" s="8">
        <v>1</v>
      </c>
      <c r="H1245" s="8">
        <v>1</v>
      </c>
      <c r="I1245" s="11">
        <v>0.2670807453416149</v>
      </c>
      <c r="J1245" s="11">
        <v>3.744186046511628</v>
      </c>
      <c r="K1245" s="8">
        <v>1</v>
      </c>
      <c r="L1245" s="8">
        <v>0</v>
      </c>
      <c r="M1245" s="8">
        <v>42</v>
      </c>
      <c r="N1245" s="8">
        <v>118</v>
      </c>
      <c r="O1245" s="11">
        <v>0.09656748950022616</v>
      </c>
      <c r="P1245" s="8" t="s">
        <v>700</v>
      </c>
      <c r="Q1245" s="8" t="s">
        <v>887</v>
      </c>
      <c r="R1245" s="8">
        <v>22</v>
      </c>
      <c r="S1245" s="11">
        <v>64.00553464552213</v>
      </c>
      <c r="T1245" s="11">
        <v>0.2670807453416149</v>
      </c>
      <c r="U1245" s="11">
        <v>0.7329192546583851</v>
      </c>
      <c r="V1245" s="11">
        <v>42.73291925465838</v>
      </c>
      <c r="W1245" s="11">
        <v>117.2670807453416</v>
      </c>
      <c r="X1245" s="8" t="s">
        <v>888</v>
      </c>
    </row>
    <row r="1246" spans="1:24" ht="25" customHeight="1">
      <c r="A1246" s="12">
        <v>2547</v>
      </c>
      <c r="B1246" s="8">
        <v>1</v>
      </c>
      <c r="C1246" s="8" t="s">
        <v>716</v>
      </c>
      <c r="D1246" s="8" t="s">
        <v>120</v>
      </c>
      <c r="E1246" s="8" t="s">
        <v>465</v>
      </c>
      <c r="F1246" s="8">
        <v>21</v>
      </c>
      <c r="G1246" s="8">
        <v>2</v>
      </c>
      <c r="H1246" s="11">
        <v>0.09523809523809523</v>
      </c>
      <c r="I1246" s="11">
        <v>0.1677018633540373</v>
      </c>
      <c r="J1246" s="11">
        <v>0.5679012345679012</v>
      </c>
      <c r="K1246" s="8">
        <v>2</v>
      </c>
      <c r="L1246" s="8">
        <v>19</v>
      </c>
      <c r="M1246" s="8">
        <v>25</v>
      </c>
      <c r="N1246" s="8">
        <v>115</v>
      </c>
      <c r="O1246" s="11">
        <v>0.3405031533341708</v>
      </c>
      <c r="P1246" s="8" t="s">
        <v>700</v>
      </c>
      <c r="Q1246" s="8" t="s">
        <v>889</v>
      </c>
      <c r="R1246" s="8">
        <v>23</v>
      </c>
      <c r="S1246" s="11">
        <v>49.3856676548459</v>
      </c>
      <c r="T1246" s="11">
        <v>3.521739130434783</v>
      </c>
      <c r="U1246" s="11">
        <v>17.47826086956522</v>
      </c>
      <c r="V1246" s="11">
        <v>23.47826086956522</v>
      </c>
      <c r="W1246" s="11">
        <v>116.5217391304348</v>
      </c>
      <c r="X1246" s="8" t="s">
        <v>890</v>
      </c>
    </row>
    <row r="1247" spans="1:24" ht="25" customHeight="1">
      <c r="A1247" s="12">
        <v>2548</v>
      </c>
      <c r="B1247" s="8">
        <v>1</v>
      </c>
      <c r="C1247" s="8" t="s">
        <v>716</v>
      </c>
      <c r="D1247" s="8" t="s">
        <v>120</v>
      </c>
      <c r="E1247" s="8" t="s">
        <v>611</v>
      </c>
      <c r="F1247" s="8">
        <v>21</v>
      </c>
      <c r="G1247" s="8">
        <v>1</v>
      </c>
      <c r="H1247" s="11">
        <v>0.04761904761904762</v>
      </c>
      <c r="I1247" s="11">
        <v>0.01863354037267081</v>
      </c>
      <c r="J1247" s="11">
        <v>2.555555555555555</v>
      </c>
      <c r="K1247" s="8">
        <v>1</v>
      </c>
      <c r="L1247" s="8">
        <v>20</v>
      </c>
      <c r="M1247" s="8">
        <v>2</v>
      </c>
      <c r="N1247" s="8">
        <v>138</v>
      </c>
      <c r="O1247" s="11">
        <v>0.2921767461095574</v>
      </c>
      <c r="P1247" s="8" t="s">
        <v>700</v>
      </c>
      <c r="Q1247" s="8" t="s">
        <v>891</v>
      </c>
      <c r="R1247" s="8">
        <v>24</v>
      </c>
      <c r="S1247" s="11">
        <v>51.1264178567538</v>
      </c>
      <c r="T1247" s="11">
        <v>0.391304347826087</v>
      </c>
      <c r="U1247" s="11">
        <v>20.60869565217391</v>
      </c>
      <c r="V1247" s="11">
        <v>2.608695652173913</v>
      </c>
      <c r="W1247" s="11">
        <v>137.3913043478261</v>
      </c>
      <c r="X1247" s="8" t="s">
        <v>892</v>
      </c>
    </row>
    <row r="1248" spans="1:24" ht="25" customHeight="1">
      <c r="A1248" s="12">
        <v>2549</v>
      </c>
      <c r="B1248" s="8">
        <v>1</v>
      </c>
      <c r="C1248" s="8" t="s">
        <v>716</v>
      </c>
      <c r="D1248" s="8" t="s">
        <v>120</v>
      </c>
      <c r="E1248" s="8" t="s">
        <v>443</v>
      </c>
      <c r="F1248" s="8">
        <v>21</v>
      </c>
      <c r="G1248" s="8">
        <v>1</v>
      </c>
      <c r="H1248" s="11">
        <v>0.04761904761904762</v>
      </c>
      <c r="I1248" s="11">
        <v>0.0124223602484472</v>
      </c>
      <c r="J1248" s="11">
        <v>3.833333333333333</v>
      </c>
      <c r="K1248" s="8">
        <v>1</v>
      </c>
      <c r="L1248" s="8">
        <v>20</v>
      </c>
      <c r="M1248" s="8">
        <v>1</v>
      </c>
      <c r="N1248" s="8">
        <v>139</v>
      </c>
      <c r="O1248" s="11">
        <v>0.1183798135886225</v>
      </c>
      <c r="P1248" s="8" t="s">
        <v>700</v>
      </c>
      <c r="Q1248" s="8" t="s">
        <v>893</v>
      </c>
      <c r="R1248" s="8">
        <v>25</v>
      </c>
      <c r="S1248" s="11">
        <v>54.55095807491403</v>
      </c>
      <c r="T1248" s="11">
        <v>0.2608695652173913</v>
      </c>
      <c r="U1248" s="11">
        <v>20.73913043478261</v>
      </c>
      <c r="V1248" s="11">
        <v>1.739130434782609</v>
      </c>
      <c r="W1248" s="11">
        <v>138.2608695652174</v>
      </c>
      <c r="X1248" s="8" t="s">
        <v>894</v>
      </c>
    </row>
    <row r="1249" spans="1:24" ht="25" customHeight="1">
      <c r="A1249" s="12">
        <v>2550</v>
      </c>
      <c r="B1249" s="8">
        <v>1</v>
      </c>
      <c r="C1249" s="8" t="s">
        <v>716</v>
      </c>
      <c r="D1249" s="8" t="s">
        <v>120</v>
      </c>
      <c r="E1249" s="8" t="s">
        <v>428</v>
      </c>
      <c r="F1249" s="8">
        <v>21</v>
      </c>
      <c r="G1249" s="8">
        <v>6</v>
      </c>
      <c r="H1249" s="11">
        <v>0.2857142857142857</v>
      </c>
      <c r="I1249" s="11">
        <v>0.2670807453416149</v>
      </c>
      <c r="J1249" s="11">
        <v>1.069767441860465</v>
      </c>
      <c r="K1249" s="8">
        <v>6</v>
      </c>
      <c r="L1249" s="8">
        <v>15</v>
      </c>
      <c r="M1249" s="8">
        <v>37</v>
      </c>
      <c r="N1249" s="8">
        <v>103</v>
      </c>
      <c r="O1249" s="11">
        <v>0.8360343331473864</v>
      </c>
      <c r="P1249" s="8" t="s">
        <v>895</v>
      </c>
      <c r="Q1249" s="8" t="s">
        <v>896</v>
      </c>
      <c r="R1249" s="8">
        <v>26</v>
      </c>
      <c r="S1249" s="11">
        <v>37.81650607512685</v>
      </c>
      <c r="T1249" s="11">
        <v>5.608695652173913</v>
      </c>
      <c r="U1249" s="11">
        <v>15.39130434782609</v>
      </c>
      <c r="V1249" s="11">
        <v>37.39130434782609</v>
      </c>
      <c r="W1249" s="11">
        <v>102.6086956521739</v>
      </c>
      <c r="X1249" s="8" t="s">
        <v>897</v>
      </c>
    </row>
    <row r="1250" spans="1:24" ht="25" customHeight="1">
      <c r="A1250" s="12">
        <v>2551</v>
      </c>
      <c r="B1250" s="8">
        <v>1</v>
      </c>
      <c r="C1250" s="8" t="s">
        <v>716</v>
      </c>
      <c r="D1250" s="8" t="s">
        <v>120</v>
      </c>
      <c r="E1250" s="8" t="s">
        <v>561</v>
      </c>
      <c r="F1250" s="8">
        <v>21</v>
      </c>
      <c r="G1250" s="8">
        <v>1</v>
      </c>
      <c r="H1250" s="11">
        <v>0.04761904761904762</v>
      </c>
      <c r="I1250" s="11">
        <v>0.006211180124223602</v>
      </c>
      <c r="J1250" s="11">
        <v>7.666666666666667</v>
      </c>
      <c r="K1250" s="8">
        <v>1</v>
      </c>
      <c r="L1250" s="8">
        <v>20</v>
      </c>
      <c r="M1250" s="8">
        <v>0</v>
      </c>
      <c r="N1250" s="8">
        <v>140</v>
      </c>
      <c r="O1250" s="11">
        <v>0.009596337417121124</v>
      </c>
      <c r="P1250" s="8" t="s">
        <v>700</v>
      </c>
      <c r="Q1250" s="8" t="s">
        <v>898</v>
      </c>
      <c r="R1250" s="8">
        <v>27</v>
      </c>
      <c r="S1250" s="11">
        <v>57.42820878910487</v>
      </c>
      <c r="T1250" s="11">
        <v>0.1304347826086956</v>
      </c>
      <c r="U1250" s="11">
        <v>20.8695652173913</v>
      </c>
      <c r="V1250" s="11">
        <v>0.8695652173913043</v>
      </c>
      <c r="W1250" s="11">
        <v>139.1304347826087</v>
      </c>
      <c r="X1250" s="8" t="s">
        <v>899</v>
      </c>
    </row>
    <row r="1251" spans="1:24" ht="25" customHeight="1">
      <c r="A1251" s="12">
        <v>2552</v>
      </c>
      <c r="B1251" s="8">
        <v>1</v>
      </c>
      <c r="C1251" s="8" t="s">
        <v>716</v>
      </c>
      <c r="D1251" s="8" t="s">
        <v>120</v>
      </c>
      <c r="E1251" s="8" t="s">
        <v>468</v>
      </c>
      <c r="F1251" s="8">
        <v>21</v>
      </c>
      <c r="G1251" s="8">
        <v>3</v>
      </c>
      <c r="H1251" s="11">
        <v>0.1428571428571428</v>
      </c>
      <c r="I1251" s="11">
        <v>0.04968944099378882</v>
      </c>
      <c r="J1251" s="11">
        <v>2.875</v>
      </c>
      <c r="K1251" s="8">
        <v>3</v>
      </c>
      <c r="L1251" s="8">
        <v>18</v>
      </c>
      <c r="M1251" s="8">
        <v>5</v>
      </c>
      <c r="N1251" s="8">
        <v>135</v>
      </c>
      <c r="O1251" s="11">
        <v>0.03511985806414734</v>
      </c>
      <c r="P1251" s="8" t="s">
        <v>700</v>
      </c>
      <c r="Q1251" s="8" t="s">
        <v>900</v>
      </c>
      <c r="R1251" s="8">
        <v>28</v>
      </c>
      <c r="S1251" s="11">
        <v>58.0029721382507</v>
      </c>
      <c r="T1251" s="11">
        <v>1.043478260869565</v>
      </c>
      <c r="U1251" s="11">
        <v>19.95652173913043</v>
      </c>
      <c r="V1251" s="11">
        <v>6.956521739130435</v>
      </c>
      <c r="W1251" s="11">
        <v>133.0434782608696</v>
      </c>
      <c r="X1251" s="8" t="s">
        <v>901</v>
      </c>
    </row>
    <row r="1252" spans="1:24" ht="25" customHeight="1">
      <c r="A1252" s="12">
        <v>2553</v>
      </c>
      <c r="B1252" s="8">
        <v>1</v>
      </c>
      <c r="C1252" s="8" t="s">
        <v>716</v>
      </c>
      <c r="D1252" s="8" t="s">
        <v>120</v>
      </c>
      <c r="E1252" s="8" t="s">
        <v>449</v>
      </c>
      <c r="F1252" s="8">
        <v>21</v>
      </c>
      <c r="G1252" s="8">
        <v>2</v>
      </c>
      <c r="H1252" s="11">
        <v>0.09523809523809523</v>
      </c>
      <c r="I1252" s="11">
        <v>0.1863354037267081</v>
      </c>
      <c r="J1252" s="11">
        <v>0.5111111111111111</v>
      </c>
      <c r="K1252" s="8">
        <v>2</v>
      </c>
      <c r="L1252" s="8">
        <v>19</v>
      </c>
      <c r="M1252" s="8">
        <v>28</v>
      </c>
      <c r="N1252" s="8">
        <v>112</v>
      </c>
      <c r="O1252" s="11">
        <v>0.2502574385721937</v>
      </c>
      <c r="P1252" s="8" t="s">
        <v>700</v>
      </c>
      <c r="Q1252" s="8" t="s">
        <v>902</v>
      </c>
      <c r="R1252" s="8">
        <v>29</v>
      </c>
      <c r="S1252" s="11">
        <v>49.7233159817422</v>
      </c>
      <c r="T1252" s="11">
        <v>3.91304347826087</v>
      </c>
      <c r="U1252" s="11">
        <v>17.08695652173913</v>
      </c>
      <c r="V1252" s="11">
        <v>26.08695652173913</v>
      </c>
      <c r="W1252" s="11">
        <v>113.9130434782609</v>
      </c>
      <c r="X1252" s="8" t="s">
        <v>903</v>
      </c>
    </row>
    <row r="1253" spans="1:24" ht="25" customHeight="1">
      <c r="A1253" s="12">
        <v>2554</v>
      </c>
      <c r="B1253" s="8">
        <v>1</v>
      </c>
      <c r="C1253" s="8" t="s">
        <v>711</v>
      </c>
      <c r="D1253" s="8" t="s">
        <v>120</v>
      </c>
      <c r="E1253" s="8" t="s">
        <v>878</v>
      </c>
      <c r="F1253" s="8">
        <v>2</v>
      </c>
      <c r="G1253" s="8">
        <v>1</v>
      </c>
      <c r="H1253" s="11">
        <v>0.5</v>
      </c>
      <c r="I1253" s="11">
        <v>0.04347826086956522</v>
      </c>
      <c r="J1253" s="11">
        <v>11.5</v>
      </c>
      <c r="K1253" s="8">
        <v>1</v>
      </c>
      <c r="L1253" s="8">
        <v>1</v>
      </c>
      <c r="M1253" s="8">
        <v>6</v>
      </c>
      <c r="N1253" s="8">
        <v>153</v>
      </c>
      <c r="O1253" s="11">
        <v>0.001443952592935694</v>
      </c>
      <c r="P1253" s="8" t="s">
        <v>700</v>
      </c>
      <c r="Q1253" s="8" t="s">
        <v>904</v>
      </c>
      <c r="R1253" s="8">
        <v>30</v>
      </c>
      <c r="S1253" s="11">
        <v>61.99278023703532</v>
      </c>
      <c r="T1253" s="11">
        <v>0.08695652173913043</v>
      </c>
      <c r="U1253" s="11">
        <v>1.91304347826087</v>
      </c>
      <c r="V1253" s="11">
        <v>6.913043478260869</v>
      </c>
      <c r="W1253" s="11">
        <v>152.0869565217391</v>
      </c>
      <c r="X1253" s="8" t="s">
        <v>905</v>
      </c>
    </row>
    <row r="1254" spans="1:24" ht="25" customHeight="1">
      <c r="A1254" s="12">
        <v>2555</v>
      </c>
      <c r="B1254" s="8">
        <v>1</v>
      </c>
      <c r="C1254" s="8" t="s">
        <v>706</v>
      </c>
      <c r="D1254" s="8" t="s">
        <v>877</v>
      </c>
      <c r="E1254" s="8" t="s">
        <v>465</v>
      </c>
      <c r="F1254" s="8">
        <v>1</v>
      </c>
      <c r="G1254" s="8">
        <v>1</v>
      </c>
      <c r="H1254" s="8">
        <v>1</v>
      </c>
      <c r="I1254" s="11">
        <v>0.1677018633540373</v>
      </c>
      <c r="J1254" s="11">
        <v>5.962962962962963</v>
      </c>
      <c r="K1254" s="8">
        <v>1</v>
      </c>
      <c r="L1254" s="8">
        <v>0</v>
      </c>
      <c r="M1254" s="8">
        <v>26</v>
      </c>
      <c r="N1254" s="8">
        <v>134</v>
      </c>
      <c r="O1254" s="11">
        <v>0.02543561912228358</v>
      </c>
      <c r="P1254" s="8" t="s">
        <v>700</v>
      </c>
      <c r="Q1254" s="8" t="s">
        <v>906</v>
      </c>
      <c r="R1254" s="8">
        <v>31</v>
      </c>
      <c r="S1254" s="11">
        <v>66.87282190438859</v>
      </c>
      <c r="T1254" s="11">
        <v>0.1677018633540373</v>
      </c>
      <c r="U1254" s="11">
        <v>0.8322981366459627</v>
      </c>
      <c r="V1254" s="11">
        <v>26.83229813664596</v>
      </c>
      <c r="W1254" s="11">
        <v>133.167701863354</v>
      </c>
      <c r="X1254" s="8" t="s">
        <v>907</v>
      </c>
    </row>
    <row r="1255" spans="1:24" ht="25" customHeight="1">
      <c r="A1255" s="12">
        <v>2556</v>
      </c>
      <c r="B1255" s="8">
        <v>1</v>
      </c>
      <c r="C1255" s="8" t="s">
        <v>716</v>
      </c>
      <c r="D1255" s="8" t="s">
        <v>120</v>
      </c>
      <c r="E1255" s="8" t="s">
        <v>800</v>
      </c>
      <c r="F1255" s="8">
        <v>21</v>
      </c>
      <c r="G1255" s="8">
        <v>1</v>
      </c>
      <c r="H1255" s="11">
        <v>0.04761904761904762</v>
      </c>
      <c r="I1255" s="11">
        <v>0.03105590062111801</v>
      </c>
      <c r="J1255" s="11">
        <v>1.533333333333333</v>
      </c>
      <c r="K1255" s="8">
        <v>1</v>
      </c>
      <c r="L1255" s="8">
        <v>20</v>
      </c>
      <c r="M1255" s="8">
        <v>4</v>
      </c>
      <c r="N1255" s="8">
        <v>136</v>
      </c>
      <c r="O1255" s="11">
        <v>0.6389097014058978</v>
      </c>
      <c r="P1255" s="8" t="s">
        <v>700</v>
      </c>
      <c r="Q1255" s="8" t="s">
        <v>908</v>
      </c>
      <c r="R1255" s="8">
        <v>32</v>
      </c>
      <c r="S1255" s="11">
        <v>47.34830863582766</v>
      </c>
      <c r="T1255" s="11">
        <v>0.6521739130434783</v>
      </c>
      <c r="U1255" s="11">
        <v>20.34782608695652</v>
      </c>
      <c r="V1255" s="11">
        <v>4.347826086956522</v>
      </c>
      <c r="W1255" s="11">
        <v>135.6521739130435</v>
      </c>
      <c r="X1255" s="8" t="s">
        <v>909</v>
      </c>
    </row>
    <row r="1256" spans="1:24" ht="25" customHeight="1">
      <c r="A1256" s="12">
        <v>2557</v>
      </c>
      <c r="B1256" s="8">
        <v>1</v>
      </c>
      <c r="C1256" s="8" t="s">
        <v>716</v>
      </c>
      <c r="D1256" s="8" t="s">
        <v>120</v>
      </c>
      <c r="E1256" s="8" t="s">
        <v>574</v>
      </c>
      <c r="F1256" s="8">
        <v>21</v>
      </c>
      <c r="G1256" s="8">
        <v>1</v>
      </c>
      <c r="H1256" s="11">
        <v>0.04761904761904762</v>
      </c>
      <c r="I1256" s="11">
        <v>0.03105590062111801</v>
      </c>
      <c r="J1256" s="11">
        <v>1.533333333333333</v>
      </c>
      <c r="K1256" s="8">
        <v>1</v>
      </c>
      <c r="L1256" s="8">
        <v>20</v>
      </c>
      <c r="M1256" s="8">
        <v>4</v>
      </c>
      <c r="N1256" s="8">
        <v>136</v>
      </c>
      <c r="O1256" s="11">
        <v>0.6389097014058978</v>
      </c>
      <c r="P1256" s="8" t="s">
        <v>700</v>
      </c>
      <c r="Q1256" s="8" t="s">
        <v>910</v>
      </c>
      <c r="R1256" s="8">
        <v>33</v>
      </c>
      <c r="S1256" s="11">
        <v>47.34830863582766</v>
      </c>
      <c r="T1256" s="11">
        <v>0.6521739130434783</v>
      </c>
      <c r="U1256" s="11">
        <v>20.34782608695652</v>
      </c>
      <c r="V1256" s="11">
        <v>4.347826086956522</v>
      </c>
      <c r="W1256" s="11">
        <v>135.6521739130435</v>
      </c>
      <c r="X1256" s="8" t="s">
        <v>909</v>
      </c>
    </row>
    <row r="1257" spans="1:24" ht="25" customHeight="1">
      <c r="A1257" s="12">
        <v>2558</v>
      </c>
      <c r="B1257" s="8">
        <v>1</v>
      </c>
      <c r="C1257" s="8" t="s">
        <v>716</v>
      </c>
      <c r="D1257" s="8" t="s">
        <v>120</v>
      </c>
      <c r="E1257" s="8" t="s">
        <v>452</v>
      </c>
      <c r="F1257" s="8">
        <v>21</v>
      </c>
      <c r="G1257" s="8">
        <v>1</v>
      </c>
      <c r="H1257" s="11">
        <v>0.04761904761904762</v>
      </c>
      <c r="I1257" s="11">
        <v>0.03105590062111801</v>
      </c>
      <c r="J1257" s="11">
        <v>1.533333333333333</v>
      </c>
      <c r="K1257" s="8">
        <v>1</v>
      </c>
      <c r="L1257" s="8">
        <v>20</v>
      </c>
      <c r="M1257" s="8">
        <v>4</v>
      </c>
      <c r="N1257" s="8">
        <v>136</v>
      </c>
      <c r="O1257" s="11">
        <v>0.6389097014058978</v>
      </c>
      <c r="P1257" s="8" t="s">
        <v>700</v>
      </c>
      <c r="Q1257" s="8" t="s">
        <v>911</v>
      </c>
      <c r="R1257" s="8">
        <v>34</v>
      </c>
      <c r="S1257" s="11">
        <v>47.34830863582766</v>
      </c>
      <c r="T1257" s="11">
        <v>0.6521739130434783</v>
      </c>
      <c r="U1257" s="11">
        <v>20.34782608695652</v>
      </c>
      <c r="V1257" s="11">
        <v>4.347826086956522</v>
      </c>
      <c r="W1257" s="11">
        <v>135.6521739130435</v>
      </c>
      <c r="X1257" s="8" t="s">
        <v>909</v>
      </c>
    </row>
    <row r="1258" spans="1:24" ht="25" customHeight="1">
      <c r="A1258" s="12">
        <v>2559</v>
      </c>
      <c r="B1258" s="8">
        <v>1</v>
      </c>
      <c r="C1258" s="8" t="s">
        <v>720</v>
      </c>
      <c r="D1258" s="8" t="s">
        <v>803</v>
      </c>
      <c r="E1258" s="8" t="s">
        <v>428</v>
      </c>
      <c r="F1258" s="8">
        <v>1</v>
      </c>
      <c r="G1258" s="8">
        <v>1</v>
      </c>
      <c r="H1258" s="8">
        <v>1</v>
      </c>
      <c r="I1258" s="11">
        <v>0.2670807453416149</v>
      </c>
      <c r="J1258" s="11">
        <v>3.744186046511628</v>
      </c>
      <c r="K1258" s="8">
        <v>1</v>
      </c>
      <c r="L1258" s="8">
        <v>0</v>
      </c>
      <c r="M1258" s="8">
        <v>42</v>
      </c>
      <c r="N1258" s="8">
        <v>118</v>
      </c>
      <c r="O1258" s="11">
        <v>0.09656748950022616</v>
      </c>
      <c r="P1258" s="8" t="s">
        <v>700</v>
      </c>
      <c r="Q1258" s="8" t="s">
        <v>912</v>
      </c>
      <c r="R1258" s="8">
        <v>35</v>
      </c>
      <c r="S1258" s="11">
        <v>64.00553464552213</v>
      </c>
      <c r="T1258" s="11">
        <v>0.2670807453416149</v>
      </c>
      <c r="U1258" s="11">
        <v>0.7329192546583851</v>
      </c>
      <c r="V1258" s="11">
        <v>42.73291925465838</v>
      </c>
      <c r="W1258" s="11">
        <v>117.2670807453416</v>
      </c>
      <c r="X1258" s="8" t="s">
        <v>913</v>
      </c>
    </row>
    <row r="1259" spans="1:24" ht="25" customHeight="1">
      <c r="A1259" s="12">
        <v>2560</v>
      </c>
      <c r="B1259" s="8">
        <v>1</v>
      </c>
      <c r="C1259" s="8" t="s">
        <v>716</v>
      </c>
      <c r="D1259" s="8" t="s">
        <v>803</v>
      </c>
      <c r="E1259" s="8" t="s">
        <v>878</v>
      </c>
      <c r="F1259" s="8">
        <v>1</v>
      </c>
      <c r="G1259" s="8">
        <v>1</v>
      </c>
      <c r="H1259" s="8">
        <v>1</v>
      </c>
      <c r="I1259" s="11">
        <v>0.04347826086956522</v>
      </c>
      <c r="J1259" s="8">
        <v>23</v>
      </c>
      <c r="K1259" s="8">
        <v>1</v>
      </c>
      <c r="L1259" s="8">
        <v>0</v>
      </c>
      <c r="M1259" s="8">
        <v>6</v>
      </c>
      <c r="N1259" s="8">
        <v>154</v>
      </c>
      <c r="O1259" s="11">
        <v>2.538031489740095E-06</v>
      </c>
      <c r="P1259" s="8" t="s">
        <v>700</v>
      </c>
      <c r="Q1259" s="8" t="s">
        <v>914</v>
      </c>
      <c r="R1259" s="8">
        <v>36</v>
      </c>
      <c r="S1259" s="11">
        <v>66.99998730984255</v>
      </c>
      <c r="T1259" s="11">
        <v>0.04347826086956522</v>
      </c>
      <c r="U1259" s="11">
        <v>0.9565217391304348</v>
      </c>
      <c r="V1259" s="11">
        <v>6.956521739130435</v>
      </c>
      <c r="W1259" s="11">
        <v>153.0434782608696</v>
      </c>
      <c r="X1259" s="8" t="s">
        <v>915</v>
      </c>
    </row>
    <row r="1260" spans="1:24" ht="25" customHeight="1">
      <c r="A1260" s="12">
        <v>2561</v>
      </c>
      <c r="B1260" s="8">
        <v>1</v>
      </c>
      <c r="C1260" s="8" t="s">
        <v>716</v>
      </c>
      <c r="D1260" s="8" t="s">
        <v>802</v>
      </c>
      <c r="E1260" s="8" t="s">
        <v>465</v>
      </c>
      <c r="F1260" s="8">
        <v>3</v>
      </c>
      <c r="G1260" s="8">
        <v>1</v>
      </c>
      <c r="H1260" s="11">
        <v>0.3333333333333333</v>
      </c>
      <c r="I1260" s="11">
        <v>0.1677018633540373</v>
      </c>
      <c r="J1260" s="11">
        <v>1.987654320987654</v>
      </c>
      <c r="K1260" s="8">
        <v>1</v>
      </c>
      <c r="L1260" s="8">
        <v>2</v>
      </c>
      <c r="M1260" s="8">
        <v>26</v>
      </c>
      <c r="N1260" s="8">
        <v>132</v>
      </c>
      <c r="O1260" s="11">
        <v>0.438257650256439</v>
      </c>
      <c r="P1260" s="8" t="s">
        <v>700</v>
      </c>
      <c r="Q1260" s="8" t="s">
        <v>916</v>
      </c>
      <c r="R1260" s="8">
        <v>37</v>
      </c>
      <c r="S1260" s="11">
        <v>52.11735372402645</v>
      </c>
      <c r="T1260" s="11">
        <v>0.5031055900621118</v>
      </c>
      <c r="U1260" s="11">
        <v>2.496894409937888</v>
      </c>
      <c r="V1260" s="11">
        <v>26.49689440993789</v>
      </c>
      <c r="W1260" s="11">
        <v>131.5031055900621</v>
      </c>
      <c r="X1260" s="8" t="s">
        <v>917</v>
      </c>
    </row>
    <row r="1261" spans="1:24" ht="25" customHeight="1">
      <c r="A1261" s="12">
        <v>2562</v>
      </c>
      <c r="B1261" s="8">
        <v>1</v>
      </c>
      <c r="C1261" s="8" t="s">
        <v>711</v>
      </c>
      <c r="D1261" s="8" t="s">
        <v>802</v>
      </c>
      <c r="E1261" s="8" t="s">
        <v>541</v>
      </c>
      <c r="F1261" s="8">
        <v>1</v>
      </c>
      <c r="G1261" s="8">
        <v>1</v>
      </c>
      <c r="H1261" s="8">
        <v>1</v>
      </c>
      <c r="I1261" s="11">
        <v>0.02484472049689441</v>
      </c>
      <c r="J1261" s="11">
        <v>40.25</v>
      </c>
      <c r="K1261" s="8">
        <v>1</v>
      </c>
      <c r="L1261" s="8">
        <v>0</v>
      </c>
      <c r="M1261" s="8">
        <v>3</v>
      </c>
      <c r="N1261" s="8">
        <v>157</v>
      </c>
      <c r="O1261" s="11">
        <v>3.288478427024823E-10</v>
      </c>
      <c r="P1261" s="8" t="s">
        <v>700</v>
      </c>
      <c r="Q1261" s="8" t="s">
        <v>918</v>
      </c>
      <c r="R1261" s="8">
        <v>38</v>
      </c>
      <c r="S1261" s="11">
        <v>66.99999999835576</v>
      </c>
      <c r="T1261" s="11">
        <v>0.02484472049689441</v>
      </c>
      <c r="U1261" s="11">
        <v>0.9751552795031055</v>
      </c>
      <c r="V1261" s="11">
        <v>3.975155279503106</v>
      </c>
      <c r="W1261" s="11">
        <v>156.0248447204969</v>
      </c>
      <c r="X1261" s="8" t="s">
        <v>919</v>
      </c>
    </row>
    <row r="1262" spans="1:24" ht="25" customHeight="1">
      <c r="A1262" s="12">
        <v>2563</v>
      </c>
      <c r="B1262" s="8">
        <v>1</v>
      </c>
      <c r="C1262" s="8" t="s">
        <v>716</v>
      </c>
      <c r="D1262" s="8" t="s">
        <v>802</v>
      </c>
      <c r="E1262" s="8" t="s">
        <v>428</v>
      </c>
      <c r="F1262" s="8">
        <v>3</v>
      </c>
      <c r="G1262" s="8">
        <v>2</v>
      </c>
      <c r="H1262" s="11">
        <v>0.6666666666666666</v>
      </c>
      <c r="I1262" s="11">
        <v>0.2670807453416149</v>
      </c>
      <c r="J1262" s="11">
        <v>2.496124031007752</v>
      </c>
      <c r="K1262" s="8">
        <v>2</v>
      </c>
      <c r="L1262" s="8">
        <v>1</v>
      </c>
      <c r="M1262" s="8">
        <v>41</v>
      </c>
      <c r="N1262" s="8">
        <v>117</v>
      </c>
      <c r="O1262" s="11">
        <v>0.1143162810688875</v>
      </c>
      <c r="P1262" s="8" t="s">
        <v>700</v>
      </c>
      <c r="Q1262" s="8" t="s">
        <v>920</v>
      </c>
      <c r="R1262" s="8">
        <v>39</v>
      </c>
      <c r="S1262" s="11">
        <v>60.08733332333773</v>
      </c>
      <c r="T1262" s="11">
        <v>0.8012422360248447</v>
      </c>
      <c r="U1262" s="11">
        <v>2.198757763975155</v>
      </c>
      <c r="V1262" s="11">
        <v>42.19875776397515</v>
      </c>
      <c r="W1262" s="11">
        <v>115.8012422360248</v>
      </c>
      <c r="X1262" s="8" t="s">
        <v>921</v>
      </c>
    </row>
    <row r="1263" spans="1:24" ht="25" customHeight="1">
      <c r="A1263" s="12">
        <v>2564</v>
      </c>
      <c r="B1263" s="8">
        <v>2</v>
      </c>
      <c r="C1263" s="8" t="s">
        <v>716</v>
      </c>
      <c r="D1263" s="8" t="s">
        <v>120</v>
      </c>
      <c r="E1263" s="8" t="s">
        <v>446</v>
      </c>
      <c r="F1263" s="8">
        <v>23</v>
      </c>
      <c r="G1263" s="8">
        <v>1</v>
      </c>
      <c r="H1263" s="11">
        <v>0.04347826086956522</v>
      </c>
      <c r="I1263" s="11">
        <v>0.03105590062111801</v>
      </c>
      <c r="J1263" s="11">
        <v>1.4</v>
      </c>
      <c r="K1263" s="8">
        <v>1</v>
      </c>
      <c r="L1263" s="8">
        <v>22</v>
      </c>
      <c r="M1263" s="8">
        <v>4</v>
      </c>
      <c r="N1263" s="8">
        <v>134</v>
      </c>
      <c r="O1263" s="11">
        <v>0.7106718263889815</v>
      </c>
      <c r="P1263" s="8" t="s">
        <v>700</v>
      </c>
      <c r="Q1263" s="8" t="s">
        <v>922</v>
      </c>
      <c r="R1263" s="8">
        <v>40</v>
      </c>
      <c r="S1263" s="11">
        <v>46.68142347675074</v>
      </c>
      <c r="T1263" s="11">
        <v>0.7142857142857143</v>
      </c>
      <c r="U1263" s="11">
        <v>22.28571428571428</v>
      </c>
      <c r="V1263" s="11">
        <v>4.285714285714286</v>
      </c>
      <c r="W1263" s="11">
        <v>133.7142857142857</v>
      </c>
      <c r="X1263" s="8" t="s">
        <v>923</v>
      </c>
    </row>
    <row r="1264" spans="1:24" ht="25" customHeight="1">
      <c r="A1264" s="12">
        <v>2565</v>
      </c>
      <c r="B1264" s="8">
        <v>2</v>
      </c>
      <c r="C1264" s="8" t="s">
        <v>711</v>
      </c>
      <c r="D1264" s="8" t="s">
        <v>120</v>
      </c>
      <c r="E1264" s="8" t="s">
        <v>465</v>
      </c>
      <c r="F1264" s="8">
        <v>7</v>
      </c>
      <c r="G1264" s="8">
        <v>2</v>
      </c>
      <c r="H1264" s="11">
        <v>0.2857142857142857</v>
      </c>
      <c r="I1264" s="11">
        <v>0.1677018633540373</v>
      </c>
      <c r="J1264" s="11">
        <v>1.703703703703703</v>
      </c>
      <c r="K1264" s="8">
        <v>2</v>
      </c>
      <c r="L1264" s="8">
        <v>5</v>
      </c>
      <c r="M1264" s="8">
        <v>25</v>
      </c>
      <c r="N1264" s="8">
        <v>129</v>
      </c>
      <c r="O1264" s="11">
        <v>0.3928183651355087</v>
      </c>
      <c r="P1264" s="8" t="s">
        <v>700</v>
      </c>
      <c r="Q1264" s="8" t="s">
        <v>924</v>
      </c>
      <c r="R1264" s="8">
        <v>41</v>
      </c>
      <c r="S1264" s="11">
        <v>53.30045843887272</v>
      </c>
      <c r="T1264" s="11">
        <v>1.173913043478261</v>
      </c>
      <c r="U1264" s="11">
        <v>5.826086956521739</v>
      </c>
      <c r="V1264" s="11">
        <v>25.82608695652174</v>
      </c>
      <c r="W1264" s="11">
        <v>128.1739130434783</v>
      </c>
      <c r="X1264" s="8" t="s">
        <v>925</v>
      </c>
    </row>
    <row r="1265" spans="1:24" ht="25" customHeight="1">
      <c r="A1265" s="12">
        <v>2566</v>
      </c>
      <c r="B1265" s="8">
        <v>2</v>
      </c>
      <c r="C1265" s="8" t="s">
        <v>716</v>
      </c>
      <c r="D1265" s="8" t="s">
        <v>120</v>
      </c>
      <c r="E1265" s="8" t="s">
        <v>541</v>
      </c>
      <c r="F1265" s="8">
        <v>23</v>
      </c>
      <c r="G1265" s="8">
        <v>1</v>
      </c>
      <c r="H1265" s="11">
        <v>0.04347826086956522</v>
      </c>
      <c r="I1265" s="11">
        <v>0.02484472049689441</v>
      </c>
      <c r="J1265" s="11">
        <v>1.75</v>
      </c>
      <c r="K1265" s="8">
        <v>1</v>
      </c>
      <c r="L1265" s="8">
        <v>22</v>
      </c>
      <c r="M1265" s="8">
        <v>3</v>
      </c>
      <c r="N1265" s="8">
        <v>135</v>
      </c>
      <c r="O1265" s="11">
        <v>0.5351759588458636</v>
      </c>
      <c r="P1265" s="8" t="s">
        <v>700</v>
      </c>
      <c r="Q1265" s="8" t="s">
        <v>926</v>
      </c>
      <c r="R1265" s="8">
        <v>42</v>
      </c>
      <c r="S1265" s="11">
        <v>48.25890281446633</v>
      </c>
      <c r="T1265" s="11">
        <v>0.5714285714285714</v>
      </c>
      <c r="U1265" s="11">
        <v>22.42857142857143</v>
      </c>
      <c r="V1265" s="11">
        <v>3.428571428571428</v>
      </c>
      <c r="W1265" s="11">
        <v>134.5714285714286</v>
      </c>
      <c r="X1265" s="8" t="s">
        <v>927</v>
      </c>
    </row>
    <row r="1266" spans="1:24" ht="25" customHeight="1">
      <c r="A1266" s="12">
        <v>2567</v>
      </c>
      <c r="B1266" s="8">
        <v>2</v>
      </c>
      <c r="C1266" s="8" t="s">
        <v>716</v>
      </c>
      <c r="D1266" s="8" t="s">
        <v>120</v>
      </c>
      <c r="E1266" s="8" t="s">
        <v>449</v>
      </c>
      <c r="F1266" s="8">
        <v>23</v>
      </c>
      <c r="G1266" s="8">
        <v>5</v>
      </c>
      <c r="H1266" s="11">
        <v>0.2173913043478261</v>
      </c>
      <c r="I1266" s="11">
        <v>0.1863354037267081</v>
      </c>
      <c r="J1266" s="11">
        <v>1.166666666666667</v>
      </c>
      <c r="K1266" s="8">
        <v>5</v>
      </c>
      <c r="L1266" s="8">
        <v>18</v>
      </c>
      <c r="M1266" s="8">
        <v>25</v>
      </c>
      <c r="N1266" s="8">
        <v>113</v>
      </c>
      <c r="O1266" s="11">
        <v>0.6794944290118947</v>
      </c>
      <c r="P1266" s="8" t="s">
        <v>700</v>
      </c>
      <c r="Q1266" s="8" t="s">
        <v>928</v>
      </c>
      <c r="R1266" s="8">
        <v>43</v>
      </c>
      <c r="S1266" s="11">
        <v>56.10977423175212</v>
      </c>
      <c r="T1266" s="11">
        <v>4.285714285714286</v>
      </c>
      <c r="U1266" s="11">
        <v>18.71428571428572</v>
      </c>
      <c r="V1266" s="11">
        <v>25.71428571428572</v>
      </c>
      <c r="W1266" s="11">
        <v>112.2857142857143</v>
      </c>
      <c r="X1266" s="8" t="s">
        <v>929</v>
      </c>
    </row>
    <row r="1267" spans="1:24" ht="25" customHeight="1">
      <c r="A1267" s="12">
        <v>2568</v>
      </c>
      <c r="B1267" s="8">
        <v>2</v>
      </c>
      <c r="C1267" s="8" t="s">
        <v>706</v>
      </c>
      <c r="D1267" s="8" t="s">
        <v>120</v>
      </c>
      <c r="E1267" s="8" t="s">
        <v>468</v>
      </c>
      <c r="F1267" s="8">
        <v>6</v>
      </c>
      <c r="G1267" s="8">
        <v>1</v>
      </c>
      <c r="H1267" s="11">
        <v>0.1666666666666667</v>
      </c>
      <c r="I1267" s="11">
        <v>0.04968944099378882</v>
      </c>
      <c r="J1267" s="11">
        <v>3.354166666666667</v>
      </c>
      <c r="K1267" s="8">
        <v>1</v>
      </c>
      <c r="L1267" s="8">
        <v>5</v>
      </c>
      <c r="M1267" s="8">
        <v>7</v>
      </c>
      <c r="N1267" s="8">
        <v>148</v>
      </c>
      <c r="O1267" s="11">
        <v>0.1789884877893518</v>
      </c>
      <c r="P1267" s="8" t="s">
        <v>700</v>
      </c>
      <c r="Q1267" s="8" t="s">
        <v>930</v>
      </c>
      <c r="R1267" s="8">
        <v>44</v>
      </c>
      <c r="S1267" s="11">
        <v>54.48005756105324</v>
      </c>
      <c r="T1267" s="11">
        <v>0.2981366459627329</v>
      </c>
      <c r="U1267" s="11">
        <v>5.701863354037267</v>
      </c>
      <c r="V1267" s="11">
        <v>7.701863354037267</v>
      </c>
      <c r="W1267" s="11">
        <v>147.2981366459627</v>
      </c>
      <c r="X1267" s="8" t="s">
        <v>931</v>
      </c>
    </row>
    <row r="1268" spans="1:24" ht="25" customHeight="1">
      <c r="A1268" s="12">
        <v>2569</v>
      </c>
      <c r="B1268" s="8">
        <v>2</v>
      </c>
      <c r="C1268" s="8" t="s">
        <v>720</v>
      </c>
      <c r="D1268" s="8" t="s">
        <v>120</v>
      </c>
      <c r="E1268" s="8" t="s">
        <v>446</v>
      </c>
      <c r="F1268" s="8">
        <v>5</v>
      </c>
      <c r="G1268" s="8">
        <v>1</v>
      </c>
      <c r="H1268" s="11">
        <v>0.2</v>
      </c>
      <c r="I1268" s="11">
        <v>0.03105590062111801</v>
      </c>
      <c r="J1268" s="11">
        <v>6.44</v>
      </c>
      <c r="K1268" s="8">
        <v>1</v>
      </c>
      <c r="L1268" s="8">
        <v>4</v>
      </c>
      <c r="M1268" s="8">
        <v>4</v>
      </c>
      <c r="N1268" s="8">
        <v>152</v>
      </c>
      <c r="O1268" s="11">
        <v>0.02694129184709216</v>
      </c>
      <c r="P1268" s="8" t="s">
        <v>700</v>
      </c>
      <c r="Q1268" s="8" t="s">
        <v>932</v>
      </c>
      <c r="R1268" s="8">
        <v>45</v>
      </c>
      <c r="S1268" s="11">
        <v>58.86529354076454</v>
      </c>
      <c r="T1268" s="11">
        <v>0.15527950310559</v>
      </c>
      <c r="U1268" s="11">
        <v>4.84472049689441</v>
      </c>
      <c r="V1268" s="11">
        <v>4.84472049689441</v>
      </c>
      <c r="W1268" s="11">
        <v>151.1552795031056</v>
      </c>
      <c r="X1268" s="8" t="s">
        <v>933</v>
      </c>
    </row>
    <row r="1269" spans="1:24" ht="25" customHeight="1">
      <c r="A1269" s="12">
        <v>2570</v>
      </c>
      <c r="B1269" s="8">
        <v>2</v>
      </c>
      <c r="C1269" s="8" t="s">
        <v>706</v>
      </c>
      <c r="D1269" s="8" t="s">
        <v>120</v>
      </c>
      <c r="E1269" s="8" t="s">
        <v>574</v>
      </c>
      <c r="F1269" s="8">
        <v>6</v>
      </c>
      <c r="G1269" s="8">
        <v>1</v>
      </c>
      <c r="H1269" s="11">
        <v>0.1666666666666667</v>
      </c>
      <c r="I1269" s="11">
        <v>0.03105590062111801</v>
      </c>
      <c r="J1269" s="11">
        <v>5.366666666666666</v>
      </c>
      <c r="K1269" s="8">
        <v>1</v>
      </c>
      <c r="L1269" s="8">
        <v>5</v>
      </c>
      <c r="M1269" s="8">
        <v>4</v>
      </c>
      <c r="N1269" s="8">
        <v>151</v>
      </c>
      <c r="O1269" s="11">
        <v>0.0509832312334599</v>
      </c>
      <c r="P1269" s="8" t="s">
        <v>700</v>
      </c>
      <c r="Q1269" s="8" t="s">
        <v>934</v>
      </c>
      <c r="R1269" s="8">
        <v>46</v>
      </c>
      <c r="S1269" s="11">
        <v>58.41175051049937</v>
      </c>
      <c r="T1269" s="11">
        <v>0.1863354037267081</v>
      </c>
      <c r="U1269" s="11">
        <v>5.813664596273292</v>
      </c>
      <c r="V1269" s="11">
        <v>4.813664596273292</v>
      </c>
      <c r="W1269" s="11">
        <v>150.1863354037267</v>
      </c>
      <c r="X1269" s="8" t="s">
        <v>935</v>
      </c>
    </row>
    <row r="1270" spans="1:24" ht="25" customHeight="1">
      <c r="A1270" s="12">
        <v>2571</v>
      </c>
      <c r="B1270" s="8">
        <v>2</v>
      </c>
      <c r="C1270" s="8" t="s">
        <v>706</v>
      </c>
      <c r="D1270" s="8" t="s">
        <v>120</v>
      </c>
      <c r="E1270" s="8" t="s">
        <v>449</v>
      </c>
      <c r="F1270" s="8">
        <v>6</v>
      </c>
      <c r="G1270" s="8">
        <v>3</v>
      </c>
      <c r="H1270" s="11">
        <v>0.5</v>
      </c>
      <c r="I1270" s="11">
        <v>0.1863354037267081</v>
      </c>
      <c r="J1270" s="11">
        <v>2.683333333333334</v>
      </c>
      <c r="K1270" s="8">
        <v>3</v>
      </c>
      <c r="L1270" s="8">
        <v>3</v>
      </c>
      <c r="M1270" s="8">
        <v>27</v>
      </c>
      <c r="N1270" s="8">
        <v>128</v>
      </c>
      <c r="O1270" s="11">
        <v>0.04432264617918196</v>
      </c>
      <c r="P1270" s="8" t="s">
        <v>700</v>
      </c>
      <c r="Q1270" s="8" t="s">
        <v>936</v>
      </c>
      <c r="R1270" s="8">
        <v>47</v>
      </c>
      <c r="S1270" s="11">
        <v>61.14505343577076</v>
      </c>
      <c r="T1270" s="11">
        <v>1.118012422360248</v>
      </c>
      <c r="U1270" s="11">
        <v>4.881987577639752</v>
      </c>
      <c r="V1270" s="11">
        <v>28.88198757763975</v>
      </c>
      <c r="W1270" s="11">
        <v>126.1180124223603</v>
      </c>
      <c r="X1270" s="8" t="s">
        <v>937</v>
      </c>
    </row>
    <row r="1271" spans="1:24" ht="25" customHeight="1">
      <c r="A1271" s="12">
        <v>2572</v>
      </c>
      <c r="B1271" s="8">
        <v>2</v>
      </c>
      <c r="C1271" s="8" t="s">
        <v>711</v>
      </c>
      <c r="D1271" s="8" t="s">
        <v>120</v>
      </c>
      <c r="E1271" s="8" t="s">
        <v>428</v>
      </c>
      <c r="F1271" s="8">
        <v>7</v>
      </c>
      <c r="G1271" s="8">
        <v>2</v>
      </c>
      <c r="H1271" s="11">
        <v>0.2857142857142857</v>
      </c>
      <c r="I1271" s="11">
        <v>0.2670807453416149</v>
      </c>
      <c r="J1271" s="11">
        <v>1.069767441860465</v>
      </c>
      <c r="K1271" s="8">
        <v>2</v>
      </c>
      <c r="L1271" s="8">
        <v>5</v>
      </c>
      <c r="M1271" s="8">
        <v>41</v>
      </c>
      <c r="N1271" s="8">
        <v>113</v>
      </c>
      <c r="O1271" s="11">
        <v>0.9092913033278271</v>
      </c>
      <c r="P1271" s="8" t="s">
        <v>700</v>
      </c>
      <c r="Q1271" s="8" t="s">
        <v>938</v>
      </c>
      <c r="R1271" s="8">
        <v>48</v>
      </c>
      <c r="S1271" s="11">
        <v>49.45022122422465</v>
      </c>
      <c r="T1271" s="11">
        <v>1.869565217391304</v>
      </c>
      <c r="U1271" s="11">
        <v>5.130434782608695</v>
      </c>
      <c r="V1271" s="11">
        <v>41.1304347826087</v>
      </c>
      <c r="W1271" s="11">
        <v>112.8695652173913</v>
      </c>
      <c r="X1271" s="8" t="s">
        <v>939</v>
      </c>
    </row>
    <row r="1272" spans="1:24" ht="25" customHeight="1">
      <c r="A1272" s="12">
        <v>2573</v>
      </c>
      <c r="B1272" s="8">
        <v>2</v>
      </c>
      <c r="C1272" s="8" t="s">
        <v>716</v>
      </c>
      <c r="D1272" s="8" t="s">
        <v>120</v>
      </c>
      <c r="E1272" s="8" t="s">
        <v>611</v>
      </c>
      <c r="F1272" s="8">
        <v>23</v>
      </c>
      <c r="G1272" s="8">
        <v>1</v>
      </c>
      <c r="H1272" s="11">
        <v>0.04347826086956522</v>
      </c>
      <c r="I1272" s="11">
        <v>0.01863354037267081</v>
      </c>
      <c r="J1272" s="11">
        <v>2.333333333333333</v>
      </c>
      <c r="K1272" s="8">
        <v>1</v>
      </c>
      <c r="L1272" s="8">
        <v>22</v>
      </c>
      <c r="M1272" s="8">
        <v>2</v>
      </c>
      <c r="N1272" s="8">
        <v>136</v>
      </c>
      <c r="O1272" s="11">
        <v>0.3412401848132959</v>
      </c>
      <c r="P1272" s="8" t="s">
        <v>700</v>
      </c>
      <c r="Q1272" s="8" t="s">
        <v>940</v>
      </c>
      <c r="R1272" s="8">
        <v>49</v>
      </c>
      <c r="S1272" s="11">
        <v>50.39524835129583</v>
      </c>
      <c r="T1272" s="11">
        <v>0.4285714285714285</v>
      </c>
      <c r="U1272" s="11">
        <v>22.57142857142857</v>
      </c>
      <c r="V1272" s="11">
        <v>2.571428571428572</v>
      </c>
      <c r="W1272" s="11">
        <v>135.4285714285714</v>
      </c>
      <c r="X1272" s="8" t="s">
        <v>941</v>
      </c>
    </row>
    <row r="1273" spans="1:24" ht="25" customHeight="1">
      <c r="A1273" s="12">
        <v>2574</v>
      </c>
      <c r="B1273" s="8">
        <v>2</v>
      </c>
      <c r="C1273" s="8" t="s">
        <v>711</v>
      </c>
      <c r="D1273" s="8" t="s">
        <v>120</v>
      </c>
      <c r="E1273" s="8" t="s">
        <v>449</v>
      </c>
      <c r="F1273" s="8">
        <v>7</v>
      </c>
      <c r="G1273" s="8">
        <v>1</v>
      </c>
      <c r="H1273" s="11">
        <v>0.1428571428571428</v>
      </c>
      <c r="I1273" s="11">
        <v>0.1863354037267081</v>
      </c>
      <c r="J1273" s="11">
        <v>0.7666666666666666</v>
      </c>
      <c r="K1273" s="8">
        <v>1</v>
      </c>
      <c r="L1273" s="8">
        <v>6</v>
      </c>
      <c r="M1273" s="8">
        <v>29</v>
      </c>
      <c r="N1273" s="8">
        <v>125</v>
      </c>
      <c r="O1273" s="11">
        <v>0.7626009458082288</v>
      </c>
      <c r="P1273" s="8" t="s">
        <v>700</v>
      </c>
      <c r="Q1273" s="8" t="s">
        <v>942</v>
      </c>
      <c r="R1273" s="8">
        <v>50</v>
      </c>
      <c r="S1273" s="11">
        <v>46.14890003286362</v>
      </c>
      <c r="T1273" s="11">
        <v>1.304347826086957</v>
      </c>
      <c r="U1273" s="11">
        <v>5.695652173913044</v>
      </c>
      <c r="V1273" s="11">
        <v>28.69565217391304</v>
      </c>
      <c r="W1273" s="11">
        <v>125.304347826087</v>
      </c>
      <c r="X1273" s="8" t="s">
        <v>943</v>
      </c>
    </row>
    <row r="1274" spans="1:24" ht="25" customHeight="1">
      <c r="A1274" s="12">
        <v>2575</v>
      </c>
      <c r="B1274" s="8">
        <v>2</v>
      </c>
      <c r="C1274" s="8" t="s">
        <v>720</v>
      </c>
      <c r="D1274" s="8" t="s">
        <v>120</v>
      </c>
      <c r="E1274" s="8" t="s">
        <v>443</v>
      </c>
      <c r="F1274" s="8">
        <v>5</v>
      </c>
      <c r="G1274" s="8">
        <v>1</v>
      </c>
      <c r="H1274" s="11">
        <v>0.2</v>
      </c>
      <c r="I1274" s="11">
        <v>0.0124223602484472</v>
      </c>
      <c r="J1274" s="11">
        <v>16.1</v>
      </c>
      <c r="K1274" s="8">
        <v>1</v>
      </c>
      <c r="L1274" s="8">
        <v>4</v>
      </c>
      <c r="M1274" s="8">
        <v>1</v>
      </c>
      <c r="N1274" s="8">
        <v>155</v>
      </c>
      <c r="O1274" s="11">
        <v>0.0001195434241716867</v>
      </c>
      <c r="P1274" s="8" t="s">
        <v>700</v>
      </c>
      <c r="Q1274" s="8" t="s">
        <v>944</v>
      </c>
      <c r="R1274" s="8">
        <v>51</v>
      </c>
      <c r="S1274" s="11">
        <v>58.99940228287915</v>
      </c>
      <c r="T1274" s="11">
        <v>0.06211180124223602</v>
      </c>
      <c r="U1274" s="11">
        <v>4.937888198757764</v>
      </c>
      <c r="V1274" s="11">
        <v>1.937888198757764</v>
      </c>
      <c r="W1274" s="11">
        <v>154.0621118012422</v>
      </c>
      <c r="X1274" s="8" t="s">
        <v>945</v>
      </c>
    </row>
    <row r="1275" spans="1:24" ht="25" customHeight="1">
      <c r="A1275" s="12">
        <v>2576</v>
      </c>
      <c r="B1275" s="8">
        <v>2</v>
      </c>
      <c r="C1275" s="8" t="s">
        <v>711</v>
      </c>
      <c r="D1275" s="8" t="s">
        <v>123</v>
      </c>
      <c r="E1275" s="8" t="s">
        <v>465</v>
      </c>
      <c r="F1275" s="8">
        <v>1</v>
      </c>
      <c r="G1275" s="8">
        <v>1</v>
      </c>
      <c r="H1275" s="8">
        <v>1</v>
      </c>
      <c r="I1275" s="11">
        <v>0.1677018633540373</v>
      </c>
      <c r="J1275" s="11">
        <v>5.962962962962963</v>
      </c>
      <c r="K1275" s="8">
        <v>1</v>
      </c>
      <c r="L1275" s="8">
        <v>0</v>
      </c>
      <c r="M1275" s="8">
        <v>26</v>
      </c>
      <c r="N1275" s="8">
        <v>134</v>
      </c>
      <c r="O1275" s="11">
        <v>0.02543561912228358</v>
      </c>
      <c r="P1275" s="8" t="s">
        <v>700</v>
      </c>
      <c r="Q1275" s="8" t="s">
        <v>946</v>
      </c>
      <c r="R1275" s="8">
        <v>52</v>
      </c>
      <c r="S1275" s="11">
        <v>66.87282190438859</v>
      </c>
      <c r="T1275" s="11">
        <v>0.1677018633540373</v>
      </c>
      <c r="U1275" s="11">
        <v>0.8322981366459627</v>
      </c>
      <c r="V1275" s="11">
        <v>26.83229813664596</v>
      </c>
      <c r="W1275" s="11">
        <v>133.167701863354</v>
      </c>
      <c r="X1275" s="8" t="s">
        <v>947</v>
      </c>
    </row>
    <row r="1276" spans="1:24" ht="25" customHeight="1">
      <c r="A1276" s="12">
        <v>2577</v>
      </c>
      <c r="B1276" s="8">
        <v>2</v>
      </c>
      <c r="C1276" s="8" t="s">
        <v>716</v>
      </c>
      <c r="D1276" s="8" t="s">
        <v>120</v>
      </c>
      <c r="E1276" s="8" t="s">
        <v>428</v>
      </c>
      <c r="F1276" s="8">
        <v>23</v>
      </c>
      <c r="G1276" s="8">
        <v>5</v>
      </c>
      <c r="H1276" s="11">
        <v>0.2173913043478261</v>
      </c>
      <c r="I1276" s="11">
        <v>0.2670807453416149</v>
      </c>
      <c r="J1276" s="11">
        <v>0.813953488372093</v>
      </c>
      <c r="K1276" s="8">
        <v>5</v>
      </c>
      <c r="L1276" s="8">
        <v>18</v>
      </c>
      <c r="M1276" s="8">
        <v>38</v>
      </c>
      <c r="N1276" s="8">
        <v>100</v>
      </c>
      <c r="O1276" s="11">
        <v>0.5607209406378033</v>
      </c>
      <c r="P1276" s="8" t="s">
        <v>861</v>
      </c>
      <c r="Q1276" s="8" t="s">
        <v>948</v>
      </c>
      <c r="R1276" s="8">
        <v>53</v>
      </c>
      <c r="S1276" s="11">
        <v>20.99821531703343</v>
      </c>
      <c r="T1276" s="11">
        <v>6.142857142857143</v>
      </c>
      <c r="U1276" s="11">
        <v>16.85714285714286</v>
      </c>
      <c r="V1276" s="11">
        <v>36.85714285714285</v>
      </c>
      <c r="W1276" s="11">
        <v>101.1428571428571</v>
      </c>
      <c r="X1276" s="8" t="s">
        <v>949</v>
      </c>
    </row>
    <row r="1277" spans="1:24" ht="25" customHeight="1">
      <c r="A1277" s="12">
        <v>2578</v>
      </c>
      <c r="B1277" s="8">
        <v>2</v>
      </c>
      <c r="C1277" s="8" t="s">
        <v>706</v>
      </c>
      <c r="D1277" s="8" t="s">
        <v>120</v>
      </c>
      <c r="E1277" s="8" t="s">
        <v>428</v>
      </c>
      <c r="F1277" s="8">
        <v>6</v>
      </c>
      <c r="G1277" s="8">
        <v>1</v>
      </c>
      <c r="H1277" s="11">
        <v>0.1666666666666667</v>
      </c>
      <c r="I1277" s="11">
        <v>0.2670807453416149</v>
      </c>
      <c r="J1277" s="11">
        <v>0.624031007751938</v>
      </c>
      <c r="K1277" s="8">
        <v>1</v>
      </c>
      <c r="L1277" s="8">
        <v>5</v>
      </c>
      <c r="M1277" s="8">
        <v>42</v>
      </c>
      <c r="N1277" s="8">
        <v>113</v>
      </c>
      <c r="O1277" s="11">
        <v>0.5709936027653343</v>
      </c>
      <c r="P1277" s="8" t="s">
        <v>700</v>
      </c>
      <c r="Q1277" s="8" t="s">
        <v>950</v>
      </c>
      <c r="R1277" s="8">
        <v>54</v>
      </c>
      <c r="S1277" s="11">
        <v>47.05976066834387</v>
      </c>
      <c r="T1277" s="11">
        <v>1.602484472049689</v>
      </c>
      <c r="U1277" s="11">
        <v>4.39751552795031</v>
      </c>
      <c r="V1277" s="11">
        <v>41.39751552795031</v>
      </c>
      <c r="W1277" s="11">
        <v>113.6024844720497</v>
      </c>
      <c r="X1277" s="8" t="s">
        <v>951</v>
      </c>
    </row>
    <row r="1278" spans="1:24" ht="25" customHeight="1">
      <c r="A1278" s="12">
        <v>2579</v>
      </c>
      <c r="B1278" s="8">
        <v>2</v>
      </c>
      <c r="C1278" s="8" t="s">
        <v>716</v>
      </c>
      <c r="D1278" s="8" t="s">
        <v>120</v>
      </c>
      <c r="E1278" s="8" t="s">
        <v>465</v>
      </c>
      <c r="F1278" s="8">
        <v>23</v>
      </c>
      <c r="G1278" s="8">
        <v>4</v>
      </c>
      <c r="H1278" s="11">
        <v>0.1739130434782609</v>
      </c>
      <c r="I1278" s="11">
        <v>0.1677018633540373</v>
      </c>
      <c r="J1278" s="11">
        <v>1.037037037037037</v>
      </c>
      <c r="K1278" s="8">
        <v>4</v>
      </c>
      <c r="L1278" s="8">
        <v>19</v>
      </c>
      <c r="M1278" s="8">
        <v>23</v>
      </c>
      <c r="N1278" s="8">
        <v>115</v>
      </c>
      <c r="O1278" s="11">
        <v>0.9313711809803196</v>
      </c>
      <c r="P1278" s="8" t="s">
        <v>700</v>
      </c>
      <c r="Q1278" s="8" t="s">
        <v>952</v>
      </c>
      <c r="R1278" s="8">
        <v>55</v>
      </c>
      <c r="S1278" s="11">
        <v>52.15634860395509</v>
      </c>
      <c r="T1278" s="11">
        <v>3.857142857142857</v>
      </c>
      <c r="U1278" s="11">
        <v>19.14285714285714</v>
      </c>
      <c r="V1278" s="11">
        <v>23.14285714285714</v>
      </c>
      <c r="W1278" s="11">
        <v>114.8571428571429</v>
      </c>
      <c r="X1278" s="8" t="s">
        <v>953</v>
      </c>
    </row>
    <row r="1279" spans="1:24" ht="25" customHeight="1">
      <c r="A1279" s="12">
        <v>2580</v>
      </c>
      <c r="B1279" s="8">
        <v>2</v>
      </c>
      <c r="C1279" s="8" t="s">
        <v>716</v>
      </c>
      <c r="D1279" s="8" t="s">
        <v>120</v>
      </c>
      <c r="E1279" s="8" t="s">
        <v>452</v>
      </c>
      <c r="F1279" s="8">
        <v>23</v>
      </c>
      <c r="G1279" s="8">
        <v>1</v>
      </c>
      <c r="H1279" s="11">
        <v>0.04347826086956522</v>
      </c>
      <c r="I1279" s="11">
        <v>0.03105590062111801</v>
      </c>
      <c r="J1279" s="11">
        <v>1.4</v>
      </c>
      <c r="K1279" s="8">
        <v>1</v>
      </c>
      <c r="L1279" s="8">
        <v>22</v>
      </c>
      <c r="M1279" s="8">
        <v>4</v>
      </c>
      <c r="N1279" s="8">
        <v>134</v>
      </c>
      <c r="O1279" s="11">
        <v>0.7106718263889815</v>
      </c>
      <c r="P1279" s="8" t="s">
        <v>700</v>
      </c>
      <c r="Q1279" s="8" t="s">
        <v>954</v>
      </c>
      <c r="R1279" s="8">
        <v>56</v>
      </c>
      <c r="S1279" s="11">
        <v>46.68142347675074</v>
      </c>
      <c r="T1279" s="11">
        <v>0.7142857142857143</v>
      </c>
      <c r="U1279" s="11">
        <v>22.28571428571428</v>
      </c>
      <c r="V1279" s="11">
        <v>4.285714285714286</v>
      </c>
      <c r="W1279" s="11">
        <v>133.7142857142857</v>
      </c>
      <c r="X1279" s="8" t="s">
        <v>923</v>
      </c>
    </row>
    <row r="1280" spans="1:24" ht="25" customHeight="1">
      <c r="A1280" s="12">
        <v>2581</v>
      </c>
      <c r="B1280" s="8">
        <v>2</v>
      </c>
      <c r="C1280" s="8" t="s">
        <v>711</v>
      </c>
      <c r="D1280" s="8" t="s">
        <v>120</v>
      </c>
      <c r="E1280" s="8" t="s">
        <v>452</v>
      </c>
      <c r="F1280" s="8">
        <v>7</v>
      </c>
      <c r="G1280" s="8">
        <v>1</v>
      </c>
      <c r="H1280" s="11">
        <v>0.1428571428571428</v>
      </c>
      <c r="I1280" s="11">
        <v>0.03105590062111801</v>
      </c>
      <c r="J1280" s="11">
        <v>4.6</v>
      </c>
      <c r="K1280" s="8">
        <v>1</v>
      </c>
      <c r="L1280" s="8">
        <v>6</v>
      </c>
      <c r="M1280" s="8">
        <v>4</v>
      </c>
      <c r="N1280" s="8">
        <v>150</v>
      </c>
      <c r="O1280" s="11">
        <v>0.08124291646965928</v>
      </c>
      <c r="P1280" s="8" t="s">
        <v>700</v>
      </c>
      <c r="Q1280" s="8" t="s">
        <v>955</v>
      </c>
      <c r="R1280" s="8">
        <v>57</v>
      </c>
      <c r="S1280" s="11">
        <v>57.22235684622314</v>
      </c>
      <c r="T1280" s="11">
        <v>0.2173913043478261</v>
      </c>
      <c r="U1280" s="11">
        <v>6.782608695652174</v>
      </c>
      <c r="V1280" s="11">
        <v>4.782608695652174</v>
      </c>
      <c r="W1280" s="11">
        <v>149.2173913043478</v>
      </c>
      <c r="X1280" s="8" t="s">
        <v>956</v>
      </c>
    </row>
    <row r="1281" spans="1:24" ht="25" customHeight="1">
      <c r="A1281" s="12">
        <v>2582</v>
      </c>
      <c r="B1281" s="8">
        <v>2</v>
      </c>
      <c r="C1281" s="8" t="s">
        <v>716</v>
      </c>
      <c r="D1281" s="8" t="s">
        <v>120</v>
      </c>
      <c r="E1281" s="8" t="s">
        <v>957</v>
      </c>
      <c r="F1281" s="8">
        <v>23</v>
      </c>
      <c r="G1281" s="8">
        <v>1</v>
      </c>
      <c r="H1281" s="11">
        <v>0.04347826086956522</v>
      </c>
      <c r="I1281" s="11">
        <v>0.006211180124223602</v>
      </c>
      <c r="J1281" s="8">
        <v>7</v>
      </c>
      <c r="K1281" s="8">
        <v>1</v>
      </c>
      <c r="L1281" s="8">
        <v>22</v>
      </c>
      <c r="M1281" s="8">
        <v>0</v>
      </c>
      <c r="N1281" s="8">
        <v>138</v>
      </c>
      <c r="O1281" s="11">
        <v>0.01400510309475743</v>
      </c>
      <c r="P1281" s="8" t="s">
        <v>700</v>
      </c>
      <c r="Q1281" s="8" t="s">
        <v>958</v>
      </c>
      <c r="R1281" s="8">
        <v>58</v>
      </c>
      <c r="S1281" s="11">
        <v>57.36475709322186</v>
      </c>
      <c r="T1281" s="11">
        <v>0.1428571428571428</v>
      </c>
      <c r="U1281" s="11">
        <v>22.85714285714286</v>
      </c>
      <c r="V1281" s="11">
        <v>0.8571428571428571</v>
      </c>
      <c r="W1281" s="11">
        <v>137.1428571428571</v>
      </c>
      <c r="X1281" s="8" t="s">
        <v>959</v>
      </c>
    </row>
    <row r="1282" spans="1:24" ht="25" customHeight="1">
      <c r="A1282" s="12">
        <v>2583</v>
      </c>
      <c r="B1282" s="8">
        <v>2</v>
      </c>
      <c r="C1282" s="8" t="s">
        <v>716</v>
      </c>
      <c r="D1282" s="8" t="s">
        <v>120</v>
      </c>
      <c r="E1282" s="8" t="s">
        <v>574</v>
      </c>
      <c r="F1282" s="8">
        <v>23</v>
      </c>
      <c r="G1282" s="8">
        <v>1</v>
      </c>
      <c r="H1282" s="11">
        <v>0.04347826086956522</v>
      </c>
      <c r="I1282" s="11">
        <v>0.03105590062111801</v>
      </c>
      <c r="J1282" s="11">
        <v>1.4</v>
      </c>
      <c r="K1282" s="8">
        <v>1</v>
      </c>
      <c r="L1282" s="8">
        <v>22</v>
      </c>
      <c r="M1282" s="8">
        <v>4</v>
      </c>
      <c r="N1282" s="8">
        <v>134</v>
      </c>
      <c r="O1282" s="11">
        <v>0.7106718263889815</v>
      </c>
      <c r="P1282" s="8" t="s">
        <v>700</v>
      </c>
      <c r="Q1282" s="8" t="s">
        <v>960</v>
      </c>
      <c r="R1282" s="8">
        <v>59</v>
      </c>
      <c r="S1282" s="11">
        <v>46.68142347675074</v>
      </c>
      <c r="T1282" s="11">
        <v>0.7142857142857143</v>
      </c>
      <c r="U1282" s="11">
        <v>22.28571428571428</v>
      </c>
      <c r="V1282" s="11">
        <v>4.285714285714286</v>
      </c>
      <c r="W1282" s="11">
        <v>133.7142857142857</v>
      </c>
      <c r="X1282" s="8" t="s">
        <v>923</v>
      </c>
    </row>
    <row r="1283" spans="1:24" ht="25" customHeight="1">
      <c r="A1283" s="12">
        <v>2584</v>
      </c>
      <c r="B1283" s="8">
        <v>2</v>
      </c>
      <c r="C1283" s="8" t="s">
        <v>706</v>
      </c>
      <c r="D1283" s="8" t="s">
        <v>123</v>
      </c>
      <c r="E1283" s="8" t="s">
        <v>428</v>
      </c>
      <c r="F1283" s="8">
        <v>1</v>
      </c>
      <c r="G1283" s="8">
        <v>1</v>
      </c>
      <c r="H1283" s="8">
        <v>1</v>
      </c>
      <c r="I1283" s="11">
        <v>0.2670807453416149</v>
      </c>
      <c r="J1283" s="11">
        <v>3.744186046511628</v>
      </c>
      <c r="K1283" s="8">
        <v>1</v>
      </c>
      <c r="L1283" s="8">
        <v>0</v>
      </c>
      <c r="M1283" s="8">
        <v>42</v>
      </c>
      <c r="N1283" s="8">
        <v>118</v>
      </c>
      <c r="O1283" s="11">
        <v>0.09656748950022616</v>
      </c>
      <c r="P1283" s="8" t="s">
        <v>700</v>
      </c>
      <c r="Q1283" s="8" t="s">
        <v>961</v>
      </c>
      <c r="R1283" s="8">
        <v>60</v>
      </c>
      <c r="S1283" s="11">
        <v>64.00553464552213</v>
      </c>
      <c r="T1283" s="11">
        <v>0.2670807453416149</v>
      </c>
      <c r="U1283" s="11">
        <v>0.7329192546583851</v>
      </c>
      <c r="V1283" s="11">
        <v>42.73291925465838</v>
      </c>
      <c r="W1283" s="11">
        <v>117.2670807453416</v>
      </c>
      <c r="X1283" s="8" t="s">
        <v>962</v>
      </c>
    </row>
    <row r="1284" spans="1:24" ht="25" customHeight="1">
      <c r="A1284" s="12">
        <v>2585</v>
      </c>
      <c r="B1284" s="8">
        <v>2</v>
      </c>
      <c r="C1284" s="8" t="s">
        <v>716</v>
      </c>
      <c r="D1284" s="8" t="s">
        <v>120</v>
      </c>
      <c r="E1284" s="8" t="s">
        <v>468</v>
      </c>
      <c r="F1284" s="8">
        <v>23</v>
      </c>
      <c r="G1284" s="8">
        <v>1</v>
      </c>
      <c r="H1284" s="11">
        <v>0.04347826086956522</v>
      </c>
      <c r="I1284" s="11">
        <v>0.04968944099378882</v>
      </c>
      <c r="J1284" s="11">
        <v>0.875</v>
      </c>
      <c r="K1284" s="8">
        <v>1</v>
      </c>
      <c r="L1284" s="8">
        <v>22</v>
      </c>
      <c r="M1284" s="8">
        <v>7</v>
      </c>
      <c r="N1284" s="8">
        <v>131</v>
      </c>
      <c r="O1284" s="11">
        <v>0.8822930333191513</v>
      </c>
      <c r="P1284" s="8" t="s">
        <v>700</v>
      </c>
      <c r="Q1284" s="8" t="s">
        <v>963</v>
      </c>
      <c r="R1284" s="8">
        <v>61</v>
      </c>
      <c r="S1284" s="11">
        <v>44.77331744209989</v>
      </c>
      <c r="T1284" s="11">
        <v>1.142857142857143</v>
      </c>
      <c r="U1284" s="11">
        <v>21.85714285714286</v>
      </c>
      <c r="V1284" s="11">
        <v>6.857142857142857</v>
      </c>
      <c r="W1284" s="11">
        <v>131.1428571428571</v>
      </c>
      <c r="X1284" s="8" t="s">
        <v>964</v>
      </c>
    </row>
    <row r="1285" spans="1:24" ht="25" customHeight="1">
      <c r="A1285" s="12">
        <v>2586</v>
      </c>
      <c r="B1285" s="8">
        <v>2</v>
      </c>
      <c r="C1285" s="8" t="s">
        <v>711</v>
      </c>
      <c r="D1285" s="8" t="s">
        <v>120</v>
      </c>
      <c r="E1285" s="8" t="s">
        <v>800</v>
      </c>
      <c r="F1285" s="8">
        <v>7</v>
      </c>
      <c r="G1285" s="8">
        <v>1</v>
      </c>
      <c r="H1285" s="11">
        <v>0.1428571428571428</v>
      </c>
      <c r="I1285" s="11">
        <v>0.03105590062111801</v>
      </c>
      <c r="J1285" s="11">
        <v>4.6</v>
      </c>
      <c r="K1285" s="8">
        <v>1</v>
      </c>
      <c r="L1285" s="8">
        <v>6</v>
      </c>
      <c r="M1285" s="8">
        <v>4</v>
      </c>
      <c r="N1285" s="8">
        <v>150</v>
      </c>
      <c r="O1285" s="11">
        <v>0.08124291646965928</v>
      </c>
      <c r="P1285" s="8" t="s">
        <v>700</v>
      </c>
      <c r="Q1285" s="8" t="s">
        <v>965</v>
      </c>
      <c r="R1285" s="8">
        <v>62</v>
      </c>
      <c r="S1285" s="11">
        <v>57.22235684622314</v>
      </c>
      <c r="T1285" s="11">
        <v>0.2173913043478261</v>
      </c>
      <c r="U1285" s="11">
        <v>6.782608695652174</v>
      </c>
      <c r="V1285" s="11">
        <v>4.782608695652174</v>
      </c>
      <c r="W1285" s="11">
        <v>149.2173913043478</v>
      </c>
      <c r="X1285" s="8" t="s">
        <v>956</v>
      </c>
    </row>
    <row r="1286" spans="1:24" ht="25" customHeight="1">
      <c r="A1286" s="12">
        <v>2587</v>
      </c>
      <c r="B1286" s="8">
        <v>2</v>
      </c>
      <c r="C1286" s="8" t="s">
        <v>716</v>
      </c>
      <c r="D1286" s="8" t="s">
        <v>120</v>
      </c>
      <c r="E1286" s="8" t="s">
        <v>471</v>
      </c>
      <c r="F1286" s="8">
        <v>23</v>
      </c>
      <c r="G1286" s="8">
        <v>1</v>
      </c>
      <c r="H1286" s="11">
        <v>0.04347826086956522</v>
      </c>
      <c r="I1286" s="11">
        <v>0.0124223602484472</v>
      </c>
      <c r="J1286" s="11">
        <v>3.5</v>
      </c>
      <c r="K1286" s="8">
        <v>1</v>
      </c>
      <c r="L1286" s="8">
        <v>22</v>
      </c>
      <c r="M1286" s="8">
        <v>1</v>
      </c>
      <c r="N1286" s="8">
        <v>137</v>
      </c>
      <c r="O1286" s="11">
        <v>0.1463834305584079</v>
      </c>
      <c r="P1286" s="8" t="s">
        <v>700</v>
      </c>
      <c r="Q1286" s="8" t="s">
        <v>966</v>
      </c>
      <c r="R1286" s="8">
        <v>63</v>
      </c>
      <c r="S1286" s="11">
        <v>53.70286545590361</v>
      </c>
      <c r="T1286" s="11">
        <v>0.2857142857142857</v>
      </c>
      <c r="U1286" s="11">
        <v>22.71428571428572</v>
      </c>
      <c r="V1286" s="11">
        <v>1.714285714285714</v>
      </c>
      <c r="W1286" s="11">
        <v>136.2857142857143</v>
      </c>
      <c r="X1286" s="8" t="s">
        <v>967</v>
      </c>
    </row>
    <row r="1287" spans="1:24" ht="25" customHeight="1">
      <c r="A1287" s="12">
        <v>2588</v>
      </c>
      <c r="B1287" s="8">
        <v>2</v>
      </c>
      <c r="C1287" s="8" t="s">
        <v>716</v>
      </c>
      <c r="D1287" s="8" t="s">
        <v>120</v>
      </c>
      <c r="E1287" s="8" t="s">
        <v>474</v>
      </c>
      <c r="F1287" s="8">
        <v>23</v>
      </c>
      <c r="G1287" s="8">
        <v>1</v>
      </c>
      <c r="H1287" s="11">
        <v>0.04347826086956522</v>
      </c>
      <c r="I1287" s="11">
        <v>0.05590062111801242</v>
      </c>
      <c r="J1287" s="11">
        <v>0.7777777777777778</v>
      </c>
      <c r="K1287" s="8">
        <v>1</v>
      </c>
      <c r="L1287" s="8">
        <v>22</v>
      </c>
      <c r="M1287" s="8">
        <v>8</v>
      </c>
      <c r="N1287" s="8">
        <v>130</v>
      </c>
      <c r="O1287" s="11">
        <v>0.7793952671039175</v>
      </c>
      <c r="P1287" s="8" t="s">
        <v>700</v>
      </c>
      <c r="Q1287" s="8" t="s">
        <v>968</v>
      </c>
      <c r="R1287" s="8">
        <v>64</v>
      </c>
      <c r="S1287" s="11">
        <v>45.09336182873162</v>
      </c>
      <c r="T1287" s="11">
        <v>1.285714285714286</v>
      </c>
      <c r="U1287" s="11">
        <v>21.71428571428572</v>
      </c>
      <c r="V1287" s="11">
        <v>7.714285714285714</v>
      </c>
      <c r="W1287" s="11">
        <v>130.2857142857143</v>
      </c>
      <c r="X1287" s="8" t="s">
        <v>969</v>
      </c>
    </row>
    <row r="1288" spans="1:24" ht="25" customHeight="1">
      <c r="A1288" s="12">
        <v>2589</v>
      </c>
      <c r="B1288" s="8">
        <v>2</v>
      </c>
      <c r="C1288" s="8" t="s">
        <v>720</v>
      </c>
      <c r="D1288" s="8" t="s">
        <v>120</v>
      </c>
      <c r="E1288" s="8" t="s">
        <v>474</v>
      </c>
      <c r="F1288" s="8">
        <v>5</v>
      </c>
      <c r="G1288" s="8">
        <v>1</v>
      </c>
      <c r="H1288" s="11">
        <v>0.2</v>
      </c>
      <c r="I1288" s="11">
        <v>0.05590062111801242</v>
      </c>
      <c r="J1288" s="11">
        <v>3.577777777777778</v>
      </c>
      <c r="K1288" s="8">
        <v>1</v>
      </c>
      <c r="L1288" s="8">
        <v>4</v>
      </c>
      <c r="M1288" s="8">
        <v>8</v>
      </c>
      <c r="N1288" s="8">
        <v>148</v>
      </c>
      <c r="O1288" s="11">
        <v>0.1541897229294771</v>
      </c>
      <c r="P1288" s="8" t="s">
        <v>700</v>
      </c>
      <c r="Q1288" s="8" t="s">
        <v>970</v>
      </c>
      <c r="R1288" s="8">
        <v>65</v>
      </c>
      <c r="S1288" s="11">
        <v>55.38460694090817</v>
      </c>
      <c r="T1288" s="11">
        <v>0.2795031055900621</v>
      </c>
      <c r="U1288" s="11">
        <v>4.720496894409938</v>
      </c>
      <c r="V1288" s="11">
        <v>8.720496894409937</v>
      </c>
      <c r="W1288" s="11">
        <v>147.2795031055901</v>
      </c>
      <c r="X1288" s="8" t="s">
        <v>971</v>
      </c>
    </row>
    <row r="1289" spans="1:24" ht="25" customHeight="1">
      <c r="A1289" s="12">
        <v>2590</v>
      </c>
      <c r="B1289" s="8">
        <v>2</v>
      </c>
      <c r="C1289" s="8" t="s">
        <v>720</v>
      </c>
      <c r="D1289" s="8" t="s">
        <v>120</v>
      </c>
      <c r="E1289" s="8" t="s">
        <v>428</v>
      </c>
      <c r="F1289" s="8">
        <v>5</v>
      </c>
      <c r="G1289" s="8">
        <v>2</v>
      </c>
      <c r="H1289" s="11">
        <v>0.4</v>
      </c>
      <c r="I1289" s="11">
        <v>0.2670807453416149</v>
      </c>
      <c r="J1289" s="11">
        <v>1.497674418604651</v>
      </c>
      <c r="K1289" s="8">
        <v>2</v>
      </c>
      <c r="L1289" s="8">
        <v>3</v>
      </c>
      <c r="M1289" s="8">
        <v>41</v>
      </c>
      <c r="N1289" s="8">
        <v>115</v>
      </c>
      <c r="O1289" s="11">
        <v>0.4949511262263215</v>
      </c>
      <c r="P1289" s="8" t="s">
        <v>700</v>
      </c>
      <c r="Q1289" s="8" t="s">
        <v>972</v>
      </c>
      <c r="R1289" s="8">
        <v>66</v>
      </c>
      <c r="S1289" s="11">
        <v>53.52059320607769</v>
      </c>
      <c r="T1289" s="11">
        <v>1.335403726708075</v>
      </c>
      <c r="U1289" s="11">
        <v>3.664596273291925</v>
      </c>
      <c r="V1289" s="11">
        <v>41.66459627329193</v>
      </c>
      <c r="W1289" s="11">
        <v>114.3354037267081</v>
      </c>
      <c r="X1289" s="8" t="s">
        <v>973</v>
      </c>
    </row>
    <row r="1290" spans="1:24" ht="25" customHeight="1">
      <c r="A1290" s="12">
        <v>2591</v>
      </c>
      <c r="B1290" s="8">
        <v>2</v>
      </c>
      <c r="C1290" s="8" t="s">
        <v>720</v>
      </c>
      <c r="D1290" s="8" t="s">
        <v>803</v>
      </c>
      <c r="E1290" s="8" t="s">
        <v>878</v>
      </c>
      <c r="F1290" s="8">
        <v>3</v>
      </c>
      <c r="G1290" s="8">
        <v>1</v>
      </c>
      <c r="H1290" s="11">
        <v>0.3333333333333333</v>
      </c>
      <c r="I1290" s="11">
        <v>0.04347826086956522</v>
      </c>
      <c r="J1290" s="11">
        <v>7.666666666666666</v>
      </c>
      <c r="K1290" s="8">
        <v>1</v>
      </c>
      <c r="L1290" s="8">
        <v>2</v>
      </c>
      <c r="M1290" s="8">
        <v>6</v>
      </c>
      <c r="N1290" s="8">
        <v>152</v>
      </c>
      <c r="O1290" s="11">
        <v>0.01295180594400425</v>
      </c>
      <c r="P1290" s="8" t="s">
        <v>700</v>
      </c>
      <c r="Q1290" s="8" t="s">
        <v>974</v>
      </c>
      <c r="R1290" s="8">
        <v>67</v>
      </c>
      <c r="S1290" s="11">
        <v>60.26857430361331</v>
      </c>
      <c r="T1290" s="11">
        <v>0.1304347826086956</v>
      </c>
      <c r="U1290" s="11">
        <v>2.869565217391304</v>
      </c>
      <c r="V1290" s="11">
        <v>6.869565217391305</v>
      </c>
      <c r="W1290" s="11">
        <v>151.1304347826087</v>
      </c>
      <c r="X1290" s="8" t="s">
        <v>975</v>
      </c>
    </row>
    <row r="1291" spans="1:24" ht="25" customHeight="1">
      <c r="A1291" s="12">
        <v>2592</v>
      </c>
      <c r="B1291" s="8">
        <v>2</v>
      </c>
      <c r="C1291" s="8" t="s">
        <v>720</v>
      </c>
      <c r="D1291" s="8" t="s">
        <v>803</v>
      </c>
      <c r="E1291" s="8" t="s">
        <v>465</v>
      </c>
      <c r="F1291" s="8">
        <v>3</v>
      </c>
      <c r="G1291" s="8">
        <v>1</v>
      </c>
      <c r="H1291" s="11">
        <v>0.3333333333333333</v>
      </c>
      <c r="I1291" s="11">
        <v>0.1677018633540373</v>
      </c>
      <c r="J1291" s="11">
        <v>1.987654320987654</v>
      </c>
      <c r="K1291" s="8">
        <v>1</v>
      </c>
      <c r="L1291" s="8">
        <v>2</v>
      </c>
      <c r="M1291" s="8">
        <v>26</v>
      </c>
      <c r="N1291" s="8">
        <v>132</v>
      </c>
      <c r="O1291" s="11">
        <v>0.438257650256439</v>
      </c>
      <c r="P1291" s="8" t="s">
        <v>700</v>
      </c>
      <c r="Q1291" s="8" t="s">
        <v>976</v>
      </c>
      <c r="R1291" s="8">
        <v>68</v>
      </c>
      <c r="S1291" s="11">
        <v>52.11735372402645</v>
      </c>
      <c r="T1291" s="11">
        <v>0.5031055900621118</v>
      </c>
      <c r="U1291" s="11">
        <v>2.496894409937888</v>
      </c>
      <c r="V1291" s="11">
        <v>26.49689440993789</v>
      </c>
      <c r="W1291" s="11">
        <v>131.5031055900621</v>
      </c>
      <c r="X1291" s="8" t="s">
        <v>977</v>
      </c>
    </row>
    <row r="1292" spans="1:24" ht="25" customHeight="1">
      <c r="A1292" s="12">
        <v>2593</v>
      </c>
      <c r="B1292" s="8">
        <v>2</v>
      </c>
      <c r="C1292" s="8" t="s">
        <v>720</v>
      </c>
      <c r="D1292" s="8" t="s">
        <v>803</v>
      </c>
      <c r="E1292" s="8" t="s">
        <v>428</v>
      </c>
      <c r="F1292" s="8">
        <v>3</v>
      </c>
      <c r="G1292" s="8">
        <v>1</v>
      </c>
      <c r="H1292" s="11">
        <v>0.3333333333333333</v>
      </c>
      <c r="I1292" s="11">
        <v>0.2670807453416149</v>
      </c>
      <c r="J1292" s="11">
        <v>1.248062015503876</v>
      </c>
      <c r="K1292" s="8">
        <v>1</v>
      </c>
      <c r="L1292" s="8">
        <v>2</v>
      </c>
      <c r="M1292" s="8">
        <v>42</v>
      </c>
      <c r="N1292" s="8">
        <v>116</v>
      </c>
      <c r="O1292" s="11">
        <v>0.7934622197550607</v>
      </c>
      <c r="P1292" s="8" t="s">
        <v>700</v>
      </c>
      <c r="Q1292" s="8" t="s">
        <v>978</v>
      </c>
      <c r="R1292" s="8">
        <v>69</v>
      </c>
      <c r="S1292" s="11">
        <v>48.86214626556578</v>
      </c>
      <c r="T1292" s="11">
        <v>0.8012422360248447</v>
      </c>
      <c r="U1292" s="11">
        <v>2.198757763975155</v>
      </c>
      <c r="V1292" s="11">
        <v>42.19875776397515</v>
      </c>
      <c r="W1292" s="11">
        <v>115.8012422360248</v>
      </c>
      <c r="X1292" s="8" t="s">
        <v>979</v>
      </c>
    </row>
    <row r="1293" spans="1:24" ht="25" customHeight="1">
      <c r="A1293" s="12">
        <v>2594</v>
      </c>
      <c r="B1293" s="8">
        <v>2</v>
      </c>
      <c r="C1293" s="8" t="s">
        <v>720</v>
      </c>
      <c r="D1293" s="8" t="s">
        <v>123</v>
      </c>
      <c r="E1293" s="8" t="s">
        <v>428</v>
      </c>
      <c r="F1293" s="8">
        <v>1</v>
      </c>
      <c r="G1293" s="8">
        <v>1</v>
      </c>
      <c r="H1293" s="8">
        <v>1</v>
      </c>
      <c r="I1293" s="11">
        <v>0.2670807453416149</v>
      </c>
      <c r="J1293" s="11">
        <v>3.744186046511628</v>
      </c>
      <c r="K1293" s="8">
        <v>1</v>
      </c>
      <c r="L1293" s="8">
        <v>0</v>
      </c>
      <c r="M1293" s="8">
        <v>42</v>
      </c>
      <c r="N1293" s="8">
        <v>118</v>
      </c>
      <c r="O1293" s="11">
        <v>0.09656748950022616</v>
      </c>
      <c r="P1293" s="8" t="s">
        <v>700</v>
      </c>
      <c r="Q1293" s="8" t="s">
        <v>980</v>
      </c>
      <c r="R1293" s="8">
        <v>70</v>
      </c>
      <c r="S1293" s="11">
        <v>64.00553464552213</v>
      </c>
      <c r="T1293" s="11">
        <v>0.2670807453416149</v>
      </c>
      <c r="U1293" s="11">
        <v>0.7329192546583851</v>
      </c>
      <c r="V1293" s="11">
        <v>42.73291925465838</v>
      </c>
      <c r="W1293" s="11">
        <v>117.2670807453416</v>
      </c>
      <c r="X1293" s="8" t="s">
        <v>981</v>
      </c>
    </row>
    <row r="1294" spans="1:24" ht="25" customHeight="1">
      <c r="A1294" s="12">
        <v>2595</v>
      </c>
      <c r="B1294" s="8">
        <v>2</v>
      </c>
      <c r="C1294" s="8" t="s">
        <v>716</v>
      </c>
      <c r="D1294" s="8" t="s">
        <v>802</v>
      </c>
      <c r="E1294" s="8" t="s">
        <v>428</v>
      </c>
      <c r="F1294" s="8">
        <v>1</v>
      </c>
      <c r="G1294" s="8">
        <v>1</v>
      </c>
      <c r="H1294" s="8">
        <v>1</v>
      </c>
      <c r="I1294" s="11">
        <v>0.2670807453416149</v>
      </c>
      <c r="J1294" s="11">
        <v>3.744186046511628</v>
      </c>
      <c r="K1294" s="8">
        <v>1</v>
      </c>
      <c r="L1294" s="8">
        <v>0</v>
      </c>
      <c r="M1294" s="8">
        <v>42</v>
      </c>
      <c r="N1294" s="8">
        <v>118</v>
      </c>
      <c r="O1294" s="11">
        <v>0.09656748950022616</v>
      </c>
      <c r="P1294" s="8" t="s">
        <v>700</v>
      </c>
      <c r="Q1294" s="8" t="s">
        <v>982</v>
      </c>
      <c r="R1294" s="8">
        <v>71</v>
      </c>
      <c r="S1294" s="11">
        <v>64.00553464552213</v>
      </c>
      <c r="T1294" s="11">
        <v>0.2670807453416149</v>
      </c>
      <c r="U1294" s="11">
        <v>0.7329192546583851</v>
      </c>
      <c r="V1294" s="11">
        <v>42.73291925465838</v>
      </c>
      <c r="W1294" s="11">
        <v>117.2670807453416</v>
      </c>
      <c r="X1294" s="8" t="s">
        <v>983</v>
      </c>
    </row>
    <row r="1295" spans="1:24" ht="25" customHeight="1">
      <c r="A1295" s="12">
        <v>2596</v>
      </c>
      <c r="B1295" s="8">
        <v>2</v>
      </c>
      <c r="C1295" s="8" t="s">
        <v>720</v>
      </c>
      <c r="D1295" s="8" t="s">
        <v>802</v>
      </c>
      <c r="E1295" s="8" t="s">
        <v>428</v>
      </c>
      <c r="F1295" s="8">
        <v>2</v>
      </c>
      <c r="G1295" s="8">
        <v>1</v>
      </c>
      <c r="H1295" s="11">
        <v>0.5</v>
      </c>
      <c r="I1295" s="11">
        <v>0.2670807453416149</v>
      </c>
      <c r="J1295" s="11">
        <v>1.872093023255814</v>
      </c>
      <c r="K1295" s="8">
        <v>1</v>
      </c>
      <c r="L1295" s="8">
        <v>1</v>
      </c>
      <c r="M1295" s="8">
        <v>42</v>
      </c>
      <c r="N1295" s="8">
        <v>117</v>
      </c>
      <c r="O1295" s="11">
        <v>0.4537495172947273</v>
      </c>
      <c r="P1295" s="8" t="s">
        <v>700</v>
      </c>
      <c r="Q1295" s="8" t="s">
        <v>984</v>
      </c>
      <c r="R1295" s="8">
        <v>72</v>
      </c>
      <c r="S1295" s="11">
        <v>53.47543846003799</v>
      </c>
      <c r="T1295" s="11">
        <v>0.5341614906832298</v>
      </c>
      <c r="U1295" s="11">
        <v>1.46583850931677</v>
      </c>
      <c r="V1295" s="11">
        <v>42.46583850931677</v>
      </c>
      <c r="W1295" s="11">
        <v>116.5341614906832</v>
      </c>
      <c r="X1295" s="8" t="s">
        <v>985</v>
      </c>
    </row>
    <row r="1296" spans="1:24" ht="25" customHeight="1">
      <c r="A1296" s="12">
        <v>2597</v>
      </c>
      <c r="B1296" s="8">
        <v>2</v>
      </c>
      <c r="C1296" s="8" t="s">
        <v>720</v>
      </c>
      <c r="D1296" s="8" t="s">
        <v>802</v>
      </c>
      <c r="E1296" s="8" t="s">
        <v>541</v>
      </c>
      <c r="F1296" s="8">
        <v>2</v>
      </c>
      <c r="G1296" s="8">
        <v>1</v>
      </c>
      <c r="H1296" s="11">
        <v>0.5</v>
      </c>
      <c r="I1296" s="11">
        <v>0.02484472049689441</v>
      </c>
      <c r="J1296" s="11">
        <v>20.125</v>
      </c>
      <c r="K1296" s="8">
        <v>1</v>
      </c>
      <c r="L1296" s="8">
        <v>1</v>
      </c>
      <c r="M1296" s="8">
        <v>3</v>
      </c>
      <c r="N1296" s="8">
        <v>156</v>
      </c>
      <c r="O1296" s="11">
        <v>1.39776635705488E-05</v>
      </c>
      <c r="P1296" s="8" t="s">
        <v>700</v>
      </c>
      <c r="Q1296" s="8" t="s">
        <v>986</v>
      </c>
      <c r="R1296" s="8">
        <v>73</v>
      </c>
      <c r="S1296" s="11">
        <v>61.99993011168215</v>
      </c>
      <c r="T1296" s="11">
        <v>0.04968944099378882</v>
      </c>
      <c r="U1296" s="11">
        <v>1.950310559006211</v>
      </c>
      <c r="V1296" s="11">
        <v>3.950310559006211</v>
      </c>
      <c r="W1296" s="11">
        <v>155.0496894409938</v>
      </c>
      <c r="X1296" s="8" t="s">
        <v>987</v>
      </c>
    </row>
    <row r="1297" spans="1:24" ht="25" customHeight="1">
      <c r="A1297" s="12">
        <v>2598</v>
      </c>
      <c r="B1297" s="8">
        <v>2</v>
      </c>
      <c r="C1297" s="8" t="s">
        <v>711</v>
      </c>
      <c r="D1297" s="8" t="s">
        <v>803</v>
      </c>
      <c r="E1297" s="8" t="s">
        <v>428</v>
      </c>
      <c r="F1297" s="8">
        <v>1</v>
      </c>
      <c r="G1297" s="8">
        <v>1</v>
      </c>
      <c r="H1297" s="8">
        <v>1</v>
      </c>
      <c r="I1297" s="11">
        <v>0.2670807453416149</v>
      </c>
      <c r="J1297" s="11">
        <v>3.744186046511628</v>
      </c>
      <c r="K1297" s="8">
        <v>1</v>
      </c>
      <c r="L1297" s="8">
        <v>0</v>
      </c>
      <c r="M1297" s="8">
        <v>42</v>
      </c>
      <c r="N1297" s="8">
        <v>118</v>
      </c>
      <c r="O1297" s="11">
        <v>0.09656748950022616</v>
      </c>
      <c r="P1297" s="8" t="s">
        <v>700</v>
      </c>
      <c r="Q1297" s="8" t="s">
        <v>988</v>
      </c>
      <c r="R1297" s="8">
        <v>74</v>
      </c>
      <c r="S1297" s="11">
        <v>64.00553464552213</v>
      </c>
      <c r="T1297" s="11">
        <v>0.2670807453416149</v>
      </c>
      <c r="U1297" s="11">
        <v>0.7329192546583851</v>
      </c>
      <c r="V1297" s="11">
        <v>42.73291925465838</v>
      </c>
      <c r="W1297" s="11">
        <v>117.2670807453416</v>
      </c>
      <c r="X1297" s="8" t="s">
        <v>989</v>
      </c>
    </row>
    <row r="1298" spans="1:24" ht="25" customHeight="1">
      <c r="A1298" s="12">
        <v>2599</v>
      </c>
      <c r="B1298" s="8">
        <v>3</v>
      </c>
      <c r="C1298" s="8" t="s">
        <v>716</v>
      </c>
      <c r="D1298" s="8" t="s">
        <v>120</v>
      </c>
      <c r="E1298" s="8" t="s">
        <v>446</v>
      </c>
      <c r="F1298" s="8">
        <v>13</v>
      </c>
      <c r="G1298" s="8">
        <v>1</v>
      </c>
      <c r="H1298" s="11">
        <v>0.07692307692307693</v>
      </c>
      <c r="I1298" s="11">
        <v>0.03105590062111801</v>
      </c>
      <c r="J1298" s="11">
        <v>2.476923076923077</v>
      </c>
      <c r="K1298" s="8">
        <v>1</v>
      </c>
      <c r="L1298" s="8">
        <v>12</v>
      </c>
      <c r="M1298" s="8">
        <v>4</v>
      </c>
      <c r="N1298" s="8">
        <v>144</v>
      </c>
      <c r="O1298" s="11">
        <v>0.3200580083325903</v>
      </c>
      <c r="P1298" s="8" t="s">
        <v>700</v>
      </c>
      <c r="Q1298" s="8" t="s">
        <v>990</v>
      </c>
      <c r="R1298" s="8">
        <v>75</v>
      </c>
      <c r="S1298" s="11">
        <v>51.12278688141397</v>
      </c>
      <c r="T1298" s="11">
        <v>0.4037267080745341</v>
      </c>
      <c r="U1298" s="11">
        <v>12.59627329192547</v>
      </c>
      <c r="V1298" s="11">
        <v>4.596273291925466</v>
      </c>
      <c r="W1298" s="11">
        <v>143.4037267080745</v>
      </c>
      <c r="X1298" s="8" t="s">
        <v>991</v>
      </c>
    </row>
    <row r="1299" spans="1:24" ht="25" customHeight="1">
      <c r="A1299" s="12">
        <v>2600</v>
      </c>
      <c r="B1299" s="8">
        <v>3</v>
      </c>
      <c r="C1299" s="8" t="s">
        <v>716</v>
      </c>
      <c r="D1299" s="8" t="s">
        <v>120</v>
      </c>
      <c r="E1299" s="8" t="s">
        <v>474</v>
      </c>
      <c r="F1299" s="8">
        <v>13</v>
      </c>
      <c r="G1299" s="8">
        <v>1</v>
      </c>
      <c r="H1299" s="11">
        <v>0.07692307692307693</v>
      </c>
      <c r="I1299" s="11">
        <v>0.05590062111801242</v>
      </c>
      <c r="J1299" s="11">
        <v>1.376068376068376</v>
      </c>
      <c r="K1299" s="8">
        <v>1</v>
      </c>
      <c r="L1299" s="8">
        <v>12</v>
      </c>
      <c r="M1299" s="8">
        <v>8</v>
      </c>
      <c r="N1299" s="8">
        <v>140</v>
      </c>
      <c r="O1299" s="11">
        <v>0.7307500136636516</v>
      </c>
      <c r="P1299" s="8" t="s">
        <v>700</v>
      </c>
      <c r="Q1299" s="8" t="s">
        <v>992</v>
      </c>
      <c r="R1299" s="8">
        <v>76</v>
      </c>
      <c r="S1299" s="11">
        <v>46.86761745304926</v>
      </c>
      <c r="T1299" s="11">
        <v>0.7267080745341615</v>
      </c>
      <c r="U1299" s="11">
        <v>12.27329192546584</v>
      </c>
      <c r="V1299" s="11">
        <v>8.273291925465838</v>
      </c>
      <c r="W1299" s="11">
        <v>139.7267080745342</v>
      </c>
      <c r="X1299" s="8" t="s">
        <v>993</v>
      </c>
    </row>
    <row r="1300" spans="1:24" ht="25" customHeight="1">
      <c r="A1300" s="12">
        <v>2601</v>
      </c>
      <c r="B1300" s="8">
        <v>3</v>
      </c>
      <c r="C1300" s="8" t="s">
        <v>716</v>
      </c>
      <c r="D1300" s="8" t="s">
        <v>120</v>
      </c>
      <c r="E1300" s="8" t="s">
        <v>449</v>
      </c>
      <c r="F1300" s="8">
        <v>13</v>
      </c>
      <c r="G1300" s="8">
        <v>8</v>
      </c>
      <c r="H1300" s="11">
        <v>0.6153846153846154</v>
      </c>
      <c r="I1300" s="11">
        <v>0.1863354037267081</v>
      </c>
      <c r="J1300" s="11">
        <v>3.302564102564103</v>
      </c>
      <c r="K1300" s="8">
        <v>8</v>
      </c>
      <c r="L1300" s="8">
        <v>5</v>
      </c>
      <c r="M1300" s="8">
        <v>22</v>
      </c>
      <c r="N1300" s="8">
        <v>126</v>
      </c>
      <c r="O1300" s="11">
        <v>3.417160240034174E-05</v>
      </c>
      <c r="P1300" s="8" t="s">
        <v>700</v>
      </c>
      <c r="Q1300" s="8" t="s">
        <v>994</v>
      </c>
      <c r="R1300" s="8">
        <v>77</v>
      </c>
      <c r="S1300" s="11">
        <v>73.75880350096236</v>
      </c>
      <c r="T1300" s="11">
        <v>2.422360248447205</v>
      </c>
      <c r="U1300" s="11">
        <v>10.57763975155279</v>
      </c>
      <c r="V1300" s="11">
        <v>27.57763975155279</v>
      </c>
      <c r="W1300" s="11">
        <v>120.4223602484472</v>
      </c>
      <c r="X1300" s="8" t="s">
        <v>995</v>
      </c>
    </row>
    <row r="1301" spans="1:24" ht="25" customHeight="1">
      <c r="A1301" s="12">
        <v>2602</v>
      </c>
      <c r="B1301" s="8">
        <v>3</v>
      </c>
      <c r="C1301" s="8" t="s">
        <v>706</v>
      </c>
      <c r="D1301" s="8" t="s">
        <v>842</v>
      </c>
      <c r="E1301" s="8" t="s">
        <v>465</v>
      </c>
      <c r="F1301" s="8">
        <v>1</v>
      </c>
      <c r="G1301" s="8">
        <v>1</v>
      </c>
      <c r="H1301" s="8">
        <v>1</v>
      </c>
      <c r="I1301" s="11">
        <v>0.1677018633540373</v>
      </c>
      <c r="J1301" s="11">
        <v>5.962962962962963</v>
      </c>
      <c r="K1301" s="8">
        <v>1</v>
      </c>
      <c r="L1301" s="8">
        <v>0</v>
      </c>
      <c r="M1301" s="8">
        <v>26</v>
      </c>
      <c r="N1301" s="8">
        <v>134</v>
      </c>
      <c r="O1301" s="11">
        <v>0.02543561912228358</v>
      </c>
      <c r="P1301" s="8" t="s">
        <v>700</v>
      </c>
      <c r="Q1301" s="8" t="s">
        <v>996</v>
      </c>
      <c r="R1301" s="8">
        <v>78</v>
      </c>
      <c r="S1301" s="11">
        <v>66.87282190438859</v>
      </c>
      <c r="T1301" s="11">
        <v>0.1677018633540373</v>
      </c>
      <c r="U1301" s="11">
        <v>0.8322981366459627</v>
      </c>
      <c r="V1301" s="11">
        <v>26.83229813664596</v>
      </c>
      <c r="W1301" s="11">
        <v>133.167701863354</v>
      </c>
      <c r="X1301" s="8" t="s">
        <v>997</v>
      </c>
    </row>
    <row r="1302" spans="1:24" ht="25" customHeight="1">
      <c r="A1302" s="12">
        <v>2603</v>
      </c>
      <c r="B1302" s="8">
        <v>3</v>
      </c>
      <c r="C1302" s="8" t="s">
        <v>720</v>
      </c>
      <c r="D1302" s="8" t="s">
        <v>123</v>
      </c>
      <c r="E1302" s="8" t="s">
        <v>474</v>
      </c>
      <c r="F1302" s="8">
        <v>1</v>
      </c>
      <c r="G1302" s="8">
        <v>1</v>
      </c>
      <c r="H1302" s="8">
        <v>1</v>
      </c>
      <c r="I1302" s="11">
        <v>0.05590062111801242</v>
      </c>
      <c r="J1302" s="11">
        <v>17.88888888888889</v>
      </c>
      <c r="K1302" s="8">
        <v>1</v>
      </c>
      <c r="L1302" s="8">
        <v>0</v>
      </c>
      <c r="M1302" s="8">
        <v>8</v>
      </c>
      <c r="N1302" s="8">
        <v>152</v>
      </c>
      <c r="O1302" s="11">
        <v>3.748935237268164E-05</v>
      </c>
      <c r="P1302" s="8" t="s">
        <v>700</v>
      </c>
      <c r="Q1302" s="8" t="s">
        <v>998</v>
      </c>
      <c r="R1302" s="8">
        <v>79</v>
      </c>
      <c r="S1302" s="11">
        <v>66.99981255323814</v>
      </c>
      <c r="T1302" s="11">
        <v>0.05590062111801242</v>
      </c>
      <c r="U1302" s="11">
        <v>0.9440993788819876</v>
      </c>
      <c r="V1302" s="11">
        <v>8.944099378881987</v>
      </c>
      <c r="W1302" s="11">
        <v>151.055900621118</v>
      </c>
      <c r="X1302" s="8" t="s">
        <v>999</v>
      </c>
    </row>
    <row r="1303" spans="1:24" ht="25" customHeight="1">
      <c r="A1303" s="12">
        <v>2604</v>
      </c>
      <c r="B1303" s="8">
        <v>3</v>
      </c>
      <c r="C1303" s="8" t="s">
        <v>711</v>
      </c>
      <c r="D1303" s="8" t="s">
        <v>877</v>
      </c>
      <c r="E1303" s="8" t="s">
        <v>878</v>
      </c>
      <c r="F1303" s="8">
        <v>1</v>
      </c>
      <c r="G1303" s="8">
        <v>1</v>
      </c>
      <c r="H1303" s="8">
        <v>1</v>
      </c>
      <c r="I1303" s="11">
        <v>0.04347826086956522</v>
      </c>
      <c r="J1303" s="8">
        <v>23</v>
      </c>
      <c r="K1303" s="8">
        <v>1</v>
      </c>
      <c r="L1303" s="8">
        <v>0</v>
      </c>
      <c r="M1303" s="8">
        <v>6</v>
      </c>
      <c r="N1303" s="8">
        <v>154</v>
      </c>
      <c r="O1303" s="11">
        <v>2.538031489740095E-06</v>
      </c>
      <c r="P1303" s="8" t="s">
        <v>700</v>
      </c>
      <c r="Q1303" s="8" t="s">
        <v>1000</v>
      </c>
      <c r="R1303" s="8">
        <v>80</v>
      </c>
      <c r="S1303" s="11">
        <v>66.99998730984255</v>
      </c>
      <c r="T1303" s="11">
        <v>0.04347826086956522</v>
      </c>
      <c r="U1303" s="11">
        <v>0.9565217391304348</v>
      </c>
      <c r="V1303" s="11">
        <v>6.956521739130435</v>
      </c>
      <c r="W1303" s="11">
        <v>153.0434782608696</v>
      </c>
      <c r="X1303" s="8" t="s">
        <v>1001</v>
      </c>
    </row>
    <row r="1304" spans="1:24" ht="25" customHeight="1">
      <c r="A1304" s="12">
        <v>2605</v>
      </c>
      <c r="B1304" s="8">
        <v>3</v>
      </c>
      <c r="C1304" s="8" t="s">
        <v>706</v>
      </c>
      <c r="D1304" s="8" t="s">
        <v>120</v>
      </c>
      <c r="E1304" s="8" t="s">
        <v>446</v>
      </c>
      <c r="F1304" s="8">
        <v>4</v>
      </c>
      <c r="G1304" s="8">
        <v>2</v>
      </c>
      <c r="H1304" s="11">
        <v>0.5</v>
      </c>
      <c r="I1304" s="11">
        <v>0.03105590062111801</v>
      </c>
      <c r="J1304" s="11">
        <v>16.1</v>
      </c>
      <c r="K1304" s="8">
        <v>2</v>
      </c>
      <c r="L1304" s="8">
        <v>2</v>
      </c>
      <c r="M1304" s="8">
        <v>3</v>
      </c>
      <c r="N1304" s="8">
        <v>154</v>
      </c>
      <c r="O1304" s="11">
        <v>4.372427580040225E-08</v>
      </c>
      <c r="P1304" s="8" t="s">
        <v>700</v>
      </c>
      <c r="Q1304" s="8" t="s">
        <v>1002</v>
      </c>
      <c r="R1304" s="8">
        <v>81</v>
      </c>
      <c r="S1304" s="11">
        <v>63.99999978137862</v>
      </c>
      <c r="T1304" s="11">
        <v>0.124223602484472</v>
      </c>
      <c r="U1304" s="11">
        <v>3.875776397515528</v>
      </c>
      <c r="V1304" s="11">
        <v>4.875776397515528</v>
      </c>
      <c r="W1304" s="11">
        <v>152.1242236024845</v>
      </c>
      <c r="X1304" s="8" t="s">
        <v>1003</v>
      </c>
    </row>
    <row r="1305" spans="1:24" ht="25" customHeight="1">
      <c r="A1305" s="12">
        <v>2606</v>
      </c>
      <c r="B1305" s="8">
        <v>3</v>
      </c>
      <c r="C1305" s="8" t="s">
        <v>711</v>
      </c>
      <c r="D1305" s="8" t="s">
        <v>120</v>
      </c>
      <c r="E1305" s="8" t="s">
        <v>449</v>
      </c>
      <c r="F1305" s="8">
        <v>11</v>
      </c>
      <c r="G1305" s="8">
        <v>6</v>
      </c>
      <c r="H1305" s="11">
        <v>0.5454545454545454</v>
      </c>
      <c r="I1305" s="11">
        <v>0.1863354037267081</v>
      </c>
      <c r="J1305" s="11">
        <v>2.927272727272727</v>
      </c>
      <c r="K1305" s="8">
        <v>6</v>
      </c>
      <c r="L1305" s="8">
        <v>5</v>
      </c>
      <c r="M1305" s="8">
        <v>24</v>
      </c>
      <c r="N1305" s="8">
        <v>126</v>
      </c>
      <c r="O1305" s="11">
        <v>0.001529276580946609</v>
      </c>
      <c r="P1305" s="8" t="s">
        <v>700</v>
      </c>
      <c r="Q1305" s="8" t="s">
        <v>1004</v>
      </c>
      <c r="R1305" s="8">
        <v>82</v>
      </c>
      <c r="S1305" s="11">
        <v>68.30144452618617</v>
      </c>
      <c r="T1305" s="11">
        <v>2.049689440993789</v>
      </c>
      <c r="U1305" s="11">
        <v>8.950310559006212</v>
      </c>
      <c r="V1305" s="11">
        <v>27.95031055900621</v>
      </c>
      <c r="W1305" s="11">
        <v>122.0496894409938</v>
      </c>
      <c r="X1305" s="8" t="s">
        <v>1005</v>
      </c>
    </row>
    <row r="1306" spans="1:24" ht="25" customHeight="1">
      <c r="A1306" s="12">
        <v>2607</v>
      </c>
      <c r="B1306" s="8">
        <v>3</v>
      </c>
      <c r="C1306" s="8" t="s">
        <v>711</v>
      </c>
      <c r="D1306" s="8" t="s">
        <v>120</v>
      </c>
      <c r="E1306" s="8" t="s">
        <v>605</v>
      </c>
      <c r="F1306" s="8">
        <v>11</v>
      </c>
      <c r="G1306" s="8">
        <v>2</v>
      </c>
      <c r="H1306" s="11">
        <v>0.1818181818181818</v>
      </c>
      <c r="I1306" s="11">
        <v>0.0124223602484472</v>
      </c>
      <c r="J1306" s="11">
        <v>14.63636363636364</v>
      </c>
      <c r="K1306" s="8">
        <v>2</v>
      </c>
      <c r="L1306" s="8">
        <v>9</v>
      </c>
      <c r="M1306" s="8">
        <v>0</v>
      </c>
      <c r="N1306" s="8">
        <v>150</v>
      </c>
      <c r="O1306" s="11">
        <v>1.479666711642584E-07</v>
      </c>
      <c r="P1306" s="8" t="s">
        <v>700</v>
      </c>
      <c r="Q1306" s="8" t="s">
        <v>1006</v>
      </c>
      <c r="R1306" s="8">
        <v>83</v>
      </c>
      <c r="S1306" s="11">
        <v>60.81818107834847</v>
      </c>
      <c r="T1306" s="11">
        <v>0.1366459627329193</v>
      </c>
      <c r="U1306" s="11">
        <v>10.86335403726708</v>
      </c>
      <c r="V1306" s="11">
        <v>1.863354037267081</v>
      </c>
      <c r="W1306" s="11">
        <v>148.1366459627329</v>
      </c>
      <c r="X1306" s="8" t="s">
        <v>1007</v>
      </c>
    </row>
    <row r="1307" spans="1:24" ht="25" customHeight="1">
      <c r="A1307" s="12">
        <v>2608</v>
      </c>
      <c r="B1307" s="8">
        <v>3</v>
      </c>
      <c r="C1307" s="8" t="s">
        <v>711</v>
      </c>
      <c r="D1307" s="8" t="s">
        <v>120</v>
      </c>
      <c r="E1307" s="8" t="s">
        <v>474</v>
      </c>
      <c r="F1307" s="8">
        <v>11</v>
      </c>
      <c r="G1307" s="8">
        <v>1</v>
      </c>
      <c r="H1307" s="11">
        <v>0.09090909090909091</v>
      </c>
      <c r="I1307" s="11">
        <v>0.05590062111801242</v>
      </c>
      <c r="J1307" s="11">
        <v>1.626262626262626</v>
      </c>
      <c r="K1307" s="8">
        <v>1</v>
      </c>
      <c r="L1307" s="8">
        <v>10</v>
      </c>
      <c r="M1307" s="8">
        <v>8</v>
      </c>
      <c r="N1307" s="8">
        <v>142</v>
      </c>
      <c r="O1307" s="11">
        <v>0.6005400327382397</v>
      </c>
      <c r="P1307" s="8" t="s">
        <v>700</v>
      </c>
      <c r="Q1307" s="8" t="s">
        <v>1008</v>
      </c>
      <c r="R1307" s="8">
        <v>84</v>
      </c>
      <c r="S1307" s="11">
        <v>48.15891599792496</v>
      </c>
      <c r="T1307" s="11">
        <v>0.6149068322981367</v>
      </c>
      <c r="U1307" s="11">
        <v>10.38509316770186</v>
      </c>
      <c r="V1307" s="11">
        <v>8.385093167701863</v>
      </c>
      <c r="W1307" s="11">
        <v>141.6149068322981</v>
      </c>
      <c r="X1307" s="8" t="s">
        <v>1009</v>
      </c>
    </row>
    <row r="1308" spans="1:24" ht="25" customHeight="1">
      <c r="A1308" s="12">
        <v>2609</v>
      </c>
      <c r="B1308" s="8">
        <v>3</v>
      </c>
      <c r="C1308" s="8" t="s">
        <v>716</v>
      </c>
      <c r="D1308" s="8" t="s">
        <v>120</v>
      </c>
      <c r="E1308" s="8" t="s">
        <v>465</v>
      </c>
      <c r="F1308" s="8">
        <v>13</v>
      </c>
      <c r="G1308" s="8">
        <v>2</v>
      </c>
      <c r="H1308" s="11">
        <v>0.1538461538461539</v>
      </c>
      <c r="I1308" s="11">
        <v>0.1677018633540373</v>
      </c>
      <c r="J1308" s="11">
        <v>0.9173789173789174</v>
      </c>
      <c r="K1308" s="8">
        <v>2</v>
      </c>
      <c r="L1308" s="8">
        <v>11</v>
      </c>
      <c r="M1308" s="8">
        <v>25</v>
      </c>
      <c r="N1308" s="8">
        <v>123</v>
      </c>
      <c r="O1308" s="11">
        <v>0.8890804558384895</v>
      </c>
      <c r="P1308" s="8" t="s">
        <v>700</v>
      </c>
      <c r="Q1308" s="8" t="s">
        <v>1010</v>
      </c>
      <c r="R1308" s="8">
        <v>85</v>
      </c>
      <c r="S1308" s="11">
        <v>47.92781709402693</v>
      </c>
      <c r="T1308" s="11">
        <v>2.180124223602484</v>
      </c>
      <c r="U1308" s="11">
        <v>10.81987577639751</v>
      </c>
      <c r="V1308" s="11">
        <v>24.81987577639752</v>
      </c>
      <c r="W1308" s="11">
        <v>123.1801242236025</v>
      </c>
      <c r="X1308" s="8" t="s">
        <v>1011</v>
      </c>
    </row>
    <row r="1309" spans="1:24" ht="25" customHeight="1">
      <c r="A1309" s="12">
        <v>2610</v>
      </c>
      <c r="B1309" s="8">
        <v>3</v>
      </c>
      <c r="C1309" s="8" t="s">
        <v>716</v>
      </c>
      <c r="D1309" s="8" t="s">
        <v>120</v>
      </c>
      <c r="E1309" s="8" t="s">
        <v>468</v>
      </c>
      <c r="F1309" s="8">
        <v>13</v>
      </c>
      <c r="G1309" s="8">
        <v>1</v>
      </c>
      <c r="H1309" s="11">
        <v>0.07692307692307693</v>
      </c>
      <c r="I1309" s="11">
        <v>0.04968944099378882</v>
      </c>
      <c r="J1309" s="11">
        <v>1.548076923076923</v>
      </c>
      <c r="K1309" s="8">
        <v>1</v>
      </c>
      <c r="L1309" s="8">
        <v>12</v>
      </c>
      <c r="M1309" s="8">
        <v>7</v>
      </c>
      <c r="N1309" s="8">
        <v>141</v>
      </c>
      <c r="O1309" s="11">
        <v>0.6374287540793708</v>
      </c>
      <c r="P1309" s="8" t="s">
        <v>700</v>
      </c>
      <c r="Q1309" s="8" t="s">
        <v>1012</v>
      </c>
      <c r="R1309" s="8">
        <v>86</v>
      </c>
      <c r="S1309" s="11">
        <v>47.67824084498776</v>
      </c>
      <c r="T1309" s="11">
        <v>0.6459627329192547</v>
      </c>
      <c r="U1309" s="11">
        <v>12.35403726708075</v>
      </c>
      <c r="V1309" s="11">
        <v>7.354037267080745</v>
      </c>
      <c r="W1309" s="11">
        <v>140.6459627329193</v>
      </c>
      <c r="X1309" s="8" t="s">
        <v>1013</v>
      </c>
    </row>
    <row r="1310" spans="1:24" ht="25" customHeight="1">
      <c r="A1310" s="12">
        <v>2611</v>
      </c>
      <c r="B1310" s="8">
        <v>3</v>
      </c>
      <c r="C1310" s="8" t="s">
        <v>711</v>
      </c>
      <c r="D1310" s="8" t="s">
        <v>120</v>
      </c>
      <c r="E1310" s="8" t="s">
        <v>428</v>
      </c>
      <c r="F1310" s="8">
        <v>11</v>
      </c>
      <c r="G1310" s="8">
        <v>2</v>
      </c>
      <c r="H1310" s="11">
        <v>0.1818181818181818</v>
      </c>
      <c r="I1310" s="11">
        <v>0.2670807453416149</v>
      </c>
      <c r="J1310" s="11">
        <v>0.6807610993657506</v>
      </c>
      <c r="K1310" s="8">
        <v>2</v>
      </c>
      <c r="L1310" s="8">
        <v>9</v>
      </c>
      <c r="M1310" s="8">
        <v>41</v>
      </c>
      <c r="N1310" s="8">
        <v>109</v>
      </c>
      <c r="O1310" s="11">
        <v>0.5078591704130988</v>
      </c>
      <c r="P1310" s="8" t="s">
        <v>700</v>
      </c>
      <c r="Q1310" s="8" t="s">
        <v>1014</v>
      </c>
      <c r="R1310" s="8">
        <v>87</v>
      </c>
      <c r="S1310" s="11">
        <v>49.64040816484783</v>
      </c>
      <c r="T1310" s="11">
        <v>2.937888198757764</v>
      </c>
      <c r="U1310" s="11">
        <v>8.062111801242237</v>
      </c>
      <c r="V1310" s="11">
        <v>40.06211180124224</v>
      </c>
      <c r="W1310" s="11">
        <v>109.9378881987578</v>
      </c>
      <c r="X1310" s="8" t="s">
        <v>1015</v>
      </c>
    </row>
    <row r="1311" spans="1:24" ht="25" customHeight="1">
      <c r="A1311" s="12">
        <v>2612</v>
      </c>
      <c r="B1311" s="8">
        <v>3</v>
      </c>
      <c r="C1311" s="8" t="s">
        <v>720</v>
      </c>
      <c r="D1311" s="8" t="s">
        <v>120</v>
      </c>
      <c r="E1311" s="8" t="s">
        <v>449</v>
      </c>
      <c r="F1311" s="8">
        <v>5</v>
      </c>
      <c r="G1311" s="8">
        <v>1</v>
      </c>
      <c r="H1311" s="11">
        <v>0.2</v>
      </c>
      <c r="I1311" s="11">
        <v>0.1863354037267081</v>
      </c>
      <c r="J1311" s="11">
        <v>1.073333333333333</v>
      </c>
      <c r="K1311" s="8">
        <v>1</v>
      </c>
      <c r="L1311" s="8">
        <v>4</v>
      </c>
      <c r="M1311" s="8">
        <v>29</v>
      </c>
      <c r="N1311" s="8">
        <v>127</v>
      </c>
      <c r="O1311" s="11">
        <v>0.9364607178909828</v>
      </c>
      <c r="P1311" s="8" t="s">
        <v>700</v>
      </c>
      <c r="Q1311" s="8" t="s">
        <v>1016</v>
      </c>
      <c r="R1311" s="8">
        <v>88</v>
      </c>
      <c r="S1311" s="11">
        <v>46.46436307721176</v>
      </c>
      <c r="T1311" s="11">
        <v>0.9316770186335404</v>
      </c>
      <c r="U1311" s="11">
        <v>4.068322981366459</v>
      </c>
      <c r="V1311" s="11">
        <v>29.06832298136646</v>
      </c>
      <c r="W1311" s="11">
        <v>126.9316770186335</v>
      </c>
      <c r="X1311" s="8" t="s">
        <v>1017</v>
      </c>
    </row>
    <row r="1312" spans="1:24" ht="25" customHeight="1">
      <c r="A1312" s="12">
        <v>2613</v>
      </c>
      <c r="B1312" s="8">
        <v>3</v>
      </c>
      <c r="C1312" s="8" t="s">
        <v>706</v>
      </c>
      <c r="D1312" s="8" t="s">
        <v>123</v>
      </c>
      <c r="E1312" s="8" t="s">
        <v>474</v>
      </c>
      <c r="F1312" s="8">
        <v>1</v>
      </c>
      <c r="G1312" s="8">
        <v>1</v>
      </c>
      <c r="H1312" s="8">
        <v>1</v>
      </c>
      <c r="I1312" s="11">
        <v>0.05590062111801242</v>
      </c>
      <c r="J1312" s="11">
        <v>17.88888888888889</v>
      </c>
      <c r="K1312" s="8">
        <v>1</v>
      </c>
      <c r="L1312" s="8">
        <v>0</v>
      </c>
      <c r="M1312" s="8">
        <v>8</v>
      </c>
      <c r="N1312" s="8">
        <v>152</v>
      </c>
      <c r="O1312" s="11">
        <v>3.748935237268164E-05</v>
      </c>
      <c r="P1312" s="8" t="s">
        <v>700</v>
      </c>
      <c r="Q1312" s="8" t="s">
        <v>1018</v>
      </c>
      <c r="R1312" s="8">
        <v>89</v>
      </c>
      <c r="S1312" s="11">
        <v>66.99981255323814</v>
      </c>
      <c r="T1312" s="11">
        <v>0.05590062111801242</v>
      </c>
      <c r="U1312" s="11">
        <v>0.9440993788819876</v>
      </c>
      <c r="V1312" s="11">
        <v>8.944099378881987</v>
      </c>
      <c r="W1312" s="11">
        <v>151.055900621118</v>
      </c>
      <c r="X1312" s="8" t="s">
        <v>1019</v>
      </c>
    </row>
    <row r="1313" spans="1:24" ht="25" customHeight="1">
      <c r="A1313" s="12">
        <v>2614</v>
      </c>
      <c r="B1313" s="8">
        <v>3</v>
      </c>
      <c r="C1313" s="8" t="s">
        <v>706</v>
      </c>
      <c r="D1313" s="8" t="s">
        <v>120</v>
      </c>
      <c r="E1313" s="8" t="s">
        <v>449</v>
      </c>
      <c r="F1313" s="8">
        <v>4</v>
      </c>
      <c r="G1313" s="8">
        <v>1</v>
      </c>
      <c r="H1313" s="11">
        <v>0.25</v>
      </c>
      <c r="I1313" s="11">
        <v>0.1863354037267081</v>
      </c>
      <c r="J1313" s="11">
        <v>1.341666666666667</v>
      </c>
      <c r="K1313" s="8">
        <v>1</v>
      </c>
      <c r="L1313" s="8">
        <v>3</v>
      </c>
      <c r="M1313" s="8">
        <v>29</v>
      </c>
      <c r="N1313" s="8">
        <v>128</v>
      </c>
      <c r="O1313" s="11">
        <v>0.7405335248533718</v>
      </c>
      <c r="P1313" s="8" t="s">
        <v>700</v>
      </c>
      <c r="Q1313" s="8" t="s">
        <v>1020</v>
      </c>
      <c r="R1313" s="8">
        <v>90</v>
      </c>
      <c r="S1313" s="11">
        <v>48.48066570906648</v>
      </c>
      <c r="T1313" s="11">
        <v>0.7453416149068323</v>
      </c>
      <c r="U1313" s="11">
        <v>3.254658385093168</v>
      </c>
      <c r="V1313" s="11">
        <v>29.25465838509317</v>
      </c>
      <c r="W1313" s="11">
        <v>127.7453416149068</v>
      </c>
      <c r="X1313" s="8" t="s">
        <v>1021</v>
      </c>
    </row>
    <row r="1314" spans="1:24" ht="25" customHeight="1">
      <c r="A1314" s="12">
        <v>2615</v>
      </c>
      <c r="B1314" s="8">
        <v>3</v>
      </c>
      <c r="C1314" s="8" t="s">
        <v>720</v>
      </c>
      <c r="D1314" s="8" t="s">
        <v>175</v>
      </c>
      <c r="E1314" s="8" t="s">
        <v>465</v>
      </c>
      <c r="F1314" s="8">
        <v>2</v>
      </c>
      <c r="G1314" s="8">
        <v>1</v>
      </c>
      <c r="H1314" s="11">
        <v>0.5</v>
      </c>
      <c r="I1314" s="11">
        <v>0.1677018633540373</v>
      </c>
      <c r="J1314" s="11">
        <v>2.981481481481481</v>
      </c>
      <c r="K1314" s="8">
        <v>1</v>
      </c>
      <c r="L1314" s="8">
        <v>1</v>
      </c>
      <c r="M1314" s="8">
        <v>26</v>
      </c>
      <c r="N1314" s="8">
        <v>133</v>
      </c>
      <c r="O1314" s="11">
        <v>0.2056016216913228</v>
      </c>
      <c r="P1314" s="8" t="s">
        <v>700</v>
      </c>
      <c r="Q1314" s="8" t="s">
        <v>1022</v>
      </c>
      <c r="R1314" s="8">
        <v>91</v>
      </c>
      <c r="S1314" s="11">
        <v>56.93495485450634</v>
      </c>
      <c r="T1314" s="11">
        <v>0.3354037267080746</v>
      </c>
      <c r="U1314" s="11">
        <v>1.664596273291925</v>
      </c>
      <c r="V1314" s="11">
        <v>26.66459627329192</v>
      </c>
      <c r="W1314" s="11">
        <v>132.3354037267081</v>
      </c>
      <c r="X1314" s="8" t="s">
        <v>1023</v>
      </c>
    </row>
    <row r="1315" spans="1:24" ht="25" customHeight="1">
      <c r="A1315" s="12">
        <v>2616</v>
      </c>
      <c r="B1315" s="8">
        <v>3</v>
      </c>
      <c r="C1315" s="8" t="s">
        <v>720</v>
      </c>
      <c r="D1315" s="8" t="s">
        <v>175</v>
      </c>
      <c r="E1315" s="8" t="s">
        <v>428</v>
      </c>
      <c r="F1315" s="8">
        <v>2</v>
      </c>
      <c r="G1315" s="8">
        <v>1</v>
      </c>
      <c r="H1315" s="11">
        <v>0.5</v>
      </c>
      <c r="I1315" s="11">
        <v>0.2670807453416149</v>
      </c>
      <c r="J1315" s="11">
        <v>1.872093023255814</v>
      </c>
      <c r="K1315" s="8">
        <v>1</v>
      </c>
      <c r="L1315" s="8">
        <v>1</v>
      </c>
      <c r="M1315" s="8">
        <v>42</v>
      </c>
      <c r="N1315" s="8">
        <v>117</v>
      </c>
      <c r="O1315" s="11">
        <v>0.4537495172947273</v>
      </c>
      <c r="P1315" s="8" t="s">
        <v>700</v>
      </c>
      <c r="Q1315" s="8" t="s">
        <v>1024</v>
      </c>
      <c r="R1315" s="8">
        <v>92</v>
      </c>
      <c r="S1315" s="11">
        <v>53.47543846003799</v>
      </c>
      <c r="T1315" s="11">
        <v>0.5341614906832298</v>
      </c>
      <c r="U1315" s="11">
        <v>1.46583850931677</v>
      </c>
      <c r="V1315" s="11">
        <v>42.46583850931677</v>
      </c>
      <c r="W1315" s="11">
        <v>116.5341614906832</v>
      </c>
      <c r="X1315" s="8" t="s">
        <v>1025</v>
      </c>
    </row>
    <row r="1316" spans="1:24" ht="25" customHeight="1">
      <c r="A1316" s="12">
        <v>2617</v>
      </c>
      <c r="B1316" s="8">
        <v>3</v>
      </c>
      <c r="C1316" s="8" t="s">
        <v>720</v>
      </c>
      <c r="D1316" s="8" t="s">
        <v>120</v>
      </c>
      <c r="E1316" s="8" t="s">
        <v>465</v>
      </c>
      <c r="F1316" s="8">
        <v>5</v>
      </c>
      <c r="G1316" s="8">
        <v>2</v>
      </c>
      <c r="H1316" s="11">
        <v>0.4</v>
      </c>
      <c r="I1316" s="11">
        <v>0.1677018633540373</v>
      </c>
      <c r="J1316" s="11">
        <v>2.385185185185185</v>
      </c>
      <c r="K1316" s="8">
        <v>2</v>
      </c>
      <c r="L1316" s="8">
        <v>3</v>
      </c>
      <c r="M1316" s="8">
        <v>25</v>
      </c>
      <c r="N1316" s="8">
        <v>131</v>
      </c>
      <c r="O1316" s="11">
        <v>0.1578176188789368</v>
      </c>
      <c r="P1316" s="8" t="s">
        <v>700</v>
      </c>
      <c r="Q1316" s="8" t="s">
        <v>1026</v>
      </c>
      <c r="R1316" s="8">
        <v>93</v>
      </c>
      <c r="S1316" s="11">
        <v>56.98128227597569</v>
      </c>
      <c r="T1316" s="11">
        <v>0.8385093167701864</v>
      </c>
      <c r="U1316" s="11">
        <v>4.161490683229814</v>
      </c>
      <c r="V1316" s="11">
        <v>26.16149068322981</v>
      </c>
      <c r="W1316" s="11">
        <v>129.8385093167702</v>
      </c>
      <c r="X1316" s="8" t="s">
        <v>1027</v>
      </c>
    </row>
    <row r="1317" spans="1:24" ht="25" customHeight="1">
      <c r="A1317" s="12">
        <v>2618</v>
      </c>
      <c r="B1317" s="8">
        <v>3</v>
      </c>
      <c r="C1317" s="8" t="s">
        <v>720</v>
      </c>
      <c r="D1317" s="8" t="s">
        <v>120</v>
      </c>
      <c r="E1317" s="8" t="s">
        <v>428</v>
      </c>
      <c r="F1317" s="8">
        <v>5</v>
      </c>
      <c r="G1317" s="8">
        <v>2</v>
      </c>
      <c r="H1317" s="11">
        <v>0.4</v>
      </c>
      <c r="I1317" s="11">
        <v>0.2670807453416149</v>
      </c>
      <c r="J1317" s="11">
        <v>1.497674418604651</v>
      </c>
      <c r="K1317" s="8">
        <v>2</v>
      </c>
      <c r="L1317" s="8">
        <v>3</v>
      </c>
      <c r="M1317" s="8">
        <v>41</v>
      </c>
      <c r="N1317" s="8">
        <v>115</v>
      </c>
      <c r="O1317" s="11">
        <v>0.4949511262263215</v>
      </c>
      <c r="P1317" s="8" t="s">
        <v>700</v>
      </c>
      <c r="Q1317" s="8" t="s">
        <v>1028</v>
      </c>
      <c r="R1317" s="8">
        <v>94</v>
      </c>
      <c r="S1317" s="11">
        <v>53.52059320607769</v>
      </c>
      <c r="T1317" s="11">
        <v>1.335403726708075</v>
      </c>
      <c r="U1317" s="11">
        <v>3.664596273291925</v>
      </c>
      <c r="V1317" s="11">
        <v>41.66459627329193</v>
      </c>
      <c r="W1317" s="11">
        <v>114.3354037267081</v>
      </c>
      <c r="X1317" s="8" t="s">
        <v>1029</v>
      </c>
    </row>
    <row r="1318" spans="1:24" ht="25" customHeight="1">
      <c r="A1318" s="12">
        <v>2619</v>
      </c>
      <c r="B1318" s="8">
        <v>3</v>
      </c>
      <c r="C1318" s="8" t="s">
        <v>716</v>
      </c>
      <c r="D1318" s="8" t="s">
        <v>123</v>
      </c>
      <c r="E1318" s="8" t="s">
        <v>428</v>
      </c>
      <c r="F1318" s="8">
        <v>1</v>
      </c>
      <c r="G1318" s="8">
        <v>1</v>
      </c>
      <c r="H1318" s="8">
        <v>1</v>
      </c>
      <c r="I1318" s="11">
        <v>0.2670807453416149</v>
      </c>
      <c r="J1318" s="11">
        <v>3.744186046511628</v>
      </c>
      <c r="K1318" s="8">
        <v>1</v>
      </c>
      <c r="L1318" s="8">
        <v>0</v>
      </c>
      <c r="M1318" s="8">
        <v>42</v>
      </c>
      <c r="N1318" s="8">
        <v>118</v>
      </c>
      <c r="O1318" s="11">
        <v>0.09656748950022616</v>
      </c>
      <c r="P1318" s="8" t="s">
        <v>700</v>
      </c>
      <c r="Q1318" s="8" t="s">
        <v>1030</v>
      </c>
      <c r="R1318" s="8">
        <v>95</v>
      </c>
      <c r="S1318" s="11">
        <v>64.00553464552213</v>
      </c>
      <c r="T1318" s="11">
        <v>0.2670807453416149</v>
      </c>
      <c r="U1318" s="11">
        <v>0.7329192546583851</v>
      </c>
      <c r="V1318" s="11">
        <v>42.73291925465838</v>
      </c>
      <c r="W1318" s="11">
        <v>117.2670807453416</v>
      </c>
      <c r="X1318" s="8" t="s">
        <v>1031</v>
      </c>
    </row>
    <row r="1319" spans="1:24" ht="25" customHeight="1">
      <c r="A1319" s="12">
        <v>2620</v>
      </c>
      <c r="B1319" s="8">
        <v>3</v>
      </c>
      <c r="C1319" s="8" t="s">
        <v>706</v>
      </c>
      <c r="D1319" s="8" t="s">
        <v>120</v>
      </c>
      <c r="E1319" s="8" t="s">
        <v>428</v>
      </c>
      <c r="F1319" s="8">
        <v>4</v>
      </c>
      <c r="G1319" s="8">
        <v>1</v>
      </c>
      <c r="H1319" s="11">
        <v>0.25</v>
      </c>
      <c r="I1319" s="11">
        <v>0.2670807453416149</v>
      </c>
      <c r="J1319" s="11">
        <v>0.936046511627907</v>
      </c>
      <c r="K1319" s="8">
        <v>1</v>
      </c>
      <c r="L1319" s="8">
        <v>3</v>
      </c>
      <c r="M1319" s="8">
        <v>42</v>
      </c>
      <c r="N1319" s="8">
        <v>115</v>
      </c>
      <c r="O1319" s="11">
        <v>0.9376770086323416</v>
      </c>
      <c r="P1319" s="8" t="s">
        <v>700</v>
      </c>
      <c r="Q1319" s="8" t="s">
        <v>1032</v>
      </c>
      <c r="R1319" s="8">
        <v>96</v>
      </c>
      <c r="S1319" s="11">
        <v>46.68370798009411</v>
      </c>
      <c r="T1319" s="11">
        <v>1.06832298136646</v>
      </c>
      <c r="U1319" s="11">
        <v>2.931677018633541</v>
      </c>
      <c r="V1319" s="11">
        <v>41.93167701863354</v>
      </c>
      <c r="W1319" s="11">
        <v>115.0683229813665</v>
      </c>
      <c r="X1319" s="8" t="s">
        <v>1033</v>
      </c>
    </row>
    <row r="1320" spans="1:24" ht="25" customHeight="1">
      <c r="A1320" s="12">
        <v>2621</v>
      </c>
      <c r="B1320" s="8">
        <v>3</v>
      </c>
      <c r="C1320" s="8" t="s">
        <v>706</v>
      </c>
      <c r="D1320" s="8" t="s">
        <v>1034</v>
      </c>
      <c r="E1320" s="8" t="s">
        <v>878</v>
      </c>
      <c r="F1320" s="8">
        <v>1</v>
      </c>
      <c r="G1320" s="8">
        <v>1</v>
      </c>
      <c r="H1320" s="8">
        <v>1</v>
      </c>
      <c r="I1320" s="11">
        <v>0.04347826086956522</v>
      </c>
      <c r="J1320" s="8">
        <v>23</v>
      </c>
      <c r="K1320" s="8">
        <v>1</v>
      </c>
      <c r="L1320" s="8">
        <v>0</v>
      </c>
      <c r="M1320" s="8">
        <v>6</v>
      </c>
      <c r="N1320" s="8">
        <v>154</v>
      </c>
      <c r="O1320" s="11">
        <v>2.538031489740095E-06</v>
      </c>
      <c r="P1320" s="8" t="s">
        <v>700</v>
      </c>
      <c r="Q1320" s="8" t="s">
        <v>1035</v>
      </c>
      <c r="R1320" s="8">
        <v>97</v>
      </c>
      <c r="S1320" s="11">
        <v>66.99998730984255</v>
      </c>
      <c r="T1320" s="11">
        <v>0.04347826086956522</v>
      </c>
      <c r="U1320" s="11">
        <v>0.9565217391304348</v>
      </c>
      <c r="V1320" s="11">
        <v>6.956521739130435</v>
      </c>
      <c r="W1320" s="11">
        <v>153.0434782608696</v>
      </c>
      <c r="X1320" s="8" t="s">
        <v>1036</v>
      </c>
    </row>
    <row r="1321" spans="1:24" ht="25" customHeight="1">
      <c r="A1321" s="12">
        <v>2622</v>
      </c>
      <c r="B1321" s="8">
        <v>4</v>
      </c>
      <c r="C1321" s="8" t="s">
        <v>706</v>
      </c>
      <c r="D1321" s="8" t="s">
        <v>1037</v>
      </c>
      <c r="E1321" s="8" t="s">
        <v>1038</v>
      </c>
      <c r="F1321" s="8">
        <v>1</v>
      </c>
      <c r="G1321" s="8">
        <v>1</v>
      </c>
      <c r="H1321" s="8">
        <v>1</v>
      </c>
      <c r="I1321" s="11">
        <v>0.006211180124223602</v>
      </c>
      <c r="J1321" s="8">
        <v>161</v>
      </c>
      <c r="K1321" s="8">
        <v>1</v>
      </c>
      <c r="L1321" s="8">
        <v>0</v>
      </c>
      <c r="M1321" s="8">
        <v>0</v>
      </c>
      <c r="N1321" s="8">
        <v>160</v>
      </c>
      <c r="O1321" s="11">
        <v>6.841707543855235E-37</v>
      </c>
      <c r="P1321" s="8" t="s">
        <v>700</v>
      </c>
      <c r="Q1321" s="8" t="s">
        <v>1039</v>
      </c>
      <c r="R1321" s="8">
        <v>98</v>
      </c>
      <c r="S1321" s="8">
        <v>67</v>
      </c>
      <c r="T1321" s="11">
        <v>0.006211180124223602</v>
      </c>
      <c r="U1321" s="11">
        <v>0.9937888198757764</v>
      </c>
      <c r="V1321" s="11">
        <v>0.9937888198757764</v>
      </c>
      <c r="W1321" s="11">
        <v>159.0062111801242</v>
      </c>
      <c r="X1321" s="8" t="s">
        <v>1040</v>
      </c>
    </row>
    <row r="1322" spans="1:24" ht="25" customHeight="1">
      <c r="A1322" s="12">
        <v>2623</v>
      </c>
      <c r="B1322" s="8">
        <v>4</v>
      </c>
      <c r="C1322" s="8" t="s">
        <v>706</v>
      </c>
      <c r="D1322" s="8" t="s">
        <v>802</v>
      </c>
      <c r="E1322" s="8" t="s">
        <v>878</v>
      </c>
      <c r="F1322" s="8">
        <v>1</v>
      </c>
      <c r="G1322" s="8">
        <v>1</v>
      </c>
      <c r="H1322" s="8">
        <v>1</v>
      </c>
      <c r="I1322" s="11">
        <v>0.04347826086956522</v>
      </c>
      <c r="J1322" s="8">
        <v>23</v>
      </c>
      <c r="K1322" s="8">
        <v>1</v>
      </c>
      <c r="L1322" s="8">
        <v>0</v>
      </c>
      <c r="M1322" s="8">
        <v>6</v>
      </c>
      <c r="N1322" s="8">
        <v>154</v>
      </c>
      <c r="O1322" s="11">
        <v>2.538031489740095E-06</v>
      </c>
      <c r="P1322" s="8" t="s">
        <v>700</v>
      </c>
      <c r="Q1322" s="8" t="s">
        <v>1041</v>
      </c>
      <c r="R1322" s="8">
        <v>99</v>
      </c>
      <c r="S1322" s="11">
        <v>66.99998730984255</v>
      </c>
      <c r="T1322" s="11">
        <v>0.04347826086956522</v>
      </c>
      <c r="U1322" s="11">
        <v>0.9565217391304348</v>
      </c>
      <c r="V1322" s="11">
        <v>6.956521739130435</v>
      </c>
      <c r="W1322" s="11">
        <v>153.0434782608696</v>
      </c>
      <c r="X1322" s="8" t="s">
        <v>1042</v>
      </c>
    </row>
    <row r="1323" spans="1:24" ht="25" customHeight="1">
      <c r="A1323" s="12">
        <v>3526</v>
      </c>
      <c r="B1323" s="8" t="s">
        <v>1043</v>
      </c>
    </row>
    <row r="1324" spans="1:24" ht="25" customHeight="1">
      <c r="A1324" s="12">
        <v>3527</v>
      </c>
      <c r="B1324" s="8" t="s">
        <v>687</v>
      </c>
      <c r="C1324" s="8" t="s">
        <v>688</v>
      </c>
      <c r="D1324" s="8" t="s">
        <v>780</v>
      </c>
      <c r="E1324" s="8" t="s">
        <v>810</v>
      </c>
      <c r="F1324" s="8" t="s">
        <v>826</v>
      </c>
      <c r="G1324" s="8" t="s">
        <v>827</v>
      </c>
      <c r="H1324" s="8" t="s">
        <v>828</v>
      </c>
      <c r="I1324" s="8" t="s">
        <v>829</v>
      </c>
      <c r="J1324" s="8" t="s">
        <v>691</v>
      </c>
      <c r="K1324" s="8" t="s">
        <v>830</v>
      </c>
      <c r="L1324" s="8" t="s">
        <v>831</v>
      </c>
      <c r="M1324" s="8" t="s">
        <v>832</v>
      </c>
      <c r="N1324" s="8" t="s">
        <v>833</v>
      </c>
      <c r="O1324" s="8" t="s">
        <v>692</v>
      </c>
      <c r="P1324" s="8" t="s">
        <v>834</v>
      </c>
      <c r="Q1324" s="8" t="s">
        <v>697</v>
      </c>
      <c r="R1324" s="8" t="s">
        <v>835</v>
      </c>
      <c r="S1324" s="8" t="s">
        <v>836</v>
      </c>
      <c r="T1324" s="8" t="s">
        <v>837</v>
      </c>
      <c r="U1324" s="8" t="s">
        <v>838</v>
      </c>
      <c r="V1324" s="8" t="s">
        <v>839</v>
      </c>
      <c r="W1324" s="8" t="s">
        <v>840</v>
      </c>
      <c r="X1324" s="8" t="s">
        <v>841</v>
      </c>
    </row>
    <row r="1325" spans="1:24" ht="25" customHeight="1">
      <c r="A1325" s="12">
        <v>3528</v>
      </c>
      <c r="B1325" s="8">
        <v>0</v>
      </c>
      <c r="C1325" s="8" t="s">
        <v>115</v>
      </c>
      <c r="D1325" s="8" t="s">
        <v>842</v>
      </c>
      <c r="E1325" s="8" t="s">
        <v>235</v>
      </c>
      <c r="F1325" s="8">
        <v>1</v>
      </c>
      <c r="G1325" s="8">
        <v>1</v>
      </c>
      <c r="H1325" s="8">
        <v>1</v>
      </c>
      <c r="I1325" s="11">
        <v>0.05487804878048781</v>
      </c>
      <c r="J1325" s="11">
        <v>18.22222222222222</v>
      </c>
      <c r="K1325" s="8">
        <v>1</v>
      </c>
      <c r="L1325" s="8">
        <v>0</v>
      </c>
      <c r="M1325" s="8">
        <v>8</v>
      </c>
      <c r="N1325" s="8">
        <v>155</v>
      </c>
      <c r="O1325" s="11">
        <v>3.145381152968994E-05</v>
      </c>
      <c r="P1325" s="8" t="s">
        <v>700</v>
      </c>
      <c r="Q1325" s="8" t="s">
        <v>1044</v>
      </c>
      <c r="R1325" s="8">
        <v>1</v>
      </c>
      <c r="S1325" s="11">
        <v>66.99984273094235</v>
      </c>
      <c r="T1325" s="11">
        <v>0.05487804878048781</v>
      </c>
      <c r="U1325" s="11">
        <v>0.9451219512195121</v>
      </c>
      <c r="V1325" s="11">
        <v>8.945121951219512</v>
      </c>
      <c r="W1325" s="11">
        <v>154.0548780487805</v>
      </c>
      <c r="X1325" s="8" t="s">
        <v>1045</v>
      </c>
    </row>
    <row r="1326" spans="1:24" ht="25" customHeight="1">
      <c r="A1326" s="12">
        <v>3529</v>
      </c>
      <c r="B1326" s="8">
        <v>0</v>
      </c>
      <c r="C1326" s="8" t="s">
        <v>115</v>
      </c>
      <c r="D1326" s="8" t="s">
        <v>123</v>
      </c>
      <c r="E1326" s="8" t="s">
        <v>203</v>
      </c>
      <c r="F1326" s="8">
        <v>3</v>
      </c>
      <c r="G1326" s="8">
        <v>2</v>
      </c>
      <c r="H1326" s="11">
        <v>0.6666666666666666</v>
      </c>
      <c r="I1326" s="11">
        <v>0.4390243902439024</v>
      </c>
      <c r="J1326" s="11">
        <v>1.518518518518518</v>
      </c>
      <c r="K1326" s="8">
        <v>2</v>
      </c>
      <c r="L1326" s="8">
        <v>1</v>
      </c>
      <c r="M1326" s="8">
        <v>70</v>
      </c>
      <c r="N1326" s="8">
        <v>91</v>
      </c>
      <c r="O1326" s="11">
        <v>0.4226257540830513</v>
      </c>
      <c r="P1326" s="8" t="s">
        <v>700</v>
      </c>
      <c r="Q1326" s="8" t="s">
        <v>1046</v>
      </c>
      <c r="R1326" s="8">
        <v>2</v>
      </c>
      <c r="S1326" s="11">
        <v>56.59057493328844</v>
      </c>
      <c r="T1326" s="11">
        <v>1.317073170731707</v>
      </c>
      <c r="U1326" s="11">
        <v>1.682926829268293</v>
      </c>
      <c r="V1326" s="11">
        <v>70.6829268292683</v>
      </c>
      <c r="W1326" s="11">
        <v>90.3170731707317</v>
      </c>
      <c r="X1326" s="8" t="s">
        <v>1047</v>
      </c>
    </row>
    <row r="1327" spans="1:24" ht="25" customHeight="1">
      <c r="A1327" s="12">
        <v>3530</v>
      </c>
      <c r="B1327" s="8">
        <v>0</v>
      </c>
      <c r="C1327" s="8" t="s">
        <v>115</v>
      </c>
      <c r="D1327" s="8" t="s">
        <v>120</v>
      </c>
      <c r="E1327" s="8" t="s">
        <v>203</v>
      </c>
      <c r="F1327" s="8">
        <v>24</v>
      </c>
      <c r="G1327" s="8">
        <v>14</v>
      </c>
      <c r="H1327" s="11">
        <v>0.5833333333333334</v>
      </c>
      <c r="I1327" s="11">
        <v>0.4390243902439024</v>
      </c>
      <c r="J1327" s="11">
        <v>1.328703703703704</v>
      </c>
      <c r="K1327" s="8">
        <v>14</v>
      </c>
      <c r="L1327" s="8">
        <v>10</v>
      </c>
      <c r="M1327" s="8">
        <v>58</v>
      </c>
      <c r="N1327" s="8">
        <v>82</v>
      </c>
      <c r="O1327" s="11">
        <v>0.1231114861641621</v>
      </c>
      <c r="P1327" s="8" t="s">
        <v>895</v>
      </c>
      <c r="Q1327" s="8" t="s">
        <v>1048</v>
      </c>
      <c r="R1327" s="8">
        <v>3</v>
      </c>
      <c r="S1327" s="11">
        <v>60.87518330991993</v>
      </c>
      <c r="T1327" s="11">
        <v>10.53658536585366</v>
      </c>
      <c r="U1327" s="11">
        <v>13.46341463414634</v>
      </c>
      <c r="V1327" s="11">
        <v>61.46341463414634</v>
      </c>
      <c r="W1327" s="11">
        <v>78.53658536585365</v>
      </c>
      <c r="X1327" s="8" t="s">
        <v>1049</v>
      </c>
    </row>
    <row r="1328" spans="1:24" ht="25" customHeight="1">
      <c r="A1328" s="12">
        <v>3531</v>
      </c>
      <c r="B1328" s="8">
        <v>0</v>
      </c>
      <c r="C1328" s="8" t="s">
        <v>115</v>
      </c>
      <c r="D1328" s="8" t="s">
        <v>120</v>
      </c>
      <c r="E1328" s="8" t="s">
        <v>206</v>
      </c>
      <c r="F1328" s="8">
        <v>24</v>
      </c>
      <c r="G1328" s="8">
        <v>10</v>
      </c>
      <c r="H1328" s="11">
        <v>0.4166666666666667</v>
      </c>
      <c r="I1328" s="11">
        <v>0.3902439024390244</v>
      </c>
      <c r="J1328" s="11">
        <v>1.067708333333333</v>
      </c>
      <c r="K1328" s="8">
        <v>10</v>
      </c>
      <c r="L1328" s="8">
        <v>14</v>
      </c>
      <c r="M1328" s="8">
        <v>54</v>
      </c>
      <c r="N1328" s="8">
        <v>86</v>
      </c>
      <c r="O1328" s="11">
        <v>0.7739535143691386</v>
      </c>
      <c r="P1328" s="8" t="s">
        <v>895</v>
      </c>
      <c r="Q1328" s="8" t="s">
        <v>1050</v>
      </c>
      <c r="R1328" s="8">
        <v>4</v>
      </c>
      <c r="S1328" s="11">
        <v>47.43231576148764</v>
      </c>
      <c r="T1328" s="11">
        <v>9.365853658536585</v>
      </c>
      <c r="U1328" s="11">
        <v>14.63414634146342</v>
      </c>
      <c r="V1328" s="11">
        <v>54.63414634146341</v>
      </c>
      <c r="W1328" s="11">
        <v>85.36585365853658</v>
      </c>
      <c r="X1328" s="8" t="s">
        <v>1051</v>
      </c>
    </row>
    <row r="1329" spans="1:24" ht="25" customHeight="1">
      <c r="A1329" s="12">
        <v>3532</v>
      </c>
      <c r="B1329" s="8">
        <v>0</v>
      </c>
      <c r="C1329" s="8" t="s">
        <v>115</v>
      </c>
      <c r="D1329" s="8" t="s">
        <v>803</v>
      </c>
      <c r="E1329" s="8" t="s">
        <v>203</v>
      </c>
      <c r="F1329" s="8">
        <v>5</v>
      </c>
      <c r="G1329" s="8">
        <v>3</v>
      </c>
      <c r="H1329" s="11">
        <v>0.6</v>
      </c>
      <c r="I1329" s="11">
        <v>0.4390243902439024</v>
      </c>
      <c r="J1329" s="11">
        <v>1.366666666666667</v>
      </c>
      <c r="K1329" s="8">
        <v>3</v>
      </c>
      <c r="L1329" s="8">
        <v>2</v>
      </c>
      <c r="M1329" s="8">
        <v>69</v>
      </c>
      <c r="N1329" s="8">
        <v>90</v>
      </c>
      <c r="O1329" s="11">
        <v>0.4613445724106552</v>
      </c>
      <c r="P1329" s="8" t="s">
        <v>700</v>
      </c>
      <c r="Q1329" s="8" t="s">
        <v>1052</v>
      </c>
      <c r="R1329" s="8">
        <v>5</v>
      </c>
      <c r="S1329" s="11">
        <v>57.42661047128006</v>
      </c>
      <c r="T1329" s="11">
        <v>2.195121951219512</v>
      </c>
      <c r="U1329" s="11">
        <v>2.804878048780488</v>
      </c>
      <c r="V1329" s="11">
        <v>69.80487804878049</v>
      </c>
      <c r="W1329" s="11">
        <v>89.19512195121951</v>
      </c>
      <c r="X1329" s="8" t="s">
        <v>1053</v>
      </c>
    </row>
    <row r="1330" spans="1:24" ht="25" customHeight="1">
      <c r="A1330" s="12">
        <v>3533</v>
      </c>
      <c r="B1330" s="8">
        <v>0</v>
      </c>
      <c r="C1330" s="8" t="s">
        <v>115</v>
      </c>
      <c r="D1330" s="8" t="s">
        <v>802</v>
      </c>
      <c r="E1330" s="8" t="s">
        <v>206</v>
      </c>
      <c r="F1330" s="8">
        <v>2</v>
      </c>
      <c r="G1330" s="8">
        <v>1</v>
      </c>
      <c r="H1330" s="11">
        <v>0.5</v>
      </c>
      <c r="I1330" s="11">
        <v>0.3902439024390244</v>
      </c>
      <c r="J1330" s="11">
        <v>1.28125</v>
      </c>
      <c r="K1330" s="8">
        <v>1</v>
      </c>
      <c r="L1330" s="8">
        <v>1</v>
      </c>
      <c r="M1330" s="8">
        <v>63</v>
      </c>
      <c r="N1330" s="8">
        <v>99</v>
      </c>
      <c r="O1330" s="11">
        <v>0.7488499153777233</v>
      </c>
      <c r="P1330" s="8" t="s">
        <v>700</v>
      </c>
      <c r="Q1330" s="8" t="s">
        <v>1054</v>
      </c>
      <c r="R1330" s="8">
        <v>6</v>
      </c>
      <c r="S1330" s="11">
        <v>50.81825042311139</v>
      </c>
      <c r="T1330" s="11">
        <v>0.7804878048780488</v>
      </c>
      <c r="U1330" s="11">
        <v>1.219512195121951</v>
      </c>
      <c r="V1330" s="11">
        <v>63.21951219512195</v>
      </c>
      <c r="W1330" s="11">
        <v>98.78048780487805</v>
      </c>
      <c r="X1330" s="8" t="s">
        <v>1055</v>
      </c>
    </row>
    <row r="1331" spans="1:24" ht="25" customHeight="1">
      <c r="A1331" s="12">
        <v>3534</v>
      </c>
      <c r="B1331" s="8">
        <v>0</v>
      </c>
      <c r="C1331" s="8" t="s">
        <v>115</v>
      </c>
      <c r="D1331" s="8" t="s">
        <v>803</v>
      </c>
      <c r="E1331" s="8" t="s">
        <v>811</v>
      </c>
      <c r="F1331" s="8">
        <v>5</v>
      </c>
      <c r="G1331" s="8">
        <v>2</v>
      </c>
      <c r="H1331" s="11">
        <v>0.4</v>
      </c>
      <c r="I1331" s="11">
        <v>0.06097560975609756</v>
      </c>
      <c r="J1331" s="11">
        <v>6.56</v>
      </c>
      <c r="K1331" s="8">
        <v>2</v>
      </c>
      <c r="L1331" s="8">
        <v>3</v>
      </c>
      <c r="M1331" s="8">
        <v>8</v>
      </c>
      <c r="N1331" s="8">
        <v>151</v>
      </c>
      <c r="O1331" s="11">
        <v>0.001292988688533906</v>
      </c>
      <c r="P1331" s="8" t="s">
        <v>700</v>
      </c>
      <c r="Q1331" s="8" t="s">
        <v>1056</v>
      </c>
      <c r="R1331" s="8">
        <v>7</v>
      </c>
      <c r="S1331" s="11">
        <v>62.99353505655733</v>
      </c>
      <c r="T1331" s="11">
        <v>0.3048780487804878</v>
      </c>
      <c r="U1331" s="11">
        <v>4.695121951219512</v>
      </c>
      <c r="V1331" s="11">
        <v>9.695121951219512</v>
      </c>
      <c r="W1331" s="11">
        <v>149.3048780487805</v>
      </c>
      <c r="X1331" s="8" t="s">
        <v>1057</v>
      </c>
    </row>
    <row r="1332" spans="1:24" ht="25" customHeight="1">
      <c r="A1332" s="12">
        <v>3535</v>
      </c>
      <c r="B1332" s="8">
        <v>0</v>
      </c>
      <c r="C1332" s="8" t="s">
        <v>115</v>
      </c>
      <c r="D1332" s="8" t="s">
        <v>802</v>
      </c>
      <c r="E1332" s="8" t="s">
        <v>811</v>
      </c>
      <c r="F1332" s="8">
        <v>2</v>
      </c>
      <c r="G1332" s="8">
        <v>1</v>
      </c>
      <c r="H1332" s="11">
        <v>0.5</v>
      </c>
      <c r="I1332" s="11">
        <v>0.06097560975609756</v>
      </c>
      <c r="J1332" s="11">
        <v>8.200000000000001</v>
      </c>
      <c r="K1332" s="8">
        <v>1</v>
      </c>
      <c r="L1332" s="8">
        <v>1</v>
      </c>
      <c r="M1332" s="8">
        <v>9</v>
      </c>
      <c r="N1332" s="8">
        <v>153</v>
      </c>
      <c r="O1332" s="11">
        <v>0.009036572578603594</v>
      </c>
      <c r="P1332" s="8" t="s">
        <v>700</v>
      </c>
      <c r="Q1332" s="8" t="s">
        <v>1058</v>
      </c>
      <c r="R1332" s="8">
        <v>8</v>
      </c>
      <c r="S1332" s="11">
        <v>61.95481713710699</v>
      </c>
      <c r="T1332" s="11">
        <v>0.1219512195121951</v>
      </c>
      <c r="U1332" s="11">
        <v>1.878048780487805</v>
      </c>
      <c r="V1332" s="11">
        <v>9.878048780487806</v>
      </c>
      <c r="W1332" s="11">
        <v>152.1219512195122</v>
      </c>
      <c r="X1332" s="8" t="s">
        <v>1059</v>
      </c>
    </row>
    <row r="1333" spans="1:24" ht="25" customHeight="1">
      <c r="A1333" s="12">
        <v>3536</v>
      </c>
      <c r="B1333" s="8">
        <v>0</v>
      </c>
      <c r="C1333" s="8" t="s">
        <v>115</v>
      </c>
      <c r="D1333" s="8" t="s">
        <v>877</v>
      </c>
      <c r="E1333" s="8" t="s">
        <v>235</v>
      </c>
      <c r="F1333" s="8">
        <v>1</v>
      </c>
      <c r="G1333" s="8">
        <v>1</v>
      </c>
      <c r="H1333" s="8">
        <v>1</v>
      </c>
      <c r="I1333" s="11">
        <v>0.05487804878048781</v>
      </c>
      <c r="J1333" s="11">
        <v>18.22222222222222</v>
      </c>
      <c r="K1333" s="8">
        <v>1</v>
      </c>
      <c r="L1333" s="8">
        <v>0</v>
      </c>
      <c r="M1333" s="8">
        <v>8</v>
      </c>
      <c r="N1333" s="8">
        <v>155</v>
      </c>
      <c r="O1333" s="11">
        <v>3.145381152968994E-05</v>
      </c>
      <c r="P1333" s="8" t="s">
        <v>700</v>
      </c>
      <c r="Q1333" s="8" t="s">
        <v>1060</v>
      </c>
      <c r="R1333" s="8">
        <v>9</v>
      </c>
      <c r="S1333" s="11">
        <v>66.99984273094235</v>
      </c>
      <c r="T1333" s="11">
        <v>0.05487804878048781</v>
      </c>
      <c r="U1333" s="11">
        <v>0.9451219512195121</v>
      </c>
      <c r="V1333" s="11">
        <v>8.945121951219512</v>
      </c>
      <c r="W1333" s="11">
        <v>154.0548780487805</v>
      </c>
      <c r="X1333" s="8" t="s">
        <v>1045</v>
      </c>
    </row>
    <row r="1334" spans="1:24" ht="25" customHeight="1">
      <c r="A1334" s="12">
        <v>3537</v>
      </c>
      <c r="B1334" s="8">
        <v>0</v>
      </c>
      <c r="C1334" s="8" t="s">
        <v>115</v>
      </c>
      <c r="D1334" s="8" t="s">
        <v>123</v>
      </c>
      <c r="E1334" s="8" t="s">
        <v>206</v>
      </c>
      <c r="F1334" s="8">
        <v>3</v>
      </c>
      <c r="G1334" s="8">
        <v>1</v>
      </c>
      <c r="H1334" s="11">
        <v>0.3333333333333333</v>
      </c>
      <c r="I1334" s="11">
        <v>0.3902439024390244</v>
      </c>
      <c r="J1334" s="11">
        <v>0.8541666666666666</v>
      </c>
      <c r="K1334" s="8">
        <v>1</v>
      </c>
      <c r="L1334" s="8">
        <v>2</v>
      </c>
      <c r="M1334" s="8">
        <v>63</v>
      </c>
      <c r="N1334" s="8">
        <v>98</v>
      </c>
      <c r="O1334" s="11">
        <v>0.8383952531988896</v>
      </c>
      <c r="P1334" s="8" t="s">
        <v>700</v>
      </c>
      <c r="Q1334" s="8" t="s">
        <v>1061</v>
      </c>
      <c r="R1334" s="8">
        <v>10</v>
      </c>
      <c r="S1334" s="11">
        <v>47.84969040067222</v>
      </c>
      <c r="T1334" s="11">
        <v>1.170731707317073</v>
      </c>
      <c r="U1334" s="11">
        <v>1.829268292682927</v>
      </c>
      <c r="V1334" s="11">
        <v>62.82926829268293</v>
      </c>
      <c r="W1334" s="11">
        <v>98.17073170731707</v>
      </c>
      <c r="X1334" s="8" t="s">
        <v>1062</v>
      </c>
    </row>
    <row r="1335" spans="1:24" ht="25" customHeight="1">
      <c r="A1335" s="12">
        <v>3538</v>
      </c>
      <c r="B1335" s="8">
        <v>1</v>
      </c>
      <c r="C1335" s="8" t="s">
        <v>711</v>
      </c>
      <c r="D1335" s="8" t="s">
        <v>120</v>
      </c>
      <c r="E1335" s="8" t="s">
        <v>203</v>
      </c>
      <c r="F1335" s="8">
        <v>2</v>
      </c>
      <c r="G1335" s="8">
        <v>1</v>
      </c>
      <c r="H1335" s="11">
        <v>0.5</v>
      </c>
      <c r="I1335" s="11">
        <v>0.4390243902439024</v>
      </c>
      <c r="J1335" s="11">
        <v>1.138888888888889</v>
      </c>
      <c r="K1335" s="8">
        <v>1</v>
      </c>
      <c r="L1335" s="8">
        <v>1</v>
      </c>
      <c r="M1335" s="8">
        <v>71</v>
      </c>
      <c r="N1335" s="8">
        <v>91</v>
      </c>
      <c r="O1335" s="11">
        <v>0.8612121724370684</v>
      </c>
      <c r="P1335" s="8" t="s">
        <v>700</v>
      </c>
      <c r="Q1335" s="8" t="s">
        <v>1063</v>
      </c>
      <c r="R1335" s="8">
        <v>11</v>
      </c>
      <c r="S1335" s="11">
        <v>49.97171691559244</v>
      </c>
      <c r="T1335" s="11">
        <v>0.8780487804878049</v>
      </c>
      <c r="U1335" s="11">
        <v>1.121951219512195</v>
      </c>
      <c r="V1335" s="11">
        <v>71.1219512195122</v>
      </c>
      <c r="W1335" s="11">
        <v>90.8780487804878</v>
      </c>
      <c r="X1335" s="8" t="s">
        <v>1064</v>
      </c>
    </row>
    <row r="1336" spans="1:24" ht="25" customHeight="1">
      <c r="A1336" s="12">
        <v>3539</v>
      </c>
      <c r="B1336" s="8">
        <v>1</v>
      </c>
      <c r="C1336" s="8" t="s">
        <v>716</v>
      </c>
      <c r="D1336" s="8" t="s">
        <v>120</v>
      </c>
      <c r="E1336" s="8" t="s">
        <v>222</v>
      </c>
      <c r="F1336" s="8">
        <v>20</v>
      </c>
      <c r="G1336" s="8">
        <v>1</v>
      </c>
      <c r="H1336" s="11">
        <v>0.05</v>
      </c>
      <c r="I1336" s="11">
        <v>0.0426829268292683</v>
      </c>
      <c r="J1336" s="11">
        <v>1.171428571428571</v>
      </c>
      <c r="K1336" s="8">
        <v>1</v>
      </c>
      <c r="L1336" s="8">
        <v>19</v>
      </c>
      <c r="M1336" s="8">
        <v>6</v>
      </c>
      <c r="N1336" s="8">
        <v>138</v>
      </c>
      <c r="O1336" s="11">
        <v>0.8628416804740813</v>
      </c>
      <c r="P1336" s="8" t="s">
        <v>700</v>
      </c>
      <c r="Q1336" s="8" t="s">
        <v>1065</v>
      </c>
      <c r="R1336" s="8">
        <v>12</v>
      </c>
      <c r="S1336" s="11">
        <v>45.52864874048674</v>
      </c>
      <c r="T1336" s="11">
        <v>0.8536585365853658</v>
      </c>
      <c r="U1336" s="11">
        <v>19.14634146341463</v>
      </c>
      <c r="V1336" s="11">
        <v>6.146341463414634</v>
      </c>
      <c r="W1336" s="11">
        <v>137.8536585365854</v>
      </c>
      <c r="X1336" s="8" t="s">
        <v>1066</v>
      </c>
    </row>
    <row r="1337" spans="1:24" ht="25" customHeight="1">
      <c r="A1337" s="12">
        <v>3540</v>
      </c>
      <c r="B1337" s="8">
        <v>1</v>
      </c>
      <c r="C1337" s="8" t="s">
        <v>716</v>
      </c>
      <c r="D1337" s="8" t="s">
        <v>123</v>
      </c>
      <c r="E1337" s="8" t="s">
        <v>203</v>
      </c>
      <c r="F1337" s="8">
        <v>1</v>
      </c>
      <c r="G1337" s="8">
        <v>1</v>
      </c>
      <c r="H1337" s="8">
        <v>1</v>
      </c>
      <c r="I1337" s="11">
        <v>0.4390243902439024</v>
      </c>
      <c r="J1337" s="11">
        <v>2.277777777777778</v>
      </c>
      <c r="K1337" s="8">
        <v>1</v>
      </c>
      <c r="L1337" s="8">
        <v>0</v>
      </c>
      <c r="M1337" s="8">
        <v>71</v>
      </c>
      <c r="N1337" s="8">
        <v>92</v>
      </c>
      <c r="O1337" s="11">
        <v>0.2568572731610193</v>
      </c>
      <c r="P1337" s="8" t="s">
        <v>700</v>
      </c>
      <c r="Q1337" s="8" t="s">
        <v>1067</v>
      </c>
      <c r="R1337" s="8">
        <v>13</v>
      </c>
      <c r="S1337" s="11">
        <v>60.27126918975046</v>
      </c>
      <c r="T1337" s="11">
        <v>0.4390243902439024</v>
      </c>
      <c r="U1337" s="11">
        <v>0.5609756097560976</v>
      </c>
      <c r="V1337" s="11">
        <v>71.5609756097561</v>
      </c>
      <c r="W1337" s="11">
        <v>91.4390243902439</v>
      </c>
      <c r="X1337" s="8" t="s">
        <v>1068</v>
      </c>
    </row>
    <row r="1338" spans="1:24" ht="25" customHeight="1">
      <c r="A1338" s="12">
        <v>3541</v>
      </c>
      <c r="B1338" s="8">
        <v>1</v>
      </c>
      <c r="C1338" s="8" t="s">
        <v>716</v>
      </c>
      <c r="D1338" s="8" t="s">
        <v>120</v>
      </c>
      <c r="E1338" s="8" t="s">
        <v>206</v>
      </c>
      <c r="F1338" s="8">
        <v>20</v>
      </c>
      <c r="G1338" s="8">
        <v>5</v>
      </c>
      <c r="H1338" s="11">
        <v>0.25</v>
      </c>
      <c r="I1338" s="11">
        <v>0.3902439024390244</v>
      </c>
      <c r="J1338" s="11">
        <v>0.640625</v>
      </c>
      <c r="K1338" s="8">
        <v>5</v>
      </c>
      <c r="L1338" s="8">
        <v>15</v>
      </c>
      <c r="M1338" s="8">
        <v>59</v>
      </c>
      <c r="N1338" s="8">
        <v>85</v>
      </c>
      <c r="O1338" s="11">
        <v>0.1700246779196272</v>
      </c>
      <c r="P1338" s="8" t="s">
        <v>861</v>
      </c>
      <c r="Q1338" s="8" t="s">
        <v>1069</v>
      </c>
      <c r="R1338" s="8">
        <v>14</v>
      </c>
      <c r="S1338" s="11">
        <v>22.93112661040186</v>
      </c>
      <c r="T1338" s="11">
        <v>7.804878048780488</v>
      </c>
      <c r="U1338" s="11">
        <v>12.19512195121951</v>
      </c>
      <c r="V1338" s="11">
        <v>56.19512195121951</v>
      </c>
      <c r="W1338" s="11">
        <v>87.80487804878049</v>
      </c>
      <c r="X1338" s="8" t="s">
        <v>1070</v>
      </c>
    </row>
    <row r="1339" spans="1:24" ht="25" customHeight="1">
      <c r="A1339" s="12">
        <v>3542</v>
      </c>
      <c r="B1339" s="8">
        <v>1</v>
      </c>
      <c r="C1339" s="8" t="s">
        <v>716</v>
      </c>
      <c r="D1339" s="8" t="s">
        <v>120</v>
      </c>
      <c r="E1339" s="8" t="s">
        <v>203</v>
      </c>
      <c r="F1339" s="8">
        <v>20</v>
      </c>
      <c r="G1339" s="8">
        <v>13</v>
      </c>
      <c r="H1339" s="11">
        <v>0.65</v>
      </c>
      <c r="I1339" s="11">
        <v>0.4390243902439024</v>
      </c>
      <c r="J1339" s="11">
        <v>1.480555555555556</v>
      </c>
      <c r="K1339" s="8">
        <v>13</v>
      </c>
      <c r="L1339" s="8">
        <v>7</v>
      </c>
      <c r="M1339" s="8">
        <v>59</v>
      </c>
      <c r="N1339" s="8">
        <v>85</v>
      </c>
      <c r="O1339" s="11">
        <v>0.04246325575188662</v>
      </c>
      <c r="P1339" s="8" t="s">
        <v>895</v>
      </c>
      <c r="Q1339" s="8" t="s">
        <v>1071</v>
      </c>
      <c r="R1339" s="8">
        <v>15</v>
      </c>
      <c r="S1339" s="11">
        <v>60.24879483235168</v>
      </c>
      <c r="T1339" s="11">
        <v>8.780487804878049</v>
      </c>
      <c r="U1339" s="11">
        <v>11.21951219512195</v>
      </c>
      <c r="V1339" s="11">
        <v>63.21951219512195</v>
      </c>
      <c r="W1339" s="11">
        <v>80.78048780487805</v>
      </c>
      <c r="X1339" s="8" t="s">
        <v>1072</v>
      </c>
    </row>
    <row r="1340" spans="1:24" ht="25" customHeight="1">
      <c r="A1340" s="12">
        <v>3543</v>
      </c>
      <c r="B1340" s="8">
        <v>1</v>
      </c>
      <c r="C1340" s="8" t="s">
        <v>711</v>
      </c>
      <c r="D1340" s="8" t="s">
        <v>120</v>
      </c>
      <c r="E1340" s="8" t="s">
        <v>235</v>
      </c>
      <c r="F1340" s="8">
        <v>2</v>
      </c>
      <c r="G1340" s="8">
        <v>1</v>
      </c>
      <c r="H1340" s="11">
        <v>0.5</v>
      </c>
      <c r="I1340" s="11">
        <v>0.05487804878048781</v>
      </c>
      <c r="J1340" s="11">
        <v>9.111111111111111</v>
      </c>
      <c r="K1340" s="8">
        <v>1</v>
      </c>
      <c r="L1340" s="8">
        <v>1</v>
      </c>
      <c r="M1340" s="8">
        <v>8</v>
      </c>
      <c r="N1340" s="8">
        <v>154</v>
      </c>
      <c r="O1340" s="11">
        <v>0.005417657925223624</v>
      </c>
      <c r="P1340" s="8" t="s">
        <v>700</v>
      </c>
      <c r="Q1340" s="8" t="s">
        <v>1073</v>
      </c>
      <c r="R1340" s="8">
        <v>16</v>
      </c>
      <c r="S1340" s="11">
        <v>61.97291171037388</v>
      </c>
      <c r="T1340" s="11">
        <v>0.1097560975609756</v>
      </c>
      <c r="U1340" s="11">
        <v>1.890243902439024</v>
      </c>
      <c r="V1340" s="11">
        <v>8.890243902439025</v>
      </c>
      <c r="W1340" s="11">
        <v>153.109756097561</v>
      </c>
      <c r="X1340" s="8" t="s">
        <v>1074</v>
      </c>
    </row>
    <row r="1341" spans="1:24" ht="25" customHeight="1">
      <c r="A1341" s="12">
        <v>3544</v>
      </c>
      <c r="B1341" s="8">
        <v>1</v>
      </c>
      <c r="C1341" s="8" t="s">
        <v>706</v>
      </c>
      <c r="D1341" s="8" t="s">
        <v>877</v>
      </c>
      <c r="E1341" s="8" t="s">
        <v>811</v>
      </c>
      <c r="F1341" s="8">
        <v>1</v>
      </c>
      <c r="G1341" s="8">
        <v>1</v>
      </c>
      <c r="H1341" s="8">
        <v>1</v>
      </c>
      <c r="I1341" s="11">
        <v>0.06097560975609756</v>
      </c>
      <c r="J1341" s="11">
        <v>16.4</v>
      </c>
      <c r="K1341" s="8">
        <v>1</v>
      </c>
      <c r="L1341" s="8">
        <v>0</v>
      </c>
      <c r="M1341" s="8">
        <v>9</v>
      </c>
      <c r="N1341" s="8">
        <v>154</v>
      </c>
      <c r="O1341" s="11">
        <v>8.274660828710641E-05</v>
      </c>
      <c r="P1341" s="8" t="s">
        <v>700</v>
      </c>
      <c r="Q1341" s="8" t="s">
        <v>1075</v>
      </c>
      <c r="R1341" s="8">
        <v>17</v>
      </c>
      <c r="S1341" s="11">
        <v>66.99958626695856</v>
      </c>
      <c r="T1341" s="11">
        <v>0.06097560975609756</v>
      </c>
      <c r="U1341" s="11">
        <v>0.9390243902439024</v>
      </c>
      <c r="V1341" s="11">
        <v>9.939024390243903</v>
      </c>
      <c r="W1341" s="11">
        <v>153.0609756097561</v>
      </c>
      <c r="X1341" s="8" t="s">
        <v>1076</v>
      </c>
    </row>
    <row r="1342" spans="1:24" ht="25" customHeight="1">
      <c r="A1342" s="12">
        <v>3545</v>
      </c>
      <c r="B1342" s="8">
        <v>1</v>
      </c>
      <c r="C1342" s="8" t="s">
        <v>716</v>
      </c>
      <c r="D1342" s="8" t="s">
        <v>120</v>
      </c>
      <c r="E1342" s="8" t="s">
        <v>235</v>
      </c>
      <c r="F1342" s="8">
        <v>20</v>
      </c>
      <c r="G1342" s="8">
        <v>1</v>
      </c>
      <c r="H1342" s="11">
        <v>0.05</v>
      </c>
      <c r="I1342" s="11">
        <v>0.05487804878048781</v>
      </c>
      <c r="J1342" s="11">
        <v>0.9111111111111112</v>
      </c>
      <c r="K1342" s="8">
        <v>1</v>
      </c>
      <c r="L1342" s="8">
        <v>19</v>
      </c>
      <c r="M1342" s="8">
        <v>8</v>
      </c>
      <c r="N1342" s="8">
        <v>136</v>
      </c>
      <c r="O1342" s="11">
        <v>0.9185778155779983</v>
      </c>
      <c r="P1342" s="8" t="s">
        <v>700</v>
      </c>
      <c r="Q1342" s="8" t="s">
        <v>1077</v>
      </c>
      <c r="R1342" s="8">
        <v>18</v>
      </c>
      <c r="S1342" s="11">
        <v>44.72933314433223</v>
      </c>
      <c r="T1342" s="11">
        <v>1.097560975609756</v>
      </c>
      <c r="U1342" s="11">
        <v>18.90243902439024</v>
      </c>
      <c r="V1342" s="11">
        <v>7.902439024390244</v>
      </c>
      <c r="W1342" s="11">
        <v>136.0975609756098</v>
      </c>
      <c r="X1342" s="8" t="s">
        <v>1078</v>
      </c>
    </row>
    <row r="1343" spans="1:24" ht="25" customHeight="1">
      <c r="A1343" s="12">
        <v>3546</v>
      </c>
      <c r="B1343" s="8">
        <v>1</v>
      </c>
      <c r="C1343" s="8" t="s">
        <v>720</v>
      </c>
      <c r="D1343" s="8" t="s">
        <v>803</v>
      </c>
      <c r="E1343" s="8" t="s">
        <v>203</v>
      </c>
      <c r="F1343" s="8">
        <v>1</v>
      </c>
      <c r="G1343" s="8">
        <v>1</v>
      </c>
      <c r="H1343" s="8">
        <v>1</v>
      </c>
      <c r="I1343" s="11">
        <v>0.4390243902439024</v>
      </c>
      <c r="J1343" s="11">
        <v>2.277777777777778</v>
      </c>
      <c r="K1343" s="8">
        <v>1</v>
      </c>
      <c r="L1343" s="8">
        <v>0</v>
      </c>
      <c r="M1343" s="8">
        <v>71</v>
      </c>
      <c r="N1343" s="8">
        <v>92</v>
      </c>
      <c r="O1343" s="11">
        <v>0.2568572731610193</v>
      </c>
      <c r="P1343" s="8" t="s">
        <v>700</v>
      </c>
      <c r="Q1343" s="8" t="s">
        <v>1079</v>
      </c>
      <c r="R1343" s="8">
        <v>19</v>
      </c>
      <c r="S1343" s="11">
        <v>60.27126918975046</v>
      </c>
      <c r="T1343" s="11">
        <v>0.4390243902439024</v>
      </c>
      <c r="U1343" s="11">
        <v>0.5609756097560976</v>
      </c>
      <c r="V1343" s="11">
        <v>71.5609756097561</v>
      </c>
      <c r="W1343" s="11">
        <v>91.4390243902439</v>
      </c>
      <c r="X1343" s="8" t="s">
        <v>1080</v>
      </c>
    </row>
    <row r="1344" spans="1:24" ht="25" customHeight="1">
      <c r="A1344" s="12">
        <v>3547</v>
      </c>
      <c r="B1344" s="8">
        <v>1</v>
      </c>
      <c r="C1344" s="8" t="s">
        <v>716</v>
      </c>
      <c r="D1344" s="8" t="s">
        <v>803</v>
      </c>
      <c r="E1344" s="8" t="s">
        <v>203</v>
      </c>
      <c r="F1344" s="8">
        <v>1</v>
      </c>
      <c r="G1344" s="8">
        <v>1</v>
      </c>
      <c r="H1344" s="8">
        <v>1</v>
      </c>
      <c r="I1344" s="11">
        <v>0.4390243902439024</v>
      </c>
      <c r="J1344" s="11">
        <v>2.277777777777778</v>
      </c>
      <c r="K1344" s="8">
        <v>1</v>
      </c>
      <c r="L1344" s="8">
        <v>0</v>
      </c>
      <c r="M1344" s="8">
        <v>71</v>
      </c>
      <c r="N1344" s="8">
        <v>92</v>
      </c>
      <c r="O1344" s="11">
        <v>0.2568572731610193</v>
      </c>
      <c r="P1344" s="8" t="s">
        <v>700</v>
      </c>
      <c r="Q1344" s="8" t="s">
        <v>1081</v>
      </c>
      <c r="R1344" s="8">
        <v>20</v>
      </c>
      <c r="S1344" s="11">
        <v>60.27126918975046</v>
      </c>
      <c r="T1344" s="11">
        <v>0.4390243902439024</v>
      </c>
      <c r="U1344" s="11">
        <v>0.5609756097560976</v>
      </c>
      <c r="V1344" s="11">
        <v>71.5609756097561</v>
      </c>
      <c r="W1344" s="11">
        <v>91.4390243902439</v>
      </c>
      <c r="X1344" s="8" t="s">
        <v>1068</v>
      </c>
    </row>
    <row r="1345" spans="1:24" ht="25" customHeight="1">
      <c r="A1345" s="12">
        <v>3548</v>
      </c>
      <c r="B1345" s="8">
        <v>1</v>
      </c>
      <c r="C1345" s="8" t="s">
        <v>716</v>
      </c>
      <c r="D1345" s="8" t="s">
        <v>802</v>
      </c>
      <c r="E1345" s="8" t="s">
        <v>811</v>
      </c>
      <c r="F1345" s="8">
        <v>3</v>
      </c>
      <c r="G1345" s="8">
        <v>2</v>
      </c>
      <c r="H1345" s="11">
        <v>0.6666666666666666</v>
      </c>
      <c r="I1345" s="11">
        <v>0.06097560975609756</v>
      </c>
      <c r="J1345" s="11">
        <v>10.93333333333333</v>
      </c>
      <c r="K1345" s="8">
        <v>2</v>
      </c>
      <c r="L1345" s="8">
        <v>1</v>
      </c>
      <c r="M1345" s="8">
        <v>8</v>
      </c>
      <c r="N1345" s="8">
        <v>153</v>
      </c>
      <c r="O1345" s="11">
        <v>9.648331593381932E-06</v>
      </c>
      <c r="P1345" s="8" t="s">
        <v>700</v>
      </c>
      <c r="Q1345" s="8" t="s">
        <v>1082</v>
      </c>
      <c r="R1345" s="8">
        <v>21</v>
      </c>
      <c r="S1345" s="11">
        <v>65.66661842500869</v>
      </c>
      <c r="T1345" s="11">
        <v>0.1829268292682927</v>
      </c>
      <c r="U1345" s="11">
        <v>2.817073170731707</v>
      </c>
      <c r="V1345" s="11">
        <v>9.817073170731707</v>
      </c>
      <c r="W1345" s="11">
        <v>151.1829268292683</v>
      </c>
      <c r="X1345" s="8" t="s">
        <v>1083</v>
      </c>
    </row>
    <row r="1346" spans="1:24" ht="25" customHeight="1">
      <c r="A1346" s="12">
        <v>3549</v>
      </c>
      <c r="B1346" s="8">
        <v>1</v>
      </c>
      <c r="C1346" s="8" t="s">
        <v>711</v>
      </c>
      <c r="D1346" s="8" t="s">
        <v>802</v>
      </c>
      <c r="E1346" s="8" t="s">
        <v>811</v>
      </c>
      <c r="F1346" s="8">
        <v>1</v>
      </c>
      <c r="G1346" s="8">
        <v>1</v>
      </c>
      <c r="H1346" s="8">
        <v>1</v>
      </c>
      <c r="I1346" s="11">
        <v>0.06097560975609756</v>
      </c>
      <c r="J1346" s="11">
        <v>16.4</v>
      </c>
      <c r="K1346" s="8">
        <v>1</v>
      </c>
      <c r="L1346" s="8">
        <v>0</v>
      </c>
      <c r="M1346" s="8">
        <v>9</v>
      </c>
      <c r="N1346" s="8">
        <v>154</v>
      </c>
      <c r="O1346" s="11">
        <v>8.274660828710641E-05</v>
      </c>
      <c r="P1346" s="8" t="s">
        <v>700</v>
      </c>
      <c r="Q1346" s="8" t="s">
        <v>1084</v>
      </c>
      <c r="R1346" s="8">
        <v>22</v>
      </c>
      <c r="S1346" s="11">
        <v>66.99958626695856</v>
      </c>
      <c r="T1346" s="11">
        <v>0.06097560975609756</v>
      </c>
      <c r="U1346" s="11">
        <v>0.9390243902439024</v>
      </c>
      <c r="V1346" s="11">
        <v>9.939024390243903</v>
      </c>
      <c r="W1346" s="11">
        <v>153.0609756097561</v>
      </c>
      <c r="X1346" s="8" t="s">
        <v>1085</v>
      </c>
    </row>
    <row r="1347" spans="1:24" ht="25" customHeight="1">
      <c r="A1347" s="12">
        <v>3550</v>
      </c>
      <c r="B1347" s="8">
        <v>1</v>
      </c>
      <c r="C1347" s="8" t="s">
        <v>716</v>
      </c>
      <c r="D1347" s="8" t="s">
        <v>802</v>
      </c>
      <c r="E1347" s="8" t="s">
        <v>206</v>
      </c>
      <c r="F1347" s="8">
        <v>3</v>
      </c>
      <c r="G1347" s="8">
        <v>1</v>
      </c>
      <c r="H1347" s="11">
        <v>0.3333333333333333</v>
      </c>
      <c r="I1347" s="11">
        <v>0.3902439024390244</v>
      </c>
      <c r="J1347" s="11">
        <v>0.8541666666666666</v>
      </c>
      <c r="K1347" s="8">
        <v>1</v>
      </c>
      <c r="L1347" s="8">
        <v>2</v>
      </c>
      <c r="M1347" s="8">
        <v>63</v>
      </c>
      <c r="N1347" s="8">
        <v>98</v>
      </c>
      <c r="O1347" s="11">
        <v>0.8383952531988896</v>
      </c>
      <c r="P1347" s="8" t="s">
        <v>700</v>
      </c>
      <c r="Q1347" s="8" t="s">
        <v>1086</v>
      </c>
      <c r="R1347" s="8">
        <v>23</v>
      </c>
      <c r="S1347" s="11">
        <v>47.84969040067222</v>
      </c>
      <c r="T1347" s="11">
        <v>1.170731707317073</v>
      </c>
      <c r="U1347" s="11">
        <v>1.829268292682927</v>
      </c>
      <c r="V1347" s="11">
        <v>62.82926829268293</v>
      </c>
      <c r="W1347" s="11">
        <v>98.17073170731707</v>
      </c>
      <c r="X1347" s="8" t="s">
        <v>1087</v>
      </c>
    </row>
    <row r="1348" spans="1:24" ht="25" customHeight="1">
      <c r="A1348" s="12">
        <v>3551</v>
      </c>
      <c r="B1348" s="8">
        <v>2</v>
      </c>
      <c r="C1348" s="8" t="s">
        <v>716</v>
      </c>
      <c r="D1348" s="8" t="s">
        <v>120</v>
      </c>
      <c r="E1348" s="8" t="s">
        <v>222</v>
      </c>
      <c r="F1348" s="8">
        <v>23</v>
      </c>
      <c r="G1348" s="8">
        <v>1</v>
      </c>
      <c r="H1348" s="11">
        <v>0.04347826086956522</v>
      </c>
      <c r="I1348" s="11">
        <v>0.0426829268292683</v>
      </c>
      <c r="J1348" s="11">
        <v>1.018633540372671</v>
      </c>
      <c r="K1348" s="8">
        <v>1</v>
      </c>
      <c r="L1348" s="8">
        <v>22</v>
      </c>
      <c r="M1348" s="8">
        <v>6</v>
      </c>
      <c r="N1348" s="8">
        <v>135</v>
      </c>
      <c r="O1348" s="11">
        <v>0.9837639289019783</v>
      </c>
      <c r="P1348" s="8" t="s">
        <v>700</v>
      </c>
      <c r="Q1348" s="8" t="s">
        <v>1088</v>
      </c>
      <c r="R1348" s="8">
        <v>24</v>
      </c>
      <c r="S1348" s="11">
        <v>44.55323004493111</v>
      </c>
      <c r="T1348" s="11">
        <v>0.9817073170731707</v>
      </c>
      <c r="U1348" s="11">
        <v>22.01829268292683</v>
      </c>
      <c r="V1348" s="11">
        <v>6.01829268292683</v>
      </c>
      <c r="W1348" s="11">
        <v>134.9817073170732</v>
      </c>
      <c r="X1348" s="8" t="s">
        <v>1089</v>
      </c>
    </row>
    <row r="1349" spans="1:24" ht="25" customHeight="1">
      <c r="A1349" s="12">
        <v>3552</v>
      </c>
      <c r="B1349" s="8">
        <v>2</v>
      </c>
      <c r="C1349" s="8" t="s">
        <v>711</v>
      </c>
      <c r="D1349" s="8" t="s">
        <v>120</v>
      </c>
      <c r="E1349" s="8" t="s">
        <v>203</v>
      </c>
      <c r="F1349" s="8">
        <v>7</v>
      </c>
      <c r="G1349" s="8">
        <v>3</v>
      </c>
      <c r="H1349" s="11">
        <v>0.4285714285714285</v>
      </c>
      <c r="I1349" s="11">
        <v>0.4390243902439024</v>
      </c>
      <c r="J1349" s="11">
        <v>0.9761904761904762</v>
      </c>
      <c r="K1349" s="8">
        <v>3</v>
      </c>
      <c r="L1349" s="8">
        <v>4</v>
      </c>
      <c r="M1349" s="8">
        <v>69</v>
      </c>
      <c r="N1349" s="8">
        <v>88</v>
      </c>
      <c r="O1349" s="11">
        <v>0.9545797561362287</v>
      </c>
      <c r="P1349" s="8" t="s">
        <v>700</v>
      </c>
      <c r="Q1349" s="8" t="s">
        <v>1090</v>
      </c>
      <c r="R1349" s="8">
        <v>25</v>
      </c>
      <c r="S1349" s="11">
        <v>52.46519645741409</v>
      </c>
      <c r="T1349" s="11">
        <v>3.073170731707317</v>
      </c>
      <c r="U1349" s="11">
        <v>3.926829268292683</v>
      </c>
      <c r="V1349" s="11">
        <v>68.92682926829268</v>
      </c>
      <c r="W1349" s="11">
        <v>88.07317073170732</v>
      </c>
      <c r="X1349" s="8" t="s">
        <v>1091</v>
      </c>
    </row>
    <row r="1350" spans="1:24" ht="25" customHeight="1">
      <c r="A1350" s="12">
        <v>3553</v>
      </c>
      <c r="B1350" s="8">
        <v>2</v>
      </c>
      <c r="C1350" s="8" t="s">
        <v>716</v>
      </c>
      <c r="D1350" s="8" t="s">
        <v>120</v>
      </c>
      <c r="E1350" s="8" t="s">
        <v>203</v>
      </c>
      <c r="F1350" s="8">
        <v>23</v>
      </c>
      <c r="G1350" s="8">
        <v>13</v>
      </c>
      <c r="H1350" s="11">
        <v>0.5652173913043478</v>
      </c>
      <c r="I1350" s="11">
        <v>0.4390243902439024</v>
      </c>
      <c r="J1350" s="11">
        <v>1.28743961352657</v>
      </c>
      <c r="K1350" s="8">
        <v>13</v>
      </c>
      <c r="L1350" s="8">
        <v>10</v>
      </c>
      <c r="M1350" s="8">
        <v>59</v>
      </c>
      <c r="N1350" s="8">
        <v>82</v>
      </c>
      <c r="O1350" s="11">
        <v>0.1884391946280492</v>
      </c>
      <c r="P1350" s="8" t="s">
        <v>895</v>
      </c>
      <c r="Q1350" s="8" t="s">
        <v>1092</v>
      </c>
      <c r="R1350" s="8">
        <v>26</v>
      </c>
      <c r="S1350" s="11">
        <v>58.28485716695637</v>
      </c>
      <c r="T1350" s="11">
        <v>10.09756097560976</v>
      </c>
      <c r="U1350" s="11">
        <v>12.90243902439024</v>
      </c>
      <c r="V1350" s="11">
        <v>61.90243902439025</v>
      </c>
      <c r="W1350" s="11">
        <v>79.09756097560975</v>
      </c>
      <c r="X1350" s="8" t="s">
        <v>1093</v>
      </c>
    </row>
    <row r="1351" spans="1:24" ht="25" customHeight="1">
      <c r="A1351" s="12">
        <v>3554</v>
      </c>
      <c r="B1351" s="8">
        <v>2</v>
      </c>
      <c r="C1351" s="8" t="s">
        <v>716</v>
      </c>
      <c r="D1351" s="8" t="s">
        <v>120</v>
      </c>
      <c r="E1351" s="8" t="s">
        <v>206</v>
      </c>
      <c r="F1351" s="8">
        <v>23</v>
      </c>
      <c r="G1351" s="8">
        <v>9</v>
      </c>
      <c r="H1351" s="11">
        <v>0.391304347826087</v>
      </c>
      <c r="I1351" s="11">
        <v>0.3902439024390244</v>
      </c>
      <c r="J1351" s="11">
        <v>1.002717391304348</v>
      </c>
      <c r="K1351" s="8">
        <v>9</v>
      </c>
      <c r="L1351" s="8">
        <v>14</v>
      </c>
      <c r="M1351" s="8">
        <v>55</v>
      </c>
      <c r="N1351" s="8">
        <v>86</v>
      </c>
      <c r="O1351" s="11">
        <v>0.9910288242553343</v>
      </c>
      <c r="P1351" s="8" t="s">
        <v>895</v>
      </c>
      <c r="Q1351" s="8" t="s">
        <v>1094</v>
      </c>
      <c r="R1351" s="8">
        <v>27</v>
      </c>
      <c r="S1351" s="11">
        <v>43.96333413959289</v>
      </c>
      <c r="T1351" s="11">
        <v>8.975609756097562</v>
      </c>
      <c r="U1351" s="11">
        <v>14.02439024390244</v>
      </c>
      <c r="V1351" s="11">
        <v>55.02439024390244</v>
      </c>
      <c r="W1351" s="11">
        <v>85.97560975609755</v>
      </c>
      <c r="X1351" s="8" t="s">
        <v>1095</v>
      </c>
    </row>
    <row r="1352" spans="1:24" ht="25" customHeight="1">
      <c r="A1352" s="12">
        <v>3555</v>
      </c>
      <c r="B1352" s="8">
        <v>2</v>
      </c>
      <c r="C1352" s="8" t="s">
        <v>706</v>
      </c>
      <c r="D1352" s="8" t="s">
        <v>120</v>
      </c>
      <c r="E1352" s="8" t="s">
        <v>203</v>
      </c>
      <c r="F1352" s="8">
        <v>6</v>
      </c>
      <c r="G1352" s="8">
        <v>1</v>
      </c>
      <c r="H1352" s="11">
        <v>0.1666666666666667</v>
      </c>
      <c r="I1352" s="11">
        <v>0.4390243902439024</v>
      </c>
      <c r="J1352" s="11">
        <v>0.3796296296296296</v>
      </c>
      <c r="K1352" s="8">
        <v>1</v>
      </c>
      <c r="L1352" s="8">
        <v>5</v>
      </c>
      <c r="M1352" s="8">
        <v>71</v>
      </c>
      <c r="N1352" s="8">
        <v>87</v>
      </c>
      <c r="O1352" s="11">
        <v>0.1708131390197857</v>
      </c>
      <c r="P1352" s="8" t="s">
        <v>700</v>
      </c>
      <c r="Q1352" s="8" t="s">
        <v>1096</v>
      </c>
      <c r="R1352" s="8">
        <v>28</v>
      </c>
      <c r="S1352" s="11">
        <v>48.571860230827</v>
      </c>
      <c r="T1352" s="11">
        <v>2.634146341463415</v>
      </c>
      <c r="U1352" s="11">
        <v>3.365853658536585</v>
      </c>
      <c r="V1352" s="11">
        <v>69.36585365853658</v>
      </c>
      <c r="W1352" s="11">
        <v>88.63414634146342</v>
      </c>
      <c r="X1352" s="8" t="s">
        <v>1097</v>
      </c>
    </row>
    <row r="1353" spans="1:24" ht="25" customHeight="1">
      <c r="A1353" s="12">
        <v>3556</v>
      </c>
      <c r="B1353" s="8">
        <v>2</v>
      </c>
      <c r="C1353" s="8" t="s">
        <v>720</v>
      </c>
      <c r="D1353" s="8" t="s">
        <v>120</v>
      </c>
      <c r="E1353" s="8" t="s">
        <v>203</v>
      </c>
      <c r="F1353" s="8">
        <v>6</v>
      </c>
      <c r="G1353" s="8">
        <v>3</v>
      </c>
      <c r="H1353" s="11">
        <v>0.5</v>
      </c>
      <c r="I1353" s="11">
        <v>0.4390243902439024</v>
      </c>
      <c r="J1353" s="11">
        <v>1.138888888888889</v>
      </c>
      <c r="K1353" s="8">
        <v>3</v>
      </c>
      <c r="L1353" s="8">
        <v>3</v>
      </c>
      <c r="M1353" s="8">
        <v>69</v>
      </c>
      <c r="N1353" s="8">
        <v>89</v>
      </c>
      <c r="O1353" s="11">
        <v>0.7591281330893953</v>
      </c>
      <c r="P1353" s="8" t="s">
        <v>700</v>
      </c>
      <c r="Q1353" s="8" t="s">
        <v>1098</v>
      </c>
      <c r="R1353" s="8">
        <v>29</v>
      </c>
      <c r="S1353" s="11">
        <v>54.4821371123308</v>
      </c>
      <c r="T1353" s="11">
        <v>2.634146341463415</v>
      </c>
      <c r="U1353" s="11">
        <v>3.365853658536585</v>
      </c>
      <c r="V1353" s="11">
        <v>69.36585365853658</v>
      </c>
      <c r="W1353" s="11">
        <v>88.63414634146342</v>
      </c>
      <c r="X1353" s="8" t="s">
        <v>1099</v>
      </c>
    </row>
    <row r="1354" spans="1:24" ht="25" customHeight="1">
      <c r="A1354" s="12">
        <v>3557</v>
      </c>
      <c r="B1354" s="8">
        <v>2</v>
      </c>
      <c r="C1354" s="8" t="s">
        <v>706</v>
      </c>
      <c r="D1354" s="8" t="s">
        <v>120</v>
      </c>
      <c r="E1354" s="8" t="s">
        <v>206</v>
      </c>
      <c r="F1354" s="8">
        <v>6</v>
      </c>
      <c r="G1354" s="8">
        <v>4</v>
      </c>
      <c r="H1354" s="11">
        <v>0.6666666666666666</v>
      </c>
      <c r="I1354" s="11">
        <v>0.3902439024390244</v>
      </c>
      <c r="J1354" s="11">
        <v>1.708333333333333</v>
      </c>
      <c r="K1354" s="8">
        <v>4</v>
      </c>
      <c r="L1354" s="8">
        <v>2</v>
      </c>
      <c r="M1354" s="8">
        <v>60</v>
      </c>
      <c r="N1354" s="8">
        <v>98</v>
      </c>
      <c r="O1354" s="11">
        <v>0.1573167232431712</v>
      </c>
      <c r="P1354" s="8" t="s">
        <v>700</v>
      </c>
      <c r="Q1354" s="8" t="s">
        <v>1100</v>
      </c>
      <c r="R1354" s="8">
        <v>30</v>
      </c>
      <c r="S1354" s="11">
        <v>62.29674971711747</v>
      </c>
      <c r="T1354" s="11">
        <v>2.341463414634146</v>
      </c>
      <c r="U1354" s="11">
        <v>3.658536585365854</v>
      </c>
      <c r="V1354" s="11">
        <v>61.65853658536585</v>
      </c>
      <c r="W1354" s="11">
        <v>96.34146341463415</v>
      </c>
      <c r="X1354" s="8" t="s">
        <v>1101</v>
      </c>
    </row>
    <row r="1355" spans="1:24" ht="25" customHeight="1">
      <c r="A1355" s="12">
        <v>3558</v>
      </c>
      <c r="B1355" s="8">
        <v>2</v>
      </c>
      <c r="C1355" s="8" t="s">
        <v>711</v>
      </c>
      <c r="D1355" s="8" t="s">
        <v>120</v>
      </c>
      <c r="E1355" s="8" t="s">
        <v>222</v>
      </c>
      <c r="F1355" s="8">
        <v>7</v>
      </c>
      <c r="G1355" s="8">
        <v>1</v>
      </c>
      <c r="H1355" s="11">
        <v>0.1428571428571428</v>
      </c>
      <c r="I1355" s="11">
        <v>0.0426829268292683</v>
      </c>
      <c r="J1355" s="11">
        <v>3.346938775510204</v>
      </c>
      <c r="K1355" s="8">
        <v>1</v>
      </c>
      <c r="L1355" s="8">
        <v>6</v>
      </c>
      <c r="M1355" s="8">
        <v>6</v>
      </c>
      <c r="N1355" s="8">
        <v>151</v>
      </c>
      <c r="O1355" s="11">
        <v>0.1802280177971834</v>
      </c>
      <c r="P1355" s="8" t="s">
        <v>700</v>
      </c>
      <c r="Q1355" s="8" t="s">
        <v>1102</v>
      </c>
      <c r="R1355" s="8">
        <v>31</v>
      </c>
      <c r="S1355" s="11">
        <v>54.22130889060592</v>
      </c>
      <c r="T1355" s="11">
        <v>0.298780487804878</v>
      </c>
      <c r="U1355" s="11">
        <v>6.701219512195122</v>
      </c>
      <c r="V1355" s="11">
        <v>6.701219512195122</v>
      </c>
      <c r="W1355" s="11">
        <v>150.2987804878049</v>
      </c>
      <c r="X1355" s="8" t="s">
        <v>1103</v>
      </c>
    </row>
    <row r="1356" spans="1:24" ht="25" customHeight="1">
      <c r="A1356" s="12">
        <v>3559</v>
      </c>
      <c r="B1356" s="8">
        <v>2</v>
      </c>
      <c r="C1356" s="8" t="s">
        <v>711</v>
      </c>
      <c r="D1356" s="8" t="s">
        <v>123</v>
      </c>
      <c r="E1356" s="8" t="s">
        <v>203</v>
      </c>
      <c r="F1356" s="8">
        <v>1</v>
      </c>
      <c r="G1356" s="8">
        <v>1</v>
      </c>
      <c r="H1356" s="8">
        <v>1</v>
      </c>
      <c r="I1356" s="11">
        <v>0.4390243902439024</v>
      </c>
      <c r="J1356" s="11">
        <v>2.277777777777778</v>
      </c>
      <c r="K1356" s="8">
        <v>1</v>
      </c>
      <c r="L1356" s="8">
        <v>0</v>
      </c>
      <c r="M1356" s="8">
        <v>71</v>
      </c>
      <c r="N1356" s="8">
        <v>92</v>
      </c>
      <c r="O1356" s="11">
        <v>0.2568572731610193</v>
      </c>
      <c r="P1356" s="8" t="s">
        <v>700</v>
      </c>
      <c r="Q1356" s="8" t="s">
        <v>1104</v>
      </c>
      <c r="R1356" s="8">
        <v>32</v>
      </c>
      <c r="S1356" s="11">
        <v>60.27126918975046</v>
      </c>
      <c r="T1356" s="11">
        <v>0.4390243902439024</v>
      </c>
      <c r="U1356" s="11">
        <v>0.5609756097560976</v>
      </c>
      <c r="V1356" s="11">
        <v>71.5609756097561</v>
      </c>
      <c r="W1356" s="11">
        <v>91.4390243902439</v>
      </c>
      <c r="X1356" s="8" t="s">
        <v>1105</v>
      </c>
    </row>
    <row r="1357" spans="1:24" ht="25" customHeight="1">
      <c r="A1357" s="12">
        <v>3560</v>
      </c>
      <c r="B1357" s="8">
        <v>2</v>
      </c>
      <c r="C1357" s="8" t="s">
        <v>711</v>
      </c>
      <c r="D1357" s="8" t="s">
        <v>120</v>
      </c>
      <c r="E1357" s="8" t="s">
        <v>206</v>
      </c>
      <c r="F1357" s="8">
        <v>7</v>
      </c>
      <c r="G1357" s="8">
        <v>3</v>
      </c>
      <c r="H1357" s="11">
        <v>0.4285714285714285</v>
      </c>
      <c r="I1357" s="11">
        <v>0.3902439024390244</v>
      </c>
      <c r="J1357" s="11">
        <v>1.098214285714286</v>
      </c>
      <c r="K1357" s="8">
        <v>3</v>
      </c>
      <c r="L1357" s="8">
        <v>4</v>
      </c>
      <c r="M1357" s="8">
        <v>61</v>
      </c>
      <c r="N1357" s="8">
        <v>96</v>
      </c>
      <c r="O1357" s="11">
        <v>0.8317449025721713</v>
      </c>
      <c r="P1357" s="8" t="s">
        <v>700</v>
      </c>
      <c r="Q1357" s="8" t="s">
        <v>1106</v>
      </c>
      <c r="R1357" s="8">
        <v>33</v>
      </c>
      <c r="S1357" s="11">
        <v>53.323418344282</v>
      </c>
      <c r="T1357" s="11">
        <v>2.731707317073171</v>
      </c>
      <c r="U1357" s="11">
        <v>4.26829268292683</v>
      </c>
      <c r="V1357" s="11">
        <v>61.26829268292683</v>
      </c>
      <c r="W1357" s="11">
        <v>95.73170731707317</v>
      </c>
      <c r="X1357" s="8" t="s">
        <v>1107</v>
      </c>
    </row>
    <row r="1358" spans="1:24" ht="25" customHeight="1">
      <c r="A1358" s="12">
        <v>3561</v>
      </c>
      <c r="B1358" s="8">
        <v>2</v>
      </c>
      <c r="C1358" s="8" t="s">
        <v>706</v>
      </c>
      <c r="D1358" s="8" t="s">
        <v>123</v>
      </c>
      <c r="E1358" s="8" t="s">
        <v>206</v>
      </c>
      <c r="F1358" s="8">
        <v>1</v>
      </c>
      <c r="G1358" s="8">
        <v>1</v>
      </c>
      <c r="H1358" s="8">
        <v>1</v>
      </c>
      <c r="I1358" s="11">
        <v>0.3902439024390244</v>
      </c>
      <c r="J1358" s="11">
        <v>2.5625</v>
      </c>
      <c r="K1358" s="8">
        <v>1</v>
      </c>
      <c r="L1358" s="8">
        <v>0</v>
      </c>
      <c r="M1358" s="8">
        <v>63</v>
      </c>
      <c r="N1358" s="8">
        <v>100</v>
      </c>
      <c r="O1358" s="11">
        <v>0.2099043503995413</v>
      </c>
      <c r="P1358" s="8" t="s">
        <v>700</v>
      </c>
      <c r="Q1358" s="8" t="s">
        <v>1108</v>
      </c>
      <c r="R1358" s="8">
        <v>34</v>
      </c>
      <c r="S1358" s="11">
        <v>61.07547824800229</v>
      </c>
      <c r="T1358" s="11">
        <v>0.3902439024390244</v>
      </c>
      <c r="U1358" s="11">
        <v>0.6097560975609756</v>
      </c>
      <c r="V1358" s="11">
        <v>63.60975609756098</v>
      </c>
      <c r="W1358" s="11">
        <v>99.39024390243902</v>
      </c>
      <c r="X1358" s="8" t="s">
        <v>1109</v>
      </c>
    </row>
    <row r="1359" spans="1:24" ht="25" customHeight="1">
      <c r="A1359" s="12">
        <v>3562</v>
      </c>
      <c r="B1359" s="8">
        <v>2</v>
      </c>
      <c r="C1359" s="8" t="s">
        <v>706</v>
      </c>
      <c r="D1359" s="8" t="s">
        <v>120</v>
      </c>
      <c r="E1359" s="8" t="s">
        <v>222</v>
      </c>
      <c r="F1359" s="8">
        <v>6</v>
      </c>
      <c r="G1359" s="8">
        <v>1</v>
      </c>
      <c r="H1359" s="11">
        <v>0.1666666666666667</v>
      </c>
      <c r="I1359" s="11">
        <v>0.0426829268292683</v>
      </c>
      <c r="J1359" s="11">
        <v>3.904761904761904</v>
      </c>
      <c r="K1359" s="8">
        <v>1</v>
      </c>
      <c r="L1359" s="8">
        <v>5</v>
      </c>
      <c r="M1359" s="8">
        <v>6</v>
      </c>
      <c r="N1359" s="8">
        <v>152</v>
      </c>
      <c r="O1359" s="11">
        <v>0.1258534386936808</v>
      </c>
      <c r="P1359" s="8" t="s">
        <v>700</v>
      </c>
      <c r="Q1359" s="8" t="s">
        <v>1110</v>
      </c>
      <c r="R1359" s="8">
        <v>35</v>
      </c>
      <c r="S1359" s="11">
        <v>55.84692328272207</v>
      </c>
      <c r="T1359" s="11">
        <v>0.2560975609756098</v>
      </c>
      <c r="U1359" s="11">
        <v>5.74390243902439</v>
      </c>
      <c r="V1359" s="11">
        <v>6.74390243902439</v>
      </c>
      <c r="W1359" s="11">
        <v>151.2560975609756</v>
      </c>
      <c r="X1359" s="8" t="s">
        <v>1111</v>
      </c>
    </row>
    <row r="1360" spans="1:24" ht="25" customHeight="1">
      <c r="A1360" s="12">
        <v>3563</v>
      </c>
      <c r="B1360" s="8">
        <v>2</v>
      </c>
      <c r="C1360" s="8" t="s">
        <v>720</v>
      </c>
      <c r="D1360" s="8" t="s">
        <v>120</v>
      </c>
      <c r="E1360" s="8" t="s">
        <v>222</v>
      </c>
      <c r="F1360" s="8">
        <v>6</v>
      </c>
      <c r="G1360" s="8">
        <v>1</v>
      </c>
      <c r="H1360" s="11">
        <v>0.1666666666666667</v>
      </c>
      <c r="I1360" s="11">
        <v>0.0426829268292683</v>
      </c>
      <c r="J1360" s="11">
        <v>3.904761904761904</v>
      </c>
      <c r="K1360" s="8">
        <v>1</v>
      </c>
      <c r="L1360" s="8">
        <v>5</v>
      </c>
      <c r="M1360" s="8">
        <v>6</v>
      </c>
      <c r="N1360" s="8">
        <v>152</v>
      </c>
      <c r="O1360" s="11">
        <v>0.1258534386936808</v>
      </c>
      <c r="P1360" s="8" t="s">
        <v>700</v>
      </c>
      <c r="Q1360" s="8" t="s">
        <v>1112</v>
      </c>
      <c r="R1360" s="8">
        <v>36</v>
      </c>
      <c r="S1360" s="11">
        <v>55.84692328272207</v>
      </c>
      <c r="T1360" s="11">
        <v>0.2560975609756098</v>
      </c>
      <c r="U1360" s="11">
        <v>5.74390243902439</v>
      </c>
      <c r="V1360" s="11">
        <v>6.74390243902439</v>
      </c>
      <c r="W1360" s="11">
        <v>151.2560975609756</v>
      </c>
      <c r="X1360" s="8" t="s">
        <v>1113</v>
      </c>
    </row>
    <row r="1361" spans="1:24" ht="25" customHeight="1">
      <c r="A1361" s="12">
        <v>3564</v>
      </c>
      <c r="B1361" s="8">
        <v>2</v>
      </c>
      <c r="C1361" s="8" t="s">
        <v>720</v>
      </c>
      <c r="D1361" s="8" t="s">
        <v>120</v>
      </c>
      <c r="E1361" s="8" t="s">
        <v>206</v>
      </c>
      <c r="F1361" s="8">
        <v>6</v>
      </c>
      <c r="G1361" s="8">
        <v>1</v>
      </c>
      <c r="H1361" s="11">
        <v>0.1666666666666667</v>
      </c>
      <c r="I1361" s="11">
        <v>0.3902439024390244</v>
      </c>
      <c r="J1361" s="11">
        <v>0.4270833333333333</v>
      </c>
      <c r="K1361" s="8">
        <v>1</v>
      </c>
      <c r="L1361" s="8">
        <v>5</v>
      </c>
      <c r="M1361" s="8">
        <v>63</v>
      </c>
      <c r="N1361" s="8">
        <v>95</v>
      </c>
      <c r="O1361" s="11">
        <v>0.2527061998619167</v>
      </c>
      <c r="P1361" s="8" t="s">
        <v>700</v>
      </c>
      <c r="Q1361" s="8" t="s">
        <v>1114</v>
      </c>
      <c r="R1361" s="8">
        <v>37</v>
      </c>
      <c r="S1361" s="11">
        <v>48.25730233402375</v>
      </c>
      <c r="T1361" s="11">
        <v>2.341463414634146</v>
      </c>
      <c r="U1361" s="11">
        <v>3.658536585365854</v>
      </c>
      <c r="V1361" s="11">
        <v>61.65853658536585</v>
      </c>
      <c r="W1361" s="11">
        <v>96.34146341463415</v>
      </c>
      <c r="X1361" s="8" t="s">
        <v>1115</v>
      </c>
    </row>
    <row r="1362" spans="1:24" ht="25" customHeight="1">
      <c r="A1362" s="12">
        <v>3565</v>
      </c>
      <c r="B1362" s="8">
        <v>2</v>
      </c>
      <c r="C1362" s="8" t="s">
        <v>716</v>
      </c>
      <c r="D1362" s="8" t="s">
        <v>803</v>
      </c>
      <c r="E1362" s="8" t="s">
        <v>203</v>
      </c>
      <c r="F1362" s="8">
        <v>1</v>
      </c>
      <c r="G1362" s="8">
        <v>1</v>
      </c>
      <c r="H1362" s="8">
        <v>1</v>
      </c>
      <c r="I1362" s="11">
        <v>0.4390243902439024</v>
      </c>
      <c r="J1362" s="11">
        <v>2.277777777777778</v>
      </c>
      <c r="K1362" s="8">
        <v>1</v>
      </c>
      <c r="L1362" s="8">
        <v>0</v>
      </c>
      <c r="M1362" s="8">
        <v>71</v>
      </c>
      <c r="N1362" s="8">
        <v>92</v>
      </c>
      <c r="O1362" s="11">
        <v>0.2568572731610193</v>
      </c>
      <c r="P1362" s="8" t="s">
        <v>700</v>
      </c>
      <c r="Q1362" s="8" t="s">
        <v>1116</v>
      </c>
      <c r="R1362" s="8">
        <v>38</v>
      </c>
      <c r="S1362" s="11">
        <v>60.27126918975046</v>
      </c>
      <c r="T1362" s="11">
        <v>0.4390243902439024</v>
      </c>
      <c r="U1362" s="11">
        <v>0.5609756097560976</v>
      </c>
      <c r="V1362" s="11">
        <v>71.5609756097561</v>
      </c>
      <c r="W1362" s="11">
        <v>91.4390243902439</v>
      </c>
      <c r="X1362" s="8" t="s">
        <v>1117</v>
      </c>
    </row>
    <row r="1363" spans="1:24" ht="25" customHeight="1">
      <c r="A1363" s="12">
        <v>3566</v>
      </c>
      <c r="B1363" s="8">
        <v>2</v>
      </c>
      <c r="C1363" s="8" t="s">
        <v>720</v>
      </c>
      <c r="D1363" s="8" t="s">
        <v>803</v>
      </c>
      <c r="E1363" s="8" t="s">
        <v>203</v>
      </c>
      <c r="F1363" s="8">
        <v>3</v>
      </c>
      <c r="G1363" s="8">
        <v>2</v>
      </c>
      <c r="H1363" s="11">
        <v>0.6666666666666666</v>
      </c>
      <c r="I1363" s="11">
        <v>0.4390243902439024</v>
      </c>
      <c r="J1363" s="11">
        <v>1.518518518518518</v>
      </c>
      <c r="K1363" s="8">
        <v>2</v>
      </c>
      <c r="L1363" s="8">
        <v>1</v>
      </c>
      <c r="M1363" s="8">
        <v>70</v>
      </c>
      <c r="N1363" s="8">
        <v>91</v>
      </c>
      <c r="O1363" s="11">
        <v>0.4226257540830513</v>
      </c>
      <c r="P1363" s="8" t="s">
        <v>700</v>
      </c>
      <c r="Q1363" s="8" t="s">
        <v>1118</v>
      </c>
      <c r="R1363" s="8">
        <v>39</v>
      </c>
      <c r="S1363" s="11">
        <v>56.59057493328844</v>
      </c>
      <c r="T1363" s="11">
        <v>1.317073170731707</v>
      </c>
      <c r="U1363" s="11">
        <v>1.682926829268293</v>
      </c>
      <c r="V1363" s="11">
        <v>70.6829268292683</v>
      </c>
      <c r="W1363" s="11">
        <v>90.3170731707317</v>
      </c>
      <c r="X1363" s="8" t="s">
        <v>1119</v>
      </c>
    </row>
    <row r="1364" spans="1:24" ht="25" customHeight="1">
      <c r="A1364" s="12">
        <v>3567</v>
      </c>
      <c r="B1364" s="8">
        <v>2</v>
      </c>
      <c r="C1364" s="8" t="s">
        <v>720</v>
      </c>
      <c r="D1364" s="8" t="s">
        <v>803</v>
      </c>
      <c r="E1364" s="8" t="s">
        <v>206</v>
      </c>
      <c r="F1364" s="8">
        <v>3</v>
      </c>
      <c r="G1364" s="8">
        <v>1</v>
      </c>
      <c r="H1364" s="11">
        <v>0.3333333333333333</v>
      </c>
      <c r="I1364" s="11">
        <v>0.3902439024390244</v>
      </c>
      <c r="J1364" s="11">
        <v>0.8541666666666666</v>
      </c>
      <c r="K1364" s="8">
        <v>1</v>
      </c>
      <c r="L1364" s="8">
        <v>2</v>
      </c>
      <c r="M1364" s="8">
        <v>63</v>
      </c>
      <c r="N1364" s="8">
        <v>98</v>
      </c>
      <c r="O1364" s="11">
        <v>0.8383952531988896</v>
      </c>
      <c r="P1364" s="8" t="s">
        <v>700</v>
      </c>
      <c r="Q1364" s="8" t="s">
        <v>1120</v>
      </c>
      <c r="R1364" s="8">
        <v>40</v>
      </c>
      <c r="S1364" s="11">
        <v>47.84969040067222</v>
      </c>
      <c r="T1364" s="11">
        <v>1.170731707317073</v>
      </c>
      <c r="U1364" s="11">
        <v>1.829268292682927</v>
      </c>
      <c r="V1364" s="11">
        <v>62.82926829268293</v>
      </c>
      <c r="W1364" s="11">
        <v>98.17073170731707</v>
      </c>
      <c r="X1364" s="8" t="s">
        <v>1121</v>
      </c>
    </row>
    <row r="1365" spans="1:24" ht="25" customHeight="1">
      <c r="A1365" s="12">
        <v>3568</v>
      </c>
      <c r="B1365" s="8">
        <v>2</v>
      </c>
      <c r="C1365" s="8" t="s">
        <v>720</v>
      </c>
      <c r="D1365" s="8" t="s">
        <v>123</v>
      </c>
      <c r="E1365" s="8" t="s">
        <v>203</v>
      </c>
      <c r="F1365" s="8">
        <v>1</v>
      </c>
      <c r="G1365" s="8">
        <v>1</v>
      </c>
      <c r="H1365" s="8">
        <v>1</v>
      </c>
      <c r="I1365" s="11">
        <v>0.4390243902439024</v>
      </c>
      <c r="J1365" s="11">
        <v>2.277777777777778</v>
      </c>
      <c r="K1365" s="8">
        <v>1</v>
      </c>
      <c r="L1365" s="8">
        <v>0</v>
      </c>
      <c r="M1365" s="8">
        <v>71</v>
      </c>
      <c r="N1365" s="8">
        <v>92</v>
      </c>
      <c r="O1365" s="11">
        <v>0.2568572731610193</v>
      </c>
      <c r="P1365" s="8" t="s">
        <v>700</v>
      </c>
      <c r="Q1365" s="8" t="s">
        <v>1122</v>
      </c>
      <c r="R1365" s="8">
        <v>41</v>
      </c>
      <c r="S1365" s="11">
        <v>60.27126918975046</v>
      </c>
      <c r="T1365" s="11">
        <v>0.4390243902439024</v>
      </c>
      <c r="U1365" s="11">
        <v>0.5609756097560976</v>
      </c>
      <c r="V1365" s="11">
        <v>71.5609756097561</v>
      </c>
      <c r="W1365" s="11">
        <v>91.4390243902439</v>
      </c>
      <c r="X1365" s="8" t="s">
        <v>1123</v>
      </c>
    </row>
    <row r="1366" spans="1:24" ht="25" customHeight="1">
      <c r="A1366" s="12">
        <v>3569</v>
      </c>
      <c r="B1366" s="8">
        <v>2</v>
      </c>
      <c r="C1366" s="8" t="s">
        <v>716</v>
      </c>
      <c r="D1366" s="8" t="s">
        <v>802</v>
      </c>
      <c r="E1366" s="8" t="s">
        <v>811</v>
      </c>
      <c r="F1366" s="8">
        <v>1</v>
      </c>
      <c r="G1366" s="8">
        <v>1</v>
      </c>
      <c r="H1366" s="8">
        <v>1</v>
      </c>
      <c r="I1366" s="11">
        <v>0.06097560975609756</v>
      </c>
      <c r="J1366" s="11">
        <v>16.4</v>
      </c>
      <c r="K1366" s="8">
        <v>1</v>
      </c>
      <c r="L1366" s="8">
        <v>0</v>
      </c>
      <c r="M1366" s="8">
        <v>9</v>
      </c>
      <c r="N1366" s="8">
        <v>154</v>
      </c>
      <c r="O1366" s="11">
        <v>8.274660828710641E-05</v>
      </c>
      <c r="P1366" s="8" t="s">
        <v>700</v>
      </c>
      <c r="Q1366" s="8" t="s">
        <v>1124</v>
      </c>
      <c r="R1366" s="8">
        <v>42</v>
      </c>
      <c r="S1366" s="11">
        <v>66.99958626695856</v>
      </c>
      <c r="T1366" s="11">
        <v>0.06097560975609756</v>
      </c>
      <c r="U1366" s="11">
        <v>0.9390243902439024</v>
      </c>
      <c r="V1366" s="11">
        <v>9.939024390243903</v>
      </c>
      <c r="W1366" s="11">
        <v>153.0609756097561</v>
      </c>
      <c r="X1366" s="8" t="s">
        <v>1125</v>
      </c>
    </row>
    <row r="1367" spans="1:24" ht="25" customHeight="1">
      <c r="A1367" s="12">
        <v>3570</v>
      </c>
      <c r="B1367" s="8">
        <v>2</v>
      </c>
      <c r="C1367" s="8" t="s">
        <v>720</v>
      </c>
      <c r="D1367" s="8" t="s">
        <v>802</v>
      </c>
      <c r="E1367" s="8" t="s">
        <v>203</v>
      </c>
      <c r="F1367" s="8">
        <v>2</v>
      </c>
      <c r="G1367" s="8">
        <v>1</v>
      </c>
      <c r="H1367" s="11">
        <v>0.5</v>
      </c>
      <c r="I1367" s="11">
        <v>0.4390243902439024</v>
      </c>
      <c r="J1367" s="11">
        <v>1.138888888888889</v>
      </c>
      <c r="K1367" s="8">
        <v>1</v>
      </c>
      <c r="L1367" s="8">
        <v>1</v>
      </c>
      <c r="M1367" s="8">
        <v>71</v>
      </c>
      <c r="N1367" s="8">
        <v>91</v>
      </c>
      <c r="O1367" s="11">
        <v>0.8612121724370684</v>
      </c>
      <c r="P1367" s="8" t="s">
        <v>700</v>
      </c>
      <c r="Q1367" s="8" t="s">
        <v>1126</v>
      </c>
      <c r="R1367" s="8">
        <v>43</v>
      </c>
      <c r="S1367" s="11">
        <v>49.97171691559244</v>
      </c>
      <c r="T1367" s="11">
        <v>0.8780487804878049</v>
      </c>
      <c r="U1367" s="11">
        <v>1.121951219512195</v>
      </c>
      <c r="V1367" s="11">
        <v>71.1219512195122</v>
      </c>
      <c r="W1367" s="11">
        <v>90.8780487804878</v>
      </c>
      <c r="X1367" s="8" t="s">
        <v>1127</v>
      </c>
    </row>
    <row r="1368" spans="1:24" ht="25" customHeight="1">
      <c r="A1368" s="12">
        <v>3571</v>
      </c>
      <c r="B1368" s="8">
        <v>2</v>
      </c>
      <c r="C1368" s="8" t="s">
        <v>720</v>
      </c>
      <c r="D1368" s="8" t="s">
        <v>802</v>
      </c>
      <c r="E1368" s="8" t="s">
        <v>811</v>
      </c>
      <c r="F1368" s="8">
        <v>2</v>
      </c>
      <c r="G1368" s="8">
        <v>1</v>
      </c>
      <c r="H1368" s="11">
        <v>0.5</v>
      </c>
      <c r="I1368" s="11">
        <v>0.06097560975609756</v>
      </c>
      <c r="J1368" s="11">
        <v>8.200000000000001</v>
      </c>
      <c r="K1368" s="8">
        <v>1</v>
      </c>
      <c r="L1368" s="8">
        <v>1</v>
      </c>
      <c r="M1368" s="8">
        <v>9</v>
      </c>
      <c r="N1368" s="8">
        <v>153</v>
      </c>
      <c r="O1368" s="11">
        <v>0.009036572578603594</v>
      </c>
      <c r="P1368" s="8" t="s">
        <v>700</v>
      </c>
      <c r="Q1368" s="8" t="s">
        <v>1128</v>
      </c>
      <c r="R1368" s="8">
        <v>44</v>
      </c>
      <c r="S1368" s="11">
        <v>61.95481713710699</v>
      </c>
      <c r="T1368" s="11">
        <v>0.1219512195121951</v>
      </c>
      <c r="U1368" s="11">
        <v>1.878048780487805</v>
      </c>
      <c r="V1368" s="11">
        <v>9.878048780487806</v>
      </c>
      <c r="W1368" s="11">
        <v>152.1219512195122</v>
      </c>
      <c r="X1368" s="8" t="s">
        <v>1129</v>
      </c>
    </row>
    <row r="1369" spans="1:24" ht="25" customHeight="1">
      <c r="A1369" s="12">
        <v>3572</v>
      </c>
      <c r="B1369" s="8">
        <v>2</v>
      </c>
      <c r="C1369" s="8" t="s">
        <v>711</v>
      </c>
      <c r="D1369" s="8" t="s">
        <v>803</v>
      </c>
      <c r="E1369" s="8" t="s">
        <v>235</v>
      </c>
      <c r="F1369" s="8">
        <v>1</v>
      </c>
      <c r="G1369" s="8">
        <v>1</v>
      </c>
      <c r="H1369" s="8">
        <v>1</v>
      </c>
      <c r="I1369" s="11">
        <v>0.05487804878048781</v>
      </c>
      <c r="J1369" s="11">
        <v>18.22222222222222</v>
      </c>
      <c r="K1369" s="8">
        <v>1</v>
      </c>
      <c r="L1369" s="8">
        <v>0</v>
      </c>
      <c r="M1369" s="8">
        <v>8</v>
      </c>
      <c r="N1369" s="8">
        <v>155</v>
      </c>
      <c r="O1369" s="11">
        <v>3.145381152968994E-05</v>
      </c>
      <c r="P1369" s="8" t="s">
        <v>700</v>
      </c>
      <c r="Q1369" s="8" t="s">
        <v>1130</v>
      </c>
      <c r="R1369" s="8">
        <v>45</v>
      </c>
      <c r="S1369" s="11">
        <v>66.99984273094235</v>
      </c>
      <c r="T1369" s="11">
        <v>0.05487804878048781</v>
      </c>
      <c r="U1369" s="11">
        <v>0.9451219512195121</v>
      </c>
      <c r="V1369" s="11">
        <v>8.945121951219512</v>
      </c>
      <c r="W1369" s="11">
        <v>154.0548780487805</v>
      </c>
      <c r="X1369" s="8" t="s">
        <v>1131</v>
      </c>
    </row>
    <row r="1370" spans="1:24" ht="25" customHeight="1">
      <c r="A1370" s="12">
        <v>3573</v>
      </c>
      <c r="B1370" s="8">
        <v>2</v>
      </c>
      <c r="C1370" s="8" t="s">
        <v>716</v>
      </c>
      <c r="D1370" s="8" t="s">
        <v>1034</v>
      </c>
      <c r="E1370" s="8" t="s">
        <v>222</v>
      </c>
      <c r="F1370" s="8">
        <v>1</v>
      </c>
      <c r="G1370" s="8">
        <v>1</v>
      </c>
      <c r="H1370" s="8">
        <v>1</v>
      </c>
      <c r="I1370" s="11">
        <v>0.0426829268292683</v>
      </c>
      <c r="J1370" s="11">
        <v>23.42857142857143</v>
      </c>
      <c r="K1370" s="8">
        <v>1</v>
      </c>
      <c r="L1370" s="8">
        <v>0</v>
      </c>
      <c r="M1370" s="8">
        <v>6</v>
      </c>
      <c r="N1370" s="8">
        <v>157</v>
      </c>
      <c r="O1370" s="11">
        <v>2.030284222193764E-06</v>
      </c>
      <c r="P1370" s="8" t="s">
        <v>700</v>
      </c>
      <c r="Q1370" s="8" t="s">
        <v>1132</v>
      </c>
      <c r="R1370" s="8">
        <v>46</v>
      </c>
      <c r="S1370" s="11">
        <v>66.99998984857889</v>
      </c>
      <c r="T1370" s="11">
        <v>0.0426829268292683</v>
      </c>
      <c r="U1370" s="11">
        <v>0.9573170731707317</v>
      </c>
      <c r="V1370" s="11">
        <v>6.957317073170731</v>
      </c>
      <c r="W1370" s="11">
        <v>156.0426829268293</v>
      </c>
      <c r="X1370" s="8" t="s">
        <v>1133</v>
      </c>
    </row>
    <row r="1371" spans="1:24" ht="25" customHeight="1">
      <c r="A1371" s="12">
        <v>3574</v>
      </c>
      <c r="B1371" s="8">
        <v>2</v>
      </c>
      <c r="C1371" s="8" t="s">
        <v>720</v>
      </c>
      <c r="D1371" s="8" t="s">
        <v>120</v>
      </c>
      <c r="E1371" s="8" t="s">
        <v>235</v>
      </c>
      <c r="F1371" s="8">
        <v>6</v>
      </c>
      <c r="G1371" s="8">
        <v>1</v>
      </c>
      <c r="H1371" s="11">
        <v>0.1666666666666667</v>
      </c>
      <c r="I1371" s="11">
        <v>0.05487804878048781</v>
      </c>
      <c r="J1371" s="11">
        <v>3.037037037037037</v>
      </c>
      <c r="K1371" s="8">
        <v>1</v>
      </c>
      <c r="L1371" s="8">
        <v>5</v>
      </c>
      <c r="M1371" s="8">
        <v>8</v>
      </c>
      <c r="N1371" s="8">
        <v>150</v>
      </c>
      <c r="O1371" s="11">
        <v>0.2205887729145422</v>
      </c>
      <c r="P1371" s="8" t="s">
        <v>700</v>
      </c>
      <c r="Q1371" s="8" t="s">
        <v>1134</v>
      </c>
      <c r="R1371" s="8">
        <v>47</v>
      </c>
      <c r="S1371" s="11">
        <v>53.63779687616803</v>
      </c>
      <c r="T1371" s="11">
        <v>0.3292682926829268</v>
      </c>
      <c r="U1371" s="11">
        <v>5.670731707317073</v>
      </c>
      <c r="V1371" s="11">
        <v>8.670731707317072</v>
      </c>
      <c r="W1371" s="11">
        <v>149.3292682926829</v>
      </c>
      <c r="X1371" s="8" t="s">
        <v>1135</v>
      </c>
    </row>
    <row r="1372" spans="1:24" ht="25" customHeight="1">
      <c r="A1372" s="12">
        <v>3575</v>
      </c>
      <c r="B1372" s="8">
        <v>3</v>
      </c>
      <c r="C1372" s="8" t="s">
        <v>716</v>
      </c>
      <c r="D1372" s="8" t="s">
        <v>120</v>
      </c>
      <c r="E1372" s="8" t="s">
        <v>206</v>
      </c>
      <c r="F1372" s="8">
        <v>13</v>
      </c>
      <c r="G1372" s="8">
        <v>8</v>
      </c>
      <c r="H1372" s="11">
        <v>0.6153846153846154</v>
      </c>
      <c r="I1372" s="11">
        <v>0.3902439024390244</v>
      </c>
      <c r="J1372" s="11">
        <v>1.576923076923077</v>
      </c>
      <c r="K1372" s="8">
        <v>8</v>
      </c>
      <c r="L1372" s="8">
        <v>5</v>
      </c>
      <c r="M1372" s="8">
        <v>56</v>
      </c>
      <c r="N1372" s="8">
        <v>95</v>
      </c>
      <c r="O1372" s="11">
        <v>0.08287279897969441</v>
      </c>
      <c r="P1372" s="8" t="s">
        <v>744</v>
      </c>
      <c r="Q1372" s="8" t="s">
        <v>1136</v>
      </c>
      <c r="R1372" s="8">
        <v>48</v>
      </c>
      <c r="S1372" s="11">
        <v>109.8933283127938</v>
      </c>
      <c r="T1372" s="11">
        <v>5.073170731707317</v>
      </c>
      <c r="U1372" s="11">
        <v>7.926829268292683</v>
      </c>
      <c r="V1372" s="11">
        <v>58.92682926829269</v>
      </c>
      <c r="W1372" s="11">
        <v>92.07317073170732</v>
      </c>
      <c r="X1372" s="8" t="s">
        <v>1137</v>
      </c>
    </row>
    <row r="1373" spans="1:24" ht="25" customHeight="1">
      <c r="A1373" s="12">
        <v>3576</v>
      </c>
      <c r="B1373" s="8">
        <v>3</v>
      </c>
      <c r="C1373" s="8" t="s">
        <v>716</v>
      </c>
      <c r="D1373" s="8" t="s">
        <v>120</v>
      </c>
      <c r="E1373" s="8" t="s">
        <v>203</v>
      </c>
      <c r="F1373" s="8">
        <v>13</v>
      </c>
      <c r="G1373" s="8">
        <v>4</v>
      </c>
      <c r="H1373" s="11">
        <v>0.3076923076923077</v>
      </c>
      <c r="I1373" s="11">
        <v>0.4390243902439024</v>
      </c>
      <c r="J1373" s="11">
        <v>0.7008547008547009</v>
      </c>
      <c r="K1373" s="8">
        <v>4</v>
      </c>
      <c r="L1373" s="8">
        <v>9</v>
      </c>
      <c r="M1373" s="8">
        <v>68</v>
      </c>
      <c r="N1373" s="8">
        <v>83</v>
      </c>
      <c r="O1373" s="11">
        <v>0.3200298083127694</v>
      </c>
      <c r="P1373" s="8" t="s">
        <v>861</v>
      </c>
      <c r="Q1373" s="8" t="s">
        <v>1138</v>
      </c>
      <c r="R1373" s="8">
        <v>49</v>
      </c>
      <c r="S1373" s="11">
        <v>20.87848343706863</v>
      </c>
      <c r="T1373" s="11">
        <v>5.707317073170731</v>
      </c>
      <c r="U1373" s="11">
        <v>7.292682926829269</v>
      </c>
      <c r="V1373" s="11">
        <v>66.29268292682927</v>
      </c>
      <c r="W1373" s="11">
        <v>84.70731707317073</v>
      </c>
      <c r="X1373" s="8" t="s">
        <v>1139</v>
      </c>
    </row>
    <row r="1374" spans="1:24" ht="25" customHeight="1">
      <c r="A1374" s="12">
        <v>3577</v>
      </c>
      <c r="B1374" s="8">
        <v>3</v>
      </c>
      <c r="C1374" s="8" t="s">
        <v>706</v>
      </c>
      <c r="D1374" s="8" t="s">
        <v>842</v>
      </c>
      <c r="E1374" s="8" t="s">
        <v>206</v>
      </c>
      <c r="F1374" s="8">
        <v>1</v>
      </c>
      <c r="G1374" s="8">
        <v>1</v>
      </c>
      <c r="H1374" s="8">
        <v>1</v>
      </c>
      <c r="I1374" s="11">
        <v>0.3902439024390244</v>
      </c>
      <c r="J1374" s="11">
        <v>2.5625</v>
      </c>
      <c r="K1374" s="8">
        <v>1</v>
      </c>
      <c r="L1374" s="8">
        <v>0</v>
      </c>
      <c r="M1374" s="8">
        <v>63</v>
      </c>
      <c r="N1374" s="8">
        <v>100</v>
      </c>
      <c r="O1374" s="11">
        <v>0.2099043503995413</v>
      </c>
      <c r="P1374" s="8" t="s">
        <v>700</v>
      </c>
      <c r="Q1374" s="8" t="s">
        <v>1140</v>
      </c>
      <c r="R1374" s="8">
        <v>50</v>
      </c>
      <c r="S1374" s="11">
        <v>61.07547824800229</v>
      </c>
      <c r="T1374" s="11">
        <v>0.3902439024390244</v>
      </c>
      <c r="U1374" s="11">
        <v>0.6097560975609756</v>
      </c>
      <c r="V1374" s="11">
        <v>63.60975609756098</v>
      </c>
      <c r="W1374" s="11">
        <v>99.39024390243902</v>
      </c>
      <c r="X1374" s="8" t="s">
        <v>1141</v>
      </c>
    </row>
    <row r="1375" spans="1:24" ht="25" customHeight="1">
      <c r="A1375" s="12">
        <v>3578</v>
      </c>
      <c r="B1375" s="8">
        <v>3</v>
      </c>
      <c r="C1375" s="8" t="s">
        <v>720</v>
      </c>
      <c r="D1375" s="8" t="s">
        <v>123</v>
      </c>
      <c r="E1375" s="8" t="s">
        <v>206</v>
      </c>
      <c r="F1375" s="8">
        <v>1</v>
      </c>
      <c r="G1375" s="8">
        <v>1</v>
      </c>
      <c r="H1375" s="8">
        <v>1</v>
      </c>
      <c r="I1375" s="11">
        <v>0.3902439024390244</v>
      </c>
      <c r="J1375" s="11">
        <v>2.5625</v>
      </c>
      <c r="K1375" s="8">
        <v>1</v>
      </c>
      <c r="L1375" s="8">
        <v>0</v>
      </c>
      <c r="M1375" s="8">
        <v>63</v>
      </c>
      <c r="N1375" s="8">
        <v>100</v>
      </c>
      <c r="O1375" s="11">
        <v>0.2099043503995413</v>
      </c>
      <c r="P1375" s="8" t="s">
        <v>700</v>
      </c>
      <c r="Q1375" s="8" t="s">
        <v>1142</v>
      </c>
      <c r="R1375" s="8">
        <v>51</v>
      </c>
      <c r="S1375" s="11">
        <v>61.07547824800229</v>
      </c>
      <c r="T1375" s="11">
        <v>0.3902439024390244</v>
      </c>
      <c r="U1375" s="11">
        <v>0.6097560975609756</v>
      </c>
      <c r="V1375" s="11">
        <v>63.60975609756098</v>
      </c>
      <c r="W1375" s="11">
        <v>99.39024390243902</v>
      </c>
      <c r="X1375" s="8" t="s">
        <v>1143</v>
      </c>
    </row>
    <row r="1376" spans="1:24" ht="25" customHeight="1">
      <c r="A1376" s="12">
        <v>3579</v>
      </c>
      <c r="B1376" s="8">
        <v>3</v>
      </c>
      <c r="C1376" s="8" t="s">
        <v>711</v>
      </c>
      <c r="D1376" s="8" t="s">
        <v>877</v>
      </c>
      <c r="E1376" s="8" t="s">
        <v>235</v>
      </c>
      <c r="F1376" s="8">
        <v>1</v>
      </c>
      <c r="G1376" s="8">
        <v>1</v>
      </c>
      <c r="H1376" s="8">
        <v>1</v>
      </c>
      <c r="I1376" s="11">
        <v>0.05487804878048781</v>
      </c>
      <c r="J1376" s="11">
        <v>18.22222222222222</v>
      </c>
      <c r="K1376" s="8">
        <v>1</v>
      </c>
      <c r="L1376" s="8">
        <v>0</v>
      </c>
      <c r="M1376" s="8">
        <v>8</v>
      </c>
      <c r="N1376" s="8">
        <v>155</v>
      </c>
      <c r="O1376" s="11">
        <v>3.145381152968994E-05</v>
      </c>
      <c r="P1376" s="8" t="s">
        <v>700</v>
      </c>
      <c r="Q1376" s="8" t="s">
        <v>1144</v>
      </c>
      <c r="R1376" s="8">
        <v>52</v>
      </c>
      <c r="S1376" s="11">
        <v>66.99984273094235</v>
      </c>
      <c r="T1376" s="11">
        <v>0.05487804878048781</v>
      </c>
      <c r="U1376" s="11">
        <v>0.9451219512195121</v>
      </c>
      <c r="V1376" s="11">
        <v>8.945121951219512</v>
      </c>
      <c r="W1376" s="11">
        <v>154.0548780487805</v>
      </c>
      <c r="X1376" s="8" t="s">
        <v>1145</v>
      </c>
    </row>
    <row r="1377" spans="1:24" ht="25" customHeight="1">
      <c r="A1377" s="12">
        <v>3580</v>
      </c>
      <c r="B1377" s="8">
        <v>3</v>
      </c>
      <c r="C1377" s="8" t="s">
        <v>706</v>
      </c>
      <c r="D1377" s="8" t="s">
        <v>120</v>
      </c>
      <c r="E1377" s="8" t="s">
        <v>206</v>
      </c>
      <c r="F1377" s="8">
        <v>5</v>
      </c>
      <c r="G1377" s="8">
        <v>3</v>
      </c>
      <c r="H1377" s="11">
        <v>0.6</v>
      </c>
      <c r="I1377" s="11">
        <v>0.3902439024390244</v>
      </c>
      <c r="J1377" s="11">
        <v>1.5375</v>
      </c>
      <c r="K1377" s="8">
        <v>3</v>
      </c>
      <c r="L1377" s="8">
        <v>2</v>
      </c>
      <c r="M1377" s="8">
        <v>61</v>
      </c>
      <c r="N1377" s="8">
        <v>98</v>
      </c>
      <c r="O1377" s="11">
        <v>0.328811656085023</v>
      </c>
      <c r="P1377" s="8" t="s">
        <v>700</v>
      </c>
      <c r="Q1377" s="8" t="s">
        <v>1146</v>
      </c>
      <c r="R1377" s="8">
        <v>53</v>
      </c>
      <c r="S1377" s="11">
        <v>58.43094171957489</v>
      </c>
      <c r="T1377" s="11">
        <v>1.951219512195122</v>
      </c>
      <c r="U1377" s="11">
        <v>3.048780487804878</v>
      </c>
      <c r="V1377" s="11">
        <v>62.04878048780488</v>
      </c>
      <c r="W1377" s="11">
        <v>96.95121951219512</v>
      </c>
      <c r="X1377" s="8" t="s">
        <v>1147</v>
      </c>
    </row>
    <row r="1378" spans="1:24" ht="25" customHeight="1">
      <c r="A1378" s="12">
        <v>3581</v>
      </c>
      <c r="B1378" s="8">
        <v>3</v>
      </c>
      <c r="C1378" s="8" t="s">
        <v>711</v>
      </c>
      <c r="D1378" s="8" t="s">
        <v>120</v>
      </c>
      <c r="E1378" s="8" t="s">
        <v>206</v>
      </c>
      <c r="F1378" s="8">
        <v>11</v>
      </c>
      <c r="G1378" s="8">
        <v>9</v>
      </c>
      <c r="H1378" s="11">
        <v>0.8181818181818182</v>
      </c>
      <c r="I1378" s="11">
        <v>0.3902439024390244</v>
      </c>
      <c r="J1378" s="11">
        <v>2.096590909090909</v>
      </c>
      <c r="K1378" s="8">
        <v>9</v>
      </c>
      <c r="L1378" s="8">
        <v>2</v>
      </c>
      <c r="M1378" s="8">
        <v>55</v>
      </c>
      <c r="N1378" s="8">
        <v>98</v>
      </c>
      <c r="O1378" s="11">
        <v>0.002592231563941484</v>
      </c>
      <c r="P1378" s="8" t="s">
        <v>700</v>
      </c>
      <c r="Q1378" s="8" t="s">
        <v>1148</v>
      </c>
      <c r="R1378" s="8">
        <v>54</v>
      </c>
      <c r="S1378" s="11">
        <v>75.3620388421803</v>
      </c>
      <c r="T1378" s="11">
        <v>4.292682926829269</v>
      </c>
      <c r="U1378" s="11">
        <v>6.707317073170731</v>
      </c>
      <c r="V1378" s="11">
        <v>59.70731707317074</v>
      </c>
      <c r="W1378" s="11">
        <v>93.29268292682927</v>
      </c>
      <c r="X1378" s="8" t="s">
        <v>1149</v>
      </c>
    </row>
    <row r="1379" spans="1:24" ht="25" customHeight="1">
      <c r="A1379" s="12">
        <v>3582</v>
      </c>
      <c r="B1379" s="8">
        <v>3</v>
      </c>
      <c r="C1379" s="8" t="s">
        <v>711</v>
      </c>
      <c r="D1379" s="8" t="s">
        <v>120</v>
      </c>
      <c r="E1379" s="8" t="s">
        <v>203</v>
      </c>
      <c r="F1379" s="8">
        <v>11</v>
      </c>
      <c r="G1379" s="8">
        <v>1</v>
      </c>
      <c r="H1379" s="11">
        <v>0.09090909090909091</v>
      </c>
      <c r="I1379" s="11">
        <v>0.4390243902439024</v>
      </c>
      <c r="J1379" s="11">
        <v>0.2070707070707071</v>
      </c>
      <c r="K1379" s="8">
        <v>1</v>
      </c>
      <c r="L1379" s="8">
        <v>10</v>
      </c>
      <c r="M1379" s="8">
        <v>71</v>
      </c>
      <c r="N1379" s="8">
        <v>82</v>
      </c>
      <c r="O1379" s="11">
        <v>0.01601027034826099</v>
      </c>
      <c r="P1379" s="8" t="s">
        <v>700</v>
      </c>
      <c r="Q1379" s="8" t="s">
        <v>1150</v>
      </c>
      <c r="R1379" s="8">
        <v>55</v>
      </c>
      <c r="S1379" s="11">
        <v>48.24318097149101</v>
      </c>
      <c r="T1379" s="11">
        <v>4.829268292682927</v>
      </c>
      <c r="U1379" s="11">
        <v>6.170731707317073</v>
      </c>
      <c r="V1379" s="11">
        <v>67.17073170731707</v>
      </c>
      <c r="W1379" s="11">
        <v>85.82926829268293</v>
      </c>
      <c r="X1379" s="8" t="s">
        <v>1151</v>
      </c>
    </row>
    <row r="1380" spans="1:24" ht="25" customHeight="1">
      <c r="A1380" s="12">
        <v>3583</v>
      </c>
      <c r="B1380" s="8">
        <v>3</v>
      </c>
      <c r="C1380" s="8" t="s">
        <v>711</v>
      </c>
      <c r="D1380" s="8" t="s">
        <v>120</v>
      </c>
      <c r="E1380" s="8" t="s">
        <v>222</v>
      </c>
      <c r="F1380" s="8">
        <v>11</v>
      </c>
      <c r="G1380" s="8">
        <v>1</v>
      </c>
      <c r="H1380" s="11">
        <v>0.09090909090909091</v>
      </c>
      <c r="I1380" s="11">
        <v>0.0426829268292683</v>
      </c>
      <c r="J1380" s="11">
        <v>2.12987012987013</v>
      </c>
      <c r="K1380" s="8">
        <v>1</v>
      </c>
      <c r="L1380" s="8">
        <v>10</v>
      </c>
      <c r="M1380" s="8">
        <v>6</v>
      </c>
      <c r="N1380" s="8">
        <v>147</v>
      </c>
      <c r="O1380" s="11">
        <v>0.4126612008578265</v>
      </c>
      <c r="P1380" s="8" t="s">
        <v>700</v>
      </c>
      <c r="Q1380" s="8" t="s">
        <v>1152</v>
      </c>
      <c r="R1380" s="8">
        <v>56</v>
      </c>
      <c r="S1380" s="11">
        <v>50.10552516454204</v>
      </c>
      <c r="T1380" s="11">
        <v>0.4695121951219512</v>
      </c>
      <c r="U1380" s="11">
        <v>10.53048780487805</v>
      </c>
      <c r="V1380" s="11">
        <v>6.530487804878049</v>
      </c>
      <c r="W1380" s="11">
        <v>146.469512195122</v>
      </c>
      <c r="X1380" s="8" t="s">
        <v>1153</v>
      </c>
    </row>
    <row r="1381" spans="1:24" ht="25" customHeight="1">
      <c r="A1381" s="12">
        <v>3584</v>
      </c>
      <c r="B1381" s="8">
        <v>3</v>
      </c>
      <c r="C1381" s="8" t="s">
        <v>716</v>
      </c>
      <c r="D1381" s="8" t="s">
        <v>120</v>
      </c>
      <c r="E1381" s="8" t="s">
        <v>235</v>
      </c>
      <c r="F1381" s="8">
        <v>13</v>
      </c>
      <c r="G1381" s="8">
        <v>1</v>
      </c>
      <c r="H1381" s="11">
        <v>0.07692307692307693</v>
      </c>
      <c r="I1381" s="11">
        <v>0.05487804878048781</v>
      </c>
      <c r="J1381" s="11">
        <v>1.401709401709402</v>
      </c>
      <c r="K1381" s="8">
        <v>1</v>
      </c>
      <c r="L1381" s="8">
        <v>12</v>
      </c>
      <c r="M1381" s="8">
        <v>8</v>
      </c>
      <c r="N1381" s="8">
        <v>143</v>
      </c>
      <c r="O1381" s="11">
        <v>0.7160637633331051</v>
      </c>
      <c r="P1381" s="8" t="s">
        <v>700</v>
      </c>
      <c r="Q1381" s="8" t="s">
        <v>1154</v>
      </c>
      <c r="R1381" s="8">
        <v>57</v>
      </c>
      <c r="S1381" s="11">
        <v>46.99233075598404</v>
      </c>
      <c r="T1381" s="11">
        <v>0.7134146341463414</v>
      </c>
      <c r="U1381" s="11">
        <v>12.28658536585366</v>
      </c>
      <c r="V1381" s="11">
        <v>8.286585365853659</v>
      </c>
      <c r="W1381" s="11">
        <v>142.7134146341463</v>
      </c>
      <c r="X1381" s="8" t="s">
        <v>1155</v>
      </c>
    </row>
    <row r="1382" spans="1:24" ht="25" customHeight="1">
      <c r="A1382" s="12">
        <v>3585</v>
      </c>
      <c r="B1382" s="8">
        <v>3</v>
      </c>
      <c r="C1382" s="8" t="s">
        <v>720</v>
      </c>
      <c r="D1382" s="8" t="s">
        <v>120</v>
      </c>
      <c r="E1382" s="8" t="s">
        <v>206</v>
      </c>
      <c r="F1382" s="8">
        <v>5</v>
      </c>
      <c r="G1382" s="8">
        <v>2</v>
      </c>
      <c r="H1382" s="11">
        <v>0.4</v>
      </c>
      <c r="I1382" s="11">
        <v>0.3902439024390244</v>
      </c>
      <c r="J1382" s="11">
        <v>1.025</v>
      </c>
      <c r="K1382" s="8">
        <v>2</v>
      </c>
      <c r="L1382" s="8">
        <v>3</v>
      </c>
      <c r="M1382" s="8">
        <v>62</v>
      </c>
      <c r="N1382" s="8">
        <v>97</v>
      </c>
      <c r="O1382" s="11">
        <v>0.9637732708131105</v>
      </c>
      <c r="P1382" s="8" t="s">
        <v>700</v>
      </c>
      <c r="Q1382" s="8" t="s">
        <v>1156</v>
      </c>
      <c r="R1382" s="8">
        <v>58</v>
      </c>
      <c r="S1382" s="11">
        <v>50.23113364593444</v>
      </c>
      <c r="T1382" s="11">
        <v>1.951219512195122</v>
      </c>
      <c r="U1382" s="11">
        <v>3.048780487804878</v>
      </c>
      <c r="V1382" s="11">
        <v>62.04878048780488</v>
      </c>
      <c r="W1382" s="11">
        <v>96.95121951219512</v>
      </c>
      <c r="X1382" s="8" t="s">
        <v>1157</v>
      </c>
    </row>
    <row r="1383" spans="1:24" ht="25" customHeight="1">
      <c r="A1383" s="12">
        <v>3586</v>
      </c>
      <c r="B1383" s="8">
        <v>3</v>
      </c>
      <c r="C1383" s="8" t="s">
        <v>706</v>
      </c>
      <c r="D1383" s="8" t="s">
        <v>123</v>
      </c>
      <c r="E1383" s="8" t="s">
        <v>203</v>
      </c>
      <c r="F1383" s="8">
        <v>1</v>
      </c>
      <c r="G1383" s="8">
        <v>1</v>
      </c>
      <c r="H1383" s="8">
        <v>1</v>
      </c>
      <c r="I1383" s="11">
        <v>0.4390243902439024</v>
      </c>
      <c r="J1383" s="11">
        <v>2.277777777777778</v>
      </c>
      <c r="K1383" s="8">
        <v>1</v>
      </c>
      <c r="L1383" s="8">
        <v>0</v>
      </c>
      <c r="M1383" s="8">
        <v>71</v>
      </c>
      <c r="N1383" s="8">
        <v>92</v>
      </c>
      <c r="O1383" s="11">
        <v>0.2568572731610193</v>
      </c>
      <c r="P1383" s="8" t="s">
        <v>700</v>
      </c>
      <c r="Q1383" s="8" t="s">
        <v>1158</v>
      </c>
      <c r="R1383" s="8">
        <v>59</v>
      </c>
      <c r="S1383" s="11">
        <v>60.27126918975046</v>
      </c>
      <c r="T1383" s="11">
        <v>0.4390243902439024</v>
      </c>
      <c r="U1383" s="11">
        <v>0.5609756097560976</v>
      </c>
      <c r="V1383" s="11">
        <v>71.5609756097561</v>
      </c>
      <c r="W1383" s="11">
        <v>91.4390243902439</v>
      </c>
      <c r="X1383" s="8" t="s">
        <v>1159</v>
      </c>
    </row>
    <row r="1384" spans="1:24" ht="25" customHeight="1">
      <c r="A1384" s="12">
        <v>3587</v>
      </c>
      <c r="B1384" s="8">
        <v>3</v>
      </c>
      <c r="C1384" s="8" t="s">
        <v>706</v>
      </c>
      <c r="D1384" s="8" t="s">
        <v>120</v>
      </c>
      <c r="E1384" s="8" t="s">
        <v>203</v>
      </c>
      <c r="F1384" s="8">
        <v>5</v>
      </c>
      <c r="G1384" s="8">
        <v>2</v>
      </c>
      <c r="H1384" s="11">
        <v>0.4</v>
      </c>
      <c r="I1384" s="11">
        <v>0.4390243902439024</v>
      </c>
      <c r="J1384" s="11">
        <v>0.9111111111111112</v>
      </c>
      <c r="K1384" s="8">
        <v>2</v>
      </c>
      <c r="L1384" s="8">
        <v>3</v>
      </c>
      <c r="M1384" s="8">
        <v>70</v>
      </c>
      <c r="N1384" s="8">
        <v>89</v>
      </c>
      <c r="O1384" s="11">
        <v>0.8582689987582992</v>
      </c>
      <c r="P1384" s="8" t="s">
        <v>700</v>
      </c>
      <c r="Q1384" s="8" t="s">
        <v>1160</v>
      </c>
      <c r="R1384" s="8">
        <v>60</v>
      </c>
      <c r="S1384" s="11">
        <v>50.53087722843073</v>
      </c>
      <c r="T1384" s="11">
        <v>2.195121951219512</v>
      </c>
      <c r="U1384" s="11">
        <v>2.804878048780488</v>
      </c>
      <c r="V1384" s="11">
        <v>69.80487804878049</v>
      </c>
      <c r="W1384" s="11">
        <v>89.19512195121951</v>
      </c>
      <c r="X1384" s="8" t="s">
        <v>1161</v>
      </c>
    </row>
    <row r="1385" spans="1:24" ht="25" customHeight="1">
      <c r="A1385" s="12">
        <v>3588</v>
      </c>
      <c r="B1385" s="8">
        <v>3</v>
      </c>
      <c r="C1385" s="8" t="s">
        <v>720</v>
      </c>
      <c r="D1385" s="8" t="s">
        <v>175</v>
      </c>
      <c r="E1385" s="8" t="s">
        <v>206</v>
      </c>
      <c r="F1385" s="8">
        <v>2</v>
      </c>
      <c r="G1385" s="8">
        <v>2</v>
      </c>
      <c r="H1385" s="8">
        <v>1</v>
      </c>
      <c r="I1385" s="11">
        <v>0.3902439024390244</v>
      </c>
      <c r="J1385" s="11">
        <v>2.5625</v>
      </c>
      <c r="K1385" s="8">
        <v>2</v>
      </c>
      <c r="L1385" s="8">
        <v>0</v>
      </c>
      <c r="M1385" s="8">
        <v>62</v>
      </c>
      <c r="N1385" s="8">
        <v>100</v>
      </c>
      <c r="O1385" s="11">
        <v>0.07529787958159315</v>
      </c>
      <c r="P1385" s="8" t="s">
        <v>700</v>
      </c>
      <c r="Q1385" s="8" t="s">
        <v>1162</v>
      </c>
      <c r="R1385" s="8">
        <v>61</v>
      </c>
      <c r="S1385" s="11">
        <v>63.74851060209203</v>
      </c>
      <c r="T1385" s="11">
        <v>0.7804878048780488</v>
      </c>
      <c r="U1385" s="11">
        <v>1.219512195121951</v>
      </c>
      <c r="V1385" s="11">
        <v>63.21951219512195</v>
      </c>
      <c r="W1385" s="11">
        <v>98.78048780487805</v>
      </c>
      <c r="X1385" s="8" t="s">
        <v>1163</v>
      </c>
    </row>
    <row r="1386" spans="1:24" ht="25" customHeight="1">
      <c r="A1386" s="12">
        <v>3589</v>
      </c>
      <c r="B1386" s="8">
        <v>3</v>
      </c>
      <c r="C1386" s="8" t="s">
        <v>720</v>
      </c>
      <c r="D1386" s="8" t="s">
        <v>120</v>
      </c>
      <c r="E1386" s="8" t="s">
        <v>203</v>
      </c>
      <c r="F1386" s="8">
        <v>5</v>
      </c>
      <c r="G1386" s="8">
        <v>2</v>
      </c>
      <c r="H1386" s="11">
        <v>0.4</v>
      </c>
      <c r="I1386" s="11">
        <v>0.4390243902439024</v>
      </c>
      <c r="J1386" s="11">
        <v>0.9111111111111112</v>
      </c>
      <c r="K1386" s="8">
        <v>2</v>
      </c>
      <c r="L1386" s="8">
        <v>3</v>
      </c>
      <c r="M1386" s="8">
        <v>70</v>
      </c>
      <c r="N1386" s="8">
        <v>89</v>
      </c>
      <c r="O1386" s="11">
        <v>0.8582689987582992</v>
      </c>
      <c r="P1386" s="8" t="s">
        <v>700</v>
      </c>
      <c r="Q1386" s="8" t="s">
        <v>1164</v>
      </c>
      <c r="R1386" s="8">
        <v>62</v>
      </c>
      <c r="S1386" s="11">
        <v>50.53087722843073</v>
      </c>
      <c r="T1386" s="11">
        <v>2.195121951219512</v>
      </c>
      <c r="U1386" s="11">
        <v>2.804878048780488</v>
      </c>
      <c r="V1386" s="11">
        <v>69.80487804878049</v>
      </c>
      <c r="W1386" s="11">
        <v>89.19512195121951</v>
      </c>
      <c r="X1386" s="8" t="s">
        <v>1165</v>
      </c>
    </row>
    <row r="1387" spans="1:24" ht="25" customHeight="1">
      <c r="A1387" s="12">
        <v>3590</v>
      </c>
      <c r="B1387" s="8">
        <v>3</v>
      </c>
      <c r="C1387" s="8" t="s">
        <v>720</v>
      </c>
      <c r="D1387" s="8" t="s">
        <v>120</v>
      </c>
      <c r="E1387" s="8" t="s">
        <v>235</v>
      </c>
      <c r="F1387" s="8">
        <v>5</v>
      </c>
      <c r="G1387" s="8">
        <v>1</v>
      </c>
      <c r="H1387" s="11">
        <v>0.2</v>
      </c>
      <c r="I1387" s="11">
        <v>0.05487804878048781</v>
      </c>
      <c r="J1387" s="11">
        <v>3.644444444444445</v>
      </c>
      <c r="K1387" s="8">
        <v>1</v>
      </c>
      <c r="L1387" s="8">
        <v>4</v>
      </c>
      <c r="M1387" s="8">
        <v>8</v>
      </c>
      <c r="N1387" s="8">
        <v>151</v>
      </c>
      <c r="O1387" s="11">
        <v>0.1478692224519927</v>
      </c>
      <c r="P1387" s="8" t="s">
        <v>700</v>
      </c>
      <c r="Q1387" s="8" t="s">
        <v>1166</v>
      </c>
      <c r="R1387" s="8">
        <v>63</v>
      </c>
      <c r="S1387" s="11">
        <v>55.54954277662893</v>
      </c>
      <c r="T1387" s="11">
        <v>0.274390243902439</v>
      </c>
      <c r="U1387" s="11">
        <v>4.725609756097561</v>
      </c>
      <c r="V1387" s="11">
        <v>8.725609756097562</v>
      </c>
      <c r="W1387" s="11">
        <v>150.2743902439024</v>
      </c>
      <c r="X1387" s="8" t="s">
        <v>1167</v>
      </c>
    </row>
    <row r="1388" spans="1:24" ht="25" customHeight="1">
      <c r="A1388" s="12">
        <v>3591</v>
      </c>
      <c r="B1388" s="8">
        <v>3</v>
      </c>
      <c r="C1388" s="8" t="s">
        <v>716</v>
      </c>
      <c r="D1388" s="8" t="s">
        <v>123</v>
      </c>
      <c r="E1388" s="8" t="s">
        <v>206</v>
      </c>
      <c r="F1388" s="8">
        <v>1</v>
      </c>
      <c r="G1388" s="8">
        <v>1</v>
      </c>
      <c r="H1388" s="8">
        <v>1</v>
      </c>
      <c r="I1388" s="11">
        <v>0.3902439024390244</v>
      </c>
      <c r="J1388" s="11">
        <v>2.5625</v>
      </c>
      <c r="K1388" s="8">
        <v>1</v>
      </c>
      <c r="L1388" s="8">
        <v>0</v>
      </c>
      <c r="M1388" s="8">
        <v>63</v>
      </c>
      <c r="N1388" s="8">
        <v>100</v>
      </c>
      <c r="O1388" s="11">
        <v>0.2099043503995413</v>
      </c>
      <c r="P1388" s="8" t="s">
        <v>700</v>
      </c>
      <c r="Q1388" s="8" t="s">
        <v>1168</v>
      </c>
      <c r="R1388" s="8">
        <v>64</v>
      </c>
      <c r="S1388" s="11">
        <v>61.07547824800229</v>
      </c>
      <c r="T1388" s="11">
        <v>0.3902439024390244</v>
      </c>
      <c r="U1388" s="11">
        <v>0.6097560975609756</v>
      </c>
      <c r="V1388" s="11">
        <v>63.60975609756098</v>
      </c>
      <c r="W1388" s="11">
        <v>99.39024390243902</v>
      </c>
      <c r="X1388" s="8" t="s">
        <v>1169</v>
      </c>
    </row>
    <row r="1389" spans="1:24" ht="25" customHeight="1">
      <c r="A1389" s="12">
        <v>3592</v>
      </c>
      <c r="B1389" s="8">
        <v>3</v>
      </c>
      <c r="C1389" s="8" t="s">
        <v>706</v>
      </c>
      <c r="D1389" s="8" t="s">
        <v>1034</v>
      </c>
      <c r="E1389" s="8" t="s">
        <v>1170</v>
      </c>
      <c r="F1389" s="8">
        <v>1</v>
      </c>
      <c r="G1389" s="8">
        <v>1</v>
      </c>
      <c r="H1389" s="8">
        <v>1</v>
      </c>
      <c r="I1389" s="11">
        <v>0.01219512195121951</v>
      </c>
      <c r="J1389" s="8">
        <v>82</v>
      </c>
      <c r="K1389" s="8">
        <v>1</v>
      </c>
      <c r="L1389" s="8">
        <v>0</v>
      </c>
      <c r="M1389" s="8">
        <v>1</v>
      </c>
      <c r="N1389" s="8">
        <v>162</v>
      </c>
      <c r="O1389" s="11">
        <v>1.755338098826736E-19</v>
      </c>
      <c r="P1389" s="8" t="s">
        <v>700</v>
      </c>
      <c r="Q1389" s="8" t="s">
        <v>1171</v>
      </c>
      <c r="R1389" s="8">
        <v>65</v>
      </c>
      <c r="S1389" s="8">
        <v>67</v>
      </c>
      <c r="T1389" s="11">
        <v>0.01219512195121951</v>
      </c>
      <c r="U1389" s="11">
        <v>0.9878048780487805</v>
      </c>
      <c r="V1389" s="11">
        <v>1.98780487804878</v>
      </c>
      <c r="W1389" s="11">
        <v>161.0121951219512</v>
      </c>
      <c r="X1389" s="8" t="s">
        <v>1172</v>
      </c>
    </row>
    <row r="1390" spans="1:24" ht="25" customHeight="1">
      <c r="A1390" s="12">
        <v>3593</v>
      </c>
      <c r="B1390" s="8">
        <v>4</v>
      </c>
      <c r="C1390" s="8" t="s">
        <v>706</v>
      </c>
      <c r="D1390" s="8" t="s">
        <v>1037</v>
      </c>
      <c r="E1390" s="8" t="s">
        <v>1170</v>
      </c>
      <c r="F1390" s="8">
        <v>1</v>
      </c>
      <c r="G1390" s="8">
        <v>1</v>
      </c>
      <c r="H1390" s="8">
        <v>1</v>
      </c>
      <c r="I1390" s="11">
        <v>0.01219512195121951</v>
      </c>
      <c r="J1390" s="8">
        <v>82</v>
      </c>
      <c r="K1390" s="8">
        <v>1</v>
      </c>
      <c r="L1390" s="8">
        <v>0</v>
      </c>
      <c r="M1390" s="8">
        <v>1</v>
      </c>
      <c r="N1390" s="8">
        <v>162</v>
      </c>
      <c r="O1390" s="11">
        <v>1.755338098826736E-19</v>
      </c>
      <c r="P1390" s="8" t="s">
        <v>700</v>
      </c>
      <c r="Q1390" s="8" t="s">
        <v>1173</v>
      </c>
      <c r="R1390" s="8">
        <v>66</v>
      </c>
      <c r="S1390" s="8">
        <v>67</v>
      </c>
      <c r="T1390" s="11">
        <v>0.01219512195121951</v>
      </c>
      <c r="U1390" s="11">
        <v>0.9878048780487805</v>
      </c>
      <c r="V1390" s="11">
        <v>1.98780487804878</v>
      </c>
      <c r="W1390" s="11">
        <v>161.0121951219512</v>
      </c>
      <c r="X1390" s="8" t="s">
        <v>1040</v>
      </c>
    </row>
    <row r="1391" spans="1:24" ht="25" customHeight="1">
      <c r="A1391" s="12">
        <v>3594</v>
      </c>
      <c r="B1391" s="8">
        <v>4</v>
      </c>
      <c r="C1391" s="8" t="s">
        <v>706</v>
      </c>
      <c r="D1391" s="8" t="s">
        <v>802</v>
      </c>
      <c r="E1391" s="8" t="s">
        <v>811</v>
      </c>
      <c r="F1391" s="8">
        <v>1</v>
      </c>
      <c r="G1391" s="8">
        <v>1</v>
      </c>
      <c r="H1391" s="8">
        <v>1</v>
      </c>
      <c r="I1391" s="11">
        <v>0.06097560975609756</v>
      </c>
      <c r="J1391" s="11">
        <v>16.4</v>
      </c>
      <c r="K1391" s="8">
        <v>1</v>
      </c>
      <c r="L1391" s="8">
        <v>0</v>
      </c>
      <c r="M1391" s="8">
        <v>9</v>
      </c>
      <c r="N1391" s="8">
        <v>154</v>
      </c>
      <c r="O1391" s="11">
        <v>8.274660828710641E-05</v>
      </c>
      <c r="P1391" s="8" t="s">
        <v>700</v>
      </c>
      <c r="Q1391" s="8" t="s">
        <v>1174</v>
      </c>
      <c r="R1391" s="8">
        <v>67</v>
      </c>
      <c r="S1391" s="11">
        <v>66.99958626695856</v>
      </c>
      <c r="T1391" s="11">
        <v>0.06097560975609756</v>
      </c>
      <c r="U1391" s="11">
        <v>0.9390243902439024</v>
      </c>
      <c r="V1391" s="11">
        <v>9.939024390243903</v>
      </c>
      <c r="W1391" s="11">
        <v>153.0609756097561</v>
      </c>
      <c r="X1391" s="8" t="s">
        <v>1175</v>
      </c>
    </row>
    <row r="1392" spans="1:24" ht="25" customHeight="1">
      <c r="A1392" s="12">
        <v>4529</v>
      </c>
      <c r="B1392" s="8" t="s">
        <v>1176</v>
      </c>
    </row>
    <row r="1393" spans="1:24" ht="25" customHeight="1">
      <c r="A1393" s="12">
        <v>4530</v>
      </c>
      <c r="B1393" s="8" t="s">
        <v>687</v>
      </c>
      <c r="C1393" s="8" t="s">
        <v>688</v>
      </c>
      <c r="D1393" s="8" t="s">
        <v>810</v>
      </c>
      <c r="E1393" s="8" t="s">
        <v>781</v>
      </c>
      <c r="F1393" s="8" t="s">
        <v>826</v>
      </c>
      <c r="G1393" s="8" t="s">
        <v>827</v>
      </c>
      <c r="H1393" s="8" t="s">
        <v>828</v>
      </c>
      <c r="I1393" s="8" t="s">
        <v>829</v>
      </c>
      <c r="J1393" s="8" t="s">
        <v>691</v>
      </c>
      <c r="K1393" s="8" t="s">
        <v>830</v>
      </c>
      <c r="L1393" s="8" t="s">
        <v>831</v>
      </c>
      <c r="M1393" s="8" t="s">
        <v>832</v>
      </c>
      <c r="N1393" s="8" t="s">
        <v>833</v>
      </c>
      <c r="O1393" s="8" t="s">
        <v>692</v>
      </c>
      <c r="P1393" s="8" t="s">
        <v>834</v>
      </c>
      <c r="Q1393" s="8" t="s">
        <v>697</v>
      </c>
      <c r="R1393" s="8" t="s">
        <v>835</v>
      </c>
      <c r="S1393" s="8" t="s">
        <v>836</v>
      </c>
      <c r="T1393" s="8" t="s">
        <v>837</v>
      </c>
      <c r="U1393" s="8" t="s">
        <v>838</v>
      </c>
      <c r="V1393" s="8" t="s">
        <v>839</v>
      </c>
      <c r="W1393" s="8" t="s">
        <v>840</v>
      </c>
      <c r="X1393" s="8" t="s">
        <v>841</v>
      </c>
    </row>
    <row r="1394" spans="1:24" ht="25" customHeight="1">
      <c r="A1394" s="12">
        <v>4531</v>
      </c>
      <c r="B1394" s="8">
        <v>0</v>
      </c>
      <c r="C1394" s="8" t="s">
        <v>115</v>
      </c>
      <c r="D1394" s="8" t="s">
        <v>235</v>
      </c>
      <c r="E1394" s="8" t="s">
        <v>449</v>
      </c>
      <c r="F1394" s="8">
        <v>2</v>
      </c>
      <c r="G1394" s="8">
        <v>1</v>
      </c>
      <c r="H1394" s="11">
        <v>0.5</v>
      </c>
      <c r="I1394" s="11">
        <v>0.1875</v>
      </c>
      <c r="J1394" s="11">
        <v>2.666666666666667</v>
      </c>
      <c r="K1394" s="8">
        <v>1</v>
      </c>
      <c r="L1394" s="8">
        <v>1</v>
      </c>
      <c r="M1394" s="8">
        <v>29</v>
      </c>
      <c r="N1394" s="8">
        <v>129</v>
      </c>
      <c r="O1394" s="11">
        <v>0.2545276809127801</v>
      </c>
      <c r="P1394" s="8" t="s">
        <v>700</v>
      </c>
      <c r="Q1394" s="8" t="s">
        <v>1177</v>
      </c>
      <c r="R1394" s="8">
        <v>1</v>
      </c>
      <c r="S1394" s="11">
        <v>56.06069492876944</v>
      </c>
      <c r="T1394" s="11">
        <v>0.375</v>
      </c>
      <c r="U1394" s="11">
        <v>1.625</v>
      </c>
      <c r="V1394" s="11">
        <v>29.625</v>
      </c>
      <c r="W1394" s="11">
        <v>128.375</v>
      </c>
      <c r="X1394" s="8" t="s">
        <v>1178</v>
      </c>
    </row>
    <row r="1395" spans="1:24" ht="25" customHeight="1">
      <c r="A1395" s="12">
        <v>4532</v>
      </c>
      <c r="B1395" s="8">
        <v>0</v>
      </c>
      <c r="C1395" s="8" t="s">
        <v>115</v>
      </c>
      <c r="D1395" s="8" t="s">
        <v>203</v>
      </c>
      <c r="E1395" s="8" t="s">
        <v>465</v>
      </c>
      <c r="F1395" s="8">
        <v>19</v>
      </c>
      <c r="G1395" s="8">
        <v>4</v>
      </c>
      <c r="H1395" s="11">
        <v>0.2105263157894737</v>
      </c>
      <c r="I1395" s="11">
        <v>0.16875</v>
      </c>
      <c r="J1395" s="11">
        <v>1.247563352826511</v>
      </c>
      <c r="K1395" s="8">
        <v>4</v>
      </c>
      <c r="L1395" s="8">
        <v>15</v>
      </c>
      <c r="M1395" s="8">
        <v>23</v>
      </c>
      <c r="N1395" s="8">
        <v>118</v>
      </c>
      <c r="O1395" s="11">
        <v>0.6045082867772562</v>
      </c>
      <c r="P1395" s="8" t="s">
        <v>700</v>
      </c>
      <c r="Q1395" s="8" t="s">
        <v>1179</v>
      </c>
      <c r="R1395" s="8">
        <v>2</v>
      </c>
      <c r="S1395" s="11">
        <v>54.57784842966148</v>
      </c>
      <c r="T1395" s="11">
        <v>3.20625</v>
      </c>
      <c r="U1395" s="11">
        <v>15.79375</v>
      </c>
      <c r="V1395" s="11">
        <v>23.79375</v>
      </c>
      <c r="W1395" s="11">
        <v>117.20625</v>
      </c>
      <c r="X1395" s="8" t="s">
        <v>1180</v>
      </c>
    </row>
    <row r="1396" spans="1:24" ht="25" customHeight="1">
      <c r="A1396" s="12">
        <v>4533</v>
      </c>
      <c r="B1396" s="8">
        <v>0</v>
      </c>
      <c r="C1396" s="8" t="s">
        <v>115</v>
      </c>
      <c r="D1396" s="8" t="s">
        <v>203</v>
      </c>
      <c r="E1396" s="8" t="s">
        <v>449</v>
      </c>
      <c r="F1396" s="8">
        <v>19</v>
      </c>
      <c r="G1396" s="8">
        <v>1</v>
      </c>
      <c r="H1396" s="11">
        <v>0.05263157894736842</v>
      </c>
      <c r="I1396" s="11">
        <v>0.1875</v>
      </c>
      <c r="J1396" s="11">
        <v>0.2807017543859649</v>
      </c>
      <c r="K1396" s="8">
        <v>1</v>
      </c>
      <c r="L1396" s="8">
        <v>18</v>
      </c>
      <c r="M1396" s="8">
        <v>29</v>
      </c>
      <c r="N1396" s="8">
        <v>112</v>
      </c>
      <c r="O1396" s="11">
        <v>0.1086157109266081</v>
      </c>
      <c r="P1396" s="8" t="s">
        <v>700</v>
      </c>
      <c r="Q1396" s="8" t="s">
        <v>1181</v>
      </c>
      <c r="R1396" s="8">
        <v>3</v>
      </c>
      <c r="S1396" s="11">
        <v>47.54464074361258</v>
      </c>
      <c r="T1396" s="11">
        <v>3.5625</v>
      </c>
      <c r="U1396" s="11">
        <v>15.4375</v>
      </c>
      <c r="V1396" s="11">
        <v>26.4375</v>
      </c>
      <c r="W1396" s="11">
        <v>114.5625</v>
      </c>
      <c r="X1396" s="8" t="s">
        <v>1182</v>
      </c>
    </row>
    <row r="1397" spans="1:24" ht="25" customHeight="1">
      <c r="A1397" s="12">
        <v>4534</v>
      </c>
      <c r="B1397" s="8">
        <v>0</v>
      </c>
      <c r="C1397" s="8" t="s">
        <v>115</v>
      </c>
      <c r="D1397" s="8" t="s">
        <v>203</v>
      </c>
      <c r="E1397" s="8" t="s">
        <v>471</v>
      </c>
      <c r="F1397" s="8">
        <v>19</v>
      </c>
      <c r="G1397" s="8">
        <v>1</v>
      </c>
      <c r="H1397" s="11">
        <v>0.05263157894736842</v>
      </c>
      <c r="I1397" s="11">
        <v>0.0125</v>
      </c>
      <c r="J1397" s="11">
        <v>4.210526315789473</v>
      </c>
      <c r="K1397" s="8">
        <v>1</v>
      </c>
      <c r="L1397" s="8">
        <v>18</v>
      </c>
      <c r="M1397" s="8">
        <v>1</v>
      </c>
      <c r="N1397" s="8">
        <v>140</v>
      </c>
      <c r="O1397" s="11">
        <v>0.09349955149414263</v>
      </c>
      <c r="P1397" s="8" t="s">
        <v>700</v>
      </c>
      <c r="Q1397" s="8" t="s">
        <v>1183</v>
      </c>
      <c r="R1397" s="8">
        <v>4</v>
      </c>
      <c r="S1397" s="11">
        <v>55.47987066358192</v>
      </c>
      <c r="T1397" s="11">
        <v>0.2375</v>
      </c>
      <c r="U1397" s="11">
        <v>18.7625</v>
      </c>
      <c r="V1397" s="11">
        <v>1.7625</v>
      </c>
      <c r="W1397" s="11">
        <v>139.2375</v>
      </c>
      <c r="X1397" s="8" t="s">
        <v>1184</v>
      </c>
    </row>
    <row r="1398" spans="1:24" ht="25" customHeight="1">
      <c r="A1398" s="12">
        <v>4535</v>
      </c>
      <c r="B1398" s="8">
        <v>0</v>
      </c>
      <c r="C1398" s="8" t="s">
        <v>115</v>
      </c>
      <c r="D1398" s="8" t="s">
        <v>203</v>
      </c>
      <c r="E1398" s="8" t="s">
        <v>468</v>
      </c>
      <c r="F1398" s="8">
        <v>19</v>
      </c>
      <c r="G1398" s="8">
        <v>1</v>
      </c>
      <c r="H1398" s="11">
        <v>0.05263157894736842</v>
      </c>
      <c r="I1398" s="11">
        <v>0.05</v>
      </c>
      <c r="J1398" s="11">
        <v>1.052631578947368</v>
      </c>
      <c r="K1398" s="8">
        <v>1</v>
      </c>
      <c r="L1398" s="8">
        <v>18</v>
      </c>
      <c r="M1398" s="8">
        <v>7</v>
      </c>
      <c r="N1398" s="8">
        <v>134</v>
      </c>
      <c r="O1398" s="11">
        <v>0.9552895110334721</v>
      </c>
      <c r="P1398" s="8" t="s">
        <v>700</v>
      </c>
      <c r="Q1398" s="8" t="s">
        <v>1185</v>
      </c>
      <c r="R1398" s="8">
        <v>5</v>
      </c>
      <c r="S1398" s="11">
        <v>44.85513139220107</v>
      </c>
      <c r="T1398" s="11">
        <v>0.95</v>
      </c>
      <c r="U1398" s="11">
        <v>18.05</v>
      </c>
      <c r="V1398" s="11">
        <v>7.05</v>
      </c>
      <c r="W1398" s="11">
        <v>133.95</v>
      </c>
      <c r="X1398" s="8" t="s">
        <v>1186</v>
      </c>
    </row>
    <row r="1399" spans="1:24" ht="25" customHeight="1">
      <c r="A1399" s="12">
        <v>4536</v>
      </c>
      <c r="B1399" s="8">
        <v>0</v>
      </c>
      <c r="C1399" s="8" t="s">
        <v>115</v>
      </c>
      <c r="D1399" s="8" t="s">
        <v>203</v>
      </c>
      <c r="E1399" s="8" t="s">
        <v>611</v>
      </c>
      <c r="F1399" s="8">
        <v>19</v>
      </c>
      <c r="G1399" s="8">
        <v>1</v>
      </c>
      <c r="H1399" s="11">
        <v>0.05263157894736842</v>
      </c>
      <c r="I1399" s="11">
        <v>0.01875</v>
      </c>
      <c r="J1399" s="11">
        <v>2.807017543859649</v>
      </c>
      <c r="K1399" s="8">
        <v>1</v>
      </c>
      <c r="L1399" s="8">
        <v>18</v>
      </c>
      <c r="M1399" s="8">
        <v>2</v>
      </c>
      <c r="N1399" s="8">
        <v>139</v>
      </c>
      <c r="O1399" s="11">
        <v>0.24611142838439</v>
      </c>
      <c r="P1399" s="8" t="s">
        <v>700</v>
      </c>
      <c r="Q1399" s="8" t="s">
        <v>1187</v>
      </c>
      <c r="R1399" s="8">
        <v>6</v>
      </c>
      <c r="S1399" s="11">
        <v>51.90979373527104</v>
      </c>
      <c r="T1399" s="11">
        <v>0.35625</v>
      </c>
      <c r="U1399" s="11">
        <v>18.64375</v>
      </c>
      <c r="V1399" s="11">
        <v>2.64375</v>
      </c>
      <c r="W1399" s="11">
        <v>138.35625</v>
      </c>
      <c r="X1399" s="8" t="s">
        <v>1188</v>
      </c>
    </row>
    <row r="1400" spans="1:24" ht="25" customHeight="1">
      <c r="A1400" s="12">
        <v>4537</v>
      </c>
      <c r="B1400" s="8">
        <v>0</v>
      </c>
      <c r="C1400" s="8" t="s">
        <v>115</v>
      </c>
      <c r="D1400" s="8" t="s">
        <v>203</v>
      </c>
      <c r="E1400" s="8" t="s">
        <v>541</v>
      </c>
      <c r="F1400" s="8">
        <v>19</v>
      </c>
      <c r="G1400" s="8">
        <v>1</v>
      </c>
      <c r="H1400" s="11">
        <v>0.05263157894736842</v>
      </c>
      <c r="I1400" s="11">
        <v>0.025</v>
      </c>
      <c r="J1400" s="11">
        <v>2.105263157894737</v>
      </c>
      <c r="K1400" s="8">
        <v>1</v>
      </c>
      <c r="L1400" s="8">
        <v>18</v>
      </c>
      <c r="M1400" s="8">
        <v>3</v>
      </c>
      <c r="N1400" s="8">
        <v>138</v>
      </c>
      <c r="O1400" s="11">
        <v>0.4111966700238188</v>
      </c>
      <c r="P1400" s="8" t="s">
        <v>700</v>
      </c>
      <c r="Q1400" s="8" t="s">
        <v>1189</v>
      </c>
      <c r="R1400" s="8">
        <v>7</v>
      </c>
      <c r="S1400" s="11">
        <v>49.68085875514407</v>
      </c>
      <c r="T1400" s="11">
        <v>0.475</v>
      </c>
      <c r="U1400" s="11">
        <v>18.525</v>
      </c>
      <c r="V1400" s="11">
        <v>3.525</v>
      </c>
      <c r="W1400" s="11">
        <v>137.475</v>
      </c>
      <c r="X1400" s="8" t="s">
        <v>1190</v>
      </c>
    </row>
    <row r="1401" spans="1:24" ht="25" customHeight="1">
      <c r="A1401" s="12">
        <v>4538</v>
      </c>
      <c r="B1401" s="8">
        <v>0</v>
      </c>
      <c r="C1401" s="8" t="s">
        <v>115</v>
      </c>
      <c r="D1401" s="8" t="s">
        <v>206</v>
      </c>
      <c r="E1401" s="8" t="s">
        <v>449</v>
      </c>
      <c r="F1401" s="8">
        <v>12</v>
      </c>
      <c r="G1401" s="8">
        <v>1</v>
      </c>
      <c r="H1401" s="11">
        <v>0.08333333333333333</v>
      </c>
      <c r="I1401" s="11">
        <v>0.1875</v>
      </c>
      <c r="J1401" s="11">
        <v>0.4444444444444444</v>
      </c>
      <c r="K1401" s="8">
        <v>1</v>
      </c>
      <c r="L1401" s="8">
        <v>11</v>
      </c>
      <c r="M1401" s="8">
        <v>29</v>
      </c>
      <c r="N1401" s="8">
        <v>119</v>
      </c>
      <c r="O1401" s="11">
        <v>0.3364266485114594</v>
      </c>
      <c r="P1401" s="8" t="s">
        <v>700</v>
      </c>
      <c r="Q1401" s="8" t="s">
        <v>1191</v>
      </c>
      <c r="R1401" s="8">
        <v>8</v>
      </c>
      <c r="S1401" s="11">
        <v>47.04008897966492</v>
      </c>
      <c r="T1401" s="11">
        <v>2.25</v>
      </c>
      <c r="U1401" s="11">
        <v>9.75</v>
      </c>
      <c r="V1401" s="11">
        <v>27.75</v>
      </c>
      <c r="W1401" s="11">
        <v>120.25</v>
      </c>
      <c r="X1401" s="8" t="s">
        <v>1192</v>
      </c>
    </row>
    <row r="1402" spans="1:24" ht="25" customHeight="1">
      <c r="A1402" s="12">
        <v>4539</v>
      </c>
      <c r="B1402" s="8">
        <v>0</v>
      </c>
      <c r="C1402" s="8" t="s">
        <v>115</v>
      </c>
      <c r="D1402" s="8" t="s">
        <v>206</v>
      </c>
      <c r="E1402" s="8" t="s">
        <v>474</v>
      </c>
      <c r="F1402" s="8">
        <v>12</v>
      </c>
      <c r="G1402" s="8">
        <v>1</v>
      </c>
      <c r="H1402" s="11">
        <v>0.08333333333333333</v>
      </c>
      <c r="I1402" s="11">
        <v>0.05625</v>
      </c>
      <c r="J1402" s="11">
        <v>1.481481481481481</v>
      </c>
      <c r="K1402" s="8">
        <v>1</v>
      </c>
      <c r="L1402" s="8">
        <v>11</v>
      </c>
      <c r="M1402" s="8">
        <v>8</v>
      </c>
      <c r="N1402" s="8">
        <v>140</v>
      </c>
      <c r="O1402" s="11">
        <v>0.6720167634775046</v>
      </c>
      <c r="P1402" s="8" t="s">
        <v>700</v>
      </c>
      <c r="Q1402" s="8" t="s">
        <v>1193</v>
      </c>
      <c r="R1402" s="8">
        <v>9</v>
      </c>
      <c r="S1402" s="11">
        <v>47.43621247890877</v>
      </c>
      <c r="T1402" s="11">
        <v>0.675</v>
      </c>
      <c r="U1402" s="11">
        <v>11.325</v>
      </c>
      <c r="V1402" s="11">
        <v>8.324999999999999</v>
      </c>
      <c r="W1402" s="11">
        <v>139.675</v>
      </c>
      <c r="X1402" s="8" t="s">
        <v>1194</v>
      </c>
    </row>
    <row r="1403" spans="1:24" ht="25" customHeight="1">
      <c r="A1403" s="12">
        <v>4540</v>
      </c>
      <c r="B1403" s="8">
        <v>0</v>
      </c>
      <c r="C1403" s="8" t="s">
        <v>115</v>
      </c>
      <c r="D1403" s="8" t="s">
        <v>206</v>
      </c>
      <c r="E1403" s="8" t="s">
        <v>428</v>
      </c>
      <c r="F1403" s="8">
        <v>12</v>
      </c>
      <c r="G1403" s="8">
        <v>3</v>
      </c>
      <c r="H1403" s="11">
        <v>0.25</v>
      </c>
      <c r="I1403" s="11">
        <v>0.2625</v>
      </c>
      <c r="J1403" s="11">
        <v>0.9523809523809523</v>
      </c>
      <c r="K1403" s="8">
        <v>3</v>
      </c>
      <c r="L1403" s="8">
        <v>9</v>
      </c>
      <c r="M1403" s="8">
        <v>39</v>
      </c>
      <c r="N1403" s="8">
        <v>109</v>
      </c>
      <c r="O1403" s="11">
        <v>0.9184982728223167</v>
      </c>
      <c r="P1403" s="8" t="s">
        <v>700</v>
      </c>
      <c r="Q1403" s="8" t="s">
        <v>1195</v>
      </c>
      <c r="R1403" s="8">
        <v>10</v>
      </c>
      <c r="S1403" s="11">
        <v>50.81227054065032</v>
      </c>
      <c r="T1403" s="11">
        <v>3.15</v>
      </c>
      <c r="U1403" s="11">
        <v>8.85</v>
      </c>
      <c r="V1403" s="11">
        <v>38.85</v>
      </c>
      <c r="W1403" s="11">
        <v>109.15</v>
      </c>
      <c r="X1403" s="8" t="s">
        <v>1196</v>
      </c>
    </row>
    <row r="1404" spans="1:24" ht="25" customHeight="1">
      <c r="A1404" s="12">
        <v>4541</v>
      </c>
      <c r="B1404" s="8">
        <v>0</v>
      </c>
      <c r="C1404" s="8" t="s">
        <v>115</v>
      </c>
      <c r="D1404" s="8" t="s">
        <v>203</v>
      </c>
      <c r="E1404" s="8" t="s">
        <v>574</v>
      </c>
      <c r="F1404" s="8">
        <v>19</v>
      </c>
      <c r="G1404" s="8">
        <v>2</v>
      </c>
      <c r="H1404" s="11">
        <v>0.1052631578947368</v>
      </c>
      <c r="I1404" s="11">
        <v>0.03125</v>
      </c>
      <c r="J1404" s="11">
        <v>3.368421052631579</v>
      </c>
      <c r="K1404" s="8">
        <v>2</v>
      </c>
      <c r="L1404" s="8">
        <v>17</v>
      </c>
      <c r="M1404" s="8">
        <v>3</v>
      </c>
      <c r="N1404" s="8">
        <v>138</v>
      </c>
      <c r="O1404" s="11">
        <v>0.04824843572360953</v>
      </c>
      <c r="P1404" s="8" t="s">
        <v>700</v>
      </c>
      <c r="Q1404" s="8" t="s">
        <v>1197</v>
      </c>
      <c r="R1404" s="8">
        <v>11</v>
      </c>
      <c r="S1404" s="11">
        <v>56.54823150559248</v>
      </c>
      <c r="T1404" s="11">
        <v>0.59375</v>
      </c>
      <c r="U1404" s="11">
        <v>18.40625</v>
      </c>
      <c r="V1404" s="11">
        <v>4.40625</v>
      </c>
      <c r="W1404" s="11">
        <v>136.59375</v>
      </c>
      <c r="X1404" s="8" t="s">
        <v>1198</v>
      </c>
    </row>
    <row r="1405" spans="1:24" ht="25" customHeight="1">
      <c r="A1405" s="12">
        <v>4542</v>
      </c>
      <c r="B1405" s="8">
        <v>0</v>
      </c>
      <c r="C1405" s="8" t="s">
        <v>115</v>
      </c>
      <c r="D1405" s="8" t="s">
        <v>206</v>
      </c>
      <c r="E1405" s="8" t="s">
        <v>452</v>
      </c>
      <c r="F1405" s="8">
        <v>12</v>
      </c>
      <c r="G1405" s="8">
        <v>1</v>
      </c>
      <c r="H1405" s="11">
        <v>0.08333333333333333</v>
      </c>
      <c r="I1405" s="11">
        <v>0.03125</v>
      </c>
      <c r="J1405" s="11">
        <v>2.666666666666667</v>
      </c>
      <c r="K1405" s="8">
        <v>1</v>
      </c>
      <c r="L1405" s="8">
        <v>11</v>
      </c>
      <c r="M1405" s="8">
        <v>4</v>
      </c>
      <c r="N1405" s="8">
        <v>144</v>
      </c>
      <c r="O1405" s="11">
        <v>0.2809574366590239</v>
      </c>
      <c r="P1405" s="8" t="s">
        <v>700</v>
      </c>
      <c r="Q1405" s="8" t="s">
        <v>1199</v>
      </c>
      <c r="R1405" s="8">
        <v>12</v>
      </c>
      <c r="S1405" s="11">
        <v>51.76187948337155</v>
      </c>
      <c r="T1405" s="11">
        <v>0.375</v>
      </c>
      <c r="U1405" s="11">
        <v>11.625</v>
      </c>
      <c r="V1405" s="11">
        <v>4.625</v>
      </c>
      <c r="W1405" s="11">
        <v>143.375</v>
      </c>
      <c r="X1405" s="8" t="s">
        <v>1200</v>
      </c>
    </row>
    <row r="1406" spans="1:24" ht="25" customHeight="1">
      <c r="A1406" s="12">
        <v>4543</v>
      </c>
      <c r="B1406" s="8">
        <v>0</v>
      </c>
      <c r="C1406" s="8" t="s">
        <v>115</v>
      </c>
      <c r="D1406" s="8" t="s">
        <v>203</v>
      </c>
      <c r="E1406" s="8" t="s">
        <v>428</v>
      </c>
      <c r="F1406" s="8">
        <v>19</v>
      </c>
      <c r="G1406" s="8">
        <v>5</v>
      </c>
      <c r="H1406" s="11">
        <v>0.2631578947368421</v>
      </c>
      <c r="I1406" s="11">
        <v>0.2625</v>
      </c>
      <c r="J1406" s="11">
        <v>1.00250626566416</v>
      </c>
      <c r="K1406" s="8">
        <v>5</v>
      </c>
      <c r="L1406" s="8">
        <v>14</v>
      </c>
      <c r="M1406" s="8">
        <v>37</v>
      </c>
      <c r="N1406" s="8">
        <v>104</v>
      </c>
      <c r="O1406" s="11">
        <v>0.9944604491441302</v>
      </c>
      <c r="P1406" s="8" t="s">
        <v>700</v>
      </c>
      <c r="Q1406" s="8" t="s">
        <v>1201</v>
      </c>
      <c r="R1406" s="8">
        <v>13</v>
      </c>
      <c r="S1406" s="11">
        <v>54.66428923297609</v>
      </c>
      <c r="T1406" s="11">
        <v>4.9875</v>
      </c>
      <c r="U1406" s="11">
        <v>14.0125</v>
      </c>
      <c r="V1406" s="11">
        <v>37.0125</v>
      </c>
      <c r="W1406" s="11">
        <v>103.9875</v>
      </c>
      <c r="X1406" s="8" t="s">
        <v>1202</v>
      </c>
    </row>
    <row r="1407" spans="1:24" ht="25" customHeight="1">
      <c r="A1407" s="12">
        <v>4544</v>
      </c>
      <c r="B1407" s="8">
        <v>0</v>
      </c>
      <c r="C1407" s="8" t="s">
        <v>115</v>
      </c>
      <c r="D1407" s="8" t="s">
        <v>206</v>
      </c>
      <c r="E1407" s="8" t="s">
        <v>465</v>
      </c>
      <c r="F1407" s="8">
        <v>12</v>
      </c>
      <c r="G1407" s="8">
        <v>3</v>
      </c>
      <c r="H1407" s="11">
        <v>0.25</v>
      </c>
      <c r="I1407" s="11">
        <v>0.16875</v>
      </c>
      <c r="J1407" s="11">
        <v>1.481481481481481</v>
      </c>
      <c r="K1407" s="8">
        <v>3</v>
      </c>
      <c r="L1407" s="8">
        <v>9</v>
      </c>
      <c r="M1407" s="8">
        <v>24</v>
      </c>
      <c r="N1407" s="8">
        <v>124</v>
      </c>
      <c r="O1407" s="11">
        <v>0.4345863135818765</v>
      </c>
      <c r="P1407" s="8" t="s">
        <v>700</v>
      </c>
      <c r="Q1407" s="8" t="s">
        <v>1203</v>
      </c>
      <c r="R1407" s="8">
        <v>14</v>
      </c>
      <c r="S1407" s="11">
        <v>54.29003139505358</v>
      </c>
      <c r="T1407" s="11">
        <v>2.025</v>
      </c>
      <c r="U1407" s="11">
        <v>9.975</v>
      </c>
      <c r="V1407" s="11">
        <v>24.975</v>
      </c>
      <c r="W1407" s="11">
        <v>123.025</v>
      </c>
      <c r="X1407" s="8" t="s">
        <v>1204</v>
      </c>
    </row>
    <row r="1408" spans="1:24" ht="25" customHeight="1">
      <c r="A1408" s="12">
        <v>4545</v>
      </c>
      <c r="B1408" s="8">
        <v>0</v>
      </c>
      <c r="C1408" s="8" t="s">
        <v>115</v>
      </c>
      <c r="D1408" s="8" t="s">
        <v>206</v>
      </c>
      <c r="E1408" s="8" t="s">
        <v>468</v>
      </c>
      <c r="F1408" s="8">
        <v>12</v>
      </c>
      <c r="G1408" s="8">
        <v>1</v>
      </c>
      <c r="H1408" s="11">
        <v>0.08333333333333333</v>
      </c>
      <c r="I1408" s="11">
        <v>0.05</v>
      </c>
      <c r="J1408" s="11">
        <v>1.666666666666667</v>
      </c>
      <c r="K1408" s="8">
        <v>1</v>
      </c>
      <c r="L1408" s="8">
        <v>11</v>
      </c>
      <c r="M1408" s="8">
        <v>7</v>
      </c>
      <c r="N1408" s="8">
        <v>141</v>
      </c>
      <c r="O1408" s="11">
        <v>0.5817205544928223</v>
      </c>
      <c r="P1408" s="8" t="s">
        <v>700</v>
      </c>
      <c r="Q1408" s="8" t="s">
        <v>1205</v>
      </c>
      <c r="R1408" s="8">
        <v>15</v>
      </c>
      <c r="S1408" s="11">
        <v>48.25806389420256</v>
      </c>
      <c r="T1408" s="11">
        <v>0.6</v>
      </c>
      <c r="U1408" s="11">
        <v>11.4</v>
      </c>
      <c r="V1408" s="11">
        <v>7.4</v>
      </c>
      <c r="W1408" s="11">
        <v>140.6</v>
      </c>
      <c r="X1408" s="8" t="s">
        <v>1206</v>
      </c>
    </row>
    <row r="1409" spans="1:24" ht="25" customHeight="1">
      <c r="A1409" s="12">
        <v>4546</v>
      </c>
      <c r="B1409" s="8">
        <v>0</v>
      </c>
      <c r="C1409" s="8" t="s">
        <v>115</v>
      </c>
      <c r="D1409" s="8" t="s">
        <v>203</v>
      </c>
      <c r="E1409" s="8" t="s">
        <v>800</v>
      </c>
      <c r="F1409" s="8">
        <v>19</v>
      </c>
      <c r="G1409" s="8">
        <v>1</v>
      </c>
      <c r="H1409" s="11">
        <v>0.05263157894736842</v>
      </c>
      <c r="I1409" s="11">
        <v>0.03125</v>
      </c>
      <c r="J1409" s="11">
        <v>1.684210526315789</v>
      </c>
      <c r="K1409" s="8">
        <v>1</v>
      </c>
      <c r="L1409" s="8">
        <v>18</v>
      </c>
      <c r="M1409" s="8">
        <v>4</v>
      </c>
      <c r="N1409" s="8">
        <v>137</v>
      </c>
      <c r="O1409" s="11">
        <v>0.5682669233351287</v>
      </c>
      <c r="P1409" s="8" t="s">
        <v>700</v>
      </c>
      <c r="Q1409" s="8" t="s">
        <v>1207</v>
      </c>
      <c r="R1409" s="8">
        <v>16</v>
      </c>
      <c r="S1409" s="11">
        <v>48.05340222542961</v>
      </c>
      <c r="T1409" s="11">
        <v>0.59375</v>
      </c>
      <c r="U1409" s="11">
        <v>18.40625</v>
      </c>
      <c r="V1409" s="11">
        <v>4.40625</v>
      </c>
      <c r="W1409" s="11">
        <v>136.59375</v>
      </c>
      <c r="X1409" s="8" t="s">
        <v>1208</v>
      </c>
    </row>
    <row r="1410" spans="1:24" ht="25" customHeight="1">
      <c r="A1410" s="12">
        <v>4547</v>
      </c>
      <c r="B1410" s="8">
        <v>0</v>
      </c>
      <c r="C1410" s="8" t="s">
        <v>115</v>
      </c>
      <c r="D1410" s="8" t="s">
        <v>206</v>
      </c>
      <c r="E1410" s="8" t="s">
        <v>800</v>
      </c>
      <c r="F1410" s="8">
        <v>12</v>
      </c>
      <c r="G1410" s="8">
        <v>2</v>
      </c>
      <c r="H1410" s="11">
        <v>0.1666666666666667</v>
      </c>
      <c r="I1410" s="11">
        <v>0.03125</v>
      </c>
      <c r="J1410" s="11">
        <v>5.333333333333333</v>
      </c>
      <c r="K1410" s="8">
        <v>2</v>
      </c>
      <c r="L1410" s="8">
        <v>10</v>
      </c>
      <c r="M1410" s="8">
        <v>3</v>
      </c>
      <c r="N1410" s="8">
        <v>145</v>
      </c>
      <c r="O1410" s="11">
        <v>0.005059127092937935</v>
      </c>
      <c r="P1410" s="8" t="s">
        <v>700</v>
      </c>
      <c r="Q1410" s="8" t="s">
        <v>1209</v>
      </c>
      <c r="R1410" s="8">
        <v>17</v>
      </c>
      <c r="S1410" s="11">
        <v>60.64137103120198</v>
      </c>
      <c r="T1410" s="11">
        <v>0.375</v>
      </c>
      <c r="U1410" s="11">
        <v>11.625</v>
      </c>
      <c r="V1410" s="11">
        <v>4.625</v>
      </c>
      <c r="W1410" s="11">
        <v>143.375</v>
      </c>
      <c r="X1410" s="8" t="s">
        <v>1210</v>
      </c>
    </row>
    <row r="1411" spans="1:24" ht="25" customHeight="1">
      <c r="A1411" s="12">
        <v>4548</v>
      </c>
      <c r="B1411" s="8">
        <v>0</v>
      </c>
      <c r="C1411" s="8" t="s">
        <v>115</v>
      </c>
      <c r="D1411" s="8" t="s">
        <v>811</v>
      </c>
      <c r="E1411" s="8" t="s">
        <v>428</v>
      </c>
      <c r="F1411" s="8">
        <v>3</v>
      </c>
      <c r="G1411" s="8">
        <v>2</v>
      </c>
      <c r="H1411" s="11">
        <v>0.6666666666666666</v>
      </c>
      <c r="I1411" s="11">
        <v>0.2625</v>
      </c>
      <c r="J1411" s="11">
        <v>2.53968253968254</v>
      </c>
      <c r="K1411" s="8">
        <v>2</v>
      </c>
      <c r="L1411" s="8">
        <v>1</v>
      </c>
      <c r="M1411" s="8">
        <v>40</v>
      </c>
      <c r="N1411" s="8">
        <v>117</v>
      </c>
      <c r="O1411" s="11">
        <v>0.1082413487405974</v>
      </c>
      <c r="P1411" s="8" t="s">
        <v>700</v>
      </c>
      <c r="Q1411" s="8" t="s">
        <v>1211</v>
      </c>
      <c r="R1411" s="8">
        <v>18</v>
      </c>
      <c r="S1411" s="11">
        <v>60.20482500232876</v>
      </c>
      <c r="T1411" s="11">
        <v>0.7875</v>
      </c>
      <c r="U1411" s="11">
        <v>2.2125</v>
      </c>
      <c r="V1411" s="11">
        <v>41.2125</v>
      </c>
      <c r="W1411" s="11">
        <v>115.7875</v>
      </c>
      <c r="X1411" s="8" t="s">
        <v>1212</v>
      </c>
    </row>
    <row r="1412" spans="1:24" ht="25" customHeight="1">
      <c r="A1412" s="12">
        <v>4549</v>
      </c>
      <c r="B1412" s="8">
        <v>0</v>
      </c>
      <c r="C1412" s="8" t="s">
        <v>115</v>
      </c>
      <c r="D1412" s="8" t="s">
        <v>811</v>
      </c>
      <c r="E1412" s="8" t="s">
        <v>465</v>
      </c>
      <c r="F1412" s="8">
        <v>3</v>
      </c>
      <c r="G1412" s="8">
        <v>1</v>
      </c>
      <c r="H1412" s="11">
        <v>0.3333333333333333</v>
      </c>
      <c r="I1412" s="11">
        <v>0.16875</v>
      </c>
      <c r="J1412" s="11">
        <v>1.975308641975308</v>
      </c>
      <c r="K1412" s="8">
        <v>1</v>
      </c>
      <c r="L1412" s="8">
        <v>2</v>
      </c>
      <c r="M1412" s="8">
        <v>26</v>
      </c>
      <c r="N1412" s="8">
        <v>131</v>
      </c>
      <c r="O1412" s="11">
        <v>0.4422689466305865</v>
      </c>
      <c r="P1412" s="8" t="s">
        <v>700</v>
      </c>
      <c r="Q1412" s="8" t="s">
        <v>1213</v>
      </c>
      <c r="R1412" s="8">
        <v>19</v>
      </c>
      <c r="S1412" s="11">
        <v>52.07260588413101</v>
      </c>
      <c r="T1412" s="11">
        <v>0.50625</v>
      </c>
      <c r="U1412" s="11">
        <v>2.49375</v>
      </c>
      <c r="V1412" s="11">
        <v>26.49375</v>
      </c>
      <c r="W1412" s="11">
        <v>130.50625</v>
      </c>
      <c r="X1412" s="8" t="s">
        <v>1214</v>
      </c>
    </row>
    <row r="1413" spans="1:24" ht="25" customHeight="1">
      <c r="A1413" s="12">
        <v>4550</v>
      </c>
      <c r="B1413" s="8">
        <v>0</v>
      </c>
      <c r="C1413" s="8" t="s">
        <v>115</v>
      </c>
      <c r="D1413" s="8" t="s">
        <v>235</v>
      </c>
      <c r="E1413" s="8" t="s">
        <v>878</v>
      </c>
      <c r="F1413" s="8">
        <v>2</v>
      </c>
      <c r="G1413" s="8">
        <v>1</v>
      </c>
      <c r="H1413" s="11">
        <v>0.5</v>
      </c>
      <c r="I1413" s="11">
        <v>0.04375</v>
      </c>
      <c r="J1413" s="11">
        <v>11.42857142857143</v>
      </c>
      <c r="K1413" s="8">
        <v>1</v>
      </c>
      <c r="L1413" s="8">
        <v>1</v>
      </c>
      <c r="M1413" s="8">
        <v>6</v>
      </c>
      <c r="N1413" s="8">
        <v>152</v>
      </c>
      <c r="O1413" s="11">
        <v>0.001500977678067151</v>
      </c>
      <c r="P1413" s="8" t="s">
        <v>700</v>
      </c>
      <c r="Q1413" s="8" t="s">
        <v>1215</v>
      </c>
      <c r="R1413" s="8">
        <v>20</v>
      </c>
      <c r="S1413" s="11">
        <v>61.99249511160966</v>
      </c>
      <c r="T1413" s="11">
        <v>0.08749999999999999</v>
      </c>
      <c r="U1413" s="11">
        <v>1.9125</v>
      </c>
      <c r="V1413" s="11">
        <v>6.9125</v>
      </c>
      <c r="W1413" s="11">
        <v>151.0875</v>
      </c>
      <c r="X1413" s="8" t="s">
        <v>1216</v>
      </c>
    </row>
    <row r="1414" spans="1:24" ht="25" customHeight="1">
      <c r="A1414" s="12">
        <v>4551</v>
      </c>
      <c r="B1414" s="8">
        <v>0</v>
      </c>
      <c r="C1414" s="8" t="s">
        <v>115</v>
      </c>
      <c r="D1414" s="8" t="s">
        <v>203</v>
      </c>
      <c r="E1414" s="8" t="s">
        <v>480</v>
      </c>
      <c r="F1414" s="8">
        <v>19</v>
      </c>
      <c r="G1414" s="8">
        <v>1</v>
      </c>
      <c r="H1414" s="11">
        <v>0.05263157894736842</v>
      </c>
      <c r="I1414" s="11">
        <v>0.00625</v>
      </c>
      <c r="J1414" s="11">
        <v>8.421052631578947</v>
      </c>
      <c r="K1414" s="8">
        <v>1</v>
      </c>
      <c r="L1414" s="8">
        <v>18</v>
      </c>
      <c r="M1414" s="8">
        <v>0</v>
      </c>
      <c r="N1414" s="8">
        <v>141</v>
      </c>
      <c r="O1414" s="11">
        <v>0.006281484643227353</v>
      </c>
      <c r="P1414" s="8" t="s">
        <v>700</v>
      </c>
      <c r="Q1414" s="8" t="s">
        <v>1217</v>
      </c>
      <c r="R1414" s="8">
        <v>21</v>
      </c>
      <c r="S1414" s="11">
        <v>57.49490836625755</v>
      </c>
      <c r="T1414" s="11">
        <v>0.11875</v>
      </c>
      <c r="U1414" s="11">
        <v>18.88125</v>
      </c>
      <c r="V1414" s="11">
        <v>0.88125</v>
      </c>
      <c r="W1414" s="11">
        <v>140.11875</v>
      </c>
      <c r="X1414" s="8" t="s">
        <v>1218</v>
      </c>
    </row>
    <row r="1415" spans="1:24" ht="25" customHeight="1">
      <c r="A1415" s="12">
        <v>4552</v>
      </c>
      <c r="B1415" s="8">
        <v>0</v>
      </c>
      <c r="C1415" s="8" t="s">
        <v>115</v>
      </c>
      <c r="D1415" s="8" t="s">
        <v>203</v>
      </c>
      <c r="E1415" s="8" t="s">
        <v>452</v>
      </c>
      <c r="F1415" s="8">
        <v>19</v>
      </c>
      <c r="G1415" s="8">
        <v>1</v>
      </c>
      <c r="H1415" s="11">
        <v>0.05263157894736842</v>
      </c>
      <c r="I1415" s="11">
        <v>0.03125</v>
      </c>
      <c r="J1415" s="11">
        <v>1.684210526315789</v>
      </c>
      <c r="K1415" s="8">
        <v>1</v>
      </c>
      <c r="L1415" s="8">
        <v>18</v>
      </c>
      <c r="M1415" s="8">
        <v>4</v>
      </c>
      <c r="N1415" s="8">
        <v>137</v>
      </c>
      <c r="O1415" s="11">
        <v>0.5682669233351287</v>
      </c>
      <c r="P1415" s="8" t="s">
        <v>700</v>
      </c>
      <c r="Q1415" s="8" t="s">
        <v>1219</v>
      </c>
      <c r="R1415" s="8">
        <v>22</v>
      </c>
      <c r="S1415" s="11">
        <v>48.05340222542961</v>
      </c>
      <c r="T1415" s="11">
        <v>0.59375</v>
      </c>
      <c r="U1415" s="11">
        <v>18.40625</v>
      </c>
      <c r="V1415" s="11">
        <v>4.40625</v>
      </c>
      <c r="W1415" s="11">
        <v>136.59375</v>
      </c>
      <c r="X1415" s="8" t="s">
        <v>1208</v>
      </c>
    </row>
    <row r="1416" spans="1:24" ht="25" customHeight="1">
      <c r="A1416" s="12">
        <v>4553</v>
      </c>
      <c r="B1416" s="8">
        <v>1</v>
      </c>
      <c r="C1416" s="8" t="s">
        <v>711</v>
      </c>
      <c r="D1416" s="8" t="s">
        <v>203</v>
      </c>
      <c r="E1416" s="8" t="s">
        <v>465</v>
      </c>
      <c r="F1416" s="8">
        <v>1</v>
      </c>
      <c r="G1416" s="8">
        <v>1</v>
      </c>
      <c r="H1416" s="8">
        <v>1</v>
      </c>
      <c r="I1416" s="11">
        <v>0.16875</v>
      </c>
      <c r="J1416" s="11">
        <v>5.925925925925926</v>
      </c>
      <c r="K1416" s="8">
        <v>1</v>
      </c>
      <c r="L1416" s="8">
        <v>0</v>
      </c>
      <c r="M1416" s="8">
        <v>26</v>
      </c>
      <c r="N1416" s="8">
        <v>133</v>
      </c>
      <c r="O1416" s="11">
        <v>0.02598665456409913</v>
      </c>
      <c r="P1416" s="8" t="s">
        <v>700</v>
      </c>
      <c r="Q1416" s="8" t="s">
        <v>1220</v>
      </c>
      <c r="R1416" s="8">
        <v>23</v>
      </c>
      <c r="S1416" s="11">
        <v>66.87006672717951</v>
      </c>
      <c r="T1416" s="11">
        <v>0.16875</v>
      </c>
      <c r="U1416" s="11">
        <v>0.83125</v>
      </c>
      <c r="V1416" s="11">
        <v>26.83125</v>
      </c>
      <c r="W1416" s="11">
        <v>132.16875</v>
      </c>
      <c r="X1416" s="8" t="s">
        <v>1221</v>
      </c>
    </row>
    <row r="1417" spans="1:24" ht="25" customHeight="1">
      <c r="A1417" s="12">
        <v>4554</v>
      </c>
      <c r="B1417" s="8">
        <v>1</v>
      </c>
      <c r="C1417" s="8" t="s">
        <v>716</v>
      </c>
      <c r="D1417" s="8" t="s">
        <v>222</v>
      </c>
      <c r="E1417" s="8" t="s">
        <v>474</v>
      </c>
      <c r="F1417" s="8">
        <v>1</v>
      </c>
      <c r="G1417" s="8">
        <v>1</v>
      </c>
      <c r="H1417" s="8">
        <v>1</v>
      </c>
      <c r="I1417" s="11">
        <v>0.05625</v>
      </c>
      <c r="J1417" s="11">
        <v>17.77777777777778</v>
      </c>
      <c r="K1417" s="8">
        <v>1</v>
      </c>
      <c r="L1417" s="8">
        <v>0</v>
      </c>
      <c r="M1417" s="8">
        <v>8</v>
      </c>
      <c r="N1417" s="8">
        <v>151</v>
      </c>
      <c r="O1417" s="11">
        <v>3.974980673544505E-05</v>
      </c>
      <c r="P1417" s="8" t="s">
        <v>700</v>
      </c>
      <c r="Q1417" s="8" t="s">
        <v>1222</v>
      </c>
      <c r="R1417" s="8">
        <v>24</v>
      </c>
      <c r="S1417" s="11">
        <v>66.99980125096633</v>
      </c>
      <c r="T1417" s="11">
        <v>0.05625</v>
      </c>
      <c r="U1417" s="11">
        <v>0.94375</v>
      </c>
      <c r="V1417" s="11">
        <v>8.94375</v>
      </c>
      <c r="W1417" s="11">
        <v>150.05625</v>
      </c>
      <c r="X1417" s="8" t="s">
        <v>1223</v>
      </c>
    </row>
    <row r="1418" spans="1:24" ht="25" customHeight="1">
      <c r="A1418" s="12">
        <v>4555</v>
      </c>
      <c r="B1418" s="8">
        <v>1</v>
      </c>
      <c r="C1418" s="8" t="s">
        <v>716</v>
      </c>
      <c r="D1418" s="8" t="s">
        <v>203</v>
      </c>
      <c r="E1418" s="8" t="s">
        <v>428</v>
      </c>
      <c r="F1418" s="8">
        <v>15</v>
      </c>
      <c r="G1418" s="8">
        <v>4</v>
      </c>
      <c r="H1418" s="11">
        <v>0.2666666666666667</v>
      </c>
      <c r="I1418" s="11">
        <v>0.2625</v>
      </c>
      <c r="J1418" s="11">
        <v>1.015873015873016</v>
      </c>
      <c r="K1418" s="8">
        <v>4</v>
      </c>
      <c r="L1418" s="8">
        <v>11</v>
      </c>
      <c r="M1418" s="8">
        <v>38</v>
      </c>
      <c r="N1418" s="8">
        <v>107</v>
      </c>
      <c r="O1418" s="11">
        <v>0.9692675386002372</v>
      </c>
      <c r="P1418" s="8" t="s">
        <v>700</v>
      </c>
      <c r="Q1418" s="8" t="s">
        <v>1224</v>
      </c>
      <c r="R1418" s="8">
        <v>25</v>
      </c>
      <c r="S1418" s="11">
        <v>52.85207500541151</v>
      </c>
      <c r="T1418" s="11">
        <v>3.9375</v>
      </c>
      <c r="U1418" s="11">
        <v>11.0625</v>
      </c>
      <c r="V1418" s="11">
        <v>38.0625</v>
      </c>
      <c r="W1418" s="11">
        <v>106.9375</v>
      </c>
      <c r="X1418" s="8" t="s">
        <v>1225</v>
      </c>
    </row>
    <row r="1419" spans="1:24" ht="25" customHeight="1">
      <c r="A1419" s="12">
        <v>4556</v>
      </c>
      <c r="B1419" s="8">
        <v>1</v>
      </c>
      <c r="C1419" s="8" t="s">
        <v>716</v>
      </c>
      <c r="D1419" s="8" t="s">
        <v>206</v>
      </c>
      <c r="E1419" s="8" t="s">
        <v>465</v>
      </c>
      <c r="F1419" s="8">
        <v>6</v>
      </c>
      <c r="G1419" s="8">
        <v>1</v>
      </c>
      <c r="H1419" s="11">
        <v>0.1666666666666667</v>
      </c>
      <c r="I1419" s="11">
        <v>0.16875</v>
      </c>
      <c r="J1419" s="11">
        <v>0.9876543209876542</v>
      </c>
      <c r="K1419" s="8">
        <v>1</v>
      </c>
      <c r="L1419" s="8">
        <v>5</v>
      </c>
      <c r="M1419" s="8">
        <v>26</v>
      </c>
      <c r="N1419" s="8">
        <v>128</v>
      </c>
      <c r="O1419" s="11">
        <v>0.98891916726673</v>
      </c>
      <c r="P1419" s="8" t="s">
        <v>700</v>
      </c>
      <c r="Q1419" s="8" t="s">
        <v>1226</v>
      </c>
      <c r="R1419" s="8">
        <v>26</v>
      </c>
      <c r="S1419" s="11">
        <v>45.69737947230833</v>
      </c>
      <c r="T1419" s="11">
        <v>1.0125</v>
      </c>
      <c r="U1419" s="11">
        <v>4.9875</v>
      </c>
      <c r="V1419" s="11">
        <v>25.9875</v>
      </c>
      <c r="W1419" s="11">
        <v>128.0125</v>
      </c>
      <c r="X1419" s="8" t="s">
        <v>1227</v>
      </c>
    </row>
    <row r="1420" spans="1:24" ht="25" customHeight="1">
      <c r="A1420" s="12">
        <v>4557</v>
      </c>
      <c r="B1420" s="8">
        <v>1</v>
      </c>
      <c r="C1420" s="8" t="s">
        <v>716</v>
      </c>
      <c r="D1420" s="8" t="s">
        <v>203</v>
      </c>
      <c r="E1420" s="8" t="s">
        <v>611</v>
      </c>
      <c r="F1420" s="8">
        <v>15</v>
      </c>
      <c r="G1420" s="8">
        <v>1</v>
      </c>
      <c r="H1420" s="11">
        <v>0.06666666666666667</v>
      </c>
      <c r="I1420" s="11">
        <v>0.01875</v>
      </c>
      <c r="J1420" s="11">
        <v>3.555555555555556</v>
      </c>
      <c r="K1420" s="8">
        <v>1</v>
      </c>
      <c r="L1420" s="8">
        <v>14</v>
      </c>
      <c r="M1420" s="8">
        <v>2</v>
      </c>
      <c r="N1420" s="8">
        <v>143</v>
      </c>
      <c r="O1420" s="11">
        <v>0.150660666387212</v>
      </c>
      <c r="P1420" s="8" t="s">
        <v>700</v>
      </c>
      <c r="Q1420" s="8" t="s">
        <v>1228</v>
      </c>
      <c r="R1420" s="8">
        <v>27</v>
      </c>
      <c r="S1420" s="11">
        <v>54.02447444584172</v>
      </c>
      <c r="T1420" s="11">
        <v>0.28125</v>
      </c>
      <c r="U1420" s="11">
        <v>14.71875</v>
      </c>
      <c r="V1420" s="11">
        <v>2.71875</v>
      </c>
      <c r="W1420" s="11">
        <v>142.28125</v>
      </c>
      <c r="X1420" s="8" t="s">
        <v>1229</v>
      </c>
    </row>
    <row r="1421" spans="1:24" ht="25" customHeight="1">
      <c r="A1421" s="12">
        <v>4558</v>
      </c>
      <c r="B1421" s="8">
        <v>1</v>
      </c>
      <c r="C1421" s="8" t="s">
        <v>716</v>
      </c>
      <c r="D1421" s="8" t="s">
        <v>206</v>
      </c>
      <c r="E1421" s="8" t="s">
        <v>443</v>
      </c>
      <c r="F1421" s="8">
        <v>6</v>
      </c>
      <c r="G1421" s="8">
        <v>1</v>
      </c>
      <c r="H1421" s="11">
        <v>0.1666666666666667</v>
      </c>
      <c r="I1421" s="11">
        <v>0.0125</v>
      </c>
      <c r="J1421" s="11">
        <v>13.33333333333333</v>
      </c>
      <c r="K1421" s="8">
        <v>1</v>
      </c>
      <c r="L1421" s="8">
        <v>5</v>
      </c>
      <c r="M1421" s="8">
        <v>1</v>
      </c>
      <c r="N1421" s="8">
        <v>153</v>
      </c>
      <c r="O1421" s="11">
        <v>0.0005311927088539074</v>
      </c>
      <c r="P1421" s="8" t="s">
        <v>700</v>
      </c>
      <c r="Q1421" s="8" t="s">
        <v>1230</v>
      </c>
      <c r="R1421" s="8">
        <v>28</v>
      </c>
      <c r="S1421" s="11">
        <v>58.66401070312239</v>
      </c>
      <c r="T1421" s="11">
        <v>0.075</v>
      </c>
      <c r="U1421" s="11">
        <v>5.925</v>
      </c>
      <c r="V1421" s="11">
        <v>1.925</v>
      </c>
      <c r="W1421" s="11">
        <v>152.075</v>
      </c>
      <c r="X1421" s="8" t="s">
        <v>1231</v>
      </c>
    </row>
    <row r="1422" spans="1:24" ht="25" customHeight="1">
      <c r="A1422" s="12">
        <v>4559</v>
      </c>
      <c r="B1422" s="8">
        <v>1</v>
      </c>
      <c r="C1422" s="8" t="s">
        <v>716</v>
      </c>
      <c r="D1422" s="8" t="s">
        <v>206</v>
      </c>
      <c r="E1422" s="8" t="s">
        <v>428</v>
      </c>
      <c r="F1422" s="8">
        <v>6</v>
      </c>
      <c r="G1422" s="8">
        <v>3</v>
      </c>
      <c r="H1422" s="11">
        <v>0.5</v>
      </c>
      <c r="I1422" s="11">
        <v>0.2625</v>
      </c>
      <c r="J1422" s="11">
        <v>1.904761904761905</v>
      </c>
      <c r="K1422" s="8">
        <v>3</v>
      </c>
      <c r="L1422" s="8">
        <v>3</v>
      </c>
      <c r="M1422" s="8">
        <v>39</v>
      </c>
      <c r="N1422" s="8">
        <v>115</v>
      </c>
      <c r="O1422" s="11">
        <v>0.1777549165572034</v>
      </c>
      <c r="P1422" s="8" t="s">
        <v>700</v>
      </c>
      <c r="Q1422" s="8" t="s">
        <v>1232</v>
      </c>
      <c r="R1422" s="8">
        <v>29</v>
      </c>
      <c r="S1422" s="11">
        <v>58.9207492267378</v>
      </c>
      <c r="T1422" s="11">
        <v>1.575</v>
      </c>
      <c r="U1422" s="11">
        <v>4.425</v>
      </c>
      <c r="V1422" s="11">
        <v>40.425</v>
      </c>
      <c r="W1422" s="11">
        <v>113.575</v>
      </c>
      <c r="X1422" s="8" t="s">
        <v>1233</v>
      </c>
    </row>
    <row r="1423" spans="1:24" ht="25" customHeight="1">
      <c r="A1423" s="12">
        <v>4560</v>
      </c>
      <c r="B1423" s="8">
        <v>1</v>
      </c>
      <c r="C1423" s="8" t="s">
        <v>716</v>
      </c>
      <c r="D1423" s="8" t="s">
        <v>203</v>
      </c>
      <c r="E1423" s="8" t="s">
        <v>561</v>
      </c>
      <c r="F1423" s="8">
        <v>15</v>
      </c>
      <c r="G1423" s="8">
        <v>1</v>
      </c>
      <c r="H1423" s="11">
        <v>0.06666666666666667</v>
      </c>
      <c r="I1423" s="11">
        <v>0.00625</v>
      </c>
      <c r="J1423" s="11">
        <v>10.66666666666667</v>
      </c>
      <c r="K1423" s="8">
        <v>1</v>
      </c>
      <c r="L1423" s="8">
        <v>14</v>
      </c>
      <c r="M1423" s="8">
        <v>0</v>
      </c>
      <c r="N1423" s="8">
        <v>145</v>
      </c>
      <c r="O1423" s="11">
        <v>0.001815348576062723</v>
      </c>
      <c r="P1423" s="8" t="s">
        <v>700</v>
      </c>
      <c r="Q1423" s="8" t="s">
        <v>1234</v>
      </c>
      <c r="R1423" s="8">
        <v>30</v>
      </c>
      <c r="S1423" s="11">
        <v>57.65758992378635</v>
      </c>
      <c r="T1423" s="11">
        <v>0.09375</v>
      </c>
      <c r="U1423" s="11">
        <v>14.90625</v>
      </c>
      <c r="V1423" s="11">
        <v>0.90625</v>
      </c>
      <c r="W1423" s="11">
        <v>144.09375</v>
      </c>
      <c r="X1423" s="8" t="s">
        <v>1235</v>
      </c>
    </row>
    <row r="1424" spans="1:24" ht="25" customHeight="1">
      <c r="A1424" s="12">
        <v>4561</v>
      </c>
      <c r="B1424" s="8">
        <v>1</v>
      </c>
      <c r="C1424" s="8" t="s">
        <v>716</v>
      </c>
      <c r="D1424" s="8" t="s">
        <v>203</v>
      </c>
      <c r="E1424" s="8" t="s">
        <v>468</v>
      </c>
      <c r="F1424" s="8">
        <v>15</v>
      </c>
      <c r="G1424" s="8">
        <v>2</v>
      </c>
      <c r="H1424" s="11">
        <v>0.1333333333333333</v>
      </c>
      <c r="I1424" s="11">
        <v>0.05</v>
      </c>
      <c r="J1424" s="11">
        <v>2.666666666666667</v>
      </c>
      <c r="K1424" s="8">
        <v>2</v>
      </c>
      <c r="L1424" s="8">
        <v>13</v>
      </c>
      <c r="M1424" s="8">
        <v>6</v>
      </c>
      <c r="N1424" s="8">
        <v>139</v>
      </c>
      <c r="O1424" s="11">
        <v>0.1198069594581576</v>
      </c>
      <c r="P1424" s="8" t="s">
        <v>700</v>
      </c>
      <c r="Q1424" s="8" t="s">
        <v>1236</v>
      </c>
      <c r="R1424" s="8">
        <v>31</v>
      </c>
      <c r="S1424" s="11">
        <v>55.06763186937588</v>
      </c>
      <c r="T1424" s="11">
        <v>0.75</v>
      </c>
      <c r="U1424" s="11">
        <v>14.25</v>
      </c>
      <c r="V1424" s="11">
        <v>7.25</v>
      </c>
      <c r="W1424" s="11">
        <v>137.75</v>
      </c>
      <c r="X1424" s="8" t="s">
        <v>1237</v>
      </c>
    </row>
    <row r="1425" spans="1:24" ht="25" customHeight="1">
      <c r="A1425" s="12">
        <v>4562</v>
      </c>
      <c r="B1425" s="8">
        <v>1</v>
      </c>
      <c r="C1425" s="8" t="s">
        <v>716</v>
      </c>
      <c r="D1425" s="8" t="s">
        <v>206</v>
      </c>
      <c r="E1425" s="8" t="s">
        <v>468</v>
      </c>
      <c r="F1425" s="8">
        <v>6</v>
      </c>
      <c r="G1425" s="8">
        <v>1</v>
      </c>
      <c r="H1425" s="11">
        <v>0.1666666666666667</v>
      </c>
      <c r="I1425" s="11">
        <v>0.05</v>
      </c>
      <c r="J1425" s="11">
        <v>3.333333333333333</v>
      </c>
      <c r="K1425" s="8">
        <v>1</v>
      </c>
      <c r="L1425" s="8">
        <v>5</v>
      </c>
      <c r="M1425" s="8">
        <v>7</v>
      </c>
      <c r="N1425" s="8">
        <v>147</v>
      </c>
      <c r="O1425" s="11">
        <v>0.1813795901118165</v>
      </c>
      <c r="P1425" s="8" t="s">
        <v>700</v>
      </c>
      <c r="Q1425" s="8" t="s">
        <v>1238</v>
      </c>
      <c r="R1425" s="8">
        <v>32</v>
      </c>
      <c r="S1425" s="11">
        <v>54.42643538277424</v>
      </c>
      <c r="T1425" s="11">
        <v>0.3</v>
      </c>
      <c r="U1425" s="11">
        <v>5.7</v>
      </c>
      <c r="V1425" s="11">
        <v>7.7</v>
      </c>
      <c r="W1425" s="11">
        <v>146.3</v>
      </c>
      <c r="X1425" s="8" t="s">
        <v>1239</v>
      </c>
    </row>
    <row r="1426" spans="1:24" ht="25" customHeight="1">
      <c r="A1426" s="12">
        <v>4563</v>
      </c>
      <c r="B1426" s="8">
        <v>1</v>
      </c>
      <c r="C1426" s="8" t="s">
        <v>716</v>
      </c>
      <c r="D1426" s="8" t="s">
        <v>203</v>
      </c>
      <c r="E1426" s="8" t="s">
        <v>449</v>
      </c>
      <c r="F1426" s="8">
        <v>15</v>
      </c>
      <c r="G1426" s="8">
        <v>2</v>
      </c>
      <c r="H1426" s="11">
        <v>0.1333333333333333</v>
      </c>
      <c r="I1426" s="11">
        <v>0.1875</v>
      </c>
      <c r="J1426" s="11">
        <v>0.7111111111111111</v>
      </c>
      <c r="K1426" s="8">
        <v>2</v>
      </c>
      <c r="L1426" s="8">
        <v>13</v>
      </c>
      <c r="M1426" s="8">
        <v>28</v>
      </c>
      <c r="N1426" s="8">
        <v>117</v>
      </c>
      <c r="O1426" s="11">
        <v>0.5723453915026699</v>
      </c>
      <c r="P1426" s="8" t="s">
        <v>700</v>
      </c>
      <c r="Q1426" s="8" t="s">
        <v>1240</v>
      </c>
      <c r="R1426" s="8">
        <v>33</v>
      </c>
      <c r="S1426" s="11">
        <v>48.89382859804221</v>
      </c>
      <c r="T1426" s="11">
        <v>2.8125</v>
      </c>
      <c r="U1426" s="11">
        <v>12.1875</v>
      </c>
      <c r="V1426" s="11">
        <v>27.1875</v>
      </c>
      <c r="W1426" s="11">
        <v>117.8125</v>
      </c>
      <c r="X1426" s="8" t="s">
        <v>1241</v>
      </c>
    </row>
    <row r="1427" spans="1:24" ht="25" customHeight="1">
      <c r="A1427" s="12">
        <v>4564</v>
      </c>
      <c r="B1427" s="8">
        <v>1</v>
      </c>
      <c r="C1427" s="8" t="s">
        <v>711</v>
      </c>
      <c r="D1427" s="8" t="s">
        <v>235</v>
      </c>
      <c r="E1427" s="8" t="s">
        <v>878</v>
      </c>
      <c r="F1427" s="8">
        <v>1</v>
      </c>
      <c r="G1427" s="8">
        <v>1</v>
      </c>
      <c r="H1427" s="8">
        <v>1</v>
      </c>
      <c r="I1427" s="11">
        <v>0.04375</v>
      </c>
      <c r="J1427" s="11">
        <v>22.85714285714286</v>
      </c>
      <c r="K1427" s="8">
        <v>1</v>
      </c>
      <c r="L1427" s="8">
        <v>0</v>
      </c>
      <c r="M1427" s="8">
        <v>6</v>
      </c>
      <c r="N1427" s="8">
        <v>153</v>
      </c>
      <c r="O1427" s="11">
        <v>2.734173458838461E-06</v>
      </c>
      <c r="P1427" s="8" t="s">
        <v>700</v>
      </c>
      <c r="Q1427" s="8" t="s">
        <v>1242</v>
      </c>
      <c r="R1427" s="8">
        <v>34</v>
      </c>
      <c r="S1427" s="11">
        <v>66.99998632913271</v>
      </c>
      <c r="T1427" s="11">
        <v>0.04375</v>
      </c>
      <c r="U1427" s="11">
        <v>0.95625</v>
      </c>
      <c r="V1427" s="11">
        <v>6.95625</v>
      </c>
      <c r="W1427" s="11">
        <v>152.04375</v>
      </c>
      <c r="X1427" s="8" t="s">
        <v>1243</v>
      </c>
    </row>
    <row r="1428" spans="1:24" ht="25" customHeight="1">
      <c r="A1428" s="12">
        <v>4565</v>
      </c>
      <c r="B1428" s="8">
        <v>1</v>
      </c>
      <c r="C1428" s="8" t="s">
        <v>706</v>
      </c>
      <c r="D1428" s="8" t="s">
        <v>811</v>
      </c>
      <c r="E1428" s="8" t="s">
        <v>465</v>
      </c>
      <c r="F1428" s="8">
        <v>1</v>
      </c>
      <c r="G1428" s="8">
        <v>1</v>
      </c>
      <c r="H1428" s="8">
        <v>1</v>
      </c>
      <c r="I1428" s="11">
        <v>0.16875</v>
      </c>
      <c r="J1428" s="11">
        <v>5.925925925925926</v>
      </c>
      <c r="K1428" s="8">
        <v>1</v>
      </c>
      <c r="L1428" s="8">
        <v>0</v>
      </c>
      <c r="M1428" s="8">
        <v>26</v>
      </c>
      <c r="N1428" s="8">
        <v>133</v>
      </c>
      <c r="O1428" s="11">
        <v>0.02598665456409913</v>
      </c>
      <c r="P1428" s="8" t="s">
        <v>700</v>
      </c>
      <c r="Q1428" s="8" t="s">
        <v>1244</v>
      </c>
      <c r="R1428" s="8">
        <v>35</v>
      </c>
      <c r="S1428" s="11">
        <v>66.87006672717951</v>
      </c>
      <c r="T1428" s="11">
        <v>0.16875</v>
      </c>
      <c r="U1428" s="11">
        <v>0.83125</v>
      </c>
      <c r="V1428" s="11">
        <v>26.83125</v>
      </c>
      <c r="W1428" s="11">
        <v>132.16875</v>
      </c>
      <c r="X1428" s="8" t="s">
        <v>1245</v>
      </c>
    </row>
    <row r="1429" spans="1:24" ht="25" customHeight="1">
      <c r="A1429" s="12">
        <v>4566</v>
      </c>
      <c r="B1429" s="8">
        <v>1</v>
      </c>
      <c r="C1429" s="8" t="s">
        <v>716</v>
      </c>
      <c r="D1429" s="8" t="s">
        <v>203</v>
      </c>
      <c r="E1429" s="8" t="s">
        <v>800</v>
      </c>
      <c r="F1429" s="8">
        <v>15</v>
      </c>
      <c r="G1429" s="8">
        <v>1</v>
      </c>
      <c r="H1429" s="11">
        <v>0.06666666666666667</v>
      </c>
      <c r="I1429" s="11">
        <v>0.03125</v>
      </c>
      <c r="J1429" s="11">
        <v>2.133333333333333</v>
      </c>
      <c r="K1429" s="8">
        <v>1</v>
      </c>
      <c r="L1429" s="8">
        <v>14</v>
      </c>
      <c r="M1429" s="8">
        <v>4</v>
      </c>
      <c r="N1429" s="8">
        <v>141</v>
      </c>
      <c r="O1429" s="11">
        <v>0.4075969705388201</v>
      </c>
      <c r="P1429" s="8" t="s">
        <v>700</v>
      </c>
      <c r="Q1429" s="8" t="s">
        <v>1246</v>
      </c>
      <c r="R1429" s="8">
        <v>36</v>
      </c>
      <c r="S1429" s="11">
        <v>49.89534848063923</v>
      </c>
      <c r="T1429" s="11">
        <v>0.46875</v>
      </c>
      <c r="U1429" s="11">
        <v>14.53125</v>
      </c>
      <c r="V1429" s="11">
        <v>4.53125</v>
      </c>
      <c r="W1429" s="11">
        <v>140.46875</v>
      </c>
      <c r="X1429" s="8" t="s">
        <v>1247</v>
      </c>
    </row>
    <row r="1430" spans="1:24" ht="25" customHeight="1">
      <c r="A1430" s="12">
        <v>4567</v>
      </c>
      <c r="B1430" s="8">
        <v>1</v>
      </c>
      <c r="C1430" s="8" t="s">
        <v>716</v>
      </c>
      <c r="D1430" s="8" t="s">
        <v>203</v>
      </c>
      <c r="E1430" s="8" t="s">
        <v>465</v>
      </c>
      <c r="F1430" s="8">
        <v>15</v>
      </c>
      <c r="G1430" s="8">
        <v>1</v>
      </c>
      <c r="H1430" s="11">
        <v>0.06666666666666667</v>
      </c>
      <c r="I1430" s="11">
        <v>0.16875</v>
      </c>
      <c r="J1430" s="11">
        <v>0.3950617283950617</v>
      </c>
      <c r="K1430" s="8">
        <v>1</v>
      </c>
      <c r="L1430" s="8">
        <v>14</v>
      </c>
      <c r="M1430" s="8">
        <v>26</v>
      </c>
      <c r="N1430" s="8">
        <v>119</v>
      </c>
      <c r="O1430" s="11">
        <v>0.2674773348296668</v>
      </c>
      <c r="P1430" s="8" t="s">
        <v>700</v>
      </c>
      <c r="Q1430" s="8" t="s">
        <v>1248</v>
      </c>
      <c r="R1430" s="8">
        <v>37</v>
      </c>
      <c r="S1430" s="11">
        <v>47.11940344930845</v>
      </c>
      <c r="T1430" s="11">
        <v>2.53125</v>
      </c>
      <c r="U1430" s="11">
        <v>12.46875</v>
      </c>
      <c r="V1430" s="11">
        <v>24.46875</v>
      </c>
      <c r="W1430" s="11">
        <v>120.53125</v>
      </c>
      <c r="X1430" s="8" t="s">
        <v>1249</v>
      </c>
    </row>
    <row r="1431" spans="1:24" ht="25" customHeight="1">
      <c r="A1431" s="12">
        <v>4568</v>
      </c>
      <c r="B1431" s="8">
        <v>1</v>
      </c>
      <c r="C1431" s="8" t="s">
        <v>716</v>
      </c>
      <c r="D1431" s="8" t="s">
        <v>235</v>
      </c>
      <c r="E1431" s="8" t="s">
        <v>574</v>
      </c>
      <c r="F1431" s="8">
        <v>1</v>
      </c>
      <c r="G1431" s="8">
        <v>1</v>
      </c>
      <c r="H1431" s="8">
        <v>1</v>
      </c>
      <c r="I1431" s="11">
        <v>0.03125</v>
      </c>
      <c r="J1431" s="8">
        <v>32</v>
      </c>
      <c r="K1431" s="8">
        <v>1</v>
      </c>
      <c r="L1431" s="8">
        <v>0</v>
      </c>
      <c r="M1431" s="8">
        <v>4</v>
      </c>
      <c r="N1431" s="8">
        <v>155</v>
      </c>
      <c r="O1431" s="11">
        <v>2.333701583830451E-08</v>
      </c>
      <c r="P1431" s="8" t="s">
        <v>700</v>
      </c>
      <c r="Q1431" s="8" t="s">
        <v>1250</v>
      </c>
      <c r="R1431" s="8">
        <v>38</v>
      </c>
      <c r="S1431" s="11">
        <v>66.99999988331493</v>
      </c>
      <c r="T1431" s="11">
        <v>0.03125</v>
      </c>
      <c r="U1431" s="11">
        <v>0.96875</v>
      </c>
      <c r="V1431" s="11">
        <v>4.96875</v>
      </c>
      <c r="W1431" s="11">
        <v>154.03125</v>
      </c>
      <c r="X1431" s="8" t="s">
        <v>1251</v>
      </c>
    </row>
    <row r="1432" spans="1:24" ht="25" customHeight="1">
      <c r="A1432" s="12">
        <v>4569</v>
      </c>
      <c r="B1432" s="8">
        <v>1</v>
      </c>
      <c r="C1432" s="8" t="s">
        <v>716</v>
      </c>
      <c r="D1432" s="8" t="s">
        <v>203</v>
      </c>
      <c r="E1432" s="8" t="s">
        <v>452</v>
      </c>
      <c r="F1432" s="8">
        <v>15</v>
      </c>
      <c r="G1432" s="8">
        <v>1</v>
      </c>
      <c r="H1432" s="11">
        <v>0.06666666666666667</v>
      </c>
      <c r="I1432" s="11">
        <v>0.03125</v>
      </c>
      <c r="J1432" s="11">
        <v>2.133333333333333</v>
      </c>
      <c r="K1432" s="8">
        <v>1</v>
      </c>
      <c r="L1432" s="8">
        <v>14</v>
      </c>
      <c r="M1432" s="8">
        <v>4</v>
      </c>
      <c r="N1432" s="8">
        <v>141</v>
      </c>
      <c r="O1432" s="11">
        <v>0.4075969705388201</v>
      </c>
      <c r="P1432" s="8" t="s">
        <v>700</v>
      </c>
      <c r="Q1432" s="8" t="s">
        <v>1252</v>
      </c>
      <c r="R1432" s="8">
        <v>39</v>
      </c>
      <c r="S1432" s="11">
        <v>49.89534848063923</v>
      </c>
      <c r="T1432" s="11">
        <v>0.46875</v>
      </c>
      <c r="U1432" s="11">
        <v>14.53125</v>
      </c>
      <c r="V1432" s="11">
        <v>4.53125</v>
      </c>
      <c r="W1432" s="11">
        <v>140.46875</v>
      </c>
      <c r="X1432" s="8" t="s">
        <v>1247</v>
      </c>
    </row>
    <row r="1433" spans="1:24" ht="25" customHeight="1">
      <c r="A1433" s="12">
        <v>4570</v>
      </c>
      <c r="B1433" s="8">
        <v>1</v>
      </c>
      <c r="C1433" s="8" t="s">
        <v>716</v>
      </c>
      <c r="D1433" s="8" t="s">
        <v>203</v>
      </c>
      <c r="E1433" s="8" t="s">
        <v>474</v>
      </c>
      <c r="F1433" s="8">
        <v>15</v>
      </c>
      <c r="G1433" s="8">
        <v>1</v>
      </c>
      <c r="H1433" s="11">
        <v>0.06666666666666667</v>
      </c>
      <c r="I1433" s="11">
        <v>0.05625</v>
      </c>
      <c r="J1433" s="11">
        <v>1.185185185185185</v>
      </c>
      <c r="K1433" s="8">
        <v>1</v>
      </c>
      <c r="L1433" s="8">
        <v>14</v>
      </c>
      <c r="M1433" s="8">
        <v>8</v>
      </c>
      <c r="N1433" s="8">
        <v>137</v>
      </c>
      <c r="O1433" s="11">
        <v>0.854065688379869</v>
      </c>
      <c r="P1433" s="8" t="s">
        <v>700</v>
      </c>
      <c r="Q1433" s="8" t="s">
        <v>1253</v>
      </c>
      <c r="R1433" s="8">
        <v>40</v>
      </c>
      <c r="S1433" s="11">
        <v>45.76670859513769</v>
      </c>
      <c r="T1433" s="11">
        <v>0.84375</v>
      </c>
      <c r="U1433" s="11">
        <v>14.15625</v>
      </c>
      <c r="V1433" s="11">
        <v>8.15625</v>
      </c>
      <c r="W1433" s="11">
        <v>136.84375</v>
      </c>
      <c r="X1433" s="8" t="s">
        <v>1254</v>
      </c>
    </row>
    <row r="1434" spans="1:24" ht="25" customHeight="1">
      <c r="A1434" s="12">
        <v>4571</v>
      </c>
      <c r="B1434" s="8">
        <v>1</v>
      </c>
      <c r="C1434" s="8" t="s">
        <v>720</v>
      </c>
      <c r="D1434" s="8" t="s">
        <v>203</v>
      </c>
      <c r="E1434" s="8" t="s">
        <v>428</v>
      </c>
      <c r="F1434" s="8">
        <v>1</v>
      </c>
      <c r="G1434" s="8">
        <v>1</v>
      </c>
      <c r="H1434" s="8">
        <v>1</v>
      </c>
      <c r="I1434" s="11">
        <v>0.2625</v>
      </c>
      <c r="J1434" s="11">
        <v>3.809523809523809</v>
      </c>
      <c r="K1434" s="8">
        <v>1</v>
      </c>
      <c r="L1434" s="8">
        <v>0</v>
      </c>
      <c r="M1434" s="8">
        <v>41</v>
      </c>
      <c r="N1434" s="8">
        <v>118</v>
      </c>
      <c r="O1434" s="11">
        <v>0.09268017709703066</v>
      </c>
      <c r="P1434" s="8" t="s">
        <v>700</v>
      </c>
      <c r="Q1434" s="8" t="s">
        <v>1255</v>
      </c>
      <c r="R1434" s="8">
        <v>41</v>
      </c>
      <c r="S1434" s="11">
        <v>64.15564673356246</v>
      </c>
      <c r="T1434" s="11">
        <v>0.2625</v>
      </c>
      <c r="U1434" s="11">
        <v>0.7375</v>
      </c>
      <c r="V1434" s="11">
        <v>41.7375</v>
      </c>
      <c r="W1434" s="11">
        <v>117.2625</v>
      </c>
      <c r="X1434" s="8" t="s">
        <v>1256</v>
      </c>
    </row>
    <row r="1435" spans="1:24" ht="25" customHeight="1">
      <c r="A1435" s="12">
        <v>4572</v>
      </c>
      <c r="B1435" s="8">
        <v>1</v>
      </c>
      <c r="C1435" s="8" t="s">
        <v>716</v>
      </c>
      <c r="D1435" s="8" t="s">
        <v>203</v>
      </c>
      <c r="E1435" s="8" t="s">
        <v>878</v>
      </c>
      <c r="F1435" s="8">
        <v>15</v>
      </c>
      <c r="G1435" s="8">
        <v>1</v>
      </c>
      <c r="H1435" s="11">
        <v>0.06666666666666667</v>
      </c>
      <c r="I1435" s="11">
        <v>0.04375</v>
      </c>
      <c r="J1435" s="11">
        <v>1.523809523809524</v>
      </c>
      <c r="K1435" s="8">
        <v>1</v>
      </c>
      <c r="L1435" s="8">
        <v>14</v>
      </c>
      <c r="M1435" s="8">
        <v>6</v>
      </c>
      <c r="N1435" s="8">
        <v>139</v>
      </c>
      <c r="O1435" s="11">
        <v>0.6485156937439667</v>
      </c>
      <c r="P1435" s="8" t="s">
        <v>700</v>
      </c>
      <c r="Q1435" s="8" t="s">
        <v>1257</v>
      </c>
      <c r="R1435" s="8">
        <v>42</v>
      </c>
      <c r="S1435" s="11">
        <v>47.47170724556588</v>
      </c>
      <c r="T1435" s="11">
        <v>0.65625</v>
      </c>
      <c r="U1435" s="11">
        <v>14.34375</v>
      </c>
      <c r="V1435" s="11">
        <v>6.34375</v>
      </c>
      <c r="W1435" s="11">
        <v>138.65625</v>
      </c>
      <c r="X1435" s="8" t="s">
        <v>1258</v>
      </c>
    </row>
    <row r="1436" spans="1:24" ht="25" customHeight="1">
      <c r="A1436" s="12">
        <v>4573</v>
      </c>
      <c r="B1436" s="8">
        <v>1</v>
      </c>
      <c r="C1436" s="8" t="s">
        <v>716</v>
      </c>
      <c r="D1436" s="8" t="s">
        <v>811</v>
      </c>
      <c r="E1436" s="8" t="s">
        <v>465</v>
      </c>
      <c r="F1436" s="8">
        <v>2</v>
      </c>
      <c r="G1436" s="8">
        <v>1</v>
      </c>
      <c r="H1436" s="11">
        <v>0.5</v>
      </c>
      <c r="I1436" s="11">
        <v>0.16875</v>
      </c>
      <c r="J1436" s="11">
        <v>2.962962962962963</v>
      </c>
      <c r="K1436" s="8">
        <v>1</v>
      </c>
      <c r="L1436" s="8">
        <v>1</v>
      </c>
      <c r="M1436" s="8">
        <v>26</v>
      </c>
      <c r="N1436" s="8">
        <v>132</v>
      </c>
      <c r="O1436" s="11">
        <v>0.2081466908847539</v>
      </c>
      <c r="P1436" s="8" t="s">
        <v>700</v>
      </c>
      <c r="Q1436" s="8" t="s">
        <v>1259</v>
      </c>
      <c r="R1436" s="8">
        <v>43</v>
      </c>
      <c r="S1436" s="11">
        <v>56.88519247150215</v>
      </c>
      <c r="T1436" s="11">
        <v>0.3375</v>
      </c>
      <c r="U1436" s="11">
        <v>1.6625</v>
      </c>
      <c r="V1436" s="11">
        <v>26.6625</v>
      </c>
      <c r="W1436" s="11">
        <v>131.3375</v>
      </c>
      <c r="X1436" s="8" t="s">
        <v>1260</v>
      </c>
    </row>
    <row r="1437" spans="1:24" ht="25" customHeight="1">
      <c r="A1437" s="12">
        <v>4574</v>
      </c>
      <c r="B1437" s="8">
        <v>1</v>
      </c>
      <c r="C1437" s="8" t="s">
        <v>711</v>
      </c>
      <c r="D1437" s="8" t="s">
        <v>811</v>
      </c>
      <c r="E1437" s="8" t="s">
        <v>541</v>
      </c>
      <c r="F1437" s="8">
        <v>1</v>
      </c>
      <c r="G1437" s="8">
        <v>1</v>
      </c>
      <c r="H1437" s="8">
        <v>1</v>
      </c>
      <c r="I1437" s="11">
        <v>0.025</v>
      </c>
      <c r="J1437" s="8">
        <v>40</v>
      </c>
      <c r="K1437" s="8">
        <v>1</v>
      </c>
      <c r="L1437" s="8">
        <v>0</v>
      </c>
      <c r="M1437" s="8">
        <v>3</v>
      </c>
      <c r="N1437" s="8">
        <v>156</v>
      </c>
      <c r="O1437" s="11">
        <v>3.737702567002527E-10</v>
      </c>
      <c r="P1437" s="8" t="s">
        <v>700</v>
      </c>
      <c r="Q1437" s="8" t="s">
        <v>1261</v>
      </c>
      <c r="R1437" s="8">
        <v>44</v>
      </c>
      <c r="S1437" s="11">
        <v>66.99999999813114</v>
      </c>
      <c r="T1437" s="11">
        <v>0.025</v>
      </c>
      <c r="U1437" s="11">
        <v>0.975</v>
      </c>
      <c r="V1437" s="11">
        <v>3.975</v>
      </c>
      <c r="W1437" s="11">
        <v>155.025</v>
      </c>
      <c r="X1437" s="8" t="s">
        <v>1262</v>
      </c>
    </row>
    <row r="1438" spans="1:24" ht="25" customHeight="1">
      <c r="A1438" s="12">
        <v>4575</v>
      </c>
      <c r="B1438" s="8">
        <v>1</v>
      </c>
      <c r="C1438" s="8" t="s">
        <v>716</v>
      </c>
      <c r="D1438" s="8" t="s">
        <v>811</v>
      </c>
      <c r="E1438" s="8" t="s">
        <v>428</v>
      </c>
      <c r="F1438" s="8">
        <v>2</v>
      </c>
      <c r="G1438" s="8">
        <v>1</v>
      </c>
      <c r="H1438" s="11">
        <v>0.5</v>
      </c>
      <c r="I1438" s="11">
        <v>0.2625</v>
      </c>
      <c r="J1438" s="11">
        <v>1.904761904761905</v>
      </c>
      <c r="K1438" s="8">
        <v>1</v>
      </c>
      <c r="L1438" s="8">
        <v>1</v>
      </c>
      <c r="M1438" s="8">
        <v>41</v>
      </c>
      <c r="N1438" s="8">
        <v>117</v>
      </c>
      <c r="O1438" s="11">
        <v>0.442378785393895</v>
      </c>
      <c r="P1438" s="8" t="s">
        <v>700</v>
      </c>
      <c r="Q1438" s="8" t="s">
        <v>1263</v>
      </c>
      <c r="R1438" s="8">
        <v>45</v>
      </c>
      <c r="S1438" s="11">
        <v>53.59762988255434</v>
      </c>
      <c r="T1438" s="11">
        <v>0.525</v>
      </c>
      <c r="U1438" s="11">
        <v>1.475</v>
      </c>
      <c r="V1438" s="11">
        <v>41.475</v>
      </c>
      <c r="W1438" s="11">
        <v>116.525</v>
      </c>
      <c r="X1438" s="8" t="s">
        <v>1264</v>
      </c>
    </row>
    <row r="1439" spans="1:24" ht="25" customHeight="1">
      <c r="A1439" s="12">
        <v>4576</v>
      </c>
      <c r="B1439" s="8">
        <v>2</v>
      </c>
      <c r="C1439" s="8" t="s">
        <v>716</v>
      </c>
      <c r="D1439" s="8" t="s">
        <v>222</v>
      </c>
      <c r="E1439" s="8" t="s">
        <v>446</v>
      </c>
      <c r="F1439" s="8">
        <v>1</v>
      </c>
      <c r="G1439" s="8">
        <v>1</v>
      </c>
      <c r="H1439" s="8">
        <v>1</v>
      </c>
      <c r="I1439" s="11">
        <v>0.03125</v>
      </c>
      <c r="J1439" s="8">
        <v>32</v>
      </c>
      <c r="K1439" s="8">
        <v>1</v>
      </c>
      <c r="L1439" s="8">
        <v>0</v>
      </c>
      <c r="M1439" s="8">
        <v>4</v>
      </c>
      <c r="N1439" s="8">
        <v>155</v>
      </c>
      <c r="O1439" s="11">
        <v>2.333701583830451E-08</v>
      </c>
      <c r="P1439" s="8" t="s">
        <v>700</v>
      </c>
      <c r="Q1439" s="8" t="s">
        <v>1265</v>
      </c>
      <c r="R1439" s="8">
        <v>46</v>
      </c>
      <c r="S1439" s="11">
        <v>66.99999988331493</v>
      </c>
      <c r="T1439" s="11">
        <v>0.03125</v>
      </c>
      <c r="U1439" s="11">
        <v>0.96875</v>
      </c>
      <c r="V1439" s="11">
        <v>4.96875</v>
      </c>
      <c r="W1439" s="11">
        <v>154.03125</v>
      </c>
      <c r="X1439" s="8" t="s">
        <v>1266</v>
      </c>
    </row>
    <row r="1440" spans="1:24" ht="25" customHeight="1">
      <c r="A1440" s="12">
        <v>4577</v>
      </c>
      <c r="B1440" s="8">
        <v>2</v>
      </c>
      <c r="C1440" s="8" t="s">
        <v>711</v>
      </c>
      <c r="D1440" s="8" t="s">
        <v>203</v>
      </c>
      <c r="E1440" s="8" t="s">
        <v>465</v>
      </c>
      <c r="F1440" s="8">
        <v>4</v>
      </c>
      <c r="G1440" s="8">
        <v>2</v>
      </c>
      <c r="H1440" s="11">
        <v>0.5</v>
      </c>
      <c r="I1440" s="11">
        <v>0.16875</v>
      </c>
      <c r="J1440" s="11">
        <v>2.962962962962963</v>
      </c>
      <c r="K1440" s="8">
        <v>2</v>
      </c>
      <c r="L1440" s="8">
        <v>2</v>
      </c>
      <c r="M1440" s="8">
        <v>25</v>
      </c>
      <c r="N1440" s="8">
        <v>131</v>
      </c>
      <c r="O1440" s="11">
        <v>0.07322695610243087</v>
      </c>
      <c r="P1440" s="8" t="s">
        <v>700</v>
      </c>
      <c r="Q1440" s="8" t="s">
        <v>1267</v>
      </c>
      <c r="R1440" s="8">
        <v>47</v>
      </c>
      <c r="S1440" s="11">
        <v>59.55979114541377</v>
      </c>
      <c r="T1440" s="11">
        <v>0.675</v>
      </c>
      <c r="U1440" s="11">
        <v>3.325</v>
      </c>
      <c r="V1440" s="11">
        <v>26.325</v>
      </c>
      <c r="W1440" s="11">
        <v>129.675</v>
      </c>
      <c r="X1440" s="8" t="s">
        <v>1268</v>
      </c>
    </row>
    <row r="1441" spans="1:24" ht="25" customHeight="1">
      <c r="A1441" s="12">
        <v>4578</v>
      </c>
      <c r="B1441" s="8">
        <v>2</v>
      </c>
      <c r="C1441" s="8" t="s">
        <v>716</v>
      </c>
      <c r="D1441" s="8" t="s">
        <v>203</v>
      </c>
      <c r="E1441" s="8" t="s">
        <v>541</v>
      </c>
      <c r="F1441" s="8">
        <v>13</v>
      </c>
      <c r="G1441" s="8">
        <v>1</v>
      </c>
      <c r="H1441" s="11">
        <v>0.07692307692307693</v>
      </c>
      <c r="I1441" s="11">
        <v>0.025</v>
      </c>
      <c r="J1441" s="11">
        <v>3.076923076923077</v>
      </c>
      <c r="K1441" s="8">
        <v>1</v>
      </c>
      <c r="L1441" s="8">
        <v>12</v>
      </c>
      <c r="M1441" s="8">
        <v>3</v>
      </c>
      <c r="N1441" s="8">
        <v>144</v>
      </c>
      <c r="O1441" s="11">
        <v>0.2109304851933418</v>
      </c>
      <c r="P1441" s="8" t="s">
        <v>700</v>
      </c>
      <c r="Q1441" s="8" t="s">
        <v>1269</v>
      </c>
      <c r="R1441" s="8">
        <v>48</v>
      </c>
      <c r="S1441" s="11">
        <v>52.86842449711021</v>
      </c>
      <c r="T1441" s="11">
        <v>0.325</v>
      </c>
      <c r="U1441" s="11">
        <v>12.675</v>
      </c>
      <c r="V1441" s="11">
        <v>3.675</v>
      </c>
      <c r="W1441" s="11">
        <v>143.325</v>
      </c>
      <c r="X1441" s="8" t="s">
        <v>1270</v>
      </c>
    </row>
    <row r="1442" spans="1:24" ht="25" customHeight="1">
      <c r="A1442" s="12">
        <v>4579</v>
      </c>
      <c r="B1442" s="8">
        <v>2</v>
      </c>
      <c r="C1442" s="8" t="s">
        <v>716</v>
      </c>
      <c r="D1442" s="8" t="s">
        <v>206</v>
      </c>
      <c r="E1442" s="8" t="s">
        <v>449</v>
      </c>
      <c r="F1442" s="8">
        <v>9</v>
      </c>
      <c r="G1442" s="8">
        <v>2</v>
      </c>
      <c r="H1442" s="11">
        <v>0.2222222222222222</v>
      </c>
      <c r="I1442" s="11">
        <v>0.1875</v>
      </c>
      <c r="J1442" s="11">
        <v>1.185185185185185</v>
      </c>
      <c r="K1442" s="8">
        <v>2</v>
      </c>
      <c r="L1442" s="8">
        <v>7</v>
      </c>
      <c r="M1442" s="8">
        <v>28</v>
      </c>
      <c r="N1442" s="8">
        <v>123</v>
      </c>
      <c r="O1442" s="11">
        <v>0.7835324890516485</v>
      </c>
      <c r="P1442" s="8" t="s">
        <v>700</v>
      </c>
      <c r="Q1442" s="8" t="s">
        <v>1271</v>
      </c>
      <c r="R1442" s="8">
        <v>49</v>
      </c>
      <c r="S1442" s="11">
        <v>49.67493014733435</v>
      </c>
      <c r="T1442" s="11">
        <v>1.6875</v>
      </c>
      <c r="U1442" s="11">
        <v>7.3125</v>
      </c>
      <c r="V1442" s="11">
        <v>28.3125</v>
      </c>
      <c r="W1442" s="11">
        <v>122.6875</v>
      </c>
      <c r="X1442" s="8" t="s">
        <v>1272</v>
      </c>
    </row>
    <row r="1443" spans="1:24" ht="25" customHeight="1">
      <c r="A1443" s="12">
        <v>4580</v>
      </c>
      <c r="B1443" s="8">
        <v>2</v>
      </c>
      <c r="C1443" s="8" t="s">
        <v>706</v>
      </c>
      <c r="D1443" s="8" t="s">
        <v>203</v>
      </c>
      <c r="E1443" s="8" t="s">
        <v>468</v>
      </c>
      <c r="F1443" s="8">
        <v>1</v>
      </c>
      <c r="G1443" s="8">
        <v>1</v>
      </c>
      <c r="H1443" s="8">
        <v>1</v>
      </c>
      <c r="I1443" s="11">
        <v>0.05</v>
      </c>
      <c r="J1443" s="8">
        <v>20</v>
      </c>
      <c r="K1443" s="8">
        <v>1</v>
      </c>
      <c r="L1443" s="8">
        <v>0</v>
      </c>
      <c r="M1443" s="8">
        <v>7</v>
      </c>
      <c r="N1443" s="8">
        <v>152</v>
      </c>
      <c r="O1443" s="11">
        <v>1.227841633945058E-05</v>
      </c>
      <c r="P1443" s="8" t="s">
        <v>700</v>
      </c>
      <c r="Q1443" s="8" t="s">
        <v>1273</v>
      </c>
      <c r="R1443" s="8">
        <v>50</v>
      </c>
      <c r="S1443" s="11">
        <v>66.9999386079183</v>
      </c>
      <c r="T1443" s="11">
        <v>0.05</v>
      </c>
      <c r="U1443" s="11">
        <v>0.95</v>
      </c>
      <c r="V1443" s="11">
        <v>7.95</v>
      </c>
      <c r="W1443" s="11">
        <v>151.05</v>
      </c>
      <c r="X1443" s="8" t="s">
        <v>1274</v>
      </c>
    </row>
    <row r="1444" spans="1:24" ht="25" customHeight="1">
      <c r="A1444" s="12">
        <v>4581</v>
      </c>
      <c r="B1444" s="8">
        <v>2</v>
      </c>
      <c r="C1444" s="8" t="s">
        <v>716</v>
      </c>
      <c r="D1444" s="8" t="s">
        <v>203</v>
      </c>
      <c r="E1444" s="8" t="s">
        <v>449</v>
      </c>
      <c r="F1444" s="8">
        <v>13</v>
      </c>
      <c r="G1444" s="8">
        <v>3</v>
      </c>
      <c r="H1444" s="11">
        <v>0.2307692307692308</v>
      </c>
      <c r="I1444" s="11">
        <v>0.1875</v>
      </c>
      <c r="J1444" s="11">
        <v>1.230769230769231</v>
      </c>
      <c r="K1444" s="8">
        <v>3</v>
      </c>
      <c r="L1444" s="8">
        <v>10</v>
      </c>
      <c r="M1444" s="8">
        <v>27</v>
      </c>
      <c r="N1444" s="8">
        <v>120</v>
      </c>
      <c r="O1444" s="11">
        <v>0.676675739781931</v>
      </c>
      <c r="P1444" s="8" t="s">
        <v>700</v>
      </c>
      <c r="Q1444" s="8" t="s">
        <v>1275</v>
      </c>
      <c r="R1444" s="8">
        <v>51</v>
      </c>
      <c r="S1444" s="11">
        <v>52.38585207032111</v>
      </c>
      <c r="T1444" s="11">
        <v>2.4375</v>
      </c>
      <c r="U1444" s="11">
        <v>10.5625</v>
      </c>
      <c r="V1444" s="11">
        <v>27.5625</v>
      </c>
      <c r="W1444" s="11">
        <v>119.4375</v>
      </c>
      <c r="X1444" s="8" t="s">
        <v>1276</v>
      </c>
    </row>
    <row r="1445" spans="1:24" ht="25" customHeight="1">
      <c r="A1445" s="12">
        <v>4582</v>
      </c>
      <c r="B1445" s="8">
        <v>2</v>
      </c>
      <c r="C1445" s="8" t="s">
        <v>720</v>
      </c>
      <c r="D1445" s="8" t="s">
        <v>203</v>
      </c>
      <c r="E1445" s="8" t="s">
        <v>446</v>
      </c>
      <c r="F1445" s="8">
        <v>6</v>
      </c>
      <c r="G1445" s="8">
        <v>1</v>
      </c>
      <c r="H1445" s="11">
        <v>0.1666666666666667</v>
      </c>
      <c r="I1445" s="11">
        <v>0.03125</v>
      </c>
      <c r="J1445" s="11">
        <v>5.333333333333333</v>
      </c>
      <c r="K1445" s="8">
        <v>1</v>
      </c>
      <c r="L1445" s="8">
        <v>5</v>
      </c>
      <c r="M1445" s="8">
        <v>4</v>
      </c>
      <c r="N1445" s="8">
        <v>150</v>
      </c>
      <c r="O1445" s="11">
        <v>0.05199253582139562</v>
      </c>
      <c r="P1445" s="8" t="s">
        <v>700</v>
      </c>
      <c r="Q1445" s="8" t="s">
        <v>1277</v>
      </c>
      <c r="R1445" s="8">
        <v>52</v>
      </c>
      <c r="S1445" s="11">
        <v>58.40670398755969</v>
      </c>
      <c r="T1445" s="11">
        <v>0.1875</v>
      </c>
      <c r="U1445" s="11">
        <v>5.8125</v>
      </c>
      <c r="V1445" s="11">
        <v>4.8125</v>
      </c>
      <c r="W1445" s="11">
        <v>149.1875</v>
      </c>
      <c r="X1445" s="8" t="s">
        <v>1278</v>
      </c>
    </row>
    <row r="1446" spans="1:24" ht="25" customHeight="1">
      <c r="A1446" s="12">
        <v>4583</v>
      </c>
      <c r="B1446" s="8">
        <v>2</v>
      </c>
      <c r="C1446" s="8" t="s">
        <v>706</v>
      </c>
      <c r="D1446" s="8" t="s">
        <v>206</v>
      </c>
      <c r="E1446" s="8" t="s">
        <v>574</v>
      </c>
      <c r="F1446" s="8">
        <v>5</v>
      </c>
      <c r="G1446" s="8">
        <v>1</v>
      </c>
      <c r="H1446" s="11">
        <v>0.2</v>
      </c>
      <c r="I1446" s="11">
        <v>0.03125</v>
      </c>
      <c r="J1446" s="11">
        <v>6.4</v>
      </c>
      <c r="K1446" s="8">
        <v>1</v>
      </c>
      <c r="L1446" s="8">
        <v>4</v>
      </c>
      <c r="M1446" s="8">
        <v>4</v>
      </c>
      <c r="N1446" s="8">
        <v>151</v>
      </c>
      <c r="O1446" s="11">
        <v>0.02756702829938931</v>
      </c>
      <c r="P1446" s="8" t="s">
        <v>700</v>
      </c>
      <c r="Q1446" s="8" t="s">
        <v>1279</v>
      </c>
      <c r="R1446" s="8">
        <v>53</v>
      </c>
      <c r="S1446" s="11">
        <v>58.86216485850305</v>
      </c>
      <c r="T1446" s="11">
        <v>0.15625</v>
      </c>
      <c r="U1446" s="11">
        <v>4.84375</v>
      </c>
      <c r="V1446" s="11">
        <v>4.84375</v>
      </c>
      <c r="W1446" s="11">
        <v>150.15625</v>
      </c>
      <c r="X1446" s="8" t="s">
        <v>1280</v>
      </c>
    </row>
    <row r="1447" spans="1:24" ht="25" customHeight="1">
      <c r="A1447" s="12">
        <v>4584</v>
      </c>
      <c r="B1447" s="8">
        <v>2</v>
      </c>
      <c r="C1447" s="8" t="s">
        <v>706</v>
      </c>
      <c r="D1447" s="8" t="s">
        <v>206</v>
      </c>
      <c r="E1447" s="8" t="s">
        <v>449</v>
      </c>
      <c r="F1447" s="8">
        <v>5</v>
      </c>
      <c r="G1447" s="8">
        <v>2</v>
      </c>
      <c r="H1447" s="11">
        <v>0.4</v>
      </c>
      <c r="I1447" s="11">
        <v>0.1875</v>
      </c>
      <c r="J1447" s="11">
        <v>2.133333333333333</v>
      </c>
      <c r="K1447" s="8">
        <v>2</v>
      </c>
      <c r="L1447" s="8">
        <v>3</v>
      </c>
      <c r="M1447" s="8">
        <v>28</v>
      </c>
      <c r="N1447" s="8">
        <v>127</v>
      </c>
      <c r="O1447" s="11">
        <v>0.2161335493315663</v>
      </c>
      <c r="P1447" s="8" t="s">
        <v>700</v>
      </c>
      <c r="Q1447" s="8" t="s">
        <v>1281</v>
      </c>
      <c r="R1447" s="8">
        <v>54</v>
      </c>
      <c r="S1447" s="11">
        <v>56.18599892000884</v>
      </c>
      <c r="T1447" s="11">
        <v>0.9375</v>
      </c>
      <c r="U1447" s="11">
        <v>4.0625</v>
      </c>
      <c r="V1447" s="11">
        <v>29.0625</v>
      </c>
      <c r="W1447" s="11">
        <v>125.9375</v>
      </c>
      <c r="X1447" s="8" t="s">
        <v>1282</v>
      </c>
    </row>
    <row r="1448" spans="1:24" ht="25" customHeight="1">
      <c r="A1448" s="12">
        <v>4585</v>
      </c>
      <c r="B1448" s="8">
        <v>2</v>
      </c>
      <c r="C1448" s="8" t="s">
        <v>711</v>
      </c>
      <c r="D1448" s="8" t="s">
        <v>203</v>
      </c>
      <c r="E1448" s="8" t="s">
        <v>428</v>
      </c>
      <c r="F1448" s="8">
        <v>4</v>
      </c>
      <c r="G1448" s="8">
        <v>1</v>
      </c>
      <c r="H1448" s="11">
        <v>0.25</v>
      </c>
      <c r="I1448" s="11">
        <v>0.2625</v>
      </c>
      <c r="J1448" s="11">
        <v>0.9523809523809523</v>
      </c>
      <c r="K1448" s="8">
        <v>1</v>
      </c>
      <c r="L1448" s="8">
        <v>3</v>
      </c>
      <c r="M1448" s="8">
        <v>41</v>
      </c>
      <c r="N1448" s="8">
        <v>115</v>
      </c>
      <c r="O1448" s="11">
        <v>0.9541127029093731</v>
      </c>
      <c r="P1448" s="8" t="s">
        <v>700</v>
      </c>
      <c r="Q1448" s="8" t="s">
        <v>1283</v>
      </c>
      <c r="R1448" s="8">
        <v>55</v>
      </c>
      <c r="S1448" s="11">
        <v>46.63419839021504</v>
      </c>
      <c r="T1448" s="11">
        <v>1.05</v>
      </c>
      <c r="U1448" s="11">
        <v>2.95</v>
      </c>
      <c r="V1448" s="11">
        <v>40.95</v>
      </c>
      <c r="W1448" s="11">
        <v>115.05</v>
      </c>
      <c r="X1448" s="8" t="s">
        <v>1284</v>
      </c>
    </row>
    <row r="1449" spans="1:24" ht="25" customHeight="1">
      <c r="A1449" s="12">
        <v>4586</v>
      </c>
      <c r="B1449" s="8">
        <v>2</v>
      </c>
      <c r="C1449" s="8" t="s">
        <v>716</v>
      </c>
      <c r="D1449" s="8" t="s">
        <v>203</v>
      </c>
      <c r="E1449" s="8" t="s">
        <v>611</v>
      </c>
      <c r="F1449" s="8">
        <v>13</v>
      </c>
      <c r="G1449" s="8">
        <v>1</v>
      </c>
      <c r="H1449" s="11">
        <v>0.07692307692307693</v>
      </c>
      <c r="I1449" s="11">
        <v>0.01875</v>
      </c>
      <c r="J1449" s="11">
        <v>4.102564102564103</v>
      </c>
      <c r="K1449" s="8">
        <v>1</v>
      </c>
      <c r="L1449" s="8">
        <v>12</v>
      </c>
      <c r="M1449" s="8">
        <v>2</v>
      </c>
      <c r="N1449" s="8">
        <v>145</v>
      </c>
      <c r="O1449" s="11">
        <v>0.1066878725817827</v>
      </c>
      <c r="P1449" s="8" t="s">
        <v>700</v>
      </c>
      <c r="Q1449" s="8" t="s">
        <v>1285</v>
      </c>
      <c r="R1449" s="8">
        <v>56</v>
      </c>
      <c r="S1449" s="11">
        <v>55.44091961145006</v>
      </c>
      <c r="T1449" s="11">
        <v>0.24375</v>
      </c>
      <c r="U1449" s="11">
        <v>12.75625</v>
      </c>
      <c r="V1449" s="11">
        <v>2.75625</v>
      </c>
      <c r="W1449" s="11">
        <v>144.24375</v>
      </c>
      <c r="X1449" s="8" t="s">
        <v>1286</v>
      </c>
    </row>
    <row r="1450" spans="1:24" ht="25" customHeight="1">
      <c r="A1450" s="12">
        <v>4587</v>
      </c>
      <c r="B1450" s="8">
        <v>2</v>
      </c>
      <c r="C1450" s="8" t="s">
        <v>711</v>
      </c>
      <c r="D1450" s="8" t="s">
        <v>222</v>
      </c>
      <c r="E1450" s="8" t="s">
        <v>449</v>
      </c>
      <c r="F1450" s="8">
        <v>1</v>
      </c>
      <c r="G1450" s="8">
        <v>1</v>
      </c>
      <c r="H1450" s="8">
        <v>1</v>
      </c>
      <c r="I1450" s="11">
        <v>0.1875</v>
      </c>
      <c r="J1450" s="11">
        <v>5.333333333333333</v>
      </c>
      <c r="K1450" s="8">
        <v>1</v>
      </c>
      <c r="L1450" s="8">
        <v>0</v>
      </c>
      <c r="M1450" s="8">
        <v>29</v>
      </c>
      <c r="N1450" s="8">
        <v>130</v>
      </c>
      <c r="O1450" s="11">
        <v>0.03677962974044771</v>
      </c>
      <c r="P1450" s="8" t="s">
        <v>700</v>
      </c>
      <c r="Q1450" s="8" t="s">
        <v>1287</v>
      </c>
      <c r="R1450" s="8">
        <v>57</v>
      </c>
      <c r="S1450" s="11">
        <v>66.81610185129776</v>
      </c>
      <c r="T1450" s="11">
        <v>0.1875</v>
      </c>
      <c r="U1450" s="11">
        <v>0.8125</v>
      </c>
      <c r="V1450" s="11">
        <v>29.8125</v>
      </c>
      <c r="W1450" s="11">
        <v>129.1875</v>
      </c>
      <c r="X1450" s="8" t="s">
        <v>1288</v>
      </c>
    </row>
    <row r="1451" spans="1:24" ht="25" customHeight="1">
      <c r="A1451" s="12">
        <v>4588</v>
      </c>
      <c r="B1451" s="8">
        <v>2</v>
      </c>
      <c r="C1451" s="8" t="s">
        <v>720</v>
      </c>
      <c r="D1451" s="8" t="s">
        <v>203</v>
      </c>
      <c r="E1451" s="8" t="s">
        <v>443</v>
      </c>
      <c r="F1451" s="8">
        <v>6</v>
      </c>
      <c r="G1451" s="8">
        <v>1</v>
      </c>
      <c r="H1451" s="11">
        <v>0.1666666666666667</v>
      </c>
      <c r="I1451" s="11">
        <v>0.0125</v>
      </c>
      <c r="J1451" s="11">
        <v>13.33333333333333</v>
      </c>
      <c r="K1451" s="8">
        <v>1</v>
      </c>
      <c r="L1451" s="8">
        <v>5</v>
      </c>
      <c r="M1451" s="8">
        <v>1</v>
      </c>
      <c r="N1451" s="8">
        <v>153</v>
      </c>
      <c r="O1451" s="11">
        <v>0.0005311927088539074</v>
      </c>
      <c r="P1451" s="8" t="s">
        <v>700</v>
      </c>
      <c r="Q1451" s="8" t="s">
        <v>1289</v>
      </c>
      <c r="R1451" s="8">
        <v>58</v>
      </c>
      <c r="S1451" s="11">
        <v>58.66401070312239</v>
      </c>
      <c r="T1451" s="11">
        <v>0.075</v>
      </c>
      <c r="U1451" s="11">
        <v>5.925</v>
      </c>
      <c r="V1451" s="11">
        <v>1.925</v>
      </c>
      <c r="W1451" s="11">
        <v>152.075</v>
      </c>
      <c r="X1451" s="8" t="s">
        <v>1290</v>
      </c>
    </row>
    <row r="1452" spans="1:24" ht="25" customHeight="1">
      <c r="A1452" s="12">
        <v>4589</v>
      </c>
      <c r="B1452" s="8">
        <v>2</v>
      </c>
      <c r="C1452" s="8" t="s">
        <v>711</v>
      </c>
      <c r="D1452" s="8" t="s">
        <v>206</v>
      </c>
      <c r="E1452" s="8" t="s">
        <v>428</v>
      </c>
      <c r="F1452" s="8">
        <v>3</v>
      </c>
      <c r="G1452" s="8">
        <v>1</v>
      </c>
      <c r="H1452" s="11">
        <v>0.3333333333333333</v>
      </c>
      <c r="I1452" s="11">
        <v>0.2625</v>
      </c>
      <c r="J1452" s="11">
        <v>1.26984126984127</v>
      </c>
      <c r="K1452" s="8">
        <v>1</v>
      </c>
      <c r="L1452" s="8">
        <v>2</v>
      </c>
      <c r="M1452" s="8">
        <v>41</v>
      </c>
      <c r="N1452" s="8">
        <v>116</v>
      </c>
      <c r="O1452" s="11">
        <v>0.7783346790490715</v>
      </c>
      <c r="P1452" s="8" t="s">
        <v>700</v>
      </c>
      <c r="Q1452" s="8" t="s">
        <v>1291</v>
      </c>
      <c r="R1452" s="8">
        <v>59</v>
      </c>
      <c r="S1452" s="11">
        <v>48.98134247777052</v>
      </c>
      <c r="T1452" s="11">
        <v>0.7875</v>
      </c>
      <c r="U1452" s="11">
        <v>2.2125</v>
      </c>
      <c r="V1452" s="11">
        <v>41.2125</v>
      </c>
      <c r="W1452" s="11">
        <v>115.7875</v>
      </c>
      <c r="X1452" s="8" t="s">
        <v>1292</v>
      </c>
    </row>
    <row r="1453" spans="1:24" ht="25" customHeight="1">
      <c r="A1453" s="12">
        <v>4590</v>
      </c>
      <c r="B1453" s="8">
        <v>2</v>
      </c>
      <c r="C1453" s="8" t="s">
        <v>716</v>
      </c>
      <c r="D1453" s="8" t="s">
        <v>203</v>
      </c>
      <c r="E1453" s="8" t="s">
        <v>428</v>
      </c>
      <c r="F1453" s="8">
        <v>13</v>
      </c>
      <c r="G1453" s="8">
        <v>1</v>
      </c>
      <c r="H1453" s="11">
        <v>0.07692307692307693</v>
      </c>
      <c r="I1453" s="11">
        <v>0.2625</v>
      </c>
      <c r="J1453" s="11">
        <v>0.2930402930402931</v>
      </c>
      <c r="K1453" s="8">
        <v>1</v>
      </c>
      <c r="L1453" s="8">
        <v>12</v>
      </c>
      <c r="M1453" s="8">
        <v>41</v>
      </c>
      <c r="N1453" s="8">
        <v>106</v>
      </c>
      <c r="O1453" s="11">
        <v>0.1126166360071147</v>
      </c>
      <c r="P1453" s="8" t="s">
        <v>700</v>
      </c>
      <c r="Q1453" s="8" t="s">
        <v>1293</v>
      </c>
      <c r="R1453" s="8">
        <v>60</v>
      </c>
      <c r="S1453" s="11">
        <v>47.79222817527577</v>
      </c>
      <c r="T1453" s="11">
        <v>3.4125</v>
      </c>
      <c r="U1453" s="11">
        <v>9.5875</v>
      </c>
      <c r="V1453" s="11">
        <v>38.5875</v>
      </c>
      <c r="W1453" s="11">
        <v>108.4125</v>
      </c>
      <c r="X1453" s="8" t="s">
        <v>1294</v>
      </c>
    </row>
    <row r="1454" spans="1:24" ht="25" customHeight="1">
      <c r="A1454" s="12">
        <v>4591</v>
      </c>
      <c r="B1454" s="8">
        <v>2</v>
      </c>
      <c r="C1454" s="8" t="s">
        <v>706</v>
      </c>
      <c r="D1454" s="8" t="s">
        <v>206</v>
      </c>
      <c r="E1454" s="8" t="s">
        <v>428</v>
      </c>
      <c r="F1454" s="8">
        <v>5</v>
      </c>
      <c r="G1454" s="8">
        <v>2</v>
      </c>
      <c r="H1454" s="11">
        <v>0.4</v>
      </c>
      <c r="I1454" s="11">
        <v>0.2625</v>
      </c>
      <c r="J1454" s="11">
        <v>1.523809523809524</v>
      </c>
      <c r="K1454" s="8">
        <v>2</v>
      </c>
      <c r="L1454" s="8">
        <v>3</v>
      </c>
      <c r="M1454" s="8">
        <v>40</v>
      </c>
      <c r="N1454" s="8">
        <v>115</v>
      </c>
      <c r="O1454" s="11">
        <v>0.47772661410242</v>
      </c>
      <c r="P1454" s="8" t="s">
        <v>700</v>
      </c>
      <c r="Q1454" s="8" t="s">
        <v>1295</v>
      </c>
      <c r="R1454" s="8">
        <v>61</v>
      </c>
      <c r="S1454" s="11">
        <v>53.65898597710695</v>
      </c>
      <c r="T1454" s="11">
        <v>1.3125</v>
      </c>
      <c r="U1454" s="11">
        <v>3.6875</v>
      </c>
      <c r="V1454" s="11">
        <v>40.6875</v>
      </c>
      <c r="W1454" s="11">
        <v>114.3125</v>
      </c>
      <c r="X1454" s="8" t="s">
        <v>1296</v>
      </c>
    </row>
    <row r="1455" spans="1:24" ht="25" customHeight="1">
      <c r="A1455" s="12">
        <v>4592</v>
      </c>
      <c r="B1455" s="8">
        <v>2</v>
      </c>
      <c r="C1455" s="8" t="s">
        <v>716</v>
      </c>
      <c r="D1455" s="8" t="s">
        <v>203</v>
      </c>
      <c r="E1455" s="8" t="s">
        <v>465</v>
      </c>
      <c r="F1455" s="8">
        <v>13</v>
      </c>
      <c r="G1455" s="8">
        <v>3</v>
      </c>
      <c r="H1455" s="11">
        <v>0.2307692307692308</v>
      </c>
      <c r="I1455" s="11">
        <v>0.16875</v>
      </c>
      <c r="J1455" s="11">
        <v>1.367521367521368</v>
      </c>
      <c r="K1455" s="8">
        <v>3</v>
      </c>
      <c r="L1455" s="8">
        <v>10</v>
      </c>
      <c r="M1455" s="8">
        <v>24</v>
      </c>
      <c r="N1455" s="8">
        <v>123</v>
      </c>
      <c r="O1455" s="11">
        <v>0.5333565300764926</v>
      </c>
      <c r="P1455" s="8" t="s">
        <v>700</v>
      </c>
      <c r="Q1455" s="8" t="s">
        <v>1297</v>
      </c>
      <c r="R1455" s="8">
        <v>62</v>
      </c>
      <c r="S1455" s="11">
        <v>53.37595239235257</v>
      </c>
      <c r="T1455" s="11">
        <v>2.19375</v>
      </c>
      <c r="U1455" s="11">
        <v>10.80625</v>
      </c>
      <c r="V1455" s="11">
        <v>24.80625</v>
      </c>
      <c r="W1455" s="11">
        <v>122.19375</v>
      </c>
      <c r="X1455" s="8" t="s">
        <v>1298</v>
      </c>
    </row>
    <row r="1456" spans="1:24" ht="25" customHeight="1">
      <c r="A1456" s="12">
        <v>4593</v>
      </c>
      <c r="B1456" s="8">
        <v>2</v>
      </c>
      <c r="C1456" s="8" t="s">
        <v>716</v>
      </c>
      <c r="D1456" s="8" t="s">
        <v>206</v>
      </c>
      <c r="E1456" s="8" t="s">
        <v>428</v>
      </c>
      <c r="F1456" s="8">
        <v>9</v>
      </c>
      <c r="G1456" s="8">
        <v>4</v>
      </c>
      <c r="H1456" s="11">
        <v>0.4444444444444444</v>
      </c>
      <c r="I1456" s="11">
        <v>0.2625</v>
      </c>
      <c r="J1456" s="11">
        <v>1.693121693121693</v>
      </c>
      <c r="K1456" s="8">
        <v>4</v>
      </c>
      <c r="L1456" s="8">
        <v>5</v>
      </c>
      <c r="M1456" s="8">
        <v>38</v>
      </c>
      <c r="N1456" s="8">
        <v>113</v>
      </c>
      <c r="O1456" s="11">
        <v>0.201607429292867</v>
      </c>
      <c r="P1456" s="8" t="s">
        <v>700</v>
      </c>
      <c r="Q1456" s="8" t="s">
        <v>1299</v>
      </c>
      <c r="R1456" s="8">
        <v>63</v>
      </c>
      <c r="S1456" s="11">
        <v>59.8226506842235</v>
      </c>
      <c r="T1456" s="11">
        <v>2.3625</v>
      </c>
      <c r="U1456" s="11">
        <v>6.6375</v>
      </c>
      <c r="V1456" s="11">
        <v>39.6375</v>
      </c>
      <c r="W1456" s="11">
        <v>111.3625</v>
      </c>
      <c r="X1456" s="8" t="s">
        <v>1300</v>
      </c>
    </row>
    <row r="1457" spans="1:24" ht="25" customHeight="1">
      <c r="A1457" s="12">
        <v>4594</v>
      </c>
      <c r="B1457" s="8">
        <v>2</v>
      </c>
      <c r="C1457" s="8" t="s">
        <v>716</v>
      </c>
      <c r="D1457" s="8" t="s">
        <v>203</v>
      </c>
      <c r="E1457" s="8" t="s">
        <v>452</v>
      </c>
      <c r="F1457" s="8">
        <v>13</v>
      </c>
      <c r="G1457" s="8">
        <v>1</v>
      </c>
      <c r="H1457" s="11">
        <v>0.07692307692307693</v>
      </c>
      <c r="I1457" s="11">
        <v>0.03125</v>
      </c>
      <c r="J1457" s="11">
        <v>2.461538461538462</v>
      </c>
      <c r="K1457" s="8">
        <v>1</v>
      </c>
      <c r="L1457" s="8">
        <v>12</v>
      </c>
      <c r="M1457" s="8">
        <v>4</v>
      </c>
      <c r="N1457" s="8">
        <v>143</v>
      </c>
      <c r="O1457" s="11">
        <v>0.3234362463308156</v>
      </c>
      <c r="P1457" s="8" t="s">
        <v>700</v>
      </c>
      <c r="Q1457" s="8" t="s">
        <v>1301</v>
      </c>
      <c r="R1457" s="8">
        <v>64</v>
      </c>
      <c r="S1457" s="11">
        <v>51.07512646065361</v>
      </c>
      <c r="T1457" s="11">
        <v>0.40625</v>
      </c>
      <c r="U1457" s="11">
        <v>12.59375</v>
      </c>
      <c r="V1457" s="11">
        <v>4.59375</v>
      </c>
      <c r="W1457" s="11">
        <v>142.40625</v>
      </c>
      <c r="X1457" s="8" t="s">
        <v>1302</v>
      </c>
    </row>
    <row r="1458" spans="1:24" ht="25" customHeight="1">
      <c r="A1458" s="12">
        <v>4595</v>
      </c>
      <c r="B1458" s="8">
        <v>2</v>
      </c>
      <c r="C1458" s="8" t="s">
        <v>711</v>
      </c>
      <c r="D1458" s="8" t="s">
        <v>206</v>
      </c>
      <c r="E1458" s="8" t="s">
        <v>452</v>
      </c>
      <c r="F1458" s="8">
        <v>3</v>
      </c>
      <c r="G1458" s="8">
        <v>1</v>
      </c>
      <c r="H1458" s="11">
        <v>0.3333333333333333</v>
      </c>
      <c r="I1458" s="11">
        <v>0.03125</v>
      </c>
      <c r="J1458" s="11">
        <v>10.66666666666667</v>
      </c>
      <c r="K1458" s="8">
        <v>1</v>
      </c>
      <c r="L1458" s="8">
        <v>2</v>
      </c>
      <c r="M1458" s="8">
        <v>4</v>
      </c>
      <c r="N1458" s="8">
        <v>153</v>
      </c>
      <c r="O1458" s="11">
        <v>0.00239934408086701</v>
      </c>
      <c r="P1458" s="8" t="s">
        <v>700</v>
      </c>
      <c r="Q1458" s="8" t="s">
        <v>1303</v>
      </c>
      <c r="R1458" s="8">
        <v>65</v>
      </c>
      <c r="S1458" s="11">
        <v>60.321336612929</v>
      </c>
      <c r="T1458" s="11">
        <v>0.09375</v>
      </c>
      <c r="U1458" s="11">
        <v>2.90625</v>
      </c>
      <c r="V1458" s="11">
        <v>4.90625</v>
      </c>
      <c r="W1458" s="11">
        <v>152.09375</v>
      </c>
      <c r="X1458" s="8" t="s">
        <v>1304</v>
      </c>
    </row>
    <row r="1459" spans="1:24" ht="25" customHeight="1">
      <c r="A1459" s="12">
        <v>4596</v>
      </c>
      <c r="B1459" s="8">
        <v>2</v>
      </c>
      <c r="C1459" s="8" t="s">
        <v>716</v>
      </c>
      <c r="D1459" s="8" t="s">
        <v>206</v>
      </c>
      <c r="E1459" s="8" t="s">
        <v>957</v>
      </c>
      <c r="F1459" s="8">
        <v>9</v>
      </c>
      <c r="G1459" s="8">
        <v>1</v>
      </c>
      <c r="H1459" s="11">
        <v>0.1111111111111111</v>
      </c>
      <c r="I1459" s="11">
        <v>0.00625</v>
      </c>
      <c r="J1459" s="11">
        <v>17.77777777777778</v>
      </c>
      <c r="K1459" s="8">
        <v>1</v>
      </c>
      <c r="L1459" s="8">
        <v>8</v>
      </c>
      <c r="M1459" s="8">
        <v>0</v>
      </c>
      <c r="N1459" s="8">
        <v>151</v>
      </c>
      <c r="O1459" s="11">
        <v>3.974980673544505E-05</v>
      </c>
      <c r="P1459" s="8" t="s">
        <v>700</v>
      </c>
      <c r="Q1459" s="8" t="s">
        <v>1305</v>
      </c>
      <c r="R1459" s="8">
        <v>66</v>
      </c>
      <c r="S1459" s="11">
        <v>58.11091236207744</v>
      </c>
      <c r="T1459" s="11">
        <v>0.05625</v>
      </c>
      <c r="U1459" s="11">
        <v>8.94375</v>
      </c>
      <c r="V1459" s="11">
        <v>0.94375</v>
      </c>
      <c r="W1459" s="11">
        <v>150.05625</v>
      </c>
      <c r="X1459" s="8" t="s">
        <v>1306</v>
      </c>
    </row>
    <row r="1460" spans="1:24" ht="25" customHeight="1">
      <c r="A1460" s="12">
        <v>4597</v>
      </c>
      <c r="B1460" s="8">
        <v>2</v>
      </c>
      <c r="C1460" s="8" t="s">
        <v>716</v>
      </c>
      <c r="D1460" s="8" t="s">
        <v>203</v>
      </c>
      <c r="E1460" s="8" t="s">
        <v>574</v>
      </c>
      <c r="F1460" s="8">
        <v>13</v>
      </c>
      <c r="G1460" s="8">
        <v>1</v>
      </c>
      <c r="H1460" s="11">
        <v>0.07692307692307693</v>
      </c>
      <c r="I1460" s="11">
        <v>0.03125</v>
      </c>
      <c r="J1460" s="11">
        <v>2.461538461538462</v>
      </c>
      <c r="K1460" s="8">
        <v>1</v>
      </c>
      <c r="L1460" s="8">
        <v>12</v>
      </c>
      <c r="M1460" s="8">
        <v>4</v>
      </c>
      <c r="N1460" s="8">
        <v>143</v>
      </c>
      <c r="O1460" s="11">
        <v>0.3234362463308156</v>
      </c>
      <c r="P1460" s="8" t="s">
        <v>700</v>
      </c>
      <c r="Q1460" s="8" t="s">
        <v>1307</v>
      </c>
      <c r="R1460" s="8">
        <v>67</v>
      </c>
      <c r="S1460" s="11">
        <v>51.07512646065361</v>
      </c>
      <c r="T1460" s="11">
        <v>0.40625</v>
      </c>
      <c r="U1460" s="11">
        <v>12.59375</v>
      </c>
      <c r="V1460" s="11">
        <v>4.59375</v>
      </c>
      <c r="W1460" s="11">
        <v>142.40625</v>
      </c>
      <c r="X1460" s="8" t="s">
        <v>1302</v>
      </c>
    </row>
    <row r="1461" spans="1:24" ht="25" customHeight="1">
      <c r="A1461" s="12">
        <v>4598</v>
      </c>
      <c r="B1461" s="8">
        <v>2</v>
      </c>
      <c r="C1461" s="8" t="s">
        <v>716</v>
      </c>
      <c r="D1461" s="8" t="s">
        <v>203</v>
      </c>
      <c r="E1461" s="8" t="s">
        <v>468</v>
      </c>
      <c r="F1461" s="8">
        <v>13</v>
      </c>
      <c r="G1461" s="8">
        <v>1</v>
      </c>
      <c r="H1461" s="11">
        <v>0.07692307692307693</v>
      </c>
      <c r="I1461" s="11">
        <v>0.05</v>
      </c>
      <c r="J1461" s="11">
        <v>1.538461538461539</v>
      </c>
      <c r="K1461" s="8">
        <v>1</v>
      </c>
      <c r="L1461" s="8">
        <v>12</v>
      </c>
      <c r="M1461" s="8">
        <v>7</v>
      </c>
      <c r="N1461" s="8">
        <v>140</v>
      </c>
      <c r="O1461" s="11">
        <v>0.6421630034326686</v>
      </c>
      <c r="P1461" s="8" t="s">
        <v>700</v>
      </c>
      <c r="Q1461" s="8" t="s">
        <v>1308</v>
      </c>
      <c r="R1461" s="8">
        <v>68</v>
      </c>
      <c r="S1461" s="11">
        <v>47.63533882899051</v>
      </c>
      <c r="T1461" s="11">
        <v>0.65</v>
      </c>
      <c r="U1461" s="11">
        <v>12.35</v>
      </c>
      <c r="V1461" s="11">
        <v>7.35</v>
      </c>
      <c r="W1461" s="11">
        <v>139.65</v>
      </c>
      <c r="X1461" s="8" t="s">
        <v>1309</v>
      </c>
    </row>
    <row r="1462" spans="1:24" ht="25" customHeight="1">
      <c r="A1462" s="12">
        <v>4599</v>
      </c>
      <c r="B1462" s="8">
        <v>2</v>
      </c>
      <c r="C1462" s="8" t="s">
        <v>711</v>
      </c>
      <c r="D1462" s="8" t="s">
        <v>203</v>
      </c>
      <c r="E1462" s="8" t="s">
        <v>800</v>
      </c>
      <c r="F1462" s="8">
        <v>4</v>
      </c>
      <c r="G1462" s="8">
        <v>1</v>
      </c>
      <c r="H1462" s="11">
        <v>0.25</v>
      </c>
      <c r="I1462" s="11">
        <v>0.03125</v>
      </c>
      <c r="J1462" s="8">
        <v>8</v>
      </c>
      <c r="K1462" s="8">
        <v>1</v>
      </c>
      <c r="L1462" s="8">
        <v>3</v>
      </c>
      <c r="M1462" s="8">
        <v>4</v>
      </c>
      <c r="N1462" s="8">
        <v>152</v>
      </c>
      <c r="O1462" s="11">
        <v>0.01088070172398204</v>
      </c>
      <c r="P1462" s="8" t="s">
        <v>700</v>
      </c>
      <c r="Q1462" s="8" t="s">
        <v>1310</v>
      </c>
      <c r="R1462" s="8">
        <v>69</v>
      </c>
      <c r="S1462" s="11">
        <v>59.44559649138009</v>
      </c>
      <c r="T1462" s="11">
        <v>0.125</v>
      </c>
      <c r="U1462" s="11">
        <v>3.875</v>
      </c>
      <c r="V1462" s="11">
        <v>4.875</v>
      </c>
      <c r="W1462" s="11">
        <v>151.125</v>
      </c>
      <c r="X1462" s="8" t="s">
        <v>1311</v>
      </c>
    </row>
    <row r="1463" spans="1:24" ht="25" customHeight="1">
      <c r="A1463" s="12">
        <v>4600</v>
      </c>
      <c r="B1463" s="8">
        <v>2</v>
      </c>
      <c r="C1463" s="8" t="s">
        <v>706</v>
      </c>
      <c r="D1463" s="8" t="s">
        <v>222</v>
      </c>
      <c r="E1463" s="8" t="s">
        <v>449</v>
      </c>
      <c r="F1463" s="8">
        <v>1</v>
      </c>
      <c r="G1463" s="8">
        <v>1</v>
      </c>
      <c r="H1463" s="8">
        <v>1</v>
      </c>
      <c r="I1463" s="11">
        <v>0.1875</v>
      </c>
      <c r="J1463" s="11">
        <v>5.333333333333333</v>
      </c>
      <c r="K1463" s="8">
        <v>1</v>
      </c>
      <c r="L1463" s="8">
        <v>0</v>
      </c>
      <c r="M1463" s="8">
        <v>29</v>
      </c>
      <c r="N1463" s="8">
        <v>130</v>
      </c>
      <c r="O1463" s="11">
        <v>0.03677962974044771</v>
      </c>
      <c r="P1463" s="8" t="s">
        <v>700</v>
      </c>
      <c r="Q1463" s="8" t="s">
        <v>1312</v>
      </c>
      <c r="R1463" s="8">
        <v>70</v>
      </c>
      <c r="S1463" s="11">
        <v>66.81610185129776</v>
      </c>
      <c r="T1463" s="11">
        <v>0.1875</v>
      </c>
      <c r="U1463" s="11">
        <v>0.8125</v>
      </c>
      <c r="V1463" s="11">
        <v>29.8125</v>
      </c>
      <c r="W1463" s="11">
        <v>129.1875</v>
      </c>
      <c r="X1463" s="8" t="s">
        <v>1313</v>
      </c>
    </row>
    <row r="1464" spans="1:24" ht="25" customHeight="1">
      <c r="A1464" s="12">
        <v>4601</v>
      </c>
      <c r="B1464" s="8">
        <v>2</v>
      </c>
      <c r="C1464" s="8" t="s">
        <v>711</v>
      </c>
      <c r="D1464" s="8" t="s">
        <v>206</v>
      </c>
      <c r="E1464" s="8" t="s">
        <v>465</v>
      </c>
      <c r="F1464" s="8">
        <v>3</v>
      </c>
      <c r="G1464" s="8">
        <v>1</v>
      </c>
      <c r="H1464" s="11">
        <v>0.3333333333333333</v>
      </c>
      <c r="I1464" s="11">
        <v>0.16875</v>
      </c>
      <c r="J1464" s="11">
        <v>1.975308641975308</v>
      </c>
      <c r="K1464" s="8">
        <v>1</v>
      </c>
      <c r="L1464" s="8">
        <v>2</v>
      </c>
      <c r="M1464" s="8">
        <v>26</v>
      </c>
      <c r="N1464" s="8">
        <v>131</v>
      </c>
      <c r="O1464" s="11">
        <v>0.4422689466305865</v>
      </c>
      <c r="P1464" s="8" t="s">
        <v>700</v>
      </c>
      <c r="Q1464" s="8" t="s">
        <v>1314</v>
      </c>
      <c r="R1464" s="8">
        <v>71</v>
      </c>
      <c r="S1464" s="11">
        <v>52.07260588413101</v>
      </c>
      <c r="T1464" s="11">
        <v>0.50625</v>
      </c>
      <c r="U1464" s="11">
        <v>2.49375</v>
      </c>
      <c r="V1464" s="11">
        <v>26.49375</v>
      </c>
      <c r="W1464" s="11">
        <v>130.50625</v>
      </c>
      <c r="X1464" s="8" t="s">
        <v>1315</v>
      </c>
    </row>
    <row r="1465" spans="1:24" ht="25" customHeight="1">
      <c r="A1465" s="12">
        <v>4602</v>
      </c>
      <c r="B1465" s="8">
        <v>2</v>
      </c>
      <c r="C1465" s="8" t="s">
        <v>716</v>
      </c>
      <c r="D1465" s="8" t="s">
        <v>206</v>
      </c>
      <c r="E1465" s="8" t="s">
        <v>471</v>
      </c>
      <c r="F1465" s="8">
        <v>9</v>
      </c>
      <c r="G1465" s="8">
        <v>1</v>
      </c>
      <c r="H1465" s="11">
        <v>0.1111111111111111</v>
      </c>
      <c r="I1465" s="11">
        <v>0.0125</v>
      </c>
      <c r="J1465" s="11">
        <v>8.888888888888888</v>
      </c>
      <c r="K1465" s="8">
        <v>1</v>
      </c>
      <c r="L1465" s="8">
        <v>8</v>
      </c>
      <c r="M1465" s="8">
        <v>1</v>
      </c>
      <c r="N1465" s="8">
        <v>150</v>
      </c>
      <c r="O1465" s="11">
        <v>0.006126894540534546</v>
      </c>
      <c r="P1465" s="8" t="s">
        <v>700</v>
      </c>
      <c r="Q1465" s="8" t="s">
        <v>1316</v>
      </c>
      <c r="R1465" s="8">
        <v>72</v>
      </c>
      <c r="S1465" s="11">
        <v>58.08047663840844</v>
      </c>
      <c r="T1465" s="11">
        <v>0.1125</v>
      </c>
      <c r="U1465" s="11">
        <v>8.887499999999999</v>
      </c>
      <c r="V1465" s="11">
        <v>1.8875</v>
      </c>
      <c r="W1465" s="11">
        <v>149.1125</v>
      </c>
      <c r="X1465" s="8" t="s">
        <v>1317</v>
      </c>
    </row>
    <row r="1466" spans="1:24" ht="25" customHeight="1">
      <c r="A1466" s="12">
        <v>4603</v>
      </c>
      <c r="B1466" s="8">
        <v>2</v>
      </c>
      <c r="C1466" s="8" t="s">
        <v>716</v>
      </c>
      <c r="D1466" s="8" t="s">
        <v>203</v>
      </c>
      <c r="E1466" s="8" t="s">
        <v>474</v>
      </c>
      <c r="F1466" s="8">
        <v>13</v>
      </c>
      <c r="G1466" s="8">
        <v>1</v>
      </c>
      <c r="H1466" s="11">
        <v>0.07692307692307693</v>
      </c>
      <c r="I1466" s="11">
        <v>0.05625</v>
      </c>
      <c r="J1466" s="11">
        <v>1.367521367521368</v>
      </c>
      <c r="K1466" s="8">
        <v>1</v>
      </c>
      <c r="L1466" s="8">
        <v>12</v>
      </c>
      <c r="M1466" s="8">
        <v>8</v>
      </c>
      <c r="N1466" s="8">
        <v>139</v>
      </c>
      <c r="O1466" s="11">
        <v>0.7357314616654822</v>
      </c>
      <c r="P1466" s="8" t="s">
        <v>700</v>
      </c>
      <c r="Q1466" s="8" t="s">
        <v>1318</v>
      </c>
      <c r="R1466" s="8">
        <v>73</v>
      </c>
      <c r="S1466" s="11">
        <v>46.82561619594609</v>
      </c>
      <c r="T1466" s="11">
        <v>0.73125</v>
      </c>
      <c r="U1466" s="11">
        <v>12.26875</v>
      </c>
      <c r="V1466" s="11">
        <v>8.268750000000001</v>
      </c>
      <c r="W1466" s="11">
        <v>138.73125</v>
      </c>
      <c r="X1466" s="8" t="s">
        <v>1319</v>
      </c>
    </row>
    <row r="1467" spans="1:24" ht="25" customHeight="1">
      <c r="A1467" s="12">
        <v>4604</v>
      </c>
      <c r="B1467" s="8">
        <v>2</v>
      </c>
      <c r="C1467" s="8" t="s">
        <v>716</v>
      </c>
      <c r="D1467" s="8" t="s">
        <v>206</v>
      </c>
      <c r="E1467" s="8" t="s">
        <v>465</v>
      </c>
      <c r="F1467" s="8">
        <v>9</v>
      </c>
      <c r="G1467" s="8">
        <v>1</v>
      </c>
      <c r="H1467" s="11">
        <v>0.1111111111111111</v>
      </c>
      <c r="I1467" s="11">
        <v>0.16875</v>
      </c>
      <c r="J1467" s="11">
        <v>0.6584362139917694</v>
      </c>
      <c r="K1467" s="8">
        <v>1</v>
      </c>
      <c r="L1467" s="8">
        <v>8</v>
      </c>
      <c r="M1467" s="8">
        <v>26</v>
      </c>
      <c r="N1467" s="8">
        <v>125</v>
      </c>
      <c r="O1467" s="11">
        <v>0.6346099412648112</v>
      </c>
      <c r="P1467" s="8" t="s">
        <v>700</v>
      </c>
      <c r="Q1467" s="8" t="s">
        <v>1320</v>
      </c>
      <c r="R1467" s="8">
        <v>74</v>
      </c>
      <c r="S1467" s="11">
        <v>46.2549338327706</v>
      </c>
      <c r="T1467" s="11">
        <v>1.51875</v>
      </c>
      <c r="U1467" s="11">
        <v>7.48125</v>
      </c>
      <c r="V1467" s="11">
        <v>25.48125</v>
      </c>
      <c r="W1467" s="11">
        <v>125.51875</v>
      </c>
      <c r="X1467" s="8" t="s">
        <v>1321</v>
      </c>
    </row>
    <row r="1468" spans="1:24" ht="25" customHeight="1">
      <c r="A1468" s="12">
        <v>4605</v>
      </c>
      <c r="B1468" s="8">
        <v>2</v>
      </c>
      <c r="C1468" s="8" t="s">
        <v>720</v>
      </c>
      <c r="D1468" s="8" t="s">
        <v>222</v>
      </c>
      <c r="E1468" s="8" t="s">
        <v>474</v>
      </c>
      <c r="F1468" s="8">
        <v>1</v>
      </c>
      <c r="G1468" s="8">
        <v>1</v>
      </c>
      <c r="H1468" s="8">
        <v>1</v>
      </c>
      <c r="I1468" s="11">
        <v>0.05625</v>
      </c>
      <c r="J1468" s="11">
        <v>17.77777777777778</v>
      </c>
      <c r="K1468" s="8">
        <v>1</v>
      </c>
      <c r="L1468" s="8">
        <v>0</v>
      </c>
      <c r="M1468" s="8">
        <v>8</v>
      </c>
      <c r="N1468" s="8">
        <v>151</v>
      </c>
      <c r="O1468" s="11">
        <v>3.974980673544505E-05</v>
      </c>
      <c r="P1468" s="8" t="s">
        <v>700</v>
      </c>
      <c r="Q1468" s="8" t="s">
        <v>1322</v>
      </c>
      <c r="R1468" s="8">
        <v>75</v>
      </c>
      <c r="S1468" s="11">
        <v>66.99980125096633</v>
      </c>
      <c r="T1468" s="11">
        <v>0.05625</v>
      </c>
      <c r="U1468" s="11">
        <v>0.94375</v>
      </c>
      <c r="V1468" s="11">
        <v>8.94375</v>
      </c>
      <c r="W1468" s="11">
        <v>150.05625</v>
      </c>
      <c r="X1468" s="8" t="s">
        <v>1323</v>
      </c>
    </row>
    <row r="1469" spans="1:24" ht="25" customHeight="1">
      <c r="A1469" s="12">
        <v>4606</v>
      </c>
      <c r="B1469" s="8">
        <v>2</v>
      </c>
      <c r="C1469" s="8" t="s">
        <v>720</v>
      </c>
      <c r="D1469" s="8" t="s">
        <v>206</v>
      </c>
      <c r="E1469" s="8" t="s">
        <v>428</v>
      </c>
      <c r="F1469" s="8">
        <v>2</v>
      </c>
      <c r="G1469" s="8">
        <v>1</v>
      </c>
      <c r="H1469" s="11">
        <v>0.5</v>
      </c>
      <c r="I1469" s="11">
        <v>0.2625</v>
      </c>
      <c r="J1469" s="11">
        <v>1.904761904761905</v>
      </c>
      <c r="K1469" s="8">
        <v>1</v>
      </c>
      <c r="L1469" s="8">
        <v>1</v>
      </c>
      <c r="M1469" s="8">
        <v>41</v>
      </c>
      <c r="N1469" s="8">
        <v>117</v>
      </c>
      <c r="O1469" s="11">
        <v>0.442378785393895</v>
      </c>
      <c r="P1469" s="8" t="s">
        <v>700</v>
      </c>
      <c r="Q1469" s="8" t="s">
        <v>1324</v>
      </c>
      <c r="R1469" s="8">
        <v>76</v>
      </c>
      <c r="S1469" s="11">
        <v>53.59762988255434</v>
      </c>
      <c r="T1469" s="11">
        <v>0.525</v>
      </c>
      <c r="U1469" s="11">
        <v>1.475</v>
      </c>
      <c r="V1469" s="11">
        <v>41.475</v>
      </c>
      <c r="W1469" s="11">
        <v>116.525</v>
      </c>
      <c r="X1469" s="8" t="s">
        <v>1325</v>
      </c>
    </row>
    <row r="1470" spans="1:24" ht="25" customHeight="1">
      <c r="A1470" s="12">
        <v>4607</v>
      </c>
      <c r="B1470" s="8">
        <v>2</v>
      </c>
      <c r="C1470" s="8" t="s">
        <v>720</v>
      </c>
      <c r="D1470" s="8" t="s">
        <v>203</v>
      </c>
      <c r="E1470" s="8" t="s">
        <v>878</v>
      </c>
      <c r="F1470" s="8">
        <v>6</v>
      </c>
      <c r="G1470" s="8">
        <v>1</v>
      </c>
      <c r="H1470" s="11">
        <v>0.1666666666666667</v>
      </c>
      <c r="I1470" s="11">
        <v>0.04375</v>
      </c>
      <c r="J1470" s="11">
        <v>3.80952380952381</v>
      </c>
      <c r="K1470" s="8">
        <v>1</v>
      </c>
      <c r="L1470" s="8">
        <v>5</v>
      </c>
      <c r="M1470" s="8">
        <v>6</v>
      </c>
      <c r="N1470" s="8">
        <v>148</v>
      </c>
      <c r="O1470" s="11">
        <v>0.1335070433870404</v>
      </c>
      <c r="P1470" s="8" t="s">
        <v>700</v>
      </c>
      <c r="Q1470" s="8" t="s">
        <v>1326</v>
      </c>
      <c r="R1470" s="8">
        <v>77</v>
      </c>
      <c r="S1470" s="11">
        <v>55.61817906877909</v>
      </c>
      <c r="T1470" s="11">
        <v>0.2625</v>
      </c>
      <c r="U1470" s="11">
        <v>5.7375</v>
      </c>
      <c r="V1470" s="11">
        <v>6.7375</v>
      </c>
      <c r="W1470" s="11">
        <v>147.2625</v>
      </c>
      <c r="X1470" s="8" t="s">
        <v>1327</v>
      </c>
    </row>
    <row r="1471" spans="1:24" ht="25" customHeight="1">
      <c r="A1471" s="12">
        <v>4608</v>
      </c>
      <c r="B1471" s="8">
        <v>2</v>
      </c>
      <c r="C1471" s="8" t="s">
        <v>720</v>
      </c>
      <c r="D1471" s="8" t="s">
        <v>206</v>
      </c>
      <c r="E1471" s="8" t="s">
        <v>465</v>
      </c>
      <c r="F1471" s="8">
        <v>2</v>
      </c>
      <c r="G1471" s="8">
        <v>1</v>
      </c>
      <c r="H1471" s="11">
        <v>0.5</v>
      </c>
      <c r="I1471" s="11">
        <v>0.16875</v>
      </c>
      <c r="J1471" s="11">
        <v>2.962962962962963</v>
      </c>
      <c r="K1471" s="8">
        <v>1</v>
      </c>
      <c r="L1471" s="8">
        <v>1</v>
      </c>
      <c r="M1471" s="8">
        <v>26</v>
      </c>
      <c r="N1471" s="8">
        <v>132</v>
      </c>
      <c r="O1471" s="11">
        <v>0.2081466908847539</v>
      </c>
      <c r="P1471" s="8" t="s">
        <v>700</v>
      </c>
      <c r="Q1471" s="8" t="s">
        <v>1328</v>
      </c>
      <c r="R1471" s="8">
        <v>78</v>
      </c>
      <c r="S1471" s="11">
        <v>56.88519247150215</v>
      </c>
      <c r="T1471" s="11">
        <v>0.3375</v>
      </c>
      <c r="U1471" s="11">
        <v>1.6625</v>
      </c>
      <c r="V1471" s="11">
        <v>26.6625</v>
      </c>
      <c r="W1471" s="11">
        <v>131.3375</v>
      </c>
      <c r="X1471" s="8" t="s">
        <v>1329</v>
      </c>
    </row>
    <row r="1472" spans="1:24" ht="25" customHeight="1">
      <c r="A1472" s="12">
        <v>4609</v>
      </c>
      <c r="B1472" s="8">
        <v>2</v>
      </c>
      <c r="C1472" s="8" t="s">
        <v>720</v>
      </c>
      <c r="D1472" s="8" t="s">
        <v>203</v>
      </c>
      <c r="E1472" s="8" t="s">
        <v>428</v>
      </c>
      <c r="F1472" s="8">
        <v>6</v>
      </c>
      <c r="G1472" s="8">
        <v>3</v>
      </c>
      <c r="H1472" s="11">
        <v>0.5</v>
      </c>
      <c r="I1472" s="11">
        <v>0.2625</v>
      </c>
      <c r="J1472" s="11">
        <v>1.904761904761905</v>
      </c>
      <c r="K1472" s="8">
        <v>3</v>
      </c>
      <c r="L1472" s="8">
        <v>3</v>
      </c>
      <c r="M1472" s="8">
        <v>39</v>
      </c>
      <c r="N1472" s="8">
        <v>115</v>
      </c>
      <c r="O1472" s="11">
        <v>0.1777549165572034</v>
      </c>
      <c r="P1472" s="8" t="s">
        <v>700</v>
      </c>
      <c r="Q1472" s="8" t="s">
        <v>1330</v>
      </c>
      <c r="R1472" s="8">
        <v>79</v>
      </c>
      <c r="S1472" s="11">
        <v>58.9207492267378</v>
      </c>
      <c r="T1472" s="11">
        <v>1.575</v>
      </c>
      <c r="U1472" s="11">
        <v>4.425</v>
      </c>
      <c r="V1472" s="11">
        <v>40.425</v>
      </c>
      <c r="W1472" s="11">
        <v>113.575</v>
      </c>
      <c r="X1472" s="8" t="s">
        <v>1331</v>
      </c>
    </row>
    <row r="1473" spans="1:24" ht="25" customHeight="1">
      <c r="A1473" s="12">
        <v>4610</v>
      </c>
      <c r="B1473" s="8">
        <v>2</v>
      </c>
      <c r="C1473" s="8" t="s">
        <v>716</v>
      </c>
      <c r="D1473" s="8" t="s">
        <v>811</v>
      </c>
      <c r="E1473" s="8" t="s">
        <v>428</v>
      </c>
      <c r="F1473" s="8">
        <v>1</v>
      </c>
      <c r="G1473" s="8">
        <v>1</v>
      </c>
      <c r="H1473" s="8">
        <v>1</v>
      </c>
      <c r="I1473" s="11">
        <v>0.2625</v>
      </c>
      <c r="J1473" s="11">
        <v>3.809523809523809</v>
      </c>
      <c r="K1473" s="8">
        <v>1</v>
      </c>
      <c r="L1473" s="8">
        <v>0</v>
      </c>
      <c r="M1473" s="8">
        <v>41</v>
      </c>
      <c r="N1473" s="8">
        <v>118</v>
      </c>
      <c r="O1473" s="11">
        <v>0.09268017709703066</v>
      </c>
      <c r="P1473" s="8" t="s">
        <v>700</v>
      </c>
      <c r="Q1473" s="8" t="s">
        <v>1332</v>
      </c>
      <c r="R1473" s="8">
        <v>80</v>
      </c>
      <c r="S1473" s="11">
        <v>64.15564673356246</v>
      </c>
      <c r="T1473" s="11">
        <v>0.2625</v>
      </c>
      <c r="U1473" s="11">
        <v>0.7375</v>
      </c>
      <c r="V1473" s="11">
        <v>41.7375</v>
      </c>
      <c r="W1473" s="11">
        <v>117.2625</v>
      </c>
      <c r="X1473" s="8" t="s">
        <v>1333</v>
      </c>
    </row>
    <row r="1474" spans="1:24" ht="25" customHeight="1">
      <c r="A1474" s="12">
        <v>4611</v>
      </c>
      <c r="B1474" s="8">
        <v>2</v>
      </c>
      <c r="C1474" s="8" t="s">
        <v>720</v>
      </c>
      <c r="D1474" s="8" t="s">
        <v>811</v>
      </c>
      <c r="E1474" s="8" t="s">
        <v>541</v>
      </c>
      <c r="F1474" s="8">
        <v>1</v>
      </c>
      <c r="G1474" s="8">
        <v>1</v>
      </c>
      <c r="H1474" s="8">
        <v>1</v>
      </c>
      <c r="I1474" s="11">
        <v>0.025</v>
      </c>
      <c r="J1474" s="8">
        <v>40</v>
      </c>
      <c r="K1474" s="8">
        <v>1</v>
      </c>
      <c r="L1474" s="8">
        <v>0</v>
      </c>
      <c r="M1474" s="8">
        <v>3</v>
      </c>
      <c r="N1474" s="8">
        <v>156</v>
      </c>
      <c r="O1474" s="11">
        <v>3.737702567002527E-10</v>
      </c>
      <c r="P1474" s="8" t="s">
        <v>700</v>
      </c>
      <c r="Q1474" s="8" t="s">
        <v>1334</v>
      </c>
      <c r="R1474" s="8">
        <v>81</v>
      </c>
      <c r="S1474" s="11">
        <v>66.99999999813114</v>
      </c>
      <c r="T1474" s="11">
        <v>0.025</v>
      </c>
      <c r="U1474" s="11">
        <v>0.975</v>
      </c>
      <c r="V1474" s="11">
        <v>3.975</v>
      </c>
      <c r="W1474" s="11">
        <v>155.025</v>
      </c>
      <c r="X1474" s="8" t="s">
        <v>1335</v>
      </c>
    </row>
    <row r="1475" spans="1:24" ht="25" customHeight="1">
      <c r="A1475" s="12">
        <v>4612</v>
      </c>
      <c r="B1475" s="8">
        <v>2</v>
      </c>
      <c r="C1475" s="8" t="s">
        <v>711</v>
      </c>
      <c r="D1475" s="8" t="s">
        <v>235</v>
      </c>
      <c r="E1475" s="8" t="s">
        <v>428</v>
      </c>
      <c r="F1475" s="8">
        <v>1</v>
      </c>
      <c r="G1475" s="8">
        <v>1</v>
      </c>
      <c r="H1475" s="8">
        <v>1</v>
      </c>
      <c r="I1475" s="11">
        <v>0.2625</v>
      </c>
      <c r="J1475" s="11">
        <v>3.809523809523809</v>
      </c>
      <c r="K1475" s="8">
        <v>1</v>
      </c>
      <c r="L1475" s="8">
        <v>0</v>
      </c>
      <c r="M1475" s="8">
        <v>41</v>
      </c>
      <c r="N1475" s="8">
        <v>118</v>
      </c>
      <c r="O1475" s="11">
        <v>0.09268017709703066</v>
      </c>
      <c r="P1475" s="8" t="s">
        <v>700</v>
      </c>
      <c r="Q1475" s="8" t="s">
        <v>1336</v>
      </c>
      <c r="R1475" s="8">
        <v>82</v>
      </c>
      <c r="S1475" s="11">
        <v>64.15564673356246</v>
      </c>
      <c r="T1475" s="11">
        <v>0.2625</v>
      </c>
      <c r="U1475" s="11">
        <v>0.7375</v>
      </c>
      <c r="V1475" s="11">
        <v>41.7375</v>
      </c>
      <c r="W1475" s="11">
        <v>117.2625</v>
      </c>
      <c r="X1475" s="8" t="s">
        <v>1337</v>
      </c>
    </row>
    <row r="1476" spans="1:24" ht="25" customHeight="1">
      <c r="A1476" s="12">
        <v>4613</v>
      </c>
      <c r="B1476" s="8">
        <v>2</v>
      </c>
      <c r="C1476" s="8" t="s">
        <v>720</v>
      </c>
      <c r="D1476" s="8" t="s">
        <v>235</v>
      </c>
      <c r="E1476" s="8" t="s">
        <v>428</v>
      </c>
      <c r="F1476" s="8">
        <v>1</v>
      </c>
      <c r="G1476" s="8">
        <v>1</v>
      </c>
      <c r="H1476" s="8">
        <v>1</v>
      </c>
      <c r="I1476" s="11">
        <v>0.2625</v>
      </c>
      <c r="J1476" s="11">
        <v>3.809523809523809</v>
      </c>
      <c r="K1476" s="8">
        <v>1</v>
      </c>
      <c r="L1476" s="8">
        <v>0</v>
      </c>
      <c r="M1476" s="8">
        <v>41</v>
      </c>
      <c r="N1476" s="8">
        <v>118</v>
      </c>
      <c r="O1476" s="11">
        <v>0.09268017709703066</v>
      </c>
      <c r="P1476" s="8" t="s">
        <v>700</v>
      </c>
      <c r="Q1476" s="8" t="s">
        <v>1338</v>
      </c>
      <c r="R1476" s="8">
        <v>83</v>
      </c>
      <c r="S1476" s="11">
        <v>64.15564673356246</v>
      </c>
      <c r="T1476" s="11">
        <v>0.2625</v>
      </c>
      <c r="U1476" s="11">
        <v>0.7375</v>
      </c>
      <c r="V1476" s="11">
        <v>41.7375</v>
      </c>
      <c r="W1476" s="11">
        <v>117.2625</v>
      </c>
      <c r="X1476" s="8" t="s">
        <v>1339</v>
      </c>
    </row>
    <row r="1477" spans="1:24" ht="25" customHeight="1">
      <c r="A1477" s="12">
        <v>4614</v>
      </c>
      <c r="B1477" s="8">
        <v>3</v>
      </c>
      <c r="C1477" s="8" t="s">
        <v>716</v>
      </c>
      <c r="D1477" s="8" t="s">
        <v>206</v>
      </c>
      <c r="E1477" s="8" t="s">
        <v>446</v>
      </c>
      <c r="F1477" s="8">
        <v>9</v>
      </c>
      <c r="G1477" s="8">
        <v>1</v>
      </c>
      <c r="H1477" s="11">
        <v>0.1111111111111111</v>
      </c>
      <c r="I1477" s="11">
        <v>0.03125</v>
      </c>
      <c r="J1477" s="11">
        <v>3.555555555555555</v>
      </c>
      <c r="K1477" s="8">
        <v>1</v>
      </c>
      <c r="L1477" s="8">
        <v>8</v>
      </c>
      <c r="M1477" s="8">
        <v>4</v>
      </c>
      <c r="N1477" s="8">
        <v>147</v>
      </c>
      <c r="O1477" s="11">
        <v>0.1563614126018007</v>
      </c>
      <c r="P1477" s="8" t="s">
        <v>700</v>
      </c>
      <c r="Q1477" s="8" t="s">
        <v>1340</v>
      </c>
      <c r="R1477" s="8">
        <v>84</v>
      </c>
      <c r="S1477" s="11">
        <v>54.44041515921322</v>
      </c>
      <c r="T1477" s="11">
        <v>0.28125</v>
      </c>
      <c r="U1477" s="11">
        <v>8.71875</v>
      </c>
      <c r="V1477" s="11">
        <v>4.71875</v>
      </c>
      <c r="W1477" s="11">
        <v>146.28125</v>
      </c>
      <c r="X1477" s="8" t="s">
        <v>1341</v>
      </c>
    </row>
    <row r="1478" spans="1:24" ht="25" customHeight="1">
      <c r="A1478" s="12">
        <v>4615</v>
      </c>
      <c r="B1478" s="8">
        <v>3</v>
      </c>
      <c r="C1478" s="8" t="s">
        <v>716</v>
      </c>
      <c r="D1478" s="8" t="s">
        <v>206</v>
      </c>
      <c r="E1478" s="8" t="s">
        <v>474</v>
      </c>
      <c r="F1478" s="8">
        <v>9</v>
      </c>
      <c r="G1478" s="8">
        <v>1</v>
      </c>
      <c r="H1478" s="11">
        <v>0.1111111111111111</v>
      </c>
      <c r="I1478" s="11">
        <v>0.05625</v>
      </c>
      <c r="J1478" s="11">
        <v>1.975308641975309</v>
      </c>
      <c r="K1478" s="8">
        <v>1</v>
      </c>
      <c r="L1478" s="8">
        <v>8</v>
      </c>
      <c r="M1478" s="8">
        <v>8</v>
      </c>
      <c r="N1478" s="8">
        <v>143</v>
      </c>
      <c r="O1478" s="11">
        <v>0.4621536537398399</v>
      </c>
      <c r="P1478" s="8" t="s">
        <v>700</v>
      </c>
      <c r="Q1478" s="8" t="s">
        <v>1342</v>
      </c>
      <c r="R1478" s="8">
        <v>85</v>
      </c>
      <c r="S1478" s="11">
        <v>49.75096012636254</v>
      </c>
      <c r="T1478" s="11">
        <v>0.50625</v>
      </c>
      <c r="U1478" s="11">
        <v>8.49375</v>
      </c>
      <c r="V1478" s="11">
        <v>8.49375</v>
      </c>
      <c r="W1478" s="11">
        <v>142.50625</v>
      </c>
      <c r="X1478" s="8" t="s">
        <v>1343</v>
      </c>
    </row>
    <row r="1479" spans="1:24" ht="25" customHeight="1">
      <c r="A1479" s="12">
        <v>4616</v>
      </c>
      <c r="B1479" s="8">
        <v>3</v>
      </c>
      <c r="C1479" s="8" t="s">
        <v>716</v>
      </c>
      <c r="D1479" s="8" t="s">
        <v>203</v>
      </c>
      <c r="E1479" s="8" t="s">
        <v>449</v>
      </c>
      <c r="F1479" s="8">
        <v>4</v>
      </c>
      <c r="G1479" s="8">
        <v>4</v>
      </c>
      <c r="H1479" s="8">
        <v>1</v>
      </c>
      <c r="I1479" s="11">
        <v>0.1875</v>
      </c>
      <c r="J1479" s="11">
        <v>5.333333333333333</v>
      </c>
      <c r="K1479" s="8">
        <v>4</v>
      </c>
      <c r="L1479" s="8">
        <v>0</v>
      </c>
      <c r="M1479" s="8">
        <v>26</v>
      </c>
      <c r="N1479" s="8">
        <v>130</v>
      </c>
      <c r="O1479" s="11">
        <v>2.482660633880464E-05</v>
      </c>
      <c r="P1479" s="8" t="s">
        <v>700</v>
      </c>
      <c r="Q1479" s="8" t="s">
        <v>1344</v>
      </c>
      <c r="R1479" s="8">
        <v>86</v>
      </c>
      <c r="S1479" s="11">
        <v>72.99987586696831</v>
      </c>
      <c r="T1479" s="11">
        <v>0.75</v>
      </c>
      <c r="U1479" s="11">
        <v>3.25</v>
      </c>
      <c r="V1479" s="11">
        <v>29.25</v>
      </c>
      <c r="W1479" s="11">
        <v>126.75</v>
      </c>
      <c r="X1479" s="8" t="s">
        <v>1345</v>
      </c>
    </row>
    <row r="1480" spans="1:24" ht="25" customHeight="1">
      <c r="A1480" s="12">
        <v>4617</v>
      </c>
      <c r="B1480" s="8">
        <v>3</v>
      </c>
      <c r="C1480" s="8" t="s">
        <v>706</v>
      </c>
      <c r="D1480" s="8" t="s">
        <v>206</v>
      </c>
      <c r="E1480" s="8" t="s">
        <v>465</v>
      </c>
      <c r="F1480" s="8">
        <v>3</v>
      </c>
      <c r="G1480" s="8">
        <v>1</v>
      </c>
      <c r="H1480" s="11">
        <v>0.3333333333333333</v>
      </c>
      <c r="I1480" s="11">
        <v>0.16875</v>
      </c>
      <c r="J1480" s="11">
        <v>1.975308641975308</v>
      </c>
      <c r="K1480" s="8">
        <v>1</v>
      </c>
      <c r="L1480" s="8">
        <v>2</v>
      </c>
      <c r="M1480" s="8">
        <v>26</v>
      </c>
      <c r="N1480" s="8">
        <v>131</v>
      </c>
      <c r="O1480" s="11">
        <v>0.4422689466305865</v>
      </c>
      <c r="P1480" s="8" t="s">
        <v>700</v>
      </c>
      <c r="Q1480" s="8" t="s">
        <v>1346</v>
      </c>
      <c r="R1480" s="8">
        <v>87</v>
      </c>
      <c r="S1480" s="11">
        <v>52.07260588413101</v>
      </c>
      <c r="T1480" s="11">
        <v>0.50625</v>
      </c>
      <c r="U1480" s="11">
        <v>2.49375</v>
      </c>
      <c r="V1480" s="11">
        <v>26.49375</v>
      </c>
      <c r="W1480" s="11">
        <v>130.50625</v>
      </c>
      <c r="X1480" s="8" t="s">
        <v>1347</v>
      </c>
    </row>
    <row r="1481" spans="1:24" ht="25" customHeight="1">
      <c r="A1481" s="12">
        <v>4618</v>
      </c>
      <c r="B1481" s="8">
        <v>3</v>
      </c>
      <c r="C1481" s="8" t="s">
        <v>720</v>
      </c>
      <c r="D1481" s="8" t="s">
        <v>206</v>
      </c>
      <c r="E1481" s="8" t="s">
        <v>474</v>
      </c>
      <c r="F1481" s="8">
        <v>5</v>
      </c>
      <c r="G1481" s="8">
        <v>1</v>
      </c>
      <c r="H1481" s="11">
        <v>0.2</v>
      </c>
      <c r="I1481" s="11">
        <v>0.05625</v>
      </c>
      <c r="J1481" s="11">
        <v>3.555555555555556</v>
      </c>
      <c r="K1481" s="8">
        <v>1</v>
      </c>
      <c r="L1481" s="8">
        <v>4</v>
      </c>
      <c r="M1481" s="8">
        <v>8</v>
      </c>
      <c r="N1481" s="8">
        <v>147</v>
      </c>
      <c r="O1481" s="11">
        <v>0.1563614126018007</v>
      </c>
      <c r="P1481" s="8" t="s">
        <v>700</v>
      </c>
      <c r="Q1481" s="8" t="s">
        <v>1348</v>
      </c>
      <c r="R1481" s="8">
        <v>88</v>
      </c>
      <c r="S1481" s="11">
        <v>55.32930404810211</v>
      </c>
      <c r="T1481" s="11">
        <v>0.28125</v>
      </c>
      <c r="U1481" s="11">
        <v>4.71875</v>
      </c>
      <c r="V1481" s="11">
        <v>8.71875</v>
      </c>
      <c r="W1481" s="11">
        <v>146.28125</v>
      </c>
      <c r="X1481" s="8" t="s">
        <v>1349</v>
      </c>
    </row>
    <row r="1482" spans="1:24" ht="25" customHeight="1">
      <c r="A1482" s="12">
        <v>4619</v>
      </c>
      <c r="B1482" s="8">
        <v>3</v>
      </c>
      <c r="C1482" s="8" t="s">
        <v>711</v>
      </c>
      <c r="D1482" s="8" t="s">
        <v>235</v>
      </c>
      <c r="E1482" s="8" t="s">
        <v>878</v>
      </c>
      <c r="F1482" s="8">
        <v>1</v>
      </c>
      <c r="G1482" s="8">
        <v>1</v>
      </c>
      <c r="H1482" s="8">
        <v>1</v>
      </c>
      <c r="I1482" s="11">
        <v>0.04375</v>
      </c>
      <c r="J1482" s="11">
        <v>22.85714285714286</v>
      </c>
      <c r="K1482" s="8">
        <v>1</v>
      </c>
      <c r="L1482" s="8">
        <v>0</v>
      </c>
      <c r="M1482" s="8">
        <v>6</v>
      </c>
      <c r="N1482" s="8">
        <v>153</v>
      </c>
      <c r="O1482" s="11">
        <v>2.734173458838461E-06</v>
      </c>
      <c r="P1482" s="8" t="s">
        <v>700</v>
      </c>
      <c r="Q1482" s="8" t="s">
        <v>1350</v>
      </c>
      <c r="R1482" s="8">
        <v>89</v>
      </c>
      <c r="S1482" s="11">
        <v>66.99998632913271</v>
      </c>
      <c r="T1482" s="11">
        <v>0.04375</v>
      </c>
      <c r="U1482" s="11">
        <v>0.95625</v>
      </c>
      <c r="V1482" s="11">
        <v>6.95625</v>
      </c>
      <c r="W1482" s="11">
        <v>152.04375</v>
      </c>
      <c r="X1482" s="8" t="s">
        <v>1351</v>
      </c>
    </row>
    <row r="1483" spans="1:24" ht="25" customHeight="1">
      <c r="A1483" s="12">
        <v>4620</v>
      </c>
      <c r="B1483" s="8">
        <v>3</v>
      </c>
      <c r="C1483" s="8" t="s">
        <v>706</v>
      </c>
      <c r="D1483" s="8" t="s">
        <v>206</v>
      </c>
      <c r="E1483" s="8" t="s">
        <v>446</v>
      </c>
      <c r="F1483" s="8">
        <v>3</v>
      </c>
      <c r="G1483" s="8">
        <v>2</v>
      </c>
      <c r="H1483" s="11">
        <v>0.6666666666666666</v>
      </c>
      <c r="I1483" s="11">
        <v>0.03125</v>
      </c>
      <c r="J1483" s="11">
        <v>21.33333333333333</v>
      </c>
      <c r="K1483" s="8">
        <v>2</v>
      </c>
      <c r="L1483" s="8">
        <v>1</v>
      </c>
      <c r="M1483" s="8">
        <v>3</v>
      </c>
      <c r="N1483" s="8">
        <v>154</v>
      </c>
      <c r="O1483" s="11">
        <v>1.707789844400484E-10</v>
      </c>
      <c r="P1483" s="8" t="s">
        <v>700</v>
      </c>
      <c r="Q1483" s="8" t="s">
        <v>1352</v>
      </c>
      <c r="R1483" s="8">
        <v>90</v>
      </c>
      <c r="S1483" s="11">
        <v>65.66666666581277</v>
      </c>
      <c r="T1483" s="11">
        <v>0.09375</v>
      </c>
      <c r="U1483" s="11">
        <v>2.90625</v>
      </c>
      <c r="V1483" s="11">
        <v>4.90625</v>
      </c>
      <c r="W1483" s="11">
        <v>152.09375</v>
      </c>
      <c r="X1483" s="8" t="s">
        <v>1353</v>
      </c>
    </row>
    <row r="1484" spans="1:24" ht="25" customHeight="1">
      <c r="A1484" s="12">
        <v>4621</v>
      </c>
      <c r="B1484" s="8">
        <v>3</v>
      </c>
      <c r="C1484" s="8" t="s">
        <v>711</v>
      </c>
      <c r="D1484" s="8" t="s">
        <v>206</v>
      </c>
      <c r="E1484" s="8" t="s">
        <v>449</v>
      </c>
      <c r="F1484" s="8">
        <v>9</v>
      </c>
      <c r="G1484" s="8">
        <v>4</v>
      </c>
      <c r="H1484" s="11">
        <v>0.4444444444444444</v>
      </c>
      <c r="I1484" s="11">
        <v>0.1875</v>
      </c>
      <c r="J1484" s="11">
        <v>2.37037037037037</v>
      </c>
      <c r="K1484" s="8">
        <v>4</v>
      </c>
      <c r="L1484" s="8">
        <v>5</v>
      </c>
      <c r="M1484" s="8">
        <v>26</v>
      </c>
      <c r="N1484" s="8">
        <v>125</v>
      </c>
      <c r="O1484" s="11">
        <v>0.04206089223321591</v>
      </c>
      <c r="P1484" s="8" t="s">
        <v>700</v>
      </c>
      <c r="Q1484" s="8" t="s">
        <v>1354</v>
      </c>
      <c r="R1484" s="8">
        <v>91</v>
      </c>
      <c r="S1484" s="11">
        <v>61.9748807240191</v>
      </c>
      <c r="T1484" s="11">
        <v>1.6875</v>
      </c>
      <c r="U1484" s="11">
        <v>7.3125</v>
      </c>
      <c r="V1484" s="11">
        <v>28.3125</v>
      </c>
      <c r="W1484" s="11">
        <v>122.6875</v>
      </c>
      <c r="X1484" s="8" t="s">
        <v>1355</v>
      </c>
    </row>
    <row r="1485" spans="1:24" ht="25" customHeight="1">
      <c r="A1485" s="12">
        <v>4622</v>
      </c>
      <c r="B1485" s="8">
        <v>3</v>
      </c>
      <c r="C1485" s="8" t="s">
        <v>716</v>
      </c>
      <c r="D1485" s="8" t="s">
        <v>206</v>
      </c>
      <c r="E1485" s="8" t="s">
        <v>449</v>
      </c>
      <c r="F1485" s="8">
        <v>9</v>
      </c>
      <c r="G1485" s="8">
        <v>4</v>
      </c>
      <c r="H1485" s="11">
        <v>0.4444444444444444</v>
      </c>
      <c r="I1485" s="11">
        <v>0.1875</v>
      </c>
      <c r="J1485" s="11">
        <v>2.37037037037037</v>
      </c>
      <c r="K1485" s="8">
        <v>4</v>
      </c>
      <c r="L1485" s="8">
        <v>5</v>
      </c>
      <c r="M1485" s="8">
        <v>26</v>
      </c>
      <c r="N1485" s="8">
        <v>125</v>
      </c>
      <c r="O1485" s="11">
        <v>0.04206089223321591</v>
      </c>
      <c r="P1485" s="8" t="s">
        <v>700</v>
      </c>
      <c r="Q1485" s="8" t="s">
        <v>1356</v>
      </c>
      <c r="R1485" s="8">
        <v>92</v>
      </c>
      <c r="S1485" s="11">
        <v>61.9748807240191</v>
      </c>
      <c r="T1485" s="11">
        <v>1.6875</v>
      </c>
      <c r="U1485" s="11">
        <v>7.3125</v>
      </c>
      <c r="V1485" s="11">
        <v>28.3125</v>
      </c>
      <c r="W1485" s="11">
        <v>122.6875</v>
      </c>
      <c r="X1485" s="8" t="s">
        <v>1357</v>
      </c>
    </row>
    <row r="1486" spans="1:24" ht="25" customHeight="1">
      <c r="A1486" s="12">
        <v>4623</v>
      </c>
      <c r="B1486" s="8">
        <v>3</v>
      </c>
      <c r="C1486" s="8" t="s">
        <v>711</v>
      </c>
      <c r="D1486" s="8" t="s">
        <v>203</v>
      </c>
      <c r="E1486" s="8" t="s">
        <v>449</v>
      </c>
      <c r="F1486" s="8">
        <v>1</v>
      </c>
      <c r="G1486" s="8">
        <v>1</v>
      </c>
      <c r="H1486" s="8">
        <v>1</v>
      </c>
      <c r="I1486" s="11">
        <v>0.1875</v>
      </c>
      <c r="J1486" s="11">
        <v>5.333333333333333</v>
      </c>
      <c r="K1486" s="8">
        <v>1</v>
      </c>
      <c r="L1486" s="8">
        <v>0</v>
      </c>
      <c r="M1486" s="8">
        <v>29</v>
      </c>
      <c r="N1486" s="8">
        <v>130</v>
      </c>
      <c r="O1486" s="11">
        <v>0.03677962974044771</v>
      </c>
      <c r="P1486" s="8" t="s">
        <v>700</v>
      </c>
      <c r="Q1486" s="8" t="s">
        <v>1358</v>
      </c>
      <c r="R1486" s="8">
        <v>93</v>
      </c>
      <c r="S1486" s="11">
        <v>66.81610185129776</v>
      </c>
      <c r="T1486" s="11">
        <v>0.1875</v>
      </c>
      <c r="U1486" s="11">
        <v>0.8125</v>
      </c>
      <c r="V1486" s="11">
        <v>29.8125</v>
      </c>
      <c r="W1486" s="11">
        <v>129.1875</v>
      </c>
      <c r="X1486" s="8" t="s">
        <v>1359</v>
      </c>
    </row>
    <row r="1487" spans="1:24" ht="25" customHeight="1">
      <c r="A1487" s="12">
        <v>4624</v>
      </c>
      <c r="B1487" s="8">
        <v>3</v>
      </c>
      <c r="C1487" s="8" t="s">
        <v>711</v>
      </c>
      <c r="D1487" s="8" t="s">
        <v>206</v>
      </c>
      <c r="E1487" s="8" t="s">
        <v>605</v>
      </c>
      <c r="F1487" s="8">
        <v>9</v>
      </c>
      <c r="G1487" s="8">
        <v>2</v>
      </c>
      <c r="H1487" s="11">
        <v>0.2222222222222222</v>
      </c>
      <c r="I1487" s="11">
        <v>0.0125</v>
      </c>
      <c r="J1487" s="11">
        <v>17.77777777777778</v>
      </c>
      <c r="K1487" s="8">
        <v>2</v>
      </c>
      <c r="L1487" s="8">
        <v>7</v>
      </c>
      <c r="M1487" s="8">
        <v>0</v>
      </c>
      <c r="N1487" s="8">
        <v>151</v>
      </c>
      <c r="O1487" s="11">
        <v>5.567263687255501E-09</v>
      </c>
      <c r="P1487" s="8" t="s">
        <v>700</v>
      </c>
      <c r="Q1487" s="8" t="s">
        <v>1360</v>
      </c>
      <c r="R1487" s="8">
        <v>94</v>
      </c>
      <c r="S1487" s="11">
        <v>61.22222219438591</v>
      </c>
      <c r="T1487" s="11">
        <v>0.1125</v>
      </c>
      <c r="U1487" s="11">
        <v>8.887499999999999</v>
      </c>
      <c r="V1487" s="11">
        <v>1.8875</v>
      </c>
      <c r="W1487" s="11">
        <v>149.1125</v>
      </c>
      <c r="X1487" s="8" t="s">
        <v>1361</v>
      </c>
    </row>
    <row r="1488" spans="1:24" ht="25" customHeight="1">
      <c r="A1488" s="12">
        <v>4625</v>
      </c>
      <c r="B1488" s="8">
        <v>3</v>
      </c>
      <c r="C1488" s="8" t="s">
        <v>711</v>
      </c>
      <c r="D1488" s="8" t="s">
        <v>222</v>
      </c>
      <c r="E1488" s="8" t="s">
        <v>449</v>
      </c>
      <c r="F1488" s="8">
        <v>1</v>
      </c>
      <c r="G1488" s="8">
        <v>1</v>
      </c>
      <c r="H1488" s="8">
        <v>1</v>
      </c>
      <c r="I1488" s="11">
        <v>0.1875</v>
      </c>
      <c r="J1488" s="11">
        <v>5.333333333333333</v>
      </c>
      <c r="K1488" s="8">
        <v>1</v>
      </c>
      <c r="L1488" s="8">
        <v>0</v>
      </c>
      <c r="M1488" s="8">
        <v>29</v>
      </c>
      <c r="N1488" s="8">
        <v>130</v>
      </c>
      <c r="O1488" s="11">
        <v>0.03677962974044771</v>
      </c>
      <c r="P1488" s="8" t="s">
        <v>700</v>
      </c>
      <c r="Q1488" s="8" t="s">
        <v>1362</v>
      </c>
      <c r="R1488" s="8">
        <v>95</v>
      </c>
      <c r="S1488" s="11">
        <v>66.81610185129776</v>
      </c>
      <c r="T1488" s="11">
        <v>0.1875</v>
      </c>
      <c r="U1488" s="11">
        <v>0.8125</v>
      </c>
      <c r="V1488" s="11">
        <v>29.8125</v>
      </c>
      <c r="W1488" s="11">
        <v>129.1875</v>
      </c>
      <c r="X1488" s="8" t="s">
        <v>1359</v>
      </c>
    </row>
    <row r="1489" spans="1:24" ht="25" customHeight="1">
      <c r="A1489" s="12">
        <v>4626</v>
      </c>
      <c r="B1489" s="8">
        <v>3</v>
      </c>
      <c r="C1489" s="8" t="s">
        <v>711</v>
      </c>
      <c r="D1489" s="8" t="s">
        <v>206</v>
      </c>
      <c r="E1489" s="8" t="s">
        <v>474</v>
      </c>
      <c r="F1489" s="8">
        <v>9</v>
      </c>
      <c r="G1489" s="8">
        <v>1</v>
      </c>
      <c r="H1489" s="11">
        <v>0.1111111111111111</v>
      </c>
      <c r="I1489" s="11">
        <v>0.05625</v>
      </c>
      <c r="J1489" s="11">
        <v>1.975308641975309</v>
      </c>
      <c r="K1489" s="8">
        <v>1</v>
      </c>
      <c r="L1489" s="8">
        <v>8</v>
      </c>
      <c r="M1489" s="8">
        <v>8</v>
      </c>
      <c r="N1489" s="8">
        <v>143</v>
      </c>
      <c r="O1489" s="11">
        <v>0.4621536537398399</v>
      </c>
      <c r="P1489" s="8" t="s">
        <v>700</v>
      </c>
      <c r="Q1489" s="8" t="s">
        <v>1363</v>
      </c>
      <c r="R1489" s="8">
        <v>96</v>
      </c>
      <c r="S1489" s="11">
        <v>49.75096012636254</v>
      </c>
      <c r="T1489" s="11">
        <v>0.50625</v>
      </c>
      <c r="U1489" s="11">
        <v>8.49375</v>
      </c>
      <c r="V1489" s="11">
        <v>8.49375</v>
      </c>
      <c r="W1489" s="11">
        <v>142.50625</v>
      </c>
      <c r="X1489" s="8" t="s">
        <v>1364</v>
      </c>
    </row>
    <row r="1490" spans="1:24" ht="25" customHeight="1">
      <c r="A1490" s="12">
        <v>4627</v>
      </c>
      <c r="B1490" s="8">
        <v>3</v>
      </c>
      <c r="C1490" s="8" t="s">
        <v>716</v>
      </c>
      <c r="D1490" s="8" t="s">
        <v>206</v>
      </c>
      <c r="E1490" s="8" t="s">
        <v>465</v>
      </c>
      <c r="F1490" s="8">
        <v>9</v>
      </c>
      <c r="G1490" s="8">
        <v>2</v>
      </c>
      <c r="H1490" s="11">
        <v>0.2222222222222222</v>
      </c>
      <c r="I1490" s="11">
        <v>0.16875</v>
      </c>
      <c r="J1490" s="11">
        <v>1.316872427983539</v>
      </c>
      <c r="K1490" s="8">
        <v>2</v>
      </c>
      <c r="L1490" s="8">
        <v>7</v>
      </c>
      <c r="M1490" s="8">
        <v>25</v>
      </c>
      <c r="N1490" s="8">
        <v>126</v>
      </c>
      <c r="O1490" s="11">
        <v>0.6592904013408971</v>
      </c>
      <c r="P1490" s="8" t="s">
        <v>700</v>
      </c>
      <c r="Q1490" s="8" t="s">
        <v>1365</v>
      </c>
      <c r="R1490" s="8">
        <v>97</v>
      </c>
      <c r="S1490" s="11">
        <v>50.55951507148482</v>
      </c>
      <c r="T1490" s="11">
        <v>1.51875</v>
      </c>
      <c r="U1490" s="11">
        <v>7.48125</v>
      </c>
      <c r="V1490" s="11">
        <v>25.48125</v>
      </c>
      <c r="W1490" s="11">
        <v>125.51875</v>
      </c>
      <c r="X1490" s="8" t="s">
        <v>1366</v>
      </c>
    </row>
    <row r="1491" spans="1:24" ht="25" customHeight="1">
      <c r="A1491" s="12">
        <v>4628</v>
      </c>
      <c r="B1491" s="8">
        <v>3</v>
      </c>
      <c r="C1491" s="8" t="s">
        <v>716</v>
      </c>
      <c r="D1491" s="8" t="s">
        <v>235</v>
      </c>
      <c r="E1491" s="8" t="s">
        <v>468</v>
      </c>
      <c r="F1491" s="8">
        <v>1</v>
      </c>
      <c r="G1491" s="8">
        <v>1</v>
      </c>
      <c r="H1491" s="8">
        <v>1</v>
      </c>
      <c r="I1491" s="11">
        <v>0.05</v>
      </c>
      <c r="J1491" s="8">
        <v>20</v>
      </c>
      <c r="K1491" s="8">
        <v>1</v>
      </c>
      <c r="L1491" s="8">
        <v>0</v>
      </c>
      <c r="M1491" s="8">
        <v>7</v>
      </c>
      <c r="N1491" s="8">
        <v>152</v>
      </c>
      <c r="O1491" s="11">
        <v>1.227841633945058E-05</v>
      </c>
      <c r="P1491" s="8" t="s">
        <v>700</v>
      </c>
      <c r="Q1491" s="8" t="s">
        <v>1367</v>
      </c>
      <c r="R1491" s="8">
        <v>98</v>
      </c>
      <c r="S1491" s="11">
        <v>66.9999386079183</v>
      </c>
      <c r="T1491" s="11">
        <v>0.05</v>
      </c>
      <c r="U1491" s="11">
        <v>0.95</v>
      </c>
      <c r="V1491" s="11">
        <v>7.95</v>
      </c>
      <c r="W1491" s="11">
        <v>151.05</v>
      </c>
      <c r="X1491" s="8" t="s">
        <v>1368</v>
      </c>
    </row>
    <row r="1492" spans="1:24" ht="25" customHeight="1">
      <c r="A1492" s="12">
        <v>4629</v>
      </c>
      <c r="B1492" s="8">
        <v>3</v>
      </c>
      <c r="C1492" s="8" t="s">
        <v>711</v>
      </c>
      <c r="D1492" s="8" t="s">
        <v>206</v>
      </c>
      <c r="E1492" s="8" t="s">
        <v>428</v>
      </c>
      <c r="F1492" s="8">
        <v>9</v>
      </c>
      <c r="G1492" s="8">
        <v>2</v>
      </c>
      <c r="H1492" s="11">
        <v>0.2222222222222222</v>
      </c>
      <c r="I1492" s="11">
        <v>0.2625</v>
      </c>
      <c r="J1492" s="11">
        <v>0.8465608465608465</v>
      </c>
      <c r="K1492" s="8">
        <v>2</v>
      </c>
      <c r="L1492" s="8">
        <v>7</v>
      </c>
      <c r="M1492" s="8">
        <v>40</v>
      </c>
      <c r="N1492" s="8">
        <v>111</v>
      </c>
      <c r="O1492" s="11">
        <v>0.7774134037674691</v>
      </c>
      <c r="P1492" s="8" t="s">
        <v>700</v>
      </c>
      <c r="Q1492" s="8" t="s">
        <v>1369</v>
      </c>
      <c r="R1492" s="8">
        <v>99</v>
      </c>
      <c r="S1492" s="11">
        <v>49.02827689650657</v>
      </c>
      <c r="T1492" s="11">
        <v>2.3625</v>
      </c>
      <c r="U1492" s="11">
        <v>6.6375</v>
      </c>
      <c r="V1492" s="11">
        <v>39.6375</v>
      </c>
      <c r="W1492" s="11">
        <v>111.3625</v>
      </c>
      <c r="X1492" s="8" t="s">
        <v>1370</v>
      </c>
    </row>
    <row r="1493" spans="1:24" ht="25" customHeight="1">
      <c r="A1493" s="12">
        <v>4630</v>
      </c>
      <c r="B1493" s="8">
        <v>3</v>
      </c>
      <c r="C1493" s="8" t="s">
        <v>720</v>
      </c>
      <c r="D1493" s="8" t="s">
        <v>206</v>
      </c>
      <c r="E1493" s="8" t="s">
        <v>449</v>
      </c>
      <c r="F1493" s="8">
        <v>5</v>
      </c>
      <c r="G1493" s="8">
        <v>1</v>
      </c>
      <c r="H1493" s="11">
        <v>0.2</v>
      </c>
      <c r="I1493" s="11">
        <v>0.1875</v>
      </c>
      <c r="J1493" s="11">
        <v>1.066666666666667</v>
      </c>
      <c r="K1493" s="8">
        <v>1</v>
      </c>
      <c r="L1493" s="8">
        <v>4</v>
      </c>
      <c r="M1493" s="8">
        <v>29</v>
      </c>
      <c r="N1493" s="8">
        <v>126</v>
      </c>
      <c r="O1493" s="11">
        <v>0.9419992155374159</v>
      </c>
      <c r="P1493" s="8" t="s">
        <v>700</v>
      </c>
      <c r="Q1493" s="8" t="s">
        <v>1371</v>
      </c>
      <c r="R1493" s="8">
        <v>100</v>
      </c>
      <c r="S1493" s="11">
        <v>46.42333725564625</v>
      </c>
      <c r="T1493" s="11">
        <v>0.9375</v>
      </c>
      <c r="U1493" s="11">
        <v>4.0625</v>
      </c>
      <c r="V1493" s="11">
        <v>29.0625</v>
      </c>
      <c r="W1493" s="11">
        <v>125.9375</v>
      </c>
      <c r="X1493" s="8" t="s">
        <v>1372</v>
      </c>
    </row>
    <row r="1494" spans="1:24" ht="25" customHeight="1">
      <c r="A1494" s="12">
        <v>4631</v>
      </c>
      <c r="B1494" s="8">
        <v>3</v>
      </c>
      <c r="C1494" s="8" t="s">
        <v>706</v>
      </c>
      <c r="D1494" s="8" t="s">
        <v>203</v>
      </c>
      <c r="E1494" s="8" t="s">
        <v>474</v>
      </c>
      <c r="F1494" s="8">
        <v>3</v>
      </c>
      <c r="G1494" s="8">
        <v>1</v>
      </c>
      <c r="H1494" s="11">
        <v>0.3333333333333333</v>
      </c>
      <c r="I1494" s="11">
        <v>0.05625</v>
      </c>
      <c r="J1494" s="11">
        <v>5.925925925925926</v>
      </c>
      <c r="K1494" s="8">
        <v>1</v>
      </c>
      <c r="L1494" s="8">
        <v>2</v>
      </c>
      <c r="M1494" s="8">
        <v>8</v>
      </c>
      <c r="N1494" s="8">
        <v>149</v>
      </c>
      <c r="O1494" s="11">
        <v>0.03548601600077541</v>
      </c>
      <c r="P1494" s="8" t="s">
        <v>700</v>
      </c>
      <c r="Q1494" s="8" t="s">
        <v>1373</v>
      </c>
      <c r="R1494" s="8">
        <v>101</v>
      </c>
      <c r="S1494" s="11">
        <v>60.15590325332946</v>
      </c>
      <c r="T1494" s="11">
        <v>0.16875</v>
      </c>
      <c r="U1494" s="11">
        <v>2.83125</v>
      </c>
      <c r="V1494" s="11">
        <v>8.831250000000001</v>
      </c>
      <c r="W1494" s="11">
        <v>148.16875</v>
      </c>
      <c r="X1494" s="8" t="s">
        <v>1374</v>
      </c>
    </row>
    <row r="1495" spans="1:24" ht="25" customHeight="1">
      <c r="A1495" s="12">
        <v>4632</v>
      </c>
      <c r="B1495" s="8">
        <v>3</v>
      </c>
      <c r="C1495" s="8" t="s">
        <v>706</v>
      </c>
      <c r="D1495" s="8" t="s">
        <v>203</v>
      </c>
      <c r="E1495" s="8" t="s">
        <v>449</v>
      </c>
      <c r="F1495" s="8">
        <v>3</v>
      </c>
      <c r="G1495" s="8">
        <v>1</v>
      </c>
      <c r="H1495" s="11">
        <v>0.3333333333333333</v>
      </c>
      <c r="I1495" s="11">
        <v>0.1875</v>
      </c>
      <c r="J1495" s="11">
        <v>1.777777777777778</v>
      </c>
      <c r="K1495" s="8">
        <v>1</v>
      </c>
      <c r="L1495" s="8">
        <v>2</v>
      </c>
      <c r="M1495" s="8">
        <v>29</v>
      </c>
      <c r="N1495" s="8">
        <v>128</v>
      </c>
      <c r="O1495" s="11">
        <v>0.513560355892838</v>
      </c>
      <c r="P1495" s="8" t="s">
        <v>700</v>
      </c>
      <c r="Q1495" s="8" t="s">
        <v>1375</v>
      </c>
      <c r="R1495" s="8">
        <v>102</v>
      </c>
      <c r="S1495" s="11">
        <v>51.3210871094247</v>
      </c>
      <c r="T1495" s="11">
        <v>0.5625</v>
      </c>
      <c r="U1495" s="11">
        <v>2.4375</v>
      </c>
      <c r="V1495" s="11">
        <v>29.4375</v>
      </c>
      <c r="W1495" s="11">
        <v>127.5625</v>
      </c>
      <c r="X1495" s="8" t="s">
        <v>1376</v>
      </c>
    </row>
    <row r="1496" spans="1:24" ht="25" customHeight="1">
      <c r="A1496" s="12">
        <v>4633</v>
      </c>
      <c r="B1496" s="8">
        <v>3</v>
      </c>
      <c r="C1496" s="8" t="s">
        <v>720</v>
      </c>
      <c r="D1496" s="8" t="s">
        <v>206</v>
      </c>
      <c r="E1496" s="8" t="s">
        <v>465</v>
      </c>
      <c r="F1496" s="8">
        <v>5</v>
      </c>
      <c r="G1496" s="8">
        <v>1</v>
      </c>
      <c r="H1496" s="11">
        <v>0.2</v>
      </c>
      <c r="I1496" s="11">
        <v>0.16875</v>
      </c>
      <c r="J1496" s="11">
        <v>1.185185185185185</v>
      </c>
      <c r="K1496" s="8">
        <v>1</v>
      </c>
      <c r="L1496" s="8">
        <v>4</v>
      </c>
      <c r="M1496" s="8">
        <v>26</v>
      </c>
      <c r="N1496" s="8">
        <v>129</v>
      </c>
      <c r="O1496" s="11">
        <v>0.8496557312950387</v>
      </c>
      <c r="P1496" s="8" t="s">
        <v>700</v>
      </c>
      <c r="Q1496" s="8" t="s">
        <v>1377</v>
      </c>
      <c r="R1496" s="8">
        <v>103</v>
      </c>
      <c r="S1496" s="11">
        <v>47.12209171389517</v>
      </c>
      <c r="T1496" s="11">
        <v>0.84375</v>
      </c>
      <c r="U1496" s="11">
        <v>4.15625</v>
      </c>
      <c r="V1496" s="11">
        <v>26.15625</v>
      </c>
      <c r="W1496" s="11">
        <v>128.84375</v>
      </c>
      <c r="X1496" s="8" t="s">
        <v>1378</v>
      </c>
    </row>
    <row r="1497" spans="1:24" ht="25" customHeight="1">
      <c r="A1497" s="12">
        <v>4634</v>
      </c>
      <c r="B1497" s="8">
        <v>3</v>
      </c>
      <c r="C1497" s="8" t="s">
        <v>720</v>
      </c>
      <c r="D1497" s="8" t="s">
        <v>206</v>
      </c>
      <c r="E1497" s="8" t="s">
        <v>428</v>
      </c>
      <c r="F1497" s="8">
        <v>5</v>
      </c>
      <c r="G1497" s="8">
        <v>2</v>
      </c>
      <c r="H1497" s="11">
        <v>0.4</v>
      </c>
      <c r="I1497" s="11">
        <v>0.2625</v>
      </c>
      <c r="J1497" s="11">
        <v>1.523809523809524</v>
      </c>
      <c r="K1497" s="8">
        <v>2</v>
      </c>
      <c r="L1497" s="8">
        <v>3</v>
      </c>
      <c r="M1497" s="8">
        <v>40</v>
      </c>
      <c r="N1497" s="8">
        <v>115</v>
      </c>
      <c r="O1497" s="11">
        <v>0.47772661410242</v>
      </c>
      <c r="P1497" s="8" t="s">
        <v>700</v>
      </c>
      <c r="Q1497" s="8" t="s">
        <v>1379</v>
      </c>
      <c r="R1497" s="8">
        <v>104</v>
      </c>
      <c r="S1497" s="11">
        <v>53.65898597710695</v>
      </c>
      <c r="T1497" s="11">
        <v>1.3125</v>
      </c>
      <c r="U1497" s="11">
        <v>3.6875</v>
      </c>
      <c r="V1497" s="11">
        <v>40.6875</v>
      </c>
      <c r="W1497" s="11">
        <v>114.3125</v>
      </c>
      <c r="X1497" s="8" t="s">
        <v>1380</v>
      </c>
    </row>
    <row r="1498" spans="1:24" ht="25" customHeight="1">
      <c r="A1498" s="12">
        <v>4635</v>
      </c>
      <c r="B1498" s="8">
        <v>3</v>
      </c>
      <c r="C1498" s="8" t="s">
        <v>720</v>
      </c>
      <c r="D1498" s="8" t="s">
        <v>203</v>
      </c>
      <c r="E1498" s="8" t="s">
        <v>465</v>
      </c>
      <c r="F1498" s="8">
        <v>2</v>
      </c>
      <c r="G1498" s="8">
        <v>2</v>
      </c>
      <c r="H1498" s="8">
        <v>1</v>
      </c>
      <c r="I1498" s="11">
        <v>0.16875</v>
      </c>
      <c r="J1498" s="11">
        <v>5.925925925925926</v>
      </c>
      <c r="K1498" s="8">
        <v>2</v>
      </c>
      <c r="L1498" s="8">
        <v>0</v>
      </c>
      <c r="M1498" s="8">
        <v>25</v>
      </c>
      <c r="N1498" s="8">
        <v>133</v>
      </c>
      <c r="O1498" s="11">
        <v>0.001585457117046235</v>
      </c>
      <c r="P1498" s="8" t="s">
        <v>700</v>
      </c>
      <c r="Q1498" s="8" t="s">
        <v>1381</v>
      </c>
      <c r="R1498" s="8">
        <v>105</v>
      </c>
      <c r="S1498" s="11">
        <v>68.99207271441477</v>
      </c>
      <c r="T1498" s="11">
        <v>0.3375</v>
      </c>
      <c r="U1498" s="11">
        <v>1.6625</v>
      </c>
      <c r="V1498" s="11">
        <v>26.6625</v>
      </c>
      <c r="W1498" s="11">
        <v>131.3375</v>
      </c>
      <c r="X1498" s="8" t="s">
        <v>1382</v>
      </c>
    </row>
    <row r="1499" spans="1:24" ht="25" customHeight="1">
      <c r="A1499" s="12">
        <v>4636</v>
      </c>
      <c r="B1499" s="8">
        <v>3</v>
      </c>
      <c r="C1499" s="8" t="s">
        <v>720</v>
      </c>
      <c r="D1499" s="8" t="s">
        <v>235</v>
      </c>
      <c r="E1499" s="8" t="s">
        <v>428</v>
      </c>
      <c r="F1499" s="8">
        <v>1</v>
      </c>
      <c r="G1499" s="8">
        <v>1</v>
      </c>
      <c r="H1499" s="8">
        <v>1</v>
      </c>
      <c r="I1499" s="11">
        <v>0.2625</v>
      </c>
      <c r="J1499" s="11">
        <v>3.809523809523809</v>
      </c>
      <c r="K1499" s="8">
        <v>1</v>
      </c>
      <c r="L1499" s="8">
        <v>0</v>
      </c>
      <c r="M1499" s="8">
        <v>41</v>
      </c>
      <c r="N1499" s="8">
        <v>118</v>
      </c>
      <c r="O1499" s="11">
        <v>0.09268017709703066</v>
      </c>
      <c r="P1499" s="8" t="s">
        <v>700</v>
      </c>
      <c r="Q1499" s="8" t="s">
        <v>1383</v>
      </c>
      <c r="R1499" s="8">
        <v>106</v>
      </c>
      <c r="S1499" s="11">
        <v>64.15564673356246</v>
      </c>
      <c r="T1499" s="11">
        <v>0.2625</v>
      </c>
      <c r="U1499" s="11">
        <v>0.7375</v>
      </c>
      <c r="V1499" s="11">
        <v>41.7375</v>
      </c>
      <c r="W1499" s="11">
        <v>117.2625</v>
      </c>
      <c r="X1499" s="8" t="s">
        <v>1384</v>
      </c>
    </row>
    <row r="1500" spans="1:24" ht="25" customHeight="1">
      <c r="A1500" s="12">
        <v>4637</v>
      </c>
      <c r="B1500" s="8">
        <v>3</v>
      </c>
      <c r="C1500" s="8" t="s">
        <v>716</v>
      </c>
      <c r="D1500" s="8" t="s">
        <v>206</v>
      </c>
      <c r="E1500" s="8" t="s">
        <v>428</v>
      </c>
      <c r="F1500" s="8">
        <v>9</v>
      </c>
      <c r="G1500" s="8">
        <v>1</v>
      </c>
      <c r="H1500" s="11">
        <v>0.1111111111111111</v>
      </c>
      <c r="I1500" s="11">
        <v>0.2625</v>
      </c>
      <c r="J1500" s="11">
        <v>0.4232804232804233</v>
      </c>
      <c r="K1500" s="8">
        <v>1</v>
      </c>
      <c r="L1500" s="8">
        <v>8</v>
      </c>
      <c r="M1500" s="8">
        <v>41</v>
      </c>
      <c r="N1500" s="8">
        <v>110</v>
      </c>
      <c r="O1500" s="11">
        <v>0.2879952497371009</v>
      </c>
      <c r="P1500" s="8" t="s">
        <v>700</v>
      </c>
      <c r="Q1500" s="8" t="s">
        <v>1385</v>
      </c>
      <c r="R1500" s="8">
        <v>107</v>
      </c>
      <c r="S1500" s="11">
        <v>47.51769570898646</v>
      </c>
      <c r="T1500" s="11">
        <v>2.3625</v>
      </c>
      <c r="U1500" s="11">
        <v>6.6375</v>
      </c>
      <c r="V1500" s="11">
        <v>39.6375</v>
      </c>
      <c r="W1500" s="11">
        <v>111.3625</v>
      </c>
      <c r="X1500" s="8" t="s">
        <v>1386</v>
      </c>
    </row>
    <row r="1501" spans="1:24" ht="25" customHeight="1">
      <c r="A1501" s="12">
        <v>4638</v>
      </c>
      <c r="B1501" s="8">
        <v>3</v>
      </c>
      <c r="C1501" s="8" t="s">
        <v>706</v>
      </c>
      <c r="D1501" s="8" t="s">
        <v>203</v>
      </c>
      <c r="E1501" s="8" t="s">
        <v>428</v>
      </c>
      <c r="F1501" s="8">
        <v>3</v>
      </c>
      <c r="G1501" s="8">
        <v>1</v>
      </c>
      <c r="H1501" s="11">
        <v>0.3333333333333333</v>
      </c>
      <c r="I1501" s="11">
        <v>0.2625</v>
      </c>
      <c r="J1501" s="11">
        <v>1.26984126984127</v>
      </c>
      <c r="K1501" s="8">
        <v>1</v>
      </c>
      <c r="L1501" s="8">
        <v>2</v>
      </c>
      <c r="M1501" s="8">
        <v>41</v>
      </c>
      <c r="N1501" s="8">
        <v>116</v>
      </c>
      <c r="O1501" s="11">
        <v>0.7783346790490715</v>
      </c>
      <c r="P1501" s="8" t="s">
        <v>700</v>
      </c>
      <c r="Q1501" s="8" t="s">
        <v>1387</v>
      </c>
      <c r="R1501" s="8">
        <v>108</v>
      </c>
      <c r="S1501" s="11">
        <v>48.98134247777052</v>
      </c>
      <c r="T1501" s="11">
        <v>0.7875</v>
      </c>
      <c r="U1501" s="11">
        <v>2.2125</v>
      </c>
      <c r="V1501" s="11">
        <v>41.2125</v>
      </c>
      <c r="W1501" s="11">
        <v>115.7875</v>
      </c>
      <c r="X1501" s="8" t="s">
        <v>1388</v>
      </c>
    </row>
    <row r="1502" spans="1:24" ht="25" customHeight="1">
      <c r="A1502" s="12">
        <v>4639</v>
      </c>
      <c r="B1502" s="8">
        <v>3</v>
      </c>
      <c r="C1502" s="8" t="s">
        <v>706</v>
      </c>
      <c r="D1502" s="8" t="s">
        <v>1170</v>
      </c>
      <c r="E1502" s="8" t="s">
        <v>878</v>
      </c>
      <c r="F1502" s="8">
        <v>1</v>
      </c>
      <c r="G1502" s="8">
        <v>1</v>
      </c>
      <c r="H1502" s="8">
        <v>1</v>
      </c>
      <c r="I1502" s="11">
        <v>0.04375</v>
      </c>
      <c r="J1502" s="11">
        <v>22.85714285714286</v>
      </c>
      <c r="K1502" s="8">
        <v>1</v>
      </c>
      <c r="L1502" s="8">
        <v>0</v>
      </c>
      <c r="M1502" s="8">
        <v>6</v>
      </c>
      <c r="N1502" s="8">
        <v>153</v>
      </c>
      <c r="O1502" s="11">
        <v>2.734173458838461E-06</v>
      </c>
      <c r="P1502" s="8" t="s">
        <v>700</v>
      </c>
      <c r="Q1502" s="8" t="s">
        <v>1389</v>
      </c>
      <c r="R1502" s="8">
        <v>109</v>
      </c>
      <c r="S1502" s="11">
        <v>66.99998632913271</v>
      </c>
      <c r="T1502" s="11">
        <v>0.04375</v>
      </c>
      <c r="U1502" s="11">
        <v>0.95625</v>
      </c>
      <c r="V1502" s="11">
        <v>6.95625</v>
      </c>
      <c r="W1502" s="11">
        <v>152.04375</v>
      </c>
      <c r="X1502" s="8" t="s">
        <v>1390</v>
      </c>
    </row>
    <row r="1503" spans="1:24" ht="25" customHeight="1">
      <c r="A1503" s="12">
        <v>4640</v>
      </c>
      <c r="B1503" s="8">
        <v>4</v>
      </c>
      <c r="C1503" s="8" t="s">
        <v>706</v>
      </c>
      <c r="D1503" s="8" t="s">
        <v>1170</v>
      </c>
      <c r="E1503" s="8" t="s">
        <v>1038</v>
      </c>
      <c r="F1503" s="8">
        <v>1</v>
      </c>
      <c r="G1503" s="8">
        <v>1</v>
      </c>
      <c r="H1503" s="8">
        <v>1</v>
      </c>
      <c r="I1503" s="11">
        <v>0.00625</v>
      </c>
      <c r="J1503" s="8">
        <v>160</v>
      </c>
      <c r="K1503" s="8">
        <v>1</v>
      </c>
      <c r="L1503" s="8">
        <v>0</v>
      </c>
      <c r="M1503" s="8">
        <v>0</v>
      </c>
      <c r="N1503" s="8">
        <v>159</v>
      </c>
      <c r="O1503" s="11">
        <v>1.131483790243283E-36</v>
      </c>
      <c r="P1503" s="8" t="s">
        <v>700</v>
      </c>
      <c r="Q1503" s="8" t="s">
        <v>1391</v>
      </c>
      <c r="R1503" s="8">
        <v>110</v>
      </c>
      <c r="S1503" s="8">
        <v>67</v>
      </c>
      <c r="T1503" s="11">
        <v>0.00625</v>
      </c>
      <c r="U1503" s="11">
        <v>0.99375</v>
      </c>
      <c r="V1503" s="11">
        <v>0.99375</v>
      </c>
      <c r="W1503" s="11">
        <v>158.00625</v>
      </c>
      <c r="X1503" s="8" t="s">
        <v>1040</v>
      </c>
    </row>
    <row r="1504" spans="1:24" ht="25" customHeight="1">
      <c r="A1504" s="12">
        <v>4641</v>
      </c>
      <c r="B1504" s="8">
        <v>4</v>
      </c>
      <c r="C1504" s="8" t="s">
        <v>706</v>
      </c>
      <c r="D1504" s="8" t="s">
        <v>811</v>
      </c>
      <c r="E1504" s="8" t="s">
        <v>878</v>
      </c>
      <c r="F1504" s="8">
        <v>1</v>
      </c>
      <c r="G1504" s="8">
        <v>1</v>
      </c>
      <c r="H1504" s="8">
        <v>1</v>
      </c>
      <c r="I1504" s="11">
        <v>0.04375</v>
      </c>
      <c r="J1504" s="11">
        <v>22.85714285714286</v>
      </c>
      <c r="K1504" s="8">
        <v>1</v>
      </c>
      <c r="L1504" s="8">
        <v>0</v>
      </c>
      <c r="M1504" s="8">
        <v>6</v>
      </c>
      <c r="N1504" s="8">
        <v>153</v>
      </c>
      <c r="O1504" s="11">
        <v>2.734173458838461E-06</v>
      </c>
      <c r="P1504" s="8" t="s">
        <v>700</v>
      </c>
      <c r="Q1504" s="8" t="s">
        <v>1392</v>
      </c>
      <c r="R1504" s="8">
        <v>111</v>
      </c>
      <c r="S1504" s="11">
        <v>66.99998632913271</v>
      </c>
      <c r="T1504" s="11">
        <v>0.04375</v>
      </c>
      <c r="U1504" s="11">
        <v>0.95625</v>
      </c>
      <c r="V1504" s="11">
        <v>6.95625</v>
      </c>
      <c r="W1504" s="11">
        <v>152.04375</v>
      </c>
      <c r="X1504" s="8" t="s">
        <v>1393</v>
      </c>
    </row>
    <row r="1505" spans="1:24" ht="25" customHeight="1">
      <c r="A1505" s="12">
        <v>5532</v>
      </c>
      <c r="B1505" s="8" t="s">
        <v>1394</v>
      </c>
    </row>
    <row r="1506" spans="1:24" ht="25" customHeight="1">
      <c r="A1506" s="12">
        <v>5533</v>
      </c>
      <c r="B1506" s="8" t="s">
        <v>687</v>
      </c>
      <c r="C1506" s="8" t="s">
        <v>688</v>
      </c>
      <c r="D1506" s="8" t="s">
        <v>780</v>
      </c>
      <c r="E1506" s="8" t="s">
        <v>814</v>
      </c>
      <c r="F1506" s="8" t="s">
        <v>826</v>
      </c>
      <c r="G1506" s="8" t="s">
        <v>827</v>
      </c>
      <c r="H1506" s="8" t="s">
        <v>828</v>
      </c>
      <c r="I1506" s="8" t="s">
        <v>829</v>
      </c>
      <c r="J1506" s="8" t="s">
        <v>691</v>
      </c>
      <c r="K1506" s="8" t="s">
        <v>830</v>
      </c>
      <c r="L1506" s="8" t="s">
        <v>831</v>
      </c>
      <c r="M1506" s="8" t="s">
        <v>832</v>
      </c>
      <c r="N1506" s="8" t="s">
        <v>833</v>
      </c>
      <c r="O1506" s="8" t="s">
        <v>692</v>
      </c>
      <c r="P1506" s="8" t="s">
        <v>834</v>
      </c>
      <c r="Q1506" s="8" t="s">
        <v>697</v>
      </c>
      <c r="R1506" s="8" t="s">
        <v>835</v>
      </c>
      <c r="S1506" s="8" t="s">
        <v>836</v>
      </c>
      <c r="T1506" s="8" t="s">
        <v>837</v>
      </c>
      <c r="U1506" s="8" t="s">
        <v>838</v>
      </c>
      <c r="V1506" s="8" t="s">
        <v>839</v>
      </c>
      <c r="W1506" s="8" t="s">
        <v>840</v>
      </c>
      <c r="X1506" s="8" t="s">
        <v>841</v>
      </c>
    </row>
    <row r="1507" spans="1:24" ht="25" customHeight="1">
      <c r="A1507" s="12">
        <v>5534</v>
      </c>
      <c r="B1507" s="8">
        <v>0</v>
      </c>
      <c r="C1507" s="8" t="s">
        <v>115</v>
      </c>
      <c r="D1507" s="8" t="s">
        <v>842</v>
      </c>
      <c r="E1507" s="8" t="s">
        <v>1395</v>
      </c>
      <c r="F1507" s="8">
        <v>1</v>
      </c>
      <c r="G1507" s="8">
        <v>1</v>
      </c>
      <c r="H1507" s="8">
        <v>1</v>
      </c>
      <c r="I1507" s="11">
        <v>0.006211180124223602</v>
      </c>
      <c r="J1507" s="8">
        <v>161</v>
      </c>
      <c r="K1507" s="8">
        <v>1</v>
      </c>
      <c r="L1507" s="8">
        <v>0</v>
      </c>
      <c r="M1507" s="8">
        <v>0</v>
      </c>
      <c r="N1507" s="8">
        <v>160</v>
      </c>
      <c r="O1507" s="11">
        <v>6.841707543855235E-37</v>
      </c>
      <c r="P1507" s="8" t="s">
        <v>704</v>
      </c>
      <c r="Q1507" s="8" t="s">
        <v>1396</v>
      </c>
      <c r="R1507" s="8">
        <v>1</v>
      </c>
      <c r="S1507" s="8">
        <v>72</v>
      </c>
      <c r="T1507" s="11">
        <v>0.006211180124223602</v>
      </c>
      <c r="U1507" s="11">
        <v>0.9937888198757764</v>
      </c>
      <c r="V1507" s="11">
        <v>0.9937888198757764</v>
      </c>
      <c r="W1507" s="11">
        <v>159.0062111801242</v>
      </c>
      <c r="X1507" s="8" t="s">
        <v>1397</v>
      </c>
    </row>
    <row r="1508" spans="1:24" ht="25" customHeight="1">
      <c r="A1508" s="12">
        <v>5535</v>
      </c>
      <c r="B1508" s="8">
        <v>0</v>
      </c>
      <c r="C1508" s="8" t="s">
        <v>115</v>
      </c>
      <c r="D1508" s="8" t="s">
        <v>123</v>
      </c>
      <c r="E1508" s="8" t="s">
        <v>1398</v>
      </c>
      <c r="F1508" s="8">
        <v>3</v>
      </c>
      <c r="G1508" s="8">
        <v>1</v>
      </c>
      <c r="H1508" s="11">
        <v>0.3333333333333333</v>
      </c>
      <c r="I1508" s="11">
        <v>0.03726708074534162</v>
      </c>
      <c r="J1508" s="11">
        <v>8.944444444444443</v>
      </c>
      <c r="K1508" s="8">
        <v>1</v>
      </c>
      <c r="L1508" s="8">
        <v>2</v>
      </c>
      <c r="M1508" s="8">
        <v>5</v>
      </c>
      <c r="N1508" s="8">
        <v>153</v>
      </c>
      <c r="O1508" s="11">
        <v>0.006278587905067123</v>
      </c>
      <c r="P1508" s="8" t="s">
        <v>704</v>
      </c>
      <c r="Q1508" s="8" t="s">
        <v>1399</v>
      </c>
      <c r="R1508" s="8">
        <v>2</v>
      </c>
      <c r="S1508" s="11">
        <v>65.301940393808</v>
      </c>
      <c r="T1508" s="11">
        <v>0.1118012422360248</v>
      </c>
      <c r="U1508" s="11">
        <v>2.888198757763975</v>
      </c>
      <c r="V1508" s="11">
        <v>5.888198757763975</v>
      </c>
      <c r="W1508" s="11">
        <v>152.111801242236</v>
      </c>
      <c r="X1508" s="8" t="s">
        <v>1400</v>
      </c>
    </row>
    <row r="1509" spans="1:24" ht="25" customHeight="1">
      <c r="A1509" s="12">
        <v>5536</v>
      </c>
      <c r="B1509" s="8">
        <v>0</v>
      </c>
      <c r="C1509" s="8" t="s">
        <v>115</v>
      </c>
      <c r="D1509" s="8" t="s">
        <v>120</v>
      </c>
      <c r="E1509" s="8" t="s">
        <v>1401</v>
      </c>
      <c r="F1509" s="8">
        <v>24</v>
      </c>
      <c r="G1509" s="8">
        <v>1</v>
      </c>
      <c r="H1509" s="11">
        <v>0.04166666666666666</v>
      </c>
      <c r="I1509" s="11">
        <v>0.006211180124223602</v>
      </c>
      <c r="J1509" s="11">
        <v>6.708333333333333</v>
      </c>
      <c r="K1509" s="8">
        <v>1</v>
      </c>
      <c r="L1509" s="8">
        <v>23</v>
      </c>
      <c r="M1509" s="8">
        <v>0</v>
      </c>
      <c r="N1509" s="8">
        <v>137</v>
      </c>
      <c r="O1509" s="11">
        <v>0.0165449737638454</v>
      </c>
      <c r="P1509" s="8" t="s">
        <v>704</v>
      </c>
      <c r="Q1509" s="8" t="s">
        <v>1402</v>
      </c>
      <c r="R1509" s="8">
        <v>3</v>
      </c>
      <c r="S1509" s="11">
        <v>62.33394179784744</v>
      </c>
      <c r="T1509" s="11">
        <v>0.1490683229813665</v>
      </c>
      <c r="U1509" s="11">
        <v>23.85093167701863</v>
      </c>
      <c r="V1509" s="11">
        <v>0.8509316770186336</v>
      </c>
      <c r="W1509" s="11">
        <v>136.1490683229814</v>
      </c>
      <c r="X1509" s="8" t="s">
        <v>1403</v>
      </c>
    </row>
    <row r="1510" spans="1:24" ht="25" customHeight="1">
      <c r="A1510" s="12">
        <v>5537</v>
      </c>
      <c r="B1510" s="8">
        <v>0</v>
      </c>
      <c r="C1510" s="8" t="s">
        <v>115</v>
      </c>
      <c r="D1510" s="8" t="s">
        <v>120</v>
      </c>
      <c r="E1510" s="8" t="s">
        <v>815</v>
      </c>
      <c r="F1510" s="8">
        <v>24</v>
      </c>
      <c r="G1510" s="8">
        <v>2</v>
      </c>
      <c r="H1510" s="11">
        <v>0.08333333333333333</v>
      </c>
      <c r="I1510" s="11">
        <v>0.04968944099378882</v>
      </c>
      <c r="J1510" s="11">
        <v>1.677083333333333</v>
      </c>
      <c r="K1510" s="8">
        <v>2</v>
      </c>
      <c r="L1510" s="8">
        <v>22</v>
      </c>
      <c r="M1510" s="8">
        <v>6</v>
      </c>
      <c r="N1510" s="8">
        <v>131</v>
      </c>
      <c r="O1510" s="11">
        <v>0.4109391575048982</v>
      </c>
      <c r="P1510" s="8" t="s">
        <v>704</v>
      </c>
      <c r="Q1510" s="8" t="s">
        <v>1404</v>
      </c>
      <c r="R1510" s="8">
        <v>4</v>
      </c>
      <c r="S1510" s="11">
        <v>56.13280421247551</v>
      </c>
      <c r="T1510" s="11">
        <v>1.192546583850932</v>
      </c>
      <c r="U1510" s="11">
        <v>22.80745341614907</v>
      </c>
      <c r="V1510" s="11">
        <v>6.807453416149069</v>
      </c>
      <c r="W1510" s="11">
        <v>130.1925465838509</v>
      </c>
      <c r="X1510" s="8" t="s">
        <v>1405</v>
      </c>
    </row>
    <row r="1511" spans="1:24" ht="25" customHeight="1">
      <c r="A1511" s="12">
        <v>5538</v>
      </c>
      <c r="B1511" s="8">
        <v>0</v>
      </c>
      <c r="C1511" s="8" t="s">
        <v>115</v>
      </c>
      <c r="D1511" s="8" t="s">
        <v>120</v>
      </c>
      <c r="E1511" s="8" t="s">
        <v>1406</v>
      </c>
      <c r="F1511" s="8">
        <v>24</v>
      </c>
      <c r="G1511" s="8">
        <v>1</v>
      </c>
      <c r="H1511" s="11">
        <v>0.04166666666666666</v>
      </c>
      <c r="I1511" s="11">
        <v>0.006211180124223602</v>
      </c>
      <c r="J1511" s="11">
        <v>6.708333333333333</v>
      </c>
      <c r="K1511" s="8">
        <v>1</v>
      </c>
      <c r="L1511" s="8">
        <v>23</v>
      </c>
      <c r="M1511" s="8">
        <v>0</v>
      </c>
      <c r="N1511" s="8">
        <v>137</v>
      </c>
      <c r="O1511" s="11">
        <v>0.0165449737638454</v>
      </c>
      <c r="P1511" s="8" t="s">
        <v>704</v>
      </c>
      <c r="Q1511" s="8" t="s">
        <v>1407</v>
      </c>
      <c r="R1511" s="8">
        <v>5</v>
      </c>
      <c r="S1511" s="11">
        <v>62.33394179784744</v>
      </c>
      <c r="T1511" s="11">
        <v>0.1490683229813665</v>
      </c>
      <c r="U1511" s="11">
        <v>23.85093167701863</v>
      </c>
      <c r="V1511" s="11">
        <v>0.8509316770186336</v>
      </c>
      <c r="W1511" s="11">
        <v>136.1490683229814</v>
      </c>
      <c r="X1511" s="8" t="s">
        <v>1403</v>
      </c>
    </row>
    <row r="1512" spans="1:24" ht="25" customHeight="1">
      <c r="A1512" s="12">
        <v>5539</v>
      </c>
      <c r="B1512" s="8">
        <v>0</v>
      </c>
      <c r="C1512" s="8" t="s">
        <v>115</v>
      </c>
      <c r="D1512" s="8" t="s">
        <v>120</v>
      </c>
      <c r="E1512" s="8" t="s">
        <v>49</v>
      </c>
      <c r="F1512" s="8">
        <v>24</v>
      </c>
      <c r="G1512" s="8">
        <v>3</v>
      </c>
      <c r="H1512" s="11">
        <v>0.125</v>
      </c>
      <c r="I1512" s="11">
        <v>0.04968944099378882</v>
      </c>
      <c r="J1512" s="11">
        <v>2.515625</v>
      </c>
      <c r="K1512" s="8">
        <v>3</v>
      </c>
      <c r="L1512" s="8">
        <v>21</v>
      </c>
      <c r="M1512" s="8">
        <v>5</v>
      </c>
      <c r="N1512" s="8">
        <v>132</v>
      </c>
      <c r="O1512" s="11">
        <v>0.06568647788352686</v>
      </c>
      <c r="P1512" s="8" t="s">
        <v>700</v>
      </c>
      <c r="Q1512" s="8" t="s">
        <v>1408</v>
      </c>
      <c r="R1512" s="8">
        <v>6</v>
      </c>
      <c r="S1512" s="11">
        <v>56.95281761058236</v>
      </c>
      <c r="T1512" s="11">
        <v>1.192546583850932</v>
      </c>
      <c r="U1512" s="11">
        <v>22.80745341614907</v>
      </c>
      <c r="V1512" s="11">
        <v>6.807453416149069</v>
      </c>
      <c r="W1512" s="11">
        <v>130.1925465838509</v>
      </c>
      <c r="X1512" s="8" t="s">
        <v>1409</v>
      </c>
    </row>
    <row r="1513" spans="1:24" ht="25" customHeight="1">
      <c r="A1513" s="12">
        <v>5540</v>
      </c>
      <c r="B1513" s="8">
        <v>0</v>
      </c>
      <c r="C1513" s="8" t="s">
        <v>115</v>
      </c>
      <c r="D1513" s="8" t="s">
        <v>120</v>
      </c>
      <c r="E1513" s="8" t="s">
        <v>1410</v>
      </c>
      <c r="F1513" s="8">
        <v>24</v>
      </c>
      <c r="G1513" s="8">
        <v>1</v>
      </c>
      <c r="H1513" s="11">
        <v>0.04166666666666666</v>
      </c>
      <c r="I1513" s="11">
        <v>0.01863354037267081</v>
      </c>
      <c r="J1513" s="11">
        <v>2.236111111111111</v>
      </c>
      <c r="K1513" s="8">
        <v>1</v>
      </c>
      <c r="L1513" s="8">
        <v>23</v>
      </c>
      <c r="M1513" s="8">
        <v>2</v>
      </c>
      <c r="N1513" s="8">
        <v>135</v>
      </c>
      <c r="O1513" s="11">
        <v>0.3656869545273346</v>
      </c>
      <c r="P1513" s="8" t="s">
        <v>704</v>
      </c>
      <c r="Q1513" s="8" t="s">
        <v>1411</v>
      </c>
      <c r="R1513" s="8">
        <v>7</v>
      </c>
      <c r="S1513" s="11">
        <v>55.06045411625221</v>
      </c>
      <c r="T1513" s="11">
        <v>0.4472049689440994</v>
      </c>
      <c r="U1513" s="11">
        <v>23.5527950310559</v>
      </c>
      <c r="V1513" s="11">
        <v>2.552795031055901</v>
      </c>
      <c r="W1513" s="11">
        <v>134.4472049689441</v>
      </c>
      <c r="X1513" s="8" t="s">
        <v>1412</v>
      </c>
    </row>
    <row r="1514" spans="1:24" ht="25" customHeight="1">
      <c r="A1514" s="12">
        <v>5541</v>
      </c>
      <c r="B1514" s="8">
        <v>0</v>
      </c>
      <c r="C1514" s="8" t="s">
        <v>115</v>
      </c>
      <c r="D1514" s="8" t="s">
        <v>120</v>
      </c>
      <c r="E1514" s="8" t="s">
        <v>1413</v>
      </c>
      <c r="F1514" s="8">
        <v>24</v>
      </c>
      <c r="G1514" s="8">
        <v>1</v>
      </c>
      <c r="H1514" s="11">
        <v>0.04166666666666666</v>
      </c>
      <c r="I1514" s="11">
        <v>0.0124223602484472</v>
      </c>
      <c r="J1514" s="11">
        <v>3.354166666666667</v>
      </c>
      <c r="K1514" s="8">
        <v>1</v>
      </c>
      <c r="L1514" s="8">
        <v>23</v>
      </c>
      <c r="M1514" s="8">
        <v>1</v>
      </c>
      <c r="N1514" s="8">
        <v>136</v>
      </c>
      <c r="O1514" s="11">
        <v>0.1608536479771441</v>
      </c>
      <c r="P1514" s="8" t="s">
        <v>704</v>
      </c>
      <c r="Q1514" s="8" t="s">
        <v>1414</v>
      </c>
      <c r="R1514" s="8">
        <v>8</v>
      </c>
      <c r="S1514" s="11">
        <v>58.32073176011428</v>
      </c>
      <c r="T1514" s="11">
        <v>0.2981366459627329</v>
      </c>
      <c r="U1514" s="11">
        <v>23.70186335403727</v>
      </c>
      <c r="V1514" s="11">
        <v>1.701863354037267</v>
      </c>
      <c r="W1514" s="11">
        <v>135.2981366459627</v>
      </c>
      <c r="X1514" s="8" t="s">
        <v>1415</v>
      </c>
    </row>
    <row r="1515" spans="1:24" ht="25" customHeight="1">
      <c r="A1515" s="12">
        <v>5542</v>
      </c>
      <c r="B1515" s="8">
        <v>0</v>
      </c>
      <c r="C1515" s="8" t="s">
        <v>115</v>
      </c>
      <c r="D1515" s="8" t="s">
        <v>120</v>
      </c>
      <c r="E1515" s="8" t="s">
        <v>1416</v>
      </c>
      <c r="F1515" s="8">
        <v>24</v>
      </c>
      <c r="G1515" s="8">
        <v>1</v>
      </c>
      <c r="H1515" s="11">
        <v>0.04166666666666666</v>
      </c>
      <c r="I1515" s="11">
        <v>0.01863354037267081</v>
      </c>
      <c r="J1515" s="11">
        <v>2.236111111111111</v>
      </c>
      <c r="K1515" s="8">
        <v>1</v>
      </c>
      <c r="L1515" s="8">
        <v>23</v>
      </c>
      <c r="M1515" s="8">
        <v>2</v>
      </c>
      <c r="N1515" s="8">
        <v>135</v>
      </c>
      <c r="O1515" s="11">
        <v>0.3656869545273346</v>
      </c>
      <c r="P1515" s="8" t="s">
        <v>704</v>
      </c>
      <c r="Q1515" s="8" t="s">
        <v>1417</v>
      </c>
      <c r="R1515" s="8">
        <v>9</v>
      </c>
      <c r="S1515" s="11">
        <v>55.06045411625221</v>
      </c>
      <c r="T1515" s="11">
        <v>0.4472049689440994</v>
      </c>
      <c r="U1515" s="11">
        <v>23.5527950310559</v>
      </c>
      <c r="V1515" s="11">
        <v>2.552795031055901</v>
      </c>
      <c r="W1515" s="11">
        <v>134.4472049689441</v>
      </c>
      <c r="X1515" s="8" t="s">
        <v>1412</v>
      </c>
    </row>
    <row r="1516" spans="1:24" ht="25" customHeight="1">
      <c r="A1516" s="12">
        <v>5543</v>
      </c>
      <c r="B1516" s="8">
        <v>0</v>
      </c>
      <c r="C1516" s="8" t="s">
        <v>115</v>
      </c>
      <c r="D1516" s="8" t="s">
        <v>120</v>
      </c>
      <c r="E1516" s="8" t="s">
        <v>819</v>
      </c>
      <c r="F1516" s="8">
        <v>24</v>
      </c>
      <c r="G1516" s="8">
        <v>1</v>
      </c>
      <c r="H1516" s="11">
        <v>0.04166666666666666</v>
      </c>
      <c r="I1516" s="11">
        <v>0.04347826086956522</v>
      </c>
      <c r="J1516" s="11">
        <v>0.9583333333333333</v>
      </c>
      <c r="K1516" s="8">
        <v>1</v>
      </c>
      <c r="L1516" s="8">
        <v>23</v>
      </c>
      <c r="M1516" s="8">
        <v>6</v>
      </c>
      <c r="N1516" s="8">
        <v>131</v>
      </c>
      <c r="O1516" s="11">
        <v>0.9623716932957287</v>
      </c>
      <c r="P1516" s="8" t="s">
        <v>704</v>
      </c>
      <c r="Q1516" s="8" t="s">
        <v>1418</v>
      </c>
      <c r="R1516" s="8">
        <v>10</v>
      </c>
      <c r="S1516" s="11">
        <v>49.52147486685468</v>
      </c>
      <c r="T1516" s="11">
        <v>1.043478260869565</v>
      </c>
      <c r="U1516" s="11">
        <v>22.95652173913043</v>
      </c>
      <c r="V1516" s="11">
        <v>5.956521739130435</v>
      </c>
      <c r="W1516" s="11">
        <v>131.0434782608696</v>
      </c>
      <c r="X1516" s="8" t="s">
        <v>1419</v>
      </c>
    </row>
    <row r="1517" spans="1:24" ht="25" customHeight="1">
      <c r="A1517" s="12">
        <v>5544</v>
      </c>
      <c r="B1517" s="8">
        <v>0</v>
      </c>
      <c r="C1517" s="8" t="s">
        <v>115</v>
      </c>
      <c r="D1517" s="8" t="s">
        <v>120</v>
      </c>
      <c r="E1517" s="8" t="s">
        <v>1420</v>
      </c>
      <c r="F1517" s="8">
        <v>24</v>
      </c>
      <c r="G1517" s="8">
        <v>1</v>
      </c>
      <c r="H1517" s="11">
        <v>0.04166666666666666</v>
      </c>
      <c r="I1517" s="11">
        <v>0.0124223602484472</v>
      </c>
      <c r="J1517" s="11">
        <v>3.354166666666667</v>
      </c>
      <c r="K1517" s="8">
        <v>1</v>
      </c>
      <c r="L1517" s="8">
        <v>23</v>
      </c>
      <c r="M1517" s="8">
        <v>1</v>
      </c>
      <c r="N1517" s="8">
        <v>136</v>
      </c>
      <c r="O1517" s="11">
        <v>0.1608536479771441</v>
      </c>
      <c r="P1517" s="8" t="s">
        <v>704</v>
      </c>
      <c r="Q1517" s="8" t="s">
        <v>1421</v>
      </c>
      <c r="R1517" s="8">
        <v>11</v>
      </c>
      <c r="S1517" s="11">
        <v>58.32073176011428</v>
      </c>
      <c r="T1517" s="11">
        <v>0.2981366459627329</v>
      </c>
      <c r="U1517" s="11">
        <v>23.70186335403727</v>
      </c>
      <c r="V1517" s="11">
        <v>1.701863354037267</v>
      </c>
      <c r="W1517" s="11">
        <v>135.2981366459627</v>
      </c>
      <c r="X1517" s="8" t="s">
        <v>1415</v>
      </c>
    </row>
    <row r="1518" spans="1:24" ht="25" customHeight="1">
      <c r="A1518" s="12">
        <v>5545</v>
      </c>
      <c r="B1518" s="8">
        <v>0</v>
      </c>
      <c r="C1518" s="8" t="s">
        <v>115</v>
      </c>
      <c r="D1518" s="8" t="s">
        <v>120</v>
      </c>
      <c r="E1518" s="8" t="s">
        <v>1422</v>
      </c>
      <c r="F1518" s="8">
        <v>24</v>
      </c>
      <c r="G1518" s="8">
        <v>1</v>
      </c>
      <c r="H1518" s="11">
        <v>0.04166666666666666</v>
      </c>
      <c r="I1518" s="11">
        <v>0.01863354037267081</v>
      </c>
      <c r="J1518" s="11">
        <v>2.236111111111111</v>
      </c>
      <c r="K1518" s="8">
        <v>1</v>
      </c>
      <c r="L1518" s="8">
        <v>23</v>
      </c>
      <c r="M1518" s="8">
        <v>2</v>
      </c>
      <c r="N1518" s="8">
        <v>135</v>
      </c>
      <c r="O1518" s="11">
        <v>0.3656869545273346</v>
      </c>
      <c r="P1518" s="8" t="s">
        <v>704</v>
      </c>
      <c r="Q1518" s="8" t="s">
        <v>1423</v>
      </c>
      <c r="R1518" s="8">
        <v>12</v>
      </c>
      <c r="S1518" s="11">
        <v>55.06045411625221</v>
      </c>
      <c r="T1518" s="11">
        <v>0.4472049689440994</v>
      </c>
      <c r="U1518" s="11">
        <v>23.5527950310559</v>
      </c>
      <c r="V1518" s="11">
        <v>2.552795031055901</v>
      </c>
      <c r="W1518" s="11">
        <v>134.4472049689441</v>
      </c>
      <c r="X1518" s="8" t="s">
        <v>1412</v>
      </c>
    </row>
    <row r="1519" spans="1:24" ht="25" customHeight="1">
      <c r="A1519" s="12">
        <v>5546</v>
      </c>
      <c r="B1519" s="8">
        <v>0</v>
      </c>
      <c r="C1519" s="8" t="s">
        <v>115</v>
      </c>
      <c r="D1519" s="8" t="s">
        <v>123</v>
      </c>
      <c r="E1519" s="8" t="s">
        <v>1424</v>
      </c>
      <c r="F1519" s="8">
        <v>3</v>
      </c>
      <c r="G1519" s="8">
        <v>1</v>
      </c>
      <c r="H1519" s="11">
        <v>0.3333333333333333</v>
      </c>
      <c r="I1519" s="11">
        <v>0.006211180124223602</v>
      </c>
      <c r="J1519" s="11">
        <v>53.66666666666666</v>
      </c>
      <c r="K1519" s="8">
        <v>1</v>
      </c>
      <c r="L1519" s="8">
        <v>2</v>
      </c>
      <c r="M1519" s="8">
        <v>0</v>
      </c>
      <c r="N1519" s="8">
        <v>158</v>
      </c>
      <c r="O1519" s="11">
        <v>3.342566678484639E-13</v>
      </c>
      <c r="P1519" s="8" t="s">
        <v>704</v>
      </c>
      <c r="Q1519" s="8" t="s">
        <v>1425</v>
      </c>
      <c r="R1519" s="8">
        <v>13</v>
      </c>
      <c r="S1519" s="11">
        <v>65.33333333333167</v>
      </c>
      <c r="T1519" s="11">
        <v>0.01863354037267081</v>
      </c>
      <c r="U1519" s="11">
        <v>2.981366459627329</v>
      </c>
      <c r="V1519" s="11">
        <v>0.9813664596273292</v>
      </c>
      <c r="W1519" s="11">
        <v>157.0186335403727</v>
      </c>
      <c r="X1519" s="8" t="s">
        <v>1426</v>
      </c>
    </row>
    <row r="1520" spans="1:24" ht="25" customHeight="1">
      <c r="A1520" s="12">
        <v>5547</v>
      </c>
      <c r="B1520" s="8">
        <v>0</v>
      </c>
      <c r="C1520" s="8" t="s">
        <v>115</v>
      </c>
      <c r="D1520" s="8" t="s">
        <v>120</v>
      </c>
      <c r="E1520" s="8" t="s">
        <v>1398</v>
      </c>
      <c r="F1520" s="8">
        <v>24</v>
      </c>
      <c r="G1520" s="8">
        <v>1</v>
      </c>
      <c r="H1520" s="11">
        <v>0.04166666666666666</v>
      </c>
      <c r="I1520" s="11">
        <v>0.03726708074534162</v>
      </c>
      <c r="J1520" s="11">
        <v>1.118055555555555</v>
      </c>
      <c r="K1520" s="8">
        <v>1</v>
      </c>
      <c r="L1520" s="8">
        <v>23</v>
      </c>
      <c r="M1520" s="8">
        <v>5</v>
      </c>
      <c r="N1520" s="8">
        <v>132</v>
      </c>
      <c r="O1520" s="11">
        <v>0.9018265017495671</v>
      </c>
      <c r="P1520" s="8" t="s">
        <v>704</v>
      </c>
      <c r="Q1520" s="8" t="s">
        <v>1427</v>
      </c>
      <c r="R1520" s="8">
        <v>14</v>
      </c>
      <c r="S1520" s="11">
        <v>50.14364526902994</v>
      </c>
      <c r="T1520" s="11">
        <v>0.8944099378881988</v>
      </c>
      <c r="U1520" s="11">
        <v>23.1055900621118</v>
      </c>
      <c r="V1520" s="11">
        <v>5.105590062111801</v>
      </c>
      <c r="W1520" s="11">
        <v>131.8944099378882</v>
      </c>
      <c r="X1520" s="8" t="s">
        <v>1428</v>
      </c>
    </row>
    <row r="1521" spans="1:24" ht="25" customHeight="1">
      <c r="A1521" s="12">
        <v>5548</v>
      </c>
      <c r="B1521" s="8">
        <v>0</v>
      </c>
      <c r="C1521" s="8" t="s">
        <v>115</v>
      </c>
      <c r="D1521" s="8" t="s">
        <v>120</v>
      </c>
      <c r="E1521" s="8" t="s">
        <v>1429</v>
      </c>
      <c r="F1521" s="8">
        <v>24</v>
      </c>
      <c r="G1521" s="8">
        <v>1</v>
      </c>
      <c r="H1521" s="11">
        <v>0.04166666666666666</v>
      </c>
      <c r="I1521" s="11">
        <v>0.006211180124223602</v>
      </c>
      <c r="J1521" s="11">
        <v>6.708333333333333</v>
      </c>
      <c r="K1521" s="8">
        <v>1</v>
      </c>
      <c r="L1521" s="8">
        <v>23</v>
      </c>
      <c r="M1521" s="8">
        <v>0</v>
      </c>
      <c r="N1521" s="8">
        <v>137</v>
      </c>
      <c r="O1521" s="11">
        <v>0.0165449737638454</v>
      </c>
      <c r="P1521" s="8" t="s">
        <v>704</v>
      </c>
      <c r="Q1521" s="8" t="s">
        <v>1430</v>
      </c>
      <c r="R1521" s="8">
        <v>15</v>
      </c>
      <c r="S1521" s="11">
        <v>62.33394179784744</v>
      </c>
      <c r="T1521" s="11">
        <v>0.1490683229813665</v>
      </c>
      <c r="U1521" s="11">
        <v>23.85093167701863</v>
      </c>
      <c r="V1521" s="11">
        <v>0.8509316770186336</v>
      </c>
      <c r="W1521" s="11">
        <v>136.1490683229814</v>
      </c>
      <c r="X1521" s="8" t="s">
        <v>1403</v>
      </c>
    </row>
    <row r="1522" spans="1:24" ht="25" customHeight="1">
      <c r="A1522" s="12">
        <v>5549</v>
      </c>
      <c r="B1522" s="8">
        <v>0</v>
      </c>
      <c r="C1522" s="8" t="s">
        <v>115</v>
      </c>
      <c r="D1522" s="8" t="s">
        <v>120</v>
      </c>
      <c r="E1522" s="8" t="s">
        <v>1431</v>
      </c>
      <c r="F1522" s="8">
        <v>24</v>
      </c>
      <c r="G1522" s="8">
        <v>1</v>
      </c>
      <c r="H1522" s="11">
        <v>0.04166666666666666</v>
      </c>
      <c r="I1522" s="11">
        <v>0.0124223602484472</v>
      </c>
      <c r="J1522" s="11">
        <v>3.354166666666667</v>
      </c>
      <c r="K1522" s="8">
        <v>1</v>
      </c>
      <c r="L1522" s="8">
        <v>23</v>
      </c>
      <c r="M1522" s="8">
        <v>1</v>
      </c>
      <c r="N1522" s="8">
        <v>136</v>
      </c>
      <c r="O1522" s="11">
        <v>0.1608536479771441</v>
      </c>
      <c r="P1522" s="8" t="s">
        <v>704</v>
      </c>
      <c r="Q1522" s="8" t="s">
        <v>1432</v>
      </c>
      <c r="R1522" s="8">
        <v>16</v>
      </c>
      <c r="S1522" s="11">
        <v>58.32073176011428</v>
      </c>
      <c r="T1522" s="11">
        <v>0.2981366459627329</v>
      </c>
      <c r="U1522" s="11">
        <v>23.70186335403727</v>
      </c>
      <c r="V1522" s="11">
        <v>1.701863354037267</v>
      </c>
      <c r="W1522" s="11">
        <v>135.2981366459627</v>
      </c>
      <c r="X1522" s="8" t="s">
        <v>1415</v>
      </c>
    </row>
    <row r="1523" spans="1:24" ht="25" customHeight="1">
      <c r="A1523" s="12">
        <v>5550</v>
      </c>
      <c r="B1523" s="8">
        <v>0</v>
      </c>
      <c r="C1523" s="8" t="s">
        <v>115</v>
      </c>
      <c r="D1523" s="8" t="s">
        <v>120</v>
      </c>
      <c r="E1523" s="8" t="s">
        <v>1433</v>
      </c>
      <c r="F1523" s="8">
        <v>24</v>
      </c>
      <c r="G1523" s="8">
        <v>1</v>
      </c>
      <c r="H1523" s="11">
        <v>0.04166666666666666</v>
      </c>
      <c r="I1523" s="11">
        <v>0.006211180124223602</v>
      </c>
      <c r="J1523" s="11">
        <v>6.708333333333333</v>
      </c>
      <c r="K1523" s="8">
        <v>1</v>
      </c>
      <c r="L1523" s="8">
        <v>23</v>
      </c>
      <c r="M1523" s="8">
        <v>0</v>
      </c>
      <c r="N1523" s="8">
        <v>137</v>
      </c>
      <c r="O1523" s="11">
        <v>0.0165449737638454</v>
      </c>
      <c r="P1523" s="8" t="s">
        <v>704</v>
      </c>
      <c r="Q1523" s="8" t="s">
        <v>1434</v>
      </c>
      <c r="R1523" s="8">
        <v>17</v>
      </c>
      <c r="S1523" s="11">
        <v>62.33394179784744</v>
      </c>
      <c r="T1523" s="11">
        <v>0.1490683229813665</v>
      </c>
      <c r="U1523" s="11">
        <v>23.85093167701863</v>
      </c>
      <c r="V1523" s="11">
        <v>0.8509316770186336</v>
      </c>
      <c r="W1523" s="11">
        <v>136.1490683229814</v>
      </c>
      <c r="X1523" s="8" t="s">
        <v>1403</v>
      </c>
    </row>
    <row r="1524" spans="1:24" ht="25" customHeight="1">
      <c r="A1524" s="12">
        <v>5551</v>
      </c>
      <c r="B1524" s="8">
        <v>0</v>
      </c>
      <c r="C1524" s="8" t="s">
        <v>115</v>
      </c>
      <c r="D1524" s="8" t="s">
        <v>120</v>
      </c>
      <c r="E1524" s="8" t="s">
        <v>1435</v>
      </c>
      <c r="F1524" s="8">
        <v>24</v>
      </c>
      <c r="G1524" s="8">
        <v>1</v>
      </c>
      <c r="H1524" s="11">
        <v>0.04166666666666666</v>
      </c>
      <c r="I1524" s="11">
        <v>0.006211180124223602</v>
      </c>
      <c r="J1524" s="11">
        <v>6.708333333333333</v>
      </c>
      <c r="K1524" s="8">
        <v>1</v>
      </c>
      <c r="L1524" s="8">
        <v>23</v>
      </c>
      <c r="M1524" s="8">
        <v>0</v>
      </c>
      <c r="N1524" s="8">
        <v>137</v>
      </c>
      <c r="O1524" s="11">
        <v>0.0165449737638454</v>
      </c>
      <c r="P1524" s="8" t="s">
        <v>704</v>
      </c>
      <c r="Q1524" s="8" t="s">
        <v>1436</v>
      </c>
      <c r="R1524" s="8">
        <v>18</v>
      </c>
      <c r="S1524" s="11">
        <v>62.33394179784744</v>
      </c>
      <c r="T1524" s="11">
        <v>0.1490683229813665</v>
      </c>
      <c r="U1524" s="11">
        <v>23.85093167701863</v>
      </c>
      <c r="V1524" s="11">
        <v>0.8509316770186336</v>
      </c>
      <c r="W1524" s="11">
        <v>136.1490683229814</v>
      </c>
      <c r="X1524" s="8" t="s">
        <v>1403</v>
      </c>
    </row>
    <row r="1525" spans="1:24" ht="25" customHeight="1">
      <c r="A1525" s="12">
        <v>5552</v>
      </c>
      <c r="B1525" s="8">
        <v>0</v>
      </c>
      <c r="C1525" s="8" t="s">
        <v>115</v>
      </c>
      <c r="D1525" s="8" t="s">
        <v>803</v>
      </c>
      <c r="E1525" s="8" t="s">
        <v>816</v>
      </c>
      <c r="F1525" s="8">
        <v>5</v>
      </c>
      <c r="G1525" s="8">
        <v>3</v>
      </c>
      <c r="H1525" s="11">
        <v>0.6</v>
      </c>
      <c r="I1525" s="11">
        <v>0.1490683229813665</v>
      </c>
      <c r="J1525" s="11">
        <v>4.024999999999999</v>
      </c>
      <c r="K1525" s="8">
        <v>3</v>
      </c>
      <c r="L1525" s="8">
        <v>2</v>
      </c>
      <c r="M1525" s="8">
        <v>21</v>
      </c>
      <c r="N1525" s="8">
        <v>135</v>
      </c>
      <c r="O1525" s="11">
        <v>0.00402602071249149</v>
      </c>
      <c r="P1525" s="8" t="s">
        <v>700</v>
      </c>
      <c r="Q1525" s="8" t="s">
        <v>1437</v>
      </c>
      <c r="R1525" s="8">
        <v>19</v>
      </c>
      <c r="S1525" s="11">
        <v>65.02986989643755</v>
      </c>
      <c r="T1525" s="11">
        <v>0.7453416149068323</v>
      </c>
      <c r="U1525" s="11">
        <v>4.254658385093168</v>
      </c>
      <c r="V1525" s="11">
        <v>23.25465838509317</v>
      </c>
      <c r="W1525" s="11">
        <v>132.7453416149068</v>
      </c>
      <c r="X1525" s="8" t="s">
        <v>1438</v>
      </c>
    </row>
    <row r="1526" spans="1:24" ht="25" customHeight="1">
      <c r="A1526" s="12">
        <v>5553</v>
      </c>
      <c r="B1526" s="8">
        <v>0</v>
      </c>
      <c r="C1526" s="8" t="s">
        <v>115</v>
      </c>
      <c r="D1526" s="8" t="s">
        <v>120</v>
      </c>
      <c r="E1526" s="8" t="s">
        <v>1439</v>
      </c>
      <c r="F1526" s="8">
        <v>24</v>
      </c>
      <c r="G1526" s="8">
        <v>1</v>
      </c>
      <c r="H1526" s="11">
        <v>0.04166666666666666</v>
      </c>
      <c r="I1526" s="11">
        <v>0.01863354037267081</v>
      </c>
      <c r="J1526" s="11">
        <v>2.236111111111111</v>
      </c>
      <c r="K1526" s="8">
        <v>1</v>
      </c>
      <c r="L1526" s="8">
        <v>23</v>
      </c>
      <c r="M1526" s="8">
        <v>2</v>
      </c>
      <c r="N1526" s="8">
        <v>135</v>
      </c>
      <c r="O1526" s="11">
        <v>0.3656869545273346</v>
      </c>
      <c r="P1526" s="8" t="s">
        <v>704</v>
      </c>
      <c r="Q1526" s="8" t="s">
        <v>1440</v>
      </c>
      <c r="R1526" s="8">
        <v>20</v>
      </c>
      <c r="S1526" s="11">
        <v>55.06045411625221</v>
      </c>
      <c r="T1526" s="11">
        <v>0.4472049689440994</v>
      </c>
      <c r="U1526" s="11">
        <v>23.5527950310559</v>
      </c>
      <c r="V1526" s="11">
        <v>2.552795031055901</v>
      </c>
      <c r="W1526" s="11">
        <v>134.4472049689441</v>
      </c>
      <c r="X1526" s="8" t="s">
        <v>1412</v>
      </c>
    </row>
    <row r="1527" spans="1:24" ht="25" customHeight="1">
      <c r="A1527" s="12">
        <v>5554</v>
      </c>
      <c r="B1527" s="8">
        <v>0</v>
      </c>
      <c r="C1527" s="8" t="s">
        <v>115</v>
      </c>
      <c r="D1527" s="8" t="s">
        <v>802</v>
      </c>
      <c r="E1527" s="8" t="s">
        <v>815</v>
      </c>
      <c r="F1527" s="8">
        <v>2</v>
      </c>
      <c r="G1527" s="8">
        <v>1</v>
      </c>
      <c r="H1527" s="11">
        <v>0.5</v>
      </c>
      <c r="I1527" s="11">
        <v>0.04968944099378882</v>
      </c>
      <c r="J1527" s="11">
        <v>10.0625</v>
      </c>
      <c r="K1527" s="8">
        <v>1</v>
      </c>
      <c r="L1527" s="8">
        <v>1</v>
      </c>
      <c r="M1527" s="8">
        <v>7</v>
      </c>
      <c r="N1527" s="8">
        <v>152</v>
      </c>
      <c r="O1527" s="11">
        <v>0.00318790675801471</v>
      </c>
      <c r="P1527" s="8" t="s">
        <v>704</v>
      </c>
      <c r="Q1527" s="8" t="s">
        <v>1441</v>
      </c>
      <c r="R1527" s="8">
        <v>21</v>
      </c>
      <c r="S1527" s="11">
        <v>66.98406046620993</v>
      </c>
      <c r="T1527" s="11">
        <v>0.09937888198757763</v>
      </c>
      <c r="U1527" s="11">
        <v>1.900621118012422</v>
      </c>
      <c r="V1527" s="11">
        <v>7.900621118012422</v>
      </c>
      <c r="W1527" s="11">
        <v>151.0993788819876</v>
      </c>
      <c r="X1527" s="8" t="s">
        <v>1442</v>
      </c>
    </row>
    <row r="1528" spans="1:24" ht="25" customHeight="1">
      <c r="A1528" s="12">
        <v>5555</v>
      </c>
      <c r="B1528" s="8">
        <v>0</v>
      </c>
      <c r="C1528" s="8" t="s">
        <v>115</v>
      </c>
      <c r="D1528" s="8" t="s">
        <v>120</v>
      </c>
      <c r="E1528" s="8" t="s">
        <v>817</v>
      </c>
      <c r="F1528" s="8">
        <v>24</v>
      </c>
      <c r="G1528" s="8">
        <v>2</v>
      </c>
      <c r="H1528" s="11">
        <v>0.08333333333333333</v>
      </c>
      <c r="I1528" s="11">
        <v>0.0124223602484472</v>
      </c>
      <c r="J1528" s="11">
        <v>6.708333333333333</v>
      </c>
      <c r="K1528" s="8">
        <v>2</v>
      </c>
      <c r="L1528" s="8">
        <v>22</v>
      </c>
      <c r="M1528" s="8">
        <v>0</v>
      </c>
      <c r="N1528" s="8">
        <v>137</v>
      </c>
      <c r="O1528" s="11">
        <v>0.0006737597666268918</v>
      </c>
      <c r="P1528" s="8" t="s">
        <v>704</v>
      </c>
      <c r="Q1528" s="8" t="s">
        <v>1443</v>
      </c>
      <c r="R1528" s="8">
        <v>22</v>
      </c>
      <c r="S1528" s="11">
        <v>64.82996453450021</v>
      </c>
      <c r="T1528" s="11">
        <v>0.2981366459627329</v>
      </c>
      <c r="U1528" s="11">
        <v>23.70186335403727</v>
      </c>
      <c r="V1528" s="11">
        <v>1.701863354037267</v>
      </c>
      <c r="W1528" s="11">
        <v>135.2981366459627</v>
      </c>
      <c r="X1528" s="8" t="s">
        <v>1444</v>
      </c>
    </row>
    <row r="1529" spans="1:24" ht="25" customHeight="1">
      <c r="A1529" s="12">
        <v>5556</v>
      </c>
      <c r="B1529" s="8">
        <v>0</v>
      </c>
      <c r="C1529" s="8" t="s">
        <v>115</v>
      </c>
      <c r="D1529" s="8" t="s">
        <v>803</v>
      </c>
      <c r="E1529" s="8" t="s">
        <v>818</v>
      </c>
      <c r="F1529" s="8">
        <v>5</v>
      </c>
      <c r="G1529" s="8">
        <v>2</v>
      </c>
      <c r="H1529" s="11">
        <v>0.4</v>
      </c>
      <c r="I1529" s="11">
        <v>0.02484472049689441</v>
      </c>
      <c r="J1529" s="11">
        <v>16.1</v>
      </c>
      <c r="K1529" s="8">
        <v>2</v>
      </c>
      <c r="L1529" s="8">
        <v>3</v>
      </c>
      <c r="M1529" s="8">
        <v>2</v>
      </c>
      <c r="N1529" s="8">
        <v>154</v>
      </c>
      <c r="O1529" s="11">
        <v>4.372427580040225E-08</v>
      </c>
      <c r="P1529" s="8" t="s">
        <v>704</v>
      </c>
      <c r="Q1529" s="8" t="s">
        <v>1445</v>
      </c>
      <c r="R1529" s="8">
        <v>23</v>
      </c>
      <c r="S1529" s="11">
        <v>67.99999978137862</v>
      </c>
      <c r="T1529" s="11">
        <v>0.124223602484472</v>
      </c>
      <c r="U1529" s="11">
        <v>4.875776397515528</v>
      </c>
      <c r="V1529" s="11">
        <v>3.875776397515528</v>
      </c>
      <c r="W1529" s="11">
        <v>152.1242236024845</v>
      </c>
      <c r="X1529" s="8" t="s">
        <v>1446</v>
      </c>
    </row>
    <row r="1530" spans="1:24" ht="25" customHeight="1">
      <c r="A1530" s="12">
        <v>5557</v>
      </c>
      <c r="B1530" s="8">
        <v>0</v>
      </c>
      <c r="C1530" s="8" t="s">
        <v>115</v>
      </c>
      <c r="D1530" s="8" t="s">
        <v>802</v>
      </c>
      <c r="E1530" s="8" t="s">
        <v>1447</v>
      </c>
      <c r="F1530" s="8">
        <v>2</v>
      </c>
      <c r="G1530" s="8">
        <v>1</v>
      </c>
      <c r="H1530" s="11">
        <v>0.5</v>
      </c>
      <c r="I1530" s="11">
        <v>0.0124223602484472</v>
      </c>
      <c r="J1530" s="11">
        <v>40.25</v>
      </c>
      <c r="K1530" s="8">
        <v>1</v>
      </c>
      <c r="L1530" s="8">
        <v>1</v>
      </c>
      <c r="M1530" s="8">
        <v>1</v>
      </c>
      <c r="N1530" s="8">
        <v>158</v>
      </c>
      <c r="O1530" s="11">
        <v>3.7405621346713E-10</v>
      </c>
      <c r="P1530" s="8" t="s">
        <v>704</v>
      </c>
      <c r="Q1530" s="8" t="s">
        <v>1448</v>
      </c>
      <c r="R1530" s="8">
        <v>24</v>
      </c>
      <c r="S1530" s="11">
        <v>66.99999999812972</v>
      </c>
      <c r="T1530" s="11">
        <v>0.02484472049689441</v>
      </c>
      <c r="U1530" s="11">
        <v>1.975155279503106</v>
      </c>
      <c r="V1530" s="11">
        <v>1.975155279503106</v>
      </c>
      <c r="W1530" s="11">
        <v>157.0248447204969</v>
      </c>
      <c r="X1530" s="8" t="s">
        <v>1449</v>
      </c>
    </row>
    <row r="1531" spans="1:24" ht="25" customHeight="1">
      <c r="A1531" s="12">
        <v>5558</v>
      </c>
      <c r="B1531" s="8">
        <v>0</v>
      </c>
      <c r="C1531" s="8" t="s">
        <v>115</v>
      </c>
      <c r="D1531" s="8" t="s">
        <v>120</v>
      </c>
      <c r="E1531" s="8" t="s">
        <v>823</v>
      </c>
      <c r="F1531" s="8">
        <v>24</v>
      </c>
      <c r="G1531" s="8">
        <v>1</v>
      </c>
      <c r="H1531" s="11">
        <v>0.04166666666666666</v>
      </c>
      <c r="I1531" s="11">
        <v>0.04347826086956522</v>
      </c>
      <c r="J1531" s="11">
        <v>0.9583333333333333</v>
      </c>
      <c r="K1531" s="8">
        <v>1</v>
      </c>
      <c r="L1531" s="8">
        <v>23</v>
      </c>
      <c r="M1531" s="8">
        <v>6</v>
      </c>
      <c r="N1531" s="8">
        <v>131</v>
      </c>
      <c r="O1531" s="11">
        <v>0.9623716932957287</v>
      </c>
      <c r="P1531" s="8" t="s">
        <v>704</v>
      </c>
      <c r="Q1531" s="8" t="s">
        <v>1450</v>
      </c>
      <c r="R1531" s="8">
        <v>25</v>
      </c>
      <c r="S1531" s="11">
        <v>49.52147486685468</v>
      </c>
      <c r="T1531" s="11">
        <v>1.043478260869565</v>
      </c>
      <c r="U1531" s="11">
        <v>22.95652173913043</v>
      </c>
      <c r="V1531" s="11">
        <v>5.956521739130435</v>
      </c>
      <c r="W1531" s="11">
        <v>131.0434782608696</v>
      </c>
      <c r="X1531" s="8" t="s">
        <v>1419</v>
      </c>
    </row>
    <row r="1532" spans="1:24" ht="25" customHeight="1">
      <c r="A1532" s="12">
        <v>5559</v>
      </c>
      <c r="B1532" s="8">
        <v>0</v>
      </c>
      <c r="C1532" s="8" t="s">
        <v>115</v>
      </c>
      <c r="D1532" s="8" t="s">
        <v>877</v>
      </c>
      <c r="E1532" s="8" t="s">
        <v>1451</v>
      </c>
      <c r="F1532" s="8">
        <v>1</v>
      </c>
      <c r="G1532" s="8">
        <v>1</v>
      </c>
      <c r="H1532" s="8">
        <v>1</v>
      </c>
      <c r="I1532" s="11">
        <v>0.0124223602484472</v>
      </c>
      <c r="J1532" s="11">
        <v>80.5</v>
      </c>
      <c r="K1532" s="8">
        <v>1</v>
      </c>
      <c r="L1532" s="8">
        <v>0</v>
      </c>
      <c r="M1532" s="8">
        <v>1</v>
      </c>
      <c r="N1532" s="8">
        <v>159</v>
      </c>
      <c r="O1532" s="11">
        <v>3.750023626405972E-19</v>
      </c>
      <c r="P1532" s="8" t="s">
        <v>704</v>
      </c>
      <c r="Q1532" s="8" t="s">
        <v>1452</v>
      </c>
      <c r="R1532" s="8">
        <v>26</v>
      </c>
      <c r="S1532" s="8">
        <v>72</v>
      </c>
      <c r="T1532" s="11">
        <v>0.0124223602484472</v>
      </c>
      <c r="U1532" s="11">
        <v>0.9875776397515528</v>
      </c>
      <c r="V1532" s="11">
        <v>1.987577639751553</v>
      </c>
      <c r="W1532" s="11">
        <v>158.0124223602485</v>
      </c>
      <c r="X1532" s="8" t="s">
        <v>1397</v>
      </c>
    </row>
    <row r="1533" spans="1:24" ht="25" customHeight="1">
      <c r="A1533" s="12">
        <v>5560</v>
      </c>
      <c r="B1533" s="8">
        <v>0</v>
      </c>
      <c r="C1533" s="8" t="s">
        <v>115</v>
      </c>
      <c r="D1533" s="8" t="s">
        <v>120</v>
      </c>
      <c r="E1533" s="8" t="s">
        <v>816</v>
      </c>
      <c r="F1533" s="8">
        <v>24</v>
      </c>
      <c r="G1533" s="8">
        <v>1</v>
      </c>
      <c r="H1533" s="11">
        <v>0.04166666666666666</v>
      </c>
      <c r="I1533" s="11">
        <v>0.1490683229813665</v>
      </c>
      <c r="J1533" s="11">
        <v>0.2795138888888888</v>
      </c>
      <c r="K1533" s="8">
        <v>1</v>
      </c>
      <c r="L1533" s="8">
        <v>23</v>
      </c>
      <c r="M1533" s="8">
        <v>23</v>
      </c>
      <c r="N1533" s="8">
        <v>114</v>
      </c>
      <c r="O1533" s="11">
        <v>0.1092643569826538</v>
      </c>
      <c r="P1533" s="8" t="s">
        <v>704</v>
      </c>
      <c r="Q1533" s="8" t="s">
        <v>1453</v>
      </c>
      <c r="R1533" s="8">
        <v>27</v>
      </c>
      <c r="S1533" s="11">
        <v>52.42937265953118</v>
      </c>
      <c r="T1533" s="11">
        <v>3.577639751552795</v>
      </c>
      <c r="U1533" s="11">
        <v>20.42236024844721</v>
      </c>
      <c r="V1533" s="11">
        <v>20.42236024844721</v>
      </c>
      <c r="W1533" s="11">
        <v>116.5776397515528</v>
      </c>
      <c r="X1533" s="8" t="s">
        <v>1454</v>
      </c>
    </row>
    <row r="1534" spans="1:24" ht="25" customHeight="1">
      <c r="A1534" s="12">
        <v>5561</v>
      </c>
      <c r="B1534" s="8">
        <v>0</v>
      </c>
      <c r="C1534" s="8" t="s">
        <v>115</v>
      </c>
      <c r="D1534" s="8" t="s">
        <v>120</v>
      </c>
      <c r="E1534" s="8" t="s">
        <v>1455</v>
      </c>
      <c r="F1534" s="8">
        <v>24</v>
      </c>
      <c r="G1534" s="8">
        <v>1</v>
      </c>
      <c r="H1534" s="11">
        <v>0.04166666666666666</v>
      </c>
      <c r="I1534" s="11">
        <v>0.006211180124223602</v>
      </c>
      <c r="J1534" s="11">
        <v>6.708333333333333</v>
      </c>
      <c r="K1534" s="8">
        <v>1</v>
      </c>
      <c r="L1534" s="8">
        <v>23</v>
      </c>
      <c r="M1534" s="8">
        <v>0</v>
      </c>
      <c r="N1534" s="8">
        <v>137</v>
      </c>
      <c r="O1534" s="11">
        <v>0.0165449737638454</v>
      </c>
      <c r="P1534" s="8" t="s">
        <v>704</v>
      </c>
      <c r="Q1534" s="8" t="s">
        <v>1456</v>
      </c>
      <c r="R1534" s="8">
        <v>28</v>
      </c>
      <c r="S1534" s="11">
        <v>62.33394179784744</v>
      </c>
      <c r="T1534" s="11">
        <v>0.1490683229813665</v>
      </c>
      <c r="U1534" s="11">
        <v>23.85093167701863</v>
      </c>
      <c r="V1534" s="11">
        <v>0.8509316770186336</v>
      </c>
      <c r="W1534" s="11">
        <v>136.1490683229814</v>
      </c>
      <c r="X1534" s="8" t="s">
        <v>1403</v>
      </c>
    </row>
    <row r="1535" spans="1:24" ht="25" customHeight="1">
      <c r="A1535" s="12">
        <v>5562</v>
      </c>
      <c r="B1535" s="8">
        <v>0</v>
      </c>
      <c r="C1535" s="8" t="s">
        <v>115</v>
      </c>
      <c r="D1535" s="8" t="s">
        <v>123</v>
      </c>
      <c r="E1535" s="8" t="s">
        <v>823</v>
      </c>
      <c r="F1535" s="8">
        <v>3</v>
      </c>
      <c r="G1535" s="8">
        <v>1</v>
      </c>
      <c r="H1535" s="11">
        <v>0.3333333333333333</v>
      </c>
      <c r="I1535" s="11">
        <v>0.04347826086956522</v>
      </c>
      <c r="J1535" s="11">
        <v>7.666666666666666</v>
      </c>
      <c r="K1535" s="8">
        <v>1</v>
      </c>
      <c r="L1535" s="8">
        <v>2</v>
      </c>
      <c r="M1535" s="8">
        <v>6</v>
      </c>
      <c r="N1535" s="8">
        <v>152</v>
      </c>
      <c r="O1535" s="11">
        <v>0.01295180594400425</v>
      </c>
      <c r="P1535" s="8" t="s">
        <v>704</v>
      </c>
      <c r="Q1535" s="8" t="s">
        <v>1457</v>
      </c>
      <c r="R1535" s="8">
        <v>29</v>
      </c>
      <c r="S1535" s="11">
        <v>65.26857430361332</v>
      </c>
      <c r="T1535" s="11">
        <v>0.1304347826086956</v>
      </c>
      <c r="U1535" s="11">
        <v>2.869565217391304</v>
      </c>
      <c r="V1535" s="11">
        <v>6.869565217391305</v>
      </c>
      <c r="W1535" s="11">
        <v>151.1304347826087</v>
      </c>
      <c r="X1535" s="8" t="s">
        <v>1458</v>
      </c>
    </row>
    <row r="1536" spans="1:24" ht="25" customHeight="1">
      <c r="A1536" s="12">
        <v>5563</v>
      </c>
      <c r="B1536" s="8">
        <v>1</v>
      </c>
      <c r="C1536" s="8" t="s">
        <v>711</v>
      </c>
      <c r="D1536" s="8" t="s">
        <v>120</v>
      </c>
      <c r="E1536" s="8" t="s">
        <v>815</v>
      </c>
      <c r="F1536" s="8">
        <v>2</v>
      </c>
      <c r="G1536" s="8">
        <v>1</v>
      </c>
      <c r="H1536" s="11">
        <v>0.5</v>
      </c>
      <c r="I1536" s="11">
        <v>0.04968944099378882</v>
      </c>
      <c r="J1536" s="11">
        <v>10.0625</v>
      </c>
      <c r="K1536" s="8">
        <v>1</v>
      </c>
      <c r="L1536" s="8">
        <v>1</v>
      </c>
      <c r="M1536" s="8">
        <v>7</v>
      </c>
      <c r="N1536" s="8">
        <v>152</v>
      </c>
      <c r="O1536" s="11">
        <v>0.00318790675801471</v>
      </c>
      <c r="P1536" s="8" t="s">
        <v>704</v>
      </c>
      <c r="Q1536" s="8" t="s">
        <v>1459</v>
      </c>
      <c r="R1536" s="8">
        <v>30</v>
      </c>
      <c r="S1536" s="11">
        <v>66.98406046620993</v>
      </c>
      <c r="T1536" s="11">
        <v>0.09937888198757763</v>
      </c>
      <c r="U1536" s="11">
        <v>1.900621118012422</v>
      </c>
      <c r="V1536" s="11">
        <v>7.900621118012422</v>
      </c>
      <c r="W1536" s="11">
        <v>151.0993788819876</v>
      </c>
      <c r="X1536" s="8" t="s">
        <v>1460</v>
      </c>
    </row>
    <row r="1537" spans="1:24" ht="25" customHeight="1">
      <c r="A1537" s="12">
        <v>5564</v>
      </c>
      <c r="B1537" s="8">
        <v>1</v>
      </c>
      <c r="C1537" s="8" t="s">
        <v>716</v>
      </c>
      <c r="D1537" s="8" t="s">
        <v>120</v>
      </c>
      <c r="E1537" s="8" t="s">
        <v>819</v>
      </c>
      <c r="F1537" s="8">
        <v>21</v>
      </c>
      <c r="G1537" s="8">
        <v>2</v>
      </c>
      <c r="H1537" s="11">
        <v>0.09523809523809523</v>
      </c>
      <c r="I1537" s="11">
        <v>0.04347826086956522</v>
      </c>
      <c r="J1537" s="11">
        <v>2.19047619047619</v>
      </c>
      <c r="K1537" s="8">
        <v>2</v>
      </c>
      <c r="L1537" s="8">
        <v>19</v>
      </c>
      <c r="M1537" s="8">
        <v>5</v>
      </c>
      <c r="N1537" s="8">
        <v>135</v>
      </c>
      <c r="O1537" s="11">
        <v>0.2122906558033157</v>
      </c>
      <c r="P1537" s="8" t="s">
        <v>704</v>
      </c>
      <c r="Q1537" s="8" t="s">
        <v>1461</v>
      </c>
      <c r="R1537" s="8">
        <v>31</v>
      </c>
      <c r="S1537" s="11">
        <v>58.27188005431675</v>
      </c>
      <c r="T1537" s="11">
        <v>0.9130434782608695</v>
      </c>
      <c r="U1537" s="11">
        <v>20.08695652173913</v>
      </c>
      <c r="V1537" s="11">
        <v>6.086956521739131</v>
      </c>
      <c r="W1537" s="11">
        <v>133.9130434782609</v>
      </c>
      <c r="X1537" s="8" t="s">
        <v>1462</v>
      </c>
    </row>
    <row r="1538" spans="1:24" ht="25" customHeight="1">
      <c r="A1538" s="12">
        <v>5565</v>
      </c>
      <c r="B1538" s="8">
        <v>1</v>
      </c>
      <c r="C1538" s="8" t="s">
        <v>716</v>
      </c>
      <c r="D1538" s="8" t="s">
        <v>123</v>
      </c>
      <c r="E1538" s="8" t="s">
        <v>816</v>
      </c>
      <c r="F1538" s="8">
        <v>1</v>
      </c>
      <c r="G1538" s="8">
        <v>1</v>
      </c>
      <c r="H1538" s="8">
        <v>1</v>
      </c>
      <c r="I1538" s="11">
        <v>0.1490683229813665</v>
      </c>
      <c r="J1538" s="11">
        <v>6.708333333333333</v>
      </c>
      <c r="K1538" s="8">
        <v>1</v>
      </c>
      <c r="L1538" s="8">
        <v>0</v>
      </c>
      <c r="M1538" s="8">
        <v>23</v>
      </c>
      <c r="N1538" s="8">
        <v>137</v>
      </c>
      <c r="O1538" s="11">
        <v>0.0165449737638454</v>
      </c>
      <c r="P1538" s="8" t="s">
        <v>704</v>
      </c>
      <c r="Q1538" s="8" t="s">
        <v>1463</v>
      </c>
      <c r="R1538" s="8">
        <v>32</v>
      </c>
      <c r="S1538" s="11">
        <v>71.91727513118077</v>
      </c>
      <c r="T1538" s="11">
        <v>0.1490683229813665</v>
      </c>
      <c r="U1538" s="11">
        <v>0.8509316770186336</v>
      </c>
      <c r="V1538" s="11">
        <v>23.85093167701863</v>
      </c>
      <c r="W1538" s="11">
        <v>136.1490683229814</v>
      </c>
      <c r="X1538" s="8" t="s">
        <v>1464</v>
      </c>
    </row>
    <row r="1539" spans="1:24" ht="25" customHeight="1">
      <c r="A1539" s="12">
        <v>5566</v>
      </c>
      <c r="B1539" s="8">
        <v>1</v>
      </c>
      <c r="C1539" s="8" t="s">
        <v>716</v>
      </c>
      <c r="D1539" s="8" t="s">
        <v>120</v>
      </c>
      <c r="E1539" s="8" t="s">
        <v>815</v>
      </c>
      <c r="F1539" s="8">
        <v>21</v>
      </c>
      <c r="G1539" s="8">
        <v>1</v>
      </c>
      <c r="H1539" s="11">
        <v>0.04761904761904762</v>
      </c>
      <c r="I1539" s="11">
        <v>0.04968944099378882</v>
      </c>
      <c r="J1539" s="11">
        <v>0.9583333333333334</v>
      </c>
      <c r="K1539" s="8">
        <v>1</v>
      </c>
      <c r="L1539" s="8">
        <v>20</v>
      </c>
      <c r="M1539" s="8">
        <v>7</v>
      </c>
      <c r="N1539" s="8">
        <v>133</v>
      </c>
      <c r="O1539" s="11">
        <v>0.9626553832272887</v>
      </c>
      <c r="P1539" s="8" t="s">
        <v>704</v>
      </c>
      <c r="Q1539" s="8" t="s">
        <v>1465</v>
      </c>
      <c r="R1539" s="8">
        <v>33</v>
      </c>
      <c r="S1539" s="11">
        <v>49.57958022672069</v>
      </c>
      <c r="T1539" s="11">
        <v>1.043478260869565</v>
      </c>
      <c r="U1539" s="11">
        <v>19.95652173913043</v>
      </c>
      <c r="V1539" s="11">
        <v>6.956521739130435</v>
      </c>
      <c r="W1539" s="11">
        <v>133.0434782608696</v>
      </c>
      <c r="X1539" s="8" t="s">
        <v>1466</v>
      </c>
    </row>
    <row r="1540" spans="1:24" ht="25" customHeight="1">
      <c r="A1540" s="12">
        <v>5567</v>
      </c>
      <c r="B1540" s="8">
        <v>1</v>
      </c>
      <c r="C1540" s="8" t="s">
        <v>716</v>
      </c>
      <c r="D1540" s="8" t="s">
        <v>120</v>
      </c>
      <c r="E1540" s="8" t="s">
        <v>1410</v>
      </c>
      <c r="F1540" s="8">
        <v>21</v>
      </c>
      <c r="G1540" s="8">
        <v>1</v>
      </c>
      <c r="H1540" s="11">
        <v>0.04761904761904762</v>
      </c>
      <c r="I1540" s="11">
        <v>0.01863354037267081</v>
      </c>
      <c r="J1540" s="11">
        <v>2.555555555555555</v>
      </c>
      <c r="K1540" s="8">
        <v>1</v>
      </c>
      <c r="L1540" s="8">
        <v>20</v>
      </c>
      <c r="M1540" s="8">
        <v>2</v>
      </c>
      <c r="N1540" s="8">
        <v>138</v>
      </c>
      <c r="O1540" s="11">
        <v>0.2921767461095574</v>
      </c>
      <c r="P1540" s="8" t="s">
        <v>704</v>
      </c>
      <c r="Q1540" s="8" t="s">
        <v>1467</v>
      </c>
      <c r="R1540" s="8">
        <v>34</v>
      </c>
      <c r="S1540" s="11">
        <v>56.1264178567538</v>
      </c>
      <c r="T1540" s="11">
        <v>0.391304347826087</v>
      </c>
      <c r="U1540" s="11">
        <v>20.60869565217391</v>
      </c>
      <c r="V1540" s="11">
        <v>2.608695652173913</v>
      </c>
      <c r="W1540" s="11">
        <v>137.3913043478261</v>
      </c>
      <c r="X1540" s="8" t="s">
        <v>1468</v>
      </c>
    </row>
    <row r="1541" spans="1:24" ht="25" customHeight="1">
      <c r="A1541" s="12">
        <v>5568</v>
      </c>
      <c r="B1541" s="8">
        <v>1</v>
      </c>
      <c r="C1541" s="8" t="s">
        <v>716</v>
      </c>
      <c r="D1541" s="8" t="s">
        <v>120</v>
      </c>
      <c r="E1541" s="8" t="s">
        <v>1469</v>
      </c>
      <c r="F1541" s="8">
        <v>21</v>
      </c>
      <c r="G1541" s="8">
        <v>1</v>
      </c>
      <c r="H1541" s="11">
        <v>0.04761904761904762</v>
      </c>
      <c r="I1541" s="11">
        <v>0.006211180124223602</v>
      </c>
      <c r="J1541" s="11">
        <v>7.666666666666667</v>
      </c>
      <c r="K1541" s="8">
        <v>1</v>
      </c>
      <c r="L1541" s="8">
        <v>20</v>
      </c>
      <c r="M1541" s="8">
        <v>0</v>
      </c>
      <c r="N1541" s="8">
        <v>140</v>
      </c>
      <c r="O1541" s="11">
        <v>0.009596337417121124</v>
      </c>
      <c r="P1541" s="8" t="s">
        <v>704</v>
      </c>
      <c r="Q1541" s="8" t="s">
        <v>1470</v>
      </c>
      <c r="R1541" s="8">
        <v>35</v>
      </c>
      <c r="S1541" s="11">
        <v>62.42820878910487</v>
      </c>
      <c r="T1541" s="11">
        <v>0.1304347826086956</v>
      </c>
      <c r="U1541" s="11">
        <v>20.8695652173913</v>
      </c>
      <c r="V1541" s="11">
        <v>0.8695652173913043</v>
      </c>
      <c r="W1541" s="11">
        <v>139.1304347826087</v>
      </c>
      <c r="X1541" s="8" t="s">
        <v>1471</v>
      </c>
    </row>
    <row r="1542" spans="1:24" ht="25" customHeight="1">
      <c r="A1542" s="12">
        <v>5569</v>
      </c>
      <c r="B1542" s="8">
        <v>1</v>
      </c>
      <c r="C1542" s="8" t="s">
        <v>716</v>
      </c>
      <c r="D1542" s="8" t="s">
        <v>120</v>
      </c>
      <c r="E1542" s="8" t="s">
        <v>816</v>
      </c>
      <c r="F1542" s="8">
        <v>21</v>
      </c>
      <c r="G1542" s="8">
        <v>4</v>
      </c>
      <c r="H1542" s="11">
        <v>0.1904761904761905</v>
      </c>
      <c r="I1542" s="11">
        <v>0.1490683229813665</v>
      </c>
      <c r="J1542" s="11">
        <v>1.277777777777778</v>
      </c>
      <c r="K1542" s="8">
        <v>4</v>
      </c>
      <c r="L1542" s="8">
        <v>17</v>
      </c>
      <c r="M1542" s="8">
        <v>20</v>
      </c>
      <c r="N1542" s="8">
        <v>120</v>
      </c>
      <c r="O1542" s="11">
        <v>0.567763152872621</v>
      </c>
      <c r="P1542" s="8" t="s">
        <v>700</v>
      </c>
      <c r="Q1542" s="8" t="s">
        <v>1472</v>
      </c>
      <c r="R1542" s="8">
        <v>36</v>
      </c>
      <c r="S1542" s="11">
        <v>54.62150169595436</v>
      </c>
      <c r="T1542" s="11">
        <v>3.130434782608696</v>
      </c>
      <c r="U1542" s="11">
        <v>17.8695652173913</v>
      </c>
      <c r="V1542" s="11">
        <v>20.8695652173913</v>
      </c>
      <c r="W1542" s="11">
        <v>119.1304347826087</v>
      </c>
      <c r="X1542" s="8" t="s">
        <v>1473</v>
      </c>
    </row>
    <row r="1543" spans="1:24" ht="25" customHeight="1">
      <c r="A1543" s="12">
        <v>5570</v>
      </c>
      <c r="B1543" s="8">
        <v>1</v>
      </c>
      <c r="C1543" s="8" t="s">
        <v>716</v>
      </c>
      <c r="D1543" s="8" t="s">
        <v>120</v>
      </c>
      <c r="E1543" s="8" t="s">
        <v>1474</v>
      </c>
      <c r="F1543" s="8">
        <v>21</v>
      </c>
      <c r="G1543" s="8">
        <v>1</v>
      </c>
      <c r="H1543" s="11">
        <v>0.04761904761904762</v>
      </c>
      <c r="I1543" s="11">
        <v>0.006211180124223602</v>
      </c>
      <c r="J1543" s="11">
        <v>7.666666666666667</v>
      </c>
      <c r="K1543" s="8">
        <v>1</v>
      </c>
      <c r="L1543" s="8">
        <v>20</v>
      </c>
      <c r="M1543" s="8">
        <v>0</v>
      </c>
      <c r="N1543" s="8">
        <v>140</v>
      </c>
      <c r="O1543" s="11">
        <v>0.009596337417121124</v>
      </c>
      <c r="P1543" s="8" t="s">
        <v>704</v>
      </c>
      <c r="Q1543" s="8" t="s">
        <v>1475</v>
      </c>
      <c r="R1543" s="8">
        <v>37</v>
      </c>
      <c r="S1543" s="11">
        <v>62.42820878910487</v>
      </c>
      <c r="T1543" s="11">
        <v>0.1304347826086956</v>
      </c>
      <c r="U1543" s="11">
        <v>20.8695652173913</v>
      </c>
      <c r="V1543" s="11">
        <v>0.8695652173913043</v>
      </c>
      <c r="W1543" s="11">
        <v>139.1304347826087</v>
      </c>
      <c r="X1543" s="8" t="s">
        <v>1471</v>
      </c>
    </row>
    <row r="1544" spans="1:24" ht="25" customHeight="1">
      <c r="A1544" s="12">
        <v>5571</v>
      </c>
      <c r="B1544" s="8">
        <v>1</v>
      </c>
      <c r="C1544" s="8" t="s">
        <v>716</v>
      </c>
      <c r="D1544" s="8" t="s">
        <v>120</v>
      </c>
      <c r="E1544" s="8" t="s">
        <v>1476</v>
      </c>
      <c r="F1544" s="8">
        <v>21</v>
      </c>
      <c r="G1544" s="8">
        <v>1</v>
      </c>
      <c r="H1544" s="11">
        <v>0.04761904761904762</v>
      </c>
      <c r="I1544" s="11">
        <v>0.006211180124223602</v>
      </c>
      <c r="J1544" s="11">
        <v>7.666666666666667</v>
      </c>
      <c r="K1544" s="8">
        <v>1</v>
      </c>
      <c r="L1544" s="8">
        <v>20</v>
      </c>
      <c r="M1544" s="8">
        <v>0</v>
      </c>
      <c r="N1544" s="8">
        <v>140</v>
      </c>
      <c r="O1544" s="11">
        <v>0.009596337417121124</v>
      </c>
      <c r="P1544" s="8" t="s">
        <v>704</v>
      </c>
      <c r="Q1544" s="8" t="s">
        <v>1477</v>
      </c>
      <c r="R1544" s="8">
        <v>38</v>
      </c>
      <c r="S1544" s="11">
        <v>62.42820878910487</v>
      </c>
      <c r="T1544" s="11">
        <v>0.1304347826086956</v>
      </c>
      <c r="U1544" s="11">
        <v>20.8695652173913</v>
      </c>
      <c r="V1544" s="11">
        <v>0.8695652173913043</v>
      </c>
      <c r="W1544" s="11">
        <v>139.1304347826087</v>
      </c>
      <c r="X1544" s="8" t="s">
        <v>1471</v>
      </c>
    </row>
    <row r="1545" spans="1:24" ht="25" customHeight="1">
      <c r="A1545" s="12">
        <v>5572</v>
      </c>
      <c r="B1545" s="8">
        <v>1</v>
      </c>
      <c r="C1545" s="8" t="s">
        <v>716</v>
      </c>
      <c r="D1545" s="8" t="s">
        <v>120</v>
      </c>
      <c r="E1545" s="8" t="s">
        <v>1478</v>
      </c>
      <c r="F1545" s="8">
        <v>21</v>
      </c>
      <c r="G1545" s="8">
        <v>1</v>
      </c>
      <c r="H1545" s="11">
        <v>0.04761904761904762</v>
      </c>
      <c r="I1545" s="11">
        <v>0.006211180124223602</v>
      </c>
      <c r="J1545" s="11">
        <v>7.666666666666667</v>
      </c>
      <c r="K1545" s="8">
        <v>1</v>
      </c>
      <c r="L1545" s="8">
        <v>20</v>
      </c>
      <c r="M1545" s="8">
        <v>0</v>
      </c>
      <c r="N1545" s="8">
        <v>140</v>
      </c>
      <c r="O1545" s="11">
        <v>0.009596337417121124</v>
      </c>
      <c r="P1545" s="8" t="s">
        <v>704</v>
      </c>
      <c r="Q1545" s="8" t="s">
        <v>1479</v>
      </c>
      <c r="R1545" s="8">
        <v>39</v>
      </c>
      <c r="S1545" s="11">
        <v>62.42820878910487</v>
      </c>
      <c r="T1545" s="11">
        <v>0.1304347826086956</v>
      </c>
      <c r="U1545" s="11">
        <v>20.8695652173913</v>
      </c>
      <c r="V1545" s="11">
        <v>0.8695652173913043</v>
      </c>
      <c r="W1545" s="11">
        <v>139.1304347826087</v>
      </c>
      <c r="X1545" s="8" t="s">
        <v>1471</v>
      </c>
    </row>
    <row r="1546" spans="1:24" ht="25" customHeight="1">
      <c r="A1546" s="12">
        <v>5573</v>
      </c>
      <c r="B1546" s="8">
        <v>1</v>
      </c>
      <c r="C1546" s="8" t="s">
        <v>716</v>
      </c>
      <c r="D1546" s="8" t="s">
        <v>120</v>
      </c>
      <c r="E1546" s="8" t="s">
        <v>49</v>
      </c>
      <c r="F1546" s="8">
        <v>21</v>
      </c>
      <c r="G1546" s="8">
        <v>1</v>
      </c>
      <c r="H1546" s="11">
        <v>0.04761904761904762</v>
      </c>
      <c r="I1546" s="11">
        <v>0.04968944099378882</v>
      </c>
      <c r="J1546" s="11">
        <v>0.9583333333333334</v>
      </c>
      <c r="K1546" s="8">
        <v>1</v>
      </c>
      <c r="L1546" s="8">
        <v>20</v>
      </c>
      <c r="M1546" s="8">
        <v>7</v>
      </c>
      <c r="N1546" s="8">
        <v>133</v>
      </c>
      <c r="O1546" s="11">
        <v>0.9626553832272887</v>
      </c>
      <c r="P1546" s="8" t="s">
        <v>704</v>
      </c>
      <c r="Q1546" s="8" t="s">
        <v>1480</v>
      </c>
      <c r="R1546" s="8">
        <v>40</v>
      </c>
      <c r="S1546" s="11">
        <v>49.57958022672069</v>
      </c>
      <c r="T1546" s="11">
        <v>1.043478260869565</v>
      </c>
      <c r="U1546" s="11">
        <v>19.95652173913043</v>
      </c>
      <c r="V1546" s="11">
        <v>6.956521739130435</v>
      </c>
      <c r="W1546" s="11">
        <v>133.0434782608696</v>
      </c>
      <c r="X1546" s="8" t="s">
        <v>1466</v>
      </c>
    </row>
    <row r="1547" spans="1:24" ht="25" customHeight="1">
      <c r="A1547" s="12">
        <v>5574</v>
      </c>
      <c r="B1547" s="8">
        <v>1</v>
      </c>
      <c r="C1547" s="8" t="s">
        <v>716</v>
      </c>
      <c r="D1547" s="8" t="s">
        <v>120</v>
      </c>
      <c r="E1547" s="8" t="s">
        <v>1481</v>
      </c>
      <c r="F1547" s="8">
        <v>21</v>
      </c>
      <c r="G1547" s="8">
        <v>1</v>
      </c>
      <c r="H1547" s="11">
        <v>0.04761904761904762</v>
      </c>
      <c r="I1547" s="11">
        <v>0.006211180124223602</v>
      </c>
      <c r="J1547" s="11">
        <v>7.666666666666667</v>
      </c>
      <c r="K1547" s="8">
        <v>1</v>
      </c>
      <c r="L1547" s="8">
        <v>20</v>
      </c>
      <c r="M1547" s="8">
        <v>0</v>
      </c>
      <c r="N1547" s="8">
        <v>140</v>
      </c>
      <c r="O1547" s="11">
        <v>0.009596337417121124</v>
      </c>
      <c r="P1547" s="8" t="s">
        <v>704</v>
      </c>
      <c r="Q1547" s="8" t="s">
        <v>1482</v>
      </c>
      <c r="R1547" s="8">
        <v>41</v>
      </c>
      <c r="S1547" s="11">
        <v>62.42820878910487</v>
      </c>
      <c r="T1547" s="11">
        <v>0.1304347826086956</v>
      </c>
      <c r="U1547" s="11">
        <v>20.8695652173913</v>
      </c>
      <c r="V1547" s="11">
        <v>0.8695652173913043</v>
      </c>
      <c r="W1547" s="11">
        <v>139.1304347826087</v>
      </c>
      <c r="X1547" s="8" t="s">
        <v>1471</v>
      </c>
    </row>
    <row r="1548" spans="1:24" ht="25" customHeight="1">
      <c r="A1548" s="12">
        <v>5575</v>
      </c>
      <c r="B1548" s="8">
        <v>1</v>
      </c>
      <c r="C1548" s="8" t="s">
        <v>711</v>
      </c>
      <c r="D1548" s="8" t="s">
        <v>120</v>
      </c>
      <c r="E1548" s="8" t="s">
        <v>1483</v>
      </c>
      <c r="F1548" s="8">
        <v>2</v>
      </c>
      <c r="G1548" s="8">
        <v>1</v>
      </c>
      <c r="H1548" s="11">
        <v>0.5</v>
      </c>
      <c r="I1548" s="11">
        <v>0.006211180124223602</v>
      </c>
      <c r="J1548" s="11">
        <v>80.5</v>
      </c>
      <c r="K1548" s="8">
        <v>1</v>
      </c>
      <c r="L1548" s="8">
        <v>1</v>
      </c>
      <c r="M1548" s="8">
        <v>0</v>
      </c>
      <c r="N1548" s="8">
        <v>159</v>
      </c>
      <c r="O1548" s="11">
        <v>3.750023626405972E-19</v>
      </c>
      <c r="P1548" s="8" t="s">
        <v>704</v>
      </c>
      <c r="Q1548" s="8" t="s">
        <v>1484</v>
      </c>
      <c r="R1548" s="8">
        <v>42</v>
      </c>
      <c r="S1548" s="8">
        <v>67</v>
      </c>
      <c r="T1548" s="11">
        <v>0.0124223602484472</v>
      </c>
      <c r="U1548" s="11">
        <v>1.987577639751553</v>
      </c>
      <c r="V1548" s="11">
        <v>0.9875776397515528</v>
      </c>
      <c r="W1548" s="11">
        <v>158.0124223602485</v>
      </c>
      <c r="X1548" s="8" t="s">
        <v>1485</v>
      </c>
    </row>
    <row r="1549" spans="1:24" ht="25" customHeight="1">
      <c r="A1549" s="12">
        <v>5576</v>
      </c>
      <c r="B1549" s="8">
        <v>1</v>
      </c>
      <c r="C1549" s="8" t="s">
        <v>706</v>
      </c>
      <c r="D1549" s="8" t="s">
        <v>877</v>
      </c>
      <c r="E1549" s="8" t="s">
        <v>1447</v>
      </c>
      <c r="F1549" s="8">
        <v>1</v>
      </c>
      <c r="G1549" s="8">
        <v>1</v>
      </c>
      <c r="H1549" s="8">
        <v>1</v>
      </c>
      <c r="I1549" s="11">
        <v>0.0124223602484472</v>
      </c>
      <c r="J1549" s="11">
        <v>80.5</v>
      </c>
      <c r="K1549" s="8">
        <v>1</v>
      </c>
      <c r="L1549" s="8">
        <v>0</v>
      </c>
      <c r="M1549" s="8">
        <v>1</v>
      </c>
      <c r="N1549" s="8">
        <v>159</v>
      </c>
      <c r="O1549" s="11">
        <v>3.750023626405972E-19</v>
      </c>
      <c r="P1549" s="8" t="s">
        <v>704</v>
      </c>
      <c r="Q1549" s="8" t="s">
        <v>1486</v>
      </c>
      <c r="R1549" s="8">
        <v>43</v>
      </c>
      <c r="S1549" s="8">
        <v>72</v>
      </c>
      <c r="T1549" s="11">
        <v>0.0124223602484472</v>
      </c>
      <c r="U1549" s="11">
        <v>0.9875776397515528</v>
      </c>
      <c r="V1549" s="11">
        <v>1.987577639751553</v>
      </c>
      <c r="W1549" s="11">
        <v>158.0124223602485</v>
      </c>
      <c r="X1549" s="8" t="s">
        <v>1487</v>
      </c>
    </row>
    <row r="1550" spans="1:24" ht="25" customHeight="1">
      <c r="A1550" s="12">
        <v>5577</v>
      </c>
      <c r="B1550" s="8">
        <v>1</v>
      </c>
      <c r="C1550" s="8" t="s">
        <v>716</v>
      </c>
      <c r="D1550" s="8" t="s">
        <v>120</v>
      </c>
      <c r="E1550" s="8" t="s">
        <v>1488</v>
      </c>
      <c r="F1550" s="8">
        <v>21</v>
      </c>
      <c r="G1550" s="8">
        <v>1</v>
      </c>
      <c r="H1550" s="11">
        <v>0.04761904761904762</v>
      </c>
      <c r="I1550" s="11">
        <v>0.0124223602484472</v>
      </c>
      <c r="J1550" s="11">
        <v>3.833333333333333</v>
      </c>
      <c r="K1550" s="8">
        <v>1</v>
      </c>
      <c r="L1550" s="8">
        <v>20</v>
      </c>
      <c r="M1550" s="8">
        <v>1</v>
      </c>
      <c r="N1550" s="8">
        <v>139</v>
      </c>
      <c r="O1550" s="11">
        <v>0.1183798135886225</v>
      </c>
      <c r="P1550" s="8" t="s">
        <v>704</v>
      </c>
      <c r="Q1550" s="8" t="s">
        <v>1489</v>
      </c>
      <c r="R1550" s="8">
        <v>44</v>
      </c>
      <c r="S1550" s="11">
        <v>59.55095807491403</v>
      </c>
      <c r="T1550" s="11">
        <v>0.2608695652173913</v>
      </c>
      <c r="U1550" s="11">
        <v>20.73913043478261</v>
      </c>
      <c r="V1550" s="11">
        <v>1.739130434782609</v>
      </c>
      <c r="W1550" s="11">
        <v>138.2608695652174</v>
      </c>
      <c r="X1550" s="8" t="s">
        <v>1490</v>
      </c>
    </row>
    <row r="1551" spans="1:24" ht="25" customHeight="1">
      <c r="A1551" s="12">
        <v>5578</v>
      </c>
      <c r="B1551" s="8">
        <v>1</v>
      </c>
      <c r="C1551" s="8" t="s">
        <v>716</v>
      </c>
      <c r="D1551" s="8" t="s">
        <v>120</v>
      </c>
      <c r="E1551" s="8" t="s">
        <v>1491</v>
      </c>
      <c r="F1551" s="8">
        <v>21</v>
      </c>
      <c r="G1551" s="8">
        <v>1</v>
      </c>
      <c r="H1551" s="11">
        <v>0.04761904761904762</v>
      </c>
      <c r="I1551" s="11">
        <v>0.0124223602484472</v>
      </c>
      <c r="J1551" s="11">
        <v>3.833333333333333</v>
      </c>
      <c r="K1551" s="8">
        <v>1</v>
      </c>
      <c r="L1551" s="8">
        <v>20</v>
      </c>
      <c r="M1551" s="8">
        <v>1</v>
      </c>
      <c r="N1551" s="8">
        <v>139</v>
      </c>
      <c r="O1551" s="11">
        <v>0.1183798135886225</v>
      </c>
      <c r="P1551" s="8" t="s">
        <v>704</v>
      </c>
      <c r="Q1551" s="8" t="s">
        <v>1492</v>
      </c>
      <c r="R1551" s="8">
        <v>45</v>
      </c>
      <c r="S1551" s="11">
        <v>59.55095807491403</v>
      </c>
      <c r="T1551" s="11">
        <v>0.2608695652173913</v>
      </c>
      <c r="U1551" s="11">
        <v>20.73913043478261</v>
      </c>
      <c r="V1551" s="11">
        <v>1.739130434782609</v>
      </c>
      <c r="W1551" s="11">
        <v>138.2608695652174</v>
      </c>
      <c r="X1551" s="8" t="s">
        <v>1490</v>
      </c>
    </row>
    <row r="1552" spans="1:24" ht="25" customHeight="1">
      <c r="A1552" s="12">
        <v>5579</v>
      </c>
      <c r="B1552" s="8">
        <v>1</v>
      </c>
      <c r="C1552" s="8" t="s">
        <v>716</v>
      </c>
      <c r="D1552" s="8" t="s">
        <v>120</v>
      </c>
      <c r="E1552" s="8" t="s">
        <v>1422</v>
      </c>
      <c r="F1552" s="8">
        <v>21</v>
      </c>
      <c r="G1552" s="8">
        <v>1</v>
      </c>
      <c r="H1552" s="11">
        <v>0.04761904761904762</v>
      </c>
      <c r="I1552" s="11">
        <v>0.01863354037267081</v>
      </c>
      <c r="J1552" s="11">
        <v>2.555555555555555</v>
      </c>
      <c r="K1552" s="8">
        <v>1</v>
      </c>
      <c r="L1552" s="8">
        <v>20</v>
      </c>
      <c r="M1552" s="8">
        <v>2</v>
      </c>
      <c r="N1552" s="8">
        <v>138</v>
      </c>
      <c r="O1552" s="11">
        <v>0.2921767461095574</v>
      </c>
      <c r="P1552" s="8" t="s">
        <v>704</v>
      </c>
      <c r="Q1552" s="8" t="s">
        <v>1493</v>
      </c>
      <c r="R1552" s="8">
        <v>46</v>
      </c>
      <c r="S1552" s="11">
        <v>56.1264178567538</v>
      </c>
      <c r="T1552" s="11">
        <v>0.391304347826087</v>
      </c>
      <c r="U1552" s="11">
        <v>20.60869565217391</v>
      </c>
      <c r="V1552" s="11">
        <v>2.608695652173913</v>
      </c>
      <c r="W1552" s="11">
        <v>137.3913043478261</v>
      </c>
      <c r="X1552" s="8" t="s">
        <v>1468</v>
      </c>
    </row>
    <row r="1553" spans="1:24" ht="25" customHeight="1">
      <c r="A1553" s="12">
        <v>5580</v>
      </c>
      <c r="B1553" s="8">
        <v>1</v>
      </c>
      <c r="C1553" s="8" t="s">
        <v>716</v>
      </c>
      <c r="D1553" s="8" t="s">
        <v>120</v>
      </c>
      <c r="E1553" s="8" t="s">
        <v>1494</v>
      </c>
      <c r="F1553" s="8">
        <v>21</v>
      </c>
      <c r="G1553" s="8">
        <v>1</v>
      </c>
      <c r="H1553" s="11">
        <v>0.04761904761904762</v>
      </c>
      <c r="I1553" s="11">
        <v>0.0124223602484472</v>
      </c>
      <c r="J1553" s="11">
        <v>3.833333333333333</v>
      </c>
      <c r="K1553" s="8">
        <v>1</v>
      </c>
      <c r="L1553" s="8">
        <v>20</v>
      </c>
      <c r="M1553" s="8">
        <v>1</v>
      </c>
      <c r="N1553" s="8">
        <v>139</v>
      </c>
      <c r="O1553" s="11">
        <v>0.1183798135886225</v>
      </c>
      <c r="P1553" s="8" t="s">
        <v>704</v>
      </c>
      <c r="Q1553" s="8" t="s">
        <v>1495</v>
      </c>
      <c r="R1553" s="8">
        <v>47</v>
      </c>
      <c r="S1553" s="11">
        <v>59.55095807491403</v>
      </c>
      <c r="T1553" s="11">
        <v>0.2608695652173913</v>
      </c>
      <c r="U1553" s="11">
        <v>20.73913043478261</v>
      </c>
      <c r="V1553" s="11">
        <v>1.739130434782609</v>
      </c>
      <c r="W1553" s="11">
        <v>138.2608695652174</v>
      </c>
      <c r="X1553" s="8" t="s">
        <v>1490</v>
      </c>
    </row>
    <row r="1554" spans="1:24" ht="25" customHeight="1">
      <c r="A1554" s="12">
        <v>5581</v>
      </c>
      <c r="B1554" s="8">
        <v>1</v>
      </c>
      <c r="C1554" s="8" t="s">
        <v>716</v>
      </c>
      <c r="D1554" s="8" t="s">
        <v>120</v>
      </c>
      <c r="E1554" s="8" t="s">
        <v>1496</v>
      </c>
      <c r="F1554" s="8">
        <v>21</v>
      </c>
      <c r="G1554" s="8">
        <v>1</v>
      </c>
      <c r="H1554" s="11">
        <v>0.04761904761904762</v>
      </c>
      <c r="I1554" s="11">
        <v>0.006211180124223602</v>
      </c>
      <c r="J1554" s="11">
        <v>7.666666666666667</v>
      </c>
      <c r="K1554" s="8">
        <v>1</v>
      </c>
      <c r="L1554" s="8">
        <v>20</v>
      </c>
      <c r="M1554" s="8">
        <v>0</v>
      </c>
      <c r="N1554" s="8">
        <v>140</v>
      </c>
      <c r="O1554" s="11">
        <v>0.009596337417121124</v>
      </c>
      <c r="P1554" s="8" t="s">
        <v>704</v>
      </c>
      <c r="Q1554" s="8" t="s">
        <v>1497</v>
      </c>
      <c r="R1554" s="8">
        <v>48</v>
      </c>
      <c r="S1554" s="11">
        <v>62.42820878910487</v>
      </c>
      <c r="T1554" s="11">
        <v>0.1304347826086956</v>
      </c>
      <c r="U1554" s="11">
        <v>20.8695652173913</v>
      </c>
      <c r="V1554" s="11">
        <v>0.8695652173913043</v>
      </c>
      <c r="W1554" s="11">
        <v>139.1304347826087</v>
      </c>
      <c r="X1554" s="8" t="s">
        <v>1471</v>
      </c>
    </row>
    <row r="1555" spans="1:24" ht="25" customHeight="1">
      <c r="A1555" s="12">
        <v>5582</v>
      </c>
      <c r="B1555" s="8">
        <v>1</v>
      </c>
      <c r="C1555" s="8" t="s">
        <v>716</v>
      </c>
      <c r="D1555" s="8" t="s">
        <v>120</v>
      </c>
      <c r="E1555" s="8" t="s">
        <v>1420</v>
      </c>
      <c r="F1555" s="8">
        <v>21</v>
      </c>
      <c r="G1555" s="8">
        <v>1</v>
      </c>
      <c r="H1555" s="11">
        <v>0.04761904761904762</v>
      </c>
      <c r="I1555" s="11">
        <v>0.0124223602484472</v>
      </c>
      <c r="J1555" s="11">
        <v>3.833333333333333</v>
      </c>
      <c r="K1555" s="8">
        <v>1</v>
      </c>
      <c r="L1555" s="8">
        <v>20</v>
      </c>
      <c r="M1555" s="8">
        <v>1</v>
      </c>
      <c r="N1555" s="8">
        <v>139</v>
      </c>
      <c r="O1555" s="11">
        <v>0.1183798135886225</v>
      </c>
      <c r="P1555" s="8" t="s">
        <v>704</v>
      </c>
      <c r="Q1555" s="8" t="s">
        <v>1498</v>
      </c>
      <c r="R1555" s="8">
        <v>49</v>
      </c>
      <c r="S1555" s="11">
        <v>59.55095807491403</v>
      </c>
      <c r="T1555" s="11">
        <v>0.2608695652173913</v>
      </c>
      <c r="U1555" s="11">
        <v>20.73913043478261</v>
      </c>
      <c r="V1555" s="11">
        <v>1.739130434782609</v>
      </c>
      <c r="W1555" s="11">
        <v>138.2608695652174</v>
      </c>
      <c r="X1555" s="8" t="s">
        <v>1490</v>
      </c>
    </row>
    <row r="1556" spans="1:24" ht="25" customHeight="1">
      <c r="A1556" s="12">
        <v>5583</v>
      </c>
      <c r="B1556" s="8">
        <v>1</v>
      </c>
      <c r="C1556" s="8" t="s">
        <v>716</v>
      </c>
      <c r="D1556" s="8" t="s">
        <v>120</v>
      </c>
      <c r="E1556" s="8" t="s">
        <v>1499</v>
      </c>
      <c r="F1556" s="8">
        <v>21</v>
      </c>
      <c r="G1556" s="8">
        <v>1</v>
      </c>
      <c r="H1556" s="11">
        <v>0.04761904761904762</v>
      </c>
      <c r="I1556" s="11">
        <v>0.006211180124223602</v>
      </c>
      <c r="J1556" s="11">
        <v>7.666666666666667</v>
      </c>
      <c r="K1556" s="8">
        <v>1</v>
      </c>
      <c r="L1556" s="8">
        <v>20</v>
      </c>
      <c r="M1556" s="8">
        <v>0</v>
      </c>
      <c r="N1556" s="8">
        <v>140</v>
      </c>
      <c r="O1556" s="11">
        <v>0.009596337417121124</v>
      </c>
      <c r="P1556" s="8" t="s">
        <v>704</v>
      </c>
      <c r="Q1556" s="8" t="s">
        <v>1500</v>
      </c>
      <c r="R1556" s="8">
        <v>50</v>
      </c>
      <c r="S1556" s="11">
        <v>62.42820878910487</v>
      </c>
      <c r="T1556" s="11">
        <v>0.1304347826086956</v>
      </c>
      <c r="U1556" s="11">
        <v>20.8695652173913</v>
      </c>
      <c r="V1556" s="11">
        <v>0.8695652173913043</v>
      </c>
      <c r="W1556" s="11">
        <v>139.1304347826087</v>
      </c>
      <c r="X1556" s="8" t="s">
        <v>1471</v>
      </c>
    </row>
    <row r="1557" spans="1:24" ht="25" customHeight="1">
      <c r="A1557" s="12">
        <v>5584</v>
      </c>
      <c r="B1557" s="8">
        <v>1</v>
      </c>
      <c r="C1557" s="8" t="s">
        <v>720</v>
      </c>
      <c r="D1557" s="8" t="s">
        <v>803</v>
      </c>
      <c r="E1557" s="8" t="s">
        <v>816</v>
      </c>
      <c r="F1557" s="8">
        <v>1</v>
      </c>
      <c r="G1557" s="8">
        <v>1</v>
      </c>
      <c r="H1557" s="8">
        <v>1</v>
      </c>
      <c r="I1557" s="11">
        <v>0.1490683229813665</v>
      </c>
      <c r="J1557" s="11">
        <v>6.708333333333333</v>
      </c>
      <c r="K1557" s="8">
        <v>1</v>
      </c>
      <c r="L1557" s="8">
        <v>0</v>
      </c>
      <c r="M1557" s="8">
        <v>23</v>
      </c>
      <c r="N1557" s="8">
        <v>137</v>
      </c>
      <c r="O1557" s="11">
        <v>0.0165449737638454</v>
      </c>
      <c r="P1557" s="8" t="s">
        <v>704</v>
      </c>
      <c r="Q1557" s="8" t="s">
        <v>1501</v>
      </c>
      <c r="R1557" s="8">
        <v>51</v>
      </c>
      <c r="S1557" s="11">
        <v>71.91727513118077</v>
      </c>
      <c r="T1557" s="11">
        <v>0.1490683229813665</v>
      </c>
      <c r="U1557" s="11">
        <v>0.8509316770186336</v>
      </c>
      <c r="V1557" s="11">
        <v>23.85093167701863</v>
      </c>
      <c r="W1557" s="11">
        <v>136.1490683229814</v>
      </c>
      <c r="X1557" s="8" t="s">
        <v>1502</v>
      </c>
    </row>
    <row r="1558" spans="1:24" ht="25" customHeight="1">
      <c r="A1558" s="12">
        <v>5585</v>
      </c>
      <c r="B1558" s="8">
        <v>1</v>
      </c>
      <c r="C1558" s="8" t="s">
        <v>716</v>
      </c>
      <c r="D1558" s="8" t="s">
        <v>803</v>
      </c>
      <c r="E1558" s="8" t="s">
        <v>1503</v>
      </c>
      <c r="F1558" s="8">
        <v>1</v>
      </c>
      <c r="G1558" s="8">
        <v>1</v>
      </c>
      <c r="H1558" s="8">
        <v>1</v>
      </c>
      <c r="I1558" s="11">
        <v>0.0124223602484472</v>
      </c>
      <c r="J1558" s="11">
        <v>80.5</v>
      </c>
      <c r="K1558" s="8">
        <v>1</v>
      </c>
      <c r="L1558" s="8">
        <v>0</v>
      </c>
      <c r="M1558" s="8">
        <v>1</v>
      </c>
      <c r="N1558" s="8">
        <v>159</v>
      </c>
      <c r="O1558" s="11">
        <v>3.750023626405972E-19</v>
      </c>
      <c r="P1558" s="8" t="s">
        <v>704</v>
      </c>
      <c r="Q1558" s="8" t="s">
        <v>1504</v>
      </c>
      <c r="R1558" s="8">
        <v>52</v>
      </c>
      <c r="S1558" s="8">
        <v>72</v>
      </c>
      <c r="T1558" s="11">
        <v>0.0124223602484472</v>
      </c>
      <c r="U1558" s="11">
        <v>0.9875776397515528</v>
      </c>
      <c r="V1558" s="11">
        <v>1.987577639751553</v>
      </c>
      <c r="W1558" s="11">
        <v>158.0124223602485</v>
      </c>
      <c r="X1558" s="8" t="s">
        <v>1505</v>
      </c>
    </row>
    <row r="1559" spans="1:24" ht="25" customHeight="1">
      <c r="A1559" s="12">
        <v>5586</v>
      </c>
      <c r="B1559" s="8">
        <v>1</v>
      </c>
      <c r="C1559" s="8" t="s">
        <v>716</v>
      </c>
      <c r="D1559" s="8" t="s">
        <v>802</v>
      </c>
      <c r="E1559" s="8" t="s">
        <v>1506</v>
      </c>
      <c r="F1559" s="8">
        <v>3</v>
      </c>
      <c r="G1559" s="8">
        <v>1</v>
      </c>
      <c r="H1559" s="11">
        <v>0.3333333333333333</v>
      </c>
      <c r="I1559" s="11">
        <v>0.006211180124223602</v>
      </c>
      <c r="J1559" s="11">
        <v>53.66666666666666</v>
      </c>
      <c r="K1559" s="8">
        <v>1</v>
      </c>
      <c r="L1559" s="8">
        <v>2</v>
      </c>
      <c r="M1559" s="8">
        <v>0</v>
      </c>
      <c r="N1559" s="8">
        <v>158</v>
      </c>
      <c r="O1559" s="11">
        <v>3.342566678484639E-13</v>
      </c>
      <c r="P1559" s="8" t="s">
        <v>704</v>
      </c>
      <c r="Q1559" s="8" t="s">
        <v>1507</v>
      </c>
      <c r="R1559" s="8">
        <v>53</v>
      </c>
      <c r="S1559" s="11">
        <v>65.33333333333167</v>
      </c>
      <c r="T1559" s="11">
        <v>0.01863354037267081</v>
      </c>
      <c r="U1559" s="11">
        <v>2.981366459627329</v>
      </c>
      <c r="V1559" s="11">
        <v>0.9813664596273292</v>
      </c>
      <c r="W1559" s="11">
        <v>157.0186335403727</v>
      </c>
      <c r="X1559" s="8" t="s">
        <v>1508</v>
      </c>
    </row>
    <row r="1560" spans="1:24" ht="25" customHeight="1">
      <c r="A1560" s="12">
        <v>5587</v>
      </c>
      <c r="B1560" s="8">
        <v>1</v>
      </c>
      <c r="C1560" s="8" t="s">
        <v>711</v>
      </c>
      <c r="D1560" s="8" t="s">
        <v>802</v>
      </c>
      <c r="E1560" s="8" t="s">
        <v>1509</v>
      </c>
      <c r="F1560" s="8">
        <v>1</v>
      </c>
      <c r="G1560" s="8">
        <v>1</v>
      </c>
      <c r="H1560" s="8">
        <v>1</v>
      </c>
      <c r="I1560" s="11">
        <v>0.0124223602484472</v>
      </c>
      <c r="J1560" s="11">
        <v>80.5</v>
      </c>
      <c r="K1560" s="8">
        <v>1</v>
      </c>
      <c r="L1560" s="8">
        <v>0</v>
      </c>
      <c r="M1560" s="8">
        <v>1</v>
      </c>
      <c r="N1560" s="8">
        <v>159</v>
      </c>
      <c r="O1560" s="11">
        <v>3.750023626405972E-19</v>
      </c>
      <c r="P1560" s="8" t="s">
        <v>704</v>
      </c>
      <c r="Q1560" s="8" t="s">
        <v>1510</v>
      </c>
      <c r="R1560" s="8">
        <v>54</v>
      </c>
      <c r="S1560" s="8">
        <v>72</v>
      </c>
      <c r="T1560" s="11">
        <v>0.0124223602484472</v>
      </c>
      <c r="U1560" s="11">
        <v>0.9875776397515528</v>
      </c>
      <c r="V1560" s="11">
        <v>1.987577639751553</v>
      </c>
      <c r="W1560" s="11">
        <v>158.0124223602485</v>
      </c>
      <c r="X1560" s="8" t="s">
        <v>1511</v>
      </c>
    </row>
    <row r="1561" spans="1:24" ht="25" customHeight="1">
      <c r="A1561" s="12">
        <v>5588</v>
      </c>
      <c r="B1561" s="8">
        <v>1</v>
      </c>
      <c r="C1561" s="8" t="s">
        <v>716</v>
      </c>
      <c r="D1561" s="8" t="s">
        <v>802</v>
      </c>
      <c r="E1561" s="8" t="s">
        <v>816</v>
      </c>
      <c r="F1561" s="8">
        <v>3</v>
      </c>
      <c r="G1561" s="8">
        <v>1</v>
      </c>
      <c r="H1561" s="11">
        <v>0.3333333333333333</v>
      </c>
      <c r="I1561" s="11">
        <v>0.1490683229813665</v>
      </c>
      <c r="J1561" s="11">
        <v>2.236111111111111</v>
      </c>
      <c r="K1561" s="8">
        <v>1</v>
      </c>
      <c r="L1561" s="8">
        <v>2</v>
      </c>
      <c r="M1561" s="8">
        <v>23</v>
      </c>
      <c r="N1561" s="8">
        <v>135</v>
      </c>
      <c r="O1561" s="11">
        <v>0.3656869545273346</v>
      </c>
      <c r="P1561" s="8" t="s">
        <v>704</v>
      </c>
      <c r="Q1561" s="8" t="s">
        <v>1512</v>
      </c>
      <c r="R1561" s="8">
        <v>55</v>
      </c>
      <c r="S1561" s="11">
        <v>57.97712078291888</v>
      </c>
      <c r="T1561" s="11">
        <v>0.4472049689440994</v>
      </c>
      <c r="U1561" s="11">
        <v>2.552795031055901</v>
      </c>
      <c r="V1561" s="11">
        <v>23.5527950310559</v>
      </c>
      <c r="W1561" s="11">
        <v>134.4472049689441</v>
      </c>
      <c r="X1561" s="8" t="s">
        <v>1513</v>
      </c>
    </row>
    <row r="1562" spans="1:24" ht="25" customHeight="1">
      <c r="A1562" s="12">
        <v>5589</v>
      </c>
      <c r="B1562" s="8">
        <v>1</v>
      </c>
      <c r="C1562" s="8" t="s">
        <v>716</v>
      </c>
      <c r="D1562" s="8" t="s">
        <v>802</v>
      </c>
      <c r="E1562" s="8" t="s">
        <v>823</v>
      </c>
      <c r="F1562" s="8">
        <v>3</v>
      </c>
      <c r="G1562" s="8">
        <v>1</v>
      </c>
      <c r="H1562" s="11">
        <v>0.3333333333333333</v>
      </c>
      <c r="I1562" s="11">
        <v>0.04347826086956522</v>
      </c>
      <c r="J1562" s="11">
        <v>7.666666666666666</v>
      </c>
      <c r="K1562" s="8">
        <v>1</v>
      </c>
      <c r="L1562" s="8">
        <v>2</v>
      </c>
      <c r="M1562" s="8">
        <v>6</v>
      </c>
      <c r="N1562" s="8">
        <v>152</v>
      </c>
      <c r="O1562" s="11">
        <v>0.01295180594400425</v>
      </c>
      <c r="P1562" s="8" t="s">
        <v>704</v>
      </c>
      <c r="Q1562" s="8" t="s">
        <v>1514</v>
      </c>
      <c r="R1562" s="8">
        <v>56</v>
      </c>
      <c r="S1562" s="11">
        <v>65.26857430361332</v>
      </c>
      <c r="T1562" s="11">
        <v>0.1304347826086956</v>
      </c>
      <c r="U1562" s="11">
        <v>2.869565217391304</v>
      </c>
      <c r="V1562" s="11">
        <v>6.869565217391305</v>
      </c>
      <c r="W1562" s="11">
        <v>151.1304347826087</v>
      </c>
      <c r="X1562" s="8" t="s">
        <v>1515</v>
      </c>
    </row>
    <row r="1563" spans="1:24" ht="25" customHeight="1">
      <c r="A1563" s="12">
        <v>5590</v>
      </c>
      <c r="B1563" s="8">
        <v>2</v>
      </c>
      <c r="C1563" s="8" t="s">
        <v>716</v>
      </c>
      <c r="D1563" s="8" t="s">
        <v>120</v>
      </c>
      <c r="E1563" s="8" t="s">
        <v>1516</v>
      </c>
      <c r="F1563" s="8">
        <v>23</v>
      </c>
      <c r="G1563" s="8">
        <v>1</v>
      </c>
      <c r="H1563" s="11">
        <v>0.04347826086956522</v>
      </c>
      <c r="I1563" s="11">
        <v>0.006211180124223602</v>
      </c>
      <c r="J1563" s="8">
        <v>7</v>
      </c>
      <c r="K1563" s="8">
        <v>1</v>
      </c>
      <c r="L1563" s="8">
        <v>22</v>
      </c>
      <c r="M1563" s="8">
        <v>0</v>
      </c>
      <c r="N1563" s="8">
        <v>138</v>
      </c>
      <c r="O1563" s="11">
        <v>0.01400510309475743</v>
      </c>
      <c r="P1563" s="8" t="s">
        <v>704</v>
      </c>
      <c r="Q1563" s="8" t="s">
        <v>1517</v>
      </c>
      <c r="R1563" s="8">
        <v>57</v>
      </c>
      <c r="S1563" s="11">
        <v>62.36475709322186</v>
      </c>
      <c r="T1563" s="11">
        <v>0.1428571428571428</v>
      </c>
      <c r="U1563" s="11">
        <v>22.85714285714286</v>
      </c>
      <c r="V1563" s="11">
        <v>0.8571428571428571</v>
      </c>
      <c r="W1563" s="11">
        <v>137.1428571428571</v>
      </c>
      <c r="X1563" s="8" t="s">
        <v>1518</v>
      </c>
    </row>
    <row r="1564" spans="1:24" ht="25" customHeight="1">
      <c r="A1564" s="12">
        <v>5591</v>
      </c>
      <c r="B1564" s="8">
        <v>2</v>
      </c>
      <c r="C1564" s="8" t="s">
        <v>711</v>
      </c>
      <c r="D1564" s="8" t="s">
        <v>120</v>
      </c>
      <c r="E1564" s="8" t="s">
        <v>1491</v>
      </c>
      <c r="F1564" s="8">
        <v>7</v>
      </c>
      <c r="G1564" s="8">
        <v>1</v>
      </c>
      <c r="H1564" s="11">
        <v>0.1428571428571428</v>
      </c>
      <c r="I1564" s="11">
        <v>0.0124223602484472</v>
      </c>
      <c r="J1564" s="11">
        <v>11.5</v>
      </c>
      <c r="K1564" s="8">
        <v>1</v>
      </c>
      <c r="L1564" s="8">
        <v>6</v>
      </c>
      <c r="M1564" s="8">
        <v>1</v>
      </c>
      <c r="N1564" s="8">
        <v>153</v>
      </c>
      <c r="O1564" s="11">
        <v>0.001443952592935694</v>
      </c>
      <c r="P1564" s="8" t="s">
        <v>704</v>
      </c>
      <c r="Q1564" s="8" t="s">
        <v>1519</v>
      </c>
      <c r="R1564" s="8">
        <v>58</v>
      </c>
      <c r="S1564" s="11">
        <v>63.42135166560675</v>
      </c>
      <c r="T1564" s="11">
        <v>0.08695652173913043</v>
      </c>
      <c r="U1564" s="11">
        <v>6.913043478260869</v>
      </c>
      <c r="V1564" s="11">
        <v>1.91304347826087</v>
      </c>
      <c r="W1564" s="11">
        <v>152.0869565217391</v>
      </c>
      <c r="X1564" s="8" t="s">
        <v>1520</v>
      </c>
    </row>
    <row r="1565" spans="1:24" ht="25" customHeight="1">
      <c r="A1565" s="12">
        <v>5592</v>
      </c>
      <c r="B1565" s="8">
        <v>2</v>
      </c>
      <c r="C1565" s="8" t="s">
        <v>716</v>
      </c>
      <c r="D1565" s="8" t="s">
        <v>120</v>
      </c>
      <c r="E1565" s="8" t="s">
        <v>1413</v>
      </c>
      <c r="F1565" s="8">
        <v>23</v>
      </c>
      <c r="G1565" s="8">
        <v>1</v>
      </c>
      <c r="H1565" s="11">
        <v>0.04347826086956522</v>
      </c>
      <c r="I1565" s="11">
        <v>0.0124223602484472</v>
      </c>
      <c r="J1565" s="11">
        <v>3.5</v>
      </c>
      <c r="K1565" s="8">
        <v>1</v>
      </c>
      <c r="L1565" s="8">
        <v>22</v>
      </c>
      <c r="M1565" s="8">
        <v>1</v>
      </c>
      <c r="N1565" s="8">
        <v>137</v>
      </c>
      <c r="O1565" s="11">
        <v>0.1463834305584079</v>
      </c>
      <c r="P1565" s="8" t="s">
        <v>704</v>
      </c>
      <c r="Q1565" s="8" t="s">
        <v>1521</v>
      </c>
      <c r="R1565" s="8">
        <v>59</v>
      </c>
      <c r="S1565" s="11">
        <v>58.70286545590361</v>
      </c>
      <c r="T1565" s="11">
        <v>0.2857142857142857</v>
      </c>
      <c r="U1565" s="11">
        <v>22.71428571428572</v>
      </c>
      <c r="V1565" s="11">
        <v>1.714285714285714</v>
      </c>
      <c r="W1565" s="11">
        <v>136.2857142857143</v>
      </c>
      <c r="X1565" s="8" t="s">
        <v>1522</v>
      </c>
    </row>
    <row r="1566" spans="1:24" ht="25" customHeight="1">
      <c r="A1566" s="12">
        <v>5593</v>
      </c>
      <c r="B1566" s="8">
        <v>2</v>
      </c>
      <c r="C1566" s="8" t="s">
        <v>716</v>
      </c>
      <c r="D1566" s="8" t="s">
        <v>120</v>
      </c>
      <c r="E1566" s="8" t="s">
        <v>1523</v>
      </c>
      <c r="F1566" s="8">
        <v>23</v>
      </c>
      <c r="G1566" s="8">
        <v>1</v>
      </c>
      <c r="H1566" s="11">
        <v>0.04347826086956522</v>
      </c>
      <c r="I1566" s="11">
        <v>0.01863354037267081</v>
      </c>
      <c r="J1566" s="11">
        <v>2.333333333333333</v>
      </c>
      <c r="K1566" s="8">
        <v>1</v>
      </c>
      <c r="L1566" s="8">
        <v>22</v>
      </c>
      <c r="M1566" s="8">
        <v>2</v>
      </c>
      <c r="N1566" s="8">
        <v>136</v>
      </c>
      <c r="O1566" s="11">
        <v>0.3412401848132959</v>
      </c>
      <c r="P1566" s="8" t="s">
        <v>704</v>
      </c>
      <c r="Q1566" s="8" t="s">
        <v>1524</v>
      </c>
      <c r="R1566" s="8">
        <v>60</v>
      </c>
      <c r="S1566" s="11">
        <v>55.39524835129583</v>
      </c>
      <c r="T1566" s="11">
        <v>0.4285714285714285</v>
      </c>
      <c r="U1566" s="11">
        <v>22.57142857142857</v>
      </c>
      <c r="V1566" s="11">
        <v>2.571428571428572</v>
      </c>
      <c r="W1566" s="11">
        <v>135.4285714285714</v>
      </c>
      <c r="X1566" s="8" t="s">
        <v>1525</v>
      </c>
    </row>
    <row r="1567" spans="1:24" ht="25" customHeight="1">
      <c r="A1567" s="12">
        <v>5594</v>
      </c>
      <c r="B1567" s="8">
        <v>2</v>
      </c>
      <c r="C1567" s="8" t="s">
        <v>706</v>
      </c>
      <c r="D1567" s="8" t="s">
        <v>120</v>
      </c>
      <c r="E1567" s="8" t="s">
        <v>1431</v>
      </c>
      <c r="F1567" s="8">
        <v>6</v>
      </c>
      <c r="G1567" s="8">
        <v>1</v>
      </c>
      <c r="H1567" s="11">
        <v>0.1666666666666667</v>
      </c>
      <c r="I1567" s="11">
        <v>0.0124223602484472</v>
      </c>
      <c r="J1567" s="11">
        <v>13.41666666666667</v>
      </c>
      <c r="K1567" s="8">
        <v>1</v>
      </c>
      <c r="L1567" s="8">
        <v>5</v>
      </c>
      <c r="M1567" s="8">
        <v>1</v>
      </c>
      <c r="N1567" s="8">
        <v>154</v>
      </c>
      <c r="O1567" s="11">
        <v>0.0005079748327296355</v>
      </c>
      <c r="P1567" s="8" t="s">
        <v>704</v>
      </c>
      <c r="Q1567" s="8" t="s">
        <v>1526</v>
      </c>
      <c r="R1567" s="8">
        <v>61</v>
      </c>
      <c r="S1567" s="11">
        <v>63.66412679250301</v>
      </c>
      <c r="T1567" s="11">
        <v>0.07453416149068323</v>
      </c>
      <c r="U1567" s="11">
        <v>5.925465838509317</v>
      </c>
      <c r="V1567" s="11">
        <v>1.925465838509317</v>
      </c>
      <c r="W1567" s="11">
        <v>153.0745341614907</v>
      </c>
      <c r="X1567" s="8" t="s">
        <v>1527</v>
      </c>
    </row>
    <row r="1568" spans="1:24" ht="25" customHeight="1">
      <c r="A1568" s="12">
        <v>5595</v>
      </c>
      <c r="B1568" s="8">
        <v>2</v>
      </c>
      <c r="C1568" s="8" t="s">
        <v>716</v>
      </c>
      <c r="D1568" s="8" t="s">
        <v>120</v>
      </c>
      <c r="E1568" s="8" t="s">
        <v>1528</v>
      </c>
      <c r="F1568" s="8">
        <v>23</v>
      </c>
      <c r="G1568" s="8">
        <v>1</v>
      </c>
      <c r="H1568" s="11">
        <v>0.04347826086956522</v>
      </c>
      <c r="I1568" s="11">
        <v>0.006211180124223602</v>
      </c>
      <c r="J1568" s="8">
        <v>7</v>
      </c>
      <c r="K1568" s="8">
        <v>1</v>
      </c>
      <c r="L1568" s="8">
        <v>22</v>
      </c>
      <c r="M1568" s="8">
        <v>0</v>
      </c>
      <c r="N1568" s="8">
        <v>138</v>
      </c>
      <c r="O1568" s="11">
        <v>0.01400510309475743</v>
      </c>
      <c r="P1568" s="8" t="s">
        <v>704</v>
      </c>
      <c r="Q1568" s="8" t="s">
        <v>1529</v>
      </c>
      <c r="R1568" s="8">
        <v>62</v>
      </c>
      <c r="S1568" s="11">
        <v>62.36475709322186</v>
      </c>
      <c r="T1568" s="11">
        <v>0.1428571428571428</v>
      </c>
      <c r="U1568" s="11">
        <v>22.85714285714286</v>
      </c>
      <c r="V1568" s="11">
        <v>0.8571428571428571</v>
      </c>
      <c r="W1568" s="11">
        <v>137.1428571428571</v>
      </c>
      <c r="X1568" s="8" t="s">
        <v>1518</v>
      </c>
    </row>
    <row r="1569" spans="1:24" ht="25" customHeight="1">
      <c r="A1569" s="12">
        <v>5596</v>
      </c>
      <c r="B1569" s="8">
        <v>2</v>
      </c>
      <c r="C1569" s="8" t="s">
        <v>720</v>
      </c>
      <c r="D1569" s="8" t="s">
        <v>120</v>
      </c>
      <c r="E1569" s="8" t="s">
        <v>1530</v>
      </c>
      <c r="F1569" s="8">
        <v>5</v>
      </c>
      <c r="G1569" s="8">
        <v>1</v>
      </c>
      <c r="H1569" s="11">
        <v>0.2</v>
      </c>
      <c r="I1569" s="11">
        <v>0.006211180124223602</v>
      </c>
      <c r="J1569" s="11">
        <v>32.2</v>
      </c>
      <c r="K1569" s="8">
        <v>1</v>
      </c>
      <c r="L1569" s="8">
        <v>4</v>
      </c>
      <c r="M1569" s="8">
        <v>0</v>
      </c>
      <c r="N1569" s="8">
        <v>156</v>
      </c>
      <c r="O1569" s="11">
        <v>2.105223472609622E-08</v>
      </c>
      <c r="P1569" s="8" t="s">
        <v>704</v>
      </c>
      <c r="Q1569" s="8" t="s">
        <v>1531</v>
      </c>
      <c r="R1569" s="8">
        <v>63</v>
      </c>
      <c r="S1569" s="11">
        <v>63.99999989473883</v>
      </c>
      <c r="T1569" s="11">
        <v>0.03105590062111801</v>
      </c>
      <c r="U1569" s="11">
        <v>4.968944099378882</v>
      </c>
      <c r="V1569" s="11">
        <v>0.968944099378882</v>
      </c>
      <c r="W1569" s="11">
        <v>155.0310559006211</v>
      </c>
      <c r="X1569" s="8" t="s">
        <v>1532</v>
      </c>
    </row>
    <row r="1570" spans="1:24" ht="25" customHeight="1">
      <c r="A1570" s="12">
        <v>5597</v>
      </c>
      <c r="B1570" s="8">
        <v>2</v>
      </c>
      <c r="C1570" s="8" t="s">
        <v>706</v>
      </c>
      <c r="D1570" s="8" t="s">
        <v>120</v>
      </c>
      <c r="E1570" s="8" t="s">
        <v>1533</v>
      </c>
      <c r="F1570" s="8">
        <v>6</v>
      </c>
      <c r="G1570" s="8">
        <v>1</v>
      </c>
      <c r="H1570" s="11">
        <v>0.1666666666666667</v>
      </c>
      <c r="I1570" s="11">
        <v>0.006211180124223602</v>
      </c>
      <c r="J1570" s="11">
        <v>26.83333333333333</v>
      </c>
      <c r="K1570" s="8">
        <v>1</v>
      </c>
      <c r="L1570" s="8">
        <v>5</v>
      </c>
      <c r="M1570" s="8">
        <v>0</v>
      </c>
      <c r="N1570" s="8">
        <v>155</v>
      </c>
      <c r="O1570" s="11">
        <v>3.423396769718763E-07</v>
      </c>
      <c r="P1570" s="8" t="s">
        <v>704</v>
      </c>
      <c r="Q1570" s="8" t="s">
        <v>1534</v>
      </c>
      <c r="R1570" s="8">
        <v>64</v>
      </c>
      <c r="S1570" s="11">
        <v>63.66666495496828</v>
      </c>
      <c r="T1570" s="11">
        <v>0.03726708074534162</v>
      </c>
      <c r="U1570" s="11">
        <v>5.962732919254658</v>
      </c>
      <c r="V1570" s="11">
        <v>0.9627329192546584</v>
      </c>
      <c r="W1570" s="11">
        <v>154.0372670807454</v>
      </c>
      <c r="X1570" s="8" t="s">
        <v>1535</v>
      </c>
    </row>
    <row r="1571" spans="1:24" ht="25" customHeight="1">
      <c r="A1571" s="12">
        <v>5598</v>
      </c>
      <c r="B1571" s="8">
        <v>2</v>
      </c>
      <c r="C1571" s="8" t="s">
        <v>706</v>
      </c>
      <c r="D1571" s="8" t="s">
        <v>120</v>
      </c>
      <c r="E1571" s="8" t="s">
        <v>1536</v>
      </c>
      <c r="F1571" s="8">
        <v>6</v>
      </c>
      <c r="G1571" s="8">
        <v>1</v>
      </c>
      <c r="H1571" s="11">
        <v>0.1666666666666667</v>
      </c>
      <c r="I1571" s="11">
        <v>0.006211180124223602</v>
      </c>
      <c r="J1571" s="11">
        <v>26.83333333333333</v>
      </c>
      <c r="K1571" s="8">
        <v>1</v>
      </c>
      <c r="L1571" s="8">
        <v>5</v>
      </c>
      <c r="M1571" s="8">
        <v>0</v>
      </c>
      <c r="N1571" s="8">
        <v>155</v>
      </c>
      <c r="O1571" s="11">
        <v>3.423396769718763E-07</v>
      </c>
      <c r="P1571" s="8" t="s">
        <v>704</v>
      </c>
      <c r="Q1571" s="8" t="s">
        <v>1537</v>
      </c>
      <c r="R1571" s="8">
        <v>65</v>
      </c>
      <c r="S1571" s="11">
        <v>63.66666495496828</v>
      </c>
      <c r="T1571" s="11">
        <v>0.03726708074534162</v>
      </c>
      <c r="U1571" s="11">
        <v>5.962732919254658</v>
      </c>
      <c r="V1571" s="11">
        <v>0.9627329192546584</v>
      </c>
      <c r="W1571" s="11">
        <v>154.0372670807454</v>
      </c>
      <c r="X1571" s="8" t="s">
        <v>1535</v>
      </c>
    </row>
    <row r="1572" spans="1:24" ht="25" customHeight="1">
      <c r="A1572" s="12">
        <v>5599</v>
      </c>
      <c r="B1572" s="8">
        <v>2</v>
      </c>
      <c r="C1572" s="8" t="s">
        <v>711</v>
      </c>
      <c r="D1572" s="8" t="s">
        <v>120</v>
      </c>
      <c r="E1572" s="8" t="s">
        <v>816</v>
      </c>
      <c r="F1572" s="8">
        <v>7</v>
      </c>
      <c r="G1572" s="8">
        <v>2</v>
      </c>
      <c r="H1572" s="11">
        <v>0.2857142857142857</v>
      </c>
      <c r="I1572" s="11">
        <v>0.1490683229813665</v>
      </c>
      <c r="J1572" s="11">
        <v>1.916666666666667</v>
      </c>
      <c r="K1572" s="8">
        <v>2</v>
      </c>
      <c r="L1572" s="8">
        <v>5</v>
      </c>
      <c r="M1572" s="8">
        <v>22</v>
      </c>
      <c r="N1572" s="8">
        <v>132</v>
      </c>
      <c r="O1572" s="11">
        <v>0.2993134288492242</v>
      </c>
      <c r="P1572" s="8" t="s">
        <v>704</v>
      </c>
      <c r="Q1572" s="8" t="s">
        <v>1538</v>
      </c>
      <c r="R1572" s="8">
        <v>66</v>
      </c>
      <c r="S1572" s="11">
        <v>59.19390904623007</v>
      </c>
      <c r="T1572" s="11">
        <v>1.043478260869565</v>
      </c>
      <c r="U1572" s="11">
        <v>5.956521739130435</v>
      </c>
      <c r="V1572" s="11">
        <v>22.95652173913043</v>
      </c>
      <c r="W1572" s="11">
        <v>131.0434782608696</v>
      </c>
      <c r="X1572" s="8" t="s">
        <v>1539</v>
      </c>
    </row>
    <row r="1573" spans="1:24" ht="25" customHeight="1">
      <c r="A1573" s="12">
        <v>5600</v>
      </c>
      <c r="B1573" s="8">
        <v>2</v>
      </c>
      <c r="C1573" s="8" t="s">
        <v>716</v>
      </c>
      <c r="D1573" s="8" t="s">
        <v>120</v>
      </c>
      <c r="E1573" s="8" t="s">
        <v>1410</v>
      </c>
      <c r="F1573" s="8">
        <v>23</v>
      </c>
      <c r="G1573" s="8">
        <v>1</v>
      </c>
      <c r="H1573" s="11">
        <v>0.04347826086956522</v>
      </c>
      <c r="I1573" s="11">
        <v>0.01863354037267081</v>
      </c>
      <c r="J1573" s="11">
        <v>2.333333333333333</v>
      </c>
      <c r="K1573" s="8">
        <v>1</v>
      </c>
      <c r="L1573" s="8">
        <v>22</v>
      </c>
      <c r="M1573" s="8">
        <v>2</v>
      </c>
      <c r="N1573" s="8">
        <v>136</v>
      </c>
      <c r="O1573" s="11">
        <v>0.3412401848132959</v>
      </c>
      <c r="P1573" s="8" t="s">
        <v>704</v>
      </c>
      <c r="Q1573" s="8" t="s">
        <v>1540</v>
      </c>
      <c r="R1573" s="8">
        <v>67</v>
      </c>
      <c r="S1573" s="11">
        <v>55.39524835129583</v>
      </c>
      <c r="T1573" s="11">
        <v>0.4285714285714285</v>
      </c>
      <c r="U1573" s="11">
        <v>22.57142857142857</v>
      </c>
      <c r="V1573" s="11">
        <v>2.571428571428572</v>
      </c>
      <c r="W1573" s="11">
        <v>135.4285714285714</v>
      </c>
      <c r="X1573" s="8" t="s">
        <v>1525</v>
      </c>
    </row>
    <row r="1574" spans="1:24" ht="25" customHeight="1">
      <c r="A1574" s="12">
        <v>5601</v>
      </c>
      <c r="B1574" s="8">
        <v>2</v>
      </c>
      <c r="C1574" s="8" t="s">
        <v>711</v>
      </c>
      <c r="D1574" s="8" t="s">
        <v>120</v>
      </c>
      <c r="E1574" s="8" t="s">
        <v>1541</v>
      </c>
      <c r="F1574" s="8">
        <v>7</v>
      </c>
      <c r="G1574" s="8">
        <v>1</v>
      </c>
      <c r="H1574" s="11">
        <v>0.1428571428571428</v>
      </c>
      <c r="I1574" s="11">
        <v>0.006211180124223602</v>
      </c>
      <c r="J1574" s="8">
        <v>23</v>
      </c>
      <c r="K1574" s="8">
        <v>1</v>
      </c>
      <c r="L1574" s="8">
        <v>6</v>
      </c>
      <c r="M1574" s="8">
        <v>0</v>
      </c>
      <c r="N1574" s="8">
        <v>154</v>
      </c>
      <c r="O1574" s="11">
        <v>2.538031489740095E-06</v>
      </c>
      <c r="P1574" s="8" t="s">
        <v>704</v>
      </c>
      <c r="Q1574" s="8" t="s">
        <v>1542</v>
      </c>
      <c r="R1574" s="8">
        <v>68</v>
      </c>
      <c r="S1574" s="11">
        <v>63.42855873841398</v>
      </c>
      <c r="T1574" s="11">
        <v>0.04347826086956522</v>
      </c>
      <c r="U1574" s="11">
        <v>6.956521739130435</v>
      </c>
      <c r="V1574" s="11">
        <v>0.9565217391304348</v>
      </c>
      <c r="W1574" s="11">
        <v>153.0434782608696</v>
      </c>
      <c r="X1574" s="8" t="s">
        <v>1543</v>
      </c>
    </row>
    <row r="1575" spans="1:24" ht="25" customHeight="1">
      <c r="A1575" s="12">
        <v>5602</v>
      </c>
      <c r="B1575" s="8">
        <v>2</v>
      </c>
      <c r="C1575" s="8" t="s">
        <v>716</v>
      </c>
      <c r="D1575" s="8" t="s">
        <v>120</v>
      </c>
      <c r="E1575" s="8" t="s">
        <v>1544</v>
      </c>
      <c r="F1575" s="8">
        <v>23</v>
      </c>
      <c r="G1575" s="8">
        <v>1</v>
      </c>
      <c r="H1575" s="11">
        <v>0.04347826086956522</v>
      </c>
      <c r="I1575" s="11">
        <v>0.006211180124223602</v>
      </c>
      <c r="J1575" s="8">
        <v>7</v>
      </c>
      <c r="K1575" s="8">
        <v>1</v>
      </c>
      <c r="L1575" s="8">
        <v>22</v>
      </c>
      <c r="M1575" s="8">
        <v>0</v>
      </c>
      <c r="N1575" s="8">
        <v>138</v>
      </c>
      <c r="O1575" s="11">
        <v>0.01400510309475743</v>
      </c>
      <c r="P1575" s="8" t="s">
        <v>704</v>
      </c>
      <c r="Q1575" s="8" t="s">
        <v>1545</v>
      </c>
      <c r="R1575" s="8">
        <v>69</v>
      </c>
      <c r="S1575" s="11">
        <v>62.36475709322186</v>
      </c>
      <c r="T1575" s="11">
        <v>0.1428571428571428</v>
      </c>
      <c r="U1575" s="11">
        <v>22.85714285714286</v>
      </c>
      <c r="V1575" s="11">
        <v>0.8571428571428571</v>
      </c>
      <c r="W1575" s="11">
        <v>137.1428571428571</v>
      </c>
      <c r="X1575" s="8" t="s">
        <v>1518</v>
      </c>
    </row>
    <row r="1576" spans="1:24" ht="25" customHeight="1">
      <c r="A1576" s="12">
        <v>5603</v>
      </c>
      <c r="B1576" s="8">
        <v>2</v>
      </c>
      <c r="C1576" s="8" t="s">
        <v>716</v>
      </c>
      <c r="D1576" s="8" t="s">
        <v>120</v>
      </c>
      <c r="E1576" s="8" t="s">
        <v>1546</v>
      </c>
      <c r="F1576" s="8">
        <v>23</v>
      </c>
      <c r="G1576" s="8">
        <v>1</v>
      </c>
      <c r="H1576" s="11">
        <v>0.04347826086956522</v>
      </c>
      <c r="I1576" s="11">
        <v>0.006211180124223602</v>
      </c>
      <c r="J1576" s="8">
        <v>7</v>
      </c>
      <c r="K1576" s="8">
        <v>1</v>
      </c>
      <c r="L1576" s="8">
        <v>22</v>
      </c>
      <c r="M1576" s="8">
        <v>0</v>
      </c>
      <c r="N1576" s="8">
        <v>138</v>
      </c>
      <c r="O1576" s="11">
        <v>0.01400510309475743</v>
      </c>
      <c r="P1576" s="8" t="s">
        <v>704</v>
      </c>
      <c r="Q1576" s="8" t="s">
        <v>1547</v>
      </c>
      <c r="R1576" s="8">
        <v>70</v>
      </c>
      <c r="S1576" s="11">
        <v>62.36475709322186</v>
      </c>
      <c r="T1576" s="11">
        <v>0.1428571428571428</v>
      </c>
      <c r="U1576" s="11">
        <v>22.85714285714286</v>
      </c>
      <c r="V1576" s="11">
        <v>0.8571428571428571</v>
      </c>
      <c r="W1576" s="11">
        <v>137.1428571428571</v>
      </c>
      <c r="X1576" s="8" t="s">
        <v>1518</v>
      </c>
    </row>
    <row r="1577" spans="1:24" ht="25" customHeight="1">
      <c r="A1577" s="12">
        <v>5604</v>
      </c>
      <c r="B1577" s="8">
        <v>2</v>
      </c>
      <c r="C1577" s="8" t="s">
        <v>720</v>
      </c>
      <c r="D1577" s="8" t="s">
        <v>120</v>
      </c>
      <c r="E1577" s="8" t="s">
        <v>821</v>
      </c>
      <c r="F1577" s="8">
        <v>5</v>
      </c>
      <c r="G1577" s="8">
        <v>1</v>
      </c>
      <c r="H1577" s="11">
        <v>0.2</v>
      </c>
      <c r="I1577" s="11">
        <v>0.02484472049689441</v>
      </c>
      <c r="J1577" s="11">
        <v>8.050000000000001</v>
      </c>
      <c r="K1577" s="8">
        <v>1</v>
      </c>
      <c r="L1577" s="8">
        <v>4</v>
      </c>
      <c r="M1577" s="8">
        <v>3</v>
      </c>
      <c r="N1577" s="8">
        <v>153</v>
      </c>
      <c r="O1577" s="11">
        <v>0.01058042030991412</v>
      </c>
      <c r="P1577" s="8" t="s">
        <v>704</v>
      </c>
      <c r="Q1577" s="8" t="s">
        <v>1548</v>
      </c>
      <c r="R1577" s="8">
        <v>71</v>
      </c>
      <c r="S1577" s="11">
        <v>63.94709789845043</v>
      </c>
      <c r="T1577" s="11">
        <v>0.124223602484472</v>
      </c>
      <c r="U1577" s="11">
        <v>4.875776397515528</v>
      </c>
      <c r="V1577" s="11">
        <v>3.875776397515528</v>
      </c>
      <c r="W1577" s="11">
        <v>152.1242236024845</v>
      </c>
      <c r="X1577" s="8" t="s">
        <v>1549</v>
      </c>
    </row>
    <row r="1578" spans="1:24" ht="25" customHeight="1">
      <c r="A1578" s="12">
        <v>5605</v>
      </c>
      <c r="B1578" s="8">
        <v>2</v>
      </c>
      <c r="C1578" s="8" t="s">
        <v>716</v>
      </c>
      <c r="D1578" s="8" t="s">
        <v>120</v>
      </c>
      <c r="E1578" s="8" t="s">
        <v>1550</v>
      </c>
      <c r="F1578" s="8">
        <v>23</v>
      </c>
      <c r="G1578" s="8">
        <v>1</v>
      </c>
      <c r="H1578" s="11">
        <v>0.04347826086956522</v>
      </c>
      <c r="I1578" s="11">
        <v>0.006211180124223602</v>
      </c>
      <c r="J1578" s="8">
        <v>7</v>
      </c>
      <c r="K1578" s="8">
        <v>1</v>
      </c>
      <c r="L1578" s="8">
        <v>22</v>
      </c>
      <c r="M1578" s="8">
        <v>0</v>
      </c>
      <c r="N1578" s="8">
        <v>138</v>
      </c>
      <c r="O1578" s="11">
        <v>0.01400510309475743</v>
      </c>
      <c r="P1578" s="8" t="s">
        <v>704</v>
      </c>
      <c r="Q1578" s="8" t="s">
        <v>1551</v>
      </c>
      <c r="R1578" s="8">
        <v>72</v>
      </c>
      <c r="S1578" s="11">
        <v>62.36475709322186</v>
      </c>
      <c r="T1578" s="11">
        <v>0.1428571428571428</v>
      </c>
      <c r="U1578" s="11">
        <v>22.85714285714286</v>
      </c>
      <c r="V1578" s="11">
        <v>0.8571428571428571</v>
      </c>
      <c r="W1578" s="11">
        <v>137.1428571428571</v>
      </c>
      <c r="X1578" s="8" t="s">
        <v>1518</v>
      </c>
    </row>
    <row r="1579" spans="1:24" ht="25" customHeight="1">
      <c r="A1579" s="12">
        <v>5606</v>
      </c>
      <c r="B1579" s="8">
        <v>2</v>
      </c>
      <c r="C1579" s="8" t="s">
        <v>711</v>
      </c>
      <c r="D1579" s="8" t="s">
        <v>123</v>
      </c>
      <c r="E1579" s="8" t="s">
        <v>1398</v>
      </c>
      <c r="F1579" s="8">
        <v>1</v>
      </c>
      <c r="G1579" s="8">
        <v>1</v>
      </c>
      <c r="H1579" s="8">
        <v>1</v>
      </c>
      <c r="I1579" s="11">
        <v>0.03726708074534162</v>
      </c>
      <c r="J1579" s="11">
        <v>26.83333333333333</v>
      </c>
      <c r="K1579" s="8">
        <v>1</v>
      </c>
      <c r="L1579" s="8">
        <v>0</v>
      </c>
      <c r="M1579" s="8">
        <v>5</v>
      </c>
      <c r="N1579" s="8">
        <v>155</v>
      </c>
      <c r="O1579" s="11">
        <v>3.423396769718763E-07</v>
      </c>
      <c r="P1579" s="8" t="s">
        <v>704</v>
      </c>
      <c r="Q1579" s="8" t="s">
        <v>1552</v>
      </c>
      <c r="R1579" s="8">
        <v>73</v>
      </c>
      <c r="S1579" s="11">
        <v>71.99999828830161</v>
      </c>
      <c r="T1579" s="11">
        <v>0.03726708074534162</v>
      </c>
      <c r="U1579" s="11">
        <v>0.9627329192546584</v>
      </c>
      <c r="V1579" s="11">
        <v>5.962732919254658</v>
      </c>
      <c r="W1579" s="11">
        <v>154.0372670807454</v>
      </c>
      <c r="X1579" s="8" t="s">
        <v>1553</v>
      </c>
    </row>
    <row r="1580" spans="1:24" ht="25" customHeight="1">
      <c r="A1580" s="12">
        <v>5607</v>
      </c>
      <c r="B1580" s="8">
        <v>2</v>
      </c>
      <c r="C1580" s="8" t="s">
        <v>716</v>
      </c>
      <c r="D1580" s="8" t="s">
        <v>120</v>
      </c>
      <c r="E1580" s="8" t="s">
        <v>816</v>
      </c>
      <c r="F1580" s="8">
        <v>23</v>
      </c>
      <c r="G1580" s="8">
        <v>4</v>
      </c>
      <c r="H1580" s="11">
        <v>0.1739130434782609</v>
      </c>
      <c r="I1580" s="11">
        <v>0.1490683229813665</v>
      </c>
      <c r="J1580" s="11">
        <v>1.166666666666667</v>
      </c>
      <c r="K1580" s="8">
        <v>4</v>
      </c>
      <c r="L1580" s="8">
        <v>19</v>
      </c>
      <c r="M1580" s="8">
        <v>20</v>
      </c>
      <c r="N1580" s="8">
        <v>118</v>
      </c>
      <c r="O1580" s="11">
        <v>0.7178357429076716</v>
      </c>
      <c r="P1580" s="8" t="s">
        <v>700</v>
      </c>
      <c r="Q1580" s="8" t="s">
        <v>1554</v>
      </c>
      <c r="R1580" s="8">
        <v>74</v>
      </c>
      <c r="S1580" s="11">
        <v>53.48328505357759</v>
      </c>
      <c r="T1580" s="11">
        <v>3.428571428571428</v>
      </c>
      <c r="U1580" s="11">
        <v>19.57142857142857</v>
      </c>
      <c r="V1580" s="11">
        <v>20.57142857142857</v>
      </c>
      <c r="W1580" s="11">
        <v>117.4285714285714</v>
      </c>
      <c r="X1580" s="8" t="s">
        <v>1555</v>
      </c>
    </row>
    <row r="1581" spans="1:24" ht="25" customHeight="1">
      <c r="A1581" s="12">
        <v>5608</v>
      </c>
      <c r="B1581" s="8">
        <v>2</v>
      </c>
      <c r="C1581" s="8" t="s">
        <v>706</v>
      </c>
      <c r="D1581" s="8" t="s">
        <v>120</v>
      </c>
      <c r="E1581" s="8" t="s">
        <v>820</v>
      </c>
      <c r="F1581" s="8">
        <v>6</v>
      </c>
      <c r="G1581" s="8">
        <v>1</v>
      </c>
      <c r="H1581" s="11">
        <v>0.1666666666666667</v>
      </c>
      <c r="I1581" s="11">
        <v>0.03105590062111801</v>
      </c>
      <c r="J1581" s="11">
        <v>5.366666666666666</v>
      </c>
      <c r="K1581" s="8">
        <v>1</v>
      </c>
      <c r="L1581" s="8">
        <v>5</v>
      </c>
      <c r="M1581" s="8">
        <v>4</v>
      </c>
      <c r="N1581" s="8">
        <v>151</v>
      </c>
      <c r="O1581" s="11">
        <v>0.0509832312334599</v>
      </c>
      <c r="P1581" s="8" t="s">
        <v>704</v>
      </c>
      <c r="Q1581" s="8" t="s">
        <v>1556</v>
      </c>
      <c r="R1581" s="8">
        <v>75</v>
      </c>
      <c r="S1581" s="11">
        <v>63.41175051049937</v>
      </c>
      <c r="T1581" s="11">
        <v>0.1863354037267081</v>
      </c>
      <c r="U1581" s="11">
        <v>5.813664596273292</v>
      </c>
      <c r="V1581" s="11">
        <v>4.813664596273292</v>
      </c>
      <c r="W1581" s="11">
        <v>150.1863354037267</v>
      </c>
      <c r="X1581" s="8" t="s">
        <v>1557</v>
      </c>
    </row>
    <row r="1582" spans="1:24" ht="25" customHeight="1">
      <c r="A1582" s="12">
        <v>5609</v>
      </c>
      <c r="B1582" s="8">
        <v>2</v>
      </c>
      <c r="C1582" s="8" t="s">
        <v>706</v>
      </c>
      <c r="D1582" s="8" t="s">
        <v>120</v>
      </c>
      <c r="E1582" s="8" t="s">
        <v>1558</v>
      </c>
      <c r="F1582" s="8">
        <v>6</v>
      </c>
      <c r="G1582" s="8">
        <v>1</v>
      </c>
      <c r="H1582" s="11">
        <v>0.1666666666666667</v>
      </c>
      <c r="I1582" s="11">
        <v>0.006211180124223602</v>
      </c>
      <c r="J1582" s="11">
        <v>26.83333333333333</v>
      </c>
      <c r="K1582" s="8">
        <v>1</v>
      </c>
      <c r="L1582" s="8">
        <v>5</v>
      </c>
      <c r="M1582" s="8">
        <v>0</v>
      </c>
      <c r="N1582" s="8">
        <v>155</v>
      </c>
      <c r="O1582" s="11">
        <v>3.423396769718763E-07</v>
      </c>
      <c r="P1582" s="8" t="s">
        <v>704</v>
      </c>
      <c r="Q1582" s="8" t="s">
        <v>1559</v>
      </c>
      <c r="R1582" s="8">
        <v>76</v>
      </c>
      <c r="S1582" s="11">
        <v>63.66666495496828</v>
      </c>
      <c r="T1582" s="11">
        <v>0.03726708074534162</v>
      </c>
      <c r="U1582" s="11">
        <v>5.962732919254658</v>
      </c>
      <c r="V1582" s="11">
        <v>0.9627329192546584</v>
      </c>
      <c r="W1582" s="11">
        <v>154.0372670807454</v>
      </c>
      <c r="X1582" s="8" t="s">
        <v>1535</v>
      </c>
    </row>
    <row r="1583" spans="1:24" ht="25" customHeight="1">
      <c r="A1583" s="12">
        <v>5610</v>
      </c>
      <c r="B1583" s="8">
        <v>2</v>
      </c>
      <c r="C1583" s="8" t="s">
        <v>716</v>
      </c>
      <c r="D1583" s="8" t="s">
        <v>120</v>
      </c>
      <c r="E1583" s="8" t="s">
        <v>1398</v>
      </c>
      <c r="F1583" s="8">
        <v>23</v>
      </c>
      <c r="G1583" s="8">
        <v>1</v>
      </c>
      <c r="H1583" s="11">
        <v>0.04347826086956522</v>
      </c>
      <c r="I1583" s="11">
        <v>0.03726708074534162</v>
      </c>
      <c r="J1583" s="11">
        <v>1.166666666666667</v>
      </c>
      <c r="K1583" s="8">
        <v>1</v>
      </c>
      <c r="L1583" s="8">
        <v>22</v>
      </c>
      <c r="M1583" s="8">
        <v>5</v>
      </c>
      <c r="N1583" s="8">
        <v>133</v>
      </c>
      <c r="O1583" s="11">
        <v>0.8651187877894901</v>
      </c>
      <c r="P1583" s="8" t="s">
        <v>704</v>
      </c>
      <c r="Q1583" s="8" t="s">
        <v>1560</v>
      </c>
      <c r="R1583" s="8">
        <v>77</v>
      </c>
      <c r="S1583" s="11">
        <v>50.44252200308154</v>
      </c>
      <c r="T1583" s="11">
        <v>0.8571428571428571</v>
      </c>
      <c r="U1583" s="11">
        <v>22.14285714285714</v>
      </c>
      <c r="V1583" s="11">
        <v>5.142857142857143</v>
      </c>
      <c r="W1583" s="11">
        <v>132.8571428571429</v>
      </c>
      <c r="X1583" s="8" t="s">
        <v>1561</v>
      </c>
    </row>
    <row r="1584" spans="1:24" ht="25" customHeight="1">
      <c r="A1584" s="12">
        <v>5611</v>
      </c>
      <c r="B1584" s="8">
        <v>2</v>
      </c>
      <c r="C1584" s="8" t="s">
        <v>716</v>
      </c>
      <c r="D1584" s="8" t="s">
        <v>120</v>
      </c>
      <c r="E1584" s="8" t="s">
        <v>49</v>
      </c>
      <c r="F1584" s="8">
        <v>23</v>
      </c>
      <c r="G1584" s="8">
        <v>1</v>
      </c>
      <c r="H1584" s="11">
        <v>0.04347826086956522</v>
      </c>
      <c r="I1584" s="11">
        <v>0.04968944099378882</v>
      </c>
      <c r="J1584" s="11">
        <v>0.875</v>
      </c>
      <c r="K1584" s="8">
        <v>1</v>
      </c>
      <c r="L1584" s="8">
        <v>22</v>
      </c>
      <c r="M1584" s="8">
        <v>7</v>
      </c>
      <c r="N1584" s="8">
        <v>131</v>
      </c>
      <c r="O1584" s="11">
        <v>0.8822930333191513</v>
      </c>
      <c r="P1584" s="8" t="s">
        <v>704</v>
      </c>
      <c r="Q1584" s="8" t="s">
        <v>1562</v>
      </c>
      <c r="R1584" s="8">
        <v>78</v>
      </c>
      <c r="S1584" s="11">
        <v>49.77331744209989</v>
      </c>
      <c r="T1584" s="11">
        <v>1.142857142857143</v>
      </c>
      <c r="U1584" s="11">
        <v>21.85714285714286</v>
      </c>
      <c r="V1584" s="11">
        <v>6.857142857142857</v>
      </c>
      <c r="W1584" s="11">
        <v>131.1428571428571</v>
      </c>
      <c r="X1584" s="8" t="s">
        <v>1563</v>
      </c>
    </row>
    <row r="1585" spans="1:24" ht="25" customHeight="1">
      <c r="A1585" s="12">
        <v>5612</v>
      </c>
      <c r="B1585" s="8">
        <v>2</v>
      </c>
      <c r="C1585" s="8" t="s">
        <v>711</v>
      </c>
      <c r="D1585" s="8" t="s">
        <v>120</v>
      </c>
      <c r="E1585" s="8" t="s">
        <v>49</v>
      </c>
      <c r="F1585" s="8">
        <v>7</v>
      </c>
      <c r="G1585" s="8">
        <v>1</v>
      </c>
      <c r="H1585" s="11">
        <v>0.1428571428571428</v>
      </c>
      <c r="I1585" s="11">
        <v>0.04968944099378882</v>
      </c>
      <c r="J1585" s="11">
        <v>2.875</v>
      </c>
      <c r="K1585" s="8">
        <v>1</v>
      </c>
      <c r="L1585" s="8">
        <v>6</v>
      </c>
      <c r="M1585" s="8">
        <v>7</v>
      </c>
      <c r="N1585" s="8">
        <v>147</v>
      </c>
      <c r="O1585" s="11">
        <v>0.2461095338134294</v>
      </c>
      <c r="P1585" s="8" t="s">
        <v>704</v>
      </c>
      <c r="Q1585" s="8" t="s">
        <v>1564</v>
      </c>
      <c r="R1585" s="8">
        <v>79</v>
      </c>
      <c r="S1585" s="11">
        <v>57.94802375950428</v>
      </c>
      <c r="T1585" s="11">
        <v>0.3478260869565217</v>
      </c>
      <c r="U1585" s="11">
        <v>6.652173913043478</v>
      </c>
      <c r="V1585" s="11">
        <v>7.652173913043478</v>
      </c>
      <c r="W1585" s="11">
        <v>146.3478260869565</v>
      </c>
      <c r="X1585" s="8" t="s">
        <v>1565</v>
      </c>
    </row>
    <row r="1586" spans="1:24" ht="25" customHeight="1">
      <c r="A1586" s="12">
        <v>5613</v>
      </c>
      <c r="B1586" s="8">
        <v>2</v>
      </c>
      <c r="C1586" s="8" t="s">
        <v>716</v>
      </c>
      <c r="D1586" s="8" t="s">
        <v>120</v>
      </c>
      <c r="E1586" s="8" t="s">
        <v>1566</v>
      </c>
      <c r="F1586" s="8">
        <v>23</v>
      </c>
      <c r="G1586" s="8">
        <v>1</v>
      </c>
      <c r="H1586" s="11">
        <v>0.04347826086956522</v>
      </c>
      <c r="I1586" s="11">
        <v>0.006211180124223602</v>
      </c>
      <c r="J1586" s="8">
        <v>7</v>
      </c>
      <c r="K1586" s="8">
        <v>1</v>
      </c>
      <c r="L1586" s="8">
        <v>22</v>
      </c>
      <c r="M1586" s="8">
        <v>0</v>
      </c>
      <c r="N1586" s="8">
        <v>138</v>
      </c>
      <c r="O1586" s="11">
        <v>0.01400510309475743</v>
      </c>
      <c r="P1586" s="8" t="s">
        <v>704</v>
      </c>
      <c r="Q1586" s="8" t="s">
        <v>1567</v>
      </c>
      <c r="R1586" s="8">
        <v>80</v>
      </c>
      <c r="S1586" s="11">
        <v>62.36475709322186</v>
      </c>
      <c r="T1586" s="11">
        <v>0.1428571428571428</v>
      </c>
      <c r="U1586" s="11">
        <v>22.85714285714286</v>
      </c>
      <c r="V1586" s="11">
        <v>0.8571428571428571</v>
      </c>
      <c r="W1586" s="11">
        <v>137.1428571428571</v>
      </c>
      <c r="X1586" s="8" t="s">
        <v>1518</v>
      </c>
    </row>
    <row r="1587" spans="1:24" ht="25" customHeight="1">
      <c r="A1587" s="12">
        <v>5614</v>
      </c>
      <c r="B1587" s="8">
        <v>2</v>
      </c>
      <c r="C1587" s="8" t="s">
        <v>716</v>
      </c>
      <c r="D1587" s="8" t="s">
        <v>120</v>
      </c>
      <c r="E1587" s="8" t="s">
        <v>815</v>
      </c>
      <c r="F1587" s="8">
        <v>23</v>
      </c>
      <c r="G1587" s="8">
        <v>1</v>
      </c>
      <c r="H1587" s="11">
        <v>0.04347826086956522</v>
      </c>
      <c r="I1587" s="11">
        <v>0.04968944099378882</v>
      </c>
      <c r="J1587" s="11">
        <v>0.875</v>
      </c>
      <c r="K1587" s="8">
        <v>1</v>
      </c>
      <c r="L1587" s="8">
        <v>22</v>
      </c>
      <c r="M1587" s="8">
        <v>7</v>
      </c>
      <c r="N1587" s="8">
        <v>131</v>
      </c>
      <c r="O1587" s="11">
        <v>0.8822930333191513</v>
      </c>
      <c r="P1587" s="8" t="s">
        <v>704</v>
      </c>
      <c r="Q1587" s="8" t="s">
        <v>1568</v>
      </c>
      <c r="R1587" s="8">
        <v>81</v>
      </c>
      <c r="S1587" s="11">
        <v>49.77331744209989</v>
      </c>
      <c r="T1587" s="11">
        <v>1.142857142857143</v>
      </c>
      <c r="U1587" s="11">
        <v>21.85714285714286</v>
      </c>
      <c r="V1587" s="11">
        <v>6.857142857142857</v>
      </c>
      <c r="W1587" s="11">
        <v>131.1428571428571</v>
      </c>
      <c r="X1587" s="8" t="s">
        <v>1563</v>
      </c>
    </row>
    <row r="1588" spans="1:24" ht="25" customHeight="1">
      <c r="A1588" s="12">
        <v>5615</v>
      </c>
      <c r="B1588" s="8">
        <v>2</v>
      </c>
      <c r="C1588" s="8" t="s">
        <v>716</v>
      </c>
      <c r="D1588" s="8" t="s">
        <v>120</v>
      </c>
      <c r="E1588" s="8" t="s">
        <v>1422</v>
      </c>
      <c r="F1588" s="8">
        <v>23</v>
      </c>
      <c r="G1588" s="8">
        <v>1</v>
      </c>
      <c r="H1588" s="11">
        <v>0.04347826086956522</v>
      </c>
      <c r="I1588" s="11">
        <v>0.01863354037267081</v>
      </c>
      <c r="J1588" s="11">
        <v>2.333333333333333</v>
      </c>
      <c r="K1588" s="8">
        <v>1</v>
      </c>
      <c r="L1588" s="8">
        <v>22</v>
      </c>
      <c r="M1588" s="8">
        <v>2</v>
      </c>
      <c r="N1588" s="8">
        <v>136</v>
      </c>
      <c r="O1588" s="11">
        <v>0.3412401848132959</v>
      </c>
      <c r="P1588" s="8" t="s">
        <v>704</v>
      </c>
      <c r="Q1588" s="8" t="s">
        <v>1569</v>
      </c>
      <c r="R1588" s="8">
        <v>82</v>
      </c>
      <c r="S1588" s="11">
        <v>55.39524835129583</v>
      </c>
      <c r="T1588" s="11">
        <v>0.4285714285714285</v>
      </c>
      <c r="U1588" s="11">
        <v>22.57142857142857</v>
      </c>
      <c r="V1588" s="11">
        <v>2.571428571428572</v>
      </c>
      <c r="W1588" s="11">
        <v>135.4285714285714</v>
      </c>
      <c r="X1588" s="8" t="s">
        <v>1525</v>
      </c>
    </row>
    <row r="1589" spans="1:24" ht="25" customHeight="1">
      <c r="A1589" s="12">
        <v>5616</v>
      </c>
      <c r="B1589" s="8">
        <v>2</v>
      </c>
      <c r="C1589" s="8" t="s">
        <v>706</v>
      </c>
      <c r="D1589" s="8" t="s">
        <v>123</v>
      </c>
      <c r="E1589" s="8" t="s">
        <v>823</v>
      </c>
      <c r="F1589" s="8">
        <v>1</v>
      </c>
      <c r="G1589" s="8">
        <v>1</v>
      </c>
      <c r="H1589" s="8">
        <v>1</v>
      </c>
      <c r="I1589" s="11">
        <v>0.04347826086956522</v>
      </c>
      <c r="J1589" s="8">
        <v>23</v>
      </c>
      <c r="K1589" s="8">
        <v>1</v>
      </c>
      <c r="L1589" s="8">
        <v>0</v>
      </c>
      <c r="M1589" s="8">
        <v>6</v>
      </c>
      <c r="N1589" s="8">
        <v>154</v>
      </c>
      <c r="O1589" s="11">
        <v>2.538031489740095E-06</v>
      </c>
      <c r="P1589" s="8" t="s">
        <v>704</v>
      </c>
      <c r="Q1589" s="8" t="s">
        <v>1570</v>
      </c>
      <c r="R1589" s="8">
        <v>83</v>
      </c>
      <c r="S1589" s="11">
        <v>71.99998730984255</v>
      </c>
      <c r="T1589" s="11">
        <v>0.04347826086956522</v>
      </c>
      <c r="U1589" s="11">
        <v>0.9565217391304348</v>
      </c>
      <c r="V1589" s="11">
        <v>6.956521739130435</v>
      </c>
      <c r="W1589" s="11">
        <v>153.0434782608696</v>
      </c>
      <c r="X1589" s="8" t="s">
        <v>1571</v>
      </c>
    </row>
    <row r="1590" spans="1:24" ht="25" customHeight="1">
      <c r="A1590" s="12">
        <v>5617</v>
      </c>
      <c r="B1590" s="8">
        <v>2</v>
      </c>
      <c r="C1590" s="8" t="s">
        <v>716</v>
      </c>
      <c r="D1590" s="8" t="s">
        <v>120</v>
      </c>
      <c r="E1590" s="8" t="s">
        <v>1572</v>
      </c>
      <c r="F1590" s="8">
        <v>23</v>
      </c>
      <c r="G1590" s="8">
        <v>1</v>
      </c>
      <c r="H1590" s="11">
        <v>0.04347826086956522</v>
      </c>
      <c r="I1590" s="11">
        <v>0.006211180124223602</v>
      </c>
      <c r="J1590" s="8">
        <v>7</v>
      </c>
      <c r="K1590" s="8">
        <v>1</v>
      </c>
      <c r="L1590" s="8">
        <v>22</v>
      </c>
      <c r="M1590" s="8">
        <v>0</v>
      </c>
      <c r="N1590" s="8">
        <v>138</v>
      </c>
      <c r="O1590" s="11">
        <v>0.01400510309475743</v>
      </c>
      <c r="P1590" s="8" t="s">
        <v>704</v>
      </c>
      <c r="Q1590" s="8" t="s">
        <v>1573</v>
      </c>
      <c r="R1590" s="8">
        <v>84</v>
      </c>
      <c r="S1590" s="11">
        <v>62.36475709322186</v>
      </c>
      <c r="T1590" s="11">
        <v>0.1428571428571428</v>
      </c>
      <c r="U1590" s="11">
        <v>22.85714285714286</v>
      </c>
      <c r="V1590" s="11">
        <v>0.8571428571428571</v>
      </c>
      <c r="W1590" s="11">
        <v>137.1428571428571</v>
      </c>
      <c r="X1590" s="8" t="s">
        <v>1518</v>
      </c>
    </row>
    <row r="1591" spans="1:24" ht="25" customHeight="1">
      <c r="A1591" s="12">
        <v>5618</v>
      </c>
      <c r="B1591" s="8">
        <v>2</v>
      </c>
      <c r="C1591" s="8" t="s">
        <v>711</v>
      </c>
      <c r="D1591" s="8" t="s">
        <v>120</v>
      </c>
      <c r="E1591" s="8" t="s">
        <v>1488</v>
      </c>
      <c r="F1591" s="8">
        <v>7</v>
      </c>
      <c r="G1591" s="8">
        <v>1</v>
      </c>
      <c r="H1591" s="11">
        <v>0.1428571428571428</v>
      </c>
      <c r="I1591" s="11">
        <v>0.0124223602484472</v>
      </c>
      <c r="J1591" s="11">
        <v>11.5</v>
      </c>
      <c r="K1591" s="8">
        <v>1</v>
      </c>
      <c r="L1591" s="8">
        <v>6</v>
      </c>
      <c r="M1591" s="8">
        <v>1</v>
      </c>
      <c r="N1591" s="8">
        <v>153</v>
      </c>
      <c r="O1591" s="11">
        <v>0.001443952592935694</v>
      </c>
      <c r="P1591" s="8" t="s">
        <v>704</v>
      </c>
      <c r="Q1591" s="8" t="s">
        <v>1574</v>
      </c>
      <c r="R1591" s="8">
        <v>85</v>
      </c>
      <c r="S1591" s="11">
        <v>63.42135166560675</v>
      </c>
      <c r="T1591" s="11">
        <v>0.08695652173913043</v>
      </c>
      <c r="U1591" s="11">
        <v>6.913043478260869</v>
      </c>
      <c r="V1591" s="11">
        <v>1.91304347826087</v>
      </c>
      <c r="W1591" s="11">
        <v>152.0869565217391</v>
      </c>
      <c r="X1591" s="8" t="s">
        <v>1520</v>
      </c>
    </row>
    <row r="1592" spans="1:24" ht="25" customHeight="1">
      <c r="A1592" s="12">
        <v>5619</v>
      </c>
      <c r="B1592" s="8">
        <v>2</v>
      </c>
      <c r="C1592" s="8" t="s">
        <v>706</v>
      </c>
      <c r="D1592" s="8" t="s">
        <v>120</v>
      </c>
      <c r="E1592" s="8" t="s">
        <v>1416</v>
      </c>
      <c r="F1592" s="8">
        <v>6</v>
      </c>
      <c r="G1592" s="8">
        <v>1</v>
      </c>
      <c r="H1592" s="11">
        <v>0.1666666666666667</v>
      </c>
      <c r="I1592" s="11">
        <v>0.01863354037267081</v>
      </c>
      <c r="J1592" s="11">
        <v>8.944444444444443</v>
      </c>
      <c r="K1592" s="8">
        <v>1</v>
      </c>
      <c r="L1592" s="8">
        <v>5</v>
      </c>
      <c r="M1592" s="8">
        <v>2</v>
      </c>
      <c r="N1592" s="8">
        <v>153</v>
      </c>
      <c r="O1592" s="11">
        <v>0.006278587905067123</v>
      </c>
      <c r="P1592" s="8" t="s">
        <v>704</v>
      </c>
      <c r="Q1592" s="8" t="s">
        <v>1575</v>
      </c>
      <c r="R1592" s="8">
        <v>86</v>
      </c>
      <c r="S1592" s="11">
        <v>63.63527372714133</v>
      </c>
      <c r="T1592" s="11">
        <v>0.1118012422360248</v>
      </c>
      <c r="U1592" s="11">
        <v>5.888198757763975</v>
      </c>
      <c r="V1592" s="11">
        <v>2.888198757763975</v>
      </c>
      <c r="W1592" s="11">
        <v>152.111801242236</v>
      </c>
      <c r="X1592" s="8" t="s">
        <v>1576</v>
      </c>
    </row>
    <row r="1593" spans="1:24" ht="25" customHeight="1">
      <c r="A1593" s="12">
        <v>5620</v>
      </c>
      <c r="B1593" s="8">
        <v>2</v>
      </c>
      <c r="C1593" s="8" t="s">
        <v>711</v>
      </c>
      <c r="D1593" s="8" t="s">
        <v>120</v>
      </c>
      <c r="E1593" s="8" t="s">
        <v>1398</v>
      </c>
      <c r="F1593" s="8">
        <v>7</v>
      </c>
      <c r="G1593" s="8">
        <v>1</v>
      </c>
      <c r="H1593" s="11">
        <v>0.1428571428571428</v>
      </c>
      <c r="I1593" s="11">
        <v>0.03726708074534162</v>
      </c>
      <c r="J1593" s="11">
        <v>3.833333333333333</v>
      </c>
      <c r="K1593" s="8">
        <v>1</v>
      </c>
      <c r="L1593" s="8">
        <v>6</v>
      </c>
      <c r="M1593" s="8">
        <v>5</v>
      </c>
      <c r="N1593" s="8">
        <v>149</v>
      </c>
      <c r="O1593" s="11">
        <v>0.1315476813603876</v>
      </c>
      <c r="P1593" s="8" t="s">
        <v>704</v>
      </c>
      <c r="Q1593" s="8" t="s">
        <v>1577</v>
      </c>
      <c r="R1593" s="8">
        <v>87</v>
      </c>
      <c r="S1593" s="11">
        <v>60.43749968843616</v>
      </c>
      <c r="T1593" s="11">
        <v>0.2608695652173913</v>
      </c>
      <c r="U1593" s="11">
        <v>6.739130434782608</v>
      </c>
      <c r="V1593" s="11">
        <v>5.739130434782608</v>
      </c>
      <c r="W1593" s="11">
        <v>148.2608695652174</v>
      </c>
      <c r="X1593" s="8" t="s">
        <v>1578</v>
      </c>
    </row>
    <row r="1594" spans="1:24" ht="25" customHeight="1">
      <c r="A1594" s="12">
        <v>5621</v>
      </c>
      <c r="B1594" s="8">
        <v>2</v>
      </c>
      <c r="C1594" s="8" t="s">
        <v>716</v>
      </c>
      <c r="D1594" s="8" t="s">
        <v>120</v>
      </c>
      <c r="E1594" s="8" t="s">
        <v>1579</v>
      </c>
      <c r="F1594" s="8">
        <v>23</v>
      </c>
      <c r="G1594" s="8">
        <v>1</v>
      </c>
      <c r="H1594" s="11">
        <v>0.04347826086956522</v>
      </c>
      <c r="I1594" s="11">
        <v>0.006211180124223602</v>
      </c>
      <c r="J1594" s="8">
        <v>7</v>
      </c>
      <c r="K1594" s="8">
        <v>1</v>
      </c>
      <c r="L1594" s="8">
        <v>22</v>
      </c>
      <c r="M1594" s="8">
        <v>0</v>
      </c>
      <c r="N1594" s="8">
        <v>138</v>
      </c>
      <c r="O1594" s="11">
        <v>0.01400510309475743</v>
      </c>
      <c r="P1594" s="8" t="s">
        <v>704</v>
      </c>
      <c r="Q1594" s="8" t="s">
        <v>1580</v>
      </c>
      <c r="R1594" s="8">
        <v>88</v>
      </c>
      <c r="S1594" s="11">
        <v>62.36475709322186</v>
      </c>
      <c r="T1594" s="11">
        <v>0.1428571428571428</v>
      </c>
      <c r="U1594" s="11">
        <v>22.85714285714286</v>
      </c>
      <c r="V1594" s="11">
        <v>0.8571428571428571</v>
      </c>
      <c r="W1594" s="11">
        <v>137.1428571428571</v>
      </c>
      <c r="X1594" s="8" t="s">
        <v>1518</v>
      </c>
    </row>
    <row r="1595" spans="1:24" ht="25" customHeight="1">
      <c r="A1595" s="12">
        <v>5622</v>
      </c>
      <c r="B1595" s="8">
        <v>2</v>
      </c>
      <c r="C1595" s="8" t="s">
        <v>716</v>
      </c>
      <c r="D1595" s="8" t="s">
        <v>120</v>
      </c>
      <c r="E1595" s="8" t="s">
        <v>819</v>
      </c>
      <c r="F1595" s="8">
        <v>23</v>
      </c>
      <c r="G1595" s="8">
        <v>1</v>
      </c>
      <c r="H1595" s="11">
        <v>0.04347826086956522</v>
      </c>
      <c r="I1595" s="11">
        <v>0.04347826086956522</v>
      </c>
      <c r="J1595" s="8">
        <v>1</v>
      </c>
      <c r="K1595" s="8">
        <v>1</v>
      </c>
      <c r="L1595" s="8">
        <v>22</v>
      </c>
      <c r="M1595" s="8">
        <v>6</v>
      </c>
      <c r="N1595" s="8">
        <v>132</v>
      </c>
      <c r="O1595" s="8">
        <v>1</v>
      </c>
      <c r="P1595" s="8" t="s">
        <v>704</v>
      </c>
      <c r="Q1595" s="8" t="s">
        <v>1581</v>
      </c>
      <c r="R1595" s="8">
        <v>89</v>
      </c>
      <c r="S1595" s="11">
        <v>49.43478260869565</v>
      </c>
      <c r="T1595" s="8">
        <v>1</v>
      </c>
      <c r="U1595" s="8">
        <v>22</v>
      </c>
      <c r="V1595" s="8">
        <v>6</v>
      </c>
      <c r="W1595" s="8">
        <v>132</v>
      </c>
      <c r="X1595" s="8" t="s">
        <v>1582</v>
      </c>
    </row>
    <row r="1596" spans="1:24" ht="25" customHeight="1">
      <c r="A1596" s="12">
        <v>5623</v>
      </c>
      <c r="B1596" s="8">
        <v>2</v>
      </c>
      <c r="C1596" s="8" t="s">
        <v>716</v>
      </c>
      <c r="D1596" s="8" t="s">
        <v>120</v>
      </c>
      <c r="E1596" s="8" t="s">
        <v>1583</v>
      </c>
      <c r="F1596" s="8">
        <v>23</v>
      </c>
      <c r="G1596" s="8">
        <v>1</v>
      </c>
      <c r="H1596" s="11">
        <v>0.04347826086956522</v>
      </c>
      <c r="I1596" s="11">
        <v>0.006211180124223602</v>
      </c>
      <c r="J1596" s="8">
        <v>7</v>
      </c>
      <c r="K1596" s="8">
        <v>1</v>
      </c>
      <c r="L1596" s="8">
        <v>22</v>
      </c>
      <c r="M1596" s="8">
        <v>0</v>
      </c>
      <c r="N1596" s="8">
        <v>138</v>
      </c>
      <c r="O1596" s="11">
        <v>0.01400510309475743</v>
      </c>
      <c r="P1596" s="8" t="s">
        <v>704</v>
      </c>
      <c r="Q1596" s="8" t="s">
        <v>1584</v>
      </c>
      <c r="R1596" s="8">
        <v>90</v>
      </c>
      <c r="S1596" s="11">
        <v>62.36475709322186</v>
      </c>
      <c r="T1596" s="11">
        <v>0.1428571428571428</v>
      </c>
      <c r="U1596" s="11">
        <v>22.85714285714286</v>
      </c>
      <c r="V1596" s="11">
        <v>0.8571428571428571</v>
      </c>
      <c r="W1596" s="11">
        <v>137.1428571428571</v>
      </c>
      <c r="X1596" s="8" t="s">
        <v>1518</v>
      </c>
    </row>
    <row r="1597" spans="1:24" ht="25" customHeight="1">
      <c r="A1597" s="12">
        <v>5624</v>
      </c>
      <c r="B1597" s="8">
        <v>2</v>
      </c>
      <c r="C1597" s="8" t="s">
        <v>720</v>
      </c>
      <c r="D1597" s="8" t="s">
        <v>120</v>
      </c>
      <c r="E1597" s="8" t="s">
        <v>819</v>
      </c>
      <c r="F1597" s="8">
        <v>5</v>
      </c>
      <c r="G1597" s="8">
        <v>1</v>
      </c>
      <c r="H1597" s="11">
        <v>0.2</v>
      </c>
      <c r="I1597" s="11">
        <v>0.04347826086956522</v>
      </c>
      <c r="J1597" s="11">
        <v>4.600000000000001</v>
      </c>
      <c r="K1597" s="8">
        <v>1</v>
      </c>
      <c r="L1597" s="8">
        <v>4</v>
      </c>
      <c r="M1597" s="8">
        <v>6</v>
      </c>
      <c r="N1597" s="8">
        <v>150</v>
      </c>
      <c r="O1597" s="11">
        <v>0.08124291646965928</v>
      </c>
      <c r="P1597" s="8" t="s">
        <v>704</v>
      </c>
      <c r="Q1597" s="8" t="s">
        <v>1585</v>
      </c>
      <c r="R1597" s="8">
        <v>91</v>
      </c>
      <c r="S1597" s="11">
        <v>62.7937854176517</v>
      </c>
      <c r="T1597" s="11">
        <v>0.2173913043478261</v>
      </c>
      <c r="U1597" s="11">
        <v>4.782608695652174</v>
      </c>
      <c r="V1597" s="11">
        <v>6.782608695652174</v>
      </c>
      <c r="W1597" s="11">
        <v>149.2173913043478</v>
      </c>
      <c r="X1597" s="8" t="s">
        <v>1586</v>
      </c>
    </row>
    <row r="1598" spans="1:24" ht="25" customHeight="1">
      <c r="A1598" s="12">
        <v>5625</v>
      </c>
      <c r="B1598" s="8">
        <v>2</v>
      </c>
      <c r="C1598" s="8" t="s">
        <v>720</v>
      </c>
      <c r="D1598" s="8" t="s">
        <v>120</v>
      </c>
      <c r="E1598" s="8" t="s">
        <v>823</v>
      </c>
      <c r="F1598" s="8">
        <v>5</v>
      </c>
      <c r="G1598" s="8">
        <v>1</v>
      </c>
      <c r="H1598" s="11">
        <v>0.2</v>
      </c>
      <c r="I1598" s="11">
        <v>0.04347826086956522</v>
      </c>
      <c r="J1598" s="11">
        <v>4.600000000000001</v>
      </c>
      <c r="K1598" s="8">
        <v>1</v>
      </c>
      <c r="L1598" s="8">
        <v>4</v>
      </c>
      <c r="M1598" s="8">
        <v>6</v>
      </c>
      <c r="N1598" s="8">
        <v>150</v>
      </c>
      <c r="O1598" s="11">
        <v>0.08124291646965928</v>
      </c>
      <c r="P1598" s="8" t="s">
        <v>704</v>
      </c>
      <c r="Q1598" s="8" t="s">
        <v>1587</v>
      </c>
      <c r="R1598" s="8">
        <v>92</v>
      </c>
      <c r="S1598" s="11">
        <v>62.7937854176517</v>
      </c>
      <c r="T1598" s="11">
        <v>0.2173913043478261</v>
      </c>
      <c r="U1598" s="11">
        <v>4.782608695652174</v>
      </c>
      <c r="V1598" s="11">
        <v>6.782608695652174</v>
      </c>
      <c r="W1598" s="11">
        <v>149.2173913043478</v>
      </c>
      <c r="X1598" s="8" t="s">
        <v>1586</v>
      </c>
    </row>
    <row r="1599" spans="1:24" ht="25" customHeight="1">
      <c r="A1599" s="12">
        <v>5626</v>
      </c>
      <c r="B1599" s="8">
        <v>2</v>
      </c>
      <c r="C1599" s="8" t="s">
        <v>720</v>
      </c>
      <c r="D1599" s="8" t="s">
        <v>803</v>
      </c>
      <c r="E1599" s="8" t="s">
        <v>1503</v>
      </c>
      <c r="F1599" s="8">
        <v>3</v>
      </c>
      <c r="G1599" s="8">
        <v>1</v>
      </c>
      <c r="H1599" s="11">
        <v>0.3333333333333333</v>
      </c>
      <c r="I1599" s="11">
        <v>0.0124223602484472</v>
      </c>
      <c r="J1599" s="11">
        <v>26.83333333333333</v>
      </c>
      <c r="K1599" s="8">
        <v>1</v>
      </c>
      <c r="L1599" s="8">
        <v>2</v>
      </c>
      <c r="M1599" s="8">
        <v>1</v>
      </c>
      <c r="N1599" s="8">
        <v>157</v>
      </c>
      <c r="O1599" s="11">
        <v>4.068415411113149E-07</v>
      </c>
      <c r="P1599" s="8" t="s">
        <v>704</v>
      </c>
      <c r="Q1599" s="8" t="s">
        <v>1588</v>
      </c>
      <c r="R1599" s="8">
        <v>93</v>
      </c>
      <c r="S1599" s="11">
        <v>65.33333129912563</v>
      </c>
      <c r="T1599" s="11">
        <v>0.03726708074534162</v>
      </c>
      <c r="U1599" s="11">
        <v>2.962732919254659</v>
      </c>
      <c r="V1599" s="11">
        <v>1.962732919254658</v>
      </c>
      <c r="W1599" s="11">
        <v>156.0372670807454</v>
      </c>
      <c r="X1599" s="8" t="s">
        <v>1589</v>
      </c>
    </row>
    <row r="1600" spans="1:24" ht="25" customHeight="1">
      <c r="A1600" s="12">
        <v>5627</v>
      </c>
      <c r="B1600" s="8">
        <v>2</v>
      </c>
      <c r="C1600" s="8" t="s">
        <v>720</v>
      </c>
      <c r="D1600" s="8" t="s">
        <v>803</v>
      </c>
      <c r="E1600" s="8" t="s">
        <v>816</v>
      </c>
      <c r="F1600" s="8">
        <v>3</v>
      </c>
      <c r="G1600" s="8">
        <v>1</v>
      </c>
      <c r="H1600" s="11">
        <v>0.3333333333333333</v>
      </c>
      <c r="I1600" s="11">
        <v>0.1490683229813665</v>
      </c>
      <c r="J1600" s="11">
        <v>2.236111111111111</v>
      </c>
      <c r="K1600" s="8">
        <v>1</v>
      </c>
      <c r="L1600" s="8">
        <v>2</v>
      </c>
      <c r="M1600" s="8">
        <v>23</v>
      </c>
      <c r="N1600" s="8">
        <v>135</v>
      </c>
      <c r="O1600" s="11">
        <v>0.3656869545273346</v>
      </c>
      <c r="P1600" s="8" t="s">
        <v>704</v>
      </c>
      <c r="Q1600" s="8" t="s">
        <v>1590</v>
      </c>
      <c r="R1600" s="8">
        <v>94</v>
      </c>
      <c r="S1600" s="11">
        <v>57.97712078291888</v>
      </c>
      <c r="T1600" s="11">
        <v>0.4472049689440994</v>
      </c>
      <c r="U1600" s="11">
        <v>2.552795031055901</v>
      </c>
      <c r="V1600" s="11">
        <v>23.5527950310559</v>
      </c>
      <c r="W1600" s="11">
        <v>134.4472049689441</v>
      </c>
      <c r="X1600" s="8" t="s">
        <v>1591</v>
      </c>
    </row>
    <row r="1601" spans="1:24" ht="25" customHeight="1">
      <c r="A1601" s="12">
        <v>5628</v>
      </c>
      <c r="B1601" s="8">
        <v>2</v>
      </c>
      <c r="C1601" s="8" t="s">
        <v>716</v>
      </c>
      <c r="D1601" s="8" t="s">
        <v>120</v>
      </c>
      <c r="E1601" s="8" t="s">
        <v>818</v>
      </c>
      <c r="F1601" s="8">
        <v>23</v>
      </c>
      <c r="G1601" s="8">
        <v>1</v>
      </c>
      <c r="H1601" s="11">
        <v>0.04347826086956522</v>
      </c>
      <c r="I1601" s="11">
        <v>0.02484472049689441</v>
      </c>
      <c r="J1601" s="11">
        <v>1.75</v>
      </c>
      <c r="K1601" s="8">
        <v>1</v>
      </c>
      <c r="L1601" s="8">
        <v>22</v>
      </c>
      <c r="M1601" s="8">
        <v>3</v>
      </c>
      <c r="N1601" s="8">
        <v>135</v>
      </c>
      <c r="O1601" s="11">
        <v>0.5351759588458636</v>
      </c>
      <c r="P1601" s="8" t="s">
        <v>704</v>
      </c>
      <c r="Q1601" s="8" t="s">
        <v>1592</v>
      </c>
      <c r="R1601" s="8">
        <v>95</v>
      </c>
      <c r="S1601" s="11">
        <v>53.25890281446633</v>
      </c>
      <c r="T1601" s="11">
        <v>0.5714285714285714</v>
      </c>
      <c r="U1601" s="11">
        <v>22.42857142857143</v>
      </c>
      <c r="V1601" s="11">
        <v>3.428571428571428</v>
      </c>
      <c r="W1601" s="11">
        <v>134.5714285714286</v>
      </c>
      <c r="X1601" s="8" t="s">
        <v>1593</v>
      </c>
    </row>
    <row r="1602" spans="1:24" ht="25" customHeight="1">
      <c r="A1602" s="12">
        <v>5629</v>
      </c>
      <c r="B1602" s="8">
        <v>2</v>
      </c>
      <c r="C1602" s="8" t="s">
        <v>720</v>
      </c>
      <c r="D1602" s="8" t="s">
        <v>803</v>
      </c>
      <c r="E1602" s="8" t="s">
        <v>818</v>
      </c>
      <c r="F1602" s="8">
        <v>3</v>
      </c>
      <c r="G1602" s="8">
        <v>1</v>
      </c>
      <c r="H1602" s="11">
        <v>0.3333333333333333</v>
      </c>
      <c r="I1602" s="11">
        <v>0.02484472049689441</v>
      </c>
      <c r="J1602" s="11">
        <v>13.41666666666667</v>
      </c>
      <c r="K1602" s="8">
        <v>1</v>
      </c>
      <c r="L1602" s="8">
        <v>2</v>
      </c>
      <c r="M1602" s="8">
        <v>3</v>
      </c>
      <c r="N1602" s="8">
        <v>155</v>
      </c>
      <c r="O1602" s="11">
        <v>0.0005298072997867777</v>
      </c>
      <c r="P1602" s="8" t="s">
        <v>704</v>
      </c>
      <c r="Q1602" s="8" t="s">
        <v>1594</v>
      </c>
      <c r="R1602" s="8">
        <v>96</v>
      </c>
      <c r="S1602" s="11">
        <v>65.33068429683441</v>
      </c>
      <c r="T1602" s="11">
        <v>0.07453416149068323</v>
      </c>
      <c r="U1602" s="11">
        <v>2.925465838509317</v>
      </c>
      <c r="V1602" s="11">
        <v>3.925465838509317</v>
      </c>
      <c r="W1602" s="11">
        <v>154.0745341614907</v>
      </c>
      <c r="X1602" s="8" t="s">
        <v>1595</v>
      </c>
    </row>
    <row r="1603" spans="1:24" ht="25" customHeight="1">
      <c r="A1603" s="12">
        <v>5630</v>
      </c>
      <c r="B1603" s="8">
        <v>2</v>
      </c>
      <c r="C1603" s="8" t="s">
        <v>720</v>
      </c>
      <c r="D1603" s="8" t="s">
        <v>123</v>
      </c>
      <c r="E1603" s="8" t="s">
        <v>824</v>
      </c>
      <c r="F1603" s="8">
        <v>1</v>
      </c>
      <c r="G1603" s="8">
        <v>1</v>
      </c>
      <c r="H1603" s="8">
        <v>1</v>
      </c>
      <c r="I1603" s="11">
        <v>0.03105590062111801</v>
      </c>
      <c r="J1603" s="11">
        <v>32.2</v>
      </c>
      <c r="K1603" s="8">
        <v>1</v>
      </c>
      <c r="L1603" s="8">
        <v>0</v>
      </c>
      <c r="M1603" s="8">
        <v>4</v>
      </c>
      <c r="N1603" s="8">
        <v>156</v>
      </c>
      <c r="O1603" s="11">
        <v>2.105223472609622E-08</v>
      </c>
      <c r="P1603" s="8" t="s">
        <v>704</v>
      </c>
      <c r="Q1603" s="8" t="s">
        <v>1596</v>
      </c>
      <c r="R1603" s="8">
        <v>97</v>
      </c>
      <c r="S1603" s="11">
        <v>71.99999989473882</v>
      </c>
      <c r="T1603" s="11">
        <v>0.03105590062111801</v>
      </c>
      <c r="U1603" s="11">
        <v>0.968944099378882</v>
      </c>
      <c r="V1603" s="11">
        <v>4.968944099378882</v>
      </c>
      <c r="W1603" s="11">
        <v>155.0310559006211</v>
      </c>
      <c r="X1603" s="8" t="s">
        <v>1597</v>
      </c>
    </row>
    <row r="1604" spans="1:24" ht="25" customHeight="1">
      <c r="A1604" s="12">
        <v>5631</v>
      </c>
      <c r="B1604" s="8">
        <v>2</v>
      </c>
      <c r="C1604" s="8" t="s">
        <v>716</v>
      </c>
      <c r="D1604" s="8" t="s">
        <v>802</v>
      </c>
      <c r="E1604" s="8" t="s">
        <v>816</v>
      </c>
      <c r="F1604" s="8">
        <v>1</v>
      </c>
      <c r="G1604" s="8">
        <v>1</v>
      </c>
      <c r="H1604" s="8">
        <v>1</v>
      </c>
      <c r="I1604" s="11">
        <v>0.1490683229813665</v>
      </c>
      <c r="J1604" s="11">
        <v>6.708333333333333</v>
      </c>
      <c r="K1604" s="8">
        <v>1</v>
      </c>
      <c r="L1604" s="8">
        <v>0</v>
      </c>
      <c r="M1604" s="8">
        <v>23</v>
      </c>
      <c r="N1604" s="8">
        <v>137</v>
      </c>
      <c r="O1604" s="11">
        <v>0.0165449737638454</v>
      </c>
      <c r="P1604" s="8" t="s">
        <v>704</v>
      </c>
      <c r="Q1604" s="8" t="s">
        <v>1598</v>
      </c>
      <c r="R1604" s="8">
        <v>98</v>
      </c>
      <c r="S1604" s="11">
        <v>71.91727513118077</v>
      </c>
      <c r="T1604" s="11">
        <v>0.1490683229813665</v>
      </c>
      <c r="U1604" s="11">
        <v>0.8509316770186336</v>
      </c>
      <c r="V1604" s="11">
        <v>23.85093167701863</v>
      </c>
      <c r="W1604" s="11">
        <v>136.1490683229814</v>
      </c>
      <c r="X1604" s="8" t="s">
        <v>1599</v>
      </c>
    </row>
    <row r="1605" spans="1:24" ht="25" customHeight="1">
      <c r="A1605" s="12">
        <v>5632</v>
      </c>
      <c r="B1605" s="8">
        <v>2</v>
      </c>
      <c r="C1605" s="8" t="s">
        <v>716</v>
      </c>
      <c r="D1605" s="8" t="s">
        <v>120</v>
      </c>
      <c r="E1605" s="8" t="s">
        <v>1600</v>
      </c>
      <c r="F1605" s="8">
        <v>23</v>
      </c>
      <c r="G1605" s="8">
        <v>1</v>
      </c>
      <c r="H1605" s="11">
        <v>0.04347826086956522</v>
      </c>
      <c r="I1605" s="11">
        <v>0.006211180124223602</v>
      </c>
      <c r="J1605" s="8">
        <v>7</v>
      </c>
      <c r="K1605" s="8">
        <v>1</v>
      </c>
      <c r="L1605" s="8">
        <v>22</v>
      </c>
      <c r="M1605" s="8">
        <v>0</v>
      </c>
      <c r="N1605" s="8">
        <v>138</v>
      </c>
      <c r="O1605" s="11">
        <v>0.01400510309475743</v>
      </c>
      <c r="P1605" s="8" t="s">
        <v>704</v>
      </c>
      <c r="Q1605" s="8" t="s">
        <v>1601</v>
      </c>
      <c r="R1605" s="8">
        <v>99</v>
      </c>
      <c r="S1605" s="11">
        <v>62.36475709322186</v>
      </c>
      <c r="T1605" s="11">
        <v>0.1428571428571428</v>
      </c>
      <c r="U1605" s="11">
        <v>22.85714285714286</v>
      </c>
      <c r="V1605" s="11">
        <v>0.8571428571428571</v>
      </c>
      <c r="W1605" s="11">
        <v>137.1428571428571</v>
      </c>
      <c r="X1605" s="8" t="s">
        <v>1518</v>
      </c>
    </row>
    <row r="1606" spans="1:24" ht="25" customHeight="1">
      <c r="A1606" s="12">
        <v>5633</v>
      </c>
      <c r="B1606" s="8">
        <v>2</v>
      </c>
      <c r="C1606" s="8" t="s">
        <v>720</v>
      </c>
      <c r="D1606" s="8" t="s">
        <v>802</v>
      </c>
      <c r="E1606" s="8" t="s">
        <v>824</v>
      </c>
      <c r="F1606" s="8">
        <v>2</v>
      </c>
      <c r="G1606" s="8">
        <v>1</v>
      </c>
      <c r="H1606" s="11">
        <v>0.5</v>
      </c>
      <c r="I1606" s="11">
        <v>0.03105590062111801</v>
      </c>
      <c r="J1606" s="11">
        <v>16.1</v>
      </c>
      <c r="K1606" s="8">
        <v>1</v>
      </c>
      <c r="L1606" s="8">
        <v>1</v>
      </c>
      <c r="M1606" s="8">
        <v>4</v>
      </c>
      <c r="N1606" s="8">
        <v>155</v>
      </c>
      <c r="O1606" s="11">
        <v>0.0001195434241716867</v>
      </c>
      <c r="P1606" s="8" t="s">
        <v>704</v>
      </c>
      <c r="Q1606" s="8" t="s">
        <v>1602</v>
      </c>
      <c r="R1606" s="8">
        <v>100</v>
      </c>
      <c r="S1606" s="11">
        <v>66.99940228287915</v>
      </c>
      <c r="T1606" s="11">
        <v>0.06211180124223602</v>
      </c>
      <c r="U1606" s="11">
        <v>1.937888198757764</v>
      </c>
      <c r="V1606" s="11">
        <v>4.937888198757764</v>
      </c>
      <c r="W1606" s="11">
        <v>154.0621118012422</v>
      </c>
      <c r="X1606" s="8" t="s">
        <v>1603</v>
      </c>
    </row>
    <row r="1607" spans="1:24" ht="25" customHeight="1">
      <c r="A1607" s="12">
        <v>5634</v>
      </c>
      <c r="B1607" s="8">
        <v>2</v>
      </c>
      <c r="C1607" s="8" t="s">
        <v>720</v>
      </c>
      <c r="D1607" s="8" t="s">
        <v>802</v>
      </c>
      <c r="E1607" s="8" t="s">
        <v>1509</v>
      </c>
      <c r="F1607" s="8">
        <v>2</v>
      </c>
      <c r="G1607" s="8">
        <v>1</v>
      </c>
      <c r="H1607" s="11">
        <v>0.5</v>
      </c>
      <c r="I1607" s="11">
        <v>0.0124223602484472</v>
      </c>
      <c r="J1607" s="11">
        <v>40.25</v>
      </c>
      <c r="K1607" s="8">
        <v>1</v>
      </c>
      <c r="L1607" s="8">
        <v>1</v>
      </c>
      <c r="M1607" s="8">
        <v>1</v>
      </c>
      <c r="N1607" s="8">
        <v>158</v>
      </c>
      <c r="O1607" s="11">
        <v>3.7405621346713E-10</v>
      </c>
      <c r="P1607" s="8" t="s">
        <v>704</v>
      </c>
      <c r="Q1607" s="8" t="s">
        <v>1604</v>
      </c>
      <c r="R1607" s="8">
        <v>101</v>
      </c>
      <c r="S1607" s="11">
        <v>66.99999999812972</v>
      </c>
      <c r="T1607" s="11">
        <v>0.02484472049689441</v>
      </c>
      <c r="U1607" s="11">
        <v>1.975155279503106</v>
      </c>
      <c r="V1607" s="11">
        <v>1.975155279503106</v>
      </c>
      <c r="W1607" s="11">
        <v>157.0248447204969</v>
      </c>
      <c r="X1607" s="8" t="s">
        <v>1335</v>
      </c>
    </row>
    <row r="1608" spans="1:24" ht="25" customHeight="1">
      <c r="A1608" s="12">
        <v>5635</v>
      </c>
      <c r="B1608" s="8">
        <v>2</v>
      </c>
      <c r="C1608" s="8" t="s">
        <v>711</v>
      </c>
      <c r="D1608" s="8" t="s">
        <v>803</v>
      </c>
      <c r="E1608" s="8" t="s">
        <v>816</v>
      </c>
      <c r="F1608" s="8">
        <v>1</v>
      </c>
      <c r="G1608" s="8">
        <v>1</v>
      </c>
      <c r="H1608" s="8">
        <v>1</v>
      </c>
      <c r="I1608" s="11">
        <v>0.1490683229813665</v>
      </c>
      <c r="J1608" s="11">
        <v>6.708333333333333</v>
      </c>
      <c r="K1608" s="8">
        <v>1</v>
      </c>
      <c r="L1608" s="8">
        <v>0</v>
      </c>
      <c r="M1608" s="8">
        <v>23</v>
      </c>
      <c r="N1608" s="8">
        <v>137</v>
      </c>
      <c r="O1608" s="11">
        <v>0.0165449737638454</v>
      </c>
      <c r="P1608" s="8" t="s">
        <v>704</v>
      </c>
      <c r="Q1608" s="8" t="s">
        <v>1605</v>
      </c>
      <c r="R1608" s="8">
        <v>102</v>
      </c>
      <c r="S1608" s="11">
        <v>71.91727513118077</v>
      </c>
      <c r="T1608" s="11">
        <v>0.1490683229813665</v>
      </c>
      <c r="U1608" s="11">
        <v>0.8509316770186336</v>
      </c>
      <c r="V1608" s="11">
        <v>23.85093167701863</v>
      </c>
      <c r="W1608" s="11">
        <v>136.1490683229814</v>
      </c>
      <c r="X1608" s="8" t="s">
        <v>1606</v>
      </c>
    </row>
    <row r="1609" spans="1:24" ht="25" customHeight="1">
      <c r="A1609" s="12">
        <v>5636</v>
      </c>
      <c r="B1609" s="8">
        <v>2</v>
      </c>
      <c r="C1609" s="8" t="s">
        <v>720</v>
      </c>
      <c r="D1609" s="8" t="s">
        <v>120</v>
      </c>
      <c r="E1609" s="8" t="s">
        <v>824</v>
      </c>
      <c r="F1609" s="8">
        <v>5</v>
      </c>
      <c r="G1609" s="8">
        <v>1</v>
      </c>
      <c r="H1609" s="11">
        <v>0.2</v>
      </c>
      <c r="I1609" s="11">
        <v>0.03105590062111801</v>
      </c>
      <c r="J1609" s="11">
        <v>6.44</v>
      </c>
      <c r="K1609" s="8">
        <v>1</v>
      </c>
      <c r="L1609" s="8">
        <v>4</v>
      </c>
      <c r="M1609" s="8">
        <v>4</v>
      </c>
      <c r="N1609" s="8">
        <v>152</v>
      </c>
      <c r="O1609" s="11">
        <v>0.02694129184709216</v>
      </c>
      <c r="P1609" s="8" t="s">
        <v>704</v>
      </c>
      <c r="Q1609" s="8" t="s">
        <v>1607</v>
      </c>
      <c r="R1609" s="8">
        <v>103</v>
      </c>
      <c r="S1609" s="11">
        <v>63.86529354076454</v>
      </c>
      <c r="T1609" s="11">
        <v>0.15527950310559</v>
      </c>
      <c r="U1609" s="11">
        <v>4.84472049689441</v>
      </c>
      <c r="V1609" s="11">
        <v>4.84472049689441</v>
      </c>
      <c r="W1609" s="11">
        <v>151.1552795031056</v>
      </c>
      <c r="X1609" s="8" t="s">
        <v>1608</v>
      </c>
    </row>
    <row r="1610" spans="1:24" ht="25" customHeight="1">
      <c r="A1610" s="12">
        <v>5637</v>
      </c>
      <c r="B1610" s="8">
        <v>3</v>
      </c>
      <c r="C1610" s="8" t="s">
        <v>716</v>
      </c>
      <c r="D1610" s="8" t="s">
        <v>120</v>
      </c>
      <c r="E1610" s="8" t="s">
        <v>1494</v>
      </c>
      <c r="F1610" s="8">
        <v>13</v>
      </c>
      <c r="G1610" s="8">
        <v>1</v>
      </c>
      <c r="H1610" s="11">
        <v>0.07692307692307693</v>
      </c>
      <c r="I1610" s="11">
        <v>0.0124223602484472</v>
      </c>
      <c r="J1610" s="11">
        <v>6.192307692307693</v>
      </c>
      <c r="K1610" s="8">
        <v>1</v>
      </c>
      <c r="L1610" s="8">
        <v>12</v>
      </c>
      <c r="M1610" s="8">
        <v>1</v>
      </c>
      <c r="N1610" s="8">
        <v>147</v>
      </c>
      <c r="O1610" s="11">
        <v>0.02852917502794006</v>
      </c>
      <c r="P1610" s="8" t="s">
        <v>704</v>
      </c>
      <c r="Q1610" s="8" t="s">
        <v>1609</v>
      </c>
      <c r="R1610" s="8">
        <v>104</v>
      </c>
      <c r="S1610" s="11">
        <v>62.62658489409107</v>
      </c>
      <c r="T1610" s="11">
        <v>0.1614906832298137</v>
      </c>
      <c r="U1610" s="11">
        <v>12.83850931677019</v>
      </c>
      <c r="V1610" s="11">
        <v>1.838509316770186</v>
      </c>
      <c r="W1610" s="11">
        <v>146.1614906832298</v>
      </c>
      <c r="X1610" s="8" t="s">
        <v>1610</v>
      </c>
    </row>
    <row r="1611" spans="1:24" ht="25" customHeight="1">
      <c r="A1611" s="12">
        <v>5638</v>
      </c>
      <c r="B1611" s="8">
        <v>3</v>
      </c>
      <c r="C1611" s="8" t="s">
        <v>716</v>
      </c>
      <c r="D1611" s="8" t="s">
        <v>120</v>
      </c>
      <c r="E1611" s="8" t="s">
        <v>819</v>
      </c>
      <c r="F1611" s="8">
        <v>13</v>
      </c>
      <c r="G1611" s="8">
        <v>1</v>
      </c>
      <c r="H1611" s="11">
        <v>0.07692307692307693</v>
      </c>
      <c r="I1611" s="11">
        <v>0.04347826086956522</v>
      </c>
      <c r="J1611" s="11">
        <v>1.769230769230769</v>
      </c>
      <c r="K1611" s="8">
        <v>1</v>
      </c>
      <c r="L1611" s="8">
        <v>12</v>
      </c>
      <c r="M1611" s="8">
        <v>6</v>
      </c>
      <c r="N1611" s="8">
        <v>142</v>
      </c>
      <c r="O1611" s="11">
        <v>0.5374090928990641</v>
      </c>
      <c r="P1611" s="8" t="s">
        <v>704</v>
      </c>
      <c r="Q1611" s="8" t="s">
        <v>1611</v>
      </c>
      <c r="R1611" s="8">
        <v>105</v>
      </c>
      <c r="S1611" s="11">
        <v>53.62064684319699</v>
      </c>
      <c r="T1611" s="11">
        <v>0.5652173913043478</v>
      </c>
      <c r="U1611" s="11">
        <v>12.43478260869565</v>
      </c>
      <c r="V1611" s="11">
        <v>6.434782608695652</v>
      </c>
      <c r="W1611" s="11">
        <v>141.5652173913043</v>
      </c>
      <c r="X1611" s="8" t="s">
        <v>1612</v>
      </c>
    </row>
    <row r="1612" spans="1:24" ht="25" customHeight="1">
      <c r="A1612" s="12">
        <v>5639</v>
      </c>
      <c r="B1612" s="8">
        <v>3</v>
      </c>
      <c r="C1612" s="8" t="s">
        <v>716</v>
      </c>
      <c r="D1612" s="8" t="s">
        <v>120</v>
      </c>
      <c r="E1612" s="8" t="s">
        <v>820</v>
      </c>
      <c r="F1612" s="8">
        <v>13</v>
      </c>
      <c r="G1612" s="8">
        <v>2</v>
      </c>
      <c r="H1612" s="11">
        <v>0.1538461538461539</v>
      </c>
      <c r="I1612" s="11">
        <v>0.03105590062111801</v>
      </c>
      <c r="J1612" s="11">
        <v>4.953846153846154</v>
      </c>
      <c r="K1612" s="8">
        <v>2</v>
      </c>
      <c r="L1612" s="8">
        <v>11</v>
      </c>
      <c r="M1612" s="8">
        <v>3</v>
      </c>
      <c r="N1612" s="8">
        <v>145</v>
      </c>
      <c r="O1612" s="11">
        <v>0.007769460639696521</v>
      </c>
      <c r="P1612" s="8" t="s">
        <v>704</v>
      </c>
      <c r="Q1612" s="8" t="s">
        <v>1613</v>
      </c>
      <c r="R1612" s="8">
        <v>106</v>
      </c>
      <c r="S1612" s="11">
        <v>65.40730654295537</v>
      </c>
      <c r="T1612" s="11">
        <v>0.4037267080745341</v>
      </c>
      <c r="U1612" s="11">
        <v>12.59627329192547</v>
      </c>
      <c r="V1612" s="11">
        <v>4.596273291925466</v>
      </c>
      <c r="W1612" s="11">
        <v>143.4037267080745</v>
      </c>
      <c r="X1612" s="8" t="s">
        <v>1614</v>
      </c>
    </row>
    <row r="1613" spans="1:24" ht="25" customHeight="1">
      <c r="A1613" s="12">
        <v>5640</v>
      </c>
      <c r="B1613" s="8">
        <v>3</v>
      </c>
      <c r="C1613" s="8" t="s">
        <v>706</v>
      </c>
      <c r="D1613" s="8" t="s">
        <v>842</v>
      </c>
      <c r="E1613" s="8" t="s">
        <v>815</v>
      </c>
      <c r="F1613" s="8">
        <v>1</v>
      </c>
      <c r="G1613" s="8">
        <v>1</v>
      </c>
      <c r="H1613" s="8">
        <v>1</v>
      </c>
      <c r="I1613" s="11">
        <v>0.04968944099378882</v>
      </c>
      <c r="J1613" s="11">
        <v>20.125</v>
      </c>
      <c r="K1613" s="8">
        <v>1</v>
      </c>
      <c r="L1613" s="8">
        <v>0</v>
      </c>
      <c r="M1613" s="8">
        <v>7</v>
      </c>
      <c r="N1613" s="8">
        <v>153</v>
      </c>
      <c r="O1613" s="11">
        <v>1.149993231507004E-05</v>
      </c>
      <c r="P1613" s="8" t="s">
        <v>704</v>
      </c>
      <c r="Q1613" s="8" t="s">
        <v>1615</v>
      </c>
      <c r="R1613" s="8">
        <v>107</v>
      </c>
      <c r="S1613" s="11">
        <v>71.99994250033842</v>
      </c>
      <c r="T1613" s="11">
        <v>0.04968944099378882</v>
      </c>
      <c r="U1613" s="11">
        <v>0.9503105590062112</v>
      </c>
      <c r="V1613" s="11">
        <v>7.950310559006211</v>
      </c>
      <c r="W1613" s="11">
        <v>152.0496894409938</v>
      </c>
      <c r="X1613" s="8" t="s">
        <v>1616</v>
      </c>
    </row>
    <row r="1614" spans="1:24" ht="25" customHeight="1">
      <c r="A1614" s="12">
        <v>5641</v>
      </c>
      <c r="B1614" s="8">
        <v>3</v>
      </c>
      <c r="C1614" s="8" t="s">
        <v>720</v>
      </c>
      <c r="D1614" s="8" t="s">
        <v>123</v>
      </c>
      <c r="E1614" s="8" t="s">
        <v>819</v>
      </c>
      <c r="F1614" s="8">
        <v>1</v>
      </c>
      <c r="G1614" s="8">
        <v>1</v>
      </c>
      <c r="H1614" s="8">
        <v>1</v>
      </c>
      <c r="I1614" s="11">
        <v>0.04347826086956522</v>
      </c>
      <c r="J1614" s="8">
        <v>23</v>
      </c>
      <c r="K1614" s="8">
        <v>1</v>
      </c>
      <c r="L1614" s="8">
        <v>0</v>
      </c>
      <c r="M1614" s="8">
        <v>6</v>
      </c>
      <c r="N1614" s="8">
        <v>154</v>
      </c>
      <c r="O1614" s="11">
        <v>2.538031489740095E-06</v>
      </c>
      <c r="P1614" s="8" t="s">
        <v>704</v>
      </c>
      <c r="Q1614" s="8" t="s">
        <v>1617</v>
      </c>
      <c r="R1614" s="8">
        <v>108</v>
      </c>
      <c r="S1614" s="11">
        <v>71.99998730984255</v>
      </c>
      <c r="T1614" s="11">
        <v>0.04347826086956522</v>
      </c>
      <c r="U1614" s="11">
        <v>0.9565217391304348</v>
      </c>
      <c r="V1614" s="11">
        <v>6.956521739130435</v>
      </c>
      <c r="W1614" s="11">
        <v>153.0434782608696</v>
      </c>
      <c r="X1614" s="8" t="s">
        <v>1618</v>
      </c>
    </row>
    <row r="1615" spans="1:24" ht="25" customHeight="1">
      <c r="A1615" s="12">
        <v>5642</v>
      </c>
      <c r="B1615" s="8">
        <v>3</v>
      </c>
      <c r="C1615" s="8" t="s">
        <v>711</v>
      </c>
      <c r="D1615" s="8" t="s">
        <v>877</v>
      </c>
      <c r="E1615" s="8" t="s">
        <v>1619</v>
      </c>
      <c r="F1615" s="8">
        <v>1</v>
      </c>
      <c r="G1615" s="8">
        <v>1</v>
      </c>
      <c r="H1615" s="8">
        <v>1</v>
      </c>
      <c r="I1615" s="11">
        <v>0.006211180124223602</v>
      </c>
      <c r="J1615" s="8">
        <v>161</v>
      </c>
      <c r="K1615" s="8">
        <v>1</v>
      </c>
      <c r="L1615" s="8">
        <v>0</v>
      </c>
      <c r="M1615" s="8">
        <v>0</v>
      </c>
      <c r="N1615" s="8">
        <v>160</v>
      </c>
      <c r="O1615" s="11">
        <v>6.841707543855235E-37</v>
      </c>
      <c r="P1615" s="8" t="s">
        <v>704</v>
      </c>
      <c r="Q1615" s="8" t="s">
        <v>1620</v>
      </c>
      <c r="R1615" s="8">
        <v>109</v>
      </c>
      <c r="S1615" s="8">
        <v>72</v>
      </c>
      <c r="T1615" s="11">
        <v>0.006211180124223602</v>
      </c>
      <c r="U1615" s="11">
        <v>0.9937888198757764</v>
      </c>
      <c r="V1615" s="11">
        <v>0.9937888198757764</v>
      </c>
      <c r="W1615" s="11">
        <v>159.0062111801242</v>
      </c>
      <c r="X1615" s="8" t="s">
        <v>1621</v>
      </c>
    </row>
    <row r="1616" spans="1:24" ht="25" customHeight="1">
      <c r="A1616" s="12">
        <v>5643</v>
      </c>
      <c r="B1616" s="8">
        <v>3</v>
      </c>
      <c r="C1616" s="8" t="s">
        <v>706</v>
      </c>
      <c r="D1616" s="8" t="s">
        <v>120</v>
      </c>
      <c r="E1616" s="8" t="s">
        <v>820</v>
      </c>
      <c r="F1616" s="8">
        <v>4</v>
      </c>
      <c r="G1616" s="8">
        <v>2</v>
      </c>
      <c r="H1616" s="11">
        <v>0.5</v>
      </c>
      <c r="I1616" s="11">
        <v>0.03105590062111801</v>
      </c>
      <c r="J1616" s="11">
        <v>16.1</v>
      </c>
      <c r="K1616" s="8">
        <v>2</v>
      </c>
      <c r="L1616" s="8">
        <v>2</v>
      </c>
      <c r="M1616" s="8">
        <v>3</v>
      </c>
      <c r="N1616" s="8">
        <v>154</v>
      </c>
      <c r="O1616" s="11">
        <v>4.372427580040225E-08</v>
      </c>
      <c r="P1616" s="8" t="s">
        <v>704</v>
      </c>
      <c r="Q1616" s="8" t="s">
        <v>1622</v>
      </c>
      <c r="R1616" s="8">
        <v>110</v>
      </c>
      <c r="S1616" s="11">
        <v>68.99999978137862</v>
      </c>
      <c r="T1616" s="11">
        <v>0.124223602484472</v>
      </c>
      <c r="U1616" s="11">
        <v>3.875776397515528</v>
      </c>
      <c r="V1616" s="11">
        <v>4.875776397515528</v>
      </c>
      <c r="W1616" s="11">
        <v>152.1242236024845</v>
      </c>
      <c r="X1616" s="8" t="s">
        <v>1623</v>
      </c>
    </row>
    <row r="1617" spans="1:24" ht="25" customHeight="1">
      <c r="A1617" s="12">
        <v>5644</v>
      </c>
      <c r="B1617" s="8">
        <v>3</v>
      </c>
      <c r="C1617" s="8" t="s">
        <v>711</v>
      </c>
      <c r="D1617" s="8" t="s">
        <v>120</v>
      </c>
      <c r="E1617" s="8" t="s">
        <v>1624</v>
      </c>
      <c r="F1617" s="8">
        <v>11</v>
      </c>
      <c r="G1617" s="8">
        <v>1</v>
      </c>
      <c r="H1617" s="11">
        <v>0.09090909090909091</v>
      </c>
      <c r="I1617" s="11">
        <v>0.006211180124223602</v>
      </c>
      <c r="J1617" s="11">
        <v>14.63636363636364</v>
      </c>
      <c r="K1617" s="8">
        <v>1</v>
      </c>
      <c r="L1617" s="8">
        <v>10</v>
      </c>
      <c r="M1617" s="8">
        <v>0</v>
      </c>
      <c r="N1617" s="8">
        <v>150</v>
      </c>
      <c r="O1617" s="11">
        <v>0.0002120032188649251</v>
      </c>
      <c r="P1617" s="8" t="s">
        <v>704</v>
      </c>
      <c r="Q1617" s="8" t="s">
        <v>1625</v>
      </c>
      <c r="R1617" s="8">
        <v>111</v>
      </c>
      <c r="S1617" s="11">
        <v>62.90803089299658</v>
      </c>
      <c r="T1617" s="11">
        <v>0.06832298136645963</v>
      </c>
      <c r="U1617" s="11">
        <v>10.93167701863354</v>
      </c>
      <c r="V1617" s="11">
        <v>0.9316770186335404</v>
      </c>
      <c r="W1617" s="11">
        <v>149.0683229813665</v>
      </c>
      <c r="X1617" s="8" t="s">
        <v>1626</v>
      </c>
    </row>
    <row r="1618" spans="1:24" ht="25" customHeight="1">
      <c r="A1618" s="12">
        <v>5645</v>
      </c>
      <c r="B1618" s="8">
        <v>3</v>
      </c>
      <c r="C1618" s="8" t="s">
        <v>716</v>
      </c>
      <c r="D1618" s="8" t="s">
        <v>120</v>
      </c>
      <c r="E1618" s="8" t="s">
        <v>821</v>
      </c>
      <c r="F1618" s="8">
        <v>13</v>
      </c>
      <c r="G1618" s="8">
        <v>2</v>
      </c>
      <c r="H1618" s="11">
        <v>0.1538461538461539</v>
      </c>
      <c r="I1618" s="11">
        <v>0.02484472049689441</v>
      </c>
      <c r="J1618" s="11">
        <v>6.192307692307693</v>
      </c>
      <c r="K1618" s="8">
        <v>2</v>
      </c>
      <c r="L1618" s="8">
        <v>11</v>
      </c>
      <c r="M1618" s="8">
        <v>2</v>
      </c>
      <c r="N1618" s="8">
        <v>146</v>
      </c>
      <c r="O1618" s="11">
        <v>0.001828904929473014</v>
      </c>
      <c r="P1618" s="8" t="s">
        <v>704</v>
      </c>
      <c r="Q1618" s="8" t="s">
        <v>1627</v>
      </c>
      <c r="R1618" s="8">
        <v>112</v>
      </c>
      <c r="S1618" s="11">
        <v>65.52931701381418</v>
      </c>
      <c r="T1618" s="11">
        <v>0.3229813664596273</v>
      </c>
      <c r="U1618" s="11">
        <v>12.67701863354037</v>
      </c>
      <c r="V1618" s="11">
        <v>3.677018633540373</v>
      </c>
      <c r="W1618" s="11">
        <v>144.3229813664596</v>
      </c>
      <c r="X1618" s="8" t="s">
        <v>1628</v>
      </c>
    </row>
    <row r="1619" spans="1:24" ht="25" customHeight="1">
      <c r="A1619" s="12">
        <v>5646</v>
      </c>
      <c r="B1619" s="8">
        <v>3</v>
      </c>
      <c r="C1619" s="8" t="s">
        <v>711</v>
      </c>
      <c r="D1619" s="8" t="s">
        <v>120</v>
      </c>
      <c r="E1619" s="8" t="s">
        <v>1629</v>
      </c>
      <c r="F1619" s="8">
        <v>11</v>
      </c>
      <c r="G1619" s="8">
        <v>1</v>
      </c>
      <c r="H1619" s="11">
        <v>0.09090909090909091</v>
      </c>
      <c r="I1619" s="11">
        <v>0.006211180124223602</v>
      </c>
      <c r="J1619" s="11">
        <v>14.63636363636364</v>
      </c>
      <c r="K1619" s="8">
        <v>1</v>
      </c>
      <c r="L1619" s="8">
        <v>10</v>
      </c>
      <c r="M1619" s="8">
        <v>0</v>
      </c>
      <c r="N1619" s="8">
        <v>150</v>
      </c>
      <c r="O1619" s="11">
        <v>0.0002120032188649251</v>
      </c>
      <c r="P1619" s="8" t="s">
        <v>704</v>
      </c>
      <c r="Q1619" s="8" t="s">
        <v>1630</v>
      </c>
      <c r="R1619" s="8">
        <v>113</v>
      </c>
      <c r="S1619" s="11">
        <v>62.90803089299658</v>
      </c>
      <c r="T1619" s="11">
        <v>0.06832298136645963</v>
      </c>
      <c r="U1619" s="11">
        <v>10.93167701863354</v>
      </c>
      <c r="V1619" s="11">
        <v>0.9316770186335404</v>
      </c>
      <c r="W1619" s="11">
        <v>149.0683229813665</v>
      </c>
      <c r="X1619" s="8" t="s">
        <v>1626</v>
      </c>
    </row>
    <row r="1620" spans="1:24" ht="25" customHeight="1">
      <c r="A1620" s="12">
        <v>5647</v>
      </c>
      <c r="B1620" s="8">
        <v>3</v>
      </c>
      <c r="C1620" s="8" t="s">
        <v>711</v>
      </c>
      <c r="D1620" s="8" t="s">
        <v>120</v>
      </c>
      <c r="E1620" s="8" t="s">
        <v>1523</v>
      </c>
      <c r="F1620" s="8">
        <v>11</v>
      </c>
      <c r="G1620" s="8">
        <v>1</v>
      </c>
      <c r="H1620" s="11">
        <v>0.09090909090909091</v>
      </c>
      <c r="I1620" s="11">
        <v>0.01863354037267081</v>
      </c>
      <c r="J1620" s="11">
        <v>4.878787878787879</v>
      </c>
      <c r="K1620" s="8">
        <v>1</v>
      </c>
      <c r="L1620" s="8">
        <v>10</v>
      </c>
      <c r="M1620" s="8">
        <v>2</v>
      </c>
      <c r="N1620" s="8">
        <v>148</v>
      </c>
      <c r="O1620" s="11">
        <v>0.06628322221157107</v>
      </c>
      <c r="P1620" s="8" t="s">
        <v>704</v>
      </c>
      <c r="Q1620" s="8" t="s">
        <v>1631</v>
      </c>
      <c r="R1620" s="8">
        <v>114</v>
      </c>
      <c r="S1620" s="11">
        <v>62.33525055560881</v>
      </c>
      <c r="T1620" s="11">
        <v>0.2049689440993789</v>
      </c>
      <c r="U1620" s="11">
        <v>10.79503105590062</v>
      </c>
      <c r="V1620" s="11">
        <v>2.795031055900621</v>
      </c>
      <c r="W1620" s="11">
        <v>147.2049689440994</v>
      </c>
      <c r="X1620" s="8" t="s">
        <v>1632</v>
      </c>
    </row>
    <row r="1621" spans="1:24" ht="25" customHeight="1">
      <c r="A1621" s="12">
        <v>5648</v>
      </c>
      <c r="B1621" s="8">
        <v>3</v>
      </c>
      <c r="C1621" s="8" t="s">
        <v>711</v>
      </c>
      <c r="D1621" s="8" t="s">
        <v>120</v>
      </c>
      <c r="E1621" s="8" t="s">
        <v>49</v>
      </c>
      <c r="F1621" s="8">
        <v>11</v>
      </c>
      <c r="G1621" s="8">
        <v>2</v>
      </c>
      <c r="H1621" s="11">
        <v>0.1818181818181818</v>
      </c>
      <c r="I1621" s="11">
        <v>0.04968944099378882</v>
      </c>
      <c r="J1621" s="11">
        <v>3.65909090909091</v>
      </c>
      <c r="K1621" s="8">
        <v>2</v>
      </c>
      <c r="L1621" s="8">
        <v>9</v>
      </c>
      <c r="M1621" s="8">
        <v>6</v>
      </c>
      <c r="N1621" s="8">
        <v>144</v>
      </c>
      <c r="O1621" s="11">
        <v>0.03668275612706982</v>
      </c>
      <c r="P1621" s="8" t="s">
        <v>704</v>
      </c>
      <c r="Q1621" s="8" t="s">
        <v>1633</v>
      </c>
      <c r="R1621" s="8">
        <v>115</v>
      </c>
      <c r="S1621" s="11">
        <v>62.95294985572829</v>
      </c>
      <c r="T1621" s="11">
        <v>0.5465838509316771</v>
      </c>
      <c r="U1621" s="11">
        <v>10.45341614906832</v>
      </c>
      <c r="V1621" s="11">
        <v>7.453416149068323</v>
      </c>
      <c r="W1621" s="11">
        <v>142.5465838509317</v>
      </c>
      <c r="X1621" s="8" t="s">
        <v>1634</v>
      </c>
    </row>
    <row r="1622" spans="1:24" ht="25" customHeight="1">
      <c r="A1622" s="12">
        <v>5649</v>
      </c>
      <c r="B1622" s="8">
        <v>3</v>
      </c>
      <c r="C1622" s="8" t="s">
        <v>711</v>
      </c>
      <c r="D1622" s="8" t="s">
        <v>120</v>
      </c>
      <c r="E1622" s="8" t="s">
        <v>1635</v>
      </c>
      <c r="F1622" s="8">
        <v>11</v>
      </c>
      <c r="G1622" s="8">
        <v>1</v>
      </c>
      <c r="H1622" s="11">
        <v>0.09090909090909091</v>
      </c>
      <c r="I1622" s="11">
        <v>0.0124223602484472</v>
      </c>
      <c r="J1622" s="11">
        <v>7.318181818181819</v>
      </c>
      <c r="K1622" s="8">
        <v>1</v>
      </c>
      <c r="L1622" s="8">
        <v>10</v>
      </c>
      <c r="M1622" s="8">
        <v>1</v>
      </c>
      <c r="N1622" s="8">
        <v>149</v>
      </c>
      <c r="O1622" s="11">
        <v>0.01489796533959313</v>
      </c>
      <c r="P1622" s="8" t="s">
        <v>704</v>
      </c>
      <c r="Q1622" s="8" t="s">
        <v>1636</v>
      </c>
      <c r="R1622" s="8">
        <v>116</v>
      </c>
      <c r="S1622" s="11">
        <v>62.83460108239294</v>
      </c>
      <c r="T1622" s="11">
        <v>0.1366459627329193</v>
      </c>
      <c r="U1622" s="11">
        <v>10.86335403726708</v>
      </c>
      <c r="V1622" s="11">
        <v>1.863354037267081</v>
      </c>
      <c r="W1622" s="11">
        <v>148.1366459627329</v>
      </c>
      <c r="X1622" s="8" t="s">
        <v>1637</v>
      </c>
    </row>
    <row r="1623" spans="1:24" ht="25" customHeight="1">
      <c r="A1623" s="12">
        <v>5650</v>
      </c>
      <c r="B1623" s="8">
        <v>3</v>
      </c>
      <c r="C1623" s="8" t="s">
        <v>711</v>
      </c>
      <c r="D1623" s="8" t="s">
        <v>120</v>
      </c>
      <c r="E1623" s="8" t="s">
        <v>1638</v>
      </c>
      <c r="F1623" s="8">
        <v>11</v>
      </c>
      <c r="G1623" s="8">
        <v>1</v>
      </c>
      <c r="H1623" s="11">
        <v>0.09090909090909091</v>
      </c>
      <c r="I1623" s="11">
        <v>0.006211180124223602</v>
      </c>
      <c r="J1623" s="11">
        <v>14.63636363636364</v>
      </c>
      <c r="K1623" s="8">
        <v>1</v>
      </c>
      <c r="L1623" s="8">
        <v>10</v>
      </c>
      <c r="M1623" s="8">
        <v>0</v>
      </c>
      <c r="N1623" s="8">
        <v>150</v>
      </c>
      <c r="O1623" s="11">
        <v>0.0002120032188649251</v>
      </c>
      <c r="P1623" s="8" t="s">
        <v>704</v>
      </c>
      <c r="Q1623" s="8" t="s">
        <v>1639</v>
      </c>
      <c r="R1623" s="8">
        <v>117</v>
      </c>
      <c r="S1623" s="11">
        <v>62.90803089299658</v>
      </c>
      <c r="T1623" s="11">
        <v>0.06832298136645963</v>
      </c>
      <c r="U1623" s="11">
        <v>10.93167701863354</v>
      </c>
      <c r="V1623" s="11">
        <v>0.9316770186335404</v>
      </c>
      <c r="W1623" s="11">
        <v>149.0683229813665</v>
      </c>
      <c r="X1623" s="8" t="s">
        <v>1626</v>
      </c>
    </row>
    <row r="1624" spans="1:24" ht="25" customHeight="1">
      <c r="A1624" s="12">
        <v>5651</v>
      </c>
      <c r="B1624" s="8">
        <v>3</v>
      </c>
      <c r="C1624" s="8" t="s">
        <v>716</v>
      </c>
      <c r="D1624" s="8" t="s">
        <v>120</v>
      </c>
      <c r="E1624" s="8" t="s">
        <v>1398</v>
      </c>
      <c r="F1624" s="8">
        <v>13</v>
      </c>
      <c r="G1624" s="8">
        <v>1</v>
      </c>
      <c r="H1624" s="11">
        <v>0.07692307692307693</v>
      </c>
      <c r="I1624" s="11">
        <v>0.03726708074534162</v>
      </c>
      <c r="J1624" s="11">
        <v>2.064102564102564</v>
      </c>
      <c r="K1624" s="8">
        <v>1</v>
      </c>
      <c r="L1624" s="8">
        <v>12</v>
      </c>
      <c r="M1624" s="8">
        <v>5</v>
      </c>
      <c r="N1624" s="8">
        <v>143</v>
      </c>
      <c r="O1624" s="11">
        <v>0.4310990860976586</v>
      </c>
      <c r="P1624" s="8" t="s">
        <v>704</v>
      </c>
      <c r="Q1624" s="8" t="s">
        <v>1640</v>
      </c>
      <c r="R1624" s="8">
        <v>118</v>
      </c>
      <c r="S1624" s="11">
        <v>54.7419404669476</v>
      </c>
      <c r="T1624" s="11">
        <v>0.484472049689441</v>
      </c>
      <c r="U1624" s="11">
        <v>12.51552795031056</v>
      </c>
      <c r="V1624" s="11">
        <v>5.515527950310559</v>
      </c>
      <c r="W1624" s="11">
        <v>142.4844720496894</v>
      </c>
      <c r="X1624" s="8" t="s">
        <v>1641</v>
      </c>
    </row>
    <row r="1625" spans="1:24" ht="25" customHeight="1">
      <c r="A1625" s="12">
        <v>5652</v>
      </c>
      <c r="B1625" s="8">
        <v>3</v>
      </c>
      <c r="C1625" s="8" t="s">
        <v>716</v>
      </c>
      <c r="D1625" s="8" t="s">
        <v>120</v>
      </c>
      <c r="E1625" s="8" t="s">
        <v>1635</v>
      </c>
      <c r="F1625" s="8">
        <v>13</v>
      </c>
      <c r="G1625" s="8">
        <v>1</v>
      </c>
      <c r="H1625" s="11">
        <v>0.07692307692307693</v>
      </c>
      <c r="I1625" s="11">
        <v>0.0124223602484472</v>
      </c>
      <c r="J1625" s="11">
        <v>6.192307692307693</v>
      </c>
      <c r="K1625" s="8">
        <v>1</v>
      </c>
      <c r="L1625" s="8">
        <v>12</v>
      </c>
      <c r="M1625" s="8">
        <v>1</v>
      </c>
      <c r="N1625" s="8">
        <v>147</v>
      </c>
      <c r="O1625" s="11">
        <v>0.02852917502794006</v>
      </c>
      <c r="P1625" s="8" t="s">
        <v>704</v>
      </c>
      <c r="Q1625" s="8" t="s">
        <v>1642</v>
      </c>
      <c r="R1625" s="8">
        <v>119</v>
      </c>
      <c r="S1625" s="11">
        <v>62.62658489409107</v>
      </c>
      <c r="T1625" s="11">
        <v>0.1614906832298137</v>
      </c>
      <c r="U1625" s="11">
        <v>12.83850931677019</v>
      </c>
      <c r="V1625" s="11">
        <v>1.838509316770186</v>
      </c>
      <c r="W1625" s="11">
        <v>146.1614906832298</v>
      </c>
      <c r="X1625" s="8" t="s">
        <v>1610</v>
      </c>
    </row>
    <row r="1626" spans="1:24" ht="25" customHeight="1">
      <c r="A1626" s="12">
        <v>5653</v>
      </c>
      <c r="B1626" s="8">
        <v>3</v>
      </c>
      <c r="C1626" s="8" t="s">
        <v>711</v>
      </c>
      <c r="D1626" s="8" t="s">
        <v>120</v>
      </c>
      <c r="E1626" s="8" t="s">
        <v>816</v>
      </c>
      <c r="F1626" s="8">
        <v>11</v>
      </c>
      <c r="G1626" s="8">
        <v>1</v>
      </c>
      <c r="H1626" s="11">
        <v>0.09090909090909091</v>
      </c>
      <c r="I1626" s="11">
        <v>0.1490683229813665</v>
      </c>
      <c r="J1626" s="11">
        <v>0.6098484848484849</v>
      </c>
      <c r="K1626" s="8">
        <v>1</v>
      </c>
      <c r="L1626" s="8">
        <v>10</v>
      </c>
      <c r="M1626" s="8">
        <v>23</v>
      </c>
      <c r="N1626" s="8">
        <v>127</v>
      </c>
      <c r="O1626" s="11">
        <v>0.5747275913532512</v>
      </c>
      <c r="P1626" s="8" t="s">
        <v>704</v>
      </c>
      <c r="Q1626" s="8" t="s">
        <v>1643</v>
      </c>
      <c r="R1626" s="8">
        <v>120</v>
      </c>
      <c r="S1626" s="11">
        <v>51.25514992202162</v>
      </c>
      <c r="T1626" s="11">
        <v>1.639751552795031</v>
      </c>
      <c r="U1626" s="11">
        <v>9.360248447204969</v>
      </c>
      <c r="V1626" s="11">
        <v>22.36024844720497</v>
      </c>
      <c r="W1626" s="11">
        <v>127.639751552795</v>
      </c>
      <c r="X1626" s="8" t="s">
        <v>1644</v>
      </c>
    </row>
    <row r="1627" spans="1:24" ht="25" customHeight="1">
      <c r="A1627" s="12">
        <v>5654</v>
      </c>
      <c r="B1627" s="8">
        <v>3</v>
      </c>
      <c r="C1627" s="8" t="s">
        <v>720</v>
      </c>
      <c r="D1627" s="8" t="s">
        <v>120</v>
      </c>
      <c r="E1627" s="8" t="s">
        <v>1645</v>
      </c>
      <c r="F1627" s="8">
        <v>5</v>
      </c>
      <c r="G1627" s="8">
        <v>1</v>
      </c>
      <c r="H1627" s="11">
        <v>0.2</v>
      </c>
      <c r="I1627" s="11">
        <v>0.006211180124223602</v>
      </c>
      <c r="J1627" s="11">
        <v>32.2</v>
      </c>
      <c r="K1627" s="8">
        <v>1</v>
      </c>
      <c r="L1627" s="8">
        <v>4</v>
      </c>
      <c r="M1627" s="8">
        <v>0</v>
      </c>
      <c r="N1627" s="8">
        <v>156</v>
      </c>
      <c r="O1627" s="11">
        <v>2.105223472609622E-08</v>
      </c>
      <c r="P1627" s="8" t="s">
        <v>704</v>
      </c>
      <c r="Q1627" s="8" t="s">
        <v>1646</v>
      </c>
      <c r="R1627" s="8">
        <v>121</v>
      </c>
      <c r="S1627" s="11">
        <v>63.99999989473883</v>
      </c>
      <c r="T1627" s="11">
        <v>0.03105590062111801</v>
      </c>
      <c r="U1627" s="11">
        <v>4.968944099378882</v>
      </c>
      <c r="V1627" s="11">
        <v>0.968944099378882</v>
      </c>
      <c r="W1627" s="11">
        <v>155.0310559006211</v>
      </c>
      <c r="X1627" s="8" t="s">
        <v>1647</v>
      </c>
    </row>
    <row r="1628" spans="1:24" ht="25" customHeight="1">
      <c r="A1628" s="12">
        <v>5655</v>
      </c>
      <c r="B1628" s="8">
        <v>3</v>
      </c>
      <c r="C1628" s="8" t="s">
        <v>711</v>
      </c>
      <c r="D1628" s="8" t="s">
        <v>120</v>
      </c>
      <c r="E1628" s="8" t="s">
        <v>1648</v>
      </c>
      <c r="F1628" s="8">
        <v>11</v>
      </c>
      <c r="G1628" s="8">
        <v>1</v>
      </c>
      <c r="H1628" s="11">
        <v>0.09090909090909091</v>
      </c>
      <c r="I1628" s="11">
        <v>0.006211180124223602</v>
      </c>
      <c r="J1628" s="11">
        <v>14.63636363636364</v>
      </c>
      <c r="K1628" s="8">
        <v>1</v>
      </c>
      <c r="L1628" s="8">
        <v>10</v>
      </c>
      <c r="M1628" s="8">
        <v>0</v>
      </c>
      <c r="N1628" s="8">
        <v>150</v>
      </c>
      <c r="O1628" s="11">
        <v>0.0002120032188649251</v>
      </c>
      <c r="P1628" s="8" t="s">
        <v>704</v>
      </c>
      <c r="Q1628" s="8" t="s">
        <v>1649</v>
      </c>
      <c r="R1628" s="8">
        <v>122</v>
      </c>
      <c r="S1628" s="11">
        <v>62.90803089299658</v>
      </c>
      <c r="T1628" s="11">
        <v>0.06832298136645963</v>
      </c>
      <c r="U1628" s="11">
        <v>10.93167701863354</v>
      </c>
      <c r="V1628" s="11">
        <v>0.9316770186335404</v>
      </c>
      <c r="W1628" s="11">
        <v>149.0683229813665</v>
      </c>
      <c r="X1628" s="8" t="s">
        <v>1626</v>
      </c>
    </row>
    <row r="1629" spans="1:24" ht="25" customHeight="1">
      <c r="A1629" s="12">
        <v>5656</v>
      </c>
      <c r="B1629" s="8">
        <v>3</v>
      </c>
      <c r="C1629" s="8" t="s">
        <v>706</v>
      </c>
      <c r="D1629" s="8" t="s">
        <v>123</v>
      </c>
      <c r="E1629" s="8" t="s">
        <v>1650</v>
      </c>
      <c r="F1629" s="8">
        <v>1</v>
      </c>
      <c r="G1629" s="8">
        <v>1</v>
      </c>
      <c r="H1629" s="8">
        <v>1</v>
      </c>
      <c r="I1629" s="11">
        <v>0.006211180124223602</v>
      </c>
      <c r="J1629" s="8">
        <v>161</v>
      </c>
      <c r="K1629" s="8">
        <v>1</v>
      </c>
      <c r="L1629" s="8">
        <v>0</v>
      </c>
      <c r="M1629" s="8">
        <v>0</v>
      </c>
      <c r="N1629" s="8">
        <v>160</v>
      </c>
      <c r="O1629" s="11">
        <v>6.841707543855235E-37</v>
      </c>
      <c r="P1629" s="8" t="s">
        <v>704</v>
      </c>
      <c r="Q1629" s="8" t="s">
        <v>1651</v>
      </c>
      <c r="R1629" s="8">
        <v>123</v>
      </c>
      <c r="S1629" s="8">
        <v>72</v>
      </c>
      <c r="T1629" s="11">
        <v>0.006211180124223602</v>
      </c>
      <c r="U1629" s="11">
        <v>0.9937888198757764</v>
      </c>
      <c r="V1629" s="11">
        <v>0.9937888198757764</v>
      </c>
      <c r="W1629" s="11">
        <v>159.0062111801242</v>
      </c>
      <c r="X1629" s="8" t="s">
        <v>1652</v>
      </c>
    </row>
    <row r="1630" spans="1:24" ht="25" customHeight="1">
      <c r="A1630" s="12">
        <v>5657</v>
      </c>
      <c r="B1630" s="8">
        <v>3</v>
      </c>
      <c r="C1630" s="8" t="s">
        <v>711</v>
      </c>
      <c r="D1630" s="8" t="s">
        <v>120</v>
      </c>
      <c r="E1630" s="8" t="s">
        <v>821</v>
      </c>
      <c r="F1630" s="8">
        <v>11</v>
      </c>
      <c r="G1630" s="8">
        <v>1</v>
      </c>
      <c r="H1630" s="11">
        <v>0.09090909090909091</v>
      </c>
      <c r="I1630" s="11">
        <v>0.02484472049689441</v>
      </c>
      <c r="J1630" s="11">
        <v>3.65909090909091</v>
      </c>
      <c r="K1630" s="8">
        <v>1</v>
      </c>
      <c r="L1630" s="8">
        <v>10</v>
      </c>
      <c r="M1630" s="8">
        <v>3</v>
      </c>
      <c r="N1630" s="8">
        <v>147</v>
      </c>
      <c r="O1630" s="11">
        <v>0.1447299967737296</v>
      </c>
      <c r="P1630" s="8" t="s">
        <v>704</v>
      </c>
      <c r="Q1630" s="8" t="s">
        <v>1653</v>
      </c>
      <c r="R1630" s="8">
        <v>124</v>
      </c>
      <c r="S1630" s="11">
        <v>59.50362274340408</v>
      </c>
      <c r="T1630" s="11">
        <v>0.2732919254658385</v>
      </c>
      <c r="U1630" s="11">
        <v>10.72670807453416</v>
      </c>
      <c r="V1630" s="11">
        <v>3.726708074534161</v>
      </c>
      <c r="W1630" s="11">
        <v>146.2732919254658</v>
      </c>
      <c r="X1630" s="8" t="s">
        <v>1654</v>
      </c>
    </row>
    <row r="1631" spans="1:24" ht="25" customHeight="1">
      <c r="A1631" s="12">
        <v>5658</v>
      </c>
      <c r="B1631" s="8">
        <v>3</v>
      </c>
      <c r="C1631" s="8" t="s">
        <v>716</v>
      </c>
      <c r="D1631" s="8" t="s">
        <v>120</v>
      </c>
      <c r="E1631" s="8" t="s">
        <v>1655</v>
      </c>
      <c r="F1631" s="8">
        <v>13</v>
      </c>
      <c r="G1631" s="8">
        <v>1</v>
      </c>
      <c r="H1631" s="11">
        <v>0.07692307692307693</v>
      </c>
      <c r="I1631" s="11">
        <v>0.006211180124223602</v>
      </c>
      <c r="J1631" s="11">
        <v>12.38461538461539</v>
      </c>
      <c r="K1631" s="8">
        <v>1</v>
      </c>
      <c r="L1631" s="8">
        <v>12</v>
      </c>
      <c r="M1631" s="8">
        <v>0</v>
      </c>
      <c r="N1631" s="8">
        <v>148</v>
      </c>
      <c r="O1631" s="11">
        <v>0.0007127237994056178</v>
      </c>
      <c r="P1631" s="8" t="s">
        <v>704</v>
      </c>
      <c r="Q1631" s="8" t="s">
        <v>1656</v>
      </c>
      <c r="R1631" s="8">
        <v>125</v>
      </c>
      <c r="S1631" s="11">
        <v>62.76566715023374</v>
      </c>
      <c r="T1631" s="11">
        <v>0.08074534161490683</v>
      </c>
      <c r="U1631" s="11">
        <v>12.91925465838509</v>
      </c>
      <c r="V1631" s="11">
        <v>0.9192546583850931</v>
      </c>
      <c r="W1631" s="11">
        <v>147.0807453416149</v>
      </c>
      <c r="X1631" s="8" t="s">
        <v>1657</v>
      </c>
    </row>
    <row r="1632" spans="1:24" ht="25" customHeight="1">
      <c r="A1632" s="12">
        <v>5659</v>
      </c>
      <c r="B1632" s="8">
        <v>3</v>
      </c>
      <c r="C1632" s="8" t="s">
        <v>716</v>
      </c>
      <c r="D1632" s="8" t="s">
        <v>120</v>
      </c>
      <c r="E1632" s="8" t="s">
        <v>1523</v>
      </c>
      <c r="F1632" s="8">
        <v>13</v>
      </c>
      <c r="G1632" s="8">
        <v>1</v>
      </c>
      <c r="H1632" s="11">
        <v>0.07692307692307693</v>
      </c>
      <c r="I1632" s="11">
        <v>0.01863354037267081</v>
      </c>
      <c r="J1632" s="11">
        <v>4.128205128205129</v>
      </c>
      <c r="K1632" s="8">
        <v>1</v>
      </c>
      <c r="L1632" s="8">
        <v>12</v>
      </c>
      <c r="M1632" s="8">
        <v>2</v>
      </c>
      <c r="N1632" s="8">
        <v>146</v>
      </c>
      <c r="O1632" s="11">
        <v>0.1050192003285126</v>
      </c>
      <c r="P1632" s="8" t="s">
        <v>704</v>
      </c>
      <c r="Q1632" s="8" t="s">
        <v>1658</v>
      </c>
      <c r="R1632" s="8">
        <v>126</v>
      </c>
      <c r="S1632" s="11">
        <v>60.50054502399846</v>
      </c>
      <c r="T1632" s="11">
        <v>0.2422360248447205</v>
      </c>
      <c r="U1632" s="11">
        <v>12.75776397515528</v>
      </c>
      <c r="V1632" s="11">
        <v>2.757763975155279</v>
      </c>
      <c r="W1632" s="11">
        <v>145.2422360248447</v>
      </c>
      <c r="X1632" s="8" t="s">
        <v>1659</v>
      </c>
    </row>
    <row r="1633" spans="1:24" ht="25" customHeight="1">
      <c r="A1633" s="12">
        <v>5660</v>
      </c>
      <c r="B1633" s="8">
        <v>3</v>
      </c>
      <c r="C1633" s="8" t="s">
        <v>716</v>
      </c>
      <c r="D1633" s="8" t="s">
        <v>120</v>
      </c>
      <c r="E1633" s="8" t="s">
        <v>1660</v>
      </c>
      <c r="F1633" s="8">
        <v>13</v>
      </c>
      <c r="G1633" s="8">
        <v>1</v>
      </c>
      <c r="H1633" s="11">
        <v>0.07692307692307693</v>
      </c>
      <c r="I1633" s="11">
        <v>0.006211180124223602</v>
      </c>
      <c r="J1633" s="11">
        <v>12.38461538461539</v>
      </c>
      <c r="K1633" s="8">
        <v>1</v>
      </c>
      <c r="L1633" s="8">
        <v>12</v>
      </c>
      <c r="M1633" s="8">
        <v>0</v>
      </c>
      <c r="N1633" s="8">
        <v>148</v>
      </c>
      <c r="O1633" s="11">
        <v>0.0007127237994056178</v>
      </c>
      <c r="P1633" s="8" t="s">
        <v>704</v>
      </c>
      <c r="Q1633" s="8" t="s">
        <v>1661</v>
      </c>
      <c r="R1633" s="8">
        <v>127</v>
      </c>
      <c r="S1633" s="11">
        <v>62.76566715023374</v>
      </c>
      <c r="T1633" s="11">
        <v>0.08074534161490683</v>
      </c>
      <c r="U1633" s="11">
        <v>12.91925465838509</v>
      </c>
      <c r="V1633" s="11">
        <v>0.9192546583850931</v>
      </c>
      <c r="W1633" s="11">
        <v>147.0807453416149</v>
      </c>
      <c r="X1633" s="8" t="s">
        <v>1657</v>
      </c>
    </row>
    <row r="1634" spans="1:24" ht="25" customHeight="1">
      <c r="A1634" s="12">
        <v>5661</v>
      </c>
      <c r="B1634" s="8">
        <v>3</v>
      </c>
      <c r="C1634" s="8" t="s">
        <v>706</v>
      </c>
      <c r="D1634" s="8" t="s">
        <v>120</v>
      </c>
      <c r="E1634" s="8" t="s">
        <v>1662</v>
      </c>
      <c r="F1634" s="8">
        <v>4</v>
      </c>
      <c r="G1634" s="8">
        <v>1</v>
      </c>
      <c r="H1634" s="11">
        <v>0.25</v>
      </c>
      <c r="I1634" s="11">
        <v>0.006211180124223602</v>
      </c>
      <c r="J1634" s="11">
        <v>40.25</v>
      </c>
      <c r="K1634" s="8">
        <v>1</v>
      </c>
      <c r="L1634" s="8">
        <v>3</v>
      </c>
      <c r="M1634" s="8">
        <v>0</v>
      </c>
      <c r="N1634" s="8">
        <v>157</v>
      </c>
      <c r="O1634" s="11">
        <v>3.288478427024823E-10</v>
      </c>
      <c r="P1634" s="8" t="s">
        <v>704</v>
      </c>
      <c r="Q1634" s="8" t="s">
        <v>1663</v>
      </c>
      <c r="R1634" s="8">
        <v>128</v>
      </c>
      <c r="S1634" s="11">
        <v>64.49999999835576</v>
      </c>
      <c r="T1634" s="11">
        <v>0.02484472049689441</v>
      </c>
      <c r="U1634" s="11">
        <v>3.975155279503106</v>
      </c>
      <c r="V1634" s="11">
        <v>0.9751552795031055</v>
      </c>
      <c r="W1634" s="11">
        <v>156.0248447204969</v>
      </c>
      <c r="X1634" s="8" t="s">
        <v>1664</v>
      </c>
    </row>
    <row r="1635" spans="1:24" ht="25" customHeight="1">
      <c r="A1635" s="12">
        <v>5662</v>
      </c>
      <c r="B1635" s="8">
        <v>3</v>
      </c>
      <c r="C1635" s="8" t="s">
        <v>720</v>
      </c>
      <c r="D1635" s="8" t="s">
        <v>175</v>
      </c>
      <c r="E1635" s="8" t="s">
        <v>816</v>
      </c>
      <c r="F1635" s="8">
        <v>2</v>
      </c>
      <c r="G1635" s="8">
        <v>2</v>
      </c>
      <c r="H1635" s="8">
        <v>1</v>
      </c>
      <c r="I1635" s="11">
        <v>0.1490683229813665</v>
      </c>
      <c r="J1635" s="11">
        <v>6.708333333333333</v>
      </c>
      <c r="K1635" s="8">
        <v>2</v>
      </c>
      <c r="L1635" s="8">
        <v>0</v>
      </c>
      <c r="M1635" s="8">
        <v>22</v>
      </c>
      <c r="N1635" s="8">
        <v>137</v>
      </c>
      <c r="O1635" s="11">
        <v>0.0006737597666268918</v>
      </c>
      <c r="P1635" s="8" t="s">
        <v>704</v>
      </c>
      <c r="Q1635" s="8" t="s">
        <v>1665</v>
      </c>
      <c r="R1635" s="8">
        <v>129</v>
      </c>
      <c r="S1635" s="11">
        <v>73.99663120116686</v>
      </c>
      <c r="T1635" s="11">
        <v>0.2981366459627329</v>
      </c>
      <c r="U1635" s="11">
        <v>1.701863354037267</v>
      </c>
      <c r="V1635" s="11">
        <v>23.70186335403727</v>
      </c>
      <c r="W1635" s="11">
        <v>135.2981366459627</v>
      </c>
      <c r="X1635" s="8" t="s">
        <v>1666</v>
      </c>
    </row>
    <row r="1636" spans="1:24" ht="25" customHeight="1">
      <c r="A1636" s="12">
        <v>5663</v>
      </c>
      <c r="B1636" s="8">
        <v>3</v>
      </c>
      <c r="C1636" s="8" t="s">
        <v>716</v>
      </c>
      <c r="D1636" s="8" t="s">
        <v>120</v>
      </c>
      <c r="E1636" s="8" t="s">
        <v>1439</v>
      </c>
      <c r="F1636" s="8">
        <v>13</v>
      </c>
      <c r="G1636" s="8">
        <v>1</v>
      </c>
      <c r="H1636" s="11">
        <v>0.07692307692307693</v>
      </c>
      <c r="I1636" s="11">
        <v>0.01863354037267081</v>
      </c>
      <c r="J1636" s="11">
        <v>4.128205128205129</v>
      </c>
      <c r="K1636" s="8">
        <v>1</v>
      </c>
      <c r="L1636" s="8">
        <v>12</v>
      </c>
      <c r="M1636" s="8">
        <v>2</v>
      </c>
      <c r="N1636" s="8">
        <v>146</v>
      </c>
      <c r="O1636" s="11">
        <v>0.1050192003285126</v>
      </c>
      <c r="P1636" s="8" t="s">
        <v>704</v>
      </c>
      <c r="Q1636" s="8" t="s">
        <v>1667</v>
      </c>
      <c r="R1636" s="8">
        <v>130</v>
      </c>
      <c r="S1636" s="11">
        <v>60.50054502399846</v>
      </c>
      <c r="T1636" s="11">
        <v>0.2422360248447205</v>
      </c>
      <c r="U1636" s="11">
        <v>12.75776397515528</v>
      </c>
      <c r="V1636" s="11">
        <v>2.757763975155279</v>
      </c>
      <c r="W1636" s="11">
        <v>145.2422360248447</v>
      </c>
      <c r="X1636" s="8" t="s">
        <v>1659</v>
      </c>
    </row>
    <row r="1637" spans="1:24" ht="25" customHeight="1">
      <c r="A1637" s="12">
        <v>5664</v>
      </c>
      <c r="B1637" s="8">
        <v>3</v>
      </c>
      <c r="C1637" s="8" t="s">
        <v>711</v>
      </c>
      <c r="D1637" s="8" t="s">
        <v>120</v>
      </c>
      <c r="E1637" s="8" t="s">
        <v>824</v>
      </c>
      <c r="F1637" s="8">
        <v>11</v>
      </c>
      <c r="G1637" s="8">
        <v>1</v>
      </c>
      <c r="H1637" s="11">
        <v>0.09090909090909091</v>
      </c>
      <c r="I1637" s="11">
        <v>0.03105590062111801</v>
      </c>
      <c r="J1637" s="11">
        <v>2.927272727272727</v>
      </c>
      <c r="K1637" s="8">
        <v>1</v>
      </c>
      <c r="L1637" s="8">
        <v>10</v>
      </c>
      <c r="M1637" s="8">
        <v>4</v>
      </c>
      <c r="N1637" s="8">
        <v>146</v>
      </c>
      <c r="O1637" s="11">
        <v>0.235789643871522</v>
      </c>
      <c r="P1637" s="8" t="s">
        <v>704</v>
      </c>
      <c r="Q1637" s="8" t="s">
        <v>1668</v>
      </c>
      <c r="R1637" s="8">
        <v>131</v>
      </c>
      <c r="S1637" s="11">
        <v>57.58468814427875</v>
      </c>
      <c r="T1637" s="11">
        <v>0.3416149068322981</v>
      </c>
      <c r="U1637" s="11">
        <v>10.6583850931677</v>
      </c>
      <c r="V1637" s="11">
        <v>4.658385093167702</v>
      </c>
      <c r="W1637" s="11">
        <v>145.3416149068323</v>
      </c>
      <c r="X1637" s="8" t="s">
        <v>1669</v>
      </c>
    </row>
    <row r="1638" spans="1:24" ht="25" customHeight="1">
      <c r="A1638" s="12">
        <v>5665</v>
      </c>
      <c r="B1638" s="8">
        <v>3</v>
      </c>
      <c r="C1638" s="8" t="s">
        <v>720</v>
      </c>
      <c r="D1638" s="8" t="s">
        <v>120</v>
      </c>
      <c r="E1638" s="8" t="s">
        <v>815</v>
      </c>
      <c r="F1638" s="8">
        <v>5</v>
      </c>
      <c r="G1638" s="8">
        <v>1</v>
      </c>
      <c r="H1638" s="11">
        <v>0.2</v>
      </c>
      <c r="I1638" s="11">
        <v>0.04968944099378882</v>
      </c>
      <c r="J1638" s="11">
        <v>4.025</v>
      </c>
      <c r="K1638" s="8">
        <v>1</v>
      </c>
      <c r="L1638" s="8">
        <v>4</v>
      </c>
      <c r="M1638" s="8">
        <v>7</v>
      </c>
      <c r="N1638" s="8">
        <v>149</v>
      </c>
      <c r="O1638" s="11">
        <v>0.1161119836497458</v>
      </c>
      <c r="P1638" s="8" t="s">
        <v>704</v>
      </c>
      <c r="Q1638" s="8" t="s">
        <v>1670</v>
      </c>
      <c r="R1638" s="8">
        <v>132</v>
      </c>
      <c r="S1638" s="11">
        <v>61.46944008175127</v>
      </c>
      <c r="T1638" s="11">
        <v>0.2484472049689441</v>
      </c>
      <c r="U1638" s="11">
        <v>4.751552795031056</v>
      </c>
      <c r="V1638" s="11">
        <v>7.751552795031056</v>
      </c>
      <c r="W1638" s="11">
        <v>148.248447204969</v>
      </c>
      <c r="X1638" s="8" t="s">
        <v>1671</v>
      </c>
    </row>
    <row r="1639" spans="1:24" ht="25" customHeight="1">
      <c r="A1639" s="12">
        <v>5666</v>
      </c>
      <c r="B1639" s="8">
        <v>3</v>
      </c>
      <c r="C1639" s="8" t="s">
        <v>716</v>
      </c>
      <c r="D1639" s="8" t="s">
        <v>120</v>
      </c>
      <c r="E1639" s="8" t="s">
        <v>1416</v>
      </c>
      <c r="F1639" s="8">
        <v>13</v>
      </c>
      <c r="G1639" s="8">
        <v>1</v>
      </c>
      <c r="H1639" s="11">
        <v>0.07692307692307693</v>
      </c>
      <c r="I1639" s="11">
        <v>0.01863354037267081</v>
      </c>
      <c r="J1639" s="11">
        <v>4.128205128205129</v>
      </c>
      <c r="K1639" s="8">
        <v>1</v>
      </c>
      <c r="L1639" s="8">
        <v>12</v>
      </c>
      <c r="M1639" s="8">
        <v>2</v>
      </c>
      <c r="N1639" s="8">
        <v>146</v>
      </c>
      <c r="O1639" s="11">
        <v>0.1050192003285126</v>
      </c>
      <c r="P1639" s="8" t="s">
        <v>704</v>
      </c>
      <c r="Q1639" s="8" t="s">
        <v>1672</v>
      </c>
      <c r="R1639" s="8">
        <v>133</v>
      </c>
      <c r="S1639" s="11">
        <v>60.50054502399846</v>
      </c>
      <c r="T1639" s="11">
        <v>0.2422360248447205</v>
      </c>
      <c r="U1639" s="11">
        <v>12.75776397515528</v>
      </c>
      <c r="V1639" s="11">
        <v>2.757763975155279</v>
      </c>
      <c r="W1639" s="11">
        <v>145.2422360248447</v>
      </c>
      <c r="X1639" s="8" t="s">
        <v>1659</v>
      </c>
    </row>
    <row r="1640" spans="1:24" ht="25" customHeight="1">
      <c r="A1640" s="12">
        <v>5667</v>
      </c>
      <c r="B1640" s="8">
        <v>3</v>
      </c>
      <c r="C1640" s="8" t="s">
        <v>720</v>
      </c>
      <c r="D1640" s="8" t="s">
        <v>120</v>
      </c>
      <c r="E1640" s="8" t="s">
        <v>823</v>
      </c>
      <c r="F1640" s="8">
        <v>5</v>
      </c>
      <c r="G1640" s="8">
        <v>1</v>
      </c>
      <c r="H1640" s="11">
        <v>0.2</v>
      </c>
      <c r="I1640" s="11">
        <v>0.04347826086956522</v>
      </c>
      <c r="J1640" s="11">
        <v>4.600000000000001</v>
      </c>
      <c r="K1640" s="8">
        <v>1</v>
      </c>
      <c r="L1640" s="8">
        <v>4</v>
      </c>
      <c r="M1640" s="8">
        <v>6</v>
      </c>
      <c r="N1640" s="8">
        <v>150</v>
      </c>
      <c r="O1640" s="11">
        <v>0.08124291646965928</v>
      </c>
      <c r="P1640" s="8" t="s">
        <v>704</v>
      </c>
      <c r="Q1640" s="8" t="s">
        <v>1673</v>
      </c>
      <c r="R1640" s="8">
        <v>134</v>
      </c>
      <c r="S1640" s="11">
        <v>62.7937854176517</v>
      </c>
      <c r="T1640" s="11">
        <v>0.2173913043478261</v>
      </c>
      <c r="U1640" s="11">
        <v>4.782608695652174</v>
      </c>
      <c r="V1640" s="11">
        <v>6.782608695652174</v>
      </c>
      <c r="W1640" s="11">
        <v>149.2173913043478</v>
      </c>
      <c r="X1640" s="8" t="s">
        <v>1674</v>
      </c>
    </row>
    <row r="1641" spans="1:24" ht="25" customHeight="1">
      <c r="A1641" s="12">
        <v>5668</v>
      </c>
      <c r="B1641" s="8">
        <v>3</v>
      </c>
      <c r="C1641" s="8" t="s">
        <v>716</v>
      </c>
      <c r="D1641" s="8" t="s">
        <v>123</v>
      </c>
      <c r="E1641" s="8" t="s">
        <v>823</v>
      </c>
      <c r="F1641" s="8">
        <v>1</v>
      </c>
      <c r="G1641" s="8">
        <v>1</v>
      </c>
      <c r="H1641" s="8">
        <v>1</v>
      </c>
      <c r="I1641" s="11">
        <v>0.04347826086956522</v>
      </c>
      <c r="J1641" s="8">
        <v>23</v>
      </c>
      <c r="K1641" s="8">
        <v>1</v>
      </c>
      <c r="L1641" s="8">
        <v>0</v>
      </c>
      <c r="M1641" s="8">
        <v>6</v>
      </c>
      <c r="N1641" s="8">
        <v>154</v>
      </c>
      <c r="O1641" s="11">
        <v>2.538031489740095E-06</v>
      </c>
      <c r="P1641" s="8" t="s">
        <v>704</v>
      </c>
      <c r="Q1641" s="8" t="s">
        <v>1675</v>
      </c>
      <c r="R1641" s="8">
        <v>135</v>
      </c>
      <c r="S1641" s="11">
        <v>71.99998730984255</v>
      </c>
      <c r="T1641" s="11">
        <v>0.04347826086956522</v>
      </c>
      <c r="U1641" s="11">
        <v>0.9565217391304348</v>
      </c>
      <c r="V1641" s="11">
        <v>6.956521739130435</v>
      </c>
      <c r="W1641" s="11">
        <v>153.0434782608696</v>
      </c>
      <c r="X1641" s="8" t="s">
        <v>1676</v>
      </c>
    </row>
    <row r="1642" spans="1:24" ht="25" customHeight="1">
      <c r="A1642" s="12">
        <v>5669</v>
      </c>
      <c r="B1642" s="8">
        <v>3</v>
      </c>
      <c r="C1642" s="8" t="s">
        <v>706</v>
      </c>
      <c r="D1642" s="8" t="s">
        <v>120</v>
      </c>
      <c r="E1642" s="8" t="s">
        <v>824</v>
      </c>
      <c r="F1642" s="8">
        <v>4</v>
      </c>
      <c r="G1642" s="8">
        <v>1</v>
      </c>
      <c r="H1642" s="11">
        <v>0.25</v>
      </c>
      <c r="I1642" s="11">
        <v>0.03105590062111801</v>
      </c>
      <c r="J1642" s="11">
        <v>8.050000000000001</v>
      </c>
      <c r="K1642" s="8">
        <v>1</v>
      </c>
      <c r="L1642" s="8">
        <v>3</v>
      </c>
      <c r="M1642" s="8">
        <v>4</v>
      </c>
      <c r="N1642" s="8">
        <v>153</v>
      </c>
      <c r="O1642" s="11">
        <v>0.01058042030991412</v>
      </c>
      <c r="P1642" s="8" t="s">
        <v>704</v>
      </c>
      <c r="Q1642" s="8" t="s">
        <v>1677</v>
      </c>
      <c r="R1642" s="8">
        <v>136</v>
      </c>
      <c r="S1642" s="11">
        <v>64.44709789845042</v>
      </c>
      <c r="T1642" s="11">
        <v>0.124223602484472</v>
      </c>
      <c r="U1642" s="11">
        <v>3.875776397515528</v>
      </c>
      <c r="V1642" s="11">
        <v>4.875776397515528</v>
      </c>
      <c r="W1642" s="11">
        <v>152.1242236024845</v>
      </c>
      <c r="X1642" s="8" t="s">
        <v>1678</v>
      </c>
    </row>
    <row r="1643" spans="1:24" ht="25" customHeight="1">
      <c r="A1643" s="12">
        <v>5670</v>
      </c>
      <c r="B1643" s="8">
        <v>3</v>
      </c>
      <c r="C1643" s="8" t="s">
        <v>720</v>
      </c>
      <c r="D1643" s="8" t="s">
        <v>120</v>
      </c>
      <c r="E1643" s="8" t="s">
        <v>816</v>
      </c>
      <c r="F1643" s="8">
        <v>5</v>
      </c>
      <c r="G1643" s="8">
        <v>1</v>
      </c>
      <c r="H1643" s="11">
        <v>0.2</v>
      </c>
      <c r="I1643" s="11">
        <v>0.1490683229813665</v>
      </c>
      <c r="J1643" s="11">
        <v>1.341666666666667</v>
      </c>
      <c r="K1643" s="8">
        <v>1</v>
      </c>
      <c r="L1643" s="8">
        <v>4</v>
      </c>
      <c r="M1643" s="8">
        <v>23</v>
      </c>
      <c r="N1643" s="8">
        <v>133</v>
      </c>
      <c r="O1643" s="11">
        <v>0.7452941940032962</v>
      </c>
      <c r="P1643" s="8" t="s">
        <v>704</v>
      </c>
      <c r="Q1643" s="8" t="s">
        <v>1679</v>
      </c>
      <c r="R1643" s="8">
        <v>137</v>
      </c>
      <c r="S1643" s="11">
        <v>52.95686236331686</v>
      </c>
      <c r="T1643" s="11">
        <v>0.7453416149068323</v>
      </c>
      <c r="U1643" s="11">
        <v>4.254658385093168</v>
      </c>
      <c r="V1643" s="11">
        <v>23.25465838509317</v>
      </c>
      <c r="W1643" s="11">
        <v>132.7453416149068</v>
      </c>
      <c r="X1643" s="8" t="s">
        <v>1680</v>
      </c>
    </row>
    <row r="1644" spans="1:24" ht="25" customHeight="1">
      <c r="A1644" s="12">
        <v>5671</v>
      </c>
      <c r="B1644" s="8">
        <v>3</v>
      </c>
      <c r="C1644" s="8" t="s">
        <v>720</v>
      </c>
      <c r="D1644" s="8" t="s">
        <v>120</v>
      </c>
      <c r="E1644" s="8" t="s">
        <v>1439</v>
      </c>
      <c r="F1644" s="8">
        <v>5</v>
      </c>
      <c r="G1644" s="8">
        <v>1</v>
      </c>
      <c r="H1644" s="11">
        <v>0.2</v>
      </c>
      <c r="I1644" s="11">
        <v>0.01863354037267081</v>
      </c>
      <c r="J1644" s="11">
        <v>10.73333333333333</v>
      </c>
      <c r="K1644" s="8">
        <v>1</v>
      </c>
      <c r="L1644" s="8">
        <v>4</v>
      </c>
      <c r="M1644" s="8">
        <v>2</v>
      </c>
      <c r="N1644" s="8">
        <v>154</v>
      </c>
      <c r="O1644" s="11">
        <v>0.00231370503989594</v>
      </c>
      <c r="P1644" s="8" t="s">
        <v>704</v>
      </c>
      <c r="Q1644" s="8" t="s">
        <v>1681</v>
      </c>
      <c r="R1644" s="8">
        <v>138</v>
      </c>
      <c r="S1644" s="11">
        <v>63.98843147480052</v>
      </c>
      <c r="T1644" s="11">
        <v>0.09316770186335403</v>
      </c>
      <c r="U1644" s="11">
        <v>4.906832298136646</v>
      </c>
      <c r="V1644" s="11">
        <v>2.906832298136646</v>
      </c>
      <c r="W1644" s="11">
        <v>153.0931677018634</v>
      </c>
      <c r="X1644" s="8" t="s">
        <v>1682</v>
      </c>
    </row>
    <row r="1645" spans="1:24" ht="25" customHeight="1">
      <c r="A1645" s="12">
        <v>5672</v>
      </c>
      <c r="B1645" s="8">
        <v>3</v>
      </c>
      <c r="C1645" s="8" t="s">
        <v>706</v>
      </c>
      <c r="D1645" s="8" t="s">
        <v>1034</v>
      </c>
      <c r="E1645" s="8" t="s">
        <v>1451</v>
      </c>
      <c r="F1645" s="8">
        <v>1</v>
      </c>
      <c r="G1645" s="8">
        <v>1</v>
      </c>
      <c r="H1645" s="8">
        <v>1</v>
      </c>
      <c r="I1645" s="11">
        <v>0.0124223602484472</v>
      </c>
      <c r="J1645" s="11">
        <v>80.5</v>
      </c>
      <c r="K1645" s="8">
        <v>1</v>
      </c>
      <c r="L1645" s="8">
        <v>0</v>
      </c>
      <c r="M1645" s="8">
        <v>1</v>
      </c>
      <c r="N1645" s="8">
        <v>159</v>
      </c>
      <c r="O1645" s="11">
        <v>3.750023626405972E-19</v>
      </c>
      <c r="P1645" s="8" t="s">
        <v>704</v>
      </c>
      <c r="Q1645" s="8" t="s">
        <v>1683</v>
      </c>
      <c r="R1645" s="8">
        <v>139</v>
      </c>
      <c r="S1645" s="8">
        <v>72</v>
      </c>
      <c r="T1645" s="11">
        <v>0.0124223602484472</v>
      </c>
      <c r="U1645" s="11">
        <v>0.9875776397515528</v>
      </c>
      <c r="V1645" s="11">
        <v>1.987577639751553</v>
      </c>
      <c r="W1645" s="11">
        <v>158.0124223602485</v>
      </c>
      <c r="X1645" s="8" t="s">
        <v>1652</v>
      </c>
    </row>
    <row r="1646" spans="1:24" ht="25" customHeight="1">
      <c r="A1646" s="12">
        <v>5673</v>
      </c>
      <c r="B1646" s="8">
        <v>4</v>
      </c>
      <c r="C1646" s="8" t="s">
        <v>706</v>
      </c>
      <c r="D1646" s="8" t="s">
        <v>1037</v>
      </c>
      <c r="E1646" s="8" t="s">
        <v>1684</v>
      </c>
      <c r="F1646" s="8">
        <v>1</v>
      </c>
      <c r="G1646" s="8">
        <v>1</v>
      </c>
      <c r="H1646" s="8">
        <v>1</v>
      </c>
      <c r="I1646" s="11">
        <v>0.006211180124223602</v>
      </c>
      <c r="J1646" s="8">
        <v>161</v>
      </c>
      <c r="K1646" s="8">
        <v>1</v>
      </c>
      <c r="L1646" s="8">
        <v>0</v>
      </c>
      <c r="M1646" s="8">
        <v>0</v>
      </c>
      <c r="N1646" s="8">
        <v>160</v>
      </c>
      <c r="O1646" s="11">
        <v>6.841707543855235E-37</v>
      </c>
      <c r="P1646" s="8" t="s">
        <v>704</v>
      </c>
      <c r="Q1646" s="8" t="s">
        <v>1685</v>
      </c>
      <c r="R1646" s="8">
        <v>140</v>
      </c>
      <c r="S1646" s="8">
        <v>72</v>
      </c>
      <c r="T1646" s="11">
        <v>0.006211180124223602</v>
      </c>
      <c r="U1646" s="11">
        <v>0.9937888198757764</v>
      </c>
      <c r="V1646" s="11">
        <v>0.9937888198757764</v>
      </c>
      <c r="W1646" s="11">
        <v>159.0062111801242</v>
      </c>
      <c r="X1646" s="8" t="s">
        <v>1686</v>
      </c>
    </row>
    <row r="1647" spans="1:24" ht="25" customHeight="1">
      <c r="A1647" s="12">
        <v>5674</v>
      </c>
      <c r="B1647" s="8">
        <v>4</v>
      </c>
      <c r="C1647" s="8" t="s">
        <v>706</v>
      </c>
      <c r="D1647" s="8" t="s">
        <v>802</v>
      </c>
      <c r="E1647" s="8" t="s">
        <v>1687</v>
      </c>
      <c r="F1647" s="8">
        <v>1</v>
      </c>
      <c r="G1647" s="8">
        <v>1</v>
      </c>
      <c r="H1647" s="8">
        <v>1</v>
      </c>
      <c r="I1647" s="11">
        <v>0.006211180124223602</v>
      </c>
      <c r="J1647" s="8">
        <v>161</v>
      </c>
      <c r="K1647" s="8">
        <v>1</v>
      </c>
      <c r="L1647" s="8">
        <v>0</v>
      </c>
      <c r="M1647" s="8">
        <v>0</v>
      </c>
      <c r="N1647" s="8">
        <v>160</v>
      </c>
      <c r="O1647" s="11">
        <v>6.841707543855235E-37</v>
      </c>
      <c r="P1647" s="8" t="s">
        <v>704</v>
      </c>
      <c r="Q1647" s="8" t="s">
        <v>1688</v>
      </c>
      <c r="R1647" s="8">
        <v>141</v>
      </c>
      <c r="S1647" s="8">
        <v>72</v>
      </c>
      <c r="T1647" s="11">
        <v>0.006211180124223602</v>
      </c>
      <c r="U1647" s="11">
        <v>0.9937888198757764</v>
      </c>
      <c r="V1647" s="11">
        <v>0.9937888198757764</v>
      </c>
      <c r="W1647" s="11">
        <v>159.0062111801242</v>
      </c>
      <c r="X1647" s="8" t="s">
        <v>1686</v>
      </c>
    </row>
    <row r="1648" spans="1:24" ht="25" customHeight="1">
      <c r="A1648" s="12">
        <v>6535</v>
      </c>
      <c r="B1648" s="8" t="s">
        <v>1689</v>
      </c>
    </row>
    <row r="1649" spans="1:24" ht="25" customHeight="1">
      <c r="A1649" s="12">
        <v>6536</v>
      </c>
      <c r="B1649" s="8" t="s">
        <v>687</v>
      </c>
      <c r="C1649" s="8" t="s">
        <v>688</v>
      </c>
      <c r="D1649" s="8" t="s">
        <v>810</v>
      </c>
      <c r="E1649" s="8" t="s">
        <v>814</v>
      </c>
      <c r="F1649" s="8" t="s">
        <v>826</v>
      </c>
      <c r="G1649" s="8" t="s">
        <v>827</v>
      </c>
      <c r="H1649" s="8" t="s">
        <v>828</v>
      </c>
      <c r="I1649" s="8" t="s">
        <v>829</v>
      </c>
      <c r="J1649" s="8" t="s">
        <v>691</v>
      </c>
      <c r="K1649" s="8" t="s">
        <v>830</v>
      </c>
      <c r="L1649" s="8" t="s">
        <v>831</v>
      </c>
      <c r="M1649" s="8" t="s">
        <v>832</v>
      </c>
      <c r="N1649" s="8" t="s">
        <v>833</v>
      </c>
      <c r="O1649" s="8" t="s">
        <v>692</v>
      </c>
      <c r="P1649" s="8" t="s">
        <v>834</v>
      </c>
      <c r="Q1649" s="8" t="s">
        <v>697</v>
      </c>
      <c r="R1649" s="8" t="s">
        <v>835</v>
      </c>
      <c r="S1649" s="8" t="s">
        <v>836</v>
      </c>
      <c r="T1649" s="8" t="s">
        <v>837</v>
      </c>
      <c r="U1649" s="8" t="s">
        <v>838</v>
      </c>
      <c r="V1649" s="8" t="s">
        <v>839</v>
      </c>
      <c r="W1649" s="8" t="s">
        <v>840</v>
      </c>
      <c r="X1649" s="8" t="s">
        <v>841</v>
      </c>
    </row>
    <row r="1650" spans="1:24" ht="25" customHeight="1">
      <c r="A1650" s="12">
        <v>6537</v>
      </c>
      <c r="B1650" s="8">
        <v>0</v>
      </c>
      <c r="C1650" s="8" t="s">
        <v>115</v>
      </c>
      <c r="D1650" s="8" t="s">
        <v>235</v>
      </c>
      <c r="E1650" s="8" t="s">
        <v>1395</v>
      </c>
      <c r="F1650" s="8">
        <v>2</v>
      </c>
      <c r="G1650" s="8">
        <v>1</v>
      </c>
      <c r="H1650" s="11">
        <v>0.5</v>
      </c>
      <c r="I1650" s="11">
        <v>0.00625</v>
      </c>
      <c r="J1650" s="8">
        <v>80</v>
      </c>
      <c r="K1650" s="8">
        <v>1</v>
      </c>
      <c r="L1650" s="8">
        <v>1</v>
      </c>
      <c r="M1650" s="8">
        <v>0</v>
      </c>
      <c r="N1650" s="8">
        <v>158</v>
      </c>
      <c r="O1650" s="11">
        <v>4.829934540791119E-19</v>
      </c>
      <c r="P1650" s="8" t="s">
        <v>704</v>
      </c>
      <c r="Q1650" s="8" t="s">
        <v>1690</v>
      </c>
      <c r="R1650" s="8">
        <v>1</v>
      </c>
      <c r="S1650" s="8">
        <v>67</v>
      </c>
      <c r="T1650" s="11">
        <v>0.0125</v>
      </c>
      <c r="U1650" s="11">
        <v>1.9875</v>
      </c>
      <c r="V1650" s="11">
        <v>0.9875</v>
      </c>
      <c r="W1650" s="11">
        <v>157.0125</v>
      </c>
      <c r="X1650" s="8" t="s">
        <v>1691</v>
      </c>
    </row>
    <row r="1651" spans="1:24" ht="25" customHeight="1">
      <c r="A1651" s="12">
        <v>6538</v>
      </c>
      <c r="B1651" s="8">
        <v>0</v>
      </c>
      <c r="C1651" s="8" t="s">
        <v>115</v>
      </c>
      <c r="D1651" s="8" t="s">
        <v>203</v>
      </c>
      <c r="E1651" s="8" t="s">
        <v>1398</v>
      </c>
      <c r="F1651" s="8">
        <v>19</v>
      </c>
      <c r="G1651" s="8">
        <v>1</v>
      </c>
      <c r="H1651" s="11">
        <v>0.05263157894736842</v>
      </c>
      <c r="I1651" s="11">
        <v>0.0375</v>
      </c>
      <c r="J1651" s="11">
        <v>1.403508771929824</v>
      </c>
      <c r="K1651" s="8">
        <v>1</v>
      </c>
      <c r="L1651" s="8">
        <v>18</v>
      </c>
      <c r="M1651" s="8">
        <v>5</v>
      </c>
      <c r="N1651" s="8">
        <v>136</v>
      </c>
      <c r="O1651" s="11">
        <v>0.711513384845574</v>
      </c>
      <c r="P1651" s="8" t="s">
        <v>704</v>
      </c>
      <c r="Q1651" s="8" t="s">
        <v>1692</v>
      </c>
      <c r="R1651" s="8">
        <v>2</v>
      </c>
      <c r="S1651" s="11">
        <v>51.77576640910547</v>
      </c>
      <c r="T1651" s="11">
        <v>0.7125</v>
      </c>
      <c r="U1651" s="11">
        <v>18.2875</v>
      </c>
      <c r="V1651" s="11">
        <v>5.2875</v>
      </c>
      <c r="W1651" s="11">
        <v>135.7125</v>
      </c>
      <c r="X1651" s="8" t="s">
        <v>1693</v>
      </c>
    </row>
    <row r="1652" spans="1:24" ht="25" customHeight="1">
      <c r="A1652" s="12">
        <v>6539</v>
      </c>
      <c r="B1652" s="8">
        <v>0</v>
      </c>
      <c r="C1652" s="8" t="s">
        <v>115</v>
      </c>
      <c r="D1652" s="8" t="s">
        <v>203</v>
      </c>
      <c r="E1652" s="8" t="s">
        <v>1401</v>
      </c>
      <c r="F1652" s="8">
        <v>19</v>
      </c>
      <c r="G1652" s="8">
        <v>1</v>
      </c>
      <c r="H1652" s="11">
        <v>0.05263157894736842</v>
      </c>
      <c r="I1652" s="11">
        <v>0.00625</v>
      </c>
      <c r="J1652" s="11">
        <v>8.421052631578947</v>
      </c>
      <c r="K1652" s="8">
        <v>1</v>
      </c>
      <c r="L1652" s="8">
        <v>18</v>
      </c>
      <c r="M1652" s="8">
        <v>0</v>
      </c>
      <c r="N1652" s="8">
        <v>141</v>
      </c>
      <c r="O1652" s="11">
        <v>0.006281484643227353</v>
      </c>
      <c r="P1652" s="8" t="s">
        <v>704</v>
      </c>
      <c r="Q1652" s="8" t="s">
        <v>1694</v>
      </c>
      <c r="R1652" s="8">
        <v>3</v>
      </c>
      <c r="S1652" s="11">
        <v>62.49490836625755</v>
      </c>
      <c r="T1652" s="11">
        <v>0.11875</v>
      </c>
      <c r="U1652" s="11">
        <v>18.88125</v>
      </c>
      <c r="V1652" s="11">
        <v>0.88125</v>
      </c>
      <c r="W1652" s="11">
        <v>140.11875</v>
      </c>
      <c r="X1652" s="8" t="s">
        <v>1695</v>
      </c>
    </row>
    <row r="1653" spans="1:24" ht="25" customHeight="1">
      <c r="A1653" s="12">
        <v>6540</v>
      </c>
      <c r="B1653" s="8">
        <v>0</v>
      </c>
      <c r="C1653" s="8" t="s">
        <v>115</v>
      </c>
      <c r="D1653" s="8" t="s">
        <v>203</v>
      </c>
      <c r="E1653" s="8" t="s">
        <v>815</v>
      </c>
      <c r="F1653" s="8">
        <v>19</v>
      </c>
      <c r="G1653" s="8">
        <v>1</v>
      </c>
      <c r="H1653" s="11">
        <v>0.05263157894736842</v>
      </c>
      <c r="I1653" s="11">
        <v>0.05</v>
      </c>
      <c r="J1653" s="11">
        <v>1.052631578947368</v>
      </c>
      <c r="K1653" s="8">
        <v>1</v>
      </c>
      <c r="L1653" s="8">
        <v>18</v>
      </c>
      <c r="M1653" s="8">
        <v>7</v>
      </c>
      <c r="N1653" s="8">
        <v>134</v>
      </c>
      <c r="O1653" s="11">
        <v>0.9552895110334721</v>
      </c>
      <c r="P1653" s="8" t="s">
        <v>704</v>
      </c>
      <c r="Q1653" s="8" t="s">
        <v>1696</v>
      </c>
      <c r="R1653" s="8">
        <v>4</v>
      </c>
      <c r="S1653" s="11">
        <v>49.85513139220107</v>
      </c>
      <c r="T1653" s="11">
        <v>0.95</v>
      </c>
      <c r="U1653" s="11">
        <v>18.05</v>
      </c>
      <c r="V1653" s="11">
        <v>7.05</v>
      </c>
      <c r="W1653" s="11">
        <v>133.95</v>
      </c>
      <c r="X1653" s="8" t="s">
        <v>1697</v>
      </c>
    </row>
    <row r="1654" spans="1:24" ht="25" customHeight="1">
      <c r="A1654" s="12">
        <v>6541</v>
      </c>
      <c r="B1654" s="8">
        <v>0</v>
      </c>
      <c r="C1654" s="8" t="s">
        <v>115</v>
      </c>
      <c r="D1654" s="8" t="s">
        <v>203</v>
      </c>
      <c r="E1654" s="8" t="s">
        <v>1406</v>
      </c>
      <c r="F1654" s="8">
        <v>19</v>
      </c>
      <c r="G1654" s="8">
        <v>1</v>
      </c>
      <c r="H1654" s="11">
        <v>0.05263157894736842</v>
      </c>
      <c r="I1654" s="11">
        <v>0.00625</v>
      </c>
      <c r="J1654" s="11">
        <v>8.421052631578947</v>
      </c>
      <c r="K1654" s="8">
        <v>1</v>
      </c>
      <c r="L1654" s="8">
        <v>18</v>
      </c>
      <c r="M1654" s="8">
        <v>0</v>
      </c>
      <c r="N1654" s="8">
        <v>141</v>
      </c>
      <c r="O1654" s="11">
        <v>0.006281484643227353</v>
      </c>
      <c r="P1654" s="8" t="s">
        <v>704</v>
      </c>
      <c r="Q1654" s="8" t="s">
        <v>1698</v>
      </c>
      <c r="R1654" s="8">
        <v>5</v>
      </c>
      <c r="S1654" s="11">
        <v>62.49490836625755</v>
      </c>
      <c r="T1654" s="11">
        <v>0.11875</v>
      </c>
      <c r="U1654" s="11">
        <v>18.88125</v>
      </c>
      <c r="V1654" s="11">
        <v>0.88125</v>
      </c>
      <c r="W1654" s="11">
        <v>140.11875</v>
      </c>
      <c r="X1654" s="8" t="s">
        <v>1695</v>
      </c>
    </row>
    <row r="1655" spans="1:24" ht="25" customHeight="1">
      <c r="A1655" s="12">
        <v>6542</v>
      </c>
      <c r="B1655" s="8">
        <v>0</v>
      </c>
      <c r="C1655" s="8" t="s">
        <v>115</v>
      </c>
      <c r="D1655" s="8" t="s">
        <v>203</v>
      </c>
      <c r="E1655" s="8" t="s">
        <v>49</v>
      </c>
      <c r="F1655" s="8">
        <v>19</v>
      </c>
      <c r="G1655" s="8">
        <v>2</v>
      </c>
      <c r="H1655" s="11">
        <v>0.1052631578947368</v>
      </c>
      <c r="I1655" s="11">
        <v>0.05</v>
      </c>
      <c r="J1655" s="11">
        <v>2.105263157894737</v>
      </c>
      <c r="K1655" s="8">
        <v>2</v>
      </c>
      <c r="L1655" s="8">
        <v>17</v>
      </c>
      <c r="M1655" s="8">
        <v>6</v>
      </c>
      <c r="N1655" s="8">
        <v>135</v>
      </c>
      <c r="O1655" s="11">
        <v>0.2390444372314</v>
      </c>
      <c r="P1655" s="8" t="s">
        <v>704</v>
      </c>
      <c r="Q1655" s="8" t="s">
        <v>1699</v>
      </c>
      <c r="R1655" s="8">
        <v>6</v>
      </c>
      <c r="S1655" s="11">
        <v>58.06793570857984</v>
      </c>
      <c r="T1655" s="11">
        <v>0.95</v>
      </c>
      <c r="U1655" s="11">
        <v>18.05</v>
      </c>
      <c r="V1655" s="11">
        <v>7.05</v>
      </c>
      <c r="W1655" s="11">
        <v>133.95</v>
      </c>
      <c r="X1655" s="8" t="s">
        <v>1700</v>
      </c>
    </row>
    <row r="1656" spans="1:24" ht="25" customHeight="1">
      <c r="A1656" s="12">
        <v>6543</v>
      </c>
      <c r="B1656" s="8">
        <v>0</v>
      </c>
      <c r="C1656" s="8" t="s">
        <v>115</v>
      </c>
      <c r="D1656" s="8" t="s">
        <v>203</v>
      </c>
      <c r="E1656" s="8" t="s">
        <v>1410</v>
      </c>
      <c r="F1656" s="8">
        <v>19</v>
      </c>
      <c r="G1656" s="8">
        <v>1</v>
      </c>
      <c r="H1656" s="11">
        <v>0.05263157894736842</v>
      </c>
      <c r="I1656" s="11">
        <v>0.01875</v>
      </c>
      <c r="J1656" s="11">
        <v>2.807017543859649</v>
      </c>
      <c r="K1656" s="8">
        <v>1</v>
      </c>
      <c r="L1656" s="8">
        <v>18</v>
      </c>
      <c r="M1656" s="8">
        <v>2</v>
      </c>
      <c r="N1656" s="8">
        <v>139</v>
      </c>
      <c r="O1656" s="11">
        <v>0.24611142838439</v>
      </c>
      <c r="P1656" s="8" t="s">
        <v>704</v>
      </c>
      <c r="Q1656" s="8" t="s">
        <v>1701</v>
      </c>
      <c r="R1656" s="8">
        <v>7</v>
      </c>
      <c r="S1656" s="11">
        <v>56.90979373527104</v>
      </c>
      <c r="T1656" s="11">
        <v>0.35625</v>
      </c>
      <c r="U1656" s="11">
        <v>18.64375</v>
      </c>
      <c r="V1656" s="11">
        <v>2.64375</v>
      </c>
      <c r="W1656" s="11">
        <v>138.35625</v>
      </c>
      <c r="X1656" s="8" t="s">
        <v>1702</v>
      </c>
    </row>
    <row r="1657" spans="1:24" ht="25" customHeight="1">
      <c r="A1657" s="12">
        <v>6544</v>
      </c>
      <c r="B1657" s="8">
        <v>0</v>
      </c>
      <c r="C1657" s="8" t="s">
        <v>115</v>
      </c>
      <c r="D1657" s="8" t="s">
        <v>203</v>
      </c>
      <c r="E1657" s="8" t="s">
        <v>1413</v>
      </c>
      <c r="F1657" s="8">
        <v>19</v>
      </c>
      <c r="G1657" s="8">
        <v>1</v>
      </c>
      <c r="H1657" s="11">
        <v>0.05263157894736842</v>
      </c>
      <c r="I1657" s="11">
        <v>0.0125</v>
      </c>
      <c r="J1657" s="11">
        <v>4.210526315789473</v>
      </c>
      <c r="K1657" s="8">
        <v>1</v>
      </c>
      <c r="L1657" s="8">
        <v>18</v>
      </c>
      <c r="M1657" s="8">
        <v>1</v>
      </c>
      <c r="N1657" s="8">
        <v>140</v>
      </c>
      <c r="O1657" s="11">
        <v>0.09349955149414263</v>
      </c>
      <c r="P1657" s="8" t="s">
        <v>704</v>
      </c>
      <c r="Q1657" s="8" t="s">
        <v>1703</v>
      </c>
      <c r="R1657" s="8">
        <v>8</v>
      </c>
      <c r="S1657" s="11">
        <v>60.47987066358192</v>
      </c>
      <c r="T1657" s="11">
        <v>0.2375</v>
      </c>
      <c r="U1657" s="11">
        <v>18.7625</v>
      </c>
      <c r="V1657" s="11">
        <v>1.7625</v>
      </c>
      <c r="W1657" s="11">
        <v>139.2375</v>
      </c>
      <c r="X1657" s="8" t="s">
        <v>1704</v>
      </c>
    </row>
    <row r="1658" spans="1:24" ht="25" customHeight="1">
      <c r="A1658" s="12">
        <v>6545</v>
      </c>
      <c r="B1658" s="8">
        <v>0</v>
      </c>
      <c r="C1658" s="8" t="s">
        <v>115</v>
      </c>
      <c r="D1658" s="8" t="s">
        <v>206</v>
      </c>
      <c r="E1658" s="8" t="s">
        <v>1416</v>
      </c>
      <c r="F1658" s="8">
        <v>12</v>
      </c>
      <c r="G1658" s="8">
        <v>1</v>
      </c>
      <c r="H1658" s="11">
        <v>0.08333333333333333</v>
      </c>
      <c r="I1658" s="11">
        <v>0.01875</v>
      </c>
      <c r="J1658" s="11">
        <v>4.444444444444445</v>
      </c>
      <c r="K1658" s="8">
        <v>1</v>
      </c>
      <c r="L1658" s="8">
        <v>11</v>
      </c>
      <c r="M1658" s="8">
        <v>2</v>
      </c>
      <c r="N1658" s="8">
        <v>146</v>
      </c>
      <c r="O1658" s="11">
        <v>0.0863556400157301</v>
      </c>
      <c r="P1658" s="8" t="s">
        <v>704</v>
      </c>
      <c r="Q1658" s="8" t="s">
        <v>1705</v>
      </c>
      <c r="R1658" s="8">
        <v>9</v>
      </c>
      <c r="S1658" s="11">
        <v>61.29044402214357</v>
      </c>
      <c r="T1658" s="11">
        <v>0.225</v>
      </c>
      <c r="U1658" s="11">
        <v>11.775</v>
      </c>
      <c r="V1658" s="11">
        <v>2.775</v>
      </c>
      <c r="W1658" s="11">
        <v>145.225</v>
      </c>
      <c r="X1658" s="8" t="s">
        <v>1706</v>
      </c>
    </row>
    <row r="1659" spans="1:24" ht="25" customHeight="1">
      <c r="A1659" s="12">
        <v>6546</v>
      </c>
      <c r="B1659" s="8">
        <v>0</v>
      </c>
      <c r="C1659" s="8" t="s">
        <v>115</v>
      </c>
      <c r="D1659" s="8" t="s">
        <v>206</v>
      </c>
      <c r="E1659" s="8" t="s">
        <v>819</v>
      </c>
      <c r="F1659" s="8">
        <v>12</v>
      </c>
      <c r="G1659" s="8">
        <v>1</v>
      </c>
      <c r="H1659" s="11">
        <v>0.08333333333333333</v>
      </c>
      <c r="I1659" s="11">
        <v>0.04375</v>
      </c>
      <c r="J1659" s="11">
        <v>1.904761904761905</v>
      </c>
      <c r="K1659" s="8">
        <v>1</v>
      </c>
      <c r="L1659" s="8">
        <v>11</v>
      </c>
      <c r="M1659" s="8">
        <v>6</v>
      </c>
      <c r="N1659" s="8">
        <v>142</v>
      </c>
      <c r="O1659" s="11">
        <v>0.4857780964663631</v>
      </c>
      <c r="P1659" s="8" t="s">
        <v>704</v>
      </c>
      <c r="Q1659" s="8" t="s">
        <v>1707</v>
      </c>
      <c r="R1659" s="8">
        <v>10</v>
      </c>
      <c r="S1659" s="11">
        <v>54.21396666052533</v>
      </c>
      <c r="T1659" s="11">
        <v>0.525</v>
      </c>
      <c r="U1659" s="11">
        <v>11.475</v>
      </c>
      <c r="V1659" s="11">
        <v>6.475</v>
      </c>
      <c r="W1659" s="11">
        <v>141.525</v>
      </c>
      <c r="X1659" s="8" t="s">
        <v>1708</v>
      </c>
    </row>
    <row r="1660" spans="1:24" ht="25" customHeight="1">
      <c r="A1660" s="12">
        <v>6547</v>
      </c>
      <c r="B1660" s="8">
        <v>0</v>
      </c>
      <c r="C1660" s="8" t="s">
        <v>115</v>
      </c>
      <c r="D1660" s="8" t="s">
        <v>206</v>
      </c>
      <c r="E1660" s="8" t="s">
        <v>1420</v>
      </c>
      <c r="F1660" s="8">
        <v>12</v>
      </c>
      <c r="G1660" s="8">
        <v>1</v>
      </c>
      <c r="H1660" s="11">
        <v>0.08333333333333333</v>
      </c>
      <c r="I1660" s="11">
        <v>0.00625</v>
      </c>
      <c r="J1660" s="11">
        <v>13.33333333333333</v>
      </c>
      <c r="K1660" s="8">
        <v>1</v>
      </c>
      <c r="L1660" s="8">
        <v>11</v>
      </c>
      <c r="M1660" s="8">
        <v>0</v>
      </c>
      <c r="N1660" s="8">
        <v>148</v>
      </c>
      <c r="O1660" s="11">
        <v>0.0004268347698619601</v>
      </c>
      <c r="P1660" s="8" t="s">
        <v>704</v>
      </c>
      <c r="Q1660" s="8" t="s">
        <v>1709</v>
      </c>
      <c r="R1660" s="8">
        <v>11</v>
      </c>
      <c r="S1660" s="11">
        <v>62.83119915948403</v>
      </c>
      <c r="T1660" s="11">
        <v>0.075</v>
      </c>
      <c r="U1660" s="11">
        <v>11.925</v>
      </c>
      <c r="V1660" s="11">
        <v>0.925</v>
      </c>
      <c r="W1660" s="11">
        <v>147.075</v>
      </c>
      <c r="X1660" s="8" t="s">
        <v>1710</v>
      </c>
    </row>
    <row r="1661" spans="1:24" ht="25" customHeight="1">
      <c r="A1661" s="12">
        <v>6548</v>
      </c>
      <c r="B1661" s="8">
        <v>0</v>
      </c>
      <c r="C1661" s="8" t="s">
        <v>115</v>
      </c>
      <c r="D1661" s="8" t="s">
        <v>203</v>
      </c>
      <c r="E1661" s="8" t="s">
        <v>1422</v>
      </c>
      <c r="F1661" s="8">
        <v>19</v>
      </c>
      <c r="G1661" s="8">
        <v>1</v>
      </c>
      <c r="H1661" s="11">
        <v>0.05263157894736842</v>
      </c>
      <c r="I1661" s="11">
        <v>0.01875</v>
      </c>
      <c r="J1661" s="11">
        <v>2.807017543859649</v>
      </c>
      <c r="K1661" s="8">
        <v>1</v>
      </c>
      <c r="L1661" s="8">
        <v>18</v>
      </c>
      <c r="M1661" s="8">
        <v>2</v>
      </c>
      <c r="N1661" s="8">
        <v>139</v>
      </c>
      <c r="O1661" s="11">
        <v>0.24611142838439</v>
      </c>
      <c r="P1661" s="8" t="s">
        <v>704</v>
      </c>
      <c r="Q1661" s="8" t="s">
        <v>1711</v>
      </c>
      <c r="R1661" s="8">
        <v>12</v>
      </c>
      <c r="S1661" s="11">
        <v>56.90979373527104</v>
      </c>
      <c r="T1661" s="11">
        <v>0.35625</v>
      </c>
      <c r="U1661" s="11">
        <v>18.64375</v>
      </c>
      <c r="V1661" s="11">
        <v>2.64375</v>
      </c>
      <c r="W1661" s="11">
        <v>138.35625</v>
      </c>
      <c r="X1661" s="8" t="s">
        <v>1702</v>
      </c>
    </row>
    <row r="1662" spans="1:24" ht="25" customHeight="1">
      <c r="A1662" s="12">
        <v>6549</v>
      </c>
      <c r="B1662" s="8">
        <v>0</v>
      </c>
      <c r="C1662" s="8" t="s">
        <v>115</v>
      </c>
      <c r="D1662" s="8" t="s">
        <v>206</v>
      </c>
      <c r="E1662" s="8" t="s">
        <v>49</v>
      </c>
      <c r="F1662" s="8">
        <v>12</v>
      </c>
      <c r="G1662" s="8">
        <v>1</v>
      </c>
      <c r="H1662" s="11">
        <v>0.08333333333333333</v>
      </c>
      <c r="I1662" s="11">
        <v>0.05</v>
      </c>
      <c r="J1662" s="11">
        <v>1.666666666666667</v>
      </c>
      <c r="K1662" s="8">
        <v>1</v>
      </c>
      <c r="L1662" s="8">
        <v>11</v>
      </c>
      <c r="M1662" s="8">
        <v>7</v>
      </c>
      <c r="N1662" s="8">
        <v>141</v>
      </c>
      <c r="O1662" s="11">
        <v>0.5817205544928223</v>
      </c>
      <c r="P1662" s="8" t="s">
        <v>704</v>
      </c>
      <c r="Q1662" s="8" t="s">
        <v>1712</v>
      </c>
      <c r="R1662" s="8">
        <v>13</v>
      </c>
      <c r="S1662" s="11">
        <v>53.25806389420256</v>
      </c>
      <c r="T1662" s="11">
        <v>0.6</v>
      </c>
      <c r="U1662" s="11">
        <v>11.4</v>
      </c>
      <c r="V1662" s="11">
        <v>7.4</v>
      </c>
      <c r="W1662" s="11">
        <v>140.6</v>
      </c>
      <c r="X1662" s="8" t="s">
        <v>1713</v>
      </c>
    </row>
    <row r="1663" spans="1:24" ht="25" customHeight="1">
      <c r="A1663" s="12">
        <v>6550</v>
      </c>
      <c r="B1663" s="8">
        <v>0</v>
      </c>
      <c r="C1663" s="8" t="s">
        <v>115</v>
      </c>
      <c r="D1663" s="8" t="s">
        <v>203</v>
      </c>
      <c r="E1663" s="8" t="s">
        <v>1424</v>
      </c>
      <c r="F1663" s="8">
        <v>19</v>
      </c>
      <c r="G1663" s="8">
        <v>1</v>
      </c>
      <c r="H1663" s="11">
        <v>0.05263157894736842</v>
      </c>
      <c r="I1663" s="11">
        <v>0.00625</v>
      </c>
      <c r="J1663" s="11">
        <v>8.421052631578947</v>
      </c>
      <c r="K1663" s="8">
        <v>1</v>
      </c>
      <c r="L1663" s="8">
        <v>18</v>
      </c>
      <c r="M1663" s="8">
        <v>0</v>
      </c>
      <c r="N1663" s="8">
        <v>141</v>
      </c>
      <c r="O1663" s="11">
        <v>0.006281484643227353</v>
      </c>
      <c r="P1663" s="8" t="s">
        <v>704</v>
      </c>
      <c r="Q1663" s="8" t="s">
        <v>1714</v>
      </c>
      <c r="R1663" s="8">
        <v>14</v>
      </c>
      <c r="S1663" s="11">
        <v>62.49490836625755</v>
      </c>
      <c r="T1663" s="11">
        <v>0.11875</v>
      </c>
      <c r="U1663" s="11">
        <v>18.88125</v>
      </c>
      <c r="V1663" s="11">
        <v>0.88125</v>
      </c>
      <c r="W1663" s="11">
        <v>140.11875</v>
      </c>
      <c r="X1663" s="8" t="s">
        <v>1695</v>
      </c>
    </row>
    <row r="1664" spans="1:24" ht="25" customHeight="1">
      <c r="A1664" s="12">
        <v>6551</v>
      </c>
      <c r="B1664" s="8">
        <v>0</v>
      </c>
      <c r="C1664" s="8" t="s">
        <v>115</v>
      </c>
      <c r="D1664" s="8" t="s">
        <v>206</v>
      </c>
      <c r="E1664" s="8" t="s">
        <v>1398</v>
      </c>
      <c r="F1664" s="8">
        <v>12</v>
      </c>
      <c r="G1664" s="8">
        <v>1</v>
      </c>
      <c r="H1664" s="11">
        <v>0.08333333333333333</v>
      </c>
      <c r="I1664" s="11">
        <v>0.0375</v>
      </c>
      <c r="J1664" s="11">
        <v>2.222222222222222</v>
      </c>
      <c r="K1664" s="8">
        <v>1</v>
      </c>
      <c r="L1664" s="8">
        <v>11</v>
      </c>
      <c r="M1664" s="8">
        <v>5</v>
      </c>
      <c r="N1664" s="8">
        <v>143</v>
      </c>
      <c r="O1664" s="11">
        <v>0.3848849755845735</v>
      </c>
      <c r="P1664" s="8" t="s">
        <v>704</v>
      </c>
      <c r="Q1664" s="8" t="s">
        <v>1715</v>
      </c>
      <c r="R1664" s="8">
        <v>15</v>
      </c>
      <c r="S1664" s="11">
        <v>55.35335289985491</v>
      </c>
      <c r="T1664" s="11">
        <v>0.45</v>
      </c>
      <c r="U1664" s="11">
        <v>11.55</v>
      </c>
      <c r="V1664" s="11">
        <v>5.55</v>
      </c>
      <c r="W1664" s="11">
        <v>142.45</v>
      </c>
      <c r="X1664" s="8" t="s">
        <v>1716</v>
      </c>
    </row>
    <row r="1665" spans="1:24" ht="25" customHeight="1">
      <c r="A1665" s="12">
        <v>6552</v>
      </c>
      <c r="B1665" s="8">
        <v>0</v>
      </c>
      <c r="C1665" s="8" t="s">
        <v>115</v>
      </c>
      <c r="D1665" s="8" t="s">
        <v>203</v>
      </c>
      <c r="E1665" s="8" t="s">
        <v>1429</v>
      </c>
      <c r="F1665" s="8">
        <v>19</v>
      </c>
      <c r="G1665" s="8">
        <v>1</v>
      </c>
      <c r="H1665" s="11">
        <v>0.05263157894736842</v>
      </c>
      <c r="I1665" s="11">
        <v>0.00625</v>
      </c>
      <c r="J1665" s="11">
        <v>8.421052631578947</v>
      </c>
      <c r="K1665" s="8">
        <v>1</v>
      </c>
      <c r="L1665" s="8">
        <v>18</v>
      </c>
      <c r="M1665" s="8">
        <v>0</v>
      </c>
      <c r="N1665" s="8">
        <v>141</v>
      </c>
      <c r="O1665" s="11">
        <v>0.006281484643227353</v>
      </c>
      <c r="P1665" s="8" t="s">
        <v>704</v>
      </c>
      <c r="Q1665" s="8" t="s">
        <v>1717</v>
      </c>
      <c r="R1665" s="8">
        <v>16</v>
      </c>
      <c r="S1665" s="11">
        <v>62.49490836625755</v>
      </c>
      <c r="T1665" s="11">
        <v>0.11875</v>
      </c>
      <c r="U1665" s="11">
        <v>18.88125</v>
      </c>
      <c r="V1665" s="11">
        <v>0.88125</v>
      </c>
      <c r="W1665" s="11">
        <v>140.11875</v>
      </c>
      <c r="X1665" s="8" t="s">
        <v>1695</v>
      </c>
    </row>
    <row r="1666" spans="1:24" ht="25" customHeight="1">
      <c r="A1666" s="12">
        <v>6553</v>
      </c>
      <c r="B1666" s="8">
        <v>0</v>
      </c>
      <c r="C1666" s="8" t="s">
        <v>115</v>
      </c>
      <c r="D1666" s="8" t="s">
        <v>206</v>
      </c>
      <c r="E1666" s="8" t="s">
        <v>1431</v>
      </c>
      <c r="F1666" s="8">
        <v>12</v>
      </c>
      <c r="G1666" s="8">
        <v>1</v>
      </c>
      <c r="H1666" s="11">
        <v>0.08333333333333333</v>
      </c>
      <c r="I1666" s="11">
        <v>0.0125</v>
      </c>
      <c r="J1666" s="11">
        <v>6.666666666666666</v>
      </c>
      <c r="K1666" s="8">
        <v>1</v>
      </c>
      <c r="L1666" s="8">
        <v>11</v>
      </c>
      <c r="M1666" s="8">
        <v>1</v>
      </c>
      <c r="N1666" s="8">
        <v>147</v>
      </c>
      <c r="O1666" s="11">
        <v>0.02165714750176731</v>
      </c>
      <c r="P1666" s="8" t="s">
        <v>704</v>
      </c>
      <c r="Q1666" s="8" t="s">
        <v>1718</v>
      </c>
      <c r="R1666" s="8">
        <v>17</v>
      </c>
      <c r="S1666" s="11">
        <v>62.7250475958245</v>
      </c>
      <c r="T1666" s="11">
        <v>0.15</v>
      </c>
      <c r="U1666" s="11">
        <v>11.85</v>
      </c>
      <c r="V1666" s="11">
        <v>1.85</v>
      </c>
      <c r="W1666" s="11">
        <v>146.15</v>
      </c>
      <c r="X1666" s="8" t="s">
        <v>1719</v>
      </c>
    </row>
    <row r="1667" spans="1:24" ht="25" customHeight="1">
      <c r="A1667" s="12">
        <v>6554</v>
      </c>
      <c r="B1667" s="8">
        <v>0</v>
      </c>
      <c r="C1667" s="8" t="s">
        <v>115</v>
      </c>
      <c r="D1667" s="8" t="s">
        <v>203</v>
      </c>
      <c r="E1667" s="8" t="s">
        <v>1433</v>
      </c>
      <c r="F1667" s="8">
        <v>19</v>
      </c>
      <c r="G1667" s="8">
        <v>1</v>
      </c>
      <c r="H1667" s="11">
        <v>0.05263157894736842</v>
      </c>
      <c r="I1667" s="11">
        <v>0.00625</v>
      </c>
      <c r="J1667" s="11">
        <v>8.421052631578947</v>
      </c>
      <c r="K1667" s="8">
        <v>1</v>
      </c>
      <c r="L1667" s="8">
        <v>18</v>
      </c>
      <c r="M1667" s="8">
        <v>0</v>
      </c>
      <c r="N1667" s="8">
        <v>141</v>
      </c>
      <c r="O1667" s="11">
        <v>0.006281484643227353</v>
      </c>
      <c r="P1667" s="8" t="s">
        <v>704</v>
      </c>
      <c r="Q1667" s="8" t="s">
        <v>1720</v>
      </c>
      <c r="R1667" s="8">
        <v>18</v>
      </c>
      <c r="S1667" s="11">
        <v>62.49490836625755</v>
      </c>
      <c r="T1667" s="11">
        <v>0.11875</v>
      </c>
      <c r="U1667" s="11">
        <v>18.88125</v>
      </c>
      <c r="V1667" s="11">
        <v>0.88125</v>
      </c>
      <c r="W1667" s="11">
        <v>140.11875</v>
      </c>
      <c r="X1667" s="8" t="s">
        <v>1695</v>
      </c>
    </row>
    <row r="1668" spans="1:24" ht="25" customHeight="1">
      <c r="A1668" s="12">
        <v>6555</v>
      </c>
      <c r="B1668" s="8">
        <v>0</v>
      </c>
      <c r="C1668" s="8" t="s">
        <v>115</v>
      </c>
      <c r="D1668" s="8" t="s">
        <v>203</v>
      </c>
      <c r="E1668" s="8" t="s">
        <v>1435</v>
      </c>
      <c r="F1668" s="8">
        <v>19</v>
      </c>
      <c r="G1668" s="8">
        <v>1</v>
      </c>
      <c r="H1668" s="11">
        <v>0.05263157894736842</v>
      </c>
      <c r="I1668" s="11">
        <v>0.00625</v>
      </c>
      <c r="J1668" s="11">
        <v>8.421052631578947</v>
      </c>
      <c r="K1668" s="8">
        <v>1</v>
      </c>
      <c r="L1668" s="8">
        <v>18</v>
      </c>
      <c r="M1668" s="8">
        <v>0</v>
      </c>
      <c r="N1668" s="8">
        <v>141</v>
      </c>
      <c r="O1668" s="11">
        <v>0.006281484643227353</v>
      </c>
      <c r="P1668" s="8" t="s">
        <v>704</v>
      </c>
      <c r="Q1668" s="8" t="s">
        <v>1721</v>
      </c>
      <c r="R1668" s="8">
        <v>19</v>
      </c>
      <c r="S1668" s="11">
        <v>62.49490836625755</v>
      </c>
      <c r="T1668" s="11">
        <v>0.11875</v>
      </c>
      <c r="U1668" s="11">
        <v>18.88125</v>
      </c>
      <c r="V1668" s="11">
        <v>0.88125</v>
      </c>
      <c r="W1668" s="11">
        <v>140.11875</v>
      </c>
      <c r="X1668" s="8" t="s">
        <v>1695</v>
      </c>
    </row>
    <row r="1669" spans="1:24" ht="25" customHeight="1">
      <c r="A1669" s="12">
        <v>6556</v>
      </c>
      <c r="B1669" s="8">
        <v>0</v>
      </c>
      <c r="C1669" s="8" t="s">
        <v>115</v>
      </c>
      <c r="D1669" s="8" t="s">
        <v>206</v>
      </c>
      <c r="E1669" s="8" t="s">
        <v>815</v>
      </c>
      <c r="F1669" s="8">
        <v>12</v>
      </c>
      <c r="G1669" s="8">
        <v>2</v>
      </c>
      <c r="H1669" s="11">
        <v>0.1666666666666667</v>
      </c>
      <c r="I1669" s="11">
        <v>0.05</v>
      </c>
      <c r="J1669" s="11">
        <v>3.333333333333333</v>
      </c>
      <c r="K1669" s="8">
        <v>2</v>
      </c>
      <c r="L1669" s="8">
        <v>10</v>
      </c>
      <c r="M1669" s="8">
        <v>6</v>
      </c>
      <c r="N1669" s="8">
        <v>142</v>
      </c>
      <c r="O1669" s="11">
        <v>0.0538481071000171</v>
      </c>
      <c r="P1669" s="8" t="s">
        <v>704</v>
      </c>
      <c r="Q1669" s="8" t="s">
        <v>1722</v>
      </c>
      <c r="R1669" s="8">
        <v>20</v>
      </c>
      <c r="S1669" s="11">
        <v>62.06409279783324</v>
      </c>
      <c r="T1669" s="11">
        <v>0.6</v>
      </c>
      <c r="U1669" s="11">
        <v>11.4</v>
      </c>
      <c r="V1669" s="11">
        <v>7.4</v>
      </c>
      <c r="W1669" s="11">
        <v>140.6</v>
      </c>
      <c r="X1669" s="8" t="s">
        <v>1723</v>
      </c>
    </row>
    <row r="1670" spans="1:24" ht="25" customHeight="1">
      <c r="A1670" s="12">
        <v>6557</v>
      </c>
      <c r="B1670" s="8">
        <v>0</v>
      </c>
      <c r="C1670" s="8" t="s">
        <v>115</v>
      </c>
      <c r="D1670" s="8" t="s">
        <v>203</v>
      </c>
      <c r="E1670" s="8" t="s">
        <v>816</v>
      </c>
      <c r="F1670" s="8">
        <v>19</v>
      </c>
      <c r="G1670" s="8">
        <v>2</v>
      </c>
      <c r="H1670" s="11">
        <v>0.1052631578947368</v>
      </c>
      <c r="I1670" s="11">
        <v>0.15</v>
      </c>
      <c r="J1670" s="11">
        <v>0.7017543859649122</v>
      </c>
      <c r="K1670" s="8">
        <v>2</v>
      </c>
      <c r="L1670" s="8">
        <v>17</v>
      </c>
      <c r="M1670" s="8">
        <v>22</v>
      </c>
      <c r="N1670" s="8">
        <v>119</v>
      </c>
      <c r="O1670" s="11">
        <v>0.5607341164137791</v>
      </c>
      <c r="P1670" s="8" t="s">
        <v>704</v>
      </c>
      <c r="Q1670" s="8" t="s">
        <v>1724</v>
      </c>
      <c r="R1670" s="8">
        <v>21</v>
      </c>
      <c r="S1670" s="11">
        <v>53.6524697688083</v>
      </c>
      <c r="T1670" s="11">
        <v>2.85</v>
      </c>
      <c r="U1670" s="11">
        <v>16.15</v>
      </c>
      <c r="V1670" s="11">
        <v>21.15</v>
      </c>
      <c r="W1670" s="11">
        <v>119.85</v>
      </c>
      <c r="X1670" s="8" t="s">
        <v>1725</v>
      </c>
    </row>
    <row r="1671" spans="1:24" ht="25" customHeight="1">
      <c r="A1671" s="12">
        <v>6558</v>
      </c>
      <c r="B1671" s="8">
        <v>0</v>
      </c>
      <c r="C1671" s="8" t="s">
        <v>115</v>
      </c>
      <c r="D1671" s="8" t="s">
        <v>203</v>
      </c>
      <c r="E1671" s="8" t="s">
        <v>1439</v>
      </c>
      <c r="F1671" s="8">
        <v>19</v>
      </c>
      <c r="G1671" s="8">
        <v>1</v>
      </c>
      <c r="H1671" s="11">
        <v>0.05263157894736842</v>
      </c>
      <c r="I1671" s="11">
        <v>0.01875</v>
      </c>
      <c r="J1671" s="11">
        <v>2.807017543859649</v>
      </c>
      <c r="K1671" s="8">
        <v>1</v>
      </c>
      <c r="L1671" s="8">
        <v>18</v>
      </c>
      <c r="M1671" s="8">
        <v>2</v>
      </c>
      <c r="N1671" s="8">
        <v>139</v>
      </c>
      <c r="O1671" s="11">
        <v>0.24611142838439</v>
      </c>
      <c r="P1671" s="8" t="s">
        <v>704</v>
      </c>
      <c r="Q1671" s="8" t="s">
        <v>1726</v>
      </c>
      <c r="R1671" s="8">
        <v>22</v>
      </c>
      <c r="S1671" s="11">
        <v>56.90979373527104</v>
      </c>
      <c r="T1671" s="11">
        <v>0.35625</v>
      </c>
      <c r="U1671" s="11">
        <v>18.64375</v>
      </c>
      <c r="V1671" s="11">
        <v>2.64375</v>
      </c>
      <c r="W1671" s="11">
        <v>138.35625</v>
      </c>
      <c r="X1671" s="8" t="s">
        <v>1702</v>
      </c>
    </row>
    <row r="1672" spans="1:24" ht="25" customHeight="1">
      <c r="A1672" s="12">
        <v>6559</v>
      </c>
      <c r="B1672" s="8">
        <v>0</v>
      </c>
      <c r="C1672" s="8" t="s">
        <v>115</v>
      </c>
      <c r="D1672" s="8" t="s">
        <v>206</v>
      </c>
      <c r="E1672" s="8" t="s">
        <v>817</v>
      </c>
      <c r="F1672" s="8">
        <v>12</v>
      </c>
      <c r="G1672" s="8">
        <v>2</v>
      </c>
      <c r="H1672" s="11">
        <v>0.1666666666666667</v>
      </c>
      <c r="I1672" s="11">
        <v>0.0125</v>
      </c>
      <c r="J1672" s="11">
        <v>13.33333333333333</v>
      </c>
      <c r="K1672" s="8">
        <v>2</v>
      </c>
      <c r="L1672" s="8">
        <v>10</v>
      </c>
      <c r="M1672" s="8">
        <v>0</v>
      </c>
      <c r="N1672" s="8">
        <v>148</v>
      </c>
      <c r="O1672" s="11">
        <v>5.796107577188919E-07</v>
      </c>
      <c r="P1672" s="8" t="s">
        <v>704</v>
      </c>
      <c r="Q1672" s="8" t="s">
        <v>1727</v>
      </c>
      <c r="R1672" s="8">
        <v>23</v>
      </c>
      <c r="S1672" s="11">
        <v>65.66666376861288</v>
      </c>
      <c r="T1672" s="11">
        <v>0.15</v>
      </c>
      <c r="U1672" s="11">
        <v>11.85</v>
      </c>
      <c r="V1672" s="11">
        <v>1.85</v>
      </c>
      <c r="W1672" s="11">
        <v>146.15</v>
      </c>
      <c r="X1672" s="8" t="s">
        <v>1728</v>
      </c>
    </row>
    <row r="1673" spans="1:24" ht="25" customHeight="1">
      <c r="A1673" s="12">
        <v>6560</v>
      </c>
      <c r="B1673" s="8">
        <v>0</v>
      </c>
      <c r="C1673" s="8" t="s">
        <v>115</v>
      </c>
      <c r="D1673" s="8" t="s">
        <v>811</v>
      </c>
      <c r="E1673" s="8" t="s">
        <v>816</v>
      </c>
      <c r="F1673" s="8">
        <v>3</v>
      </c>
      <c r="G1673" s="8">
        <v>2</v>
      </c>
      <c r="H1673" s="11">
        <v>0.6666666666666666</v>
      </c>
      <c r="I1673" s="11">
        <v>0.15</v>
      </c>
      <c r="J1673" s="11">
        <v>4.444444444444445</v>
      </c>
      <c r="K1673" s="8">
        <v>2</v>
      </c>
      <c r="L1673" s="8">
        <v>1</v>
      </c>
      <c r="M1673" s="8">
        <v>22</v>
      </c>
      <c r="N1673" s="8">
        <v>135</v>
      </c>
      <c r="O1673" s="11">
        <v>0.01140518792737689</v>
      </c>
      <c r="P1673" s="8" t="s">
        <v>704</v>
      </c>
      <c r="Q1673" s="8" t="s">
        <v>1729</v>
      </c>
      <c r="R1673" s="8">
        <v>24</v>
      </c>
      <c r="S1673" s="11">
        <v>69.49852961591867</v>
      </c>
      <c r="T1673" s="11">
        <v>0.45</v>
      </c>
      <c r="U1673" s="11">
        <v>2.55</v>
      </c>
      <c r="V1673" s="11">
        <v>23.55</v>
      </c>
      <c r="W1673" s="11">
        <v>133.45</v>
      </c>
      <c r="X1673" s="8" t="s">
        <v>1730</v>
      </c>
    </row>
    <row r="1674" spans="1:24" ht="25" customHeight="1">
      <c r="A1674" s="12">
        <v>6561</v>
      </c>
      <c r="B1674" s="8">
        <v>0</v>
      </c>
      <c r="C1674" s="8" t="s">
        <v>115</v>
      </c>
      <c r="D1674" s="8" t="s">
        <v>203</v>
      </c>
      <c r="E1674" s="8" t="s">
        <v>818</v>
      </c>
      <c r="F1674" s="8">
        <v>19</v>
      </c>
      <c r="G1674" s="8">
        <v>2</v>
      </c>
      <c r="H1674" s="11">
        <v>0.1052631578947368</v>
      </c>
      <c r="I1674" s="11">
        <v>0.025</v>
      </c>
      <c r="J1674" s="11">
        <v>4.210526315789473</v>
      </c>
      <c r="K1674" s="8">
        <v>2</v>
      </c>
      <c r="L1674" s="8">
        <v>17</v>
      </c>
      <c r="M1674" s="8">
        <v>2</v>
      </c>
      <c r="N1674" s="8">
        <v>139</v>
      </c>
      <c r="O1674" s="11">
        <v>0.01698173089893013</v>
      </c>
      <c r="P1674" s="8" t="s">
        <v>704</v>
      </c>
      <c r="Q1674" s="8" t="s">
        <v>1731</v>
      </c>
      <c r="R1674" s="8">
        <v>25</v>
      </c>
      <c r="S1674" s="11">
        <v>63.38877555603166</v>
      </c>
      <c r="T1674" s="11">
        <v>0.475</v>
      </c>
      <c r="U1674" s="11">
        <v>18.525</v>
      </c>
      <c r="V1674" s="11">
        <v>3.525</v>
      </c>
      <c r="W1674" s="11">
        <v>137.475</v>
      </c>
      <c r="X1674" s="8" t="s">
        <v>1732</v>
      </c>
    </row>
    <row r="1675" spans="1:24" ht="25" customHeight="1">
      <c r="A1675" s="12">
        <v>6562</v>
      </c>
      <c r="B1675" s="8">
        <v>0</v>
      </c>
      <c r="C1675" s="8" t="s">
        <v>115</v>
      </c>
      <c r="D1675" s="8" t="s">
        <v>811</v>
      </c>
      <c r="E1675" s="8" t="s">
        <v>1447</v>
      </c>
      <c r="F1675" s="8">
        <v>3</v>
      </c>
      <c r="G1675" s="8">
        <v>1</v>
      </c>
      <c r="H1675" s="11">
        <v>0.3333333333333333</v>
      </c>
      <c r="I1675" s="11">
        <v>0.0125</v>
      </c>
      <c r="J1675" s="11">
        <v>26.66666666666666</v>
      </c>
      <c r="K1675" s="8">
        <v>1</v>
      </c>
      <c r="L1675" s="8">
        <v>2</v>
      </c>
      <c r="M1675" s="8">
        <v>1</v>
      </c>
      <c r="N1675" s="8">
        <v>156</v>
      </c>
      <c r="O1675" s="11">
        <v>4.43552205177887E-07</v>
      </c>
      <c r="P1675" s="8" t="s">
        <v>704</v>
      </c>
      <c r="Q1675" s="8" t="s">
        <v>1733</v>
      </c>
      <c r="R1675" s="8">
        <v>26</v>
      </c>
      <c r="S1675" s="11">
        <v>65.33333111557231</v>
      </c>
      <c r="T1675" s="11">
        <v>0.0375</v>
      </c>
      <c r="U1675" s="11">
        <v>2.9625</v>
      </c>
      <c r="V1675" s="11">
        <v>1.9625</v>
      </c>
      <c r="W1675" s="11">
        <v>155.0375</v>
      </c>
      <c r="X1675" s="8" t="s">
        <v>1734</v>
      </c>
    </row>
    <row r="1676" spans="1:24" ht="25" customHeight="1">
      <c r="A1676" s="12">
        <v>6563</v>
      </c>
      <c r="B1676" s="8">
        <v>0</v>
      </c>
      <c r="C1676" s="8" t="s">
        <v>115</v>
      </c>
      <c r="D1676" s="8" t="s">
        <v>206</v>
      </c>
      <c r="E1676" s="8" t="s">
        <v>823</v>
      </c>
      <c r="F1676" s="8">
        <v>12</v>
      </c>
      <c r="G1676" s="8">
        <v>2</v>
      </c>
      <c r="H1676" s="11">
        <v>0.1666666666666667</v>
      </c>
      <c r="I1676" s="11">
        <v>0.04375</v>
      </c>
      <c r="J1676" s="11">
        <v>3.80952380952381</v>
      </c>
      <c r="K1676" s="8">
        <v>2</v>
      </c>
      <c r="L1676" s="8">
        <v>10</v>
      </c>
      <c r="M1676" s="8">
        <v>5</v>
      </c>
      <c r="N1676" s="8">
        <v>143</v>
      </c>
      <c r="O1676" s="11">
        <v>0.03042668894301408</v>
      </c>
      <c r="P1676" s="8" t="s">
        <v>704</v>
      </c>
      <c r="Q1676" s="8" t="s">
        <v>1735</v>
      </c>
      <c r="R1676" s="8">
        <v>27</v>
      </c>
      <c r="S1676" s="11">
        <v>63.13358084099922</v>
      </c>
      <c r="T1676" s="11">
        <v>0.525</v>
      </c>
      <c r="U1676" s="11">
        <v>11.475</v>
      </c>
      <c r="V1676" s="11">
        <v>6.475</v>
      </c>
      <c r="W1676" s="11">
        <v>141.525</v>
      </c>
      <c r="X1676" s="8" t="s">
        <v>1736</v>
      </c>
    </row>
    <row r="1677" spans="1:24" ht="25" customHeight="1">
      <c r="A1677" s="12">
        <v>6564</v>
      </c>
      <c r="B1677" s="8">
        <v>0</v>
      </c>
      <c r="C1677" s="8" t="s">
        <v>115</v>
      </c>
      <c r="D1677" s="8" t="s">
        <v>235</v>
      </c>
      <c r="E1677" s="8" t="s">
        <v>1451</v>
      </c>
      <c r="F1677" s="8">
        <v>2</v>
      </c>
      <c r="G1677" s="8">
        <v>1</v>
      </c>
      <c r="H1677" s="11">
        <v>0.5</v>
      </c>
      <c r="I1677" s="11">
        <v>0.0125</v>
      </c>
      <c r="J1677" s="8">
        <v>40</v>
      </c>
      <c r="K1677" s="8">
        <v>1</v>
      </c>
      <c r="L1677" s="8">
        <v>1</v>
      </c>
      <c r="M1677" s="8">
        <v>1</v>
      </c>
      <c r="N1677" s="8">
        <v>157</v>
      </c>
      <c r="O1677" s="11">
        <v>4.251642997804856E-10</v>
      </c>
      <c r="P1677" s="8" t="s">
        <v>704</v>
      </c>
      <c r="Q1677" s="8" t="s">
        <v>1737</v>
      </c>
      <c r="R1677" s="8">
        <v>28</v>
      </c>
      <c r="S1677" s="11">
        <v>66.99999999787418</v>
      </c>
      <c r="T1677" s="11">
        <v>0.025</v>
      </c>
      <c r="U1677" s="11">
        <v>1.975</v>
      </c>
      <c r="V1677" s="11">
        <v>1.975</v>
      </c>
      <c r="W1677" s="11">
        <v>156.025</v>
      </c>
      <c r="X1677" s="8" t="s">
        <v>1738</v>
      </c>
    </row>
    <row r="1678" spans="1:24" ht="25" customHeight="1">
      <c r="A1678" s="12">
        <v>6565</v>
      </c>
      <c r="B1678" s="8">
        <v>0</v>
      </c>
      <c r="C1678" s="8" t="s">
        <v>115</v>
      </c>
      <c r="D1678" s="8" t="s">
        <v>203</v>
      </c>
      <c r="E1678" s="8" t="s">
        <v>1455</v>
      </c>
      <c r="F1678" s="8">
        <v>19</v>
      </c>
      <c r="G1678" s="8">
        <v>1</v>
      </c>
      <c r="H1678" s="11">
        <v>0.05263157894736842</v>
      </c>
      <c r="I1678" s="11">
        <v>0.00625</v>
      </c>
      <c r="J1678" s="11">
        <v>8.421052631578947</v>
      </c>
      <c r="K1678" s="8">
        <v>1</v>
      </c>
      <c r="L1678" s="8">
        <v>18</v>
      </c>
      <c r="M1678" s="8">
        <v>0</v>
      </c>
      <c r="N1678" s="8">
        <v>141</v>
      </c>
      <c r="O1678" s="11">
        <v>0.006281484643227353</v>
      </c>
      <c r="P1678" s="8" t="s">
        <v>704</v>
      </c>
      <c r="Q1678" s="8" t="s">
        <v>1739</v>
      </c>
      <c r="R1678" s="8">
        <v>29</v>
      </c>
      <c r="S1678" s="11">
        <v>62.49490836625755</v>
      </c>
      <c r="T1678" s="11">
        <v>0.11875</v>
      </c>
      <c r="U1678" s="11">
        <v>18.88125</v>
      </c>
      <c r="V1678" s="11">
        <v>0.88125</v>
      </c>
      <c r="W1678" s="11">
        <v>140.11875</v>
      </c>
      <c r="X1678" s="8" t="s">
        <v>1695</v>
      </c>
    </row>
    <row r="1679" spans="1:24" ht="25" customHeight="1">
      <c r="A1679" s="12">
        <v>6566</v>
      </c>
      <c r="B1679" s="8">
        <v>1</v>
      </c>
      <c r="C1679" s="8" t="s">
        <v>711</v>
      </c>
      <c r="D1679" s="8" t="s">
        <v>203</v>
      </c>
      <c r="E1679" s="8" t="s">
        <v>815</v>
      </c>
      <c r="F1679" s="8">
        <v>1</v>
      </c>
      <c r="G1679" s="8">
        <v>1</v>
      </c>
      <c r="H1679" s="8">
        <v>1</v>
      </c>
      <c r="I1679" s="11">
        <v>0.05</v>
      </c>
      <c r="J1679" s="8">
        <v>20</v>
      </c>
      <c r="K1679" s="8">
        <v>1</v>
      </c>
      <c r="L1679" s="8">
        <v>0</v>
      </c>
      <c r="M1679" s="8">
        <v>7</v>
      </c>
      <c r="N1679" s="8">
        <v>152</v>
      </c>
      <c r="O1679" s="11">
        <v>1.227841633945058E-05</v>
      </c>
      <c r="P1679" s="8" t="s">
        <v>704</v>
      </c>
      <c r="Q1679" s="8" t="s">
        <v>1740</v>
      </c>
      <c r="R1679" s="8">
        <v>30</v>
      </c>
      <c r="S1679" s="11">
        <v>71.9999386079183</v>
      </c>
      <c r="T1679" s="11">
        <v>0.05</v>
      </c>
      <c r="U1679" s="11">
        <v>0.95</v>
      </c>
      <c r="V1679" s="11">
        <v>7.95</v>
      </c>
      <c r="W1679" s="11">
        <v>151.05</v>
      </c>
      <c r="X1679" s="8" t="s">
        <v>1741</v>
      </c>
    </row>
    <row r="1680" spans="1:24" ht="25" customHeight="1">
      <c r="A1680" s="12">
        <v>6567</v>
      </c>
      <c r="B1680" s="8">
        <v>1</v>
      </c>
      <c r="C1680" s="8" t="s">
        <v>716</v>
      </c>
      <c r="D1680" s="8" t="s">
        <v>222</v>
      </c>
      <c r="E1680" s="8" t="s">
        <v>819</v>
      </c>
      <c r="F1680" s="8">
        <v>1</v>
      </c>
      <c r="G1680" s="8">
        <v>1</v>
      </c>
      <c r="H1680" s="8">
        <v>1</v>
      </c>
      <c r="I1680" s="11">
        <v>0.04375</v>
      </c>
      <c r="J1680" s="11">
        <v>22.85714285714286</v>
      </c>
      <c r="K1680" s="8">
        <v>1</v>
      </c>
      <c r="L1680" s="8">
        <v>0</v>
      </c>
      <c r="M1680" s="8">
        <v>6</v>
      </c>
      <c r="N1680" s="8">
        <v>153</v>
      </c>
      <c r="O1680" s="11">
        <v>2.734173458838461E-06</v>
      </c>
      <c r="P1680" s="8" t="s">
        <v>704</v>
      </c>
      <c r="Q1680" s="8" t="s">
        <v>1742</v>
      </c>
      <c r="R1680" s="8">
        <v>31</v>
      </c>
      <c r="S1680" s="11">
        <v>71.99998632913271</v>
      </c>
      <c r="T1680" s="11">
        <v>0.04375</v>
      </c>
      <c r="U1680" s="11">
        <v>0.95625</v>
      </c>
      <c r="V1680" s="11">
        <v>6.95625</v>
      </c>
      <c r="W1680" s="11">
        <v>152.04375</v>
      </c>
      <c r="X1680" s="8" t="s">
        <v>1743</v>
      </c>
    </row>
    <row r="1681" spans="1:24" ht="25" customHeight="1">
      <c r="A1681" s="12">
        <v>6568</v>
      </c>
      <c r="B1681" s="8">
        <v>1</v>
      </c>
      <c r="C1681" s="8" t="s">
        <v>716</v>
      </c>
      <c r="D1681" s="8" t="s">
        <v>203</v>
      </c>
      <c r="E1681" s="8" t="s">
        <v>816</v>
      </c>
      <c r="F1681" s="8">
        <v>15</v>
      </c>
      <c r="G1681" s="8">
        <v>4</v>
      </c>
      <c r="H1681" s="11">
        <v>0.2666666666666667</v>
      </c>
      <c r="I1681" s="11">
        <v>0.15</v>
      </c>
      <c r="J1681" s="11">
        <v>1.777777777777778</v>
      </c>
      <c r="K1681" s="8">
        <v>4</v>
      </c>
      <c r="L1681" s="8">
        <v>11</v>
      </c>
      <c r="M1681" s="8">
        <v>20</v>
      </c>
      <c r="N1681" s="8">
        <v>125</v>
      </c>
      <c r="O1681" s="11">
        <v>0.1837587933718104</v>
      </c>
      <c r="P1681" s="8" t="s">
        <v>700</v>
      </c>
      <c r="Q1681" s="8" t="s">
        <v>1744</v>
      </c>
      <c r="R1681" s="8">
        <v>32</v>
      </c>
      <c r="S1681" s="11">
        <v>58.30342825536317</v>
      </c>
      <c r="T1681" s="11">
        <v>2.25</v>
      </c>
      <c r="U1681" s="11">
        <v>12.75</v>
      </c>
      <c r="V1681" s="11">
        <v>21.75</v>
      </c>
      <c r="W1681" s="11">
        <v>123.25</v>
      </c>
      <c r="X1681" s="8" t="s">
        <v>1745</v>
      </c>
    </row>
    <row r="1682" spans="1:24" ht="25" customHeight="1">
      <c r="A1682" s="12">
        <v>6569</v>
      </c>
      <c r="B1682" s="8">
        <v>1</v>
      </c>
      <c r="C1682" s="8" t="s">
        <v>716</v>
      </c>
      <c r="D1682" s="8" t="s">
        <v>206</v>
      </c>
      <c r="E1682" s="8" t="s">
        <v>815</v>
      </c>
      <c r="F1682" s="8">
        <v>6</v>
      </c>
      <c r="G1682" s="8">
        <v>1</v>
      </c>
      <c r="H1682" s="11">
        <v>0.1666666666666667</v>
      </c>
      <c r="I1682" s="11">
        <v>0.05</v>
      </c>
      <c r="J1682" s="11">
        <v>3.333333333333333</v>
      </c>
      <c r="K1682" s="8">
        <v>1</v>
      </c>
      <c r="L1682" s="8">
        <v>5</v>
      </c>
      <c r="M1682" s="8">
        <v>7</v>
      </c>
      <c r="N1682" s="8">
        <v>147</v>
      </c>
      <c r="O1682" s="11">
        <v>0.1813795901118165</v>
      </c>
      <c r="P1682" s="8" t="s">
        <v>704</v>
      </c>
      <c r="Q1682" s="8" t="s">
        <v>1746</v>
      </c>
      <c r="R1682" s="8">
        <v>33</v>
      </c>
      <c r="S1682" s="11">
        <v>59.42643538277424</v>
      </c>
      <c r="T1682" s="11">
        <v>0.3</v>
      </c>
      <c r="U1682" s="11">
        <v>5.7</v>
      </c>
      <c r="V1682" s="11">
        <v>7.7</v>
      </c>
      <c r="W1682" s="11">
        <v>146.3</v>
      </c>
      <c r="X1682" s="8" t="s">
        <v>1747</v>
      </c>
    </row>
    <row r="1683" spans="1:24" ht="25" customHeight="1">
      <c r="A1683" s="12">
        <v>6570</v>
      </c>
      <c r="B1683" s="8">
        <v>1</v>
      </c>
      <c r="C1683" s="8" t="s">
        <v>716</v>
      </c>
      <c r="D1683" s="8" t="s">
        <v>203</v>
      </c>
      <c r="E1683" s="8" t="s">
        <v>1410</v>
      </c>
      <c r="F1683" s="8">
        <v>15</v>
      </c>
      <c r="G1683" s="8">
        <v>1</v>
      </c>
      <c r="H1683" s="11">
        <v>0.06666666666666667</v>
      </c>
      <c r="I1683" s="11">
        <v>0.01875</v>
      </c>
      <c r="J1683" s="11">
        <v>3.555555555555556</v>
      </c>
      <c r="K1683" s="8">
        <v>1</v>
      </c>
      <c r="L1683" s="8">
        <v>14</v>
      </c>
      <c r="M1683" s="8">
        <v>2</v>
      </c>
      <c r="N1683" s="8">
        <v>143</v>
      </c>
      <c r="O1683" s="11">
        <v>0.150660666387212</v>
      </c>
      <c r="P1683" s="8" t="s">
        <v>704</v>
      </c>
      <c r="Q1683" s="8" t="s">
        <v>1748</v>
      </c>
      <c r="R1683" s="8">
        <v>34</v>
      </c>
      <c r="S1683" s="11">
        <v>59.02447444584172</v>
      </c>
      <c r="T1683" s="11">
        <v>0.28125</v>
      </c>
      <c r="U1683" s="11">
        <v>14.71875</v>
      </c>
      <c r="V1683" s="11">
        <v>2.71875</v>
      </c>
      <c r="W1683" s="11">
        <v>142.28125</v>
      </c>
      <c r="X1683" s="8" t="s">
        <v>1749</v>
      </c>
    </row>
    <row r="1684" spans="1:24" ht="25" customHeight="1">
      <c r="A1684" s="12">
        <v>6571</v>
      </c>
      <c r="B1684" s="8">
        <v>1</v>
      </c>
      <c r="C1684" s="8" t="s">
        <v>716</v>
      </c>
      <c r="D1684" s="8" t="s">
        <v>206</v>
      </c>
      <c r="E1684" s="8" t="s">
        <v>1469</v>
      </c>
      <c r="F1684" s="8">
        <v>6</v>
      </c>
      <c r="G1684" s="8">
        <v>1</v>
      </c>
      <c r="H1684" s="11">
        <v>0.1666666666666667</v>
      </c>
      <c r="I1684" s="11">
        <v>0.00625</v>
      </c>
      <c r="J1684" s="11">
        <v>26.66666666666666</v>
      </c>
      <c r="K1684" s="8">
        <v>1</v>
      </c>
      <c r="L1684" s="8">
        <v>5</v>
      </c>
      <c r="M1684" s="8">
        <v>0</v>
      </c>
      <c r="N1684" s="8">
        <v>154</v>
      </c>
      <c r="O1684" s="11">
        <v>3.732167562693209E-07</v>
      </c>
      <c r="P1684" s="8" t="s">
        <v>704</v>
      </c>
      <c r="Q1684" s="8" t="s">
        <v>1750</v>
      </c>
      <c r="R1684" s="8">
        <v>35</v>
      </c>
      <c r="S1684" s="11">
        <v>63.66666480058288</v>
      </c>
      <c r="T1684" s="11">
        <v>0.0375</v>
      </c>
      <c r="U1684" s="11">
        <v>5.9625</v>
      </c>
      <c r="V1684" s="11">
        <v>0.9625</v>
      </c>
      <c r="W1684" s="11">
        <v>153.0375</v>
      </c>
      <c r="X1684" s="8" t="s">
        <v>1751</v>
      </c>
    </row>
    <row r="1685" spans="1:24" ht="25" customHeight="1">
      <c r="A1685" s="12">
        <v>6572</v>
      </c>
      <c r="B1685" s="8">
        <v>1</v>
      </c>
      <c r="C1685" s="8" t="s">
        <v>716</v>
      </c>
      <c r="D1685" s="8" t="s">
        <v>206</v>
      </c>
      <c r="E1685" s="8" t="s">
        <v>1474</v>
      </c>
      <c r="F1685" s="8">
        <v>6</v>
      </c>
      <c r="G1685" s="8">
        <v>1</v>
      </c>
      <c r="H1685" s="11">
        <v>0.1666666666666667</v>
      </c>
      <c r="I1685" s="11">
        <v>0.00625</v>
      </c>
      <c r="J1685" s="11">
        <v>26.66666666666666</v>
      </c>
      <c r="K1685" s="8">
        <v>1</v>
      </c>
      <c r="L1685" s="8">
        <v>5</v>
      </c>
      <c r="M1685" s="8">
        <v>0</v>
      </c>
      <c r="N1685" s="8">
        <v>154</v>
      </c>
      <c r="O1685" s="11">
        <v>3.732167562693209E-07</v>
      </c>
      <c r="P1685" s="8" t="s">
        <v>704</v>
      </c>
      <c r="Q1685" s="8" t="s">
        <v>1752</v>
      </c>
      <c r="R1685" s="8">
        <v>36</v>
      </c>
      <c r="S1685" s="11">
        <v>63.66666480058288</v>
      </c>
      <c r="T1685" s="11">
        <v>0.0375</v>
      </c>
      <c r="U1685" s="11">
        <v>5.9625</v>
      </c>
      <c r="V1685" s="11">
        <v>0.9625</v>
      </c>
      <c r="W1685" s="11">
        <v>153.0375</v>
      </c>
      <c r="X1685" s="8" t="s">
        <v>1751</v>
      </c>
    </row>
    <row r="1686" spans="1:24" ht="25" customHeight="1">
      <c r="A1686" s="12">
        <v>6573</v>
      </c>
      <c r="B1686" s="8">
        <v>1</v>
      </c>
      <c r="C1686" s="8" t="s">
        <v>716</v>
      </c>
      <c r="D1686" s="8" t="s">
        <v>203</v>
      </c>
      <c r="E1686" s="8" t="s">
        <v>1476</v>
      </c>
      <c r="F1686" s="8">
        <v>15</v>
      </c>
      <c r="G1686" s="8">
        <v>1</v>
      </c>
      <c r="H1686" s="11">
        <v>0.06666666666666667</v>
      </c>
      <c r="I1686" s="11">
        <v>0.00625</v>
      </c>
      <c r="J1686" s="11">
        <v>10.66666666666667</v>
      </c>
      <c r="K1686" s="8">
        <v>1</v>
      </c>
      <c r="L1686" s="8">
        <v>14</v>
      </c>
      <c r="M1686" s="8">
        <v>0</v>
      </c>
      <c r="N1686" s="8">
        <v>145</v>
      </c>
      <c r="O1686" s="11">
        <v>0.001815348576062723</v>
      </c>
      <c r="P1686" s="8" t="s">
        <v>704</v>
      </c>
      <c r="Q1686" s="8" t="s">
        <v>1753</v>
      </c>
      <c r="R1686" s="8">
        <v>37</v>
      </c>
      <c r="S1686" s="11">
        <v>62.65758992378635</v>
      </c>
      <c r="T1686" s="11">
        <v>0.09375</v>
      </c>
      <c r="U1686" s="11">
        <v>14.90625</v>
      </c>
      <c r="V1686" s="11">
        <v>0.90625</v>
      </c>
      <c r="W1686" s="11">
        <v>144.09375</v>
      </c>
      <c r="X1686" s="8" t="s">
        <v>1754</v>
      </c>
    </row>
    <row r="1687" spans="1:24" ht="25" customHeight="1">
      <c r="A1687" s="12">
        <v>6574</v>
      </c>
      <c r="B1687" s="8">
        <v>1</v>
      </c>
      <c r="C1687" s="8" t="s">
        <v>716</v>
      </c>
      <c r="D1687" s="8" t="s">
        <v>203</v>
      </c>
      <c r="E1687" s="8" t="s">
        <v>1478</v>
      </c>
      <c r="F1687" s="8">
        <v>15</v>
      </c>
      <c r="G1687" s="8">
        <v>1</v>
      </c>
      <c r="H1687" s="11">
        <v>0.06666666666666667</v>
      </c>
      <c r="I1687" s="11">
        <v>0.00625</v>
      </c>
      <c r="J1687" s="11">
        <v>10.66666666666667</v>
      </c>
      <c r="K1687" s="8">
        <v>1</v>
      </c>
      <c r="L1687" s="8">
        <v>14</v>
      </c>
      <c r="M1687" s="8">
        <v>0</v>
      </c>
      <c r="N1687" s="8">
        <v>145</v>
      </c>
      <c r="O1687" s="11">
        <v>0.001815348576062723</v>
      </c>
      <c r="P1687" s="8" t="s">
        <v>704</v>
      </c>
      <c r="Q1687" s="8" t="s">
        <v>1755</v>
      </c>
      <c r="R1687" s="8">
        <v>38</v>
      </c>
      <c r="S1687" s="11">
        <v>62.65758992378635</v>
      </c>
      <c r="T1687" s="11">
        <v>0.09375</v>
      </c>
      <c r="U1687" s="11">
        <v>14.90625</v>
      </c>
      <c r="V1687" s="11">
        <v>0.90625</v>
      </c>
      <c r="W1687" s="11">
        <v>144.09375</v>
      </c>
      <c r="X1687" s="8" t="s">
        <v>1754</v>
      </c>
    </row>
    <row r="1688" spans="1:24" ht="25" customHeight="1">
      <c r="A1688" s="12">
        <v>6575</v>
      </c>
      <c r="B1688" s="8">
        <v>1</v>
      </c>
      <c r="C1688" s="8" t="s">
        <v>716</v>
      </c>
      <c r="D1688" s="8" t="s">
        <v>206</v>
      </c>
      <c r="E1688" s="8" t="s">
        <v>49</v>
      </c>
      <c r="F1688" s="8">
        <v>6</v>
      </c>
      <c r="G1688" s="8">
        <v>1</v>
      </c>
      <c r="H1688" s="11">
        <v>0.1666666666666667</v>
      </c>
      <c r="I1688" s="11">
        <v>0.05</v>
      </c>
      <c r="J1688" s="11">
        <v>3.333333333333333</v>
      </c>
      <c r="K1688" s="8">
        <v>1</v>
      </c>
      <c r="L1688" s="8">
        <v>5</v>
      </c>
      <c r="M1688" s="8">
        <v>7</v>
      </c>
      <c r="N1688" s="8">
        <v>147</v>
      </c>
      <c r="O1688" s="11">
        <v>0.1813795901118165</v>
      </c>
      <c r="P1688" s="8" t="s">
        <v>704</v>
      </c>
      <c r="Q1688" s="8" t="s">
        <v>1756</v>
      </c>
      <c r="R1688" s="8">
        <v>39</v>
      </c>
      <c r="S1688" s="11">
        <v>59.42643538277424</v>
      </c>
      <c r="T1688" s="11">
        <v>0.3</v>
      </c>
      <c r="U1688" s="11">
        <v>5.7</v>
      </c>
      <c r="V1688" s="11">
        <v>7.7</v>
      </c>
      <c r="W1688" s="11">
        <v>146.3</v>
      </c>
      <c r="X1688" s="8" t="s">
        <v>1747</v>
      </c>
    </row>
    <row r="1689" spans="1:24" ht="25" customHeight="1">
      <c r="A1689" s="12">
        <v>6576</v>
      </c>
      <c r="B1689" s="8">
        <v>1</v>
      </c>
      <c r="C1689" s="8" t="s">
        <v>716</v>
      </c>
      <c r="D1689" s="8" t="s">
        <v>203</v>
      </c>
      <c r="E1689" s="8" t="s">
        <v>1481</v>
      </c>
      <c r="F1689" s="8">
        <v>15</v>
      </c>
      <c r="G1689" s="8">
        <v>1</v>
      </c>
      <c r="H1689" s="11">
        <v>0.06666666666666667</v>
      </c>
      <c r="I1689" s="11">
        <v>0.00625</v>
      </c>
      <c r="J1689" s="11">
        <v>10.66666666666667</v>
      </c>
      <c r="K1689" s="8">
        <v>1</v>
      </c>
      <c r="L1689" s="8">
        <v>14</v>
      </c>
      <c r="M1689" s="8">
        <v>0</v>
      </c>
      <c r="N1689" s="8">
        <v>145</v>
      </c>
      <c r="O1689" s="11">
        <v>0.001815348576062723</v>
      </c>
      <c r="P1689" s="8" t="s">
        <v>704</v>
      </c>
      <c r="Q1689" s="8" t="s">
        <v>1757</v>
      </c>
      <c r="R1689" s="8">
        <v>40</v>
      </c>
      <c r="S1689" s="11">
        <v>62.65758992378635</v>
      </c>
      <c r="T1689" s="11">
        <v>0.09375</v>
      </c>
      <c r="U1689" s="11">
        <v>14.90625</v>
      </c>
      <c r="V1689" s="11">
        <v>0.90625</v>
      </c>
      <c r="W1689" s="11">
        <v>144.09375</v>
      </c>
      <c r="X1689" s="8" t="s">
        <v>1754</v>
      </c>
    </row>
    <row r="1690" spans="1:24" ht="25" customHeight="1">
      <c r="A1690" s="12">
        <v>6577</v>
      </c>
      <c r="B1690" s="8">
        <v>1</v>
      </c>
      <c r="C1690" s="8" t="s">
        <v>711</v>
      </c>
      <c r="D1690" s="8" t="s">
        <v>235</v>
      </c>
      <c r="E1690" s="8" t="s">
        <v>1483</v>
      </c>
      <c r="F1690" s="8">
        <v>1</v>
      </c>
      <c r="G1690" s="8">
        <v>1</v>
      </c>
      <c r="H1690" s="8">
        <v>1</v>
      </c>
      <c r="I1690" s="11">
        <v>0.00625</v>
      </c>
      <c r="J1690" s="8">
        <v>160</v>
      </c>
      <c r="K1690" s="8">
        <v>1</v>
      </c>
      <c r="L1690" s="8">
        <v>0</v>
      </c>
      <c r="M1690" s="8">
        <v>0</v>
      </c>
      <c r="N1690" s="8">
        <v>159</v>
      </c>
      <c r="O1690" s="11">
        <v>1.131483790243283E-36</v>
      </c>
      <c r="P1690" s="8" t="s">
        <v>704</v>
      </c>
      <c r="Q1690" s="8" t="s">
        <v>1758</v>
      </c>
      <c r="R1690" s="8">
        <v>41</v>
      </c>
      <c r="S1690" s="8">
        <v>72</v>
      </c>
      <c r="T1690" s="11">
        <v>0.00625</v>
      </c>
      <c r="U1690" s="11">
        <v>0.99375</v>
      </c>
      <c r="V1690" s="11">
        <v>0.99375</v>
      </c>
      <c r="W1690" s="11">
        <v>158.00625</v>
      </c>
      <c r="X1690" s="8" t="s">
        <v>1511</v>
      </c>
    </row>
    <row r="1691" spans="1:24" ht="25" customHeight="1">
      <c r="A1691" s="12">
        <v>6578</v>
      </c>
      <c r="B1691" s="8">
        <v>1</v>
      </c>
      <c r="C1691" s="8" t="s">
        <v>706</v>
      </c>
      <c r="D1691" s="8" t="s">
        <v>811</v>
      </c>
      <c r="E1691" s="8" t="s">
        <v>1447</v>
      </c>
      <c r="F1691" s="8">
        <v>1</v>
      </c>
      <c r="G1691" s="8">
        <v>1</v>
      </c>
      <c r="H1691" s="8">
        <v>1</v>
      </c>
      <c r="I1691" s="11">
        <v>0.0125</v>
      </c>
      <c r="J1691" s="8">
        <v>80</v>
      </c>
      <c r="K1691" s="8">
        <v>1</v>
      </c>
      <c r="L1691" s="8">
        <v>0</v>
      </c>
      <c r="M1691" s="8">
        <v>1</v>
      </c>
      <c r="N1691" s="8">
        <v>158</v>
      </c>
      <c r="O1691" s="11">
        <v>4.829934540791119E-19</v>
      </c>
      <c r="P1691" s="8" t="s">
        <v>704</v>
      </c>
      <c r="Q1691" s="8" t="s">
        <v>1759</v>
      </c>
      <c r="R1691" s="8">
        <v>42</v>
      </c>
      <c r="S1691" s="8">
        <v>72</v>
      </c>
      <c r="T1691" s="11">
        <v>0.0125</v>
      </c>
      <c r="U1691" s="11">
        <v>0.9875</v>
      </c>
      <c r="V1691" s="11">
        <v>1.9875</v>
      </c>
      <c r="W1691" s="11">
        <v>157.0125</v>
      </c>
      <c r="X1691" s="8" t="s">
        <v>1487</v>
      </c>
    </row>
    <row r="1692" spans="1:24" ht="25" customHeight="1">
      <c r="A1692" s="12">
        <v>6579</v>
      </c>
      <c r="B1692" s="8">
        <v>1</v>
      </c>
      <c r="C1692" s="8" t="s">
        <v>716</v>
      </c>
      <c r="D1692" s="8" t="s">
        <v>203</v>
      </c>
      <c r="E1692" s="8" t="s">
        <v>1488</v>
      </c>
      <c r="F1692" s="8">
        <v>15</v>
      </c>
      <c r="G1692" s="8">
        <v>1</v>
      </c>
      <c r="H1692" s="11">
        <v>0.06666666666666667</v>
      </c>
      <c r="I1692" s="11">
        <v>0.0125</v>
      </c>
      <c r="J1692" s="11">
        <v>5.333333333333333</v>
      </c>
      <c r="K1692" s="8">
        <v>1</v>
      </c>
      <c r="L1692" s="8">
        <v>14</v>
      </c>
      <c r="M1692" s="8">
        <v>1</v>
      </c>
      <c r="N1692" s="8">
        <v>144</v>
      </c>
      <c r="O1692" s="11">
        <v>0.04731264325886834</v>
      </c>
      <c r="P1692" s="8" t="s">
        <v>704</v>
      </c>
      <c r="Q1692" s="8" t="s">
        <v>1760</v>
      </c>
      <c r="R1692" s="8">
        <v>43</v>
      </c>
      <c r="S1692" s="11">
        <v>62.43010345037232</v>
      </c>
      <c r="T1692" s="11">
        <v>0.1875</v>
      </c>
      <c r="U1692" s="11">
        <v>14.8125</v>
      </c>
      <c r="V1692" s="11">
        <v>1.8125</v>
      </c>
      <c r="W1692" s="11">
        <v>143.1875</v>
      </c>
      <c r="X1692" s="8" t="s">
        <v>1761</v>
      </c>
    </row>
    <row r="1693" spans="1:24" ht="25" customHeight="1">
      <c r="A1693" s="12">
        <v>6580</v>
      </c>
      <c r="B1693" s="8">
        <v>1</v>
      </c>
      <c r="C1693" s="8" t="s">
        <v>716</v>
      </c>
      <c r="D1693" s="8" t="s">
        <v>206</v>
      </c>
      <c r="E1693" s="8" t="s">
        <v>816</v>
      </c>
      <c r="F1693" s="8">
        <v>6</v>
      </c>
      <c r="G1693" s="8">
        <v>1</v>
      </c>
      <c r="H1693" s="11">
        <v>0.1666666666666667</v>
      </c>
      <c r="I1693" s="11">
        <v>0.15</v>
      </c>
      <c r="J1693" s="11">
        <v>1.111111111111111</v>
      </c>
      <c r="K1693" s="8">
        <v>1</v>
      </c>
      <c r="L1693" s="8">
        <v>5</v>
      </c>
      <c r="M1693" s="8">
        <v>23</v>
      </c>
      <c r="N1693" s="8">
        <v>131</v>
      </c>
      <c r="O1693" s="11">
        <v>0.9072258839322985</v>
      </c>
      <c r="P1693" s="8" t="s">
        <v>704</v>
      </c>
      <c r="Q1693" s="8" t="s">
        <v>1762</v>
      </c>
      <c r="R1693" s="8">
        <v>44</v>
      </c>
      <c r="S1693" s="11">
        <v>51.35275946922739</v>
      </c>
      <c r="T1693" s="11">
        <v>0.9</v>
      </c>
      <c r="U1693" s="11">
        <v>5.1</v>
      </c>
      <c r="V1693" s="11">
        <v>23.1</v>
      </c>
      <c r="W1693" s="11">
        <v>130.9</v>
      </c>
      <c r="X1693" s="8" t="s">
        <v>1763</v>
      </c>
    </row>
    <row r="1694" spans="1:24" ht="25" customHeight="1">
      <c r="A1694" s="12">
        <v>6581</v>
      </c>
      <c r="B1694" s="8">
        <v>1</v>
      </c>
      <c r="C1694" s="8" t="s">
        <v>716</v>
      </c>
      <c r="D1694" s="8" t="s">
        <v>203</v>
      </c>
      <c r="E1694" s="8" t="s">
        <v>1491</v>
      </c>
      <c r="F1694" s="8">
        <v>15</v>
      </c>
      <c r="G1694" s="8">
        <v>1</v>
      </c>
      <c r="H1694" s="11">
        <v>0.06666666666666667</v>
      </c>
      <c r="I1694" s="11">
        <v>0.0125</v>
      </c>
      <c r="J1694" s="11">
        <v>5.333333333333333</v>
      </c>
      <c r="K1694" s="8">
        <v>1</v>
      </c>
      <c r="L1694" s="8">
        <v>14</v>
      </c>
      <c r="M1694" s="8">
        <v>1</v>
      </c>
      <c r="N1694" s="8">
        <v>144</v>
      </c>
      <c r="O1694" s="11">
        <v>0.04731264325886834</v>
      </c>
      <c r="P1694" s="8" t="s">
        <v>704</v>
      </c>
      <c r="Q1694" s="8" t="s">
        <v>1764</v>
      </c>
      <c r="R1694" s="8">
        <v>45</v>
      </c>
      <c r="S1694" s="11">
        <v>62.43010345037232</v>
      </c>
      <c r="T1694" s="11">
        <v>0.1875</v>
      </c>
      <c r="U1694" s="11">
        <v>14.8125</v>
      </c>
      <c r="V1694" s="11">
        <v>1.8125</v>
      </c>
      <c r="W1694" s="11">
        <v>143.1875</v>
      </c>
      <c r="X1694" s="8" t="s">
        <v>1761</v>
      </c>
    </row>
    <row r="1695" spans="1:24" ht="25" customHeight="1">
      <c r="A1695" s="12">
        <v>6582</v>
      </c>
      <c r="B1695" s="8">
        <v>1</v>
      </c>
      <c r="C1695" s="8" t="s">
        <v>716</v>
      </c>
      <c r="D1695" s="8" t="s">
        <v>235</v>
      </c>
      <c r="E1695" s="8" t="s">
        <v>1422</v>
      </c>
      <c r="F1695" s="8">
        <v>1</v>
      </c>
      <c r="G1695" s="8">
        <v>1</v>
      </c>
      <c r="H1695" s="8">
        <v>1</v>
      </c>
      <c r="I1695" s="11">
        <v>0.01875</v>
      </c>
      <c r="J1695" s="11">
        <v>53.33333333333334</v>
      </c>
      <c r="K1695" s="8">
        <v>1</v>
      </c>
      <c r="L1695" s="8">
        <v>0</v>
      </c>
      <c r="M1695" s="8">
        <v>2</v>
      </c>
      <c r="N1695" s="8">
        <v>157</v>
      </c>
      <c r="O1695" s="11">
        <v>3.960872549834493E-13</v>
      </c>
      <c r="P1695" s="8" t="s">
        <v>704</v>
      </c>
      <c r="Q1695" s="8" t="s">
        <v>1765</v>
      </c>
      <c r="R1695" s="8">
        <v>46</v>
      </c>
      <c r="S1695" s="11">
        <v>71.99999999999802</v>
      </c>
      <c r="T1695" s="11">
        <v>0.01875</v>
      </c>
      <c r="U1695" s="11">
        <v>0.98125</v>
      </c>
      <c r="V1695" s="11">
        <v>2.98125</v>
      </c>
      <c r="W1695" s="11">
        <v>156.01875</v>
      </c>
      <c r="X1695" s="8" t="s">
        <v>1505</v>
      </c>
    </row>
    <row r="1696" spans="1:24" ht="25" customHeight="1">
      <c r="A1696" s="12">
        <v>6583</v>
      </c>
      <c r="B1696" s="8">
        <v>1</v>
      </c>
      <c r="C1696" s="8" t="s">
        <v>716</v>
      </c>
      <c r="D1696" s="8" t="s">
        <v>203</v>
      </c>
      <c r="E1696" s="8" t="s">
        <v>1494</v>
      </c>
      <c r="F1696" s="8">
        <v>15</v>
      </c>
      <c r="G1696" s="8">
        <v>1</v>
      </c>
      <c r="H1696" s="11">
        <v>0.06666666666666667</v>
      </c>
      <c r="I1696" s="11">
        <v>0.0125</v>
      </c>
      <c r="J1696" s="11">
        <v>5.333333333333333</v>
      </c>
      <c r="K1696" s="8">
        <v>1</v>
      </c>
      <c r="L1696" s="8">
        <v>14</v>
      </c>
      <c r="M1696" s="8">
        <v>1</v>
      </c>
      <c r="N1696" s="8">
        <v>144</v>
      </c>
      <c r="O1696" s="11">
        <v>0.04731264325886834</v>
      </c>
      <c r="P1696" s="8" t="s">
        <v>704</v>
      </c>
      <c r="Q1696" s="8" t="s">
        <v>1766</v>
      </c>
      <c r="R1696" s="8">
        <v>47</v>
      </c>
      <c r="S1696" s="11">
        <v>62.43010345037232</v>
      </c>
      <c r="T1696" s="11">
        <v>0.1875</v>
      </c>
      <c r="U1696" s="11">
        <v>14.8125</v>
      </c>
      <c r="V1696" s="11">
        <v>1.8125</v>
      </c>
      <c r="W1696" s="11">
        <v>143.1875</v>
      </c>
      <c r="X1696" s="8" t="s">
        <v>1761</v>
      </c>
    </row>
    <row r="1697" spans="1:24" ht="25" customHeight="1">
      <c r="A1697" s="12">
        <v>6584</v>
      </c>
      <c r="B1697" s="8">
        <v>1</v>
      </c>
      <c r="C1697" s="8" t="s">
        <v>716</v>
      </c>
      <c r="D1697" s="8" t="s">
        <v>203</v>
      </c>
      <c r="E1697" s="8" t="s">
        <v>1496</v>
      </c>
      <c r="F1697" s="8">
        <v>15</v>
      </c>
      <c r="G1697" s="8">
        <v>1</v>
      </c>
      <c r="H1697" s="11">
        <v>0.06666666666666667</v>
      </c>
      <c r="I1697" s="11">
        <v>0.00625</v>
      </c>
      <c r="J1697" s="11">
        <v>10.66666666666667</v>
      </c>
      <c r="K1697" s="8">
        <v>1</v>
      </c>
      <c r="L1697" s="8">
        <v>14</v>
      </c>
      <c r="M1697" s="8">
        <v>0</v>
      </c>
      <c r="N1697" s="8">
        <v>145</v>
      </c>
      <c r="O1697" s="11">
        <v>0.001815348576062723</v>
      </c>
      <c r="P1697" s="8" t="s">
        <v>704</v>
      </c>
      <c r="Q1697" s="8" t="s">
        <v>1767</v>
      </c>
      <c r="R1697" s="8">
        <v>48</v>
      </c>
      <c r="S1697" s="11">
        <v>62.65758992378635</v>
      </c>
      <c r="T1697" s="11">
        <v>0.09375</v>
      </c>
      <c r="U1697" s="11">
        <v>14.90625</v>
      </c>
      <c r="V1697" s="11">
        <v>0.90625</v>
      </c>
      <c r="W1697" s="11">
        <v>144.09375</v>
      </c>
      <c r="X1697" s="8" t="s">
        <v>1754</v>
      </c>
    </row>
    <row r="1698" spans="1:24" ht="25" customHeight="1">
      <c r="A1698" s="12">
        <v>6585</v>
      </c>
      <c r="B1698" s="8">
        <v>1</v>
      </c>
      <c r="C1698" s="8" t="s">
        <v>716</v>
      </c>
      <c r="D1698" s="8" t="s">
        <v>203</v>
      </c>
      <c r="E1698" s="8" t="s">
        <v>819</v>
      </c>
      <c r="F1698" s="8">
        <v>15</v>
      </c>
      <c r="G1698" s="8">
        <v>1</v>
      </c>
      <c r="H1698" s="11">
        <v>0.06666666666666667</v>
      </c>
      <c r="I1698" s="11">
        <v>0.04375</v>
      </c>
      <c r="J1698" s="11">
        <v>1.523809523809524</v>
      </c>
      <c r="K1698" s="8">
        <v>1</v>
      </c>
      <c r="L1698" s="8">
        <v>14</v>
      </c>
      <c r="M1698" s="8">
        <v>6</v>
      </c>
      <c r="N1698" s="8">
        <v>139</v>
      </c>
      <c r="O1698" s="11">
        <v>0.6485156937439667</v>
      </c>
      <c r="P1698" s="8" t="s">
        <v>704</v>
      </c>
      <c r="Q1698" s="8" t="s">
        <v>1768</v>
      </c>
      <c r="R1698" s="8">
        <v>49</v>
      </c>
      <c r="S1698" s="11">
        <v>52.47170724556588</v>
      </c>
      <c r="T1698" s="11">
        <v>0.65625</v>
      </c>
      <c r="U1698" s="11">
        <v>14.34375</v>
      </c>
      <c r="V1698" s="11">
        <v>6.34375</v>
      </c>
      <c r="W1698" s="11">
        <v>138.65625</v>
      </c>
      <c r="X1698" s="8" t="s">
        <v>1769</v>
      </c>
    </row>
    <row r="1699" spans="1:24" ht="25" customHeight="1">
      <c r="A1699" s="12">
        <v>6586</v>
      </c>
      <c r="B1699" s="8">
        <v>1</v>
      </c>
      <c r="C1699" s="8" t="s">
        <v>716</v>
      </c>
      <c r="D1699" s="8" t="s">
        <v>203</v>
      </c>
      <c r="E1699" s="8" t="s">
        <v>1499</v>
      </c>
      <c r="F1699" s="8">
        <v>15</v>
      </c>
      <c r="G1699" s="8">
        <v>1</v>
      </c>
      <c r="H1699" s="11">
        <v>0.06666666666666667</v>
      </c>
      <c r="I1699" s="11">
        <v>0.00625</v>
      </c>
      <c r="J1699" s="11">
        <v>10.66666666666667</v>
      </c>
      <c r="K1699" s="8">
        <v>1</v>
      </c>
      <c r="L1699" s="8">
        <v>14</v>
      </c>
      <c r="M1699" s="8">
        <v>0</v>
      </c>
      <c r="N1699" s="8">
        <v>145</v>
      </c>
      <c r="O1699" s="11">
        <v>0.001815348576062723</v>
      </c>
      <c r="P1699" s="8" t="s">
        <v>704</v>
      </c>
      <c r="Q1699" s="8" t="s">
        <v>1770</v>
      </c>
      <c r="R1699" s="8">
        <v>50</v>
      </c>
      <c r="S1699" s="11">
        <v>62.65758992378635</v>
      </c>
      <c r="T1699" s="11">
        <v>0.09375</v>
      </c>
      <c r="U1699" s="11">
        <v>14.90625</v>
      </c>
      <c r="V1699" s="11">
        <v>0.90625</v>
      </c>
      <c r="W1699" s="11">
        <v>144.09375</v>
      </c>
      <c r="X1699" s="8" t="s">
        <v>1754</v>
      </c>
    </row>
    <row r="1700" spans="1:24" ht="25" customHeight="1">
      <c r="A1700" s="12">
        <v>6587</v>
      </c>
      <c r="B1700" s="8">
        <v>1</v>
      </c>
      <c r="C1700" s="8" t="s">
        <v>720</v>
      </c>
      <c r="D1700" s="8" t="s">
        <v>203</v>
      </c>
      <c r="E1700" s="8" t="s">
        <v>816</v>
      </c>
      <c r="F1700" s="8">
        <v>1</v>
      </c>
      <c r="G1700" s="8">
        <v>1</v>
      </c>
      <c r="H1700" s="8">
        <v>1</v>
      </c>
      <c r="I1700" s="11">
        <v>0.15</v>
      </c>
      <c r="J1700" s="11">
        <v>6.666666666666667</v>
      </c>
      <c r="K1700" s="8">
        <v>1</v>
      </c>
      <c r="L1700" s="8">
        <v>0</v>
      </c>
      <c r="M1700" s="8">
        <v>23</v>
      </c>
      <c r="N1700" s="8">
        <v>136</v>
      </c>
      <c r="O1700" s="11">
        <v>0.01694263817456945</v>
      </c>
      <c r="P1700" s="8" t="s">
        <v>704</v>
      </c>
      <c r="Q1700" s="8" t="s">
        <v>1771</v>
      </c>
      <c r="R1700" s="8">
        <v>51</v>
      </c>
      <c r="S1700" s="11">
        <v>71.91528680912715</v>
      </c>
      <c r="T1700" s="11">
        <v>0.15</v>
      </c>
      <c r="U1700" s="11">
        <v>0.85</v>
      </c>
      <c r="V1700" s="11">
        <v>23.85</v>
      </c>
      <c r="W1700" s="11">
        <v>135.15</v>
      </c>
      <c r="X1700" s="8" t="s">
        <v>1772</v>
      </c>
    </row>
    <row r="1701" spans="1:24" ht="25" customHeight="1">
      <c r="A1701" s="12">
        <v>6588</v>
      </c>
      <c r="B1701" s="8">
        <v>1</v>
      </c>
      <c r="C1701" s="8" t="s">
        <v>716</v>
      </c>
      <c r="D1701" s="8" t="s">
        <v>203</v>
      </c>
      <c r="E1701" s="8" t="s">
        <v>1503</v>
      </c>
      <c r="F1701" s="8">
        <v>15</v>
      </c>
      <c r="G1701" s="8">
        <v>1</v>
      </c>
      <c r="H1701" s="11">
        <v>0.06666666666666667</v>
      </c>
      <c r="I1701" s="11">
        <v>0.0125</v>
      </c>
      <c r="J1701" s="11">
        <v>5.333333333333333</v>
      </c>
      <c r="K1701" s="8">
        <v>1</v>
      </c>
      <c r="L1701" s="8">
        <v>14</v>
      </c>
      <c r="M1701" s="8">
        <v>1</v>
      </c>
      <c r="N1701" s="8">
        <v>144</v>
      </c>
      <c r="O1701" s="11">
        <v>0.04731264325886834</v>
      </c>
      <c r="P1701" s="8" t="s">
        <v>704</v>
      </c>
      <c r="Q1701" s="8" t="s">
        <v>1773</v>
      </c>
      <c r="R1701" s="8">
        <v>52</v>
      </c>
      <c r="S1701" s="11">
        <v>62.43010345037232</v>
      </c>
      <c r="T1701" s="11">
        <v>0.1875</v>
      </c>
      <c r="U1701" s="11">
        <v>14.8125</v>
      </c>
      <c r="V1701" s="11">
        <v>1.8125</v>
      </c>
      <c r="W1701" s="11">
        <v>143.1875</v>
      </c>
      <c r="X1701" s="8" t="s">
        <v>1761</v>
      </c>
    </row>
    <row r="1702" spans="1:24" ht="25" customHeight="1">
      <c r="A1702" s="12">
        <v>6589</v>
      </c>
      <c r="B1702" s="8">
        <v>1</v>
      </c>
      <c r="C1702" s="8" t="s">
        <v>716</v>
      </c>
      <c r="D1702" s="8" t="s">
        <v>811</v>
      </c>
      <c r="E1702" s="8" t="s">
        <v>1506</v>
      </c>
      <c r="F1702" s="8">
        <v>2</v>
      </c>
      <c r="G1702" s="8">
        <v>1</v>
      </c>
      <c r="H1702" s="11">
        <v>0.5</v>
      </c>
      <c r="I1702" s="11">
        <v>0.00625</v>
      </c>
      <c r="J1702" s="8">
        <v>80</v>
      </c>
      <c r="K1702" s="8">
        <v>1</v>
      </c>
      <c r="L1702" s="8">
        <v>1</v>
      </c>
      <c r="M1702" s="8">
        <v>0</v>
      </c>
      <c r="N1702" s="8">
        <v>158</v>
      </c>
      <c r="O1702" s="11">
        <v>4.829934540791119E-19</v>
      </c>
      <c r="P1702" s="8" t="s">
        <v>704</v>
      </c>
      <c r="Q1702" s="8" t="s">
        <v>1774</v>
      </c>
      <c r="R1702" s="8">
        <v>53</v>
      </c>
      <c r="S1702" s="8">
        <v>67</v>
      </c>
      <c r="T1702" s="11">
        <v>0.0125</v>
      </c>
      <c r="U1702" s="11">
        <v>1.9875</v>
      </c>
      <c r="V1702" s="11">
        <v>0.9875</v>
      </c>
      <c r="W1702" s="11">
        <v>157.0125</v>
      </c>
      <c r="X1702" s="8" t="s">
        <v>1775</v>
      </c>
    </row>
    <row r="1703" spans="1:24" ht="25" customHeight="1">
      <c r="A1703" s="12">
        <v>6590</v>
      </c>
      <c r="B1703" s="8">
        <v>1</v>
      </c>
      <c r="C1703" s="8" t="s">
        <v>711</v>
      </c>
      <c r="D1703" s="8" t="s">
        <v>811</v>
      </c>
      <c r="E1703" s="8" t="s">
        <v>1509</v>
      </c>
      <c r="F1703" s="8">
        <v>1</v>
      </c>
      <c r="G1703" s="8">
        <v>1</v>
      </c>
      <c r="H1703" s="8">
        <v>1</v>
      </c>
      <c r="I1703" s="11">
        <v>0.0125</v>
      </c>
      <c r="J1703" s="8">
        <v>80</v>
      </c>
      <c r="K1703" s="8">
        <v>1</v>
      </c>
      <c r="L1703" s="8">
        <v>0</v>
      </c>
      <c r="M1703" s="8">
        <v>1</v>
      </c>
      <c r="N1703" s="8">
        <v>158</v>
      </c>
      <c r="O1703" s="11">
        <v>4.829934540791119E-19</v>
      </c>
      <c r="P1703" s="8" t="s">
        <v>704</v>
      </c>
      <c r="Q1703" s="8" t="s">
        <v>1776</v>
      </c>
      <c r="R1703" s="8">
        <v>54</v>
      </c>
      <c r="S1703" s="8">
        <v>72</v>
      </c>
      <c r="T1703" s="11">
        <v>0.0125</v>
      </c>
      <c r="U1703" s="11">
        <v>0.9875</v>
      </c>
      <c r="V1703" s="11">
        <v>1.9875</v>
      </c>
      <c r="W1703" s="11">
        <v>157.0125</v>
      </c>
      <c r="X1703" s="8" t="s">
        <v>1511</v>
      </c>
    </row>
    <row r="1704" spans="1:24" ht="25" customHeight="1">
      <c r="A1704" s="12">
        <v>6591</v>
      </c>
      <c r="B1704" s="8">
        <v>1</v>
      </c>
      <c r="C1704" s="8" t="s">
        <v>716</v>
      </c>
      <c r="D1704" s="8" t="s">
        <v>811</v>
      </c>
      <c r="E1704" s="8" t="s">
        <v>816</v>
      </c>
      <c r="F1704" s="8">
        <v>2</v>
      </c>
      <c r="G1704" s="8">
        <v>1</v>
      </c>
      <c r="H1704" s="11">
        <v>0.5</v>
      </c>
      <c r="I1704" s="11">
        <v>0.15</v>
      </c>
      <c r="J1704" s="11">
        <v>3.333333333333333</v>
      </c>
      <c r="K1704" s="8">
        <v>1</v>
      </c>
      <c r="L1704" s="8">
        <v>1</v>
      </c>
      <c r="M1704" s="8">
        <v>23</v>
      </c>
      <c r="N1704" s="8">
        <v>135</v>
      </c>
      <c r="O1704" s="11">
        <v>0.1630301851040424</v>
      </c>
      <c r="P1704" s="8" t="s">
        <v>704</v>
      </c>
      <c r="Q1704" s="8" t="s">
        <v>1777</v>
      </c>
      <c r="R1704" s="8">
        <v>55</v>
      </c>
      <c r="S1704" s="11">
        <v>62.85151574114645</v>
      </c>
      <c r="T1704" s="11">
        <v>0.3</v>
      </c>
      <c r="U1704" s="11">
        <v>1.7</v>
      </c>
      <c r="V1704" s="11">
        <v>23.7</v>
      </c>
      <c r="W1704" s="11">
        <v>134.3</v>
      </c>
      <c r="X1704" s="8" t="s">
        <v>1778</v>
      </c>
    </row>
    <row r="1705" spans="1:24" ht="25" customHeight="1">
      <c r="A1705" s="12">
        <v>6592</v>
      </c>
      <c r="B1705" s="8">
        <v>1</v>
      </c>
      <c r="C1705" s="8" t="s">
        <v>716</v>
      </c>
      <c r="D1705" s="8" t="s">
        <v>206</v>
      </c>
      <c r="E1705" s="8" t="s">
        <v>823</v>
      </c>
      <c r="F1705" s="8">
        <v>6</v>
      </c>
      <c r="G1705" s="8">
        <v>1</v>
      </c>
      <c r="H1705" s="11">
        <v>0.1666666666666667</v>
      </c>
      <c r="I1705" s="11">
        <v>0.04375</v>
      </c>
      <c r="J1705" s="11">
        <v>3.80952380952381</v>
      </c>
      <c r="K1705" s="8">
        <v>1</v>
      </c>
      <c r="L1705" s="8">
        <v>5</v>
      </c>
      <c r="M1705" s="8">
        <v>6</v>
      </c>
      <c r="N1705" s="8">
        <v>148</v>
      </c>
      <c r="O1705" s="11">
        <v>0.1335070433870404</v>
      </c>
      <c r="P1705" s="8" t="s">
        <v>704</v>
      </c>
      <c r="Q1705" s="8" t="s">
        <v>1779</v>
      </c>
      <c r="R1705" s="8">
        <v>56</v>
      </c>
      <c r="S1705" s="11">
        <v>60.61817906877909</v>
      </c>
      <c r="T1705" s="11">
        <v>0.2625</v>
      </c>
      <c r="U1705" s="11">
        <v>5.7375</v>
      </c>
      <c r="V1705" s="11">
        <v>6.7375</v>
      </c>
      <c r="W1705" s="11">
        <v>147.2625</v>
      </c>
      <c r="X1705" s="8" t="s">
        <v>1780</v>
      </c>
    </row>
    <row r="1706" spans="1:24" ht="25" customHeight="1">
      <c r="A1706" s="12">
        <v>6593</v>
      </c>
      <c r="B1706" s="8">
        <v>2</v>
      </c>
      <c r="C1706" s="8" t="s">
        <v>716</v>
      </c>
      <c r="D1706" s="8" t="s">
        <v>222</v>
      </c>
      <c r="E1706" s="8" t="s">
        <v>1516</v>
      </c>
      <c r="F1706" s="8">
        <v>1</v>
      </c>
      <c r="G1706" s="8">
        <v>1</v>
      </c>
      <c r="H1706" s="8">
        <v>1</v>
      </c>
      <c r="I1706" s="11">
        <v>0.00625</v>
      </c>
      <c r="J1706" s="8">
        <v>160</v>
      </c>
      <c r="K1706" s="8">
        <v>1</v>
      </c>
      <c r="L1706" s="8">
        <v>0</v>
      </c>
      <c r="M1706" s="8">
        <v>0</v>
      </c>
      <c r="N1706" s="8">
        <v>159</v>
      </c>
      <c r="O1706" s="11">
        <v>1.131483790243283E-36</v>
      </c>
      <c r="P1706" s="8" t="s">
        <v>704</v>
      </c>
      <c r="Q1706" s="8" t="s">
        <v>1781</v>
      </c>
      <c r="R1706" s="8">
        <v>57</v>
      </c>
      <c r="S1706" s="8">
        <v>72</v>
      </c>
      <c r="T1706" s="11">
        <v>0.00625</v>
      </c>
      <c r="U1706" s="11">
        <v>0.99375</v>
      </c>
      <c r="V1706" s="11">
        <v>0.99375</v>
      </c>
      <c r="W1706" s="11">
        <v>158.00625</v>
      </c>
      <c r="X1706" s="8" t="s">
        <v>1782</v>
      </c>
    </row>
    <row r="1707" spans="1:24" ht="25" customHeight="1">
      <c r="A1707" s="12">
        <v>6594</v>
      </c>
      <c r="B1707" s="8">
        <v>2</v>
      </c>
      <c r="C1707" s="8" t="s">
        <v>711</v>
      </c>
      <c r="D1707" s="8" t="s">
        <v>203</v>
      </c>
      <c r="E1707" s="8" t="s">
        <v>1491</v>
      </c>
      <c r="F1707" s="8">
        <v>4</v>
      </c>
      <c r="G1707" s="8">
        <v>1</v>
      </c>
      <c r="H1707" s="11">
        <v>0.25</v>
      </c>
      <c r="I1707" s="11">
        <v>0.0125</v>
      </c>
      <c r="J1707" s="8">
        <v>20</v>
      </c>
      <c r="K1707" s="8">
        <v>1</v>
      </c>
      <c r="L1707" s="8">
        <v>3</v>
      </c>
      <c r="M1707" s="8">
        <v>1</v>
      </c>
      <c r="N1707" s="8">
        <v>155</v>
      </c>
      <c r="O1707" s="11">
        <v>1.492454534711669E-05</v>
      </c>
      <c r="P1707" s="8" t="s">
        <v>704</v>
      </c>
      <c r="Q1707" s="8" t="s">
        <v>1783</v>
      </c>
      <c r="R1707" s="8">
        <v>58</v>
      </c>
      <c r="S1707" s="11">
        <v>64.49992537727326</v>
      </c>
      <c r="T1707" s="11">
        <v>0.05</v>
      </c>
      <c r="U1707" s="11">
        <v>3.95</v>
      </c>
      <c r="V1707" s="11">
        <v>1.95</v>
      </c>
      <c r="W1707" s="11">
        <v>154.05</v>
      </c>
      <c r="X1707" s="8" t="s">
        <v>1784</v>
      </c>
    </row>
    <row r="1708" spans="1:24" ht="25" customHeight="1">
      <c r="A1708" s="12">
        <v>6595</v>
      </c>
      <c r="B1708" s="8">
        <v>2</v>
      </c>
      <c r="C1708" s="8" t="s">
        <v>716</v>
      </c>
      <c r="D1708" s="8" t="s">
        <v>203</v>
      </c>
      <c r="E1708" s="8" t="s">
        <v>1413</v>
      </c>
      <c r="F1708" s="8">
        <v>13</v>
      </c>
      <c r="G1708" s="8">
        <v>1</v>
      </c>
      <c r="H1708" s="11">
        <v>0.07692307692307693</v>
      </c>
      <c r="I1708" s="11">
        <v>0.0125</v>
      </c>
      <c r="J1708" s="11">
        <v>6.153846153846154</v>
      </c>
      <c r="K1708" s="8">
        <v>1</v>
      </c>
      <c r="L1708" s="8">
        <v>12</v>
      </c>
      <c r="M1708" s="8">
        <v>1</v>
      </c>
      <c r="N1708" s="8">
        <v>146</v>
      </c>
      <c r="O1708" s="11">
        <v>0.02917032904278118</v>
      </c>
      <c r="P1708" s="8" t="s">
        <v>704</v>
      </c>
      <c r="Q1708" s="8" t="s">
        <v>1785</v>
      </c>
      <c r="R1708" s="8">
        <v>59</v>
      </c>
      <c r="S1708" s="11">
        <v>62.62337912401686</v>
      </c>
      <c r="T1708" s="11">
        <v>0.1625</v>
      </c>
      <c r="U1708" s="11">
        <v>12.8375</v>
      </c>
      <c r="V1708" s="11">
        <v>1.8375</v>
      </c>
      <c r="W1708" s="11">
        <v>145.1625</v>
      </c>
      <c r="X1708" s="8" t="s">
        <v>1786</v>
      </c>
    </row>
    <row r="1709" spans="1:24" ht="25" customHeight="1">
      <c r="A1709" s="12">
        <v>6596</v>
      </c>
      <c r="B1709" s="8">
        <v>2</v>
      </c>
      <c r="C1709" s="8" t="s">
        <v>716</v>
      </c>
      <c r="D1709" s="8" t="s">
        <v>206</v>
      </c>
      <c r="E1709" s="8" t="s">
        <v>1523</v>
      </c>
      <c r="F1709" s="8">
        <v>9</v>
      </c>
      <c r="G1709" s="8">
        <v>1</v>
      </c>
      <c r="H1709" s="11">
        <v>0.1111111111111111</v>
      </c>
      <c r="I1709" s="11">
        <v>0.01875</v>
      </c>
      <c r="J1709" s="11">
        <v>5.925925925925926</v>
      </c>
      <c r="K1709" s="8">
        <v>1</v>
      </c>
      <c r="L1709" s="8">
        <v>8</v>
      </c>
      <c r="M1709" s="8">
        <v>2</v>
      </c>
      <c r="N1709" s="8">
        <v>149</v>
      </c>
      <c r="O1709" s="11">
        <v>0.03548601600077541</v>
      </c>
      <c r="P1709" s="8" t="s">
        <v>704</v>
      </c>
      <c r="Q1709" s="8" t="s">
        <v>1787</v>
      </c>
      <c r="R1709" s="8">
        <v>60</v>
      </c>
      <c r="S1709" s="11">
        <v>62.93368103110724</v>
      </c>
      <c r="T1709" s="11">
        <v>0.16875</v>
      </c>
      <c r="U1709" s="11">
        <v>8.831250000000001</v>
      </c>
      <c r="V1709" s="11">
        <v>2.83125</v>
      </c>
      <c r="W1709" s="11">
        <v>148.16875</v>
      </c>
      <c r="X1709" s="8" t="s">
        <v>1788</v>
      </c>
    </row>
    <row r="1710" spans="1:24" ht="25" customHeight="1">
      <c r="A1710" s="12">
        <v>6597</v>
      </c>
      <c r="B1710" s="8">
        <v>2</v>
      </c>
      <c r="C1710" s="8" t="s">
        <v>706</v>
      </c>
      <c r="D1710" s="8" t="s">
        <v>203</v>
      </c>
      <c r="E1710" s="8" t="s">
        <v>1431</v>
      </c>
      <c r="F1710" s="8">
        <v>1</v>
      </c>
      <c r="G1710" s="8">
        <v>1</v>
      </c>
      <c r="H1710" s="8">
        <v>1</v>
      </c>
      <c r="I1710" s="11">
        <v>0.0125</v>
      </c>
      <c r="J1710" s="8">
        <v>80</v>
      </c>
      <c r="K1710" s="8">
        <v>1</v>
      </c>
      <c r="L1710" s="8">
        <v>0</v>
      </c>
      <c r="M1710" s="8">
        <v>1</v>
      </c>
      <c r="N1710" s="8">
        <v>158</v>
      </c>
      <c r="O1710" s="11">
        <v>4.829934540791119E-19</v>
      </c>
      <c r="P1710" s="8" t="s">
        <v>704</v>
      </c>
      <c r="Q1710" s="8" t="s">
        <v>1789</v>
      </c>
      <c r="R1710" s="8">
        <v>61</v>
      </c>
      <c r="S1710" s="8">
        <v>72</v>
      </c>
      <c r="T1710" s="11">
        <v>0.0125</v>
      </c>
      <c r="U1710" s="11">
        <v>0.9875</v>
      </c>
      <c r="V1710" s="11">
        <v>1.9875</v>
      </c>
      <c r="W1710" s="11">
        <v>157.0125</v>
      </c>
      <c r="X1710" s="8" t="s">
        <v>1790</v>
      </c>
    </row>
    <row r="1711" spans="1:24" ht="25" customHeight="1">
      <c r="A1711" s="12">
        <v>6598</v>
      </c>
      <c r="B1711" s="8">
        <v>2</v>
      </c>
      <c r="C1711" s="8" t="s">
        <v>716</v>
      </c>
      <c r="D1711" s="8" t="s">
        <v>203</v>
      </c>
      <c r="E1711" s="8" t="s">
        <v>1528</v>
      </c>
      <c r="F1711" s="8">
        <v>13</v>
      </c>
      <c r="G1711" s="8">
        <v>1</v>
      </c>
      <c r="H1711" s="11">
        <v>0.07692307692307693</v>
      </c>
      <c r="I1711" s="11">
        <v>0.00625</v>
      </c>
      <c r="J1711" s="11">
        <v>12.30769230769231</v>
      </c>
      <c r="K1711" s="8">
        <v>1</v>
      </c>
      <c r="L1711" s="8">
        <v>12</v>
      </c>
      <c r="M1711" s="8">
        <v>0</v>
      </c>
      <c r="N1711" s="8">
        <v>147</v>
      </c>
      <c r="O1711" s="11">
        <v>0.0007428669881025076</v>
      </c>
      <c r="P1711" s="8" t="s">
        <v>704</v>
      </c>
      <c r="Q1711" s="8" t="s">
        <v>1791</v>
      </c>
      <c r="R1711" s="8">
        <v>62</v>
      </c>
      <c r="S1711" s="11">
        <v>62.76551643429026</v>
      </c>
      <c r="T1711" s="11">
        <v>0.08125</v>
      </c>
      <c r="U1711" s="11">
        <v>12.91875</v>
      </c>
      <c r="V1711" s="11">
        <v>0.91875</v>
      </c>
      <c r="W1711" s="11">
        <v>146.08125</v>
      </c>
      <c r="X1711" s="8" t="s">
        <v>1792</v>
      </c>
    </row>
    <row r="1712" spans="1:24" ht="25" customHeight="1">
      <c r="A1712" s="12">
        <v>6599</v>
      </c>
      <c r="B1712" s="8">
        <v>2</v>
      </c>
      <c r="C1712" s="8" t="s">
        <v>720</v>
      </c>
      <c r="D1712" s="8" t="s">
        <v>203</v>
      </c>
      <c r="E1712" s="8" t="s">
        <v>1530</v>
      </c>
      <c r="F1712" s="8">
        <v>6</v>
      </c>
      <c r="G1712" s="8">
        <v>1</v>
      </c>
      <c r="H1712" s="11">
        <v>0.1666666666666667</v>
      </c>
      <c r="I1712" s="11">
        <v>0.00625</v>
      </c>
      <c r="J1712" s="11">
        <v>26.66666666666666</v>
      </c>
      <c r="K1712" s="8">
        <v>1</v>
      </c>
      <c r="L1712" s="8">
        <v>5</v>
      </c>
      <c r="M1712" s="8">
        <v>0</v>
      </c>
      <c r="N1712" s="8">
        <v>154</v>
      </c>
      <c r="O1712" s="11">
        <v>3.732167562693209E-07</v>
      </c>
      <c r="P1712" s="8" t="s">
        <v>704</v>
      </c>
      <c r="Q1712" s="8" t="s">
        <v>1793</v>
      </c>
      <c r="R1712" s="8">
        <v>63</v>
      </c>
      <c r="S1712" s="11">
        <v>63.66666480058288</v>
      </c>
      <c r="T1712" s="11">
        <v>0.0375</v>
      </c>
      <c r="U1712" s="11">
        <v>5.9625</v>
      </c>
      <c r="V1712" s="11">
        <v>0.9625</v>
      </c>
      <c r="W1712" s="11">
        <v>153.0375</v>
      </c>
      <c r="X1712" s="8" t="s">
        <v>1794</v>
      </c>
    </row>
    <row r="1713" spans="1:24" ht="25" customHeight="1">
      <c r="A1713" s="12">
        <v>6600</v>
      </c>
      <c r="B1713" s="8">
        <v>2</v>
      </c>
      <c r="C1713" s="8" t="s">
        <v>706</v>
      </c>
      <c r="D1713" s="8" t="s">
        <v>206</v>
      </c>
      <c r="E1713" s="8" t="s">
        <v>1533</v>
      </c>
      <c r="F1713" s="8">
        <v>5</v>
      </c>
      <c r="G1713" s="8">
        <v>1</v>
      </c>
      <c r="H1713" s="11">
        <v>0.2</v>
      </c>
      <c r="I1713" s="11">
        <v>0.00625</v>
      </c>
      <c r="J1713" s="8">
        <v>32</v>
      </c>
      <c r="K1713" s="8">
        <v>1</v>
      </c>
      <c r="L1713" s="8">
        <v>4</v>
      </c>
      <c r="M1713" s="8">
        <v>0</v>
      </c>
      <c r="N1713" s="8">
        <v>155</v>
      </c>
      <c r="O1713" s="11">
        <v>2.333701583830451E-08</v>
      </c>
      <c r="P1713" s="8" t="s">
        <v>704</v>
      </c>
      <c r="Q1713" s="8" t="s">
        <v>1795</v>
      </c>
      <c r="R1713" s="8">
        <v>64</v>
      </c>
      <c r="S1713" s="11">
        <v>63.99999988331492</v>
      </c>
      <c r="T1713" s="11">
        <v>0.03125</v>
      </c>
      <c r="U1713" s="11">
        <v>4.96875</v>
      </c>
      <c r="V1713" s="11">
        <v>0.96875</v>
      </c>
      <c r="W1713" s="11">
        <v>154.03125</v>
      </c>
      <c r="X1713" s="8" t="s">
        <v>1796</v>
      </c>
    </row>
    <row r="1714" spans="1:24" ht="25" customHeight="1">
      <c r="A1714" s="12">
        <v>6601</v>
      </c>
      <c r="B1714" s="8">
        <v>2</v>
      </c>
      <c r="C1714" s="8" t="s">
        <v>706</v>
      </c>
      <c r="D1714" s="8" t="s">
        <v>206</v>
      </c>
      <c r="E1714" s="8" t="s">
        <v>1536</v>
      </c>
      <c r="F1714" s="8">
        <v>5</v>
      </c>
      <c r="G1714" s="8">
        <v>1</v>
      </c>
      <c r="H1714" s="11">
        <v>0.2</v>
      </c>
      <c r="I1714" s="11">
        <v>0.00625</v>
      </c>
      <c r="J1714" s="8">
        <v>32</v>
      </c>
      <c r="K1714" s="8">
        <v>1</v>
      </c>
      <c r="L1714" s="8">
        <v>4</v>
      </c>
      <c r="M1714" s="8">
        <v>0</v>
      </c>
      <c r="N1714" s="8">
        <v>155</v>
      </c>
      <c r="O1714" s="11">
        <v>2.333701583830451E-08</v>
      </c>
      <c r="P1714" s="8" t="s">
        <v>704</v>
      </c>
      <c r="Q1714" s="8" t="s">
        <v>1797</v>
      </c>
      <c r="R1714" s="8">
        <v>65</v>
      </c>
      <c r="S1714" s="11">
        <v>63.99999988331492</v>
      </c>
      <c r="T1714" s="11">
        <v>0.03125</v>
      </c>
      <c r="U1714" s="11">
        <v>4.96875</v>
      </c>
      <c r="V1714" s="11">
        <v>0.96875</v>
      </c>
      <c r="W1714" s="11">
        <v>154.03125</v>
      </c>
      <c r="X1714" s="8" t="s">
        <v>1796</v>
      </c>
    </row>
    <row r="1715" spans="1:24" ht="25" customHeight="1">
      <c r="A1715" s="12">
        <v>6602</v>
      </c>
      <c r="B1715" s="8">
        <v>2</v>
      </c>
      <c r="C1715" s="8" t="s">
        <v>711</v>
      </c>
      <c r="D1715" s="8" t="s">
        <v>203</v>
      </c>
      <c r="E1715" s="8" t="s">
        <v>816</v>
      </c>
      <c r="F1715" s="8">
        <v>4</v>
      </c>
      <c r="G1715" s="8">
        <v>1</v>
      </c>
      <c r="H1715" s="11">
        <v>0.25</v>
      </c>
      <c r="I1715" s="11">
        <v>0.15</v>
      </c>
      <c r="J1715" s="11">
        <v>1.666666666666667</v>
      </c>
      <c r="K1715" s="8">
        <v>1</v>
      </c>
      <c r="L1715" s="8">
        <v>3</v>
      </c>
      <c r="M1715" s="8">
        <v>23</v>
      </c>
      <c r="N1715" s="8">
        <v>133</v>
      </c>
      <c r="O1715" s="11">
        <v>0.5705460359817496</v>
      </c>
      <c r="P1715" s="8" t="s">
        <v>704</v>
      </c>
      <c r="Q1715" s="8" t="s">
        <v>1798</v>
      </c>
      <c r="R1715" s="8">
        <v>66</v>
      </c>
      <c r="S1715" s="11">
        <v>54.98060315342459</v>
      </c>
      <c r="T1715" s="11">
        <v>0.6</v>
      </c>
      <c r="U1715" s="11">
        <v>3.4</v>
      </c>
      <c r="V1715" s="11">
        <v>23.4</v>
      </c>
      <c r="W1715" s="11">
        <v>132.6</v>
      </c>
      <c r="X1715" s="8" t="s">
        <v>1799</v>
      </c>
    </row>
    <row r="1716" spans="1:24" ht="25" customHeight="1">
      <c r="A1716" s="12">
        <v>6603</v>
      </c>
      <c r="B1716" s="8">
        <v>2</v>
      </c>
      <c r="C1716" s="8" t="s">
        <v>716</v>
      </c>
      <c r="D1716" s="8" t="s">
        <v>203</v>
      </c>
      <c r="E1716" s="8" t="s">
        <v>1410</v>
      </c>
      <c r="F1716" s="8">
        <v>13</v>
      </c>
      <c r="G1716" s="8">
        <v>1</v>
      </c>
      <c r="H1716" s="11">
        <v>0.07692307692307693</v>
      </c>
      <c r="I1716" s="11">
        <v>0.01875</v>
      </c>
      <c r="J1716" s="11">
        <v>4.102564102564103</v>
      </c>
      <c r="K1716" s="8">
        <v>1</v>
      </c>
      <c r="L1716" s="8">
        <v>12</v>
      </c>
      <c r="M1716" s="8">
        <v>2</v>
      </c>
      <c r="N1716" s="8">
        <v>145</v>
      </c>
      <c r="O1716" s="11">
        <v>0.1066878725817827</v>
      </c>
      <c r="P1716" s="8" t="s">
        <v>704</v>
      </c>
      <c r="Q1716" s="8" t="s">
        <v>1800</v>
      </c>
      <c r="R1716" s="8">
        <v>67</v>
      </c>
      <c r="S1716" s="11">
        <v>60.44091961145006</v>
      </c>
      <c r="T1716" s="11">
        <v>0.24375</v>
      </c>
      <c r="U1716" s="11">
        <v>12.75625</v>
      </c>
      <c r="V1716" s="11">
        <v>2.75625</v>
      </c>
      <c r="W1716" s="11">
        <v>144.24375</v>
      </c>
      <c r="X1716" s="8" t="s">
        <v>1801</v>
      </c>
    </row>
    <row r="1717" spans="1:24" ht="25" customHeight="1">
      <c r="A1717" s="12">
        <v>6604</v>
      </c>
      <c r="B1717" s="8">
        <v>2</v>
      </c>
      <c r="C1717" s="8" t="s">
        <v>711</v>
      </c>
      <c r="D1717" s="8" t="s">
        <v>222</v>
      </c>
      <c r="E1717" s="8" t="s">
        <v>1541</v>
      </c>
      <c r="F1717" s="8">
        <v>1</v>
      </c>
      <c r="G1717" s="8">
        <v>1</v>
      </c>
      <c r="H1717" s="8">
        <v>1</v>
      </c>
      <c r="I1717" s="11">
        <v>0.00625</v>
      </c>
      <c r="J1717" s="8">
        <v>160</v>
      </c>
      <c r="K1717" s="8">
        <v>1</v>
      </c>
      <c r="L1717" s="8">
        <v>0</v>
      </c>
      <c r="M1717" s="8">
        <v>0</v>
      </c>
      <c r="N1717" s="8">
        <v>159</v>
      </c>
      <c r="O1717" s="11">
        <v>1.131483790243283E-36</v>
      </c>
      <c r="P1717" s="8" t="s">
        <v>704</v>
      </c>
      <c r="Q1717" s="8" t="s">
        <v>1802</v>
      </c>
      <c r="R1717" s="8">
        <v>68</v>
      </c>
      <c r="S1717" s="8">
        <v>72</v>
      </c>
      <c r="T1717" s="11">
        <v>0.00625</v>
      </c>
      <c r="U1717" s="11">
        <v>0.99375</v>
      </c>
      <c r="V1717" s="11">
        <v>0.99375</v>
      </c>
      <c r="W1717" s="11">
        <v>158.00625</v>
      </c>
      <c r="X1717" s="8" t="s">
        <v>1803</v>
      </c>
    </row>
    <row r="1718" spans="1:24" ht="25" customHeight="1">
      <c r="A1718" s="12">
        <v>6605</v>
      </c>
      <c r="B1718" s="8">
        <v>2</v>
      </c>
      <c r="C1718" s="8" t="s">
        <v>716</v>
      </c>
      <c r="D1718" s="8" t="s">
        <v>206</v>
      </c>
      <c r="E1718" s="8" t="s">
        <v>1544</v>
      </c>
      <c r="F1718" s="8">
        <v>9</v>
      </c>
      <c r="G1718" s="8">
        <v>1</v>
      </c>
      <c r="H1718" s="11">
        <v>0.1111111111111111</v>
      </c>
      <c r="I1718" s="11">
        <v>0.00625</v>
      </c>
      <c r="J1718" s="11">
        <v>17.77777777777778</v>
      </c>
      <c r="K1718" s="8">
        <v>1</v>
      </c>
      <c r="L1718" s="8">
        <v>8</v>
      </c>
      <c r="M1718" s="8">
        <v>0</v>
      </c>
      <c r="N1718" s="8">
        <v>151</v>
      </c>
      <c r="O1718" s="11">
        <v>3.974980673544505E-05</v>
      </c>
      <c r="P1718" s="8" t="s">
        <v>704</v>
      </c>
      <c r="Q1718" s="8" t="s">
        <v>1804</v>
      </c>
      <c r="R1718" s="8">
        <v>69</v>
      </c>
      <c r="S1718" s="11">
        <v>63.11091236207744</v>
      </c>
      <c r="T1718" s="11">
        <v>0.05625</v>
      </c>
      <c r="U1718" s="11">
        <v>8.94375</v>
      </c>
      <c r="V1718" s="11">
        <v>0.94375</v>
      </c>
      <c r="W1718" s="11">
        <v>150.05625</v>
      </c>
      <c r="X1718" s="8" t="s">
        <v>1805</v>
      </c>
    </row>
    <row r="1719" spans="1:24" ht="25" customHeight="1">
      <c r="A1719" s="12">
        <v>6606</v>
      </c>
      <c r="B1719" s="8">
        <v>2</v>
      </c>
      <c r="C1719" s="8" t="s">
        <v>716</v>
      </c>
      <c r="D1719" s="8" t="s">
        <v>203</v>
      </c>
      <c r="E1719" s="8" t="s">
        <v>1546</v>
      </c>
      <c r="F1719" s="8">
        <v>13</v>
      </c>
      <c r="G1719" s="8">
        <v>1</v>
      </c>
      <c r="H1719" s="11">
        <v>0.07692307692307693</v>
      </c>
      <c r="I1719" s="11">
        <v>0.00625</v>
      </c>
      <c r="J1719" s="11">
        <v>12.30769230769231</v>
      </c>
      <c r="K1719" s="8">
        <v>1</v>
      </c>
      <c r="L1719" s="8">
        <v>12</v>
      </c>
      <c r="M1719" s="8">
        <v>0</v>
      </c>
      <c r="N1719" s="8">
        <v>147</v>
      </c>
      <c r="O1719" s="11">
        <v>0.0007428669881025076</v>
      </c>
      <c r="P1719" s="8" t="s">
        <v>704</v>
      </c>
      <c r="Q1719" s="8" t="s">
        <v>1806</v>
      </c>
      <c r="R1719" s="8">
        <v>70</v>
      </c>
      <c r="S1719" s="11">
        <v>62.76551643429026</v>
      </c>
      <c r="T1719" s="11">
        <v>0.08125</v>
      </c>
      <c r="U1719" s="11">
        <v>12.91875</v>
      </c>
      <c r="V1719" s="11">
        <v>0.91875</v>
      </c>
      <c r="W1719" s="11">
        <v>146.08125</v>
      </c>
      <c r="X1719" s="8" t="s">
        <v>1792</v>
      </c>
    </row>
    <row r="1720" spans="1:24" ht="25" customHeight="1">
      <c r="A1720" s="12">
        <v>6607</v>
      </c>
      <c r="B1720" s="8">
        <v>2</v>
      </c>
      <c r="C1720" s="8" t="s">
        <v>720</v>
      </c>
      <c r="D1720" s="8" t="s">
        <v>203</v>
      </c>
      <c r="E1720" s="8" t="s">
        <v>821</v>
      </c>
      <c r="F1720" s="8">
        <v>6</v>
      </c>
      <c r="G1720" s="8">
        <v>1</v>
      </c>
      <c r="H1720" s="11">
        <v>0.1666666666666667</v>
      </c>
      <c r="I1720" s="11">
        <v>0.025</v>
      </c>
      <c r="J1720" s="11">
        <v>6.666666666666666</v>
      </c>
      <c r="K1720" s="8">
        <v>1</v>
      </c>
      <c r="L1720" s="8">
        <v>5</v>
      </c>
      <c r="M1720" s="8">
        <v>3</v>
      </c>
      <c r="N1720" s="8">
        <v>151</v>
      </c>
      <c r="O1720" s="11">
        <v>0.02347991883703567</v>
      </c>
      <c r="P1720" s="8" t="s">
        <v>704</v>
      </c>
      <c r="Q1720" s="8" t="s">
        <v>1807</v>
      </c>
      <c r="R1720" s="8">
        <v>71</v>
      </c>
      <c r="S1720" s="11">
        <v>63.54926707248148</v>
      </c>
      <c r="T1720" s="11">
        <v>0.15</v>
      </c>
      <c r="U1720" s="11">
        <v>5.85</v>
      </c>
      <c r="V1720" s="11">
        <v>3.85</v>
      </c>
      <c r="W1720" s="11">
        <v>150.15</v>
      </c>
      <c r="X1720" s="8" t="s">
        <v>1808</v>
      </c>
    </row>
    <row r="1721" spans="1:24" ht="25" customHeight="1">
      <c r="A1721" s="12">
        <v>6608</v>
      </c>
      <c r="B1721" s="8">
        <v>2</v>
      </c>
      <c r="C1721" s="8" t="s">
        <v>716</v>
      </c>
      <c r="D1721" s="8" t="s">
        <v>203</v>
      </c>
      <c r="E1721" s="8" t="s">
        <v>1550</v>
      </c>
      <c r="F1721" s="8">
        <v>13</v>
      </c>
      <c r="G1721" s="8">
        <v>1</v>
      </c>
      <c r="H1721" s="11">
        <v>0.07692307692307693</v>
      </c>
      <c r="I1721" s="11">
        <v>0.00625</v>
      </c>
      <c r="J1721" s="11">
        <v>12.30769230769231</v>
      </c>
      <c r="K1721" s="8">
        <v>1</v>
      </c>
      <c r="L1721" s="8">
        <v>12</v>
      </c>
      <c r="M1721" s="8">
        <v>0</v>
      </c>
      <c r="N1721" s="8">
        <v>147</v>
      </c>
      <c r="O1721" s="11">
        <v>0.0007428669881025076</v>
      </c>
      <c r="P1721" s="8" t="s">
        <v>704</v>
      </c>
      <c r="Q1721" s="8" t="s">
        <v>1809</v>
      </c>
      <c r="R1721" s="8">
        <v>72</v>
      </c>
      <c r="S1721" s="11">
        <v>62.76551643429026</v>
      </c>
      <c r="T1721" s="11">
        <v>0.08125</v>
      </c>
      <c r="U1721" s="11">
        <v>12.91875</v>
      </c>
      <c r="V1721" s="11">
        <v>0.91875</v>
      </c>
      <c r="W1721" s="11">
        <v>146.08125</v>
      </c>
      <c r="X1721" s="8" t="s">
        <v>1792</v>
      </c>
    </row>
    <row r="1722" spans="1:24" ht="25" customHeight="1">
      <c r="A1722" s="12">
        <v>6609</v>
      </c>
      <c r="B1722" s="8">
        <v>2</v>
      </c>
      <c r="C1722" s="8" t="s">
        <v>711</v>
      </c>
      <c r="D1722" s="8" t="s">
        <v>203</v>
      </c>
      <c r="E1722" s="8" t="s">
        <v>1398</v>
      </c>
      <c r="F1722" s="8">
        <v>4</v>
      </c>
      <c r="G1722" s="8">
        <v>1</v>
      </c>
      <c r="H1722" s="11">
        <v>0.25</v>
      </c>
      <c r="I1722" s="11">
        <v>0.0375</v>
      </c>
      <c r="J1722" s="11">
        <v>6.666666666666667</v>
      </c>
      <c r="K1722" s="8">
        <v>1</v>
      </c>
      <c r="L1722" s="8">
        <v>3</v>
      </c>
      <c r="M1722" s="8">
        <v>5</v>
      </c>
      <c r="N1722" s="8">
        <v>151</v>
      </c>
      <c r="O1722" s="11">
        <v>0.02347991883703567</v>
      </c>
      <c r="P1722" s="8" t="s">
        <v>704</v>
      </c>
      <c r="Q1722" s="8" t="s">
        <v>1810</v>
      </c>
      <c r="R1722" s="8">
        <v>73</v>
      </c>
      <c r="S1722" s="11">
        <v>64.38260040581483</v>
      </c>
      <c r="T1722" s="11">
        <v>0.15</v>
      </c>
      <c r="U1722" s="11">
        <v>3.85</v>
      </c>
      <c r="V1722" s="11">
        <v>5.85</v>
      </c>
      <c r="W1722" s="11">
        <v>150.15</v>
      </c>
      <c r="X1722" s="8" t="s">
        <v>1811</v>
      </c>
    </row>
    <row r="1723" spans="1:24" ht="25" customHeight="1">
      <c r="A1723" s="12">
        <v>6610</v>
      </c>
      <c r="B1723" s="8">
        <v>2</v>
      </c>
      <c r="C1723" s="8" t="s">
        <v>711</v>
      </c>
      <c r="D1723" s="8" t="s">
        <v>206</v>
      </c>
      <c r="E1723" s="8" t="s">
        <v>816</v>
      </c>
      <c r="F1723" s="8">
        <v>3</v>
      </c>
      <c r="G1723" s="8">
        <v>1</v>
      </c>
      <c r="H1723" s="11">
        <v>0.3333333333333333</v>
      </c>
      <c r="I1723" s="11">
        <v>0.15</v>
      </c>
      <c r="J1723" s="11">
        <v>2.222222222222222</v>
      </c>
      <c r="K1723" s="8">
        <v>1</v>
      </c>
      <c r="L1723" s="8">
        <v>2</v>
      </c>
      <c r="M1723" s="8">
        <v>23</v>
      </c>
      <c r="N1723" s="8">
        <v>134</v>
      </c>
      <c r="O1723" s="11">
        <v>0.3693169493326644</v>
      </c>
      <c r="P1723" s="8" t="s">
        <v>704</v>
      </c>
      <c r="Q1723" s="8" t="s">
        <v>1812</v>
      </c>
      <c r="R1723" s="8">
        <v>74</v>
      </c>
      <c r="S1723" s="11">
        <v>57.93119303111445</v>
      </c>
      <c r="T1723" s="11">
        <v>0.45</v>
      </c>
      <c r="U1723" s="11">
        <v>2.55</v>
      </c>
      <c r="V1723" s="11">
        <v>23.55</v>
      </c>
      <c r="W1723" s="11">
        <v>133.45</v>
      </c>
      <c r="X1723" s="8" t="s">
        <v>1813</v>
      </c>
    </row>
    <row r="1724" spans="1:24" ht="25" customHeight="1">
      <c r="A1724" s="12">
        <v>6611</v>
      </c>
      <c r="B1724" s="8">
        <v>2</v>
      </c>
      <c r="C1724" s="8" t="s">
        <v>716</v>
      </c>
      <c r="D1724" s="8" t="s">
        <v>203</v>
      </c>
      <c r="E1724" s="8" t="s">
        <v>816</v>
      </c>
      <c r="F1724" s="8">
        <v>13</v>
      </c>
      <c r="G1724" s="8">
        <v>1</v>
      </c>
      <c r="H1724" s="11">
        <v>0.07692307692307693</v>
      </c>
      <c r="I1724" s="11">
        <v>0.15</v>
      </c>
      <c r="J1724" s="11">
        <v>0.5128205128205129</v>
      </c>
      <c r="K1724" s="8">
        <v>1</v>
      </c>
      <c r="L1724" s="8">
        <v>12</v>
      </c>
      <c r="M1724" s="8">
        <v>23</v>
      </c>
      <c r="N1724" s="8">
        <v>124</v>
      </c>
      <c r="O1724" s="11">
        <v>0.4413972403059709</v>
      </c>
      <c r="P1724" s="8" t="s">
        <v>704</v>
      </c>
      <c r="Q1724" s="8" t="s">
        <v>1814</v>
      </c>
      <c r="R1724" s="8">
        <v>75</v>
      </c>
      <c r="S1724" s="11">
        <v>51.58788559334194</v>
      </c>
      <c r="T1724" s="11">
        <v>1.95</v>
      </c>
      <c r="U1724" s="11">
        <v>11.05</v>
      </c>
      <c r="V1724" s="11">
        <v>22.05</v>
      </c>
      <c r="W1724" s="11">
        <v>124.95</v>
      </c>
      <c r="X1724" s="8" t="s">
        <v>1815</v>
      </c>
    </row>
    <row r="1725" spans="1:24" ht="25" customHeight="1">
      <c r="A1725" s="12">
        <v>6612</v>
      </c>
      <c r="B1725" s="8">
        <v>2</v>
      </c>
      <c r="C1725" s="8" t="s">
        <v>706</v>
      </c>
      <c r="D1725" s="8" t="s">
        <v>206</v>
      </c>
      <c r="E1725" s="8" t="s">
        <v>820</v>
      </c>
      <c r="F1725" s="8">
        <v>5</v>
      </c>
      <c r="G1725" s="8">
        <v>1</v>
      </c>
      <c r="H1725" s="11">
        <v>0.2</v>
      </c>
      <c r="I1725" s="11">
        <v>0.03125</v>
      </c>
      <c r="J1725" s="11">
        <v>6.4</v>
      </c>
      <c r="K1725" s="8">
        <v>1</v>
      </c>
      <c r="L1725" s="8">
        <v>4</v>
      </c>
      <c r="M1725" s="8">
        <v>4</v>
      </c>
      <c r="N1725" s="8">
        <v>151</v>
      </c>
      <c r="O1725" s="11">
        <v>0.02756702829938931</v>
      </c>
      <c r="P1725" s="8" t="s">
        <v>704</v>
      </c>
      <c r="Q1725" s="8" t="s">
        <v>1816</v>
      </c>
      <c r="R1725" s="8">
        <v>76</v>
      </c>
      <c r="S1725" s="11">
        <v>63.86216485850305</v>
      </c>
      <c r="T1725" s="11">
        <v>0.15625</v>
      </c>
      <c r="U1725" s="11">
        <v>4.84375</v>
      </c>
      <c r="V1725" s="11">
        <v>4.84375</v>
      </c>
      <c r="W1725" s="11">
        <v>150.15625</v>
      </c>
      <c r="X1725" s="8" t="s">
        <v>1817</v>
      </c>
    </row>
    <row r="1726" spans="1:24" ht="25" customHeight="1">
      <c r="A1726" s="12">
        <v>6613</v>
      </c>
      <c r="B1726" s="8">
        <v>2</v>
      </c>
      <c r="C1726" s="8" t="s">
        <v>706</v>
      </c>
      <c r="D1726" s="8" t="s">
        <v>206</v>
      </c>
      <c r="E1726" s="8" t="s">
        <v>1558</v>
      </c>
      <c r="F1726" s="8">
        <v>5</v>
      </c>
      <c r="G1726" s="8">
        <v>1</v>
      </c>
      <c r="H1726" s="11">
        <v>0.2</v>
      </c>
      <c r="I1726" s="11">
        <v>0.00625</v>
      </c>
      <c r="J1726" s="8">
        <v>32</v>
      </c>
      <c r="K1726" s="8">
        <v>1</v>
      </c>
      <c r="L1726" s="8">
        <v>4</v>
      </c>
      <c r="M1726" s="8">
        <v>0</v>
      </c>
      <c r="N1726" s="8">
        <v>155</v>
      </c>
      <c r="O1726" s="11">
        <v>2.333701583830451E-08</v>
      </c>
      <c r="P1726" s="8" t="s">
        <v>704</v>
      </c>
      <c r="Q1726" s="8" t="s">
        <v>1818</v>
      </c>
      <c r="R1726" s="8">
        <v>77</v>
      </c>
      <c r="S1726" s="11">
        <v>63.99999988331492</v>
      </c>
      <c r="T1726" s="11">
        <v>0.03125</v>
      </c>
      <c r="U1726" s="11">
        <v>4.96875</v>
      </c>
      <c r="V1726" s="11">
        <v>0.96875</v>
      </c>
      <c r="W1726" s="11">
        <v>154.03125</v>
      </c>
      <c r="X1726" s="8" t="s">
        <v>1796</v>
      </c>
    </row>
    <row r="1727" spans="1:24" ht="25" customHeight="1">
      <c r="A1727" s="12">
        <v>6614</v>
      </c>
      <c r="B1727" s="8">
        <v>2</v>
      </c>
      <c r="C1727" s="8" t="s">
        <v>716</v>
      </c>
      <c r="D1727" s="8" t="s">
        <v>203</v>
      </c>
      <c r="E1727" s="8" t="s">
        <v>1398</v>
      </c>
      <c r="F1727" s="8">
        <v>13</v>
      </c>
      <c r="G1727" s="8">
        <v>1</v>
      </c>
      <c r="H1727" s="11">
        <v>0.07692307692307693</v>
      </c>
      <c r="I1727" s="11">
        <v>0.0375</v>
      </c>
      <c r="J1727" s="11">
        <v>2.051282051282052</v>
      </c>
      <c r="K1727" s="8">
        <v>1</v>
      </c>
      <c r="L1727" s="8">
        <v>12</v>
      </c>
      <c r="M1727" s="8">
        <v>5</v>
      </c>
      <c r="N1727" s="8">
        <v>142</v>
      </c>
      <c r="O1727" s="11">
        <v>0.4350600327031988</v>
      </c>
      <c r="P1727" s="8" t="s">
        <v>704</v>
      </c>
      <c r="Q1727" s="8" t="s">
        <v>1819</v>
      </c>
      <c r="R1727" s="8">
        <v>78</v>
      </c>
      <c r="S1727" s="11">
        <v>54.69649470827888</v>
      </c>
      <c r="T1727" s="11">
        <v>0.4875</v>
      </c>
      <c r="U1727" s="11">
        <v>12.5125</v>
      </c>
      <c r="V1727" s="11">
        <v>5.5125</v>
      </c>
      <c r="W1727" s="11">
        <v>141.4875</v>
      </c>
      <c r="X1727" s="8" t="s">
        <v>1820</v>
      </c>
    </row>
    <row r="1728" spans="1:24" ht="25" customHeight="1">
      <c r="A1728" s="12">
        <v>6615</v>
      </c>
      <c r="B1728" s="8">
        <v>2</v>
      </c>
      <c r="C1728" s="8" t="s">
        <v>716</v>
      </c>
      <c r="D1728" s="8" t="s">
        <v>206</v>
      </c>
      <c r="E1728" s="8" t="s">
        <v>816</v>
      </c>
      <c r="F1728" s="8">
        <v>9</v>
      </c>
      <c r="G1728" s="8">
        <v>3</v>
      </c>
      <c r="H1728" s="11">
        <v>0.3333333333333333</v>
      </c>
      <c r="I1728" s="11">
        <v>0.15</v>
      </c>
      <c r="J1728" s="11">
        <v>2.222222222222222</v>
      </c>
      <c r="K1728" s="8">
        <v>3</v>
      </c>
      <c r="L1728" s="8">
        <v>6</v>
      </c>
      <c r="M1728" s="8">
        <v>21</v>
      </c>
      <c r="N1728" s="8">
        <v>130</v>
      </c>
      <c r="O1728" s="11">
        <v>0.1128421116766437</v>
      </c>
      <c r="P1728" s="8" t="s">
        <v>700</v>
      </c>
      <c r="Q1728" s="8" t="s">
        <v>1821</v>
      </c>
      <c r="R1728" s="8">
        <v>79</v>
      </c>
      <c r="S1728" s="11">
        <v>58.21356721939456</v>
      </c>
      <c r="T1728" s="11">
        <v>1.35</v>
      </c>
      <c r="U1728" s="11">
        <v>7.65</v>
      </c>
      <c r="V1728" s="11">
        <v>22.65</v>
      </c>
      <c r="W1728" s="11">
        <v>128.35</v>
      </c>
      <c r="X1728" s="8" t="s">
        <v>1822</v>
      </c>
    </row>
    <row r="1729" spans="1:24" ht="25" customHeight="1">
      <c r="A1729" s="12">
        <v>6616</v>
      </c>
      <c r="B1729" s="8">
        <v>2</v>
      </c>
      <c r="C1729" s="8" t="s">
        <v>716</v>
      </c>
      <c r="D1729" s="8" t="s">
        <v>203</v>
      </c>
      <c r="E1729" s="8" t="s">
        <v>49</v>
      </c>
      <c r="F1729" s="8">
        <v>13</v>
      </c>
      <c r="G1729" s="8">
        <v>1</v>
      </c>
      <c r="H1729" s="11">
        <v>0.07692307692307693</v>
      </c>
      <c r="I1729" s="11">
        <v>0.05</v>
      </c>
      <c r="J1729" s="11">
        <v>1.538461538461539</v>
      </c>
      <c r="K1729" s="8">
        <v>1</v>
      </c>
      <c r="L1729" s="8">
        <v>12</v>
      </c>
      <c r="M1729" s="8">
        <v>7</v>
      </c>
      <c r="N1729" s="8">
        <v>140</v>
      </c>
      <c r="O1729" s="11">
        <v>0.6421630034326686</v>
      </c>
      <c r="P1729" s="8" t="s">
        <v>704</v>
      </c>
      <c r="Q1729" s="8" t="s">
        <v>1823</v>
      </c>
      <c r="R1729" s="8">
        <v>80</v>
      </c>
      <c r="S1729" s="11">
        <v>52.63533882899051</v>
      </c>
      <c r="T1729" s="11">
        <v>0.65</v>
      </c>
      <c r="U1729" s="11">
        <v>12.35</v>
      </c>
      <c r="V1729" s="11">
        <v>7.35</v>
      </c>
      <c r="W1729" s="11">
        <v>139.65</v>
      </c>
      <c r="X1729" s="8" t="s">
        <v>1824</v>
      </c>
    </row>
    <row r="1730" spans="1:24" ht="25" customHeight="1">
      <c r="A1730" s="12">
        <v>6617</v>
      </c>
      <c r="B1730" s="8">
        <v>2</v>
      </c>
      <c r="C1730" s="8" t="s">
        <v>711</v>
      </c>
      <c r="D1730" s="8" t="s">
        <v>206</v>
      </c>
      <c r="E1730" s="8" t="s">
        <v>49</v>
      </c>
      <c r="F1730" s="8">
        <v>3</v>
      </c>
      <c r="G1730" s="8">
        <v>1</v>
      </c>
      <c r="H1730" s="11">
        <v>0.3333333333333333</v>
      </c>
      <c r="I1730" s="11">
        <v>0.05</v>
      </c>
      <c r="J1730" s="11">
        <v>6.666666666666666</v>
      </c>
      <c r="K1730" s="8">
        <v>1</v>
      </c>
      <c r="L1730" s="8">
        <v>2</v>
      </c>
      <c r="M1730" s="8">
        <v>7</v>
      </c>
      <c r="N1730" s="8">
        <v>150</v>
      </c>
      <c r="O1730" s="11">
        <v>0.02301917163626305</v>
      </c>
      <c r="P1730" s="8" t="s">
        <v>704</v>
      </c>
      <c r="Q1730" s="8" t="s">
        <v>1825</v>
      </c>
      <c r="R1730" s="8">
        <v>81</v>
      </c>
      <c r="S1730" s="11">
        <v>65.21823747515202</v>
      </c>
      <c r="T1730" s="11">
        <v>0.15</v>
      </c>
      <c r="U1730" s="11">
        <v>2.85</v>
      </c>
      <c r="V1730" s="11">
        <v>7.85</v>
      </c>
      <c r="W1730" s="11">
        <v>149.15</v>
      </c>
      <c r="X1730" s="8" t="s">
        <v>1826</v>
      </c>
    </row>
    <row r="1731" spans="1:24" ht="25" customHeight="1">
      <c r="A1731" s="12">
        <v>6618</v>
      </c>
      <c r="B1731" s="8">
        <v>2</v>
      </c>
      <c r="C1731" s="8" t="s">
        <v>716</v>
      </c>
      <c r="D1731" s="8" t="s">
        <v>206</v>
      </c>
      <c r="E1731" s="8" t="s">
        <v>1566</v>
      </c>
      <c r="F1731" s="8">
        <v>9</v>
      </c>
      <c r="G1731" s="8">
        <v>1</v>
      </c>
      <c r="H1731" s="11">
        <v>0.1111111111111111</v>
      </c>
      <c r="I1731" s="11">
        <v>0.00625</v>
      </c>
      <c r="J1731" s="11">
        <v>17.77777777777778</v>
      </c>
      <c r="K1731" s="8">
        <v>1</v>
      </c>
      <c r="L1731" s="8">
        <v>8</v>
      </c>
      <c r="M1731" s="8">
        <v>0</v>
      </c>
      <c r="N1731" s="8">
        <v>151</v>
      </c>
      <c r="O1731" s="11">
        <v>3.974980673544505E-05</v>
      </c>
      <c r="P1731" s="8" t="s">
        <v>704</v>
      </c>
      <c r="Q1731" s="8" t="s">
        <v>1827</v>
      </c>
      <c r="R1731" s="8">
        <v>82</v>
      </c>
      <c r="S1731" s="11">
        <v>63.11091236207744</v>
      </c>
      <c r="T1731" s="11">
        <v>0.05625</v>
      </c>
      <c r="U1731" s="11">
        <v>8.94375</v>
      </c>
      <c r="V1731" s="11">
        <v>0.94375</v>
      </c>
      <c r="W1731" s="11">
        <v>150.05625</v>
      </c>
      <c r="X1731" s="8" t="s">
        <v>1805</v>
      </c>
    </row>
    <row r="1732" spans="1:24" ht="25" customHeight="1">
      <c r="A1732" s="12">
        <v>6619</v>
      </c>
      <c r="B1732" s="8">
        <v>2</v>
      </c>
      <c r="C1732" s="8" t="s">
        <v>716</v>
      </c>
      <c r="D1732" s="8" t="s">
        <v>203</v>
      </c>
      <c r="E1732" s="8" t="s">
        <v>815</v>
      </c>
      <c r="F1732" s="8">
        <v>13</v>
      </c>
      <c r="G1732" s="8">
        <v>1</v>
      </c>
      <c r="H1732" s="11">
        <v>0.07692307692307693</v>
      </c>
      <c r="I1732" s="11">
        <v>0.05</v>
      </c>
      <c r="J1732" s="11">
        <v>1.538461538461539</v>
      </c>
      <c r="K1732" s="8">
        <v>1</v>
      </c>
      <c r="L1732" s="8">
        <v>12</v>
      </c>
      <c r="M1732" s="8">
        <v>7</v>
      </c>
      <c r="N1732" s="8">
        <v>140</v>
      </c>
      <c r="O1732" s="11">
        <v>0.6421630034326686</v>
      </c>
      <c r="P1732" s="8" t="s">
        <v>704</v>
      </c>
      <c r="Q1732" s="8" t="s">
        <v>1828</v>
      </c>
      <c r="R1732" s="8">
        <v>83</v>
      </c>
      <c r="S1732" s="11">
        <v>52.63533882899051</v>
      </c>
      <c r="T1732" s="11">
        <v>0.65</v>
      </c>
      <c r="U1732" s="11">
        <v>12.35</v>
      </c>
      <c r="V1732" s="11">
        <v>7.35</v>
      </c>
      <c r="W1732" s="11">
        <v>139.65</v>
      </c>
      <c r="X1732" s="8" t="s">
        <v>1824</v>
      </c>
    </row>
    <row r="1733" spans="1:24" ht="25" customHeight="1">
      <c r="A1733" s="12">
        <v>6620</v>
      </c>
      <c r="B1733" s="8">
        <v>2</v>
      </c>
      <c r="C1733" s="8" t="s">
        <v>716</v>
      </c>
      <c r="D1733" s="8" t="s">
        <v>203</v>
      </c>
      <c r="E1733" s="8" t="s">
        <v>1422</v>
      </c>
      <c r="F1733" s="8">
        <v>13</v>
      </c>
      <c r="G1733" s="8">
        <v>1</v>
      </c>
      <c r="H1733" s="11">
        <v>0.07692307692307693</v>
      </c>
      <c r="I1733" s="11">
        <v>0.01875</v>
      </c>
      <c r="J1733" s="11">
        <v>4.102564102564103</v>
      </c>
      <c r="K1733" s="8">
        <v>1</v>
      </c>
      <c r="L1733" s="8">
        <v>12</v>
      </c>
      <c r="M1733" s="8">
        <v>2</v>
      </c>
      <c r="N1733" s="8">
        <v>145</v>
      </c>
      <c r="O1733" s="11">
        <v>0.1066878725817827</v>
      </c>
      <c r="P1733" s="8" t="s">
        <v>704</v>
      </c>
      <c r="Q1733" s="8" t="s">
        <v>1829</v>
      </c>
      <c r="R1733" s="8">
        <v>84</v>
      </c>
      <c r="S1733" s="11">
        <v>60.44091961145006</v>
      </c>
      <c r="T1733" s="11">
        <v>0.24375</v>
      </c>
      <c r="U1733" s="11">
        <v>12.75625</v>
      </c>
      <c r="V1733" s="11">
        <v>2.75625</v>
      </c>
      <c r="W1733" s="11">
        <v>144.24375</v>
      </c>
      <c r="X1733" s="8" t="s">
        <v>1801</v>
      </c>
    </row>
    <row r="1734" spans="1:24" ht="25" customHeight="1">
      <c r="A1734" s="12">
        <v>6621</v>
      </c>
      <c r="B1734" s="8">
        <v>2</v>
      </c>
      <c r="C1734" s="8" t="s">
        <v>706</v>
      </c>
      <c r="D1734" s="8" t="s">
        <v>206</v>
      </c>
      <c r="E1734" s="8" t="s">
        <v>823</v>
      </c>
      <c r="F1734" s="8">
        <v>5</v>
      </c>
      <c r="G1734" s="8">
        <v>1</v>
      </c>
      <c r="H1734" s="11">
        <v>0.2</v>
      </c>
      <c r="I1734" s="11">
        <v>0.04375</v>
      </c>
      <c r="J1734" s="11">
        <v>4.571428571428572</v>
      </c>
      <c r="K1734" s="8">
        <v>1</v>
      </c>
      <c r="L1734" s="8">
        <v>4</v>
      </c>
      <c r="M1734" s="8">
        <v>6</v>
      </c>
      <c r="N1734" s="8">
        <v>149</v>
      </c>
      <c r="O1734" s="11">
        <v>0.08265242317562557</v>
      </c>
      <c r="P1734" s="8" t="s">
        <v>704</v>
      </c>
      <c r="Q1734" s="8" t="s">
        <v>1830</v>
      </c>
      <c r="R1734" s="8">
        <v>85</v>
      </c>
      <c r="S1734" s="11">
        <v>62.72959502697902</v>
      </c>
      <c r="T1734" s="11">
        <v>0.21875</v>
      </c>
      <c r="U1734" s="11">
        <v>4.78125</v>
      </c>
      <c r="V1734" s="11">
        <v>6.78125</v>
      </c>
      <c r="W1734" s="11">
        <v>148.21875</v>
      </c>
      <c r="X1734" s="8" t="s">
        <v>1831</v>
      </c>
    </row>
    <row r="1735" spans="1:24" ht="25" customHeight="1">
      <c r="A1735" s="12">
        <v>6622</v>
      </c>
      <c r="B1735" s="8">
        <v>2</v>
      </c>
      <c r="C1735" s="8" t="s">
        <v>716</v>
      </c>
      <c r="D1735" s="8" t="s">
        <v>203</v>
      </c>
      <c r="E1735" s="8" t="s">
        <v>1572</v>
      </c>
      <c r="F1735" s="8">
        <v>13</v>
      </c>
      <c r="G1735" s="8">
        <v>1</v>
      </c>
      <c r="H1735" s="11">
        <v>0.07692307692307693</v>
      </c>
      <c r="I1735" s="11">
        <v>0.00625</v>
      </c>
      <c r="J1735" s="11">
        <v>12.30769230769231</v>
      </c>
      <c r="K1735" s="8">
        <v>1</v>
      </c>
      <c r="L1735" s="8">
        <v>12</v>
      </c>
      <c r="M1735" s="8">
        <v>0</v>
      </c>
      <c r="N1735" s="8">
        <v>147</v>
      </c>
      <c r="O1735" s="11">
        <v>0.0007428669881025076</v>
      </c>
      <c r="P1735" s="8" t="s">
        <v>704</v>
      </c>
      <c r="Q1735" s="8" t="s">
        <v>1832</v>
      </c>
      <c r="R1735" s="8">
        <v>86</v>
      </c>
      <c r="S1735" s="11">
        <v>62.76551643429026</v>
      </c>
      <c r="T1735" s="11">
        <v>0.08125</v>
      </c>
      <c r="U1735" s="11">
        <v>12.91875</v>
      </c>
      <c r="V1735" s="11">
        <v>0.91875</v>
      </c>
      <c r="W1735" s="11">
        <v>146.08125</v>
      </c>
      <c r="X1735" s="8" t="s">
        <v>1792</v>
      </c>
    </row>
    <row r="1736" spans="1:24" ht="25" customHeight="1">
      <c r="A1736" s="12">
        <v>6623</v>
      </c>
      <c r="B1736" s="8">
        <v>2</v>
      </c>
      <c r="C1736" s="8" t="s">
        <v>711</v>
      </c>
      <c r="D1736" s="8" t="s">
        <v>203</v>
      </c>
      <c r="E1736" s="8" t="s">
        <v>1488</v>
      </c>
      <c r="F1736" s="8">
        <v>4</v>
      </c>
      <c r="G1736" s="8">
        <v>1</v>
      </c>
      <c r="H1736" s="11">
        <v>0.25</v>
      </c>
      <c r="I1736" s="11">
        <v>0.0125</v>
      </c>
      <c r="J1736" s="8">
        <v>20</v>
      </c>
      <c r="K1736" s="8">
        <v>1</v>
      </c>
      <c r="L1736" s="8">
        <v>3</v>
      </c>
      <c r="M1736" s="8">
        <v>1</v>
      </c>
      <c r="N1736" s="8">
        <v>155</v>
      </c>
      <c r="O1736" s="11">
        <v>1.492454534711669E-05</v>
      </c>
      <c r="P1736" s="8" t="s">
        <v>704</v>
      </c>
      <c r="Q1736" s="8" t="s">
        <v>1833</v>
      </c>
      <c r="R1736" s="8">
        <v>87</v>
      </c>
      <c r="S1736" s="11">
        <v>64.49992537727326</v>
      </c>
      <c r="T1736" s="11">
        <v>0.05</v>
      </c>
      <c r="U1736" s="11">
        <v>3.95</v>
      </c>
      <c r="V1736" s="11">
        <v>1.95</v>
      </c>
      <c r="W1736" s="11">
        <v>154.05</v>
      </c>
      <c r="X1736" s="8" t="s">
        <v>1784</v>
      </c>
    </row>
    <row r="1737" spans="1:24" ht="25" customHeight="1">
      <c r="A1737" s="12">
        <v>6624</v>
      </c>
      <c r="B1737" s="8">
        <v>2</v>
      </c>
      <c r="C1737" s="8" t="s">
        <v>706</v>
      </c>
      <c r="D1737" s="8" t="s">
        <v>222</v>
      </c>
      <c r="E1737" s="8" t="s">
        <v>1416</v>
      </c>
      <c r="F1737" s="8">
        <v>1</v>
      </c>
      <c r="G1737" s="8">
        <v>1</v>
      </c>
      <c r="H1737" s="8">
        <v>1</v>
      </c>
      <c r="I1737" s="11">
        <v>0.01875</v>
      </c>
      <c r="J1737" s="11">
        <v>53.33333333333334</v>
      </c>
      <c r="K1737" s="8">
        <v>1</v>
      </c>
      <c r="L1737" s="8">
        <v>0</v>
      </c>
      <c r="M1737" s="8">
        <v>2</v>
      </c>
      <c r="N1737" s="8">
        <v>157</v>
      </c>
      <c r="O1737" s="11">
        <v>3.960872549834493E-13</v>
      </c>
      <c r="P1737" s="8" t="s">
        <v>704</v>
      </c>
      <c r="Q1737" s="8" t="s">
        <v>1834</v>
      </c>
      <c r="R1737" s="8">
        <v>88</v>
      </c>
      <c r="S1737" s="11">
        <v>71.99999999999802</v>
      </c>
      <c r="T1737" s="11">
        <v>0.01875</v>
      </c>
      <c r="U1737" s="11">
        <v>0.98125</v>
      </c>
      <c r="V1737" s="11">
        <v>2.98125</v>
      </c>
      <c r="W1737" s="11">
        <v>156.01875</v>
      </c>
      <c r="X1737" s="8" t="s">
        <v>1790</v>
      </c>
    </row>
    <row r="1738" spans="1:24" ht="25" customHeight="1">
      <c r="A1738" s="12">
        <v>6625</v>
      </c>
      <c r="B1738" s="8">
        <v>2</v>
      </c>
      <c r="C1738" s="8" t="s">
        <v>711</v>
      </c>
      <c r="D1738" s="8" t="s">
        <v>206</v>
      </c>
      <c r="E1738" s="8" t="s">
        <v>1398</v>
      </c>
      <c r="F1738" s="8">
        <v>3</v>
      </c>
      <c r="G1738" s="8">
        <v>1</v>
      </c>
      <c r="H1738" s="11">
        <v>0.3333333333333333</v>
      </c>
      <c r="I1738" s="11">
        <v>0.0375</v>
      </c>
      <c r="J1738" s="11">
        <v>8.888888888888889</v>
      </c>
      <c r="K1738" s="8">
        <v>1</v>
      </c>
      <c r="L1738" s="8">
        <v>2</v>
      </c>
      <c r="M1738" s="8">
        <v>5</v>
      </c>
      <c r="N1738" s="8">
        <v>152</v>
      </c>
      <c r="O1738" s="11">
        <v>0.006474824074331759</v>
      </c>
      <c r="P1738" s="8" t="s">
        <v>704</v>
      </c>
      <c r="Q1738" s="8" t="s">
        <v>1835</v>
      </c>
      <c r="R1738" s="8">
        <v>89</v>
      </c>
      <c r="S1738" s="11">
        <v>65.30095921296167</v>
      </c>
      <c r="T1738" s="11">
        <v>0.1125</v>
      </c>
      <c r="U1738" s="11">
        <v>2.8875</v>
      </c>
      <c r="V1738" s="11">
        <v>5.8875</v>
      </c>
      <c r="W1738" s="11">
        <v>151.1125</v>
      </c>
      <c r="X1738" s="8" t="s">
        <v>1836</v>
      </c>
    </row>
    <row r="1739" spans="1:24" ht="25" customHeight="1">
      <c r="A1739" s="12">
        <v>6626</v>
      </c>
      <c r="B1739" s="8">
        <v>2</v>
      </c>
      <c r="C1739" s="8" t="s">
        <v>716</v>
      </c>
      <c r="D1739" s="8" t="s">
        <v>206</v>
      </c>
      <c r="E1739" s="8" t="s">
        <v>1579</v>
      </c>
      <c r="F1739" s="8">
        <v>9</v>
      </c>
      <c r="G1739" s="8">
        <v>1</v>
      </c>
      <c r="H1739" s="11">
        <v>0.1111111111111111</v>
      </c>
      <c r="I1739" s="11">
        <v>0.00625</v>
      </c>
      <c r="J1739" s="11">
        <v>17.77777777777778</v>
      </c>
      <c r="K1739" s="8">
        <v>1</v>
      </c>
      <c r="L1739" s="8">
        <v>8</v>
      </c>
      <c r="M1739" s="8">
        <v>0</v>
      </c>
      <c r="N1739" s="8">
        <v>151</v>
      </c>
      <c r="O1739" s="11">
        <v>3.974980673544505E-05</v>
      </c>
      <c r="P1739" s="8" t="s">
        <v>704</v>
      </c>
      <c r="Q1739" s="8" t="s">
        <v>1837</v>
      </c>
      <c r="R1739" s="8">
        <v>90</v>
      </c>
      <c r="S1739" s="11">
        <v>63.11091236207744</v>
      </c>
      <c r="T1739" s="11">
        <v>0.05625</v>
      </c>
      <c r="U1739" s="11">
        <v>8.94375</v>
      </c>
      <c r="V1739" s="11">
        <v>0.94375</v>
      </c>
      <c r="W1739" s="11">
        <v>150.05625</v>
      </c>
      <c r="X1739" s="8" t="s">
        <v>1805</v>
      </c>
    </row>
    <row r="1740" spans="1:24" ht="25" customHeight="1">
      <c r="A1740" s="12">
        <v>6627</v>
      </c>
      <c r="B1740" s="8">
        <v>2</v>
      </c>
      <c r="C1740" s="8" t="s">
        <v>716</v>
      </c>
      <c r="D1740" s="8" t="s">
        <v>203</v>
      </c>
      <c r="E1740" s="8" t="s">
        <v>819</v>
      </c>
      <c r="F1740" s="8">
        <v>13</v>
      </c>
      <c r="G1740" s="8">
        <v>1</v>
      </c>
      <c r="H1740" s="11">
        <v>0.07692307692307693</v>
      </c>
      <c r="I1740" s="11">
        <v>0.04375</v>
      </c>
      <c r="J1740" s="11">
        <v>1.758241758241758</v>
      </c>
      <c r="K1740" s="8">
        <v>1</v>
      </c>
      <c r="L1740" s="8">
        <v>12</v>
      </c>
      <c r="M1740" s="8">
        <v>6</v>
      </c>
      <c r="N1740" s="8">
        <v>141</v>
      </c>
      <c r="O1740" s="11">
        <v>0.541811405795446</v>
      </c>
      <c r="P1740" s="8" t="s">
        <v>704</v>
      </c>
      <c r="Q1740" s="8" t="s">
        <v>1838</v>
      </c>
      <c r="R1740" s="8">
        <v>91</v>
      </c>
      <c r="S1740" s="11">
        <v>53.57665725673706</v>
      </c>
      <c r="T1740" s="11">
        <v>0.56875</v>
      </c>
      <c r="U1740" s="11">
        <v>12.43125</v>
      </c>
      <c r="V1740" s="11">
        <v>6.43125</v>
      </c>
      <c r="W1740" s="11">
        <v>140.56875</v>
      </c>
      <c r="X1740" s="8" t="s">
        <v>1839</v>
      </c>
    </row>
    <row r="1741" spans="1:24" ht="25" customHeight="1">
      <c r="A1741" s="12">
        <v>6628</v>
      </c>
      <c r="B1741" s="8">
        <v>2</v>
      </c>
      <c r="C1741" s="8" t="s">
        <v>716</v>
      </c>
      <c r="D1741" s="8" t="s">
        <v>206</v>
      </c>
      <c r="E1741" s="8" t="s">
        <v>1583</v>
      </c>
      <c r="F1741" s="8">
        <v>9</v>
      </c>
      <c r="G1741" s="8">
        <v>1</v>
      </c>
      <c r="H1741" s="11">
        <v>0.1111111111111111</v>
      </c>
      <c r="I1741" s="11">
        <v>0.00625</v>
      </c>
      <c r="J1741" s="11">
        <v>17.77777777777778</v>
      </c>
      <c r="K1741" s="8">
        <v>1</v>
      </c>
      <c r="L1741" s="8">
        <v>8</v>
      </c>
      <c r="M1741" s="8">
        <v>0</v>
      </c>
      <c r="N1741" s="8">
        <v>151</v>
      </c>
      <c r="O1741" s="11">
        <v>3.974980673544505E-05</v>
      </c>
      <c r="P1741" s="8" t="s">
        <v>704</v>
      </c>
      <c r="Q1741" s="8" t="s">
        <v>1840</v>
      </c>
      <c r="R1741" s="8">
        <v>92</v>
      </c>
      <c r="S1741" s="11">
        <v>63.11091236207744</v>
      </c>
      <c r="T1741" s="11">
        <v>0.05625</v>
      </c>
      <c r="U1741" s="11">
        <v>8.94375</v>
      </c>
      <c r="V1741" s="11">
        <v>0.94375</v>
      </c>
      <c r="W1741" s="11">
        <v>150.05625</v>
      </c>
      <c r="X1741" s="8" t="s">
        <v>1805</v>
      </c>
    </row>
    <row r="1742" spans="1:24" ht="25" customHeight="1">
      <c r="A1742" s="12">
        <v>6629</v>
      </c>
      <c r="B1742" s="8">
        <v>2</v>
      </c>
      <c r="C1742" s="8" t="s">
        <v>720</v>
      </c>
      <c r="D1742" s="8" t="s">
        <v>222</v>
      </c>
      <c r="E1742" s="8" t="s">
        <v>819</v>
      </c>
      <c r="F1742" s="8">
        <v>1</v>
      </c>
      <c r="G1742" s="8">
        <v>1</v>
      </c>
      <c r="H1742" s="8">
        <v>1</v>
      </c>
      <c r="I1742" s="11">
        <v>0.04375</v>
      </c>
      <c r="J1742" s="11">
        <v>22.85714285714286</v>
      </c>
      <c r="K1742" s="8">
        <v>1</v>
      </c>
      <c r="L1742" s="8">
        <v>0</v>
      </c>
      <c r="M1742" s="8">
        <v>6</v>
      </c>
      <c r="N1742" s="8">
        <v>153</v>
      </c>
      <c r="O1742" s="11">
        <v>2.734173458838461E-06</v>
      </c>
      <c r="P1742" s="8" t="s">
        <v>704</v>
      </c>
      <c r="Q1742" s="8" t="s">
        <v>1841</v>
      </c>
      <c r="R1742" s="8">
        <v>93</v>
      </c>
      <c r="S1742" s="11">
        <v>71.99998632913271</v>
      </c>
      <c r="T1742" s="11">
        <v>0.04375</v>
      </c>
      <c r="U1742" s="11">
        <v>0.95625</v>
      </c>
      <c r="V1742" s="11">
        <v>6.95625</v>
      </c>
      <c r="W1742" s="11">
        <v>152.04375</v>
      </c>
      <c r="X1742" s="8" t="s">
        <v>1842</v>
      </c>
    </row>
    <row r="1743" spans="1:24" ht="25" customHeight="1">
      <c r="A1743" s="12">
        <v>6630</v>
      </c>
      <c r="B1743" s="8">
        <v>2</v>
      </c>
      <c r="C1743" s="8" t="s">
        <v>720</v>
      </c>
      <c r="D1743" s="8" t="s">
        <v>206</v>
      </c>
      <c r="E1743" s="8" t="s">
        <v>823</v>
      </c>
      <c r="F1743" s="8">
        <v>2</v>
      </c>
      <c r="G1743" s="8">
        <v>1</v>
      </c>
      <c r="H1743" s="11">
        <v>0.5</v>
      </c>
      <c r="I1743" s="11">
        <v>0.04375</v>
      </c>
      <c r="J1743" s="11">
        <v>11.42857142857143</v>
      </c>
      <c r="K1743" s="8">
        <v>1</v>
      </c>
      <c r="L1743" s="8">
        <v>1</v>
      </c>
      <c r="M1743" s="8">
        <v>6</v>
      </c>
      <c r="N1743" s="8">
        <v>152</v>
      </c>
      <c r="O1743" s="11">
        <v>0.001500977678067151</v>
      </c>
      <c r="P1743" s="8" t="s">
        <v>704</v>
      </c>
      <c r="Q1743" s="8" t="s">
        <v>1843</v>
      </c>
      <c r="R1743" s="8">
        <v>94</v>
      </c>
      <c r="S1743" s="11">
        <v>66.99249511160967</v>
      </c>
      <c r="T1743" s="11">
        <v>0.08749999999999999</v>
      </c>
      <c r="U1743" s="11">
        <v>1.9125</v>
      </c>
      <c r="V1743" s="11">
        <v>6.9125</v>
      </c>
      <c r="W1743" s="11">
        <v>151.0875</v>
      </c>
      <c r="X1743" s="8" t="s">
        <v>1844</v>
      </c>
    </row>
    <row r="1744" spans="1:24" ht="25" customHeight="1">
      <c r="A1744" s="12">
        <v>6631</v>
      </c>
      <c r="B1744" s="8">
        <v>2</v>
      </c>
      <c r="C1744" s="8" t="s">
        <v>720</v>
      </c>
      <c r="D1744" s="8" t="s">
        <v>203</v>
      </c>
      <c r="E1744" s="8" t="s">
        <v>1503</v>
      </c>
      <c r="F1744" s="8">
        <v>6</v>
      </c>
      <c r="G1744" s="8">
        <v>1</v>
      </c>
      <c r="H1744" s="11">
        <v>0.1666666666666667</v>
      </c>
      <c r="I1744" s="11">
        <v>0.0125</v>
      </c>
      <c r="J1744" s="11">
        <v>13.33333333333333</v>
      </c>
      <c r="K1744" s="8">
        <v>1</v>
      </c>
      <c r="L1744" s="8">
        <v>5</v>
      </c>
      <c r="M1744" s="8">
        <v>1</v>
      </c>
      <c r="N1744" s="8">
        <v>153</v>
      </c>
      <c r="O1744" s="11">
        <v>0.0005311927088539074</v>
      </c>
      <c r="P1744" s="8" t="s">
        <v>704</v>
      </c>
      <c r="Q1744" s="8" t="s">
        <v>1845</v>
      </c>
      <c r="R1744" s="8">
        <v>95</v>
      </c>
      <c r="S1744" s="11">
        <v>63.66401070312239</v>
      </c>
      <c r="T1744" s="11">
        <v>0.075</v>
      </c>
      <c r="U1744" s="11">
        <v>5.925</v>
      </c>
      <c r="V1744" s="11">
        <v>1.925</v>
      </c>
      <c r="W1744" s="11">
        <v>152.075</v>
      </c>
      <c r="X1744" s="8" t="s">
        <v>1846</v>
      </c>
    </row>
    <row r="1745" spans="1:24" ht="25" customHeight="1">
      <c r="A1745" s="12">
        <v>6632</v>
      </c>
      <c r="B1745" s="8">
        <v>2</v>
      </c>
      <c r="C1745" s="8" t="s">
        <v>720</v>
      </c>
      <c r="D1745" s="8" t="s">
        <v>206</v>
      </c>
      <c r="E1745" s="8" t="s">
        <v>816</v>
      </c>
      <c r="F1745" s="8">
        <v>2</v>
      </c>
      <c r="G1745" s="8">
        <v>1</v>
      </c>
      <c r="H1745" s="11">
        <v>0.5</v>
      </c>
      <c r="I1745" s="11">
        <v>0.15</v>
      </c>
      <c r="J1745" s="11">
        <v>3.333333333333333</v>
      </c>
      <c r="K1745" s="8">
        <v>1</v>
      </c>
      <c r="L1745" s="8">
        <v>1</v>
      </c>
      <c r="M1745" s="8">
        <v>23</v>
      </c>
      <c r="N1745" s="8">
        <v>135</v>
      </c>
      <c r="O1745" s="11">
        <v>0.1630301851040424</v>
      </c>
      <c r="P1745" s="8" t="s">
        <v>704</v>
      </c>
      <c r="Q1745" s="8" t="s">
        <v>1847</v>
      </c>
      <c r="R1745" s="8">
        <v>96</v>
      </c>
      <c r="S1745" s="11">
        <v>62.85151574114645</v>
      </c>
      <c r="T1745" s="11">
        <v>0.3</v>
      </c>
      <c r="U1745" s="11">
        <v>1.7</v>
      </c>
      <c r="V1745" s="11">
        <v>23.7</v>
      </c>
      <c r="W1745" s="11">
        <v>134.3</v>
      </c>
      <c r="X1745" s="8" t="s">
        <v>1848</v>
      </c>
    </row>
    <row r="1746" spans="1:24" ht="25" customHeight="1">
      <c r="A1746" s="12">
        <v>6633</v>
      </c>
      <c r="B1746" s="8">
        <v>2</v>
      </c>
      <c r="C1746" s="8" t="s">
        <v>716</v>
      </c>
      <c r="D1746" s="8" t="s">
        <v>206</v>
      </c>
      <c r="E1746" s="8" t="s">
        <v>818</v>
      </c>
      <c r="F1746" s="8">
        <v>9</v>
      </c>
      <c r="G1746" s="8">
        <v>1</v>
      </c>
      <c r="H1746" s="11">
        <v>0.1111111111111111</v>
      </c>
      <c r="I1746" s="11">
        <v>0.025</v>
      </c>
      <c r="J1746" s="11">
        <v>4.444444444444444</v>
      </c>
      <c r="K1746" s="8">
        <v>1</v>
      </c>
      <c r="L1746" s="8">
        <v>8</v>
      </c>
      <c r="M1746" s="8">
        <v>3</v>
      </c>
      <c r="N1746" s="8">
        <v>148</v>
      </c>
      <c r="O1746" s="11">
        <v>0.08852037205363375</v>
      </c>
      <c r="P1746" s="8" t="s">
        <v>704</v>
      </c>
      <c r="Q1746" s="8" t="s">
        <v>1849</v>
      </c>
      <c r="R1746" s="8">
        <v>97</v>
      </c>
      <c r="S1746" s="11">
        <v>61.55739813973183</v>
      </c>
      <c r="T1746" s="11">
        <v>0.225</v>
      </c>
      <c r="U1746" s="11">
        <v>8.775</v>
      </c>
      <c r="V1746" s="11">
        <v>3.775</v>
      </c>
      <c r="W1746" s="11">
        <v>147.225</v>
      </c>
      <c r="X1746" s="8" t="s">
        <v>1850</v>
      </c>
    </row>
    <row r="1747" spans="1:24" ht="25" customHeight="1">
      <c r="A1747" s="12">
        <v>6634</v>
      </c>
      <c r="B1747" s="8">
        <v>2</v>
      </c>
      <c r="C1747" s="8" t="s">
        <v>720</v>
      </c>
      <c r="D1747" s="8" t="s">
        <v>203</v>
      </c>
      <c r="E1747" s="8" t="s">
        <v>818</v>
      </c>
      <c r="F1747" s="8">
        <v>6</v>
      </c>
      <c r="G1747" s="8">
        <v>1</v>
      </c>
      <c r="H1747" s="11">
        <v>0.1666666666666667</v>
      </c>
      <c r="I1747" s="11">
        <v>0.025</v>
      </c>
      <c r="J1747" s="11">
        <v>6.666666666666666</v>
      </c>
      <c r="K1747" s="8">
        <v>1</v>
      </c>
      <c r="L1747" s="8">
        <v>5</v>
      </c>
      <c r="M1747" s="8">
        <v>3</v>
      </c>
      <c r="N1747" s="8">
        <v>151</v>
      </c>
      <c r="O1747" s="11">
        <v>0.02347991883703567</v>
      </c>
      <c r="P1747" s="8" t="s">
        <v>704</v>
      </c>
      <c r="Q1747" s="8" t="s">
        <v>1851</v>
      </c>
      <c r="R1747" s="8">
        <v>98</v>
      </c>
      <c r="S1747" s="11">
        <v>63.54926707248148</v>
      </c>
      <c r="T1747" s="11">
        <v>0.15</v>
      </c>
      <c r="U1747" s="11">
        <v>5.85</v>
      </c>
      <c r="V1747" s="11">
        <v>3.85</v>
      </c>
      <c r="W1747" s="11">
        <v>150.15</v>
      </c>
      <c r="X1747" s="8" t="s">
        <v>1808</v>
      </c>
    </row>
    <row r="1748" spans="1:24" ht="25" customHeight="1">
      <c r="A1748" s="12">
        <v>6635</v>
      </c>
      <c r="B1748" s="8">
        <v>2</v>
      </c>
      <c r="C1748" s="8" t="s">
        <v>720</v>
      </c>
      <c r="D1748" s="8" t="s">
        <v>203</v>
      </c>
      <c r="E1748" s="8" t="s">
        <v>824</v>
      </c>
      <c r="F1748" s="8">
        <v>6</v>
      </c>
      <c r="G1748" s="8">
        <v>2</v>
      </c>
      <c r="H1748" s="11">
        <v>0.3333333333333333</v>
      </c>
      <c r="I1748" s="11">
        <v>0.03125</v>
      </c>
      <c r="J1748" s="11">
        <v>10.66666666666667</v>
      </c>
      <c r="K1748" s="8">
        <v>2</v>
      </c>
      <c r="L1748" s="8">
        <v>4</v>
      </c>
      <c r="M1748" s="8">
        <v>3</v>
      </c>
      <c r="N1748" s="8">
        <v>151</v>
      </c>
      <c r="O1748" s="11">
        <v>1.458788839250641E-05</v>
      </c>
      <c r="P1748" s="8" t="s">
        <v>704</v>
      </c>
      <c r="Q1748" s="8" t="s">
        <v>1852</v>
      </c>
      <c r="R1748" s="8">
        <v>99</v>
      </c>
      <c r="S1748" s="11">
        <v>67.33326039389138</v>
      </c>
      <c r="T1748" s="11">
        <v>0.1875</v>
      </c>
      <c r="U1748" s="11">
        <v>5.8125</v>
      </c>
      <c r="V1748" s="11">
        <v>4.8125</v>
      </c>
      <c r="W1748" s="11">
        <v>149.1875</v>
      </c>
      <c r="X1748" s="8" t="s">
        <v>1853</v>
      </c>
    </row>
    <row r="1749" spans="1:24" ht="25" customHeight="1">
      <c r="A1749" s="12">
        <v>6636</v>
      </c>
      <c r="B1749" s="8">
        <v>2</v>
      </c>
      <c r="C1749" s="8" t="s">
        <v>716</v>
      </c>
      <c r="D1749" s="8" t="s">
        <v>811</v>
      </c>
      <c r="E1749" s="8" t="s">
        <v>816</v>
      </c>
      <c r="F1749" s="8">
        <v>1</v>
      </c>
      <c r="G1749" s="8">
        <v>1</v>
      </c>
      <c r="H1749" s="8">
        <v>1</v>
      </c>
      <c r="I1749" s="11">
        <v>0.15</v>
      </c>
      <c r="J1749" s="11">
        <v>6.666666666666667</v>
      </c>
      <c r="K1749" s="8">
        <v>1</v>
      </c>
      <c r="L1749" s="8">
        <v>0</v>
      </c>
      <c r="M1749" s="8">
        <v>23</v>
      </c>
      <c r="N1749" s="8">
        <v>136</v>
      </c>
      <c r="O1749" s="11">
        <v>0.01694263817456945</v>
      </c>
      <c r="P1749" s="8" t="s">
        <v>704</v>
      </c>
      <c r="Q1749" s="8" t="s">
        <v>1854</v>
      </c>
      <c r="R1749" s="8">
        <v>100</v>
      </c>
      <c r="S1749" s="11">
        <v>71.91528680912715</v>
      </c>
      <c r="T1749" s="11">
        <v>0.15</v>
      </c>
      <c r="U1749" s="11">
        <v>0.85</v>
      </c>
      <c r="V1749" s="11">
        <v>23.85</v>
      </c>
      <c r="W1749" s="11">
        <v>135.15</v>
      </c>
      <c r="X1749" s="8" t="s">
        <v>1855</v>
      </c>
    </row>
    <row r="1750" spans="1:24" ht="25" customHeight="1">
      <c r="A1750" s="12">
        <v>6637</v>
      </c>
      <c r="B1750" s="8">
        <v>2</v>
      </c>
      <c r="C1750" s="8" t="s">
        <v>716</v>
      </c>
      <c r="D1750" s="8" t="s">
        <v>203</v>
      </c>
      <c r="E1750" s="8" t="s">
        <v>1600</v>
      </c>
      <c r="F1750" s="8">
        <v>13</v>
      </c>
      <c r="G1750" s="8">
        <v>1</v>
      </c>
      <c r="H1750" s="11">
        <v>0.07692307692307693</v>
      </c>
      <c r="I1750" s="11">
        <v>0.00625</v>
      </c>
      <c r="J1750" s="11">
        <v>12.30769230769231</v>
      </c>
      <c r="K1750" s="8">
        <v>1</v>
      </c>
      <c r="L1750" s="8">
        <v>12</v>
      </c>
      <c r="M1750" s="8">
        <v>0</v>
      </c>
      <c r="N1750" s="8">
        <v>147</v>
      </c>
      <c r="O1750" s="11">
        <v>0.0007428669881025076</v>
      </c>
      <c r="P1750" s="8" t="s">
        <v>704</v>
      </c>
      <c r="Q1750" s="8" t="s">
        <v>1856</v>
      </c>
      <c r="R1750" s="8">
        <v>101</v>
      </c>
      <c r="S1750" s="11">
        <v>62.76551643429026</v>
      </c>
      <c r="T1750" s="11">
        <v>0.08125</v>
      </c>
      <c r="U1750" s="11">
        <v>12.91875</v>
      </c>
      <c r="V1750" s="11">
        <v>0.91875</v>
      </c>
      <c r="W1750" s="11">
        <v>146.08125</v>
      </c>
      <c r="X1750" s="8" t="s">
        <v>1792</v>
      </c>
    </row>
    <row r="1751" spans="1:24" ht="25" customHeight="1">
      <c r="A1751" s="12">
        <v>6638</v>
      </c>
      <c r="B1751" s="8">
        <v>2</v>
      </c>
      <c r="C1751" s="8" t="s">
        <v>720</v>
      </c>
      <c r="D1751" s="8" t="s">
        <v>811</v>
      </c>
      <c r="E1751" s="8" t="s">
        <v>1509</v>
      </c>
      <c r="F1751" s="8">
        <v>1</v>
      </c>
      <c r="G1751" s="8">
        <v>1</v>
      </c>
      <c r="H1751" s="8">
        <v>1</v>
      </c>
      <c r="I1751" s="11">
        <v>0.0125</v>
      </c>
      <c r="J1751" s="8">
        <v>80</v>
      </c>
      <c r="K1751" s="8">
        <v>1</v>
      </c>
      <c r="L1751" s="8">
        <v>0</v>
      </c>
      <c r="M1751" s="8">
        <v>1</v>
      </c>
      <c r="N1751" s="8">
        <v>158</v>
      </c>
      <c r="O1751" s="11">
        <v>4.829934540791119E-19</v>
      </c>
      <c r="P1751" s="8" t="s">
        <v>704</v>
      </c>
      <c r="Q1751" s="8" t="s">
        <v>1857</v>
      </c>
      <c r="R1751" s="8">
        <v>102</v>
      </c>
      <c r="S1751" s="8">
        <v>72</v>
      </c>
      <c r="T1751" s="11">
        <v>0.0125</v>
      </c>
      <c r="U1751" s="11">
        <v>0.9875</v>
      </c>
      <c r="V1751" s="11">
        <v>1.9875</v>
      </c>
      <c r="W1751" s="11">
        <v>157.0125</v>
      </c>
      <c r="X1751" s="8" t="s">
        <v>1858</v>
      </c>
    </row>
    <row r="1752" spans="1:24" ht="25" customHeight="1">
      <c r="A1752" s="12">
        <v>6639</v>
      </c>
      <c r="B1752" s="8">
        <v>2</v>
      </c>
      <c r="C1752" s="8" t="s">
        <v>711</v>
      </c>
      <c r="D1752" s="8" t="s">
        <v>235</v>
      </c>
      <c r="E1752" s="8" t="s">
        <v>816</v>
      </c>
      <c r="F1752" s="8">
        <v>1</v>
      </c>
      <c r="G1752" s="8">
        <v>1</v>
      </c>
      <c r="H1752" s="8">
        <v>1</v>
      </c>
      <c r="I1752" s="11">
        <v>0.15</v>
      </c>
      <c r="J1752" s="11">
        <v>6.666666666666667</v>
      </c>
      <c r="K1752" s="8">
        <v>1</v>
      </c>
      <c r="L1752" s="8">
        <v>0</v>
      </c>
      <c r="M1752" s="8">
        <v>23</v>
      </c>
      <c r="N1752" s="8">
        <v>136</v>
      </c>
      <c r="O1752" s="11">
        <v>0.01694263817456945</v>
      </c>
      <c r="P1752" s="8" t="s">
        <v>704</v>
      </c>
      <c r="Q1752" s="8" t="s">
        <v>1859</v>
      </c>
      <c r="R1752" s="8">
        <v>103</v>
      </c>
      <c r="S1752" s="11">
        <v>71.91528680912715</v>
      </c>
      <c r="T1752" s="11">
        <v>0.15</v>
      </c>
      <c r="U1752" s="11">
        <v>0.85</v>
      </c>
      <c r="V1752" s="11">
        <v>23.85</v>
      </c>
      <c r="W1752" s="11">
        <v>135.15</v>
      </c>
      <c r="X1752" s="8" t="s">
        <v>1860</v>
      </c>
    </row>
    <row r="1753" spans="1:24" ht="25" customHeight="1">
      <c r="A1753" s="12">
        <v>6640</v>
      </c>
      <c r="B1753" s="8">
        <v>2</v>
      </c>
      <c r="C1753" s="8" t="s">
        <v>720</v>
      </c>
      <c r="D1753" s="8" t="s">
        <v>235</v>
      </c>
      <c r="E1753" s="8" t="s">
        <v>824</v>
      </c>
      <c r="F1753" s="8">
        <v>1</v>
      </c>
      <c r="G1753" s="8">
        <v>1</v>
      </c>
      <c r="H1753" s="8">
        <v>1</v>
      </c>
      <c r="I1753" s="11">
        <v>0.03125</v>
      </c>
      <c r="J1753" s="8">
        <v>32</v>
      </c>
      <c r="K1753" s="8">
        <v>1</v>
      </c>
      <c r="L1753" s="8">
        <v>0</v>
      </c>
      <c r="M1753" s="8">
        <v>4</v>
      </c>
      <c r="N1753" s="8">
        <v>155</v>
      </c>
      <c r="O1753" s="11">
        <v>2.333701583830451E-08</v>
      </c>
      <c r="P1753" s="8" t="s">
        <v>704</v>
      </c>
      <c r="Q1753" s="8" t="s">
        <v>1861</v>
      </c>
      <c r="R1753" s="8">
        <v>104</v>
      </c>
      <c r="S1753" s="11">
        <v>71.99999988331493</v>
      </c>
      <c r="T1753" s="11">
        <v>0.03125</v>
      </c>
      <c r="U1753" s="11">
        <v>0.96875</v>
      </c>
      <c r="V1753" s="11">
        <v>4.96875</v>
      </c>
      <c r="W1753" s="11">
        <v>154.03125</v>
      </c>
      <c r="X1753" s="8" t="s">
        <v>1862</v>
      </c>
    </row>
    <row r="1754" spans="1:24" ht="25" customHeight="1">
      <c r="A1754" s="12">
        <v>6641</v>
      </c>
      <c r="B1754" s="8">
        <v>3</v>
      </c>
      <c r="C1754" s="8" t="s">
        <v>716</v>
      </c>
      <c r="D1754" s="8" t="s">
        <v>206</v>
      </c>
      <c r="E1754" s="8" t="s">
        <v>1494</v>
      </c>
      <c r="F1754" s="8">
        <v>9</v>
      </c>
      <c r="G1754" s="8">
        <v>1</v>
      </c>
      <c r="H1754" s="11">
        <v>0.1111111111111111</v>
      </c>
      <c r="I1754" s="11">
        <v>0.0125</v>
      </c>
      <c r="J1754" s="11">
        <v>8.888888888888888</v>
      </c>
      <c r="K1754" s="8">
        <v>1</v>
      </c>
      <c r="L1754" s="8">
        <v>8</v>
      </c>
      <c r="M1754" s="8">
        <v>1</v>
      </c>
      <c r="N1754" s="8">
        <v>150</v>
      </c>
      <c r="O1754" s="11">
        <v>0.006126894540534546</v>
      </c>
      <c r="P1754" s="8" t="s">
        <v>704</v>
      </c>
      <c r="Q1754" s="8" t="s">
        <v>1863</v>
      </c>
      <c r="R1754" s="8">
        <v>105</v>
      </c>
      <c r="S1754" s="11">
        <v>63.08047663840844</v>
      </c>
      <c r="T1754" s="11">
        <v>0.1125</v>
      </c>
      <c r="U1754" s="11">
        <v>8.887499999999999</v>
      </c>
      <c r="V1754" s="11">
        <v>1.8875</v>
      </c>
      <c r="W1754" s="11">
        <v>149.1125</v>
      </c>
      <c r="X1754" s="8" t="s">
        <v>1864</v>
      </c>
    </row>
    <row r="1755" spans="1:24" ht="25" customHeight="1">
      <c r="A1755" s="12">
        <v>6642</v>
      </c>
      <c r="B1755" s="8">
        <v>3</v>
      </c>
      <c r="C1755" s="8" t="s">
        <v>716</v>
      </c>
      <c r="D1755" s="8" t="s">
        <v>206</v>
      </c>
      <c r="E1755" s="8" t="s">
        <v>819</v>
      </c>
      <c r="F1755" s="8">
        <v>9</v>
      </c>
      <c r="G1755" s="8">
        <v>1</v>
      </c>
      <c r="H1755" s="11">
        <v>0.1111111111111111</v>
      </c>
      <c r="I1755" s="11">
        <v>0.04375</v>
      </c>
      <c r="J1755" s="11">
        <v>2.53968253968254</v>
      </c>
      <c r="K1755" s="8">
        <v>1</v>
      </c>
      <c r="L1755" s="8">
        <v>8</v>
      </c>
      <c r="M1755" s="8">
        <v>6</v>
      </c>
      <c r="N1755" s="8">
        <v>145</v>
      </c>
      <c r="O1755" s="11">
        <v>0.3091464013351289</v>
      </c>
      <c r="P1755" s="8" t="s">
        <v>704</v>
      </c>
      <c r="Q1755" s="8" t="s">
        <v>1865</v>
      </c>
      <c r="R1755" s="8">
        <v>106</v>
      </c>
      <c r="S1755" s="11">
        <v>56.64474418380055</v>
      </c>
      <c r="T1755" s="11">
        <v>0.39375</v>
      </c>
      <c r="U1755" s="11">
        <v>8.606249999999999</v>
      </c>
      <c r="V1755" s="11">
        <v>6.60625</v>
      </c>
      <c r="W1755" s="11">
        <v>144.39375</v>
      </c>
      <c r="X1755" s="8" t="s">
        <v>1866</v>
      </c>
    </row>
    <row r="1756" spans="1:24" ht="25" customHeight="1">
      <c r="A1756" s="12">
        <v>6643</v>
      </c>
      <c r="B1756" s="8">
        <v>3</v>
      </c>
      <c r="C1756" s="8" t="s">
        <v>716</v>
      </c>
      <c r="D1756" s="8" t="s">
        <v>203</v>
      </c>
      <c r="E1756" s="8" t="s">
        <v>820</v>
      </c>
      <c r="F1756" s="8">
        <v>4</v>
      </c>
      <c r="G1756" s="8">
        <v>2</v>
      </c>
      <c r="H1756" s="11">
        <v>0.5</v>
      </c>
      <c r="I1756" s="11">
        <v>0.03125</v>
      </c>
      <c r="J1756" s="8">
        <v>16</v>
      </c>
      <c r="K1756" s="8">
        <v>2</v>
      </c>
      <c r="L1756" s="8">
        <v>2</v>
      </c>
      <c r="M1756" s="8">
        <v>3</v>
      </c>
      <c r="N1756" s="8">
        <v>153</v>
      </c>
      <c r="O1756" s="11">
        <v>4.847897014404254E-08</v>
      </c>
      <c r="P1756" s="8" t="s">
        <v>704</v>
      </c>
      <c r="Q1756" s="8" t="s">
        <v>1867</v>
      </c>
      <c r="R1756" s="8">
        <v>107</v>
      </c>
      <c r="S1756" s="11">
        <v>68.99999975760515</v>
      </c>
      <c r="T1756" s="11">
        <v>0.125</v>
      </c>
      <c r="U1756" s="11">
        <v>3.875</v>
      </c>
      <c r="V1756" s="11">
        <v>4.875</v>
      </c>
      <c r="W1756" s="11">
        <v>151.125</v>
      </c>
      <c r="X1756" s="8" t="s">
        <v>1868</v>
      </c>
    </row>
    <row r="1757" spans="1:24" ht="25" customHeight="1">
      <c r="A1757" s="12">
        <v>6644</v>
      </c>
      <c r="B1757" s="8">
        <v>3</v>
      </c>
      <c r="C1757" s="8" t="s">
        <v>706</v>
      </c>
      <c r="D1757" s="8" t="s">
        <v>206</v>
      </c>
      <c r="E1757" s="8" t="s">
        <v>815</v>
      </c>
      <c r="F1757" s="8">
        <v>3</v>
      </c>
      <c r="G1757" s="8">
        <v>1</v>
      </c>
      <c r="H1757" s="11">
        <v>0.3333333333333333</v>
      </c>
      <c r="I1757" s="11">
        <v>0.05</v>
      </c>
      <c r="J1757" s="11">
        <v>6.666666666666666</v>
      </c>
      <c r="K1757" s="8">
        <v>1</v>
      </c>
      <c r="L1757" s="8">
        <v>2</v>
      </c>
      <c r="M1757" s="8">
        <v>7</v>
      </c>
      <c r="N1757" s="8">
        <v>150</v>
      </c>
      <c r="O1757" s="11">
        <v>0.02301917163626305</v>
      </c>
      <c r="P1757" s="8" t="s">
        <v>704</v>
      </c>
      <c r="Q1757" s="8" t="s">
        <v>1869</v>
      </c>
      <c r="R1757" s="8">
        <v>108</v>
      </c>
      <c r="S1757" s="11">
        <v>65.21823747515202</v>
      </c>
      <c r="T1757" s="11">
        <v>0.15</v>
      </c>
      <c r="U1757" s="11">
        <v>2.85</v>
      </c>
      <c r="V1757" s="11">
        <v>7.85</v>
      </c>
      <c r="W1757" s="11">
        <v>149.15</v>
      </c>
      <c r="X1757" s="8" t="s">
        <v>1870</v>
      </c>
    </row>
    <row r="1758" spans="1:24" ht="25" customHeight="1">
      <c r="A1758" s="12">
        <v>6645</v>
      </c>
      <c r="B1758" s="8">
        <v>3</v>
      </c>
      <c r="C1758" s="8" t="s">
        <v>720</v>
      </c>
      <c r="D1758" s="8" t="s">
        <v>206</v>
      </c>
      <c r="E1758" s="8" t="s">
        <v>819</v>
      </c>
      <c r="F1758" s="8">
        <v>5</v>
      </c>
      <c r="G1758" s="8">
        <v>1</v>
      </c>
      <c r="H1758" s="11">
        <v>0.2</v>
      </c>
      <c r="I1758" s="11">
        <v>0.04375</v>
      </c>
      <c r="J1758" s="11">
        <v>4.571428571428572</v>
      </c>
      <c r="K1758" s="8">
        <v>1</v>
      </c>
      <c r="L1758" s="8">
        <v>4</v>
      </c>
      <c r="M1758" s="8">
        <v>6</v>
      </c>
      <c r="N1758" s="8">
        <v>149</v>
      </c>
      <c r="O1758" s="11">
        <v>0.08265242317562557</v>
      </c>
      <c r="P1758" s="8" t="s">
        <v>704</v>
      </c>
      <c r="Q1758" s="8" t="s">
        <v>1871</v>
      </c>
      <c r="R1758" s="8">
        <v>109</v>
      </c>
      <c r="S1758" s="11">
        <v>62.72959502697902</v>
      </c>
      <c r="T1758" s="11">
        <v>0.21875</v>
      </c>
      <c r="U1758" s="11">
        <v>4.78125</v>
      </c>
      <c r="V1758" s="11">
        <v>6.78125</v>
      </c>
      <c r="W1758" s="11">
        <v>148.21875</v>
      </c>
      <c r="X1758" s="8" t="s">
        <v>1872</v>
      </c>
    </row>
    <row r="1759" spans="1:24" ht="25" customHeight="1">
      <c r="A1759" s="12">
        <v>6646</v>
      </c>
      <c r="B1759" s="8">
        <v>3</v>
      </c>
      <c r="C1759" s="8" t="s">
        <v>711</v>
      </c>
      <c r="D1759" s="8" t="s">
        <v>235</v>
      </c>
      <c r="E1759" s="8" t="s">
        <v>1619</v>
      </c>
      <c r="F1759" s="8">
        <v>1</v>
      </c>
      <c r="G1759" s="8">
        <v>1</v>
      </c>
      <c r="H1759" s="8">
        <v>1</v>
      </c>
      <c r="I1759" s="11">
        <v>0.00625</v>
      </c>
      <c r="J1759" s="8">
        <v>160</v>
      </c>
      <c r="K1759" s="8">
        <v>1</v>
      </c>
      <c r="L1759" s="8">
        <v>0</v>
      </c>
      <c r="M1759" s="8">
        <v>0</v>
      </c>
      <c r="N1759" s="8">
        <v>159</v>
      </c>
      <c r="O1759" s="11">
        <v>1.131483790243283E-36</v>
      </c>
      <c r="P1759" s="8" t="s">
        <v>704</v>
      </c>
      <c r="Q1759" s="8" t="s">
        <v>1873</v>
      </c>
      <c r="R1759" s="8">
        <v>110</v>
      </c>
      <c r="S1759" s="8">
        <v>72</v>
      </c>
      <c r="T1759" s="11">
        <v>0.00625</v>
      </c>
      <c r="U1759" s="11">
        <v>0.99375</v>
      </c>
      <c r="V1759" s="11">
        <v>0.99375</v>
      </c>
      <c r="W1759" s="11">
        <v>158.00625</v>
      </c>
      <c r="X1759" s="8" t="s">
        <v>1621</v>
      </c>
    </row>
    <row r="1760" spans="1:24" ht="25" customHeight="1">
      <c r="A1760" s="12">
        <v>6647</v>
      </c>
      <c r="B1760" s="8">
        <v>3</v>
      </c>
      <c r="C1760" s="8" t="s">
        <v>706</v>
      </c>
      <c r="D1760" s="8" t="s">
        <v>206</v>
      </c>
      <c r="E1760" s="8" t="s">
        <v>820</v>
      </c>
      <c r="F1760" s="8">
        <v>3</v>
      </c>
      <c r="G1760" s="8">
        <v>2</v>
      </c>
      <c r="H1760" s="11">
        <v>0.6666666666666666</v>
      </c>
      <c r="I1760" s="11">
        <v>0.03125</v>
      </c>
      <c r="J1760" s="11">
        <v>21.33333333333333</v>
      </c>
      <c r="K1760" s="8">
        <v>2</v>
      </c>
      <c r="L1760" s="8">
        <v>1</v>
      </c>
      <c r="M1760" s="8">
        <v>3</v>
      </c>
      <c r="N1760" s="8">
        <v>154</v>
      </c>
      <c r="O1760" s="11">
        <v>1.707789844400484E-10</v>
      </c>
      <c r="P1760" s="8" t="s">
        <v>704</v>
      </c>
      <c r="Q1760" s="8" t="s">
        <v>1874</v>
      </c>
      <c r="R1760" s="8">
        <v>111</v>
      </c>
      <c r="S1760" s="11">
        <v>70.66666666581276</v>
      </c>
      <c r="T1760" s="11">
        <v>0.09375</v>
      </c>
      <c r="U1760" s="11">
        <v>2.90625</v>
      </c>
      <c r="V1760" s="11">
        <v>4.90625</v>
      </c>
      <c r="W1760" s="11">
        <v>152.09375</v>
      </c>
      <c r="X1760" s="8" t="s">
        <v>1875</v>
      </c>
    </row>
    <row r="1761" spans="1:24" ht="25" customHeight="1">
      <c r="A1761" s="12">
        <v>6648</v>
      </c>
      <c r="B1761" s="8">
        <v>3</v>
      </c>
      <c r="C1761" s="8" t="s">
        <v>711</v>
      </c>
      <c r="D1761" s="8" t="s">
        <v>206</v>
      </c>
      <c r="E1761" s="8" t="s">
        <v>1624</v>
      </c>
      <c r="F1761" s="8">
        <v>9</v>
      </c>
      <c r="G1761" s="8">
        <v>1</v>
      </c>
      <c r="H1761" s="11">
        <v>0.1111111111111111</v>
      </c>
      <c r="I1761" s="11">
        <v>0.00625</v>
      </c>
      <c r="J1761" s="11">
        <v>17.77777777777778</v>
      </c>
      <c r="K1761" s="8">
        <v>1</v>
      </c>
      <c r="L1761" s="8">
        <v>8</v>
      </c>
      <c r="M1761" s="8">
        <v>0</v>
      </c>
      <c r="N1761" s="8">
        <v>151</v>
      </c>
      <c r="O1761" s="11">
        <v>3.974980673544505E-05</v>
      </c>
      <c r="P1761" s="8" t="s">
        <v>704</v>
      </c>
      <c r="Q1761" s="8" t="s">
        <v>1876</v>
      </c>
      <c r="R1761" s="8">
        <v>112</v>
      </c>
      <c r="S1761" s="11">
        <v>63.11091236207744</v>
      </c>
      <c r="T1761" s="11">
        <v>0.05625</v>
      </c>
      <c r="U1761" s="11">
        <v>8.94375</v>
      </c>
      <c r="V1761" s="11">
        <v>0.94375</v>
      </c>
      <c r="W1761" s="11">
        <v>150.05625</v>
      </c>
      <c r="X1761" s="8" t="s">
        <v>1877</v>
      </c>
    </row>
    <row r="1762" spans="1:24" ht="25" customHeight="1">
      <c r="A1762" s="12">
        <v>6649</v>
      </c>
      <c r="B1762" s="8">
        <v>3</v>
      </c>
      <c r="C1762" s="8" t="s">
        <v>716</v>
      </c>
      <c r="D1762" s="8" t="s">
        <v>206</v>
      </c>
      <c r="E1762" s="8" t="s">
        <v>821</v>
      </c>
      <c r="F1762" s="8">
        <v>9</v>
      </c>
      <c r="G1762" s="8">
        <v>2</v>
      </c>
      <c r="H1762" s="11">
        <v>0.2222222222222222</v>
      </c>
      <c r="I1762" s="11">
        <v>0.025</v>
      </c>
      <c r="J1762" s="11">
        <v>8.888888888888888</v>
      </c>
      <c r="K1762" s="8">
        <v>2</v>
      </c>
      <c r="L1762" s="8">
        <v>7</v>
      </c>
      <c r="M1762" s="8">
        <v>2</v>
      </c>
      <c r="N1762" s="8">
        <v>149</v>
      </c>
      <c r="O1762" s="11">
        <v>9.579487877225205E-05</v>
      </c>
      <c r="P1762" s="8" t="s">
        <v>704</v>
      </c>
      <c r="Q1762" s="8" t="s">
        <v>1878</v>
      </c>
      <c r="R1762" s="8">
        <v>113</v>
      </c>
      <c r="S1762" s="11">
        <v>66.22174324782836</v>
      </c>
      <c r="T1762" s="11">
        <v>0.225</v>
      </c>
      <c r="U1762" s="11">
        <v>8.775</v>
      </c>
      <c r="V1762" s="11">
        <v>3.775</v>
      </c>
      <c r="W1762" s="11">
        <v>147.225</v>
      </c>
      <c r="X1762" s="8" t="s">
        <v>1879</v>
      </c>
    </row>
    <row r="1763" spans="1:24" ht="25" customHeight="1">
      <c r="A1763" s="12">
        <v>6650</v>
      </c>
      <c r="B1763" s="8">
        <v>3</v>
      </c>
      <c r="C1763" s="8" t="s">
        <v>711</v>
      </c>
      <c r="D1763" s="8" t="s">
        <v>206</v>
      </c>
      <c r="E1763" s="8" t="s">
        <v>1629</v>
      </c>
      <c r="F1763" s="8">
        <v>9</v>
      </c>
      <c r="G1763" s="8">
        <v>1</v>
      </c>
      <c r="H1763" s="11">
        <v>0.1111111111111111</v>
      </c>
      <c r="I1763" s="11">
        <v>0.00625</v>
      </c>
      <c r="J1763" s="11">
        <v>17.77777777777778</v>
      </c>
      <c r="K1763" s="8">
        <v>1</v>
      </c>
      <c r="L1763" s="8">
        <v>8</v>
      </c>
      <c r="M1763" s="8">
        <v>0</v>
      </c>
      <c r="N1763" s="8">
        <v>151</v>
      </c>
      <c r="O1763" s="11">
        <v>3.974980673544505E-05</v>
      </c>
      <c r="P1763" s="8" t="s">
        <v>704</v>
      </c>
      <c r="Q1763" s="8" t="s">
        <v>1880</v>
      </c>
      <c r="R1763" s="8">
        <v>114</v>
      </c>
      <c r="S1763" s="11">
        <v>63.11091236207744</v>
      </c>
      <c r="T1763" s="11">
        <v>0.05625</v>
      </c>
      <c r="U1763" s="11">
        <v>8.94375</v>
      </c>
      <c r="V1763" s="11">
        <v>0.94375</v>
      </c>
      <c r="W1763" s="11">
        <v>150.05625</v>
      </c>
      <c r="X1763" s="8" t="s">
        <v>1877</v>
      </c>
    </row>
    <row r="1764" spans="1:24" ht="25" customHeight="1">
      <c r="A1764" s="12">
        <v>6651</v>
      </c>
      <c r="B1764" s="8">
        <v>3</v>
      </c>
      <c r="C1764" s="8" t="s">
        <v>711</v>
      </c>
      <c r="D1764" s="8" t="s">
        <v>203</v>
      </c>
      <c r="E1764" s="8" t="s">
        <v>1523</v>
      </c>
      <c r="F1764" s="8">
        <v>1</v>
      </c>
      <c r="G1764" s="8">
        <v>1</v>
      </c>
      <c r="H1764" s="8">
        <v>1</v>
      </c>
      <c r="I1764" s="11">
        <v>0.01875</v>
      </c>
      <c r="J1764" s="11">
        <v>53.33333333333334</v>
      </c>
      <c r="K1764" s="8">
        <v>1</v>
      </c>
      <c r="L1764" s="8">
        <v>0</v>
      </c>
      <c r="M1764" s="8">
        <v>2</v>
      </c>
      <c r="N1764" s="8">
        <v>157</v>
      </c>
      <c r="O1764" s="11">
        <v>3.960872549834493E-13</v>
      </c>
      <c r="P1764" s="8" t="s">
        <v>704</v>
      </c>
      <c r="Q1764" s="8" t="s">
        <v>1881</v>
      </c>
      <c r="R1764" s="8">
        <v>115</v>
      </c>
      <c r="S1764" s="11">
        <v>71.99999999999802</v>
      </c>
      <c r="T1764" s="11">
        <v>0.01875</v>
      </c>
      <c r="U1764" s="11">
        <v>0.98125</v>
      </c>
      <c r="V1764" s="11">
        <v>2.98125</v>
      </c>
      <c r="W1764" s="11">
        <v>156.01875</v>
      </c>
      <c r="X1764" s="8" t="s">
        <v>1621</v>
      </c>
    </row>
    <row r="1765" spans="1:24" ht="25" customHeight="1">
      <c r="A1765" s="12">
        <v>6652</v>
      </c>
      <c r="B1765" s="8">
        <v>3</v>
      </c>
      <c r="C1765" s="8" t="s">
        <v>711</v>
      </c>
      <c r="D1765" s="8" t="s">
        <v>206</v>
      </c>
      <c r="E1765" s="8" t="s">
        <v>49</v>
      </c>
      <c r="F1765" s="8">
        <v>9</v>
      </c>
      <c r="G1765" s="8">
        <v>2</v>
      </c>
      <c r="H1765" s="11">
        <v>0.2222222222222222</v>
      </c>
      <c r="I1765" s="11">
        <v>0.05</v>
      </c>
      <c r="J1765" s="11">
        <v>4.444444444444444</v>
      </c>
      <c r="K1765" s="8">
        <v>2</v>
      </c>
      <c r="L1765" s="8">
        <v>7</v>
      </c>
      <c r="M1765" s="8">
        <v>6</v>
      </c>
      <c r="N1765" s="8">
        <v>145</v>
      </c>
      <c r="O1765" s="11">
        <v>0.0146769102263532</v>
      </c>
      <c r="P1765" s="8" t="s">
        <v>704</v>
      </c>
      <c r="Q1765" s="8" t="s">
        <v>1882</v>
      </c>
      <c r="R1765" s="8">
        <v>116</v>
      </c>
      <c r="S1765" s="11">
        <v>65.03772655997935</v>
      </c>
      <c r="T1765" s="11">
        <v>0.45</v>
      </c>
      <c r="U1765" s="11">
        <v>8.550000000000001</v>
      </c>
      <c r="V1765" s="11">
        <v>7.55</v>
      </c>
      <c r="W1765" s="11">
        <v>143.45</v>
      </c>
      <c r="X1765" s="8" t="s">
        <v>1883</v>
      </c>
    </row>
    <row r="1766" spans="1:24" ht="25" customHeight="1">
      <c r="A1766" s="12">
        <v>6653</v>
      </c>
      <c r="B1766" s="8">
        <v>3</v>
      </c>
      <c r="C1766" s="8" t="s">
        <v>711</v>
      </c>
      <c r="D1766" s="8" t="s">
        <v>222</v>
      </c>
      <c r="E1766" s="8" t="s">
        <v>1635</v>
      </c>
      <c r="F1766" s="8">
        <v>1</v>
      </c>
      <c r="G1766" s="8">
        <v>1</v>
      </c>
      <c r="H1766" s="8">
        <v>1</v>
      </c>
      <c r="I1766" s="11">
        <v>0.0125</v>
      </c>
      <c r="J1766" s="8">
        <v>80</v>
      </c>
      <c r="K1766" s="8">
        <v>1</v>
      </c>
      <c r="L1766" s="8">
        <v>0</v>
      </c>
      <c r="M1766" s="8">
        <v>1</v>
      </c>
      <c r="N1766" s="8">
        <v>158</v>
      </c>
      <c r="O1766" s="11">
        <v>4.829934540791119E-19</v>
      </c>
      <c r="P1766" s="8" t="s">
        <v>704</v>
      </c>
      <c r="Q1766" s="8" t="s">
        <v>1884</v>
      </c>
      <c r="R1766" s="8">
        <v>117</v>
      </c>
      <c r="S1766" s="8">
        <v>72</v>
      </c>
      <c r="T1766" s="11">
        <v>0.0125</v>
      </c>
      <c r="U1766" s="11">
        <v>0.9875</v>
      </c>
      <c r="V1766" s="11">
        <v>1.9875</v>
      </c>
      <c r="W1766" s="11">
        <v>157.0125</v>
      </c>
      <c r="X1766" s="8" t="s">
        <v>1621</v>
      </c>
    </row>
    <row r="1767" spans="1:24" ht="25" customHeight="1">
      <c r="A1767" s="12">
        <v>6654</v>
      </c>
      <c r="B1767" s="8">
        <v>3</v>
      </c>
      <c r="C1767" s="8" t="s">
        <v>711</v>
      </c>
      <c r="D1767" s="8" t="s">
        <v>206</v>
      </c>
      <c r="E1767" s="8" t="s">
        <v>1638</v>
      </c>
      <c r="F1767" s="8">
        <v>9</v>
      </c>
      <c r="G1767" s="8">
        <v>1</v>
      </c>
      <c r="H1767" s="11">
        <v>0.1111111111111111</v>
      </c>
      <c r="I1767" s="11">
        <v>0.00625</v>
      </c>
      <c r="J1767" s="11">
        <v>17.77777777777778</v>
      </c>
      <c r="K1767" s="8">
        <v>1</v>
      </c>
      <c r="L1767" s="8">
        <v>8</v>
      </c>
      <c r="M1767" s="8">
        <v>0</v>
      </c>
      <c r="N1767" s="8">
        <v>151</v>
      </c>
      <c r="O1767" s="11">
        <v>3.974980673544505E-05</v>
      </c>
      <c r="P1767" s="8" t="s">
        <v>704</v>
      </c>
      <c r="Q1767" s="8" t="s">
        <v>1885</v>
      </c>
      <c r="R1767" s="8">
        <v>118</v>
      </c>
      <c r="S1767" s="11">
        <v>63.11091236207744</v>
      </c>
      <c r="T1767" s="11">
        <v>0.05625</v>
      </c>
      <c r="U1767" s="11">
        <v>8.94375</v>
      </c>
      <c r="V1767" s="11">
        <v>0.94375</v>
      </c>
      <c r="W1767" s="11">
        <v>150.05625</v>
      </c>
      <c r="X1767" s="8" t="s">
        <v>1877</v>
      </c>
    </row>
    <row r="1768" spans="1:24" ht="25" customHeight="1">
      <c r="A1768" s="12">
        <v>6655</v>
      </c>
      <c r="B1768" s="8">
        <v>3</v>
      </c>
      <c r="C1768" s="8" t="s">
        <v>716</v>
      </c>
      <c r="D1768" s="8" t="s">
        <v>206</v>
      </c>
      <c r="E1768" s="8" t="s">
        <v>1398</v>
      </c>
      <c r="F1768" s="8">
        <v>9</v>
      </c>
      <c r="G1768" s="8">
        <v>1</v>
      </c>
      <c r="H1768" s="11">
        <v>0.1111111111111111</v>
      </c>
      <c r="I1768" s="11">
        <v>0.0375</v>
      </c>
      <c r="J1768" s="11">
        <v>2.962962962962963</v>
      </c>
      <c r="K1768" s="8">
        <v>1</v>
      </c>
      <c r="L1768" s="8">
        <v>8</v>
      </c>
      <c r="M1768" s="8">
        <v>5</v>
      </c>
      <c r="N1768" s="8">
        <v>146</v>
      </c>
      <c r="O1768" s="11">
        <v>0.2314935048458562</v>
      </c>
      <c r="P1768" s="8" t="s">
        <v>704</v>
      </c>
      <c r="Q1768" s="8" t="s">
        <v>1886</v>
      </c>
      <c r="R1768" s="8">
        <v>119</v>
      </c>
      <c r="S1768" s="11">
        <v>57.87956951280776</v>
      </c>
      <c r="T1768" s="11">
        <v>0.3375</v>
      </c>
      <c r="U1768" s="11">
        <v>8.6625</v>
      </c>
      <c r="V1768" s="11">
        <v>5.6625</v>
      </c>
      <c r="W1768" s="11">
        <v>145.3375</v>
      </c>
      <c r="X1768" s="8" t="s">
        <v>1887</v>
      </c>
    </row>
    <row r="1769" spans="1:24" ht="25" customHeight="1">
      <c r="A1769" s="12">
        <v>6656</v>
      </c>
      <c r="B1769" s="8">
        <v>3</v>
      </c>
      <c r="C1769" s="8" t="s">
        <v>716</v>
      </c>
      <c r="D1769" s="8" t="s">
        <v>235</v>
      </c>
      <c r="E1769" s="8" t="s">
        <v>1635</v>
      </c>
      <c r="F1769" s="8">
        <v>1</v>
      </c>
      <c r="G1769" s="8">
        <v>1</v>
      </c>
      <c r="H1769" s="8">
        <v>1</v>
      </c>
      <c r="I1769" s="11">
        <v>0.0125</v>
      </c>
      <c r="J1769" s="8">
        <v>80</v>
      </c>
      <c r="K1769" s="8">
        <v>1</v>
      </c>
      <c r="L1769" s="8">
        <v>0</v>
      </c>
      <c r="M1769" s="8">
        <v>1</v>
      </c>
      <c r="N1769" s="8">
        <v>158</v>
      </c>
      <c r="O1769" s="11">
        <v>4.829934540791119E-19</v>
      </c>
      <c r="P1769" s="8" t="s">
        <v>704</v>
      </c>
      <c r="Q1769" s="8" t="s">
        <v>1888</v>
      </c>
      <c r="R1769" s="8">
        <v>120</v>
      </c>
      <c r="S1769" s="8">
        <v>72</v>
      </c>
      <c r="T1769" s="11">
        <v>0.0125</v>
      </c>
      <c r="U1769" s="11">
        <v>0.9875</v>
      </c>
      <c r="V1769" s="11">
        <v>1.9875</v>
      </c>
      <c r="W1769" s="11">
        <v>157.0125</v>
      </c>
      <c r="X1769" s="8" t="s">
        <v>1889</v>
      </c>
    </row>
    <row r="1770" spans="1:24" ht="25" customHeight="1">
      <c r="A1770" s="12">
        <v>6657</v>
      </c>
      <c r="B1770" s="8">
        <v>3</v>
      </c>
      <c r="C1770" s="8" t="s">
        <v>711</v>
      </c>
      <c r="D1770" s="8" t="s">
        <v>206</v>
      </c>
      <c r="E1770" s="8" t="s">
        <v>816</v>
      </c>
      <c r="F1770" s="8">
        <v>9</v>
      </c>
      <c r="G1770" s="8">
        <v>1</v>
      </c>
      <c r="H1770" s="11">
        <v>0.1111111111111111</v>
      </c>
      <c r="I1770" s="11">
        <v>0.15</v>
      </c>
      <c r="J1770" s="11">
        <v>0.7407407407407407</v>
      </c>
      <c r="K1770" s="8">
        <v>1</v>
      </c>
      <c r="L1770" s="8">
        <v>8</v>
      </c>
      <c r="M1770" s="8">
        <v>23</v>
      </c>
      <c r="N1770" s="8">
        <v>128</v>
      </c>
      <c r="O1770" s="11">
        <v>0.7366234264872518</v>
      </c>
      <c r="P1770" s="8" t="s">
        <v>704</v>
      </c>
      <c r="Q1770" s="8" t="s">
        <v>1890</v>
      </c>
      <c r="R1770" s="8">
        <v>121</v>
      </c>
      <c r="S1770" s="11">
        <v>50.90947546015634</v>
      </c>
      <c r="T1770" s="11">
        <v>1.35</v>
      </c>
      <c r="U1770" s="11">
        <v>7.65</v>
      </c>
      <c r="V1770" s="11">
        <v>22.65</v>
      </c>
      <c r="W1770" s="11">
        <v>128.35</v>
      </c>
      <c r="X1770" s="8" t="s">
        <v>1891</v>
      </c>
    </row>
    <row r="1771" spans="1:24" ht="25" customHeight="1">
      <c r="A1771" s="12">
        <v>6658</v>
      </c>
      <c r="B1771" s="8">
        <v>3</v>
      </c>
      <c r="C1771" s="8" t="s">
        <v>720</v>
      </c>
      <c r="D1771" s="8" t="s">
        <v>206</v>
      </c>
      <c r="E1771" s="8" t="s">
        <v>1645</v>
      </c>
      <c r="F1771" s="8">
        <v>5</v>
      </c>
      <c r="G1771" s="8">
        <v>1</v>
      </c>
      <c r="H1771" s="11">
        <v>0.2</v>
      </c>
      <c r="I1771" s="11">
        <v>0.00625</v>
      </c>
      <c r="J1771" s="8">
        <v>32</v>
      </c>
      <c r="K1771" s="8">
        <v>1</v>
      </c>
      <c r="L1771" s="8">
        <v>4</v>
      </c>
      <c r="M1771" s="8">
        <v>0</v>
      </c>
      <c r="N1771" s="8">
        <v>155</v>
      </c>
      <c r="O1771" s="11">
        <v>2.333701583830451E-08</v>
      </c>
      <c r="P1771" s="8" t="s">
        <v>704</v>
      </c>
      <c r="Q1771" s="8" t="s">
        <v>1892</v>
      </c>
      <c r="R1771" s="8">
        <v>122</v>
      </c>
      <c r="S1771" s="11">
        <v>63.99999988331492</v>
      </c>
      <c r="T1771" s="11">
        <v>0.03125</v>
      </c>
      <c r="U1771" s="11">
        <v>4.96875</v>
      </c>
      <c r="V1771" s="11">
        <v>0.96875</v>
      </c>
      <c r="W1771" s="11">
        <v>154.03125</v>
      </c>
      <c r="X1771" s="8" t="s">
        <v>1893</v>
      </c>
    </row>
    <row r="1772" spans="1:24" ht="25" customHeight="1">
      <c r="A1772" s="12">
        <v>6659</v>
      </c>
      <c r="B1772" s="8">
        <v>3</v>
      </c>
      <c r="C1772" s="8" t="s">
        <v>711</v>
      </c>
      <c r="D1772" s="8" t="s">
        <v>206</v>
      </c>
      <c r="E1772" s="8" t="s">
        <v>1648</v>
      </c>
      <c r="F1772" s="8">
        <v>9</v>
      </c>
      <c r="G1772" s="8">
        <v>1</v>
      </c>
      <c r="H1772" s="11">
        <v>0.1111111111111111</v>
      </c>
      <c r="I1772" s="11">
        <v>0.00625</v>
      </c>
      <c r="J1772" s="11">
        <v>17.77777777777778</v>
      </c>
      <c r="K1772" s="8">
        <v>1</v>
      </c>
      <c r="L1772" s="8">
        <v>8</v>
      </c>
      <c r="M1772" s="8">
        <v>0</v>
      </c>
      <c r="N1772" s="8">
        <v>151</v>
      </c>
      <c r="O1772" s="11">
        <v>3.974980673544505E-05</v>
      </c>
      <c r="P1772" s="8" t="s">
        <v>704</v>
      </c>
      <c r="Q1772" s="8" t="s">
        <v>1894</v>
      </c>
      <c r="R1772" s="8">
        <v>123</v>
      </c>
      <c r="S1772" s="11">
        <v>63.11091236207744</v>
      </c>
      <c r="T1772" s="11">
        <v>0.05625</v>
      </c>
      <c r="U1772" s="11">
        <v>8.94375</v>
      </c>
      <c r="V1772" s="11">
        <v>0.94375</v>
      </c>
      <c r="W1772" s="11">
        <v>150.05625</v>
      </c>
      <c r="X1772" s="8" t="s">
        <v>1877</v>
      </c>
    </row>
    <row r="1773" spans="1:24" ht="25" customHeight="1">
      <c r="A1773" s="12">
        <v>6660</v>
      </c>
      <c r="B1773" s="8">
        <v>3</v>
      </c>
      <c r="C1773" s="8" t="s">
        <v>706</v>
      </c>
      <c r="D1773" s="8" t="s">
        <v>203</v>
      </c>
      <c r="E1773" s="8" t="s">
        <v>1650</v>
      </c>
      <c r="F1773" s="8">
        <v>3</v>
      </c>
      <c r="G1773" s="8">
        <v>1</v>
      </c>
      <c r="H1773" s="11">
        <v>0.3333333333333333</v>
      </c>
      <c r="I1773" s="11">
        <v>0.00625</v>
      </c>
      <c r="J1773" s="11">
        <v>53.33333333333333</v>
      </c>
      <c r="K1773" s="8">
        <v>1</v>
      </c>
      <c r="L1773" s="8">
        <v>2</v>
      </c>
      <c r="M1773" s="8">
        <v>0</v>
      </c>
      <c r="N1773" s="8">
        <v>157</v>
      </c>
      <c r="O1773" s="11">
        <v>3.960872549834493E-13</v>
      </c>
      <c r="P1773" s="8" t="s">
        <v>704</v>
      </c>
      <c r="Q1773" s="8" t="s">
        <v>1895</v>
      </c>
      <c r="R1773" s="8">
        <v>124</v>
      </c>
      <c r="S1773" s="11">
        <v>65.33333333333135</v>
      </c>
      <c r="T1773" s="11">
        <v>0.01875</v>
      </c>
      <c r="U1773" s="11">
        <v>2.98125</v>
      </c>
      <c r="V1773" s="11">
        <v>0.98125</v>
      </c>
      <c r="W1773" s="11">
        <v>156.01875</v>
      </c>
      <c r="X1773" s="8" t="s">
        <v>1896</v>
      </c>
    </row>
    <row r="1774" spans="1:24" ht="25" customHeight="1">
      <c r="A1774" s="12">
        <v>6661</v>
      </c>
      <c r="B1774" s="8">
        <v>3</v>
      </c>
      <c r="C1774" s="8" t="s">
        <v>711</v>
      </c>
      <c r="D1774" s="8" t="s">
        <v>206</v>
      </c>
      <c r="E1774" s="8" t="s">
        <v>821</v>
      </c>
      <c r="F1774" s="8">
        <v>9</v>
      </c>
      <c r="G1774" s="8">
        <v>1</v>
      </c>
      <c r="H1774" s="11">
        <v>0.1111111111111111</v>
      </c>
      <c r="I1774" s="11">
        <v>0.025</v>
      </c>
      <c r="J1774" s="11">
        <v>4.444444444444444</v>
      </c>
      <c r="K1774" s="8">
        <v>1</v>
      </c>
      <c r="L1774" s="8">
        <v>8</v>
      </c>
      <c r="M1774" s="8">
        <v>3</v>
      </c>
      <c r="N1774" s="8">
        <v>148</v>
      </c>
      <c r="O1774" s="11">
        <v>0.08852037205363375</v>
      </c>
      <c r="P1774" s="8" t="s">
        <v>704</v>
      </c>
      <c r="Q1774" s="8" t="s">
        <v>1897</v>
      </c>
      <c r="R1774" s="8">
        <v>125</v>
      </c>
      <c r="S1774" s="11">
        <v>61.55739813973183</v>
      </c>
      <c r="T1774" s="11">
        <v>0.225</v>
      </c>
      <c r="U1774" s="11">
        <v>8.775</v>
      </c>
      <c r="V1774" s="11">
        <v>3.775</v>
      </c>
      <c r="W1774" s="11">
        <v>147.225</v>
      </c>
      <c r="X1774" s="8" t="s">
        <v>1898</v>
      </c>
    </row>
    <row r="1775" spans="1:24" ht="25" customHeight="1">
      <c r="A1775" s="12">
        <v>6662</v>
      </c>
      <c r="B1775" s="8">
        <v>3</v>
      </c>
      <c r="C1775" s="8" t="s">
        <v>716</v>
      </c>
      <c r="D1775" s="8" t="s">
        <v>206</v>
      </c>
      <c r="E1775" s="8" t="s">
        <v>1655</v>
      </c>
      <c r="F1775" s="8">
        <v>9</v>
      </c>
      <c r="G1775" s="8">
        <v>1</v>
      </c>
      <c r="H1775" s="11">
        <v>0.1111111111111111</v>
      </c>
      <c r="I1775" s="11">
        <v>0.00625</v>
      </c>
      <c r="J1775" s="11">
        <v>17.77777777777778</v>
      </c>
      <c r="K1775" s="8">
        <v>1</v>
      </c>
      <c r="L1775" s="8">
        <v>8</v>
      </c>
      <c r="M1775" s="8">
        <v>0</v>
      </c>
      <c r="N1775" s="8">
        <v>151</v>
      </c>
      <c r="O1775" s="11">
        <v>3.974980673544505E-05</v>
      </c>
      <c r="P1775" s="8" t="s">
        <v>704</v>
      </c>
      <c r="Q1775" s="8" t="s">
        <v>1899</v>
      </c>
      <c r="R1775" s="8">
        <v>126</v>
      </c>
      <c r="S1775" s="11">
        <v>63.11091236207744</v>
      </c>
      <c r="T1775" s="11">
        <v>0.05625</v>
      </c>
      <c r="U1775" s="11">
        <v>8.94375</v>
      </c>
      <c r="V1775" s="11">
        <v>0.94375</v>
      </c>
      <c r="W1775" s="11">
        <v>150.05625</v>
      </c>
      <c r="X1775" s="8" t="s">
        <v>1900</v>
      </c>
    </row>
    <row r="1776" spans="1:24" ht="25" customHeight="1">
      <c r="A1776" s="12">
        <v>6663</v>
      </c>
      <c r="B1776" s="8">
        <v>3</v>
      </c>
      <c r="C1776" s="8" t="s">
        <v>716</v>
      </c>
      <c r="D1776" s="8" t="s">
        <v>203</v>
      </c>
      <c r="E1776" s="8" t="s">
        <v>1523</v>
      </c>
      <c r="F1776" s="8">
        <v>4</v>
      </c>
      <c r="G1776" s="8">
        <v>1</v>
      </c>
      <c r="H1776" s="11">
        <v>0.25</v>
      </c>
      <c r="I1776" s="11">
        <v>0.01875</v>
      </c>
      <c r="J1776" s="11">
        <v>13.33333333333333</v>
      </c>
      <c r="K1776" s="8">
        <v>1</v>
      </c>
      <c r="L1776" s="8">
        <v>3</v>
      </c>
      <c r="M1776" s="8">
        <v>2</v>
      </c>
      <c r="N1776" s="8">
        <v>154</v>
      </c>
      <c r="O1776" s="11">
        <v>0.0005540234100415826</v>
      </c>
      <c r="P1776" s="8" t="s">
        <v>704</v>
      </c>
      <c r="Q1776" s="8" t="s">
        <v>1901</v>
      </c>
      <c r="R1776" s="8">
        <v>127</v>
      </c>
      <c r="S1776" s="11">
        <v>64.4972298829498</v>
      </c>
      <c r="T1776" s="11">
        <v>0.075</v>
      </c>
      <c r="U1776" s="11">
        <v>3.925</v>
      </c>
      <c r="V1776" s="11">
        <v>2.925</v>
      </c>
      <c r="W1776" s="11">
        <v>153.075</v>
      </c>
      <c r="X1776" s="8" t="s">
        <v>1902</v>
      </c>
    </row>
    <row r="1777" spans="1:24" ht="25" customHeight="1">
      <c r="A1777" s="12">
        <v>6664</v>
      </c>
      <c r="B1777" s="8">
        <v>3</v>
      </c>
      <c r="C1777" s="8" t="s">
        <v>716</v>
      </c>
      <c r="D1777" s="8" t="s">
        <v>203</v>
      </c>
      <c r="E1777" s="8" t="s">
        <v>1660</v>
      </c>
      <c r="F1777" s="8">
        <v>4</v>
      </c>
      <c r="G1777" s="8">
        <v>1</v>
      </c>
      <c r="H1777" s="11">
        <v>0.25</v>
      </c>
      <c r="I1777" s="11">
        <v>0.00625</v>
      </c>
      <c r="J1777" s="8">
        <v>40</v>
      </c>
      <c r="K1777" s="8">
        <v>1</v>
      </c>
      <c r="L1777" s="8">
        <v>3</v>
      </c>
      <c r="M1777" s="8">
        <v>0</v>
      </c>
      <c r="N1777" s="8">
        <v>156</v>
      </c>
      <c r="O1777" s="11">
        <v>3.737702567002527E-10</v>
      </c>
      <c r="P1777" s="8" t="s">
        <v>704</v>
      </c>
      <c r="Q1777" s="8" t="s">
        <v>1903</v>
      </c>
      <c r="R1777" s="8">
        <v>128</v>
      </c>
      <c r="S1777" s="11">
        <v>64.49999999813114</v>
      </c>
      <c r="T1777" s="11">
        <v>0.025</v>
      </c>
      <c r="U1777" s="11">
        <v>3.975</v>
      </c>
      <c r="V1777" s="11">
        <v>0.975</v>
      </c>
      <c r="W1777" s="11">
        <v>155.025</v>
      </c>
      <c r="X1777" s="8" t="s">
        <v>1904</v>
      </c>
    </row>
    <row r="1778" spans="1:24" ht="25" customHeight="1">
      <c r="A1778" s="12">
        <v>6665</v>
      </c>
      <c r="B1778" s="8">
        <v>3</v>
      </c>
      <c r="C1778" s="8" t="s">
        <v>706</v>
      </c>
      <c r="D1778" s="8" t="s">
        <v>203</v>
      </c>
      <c r="E1778" s="8" t="s">
        <v>1662</v>
      </c>
      <c r="F1778" s="8">
        <v>3</v>
      </c>
      <c r="G1778" s="8">
        <v>1</v>
      </c>
      <c r="H1778" s="11">
        <v>0.3333333333333333</v>
      </c>
      <c r="I1778" s="11">
        <v>0.00625</v>
      </c>
      <c r="J1778" s="11">
        <v>53.33333333333333</v>
      </c>
      <c r="K1778" s="8">
        <v>1</v>
      </c>
      <c r="L1778" s="8">
        <v>2</v>
      </c>
      <c r="M1778" s="8">
        <v>0</v>
      </c>
      <c r="N1778" s="8">
        <v>157</v>
      </c>
      <c r="O1778" s="11">
        <v>3.960872549834493E-13</v>
      </c>
      <c r="P1778" s="8" t="s">
        <v>704</v>
      </c>
      <c r="Q1778" s="8" t="s">
        <v>1905</v>
      </c>
      <c r="R1778" s="8">
        <v>129</v>
      </c>
      <c r="S1778" s="11">
        <v>65.33333333333135</v>
      </c>
      <c r="T1778" s="11">
        <v>0.01875</v>
      </c>
      <c r="U1778" s="11">
        <v>2.98125</v>
      </c>
      <c r="V1778" s="11">
        <v>0.98125</v>
      </c>
      <c r="W1778" s="11">
        <v>156.01875</v>
      </c>
      <c r="X1778" s="8" t="s">
        <v>1896</v>
      </c>
    </row>
    <row r="1779" spans="1:24" ht="25" customHeight="1">
      <c r="A1779" s="12">
        <v>6666</v>
      </c>
      <c r="B1779" s="8">
        <v>3</v>
      </c>
      <c r="C1779" s="8" t="s">
        <v>720</v>
      </c>
      <c r="D1779" s="8" t="s">
        <v>206</v>
      </c>
      <c r="E1779" s="8" t="s">
        <v>816</v>
      </c>
      <c r="F1779" s="8">
        <v>5</v>
      </c>
      <c r="G1779" s="8">
        <v>3</v>
      </c>
      <c r="H1779" s="11">
        <v>0.6</v>
      </c>
      <c r="I1779" s="11">
        <v>0.15</v>
      </c>
      <c r="J1779" s="8">
        <v>4</v>
      </c>
      <c r="K1779" s="8">
        <v>3</v>
      </c>
      <c r="L1779" s="8">
        <v>2</v>
      </c>
      <c r="M1779" s="8">
        <v>21</v>
      </c>
      <c r="N1779" s="8">
        <v>134</v>
      </c>
      <c r="O1779" s="11">
        <v>0.004195177113980699</v>
      </c>
      <c r="P1779" s="8" t="s">
        <v>700</v>
      </c>
      <c r="Q1779" s="8" t="s">
        <v>1906</v>
      </c>
      <c r="R1779" s="8">
        <v>130</v>
      </c>
      <c r="S1779" s="11">
        <v>64.9790241144301</v>
      </c>
      <c r="T1779" s="11">
        <v>0.75</v>
      </c>
      <c r="U1779" s="11">
        <v>4.25</v>
      </c>
      <c r="V1779" s="11">
        <v>23.25</v>
      </c>
      <c r="W1779" s="11">
        <v>131.75</v>
      </c>
      <c r="X1779" s="8" t="s">
        <v>1907</v>
      </c>
    </row>
    <row r="1780" spans="1:24" ht="25" customHeight="1">
      <c r="A1780" s="12">
        <v>6667</v>
      </c>
      <c r="B1780" s="8">
        <v>3</v>
      </c>
      <c r="C1780" s="8" t="s">
        <v>716</v>
      </c>
      <c r="D1780" s="8" t="s">
        <v>206</v>
      </c>
      <c r="E1780" s="8" t="s">
        <v>1439</v>
      </c>
      <c r="F1780" s="8">
        <v>9</v>
      </c>
      <c r="G1780" s="8">
        <v>1</v>
      </c>
      <c r="H1780" s="11">
        <v>0.1111111111111111</v>
      </c>
      <c r="I1780" s="11">
        <v>0.01875</v>
      </c>
      <c r="J1780" s="11">
        <v>5.925925925925926</v>
      </c>
      <c r="K1780" s="8">
        <v>1</v>
      </c>
      <c r="L1780" s="8">
        <v>8</v>
      </c>
      <c r="M1780" s="8">
        <v>2</v>
      </c>
      <c r="N1780" s="8">
        <v>149</v>
      </c>
      <c r="O1780" s="11">
        <v>0.03548601600077541</v>
      </c>
      <c r="P1780" s="8" t="s">
        <v>704</v>
      </c>
      <c r="Q1780" s="8" t="s">
        <v>1908</v>
      </c>
      <c r="R1780" s="8">
        <v>131</v>
      </c>
      <c r="S1780" s="11">
        <v>62.93368103110724</v>
      </c>
      <c r="T1780" s="11">
        <v>0.16875</v>
      </c>
      <c r="U1780" s="11">
        <v>8.831250000000001</v>
      </c>
      <c r="V1780" s="11">
        <v>2.83125</v>
      </c>
      <c r="W1780" s="11">
        <v>148.16875</v>
      </c>
      <c r="X1780" s="8" t="s">
        <v>1909</v>
      </c>
    </row>
    <row r="1781" spans="1:24" ht="25" customHeight="1">
      <c r="A1781" s="12">
        <v>6668</v>
      </c>
      <c r="B1781" s="8">
        <v>3</v>
      </c>
      <c r="C1781" s="8" t="s">
        <v>711</v>
      </c>
      <c r="D1781" s="8" t="s">
        <v>206</v>
      </c>
      <c r="E1781" s="8" t="s">
        <v>824</v>
      </c>
      <c r="F1781" s="8">
        <v>9</v>
      </c>
      <c r="G1781" s="8">
        <v>1</v>
      </c>
      <c r="H1781" s="11">
        <v>0.1111111111111111</v>
      </c>
      <c r="I1781" s="11">
        <v>0.03125</v>
      </c>
      <c r="J1781" s="11">
        <v>3.555555555555555</v>
      </c>
      <c r="K1781" s="8">
        <v>1</v>
      </c>
      <c r="L1781" s="8">
        <v>8</v>
      </c>
      <c r="M1781" s="8">
        <v>4</v>
      </c>
      <c r="N1781" s="8">
        <v>147</v>
      </c>
      <c r="O1781" s="11">
        <v>0.1563614126018007</v>
      </c>
      <c r="P1781" s="8" t="s">
        <v>704</v>
      </c>
      <c r="Q1781" s="8" t="s">
        <v>1910</v>
      </c>
      <c r="R1781" s="8">
        <v>132</v>
      </c>
      <c r="S1781" s="11">
        <v>59.44041515921322</v>
      </c>
      <c r="T1781" s="11">
        <v>0.28125</v>
      </c>
      <c r="U1781" s="11">
        <v>8.71875</v>
      </c>
      <c r="V1781" s="11">
        <v>4.71875</v>
      </c>
      <c r="W1781" s="11">
        <v>146.28125</v>
      </c>
      <c r="X1781" s="8" t="s">
        <v>1911</v>
      </c>
    </row>
    <row r="1782" spans="1:24" ht="25" customHeight="1">
      <c r="A1782" s="12">
        <v>6669</v>
      </c>
      <c r="B1782" s="8">
        <v>3</v>
      </c>
      <c r="C1782" s="8" t="s">
        <v>720</v>
      </c>
      <c r="D1782" s="8" t="s">
        <v>203</v>
      </c>
      <c r="E1782" s="8" t="s">
        <v>815</v>
      </c>
      <c r="F1782" s="8">
        <v>2</v>
      </c>
      <c r="G1782" s="8">
        <v>1</v>
      </c>
      <c r="H1782" s="11">
        <v>0.5</v>
      </c>
      <c r="I1782" s="11">
        <v>0.05</v>
      </c>
      <c r="J1782" s="8">
        <v>10</v>
      </c>
      <c r="K1782" s="8">
        <v>1</v>
      </c>
      <c r="L1782" s="8">
        <v>1</v>
      </c>
      <c r="M1782" s="8">
        <v>7</v>
      </c>
      <c r="N1782" s="8">
        <v>151</v>
      </c>
      <c r="O1782" s="11">
        <v>0.003299021448410848</v>
      </c>
      <c r="P1782" s="8" t="s">
        <v>704</v>
      </c>
      <c r="Q1782" s="8" t="s">
        <v>1912</v>
      </c>
      <c r="R1782" s="8">
        <v>133</v>
      </c>
      <c r="S1782" s="11">
        <v>66.98350489275795</v>
      </c>
      <c r="T1782" s="11">
        <v>0.1</v>
      </c>
      <c r="U1782" s="11">
        <v>1.9</v>
      </c>
      <c r="V1782" s="11">
        <v>7.9</v>
      </c>
      <c r="W1782" s="11">
        <v>150.1</v>
      </c>
      <c r="X1782" s="8" t="s">
        <v>1913</v>
      </c>
    </row>
    <row r="1783" spans="1:24" ht="25" customHeight="1">
      <c r="A1783" s="12">
        <v>6670</v>
      </c>
      <c r="B1783" s="8">
        <v>3</v>
      </c>
      <c r="C1783" s="8" t="s">
        <v>716</v>
      </c>
      <c r="D1783" s="8" t="s">
        <v>206</v>
      </c>
      <c r="E1783" s="8" t="s">
        <v>1416</v>
      </c>
      <c r="F1783" s="8">
        <v>9</v>
      </c>
      <c r="G1783" s="8">
        <v>1</v>
      </c>
      <c r="H1783" s="11">
        <v>0.1111111111111111</v>
      </c>
      <c r="I1783" s="11">
        <v>0.01875</v>
      </c>
      <c r="J1783" s="11">
        <v>5.925925925925926</v>
      </c>
      <c r="K1783" s="8">
        <v>1</v>
      </c>
      <c r="L1783" s="8">
        <v>8</v>
      </c>
      <c r="M1783" s="8">
        <v>2</v>
      </c>
      <c r="N1783" s="8">
        <v>149</v>
      </c>
      <c r="O1783" s="11">
        <v>0.03548601600077541</v>
      </c>
      <c r="P1783" s="8" t="s">
        <v>704</v>
      </c>
      <c r="Q1783" s="8" t="s">
        <v>1914</v>
      </c>
      <c r="R1783" s="8">
        <v>134</v>
      </c>
      <c r="S1783" s="11">
        <v>62.93368103110724</v>
      </c>
      <c r="T1783" s="11">
        <v>0.16875</v>
      </c>
      <c r="U1783" s="11">
        <v>8.831250000000001</v>
      </c>
      <c r="V1783" s="11">
        <v>2.83125</v>
      </c>
      <c r="W1783" s="11">
        <v>148.16875</v>
      </c>
      <c r="X1783" s="8" t="s">
        <v>1909</v>
      </c>
    </row>
    <row r="1784" spans="1:24" ht="25" customHeight="1">
      <c r="A1784" s="12">
        <v>6671</v>
      </c>
      <c r="B1784" s="8">
        <v>3</v>
      </c>
      <c r="C1784" s="8" t="s">
        <v>720</v>
      </c>
      <c r="D1784" s="8" t="s">
        <v>235</v>
      </c>
      <c r="E1784" s="8" t="s">
        <v>823</v>
      </c>
      <c r="F1784" s="8">
        <v>1</v>
      </c>
      <c r="G1784" s="8">
        <v>1</v>
      </c>
      <c r="H1784" s="8">
        <v>1</v>
      </c>
      <c r="I1784" s="11">
        <v>0.04375</v>
      </c>
      <c r="J1784" s="11">
        <v>22.85714285714286</v>
      </c>
      <c r="K1784" s="8">
        <v>1</v>
      </c>
      <c r="L1784" s="8">
        <v>0</v>
      </c>
      <c r="M1784" s="8">
        <v>6</v>
      </c>
      <c r="N1784" s="8">
        <v>153</v>
      </c>
      <c r="O1784" s="11">
        <v>2.734173458838461E-06</v>
      </c>
      <c r="P1784" s="8" t="s">
        <v>704</v>
      </c>
      <c r="Q1784" s="8" t="s">
        <v>1915</v>
      </c>
      <c r="R1784" s="8">
        <v>135</v>
      </c>
      <c r="S1784" s="11">
        <v>71.99998632913271</v>
      </c>
      <c r="T1784" s="11">
        <v>0.04375</v>
      </c>
      <c r="U1784" s="11">
        <v>0.95625</v>
      </c>
      <c r="V1784" s="11">
        <v>6.95625</v>
      </c>
      <c r="W1784" s="11">
        <v>152.04375</v>
      </c>
      <c r="X1784" s="8" t="s">
        <v>1916</v>
      </c>
    </row>
    <row r="1785" spans="1:24" ht="25" customHeight="1">
      <c r="A1785" s="12">
        <v>6672</v>
      </c>
      <c r="B1785" s="8">
        <v>3</v>
      </c>
      <c r="C1785" s="8" t="s">
        <v>716</v>
      </c>
      <c r="D1785" s="8" t="s">
        <v>206</v>
      </c>
      <c r="E1785" s="8" t="s">
        <v>823</v>
      </c>
      <c r="F1785" s="8">
        <v>9</v>
      </c>
      <c r="G1785" s="8">
        <v>1</v>
      </c>
      <c r="H1785" s="11">
        <v>0.1111111111111111</v>
      </c>
      <c r="I1785" s="11">
        <v>0.04375</v>
      </c>
      <c r="J1785" s="11">
        <v>2.53968253968254</v>
      </c>
      <c r="K1785" s="8">
        <v>1</v>
      </c>
      <c r="L1785" s="8">
        <v>8</v>
      </c>
      <c r="M1785" s="8">
        <v>6</v>
      </c>
      <c r="N1785" s="8">
        <v>145</v>
      </c>
      <c r="O1785" s="11">
        <v>0.3091464013351289</v>
      </c>
      <c r="P1785" s="8" t="s">
        <v>704</v>
      </c>
      <c r="Q1785" s="8" t="s">
        <v>1917</v>
      </c>
      <c r="R1785" s="8">
        <v>136</v>
      </c>
      <c r="S1785" s="11">
        <v>56.64474418380055</v>
      </c>
      <c r="T1785" s="11">
        <v>0.39375</v>
      </c>
      <c r="U1785" s="11">
        <v>8.606249999999999</v>
      </c>
      <c r="V1785" s="11">
        <v>6.60625</v>
      </c>
      <c r="W1785" s="11">
        <v>144.39375</v>
      </c>
      <c r="X1785" s="8" t="s">
        <v>1866</v>
      </c>
    </row>
    <row r="1786" spans="1:24" ht="25" customHeight="1">
      <c r="A1786" s="12">
        <v>6673</v>
      </c>
      <c r="B1786" s="8">
        <v>3</v>
      </c>
      <c r="C1786" s="8" t="s">
        <v>706</v>
      </c>
      <c r="D1786" s="8" t="s">
        <v>203</v>
      </c>
      <c r="E1786" s="8" t="s">
        <v>824</v>
      </c>
      <c r="F1786" s="8">
        <v>3</v>
      </c>
      <c r="G1786" s="8">
        <v>1</v>
      </c>
      <c r="H1786" s="11">
        <v>0.3333333333333333</v>
      </c>
      <c r="I1786" s="11">
        <v>0.03125</v>
      </c>
      <c r="J1786" s="11">
        <v>10.66666666666667</v>
      </c>
      <c r="K1786" s="8">
        <v>1</v>
      </c>
      <c r="L1786" s="8">
        <v>2</v>
      </c>
      <c r="M1786" s="8">
        <v>4</v>
      </c>
      <c r="N1786" s="8">
        <v>153</v>
      </c>
      <c r="O1786" s="11">
        <v>0.00239934408086701</v>
      </c>
      <c r="P1786" s="8" t="s">
        <v>704</v>
      </c>
      <c r="Q1786" s="8" t="s">
        <v>1918</v>
      </c>
      <c r="R1786" s="8">
        <v>137</v>
      </c>
      <c r="S1786" s="11">
        <v>65.321336612929</v>
      </c>
      <c r="T1786" s="11">
        <v>0.09375</v>
      </c>
      <c r="U1786" s="11">
        <v>2.90625</v>
      </c>
      <c r="V1786" s="11">
        <v>4.90625</v>
      </c>
      <c r="W1786" s="11">
        <v>152.09375</v>
      </c>
      <c r="X1786" s="8" t="s">
        <v>1919</v>
      </c>
    </row>
    <row r="1787" spans="1:24" ht="25" customHeight="1">
      <c r="A1787" s="12">
        <v>6674</v>
      </c>
      <c r="B1787" s="8">
        <v>3</v>
      </c>
      <c r="C1787" s="8" t="s">
        <v>720</v>
      </c>
      <c r="D1787" s="8" t="s">
        <v>203</v>
      </c>
      <c r="E1787" s="8" t="s">
        <v>1439</v>
      </c>
      <c r="F1787" s="8">
        <v>2</v>
      </c>
      <c r="G1787" s="8">
        <v>1</v>
      </c>
      <c r="H1787" s="11">
        <v>0.5</v>
      </c>
      <c r="I1787" s="11">
        <v>0.01875</v>
      </c>
      <c r="J1787" s="11">
        <v>26.66666666666667</v>
      </c>
      <c r="K1787" s="8">
        <v>1</v>
      </c>
      <c r="L1787" s="8">
        <v>1</v>
      </c>
      <c r="M1787" s="8">
        <v>2</v>
      </c>
      <c r="N1787" s="8">
        <v>156</v>
      </c>
      <c r="O1787" s="11">
        <v>4.43552205177887E-07</v>
      </c>
      <c r="P1787" s="8" t="s">
        <v>704</v>
      </c>
      <c r="Q1787" s="8" t="s">
        <v>1920</v>
      </c>
      <c r="R1787" s="8">
        <v>138</v>
      </c>
      <c r="S1787" s="11">
        <v>66.99999778223898</v>
      </c>
      <c r="T1787" s="11">
        <v>0.0375</v>
      </c>
      <c r="U1787" s="11">
        <v>1.9625</v>
      </c>
      <c r="V1787" s="11">
        <v>2.9625</v>
      </c>
      <c r="W1787" s="11">
        <v>155.0375</v>
      </c>
      <c r="X1787" s="8" t="s">
        <v>1921</v>
      </c>
    </row>
    <row r="1788" spans="1:24" ht="25" customHeight="1">
      <c r="A1788" s="12">
        <v>6675</v>
      </c>
      <c r="B1788" s="8">
        <v>3</v>
      </c>
      <c r="C1788" s="8" t="s">
        <v>706</v>
      </c>
      <c r="D1788" s="8" t="s">
        <v>1170</v>
      </c>
      <c r="E1788" s="8" t="s">
        <v>1451</v>
      </c>
      <c r="F1788" s="8">
        <v>1</v>
      </c>
      <c r="G1788" s="8">
        <v>1</v>
      </c>
      <c r="H1788" s="8">
        <v>1</v>
      </c>
      <c r="I1788" s="11">
        <v>0.0125</v>
      </c>
      <c r="J1788" s="8">
        <v>80</v>
      </c>
      <c r="K1788" s="8">
        <v>1</v>
      </c>
      <c r="L1788" s="8">
        <v>0</v>
      </c>
      <c r="M1788" s="8">
        <v>1</v>
      </c>
      <c r="N1788" s="8">
        <v>158</v>
      </c>
      <c r="O1788" s="11">
        <v>4.829934540791119E-19</v>
      </c>
      <c r="P1788" s="8" t="s">
        <v>704</v>
      </c>
      <c r="Q1788" s="8" t="s">
        <v>1922</v>
      </c>
      <c r="R1788" s="8">
        <v>139</v>
      </c>
      <c r="S1788" s="8">
        <v>72</v>
      </c>
      <c r="T1788" s="11">
        <v>0.0125</v>
      </c>
      <c r="U1788" s="11">
        <v>0.9875</v>
      </c>
      <c r="V1788" s="11">
        <v>1.9875</v>
      </c>
      <c r="W1788" s="11">
        <v>157.0125</v>
      </c>
      <c r="X1788" s="8" t="s">
        <v>1652</v>
      </c>
    </row>
    <row r="1789" spans="1:24" ht="25" customHeight="1">
      <c r="A1789" s="12">
        <v>6676</v>
      </c>
      <c r="B1789" s="8">
        <v>4</v>
      </c>
      <c r="C1789" s="8" t="s">
        <v>706</v>
      </c>
      <c r="D1789" s="8" t="s">
        <v>1170</v>
      </c>
      <c r="E1789" s="8" t="s">
        <v>1684</v>
      </c>
      <c r="F1789" s="8">
        <v>1</v>
      </c>
      <c r="G1789" s="8">
        <v>1</v>
      </c>
      <c r="H1789" s="8">
        <v>1</v>
      </c>
      <c r="I1789" s="11">
        <v>0.00625</v>
      </c>
      <c r="J1789" s="8">
        <v>160</v>
      </c>
      <c r="K1789" s="8">
        <v>1</v>
      </c>
      <c r="L1789" s="8">
        <v>0</v>
      </c>
      <c r="M1789" s="8">
        <v>0</v>
      </c>
      <c r="N1789" s="8">
        <v>159</v>
      </c>
      <c r="O1789" s="11">
        <v>1.131483790243283E-36</v>
      </c>
      <c r="P1789" s="8" t="s">
        <v>704</v>
      </c>
      <c r="Q1789" s="8" t="s">
        <v>1923</v>
      </c>
      <c r="R1789" s="8">
        <v>140</v>
      </c>
      <c r="S1789" s="8">
        <v>72</v>
      </c>
      <c r="T1789" s="11">
        <v>0.00625</v>
      </c>
      <c r="U1789" s="11">
        <v>0.99375</v>
      </c>
      <c r="V1789" s="11">
        <v>0.99375</v>
      </c>
      <c r="W1789" s="11">
        <v>158.00625</v>
      </c>
      <c r="X1789" s="8" t="s">
        <v>1686</v>
      </c>
    </row>
    <row r="1790" spans="1:24" ht="25" customHeight="1">
      <c r="A1790" s="12">
        <v>6677</v>
      </c>
      <c r="B1790" s="8">
        <v>4</v>
      </c>
      <c r="C1790" s="8" t="s">
        <v>706</v>
      </c>
      <c r="D1790" s="8" t="s">
        <v>811</v>
      </c>
      <c r="E1790" s="8" t="s">
        <v>1687</v>
      </c>
      <c r="F1790" s="8">
        <v>1</v>
      </c>
      <c r="G1790" s="8">
        <v>1</v>
      </c>
      <c r="H1790" s="8">
        <v>1</v>
      </c>
      <c r="I1790" s="11">
        <v>0.00625</v>
      </c>
      <c r="J1790" s="8">
        <v>160</v>
      </c>
      <c r="K1790" s="8">
        <v>1</v>
      </c>
      <c r="L1790" s="8">
        <v>0</v>
      </c>
      <c r="M1790" s="8">
        <v>0</v>
      </c>
      <c r="N1790" s="8">
        <v>159</v>
      </c>
      <c r="O1790" s="11">
        <v>1.131483790243283E-36</v>
      </c>
      <c r="P1790" s="8" t="s">
        <v>704</v>
      </c>
      <c r="Q1790" s="8" t="s">
        <v>1924</v>
      </c>
      <c r="R1790" s="8">
        <v>141</v>
      </c>
      <c r="S1790" s="8">
        <v>72</v>
      </c>
      <c r="T1790" s="11">
        <v>0.00625</v>
      </c>
      <c r="U1790" s="11">
        <v>0.99375</v>
      </c>
      <c r="V1790" s="11">
        <v>0.99375</v>
      </c>
      <c r="W1790" s="11">
        <v>158.00625</v>
      </c>
      <c r="X1790" s="8" t="s">
        <v>1686</v>
      </c>
    </row>
    <row r="1796" spans="1:38" ht="27" customHeight="1">
      <c r="A1796" s="5" t="s">
        <v>1925</v>
      </c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</row>
    <row r="1797" spans="1:38" ht="36" customHeight="1">
      <c r="A1797" s="9" t="s">
        <v>683</v>
      </c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</row>
    <row r="1798" spans="1:38" ht="25" customHeight="1">
      <c r="A1798" s="6" t="s">
        <v>684</v>
      </c>
    </row>
    <row r="1799" spans="1:38" ht="25" customHeight="1">
      <c r="A1799" s="12">
        <v>1</v>
      </c>
      <c r="B1799" s="8" t="s">
        <v>1926</v>
      </c>
    </row>
    <row r="1800" spans="1:38" ht="25" customHeight="1">
      <c r="A1800" s="12">
        <v>3</v>
      </c>
      <c r="B1800" s="8" t="s">
        <v>1927</v>
      </c>
      <c r="C1800" s="8" t="s">
        <v>1928</v>
      </c>
      <c r="I1800" s="8" t="s">
        <v>781</v>
      </c>
      <c r="J1800" s="8" t="s">
        <v>782</v>
      </c>
      <c r="K1800" s="8" t="s">
        <v>783</v>
      </c>
      <c r="L1800" s="8" t="s">
        <v>784</v>
      </c>
      <c r="M1800" s="8" t="s">
        <v>785</v>
      </c>
      <c r="N1800" s="8" t="s">
        <v>690</v>
      </c>
      <c r="Q1800" s="8" t="s">
        <v>814</v>
      </c>
      <c r="R1800" s="8" t="s">
        <v>782</v>
      </c>
      <c r="S1800" s="8" t="s">
        <v>783</v>
      </c>
      <c r="T1800" s="8" t="s">
        <v>784</v>
      </c>
      <c r="U1800" s="8" t="s">
        <v>785</v>
      </c>
      <c r="V1800" s="8" t="s">
        <v>690</v>
      </c>
      <c r="Y1800" s="8" t="s">
        <v>780</v>
      </c>
      <c r="Z1800" s="8" t="s">
        <v>782</v>
      </c>
      <c r="AA1800" s="8" t="s">
        <v>783</v>
      </c>
      <c r="AB1800" s="8" t="s">
        <v>784</v>
      </c>
      <c r="AC1800" s="8" t="s">
        <v>785</v>
      </c>
      <c r="AD1800" s="8" t="s">
        <v>690</v>
      </c>
      <c r="AG1800" s="8" t="s">
        <v>810</v>
      </c>
      <c r="AH1800" s="8" t="s">
        <v>782</v>
      </c>
      <c r="AI1800" s="8" t="s">
        <v>783</v>
      </c>
      <c r="AJ1800" s="8" t="s">
        <v>784</v>
      </c>
      <c r="AK1800" s="8" t="s">
        <v>785</v>
      </c>
      <c r="AL1800" s="8" t="s">
        <v>690</v>
      </c>
    </row>
    <row r="1801" spans="1:38" ht="25" customHeight="1">
      <c r="A1801" s="12">
        <v>4</v>
      </c>
      <c r="B1801" s="8" t="s">
        <v>1929</v>
      </c>
      <c r="C1801" s="8">
        <v>165</v>
      </c>
      <c r="I1801" s="8" t="s">
        <v>449</v>
      </c>
      <c r="J1801" s="8">
        <v>30</v>
      </c>
      <c r="K1801" s="11">
        <v>0.2</v>
      </c>
      <c r="L1801" s="11">
        <v>0.03333333333333333</v>
      </c>
      <c r="M1801" s="11">
        <v>4.4</v>
      </c>
      <c r="N1801" s="11">
        <v>0.1863354037267081</v>
      </c>
      <c r="Q1801" s="8" t="s">
        <v>1395</v>
      </c>
      <c r="R1801" s="8">
        <v>1</v>
      </c>
      <c r="S1801" s="8">
        <v>0</v>
      </c>
      <c r="T1801" s="8">
        <v>0</v>
      </c>
      <c r="U1801" s="8">
        <v>5</v>
      </c>
      <c r="V1801" s="11">
        <v>0.006211180124223602</v>
      </c>
      <c r="Y1801" s="8" t="s">
        <v>842</v>
      </c>
      <c r="Z1801" s="8">
        <v>2</v>
      </c>
      <c r="AA1801" s="8">
        <v>0</v>
      </c>
      <c r="AB1801" s="8">
        <v>0</v>
      </c>
      <c r="AC1801" s="11">
        <v>1.5</v>
      </c>
      <c r="AD1801" s="11">
        <v>0.01212121212121212</v>
      </c>
      <c r="AG1801" s="8" t="s">
        <v>235</v>
      </c>
      <c r="AH1801" s="8">
        <v>9</v>
      </c>
      <c r="AI1801" s="11">
        <v>0.5555555555555556</v>
      </c>
      <c r="AJ1801" s="11">
        <v>0.1111111111111111</v>
      </c>
      <c r="AK1801" s="8">
        <v>4</v>
      </c>
      <c r="AL1801" s="11">
        <v>0.05487804878048781</v>
      </c>
    </row>
    <row r="1802" spans="1:38" ht="25" customHeight="1">
      <c r="A1802" s="12">
        <v>5</v>
      </c>
      <c r="B1802" s="8" t="s">
        <v>1930</v>
      </c>
      <c r="C1802" s="8">
        <v>53</v>
      </c>
      <c r="I1802" s="8" t="s">
        <v>465</v>
      </c>
      <c r="J1802" s="8">
        <v>27</v>
      </c>
      <c r="K1802" s="11">
        <v>0.2962962962962963</v>
      </c>
      <c r="L1802" s="8">
        <v>0</v>
      </c>
      <c r="M1802" s="11">
        <v>2.074074074074074</v>
      </c>
      <c r="N1802" s="11">
        <v>0.1677018633540373</v>
      </c>
      <c r="Q1802" s="8" t="s">
        <v>1398</v>
      </c>
      <c r="R1802" s="8">
        <v>6</v>
      </c>
      <c r="S1802" s="11">
        <v>0.1666666666666667</v>
      </c>
      <c r="T1802" s="8">
        <v>0</v>
      </c>
      <c r="U1802" s="11">
        <v>1.833333333333333</v>
      </c>
      <c r="V1802" s="11">
        <v>0.03726708074534162</v>
      </c>
      <c r="Y1802" s="8" t="s">
        <v>123</v>
      </c>
      <c r="Z1802" s="8">
        <v>10</v>
      </c>
      <c r="AA1802" s="11">
        <v>0.3</v>
      </c>
      <c r="AB1802" s="11">
        <v>0.1</v>
      </c>
      <c r="AC1802" s="11">
        <v>2.1</v>
      </c>
      <c r="AD1802" s="11">
        <v>0.06060606060606061</v>
      </c>
      <c r="AG1802" s="8" t="s">
        <v>203</v>
      </c>
      <c r="AH1802" s="8">
        <v>72</v>
      </c>
      <c r="AI1802" s="11">
        <v>0.375</v>
      </c>
      <c r="AJ1802" s="11">
        <v>0.02777777777777778</v>
      </c>
      <c r="AK1802" s="11">
        <v>3.388888888888889</v>
      </c>
      <c r="AL1802" s="11">
        <v>0.4390243902439024</v>
      </c>
    </row>
    <row r="1803" spans="1:38" ht="25" customHeight="1">
      <c r="A1803" s="12">
        <v>6</v>
      </c>
      <c r="B1803" s="8" t="s">
        <v>783</v>
      </c>
      <c r="C1803" s="11">
        <v>0.3212121212121212</v>
      </c>
      <c r="I1803" s="8" t="s">
        <v>471</v>
      </c>
      <c r="J1803" s="8">
        <v>2</v>
      </c>
      <c r="K1803" s="8">
        <v>0</v>
      </c>
      <c r="L1803" s="8">
        <v>0</v>
      </c>
      <c r="M1803" s="11">
        <v>2.5</v>
      </c>
      <c r="N1803" s="11">
        <v>0.0124223602484472</v>
      </c>
      <c r="Q1803" s="8" t="s">
        <v>1401</v>
      </c>
      <c r="R1803" s="8">
        <v>1</v>
      </c>
      <c r="S1803" s="8">
        <v>1</v>
      </c>
      <c r="T1803" s="8">
        <v>0</v>
      </c>
      <c r="U1803" s="8">
        <v>9</v>
      </c>
      <c r="V1803" s="11">
        <v>0.006211180124223602</v>
      </c>
      <c r="Y1803" s="8" t="s">
        <v>120</v>
      </c>
      <c r="Z1803" s="8">
        <v>123</v>
      </c>
      <c r="AA1803" s="11">
        <v>0.3008130081300813</v>
      </c>
      <c r="AB1803" s="11">
        <v>0.06504065040650407</v>
      </c>
      <c r="AC1803" s="11">
        <v>3.715447154471545</v>
      </c>
      <c r="AD1803" s="11">
        <v>0.7454545454545455</v>
      </c>
      <c r="AG1803" s="8" t="s">
        <v>206</v>
      </c>
      <c r="AH1803" s="8">
        <v>64</v>
      </c>
      <c r="AI1803" s="11">
        <v>0.265625</v>
      </c>
      <c r="AJ1803" s="11">
        <v>0.09375</v>
      </c>
      <c r="AK1803" s="11">
        <v>3.78125</v>
      </c>
      <c r="AL1803" s="11">
        <v>0.3902439024390244</v>
      </c>
    </row>
    <row r="1804" spans="1:38" ht="25" customHeight="1">
      <c r="A1804" s="12">
        <v>7</v>
      </c>
      <c r="B1804" s="8" t="s">
        <v>1931</v>
      </c>
      <c r="C1804" s="8">
        <v>10</v>
      </c>
      <c r="I1804" s="8" t="s">
        <v>468</v>
      </c>
      <c r="J1804" s="8">
        <v>8</v>
      </c>
      <c r="K1804" s="11">
        <v>0.5</v>
      </c>
      <c r="L1804" s="11">
        <v>0.25</v>
      </c>
      <c r="M1804" s="11">
        <v>7.375</v>
      </c>
      <c r="N1804" s="11">
        <v>0.04968944099378882</v>
      </c>
      <c r="Q1804" s="8" t="s">
        <v>815</v>
      </c>
      <c r="R1804" s="8">
        <v>8</v>
      </c>
      <c r="S1804" s="11">
        <v>0.375</v>
      </c>
      <c r="T1804" s="8">
        <v>0</v>
      </c>
      <c r="U1804" s="11">
        <v>2.75</v>
      </c>
      <c r="V1804" s="11">
        <v>0.04968944099378882</v>
      </c>
      <c r="Y1804" s="8" t="s">
        <v>803</v>
      </c>
      <c r="Z1804" s="8">
        <v>12</v>
      </c>
      <c r="AA1804" s="11">
        <v>0.5</v>
      </c>
      <c r="AB1804" s="8">
        <v>0</v>
      </c>
      <c r="AC1804" s="11">
        <v>2.416666666666667</v>
      </c>
      <c r="AD1804" s="11">
        <v>0.07272727272727272</v>
      </c>
      <c r="AG1804" s="8" t="s">
        <v>811</v>
      </c>
      <c r="AH1804" s="8">
        <v>10</v>
      </c>
      <c r="AI1804" s="11">
        <v>0.3</v>
      </c>
      <c r="AJ1804" s="8">
        <v>0</v>
      </c>
      <c r="AK1804" s="11">
        <v>2.4</v>
      </c>
      <c r="AL1804" s="11">
        <v>0.06097560975609756</v>
      </c>
    </row>
    <row r="1805" spans="1:38" ht="25" customHeight="1">
      <c r="A1805" s="12">
        <v>8</v>
      </c>
      <c r="B1805" s="8" t="s">
        <v>784</v>
      </c>
      <c r="C1805" s="11">
        <v>0.06060606060606061</v>
      </c>
      <c r="I1805" s="8" t="s">
        <v>611</v>
      </c>
      <c r="J1805" s="8">
        <v>3</v>
      </c>
      <c r="K1805" s="11">
        <v>0.6666666666666666</v>
      </c>
      <c r="L1805" s="8">
        <v>0</v>
      </c>
      <c r="M1805" s="8">
        <v>5</v>
      </c>
      <c r="N1805" s="11">
        <v>0.01863354037267081</v>
      </c>
      <c r="Q1805" s="8" t="s">
        <v>1406</v>
      </c>
      <c r="R1805" s="8">
        <v>1</v>
      </c>
      <c r="S1805" s="8">
        <v>0</v>
      </c>
      <c r="T1805" s="8">
        <v>0</v>
      </c>
      <c r="U1805" s="8">
        <v>5</v>
      </c>
      <c r="V1805" s="11">
        <v>0.006211180124223602</v>
      </c>
      <c r="Y1805" s="8" t="s">
        <v>802</v>
      </c>
      <c r="Z1805" s="8">
        <v>10</v>
      </c>
      <c r="AA1805" s="11">
        <v>0.5</v>
      </c>
      <c r="AB1805" s="8">
        <v>0</v>
      </c>
      <c r="AC1805" s="11">
        <v>2.9</v>
      </c>
      <c r="AD1805" s="11">
        <v>0.06060606060606061</v>
      </c>
      <c r="AG1805" s="8" t="s">
        <v>222</v>
      </c>
      <c r="AH1805" s="8">
        <v>7</v>
      </c>
      <c r="AI1805" s="8">
        <v>0</v>
      </c>
      <c r="AJ1805" s="8">
        <v>0</v>
      </c>
      <c r="AK1805" s="11">
        <v>0.1428571428571428</v>
      </c>
      <c r="AL1805" s="11">
        <v>0.0426829268292683</v>
      </c>
    </row>
    <row r="1806" spans="1:38" ht="25" customHeight="1">
      <c r="A1806" s="12">
        <v>9</v>
      </c>
      <c r="B1806" s="8" t="s">
        <v>785</v>
      </c>
      <c r="C1806" s="11">
        <v>3.521212121212121</v>
      </c>
      <c r="I1806" s="8" t="s">
        <v>541</v>
      </c>
      <c r="J1806" s="8">
        <v>4</v>
      </c>
      <c r="K1806" s="11">
        <v>0.5</v>
      </c>
      <c r="L1806" s="8">
        <v>0</v>
      </c>
      <c r="M1806" s="8">
        <v>3</v>
      </c>
      <c r="N1806" s="11">
        <v>0.02484472049689441</v>
      </c>
      <c r="Q1806" s="8" t="s">
        <v>49</v>
      </c>
      <c r="R1806" s="8">
        <v>8</v>
      </c>
      <c r="S1806" s="11">
        <v>0.5</v>
      </c>
      <c r="T1806" s="11">
        <v>0.375</v>
      </c>
      <c r="U1806" s="11">
        <v>13.25</v>
      </c>
      <c r="V1806" s="11">
        <v>0.04968944099378882</v>
      </c>
      <c r="Y1806" s="8" t="s">
        <v>877</v>
      </c>
      <c r="Z1806" s="8">
        <v>3</v>
      </c>
      <c r="AA1806" s="11">
        <v>0.3333333333333333</v>
      </c>
      <c r="AB1806" s="8">
        <v>0</v>
      </c>
      <c r="AC1806" s="11">
        <v>0.3333333333333333</v>
      </c>
      <c r="AD1806" s="11">
        <v>0.01818181818181818</v>
      </c>
      <c r="AG1806" s="8" t="s">
        <v>1170</v>
      </c>
      <c r="AH1806" s="8">
        <v>2</v>
      </c>
      <c r="AI1806" s="11">
        <v>0.5</v>
      </c>
      <c r="AJ1806" s="11">
        <v>0.5</v>
      </c>
      <c r="AK1806" s="11">
        <v>17.5</v>
      </c>
      <c r="AL1806" s="11">
        <v>0.01219512195121951</v>
      </c>
    </row>
    <row r="1807" spans="1:38" ht="25" customHeight="1">
      <c r="A1807" s="12">
        <v>10</v>
      </c>
      <c r="B1807" s="8" t="s">
        <v>1932</v>
      </c>
      <c r="C1807" s="8">
        <v>0</v>
      </c>
      <c r="I1807" s="8" t="s">
        <v>474</v>
      </c>
      <c r="J1807" s="8">
        <v>9</v>
      </c>
      <c r="K1807" s="11">
        <v>0.2222222222222222</v>
      </c>
      <c r="L1807" s="11">
        <v>0.1111111111111111</v>
      </c>
      <c r="M1807" s="8">
        <v>3</v>
      </c>
      <c r="N1807" s="11">
        <v>0.05590062111801242</v>
      </c>
      <c r="Q1807" s="8" t="s">
        <v>1410</v>
      </c>
      <c r="R1807" s="8">
        <v>3</v>
      </c>
      <c r="S1807" s="11">
        <v>0.6666666666666666</v>
      </c>
      <c r="T1807" s="8">
        <v>0</v>
      </c>
      <c r="U1807" s="8">
        <v>5</v>
      </c>
      <c r="V1807" s="11">
        <v>0.01863354037267081</v>
      </c>
      <c r="Y1807" s="8" t="s">
        <v>1034</v>
      </c>
      <c r="Z1807" s="8">
        <v>2</v>
      </c>
      <c r="AA1807" s="11">
        <v>0.5</v>
      </c>
      <c r="AB1807" s="11">
        <v>0.5</v>
      </c>
      <c r="AC1807" s="8">
        <v>18</v>
      </c>
      <c r="AD1807" s="11">
        <v>0.01212121212121212</v>
      </c>
    </row>
    <row r="1808" spans="1:38" ht="25" customHeight="1">
      <c r="A1808" s="12">
        <v>11</v>
      </c>
      <c r="I1808" s="8" t="s">
        <v>428</v>
      </c>
      <c r="J1808" s="8">
        <v>43</v>
      </c>
      <c r="K1808" s="11">
        <v>0.3953488372093023</v>
      </c>
      <c r="L1808" s="11">
        <v>0.04651162790697674</v>
      </c>
      <c r="M1808" s="11">
        <v>2.581395348837209</v>
      </c>
      <c r="N1808" s="11">
        <v>0.2670807453416149</v>
      </c>
      <c r="Q1808" s="8" t="s">
        <v>1413</v>
      </c>
      <c r="R1808" s="8">
        <v>2</v>
      </c>
      <c r="S1808" s="11">
        <v>0.5</v>
      </c>
      <c r="T1808" s="8">
        <v>0</v>
      </c>
      <c r="U1808" s="11">
        <v>3.5</v>
      </c>
      <c r="V1808" s="11">
        <v>0.0124223602484472</v>
      </c>
      <c r="Y1808" s="8" t="s">
        <v>175</v>
      </c>
      <c r="Z1808" s="8">
        <v>2</v>
      </c>
      <c r="AA1808" s="8">
        <v>0</v>
      </c>
      <c r="AB1808" s="8">
        <v>0</v>
      </c>
      <c r="AC1808" s="8">
        <v>3</v>
      </c>
      <c r="AD1808" s="11">
        <v>0.01212121212121212</v>
      </c>
    </row>
    <row r="1809" spans="1:30" ht="25" customHeight="1">
      <c r="A1809" s="12">
        <v>12</v>
      </c>
      <c r="I1809" s="8" t="s">
        <v>574</v>
      </c>
      <c r="J1809" s="8">
        <v>5</v>
      </c>
      <c r="K1809" s="11">
        <v>0.6</v>
      </c>
      <c r="L1809" s="8">
        <v>0</v>
      </c>
      <c r="M1809" s="11">
        <v>2.6</v>
      </c>
      <c r="N1809" s="11">
        <v>0.03105590062111801</v>
      </c>
      <c r="Q1809" s="8" t="s">
        <v>1416</v>
      </c>
      <c r="R1809" s="8">
        <v>3</v>
      </c>
      <c r="S1809" s="8">
        <v>0</v>
      </c>
      <c r="T1809" s="8">
        <v>0</v>
      </c>
      <c r="U1809" s="8">
        <v>0</v>
      </c>
      <c r="V1809" s="11">
        <v>0.01863354037267081</v>
      </c>
      <c r="Y1809" s="8" t="s">
        <v>1037</v>
      </c>
      <c r="Z1809" s="8">
        <v>1</v>
      </c>
      <c r="AA1809" s="8">
        <v>0</v>
      </c>
      <c r="AB1809" s="8">
        <v>0</v>
      </c>
      <c r="AC1809" s="8">
        <v>-1</v>
      </c>
      <c r="AD1809" s="11">
        <v>0.006060606060606061</v>
      </c>
    </row>
    <row r="1810" spans="1:30" ht="25" customHeight="1">
      <c r="A1810" s="12">
        <v>13</v>
      </c>
      <c r="B1810" s="8" t="s">
        <v>1933</v>
      </c>
      <c r="I1810" s="8" t="s">
        <v>452</v>
      </c>
      <c r="J1810" s="8">
        <v>5</v>
      </c>
      <c r="K1810" s="11">
        <v>0.6</v>
      </c>
      <c r="L1810" s="11">
        <v>0.4</v>
      </c>
      <c r="M1810" s="11">
        <v>8.4</v>
      </c>
      <c r="N1810" s="11">
        <v>0.03105590062111801</v>
      </c>
      <c r="Q1810" s="8" t="s">
        <v>819</v>
      </c>
      <c r="R1810" s="8">
        <v>7</v>
      </c>
      <c r="S1810" s="11">
        <v>0.2857142857142857</v>
      </c>
      <c r="T1810" s="11">
        <v>0.1428571428571428</v>
      </c>
      <c r="U1810" s="11">
        <v>2.571428571428572</v>
      </c>
      <c r="V1810" s="11">
        <v>0.04347826086956522</v>
      </c>
    </row>
    <row r="1811" spans="1:30" ht="25" customHeight="1">
      <c r="A1811" s="12">
        <v>14</v>
      </c>
      <c r="B1811" s="8" t="s">
        <v>687</v>
      </c>
      <c r="C1811" s="8" t="s">
        <v>688</v>
      </c>
      <c r="D1811" s="8" t="s">
        <v>782</v>
      </c>
      <c r="E1811" s="8" t="s">
        <v>783</v>
      </c>
      <c r="F1811" s="8" t="s">
        <v>784</v>
      </c>
      <c r="G1811" s="8" t="s">
        <v>785</v>
      </c>
      <c r="I1811" s="8" t="s">
        <v>800</v>
      </c>
      <c r="J1811" s="8">
        <v>5</v>
      </c>
      <c r="K1811" s="11">
        <v>0.2</v>
      </c>
      <c r="L1811" s="8">
        <v>0</v>
      </c>
      <c r="M1811" s="11">
        <v>2.6</v>
      </c>
      <c r="N1811" s="11">
        <v>0.03105590062111801</v>
      </c>
      <c r="Q1811" s="8" t="s">
        <v>1420</v>
      </c>
      <c r="R1811" s="8">
        <v>2</v>
      </c>
      <c r="S1811" s="11">
        <v>0.5</v>
      </c>
      <c r="T1811" s="8">
        <v>0</v>
      </c>
      <c r="U1811" s="8">
        <v>1</v>
      </c>
      <c r="V1811" s="11">
        <v>0.0124223602484472</v>
      </c>
    </row>
    <row r="1812" spans="1:30" ht="25" customHeight="1">
      <c r="A1812" s="12">
        <v>15</v>
      </c>
      <c r="B1812" s="8">
        <v>0</v>
      </c>
      <c r="C1812" s="8" t="s">
        <v>115</v>
      </c>
      <c r="D1812" s="8">
        <v>36</v>
      </c>
      <c r="E1812" s="11">
        <v>0.3888888888888889</v>
      </c>
      <c r="F1812" s="11">
        <v>0.08333333333333333</v>
      </c>
      <c r="G1812" s="11">
        <v>3.25</v>
      </c>
      <c r="I1812" s="8" t="s">
        <v>878</v>
      </c>
      <c r="J1812" s="8">
        <v>7</v>
      </c>
      <c r="K1812" s="11">
        <v>0.5714285714285714</v>
      </c>
      <c r="L1812" s="11">
        <v>0.1428571428571428</v>
      </c>
      <c r="M1812" s="11">
        <v>7.714285714285714</v>
      </c>
      <c r="N1812" s="11">
        <v>0.04347826086956522</v>
      </c>
      <c r="Q1812" s="8" t="s">
        <v>1422</v>
      </c>
      <c r="R1812" s="8">
        <v>3</v>
      </c>
      <c r="S1812" s="11">
        <v>0.6666666666666666</v>
      </c>
      <c r="T1812" s="8">
        <v>0</v>
      </c>
      <c r="U1812" s="11">
        <v>2.666666666666667</v>
      </c>
      <c r="V1812" s="11">
        <v>0.01863354037267081</v>
      </c>
    </row>
    <row r="1813" spans="1:30" ht="25" customHeight="1">
      <c r="A1813" s="12">
        <v>16</v>
      </c>
      <c r="B1813" s="8">
        <v>1</v>
      </c>
      <c r="C1813" s="8" t="s">
        <v>706</v>
      </c>
      <c r="D1813" s="8">
        <v>1</v>
      </c>
      <c r="E1813" s="8">
        <v>0</v>
      </c>
      <c r="F1813" s="8">
        <v>0</v>
      </c>
      <c r="G1813" s="8">
        <v>0</v>
      </c>
      <c r="I1813" s="8" t="s">
        <v>480</v>
      </c>
      <c r="J1813" s="8">
        <v>1</v>
      </c>
      <c r="K1813" s="8">
        <v>0</v>
      </c>
      <c r="L1813" s="8">
        <v>0</v>
      </c>
      <c r="M1813" s="8">
        <v>-5</v>
      </c>
      <c r="N1813" s="11">
        <v>0.006211180124223602</v>
      </c>
      <c r="Q1813" s="8" t="s">
        <v>1424</v>
      </c>
      <c r="R1813" s="8">
        <v>1</v>
      </c>
      <c r="S1813" s="8">
        <v>1</v>
      </c>
      <c r="T1813" s="8">
        <v>0</v>
      </c>
      <c r="U1813" s="8">
        <v>7</v>
      </c>
      <c r="V1813" s="11">
        <v>0.006211180124223602</v>
      </c>
    </row>
    <row r="1814" spans="1:30" ht="25" customHeight="1">
      <c r="A1814" s="12">
        <v>17</v>
      </c>
      <c r="B1814" s="8">
        <v>1</v>
      </c>
      <c r="C1814" s="8" t="s">
        <v>711</v>
      </c>
      <c r="D1814" s="8">
        <v>3</v>
      </c>
      <c r="E1814" s="11">
        <v>0.3333333333333333</v>
      </c>
      <c r="F1814" s="8">
        <v>0</v>
      </c>
      <c r="G1814" s="8">
        <v>1</v>
      </c>
      <c r="I1814" s="8" t="s">
        <v>443</v>
      </c>
      <c r="J1814" s="8">
        <v>2</v>
      </c>
      <c r="K1814" s="11">
        <v>0.5</v>
      </c>
      <c r="L1814" s="11">
        <v>0.5</v>
      </c>
      <c r="M1814" s="8">
        <v>11</v>
      </c>
      <c r="N1814" s="11">
        <v>0.0124223602484472</v>
      </c>
      <c r="Q1814" s="8" t="s">
        <v>1429</v>
      </c>
      <c r="R1814" s="8">
        <v>1</v>
      </c>
      <c r="S1814" s="8">
        <v>1</v>
      </c>
      <c r="T1814" s="8">
        <v>0</v>
      </c>
      <c r="U1814" s="8">
        <v>8</v>
      </c>
      <c r="V1814" s="11">
        <v>0.006211180124223602</v>
      </c>
    </row>
    <row r="1815" spans="1:30" ht="25" customHeight="1">
      <c r="A1815" s="12">
        <v>18</v>
      </c>
      <c r="B1815" s="8">
        <v>1</v>
      </c>
      <c r="C1815" s="8" t="s">
        <v>716</v>
      </c>
      <c r="D1815" s="8">
        <v>26</v>
      </c>
      <c r="E1815" s="11">
        <v>0.4615384615384616</v>
      </c>
      <c r="F1815" s="11">
        <v>0.03846153846153846</v>
      </c>
      <c r="G1815" s="11">
        <v>3.730769230769231</v>
      </c>
      <c r="I1815" s="8" t="s">
        <v>561</v>
      </c>
      <c r="J1815" s="8">
        <v>1</v>
      </c>
      <c r="K1815" s="8">
        <v>0</v>
      </c>
      <c r="L1815" s="8">
        <v>0</v>
      </c>
      <c r="M1815" s="8">
        <v>0</v>
      </c>
      <c r="N1815" s="11">
        <v>0.006211180124223602</v>
      </c>
      <c r="Q1815" s="8" t="s">
        <v>1431</v>
      </c>
      <c r="R1815" s="8">
        <v>2</v>
      </c>
      <c r="S1815" s="11">
        <v>0.5</v>
      </c>
      <c r="T1815" s="11">
        <v>0.5</v>
      </c>
      <c r="U1815" s="11">
        <v>7.5</v>
      </c>
      <c r="V1815" s="11">
        <v>0.0124223602484472</v>
      </c>
    </row>
    <row r="1816" spans="1:30" ht="25" customHeight="1">
      <c r="A1816" s="12">
        <v>19</v>
      </c>
      <c r="B1816" s="8">
        <v>1</v>
      </c>
      <c r="C1816" s="8" t="s">
        <v>720</v>
      </c>
      <c r="D1816" s="8">
        <v>1</v>
      </c>
      <c r="E1816" s="8">
        <v>1</v>
      </c>
      <c r="F1816" s="8">
        <v>0</v>
      </c>
      <c r="G1816" s="8">
        <v>3</v>
      </c>
      <c r="I1816" s="8" t="s">
        <v>446</v>
      </c>
      <c r="J1816" s="8">
        <v>5</v>
      </c>
      <c r="K1816" s="8">
        <v>0</v>
      </c>
      <c r="L1816" s="8">
        <v>0</v>
      </c>
      <c r="M1816" s="11">
        <v>1.4</v>
      </c>
      <c r="N1816" s="11">
        <v>0.03105590062111801</v>
      </c>
      <c r="Q1816" s="8" t="s">
        <v>1433</v>
      </c>
      <c r="R1816" s="8">
        <v>1</v>
      </c>
      <c r="S1816" s="8">
        <v>0</v>
      </c>
      <c r="T1816" s="8">
        <v>0</v>
      </c>
      <c r="U1816" s="8">
        <v>1</v>
      </c>
      <c r="V1816" s="11">
        <v>0.006211180124223602</v>
      </c>
    </row>
    <row r="1817" spans="1:30" ht="25" customHeight="1">
      <c r="A1817" s="12">
        <v>20</v>
      </c>
      <c r="B1817" s="8">
        <v>2</v>
      </c>
      <c r="C1817" s="8" t="s">
        <v>706</v>
      </c>
      <c r="D1817" s="8">
        <v>7</v>
      </c>
      <c r="E1817" s="11">
        <v>0.1428571428571428</v>
      </c>
      <c r="F1817" s="8">
        <v>0</v>
      </c>
      <c r="G1817" s="11">
        <v>0.1428571428571428</v>
      </c>
      <c r="I1817" s="8" t="s">
        <v>957</v>
      </c>
      <c r="J1817" s="8">
        <v>1</v>
      </c>
      <c r="K1817" s="8">
        <v>0</v>
      </c>
      <c r="L1817" s="8">
        <v>0</v>
      </c>
      <c r="M1817" s="8">
        <v>1</v>
      </c>
      <c r="N1817" s="11">
        <v>0.006211180124223602</v>
      </c>
      <c r="Q1817" s="8" t="s">
        <v>1435</v>
      </c>
      <c r="R1817" s="8">
        <v>1</v>
      </c>
      <c r="S1817" s="8">
        <v>0</v>
      </c>
      <c r="T1817" s="8">
        <v>0</v>
      </c>
      <c r="U1817" s="8">
        <v>2</v>
      </c>
      <c r="V1817" s="11">
        <v>0.006211180124223602</v>
      </c>
    </row>
    <row r="1818" spans="1:30" ht="25" customHeight="1">
      <c r="A1818" s="12">
        <v>21</v>
      </c>
      <c r="B1818" s="8">
        <v>2</v>
      </c>
      <c r="C1818" s="8" t="s">
        <v>711</v>
      </c>
      <c r="D1818" s="8">
        <v>9</v>
      </c>
      <c r="E1818" s="11">
        <v>0.3333333333333333</v>
      </c>
      <c r="F1818" s="11">
        <v>0.1111111111111111</v>
      </c>
      <c r="G1818" s="11">
        <v>5.555555555555555</v>
      </c>
      <c r="I1818" s="8" t="s">
        <v>605</v>
      </c>
      <c r="J1818" s="8">
        <v>2</v>
      </c>
      <c r="K1818" s="8">
        <v>0</v>
      </c>
      <c r="L1818" s="8">
        <v>0</v>
      </c>
      <c r="M1818" s="8">
        <v>9</v>
      </c>
      <c r="N1818" s="11">
        <v>0.0124223602484472</v>
      </c>
      <c r="Q1818" s="8" t="s">
        <v>816</v>
      </c>
      <c r="R1818" s="8">
        <v>24</v>
      </c>
      <c r="S1818" s="11">
        <v>0.375</v>
      </c>
      <c r="T1818" s="8">
        <v>0</v>
      </c>
      <c r="U1818" s="11">
        <v>2.416666666666667</v>
      </c>
      <c r="V1818" s="11">
        <v>0.1490683229813665</v>
      </c>
    </row>
    <row r="1819" spans="1:30" ht="25" customHeight="1">
      <c r="A1819" s="12">
        <v>22</v>
      </c>
      <c r="B1819" s="8">
        <v>2</v>
      </c>
      <c r="C1819" s="8" t="s">
        <v>716</v>
      </c>
      <c r="D1819" s="8">
        <v>26</v>
      </c>
      <c r="E1819" s="11">
        <v>0.3461538461538461</v>
      </c>
      <c r="F1819" s="11">
        <v>0.03846153846153846</v>
      </c>
      <c r="G1819" s="11">
        <v>3.846153846153846</v>
      </c>
      <c r="I1819" s="8" t="s">
        <v>1038</v>
      </c>
      <c r="J1819" s="8">
        <v>1</v>
      </c>
      <c r="K1819" s="8">
        <v>0</v>
      </c>
      <c r="L1819" s="8">
        <v>0</v>
      </c>
      <c r="M1819" s="8">
        <v>-1</v>
      </c>
      <c r="N1819" s="11">
        <v>0.006211180124223602</v>
      </c>
      <c r="Q1819" s="8" t="s">
        <v>1439</v>
      </c>
      <c r="R1819" s="8">
        <v>3</v>
      </c>
      <c r="S1819" s="11">
        <v>0.6666666666666666</v>
      </c>
      <c r="T1819" s="8">
        <v>0</v>
      </c>
      <c r="U1819" s="11">
        <v>5.333333333333333</v>
      </c>
      <c r="V1819" s="11">
        <v>0.01863354037267081</v>
      </c>
    </row>
    <row r="1820" spans="1:30" ht="25" customHeight="1">
      <c r="A1820" s="12">
        <v>23</v>
      </c>
      <c r="B1820" s="8">
        <v>2</v>
      </c>
      <c r="C1820" s="8" t="s">
        <v>720</v>
      </c>
      <c r="D1820" s="8">
        <v>12</v>
      </c>
      <c r="E1820" s="11">
        <v>0.4166666666666667</v>
      </c>
      <c r="F1820" s="11">
        <v>0.1666666666666667</v>
      </c>
      <c r="G1820" s="11">
        <v>4.583333333333333</v>
      </c>
      <c r="Q1820" s="8" t="s">
        <v>817</v>
      </c>
      <c r="R1820" s="8">
        <v>2</v>
      </c>
      <c r="S1820" s="8">
        <v>0</v>
      </c>
      <c r="T1820" s="8">
        <v>0</v>
      </c>
      <c r="U1820" s="11">
        <v>1.5</v>
      </c>
      <c r="V1820" s="11">
        <v>0.0124223602484472</v>
      </c>
    </row>
    <row r="1821" spans="1:30" ht="25" customHeight="1">
      <c r="A1821" s="12">
        <v>24</v>
      </c>
      <c r="B1821" s="8">
        <v>3</v>
      </c>
      <c r="C1821" s="8" t="s">
        <v>706</v>
      </c>
      <c r="D1821" s="8">
        <v>8</v>
      </c>
      <c r="E1821" s="11">
        <v>0.25</v>
      </c>
      <c r="F1821" s="11">
        <v>0.125</v>
      </c>
      <c r="G1821" s="11">
        <v>4.875</v>
      </c>
      <c r="Q1821" s="8" t="s">
        <v>818</v>
      </c>
      <c r="R1821" s="8">
        <v>4</v>
      </c>
      <c r="S1821" s="11">
        <v>0.25</v>
      </c>
      <c r="T1821" s="8">
        <v>0</v>
      </c>
      <c r="U1821" s="11">
        <v>0.25</v>
      </c>
      <c r="V1821" s="11">
        <v>0.02484472049689441</v>
      </c>
    </row>
    <row r="1822" spans="1:30" ht="25" customHeight="1">
      <c r="A1822" s="12">
        <v>25</v>
      </c>
      <c r="B1822" s="8">
        <v>3</v>
      </c>
      <c r="C1822" s="8" t="s">
        <v>711</v>
      </c>
      <c r="D1822" s="8">
        <v>12</v>
      </c>
      <c r="E1822" s="8">
        <v>0</v>
      </c>
      <c r="F1822" s="8">
        <v>0</v>
      </c>
      <c r="G1822" s="11">
        <v>3.916666666666667</v>
      </c>
      <c r="Q1822" s="8" t="s">
        <v>1447</v>
      </c>
      <c r="R1822" s="8">
        <v>2</v>
      </c>
      <c r="S1822" s="8">
        <v>0</v>
      </c>
      <c r="T1822" s="8">
        <v>0</v>
      </c>
      <c r="U1822" s="8">
        <v>-2</v>
      </c>
      <c r="V1822" s="11">
        <v>0.0124223602484472</v>
      </c>
    </row>
    <row r="1823" spans="1:30" ht="25" customHeight="1">
      <c r="A1823" s="12">
        <v>26</v>
      </c>
      <c r="B1823" s="8">
        <v>3</v>
      </c>
      <c r="C1823" s="8" t="s">
        <v>716</v>
      </c>
      <c r="D1823" s="8">
        <v>14</v>
      </c>
      <c r="E1823" s="11">
        <v>0.2142857142857143</v>
      </c>
      <c r="F1823" s="11">
        <v>0.07142857142857142</v>
      </c>
      <c r="G1823" s="11">
        <v>4.142857142857143</v>
      </c>
      <c r="Q1823" s="8" t="s">
        <v>823</v>
      </c>
      <c r="R1823" s="8">
        <v>7</v>
      </c>
      <c r="S1823" s="11">
        <v>0.2857142857142857</v>
      </c>
      <c r="T1823" s="11">
        <v>0.1428571428571428</v>
      </c>
      <c r="U1823" s="11">
        <v>3.428571428571428</v>
      </c>
      <c r="V1823" s="11">
        <v>0.04347826086956522</v>
      </c>
    </row>
    <row r="1824" spans="1:30" ht="25" customHeight="1">
      <c r="A1824" s="12">
        <v>27</v>
      </c>
      <c r="B1824" s="8">
        <v>3</v>
      </c>
      <c r="C1824" s="8" t="s">
        <v>720</v>
      </c>
      <c r="D1824" s="8">
        <v>8</v>
      </c>
      <c r="E1824" s="11">
        <v>0.25</v>
      </c>
      <c r="F1824" s="8">
        <v>0</v>
      </c>
      <c r="G1824" s="11">
        <v>1.5</v>
      </c>
      <c r="Q1824" s="8" t="s">
        <v>1451</v>
      </c>
      <c r="R1824" s="8">
        <v>2</v>
      </c>
      <c r="S1824" s="8">
        <v>1</v>
      </c>
      <c r="T1824" s="11">
        <v>0.5</v>
      </c>
      <c r="U1824" s="11">
        <v>18.5</v>
      </c>
      <c r="V1824" s="11">
        <v>0.0124223602484472</v>
      </c>
    </row>
    <row r="1825" spans="1:22" ht="25" customHeight="1">
      <c r="A1825" s="12">
        <v>28</v>
      </c>
      <c r="B1825" s="8">
        <v>4</v>
      </c>
      <c r="C1825" s="8" t="s">
        <v>706</v>
      </c>
      <c r="D1825" s="8">
        <v>2</v>
      </c>
      <c r="E1825" s="8">
        <v>0</v>
      </c>
      <c r="F1825" s="8">
        <v>0</v>
      </c>
      <c r="G1825" s="11">
        <v>-0.5</v>
      </c>
      <c r="Q1825" s="8" t="s">
        <v>1455</v>
      </c>
      <c r="R1825" s="8">
        <v>1</v>
      </c>
      <c r="S1825" s="8">
        <v>0</v>
      </c>
      <c r="T1825" s="8">
        <v>0</v>
      </c>
      <c r="U1825" s="8">
        <v>-5</v>
      </c>
      <c r="V1825" s="11">
        <v>0.006211180124223602</v>
      </c>
    </row>
    <row r="1826" spans="1:22" ht="25" customHeight="1">
      <c r="A1826" s="12">
        <v>29</v>
      </c>
      <c r="B1826" s="8">
        <v>4</v>
      </c>
      <c r="C1826" s="8" t="s">
        <v>711</v>
      </c>
      <c r="D1826" s="8">
        <v>0</v>
      </c>
      <c r="Q1826" s="8" t="s">
        <v>1469</v>
      </c>
      <c r="R1826" s="8">
        <v>1</v>
      </c>
      <c r="S1826" s="8">
        <v>0</v>
      </c>
      <c r="T1826" s="8">
        <v>0</v>
      </c>
      <c r="U1826" s="8">
        <v>1</v>
      </c>
      <c r="V1826" s="11">
        <v>0.006211180124223602</v>
      </c>
    </row>
    <row r="1827" spans="1:22" ht="25" customHeight="1">
      <c r="A1827" s="12">
        <v>30</v>
      </c>
      <c r="B1827" s="8">
        <v>4</v>
      </c>
      <c r="C1827" s="8" t="s">
        <v>716</v>
      </c>
      <c r="D1827" s="8">
        <v>0</v>
      </c>
      <c r="Q1827" s="8" t="s">
        <v>1474</v>
      </c>
      <c r="R1827" s="8">
        <v>1</v>
      </c>
      <c r="S1827" s="8">
        <v>0</v>
      </c>
      <c r="T1827" s="8">
        <v>0</v>
      </c>
      <c r="U1827" s="8">
        <v>1</v>
      </c>
      <c r="V1827" s="11">
        <v>0.006211180124223602</v>
      </c>
    </row>
    <row r="1828" spans="1:22" ht="25" customHeight="1">
      <c r="A1828" s="12">
        <v>31</v>
      </c>
      <c r="B1828" s="8">
        <v>4</v>
      </c>
      <c r="C1828" s="8" t="s">
        <v>720</v>
      </c>
      <c r="D1828" s="8">
        <v>0</v>
      </c>
      <c r="Q1828" s="8" t="s">
        <v>1476</v>
      </c>
      <c r="R1828" s="8">
        <v>1</v>
      </c>
      <c r="S1828" s="8">
        <v>0</v>
      </c>
      <c r="T1828" s="8">
        <v>0</v>
      </c>
      <c r="U1828" s="8">
        <v>0</v>
      </c>
      <c r="V1828" s="11">
        <v>0.006211180124223602</v>
      </c>
    </row>
    <row r="1829" spans="1:22" ht="25" customHeight="1">
      <c r="A1829" s="12">
        <v>32</v>
      </c>
      <c r="Q1829" s="8" t="s">
        <v>1478</v>
      </c>
      <c r="R1829" s="8">
        <v>1</v>
      </c>
      <c r="S1829" s="8">
        <v>1</v>
      </c>
      <c r="T1829" s="8">
        <v>0</v>
      </c>
      <c r="U1829" s="8">
        <v>4</v>
      </c>
      <c r="V1829" s="11">
        <v>0.006211180124223602</v>
      </c>
    </row>
    <row r="1830" spans="1:22" ht="25" customHeight="1">
      <c r="A1830" s="12">
        <v>33</v>
      </c>
      <c r="Q1830" s="8" t="s">
        <v>1481</v>
      </c>
      <c r="R1830" s="8">
        <v>1</v>
      </c>
      <c r="S1830" s="8">
        <v>0</v>
      </c>
      <c r="T1830" s="8">
        <v>0</v>
      </c>
      <c r="U1830" s="8">
        <v>0</v>
      </c>
      <c r="V1830" s="11">
        <v>0.006211180124223602</v>
      </c>
    </row>
    <row r="1831" spans="1:22" ht="25" customHeight="1">
      <c r="A1831" s="12">
        <v>34</v>
      </c>
      <c r="Q1831" s="8" t="s">
        <v>1483</v>
      </c>
      <c r="R1831" s="8">
        <v>1</v>
      </c>
      <c r="S1831" s="8">
        <v>0</v>
      </c>
      <c r="T1831" s="8">
        <v>0</v>
      </c>
      <c r="U1831" s="8">
        <v>1</v>
      </c>
      <c r="V1831" s="11">
        <v>0.006211180124223602</v>
      </c>
    </row>
    <row r="1832" spans="1:22" ht="25" customHeight="1">
      <c r="A1832" s="12">
        <v>35</v>
      </c>
      <c r="Q1832" s="8" t="s">
        <v>1488</v>
      </c>
      <c r="R1832" s="8">
        <v>2</v>
      </c>
      <c r="S1832" s="11">
        <v>0.5</v>
      </c>
      <c r="T1832" s="8">
        <v>0</v>
      </c>
      <c r="U1832" s="8">
        <v>4</v>
      </c>
      <c r="V1832" s="11">
        <v>0.0124223602484472</v>
      </c>
    </row>
    <row r="1833" spans="1:22" ht="25" customHeight="1">
      <c r="A1833" s="12">
        <v>36</v>
      </c>
      <c r="Q1833" s="8" t="s">
        <v>1491</v>
      </c>
      <c r="R1833" s="8">
        <v>2</v>
      </c>
      <c r="S1833" s="11">
        <v>0.5</v>
      </c>
      <c r="T1833" s="8">
        <v>0</v>
      </c>
      <c r="U1833" s="8">
        <v>0</v>
      </c>
      <c r="V1833" s="11">
        <v>0.0124223602484472</v>
      </c>
    </row>
    <row r="1834" spans="1:22" ht="25" customHeight="1">
      <c r="A1834" s="12">
        <v>37</v>
      </c>
      <c r="Q1834" s="8" t="s">
        <v>1494</v>
      </c>
      <c r="R1834" s="8">
        <v>2</v>
      </c>
      <c r="S1834" s="8">
        <v>0</v>
      </c>
      <c r="T1834" s="8">
        <v>0</v>
      </c>
      <c r="U1834" s="8">
        <v>0</v>
      </c>
      <c r="V1834" s="11">
        <v>0.0124223602484472</v>
      </c>
    </row>
    <row r="1835" spans="1:22" ht="25" customHeight="1">
      <c r="A1835" s="12">
        <v>38</v>
      </c>
      <c r="Q1835" s="8" t="s">
        <v>1496</v>
      </c>
      <c r="R1835" s="8">
        <v>1</v>
      </c>
      <c r="S1835" s="8">
        <v>0</v>
      </c>
      <c r="T1835" s="8">
        <v>0</v>
      </c>
      <c r="U1835" s="8">
        <v>-15</v>
      </c>
      <c r="V1835" s="11">
        <v>0.006211180124223602</v>
      </c>
    </row>
    <row r="1836" spans="1:22" ht="25" customHeight="1">
      <c r="A1836" s="12">
        <v>39</v>
      </c>
      <c r="Q1836" s="8" t="s">
        <v>1499</v>
      </c>
      <c r="R1836" s="8">
        <v>1</v>
      </c>
      <c r="S1836" s="8">
        <v>1</v>
      </c>
      <c r="T1836" s="8">
        <v>0</v>
      </c>
      <c r="U1836" s="8">
        <v>13</v>
      </c>
      <c r="V1836" s="11">
        <v>0.006211180124223602</v>
      </c>
    </row>
    <row r="1837" spans="1:22" ht="25" customHeight="1">
      <c r="A1837" s="12">
        <v>40</v>
      </c>
      <c r="Q1837" s="8" t="s">
        <v>1503</v>
      </c>
      <c r="R1837" s="8">
        <v>2</v>
      </c>
      <c r="S1837" s="8">
        <v>1</v>
      </c>
      <c r="T1837" s="8">
        <v>0</v>
      </c>
      <c r="U1837" s="8">
        <v>8</v>
      </c>
      <c r="V1837" s="11">
        <v>0.0124223602484472</v>
      </c>
    </row>
    <row r="1838" spans="1:22" ht="25" customHeight="1">
      <c r="A1838" s="12">
        <v>41</v>
      </c>
      <c r="Q1838" s="8" t="s">
        <v>1506</v>
      </c>
      <c r="R1838" s="8">
        <v>1</v>
      </c>
      <c r="S1838" s="8">
        <v>0</v>
      </c>
      <c r="T1838" s="8">
        <v>0</v>
      </c>
      <c r="U1838" s="8">
        <v>2</v>
      </c>
      <c r="V1838" s="11">
        <v>0.006211180124223602</v>
      </c>
    </row>
    <row r="1839" spans="1:22" ht="25" customHeight="1">
      <c r="A1839" s="12">
        <v>42</v>
      </c>
      <c r="Q1839" s="8" t="s">
        <v>1509</v>
      </c>
      <c r="R1839" s="8">
        <v>2</v>
      </c>
      <c r="S1839" s="11">
        <v>0.5</v>
      </c>
      <c r="T1839" s="8">
        <v>0</v>
      </c>
      <c r="U1839" s="11">
        <v>2.5</v>
      </c>
      <c r="V1839" s="11">
        <v>0.0124223602484472</v>
      </c>
    </row>
    <row r="1840" spans="1:22" ht="25" customHeight="1">
      <c r="A1840" s="12">
        <v>43</v>
      </c>
      <c r="Q1840" s="8" t="s">
        <v>1516</v>
      </c>
      <c r="R1840" s="8">
        <v>1</v>
      </c>
      <c r="S1840" s="8">
        <v>0</v>
      </c>
      <c r="T1840" s="8">
        <v>0</v>
      </c>
      <c r="U1840" s="8">
        <v>0</v>
      </c>
      <c r="V1840" s="11">
        <v>0.006211180124223602</v>
      </c>
    </row>
    <row r="1841" spans="1:22" ht="25" customHeight="1">
      <c r="A1841" s="12">
        <v>44</v>
      </c>
      <c r="Q1841" s="8" t="s">
        <v>1523</v>
      </c>
      <c r="R1841" s="8">
        <v>3</v>
      </c>
      <c r="S1841" s="11">
        <v>0.3333333333333333</v>
      </c>
      <c r="T1841" s="8">
        <v>0</v>
      </c>
      <c r="U1841" s="11">
        <v>11.66666666666667</v>
      </c>
      <c r="V1841" s="11">
        <v>0.01863354037267081</v>
      </c>
    </row>
    <row r="1842" spans="1:22" ht="25" customHeight="1">
      <c r="A1842" s="12">
        <v>45</v>
      </c>
      <c r="Q1842" s="8" t="s">
        <v>1528</v>
      </c>
      <c r="R1842" s="8">
        <v>1</v>
      </c>
      <c r="S1842" s="8">
        <v>1</v>
      </c>
      <c r="T1842" s="8">
        <v>0</v>
      </c>
      <c r="U1842" s="8">
        <v>11</v>
      </c>
      <c r="V1842" s="11">
        <v>0.006211180124223602</v>
      </c>
    </row>
    <row r="1843" spans="1:22" ht="25" customHeight="1">
      <c r="A1843" s="12">
        <v>46</v>
      </c>
      <c r="Q1843" s="8" t="s">
        <v>1530</v>
      </c>
      <c r="R1843" s="8">
        <v>1</v>
      </c>
      <c r="S1843" s="8">
        <v>0</v>
      </c>
      <c r="T1843" s="8">
        <v>0</v>
      </c>
      <c r="U1843" s="8">
        <v>6</v>
      </c>
      <c r="V1843" s="11">
        <v>0.006211180124223602</v>
      </c>
    </row>
    <row r="1844" spans="1:22" ht="25" customHeight="1">
      <c r="A1844" s="12">
        <v>47</v>
      </c>
      <c r="Q1844" s="8" t="s">
        <v>1533</v>
      </c>
      <c r="R1844" s="8">
        <v>1</v>
      </c>
      <c r="S1844" s="8">
        <v>0</v>
      </c>
      <c r="T1844" s="8">
        <v>0</v>
      </c>
      <c r="U1844" s="8">
        <v>-3</v>
      </c>
      <c r="V1844" s="11">
        <v>0.006211180124223602</v>
      </c>
    </row>
    <row r="1845" spans="1:22" ht="25" customHeight="1">
      <c r="A1845" s="12">
        <v>48</v>
      </c>
      <c r="Q1845" s="8" t="s">
        <v>1536</v>
      </c>
      <c r="R1845" s="8">
        <v>1</v>
      </c>
      <c r="S1845" s="8">
        <v>0</v>
      </c>
      <c r="T1845" s="8">
        <v>0</v>
      </c>
      <c r="U1845" s="8">
        <v>0</v>
      </c>
      <c r="V1845" s="11">
        <v>0.006211180124223602</v>
      </c>
    </row>
    <row r="1846" spans="1:22" ht="25" customHeight="1">
      <c r="A1846" s="12">
        <v>49</v>
      </c>
      <c r="Q1846" s="8" t="s">
        <v>1541</v>
      </c>
      <c r="R1846" s="8">
        <v>1</v>
      </c>
      <c r="S1846" s="8">
        <v>0</v>
      </c>
      <c r="T1846" s="8">
        <v>0</v>
      </c>
      <c r="U1846" s="8">
        <v>1</v>
      </c>
      <c r="V1846" s="11">
        <v>0.006211180124223602</v>
      </c>
    </row>
    <row r="1847" spans="1:22" ht="25" customHeight="1">
      <c r="A1847" s="12">
        <v>50</v>
      </c>
      <c r="Q1847" s="8" t="s">
        <v>1544</v>
      </c>
      <c r="R1847" s="8">
        <v>1</v>
      </c>
      <c r="S1847" s="8">
        <v>1</v>
      </c>
      <c r="T1847" s="8">
        <v>1</v>
      </c>
      <c r="U1847" s="8">
        <v>34</v>
      </c>
      <c r="V1847" s="11">
        <v>0.006211180124223602</v>
      </c>
    </row>
    <row r="1848" spans="1:22" ht="25" customHeight="1">
      <c r="A1848" s="12">
        <v>51</v>
      </c>
      <c r="Q1848" s="8" t="s">
        <v>1546</v>
      </c>
      <c r="R1848" s="8">
        <v>1</v>
      </c>
      <c r="S1848" s="8">
        <v>0</v>
      </c>
      <c r="T1848" s="8">
        <v>0</v>
      </c>
      <c r="U1848" s="8">
        <v>0</v>
      </c>
      <c r="V1848" s="11">
        <v>0.006211180124223602</v>
      </c>
    </row>
    <row r="1849" spans="1:22" ht="25" customHeight="1">
      <c r="A1849" s="12">
        <v>52</v>
      </c>
      <c r="Q1849" s="8" t="s">
        <v>821</v>
      </c>
      <c r="R1849" s="8">
        <v>4</v>
      </c>
      <c r="S1849" s="11">
        <v>0.25</v>
      </c>
      <c r="T1849" s="11">
        <v>0.25</v>
      </c>
      <c r="U1849" s="11">
        <v>5.25</v>
      </c>
      <c r="V1849" s="11">
        <v>0.02484472049689441</v>
      </c>
    </row>
    <row r="1850" spans="1:22" ht="25" customHeight="1">
      <c r="A1850" s="12">
        <v>53</v>
      </c>
      <c r="Q1850" s="8" t="s">
        <v>1550</v>
      </c>
      <c r="R1850" s="8">
        <v>1</v>
      </c>
      <c r="S1850" s="8">
        <v>0</v>
      </c>
      <c r="T1850" s="8">
        <v>0</v>
      </c>
      <c r="U1850" s="8">
        <v>0</v>
      </c>
      <c r="V1850" s="11">
        <v>0.006211180124223602</v>
      </c>
    </row>
    <row r="1851" spans="1:22" ht="25" customHeight="1">
      <c r="A1851" s="12">
        <v>54</v>
      </c>
      <c r="Q1851" s="8" t="s">
        <v>820</v>
      </c>
      <c r="R1851" s="8">
        <v>5</v>
      </c>
      <c r="S1851" s="8">
        <v>0</v>
      </c>
      <c r="T1851" s="8">
        <v>0</v>
      </c>
      <c r="U1851" s="11">
        <v>2.6</v>
      </c>
      <c r="V1851" s="11">
        <v>0.03105590062111801</v>
      </c>
    </row>
    <row r="1852" spans="1:22" ht="25" customHeight="1">
      <c r="A1852" s="12">
        <v>55</v>
      </c>
      <c r="Q1852" s="8" t="s">
        <v>1558</v>
      </c>
      <c r="R1852" s="8">
        <v>1</v>
      </c>
      <c r="S1852" s="8">
        <v>1</v>
      </c>
      <c r="T1852" s="8">
        <v>0</v>
      </c>
      <c r="U1852" s="8">
        <v>1</v>
      </c>
      <c r="V1852" s="11">
        <v>0.006211180124223602</v>
      </c>
    </row>
    <row r="1853" spans="1:22" ht="25" customHeight="1">
      <c r="A1853" s="12">
        <v>56</v>
      </c>
      <c r="Q1853" s="8" t="s">
        <v>1566</v>
      </c>
      <c r="R1853" s="8">
        <v>1</v>
      </c>
      <c r="S1853" s="8">
        <v>0</v>
      </c>
      <c r="T1853" s="8">
        <v>0</v>
      </c>
      <c r="U1853" s="8">
        <v>1</v>
      </c>
      <c r="V1853" s="11">
        <v>0.006211180124223602</v>
      </c>
    </row>
    <row r="1854" spans="1:22" ht="25" customHeight="1">
      <c r="A1854" s="12">
        <v>57</v>
      </c>
      <c r="Q1854" s="8" t="s">
        <v>1572</v>
      </c>
      <c r="R1854" s="8">
        <v>1</v>
      </c>
      <c r="S1854" s="8">
        <v>0</v>
      </c>
      <c r="T1854" s="8">
        <v>0</v>
      </c>
      <c r="U1854" s="8">
        <v>0</v>
      </c>
      <c r="V1854" s="11">
        <v>0.006211180124223602</v>
      </c>
    </row>
    <row r="1855" spans="1:22" ht="25" customHeight="1">
      <c r="A1855" s="12">
        <v>58</v>
      </c>
      <c r="Q1855" s="8" t="s">
        <v>1579</v>
      </c>
      <c r="R1855" s="8">
        <v>1</v>
      </c>
      <c r="S1855" s="8">
        <v>0</v>
      </c>
      <c r="T1855" s="8">
        <v>0</v>
      </c>
      <c r="U1855" s="8">
        <v>0</v>
      </c>
      <c r="V1855" s="11">
        <v>0.006211180124223602</v>
      </c>
    </row>
    <row r="1856" spans="1:22" ht="25" customHeight="1">
      <c r="A1856" s="12">
        <v>59</v>
      </c>
      <c r="Q1856" s="8" t="s">
        <v>1583</v>
      </c>
      <c r="R1856" s="8">
        <v>1</v>
      </c>
      <c r="S1856" s="8">
        <v>0</v>
      </c>
      <c r="T1856" s="8">
        <v>0</v>
      </c>
      <c r="U1856" s="8">
        <v>0</v>
      </c>
      <c r="V1856" s="11">
        <v>0.006211180124223602</v>
      </c>
    </row>
    <row r="1857" spans="1:22" ht="25" customHeight="1">
      <c r="A1857" s="12">
        <v>60</v>
      </c>
      <c r="Q1857" s="8" t="s">
        <v>824</v>
      </c>
      <c r="R1857" s="8">
        <v>5</v>
      </c>
      <c r="S1857" s="11">
        <v>0.6</v>
      </c>
      <c r="T1857" s="11">
        <v>0.2</v>
      </c>
      <c r="U1857" s="11">
        <v>4.6</v>
      </c>
      <c r="V1857" s="11">
        <v>0.03105590062111801</v>
      </c>
    </row>
    <row r="1858" spans="1:22" ht="25" customHeight="1">
      <c r="A1858" s="12">
        <v>61</v>
      </c>
      <c r="Q1858" s="8" t="s">
        <v>1600</v>
      </c>
      <c r="R1858" s="8">
        <v>1</v>
      </c>
      <c r="S1858" s="8">
        <v>0</v>
      </c>
      <c r="T1858" s="8">
        <v>0</v>
      </c>
      <c r="U1858" s="8">
        <v>2</v>
      </c>
      <c r="V1858" s="11">
        <v>0.006211180124223602</v>
      </c>
    </row>
    <row r="1859" spans="1:22" ht="25" customHeight="1">
      <c r="A1859" s="12">
        <v>62</v>
      </c>
      <c r="Q1859" s="8" t="s">
        <v>1619</v>
      </c>
      <c r="R1859" s="8">
        <v>1</v>
      </c>
      <c r="S1859" s="8">
        <v>0</v>
      </c>
      <c r="T1859" s="8">
        <v>0</v>
      </c>
      <c r="U1859" s="8">
        <v>0</v>
      </c>
      <c r="V1859" s="11">
        <v>0.006211180124223602</v>
      </c>
    </row>
    <row r="1860" spans="1:22" ht="25" customHeight="1">
      <c r="A1860" s="12">
        <v>63</v>
      </c>
      <c r="Q1860" s="8" t="s">
        <v>1624</v>
      </c>
      <c r="R1860" s="8">
        <v>1</v>
      </c>
      <c r="S1860" s="8">
        <v>0</v>
      </c>
      <c r="T1860" s="8">
        <v>0</v>
      </c>
      <c r="U1860" s="8">
        <v>0</v>
      </c>
      <c r="V1860" s="11">
        <v>0.006211180124223602</v>
      </c>
    </row>
    <row r="1861" spans="1:22" ht="25" customHeight="1">
      <c r="A1861" s="12">
        <v>64</v>
      </c>
      <c r="Q1861" s="8" t="s">
        <v>1629</v>
      </c>
      <c r="R1861" s="8">
        <v>1</v>
      </c>
      <c r="S1861" s="8">
        <v>0</v>
      </c>
      <c r="T1861" s="8">
        <v>0</v>
      </c>
      <c r="U1861" s="8">
        <v>10</v>
      </c>
      <c r="V1861" s="11">
        <v>0.006211180124223602</v>
      </c>
    </row>
    <row r="1862" spans="1:22" ht="25" customHeight="1">
      <c r="A1862" s="12">
        <v>65</v>
      </c>
      <c r="Q1862" s="8" t="s">
        <v>1635</v>
      </c>
      <c r="R1862" s="8">
        <v>2</v>
      </c>
      <c r="S1862" s="11">
        <v>0.5</v>
      </c>
      <c r="T1862" s="8">
        <v>0</v>
      </c>
      <c r="U1862" s="11">
        <v>4.5</v>
      </c>
      <c r="V1862" s="11">
        <v>0.0124223602484472</v>
      </c>
    </row>
    <row r="1863" spans="1:22" ht="25" customHeight="1">
      <c r="A1863" s="12">
        <v>66</v>
      </c>
      <c r="Q1863" s="8" t="s">
        <v>1638</v>
      </c>
      <c r="R1863" s="8">
        <v>1</v>
      </c>
      <c r="S1863" s="8">
        <v>0</v>
      </c>
      <c r="T1863" s="8">
        <v>0</v>
      </c>
      <c r="U1863" s="8">
        <v>9</v>
      </c>
      <c r="V1863" s="11">
        <v>0.006211180124223602</v>
      </c>
    </row>
    <row r="1864" spans="1:22" ht="25" customHeight="1">
      <c r="A1864" s="12">
        <v>67</v>
      </c>
      <c r="Q1864" s="8" t="s">
        <v>1645</v>
      </c>
      <c r="R1864" s="8">
        <v>1</v>
      </c>
      <c r="S1864" s="8">
        <v>0</v>
      </c>
      <c r="T1864" s="8">
        <v>0</v>
      </c>
      <c r="U1864" s="8">
        <v>0</v>
      </c>
      <c r="V1864" s="11">
        <v>0.006211180124223602</v>
      </c>
    </row>
    <row r="1865" spans="1:22" ht="25" customHeight="1">
      <c r="A1865" s="12">
        <v>68</v>
      </c>
      <c r="Q1865" s="8" t="s">
        <v>1648</v>
      </c>
      <c r="R1865" s="8">
        <v>1</v>
      </c>
      <c r="S1865" s="8">
        <v>0</v>
      </c>
      <c r="T1865" s="8">
        <v>0</v>
      </c>
      <c r="U1865" s="8">
        <v>3</v>
      </c>
      <c r="V1865" s="11">
        <v>0.006211180124223602</v>
      </c>
    </row>
    <row r="1866" spans="1:22" ht="25" customHeight="1">
      <c r="A1866" s="12">
        <v>69</v>
      </c>
      <c r="Q1866" s="8" t="s">
        <v>1650</v>
      </c>
      <c r="R1866" s="8">
        <v>1</v>
      </c>
      <c r="S1866" s="8">
        <v>0</v>
      </c>
      <c r="T1866" s="8">
        <v>0</v>
      </c>
      <c r="U1866" s="8">
        <v>0</v>
      </c>
      <c r="V1866" s="11">
        <v>0.006211180124223602</v>
      </c>
    </row>
    <row r="1867" spans="1:22" ht="25" customHeight="1">
      <c r="A1867" s="12">
        <v>70</v>
      </c>
      <c r="Q1867" s="8" t="s">
        <v>1655</v>
      </c>
      <c r="R1867" s="8">
        <v>1</v>
      </c>
      <c r="S1867" s="8">
        <v>0</v>
      </c>
      <c r="T1867" s="8">
        <v>0</v>
      </c>
      <c r="U1867" s="8">
        <v>-6</v>
      </c>
      <c r="V1867" s="11">
        <v>0.006211180124223602</v>
      </c>
    </row>
    <row r="1868" spans="1:22" ht="25" customHeight="1">
      <c r="A1868" s="12">
        <v>71</v>
      </c>
      <c r="Q1868" s="8" t="s">
        <v>1660</v>
      </c>
      <c r="R1868" s="8">
        <v>1</v>
      </c>
      <c r="S1868" s="8">
        <v>0</v>
      </c>
      <c r="T1868" s="8">
        <v>0</v>
      </c>
      <c r="U1868" s="8">
        <v>0</v>
      </c>
      <c r="V1868" s="11">
        <v>0.006211180124223602</v>
      </c>
    </row>
    <row r="1869" spans="1:22" ht="25" customHeight="1">
      <c r="A1869" s="12">
        <v>72</v>
      </c>
      <c r="Q1869" s="8" t="s">
        <v>1662</v>
      </c>
      <c r="R1869" s="8">
        <v>1</v>
      </c>
      <c r="S1869" s="8">
        <v>1</v>
      </c>
      <c r="T1869" s="8">
        <v>0</v>
      </c>
      <c r="U1869" s="8">
        <v>5</v>
      </c>
      <c r="V1869" s="11">
        <v>0.006211180124223602</v>
      </c>
    </row>
    <row r="1870" spans="1:22" ht="25" customHeight="1">
      <c r="A1870" s="12">
        <v>73</v>
      </c>
      <c r="Q1870" s="8" t="s">
        <v>1684</v>
      </c>
      <c r="R1870" s="8">
        <v>1</v>
      </c>
      <c r="S1870" s="8">
        <v>0</v>
      </c>
      <c r="T1870" s="8">
        <v>0</v>
      </c>
      <c r="U1870" s="8">
        <v>-1</v>
      </c>
      <c r="V1870" s="11">
        <v>0.006211180124223602</v>
      </c>
    </row>
    <row r="1871" spans="1:22" ht="25" customHeight="1">
      <c r="A1871" s="12">
        <v>74</v>
      </c>
      <c r="Q1871" s="8" t="s">
        <v>1687</v>
      </c>
      <c r="R1871" s="8">
        <v>1</v>
      </c>
      <c r="S1871" s="8">
        <v>0</v>
      </c>
      <c r="T1871" s="8">
        <v>0</v>
      </c>
      <c r="U1871" s="8">
        <v>0</v>
      </c>
      <c r="V1871" s="11">
        <v>0.006211180124223602</v>
      </c>
    </row>
    <row r="1877" spans="1:39" ht="27" customHeight="1">
      <c r="A1877" s="5" t="s">
        <v>1934</v>
      </c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</row>
    <row r="1878" spans="1:39" ht="36" customHeight="1">
      <c r="A1878" s="9" t="s">
        <v>683</v>
      </c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</row>
    <row r="1879" spans="1:39" ht="25" customHeight="1">
      <c r="A1879" s="6" t="s">
        <v>684</v>
      </c>
    </row>
    <row r="1880" spans="1:39" ht="25" customHeight="1">
      <c r="A1880" s="12">
        <v>1</v>
      </c>
      <c r="B1880" s="8" t="s">
        <v>1935</v>
      </c>
    </row>
    <row r="1881" spans="1:39" ht="25" customHeight="1">
      <c r="A1881" s="12">
        <v>3</v>
      </c>
      <c r="B1881" s="8" t="s">
        <v>1927</v>
      </c>
      <c r="C1881" s="8" t="s">
        <v>1928</v>
      </c>
    </row>
    <row r="1882" spans="1:39" ht="25" customHeight="1">
      <c r="A1882" s="12">
        <v>4</v>
      </c>
      <c r="B1882" s="8" t="s">
        <v>1929</v>
      </c>
      <c r="C1882" s="8">
        <v>165</v>
      </c>
    </row>
    <row r="1883" spans="1:39" ht="25" customHeight="1">
      <c r="A1883" s="12">
        <v>5</v>
      </c>
      <c r="B1883" s="8" t="s">
        <v>1936</v>
      </c>
      <c r="C1883" s="8">
        <v>19</v>
      </c>
    </row>
    <row r="1884" spans="1:39" ht="25" customHeight="1">
      <c r="A1884" s="12">
        <v>6</v>
      </c>
      <c r="B1884" s="8" t="s">
        <v>1937</v>
      </c>
      <c r="C1884" s="8">
        <v>71</v>
      </c>
    </row>
    <row r="1885" spans="1:39" ht="25" customHeight="1">
      <c r="A1885" s="12">
        <v>7</v>
      </c>
      <c r="B1885" s="8" t="s">
        <v>1938</v>
      </c>
      <c r="C1885" s="8" t="s">
        <v>1939</v>
      </c>
    </row>
    <row r="1886" spans="1:39" ht="25" customHeight="1">
      <c r="A1886" s="12">
        <v>9</v>
      </c>
      <c r="B1886" s="8" t="s">
        <v>781</v>
      </c>
      <c r="C1886" s="8" t="s">
        <v>782</v>
      </c>
      <c r="D1886" s="8" t="s">
        <v>783</v>
      </c>
      <c r="E1886" s="8" t="s">
        <v>784</v>
      </c>
      <c r="F1886" s="8" t="s">
        <v>785</v>
      </c>
      <c r="G1886" s="8" t="s">
        <v>690</v>
      </c>
      <c r="H1886" s="8" t="s">
        <v>786</v>
      </c>
      <c r="I1886" s="8" t="s">
        <v>1940</v>
      </c>
      <c r="L1886" s="8" t="s">
        <v>814</v>
      </c>
      <c r="M1886" s="8" t="s">
        <v>782</v>
      </c>
      <c r="N1886" s="8" t="s">
        <v>783</v>
      </c>
      <c r="O1886" s="8" t="s">
        <v>784</v>
      </c>
      <c r="P1886" s="8" t="s">
        <v>785</v>
      </c>
      <c r="Q1886" s="8" t="s">
        <v>690</v>
      </c>
      <c r="R1886" s="8" t="s">
        <v>786</v>
      </c>
      <c r="S1886" s="8" t="s">
        <v>1940</v>
      </c>
      <c r="V1886" s="8" t="s">
        <v>780</v>
      </c>
      <c r="W1886" s="8" t="s">
        <v>782</v>
      </c>
      <c r="X1886" s="8" t="s">
        <v>783</v>
      </c>
      <c r="Y1886" s="8" t="s">
        <v>784</v>
      </c>
      <c r="Z1886" s="8" t="s">
        <v>785</v>
      </c>
      <c r="AA1886" s="8" t="s">
        <v>690</v>
      </c>
      <c r="AB1886" s="8" t="s">
        <v>786</v>
      </c>
      <c r="AC1886" s="8" t="s">
        <v>1940</v>
      </c>
      <c r="AF1886" s="8" t="s">
        <v>810</v>
      </c>
      <c r="AG1886" s="8" t="s">
        <v>782</v>
      </c>
      <c r="AH1886" s="8" t="s">
        <v>783</v>
      </c>
      <c r="AI1886" s="8" t="s">
        <v>784</v>
      </c>
      <c r="AJ1886" s="8" t="s">
        <v>785</v>
      </c>
      <c r="AK1886" s="8" t="s">
        <v>690</v>
      </c>
      <c r="AL1886" s="8" t="s">
        <v>786</v>
      </c>
      <c r="AM1886" s="8" t="s">
        <v>1940</v>
      </c>
    </row>
    <row r="1887" spans="1:39" ht="25" customHeight="1">
      <c r="A1887" s="12">
        <v>10</v>
      </c>
      <c r="B1887" s="8" t="s">
        <v>449</v>
      </c>
      <c r="C1887" s="8">
        <v>30</v>
      </c>
      <c r="D1887" s="11">
        <v>0.2</v>
      </c>
      <c r="E1887" s="11">
        <v>0.03333333333333333</v>
      </c>
      <c r="F1887" s="11">
        <v>4.4</v>
      </c>
      <c r="G1887" s="11">
        <v>0.1863354037267081</v>
      </c>
      <c r="H1887" s="8" t="s">
        <v>799</v>
      </c>
      <c r="I1887" s="8" t="s">
        <v>804</v>
      </c>
      <c r="L1887" s="8" t="s">
        <v>1395</v>
      </c>
      <c r="M1887" s="8">
        <v>1</v>
      </c>
      <c r="N1887" s="8">
        <v>0</v>
      </c>
      <c r="O1887" s="8">
        <v>0</v>
      </c>
      <c r="P1887" s="8">
        <v>5</v>
      </c>
      <c r="Q1887" s="11">
        <v>0.006211180124223602</v>
      </c>
      <c r="R1887" s="8" t="s">
        <v>791</v>
      </c>
      <c r="S1887" s="8" t="s">
        <v>1941</v>
      </c>
      <c r="V1887" s="8" t="s">
        <v>842</v>
      </c>
      <c r="W1887" s="8">
        <v>2</v>
      </c>
      <c r="X1887" s="8">
        <v>0</v>
      </c>
      <c r="Y1887" s="8">
        <v>0</v>
      </c>
      <c r="Z1887" s="11">
        <v>1.5</v>
      </c>
      <c r="AA1887" s="11">
        <v>0.01212121212121212</v>
      </c>
      <c r="AB1887" s="8" t="s">
        <v>791</v>
      </c>
      <c r="AC1887" s="8" t="s">
        <v>1941</v>
      </c>
      <c r="AF1887" s="8" t="s">
        <v>235</v>
      </c>
      <c r="AG1887" s="8">
        <v>9</v>
      </c>
      <c r="AH1887" s="11">
        <v>0.5555555555555556</v>
      </c>
      <c r="AI1887" s="11">
        <v>0.1111111111111111</v>
      </c>
      <c r="AJ1887" s="8">
        <v>4</v>
      </c>
      <c r="AK1887" s="11">
        <v>0.05487804878048781</v>
      </c>
      <c r="AL1887" s="8" t="s">
        <v>799</v>
      </c>
      <c r="AM1887" s="8" t="s">
        <v>796</v>
      </c>
    </row>
    <row r="1888" spans="1:39" ht="25" customHeight="1">
      <c r="A1888" s="12">
        <v>11</v>
      </c>
      <c r="B1888" s="8" t="s">
        <v>465</v>
      </c>
      <c r="C1888" s="8">
        <v>27</v>
      </c>
      <c r="D1888" s="11">
        <v>0.2962962962962963</v>
      </c>
      <c r="E1888" s="8">
        <v>0</v>
      </c>
      <c r="F1888" s="11">
        <v>2.074074074074074</v>
      </c>
      <c r="G1888" s="11">
        <v>0.1677018633540373</v>
      </c>
      <c r="H1888" s="8" t="s">
        <v>799</v>
      </c>
      <c r="I1888" s="8" t="s">
        <v>804</v>
      </c>
      <c r="L1888" s="8" t="s">
        <v>1398</v>
      </c>
      <c r="M1888" s="8">
        <v>6</v>
      </c>
      <c r="N1888" s="11">
        <v>0.1666666666666667</v>
      </c>
      <c r="O1888" s="8">
        <v>0</v>
      </c>
      <c r="P1888" s="11">
        <v>1.833333333333333</v>
      </c>
      <c r="Q1888" s="11">
        <v>0.03726708074534162</v>
      </c>
      <c r="R1888" s="8" t="s">
        <v>795</v>
      </c>
      <c r="S1888" s="8" t="s">
        <v>792</v>
      </c>
      <c r="V1888" s="8" t="s">
        <v>123</v>
      </c>
      <c r="W1888" s="8">
        <v>10</v>
      </c>
      <c r="X1888" s="11">
        <v>0.3</v>
      </c>
      <c r="Y1888" s="11">
        <v>0.1</v>
      </c>
      <c r="Z1888" s="11">
        <v>2.1</v>
      </c>
      <c r="AA1888" s="11">
        <v>0.06060606060606061</v>
      </c>
      <c r="AB1888" s="8" t="s">
        <v>799</v>
      </c>
      <c r="AC1888" s="8" t="s">
        <v>796</v>
      </c>
      <c r="AF1888" s="8" t="s">
        <v>203</v>
      </c>
      <c r="AG1888" s="8">
        <v>72</v>
      </c>
      <c r="AH1888" s="11">
        <v>0.375</v>
      </c>
      <c r="AI1888" s="11">
        <v>0.02777777777777778</v>
      </c>
      <c r="AJ1888" s="11">
        <v>3.388888888888889</v>
      </c>
      <c r="AK1888" s="11">
        <v>0.4390243902439024</v>
      </c>
      <c r="AL1888" s="8" t="s">
        <v>799</v>
      </c>
      <c r="AM1888" s="8" t="s">
        <v>804</v>
      </c>
    </row>
    <row r="1889" spans="1:39" ht="25" customHeight="1">
      <c r="A1889" s="12">
        <v>12</v>
      </c>
      <c r="B1889" s="8" t="s">
        <v>471</v>
      </c>
      <c r="C1889" s="8">
        <v>2</v>
      </c>
      <c r="D1889" s="8">
        <v>0</v>
      </c>
      <c r="E1889" s="8">
        <v>0</v>
      </c>
      <c r="F1889" s="11">
        <v>2.5</v>
      </c>
      <c r="G1889" s="11">
        <v>0.0124223602484472</v>
      </c>
      <c r="H1889" s="8" t="s">
        <v>791</v>
      </c>
      <c r="I1889" s="8" t="s">
        <v>1941</v>
      </c>
      <c r="L1889" s="8" t="s">
        <v>1401</v>
      </c>
      <c r="M1889" s="8">
        <v>1</v>
      </c>
      <c r="N1889" s="8">
        <v>1</v>
      </c>
      <c r="O1889" s="8">
        <v>0</v>
      </c>
      <c r="P1889" s="8">
        <v>9</v>
      </c>
      <c r="Q1889" s="11">
        <v>0.006211180124223602</v>
      </c>
      <c r="R1889" s="8" t="s">
        <v>791</v>
      </c>
      <c r="S1889" s="8" t="s">
        <v>1941</v>
      </c>
      <c r="V1889" s="8" t="s">
        <v>120</v>
      </c>
      <c r="W1889" s="8">
        <v>123</v>
      </c>
      <c r="X1889" s="11">
        <v>0.3008130081300813</v>
      </c>
      <c r="Y1889" s="11">
        <v>0.06504065040650407</v>
      </c>
      <c r="Z1889" s="11">
        <v>3.715447154471545</v>
      </c>
      <c r="AA1889" s="11">
        <v>0.7454545454545455</v>
      </c>
      <c r="AB1889" s="8" t="s">
        <v>799</v>
      </c>
      <c r="AC1889" s="8" t="s">
        <v>804</v>
      </c>
      <c r="AF1889" s="8" t="s">
        <v>206</v>
      </c>
      <c r="AG1889" s="8">
        <v>64</v>
      </c>
      <c r="AH1889" s="11">
        <v>0.265625</v>
      </c>
      <c r="AI1889" s="11">
        <v>0.09375</v>
      </c>
      <c r="AJ1889" s="11">
        <v>3.78125</v>
      </c>
      <c r="AK1889" s="11">
        <v>0.3902439024390244</v>
      </c>
      <c r="AL1889" s="8" t="s">
        <v>799</v>
      </c>
      <c r="AM1889" s="8" t="s">
        <v>804</v>
      </c>
    </row>
    <row r="1890" spans="1:39" ht="25" customHeight="1">
      <c r="A1890" s="12">
        <v>13</v>
      </c>
      <c r="B1890" s="8" t="s">
        <v>468</v>
      </c>
      <c r="C1890" s="8">
        <v>8</v>
      </c>
      <c r="D1890" s="11">
        <v>0.5</v>
      </c>
      <c r="E1890" s="11">
        <v>0.25</v>
      </c>
      <c r="F1890" s="11">
        <v>7.375</v>
      </c>
      <c r="G1890" s="11">
        <v>0.04968944099378882</v>
      </c>
      <c r="H1890" s="8" t="s">
        <v>799</v>
      </c>
      <c r="I1890" s="8" t="s">
        <v>792</v>
      </c>
      <c r="L1890" s="8" t="s">
        <v>815</v>
      </c>
      <c r="M1890" s="8">
        <v>8</v>
      </c>
      <c r="N1890" s="11">
        <v>0.375</v>
      </c>
      <c r="O1890" s="8">
        <v>0</v>
      </c>
      <c r="P1890" s="11">
        <v>2.75</v>
      </c>
      <c r="Q1890" s="11">
        <v>0.04968944099378882</v>
      </c>
      <c r="R1890" s="8" t="s">
        <v>799</v>
      </c>
      <c r="S1890" s="8" t="s">
        <v>796</v>
      </c>
      <c r="V1890" s="8" t="s">
        <v>803</v>
      </c>
      <c r="W1890" s="8">
        <v>12</v>
      </c>
      <c r="X1890" s="11">
        <v>0.5</v>
      </c>
      <c r="Y1890" s="8">
        <v>0</v>
      </c>
      <c r="Z1890" s="11">
        <v>2.416666666666667</v>
      </c>
      <c r="AA1890" s="11">
        <v>0.07272727272727272</v>
      </c>
      <c r="AB1890" s="8" t="s">
        <v>799</v>
      </c>
      <c r="AC1890" s="8" t="s">
        <v>796</v>
      </c>
      <c r="AF1890" s="8" t="s">
        <v>811</v>
      </c>
      <c r="AG1890" s="8">
        <v>10</v>
      </c>
      <c r="AH1890" s="11">
        <v>0.3</v>
      </c>
      <c r="AI1890" s="8">
        <v>0</v>
      </c>
      <c r="AJ1890" s="11">
        <v>2.4</v>
      </c>
      <c r="AK1890" s="11">
        <v>0.06097560975609756</v>
      </c>
      <c r="AL1890" s="8" t="s">
        <v>799</v>
      </c>
      <c r="AM1890" s="8" t="s">
        <v>796</v>
      </c>
    </row>
    <row r="1891" spans="1:39" ht="25" customHeight="1">
      <c r="A1891" s="12">
        <v>14</v>
      </c>
      <c r="B1891" s="8" t="s">
        <v>611</v>
      </c>
      <c r="C1891" s="8">
        <v>3</v>
      </c>
      <c r="D1891" s="11">
        <v>0.6666666666666666</v>
      </c>
      <c r="E1891" s="8">
        <v>0</v>
      </c>
      <c r="F1891" s="8">
        <v>5</v>
      </c>
      <c r="G1891" s="11">
        <v>0.01863354037267081</v>
      </c>
      <c r="H1891" s="8" t="s">
        <v>801</v>
      </c>
      <c r="I1891" s="8" t="s">
        <v>792</v>
      </c>
      <c r="L1891" s="8" t="s">
        <v>1406</v>
      </c>
      <c r="M1891" s="8">
        <v>1</v>
      </c>
      <c r="N1891" s="8">
        <v>0</v>
      </c>
      <c r="O1891" s="8">
        <v>0</v>
      </c>
      <c r="P1891" s="8">
        <v>5</v>
      </c>
      <c r="Q1891" s="11">
        <v>0.006211180124223602</v>
      </c>
      <c r="R1891" s="8" t="s">
        <v>791</v>
      </c>
      <c r="S1891" s="8" t="s">
        <v>1941</v>
      </c>
      <c r="V1891" s="8" t="s">
        <v>802</v>
      </c>
      <c r="W1891" s="8">
        <v>10</v>
      </c>
      <c r="X1891" s="11">
        <v>0.5</v>
      </c>
      <c r="Y1891" s="8">
        <v>0</v>
      </c>
      <c r="Z1891" s="11">
        <v>2.9</v>
      </c>
      <c r="AA1891" s="11">
        <v>0.06060606060606061</v>
      </c>
      <c r="AB1891" s="8" t="s">
        <v>799</v>
      </c>
      <c r="AC1891" s="8" t="s">
        <v>796</v>
      </c>
      <c r="AF1891" s="8" t="s">
        <v>222</v>
      </c>
      <c r="AG1891" s="8">
        <v>7</v>
      </c>
      <c r="AH1891" s="8">
        <v>0</v>
      </c>
      <c r="AI1891" s="8">
        <v>0</v>
      </c>
      <c r="AJ1891" s="11">
        <v>0.1428571428571428</v>
      </c>
      <c r="AK1891" s="11">
        <v>0.0426829268292683</v>
      </c>
      <c r="AL1891" s="8" t="s">
        <v>799</v>
      </c>
      <c r="AM1891" s="8" t="s">
        <v>792</v>
      </c>
    </row>
    <row r="1892" spans="1:39" ht="25" customHeight="1">
      <c r="A1892" s="12">
        <v>15</v>
      </c>
      <c r="B1892" s="8" t="s">
        <v>541</v>
      </c>
      <c r="C1892" s="8">
        <v>4</v>
      </c>
      <c r="D1892" s="11">
        <v>0.5</v>
      </c>
      <c r="E1892" s="8">
        <v>0</v>
      </c>
      <c r="F1892" s="8">
        <v>3</v>
      </c>
      <c r="G1892" s="11">
        <v>0.02484472049689441</v>
      </c>
      <c r="H1892" s="8" t="s">
        <v>795</v>
      </c>
      <c r="I1892" s="8" t="s">
        <v>792</v>
      </c>
      <c r="L1892" s="8" t="s">
        <v>49</v>
      </c>
      <c r="M1892" s="8">
        <v>8</v>
      </c>
      <c r="N1892" s="11">
        <v>0.5</v>
      </c>
      <c r="O1892" s="11">
        <v>0.375</v>
      </c>
      <c r="P1892" s="11">
        <v>13.25</v>
      </c>
      <c r="Q1892" s="11">
        <v>0.04968944099378882</v>
      </c>
      <c r="R1892" s="8" t="s">
        <v>799</v>
      </c>
      <c r="S1892" s="8" t="s">
        <v>796</v>
      </c>
      <c r="V1892" s="8" t="s">
        <v>877</v>
      </c>
      <c r="W1892" s="8">
        <v>3</v>
      </c>
      <c r="X1892" s="11">
        <v>0.3333333333333333</v>
      </c>
      <c r="Y1892" s="8">
        <v>0</v>
      </c>
      <c r="Z1892" s="11">
        <v>0.3333333333333333</v>
      </c>
      <c r="AA1892" s="11">
        <v>0.01818181818181818</v>
      </c>
      <c r="AB1892" s="8" t="s">
        <v>801</v>
      </c>
      <c r="AC1892" s="8" t="s">
        <v>792</v>
      </c>
      <c r="AF1892" s="8" t="s">
        <v>1170</v>
      </c>
      <c r="AG1892" s="8">
        <v>2</v>
      </c>
      <c r="AH1892" s="11">
        <v>0.5</v>
      </c>
      <c r="AI1892" s="11">
        <v>0.5</v>
      </c>
      <c r="AJ1892" s="11">
        <v>17.5</v>
      </c>
      <c r="AK1892" s="11">
        <v>0.01219512195121951</v>
      </c>
      <c r="AL1892" s="8" t="s">
        <v>791</v>
      </c>
      <c r="AM1892" s="8" t="s">
        <v>1941</v>
      </c>
    </row>
    <row r="1893" spans="1:39" ht="25" customHeight="1">
      <c r="A1893" s="12">
        <v>16</v>
      </c>
      <c r="B1893" s="8" t="s">
        <v>474</v>
      </c>
      <c r="C1893" s="8">
        <v>9</v>
      </c>
      <c r="D1893" s="11">
        <v>0.2222222222222222</v>
      </c>
      <c r="E1893" s="11">
        <v>0.1111111111111111</v>
      </c>
      <c r="F1893" s="8">
        <v>3</v>
      </c>
      <c r="G1893" s="11">
        <v>0.05590062111801242</v>
      </c>
      <c r="H1893" s="8" t="s">
        <v>799</v>
      </c>
      <c r="I1893" s="8" t="s">
        <v>796</v>
      </c>
      <c r="L1893" s="8" t="s">
        <v>1410</v>
      </c>
      <c r="M1893" s="8">
        <v>3</v>
      </c>
      <c r="N1893" s="11">
        <v>0.6666666666666666</v>
      </c>
      <c r="O1893" s="8">
        <v>0</v>
      </c>
      <c r="P1893" s="8">
        <v>5</v>
      </c>
      <c r="Q1893" s="11">
        <v>0.01863354037267081</v>
      </c>
      <c r="R1893" s="8" t="s">
        <v>801</v>
      </c>
      <c r="S1893" s="8" t="s">
        <v>792</v>
      </c>
      <c r="V1893" s="8" t="s">
        <v>1034</v>
      </c>
      <c r="W1893" s="8">
        <v>2</v>
      </c>
      <c r="X1893" s="11">
        <v>0.5</v>
      </c>
      <c r="Y1893" s="11">
        <v>0.5</v>
      </c>
      <c r="Z1893" s="8">
        <v>18</v>
      </c>
      <c r="AA1893" s="11">
        <v>0.01212121212121212</v>
      </c>
      <c r="AB1893" s="8" t="s">
        <v>791</v>
      </c>
      <c r="AC1893" s="8" t="s">
        <v>1941</v>
      </c>
    </row>
    <row r="1894" spans="1:39" ht="25" customHeight="1">
      <c r="A1894" s="12">
        <v>17</v>
      </c>
      <c r="B1894" s="8" t="s">
        <v>428</v>
      </c>
      <c r="C1894" s="8">
        <v>43</v>
      </c>
      <c r="D1894" s="11">
        <v>0.3953488372093023</v>
      </c>
      <c r="E1894" s="11">
        <v>0.04651162790697674</v>
      </c>
      <c r="F1894" s="11">
        <v>2.581395348837209</v>
      </c>
      <c r="G1894" s="11">
        <v>0.2670807453416149</v>
      </c>
      <c r="H1894" s="8" t="s">
        <v>799</v>
      </c>
      <c r="I1894" s="8" t="s">
        <v>804</v>
      </c>
      <c r="L1894" s="8" t="s">
        <v>1413</v>
      </c>
      <c r="M1894" s="8">
        <v>2</v>
      </c>
      <c r="N1894" s="11">
        <v>0.5</v>
      </c>
      <c r="O1894" s="8">
        <v>0</v>
      </c>
      <c r="P1894" s="11">
        <v>3.5</v>
      </c>
      <c r="Q1894" s="11">
        <v>0.0124223602484472</v>
      </c>
      <c r="R1894" s="8" t="s">
        <v>791</v>
      </c>
      <c r="S1894" s="8" t="s">
        <v>1941</v>
      </c>
      <c r="V1894" s="8" t="s">
        <v>175</v>
      </c>
      <c r="W1894" s="8">
        <v>2</v>
      </c>
      <c r="X1894" s="8">
        <v>0</v>
      </c>
      <c r="Y1894" s="8">
        <v>0</v>
      </c>
      <c r="Z1894" s="8">
        <v>3</v>
      </c>
      <c r="AA1894" s="11">
        <v>0.01212121212121212</v>
      </c>
      <c r="AB1894" s="8" t="s">
        <v>791</v>
      </c>
      <c r="AC1894" s="8" t="s">
        <v>1941</v>
      </c>
    </row>
    <row r="1895" spans="1:39" ht="25" customHeight="1">
      <c r="A1895" s="12">
        <v>18</v>
      </c>
      <c r="B1895" s="8" t="s">
        <v>574</v>
      </c>
      <c r="C1895" s="8">
        <v>5</v>
      </c>
      <c r="D1895" s="11">
        <v>0.6</v>
      </c>
      <c r="E1895" s="8">
        <v>0</v>
      </c>
      <c r="F1895" s="11">
        <v>2.6</v>
      </c>
      <c r="G1895" s="11">
        <v>0.03105590062111801</v>
      </c>
      <c r="H1895" s="8" t="s">
        <v>795</v>
      </c>
      <c r="I1895" s="8" t="s">
        <v>792</v>
      </c>
      <c r="L1895" s="8" t="s">
        <v>1416</v>
      </c>
      <c r="M1895" s="8">
        <v>3</v>
      </c>
      <c r="N1895" s="8">
        <v>0</v>
      </c>
      <c r="O1895" s="8">
        <v>0</v>
      </c>
      <c r="P1895" s="8">
        <v>0</v>
      </c>
      <c r="Q1895" s="11">
        <v>0.01863354037267081</v>
      </c>
      <c r="R1895" s="8" t="s">
        <v>801</v>
      </c>
      <c r="S1895" s="8" t="s">
        <v>792</v>
      </c>
      <c r="V1895" s="8" t="s">
        <v>1037</v>
      </c>
      <c r="W1895" s="8">
        <v>1</v>
      </c>
      <c r="X1895" s="8">
        <v>0</v>
      </c>
      <c r="Y1895" s="8">
        <v>0</v>
      </c>
      <c r="Z1895" s="8">
        <v>-1</v>
      </c>
      <c r="AA1895" s="11">
        <v>0.006060606060606061</v>
      </c>
      <c r="AB1895" s="8" t="s">
        <v>791</v>
      </c>
      <c r="AC1895" s="8" t="s">
        <v>1941</v>
      </c>
    </row>
    <row r="1896" spans="1:39" ht="25" customHeight="1">
      <c r="A1896" s="12">
        <v>19</v>
      </c>
      <c r="B1896" s="8" t="s">
        <v>452</v>
      </c>
      <c r="C1896" s="8">
        <v>5</v>
      </c>
      <c r="D1896" s="11">
        <v>0.6</v>
      </c>
      <c r="E1896" s="11">
        <v>0.4</v>
      </c>
      <c r="F1896" s="11">
        <v>8.4</v>
      </c>
      <c r="G1896" s="11">
        <v>0.03105590062111801</v>
      </c>
      <c r="H1896" s="8" t="s">
        <v>795</v>
      </c>
      <c r="I1896" s="8" t="s">
        <v>792</v>
      </c>
      <c r="L1896" s="8" t="s">
        <v>819</v>
      </c>
      <c r="M1896" s="8">
        <v>7</v>
      </c>
      <c r="N1896" s="11">
        <v>0.2857142857142857</v>
      </c>
      <c r="O1896" s="11">
        <v>0.1428571428571428</v>
      </c>
      <c r="P1896" s="11">
        <v>2.571428571428572</v>
      </c>
      <c r="Q1896" s="11">
        <v>0.04347826086956522</v>
      </c>
      <c r="R1896" s="8" t="s">
        <v>799</v>
      </c>
      <c r="S1896" s="8" t="s">
        <v>796</v>
      </c>
    </row>
    <row r="1897" spans="1:39" ht="25" customHeight="1">
      <c r="A1897" s="12">
        <v>20</v>
      </c>
      <c r="B1897" s="8" t="s">
        <v>800</v>
      </c>
      <c r="C1897" s="8">
        <v>5</v>
      </c>
      <c r="D1897" s="11">
        <v>0.2</v>
      </c>
      <c r="E1897" s="8">
        <v>0</v>
      </c>
      <c r="F1897" s="11">
        <v>2.6</v>
      </c>
      <c r="G1897" s="11">
        <v>0.03105590062111801</v>
      </c>
      <c r="H1897" s="8" t="s">
        <v>795</v>
      </c>
      <c r="I1897" s="8" t="s">
        <v>792</v>
      </c>
      <c r="L1897" s="8" t="s">
        <v>1420</v>
      </c>
      <c r="M1897" s="8">
        <v>2</v>
      </c>
      <c r="N1897" s="11">
        <v>0.5</v>
      </c>
      <c r="O1897" s="8">
        <v>0</v>
      </c>
      <c r="P1897" s="8">
        <v>1</v>
      </c>
      <c r="Q1897" s="11">
        <v>0.0124223602484472</v>
      </c>
      <c r="R1897" s="8" t="s">
        <v>791</v>
      </c>
      <c r="S1897" s="8" t="s">
        <v>1941</v>
      </c>
    </row>
    <row r="1898" spans="1:39" ht="25" customHeight="1">
      <c r="A1898" s="12">
        <v>21</v>
      </c>
      <c r="B1898" s="8" t="s">
        <v>878</v>
      </c>
      <c r="C1898" s="8">
        <v>7</v>
      </c>
      <c r="D1898" s="11">
        <v>0.5714285714285714</v>
      </c>
      <c r="E1898" s="11">
        <v>0.1428571428571428</v>
      </c>
      <c r="F1898" s="11">
        <v>7.714285714285714</v>
      </c>
      <c r="G1898" s="11">
        <v>0.04347826086956522</v>
      </c>
      <c r="H1898" s="8" t="s">
        <v>799</v>
      </c>
      <c r="I1898" s="8" t="s">
        <v>792</v>
      </c>
      <c r="L1898" s="8" t="s">
        <v>1422</v>
      </c>
      <c r="M1898" s="8">
        <v>3</v>
      </c>
      <c r="N1898" s="11">
        <v>0.6666666666666666</v>
      </c>
      <c r="O1898" s="8">
        <v>0</v>
      </c>
      <c r="P1898" s="11">
        <v>2.666666666666667</v>
      </c>
      <c r="Q1898" s="11">
        <v>0.01863354037267081</v>
      </c>
      <c r="R1898" s="8" t="s">
        <v>801</v>
      </c>
      <c r="S1898" s="8" t="s">
        <v>792</v>
      </c>
    </row>
    <row r="1899" spans="1:39" ht="25" customHeight="1">
      <c r="A1899" s="12">
        <v>22</v>
      </c>
      <c r="B1899" s="8" t="s">
        <v>480</v>
      </c>
      <c r="C1899" s="8">
        <v>1</v>
      </c>
      <c r="D1899" s="8">
        <v>0</v>
      </c>
      <c r="E1899" s="8">
        <v>0</v>
      </c>
      <c r="F1899" s="8">
        <v>-5</v>
      </c>
      <c r="G1899" s="11">
        <v>0.006211180124223602</v>
      </c>
      <c r="H1899" s="8" t="s">
        <v>791</v>
      </c>
      <c r="I1899" s="8" t="s">
        <v>1941</v>
      </c>
      <c r="L1899" s="8" t="s">
        <v>1424</v>
      </c>
      <c r="M1899" s="8">
        <v>1</v>
      </c>
      <c r="N1899" s="8">
        <v>1</v>
      </c>
      <c r="O1899" s="8">
        <v>0</v>
      </c>
      <c r="P1899" s="8">
        <v>7</v>
      </c>
      <c r="Q1899" s="11">
        <v>0.006211180124223602</v>
      </c>
      <c r="R1899" s="8" t="s">
        <v>791</v>
      </c>
      <c r="S1899" s="8" t="s">
        <v>1941</v>
      </c>
    </row>
    <row r="1900" spans="1:39" ht="25" customHeight="1">
      <c r="A1900" s="12">
        <v>23</v>
      </c>
      <c r="B1900" s="8" t="s">
        <v>443</v>
      </c>
      <c r="C1900" s="8">
        <v>2</v>
      </c>
      <c r="D1900" s="11">
        <v>0.5</v>
      </c>
      <c r="E1900" s="11">
        <v>0.5</v>
      </c>
      <c r="F1900" s="8">
        <v>11</v>
      </c>
      <c r="G1900" s="11">
        <v>0.0124223602484472</v>
      </c>
      <c r="H1900" s="8" t="s">
        <v>791</v>
      </c>
      <c r="I1900" s="8" t="s">
        <v>1941</v>
      </c>
      <c r="L1900" s="8" t="s">
        <v>1429</v>
      </c>
      <c r="M1900" s="8">
        <v>1</v>
      </c>
      <c r="N1900" s="8">
        <v>1</v>
      </c>
      <c r="O1900" s="8">
        <v>0</v>
      </c>
      <c r="P1900" s="8">
        <v>8</v>
      </c>
      <c r="Q1900" s="11">
        <v>0.006211180124223602</v>
      </c>
      <c r="R1900" s="8" t="s">
        <v>791</v>
      </c>
      <c r="S1900" s="8" t="s">
        <v>1941</v>
      </c>
    </row>
    <row r="1901" spans="1:39" ht="25" customHeight="1">
      <c r="A1901" s="12">
        <v>24</v>
      </c>
      <c r="B1901" s="8" t="s">
        <v>561</v>
      </c>
      <c r="C1901" s="8">
        <v>1</v>
      </c>
      <c r="D1901" s="8">
        <v>0</v>
      </c>
      <c r="E1901" s="8">
        <v>0</v>
      </c>
      <c r="F1901" s="8">
        <v>0</v>
      </c>
      <c r="G1901" s="11">
        <v>0.006211180124223602</v>
      </c>
      <c r="H1901" s="8" t="s">
        <v>791</v>
      </c>
      <c r="I1901" s="8" t="s">
        <v>1941</v>
      </c>
      <c r="L1901" s="8" t="s">
        <v>1431</v>
      </c>
      <c r="M1901" s="8">
        <v>2</v>
      </c>
      <c r="N1901" s="11">
        <v>0.5</v>
      </c>
      <c r="O1901" s="11">
        <v>0.5</v>
      </c>
      <c r="P1901" s="11">
        <v>7.5</v>
      </c>
      <c r="Q1901" s="11">
        <v>0.0124223602484472</v>
      </c>
      <c r="R1901" s="8" t="s">
        <v>791</v>
      </c>
      <c r="S1901" s="8" t="s">
        <v>1941</v>
      </c>
    </row>
    <row r="1902" spans="1:39" ht="25" customHeight="1">
      <c r="A1902" s="12">
        <v>25</v>
      </c>
      <c r="B1902" s="8" t="s">
        <v>446</v>
      </c>
      <c r="C1902" s="8">
        <v>5</v>
      </c>
      <c r="D1902" s="8">
        <v>0</v>
      </c>
      <c r="E1902" s="8">
        <v>0</v>
      </c>
      <c r="F1902" s="11">
        <v>1.4</v>
      </c>
      <c r="G1902" s="11">
        <v>0.03105590062111801</v>
      </c>
      <c r="H1902" s="8" t="s">
        <v>795</v>
      </c>
      <c r="I1902" s="8" t="s">
        <v>792</v>
      </c>
      <c r="L1902" s="8" t="s">
        <v>1433</v>
      </c>
      <c r="M1902" s="8">
        <v>1</v>
      </c>
      <c r="N1902" s="8">
        <v>0</v>
      </c>
      <c r="O1902" s="8">
        <v>0</v>
      </c>
      <c r="P1902" s="8">
        <v>1</v>
      </c>
      <c r="Q1902" s="11">
        <v>0.006211180124223602</v>
      </c>
      <c r="R1902" s="8" t="s">
        <v>791</v>
      </c>
      <c r="S1902" s="8" t="s">
        <v>1941</v>
      </c>
    </row>
    <row r="1903" spans="1:39" ht="25" customHeight="1">
      <c r="A1903" s="12">
        <v>26</v>
      </c>
      <c r="B1903" s="8" t="s">
        <v>957</v>
      </c>
      <c r="C1903" s="8">
        <v>1</v>
      </c>
      <c r="D1903" s="8">
        <v>0</v>
      </c>
      <c r="E1903" s="8">
        <v>0</v>
      </c>
      <c r="F1903" s="8">
        <v>1</v>
      </c>
      <c r="G1903" s="11">
        <v>0.006211180124223602</v>
      </c>
      <c r="H1903" s="8" t="s">
        <v>791</v>
      </c>
      <c r="I1903" s="8" t="s">
        <v>1941</v>
      </c>
      <c r="L1903" s="8" t="s">
        <v>1435</v>
      </c>
      <c r="M1903" s="8">
        <v>1</v>
      </c>
      <c r="N1903" s="8">
        <v>0</v>
      </c>
      <c r="O1903" s="8">
        <v>0</v>
      </c>
      <c r="P1903" s="8">
        <v>2</v>
      </c>
      <c r="Q1903" s="11">
        <v>0.006211180124223602</v>
      </c>
      <c r="R1903" s="8" t="s">
        <v>791</v>
      </c>
      <c r="S1903" s="8" t="s">
        <v>1941</v>
      </c>
    </row>
    <row r="1904" spans="1:39" ht="25" customHeight="1">
      <c r="A1904" s="12">
        <v>27</v>
      </c>
      <c r="B1904" s="8" t="s">
        <v>605</v>
      </c>
      <c r="C1904" s="8">
        <v>2</v>
      </c>
      <c r="D1904" s="8">
        <v>0</v>
      </c>
      <c r="E1904" s="8">
        <v>0</v>
      </c>
      <c r="F1904" s="8">
        <v>9</v>
      </c>
      <c r="G1904" s="11">
        <v>0.0124223602484472</v>
      </c>
      <c r="H1904" s="8" t="s">
        <v>791</v>
      </c>
      <c r="I1904" s="8" t="s">
        <v>1941</v>
      </c>
      <c r="L1904" s="8" t="s">
        <v>816</v>
      </c>
      <c r="M1904" s="8">
        <v>24</v>
      </c>
      <c r="N1904" s="11">
        <v>0.375</v>
      </c>
      <c r="O1904" s="8">
        <v>0</v>
      </c>
      <c r="P1904" s="11">
        <v>2.416666666666667</v>
      </c>
      <c r="Q1904" s="11">
        <v>0.1490683229813665</v>
      </c>
      <c r="R1904" s="8" t="s">
        <v>799</v>
      </c>
      <c r="S1904" s="8" t="s">
        <v>804</v>
      </c>
    </row>
    <row r="1905" spans="1:19" ht="25" customHeight="1">
      <c r="A1905" s="12">
        <v>28</v>
      </c>
      <c r="B1905" s="8" t="s">
        <v>1038</v>
      </c>
      <c r="C1905" s="8">
        <v>1</v>
      </c>
      <c r="D1905" s="8">
        <v>0</v>
      </c>
      <c r="E1905" s="8">
        <v>0</v>
      </c>
      <c r="F1905" s="8">
        <v>-1</v>
      </c>
      <c r="G1905" s="11">
        <v>0.006211180124223602</v>
      </c>
      <c r="H1905" s="8" t="s">
        <v>791</v>
      </c>
      <c r="I1905" s="8" t="s">
        <v>1941</v>
      </c>
      <c r="L1905" s="8" t="s">
        <v>1439</v>
      </c>
      <c r="M1905" s="8">
        <v>3</v>
      </c>
      <c r="N1905" s="11">
        <v>0.6666666666666666</v>
      </c>
      <c r="O1905" s="8">
        <v>0</v>
      </c>
      <c r="P1905" s="11">
        <v>5.333333333333333</v>
      </c>
      <c r="Q1905" s="11">
        <v>0.01863354037267081</v>
      </c>
      <c r="R1905" s="8" t="s">
        <v>801</v>
      </c>
      <c r="S1905" s="8" t="s">
        <v>792</v>
      </c>
    </row>
    <row r="1906" spans="1:19" ht="25" customHeight="1">
      <c r="A1906" s="12">
        <v>29</v>
      </c>
      <c r="L1906" s="8" t="s">
        <v>817</v>
      </c>
      <c r="M1906" s="8">
        <v>2</v>
      </c>
      <c r="N1906" s="8">
        <v>0</v>
      </c>
      <c r="O1906" s="8">
        <v>0</v>
      </c>
      <c r="P1906" s="11">
        <v>1.5</v>
      </c>
      <c r="Q1906" s="11">
        <v>0.0124223602484472</v>
      </c>
      <c r="R1906" s="8" t="s">
        <v>791</v>
      </c>
      <c r="S1906" s="8" t="s">
        <v>1941</v>
      </c>
    </row>
    <row r="1907" spans="1:19" ht="25" customHeight="1">
      <c r="A1907" s="12">
        <v>30</v>
      </c>
      <c r="L1907" s="8" t="s">
        <v>818</v>
      </c>
      <c r="M1907" s="8">
        <v>4</v>
      </c>
      <c r="N1907" s="11">
        <v>0.25</v>
      </c>
      <c r="O1907" s="8">
        <v>0</v>
      </c>
      <c r="P1907" s="11">
        <v>0.25</v>
      </c>
      <c r="Q1907" s="11">
        <v>0.02484472049689441</v>
      </c>
      <c r="R1907" s="8" t="s">
        <v>795</v>
      </c>
      <c r="S1907" s="8" t="s">
        <v>792</v>
      </c>
    </row>
    <row r="1908" spans="1:19" ht="25" customHeight="1">
      <c r="A1908" s="12">
        <v>31</v>
      </c>
      <c r="L1908" s="8" t="s">
        <v>1447</v>
      </c>
      <c r="M1908" s="8">
        <v>2</v>
      </c>
      <c r="N1908" s="8">
        <v>0</v>
      </c>
      <c r="O1908" s="8">
        <v>0</v>
      </c>
      <c r="P1908" s="8">
        <v>-2</v>
      </c>
      <c r="Q1908" s="11">
        <v>0.0124223602484472</v>
      </c>
      <c r="R1908" s="8" t="s">
        <v>791</v>
      </c>
      <c r="S1908" s="8" t="s">
        <v>1941</v>
      </c>
    </row>
    <row r="1909" spans="1:19" ht="25" customHeight="1">
      <c r="A1909" s="12">
        <v>32</v>
      </c>
      <c r="L1909" s="8" t="s">
        <v>823</v>
      </c>
      <c r="M1909" s="8">
        <v>7</v>
      </c>
      <c r="N1909" s="11">
        <v>0.2857142857142857</v>
      </c>
      <c r="O1909" s="11">
        <v>0.1428571428571428</v>
      </c>
      <c r="P1909" s="11">
        <v>3.428571428571428</v>
      </c>
      <c r="Q1909" s="11">
        <v>0.04347826086956522</v>
      </c>
      <c r="R1909" s="8" t="s">
        <v>799</v>
      </c>
      <c r="S1909" s="8" t="s">
        <v>796</v>
      </c>
    </row>
    <row r="1910" spans="1:19" ht="25" customHeight="1">
      <c r="A1910" s="12">
        <v>33</v>
      </c>
      <c r="L1910" s="8" t="s">
        <v>1451</v>
      </c>
      <c r="M1910" s="8">
        <v>2</v>
      </c>
      <c r="N1910" s="8">
        <v>1</v>
      </c>
      <c r="O1910" s="11">
        <v>0.5</v>
      </c>
      <c r="P1910" s="11">
        <v>18.5</v>
      </c>
      <c r="Q1910" s="11">
        <v>0.0124223602484472</v>
      </c>
      <c r="R1910" s="8" t="s">
        <v>791</v>
      </c>
      <c r="S1910" s="8" t="s">
        <v>1941</v>
      </c>
    </row>
    <row r="1911" spans="1:19" ht="25" customHeight="1">
      <c r="A1911" s="12">
        <v>34</v>
      </c>
      <c r="L1911" s="8" t="s">
        <v>1455</v>
      </c>
      <c r="M1911" s="8">
        <v>1</v>
      </c>
      <c r="N1911" s="8">
        <v>0</v>
      </c>
      <c r="O1911" s="8">
        <v>0</v>
      </c>
      <c r="P1911" s="8">
        <v>-5</v>
      </c>
      <c r="Q1911" s="11">
        <v>0.006211180124223602</v>
      </c>
      <c r="R1911" s="8" t="s">
        <v>791</v>
      </c>
      <c r="S1911" s="8" t="s">
        <v>1941</v>
      </c>
    </row>
    <row r="1912" spans="1:19" ht="25" customHeight="1">
      <c r="A1912" s="12">
        <v>35</v>
      </c>
      <c r="L1912" s="8" t="s">
        <v>1469</v>
      </c>
      <c r="M1912" s="8">
        <v>1</v>
      </c>
      <c r="N1912" s="8">
        <v>0</v>
      </c>
      <c r="O1912" s="8">
        <v>0</v>
      </c>
      <c r="P1912" s="8">
        <v>1</v>
      </c>
      <c r="Q1912" s="11">
        <v>0.006211180124223602</v>
      </c>
      <c r="R1912" s="8" t="s">
        <v>791</v>
      </c>
      <c r="S1912" s="8" t="s">
        <v>1941</v>
      </c>
    </row>
    <row r="1913" spans="1:19" ht="25" customHeight="1">
      <c r="A1913" s="12">
        <v>36</v>
      </c>
      <c r="L1913" s="8" t="s">
        <v>1474</v>
      </c>
      <c r="M1913" s="8">
        <v>1</v>
      </c>
      <c r="N1913" s="8">
        <v>0</v>
      </c>
      <c r="O1913" s="8">
        <v>0</v>
      </c>
      <c r="P1913" s="8">
        <v>1</v>
      </c>
      <c r="Q1913" s="11">
        <v>0.006211180124223602</v>
      </c>
      <c r="R1913" s="8" t="s">
        <v>791</v>
      </c>
      <c r="S1913" s="8" t="s">
        <v>1941</v>
      </c>
    </row>
    <row r="1914" spans="1:19" ht="25" customHeight="1">
      <c r="A1914" s="12">
        <v>37</v>
      </c>
      <c r="L1914" s="8" t="s">
        <v>1476</v>
      </c>
      <c r="M1914" s="8">
        <v>1</v>
      </c>
      <c r="N1914" s="8">
        <v>0</v>
      </c>
      <c r="O1914" s="8">
        <v>0</v>
      </c>
      <c r="P1914" s="8">
        <v>0</v>
      </c>
      <c r="Q1914" s="11">
        <v>0.006211180124223602</v>
      </c>
      <c r="R1914" s="8" t="s">
        <v>791</v>
      </c>
      <c r="S1914" s="8" t="s">
        <v>1941</v>
      </c>
    </row>
    <row r="1915" spans="1:19" ht="25" customHeight="1">
      <c r="A1915" s="12">
        <v>38</v>
      </c>
      <c r="L1915" s="8" t="s">
        <v>1478</v>
      </c>
      <c r="M1915" s="8">
        <v>1</v>
      </c>
      <c r="N1915" s="8">
        <v>1</v>
      </c>
      <c r="O1915" s="8">
        <v>0</v>
      </c>
      <c r="P1915" s="8">
        <v>4</v>
      </c>
      <c r="Q1915" s="11">
        <v>0.006211180124223602</v>
      </c>
      <c r="R1915" s="8" t="s">
        <v>791</v>
      </c>
      <c r="S1915" s="8" t="s">
        <v>1941</v>
      </c>
    </row>
    <row r="1916" spans="1:19" ht="25" customHeight="1">
      <c r="A1916" s="12">
        <v>39</v>
      </c>
      <c r="L1916" s="8" t="s">
        <v>1481</v>
      </c>
      <c r="M1916" s="8">
        <v>1</v>
      </c>
      <c r="N1916" s="8">
        <v>0</v>
      </c>
      <c r="O1916" s="8">
        <v>0</v>
      </c>
      <c r="P1916" s="8">
        <v>0</v>
      </c>
      <c r="Q1916" s="11">
        <v>0.006211180124223602</v>
      </c>
      <c r="R1916" s="8" t="s">
        <v>791</v>
      </c>
      <c r="S1916" s="8" t="s">
        <v>1941</v>
      </c>
    </row>
    <row r="1917" spans="1:19" ht="25" customHeight="1">
      <c r="A1917" s="12">
        <v>40</v>
      </c>
      <c r="L1917" s="8" t="s">
        <v>1483</v>
      </c>
      <c r="M1917" s="8">
        <v>1</v>
      </c>
      <c r="N1917" s="8">
        <v>0</v>
      </c>
      <c r="O1917" s="8">
        <v>0</v>
      </c>
      <c r="P1917" s="8">
        <v>1</v>
      </c>
      <c r="Q1917" s="11">
        <v>0.006211180124223602</v>
      </c>
      <c r="R1917" s="8" t="s">
        <v>791</v>
      </c>
      <c r="S1917" s="8" t="s">
        <v>1941</v>
      </c>
    </row>
    <row r="1918" spans="1:19" ht="25" customHeight="1">
      <c r="A1918" s="12">
        <v>41</v>
      </c>
      <c r="L1918" s="8" t="s">
        <v>1488</v>
      </c>
      <c r="M1918" s="8">
        <v>2</v>
      </c>
      <c r="N1918" s="11">
        <v>0.5</v>
      </c>
      <c r="O1918" s="8">
        <v>0</v>
      </c>
      <c r="P1918" s="8">
        <v>4</v>
      </c>
      <c r="Q1918" s="11">
        <v>0.0124223602484472</v>
      </c>
      <c r="R1918" s="8" t="s">
        <v>791</v>
      </c>
      <c r="S1918" s="8" t="s">
        <v>1941</v>
      </c>
    </row>
    <row r="1919" spans="1:19" ht="25" customHeight="1">
      <c r="A1919" s="12">
        <v>42</v>
      </c>
      <c r="L1919" s="8" t="s">
        <v>1491</v>
      </c>
      <c r="M1919" s="8">
        <v>2</v>
      </c>
      <c r="N1919" s="11">
        <v>0.5</v>
      </c>
      <c r="O1919" s="8">
        <v>0</v>
      </c>
      <c r="P1919" s="8">
        <v>0</v>
      </c>
      <c r="Q1919" s="11">
        <v>0.0124223602484472</v>
      </c>
      <c r="R1919" s="8" t="s">
        <v>791</v>
      </c>
      <c r="S1919" s="8" t="s">
        <v>1941</v>
      </c>
    </row>
    <row r="1920" spans="1:19" ht="25" customHeight="1">
      <c r="A1920" s="12">
        <v>43</v>
      </c>
      <c r="L1920" s="8" t="s">
        <v>1494</v>
      </c>
      <c r="M1920" s="8">
        <v>2</v>
      </c>
      <c r="N1920" s="8">
        <v>0</v>
      </c>
      <c r="O1920" s="8">
        <v>0</v>
      </c>
      <c r="P1920" s="8">
        <v>0</v>
      </c>
      <c r="Q1920" s="11">
        <v>0.0124223602484472</v>
      </c>
      <c r="R1920" s="8" t="s">
        <v>791</v>
      </c>
      <c r="S1920" s="8" t="s">
        <v>1941</v>
      </c>
    </row>
    <row r="1921" spans="1:19" ht="25" customHeight="1">
      <c r="A1921" s="12">
        <v>44</v>
      </c>
      <c r="L1921" s="8" t="s">
        <v>1496</v>
      </c>
      <c r="M1921" s="8">
        <v>1</v>
      </c>
      <c r="N1921" s="8">
        <v>0</v>
      </c>
      <c r="O1921" s="8">
        <v>0</v>
      </c>
      <c r="P1921" s="8">
        <v>-15</v>
      </c>
      <c r="Q1921" s="11">
        <v>0.006211180124223602</v>
      </c>
      <c r="R1921" s="8" t="s">
        <v>791</v>
      </c>
      <c r="S1921" s="8" t="s">
        <v>1941</v>
      </c>
    </row>
    <row r="1922" spans="1:19" ht="25" customHeight="1">
      <c r="A1922" s="12">
        <v>45</v>
      </c>
      <c r="L1922" s="8" t="s">
        <v>1499</v>
      </c>
      <c r="M1922" s="8">
        <v>1</v>
      </c>
      <c r="N1922" s="8">
        <v>1</v>
      </c>
      <c r="O1922" s="8">
        <v>0</v>
      </c>
      <c r="P1922" s="8">
        <v>13</v>
      </c>
      <c r="Q1922" s="11">
        <v>0.006211180124223602</v>
      </c>
      <c r="R1922" s="8" t="s">
        <v>791</v>
      </c>
      <c r="S1922" s="8" t="s">
        <v>1941</v>
      </c>
    </row>
    <row r="1923" spans="1:19" ht="25" customHeight="1">
      <c r="A1923" s="12">
        <v>46</v>
      </c>
      <c r="L1923" s="8" t="s">
        <v>1503</v>
      </c>
      <c r="M1923" s="8">
        <v>2</v>
      </c>
      <c r="N1923" s="8">
        <v>1</v>
      </c>
      <c r="O1923" s="8">
        <v>0</v>
      </c>
      <c r="P1923" s="8">
        <v>8</v>
      </c>
      <c r="Q1923" s="11">
        <v>0.0124223602484472</v>
      </c>
      <c r="R1923" s="8" t="s">
        <v>791</v>
      </c>
      <c r="S1923" s="8" t="s">
        <v>1941</v>
      </c>
    </row>
    <row r="1924" spans="1:19" ht="25" customHeight="1">
      <c r="A1924" s="12">
        <v>47</v>
      </c>
      <c r="L1924" s="8" t="s">
        <v>1506</v>
      </c>
      <c r="M1924" s="8">
        <v>1</v>
      </c>
      <c r="N1924" s="8">
        <v>0</v>
      </c>
      <c r="O1924" s="8">
        <v>0</v>
      </c>
      <c r="P1924" s="8">
        <v>2</v>
      </c>
      <c r="Q1924" s="11">
        <v>0.006211180124223602</v>
      </c>
      <c r="R1924" s="8" t="s">
        <v>791</v>
      </c>
      <c r="S1924" s="8" t="s">
        <v>1941</v>
      </c>
    </row>
    <row r="1925" spans="1:19" ht="25" customHeight="1">
      <c r="A1925" s="12">
        <v>48</v>
      </c>
      <c r="L1925" s="8" t="s">
        <v>1509</v>
      </c>
      <c r="M1925" s="8">
        <v>2</v>
      </c>
      <c r="N1925" s="11">
        <v>0.5</v>
      </c>
      <c r="O1925" s="8">
        <v>0</v>
      </c>
      <c r="P1925" s="11">
        <v>2.5</v>
      </c>
      <c r="Q1925" s="11">
        <v>0.0124223602484472</v>
      </c>
      <c r="R1925" s="8" t="s">
        <v>791</v>
      </c>
      <c r="S1925" s="8" t="s">
        <v>1941</v>
      </c>
    </row>
    <row r="1926" spans="1:19" ht="25" customHeight="1">
      <c r="A1926" s="12">
        <v>49</v>
      </c>
      <c r="L1926" s="8" t="s">
        <v>1516</v>
      </c>
      <c r="M1926" s="8">
        <v>1</v>
      </c>
      <c r="N1926" s="8">
        <v>0</v>
      </c>
      <c r="O1926" s="8">
        <v>0</v>
      </c>
      <c r="P1926" s="8">
        <v>0</v>
      </c>
      <c r="Q1926" s="11">
        <v>0.006211180124223602</v>
      </c>
      <c r="R1926" s="8" t="s">
        <v>791</v>
      </c>
      <c r="S1926" s="8" t="s">
        <v>1941</v>
      </c>
    </row>
    <row r="1927" spans="1:19" ht="25" customHeight="1">
      <c r="A1927" s="12">
        <v>50</v>
      </c>
      <c r="L1927" s="8" t="s">
        <v>1523</v>
      </c>
      <c r="M1927" s="8">
        <v>3</v>
      </c>
      <c r="N1927" s="11">
        <v>0.3333333333333333</v>
      </c>
      <c r="O1927" s="8">
        <v>0</v>
      </c>
      <c r="P1927" s="11">
        <v>11.66666666666667</v>
      </c>
      <c r="Q1927" s="11">
        <v>0.01863354037267081</v>
      </c>
      <c r="R1927" s="8" t="s">
        <v>801</v>
      </c>
      <c r="S1927" s="8" t="s">
        <v>792</v>
      </c>
    </row>
    <row r="1928" spans="1:19" ht="25" customHeight="1">
      <c r="A1928" s="12">
        <v>51</v>
      </c>
      <c r="L1928" s="8" t="s">
        <v>1528</v>
      </c>
      <c r="M1928" s="8">
        <v>1</v>
      </c>
      <c r="N1928" s="8">
        <v>1</v>
      </c>
      <c r="O1928" s="8">
        <v>0</v>
      </c>
      <c r="P1928" s="8">
        <v>11</v>
      </c>
      <c r="Q1928" s="11">
        <v>0.006211180124223602</v>
      </c>
      <c r="R1928" s="8" t="s">
        <v>791</v>
      </c>
      <c r="S1928" s="8" t="s">
        <v>1941</v>
      </c>
    </row>
    <row r="1929" spans="1:19" ht="25" customHeight="1">
      <c r="A1929" s="12">
        <v>52</v>
      </c>
      <c r="L1929" s="8" t="s">
        <v>1530</v>
      </c>
      <c r="M1929" s="8">
        <v>1</v>
      </c>
      <c r="N1929" s="8">
        <v>0</v>
      </c>
      <c r="O1929" s="8">
        <v>0</v>
      </c>
      <c r="P1929" s="8">
        <v>6</v>
      </c>
      <c r="Q1929" s="11">
        <v>0.006211180124223602</v>
      </c>
      <c r="R1929" s="8" t="s">
        <v>791</v>
      </c>
      <c r="S1929" s="8" t="s">
        <v>1941</v>
      </c>
    </row>
    <row r="1930" spans="1:19" ht="25" customHeight="1">
      <c r="A1930" s="12">
        <v>53</v>
      </c>
      <c r="L1930" s="8" t="s">
        <v>1533</v>
      </c>
      <c r="M1930" s="8">
        <v>1</v>
      </c>
      <c r="N1930" s="8">
        <v>0</v>
      </c>
      <c r="O1930" s="8">
        <v>0</v>
      </c>
      <c r="P1930" s="8">
        <v>-3</v>
      </c>
      <c r="Q1930" s="11">
        <v>0.006211180124223602</v>
      </c>
      <c r="R1930" s="8" t="s">
        <v>791</v>
      </c>
      <c r="S1930" s="8" t="s">
        <v>1941</v>
      </c>
    </row>
    <row r="1931" spans="1:19" ht="25" customHeight="1">
      <c r="A1931" s="12">
        <v>54</v>
      </c>
      <c r="L1931" s="8" t="s">
        <v>1536</v>
      </c>
      <c r="M1931" s="8">
        <v>1</v>
      </c>
      <c r="N1931" s="8">
        <v>0</v>
      </c>
      <c r="O1931" s="8">
        <v>0</v>
      </c>
      <c r="P1931" s="8">
        <v>0</v>
      </c>
      <c r="Q1931" s="11">
        <v>0.006211180124223602</v>
      </c>
      <c r="R1931" s="8" t="s">
        <v>791</v>
      </c>
      <c r="S1931" s="8" t="s">
        <v>1941</v>
      </c>
    </row>
    <row r="1932" spans="1:19" ht="25" customHeight="1">
      <c r="A1932" s="12">
        <v>55</v>
      </c>
      <c r="L1932" s="8" t="s">
        <v>1541</v>
      </c>
      <c r="M1932" s="8">
        <v>1</v>
      </c>
      <c r="N1932" s="8">
        <v>0</v>
      </c>
      <c r="O1932" s="8">
        <v>0</v>
      </c>
      <c r="P1932" s="8">
        <v>1</v>
      </c>
      <c r="Q1932" s="11">
        <v>0.006211180124223602</v>
      </c>
      <c r="R1932" s="8" t="s">
        <v>791</v>
      </c>
      <c r="S1932" s="8" t="s">
        <v>1941</v>
      </c>
    </row>
    <row r="1933" spans="1:19" ht="25" customHeight="1">
      <c r="A1933" s="12">
        <v>56</v>
      </c>
      <c r="L1933" s="8" t="s">
        <v>1544</v>
      </c>
      <c r="M1933" s="8">
        <v>1</v>
      </c>
      <c r="N1933" s="8">
        <v>1</v>
      </c>
      <c r="O1933" s="8">
        <v>1</v>
      </c>
      <c r="P1933" s="8">
        <v>34</v>
      </c>
      <c r="Q1933" s="11">
        <v>0.006211180124223602</v>
      </c>
      <c r="R1933" s="8" t="s">
        <v>791</v>
      </c>
      <c r="S1933" s="8" t="s">
        <v>1941</v>
      </c>
    </row>
    <row r="1934" spans="1:19" ht="25" customHeight="1">
      <c r="A1934" s="12">
        <v>57</v>
      </c>
      <c r="L1934" s="8" t="s">
        <v>1546</v>
      </c>
      <c r="M1934" s="8">
        <v>1</v>
      </c>
      <c r="N1934" s="8">
        <v>0</v>
      </c>
      <c r="O1934" s="8">
        <v>0</v>
      </c>
      <c r="P1934" s="8">
        <v>0</v>
      </c>
      <c r="Q1934" s="11">
        <v>0.006211180124223602</v>
      </c>
      <c r="R1934" s="8" t="s">
        <v>791</v>
      </c>
      <c r="S1934" s="8" t="s">
        <v>1941</v>
      </c>
    </row>
    <row r="1935" spans="1:19" ht="25" customHeight="1">
      <c r="A1935" s="12">
        <v>58</v>
      </c>
      <c r="L1935" s="8" t="s">
        <v>821</v>
      </c>
      <c r="M1935" s="8">
        <v>4</v>
      </c>
      <c r="N1935" s="11">
        <v>0.25</v>
      </c>
      <c r="O1935" s="11">
        <v>0.25</v>
      </c>
      <c r="P1935" s="11">
        <v>5.25</v>
      </c>
      <c r="Q1935" s="11">
        <v>0.02484472049689441</v>
      </c>
      <c r="R1935" s="8" t="s">
        <v>795</v>
      </c>
      <c r="S1935" s="8" t="s">
        <v>792</v>
      </c>
    </row>
    <row r="1936" spans="1:19" ht="25" customHeight="1">
      <c r="A1936" s="12">
        <v>59</v>
      </c>
      <c r="L1936" s="8" t="s">
        <v>1550</v>
      </c>
      <c r="M1936" s="8">
        <v>1</v>
      </c>
      <c r="N1936" s="8">
        <v>0</v>
      </c>
      <c r="O1936" s="8">
        <v>0</v>
      </c>
      <c r="P1936" s="8">
        <v>0</v>
      </c>
      <c r="Q1936" s="11">
        <v>0.006211180124223602</v>
      </c>
      <c r="R1936" s="8" t="s">
        <v>791</v>
      </c>
      <c r="S1936" s="8" t="s">
        <v>1941</v>
      </c>
    </row>
    <row r="1937" spans="1:19" ht="25" customHeight="1">
      <c r="A1937" s="12">
        <v>60</v>
      </c>
      <c r="L1937" s="8" t="s">
        <v>820</v>
      </c>
      <c r="M1937" s="8">
        <v>5</v>
      </c>
      <c r="N1937" s="8">
        <v>0</v>
      </c>
      <c r="O1937" s="8">
        <v>0</v>
      </c>
      <c r="P1937" s="11">
        <v>2.6</v>
      </c>
      <c r="Q1937" s="11">
        <v>0.03105590062111801</v>
      </c>
      <c r="R1937" s="8" t="s">
        <v>795</v>
      </c>
      <c r="S1937" s="8" t="s">
        <v>792</v>
      </c>
    </row>
    <row r="1938" spans="1:19" ht="25" customHeight="1">
      <c r="A1938" s="12">
        <v>61</v>
      </c>
      <c r="L1938" s="8" t="s">
        <v>1558</v>
      </c>
      <c r="M1938" s="8">
        <v>1</v>
      </c>
      <c r="N1938" s="8">
        <v>1</v>
      </c>
      <c r="O1938" s="8">
        <v>0</v>
      </c>
      <c r="P1938" s="8">
        <v>1</v>
      </c>
      <c r="Q1938" s="11">
        <v>0.006211180124223602</v>
      </c>
      <c r="R1938" s="8" t="s">
        <v>791</v>
      </c>
      <c r="S1938" s="8" t="s">
        <v>1941</v>
      </c>
    </row>
    <row r="1939" spans="1:19" ht="25" customHeight="1">
      <c r="A1939" s="12">
        <v>62</v>
      </c>
      <c r="L1939" s="8" t="s">
        <v>1566</v>
      </c>
      <c r="M1939" s="8">
        <v>1</v>
      </c>
      <c r="N1939" s="8">
        <v>0</v>
      </c>
      <c r="O1939" s="8">
        <v>0</v>
      </c>
      <c r="P1939" s="8">
        <v>1</v>
      </c>
      <c r="Q1939" s="11">
        <v>0.006211180124223602</v>
      </c>
      <c r="R1939" s="8" t="s">
        <v>791</v>
      </c>
      <c r="S1939" s="8" t="s">
        <v>1941</v>
      </c>
    </row>
    <row r="1940" spans="1:19" ht="25" customHeight="1">
      <c r="A1940" s="12">
        <v>63</v>
      </c>
      <c r="L1940" s="8" t="s">
        <v>1572</v>
      </c>
      <c r="M1940" s="8">
        <v>1</v>
      </c>
      <c r="N1940" s="8">
        <v>0</v>
      </c>
      <c r="O1940" s="8">
        <v>0</v>
      </c>
      <c r="P1940" s="8">
        <v>0</v>
      </c>
      <c r="Q1940" s="11">
        <v>0.006211180124223602</v>
      </c>
      <c r="R1940" s="8" t="s">
        <v>791</v>
      </c>
      <c r="S1940" s="8" t="s">
        <v>1941</v>
      </c>
    </row>
    <row r="1941" spans="1:19" ht="25" customHeight="1">
      <c r="A1941" s="12">
        <v>64</v>
      </c>
      <c r="L1941" s="8" t="s">
        <v>1579</v>
      </c>
      <c r="M1941" s="8">
        <v>1</v>
      </c>
      <c r="N1941" s="8">
        <v>0</v>
      </c>
      <c r="O1941" s="8">
        <v>0</v>
      </c>
      <c r="P1941" s="8">
        <v>0</v>
      </c>
      <c r="Q1941" s="11">
        <v>0.006211180124223602</v>
      </c>
      <c r="R1941" s="8" t="s">
        <v>791</v>
      </c>
      <c r="S1941" s="8" t="s">
        <v>1941</v>
      </c>
    </row>
    <row r="1942" spans="1:19" ht="25" customHeight="1">
      <c r="A1942" s="12">
        <v>65</v>
      </c>
      <c r="L1942" s="8" t="s">
        <v>1583</v>
      </c>
      <c r="M1942" s="8">
        <v>1</v>
      </c>
      <c r="N1942" s="8">
        <v>0</v>
      </c>
      <c r="O1942" s="8">
        <v>0</v>
      </c>
      <c r="P1942" s="8">
        <v>0</v>
      </c>
      <c r="Q1942" s="11">
        <v>0.006211180124223602</v>
      </c>
      <c r="R1942" s="8" t="s">
        <v>791</v>
      </c>
      <c r="S1942" s="8" t="s">
        <v>1941</v>
      </c>
    </row>
    <row r="1943" spans="1:19" ht="25" customHeight="1">
      <c r="A1943" s="12">
        <v>66</v>
      </c>
      <c r="L1943" s="8" t="s">
        <v>824</v>
      </c>
      <c r="M1943" s="8">
        <v>5</v>
      </c>
      <c r="N1943" s="11">
        <v>0.6</v>
      </c>
      <c r="O1943" s="11">
        <v>0.2</v>
      </c>
      <c r="P1943" s="11">
        <v>4.6</v>
      </c>
      <c r="Q1943" s="11">
        <v>0.03105590062111801</v>
      </c>
      <c r="R1943" s="8" t="s">
        <v>795</v>
      </c>
      <c r="S1943" s="8" t="s">
        <v>792</v>
      </c>
    </row>
    <row r="1944" spans="1:19" ht="25" customHeight="1">
      <c r="A1944" s="12">
        <v>67</v>
      </c>
      <c r="L1944" s="8" t="s">
        <v>1600</v>
      </c>
      <c r="M1944" s="8">
        <v>1</v>
      </c>
      <c r="N1944" s="8">
        <v>0</v>
      </c>
      <c r="O1944" s="8">
        <v>0</v>
      </c>
      <c r="P1944" s="8">
        <v>2</v>
      </c>
      <c r="Q1944" s="11">
        <v>0.006211180124223602</v>
      </c>
      <c r="R1944" s="8" t="s">
        <v>791</v>
      </c>
      <c r="S1944" s="8" t="s">
        <v>1941</v>
      </c>
    </row>
    <row r="1945" spans="1:19" ht="25" customHeight="1">
      <c r="A1945" s="12">
        <v>68</v>
      </c>
      <c r="L1945" s="8" t="s">
        <v>1619</v>
      </c>
      <c r="M1945" s="8">
        <v>1</v>
      </c>
      <c r="N1945" s="8">
        <v>0</v>
      </c>
      <c r="O1945" s="8">
        <v>0</v>
      </c>
      <c r="P1945" s="8">
        <v>0</v>
      </c>
      <c r="Q1945" s="11">
        <v>0.006211180124223602</v>
      </c>
      <c r="R1945" s="8" t="s">
        <v>791</v>
      </c>
      <c r="S1945" s="8" t="s">
        <v>1941</v>
      </c>
    </row>
    <row r="1946" spans="1:19" ht="25" customHeight="1">
      <c r="A1946" s="12">
        <v>69</v>
      </c>
      <c r="L1946" s="8" t="s">
        <v>1624</v>
      </c>
      <c r="M1946" s="8">
        <v>1</v>
      </c>
      <c r="N1946" s="8">
        <v>0</v>
      </c>
      <c r="O1946" s="8">
        <v>0</v>
      </c>
      <c r="P1946" s="8">
        <v>0</v>
      </c>
      <c r="Q1946" s="11">
        <v>0.006211180124223602</v>
      </c>
      <c r="R1946" s="8" t="s">
        <v>791</v>
      </c>
      <c r="S1946" s="8" t="s">
        <v>1941</v>
      </c>
    </row>
    <row r="1947" spans="1:19" ht="25" customHeight="1">
      <c r="A1947" s="12">
        <v>70</v>
      </c>
      <c r="L1947" s="8" t="s">
        <v>1629</v>
      </c>
      <c r="M1947" s="8">
        <v>1</v>
      </c>
      <c r="N1947" s="8">
        <v>0</v>
      </c>
      <c r="O1947" s="8">
        <v>0</v>
      </c>
      <c r="P1947" s="8">
        <v>10</v>
      </c>
      <c r="Q1947" s="11">
        <v>0.006211180124223602</v>
      </c>
      <c r="R1947" s="8" t="s">
        <v>791</v>
      </c>
      <c r="S1947" s="8" t="s">
        <v>1941</v>
      </c>
    </row>
    <row r="1948" spans="1:19" ht="25" customHeight="1">
      <c r="A1948" s="12">
        <v>71</v>
      </c>
      <c r="L1948" s="8" t="s">
        <v>1635</v>
      </c>
      <c r="M1948" s="8">
        <v>2</v>
      </c>
      <c r="N1948" s="11">
        <v>0.5</v>
      </c>
      <c r="O1948" s="8">
        <v>0</v>
      </c>
      <c r="P1948" s="11">
        <v>4.5</v>
      </c>
      <c r="Q1948" s="11">
        <v>0.0124223602484472</v>
      </c>
      <c r="R1948" s="8" t="s">
        <v>791</v>
      </c>
      <c r="S1948" s="8" t="s">
        <v>1941</v>
      </c>
    </row>
    <row r="1949" spans="1:19" ht="25" customHeight="1">
      <c r="A1949" s="12">
        <v>72</v>
      </c>
      <c r="L1949" s="8" t="s">
        <v>1638</v>
      </c>
      <c r="M1949" s="8">
        <v>1</v>
      </c>
      <c r="N1949" s="8">
        <v>0</v>
      </c>
      <c r="O1949" s="8">
        <v>0</v>
      </c>
      <c r="P1949" s="8">
        <v>9</v>
      </c>
      <c r="Q1949" s="11">
        <v>0.006211180124223602</v>
      </c>
      <c r="R1949" s="8" t="s">
        <v>791</v>
      </c>
      <c r="S1949" s="8" t="s">
        <v>1941</v>
      </c>
    </row>
    <row r="1950" spans="1:19" ht="25" customHeight="1">
      <c r="A1950" s="12">
        <v>73</v>
      </c>
      <c r="L1950" s="8" t="s">
        <v>1645</v>
      </c>
      <c r="M1950" s="8">
        <v>1</v>
      </c>
      <c r="N1950" s="8">
        <v>0</v>
      </c>
      <c r="O1950" s="8">
        <v>0</v>
      </c>
      <c r="P1950" s="8">
        <v>0</v>
      </c>
      <c r="Q1950" s="11">
        <v>0.006211180124223602</v>
      </c>
      <c r="R1950" s="8" t="s">
        <v>791</v>
      </c>
      <c r="S1950" s="8" t="s">
        <v>1941</v>
      </c>
    </row>
    <row r="1951" spans="1:19" ht="25" customHeight="1">
      <c r="A1951" s="12">
        <v>74</v>
      </c>
      <c r="L1951" s="8" t="s">
        <v>1648</v>
      </c>
      <c r="M1951" s="8">
        <v>1</v>
      </c>
      <c r="N1951" s="8">
        <v>0</v>
      </c>
      <c r="O1951" s="8">
        <v>0</v>
      </c>
      <c r="P1951" s="8">
        <v>3</v>
      </c>
      <c r="Q1951" s="11">
        <v>0.006211180124223602</v>
      </c>
      <c r="R1951" s="8" t="s">
        <v>791</v>
      </c>
      <c r="S1951" s="8" t="s">
        <v>1941</v>
      </c>
    </row>
    <row r="1952" spans="1:19" ht="25" customHeight="1">
      <c r="A1952" s="12">
        <v>75</v>
      </c>
      <c r="L1952" s="8" t="s">
        <v>1650</v>
      </c>
      <c r="M1952" s="8">
        <v>1</v>
      </c>
      <c r="N1952" s="8">
        <v>0</v>
      </c>
      <c r="O1952" s="8">
        <v>0</v>
      </c>
      <c r="P1952" s="8">
        <v>0</v>
      </c>
      <c r="Q1952" s="11">
        <v>0.006211180124223602</v>
      </c>
      <c r="R1952" s="8" t="s">
        <v>791</v>
      </c>
      <c r="S1952" s="8" t="s">
        <v>1941</v>
      </c>
    </row>
    <row r="1953" spans="1:19" ht="25" customHeight="1">
      <c r="A1953" s="12">
        <v>76</v>
      </c>
      <c r="L1953" s="8" t="s">
        <v>1655</v>
      </c>
      <c r="M1953" s="8">
        <v>1</v>
      </c>
      <c r="N1953" s="8">
        <v>0</v>
      </c>
      <c r="O1953" s="8">
        <v>0</v>
      </c>
      <c r="P1953" s="8">
        <v>-6</v>
      </c>
      <c r="Q1953" s="11">
        <v>0.006211180124223602</v>
      </c>
      <c r="R1953" s="8" t="s">
        <v>791</v>
      </c>
      <c r="S1953" s="8" t="s">
        <v>1941</v>
      </c>
    </row>
    <row r="1954" spans="1:19" ht="25" customHeight="1">
      <c r="A1954" s="12">
        <v>77</v>
      </c>
      <c r="L1954" s="8" t="s">
        <v>1660</v>
      </c>
      <c r="M1954" s="8">
        <v>1</v>
      </c>
      <c r="N1954" s="8">
        <v>0</v>
      </c>
      <c r="O1954" s="8">
        <v>0</v>
      </c>
      <c r="P1954" s="8">
        <v>0</v>
      </c>
      <c r="Q1954" s="11">
        <v>0.006211180124223602</v>
      </c>
      <c r="R1954" s="8" t="s">
        <v>791</v>
      </c>
      <c r="S1954" s="8" t="s">
        <v>1941</v>
      </c>
    </row>
    <row r="1955" spans="1:19" ht="25" customHeight="1">
      <c r="A1955" s="12">
        <v>78</v>
      </c>
      <c r="L1955" s="8" t="s">
        <v>1662</v>
      </c>
      <c r="M1955" s="8">
        <v>1</v>
      </c>
      <c r="N1955" s="8">
        <v>1</v>
      </c>
      <c r="O1955" s="8">
        <v>0</v>
      </c>
      <c r="P1955" s="8">
        <v>5</v>
      </c>
      <c r="Q1955" s="11">
        <v>0.006211180124223602</v>
      </c>
      <c r="R1955" s="8" t="s">
        <v>791</v>
      </c>
      <c r="S1955" s="8" t="s">
        <v>1941</v>
      </c>
    </row>
    <row r="1956" spans="1:19" ht="25" customHeight="1">
      <c r="A1956" s="12">
        <v>79</v>
      </c>
      <c r="L1956" s="8" t="s">
        <v>1684</v>
      </c>
      <c r="M1956" s="8">
        <v>1</v>
      </c>
      <c r="N1956" s="8">
        <v>0</v>
      </c>
      <c r="O1956" s="8">
        <v>0</v>
      </c>
      <c r="P1956" s="8">
        <v>-1</v>
      </c>
      <c r="Q1956" s="11">
        <v>0.006211180124223602</v>
      </c>
      <c r="R1956" s="8" t="s">
        <v>791</v>
      </c>
      <c r="S1956" s="8" t="s">
        <v>1941</v>
      </c>
    </row>
    <row r="1957" spans="1:19" ht="25" customHeight="1">
      <c r="A1957" s="12">
        <v>80</v>
      </c>
      <c r="L1957" s="8" t="s">
        <v>1687</v>
      </c>
      <c r="M1957" s="8">
        <v>1</v>
      </c>
      <c r="N1957" s="8">
        <v>0</v>
      </c>
      <c r="O1957" s="8">
        <v>0</v>
      </c>
      <c r="P1957" s="8">
        <v>0</v>
      </c>
      <c r="Q1957" s="11">
        <v>0.006211180124223602</v>
      </c>
      <c r="R1957" s="8" t="s">
        <v>791</v>
      </c>
      <c r="S1957" s="8" t="s">
        <v>1941</v>
      </c>
    </row>
    <row r="1958" spans="1:19" ht="25" customHeight="1">
      <c r="A1958" s="12">
        <v>1011</v>
      </c>
      <c r="B1958" s="8" t="s">
        <v>1942</v>
      </c>
    </row>
    <row r="1959" spans="1:19" ht="25" customHeight="1">
      <c r="A1959" s="12">
        <v>1012</v>
      </c>
      <c r="B1959" s="8" t="s">
        <v>1943</v>
      </c>
    </row>
    <row r="1960" spans="1:19" ht="25" customHeight="1">
      <c r="A1960" s="12">
        <v>1013</v>
      </c>
      <c r="B1960" s="8" t="s">
        <v>1944</v>
      </c>
    </row>
    <row r="1966" spans="1:19" ht="27" customHeight="1">
      <c r="A1966" s="5" t="s">
        <v>1945</v>
      </c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</row>
    <row r="1967" spans="1:19" ht="36" customHeight="1">
      <c r="A1967" s="9" t="s">
        <v>683</v>
      </c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</row>
    <row r="1968" spans="1:19" ht="25" customHeight="1">
      <c r="A1968" s="6" t="s">
        <v>684</v>
      </c>
    </row>
    <row r="1969" spans="1:13" ht="25" customHeight="1">
      <c r="A1969" s="12">
        <v>1</v>
      </c>
      <c r="B1969" s="8" t="s">
        <v>687</v>
      </c>
      <c r="C1969" s="8" t="s">
        <v>688</v>
      </c>
      <c r="D1969" s="8" t="s">
        <v>781</v>
      </c>
      <c r="E1969" s="8" t="s">
        <v>782</v>
      </c>
      <c r="F1969" s="8" t="s">
        <v>783</v>
      </c>
      <c r="G1969" s="8" t="s">
        <v>784</v>
      </c>
      <c r="H1969" s="8" t="s">
        <v>785</v>
      </c>
      <c r="I1969" s="8" t="s">
        <v>690</v>
      </c>
      <c r="J1969" s="8" t="s">
        <v>786</v>
      </c>
      <c r="K1969" s="8" t="s">
        <v>1940</v>
      </c>
      <c r="L1969" s="8" t="s">
        <v>1946</v>
      </c>
      <c r="M1969" s="8" t="s">
        <v>1947</v>
      </c>
    </row>
    <row r="1970" spans="1:13" ht="25" customHeight="1">
      <c r="A1970" s="12">
        <v>2</v>
      </c>
      <c r="B1970" s="8">
        <v>0</v>
      </c>
      <c r="C1970" s="8" t="s">
        <v>115</v>
      </c>
      <c r="D1970" s="8" t="s">
        <v>449</v>
      </c>
      <c r="E1970" s="8">
        <v>3</v>
      </c>
      <c r="F1970" s="11">
        <v>0.3333333333333333</v>
      </c>
      <c r="G1970" s="8">
        <v>0</v>
      </c>
      <c r="H1970" s="11">
        <v>4.666666666666667</v>
      </c>
      <c r="I1970" s="11">
        <v>0.08333333333333333</v>
      </c>
      <c r="J1970" s="8" t="s">
        <v>801</v>
      </c>
      <c r="K1970" s="8" t="s">
        <v>792</v>
      </c>
      <c r="L1970" s="8">
        <v>3</v>
      </c>
      <c r="M1970" s="8">
        <v>1</v>
      </c>
    </row>
    <row r="1971" spans="1:13" ht="25" customHeight="1">
      <c r="A1971" s="12">
        <v>3</v>
      </c>
      <c r="B1971" s="8">
        <v>0</v>
      </c>
      <c r="C1971" s="8" t="s">
        <v>115</v>
      </c>
      <c r="D1971" s="8" t="s">
        <v>465</v>
      </c>
      <c r="E1971" s="8">
        <v>8</v>
      </c>
      <c r="F1971" s="11">
        <v>0.375</v>
      </c>
      <c r="G1971" s="8">
        <v>0</v>
      </c>
      <c r="H1971" s="8">
        <v>2</v>
      </c>
      <c r="I1971" s="11">
        <v>0.2222222222222222</v>
      </c>
      <c r="J1971" s="8" t="s">
        <v>799</v>
      </c>
      <c r="K1971" s="8" t="s">
        <v>804</v>
      </c>
      <c r="L1971" s="8">
        <v>4</v>
      </c>
      <c r="M1971" s="8">
        <v>2</v>
      </c>
    </row>
    <row r="1972" spans="1:13" ht="25" customHeight="1">
      <c r="A1972" s="12">
        <v>4</v>
      </c>
      <c r="B1972" s="8">
        <v>0</v>
      </c>
      <c r="C1972" s="8" t="s">
        <v>115</v>
      </c>
      <c r="D1972" s="8" t="s">
        <v>471</v>
      </c>
      <c r="E1972" s="8">
        <v>1</v>
      </c>
      <c r="F1972" s="8">
        <v>0</v>
      </c>
      <c r="G1972" s="8">
        <v>0</v>
      </c>
      <c r="H1972" s="8">
        <v>5</v>
      </c>
      <c r="I1972" s="11">
        <v>0.02777777777777778</v>
      </c>
      <c r="J1972" s="8" t="s">
        <v>791</v>
      </c>
      <c r="K1972" s="8" t="s">
        <v>1941</v>
      </c>
      <c r="L1972" s="8">
        <v>7</v>
      </c>
    </row>
    <row r="1973" spans="1:13" ht="25" customHeight="1">
      <c r="A1973" s="12">
        <v>5</v>
      </c>
      <c r="B1973" s="8">
        <v>0</v>
      </c>
      <c r="C1973" s="8" t="s">
        <v>115</v>
      </c>
      <c r="D1973" s="8" t="s">
        <v>468</v>
      </c>
      <c r="E1973" s="8">
        <v>2</v>
      </c>
      <c r="F1973" s="11">
        <v>0.5</v>
      </c>
      <c r="G1973" s="11">
        <v>0.5</v>
      </c>
      <c r="H1973" s="11">
        <v>7.5</v>
      </c>
      <c r="I1973" s="11">
        <v>0.05555555555555555</v>
      </c>
      <c r="J1973" s="8" t="s">
        <v>791</v>
      </c>
      <c r="K1973" s="8" t="s">
        <v>792</v>
      </c>
      <c r="L1973" s="8">
        <v>8</v>
      </c>
      <c r="M1973" s="8">
        <v>3</v>
      </c>
    </row>
    <row r="1974" spans="1:13" ht="25" customHeight="1">
      <c r="A1974" s="12">
        <v>6</v>
      </c>
      <c r="B1974" s="8">
        <v>0</v>
      </c>
      <c r="C1974" s="8" t="s">
        <v>115</v>
      </c>
      <c r="D1974" s="8" t="s">
        <v>611</v>
      </c>
      <c r="E1974" s="8">
        <v>1</v>
      </c>
      <c r="F1974" s="8">
        <v>0</v>
      </c>
      <c r="G1974" s="8">
        <v>0</v>
      </c>
      <c r="H1974" s="8">
        <v>-2</v>
      </c>
      <c r="I1974" s="11">
        <v>0.02777777777777778</v>
      </c>
      <c r="J1974" s="8" t="s">
        <v>791</v>
      </c>
      <c r="K1974" s="8" t="s">
        <v>1941</v>
      </c>
      <c r="L1974" s="8">
        <v>9</v>
      </c>
    </row>
    <row r="1975" spans="1:13" ht="25" customHeight="1">
      <c r="A1975" s="12">
        <v>7</v>
      </c>
      <c r="B1975" s="8">
        <v>0</v>
      </c>
      <c r="C1975" s="8" t="s">
        <v>115</v>
      </c>
      <c r="D1975" s="8" t="s">
        <v>541</v>
      </c>
      <c r="E1975" s="8">
        <v>1</v>
      </c>
      <c r="F1975" s="8">
        <v>1</v>
      </c>
      <c r="G1975" s="8">
        <v>0</v>
      </c>
      <c r="H1975" s="8">
        <v>6</v>
      </c>
      <c r="I1975" s="11">
        <v>0.02777777777777778</v>
      </c>
      <c r="J1975" s="8" t="s">
        <v>791</v>
      </c>
      <c r="K1975" s="8" t="s">
        <v>1941</v>
      </c>
      <c r="L1975" s="8">
        <v>10</v>
      </c>
    </row>
    <row r="1976" spans="1:13" ht="25" customHeight="1">
      <c r="A1976" s="12">
        <v>8</v>
      </c>
      <c r="B1976" s="8">
        <v>0</v>
      </c>
      <c r="C1976" s="8" t="s">
        <v>115</v>
      </c>
      <c r="D1976" s="8" t="s">
        <v>474</v>
      </c>
      <c r="E1976" s="8">
        <v>1</v>
      </c>
      <c r="F1976" s="8">
        <v>0</v>
      </c>
      <c r="G1976" s="8">
        <v>0</v>
      </c>
      <c r="H1976" s="8">
        <v>0</v>
      </c>
      <c r="I1976" s="11">
        <v>0.02777777777777778</v>
      </c>
      <c r="J1976" s="8" t="s">
        <v>791</v>
      </c>
      <c r="K1976" s="8" t="s">
        <v>1941</v>
      </c>
      <c r="L1976" s="8">
        <v>12</v>
      </c>
    </row>
    <row r="1977" spans="1:13" ht="25" customHeight="1">
      <c r="A1977" s="12">
        <v>9</v>
      </c>
      <c r="B1977" s="8">
        <v>0</v>
      </c>
      <c r="C1977" s="8" t="s">
        <v>115</v>
      </c>
      <c r="D1977" s="8" t="s">
        <v>428</v>
      </c>
      <c r="E1977" s="8">
        <v>10</v>
      </c>
      <c r="F1977" s="11">
        <v>0.4</v>
      </c>
      <c r="G1977" s="11">
        <v>0.1</v>
      </c>
      <c r="H1977" s="11">
        <v>3.5</v>
      </c>
      <c r="I1977" s="11">
        <v>0.2777777777777778</v>
      </c>
      <c r="J1977" s="8" t="s">
        <v>799</v>
      </c>
      <c r="K1977" s="8" t="s">
        <v>804</v>
      </c>
      <c r="L1977" s="8">
        <v>13</v>
      </c>
      <c r="M1977" s="8">
        <v>4</v>
      </c>
    </row>
    <row r="1978" spans="1:13" ht="25" customHeight="1">
      <c r="A1978" s="12">
        <v>10</v>
      </c>
      <c r="B1978" s="8">
        <v>0</v>
      </c>
      <c r="C1978" s="8" t="s">
        <v>115</v>
      </c>
      <c r="D1978" s="8" t="s">
        <v>574</v>
      </c>
      <c r="E1978" s="8">
        <v>2</v>
      </c>
      <c r="F1978" s="11">
        <v>0.5</v>
      </c>
      <c r="G1978" s="8">
        <v>0</v>
      </c>
      <c r="H1978" s="8">
        <v>4</v>
      </c>
      <c r="I1978" s="11">
        <v>0.05555555555555555</v>
      </c>
      <c r="J1978" s="8" t="s">
        <v>791</v>
      </c>
      <c r="K1978" s="8" t="s">
        <v>792</v>
      </c>
      <c r="L1978" s="8">
        <v>14</v>
      </c>
      <c r="M1978" s="8">
        <v>5</v>
      </c>
    </row>
    <row r="1979" spans="1:13" ht="25" customHeight="1">
      <c r="A1979" s="12">
        <v>11</v>
      </c>
      <c r="B1979" s="8">
        <v>0</v>
      </c>
      <c r="C1979" s="8" t="s">
        <v>115</v>
      </c>
      <c r="D1979" s="8" t="s">
        <v>452</v>
      </c>
      <c r="E1979" s="8">
        <v>2</v>
      </c>
      <c r="F1979" s="8">
        <v>1</v>
      </c>
      <c r="G1979" s="11">
        <v>0.5</v>
      </c>
      <c r="H1979" s="11">
        <v>9.5</v>
      </c>
      <c r="I1979" s="11">
        <v>0.05555555555555555</v>
      </c>
      <c r="J1979" s="8" t="s">
        <v>791</v>
      </c>
      <c r="K1979" s="8" t="s">
        <v>792</v>
      </c>
      <c r="L1979" s="8">
        <v>15</v>
      </c>
      <c r="M1979" s="8">
        <v>6</v>
      </c>
    </row>
    <row r="1980" spans="1:13" ht="25" customHeight="1">
      <c r="A1980" s="12">
        <v>12</v>
      </c>
      <c r="B1980" s="8">
        <v>0</v>
      </c>
      <c r="C1980" s="8" t="s">
        <v>115</v>
      </c>
      <c r="D1980" s="8" t="s">
        <v>800</v>
      </c>
      <c r="E1980" s="8">
        <v>3</v>
      </c>
      <c r="F1980" s="8">
        <v>0</v>
      </c>
      <c r="G1980" s="8">
        <v>0</v>
      </c>
      <c r="H1980" s="11">
        <v>1.666666666666667</v>
      </c>
      <c r="I1980" s="11">
        <v>0.08333333333333333</v>
      </c>
      <c r="J1980" s="8" t="s">
        <v>801</v>
      </c>
      <c r="K1980" s="8" t="s">
        <v>792</v>
      </c>
      <c r="L1980" s="8">
        <v>21</v>
      </c>
      <c r="M1980" s="8">
        <v>7</v>
      </c>
    </row>
    <row r="1981" spans="1:13" ht="25" customHeight="1">
      <c r="A1981" s="12">
        <v>13</v>
      </c>
      <c r="B1981" s="8">
        <v>0</v>
      </c>
      <c r="C1981" s="8" t="s">
        <v>115</v>
      </c>
      <c r="D1981" s="8" t="s">
        <v>878</v>
      </c>
      <c r="E1981" s="8">
        <v>1</v>
      </c>
      <c r="F1981" s="8">
        <v>1</v>
      </c>
      <c r="G1981" s="8">
        <v>0</v>
      </c>
      <c r="H1981" s="8">
        <v>1</v>
      </c>
      <c r="I1981" s="11">
        <v>0.02777777777777778</v>
      </c>
      <c r="J1981" s="8" t="s">
        <v>791</v>
      </c>
      <c r="K1981" s="8" t="s">
        <v>1941</v>
      </c>
      <c r="L1981" s="8">
        <v>32</v>
      </c>
    </row>
    <row r="1982" spans="1:13" ht="25" customHeight="1">
      <c r="A1982" s="12">
        <v>14</v>
      </c>
      <c r="B1982" s="8">
        <v>0</v>
      </c>
      <c r="C1982" s="8" t="s">
        <v>115</v>
      </c>
      <c r="D1982" s="8" t="s">
        <v>480</v>
      </c>
      <c r="E1982" s="8">
        <v>1</v>
      </c>
      <c r="F1982" s="8">
        <v>0</v>
      </c>
      <c r="G1982" s="8">
        <v>0</v>
      </c>
      <c r="H1982" s="8">
        <v>-5</v>
      </c>
      <c r="I1982" s="11">
        <v>0.02777777777777778</v>
      </c>
      <c r="J1982" s="8" t="s">
        <v>791</v>
      </c>
      <c r="K1982" s="8" t="s">
        <v>1941</v>
      </c>
      <c r="L1982" s="8">
        <v>36</v>
      </c>
    </row>
    <row r="1983" spans="1:13" ht="25" customHeight="1">
      <c r="A1983" s="12">
        <v>15</v>
      </c>
      <c r="B1983" s="8">
        <v>1</v>
      </c>
      <c r="C1983" s="8" t="s">
        <v>711</v>
      </c>
      <c r="D1983" s="8" t="s">
        <v>465</v>
      </c>
      <c r="E1983" s="8">
        <v>1</v>
      </c>
      <c r="F1983" s="8">
        <v>0</v>
      </c>
      <c r="G1983" s="8">
        <v>0</v>
      </c>
      <c r="H1983" s="8">
        <v>-2</v>
      </c>
      <c r="I1983" s="11">
        <v>0.3333333333333333</v>
      </c>
      <c r="J1983" s="8" t="s">
        <v>791</v>
      </c>
      <c r="K1983" s="8" t="s">
        <v>796</v>
      </c>
      <c r="L1983" s="8">
        <v>40</v>
      </c>
    </row>
    <row r="1984" spans="1:13" ht="25" customHeight="1">
      <c r="A1984" s="12">
        <v>16</v>
      </c>
      <c r="B1984" s="8">
        <v>1</v>
      </c>
      <c r="C1984" s="8" t="s">
        <v>716</v>
      </c>
      <c r="D1984" s="8" t="s">
        <v>474</v>
      </c>
      <c r="E1984" s="8">
        <v>2</v>
      </c>
      <c r="F1984" s="11">
        <v>0.5</v>
      </c>
      <c r="G1984" s="8">
        <v>0</v>
      </c>
      <c r="H1984" s="8">
        <v>4</v>
      </c>
      <c r="I1984" s="11">
        <v>0.07692307692307693</v>
      </c>
      <c r="J1984" s="8" t="s">
        <v>791</v>
      </c>
      <c r="K1984" s="8" t="s">
        <v>792</v>
      </c>
      <c r="L1984" s="8">
        <v>41</v>
      </c>
      <c r="M1984" s="8">
        <v>8</v>
      </c>
    </row>
    <row r="1985" spans="1:13" ht="25" customHeight="1">
      <c r="A1985" s="12">
        <v>17</v>
      </c>
      <c r="B1985" s="8">
        <v>1</v>
      </c>
      <c r="C1985" s="8" t="s">
        <v>716</v>
      </c>
      <c r="D1985" s="8" t="s">
        <v>428</v>
      </c>
      <c r="E1985" s="8">
        <v>9</v>
      </c>
      <c r="F1985" s="11">
        <v>0.2222222222222222</v>
      </c>
      <c r="G1985" s="8">
        <v>0</v>
      </c>
      <c r="H1985" s="11">
        <v>1.777777777777778</v>
      </c>
      <c r="I1985" s="11">
        <v>0.3461538461538461</v>
      </c>
      <c r="J1985" s="8" t="s">
        <v>799</v>
      </c>
      <c r="K1985" s="8" t="s">
        <v>804</v>
      </c>
      <c r="L1985" s="8">
        <v>42</v>
      </c>
      <c r="M1985" s="8">
        <v>9</v>
      </c>
    </row>
    <row r="1986" spans="1:13" ht="25" customHeight="1">
      <c r="A1986" s="12">
        <v>18</v>
      </c>
      <c r="B1986" s="8">
        <v>1</v>
      </c>
      <c r="C1986" s="8" t="s">
        <v>716</v>
      </c>
      <c r="D1986" s="8" t="s">
        <v>465</v>
      </c>
      <c r="E1986" s="8">
        <v>3</v>
      </c>
      <c r="F1986" s="11">
        <v>0.6666666666666666</v>
      </c>
      <c r="G1986" s="8">
        <v>0</v>
      </c>
      <c r="H1986" s="11">
        <v>4.666666666666667</v>
      </c>
      <c r="I1986" s="11">
        <v>0.1153846153846154</v>
      </c>
      <c r="J1986" s="8" t="s">
        <v>801</v>
      </c>
      <c r="K1986" s="8" t="s">
        <v>792</v>
      </c>
      <c r="L1986" s="8">
        <v>43</v>
      </c>
      <c r="M1986" s="8">
        <v>10</v>
      </c>
    </row>
    <row r="1987" spans="1:13" ht="25" customHeight="1">
      <c r="A1987" s="12">
        <v>19</v>
      </c>
      <c r="B1987" s="8">
        <v>1</v>
      </c>
      <c r="C1987" s="8" t="s">
        <v>716</v>
      </c>
      <c r="D1987" s="8" t="s">
        <v>611</v>
      </c>
      <c r="E1987" s="8">
        <v>1</v>
      </c>
      <c r="F1987" s="8">
        <v>1</v>
      </c>
      <c r="G1987" s="8">
        <v>0</v>
      </c>
      <c r="H1987" s="8">
        <v>9</v>
      </c>
      <c r="I1987" s="11">
        <v>0.03846153846153846</v>
      </c>
      <c r="J1987" s="8" t="s">
        <v>791</v>
      </c>
      <c r="K1987" s="8" t="s">
        <v>1941</v>
      </c>
      <c r="L1987" s="8">
        <v>44</v>
      </c>
    </row>
    <row r="1988" spans="1:13" ht="25" customHeight="1">
      <c r="A1988" s="12">
        <v>20</v>
      </c>
      <c r="B1988" s="8">
        <v>1</v>
      </c>
      <c r="C1988" s="8" t="s">
        <v>716</v>
      </c>
      <c r="D1988" s="8" t="s">
        <v>443</v>
      </c>
      <c r="E1988" s="8">
        <v>1</v>
      </c>
      <c r="F1988" s="8">
        <v>0</v>
      </c>
      <c r="G1988" s="8">
        <v>0</v>
      </c>
      <c r="H1988" s="8">
        <v>1</v>
      </c>
      <c r="I1988" s="11">
        <v>0.03846153846153846</v>
      </c>
      <c r="J1988" s="8" t="s">
        <v>791</v>
      </c>
      <c r="K1988" s="8" t="s">
        <v>1941</v>
      </c>
      <c r="L1988" s="8">
        <v>45</v>
      </c>
    </row>
    <row r="1989" spans="1:13" ht="25" customHeight="1">
      <c r="A1989" s="12">
        <v>21</v>
      </c>
      <c r="B1989" s="8">
        <v>1</v>
      </c>
      <c r="C1989" s="8" t="s">
        <v>716</v>
      </c>
      <c r="D1989" s="8" t="s">
        <v>561</v>
      </c>
      <c r="E1989" s="8">
        <v>1</v>
      </c>
      <c r="F1989" s="8">
        <v>0</v>
      </c>
      <c r="G1989" s="8">
        <v>0</v>
      </c>
      <c r="H1989" s="8">
        <v>0</v>
      </c>
      <c r="I1989" s="11">
        <v>0.03846153846153846</v>
      </c>
      <c r="J1989" s="8" t="s">
        <v>791</v>
      </c>
      <c r="K1989" s="8" t="s">
        <v>1941</v>
      </c>
      <c r="L1989" s="8">
        <v>48</v>
      </c>
    </row>
    <row r="1990" spans="1:13" ht="25" customHeight="1">
      <c r="A1990" s="12">
        <v>22</v>
      </c>
      <c r="B1990" s="8">
        <v>1</v>
      </c>
      <c r="C1990" s="8" t="s">
        <v>716</v>
      </c>
      <c r="D1990" s="8" t="s">
        <v>468</v>
      </c>
      <c r="E1990" s="8">
        <v>3</v>
      </c>
      <c r="F1990" s="11">
        <v>0.6666666666666666</v>
      </c>
      <c r="G1990" s="11">
        <v>0.3333333333333333</v>
      </c>
      <c r="H1990" s="11">
        <v>11.66666666666667</v>
      </c>
      <c r="I1990" s="11">
        <v>0.1153846153846154</v>
      </c>
      <c r="J1990" s="8" t="s">
        <v>801</v>
      </c>
      <c r="K1990" s="8" t="s">
        <v>792</v>
      </c>
      <c r="L1990" s="8">
        <v>49</v>
      </c>
      <c r="M1990" s="8">
        <v>11</v>
      </c>
    </row>
    <row r="1991" spans="1:13" ht="25" customHeight="1">
      <c r="A1991" s="12">
        <v>23</v>
      </c>
      <c r="B1991" s="8">
        <v>1</v>
      </c>
      <c r="C1991" s="8" t="s">
        <v>716</v>
      </c>
      <c r="D1991" s="8" t="s">
        <v>449</v>
      </c>
      <c r="E1991" s="8">
        <v>2</v>
      </c>
      <c r="F1991" s="11">
        <v>0.5</v>
      </c>
      <c r="G1991" s="8">
        <v>0</v>
      </c>
      <c r="H1991" s="11">
        <v>6.5</v>
      </c>
      <c r="I1991" s="11">
        <v>0.07692307692307693</v>
      </c>
      <c r="J1991" s="8" t="s">
        <v>791</v>
      </c>
      <c r="K1991" s="8" t="s">
        <v>792</v>
      </c>
      <c r="L1991" s="8">
        <v>51</v>
      </c>
      <c r="M1991" s="8">
        <v>12</v>
      </c>
    </row>
    <row r="1992" spans="1:13" ht="25" customHeight="1">
      <c r="A1992" s="12">
        <v>24</v>
      </c>
      <c r="B1992" s="8">
        <v>1</v>
      </c>
      <c r="C1992" s="8" t="s">
        <v>711</v>
      </c>
      <c r="D1992" s="8" t="s">
        <v>878</v>
      </c>
      <c r="E1992" s="8">
        <v>1</v>
      </c>
      <c r="F1992" s="8">
        <v>0</v>
      </c>
      <c r="G1992" s="8">
        <v>0</v>
      </c>
      <c r="H1992" s="8">
        <v>1</v>
      </c>
      <c r="I1992" s="11">
        <v>0.3333333333333333</v>
      </c>
      <c r="J1992" s="8" t="s">
        <v>791</v>
      </c>
      <c r="K1992" s="8" t="s">
        <v>796</v>
      </c>
      <c r="L1992" s="8">
        <v>52</v>
      </c>
    </row>
    <row r="1993" spans="1:13" ht="25" customHeight="1">
      <c r="A1993" s="12">
        <v>25</v>
      </c>
      <c r="B1993" s="8">
        <v>1</v>
      </c>
      <c r="C1993" s="8" t="s">
        <v>706</v>
      </c>
      <c r="D1993" s="8" t="s">
        <v>465</v>
      </c>
      <c r="E1993" s="8">
        <v>1</v>
      </c>
      <c r="F1993" s="8">
        <v>0</v>
      </c>
      <c r="G1993" s="8">
        <v>0</v>
      </c>
      <c r="H1993" s="8">
        <v>0</v>
      </c>
      <c r="I1993" s="8">
        <v>1</v>
      </c>
      <c r="J1993" s="8" t="s">
        <v>791</v>
      </c>
      <c r="K1993" s="8" t="s">
        <v>804</v>
      </c>
      <c r="L1993" s="8">
        <v>53</v>
      </c>
    </row>
    <row r="1994" spans="1:13" ht="25" customHeight="1">
      <c r="A1994" s="12">
        <v>26</v>
      </c>
      <c r="B1994" s="8">
        <v>1</v>
      </c>
      <c r="C1994" s="8" t="s">
        <v>716</v>
      </c>
      <c r="D1994" s="8" t="s">
        <v>800</v>
      </c>
      <c r="E1994" s="8">
        <v>1</v>
      </c>
      <c r="F1994" s="8">
        <v>1</v>
      </c>
      <c r="G1994" s="8">
        <v>0</v>
      </c>
      <c r="H1994" s="8">
        <v>6</v>
      </c>
      <c r="I1994" s="11">
        <v>0.03846153846153846</v>
      </c>
      <c r="J1994" s="8" t="s">
        <v>791</v>
      </c>
      <c r="K1994" s="8" t="s">
        <v>1941</v>
      </c>
      <c r="L1994" s="8">
        <v>55</v>
      </c>
    </row>
    <row r="1995" spans="1:13" ht="25" customHeight="1">
      <c r="A1995" s="12">
        <v>27</v>
      </c>
      <c r="B1995" s="8">
        <v>1</v>
      </c>
      <c r="C1995" s="8" t="s">
        <v>716</v>
      </c>
      <c r="D1995" s="8" t="s">
        <v>574</v>
      </c>
      <c r="E1995" s="8">
        <v>1</v>
      </c>
      <c r="F1995" s="8">
        <v>1</v>
      </c>
      <c r="G1995" s="8">
        <v>0</v>
      </c>
      <c r="H1995" s="8">
        <v>4</v>
      </c>
      <c r="I1995" s="11">
        <v>0.03846153846153846</v>
      </c>
      <c r="J1995" s="8" t="s">
        <v>791</v>
      </c>
      <c r="K1995" s="8" t="s">
        <v>1941</v>
      </c>
      <c r="L1995" s="8">
        <v>58</v>
      </c>
    </row>
    <row r="1996" spans="1:13" ht="25" customHeight="1">
      <c r="A1996" s="12">
        <v>28</v>
      </c>
      <c r="B1996" s="8">
        <v>1</v>
      </c>
      <c r="C1996" s="8" t="s">
        <v>716</v>
      </c>
      <c r="D1996" s="8" t="s">
        <v>452</v>
      </c>
      <c r="E1996" s="8">
        <v>1</v>
      </c>
      <c r="F1996" s="8">
        <v>0</v>
      </c>
      <c r="G1996" s="8">
        <v>0</v>
      </c>
      <c r="H1996" s="8">
        <v>-15</v>
      </c>
      <c r="I1996" s="11">
        <v>0.03846153846153846</v>
      </c>
      <c r="J1996" s="8" t="s">
        <v>791</v>
      </c>
      <c r="K1996" s="8" t="s">
        <v>1941</v>
      </c>
      <c r="L1996" s="8">
        <v>60</v>
      </c>
    </row>
    <row r="1997" spans="1:13" ht="25" customHeight="1">
      <c r="A1997" s="12">
        <v>29</v>
      </c>
      <c r="B1997" s="8">
        <v>1</v>
      </c>
      <c r="C1997" s="8" t="s">
        <v>720</v>
      </c>
      <c r="D1997" s="8" t="s">
        <v>428</v>
      </c>
      <c r="E1997" s="8">
        <v>1</v>
      </c>
      <c r="F1997" s="8">
        <v>1</v>
      </c>
      <c r="G1997" s="8">
        <v>0</v>
      </c>
      <c r="H1997" s="8">
        <v>3</v>
      </c>
      <c r="I1997" s="8">
        <v>1</v>
      </c>
      <c r="J1997" s="8" t="s">
        <v>791</v>
      </c>
      <c r="K1997" s="8" t="s">
        <v>804</v>
      </c>
      <c r="L1997" s="8">
        <v>65</v>
      </c>
    </row>
    <row r="1998" spans="1:13" ht="25" customHeight="1">
      <c r="A1998" s="12">
        <v>30</v>
      </c>
      <c r="B1998" s="8">
        <v>1</v>
      </c>
      <c r="C1998" s="8" t="s">
        <v>716</v>
      </c>
      <c r="D1998" s="8" t="s">
        <v>878</v>
      </c>
      <c r="E1998" s="8">
        <v>1</v>
      </c>
      <c r="F1998" s="8">
        <v>1</v>
      </c>
      <c r="G1998" s="8">
        <v>0</v>
      </c>
      <c r="H1998" s="8">
        <v>6</v>
      </c>
      <c r="I1998" s="11">
        <v>0.03846153846153846</v>
      </c>
      <c r="J1998" s="8" t="s">
        <v>791</v>
      </c>
      <c r="K1998" s="8" t="s">
        <v>1941</v>
      </c>
      <c r="L1998" s="8">
        <v>66</v>
      </c>
    </row>
    <row r="1999" spans="1:13" ht="25" customHeight="1">
      <c r="A1999" s="12">
        <v>31</v>
      </c>
      <c r="B1999" s="8">
        <v>1</v>
      </c>
      <c r="C1999" s="8" t="s">
        <v>711</v>
      </c>
      <c r="D1999" s="8" t="s">
        <v>541</v>
      </c>
      <c r="E1999" s="8">
        <v>1</v>
      </c>
      <c r="F1999" s="8">
        <v>1</v>
      </c>
      <c r="G1999" s="8">
        <v>0</v>
      </c>
      <c r="H1999" s="8">
        <v>4</v>
      </c>
      <c r="I1999" s="11">
        <v>0.3333333333333333</v>
      </c>
      <c r="J1999" s="8" t="s">
        <v>791</v>
      </c>
      <c r="K1999" s="8" t="s">
        <v>796</v>
      </c>
      <c r="L1999" s="8">
        <v>68</v>
      </c>
    </row>
    <row r="2000" spans="1:13" ht="25" customHeight="1">
      <c r="A2000" s="12">
        <v>32</v>
      </c>
      <c r="B2000" s="8">
        <v>2</v>
      </c>
      <c r="C2000" s="8" t="s">
        <v>716</v>
      </c>
      <c r="D2000" s="8" t="s">
        <v>446</v>
      </c>
      <c r="E2000" s="8">
        <v>1</v>
      </c>
      <c r="F2000" s="8">
        <v>0</v>
      </c>
      <c r="G2000" s="8">
        <v>0</v>
      </c>
      <c r="H2000" s="8">
        <v>0</v>
      </c>
      <c r="I2000" s="11">
        <v>0.04166666666666666</v>
      </c>
      <c r="J2000" s="8" t="s">
        <v>791</v>
      </c>
      <c r="K2000" s="8" t="s">
        <v>1941</v>
      </c>
      <c r="L2000" s="8">
        <v>71</v>
      </c>
    </row>
    <row r="2001" spans="1:13" ht="25" customHeight="1">
      <c r="A2001" s="12">
        <v>33</v>
      </c>
      <c r="B2001" s="8">
        <v>2</v>
      </c>
      <c r="C2001" s="8" t="s">
        <v>711</v>
      </c>
      <c r="D2001" s="8" t="s">
        <v>465</v>
      </c>
      <c r="E2001" s="8">
        <v>3</v>
      </c>
      <c r="F2001" s="8">
        <v>0</v>
      </c>
      <c r="G2001" s="8">
        <v>0</v>
      </c>
      <c r="H2001" s="11">
        <v>-1.333333333333333</v>
      </c>
      <c r="I2001" s="11">
        <v>0.3333333333333333</v>
      </c>
      <c r="J2001" s="8" t="s">
        <v>801</v>
      </c>
      <c r="K2001" s="8" t="s">
        <v>796</v>
      </c>
      <c r="L2001" s="8">
        <v>72</v>
      </c>
      <c r="M2001" s="8">
        <v>13</v>
      </c>
    </row>
    <row r="2002" spans="1:13" ht="25" customHeight="1">
      <c r="A2002" s="12">
        <v>34</v>
      </c>
      <c r="B2002" s="8">
        <v>2</v>
      </c>
      <c r="C2002" s="8" t="s">
        <v>716</v>
      </c>
      <c r="D2002" s="8" t="s">
        <v>541</v>
      </c>
      <c r="E2002" s="8">
        <v>1</v>
      </c>
      <c r="F2002" s="8">
        <v>0</v>
      </c>
      <c r="G2002" s="8">
        <v>0</v>
      </c>
      <c r="H2002" s="8">
        <v>1</v>
      </c>
      <c r="I2002" s="11">
        <v>0.04166666666666666</v>
      </c>
      <c r="J2002" s="8" t="s">
        <v>791</v>
      </c>
      <c r="K2002" s="8" t="s">
        <v>1941</v>
      </c>
      <c r="L2002" s="8">
        <v>73</v>
      </c>
    </row>
    <row r="2003" spans="1:13" ht="25" customHeight="1">
      <c r="A2003" s="12">
        <v>35</v>
      </c>
      <c r="B2003" s="8">
        <v>2</v>
      </c>
      <c r="C2003" s="8" t="s">
        <v>716</v>
      </c>
      <c r="D2003" s="8" t="s">
        <v>449</v>
      </c>
      <c r="E2003" s="8">
        <v>5</v>
      </c>
      <c r="F2003" s="11">
        <v>0.6</v>
      </c>
      <c r="G2003" s="11">
        <v>0.2</v>
      </c>
      <c r="H2003" s="11">
        <v>11.4</v>
      </c>
      <c r="I2003" s="11">
        <v>0.2083333333333333</v>
      </c>
      <c r="J2003" s="8" t="s">
        <v>795</v>
      </c>
      <c r="K2003" s="8" t="s">
        <v>796</v>
      </c>
      <c r="L2003" s="8">
        <v>74</v>
      </c>
      <c r="M2003" s="8">
        <v>14</v>
      </c>
    </row>
    <row r="2004" spans="1:13" ht="25" customHeight="1">
      <c r="A2004" s="12">
        <v>36</v>
      </c>
      <c r="B2004" s="8">
        <v>2</v>
      </c>
      <c r="C2004" s="8" t="s">
        <v>706</v>
      </c>
      <c r="D2004" s="8" t="s">
        <v>468</v>
      </c>
      <c r="E2004" s="8">
        <v>1</v>
      </c>
      <c r="F2004" s="8">
        <v>0</v>
      </c>
      <c r="G2004" s="8">
        <v>0</v>
      </c>
      <c r="H2004" s="8">
        <v>0</v>
      </c>
      <c r="I2004" s="11">
        <v>0.1428571428571428</v>
      </c>
      <c r="J2004" s="8" t="s">
        <v>791</v>
      </c>
      <c r="K2004" s="8" t="s">
        <v>1941</v>
      </c>
      <c r="L2004" s="8">
        <v>75</v>
      </c>
    </row>
    <row r="2005" spans="1:13" ht="25" customHeight="1">
      <c r="A2005" s="12">
        <v>37</v>
      </c>
      <c r="B2005" s="8">
        <v>2</v>
      </c>
      <c r="C2005" s="8" t="s">
        <v>720</v>
      </c>
      <c r="D2005" s="8" t="s">
        <v>446</v>
      </c>
      <c r="E2005" s="8">
        <v>1</v>
      </c>
      <c r="F2005" s="8">
        <v>0</v>
      </c>
      <c r="G2005" s="8">
        <v>0</v>
      </c>
      <c r="H2005" s="8">
        <v>6</v>
      </c>
      <c r="I2005" s="11">
        <v>0.09090909090909091</v>
      </c>
      <c r="J2005" s="8" t="s">
        <v>791</v>
      </c>
      <c r="K2005" s="8" t="s">
        <v>1941</v>
      </c>
      <c r="L2005" s="8">
        <v>77</v>
      </c>
    </row>
    <row r="2006" spans="1:13" ht="25" customHeight="1">
      <c r="A2006" s="12">
        <v>38</v>
      </c>
      <c r="B2006" s="8">
        <v>2</v>
      </c>
      <c r="C2006" s="8" t="s">
        <v>706</v>
      </c>
      <c r="D2006" s="8" t="s">
        <v>574</v>
      </c>
      <c r="E2006" s="8">
        <v>1</v>
      </c>
      <c r="F2006" s="8">
        <v>0</v>
      </c>
      <c r="G2006" s="8">
        <v>0</v>
      </c>
      <c r="H2006" s="8">
        <v>-3</v>
      </c>
      <c r="I2006" s="11">
        <v>0.1428571428571428</v>
      </c>
      <c r="J2006" s="8" t="s">
        <v>791</v>
      </c>
      <c r="K2006" s="8" t="s">
        <v>1941</v>
      </c>
      <c r="L2006" s="8">
        <v>78</v>
      </c>
    </row>
    <row r="2007" spans="1:13" ht="25" customHeight="1">
      <c r="A2007" s="12">
        <v>39</v>
      </c>
      <c r="B2007" s="8">
        <v>2</v>
      </c>
      <c r="C2007" s="8" t="s">
        <v>706</v>
      </c>
      <c r="D2007" s="8" t="s">
        <v>449</v>
      </c>
      <c r="E2007" s="8">
        <v>3</v>
      </c>
      <c r="F2007" s="8">
        <v>0</v>
      </c>
      <c r="G2007" s="8">
        <v>0</v>
      </c>
      <c r="H2007" s="11">
        <v>0.3333333333333333</v>
      </c>
      <c r="I2007" s="11">
        <v>0.4285714285714285</v>
      </c>
      <c r="J2007" s="8" t="s">
        <v>801</v>
      </c>
      <c r="K2007" s="8" t="s">
        <v>804</v>
      </c>
      <c r="L2007" s="8">
        <v>79</v>
      </c>
      <c r="M2007" s="8">
        <v>15</v>
      </c>
    </row>
    <row r="2008" spans="1:13" ht="25" customHeight="1">
      <c r="A2008" s="12">
        <v>40</v>
      </c>
      <c r="B2008" s="8">
        <v>2</v>
      </c>
      <c r="C2008" s="8" t="s">
        <v>711</v>
      </c>
      <c r="D2008" s="8" t="s">
        <v>428</v>
      </c>
      <c r="E2008" s="8">
        <v>3</v>
      </c>
      <c r="F2008" s="11">
        <v>0.6666666666666666</v>
      </c>
      <c r="G2008" s="8">
        <v>0</v>
      </c>
      <c r="H2008" s="11">
        <v>4.666666666666667</v>
      </c>
      <c r="I2008" s="11">
        <v>0.3333333333333333</v>
      </c>
      <c r="J2008" s="8" t="s">
        <v>801</v>
      </c>
      <c r="K2008" s="8" t="s">
        <v>796</v>
      </c>
      <c r="L2008" s="8">
        <v>80</v>
      </c>
      <c r="M2008" s="8">
        <v>16</v>
      </c>
    </row>
    <row r="2009" spans="1:13" ht="25" customHeight="1">
      <c r="A2009" s="12">
        <v>41</v>
      </c>
      <c r="B2009" s="8">
        <v>2</v>
      </c>
      <c r="C2009" s="8" t="s">
        <v>716</v>
      </c>
      <c r="D2009" s="8" t="s">
        <v>611</v>
      </c>
      <c r="E2009" s="8">
        <v>1</v>
      </c>
      <c r="F2009" s="8">
        <v>1</v>
      </c>
      <c r="G2009" s="8">
        <v>0</v>
      </c>
      <c r="H2009" s="8">
        <v>8</v>
      </c>
      <c r="I2009" s="11">
        <v>0.04166666666666666</v>
      </c>
      <c r="J2009" s="8" t="s">
        <v>791</v>
      </c>
      <c r="K2009" s="8" t="s">
        <v>1941</v>
      </c>
      <c r="L2009" s="8">
        <v>81</v>
      </c>
    </row>
    <row r="2010" spans="1:13" ht="25" customHeight="1">
      <c r="A2010" s="12">
        <v>42</v>
      </c>
      <c r="B2010" s="8">
        <v>2</v>
      </c>
      <c r="C2010" s="8" t="s">
        <v>711</v>
      </c>
      <c r="D2010" s="8" t="s">
        <v>449</v>
      </c>
      <c r="E2010" s="8">
        <v>1</v>
      </c>
      <c r="F2010" s="8">
        <v>0</v>
      </c>
      <c r="G2010" s="8">
        <v>0</v>
      </c>
      <c r="H2010" s="8">
        <v>1</v>
      </c>
      <c r="I2010" s="11">
        <v>0.1111111111111111</v>
      </c>
      <c r="J2010" s="8" t="s">
        <v>791</v>
      </c>
      <c r="K2010" s="8" t="s">
        <v>1941</v>
      </c>
      <c r="L2010" s="8">
        <v>82</v>
      </c>
    </row>
    <row r="2011" spans="1:13" ht="25" customHeight="1">
      <c r="A2011" s="12">
        <v>43</v>
      </c>
      <c r="B2011" s="8">
        <v>2</v>
      </c>
      <c r="C2011" s="8" t="s">
        <v>720</v>
      </c>
      <c r="D2011" s="8" t="s">
        <v>443</v>
      </c>
      <c r="E2011" s="8">
        <v>1</v>
      </c>
      <c r="F2011" s="8">
        <v>1</v>
      </c>
      <c r="G2011" s="8">
        <v>1</v>
      </c>
      <c r="H2011" s="8">
        <v>21</v>
      </c>
      <c r="I2011" s="11">
        <v>0.09090909090909091</v>
      </c>
      <c r="J2011" s="8" t="s">
        <v>791</v>
      </c>
      <c r="K2011" s="8" t="s">
        <v>1941</v>
      </c>
      <c r="L2011" s="8">
        <v>85</v>
      </c>
    </row>
    <row r="2012" spans="1:13" ht="25" customHeight="1">
      <c r="A2012" s="12">
        <v>44</v>
      </c>
      <c r="B2012" s="8">
        <v>2</v>
      </c>
      <c r="C2012" s="8" t="s">
        <v>716</v>
      </c>
      <c r="D2012" s="8" t="s">
        <v>428</v>
      </c>
      <c r="E2012" s="8">
        <v>6</v>
      </c>
      <c r="F2012" s="11">
        <v>0.5</v>
      </c>
      <c r="G2012" s="8">
        <v>0</v>
      </c>
      <c r="H2012" s="11">
        <v>2.5</v>
      </c>
      <c r="I2012" s="11">
        <v>0.25</v>
      </c>
      <c r="J2012" s="8" t="s">
        <v>795</v>
      </c>
      <c r="K2012" s="8" t="s">
        <v>796</v>
      </c>
      <c r="L2012" s="8">
        <v>89</v>
      </c>
      <c r="M2012" s="8">
        <v>17</v>
      </c>
    </row>
    <row r="2013" spans="1:13" ht="25" customHeight="1">
      <c r="A2013" s="12">
        <v>45</v>
      </c>
      <c r="B2013" s="8">
        <v>2</v>
      </c>
      <c r="C2013" s="8" t="s">
        <v>706</v>
      </c>
      <c r="D2013" s="8" t="s">
        <v>428</v>
      </c>
      <c r="E2013" s="8">
        <v>2</v>
      </c>
      <c r="F2013" s="11">
        <v>0.5</v>
      </c>
      <c r="G2013" s="8">
        <v>0</v>
      </c>
      <c r="H2013" s="11">
        <v>1.5</v>
      </c>
      <c r="I2013" s="11">
        <v>0.2857142857142857</v>
      </c>
      <c r="J2013" s="8" t="s">
        <v>791</v>
      </c>
      <c r="K2013" s="8" t="s">
        <v>796</v>
      </c>
      <c r="L2013" s="8">
        <v>91</v>
      </c>
      <c r="M2013" s="8">
        <v>18</v>
      </c>
    </row>
    <row r="2014" spans="1:13" ht="25" customHeight="1">
      <c r="A2014" s="12">
        <v>46</v>
      </c>
      <c r="B2014" s="8">
        <v>2</v>
      </c>
      <c r="C2014" s="8" t="s">
        <v>716</v>
      </c>
      <c r="D2014" s="8" t="s">
        <v>465</v>
      </c>
      <c r="E2014" s="8">
        <v>4</v>
      </c>
      <c r="F2014" s="11">
        <v>0.25</v>
      </c>
      <c r="G2014" s="8">
        <v>0</v>
      </c>
      <c r="H2014" s="11">
        <v>2.75</v>
      </c>
      <c r="I2014" s="11">
        <v>0.1666666666666667</v>
      </c>
      <c r="J2014" s="8" t="s">
        <v>795</v>
      </c>
      <c r="K2014" s="8" t="s">
        <v>796</v>
      </c>
      <c r="L2014" s="8">
        <v>92</v>
      </c>
      <c r="M2014" s="8">
        <v>19</v>
      </c>
    </row>
    <row r="2015" spans="1:13" ht="25" customHeight="1">
      <c r="A2015" s="12">
        <v>47</v>
      </c>
      <c r="B2015" s="8">
        <v>2</v>
      </c>
      <c r="C2015" s="8" t="s">
        <v>716</v>
      </c>
      <c r="D2015" s="8" t="s">
        <v>452</v>
      </c>
      <c r="E2015" s="8">
        <v>1</v>
      </c>
      <c r="F2015" s="8">
        <v>0</v>
      </c>
      <c r="G2015" s="8">
        <v>0</v>
      </c>
      <c r="H2015" s="8">
        <v>1</v>
      </c>
      <c r="I2015" s="11">
        <v>0.04166666666666666</v>
      </c>
      <c r="J2015" s="8" t="s">
        <v>791</v>
      </c>
      <c r="K2015" s="8" t="s">
        <v>1941</v>
      </c>
      <c r="L2015" s="8">
        <v>94</v>
      </c>
    </row>
    <row r="2016" spans="1:13" ht="25" customHeight="1">
      <c r="A2016" s="12">
        <v>48</v>
      </c>
      <c r="B2016" s="8">
        <v>2</v>
      </c>
      <c r="C2016" s="8" t="s">
        <v>711</v>
      </c>
      <c r="D2016" s="8" t="s">
        <v>452</v>
      </c>
      <c r="E2016" s="8">
        <v>1</v>
      </c>
      <c r="F2016" s="8">
        <v>1</v>
      </c>
      <c r="G2016" s="8">
        <v>1</v>
      </c>
      <c r="H2016" s="8">
        <v>37</v>
      </c>
      <c r="I2016" s="11">
        <v>0.1111111111111111</v>
      </c>
      <c r="J2016" s="8" t="s">
        <v>791</v>
      </c>
      <c r="K2016" s="8" t="s">
        <v>1941</v>
      </c>
      <c r="L2016" s="8">
        <v>96</v>
      </c>
    </row>
    <row r="2017" spans="1:13" ht="25" customHeight="1">
      <c r="A2017" s="12">
        <v>49</v>
      </c>
      <c r="B2017" s="8">
        <v>2</v>
      </c>
      <c r="C2017" s="8" t="s">
        <v>716</v>
      </c>
      <c r="D2017" s="8" t="s">
        <v>957</v>
      </c>
      <c r="E2017" s="8">
        <v>1</v>
      </c>
      <c r="F2017" s="8">
        <v>0</v>
      </c>
      <c r="G2017" s="8">
        <v>0</v>
      </c>
      <c r="H2017" s="8">
        <v>1</v>
      </c>
      <c r="I2017" s="11">
        <v>0.04166666666666666</v>
      </c>
      <c r="J2017" s="8" t="s">
        <v>791</v>
      </c>
      <c r="K2017" s="8" t="s">
        <v>1941</v>
      </c>
      <c r="L2017" s="8">
        <v>97</v>
      </c>
    </row>
    <row r="2018" spans="1:13" ht="25" customHeight="1">
      <c r="A2018" s="12">
        <v>50</v>
      </c>
      <c r="B2018" s="8">
        <v>2</v>
      </c>
      <c r="C2018" s="8" t="s">
        <v>716</v>
      </c>
      <c r="D2018" s="8" t="s">
        <v>574</v>
      </c>
      <c r="E2018" s="8">
        <v>1</v>
      </c>
      <c r="F2018" s="8">
        <v>1</v>
      </c>
      <c r="G2018" s="8">
        <v>0</v>
      </c>
      <c r="H2018" s="8">
        <v>4</v>
      </c>
      <c r="I2018" s="11">
        <v>0.04166666666666666</v>
      </c>
      <c r="J2018" s="8" t="s">
        <v>791</v>
      </c>
      <c r="K2018" s="8" t="s">
        <v>1941</v>
      </c>
      <c r="L2018" s="8">
        <v>99</v>
      </c>
    </row>
    <row r="2019" spans="1:13" ht="25" customHeight="1">
      <c r="A2019" s="12">
        <v>51</v>
      </c>
      <c r="B2019" s="8">
        <v>2</v>
      </c>
      <c r="C2019" s="8" t="s">
        <v>716</v>
      </c>
      <c r="D2019" s="8" t="s">
        <v>468</v>
      </c>
      <c r="E2019" s="8">
        <v>1</v>
      </c>
      <c r="F2019" s="8">
        <v>0</v>
      </c>
      <c r="G2019" s="8">
        <v>0</v>
      </c>
      <c r="H2019" s="8">
        <v>0</v>
      </c>
      <c r="I2019" s="11">
        <v>0.04166666666666666</v>
      </c>
      <c r="J2019" s="8" t="s">
        <v>791</v>
      </c>
      <c r="K2019" s="8" t="s">
        <v>1941</v>
      </c>
      <c r="L2019" s="8">
        <v>101</v>
      </c>
    </row>
    <row r="2020" spans="1:13" ht="25" customHeight="1">
      <c r="A2020" s="12">
        <v>52</v>
      </c>
      <c r="B2020" s="8">
        <v>2</v>
      </c>
      <c r="C2020" s="8" t="s">
        <v>711</v>
      </c>
      <c r="D2020" s="8" t="s">
        <v>800</v>
      </c>
      <c r="E2020" s="8">
        <v>1</v>
      </c>
      <c r="F2020" s="8">
        <v>0</v>
      </c>
      <c r="G2020" s="8">
        <v>0</v>
      </c>
      <c r="H2020" s="8">
        <v>2</v>
      </c>
      <c r="I2020" s="11">
        <v>0.1111111111111111</v>
      </c>
      <c r="J2020" s="8" t="s">
        <v>791</v>
      </c>
      <c r="K2020" s="8" t="s">
        <v>1941</v>
      </c>
      <c r="L2020" s="8">
        <v>102</v>
      </c>
    </row>
    <row r="2021" spans="1:13" ht="25" customHeight="1">
      <c r="A2021" s="12">
        <v>53</v>
      </c>
      <c r="B2021" s="8">
        <v>2</v>
      </c>
      <c r="C2021" s="8" t="s">
        <v>716</v>
      </c>
      <c r="D2021" s="8" t="s">
        <v>471</v>
      </c>
      <c r="E2021" s="8">
        <v>1</v>
      </c>
      <c r="F2021" s="8">
        <v>0</v>
      </c>
      <c r="G2021" s="8">
        <v>0</v>
      </c>
      <c r="H2021" s="8">
        <v>0</v>
      </c>
      <c r="I2021" s="11">
        <v>0.04166666666666666</v>
      </c>
      <c r="J2021" s="8" t="s">
        <v>791</v>
      </c>
      <c r="K2021" s="8" t="s">
        <v>1941</v>
      </c>
      <c r="L2021" s="8">
        <v>105</v>
      </c>
    </row>
    <row r="2022" spans="1:13" ht="25" customHeight="1">
      <c r="A2022" s="12">
        <v>54</v>
      </c>
      <c r="B2022" s="8">
        <v>2</v>
      </c>
      <c r="C2022" s="8" t="s">
        <v>716</v>
      </c>
      <c r="D2022" s="8" t="s">
        <v>474</v>
      </c>
      <c r="E2022" s="8">
        <v>1</v>
      </c>
      <c r="F2022" s="8">
        <v>0</v>
      </c>
      <c r="G2022" s="8">
        <v>0</v>
      </c>
      <c r="H2022" s="8">
        <v>2</v>
      </c>
      <c r="I2022" s="11">
        <v>0.04166666666666666</v>
      </c>
      <c r="J2022" s="8" t="s">
        <v>791</v>
      </c>
      <c r="K2022" s="8" t="s">
        <v>1941</v>
      </c>
      <c r="L2022" s="8">
        <v>106</v>
      </c>
    </row>
    <row r="2023" spans="1:13" ht="25" customHeight="1">
      <c r="A2023" s="12">
        <v>55</v>
      </c>
      <c r="B2023" s="8">
        <v>2</v>
      </c>
      <c r="C2023" s="8" t="s">
        <v>720</v>
      </c>
      <c r="D2023" s="8" t="s">
        <v>474</v>
      </c>
      <c r="E2023" s="8">
        <v>1</v>
      </c>
      <c r="F2023" s="8">
        <v>0</v>
      </c>
      <c r="G2023" s="8">
        <v>0</v>
      </c>
      <c r="H2023" s="8">
        <v>0</v>
      </c>
      <c r="I2023" s="11">
        <v>0.09090909090909091</v>
      </c>
      <c r="J2023" s="8" t="s">
        <v>791</v>
      </c>
      <c r="K2023" s="8" t="s">
        <v>1941</v>
      </c>
      <c r="L2023" s="8">
        <v>110</v>
      </c>
    </row>
    <row r="2024" spans="1:13" ht="25" customHeight="1">
      <c r="A2024" s="12">
        <v>56</v>
      </c>
      <c r="B2024" s="8">
        <v>2</v>
      </c>
      <c r="C2024" s="8" t="s">
        <v>720</v>
      </c>
      <c r="D2024" s="8" t="s">
        <v>428</v>
      </c>
      <c r="E2024" s="8">
        <v>5</v>
      </c>
      <c r="F2024" s="11">
        <v>0.6</v>
      </c>
      <c r="G2024" s="11">
        <v>0.2</v>
      </c>
      <c r="H2024" s="11">
        <v>4.2</v>
      </c>
      <c r="I2024" s="11">
        <v>0.4545454545454545</v>
      </c>
      <c r="J2024" s="8" t="s">
        <v>795</v>
      </c>
      <c r="K2024" s="8" t="s">
        <v>804</v>
      </c>
      <c r="L2024" s="8">
        <v>112</v>
      </c>
      <c r="M2024" s="8">
        <v>20</v>
      </c>
    </row>
    <row r="2025" spans="1:13" ht="25" customHeight="1">
      <c r="A2025" s="12">
        <v>57</v>
      </c>
      <c r="B2025" s="8">
        <v>2</v>
      </c>
      <c r="C2025" s="8" t="s">
        <v>720</v>
      </c>
      <c r="D2025" s="8" t="s">
        <v>878</v>
      </c>
      <c r="E2025" s="8">
        <v>1</v>
      </c>
      <c r="F2025" s="8">
        <v>1</v>
      </c>
      <c r="G2025" s="8">
        <v>0</v>
      </c>
      <c r="H2025" s="8">
        <v>10</v>
      </c>
      <c r="I2025" s="11">
        <v>0.09090909090909091</v>
      </c>
      <c r="J2025" s="8" t="s">
        <v>791</v>
      </c>
      <c r="K2025" s="8" t="s">
        <v>1941</v>
      </c>
      <c r="L2025" s="8">
        <v>114</v>
      </c>
    </row>
    <row r="2026" spans="1:13" ht="25" customHeight="1">
      <c r="A2026" s="12">
        <v>58</v>
      </c>
      <c r="B2026" s="8">
        <v>2</v>
      </c>
      <c r="C2026" s="8" t="s">
        <v>720</v>
      </c>
      <c r="D2026" s="8" t="s">
        <v>465</v>
      </c>
      <c r="E2026" s="8">
        <v>1</v>
      </c>
      <c r="F2026" s="8">
        <v>0</v>
      </c>
      <c r="G2026" s="8">
        <v>0</v>
      </c>
      <c r="H2026" s="8">
        <v>-4</v>
      </c>
      <c r="I2026" s="11">
        <v>0.09090909090909091</v>
      </c>
      <c r="J2026" s="8" t="s">
        <v>791</v>
      </c>
      <c r="K2026" s="8" t="s">
        <v>1941</v>
      </c>
      <c r="L2026" s="8">
        <v>116</v>
      </c>
    </row>
    <row r="2027" spans="1:13" ht="25" customHeight="1">
      <c r="A2027" s="12">
        <v>59</v>
      </c>
      <c r="B2027" s="8">
        <v>2</v>
      </c>
      <c r="C2027" s="8" t="s">
        <v>720</v>
      </c>
      <c r="D2027" s="8" t="s">
        <v>541</v>
      </c>
      <c r="E2027" s="8">
        <v>1</v>
      </c>
      <c r="F2027" s="8">
        <v>0</v>
      </c>
      <c r="G2027" s="8">
        <v>0</v>
      </c>
      <c r="H2027" s="8">
        <v>1</v>
      </c>
      <c r="I2027" s="11">
        <v>0.09090909090909091</v>
      </c>
      <c r="J2027" s="8" t="s">
        <v>791</v>
      </c>
      <c r="K2027" s="8" t="s">
        <v>1941</v>
      </c>
      <c r="L2027" s="8">
        <v>125</v>
      </c>
    </row>
    <row r="2028" spans="1:13" ht="25" customHeight="1">
      <c r="A2028" s="12">
        <v>60</v>
      </c>
      <c r="B2028" s="8">
        <v>3</v>
      </c>
      <c r="C2028" s="8" t="s">
        <v>716</v>
      </c>
      <c r="D2028" s="8" t="s">
        <v>446</v>
      </c>
      <c r="E2028" s="8">
        <v>1</v>
      </c>
      <c r="F2028" s="8">
        <v>0</v>
      </c>
      <c r="G2028" s="8">
        <v>0</v>
      </c>
      <c r="H2028" s="8">
        <v>0</v>
      </c>
      <c r="I2028" s="11">
        <v>0.07142857142857142</v>
      </c>
      <c r="J2028" s="8" t="s">
        <v>791</v>
      </c>
      <c r="K2028" s="8" t="s">
        <v>1941</v>
      </c>
      <c r="L2028" s="8">
        <v>130</v>
      </c>
    </row>
    <row r="2029" spans="1:13" ht="25" customHeight="1">
      <c r="A2029" s="12">
        <v>61</v>
      </c>
      <c r="B2029" s="8">
        <v>3</v>
      </c>
      <c r="C2029" s="8" t="s">
        <v>716</v>
      </c>
      <c r="D2029" s="8" t="s">
        <v>474</v>
      </c>
      <c r="E2029" s="8">
        <v>1</v>
      </c>
      <c r="F2029" s="8">
        <v>1</v>
      </c>
      <c r="G2029" s="8">
        <v>1</v>
      </c>
      <c r="H2029" s="8">
        <v>14</v>
      </c>
      <c r="I2029" s="11">
        <v>0.07142857142857142</v>
      </c>
      <c r="J2029" s="8" t="s">
        <v>791</v>
      </c>
      <c r="K2029" s="8" t="s">
        <v>1941</v>
      </c>
      <c r="L2029" s="8">
        <v>131</v>
      </c>
    </row>
    <row r="2030" spans="1:13" ht="25" customHeight="1">
      <c r="A2030" s="12">
        <v>62</v>
      </c>
      <c r="B2030" s="8">
        <v>3</v>
      </c>
      <c r="C2030" s="8" t="s">
        <v>716</v>
      </c>
      <c r="D2030" s="8" t="s">
        <v>449</v>
      </c>
      <c r="E2030" s="8">
        <v>8</v>
      </c>
      <c r="F2030" s="8">
        <v>0</v>
      </c>
      <c r="G2030" s="8">
        <v>0</v>
      </c>
      <c r="H2030" s="11">
        <v>2.875</v>
      </c>
      <c r="I2030" s="11">
        <v>0.5714285714285714</v>
      </c>
      <c r="J2030" s="8" t="s">
        <v>799</v>
      </c>
      <c r="K2030" s="8" t="s">
        <v>804</v>
      </c>
      <c r="L2030" s="8">
        <v>132</v>
      </c>
      <c r="M2030" s="8">
        <v>21</v>
      </c>
    </row>
    <row r="2031" spans="1:13" ht="25" customHeight="1">
      <c r="A2031" s="12">
        <v>63</v>
      </c>
      <c r="B2031" s="8">
        <v>3</v>
      </c>
      <c r="C2031" s="8" t="s">
        <v>706</v>
      </c>
      <c r="D2031" s="8" t="s">
        <v>465</v>
      </c>
      <c r="E2031" s="8">
        <v>1</v>
      </c>
      <c r="F2031" s="8">
        <v>0</v>
      </c>
      <c r="G2031" s="8">
        <v>0</v>
      </c>
      <c r="H2031" s="8">
        <v>-2</v>
      </c>
      <c r="I2031" s="11">
        <v>0.1428571428571428</v>
      </c>
      <c r="J2031" s="8" t="s">
        <v>791</v>
      </c>
      <c r="K2031" s="8" t="s">
        <v>1941</v>
      </c>
      <c r="L2031" s="8">
        <v>133</v>
      </c>
    </row>
    <row r="2032" spans="1:13" ht="25" customHeight="1">
      <c r="A2032" s="12">
        <v>64</v>
      </c>
      <c r="B2032" s="8">
        <v>3</v>
      </c>
      <c r="C2032" s="8" t="s">
        <v>720</v>
      </c>
      <c r="D2032" s="8" t="s">
        <v>474</v>
      </c>
      <c r="E2032" s="8">
        <v>1</v>
      </c>
      <c r="F2032" s="8">
        <v>0</v>
      </c>
      <c r="G2032" s="8">
        <v>0</v>
      </c>
      <c r="H2032" s="8">
        <v>-6</v>
      </c>
      <c r="I2032" s="11">
        <v>0.125</v>
      </c>
      <c r="J2032" s="8" t="s">
        <v>791</v>
      </c>
      <c r="K2032" s="8" t="s">
        <v>1941</v>
      </c>
      <c r="L2032" s="8">
        <v>134</v>
      </c>
    </row>
    <row r="2033" spans="1:13" ht="25" customHeight="1">
      <c r="A2033" s="12">
        <v>65</v>
      </c>
      <c r="B2033" s="8">
        <v>3</v>
      </c>
      <c r="C2033" s="8" t="s">
        <v>711</v>
      </c>
      <c r="D2033" s="8" t="s">
        <v>878</v>
      </c>
      <c r="E2033" s="8">
        <v>1</v>
      </c>
      <c r="F2033" s="8">
        <v>0</v>
      </c>
      <c r="G2033" s="8">
        <v>0</v>
      </c>
      <c r="H2033" s="8">
        <v>0</v>
      </c>
      <c r="I2033" s="11">
        <v>0.08333333333333333</v>
      </c>
      <c r="J2033" s="8" t="s">
        <v>791</v>
      </c>
      <c r="K2033" s="8" t="s">
        <v>1941</v>
      </c>
      <c r="L2033" s="8">
        <v>135</v>
      </c>
    </row>
    <row r="2034" spans="1:13" ht="25" customHeight="1">
      <c r="A2034" s="12">
        <v>66</v>
      </c>
      <c r="B2034" s="8">
        <v>3</v>
      </c>
      <c r="C2034" s="8" t="s">
        <v>706</v>
      </c>
      <c r="D2034" s="8" t="s">
        <v>446</v>
      </c>
      <c r="E2034" s="8">
        <v>2</v>
      </c>
      <c r="F2034" s="8">
        <v>0</v>
      </c>
      <c r="G2034" s="8">
        <v>0</v>
      </c>
      <c r="H2034" s="11">
        <v>0.5</v>
      </c>
      <c r="I2034" s="11">
        <v>0.2857142857142857</v>
      </c>
      <c r="J2034" s="8" t="s">
        <v>791</v>
      </c>
      <c r="K2034" s="8" t="s">
        <v>796</v>
      </c>
      <c r="L2034" s="8">
        <v>136</v>
      </c>
      <c r="M2034" s="8">
        <v>22</v>
      </c>
    </row>
    <row r="2035" spans="1:13" ht="25" customHeight="1">
      <c r="A2035" s="12">
        <v>67</v>
      </c>
      <c r="B2035" s="8">
        <v>3</v>
      </c>
      <c r="C2035" s="8" t="s">
        <v>711</v>
      </c>
      <c r="D2035" s="8" t="s">
        <v>449</v>
      </c>
      <c r="E2035" s="8">
        <v>6</v>
      </c>
      <c r="F2035" s="8">
        <v>0</v>
      </c>
      <c r="G2035" s="8">
        <v>0</v>
      </c>
      <c r="H2035" s="8">
        <v>3</v>
      </c>
      <c r="I2035" s="11">
        <v>0.5</v>
      </c>
      <c r="J2035" s="8" t="s">
        <v>795</v>
      </c>
      <c r="K2035" s="8" t="s">
        <v>804</v>
      </c>
      <c r="L2035" s="8">
        <v>137</v>
      </c>
      <c r="M2035" s="8">
        <v>23</v>
      </c>
    </row>
    <row r="2036" spans="1:13" ht="25" customHeight="1">
      <c r="A2036" s="12">
        <v>68</v>
      </c>
      <c r="B2036" s="8">
        <v>3</v>
      </c>
      <c r="C2036" s="8" t="s">
        <v>711</v>
      </c>
      <c r="D2036" s="8" t="s">
        <v>605</v>
      </c>
      <c r="E2036" s="8">
        <v>2</v>
      </c>
      <c r="F2036" s="8">
        <v>0</v>
      </c>
      <c r="G2036" s="8">
        <v>0</v>
      </c>
      <c r="H2036" s="8">
        <v>9</v>
      </c>
      <c r="I2036" s="11">
        <v>0.1666666666666667</v>
      </c>
      <c r="J2036" s="8" t="s">
        <v>791</v>
      </c>
      <c r="K2036" s="8" t="s">
        <v>792</v>
      </c>
      <c r="L2036" s="8">
        <v>142</v>
      </c>
      <c r="M2036" s="8">
        <v>24</v>
      </c>
    </row>
    <row r="2037" spans="1:13" ht="25" customHeight="1">
      <c r="A2037" s="12">
        <v>69</v>
      </c>
      <c r="B2037" s="8">
        <v>3</v>
      </c>
      <c r="C2037" s="8" t="s">
        <v>711</v>
      </c>
      <c r="D2037" s="8" t="s">
        <v>474</v>
      </c>
      <c r="E2037" s="8">
        <v>1</v>
      </c>
      <c r="F2037" s="8">
        <v>0</v>
      </c>
      <c r="G2037" s="8">
        <v>0</v>
      </c>
      <c r="H2037" s="8">
        <v>9</v>
      </c>
      <c r="I2037" s="11">
        <v>0.08333333333333333</v>
      </c>
      <c r="J2037" s="8" t="s">
        <v>791</v>
      </c>
      <c r="K2037" s="8" t="s">
        <v>1941</v>
      </c>
      <c r="L2037" s="8">
        <v>144</v>
      </c>
    </row>
    <row r="2038" spans="1:13" ht="25" customHeight="1">
      <c r="A2038" s="12">
        <v>70</v>
      </c>
      <c r="B2038" s="8">
        <v>3</v>
      </c>
      <c r="C2038" s="8" t="s">
        <v>716</v>
      </c>
      <c r="D2038" s="8" t="s">
        <v>465</v>
      </c>
      <c r="E2038" s="8">
        <v>2</v>
      </c>
      <c r="F2038" s="11">
        <v>0.5</v>
      </c>
      <c r="G2038" s="8">
        <v>0</v>
      </c>
      <c r="H2038" s="8">
        <v>5</v>
      </c>
      <c r="I2038" s="11">
        <v>0.1428571428571428</v>
      </c>
      <c r="J2038" s="8" t="s">
        <v>791</v>
      </c>
      <c r="K2038" s="8" t="s">
        <v>792</v>
      </c>
      <c r="L2038" s="8">
        <v>145</v>
      </c>
      <c r="M2038" s="8">
        <v>25</v>
      </c>
    </row>
    <row r="2039" spans="1:13" ht="25" customHeight="1">
      <c r="A2039" s="12">
        <v>71</v>
      </c>
      <c r="B2039" s="8">
        <v>3</v>
      </c>
      <c r="C2039" s="8" t="s">
        <v>716</v>
      </c>
      <c r="D2039" s="8" t="s">
        <v>468</v>
      </c>
      <c r="E2039" s="8">
        <v>1</v>
      </c>
      <c r="F2039" s="8">
        <v>1</v>
      </c>
      <c r="G2039" s="8">
        <v>0</v>
      </c>
      <c r="H2039" s="8">
        <v>9</v>
      </c>
      <c r="I2039" s="11">
        <v>0.07142857142857142</v>
      </c>
      <c r="J2039" s="8" t="s">
        <v>791</v>
      </c>
      <c r="K2039" s="8" t="s">
        <v>1941</v>
      </c>
      <c r="L2039" s="8">
        <v>146</v>
      </c>
    </row>
    <row r="2040" spans="1:13" ht="25" customHeight="1">
      <c r="A2040" s="12">
        <v>72</v>
      </c>
      <c r="B2040" s="8">
        <v>3</v>
      </c>
      <c r="C2040" s="8" t="s">
        <v>711</v>
      </c>
      <c r="D2040" s="8" t="s">
        <v>428</v>
      </c>
      <c r="E2040" s="8">
        <v>2</v>
      </c>
      <c r="F2040" s="8">
        <v>0</v>
      </c>
      <c r="G2040" s="8">
        <v>0</v>
      </c>
      <c r="H2040" s="8">
        <v>1</v>
      </c>
      <c r="I2040" s="11">
        <v>0.1666666666666667</v>
      </c>
      <c r="J2040" s="8" t="s">
        <v>791</v>
      </c>
      <c r="K2040" s="8" t="s">
        <v>792</v>
      </c>
      <c r="L2040" s="8">
        <v>147</v>
      </c>
      <c r="M2040" s="8">
        <v>26</v>
      </c>
    </row>
    <row r="2041" spans="1:13" ht="25" customHeight="1">
      <c r="A2041" s="12">
        <v>73</v>
      </c>
      <c r="B2041" s="8">
        <v>3</v>
      </c>
      <c r="C2041" s="8" t="s">
        <v>720</v>
      </c>
      <c r="D2041" s="8" t="s">
        <v>449</v>
      </c>
      <c r="E2041" s="8">
        <v>1</v>
      </c>
      <c r="F2041" s="8">
        <v>0</v>
      </c>
      <c r="G2041" s="8">
        <v>0</v>
      </c>
      <c r="H2041" s="8">
        <v>0</v>
      </c>
      <c r="I2041" s="11">
        <v>0.125</v>
      </c>
      <c r="J2041" s="8" t="s">
        <v>791</v>
      </c>
      <c r="K2041" s="8" t="s">
        <v>1941</v>
      </c>
      <c r="L2041" s="8">
        <v>149</v>
      </c>
    </row>
    <row r="2042" spans="1:13" ht="25" customHeight="1">
      <c r="A2042" s="12">
        <v>74</v>
      </c>
      <c r="B2042" s="8">
        <v>3</v>
      </c>
      <c r="C2042" s="8" t="s">
        <v>706</v>
      </c>
      <c r="D2042" s="8" t="s">
        <v>474</v>
      </c>
      <c r="E2042" s="8">
        <v>1</v>
      </c>
      <c r="F2042" s="8">
        <v>0</v>
      </c>
      <c r="G2042" s="8">
        <v>0</v>
      </c>
      <c r="H2042" s="8">
        <v>0</v>
      </c>
      <c r="I2042" s="11">
        <v>0.1428571428571428</v>
      </c>
      <c r="J2042" s="8" t="s">
        <v>791</v>
      </c>
      <c r="K2042" s="8" t="s">
        <v>1941</v>
      </c>
      <c r="L2042" s="8">
        <v>152</v>
      </c>
    </row>
    <row r="2043" spans="1:13" ht="25" customHeight="1">
      <c r="A2043" s="12">
        <v>75</v>
      </c>
      <c r="B2043" s="8">
        <v>3</v>
      </c>
      <c r="C2043" s="8" t="s">
        <v>706</v>
      </c>
      <c r="D2043" s="8" t="s">
        <v>449</v>
      </c>
      <c r="E2043" s="8">
        <v>1</v>
      </c>
      <c r="F2043" s="8">
        <v>1</v>
      </c>
      <c r="G2043" s="8">
        <v>0</v>
      </c>
      <c r="H2043" s="8">
        <v>5</v>
      </c>
      <c r="I2043" s="11">
        <v>0.1428571428571428</v>
      </c>
      <c r="J2043" s="8" t="s">
        <v>791</v>
      </c>
      <c r="K2043" s="8" t="s">
        <v>1941</v>
      </c>
      <c r="L2043" s="8">
        <v>158</v>
      </c>
    </row>
    <row r="2044" spans="1:13" ht="25" customHeight="1">
      <c r="A2044" s="12">
        <v>76</v>
      </c>
      <c r="B2044" s="8">
        <v>3</v>
      </c>
      <c r="C2044" s="8" t="s">
        <v>720</v>
      </c>
      <c r="D2044" s="8" t="s">
        <v>465</v>
      </c>
      <c r="E2044" s="8">
        <v>3</v>
      </c>
      <c r="F2044" s="11">
        <v>0.3333333333333333</v>
      </c>
      <c r="G2044" s="8">
        <v>0</v>
      </c>
      <c r="H2044" s="11">
        <v>5.666666666666667</v>
      </c>
      <c r="I2044" s="11">
        <v>0.375</v>
      </c>
      <c r="J2044" s="8" t="s">
        <v>801</v>
      </c>
      <c r="K2044" s="8" t="s">
        <v>804</v>
      </c>
      <c r="L2044" s="8">
        <v>159</v>
      </c>
      <c r="M2044" s="8">
        <v>27</v>
      </c>
    </row>
    <row r="2045" spans="1:13" ht="25" customHeight="1">
      <c r="A2045" s="12">
        <v>77</v>
      </c>
      <c r="B2045" s="8">
        <v>3</v>
      </c>
      <c r="C2045" s="8" t="s">
        <v>720</v>
      </c>
      <c r="D2045" s="8" t="s">
        <v>428</v>
      </c>
      <c r="E2045" s="8">
        <v>3</v>
      </c>
      <c r="F2045" s="11">
        <v>0.3333333333333333</v>
      </c>
      <c r="G2045" s="8">
        <v>0</v>
      </c>
      <c r="H2045" s="11">
        <v>0.3333333333333333</v>
      </c>
      <c r="I2045" s="11">
        <v>0.375</v>
      </c>
      <c r="J2045" s="8" t="s">
        <v>801</v>
      </c>
      <c r="K2045" s="8" t="s">
        <v>804</v>
      </c>
      <c r="L2045" s="8">
        <v>164</v>
      </c>
      <c r="M2045" s="8">
        <v>28</v>
      </c>
    </row>
    <row r="2046" spans="1:13" ht="25" customHeight="1">
      <c r="A2046" s="12">
        <v>78</v>
      </c>
      <c r="B2046" s="8">
        <v>3</v>
      </c>
      <c r="C2046" s="8" t="s">
        <v>716</v>
      </c>
      <c r="D2046" s="8" t="s">
        <v>428</v>
      </c>
      <c r="E2046" s="8">
        <v>1</v>
      </c>
      <c r="F2046" s="8">
        <v>0</v>
      </c>
      <c r="G2046" s="8">
        <v>0</v>
      </c>
      <c r="H2046" s="8">
        <v>2</v>
      </c>
      <c r="I2046" s="11">
        <v>0.07142857142857142</v>
      </c>
      <c r="J2046" s="8" t="s">
        <v>791</v>
      </c>
      <c r="K2046" s="8" t="s">
        <v>1941</v>
      </c>
      <c r="L2046" s="8">
        <v>168</v>
      </c>
    </row>
    <row r="2047" spans="1:13" ht="25" customHeight="1">
      <c r="A2047" s="12">
        <v>79</v>
      </c>
      <c r="B2047" s="8">
        <v>3</v>
      </c>
      <c r="C2047" s="8" t="s">
        <v>706</v>
      </c>
      <c r="D2047" s="8" t="s">
        <v>428</v>
      </c>
      <c r="E2047" s="8">
        <v>1</v>
      </c>
      <c r="F2047" s="8">
        <v>0</v>
      </c>
      <c r="G2047" s="8">
        <v>0</v>
      </c>
      <c r="H2047" s="8">
        <v>-1</v>
      </c>
      <c r="I2047" s="11">
        <v>0.1428571428571428</v>
      </c>
      <c r="J2047" s="8" t="s">
        <v>791</v>
      </c>
      <c r="K2047" s="8" t="s">
        <v>1941</v>
      </c>
      <c r="L2047" s="8">
        <v>169</v>
      </c>
    </row>
    <row r="2048" spans="1:13" ht="25" customHeight="1">
      <c r="A2048" s="12">
        <v>80</v>
      </c>
      <c r="B2048" s="8">
        <v>3</v>
      </c>
      <c r="C2048" s="8" t="s">
        <v>706</v>
      </c>
      <c r="D2048" s="8" t="s">
        <v>878</v>
      </c>
      <c r="E2048" s="8">
        <v>1</v>
      </c>
      <c r="F2048" s="8">
        <v>1</v>
      </c>
      <c r="G2048" s="8">
        <v>1</v>
      </c>
      <c r="H2048" s="8">
        <v>36</v>
      </c>
      <c r="I2048" s="11">
        <v>0.1428571428571428</v>
      </c>
      <c r="J2048" s="8" t="s">
        <v>791</v>
      </c>
      <c r="K2048" s="8" t="s">
        <v>1941</v>
      </c>
      <c r="L2048" s="8">
        <v>172</v>
      </c>
    </row>
    <row r="2049" spans="1:13" ht="25" customHeight="1">
      <c r="A2049" s="12">
        <v>81</v>
      </c>
      <c r="B2049" s="8">
        <v>4</v>
      </c>
      <c r="C2049" s="8" t="s">
        <v>706</v>
      </c>
      <c r="D2049" s="8" t="s">
        <v>1038</v>
      </c>
      <c r="E2049" s="8">
        <v>1</v>
      </c>
      <c r="F2049" s="8">
        <v>0</v>
      </c>
      <c r="G2049" s="8">
        <v>0</v>
      </c>
      <c r="H2049" s="8">
        <v>-1</v>
      </c>
      <c r="I2049" s="11">
        <v>0.5</v>
      </c>
      <c r="J2049" s="8" t="s">
        <v>791</v>
      </c>
      <c r="K2049" s="8" t="s">
        <v>804</v>
      </c>
      <c r="L2049" s="8">
        <v>173</v>
      </c>
    </row>
    <row r="2050" spans="1:13" ht="25" customHeight="1">
      <c r="A2050" s="12">
        <v>82</v>
      </c>
      <c r="B2050" s="8">
        <v>4</v>
      </c>
      <c r="C2050" s="8" t="s">
        <v>706</v>
      </c>
      <c r="D2050" s="8" t="s">
        <v>878</v>
      </c>
      <c r="E2050" s="8">
        <v>1</v>
      </c>
      <c r="F2050" s="8">
        <v>0</v>
      </c>
      <c r="G2050" s="8">
        <v>0</v>
      </c>
      <c r="H2050" s="8">
        <v>0</v>
      </c>
      <c r="I2050" s="11">
        <v>0.5</v>
      </c>
      <c r="J2050" s="8" t="s">
        <v>791</v>
      </c>
      <c r="K2050" s="8" t="s">
        <v>804</v>
      </c>
      <c r="L2050" s="8">
        <v>174</v>
      </c>
    </row>
    <row r="2056" spans="1:13" ht="27" customHeight="1">
      <c r="A2056" s="5" t="s">
        <v>1948</v>
      </c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</row>
    <row r="2057" spans="1:13" ht="36" customHeight="1">
      <c r="A2057" s="9" t="s">
        <v>683</v>
      </c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</row>
    <row r="2058" spans="1:13" ht="25" customHeight="1">
      <c r="A2058" s="6" t="s">
        <v>684</v>
      </c>
    </row>
    <row r="2059" spans="1:13" ht="25" customHeight="1">
      <c r="A2059" s="12">
        <v>1</v>
      </c>
      <c r="B2059" s="8" t="s">
        <v>687</v>
      </c>
      <c r="C2059" s="8" t="s">
        <v>688</v>
      </c>
      <c r="D2059" s="8" t="s">
        <v>814</v>
      </c>
      <c r="E2059" s="8" t="s">
        <v>782</v>
      </c>
      <c r="F2059" s="8" t="s">
        <v>783</v>
      </c>
      <c r="G2059" s="8" t="s">
        <v>784</v>
      </c>
      <c r="H2059" s="8" t="s">
        <v>785</v>
      </c>
      <c r="I2059" s="8" t="s">
        <v>690</v>
      </c>
      <c r="J2059" s="8" t="s">
        <v>786</v>
      </c>
      <c r="K2059" s="8" t="s">
        <v>1940</v>
      </c>
      <c r="L2059" s="8" t="s">
        <v>1946</v>
      </c>
      <c r="M2059" s="8" t="s">
        <v>1947</v>
      </c>
    </row>
    <row r="2060" spans="1:13" ht="25" customHeight="1">
      <c r="A2060" s="12">
        <v>2</v>
      </c>
      <c r="B2060" s="8">
        <v>0</v>
      </c>
      <c r="C2060" s="8" t="s">
        <v>115</v>
      </c>
      <c r="D2060" s="8" t="s">
        <v>1395</v>
      </c>
      <c r="E2060" s="8">
        <v>1</v>
      </c>
      <c r="F2060" s="8">
        <v>0</v>
      </c>
      <c r="G2060" s="8">
        <v>0</v>
      </c>
      <c r="H2060" s="8">
        <v>5</v>
      </c>
      <c r="I2060" s="11">
        <v>0.02777777777777778</v>
      </c>
      <c r="J2060" s="8" t="s">
        <v>791</v>
      </c>
      <c r="K2060" s="8" t="s">
        <v>1941</v>
      </c>
      <c r="L2060" s="8">
        <v>3</v>
      </c>
    </row>
    <row r="2061" spans="1:13" ht="25" customHeight="1">
      <c r="A2061" s="12">
        <v>3</v>
      </c>
      <c r="B2061" s="8">
        <v>0</v>
      </c>
      <c r="C2061" s="8" t="s">
        <v>115</v>
      </c>
      <c r="D2061" s="8" t="s">
        <v>1398</v>
      </c>
      <c r="E2061" s="8">
        <v>2</v>
      </c>
      <c r="F2061" s="8">
        <v>0</v>
      </c>
      <c r="G2061" s="8">
        <v>0</v>
      </c>
      <c r="H2061" s="8">
        <v>0</v>
      </c>
      <c r="I2061" s="11">
        <v>0.05555555555555555</v>
      </c>
      <c r="J2061" s="8" t="s">
        <v>791</v>
      </c>
      <c r="K2061" s="8" t="s">
        <v>792</v>
      </c>
      <c r="L2061" s="8">
        <v>4</v>
      </c>
      <c r="M2061" s="8">
        <v>1</v>
      </c>
    </row>
    <row r="2062" spans="1:13" ht="25" customHeight="1">
      <c r="A2062" s="12">
        <v>4</v>
      </c>
      <c r="B2062" s="8">
        <v>0</v>
      </c>
      <c r="C2062" s="8" t="s">
        <v>115</v>
      </c>
      <c r="D2062" s="8" t="s">
        <v>1401</v>
      </c>
      <c r="E2062" s="8">
        <v>1</v>
      </c>
      <c r="F2062" s="8">
        <v>1</v>
      </c>
      <c r="G2062" s="8">
        <v>0</v>
      </c>
      <c r="H2062" s="8">
        <v>9</v>
      </c>
      <c r="I2062" s="11">
        <v>0.02777777777777778</v>
      </c>
      <c r="J2062" s="8" t="s">
        <v>791</v>
      </c>
      <c r="K2062" s="8" t="s">
        <v>1941</v>
      </c>
      <c r="L2062" s="8">
        <v>5</v>
      </c>
    </row>
    <row r="2063" spans="1:13" ht="25" customHeight="1">
      <c r="A2063" s="12">
        <v>5</v>
      </c>
      <c r="B2063" s="8">
        <v>0</v>
      </c>
      <c r="C2063" s="8" t="s">
        <v>115</v>
      </c>
      <c r="D2063" s="8" t="s">
        <v>815</v>
      </c>
      <c r="E2063" s="8">
        <v>3</v>
      </c>
      <c r="F2063" s="11">
        <v>0.6666666666666666</v>
      </c>
      <c r="G2063" s="8">
        <v>0</v>
      </c>
      <c r="H2063" s="8">
        <v>4</v>
      </c>
      <c r="I2063" s="11">
        <v>0.08333333333333333</v>
      </c>
      <c r="J2063" s="8" t="s">
        <v>801</v>
      </c>
      <c r="K2063" s="8" t="s">
        <v>792</v>
      </c>
      <c r="L2063" s="8">
        <v>6</v>
      </c>
      <c r="M2063" s="8">
        <v>2</v>
      </c>
    </row>
    <row r="2064" spans="1:13" ht="25" customHeight="1">
      <c r="A2064" s="12">
        <v>6</v>
      </c>
      <c r="B2064" s="8">
        <v>0</v>
      </c>
      <c r="C2064" s="8" t="s">
        <v>115</v>
      </c>
      <c r="D2064" s="8" t="s">
        <v>1406</v>
      </c>
      <c r="E2064" s="8">
        <v>1</v>
      </c>
      <c r="F2064" s="8">
        <v>0</v>
      </c>
      <c r="G2064" s="8">
        <v>0</v>
      </c>
      <c r="H2064" s="8">
        <v>5</v>
      </c>
      <c r="I2064" s="11">
        <v>0.02777777777777778</v>
      </c>
      <c r="J2064" s="8" t="s">
        <v>791</v>
      </c>
      <c r="K2064" s="8" t="s">
        <v>1941</v>
      </c>
      <c r="L2064" s="8">
        <v>7</v>
      </c>
    </row>
    <row r="2065" spans="1:13" ht="25" customHeight="1">
      <c r="A2065" s="12">
        <v>7</v>
      </c>
      <c r="B2065" s="8">
        <v>0</v>
      </c>
      <c r="C2065" s="8" t="s">
        <v>115</v>
      </c>
      <c r="D2065" s="8" t="s">
        <v>49</v>
      </c>
      <c r="E2065" s="8">
        <v>3</v>
      </c>
      <c r="F2065" s="11">
        <v>0.6666666666666666</v>
      </c>
      <c r="G2065" s="11">
        <v>0.3333333333333333</v>
      </c>
      <c r="H2065" s="11">
        <v>6.333333333333333</v>
      </c>
      <c r="I2065" s="11">
        <v>0.08333333333333333</v>
      </c>
      <c r="J2065" s="8" t="s">
        <v>801</v>
      </c>
      <c r="K2065" s="8" t="s">
        <v>792</v>
      </c>
      <c r="L2065" s="8">
        <v>8</v>
      </c>
      <c r="M2065" s="8">
        <v>3</v>
      </c>
    </row>
    <row r="2066" spans="1:13" ht="25" customHeight="1">
      <c r="A2066" s="12">
        <v>8</v>
      </c>
      <c r="B2066" s="8">
        <v>0</v>
      </c>
      <c r="C2066" s="8" t="s">
        <v>115</v>
      </c>
      <c r="D2066" s="8" t="s">
        <v>1410</v>
      </c>
      <c r="E2066" s="8">
        <v>1</v>
      </c>
      <c r="F2066" s="8">
        <v>0</v>
      </c>
      <c r="G2066" s="8">
        <v>0</v>
      </c>
      <c r="H2066" s="8">
        <v>-2</v>
      </c>
      <c r="I2066" s="11">
        <v>0.02777777777777778</v>
      </c>
      <c r="J2066" s="8" t="s">
        <v>791</v>
      </c>
      <c r="K2066" s="8" t="s">
        <v>1941</v>
      </c>
      <c r="L2066" s="8">
        <v>9</v>
      </c>
    </row>
    <row r="2067" spans="1:13" ht="25" customHeight="1">
      <c r="A2067" s="12">
        <v>9</v>
      </c>
      <c r="B2067" s="8">
        <v>0</v>
      </c>
      <c r="C2067" s="8" t="s">
        <v>115</v>
      </c>
      <c r="D2067" s="8" t="s">
        <v>1413</v>
      </c>
      <c r="E2067" s="8">
        <v>1</v>
      </c>
      <c r="F2067" s="8">
        <v>1</v>
      </c>
      <c r="G2067" s="8">
        <v>0</v>
      </c>
      <c r="H2067" s="8">
        <v>6</v>
      </c>
      <c r="I2067" s="11">
        <v>0.02777777777777778</v>
      </c>
      <c r="J2067" s="8" t="s">
        <v>791</v>
      </c>
      <c r="K2067" s="8" t="s">
        <v>1941</v>
      </c>
      <c r="L2067" s="8">
        <v>10</v>
      </c>
    </row>
    <row r="2068" spans="1:13" ht="25" customHeight="1">
      <c r="A2068" s="12">
        <v>10</v>
      </c>
      <c r="B2068" s="8">
        <v>0</v>
      </c>
      <c r="C2068" s="8" t="s">
        <v>115</v>
      </c>
      <c r="D2068" s="8" t="s">
        <v>1416</v>
      </c>
      <c r="E2068" s="8">
        <v>1</v>
      </c>
      <c r="F2068" s="8">
        <v>0</v>
      </c>
      <c r="G2068" s="8">
        <v>0</v>
      </c>
      <c r="H2068" s="8">
        <v>0</v>
      </c>
      <c r="I2068" s="11">
        <v>0.02777777777777778</v>
      </c>
      <c r="J2068" s="8" t="s">
        <v>791</v>
      </c>
      <c r="K2068" s="8" t="s">
        <v>1941</v>
      </c>
      <c r="L2068" s="8">
        <v>11</v>
      </c>
    </row>
    <row r="2069" spans="1:13" ht="25" customHeight="1">
      <c r="A2069" s="12">
        <v>11</v>
      </c>
      <c r="B2069" s="8">
        <v>0</v>
      </c>
      <c r="C2069" s="8" t="s">
        <v>115</v>
      </c>
      <c r="D2069" s="8" t="s">
        <v>819</v>
      </c>
      <c r="E2069" s="8">
        <v>1</v>
      </c>
      <c r="F2069" s="8">
        <v>0</v>
      </c>
      <c r="G2069" s="8">
        <v>0</v>
      </c>
      <c r="H2069" s="8">
        <v>0</v>
      </c>
      <c r="I2069" s="11">
        <v>0.02777777777777778</v>
      </c>
      <c r="J2069" s="8" t="s">
        <v>791</v>
      </c>
      <c r="K2069" s="8" t="s">
        <v>1941</v>
      </c>
      <c r="L2069" s="8">
        <v>12</v>
      </c>
    </row>
    <row r="2070" spans="1:13" ht="25" customHeight="1">
      <c r="A2070" s="12">
        <v>12</v>
      </c>
      <c r="B2070" s="8">
        <v>0</v>
      </c>
      <c r="C2070" s="8" t="s">
        <v>115</v>
      </c>
      <c r="D2070" s="8" t="s">
        <v>1420</v>
      </c>
      <c r="E2070" s="8">
        <v>1</v>
      </c>
      <c r="F2070" s="8">
        <v>1</v>
      </c>
      <c r="G2070" s="8">
        <v>0</v>
      </c>
      <c r="H2070" s="8">
        <v>3</v>
      </c>
      <c r="I2070" s="11">
        <v>0.02777777777777778</v>
      </c>
      <c r="J2070" s="8" t="s">
        <v>791</v>
      </c>
      <c r="K2070" s="8" t="s">
        <v>1941</v>
      </c>
      <c r="L2070" s="8">
        <v>13</v>
      </c>
    </row>
    <row r="2071" spans="1:13" ht="25" customHeight="1">
      <c r="A2071" s="12">
        <v>13</v>
      </c>
      <c r="B2071" s="8">
        <v>0</v>
      </c>
      <c r="C2071" s="8" t="s">
        <v>115</v>
      </c>
      <c r="D2071" s="8" t="s">
        <v>1422</v>
      </c>
      <c r="E2071" s="8">
        <v>1</v>
      </c>
      <c r="F2071" s="8">
        <v>0</v>
      </c>
      <c r="G2071" s="8">
        <v>0</v>
      </c>
      <c r="H2071" s="8">
        <v>0</v>
      </c>
      <c r="I2071" s="11">
        <v>0.02777777777777778</v>
      </c>
      <c r="J2071" s="8" t="s">
        <v>791</v>
      </c>
      <c r="K2071" s="8" t="s">
        <v>1941</v>
      </c>
      <c r="L2071" s="8">
        <v>14</v>
      </c>
    </row>
    <row r="2072" spans="1:13" ht="25" customHeight="1">
      <c r="A2072" s="12">
        <v>14</v>
      </c>
      <c r="B2072" s="8">
        <v>0</v>
      </c>
      <c r="C2072" s="8" t="s">
        <v>115</v>
      </c>
      <c r="D2072" s="8" t="s">
        <v>1424</v>
      </c>
      <c r="E2072" s="8">
        <v>1</v>
      </c>
      <c r="F2072" s="8">
        <v>1</v>
      </c>
      <c r="G2072" s="8">
        <v>0</v>
      </c>
      <c r="H2072" s="8">
        <v>7</v>
      </c>
      <c r="I2072" s="11">
        <v>0.02777777777777778</v>
      </c>
      <c r="J2072" s="8" t="s">
        <v>791</v>
      </c>
      <c r="K2072" s="8" t="s">
        <v>1941</v>
      </c>
      <c r="L2072" s="8">
        <v>16</v>
      </c>
    </row>
    <row r="2073" spans="1:13" ht="25" customHeight="1">
      <c r="A2073" s="12">
        <v>15</v>
      </c>
      <c r="B2073" s="8">
        <v>0</v>
      </c>
      <c r="C2073" s="8" t="s">
        <v>115</v>
      </c>
      <c r="D2073" s="8" t="s">
        <v>1429</v>
      </c>
      <c r="E2073" s="8">
        <v>1</v>
      </c>
      <c r="F2073" s="8">
        <v>1</v>
      </c>
      <c r="G2073" s="8">
        <v>0</v>
      </c>
      <c r="H2073" s="8">
        <v>8</v>
      </c>
      <c r="I2073" s="11">
        <v>0.02777777777777778</v>
      </c>
      <c r="J2073" s="8" t="s">
        <v>791</v>
      </c>
      <c r="K2073" s="8" t="s">
        <v>1941</v>
      </c>
      <c r="L2073" s="8">
        <v>18</v>
      </c>
    </row>
    <row r="2074" spans="1:13" ht="25" customHeight="1">
      <c r="A2074" s="12">
        <v>16</v>
      </c>
      <c r="B2074" s="8">
        <v>0</v>
      </c>
      <c r="C2074" s="8" t="s">
        <v>115</v>
      </c>
      <c r="D2074" s="8" t="s">
        <v>1431</v>
      </c>
      <c r="E2074" s="8">
        <v>1</v>
      </c>
      <c r="F2074" s="8">
        <v>1</v>
      </c>
      <c r="G2074" s="8">
        <v>1</v>
      </c>
      <c r="H2074" s="8">
        <v>15</v>
      </c>
      <c r="I2074" s="11">
        <v>0.02777777777777778</v>
      </c>
      <c r="J2074" s="8" t="s">
        <v>791</v>
      </c>
      <c r="K2074" s="8" t="s">
        <v>1941</v>
      </c>
      <c r="L2074" s="8">
        <v>19</v>
      </c>
    </row>
    <row r="2075" spans="1:13" ht="25" customHeight="1">
      <c r="A2075" s="12">
        <v>17</v>
      </c>
      <c r="B2075" s="8">
        <v>0</v>
      </c>
      <c r="C2075" s="8" t="s">
        <v>115</v>
      </c>
      <c r="D2075" s="8" t="s">
        <v>1433</v>
      </c>
      <c r="E2075" s="8">
        <v>1</v>
      </c>
      <c r="F2075" s="8">
        <v>0</v>
      </c>
      <c r="G2075" s="8">
        <v>0</v>
      </c>
      <c r="H2075" s="8">
        <v>1</v>
      </c>
      <c r="I2075" s="11">
        <v>0.02777777777777778</v>
      </c>
      <c r="J2075" s="8" t="s">
        <v>791</v>
      </c>
      <c r="K2075" s="8" t="s">
        <v>1941</v>
      </c>
      <c r="L2075" s="8">
        <v>20</v>
      </c>
    </row>
    <row r="2076" spans="1:13" ht="25" customHeight="1">
      <c r="A2076" s="12">
        <v>18</v>
      </c>
      <c r="B2076" s="8">
        <v>0</v>
      </c>
      <c r="C2076" s="8" t="s">
        <v>115</v>
      </c>
      <c r="D2076" s="8" t="s">
        <v>1435</v>
      </c>
      <c r="E2076" s="8">
        <v>1</v>
      </c>
      <c r="F2076" s="8">
        <v>0</v>
      </c>
      <c r="G2076" s="8">
        <v>0</v>
      </c>
      <c r="H2076" s="8">
        <v>2</v>
      </c>
      <c r="I2076" s="11">
        <v>0.02777777777777778</v>
      </c>
      <c r="J2076" s="8" t="s">
        <v>791</v>
      </c>
      <c r="K2076" s="8" t="s">
        <v>1941</v>
      </c>
      <c r="L2076" s="8">
        <v>21</v>
      </c>
    </row>
    <row r="2077" spans="1:13" ht="25" customHeight="1">
      <c r="A2077" s="12">
        <v>19</v>
      </c>
      <c r="B2077" s="8">
        <v>0</v>
      </c>
      <c r="C2077" s="8" t="s">
        <v>115</v>
      </c>
      <c r="D2077" s="8" t="s">
        <v>816</v>
      </c>
      <c r="E2077" s="8">
        <v>4</v>
      </c>
      <c r="F2077" s="11">
        <v>0.25</v>
      </c>
      <c r="G2077" s="8">
        <v>0</v>
      </c>
      <c r="H2077" s="11">
        <v>2.75</v>
      </c>
      <c r="I2077" s="11">
        <v>0.1111111111111111</v>
      </c>
      <c r="J2077" s="8" t="s">
        <v>795</v>
      </c>
      <c r="K2077" s="8" t="s">
        <v>796</v>
      </c>
      <c r="L2077" s="8">
        <v>23</v>
      </c>
      <c r="M2077" s="8">
        <v>4</v>
      </c>
    </row>
    <row r="2078" spans="1:13" ht="25" customHeight="1">
      <c r="A2078" s="12">
        <v>20</v>
      </c>
      <c r="B2078" s="8">
        <v>0</v>
      </c>
      <c r="C2078" s="8" t="s">
        <v>115</v>
      </c>
      <c r="D2078" s="8" t="s">
        <v>1439</v>
      </c>
      <c r="E2078" s="8">
        <v>1</v>
      </c>
      <c r="F2078" s="8">
        <v>0</v>
      </c>
      <c r="G2078" s="8">
        <v>0</v>
      </c>
      <c r="H2078" s="8">
        <v>2</v>
      </c>
      <c r="I2078" s="11">
        <v>0.02777777777777778</v>
      </c>
      <c r="J2078" s="8" t="s">
        <v>791</v>
      </c>
      <c r="K2078" s="8" t="s">
        <v>1941</v>
      </c>
      <c r="L2078" s="8">
        <v>24</v>
      </c>
    </row>
    <row r="2079" spans="1:13" ht="25" customHeight="1">
      <c r="A2079" s="12">
        <v>21</v>
      </c>
      <c r="B2079" s="8">
        <v>0</v>
      </c>
      <c r="C2079" s="8" t="s">
        <v>115</v>
      </c>
      <c r="D2079" s="8" t="s">
        <v>817</v>
      </c>
      <c r="E2079" s="8">
        <v>2</v>
      </c>
      <c r="F2079" s="8">
        <v>0</v>
      </c>
      <c r="G2079" s="8">
        <v>0</v>
      </c>
      <c r="H2079" s="11">
        <v>1.5</v>
      </c>
      <c r="I2079" s="11">
        <v>0.05555555555555555</v>
      </c>
      <c r="J2079" s="8" t="s">
        <v>791</v>
      </c>
      <c r="K2079" s="8" t="s">
        <v>792</v>
      </c>
      <c r="L2079" s="8">
        <v>26</v>
      </c>
      <c r="M2079" s="8">
        <v>5</v>
      </c>
    </row>
    <row r="2080" spans="1:13" ht="25" customHeight="1">
      <c r="A2080" s="12">
        <v>22</v>
      </c>
      <c r="B2080" s="8">
        <v>0</v>
      </c>
      <c r="C2080" s="8" t="s">
        <v>115</v>
      </c>
      <c r="D2080" s="8" t="s">
        <v>818</v>
      </c>
      <c r="E2080" s="8">
        <v>2</v>
      </c>
      <c r="F2080" s="11">
        <v>0.5</v>
      </c>
      <c r="G2080" s="8">
        <v>0</v>
      </c>
      <c r="H2080" s="11">
        <v>2.5</v>
      </c>
      <c r="I2080" s="11">
        <v>0.05555555555555555</v>
      </c>
      <c r="J2080" s="8" t="s">
        <v>791</v>
      </c>
      <c r="K2080" s="8" t="s">
        <v>792</v>
      </c>
      <c r="L2080" s="8">
        <v>28</v>
      </c>
      <c r="M2080" s="8">
        <v>6</v>
      </c>
    </row>
    <row r="2081" spans="1:13" ht="25" customHeight="1">
      <c r="A2081" s="12">
        <v>23</v>
      </c>
      <c r="B2081" s="8">
        <v>0</v>
      </c>
      <c r="C2081" s="8" t="s">
        <v>115</v>
      </c>
      <c r="D2081" s="8" t="s">
        <v>1447</v>
      </c>
      <c r="E2081" s="8">
        <v>1</v>
      </c>
      <c r="F2081" s="8">
        <v>0</v>
      </c>
      <c r="G2081" s="8">
        <v>0</v>
      </c>
      <c r="H2081" s="8">
        <v>-4</v>
      </c>
      <c r="I2081" s="11">
        <v>0.02777777777777778</v>
      </c>
      <c r="J2081" s="8" t="s">
        <v>791</v>
      </c>
      <c r="K2081" s="8" t="s">
        <v>1941</v>
      </c>
      <c r="L2081" s="8">
        <v>30</v>
      </c>
    </row>
    <row r="2082" spans="1:13" ht="25" customHeight="1">
      <c r="A2082" s="12">
        <v>24</v>
      </c>
      <c r="B2082" s="8">
        <v>0</v>
      </c>
      <c r="C2082" s="8" t="s">
        <v>115</v>
      </c>
      <c r="D2082" s="8" t="s">
        <v>823</v>
      </c>
      <c r="E2082" s="8">
        <v>2</v>
      </c>
      <c r="F2082" s="11">
        <v>0.5</v>
      </c>
      <c r="G2082" s="11">
        <v>0.5</v>
      </c>
      <c r="H2082" s="8">
        <v>7</v>
      </c>
      <c r="I2082" s="11">
        <v>0.05555555555555555</v>
      </c>
      <c r="J2082" s="8" t="s">
        <v>791</v>
      </c>
      <c r="K2082" s="8" t="s">
        <v>792</v>
      </c>
      <c r="L2082" s="8">
        <v>31</v>
      </c>
      <c r="M2082" s="8">
        <v>7</v>
      </c>
    </row>
    <row r="2083" spans="1:13" ht="25" customHeight="1">
      <c r="A2083" s="12">
        <v>25</v>
      </c>
      <c r="B2083" s="8">
        <v>0</v>
      </c>
      <c r="C2083" s="8" t="s">
        <v>115</v>
      </c>
      <c r="D2083" s="8" t="s">
        <v>1451</v>
      </c>
      <c r="E2083" s="8">
        <v>1</v>
      </c>
      <c r="F2083" s="8">
        <v>1</v>
      </c>
      <c r="G2083" s="8">
        <v>0</v>
      </c>
      <c r="H2083" s="8">
        <v>1</v>
      </c>
      <c r="I2083" s="11">
        <v>0.02777777777777778</v>
      </c>
      <c r="J2083" s="8" t="s">
        <v>791</v>
      </c>
      <c r="K2083" s="8" t="s">
        <v>1941</v>
      </c>
      <c r="L2083" s="8">
        <v>32</v>
      </c>
    </row>
    <row r="2084" spans="1:13" ht="25" customHeight="1">
      <c r="A2084" s="12">
        <v>26</v>
      </c>
      <c r="B2084" s="8">
        <v>0</v>
      </c>
      <c r="C2084" s="8" t="s">
        <v>115</v>
      </c>
      <c r="D2084" s="8" t="s">
        <v>1455</v>
      </c>
      <c r="E2084" s="8">
        <v>1</v>
      </c>
      <c r="F2084" s="8">
        <v>0</v>
      </c>
      <c r="G2084" s="8">
        <v>0</v>
      </c>
      <c r="H2084" s="8">
        <v>-5</v>
      </c>
      <c r="I2084" s="11">
        <v>0.02777777777777778</v>
      </c>
      <c r="J2084" s="8" t="s">
        <v>791</v>
      </c>
      <c r="K2084" s="8" t="s">
        <v>1941</v>
      </c>
      <c r="L2084" s="8">
        <v>36</v>
      </c>
    </row>
    <row r="2085" spans="1:13" ht="25" customHeight="1">
      <c r="A2085" s="12">
        <v>27</v>
      </c>
      <c r="B2085" s="8">
        <v>1</v>
      </c>
      <c r="C2085" s="8" t="s">
        <v>711</v>
      </c>
      <c r="D2085" s="8" t="s">
        <v>815</v>
      </c>
      <c r="E2085" s="8">
        <v>1</v>
      </c>
      <c r="F2085" s="8">
        <v>0</v>
      </c>
      <c r="G2085" s="8">
        <v>0</v>
      </c>
      <c r="H2085" s="8">
        <v>-2</v>
      </c>
      <c r="I2085" s="11">
        <v>0.3333333333333333</v>
      </c>
      <c r="J2085" s="8" t="s">
        <v>791</v>
      </c>
      <c r="K2085" s="8" t="s">
        <v>796</v>
      </c>
      <c r="L2085" s="8">
        <v>40</v>
      </c>
    </row>
    <row r="2086" spans="1:13" ht="25" customHeight="1">
      <c r="A2086" s="12">
        <v>28</v>
      </c>
      <c r="B2086" s="8">
        <v>1</v>
      </c>
      <c r="C2086" s="8" t="s">
        <v>716</v>
      </c>
      <c r="D2086" s="8" t="s">
        <v>819</v>
      </c>
      <c r="E2086" s="8">
        <v>2</v>
      </c>
      <c r="F2086" s="11">
        <v>0.5</v>
      </c>
      <c r="G2086" s="8">
        <v>0</v>
      </c>
      <c r="H2086" s="8">
        <v>4</v>
      </c>
      <c r="I2086" s="11">
        <v>0.07692307692307693</v>
      </c>
      <c r="J2086" s="8" t="s">
        <v>791</v>
      </c>
      <c r="K2086" s="8" t="s">
        <v>792</v>
      </c>
      <c r="L2086" s="8">
        <v>41</v>
      </c>
      <c r="M2086" s="8">
        <v>8</v>
      </c>
    </row>
    <row r="2087" spans="1:13" ht="25" customHeight="1">
      <c r="A2087" s="12">
        <v>29</v>
      </c>
      <c r="B2087" s="8">
        <v>1</v>
      </c>
      <c r="C2087" s="8" t="s">
        <v>716</v>
      </c>
      <c r="D2087" s="8" t="s">
        <v>816</v>
      </c>
      <c r="E2087" s="8">
        <v>6</v>
      </c>
      <c r="F2087" s="11">
        <v>0.1666666666666667</v>
      </c>
      <c r="G2087" s="8">
        <v>0</v>
      </c>
      <c r="H2087" s="11">
        <v>1.833333333333333</v>
      </c>
      <c r="I2087" s="11">
        <v>0.2307692307692308</v>
      </c>
      <c r="J2087" s="8" t="s">
        <v>795</v>
      </c>
      <c r="K2087" s="8" t="s">
        <v>796</v>
      </c>
      <c r="L2087" s="8">
        <v>42</v>
      </c>
      <c r="M2087" s="8">
        <v>9</v>
      </c>
    </row>
    <row r="2088" spans="1:13" ht="25" customHeight="1">
      <c r="A2088" s="12">
        <v>30</v>
      </c>
      <c r="B2088" s="8">
        <v>1</v>
      </c>
      <c r="C2088" s="8" t="s">
        <v>716</v>
      </c>
      <c r="D2088" s="8" t="s">
        <v>815</v>
      </c>
      <c r="E2088" s="8">
        <v>1</v>
      </c>
      <c r="F2088" s="8">
        <v>1</v>
      </c>
      <c r="G2088" s="8">
        <v>0</v>
      </c>
      <c r="H2088" s="8">
        <v>8</v>
      </c>
      <c r="I2088" s="11">
        <v>0.03846153846153846</v>
      </c>
      <c r="J2088" s="8" t="s">
        <v>791</v>
      </c>
      <c r="K2088" s="8" t="s">
        <v>1941</v>
      </c>
      <c r="L2088" s="8">
        <v>43</v>
      </c>
    </row>
    <row r="2089" spans="1:13" ht="25" customHeight="1">
      <c r="A2089" s="12">
        <v>31</v>
      </c>
      <c r="B2089" s="8">
        <v>1</v>
      </c>
      <c r="C2089" s="8" t="s">
        <v>716</v>
      </c>
      <c r="D2089" s="8" t="s">
        <v>1410</v>
      </c>
      <c r="E2089" s="8">
        <v>1</v>
      </c>
      <c r="F2089" s="8">
        <v>1</v>
      </c>
      <c r="G2089" s="8">
        <v>0</v>
      </c>
      <c r="H2089" s="8">
        <v>9</v>
      </c>
      <c r="I2089" s="11">
        <v>0.03846153846153846</v>
      </c>
      <c r="J2089" s="8" t="s">
        <v>791</v>
      </c>
      <c r="K2089" s="8" t="s">
        <v>1941</v>
      </c>
      <c r="L2089" s="8">
        <v>44</v>
      </c>
    </row>
    <row r="2090" spans="1:13" ht="25" customHeight="1">
      <c r="A2090" s="12">
        <v>32</v>
      </c>
      <c r="B2090" s="8">
        <v>1</v>
      </c>
      <c r="C2090" s="8" t="s">
        <v>716</v>
      </c>
      <c r="D2090" s="8" t="s">
        <v>1469</v>
      </c>
      <c r="E2090" s="8">
        <v>1</v>
      </c>
      <c r="F2090" s="8">
        <v>0</v>
      </c>
      <c r="G2090" s="8">
        <v>0</v>
      </c>
      <c r="H2090" s="8">
        <v>1</v>
      </c>
      <c r="I2090" s="11">
        <v>0.03846153846153846</v>
      </c>
      <c r="J2090" s="8" t="s">
        <v>791</v>
      </c>
      <c r="K2090" s="8" t="s">
        <v>1941</v>
      </c>
      <c r="L2090" s="8">
        <v>45</v>
      </c>
    </row>
    <row r="2091" spans="1:13" ht="25" customHeight="1">
      <c r="A2091" s="12">
        <v>33</v>
      </c>
      <c r="B2091" s="8">
        <v>1</v>
      </c>
      <c r="C2091" s="8" t="s">
        <v>716</v>
      </c>
      <c r="D2091" s="8" t="s">
        <v>1474</v>
      </c>
      <c r="E2091" s="8">
        <v>1</v>
      </c>
      <c r="F2091" s="8">
        <v>0</v>
      </c>
      <c r="G2091" s="8">
        <v>0</v>
      </c>
      <c r="H2091" s="8">
        <v>1</v>
      </c>
      <c r="I2091" s="11">
        <v>0.03846153846153846</v>
      </c>
      <c r="J2091" s="8" t="s">
        <v>791</v>
      </c>
      <c r="K2091" s="8" t="s">
        <v>1941</v>
      </c>
      <c r="L2091" s="8">
        <v>47</v>
      </c>
    </row>
    <row r="2092" spans="1:13" ht="25" customHeight="1">
      <c r="A2092" s="12">
        <v>34</v>
      </c>
      <c r="B2092" s="8">
        <v>1</v>
      </c>
      <c r="C2092" s="8" t="s">
        <v>716</v>
      </c>
      <c r="D2092" s="8" t="s">
        <v>1476</v>
      </c>
      <c r="E2092" s="8">
        <v>1</v>
      </c>
      <c r="F2092" s="8">
        <v>0</v>
      </c>
      <c r="G2092" s="8">
        <v>0</v>
      </c>
      <c r="H2092" s="8">
        <v>0</v>
      </c>
      <c r="I2092" s="11">
        <v>0.03846153846153846</v>
      </c>
      <c r="J2092" s="8" t="s">
        <v>791</v>
      </c>
      <c r="K2092" s="8" t="s">
        <v>1941</v>
      </c>
      <c r="L2092" s="8">
        <v>48</v>
      </c>
    </row>
    <row r="2093" spans="1:13" ht="25" customHeight="1">
      <c r="A2093" s="12">
        <v>35</v>
      </c>
      <c r="B2093" s="8">
        <v>1</v>
      </c>
      <c r="C2093" s="8" t="s">
        <v>716</v>
      </c>
      <c r="D2093" s="8" t="s">
        <v>1478</v>
      </c>
      <c r="E2093" s="8">
        <v>1</v>
      </c>
      <c r="F2093" s="8">
        <v>1</v>
      </c>
      <c r="G2093" s="8">
        <v>0</v>
      </c>
      <c r="H2093" s="8">
        <v>4</v>
      </c>
      <c r="I2093" s="11">
        <v>0.03846153846153846</v>
      </c>
      <c r="J2093" s="8" t="s">
        <v>791</v>
      </c>
      <c r="K2093" s="8" t="s">
        <v>1941</v>
      </c>
      <c r="L2093" s="8">
        <v>49</v>
      </c>
    </row>
    <row r="2094" spans="1:13" ht="25" customHeight="1">
      <c r="A2094" s="12">
        <v>36</v>
      </c>
      <c r="B2094" s="8">
        <v>1</v>
      </c>
      <c r="C2094" s="8" t="s">
        <v>716</v>
      </c>
      <c r="D2094" s="8" t="s">
        <v>49</v>
      </c>
      <c r="E2094" s="8">
        <v>1</v>
      </c>
      <c r="F2094" s="8">
        <v>1</v>
      </c>
      <c r="G2094" s="8">
        <v>1</v>
      </c>
      <c r="H2094" s="8">
        <v>31</v>
      </c>
      <c r="I2094" s="11">
        <v>0.03846153846153846</v>
      </c>
      <c r="J2094" s="8" t="s">
        <v>791</v>
      </c>
      <c r="K2094" s="8" t="s">
        <v>1941</v>
      </c>
      <c r="L2094" s="8">
        <v>50</v>
      </c>
    </row>
    <row r="2095" spans="1:13" ht="25" customHeight="1">
      <c r="A2095" s="12">
        <v>37</v>
      </c>
      <c r="B2095" s="8">
        <v>1</v>
      </c>
      <c r="C2095" s="8" t="s">
        <v>716</v>
      </c>
      <c r="D2095" s="8" t="s">
        <v>1481</v>
      </c>
      <c r="E2095" s="8">
        <v>1</v>
      </c>
      <c r="F2095" s="8">
        <v>0</v>
      </c>
      <c r="G2095" s="8">
        <v>0</v>
      </c>
      <c r="H2095" s="8">
        <v>0</v>
      </c>
      <c r="I2095" s="11">
        <v>0.03846153846153846</v>
      </c>
      <c r="J2095" s="8" t="s">
        <v>791</v>
      </c>
      <c r="K2095" s="8" t="s">
        <v>1941</v>
      </c>
      <c r="L2095" s="8">
        <v>51</v>
      </c>
    </row>
    <row r="2096" spans="1:13" ht="25" customHeight="1">
      <c r="A2096" s="12">
        <v>38</v>
      </c>
      <c r="B2096" s="8">
        <v>1</v>
      </c>
      <c r="C2096" s="8" t="s">
        <v>711</v>
      </c>
      <c r="D2096" s="8" t="s">
        <v>1483</v>
      </c>
      <c r="E2096" s="8">
        <v>1</v>
      </c>
      <c r="F2096" s="8">
        <v>0</v>
      </c>
      <c r="G2096" s="8">
        <v>0</v>
      </c>
      <c r="H2096" s="8">
        <v>1</v>
      </c>
      <c r="I2096" s="11">
        <v>0.3333333333333333</v>
      </c>
      <c r="J2096" s="8" t="s">
        <v>791</v>
      </c>
      <c r="K2096" s="8" t="s">
        <v>796</v>
      </c>
      <c r="L2096" s="8">
        <v>52</v>
      </c>
    </row>
    <row r="2097" spans="1:12" ht="25" customHeight="1">
      <c r="A2097" s="12">
        <v>39</v>
      </c>
      <c r="B2097" s="8">
        <v>1</v>
      </c>
      <c r="C2097" s="8" t="s">
        <v>706</v>
      </c>
      <c r="D2097" s="8" t="s">
        <v>1447</v>
      </c>
      <c r="E2097" s="8">
        <v>1</v>
      </c>
      <c r="F2097" s="8">
        <v>0</v>
      </c>
      <c r="G2097" s="8">
        <v>0</v>
      </c>
      <c r="H2097" s="8">
        <v>0</v>
      </c>
      <c r="I2097" s="8">
        <v>1</v>
      </c>
      <c r="J2097" s="8" t="s">
        <v>791</v>
      </c>
      <c r="K2097" s="8" t="s">
        <v>804</v>
      </c>
      <c r="L2097" s="8">
        <v>53</v>
      </c>
    </row>
    <row r="2098" spans="1:12" ht="25" customHeight="1">
      <c r="A2098" s="12">
        <v>40</v>
      </c>
      <c r="B2098" s="8">
        <v>1</v>
      </c>
      <c r="C2098" s="8" t="s">
        <v>716</v>
      </c>
      <c r="D2098" s="8" t="s">
        <v>1488</v>
      </c>
      <c r="E2098" s="8">
        <v>1</v>
      </c>
      <c r="F2098" s="8">
        <v>1</v>
      </c>
      <c r="G2098" s="8">
        <v>0</v>
      </c>
      <c r="H2098" s="8">
        <v>6</v>
      </c>
      <c r="I2098" s="11">
        <v>0.03846153846153846</v>
      </c>
      <c r="J2098" s="8" t="s">
        <v>791</v>
      </c>
      <c r="K2098" s="8" t="s">
        <v>1941</v>
      </c>
      <c r="L2098" s="8">
        <v>55</v>
      </c>
    </row>
    <row r="2099" spans="1:12" ht="25" customHeight="1">
      <c r="A2099" s="12">
        <v>41</v>
      </c>
      <c r="B2099" s="8">
        <v>1</v>
      </c>
      <c r="C2099" s="8" t="s">
        <v>716</v>
      </c>
      <c r="D2099" s="8" t="s">
        <v>1491</v>
      </c>
      <c r="E2099" s="8">
        <v>1</v>
      </c>
      <c r="F2099" s="8">
        <v>1</v>
      </c>
      <c r="G2099" s="8">
        <v>0</v>
      </c>
      <c r="H2099" s="8">
        <v>4</v>
      </c>
      <c r="I2099" s="11">
        <v>0.03846153846153846</v>
      </c>
      <c r="J2099" s="8" t="s">
        <v>791</v>
      </c>
      <c r="K2099" s="8" t="s">
        <v>1941</v>
      </c>
      <c r="L2099" s="8">
        <v>57</v>
      </c>
    </row>
    <row r="2100" spans="1:12" ht="25" customHeight="1">
      <c r="A2100" s="12">
        <v>42</v>
      </c>
      <c r="B2100" s="8">
        <v>1</v>
      </c>
      <c r="C2100" s="8" t="s">
        <v>716</v>
      </c>
      <c r="D2100" s="8" t="s">
        <v>1422</v>
      </c>
      <c r="E2100" s="8">
        <v>1</v>
      </c>
      <c r="F2100" s="8">
        <v>1</v>
      </c>
      <c r="G2100" s="8">
        <v>0</v>
      </c>
      <c r="H2100" s="8">
        <v>4</v>
      </c>
      <c r="I2100" s="11">
        <v>0.03846153846153846</v>
      </c>
      <c r="J2100" s="8" t="s">
        <v>791</v>
      </c>
      <c r="K2100" s="8" t="s">
        <v>1941</v>
      </c>
      <c r="L2100" s="8">
        <v>58</v>
      </c>
    </row>
    <row r="2101" spans="1:12" ht="25" customHeight="1">
      <c r="A2101" s="12">
        <v>43</v>
      </c>
      <c r="B2101" s="8">
        <v>1</v>
      </c>
      <c r="C2101" s="8" t="s">
        <v>716</v>
      </c>
      <c r="D2101" s="8" t="s">
        <v>1494</v>
      </c>
      <c r="E2101" s="8">
        <v>1</v>
      </c>
      <c r="F2101" s="8">
        <v>0</v>
      </c>
      <c r="G2101" s="8">
        <v>0</v>
      </c>
      <c r="H2101" s="8">
        <v>0</v>
      </c>
      <c r="I2101" s="11">
        <v>0.03846153846153846</v>
      </c>
      <c r="J2101" s="8" t="s">
        <v>791</v>
      </c>
      <c r="K2101" s="8" t="s">
        <v>1941</v>
      </c>
      <c r="L2101" s="8">
        <v>59</v>
      </c>
    </row>
    <row r="2102" spans="1:12" ht="25" customHeight="1">
      <c r="A2102" s="12">
        <v>44</v>
      </c>
      <c r="B2102" s="8">
        <v>1</v>
      </c>
      <c r="C2102" s="8" t="s">
        <v>716</v>
      </c>
      <c r="D2102" s="8" t="s">
        <v>1496</v>
      </c>
      <c r="E2102" s="8">
        <v>1</v>
      </c>
      <c r="F2102" s="8">
        <v>0</v>
      </c>
      <c r="G2102" s="8">
        <v>0</v>
      </c>
      <c r="H2102" s="8">
        <v>-15</v>
      </c>
      <c r="I2102" s="11">
        <v>0.03846153846153846</v>
      </c>
      <c r="J2102" s="8" t="s">
        <v>791</v>
      </c>
      <c r="K2102" s="8" t="s">
        <v>1941</v>
      </c>
      <c r="L2102" s="8">
        <v>60</v>
      </c>
    </row>
    <row r="2103" spans="1:12" ht="25" customHeight="1">
      <c r="A2103" s="12">
        <v>45</v>
      </c>
      <c r="B2103" s="8">
        <v>1</v>
      </c>
      <c r="C2103" s="8" t="s">
        <v>716</v>
      </c>
      <c r="D2103" s="8" t="s">
        <v>1420</v>
      </c>
      <c r="E2103" s="8">
        <v>1</v>
      </c>
      <c r="F2103" s="8">
        <v>0</v>
      </c>
      <c r="G2103" s="8">
        <v>0</v>
      </c>
      <c r="H2103" s="8">
        <v>-1</v>
      </c>
      <c r="I2103" s="11">
        <v>0.03846153846153846</v>
      </c>
      <c r="J2103" s="8" t="s">
        <v>791</v>
      </c>
      <c r="K2103" s="8" t="s">
        <v>1941</v>
      </c>
      <c r="L2103" s="8">
        <v>62</v>
      </c>
    </row>
    <row r="2104" spans="1:12" ht="25" customHeight="1">
      <c r="A2104" s="12">
        <v>46</v>
      </c>
      <c r="B2104" s="8">
        <v>1</v>
      </c>
      <c r="C2104" s="8" t="s">
        <v>716</v>
      </c>
      <c r="D2104" s="8" t="s">
        <v>1499</v>
      </c>
      <c r="E2104" s="8">
        <v>1</v>
      </c>
      <c r="F2104" s="8">
        <v>1</v>
      </c>
      <c r="G2104" s="8">
        <v>0</v>
      </c>
      <c r="H2104" s="8">
        <v>13</v>
      </c>
      <c r="I2104" s="11">
        <v>0.03846153846153846</v>
      </c>
      <c r="J2104" s="8" t="s">
        <v>791</v>
      </c>
      <c r="K2104" s="8" t="s">
        <v>1941</v>
      </c>
      <c r="L2104" s="8">
        <v>63</v>
      </c>
    </row>
    <row r="2105" spans="1:12" ht="25" customHeight="1">
      <c r="A2105" s="12">
        <v>47</v>
      </c>
      <c r="B2105" s="8">
        <v>1</v>
      </c>
      <c r="C2105" s="8" t="s">
        <v>720</v>
      </c>
      <c r="D2105" s="8" t="s">
        <v>816</v>
      </c>
      <c r="E2105" s="8">
        <v>1</v>
      </c>
      <c r="F2105" s="8">
        <v>1</v>
      </c>
      <c r="G2105" s="8">
        <v>0</v>
      </c>
      <c r="H2105" s="8">
        <v>3</v>
      </c>
      <c r="I2105" s="8">
        <v>1</v>
      </c>
      <c r="J2105" s="8" t="s">
        <v>791</v>
      </c>
      <c r="K2105" s="8" t="s">
        <v>804</v>
      </c>
      <c r="L2105" s="8">
        <v>65</v>
      </c>
    </row>
    <row r="2106" spans="1:12" ht="25" customHeight="1">
      <c r="A2106" s="12">
        <v>48</v>
      </c>
      <c r="B2106" s="8">
        <v>1</v>
      </c>
      <c r="C2106" s="8" t="s">
        <v>716</v>
      </c>
      <c r="D2106" s="8" t="s">
        <v>1503</v>
      </c>
      <c r="E2106" s="8">
        <v>1</v>
      </c>
      <c r="F2106" s="8">
        <v>1</v>
      </c>
      <c r="G2106" s="8">
        <v>0</v>
      </c>
      <c r="H2106" s="8">
        <v>6</v>
      </c>
      <c r="I2106" s="11">
        <v>0.03846153846153846</v>
      </c>
      <c r="J2106" s="8" t="s">
        <v>791</v>
      </c>
      <c r="K2106" s="8" t="s">
        <v>1941</v>
      </c>
      <c r="L2106" s="8">
        <v>66</v>
      </c>
    </row>
    <row r="2107" spans="1:12" ht="25" customHeight="1">
      <c r="A2107" s="12">
        <v>49</v>
      </c>
      <c r="B2107" s="8">
        <v>1</v>
      </c>
      <c r="C2107" s="8" t="s">
        <v>716</v>
      </c>
      <c r="D2107" s="8" t="s">
        <v>1506</v>
      </c>
      <c r="E2107" s="8">
        <v>1</v>
      </c>
      <c r="F2107" s="8">
        <v>0</v>
      </c>
      <c r="G2107" s="8">
        <v>0</v>
      </c>
      <c r="H2107" s="8">
        <v>2</v>
      </c>
      <c r="I2107" s="11">
        <v>0.03846153846153846</v>
      </c>
      <c r="J2107" s="8" t="s">
        <v>791</v>
      </c>
      <c r="K2107" s="8" t="s">
        <v>1941</v>
      </c>
      <c r="L2107" s="8">
        <v>67</v>
      </c>
    </row>
    <row r="2108" spans="1:12" ht="25" customHeight="1">
      <c r="A2108" s="12">
        <v>50</v>
      </c>
      <c r="B2108" s="8">
        <v>1</v>
      </c>
      <c r="C2108" s="8" t="s">
        <v>711</v>
      </c>
      <c r="D2108" s="8" t="s">
        <v>1509</v>
      </c>
      <c r="E2108" s="8">
        <v>1</v>
      </c>
      <c r="F2108" s="8">
        <v>1</v>
      </c>
      <c r="G2108" s="8">
        <v>0</v>
      </c>
      <c r="H2108" s="8">
        <v>4</v>
      </c>
      <c r="I2108" s="11">
        <v>0.3333333333333333</v>
      </c>
      <c r="J2108" s="8" t="s">
        <v>791</v>
      </c>
      <c r="K2108" s="8" t="s">
        <v>796</v>
      </c>
      <c r="L2108" s="8">
        <v>68</v>
      </c>
    </row>
    <row r="2109" spans="1:12" ht="25" customHeight="1">
      <c r="A2109" s="12">
        <v>51</v>
      </c>
      <c r="B2109" s="8">
        <v>1</v>
      </c>
      <c r="C2109" s="8" t="s">
        <v>716</v>
      </c>
      <c r="D2109" s="8" t="s">
        <v>823</v>
      </c>
      <c r="E2109" s="8">
        <v>1</v>
      </c>
      <c r="F2109" s="8">
        <v>1</v>
      </c>
      <c r="G2109" s="8">
        <v>0</v>
      </c>
      <c r="H2109" s="8">
        <v>5</v>
      </c>
      <c r="I2109" s="11">
        <v>0.03846153846153846</v>
      </c>
      <c r="J2109" s="8" t="s">
        <v>791</v>
      </c>
      <c r="K2109" s="8" t="s">
        <v>1941</v>
      </c>
      <c r="L2109" s="8">
        <v>70</v>
      </c>
    </row>
    <row r="2110" spans="1:12" ht="25" customHeight="1">
      <c r="A2110" s="12">
        <v>52</v>
      </c>
      <c r="B2110" s="8">
        <v>2</v>
      </c>
      <c r="C2110" s="8" t="s">
        <v>716</v>
      </c>
      <c r="D2110" s="8" t="s">
        <v>1516</v>
      </c>
      <c r="E2110" s="8">
        <v>1</v>
      </c>
      <c r="F2110" s="8">
        <v>0</v>
      </c>
      <c r="G2110" s="8">
        <v>0</v>
      </c>
      <c r="H2110" s="8">
        <v>0</v>
      </c>
      <c r="I2110" s="11">
        <v>0.04166666666666666</v>
      </c>
      <c r="J2110" s="8" t="s">
        <v>791</v>
      </c>
      <c r="K2110" s="8" t="s">
        <v>1941</v>
      </c>
      <c r="L2110" s="8">
        <v>71</v>
      </c>
    </row>
    <row r="2111" spans="1:12" ht="25" customHeight="1">
      <c r="A2111" s="12">
        <v>53</v>
      </c>
      <c r="B2111" s="8">
        <v>2</v>
      </c>
      <c r="C2111" s="8" t="s">
        <v>711</v>
      </c>
      <c r="D2111" s="8" t="s">
        <v>1491</v>
      </c>
      <c r="E2111" s="8">
        <v>1</v>
      </c>
      <c r="F2111" s="8">
        <v>0</v>
      </c>
      <c r="G2111" s="8">
        <v>0</v>
      </c>
      <c r="H2111" s="8">
        <v>-4</v>
      </c>
      <c r="I2111" s="11">
        <v>0.1111111111111111</v>
      </c>
      <c r="J2111" s="8" t="s">
        <v>791</v>
      </c>
      <c r="K2111" s="8" t="s">
        <v>1941</v>
      </c>
      <c r="L2111" s="8">
        <v>72</v>
      </c>
    </row>
    <row r="2112" spans="1:12" ht="25" customHeight="1">
      <c r="A2112" s="12">
        <v>54</v>
      </c>
      <c r="B2112" s="8">
        <v>2</v>
      </c>
      <c r="C2112" s="8" t="s">
        <v>716</v>
      </c>
      <c r="D2112" s="8" t="s">
        <v>1413</v>
      </c>
      <c r="E2112" s="8">
        <v>1</v>
      </c>
      <c r="F2112" s="8">
        <v>0</v>
      </c>
      <c r="G2112" s="8">
        <v>0</v>
      </c>
      <c r="H2112" s="8">
        <v>1</v>
      </c>
      <c r="I2112" s="11">
        <v>0.04166666666666666</v>
      </c>
      <c r="J2112" s="8" t="s">
        <v>791</v>
      </c>
      <c r="K2112" s="8" t="s">
        <v>1941</v>
      </c>
      <c r="L2112" s="8">
        <v>73</v>
      </c>
    </row>
    <row r="2113" spans="1:13" ht="25" customHeight="1">
      <c r="A2113" s="12">
        <v>55</v>
      </c>
      <c r="B2113" s="8">
        <v>2</v>
      </c>
      <c r="C2113" s="8" t="s">
        <v>716</v>
      </c>
      <c r="D2113" s="8" t="s">
        <v>1523</v>
      </c>
      <c r="E2113" s="8">
        <v>1</v>
      </c>
      <c r="F2113" s="8">
        <v>1</v>
      </c>
      <c r="G2113" s="8">
        <v>0</v>
      </c>
      <c r="H2113" s="8">
        <v>12</v>
      </c>
      <c r="I2113" s="11">
        <v>0.04166666666666666</v>
      </c>
      <c r="J2113" s="8" t="s">
        <v>791</v>
      </c>
      <c r="K2113" s="8" t="s">
        <v>1941</v>
      </c>
      <c r="L2113" s="8">
        <v>74</v>
      </c>
    </row>
    <row r="2114" spans="1:13" ht="25" customHeight="1">
      <c r="A2114" s="12">
        <v>56</v>
      </c>
      <c r="B2114" s="8">
        <v>2</v>
      </c>
      <c r="C2114" s="8" t="s">
        <v>706</v>
      </c>
      <c r="D2114" s="8" t="s">
        <v>1431</v>
      </c>
      <c r="E2114" s="8">
        <v>1</v>
      </c>
      <c r="F2114" s="8">
        <v>0</v>
      </c>
      <c r="G2114" s="8">
        <v>0</v>
      </c>
      <c r="H2114" s="8">
        <v>0</v>
      </c>
      <c r="I2114" s="11">
        <v>0.1428571428571428</v>
      </c>
      <c r="J2114" s="8" t="s">
        <v>791</v>
      </c>
      <c r="K2114" s="8" t="s">
        <v>1941</v>
      </c>
      <c r="L2114" s="8">
        <v>75</v>
      </c>
    </row>
    <row r="2115" spans="1:13" ht="25" customHeight="1">
      <c r="A2115" s="12">
        <v>57</v>
      </c>
      <c r="B2115" s="8">
        <v>2</v>
      </c>
      <c r="C2115" s="8" t="s">
        <v>716</v>
      </c>
      <c r="D2115" s="8" t="s">
        <v>1528</v>
      </c>
      <c r="E2115" s="8">
        <v>1</v>
      </c>
      <c r="F2115" s="8">
        <v>1</v>
      </c>
      <c r="G2115" s="8">
        <v>0</v>
      </c>
      <c r="H2115" s="8">
        <v>11</v>
      </c>
      <c r="I2115" s="11">
        <v>0.04166666666666666</v>
      </c>
      <c r="J2115" s="8" t="s">
        <v>791</v>
      </c>
      <c r="K2115" s="8" t="s">
        <v>1941</v>
      </c>
      <c r="L2115" s="8">
        <v>76</v>
      </c>
    </row>
    <row r="2116" spans="1:13" ht="25" customHeight="1">
      <c r="A2116" s="12">
        <v>58</v>
      </c>
      <c r="B2116" s="8">
        <v>2</v>
      </c>
      <c r="C2116" s="8" t="s">
        <v>720</v>
      </c>
      <c r="D2116" s="8" t="s">
        <v>1530</v>
      </c>
      <c r="E2116" s="8">
        <v>1</v>
      </c>
      <c r="F2116" s="8">
        <v>0</v>
      </c>
      <c r="G2116" s="8">
        <v>0</v>
      </c>
      <c r="H2116" s="8">
        <v>6</v>
      </c>
      <c r="I2116" s="11">
        <v>0.09090909090909091</v>
      </c>
      <c r="J2116" s="8" t="s">
        <v>791</v>
      </c>
      <c r="K2116" s="8" t="s">
        <v>1941</v>
      </c>
      <c r="L2116" s="8">
        <v>77</v>
      </c>
    </row>
    <row r="2117" spans="1:13" ht="25" customHeight="1">
      <c r="A2117" s="12">
        <v>59</v>
      </c>
      <c r="B2117" s="8">
        <v>2</v>
      </c>
      <c r="C2117" s="8" t="s">
        <v>706</v>
      </c>
      <c r="D2117" s="8" t="s">
        <v>1533</v>
      </c>
      <c r="E2117" s="8">
        <v>1</v>
      </c>
      <c r="F2117" s="8">
        <v>0</v>
      </c>
      <c r="G2117" s="8">
        <v>0</v>
      </c>
      <c r="H2117" s="8">
        <v>-3</v>
      </c>
      <c r="I2117" s="11">
        <v>0.1428571428571428</v>
      </c>
      <c r="J2117" s="8" t="s">
        <v>791</v>
      </c>
      <c r="K2117" s="8" t="s">
        <v>1941</v>
      </c>
      <c r="L2117" s="8">
        <v>78</v>
      </c>
    </row>
    <row r="2118" spans="1:13" ht="25" customHeight="1">
      <c r="A2118" s="12">
        <v>60</v>
      </c>
      <c r="B2118" s="8">
        <v>2</v>
      </c>
      <c r="C2118" s="8" t="s">
        <v>706</v>
      </c>
      <c r="D2118" s="8" t="s">
        <v>1536</v>
      </c>
      <c r="E2118" s="8">
        <v>1</v>
      </c>
      <c r="F2118" s="8">
        <v>0</v>
      </c>
      <c r="G2118" s="8">
        <v>0</v>
      </c>
      <c r="H2118" s="8">
        <v>0</v>
      </c>
      <c r="I2118" s="11">
        <v>0.1428571428571428</v>
      </c>
      <c r="J2118" s="8" t="s">
        <v>791</v>
      </c>
      <c r="K2118" s="8" t="s">
        <v>1941</v>
      </c>
      <c r="L2118" s="8">
        <v>79</v>
      </c>
    </row>
    <row r="2119" spans="1:13" ht="25" customHeight="1">
      <c r="A2119" s="12">
        <v>61</v>
      </c>
      <c r="B2119" s="8">
        <v>2</v>
      </c>
      <c r="C2119" s="8" t="s">
        <v>711</v>
      </c>
      <c r="D2119" s="8" t="s">
        <v>816</v>
      </c>
      <c r="E2119" s="8">
        <v>3</v>
      </c>
      <c r="F2119" s="11">
        <v>0.6666666666666666</v>
      </c>
      <c r="G2119" s="8">
        <v>0</v>
      </c>
      <c r="H2119" s="11">
        <v>4.666666666666667</v>
      </c>
      <c r="I2119" s="11">
        <v>0.3333333333333333</v>
      </c>
      <c r="J2119" s="8" t="s">
        <v>801</v>
      </c>
      <c r="K2119" s="8" t="s">
        <v>796</v>
      </c>
      <c r="L2119" s="8">
        <v>80</v>
      </c>
      <c r="M2119" s="8">
        <v>10</v>
      </c>
    </row>
    <row r="2120" spans="1:13" ht="25" customHeight="1">
      <c r="A2120" s="12">
        <v>62</v>
      </c>
      <c r="B2120" s="8">
        <v>2</v>
      </c>
      <c r="C2120" s="8" t="s">
        <v>716</v>
      </c>
      <c r="D2120" s="8" t="s">
        <v>1410</v>
      </c>
      <c r="E2120" s="8">
        <v>1</v>
      </c>
      <c r="F2120" s="8">
        <v>1</v>
      </c>
      <c r="G2120" s="8">
        <v>0</v>
      </c>
      <c r="H2120" s="8">
        <v>8</v>
      </c>
      <c r="I2120" s="11">
        <v>0.04166666666666666</v>
      </c>
      <c r="J2120" s="8" t="s">
        <v>791</v>
      </c>
      <c r="K2120" s="8" t="s">
        <v>1941</v>
      </c>
      <c r="L2120" s="8">
        <v>81</v>
      </c>
    </row>
    <row r="2121" spans="1:13" ht="25" customHeight="1">
      <c r="A2121" s="12">
        <v>63</v>
      </c>
      <c r="B2121" s="8">
        <v>2</v>
      </c>
      <c r="C2121" s="8" t="s">
        <v>711</v>
      </c>
      <c r="D2121" s="8" t="s">
        <v>1541</v>
      </c>
      <c r="E2121" s="8">
        <v>1</v>
      </c>
      <c r="F2121" s="8">
        <v>0</v>
      </c>
      <c r="G2121" s="8">
        <v>0</v>
      </c>
      <c r="H2121" s="8">
        <v>1</v>
      </c>
      <c r="I2121" s="11">
        <v>0.1111111111111111</v>
      </c>
      <c r="J2121" s="8" t="s">
        <v>791</v>
      </c>
      <c r="K2121" s="8" t="s">
        <v>1941</v>
      </c>
      <c r="L2121" s="8">
        <v>82</v>
      </c>
    </row>
    <row r="2122" spans="1:13" ht="25" customHeight="1">
      <c r="A2122" s="12">
        <v>64</v>
      </c>
      <c r="B2122" s="8">
        <v>2</v>
      </c>
      <c r="C2122" s="8" t="s">
        <v>716</v>
      </c>
      <c r="D2122" s="8" t="s">
        <v>1544</v>
      </c>
      <c r="E2122" s="8">
        <v>1</v>
      </c>
      <c r="F2122" s="8">
        <v>1</v>
      </c>
      <c r="G2122" s="8">
        <v>1</v>
      </c>
      <c r="H2122" s="8">
        <v>34</v>
      </c>
      <c r="I2122" s="11">
        <v>0.04166666666666666</v>
      </c>
      <c r="J2122" s="8" t="s">
        <v>791</v>
      </c>
      <c r="K2122" s="8" t="s">
        <v>1941</v>
      </c>
      <c r="L2122" s="8">
        <v>83</v>
      </c>
    </row>
    <row r="2123" spans="1:13" ht="25" customHeight="1">
      <c r="A2123" s="12">
        <v>65</v>
      </c>
      <c r="B2123" s="8">
        <v>2</v>
      </c>
      <c r="C2123" s="8" t="s">
        <v>716</v>
      </c>
      <c r="D2123" s="8" t="s">
        <v>1546</v>
      </c>
      <c r="E2123" s="8">
        <v>1</v>
      </c>
      <c r="F2123" s="8">
        <v>0</v>
      </c>
      <c r="G2123" s="8">
        <v>0</v>
      </c>
      <c r="H2123" s="8">
        <v>0</v>
      </c>
      <c r="I2123" s="11">
        <v>0.04166666666666666</v>
      </c>
      <c r="J2123" s="8" t="s">
        <v>791</v>
      </c>
      <c r="K2123" s="8" t="s">
        <v>1941</v>
      </c>
      <c r="L2123" s="8">
        <v>84</v>
      </c>
    </row>
    <row r="2124" spans="1:13" ht="25" customHeight="1">
      <c r="A2124" s="12">
        <v>66</v>
      </c>
      <c r="B2124" s="8">
        <v>2</v>
      </c>
      <c r="C2124" s="8" t="s">
        <v>720</v>
      </c>
      <c r="D2124" s="8" t="s">
        <v>821</v>
      </c>
      <c r="E2124" s="8">
        <v>1</v>
      </c>
      <c r="F2124" s="8">
        <v>1</v>
      </c>
      <c r="G2124" s="8">
        <v>1</v>
      </c>
      <c r="H2124" s="8">
        <v>21</v>
      </c>
      <c r="I2124" s="11">
        <v>0.09090909090909091</v>
      </c>
      <c r="J2124" s="8" t="s">
        <v>791</v>
      </c>
      <c r="K2124" s="8" t="s">
        <v>1941</v>
      </c>
      <c r="L2124" s="8">
        <v>85</v>
      </c>
    </row>
    <row r="2125" spans="1:13" ht="25" customHeight="1">
      <c r="A2125" s="12">
        <v>67</v>
      </c>
      <c r="B2125" s="8">
        <v>2</v>
      </c>
      <c r="C2125" s="8" t="s">
        <v>716</v>
      </c>
      <c r="D2125" s="8" t="s">
        <v>1550</v>
      </c>
      <c r="E2125" s="8">
        <v>1</v>
      </c>
      <c r="F2125" s="8">
        <v>0</v>
      </c>
      <c r="G2125" s="8">
        <v>0</v>
      </c>
      <c r="H2125" s="8">
        <v>0</v>
      </c>
      <c r="I2125" s="11">
        <v>0.04166666666666666</v>
      </c>
      <c r="J2125" s="8" t="s">
        <v>791</v>
      </c>
      <c r="K2125" s="8" t="s">
        <v>1941</v>
      </c>
      <c r="L2125" s="8">
        <v>86</v>
      </c>
    </row>
    <row r="2126" spans="1:13" ht="25" customHeight="1">
      <c r="A2126" s="12">
        <v>68</v>
      </c>
      <c r="B2126" s="8">
        <v>2</v>
      </c>
      <c r="C2126" s="8" t="s">
        <v>711</v>
      </c>
      <c r="D2126" s="8" t="s">
        <v>1398</v>
      </c>
      <c r="E2126" s="8">
        <v>2</v>
      </c>
      <c r="F2126" s="8">
        <v>0</v>
      </c>
      <c r="G2126" s="8">
        <v>0</v>
      </c>
      <c r="H2126" s="8">
        <v>0</v>
      </c>
      <c r="I2126" s="11">
        <v>0.2222222222222222</v>
      </c>
      <c r="J2126" s="8" t="s">
        <v>791</v>
      </c>
      <c r="K2126" s="8" t="s">
        <v>796</v>
      </c>
      <c r="L2126" s="8">
        <v>87</v>
      </c>
      <c r="M2126" s="8">
        <v>11</v>
      </c>
    </row>
    <row r="2127" spans="1:13" ht="25" customHeight="1">
      <c r="A2127" s="12">
        <v>69</v>
      </c>
      <c r="B2127" s="8">
        <v>2</v>
      </c>
      <c r="C2127" s="8" t="s">
        <v>716</v>
      </c>
      <c r="D2127" s="8" t="s">
        <v>816</v>
      </c>
      <c r="E2127" s="8">
        <v>5</v>
      </c>
      <c r="F2127" s="11">
        <v>0.6</v>
      </c>
      <c r="G2127" s="8">
        <v>0</v>
      </c>
      <c r="H2127" s="11">
        <v>2.8</v>
      </c>
      <c r="I2127" s="11">
        <v>0.2083333333333333</v>
      </c>
      <c r="J2127" s="8" t="s">
        <v>795</v>
      </c>
      <c r="K2127" s="8" t="s">
        <v>796</v>
      </c>
      <c r="L2127" s="8">
        <v>89</v>
      </c>
      <c r="M2127" s="8">
        <v>12</v>
      </c>
    </row>
    <row r="2128" spans="1:13" ht="25" customHeight="1">
      <c r="A2128" s="12">
        <v>70</v>
      </c>
      <c r="B2128" s="8">
        <v>2</v>
      </c>
      <c r="C2128" s="8" t="s">
        <v>706</v>
      </c>
      <c r="D2128" s="8" t="s">
        <v>820</v>
      </c>
      <c r="E2128" s="8">
        <v>1</v>
      </c>
      <c r="F2128" s="8">
        <v>0</v>
      </c>
      <c r="G2128" s="8">
        <v>0</v>
      </c>
      <c r="H2128" s="8">
        <v>1</v>
      </c>
      <c r="I2128" s="11">
        <v>0.1428571428571428</v>
      </c>
      <c r="J2128" s="8" t="s">
        <v>791</v>
      </c>
      <c r="K2128" s="8" t="s">
        <v>1941</v>
      </c>
      <c r="L2128" s="8">
        <v>90</v>
      </c>
    </row>
    <row r="2129" spans="1:12" ht="25" customHeight="1">
      <c r="A2129" s="12">
        <v>71</v>
      </c>
      <c r="B2129" s="8">
        <v>2</v>
      </c>
      <c r="C2129" s="8" t="s">
        <v>706</v>
      </c>
      <c r="D2129" s="8" t="s">
        <v>1558</v>
      </c>
      <c r="E2129" s="8">
        <v>1</v>
      </c>
      <c r="F2129" s="8">
        <v>1</v>
      </c>
      <c r="G2129" s="8">
        <v>0</v>
      </c>
      <c r="H2129" s="8">
        <v>1</v>
      </c>
      <c r="I2129" s="11">
        <v>0.1428571428571428</v>
      </c>
      <c r="J2129" s="8" t="s">
        <v>791</v>
      </c>
      <c r="K2129" s="8" t="s">
        <v>1941</v>
      </c>
      <c r="L2129" s="8">
        <v>91</v>
      </c>
    </row>
    <row r="2130" spans="1:12" ht="25" customHeight="1">
      <c r="A2130" s="12">
        <v>72</v>
      </c>
      <c r="B2130" s="8">
        <v>2</v>
      </c>
      <c r="C2130" s="8" t="s">
        <v>716</v>
      </c>
      <c r="D2130" s="8" t="s">
        <v>1398</v>
      </c>
      <c r="E2130" s="8">
        <v>1</v>
      </c>
      <c r="F2130" s="8">
        <v>1</v>
      </c>
      <c r="G2130" s="8">
        <v>0</v>
      </c>
      <c r="H2130" s="8">
        <v>5</v>
      </c>
      <c r="I2130" s="11">
        <v>0.04166666666666666</v>
      </c>
      <c r="J2130" s="8" t="s">
        <v>791</v>
      </c>
      <c r="K2130" s="8" t="s">
        <v>1941</v>
      </c>
      <c r="L2130" s="8">
        <v>92</v>
      </c>
    </row>
    <row r="2131" spans="1:12" ht="25" customHeight="1">
      <c r="A2131" s="12">
        <v>73</v>
      </c>
      <c r="B2131" s="8">
        <v>2</v>
      </c>
      <c r="C2131" s="8" t="s">
        <v>716</v>
      </c>
      <c r="D2131" s="8" t="s">
        <v>49</v>
      </c>
      <c r="E2131" s="8">
        <v>1</v>
      </c>
      <c r="F2131" s="8">
        <v>0</v>
      </c>
      <c r="G2131" s="8">
        <v>0</v>
      </c>
      <c r="H2131" s="8">
        <v>1</v>
      </c>
      <c r="I2131" s="11">
        <v>0.04166666666666666</v>
      </c>
      <c r="J2131" s="8" t="s">
        <v>791</v>
      </c>
      <c r="K2131" s="8" t="s">
        <v>1941</v>
      </c>
      <c r="L2131" s="8">
        <v>94</v>
      </c>
    </row>
    <row r="2132" spans="1:12" ht="25" customHeight="1">
      <c r="A2132" s="12">
        <v>74</v>
      </c>
      <c r="B2132" s="8">
        <v>2</v>
      </c>
      <c r="C2132" s="8" t="s">
        <v>711</v>
      </c>
      <c r="D2132" s="8" t="s">
        <v>49</v>
      </c>
      <c r="E2132" s="8">
        <v>1</v>
      </c>
      <c r="F2132" s="8">
        <v>1</v>
      </c>
      <c r="G2132" s="8">
        <v>1</v>
      </c>
      <c r="H2132" s="8">
        <v>37</v>
      </c>
      <c r="I2132" s="11">
        <v>0.1111111111111111</v>
      </c>
      <c r="J2132" s="8" t="s">
        <v>791</v>
      </c>
      <c r="K2132" s="8" t="s">
        <v>1941</v>
      </c>
      <c r="L2132" s="8">
        <v>96</v>
      </c>
    </row>
    <row r="2133" spans="1:12" ht="25" customHeight="1">
      <c r="A2133" s="12">
        <v>75</v>
      </c>
      <c r="B2133" s="8">
        <v>2</v>
      </c>
      <c r="C2133" s="8" t="s">
        <v>716</v>
      </c>
      <c r="D2133" s="8" t="s">
        <v>1566</v>
      </c>
      <c r="E2133" s="8">
        <v>1</v>
      </c>
      <c r="F2133" s="8">
        <v>0</v>
      </c>
      <c r="G2133" s="8">
        <v>0</v>
      </c>
      <c r="H2133" s="8">
        <v>1</v>
      </c>
      <c r="I2133" s="11">
        <v>0.04166666666666666</v>
      </c>
      <c r="J2133" s="8" t="s">
        <v>791</v>
      </c>
      <c r="K2133" s="8" t="s">
        <v>1941</v>
      </c>
      <c r="L2133" s="8">
        <v>97</v>
      </c>
    </row>
    <row r="2134" spans="1:12" ht="25" customHeight="1">
      <c r="A2134" s="12">
        <v>76</v>
      </c>
      <c r="B2134" s="8">
        <v>2</v>
      </c>
      <c r="C2134" s="8" t="s">
        <v>716</v>
      </c>
      <c r="D2134" s="8" t="s">
        <v>815</v>
      </c>
      <c r="E2134" s="8">
        <v>1</v>
      </c>
      <c r="F2134" s="8">
        <v>0</v>
      </c>
      <c r="G2134" s="8">
        <v>0</v>
      </c>
      <c r="H2134" s="8">
        <v>6</v>
      </c>
      <c r="I2134" s="11">
        <v>0.04166666666666666</v>
      </c>
      <c r="J2134" s="8" t="s">
        <v>791</v>
      </c>
      <c r="K2134" s="8" t="s">
        <v>1941</v>
      </c>
      <c r="L2134" s="8">
        <v>98</v>
      </c>
    </row>
    <row r="2135" spans="1:12" ht="25" customHeight="1">
      <c r="A2135" s="12">
        <v>77</v>
      </c>
      <c r="B2135" s="8">
        <v>2</v>
      </c>
      <c r="C2135" s="8" t="s">
        <v>716</v>
      </c>
      <c r="D2135" s="8" t="s">
        <v>1422</v>
      </c>
      <c r="E2135" s="8">
        <v>1</v>
      </c>
      <c r="F2135" s="8">
        <v>1</v>
      </c>
      <c r="G2135" s="8">
        <v>0</v>
      </c>
      <c r="H2135" s="8">
        <v>4</v>
      </c>
      <c r="I2135" s="11">
        <v>0.04166666666666666</v>
      </c>
      <c r="J2135" s="8" t="s">
        <v>791</v>
      </c>
      <c r="K2135" s="8" t="s">
        <v>1941</v>
      </c>
      <c r="L2135" s="8">
        <v>99</v>
      </c>
    </row>
    <row r="2136" spans="1:12" ht="25" customHeight="1">
      <c r="A2136" s="12">
        <v>78</v>
      </c>
      <c r="B2136" s="8">
        <v>2</v>
      </c>
      <c r="C2136" s="8" t="s">
        <v>706</v>
      </c>
      <c r="D2136" s="8" t="s">
        <v>823</v>
      </c>
      <c r="E2136" s="8">
        <v>1</v>
      </c>
      <c r="F2136" s="8">
        <v>0</v>
      </c>
      <c r="G2136" s="8">
        <v>0</v>
      </c>
      <c r="H2136" s="8">
        <v>2</v>
      </c>
      <c r="I2136" s="11">
        <v>0.1428571428571428</v>
      </c>
      <c r="J2136" s="8" t="s">
        <v>791</v>
      </c>
      <c r="K2136" s="8" t="s">
        <v>1941</v>
      </c>
      <c r="L2136" s="8">
        <v>100</v>
      </c>
    </row>
    <row r="2137" spans="1:12" ht="25" customHeight="1">
      <c r="A2137" s="12">
        <v>79</v>
      </c>
      <c r="B2137" s="8">
        <v>2</v>
      </c>
      <c r="C2137" s="8" t="s">
        <v>716</v>
      </c>
      <c r="D2137" s="8" t="s">
        <v>1572</v>
      </c>
      <c r="E2137" s="8">
        <v>1</v>
      </c>
      <c r="F2137" s="8">
        <v>0</v>
      </c>
      <c r="G2137" s="8">
        <v>0</v>
      </c>
      <c r="H2137" s="8">
        <v>0</v>
      </c>
      <c r="I2137" s="11">
        <v>0.04166666666666666</v>
      </c>
      <c r="J2137" s="8" t="s">
        <v>791</v>
      </c>
      <c r="K2137" s="8" t="s">
        <v>1941</v>
      </c>
      <c r="L2137" s="8">
        <v>101</v>
      </c>
    </row>
    <row r="2138" spans="1:12" ht="25" customHeight="1">
      <c r="A2138" s="12">
        <v>80</v>
      </c>
      <c r="B2138" s="8">
        <v>2</v>
      </c>
      <c r="C2138" s="8" t="s">
        <v>711</v>
      </c>
      <c r="D2138" s="8" t="s">
        <v>1488</v>
      </c>
      <c r="E2138" s="8">
        <v>1</v>
      </c>
      <c r="F2138" s="8">
        <v>0</v>
      </c>
      <c r="G2138" s="8">
        <v>0</v>
      </c>
      <c r="H2138" s="8">
        <v>2</v>
      </c>
      <c r="I2138" s="11">
        <v>0.1111111111111111</v>
      </c>
      <c r="J2138" s="8" t="s">
        <v>791</v>
      </c>
      <c r="K2138" s="8" t="s">
        <v>1941</v>
      </c>
      <c r="L2138" s="8">
        <v>102</v>
      </c>
    </row>
    <row r="2139" spans="1:12" ht="25" customHeight="1">
      <c r="A2139" s="12">
        <v>81</v>
      </c>
      <c r="B2139" s="8">
        <v>2</v>
      </c>
      <c r="C2139" s="8" t="s">
        <v>706</v>
      </c>
      <c r="D2139" s="8" t="s">
        <v>1416</v>
      </c>
      <c r="E2139" s="8">
        <v>1</v>
      </c>
      <c r="F2139" s="8">
        <v>0</v>
      </c>
      <c r="G2139" s="8">
        <v>0</v>
      </c>
      <c r="H2139" s="8">
        <v>0</v>
      </c>
      <c r="I2139" s="11">
        <v>0.1428571428571428</v>
      </c>
      <c r="J2139" s="8" t="s">
        <v>791</v>
      </c>
      <c r="K2139" s="8" t="s">
        <v>1941</v>
      </c>
      <c r="L2139" s="8">
        <v>103</v>
      </c>
    </row>
    <row r="2140" spans="1:12" ht="25" customHeight="1">
      <c r="A2140" s="12">
        <v>82</v>
      </c>
      <c r="B2140" s="8">
        <v>2</v>
      </c>
      <c r="C2140" s="8" t="s">
        <v>716</v>
      </c>
      <c r="D2140" s="8" t="s">
        <v>1579</v>
      </c>
      <c r="E2140" s="8">
        <v>1</v>
      </c>
      <c r="F2140" s="8">
        <v>0</v>
      </c>
      <c r="G2140" s="8">
        <v>0</v>
      </c>
      <c r="H2140" s="8">
        <v>0</v>
      </c>
      <c r="I2140" s="11">
        <v>0.04166666666666666</v>
      </c>
      <c r="J2140" s="8" t="s">
        <v>791</v>
      </c>
      <c r="K2140" s="8" t="s">
        <v>1941</v>
      </c>
      <c r="L2140" s="8">
        <v>105</v>
      </c>
    </row>
    <row r="2141" spans="1:12" ht="25" customHeight="1">
      <c r="A2141" s="12">
        <v>83</v>
      </c>
      <c r="B2141" s="8">
        <v>2</v>
      </c>
      <c r="C2141" s="8" t="s">
        <v>716</v>
      </c>
      <c r="D2141" s="8" t="s">
        <v>819</v>
      </c>
      <c r="E2141" s="8">
        <v>1</v>
      </c>
      <c r="F2141" s="8">
        <v>0</v>
      </c>
      <c r="G2141" s="8">
        <v>0</v>
      </c>
      <c r="H2141" s="8">
        <v>2</v>
      </c>
      <c r="I2141" s="11">
        <v>0.04166666666666666</v>
      </c>
      <c r="J2141" s="8" t="s">
        <v>791</v>
      </c>
      <c r="K2141" s="8" t="s">
        <v>1941</v>
      </c>
      <c r="L2141" s="8">
        <v>106</v>
      </c>
    </row>
    <row r="2142" spans="1:12" ht="25" customHeight="1">
      <c r="A2142" s="12">
        <v>84</v>
      </c>
      <c r="B2142" s="8">
        <v>2</v>
      </c>
      <c r="C2142" s="8" t="s">
        <v>716</v>
      </c>
      <c r="D2142" s="8" t="s">
        <v>1583</v>
      </c>
      <c r="E2142" s="8">
        <v>1</v>
      </c>
      <c r="F2142" s="8">
        <v>0</v>
      </c>
      <c r="G2142" s="8">
        <v>0</v>
      </c>
      <c r="H2142" s="8">
        <v>0</v>
      </c>
      <c r="I2142" s="11">
        <v>0.04166666666666666</v>
      </c>
      <c r="J2142" s="8" t="s">
        <v>791</v>
      </c>
      <c r="K2142" s="8" t="s">
        <v>1941</v>
      </c>
      <c r="L2142" s="8">
        <v>107</v>
      </c>
    </row>
    <row r="2143" spans="1:12" ht="25" customHeight="1">
      <c r="A2143" s="12">
        <v>85</v>
      </c>
      <c r="B2143" s="8">
        <v>2</v>
      </c>
      <c r="C2143" s="8" t="s">
        <v>720</v>
      </c>
      <c r="D2143" s="8" t="s">
        <v>819</v>
      </c>
      <c r="E2143" s="8">
        <v>1</v>
      </c>
      <c r="F2143" s="8">
        <v>0</v>
      </c>
      <c r="G2143" s="8">
        <v>0</v>
      </c>
      <c r="H2143" s="8">
        <v>0</v>
      </c>
      <c r="I2143" s="11">
        <v>0.09090909090909091</v>
      </c>
      <c r="J2143" s="8" t="s">
        <v>791</v>
      </c>
      <c r="K2143" s="8" t="s">
        <v>1941</v>
      </c>
      <c r="L2143" s="8">
        <v>110</v>
      </c>
    </row>
    <row r="2144" spans="1:12" ht="25" customHeight="1">
      <c r="A2144" s="12">
        <v>86</v>
      </c>
      <c r="B2144" s="8">
        <v>2</v>
      </c>
      <c r="C2144" s="8" t="s">
        <v>720</v>
      </c>
      <c r="D2144" s="8" t="s">
        <v>823</v>
      </c>
      <c r="E2144" s="8">
        <v>1</v>
      </c>
      <c r="F2144" s="8">
        <v>0</v>
      </c>
      <c r="G2144" s="8">
        <v>0</v>
      </c>
      <c r="H2144" s="8">
        <v>2</v>
      </c>
      <c r="I2144" s="11">
        <v>0.09090909090909091</v>
      </c>
      <c r="J2144" s="8" t="s">
        <v>791</v>
      </c>
      <c r="K2144" s="8" t="s">
        <v>1941</v>
      </c>
      <c r="L2144" s="8">
        <v>112</v>
      </c>
    </row>
    <row r="2145" spans="1:13" ht="25" customHeight="1">
      <c r="A2145" s="12">
        <v>87</v>
      </c>
      <c r="B2145" s="8">
        <v>2</v>
      </c>
      <c r="C2145" s="8" t="s">
        <v>720</v>
      </c>
      <c r="D2145" s="8" t="s">
        <v>1503</v>
      </c>
      <c r="E2145" s="8">
        <v>1</v>
      </c>
      <c r="F2145" s="8">
        <v>1</v>
      </c>
      <c r="G2145" s="8">
        <v>0</v>
      </c>
      <c r="H2145" s="8">
        <v>10</v>
      </c>
      <c r="I2145" s="11">
        <v>0.09090909090909091</v>
      </c>
      <c r="J2145" s="8" t="s">
        <v>791</v>
      </c>
      <c r="K2145" s="8" t="s">
        <v>1941</v>
      </c>
      <c r="L2145" s="8">
        <v>114</v>
      </c>
    </row>
    <row r="2146" spans="1:13" ht="25" customHeight="1">
      <c r="A2146" s="12">
        <v>88</v>
      </c>
      <c r="B2146" s="8">
        <v>2</v>
      </c>
      <c r="C2146" s="8" t="s">
        <v>720</v>
      </c>
      <c r="D2146" s="8" t="s">
        <v>816</v>
      </c>
      <c r="E2146" s="8">
        <v>1</v>
      </c>
      <c r="F2146" s="8">
        <v>0</v>
      </c>
      <c r="G2146" s="8">
        <v>0</v>
      </c>
      <c r="H2146" s="8">
        <v>-4</v>
      </c>
      <c r="I2146" s="11">
        <v>0.09090909090909091</v>
      </c>
      <c r="J2146" s="8" t="s">
        <v>791</v>
      </c>
      <c r="K2146" s="8" t="s">
        <v>1941</v>
      </c>
      <c r="L2146" s="8">
        <v>116</v>
      </c>
    </row>
    <row r="2147" spans="1:13" ht="25" customHeight="1">
      <c r="A2147" s="12">
        <v>89</v>
      </c>
      <c r="B2147" s="8">
        <v>2</v>
      </c>
      <c r="C2147" s="8" t="s">
        <v>716</v>
      </c>
      <c r="D2147" s="8" t="s">
        <v>818</v>
      </c>
      <c r="E2147" s="8">
        <v>1</v>
      </c>
      <c r="F2147" s="8">
        <v>0</v>
      </c>
      <c r="G2147" s="8">
        <v>0</v>
      </c>
      <c r="H2147" s="8">
        <v>-1</v>
      </c>
      <c r="I2147" s="11">
        <v>0.04166666666666666</v>
      </c>
      <c r="J2147" s="8" t="s">
        <v>791</v>
      </c>
      <c r="K2147" s="8" t="s">
        <v>1941</v>
      </c>
      <c r="L2147" s="8">
        <v>118</v>
      </c>
    </row>
    <row r="2148" spans="1:13" ht="25" customHeight="1">
      <c r="A2148" s="12">
        <v>90</v>
      </c>
      <c r="B2148" s="8">
        <v>2</v>
      </c>
      <c r="C2148" s="8" t="s">
        <v>720</v>
      </c>
      <c r="D2148" s="8" t="s">
        <v>818</v>
      </c>
      <c r="E2148" s="8">
        <v>1</v>
      </c>
      <c r="F2148" s="8">
        <v>0</v>
      </c>
      <c r="G2148" s="8">
        <v>0</v>
      </c>
      <c r="H2148" s="8">
        <v>-3</v>
      </c>
      <c r="I2148" s="11">
        <v>0.09090909090909091</v>
      </c>
      <c r="J2148" s="8" t="s">
        <v>791</v>
      </c>
      <c r="K2148" s="8" t="s">
        <v>1941</v>
      </c>
      <c r="L2148" s="8">
        <v>119</v>
      </c>
    </row>
    <row r="2149" spans="1:13" ht="25" customHeight="1">
      <c r="A2149" s="12">
        <v>91</v>
      </c>
      <c r="B2149" s="8">
        <v>2</v>
      </c>
      <c r="C2149" s="8" t="s">
        <v>720</v>
      </c>
      <c r="D2149" s="8" t="s">
        <v>824</v>
      </c>
      <c r="E2149" s="8">
        <v>3</v>
      </c>
      <c r="F2149" s="8">
        <v>1</v>
      </c>
      <c r="G2149" s="11">
        <v>0.3333333333333333</v>
      </c>
      <c r="H2149" s="11">
        <v>7.333333333333333</v>
      </c>
      <c r="I2149" s="11">
        <v>0.2727272727272727</v>
      </c>
      <c r="J2149" s="8" t="s">
        <v>801</v>
      </c>
      <c r="K2149" s="8" t="s">
        <v>796</v>
      </c>
      <c r="L2149" s="8">
        <v>121</v>
      </c>
      <c r="M2149" s="8">
        <v>13</v>
      </c>
    </row>
    <row r="2150" spans="1:13" ht="25" customHeight="1">
      <c r="A2150" s="12">
        <v>92</v>
      </c>
      <c r="B2150" s="8">
        <v>2</v>
      </c>
      <c r="C2150" s="8" t="s">
        <v>716</v>
      </c>
      <c r="D2150" s="8" t="s">
        <v>1600</v>
      </c>
      <c r="E2150" s="8">
        <v>1</v>
      </c>
      <c r="F2150" s="8">
        <v>0</v>
      </c>
      <c r="G2150" s="8">
        <v>0</v>
      </c>
      <c r="H2150" s="8">
        <v>2</v>
      </c>
      <c r="I2150" s="11">
        <v>0.04166666666666666</v>
      </c>
      <c r="J2150" s="8" t="s">
        <v>791</v>
      </c>
      <c r="K2150" s="8" t="s">
        <v>1941</v>
      </c>
      <c r="L2150" s="8">
        <v>123</v>
      </c>
    </row>
    <row r="2151" spans="1:13" ht="25" customHeight="1">
      <c r="A2151" s="12">
        <v>93</v>
      </c>
      <c r="B2151" s="8">
        <v>2</v>
      </c>
      <c r="C2151" s="8" t="s">
        <v>720</v>
      </c>
      <c r="D2151" s="8" t="s">
        <v>1509</v>
      </c>
      <c r="E2151" s="8">
        <v>1</v>
      </c>
      <c r="F2151" s="8">
        <v>0</v>
      </c>
      <c r="G2151" s="8">
        <v>0</v>
      </c>
      <c r="H2151" s="8">
        <v>1</v>
      </c>
      <c r="I2151" s="11">
        <v>0.09090909090909091</v>
      </c>
      <c r="J2151" s="8" t="s">
        <v>791</v>
      </c>
      <c r="K2151" s="8" t="s">
        <v>1941</v>
      </c>
      <c r="L2151" s="8">
        <v>125</v>
      </c>
    </row>
    <row r="2152" spans="1:13" ht="25" customHeight="1">
      <c r="A2152" s="12">
        <v>94</v>
      </c>
      <c r="B2152" s="8">
        <v>3</v>
      </c>
      <c r="C2152" s="8" t="s">
        <v>716</v>
      </c>
      <c r="D2152" s="8" t="s">
        <v>1494</v>
      </c>
      <c r="E2152" s="8">
        <v>1</v>
      </c>
      <c r="F2152" s="8">
        <v>0</v>
      </c>
      <c r="G2152" s="8">
        <v>0</v>
      </c>
      <c r="H2152" s="8">
        <v>0</v>
      </c>
      <c r="I2152" s="11">
        <v>0.07142857142857142</v>
      </c>
      <c r="J2152" s="8" t="s">
        <v>791</v>
      </c>
      <c r="K2152" s="8" t="s">
        <v>1941</v>
      </c>
      <c r="L2152" s="8">
        <v>130</v>
      </c>
    </row>
    <row r="2153" spans="1:13" ht="25" customHeight="1">
      <c r="A2153" s="12">
        <v>95</v>
      </c>
      <c r="B2153" s="8">
        <v>3</v>
      </c>
      <c r="C2153" s="8" t="s">
        <v>716</v>
      </c>
      <c r="D2153" s="8" t="s">
        <v>819</v>
      </c>
      <c r="E2153" s="8">
        <v>1</v>
      </c>
      <c r="F2153" s="8">
        <v>1</v>
      </c>
      <c r="G2153" s="8">
        <v>1</v>
      </c>
      <c r="H2153" s="8">
        <v>14</v>
      </c>
      <c r="I2153" s="11">
        <v>0.07142857142857142</v>
      </c>
      <c r="J2153" s="8" t="s">
        <v>791</v>
      </c>
      <c r="K2153" s="8" t="s">
        <v>1941</v>
      </c>
      <c r="L2153" s="8">
        <v>131</v>
      </c>
    </row>
    <row r="2154" spans="1:13" ht="25" customHeight="1">
      <c r="A2154" s="12">
        <v>96</v>
      </c>
      <c r="B2154" s="8">
        <v>3</v>
      </c>
      <c r="C2154" s="8" t="s">
        <v>716</v>
      </c>
      <c r="D2154" s="8" t="s">
        <v>820</v>
      </c>
      <c r="E2154" s="8">
        <v>2</v>
      </c>
      <c r="F2154" s="8">
        <v>0</v>
      </c>
      <c r="G2154" s="8">
        <v>0</v>
      </c>
      <c r="H2154" s="11">
        <v>5.5</v>
      </c>
      <c r="I2154" s="11">
        <v>0.1428571428571428</v>
      </c>
      <c r="J2154" s="8" t="s">
        <v>791</v>
      </c>
      <c r="K2154" s="8" t="s">
        <v>792</v>
      </c>
      <c r="L2154" s="8">
        <v>132</v>
      </c>
      <c r="M2154" s="8">
        <v>14</v>
      </c>
    </row>
    <row r="2155" spans="1:13" ht="25" customHeight="1">
      <c r="A2155" s="12">
        <v>97</v>
      </c>
      <c r="B2155" s="8">
        <v>3</v>
      </c>
      <c r="C2155" s="8" t="s">
        <v>706</v>
      </c>
      <c r="D2155" s="8" t="s">
        <v>815</v>
      </c>
      <c r="E2155" s="8">
        <v>1</v>
      </c>
      <c r="F2155" s="8">
        <v>0</v>
      </c>
      <c r="G2155" s="8">
        <v>0</v>
      </c>
      <c r="H2155" s="8">
        <v>-2</v>
      </c>
      <c r="I2155" s="11">
        <v>0.1428571428571428</v>
      </c>
      <c r="J2155" s="8" t="s">
        <v>791</v>
      </c>
      <c r="K2155" s="8" t="s">
        <v>1941</v>
      </c>
      <c r="L2155" s="8">
        <v>133</v>
      </c>
    </row>
    <row r="2156" spans="1:13" ht="25" customHeight="1">
      <c r="A2156" s="12">
        <v>98</v>
      </c>
      <c r="B2156" s="8">
        <v>3</v>
      </c>
      <c r="C2156" s="8" t="s">
        <v>720</v>
      </c>
      <c r="D2156" s="8" t="s">
        <v>819</v>
      </c>
      <c r="E2156" s="8">
        <v>1</v>
      </c>
      <c r="F2156" s="8">
        <v>0</v>
      </c>
      <c r="G2156" s="8">
        <v>0</v>
      </c>
      <c r="H2156" s="8">
        <v>-6</v>
      </c>
      <c r="I2156" s="11">
        <v>0.125</v>
      </c>
      <c r="J2156" s="8" t="s">
        <v>791</v>
      </c>
      <c r="K2156" s="8" t="s">
        <v>1941</v>
      </c>
      <c r="L2156" s="8">
        <v>134</v>
      </c>
    </row>
    <row r="2157" spans="1:13" ht="25" customHeight="1">
      <c r="A2157" s="12">
        <v>99</v>
      </c>
      <c r="B2157" s="8">
        <v>3</v>
      </c>
      <c r="C2157" s="8" t="s">
        <v>711</v>
      </c>
      <c r="D2157" s="8" t="s">
        <v>1619</v>
      </c>
      <c r="E2157" s="8">
        <v>1</v>
      </c>
      <c r="F2157" s="8">
        <v>0</v>
      </c>
      <c r="G2157" s="8">
        <v>0</v>
      </c>
      <c r="H2157" s="8">
        <v>0</v>
      </c>
      <c r="I2157" s="11">
        <v>0.08333333333333333</v>
      </c>
      <c r="J2157" s="8" t="s">
        <v>791</v>
      </c>
      <c r="K2157" s="8" t="s">
        <v>1941</v>
      </c>
      <c r="L2157" s="8">
        <v>135</v>
      </c>
    </row>
    <row r="2158" spans="1:13" ht="25" customHeight="1">
      <c r="A2158" s="12">
        <v>100</v>
      </c>
      <c r="B2158" s="8">
        <v>3</v>
      </c>
      <c r="C2158" s="8" t="s">
        <v>706</v>
      </c>
      <c r="D2158" s="8" t="s">
        <v>820</v>
      </c>
      <c r="E2158" s="8">
        <v>2</v>
      </c>
      <c r="F2158" s="8">
        <v>0</v>
      </c>
      <c r="G2158" s="8">
        <v>0</v>
      </c>
      <c r="H2158" s="11">
        <v>0.5</v>
      </c>
      <c r="I2158" s="11">
        <v>0.2857142857142857</v>
      </c>
      <c r="J2158" s="8" t="s">
        <v>791</v>
      </c>
      <c r="K2158" s="8" t="s">
        <v>796</v>
      </c>
      <c r="L2158" s="8">
        <v>136</v>
      </c>
      <c r="M2158" s="8">
        <v>15</v>
      </c>
    </row>
    <row r="2159" spans="1:13" ht="25" customHeight="1">
      <c r="A2159" s="12">
        <v>101</v>
      </c>
      <c r="B2159" s="8">
        <v>3</v>
      </c>
      <c r="C2159" s="8" t="s">
        <v>711</v>
      </c>
      <c r="D2159" s="8" t="s">
        <v>1624</v>
      </c>
      <c r="E2159" s="8">
        <v>1</v>
      </c>
      <c r="F2159" s="8">
        <v>0</v>
      </c>
      <c r="G2159" s="8">
        <v>0</v>
      </c>
      <c r="H2159" s="8">
        <v>0</v>
      </c>
      <c r="I2159" s="11">
        <v>0.08333333333333333</v>
      </c>
      <c r="J2159" s="8" t="s">
        <v>791</v>
      </c>
      <c r="K2159" s="8" t="s">
        <v>1941</v>
      </c>
      <c r="L2159" s="8">
        <v>137</v>
      </c>
    </row>
    <row r="2160" spans="1:13" ht="25" customHeight="1">
      <c r="A2160" s="12">
        <v>102</v>
      </c>
      <c r="B2160" s="8">
        <v>3</v>
      </c>
      <c r="C2160" s="8" t="s">
        <v>716</v>
      </c>
      <c r="D2160" s="8" t="s">
        <v>821</v>
      </c>
      <c r="E2160" s="8">
        <v>2</v>
      </c>
      <c r="F2160" s="8">
        <v>0</v>
      </c>
      <c r="G2160" s="8">
        <v>0</v>
      </c>
      <c r="H2160" s="8">
        <v>0</v>
      </c>
      <c r="I2160" s="11">
        <v>0.1428571428571428</v>
      </c>
      <c r="J2160" s="8" t="s">
        <v>791</v>
      </c>
      <c r="K2160" s="8" t="s">
        <v>792</v>
      </c>
      <c r="L2160" s="8">
        <v>138</v>
      </c>
      <c r="M2160" s="8">
        <v>16</v>
      </c>
    </row>
    <row r="2161" spans="1:13" ht="25" customHeight="1">
      <c r="A2161" s="12">
        <v>103</v>
      </c>
      <c r="B2161" s="8">
        <v>3</v>
      </c>
      <c r="C2161" s="8" t="s">
        <v>711</v>
      </c>
      <c r="D2161" s="8" t="s">
        <v>1629</v>
      </c>
      <c r="E2161" s="8">
        <v>1</v>
      </c>
      <c r="F2161" s="8">
        <v>0</v>
      </c>
      <c r="G2161" s="8">
        <v>0</v>
      </c>
      <c r="H2161" s="8">
        <v>10</v>
      </c>
      <c r="I2161" s="11">
        <v>0.08333333333333333</v>
      </c>
      <c r="J2161" s="8" t="s">
        <v>791</v>
      </c>
      <c r="K2161" s="8" t="s">
        <v>1941</v>
      </c>
      <c r="L2161" s="8">
        <v>140</v>
      </c>
    </row>
    <row r="2162" spans="1:13" ht="25" customHeight="1">
      <c r="A2162" s="12">
        <v>104</v>
      </c>
      <c r="B2162" s="8">
        <v>3</v>
      </c>
      <c r="C2162" s="8" t="s">
        <v>711</v>
      </c>
      <c r="D2162" s="8" t="s">
        <v>1523</v>
      </c>
      <c r="E2162" s="8">
        <v>1</v>
      </c>
      <c r="F2162" s="8">
        <v>0</v>
      </c>
      <c r="G2162" s="8">
        <v>0</v>
      </c>
      <c r="H2162" s="8">
        <v>5</v>
      </c>
      <c r="I2162" s="11">
        <v>0.08333333333333333</v>
      </c>
      <c r="J2162" s="8" t="s">
        <v>791</v>
      </c>
      <c r="K2162" s="8" t="s">
        <v>1941</v>
      </c>
      <c r="L2162" s="8">
        <v>141</v>
      </c>
    </row>
    <row r="2163" spans="1:13" ht="25" customHeight="1">
      <c r="A2163" s="12">
        <v>105</v>
      </c>
      <c r="B2163" s="8">
        <v>3</v>
      </c>
      <c r="C2163" s="8" t="s">
        <v>711</v>
      </c>
      <c r="D2163" s="8" t="s">
        <v>49</v>
      </c>
      <c r="E2163" s="8">
        <v>2</v>
      </c>
      <c r="F2163" s="8">
        <v>0</v>
      </c>
      <c r="G2163" s="8">
        <v>0</v>
      </c>
      <c r="H2163" s="8">
        <v>9</v>
      </c>
      <c r="I2163" s="11">
        <v>0.1666666666666667</v>
      </c>
      <c r="J2163" s="8" t="s">
        <v>791</v>
      </c>
      <c r="K2163" s="8" t="s">
        <v>792</v>
      </c>
      <c r="L2163" s="8">
        <v>142</v>
      </c>
      <c r="M2163" s="8">
        <v>17</v>
      </c>
    </row>
    <row r="2164" spans="1:13" ht="25" customHeight="1">
      <c r="A2164" s="12">
        <v>106</v>
      </c>
      <c r="B2164" s="8">
        <v>3</v>
      </c>
      <c r="C2164" s="8" t="s">
        <v>711</v>
      </c>
      <c r="D2164" s="8" t="s">
        <v>1635</v>
      </c>
      <c r="E2164" s="8">
        <v>1</v>
      </c>
      <c r="F2164" s="8">
        <v>0</v>
      </c>
      <c r="G2164" s="8">
        <v>0</v>
      </c>
      <c r="H2164" s="8">
        <v>0</v>
      </c>
      <c r="I2164" s="11">
        <v>0.08333333333333333</v>
      </c>
      <c r="J2164" s="8" t="s">
        <v>791</v>
      </c>
      <c r="K2164" s="8" t="s">
        <v>1941</v>
      </c>
      <c r="L2164" s="8">
        <v>143</v>
      </c>
    </row>
    <row r="2165" spans="1:13" ht="25" customHeight="1">
      <c r="A2165" s="12">
        <v>107</v>
      </c>
      <c r="B2165" s="8">
        <v>3</v>
      </c>
      <c r="C2165" s="8" t="s">
        <v>711</v>
      </c>
      <c r="D2165" s="8" t="s">
        <v>1638</v>
      </c>
      <c r="E2165" s="8">
        <v>1</v>
      </c>
      <c r="F2165" s="8">
        <v>0</v>
      </c>
      <c r="G2165" s="8">
        <v>0</v>
      </c>
      <c r="H2165" s="8">
        <v>9</v>
      </c>
      <c r="I2165" s="11">
        <v>0.08333333333333333</v>
      </c>
      <c r="J2165" s="8" t="s">
        <v>791</v>
      </c>
      <c r="K2165" s="8" t="s">
        <v>1941</v>
      </c>
      <c r="L2165" s="8">
        <v>144</v>
      </c>
    </row>
    <row r="2166" spans="1:13" ht="25" customHeight="1">
      <c r="A2166" s="12">
        <v>108</v>
      </c>
      <c r="B2166" s="8">
        <v>3</v>
      </c>
      <c r="C2166" s="8" t="s">
        <v>716</v>
      </c>
      <c r="D2166" s="8" t="s">
        <v>1398</v>
      </c>
      <c r="E2166" s="8">
        <v>1</v>
      </c>
      <c r="F2166" s="8">
        <v>0</v>
      </c>
      <c r="G2166" s="8">
        <v>0</v>
      </c>
      <c r="H2166" s="8">
        <v>6</v>
      </c>
      <c r="I2166" s="11">
        <v>0.07142857142857142</v>
      </c>
      <c r="J2166" s="8" t="s">
        <v>791</v>
      </c>
      <c r="K2166" s="8" t="s">
        <v>1941</v>
      </c>
      <c r="L2166" s="8">
        <v>145</v>
      </c>
    </row>
    <row r="2167" spans="1:13" ht="25" customHeight="1">
      <c r="A2167" s="12">
        <v>109</v>
      </c>
      <c r="B2167" s="8">
        <v>3</v>
      </c>
      <c r="C2167" s="8" t="s">
        <v>716</v>
      </c>
      <c r="D2167" s="8" t="s">
        <v>1635</v>
      </c>
      <c r="E2167" s="8">
        <v>1</v>
      </c>
      <c r="F2167" s="8">
        <v>1</v>
      </c>
      <c r="G2167" s="8">
        <v>0</v>
      </c>
      <c r="H2167" s="8">
        <v>9</v>
      </c>
      <c r="I2167" s="11">
        <v>0.07142857142857142</v>
      </c>
      <c r="J2167" s="8" t="s">
        <v>791</v>
      </c>
      <c r="K2167" s="8" t="s">
        <v>1941</v>
      </c>
      <c r="L2167" s="8">
        <v>146</v>
      </c>
    </row>
    <row r="2168" spans="1:13" ht="25" customHeight="1">
      <c r="A2168" s="12">
        <v>110</v>
      </c>
      <c r="B2168" s="8">
        <v>3</v>
      </c>
      <c r="C2168" s="8" t="s">
        <v>711</v>
      </c>
      <c r="D2168" s="8" t="s">
        <v>816</v>
      </c>
      <c r="E2168" s="8">
        <v>1</v>
      </c>
      <c r="F2168" s="8">
        <v>0</v>
      </c>
      <c r="G2168" s="8">
        <v>0</v>
      </c>
      <c r="H2168" s="8">
        <v>0</v>
      </c>
      <c r="I2168" s="11">
        <v>0.08333333333333333</v>
      </c>
      <c r="J2168" s="8" t="s">
        <v>791</v>
      </c>
      <c r="K2168" s="8" t="s">
        <v>1941</v>
      </c>
      <c r="L2168" s="8">
        <v>147</v>
      </c>
    </row>
    <row r="2169" spans="1:13" ht="25" customHeight="1">
      <c r="A2169" s="12">
        <v>111</v>
      </c>
      <c r="B2169" s="8">
        <v>3</v>
      </c>
      <c r="C2169" s="8" t="s">
        <v>720</v>
      </c>
      <c r="D2169" s="8" t="s">
        <v>1645</v>
      </c>
      <c r="E2169" s="8">
        <v>1</v>
      </c>
      <c r="F2169" s="8">
        <v>0</v>
      </c>
      <c r="G2169" s="8">
        <v>0</v>
      </c>
      <c r="H2169" s="8">
        <v>0</v>
      </c>
      <c r="I2169" s="11">
        <v>0.125</v>
      </c>
      <c r="J2169" s="8" t="s">
        <v>791</v>
      </c>
      <c r="K2169" s="8" t="s">
        <v>1941</v>
      </c>
      <c r="L2169" s="8">
        <v>149</v>
      </c>
    </row>
    <row r="2170" spans="1:13" ht="25" customHeight="1">
      <c r="A2170" s="12">
        <v>112</v>
      </c>
      <c r="B2170" s="8">
        <v>3</v>
      </c>
      <c r="C2170" s="8" t="s">
        <v>711</v>
      </c>
      <c r="D2170" s="8" t="s">
        <v>1648</v>
      </c>
      <c r="E2170" s="8">
        <v>1</v>
      </c>
      <c r="F2170" s="8">
        <v>0</v>
      </c>
      <c r="G2170" s="8">
        <v>0</v>
      </c>
      <c r="H2170" s="8">
        <v>3</v>
      </c>
      <c r="I2170" s="11">
        <v>0.08333333333333333</v>
      </c>
      <c r="J2170" s="8" t="s">
        <v>791</v>
      </c>
      <c r="K2170" s="8" t="s">
        <v>1941</v>
      </c>
      <c r="L2170" s="8">
        <v>151</v>
      </c>
    </row>
    <row r="2171" spans="1:13" ht="25" customHeight="1">
      <c r="A2171" s="12">
        <v>113</v>
      </c>
      <c r="B2171" s="8">
        <v>3</v>
      </c>
      <c r="C2171" s="8" t="s">
        <v>706</v>
      </c>
      <c r="D2171" s="8" t="s">
        <v>1650</v>
      </c>
      <c r="E2171" s="8">
        <v>1</v>
      </c>
      <c r="F2171" s="8">
        <v>0</v>
      </c>
      <c r="G2171" s="8">
        <v>0</v>
      </c>
      <c r="H2171" s="8">
        <v>0</v>
      </c>
      <c r="I2171" s="11">
        <v>0.1428571428571428</v>
      </c>
      <c r="J2171" s="8" t="s">
        <v>791</v>
      </c>
      <c r="K2171" s="8" t="s">
        <v>1941</v>
      </c>
      <c r="L2171" s="8">
        <v>152</v>
      </c>
    </row>
    <row r="2172" spans="1:13" ht="25" customHeight="1">
      <c r="A2172" s="12">
        <v>114</v>
      </c>
      <c r="B2172" s="8">
        <v>3</v>
      </c>
      <c r="C2172" s="8" t="s">
        <v>711</v>
      </c>
      <c r="D2172" s="8" t="s">
        <v>821</v>
      </c>
      <c r="E2172" s="8">
        <v>1</v>
      </c>
      <c r="F2172" s="8">
        <v>0</v>
      </c>
      <c r="G2172" s="8">
        <v>0</v>
      </c>
      <c r="H2172" s="8">
        <v>0</v>
      </c>
      <c r="I2172" s="11">
        <v>0.08333333333333333</v>
      </c>
      <c r="J2172" s="8" t="s">
        <v>791</v>
      </c>
      <c r="K2172" s="8" t="s">
        <v>1941</v>
      </c>
      <c r="L2172" s="8">
        <v>153</v>
      </c>
    </row>
    <row r="2173" spans="1:13" ht="25" customHeight="1">
      <c r="A2173" s="12">
        <v>115</v>
      </c>
      <c r="B2173" s="8">
        <v>3</v>
      </c>
      <c r="C2173" s="8" t="s">
        <v>716</v>
      </c>
      <c r="D2173" s="8" t="s">
        <v>1655</v>
      </c>
      <c r="E2173" s="8">
        <v>1</v>
      </c>
      <c r="F2173" s="8">
        <v>0</v>
      </c>
      <c r="G2173" s="8">
        <v>0</v>
      </c>
      <c r="H2173" s="8">
        <v>-6</v>
      </c>
      <c r="I2173" s="11">
        <v>0.07142857142857142</v>
      </c>
      <c r="J2173" s="8" t="s">
        <v>791</v>
      </c>
      <c r="K2173" s="8" t="s">
        <v>1941</v>
      </c>
      <c r="L2173" s="8">
        <v>154</v>
      </c>
    </row>
    <row r="2174" spans="1:13" ht="25" customHeight="1">
      <c r="A2174" s="12">
        <v>116</v>
      </c>
      <c r="B2174" s="8">
        <v>3</v>
      </c>
      <c r="C2174" s="8" t="s">
        <v>716</v>
      </c>
      <c r="D2174" s="8" t="s">
        <v>1523</v>
      </c>
      <c r="E2174" s="8">
        <v>1</v>
      </c>
      <c r="F2174" s="8">
        <v>0</v>
      </c>
      <c r="G2174" s="8">
        <v>0</v>
      </c>
      <c r="H2174" s="8">
        <v>18</v>
      </c>
      <c r="I2174" s="11">
        <v>0.07142857142857142</v>
      </c>
      <c r="J2174" s="8" t="s">
        <v>791</v>
      </c>
      <c r="K2174" s="8" t="s">
        <v>1941</v>
      </c>
      <c r="L2174" s="8">
        <v>156</v>
      </c>
    </row>
    <row r="2175" spans="1:13" ht="25" customHeight="1">
      <c r="A2175" s="12">
        <v>117</v>
      </c>
      <c r="B2175" s="8">
        <v>3</v>
      </c>
      <c r="C2175" s="8" t="s">
        <v>716</v>
      </c>
      <c r="D2175" s="8" t="s">
        <v>1660</v>
      </c>
      <c r="E2175" s="8">
        <v>1</v>
      </c>
      <c r="F2175" s="8">
        <v>0</v>
      </c>
      <c r="G2175" s="8">
        <v>0</v>
      </c>
      <c r="H2175" s="8">
        <v>0</v>
      </c>
      <c r="I2175" s="11">
        <v>0.07142857142857142</v>
      </c>
      <c r="J2175" s="8" t="s">
        <v>791</v>
      </c>
      <c r="K2175" s="8" t="s">
        <v>1941</v>
      </c>
      <c r="L2175" s="8">
        <v>157</v>
      </c>
    </row>
    <row r="2176" spans="1:13" ht="25" customHeight="1">
      <c r="A2176" s="12">
        <v>118</v>
      </c>
      <c r="B2176" s="8">
        <v>3</v>
      </c>
      <c r="C2176" s="8" t="s">
        <v>706</v>
      </c>
      <c r="D2176" s="8" t="s">
        <v>1662</v>
      </c>
      <c r="E2176" s="8">
        <v>1</v>
      </c>
      <c r="F2176" s="8">
        <v>1</v>
      </c>
      <c r="G2176" s="8">
        <v>0</v>
      </c>
      <c r="H2176" s="8">
        <v>5</v>
      </c>
      <c r="I2176" s="11">
        <v>0.1428571428571428</v>
      </c>
      <c r="J2176" s="8" t="s">
        <v>791</v>
      </c>
      <c r="K2176" s="8" t="s">
        <v>1941</v>
      </c>
      <c r="L2176" s="8">
        <v>158</v>
      </c>
    </row>
    <row r="2177" spans="1:13" ht="25" customHeight="1">
      <c r="A2177" s="12">
        <v>119</v>
      </c>
      <c r="B2177" s="8">
        <v>3</v>
      </c>
      <c r="C2177" s="8" t="s">
        <v>720</v>
      </c>
      <c r="D2177" s="8" t="s">
        <v>816</v>
      </c>
      <c r="E2177" s="8">
        <v>3</v>
      </c>
      <c r="F2177" s="11">
        <v>0.3333333333333333</v>
      </c>
      <c r="G2177" s="8">
        <v>0</v>
      </c>
      <c r="H2177" s="8">
        <v>3</v>
      </c>
      <c r="I2177" s="11">
        <v>0.375</v>
      </c>
      <c r="J2177" s="8" t="s">
        <v>801</v>
      </c>
      <c r="K2177" s="8" t="s">
        <v>804</v>
      </c>
      <c r="L2177" s="8">
        <v>159</v>
      </c>
      <c r="M2177" s="8">
        <v>18</v>
      </c>
    </row>
    <row r="2178" spans="1:13" ht="25" customHeight="1">
      <c r="A2178" s="12">
        <v>120</v>
      </c>
      <c r="B2178" s="8">
        <v>3</v>
      </c>
      <c r="C2178" s="8" t="s">
        <v>716</v>
      </c>
      <c r="D2178" s="8" t="s">
        <v>1439</v>
      </c>
      <c r="E2178" s="8">
        <v>1</v>
      </c>
      <c r="F2178" s="8">
        <v>1</v>
      </c>
      <c r="G2178" s="8">
        <v>0</v>
      </c>
      <c r="H2178" s="8">
        <v>4</v>
      </c>
      <c r="I2178" s="11">
        <v>0.07142857142857142</v>
      </c>
      <c r="J2178" s="8" t="s">
        <v>791</v>
      </c>
      <c r="K2178" s="8" t="s">
        <v>1941</v>
      </c>
      <c r="L2178" s="8">
        <v>161</v>
      </c>
    </row>
    <row r="2179" spans="1:13" ht="25" customHeight="1">
      <c r="A2179" s="12">
        <v>121</v>
      </c>
      <c r="B2179" s="8">
        <v>3</v>
      </c>
      <c r="C2179" s="8" t="s">
        <v>711</v>
      </c>
      <c r="D2179" s="8" t="s">
        <v>824</v>
      </c>
      <c r="E2179" s="8">
        <v>1</v>
      </c>
      <c r="F2179" s="8">
        <v>0</v>
      </c>
      <c r="G2179" s="8">
        <v>0</v>
      </c>
      <c r="H2179" s="8">
        <v>2</v>
      </c>
      <c r="I2179" s="11">
        <v>0.08333333333333333</v>
      </c>
      <c r="J2179" s="8" t="s">
        <v>791</v>
      </c>
      <c r="K2179" s="8" t="s">
        <v>1941</v>
      </c>
      <c r="L2179" s="8">
        <v>163</v>
      </c>
    </row>
    <row r="2180" spans="1:13" ht="25" customHeight="1">
      <c r="A2180" s="12">
        <v>122</v>
      </c>
      <c r="B2180" s="8">
        <v>3</v>
      </c>
      <c r="C2180" s="8" t="s">
        <v>720</v>
      </c>
      <c r="D2180" s="8" t="s">
        <v>815</v>
      </c>
      <c r="E2180" s="8">
        <v>1</v>
      </c>
      <c r="F2180" s="8">
        <v>0</v>
      </c>
      <c r="G2180" s="8">
        <v>0</v>
      </c>
      <c r="H2180" s="8">
        <v>0</v>
      </c>
      <c r="I2180" s="11">
        <v>0.125</v>
      </c>
      <c r="J2180" s="8" t="s">
        <v>791</v>
      </c>
      <c r="K2180" s="8" t="s">
        <v>1941</v>
      </c>
      <c r="L2180" s="8">
        <v>165</v>
      </c>
    </row>
    <row r="2181" spans="1:13" ht="25" customHeight="1">
      <c r="A2181" s="12">
        <v>123</v>
      </c>
      <c r="B2181" s="8">
        <v>3</v>
      </c>
      <c r="C2181" s="8" t="s">
        <v>716</v>
      </c>
      <c r="D2181" s="8" t="s">
        <v>1416</v>
      </c>
      <c r="E2181" s="8">
        <v>1</v>
      </c>
      <c r="F2181" s="8">
        <v>0</v>
      </c>
      <c r="G2181" s="8">
        <v>0</v>
      </c>
      <c r="H2181" s="8">
        <v>0</v>
      </c>
      <c r="I2181" s="11">
        <v>0.07142857142857142</v>
      </c>
      <c r="J2181" s="8" t="s">
        <v>791</v>
      </c>
      <c r="K2181" s="8" t="s">
        <v>1941</v>
      </c>
      <c r="L2181" s="8">
        <v>166</v>
      </c>
    </row>
    <row r="2182" spans="1:13" ht="25" customHeight="1">
      <c r="A2182" s="12">
        <v>124</v>
      </c>
      <c r="B2182" s="8">
        <v>3</v>
      </c>
      <c r="C2182" s="8" t="s">
        <v>720</v>
      </c>
      <c r="D2182" s="8" t="s">
        <v>823</v>
      </c>
      <c r="E2182" s="8">
        <v>1</v>
      </c>
      <c r="F2182" s="8">
        <v>0</v>
      </c>
      <c r="G2182" s="8">
        <v>0</v>
      </c>
      <c r="H2182" s="8">
        <v>-1</v>
      </c>
      <c r="I2182" s="11">
        <v>0.125</v>
      </c>
      <c r="J2182" s="8" t="s">
        <v>791</v>
      </c>
      <c r="K2182" s="8" t="s">
        <v>1941</v>
      </c>
      <c r="L2182" s="8">
        <v>167</v>
      </c>
    </row>
    <row r="2183" spans="1:13" ht="25" customHeight="1">
      <c r="A2183" s="12">
        <v>125</v>
      </c>
      <c r="B2183" s="8">
        <v>3</v>
      </c>
      <c r="C2183" s="8" t="s">
        <v>716</v>
      </c>
      <c r="D2183" s="8" t="s">
        <v>823</v>
      </c>
      <c r="E2183" s="8">
        <v>1</v>
      </c>
      <c r="F2183" s="8">
        <v>0</v>
      </c>
      <c r="G2183" s="8">
        <v>0</v>
      </c>
      <c r="H2183" s="8">
        <v>2</v>
      </c>
      <c r="I2183" s="11">
        <v>0.07142857142857142</v>
      </c>
      <c r="J2183" s="8" t="s">
        <v>791</v>
      </c>
      <c r="K2183" s="8" t="s">
        <v>1941</v>
      </c>
      <c r="L2183" s="8">
        <v>168</v>
      </c>
    </row>
    <row r="2184" spans="1:13" ht="25" customHeight="1">
      <c r="A2184" s="12">
        <v>126</v>
      </c>
      <c r="B2184" s="8">
        <v>3</v>
      </c>
      <c r="C2184" s="8" t="s">
        <v>706</v>
      </c>
      <c r="D2184" s="8" t="s">
        <v>824</v>
      </c>
      <c r="E2184" s="8">
        <v>1</v>
      </c>
      <c r="F2184" s="8">
        <v>0</v>
      </c>
      <c r="G2184" s="8">
        <v>0</v>
      </c>
      <c r="H2184" s="8">
        <v>-1</v>
      </c>
      <c r="I2184" s="11">
        <v>0.1428571428571428</v>
      </c>
      <c r="J2184" s="8" t="s">
        <v>791</v>
      </c>
      <c r="K2184" s="8" t="s">
        <v>1941</v>
      </c>
      <c r="L2184" s="8">
        <v>169</v>
      </c>
    </row>
    <row r="2185" spans="1:13" ht="25" customHeight="1">
      <c r="A2185" s="12">
        <v>127</v>
      </c>
      <c r="B2185" s="8">
        <v>3</v>
      </c>
      <c r="C2185" s="8" t="s">
        <v>720</v>
      </c>
      <c r="D2185" s="8" t="s">
        <v>1439</v>
      </c>
      <c r="E2185" s="8">
        <v>1</v>
      </c>
      <c r="F2185" s="8">
        <v>1</v>
      </c>
      <c r="G2185" s="8">
        <v>0</v>
      </c>
      <c r="H2185" s="8">
        <v>10</v>
      </c>
      <c r="I2185" s="11">
        <v>0.125</v>
      </c>
      <c r="J2185" s="8" t="s">
        <v>791</v>
      </c>
      <c r="K2185" s="8" t="s">
        <v>1941</v>
      </c>
      <c r="L2185" s="8">
        <v>171</v>
      </c>
    </row>
    <row r="2186" spans="1:13" ht="25" customHeight="1">
      <c r="A2186" s="12">
        <v>128</v>
      </c>
      <c r="B2186" s="8">
        <v>3</v>
      </c>
      <c r="C2186" s="8" t="s">
        <v>706</v>
      </c>
      <c r="D2186" s="8" t="s">
        <v>1451</v>
      </c>
      <c r="E2186" s="8">
        <v>1</v>
      </c>
      <c r="F2186" s="8">
        <v>1</v>
      </c>
      <c r="G2186" s="8">
        <v>1</v>
      </c>
      <c r="H2186" s="8">
        <v>36</v>
      </c>
      <c r="I2186" s="11">
        <v>0.1428571428571428</v>
      </c>
      <c r="J2186" s="8" t="s">
        <v>791</v>
      </c>
      <c r="K2186" s="8" t="s">
        <v>1941</v>
      </c>
      <c r="L2186" s="8">
        <v>172</v>
      </c>
    </row>
    <row r="2187" spans="1:13" ht="25" customHeight="1">
      <c r="A2187" s="12">
        <v>129</v>
      </c>
      <c r="B2187" s="8">
        <v>4</v>
      </c>
      <c r="C2187" s="8" t="s">
        <v>706</v>
      </c>
      <c r="D2187" s="8" t="s">
        <v>1684</v>
      </c>
      <c r="E2187" s="8">
        <v>1</v>
      </c>
      <c r="F2187" s="8">
        <v>0</v>
      </c>
      <c r="G2187" s="8">
        <v>0</v>
      </c>
      <c r="H2187" s="8">
        <v>-1</v>
      </c>
      <c r="I2187" s="11">
        <v>0.5</v>
      </c>
      <c r="J2187" s="8" t="s">
        <v>791</v>
      </c>
      <c r="K2187" s="8" t="s">
        <v>804</v>
      </c>
      <c r="L2187" s="8">
        <v>173</v>
      </c>
    </row>
    <row r="2188" spans="1:13" ht="25" customHeight="1">
      <c r="A2188" s="12">
        <v>130</v>
      </c>
      <c r="B2188" s="8">
        <v>4</v>
      </c>
      <c r="C2188" s="8" t="s">
        <v>706</v>
      </c>
      <c r="D2188" s="8" t="s">
        <v>1687</v>
      </c>
      <c r="E2188" s="8">
        <v>1</v>
      </c>
      <c r="F2188" s="8">
        <v>0</v>
      </c>
      <c r="G2188" s="8">
        <v>0</v>
      </c>
      <c r="H2188" s="8">
        <v>0</v>
      </c>
      <c r="I2188" s="11">
        <v>0.5</v>
      </c>
      <c r="J2188" s="8" t="s">
        <v>791</v>
      </c>
      <c r="K2188" s="8" t="s">
        <v>804</v>
      </c>
      <c r="L2188" s="8">
        <v>174</v>
      </c>
    </row>
    <row r="2194" spans="1:14" ht="27" customHeight="1">
      <c r="A2194" s="5" t="s">
        <v>779</v>
      </c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</row>
    <row r="2195" spans="1:14" ht="36" customHeight="1">
      <c r="A2195" s="9" t="s">
        <v>683</v>
      </c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</row>
    <row r="2196" spans="1:14" ht="25" customHeight="1">
      <c r="A2196" s="6" t="s">
        <v>684</v>
      </c>
    </row>
    <row r="2197" spans="1:14" ht="25" customHeight="1">
      <c r="A2197" s="12">
        <v>1</v>
      </c>
      <c r="B2197" s="8" t="s">
        <v>687</v>
      </c>
      <c r="C2197" s="8" t="s">
        <v>688</v>
      </c>
      <c r="D2197" s="8" t="s">
        <v>780</v>
      </c>
      <c r="E2197" s="8" t="s">
        <v>781</v>
      </c>
      <c r="F2197" s="8" t="s">
        <v>782</v>
      </c>
      <c r="G2197" s="8" t="s">
        <v>783</v>
      </c>
      <c r="H2197" s="8" t="s">
        <v>784</v>
      </c>
      <c r="I2197" s="8" t="s">
        <v>785</v>
      </c>
      <c r="J2197" s="8" t="s">
        <v>690</v>
      </c>
      <c r="K2197" s="8" t="s">
        <v>786</v>
      </c>
      <c r="L2197" s="8" t="s">
        <v>1940</v>
      </c>
      <c r="M2197" s="8" t="s">
        <v>1946</v>
      </c>
      <c r="N2197" s="8" t="s">
        <v>1947</v>
      </c>
    </row>
    <row r="2198" spans="1:14" ht="25" customHeight="1">
      <c r="A2198" s="12">
        <v>2</v>
      </c>
      <c r="B2198" s="8">
        <v>0</v>
      </c>
      <c r="C2198" s="8" t="s">
        <v>115</v>
      </c>
      <c r="D2198" s="8" t="s">
        <v>842</v>
      </c>
      <c r="E2198" s="8" t="s">
        <v>449</v>
      </c>
      <c r="F2198" s="8">
        <v>1</v>
      </c>
      <c r="G2198" s="8">
        <v>0</v>
      </c>
      <c r="H2198" s="8">
        <v>0</v>
      </c>
      <c r="I2198" s="8">
        <v>5</v>
      </c>
      <c r="J2198" s="8">
        <v>1</v>
      </c>
      <c r="K2198" s="8" t="s">
        <v>791</v>
      </c>
      <c r="L2198" s="8" t="s">
        <v>1941</v>
      </c>
      <c r="M2198" s="8">
        <v>3</v>
      </c>
    </row>
    <row r="2199" spans="1:14" ht="25" customHeight="1">
      <c r="A2199" s="12">
        <v>3</v>
      </c>
      <c r="B2199" s="8">
        <v>0</v>
      </c>
      <c r="C2199" s="8" t="s">
        <v>115</v>
      </c>
      <c r="D2199" s="8" t="s">
        <v>123</v>
      </c>
      <c r="E2199" s="8" t="s">
        <v>465</v>
      </c>
      <c r="F2199" s="8">
        <v>1</v>
      </c>
      <c r="G2199" s="8">
        <v>0</v>
      </c>
      <c r="H2199" s="8">
        <v>0</v>
      </c>
      <c r="I2199" s="8">
        <v>0</v>
      </c>
      <c r="J2199" s="11">
        <v>0.3333333333333333</v>
      </c>
      <c r="K2199" s="8" t="s">
        <v>791</v>
      </c>
      <c r="L2199" s="8" t="s">
        <v>1941</v>
      </c>
      <c r="M2199" s="8">
        <v>4</v>
      </c>
    </row>
    <row r="2200" spans="1:14" ht="25" customHeight="1">
      <c r="A2200" s="12">
        <v>4</v>
      </c>
      <c r="B2200" s="8">
        <v>0</v>
      </c>
      <c r="C2200" s="8" t="s">
        <v>115</v>
      </c>
      <c r="D2200" s="8" t="s">
        <v>120</v>
      </c>
      <c r="E2200" s="8" t="s">
        <v>449</v>
      </c>
      <c r="F2200" s="8">
        <v>2</v>
      </c>
      <c r="G2200" s="11">
        <v>0.5</v>
      </c>
      <c r="H2200" s="8">
        <v>0</v>
      </c>
      <c r="I2200" s="11">
        <v>4.5</v>
      </c>
      <c r="J2200" s="11">
        <v>0.08333333333333333</v>
      </c>
      <c r="K2200" s="8" t="s">
        <v>791</v>
      </c>
      <c r="L2200" s="8" t="s">
        <v>792</v>
      </c>
      <c r="M2200" s="8">
        <v>5</v>
      </c>
      <c r="N2200" s="8">
        <v>1</v>
      </c>
    </row>
    <row r="2201" spans="1:14" ht="25" customHeight="1">
      <c r="A2201" s="12">
        <v>5</v>
      </c>
      <c r="B2201" s="8">
        <v>0</v>
      </c>
      <c r="C2201" s="8" t="s">
        <v>115</v>
      </c>
      <c r="D2201" s="8" t="s">
        <v>120</v>
      </c>
      <c r="E2201" s="8" t="s">
        <v>465</v>
      </c>
      <c r="F2201" s="8">
        <v>4</v>
      </c>
      <c r="G2201" s="11">
        <v>0.5</v>
      </c>
      <c r="H2201" s="8">
        <v>0</v>
      </c>
      <c r="I2201" s="11">
        <v>3.75</v>
      </c>
      <c r="J2201" s="11">
        <v>0.1666666666666667</v>
      </c>
      <c r="K2201" s="8" t="s">
        <v>795</v>
      </c>
      <c r="L2201" s="8" t="s">
        <v>796</v>
      </c>
      <c r="M2201" s="8">
        <v>6</v>
      </c>
      <c r="N2201" s="8">
        <v>2</v>
      </c>
    </row>
    <row r="2202" spans="1:14" ht="25" customHeight="1">
      <c r="A2202" s="12">
        <v>6</v>
      </c>
      <c r="B2202" s="8">
        <v>0</v>
      </c>
      <c r="C2202" s="8" t="s">
        <v>115</v>
      </c>
      <c r="D2202" s="8" t="s">
        <v>120</v>
      </c>
      <c r="E2202" s="8" t="s">
        <v>471</v>
      </c>
      <c r="F2202" s="8">
        <v>1</v>
      </c>
      <c r="G2202" s="8">
        <v>0</v>
      </c>
      <c r="H2202" s="8">
        <v>0</v>
      </c>
      <c r="I2202" s="8">
        <v>5</v>
      </c>
      <c r="J2202" s="11">
        <v>0.04166666666666666</v>
      </c>
      <c r="K2202" s="8" t="s">
        <v>791</v>
      </c>
      <c r="L2202" s="8" t="s">
        <v>1941</v>
      </c>
      <c r="M2202" s="8">
        <v>7</v>
      </c>
    </row>
    <row r="2203" spans="1:14" ht="25" customHeight="1">
      <c r="A2203" s="12">
        <v>7</v>
      </c>
      <c r="B2203" s="8">
        <v>0</v>
      </c>
      <c r="C2203" s="8" t="s">
        <v>115</v>
      </c>
      <c r="D2203" s="8" t="s">
        <v>120</v>
      </c>
      <c r="E2203" s="8" t="s">
        <v>468</v>
      </c>
      <c r="F2203" s="8">
        <v>2</v>
      </c>
      <c r="G2203" s="11">
        <v>0.5</v>
      </c>
      <c r="H2203" s="11">
        <v>0.5</v>
      </c>
      <c r="I2203" s="11">
        <v>7.5</v>
      </c>
      <c r="J2203" s="11">
        <v>0.08333333333333333</v>
      </c>
      <c r="K2203" s="8" t="s">
        <v>791</v>
      </c>
      <c r="L2203" s="8" t="s">
        <v>792</v>
      </c>
      <c r="M2203" s="8">
        <v>8</v>
      </c>
      <c r="N2203" s="8">
        <v>3</v>
      </c>
    </row>
    <row r="2204" spans="1:14" ht="25" customHeight="1">
      <c r="A2204" s="12">
        <v>8</v>
      </c>
      <c r="B2204" s="8">
        <v>0</v>
      </c>
      <c r="C2204" s="8" t="s">
        <v>115</v>
      </c>
      <c r="D2204" s="8" t="s">
        <v>120</v>
      </c>
      <c r="E2204" s="8" t="s">
        <v>611</v>
      </c>
      <c r="F2204" s="8">
        <v>1</v>
      </c>
      <c r="G2204" s="8">
        <v>0</v>
      </c>
      <c r="H2204" s="8">
        <v>0</v>
      </c>
      <c r="I2204" s="8">
        <v>-2</v>
      </c>
      <c r="J2204" s="11">
        <v>0.04166666666666666</v>
      </c>
      <c r="K2204" s="8" t="s">
        <v>791</v>
      </c>
      <c r="L2204" s="8" t="s">
        <v>1941</v>
      </c>
      <c r="M2204" s="8">
        <v>9</v>
      </c>
    </row>
    <row r="2205" spans="1:14" ht="25" customHeight="1">
      <c r="A2205" s="12">
        <v>9</v>
      </c>
      <c r="B2205" s="8">
        <v>0</v>
      </c>
      <c r="C2205" s="8" t="s">
        <v>115</v>
      </c>
      <c r="D2205" s="8" t="s">
        <v>120</v>
      </c>
      <c r="E2205" s="8" t="s">
        <v>541</v>
      </c>
      <c r="F2205" s="8">
        <v>1</v>
      </c>
      <c r="G2205" s="8">
        <v>1</v>
      </c>
      <c r="H2205" s="8">
        <v>0</v>
      </c>
      <c r="I2205" s="8">
        <v>6</v>
      </c>
      <c r="J2205" s="11">
        <v>0.04166666666666666</v>
      </c>
      <c r="K2205" s="8" t="s">
        <v>791</v>
      </c>
      <c r="L2205" s="8" t="s">
        <v>1941</v>
      </c>
      <c r="M2205" s="8">
        <v>10</v>
      </c>
    </row>
    <row r="2206" spans="1:14" ht="25" customHeight="1">
      <c r="A2206" s="12">
        <v>10</v>
      </c>
      <c r="B2206" s="8">
        <v>0</v>
      </c>
      <c r="C2206" s="8" t="s">
        <v>115</v>
      </c>
      <c r="D2206" s="8" t="s">
        <v>120</v>
      </c>
      <c r="E2206" s="8" t="s">
        <v>474</v>
      </c>
      <c r="F2206" s="8">
        <v>1</v>
      </c>
      <c r="G2206" s="8">
        <v>0</v>
      </c>
      <c r="H2206" s="8">
        <v>0</v>
      </c>
      <c r="I2206" s="8">
        <v>0</v>
      </c>
      <c r="J2206" s="11">
        <v>0.04166666666666666</v>
      </c>
      <c r="K2206" s="8" t="s">
        <v>791</v>
      </c>
      <c r="L2206" s="8" t="s">
        <v>1941</v>
      </c>
      <c r="M2206" s="8">
        <v>12</v>
      </c>
    </row>
    <row r="2207" spans="1:14" ht="25" customHeight="1">
      <c r="A2207" s="12">
        <v>11</v>
      </c>
      <c r="B2207" s="8">
        <v>0</v>
      </c>
      <c r="C2207" s="8" t="s">
        <v>115</v>
      </c>
      <c r="D2207" s="8" t="s">
        <v>120</v>
      </c>
      <c r="E2207" s="8" t="s">
        <v>428</v>
      </c>
      <c r="F2207" s="8">
        <v>4</v>
      </c>
      <c r="G2207" s="11">
        <v>0.25</v>
      </c>
      <c r="H2207" s="8">
        <v>0</v>
      </c>
      <c r="I2207" s="8">
        <v>2</v>
      </c>
      <c r="J2207" s="11">
        <v>0.1666666666666667</v>
      </c>
      <c r="K2207" s="8" t="s">
        <v>795</v>
      </c>
      <c r="L2207" s="8" t="s">
        <v>796</v>
      </c>
      <c r="M2207" s="8">
        <v>13</v>
      </c>
      <c r="N2207" s="8">
        <v>4</v>
      </c>
    </row>
    <row r="2208" spans="1:14" ht="25" customHeight="1">
      <c r="A2208" s="12">
        <v>12</v>
      </c>
      <c r="B2208" s="8">
        <v>0</v>
      </c>
      <c r="C2208" s="8" t="s">
        <v>115</v>
      </c>
      <c r="D2208" s="8" t="s">
        <v>120</v>
      </c>
      <c r="E2208" s="8" t="s">
        <v>574</v>
      </c>
      <c r="F2208" s="8">
        <v>2</v>
      </c>
      <c r="G2208" s="11">
        <v>0.5</v>
      </c>
      <c r="H2208" s="8">
        <v>0</v>
      </c>
      <c r="I2208" s="8">
        <v>4</v>
      </c>
      <c r="J2208" s="11">
        <v>0.08333333333333333</v>
      </c>
      <c r="K2208" s="8" t="s">
        <v>791</v>
      </c>
      <c r="L2208" s="8" t="s">
        <v>792</v>
      </c>
      <c r="M2208" s="8">
        <v>14</v>
      </c>
      <c r="N2208" s="8">
        <v>5</v>
      </c>
    </row>
    <row r="2209" spans="1:14" ht="25" customHeight="1">
      <c r="A2209" s="12">
        <v>13</v>
      </c>
      <c r="B2209" s="8">
        <v>0</v>
      </c>
      <c r="C2209" s="8" t="s">
        <v>115</v>
      </c>
      <c r="D2209" s="8" t="s">
        <v>120</v>
      </c>
      <c r="E2209" s="8" t="s">
        <v>452</v>
      </c>
      <c r="F2209" s="8">
        <v>2</v>
      </c>
      <c r="G2209" s="8">
        <v>1</v>
      </c>
      <c r="H2209" s="11">
        <v>0.5</v>
      </c>
      <c r="I2209" s="11">
        <v>9.5</v>
      </c>
      <c r="J2209" s="11">
        <v>0.08333333333333333</v>
      </c>
      <c r="K2209" s="8" t="s">
        <v>791</v>
      </c>
      <c r="L2209" s="8" t="s">
        <v>792</v>
      </c>
      <c r="M2209" s="8">
        <v>15</v>
      </c>
      <c r="N2209" s="8">
        <v>6</v>
      </c>
    </row>
    <row r="2210" spans="1:14" ht="25" customHeight="1">
      <c r="A2210" s="12">
        <v>14</v>
      </c>
      <c r="B2210" s="8">
        <v>0</v>
      </c>
      <c r="C2210" s="8" t="s">
        <v>115</v>
      </c>
      <c r="D2210" s="8" t="s">
        <v>123</v>
      </c>
      <c r="E2210" s="8" t="s">
        <v>428</v>
      </c>
      <c r="F2210" s="8">
        <v>2</v>
      </c>
      <c r="G2210" s="8">
        <v>1</v>
      </c>
      <c r="H2210" s="11">
        <v>0.5</v>
      </c>
      <c r="I2210" s="11">
        <v>9.5</v>
      </c>
      <c r="J2210" s="11">
        <v>0.6666666666666666</v>
      </c>
      <c r="K2210" s="8" t="s">
        <v>791</v>
      </c>
      <c r="L2210" s="8" t="s">
        <v>796</v>
      </c>
      <c r="M2210" s="8">
        <v>16</v>
      </c>
      <c r="N2210" s="8">
        <v>7</v>
      </c>
    </row>
    <row r="2211" spans="1:14" ht="25" customHeight="1">
      <c r="A2211" s="12">
        <v>15</v>
      </c>
      <c r="B2211" s="8">
        <v>0</v>
      </c>
      <c r="C2211" s="8" t="s">
        <v>115</v>
      </c>
      <c r="D2211" s="8" t="s">
        <v>120</v>
      </c>
      <c r="E2211" s="8" t="s">
        <v>800</v>
      </c>
      <c r="F2211" s="8">
        <v>3</v>
      </c>
      <c r="G2211" s="8">
        <v>0</v>
      </c>
      <c r="H2211" s="8">
        <v>0</v>
      </c>
      <c r="I2211" s="11">
        <v>1.666666666666667</v>
      </c>
      <c r="J2211" s="11">
        <v>0.125</v>
      </c>
      <c r="K2211" s="8" t="s">
        <v>801</v>
      </c>
      <c r="L2211" s="8" t="s">
        <v>792</v>
      </c>
      <c r="M2211" s="8">
        <v>21</v>
      </c>
      <c r="N2211" s="8">
        <v>8</v>
      </c>
    </row>
    <row r="2212" spans="1:14" ht="25" customHeight="1">
      <c r="A2212" s="12">
        <v>16</v>
      </c>
      <c r="B2212" s="8">
        <v>0</v>
      </c>
      <c r="C2212" s="8" t="s">
        <v>115</v>
      </c>
      <c r="D2212" s="8" t="s">
        <v>803</v>
      </c>
      <c r="E2212" s="8" t="s">
        <v>465</v>
      </c>
      <c r="F2212" s="8">
        <v>1</v>
      </c>
      <c r="G2212" s="8">
        <v>1</v>
      </c>
      <c r="H2212" s="8">
        <v>0</v>
      </c>
      <c r="I2212" s="8">
        <v>6</v>
      </c>
      <c r="J2212" s="11">
        <v>0.2</v>
      </c>
      <c r="K2212" s="8" t="s">
        <v>791</v>
      </c>
      <c r="L2212" s="8" t="s">
        <v>1941</v>
      </c>
      <c r="M2212" s="8">
        <v>23</v>
      </c>
    </row>
    <row r="2213" spans="1:14" ht="25" customHeight="1">
      <c r="A2213" s="12">
        <v>17</v>
      </c>
      <c r="B2213" s="8">
        <v>0</v>
      </c>
      <c r="C2213" s="8" t="s">
        <v>115</v>
      </c>
      <c r="D2213" s="8" t="s">
        <v>802</v>
      </c>
      <c r="E2213" s="8" t="s">
        <v>465</v>
      </c>
      <c r="F2213" s="8">
        <v>2</v>
      </c>
      <c r="G2213" s="8">
        <v>0</v>
      </c>
      <c r="H2213" s="8">
        <v>0</v>
      </c>
      <c r="I2213" s="11">
        <v>-2.5</v>
      </c>
      <c r="J2213" s="8">
        <v>1</v>
      </c>
      <c r="K2213" s="8" t="s">
        <v>791</v>
      </c>
      <c r="L2213" s="8" t="s">
        <v>796</v>
      </c>
      <c r="M2213" s="8">
        <v>25</v>
      </c>
      <c r="N2213" s="8">
        <v>9</v>
      </c>
    </row>
    <row r="2214" spans="1:14" ht="25" customHeight="1">
      <c r="A2214" s="12">
        <v>18</v>
      </c>
      <c r="B2214" s="8">
        <v>0</v>
      </c>
      <c r="C2214" s="8" t="s">
        <v>115</v>
      </c>
      <c r="D2214" s="8" t="s">
        <v>803</v>
      </c>
      <c r="E2214" s="8" t="s">
        <v>428</v>
      </c>
      <c r="F2214" s="8">
        <v>4</v>
      </c>
      <c r="G2214" s="11">
        <v>0.25</v>
      </c>
      <c r="H2214" s="8">
        <v>0</v>
      </c>
      <c r="I2214" s="8">
        <v>2</v>
      </c>
      <c r="J2214" s="11">
        <v>0.8</v>
      </c>
      <c r="K2214" s="8" t="s">
        <v>795</v>
      </c>
      <c r="L2214" s="8" t="s">
        <v>804</v>
      </c>
      <c r="M2214" s="8">
        <v>27</v>
      </c>
      <c r="N2214" s="8">
        <v>10</v>
      </c>
    </row>
    <row r="2215" spans="1:14" ht="25" customHeight="1">
      <c r="A2215" s="12">
        <v>19</v>
      </c>
      <c r="B2215" s="8">
        <v>0</v>
      </c>
      <c r="C2215" s="8" t="s">
        <v>115</v>
      </c>
      <c r="D2215" s="8" t="s">
        <v>877</v>
      </c>
      <c r="E2215" s="8" t="s">
        <v>878</v>
      </c>
      <c r="F2215" s="8">
        <v>1</v>
      </c>
      <c r="G2215" s="8">
        <v>1</v>
      </c>
      <c r="H2215" s="8">
        <v>0</v>
      </c>
      <c r="I2215" s="8">
        <v>1</v>
      </c>
      <c r="J2215" s="8">
        <v>1</v>
      </c>
      <c r="K2215" s="8" t="s">
        <v>791</v>
      </c>
      <c r="L2215" s="8" t="s">
        <v>1941</v>
      </c>
      <c r="M2215" s="8">
        <v>32</v>
      </c>
    </row>
    <row r="2216" spans="1:14" ht="25" customHeight="1">
      <c r="A2216" s="12">
        <v>20</v>
      </c>
      <c r="B2216" s="8">
        <v>0</v>
      </c>
      <c r="C2216" s="8" t="s">
        <v>115</v>
      </c>
      <c r="D2216" s="8" t="s">
        <v>120</v>
      </c>
      <c r="E2216" s="8" t="s">
        <v>480</v>
      </c>
      <c r="F2216" s="8">
        <v>1</v>
      </c>
      <c r="G2216" s="8">
        <v>0</v>
      </c>
      <c r="H2216" s="8">
        <v>0</v>
      </c>
      <c r="I2216" s="8">
        <v>-5</v>
      </c>
      <c r="J2216" s="11">
        <v>0.04166666666666666</v>
      </c>
      <c r="K2216" s="8" t="s">
        <v>791</v>
      </c>
      <c r="L2216" s="8" t="s">
        <v>1941</v>
      </c>
      <c r="M2216" s="8">
        <v>36</v>
      </c>
    </row>
    <row r="2217" spans="1:14" ht="25" customHeight="1">
      <c r="A2217" s="12">
        <v>21</v>
      </c>
      <c r="B2217" s="8">
        <v>1</v>
      </c>
      <c r="C2217" s="8" t="s">
        <v>711</v>
      </c>
      <c r="D2217" s="8" t="s">
        <v>120</v>
      </c>
      <c r="E2217" s="8" t="s">
        <v>465</v>
      </c>
      <c r="F2217" s="8">
        <v>1</v>
      </c>
      <c r="G2217" s="8">
        <v>0</v>
      </c>
      <c r="H2217" s="8">
        <v>0</v>
      </c>
      <c r="I2217" s="8">
        <v>-2</v>
      </c>
      <c r="J2217" s="11">
        <v>0.5</v>
      </c>
      <c r="K2217" s="8" t="s">
        <v>791</v>
      </c>
      <c r="L2217" s="8" t="s">
        <v>1941</v>
      </c>
      <c r="M2217" s="8">
        <v>40</v>
      </c>
    </row>
    <row r="2218" spans="1:14" ht="25" customHeight="1">
      <c r="A2218" s="12">
        <v>22</v>
      </c>
      <c r="B2218" s="8">
        <v>1</v>
      </c>
      <c r="C2218" s="8" t="s">
        <v>716</v>
      </c>
      <c r="D2218" s="8" t="s">
        <v>120</v>
      </c>
      <c r="E2218" s="8" t="s">
        <v>474</v>
      </c>
      <c r="F2218" s="8">
        <v>2</v>
      </c>
      <c r="G2218" s="11">
        <v>0.5</v>
      </c>
      <c r="H2218" s="8">
        <v>0</v>
      </c>
      <c r="I2218" s="8">
        <v>4</v>
      </c>
      <c r="J2218" s="11">
        <v>0.09523809523809523</v>
      </c>
      <c r="K2218" s="8" t="s">
        <v>791</v>
      </c>
      <c r="L2218" s="8" t="s">
        <v>792</v>
      </c>
      <c r="M2218" s="8">
        <v>41</v>
      </c>
      <c r="N2218" s="8">
        <v>11</v>
      </c>
    </row>
    <row r="2219" spans="1:14" ht="25" customHeight="1">
      <c r="A2219" s="12">
        <v>23</v>
      </c>
      <c r="B2219" s="8">
        <v>1</v>
      </c>
      <c r="C2219" s="8" t="s">
        <v>716</v>
      </c>
      <c r="D2219" s="8" t="s">
        <v>123</v>
      </c>
      <c r="E2219" s="8" t="s">
        <v>428</v>
      </c>
      <c r="F2219" s="8">
        <v>1</v>
      </c>
      <c r="G2219" s="8">
        <v>0</v>
      </c>
      <c r="H2219" s="8">
        <v>0</v>
      </c>
      <c r="I2219" s="8">
        <v>0</v>
      </c>
      <c r="J2219" s="8">
        <v>1</v>
      </c>
      <c r="K2219" s="8" t="s">
        <v>791</v>
      </c>
      <c r="L2219" s="8" t="s">
        <v>1941</v>
      </c>
      <c r="M2219" s="8">
        <v>42</v>
      </c>
    </row>
    <row r="2220" spans="1:14" ht="25" customHeight="1">
      <c r="A2220" s="12">
        <v>24</v>
      </c>
      <c r="B2220" s="8">
        <v>1</v>
      </c>
      <c r="C2220" s="8" t="s">
        <v>716</v>
      </c>
      <c r="D2220" s="8" t="s">
        <v>120</v>
      </c>
      <c r="E2220" s="8" t="s">
        <v>465</v>
      </c>
      <c r="F2220" s="8">
        <v>2</v>
      </c>
      <c r="G2220" s="8">
        <v>1</v>
      </c>
      <c r="H2220" s="8">
        <v>0</v>
      </c>
      <c r="I2220" s="8">
        <v>6</v>
      </c>
      <c r="J2220" s="11">
        <v>0.09523809523809523</v>
      </c>
      <c r="K2220" s="8" t="s">
        <v>791</v>
      </c>
      <c r="L2220" s="8" t="s">
        <v>792</v>
      </c>
      <c r="M2220" s="8">
        <v>43</v>
      </c>
      <c r="N2220" s="8">
        <v>12</v>
      </c>
    </row>
    <row r="2221" spans="1:14" ht="25" customHeight="1">
      <c r="A2221" s="12">
        <v>25</v>
      </c>
      <c r="B2221" s="8">
        <v>1</v>
      </c>
      <c r="C2221" s="8" t="s">
        <v>716</v>
      </c>
      <c r="D2221" s="8" t="s">
        <v>120</v>
      </c>
      <c r="E2221" s="8" t="s">
        <v>611</v>
      </c>
      <c r="F2221" s="8">
        <v>1</v>
      </c>
      <c r="G2221" s="8">
        <v>1</v>
      </c>
      <c r="H2221" s="8">
        <v>0</v>
      </c>
      <c r="I2221" s="8">
        <v>9</v>
      </c>
      <c r="J2221" s="11">
        <v>0.04761904761904762</v>
      </c>
      <c r="K2221" s="8" t="s">
        <v>791</v>
      </c>
      <c r="L2221" s="8" t="s">
        <v>1941</v>
      </c>
      <c r="M2221" s="8">
        <v>44</v>
      </c>
    </row>
    <row r="2222" spans="1:14" ht="25" customHeight="1">
      <c r="A2222" s="12">
        <v>26</v>
      </c>
      <c r="B2222" s="8">
        <v>1</v>
      </c>
      <c r="C2222" s="8" t="s">
        <v>716</v>
      </c>
      <c r="D2222" s="8" t="s">
        <v>120</v>
      </c>
      <c r="E2222" s="8" t="s">
        <v>443</v>
      </c>
      <c r="F2222" s="8">
        <v>1</v>
      </c>
      <c r="G2222" s="8">
        <v>0</v>
      </c>
      <c r="H2222" s="8">
        <v>0</v>
      </c>
      <c r="I2222" s="8">
        <v>1</v>
      </c>
      <c r="J2222" s="11">
        <v>0.04761904761904762</v>
      </c>
      <c r="K2222" s="8" t="s">
        <v>791</v>
      </c>
      <c r="L2222" s="8" t="s">
        <v>1941</v>
      </c>
      <c r="M2222" s="8">
        <v>45</v>
      </c>
    </row>
    <row r="2223" spans="1:14" ht="25" customHeight="1">
      <c r="A2223" s="12">
        <v>27</v>
      </c>
      <c r="B2223" s="8">
        <v>1</v>
      </c>
      <c r="C2223" s="8" t="s">
        <v>716</v>
      </c>
      <c r="D2223" s="8" t="s">
        <v>120</v>
      </c>
      <c r="E2223" s="8" t="s">
        <v>428</v>
      </c>
      <c r="F2223" s="8">
        <v>6</v>
      </c>
      <c r="G2223" s="8">
        <v>0</v>
      </c>
      <c r="H2223" s="8">
        <v>0</v>
      </c>
      <c r="I2223" s="8">
        <v>0</v>
      </c>
      <c r="J2223" s="11">
        <v>0.2857142857142857</v>
      </c>
      <c r="K2223" s="8" t="s">
        <v>795</v>
      </c>
      <c r="L2223" s="8" t="s">
        <v>796</v>
      </c>
      <c r="M2223" s="8">
        <v>46</v>
      </c>
      <c r="N2223" s="8">
        <v>13</v>
      </c>
    </row>
    <row r="2224" spans="1:14" ht="25" customHeight="1">
      <c r="A2224" s="12">
        <v>28</v>
      </c>
      <c r="B2224" s="8">
        <v>1</v>
      </c>
      <c r="C2224" s="8" t="s">
        <v>716</v>
      </c>
      <c r="D2224" s="8" t="s">
        <v>120</v>
      </c>
      <c r="E2224" s="8" t="s">
        <v>561</v>
      </c>
      <c r="F2224" s="8">
        <v>1</v>
      </c>
      <c r="G2224" s="8">
        <v>0</v>
      </c>
      <c r="H2224" s="8">
        <v>0</v>
      </c>
      <c r="I2224" s="8">
        <v>0</v>
      </c>
      <c r="J2224" s="11">
        <v>0.04761904761904762</v>
      </c>
      <c r="K2224" s="8" t="s">
        <v>791</v>
      </c>
      <c r="L2224" s="8" t="s">
        <v>1941</v>
      </c>
      <c r="M2224" s="8">
        <v>48</v>
      </c>
    </row>
    <row r="2225" spans="1:14" ht="25" customHeight="1">
      <c r="A2225" s="12">
        <v>29</v>
      </c>
      <c r="B2225" s="8">
        <v>1</v>
      </c>
      <c r="C2225" s="8" t="s">
        <v>716</v>
      </c>
      <c r="D2225" s="8" t="s">
        <v>120</v>
      </c>
      <c r="E2225" s="8" t="s">
        <v>468</v>
      </c>
      <c r="F2225" s="8">
        <v>3</v>
      </c>
      <c r="G2225" s="11">
        <v>0.6666666666666666</v>
      </c>
      <c r="H2225" s="11">
        <v>0.3333333333333333</v>
      </c>
      <c r="I2225" s="11">
        <v>11.66666666666667</v>
      </c>
      <c r="J2225" s="11">
        <v>0.1428571428571428</v>
      </c>
      <c r="K2225" s="8" t="s">
        <v>801</v>
      </c>
      <c r="L2225" s="8" t="s">
        <v>792</v>
      </c>
      <c r="M2225" s="8">
        <v>49</v>
      </c>
      <c r="N2225" s="8">
        <v>14</v>
      </c>
    </row>
    <row r="2226" spans="1:14" ht="25" customHeight="1">
      <c r="A2226" s="12">
        <v>30</v>
      </c>
      <c r="B2226" s="8">
        <v>1</v>
      </c>
      <c r="C2226" s="8" t="s">
        <v>716</v>
      </c>
      <c r="D2226" s="8" t="s">
        <v>120</v>
      </c>
      <c r="E2226" s="8" t="s">
        <v>449</v>
      </c>
      <c r="F2226" s="8">
        <v>2</v>
      </c>
      <c r="G2226" s="11">
        <v>0.5</v>
      </c>
      <c r="H2226" s="8">
        <v>0</v>
      </c>
      <c r="I2226" s="11">
        <v>6.5</v>
      </c>
      <c r="J2226" s="11">
        <v>0.09523809523809523</v>
      </c>
      <c r="K2226" s="8" t="s">
        <v>791</v>
      </c>
      <c r="L2226" s="8" t="s">
        <v>792</v>
      </c>
      <c r="M2226" s="8">
        <v>51</v>
      </c>
      <c r="N2226" s="8">
        <v>15</v>
      </c>
    </row>
    <row r="2227" spans="1:14" ht="25" customHeight="1">
      <c r="A2227" s="12">
        <v>31</v>
      </c>
      <c r="B2227" s="8">
        <v>1</v>
      </c>
      <c r="C2227" s="8" t="s">
        <v>711</v>
      </c>
      <c r="D2227" s="8" t="s">
        <v>120</v>
      </c>
      <c r="E2227" s="8" t="s">
        <v>878</v>
      </c>
      <c r="F2227" s="8">
        <v>1</v>
      </c>
      <c r="G2227" s="8">
        <v>0</v>
      </c>
      <c r="H2227" s="8">
        <v>0</v>
      </c>
      <c r="I2227" s="8">
        <v>1</v>
      </c>
      <c r="J2227" s="11">
        <v>0.5</v>
      </c>
      <c r="K2227" s="8" t="s">
        <v>791</v>
      </c>
      <c r="L2227" s="8" t="s">
        <v>1941</v>
      </c>
      <c r="M2227" s="8">
        <v>52</v>
      </c>
    </row>
    <row r="2228" spans="1:14" ht="25" customHeight="1">
      <c r="A2228" s="12">
        <v>32</v>
      </c>
      <c r="B2228" s="8">
        <v>1</v>
      </c>
      <c r="C2228" s="8" t="s">
        <v>706</v>
      </c>
      <c r="D2228" s="8" t="s">
        <v>877</v>
      </c>
      <c r="E2228" s="8" t="s">
        <v>465</v>
      </c>
      <c r="F2228" s="8">
        <v>1</v>
      </c>
      <c r="G2228" s="8">
        <v>0</v>
      </c>
      <c r="H2228" s="8">
        <v>0</v>
      </c>
      <c r="I2228" s="8">
        <v>0</v>
      </c>
      <c r="J2228" s="8">
        <v>1</v>
      </c>
      <c r="K2228" s="8" t="s">
        <v>791</v>
      </c>
      <c r="L2228" s="8" t="s">
        <v>1941</v>
      </c>
      <c r="M2228" s="8">
        <v>53</v>
      </c>
    </row>
    <row r="2229" spans="1:14" ht="25" customHeight="1">
      <c r="A2229" s="12">
        <v>33</v>
      </c>
      <c r="B2229" s="8">
        <v>1</v>
      </c>
      <c r="C2229" s="8" t="s">
        <v>716</v>
      </c>
      <c r="D2229" s="8" t="s">
        <v>120</v>
      </c>
      <c r="E2229" s="8" t="s">
        <v>800</v>
      </c>
      <c r="F2229" s="8">
        <v>1</v>
      </c>
      <c r="G2229" s="8">
        <v>1</v>
      </c>
      <c r="H2229" s="8">
        <v>0</v>
      </c>
      <c r="I2229" s="8">
        <v>6</v>
      </c>
      <c r="J2229" s="11">
        <v>0.04761904761904762</v>
      </c>
      <c r="K2229" s="8" t="s">
        <v>791</v>
      </c>
      <c r="L2229" s="8" t="s">
        <v>1941</v>
      </c>
      <c r="M2229" s="8">
        <v>55</v>
      </c>
    </row>
    <row r="2230" spans="1:14" ht="25" customHeight="1">
      <c r="A2230" s="12">
        <v>34</v>
      </c>
      <c r="B2230" s="8">
        <v>1</v>
      </c>
      <c r="C2230" s="8" t="s">
        <v>716</v>
      </c>
      <c r="D2230" s="8" t="s">
        <v>120</v>
      </c>
      <c r="E2230" s="8" t="s">
        <v>574</v>
      </c>
      <c r="F2230" s="8">
        <v>1</v>
      </c>
      <c r="G2230" s="8">
        <v>1</v>
      </c>
      <c r="H2230" s="8">
        <v>0</v>
      </c>
      <c r="I2230" s="8">
        <v>4</v>
      </c>
      <c r="J2230" s="11">
        <v>0.04761904761904762</v>
      </c>
      <c r="K2230" s="8" t="s">
        <v>791</v>
      </c>
      <c r="L2230" s="8" t="s">
        <v>1941</v>
      </c>
      <c r="M2230" s="8">
        <v>58</v>
      </c>
    </row>
    <row r="2231" spans="1:14" ht="25" customHeight="1">
      <c r="A2231" s="12">
        <v>35</v>
      </c>
      <c r="B2231" s="8">
        <v>1</v>
      </c>
      <c r="C2231" s="8" t="s">
        <v>716</v>
      </c>
      <c r="D2231" s="8" t="s">
        <v>120</v>
      </c>
      <c r="E2231" s="8" t="s">
        <v>452</v>
      </c>
      <c r="F2231" s="8">
        <v>1</v>
      </c>
      <c r="G2231" s="8">
        <v>0</v>
      </c>
      <c r="H2231" s="8">
        <v>0</v>
      </c>
      <c r="I2231" s="8">
        <v>-15</v>
      </c>
      <c r="J2231" s="11">
        <v>0.04761904761904762</v>
      </c>
      <c r="K2231" s="8" t="s">
        <v>791</v>
      </c>
      <c r="L2231" s="8" t="s">
        <v>1941</v>
      </c>
      <c r="M2231" s="8">
        <v>60</v>
      </c>
    </row>
    <row r="2232" spans="1:14" ht="25" customHeight="1">
      <c r="A2232" s="12">
        <v>36</v>
      </c>
      <c r="B2232" s="8">
        <v>1</v>
      </c>
      <c r="C2232" s="8" t="s">
        <v>720</v>
      </c>
      <c r="D2232" s="8" t="s">
        <v>803</v>
      </c>
      <c r="E2232" s="8" t="s">
        <v>428</v>
      </c>
      <c r="F2232" s="8">
        <v>1</v>
      </c>
      <c r="G2232" s="8">
        <v>1</v>
      </c>
      <c r="H2232" s="8">
        <v>0</v>
      </c>
      <c r="I2232" s="8">
        <v>3</v>
      </c>
      <c r="J2232" s="8">
        <v>1</v>
      </c>
      <c r="K2232" s="8" t="s">
        <v>791</v>
      </c>
      <c r="L2232" s="8" t="s">
        <v>1941</v>
      </c>
      <c r="M2232" s="8">
        <v>65</v>
      </c>
    </row>
    <row r="2233" spans="1:14" ht="25" customHeight="1">
      <c r="A2233" s="12">
        <v>37</v>
      </c>
      <c r="B2233" s="8">
        <v>1</v>
      </c>
      <c r="C2233" s="8" t="s">
        <v>716</v>
      </c>
      <c r="D2233" s="8" t="s">
        <v>803</v>
      </c>
      <c r="E2233" s="8" t="s">
        <v>878</v>
      </c>
      <c r="F2233" s="8">
        <v>1</v>
      </c>
      <c r="G2233" s="8">
        <v>1</v>
      </c>
      <c r="H2233" s="8">
        <v>0</v>
      </c>
      <c r="I2233" s="8">
        <v>6</v>
      </c>
      <c r="J2233" s="8">
        <v>1</v>
      </c>
      <c r="K2233" s="8" t="s">
        <v>791</v>
      </c>
      <c r="L2233" s="8" t="s">
        <v>1941</v>
      </c>
      <c r="M2233" s="8">
        <v>66</v>
      </c>
    </row>
    <row r="2234" spans="1:14" ht="25" customHeight="1">
      <c r="A2234" s="12">
        <v>38</v>
      </c>
      <c r="B2234" s="8">
        <v>1</v>
      </c>
      <c r="C2234" s="8" t="s">
        <v>716</v>
      </c>
      <c r="D2234" s="8" t="s">
        <v>802</v>
      </c>
      <c r="E2234" s="8" t="s">
        <v>465</v>
      </c>
      <c r="F2234" s="8">
        <v>1</v>
      </c>
      <c r="G2234" s="8">
        <v>0</v>
      </c>
      <c r="H2234" s="8">
        <v>0</v>
      </c>
      <c r="I2234" s="8">
        <v>2</v>
      </c>
      <c r="J2234" s="11">
        <v>0.3333333333333333</v>
      </c>
      <c r="K2234" s="8" t="s">
        <v>791</v>
      </c>
      <c r="L2234" s="8" t="s">
        <v>1941</v>
      </c>
      <c r="M2234" s="8">
        <v>67</v>
      </c>
    </row>
    <row r="2235" spans="1:14" ht="25" customHeight="1">
      <c r="A2235" s="12">
        <v>39</v>
      </c>
      <c r="B2235" s="8">
        <v>1</v>
      </c>
      <c r="C2235" s="8" t="s">
        <v>711</v>
      </c>
      <c r="D2235" s="8" t="s">
        <v>802</v>
      </c>
      <c r="E2235" s="8" t="s">
        <v>541</v>
      </c>
      <c r="F2235" s="8">
        <v>1</v>
      </c>
      <c r="G2235" s="8">
        <v>1</v>
      </c>
      <c r="H2235" s="8">
        <v>0</v>
      </c>
      <c r="I2235" s="8">
        <v>4</v>
      </c>
      <c r="J2235" s="8">
        <v>1</v>
      </c>
      <c r="K2235" s="8" t="s">
        <v>791</v>
      </c>
      <c r="L2235" s="8" t="s">
        <v>1941</v>
      </c>
      <c r="M2235" s="8">
        <v>68</v>
      </c>
    </row>
    <row r="2236" spans="1:14" ht="25" customHeight="1">
      <c r="A2236" s="12">
        <v>40</v>
      </c>
      <c r="B2236" s="8">
        <v>1</v>
      </c>
      <c r="C2236" s="8" t="s">
        <v>716</v>
      </c>
      <c r="D2236" s="8" t="s">
        <v>802</v>
      </c>
      <c r="E2236" s="8" t="s">
        <v>428</v>
      </c>
      <c r="F2236" s="8">
        <v>2</v>
      </c>
      <c r="G2236" s="8">
        <v>1</v>
      </c>
      <c r="H2236" s="8">
        <v>0</v>
      </c>
      <c r="I2236" s="8">
        <v>8</v>
      </c>
      <c r="J2236" s="11">
        <v>0.6666666666666666</v>
      </c>
      <c r="K2236" s="8" t="s">
        <v>791</v>
      </c>
      <c r="L2236" s="8" t="s">
        <v>796</v>
      </c>
      <c r="M2236" s="8">
        <v>69</v>
      </c>
      <c r="N2236" s="8">
        <v>16</v>
      </c>
    </row>
    <row r="2237" spans="1:14" ht="25" customHeight="1">
      <c r="A2237" s="12">
        <v>41</v>
      </c>
      <c r="B2237" s="8">
        <v>2</v>
      </c>
      <c r="C2237" s="8" t="s">
        <v>716</v>
      </c>
      <c r="D2237" s="8" t="s">
        <v>120</v>
      </c>
      <c r="E2237" s="8" t="s">
        <v>446</v>
      </c>
      <c r="F2237" s="8">
        <v>1</v>
      </c>
      <c r="G2237" s="8">
        <v>0</v>
      </c>
      <c r="H2237" s="8">
        <v>0</v>
      </c>
      <c r="I2237" s="8">
        <v>0</v>
      </c>
      <c r="J2237" s="11">
        <v>0.04347826086956522</v>
      </c>
      <c r="K2237" s="8" t="s">
        <v>791</v>
      </c>
      <c r="L2237" s="8" t="s">
        <v>1941</v>
      </c>
      <c r="M2237" s="8">
        <v>71</v>
      </c>
    </row>
    <row r="2238" spans="1:14" ht="25" customHeight="1">
      <c r="A2238" s="12">
        <v>42</v>
      </c>
      <c r="B2238" s="8">
        <v>2</v>
      </c>
      <c r="C2238" s="8" t="s">
        <v>711</v>
      </c>
      <c r="D2238" s="8" t="s">
        <v>120</v>
      </c>
      <c r="E2238" s="8" t="s">
        <v>465</v>
      </c>
      <c r="F2238" s="8">
        <v>2</v>
      </c>
      <c r="G2238" s="8">
        <v>0</v>
      </c>
      <c r="H2238" s="8">
        <v>0</v>
      </c>
      <c r="I2238" s="8">
        <v>-2</v>
      </c>
      <c r="J2238" s="11">
        <v>0.2857142857142857</v>
      </c>
      <c r="K2238" s="8" t="s">
        <v>791</v>
      </c>
      <c r="L2238" s="8" t="s">
        <v>796</v>
      </c>
      <c r="M2238" s="8">
        <v>72</v>
      </c>
      <c r="N2238" s="8">
        <v>17</v>
      </c>
    </row>
    <row r="2239" spans="1:14" ht="25" customHeight="1">
      <c r="A2239" s="12">
        <v>43</v>
      </c>
      <c r="B2239" s="8">
        <v>2</v>
      </c>
      <c r="C2239" s="8" t="s">
        <v>716</v>
      </c>
      <c r="D2239" s="8" t="s">
        <v>120</v>
      </c>
      <c r="E2239" s="8" t="s">
        <v>541</v>
      </c>
      <c r="F2239" s="8">
        <v>1</v>
      </c>
      <c r="G2239" s="8">
        <v>0</v>
      </c>
      <c r="H2239" s="8">
        <v>0</v>
      </c>
      <c r="I2239" s="8">
        <v>1</v>
      </c>
      <c r="J2239" s="11">
        <v>0.04347826086956522</v>
      </c>
      <c r="K2239" s="8" t="s">
        <v>791</v>
      </c>
      <c r="L2239" s="8" t="s">
        <v>1941</v>
      </c>
      <c r="M2239" s="8">
        <v>73</v>
      </c>
    </row>
    <row r="2240" spans="1:14" ht="25" customHeight="1">
      <c r="A2240" s="12">
        <v>44</v>
      </c>
      <c r="B2240" s="8">
        <v>2</v>
      </c>
      <c r="C2240" s="8" t="s">
        <v>716</v>
      </c>
      <c r="D2240" s="8" t="s">
        <v>120</v>
      </c>
      <c r="E2240" s="8" t="s">
        <v>449</v>
      </c>
      <c r="F2240" s="8">
        <v>5</v>
      </c>
      <c r="G2240" s="11">
        <v>0.6</v>
      </c>
      <c r="H2240" s="11">
        <v>0.2</v>
      </c>
      <c r="I2240" s="11">
        <v>11.4</v>
      </c>
      <c r="J2240" s="11">
        <v>0.2173913043478261</v>
      </c>
      <c r="K2240" s="8" t="s">
        <v>795</v>
      </c>
      <c r="L2240" s="8" t="s">
        <v>796</v>
      </c>
      <c r="M2240" s="8">
        <v>74</v>
      </c>
      <c r="N2240" s="8">
        <v>18</v>
      </c>
    </row>
    <row r="2241" spans="1:14" ht="25" customHeight="1">
      <c r="A2241" s="12">
        <v>45</v>
      </c>
      <c r="B2241" s="8">
        <v>2</v>
      </c>
      <c r="C2241" s="8" t="s">
        <v>706</v>
      </c>
      <c r="D2241" s="8" t="s">
        <v>120</v>
      </c>
      <c r="E2241" s="8" t="s">
        <v>468</v>
      </c>
      <c r="F2241" s="8">
        <v>1</v>
      </c>
      <c r="G2241" s="8">
        <v>0</v>
      </c>
      <c r="H2241" s="8">
        <v>0</v>
      </c>
      <c r="I2241" s="8">
        <v>0</v>
      </c>
      <c r="J2241" s="11">
        <v>0.1666666666666667</v>
      </c>
      <c r="K2241" s="8" t="s">
        <v>791</v>
      </c>
      <c r="L2241" s="8" t="s">
        <v>1941</v>
      </c>
      <c r="M2241" s="8">
        <v>75</v>
      </c>
    </row>
    <row r="2242" spans="1:14" ht="25" customHeight="1">
      <c r="A2242" s="12">
        <v>46</v>
      </c>
      <c r="B2242" s="8">
        <v>2</v>
      </c>
      <c r="C2242" s="8" t="s">
        <v>720</v>
      </c>
      <c r="D2242" s="8" t="s">
        <v>120</v>
      </c>
      <c r="E2242" s="8" t="s">
        <v>446</v>
      </c>
      <c r="F2242" s="8">
        <v>1</v>
      </c>
      <c r="G2242" s="8">
        <v>0</v>
      </c>
      <c r="H2242" s="8">
        <v>0</v>
      </c>
      <c r="I2242" s="8">
        <v>6</v>
      </c>
      <c r="J2242" s="11">
        <v>0.2</v>
      </c>
      <c r="K2242" s="8" t="s">
        <v>791</v>
      </c>
      <c r="L2242" s="8" t="s">
        <v>1941</v>
      </c>
      <c r="M2242" s="8">
        <v>77</v>
      </c>
    </row>
    <row r="2243" spans="1:14" ht="25" customHeight="1">
      <c r="A2243" s="12">
        <v>47</v>
      </c>
      <c r="B2243" s="8">
        <v>2</v>
      </c>
      <c r="C2243" s="8" t="s">
        <v>706</v>
      </c>
      <c r="D2243" s="8" t="s">
        <v>120</v>
      </c>
      <c r="E2243" s="8" t="s">
        <v>574</v>
      </c>
      <c r="F2243" s="8">
        <v>1</v>
      </c>
      <c r="G2243" s="8">
        <v>0</v>
      </c>
      <c r="H2243" s="8">
        <v>0</v>
      </c>
      <c r="I2243" s="8">
        <v>-3</v>
      </c>
      <c r="J2243" s="11">
        <v>0.1666666666666667</v>
      </c>
      <c r="K2243" s="8" t="s">
        <v>791</v>
      </c>
      <c r="L2243" s="8" t="s">
        <v>1941</v>
      </c>
      <c r="M2243" s="8">
        <v>78</v>
      </c>
    </row>
    <row r="2244" spans="1:14" ht="25" customHeight="1">
      <c r="A2244" s="12">
        <v>48</v>
      </c>
      <c r="B2244" s="8">
        <v>2</v>
      </c>
      <c r="C2244" s="8" t="s">
        <v>706</v>
      </c>
      <c r="D2244" s="8" t="s">
        <v>120</v>
      </c>
      <c r="E2244" s="8" t="s">
        <v>449</v>
      </c>
      <c r="F2244" s="8">
        <v>3</v>
      </c>
      <c r="G2244" s="8">
        <v>0</v>
      </c>
      <c r="H2244" s="8">
        <v>0</v>
      </c>
      <c r="I2244" s="11">
        <v>0.3333333333333333</v>
      </c>
      <c r="J2244" s="11">
        <v>0.5</v>
      </c>
      <c r="K2244" s="8" t="s">
        <v>801</v>
      </c>
      <c r="L2244" s="8" t="s">
        <v>804</v>
      </c>
      <c r="M2244" s="8">
        <v>79</v>
      </c>
      <c r="N2244" s="8">
        <v>19</v>
      </c>
    </row>
    <row r="2245" spans="1:14" ht="25" customHeight="1">
      <c r="A2245" s="12">
        <v>49</v>
      </c>
      <c r="B2245" s="8">
        <v>2</v>
      </c>
      <c r="C2245" s="8" t="s">
        <v>711</v>
      </c>
      <c r="D2245" s="8" t="s">
        <v>120</v>
      </c>
      <c r="E2245" s="8" t="s">
        <v>428</v>
      </c>
      <c r="F2245" s="8">
        <v>2</v>
      </c>
      <c r="G2245" s="11">
        <v>0.5</v>
      </c>
      <c r="H2245" s="8">
        <v>0</v>
      </c>
      <c r="I2245" s="11">
        <v>5.5</v>
      </c>
      <c r="J2245" s="11">
        <v>0.2857142857142857</v>
      </c>
      <c r="K2245" s="8" t="s">
        <v>791</v>
      </c>
      <c r="L2245" s="8" t="s">
        <v>796</v>
      </c>
      <c r="M2245" s="8">
        <v>80</v>
      </c>
      <c r="N2245" s="8">
        <v>20</v>
      </c>
    </row>
    <row r="2246" spans="1:14" ht="25" customHeight="1">
      <c r="A2246" s="12">
        <v>50</v>
      </c>
      <c r="B2246" s="8">
        <v>2</v>
      </c>
      <c r="C2246" s="8" t="s">
        <v>716</v>
      </c>
      <c r="D2246" s="8" t="s">
        <v>120</v>
      </c>
      <c r="E2246" s="8" t="s">
        <v>611</v>
      </c>
      <c r="F2246" s="8">
        <v>1</v>
      </c>
      <c r="G2246" s="8">
        <v>1</v>
      </c>
      <c r="H2246" s="8">
        <v>0</v>
      </c>
      <c r="I2246" s="8">
        <v>8</v>
      </c>
      <c r="J2246" s="11">
        <v>0.04347826086956522</v>
      </c>
      <c r="K2246" s="8" t="s">
        <v>791</v>
      </c>
      <c r="L2246" s="8" t="s">
        <v>1941</v>
      </c>
      <c r="M2246" s="8">
        <v>81</v>
      </c>
    </row>
    <row r="2247" spans="1:14" ht="25" customHeight="1">
      <c r="A2247" s="12">
        <v>51</v>
      </c>
      <c r="B2247" s="8">
        <v>2</v>
      </c>
      <c r="C2247" s="8" t="s">
        <v>711</v>
      </c>
      <c r="D2247" s="8" t="s">
        <v>120</v>
      </c>
      <c r="E2247" s="8" t="s">
        <v>449</v>
      </c>
      <c r="F2247" s="8">
        <v>1</v>
      </c>
      <c r="G2247" s="8">
        <v>0</v>
      </c>
      <c r="H2247" s="8">
        <v>0</v>
      </c>
      <c r="I2247" s="8">
        <v>1</v>
      </c>
      <c r="J2247" s="11">
        <v>0.1428571428571428</v>
      </c>
      <c r="K2247" s="8" t="s">
        <v>791</v>
      </c>
      <c r="L2247" s="8" t="s">
        <v>1941</v>
      </c>
      <c r="M2247" s="8">
        <v>82</v>
      </c>
    </row>
    <row r="2248" spans="1:14" ht="25" customHeight="1">
      <c r="A2248" s="12">
        <v>52</v>
      </c>
      <c r="B2248" s="8">
        <v>2</v>
      </c>
      <c r="C2248" s="8" t="s">
        <v>720</v>
      </c>
      <c r="D2248" s="8" t="s">
        <v>120</v>
      </c>
      <c r="E2248" s="8" t="s">
        <v>443</v>
      </c>
      <c r="F2248" s="8">
        <v>1</v>
      </c>
      <c r="G2248" s="8">
        <v>1</v>
      </c>
      <c r="H2248" s="8">
        <v>1</v>
      </c>
      <c r="I2248" s="8">
        <v>21</v>
      </c>
      <c r="J2248" s="11">
        <v>0.2</v>
      </c>
      <c r="K2248" s="8" t="s">
        <v>791</v>
      </c>
      <c r="L2248" s="8" t="s">
        <v>1941</v>
      </c>
      <c r="M2248" s="8">
        <v>85</v>
      </c>
    </row>
    <row r="2249" spans="1:14" ht="25" customHeight="1">
      <c r="A2249" s="12">
        <v>53</v>
      </c>
      <c r="B2249" s="8">
        <v>2</v>
      </c>
      <c r="C2249" s="8" t="s">
        <v>711</v>
      </c>
      <c r="D2249" s="8" t="s">
        <v>123</v>
      </c>
      <c r="E2249" s="8" t="s">
        <v>465</v>
      </c>
      <c r="F2249" s="8">
        <v>1</v>
      </c>
      <c r="G2249" s="8">
        <v>0</v>
      </c>
      <c r="H2249" s="8">
        <v>0</v>
      </c>
      <c r="I2249" s="8">
        <v>0</v>
      </c>
      <c r="J2249" s="8">
        <v>1</v>
      </c>
      <c r="K2249" s="8" t="s">
        <v>791</v>
      </c>
      <c r="L2249" s="8" t="s">
        <v>1941</v>
      </c>
      <c r="M2249" s="8">
        <v>87</v>
      </c>
    </row>
    <row r="2250" spans="1:14" ht="25" customHeight="1">
      <c r="A2250" s="12">
        <v>54</v>
      </c>
      <c r="B2250" s="8">
        <v>2</v>
      </c>
      <c r="C2250" s="8" t="s">
        <v>716</v>
      </c>
      <c r="D2250" s="8" t="s">
        <v>120</v>
      </c>
      <c r="E2250" s="8" t="s">
        <v>428</v>
      </c>
      <c r="F2250" s="8">
        <v>5</v>
      </c>
      <c r="G2250" s="11">
        <v>0.4</v>
      </c>
      <c r="H2250" s="8">
        <v>0</v>
      </c>
      <c r="I2250" s="11">
        <v>1.6</v>
      </c>
      <c r="J2250" s="11">
        <v>0.2173913043478261</v>
      </c>
      <c r="K2250" s="8" t="s">
        <v>795</v>
      </c>
      <c r="L2250" s="8" t="s">
        <v>796</v>
      </c>
      <c r="M2250" s="8">
        <v>89</v>
      </c>
      <c r="N2250" s="8">
        <v>21</v>
      </c>
    </row>
    <row r="2251" spans="1:14" ht="25" customHeight="1">
      <c r="A2251" s="12">
        <v>55</v>
      </c>
      <c r="B2251" s="8">
        <v>2</v>
      </c>
      <c r="C2251" s="8" t="s">
        <v>706</v>
      </c>
      <c r="D2251" s="8" t="s">
        <v>120</v>
      </c>
      <c r="E2251" s="8" t="s">
        <v>428</v>
      </c>
      <c r="F2251" s="8">
        <v>1</v>
      </c>
      <c r="G2251" s="8">
        <v>1</v>
      </c>
      <c r="H2251" s="8">
        <v>0</v>
      </c>
      <c r="I2251" s="8">
        <v>1</v>
      </c>
      <c r="J2251" s="11">
        <v>0.1666666666666667</v>
      </c>
      <c r="K2251" s="8" t="s">
        <v>791</v>
      </c>
      <c r="L2251" s="8" t="s">
        <v>1941</v>
      </c>
      <c r="M2251" s="8">
        <v>91</v>
      </c>
    </row>
    <row r="2252" spans="1:14" ht="25" customHeight="1">
      <c r="A2252" s="12">
        <v>56</v>
      </c>
      <c r="B2252" s="8">
        <v>2</v>
      </c>
      <c r="C2252" s="8" t="s">
        <v>716</v>
      </c>
      <c r="D2252" s="8" t="s">
        <v>120</v>
      </c>
      <c r="E2252" s="8" t="s">
        <v>465</v>
      </c>
      <c r="F2252" s="8">
        <v>4</v>
      </c>
      <c r="G2252" s="11">
        <v>0.25</v>
      </c>
      <c r="H2252" s="8">
        <v>0</v>
      </c>
      <c r="I2252" s="11">
        <v>2.75</v>
      </c>
      <c r="J2252" s="11">
        <v>0.1739130434782609</v>
      </c>
      <c r="K2252" s="8" t="s">
        <v>795</v>
      </c>
      <c r="L2252" s="8" t="s">
        <v>796</v>
      </c>
      <c r="M2252" s="8">
        <v>92</v>
      </c>
      <c r="N2252" s="8">
        <v>22</v>
      </c>
    </row>
    <row r="2253" spans="1:14" ht="25" customHeight="1">
      <c r="A2253" s="12">
        <v>57</v>
      </c>
      <c r="B2253" s="8">
        <v>2</v>
      </c>
      <c r="C2253" s="8" t="s">
        <v>716</v>
      </c>
      <c r="D2253" s="8" t="s">
        <v>120</v>
      </c>
      <c r="E2253" s="8" t="s">
        <v>452</v>
      </c>
      <c r="F2253" s="8">
        <v>1</v>
      </c>
      <c r="G2253" s="8">
        <v>0</v>
      </c>
      <c r="H2253" s="8">
        <v>0</v>
      </c>
      <c r="I2253" s="8">
        <v>1</v>
      </c>
      <c r="J2253" s="11">
        <v>0.04347826086956522</v>
      </c>
      <c r="K2253" s="8" t="s">
        <v>791</v>
      </c>
      <c r="L2253" s="8" t="s">
        <v>1941</v>
      </c>
      <c r="M2253" s="8">
        <v>94</v>
      </c>
    </row>
    <row r="2254" spans="1:14" ht="25" customHeight="1">
      <c r="A2254" s="12">
        <v>58</v>
      </c>
      <c r="B2254" s="8">
        <v>2</v>
      </c>
      <c r="C2254" s="8" t="s">
        <v>711</v>
      </c>
      <c r="D2254" s="8" t="s">
        <v>120</v>
      </c>
      <c r="E2254" s="8" t="s">
        <v>452</v>
      </c>
      <c r="F2254" s="8">
        <v>1</v>
      </c>
      <c r="G2254" s="8">
        <v>1</v>
      </c>
      <c r="H2254" s="8">
        <v>1</v>
      </c>
      <c r="I2254" s="8">
        <v>37</v>
      </c>
      <c r="J2254" s="11">
        <v>0.1428571428571428</v>
      </c>
      <c r="K2254" s="8" t="s">
        <v>791</v>
      </c>
      <c r="L2254" s="8" t="s">
        <v>1941</v>
      </c>
      <c r="M2254" s="8">
        <v>96</v>
      </c>
    </row>
    <row r="2255" spans="1:14" ht="25" customHeight="1">
      <c r="A2255" s="12">
        <v>59</v>
      </c>
      <c r="B2255" s="8">
        <v>2</v>
      </c>
      <c r="C2255" s="8" t="s">
        <v>716</v>
      </c>
      <c r="D2255" s="8" t="s">
        <v>120</v>
      </c>
      <c r="E2255" s="8" t="s">
        <v>957</v>
      </c>
      <c r="F2255" s="8">
        <v>1</v>
      </c>
      <c r="G2255" s="8">
        <v>0</v>
      </c>
      <c r="H2255" s="8">
        <v>0</v>
      </c>
      <c r="I2255" s="8">
        <v>1</v>
      </c>
      <c r="J2255" s="11">
        <v>0.04347826086956522</v>
      </c>
      <c r="K2255" s="8" t="s">
        <v>791</v>
      </c>
      <c r="L2255" s="8" t="s">
        <v>1941</v>
      </c>
      <c r="M2255" s="8">
        <v>97</v>
      </c>
    </row>
    <row r="2256" spans="1:14" ht="25" customHeight="1">
      <c r="A2256" s="12">
        <v>60</v>
      </c>
      <c r="B2256" s="8">
        <v>2</v>
      </c>
      <c r="C2256" s="8" t="s">
        <v>716</v>
      </c>
      <c r="D2256" s="8" t="s">
        <v>120</v>
      </c>
      <c r="E2256" s="8" t="s">
        <v>574</v>
      </c>
      <c r="F2256" s="8">
        <v>1</v>
      </c>
      <c r="G2256" s="8">
        <v>1</v>
      </c>
      <c r="H2256" s="8">
        <v>0</v>
      </c>
      <c r="I2256" s="8">
        <v>4</v>
      </c>
      <c r="J2256" s="11">
        <v>0.04347826086956522</v>
      </c>
      <c r="K2256" s="8" t="s">
        <v>791</v>
      </c>
      <c r="L2256" s="8" t="s">
        <v>1941</v>
      </c>
      <c r="M2256" s="8">
        <v>99</v>
      </c>
    </row>
    <row r="2257" spans="1:14" ht="25" customHeight="1">
      <c r="A2257" s="12">
        <v>61</v>
      </c>
      <c r="B2257" s="8">
        <v>2</v>
      </c>
      <c r="C2257" s="8" t="s">
        <v>706</v>
      </c>
      <c r="D2257" s="8" t="s">
        <v>123</v>
      </c>
      <c r="E2257" s="8" t="s">
        <v>428</v>
      </c>
      <c r="F2257" s="8">
        <v>1</v>
      </c>
      <c r="G2257" s="8">
        <v>0</v>
      </c>
      <c r="H2257" s="8">
        <v>0</v>
      </c>
      <c r="I2257" s="8">
        <v>2</v>
      </c>
      <c r="J2257" s="8">
        <v>1</v>
      </c>
      <c r="K2257" s="8" t="s">
        <v>791</v>
      </c>
      <c r="L2257" s="8" t="s">
        <v>1941</v>
      </c>
      <c r="M2257" s="8">
        <v>100</v>
      </c>
    </row>
    <row r="2258" spans="1:14" ht="25" customHeight="1">
      <c r="A2258" s="12">
        <v>62</v>
      </c>
      <c r="B2258" s="8">
        <v>2</v>
      </c>
      <c r="C2258" s="8" t="s">
        <v>716</v>
      </c>
      <c r="D2258" s="8" t="s">
        <v>120</v>
      </c>
      <c r="E2258" s="8" t="s">
        <v>468</v>
      </c>
      <c r="F2258" s="8">
        <v>1</v>
      </c>
      <c r="G2258" s="8">
        <v>0</v>
      </c>
      <c r="H2258" s="8">
        <v>0</v>
      </c>
      <c r="I2258" s="8">
        <v>0</v>
      </c>
      <c r="J2258" s="11">
        <v>0.04347826086956522</v>
      </c>
      <c r="K2258" s="8" t="s">
        <v>791</v>
      </c>
      <c r="L2258" s="8" t="s">
        <v>1941</v>
      </c>
      <c r="M2258" s="8">
        <v>101</v>
      </c>
    </row>
    <row r="2259" spans="1:14" ht="25" customHeight="1">
      <c r="A2259" s="12">
        <v>63</v>
      </c>
      <c r="B2259" s="8">
        <v>2</v>
      </c>
      <c r="C2259" s="8" t="s">
        <v>711</v>
      </c>
      <c r="D2259" s="8" t="s">
        <v>120</v>
      </c>
      <c r="E2259" s="8" t="s">
        <v>800</v>
      </c>
      <c r="F2259" s="8">
        <v>1</v>
      </c>
      <c r="G2259" s="8">
        <v>0</v>
      </c>
      <c r="H2259" s="8">
        <v>0</v>
      </c>
      <c r="I2259" s="8">
        <v>2</v>
      </c>
      <c r="J2259" s="11">
        <v>0.1428571428571428</v>
      </c>
      <c r="K2259" s="8" t="s">
        <v>791</v>
      </c>
      <c r="L2259" s="8" t="s">
        <v>1941</v>
      </c>
      <c r="M2259" s="8">
        <v>102</v>
      </c>
    </row>
    <row r="2260" spans="1:14" ht="25" customHeight="1">
      <c r="A2260" s="12">
        <v>64</v>
      </c>
      <c r="B2260" s="8">
        <v>2</v>
      </c>
      <c r="C2260" s="8" t="s">
        <v>716</v>
      </c>
      <c r="D2260" s="8" t="s">
        <v>120</v>
      </c>
      <c r="E2260" s="8" t="s">
        <v>471</v>
      </c>
      <c r="F2260" s="8">
        <v>1</v>
      </c>
      <c r="G2260" s="8">
        <v>0</v>
      </c>
      <c r="H2260" s="8">
        <v>0</v>
      </c>
      <c r="I2260" s="8">
        <v>0</v>
      </c>
      <c r="J2260" s="11">
        <v>0.04347826086956522</v>
      </c>
      <c r="K2260" s="8" t="s">
        <v>791</v>
      </c>
      <c r="L2260" s="8" t="s">
        <v>1941</v>
      </c>
      <c r="M2260" s="8">
        <v>105</v>
      </c>
    </row>
    <row r="2261" spans="1:14" ht="25" customHeight="1">
      <c r="A2261" s="12">
        <v>65</v>
      </c>
      <c r="B2261" s="8">
        <v>2</v>
      </c>
      <c r="C2261" s="8" t="s">
        <v>716</v>
      </c>
      <c r="D2261" s="8" t="s">
        <v>120</v>
      </c>
      <c r="E2261" s="8" t="s">
        <v>474</v>
      </c>
      <c r="F2261" s="8">
        <v>1</v>
      </c>
      <c r="G2261" s="8">
        <v>0</v>
      </c>
      <c r="H2261" s="8">
        <v>0</v>
      </c>
      <c r="I2261" s="8">
        <v>2</v>
      </c>
      <c r="J2261" s="11">
        <v>0.04347826086956522</v>
      </c>
      <c r="K2261" s="8" t="s">
        <v>791</v>
      </c>
      <c r="L2261" s="8" t="s">
        <v>1941</v>
      </c>
      <c r="M2261" s="8">
        <v>106</v>
      </c>
    </row>
    <row r="2262" spans="1:14" ht="25" customHeight="1">
      <c r="A2262" s="12">
        <v>66</v>
      </c>
      <c r="B2262" s="8">
        <v>2</v>
      </c>
      <c r="C2262" s="8" t="s">
        <v>720</v>
      </c>
      <c r="D2262" s="8" t="s">
        <v>120</v>
      </c>
      <c r="E2262" s="8" t="s">
        <v>474</v>
      </c>
      <c r="F2262" s="8">
        <v>1</v>
      </c>
      <c r="G2262" s="8">
        <v>0</v>
      </c>
      <c r="H2262" s="8">
        <v>0</v>
      </c>
      <c r="I2262" s="8">
        <v>0</v>
      </c>
      <c r="J2262" s="11">
        <v>0.2</v>
      </c>
      <c r="K2262" s="8" t="s">
        <v>791</v>
      </c>
      <c r="L2262" s="8" t="s">
        <v>1941</v>
      </c>
      <c r="M2262" s="8">
        <v>110</v>
      </c>
    </row>
    <row r="2263" spans="1:14" ht="25" customHeight="1">
      <c r="A2263" s="12">
        <v>67</v>
      </c>
      <c r="B2263" s="8">
        <v>2</v>
      </c>
      <c r="C2263" s="8" t="s">
        <v>720</v>
      </c>
      <c r="D2263" s="8" t="s">
        <v>120</v>
      </c>
      <c r="E2263" s="8" t="s">
        <v>428</v>
      </c>
      <c r="F2263" s="8">
        <v>2</v>
      </c>
      <c r="G2263" s="11">
        <v>0.5</v>
      </c>
      <c r="H2263" s="11">
        <v>0.5</v>
      </c>
      <c r="I2263" s="8">
        <v>8</v>
      </c>
      <c r="J2263" s="11">
        <v>0.4</v>
      </c>
      <c r="K2263" s="8" t="s">
        <v>791</v>
      </c>
      <c r="L2263" s="8" t="s">
        <v>796</v>
      </c>
      <c r="M2263" s="8">
        <v>112</v>
      </c>
      <c r="N2263" s="8">
        <v>23</v>
      </c>
    </row>
    <row r="2264" spans="1:14" ht="25" customHeight="1">
      <c r="A2264" s="12">
        <v>68</v>
      </c>
      <c r="B2264" s="8">
        <v>2</v>
      </c>
      <c r="C2264" s="8" t="s">
        <v>720</v>
      </c>
      <c r="D2264" s="8" t="s">
        <v>803</v>
      </c>
      <c r="E2264" s="8" t="s">
        <v>878</v>
      </c>
      <c r="F2264" s="8">
        <v>1</v>
      </c>
      <c r="G2264" s="8">
        <v>1</v>
      </c>
      <c r="H2264" s="8">
        <v>0</v>
      </c>
      <c r="I2264" s="8">
        <v>10</v>
      </c>
      <c r="J2264" s="11">
        <v>0.3333333333333333</v>
      </c>
      <c r="K2264" s="8" t="s">
        <v>791</v>
      </c>
      <c r="L2264" s="8" t="s">
        <v>1941</v>
      </c>
      <c r="M2264" s="8">
        <v>114</v>
      </c>
    </row>
    <row r="2265" spans="1:14" ht="25" customHeight="1">
      <c r="A2265" s="12">
        <v>69</v>
      </c>
      <c r="B2265" s="8">
        <v>2</v>
      </c>
      <c r="C2265" s="8" t="s">
        <v>720</v>
      </c>
      <c r="D2265" s="8" t="s">
        <v>803</v>
      </c>
      <c r="E2265" s="8" t="s">
        <v>465</v>
      </c>
      <c r="F2265" s="8">
        <v>1</v>
      </c>
      <c r="G2265" s="8">
        <v>0</v>
      </c>
      <c r="H2265" s="8">
        <v>0</v>
      </c>
      <c r="I2265" s="8">
        <v>-4</v>
      </c>
      <c r="J2265" s="11">
        <v>0.3333333333333333</v>
      </c>
      <c r="K2265" s="8" t="s">
        <v>791</v>
      </c>
      <c r="L2265" s="8" t="s">
        <v>1941</v>
      </c>
      <c r="M2265" s="8">
        <v>116</v>
      </c>
    </row>
    <row r="2266" spans="1:14" ht="25" customHeight="1">
      <c r="A2266" s="12">
        <v>70</v>
      </c>
      <c r="B2266" s="8">
        <v>2</v>
      </c>
      <c r="C2266" s="8" t="s">
        <v>720</v>
      </c>
      <c r="D2266" s="8" t="s">
        <v>803</v>
      </c>
      <c r="E2266" s="8" t="s">
        <v>428</v>
      </c>
      <c r="F2266" s="8">
        <v>1</v>
      </c>
      <c r="G2266" s="8">
        <v>0</v>
      </c>
      <c r="H2266" s="8">
        <v>0</v>
      </c>
      <c r="I2266" s="8">
        <v>-3</v>
      </c>
      <c r="J2266" s="11">
        <v>0.3333333333333333</v>
      </c>
      <c r="K2266" s="8" t="s">
        <v>791</v>
      </c>
      <c r="L2266" s="8" t="s">
        <v>1941</v>
      </c>
      <c r="M2266" s="8">
        <v>119</v>
      </c>
    </row>
    <row r="2267" spans="1:14" ht="25" customHeight="1">
      <c r="A2267" s="12">
        <v>71</v>
      </c>
      <c r="B2267" s="8">
        <v>2</v>
      </c>
      <c r="C2267" s="8" t="s">
        <v>720</v>
      </c>
      <c r="D2267" s="8" t="s">
        <v>123</v>
      </c>
      <c r="E2267" s="8" t="s">
        <v>428</v>
      </c>
      <c r="F2267" s="8">
        <v>1</v>
      </c>
      <c r="G2267" s="8">
        <v>1</v>
      </c>
      <c r="H2267" s="8">
        <v>0</v>
      </c>
      <c r="I2267" s="8">
        <v>4</v>
      </c>
      <c r="J2267" s="8">
        <v>1</v>
      </c>
      <c r="K2267" s="8" t="s">
        <v>791</v>
      </c>
      <c r="L2267" s="8" t="s">
        <v>1941</v>
      </c>
      <c r="M2267" s="8">
        <v>121</v>
      </c>
    </row>
    <row r="2268" spans="1:14" ht="25" customHeight="1">
      <c r="A2268" s="12">
        <v>72</v>
      </c>
      <c r="B2268" s="8">
        <v>2</v>
      </c>
      <c r="C2268" s="8" t="s">
        <v>716</v>
      </c>
      <c r="D2268" s="8" t="s">
        <v>802</v>
      </c>
      <c r="E2268" s="8" t="s">
        <v>428</v>
      </c>
      <c r="F2268" s="8">
        <v>1</v>
      </c>
      <c r="G2268" s="8">
        <v>1</v>
      </c>
      <c r="H2268" s="8">
        <v>0</v>
      </c>
      <c r="I2268" s="8">
        <v>7</v>
      </c>
      <c r="J2268" s="8">
        <v>1</v>
      </c>
      <c r="K2268" s="8" t="s">
        <v>791</v>
      </c>
      <c r="L2268" s="8" t="s">
        <v>1941</v>
      </c>
      <c r="M2268" s="8">
        <v>122</v>
      </c>
    </row>
    <row r="2269" spans="1:14" ht="25" customHeight="1">
      <c r="A2269" s="12">
        <v>73</v>
      </c>
      <c r="B2269" s="8">
        <v>2</v>
      </c>
      <c r="C2269" s="8" t="s">
        <v>720</v>
      </c>
      <c r="D2269" s="8" t="s">
        <v>802</v>
      </c>
      <c r="E2269" s="8" t="s">
        <v>428</v>
      </c>
      <c r="F2269" s="8">
        <v>1</v>
      </c>
      <c r="G2269" s="8">
        <v>1</v>
      </c>
      <c r="H2269" s="8">
        <v>0</v>
      </c>
      <c r="I2269" s="8">
        <v>4</v>
      </c>
      <c r="J2269" s="11">
        <v>0.5</v>
      </c>
      <c r="K2269" s="8" t="s">
        <v>791</v>
      </c>
      <c r="L2269" s="8" t="s">
        <v>1941</v>
      </c>
      <c r="M2269" s="8">
        <v>124</v>
      </c>
    </row>
    <row r="2270" spans="1:14" ht="25" customHeight="1">
      <c r="A2270" s="12">
        <v>74</v>
      </c>
      <c r="B2270" s="8">
        <v>2</v>
      </c>
      <c r="C2270" s="8" t="s">
        <v>720</v>
      </c>
      <c r="D2270" s="8" t="s">
        <v>802</v>
      </c>
      <c r="E2270" s="8" t="s">
        <v>541</v>
      </c>
      <c r="F2270" s="8">
        <v>1</v>
      </c>
      <c r="G2270" s="8">
        <v>0</v>
      </c>
      <c r="H2270" s="8">
        <v>0</v>
      </c>
      <c r="I2270" s="8">
        <v>1</v>
      </c>
      <c r="J2270" s="11">
        <v>0.5</v>
      </c>
      <c r="K2270" s="8" t="s">
        <v>791</v>
      </c>
      <c r="L2270" s="8" t="s">
        <v>1941</v>
      </c>
      <c r="M2270" s="8">
        <v>125</v>
      </c>
    </row>
    <row r="2271" spans="1:14" ht="25" customHeight="1">
      <c r="A2271" s="12">
        <v>75</v>
      </c>
      <c r="B2271" s="8">
        <v>2</v>
      </c>
      <c r="C2271" s="8" t="s">
        <v>711</v>
      </c>
      <c r="D2271" s="8" t="s">
        <v>803</v>
      </c>
      <c r="E2271" s="8" t="s">
        <v>428</v>
      </c>
      <c r="F2271" s="8">
        <v>1</v>
      </c>
      <c r="G2271" s="8">
        <v>1</v>
      </c>
      <c r="H2271" s="8">
        <v>0</v>
      </c>
      <c r="I2271" s="8">
        <v>3</v>
      </c>
      <c r="J2271" s="8">
        <v>1</v>
      </c>
      <c r="K2271" s="8" t="s">
        <v>791</v>
      </c>
      <c r="L2271" s="8" t="s">
        <v>1941</v>
      </c>
      <c r="M2271" s="8">
        <v>126</v>
      </c>
    </row>
    <row r="2272" spans="1:14" ht="25" customHeight="1">
      <c r="A2272" s="12">
        <v>76</v>
      </c>
      <c r="B2272" s="8">
        <v>3</v>
      </c>
      <c r="C2272" s="8" t="s">
        <v>716</v>
      </c>
      <c r="D2272" s="8" t="s">
        <v>120</v>
      </c>
      <c r="E2272" s="8" t="s">
        <v>446</v>
      </c>
      <c r="F2272" s="8">
        <v>1</v>
      </c>
      <c r="G2272" s="8">
        <v>0</v>
      </c>
      <c r="H2272" s="8">
        <v>0</v>
      </c>
      <c r="I2272" s="8">
        <v>0</v>
      </c>
      <c r="J2272" s="11">
        <v>0.07692307692307693</v>
      </c>
      <c r="K2272" s="8" t="s">
        <v>791</v>
      </c>
      <c r="L2272" s="8" t="s">
        <v>1941</v>
      </c>
      <c r="M2272" s="8">
        <v>130</v>
      </c>
    </row>
    <row r="2273" spans="1:14" ht="25" customHeight="1">
      <c r="A2273" s="12">
        <v>77</v>
      </c>
      <c r="B2273" s="8">
        <v>3</v>
      </c>
      <c r="C2273" s="8" t="s">
        <v>716</v>
      </c>
      <c r="D2273" s="8" t="s">
        <v>120</v>
      </c>
      <c r="E2273" s="8" t="s">
        <v>474</v>
      </c>
      <c r="F2273" s="8">
        <v>1</v>
      </c>
      <c r="G2273" s="8">
        <v>1</v>
      </c>
      <c r="H2273" s="8">
        <v>1</v>
      </c>
      <c r="I2273" s="8">
        <v>14</v>
      </c>
      <c r="J2273" s="11">
        <v>0.07692307692307693</v>
      </c>
      <c r="K2273" s="8" t="s">
        <v>791</v>
      </c>
      <c r="L2273" s="8" t="s">
        <v>1941</v>
      </c>
      <c r="M2273" s="8">
        <v>131</v>
      </c>
    </row>
    <row r="2274" spans="1:14" ht="25" customHeight="1">
      <c r="A2274" s="12">
        <v>78</v>
      </c>
      <c r="B2274" s="8">
        <v>3</v>
      </c>
      <c r="C2274" s="8" t="s">
        <v>716</v>
      </c>
      <c r="D2274" s="8" t="s">
        <v>120</v>
      </c>
      <c r="E2274" s="8" t="s">
        <v>449</v>
      </c>
      <c r="F2274" s="8">
        <v>8</v>
      </c>
      <c r="G2274" s="8">
        <v>0</v>
      </c>
      <c r="H2274" s="8">
        <v>0</v>
      </c>
      <c r="I2274" s="11">
        <v>2.875</v>
      </c>
      <c r="J2274" s="11">
        <v>0.6153846153846154</v>
      </c>
      <c r="K2274" s="8" t="s">
        <v>799</v>
      </c>
      <c r="L2274" s="8" t="s">
        <v>804</v>
      </c>
      <c r="M2274" s="8">
        <v>132</v>
      </c>
      <c r="N2274" s="8">
        <v>24</v>
      </c>
    </row>
    <row r="2275" spans="1:14" ht="25" customHeight="1">
      <c r="A2275" s="12">
        <v>79</v>
      </c>
      <c r="B2275" s="8">
        <v>3</v>
      </c>
      <c r="C2275" s="8" t="s">
        <v>706</v>
      </c>
      <c r="D2275" s="8" t="s">
        <v>842</v>
      </c>
      <c r="E2275" s="8" t="s">
        <v>465</v>
      </c>
      <c r="F2275" s="8">
        <v>1</v>
      </c>
      <c r="G2275" s="8">
        <v>0</v>
      </c>
      <c r="H2275" s="8">
        <v>0</v>
      </c>
      <c r="I2275" s="8">
        <v>-2</v>
      </c>
      <c r="J2275" s="8">
        <v>1</v>
      </c>
      <c r="K2275" s="8" t="s">
        <v>791</v>
      </c>
      <c r="L2275" s="8" t="s">
        <v>1941</v>
      </c>
      <c r="M2275" s="8">
        <v>133</v>
      </c>
    </row>
    <row r="2276" spans="1:14" ht="25" customHeight="1">
      <c r="A2276" s="12">
        <v>80</v>
      </c>
      <c r="B2276" s="8">
        <v>3</v>
      </c>
      <c r="C2276" s="8" t="s">
        <v>720</v>
      </c>
      <c r="D2276" s="8" t="s">
        <v>123</v>
      </c>
      <c r="E2276" s="8" t="s">
        <v>474</v>
      </c>
      <c r="F2276" s="8">
        <v>1</v>
      </c>
      <c r="G2276" s="8">
        <v>0</v>
      </c>
      <c r="H2276" s="8">
        <v>0</v>
      </c>
      <c r="I2276" s="8">
        <v>-6</v>
      </c>
      <c r="J2276" s="8">
        <v>1</v>
      </c>
      <c r="K2276" s="8" t="s">
        <v>791</v>
      </c>
      <c r="L2276" s="8" t="s">
        <v>1941</v>
      </c>
      <c r="M2276" s="8">
        <v>134</v>
      </c>
    </row>
    <row r="2277" spans="1:14" ht="25" customHeight="1">
      <c r="A2277" s="12">
        <v>81</v>
      </c>
      <c r="B2277" s="8">
        <v>3</v>
      </c>
      <c r="C2277" s="8" t="s">
        <v>711</v>
      </c>
      <c r="D2277" s="8" t="s">
        <v>877</v>
      </c>
      <c r="E2277" s="8" t="s">
        <v>878</v>
      </c>
      <c r="F2277" s="8">
        <v>1</v>
      </c>
      <c r="G2277" s="8">
        <v>0</v>
      </c>
      <c r="H2277" s="8">
        <v>0</v>
      </c>
      <c r="I2277" s="8">
        <v>0</v>
      </c>
      <c r="J2277" s="8">
        <v>1</v>
      </c>
      <c r="K2277" s="8" t="s">
        <v>791</v>
      </c>
      <c r="L2277" s="8" t="s">
        <v>1941</v>
      </c>
      <c r="M2277" s="8">
        <v>135</v>
      </c>
    </row>
    <row r="2278" spans="1:14" ht="25" customHeight="1">
      <c r="A2278" s="12">
        <v>82</v>
      </c>
      <c r="B2278" s="8">
        <v>3</v>
      </c>
      <c r="C2278" s="8" t="s">
        <v>706</v>
      </c>
      <c r="D2278" s="8" t="s">
        <v>120</v>
      </c>
      <c r="E2278" s="8" t="s">
        <v>446</v>
      </c>
      <c r="F2278" s="8">
        <v>2</v>
      </c>
      <c r="G2278" s="8">
        <v>0</v>
      </c>
      <c r="H2278" s="8">
        <v>0</v>
      </c>
      <c r="I2278" s="11">
        <v>0.5</v>
      </c>
      <c r="J2278" s="11">
        <v>0.5</v>
      </c>
      <c r="K2278" s="8" t="s">
        <v>791</v>
      </c>
      <c r="L2278" s="8" t="s">
        <v>796</v>
      </c>
      <c r="M2278" s="8">
        <v>136</v>
      </c>
      <c r="N2278" s="8">
        <v>25</v>
      </c>
    </row>
    <row r="2279" spans="1:14" ht="25" customHeight="1">
      <c r="A2279" s="12">
        <v>83</v>
      </c>
      <c r="B2279" s="8">
        <v>3</v>
      </c>
      <c r="C2279" s="8" t="s">
        <v>711</v>
      </c>
      <c r="D2279" s="8" t="s">
        <v>120</v>
      </c>
      <c r="E2279" s="8" t="s">
        <v>449</v>
      </c>
      <c r="F2279" s="8">
        <v>6</v>
      </c>
      <c r="G2279" s="8">
        <v>0</v>
      </c>
      <c r="H2279" s="8">
        <v>0</v>
      </c>
      <c r="I2279" s="8">
        <v>3</v>
      </c>
      <c r="J2279" s="11">
        <v>0.5454545454545454</v>
      </c>
      <c r="K2279" s="8" t="s">
        <v>795</v>
      </c>
      <c r="L2279" s="8" t="s">
        <v>804</v>
      </c>
      <c r="M2279" s="8">
        <v>137</v>
      </c>
      <c r="N2279" s="8">
        <v>26</v>
      </c>
    </row>
    <row r="2280" spans="1:14" ht="25" customHeight="1">
      <c r="A2280" s="12">
        <v>84</v>
      </c>
      <c r="B2280" s="8">
        <v>3</v>
      </c>
      <c r="C2280" s="8" t="s">
        <v>711</v>
      </c>
      <c r="D2280" s="8" t="s">
        <v>120</v>
      </c>
      <c r="E2280" s="8" t="s">
        <v>605</v>
      </c>
      <c r="F2280" s="8">
        <v>2</v>
      </c>
      <c r="G2280" s="8">
        <v>0</v>
      </c>
      <c r="H2280" s="8">
        <v>0</v>
      </c>
      <c r="I2280" s="8">
        <v>9</v>
      </c>
      <c r="J2280" s="11">
        <v>0.1818181818181818</v>
      </c>
      <c r="K2280" s="8" t="s">
        <v>791</v>
      </c>
      <c r="L2280" s="8" t="s">
        <v>792</v>
      </c>
      <c r="M2280" s="8">
        <v>142</v>
      </c>
      <c r="N2280" s="8">
        <v>27</v>
      </c>
    </row>
    <row r="2281" spans="1:14" ht="25" customHeight="1">
      <c r="A2281" s="12">
        <v>85</v>
      </c>
      <c r="B2281" s="8">
        <v>3</v>
      </c>
      <c r="C2281" s="8" t="s">
        <v>711</v>
      </c>
      <c r="D2281" s="8" t="s">
        <v>120</v>
      </c>
      <c r="E2281" s="8" t="s">
        <v>474</v>
      </c>
      <c r="F2281" s="8">
        <v>1</v>
      </c>
      <c r="G2281" s="8">
        <v>0</v>
      </c>
      <c r="H2281" s="8">
        <v>0</v>
      </c>
      <c r="I2281" s="8">
        <v>9</v>
      </c>
      <c r="J2281" s="11">
        <v>0.09090909090909091</v>
      </c>
      <c r="K2281" s="8" t="s">
        <v>791</v>
      </c>
      <c r="L2281" s="8" t="s">
        <v>1941</v>
      </c>
      <c r="M2281" s="8">
        <v>144</v>
      </c>
    </row>
    <row r="2282" spans="1:14" ht="25" customHeight="1">
      <c r="A2282" s="12">
        <v>86</v>
      </c>
      <c r="B2282" s="8">
        <v>3</v>
      </c>
      <c r="C2282" s="8" t="s">
        <v>716</v>
      </c>
      <c r="D2282" s="8" t="s">
        <v>120</v>
      </c>
      <c r="E2282" s="8" t="s">
        <v>465</v>
      </c>
      <c r="F2282" s="8">
        <v>2</v>
      </c>
      <c r="G2282" s="11">
        <v>0.5</v>
      </c>
      <c r="H2282" s="8">
        <v>0</v>
      </c>
      <c r="I2282" s="8">
        <v>5</v>
      </c>
      <c r="J2282" s="11">
        <v>0.1538461538461539</v>
      </c>
      <c r="K2282" s="8" t="s">
        <v>791</v>
      </c>
      <c r="L2282" s="8" t="s">
        <v>792</v>
      </c>
      <c r="M2282" s="8">
        <v>145</v>
      </c>
      <c r="N2282" s="8">
        <v>28</v>
      </c>
    </row>
    <row r="2283" spans="1:14" ht="25" customHeight="1">
      <c r="A2283" s="12">
        <v>87</v>
      </c>
      <c r="B2283" s="8">
        <v>3</v>
      </c>
      <c r="C2283" s="8" t="s">
        <v>716</v>
      </c>
      <c r="D2283" s="8" t="s">
        <v>120</v>
      </c>
      <c r="E2283" s="8" t="s">
        <v>468</v>
      </c>
      <c r="F2283" s="8">
        <v>1</v>
      </c>
      <c r="G2283" s="8">
        <v>1</v>
      </c>
      <c r="H2283" s="8">
        <v>0</v>
      </c>
      <c r="I2283" s="8">
        <v>9</v>
      </c>
      <c r="J2283" s="11">
        <v>0.07692307692307693</v>
      </c>
      <c r="K2283" s="8" t="s">
        <v>791</v>
      </c>
      <c r="L2283" s="8" t="s">
        <v>1941</v>
      </c>
      <c r="M2283" s="8">
        <v>146</v>
      </c>
    </row>
    <row r="2284" spans="1:14" ht="25" customHeight="1">
      <c r="A2284" s="12">
        <v>88</v>
      </c>
      <c r="B2284" s="8">
        <v>3</v>
      </c>
      <c r="C2284" s="8" t="s">
        <v>711</v>
      </c>
      <c r="D2284" s="8" t="s">
        <v>120</v>
      </c>
      <c r="E2284" s="8" t="s">
        <v>428</v>
      </c>
      <c r="F2284" s="8">
        <v>2</v>
      </c>
      <c r="G2284" s="8">
        <v>0</v>
      </c>
      <c r="H2284" s="8">
        <v>0</v>
      </c>
      <c r="I2284" s="8">
        <v>1</v>
      </c>
      <c r="J2284" s="11">
        <v>0.1818181818181818</v>
      </c>
      <c r="K2284" s="8" t="s">
        <v>791</v>
      </c>
      <c r="L2284" s="8" t="s">
        <v>792</v>
      </c>
      <c r="M2284" s="8">
        <v>147</v>
      </c>
      <c r="N2284" s="8">
        <v>29</v>
      </c>
    </row>
    <row r="2285" spans="1:14" ht="25" customHeight="1">
      <c r="A2285" s="12">
        <v>89</v>
      </c>
      <c r="B2285" s="8">
        <v>3</v>
      </c>
      <c r="C2285" s="8" t="s">
        <v>720</v>
      </c>
      <c r="D2285" s="8" t="s">
        <v>120</v>
      </c>
      <c r="E2285" s="8" t="s">
        <v>449</v>
      </c>
      <c r="F2285" s="8">
        <v>1</v>
      </c>
      <c r="G2285" s="8">
        <v>0</v>
      </c>
      <c r="H2285" s="8">
        <v>0</v>
      </c>
      <c r="I2285" s="8">
        <v>0</v>
      </c>
      <c r="J2285" s="11">
        <v>0.2</v>
      </c>
      <c r="K2285" s="8" t="s">
        <v>791</v>
      </c>
      <c r="L2285" s="8" t="s">
        <v>1941</v>
      </c>
      <c r="M2285" s="8">
        <v>149</v>
      </c>
    </row>
    <row r="2286" spans="1:14" ht="25" customHeight="1">
      <c r="A2286" s="12">
        <v>90</v>
      </c>
      <c r="B2286" s="8">
        <v>3</v>
      </c>
      <c r="C2286" s="8" t="s">
        <v>706</v>
      </c>
      <c r="D2286" s="8" t="s">
        <v>123</v>
      </c>
      <c r="E2286" s="8" t="s">
        <v>474</v>
      </c>
      <c r="F2286" s="8">
        <v>1</v>
      </c>
      <c r="G2286" s="8">
        <v>0</v>
      </c>
      <c r="H2286" s="8">
        <v>0</v>
      </c>
      <c r="I2286" s="8">
        <v>0</v>
      </c>
      <c r="J2286" s="8">
        <v>1</v>
      </c>
      <c r="K2286" s="8" t="s">
        <v>791</v>
      </c>
      <c r="L2286" s="8" t="s">
        <v>1941</v>
      </c>
      <c r="M2286" s="8">
        <v>152</v>
      </c>
    </row>
    <row r="2287" spans="1:14" ht="25" customHeight="1">
      <c r="A2287" s="12">
        <v>91</v>
      </c>
      <c r="B2287" s="8">
        <v>3</v>
      </c>
      <c r="C2287" s="8" t="s">
        <v>706</v>
      </c>
      <c r="D2287" s="8" t="s">
        <v>120</v>
      </c>
      <c r="E2287" s="8" t="s">
        <v>449</v>
      </c>
      <c r="F2287" s="8">
        <v>1</v>
      </c>
      <c r="G2287" s="8">
        <v>1</v>
      </c>
      <c r="H2287" s="8">
        <v>0</v>
      </c>
      <c r="I2287" s="8">
        <v>5</v>
      </c>
      <c r="J2287" s="11">
        <v>0.25</v>
      </c>
      <c r="K2287" s="8" t="s">
        <v>791</v>
      </c>
      <c r="L2287" s="8" t="s">
        <v>1941</v>
      </c>
      <c r="M2287" s="8">
        <v>158</v>
      </c>
    </row>
    <row r="2288" spans="1:14" ht="25" customHeight="1">
      <c r="A2288" s="12">
        <v>92</v>
      </c>
      <c r="B2288" s="8">
        <v>3</v>
      </c>
      <c r="C2288" s="8" t="s">
        <v>720</v>
      </c>
      <c r="D2288" s="8" t="s">
        <v>175</v>
      </c>
      <c r="E2288" s="8" t="s">
        <v>465</v>
      </c>
      <c r="F2288" s="8">
        <v>1</v>
      </c>
      <c r="G2288" s="8">
        <v>0</v>
      </c>
      <c r="H2288" s="8">
        <v>0</v>
      </c>
      <c r="I2288" s="8">
        <v>7</v>
      </c>
      <c r="J2288" s="11">
        <v>0.5</v>
      </c>
      <c r="K2288" s="8" t="s">
        <v>791</v>
      </c>
      <c r="L2288" s="8" t="s">
        <v>1941</v>
      </c>
      <c r="M2288" s="8">
        <v>159</v>
      </c>
    </row>
    <row r="2289" spans="1:14" ht="25" customHeight="1">
      <c r="A2289" s="12">
        <v>93</v>
      </c>
      <c r="B2289" s="8">
        <v>3</v>
      </c>
      <c r="C2289" s="8" t="s">
        <v>720</v>
      </c>
      <c r="D2289" s="8" t="s">
        <v>175</v>
      </c>
      <c r="E2289" s="8" t="s">
        <v>428</v>
      </c>
      <c r="F2289" s="8">
        <v>1</v>
      </c>
      <c r="G2289" s="8">
        <v>0</v>
      </c>
      <c r="H2289" s="8">
        <v>0</v>
      </c>
      <c r="I2289" s="8">
        <v>-1</v>
      </c>
      <c r="J2289" s="11">
        <v>0.5</v>
      </c>
      <c r="K2289" s="8" t="s">
        <v>791</v>
      </c>
      <c r="L2289" s="8" t="s">
        <v>1941</v>
      </c>
      <c r="M2289" s="8">
        <v>164</v>
      </c>
    </row>
    <row r="2290" spans="1:14" ht="25" customHeight="1">
      <c r="A2290" s="12">
        <v>94</v>
      </c>
      <c r="B2290" s="8">
        <v>3</v>
      </c>
      <c r="C2290" s="8" t="s">
        <v>720</v>
      </c>
      <c r="D2290" s="8" t="s">
        <v>120</v>
      </c>
      <c r="E2290" s="8" t="s">
        <v>465</v>
      </c>
      <c r="F2290" s="8">
        <v>2</v>
      </c>
      <c r="G2290" s="11">
        <v>0.5</v>
      </c>
      <c r="H2290" s="8">
        <v>0</v>
      </c>
      <c r="I2290" s="8">
        <v>5</v>
      </c>
      <c r="J2290" s="11">
        <v>0.4</v>
      </c>
      <c r="K2290" s="8" t="s">
        <v>791</v>
      </c>
      <c r="L2290" s="8" t="s">
        <v>796</v>
      </c>
      <c r="M2290" s="8">
        <v>165</v>
      </c>
      <c r="N2290" s="8">
        <v>30</v>
      </c>
    </row>
    <row r="2291" spans="1:14" ht="25" customHeight="1">
      <c r="A2291" s="12">
        <v>95</v>
      </c>
      <c r="B2291" s="8">
        <v>3</v>
      </c>
      <c r="C2291" s="8" t="s">
        <v>720</v>
      </c>
      <c r="D2291" s="8" t="s">
        <v>120</v>
      </c>
      <c r="E2291" s="8" t="s">
        <v>428</v>
      </c>
      <c r="F2291" s="8">
        <v>2</v>
      </c>
      <c r="G2291" s="11">
        <v>0.5</v>
      </c>
      <c r="H2291" s="8">
        <v>0</v>
      </c>
      <c r="I2291" s="8">
        <v>1</v>
      </c>
      <c r="J2291" s="11">
        <v>0.4</v>
      </c>
      <c r="K2291" s="8" t="s">
        <v>791</v>
      </c>
      <c r="L2291" s="8" t="s">
        <v>796</v>
      </c>
      <c r="M2291" s="8">
        <v>167</v>
      </c>
      <c r="N2291" s="8">
        <v>31</v>
      </c>
    </row>
    <row r="2292" spans="1:14" ht="25" customHeight="1">
      <c r="A2292" s="12">
        <v>96</v>
      </c>
      <c r="B2292" s="8">
        <v>3</v>
      </c>
      <c r="C2292" s="8" t="s">
        <v>716</v>
      </c>
      <c r="D2292" s="8" t="s">
        <v>123</v>
      </c>
      <c r="E2292" s="8" t="s">
        <v>428</v>
      </c>
      <c r="F2292" s="8">
        <v>1</v>
      </c>
      <c r="G2292" s="8">
        <v>0</v>
      </c>
      <c r="H2292" s="8">
        <v>0</v>
      </c>
      <c r="I2292" s="8">
        <v>2</v>
      </c>
      <c r="J2292" s="8">
        <v>1</v>
      </c>
      <c r="K2292" s="8" t="s">
        <v>791</v>
      </c>
      <c r="L2292" s="8" t="s">
        <v>1941</v>
      </c>
      <c r="M2292" s="8">
        <v>168</v>
      </c>
    </row>
    <row r="2293" spans="1:14" ht="25" customHeight="1">
      <c r="A2293" s="12">
        <v>97</v>
      </c>
      <c r="B2293" s="8">
        <v>3</v>
      </c>
      <c r="C2293" s="8" t="s">
        <v>706</v>
      </c>
      <c r="D2293" s="8" t="s">
        <v>120</v>
      </c>
      <c r="E2293" s="8" t="s">
        <v>428</v>
      </c>
      <c r="F2293" s="8">
        <v>1</v>
      </c>
      <c r="G2293" s="8">
        <v>0</v>
      </c>
      <c r="H2293" s="8">
        <v>0</v>
      </c>
      <c r="I2293" s="8">
        <v>-1</v>
      </c>
      <c r="J2293" s="11">
        <v>0.25</v>
      </c>
      <c r="K2293" s="8" t="s">
        <v>791</v>
      </c>
      <c r="L2293" s="8" t="s">
        <v>1941</v>
      </c>
      <c r="M2293" s="8">
        <v>169</v>
      </c>
    </row>
    <row r="2294" spans="1:14" ht="25" customHeight="1">
      <c r="A2294" s="12">
        <v>98</v>
      </c>
      <c r="B2294" s="8">
        <v>3</v>
      </c>
      <c r="C2294" s="8" t="s">
        <v>706</v>
      </c>
      <c r="D2294" s="8" t="s">
        <v>1034</v>
      </c>
      <c r="E2294" s="8" t="s">
        <v>878</v>
      </c>
      <c r="F2294" s="8">
        <v>1</v>
      </c>
      <c r="G2294" s="8">
        <v>1</v>
      </c>
      <c r="H2294" s="8">
        <v>1</v>
      </c>
      <c r="I2294" s="8">
        <v>36</v>
      </c>
      <c r="J2294" s="8">
        <v>1</v>
      </c>
      <c r="K2294" s="8" t="s">
        <v>791</v>
      </c>
      <c r="L2294" s="8" t="s">
        <v>1941</v>
      </c>
      <c r="M2294" s="8">
        <v>172</v>
      </c>
    </row>
    <row r="2295" spans="1:14" ht="25" customHeight="1">
      <c r="A2295" s="12">
        <v>99</v>
      </c>
      <c r="B2295" s="8">
        <v>4</v>
      </c>
      <c r="C2295" s="8" t="s">
        <v>706</v>
      </c>
      <c r="D2295" s="8" t="s">
        <v>1037</v>
      </c>
      <c r="E2295" s="8" t="s">
        <v>1038</v>
      </c>
      <c r="F2295" s="8">
        <v>1</v>
      </c>
      <c r="G2295" s="8">
        <v>0</v>
      </c>
      <c r="H2295" s="8">
        <v>0</v>
      </c>
      <c r="I2295" s="8">
        <v>-1</v>
      </c>
      <c r="J2295" s="8">
        <v>1</v>
      </c>
      <c r="K2295" s="8" t="s">
        <v>791</v>
      </c>
      <c r="L2295" s="8" t="s">
        <v>1941</v>
      </c>
      <c r="M2295" s="8">
        <v>173</v>
      </c>
    </row>
    <row r="2296" spans="1:14" ht="25" customHeight="1">
      <c r="A2296" s="12">
        <v>100</v>
      </c>
      <c r="B2296" s="8">
        <v>4</v>
      </c>
      <c r="C2296" s="8" t="s">
        <v>706</v>
      </c>
      <c r="D2296" s="8" t="s">
        <v>802</v>
      </c>
      <c r="E2296" s="8" t="s">
        <v>878</v>
      </c>
      <c r="F2296" s="8">
        <v>1</v>
      </c>
      <c r="G2296" s="8">
        <v>0</v>
      </c>
      <c r="H2296" s="8">
        <v>0</v>
      </c>
      <c r="I2296" s="8">
        <v>0</v>
      </c>
      <c r="J2296" s="8">
        <v>1</v>
      </c>
      <c r="K2296" s="8" t="s">
        <v>791</v>
      </c>
      <c r="L2296" s="8" t="s">
        <v>1941</v>
      </c>
      <c r="M2296" s="8">
        <v>174</v>
      </c>
    </row>
    <row r="2302" spans="1:14" ht="27" customHeight="1">
      <c r="A2302" s="5" t="s">
        <v>812</v>
      </c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</row>
    <row r="2303" spans="1:14" ht="36" customHeight="1">
      <c r="A2303" s="9" t="s">
        <v>683</v>
      </c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</row>
    <row r="2304" spans="1:14" ht="25" customHeight="1">
      <c r="A2304" s="6" t="s">
        <v>684</v>
      </c>
    </row>
    <row r="2305" spans="1:14" ht="25" customHeight="1">
      <c r="A2305" s="12">
        <v>1</v>
      </c>
      <c r="B2305" s="8" t="s">
        <v>687</v>
      </c>
      <c r="C2305" s="8" t="s">
        <v>688</v>
      </c>
      <c r="D2305" s="8" t="s">
        <v>810</v>
      </c>
      <c r="E2305" s="8" t="s">
        <v>781</v>
      </c>
      <c r="F2305" s="8" t="s">
        <v>782</v>
      </c>
      <c r="G2305" s="8" t="s">
        <v>783</v>
      </c>
      <c r="H2305" s="8" t="s">
        <v>784</v>
      </c>
      <c r="I2305" s="8" t="s">
        <v>785</v>
      </c>
      <c r="J2305" s="8" t="s">
        <v>690</v>
      </c>
      <c r="K2305" s="8" t="s">
        <v>786</v>
      </c>
      <c r="L2305" s="8" t="s">
        <v>1940</v>
      </c>
      <c r="M2305" s="8" t="s">
        <v>1946</v>
      </c>
      <c r="N2305" s="8" t="s">
        <v>1947</v>
      </c>
    </row>
    <row r="2306" spans="1:14" ht="25" customHeight="1">
      <c r="A2306" s="12">
        <v>2</v>
      </c>
      <c r="B2306" s="8">
        <v>0</v>
      </c>
      <c r="C2306" s="8" t="s">
        <v>115</v>
      </c>
      <c r="D2306" s="8" t="s">
        <v>235</v>
      </c>
      <c r="E2306" s="8" t="s">
        <v>449</v>
      </c>
      <c r="F2306" s="8">
        <v>1</v>
      </c>
      <c r="G2306" s="8">
        <v>0</v>
      </c>
      <c r="H2306" s="8">
        <v>0</v>
      </c>
      <c r="I2306" s="8">
        <v>5</v>
      </c>
      <c r="J2306" s="11">
        <v>0.5</v>
      </c>
      <c r="K2306" s="8" t="s">
        <v>791</v>
      </c>
      <c r="L2306" s="8" t="s">
        <v>1941</v>
      </c>
      <c r="M2306" s="8">
        <v>3</v>
      </c>
    </row>
    <row r="2307" spans="1:14" ht="25" customHeight="1">
      <c r="A2307" s="12">
        <v>3</v>
      </c>
      <c r="B2307" s="8">
        <v>0</v>
      </c>
      <c r="C2307" s="8" t="s">
        <v>115</v>
      </c>
      <c r="D2307" s="8" t="s">
        <v>203</v>
      </c>
      <c r="E2307" s="8" t="s">
        <v>465</v>
      </c>
      <c r="F2307" s="8">
        <v>4</v>
      </c>
      <c r="G2307" s="11">
        <v>0.5</v>
      </c>
      <c r="H2307" s="8">
        <v>0</v>
      </c>
      <c r="I2307" s="11">
        <v>4.5</v>
      </c>
      <c r="J2307" s="11">
        <v>0.2105263157894737</v>
      </c>
      <c r="K2307" s="8" t="s">
        <v>795</v>
      </c>
      <c r="L2307" s="8" t="s">
        <v>796</v>
      </c>
      <c r="M2307" s="8">
        <v>4</v>
      </c>
      <c r="N2307" s="8">
        <v>1</v>
      </c>
    </row>
    <row r="2308" spans="1:14" ht="25" customHeight="1">
      <c r="A2308" s="12">
        <v>4</v>
      </c>
      <c r="B2308" s="8">
        <v>0</v>
      </c>
      <c r="C2308" s="8" t="s">
        <v>115</v>
      </c>
      <c r="D2308" s="8" t="s">
        <v>203</v>
      </c>
      <c r="E2308" s="8" t="s">
        <v>449</v>
      </c>
      <c r="F2308" s="8">
        <v>1</v>
      </c>
      <c r="G2308" s="8">
        <v>1</v>
      </c>
      <c r="H2308" s="8">
        <v>0</v>
      </c>
      <c r="I2308" s="8">
        <v>9</v>
      </c>
      <c r="J2308" s="11">
        <v>0.05263157894736842</v>
      </c>
      <c r="K2308" s="8" t="s">
        <v>791</v>
      </c>
      <c r="L2308" s="8" t="s">
        <v>1941</v>
      </c>
      <c r="M2308" s="8">
        <v>5</v>
      </c>
    </row>
    <row r="2309" spans="1:14" ht="25" customHeight="1">
      <c r="A2309" s="12">
        <v>5</v>
      </c>
      <c r="B2309" s="8">
        <v>0</v>
      </c>
      <c r="C2309" s="8" t="s">
        <v>115</v>
      </c>
      <c r="D2309" s="8" t="s">
        <v>203</v>
      </c>
      <c r="E2309" s="8" t="s">
        <v>471</v>
      </c>
      <c r="F2309" s="8">
        <v>1</v>
      </c>
      <c r="G2309" s="8">
        <v>0</v>
      </c>
      <c r="H2309" s="8">
        <v>0</v>
      </c>
      <c r="I2309" s="8">
        <v>5</v>
      </c>
      <c r="J2309" s="11">
        <v>0.05263157894736842</v>
      </c>
      <c r="K2309" s="8" t="s">
        <v>791</v>
      </c>
      <c r="L2309" s="8" t="s">
        <v>1941</v>
      </c>
      <c r="M2309" s="8">
        <v>7</v>
      </c>
    </row>
    <row r="2310" spans="1:14" ht="25" customHeight="1">
      <c r="A2310" s="12">
        <v>6</v>
      </c>
      <c r="B2310" s="8">
        <v>0</v>
      </c>
      <c r="C2310" s="8" t="s">
        <v>115</v>
      </c>
      <c r="D2310" s="8" t="s">
        <v>203</v>
      </c>
      <c r="E2310" s="8" t="s">
        <v>468</v>
      </c>
      <c r="F2310" s="8">
        <v>1</v>
      </c>
      <c r="G2310" s="8">
        <v>0</v>
      </c>
      <c r="H2310" s="8">
        <v>0</v>
      </c>
      <c r="I2310" s="8">
        <v>0</v>
      </c>
      <c r="J2310" s="11">
        <v>0.05263157894736842</v>
      </c>
      <c r="K2310" s="8" t="s">
        <v>791</v>
      </c>
      <c r="L2310" s="8" t="s">
        <v>1941</v>
      </c>
      <c r="M2310" s="8">
        <v>8</v>
      </c>
    </row>
    <row r="2311" spans="1:14" ht="25" customHeight="1">
      <c r="A2311" s="12">
        <v>7</v>
      </c>
      <c r="B2311" s="8">
        <v>0</v>
      </c>
      <c r="C2311" s="8" t="s">
        <v>115</v>
      </c>
      <c r="D2311" s="8" t="s">
        <v>203</v>
      </c>
      <c r="E2311" s="8" t="s">
        <v>611</v>
      </c>
      <c r="F2311" s="8">
        <v>1</v>
      </c>
      <c r="G2311" s="8">
        <v>0</v>
      </c>
      <c r="H2311" s="8">
        <v>0</v>
      </c>
      <c r="I2311" s="8">
        <v>-2</v>
      </c>
      <c r="J2311" s="11">
        <v>0.05263157894736842</v>
      </c>
      <c r="K2311" s="8" t="s">
        <v>791</v>
      </c>
      <c r="L2311" s="8" t="s">
        <v>1941</v>
      </c>
      <c r="M2311" s="8">
        <v>9</v>
      </c>
    </row>
    <row r="2312" spans="1:14" ht="25" customHeight="1">
      <c r="A2312" s="12">
        <v>8</v>
      </c>
      <c r="B2312" s="8">
        <v>0</v>
      </c>
      <c r="C2312" s="8" t="s">
        <v>115</v>
      </c>
      <c r="D2312" s="8" t="s">
        <v>203</v>
      </c>
      <c r="E2312" s="8" t="s">
        <v>541</v>
      </c>
      <c r="F2312" s="8">
        <v>1</v>
      </c>
      <c r="G2312" s="8">
        <v>1</v>
      </c>
      <c r="H2312" s="8">
        <v>0</v>
      </c>
      <c r="I2312" s="8">
        <v>6</v>
      </c>
      <c r="J2312" s="11">
        <v>0.05263157894736842</v>
      </c>
      <c r="K2312" s="8" t="s">
        <v>791</v>
      </c>
      <c r="L2312" s="8" t="s">
        <v>1941</v>
      </c>
      <c r="M2312" s="8">
        <v>10</v>
      </c>
    </row>
    <row r="2313" spans="1:14" ht="25" customHeight="1">
      <c r="A2313" s="12">
        <v>9</v>
      </c>
      <c r="B2313" s="8">
        <v>0</v>
      </c>
      <c r="C2313" s="8" t="s">
        <v>115</v>
      </c>
      <c r="D2313" s="8" t="s">
        <v>206</v>
      </c>
      <c r="E2313" s="8" t="s">
        <v>449</v>
      </c>
      <c r="F2313" s="8">
        <v>1</v>
      </c>
      <c r="G2313" s="8">
        <v>0</v>
      </c>
      <c r="H2313" s="8">
        <v>0</v>
      </c>
      <c r="I2313" s="8">
        <v>0</v>
      </c>
      <c r="J2313" s="11">
        <v>0.08333333333333333</v>
      </c>
      <c r="K2313" s="8" t="s">
        <v>791</v>
      </c>
      <c r="L2313" s="8" t="s">
        <v>1941</v>
      </c>
      <c r="M2313" s="8">
        <v>11</v>
      </c>
    </row>
    <row r="2314" spans="1:14" ht="25" customHeight="1">
      <c r="A2314" s="12">
        <v>10</v>
      </c>
      <c r="B2314" s="8">
        <v>0</v>
      </c>
      <c r="C2314" s="8" t="s">
        <v>115</v>
      </c>
      <c r="D2314" s="8" t="s">
        <v>206</v>
      </c>
      <c r="E2314" s="8" t="s">
        <v>474</v>
      </c>
      <c r="F2314" s="8">
        <v>1</v>
      </c>
      <c r="G2314" s="8">
        <v>0</v>
      </c>
      <c r="H2314" s="8">
        <v>0</v>
      </c>
      <c r="I2314" s="8">
        <v>0</v>
      </c>
      <c r="J2314" s="11">
        <v>0.08333333333333333</v>
      </c>
      <c r="K2314" s="8" t="s">
        <v>791</v>
      </c>
      <c r="L2314" s="8" t="s">
        <v>1941</v>
      </c>
      <c r="M2314" s="8">
        <v>12</v>
      </c>
    </row>
    <row r="2315" spans="1:14" ht="25" customHeight="1">
      <c r="A2315" s="12">
        <v>11</v>
      </c>
      <c r="B2315" s="8">
        <v>0</v>
      </c>
      <c r="C2315" s="8" t="s">
        <v>115</v>
      </c>
      <c r="D2315" s="8" t="s">
        <v>206</v>
      </c>
      <c r="E2315" s="8" t="s">
        <v>428</v>
      </c>
      <c r="F2315" s="8">
        <v>3</v>
      </c>
      <c r="G2315" s="11">
        <v>0.6666666666666666</v>
      </c>
      <c r="H2315" s="11">
        <v>0.3333333333333333</v>
      </c>
      <c r="I2315" s="11">
        <v>5.666666666666667</v>
      </c>
      <c r="J2315" s="11">
        <v>0.25</v>
      </c>
      <c r="K2315" s="8" t="s">
        <v>801</v>
      </c>
      <c r="L2315" s="8" t="s">
        <v>796</v>
      </c>
      <c r="M2315" s="8">
        <v>13</v>
      </c>
      <c r="N2315" s="8">
        <v>2</v>
      </c>
    </row>
    <row r="2316" spans="1:14" ht="25" customHeight="1">
      <c r="A2316" s="12">
        <v>12</v>
      </c>
      <c r="B2316" s="8">
        <v>0</v>
      </c>
      <c r="C2316" s="8" t="s">
        <v>115</v>
      </c>
      <c r="D2316" s="8" t="s">
        <v>203</v>
      </c>
      <c r="E2316" s="8" t="s">
        <v>574</v>
      </c>
      <c r="F2316" s="8">
        <v>2</v>
      </c>
      <c r="G2316" s="11">
        <v>0.5</v>
      </c>
      <c r="H2316" s="8">
        <v>0</v>
      </c>
      <c r="I2316" s="8">
        <v>4</v>
      </c>
      <c r="J2316" s="11">
        <v>0.1052631578947368</v>
      </c>
      <c r="K2316" s="8" t="s">
        <v>791</v>
      </c>
      <c r="L2316" s="8" t="s">
        <v>792</v>
      </c>
      <c r="M2316" s="8">
        <v>14</v>
      </c>
      <c r="N2316" s="8">
        <v>3</v>
      </c>
    </row>
    <row r="2317" spans="1:14" ht="25" customHeight="1">
      <c r="A2317" s="12">
        <v>13</v>
      </c>
      <c r="B2317" s="8">
        <v>0</v>
      </c>
      <c r="C2317" s="8" t="s">
        <v>115</v>
      </c>
      <c r="D2317" s="8" t="s">
        <v>206</v>
      </c>
      <c r="E2317" s="8" t="s">
        <v>452</v>
      </c>
      <c r="F2317" s="8">
        <v>1</v>
      </c>
      <c r="G2317" s="8">
        <v>1</v>
      </c>
      <c r="H2317" s="8">
        <v>0</v>
      </c>
      <c r="I2317" s="8">
        <v>3</v>
      </c>
      <c r="J2317" s="11">
        <v>0.08333333333333333</v>
      </c>
      <c r="K2317" s="8" t="s">
        <v>791</v>
      </c>
      <c r="L2317" s="8" t="s">
        <v>1941</v>
      </c>
      <c r="M2317" s="8">
        <v>15</v>
      </c>
    </row>
    <row r="2318" spans="1:14" ht="25" customHeight="1">
      <c r="A2318" s="12">
        <v>14</v>
      </c>
      <c r="B2318" s="8">
        <v>0</v>
      </c>
      <c r="C2318" s="8" t="s">
        <v>115</v>
      </c>
      <c r="D2318" s="8" t="s">
        <v>203</v>
      </c>
      <c r="E2318" s="8" t="s">
        <v>428</v>
      </c>
      <c r="F2318" s="8">
        <v>5</v>
      </c>
      <c r="G2318" s="11">
        <v>0.4</v>
      </c>
      <c r="H2318" s="8">
        <v>0</v>
      </c>
      <c r="I2318" s="8">
        <v>3</v>
      </c>
      <c r="J2318" s="11">
        <v>0.2631578947368421</v>
      </c>
      <c r="K2318" s="8" t="s">
        <v>795</v>
      </c>
      <c r="L2318" s="8" t="s">
        <v>796</v>
      </c>
      <c r="M2318" s="8">
        <v>16</v>
      </c>
      <c r="N2318" s="8">
        <v>4</v>
      </c>
    </row>
    <row r="2319" spans="1:14" ht="25" customHeight="1">
      <c r="A2319" s="12">
        <v>15</v>
      </c>
      <c r="B2319" s="8">
        <v>0</v>
      </c>
      <c r="C2319" s="8" t="s">
        <v>115</v>
      </c>
      <c r="D2319" s="8" t="s">
        <v>206</v>
      </c>
      <c r="E2319" s="8" t="s">
        <v>465</v>
      </c>
      <c r="F2319" s="8">
        <v>3</v>
      </c>
      <c r="G2319" s="11">
        <v>0.3333333333333333</v>
      </c>
      <c r="H2319" s="8">
        <v>0</v>
      </c>
      <c r="I2319" s="11">
        <v>0.6666666666666666</v>
      </c>
      <c r="J2319" s="11">
        <v>0.25</v>
      </c>
      <c r="K2319" s="8" t="s">
        <v>801</v>
      </c>
      <c r="L2319" s="8" t="s">
        <v>796</v>
      </c>
      <c r="M2319" s="8">
        <v>17</v>
      </c>
      <c r="N2319" s="8">
        <v>5</v>
      </c>
    </row>
    <row r="2320" spans="1:14" ht="25" customHeight="1">
      <c r="A2320" s="12">
        <v>16</v>
      </c>
      <c r="B2320" s="8">
        <v>0</v>
      </c>
      <c r="C2320" s="8" t="s">
        <v>115</v>
      </c>
      <c r="D2320" s="8" t="s">
        <v>206</v>
      </c>
      <c r="E2320" s="8" t="s">
        <v>468</v>
      </c>
      <c r="F2320" s="8">
        <v>1</v>
      </c>
      <c r="G2320" s="8">
        <v>1</v>
      </c>
      <c r="H2320" s="8">
        <v>1</v>
      </c>
      <c r="I2320" s="8">
        <v>15</v>
      </c>
      <c r="J2320" s="11">
        <v>0.08333333333333333</v>
      </c>
      <c r="K2320" s="8" t="s">
        <v>791</v>
      </c>
      <c r="L2320" s="8" t="s">
        <v>1941</v>
      </c>
      <c r="M2320" s="8">
        <v>19</v>
      </c>
    </row>
    <row r="2321" spans="1:14" ht="25" customHeight="1">
      <c r="A2321" s="12">
        <v>17</v>
      </c>
      <c r="B2321" s="8">
        <v>0</v>
      </c>
      <c r="C2321" s="8" t="s">
        <v>115</v>
      </c>
      <c r="D2321" s="8" t="s">
        <v>203</v>
      </c>
      <c r="E2321" s="8" t="s">
        <v>800</v>
      </c>
      <c r="F2321" s="8">
        <v>1</v>
      </c>
      <c r="G2321" s="8">
        <v>0</v>
      </c>
      <c r="H2321" s="8">
        <v>0</v>
      </c>
      <c r="I2321" s="8">
        <v>2</v>
      </c>
      <c r="J2321" s="11">
        <v>0.05263157894736842</v>
      </c>
      <c r="K2321" s="8" t="s">
        <v>791</v>
      </c>
      <c r="L2321" s="8" t="s">
        <v>1941</v>
      </c>
      <c r="M2321" s="8">
        <v>21</v>
      </c>
    </row>
    <row r="2322" spans="1:14" ht="25" customHeight="1">
      <c r="A2322" s="12">
        <v>18</v>
      </c>
      <c r="B2322" s="8">
        <v>0</v>
      </c>
      <c r="C2322" s="8" t="s">
        <v>115</v>
      </c>
      <c r="D2322" s="8" t="s">
        <v>206</v>
      </c>
      <c r="E2322" s="8" t="s">
        <v>800</v>
      </c>
      <c r="F2322" s="8">
        <v>2</v>
      </c>
      <c r="G2322" s="8">
        <v>0</v>
      </c>
      <c r="H2322" s="8">
        <v>0</v>
      </c>
      <c r="I2322" s="11">
        <v>1.5</v>
      </c>
      <c r="J2322" s="11">
        <v>0.1666666666666667</v>
      </c>
      <c r="K2322" s="8" t="s">
        <v>791</v>
      </c>
      <c r="L2322" s="8" t="s">
        <v>792</v>
      </c>
      <c r="M2322" s="8">
        <v>26</v>
      </c>
      <c r="N2322" s="8">
        <v>6</v>
      </c>
    </row>
    <row r="2323" spans="1:14" ht="25" customHeight="1">
      <c r="A2323" s="12">
        <v>19</v>
      </c>
      <c r="B2323" s="8">
        <v>0</v>
      </c>
      <c r="C2323" s="8" t="s">
        <v>115</v>
      </c>
      <c r="D2323" s="8" t="s">
        <v>811</v>
      </c>
      <c r="E2323" s="8" t="s">
        <v>428</v>
      </c>
      <c r="F2323" s="8">
        <v>2</v>
      </c>
      <c r="G2323" s="8">
        <v>0</v>
      </c>
      <c r="H2323" s="8">
        <v>0</v>
      </c>
      <c r="I2323" s="11">
        <v>1.5</v>
      </c>
      <c r="J2323" s="11">
        <v>0.6666666666666666</v>
      </c>
      <c r="K2323" s="8" t="s">
        <v>791</v>
      </c>
      <c r="L2323" s="8" t="s">
        <v>796</v>
      </c>
      <c r="M2323" s="8">
        <v>27</v>
      </c>
      <c r="N2323" s="8">
        <v>7</v>
      </c>
    </row>
    <row r="2324" spans="1:14" ht="25" customHeight="1">
      <c r="A2324" s="12">
        <v>20</v>
      </c>
      <c r="B2324" s="8">
        <v>0</v>
      </c>
      <c r="C2324" s="8" t="s">
        <v>115</v>
      </c>
      <c r="D2324" s="8" t="s">
        <v>811</v>
      </c>
      <c r="E2324" s="8" t="s">
        <v>465</v>
      </c>
      <c r="F2324" s="8">
        <v>1</v>
      </c>
      <c r="G2324" s="8">
        <v>0</v>
      </c>
      <c r="H2324" s="8">
        <v>0</v>
      </c>
      <c r="I2324" s="8">
        <v>-4</v>
      </c>
      <c r="J2324" s="11">
        <v>0.3333333333333333</v>
      </c>
      <c r="K2324" s="8" t="s">
        <v>791</v>
      </c>
      <c r="L2324" s="8" t="s">
        <v>1941</v>
      </c>
      <c r="M2324" s="8">
        <v>30</v>
      </c>
    </row>
    <row r="2325" spans="1:14" ht="25" customHeight="1">
      <c r="A2325" s="12">
        <v>21</v>
      </c>
      <c r="B2325" s="8">
        <v>0</v>
      </c>
      <c r="C2325" s="8" t="s">
        <v>115</v>
      </c>
      <c r="D2325" s="8" t="s">
        <v>235</v>
      </c>
      <c r="E2325" s="8" t="s">
        <v>878</v>
      </c>
      <c r="F2325" s="8">
        <v>1</v>
      </c>
      <c r="G2325" s="8">
        <v>1</v>
      </c>
      <c r="H2325" s="8">
        <v>0</v>
      </c>
      <c r="I2325" s="8">
        <v>1</v>
      </c>
      <c r="J2325" s="11">
        <v>0.5</v>
      </c>
      <c r="K2325" s="8" t="s">
        <v>791</v>
      </c>
      <c r="L2325" s="8" t="s">
        <v>1941</v>
      </c>
      <c r="M2325" s="8">
        <v>32</v>
      </c>
    </row>
    <row r="2326" spans="1:14" ht="25" customHeight="1">
      <c r="A2326" s="12">
        <v>22</v>
      </c>
      <c r="B2326" s="8">
        <v>0</v>
      </c>
      <c r="C2326" s="8" t="s">
        <v>115</v>
      </c>
      <c r="D2326" s="8" t="s">
        <v>203</v>
      </c>
      <c r="E2326" s="8" t="s">
        <v>480</v>
      </c>
      <c r="F2326" s="8">
        <v>1</v>
      </c>
      <c r="G2326" s="8">
        <v>0</v>
      </c>
      <c r="H2326" s="8">
        <v>0</v>
      </c>
      <c r="I2326" s="8">
        <v>-5</v>
      </c>
      <c r="J2326" s="11">
        <v>0.05263157894736842</v>
      </c>
      <c r="K2326" s="8" t="s">
        <v>791</v>
      </c>
      <c r="L2326" s="8" t="s">
        <v>1941</v>
      </c>
      <c r="M2326" s="8">
        <v>36</v>
      </c>
    </row>
    <row r="2327" spans="1:14" ht="25" customHeight="1">
      <c r="A2327" s="12">
        <v>23</v>
      </c>
      <c r="B2327" s="8">
        <v>0</v>
      </c>
      <c r="C2327" s="8" t="s">
        <v>115</v>
      </c>
      <c r="D2327" s="8" t="s">
        <v>203</v>
      </c>
      <c r="E2327" s="8" t="s">
        <v>452</v>
      </c>
      <c r="F2327" s="8">
        <v>1</v>
      </c>
      <c r="G2327" s="8">
        <v>1</v>
      </c>
      <c r="H2327" s="8">
        <v>1</v>
      </c>
      <c r="I2327" s="8">
        <v>16</v>
      </c>
      <c r="J2327" s="11">
        <v>0.05263157894736842</v>
      </c>
      <c r="K2327" s="8" t="s">
        <v>791</v>
      </c>
      <c r="L2327" s="8" t="s">
        <v>1941</v>
      </c>
      <c r="M2327" s="8">
        <v>37</v>
      </c>
    </row>
    <row r="2328" spans="1:14" ht="25" customHeight="1">
      <c r="A2328" s="12">
        <v>24</v>
      </c>
      <c r="B2328" s="8">
        <v>1</v>
      </c>
      <c r="C2328" s="8" t="s">
        <v>711</v>
      </c>
      <c r="D2328" s="8" t="s">
        <v>203</v>
      </c>
      <c r="E2328" s="8" t="s">
        <v>465</v>
      </c>
      <c r="F2328" s="8">
        <v>1</v>
      </c>
      <c r="G2328" s="8">
        <v>0</v>
      </c>
      <c r="H2328" s="8">
        <v>0</v>
      </c>
      <c r="I2328" s="8">
        <v>-2</v>
      </c>
      <c r="J2328" s="8">
        <v>1</v>
      </c>
      <c r="K2328" s="8" t="s">
        <v>791</v>
      </c>
      <c r="L2328" s="8" t="s">
        <v>1941</v>
      </c>
      <c r="M2328" s="8">
        <v>40</v>
      </c>
    </row>
    <row r="2329" spans="1:14" ht="25" customHeight="1">
      <c r="A2329" s="12">
        <v>25</v>
      </c>
      <c r="B2329" s="8">
        <v>1</v>
      </c>
      <c r="C2329" s="8" t="s">
        <v>716</v>
      </c>
      <c r="D2329" s="8" t="s">
        <v>222</v>
      </c>
      <c r="E2329" s="8" t="s">
        <v>474</v>
      </c>
      <c r="F2329" s="8">
        <v>1</v>
      </c>
      <c r="G2329" s="8">
        <v>0</v>
      </c>
      <c r="H2329" s="8">
        <v>0</v>
      </c>
      <c r="I2329" s="8">
        <v>0</v>
      </c>
      <c r="J2329" s="8">
        <v>1</v>
      </c>
      <c r="K2329" s="8" t="s">
        <v>791</v>
      </c>
      <c r="L2329" s="8" t="s">
        <v>1941</v>
      </c>
      <c r="M2329" s="8">
        <v>41</v>
      </c>
    </row>
    <row r="2330" spans="1:14" ht="25" customHeight="1">
      <c r="A2330" s="12">
        <v>26</v>
      </c>
      <c r="B2330" s="8">
        <v>1</v>
      </c>
      <c r="C2330" s="8" t="s">
        <v>716</v>
      </c>
      <c r="D2330" s="8" t="s">
        <v>203</v>
      </c>
      <c r="E2330" s="8" t="s">
        <v>428</v>
      </c>
      <c r="F2330" s="8">
        <v>4</v>
      </c>
      <c r="G2330" s="8">
        <v>0</v>
      </c>
      <c r="H2330" s="8">
        <v>0</v>
      </c>
      <c r="I2330" s="8">
        <v>0</v>
      </c>
      <c r="J2330" s="11">
        <v>0.2666666666666667</v>
      </c>
      <c r="K2330" s="8" t="s">
        <v>795</v>
      </c>
      <c r="L2330" s="8" t="s">
        <v>796</v>
      </c>
      <c r="M2330" s="8">
        <v>42</v>
      </c>
      <c r="N2330" s="8">
        <v>8</v>
      </c>
    </row>
    <row r="2331" spans="1:14" ht="25" customHeight="1">
      <c r="A2331" s="12">
        <v>27</v>
      </c>
      <c r="B2331" s="8">
        <v>1</v>
      </c>
      <c r="C2331" s="8" t="s">
        <v>716</v>
      </c>
      <c r="D2331" s="8" t="s">
        <v>206</v>
      </c>
      <c r="E2331" s="8" t="s">
        <v>465</v>
      </c>
      <c r="F2331" s="8">
        <v>1</v>
      </c>
      <c r="G2331" s="8">
        <v>1</v>
      </c>
      <c r="H2331" s="8">
        <v>0</v>
      </c>
      <c r="I2331" s="8">
        <v>8</v>
      </c>
      <c r="J2331" s="11">
        <v>0.1666666666666667</v>
      </c>
      <c r="K2331" s="8" t="s">
        <v>791</v>
      </c>
      <c r="L2331" s="8" t="s">
        <v>1941</v>
      </c>
      <c r="M2331" s="8">
        <v>43</v>
      </c>
    </row>
    <row r="2332" spans="1:14" ht="25" customHeight="1">
      <c r="A2332" s="12">
        <v>28</v>
      </c>
      <c r="B2332" s="8">
        <v>1</v>
      </c>
      <c r="C2332" s="8" t="s">
        <v>716</v>
      </c>
      <c r="D2332" s="8" t="s">
        <v>203</v>
      </c>
      <c r="E2332" s="8" t="s">
        <v>611</v>
      </c>
      <c r="F2332" s="8">
        <v>1</v>
      </c>
      <c r="G2332" s="8">
        <v>1</v>
      </c>
      <c r="H2332" s="8">
        <v>0</v>
      </c>
      <c r="I2332" s="8">
        <v>9</v>
      </c>
      <c r="J2332" s="11">
        <v>0.06666666666666667</v>
      </c>
      <c r="K2332" s="8" t="s">
        <v>791</v>
      </c>
      <c r="L2332" s="8" t="s">
        <v>1941</v>
      </c>
      <c r="M2332" s="8">
        <v>44</v>
      </c>
    </row>
    <row r="2333" spans="1:14" ht="25" customHeight="1">
      <c r="A2333" s="12">
        <v>29</v>
      </c>
      <c r="B2333" s="8">
        <v>1</v>
      </c>
      <c r="C2333" s="8" t="s">
        <v>716</v>
      </c>
      <c r="D2333" s="8" t="s">
        <v>206</v>
      </c>
      <c r="E2333" s="8" t="s">
        <v>443</v>
      </c>
      <c r="F2333" s="8">
        <v>1</v>
      </c>
      <c r="G2333" s="8">
        <v>0</v>
      </c>
      <c r="H2333" s="8">
        <v>0</v>
      </c>
      <c r="I2333" s="8">
        <v>1</v>
      </c>
      <c r="J2333" s="11">
        <v>0.1666666666666667</v>
      </c>
      <c r="K2333" s="8" t="s">
        <v>791</v>
      </c>
      <c r="L2333" s="8" t="s">
        <v>1941</v>
      </c>
      <c r="M2333" s="8">
        <v>45</v>
      </c>
    </row>
    <row r="2334" spans="1:14" ht="25" customHeight="1">
      <c r="A2334" s="12">
        <v>30</v>
      </c>
      <c r="B2334" s="8">
        <v>1</v>
      </c>
      <c r="C2334" s="8" t="s">
        <v>716</v>
      </c>
      <c r="D2334" s="8" t="s">
        <v>206</v>
      </c>
      <c r="E2334" s="8" t="s">
        <v>428</v>
      </c>
      <c r="F2334" s="8">
        <v>3</v>
      </c>
      <c r="G2334" s="11">
        <v>0.3333333333333333</v>
      </c>
      <c r="H2334" s="8">
        <v>0</v>
      </c>
      <c r="I2334" s="8">
        <v>2</v>
      </c>
      <c r="J2334" s="11">
        <v>0.5</v>
      </c>
      <c r="K2334" s="8" t="s">
        <v>801</v>
      </c>
      <c r="L2334" s="8" t="s">
        <v>804</v>
      </c>
      <c r="M2334" s="8">
        <v>47</v>
      </c>
      <c r="N2334" s="8">
        <v>9</v>
      </c>
    </row>
    <row r="2335" spans="1:14" ht="25" customHeight="1">
      <c r="A2335" s="12">
        <v>31</v>
      </c>
      <c r="B2335" s="8">
        <v>1</v>
      </c>
      <c r="C2335" s="8" t="s">
        <v>716</v>
      </c>
      <c r="D2335" s="8" t="s">
        <v>203</v>
      </c>
      <c r="E2335" s="8" t="s">
        <v>561</v>
      </c>
      <c r="F2335" s="8">
        <v>1</v>
      </c>
      <c r="G2335" s="8">
        <v>0</v>
      </c>
      <c r="H2335" s="8">
        <v>0</v>
      </c>
      <c r="I2335" s="8">
        <v>0</v>
      </c>
      <c r="J2335" s="11">
        <v>0.06666666666666667</v>
      </c>
      <c r="K2335" s="8" t="s">
        <v>791</v>
      </c>
      <c r="L2335" s="8" t="s">
        <v>1941</v>
      </c>
      <c r="M2335" s="8">
        <v>48</v>
      </c>
    </row>
    <row r="2336" spans="1:14" ht="25" customHeight="1">
      <c r="A2336" s="12">
        <v>32</v>
      </c>
      <c r="B2336" s="8">
        <v>1</v>
      </c>
      <c r="C2336" s="8" t="s">
        <v>716</v>
      </c>
      <c r="D2336" s="8" t="s">
        <v>203</v>
      </c>
      <c r="E2336" s="8" t="s">
        <v>468</v>
      </c>
      <c r="F2336" s="8">
        <v>2</v>
      </c>
      <c r="G2336" s="11">
        <v>0.5</v>
      </c>
      <c r="H2336" s="8">
        <v>0</v>
      </c>
      <c r="I2336" s="8">
        <v>2</v>
      </c>
      <c r="J2336" s="11">
        <v>0.1333333333333333</v>
      </c>
      <c r="K2336" s="8" t="s">
        <v>791</v>
      </c>
      <c r="L2336" s="8" t="s">
        <v>792</v>
      </c>
      <c r="M2336" s="8">
        <v>49</v>
      </c>
      <c r="N2336" s="8">
        <v>10</v>
      </c>
    </row>
    <row r="2337" spans="1:14" ht="25" customHeight="1">
      <c r="A2337" s="12">
        <v>33</v>
      </c>
      <c r="B2337" s="8">
        <v>1</v>
      </c>
      <c r="C2337" s="8" t="s">
        <v>716</v>
      </c>
      <c r="D2337" s="8" t="s">
        <v>206</v>
      </c>
      <c r="E2337" s="8" t="s">
        <v>468</v>
      </c>
      <c r="F2337" s="8">
        <v>1</v>
      </c>
      <c r="G2337" s="8">
        <v>1</v>
      </c>
      <c r="H2337" s="8">
        <v>1</v>
      </c>
      <c r="I2337" s="8">
        <v>31</v>
      </c>
      <c r="J2337" s="11">
        <v>0.1666666666666667</v>
      </c>
      <c r="K2337" s="8" t="s">
        <v>791</v>
      </c>
      <c r="L2337" s="8" t="s">
        <v>1941</v>
      </c>
      <c r="M2337" s="8">
        <v>50</v>
      </c>
    </row>
    <row r="2338" spans="1:14" ht="25" customHeight="1">
      <c r="A2338" s="12">
        <v>34</v>
      </c>
      <c r="B2338" s="8">
        <v>1</v>
      </c>
      <c r="C2338" s="8" t="s">
        <v>716</v>
      </c>
      <c r="D2338" s="8" t="s">
        <v>203</v>
      </c>
      <c r="E2338" s="8" t="s">
        <v>449</v>
      </c>
      <c r="F2338" s="8">
        <v>2</v>
      </c>
      <c r="G2338" s="11">
        <v>0.5</v>
      </c>
      <c r="H2338" s="8">
        <v>0</v>
      </c>
      <c r="I2338" s="11">
        <v>6.5</v>
      </c>
      <c r="J2338" s="11">
        <v>0.1333333333333333</v>
      </c>
      <c r="K2338" s="8" t="s">
        <v>791</v>
      </c>
      <c r="L2338" s="8" t="s">
        <v>792</v>
      </c>
      <c r="M2338" s="8">
        <v>51</v>
      </c>
      <c r="N2338" s="8">
        <v>11</v>
      </c>
    </row>
    <row r="2339" spans="1:14" ht="25" customHeight="1">
      <c r="A2339" s="12">
        <v>35</v>
      </c>
      <c r="B2339" s="8">
        <v>1</v>
      </c>
      <c r="C2339" s="8" t="s">
        <v>711</v>
      </c>
      <c r="D2339" s="8" t="s">
        <v>235</v>
      </c>
      <c r="E2339" s="8" t="s">
        <v>878</v>
      </c>
      <c r="F2339" s="8">
        <v>1</v>
      </c>
      <c r="G2339" s="8">
        <v>0</v>
      </c>
      <c r="H2339" s="8">
        <v>0</v>
      </c>
      <c r="I2339" s="8">
        <v>1</v>
      </c>
      <c r="J2339" s="8">
        <v>1</v>
      </c>
      <c r="K2339" s="8" t="s">
        <v>791</v>
      </c>
      <c r="L2339" s="8" t="s">
        <v>1941</v>
      </c>
      <c r="M2339" s="8">
        <v>52</v>
      </c>
    </row>
    <row r="2340" spans="1:14" ht="25" customHeight="1">
      <c r="A2340" s="12">
        <v>36</v>
      </c>
      <c r="B2340" s="8">
        <v>1</v>
      </c>
      <c r="C2340" s="8" t="s">
        <v>706</v>
      </c>
      <c r="D2340" s="8" t="s">
        <v>811</v>
      </c>
      <c r="E2340" s="8" t="s">
        <v>465</v>
      </c>
      <c r="F2340" s="8">
        <v>1</v>
      </c>
      <c r="G2340" s="8">
        <v>0</v>
      </c>
      <c r="H2340" s="8">
        <v>0</v>
      </c>
      <c r="I2340" s="8">
        <v>0</v>
      </c>
      <c r="J2340" s="8">
        <v>1</v>
      </c>
      <c r="K2340" s="8" t="s">
        <v>791</v>
      </c>
      <c r="L2340" s="8" t="s">
        <v>1941</v>
      </c>
      <c r="M2340" s="8">
        <v>53</v>
      </c>
    </row>
    <row r="2341" spans="1:14" ht="25" customHeight="1">
      <c r="A2341" s="12">
        <v>37</v>
      </c>
      <c r="B2341" s="8">
        <v>1</v>
      </c>
      <c r="C2341" s="8" t="s">
        <v>716</v>
      </c>
      <c r="D2341" s="8" t="s">
        <v>203</v>
      </c>
      <c r="E2341" s="8" t="s">
        <v>800</v>
      </c>
      <c r="F2341" s="8">
        <v>1</v>
      </c>
      <c r="G2341" s="8">
        <v>1</v>
      </c>
      <c r="H2341" s="8">
        <v>0</v>
      </c>
      <c r="I2341" s="8">
        <v>6</v>
      </c>
      <c r="J2341" s="11">
        <v>0.06666666666666667</v>
      </c>
      <c r="K2341" s="8" t="s">
        <v>791</v>
      </c>
      <c r="L2341" s="8" t="s">
        <v>1941</v>
      </c>
      <c r="M2341" s="8">
        <v>55</v>
      </c>
    </row>
    <row r="2342" spans="1:14" ht="25" customHeight="1">
      <c r="A2342" s="12">
        <v>38</v>
      </c>
      <c r="B2342" s="8">
        <v>1</v>
      </c>
      <c r="C2342" s="8" t="s">
        <v>716</v>
      </c>
      <c r="D2342" s="8" t="s">
        <v>203</v>
      </c>
      <c r="E2342" s="8" t="s">
        <v>465</v>
      </c>
      <c r="F2342" s="8">
        <v>1</v>
      </c>
      <c r="G2342" s="8">
        <v>1</v>
      </c>
      <c r="H2342" s="8">
        <v>0</v>
      </c>
      <c r="I2342" s="8">
        <v>4</v>
      </c>
      <c r="J2342" s="11">
        <v>0.06666666666666667</v>
      </c>
      <c r="K2342" s="8" t="s">
        <v>791</v>
      </c>
      <c r="L2342" s="8" t="s">
        <v>1941</v>
      </c>
      <c r="M2342" s="8">
        <v>57</v>
      </c>
    </row>
    <row r="2343" spans="1:14" ht="25" customHeight="1">
      <c r="A2343" s="12">
        <v>39</v>
      </c>
      <c r="B2343" s="8">
        <v>1</v>
      </c>
      <c r="C2343" s="8" t="s">
        <v>716</v>
      </c>
      <c r="D2343" s="8" t="s">
        <v>235</v>
      </c>
      <c r="E2343" s="8" t="s">
        <v>574</v>
      </c>
      <c r="F2343" s="8">
        <v>1</v>
      </c>
      <c r="G2343" s="8">
        <v>1</v>
      </c>
      <c r="H2343" s="8">
        <v>0</v>
      </c>
      <c r="I2343" s="8">
        <v>4</v>
      </c>
      <c r="J2343" s="8">
        <v>1</v>
      </c>
      <c r="K2343" s="8" t="s">
        <v>791</v>
      </c>
      <c r="L2343" s="8" t="s">
        <v>1941</v>
      </c>
      <c r="M2343" s="8">
        <v>58</v>
      </c>
    </row>
    <row r="2344" spans="1:14" ht="25" customHeight="1">
      <c r="A2344" s="12">
        <v>40</v>
      </c>
      <c r="B2344" s="8">
        <v>1</v>
      </c>
      <c r="C2344" s="8" t="s">
        <v>716</v>
      </c>
      <c r="D2344" s="8" t="s">
        <v>203</v>
      </c>
      <c r="E2344" s="8" t="s">
        <v>452</v>
      </c>
      <c r="F2344" s="8">
        <v>1</v>
      </c>
      <c r="G2344" s="8">
        <v>0</v>
      </c>
      <c r="H2344" s="8">
        <v>0</v>
      </c>
      <c r="I2344" s="8">
        <v>-15</v>
      </c>
      <c r="J2344" s="11">
        <v>0.06666666666666667</v>
      </c>
      <c r="K2344" s="8" t="s">
        <v>791</v>
      </c>
      <c r="L2344" s="8" t="s">
        <v>1941</v>
      </c>
      <c r="M2344" s="8">
        <v>60</v>
      </c>
    </row>
    <row r="2345" spans="1:14" ht="25" customHeight="1">
      <c r="A2345" s="12">
        <v>41</v>
      </c>
      <c r="B2345" s="8">
        <v>1</v>
      </c>
      <c r="C2345" s="8" t="s">
        <v>716</v>
      </c>
      <c r="D2345" s="8" t="s">
        <v>203</v>
      </c>
      <c r="E2345" s="8" t="s">
        <v>474</v>
      </c>
      <c r="F2345" s="8">
        <v>1</v>
      </c>
      <c r="G2345" s="8">
        <v>1</v>
      </c>
      <c r="H2345" s="8">
        <v>0</v>
      </c>
      <c r="I2345" s="8">
        <v>8</v>
      </c>
      <c r="J2345" s="11">
        <v>0.06666666666666667</v>
      </c>
      <c r="K2345" s="8" t="s">
        <v>791</v>
      </c>
      <c r="L2345" s="8" t="s">
        <v>1941</v>
      </c>
      <c r="M2345" s="8">
        <v>61</v>
      </c>
    </row>
    <row r="2346" spans="1:14" ht="25" customHeight="1">
      <c r="A2346" s="12">
        <v>42</v>
      </c>
      <c r="B2346" s="8">
        <v>1</v>
      </c>
      <c r="C2346" s="8" t="s">
        <v>720</v>
      </c>
      <c r="D2346" s="8" t="s">
        <v>203</v>
      </c>
      <c r="E2346" s="8" t="s">
        <v>428</v>
      </c>
      <c r="F2346" s="8">
        <v>1</v>
      </c>
      <c r="G2346" s="8">
        <v>1</v>
      </c>
      <c r="H2346" s="8">
        <v>0</v>
      </c>
      <c r="I2346" s="8">
        <v>3</v>
      </c>
      <c r="J2346" s="8">
        <v>1</v>
      </c>
      <c r="K2346" s="8" t="s">
        <v>791</v>
      </c>
      <c r="L2346" s="8" t="s">
        <v>1941</v>
      </c>
      <c r="M2346" s="8">
        <v>65</v>
      </c>
    </row>
    <row r="2347" spans="1:14" ht="25" customHeight="1">
      <c r="A2347" s="12">
        <v>43</v>
      </c>
      <c r="B2347" s="8">
        <v>1</v>
      </c>
      <c r="C2347" s="8" t="s">
        <v>716</v>
      </c>
      <c r="D2347" s="8" t="s">
        <v>203</v>
      </c>
      <c r="E2347" s="8" t="s">
        <v>878</v>
      </c>
      <c r="F2347" s="8">
        <v>1</v>
      </c>
      <c r="G2347" s="8">
        <v>1</v>
      </c>
      <c r="H2347" s="8">
        <v>0</v>
      </c>
      <c r="I2347" s="8">
        <v>6</v>
      </c>
      <c r="J2347" s="11">
        <v>0.06666666666666667</v>
      </c>
      <c r="K2347" s="8" t="s">
        <v>791</v>
      </c>
      <c r="L2347" s="8" t="s">
        <v>1941</v>
      </c>
      <c r="M2347" s="8">
        <v>66</v>
      </c>
    </row>
    <row r="2348" spans="1:14" ht="25" customHeight="1">
      <c r="A2348" s="12">
        <v>44</v>
      </c>
      <c r="B2348" s="8">
        <v>1</v>
      </c>
      <c r="C2348" s="8" t="s">
        <v>716</v>
      </c>
      <c r="D2348" s="8" t="s">
        <v>811</v>
      </c>
      <c r="E2348" s="8" t="s">
        <v>465</v>
      </c>
      <c r="F2348" s="8">
        <v>1</v>
      </c>
      <c r="G2348" s="8">
        <v>0</v>
      </c>
      <c r="H2348" s="8">
        <v>0</v>
      </c>
      <c r="I2348" s="8">
        <v>2</v>
      </c>
      <c r="J2348" s="11">
        <v>0.5</v>
      </c>
      <c r="K2348" s="8" t="s">
        <v>791</v>
      </c>
      <c r="L2348" s="8" t="s">
        <v>1941</v>
      </c>
      <c r="M2348" s="8">
        <v>67</v>
      </c>
    </row>
    <row r="2349" spans="1:14" ht="25" customHeight="1">
      <c r="A2349" s="12">
        <v>45</v>
      </c>
      <c r="B2349" s="8">
        <v>1</v>
      </c>
      <c r="C2349" s="8" t="s">
        <v>711</v>
      </c>
      <c r="D2349" s="8" t="s">
        <v>811</v>
      </c>
      <c r="E2349" s="8" t="s">
        <v>541</v>
      </c>
      <c r="F2349" s="8">
        <v>1</v>
      </c>
      <c r="G2349" s="8">
        <v>1</v>
      </c>
      <c r="H2349" s="8">
        <v>0</v>
      </c>
      <c r="I2349" s="8">
        <v>4</v>
      </c>
      <c r="J2349" s="8">
        <v>1</v>
      </c>
      <c r="K2349" s="8" t="s">
        <v>791</v>
      </c>
      <c r="L2349" s="8" t="s">
        <v>1941</v>
      </c>
      <c r="M2349" s="8">
        <v>68</v>
      </c>
    </row>
    <row r="2350" spans="1:14" ht="25" customHeight="1">
      <c r="A2350" s="12">
        <v>46</v>
      </c>
      <c r="B2350" s="8">
        <v>1</v>
      </c>
      <c r="C2350" s="8" t="s">
        <v>716</v>
      </c>
      <c r="D2350" s="8" t="s">
        <v>811</v>
      </c>
      <c r="E2350" s="8" t="s">
        <v>428</v>
      </c>
      <c r="F2350" s="8">
        <v>1</v>
      </c>
      <c r="G2350" s="8">
        <v>1</v>
      </c>
      <c r="H2350" s="8">
        <v>0</v>
      </c>
      <c r="I2350" s="8">
        <v>11</v>
      </c>
      <c r="J2350" s="11">
        <v>0.5</v>
      </c>
      <c r="K2350" s="8" t="s">
        <v>791</v>
      </c>
      <c r="L2350" s="8" t="s">
        <v>1941</v>
      </c>
      <c r="M2350" s="8">
        <v>69</v>
      </c>
    </row>
    <row r="2351" spans="1:14" ht="25" customHeight="1">
      <c r="A2351" s="12">
        <v>47</v>
      </c>
      <c r="B2351" s="8">
        <v>2</v>
      </c>
      <c r="C2351" s="8" t="s">
        <v>716</v>
      </c>
      <c r="D2351" s="8" t="s">
        <v>222</v>
      </c>
      <c r="E2351" s="8" t="s">
        <v>446</v>
      </c>
      <c r="F2351" s="8">
        <v>1</v>
      </c>
      <c r="G2351" s="8">
        <v>0</v>
      </c>
      <c r="H2351" s="8">
        <v>0</v>
      </c>
      <c r="I2351" s="8">
        <v>0</v>
      </c>
      <c r="J2351" s="8">
        <v>1</v>
      </c>
      <c r="K2351" s="8" t="s">
        <v>791</v>
      </c>
      <c r="L2351" s="8" t="s">
        <v>1941</v>
      </c>
      <c r="M2351" s="8">
        <v>71</v>
      </c>
    </row>
    <row r="2352" spans="1:14" ht="25" customHeight="1">
      <c r="A2352" s="12">
        <v>48</v>
      </c>
      <c r="B2352" s="8">
        <v>2</v>
      </c>
      <c r="C2352" s="8" t="s">
        <v>711</v>
      </c>
      <c r="D2352" s="8" t="s">
        <v>203</v>
      </c>
      <c r="E2352" s="8" t="s">
        <v>465</v>
      </c>
      <c r="F2352" s="8">
        <v>2</v>
      </c>
      <c r="G2352" s="8">
        <v>0</v>
      </c>
      <c r="H2352" s="8">
        <v>0</v>
      </c>
      <c r="I2352" s="8">
        <v>-2</v>
      </c>
      <c r="J2352" s="11">
        <v>0.5</v>
      </c>
      <c r="K2352" s="8" t="s">
        <v>791</v>
      </c>
      <c r="L2352" s="8" t="s">
        <v>796</v>
      </c>
      <c r="M2352" s="8">
        <v>72</v>
      </c>
      <c r="N2352" s="8">
        <v>12</v>
      </c>
    </row>
    <row r="2353" spans="1:14" ht="25" customHeight="1">
      <c r="A2353" s="12">
        <v>49</v>
      </c>
      <c r="B2353" s="8">
        <v>2</v>
      </c>
      <c r="C2353" s="8" t="s">
        <v>716</v>
      </c>
      <c r="D2353" s="8" t="s">
        <v>203</v>
      </c>
      <c r="E2353" s="8" t="s">
        <v>541</v>
      </c>
      <c r="F2353" s="8">
        <v>1</v>
      </c>
      <c r="G2353" s="8">
        <v>0</v>
      </c>
      <c r="H2353" s="8">
        <v>0</v>
      </c>
      <c r="I2353" s="8">
        <v>1</v>
      </c>
      <c r="J2353" s="11">
        <v>0.07692307692307693</v>
      </c>
      <c r="K2353" s="8" t="s">
        <v>791</v>
      </c>
      <c r="L2353" s="8" t="s">
        <v>1941</v>
      </c>
      <c r="M2353" s="8">
        <v>73</v>
      </c>
    </row>
    <row r="2354" spans="1:14" ht="25" customHeight="1">
      <c r="A2354" s="12">
        <v>50</v>
      </c>
      <c r="B2354" s="8">
        <v>2</v>
      </c>
      <c r="C2354" s="8" t="s">
        <v>716</v>
      </c>
      <c r="D2354" s="8" t="s">
        <v>206</v>
      </c>
      <c r="E2354" s="8" t="s">
        <v>449</v>
      </c>
      <c r="F2354" s="8">
        <v>2</v>
      </c>
      <c r="G2354" s="8">
        <v>1</v>
      </c>
      <c r="H2354" s="11">
        <v>0.5</v>
      </c>
      <c r="I2354" s="8">
        <v>23</v>
      </c>
      <c r="J2354" s="11">
        <v>0.2222222222222222</v>
      </c>
      <c r="K2354" s="8" t="s">
        <v>791</v>
      </c>
      <c r="L2354" s="8" t="s">
        <v>792</v>
      </c>
      <c r="M2354" s="8">
        <v>74</v>
      </c>
      <c r="N2354" s="8">
        <v>13</v>
      </c>
    </row>
    <row r="2355" spans="1:14" ht="25" customHeight="1">
      <c r="A2355" s="12">
        <v>51</v>
      </c>
      <c r="B2355" s="8">
        <v>2</v>
      </c>
      <c r="C2355" s="8" t="s">
        <v>706</v>
      </c>
      <c r="D2355" s="8" t="s">
        <v>203</v>
      </c>
      <c r="E2355" s="8" t="s">
        <v>468</v>
      </c>
      <c r="F2355" s="8">
        <v>1</v>
      </c>
      <c r="G2355" s="8">
        <v>0</v>
      </c>
      <c r="H2355" s="8">
        <v>0</v>
      </c>
      <c r="I2355" s="8">
        <v>0</v>
      </c>
      <c r="J2355" s="8">
        <v>1</v>
      </c>
      <c r="K2355" s="8" t="s">
        <v>791</v>
      </c>
      <c r="L2355" s="8" t="s">
        <v>1941</v>
      </c>
      <c r="M2355" s="8">
        <v>75</v>
      </c>
    </row>
    <row r="2356" spans="1:14" ht="25" customHeight="1">
      <c r="A2356" s="12">
        <v>52</v>
      </c>
      <c r="B2356" s="8">
        <v>2</v>
      </c>
      <c r="C2356" s="8" t="s">
        <v>716</v>
      </c>
      <c r="D2356" s="8" t="s">
        <v>203</v>
      </c>
      <c r="E2356" s="8" t="s">
        <v>449</v>
      </c>
      <c r="F2356" s="8">
        <v>3</v>
      </c>
      <c r="G2356" s="11">
        <v>0.3333333333333333</v>
      </c>
      <c r="H2356" s="8">
        <v>0</v>
      </c>
      <c r="I2356" s="11">
        <v>3.666666666666667</v>
      </c>
      <c r="J2356" s="11">
        <v>0.2307692307692308</v>
      </c>
      <c r="K2356" s="8" t="s">
        <v>801</v>
      </c>
      <c r="L2356" s="8" t="s">
        <v>792</v>
      </c>
      <c r="M2356" s="8">
        <v>76</v>
      </c>
      <c r="N2356" s="8">
        <v>14</v>
      </c>
    </row>
    <row r="2357" spans="1:14" ht="25" customHeight="1">
      <c r="A2357" s="12">
        <v>53</v>
      </c>
      <c r="B2357" s="8">
        <v>2</v>
      </c>
      <c r="C2357" s="8" t="s">
        <v>720</v>
      </c>
      <c r="D2357" s="8" t="s">
        <v>203</v>
      </c>
      <c r="E2357" s="8" t="s">
        <v>446</v>
      </c>
      <c r="F2357" s="8">
        <v>1</v>
      </c>
      <c r="G2357" s="8">
        <v>0</v>
      </c>
      <c r="H2357" s="8">
        <v>0</v>
      </c>
      <c r="I2357" s="8">
        <v>6</v>
      </c>
      <c r="J2357" s="11">
        <v>0.1666666666666667</v>
      </c>
      <c r="K2357" s="8" t="s">
        <v>791</v>
      </c>
      <c r="L2357" s="8" t="s">
        <v>1941</v>
      </c>
      <c r="M2357" s="8">
        <v>77</v>
      </c>
    </row>
    <row r="2358" spans="1:14" ht="25" customHeight="1">
      <c r="A2358" s="12">
        <v>54</v>
      </c>
      <c r="B2358" s="8">
        <v>2</v>
      </c>
      <c r="C2358" s="8" t="s">
        <v>706</v>
      </c>
      <c r="D2358" s="8" t="s">
        <v>206</v>
      </c>
      <c r="E2358" s="8" t="s">
        <v>574</v>
      </c>
      <c r="F2358" s="8">
        <v>1</v>
      </c>
      <c r="G2358" s="8">
        <v>0</v>
      </c>
      <c r="H2358" s="8">
        <v>0</v>
      </c>
      <c r="I2358" s="8">
        <v>-3</v>
      </c>
      <c r="J2358" s="11">
        <v>0.2</v>
      </c>
      <c r="K2358" s="8" t="s">
        <v>791</v>
      </c>
      <c r="L2358" s="8" t="s">
        <v>1941</v>
      </c>
      <c r="M2358" s="8">
        <v>78</v>
      </c>
    </row>
    <row r="2359" spans="1:14" ht="25" customHeight="1">
      <c r="A2359" s="12">
        <v>55</v>
      </c>
      <c r="B2359" s="8">
        <v>2</v>
      </c>
      <c r="C2359" s="8" t="s">
        <v>706</v>
      </c>
      <c r="D2359" s="8" t="s">
        <v>206</v>
      </c>
      <c r="E2359" s="8" t="s">
        <v>449</v>
      </c>
      <c r="F2359" s="8">
        <v>2</v>
      </c>
      <c r="G2359" s="8">
        <v>0</v>
      </c>
      <c r="H2359" s="8">
        <v>0</v>
      </c>
      <c r="I2359" s="11">
        <v>0.5</v>
      </c>
      <c r="J2359" s="11">
        <v>0.4</v>
      </c>
      <c r="K2359" s="8" t="s">
        <v>791</v>
      </c>
      <c r="L2359" s="8" t="s">
        <v>796</v>
      </c>
      <c r="M2359" s="8">
        <v>79</v>
      </c>
      <c r="N2359" s="8">
        <v>15</v>
      </c>
    </row>
    <row r="2360" spans="1:14" ht="25" customHeight="1">
      <c r="A2360" s="12">
        <v>56</v>
      </c>
      <c r="B2360" s="8">
        <v>2</v>
      </c>
      <c r="C2360" s="8" t="s">
        <v>711</v>
      </c>
      <c r="D2360" s="8" t="s">
        <v>203</v>
      </c>
      <c r="E2360" s="8" t="s">
        <v>428</v>
      </c>
      <c r="F2360" s="8">
        <v>1</v>
      </c>
      <c r="G2360" s="8">
        <v>0</v>
      </c>
      <c r="H2360" s="8">
        <v>0</v>
      </c>
      <c r="I2360" s="8">
        <v>2</v>
      </c>
      <c r="J2360" s="11">
        <v>0.25</v>
      </c>
      <c r="K2360" s="8" t="s">
        <v>791</v>
      </c>
      <c r="L2360" s="8" t="s">
        <v>1941</v>
      </c>
      <c r="M2360" s="8">
        <v>80</v>
      </c>
    </row>
    <row r="2361" spans="1:14" ht="25" customHeight="1">
      <c r="A2361" s="12">
        <v>57</v>
      </c>
      <c r="B2361" s="8">
        <v>2</v>
      </c>
      <c r="C2361" s="8" t="s">
        <v>716</v>
      </c>
      <c r="D2361" s="8" t="s">
        <v>203</v>
      </c>
      <c r="E2361" s="8" t="s">
        <v>611</v>
      </c>
      <c r="F2361" s="8">
        <v>1</v>
      </c>
      <c r="G2361" s="8">
        <v>1</v>
      </c>
      <c r="H2361" s="8">
        <v>0</v>
      </c>
      <c r="I2361" s="8">
        <v>8</v>
      </c>
      <c r="J2361" s="11">
        <v>0.07692307692307693</v>
      </c>
      <c r="K2361" s="8" t="s">
        <v>791</v>
      </c>
      <c r="L2361" s="8" t="s">
        <v>1941</v>
      </c>
      <c r="M2361" s="8">
        <v>81</v>
      </c>
    </row>
    <row r="2362" spans="1:14" ht="25" customHeight="1">
      <c r="A2362" s="12">
        <v>58</v>
      </c>
      <c r="B2362" s="8">
        <v>2</v>
      </c>
      <c r="C2362" s="8" t="s">
        <v>711</v>
      </c>
      <c r="D2362" s="8" t="s">
        <v>222</v>
      </c>
      <c r="E2362" s="8" t="s">
        <v>449</v>
      </c>
      <c r="F2362" s="8">
        <v>1</v>
      </c>
      <c r="G2362" s="8">
        <v>0</v>
      </c>
      <c r="H2362" s="8">
        <v>0</v>
      </c>
      <c r="I2362" s="8">
        <v>1</v>
      </c>
      <c r="J2362" s="8">
        <v>1</v>
      </c>
      <c r="K2362" s="8" t="s">
        <v>791</v>
      </c>
      <c r="L2362" s="8" t="s">
        <v>1941</v>
      </c>
      <c r="M2362" s="8">
        <v>82</v>
      </c>
    </row>
    <row r="2363" spans="1:14" ht="25" customHeight="1">
      <c r="A2363" s="12">
        <v>59</v>
      </c>
      <c r="B2363" s="8">
        <v>2</v>
      </c>
      <c r="C2363" s="8" t="s">
        <v>720</v>
      </c>
      <c r="D2363" s="8" t="s">
        <v>203</v>
      </c>
      <c r="E2363" s="8" t="s">
        <v>443</v>
      </c>
      <c r="F2363" s="8">
        <v>1</v>
      </c>
      <c r="G2363" s="8">
        <v>1</v>
      </c>
      <c r="H2363" s="8">
        <v>1</v>
      </c>
      <c r="I2363" s="8">
        <v>21</v>
      </c>
      <c r="J2363" s="11">
        <v>0.1666666666666667</v>
      </c>
      <c r="K2363" s="8" t="s">
        <v>791</v>
      </c>
      <c r="L2363" s="8" t="s">
        <v>1941</v>
      </c>
      <c r="M2363" s="8">
        <v>85</v>
      </c>
    </row>
    <row r="2364" spans="1:14" ht="25" customHeight="1">
      <c r="A2364" s="12">
        <v>60</v>
      </c>
      <c r="B2364" s="8">
        <v>2</v>
      </c>
      <c r="C2364" s="8" t="s">
        <v>711</v>
      </c>
      <c r="D2364" s="8" t="s">
        <v>206</v>
      </c>
      <c r="E2364" s="8" t="s">
        <v>428</v>
      </c>
      <c r="F2364" s="8">
        <v>1</v>
      </c>
      <c r="G2364" s="8">
        <v>1</v>
      </c>
      <c r="H2364" s="8">
        <v>0</v>
      </c>
      <c r="I2364" s="8">
        <v>9</v>
      </c>
      <c r="J2364" s="11">
        <v>0.3333333333333333</v>
      </c>
      <c r="K2364" s="8" t="s">
        <v>791</v>
      </c>
      <c r="L2364" s="8" t="s">
        <v>1941</v>
      </c>
      <c r="M2364" s="8">
        <v>88</v>
      </c>
    </row>
    <row r="2365" spans="1:14" ht="25" customHeight="1">
      <c r="A2365" s="12">
        <v>61</v>
      </c>
      <c r="B2365" s="8">
        <v>2</v>
      </c>
      <c r="C2365" s="8" t="s">
        <v>716</v>
      </c>
      <c r="D2365" s="8" t="s">
        <v>203</v>
      </c>
      <c r="E2365" s="8" t="s">
        <v>428</v>
      </c>
      <c r="F2365" s="8">
        <v>1</v>
      </c>
      <c r="G2365" s="8">
        <v>1</v>
      </c>
      <c r="H2365" s="8">
        <v>0</v>
      </c>
      <c r="I2365" s="8">
        <v>6</v>
      </c>
      <c r="J2365" s="11">
        <v>0.07692307692307693</v>
      </c>
      <c r="K2365" s="8" t="s">
        <v>791</v>
      </c>
      <c r="L2365" s="8" t="s">
        <v>1941</v>
      </c>
      <c r="M2365" s="8">
        <v>89</v>
      </c>
    </row>
    <row r="2366" spans="1:14" ht="25" customHeight="1">
      <c r="A2366" s="12">
        <v>62</v>
      </c>
      <c r="B2366" s="8">
        <v>2</v>
      </c>
      <c r="C2366" s="8" t="s">
        <v>706</v>
      </c>
      <c r="D2366" s="8" t="s">
        <v>206</v>
      </c>
      <c r="E2366" s="8" t="s">
        <v>428</v>
      </c>
      <c r="F2366" s="8">
        <v>2</v>
      </c>
      <c r="G2366" s="11">
        <v>0.5</v>
      </c>
      <c r="H2366" s="8">
        <v>0</v>
      </c>
      <c r="I2366" s="11">
        <v>1.5</v>
      </c>
      <c r="J2366" s="11">
        <v>0.4</v>
      </c>
      <c r="K2366" s="8" t="s">
        <v>791</v>
      </c>
      <c r="L2366" s="8" t="s">
        <v>796</v>
      </c>
      <c r="M2366" s="8">
        <v>91</v>
      </c>
      <c r="N2366" s="8">
        <v>16</v>
      </c>
    </row>
    <row r="2367" spans="1:14" ht="25" customHeight="1">
      <c r="A2367" s="12">
        <v>63</v>
      </c>
      <c r="B2367" s="8">
        <v>2</v>
      </c>
      <c r="C2367" s="8" t="s">
        <v>716</v>
      </c>
      <c r="D2367" s="8" t="s">
        <v>203</v>
      </c>
      <c r="E2367" s="8" t="s">
        <v>465</v>
      </c>
      <c r="F2367" s="8">
        <v>3</v>
      </c>
      <c r="G2367" s="11">
        <v>0.3333333333333333</v>
      </c>
      <c r="H2367" s="8">
        <v>0</v>
      </c>
      <c r="I2367" s="11">
        <v>4.333333333333333</v>
      </c>
      <c r="J2367" s="11">
        <v>0.2307692307692308</v>
      </c>
      <c r="K2367" s="8" t="s">
        <v>801</v>
      </c>
      <c r="L2367" s="8" t="s">
        <v>792</v>
      </c>
      <c r="M2367" s="8">
        <v>92</v>
      </c>
      <c r="N2367" s="8">
        <v>17</v>
      </c>
    </row>
    <row r="2368" spans="1:14" ht="25" customHeight="1">
      <c r="A2368" s="12">
        <v>64</v>
      </c>
      <c r="B2368" s="8">
        <v>2</v>
      </c>
      <c r="C2368" s="8" t="s">
        <v>716</v>
      </c>
      <c r="D2368" s="8" t="s">
        <v>206</v>
      </c>
      <c r="E2368" s="8" t="s">
        <v>428</v>
      </c>
      <c r="F2368" s="8">
        <v>4</v>
      </c>
      <c r="G2368" s="11">
        <v>0.25</v>
      </c>
      <c r="H2368" s="8">
        <v>0</v>
      </c>
      <c r="I2368" s="11">
        <v>0.5</v>
      </c>
      <c r="J2368" s="11">
        <v>0.4444444444444444</v>
      </c>
      <c r="K2368" s="8" t="s">
        <v>795</v>
      </c>
      <c r="L2368" s="8" t="s">
        <v>796</v>
      </c>
      <c r="M2368" s="8">
        <v>93</v>
      </c>
      <c r="N2368" s="8">
        <v>18</v>
      </c>
    </row>
    <row r="2369" spans="1:14" ht="25" customHeight="1">
      <c r="A2369" s="12">
        <v>65</v>
      </c>
      <c r="B2369" s="8">
        <v>2</v>
      </c>
      <c r="C2369" s="8" t="s">
        <v>716</v>
      </c>
      <c r="D2369" s="8" t="s">
        <v>203</v>
      </c>
      <c r="E2369" s="8" t="s">
        <v>452</v>
      </c>
      <c r="F2369" s="8">
        <v>1</v>
      </c>
      <c r="G2369" s="8">
        <v>0</v>
      </c>
      <c r="H2369" s="8">
        <v>0</v>
      </c>
      <c r="I2369" s="8">
        <v>1</v>
      </c>
      <c r="J2369" s="11">
        <v>0.07692307692307693</v>
      </c>
      <c r="K2369" s="8" t="s">
        <v>791</v>
      </c>
      <c r="L2369" s="8" t="s">
        <v>1941</v>
      </c>
      <c r="M2369" s="8">
        <v>94</v>
      </c>
    </row>
    <row r="2370" spans="1:14" ht="25" customHeight="1">
      <c r="A2370" s="12">
        <v>66</v>
      </c>
      <c r="B2370" s="8">
        <v>2</v>
      </c>
      <c r="C2370" s="8" t="s">
        <v>711</v>
      </c>
      <c r="D2370" s="8" t="s">
        <v>206</v>
      </c>
      <c r="E2370" s="8" t="s">
        <v>452</v>
      </c>
      <c r="F2370" s="8">
        <v>1</v>
      </c>
      <c r="G2370" s="8">
        <v>1</v>
      </c>
      <c r="H2370" s="8">
        <v>1</v>
      </c>
      <c r="I2370" s="8">
        <v>37</v>
      </c>
      <c r="J2370" s="11">
        <v>0.3333333333333333</v>
      </c>
      <c r="K2370" s="8" t="s">
        <v>791</v>
      </c>
      <c r="L2370" s="8" t="s">
        <v>1941</v>
      </c>
      <c r="M2370" s="8">
        <v>96</v>
      </c>
    </row>
    <row r="2371" spans="1:14" ht="25" customHeight="1">
      <c r="A2371" s="12">
        <v>67</v>
      </c>
      <c r="B2371" s="8">
        <v>2</v>
      </c>
      <c r="C2371" s="8" t="s">
        <v>716</v>
      </c>
      <c r="D2371" s="8" t="s">
        <v>206</v>
      </c>
      <c r="E2371" s="8" t="s">
        <v>957</v>
      </c>
      <c r="F2371" s="8">
        <v>1</v>
      </c>
      <c r="G2371" s="8">
        <v>0</v>
      </c>
      <c r="H2371" s="8">
        <v>0</v>
      </c>
      <c r="I2371" s="8">
        <v>1</v>
      </c>
      <c r="J2371" s="11">
        <v>0.1111111111111111</v>
      </c>
      <c r="K2371" s="8" t="s">
        <v>791</v>
      </c>
      <c r="L2371" s="8" t="s">
        <v>1941</v>
      </c>
      <c r="M2371" s="8">
        <v>97</v>
      </c>
    </row>
    <row r="2372" spans="1:14" ht="25" customHeight="1">
      <c r="A2372" s="12">
        <v>68</v>
      </c>
      <c r="B2372" s="8">
        <v>2</v>
      </c>
      <c r="C2372" s="8" t="s">
        <v>716</v>
      </c>
      <c r="D2372" s="8" t="s">
        <v>203</v>
      </c>
      <c r="E2372" s="8" t="s">
        <v>574</v>
      </c>
      <c r="F2372" s="8">
        <v>1</v>
      </c>
      <c r="G2372" s="8">
        <v>1</v>
      </c>
      <c r="H2372" s="8">
        <v>0</v>
      </c>
      <c r="I2372" s="8">
        <v>4</v>
      </c>
      <c r="J2372" s="11">
        <v>0.07692307692307693</v>
      </c>
      <c r="K2372" s="8" t="s">
        <v>791</v>
      </c>
      <c r="L2372" s="8" t="s">
        <v>1941</v>
      </c>
      <c r="M2372" s="8">
        <v>99</v>
      </c>
    </row>
    <row r="2373" spans="1:14" ht="25" customHeight="1">
      <c r="A2373" s="12">
        <v>69</v>
      </c>
      <c r="B2373" s="8">
        <v>2</v>
      </c>
      <c r="C2373" s="8" t="s">
        <v>716</v>
      </c>
      <c r="D2373" s="8" t="s">
        <v>203</v>
      </c>
      <c r="E2373" s="8" t="s">
        <v>468</v>
      </c>
      <c r="F2373" s="8">
        <v>1</v>
      </c>
      <c r="G2373" s="8">
        <v>0</v>
      </c>
      <c r="H2373" s="8">
        <v>0</v>
      </c>
      <c r="I2373" s="8">
        <v>0</v>
      </c>
      <c r="J2373" s="11">
        <v>0.07692307692307693</v>
      </c>
      <c r="K2373" s="8" t="s">
        <v>791</v>
      </c>
      <c r="L2373" s="8" t="s">
        <v>1941</v>
      </c>
      <c r="M2373" s="8">
        <v>101</v>
      </c>
    </row>
    <row r="2374" spans="1:14" ht="25" customHeight="1">
      <c r="A2374" s="12">
        <v>70</v>
      </c>
      <c r="B2374" s="8">
        <v>2</v>
      </c>
      <c r="C2374" s="8" t="s">
        <v>711</v>
      </c>
      <c r="D2374" s="8" t="s">
        <v>203</v>
      </c>
      <c r="E2374" s="8" t="s">
        <v>800</v>
      </c>
      <c r="F2374" s="8">
        <v>1</v>
      </c>
      <c r="G2374" s="8">
        <v>0</v>
      </c>
      <c r="H2374" s="8">
        <v>0</v>
      </c>
      <c r="I2374" s="8">
        <v>2</v>
      </c>
      <c r="J2374" s="11">
        <v>0.25</v>
      </c>
      <c r="K2374" s="8" t="s">
        <v>791</v>
      </c>
      <c r="L2374" s="8" t="s">
        <v>1941</v>
      </c>
      <c r="M2374" s="8">
        <v>102</v>
      </c>
    </row>
    <row r="2375" spans="1:14" ht="25" customHeight="1">
      <c r="A2375" s="12">
        <v>71</v>
      </c>
      <c r="B2375" s="8">
        <v>2</v>
      </c>
      <c r="C2375" s="8" t="s">
        <v>706</v>
      </c>
      <c r="D2375" s="8" t="s">
        <v>222</v>
      </c>
      <c r="E2375" s="8" t="s">
        <v>449</v>
      </c>
      <c r="F2375" s="8">
        <v>1</v>
      </c>
      <c r="G2375" s="8">
        <v>0</v>
      </c>
      <c r="H2375" s="8">
        <v>0</v>
      </c>
      <c r="I2375" s="8">
        <v>0</v>
      </c>
      <c r="J2375" s="8">
        <v>1</v>
      </c>
      <c r="K2375" s="8" t="s">
        <v>791</v>
      </c>
      <c r="L2375" s="8" t="s">
        <v>1941</v>
      </c>
      <c r="M2375" s="8">
        <v>103</v>
      </c>
    </row>
    <row r="2376" spans="1:14" ht="25" customHeight="1">
      <c r="A2376" s="12">
        <v>72</v>
      </c>
      <c r="B2376" s="8">
        <v>2</v>
      </c>
      <c r="C2376" s="8" t="s">
        <v>711</v>
      </c>
      <c r="D2376" s="8" t="s">
        <v>206</v>
      </c>
      <c r="E2376" s="8" t="s">
        <v>465</v>
      </c>
      <c r="F2376" s="8">
        <v>1</v>
      </c>
      <c r="G2376" s="8">
        <v>0</v>
      </c>
      <c r="H2376" s="8">
        <v>0</v>
      </c>
      <c r="I2376" s="8">
        <v>0</v>
      </c>
      <c r="J2376" s="11">
        <v>0.3333333333333333</v>
      </c>
      <c r="K2376" s="8" t="s">
        <v>791</v>
      </c>
      <c r="L2376" s="8" t="s">
        <v>1941</v>
      </c>
      <c r="M2376" s="8">
        <v>104</v>
      </c>
    </row>
    <row r="2377" spans="1:14" ht="25" customHeight="1">
      <c r="A2377" s="12">
        <v>73</v>
      </c>
      <c r="B2377" s="8">
        <v>2</v>
      </c>
      <c r="C2377" s="8" t="s">
        <v>716</v>
      </c>
      <c r="D2377" s="8" t="s">
        <v>206</v>
      </c>
      <c r="E2377" s="8" t="s">
        <v>471</v>
      </c>
      <c r="F2377" s="8">
        <v>1</v>
      </c>
      <c r="G2377" s="8">
        <v>0</v>
      </c>
      <c r="H2377" s="8">
        <v>0</v>
      </c>
      <c r="I2377" s="8">
        <v>0</v>
      </c>
      <c r="J2377" s="11">
        <v>0.1111111111111111</v>
      </c>
      <c r="K2377" s="8" t="s">
        <v>791</v>
      </c>
      <c r="L2377" s="8" t="s">
        <v>1941</v>
      </c>
      <c r="M2377" s="8">
        <v>105</v>
      </c>
    </row>
    <row r="2378" spans="1:14" ht="25" customHeight="1">
      <c r="A2378" s="12">
        <v>74</v>
      </c>
      <c r="B2378" s="8">
        <v>2</v>
      </c>
      <c r="C2378" s="8" t="s">
        <v>716</v>
      </c>
      <c r="D2378" s="8" t="s">
        <v>203</v>
      </c>
      <c r="E2378" s="8" t="s">
        <v>474</v>
      </c>
      <c r="F2378" s="8">
        <v>1</v>
      </c>
      <c r="G2378" s="8">
        <v>0</v>
      </c>
      <c r="H2378" s="8">
        <v>0</v>
      </c>
      <c r="I2378" s="8">
        <v>2</v>
      </c>
      <c r="J2378" s="11">
        <v>0.07692307692307693</v>
      </c>
      <c r="K2378" s="8" t="s">
        <v>791</v>
      </c>
      <c r="L2378" s="8" t="s">
        <v>1941</v>
      </c>
      <c r="M2378" s="8">
        <v>106</v>
      </c>
    </row>
    <row r="2379" spans="1:14" ht="25" customHeight="1">
      <c r="A2379" s="12">
        <v>75</v>
      </c>
      <c r="B2379" s="8">
        <v>2</v>
      </c>
      <c r="C2379" s="8" t="s">
        <v>716</v>
      </c>
      <c r="D2379" s="8" t="s">
        <v>206</v>
      </c>
      <c r="E2379" s="8" t="s">
        <v>465</v>
      </c>
      <c r="F2379" s="8">
        <v>1</v>
      </c>
      <c r="G2379" s="8">
        <v>0</v>
      </c>
      <c r="H2379" s="8">
        <v>0</v>
      </c>
      <c r="I2379" s="8">
        <v>-2</v>
      </c>
      <c r="J2379" s="11">
        <v>0.1111111111111111</v>
      </c>
      <c r="K2379" s="8" t="s">
        <v>791</v>
      </c>
      <c r="L2379" s="8" t="s">
        <v>1941</v>
      </c>
      <c r="M2379" s="8">
        <v>108</v>
      </c>
    </row>
    <row r="2380" spans="1:14" ht="25" customHeight="1">
      <c r="A2380" s="12">
        <v>76</v>
      </c>
      <c r="B2380" s="8">
        <v>2</v>
      </c>
      <c r="C2380" s="8" t="s">
        <v>720</v>
      </c>
      <c r="D2380" s="8" t="s">
        <v>222</v>
      </c>
      <c r="E2380" s="8" t="s">
        <v>474</v>
      </c>
      <c r="F2380" s="8">
        <v>1</v>
      </c>
      <c r="G2380" s="8">
        <v>0</v>
      </c>
      <c r="H2380" s="8">
        <v>0</v>
      </c>
      <c r="I2380" s="8">
        <v>0</v>
      </c>
      <c r="J2380" s="8">
        <v>1</v>
      </c>
      <c r="K2380" s="8" t="s">
        <v>791</v>
      </c>
      <c r="L2380" s="8" t="s">
        <v>1941</v>
      </c>
      <c r="M2380" s="8">
        <v>110</v>
      </c>
    </row>
    <row r="2381" spans="1:14" ht="25" customHeight="1">
      <c r="A2381" s="12">
        <v>77</v>
      </c>
      <c r="B2381" s="8">
        <v>2</v>
      </c>
      <c r="C2381" s="8" t="s">
        <v>720</v>
      </c>
      <c r="D2381" s="8" t="s">
        <v>206</v>
      </c>
      <c r="E2381" s="8" t="s">
        <v>428</v>
      </c>
      <c r="F2381" s="8">
        <v>1</v>
      </c>
      <c r="G2381" s="8">
        <v>0</v>
      </c>
      <c r="H2381" s="8">
        <v>0</v>
      </c>
      <c r="I2381" s="8">
        <v>2</v>
      </c>
      <c r="J2381" s="11">
        <v>0.5</v>
      </c>
      <c r="K2381" s="8" t="s">
        <v>791</v>
      </c>
      <c r="L2381" s="8" t="s">
        <v>1941</v>
      </c>
      <c r="M2381" s="8">
        <v>112</v>
      </c>
    </row>
    <row r="2382" spans="1:14" ht="25" customHeight="1">
      <c r="A2382" s="12">
        <v>78</v>
      </c>
      <c r="B2382" s="8">
        <v>2</v>
      </c>
      <c r="C2382" s="8" t="s">
        <v>720</v>
      </c>
      <c r="D2382" s="8" t="s">
        <v>203</v>
      </c>
      <c r="E2382" s="8" t="s">
        <v>878</v>
      </c>
      <c r="F2382" s="8">
        <v>1</v>
      </c>
      <c r="G2382" s="8">
        <v>1</v>
      </c>
      <c r="H2382" s="8">
        <v>0</v>
      </c>
      <c r="I2382" s="8">
        <v>10</v>
      </c>
      <c r="J2382" s="11">
        <v>0.1666666666666667</v>
      </c>
      <c r="K2382" s="8" t="s">
        <v>791</v>
      </c>
      <c r="L2382" s="8" t="s">
        <v>1941</v>
      </c>
      <c r="M2382" s="8">
        <v>114</v>
      </c>
    </row>
    <row r="2383" spans="1:14" ht="25" customHeight="1">
      <c r="A2383" s="12">
        <v>79</v>
      </c>
      <c r="B2383" s="8">
        <v>2</v>
      </c>
      <c r="C2383" s="8" t="s">
        <v>720</v>
      </c>
      <c r="D2383" s="8" t="s">
        <v>206</v>
      </c>
      <c r="E2383" s="8" t="s">
        <v>465</v>
      </c>
      <c r="F2383" s="8">
        <v>1</v>
      </c>
      <c r="G2383" s="8">
        <v>0</v>
      </c>
      <c r="H2383" s="8">
        <v>0</v>
      </c>
      <c r="I2383" s="8">
        <v>-4</v>
      </c>
      <c r="J2383" s="11">
        <v>0.5</v>
      </c>
      <c r="K2383" s="8" t="s">
        <v>791</v>
      </c>
      <c r="L2383" s="8" t="s">
        <v>1941</v>
      </c>
      <c r="M2383" s="8">
        <v>116</v>
      </c>
    </row>
    <row r="2384" spans="1:14" ht="25" customHeight="1">
      <c r="A2384" s="12">
        <v>80</v>
      </c>
      <c r="B2384" s="8">
        <v>2</v>
      </c>
      <c r="C2384" s="8" t="s">
        <v>720</v>
      </c>
      <c r="D2384" s="8" t="s">
        <v>203</v>
      </c>
      <c r="E2384" s="8" t="s">
        <v>428</v>
      </c>
      <c r="F2384" s="8">
        <v>3</v>
      </c>
      <c r="G2384" s="11">
        <v>0.6666666666666666</v>
      </c>
      <c r="H2384" s="8">
        <v>0</v>
      </c>
      <c r="I2384" s="11">
        <v>1.666666666666667</v>
      </c>
      <c r="J2384" s="11">
        <v>0.5</v>
      </c>
      <c r="K2384" s="8" t="s">
        <v>801</v>
      </c>
      <c r="L2384" s="8" t="s">
        <v>804</v>
      </c>
      <c r="M2384" s="8">
        <v>119</v>
      </c>
      <c r="N2384" s="8">
        <v>19</v>
      </c>
    </row>
    <row r="2385" spans="1:14" ht="25" customHeight="1">
      <c r="A2385" s="12">
        <v>81</v>
      </c>
      <c r="B2385" s="8">
        <v>2</v>
      </c>
      <c r="C2385" s="8" t="s">
        <v>716</v>
      </c>
      <c r="D2385" s="8" t="s">
        <v>811</v>
      </c>
      <c r="E2385" s="8" t="s">
        <v>428</v>
      </c>
      <c r="F2385" s="8">
        <v>1</v>
      </c>
      <c r="G2385" s="8">
        <v>1</v>
      </c>
      <c r="H2385" s="8">
        <v>0</v>
      </c>
      <c r="I2385" s="8">
        <v>7</v>
      </c>
      <c r="J2385" s="8">
        <v>1</v>
      </c>
      <c r="K2385" s="8" t="s">
        <v>791</v>
      </c>
      <c r="L2385" s="8" t="s">
        <v>1941</v>
      </c>
      <c r="M2385" s="8">
        <v>122</v>
      </c>
    </row>
    <row r="2386" spans="1:14" ht="25" customHeight="1">
      <c r="A2386" s="12">
        <v>82</v>
      </c>
      <c r="B2386" s="8">
        <v>2</v>
      </c>
      <c r="C2386" s="8" t="s">
        <v>720</v>
      </c>
      <c r="D2386" s="8" t="s">
        <v>811</v>
      </c>
      <c r="E2386" s="8" t="s">
        <v>541</v>
      </c>
      <c r="F2386" s="8">
        <v>1</v>
      </c>
      <c r="G2386" s="8">
        <v>0</v>
      </c>
      <c r="H2386" s="8">
        <v>0</v>
      </c>
      <c r="I2386" s="8">
        <v>1</v>
      </c>
      <c r="J2386" s="8">
        <v>1</v>
      </c>
      <c r="K2386" s="8" t="s">
        <v>791</v>
      </c>
      <c r="L2386" s="8" t="s">
        <v>1941</v>
      </c>
      <c r="M2386" s="8">
        <v>125</v>
      </c>
    </row>
    <row r="2387" spans="1:14" ht="25" customHeight="1">
      <c r="A2387" s="12">
        <v>83</v>
      </c>
      <c r="B2387" s="8">
        <v>2</v>
      </c>
      <c r="C2387" s="8" t="s">
        <v>711</v>
      </c>
      <c r="D2387" s="8" t="s">
        <v>235</v>
      </c>
      <c r="E2387" s="8" t="s">
        <v>428</v>
      </c>
      <c r="F2387" s="8">
        <v>1</v>
      </c>
      <c r="G2387" s="8">
        <v>1</v>
      </c>
      <c r="H2387" s="8">
        <v>0</v>
      </c>
      <c r="I2387" s="8">
        <v>3</v>
      </c>
      <c r="J2387" s="8">
        <v>1</v>
      </c>
      <c r="K2387" s="8" t="s">
        <v>791</v>
      </c>
      <c r="L2387" s="8" t="s">
        <v>1941</v>
      </c>
      <c r="M2387" s="8">
        <v>126</v>
      </c>
    </row>
    <row r="2388" spans="1:14" ht="25" customHeight="1">
      <c r="A2388" s="12">
        <v>84</v>
      </c>
      <c r="B2388" s="8">
        <v>2</v>
      </c>
      <c r="C2388" s="8" t="s">
        <v>720</v>
      </c>
      <c r="D2388" s="8" t="s">
        <v>235</v>
      </c>
      <c r="E2388" s="8" t="s">
        <v>428</v>
      </c>
      <c r="F2388" s="8">
        <v>1</v>
      </c>
      <c r="G2388" s="8">
        <v>1</v>
      </c>
      <c r="H2388" s="8">
        <v>1</v>
      </c>
      <c r="I2388" s="8">
        <v>14</v>
      </c>
      <c r="J2388" s="8">
        <v>1</v>
      </c>
      <c r="K2388" s="8" t="s">
        <v>791</v>
      </c>
      <c r="L2388" s="8" t="s">
        <v>1941</v>
      </c>
      <c r="M2388" s="8">
        <v>128</v>
      </c>
    </row>
    <row r="2389" spans="1:14" ht="25" customHeight="1">
      <c r="A2389" s="12">
        <v>85</v>
      </c>
      <c r="B2389" s="8">
        <v>3</v>
      </c>
      <c r="C2389" s="8" t="s">
        <v>716</v>
      </c>
      <c r="D2389" s="8" t="s">
        <v>206</v>
      </c>
      <c r="E2389" s="8" t="s">
        <v>446</v>
      </c>
      <c r="F2389" s="8">
        <v>1</v>
      </c>
      <c r="G2389" s="8">
        <v>0</v>
      </c>
      <c r="H2389" s="8">
        <v>0</v>
      </c>
      <c r="I2389" s="8">
        <v>0</v>
      </c>
      <c r="J2389" s="11">
        <v>0.1111111111111111</v>
      </c>
      <c r="K2389" s="8" t="s">
        <v>791</v>
      </c>
      <c r="L2389" s="8" t="s">
        <v>1941</v>
      </c>
      <c r="M2389" s="8">
        <v>130</v>
      </c>
    </row>
    <row r="2390" spans="1:14" ht="25" customHeight="1">
      <c r="A2390" s="12">
        <v>86</v>
      </c>
      <c r="B2390" s="8">
        <v>3</v>
      </c>
      <c r="C2390" s="8" t="s">
        <v>716</v>
      </c>
      <c r="D2390" s="8" t="s">
        <v>206</v>
      </c>
      <c r="E2390" s="8" t="s">
        <v>474</v>
      </c>
      <c r="F2390" s="8">
        <v>1</v>
      </c>
      <c r="G2390" s="8">
        <v>1</v>
      </c>
      <c r="H2390" s="8">
        <v>1</v>
      </c>
      <c r="I2390" s="8">
        <v>14</v>
      </c>
      <c r="J2390" s="11">
        <v>0.1111111111111111</v>
      </c>
      <c r="K2390" s="8" t="s">
        <v>791</v>
      </c>
      <c r="L2390" s="8" t="s">
        <v>1941</v>
      </c>
      <c r="M2390" s="8">
        <v>131</v>
      </c>
    </row>
    <row r="2391" spans="1:14" ht="25" customHeight="1">
      <c r="A2391" s="12">
        <v>87</v>
      </c>
      <c r="B2391" s="8">
        <v>3</v>
      </c>
      <c r="C2391" s="8" t="s">
        <v>716</v>
      </c>
      <c r="D2391" s="8" t="s">
        <v>203</v>
      </c>
      <c r="E2391" s="8" t="s">
        <v>449</v>
      </c>
      <c r="F2391" s="8">
        <v>4</v>
      </c>
      <c r="G2391" s="8">
        <v>0</v>
      </c>
      <c r="H2391" s="8">
        <v>0</v>
      </c>
      <c r="I2391" s="11">
        <v>7.25</v>
      </c>
      <c r="J2391" s="8">
        <v>1</v>
      </c>
      <c r="K2391" s="8" t="s">
        <v>795</v>
      </c>
      <c r="L2391" s="8" t="s">
        <v>804</v>
      </c>
      <c r="M2391" s="8">
        <v>132</v>
      </c>
      <c r="N2391" s="8">
        <v>20</v>
      </c>
    </row>
    <row r="2392" spans="1:14" ht="25" customHeight="1">
      <c r="A2392" s="12">
        <v>88</v>
      </c>
      <c r="B2392" s="8">
        <v>3</v>
      </c>
      <c r="C2392" s="8" t="s">
        <v>706</v>
      </c>
      <c r="D2392" s="8" t="s">
        <v>206</v>
      </c>
      <c r="E2392" s="8" t="s">
        <v>465</v>
      </c>
      <c r="F2392" s="8">
        <v>1</v>
      </c>
      <c r="G2392" s="8">
        <v>0</v>
      </c>
      <c r="H2392" s="8">
        <v>0</v>
      </c>
      <c r="I2392" s="8">
        <v>-2</v>
      </c>
      <c r="J2392" s="11">
        <v>0.3333333333333333</v>
      </c>
      <c r="K2392" s="8" t="s">
        <v>791</v>
      </c>
      <c r="L2392" s="8" t="s">
        <v>1941</v>
      </c>
      <c r="M2392" s="8">
        <v>133</v>
      </c>
    </row>
    <row r="2393" spans="1:14" ht="25" customHeight="1">
      <c r="A2393" s="12">
        <v>89</v>
      </c>
      <c r="B2393" s="8">
        <v>3</v>
      </c>
      <c r="C2393" s="8" t="s">
        <v>720</v>
      </c>
      <c r="D2393" s="8" t="s">
        <v>206</v>
      </c>
      <c r="E2393" s="8" t="s">
        <v>474</v>
      </c>
      <c r="F2393" s="8">
        <v>1</v>
      </c>
      <c r="G2393" s="8">
        <v>0</v>
      </c>
      <c r="H2393" s="8">
        <v>0</v>
      </c>
      <c r="I2393" s="8">
        <v>-6</v>
      </c>
      <c r="J2393" s="11">
        <v>0.2</v>
      </c>
      <c r="K2393" s="8" t="s">
        <v>791</v>
      </c>
      <c r="L2393" s="8" t="s">
        <v>1941</v>
      </c>
      <c r="M2393" s="8">
        <v>134</v>
      </c>
    </row>
    <row r="2394" spans="1:14" ht="25" customHeight="1">
      <c r="A2394" s="12">
        <v>90</v>
      </c>
      <c r="B2394" s="8">
        <v>3</v>
      </c>
      <c r="C2394" s="8" t="s">
        <v>711</v>
      </c>
      <c r="D2394" s="8" t="s">
        <v>235</v>
      </c>
      <c r="E2394" s="8" t="s">
        <v>878</v>
      </c>
      <c r="F2394" s="8">
        <v>1</v>
      </c>
      <c r="G2394" s="8">
        <v>0</v>
      </c>
      <c r="H2394" s="8">
        <v>0</v>
      </c>
      <c r="I2394" s="8">
        <v>0</v>
      </c>
      <c r="J2394" s="8">
        <v>1</v>
      </c>
      <c r="K2394" s="8" t="s">
        <v>791</v>
      </c>
      <c r="L2394" s="8" t="s">
        <v>1941</v>
      </c>
      <c r="M2394" s="8">
        <v>135</v>
      </c>
    </row>
    <row r="2395" spans="1:14" ht="25" customHeight="1">
      <c r="A2395" s="12">
        <v>91</v>
      </c>
      <c r="B2395" s="8">
        <v>3</v>
      </c>
      <c r="C2395" s="8" t="s">
        <v>706</v>
      </c>
      <c r="D2395" s="8" t="s">
        <v>206</v>
      </c>
      <c r="E2395" s="8" t="s">
        <v>446</v>
      </c>
      <c r="F2395" s="8">
        <v>2</v>
      </c>
      <c r="G2395" s="8">
        <v>0</v>
      </c>
      <c r="H2395" s="8">
        <v>0</v>
      </c>
      <c r="I2395" s="11">
        <v>0.5</v>
      </c>
      <c r="J2395" s="11">
        <v>0.6666666666666666</v>
      </c>
      <c r="K2395" s="8" t="s">
        <v>791</v>
      </c>
      <c r="L2395" s="8" t="s">
        <v>796</v>
      </c>
      <c r="M2395" s="8">
        <v>136</v>
      </c>
      <c r="N2395" s="8">
        <v>21</v>
      </c>
    </row>
    <row r="2396" spans="1:14" ht="25" customHeight="1">
      <c r="A2396" s="12">
        <v>92</v>
      </c>
      <c r="B2396" s="8">
        <v>3</v>
      </c>
      <c r="C2396" s="8" t="s">
        <v>711</v>
      </c>
      <c r="D2396" s="8" t="s">
        <v>206</v>
      </c>
      <c r="E2396" s="8" t="s">
        <v>449</v>
      </c>
      <c r="F2396" s="8">
        <v>4</v>
      </c>
      <c r="G2396" s="8">
        <v>0</v>
      </c>
      <c r="H2396" s="8">
        <v>0</v>
      </c>
      <c r="I2396" s="11">
        <v>3.25</v>
      </c>
      <c r="J2396" s="11">
        <v>0.4444444444444444</v>
      </c>
      <c r="K2396" s="8" t="s">
        <v>795</v>
      </c>
      <c r="L2396" s="8" t="s">
        <v>796</v>
      </c>
      <c r="M2396" s="8">
        <v>137</v>
      </c>
      <c r="N2396" s="8">
        <v>22</v>
      </c>
    </row>
    <row r="2397" spans="1:14" ht="25" customHeight="1">
      <c r="A2397" s="12">
        <v>93</v>
      </c>
      <c r="B2397" s="8">
        <v>3</v>
      </c>
      <c r="C2397" s="8" t="s">
        <v>716</v>
      </c>
      <c r="D2397" s="8" t="s">
        <v>206</v>
      </c>
      <c r="E2397" s="8" t="s">
        <v>449</v>
      </c>
      <c r="F2397" s="8">
        <v>4</v>
      </c>
      <c r="G2397" s="8">
        <v>0</v>
      </c>
      <c r="H2397" s="8">
        <v>0</v>
      </c>
      <c r="I2397" s="11">
        <v>-1.5</v>
      </c>
      <c r="J2397" s="11">
        <v>0.4444444444444444</v>
      </c>
      <c r="K2397" s="8" t="s">
        <v>795</v>
      </c>
      <c r="L2397" s="8" t="s">
        <v>796</v>
      </c>
      <c r="M2397" s="8">
        <v>138</v>
      </c>
      <c r="N2397" s="8">
        <v>23</v>
      </c>
    </row>
    <row r="2398" spans="1:14" ht="25" customHeight="1">
      <c r="A2398" s="12">
        <v>94</v>
      </c>
      <c r="B2398" s="8">
        <v>3</v>
      </c>
      <c r="C2398" s="8" t="s">
        <v>711</v>
      </c>
      <c r="D2398" s="8" t="s">
        <v>203</v>
      </c>
      <c r="E2398" s="8" t="s">
        <v>449</v>
      </c>
      <c r="F2398" s="8">
        <v>1</v>
      </c>
      <c r="G2398" s="8">
        <v>0</v>
      </c>
      <c r="H2398" s="8">
        <v>0</v>
      </c>
      <c r="I2398" s="8">
        <v>5</v>
      </c>
      <c r="J2398" s="8">
        <v>1</v>
      </c>
      <c r="K2398" s="8" t="s">
        <v>791</v>
      </c>
      <c r="L2398" s="8" t="s">
        <v>1941</v>
      </c>
      <c r="M2398" s="8">
        <v>141</v>
      </c>
    </row>
    <row r="2399" spans="1:14" ht="25" customHeight="1">
      <c r="A2399" s="12">
        <v>95</v>
      </c>
      <c r="B2399" s="8">
        <v>3</v>
      </c>
      <c r="C2399" s="8" t="s">
        <v>711</v>
      </c>
      <c r="D2399" s="8" t="s">
        <v>206</v>
      </c>
      <c r="E2399" s="8" t="s">
        <v>605</v>
      </c>
      <c r="F2399" s="8">
        <v>2</v>
      </c>
      <c r="G2399" s="8">
        <v>0</v>
      </c>
      <c r="H2399" s="8">
        <v>0</v>
      </c>
      <c r="I2399" s="8">
        <v>9</v>
      </c>
      <c r="J2399" s="11">
        <v>0.2222222222222222</v>
      </c>
      <c r="K2399" s="8" t="s">
        <v>791</v>
      </c>
      <c r="L2399" s="8" t="s">
        <v>792</v>
      </c>
      <c r="M2399" s="8">
        <v>142</v>
      </c>
      <c r="N2399" s="8">
        <v>24</v>
      </c>
    </row>
    <row r="2400" spans="1:14" ht="25" customHeight="1">
      <c r="A2400" s="12">
        <v>96</v>
      </c>
      <c r="B2400" s="8">
        <v>3</v>
      </c>
      <c r="C2400" s="8" t="s">
        <v>711</v>
      </c>
      <c r="D2400" s="8" t="s">
        <v>222</v>
      </c>
      <c r="E2400" s="8" t="s">
        <v>449</v>
      </c>
      <c r="F2400" s="8">
        <v>1</v>
      </c>
      <c r="G2400" s="8">
        <v>0</v>
      </c>
      <c r="H2400" s="8">
        <v>0</v>
      </c>
      <c r="I2400" s="8">
        <v>0</v>
      </c>
      <c r="J2400" s="8">
        <v>1</v>
      </c>
      <c r="K2400" s="8" t="s">
        <v>791</v>
      </c>
      <c r="L2400" s="8" t="s">
        <v>1941</v>
      </c>
      <c r="M2400" s="8">
        <v>143</v>
      </c>
    </row>
    <row r="2401" spans="1:14" ht="25" customHeight="1">
      <c r="A2401" s="12">
        <v>97</v>
      </c>
      <c r="B2401" s="8">
        <v>3</v>
      </c>
      <c r="C2401" s="8" t="s">
        <v>711</v>
      </c>
      <c r="D2401" s="8" t="s">
        <v>206</v>
      </c>
      <c r="E2401" s="8" t="s">
        <v>474</v>
      </c>
      <c r="F2401" s="8">
        <v>1</v>
      </c>
      <c r="G2401" s="8">
        <v>0</v>
      </c>
      <c r="H2401" s="8">
        <v>0</v>
      </c>
      <c r="I2401" s="8">
        <v>9</v>
      </c>
      <c r="J2401" s="11">
        <v>0.1111111111111111</v>
      </c>
      <c r="K2401" s="8" t="s">
        <v>791</v>
      </c>
      <c r="L2401" s="8" t="s">
        <v>1941</v>
      </c>
      <c r="M2401" s="8">
        <v>144</v>
      </c>
    </row>
    <row r="2402" spans="1:14" ht="25" customHeight="1">
      <c r="A2402" s="12">
        <v>98</v>
      </c>
      <c r="B2402" s="8">
        <v>3</v>
      </c>
      <c r="C2402" s="8" t="s">
        <v>716</v>
      </c>
      <c r="D2402" s="8" t="s">
        <v>206</v>
      </c>
      <c r="E2402" s="8" t="s">
        <v>465</v>
      </c>
      <c r="F2402" s="8">
        <v>2</v>
      </c>
      <c r="G2402" s="11">
        <v>0.5</v>
      </c>
      <c r="H2402" s="8">
        <v>0</v>
      </c>
      <c r="I2402" s="8">
        <v>5</v>
      </c>
      <c r="J2402" s="11">
        <v>0.2222222222222222</v>
      </c>
      <c r="K2402" s="8" t="s">
        <v>791</v>
      </c>
      <c r="L2402" s="8" t="s">
        <v>792</v>
      </c>
      <c r="M2402" s="8">
        <v>145</v>
      </c>
      <c r="N2402" s="8">
        <v>25</v>
      </c>
    </row>
    <row r="2403" spans="1:14" ht="25" customHeight="1">
      <c r="A2403" s="12">
        <v>99</v>
      </c>
      <c r="B2403" s="8">
        <v>3</v>
      </c>
      <c r="C2403" s="8" t="s">
        <v>716</v>
      </c>
      <c r="D2403" s="8" t="s">
        <v>235</v>
      </c>
      <c r="E2403" s="8" t="s">
        <v>468</v>
      </c>
      <c r="F2403" s="8">
        <v>1</v>
      </c>
      <c r="G2403" s="8">
        <v>1</v>
      </c>
      <c r="H2403" s="8">
        <v>0</v>
      </c>
      <c r="I2403" s="8">
        <v>9</v>
      </c>
      <c r="J2403" s="8">
        <v>1</v>
      </c>
      <c r="K2403" s="8" t="s">
        <v>791</v>
      </c>
      <c r="L2403" s="8" t="s">
        <v>1941</v>
      </c>
      <c r="M2403" s="8">
        <v>146</v>
      </c>
    </row>
    <row r="2404" spans="1:14" ht="25" customHeight="1">
      <c r="A2404" s="12">
        <v>100</v>
      </c>
      <c r="B2404" s="8">
        <v>3</v>
      </c>
      <c r="C2404" s="8" t="s">
        <v>711</v>
      </c>
      <c r="D2404" s="8" t="s">
        <v>206</v>
      </c>
      <c r="E2404" s="8" t="s">
        <v>428</v>
      </c>
      <c r="F2404" s="8">
        <v>2</v>
      </c>
      <c r="G2404" s="8">
        <v>0</v>
      </c>
      <c r="H2404" s="8">
        <v>0</v>
      </c>
      <c r="I2404" s="8">
        <v>1</v>
      </c>
      <c r="J2404" s="11">
        <v>0.2222222222222222</v>
      </c>
      <c r="K2404" s="8" t="s">
        <v>791</v>
      </c>
      <c r="L2404" s="8" t="s">
        <v>792</v>
      </c>
      <c r="M2404" s="8">
        <v>147</v>
      </c>
      <c r="N2404" s="8">
        <v>26</v>
      </c>
    </row>
    <row r="2405" spans="1:14" ht="25" customHeight="1">
      <c r="A2405" s="12">
        <v>101</v>
      </c>
      <c r="B2405" s="8">
        <v>3</v>
      </c>
      <c r="C2405" s="8" t="s">
        <v>720</v>
      </c>
      <c r="D2405" s="8" t="s">
        <v>206</v>
      </c>
      <c r="E2405" s="8" t="s">
        <v>449</v>
      </c>
      <c r="F2405" s="8">
        <v>1</v>
      </c>
      <c r="G2405" s="8">
        <v>0</v>
      </c>
      <c r="H2405" s="8">
        <v>0</v>
      </c>
      <c r="I2405" s="8">
        <v>0</v>
      </c>
      <c r="J2405" s="11">
        <v>0.2</v>
      </c>
      <c r="K2405" s="8" t="s">
        <v>791</v>
      </c>
      <c r="L2405" s="8" t="s">
        <v>1941</v>
      </c>
      <c r="M2405" s="8">
        <v>149</v>
      </c>
    </row>
    <row r="2406" spans="1:14" ht="25" customHeight="1">
      <c r="A2406" s="12">
        <v>102</v>
      </c>
      <c r="B2406" s="8">
        <v>3</v>
      </c>
      <c r="C2406" s="8" t="s">
        <v>706</v>
      </c>
      <c r="D2406" s="8" t="s">
        <v>203</v>
      </c>
      <c r="E2406" s="8" t="s">
        <v>474</v>
      </c>
      <c r="F2406" s="8">
        <v>1</v>
      </c>
      <c r="G2406" s="8">
        <v>0</v>
      </c>
      <c r="H2406" s="8">
        <v>0</v>
      </c>
      <c r="I2406" s="8">
        <v>0</v>
      </c>
      <c r="J2406" s="11">
        <v>0.3333333333333333</v>
      </c>
      <c r="K2406" s="8" t="s">
        <v>791</v>
      </c>
      <c r="L2406" s="8" t="s">
        <v>1941</v>
      </c>
      <c r="M2406" s="8">
        <v>152</v>
      </c>
    </row>
    <row r="2407" spans="1:14" ht="25" customHeight="1">
      <c r="A2407" s="12">
        <v>103</v>
      </c>
      <c r="B2407" s="8">
        <v>3</v>
      </c>
      <c r="C2407" s="8" t="s">
        <v>706</v>
      </c>
      <c r="D2407" s="8" t="s">
        <v>203</v>
      </c>
      <c r="E2407" s="8" t="s">
        <v>449</v>
      </c>
      <c r="F2407" s="8">
        <v>1</v>
      </c>
      <c r="G2407" s="8">
        <v>1</v>
      </c>
      <c r="H2407" s="8">
        <v>0</v>
      </c>
      <c r="I2407" s="8">
        <v>5</v>
      </c>
      <c r="J2407" s="11">
        <v>0.3333333333333333</v>
      </c>
      <c r="K2407" s="8" t="s">
        <v>791</v>
      </c>
      <c r="L2407" s="8" t="s">
        <v>1941</v>
      </c>
      <c r="M2407" s="8">
        <v>158</v>
      </c>
    </row>
    <row r="2408" spans="1:14" ht="25" customHeight="1">
      <c r="A2408" s="12">
        <v>104</v>
      </c>
      <c r="B2408" s="8">
        <v>3</v>
      </c>
      <c r="C2408" s="8" t="s">
        <v>720</v>
      </c>
      <c r="D2408" s="8" t="s">
        <v>206</v>
      </c>
      <c r="E2408" s="8" t="s">
        <v>465</v>
      </c>
      <c r="F2408" s="8">
        <v>1</v>
      </c>
      <c r="G2408" s="8">
        <v>0</v>
      </c>
      <c r="H2408" s="8">
        <v>0</v>
      </c>
      <c r="I2408" s="8">
        <v>7</v>
      </c>
      <c r="J2408" s="11">
        <v>0.2</v>
      </c>
      <c r="K2408" s="8" t="s">
        <v>791</v>
      </c>
      <c r="L2408" s="8" t="s">
        <v>1941</v>
      </c>
      <c r="M2408" s="8">
        <v>159</v>
      </c>
    </row>
    <row r="2409" spans="1:14" ht="25" customHeight="1">
      <c r="A2409" s="12">
        <v>105</v>
      </c>
      <c r="B2409" s="8">
        <v>3</v>
      </c>
      <c r="C2409" s="8" t="s">
        <v>720</v>
      </c>
      <c r="D2409" s="8" t="s">
        <v>206</v>
      </c>
      <c r="E2409" s="8" t="s">
        <v>428</v>
      </c>
      <c r="F2409" s="8">
        <v>2</v>
      </c>
      <c r="G2409" s="11">
        <v>0.5</v>
      </c>
      <c r="H2409" s="8">
        <v>0</v>
      </c>
      <c r="I2409" s="8">
        <v>1</v>
      </c>
      <c r="J2409" s="11">
        <v>0.4</v>
      </c>
      <c r="K2409" s="8" t="s">
        <v>791</v>
      </c>
      <c r="L2409" s="8" t="s">
        <v>796</v>
      </c>
      <c r="M2409" s="8">
        <v>164</v>
      </c>
      <c r="N2409" s="8">
        <v>27</v>
      </c>
    </row>
    <row r="2410" spans="1:14" ht="25" customHeight="1">
      <c r="A2410" s="12">
        <v>106</v>
      </c>
      <c r="B2410" s="8">
        <v>3</v>
      </c>
      <c r="C2410" s="8" t="s">
        <v>720</v>
      </c>
      <c r="D2410" s="8" t="s">
        <v>203</v>
      </c>
      <c r="E2410" s="8" t="s">
        <v>465</v>
      </c>
      <c r="F2410" s="8">
        <v>2</v>
      </c>
      <c r="G2410" s="11">
        <v>0.5</v>
      </c>
      <c r="H2410" s="8">
        <v>0</v>
      </c>
      <c r="I2410" s="8">
        <v>5</v>
      </c>
      <c r="J2410" s="8">
        <v>1</v>
      </c>
      <c r="K2410" s="8" t="s">
        <v>791</v>
      </c>
      <c r="L2410" s="8" t="s">
        <v>796</v>
      </c>
      <c r="M2410" s="8">
        <v>165</v>
      </c>
      <c r="N2410" s="8">
        <v>28</v>
      </c>
    </row>
    <row r="2411" spans="1:14" ht="25" customHeight="1">
      <c r="A2411" s="12">
        <v>107</v>
      </c>
      <c r="B2411" s="8">
        <v>3</v>
      </c>
      <c r="C2411" s="8" t="s">
        <v>720</v>
      </c>
      <c r="D2411" s="8" t="s">
        <v>235</v>
      </c>
      <c r="E2411" s="8" t="s">
        <v>428</v>
      </c>
      <c r="F2411" s="8">
        <v>1</v>
      </c>
      <c r="G2411" s="8">
        <v>0</v>
      </c>
      <c r="H2411" s="8">
        <v>0</v>
      </c>
      <c r="I2411" s="8">
        <v>-1</v>
      </c>
      <c r="J2411" s="8">
        <v>1</v>
      </c>
      <c r="K2411" s="8" t="s">
        <v>791</v>
      </c>
      <c r="L2411" s="8" t="s">
        <v>1941</v>
      </c>
      <c r="M2411" s="8">
        <v>167</v>
      </c>
    </row>
    <row r="2412" spans="1:14" ht="25" customHeight="1">
      <c r="A2412" s="12">
        <v>108</v>
      </c>
      <c r="B2412" s="8">
        <v>3</v>
      </c>
      <c r="C2412" s="8" t="s">
        <v>716</v>
      </c>
      <c r="D2412" s="8" t="s">
        <v>206</v>
      </c>
      <c r="E2412" s="8" t="s">
        <v>428</v>
      </c>
      <c r="F2412" s="8">
        <v>1</v>
      </c>
      <c r="G2412" s="8">
        <v>0</v>
      </c>
      <c r="H2412" s="8">
        <v>0</v>
      </c>
      <c r="I2412" s="8">
        <v>2</v>
      </c>
      <c r="J2412" s="11">
        <v>0.1111111111111111</v>
      </c>
      <c r="K2412" s="8" t="s">
        <v>791</v>
      </c>
      <c r="L2412" s="8" t="s">
        <v>1941</v>
      </c>
      <c r="M2412" s="8">
        <v>168</v>
      </c>
    </row>
    <row r="2413" spans="1:14" ht="25" customHeight="1">
      <c r="A2413" s="12">
        <v>109</v>
      </c>
      <c r="B2413" s="8">
        <v>3</v>
      </c>
      <c r="C2413" s="8" t="s">
        <v>706</v>
      </c>
      <c r="D2413" s="8" t="s">
        <v>203</v>
      </c>
      <c r="E2413" s="8" t="s">
        <v>428</v>
      </c>
      <c r="F2413" s="8">
        <v>1</v>
      </c>
      <c r="G2413" s="8">
        <v>0</v>
      </c>
      <c r="H2413" s="8">
        <v>0</v>
      </c>
      <c r="I2413" s="8">
        <v>-1</v>
      </c>
      <c r="J2413" s="11">
        <v>0.3333333333333333</v>
      </c>
      <c r="K2413" s="8" t="s">
        <v>791</v>
      </c>
      <c r="L2413" s="8" t="s">
        <v>1941</v>
      </c>
      <c r="M2413" s="8">
        <v>169</v>
      </c>
    </row>
    <row r="2414" spans="1:14" ht="25" customHeight="1">
      <c r="A2414" s="12">
        <v>110</v>
      </c>
      <c r="B2414" s="8">
        <v>3</v>
      </c>
      <c r="C2414" s="8" t="s">
        <v>706</v>
      </c>
      <c r="D2414" s="8" t="s">
        <v>1170</v>
      </c>
      <c r="E2414" s="8" t="s">
        <v>878</v>
      </c>
      <c r="F2414" s="8">
        <v>1</v>
      </c>
      <c r="G2414" s="8">
        <v>1</v>
      </c>
      <c r="H2414" s="8">
        <v>1</v>
      </c>
      <c r="I2414" s="8">
        <v>36</v>
      </c>
      <c r="J2414" s="8">
        <v>1</v>
      </c>
      <c r="K2414" s="8" t="s">
        <v>791</v>
      </c>
      <c r="L2414" s="8" t="s">
        <v>1941</v>
      </c>
      <c r="M2414" s="8">
        <v>172</v>
      </c>
    </row>
    <row r="2415" spans="1:14" ht="25" customHeight="1">
      <c r="A2415" s="12">
        <v>111</v>
      </c>
      <c r="B2415" s="8">
        <v>4</v>
      </c>
      <c r="C2415" s="8" t="s">
        <v>706</v>
      </c>
      <c r="D2415" s="8" t="s">
        <v>1170</v>
      </c>
      <c r="E2415" s="8" t="s">
        <v>1038</v>
      </c>
      <c r="F2415" s="8">
        <v>1</v>
      </c>
      <c r="G2415" s="8">
        <v>0</v>
      </c>
      <c r="H2415" s="8">
        <v>0</v>
      </c>
      <c r="I2415" s="8">
        <v>-1</v>
      </c>
      <c r="J2415" s="8">
        <v>1</v>
      </c>
      <c r="K2415" s="8" t="s">
        <v>791</v>
      </c>
      <c r="L2415" s="8" t="s">
        <v>1941</v>
      </c>
      <c r="M2415" s="8">
        <v>173</v>
      </c>
    </row>
    <row r="2416" spans="1:14" ht="25" customHeight="1">
      <c r="A2416" s="12">
        <v>112</v>
      </c>
      <c r="B2416" s="8">
        <v>4</v>
      </c>
      <c r="C2416" s="8" t="s">
        <v>706</v>
      </c>
      <c r="D2416" s="8" t="s">
        <v>811</v>
      </c>
      <c r="E2416" s="8" t="s">
        <v>878</v>
      </c>
      <c r="F2416" s="8">
        <v>1</v>
      </c>
      <c r="G2416" s="8">
        <v>0</v>
      </c>
      <c r="H2416" s="8">
        <v>0</v>
      </c>
      <c r="I2416" s="8">
        <v>0</v>
      </c>
      <c r="J2416" s="8">
        <v>1</v>
      </c>
      <c r="K2416" s="8" t="s">
        <v>791</v>
      </c>
      <c r="L2416" s="8" t="s">
        <v>1941</v>
      </c>
      <c r="M2416" s="8">
        <v>174</v>
      </c>
    </row>
    <row r="2422" spans="1:14" ht="27" customHeight="1">
      <c r="A2422" s="5" t="s">
        <v>813</v>
      </c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</row>
    <row r="2423" spans="1:14" ht="36" customHeight="1">
      <c r="A2423" s="9" t="s">
        <v>683</v>
      </c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</row>
    <row r="2424" spans="1:14" ht="25" customHeight="1">
      <c r="A2424" s="6" t="s">
        <v>684</v>
      </c>
    </row>
    <row r="2425" spans="1:14" ht="25" customHeight="1">
      <c r="A2425" s="12">
        <v>1</v>
      </c>
      <c r="B2425" s="8" t="s">
        <v>687</v>
      </c>
      <c r="C2425" s="8" t="s">
        <v>688</v>
      </c>
      <c r="D2425" s="8" t="s">
        <v>780</v>
      </c>
      <c r="E2425" s="8" t="s">
        <v>814</v>
      </c>
      <c r="F2425" s="8" t="s">
        <v>782</v>
      </c>
      <c r="G2425" s="8" t="s">
        <v>783</v>
      </c>
      <c r="H2425" s="8" t="s">
        <v>784</v>
      </c>
      <c r="I2425" s="8" t="s">
        <v>785</v>
      </c>
      <c r="J2425" s="8" t="s">
        <v>690</v>
      </c>
      <c r="K2425" s="8" t="s">
        <v>786</v>
      </c>
      <c r="L2425" s="8" t="s">
        <v>1940</v>
      </c>
      <c r="M2425" s="8" t="s">
        <v>1946</v>
      </c>
      <c r="N2425" s="8" t="s">
        <v>1947</v>
      </c>
    </row>
    <row r="2426" spans="1:14" ht="25" customHeight="1">
      <c r="A2426" s="12">
        <v>2</v>
      </c>
      <c r="B2426" s="8">
        <v>0</v>
      </c>
      <c r="C2426" s="8" t="s">
        <v>115</v>
      </c>
      <c r="D2426" s="8" t="s">
        <v>842</v>
      </c>
      <c r="E2426" s="8" t="s">
        <v>1395</v>
      </c>
      <c r="F2426" s="8">
        <v>1</v>
      </c>
      <c r="G2426" s="8">
        <v>0</v>
      </c>
      <c r="H2426" s="8">
        <v>0</v>
      </c>
      <c r="I2426" s="8">
        <v>5</v>
      </c>
      <c r="J2426" s="8">
        <v>1</v>
      </c>
      <c r="K2426" s="8" t="s">
        <v>791</v>
      </c>
      <c r="L2426" s="8" t="s">
        <v>1941</v>
      </c>
      <c r="M2426" s="8">
        <v>3</v>
      </c>
    </row>
    <row r="2427" spans="1:14" ht="25" customHeight="1">
      <c r="A2427" s="12">
        <v>3</v>
      </c>
      <c r="B2427" s="8">
        <v>0</v>
      </c>
      <c r="C2427" s="8" t="s">
        <v>115</v>
      </c>
      <c r="D2427" s="8" t="s">
        <v>123</v>
      </c>
      <c r="E2427" s="8" t="s">
        <v>1398</v>
      </c>
      <c r="F2427" s="8">
        <v>1</v>
      </c>
      <c r="G2427" s="8">
        <v>0</v>
      </c>
      <c r="H2427" s="8">
        <v>0</v>
      </c>
      <c r="I2427" s="8">
        <v>0</v>
      </c>
      <c r="J2427" s="11">
        <v>0.3333333333333333</v>
      </c>
      <c r="K2427" s="8" t="s">
        <v>791</v>
      </c>
      <c r="L2427" s="8" t="s">
        <v>1941</v>
      </c>
      <c r="M2427" s="8">
        <v>4</v>
      </c>
    </row>
    <row r="2428" spans="1:14" ht="25" customHeight="1">
      <c r="A2428" s="12">
        <v>4</v>
      </c>
      <c r="B2428" s="8">
        <v>0</v>
      </c>
      <c r="C2428" s="8" t="s">
        <v>115</v>
      </c>
      <c r="D2428" s="8" t="s">
        <v>120</v>
      </c>
      <c r="E2428" s="8" t="s">
        <v>1401</v>
      </c>
      <c r="F2428" s="8">
        <v>1</v>
      </c>
      <c r="G2428" s="8">
        <v>1</v>
      </c>
      <c r="H2428" s="8">
        <v>0</v>
      </c>
      <c r="I2428" s="8">
        <v>9</v>
      </c>
      <c r="J2428" s="11">
        <v>0.04166666666666666</v>
      </c>
      <c r="K2428" s="8" t="s">
        <v>791</v>
      </c>
      <c r="L2428" s="8" t="s">
        <v>1941</v>
      </c>
      <c r="M2428" s="8">
        <v>5</v>
      </c>
    </row>
    <row r="2429" spans="1:14" ht="25" customHeight="1">
      <c r="A2429" s="12">
        <v>5</v>
      </c>
      <c r="B2429" s="8">
        <v>0</v>
      </c>
      <c r="C2429" s="8" t="s">
        <v>115</v>
      </c>
      <c r="D2429" s="8" t="s">
        <v>120</v>
      </c>
      <c r="E2429" s="8" t="s">
        <v>815</v>
      </c>
      <c r="F2429" s="8">
        <v>2</v>
      </c>
      <c r="G2429" s="8">
        <v>1</v>
      </c>
      <c r="H2429" s="8">
        <v>0</v>
      </c>
      <c r="I2429" s="11">
        <v>6.5</v>
      </c>
      <c r="J2429" s="11">
        <v>0.08333333333333333</v>
      </c>
      <c r="K2429" s="8" t="s">
        <v>791</v>
      </c>
      <c r="L2429" s="8" t="s">
        <v>792</v>
      </c>
      <c r="M2429" s="8">
        <v>6</v>
      </c>
      <c r="N2429" s="8">
        <v>1</v>
      </c>
    </row>
    <row r="2430" spans="1:14" ht="25" customHeight="1">
      <c r="A2430" s="12">
        <v>6</v>
      </c>
      <c r="B2430" s="8">
        <v>0</v>
      </c>
      <c r="C2430" s="8" t="s">
        <v>115</v>
      </c>
      <c r="D2430" s="8" t="s">
        <v>120</v>
      </c>
      <c r="E2430" s="8" t="s">
        <v>1406</v>
      </c>
      <c r="F2430" s="8">
        <v>1</v>
      </c>
      <c r="G2430" s="8">
        <v>0</v>
      </c>
      <c r="H2430" s="8">
        <v>0</v>
      </c>
      <c r="I2430" s="8">
        <v>5</v>
      </c>
      <c r="J2430" s="11">
        <v>0.04166666666666666</v>
      </c>
      <c r="K2430" s="8" t="s">
        <v>791</v>
      </c>
      <c r="L2430" s="8" t="s">
        <v>1941</v>
      </c>
      <c r="M2430" s="8">
        <v>7</v>
      </c>
    </row>
    <row r="2431" spans="1:14" ht="25" customHeight="1">
      <c r="A2431" s="12">
        <v>7</v>
      </c>
      <c r="B2431" s="8">
        <v>0</v>
      </c>
      <c r="C2431" s="8" t="s">
        <v>115</v>
      </c>
      <c r="D2431" s="8" t="s">
        <v>120</v>
      </c>
      <c r="E2431" s="8" t="s">
        <v>49</v>
      </c>
      <c r="F2431" s="8">
        <v>3</v>
      </c>
      <c r="G2431" s="11">
        <v>0.6666666666666666</v>
      </c>
      <c r="H2431" s="11">
        <v>0.3333333333333333</v>
      </c>
      <c r="I2431" s="11">
        <v>6.333333333333333</v>
      </c>
      <c r="J2431" s="11">
        <v>0.125</v>
      </c>
      <c r="K2431" s="8" t="s">
        <v>801</v>
      </c>
      <c r="L2431" s="8" t="s">
        <v>796</v>
      </c>
      <c r="M2431" s="8">
        <v>8</v>
      </c>
      <c r="N2431" s="8">
        <v>2</v>
      </c>
    </row>
    <row r="2432" spans="1:14" ht="25" customHeight="1">
      <c r="A2432" s="12">
        <v>8</v>
      </c>
      <c r="B2432" s="8">
        <v>0</v>
      </c>
      <c r="C2432" s="8" t="s">
        <v>115</v>
      </c>
      <c r="D2432" s="8" t="s">
        <v>120</v>
      </c>
      <c r="E2432" s="8" t="s">
        <v>1410</v>
      </c>
      <c r="F2432" s="8">
        <v>1</v>
      </c>
      <c r="G2432" s="8">
        <v>0</v>
      </c>
      <c r="H2432" s="8">
        <v>0</v>
      </c>
      <c r="I2432" s="8">
        <v>-2</v>
      </c>
      <c r="J2432" s="11">
        <v>0.04166666666666666</v>
      </c>
      <c r="K2432" s="8" t="s">
        <v>791</v>
      </c>
      <c r="L2432" s="8" t="s">
        <v>1941</v>
      </c>
      <c r="M2432" s="8">
        <v>9</v>
      </c>
    </row>
    <row r="2433" spans="1:14" ht="25" customHeight="1">
      <c r="A2433" s="12">
        <v>9</v>
      </c>
      <c r="B2433" s="8">
        <v>0</v>
      </c>
      <c r="C2433" s="8" t="s">
        <v>115</v>
      </c>
      <c r="D2433" s="8" t="s">
        <v>120</v>
      </c>
      <c r="E2433" s="8" t="s">
        <v>1413</v>
      </c>
      <c r="F2433" s="8">
        <v>1</v>
      </c>
      <c r="G2433" s="8">
        <v>1</v>
      </c>
      <c r="H2433" s="8">
        <v>0</v>
      </c>
      <c r="I2433" s="8">
        <v>6</v>
      </c>
      <c r="J2433" s="11">
        <v>0.04166666666666666</v>
      </c>
      <c r="K2433" s="8" t="s">
        <v>791</v>
      </c>
      <c r="L2433" s="8" t="s">
        <v>1941</v>
      </c>
      <c r="M2433" s="8">
        <v>10</v>
      </c>
    </row>
    <row r="2434" spans="1:14" ht="25" customHeight="1">
      <c r="A2434" s="12">
        <v>10</v>
      </c>
      <c r="B2434" s="8">
        <v>0</v>
      </c>
      <c r="C2434" s="8" t="s">
        <v>115</v>
      </c>
      <c r="D2434" s="8" t="s">
        <v>120</v>
      </c>
      <c r="E2434" s="8" t="s">
        <v>1416</v>
      </c>
      <c r="F2434" s="8">
        <v>1</v>
      </c>
      <c r="G2434" s="8">
        <v>0</v>
      </c>
      <c r="H2434" s="8">
        <v>0</v>
      </c>
      <c r="I2434" s="8">
        <v>0</v>
      </c>
      <c r="J2434" s="11">
        <v>0.04166666666666666</v>
      </c>
      <c r="K2434" s="8" t="s">
        <v>791</v>
      </c>
      <c r="L2434" s="8" t="s">
        <v>1941</v>
      </c>
      <c r="M2434" s="8">
        <v>11</v>
      </c>
    </row>
    <row r="2435" spans="1:14" ht="25" customHeight="1">
      <c r="A2435" s="12">
        <v>11</v>
      </c>
      <c r="B2435" s="8">
        <v>0</v>
      </c>
      <c r="C2435" s="8" t="s">
        <v>115</v>
      </c>
      <c r="D2435" s="8" t="s">
        <v>120</v>
      </c>
      <c r="E2435" s="8" t="s">
        <v>819</v>
      </c>
      <c r="F2435" s="8">
        <v>1</v>
      </c>
      <c r="G2435" s="8">
        <v>0</v>
      </c>
      <c r="H2435" s="8">
        <v>0</v>
      </c>
      <c r="I2435" s="8">
        <v>0</v>
      </c>
      <c r="J2435" s="11">
        <v>0.04166666666666666</v>
      </c>
      <c r="K2435" s="8" t="s">
        <v>791</v>
      </c>
      <c r="L2435" s="8" t="s">
        <v>1941</v>
      </c>
      <c r="M2435" s="8">
        <v>12</v>
      </c>
    </row>
    <row r="2436" spans="1:14" ht="25" customHeight="1">
      <c r="A2436" s="12">
        <v>12</v>
      </c>
      <c r="B2436" s="8">
        <v>0</v>
      </c>
      <c r="C2436" s="8" t="s">
        <v>115</v>
      </c>
      <c r="D2436" s="8" t="s">
        <v>120</v>
      </c>
      <c r="E2436" s="8" t="s">
        <v>1420</v>
      </c>
      <c r="F2436" s="8">
        <v>1</v>
      </c>
      <c r="G2436" s="8">
        <v>1</v>
      </c>
      <c r="H2436" s="8">
        <v>0</v>
      </c>
      <c r="I2436" s="8">
        <v>3</v>
      </c>
      <c r="J2436" s="11">
        <v>0.04166666666666666</v>
      </c>
      <c r="K2436" s="8" t="s">
        <v>791</v>
      </c>
      <c r="L2436" s="8" t="s">
        <v>1941</v>
      </c>
      <c r="M2436" s="8">
        <v>13</v>
      </c>
    </row>
    <row r="2437" spans="1:14" ht="25" customHeight="1">
      <c r="A2437" s="12">
        <v>13</v>
      </c>
      <c r="B2437" s="8">
        <v>0</v>
      </c>
      <c r="C2437" s="8" t="s">
        <v>115</v>
      </c>
      <c r="D2437" s="8" t="s">
        <v>120</v>
      </c>
      <c r="E2437" s="8" t="s">
        <v>1422</v>
      </c>
      <c r="F2437" s="8">
        <v>1</v>
      </c>
      <c r="G2437" s="8">
        <v>0</v>
      </c>
      <c r="H2437" s="8">
        <v>0</v>
      </c>
      <c r="I2437" s="8">
        <v>0</v>
      </c>
      <c r="J2437" s="11">
        <v>0.04166666666666666</v>
      </c>
      <c r="K2437" s="8" t="s">
        <v>791</v>
      </c>
      <c r="L2437" s="8" t="s">
        <v>1941</v>
      </c>
      <c r="M2437" s="8">
        <v>14</v>
      </c>
    </row>
    <row r="2438" spans="1:14" ht="25" customHeight="1">
      <c r="A2438" s="12">
        <v>14</v>
      </c>
      <c r="B2438" s="8">
        <v>0</v>
      </c>
      <c r="C2438" s="8" t="s">
        <v>115</v>
      </c>
      <c r="D2438" s="8" t="s">
        <v>123</v>
      </c>
      <c r="E2438" s="8" t="s">
        <v>1424</v>
      </c>
      <c r="F2438" s="8">
        <v>1</v>
      </c>
      <c r="G2438" s="8">
        <v>1</v>
      </c>
      <c r="H2438" s="8">
        <v>0</v>
      </c>
      <c r="I2438" s="8">
        <v>7</v>
      </c>
      <c r="J2438" s="11">
        <v>0.3333333333333333</v>
      </c>
      <c r="K2438" s="8" t="s">
        <v>791</v>
      </c>
      <c r="L2438" s="8" t="s">
        <v>1941</v>
      </c>
      <c r="M2438" s="8">
        <v>16</v>
      </c>
    </row>
    <row r="2439" spans="1:14" ht="25" customHeight="1">
      <c r="A2439" s="12">
        <v>15</v>
      </c>
      <c r="B2439" s="8">
        <v>0</v>
      </c>
      <c r="C2439" s="8" t="s">
        <v>115</v>
      </c>
      <c r="D2439" s="8" t="s">
        <v>120</v>
      </c>
      <c r="E2439" s="8" t="s">
        <v>1398</v>
      </c>
      <c r="F2439" s="8">
        <v>1</v>
      </c>
      <c r="G2439" s="8">
        <v>0</v>
      </c>
      <c r="H2439" s="8">
        <v>0</v>
      </c>
      <c r="I2439" s="8">
        <v>0</v>
      </c>
      <c r="J2439" s="11">
        <v>0.04166666666666666</v>
      </c>
      <c r="K2439" s="8" t="s">
        <v>791</v>
      </c>
      <c r="L2439" s="8" t="s">
        <v>1941</v>
      </c>
      <c r="M2439" s="8">
        <v>17</v>
      </c>
    </row>
    <row r="2440" spans="1:14" ht="25" customHeight="1">
      <c r="A2440" s="12">
        <v>16</v>
      </c>
      <c r="B2440" s="8">
        <v>0</v>
      </c>
      <c r="C2440" s="8" t="s">
        <v>115</v>
      </c>
      <c r="D2440" s="8" t="s">
        <v>120</v>
      </c>
      <c r="E2440" s="8" t="s">
        <v>1429</v>
      </c>
      <c r="F2440" s="8">
        <v>1</v>
      </c>
      <c r="G2440" s="8">
        <v>1</v>
      </c>
      <c r="H2440" s="8">
        <v>0</v>
      </c>
      <c r="I2440" s="8">
        <v>8</v>
      </c>
      <c r="J2440" s="11">
        <v>0.04166666666666666</v>
      </c>
      <c r="K2440" s="8" t="s">
        <v>791</v>
      </c>
      <c r="L2440" s="8" t="s">
        <v>1941</v>
      </c>
      <c r="M2440" s="8">
        <v>18</v>
      </c>
    </row>
    <row r="2441" spans="1:14" ht="25" customHeight="1">
      <c r="A2441" s="12">
        <v>17</v>
      </c>
      <c r="B2441" s="8">
        <v>0</v>
      </c>
      <c r="C2441" s="8" t="s">
        <v>115</v>
      </c>
      <c r="D2441" s="8" t="s">
        <v>120</v>
      </c>
      <c r="E2441" s="8" t="s">
        <v>1431</v>
      </c>
      <c r="F2441" s="8">
        <v>1</v>
      </c>
      <c r="G2441" s="8">
        <v>1</v>
      </c>
      <c r="H2441" s="8">
        <v>1</v>
      </c>
      <c r="I2441" s="8">
        <v>15</v>
      </c>
      <c r="J2441" s="11">
        <v>0.04166666666666666</v>
      </c>
      <c r="K2441" s="8" t="s">
        <v>791</v>
      </c>
      <c r="L2441" s="8" t="s">
        <v>1941</v>
      </c>
      <c r="M2441" s="8">
        <v>19</v>
      </c>
    </row>
    <row r="2442" spans="1:14" ht="25" customHeight="1">
      <c r="A2442" s="12">
        <v>18</v>
      </c>
      <c r="B2442" s="8">
        <v>0</v>
      </c>
      <c r="C2442" s="8" t="s">
        <v>115</v>
      </c>
      <c r="D2442" s="8" t="s">
        <v>120</v>
      </c>
      <c r="E2442" s="8" t="s">
        <v>1433</v>
      </c>
      <c r="F2442" s="8">
        <v>1</v>
      </c>
      <c r="G2442" s="8">
        <v>0</v>
      </c>
      <c r="H2442" s="8">
        <v>0</v>
      </c>
      <c r="I2442" s="8">
        <v>1</v>
      </c>
      <c r="J2442" s="11">
        <v>0.04166666666666666</v>
      </c>
      <c r="K2442" s="8" t="s">
        <v>791</v>
      </c>
      <c r="L2442" s="8" t="s">
        <v>1941</v>
      </c>
      <c r="M2442" s="8">
        <v>20</v>
      </c>
    </row>
    <row r="2443" spans="1:14" ht="25" customHeight="1">
      <c r="A2443" s="12">
        <v>19</v>
      </c>
      <c r="B2443" s="8">
        <v>0</v>
      </c>
      <c r="C2443" s="8" t="s">
        <v>115</v>
      </c>
      <c r="D2443" s="8" t="s">
        <v>120</v>
      </c>
      <c r="E2443" s="8" t="s">
        <v>1435</v>
      </c>
      <c r="F2443" s="8">
        <v>1</v>
      </c>
      <c r="G2443" s="8">
        <v>0</v>
      </c>
      <c r="H2443" s="8">
        <v>0</v>
      </c>
      <c r="I2443" s="8">
        <v>2</v>
      </c>
      <c r="J2443" s="11">
        <v>0.04166666666666666</v>
      </c>
      <c r="K2443" s="8" t="s">
        <v>791</v>
      </c>
      <c r="L2443" s="8" t="s">
        <v>1941</v>
      </c>
      <c r="M2443" s="8">
        <v>21</v>
      </c>
    </row>
    <row r="2444" spans="1:14" ht="25" customHeight="1">
      <c r="A2444" s="12">
        <v>20</v>
      </c>
      <c r="B2444" s="8">
        <v>0</v>
      </c>
      <c r="C2444" s="8" t="s">
        <v>115</v>
      </c>
      <c r="D2444" s="8" t="s">
        <v>803</v>
      </c>
      <c r="E2444" s="8" t="s">
        <v>816</v>
      </c>
      <c r="F2444" s="8">
        <v>3</v>
      </c>
      <c r="G2444" s="11">
        <v>0.3333333333333333</v>
      </c>
      <c r="H2444" s="8">
        <v>0</v>
      </c>
      <c r="I2444" s="8">
        <v>3</v>
      </c>
      <c r="J2444" s="11">
        <v>0.6</v>
      </c>
      <c r="K2444" s="8" t="s">
        <v>801</v>
      </c>
      <c r="L2444" s="8" t="s">
        <v>804</v>
      </c>
      <c r="M2444" s="8">
        <v>23</v>
      </c>
      <c r="N2444" s="8">
        <v>3</v>
      </c>
    </row>
    <row r="2445" spans="1:14" ht="25" customHeight="1">
      <c r="A2445" s="12">
        <v>21</v>
      </c>
      <c r="B2445" s="8">
        <v>0</v>
      </c>
      <c r="C2445" s="8" t="s">
        <v>115</v>
      </c>
      <c r="D2445" s="8" t="s">
        <v>120</v>
      </c>
      <c r="E2445" s="8" t="s">
        <v>1439</v>
      </c>
      <c r="F2445" s="8">
        <v>1</v>
      </c>
      <c r="G2445" s="8">
        <v>0</v>
      </c>
      <c r="H2445" s="8">
        <v>0</v>
      </c>
      <c r="I2445" s="8">
        <v>2</v>
      </c>
      <c r="J2445" s="11">
        <v>0.04166666666666666</v>
      </c>
      <c r="K2445" s="8" t="s">
        <v>791</v>
      </c>
      <c r="L2445" s="8" t="s">
        <v>1941</v>
      </c>
      <c r="M2445" s="8">
        <v>24</v>
      </c>
    </row>
    <row r="2446" spans="1:14" ht="25" customHeight="1">
      <c r="A2446" s="12">
        <v>22</v>
      </c>
      <c r="B2446" s="8">
        <v>0</v>
      </c>
      <c r="C2446" s="8" t="s">
        <v>115</v>
      </c>
      <c r="D2446" s="8" t="s">
        <v>802</v>
      </c>
      <c r="E2446" s="8" t="s">
        <v>815</v>
      </c>
      <c r="F2446" s="8">
        <v>1</v>
      </c>
      <c r="G2446" s="8">
        <v>0</v>
      </c>
      <c r="H2446" s="8">
        <v>0</v>
      </c>
      <c r="I2446" s="8">
        <v>-1</v>
      </c>
      <c r="J2446" s="11">
        <v>0.5</v>
      </c>
      <c r="K2446" s="8" t="s">
        <v>791</v>
      </c>
      <c r="L2446" s="8" t="s">
        <v>1941</v>
      </c>
      <c r="M2446" s="8">
        <v>25</v>
      </c>
    </row>
    <row r="2447" spans="1:14" ht="25" customHeight="1">
      <c r="A2447" s="12">
        <v>23</v>
      </c>
      <c r="B2447" s="8">
        <v>0</v>
      </c>
      <c r="C2447" s="8" t="s">
        <v>115</v>
      </c>
      <c r="D2447" s="8" t="s">
        <v>120</v>
      </c>
      <c r="E2447" s="8" t="s">
        <v>817</v>
      </c>
      <c r="F2447" s="8">
        <v>2</v>
      </c>
      <c r="G2447" s="8">
        <v>0</v>
      </c>
      <c r="H2447" s="8">
        <v>0</v>
      </c>
      <c r="I2447" s="11">
        <v>1.5</v>
      </c>
      <c r="J2447" s="11">
        <v>0.08333333333333333</v>
      </c>
      <c r="K2447" s="8" t="s">
        <v>791</v>
      </c>
      <c r="L2447" s="8" t="s">
        <v>792</v>
      </c>
      <c r="M2447" s="8">
        <v>26</v>
      </c>
      <c r="N2447" s="8">
        <v>4</v>
      </c>
    </row>
    <row r="2448" spans="1:14" ht="25" customHeight="1">
      <c r="A2448" s="12">
        <v>24</v>
      </c>
      <c r="B2448" s="8">
        <v>0</v>
      </c>
      <c r="C2448" s="8" t="s">
        <v>115</v>
      </c>
      <c r="D2448" s="8" t="s">
        <v>803</v>
      </c>
      <c r="E2448" s="8" t="s">
        <v>818</v>
      </c>
      <c r="F2448" s="8">
        <v>2</v>
      </c>
      <c r="G2448" s="11">
        <v>0.5</v>
      </c>
      <c r="H2448" s="8">
        <v>0</v>
      </c>
      <c r="I2448" s="11">
        <v>2.5</v>
      </c>
      <c r="J2448" s="11">
        <v>0.4</v>
      </c>
      <c r="K2448" s="8" t="s">
        <v>791</v>
      </c>
      <c r="L2448" s="8" t="s">
        <v>796</v>
      </c>
      <c r="M2448" s="8">
        <v>28</v>
      </c>
      <c r="N2448" s="8">
        <v>5</v>
      </c>
    </row>
    <row r="2449" spans="1:14" ht="25" customHeight="1">
      <c r="A2449" s="12">
        <v>25</v>
      </c>
      <c r="B2449" s="8">
        <v>0</v>
      </c>
      <c r="C2449" s="8" t="s">
        <v>115</v>
      </c>
      <c r="D2449" s="8" t="s">
        <v>802</v>
      </c>
      <c r="E2449" s="8" t="s">
        <v>1447</v>
      </c>
      <c r="F2449" s="8">
        <v>1</v>
      </c>
      <c r="G2449" s="8">
        <v>0</v>
      </c>
      <c r="H2449" s="8">
        <v>0</v>
      </c>
      <c r="I2449" s="8">
        <v>-4</v>
      </c>
      <c r="J2449" s="11">
        <v>0.5</v>
      </c>
      <c r="K2449" s="8" t="s">
        <v>791</v>
      </c>
      <c r="L2449" s="8" t="s">
        <v>1941</v>
      </c>
      <c r="M2449" s="8">
        <v>30</v>
      </c>
    </row>
    <row r="2450" spans="1:14" ht="25" customHeight="1">
      <c r="A2450" s="12">
        <v>26</v>
      </c>
      <c r="B2450" s="8">
        <v>0</v>
      </c>
      <c r="C2450" s="8" t="s">
        <v>115</v>
      </c>
      <c r="D2450" s="8" t="s">
        <v>120</v>
      </c>
      <c r="E2450" s="8" t="s">
        <v>823</v>
      </c>
      <c r="F2450" s="8">
        <v>1</v>
      </c>
      <c r="G2450" s="8">
        <v>0</v>
      </c>
      <c r="H2450" s="8">
        <v>0</v>
      </c>
      <c r="I2450" s="8">
        <v>2</v>
      </c>
      <c r="J2450" s="11">
        <v>0.04166666666666666</v>
      </c>
      <c r="K2450" s="8" t="s">
        <v>791</v>
      </c>
      <c r="L2450" s="8" t="s">
        <v>1941</v>
      </c>
      <c r="M2450" s="8">
        <v>31</v>
      </c>
    </row>
    <row r="2451" spans="1:14" ht="25" customHeight="1">
      <c r="A2451" s="12">
        <v>27</v>
      </c>
      <c r="B2451" s="8">
        <v>0</v>
      </c>
      <c r="C2451" s="8" t="s">
        <v>115</v>
      </c>
      <c r="D2451" s="8" t="s">
        <v>877</v>
      </c>
      <c r="E2451" s="8" t="s">
        <v>1451</v>
      </c>
      <c r="F2451" s="8">
        <v>1</v>
      </c>
      <c r="G2451" s="8">
        <v>1</v>
      </c>
      <c r="H2451" s="8">
        <v>0</v>
      </c>
      <c r="I2451" s="8">
        <v>1</v>
      </c>
      <c r="J2451" s="8">
        <v>1</v>
      </c>
      <c r="K2451" s="8" t="s">
        <v>791</v>
      </c>
      <c r="L2451" s="8" t="s">
        <v>1941</v>
      </c>
      <c r="M2451" s="8">
        <v>32</v>
      </c>
    </row>
    <row r="2452" spans="1:14" ht="25" customHeight="1">
      <c r="A2452" s="12">
        <v>28</v>
      </c>
      <c r="B2452" s="8">
        <v>0</v>
      </c>
      <c r="C2452" s="8" t="s">
        <v>115</v>
      </c>
      <c r="D2452" s="8" t="s">
        <v>120</v>
      </c>
      <c r="E2452" s="8" t="s">
        <v>816</v>
      </c>
      <c r="F2452" s="8">
        <v>1</v>
      </c>
      <c r="G2452" s="8">
        <v>0</v>
      </c>
      <c r="H2452" s="8">
        <v>0</v>
      </c>
      <c r="I2452" s="8">
        <v>2</v>
      </c>
      <c r="J2452" s="11">
        <v>0.04166666666666666</v>
      </c>
      <c r="K2452" s="8" t="s">
        <v>791</v>
      </c>
      <c r="L2452" s="8" t="s">
        <v>1941</v>
      </c>
      <c r="M2452" s="8">
        <v>35</v>
      </c>
    </row>
    <row r="2453" spans="1:14" ht="25" customHeight="1">
      <c r="A2453" s="12">
        <v>29</v>
      </c>
      <c r="B2453" s="8">
        <v>0</v>
      </c>
      <c r="C2453" s="8" t="s">
        <v>115</v>
      </c>
      <c r="D2453" s="8" t="s">
        <v>120</v>
      </c>
      <c r="E2453" s="8" t="s">
        <v>1455</v>
      </c>
      <c r="F2453" s="8">
        <v>1</v>
      </c>
      <c r="G2453" s="8">
        <v>0</v>
      </c>
      <c r="H2453" s="8">
        <v>0</v>
      </c>
      <c r="I2453" s="8">
        <v>-5</v>
      </c>
      <c r="J2453" s="11">
        <v>0.04166666666666666</v>
      </c>
      <c r="K2453" s="8" t="s">
        <v>791</v>
      </c>
      <c r="L2453" s="8" t="s">
        <v>1941</v>
      </c>
      <c r="M2453" s="8">
        <v>36</v>
      </c>
    </row>
    <row r="2454" spans="1:14" ht="25" customHeight="1">
      <c r="A2454" s="12">
        <v>30</v>
      </c>
      <c r="B2454" s="8">
        <v>0</v>
      </c>
      <c r="C2454" s="8" t="s">
        <v>115</v>
      </c>
      <c r="D2454" s="8" t="s">
        <v>123</v>
      </c>
      <c r="E2454" s="8" t="s">
        <v>823</v>
      </c>
      <c r="F2454" s="8">
        <v>1</v>
      </c>
      <c r="G2454" s="8">
        <v>1</v>
      </c>
      <c r="H2454" s="8">
        <v>1</v>
      </c>
      <c r="I2454" s="8">
        <v>12</v>
      </c>
      <c r="J2454" s="11">
        <v>0.3333333333333333</v>
      </c>
      <c r="K2454" s="8" t="s">
        <v>791</v>
      </c>
      <c r="L2454" s="8" t="s">
        <v>1941</v>
      </c>
      <c r="M2454" s="8">
        <v>38</v>
      </c>
    </row>
    <row r="2455" spans="1:14" ht="25" customHeight="1">
      <c r="A2455" s="12">
        <v>31</v>
      </c>
      <c r="B2455" s="8">
        <v>1</v>
      </c>
      <c r="C2455" s="8" t="s">
        <v>711</v>
      </c>
      <c r="D2455" s="8" t="s">
        <v>120</v>
      </c>
      <c r="E2455" s="8" t="s">
        <v>815</v>
      </c>
      <c r="F2455" s="8">
        <v>1</v>
      </c>
      <c r="G2455" s="8">
        <v>0</v>
      </c>
      <c r="H2455" s="8">
        <v>0</v>
      </c>
      <c r="I2455" s="8">
        <v>-2</v>
      </c>
      <c r="J2455" s="11">
        <v>0.5</v>
      </c>
      <c r="K2455" s="8" t="s">
        <v>791</v>
      </c>
      <c r="L2455" s="8" t="s">
        <v>1941</v>
      </c>
      <c r="M2455" s="8">
        <v>40</v>
      </c>
    </row>
    <row r="2456" spans="1:14" ht="25" customHeight="1">
      <c r="A2456" s="12">
        <v>32</v>
      </c>
      <c r="B2456" s="8">
        <v>1</v>
      </c>
      <c r="C2456" s="8" t="s">
        <v>716</v>
      </c>
      <c r="D2456" s="8" t="s">
        <v>120</v>
      </c>
      <c r="E2456" s="8" t="s">
        <v>819</v>
      </c>
      <c r="F2456" s="8">
        <v>2</v>
      </c>
      <c r="G2456" s="11">
        <v>0.5</v>
      </c>
      <c r="H2456" s="8">
        <v>0</v>
      </c>
      <c r="I2456" s="8">
        <v>4</v>
      </c>
      <c r="J2456" s="11">
        <v>0.09523809523809523</v>
      </c>
      <c r="K2456" s="8" t="s">
        <v>791</v>
      </c>
      <c r="L2456" s="8" t="s">
        <v>792</v>
      </c>
      <c r="M2456" s="8">
        <v>41</v>
      </c>
      <c r="N2456" s="8">
        <v>6</v>
      </c>
    </row>
    <row r="2457" spans="1:14" ht="25" customHeight="1">
      <c r="A2457" s="12">
        <v>33</v>
      </c>
      <c r="B2457" s="8">
        <v>1</v>
      </c>
      <c r="C2457" s="8" t="s">
        <v>716</v>
      </c>
      <c r="D2457" s="8" t="s">
        <v>123</v>
      </c>
      <c r="E2457" s="8" t="s">
        <v>816</v>
      </c>
      <c r="F2457" s="8">
        <v>1</v>
      </c>
      <c r="G2457" s="8">
        <v>0</v>
      </c>
      <c r="H2457" s="8">
        <v>0</v>
      </c>
      <c r="I2457" s="8">
        <v>0</v>
      </c>
      <c r="J2457" s="8">
        <v>1</v>
      </c>
      <c r="K2457" s="8" t="s">
        <v>791</v>
      </c>
      <c r="L2457" s="8" t="s">
        <v>1941</v>
      </c>
      <c r="M2457" s="8">
        <v>42</v>
      </c>
    </row>
    <row r="2458" spans="1:14" ht="25" customHeight="1">
      <c r="A2458" s="12">
        <v>34</v>
      </c>
      <c r="B2458" s="8">
        <v>1</v>
      </c>
      <c r="C2458" s="8" t="s">
        <v>716</v>
      </c>
      <c r="D2458" s="8" t="s">
        <v>120</v>
      </c>
      <c r="E2458" s="8" t="s">
        <v>815</v>
      </c>
      <c r="F2458" s="8">
        <v>1</v>
      </c>
      <c r="G2458" s="8">
        <v>1</v>
      </c>
      <c r="H2458" s="8">
        <v>0</v>
      </c>
      <c r="I2458" s="8">
        <v>8</v>
      </c>
      <c r="J2458" s="11">
        <v>0.04761904761904762</v>
      </c>
      <c r="K2458" s="8" t="s">
        <v>791</v>
      </c>
      <c r="L2458" s="8" t="s">
        <v>1941</v>
      </c>
      <c r="M2458" s="8">
        <v>43</v>
      </c>
    </row>
    <row r="2459" spans="1:14" ht="25" customHeight="1">
      <c r="A2459" s="12">
        <v>35</v>
      </c>
      <c r="B2459" s="8">
        <v>1</v>
      </c>
      <c r="C2459" s="8" t="s">
        <v>716</v>
      </c>
      <c r="D2459" s="8" t="s">
        <v>120</v>
      </c>
      <c r="E2459" s="8" t="s">
        <v>1410</v>
      </c>
      <c r="F2459" s="8">
        <v>1</v>
      </c>
      <c r="G2459" s="8">
        <v>1</v>
      </c>
      <c r="H2459" s="8">
        <v>0</v>
      </c>
      <c r="I2459" s="8">
        <v>9</v>
      </c>
      <c r="J2459" s="11">
        <v>0.04761904761904762</v>
      </c>
      <c r="K2459" s="8" t="s">
        <v>791</v>
      </c>
      <c r="L2459" s="8" t="s">
        <v>1941</v>
      </c>
      <c r="M2459" s="8">
        <v>44</v>
      </c>
    </row>
    <row r="2460" spans="1:14" ht="25" customHeight="1">
      <c r="A2460" s="12">
        <v>36</v>
      </c>
      <c r="B2460" s="8">
        <v>1</v>
      </c>
      <c r="C2460" s="8" t="s">
        <v>716</v>
      </c>
      <c r="D2460" s="8" t="s">
        <v>120</v>
      </c>
      <c r="E2460" s="8" t="s">
        <v>1469</v>
      </c>
      <c r="F2460" s="8">
        <v>1</v>
      </c>
      <c r="G2460" s="8">
        <v>0</v>
      </c>
      <c r="H2460" s="8">
        <v>0</v>
      </c>
      <c r="I2460" s="8">
        <v>1</v>
      </c>
      <c r="J2460" s="11">
        <v>0.04761904761904762</v>
      </c>
      <c r="K2460" s="8" t="s">
        <v>791</v>
      </c>
      <c r="L2460" s="8" t="s">
        <v>1941</v>
      </c>
      <c r="M2460" s="8">
        <v>45</v>
      </c>
    </row>
    <row r="2461" spans="1:14" ht="25" customHeight="1">
      <c r="A2461" s="12">
        <v>37</v>
      </c>
      <c r="B2461" s="8">
        <v>1</v>
      </c>
      <c r="C2461" s="8" t="s">
        <v>716</v>
      </c>
      <c r="D2461" s="8" t="s">
        <v>120</v>
      </c>
      <c r="E2461" s="8" t="s">
        <v>816</v>
      </c>
      <c r="F2461" s="8">
        <v>4</v>
      </c>
      <c r="G2461" s="8">
        <v>0</v>
      </c>
      <c r="H2461" s="8">
        <v>0</v>
      </c>
      <c r="I2461" s="8">
        <v>0</v>
      </c>
      <c r="J2461" s="11">
        <v>0.1904761904761905</v>
      </c>
      <c r="K2461" s="8" t="s">
        <v>795</v>
      </c>
      <c r="L2461" s="8" t="s">
        <v>796</v>
      </c>
      <c r="M2461" s="8">
        <v>46</v>
      </c>
      <c r="N2461" s="8">
        <v>7</v>
      </c>
    </row>
    <row r="2462" spans="1:14" ht="25" customHeight="1">
      <c r="A2462" s="12">
        <v>38</v>
      </c>
      <c r="B2462" s="8">
        <v>1</v>
      </c>
      <c r="C2462" s="8" t="s">
        <v>716</v>
      </c>
      <c r="D2462" s="8" t="s">
        <v>120</v>
      </c>
      <c r="E2462" s="8" t="s">
        <v>1474</v>
      </c>
      <c r="F2462" s="8">
        <v>1</v>
      </c>
      <c r="G2462" s="8">
        <v>0</v>
      </c>
      <c r="H2462" s="8">
        <v>0</v>
      </c>
      <c r="I2462" s="8">
        <v>1</v>
      </c>
      <c r="J2462" s="11">
        <v>0.04761904761904762</v>
      </c>
      <c r="K2462" s="8" t="s">
        <v>791</v>
      </c>
      <c r="L2462" s="8" t="s">
        <v>1941</v>
      </c>
      <c r="M2462" s="8">
        <v>47</v>
      </c>
    </row>
    <row r="2463" spans="1:14" ht="25" customHeight="1">
      <c r="A2463" s="12">
        <v>39</v>
      </c>
      <c r="B2463" s="8">
        <v>1</v>
      </c>
      <c r="C2463" s="8" t="s">
        <v>716</v>
      </c>
      <c r="D2463" s="8" t="s">
        <v>120</v>
      </c>
      <c r="E2463" s="8" t="s">
        <v>1476</v>
      </c>
      <c r="F2463" s="8">
        <v>1</v>
      </c>
      <c r="G2463" s="8">
        <v>0</v>
      </c>
      <c r="H2463" s="8">
        <v>0</v>
      </c>
      <c r="I2463" s="8">
        <v>0</v>
      </c>
      <c r="J2463" s="11">
        <v>0.04761904761904762</v>
      </c>
      <c r="K2463" s="8" t="s">
        <v>791</v>
      </c>
      <c r="L2463" s="8" t="s">
        <v>1941</v>
      </c>
      <c r="M2463" s="8">
        <v>48</v>
      </c>
    </row>
    <row r="2464" spans="1:14" ht="25" customHeight="1">
      <c r="A2464" s="12">
        <v>40</v>
      </c>
      <c r="B2464" s="8">
        <v>1</v>
      </c>
      <c r="C2464" s="8" t="s">
        <v>716</v>
      </c>
      <c r="D2464" s="8" t="s">
        <v>120</v>
      </c>
      <c r="E2464" s="8" t="s">
        <v>1478</v>
      </c>
      <c r="F2464" s="8">
        <v>1</v>
      </c>
      <c r="G2464" s="8">
        <v>1</v>
      </c>
      <c r="H2464" s="8">
        <v>0</v>
      </c>
      <c r="I2464" s="8">
        <v>4</v>
      </c>
      <c r="J2464" s="11">
        <v>0.04761904761904762</v>
      </c>
      <c r="K2464" s="8" t="s">
        <v>791</v>
      </c>
      <c r="L2464" s="8" t="s">
        <v>1941</v>
      </c>
      <c r="M2464" s="8">
        <v>49</v>
      </c>
    </row>
    <row r="2465" spans="1:13" ht="25" customHeight="1">
      <c r="A2465" s="12">
        <v>41</v>
      </c>
      <c r="B2465" s="8">
        <v>1</v>
      </c>
      <c r="C2465" s="8" t="s">
        <v>716</v>
      </c>
      <c r="D2465" s="8" t="s">
        <v>120</v>
      </c>
      <c r="E2465" s="8" t="s">
        <v>49</v>
      </c>
      <c r="F2465" s="8">
        <v>1</v>
      </c>
      <c r="G2465" s="8">
        <v>1</v>
      </c>
      <c r="H2465" s="8">
        <v>1</v>
      </c>
      <c r="I2465" s="8">
        <v>31</v>
      </c>
      <c r="J2465" s="11">
        <v>0.04761904761904762</v>
      </c>
      <c r="K2465" s="8" t="s">
        <v>791</v>
      </c>
      <c r="L2465" s="8" t="s">
        <v>1941</v>
      </c>
      <c r="M2465" s="8">
        <v>50</v>
      </c>
    </row>
    <row r="2466" spans="1:13" ht="25" customHeight="1">
      <c r="A2466" s="12">
        <v>42</v>
      </c>
      <c r="B2466" s="8">
        <v>1</v>
      </c>
      <c r="C2466" s="8" t="s">
        <v>716</v>
      </c>
      <c r="D2466" s="8" t="s">
        <v>120</v>
      </c>
      <c r="E2466" s="8" t="s">
        <v>1481</v>
      </c>
      <c r="F2466" s="8">
        <v>1</v>
      </c>
      <c r="G2466" s="8">
        <v>0</v>
      </c>
      <c r="H2466" s="8">
        <v>0</v>
      </c>
      <c r="I2466" s="8">
        <v>0</v>
      </c>
      <c r="J2466" s="11">
        <v>0.04761904761904762</v>
      </c>
      <c r="K2466" s="8" t="s">
        <v>791</v>
      </c>
      <c r="L2466" s="8" t="s">
        <v>1941</v>
      </c>
      <c r="M2466" s="8">
        <v>51</v>
      </c>
    </row>
    <row r="2467" spans="1:13" ht="25" customHeight="1">
      <c r="A2467" s="12">
        <v>43</v>
      </c>
      <c r="B2467" s="8">
        <v>1</v>
      </c>
      <c r="C2467" s="8" t="s">
        <v>711</v>
      </c>
      <c r="D2467" s="8" t="s">
        <v>120</v>
      </c>
      <c r="E2467" s="8" t="s">
        <v>1483</v>
      </c>
      <c r="F2467" s="8">
        <v>1</v>
      </c>
      <c r="G2467" s="8">
        <v>0</v>
      </c>
      <c r="H2467" s="8">
        <v>0</v>
      </c>
      <c r="I2467" s="8">
        <v>1</v>
      </c>
      <c r="J2467" s="11">
        <v>0.5</v>
      </c>
      <c r="K2467" s="8" t="s">
        <v>791</v>
      </c>
      <c r="L2467" s="8" t="s">
        <v>1941</v>
      </c>
      <c r="M2467" s="8">
        <v>52</v>
      </c>
    </row>
    <row r="2468" spans="1:13" ht="25" customHeight="1">
      <c r="A2468" s="12">
        <v>44</v>
      </c>
      <c r="B2468" s="8">
        <v>1</v>
      </c>
      <c r="C2468" s="8" t="s">
        <v>706</v>
      </c>
      <c r="D2468" s="8" t="s">
        <v>877</v>
      </c>
      <c r="E2468" s="8" t="s">
        <v>1447</v>
      </c>
      <c r="F2468" s="8">
        <v>1</v>
      </c>
      <c r="G2468" s="8">
        <v>0</v>
      </c>
      <c r="H2468" s="8">
        <v>0</v>
      </c>
      <c r="I2468" s="8">
        <v>0</v>
      </c>
      <c r="J2468" s="8">
        <v>1</v>
      </c>
      <c r="K2468" s="8" t="s">
        <v>791</v>
      </c>
      <c r="L2468" s="8" t="s">
        <v>1941</v>
      </c>
      <c r="M2468" s="8">
        <v>53</v>
      </c>
    </row>
    <row r="2469" spans="1:13" ht="25" customHeight="1">
      <c r="A2469" s="12">
        <v>45</v>
      </c>
      <c r="B2469" s="8">
        <v>1</v>
      </c>
      <c r="C2469" s="8" t="s">
        <v>716</v>
      </c>
      <c r="D2469" s="8" t="s">
        <v>120</v>
      </c>
      <c r="E2469" s="8" t="s">
        <v>1488</v>
      </c>
      <c r="F2469" s="8">
        <v>1</v>
      </c>
      <c r="G2469" s="8">
        <v>1</v>
      </c>
      <c r="H2469" s="8">
        <v>0</v>
      </c>
      <c r="I2469" s="8">
        <v>6</v>
      </c>
      <c r="J2469" s="11">
        <v>0.04761904761904762</v>
      </c>
      <c r="K2469" s="8" t="s">
        <v>791</v>
      </c>
      <c r="L2469" s="8" t="s">
        <v>1941</v>
      </c>
      <c r="M2469" s="8">
        <v>55</v>
      </c>
    </row>
    <row r="2470" spans="1:13" ht="25" customHeight="1">
      <c r="A2470" s="12">
        <v>46</v>
      </c>
      <c r="B2470" s="8">
        <v>1</v>
      </c>
      <c r="C2470" s="8" t="s">
        <v>716</v>
      </c>
      <c r="D2470" s="8" t="s">
        <v>120</v>
      </c>
      <c r="E2470" s="8" t="s">
        <v>1491</v>
      </c>
      <c r="F2470" s="8">
        <v>1</v>
      </c>
      <c r="G2470" s="8">
        <v>1</v>
      </c>
      <c r="H2470" s="8">
        <v>0</v>
      </c>
      <c r="I2470" s="8">
        <v>4</v>
      </c>
      <c r="J2470" s="11">
        <v>0.04761904761904762</v>
      </c>
      <c r="K2470" s="8" t="s">
        <v>791</v>
      </c>
      <c r="L2470" s="8" t="s">
        <v>1941</v>
      </c>
      <c r="M2470" s="8">
        <v>57</v>
      </c>
    </row>
    <row r="2471" spans="1:13" ht="25" customHeight="1">
      <c r="A2471" s="12">
        <v>47</v>
      </c>
      <c r="B2471" s="8">
        <v>1</v>
      </c>
      <c r="C2471" s="8" t="s">
        <v>716</v>
      </c>
      <c r="D2471" s="8" t="s">
        <v>120</v>
      </c>
      <c r="E2471" s="8" t="s">
        <v>1422</v>
      </c>
      <c r="F2471" s="8">
        <v>1</v>
      </c>
      <c r="G2471" s="8">
        <v>1</v>
      </c>
      <c r="H2471" s="8">
        <v>0</v>
      </c>
      <c r="I2471" s="8">
        <v>4</v>
      </c>
      <c r="J2471" s="11">
        <v>0.04761904761904762</v>
      </c>
      <c r="K2471" s="8" t="s">
        <v>791</v>
      </c>
      <c r="L2471" s="8" t="s">
        <v>1941</v>
      </c>
      <c r="M2471" s="8">
        <v>58</v>
      </c>
    </row>
    <row r="2472" spans="1:13" ht="25" customHeight="1">
      <c r="A2472" s="12">
        <v>48</v>
      </c>
      <c r="B2472" s="8">
        <v>1</v>
      </c>
      <c r="C2472" s="8" t="s">
        <v>716</v>
      </c>
      <c r="D2472" s="8" t="s">
        <v>120</v>
      </c>
      <c r="E2472" s="8" t="s">
        <v>1494</v>
      </c>
      <c r="F2472" s="8">
        <v>1</v>
      </c>
      <c r="G2472" s="8">
        <v>0</v>
      </c>
      <c r="H2472" s="8">
        <v>0</v>
      </c>
      <c r="I2472" s="8">
        <v>0</v>
      </c>
      <c r="J2472" s="11">
        <v>0.04761904761904762</v>
      </c>
      <c r="K2472" s="8" t="s">
        <v>791</v>
      </c>
      <c r="L2472" s="8" t="s">
        <v>1941</v>
      </c>
      <c r="M2472" s="8">
        <v>59</v>
      </c>
    </row>
    <row r="2473" spans="1:13" ht="25" customHeight="1">
      <c r="A2473" s="12">
        <v>49</v>
      </c>
      <c r="B2473" s="8">
        <v>1</v>
      </c>
      <c r="C2473" s="8" t="s">
        <v>716</v>
      </c>
      <c r="D2473" s="8" t="s">
        <v>120</v>
      </c>
      <c r="E2473" s="8" t="s">
        <v>1496</v>
      </c>
      <c r="F2473" s="8">
        <v>1</v>
      </c>
      <c r="G2473" s="8">
        <v>0</v>
      </c>
      <c r="H2473" s="8">
        <v>0</v>
      </c>
      <c r="I2473" s="8">
        <v>-15</v>
      </c>
      <c r="J2473" s="11">
        <v>0.04761904761904762</v>
      </c>
      <c r="K2473" s="8" t="s">
        <v>791</v>
      </c>
      <c r="L2473" s="8" t="s">
        <v>1941</v>
      </c>
      <c r="M2473" s="8">
        <v>60</v>
      </c>
    </row>
    <row r="2474" spans="1:13" ht="25" customHeight="1">
      <c r="A2474" s="12">
        <v>50</v>
      </c>
      <c r="B2474" s="8">
        <v>1</v>
      </c>
      <c r="C2474" s="8" t="s">
        <v>716</v>
      </c>
      <c r="D2474" s="8" t="s">
        <v>120</v>
      </c>
      <c r="E2474" s="8" t="s">
        <v>1420</v>
      </c>
      <c r="F2474" s="8">
        <v>1</v>
      </c>
      <c r="G2474" s="8">
        <v>0</v>
      </c>
      <c r="H2474" s="8">
        <v>0</v>
      </c>
      <c r="I2474" s="8">
        <v>-1</v>
      </c>
      <c r="J2474" s="11">
        <v>0.04761904761904762</v>
      </c>
      <c r="K2474" s="8" t="s">
        <v>791</v>
      </c>
      <c r="L2474" s="8" t="s">
        <v>1941</v>
      </c>
      <c r="M2474" s="8">
        <v>62</v>
      </c>
    </row>
    <row r="2475" spans="1:13" ht="25" customHeight="1">
      <c r="A2475" s="12">
        <v>51</v>
      </c>
      <c r="B2475" s="8">
        <v>1</v>
      </c>
      <c r="C2475" s="8" t="s">
        <v>716</v>
      </c>
      <c r="D2475" s="8" t="s">
        <v>120</v>
      </c>
      <c r="E2475" s="8" t="s">
        <v>1499</v>
      </c>
      <c r="F2475" s="8">
        <v>1</v>
      </c>
      <c r="G2475" s="8">
        <v>1</v>
      </c>
      <c r="H2475" s="8">
        <v>0</v>
      </c>
      <c r="I2475" s="8">
        <v>13</v>
      </c>
      <c r="J2475" s="11">
        <v>0.04761904761904762</v>
      </c>
      <c r="K2475" s="8" t="s">
        <v>791</v>
      </c>
      <c r="L2475" s="8" t="s">
        <v>1941</v>
      </c>
      <c r="M2475" s="8">
        <v>63</v>
      </c>
    </row>
    <row r="2476" spans="1:13" ht="25" customHeight="1">
      <c r="A2476" s="12">
        <v>52</v>
      </c>
      <c r="B2476" s="8">
        <v>1</v>
      </c>
      <c r="C2476" s="8" t="s">
        <v>720</v>
      </c>
      <c r="D2476" s="8" t="s">
        <v>803</v>
      </c>
      <c r="E2476" s="8" t="s">
        <v>816</v>
      </c>
      <c r="F2476" s="8">
        <v>1</v>
      </c>
      <c r="G2476" s="8">
        <v>1</v>
      </c>
      <c r="H2476" s="8">
        <v>0</v>
      </c>
      <c r="I2476" s="8">
        <v>3</v>
      </c>
      <c r="J2476" s="8">
        <v>1</v>
      </c>
      <c r="K2476" s="8" t="s">
        <v>791</v>
      </c>
      <c r="L2476" s="8" t="s">
        <v>1941</v>
      </c>
      <c r="M2476" s="8">
        <v>65</v>
      </c>
    </row>
    <row r="2477" spans="1:13" ht="25" customHeight="1">
      <c r="A2477" s="12">
        <v>53</v>
      </c>
      <c r="B2477" s="8">
        <v>1</v>
      </c>
      <c r="C2477" s="8" t="s">
        <v>716</v>
      </c>
      <c r="D2477" s="8" t="s">
        <v>803</v>
      </c>
      <c r="E2477" s="8" t="s">
        <v>1503</v>
      </c>
      <c r="F2477" s="8">
        <v>1</v>
      </c>
      <c r="G2477" s="8">
        <v>1</v>
      </c>
      <c r="H2477" s="8">
        <v>0</v>
      </c>
      <c r="I2477" s="8">
        <v>6</v>
      </c>
      <c r="J2477" s="8">
        <v>1</v>
      </c>
      <c r="K2477" s="8" t="s">
        <v>791</v>
      </c>
      <c r="L2477" s="8" t="s">
        <v>1941</v>
      </c>
      <c r="M2477" s="8">
        <v>66</v>
      </c>
    </row>
    <row r="2478" spans="1:13" ht="25" customHeight="1">
      <c r="A2478" s="12">
        <v>54</v>
      </c>
      <c r="B2478" s="8">
        <v>1</v>
      </c>
      <c r="C2478" s="8" t="s">
        <v>716</v>
      </c>
      <c r="D2478" s="8" t="s">
        <v>802</v>
      </c>
      <c r="E2478" s="8" t="s">
        <v>1506</v>
      </c>
      <c r="F2478" s="8">
        <v>1</v>
      </c>
      <c r="G2478" s="8">
        <v>0</v>
      </c>
      <c r="H2478" s="8">
        <v>0</v>
      </c>
      <c r="I2478" s="8">
        <v>2</v>
      </c>
      <c r="J2478" s="11">
        <v>0.3333333333333333</v>
      </c>
      <c r="K2478" s="8" t="s">
        <v>791</v>
      </c>
      <c r="L2478" s="8" t="s">
        <v>1941</v>
      </c>
      <c r="M2478" s="8">
        <v>67</v>
      </c>
    </row>
    <row r="2479" spans="1:13" ht="25" customHeight="1">
      <c r="A2479" s="12">
        <v>55</v>
      </c>
      <c r="B2479" s="8">
        <v>1</v>
      </c>
      <c r="C2479" s="8" t="s">
        <v>711</v>
      </c>
      <c r="D2479" s="8" t="s">
        <v>802</v>
      </c>
      <c r="E2479" s="8" t="s">
        <v>1509</v>
      </c>
      <c r="F2479" s="8">
        <v>1</v>
      </c>
      <c r="G2479" s="8">
        <v>1</v>
      </c>
      <c r="H2479" s="8">
        <v>0</v>
      </c>
      <c r="I2479" s="8">
        <v>4</v>
      </c>
      <c r="J2479" s="8">
        <v>1</v>
      </c>
      <c r="K2479" s="8" t="s">
        <v>791</v>
      </c>
      <c r="L2479" s="8" t="s">
        <v>1941</v>
      </c>
      <c r="M2479" s="8">
        <v>68</v>
      </c>
    </row>
    <row r="2480" spans="1:13" ht="25" customHeight="1">
      <c r="A2480" s="12">
        <v>56</v>
      </c>
      <c r="B2480" s="8">
        <v>1</v>
      </c>
      <c r="C2480" s="8" t="s">
        <v>716</v>
      </c>
      <c r="D2480" s="8" t="s">
        <v>802</v>
      </c>
      <c r="E2480" s="8" t="s">
        <v>816</v>
      </c>
      <c r="F2480" s="8">
        <v>1</v>
      </c>
      <c r="G2480" s="8">
        <v>1</v>
      </c>
      <c r="H2480" s="8">
        <v>0</v>
      </c>
      <c r="I2480" s="8">
        <v>11</v>
      </c>
      <c r="J2480" s="11">
        <v>0.3333333333333333</v>
      </c>
      <c r="K2480" s="8" t="s">
        <v>791</v>
      </c>
      <c r="L2480" s="8" t="s">
        <v>1941</v>
      </c>
      <c r="M2480" s="8">
        <v>69</v>
      </c>
    </row>
    <row r="2481" spans="1:14" ht="25" customHeight="1">
      <c r="A2481" s="12">
        <v>57</v>
      </c>
      <c r="B2481" s="8">
        <v>1</v>
      </c>
      <c r="C2481" s="8" t="s">
        <v>716</v>
      </c>
      <c r="D2481" s="8" t="s">
        <v>802</v>
      </c>
      <c r="E2481" s="8" t="s">
        <v>823</v>
      </c>
      <c r="F2481" s="8">
        <v>1</v>
      </c>
      <c r="G2481" s="8">
        <v>1</v>
      </c>
      <c r="H2481" s="8">
        <v>0</v>
      </c>
      <c r="I2481" s="8">
        <v>5</v>
      </c>
      <c r="J2481" s="11">
        <v>0.3333333333333333</v>
      </c>
      <c r="K2481" s="8" t="s">
        <v>791</v>
      </c>
      <c r="L2481" s="8" t="s">
        <v>1941</v>
      </c>
      <c r="M2481" s="8">
        <v>70</v>
      </c>
    </row>
    <row r="2482" spans="1:14" ht="25" customHeight="1">
      <c r="A2482" s="12">
        <v>58</v>
      </c>
      <c r="B2482" s="8">
        <v>2</v>
      </c>
      <c r="C2482" s="8" t="s">
        <v>716</v>
      </c>
      <c r="D2482" s="8" t="s">
        <v>120</v>
      </c>
      <c r="E2482" s="8" t="s">
        <v>1516</v>
      </c>
      <c r="F2482" s="8">
        <v>1</v>
      </c>
      <c r="G2482" s="8">
        <v>0</v>
      </c>
      <c r="H2482" s="8">
        <v>0</v>
      </c>
      <c r="I2482" s="8">
        <v>0</v>
      </c>
      <c r="J2482" s="11">
        <v>0.04347826086956522</v>
      </c>
      <c r="K2482" s="8" t="s">
        <v>791</v>
      </c>
      <c r="L2482" s="8" t="s">
        <v>1941</v>
      </c>
      <c r="M2482" s="8">
        <v>71</v>
      </c>
    </row>
    <row r="2483" spans="1:14" ht="25" customHeight="1">
      <c r="A2483" s="12">
        <v>59</v>
      </c>
      <c r="B2483" s="8">
        <v>2</v>
      </c>
      <c r="C2483" s="8" t="s">
        <v>711</v>
      </c>
      <c r="D2483" s="8" t="s">
        <v>120</v>
      </c>
      <c r="E2483" s="8" t="s">
        <v>1491</v>
      </c>
      <c r="F2483" s="8">
        <v>1</v>
      </c>
      <c r="G2483" s="8">
        <v>0</v>
      </c>
      <c r="H2483" s="8">
        <v>0</v>
      </c>
      <c r="I2483" s="8">
        <v>-4</v>
      </c>
      <c r="J2483" s="11">
        <v>0.1428571428571428</v>
      </c>
      <c r="K2483" s="8" t="s">
        <v>791</v>
      </c>
      <c r="L2483" s="8" t="s">
        <v>1941</v>
      </c>
      <c r="M2483" s="8">
        <v>72</v>
      </c>
    </row>
    <row r="2484" spans="1:14" ht="25" customHeight="1">
      <c r="A2484" s="12">
        <v>60</v>
      </c>
      <c r="B2484" s="8">
        <v>2</v>
      </c>
      <c r="C2484" s="8" t="s">
        <v>716</v>
      </c>
      <c r="D2484" s="8" t="s">
        <v>120</v>
      </c>
      <c r="E2484" s="8" t="s">
        <v>1413</v>
      </c>
      <c r="F2484" s="8">
        <v>1</v>
      </c>
      <c r="G2484" s="8">
        <v>0</v>
      </c>
      <c r="H2484" s="8">
        <v>0</v>
      </c>
      <c r="I2484" s="8">
        <v>1</v>
      </c>
      <c r="J2484" s="11">
        <v>0.04347826086956522</v>
      </c>
      <c r="K2484" s="8" t="s">
        <v>791</v>
      </c>
      <c r="L2484" s="8" t="s">
        <v>1941</v>
      </c>
      <c r="M2484" s="8">
        <v>73</v>
      </c>
    </row>
    <row r="2485" spans="1:14" ht="25" customHeight="1">
      <c r="A2485" s="12">
        <v>61</v>
      </c>
      <c r="B2485" s="8">
        <v>2</v>
      </c>
      <c r="C2485" s="8" t="s">
        <v>716</v>
      </c>
      <c r="D2485" s="8" t="s">
        <v>120</v>
      </c>
      <c r="E2485" s="8" t="s">
        <v>1523</v>
      </c>
      <c r="F2485" s="8">
        <v>1</v>
      </c>
      <c r="G2485" s="8">
        <v>1</v>
      </c>
      <c r="H2485" s="8">
        <v>0</v>
      </c>
      <c r="I2485" s="8">
        <v>12</v>
      </c>
      <c r="J2485" s="11">
        <v>0.04347826086956522</v>
      </c>
      <c r="K2485" s="8" t="s">
        <v>791</v>
      </c>
      <c r="L2485" s="8" t="s">
        <v>1941</v>
      </c>
      <c r="M2485" s="8">
        <v>74</v>
      </c>
    </row>
    <row r="2486" spans="1:14" ht="25" customHeight="1">
      <c r="A2486" s="12">
        <v>62</v>
      </c>
      <c r="B2486" s="8">
        <v>2</v>
      </c>
      <c r="C2486" s="8" t="s">
        <v>706</v>
      </c>
      <c r="D2486" s="8" t="s">
        <v>120</v>
      </c>
      <c r="E2486" s="8" t="s">
        <v>1431</v>
      </c>
      <c r="F2486" s="8">
        <v>1</v>
      </c>
      <c r="G2486" s="8">
        <v>0</v>
      </c>
      <c r="H2486" s="8">
        <v>0</v>
      </c>
      <c r="I2486" s="8">
        <v>0</v>
      </c>
      <c r="J2486" s="11">
        <v>0.1666666666666667</v>
      </c>
      <c r="K2486" s="8" t="s">
        <v>791</v>
      </c>
      <c r="L2486" s="8" t="s">
        <v>1941</v>
      </c>
      <c r="M2486" s="8">
        <v>75</v>
      </c>
    </row>
    <row r="2487" spans="1:14" ht="25" customHeight="1">
      <c r="A2487" s="12">
        <v>63</v>
      </c>
      <c r="B2487" s="8">
        <v>2</v>
      </c>
      <c r="C2487" s="8" t="s">
        <v>716</v>
      </c>
      <c r="D2487" s="8" t="s">
        <v>120</v>
      </c>
      <c r="E2487" s="8" t="s">
        <v>1528</v>
      </c>
      <c r="F2487" s="8">
        <v>1</v>
      </c>
      <c r="G2487" s="8">
        <v>1</v>
      </c>
      <c r="H2487" s="8">
        <v>0</v>
      </c>
      <c r="I2487" s="8">
        <v>11</v>
      </c>
      <c r="J2487" s="11">
        <v>0.04347826086956522</v>
      </c>
      <c r="K2487" s="8" t="s">
        <v>791</v>
      </c>
      <c r="L2487" s="8" t="s">
        <v>1941</v>
      </c>
      <c r="M2487" s="8">
        <v>76</v>
      </c>
    </row>
    <row r="2488" spans="1:14" ht="25" customHeight="1">
      <c r="A2488" s="12">
        <v>64</v>
      </c>
      <c r="B2488" s="8">
        <v>2</v>
      </c>
      <c r="C2488" s="8" t="s">
        <v>720</v>
      </c>
      <c r="D2488" s="8" t="s">
        <v>120</v>
      </c>
      <c r="E2488" s="8" t="s">
        <v>1530</v>
      </c>
      <c r="F2488" s="8">
        <v>1</v>
      </c>
      <c r="G2488" s="8">
        <v>0</v>
      </c>
      <c r="H2488" s="8">
        <v>0</v>
      </c>
      <c r="I2488" s="8">
        <v>6</v>
      </c>
      <c r="J2488" s="11">
        <v>0.2</v>
      </c>
      <c r="K2488" s="8" t="s">
        <v>791</v>
      </c>
      <c r="L2488" s="8" t="s">
        <v>1941</v>
      </c>
      <c r="M2488" s="8">
        <v>77</v>
      </c>
    </row>
    <row r="2489" spans="1:14" ht="25" customHeight="1">
      <c r="A2489" s="12">
        <v>65</v>
      </c>
      <c r="B2489" s="8">
        <v>2</v>
      </c>
      <c r="C2489" s="8" t="s">
        <v>706</v>
      </c>
      <c r="D2489" s="8" t="s">
        <v>120</v>
      </c>
      <c r="E2489" s="8" t="s">
        <v>1533</v>
      </c>
      <c r="F2489" s="8">
        <v>1</v>
      </c>
      <c r="G2489" s="8">
        <v>0</v>
      </c>
      <c r="H2489" s="8">
        <v>0</v>
      </c>
      <c r="I2489" s="8">
        <v>-3</v>
      </c>
      <c r="J2489" s="11">
        <v>0.1666666666666667</v>
      </c>
      <c r="K2489" s="8" t="s">
        <v>791</v>
      </c>
      <c r="L2489" s="8" t="s">
        <v>1941</v>
      </c>
      <c r="M2489" s="8">
        <v>78</v>
      </c>
    </row>
    <row r="2490" spans="1:14" ht="25" customHeight="1">
      <c r="A2490" s="12">
        <v>66</v>
      </c>
      <c r="B2490" s="8">
        <v>2</v>
      </c>
      <c r="C2490" s="8" t="s">
        <v>706</v>
      </c>
      <c r="D2490" s="8" t="s">
        <v>120</v>
      </c>
      <c r="E2490" s="8" t="s">
        <v>1536</v>
      </c>
      <c r="F2490" s="8">
        <v>1</v>
      </c>
      <c r="G2490" s="8">
        <v>0</v>
      </c>
      <c r="H2490" s="8">
        <v>0</v>
      </c>
      <c r="I2490" s="8">
        <v>0</v>
      </c>
      <c r="J2490" s="11">
        <v>0.1666666666666667</v>
      </c>
      <c r="K2490" s="8" t="s">
        <v>791</v>
      </c>
      <c r="L2490" s="8" t="s">
        <v>1941</v>
      </c>
      <c r="M2490" s="8">
        <v>79</v>
      </c>
    </row>
    <row r="2491" spans="1:14" ht="25" customHeight="1">
      <c r="A2491" s="12">
        <v>67</v>
      </c>
      <c r="B2491" s="8">
        <v>2</v>
      </c>
      <c r="C2491" s="8" t="s">
        <v>711</v>
      </c>
      <c r="D2491" s="8" t="s">
        <v>120</v>
      </c>
      <c r="E2491" s="8" t="s">
        <v>816</v>
      </c>
      <c r="F2491" s="8">
        <v>2</v>
      </c>
      <c r="G2491" s="11">
        <v>0.5</v>
      </c>
      <c r="H2491" s="8">
        <v>0</v>
      </c>
      <c r="I2491" s="11">
        <v>5.5</v>
      </c>
      <c r="J2491" s="11">
        <v>0.2857142857142857</v>
      </c>
      <c r="K2491" s="8" t="s">
        <v>791</v>
      </c>
      <c r="L2491" s="8" t="s">
        <v>796</v>
      </c>
      <c r="M2491" s="8">
        <v>80</v>
      </c>
      <c r="N2491" s="8">
        <v>8</v>
      </c>
    </row>
    <row r="2492" spans="1:14" ht="25" customHeight="1">
      <c r="A2492" s="12">
        <v>68</v>
      </c>
      <c r="B2492" s="8">
        <v>2</v>
      </c>
      <c r="C2492" s="8" t="s">
        <v>716</v>
      </c>
      <c r="D2492" s="8" t="s">
        <v>120</v>
      </c>
      <c r="E2492" s="8" t="s">
        <v>1410</v>
      </c>
      <c r="F2492" s="8">
        <v>1</v>
      </c>
      <c r="G2492" s="8">
        <v>1</v>
      </c>
      <c r="H2492" s="8">
        <v>0</v>
      </c>
      <c r="I2492" s="8">
        <v>8</v>
      </c>
      <c r="J2492" s="11">
        <v>0.04347826086956522</v>
      </c>
      <c r="K2492" s="8" t="s">
        <v>791</v>
      </c>
      <c r="L2492" s="8" t="s">
        <v>1941</v>
      </c>
      <c r="M2492" s="8">
        <v>81</v>
      </c>
    </row>
    <row r="2493" spans="1:14" ht="25" customHeight="1">
      <c r="A2493" s="12">
        <v>69</v>
      </c>
      <c r="B2493" s="8">
        <v>2</v>
      </c>
      <c r="C2493" s="8" t="s">
        <v>711</v>
      </c>
      <c r="D2493" s="8" t="s">
        <v>120</v>
      </c>
      <c r="E2493" s="8" t="s">
        <v>1541</v>
      </c>
      <c r="F2493" s="8">
        <v>1</v>
      </c>
      <c r="G2493" s="8">
        <v>0</v>
      </c>
      <c r="H2493" s="8">
        <v>0</v>
      </c>
      <c r="I2493" s="8">
        <v>1</v>
      </c>
      <c r="J2493" s="11">
        <v>0.1428571428571428</v>
      </c>
      <c r="K2493" s="8" t="s">
        <v>791</v>
      </c>
      <c r="L2493" s="8" t="s">
        <v>1941</v>
      </c>
      <c r="M2493" s="8">
        <v>82</v>
      </c>
    </row>
    <row r="2494" spans="1:14" ht="25" customHeight="1">
      <c r="A2494" s="12">
        <v>70</v>
      </c>
      <c r="B2494" s="8">
        <v>2</v>
      </c>
      <c r="C2494" s="8" t="s">
        <v>716</v>
      </c>
      <c r="D2494" s="8" t="s">
        <v>120</v>
      </c>
      <c r="E2494" s="8" t="s">
        <v>1544</v>
      </c>
      <c r="F2494" s="8">
        <v>1</v>
      </c>
      <c r="G2494" s="8">
        <v>1</v>
      </c>
      <c r="H2494" s="8">
        <v>1</v>
      </c>
      <c r="I2494" s="8">
        <v>34</v>
      </c>
      <c r="J2494" s="11">
        <v>0.04347826086956522</v>
      </c>
      <c r="K2494" s="8" t="s">
        <v>791</v>
      </c>
      <c r="L2494" s="8" t="s">
        <v>1941</v>
      </c>
      <c r="M2494" s="8">
        <v>83</v>
      </c>
    </row>
    <row r="2495" spans="1:14" ht="25" customHeight="1">
      <c r="A2495" s="12">
        <v>71</v>
      </c>
      <c r="B2495" s="8">
        <v>2</v>
      </c>
      <c r="C2495" s="8" t="s">
        <v>716</v>
      </c>
      <c r="D2495" s="8" t="s">
        <v>120</v>
      </c>
      <c r="E2495" s="8" t="s">
        <v>1546</v>
      </c>
      <c r="F2495" s="8">
        <v>1</v>
      </c>
      <c r="G2495" s="8">
        <v>0</v>
      </c>
      <c r="H2495" s="8">
        <v>0</v>
      </c>
      <c r="I2495" s="8">
        <v>0</v>
      </c>
      <c r="J2495" s="11">
        <v>0.04347826086956522</v>
      </c>
      <c r="K2495" s="8" t="s">
        <v>791</v>
      </c>
      <c r="L2495" s="8" t="s">
        <v>1941</v>
      </c>
      <c r="M2495" s="8">
        <v>84</v>
      </c>
    </row>
    <row r="2496" spans="1:14" ht="25" customHeight="1">
      <c r="A2496" s="12">
        <v>72</v>
      </c>
      <c r="B2496" s="8">
        <v>2</v>
      </c>
      <c r="C2496" s="8" t="s">
        <v>720</v>
      </c>
      <c r="D2496" s="8" t="s">
        <v>120</v>
      </c>
      <c r="E2496" s="8" t="s">
        <v>821</v>
      </c>
      <c r="F2496" s="8">
        <v>1</v>
      </c>
      <c r="G2496" s="8">
        <v>1</v>
      </c>
      <c r="H2496" s="8">
        <v>1</v>
      </c>
      <c r="I2496" s="8">
        <v>21</v>
      </c>
      <c r="J2496" s="11">
        <v>0.2</v>
      </c>
      <c r="K2496" s="8" t="s">
        <v>791</v>
      </c>
      <c r="L2496" s="8" t="s">
        <v>1941</v>
      </c>
      <c r="M2496" s="8">
        <v>85</v>
      </c>
    </row>
    <row r="2497" spans="1:14" ht="25" customHeight="1">
      <c r="A2497" s="12">
        <v>73</v>
      </c>
      <c r="B2497" s="8">
        <v>2</v>
      </c>
      <c r="C2497" s="8" t="s">
        <v>716</v>
      </c>
      <c r="D2497" s="8" t="s">
        <v>120</v>
      </c>
      <c r="E2497" s="8" t="s">
        <v>1550</v>
      </c>
      <c r="F2497" s="8">
        <v>1</v>
      </c>
      <c r="G2497" s="8">
        <v>0</v>
      </c>
      <c r="H2497" s="8">
        <v>0</v>
      </c>
      <c r="I2497" s="8">
        <v>0</v>
      </c>
      <c r="J2497" s="11">
        <v>0.04347826086956522</v>
      </c>
      <c r="K2497" s="8" t="s">
        <v>791</v>
      </c>
      <c r="L2497" s="8" t="s">
        <v>1941</v>
      </c>
      <c r="M2497" s="8">
        <v>86</v>
      </c>
    </row>
    <row r="2498" spans="1:14" ht="25" customHeight="1">
      <c r="A2498" s="12">
        <v>74</v>
      </c>
      <c r="B2498" s="8">
        <v>2</v>
      </c>
      <c r="C2498" s="8" t="s">
        <v>711</v>
      </c>
      <c r="D2498" s="8" t="s">
        <v>123</v>
      </c>
      <c r="E2498" s="8" t="s">
        <v>1398</v>
      </c>
      <c r="F2498" s="8">
        <v>1</v>
      </c>
      <c r="G2498" s="8">
        <v>0</v>
      </c>
      <c r="H2498" s="8">
        <v>0</v>
      </c>
      <c r="I2498" s="8">
        <v>0</v>
      </c>
      <c r="J2498" s="8">
        <v>1</v>
      </c>
      <c r="K2498" s="8" t="s">
        <v>791</v>
      </c>
      <c r="L2498" s="8" t="s">
        <v>1941</v>
      </c>
      <c r="M2498" s="8">
        <v>87</v>
      </c>
    </row>
    <row r="2499" spans="1:14" ht="25" customHeight="1">
      <c r="A2499" s="12">
        <v>75</v>
      </c>
      <c r="B2499" s="8">
        <v>2</v>
      </c>
      <c r="C2499" s="8" t="s">
        <v>716</v>
      </c>
      <c r="D2499" s="8" t="s">
        <v>120</v>
      </c>
      <c r="E2499" s="8" t="s">
        <v>816</v>
      </c>
      <c r="F2499" s="8">
        <v>4</v>
      </c>
      <c r="G2499" s="11">
        <v>0.5</v>
      </c>
      <c r="H2499" s="8">
        <v>0</v>
      </c>
      <c r="I2499" s="11">
        <v>1.75</v>
      </c>
      <c r="J2499" s="11">
        <v>0.1739130434782609</v>
      </c>
      <c r="K2499" s="8" t="s">
        <v>795</v>
      </c>
      <c r="L2499" s="8" t="s">
        <v>796</v>
      </c>
      <c r="M2499" s="8">
        <v>89</v>
      </c>
      <c r="N2499" s="8">
        <v>9</v>
      </c>
    </row>
    <row r="2500" spans="1:14" ht="25" customHeight="1">
      <c r="A2500" s="12">
        <v>76</v>
      </c>
      <c r="B2500" s="8">
        <v>2</v>
      </c>
      <c r="C2500" s="8" t="s">
        <v>706</v>
      </c>
      <c r="D2500" s="8" t="s">
        <v>120</v>
      </c>
      <c r="E2500" s="8" t="s">
        <v>820</v>
      </c>
      <c r="F2500" s="8">
        <v>1</v>
      </c>
      <c r="G2500" s="8">
        <v>0</v>
      </c>
      <c r="H2500" s="8">
        <v>0</v>
      </c>
      <c r="I2500" s="8">
        <v>1</v>
      </c>
      <c r="J2500" s="11">
        <v>0.1666666666666667</v>
      </c>
      <c r="K2500" s="8" t="s">
        <v>791</v>
      </c>
      <c r="L2500" s="8" t="s">
        <v>1941</v>
      </c>
      <c r="M2500" s="8">
        <v>90</v>
      </c>
    </row>
    <row r="2501" spans="1:14" ht="25" customHeight="1">
      <c r="A2501" s="12">
        <v>77</v>
      </c>
      <c r="B2501" s="8">
        <v>2</v>
      </c>
      <c r="C2501" s="8" t="s">
        <v>706</v>
      </c>
      <c r="D2501" s="8" t="s">
        <v>120</v>
      </c>
      <c r="E2501" s="8" t="s">
        <v>1558</v>
      </c>
      <c r="F2501" s="8">
        <v>1</v>
      </c>
      <c r="G2501" s="8">
        <v>1</v>
      </c>
      <c r="H2501" s="8">
        <v>0</v>
      </c>
      <c r="I2501" s="8">
        <v>1</v>
      </c>
      <c r="J2501" s="11">
        <v>0.1666666666666667</v>
      </c>
      <c r="K2501" s="8" t="s">
        <v>791</v>
      </c>
      <c r="L2501" s="8" t="s">
        <v>1941</v>
      </c>
      <c r="M2501" s="8">
        <v>91</v>
      </c>
    </row>
    <row r="2502" spans="1:14" ht="25" customHeight="1">
      <c r="A2502" s="12">
        <v>78</v>
      </c>
      <c r="B2502" s="8">
        <v>2</v>
      </c>
      <c r="C2502" s="8" t="s">
        <v>716</v>
      </c>
      <c r="D2502" s="8" t="s">
        <v>120</v>
      </c>
      <c r="E2502" s="8" t="s">
        <v>1398</v>
      </c>
      <c r="F2502" s="8">
        <v>1</v>
      </c>
      <c r="G2502" s="8">
        <v>1</v>
      </c>
      <c r="H2502" s="8">
        <v>0</v>
      </c>
      <c r="I2502" s="8">
        <v>5</v>
      </c>
      <c r="J2502" s="11">
        <v>0.04347826086956522</v>
      </c>
      <c r="K2502" s="8" t="s">
        <v>791</v>
      </c>
      <c r="L2502" s="8" t="s">
        <v>1941</v>
      </c>
      <c r="M2502" s="8">
        <v>92</v>
      </c>
    </row>
    <row r="2503" spans="1:14" ht="25" customHeight="1">
      <c r="A2503" s="12">
        <v>79</v>
      </c>
      <c r="B2503" s="8">
        <v>2</v>
      </c>
      <c r="C2503" s="8" t="s">
        <v>716</v>
      </c>
      <c r="D2503" s="8" t="s">
        <v>120</v>
      </c>
      <c r="E2503" s="8" t="s">
        <v>49</v>
      </c>
      <c r="F2503" s="8">
        <v>1</v>
      </c>
      <c r="G2503" s="8">
        <v>0</v>
      </c>
      <c r="H2503" s="8">
        <v>0</v>
      </c>
      <c r="I2503" s="8">
        <v>1</v>
      </c>
      <c r="J2503" s="11">
        <v>0.04347826086956522</v>
      </c>
      <c r="K2503" s="8" t="s">
        <v>791</v>
      </c>
      <c r="L2503" s="8" t="s">
        <v>1941</v>
      </c>
      <c r="M2503" s="8">
        <v>94</v>
      </c>
    </row>
    <row r="2504" spans="1:14" ht="25" customHeight="1">
      <c r="A2504" s="12">
        <v>80</v>
      </c>
      <c r="B2504" s="8">
        <v>2</v>
      </c>
      <c r="C2504" s="8" t="s">
        <v>711</v>
      </c>
      <c r="D2504" s="8" t="s">
        <v>120</v>
      </c>
      <c r="E2504" s="8" t="s">
        <v>49</v>
      </c>
      <c r="F2504" s="8">
        <v>1</v>
      </c>
      <c r="G2504" s="8">
        <v>1</v>
      </c>
      <c r="H2504" s="8">
        <v>1</v>
      </c>
      <c r="I2504" s="8">
        <v>37</v>
      </c>
      <c r="J2504" s="11">
        <v>0.1428571428571428</v>
      </c>
      <c r="K2504" s="8" t="s">
        <v>791</v>
      </c>
      <c r="L2504" s="8" t="s">
        <v>1941</v>
      </c>
      <c r="M2504" s="8">
        <v>96</v>
      </c>
    </row>
    <row r="2505" spans="1:14" ht="25" customHeight="1">
      <c r="A2505" s="12">
        <v>81</v>
      </c>
      <c r="B2505" s="8">
        <v>2</v>
      </c>
      <c r="C2505" s="8" t="s">
        <v>716</v>
      </c>
      <c r="D2505" s="8" t="s">
        <v>120</v>
      </c>
      <c r="E2505" s="8" t="s">
        <v>1566</v>
      </c>
      <c r="F2505" s="8">
        <v>1</v>
      </c>
      <c r="G2505" s="8">
        <v>0</v>
      </c>
      <c r="H2505" s="8">
        <v>0</v>
      </c>
      <c r="I2505" s="8">
        <v>1</v>
      </c>
      <c r="J2505" s="11">
        <v>0.04347826086956522</v>
      </c>
      <c r="K2505" s="8" t="s">
        <v>791</v>
      </c>
      <c r="L2505" s="8" t="s">
        <v>1941</v>
      </c>
      <c r="M2505" s="8">
        <v>97</v>
      </c>
    </row>
    <row r="2506" spans="1:14" ht="25" customHeight="1">
      <c r="A2506" s="12">
        <v>82</v>
      </c>
      <c r="B2506" s="8">
        <v>2</v>
      </c>
      <c r="C2506" s="8" t="s">
        <v>716</v>
      </c>
      <c r="D2506" s="8" t="s">
        <v>120</v>
      </c>
      <c r="E2506" s="8" t="s">
        <v>815</v>
      </c>
      <c r="F2506" s="8">
        <v>1</v>
      </c>
      <c r="G2506" s="8">
        <v>0</v>
      </c>
      <c r="H2506" s="8">
        <v>0</v>
      </c>
      <c r="I2506" s="8">
        <v>6</v>
      </c>
      <c r="J2506" s="11">
        <v>0.04347826086956522</v>
      </c>
      <c r="K2506" s="8" t="s">
        <v>791</v>
      </c>
      <c r="L2506" s="8" t="s">
        <v>1941</v>
      </c>
      <c r="M2506" s="8">
        <v>98</v>
      </c>
    </row>
    <row r="2507" spans="1:14" ht="25" customHeight="1">
      <c r="A2507" s="12">
        <v>83</v>
      </c>
      <c r="B2507" s="8">
        <v>2</v>
      </c>
      <c r="C2507" s="8" t="s">
        <v>716</v>
      </c>
      <c r="D2507" s="8" t="s">
        <v>120</v>
      </c>
      <c r="E2507" s="8" t="s">
        <v>1422</v>
      </c>
      <c r="F2507" s="8">
        <v>1</v>
      </c>
      <c r="G2507" s="8">
        <v>1</v>
      </c>
      <c r="H2507" s="8">
        <v>0</v>
      </c>
      <c r="I2507" s="8">
        <v>4</v>
      </c>
      <c r="J2507" s="11">
        <v>0.04347826086956522</v>
      </c>
      <c r="K2507" s="8" t="s">
        <v>791</v>
      </c>
      <c r="L2507" s="8" t="s">
        <v>1941</v>
      </c>
      <c r="M2507" s="8">
        <v>99</v>
      </c>
    </row>
    <row r="2508" spans="1:14" ht="25" customHeight="1">
      <c r="A2508" s="12">
        <v>84</v>
      </c>
      <c r="B2508" s="8">
        <v>2</v>
      </c>
      <c r="C2508" s="8" t="s">
        <v>706</v>
      </c>
      <c r="D2508" s="8" t="s">
        <v>123</v>
      </c>
      <c r="E2508" s="8" t="s">
        <v>823</v>
      </c>
      <c r="F2508" s="8">
        <v>1</v>
      </c>
      <c r="G2508" s="8">
        <v>0</v>
      </c>
      <c r="H2508" s="8">
        <v>0</v>
      </c>
      <c r="I2508" s="8">
        <v>2</v>
      </c>
      <c r="J2508" s="8">
        <v>1</v>
      </c>
      <c r="K2508" s="8" t="s">
        <v>791</v>
      </c>
      <c r="L2508" s="8" t="s">
        <v>1941</v>
      </c>
      <c r="M2508" s="8">
        <v>100</v>
      </c>
    </row>
    <row r="2509" spans="1:14" ht="25" customHeight="1">
      <c r="A2509" s="12">
        <v>85</v>
      </c>
      <c r="B2509" s="8">
        <v>2</v>
      </c>
      <c r="C2509" s="8" t="s">
        <v>716</v>
      </c>
      <c r="D2509" s="8" t="s">
        <v>120</v>
      </c>
      <c r="E2509" s="8" t="s">
        <v>1572</v>
      </c>
      <c r="F2509" s="8">
        <v>1</v>
      </c>
      <c r="G2509" s="8">
        <v>0</v>
      </c>
      <c r="H2509" s="8">
        <v>0</v>
      </c>
      <c r="I2509" s="8">
        <v>0</v>
      </c>
      <c r="J2509" s="11">
        <v>0.04347826086956522</v>
      </c>
      <c r="K2509" s="8" t="s">
        <v>791</v>
      </c>
      <c r="L2509" s="8" t="s">
        <v>1941</v>
      </c>
      <c r="M2509" s="8">
        <v>101</v>
      </c>
    </row>
    <row r="2510" spans="1:14" ht="25" customHeight="1">
      <c r="A2510" s="12">
        <v>86</v>
      </c>
      <c r="B2510" s="8">
        <v>2</v>
      </c>
      <c r="C2510" s="8" t="s">
        <v>711</v>
      </c>
      <c r="D2510" s="8" t="s">
        <v>120</v>
      </c>
      <c r="E2510" s="8" t="s">
        <v>1488</v>
      </c>
      <c r="F2510" s="8">
        <v>1</v>
      </c>
      <c r="G2510" s="8">
        <v>0</v>
      </c>
      <c r="H2510" s="8">
        <v>0</v>
      </c>
      <c r="I2510" s="8">
        <v>2</v>
      </c>
      <c r="J2510" s="11">
        <v>0.1428571428571428</v>
      </c>
      <c r="K2510" s="8" t="s">
        <v>791</v>
      </c>
      <c r="L2510" s="8" t="s">
        <v>1941</v>
      </c>
      <c r="M2510" s="8">
        <v>102</v>
      </c>
    </row>
    <row r="2511" spans="1:14" ht="25" customHeight="1">
      <c r="A2511" s="12">
        <v>87</v>
      </c>
      <c r="B2511" s="8">
        <v>2</v>
      </c>
      <c r="C2511" s="8" t="s">
        <v>706</v>
      </c>
      <c r="D2511" s="8" t="s">
        <v>120</v>
      </c>
      <c r="E2511" s="8" t="s">
        <v>1416</v>
      </c>
      <c r="F2511" s="8">
        <v>1</v>
      </c>
      <c r="G2511" s="8">
        <v>0</v>
      </c>
      <c r="H2511" s="8">
        <v>0</v>
      </c>
      <c r="I2511" s="8">
        <v>0</v>
      </c>
      <c r="J2511" s="11">
        <v>0.1666666666666667</v>
      </c>
      <c r="K2511" s="8" t="s">
        <v>791</v>
      </c>
      <c r="L2511" s="8" t="s">
        <v>1941</v>
      </c>
      <c r="M2511" s="8">
        <v>103</v>
      </c>
    </row>
    <row r="2512" spans="1:14" ht="25" customHeight="1">
      <c r="A2512" s="12">
        <v>88</v>
      </c>
      <c r="B2512" s="8">
        <v>2</v>
      </c>
      <c r="C2512" s="8" t="s">
        <v>711</v>
      </c>
      <c r="D2512" s="8" t="s">
        <v>120</v>
      </c>
      <c r="E2512" s="8" t="s">
        <v>1398</v>
      </c>
      <c r="F2512" s="8">
        <v>1</v>
      </c>
      <c r="G2512" s="8">
        <v>0</v>
      </c>
      <c r="H2512" s="8">
        <v>0</v>
      </c>
      <c r="I2512" s="8">
        <v>0</v>
      </c>
      <c r="J2512" s="11">
        <v>0.1428571428571428</v>
      </c>
      <c r="K2512" s="8" t="s">
        <v>791</v>
      </c>
      <c r="L2512" s="8" t="s">
        <v>1941</v>
      </c>
      <c r="M2512" s="8">
        <v>104</v>
      </c>
    </row>
    <row r="2513" spans="1:13" ht="25" customHeight="1">
      <c r="A2513" s="12">
        <v>89</v>
      </c>
      <c r="B2513" s="8">
        <v>2</v>
      </c>
      <c r="C2513" s="8" t="s">
        <v>716</v>
      </c>
      <c r="D2513" s="8" t="s">
        <v>120</v>
      </c>
      <c r="E2513" s="8" t="s">
        <v>1579</v>
      </c>
      <c r="F2513" s="8">
        <v>1</v>
      </c>
      <c r="G2513" s="8">
        <v>0</v>
      </c>
      <c r="H2513" s="8">
        <v>0</v>
      </c>
      <c r="I2513" s="8">
        <v>0</v>
      </c>
      <c r="J2513" s="11">
        <v>0.04347826086956522</v>
      </c>
      <c r="K2513" s="8" t="s">
        <v>791</v>
      </c>
      <c r="L2513" s="8" t="s">
        <v>1941</v>
      </c>
      <c r="M2513" s="8">
        <v>105</v>
      </c>
    </row>
    <row r="2514" spans="1:13" ht="25" customHeight="1">
      <c r="A2514" s="12">
        <v>90</v>
      </c>
      <c r="B2514" s="8">
        <v>2</v>
      </c>
      <c r="C2514" s="8" t="s">
        <v>716</v>
      </c>
      <c r="D2514" s="8" t="s">
        <v>120</v>
      </c>
      <c r="E2514" s="8" t="s">
        <v>819</v>
      </c>
      <c r="F2514" s="8">
        <v>1</v>
      </c>
      <c r="G2514" s="8">
        <v>0</v>
      </c>
      <c r="H2514" s="8">
        <v>0</v>
      </c>
      <c r="I2514" s="8">
        <v>2</v>
      </c>
      <c r="J2514" s="11">
        <v>0.04347826086956522</v>
      </c>
      <c r="K2514" s="8" t="s">
        <v>791</v>
      </c>
      <c r="L2514" s="8" t="s">
        <v>1941</v>
      </c>
      <c r="M2514" s="8">
        <v>106</v>
      </c>
    </row>
    <row r="2515" spans="1:13" ht="25" customHeight="1">
      <c r="A2515" s="12">
        <v>91</v>
      </c>
      <c r="B2515" s="8">
        <v>2</v>
      </c>
      <c r="C2515" s="8" t="s">
        <v>716</v>
      </c>
      <c r="D2515" s="8" t="s">
        <v>120</v>
      </c>
      <c r="E2515" s="8" t="s">
        <v>1583</v>
      </c>
      <c r="F2515" s="8">
        <v>1</v>
      </c>
      <c r="G2515" s="8">
        <v>0</v>
      </c>
      <c r="H2515" s="8">
        <v>0</v>
      </c>
      <c r="I2515" s="8">
        <v>0</v>
      </c>
      <c r="J2515" s="11">
        <v>0.04347826086956522</v>
      </c>
      <c r="K2515" s="8" t="s">
        <v>791</v>
      </c>
      <c r="L2515" s="8" t="s">
        <v>1941</v>
      </c>
      <c r="M2515" s="8">
        <v>107</v>
      </c>
    </row>
    <row r="2516" spans="1:13" ht="25" customHeight="1">
      <c r="A2516" s="12">
        <v>92</v>
      </c>
      <c r="B2516" s="8">
        <v>2</v>
      </c>
      <c r="C2516" s="8" t="s">
        <v>720</v>
      </c>
      <c r="D2516" s="8" t="s">
        <v>120</v>
      </c>
      <c r="E2516" s="8" t="s">
        <v>819</v>
      </c>
      <c r="F2516" s="8">
        <v>1</v>
      </c>
      <c r="G2516" s="8">
        <v>0</v>
      </c>
      <c r="H2516" s="8">
        <v>0</v>
      </c>
      <c r="I2516" s="8">
        <v>0</v>
      </c>
      <c r="J2516" s="11">
        <v>0.2</v>
      </c>
      <c r="K2516" s="8" t="s">
        <v>791</v>
      </c>
      <c r="L2516" s="8" t="s">
        <v>1941</v>
      </c>
      <c r="M2516" s="8">
        <v>110</v>
      </c>
    </row>
    <row r="2517" spans="1:13" ht="25" customHeight="1">
      <c r="A2517" s="12">
        <v>93</v>
      </c>
      <c r="B2517" s="8">
        <v>2</v>
      </c>
      <c r="C2517" s="8" t="s">
        <v>720</v>
      </c>
      <c r="D2517" s="8" t="s">
        <v>120</v>
      </c>
      <c r="E2517" s="8" t="s">
        <v>823</v>
      </c>
      <c r="F2517" s="8">
        <v>1</v>
      </c>
      <c r="G2517" s="8">
        <v>0</v>
      </c>
      <c r="H2517" s="8">
        <v>0</v>
      </c>
      <c r="I2517" s="8">
        <v>2</v>
      </c>
      <c r="J2517" s="11">
        <v>0.2</v>
      </c>
      <c r="K2517" s="8" t="s">
        <v>791</v>
      </c>
      <c r="L2517" s="8" t="s">
        <v>1941</v>
      </c>
      <c r="M2517" s="8">
        <v>112</v>
      </c>
    </row>
    <row r="2518" spans="1:13" ht="25" customHeight="1">
      <c r="A2518" s="12">
        <v>94</v>
      </c>
      <c r="B2518" s="8">
        <v>2</v>
      </c>
      <c r="C2518" s="8" t="s">
        <v>720</v>
      </c>
      <c r="D2518" s="8" t="s">
        <v>803</v>
      </c>
      <c r="E2518" s="8" t="s">
        <v>1503</v>
      </c>
      <c r="F2518" s="8">
        <v>1</v>
      </c>
      <c r="G2518" s="8">
        <v>1</v>
      </c>
      <c r="H2518" s="8">
        <v>0</v>
      </c>
      <c r="I2518" s="8">
        <v>10</v>
      </c>
      <c r="J2518" s="11">
        <v>0.3333333333333333</v>
      </c>
      <c r="K2518" s="8" t="s">
        <v>791</v>
      </c>
      <c r="L2518" s="8" t="s">
        <v>1941</v>
      </c>
      <c r="M2518" s="8">
        <v>114</v>
      </c>
    </row>
    <row r="2519" spans="1:13" ht="25" customHeight="1">
      <c r="A2519" s="12">
        <v>95</v>
      </c>
      <c r="B2519" s="8">
        <v>2</v>
      </c>
      <c r="C2519" s="8" t="s">
        <v>720</v>
      </c>
      <c r="D2519" s="8" t="s">
        <v>803</v>
      </c>
      <c r="E2519" s="8" t="s">
        <v>816</v>
      </c>
      <c r="F2519" s="8">
        <v>1</v>
      </c>
      <c r="G2519" s="8">
        <v>0</v>
      </c>
      <c r="H2519" s="8">
        <v>0</v>
      </c>
      <c r="I2519" s="8">
        <v>-4</v>
      </c>
      <c r="J2519" s="11">
        <v>0.3333333333333333</v>
      </c>
      <c r="K2519" s="8" t="s">
        <v>791</v>
      </c>
      <c r="L2519" s="8" t="s">
        <v>1941</v>
      </c>
      <c r="M2519" s="8">
        <v>116</v>
      </c>
    </row>
    <row r="2520" spans="1:13" ht="25" customHeight="1">
      <c r="A2520" s="12">
        <v>96</v>
      </c>
      <c r="B2520" s="8">
        <v>2</v>
      </c>
      <c r="C2520" s="8" t="s">
        <v>716</v>
      </c>
      <c r="D2520" s="8" t="s">
        <v>120</v>
      </c>
      <c r="E2520" s="8" t="s">
        <v>818</v>
      </c>
      <c r="F2520" s="8">
        <v>1</v>
      </c>
      <c r="G2520" s="8">
        <v>0</v>
      </c>
      <c r="H2520" s="8">
        <v>0</v>
      </c>
      <c r="I2520" s="8">
        <v>-1</v>
      </c>
      <c r="J2520" s="11">
        <v>0.04347826086956522</v>
      </c>
      <c r="K2520" s="8" t="s">
        <v>791</v>
      </c>
      <c r="L2520" s="8" t="s">
        <v>1941</v>
      </c>
      <c r="M2520" s="8">
        <v>118</v>
      </c>
    </row>
    <row r="2521" spans="1:13" ht="25" customHeight="1">
      <c r="A2521" s="12">
        <v>97</v>
      </c>
      <c r="B2521" s="8">
        <v>2</v>
      </c>
      <c r="C2521" s="8" t="s">
        <v>720</v>
      </c>
      <c r="D2521" s="8" t="s">
        <v>803</v>
      </c>
      <c r="E2521" s="8" t="s">
        <v>818</v>
      </c>
      <c r="F2521" s="8">
        <v>1</v>
      </c>
      <c r="G2521" s="8">
        <v>0</v>
      </c>
      <c r="H2521" s="8">
        <v>0</v>
      </c>
      <c r="I2521" s="8">
        <v>-3</v>
      </c>
      <c r="J2521" s="11">
        <v>0.3333333333333333</v>
      </c>
      <c r="K2521" s="8" t="s">
        <v>791</v>
      </c>
      <c r="L2521" s="8" t="s">
        <v>1941</v>
      </c>
      <c r="M2521" s="8">
        <v>119</v>
      </c>
    </row>
    <row r="2522" spans="1:13" ht="25" customHeight="1">
      <c r="A2522" s="12">
        <v>98</v>
      </c>
      <c r="B2522" s="8">
        <v>2</v>
      </c>
      <c r="C2522" s="8" t="s">
        <v>720</v>
      </c>
      <c r="D2522" s="8" t="s">
        <v>123</v>
      </c>
      <c r="E2522" s="8" t="s">
        <v>824</v>
      </c>
      <c r="F2522" s="8">
        <v>1</v>
      </c>
      <c r="G2522" s="8">
        <v>1</v>
      </c>
      <c r="H2522" s="8">
        <v>0</v>
      </c>
      <c r="I2522" s="8">
        <v>4</v>
      </c>
      <c r="J2522" s="8">
        <v>1</v>
      </c>
      <c r="K2522" s="8" t="s">
        <v>791</v>
      </c>
      <c r="L2522" s="8" t="s">
        <v>1941</v>
      </c>
      <c r="M2522" s="8">
        <v>121</v>
      </c>
    </row>
    <row r="2523" spans="1:13" ht="25" customHeight="1">
      <c r="A2523" s="12">
        <v>99</v>
      </c>
      <c r="B2523" s="8">
        <v>2</v>
      </c>
      <c r="C2523" s="8" t="s">
        <v>716</v>
      </c>
      <c r="D2523" s="8" t="s">
        <v>802</v>
      </c>
      <c r="E2523" s="8" t="s">
        <v>816</v>
      </c>
      <c r="F2523" s="8">
        <v>1</v>
      </c>
      <c r="G2523" s="8">
        <v>1</v>
      </c>
      <c r="H2523" s="8">
        <v>0</v>
      </c>
      <c r="I2523" s="8">
        <v>7</v>
      </c>
      <c r="J2523" s="8">
        <v>1</v>
      </c>
      <c r="K2523" s="8" t="s">
        <v>791</v>
      </c>
      <c r="L2523" s="8" t="s">
        <v>1941</v>
      </c>
      <c r="M2523" s="8">
        <v>122</v>
      </c>
    </row>
    <row r="2524" spans="1:13" ht="25" customHeight="1">
      <c r="A2524" s="12">
        <v>100</v>
      </c>
      <c r="B2524" s="8">
        <v>2</v>
      </c>
      <c r="C2524" s="8" t="s">
        <v>716</v>
      </c>
      <c r="D2524" s="8" t="s">
        <v>120</v>
      </c>
      <c r="E2524" s="8" t="s">
        <v>1600</v>
      </c>
      <c r="F2524" s="8">
        <v>1</v>
      </c>
      <c r="G2524" s="8">
        <v>0</v>
      </c>
      <c r="H2524" s="8">
        <v>0</v>
      </c>
      <c r="I2524" s="8">
        <v>2</v>
      </c>
      <c r="J2524" s="11">
        <v>0.04347826086956522</v>
      </c>
      <c r="K2524" s="8" t="s">
        <v>791</v>
      </c>
      <c r="L2524" s="8" t="s">
        <v>1941</v>
      </c>
      <c r="M2524" s="8">
        <v>123</v>
      </c>
    </row>
    <row r="2525" spans="1:13" ht="25" customHeight="1">
      <c r="A2525" s="12">
        <v>101</v>
      </c>
      <c r="B2525" s="8">
        <v>2</v>
      </c>
      <c r="C2525" s="8" t="s">
        <v>720</v>
      </c>
      <c r="D2525" s="8" t="s">
        <v>802</v>
      </c>
      <c r="E2525" s="8" t="s">
        <v>824</v>
      </c>
      <c r="F2525" s="8">
        <v>1</v>
      </c>
      <c r="G2525" s="8">
        <v>1</v>
      </c>
      <c r="H2525" s="8">
        <v>0</v>
      </c>
      <c r="I2525" s="8">
        <v>4</v>
      </c>
      <c r="J2525" s="11">
        <v>0.5</v>
      </c>
      <c r="K2525" s="8" t="s">
        <v>791</v>
      </c>
      <c r="L2525" s="8" t="s">
        <v>1941</v>
      </c>
      <c r="M2525" s="8">
        <v>124</v>
      </c>
    </row>
    <row r="2526" spans="1:13" ht="25" customHeight="1">
      <c r="A2526" s="12">
        <v>102</v>
      </c>
      <c r="B2526" s="8">
        <v>2</v>
      </c>
      <c r="C2526" s="8" t="s">
        <v>720</v>
      </c>
      <c r="D2526" s="8" t="s">
        <v>802</v>
      </c>
      <c r="E2526" s="8" t="s">
        <v>1509</v>
      </c>
      <c r="F2526" s="8">
        <v>1</v>
      </c>
      <c r="G2526" s="8">
        <v>0</v>
      </c>
      <c r="H2526" s="8">
        <v>0</v>
      </c>
      <c r="I2526" s="8">
        <v>1</v>
      </c>
      <c r="J2526" s="11">
        <v>0.5</v>
      </c>
      <c r="K2526" s="8" t="s">
        <v>791</v>
      </c>
      <c r="L2526" s="8" t="s">
        <v>1941</v>
      </c>
      <c r="M2526" s="8">
        <v>125</v>
      </c>
    </row>
    <row r="2527" spans="1:13" ht="25" customHeight="1">
      <c r="A2527" s="12">
        <v>103</v>
      </c>
      <c r="B2527" s="8">
        <v>2</v>
      </c>
      <c r="C2527" s="8" t="s">
        <v>711</v>
      </c>
      <c r="D2527" s="8" t="s">
        <v>803</v>
      </c>
      <c r="E2527" s="8" t="s">
        <v>816</v>
      </c>
      <c r="F2527" s="8">
        <v>1</v>
      </c>
      <c r="G2527" s="8">
        <v>1</v>
      </c>
      <c r="H2527" s="8">
        <v>0</v>
      </c>
      <c r="I2527" s="8">
        <v>3</v>
      </c>
      <c r="J2527" s="8">
        <v>1</v>
      </c>
      <c r="K2527" s="8" t="s">
        <v>791</v>
      </c>
      <c r="L2527" s="8" t="s">
        <v>1941</v>
      </c>
      <c r="M2527" s="8">
        <v>126</v>
      </c>
    </row>
    <row r="2528" spans="1:13" ht="25" customHeight="1">
      <c r="A2528" s="12">
        <v>104</v>
      </c>
      <c r="B2528" s="8">
        <v>2</v>
      </c>
      <c r="C2528" s="8" t="s">
        <v>720</v>
      </c>
      <c r="D2528" s="8" t="s">
        <v>120</v>
      </c>
      <c r="E2528" s="8" t="s">
        <v>824</v>
      </c>
      <c r="F2528" s="8">
        <v>1</v>
      </c>
      <c r="G2528" s="8">
        <v>1</v>
      </c>
      <c r="H2528" s="8">
        <v>1</v>
      </c>
      <c r="I2528" s="8">
        <v>14</v>
      </c>
      <c r="J2528" s="11">
        <v>0.2</v>
      </c>
      <c r="K2528" s="8" t="s">
        <v>791</v>
      </c>
      <c r="L2528" s="8" t="s">
        <v>1941</v>
      </c>
      <c r="M2528" s="8">
        <v>128</v>
      </c>
    </row>
    <row r="2529" spans="1:14" ht="25" customHeight="1">
      <c r="A2529" s="12">
        <v>105</v>
      </c>
      <c r="B2529" s="8">
        <v>3</v>
      </c>
      <c r="C2529" s="8" t="s">
        <v>716</v>
      </c>
      <c r="D2529" s="8" t="s">
        <v>120</v>
      </c>
      <c r="E2529" s="8" t="s">
        <v>1494</v>
      </c>
      <c r="F2529" s="8">
        <v>1</v>
      </c>
      <c r="G2529" s="8">
        <v>0</v>
      </c>
      <c r="H2529" s="8">
        <v>0</v>
      </c>
      <c r="I2529" s="8">
        <v>0</v>
      </c>
      <c r="J2529" s="11">
        <v>0.07692307692307693</v>
      </c>
      <c r="K2529" s="8" t="s">
        <v>791</v>
      </c>
      <c r="L2529" s="8" t="s">
        <v>1941</v>
      </c>
      <c r="M2529" s="8">
        <v>130</v>
      </c>
    </row>
    <row r="2530" spans="1:14" ht="25" customHeight="1">
      <c r="A2530" s="12">
        <v>106</v>
      </c>
      <c r="B2530" s="8">
        <v>3</v>
      </c>
      <c r="C2530" s="8" t="s">
        <v>716</v>
      </c>
      <c r="D2530" s="8" t="s">
        <v>120</v>
      </c>
      <c r="E2530" s="8" t="s">
        <v>819</v>
      </c>
      <c r="F2530" s="8">
        <v>1</v>
      </c>
      <c r="G2530" s="8">
        <v>1</v>
      </c>
      <c r="H2530" s="8">
        <v>1</v>
      </c>
      <c r="I2530" s="8">
        <v>14</v>
      </c>
      <c r="J2530" s="11">
        <v>0.07692307692307693</v>
      </c>
      <c r="K2530" s="8" t="s">
        <v>791</v>
      </c>
      <c r="L2530" s="8" t="s">
        <v>1941</v>
      </c>
      <c r="M2530" s="8">
        <v>131</v>
      </c>
    </row>
    <row r="2531" spans="1:14" ht="25" customHeight="1">
      <c r="A2531" s="12">
        <v>107</v>
      </c>
      <c r="B2531" s="8">
        <v>3</v>
      </c>
      <c r="C2531" s="8" t="s">
        <v>716</v>
      </c>
      <c r="D2531" s="8" t="s">
        <v>120</v>
      </c>
      <c r="E2531" s="8" t="s">
        <v>820</v>
      </c>
      <c r="F2531" s="8">
        <v>2</v>
      </c>
      <c r="G2531" s="8">
        <v>0</v>
      </c>
      <c r="H2531" s="8">
        <v>0</v>
      </c>
      <c r="I2531" s="11">
        <v>5.5</v>
      </c>
      <c r="J2531" s="11">
        <v>0.1538461538461539</v>
      </c>
      <c r="K2531" s="8" t="s">
        <v>791</v>
      </c>
      <c r="L2531" s="8" t="s">
        <v>792</v>
      </c>
      <c r="M2531" s="8">
        <v>132</v>
      </c>
      <c r="N2531" s="8">
        <v>10</v>
      </c>
    </row>
    <row r="2532" spans="1:14" ht="25" customHeight="1">
      <c r="A2532" s="12">
        <v>108</v>
      </c>
      <c r="B2532" s="8">
        <v>3</v>
      </c>
      <c r="C2532" s="8" t="s">
        <v>706</v>
      </c>
      <c r="D2532" s="8" t="s">
        <v>842</v>
      </c>
      <c r="E2532" s="8" t="s">
        <v>815</v>
      </c>
      <c r="F2532" s="8">
        <v>1</v>
      </c>
      <c r="G2532" s="8">
        <v>0</v>
      </c>
      <c r="H2532" s="8">
        <v>0</v>
      </c>
      <c r="I2532" s="8">
        <v>-2</v>
      </c>
      <c r="J2532" s="8">
        <v>1</v>
      </c>
      <c r="K2532" s="8" t="s">
        <v>791</v>
      </c>
      <c r="L2532" s="8" t="s">
        <v>1941</v>
      </c>
      <c r="M2532" s="8">
        <v>133</v>
      </c>
    </row>
    <row r="2533" spans="1:14" ht="25" customHeight="1">
      <c r="A2533" s="12">
        <v>109</v>
      </c>
      <c r="B2533" s="8">
        <v>3</v>
      </c>
      <c r="C2533" s="8" t="s">
        <v>720</v>
      </c>
      <c r="D2533" s="8" t="s">
        <v>123</v>
      </c>
      <c r="E2533" s="8" t="s">
        <v>819</v>
      </c>
      <c r="F2533" s="8">
        <v>1</v>
      </c>
      <c r="G2533" s="8">
        <v>0</v>
      </c>
      <c r="H2533" s="8">
        <v>0</v>
      </c>
      <c r="I2533" s="8">
        <v>-6</v>
      </c>
      <c r="J2533" s="8">
        <v>1</v>
      </c>
      <c r="K2533" s="8" t="s">
        <v>791</v>
      </c>
      <c r="L2533" s="8" t="s">
        <v>1941</v>
      </c>
      <c r="M2533" s="8">
        <v>134</v>
      </c>
    </row>
    <row r="2534" spans="1:14" ht="25" customHeight="1">
      <c r="A2534" s="12">
        <v>110</v>
      </c>
      <c r="B2534" s="8">
        <v>3</v>
      </c>
      <c r="C2534" s="8" t="s">
        <v>711</v>
      </c>
      <c r="D2534" s="8" t="s">
        <v>877</v>
      </c>
      <c r="E2534" s="8" t="s">
        <v>1619</v>
      </c>
      <c r="F2534" s="8">
        <v>1</v>
      </c>
      <c r="G2534" s="8">
        <v>0</v>
      </c>
      <c r="H2534" s="8">
        <v>0</v>
      </c>
      <c r="I2534" s="8">
        <v>0</v>
      </c>
      <c r="J2534" s="8">
        <v>1</v>
      </c>
      <c r="K2534" s="8" t="s">
        <v>791</v>
      </c>
      <c r="L2534" s="8" t="s">
        <v>1941</v>
      </c>
      <c r="M2534" s="8">
        <v>135</v>
      </c>
    </row>
    <row r="2535" spans="1:14" ht="25" customHeight="1">
      <c r="A2535" s="12">
        <v>111</v>
      </c>
      <c r="B2535" s="8">
        <v>3</v>
      </c>
      <c r="C2535" s="8" t="s">
        <v>706</v>
      </c>
      <c r="D2535" s="8" t="s">
        <v>120</v>
      </c>
      <c r="E2535" s="8" t="s">
        <v>820</v>
      </c>
      <c r="F2535" s="8">
        <v>2</v>
      </c>
      <c r="G2535" s="8">
        <v>0</v>
      </c>
      <c r="H2535" s="8">
        <v>0</v>
      </c>
      <c r="I2535" s="11">
        <v>0.5</v>
      </c>
      <c r="J2535" s="11">
        <v>0.5</v>
      </c>
      <c r="K2535" s="8" t="s">
        <v>791</v>
      </c>
      <c r="L2535" s="8" t="s">
        <v>796</v>
      </c>
      <c r="M2535" s="8">
        <v>136</v>
      </c>
      <c r="N2535" s="8">
        <v>11</v>
      </c>
    </row>
    <row r="2536" spans="1:14" ht="25" customHeight="1">
      <c r="A2536" s="12">
        <v>112</v>
      </c>
      <c r="B2536" s="8">
        <v>3</v>
      </c>
      <c r="C2536" s="8" t="s">
        <v>711</v>
      </c>
      <c r="D2536" s="8" t="s">
        <v>120</v>
      </c>
      <c r="E2536" s="8" t="s">
        <v>1624</v>
      </c>
      <c r="F2536" s="8">
        <v>1</v>
      </c>
      <c r="G2536" s="8">
        <v>0</v>
      </c>
      <c r="H2536" s="8">
        <v>0</v>
      </c>
      <c r="I2536" s="8">
        <v>0</v>
      </c>
      <c r="J2536" s="11">
        <v>0.09090909090909091</v>
      </c>
      <c r="K2536" s="8" t="s">
        <v>791</v>
      </c>
      <c r="L2536" s="8" t="s">
        <v>1941</v>
      </c>
      <c r="M2536" s="8">
        <v>137</v>
      </c>
    </row>
    <row r="2537" spans="1:14" ht="25" customHeight="1">
      <c r="A2537" s="12">
        <v>113</v>
      </c>
      <c r="B2537" s="8">
        <v>3</v>
      </c>
      <c r="C2537" s="8" t="s">
        <v>716</v>
      </c>
      <c r="D2537" s="8" t="s">
        <v>120</v>
      </c>
      <c r="E2537" s="8" t="s">
        <v>821</v>
      </c>
      <c r="F2537" s="8">
        <v>2</v>
      </c>
      <c r="G2537" s="8">
        <v>0</v>
      </c>
      <c r="H2537" s="8">
        <v>0</v>
      </c>
      <c r="I2537" s="8">
        <v>0</v>
      </c>
      <c r="J2537" s="11">
        <v>0.1538461538461539</v>
      </c>
      <c r="K2537" s="8" t="s">
        <v>791</v>
      </c>
      <c r="L2537" s="8" t="s">
        <v>792</v>
      </c>
      <c r="M2537" s="8">
        <v>138</v>
      </c>
      <c r="N2537" s="8">
        <v>12</v>
      </c>
    </row>
    <row r="2538" spans="1:14" ht="25" customHeight="1">
      <c r="A2538" s="12">
        <v>114</v>
      </c>
      <c r="B2538" s="8">
        <v>3</v>
      </c>
      <c r="C2538" s="8" t="s">
        <v>711</v>
      </c>
      <c r="D2538" s="8" t="s">
        <v>120</v>
      </c>
      <c r="E2538" s="8" t="s">
        <v>1629</v>
      </c>
      <c r="F2538" s="8">
        <v>1</v>
      </c>
      <c r="G2538" s="8">
        <v>0</v>
      </c>
      <c r="H2538" s="8">
        <v>0</v>
      </c>
      <c r="I2538" s="8">
        <v>10</v>
      </c>
      <c r="J2538" s="11">
        <v>0.09090909090909091</v>
      </c>
      <c r="K2538" s="8" t="s">
        <v>791</v>
      </c>
      <c r="L2538" s="8" t="s">
        <v>1941</v>
      </c>
      <c r="M2538" s="8">
        <v>140</v>
      </c>
    </row>
    <row r="2539" spans="1:14" ht="25" customHeight="1">
      <c r="A2539" s="12">
        <v>115</v>
      </c>
      <c r="B2539" s="8">
        <v>3</v>
      </c>
      <c r="C2539" s="8" t="s">
        <v>711</v>
      </c>
      <c r="D2539" s="8" t="s">
        <v>120</v>
      </c>
      <c r="E2539" s="8" t="s">
        <v>1523</v>
      </c>
      <c r="F2539" s="8">
        <v>1</v>
      </c>
      <c r="G2539" s="8">
        <v>0</v>
      </c>
      <c r="H2539" s="8">
        <v>0</v>
      </c>
      <c r="I2539" s="8">
        <v>5</v>
      </c>
      <c r="J2539" s="11">
        <v>0.09090909090909091</v>
      </c>
      <c r="K2539" s="8" t="s">
        <v>791</v>
      </c>
      <c r="L2539" s="8" t="s">
        <v>1941</v>
      </c>
      <c r="M2539" s="8">
        <v>141</v>
      </c>
    </row>
    <row r="2540" spans="1:14" ht="25" customHeight="1">
      <c r="A2540" s="12">
        <v>116</v>
      </c>
      <c r="B2540" s="8">
        <v>3</v>
      </c>
      <c r="C2540" s="8" t="s">
        <v>711</v>
      </c>
      <c r="D2540" s="8" t="s">
        <v>120</v>
      </c>
      <c r="E2540" s="8" t="s">
        <v>49</v>
      </c>
      <c r="F2540" s="8">
        <v>2</v>
      </c>
      <c r="G2540" s="8">
        <v>0</v>
      </c>
      <c r="H2540" s="8">
        <v>0</v>
      </c>
      <c r="I2540" s="8">
        <v>9</v>
      </c>
      <c r="J2540" s="11">
        <v>0.1818181818181818</v>
      </c>
      <c r="K2540" s="8" t="s">
        <v>791</v>
      </c>
      <c r="L2540" s="8" t="s">
        <v>792</v>
      </c>
      <c r="M2540" s="8">
        <v>142</v>
      </c>
      <c r="N2540" s="8">
        <v>13</v>
      </c>
    </row>
    <row r="2541" spans="1:14" ht="25" customHeight="1">
      <c r="A2541" s="12">
        <v>117</v>
      </c>
      <c r="B2541" s="8">
        <v>3</v>
      </c>
      <c r="C2541" s="8" t="s">
        <v>711</v>
      </c>
      <c r="D2541" s="8" t="s">
        <v>120</v>
      </c>
      <c r="E2541" s="8" t="s">
        <v>1635</v>
      </c>
      <c r="F2541" s="8">
        <v>1</v>
      </c>
      <c r="G2541" s="8">
        <v>0</v>
      </c>
      <c r="H2541" s="8">
        <v>0</v>
      </c>
      <c r="I2541" s="8">
        <v>0</v>
      </c>
      <c r="J2541" s="11">
        <v>0.09090909090909091</v>
      </c>
      <c r="K2541" s="8" t="s">
        <v>791</v>
      </c>
      <c r="L2541" s="8" t="s">
        <v>1941</v>
      </c>
      <c r="M2541" s="8">
        <v>143</v>
      </c>
    </row>
    <row r="2542" spans="1:14" ht="25" customHeight="1">
      <c r="A2542" s="12">
        <v>118</v>
      </c>
      <c r="B2542" s="8">
        <v>3</v>
      </c>
      <c r="C2542" s="8" t="s">
        <v>711</v>
      </c>
      <c r="D2542" s="8" t="s">
        <v>120</v>
      </c>
      <c r="E2542" s="8" t="s">
        <v>1638</v>
      </c>
      <c r="F2542" s="8">
        <v>1</v>
      </c>
      <c r="G2542" s="8">
        <v>0</v>
      </c>
      <c r="H2542" s="8">
        <v>0</v>
      </c>
      <c r="I2542" s="8">
        <v>9</v>
      </c>
      <c r="J2542" s="11">
        <v>0.09090909090909091</v>
      </c>
      <c r="K2542" s="8" t="s">
        <v>791</v>
      </c>
      <c r="L2542" s="8" t="s">
        <v>1941</v>
      </c>
      <c r="M2542" s="8">
        <v>144</v>
      </c>
    </row>
    <row r="2543" spans="1:14" ht="25" customHeight="1">
      <c r="A2543" s="12">
        <v>119</v>
      </c>
      <c r="B2543" s="8">
        <v>3</v>
      </c>
      <c r="C2543" s="8" t="s">
        <v>716</v>
      </c>
      <c r="D2543" s="8" t="s">
        <v>120</v>
      </c>
      <c r="E2543" s="8" t="s">
        <v>1398</v>
      </c>
      <c r="F2543" s="8">
        <v>1</v>
      </c>
      <c r="G2543" s="8">
        <v>0</v>
      </c>
      <c r="H2543" s="8">
        <v>0</v>
      </c>
      <c r="I2543" s="8">
        <v>6</v>
      </c>
      <c r="J2543" s="11">
        <v>0.07692307692307693</v>
      </c>
      <c r="K2543" s="8" t="s">
        <v>791</v>
      </c>
      <c r="L2543" s="8" t="s">
        <v>1941</v>
      </c>
      <c r="M2543" s="8">
        <v>145</v>
      </c>
    </row>
    <row r="2544" spans="1:14" ht="25" customHeight="1">
      <c r="A2544" s="12">
        <v>120</v>
      </c>
      <c r="B2544" s="8">
        <v>3</v>
      </c>
      <c r="C2544" s="8" t="s">
        <v>716</v>
      </c>
      <c r="D2544" s="8" t="s">
        <v>120</v>
      </c>
      <c r="E2544" s="8" t="s">
        <v>1635</v>
      </c>
      <c r="F2544" s="8">
        <v>1</v>
      </c>
      <c r="G2544" s="8">
        <v>1</v>
      </c>
      <c r="H2544" s="8">
        <v>0</v>
      </c>
      <c r="I2544" s="8">
        <v>9</v>
      </c>
      <c r="J2544" s="11">
        <v>0.07692307692307693</v>
      </c>
      <c r="K2544" s="8" t="s">
        <v>791</v>
      </c>
      <c r="L2544" s="8" t="s">
        <v>1941</v>
      </c>
      <c r="M2544" s="8">
        <v>146</v>
      </c>
    </row>
    <row r="2545" spans="1:14" ht="25" customHeight="1">
      <c r="A2545" s="12">
        <v>121</v>
      </c>
      <c r="B2545" s="8">
        <v>3</v>
      </c>
      <c r="C2545" s="8" t="s">
        <v>711</v>
      </c>
      <c r="D2545" s="8" t="s">
        <v>120</v>
      </c>
      <c r="E2545" s="8" t="s">
        <v>816</v>
      </c>
      <c r="F2545" s="8">
        <v>1</v>
      </c>
      <c r="G2545" s="8">
        <v>0</v>
      </c>
      <c r="H2545" s="8">
        <v>0</v>
      </c>
      <c r="I2545" s="8">
        <v>0</v>
      </c>
      <c r="J2545" s="11">
        <v>0.09090909090909091</v>
      </c>
      <c r="K2545" s="8" t="s">
        <v>791</v>
      </c>
      <c r="L2545" s="8" t="s">
        <v>1941</v>
      </c>
      <c r="M2545" s="8">
        <v>147</v>
      </c>
    </row>
    <row r="2546" spans="1:14" ht="25" customHeight="1">
      <c r="A2546" s="12">
        <v>122</v>
      </c>
      <c r="B2546" s="8">
        <v>3</v>
      </c>
      <c r="C2546" s="8" t="s">
        <v>720</v>
      </c>
      <c r="D2546" s="8" t="s">
        <v>120</v>
      </c>
      <c r="E2546" s="8" t="s">
        <v>1645</v>
      </c>
      <c r="F2546" s="8">
        <v>1</v>
      </c>
      <c r="G2546" s="8">
        <v>0</v>
      </c>
      <c r="H2546" s="8">
        <v>0</v>
      </c>
      <c r="I2546" s="8">
        <v>0</v>
      </c>
      <c r="J2546" s="11">
        <v>0.2</v>
      </c>
      <c r="K2546" s="8" t="s">
        <v>791</v>
      </c>
      <c r="L2546" s="8" t="s">
        <v>1941</v>
      </c>
      <c r="M2546" s="8">
        <v>149</v>
      </c>
    </row>
    <row r="2547" spans="1:14" ht="25" customHeight="1">
      <c r="A2547" s="12">
        <v>123</v>
      </c>
      <c r="B2547" s="8">
        <v>3</v>
      </c>
      <c r="C2547" s="8" t="s">
        <v>711</v>
      </c>
      <c r="D2547" s="8" t="s">
        <v>120</v>
      </c>
      <c r="E2547" s="8" t="s">
        <v>1648</v>
      </c>
      <c r="F2547" s="8">
        <v>1</v>
      </c>
      <c r="G2547" s="8">
        <v>0</v>
      </c>
      <c r="H2547" s="8">
        <v>0</v>
      </c>
      <c r="I2547" s="8">
        <v>3</v>
      </c>
      <c r="J2547" s="11">
        <v>0.09090909090909091</v>
      </c>
      <c r="K2547" s="8" t="s">
        <v>791</v>
      </c>
      <c r="L2547" s="8" t="s">
        <v>1941</v>
      </c>
      <c r="M2547" s="8">
        <v>151</v>
      </c>
    </row>
    <row r="2548" spans="1:14" ht="25" customHeight="1">
      <c r="A2548" s="12">
        <v>124</v>
      </c>
      <c r="B2548" s="8">
        <v>3</v>
      </c>
      <c r="C2548" s="8" t="s">
        <v>706</v>
      </c>
      <c r="D2548" s="8" t="s">
        <v>123</v>
      </c>
      <c r="E2548" s="8" t="s">
        <v>1650</v>
      </c>
      <c r="F2548" s="8">
        <v>1</v>
      </c>
      <c r="G2548" s="8">
        <v>0</v>
      </c>
      <c r="H2548" s="8">
        <v>0</v>
      </c>
      <c r="I2548" s="8">
        <v>0</v>
      </c>
      <c r="J2548" s="8">
        <v>1</v>
      </c>
      <c r="K2548" s="8" t="s">
        <v>791</v>
      </c>
      <c r="L2548" s="8" t="s">
        <v>1941</v>
      </c>
      <c r="M2548" s="8">
        <v>152</v>
      </c>
    </row>
    <row r="2549" spans="1:14" ht="25" customHeight="1">
      <c r="A2549" s="12">
        <v>125</v>
      </c>
      <c r="B2549" s="8">
        <v>3</v>
      </c>
      <c r="C2549" s="8" t="s">
        <v>711</v>
      </c>
      <c r="D2549" s="8" t="s">
        <v>120</v>
      </c>
      <c r="E2549" s="8" t="s">
        <v>821</v>
      </c>
      <c r="F2549" s="8">
        <v>1</v>
      </c>
      <c r="G2549" s="8">
        <v>0</v>
      </c>
      <c r="H2549" s="8">
        <v>0</v>
      </c>
      <c r="I2549" s="8">
        <v>0</v>
      </c>
      <c r="J2549" s="11">
        <v>0.09090909090909091</v>
      </c>
      <c r="K2549" s="8" t="s">
        <v>791</v>
      </c>
      <c r="L2549" s="8" t="s">
        <v>1941</v>
      </c>
      <c r="M2549" s="8">
        <v>153</v>
      </c>
    </row>
    <row r="2550" spans="1:14" ht="25" customHeight="1">
      <c r="A2550" s="12">
        <v>126</v>
      </c>
      <c r="B2550" s="8">
        <v>3</v>
      </c>
      <c r="C2550" s="8" t="s">
        <v>716</v>
      </c>
      <c r="D2550" s="8" t="s">
        <v>120</v>
      </c>
      <c r="E2550" s="8" t="s">
        <v>1655</v>
      </c>
      <c r="F2550" s="8">
        <v>1</v>
      </c>
      <c r="G2550" s="8">
        <v>0</v>
      </c>
      <c r="H2550" s="8">
        <v>0</v>
      </c>
      <c r="I2550" s="8">
        <v>-6</v>
      </c>
      <c r="J2550" s="11">
        <v>0.07692307692307693</v>
      </c>
      <c r="K2550" s="8" t="s">
        <v>791</v>
      </c>
      <c r="L2550" s="8" t="s">
        <v>1941</v>
      </c>
      <c r="M2550" s="8">
        <v>154</v>
      </c>
    </row>
    <row r="2551" spans="1:14" ht="25" customHeight="1">
      <c r="A2551" s="12">
        <v>127</v>
      </c>
      <c r="B2551" s="8">
        <v>3</v>
      </c>
      <c r="C2551" s="8" t="s">
        <v>716</v>
      </c>
      <c r="D2551" s="8" t="s">
        <v>120</v>
      </c>
      <c r="E2551" s="8" t="s">
        <v>1523</v>
      </c>
      <c r="F2551" s="8">
        <v>1</v>
      </c>
      <c r="G2551" s="8">
        <v>0</v>
      </c>
      <c r="H2551" s="8">
        <v>0</v>
      </c>
      <c r="I2551" s="8">
        <v>18</v>
      </c>
      <c r="J2551" s="11">
        <v>0.07692307692307693</v>
      </c>
      <c r="K2551" s="8" t="s">
        <v>791</v>
      </c>
      <c r="L2551" s="8" t="s">
        <v>1941</v>
      </c>
      <c r="M2551" s="8">
        <v>156</v>
      </c>
    </row>
    <row r="2552" spans="1:14" ht="25" customHeight="1">
      <c r="A2552" s="12">
        <v>128</v>
      </c>
      <c r="B2552" s="8">
        <v>3</v>
      </c>
      <c r="C2552" s="8" t="s">
        <v>716</v>
      </c>
      <c r="D2552" s="8" t="s">
        <v>120</v>
      </c>
      <c r="E2552" s="8" t="s">
        <v>1660</v>
      </c>
      <c r="F2552" s="8">
        <v>1</v>
      </c>
      <c r="G2552" s="8">
        <v>0</v>
      </c>
      <c r="H2552" s="8">
        <v>0</v>
      </c>
      <c r="I2552" s="8">
        <v>0</v>
      </c>
      <c r="J2552" s="11">
        <v>0.07692307692307693</v>
      </c>
      <c r="K2552" s="8" t="s">
        <v>791</v>
      </c>
      <c r="L2552" s="8" t="s">
        <v>1941</v>
      </c>
      <c r="M2552" s="8">
        <v>157</v>
      </c>
    </row>
    <row r="2553" spans="1:14" ht="25" customHeight="1">
      <c r="A2553" s="12">
        <v>129</v>
      </c>
      <c r="B2553" s="8">
        <v>3</v>
      </c>
      <c r="C2553" s="8" t="s">
        <v>706</v>
      </c>
      <c r="D2553" s="8" t="s">
        <v>120</v>
      </c>
      <c r="E2553" s="8" t="s">
        <v>1662</v>
      </c>
      <c r="F2553" s="8">
        <v>1</v>
      </c>
      <c r="G2553" s="8">
        <v>1</v>
      </c>
      <c r="H2553" s="8">
        <v>0</v>
      </c>
      <c r="I2553" s="8">
        <v>5</v>
      </c>
      <c r="J2553" s="11">
        <v>0.25</v>
      </c>
      <c r="K2553" s="8" t="s">
        <v>791</v>
      </c>
      <c r="L2553" s="8" t="s">
        <v>1941</v>
      </c>
      <c r="M2553" s="8">
        <v>158</v>
      </c>
    </row>
    <row r="2554" spans="1:14" ht="25" customHeight="1">
      <c r="A2554" s="12">
        <v>130</v>
      </c>
      <c r="B2554" s="8">
        <v>3</v>
      </c>
      <c r="C2554" s="8" t="s">
        <v>720</v>
      </c>
      <c r="D2554" s="8" t="s">
        <v>175</v>
      </c>
      <c r="E2554" s="8" t="s">
        <v>816</v>
      </c>
      <c r="F2554" s="8">
        <v>2</v>
      </c>
      <c r="G2554" s="8">
        <v>0</v>
      </c>
      <c r="H2554" s="8">
        <v>0</v>
      </c>
      <c r="I2554" s="8">
        <v>3</v>
      </c>
      <c r="J2554" s="8">
        <v>1</v>
      </c>
      <c r="K2554" s="8" t="s">
        <v>791</v>
      </c>
      <c r="L2554" s="8" t="s">
        <v>796</v>
      </c>
      <c r="M2554" s="8">
        <v>159</v>
      </c>
      <c r="N2554" s="8">
        <v>14</v>
      </c>
    </row>
    <row r="2555" spans="1:14" ht="25" customHeight="1">
      <c r="A2555" s="12">
        <v>131</v>
      </c>
      <c r="B2555" s="8">
        <v>3</v>
      </c>
      <c r="C2555" s="8" t="s">
        <v>716</v>
      </c>
      <c r="D2555" s="8" t="s">
        <v>120</v>
      </c>
      <c r="E2555" s="8" t="s">
        <v>1439</v>
      </c>
      <c r="F2555" s="8">
        <v>1</v>
      </c>
      <c r="G2555" s="8">
        <v>1</v>
      </c>
      <c r="H2555" s="8">
        <v>0</v>
      </c>
      <c r="I2555" s="8">
        <v>4</v>
      </c>
      <c r="J2555" s="11">
        <v>0.07692307692307693</v>
      </c>
      <c r="K2555" s="8" t="s">
        <v>791</v>
      </c>
      <c r="L2555" s="8" t="s">
        <v>1941</v>
      </c>
      <c r="M2555" s="8">
        <v>161</v>
      </c>
    </row>
    <row r="2556" spans="1:14" ht="25" customHeight="1">
      <c r="A2556" s="12">
        <v>132</v>
      </c>
      <c r="B2556" s="8">
        <v>3</v>
      </c>
      <c r="C2556" s="8" t="s">
        <v>711</v>
      </c>
      <c r="D2556" s="8" t="s">
        <v>120</v>
      </c>
      <c r="E2556" s="8" t="s">
        <v>824</v>
      </c>
      <c r="F2556" s="8">
        <v>1</v>
      </c>
      <c r="G2556" s="8">
        <v>0</v>
      </c>
      <c r="H2556" s="8">
        <v>0</v>
      </c>
      <c r="I2556" s="8">
        <v>2</v>
      </c>
      <c r="J2556" s="11">
        <v>0.09090909090909091</v>
      </c>
      <c r="K2556" s="8" t="s">
        <v>791</v>
      </c>
      <c r="L2556" s="8" t="s">
        <v>1941</v>
      </c>
      <c r="M2556" s="8">
        <v>163</v>
      </c>
    </row>
    <row r="2557" spans="1:14" ht="25" customHeight="1">
      <c r="A2557" s="12">
        <v>133</v>
      </c>
      <c r="B2557" s="8">
        <v>3</v>
      </c>
      <c r="C2557" s="8" t="s">
        <v>720</v>
      </c>
      <c r="D2557" s="8" t="s">
        <v>120</v>
      </c>
      <c r="E2557" s="8" t="s">
        <v>815</v>
      </c>
      <c r="F2557" s="8">
        <v>1</v>
      </c>
      <c r="G2557" s="8">
        <v>0</v>
      </c>
      <c r="H2557" s="8">
        <v>0</v>
      </c>
      <c r="I2557" s="8">
        <v>0</v>
      </c>
      <c r="J2557" s="11">
        <v>0.2</v>
      </c>
      <c r="K2557" s="8" t="s">
        <v>791</v>
      </c>
      <c r="L2557" s="8" t="s">
        <v>1941</v>
      </c>
      <c r="M2557" s="8">
        <v>165</v>
      </c>
    </row>
    <row r="2558" spans="1:14" ht="25" customHeight="1">
      <c r="A2558" s="12">
        <v>134</v>
      </c>
      <c r="B2558" s="8">
        <v>3</v>
      </c>
      <c r="C2558" s="8" t="s">
        <v>716</v>
      </c>
      <c r="D2558" s="8" t="s">
        <v>120</v>
      </c>
      <c r="E2558" s="8" t="s">
        <v>1416</v>
      </c>
      <c r="F2558" s="8">
        <v>1</v>
      </c>
      <c r="G2558" s="8">
        <v>0</v>
      </c>
      <c r="H2558" s="8">
        <v>0</v>
      </c>
      <c r="I2558" s="8">
        <v>0</v>
      </c>
      <c r="J2558" s="11">
        <v>0.07692307692307693</v>
      </c>
      <c r="K2558" s="8" t="s">
        <v>791</v>
      </c>
      <c r="L2558" s="8" t="s">
        <v>1941</v>
      </c>
      <c r="M2558" s="8">
        <v>166</v>
      </c>
    </row>
    <row r="2559" spans="1:14" ht="25" customHeight="1">
      <c r="A2559" s="12">
        <v>135</v>
      </c>
      <c r="B2559" s="8">
        <v>3</v>
      </c>
      <c r="C2559" s="8" t="s">
        <v>720</v>
      </c>
      <c r="D2559" s="8" t="s">
        <v>120</v>
      </c>
      <c r="E2559" s="8" t="s">
        <v>823</v>
      </c>
      <c r="F2559" s="8">
        <v>1</v>
      </c>
      <c r="G2559" s="8">
        <v>0</v>
      </c>
      <c r="H2559" s="8">
        <v>0</v>
      </c>
      <c r="I2559" s="8">
        <v>-1</v>
      </c>
      <c r="J2559" s="11">
        <v>0.2</v>
      </c>
      <c r="K2559" s="8" t="s">
        <v>791</v>
      </c>
      <c r="L2559" s="8" t="s">
        <v>1941</v>
      </c>
      <c r="M2559" s="8">
        <v>167</v>
      </c>
    </row>
    <row r="2560" spans="1:14" ht="25" customHeight="1">
      <c r="A2560" s="12">
        <v>136</v>
      </c>
      <c r="B2560" s="8">
        <v>3</v>
      </c>
      <c r="C2560" s="8" t="s">
        <v>716</v>
      </c>
      <c r="D2560" s="8" t="s">
        <v>123</v>
      </c>
      <c r="E2560" s="8" t="s">
        <v>823</v>
      </c>
      <c r="F2560" s="8">
        <v>1</v>
      </c>
      <c r="G2560" s="8">
        <v>0</v>
      </c>
      <c r="H2560" s="8">
        <v>0</v>
      </c>
      <c r="I2560" s="8">
        <v>2</v>
      </c>
      <c r="J2560" s="8">
        <v>1</v>
      </c>
      <c r="K2560" s="8" t="s">
        <v>791</v>
      </c>
      <c r="L2560" s="8" t="s">
        <v>1941</v>
      </c>
      <c r="M2560" s="8">
        <v>168</v>
      </c>
    </row>
    <row r="2561" spans="1:14" ht="25" customHeight="1">
      <c r="A2561" s="12">
        <v>137</v>
      </c>
      <c r="B2561" s="8">
        <v>3</v>
      </c>
      <c r="C2561" s="8" t="s">
        <v>706</v>
      </c>
      <c r="D2561" s="8" t="s">
        <v>120</v>
      </c>
      <c r="E2561" s="8" t="s">
        <v>824</v>
      </c>
      <c r="F2561" s="8">
        <v>1</v>
      </c>
      <c r="G2561" s="8">
        <v>0</v>
      </c>
      <c r="H2561" s="8">
        <v>0</v>
      </c>
      <c r="I2561" s="8">
        <v>-1</v>
      </c>
      <c r="J2561" s="11">
        <v>0.25</v>
      </c>
      <c r="K2561" s="8" t="s">
        <v>791</v>
      </c>
      <c r="L2561" s="8" t="s">
        <v>1941</v>
      </c>
      <c r="M2561" s="8">
        <v>169</v>
      </c>
    </row>
    <row r="2562" spans="1:14" ht="25" customHeight="1">
      <c r="A2562" s="12">
        <v>138</v>
      </c>
      <c r="B2562" s="8">
        <v>3</v>
      </c>
      <c r="C2562" s="8" t="s">
        <v>720</v>
      </c>
      <c r="D2562" s="8" t="s">
        <v>120</v>
      </c>
      <c r="E2562" s="8" t="s">
        <v>816</v>
      </c>
      <c r="F2562" s="8">
        <v>1</v>
      </c>
      <c r="G2562" s="8">
        <v>1</v>
      </c>
      <c r="H2562" s="8">
        <v>0</v>
      </c>
      <c r="I2562" s="8">
        <v>3</v>
      </c>
      <c r="J2562" s="11">
        <v>0.2</v>
      </c>
      <c r="K2562" s="8" t="s">
        <v>791</v>
      </c>
      <c r="L2562" s="8" t="s">
        <v>1941</v>
      </c>
      <c r="M2562" s="8">
        <v>170</v>
      </c>
    </row>
    <row r="2563" spans="1:14" ht="25" customHeight="1">
      <c r="A2563" s="12">
        <v>139</v>
      </c>
      <c r="B2563" s="8">
        <v>3</v>
      </c>
      <c r="C2563" s="8" t="s">
        <v>720</v>
      </c>
      <c r="D2563" s="8" t="s">
        <v>120</v>
      </c>
      <c r="E2563" s="8" t="s">
        <v>1439</v>
      </c>
      <c r="F2563" s="8">
        <v>1</v>
      </c>
      <c r="G2563" s="8">
        <v>1</v>
      </c>
      <c r="H2563" s="8">
        <v>0</v>
      </c>
      <c r="I2563" s="8">
        <v>10</v>
      </c>
      <c r="J2563" s="11">
        <v>0.2</v>
      </c>
      <c r="K2563" s="8" t="s">
        <v>791</v>
      </c>
      <c r="L2563" s="8" t="s">
        <v>1941</v>
      </c>
      <c r="M2563" s="8">
        <v>171</v>
      </c>
    </row>
    <row r="2564" spans="1:14" ht="25" customHeight="1">
      <c r="A2564" s="12">
        <v>140</v>
      </c>
      <c r="B2564" s="8">
        <v>3</v>
      </c>
      <c r="C2564" s="8" t="s">
        <v>706</v>
      </c>
      <c r="D2564" s="8" t="s">
        <v>1034</v>
      </c>
      <c r="E2564" s="8" t="s">
        <v>1451</v>
      </c>
      <c r="F2564" s="8">
        <v>1</v>
      </c>
      <c r="G2564" s="8">
        <v>1</v>
      </c>
      <c r="H2564" s="8">
        <v>1</v>
      </c>
      <c r="I2564" s="8">
        <v>36</v>
      </c>
      <c r="J2564" s="8">
        <v>1</v>
      </c>
      <c r="K2564" s="8" t="s">
        <v>791</v>
      </c>
      <c r="L2564" s="8" t="s">
        <v>1941</v>
      </c>
      <c r="M2564" s="8">
        <v>172</v>
      </c>
    </row>
    <row r="2565" spans="1:14" ht="25" customHeight="1">
      <c r="A2565" s="12">
        <v>141</v>
      </c>
      <c r="B2565" s="8">
        <v>4</v>
      </c>
      <c r="C2565" s="8" t="s">
        <v>706</v>
      </c>
      <c r="D2565" s="8" t="s">
        <v>1037</v>
      </c>
      <c r="E2565" s="8" t="s">
        <v>1684</v>
      </c>
      <c r="F2565" s="8">
        <v>1</v>
      </c>
      <c r="G2565" s="8">
        <v>0</v>
      </c>
      <c r="H2565" s="8">
        <v>0</v>
      </c>
      <c r="I2565" s="8">
        <v>-1</v>
      </c>
      <c r="J2565" s="8">
        <v>1</v>
      </c>
      <c r="K2565" s="8" t="s">
        <v>791</v>
      </c>
      <c r="L2565" s="8" t="s">
        <v>1941</v>
      </c>
      <c r="M2565" s="8">
        <v>173</v>
      </c>
    </row>
    <row r="2566" spans="1:14" ht="25" customHeight="1">
      <c r="A2566" s="12">
        <v>142</v>
      </c>
      <c r="B2566" s="8">
        <v>4</v>
      </c>
      <c r="C2566" s="8" t="s">
        <v>706</v>
      </c>
      <c r="D2566" s="8" t="s">
        <v>802</v>
      </c>
      <c r="E2566" s="8" t="s">
        <v>1687</v>
      </c>
      <c r="F2566" s="8">
        <v>1</v>
      </c>
      <c r="G2566" s="8">
        <v>0</v>
      </c>
      <c r="H2566" s="8">
        <v>0</v>
      </c>
      <c r="I2566" s="8">
        <v>0</v>
      </c>
      <c r="J2566" s="8">
        <v>1</v>
      </c>
      <c r="K2566" s="8" t="s">
        <v>791</v>
      </c>
      <c r="L2566" s="8" t="s">
        <v>1941</v>
      </c>
      <c r="M2566" s="8">
        <v>174</v>
      </c>
    </row>
    <row r="2572" spans="1:14" ht="27" customHeight="1">
      <c r="A2572" s="5" t="s">
        <v>822</v>
      </c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</row>
    <row r="2573" spans="1:14" ht="36" customHeight="1">
      <c r="A2573" s="9" t="s">
        <v>683</v>
      </c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</row>
    <row r="2574" spans="1:14" ht="25" customHeight="1">
      <c r="A2574" s="6" t="s">
        <v>684</v>
      </c>
    </row>
    <row r="2575" spans="1:14" ht="25" customHeight="1">
      <c r="A2575" s="12">
        <v>1</v>
      </c>
      <c r="B2575" s="8" t="s">
        <v>687</v>
      </c>
      <c r="C2575" s="8" t="s">
        <v>688</v>
      </c>
      <c r="D2575" s="8" t="s">
        <v>810</v>
      </c>
      <c r="E2575" s="8" t="s">
        <v>814</v>
      </c>
      <c r="F2575" s="8" t="s">
        <v>782</v>
      </c>
      <c r="G2575" s="8" t="s">
        <v>783</v>
      </c>
      <c r="H2575" s="8" t="s">
        <v>784</v>
      </c>
      <c r="I2575" s="8" t="s">
        <v>785</v>
      </c>
      <c r="J2575" s="8" t="s">
        <v>690</v>
      </c>
      <c r="K2575" s="8" t="s">
        <v>786</v>
      </c>
      <c r="L2575" s="8" t="s">
        <v>1940</v>
      </c>
      <c r="M2575" s="8" t="s">
        <v>1946</v>
      </c>
      <c r="N2575" s="8" t="s">
        <v>1947</v>
      </c>
    </row>
    <row r="2576" spans="1:14" ht="25" customHeight="1">
      <c r="A2576" s="12">
        <v>2</v>
      </c>
      <c r="B2576" s="8">
        <v>0</v>
      </c>
      <c r="C2576" s="8" t="s">
        <v>115</v>
      </c>
      <c r="D2576" s="8" t="s">
        <v>235</v>
      </c>
      <c r="E2576" s="8" t="s">
        <v>1395</v>
      </c>
      <c r="F2576" s="8">
        <v>1</v>
      </c>
      <c r="G2576" s="8">
        <v>0</v>
      </c>
      <c r="H2576" s="8">
        <v>0</v>
      </c>
      <c r="I2576" s="8">
        <v>5</v>
      </c>
      <c r="J2576" s="11">
        <v>0.5</v>
      </c>
      <c r="K2576" s="8" t="s">
        <v>791</v>
      </c>
      <c r="L2576" s="8" t="s">
        <v>1941</v>
      </c>
      <c r="M2576" s="8">
        <v>3</v>
      </c>
    </row>
    <row r="2577" spans="1:14" ht="25" customHeight="1">
      <c r="A2577" s="12">
        <v>3</v>
      </c>
      <c r="B2577" s="8">
        <v>0</v>
      </c>
      <c r="C2577" s="8" t="s">
        <v>115</v>
      </c>
      <c r="D2577" s="8" t="s">
        <v>203</v>
      </c>
      <c r="E2577" s="8" t="s">
        <v>1398</v>
      </c>
      <c r="F2577" s="8">
        <v>1</v>
      </c>
      <c r="G2577" s="8">
        <v>0</v>
      </c>
      <c r="H2577" s="8">
        <v>0</v>
      </c>
      <c r="I2577" s="8">
        <v>0</v>
      </c>
      <c r="J2577" s="11">
        <v>0.05263157894736842</v>
      </c>
      <c r="K2577" s="8" t="s">
        <v>791</v>
      </c>
      <c r="L2577" s="8" t="s">
        <v>1941</v>
      </c>
      <c r="M2577" s="8">
        <v>4</v>
      </c>
    </row>
    <row r="2578" spans="1:14" ht="25" customHeight="1">
      <c r="A2578" s="12">
        <v>4</v>
      </c>
      <c r="B2578" s="8">
        <v>0</v>
      </c>
      <c r="C2578" s="8" t="s">
        <v>115</v>
      </c>
      <c r="D2578" s="8" t="s">
        <v>203</v>
      </c>
      <c r="E2578" s="8" t="s">
        <v>1401</v>
      </c>
      <c r="F2578" s="8">
        <v>1</v>
      </c>
      <c r="G2578" s="8">
        <v>1</v>
      </c>
      <c r="H2578" s="8">
        <v>0</v>
      </c>
      <c r="I2578" s="8">
        <v>9</v>
      </c>
      <c r="J2578" s="11">
        <v>0.05263157894736842</v>
      </c>
      <c r="K2578" s="8" t="s">
        <v>791</v>
      </c>
      <c r="L2578" s="8" t="s">
        <v>1941</v>
      </c>
      <c r="M2578" s="8">
        <v>5</v>
      </c>
    </row>
    <row r="2579" spans="1:14" ht="25" customHeight="1">
      <c r="A2579" s="12">
        <v>5</v>
      </c>
      <c r="B2579" s="8">
        <v>0</v>
      </c>
      <c r="C2579" s="8" t="s">
        <v>115</v>
      </c>
      <c r="D2579" s="8" t="s">
        <v>203</v>
      </c>
      <c r="E2579" s="8" t="s">
        <v>815</v>
      </c>
      <c r="F2579" s="8">
        <v>1</v>
      </c>
      <c r="G2579" s="8">
        <v>1</v>
      </c>
      <c r="H2579" s="8">
        <v>0</v>
      </c>
      <c r="I2579" s="8">
        <v>10</v>
      </c>
      <c r="J2579" s="11">
        <v>0.05263157894736842</v>
      </c>
      <c r="K2579" s="8" t="s">
        <v>791</v>
      </c>
      <c r="L2579" s="8" t="s">
        <v>1941</v>
      </c>
      <c r="M2579" s="8">
        <v>6</v>
      </c>
    </row>
    <row r="2580" spans="1:14" ht="25" customHeight="1">
      <c r="A2580" s="12">
        <v>6</v>
      </c>
      <c r="B2580" s="8">
        <v>0</v>
      </c>
      <c r="C2580" s="8" t="s">
        <v>115</v>
      </c>
      <c r="D2580" s="8" t="s">
        <v>203</v>
      </c>
      <c r="E2580" s="8" t="s">
        <v>1406</v>
      </c>
      <c r="F2580" s="8">
        <v>1</v>
      </c>
      <c r="G2580" s="8">
        <v>0</v>
      </c>
      <c r="H2580" s="8">
        <v>0</v>
      </c>
      <c r="I2580" s="8">
        <v>5</v>
      </c>
      <c r="J2580" s="11">
        <v>0.05263157894736842</v>
      </c>
      <c r="K2580" s="8" t="s">
        <v>791</v>
      </c>
      <c r="L2580" s="8" t="s">
        <v>1941</v>
      </c>
      <c r="M2580" s="8">
        <v>7</v>
      </c>
    </row>
    <row r="2581" spans="1:14" ht="25" customHeight="1">
      <c r="A2581" s="12">
        <v>7</v>
      </c>
      <c r="B2581" s="8">
        <v>0</v>
      </c>
      <c r="C2581" s="8" t="s">
        <v>115</v>
      </c>
      <c r="D2581" s="8" t="s">
        <v>203</v>
      </c>
      <c r="E2581" s="8" t="s">
        <v>49</v>
      </c>
      <c r="F2581" s="8">
        <v>2</v>
      </c>
      <c r="G2581" s="11">
        <v>0.5</v>
      </c>
      <c r="H2581" s="11">
        <v>0.5</v>
      </c>
      <c r="I2581" s="8">
        <v>8</v>
      </c>
      <c r="J2581" s="11">
        <v>0.1052631578947368</v>
      </c>
      <c r="K2581" s="8" t="s">
        <v>791</v>
      </c>
      <c r="L2581" s="8" t="s">
        <v>792</v>
      </c>
      <c r="M2581" s="8">
        <v>8</v>
      </c>
      <c r="N2581" s="8">
        <v>1</v>
      </c>
    </row>
    <row r="2582" spans="1:14" ht="25" customHeight="1">
      <c r="A2582" s="12">
        <v>8</v>
      </c>
      <c r="B2582" s="8">
        <v>0</v>
      </c>
      <c r="C2582" s="8" t="s">
        <v>115</v>
      </c>
      <c r="D2582" s="8" t="s">
        <v>203</v>
      </c>
      <c r="E2582" s="8" t="s">
        <v>1410</v>
      </c>
      <c r="F2582" s="8">
        <v>1</v>
      </c>
      <c r="G2582" s="8">
        <v>0</v>
      </c>
      <c r="H2582" s="8">
        <v>0</v>
      </c>
      <c r="I2582" s="8">
        <v>-2</v>
      </c>
      <c r="J2582" s="11">
        <v>0.05263157894736842</v>
      </c>
      <c r="K2582" s="8" t="s">
        <v>791</v>
      </c>
      <c r="L2582" s="8" t="s">
        <v>1941</v>
      </c>
      <c r="M2582" s="8">
        <v>9</v>
      </c>
    </row>
    <row r="2583" spans="1:14" ht="25" customHeight="1">
      <c r="A2583" s="12">
        <v>9</v>
      </c>
      <c r="B2583" s="8">
        <v>0</v>
      </c>
      <c r="C2583" s="8" t="s">
        <v>115</v>
      </c>
      <c r="D2583" s="8" t="s">
        <v>203</v>
      </c>
      <c r="E2583" s="8" t="s">
        <v>1413</v>
      </c>
      <c r="F2583" s="8">
        <v>1</v>
      </c>
      <c r="G2583" s="8">
        <v>1</v>
      </c>
      <c r="H2583" s="8">
        <v>0</v>
      </c>
      <c r="I2583" s="8">
        <v>6</v>
      </c>
      <c r="J2583" s="11">
        <v>0.05263157894736842</v>
      </c>
      <c r="K2583" s="8" t="s">
        <v>791</v>
      </c>
      <c r="L2583" s="8" t="s">
        <v>1941</v>
      </c>
      <c r="M2583" s="8">
        <v>10</v>
      </c>
    </row>
    <row r="2584" spans="1:14" ht="25" customHeight="1">
      <c r="A2584" s="12">
        <v>10</v>
      </c>
      <c r="B2584" s="8">
        <v>0</v>
      </c>
      <c r="C2584" s="8" t="s">
        <v>115</v>
      </c>
      <c r="D2584" s="8" t="s">
        <v>206</v>
      </c>
      <c r="E2584" s="8" t="s">
        <v>1416</v>
      </c>
      <c r="F2584" s="8">
        <v>1</v>
      </c>
      <c r="G2584" s="8">
        <v>0</v>
      </c>
      <c r="H2584" s="8">
        <v>0</v>
      </c>
      <c r="I2584" s="8">
        <v>0</v>
      </c>
      <c r="J2584" s="11">
        <v>0.08333333333333333</v>
      </c>
      <c r="K2584" s="8" t="s">
        <v>791</v>
      </c>
      <c r="L2584" s="8" t="s">
        <v>1941</v>
      </c>
      <c r="M2584" s="8">
        <v>11</v>
      </c>
    </row>
    <row r="2585" spans="1:14" ht="25" customHeight="1">
      <c r="A2585" s="12">
        <v>11</v>
      </c>
      <c r="B2585" s="8">
        <v>0</v>
      </c>
      <c r="C2585" s="8" t="s">
        <v>115</v>
      </c>
      <c r="D2585" s="8" t="s">
        <v>206</v>
      </c>
      <c r="E2585" s="8" t="s">
        <v>819</v>
      </c>
      <c r="F2585" s="8">
        <v>1</v>
      </c>
      <c r="G2585" s="8">
        <v>0</v>
      </c>
      <c r="H2585" s="8">
        <v>0</v>
      </c>
      <c r="I2585" s="8">
        <v>0</v>
      </c>
      <c r="J2585" s="11">
        <v>0.08333333333333333</v>
      </c>
      <c r="K2585" s="8" t="s">
        <v>791</v>
      </c>
      <c r="L2585" s="8" t="s">
        <v>1941</v>
      </c>
      <c r="M2585" s="8">
        <v>12</v>
      </c>
    </row>
    <row r="2586" spans="1:14" ht="25" customHeight="1">
      <c r="A2586" s="12">
        <v>12</v>
      </c>
      <c r="B2586" s="8">
        <v>0</v>
      </c>
      <c r="C2586" s="8" t="s">
        <v>115</v>
      </c>
      <c r="D2586" s="8" t="s">
        <v>206</v>
      </c>
      <c r="E2586" s="8" t="s">
        <v>1420</v>
      </c>
      <c r="F2586" s="8">
        <v>1</v>
      </c>
      <c r="G2586" s="8">
        <v>1</v>
      </c>
      <c r="H2586" s="8">
        <v>0</v>
      </c>
      <c r="I2586" s="8">
        <v>3</v>
      </c>
      <c r="J2586" s="11">
        <v>0.08333333333333333</v>
      </c>
      <c r="K2586" s="8" t="s">
        <v>791</v>
      </c>
      <c r="L2586" s="8" t="s">
        <v>1941</v>
      </c>
      <c r="M2586" s="8">
        <v>13</v>
      </c>
    </row>
    <row r="2587" spans="1:14" ht="25" customHeight="1">
      <c r="A2587" s="12">
        <v>13</v>
      </c>
      <c r="B2587" s="8">
        <v>0</v>
      </c>
      <c r="C2587" s="8" t="s">
        <v>115</v>
      </c>
      <c r="D2587" s="8" t="s">
        <v>203</v>
      </c>
      <c r="E2587" s="8" t="s">
        <v>1422</v>
      </c>
      <c r="F2587" s="8">
        <v>1</v>
      </c>
      <c r="G2587" s="8">
        <v>0</v>
      </c>
      <c r="H2587" s="8">
        <v>0</v>
      </c>
      <c r="I2587" s="8">
        <v>0</v>
      </c>
      <c r="J2587" s="11">
        <v>0.05263157894736842</v>
      </c>
      <c r="K2587" s="8" t="s">
        <v>791</v>
      </c>
      <c r="L2587" s="8" t="s">
        <v>1941</v>
      </c>
      <c r="M2587" s="8">
        <v>14</v>
      </c>
    </row>
    <row r="2588" spans="1:14" ht="25" customHeight="1">
      <c r="A2588" s="12">
        <v>14</v>
      </c>
      <c r="B2588" s="8">
        <v>0</v>
      </c>
      <c r="C2588" s="8" t="s">
        <v>115</v>
      </c>
      <c r="D2588" s="8" t="s">
        <v>206</v>
      </c>
      <c r="E2588" s="8" t="s">
        <v>49</v>
      </c>
      <c r="F2588" s="8">
        <v>1</v>
      </c>
      <c r="G2588" s="8">
        <v>1</v>
      </c>
      <c r="H2588" s="8">
        <v>0</v>
      </c>
      <c r="I2588" s="8">
        <v>3</v>
      </c>
      <c r="J2588" s="11">
        <v>0.08333333333333333</v>
      </c>
      <c r="K2588" s="8" t="s">
        <v>791</v>
      </c>
      <c r="L2588" s="8" t="s">
        <v>1941</v>
      </c>
      <c r="M2588" s="8">
        <v>15</v>
      </c>
    </row>
    <row r="2589" spans="1:14" ht="25" customHeight="1">
      <c r="A2589" s="12">
        <v>15</v>
      </c>
      <c r="B2589" s="8">
        <v>0</v>
      </c>
      <c r="C2589" s="8" t="s">
        <v>115</v>
      </c>
      <c r="D2589" s="8" t="s">
        <v>203</v>
      </c>
      <c r="E2589" s="8" t="s">
        <v>1424</v>
      </c>
      <c r="F2589" s="8">
        <v>1</v>
      </c>
      <c r="G2589" s="8">
        <v>1</v>
      </c>
      <c r="H2589" s="8">
        <v>0</v>
      </c>
      <c r="I2589" s="8">
        <v>7</v>
      </c>
      <c r="J2589" s="11">
        <v>0.05263157894736842</v>
      </c>
      <c r="K2589" s="8" t="s">
        <v>791</v>
      </c>
      <c r="L2589" s="8" t="s">
        <v>1941</v>
      </c>
      <c r="M2589" s="8">
        <v>16</v>
      </c>
    </row>
    <row r="2590" spans="1:14" ht="25" customHeight="1">
      <c r="A2590" s="12">
        <v>16</v>
      </c>
      <c r="B2590" s="8">
        <v>0</v>
      </c>
      <c r="C2590" s="8" t="s">
        <v>115</v>
      </c>
      <c r="D2590" s="8" t="s">
        <v>206</v>
      </c>
      <c r="E2590" s="8" t="s">
        <v>1398</v>
      </c>
      <c r="F2590" s="8">
        <v>1</v>
      </c>
      <c r="G2590" s="8">
        <v>0</v>
      </c>
      <c r="H2590" s="8">
        <v>0</v>
      </c>
      <c r="I2590" s="8">
        <v>0</v>
      </c>
      <c r="J2590" s="11">
        <v>0.08333333333333333</v>
      </c>
      <c r="K2590" s="8" t="s">
        <v>791</v>
      </c>
      <c r="L2590" s="8" t="s">
        <v>1941</v>
      </c>
      <c r="M2590" s="8">
        <v>17</v>
      </c>
    </row>
    <row r="2591" spans="1:14" ht="25" customHeight="1">
      <c r="A2591" s="12">
        <v>17</v>
      </c>
      <c r="B2591" s="8">
        <v>0</v>
      </c>
      <c r="C2591" s="8" t="s">
        <v>115</v>
      </c>
      <c r="D2591" s="8" t="s">
        <v>203</v>
      </c>
      <c r="E2591" s="8" t="s">
        <v>1429</v>
      </c>
      <c r="F2591" s="8">
        <v>1</v>
      </c>
      <c r="G2591" s="8">
        <v>1</v>
      </c>
      <c r="H2591" s="8">
        <v>0</v>
      </c>
      <c r="I2591" s="8">
        <v>8</v>
      </c>
      <c r="J2591" s="11">
        <v>0.05263157894736842</v>
      </c>
      <c r="K2591" s="8" t="s">
        <v>791</v>
      </c>
      <c r="L2591" s="8" t="s">
        <v>1941</v>
      </c>
      <c r="M2591" s="8">
        <v>18</v>
      </c>
    </row>
    <row r="2592" spans="1:14" ht="25" customHeight="1">
      <c r="A2592" s="12">
        <v>18</v>
      </c>
      <c r="B2592" s="8">
        <v>0</v>
      </c>
      <c r="C2592" s="8" t="s">
        <v>115</v>
      </c>
      <c r="D2592" s="8" t="s">
        <v>206</v>
      </c>
      <c r="E2592" s="8" t="s">
        <v>1431</v>
      </c>
      <c r="F2592" s="8">
        <v>1</v>
      </c>
      <c r="G2592" s="8">
        <v>1</v>
      </c>
      <c r="H2592" s="8">
        <v>1</v>
      </c>
      <c r="I2592" s="8">
        <v>15</v>
      </c>
      <c r="J2592" s="11">
        <v>0.08333333333333333</v>
      </c>
      <c r="K2592" s="8" t="s">
        <v>791</v>
      </c>
      <c r="L2592" s="8" t="s">
        <v>1941</v>
      </c>
      <c r="M2592" s="8">
        <v>19</v>
      </c>
    </row>
    <row r="2593" spans="1:14" ht="25" customHeight="1">
      <c r="A2593" s="12">
        <v>19</v>
      </c>
      <c r="B2593" s="8">
        <v>0</v>
      </c>
      <c r="C2593" s="8" t="s">
        <v>115</v>
      </c>
      <c r="D2593" s="8" t="s">
        <v>203</v>
      </c>
      <c r="E2593" s="8" t="s">
        <v>1433</v>
      </c>
      <c r="F2593" s="8">
        <v>1</v>
      </c>
      <c r="G2593" s="8">
        <v>0</v>
      </c>
      <c r="H2593" s="8">
        <v>0</v>
      </c>
      <c r="I2593" s="8">
        <v>1</v>
      </c>
      <c r="J2593" s="11">
        <v>0.05263157894736842</v>
      </c>
      <c r="K2593" s="8" t="s">
        <v>791</v>
      </c>
      <c r="L2593" s="8" t="s">
        <v>1941</v>
      </c>
      <c r="M2593" s="8">
        <v>20</v>
      </c>
    </row>
    <row r="2594" spans="1:14" ht="25" customHeight="1">
      <c r="A2594" s="12">
        <v>20</v>
      </c>
      <c r="B2594" s="8">
        <v>0</v>
      </c>
      <c r="C2594" s="8" t="s">
        <v>115</v>
      </c>
      <c r="D2594" s="8" t="s">
        <v>203</v>
      </c>
      <c r="E2594" s="8" t="s">
        <v>1435</v>
      </c>
      <c r="F2594" s="8">
        <v>1</v>
      </c>
      <c r="G2594" s="8">
        <v>0</v>
      </c>
      <c r="H2594" s="8">
        <v>0</v>
      </c>
      <c r="I2594" s="8">
        <v>2</v>
      </c>
      <c r="J2594" s="11">
        <v>0.05263157894736842</v>
      </c>
      <c r="K2594" s="8" t="s">
        <v>791</v>
      </c>
      <c r="L2594" s="8" t="s">
        <v>1941</v>
      </c>
      <c r="M2594" s="8">
        <v>21</v>
      </c>
    </row>
    <row r="2595" spans="1:14" ht="25" customHeight="1">
      <c r="A2595" s="12">
        <v>21</v>
      </c>
      <c r="B2595" s="8">
        <v>0</v>
      </c>
      <c r="C2595" s="8" t="s">
        <v>115</v>
      </c>
      <c r="D2595" s="8" t="s">
        <v>206</v>
      </c>
      <c r="E2595" s="8" t="s">
        <v>815</v>
      </c>
      <c r="F2595" s="8">
        <v>2</v>
      </c>
      <c r="G2595" s="11">
        <v>0.5</v>
      </c>
      <c r="H2595" s="8">
        <v>0</v>
      </c>
      <c r="I2595" s="8">
        <v>1</v>
      </c>
      <c r="J2595" s="11">
        <v>0.1666666666666667</v>
      </c>
      <c r="K2595" s="8" t="s">
        <v>791</v>
      </c>
      <c r="L2595" s="8" t="s">
        <v>792</v>
      </c>
      <c r="M2595" s="8">
        <v>22</v>
      </c>
      <c r="N2595" s="8">
        <v>2</v>
      </c>
    </row>
    <row r="2596" spans="1:14" ht="25" customHeight="1">
      <c r="A2596" s="12">
        <v>22</v>
      </c>
      <c r="B2596" s="8">
        <v>0</v>
      </c>
      <c r="C2596" s="8" t="s">
        <v>115</v>
      </c>
      <c r="D2596" s="8" t="s">
        <v>203</v>
      </c>
      <c r="E2596" s="8" t="s">
        <v>816</v>
      </c>
      <c r="F2596" s="8">
        <v>2</v>
      </c>
      <c r="G2596" s="11">
        <v>0.5</v>
      </c>
      <c r="H2596" s="8">
        <v>0</v>
      </c>
      <c r="I2596" s="8">
        <v>4</v>
      </c>
      <c r="J2596" s="11">
        <v>0.1052631578947368</v>
      </c>
      <c r="K2596" s="8" t="s">
        <v>791</v>
      </c>
      <c r="L2596" s="8" t="s">
        <v>792</v>
      </c>
      <c r="M2596" s="8">
        <v>23</v>
      </c>
      <c r="N2596" s="8">
        <v>3</v>
      </c>
    </row>
    <row r="2597" spans="1:14" ht="25" customHeight="1">
      <c r="A2597" s="12">
        <v>23</v>
      </c>
      <c r="B2597" s="8">
        <v>0</v>
      </c>
      <c r="C2597" s="8" t="s">
        <v>115</v>
      </c>
      <c r="D2597" s="8" t="s">
        <v>203</v>
      </c>
      <c r="E2597" s="8" t="s">
        <v>1439</v>
      </c>
      <c r="F2597" s="8">
        <v>1</v>
      </c>
      <c r="G2597" s="8">
        <v>0</v>
      </c>
      <c r="H2597" s="8">
        <v>0</v>
      </c>
      <c r="I2597" s="8">
        <v>2</v>
      </c>
      <c r="J2597" s="11">
        <v>0.05263157894736842</v>
      </c>
      <c r="K2597" s="8" t="s">
        <v>791</v>
      </c>
      <c r="L2597" s="8" t="s">
        <v>1941</v>
      </c>
      <c r="M2597" s="8">
        <v>24</v>
      </c>
    </row>
    <row r="2598" spans="1:14" ht="25" customHeight="1">
      <c r="A2598" s="12">
        <v>24</v>
      </c>
      <c r="B2598" s="8">
        <v>0</v>
      </c>
      <c r="C2598" s="8" t="s">
        <v>115</v>
      </c>
      <c r="D2598" s="8" t="s">
        <v>206</v>
      </c>
      <c r="E2598" s="8" t="s">
        <v>817</v>
      </c>
      <c r="F2598" s="8">
        <v>2</v>
      </c>
      <c r="G2598" s="8">
        <v>0</v>
      </c>
      <c r="H2598" s="8">
        <v>0</v>
      </c>
      <c r="I2598" s="11">
        <v>1.5</v>
      </c>
      <c r="J2598" s="11">
        <v>0.1666666666666667</v>
      </c>
      <c r="K2598" s="8" t="s">
        <v>791</v>
      </c>
      <c r="L2598" s="8" t="s">
        <v>792</v>
      </c>
      <c r="M2598" s="8">
        <v>26</v>
      </c>
      <c r="N2598" s="8">
        <v>4</v>
      </c>
    </row>
    <row r="2599" spans="1:14" ht="25" customHeight="1">
      <c r="A2599" s="12">
        <v>25</v>
      </c>
      <c r="B2599" s="8">
        <v>0</v>
      </c>
      <c r="C2599" s="8" t="s">
        <v>115</v>
      </c>
      <c r="D2599" s="8" t="s">
        <v>811</v>
      </c>
      <c r="E2599" s="8" t="s">
        <v>816</v>
      </c>
      <c r="F2599" s="8">
        <v>2</v>
      </c>
      <c r="G2599" s="8">
        <v>0</v>
      </c>
      <c r="H2599" s="8">
        <v>0</v>
      </c>
      <c r="I2599" s="11">
        <v>1.5</v>
      </c>
      <c r="J2599" s="11">
        <v>0.6666666666666666</v>
      </c>
      <c r="K2599" s="8" t="s">
        <v>791</v>
      </c>
      <c r="L2599" s="8" t="s">
        <v>796</v>
      </c>
      <c r="M2599" s="8">
        <v>27</v>
      </c>
      <c r="N2599" s="8">
        <v>5</v>
      </c>
    </row>
    <row r="2600" spans="1:14" ht="25" customHeight="1">
      <c r="A2600" s="12">
        <v>26</v>
      </c>
      <c r="B2600" s="8">
        <v>0</v>
      </c>
      <c r="C2600" s="8" t="s">
        <v>115</v>
      </c>
      <c r="D2600" s="8" t="s">
        <v>203</v>
      </c>
      <c r="E2600" s="8" t="s">
        <v>818</v>
      </c>
      <c r="F2600" s="8">
        <v>2</v>
      </c>
      <c r="G2600" s="11">
        <v>0.5</v>
      </c>
      <c r="H2600" s="8">
        <v>0</v>
      </c>
      <c r="I2600" s="11">
        <v>2.5</v>
      </c>
      <c r="J2600" s="11">
        <v>0.1052631578947368</v>
      </c>
      <c r="K2600" s="8" t="s">
        <v>791</v>
      </c>
      <c r="L2600" s="8" t="s">
        <v>792</v>
      </c>
      <c r="M2600" s="8">
        <v>28</v>
      </c>
      <c r="N2600" s="8">
        <v>6</v>
      </c>
    </row>
    <row r="2601" spans="1:14" ht="25" customHeight="1">
      <c r="A2601" s="12">
        <v>27</v>
      </c>
      <c r="B2601" s="8">
        <v>0</v>
      </c>
      <c r="C2601" s="8" t="s">
        <v>115</v>
      </c>
      <c r="D2601" s="8" t="s">
        <v>811</v>
      </c>
      <c r="E2601" s="8" t="s">
        <v>1447</v>
      </c>
      <c r="F2601" s="8">
        <v>1</v>
      </c>
      <c r="G2601" s="8">
        <v>0</v>
      </c>
      <c r="H2601" s="8">
        <v>0</v>
      </c>
      <c r="I2601" s="8">
        <v>-4</v>
      </c>
      <c r="J2601" s="11">
        <v>0.3333333333333333</v>
      </c>
      <c r="K2601" s="8" t="s">
        <v>791</v>
      </c>
      <c r="L2601" s="8" t="s">
        <v>1941</v>
      </c>
      <c r="M2601" s="8">
        <v>30</v>
      </c>
    </row>
    <row r="2602" spans="1:14" ht="25" customHeight="1">
      <c r="A2602" s="12">
        <v>28</v>
      </c>
      <c r="B2602" s="8">
        <v>0</v>
      </c>
      <c r="C2602" s="8" t="s">
        <v>115</v>
      </c>
      <c r="D2602" s="8" t="s">
        <v>206</v>
      </c>
      <c r="E2602" s="8" t="s">
        <v>823</v>
      </c>
      <c r="F2602" s="8">
        <v>2</v>
      </c>
      <c r="G2602" s="11">
        <v>0.5</v>
      </c>
      <c r="H2602" s="11">
        <v>0.5</v>
      </c>
      <c r="I2602" s="8">
        <v>7</v>
      </c>
      <c r="J2602" s="11">
        <v>0.1666666666666667</v>
      </c>
      <c r="K2602" s="8" t="s">
        <v>791</v>
      </c>
      <c r="L2602" s="8" t="s">
        <v>792</v>
      </c>
      <c r="M2602" s="8">
        <v>31</v>
      </c>
      <c r="N2602" s="8">
        <v>7</v>
      </c>
    </row>
    <row r="2603" spans="1:14" ht="25" customHeight="1">
      <c r="A2603" s="12">
        <v>29</v>
      </c>
      <c r="B2603" s="8">
        <v>0</v>
      </c>
      <c r="C2603" s="8" t="s">
        <v>115</v>
      </c>
      <c r="D2603" s="8" t="s">
        <v>235</v>
      </c>
      <c r="E2603" s="8" t="s">
        <v>1451</v>
      </c>
      <c r="F2603" s="8">
        <v>1</v>
      </c>
      <c r="G2603" s="8">
        <v>1</v>
      </c>
      <c r="H2603" s="8">
        <v>0</v>
      </c>
      <c r="I2603" s="8">
        <v>1</v>
      </c>
      <c r="J2603" s="11">
        <v>0.5</v>
      </c>
      <c r="K2603" s="8" t="s">
        <v>791</v>
      </c>
      <c r="L2603" s="8" t="s">
        <v>1941</v>
      </c>
      <c r="M2603" s="8">
        <v>32</v>
      </c>
    </row>
    <row r="2604" spans="1:14" ht="25" customHeight="1">
      <c r="A2604" s="12">
        <v>30</v>
      </c>
      <c r="B2604" s="8">
        <v>0</v>
      </c>
      <c r="C2604" s="8" t="s">
        <v>115</v>
      </c>
      <c r="D2604" s="8" t="s">
        <v>203</v>
      </c>
      <c r="E2604" s="8" t="s">
        <v>1455</v>
      </c>
      <c r="F2604" s="8">
        <v>1</v>
      </c>
      <c r="G2604" s="8">
        <v>0</v>
      </c>
      <c r="H2604" s="8">
        <v>0</v>
      </c>
      <c r="I2604" s="8">
        <v>-5</v>
      </c>
      <c r="J2604" s="11">
        <v>0.05263157894736842</v>
      </c>
      <c r="K2604" s="8" t="s">
        <v>791</v>
      </c>
      <c r="L2604" s="8" t="s">
        <v>1941</v>
      </c>
      <c r="M2604" s="8">
        <v>36</v>
      </c>
    </row>
    <row r="2605" spans="1:14" ht="25" customHeight="1">
      <c r="A2605" s="12">
        <v>31</v>
      </c>
      <c r="B2605" s="8">
        <v>1</v>
      </c>
      <c r="C2605" s="8" t="s">
        <v>711</v>
      </c>
      <c r="D2605" s="8" t="s">
        <v>203</v>
      </c>
      <c r="E2605" s="8" t="s">
        <v>815</v>
      </c>
      <c r="F2605" s="8">
        <v>1</v>
      </c>
      <c r="G2605" s="8">
        <v>0</v>
      </c>
      <c r="H2605" s="8">
        <v>0</v>
      </c>
      <c r="I2605" s="8">
        <v>-2</v>
      </c>
      <c r="J2605" s="8">
        <v>1</v>
      </c>
      <c r="K2605" s="8" t="s">
        <v>791</v>
      </c>
      <c r="L2605" s="8" t="s">
        <v>1941</v>
      </c>
      <c r="M2605" s="8">
        <v>40</v>
      </c>
    </row>
    <row r="2606" spans="1:14" ht="25" customHeight="1">
      <c r="A2606" s="12">
        <v>32</v>
      </c>
      <c r="B2606" s="8">
        <v>1</v>
      </c>
      <c r="C2606" s="8" t="s">
        <v>716</v>
      </c>
      <c r="D2606" s="8" t="s">
        <v>222</v>
      </c>
      <c r="E2606" s="8" t="s">
        <v>819</v>
      </c>
      <c r="F2606" s="8">
        <v>1</v>
      </c>
      <c r="G2606" s="8">
        <v>0</v>
      </c>
      <c r="H2606" s="8">
        <v>0</v>
      </c>
      <c r="I2606" s="8">
        <v>0</v>
      </c>
      <c r="J2606" s="8">
        <v>1</v>
      </c>
      <c r="K2606" s="8" t="s">
        <v>791</v>
      </c>
      <c r="L2606" s="8" t="s">
        <v>1941</v>
      </c>
      <c r="M2606" s="8">
        <v>41</v>
      </c>
    </row>
    <row r="2607" spans="1:14" ht="25" customHeight="1">
      <c r="A2607" s="12">
        <v>33</v>
      </c>
      <c r="B2607" s="8">
        <v>1</v>
      </c>
      <c r="C2607" s="8" t="s">
        <v>716</v>
      </c>
      <c r="D2607" s="8" t="s">
        <v>203</v>
      </c>
      <c r="E2607" s="8" t="s">
        <v>816</v>
      </c>
      <c r="F2607" s="8">
        <v>4</v>
      </c>
      <c r="G2607" s="8">
        <v>0</v>
      </c>
      <c r="H2607" s="8">
        <v>0</v>
      </c>
      <c r="I2607" s="8">
        <v>0</v>
      </c>
      <c r="J2607" s="11">
        <v>0.2666666666666667</v>
      </c>
      <c r="K2607" s="8" t="s">
        <v>795</v>
      </c>
      <c r="L2607" s="8" t="s">
        <v>796</v>
      </c>
      <c r="M2607" s="8">
        <v>42</v>
      </c>
      <c r="N2607" s="8">
        <v>8</v>
      </c>
    </row>
    <row r="2608" spans="1:14" ht="25" customHeight="1">
      <c r="A2608" s="12">
        <v>34</v>
      </c>
      <c r="B2608" s="8">
        <v>1</v>
      </c>
      <c r="C2608" s="8" t="s">
        <v>716</v>
      </c>
      <c r="D2608" s="8" t="s">
        <v>206</v>
      </c>
      <c r="E2608" s="8" t="s">
        <v>815</v>
      </c>
      <c r="F2608" s="8">
        <v>1</v>
      </c>
      <c r="G2608" s="8">
        <v>1</v>
      </c>
      <c r="H2608" s="8">
        <v>0</v>
      </c>
      <c r="I2608" s="8">
        <v>8</v>
      </c>
      <c r="J2608" s="11">
        <v>0.1666666666666667</v>
      </c>
      <c r="K2608" s="8" t="s">
        <v>791</v>
      </c>
      <c r="L2608" s="8" t="s">
        <v>1941</v>
      </c>
      <c r="M2608" s="8">
        <v>43</v>
      </c>
    </row>
    <row r="2609" spans="1:13" ht="25" customHeight="1">
      <c r="A2609" s="12">
        <v>35</v>
      </c>
      <c r="B2609" s="8">
        <v>1</v>
      </c>
      <c r="C2609" s="8" t="s">
        <v>716</v>
      </c>
      <c r="D2609" s="8" t="s">
        <v>203</v>
      </c>
      <c r="E2609" s="8" t="s">
        <v>1410</v>
      </c>
      <c r="F2609" s="8">
        <v>1</v>
      </c>
      <c r="G2609" s="8">
        <v>1</v>
      </c>
      <c r="H2609" s="8">
        <v>0</v>
      </c>
      <c r="I2609" s="8">
        <v>9</v>
      </c>
      <c r="J2609" s="11">
        <v>0.06666666666666667</v>
      </c>
      <c r="K2609" s="8" t="s">
        <v>791</v>
      </c>
      <c r="L2609" s="8" t="s">
        <v>1941</v>
      </c>
      <c r="M2609" s="8">
        <v>44</v>
      </c>
    </row>
    <row r="2610" spans="1:13" ht="25" customHeight="1">
      <c r="A2610" s="12">
        <v>36</v>
      </c>
      <c r="B2610" s="8">
        <v>1</v>
      </c>
      <c r="C2610" s="8" t="s">
        <v>716</v>
      </c>
      <c r="D2610" s="8" t="s">
        <v>206</v>
      </c>
      <c r="E2610" s="8" t="s">
        <v>1469</v>
      </c>
      <c r="F2610" s="8">
        <v>1</v>
      </c>
      <c r="G2610" s="8">
        <v>0</v>
      </c>
      <c r="H2610" s="8">
        <v>0</v>
      </c>
      <c r="I2610" s="8">
        <v>1</v>
      </c>
      <c r="J2610" s="11">
        <v>0.1666666666666667</v>
      </c>
      <c r="K2610" s="8" t="s">
        <v>791</v>
      </c>
      <c r="L2610" s="8" t="s">
        <v>1941</v>
      </c>
      <c r="M2610" s="8">
        <v>45</v>
      </c>
    </row>
    <row r="2611" spans="1:13" ht="25" customHeight="1">
      <c r="A2611" s="12">
        <v>37</v>
      </c>
      <c r="B2611" s="8">
        <v>1</v>
      </c>
      <c r="C2611" s="8" t="s">
        <v>716</v>
      </c>
      <c r="D2611" s="8" t="s">
        <v>206</v>
      </c>
      <c r="E2611" s="8" t="s">
        <v>1474</v>
      </c>
      <c r="F2611" s="8">
        <v>1</v>
      </c>
      <c r="G2611" s="8">
        <v>0</v>
      </c>
      <c r="H2611" s="8">
        <v>0</v>
      </c>
      <c r="I2611" s="8">
        <v>1</v>
      </c>
      <c r="J2611" s="11">
        <v>0.1666666666666667</v>
      </c>
      <c r="K2611" s="8" t="s">
        <v>791</v>
      </c>
      <c r="L2611" s="8" t="s">
        <v>1941</v>
      </c>
      <c r="M2611" s="8">
        <v>47</v>
      </c>
    </row>
    <row r="2612" spans="1:13" ht="25" customHeight="1">
      <c r="A2612" s="12">
        <v>38</v>
      </c>
      <c r="B2612" s="8">
        <v>1</v>
      </c>
      <c r="C2612" s="8" t="s">
        <v>716</v>
      </c>
      <c r="D2612" s="8" t="s">
        <v>203</v>
      </c>
      <c r="E2612" s="8" t="s">
        <v>1476</v>
      </c>
      <c r="F2612" s="8">
        <v>1</v>
      </c>
      <c r="G2612" s="8">
        <v>0</v>
      </c>
      <c r="H2612" s="8">
        <v>0</v>
      </c>
      <c r="I2612" s="8">
        <v>0</v>
      </c>
      <c r="J2612" s="11">
        <v>0.06666666666666667</v>
      </c>
      <c r="K2612" s="8" t="s">
        <v>791</v>
      </c>
      <c r="L2612" s="8" t="s">
        <v>1941</v>
      </c>
      <c r="M2612" s="8">
        <v>48</v>
      </c>
    </row>
    <row r="2613" spans="1:13" ht="25" customHeight="1">
      <c r="A2613" s="12">
        <v>39</v>
      </c>
      <c r="B2613" s="8">
        <v>1</v>
      </c>
      <c r="C2613" s="8" t="s">
        <v>716</v>
      </c>
      <c r="D2613" s="8" t="s">
        <v>203</v>
      </c>
      <c r="E2613" s="8" t="s">
        <v>1478</v>
      </c>
      <c r="F2613" s="8">
        <v>1</v>
      </c>
      <c r="G2613" s="8">
        <v>1</v>
      </c>
      <c r="H2613" s="8">
        <v>0</v>
      </c>
      <c r="I2613" s="8">
        <v>4</v>
      </c>
      <c r="J2613" s="11">
        <v>0.06666666666666667</v>
      </c>
      <c r="K2613" s="8" t="s">
        <v>791</v>
      </c>
      <c r="L2613" s="8" t="s">
        <v>1941</v>
      </c>
      <c r="M2613" s="8">
        <v>49</v>
      </c>
    </row>
    <row r="2614" spans="1:13" ht="25" customHeight="1">
      <c r="A2614" s="12">
        <v>40</v>
      </c>
      <c r="B2614" s="8">
        <v>1</v>
      </c>
      <c r="C2614" s="8" t="s">
        <v>716</v>
      </c>
      <c r="D2614" s="8" t="s">
        <v>206</v>
      </c>
      <c r="E2614" s="8" t="s">
        <v>49</v>
      </c>
      <c r="F2614" s="8">
        <v>1</v>
      </c>
      <c r="G2614" s="8">
        <v>1</v>
      </c>
      <c r="H2614" s="8">
        <v>1</v>
      </c>
      <c r="I2614" s="8">
        <v>31</v>
      </c>
      <c r="J2614" s="11">
        <v>0.1666666666666667</v>
      </c>
      <c r="K2614" s="8" t="s">
        <v>791</v>
      </c>
      <c r="L2614" s="8" t="s">
        <v>1941</v>
      </c>
      <c r="M2614" s="8">
        <v>50</v>
      </c>
    </row>
    <row r="2615" spans="1:13" ht="25" customHeight="1">
      <c r="A2615" s="12">
        <v>41</v>
      </c>
      <c r="B2615" s="8">
        <v>1</v>
      </c>
      <c r="C2615" s="8" t="s">
        <v>716</v>
      </c>
      <c r="D2615" s="8" t="s">
        <v>203</v>
      </c>
      <c r="E2615" s="8" t="s">
        <v>1481</v>
      </c>
      <c r="F2615" s="8">
        <v>1</v>
      </c>
      <c r="G2615" s="8">
        <v>0</v>
      </c>
      <c r="H2615" s="8">
        <v>0</v>
      </c>
      <c r="I2615" s="8">
        <v>0</v>
      </c>
      <c r="J2615" s="11">
        <v>0.06666666666666667</v>
      </c>
      <c r="K2615" s="8" t="s">
        <v>791</v>
      </c>
      <c r="L2615" s="8" t="s">
        <v>1941</v>
      </c>
      <c r="M2615" s="8">
        <v>51</v>
      </c>
    </row>
    <row r="2616" spans="1:13" ht="25" customHeight="1">
      <c r="A2616" s="12">
        <v>42</v>
      </c>
      <c r="B2616" s="8">
        <v>1</v>
      </c>
      <c r="C2616" s="8" t="s">
        <v>711</v>
      </c>
      <c r="D2616" s="8" t="s">
        <v>235</v>
      </c>
      <c r="E2616" s="8" t="s">
        <v>1483</v>
      </c>
      <c r="F2616" s="8">
        <v>1</v>
      </c>
      <c r="G2616" s="8">
        <v>0</v>
      </c>
      <c r="H2616" s="8">
        <v>0</v>
      </c>
      <c r="I2616" s="8">
        <v>1</v>
      </c>
      <c r="J2616" s="8">
        <v>1</v>
      </c>
      <c r="K2616" s="8" t="s">
        <v>791</v>
      </c>
      <c r="L2616" s="8" t="s">
        <v>1941</v>
      </c>
      <c r="M2616" s="8">
        <v>52</v>
      </c>
    </row>
    <row r="2617" spans="1:13" ht="25" customHeight="1">
      <c r="A2617" s="12">
        <v>43</v>
      </c>
      <c r="B2617" s="8">
        <v>1</v>
      </c>
      <c r="C2617" s="8" t="s">
        <v>706</v>
      </c>
      <c r="D2617" s="8" t="s">
        <v>811</v>
      </c>
      <c r="E2617" s="8" t="s">
        <v>1447</v>
      </c>
      <c r="F2617" s="8">
        <v>1</v>
      </c>
      <c r="G2617" s="8">
        <v>0</v>
      </c>
      <c r="H2617" s="8">
        <v>0</v>
      </c>
      <c r="I2617" s="8">
        <v>0</v>
      </c>
      <c r="J2617" s="8">
        <v>1</v>
      </c>
      <c r="K2617" s="8" t="s">
        <v>791</v>
      </c>
      <c r="L2617" s="8" t="s">
        <v>1941</v>
      </c>
      <c r="M2617" s="8">
        <v>53</v>
      </c>
    </row>
    <row r="2618" spans="1:13" ht="25" customHeight="1">
      <c r="A2618" s="12">
        <v>44</v>
      </c>
      <c r="B2618" s="8">
        <v>1</v>
      </c>
      <c r="C2618" s="8" t="s">
        <v>716</v>
      </c>
      <c r="D2618" s="8" t="s">
        <v>203</v>
      </c>
      <c r="E2618" s="8" t="s">
        <v>1488</v>
      </c>
      <c r="F2618" s="8">
        <v>1</v>
      </c>
      <c r="G2618" s="8">
        <v>1</v>
      </c>
      <c r="H2618" s="8">
        <v>0</v>
      </c>
      <c r="I2618" s="8">
        <v>6</v>
      </c>
      <c r="J2618" s="11">
        <v>0.06666666666666667</v>
      </c>
      <c r="K2618" s="8" t="s">
        <v>791</v>
      </c>
      <c r="L2618" s="8" t="s">
        <v>1941</v>
      </c>
      <c r="M2618" s="8">
        <v>55</v>
      </c>
    </row>
    <row r="2619" spans="1:13" ht="25" customHeight="1">
      <c r="A2619" s="12">
        <v>45</v>
      </c>
      <c r="B2619" s="8">
        <v>1</v>
      </c>
      <c r="C2619" s="8" t="s">
        <v>716</v>
      </c>
      <c r="D2619" s="8" t="s">
        <v>206</v>
      </c>
      <c r="E2619" s="8" t="s">
        <v>816</v>
      </c>
      <c r="F2619" s="8">
        <v>1</v>
      </c>
      <c r="G2619" s="8">
        <v>0</v>
      </c>
      <c r="H2619" s="8">
        <v>0</v>
      </c>
      <c r="I2619" s="8">
        <v>0</v>
      </c>
      <c r="J2619" s="11">
        <v>0.1666666666666667</v>
      </c>
      <c r="K2619" s="8" t="s">
        <v>791</v>
      </c>
      <c r="L2619" s="8" t="s">
        <v>1941</v>
      </c>
      <c r="M2619" s="8">
        <v>56</v>
      </c>
    </row>
    <row r="2620" spans="1:13" ht="25" customHeight="1">
      <c r="A2620" s="12">
        <v>46</v>
      </c>
      <c r="B2620" s="8">
        <v>1</v>
      </c>
      <c r="C2620" s="8" t="s">
        <v>716</v>
      </c>
      <c r="D2620" s="8" t="s">
        <v>203</v>
      </c>
      <c r="E2620" s="8" t="s">
        <v>1491</v>
      </c>
      <c r="F2620" s="8">
        <v>1</v>
      </c>
      <c r="G2620" s="8">
        <v>1</v>
      </c>
      <c r="H2620" s="8">
        <v>0</v>
      </c>
      <c r="I2620" s="8">
        <v>4</v>
      </c>
      <c r="J2620" s="11">
        <v>0.06666666666666667</v>
      </c>
      <c r="K2620" s="8" t="s">
        <v>791</v>
      </c>
      <c r="L2620" s="8" t="s">
        <v>1941</v>
      </c>
      <c r="M2620" s="8">
        <v>57</v>
      </c>
    </row>
    <row r="2621" spans="1:13" ht="25" customHeight="1">
      <c r="A2621" s="12">
        <v>47</v>
      </c>
      <c r="B2621" s="8">
        <v>1</v>
      </c>
      <c r="C2621" s="8" t="s">
        <v>716</v>
      </c>
      <c r="D2621" s="8" t="s">
        <v>235</v>
      </c>
      <c r="E2621" s="8" t="s">
        <v>1422</v>
      </c>
      <c r="F2621" s="8">
        <v>1</v>
      </c>
      <c r="G2621" s="8">
        <v>1</v>
      </c>
      <c r="H2621" s="8">
        <v>0</v>
      </c>
      <c r="I2621" s="8">
        <v>4</v>
      </c>
      <c r="J2621" s="8">
        <v>1</v>
      </c>
      <c r="K2621" s="8" t="s">
        <v>791</v>
      </c>
      <c r="L2621" s="8" t="s">
        <v>1941</v>
      </c>
      <c r="M2621" s="8">
        <v>58</v>
      </c>
    </row>
    <row r="2622" spans="1:13" ht="25" customHeight="1">
      <c r="A2622" s="12">
        <v>48</v>
      </c>
      <c r="B2622" s="8">
        <v>1</v>
      </c>
      <c r="C2622" s="8" t="s">
        <v>716</v>
      </c>
      <c r="D2622" s="8" t="s">
        <v>203</v>
      </c>
      <c r="E2622" s="8" t="s">
        <v>1494</v>
      </c>
      <c r="F2622" s="8">
        <v>1</v>
      </c>
      <c r="G2622" s="8">
        <v>0</v>
      </c>
      <c r="H2622" s="8">
        <v>0</v>
      </c>
      <c r="I2622" s="8">
        <v>0</v>
      </c>
      <c r="J2622" s="11">
        <v>0.06666666666666667</v>
      </c>
      <c r="K2622" s="8" t="s">
        <v>791</v>
      </c>
      <c r="L2622" s="8" t="s">
        <v>1941</v>
      </c>
      <c r="M2622" s="8">
        <v>59</v>
      </c>
    </row>
    <row r="2623" spans="1:13" ht="25" customHeight="1">
      <c r="A2623" s="12">
        <v>49</v>
      </c>
      <c r="B2623" s="8">
        <v>1</v>
      </c>
      <c r="C2623" s="8" t="s">
        <v>716</v>
      </c>
      <c r="D2623" s="8" t="s">
        <v>203</v>
      </c>
      <c r="E2623" s="8" t="s">
        <v>1496</v>
      </c>
      <c r="F2623" s="8">
        <v>1</v>
      </c>
      <c r="G2623" s="8">
        <v>0</v>
      </c>
      <c r="H2623" s="8">
        <v>0</v>
      </c>
      <c r="I2623" s="8">
        <v>-15</v>
      </c>
      <c r="J2623" s="11">
        <v>0.06666666666666667</v>
      </c>
      <c r="K2623" s="8" t="s">
        <v>791</v>
      </c>
      <c r="L2623" s="8" t="s">
        <v>1941</v>
      </c>
      <c r="M2623" s="8">
        <v>60</v>
      </c>
    </row>
    <row r="2624" spans="1:13" ht="25" customHeight="1">
      <c r="A2624" s="12">
        <v>50</v>
      </c>
      <c r="B2624" s="8">
        <v>1</v>
      </c>
      <c r="C2624" s="8" t="s">
        <v>716</v>
      </c>
      <c r="D2624" s="8" t="s">
        <v>203</v>
      </c>
      <c r="E2624" s="8" t="s">
        <v>819</v>
      </c>
      <c r="F2624" s="8">
        <v>1</v>
      </c>
      <c r="G2624" s="8">
        <v>1</v>
      </c>
      <c r="H2624" s="8">
        <v>0</v>
      </c>
      <c r="I2624" s="8">
        <v>8</v>
      </c>
      <c r="J2624" s="11">
        <v>0.06666666666666667</v>
      </c>
      <c r="K2624" s="8" t="s">
        <v>791</v>
      </c>
      <c r="L2624" s="8" t="s">
        <v>1941</v>
      </c>
      <c r="M2624" s="8">
        <v>61</v>
      </c>
    </row>
    <row r="2625" spans="1:13" ht="25" customHeight="1">
      <c r="A2625" s="12">
        <v>51</v>
      </c>
      <c r="B2625" s="8">
        <v>1</v>
      </c>
      <c r="C2625" s="8" t="s">
        <v>716</v>
      </c>
      <c r="D2625" s="8" t="s">
        <v>203</v>
      </c>
      <c r="E2625" s="8" t="s">
        <v>1499</v>
      </c>
      <c r="F2625" s="8">
        <v>1</v>
      </c>
      <c r="G2625" s="8">
        <v>1</v>
      </c>
      <c r="H2625" s="8">
        <v>0</v>
      </c>
      <c r="I2625" s="8">
        <v>13</v>
      </c>
      <c r="J2625" s="11">
        <v>0.06666666666666667</v>
      </c>
      <c r="K2625" s="8" t="s">
        <v>791</v>
      </c>
      <c r="L2625" s="8" t="s">
        <v>1941</v>
      </c>
      <c r="M2625" s="8">
        <v>63</v>
      </c>
    </row>
    <row r="2626" spans="1:13" ht="25" customHeight="1">
      <c r="A2626" s="12">
        <v>52</v>
      </c>
      <c r="B2626" s="8">
        <v>1</v>
      </c>
      <c r="C2626" s="8" t="s">
        <v>720</v>
      </c>
      <c r="D2626" s="8" t="s">
        <v>203</v>
      </c>
      <c r="E2626" s="8" t="s">
        <v>816</v>
      </c>
      <c r="F2626" s="8">
        <v>1</v>
      </c>
      <c r="G2626" s="8">
        <v>1</v>
      </c>
      <c r="H2626" s="8">
        <v>0</v>
      </c>
      <c r="I2626" s="8">
        <v>3</v>
      </c>
      <c r="J2626" s="8">
        <v>1</v>
      </c>
      <c r="K2626" s="8" t="s">
        <v>791</v>
      </c>
      <c r="L2626" s="8" t="s">
        <v>1941</v>
      </c>
      <c r="M2626" s="8">
        <v>65</v>
      </c>
    </row>
    <row r="2627" spans="1:13" ht="25" customHeight="1">
      <c r="A2627" s="12">
        <v>53</v>
      </c>
      <c r="B2627" s="8">
        <v>1</v>
      </c>
      <c r="C2627" s="8" t="s">
        <v>716</v>
      </c>
      <c r="D2627" s="8" t="s">
        <v>203</v>
      </c>
      <c r="E2627" s="8" t="s">
        <v>1503</v>
      </c>
      <c r="F2627" s="8">
        <v>1</v>
      </c>
      <c r="G2627" s="8">
        <v>1</v>
      </c>
      <c r="H2627" s="8">
        <v>0</v>
      </c>
      <c r="I2627" s="8">
        <v>6</v>
      </c>
      <c r="J2627" s="11">
        <v>0.06666666666666667</v>
      </c>
      <c r="K2627" s="8" t="s">
        <v>791</v>
      </c>
      <c r="L2627" s="8" t="s">
        <v>1941</v>
      </c>
      <c r="M2627" s="8">
        <v>66</v>
      </c>
    </row>
    <row r="2628" spans="1:13" ht="25" customHeight="1">
      <c r="A2628" s="12">
        <v>54</v>
      </c>
      <c r="B2628" s="8">
        <v>1</v>
      </c>
      <c r="C2628" s="8" t="s">
        <v>716</v>
      </c>
      <c r="D2628" s="8" t="s">
        <v>811</v>
      </c>
      <c r="E2628" s="8" t="s">
        <v>1506</v>
      </c>
      <c r="F2628" s="8">
        <v>1</v>
      </c>
      <c r="G2628" s="8">
        <v>0</v>
      </c>
      <c r="H2628" s="8">
        <v>0</v>
      </c>
      <c r="I2628" s="8">
        <v>2</v>
      </c>
      <c r="J2628" s="11">
        <v>0.5</v>
      </c>
      <c r="K2628" s="8" t="s">
        <v>791</v>
      </c>
      <c r="L2628" s="8" t="s">
        <v>1941</v>
      </c>
      <c r="M2628" s="8">
        <v>67</v>
      </c>
    </row>
    <row r="2629" spans="1:13" ht="25" customHeight="1">
      <c r="A2629" s="12">
        <v>55</v>
      </c>
      <c r="B2629" s="8">
        <v>1</v>
      </c>
      <c r="C2629" s="8" t="s">
        <v>711</v>
      </c>
      <c r="D2629" s="8" t="s">
        <v>811</v>
      </c>
      <c r="E2629" s="8" t="s">
        <v>1509</v>
      </c>
      <c r="F2629" s="8">
        <v>1</v>
      </c>
      <c r="G2629" s="8">
        <v>1</v>
      </c>
      <c r="H2629" s="8">
        <v>0</v>
      </c>
      <c r="I2629" s="8">
        <v>4</v>
      </c>
      <c r="J2629" s="8">
        <v>1</v>
      </c>
      <c r="K2629" s="8" t="s">
        <v>791</v>
      </c>
      <c r="L2629" s="8" t="s">
        <v>1941</v>
      </c>
      <c r="M2629" s="8">
        <v>68</v>
      </c>
    </row>
    <row r="2630" spans="1:13" ht="25" customHeight="1">
      <c r="A2630" s="12">
        <v>56</v>
      </c>
      <c r="B2630" s="8">
        <v>1</v>
      </c>
      <c r="C2630" s="8" t="s">
        <v>716</v>
      </c>
      <c r="D2630" s="8" t="s">
        <v>811</v>
      </c>
      <c r="E2630" s="8" t="s">
        <v>816</v>
      </c>
      <c r="F2630" s="8">
        <v>1</v>
      </c>
      <c r="G2630" s="8">
        <v>1</v>
      </c>
      <c r="H2630" s="8">
        <v>0</v>
      </c>
      <c r="I2630" s="8">
        <v>11</v>
      </c>
      <c r="J2630" s="11">
        <v>0.5</v>
      </c>
      <c r="K2630" s="8" t="s">
        <v>791</v>
      </c>
      <c r="L2630" s="8" t="s">
        <v>1941</v>
      </c>
      <c r="M2630" s="8">
        <v>69</v>
      </c>
    </row>
    <row r="2631" spans="1:13" ht="25" customHeight="1">
      <c r="A2631" s="12">
        <v>57</v>
      </c>
      <c r="B2631" s="8">
        <v>1</v>
      </c>
      <c r="C2631" s="8" t="s">
        <v>716</v>
      </c>
      <c r="D2631" s="8" t="s">
        <v>206</v>
      </c>
      <c r="E2631" s="8" t="s">
        <v>823</v>
      </c>
      <c r="F2631" s="8">
        <v>1</v>
      </c>
      <c r="G2631" s="8">
        <v>1</v>
      </c>
      <c r="H2631" s="8">
        <v>0</v>
      </c>
      <c r="I2631" s="8">
        <v>5</v>
      </c>
      <c r="J2631" s="11">
        <v>0.1666666666666667</v>
      </c>
      <c r="K2631" s="8" t="s">
        <v>791</v>
      </c>
      <c r="L2631" s="8" t="s">
        <v>1941</v>
      </c>
      <c r="M2631" s="8">
        <v>70</v>
      </c>
    </row>
    <row r="2632" spans="1:13" ht="25" customHeight="1">
      <c r="A2632" s="12">
        <v>58</v>
      </c>
      <c r="B2632" s="8">
        <v>2</v>
      </c>
      <c r="C2632" s="8" t="s">
        <v>716</v>
      </c>
      <c r="D2632" s="8" t="s">
        <v>222</v>
      </c>
      <c r="E2632" s="8" t="s">
        <v>1516</v>
      </c>
      <c r="F2632" s="8">
        <v>1</v>
      </c>
      <c r="G2632" s="8">
        <v>0</v>
      </c>
      <c r="H2632" s="8">
        <v>0</v>
      </c>
      <c r="I2632" s="8">
        <v>0</v>
      </c>
      <c r="J2632" s="8">
        <v>1</v>
      </c>
      <c r="K2632" s="8" t="s">
        <v>791</v>
      </c>
      <c r="L2632" s="8" t="s">
        <v>1941</v>
      </c>
      <c r="M2632" s="8">
        <v>71</v>
      </c>
    </row>
    <row r="2633" spans="1:13" ht="25" customHeight="1">
      <c r="A2633" s="12">
        <v>59</v>
      </c>
      <c r="B2633" s="8">
        <v>2</v>
      </c>
      <c r="C2633" s="8" t="s">
        <v>711</v>
      </c>
      <c r="D2633" s="8" t="s">
        <v>203</v>
      </c>
      <c r="E2633" s="8" t="s">
        <v>1491</v>
      </c>
      <c r="F2633" s="8">
        <v>1</v>
      </c>
      <c r="G2633" s="8">
        <v>0</v>
      </c>
      <c r="H2633" s="8">
        <v>0</v>
      </c>
      <c r="I2633" s="8">
        <v>-4</v>
      </c>
      <c r="J2633" s="11">
        <v>0.25</v>
      </c>
      <c r="K2633" s="8" t="s">
        <v>791</v>
      </c>
      <c r="L2633" s="8" t="s">
        <v>1941</v>
      </c>
      <c r="M2633" s="8">
        <v>72</v>
      </c>
    </row>
    <row r="2634" spans="1:13" ht="25" customHeight="1">
      <c r="A2634" s="12">
        <v>60</v>
      </c>
      <c r="B2634" s="8">
        <v>2</v>
      </c>
      <c r="C2634" s="8" t="s">
        <v>716</v>
      </c>
      <c r="D2634" s="8" t="s">
        <v>203</v>
      </c>
      <c r="E2634" s="8" t="s">
        <v>1413</v>
      </c>
      <c r="F2634" s="8">
        <v>1</v>
      </c>
      <c r="G2634" s="8">
        <v>0</v>
      </c>
      <c r="H2634" s="8">
        <v>0</v>
      </c>
      <c r="I2634" s="8">
        <v>1</v>
      </c>
      <c r="J2634" s="11">
        <v>0.07692307692307693</v>
      </c>
      <c r="K2634" s="8" t="s">
        <v>791</v>
      </c>
      <c r="L2634" s="8" t="s">
        <v>1941</v>
      </c>
      <c r="M2634" s="8">
        <v>73</v>
      </c>
    </row>
    <row r="2635" spans="1:13" ht="25" customHeight="1">
      <c r="A2635" s="12">
        <v>61</v>
      </c>
      <c r="B2635" s="8">
        <v>2</v>
      </c>
      <c r="C2635" s="8" t="s">
        <v>716</v>
      </c>
      <c r="D2635" s="8" t="s">
        <v>206</v>
      </c>
      <c r="E2635" s="8" t="s">
        <v>1523</v>
      </c>
      <c r="F2635" s="8">
        <v>1</v>
      </c>
      <c r="G2635" s="8">
        <v>1</v>
      </c>
      <c r="H2635" s="8">
        <v>0</v>
      </c>
      <c r="I2635" s="8">
        <v>12</v>
      </c>
      <c r="J2635" s="11">
        <v>0.1111111111111111</v>
      </c>
      <c r="K2635" s="8" t="s">
        <v>791</v>
      </c>
      <c r="L2635" s="8" t="s">
        <v>1941</v>
      </c>
      <c r="M2635" s="8">
        <v>74</v>
      </c>
    </row>
    <row r="2636" spans="1:13" ht="25" customHeight="1">
      <c r="A2636" s="12">
        <v>62</v>
      </c>
      <c r="B2636" s="8">
        <v>2</v>
      </c>
      <c r="C2636" s="8" t="s">
        <v>706</v>
      </c>
      <c r="D2636" s="8" t="s">
        <v>203</v>
      </c>
      <c r="E2636" s="8" t="s">
        <v>1431</v>
      </c>
      <c r="F2636" s="8">
        <v>1</v>
      </c>
      <c r="G2636" s="8">
        <v>0</v>
      </c>
      <c r="H2636" s="8">
        <v>0</v>
      </c>
      <c r="I2636" s="8">
        <v>0</v>
      </c>
      <c r="J2636" s="8">
        <v>1</v>
      </c>
      <c r="K2636" s="8" t="s">
        <v>791</v>
      </c>
      <c r="L2636" s="8" t="s">
        <v>1941</v>
      </c>
      <c r="M2636" s="8">
        <v>75</v>
      </c>
    </row>
    <row r="2637" spans="1:13" ht="25" customHeight="1">
      <c r="A2637" s="12">
        <v>63</v>
      </c>
      <c r="B2637" s="8">
        <v>2</v>
      </c>
      <c r="C2637" s="8" t="s">
        <v>716</v>
      </c>
      <c r="D2637" s="8" t="s">
        <v>203</v>
      </c>
      <c r="E2637" s="8" t="s">
        <v>1528</v>
      </c>
      <c r="F2637" s="8">
        <v>1</v>
      </c>
      <c r="G2637" s="8">
        <v>1</v>
      </c>
      <c r="H2637" s="8">
        <v>0</v>
      </c>
      <c r="I2637" s="8">
        <v>11</v>
      </c>
      <c r="J2637" s="11">
        <v>0.07692307692307693</v>
      </c>
      <c r="K2637" s="8" t="s">
        <v>791</v>
      </c>
      <c r="L2637" s="8" t="s">
        <v>1941</v>
      </c>
      <c r="M2637" s="8">
        <v>76</v>
      </c>
    </row>
    <row r="2638" spans="1:13" ht="25" customHeight="1">
      <c r="A2638" s="12">
        <v>64</v>
      </c>
      <c r="B2638" s="8">
        <v>2</v>
      </c>
      <c r="C2638" s="8" t="s">
        <v>720</v>
      </c>
      <c r="D2638" s="8" t="s">
        <v>203</v>
      </c>
      <c r="E2638" s="8" t="s">
        <v>1530</v>
      </c>
      <c r="F2638" s="8">
        <v>1</v>
      </c>
      <c r="G2638" s="8">
        <v>0</v>
      </c>
      <c r="H2638" s="8">
        <v>0</v>
      </c>
      <c r="I2638" s="8">
        <v>6</v>
      </c>
      <c r="J2638" s="11">
        <v>0.1666666666666667</v>
      </c>
      <c r="K2638" s="8" t="s">
        <v>791</v>
      </c>
      <c r="L2638" s="8" t="s">
        <v>1941</v>
      </c>
      <c r="M2638" s="8">
        <v>77</v>
      </c>
    </row>
    <row r="2639" spans="1:13" ht="25" customHeight="1">
      <c r="A2639" s="12">
        <v>65</v>
      </c>
      <c r="B2639" s="8">
        <v>2</v>
      </c>
      <c r="C2639" s="8" t="s">
        <v>706</v>
      </c>
      <c r="D2639" s="8" t="s">
        <v>206</v>
      </c>
      <c r="E2639" s="8" t="s">
        <v>1533</v>
      </c>
      <c r="F2639" s="8">
        <v>1</v>
      </c>
      <c r="G2639" s="8">
        <v>0</v>
      </c>
      <c r="H2639" s="8">
        <v>0</v>
      </c>
      <c r="I2639" s="8">
        <v>-3</v>
      </c>
      <c r="J2639" s="11">
        <v>0.2</v>
      </c>
      <c r="K2639" s="8" t="s">
        <v>791</v>
      </c>
      <c r="L2639" s="8" t="s">
        <v>1941</v>
      </c>
      <c r="M2639" s="8">
        <v>78</v>
      </c>
    </row>
    <row r="2640" spans="1:13" ht="25" customHeight="1">
      <c r="A2640" s="12">
        <v>66</v>
      </c>
      <c r="B2640" s="8">
        <v>2</v>
      </c>
      <c r="C2640" s="8" t="s">
        <v>706</v>
      </c>
      <c r="D2640" s="8" t="s">
        <v>206</v>
      </c>
      <c r="E2640" s="8" t="s">
        <v>1536</v>
      </c>
      <c r="F2640" s="8">
        <v>1</v>
      </c>
      <c r="G2640" s="8">
        <v>0</v>
      </c>
      <c r="H2640" s="8">
        <v>0</v>
      </c>
      <c r="I2640" s="8">
        <v>0</v>
      </c>
      <c r="J2640" s="11">
        <v>0.2</v>
      </c>
      <c r="K2640" s="8" t="s">
        <v>791</v>
      </c>
      <c r="L2640" s="8" t="s">
        <v>1941</v>
      </c>
      <c r="M2640" s="8">
        <v>79</v>
      </c>
    </row>
    <row r="2641" spans="1:14" ht="25" customHeight="1">
      <c r="A2641" s="12">
        <v>67</v>
      </c>
      <c r="B2641" s="8">
        <v>2</v>
      </c>
      <c r="C2641" s="8" t="s">
        <v>711</v>
      </c>
      <c r="D2641" s="8" t="s">
        <v>203</v>
      </c>
      <c r="E2641" s="8" t="s">
        <v>816</v>
      </c>
      <c r="F2641" s="8">
        <v>1</v>
      </c>
      <c r="G2641" s="8">
        <v>0</v>
      </c>
      <c r="H2641" s="8">
        <v>0</v>
      </c>
      <c r="I2641" s="8">
        <v>2</v>
      </c>
      <c r="J2641" s="11">
        <v>0.25</v>
      </c>
      <c r="K2641" s="8" t="s">
        <v>791</v>
      </c>
      <c r="L2641" s="8" t="s">
        <v>1941</v>
      </c>
      <c r="M2641" s="8">
        <v>80</v>
      </c>
    </row>
    <row r="2642" spans="1:14" ht="25" customHeight="1">
      <c r="A2642" s="12">
        <v>68</v>
      </c>
      <c r="B2642" s="8">
        <v>2</v>
      </c>
      <c r="C2642" s="8" t="s">
        <v>716</v>
      </c>
      <c r="D2642" s="8" t="s">
        <v>203</v>
      </c>
      <c r="E2642" s="8" t="s">
        <v>1410</v>
      </c>
      <c r="F2642" s="8">
        <v>1</v>
      </c>
      <c r="G2642" s="8">
        <v>1</v>
      </c>
      <c r="H2642" s="8">
        <v>0</v>
      </c>
      <c r="I2642" s="8">
        <v>8</v>
      </c>
      <c r="J2642" s="11">
        <v>0.07692307692307693</v>
      </c>
      <c r="K2642" s="8" t="s">
        <v>791</v>
      </c>
      <c r="L2642" s="8" t="s">
        <v>1941</v>
      </c>
      <c r="M2642" s="8">
        <v>81</v>
      </c>
    </row>
    <row r="2643" spans="1:14" ht="25" customHeight="1">
      <c r="A2643" s="12">
        <v>69</v>
      </c>
      <c r="B2643" s="8">
        <v>2</v>
      </c>
      <c r="C2643" s="8" t="s">
        <v>711</v>
      </c>
      <c r="D2643" s="8" t="s">
        <v>222</v>
      </c>
      <c r="E2643" s="8" t="s">
        <v>1541</v>
      </c>
      <c r="F2643" s="8">
        <v>1</v>
      </c>
      <c r="G2643" s="8">
        <v>0</v>
      </c>
      <c r="H2643" s="8">
        <v>0</v>
      </c>
      <c r="I2643" s="8">
        <v>1</v>
      </c>
      <c r="J2643" s="8">
        <v>1</v>
      </c>
      <c r="K2643" s="8" t="s">
        <v>791</v>
      </c>
      <c r="L2643" s="8" t="s">
        <v>1941</v>
      </c>
      <c r="M2643" s="8">
        <v>82</v>
      </c>
    </row>
    <row r="2644" spans="1:14" ht="25" customHeight="1">
      <c r="A2644" s="12">
        <v>70</v>
      </c>
      <c r="B2644" s="8">
        <v>2</v>
      </c>
      <c r="C2644" s="8" t="s">
        <v>716</v>
      </c>
      <c r="D2644" s="8" t="s">
        <v>206</v>
      </c>
      <c r="E2644" s="8" t="s">
        <v>1544</v>
      </c>
      <c r="F2644" s="8">
        <v>1</v>
      </c>
      <c r="G2644" s="8">
        <v>1</v>
      </c>
      <c r="H2644" s="8">
        <v>1</v>
      </c>
      <c r="I2644" s="8">
        <v>34</v>
      </c>
      <c r="J2644" s="11">
        <v>0.1111111111111111</v>
      </c>
      <c r="K2644" s="8" t="s">
        <v>791</v>
      </c>
      <c r="L2644" s="8" t="s">
        <v>1941</v>
      </c>
      <c r="M2644" s="8">
        <v>83</v>
      </c>
    </row>
    <row r="2645" spans="1:14" ht="25" customHeight="1">
      <c r="A2645" s="12">
        <v>71</v>
      </c>
      <c r="B2645" s="8">
        <v>2</v>
      </c>
      <c r="C2645" s="8" t="s">
        <v>716</v>
      </c>
      <c r="D2645" s="8" t="s">
        <v>203</v>
      </c>
      <c r="E2645" s="8" t="s">
        <v>1546</v>
      </c>
      <c r="F2645" s="8">
        <v>1</v>
      </c>
      <c r="G2645" s="8">
        <v>0</v>
      </c>
      <c r="H2645" s="8">
        <v>0</v>
      </c>
      <c r="I2645" s="8">
        <v>0</v>
      </c>
      <c r="J2645" s="11">
        <v>0.07692307692307693</v>
      </c>
      <c r="K2645" s="8" t="s">
        <v>791</v>
      </c>
      <c r="L2645" s="8" t="s">
        <v>1941</v>
      </c>
      <c r="M2645" s="8">
        <v>84</v>
      </c>
    </row>
    <row r="2646" spans="1:14" ht="25" customHeight="1">
      <c r="A2646" s="12">
        <v>72</v>
      </c>
      <c r="B2646" s="8">
        <v>2</v>
      </c>
      <c r="C2646" s="8" t="s">
        <v>720</v>
      </c>
      <c r="D2646" s="8" t="s">
        <v>203</v>
      </c>
      <c r="E2646" s="8" t="s">
        <v>821</v>
      </c>
      <c r="F2646" s="8">
        <v>1</v>
      </c>
      <c r="G2646" s="8">
        <v>1</v>
      </c>
      <c r="H2646" s="8">
        <v>1</v>
      </c>
      <c r="I2646" s="8">
        <v>21</v>
      </c>
      <c r="J2646" s="11">
        <v>0.1666666666666667</v>
      </c>
      <c r="K2646" s="8" t="s">
        <v>791</v>
      </c>
      <c r="L2646" s="8" t="s">
        <v>1941</v>
      </c>
      <c r="M2646" s="8">
        <v>85</v>
      </c>
    </row>
    <row r="2647" spans="1:14" ht="25" customHeight="1">
      <c r="A2647" s="12">
        <v>73</v>
      </c>
      <c r="B2647" s="8">
        <v>2</v>
      </c>
      <c r="C2647" s="8" t="s">
        <v>716</v>
      </c>
      <c r="D2647" s="8" t="s">
        <v>203</v>
      </c>
      <c r="E2647" s="8" t="s">
        <v>1550</v>
      </c>
      <c r="F2647" s="8">
        <v>1</v>
      </c>
      <c r="G2647" s="8">
        <v>0</v>
      </c>
      <c r="H2647" s="8">
        <v>0</v>
      </c>
      <c r="I2647" s="8">
        <v>0</v>
      </c>
      <c r="J2647" s="11">
        <v>0.07692307692307693</v>
      </c>
      <c r="K2647" s="8" t="s">
        <v>791</v>
      </c>
      <c r="L2647" s="8" t="s">
        <v>1941</v>
      </c>
      <c r="M2647" s="8">
        <v>86</v>
      </c>
    </row>
    <row r="2648" spans="1:14" ht="25" customHeight="1">
      <c r="A2648" s="12">
        <v>74</v>
      </c>
      <c r="B2648" s="8">
        <v>2</v>
      </c>
      <c r="C2648" s="8" t="s">
        <v>711</v>
      </c>
      <c r="D2648" s="8" t="s">
        <v>203</v>
      </c>
      <c r="E2648" s="8" t="s">
        <v>1398</v>
      </c>
      <c r="F2648" s="8">
        <v>1</v>
      </c>
      <c r="G2648" s="8">
        <v>0</v>
      </c>
      <c r="H2648" s="8">
        <v>0</v>
      </c>
      <c r="I2648" s="8">
        <v>0</v>
      </c>
      <c r="J2648" s="11">
        <v>0.25</v>
      </c>
      <c r="K2648" s="8" t="s">
        <v>791</v>
      </c>
      <c r="L2648" s="8" t="s">
        <v>1941</v>
      </c>
      <c r="M2648" s="8">
        <v>87</v>
      </c>
    </row>
    <row r="2649" spans="1:14" ht="25" customHeight="1">
      <c r="A2649" s="12">
        <v>75</v>
      </c>
      <c r="B2649" s="8">
        <v>2</v>
      </c>
      <c r="C2649" s="8" t="s">
        <v>711</v>
      </c>
      <c r="D2649" s="8" t="s">
        <v>206</v>
      </c>
      <c r="E2649" s="8" t="s">
        <v>816</v>
      </c>
      <c r="F2649" s="8">
        <v>1</v>
      </c>
      <c r="G2649" s="8">
        <v>1</v>
      </c>
      <c r="H2649" s="8">
        <v>0</v>
      </c>
      <c r="I2649" s="8">
        <v>9</v>
      </c>
      <c r="J2649" s="11">
        <v>0.3333333333333333</v>
      </c>
      <c r="K2649" s="8" t="s">
        <v>791</v>
      </c>
      <c r="L2649" s="8" t="s">
        <v>1941</v>
      </c>
      <c r="M2649" s="8">
        <v>88</v>
      </c>
    </row>
    <row r="2650" spans="1:14" ht="25" customHeight="1">
      <c r="A2650" s="12">
        <v>76</v>
      </c>
      <c r="B2650" s="8">
        <v>2</v>
      </c>
      <c r="C2650" s="8" t="s">
        <v>716</v>
      </c>
      <c r="D2650" s="8" t="s">
        <v>203</v>
      </c>
      <c r="E2650" s="8" t="s">
        <v>816</v>
      </c>
      <c r="F2650" s="8">
        <v>1</v>
      </c>
      <c r="G2650" s="8">
        <v>1</v>
      </c>
      <c r="H2650" s="8">
        <v>0</v>
      </c>
      <c r="I2650" s="8">
        <v>6</v>
      </c>
      <c r="J2650" s="11">
        <v>0.07692307692307693</v>
      </c>
      <c r="K2650" s="8" t="s">
        <v>791</v>
      </c>
      <c r="L2650" s="8" t="s">
        <v>1941</v>
      </c>
      <c r="M2650" s="8">
        <v>89</v>
      </c>
    </row>
    <row r="2651" spans="1:14" ht="25" customHeight="1">
      <c r="A2651" s="12">
        <v>77</v>
      </c>
      <c r="B2651" s="8">
        <v>2</v>
      </c>
      <c r="C2651" s="8" t="s">
        <v>706</v>
      </c>
      <c r="D2651" s="8" t="s">
        <v>206</v>
      </c>
      <c r="E2651" s="8" t="s">
        <v>820</v>
      </c>
      <c r="F2651" s="8">
        <v>1</v>
      </c>
      <c r="G2651" s="8">
        <v>0</v>
      </c>
      <c r="H2651" s="8">
        <v>0</v>
      </c>
      <c r="I2651" s="8">
        <v>1</v>
      </c>
      <c r="J2651" s="11">
        <v>0.2</v>
      </c>
      <c r="K2651" s="8" t="s">
        <v>791</v>
      </c>
      <c r="L2651" s="8" t="s">
        <v>1941</v>
      </c>
      <c r="M2651" s="8">
        <v>90</v>
      </c>
    </row>
    <row r="2652" spans="1:14" ht="25" customHeight="1">
      <c r="A2652" s="12">
        <v>78</v>
      </c>
      <c r="B2652" s="8">
        <v>2</v>
      </c>
      <c r="C2652" s="8" t="s">
        <v>706</v>
      </c>
      <c r="D2652" s="8" t="s">
        <v>206</v>
      </c>
      <c r="E2652" s="8" t="s">
        <v>1558</v>
      </c>
      <c r="F2652" s="8">
        <v>1</v>
      </c>
      <c r="G2652" s="8">
        <v>1</v>
      </c>
      <c r="H2652" s="8">
        <v>0</v>
      </c>
      <c r="I2652" s="8">
        <v>1</v>
      </c>
      <c r="J2652" s="11">
        <v>0.2</v>
      </c>
      <c r="K2652" s="8" t="s">
        <v>791</v>
      </c>
      <c r="L2652" s="8" t="s">
        <v>1941</v>
      </c>
      <c r="M2652" s="8">
        <v>91</v>
      </c>
    </row>
    <row r="2653" spans="1:14" ht="25" customHeight="1">
      <c r="A2653" s="12">
        <v>79</v>
      </c>
      <c r="B2653" s="8">
        <v>2</v>
      </c>
      <c r="C2653" s="8" t="s">
        <v>716</v>
      </c>
      <c r="D2653" s="8" t="s">
        <v>203</v>
      </c>
      <c r="E2653" s="8" t="s">
        <v>1398</v>
      </c>
      <c r="F2653" s="8">
        <v>1</v>
      </c>
      <c r="G2653" s="8">
        <v>1</v>
      </c>
      <c r="H2653" s="8">
        <v>0</v>
      </c>
      <c r="I2653" s="8">
        <v>5</v>
      </c>
      <c r="J2653" s="11">
        <v>0.07692307692307693</v>
      </c>
      <c r="K2653" s="8" t="s">
        <v>791</v>
      </c>
      <c r="L2653" s="8" t="s">
        <v>1941</v>
      </c>
      <c r="M2653" s="8">
        <v>92</v>
      </c>
    </row>
    <row r="2654" spans="1:14" ht="25" customHeight="1">
      <c r="A2654" s="12">
        <v>80</v>
      </c>
      <c r="B2654" s="8">
        <v>2</v>
      </c>
      <c r="C2654" s="8" t="s">
        <v>716</v>
      </c>
      <c r="D2654" s="8" t="s">
        <v>206</v>
      </c>
      <c r="E2654" s="8" t="s">
        <v>816</v>
      </c>
      <c r="F2654" s="8">
        <v>3</v>
      </c>
      <c r="G2654" s="11">
        <v>0.3333333333333333</v>
      </c>
      <c r="H2654" s="8">
        <v>0</v>
      </c>
      <c r="I2654" s="11">
        <v>0.3333333333333333</v>
      </c>
      <c r="J2654" s="11">
        <v>0.3333333333333333</v>
      </c>
      <c r="K2654" s="8" t="s">
        <v>801</v>
      </c>
      <c r="L2654" s="8" t="s">
        <v>796</v>
      </c>
      <c r="M2654" s="8">
        <v>93</v>
      </c>
      <c r="N2654" s="8">
        <v>9</v>
      </c>
    </row>
    <row r="2655" spans="1:14" ht="25" customHeight="1">
      <c r="A2655" s="12">
        <v>81</v>
      </c>
      <c r="B2655" s="8">
        <v>2</v>
      </c>
      <c r="C2655" s="8" t="s">
        <v>716</v>
      </c>
      <c r="D2655" s="8" t="s">
        <v>203</v>
      </c>
      <c r="E2655" s="8" t="s">
        <v>49</v>
      </c>
      <c r="F2655" s="8">
        <v>1</v>
      </c>
      <c r="G2655" s="8">
        <v>0</v>
      </c>
      <c r="H2655" s="8">
        <v>0</v>
      </c>
      <c r="I2655" s="8">
        <v>1</v>
      </c>
      <c r="J2655" s="11">
        <v>0.07692307692307693</v>
      </c>
      <c r="K2655" s="8" t="s">
        <v>791</v>
      </c>
      <c r="L2655" s="8" t="s">
        <v>1941</v>
      </c>
      <c r="M2655" s="8">
        <v>94</v>
      </c>
    </row>
    <row r="2656" spans="1:14" ht="25" customHeight="1">
      <c r="A2656" s="12">
        <v>82</v>
      </c>
      <c r="B2656" s="8">
        <v>2</v>
      </c>
      <c r="C2656" s="8" t="s">
        <v>711</v>
      </c>
      <c r="D2656" s="8" t="s">
        <v>206</v>
      </c>
      <c r="E2656" s="8" t="s">
        <v>49</v>
      </c>
      <c r="F2656" s="8">
        <v>1</v>
      </c>
      <c r="G2656" s="8">
        <v>1</v>
      </c>
      <c r="H2656" s="8">
        <v>1</v>
      </c>
      <c r="I2656" s="8">
        <v>37</v>
      </c>
      <c r="J2656" s="11">
        <v>0.3333333333333333</v>
      </c>
      <c r="K2656" s="8" t="s">
        <v>791</v>
      </c>
      <c r="L2656" s="8" t="s">
        <v>1941</v>
      </c>
      <c r="M2656" s="8">
        <v>96</v>
      </c>
    </row>
    <row r="2657" spans="1:13" ht="25" customHeight="1">
      <c r="A2657" s="12">
        <v>83</v>
      </c>
      <c r="B2657" s="8">
        <v>2</v>
      </c>
      <c r="C2657" s="8" t="s">
        <v>716</v>
      </c>
      <c r="D2657" s="8" t="s">
        <v>206</v>
      </c>
      <c r="E2657" s="8" t="s">
        <v>1566</v>
      </c>
      <c r="F2657" s="8">
        <v>1</v>
      </c>
      <c r="G2657" s="8">
        <v>0</v>
      </c>
      <c r="H2657" s="8">
        <v>0</v>
      </c>
      <c r="I2657" s="8">
        <v>1</v>
      </c>
      <c r="J2657" s="11">
        <v>0.1111111111111111</v>
      </c>
      <c r="K2657" s="8" t="s">
        <v>791</v>
      </c>
      <c r="L2657" s="8" t="s">
        <v>1941</v>
      </c>
      <c r="M2657" s="8">
        <v>97</v>
      </c>
    </row>
    <row r="2658" spans="1:13" ht="25" customHeight="1">
      <c r="A2658" s="12">
        <v>84</v>
      </c>
      <c r="B2658" s="8">
        <v>2</v>
      </c>
      <c r="C2658" s="8" t="s">
        <v>716</v>
      </c>
      <c r="D2658" s="8" t="s">
        <v>203</v>
      </c>
      <c r="E2658" s="8" t="s">
        <v>815</v>
      </c>
      <c r="F2658" s="8">
        <v>1</v>
      </c>
      <c r="G2658" s="8">
        <v>0</v>
      </c>
      <c r="H2658" s="8">
        <v>0</v>
      </c>
      <c r="I2658" s="8">
        <v>6</v>
      </c>
      <c r="J2658" s="11">
        <v>0.07692307692307693</v>
      </c>
      <c r="K2658" s="8" t="s">
        <v>791</v>
      </c>
      <c r="L2658" s="8" t="s">
        <v>1941</v>
      </c>
      <c r="M2658" s="8">
        <v>98</v>
      </c>
    </row>
    <row r="2659" spans="1:13" ht="25" customHeight="1">
      <c r="A2659" s="12">
        <v>85</v>
      </c>
      <c r="B2659" s="8">
        <v>2</v>
      </c>
      <c r="C2659" s="8" t="s">
        <v>716</v>
      </c>
      <c r="D2659" s="8" t="s">
        <v>203</v>
      </c>
      <c r="E2659" s="8" t="s">
        <v>1422</v>
      </c>
      <c r="F2659" s="8">
        <v>1</v>
      </c>
      <c r="G2659" s="8">
        <v>1</v>
      </c>
      <c r="H2659" s="8">
        <v>0</v>
      </c>
      <c r="I2659" s="8">
        <v>4</v>
      </c>
      <c r="J2659" s="11">
        <v>0.07692307692307693</v>
      </c>
      <c r="K2659" s="8" t="s">
        <v>791</v>
      </c>
      <c r="L2659" s="8" t="s">
        <v>1941</v>
      </c>
      <c r="M2659" s="8">
        <v>99</v>
      </c>
    </row>
    <row r="2660" spans="1:13" ht="25" customHeight="1">
      <c r="A2660" s="12">
        <v>86</v>
      </c>
      <c r="B2660" s="8">
        <v>2</v>
      </c>
      <c r="C2660" s="8" t="s">
        <v>706</v>
      </c>
      <c r="D2660" s="8" t="s">
        <v>206</v>
      </c>
      <c r="E2660" s="8" t="s">
        <v>823</v>
      </c>
      <c r="F2660" s="8">
        <v>1</v>
      </c>
      <c r="G2660" s="8">
        <v>0</v>
      </c>
      <c r="H2660" s="8">
        <v>0</v>
      </c>
      <c r="I2660" s="8">
        <v>2</v>
      </c>
      <c r="J2660" s="11">
        <v>0.2</v>
      </c>
      <c r="K2660" s="8" t="s">
        <v>791</v>
      </c>
      <c r="L2660" s="8" t="s">
        <v>1941</v>
      </c>
      <c r="M2660" s="8">
        <v>100</v>
      </c>
    </row>
    <row r="2661" spans="1:13" ht="25" customHeight="1">
      <c r="A2661" s="12">
        <v>87</v>
      </c>
      <c r="B2661" s="8">
        <v>2</v>
      </c>
      <c r="C2661" s="8" t="s">
        <v>716</v>
      </c>
      <c r="D2661" s="8" t="s">
        <v>203</v>
      </c>
      <c r="E2661" s="8" t="s">
        <v>1572</v>
      </c>
      <c r="F2661" s="8">
        <v>1</v>
      </c>
      <c r="G2661" s="8">
        <v>0</v>
      </c>
      <c r="H2661" s="8">
        <v>0</v>
      </c>
      <c r="I2661" s="8">
        <v>0</v>
      </c>
      <c r="J2661" s="11">
        <v>0.07692307692307693</v>
      </c>
      <c r="K2661" s="8" t="s">
        <v>791</v>
      </c>
      <c r="L2661" s="8" t="s">
        <v>1941</v>
      </c>
      <c r="M2661" s="8">
        <v>101</v>
      </c>
    </row>
    <row r="2662" spans="1:13" ht="25" customHeight="1">
      <c r="A2662" s="12">
        <v>88</v>
      </c>
      <c r="B2662" s="8">
        <v>2</v>
      </c>
      <c r="C2662" s="8" t="s">
        <v>711</v>
      </c>
      <c r="D2662" s="8" t="s">
        <v>203</v>
      </c>
      <c r="E2662" s="8" t="s">
        <v>1488</v>
      </c>
      <c r="F2662" s="8">
        <v>1</v>
      </c>
      <c r="G2662" s="8">
        <v>0</v>
      </c>
      <c r="H2662" s="8">
        <v>0</v>
      </c>
      <c r="I2662" s="8">
        <v>2</v>
      </c>
      <c r="J2662" s="11">
        <v>0.25</v>
      </c>
      <c r="K2662" s="8" t="s">
        <v>791</v>
      </c>
      <c r="L2662" s="8" t="s">
        <v>1941</v>
      </c>
      <c r="M2662" s="8">
        <v>102</v>
      </c>
    </row>
    <row r="2663" spans="1:13" ht="25" customHeight="1">
      <c r="A2663" s="12">
        <v>89</v>
      </c>
      <c r="B2663" s="8">
        <v>2</v>
      </c>
      <c r="C2663" s="8" t="s">
        <v>706</v>
      </c>
      <c r="D2663" s="8" t="s">
        <v>222</v>
      </c>
      <c r="E2663" s="8" t="s">
        <v>1416</v>
      </c>
      <c r="F2663" s="8">
        <v>1</v>
      </c>
      <c r="G2663" s="8">
        <v>0</v>
      </c>
      <c r="H2663" s="8">
        <v>0</v>
      </c>
      <c r="I2663" s="8">
        <v>0</v>
      </c>
      <c r="J2663" s="8">
        <v>1</v>
      </c>
      <c r="K2663" s="8" t="s">
        <v>791</v>
      </c>
      <c r="L2663" s="8" t="s">
        <v>1941</v>
      </c>
      <c r="M2663" s="8">
        <v>103</v>
      </c>
    </row>
    <row r="2664" spans="1:13" ht="25" customHeight="1">
      <c r="A2664" s="12">
        <v>90</v>
      </c>
      <c r="B2664" s="8">
        <v>2</v>
      </c>
      <c r="C2664" s="8" t="s">
        <v>711</v>
      </c>
      <c r="D2664" s="8" t="s">
        <v>206</v>
      </c>
      <c r="E2664" s="8" t="s">
        <v>1398</v>
      </c>
      <c r="F2664" s="8">
        <v>1</v>
      </c>
      <c r="G2664" s="8">
        <v>0</v>
      </c>
      <c r="H2664" s="8">
        <v>0</v>
      </c>
      <c r="I2664" s="8">
        <v>0</v>
      </c>
      <c r="J2664" s="11">
        <v>0.3333333333333333</v>
      </c>
      <c r="K2664" s="8" t="s">
        <v>791</v>
      </c>
      <c r="L2664" s="8" t="s">
        <v>1941</v>
      </c>
      <c r="M2664" s="8">
        <v>104</v>
      </c>
    </row>
    <row r="2665" spans="1:13" ht="25" customHeight="1">
      <c r="A2665" s="12">
        <v>91</v>
      </c>
      <c r="B2665" s="8">
        <v>2</v>
      </c>
      <c r="C2665" s="8" t="s">
        <v>716</v>
      </c>
      <c r="D2665" s="8" t="s">
        <v>206</v>
      </c>
      <c r="E2665" s="8" t="s">
        <v>1579</v>
      </c>
      <c r="F2665" s="8">
        <v>1</v>
      </c>
      <c r="G2665" s="8">
        <v>0</v>
      </c>
      <c r="H2665" s="8">
        <v>0</v>
      </c>
      <c r="I2665" s="8">
        <v>0</v>
      </c>
      <c r="J2665" s="11">
        <v>0.1111111111111111</v>
      </c>
      <c r="K2665" s="8" t="s">
        <v>791</v>
      </c>
      <c r="L2665" s="8" t="s">
        <v>1941</v>
      </c>
      <c r="M2665" s="8">
        <v>105</v>
      </c>
    </row>
    <row r="2666" spans="1:13" ht="25" customHeight="1">
      <c r="A2666" s="12">
        <v>92</v>
      </c>
      <c r="B2666" s="8">
        <v>2</v>
      </c>
      <c r="C2666" s="8" t="s">
        <v>716</v>
      </c>
      <c r="D2666" s="8" t="s">
        <v>203</v>
      </c>
      <c r="E2666" s="8" t="s">
        <v>819</v>
      </c>
      <c r="F2666" s="8">
        <v>1</v>
      </c>
      <c r="G2666" s="8">
        <v>0</v>
      </c>
      <c r="H2666" s="8">
        <v>0</v>
      </c>
      <c r="I2666" s="8">
        <v>2</v>
      </c>
      <c r="J2666" s="11">
        <v>0.07692307692307693</v>
      </c>
      <c r="K2666" s="8" t="s">
        <v>791</v>
      </c>
      <c r="L2666" s="8" t="s">
        <v>1941</v>
      </c>
      <c r="M2666" s="8">
        <v>106</v>
      </c>
    </row>
    <row r="2667" spans="1:13" ht="25" customHeight="1">
      <c r="A2667" s="12">
        <v>93</v>
      </c>
      <c r="B2667" s="8">
        <v>2</v>
      </c>
      <c r="C2667" s="8" t="s">
        <v>716</v>
      </c>
      <c r="D2667" s="8" t="s">
        <v>206</v>
      </c>
      <c r="E2667" s="8" t="s">
        <v>1583</v>
      </c>
      <c r="F2667" s="8">
        <v>1</v>
      </c>
      <c r="G2667" s="8">
        <v>0</v>
      </c>
      <c r="H2667" s="8">
        <v>0</v>
      </c>
      <c r="I2667" s="8">
        <v>0</v>
      </c>
      <c r="J2667" s="11">
        <v>0.1111111111111111</v>
      </c>
      <c r="K2667" s="8" t="s">
        <v>791</v>
      </c>
      <c r="L2667" s="8" t="s">
        <v>1941</v>
      </c>
      <c r="M2667" s="8">
        <v>107</v>
      </c>
    </row>
    <row r="2668" spans="1:13" ht="25" customHeight="1">
      <c r="A2668" s="12">
        <v>94</v>
      </c>
      <c r="B2668" s="8">
        <v>2</v>
      </c>
      <c r="C2668" s="8" t="s">
        <v>720</v>
      </c>
      <c r="D2668" s="8" t="s">
        <v>222</v>
      </c>
      <c r="E2668" s="8" t="s">
        <v>819</v>
      </c>
      <c r="F2668" s="8">
        <v>1</v>
      </c>
      <c r="G2668" s="8">
        <v>0</v>
      </c>
      <c r="H2668" s="8">
        <v>0</v>
      </c>
      <c r="I2668" s="8">
        <v>0</v>
      </c>
      <c r="J2668" s="8">
        <v>1</v>
      </c>
      <c r="K2668" s="8" t="s">
        <v>791</v>
      </c>
      <c r="L2668" s="8" t="s">
        <v>1941</v>
      </c>
      <c r="M2668" s="8">
        <v>110</v>
      </c>
    </row>
    <row r="2669" spans="1:13" ht="25" customHeight="1">
      <c r="A2669" s="12">
        <v>95</v>
      </c>
      <c r="B2669" s="8">
        <v>2</v>
      </c>
      <c r="C2669" s="8" t="s">
        <v>720</v>
      </c>
      <c r="D2669" s="8" t="s">
        <v>206</v>
      </c>
      <c r="E2669" s="8" t="s">
        <v>823</v>
      </c>
      <c r="F2669" s="8">
        <v>1</v>
      </c>
      <c r="G2669" s="8">
        <v>0</v>
      </c>
      <c r="H2669" s="8">
        <v>0</v>
      </c>
      <c r="I2669" s="8">
        <v>2</v>
      </c>
      <c r="J2669" s="11">
        <v>0.5</v>
      </c>
      <c r="K2669" s="8" t="s">
        <v>791</v>
      </c>
      <c r="L2669" s="8" t="s">
        <v>1941</v>
      </c>
      <c r="M2669" s="8">
        <v>112</v>
      </c>
    </row>
    <row r="2670" spans="1:13" ht="25" customHeight="1">
      <c r="A2670" s="12">
        <v>96</v>
      </c>
      <c r="B2670" s="8">
        <v>2</v>
      </c>
      <c r="C2670" s="8" t="s">
        <v>720</v>
      </c>
      <c r="D2670" s="8" t="s">
        <v>203</v>
      </c>
      <c r="E2670" s="8" t="s">
        <v>1503</v>
      </c>
      <c r="F2670" s="8">
        <v>1</v>
      </c>
      <c r="G2670" s="8">
        <v>1</v>
      </c>
      <c r="H2670" s="8">
        <v>0</v>
      </c>
      <c r="I2670" s="8">
        <v>10</v>
      </c>
      <c r="J2670" s="11">
        <v>0.1666666666666667</v>
      </c>
      <c r="K2670" s="8" t="s">
        <v>791</v>
      </c>
      <c r="L2670" s="8" t="s">
        <v>1941</v>
      </c>
      <c r="M2670" s="8">
        <v>114</v>
      </c>
    </row>
    <row r="2671" spans="1:13" ht="25" customHeight="1">
      <c r="A2671" s="12">
        <v>97</v>
      </c>
      <c r="B2671" s="8">
        <v>2</v>
      </c>
      <c r="C2671" s="8" t="s">
        <v>720</v>
      </c>
      <c r="D2671" s="8" t="s">
        <v>206</v>
      </c>
      <c r="E2671" s="8" t="s">
        <v>816</v>
      </c>
      <c r="F2671" s="8">
        <v>1</v>
      </c>
      <c r="G2671" s="8">
        <v>0</v>
      </c>
      <c r="H2671" s="8">
        <v>0</v>
      </c>
      <c r="I2671" s="8">
        <v>-4</v>
      </c>
      <c r="J2671" s="11">
        <v>0.5</v>
      </c>
      <c r="K2671" s="8" t="s">
        <v>791</v>
      </c>
      <c r="L2671" s="8" t="s">
        <v>1941</v>
      </c>
      <c r="M2671" s="8">
        <v>116</v>
      </c>
    </row>
    <row r="2672" spans="1:13" ht="25" customHeight="1">
      <c r="A2672" s="12">
        <v>98</v>
      </c>
      <c r="B2672" s="8">
        <v>2</v>
      </c>
      <c r="C2672" s="8" t="s">
        <v>716</v>
      </c>
      <c r="D2672" s="8" t="s">
        <v>206</v>
      </c>
      <c r="E2672" s="8" t="s">
        <v>818</v>
      </c>
      <c r="F2672" s="8">
        <v>1</v>
      </c>
      <c r="G2672" s="8">
        <v>0</v>
      </c>
      <c r="H2672" s="8">
        <v>0</v>
      </c>
      <c r="I2672" s="8">
        <v>-1</v>
      </c>
      <c r="J2672" s="11">
        <v>0.1111111111111111</v>
      </c>
      <c r="K2672" s="8" t="s">
        <v>791</v>
      </c>
      <c r="L2672" s="8" t="s">
        <v>1941</v>
      </c>
      <c r="M2672" s="8">
        <v>118</v>
      </c>
    </row>
    <row r="2673" spans="1:14" ht="25" customHeight="1">
      <c r="A2673" s="12">
        <v>99</v>
      </c>
      <c r="B2673" s="8">
        <v>2</v>
      </c>
      <c r="C2673" s="8" t="s">
        <v>720</v>
      </c>
      <c r="D2673" s="8" t="s">
        <v>203</v>
      </c>
      <c r="E2673" s="8" t="s">
        <v>818</v>
      </c>
      <c r="F2673" s="8">
        <v>1</v>
      </c>
      <c r="G2673" s="8">
        <v>0</v>
      </c>
      <c r="H2673" s="8">
        <v>0</v>
      </c>
      <c r="I2673" s="8">
        <v>-3</v>
      </c>
      <c r="J2673" s="11">
        <v>0.1666666666666667</v>
      </c>
      <c r="K2673" s="8" t="s">
        <v>791</v>
      </c>
      <c r="L2673" s="8" t="s">
        <v>1941</v>
      </c>
      <c r="M2673" s="8">
        <v>119</v>
      </c>
    </row>
    <row r="2674" spans="1:14" ht="25" customHeight="1">
      <c r="A2674" s="12">
        <v>100</v>
      </c>
      <c r="B2674" s="8">
        <v>2</v>
      </c>
      <c r="C2674" s="8" t="s">
        <v>720</v>
      </c>
      <c r="D2674" s="8" t="s">
        <v>203</v>
      </c>
      <c r="E2674" s="8" t="s">
        <v>824</v>
      </c>
      <c r="F2674" s="8">
        <v>2</v>
      </c>
      <c r="G2674" s="8">
        <v>1</v>
      </c>
      <c r="H2674" s="8">
        <v>0</v>
      </c>
      <c r="I2674" s="8">
        <v>4</v>
      </c>
      <c r="J2674" s="11">
        <v>0.3333333333333333</v>
      </c>
      <c r="K2674" s="8" t="s">
        <v>791</v>
      </c>
      <c r="L2674" s="8" t="s">
        <v>796</v>
      </c>
      <c r="M2674" s="8">
        <v>121</v>
      </c>
      <c r="N2674" s="8">
        <v>10</v>
      </c>
    </row>
    <row r="2675" spans="1:14" ht="25" customHeight="1">
      <c r="A2675" s="12">
        <v>101</v>
      </c>
      <c r="B2675" s="8">
        <v>2</v>
      </c>
      <c r="C2675" s="8" t="s">
        <v>716</v>
      </c>
      <c r="D2675" s="8" t="s">
        <v>811</v>
      </c>
      <c r="E2675" s="8" t="s">
        <v>816</v>
      </c>
      <c r="F2675" s="8">
        <v>1</v>
      </c>
      <c r="G2675" s="8">
        <v>1</v>
      </c>
      <c r="H2675" s="8">
        <v>0</v>
      </c>
      <c r="I2675" s="8">
        <v>7</v>
      </c>
      <c r="J2675" s="8">
        <v>1</v>
      </c>
      <c r="K2675" s="8" t="s">
        <v>791</v>
      </c>
      <c r="L2675" s="8" t="s">
        <v>1941</v>
      </c>
      <c r="M2675" s="8">
        <v>122</v>
      </c>
    </row>
    <row r="2676" spans="1:14" ht="25" customHeight="1">
      <c r="A2676" s="12">
        <v>102</v>
      </c>
      <c r="B2676" s="8">
        <v>2</v>
      </c>
      <c r="C2676" s="8" t="s">
        <v>716</v>
      </c>
      <c r="D2676" s="8" t="s">
        <v>203</v>
      </c>
      <c r="E2676" s="8" t="s">
        <v>1600</v>
      </c>
      <c r="F2676" s="8">
        <v>1</v>
      </c>
      <c r="G2676" s="8">
        <v>0</v>
      </c>
      <c r="H2676" s="8">
        <v>0</v>
      </c>
      <c r="I2676" s="8">
        <v>2</v>
      </c>
      <c r="J2676" s="11">
        <v>0.07692307692307693</v>
      </c>
      <c r="K2676" s="8" t="s">
        <v>791</v>
      </c>
      <c r="L2676" s="8" t="s">
        <v>1941</v>
      </c>
      <c r="M2676" s="8">
        <v>123</v>
      </c>
    </row>
    <row r="2677" spans="1:14" ht="25" customHeight="1">
      <c r="A2677" s="12">
        <v>103</v>
      </c>
      <c r="B2677" s="8">
        <v>2</v>
      </c>
      <c r="C2677" s="8" t="s">
        <v>720</v>
      </c>
      <c r="D2677" s="8" t="s">
        <v>811</v>
      </c>
      <c r="E2677" s="8" t="s">
        <v>1509</v>
      </c>
      <c r="F2677" s="8">
        <v>1</v>
      </c>
      <c r="G2677" s="8">
        <v>0</v>
      </c>
      <c r="H2677" s="8">
        <v>0</v>
      </c>
      <c r="I2677" s="8">
        <v>1</v>
      </c>
      <c r="J2677" s="8">
        <v>1</v>
      </c>
      <c r="K2677" s="8" t="s">
        <v>791</v>
      </c>
      <c r="L2677" s="8" t="s">
        <v>1941</v>
      </c>
      <c r="M2677" s="8">
        <v>125</v>
      </c>
    </row>
    <row r="2678" spans="1:14" ht="25" customHeight="1">
      <c r="A2678" s="12">
        <v>104</v>
      </c>
      <c r="B2678" s="8">
        <v>2</v>
      </c>
      <c r="C2678" s="8" t="s">
        <v>711</v>
      </c>
      <c r="D2678" s="8" t="s">
        <v>235</v>
      </c>
      <c r="E2678" s="8" t="s">
        <v>816</v>
      </c>
      <c r="F2678" s="8">
        <v>1</v>
      </c>
      <c r="G2678" s="8">
        <v>1</v>
      </c>
      <c r="H2678" s="8">
        <v>0</v>
      </c>
      <c r="I2678" s="8">
        <v>3</v>
      </c>
      <c r="J2678" s="8">
        <v>1</v>
      </c>
      <c r="K2678" s="8" t="s">
        <v>791</v>
      </c>
      <c r="L2678" s="8" t="s">
        <v>1941</v>
      </c>
      <c r="M2678" s="8">
        <v>126</v>
      </c>
    </row>
    <row r="2679" spans="1:14" ht="25" customHeight="1">
      <c r="A2679" s="12">
        <v>105</v>
      </c>
      <c r="B2679" s="8">
        <v>2</v>
      </c>
      <c r="C2679" s="8" t="s">
        <v>720</v>
      </c>
      <c r="D2679" s="8" t="s">
        <v>235</v>
      </c>
      <c r="E2679" s="8" t="s">
        <v>824</v>
      </c>
      <c r="F2679" s="8">
        <v>1</v>
      </c>
      <c r="G2679" s="8">
        <v>1</v>
      </c>
      <c r="H2679" s="8">
        <v>1</v>
      </c>
      <c r="I2679" s="8">
        <v>14</v>
      </c>
      <c r="J2679" s="8">
        <v>1</v>
      </c>
      <c r="K2679" s="8" t="s">
        <v>791</v>
      </c>
      <c r="L2679" s="8" t="s">
        <v>1941</v>
      </c>
      <c r="M2679" s="8">
        <v>128</v>
      </c>
    </row>
    <row r="2680" spans="1:14" ht="25" customHeight="1">
      <c r="A2680" s="12">
        <v>106</v>
      </c>
      <c r="B2680" s="8">
        <v>3</v>
      </c>
      <c r="C2680" s="8" t="s">
        <v>716</v>
      </c>
      <c r="D2680" s="8" t="s">
        <v>206</v>
      </c>
      <c r="E2680" s="8" t="s">
        <v>1494</v>
      </c>
      <c r="F2680" s="8">
        <v>1</v>
      </c>
      <c r="G2680" s="8">
        <v>0</v>
      </c>
      <c r="H2680" s="8">
        <v>0</v>
      </c>
      <c r="I2680" s="8">
        <v>0</v>
      </c>
      <c r="J2680" s="11">
        <v>0.1111111111111111</v>
      </c>
      <c r="K2680" s="8" t="s">
        <v>791</v>
      </c>
      <c r="L2680" s="8" t="s">
        <v>1941</v>
      </c>
      <c r="M2680" s="8">
        <v>130</v>
      </c>
    </row>
    <row r="2681" spans="1:14" ht="25" customHeight="1">
      <c r="A2681" s="12">
        <v>107</v>
      </c>
      <c r="B2681" s="8">
        <v>3</v>
      </c>
      <c r="C2681" s="8" t="s">
        <v>716</v>
      </c>
      <c r="D2681" s="8" t="s">
        <v>206</v>
      </c>
      <c r="E2681" s="8" t="s">
        <v>819</v>
      </c>
      <c r="F2681" s="8">
        <v>1</v>
      </c>
      <c r="G2681" s="8">
        <v>1</v>
      </c>
      <c r="H2681" s="8">
        <v>1</v>
      </c>
      <c r="I2681" s="8">
        <v>14</v>
      </c>
      <c r="J2681" s="11">
        <v>0.1111111111111111</v>
      </c>
      <c r="K2681" s="8" t="s">
        <v>791</v>
      </c>
      <c r="L2681" s="8" t="s">
        <v>1941</v>
      </c>
      <c r="M2681" s="8">
        <v>131</v>
      </c>
    </row>
    <row r="2682" spans="1:14" ht="25" customHeight="1">
      <c r="A2682" s="12">
        <v>108</v>
      </c>
      <c r="B2682" s="8">
        <v>3</v>
      </c>
      <c r="C2682" s="8" t="s">
        <v>716</v>
      </c>
      <c r="D2682" s="8" t="s">
        <v>203</v>
      </c>
      <c r="E2682" s="8" t="s">
        <v>820</v>
      </c>
      <c r="F2682" s="8">
        <v>2</v>
      </c>
      <c r="G2682" s="8">
        <v>0</v>
      </c>
      <c r="H2682" s="8">
        <v>0</v>
      </c>
      <c r="I2682" s="11">
        <v>5.5</v>
      </c>
      <c r="J2682" s="11">
        <v>0.5</v>
      </c>
      <c r="K2682" s="8" t="s">
        <v>791</v>
      </c>
      <c r="L2682" s="8" t="s">
        <v>796</v>
      </c>
      <c r="M2682" s="8">
        <v>132</v>
      </c>
      <c r="N2682" s="8">
        <v>11</v>
      </c>
    </row>
    <row r="2683" spans="1:14" ht="25" customHeight="1">
      <c r="A2683" s="12">
        <v>109</v>
      </c>
      <c r="B2683" s="8">
        <v>3</v>
      </c>
      <c r="C2683" s="8" t="s">
        <v>706</v>
      </c>
      <c r="D2683" s="8" t="s">
        <v>206</v>
      </c>
      <c r="E2683" s="8" t="s">
        <v>815</v>
      </c>
      <c r="F2683" s="8">
        <v>1</v>
      </c>
      <c r="G2683" s="8">
        <v>0</v>
      </c>
      <c r="H2683" s="8">
        <v>0</v>
      </c>
      <c r="I2683" s="8">
        <v>-2</v>
      </c>
      <c r="J2683" s="11">
        <v>0.3333333333333333</v>
      </c>
      <c r="K2683" s="8" t="s">
        <v>791</v>
      </c>
      <c r="L2683" s="8" t="s">
        <v>1941</v>
      </c>
      <c r="M2683" s="8">
        <v>133</v>
      </c>
    </row>
    <row r="2684" spans="1:14" ht="25" customHeight="1">
      <c r="A2684" s="12">
        <v>110</v>
      </c>
      <c r="B2684" s="8">
        <v>3</v>
      </c>
      <c r="C2684" s="8" t="s">
        <v>720</v>
      </c>
      <c r="D2684" s="8" t="s">
        <v>206</v>
      </c>
      <c r="E2684" s="8" t="s">
        <v>819</v>
      </c>
      <c r="F2684" s="8">
        <v>1</v>
      </c>
      <c r="G2684" s="8">
        <v>0</v>
      </c>
      <c r="H2684" s="8">
        <v>0</v>
      </c>
      <c r="I2684" s="8">
        <v>-6</v>
      </c>
      <c r="J2684" s="11">
        <v>0.2</v>
      </c>
      <c r="K2684" s="8" t="s">
        <v>791</v>
      </c>
      <c r="L2684" s="8" t="s">
        <v>1941</v>
      </c>
      <c r="M2684" s="8">
        <v>134</v>
      </c>
    </row>
    <row r="2685" spans="1:14" ht="25" customHeight="1">
      <c r="A2685" s="12">
        <v>111</v>
      </c>
      <c r="B2685" s="8">
        <v>3</v>
      </c>
      <c r="C2685" s="8" t="s">
        <v>711</v>
      </c>
      <c r="D2685" s="8" t="s">
        <v>235</v>
      </c>
      <c r="E2685" s="8" t="s">
        <v>1619</v>
      </c>
      <c r="F2685" s="8">
        <v>1</v>
      </c>
      <c r="G2685" s="8">
        <v>0</v>
      </c>
      <c r="H2685" s="8">
        <v>0</v>
      </c>
      <c r="I2685" s="8">
        <v>0</v>
      </c>
      <c r="J2685" s="8">
        <v>1</v>
      </c>
      <c r="K2685" s="8" t="s">
        <v>791</v>
      </c>
      <c r="L2685" s="8" t="s">
        <v>1941</v>
      </c>
      <c r="M2685" s="8">
        <v>135</v>
      </c>
    </row>
    <row r="2686" spans="1:14" ht="25" customHeight="1">
      <c r="A2686" s="12">
        <v>112</v>
      </c>
      <c r="B2686" s="8">
        <v>3</v>
      </c>
      <c r="C2686" s="8" t="s">
        <v>706</v>
      </c>
      <c r="D2686" s="8" t="s">
        <v>206</v>
      </c>
      <c r="E2686" s="8" t="s">
        <v>820</v>
      </c>
      <c r="F2686" s="8">
        <v>2</v>
      </c>
      <c r="G2686" s="8">
        <v>0</v>
      </c>
      <c r="H2686" s="8">
        <v>0</v>
      </c>
      <c r="I2686" s="11">
        <v>0.5</v>
      </c>
      <c r="J2686" s="11">
        <v>0.6666666666666666</v>
      </c>
      <c r="K2686" s="8" t="s">
        <v>791</v>
      </c>
      <c r="L2686" s="8" t="s">
        <v>796</v>
      </c>
      <c r="M2686" s="8">
        <v>136</v>
      </c>
      <c r="N2686" s="8">
        <v>12</v>
      </c>
    </row>
    <row r="2687" spans="1:14" ht="25" customHeight="1">
      <c r="A2687" s="12">
        <v>113</v>
      </c>
      <c r="B2687" s="8">
        <v>3</v>
      </c>
      <c r="C2687" s="8" t="s">
        <v>711</v>
      </c>
      <c r="D2687" s="8" t="s">
        <v>206</v>
      </c>
      <c r="E2687" s="8" t="s">
        <v>1624</v>
      </c>
      <c r="F2687" s="8">
        <v>1</v>
      </c>
      <c r="G2687" s="8">
        <v>0</v>
      </c>
      <c r="H2687" s="8">
        <v>0</v>
      </c>
      <c r="I2687" s="8">
        <v>0</v>
      </c>
      <c r="J2687" s="11">
        <v>0.1111111111111111</v>
      </c>
      <c r="K2687" s="8" t="s">
        <v>791</v>
      </c>
      <c r="L2687" s="8" t="s">
        <v>1941</v>
      </c>
      <c r="M2687" s="8">
        <v>137</v>
      </c>
    </row>
    <row r="2688" spans="1:14" ht="25" customHeight="1">
      <c r="A2688" s="12">
        <v>114</v>
      </c>
      <c r="B2688" s="8">
        <v>3</v>
      </c>
      <c r="C2688" s="8" t="s">
        <v>716</v>
      </c>
      <c r="D2688" s="8" t="s">
        <v>206</v>
      </c>
      <c r="E2688" s="8" t="s">
        <v>821</v>
      </c>
      <c r="F2688" s="8">
        <v>2</v>
      </c>
      <c r="G2688" s="8">
        <v>0</v>
      </c>
      <c r="H2688" s="8">
        <v>0</v>
      </c>
      <c r="I2688" s="8">
        <v>0</v>
      </c>
      <c r="J2688" s="11">
        <v>0.2222222222222222</v>
      </c>
      <c r="K2688" s="8" t="s">
        <v>791</v>
      </c>
      <c r="L2688" s="8" t="s">
        <v>792</v>
      </c>
      <c r="M2688" s="8">
        <v>138</v>
      </c>
      <c r="N2688" s="8">
        <v>13</v>
      </c>
    </row>
    <row r="2689" spans="1:14" ht="25" customHeight="1">
      <c r="A2689" s="12">
        <v>115</v>
      </c>
      <c r="B2689" s="8">
        <v>3</v>
      </c>
      <c r="C2689" s="8" t="s">
        <v>711</v>
      </c>
      <c r="D2689" s="8" t="s">
        <v>206</v>
      </c>
      <c r="E2689" s="8" t="s">
        <v>1629</v>
      </c>
      <c r="F2689" s="8">
        <v>1</v>
      </c>
      <c r="G2689" s="8">
        <v>0</v>
      </c>
      <c r="H2689" s="8">
        <v>0</v>
      </c>
      <c r="I2689" s="8">
        <v>10</v>
      </c>
      <c r="J2689" s="11">
        <v>0.1111111111111111</v>
      </c>
      <c r="K2689" s="8" t="s">
        <v>791</v>
      </c>
      <c r="L2689" s="8" t="s">
        <v>1941</v>
      </c>
      <c r="M2689" s="8">
        <v>140</v>
      </c>
    </row>
    <row r="2690" spans="1:14" ht="25" customHeight="1">
      <c r="A2690" s="12">
        <v>116</v>
      </c>
      <c r="B2690" s="8">
        <v>3</v>
      </c>
      <c r="C2690" s="8" t="s">
        <v>711</v>
      </c>
      <c r="D2690" s="8" t="s">
        <v>203</v>
      </c>
      <c r="E2690" s="8" t="s">
        <v>1523</v>
      </c>
      <c r="F2690" s="8">
        <v>1</v>
      </c>
      <c r="G2690" s="8">
        <v>0</v>
      </c>
      <c r="H2690" s="8">
        <v>0</v>
      </c>
      <c r="I2690" s="8">
        <v>5</v>
      </c>
      <c r="J2690" s="8">
        <v>1</v>
      </c>
      <c r="K2690" s="8" t="s">
        <v>791</v>
      </c>
      <c r="L2690" s="8" t="s">
        <v>1941</v>
      </c>
      <c r="M2690" s="8">
        <v>141</v>
      </c>
    </row>
    <row r="2691" spans="1:14" ht="25" customHeight="1">
      <c r="A2691" s="12">
        <v>117</v>
      </c>
      <c r="B2691" s="8">
        <v>3</v>
      </c>
      <c r="C2691" s="8" t="s">
        <v>711</v>
      </c>
      <c r="D2691" s="8" t="s">
        <v>206</v>
      </c>
      <c r="E2691" s="8" t="s">
        <v>49</v>
      </c>
      <c r="F2691" s="8">
        <v>2</v>
      </c>
      <c r="G2691" s="8">
        <v>0</v>
      </c>
      <c r="H2691" s="8">
        <v>0</v>
      </c>
      <c r="I2691" s="8">
        <v>9</v>
      </c>
      <c r="J2691" s="11">
        <v>0.2222222222222222</v>
      </c>
      <c r="K2691" s="8" t="s">
        <v>791</v>
      </c>
      <c r="L2691" s="8" t="s">
        <v>792</v>
      </c>
      <c r="M2691" s="8">
        <v>142</v>
      </c>
      <c r="N2691" s="8">
        <v>14</v>
      </c>
    </row>
    <row r="2692" spans="1:14" ht="25" customHeight="1">
      <c r="A2692" s="12">
        <v>118</v>
      </c>
      <c r="B2692" s="8">
        <v>3</v>
      </c>
      <c r="C2692" s="8" t="s">
        <v>711</v>
      </c>
      <c r="D2692" s="8" t="s">
        <v>222</v>
      </c>
      <c r="E2692" s="8" t="s">
        <v>1635</v>
      </c>
      <c r="F2692" s="8">
        <v>1</v>
      </c>
      <c r="G2692" s="8">
        <v>0</v>
      </c>
      <c r="H2692" s="8">
        <v>0</v>
      </c>
      <c r="I2692" s="8">
        <v>0</v>
      </c>
      <c r="J2692" s="8">
        <v>1</v>
      </c>
      <c r="K2692" s="8" t="s">
        <v>791</v>
      </c>
      <c r="L2692" s="8" t="s">
        <v>1941</v>
      </c>
      <c r="M2692" s="8">
        <v>143</v>
      </c>
    </row>
    <row r="2693" spans="1:14" ht="25" customHeight="1">
      <c r="A2693" s="12">
        <v>119</v>
      </c>
      <c r="B2693" s="8">
        <v>3</v>
      </c>
      <c r="C2693" s="8" t="s">
        <v>711</v>
      </c>
      <c r="D2693" s="8" t="s">
        <v>206</v>
      </c>
      <c r="E2693" s="8" t="s">
        <v>1638</v>
      </c>
      <c r="F2693" s="8">
        <v>1</v>
      </c>
      <c r="G2693" s="8">
        <v>0</v>
      </c>
      <c r="H2693" s="8">
        <v>0</v>
      </c>
      <c r="I2693" s="8">
        <v>9</v>
      </c>
      <c r="J2693" s="11">
        <v>0.1111111111111111</v>
      </c>
      <c r="K2693" s="8" t="s">
        <v>791</v>
      </c>
      <c r="L2693" s="8" t="s">
        <v>1941</v>
      </c>
      <c r="M2693" s="8">
        <v>144</v>
      </c>
    </row>
    <row r="2694" spans="1:14" ht="25" customHeight="1">
      <c r="A2694" s="12">
        <v>120</v>
      </c>
      <c r="B2694" s="8">
        <v>3</v>
      </c>
      <c r="C2694" s="8" t="s">
        <v>716</v>
      </c>
      <c r="D2694" s="8" t="s">
        <v>206</v>
      </c>
      <c r="E2694" s="8" t="s">
        <v>1398</v>
      </c>
      <c r="F2694" s="8">
        <v>1</v>
      </c>
      <c r="G2694" s="8">
        <v>0</v>
      </c>
      <c r="H2694" s="8">
        <v>0</v>
      </c>
      <c r="I2694" s="8">
        <v>6</v>
      </c>
      <c r="J2694" s="11">
        <v>0.1111111111111111</v>
      </c>
      <c r="K2694" s="8" t="s">
        <v>791</v>
      </c>
      <c r="L2694" s="8" t="s">
        <v>1941</v>
      </c>
      <c r="M2694" s="8">
        <v>145</v>
      </c>
    </row>
    <row r="2695" spans="1:14" ht="25" customHeight="1">
      <c r="A2695" s="12">
        <v>121</v>
      </c>
      <c r="B2695" s="8">
        <v>3</v>
      </c>
      <c r="C2695" s="8" t="s">
        <v>716</v>
      </c>
      <c r="D2695" s="8" t="s">
        <v>235</v>
      </c>
      <c r="E2695" s="8" t="s">
        <v>1635</v>
      </c>
      <c r="F2695" s="8">
        <v>1</v>
      </c>
      <c r="G2695" s="8">
        <v>1</v>
      </c>
      <c r="H2695" s="8">
        <v>0</v>
      </c>
      <c r="I2695" s="8">
        <v>9</v>
      </c>
      <c r="J2695" s="8">
        <v>1</v>
      </c>
      <c r="K2695" s="8" t="s">
        <v>791</v>
      </c>
      <c r="L2695" s="8" t="s">
        <v>1941</v>
      </c>
      <c r="M2695" s="8">
        <v>146</v>
      </c>
    </row>
    <row r="2696" spans="1:14" ht="25" customHeight="1">
      <c r="A2696" s="12">
        <v>122</v>
      </c>
      <c r="B2696" s="8">
        <v>3</v>
      </c>
      <c r="C2696" s="8" t="s">
        <v>711</v>
      </c>
      <c r="D2696" s="8" t="s">
        <v>206</v>
      </c>
      <c r="E2696" s="8" t="s">
        <v>816</v>
      </c>
      <c r="F2696" s="8">
        <v>1</v>
      </c>
      <c r="G2696" s="8">
        <v>0</v>
      </c>
      <c r="H2696" s="8">
        <v>0</v>
      </c>
      <c r="I2696" s="8">
        <v>0</v>
      </c>
      <c r="J2696" s="11">
        <v>0.1111111111111111</v>
      </c>
      <c r="K2696" s="8" t="s">
        <v>791</v>
      </c>
      <c r="L2696" s="8" t="s">
        <v>1941</v>
      </c>
      <c r="M2696" s="8">
        <v>147</v>
      </c>
    </row>
    <row r="2697" spans="1:14" ht="25" customHeight="1">
      <c r="A2697" s="12">
        <v>123</v>
      </c>
      <c r="B2697" s="8">
        <v>3</v>
      </c>
      <c r="C2697" s="8" t="s">
        <v>720</v>
      </c>
      <c r="D2697" s="8" t="s">
        <v>206</v>
      </c>
      <c r="E2697" s="8" t="s">
        <v>1645</v>
      </c>
      <c r="F2697" s="8">
        <v>1</v>
      </c>
      <c r="G2697" s="8">
        <v>0</v>
      </c>
      <c r="H2697" s="8">
        <v>0</v>
      </c>
      <c r="I2697" s="8">
        <v>0</v>
      </c>
      <c r="J2697" s="11">
        <v>0.2</v>
      </c>
      <c r="K2697" s="8" t="s">
        <v>791</v>
      </c>
      <c r="L2697" s="8" t="s">
        <v>1941</v>
      </c>
      <c r="M2697" s="8">
        <v>149</v>
      </c>
    </row>
    <row r="2698" spans="1:14" ht="25" customHeight="1">
      <c r="A2698" s="12">
        <v>124</v>
      </c>
      <c r="B2698" s="8">
        <v>3</v>
      </c>
      <c r="C2698" s="8" t="s">
        <v>711</v>
      </c>
      <c r="D2698" s="8" t="s">
        <v>206</v>
      </c>
      <c r="E2698" s="8" t="s">
        <v>1648</v>
      </c>
      <c r="F2698" s="8">
        <v>1</v>
      </c>
      <c r="G2698" s="8">
        <v>0</v>
      </c>
      <c r="H2698" s="8">
        <v>0</v>
      </c>
      <c r="I2698" s="8">
        <v>3</v>
      </c>
      <c r="J2698" s="11">
        <v>0.1111111111111111</v>
      </c>
      <c r="K2698" s="8" t="s">
        <v>791</v>
      </c>
      <c r="L2698" s="8" t="s">
        <v>1941</v>
      </c>
      <c r="M2698" s="8">
        <v>151</v>
      </c>
    </row>
    <row r="2699" spans="1:14" ht="25" customHeight="1">
      <c r="A2699" s="12">
        <v>125</v>
      </c>
      <c r="B2699" s="8">
        <v>3</v>
      </c>
      <c r="C2699" s="8" t="s">
        <v>706</v>
      </c>
      <c r="D2699" s="8" t="s">
        <v>203</v>
      </c>
      <c r="E2699" s="8" t="s">
        <v>1650</v>
      </c>
      <c r="F2699" s="8">
        <v>1</v>
      </c>
      <c r="G2699" s="8">
        <v>0</v>
      </c>
      <c r="H2699" s="8">
        <v>0</v>
      </c>
      <c r="I2699" s="8">
        <v>0</v>
      </c>
      <c r="J2699" s="11">
        <v>0.3333333333333333</v>
      </c>
      <c r="K2699" s="8" t="s">
        <v>791</v>
      </c>
      <c r="L2699" s="8" t="s">
        <v>1941</v>
      </c>
      <c r="M2699" s="8">
        <v>152</v>
      </c>
    </row>
    <row r="2700" spans="1:14" ht="25" customHeight="1">
      <c r="A2700" s="12">
        <v>126</v>
      </c>
      <c r="B2700" s="8">
        <v>3</v>
      </c>
      <c r="C2700" s="8" t="s">
        <v>711</v>
      </c>
      <c r="D2700" s="8" t="s">
        <v>206</v>
      </c>
      <c r="E2700" s="8" t="s">
        <v>821</v>
      </c>
      <c r="F2700" s="8">
        <v>1</v>
      </c>
      <c r="G2700" s="8">
        <v>0</v>
      </c>
      <c r="H2700" s="8">
        <v>0</v>
      </c>
      <c r="I2700" s="8">
        <v>0</v>
      </c>
      <c r="J2700" s="11">
        <v>0.1111111111111111</v>
      </c>
      <c r="K2700" s="8" t="s">
        <v>791</v>
      </c>
      <c r="L2700" s="8" t="s">
        <v>1941</v>
      </c>
      <c r="M2700" s="8">
        <v>153</v>
      </c>
    </row>
    <row r="2701" spans="1:14" ht="25" customHeight="1">
      <c r="A2701" s="12">
        <v>127</v>
      </c>
      <c r="B2701" s="8">
        <v>3</v>
      </c>
      <c r="C2701" s="8" t="s">
        <v>716</v>
      </c>
      <c r="D2701" s="8" t="s">
        <v>206</v>
      </c>
      <c r="E2701" s="8" t="s">
        <v>1655</v>
      </c>
      <c r="F2701" s="8">
        <v>1</v>
      </c>
      <c r="G2701" s="8">
        <v>0</v>
      </c>
      <c r="H2701" s="8">
        <v>0</v>
      </c>
      <c r="I2701" s="8">
        <v>-6</v>
      </c>
      <c r="J2701" s="11">
        <v>0.1111111111111111</v>
      </c>
      <c r="K2701" s="8" t="s">
        <v>791</v>
      </c>
      <c r="L2701" s="8" t="s">
        <v>1941</v>
      </c>
      <c r="M2701" s="8">
        <v>154</v>
      </c>
    </row>
    <row r="2702" spans="1:14" ht="25" customHeight="1">
      <c r="A2702" s="12">
        <v>128</v>
      </c>
      <c r="B2702" s="8">
        <v>3</v>
      </c>
      <c r="C2702" s="8" t="s">
        <v>716</v>
      </c>
      <c r="D2702" s="8" t="s">
        <v>203</v>
      </c>
      <c r="E2702" s="8" t="s">
        <v>1523</v>
      </c>
      <c r="F2702" s="8">
        <v>1</v>
      </c>
      <c r="G2702" s="8">
        <v>0</v>
      </c>
      <c r="H2702" s="8">
        <v>0</v>
      </c>
      <c r="I2702" s="8">
        <v>18</v>
      </c>
      <c r="J2702" s="11">
        <v>0.25</v>
      </c>
      <c r="K2702" s="8" t="s">
        <v>791</v>
      </c>
      <c r="L2702" s="8" t="s">
        <v>1941</v>
      </c>
      <c r="M2702" s="8">
        <v>156</v>
      </c>
    </row>
    <row r="2703" spans="1:14" ht="25" customHeight="1">
      <c r="A2703" s="12">
        <v>129</v>
      </c>
      <c r="B2703" s="8">
        <v>3</v>
      </c>
      <c r="C2703" s="8" t="s">
        <v>716</v>
      </c>
      <c r="D2703" s="8" t="s">
        <v>203</v>
      </c>
      <c r="E2703" s="8" t="s">
        <v>1660</v>
      </c>
      <c r="F2703" s="8">
        <v>1</v>
      </c>
      <c r="G2703" s="8">
        <v>0</v>
      </c>
      <c r="H2703" s="8">
        <v>0</v>
      </c>
      <c r="I2703" s="8">
        <v>0</v>
      </c>
      <c r="J2703" s="11">
        <v>0.25</v>
      </c>
      <c r="K2703" s="8" t="s">
        <v>791</v>
      </c>
      <c r="L2703" s="8" t="s">
        <v>1941</v>
      </c>
      <c r="M2703" s="8">
        <v>157</v>
      </c>
    </row>
    <row r="2704" spans="1:14" ht="25" customHeight="1">
      <c r="A2704" s="12">
        <v>130</v>
      </c>
      <c r="B2704" s="8">
        <v>3</v>
      </c>
      <c r="C2704" s="8" t="s">
        <v>706</v>
      </c>
      <c r="D2704" s="8" t="s">
        <v>203</v>
      </c>
      <c r="E2704" s="8" t="s">
        <v>1662</v>
      </c>
      <c r="F2704" s="8">
        <v>1</v>
      </c>
      <c r="G2704" s="8">
        <v>1</v>
      </c>
      <c r="H2704" s="8">
        <v>0</v>
      </c>
      <c r="I2704" s="8">
        <v>5</v>
      </c>
      <c r="J2704" s="11">
        <v>0.3333333333333333</v>
      </c>
      <c r="K2704" s="8" t="s">
        <v>791</v>
      </c>
      <c r="L2704" s="8" t="s">
        <v>1941</v>
      </c>
      <c r="M2704" s="8">
        <v>158</v>
      </c>
    </row>
    <row r="2705" spans="1:14" ht="25" customHeight="1">
      <c r="A2705" s="12">
        <v>131</v>
      </c>
      <c r="B2705" s="8">
        <v>3</v>
      </c>
      <c r="C2705" s="8" t="s">
        <v>720</v>
      </c>
      <c r="D2705" s="8" t="s">
        <v>206</v>
      </c>
      <c r="E2705" s="8" t="s">
        <v>816</v>
      </c>
      <c r="F2705" s="8">
        <v>3</v>
      </c>
      <c r="G2705" s="11">
        <v>0.3333333333333333</v>
      </c>
      <c r="H2705" s="8">
        <v>0</v>
      </c>
      <c r="I2705" s="8">
        <v>3</v>
      </c>
      <c r="J2705" s="11">
        <v>0.6</v>
      </c>
      <c r="K2705" s="8" t="s">
        <v>801</v>
      </c>
      <c r="L2705" s="8" t="s">
        <v>804</v>
      </c>
      <c r="M2705" s="8">
        <v>159</v>
      </c>
      <c r="N2705" s="8">
        <v>15</v>
      </c>
    </row>
    <row r="2706" spans="1:14" ht="25" customHeight="1">
      <c r="A2706" s="12">
        <v>132</v>
      </c>
      <c r="B2706" s="8">
        <v>3</v>
      </c>
      <c r="C2706" s="8" t="s">
        <v>716</v>
      </c>
      <c r="D2706" s="8" t="s">
        <v>206</v>
      </c>
      <c r="E2706" s="8" t="s">
        <v>1439</v>
      </c>
      <c r="F2706" s="8">
        <v>1</v>
      </c>
      <c r="G2706" s="8">
        <v>1</v>
      </c>
      <c r="H2706" s="8">
        <v>0</v>
      </c>
      <c r="I2706" s="8">
        <v>4</v>
      </c>
      <c r="J2706" s="11">
        <v>0.1111111111111111</v>
      </c>
      <c r="K2706" s="8" t="s">
        <v>791</v>
      </c>
      <c r="L2706" s="8" t="s">
        <v>1941</v>
      </c>
      <c r="M2706" s="8">
        <v>161</v>
      </c>
    </row>
    <row r="2707" spans="1:14" ht="25" customHeight="1">
      <c r="A2707" s="12">
        <v>133</v>
      </c>
      <c r="B2707" s="8">
        <v>3</v>
      </c>
      <c r="C2707" s="8" t="s">
        <v>711</v>
      </c>
      <c r="D2707" s="8" t="s">
        <v>206</v>
      </c>
      <c r="E2707" s="8" t="s">
        <v>824</v>
      </c>
      <c r="F2707" s="8">
        <v>1</v>
      </c>
      <c r="G2707" s="8">
        <v>0</v>
      </c>
      <c r="H2707" s="8">
        <v>0</v>
      </c>
      <c r="I2707" s="8">
        <v>2</v>
      </c>
      <c r="J2707" s="11">
        <v>0.1111111111111111</v>
      </c>
      <c r="K2707" s="8" t="s">
        <v>791</v>
      </c>
      <c r="L2707" s="8" t="s">
        <v>1941</v>
      </c>
      <c r="M2707" s="8">
        <v>163</v>
      </c>
    </row>
    <row r="2708" spans="1:14" ht="25" customHeight="1">
      <c r="A2708" s="12">
        <v>134</v>
      </c>
      <c r="B2708" s="8">
        <v>3</v>
      </c>
      <c r="C2708" s="8" t="s">
        <v>720</v>
      </c>
      <c r="D2708" s="8" t="s">
        <v>203</v>
      </c>
      <c r="E2708" s="8" t="s">
        <v>815</v>
      </c>
      <c r="F2708" s="8">
        <v>1</v>
      </c>
      <c r="G2708" s="8">
        <v>0</v>
      </c>
      <c r="H2708" s="8">
        <v>0</v>
      </c>
      <c r="I2708" s="8">
        <v>0</v>
      </c>
      <c r="J2708" s="11">
        <v>0.5</v>
      </c>
      <c r="K2708" s="8" t="s">
        <v>791</v>
      </c>
      <c r="L2708" s="8" t="s">
        <v>1941</v>
      </c>
      <c r="M2708" s="8">
        <v>165</v>
      </c>
    </row>
    <row r="2709" spans="1:14" ht="25" customHeight="1">
      <c r="A2709" s="12">
        <v>135</v>
      </c>
      <c r="B2709" s="8">
        <v>3</v>
      </c>
      <c r="C2709" s="8" t="s">
        <v>716</v>
      </c>
      <c r="D2709" s="8" t="s">
        <v>206</v>
      </c>
      <c r="E2709" s="8" t="s">
        <v>1416</v>
      </c>
      <c r="F2709" s="8">
        <v>1</v>
      </c>
      <c r="G2709" s="8">
        <v>0</v>
      </c>
      <c r="H2709" s="8">
        <v>0</v>
      </c>
      <c r="I2709" s="8">
        <v>0</v>
      </c>
      <c r="J2709" s="11">
        <v>0.1111111111111111</v>
      </c>
      <c r="K2709" s="8" t="s">
        <v>791</v>
      </c>
      <c r="L2709" s="8" t="s">
        <v>1941</v>
      </c>
      <c r="M2709" s="8">
        <v>166</v>
      </c>
    </row>
    <row r="2710" spans="1:14" ht="25" customHeight="1">
      <c r="A2710" s="12">
        <v>136</v>
      </c>
      <c r="B2710" s="8">
        <v>3</v>
      </c>
      <c r="C2710" s="8" t="s">
        <v>720</v>
      </c>
      <c r="D2710" s="8" t="s">
        <v>235</v>
      </c>
      <c r="E2710" s="8" t="s">
        <v>823</v>
      </c>
      <c r="F2710" s="8">
        <v>1</v>
      </c>
      <c r="G2710" s="8">
        <v>0</v>
      </c>
      <c r="H2710" s="8">
        <v>0</v>
      </c>
      <c r="I2710" s="8">
        <v>-1</v>
      </c>
      <c r="J2710" s="8">
        <v>1</v>
      </c>
      <c r="K2710" s="8" t="s">
        <v>791</v>
      </c>
      <c r="L2710" s="8" t="s">
        <v>1941</v>
      </c>
      <c r="M2710" s="8">
        <v>167</v>
      </c>
    </row>
    <row r="2711" spans="1:14" ht="25" customHeight="1">
      <c r="A2711" s="12">
        <v>137</v>
      </c>
      <c r="B2711" s="8">
        <v>3</v>
      </c>
      <c r="C2711" s="8" t="s">
        <v>716</v>
      </c>
      <c r="D2711" s="8" t="s">
        <v>206</v>
      </c>
      <c r="E2711" s="8" t="s">
        <v>823</v>
      </c>
      <c r="F2711" s="8">
        <v>1</v>
      </c>
      <c r="G2711" s="8">
        <v>0</v>
      </c>
      <c r="H2711" s="8">
        <v>0</v>
      </c>
      <c r="I2711" s="8">
        <v>2</v>
      </c>
      <c r="J2711" s="11">
        <v>0.1111111111111111</v>
      </c>
      <c r="K2711" s="8" t="s">
        <v>791</v>
      </c>
      <c r="L2711" s="8" t="s">
        <v>1941</v>
      </c>
      <c r="M2711" s="8">
        <v>168</v>
      </c>
    </row>
    <row r="2712" spans="1:14" ht="25" customHeight="1">
      <c r="A2712" s="12">
        <v>138</v>
      </c>
      <c r="B2712" s="8">
        <v>3</v>
      </c>
      <c r="C2712" s="8" t="s">
        <v>706</v>
      </c>
      <c r="D2712" s="8" t="s">
        <v>203</v>
      </c>
      <c r="E2712" s="8" t="s">
        <v>824</v>
      </c>
      <c r="F2712" s="8">
        <v>1</v>
      </c>
      <c r="G2712" s="8">
        <v>0</v>
      </c>
      <c r="H2712" s="8">
        <v>0</v>
      </c>
      <c r="I2712" s="8">
        <v>-1</v>
      </c>
      <c r="J2712" s="11">
        <v>0.3333333333333333</v>
      </c>
      <c r="K2712" s="8" t="s">
        <v>791</v>
      </c>
      <c r="L2712" s="8" t="s">
        <v>1941</v>
      </c>
      <c r="M2712" s="8">
        <v>169</v>
      </c>
    </row>
    <row r="2713" spans="1:14" ht="25" customHeight="1">
      <c r="A2713" s="12">
        <v>139</v>
      </c>
      <c r="B2713" s="8">
        <v>3</v>
      </c>
      <c r="C2713" s="8" t="s">
        <v>720</v>
      </c>
      <c r="D2713" s="8" t="s">
        <v>203</v>
      </c>
      <c r="E2713" s="8" t="s">
        <v>1439</v>
      </c>
      <c r="F2713" s="8">
        <v>1</v>
      </c>
      <c r="G2713" s="8">
        <v>1</v>
      </c>
      <c r="H2713" s="8">
        <v>0</v>
      </c>
      <c r="I2713" s="8">
        <v>10</v>
      </c>
      <c r="J2713" s="11">
        <v>0.5</v>
      </c>
      <c r="K2713" s="8" t="s">
        <v>791</v>
      </c>
      <c r="L2713" s="8" t="s">
        <v>1941</v>
      </c>
      <c r="M2713" s="8">
        <v>171</v>
      </c>
    </row>
    <row r="2714" spans="1:14" ht="25" customHeight="1">
      <c r="A2714" s="12">
        <v>140</v>
      </c>
      <c r="B2714" s="8">
        <v>3</v>
      </c>
      <c r="C2714" s="8" t="s">
        <v>706</v>
      </c>
      <c r="D2714" s="8" t="s">
        <v>1170</v>
      </c>
      <c r="E2714" s="8" t="s">
        <v>1451</v>
      </c>
      <c r="F2714" s="8">
        <v>1</v>
      </c>
      <c r="G2714" s="8">
        <v>1</v>
      </c>
      <c r="H2714" s="8">
        <v>1</v>
      </c>
      <c r="I2714" s="8">
        <v>36</v>
      </c>
      <c r="J2714" s="8">
        <v>1</v>
      </c>
      <c r="K2714" s="8" t="s">
        <v>791</v>
      </c>
      <c r="L2714" s="8" t="s">
        <v>1941</v>
      </c>
      <c r="M2714" s="8">
        <v>172</v>
      </c>
    </row>
    <row r="2715" spans="1:14" ht="25" customHeight="1">
      <c r="A2715" s="12">
        <v>141</v>
      </c>
      <c r="B2715" s="8">
        <v>4</v>
      </c>
      <c r="C2715" s="8" t="s">
        <v>706</v>
      </c>
      <c r="D2715" s="8" t="s">
        <v>1170</v>
      </c>
      <c r="E2715" s="8" t="s">
        <v>1684</v>
      </c>
      <c r="F2715" s="8">
        <v>1</v>
      </c>
      <c r="G2715" s="8">
        <v>0</v>
      </c>
      <c r="H2715" s="8">
        <v>0</v>
      </c>
      <c r="I2715" s="8">
        <v>-1</v>
      </c>
      <c r="J2715" s="8">
        <v>1</v>
      </c>
      <c r="K2715" s="8" t="s">
        <v>791</v>
      </c>
      <c r="L2715" s="8" t="s">
        <v>1941</v>
      </c>
      <c r="M2715" s="8">
        <v>173</v>
      </c>
    </row>
    <row r="2716" spans="1:14" ht="25" customHeight="1">
      <c r="A2716" s="12">
        <v>142</v>
      </c>
      <c r="B2716" s="8">
        <v>4</v>
      </c>
      <c r="C2716" s="8" t="s">
        <v>706</v>
      </c>
      <c r="D2716" s="8" t="s">
        <v>811</v>
      </c>
      <c r="E2716" s="8" t="s">
        <v>1687</v>
      </c>
      <c r="F2716" s="8">
        <v>1</v>
      </c>
      <c r="G2716" s="8">
        <v>0</v>
      </c>
      <c r="H2716" s="8">
        <v>0</v>
      </c>
      <c r="I2716" s="8">
        <v>0</v>
      </c>
      <c r="J2716" s="8">
        <v>1</v>
      </c>
      <c r="K2716" s="8" t="s">
        <v>791</v>
      </c>
      <c r="L2716" s="8" t="s">
        <v>1941</v>
      </c>
      <c r="M2716" s="8">
        <v>174</v>
      </c>
    </row>
    <row r="2722" spans="1:16" ht="27" customHeight="1">
      <c r="A2722" s="5" t="s">
        <v>1949</v>
      </c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</row>
    <row r="2723" spans="1:16" ht="36" customHeight="1">
      <c r="A2723" s="9" t="s">
        <v>683</v>
      </c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</row>
    <row r="2724" spans="1:16" ht="25" customHeight="1">
      <c r="A2724" s="6" t="s">
        <v>684</v>
      </c>
    </row>
    <row r="2725" spans="1:16" ht="25" customHeight="1">
      <c r="A2725" s="12">
        <v>1</v>
      </c>
      <c r="B2725" s="8" t="s">
        <v>687</v>
      </c>
      <c r="C2725" s="8" t="s">
        <v>1950</v>
      </c>
      <c r="D2725" s="8" t="s">
        <v>1951</v>
      </c>
      <c r="E2725" s="8" t="s">
        <v>780</v>
      </c>
      <c r="F2725" s="8" t="s">
        <v>810</v>
      </c>
      <c r="G2725" s="8" t="s">
        <v>1952</v>
      </c>
      <c r="H2725" s="8" t="s">
        <v>1953</v>
      </c>
      <c r="I2725" s="8" t="s">
        <v>1928</v>
      </c>
      <c r="J2725" s="8" t="s">
        <v>1954</v>
      </c>
      <c r="K2725" s="8" t="s">
        <v>1955</v>
      </c>
      <c r="L2725" s="8" t="s">
        <v>1956</v>
      </c>
      <c r="M2725" s="8" t="s">
        <v>1957</v>
      </c>
      <c r="N2725" s="8" t="s">
        <v>1958</v>
      </c>
      <c r="O2725" s="8" t="s">
        <v>1959</v>
      </c>
      <c r="P2725" s="8" t="s">
        <v>1960</v>
      </c>
    </row>
    <row r="2726" spans="1:16" ht="25" customHeight="1">
      <c r="A2726" s="12">
        <v>3</v>
      </c>
      <c r="B2726" s="8">
        <v>0</v>
      </c>
      <c r="C2726" s="8">
        <v>10</v>
      </c>
      <c r="D2726" s="8" t="s">
        <v>115</v>
      </c>
      <c r="E2726" s="8">
        <v>11</v>
      </c>
      <c r="F2726" s="8" t="s">
        <v>1961</v>
      </c>
      <c r="J2726" s="8">
        <v>0</v>
      </c>
      <c r="M2726" s="8" t="s">
        <v>120</v>
      </c>
      <c r="N2726" s="8" t="s">
        <v>206</v>
      </c>
    </row>
    <row r="2727" spans="1:16" ht="25" customHeight="1">
      <c r="A2727" s="12">
        <v>4</v>
      </c>
      <c r="B2727" s="8">
        <v>0</v>
      </c>
      <c r="C2727" s="8">
        <v>10</v>
      </c>
      <c r="D2727" s="8" t="s">
        <v>115</v>
      </c>
      <c r="E2727" s="8" t="s">
        <v>842</v>
      </c>
      <c r="F2727" s="8" t="s">
        <v>1962</v>
      </c>
      <c r="G2727" s="8" t="s">
        <v>449</v>
      </c>
      <c r="H2727" s="8" t="s">
        <v>1395</v>
      </c>
      <c r="I2727" s="8" t="s">
        <v>1963</v>
      </c>
      <c r="J2727" s="8">
        <v>5</v>
      </c>
      <c r="K2727" s="8">
        <v>0</v>
      </c>
      <c r="L2727" s="8">
        <v>0</v>
      </c>
      <c r="M2727" s="8" t="s">
        <v>842</v>
      </c>
      <c r="N2727" s="8" t="s">
        <v>235</v>
      </c>
      <c r="O2727" s="8" t="s">
        <v>449</v>
      </c>
      <c r="P2727" s="8" t="s">
        <v>1395</v>
      </c>
    </row>
    <row r="2728" spans="1:16" ht="25" customHeight="1">
      <c r="A2728" s="12">
        <v>5</v>
      </c>
      <c r="B2728" s="8">
        <v>0</v>
      </c>
      <c r="C2728" s="8">
        <v>10</v>
      </c>
      <c r="D2728" s="8" t="s">
        <v>115</v>
      </c>
      <c r="E2728" s="8">
        <v>12</v>
      </c>
      <c r="F2728" s="8" t="s">
        <v>1964</v>
      </c>
      <c r="G2728" s="8" t="s">
        <v>465</v>
      </c>
      <c r="H2728" s="8" t="s">
        <v>1398</v>
      </c>
      <c r="I2728" s="8" t="s">
        <v>1965</v>
      </c>
      <c r="J2728" s="8">
        <v>0</v>
      </c>
      <c r="K2728" s="8">
        <v>0</v>
      </c>
      <c r="L2728" s="8">
        <v>0</v>
      </c>
      <c r="M2728" s="8" t="s">
        <v>123</v>
      </c>
      <c r="N2728" s="8" t="s">
        <v>203</v>
      </c>
      <c r="O2728" s="8" t="s">
        <v>465</v>
      </c>
      <c r="P2728" s="8" t="s">
        <v>1398</v>
      </c>
    </row>
    <row r="2729" spans="1:16" ht="25" customHeight="1">
      <c r="A2729" s="12">
        <v>6</v>
      </c>
      <c r="B2729" s="8">
        <v>0</v>
      </c>
      <c r="C2729" s="8">
        <v>10</v>
      </c>
      <c r="D2729" s="8" t="s">
        <v>115</v>
      </c>
      <c r="E2729" s="8">
        <v>11</v>
      </c>
      <c r="F2729" s="8" t="s">
        <v>1964</v>
      </c>
      <c r="G2729" s="8" t="s">
        <v>449</v>
      </c>
      <c r="H2729" s="8" t="s">
        <v>1401</v>
      </c>
      <c r="I2729" s="8" t="s">
        <v>1966</v>
      </c>
      <c r="J2729" s="8">
        <v>9</v>
      </c>
      <c r="K2729" s="8">
        <v>1</v>
      </c>
      <c r="L2729" s="8">
        <v>0</v>
      </c>
      <c r="M2729" s="8" t="s">
        <v>120</v>
      </c>
      <c r="N2729" s="8" t="s">
        <v>203</v>
      </c>
      <c r="O2729" s="8" t="s">
        <v>449</v>
      </c>
      <c r="P2729" s="8" t="s">
        <v>1401</v>
      </c>
    </row>
    <row r="2730" spans="1:16" ht="25" customHeight="1">
      <c r="A2730" s="12">
        <v>7</v>
      </c>
      <c r="B2730" s="8">
        <v>0</v>
      </c>
      <c r="C2730" s="8">
        <v>10</v>
      </c>
      <c r="D2730" s="8" t="s">
        <v>115</v>
      </c>
      <c r="E2730" s="8">
        <v>11</v>
      </c>
      <c r="F2730" s="8" t="s">
        <v>1964</v>
      </c>
      <c r="G2730" s="8" t="s">
        <v>465</v>
      </c>
      <c r="H2730" s="8" t="s">
        <v>815</v>
      </c>
      <c r="I2730" s="8" t="s">
        <v>1965</v>
      </c>
      <c r="J2730" s="8">
        <v>10</v>
      </c>
      <c r="K2730" s="8">
        <v>1</v>
      </c>
      <c r="L2730" s="8">
        <v>0</v>
      </c>
      <c r="M2730" s="8" t="s">
        <v>120</v>
      </c>
      <c r="N2730" s="8" t="s">
        <v>203</v>
      </c>
      <c r="O2730" s="8" t="s">
        <v>465</v>
      </c>
      <c r="P2730" s="8" t="s">
        <v>815</v>
      </c>
    </row>
    <row r="2731" spans="1:16" ht="25" customHeight="1">
      <c r="A2731" s="12">
        <v>8</v>
      </c>
      <c r="B2731" s="8">
        <v>0</v>
      </c>
      <c r="C2731" s="8">
        <v>10</v>
      </c>
      <c r="D2731" s="8" t="s">
        <v>115</v>
      </c>
      <c r="E2731" s="8">
        <v>11</v>
      </c>
      <c r="F2731" s="8" t="s">
        <v>1964</v>
      </c>
      <c r="G2731" s="8" t="s">
        <v>471</v>
      </c>
      <c r="H2731" s="8" t="s">
        <v>1406</v>
      </c>
      <c r="I2731" s="8" t="s">
        <v>1963</v>
      </c>
      <c r="J2731" s="8">
        <v>5</v>
      </c>
      <c r="K2731" s="8">
        <v>0</v>
      </c>
      <c r="L2731" s="8">
        <v>0</v>
      </c>
      <c r="M2731" s="8" t="s">
        <v>120</v>
      </c>
      <c r="N2731" s="8" t="s">
        <v>203</v>
      </c>
      <c r="O2731" s="8" t="s">
        <v>471</v>
      </c>
      <c r="P2731" s="8" t="s">
        <v>1406</v>
      </c>
    </row>
    <row r="2732" spans="1:16" ht="25" customHeight="1">
      <c r="A2732" s="12">
        <v>9</v>
      </c>
      <c r="B2732" s="8">
        <v>0</v>
      </c>
      <c r="C2732" s="8">
        <v>10</v>
      </c>
      <c r="D2732" s="8" t="s">
        <v>115</v>
      </c>
      <c r="E2732" s="8">
        <v>11</v>
      </c>
      <c r="F2732" s="8" t="s">
        <v>1964</v>
      </c>
      <c r="G2732" s="8" t="s">
        <v>468</v>
      </c>
      <c r="H2732" s="8" t="s">
        <v>49</v>
      </c>
      <c r="I2732" s="8" t="s">
        <v>1963</v>
      </c>
      <c r="J2732" s="8">
        <v>0</v>
      </c>
      <c r="K2732" s="8">
        <v>0</v>
      </c>
      <c r="L2732" s="8">
        <v>0</v>
      </c>
      <c r="M2732" s="8" t="s">
        <v>120</v>
      </c>
      <c r="N2732" s="8" t="s">
        <v>203</v>
      </c>
      <c r="O2732" s="8" t="s">
        <v>468</v>
      </c>
      <c r="P2732" s="8" t="s">
        <v>49</v>
      </c>
    </row>
    <row r="2733" spans="1:16" ht="25" customHeight="1">
      <c r="A2733" s="12">
        <v>10</v>
      </c>
      <c r="B2733" s="8">
        <v>0</v>
      </c>
      <c r="C2733" s="8">
        <v>10</v>
      </c>
      <c r="D2733" s="8" t="s">
        <v>115</v>
      </c>
      <c r="E2733" s="8">
        <v>11</v>
      </c>
      <c r="F2733" s="8" t="s">
        <v>1964</v>
      </c>
      <c r="G2733" s="8" t="s">
        <v>611</v>
      </c>
      <c r="H2733" s="8" t="s">
        <v>1410</v>
      </c>
      <c r="I2733" s="8" t="s">
        <v>1965</v>
      </c>
      <c r="J2733" s="8">
        <v>-2</v>
      </c>
      <c r="K2733" s="8">
        <v>0</v>
      </c>
      <c r="L2733" s="8">
        <v>0</v>
      </c>
      <c r="M2733" s="8" t="s">
        <v>120</v>
      </c>
      <c r="N2733" s="8" t="s">
        <v>203</v>
      </c>
      <c r="O2733" s="8" t="s">
        <v>611</v>
      </c>
      <c r="P2733" s="8" t="s">
        <v>1410</v>
      </c>
    </row>
    <row r="2734" spans="1:16" ht="25" customHeight="1">
      <c r="A2734" s="12">
        <v>11</v>
      </c>
      <c r="B2734" s="8">
        <v>0</v>
      </c>
      <c r="C2734" s="8">
        <v>10</v>
      </c>
      <c r="D2734" s="8" t="s">
        <v>115</v>
      </c>
      <c r="E2734" s="8">
        <v>11</v>
      </c>
      <c r="F2734" s="8" t="s">
        <v>1964</v>
      </c>
      <c r="G2734" s="8" t="s">
        <v>541</v>
      </c>
      <c r="H2734" s="8" t="s">
        <v>1413</v>
      </c>
      <c r="I2734" s="8" t="s">
        <v>1965</v>
      </c>
      <c r="J2734" s="8">
        <v>6</v>
      </c>
      <c r="K2734" s="8">
        <v>1</v>
      </c>
      <c r="L2734" s="8">
        <v>0</v>
      </c>
      <c r="M2734" s="8" t="s">
        <v>120</v>
      </c>
      <c r="N2734" s="8" t="s">
        <v>203</v>
      </c>
      <c r="O2734" s="8" t="s">
        <v>541</v>
      </c>
      <c r="P2734" s="8" t="s">
        <v>1413</v>
      </c>
    </row>
    <row r="2735" spans="1:16" ht="25" customHeight="1">
      <c r="A2735" s="12">
        <v>12</v>
      </c>
      <c r="B2735" s="8">
        <v>0</v>
      </c>
      <c r="C2735" s="8">
        <v>10</v>
      </c>
      <c r="D2735" s="8" t="s">
        <v>115</v>
      </c>
      <c r="E2735" s="8">
        <v>11</v>
      </c>
      <c r="F2735" s="8" t="s">
        <v>1961</v>
      </c>
      <c r="G2735" s="8" t="s">
        <v>449</v>
      </c>
      <c r="H2735" s="8" t="s">
        <v>1416</v>
      </c>
      <c r="I2735" s="8" t="s">
        <v>1966</v>
      </c>
      <c r="J2735" s="8">
        <v>0</v>
      </c>
      <c r="K2735" s="8">
        <v>0</v>
      </c>
      <c r="L2735" s="8">
        <v>0</v>
      </c>
      <c r="M2735" s="8" t="s">
        <v>120</v>
      </c>
      <c r="N2735" s="8" t="s">
        <v>206</v>
      </c>
      <c r="O2735" s="8" t="s">
        <v>449</v>
      </c>
      <c r="P2735" s="8" t="s">
        <v>1416</v>
      </c>
    </row>
    <row r="2736" spans="1:16" ht="25" customHeight="1">
      <c r="A2736" s="12">
        <v>13</v>
      </c>
      <c r="B2736" s="8">
        <v>0</v>
      </c>
      <c r="C2736" s="8">
        <v>10</v>
      </c>
      <c r="D2736" s="8" t="s">
        <v>115</v>
      </c>
      <c r="E2736" s="8">
        <v>11</v>
      </c>
      <c r="F2736" s="8" t="s">
        <v>1967</v>
      </c>
      <c r="G2736" s="8" t="s">
        <v>474</v>
      </c>
      <c r="H2736" s="8" t="s">
        <v>819</v>
      </c>
      <c r="I2736" s="8" t="s">
        <v>1968</v>
      </c>
      <c r="J2736" s="8">
        <v>0</v>
      </c>
      <c r="K2736" s="8">
        <v>0</v>
      </c>
      <c r="L2736" s="8">
        <v>0</v>
      </c>
      <c r="M2736" s="8" t="s">
        <v>120</v>
      </c>
      <c r="N2736" s="8" t="s">
        <v>206</v>
      </c>
      <c r="O2736" s="8" t="s">
        <v>474</v>
      </c>
      <c r="P2736" s="8" t="s">
        <v>819</v>
      </c>
    </row>
    <row r="2737" spans="1:16" ht="25" customHeight="1">
      <c r="A2737" s="12">
        <v>14</v>
      </c>
      <c r="B2737" s="8">
        <v>0</v>
      </c>
      <c r="C2737" s="8">
        <v>10</v>
      </c>
      <c r="D2737" s="8" t="s">
        <v>115</v>
      </c>
      <c r="E2737" s="8">
        <v>11</v>
      </c>
      <c r="F2737" s="8" t="s">
        <v>1961</v>
      </c>
      <c r="G2737" s="8" t="s">
        <v>428</v>
      </c>
      <c r="H2737" s="8" t="s">
        <v>1420</v>
      </c>
      <c r="I2737" s="8" t="s">
        <v>1965</v>
      </c>
      <c r="J2737" s="8">
        <v>3</v>
      </c>
      <c r="K2737" s="8">
        <v>1</v>
      </c>
      <c r="L2737" s="8">
        <v>0</v>
      </c>
      <c r="M2737" s="8" t="s">
        <v>120</v>
      </c>
      <c r="N2737" s="8" t="s">
        <v>206</v>
      </c>
      <c r="O2737" s="8" t="s">
        <v>428</v>
      </c>
      <c r="P2737" s="8" t="s">
        <v>1420</v>
      </c>
    </row>
    <row r="2738" spans="1:16" ht="25" customHeight="1">
      <c r="A2738" s="12">
        <v>15</v>
      </c>
      <c r="B2738" s="8">
        <v>0</v>
      </c>
      <c r="C2738" s="8">
        <v>10</v>
      </c>
      <c r="D2738" s="8" t="s">
        <v>115</v>
      </c>
      <c r="E2738" s="8">
        <v>11</v>
      </c>
      <c r="F2738" s="8" t="s">
        <v>1964</v>
      </c>
      <c r="G2738" s="8" t="s">
        <v>574</v>
      </c>
      <c r="H2738" s="8" t="s">
        <v>1422</v>
      </c>
      <c r="I2738" s="8" t="s">
        <v>1965</v>
      </c>
      <c r="J2738" s="8">
        <v>0</v>
      </c>
      <c r="K2738" s="8">
        <v>0</v>
      </c>
      <c r="L2738" s="8">
        <v>0</v>
      </c>
      <c r="M2738" s="8" t="s">
        <v>120</v>
      </c>
      <c r="N2738" s="8" t="s">
        <v>203</v>
      </c>
      <c r="O2738" s="8" t="s">
        <v>574</v>
      </c>
      <c r="P2738" s="8" t="s">
        <v>1422</v>
      </c>
    </row>
    <row r="2739" spans="1:16" ht="25" customHeight="1">
      <c r="A2739" s="12">
        <v>16</v>
      </c>
      <c r="B2739" s="8">
        <v>0</v>
      </c>
      <c r="C2739" s="8">
        <v>10</v>
      </c>
      <c r="D2739" s="8" t="s">
        <v>115</v>
      </c>
      <c r="E2739" s="8">
        <v>11</v>
      </c>
      <c r="F2739" s="8" t="s">
        <v>1961</v>
      </c>
      <c r="G2739" s="8" t="s">
        <v>452</v>
      </c>
      <c r="H2739" s="8" t="s">
        <v>49</v>
      </c>
      <c r="I2739" s="8" t="s">
        <v>1966</v>
      </c>
      <c r="J2739" s="8">
        <v>3</v>
      </c>
      <c r="K2739" s="8">
        <v>1</v>
      </c>
      <c r="L2739" s="8">
        <v>0</v>
      </c>
      <c r="M2739" s="8" t="s">
        <v>120</v>
      </c>
      <c r="N2739" s="8" t="s">
        <v>206</v>
      </c>
      <c r="O2739" s="8" t="s">
        <v>452</v>
      </c>
      <c r="P2739" s="8" t="s">
        <v>49</v>
      </c>
    </row>
    <row r="2740" spans="1:16" ht="25" customHeight="1">
      <c r="A2740" s="12">
        <v>17</v>
      </c>
      <c r="B2740" s="8">
        <v>0</v>
      </c>
      <c r="C2740" s="8">
        <v>10</v>
      </c>
      <c r="D2740" s="8" t="s">
        <v>115</v>
      </c>
      <c r="E2740" s="8">
        <v>12</v>
      </c>
      <c r="F2740" s="8" t="s">
        <v>1964</v>
      </c>
      <c r="G2740" s="8" t="s">
        <v>428</v>
      </c>
      <c r="H2740" s="8" t="s">
        <v>1424</v>
      </c>
      <c r="I2740" s="8" t="s">
        <v>1965</v>
      </c>
      <c r="J2740" s="8">
        <v>7</v>
      </c>
      <c r="K2740" s="8">
        <v>1</v>
      </c>
      <c r="L2740" s="8">
        <v>0</v>
      </c>
      <c r="M2740" s="8" t="s">
        <v>123</v>
      </c>
      <c r="N2740" s="8" t="s">
        <v>203</v>
      </c>
      <c r="O2740" s="8" t="s">
        <v>428</v>
      </c>
      <c r="P2740" s="8" t="s">
        <v>1424</v>
      </c>
    </row>
    <row r="2741" spans="1:16" ht="25" customHeight="1">
      <c r="A2741" s="12">
        <v>18</v>
      </c>
      <c r="B2741" s="8">
        <v>0</v>
      </c>
      <c r="C2741" s="8">
        <v>10</v>
      </c>
      <c r="D2741" s="8" t="s">
        <v>115</v>
      </c>
      <c r="E2741" s="8">
        <v>11</v>
      </c>
      <c r="F2741" s="8" t="s">
        <v>1961</v>
      </c>
      <c r="G2741" s="8" t="s">
        <v>465</v>
      </c>
      <c r="H2741" s="8" t="s">
        <v>1398</v>
      </c>
      <c r="I2741" s="8" t="s">
        <v>1965</v>
      </c>
      <c r="J2741" s="8">
        <v>0</v>
      </c>
      <c r="K2741" s="8">
        <v>0</v>
      </c>
      <c r="L2741" s="8">
        <v>0</v>
      </c>
      <c r="M2741" s="8" t="s">
        <v>120</v>
      </c>
      <c r="N2741" s="8" t="s">
        <v>206</v>
      </c>
      <c r="O2741" s="8" t="s">
        <v>465</v>
      </c>
      <c r="P2741" s="8" t="s">
        <v>1398</v>
      </c>
    </row>
    <row r="2742" spans="1:16" ht="25" customHeight="1">
      <c r="A2742" s="12">
        <v>19</v>
      </c>
      <c r="B2742" s="8">
        <v>0</v>
      </c>
      <c r="C2742" s="8">
        <v>10</v>
      </c>
      <c r="D2742" s="8" t="s">
        <v>115</v>
      </c>
      <c r="E2742" s="8">
        <v>11</v>
      </c>
      <c r="F2742" s="8" t="s">
        <v>1964</v>
      </c>
      <c r="G2742" s="8" t="s">
        <v>574</v>
      </c>
      <c r="H2742" s="8" t="s">
        <v>1429</v>
      </c>
      <c r="I2742" s="8" t="s">
        <v>1965</v>
      </c>
      <c r="J2742" s="8">
        <v>8</v>
      </c>
      <c r="K2742" s="8">
        <v>1</v>
      </c>
      <c r="L2742" s="8">
        <v>0</v>
      </c>
      <c r="M2742" s="8" t="s">
        <v>120</v>
      </c>
      <c r="N2742" s="8" t="s">
        <v>203</v>
      </c>
      <c r="O2742" s="8" t="s">
        <v>574</v>
      </c>
      <c r="P2742" s="8" t="s">
        <v>1429</v>
      </c>
    </row>
    <row r="2743" spans="1:16" ht="25" customHeight="1">
      <c r="A2743" s="12">
        <v>20</v>
      </c>
      <c r="B2743" s="8">
        <v>0</v>
      </c>
      <c r="C2743" s="8">
        <v>10</v>
      </c>
      <c r="D2743" s="8" t="s">
        <v>115</v>
      </c>
      <c r="E2743" s="8">
        <v>11</v>
      </c>
      <c r="F2743" s="8" t="s">
        <v>1961</v>
      </c>
      <c r="G2743" s="8" t="s">
        <v>468</v>
      </c>
      <c r="H2743" s="8" t="s">
        <v>1431</v>
      </c>
      <c r="I2743" s="8" t="s">
        <v>1966</v>
      </c>
      <c r="J2743" s="8">
        <v>15</v>
      </c>
      <c r="K2743" s="8">
        <v>1</v>
      </c>
      <c r="L2743" s="8">
        <v>1</v>
      </c>
      <c r="M2743" s="8" t="s">
        <v>120</v>
      </c>
      <c r="N2743" s="8" t="s">
        <v>206</v>
      </c>
      <c r="O2743" s="8" t="s">
        <v>468</v>
      </c>
      <c r="P2743" s="8" t="s">
        <v>1431</v>
      </c>
    </row>
    <row r="2744" spans="1:16" ht="25" customHeight="1">
      <c r="A2744" s="12">
        <v>21</v>
      </c>
      <c r="B2744" s="8">
        <v>0</v>
      </c>
      <c r="C2744" s="8">
        <v>10</v>
      </c>
      <c r="D2744" s="8" t="s">
        <v>115</v>
      </c>
      <c r="E2744" s="8">
        <v>11</v>
      </c>
      <c r="F2744" s="8" t="s">
        <v>1964</v>
      </c>
      <c r="G2744" s="8" t="s">
        <v>428</v>
      </c>
      <c r="H2744" s="8" t="s">
        <v>1433</v>
      </c>
      <c r="I2744" s="8" t="s">
        <v>1965</v>
      </c>
      <c r="J2744" s="8">
        <v>1</v>
      </c>
      <c r="K2744" s="8">
        <v>0</v>
      </c>
      <c r="L2744" s="8">
        <v>0</v>
      </c>
      <c r="M2744" s="8" t="s">
        <v>120</v>
      </c>
      <c r="N2744" s="8" t="s">
        <v>203</v>
      </c>
      <c r="O2744" s="8" t="s">
        <v>428</v>
      </c>
      <c r="P2744" s="8" t="s">
        <v>1433</v>
      </c>
    </row>
    <row r="2745" spans="1:16" ht="25" customHeight="1">
      <c r="A2745" s="12">
        <v>22</v>
      </c>
      <c r="B2745" s="8">
        <v>0</v>
      </c>
      <c r="C2745" s="8">
        <v>10</v>
      </c>
      <c r="D2745" s="8" t="s">
        <v>115</v>
      </c>
      <c r="E2745" s="8">
        <v>11</v>
      </c>
      <c r="F2745" s="8" t="s">
        <v>1964</v>
      </c>
      <c r="G2745" s="8" t="s">
        <v>800</v>
      </c>
      <c r="H2745" s="8" t="s">
        <v>1435</v>
      </c>
      <c r="I2745" s="8" t="s">
        <v>1965</v>
      </c>
      <c r="J2745" s="8">
        <v>2</v>
      </c>
      <c r="K2745" s="8">
        <v>0</v>
      </c>
      <c r="L2745" s="8">
        <v>0</v>
      </c>
      <c r="M2745" s="8" t="s">
        <v>120</v>
      </c>
      <c r="N2745" s="8" t="s">
        <v>203</v>
      </c>
      <c r="O2745" s="8" t="s">
        <v>800</v>
      </c>
      <c r="P2745" s="8" t="s">
        <v>1435</v>
      </c>
    </row>
    <row r="2746" spans="1:16" ht="25" customHeight="1">
      <c r="A2746" s="12">
        <v>23</v>
      </c>
      <c r="B2746" s="8">
        <v>0</v>
      </c>
      <c r="C2746" s="8">
        <v>10</v>
      </c>
      <c r="D2746" s="8" t="s">
        <v>115</v>
      </c>
      <c r="E2746" s="8">
        <v>11</v>
      </c>
      <c r="F2746" s="8" t="s">
        <v>1961</v>
      </c>
      <c r="G2746" s="8" t="s">
        <v>465</v>
      </c>
      <c r="H2746" s="8" t="s">
        <v>815</v>
      </c>
      <c r="I2746" s="8" t="s">
        <v>1965</v>
      </c>
      <c r="J2746" s="8">
        <v>3</v>
      </c>
      <c r="K2746" s="8">
        <v>1</v>
      </c>
      <c r="L2746" s="8">
        <v>0</v>
      </c>
      <c r="M2746" s="8" t="s">
        <v>120</v>
      </c>
      <c r="N2746" s="8" t="s">
        <v>206</v>
      </c>
      <c r="O2746" s="8" t="s">
        <v>465</v>
      </c>
      <c r="P2746" s="8" t="s">
        <v>815</v>
      </c>
    </row>
    <row r="2747" spans="1:16" ht="25" customHeight="1">
      <c r="A2747" s="12">
        <v>24</v>
      </c>
      <c r="B2747" s="8">
        <v>0</v>
      </c>
      <c r="C2747" s="8">
        <v>20</v>
      </c>
      <c r="D2747" s="8" t="s">
        <v>115</v>
      </c>
      <c r="E2747" s="8" t="s">
        <v>803</v>
      </c>
      <c r="F2747" s="8" t="s">
        <v>1964</v>
      </c>
      <c r="G2747" s="8" t="s">
        <v>465</v>
      </c>
      <c r="H2747" s="8" t="s">
        <v>816</v>
      </c>
      <c r="I2747" s="8" t="s">
        <v>1965</v>
      </c>
      <c r="J2747" s="8">
        <v>6</v>
      </c>
      <c r="K2747" s="8">
        <v>1</v>
      </c>
      <c r="L2747" s="8">
        <v>0</v>
      </c>
      <c r="M2747" s="8" t="s">
        <v>803</v>
      </c>
      <c r="N2747" s="8" t="s">
        <v>203</v>
      </c>
      <c r="O2747" s="8" t="s">
        <v>465</v>
      </c>
      <c r="P2747" s="8" t="s">
        <v>816</v>
      </c>
    </row>
    <row r="2748" spans="1:16" ht="25" customHeight="1">
      <c r="A2748" s="12">
        <v>25</v>
      </c>
      <c r="B2748" s="8">
        <v>0</v>
      </c>
      <c r="C2748" s="8">
        <v>10</v>
      </c>
      <c r="D2748" s="8" t="s">
        <v>115</v>
      </c>
      <c r="E2748" s="8">
        <v>11</v>
      </c>
      <c r="F2748" s="8" t="s">
        <v>1964</v>
      </c>
      <c r="G2748" s="8" t="s">
        <v>465</v>
      </c>
      <c r="H2748" s="8" t="s">
        <v>1439</v>
      </c>
      <c r="I2748" s="8" t="s">
        <v>1965</v>
      </c>
      <c r="J2748" s="8">
        <v>2</v>
      </c>
      <c r="K2748" s="8">
        <v>0</v>
      </c>
      <c r="L2748" s="8">
        <v>0</v>
      </c>
      <c r="M2748" s="8" t="s">
        <v>120</v>
      </c>
      <c r="N2748" s="8" t="s">
        <v>203</v>
      </c>
      <c r="O2748" s="8" t="s">
        <v>465</v>
      </c>
      <c r="P2748" s="8" t="s">
        <v>1439</v>
      </c>
    </row>
    <row r="2749" spans="1:16" ht="25" customHeight="1">
      <c r="A2749" s="12">
        <v>26</v>
      </c>
      <c r="B2749" s="8">
        <v>0</v>
      </c>
      <c r="C2749" s="8">
        <v>10</v>
      </c>
      <c r="D2749" s="8" t="s">
        <v>115</v>
      </c>
      <c r="E2749" s="8" t="s">
        <v>802</v>
      </c>
      <c r="F2749" s="8" t="s">
        <v>1967</v>
      </c>
      <c r="G2749" s="8" t="s">
        <v>465</v>
      </c>
      <c r="H2749" s="8" t="s">
        <v>815</v>
      </c>
      <c r="I2749" s="8" t="s">
        <v>1965</v>
      </c>
      <c r="J2749" s="8">
        <v>-1</v>
      </c>
      <c r="K2749" s="8">
        <v>0</v>
      </c>
      <c r="L2749" s="8">
        <v>0</v>
      </c>
      <c r="M2749" s="8" t="s">
        <v>802</v>
      </c>
      <c r="N2749" s="8" t="s">
        <v>206</v>
      </c>
      <c r="O2749" s="8" t="s">
        <v>465</v>
      </c>
      <c r="P2749" s="8" t="s">
        <v>815</v>
      </c>
    </row>
    <row r="2750" spans="1:16" ht="25" customHeight="1">
      <c r="A2750" s="12">
        <v>27</v>
      </c>
      <c r="B2750" s="8">
        <v>0</v>
      </c>
      <c r="C2750" s="8">
        <v>10</v>
      </c>
      <c r="D2750" s="8" t="s">
        <v>115</v>
      </c>
      <c r="E2750" s="8">
        <v>11</v>
      </c>
      <c r="F2750" s="8" t="s">
        <v>1961</v>
      </c>
      <c r="G2750" s="8" t="s">
        <v>800</v>
      </c>
      <c r="H2750" s="8" t="s">
        <v>817</v>
      </c>
      <c r="I2750" s="8" t="s">
        <v>1965</v>
      </c>
      <c r="J2750" s="8">
        <v>1</v>
      </c>
      <c r="K2750" s="8">
        <v>0</v>
      </c>
      <c r="L2750" s="8">
        <v>0</v>
      </c>
      <c r="M2750" s="8" t="s">
        <v>120</v>
      </c>
      <c r="N2750" s="8" t="s">
        <v>206</v>
      </c>
      <c r="O2750" s="8" t="s">
        <v>800</v>
      </c>
      <c r="P2750" s="8" t="s">
        <v>817</v>
      </c>
    </row>
    <row r="2751" spans="1:16" ht="25" customHeight="1">
      <c r="A2751" s="12">
        <v>28</v>
      </c>
      <c r="B2751" s="8">
        <v>0</v>
      </c>
      <c r="C2751" s="8">
        <v>10</v>
      </c>
      <c r="D2751" s="8" t="s">
        <v>115</v>
      </c>
      <c r="E2751" s="8" t="s">
        <v>803</v>
      </c>
      <c r="F2751" s="8" t="s">
        <v>1969</v>
      </c>
      <c r="G2751" s="8" t="s">
        <v>428</v>
      </c>
      <c r="H2751" s="8" t="s">
        <v>816</v>
      </c>
      <c r="I2751" s="8" t="s">
        <v>1965</v>
      </c>
      <c r="J2751" s="8">
        <v>2</v>
      </c>
      <c r="K2751" s="8">
        <v>0</v>
      </c>
      <c r="L2751" s="8">
        <v>0</v>
      </c>
      <c r="M2751" s="8" t="s">
        <v>803</v>
      </c>
      <c r="N2751" s="8" t="s">
        <v>811</v>
      </c>
      <c r="O2751" s="8" t="s">
        <v>428</v>
      </c>
      <c r="P2751" s="8" t="s">
        <v>816</v>
      </c>
    </row>
    <row r="2752" spans="1:16" ht="25" customHeight="1">
      <c r="A2752" s="12">
        <v>29</v>
      </c>
      <c r="B2752" s="8">
        <v>0</v>
      </c>
      <c r="C2752" s="8">
        <v>10</v>
      </c>
      <c r="D2752" s="8" t="s">
        <v>115</v>
      </c>
      <c r="E2752" s="8" t="s">
        <v>803</v>
      </c>
      <c r="F2752" s="8" t="s">
        <v>1964</v>
      </c>
      <c r="G2752" s="8" t="s">
        <v>428</v>
      </c>
      <c r="H2752" s="8" t="s">
        <v>818</v>
      </c>
      <c r="I2752" s="8" t="s">
        <v>1965</v>
      </c>
      <c r="J2752" s="8">
        <v>6</v>
      </c>
      <c r="K2752" s="8">
        <v>1</v>
      </c>
      <c r="L2752" s="8">
        <v>0</v>
      </c>
      <c r="M2752" s="8" t="s">
        <v>803</v>
      </c>
      <c r="N2752" s="8" t="s">
        <v>203</v>
      </c>
      <c r="O2752" s="8" t="s">
        <v>428</v>
      </c>
      <c r="P2752" s="8" t="s">
        <v>818</v>
      </c>
    </row>
    <row r="2753" spans="1:16" ht="25" customHeight="1">
      <c r="A2753" s="12">
        <v>30</v>
      </c>
      <c r="B2753" s="8">
        <v>0</v>
      </c>
      <c r="C2753" s="8">
        <v>10</v>
      </c>
      <c r="D2753" s="8" t="s">
        <v>115</v>
      </c>
      <c r="E2753" s="8">
        <v>11</v>
      </c>
      <c r="F2753" s="8" t="s">
        <v>1967</v>
      </c>
      <c r="G2753" s="8" t="s">
        <v>800</v>
      </c>
      <c r="H2753" s="8" t="s">
        <v>817</v>
      </c>
      <c r="I2753" s="8" t="s">
        <v>1965</v>
      </c>
      <c r="J2753" s="8">
        <v>2</v>
      </c>
      <c r="K2753" s="8">
        <v>0</v>
      </c>
      <c r="L2753" s="8">
        <v>0</v>
      </c>
      <c r="M2753" s="8" t="s">
        <v>120</v>
      </c>
      <c r="N2753" s="8" t="s">
        <v>206</v>
      </c>
      <c r="O2753" s="8" t="s">
        <v>800</v>
      </c>
      <c r="P2753" s="8" t="s">
        <v>817</v>
      </c>
    </row>
    <row r="2754" spans="1:16" ht="25" customHeight="1">
      <c r="A2754" s="12">
        <v>31</v>
      </c>
      <c r="B2754" s="8">
        <v>0</v>
      </c>
      <c r="C2754" s="8">
        <v>10</v>
      </c>
      <c r="D2754" s="8" t="s">
        <v>115</v>
      </c>
      <c r="E2754" s="8" t="s">
        <v>802</v>
      </c>
      <c r="F2754" s="8" t="s">
        <v>1970</v>
      </c>
      <c r="G2754" s="8" t="s">
        <v>465</v>
      </c>
      <c r="H2754" s="8" t="s">
        <v>1447</v>
      </c>
      <c r="I2754" s="8" t="s">
        <v>1965</v>
      </c>
      <c r="J2754" s="8">
        <v>-4</v>
      </c>
      <c r="K2754" s="8">
        <v>0</v>
      </c>
      <c r="L2754" s="8">
        <v>0</v>
      </c>
      <c r="M2754" s="8" t="s">
        <v>802</v>
      </c>
      <c r="N2754" s="8" t="s">
        <v>811</v>
      </c>
      <c r="O2754" s="8" t="s">
        <v>465</v>
      </c>
      <c r="P2754" s="8" t="s">
        <v>1447</v>
      </c>
    </row>
    <row r="2755" spans="1:16" ht="25" customHeight="1">
      <c r="A2755" s="12">
        <v>32</v>
      </c>
      <c r="B2755" s="8">
        <v>0</v>
      </c>
      <c r="C2755" s="8">
        <v>10</v>
      </c>
      <c r="D2755" s="8" t="s">
        <v>115</v>
      </c>
      <c r="E2755" s="8">
        <v>11</v>
      </c>
      <c r="F2755" s="8" t="s">
        <v>1961</v>
      </c>
      <c r="G2755" s="8" t="s">
        <v>428</v>
      </c>
      <c r="H2755" s="8" t="s">
        <v>823</v>
      </c>
      <c r="I2755" s="8" t="s">
        <v>1965</v>
      </c>
      <c r="J2755" s="8">
        <v>2</v>
      </c>
      <c r="K2755" s="8">
        <v>0</v>
      </c>
      <c r="L2755" s="8">
        <v>0</v>
      </c>
      <c r="M2755" s="8" t="s">
        <v>120</v>
      </c>
      <c r="N2755" s="8" t="s">
        <v>206</v>
      </c>
      <c r="O2755" s="8" t="s">
        <v>428</v>
      </c>
      <c r="P2755" s="8" t="s">
        <v>823</v>
      </c>
    </row>
    <row r="2756" spans="1:16" ht="25" customHeight="1">
      <c r="A2756" s="12">
        <v>33</v>
      </c>
      <c r="B2756" s="8">
        <v>0</v>
      </c>
      <c r="C2756" s="8">
        <v>1</v>
      </c>
      <c r="D2756" s="8" t="s">
        <v>115</v>
      </c>
      <c r="E2756" s="8" t="s">
        <v>877</v>
      </c>
      <c r="F2756" s="8" t="s">
        <v>1962</v>
      </c>
      <c r="G2756" s="8" t="s">
        <v>878</v>
      </c>
      <c r="H2756" s="8" t="s">
        <v>1451</v>
      </c>
      <c r="I2756" s="8" t="s">
        <v>1971</v>
      </c>
      <c r="J2756" s="8">
        <v>1</v>
      </c>
      <c r="K2756" s="8">
        <v>1</v>
      </c>
      <c r="L2756" s="8">
        <v>0</v>
      </c>
      <c r="M2756" s="8" t="s">
        <v>877</v>
      </c>
      <c r="N2756" s="8" t="s">
        <v>235</v>
      </c>
      <c r="O2756" s="8" t="s">
        <v>878</v>
      </c>
      <c r="P2756" s="8" t="s">
        <v>1451</v>
      </c>
    </row>
    <row r="2757" spans="1:16" ht="25" customHeight="1">
      <c r="A2757" s="12">
        <v>34</v>
      </c>
      <c r="B2757" s="8">
        <v>0</v>
      </c>
      <c r="C2757" s="8">
        <v>10</v>
      </c>
      <c r="D2757" s="8" t="s">
        <v>115</v>
      </c>
      <c r="E2757" s="8" t="s">
        <v>803</v>
      </c>
      <c r="F2757" s="8" t="s">
        <v>1964</v>
      </c>
      <c r="G2757" s="8" t="s">
        <v>428</v>
      </c>
      <c r="H2757" s="8" t="s">
        <v>818</v>
      </c>
      <c r="I2757" s="8" t="s">
        <v>1965</v>
      </c>
      <c r="J2757" s="8">
        <v>-1</v>
      </c>
      <c r="K2757" s="8">
        <v>0</v>
      </c>
      <c r="L2757" s="8">
        <v>0</v>
      </c>
      <c r="M2757" s="8" t="s">
        <v>803</v>
      </c>
      <c r="N2757" s="8" t="s">
        <v>203</v>
      </c>
      <c r="O2757" s="8" t="s">
        <v>428</v>
      </c>
      <c r="P2757" s="8" t="s">
        <v>818</v>
      </c>
    </row>
    <row r="2758" spans="1:16" ht="25" customHeight="1">
      <c r="A2758" s="12">
        <v>35</v>
      </c>
      <c r="B2758" s="8">
        <v>0</v>
      </c>
      <c r="C2758" s="8">
        <v>10</v>
      </c>
      <c r="D2758" s="8" t="s">
        <v>115</v>
      </c>
      <c r="E2758" s="8" t="s">
        <v>803</v>
      </c>
      <c r="F2758" s="8" t="s">
        <v>1969</v>
      </c>
      <c r="G2758" s="8" t="s">
        <v>428</v>
      </c>
      <c r="H2758" s="8" t="s">
        <v>816</v>
      </c>
      <c r="I2758" s="8" t="s">
        <v>1965</v>
      </c>
      <c r="J2758" s="8">
        <v>1</v>
      </c>
      <c r="K2758" s="8">
        <v>0</v>
      </c>
      <c r="L2758" s="8">
        <v>0</v>
      </c>
      <c r="M2758" s="8" t="s">
        <v>803</v>
      </c>
      <c r="N2758" s="8" t="s">
        <v>811</v>
      </c>
      <c r="O2758" s="8" t="s">
        <v>428</v>
      </c>
      <c r="P2758" s="8" t="s">
        <v>816</v>
      </c>
    </row>
    <row r="2759" spans="1:16" ht="25" customHeight="1">
      <c r="A2759" s="12">
        <v>36</v>
      </c>
      <c r="B2759" s="8">
        <v>0</v>
      </c>
      <c r="C2759" s="8">
        <v>10</v>
      </c>
      <c r="D2759" s="8" t="s">
        <v>115</v>
      </c>
      <c r="E2759" s="8">
        <v>11</v>
      </c>
      <c r="F2759" s="8" t="s">
        <v>1964</v>
      </c>
      <c r="G2759" s="8" t="s">
        <v>428</v>
      </c>
      <c r="H2759" s="8" t="s">
        <v>816</v>
      </c>
      <c r="I2759" s="8" t="s">
        <v>1965</v>
      </c>
      <c r="J2759" s="8">
        <v>2</v>
      </c>
      <c r="K2759" s="8">
        <v>0</v>
      </c>
      <c r="L2759" s="8">
        <v>0</v>
      </c>
      <c r="M2759" s="8" t="s">
        <v>120</v>
      </c>
      <c r="N2759" s="8" t="s">
        <v>203</v>
      </c>
      <c r="O2759" s="8" t="s">
        <v>428</v>
      </c>
      <c r="P2759" s="8" t="s">
        <v>816</v>
      </c>
    </row>
    <row r="2760" spans="1:16" ht="25" customHeight="1">
      <c r="A2760" s="12">
        <v>37</v>
      </c>
      <c r="B2760" s="8">
        <v>0</v>
      </c>
      <c r="C2760" s="8">
        <v>10</v>
      </c>
      <c r="D2760" s="8" t="s">
        <v>115</v>
      </c>
      <c r="E2760" s="8">
        <v>11</v>
      </c>
      <c r="F2760" s="8" t="s">
        <v>1964</v>
      </c>
      <c r="G2760" s="8" t="s">
        <v>480</v>
      </c>
      <c r="H2760" s="8" t="s">
        <v>1455</v>
      </c>
      <c r="I2760" s="8" t="s">
        <v>1963</v>
      </c>
      <c r="J2760" s="8">
        <v>-5</v>
      </c>
      <c r="K2760" s="8">
        <v>0</v>
      </c>
      <c r="L2760" s="8">
        <v>0</v>
      </c>
      <c r="M2760" s="8" t="s">
        <v>120</v>
      </c>
      <c r="N2760" s="8" t="s">
        <v>203</v>
      </c>
      <c r="O2760" s="8" t="s">
        <v>480</v>
      </c>
      <c r="P2760" s="8" t="s">
        <v>1455</v>
      </c>
    </row>
    <row r="2761" spans="1:16" ht="25" customHeight="1">
      <c r="A2761" s="12">
        <v>38</v>
      </c>
      <c r="B2761" s="8">
        <v>0</v>
      </c>
      <c r="C2761" s="8">
        <v>10</v>
      </c>
      <c r="D2761" s="8" t="s">
        <v>115</v>
      </c>
      <c r="E2761" s="8">
        <v>11</v>
      </c>
      <c r="F2761" s="8" t="s">
        <v>1964</v>
      </c>
      <c r="G2761" s="8" t="s">
        <v>452</v>
      </c>
      <c r="H2761" s="8" t="s">
        <v>49</v>
      </c>
      <c r="I2761" s="8" t="s">
        <v>1963</v>
      </c>
      <c r="J2761" s="8">
        <v>16</v>
      </c>
      <c r="K2761" s="8">
        <v>1</v>
      </c>
      <c r="L2761" s="8">
        <v>1</v>
      </c>
      <c r="M2761" s="8" t="s">
        <v>120</v>
      </c>
      <c r="N2761" s="8" t="s">
        <v>203</v>
      </c>
      <c r="O2761" s="8" t="s">
        <v>452</v>
      </c>
      <c r="P2761" s="8" t="s">
        <v>49</v>
      </c>
    </row>
    <row r="2762" spans="1:16" ht="25" customHeight="1">
      <c r="A2762" s="12">
        <v>39</v>
      </c>
      <c r="B2762" s="8">
        <v>0</v>
      </c>
      <c r="C2762" s="8">
        <v>10</v>
      </c>
      <c r="D2762" s="8" t="s">
        <v>115</v>
      </c>
      <c r="E2762" s="8">
        <v>12</v>
      </c>
      <c r="F2762" s="8" t="s">
        <v>1967</v>
      </c>
      <c r="G2762" s="8" t="s">
        <v>428</v>
      </c>
      <c r="H2762" s="8" t="s">
        <v>823</v>
      </c>
      <c r="I2762" s="8" t="s">
        <v>1965</v>
      </c>
      <c r="J2762" s="8">
        <v>12</v>
      </c>
      <c r="K2762" s="8">
        <v>1</v>
      </c>
      <c r="L2762" s="8">
        <v>1</v>
      </c>
      <c r="M2762" s="8" t="s">
        <v>123</v>
      </c>
      <c r="N2762" s="8" t="s">
        <v>206</v>
      </c>
      <c r="O2762" s="8" t="s">
        <v>428</v>
      </c>
      <c r="P2762" s="8" t="s">
        <v>823</v>
      </c>
    </row>
    <row r="2763" spans="1:16" ht="25" customHeight="1">
      <c r="A2763" s="12">
        <v>40</v>
      </c>
      <c r="B2763" s="8">
        <v>0</v>
      </c>
      <c r="C2763" s="8">
        <v>10</v>
      </c>
      <c r="D2763" s="8" t="s">
        <v>115</v>
      </c>
      <c r="E2763" s="8">
        <v>12</v>
      </c>
      <c r="F2763" s="8" t="s">
        <v>1972</v>
      </c>
      <c r="J2763" s="8">
        <v>-2</v>
      </c>
      <c r="M2763" s="8" t="s">
        <v>123</v>
      </c>
      <c r="N2763" s="8" t="s">
        <v>1170</v>
      </c>
    </row>
    <row r="2764" spans="1:16" ht="25" customHeight="1">
      <c r="A2764" s="12">
        <v>41</v>
      </c>
      <c r="B2764" s="8">
        <v>1</v>
      </c>
      <c r="C2764" s="8">
        <v>5</v>
      </c>
      <c r="D2764" s="8" t="s">
        <v>711</v>
      </c>
      <c r="E2764" s="8">
        <v>11</v>
      </c>
      <c r="F2764" s="8" t="s">
        <v>1964</v>
      </c>
      <c r="G2764" s="8" t="s">
        <v>465</v>
      </c>
      <c r="H2764" s="8" t="s">
        <v>815</v>
      </c>
      <c r="I2764" s="8" t="s">
        <v>1965</v>
      </c>
      <c r="J2764" s="8">
        <v>-2</v>
      </c>
      <c r="K2764" s="8">
        <v>0</v>
      </c>
      <c r="L2764" s="8">
        <v>0</v>
      </c>
      <c r="M2764" s="8" t="s">
        <v>120</v>
      </c>
      <c r="N2764" s="8" t="s">
        <v>203</v>
      </c>
      <c r="O2764" s="8" t="s">
        <v>465</v>
      </c>
      <c r="P2764" s="8" t="s">
        <v>815</v>
      </c>
    </row>
    <row r="2765" spans="1:16" ht="25" customHeight="1">
      <c r="A2765" s="12">
        <v>42</v>
      </c>
      <c r="B2765" s="8">
        <v>1</v>
      </c>
      <c r="C2765" s="8">
        <v>10</v>
      </c>
      <c r="D2765" s="8" t="s">
        <v>716</v>
      </c>
      <c r="E2765" s="8">
        <v>11</v>
      </c>
      <c r="F2765" s="8" t="s">
        <v>1973</v>
      </c>
      <c r="G2765" s="8" t="s">
        <v>474</v>
      </c>
      <c r="H2765" s="8" t="s">
        <v>819</v>
      </c>
      <c r="I2765" s="8" t="s">
        <v>1966</v>
      </c>
      <c r="J2765" s="8">
        <v>0</v>
      </c>
      <c r="K2765" s="8">
        <v>0</v>
      </c>
      <c r="L2765" s="8">
        <v>0</v>
      </c>
      <c r="M2765" s="8" t="s">
        <v>120</v>
      </c>
      <c r="N2765" s="8" t="s">
        <v>222</v>
      </c>
      <c r="O2765" s="8" t="s">
        <v>474</v>
      </c>
      <c r="P2765" s="8" t="s">
        <v>819</v>
      </c>
    </row>
    <row r="2766" spans="1:16" ht="25" customHeight="1">
      <c r="A2766" s="12">
        <v>43</v>
      </c>
      <c r="B2766" s="8">
        <v>1</v>
      </c>
      <c r="C2766" s="8">
        <v>10</v>
      </c>
      <c r="D2766" s="8" t="s">
        <v>716</v>
      </c>
      <c r="E2766" s="8">
        <v>12</v>
      </c>
      <c r="F2766" s="8" t="s">
        <v>1964</v>
      </c>
      <c r="G2766" s="8" t="s">
        <v>428</v>
      </c>
      <c r="H2766" s="8" t="s">
        <v>816</v>
      </c>
      <c r="I2766" s="8" t="s">
        <v>1965</v>
      </c>
      <c r="J2766" s="8">
        <v>0</v>
      </c>
      <c r="K2766" s="8">
        <v>0</v>
      </c>
      <c r="L2766" s="8">
        <v>0</v>
      </c>
      <c r="M2766" s="8" t="s">
        <v>123</v>
      </c>
      <c r="N2766" s="8" t="s">
        <v>203</v>
      </c>
      <c r="O2766" s="8" t="s">
        <v>428</v>
      </c>
      <c r="P2766" s="8" t="s">
        <v>816</v>
      </c>
    </row>
    <row r="2767" spans="1:16" ht="25" customHeight="1">
      <c r="A2767" s="12">
        <v>44</v>
      </c>
      <c r="B2767" s="8">
        <v>1</v>
      </c>
      <c r="C2767" s="8">
        <v>10</v>
      </c>
      <c r="D2767" s="8" t="s">
        <v>716</v>
      </c>
      <c r="E2767" s="8">
        <v>11</v>
      </c>
      <c r="F2767" s="8" t="s">
        <v>1961</v>
      </c>
      <c r="G2767" s="8" t="s">
        <v>465</v>
      </c>
      <c r="H2767" s="8" t="s">
        <v>815</v>
      </c>
      <c r="I2767" s="8" t="s">
        <v>1965</v>
      </c>
      <c r="J2767" s="8">
        <v>8</v>
      </c>
      <c r="K2767" s="8">
        <v>1</v>
      </c>
      <c r="L2767" s="8">
        <v>0</v>
      </c>
      <c r="M2767" s="8" t="s">
        <v>120</v>
      </c>
      <c r="N2767" s="8" t="s">
        <v>206</v>
      </c>
      <c r="O2767" s="8" t="s">
        <v>465</v>
      </c>
      <c r="P2767" s="8" t="s">
        <v>815</v>
      </c>
    </row>
    <row r="2768" spans="1:16" ht="25" customHeight="1">
      <c r="A2768" s="12">
        <v>45</v>
      </c>
      <c r="B2768" s="8">
        <v>1</v>
      </c>
      <c r="C2768" s="8">
        <v>10</v>
      </c>
      <c r="D2768" s="8" t="s">
        <v>716</v>
      </c>
      <c r="E2768" s="8">
        <v>11</v>
      </c>
      <c r="F2768" s="8" t="s">
        <v>1964</v>
      </c>
      <c r="G2768" s="8" t="s">
        <v>611</v>
      </c>
      <c r="H2768" s="8" t="s">
        <v>1410</v>
      </c>
      <c r="I2768" s="8" t="s">
        <v>1965</v>
      </c>
      <c r="J2768" s="8">
        <v>9</v>
      </c>
      <c r="K2768" s="8">
        <v>1</v>
      </c>
      <c r="L2768" s="8">
        <v>0</v>
      </c>
      <c r="M2768" s="8" t="s">
        <v>120</v>
      </c>
      <c r="N2768" s="8" t="s">
        <v>203</v>
      </c>
      <c r="O2768" s="8" t="s">
        <v>611</v>
      </c>
      <c r="P2768" s="8" t="s">
        <v>1410</v>
      </c>
    </row>
    <row r="2769" spans="1:16" ht="25" customHeight="1">
      <c r="A2769" s="12">
        <v>46</v>
      </c>
      <c r="B2769" s="8">
        <v>1</v>
      </c>
      <c r="C2769" s="8">
        <v>7</v>
      </c>
      <c r="D2769" s="8" t="s">
        <v>716</v>
      </c>
      <c r="E2769" s="8">
        <v>11</v>
      </c>
      <c r="F2769" s="8" t="s">
        <v>1961</v>
      </c>
      <c r="G2769" s="8" t="s">
        <v>443</v>
      </c>
      <c r="H2769" s="8" t="s">
        <v>1469</v>
      </c>
      <c r="I2769" s="8" t="s">
        <v>1963</v>
      </c>
      <c r="J2769" s="8">
        <v>1</v>
      </c>
      <c r="K2769" s="8">
        <v>0</v>
      </c>
      <c r="L2769" s="8">
        <v>0</v>
      </c>
      <c r="M2769" s="8" t="s">
        <v>120</v>
      </c>
      <c r="N2769" s="8" t="s">
        <v>206</v>
      </c>
      <c r="O2769" s="8" t="s">
        <v>443</v>
      </c>
      <c r="P2769" s="8" t="s">
        <v>1469</v>
      </c>
    </row>
    <row r="2770" spans="1:16" ht="25" customHeight="1">
      <c r="A2770" s="12">
        <v>47</v>
      </c>
      <c r="B2770" s="8">
        <v>1</v>
      </c>
      <c r="C2770" s="8">
        <v>10</v>
      </c>
      <c r="D2770" s="8" t="s">
        <v>716</v>
      </c>
      <c r="E2770" s="8">
        <v>11</v>
      </c>
      <c r="F2770" s="8" t="s">
        <v>1964</v>
      </c>
      <c r="G2770" s="8" t="s">
        <v>428</v>
      </c>
      <c r="H2770" s="8" t="s">
        <v>816</v>
      </c>
      <c r="I2770" s="8" t="s">
        <v>1965</v>
      </c>
      <c r="J2770" s="8">
        <v>0</v>
      </c>
      <c r="K2770" s="8">
        <v>0</v>
      </c>
      <c r="L2770" s="8">
        <v>0</v>
      </c>
      <c r="M2770" s="8" t="s">
        <v>120</v>
      </c>
      <c r="N2770" s="8" t="s">
        <v>203</v>
      </c>
      <c r="O2770" s="8" t="s">
        <v>428</v>
      </c>
      <c r="P2770" s="8" t="s">
        <v>816</v>
      </c>
    </row>
    <row r="2771" spans="1:16" ht="25" customHeight="1">
      <c r="A2771" s="12">
        <v>48</v>
      </c>
      <c r="B2771" s="8">
        <v>1</v>
      </c>
      <c r="C2771" s="8">
        <v>10</v>
      </c>
      <c r="D2771" s="8" t="s">
        <v>716</v>
      </c>
      <c r="E2771" s="8">
        <v>11</v>
      </c>
      <c r="F2771" s="8" t="s">
        <v>1967</v>
      </c>
      <c r="G2771" s="8" t="s">
        <v>428</v>
      </c>
      <c r="H2771" s="8" t="s">
        <v>1474</v>
      </c>
      <c r="I2771" s="8" t="s">
        <v>1965</v>
      </c>
      <c r="J2771" s="8">
        <v>1</v>
      </c>
      <c r="K2771" s="8">
        <v>0</v>
      </c>
      <c r="L2771" s="8">
        <v>0</v>
      </c>
      <c r="M2771" s="8" t="s">
        <v>120</v>
      </c>
      <c r="N2771" s="8" t="s">
        <v>206</v>
      </c>
      <c r="O2771" s="8" t="s">
        <v>428</v>
      </c>
      <c r="P2771" s="8" t="s">
        <v>1474</v>
      </c>
    </row>
    <row r="2772" spans="1:16" ht="25" customHeight="1">
      <c r="A2772" s="12">
        <v>49</v>
      </c>
      <c r="B2772" s="8">
        <v>1</v>
      </c>
      <c r="C2772" s="8">
        <v>10</v>
      </c>
      <c r="D2772" s="8" t="s">
        <v>716</v>
      </c>
      <c r="E2772" s="8">
        <v>11</v>
      </c>
      <c r="F2772" s="8" t="s">
        <v>1964</v>
      </c>
      <c r="G2772" s="8" t="s">
        <v>561</v>
      </c>
      <c r="H2772" s="8" t="s">
        <v>1476</v>
      </c>
      <c r="I2772" s="8" t="s">
        <v>1974</v>
      </c>
      <c r="J2772" s="8">
        <v>0</v>
      </c>
      <c r="K2772" s="8">
        <v>0</v>
      </c>
      <c r="L2772" s="8">
        <v>0</v>
      </c>
      <c r="M2772" s="8" t="s">
        <v>120</v>
      </c>
      <c r="N2772" s="8" t="s">
        <v>203</v>
      </c>
      <c r="O2772" s="8" t="s">
        <v>561</v>
      </c>
      <c r="P2772" s="8" t="s">
        <v>1476</v>
      </c>
    </row>
    <row r="2773" spans="1:16" ht="25" customHeight="1">
      <c r="A2773" s="12">
        <v>50</v>
      </c>
      <c r="B2773" s="8">
        <v>1</v>
      </c>
      <c r="C2773" s="8">
        <v>10</v>
      </c>
      <c r="D2773" s="8" t="s">
        <v>716</v>
      </c>
      <c r="E2773" s="8">
        <v>11</v>
      </c>
      <c r="F2773" s="8" t="s">
        <v>1964</v>
      </c>
      <c r="G2773" s="8" t="s">
        <v>468</v>
      </c>
      <c r="H2773" s="8" t="s">
        <v>1478</v>
      </c>
      <c r="I2773" s="8" t="s">
        <v>1966</v>
      </c>
      <c r="J2773" s="8">
        <v>4</v>
      </c>
      <c r="K2773" s="8">
        <v>1</v>
      </c>
      <c r="L2773" s="8">
        <v>0</v>
      </c>
      <c r="M2773" s="8" t="s">
        <v>120</v>
      </c>
      <c r="N2773" s="8" t="s">
        <v>203</v>
      </c>
      <c r="O2773" s="8" t="s">
        <v>468</v>
      </c>
      <c r="P2773" s="8" t="s">
        <v>1478</v>
      </c>
    </row>
    <row r="2774" spans="1:16" ht="25" customHeight="1">
      <c r="A2774" s="12">
        <v>51</v>
      </c>
      <c r="B2774" s="8">
        <v>1</v>
      </c>
      <c r="C2774" s="8">
        <v>10</v>
      </c>
      <c r="D2774" s="8" t="s">
        <v>716</v>
      </c>
      <c r="E2774" s="8">
        <v>11</v>
      </c>
      <c r="F2774" s="8" t="s">
        <v>1967</v>
      </c>
      <c r="G2774" s="8" t="s">
        <v>468</v>
      </c>
      <c r="H2774" s="8" t="s">
        <v>49</v>
      </c>
      <c r="I2774" s="8" t="s">
        <v>1963</v>
      </c>
      <c r="J2774" s="8">
        <v>31</v>
      </c>
      <c r="K2774" s="8">
        <v>1</v>
      </c>
      <c r="L2774" s="8">
        <v>1</v>
      </c>
      <c r="M2774" s="8" t="s">
        <v>120</v>
      </c>
      <c r="N2774" s="8" t="s">
        <v>206</v>
      </c>
      <c r="O2774" s="8" t="s">
        <v>468</v>
      </c>
      <c r="P2774" s="8" t="s">
        <v>49</v>
      </c>
    </row>
    <row r="2775" spans="1:16" ht="25" customHeight="1">
      <c r="A2775" s="12">
        <v>52</v>
      </c>
      <c r="B2775" s="8">
        <v>1</v>
      </c>
      <c r="C2775" s="8">
        <v>10</v>
      </c>
      <c r="D2775" s="8" t="s">
        <v>716</v>
      </c>
      <c r="E2775" s="8">
        <v>11</v>
      </c>
      <c r="F2775" s="8" t="s">
        <v>1964</v>
      </c>
      <c r="G2775" s="8" t="s">
        <v>449</v>
      </c>
      <c r="H2775" s="8" t="s">
        <v>1481</v>
      </c>
      <c r="I2775" s="8" t="s">
        <v>1975</v>
      </c>
      <c r="J2775" s="8">
        <v>0</v>
      </c>
      <c r="K2775" s="8">
        <v>0</v>
      </c>
      <c r="L2775" s="8">
        <v>0</v>
      </c>
      <c r="M2775" s="8" t="s">
        <v>120</v>
      </c>
      <c r="N2775" s="8" t="s">
        <v>203</v>
      </c>
      <c r="O2775" s="8" t="s">
        <v>449</v>
      </c>
      <c r="P2775" s="8" t="s">
        <v>1481</v>
      </c>
    </row>
    <row r="2776" spans="1:16" ht="25" customHeight="1">
      <c r="A2776" s="12">
        <v>53</v>
      </c>
      <c r="B2776" s="8">
        <v>1</v>
      </c>
      <c r="C2776" s="8">
        <v>4</v>
      </c>
      <c r="D2776" s="8" t="s">
        <v>711</v>
      </c>
      <c r="E2776" s="8">
        <v>11</v>
      </c>
      <c r="F2776" s="8" t="s">
        <v>1976</v>
      </c>
      <c r="G2776" s="8" t="s">
        <v>878</v>
      </c>
      <c r="H2776" s="8" t="s">
        <v>1483</v>
      </c>
      <c r="I2776" s="8" t="s">
        <v>1965</v>
      </c>
      <c r="J2776" s="8">
        <v>1</v>
      </c>
      <c r="K2776" s="8">
        <v>0</v>
      </c>
      <c r="L2776" s="8">
        <v>0</v>
      </c>
      <c r="M2776" s="8" t="s">
        <v>120</v>
      </c>
      <c r="N2776" s="8" t="s">
        <v>235</v>
      </c>
      <c r="O2776" s="8" t="s">
        <v>878</v>
      </c>
      <c r="P2776" s="8" t="s">
        <v>1483</v>
      </c>
    </row>
    <row r="2777" spans="1:16" ht="25" customHeight="1">
      <c r="A2777" s="12">
        <v>54</v>
      </c>
      <c r="B2777" s="8">
        <v>1</v>
      </c>
      <c r="C2777" s="8">
        <v>1</v>
      </c>
      <c r="D2777" s="8" t="s">
        <v>706</v>
      </c>
      <c r="E2777" s="8" t="s">
        <v>877</v>
      </c>
      <c r="F2777" s="8" t="s">
        <v>1970</v>
      </c>
      <c r="G2777" s="8" t="s">
        <v>465</v>
      </c>
      <c r="H2777" s="8" t="s">
        <v>1447</v>
      </c>
      <c r="I2777" s="8" t="s">
        <v>1965</v>
      </c>
      <c r="J2777" s="8">
        <v>0</v>
      </c>
      <c r="K2777" s="8">
        <v>0</v>
      </c>
      <c r="L2777" s="8">
        <v>0</v>
      </c>
      <c r="M2777" s="8" t="s">
        <v>877</v>
      </c>
      <c r="N2777" s="8" t="s">
        <v>811</v>
      </c>
      <c r="O2777" s="8" t="s">
        <v>465</v>
      </c>
      <c r="P2777" s="8" t="s">
        <v>1447</v>
      </c>
    </row>
    <row r="2778" spans="1:16" ht="25" customHeight="1">
      <c r="A2778" s="12">
        <v>55</v>
      </c>
      <c r="B2778" s="8">
        <v>1</v>
      </c>
      <c r="C2778" s="8">
        <v>10</v>
      </c>
      <c r="D2778" s="8" t="s">
        <v>716</v>
      </c>
      <c r="E2778" s="8">
        <v>11</v>
      </c>
      <c r="F2778" s="8" t="s">
        <v>1964</v>
      </c>
      <c r="G2778" s="8" t="s">
        <v>428</v>
      </c>
      <c r="H2778" s="8" t="s">
        <v>816</v>
      </c>
      <c r="I2778" s="8" t="s">
        <v>1965</v>
      </c>
      <c r="J2778" s="8">
        <v>2</v>
      </c>
      <c r="K2778" s="8">
        <v>0</v>
      </c>
      <c r="L2778" s="8">
        <v>0</v>
      </c>
      <c r="M2778" s="8" t="s">
        <v>120</v>
      </c>
      <c r="N2778" s="8" t="s">
        <v>203</v>
      </c>
      <c r="O2778" s="8" t="s">
        <v>428</v>
      </c>
      <c r="P2778" s="8" t="s">
        <v>816</v>
      </c>
    </row>
    <row r="2779" spans="1:16" ht="25" customHeight="1">
      <c r="A2779" s="12">
        <v>56</v>
      </c>
      <c r="B2779" s="8">
        <v>1</v>
      </c>
      <c r="C2779" s="8">
        <v>10</v>
      </c>
      <c r="D2779" s="8" t="s">
        <v>716</v>
      </c>
      <c r="E2779" s="8">
        <v>11</v>
      </c>
      <c r="F2779" s="8" t="s">
        <v>1964</v>
      </c>
      <c r="G2779" s="8" t="s">
        <v>800</v>
      </c>
      <c r="H2779" s="8" t="s">
        <v>1488</v>
      </c>
      <c r="I2779" s="8" t="s">
        <v>1965</v>
      </c>
      <c r="J2779" s="8">
        <v>6</v>
      </c>
      <c r="K2779" s="8">
        <v>1</v>
      </c>
      <c r="L2779" s="8">
        <v>0</v>
      </c>
      <c r="M2779" s="8" t="s">
        <v>120</v>
      </c>
      <c r="N2779" s="8" t="s">
        <v>203</v>
      </c>
      <c r="O2779" s="8" t="s">
        <v>800</v>
      </c>
      <c r="P2779" s="8" t="s">
        <v>1488</v>
      </c>
    </row>
    <row r="2780" spans="1:16" ht="25" customHeight="1">
      <c r="A2780" s="12">
        <v>57</v>
      </c>
      <c r="B2780" s="8">
        <v>1</v>
      </c>
      <c r="C2780" s="8">
        <v>10</v>
      </c>
      <c r="D2780" s="8" t="s">
        <v>716</v>
      </c>
      <c r="E2780" s="8">
        <v>11</v>
      </c>
      <c r="F2780" s="8" t="s">
        <v>1967</v>
      </c>
      <c r="G2780" s="8" t="s">
        <v>428</v>
      </c>
      <c r="H2780" s="8" t="s">
        <v>816</v>
      </c>
      <c r="I2780" s="8" t="s">
        <v>1965</v>
      </c>
      <c r="J2780" s="8">
        <v>0</v>
      </c>
      <c r="K2780" s="8">
        <v>0</v>
      </c>
      <c r="L2780" s="8">
        <v>0</v>
      </c>
      <c r="M2780" s="8" t="s">
        <v>120</v>
      </c>
      <c r="N2780" s="8" t="s">
        <v>206</v>
      </c>
      <c r="O2780" s="8" t="s">
        <v>428</v>
      </c>
      <c r="P2780" s="8" t="s">
        <v>816</v>
      </c>
    </row>
    <row r="2781" spans="1:16" ht="25" customHeight="1">
      <c r="A2781" s="12">
        <v>58</v>
      </c>
      <c r="B2781" s="8">
        <v>1</v>
      </c>
      <c r="C2781" s="8">
        <v>10</v>
      </c>
      <c r="D2781" s="8" t="s">
        <v>716</v>
      </c>
      <c r="E2781" s="8">
        <v>11</v>
      </c>
      <c r="F2781" s="8" t="s">
        <v>1964</v>
      </c>
      <c r="G2781" s="8" t="s">
        <v>465</v>
      </c>
      <c r="H2781" s="8" t="s">
        <v>1491</v>
      </c>
      <c r="I2781" s="8" t="s">
        <v>1965</v>
      </c>
      <c r="J2781" s="8">
        <v>4</v>
      </c>
      <c r="K2781" s="8">
        <v>1</v>
      </c>
      <c r="L2781" s="8">
        <v>0</v>
      </c>
      <c r="M2781" s="8" t="s">
        <v>120</v>
      </c>
      <c r="N2781" s="8" t="s">
        <v>203</v>
      </c>
      <c r="O2781" s="8" t="s">
        <v>465</v>
      </c>
      <c r="P2781" s="8" t="s">
        <v>1491</v>
      </c>
    </row>
    <row r="2782" spans="1:16" ht="25" customHeight="1">
      <c r="A2782" s="12">
        <v>59</v>
      </c>
      <c r="B2782" s="8">
        <v>1</v>
      </c>
      <c r="C2782" s="8">
        <v>10</v>
      </c>
      <c r="D2782" s="8" t="s">
        <v>716</v>
      </c>
      <c r="E2782" s="8">
        <v>11</v>
      </c>
      <c r="F2782" s="8" t="s">
        <v>1976</v>
      </c>
      <c r="G2782" s="8" t="s">
        <v>574</v>
      </c>
      <c r="H2782" s="8" t="s">
        <v>1422</v>
      </c>
      <c r="I2782" s="8" t="s">
        <v>1965</v>
      </c>
      <c r="J2782" s="8">
        <v>4</v>
      </c>
      <c r="K2782" s="8">
        <v>1</v>
      </c>
      <c r="L2782" s="8">
        <v>0</v>
      </c>
      <c r="M2782" s="8" t="s">
        <v>120</v>
      </c>
      <c r="N2782" s="8" t="s">
        <v>235</v>
      </c>
      <c r="O2782" s="8" t="s">
        <v>574</v>
      </c>
      <c r="P2782" s="8" t="s">
        <v>1422</v>
      </c>
    </row>
    <row r="2783" spans="1:16" ht="25" customHeight="1">
      <c r="A2783" s="12">
        <v>60</v>
      </c>
      <c r="B2783" s="8">
        <v>1</v>
      </c>
      <c r="C2783" s="8">
        <v>10</v>
      </c>
      <c r="D2783" s="8" t="s">
        <v>716</v>
      </c>
      <c r="E2783" s="8">
        <v>11</v>
      </c>
      <c r="F2783" s="8" t="s">
        <v>1964</v>
      </c>
      <c r="G2783" s="8" t="s">
        <v>468</v>
      </c>
      <c r="H2783" s="8" t="s">
        <v>1494</v>
      </c>
      <c r="I2783" s="8" t="s">
        <v>1974</v>
      </c>
      <c r="J2783" s="8">
        <v>0</v>
      </c>
      <c r="K2783" s="8">
        <v>0</v>
      </c>
      <c r="L2783" s="8">
        <v>0</v>
      </c>
      <c r="M2783" s="8" t="s">
        <v>120</v>
      </c>
      <c r="N2783" s="8" t="s">
        <v>203</v>
      </c>
      <c r="O2783" s="8" t="s">
        <v>468</v>
      </c>
      <c r="P2783" s="8" t="s">
        <v>1494</v>
      </c>
    </row>
    <row r="2784" spans="1:16" ht="25" customHeight="1">
      <c r="A2784" s="12">
        <v>61</v>
      </c>
      <c r="B2784" s="8">
        <v>1</v>
      </c>
      <c r="C2784" s="8">
        <v>10</v>
      </c>
      <c r="D2784" s="8" t="s">
        <v>716</v>
      </c>
      <c r="E2784" s="8">
        <v>11</v>
      </c>
      <c r="F2784" s="8" t="s">
        <v>1964</v>
      </c>
      <c r="G2784" s="8" t="s">
        <v>452</v>
      </c>
      <c r="H2784" s="8" t="s">
        <v>1496</v>
      </c>
      <c r="I2784" s="8" t="s">
        <v>1977</v>
      </c>
      <c r="J2784" s="8">
        <v>-15</v>
      </c>
      <c r="K2784" s="8">
        <v>0</v>
      </c>
      <c r="L2784" s="8">
        <v>0</v>
      </c>
      <c r="M2784" s="8" t="s">
        <v>120</v>
      </c>
      <c r="N2784" s="8" t="s">
        <v>203</v>
      </c>
      <c r="O2784" s="8" t="s">
        <v>452</v>
      </c>
      <c r="P2784" s="8" t="s">
        <v>1496</v>
      </c>
    </row>
    <row r="2785" spans="1:16" ht="25" customHeight="1">
      <c r="A2785" s="12">
        <v>62</v>
      </c>
      <c r="B2785" s="8">
        <v>1</v>
      </c>
      <c r="C2785" s="8">
        <v>10</v>
      </c>
      <c r="D2785" s="8" t="s">
        <v>716</v>
      </c>
      <c r="E2785" s="8">
        <v>11</v>
      </c>
      <c r="F2785" s="8" t="s">
        <v>1964</v>
      </c>
      <c r="G2785" s="8" t="s">
        <v>474</v>
      </c>
      <c r="H2785" s="8" t="s">
        <v>819</v>
      </c>
      <c r="I2785" s="8" t="s">
        <v>1963</v>
      </c>
      <c r="J2785" s="8">
        <v>8</v>
      </c>
      <c r="K2785" s="8">
        <v>1</v>
      </c>
      <c r="L2785" s="8">
        <v>0</v>
      </c>
      <c r="M2785" s="8" t="s">
        <v>120</v>
      </c>
      <c r="N2785" s="8" t="s">
        <v>203</v>
      </c>
      <c r="O2785" s="8" t="s">
        <v>474</v>
      </c>
      <c r="P2785" s="8" t="s">
        <v>819</v>
      </c>
    </row>
    <row r="2786" spans="1:16" ht="25" customHeight="1">
      <c r="A2786" s="12">
        <v>63</v>
      </c>
      <c r="B2786" s="8">
        <v>1</v>
      </c>
      <c r="C2786" s="8">
        <v>10</v>
      </c>
      <c r="D2786" s="8" t="s">
        <v>716</v>
      </c>
      <c r="E2786" s="8">
        <v>11</v>
      </c>
      <c r="G2786" s="8" t="s">
        <v>428</v>
      </c>
      <c r="H2786" s="8" t="s">
        <v>1420</v>
      </c>
      <c r="I2786" s="8" t="s">
        <v>1965</v>
      </c>
      <c r="J2786" s="8">
        <v>-1</v>
      </c>
      <c r="K2786" s="8">
        <v>0</v>
      </c>
      <c r="L2786" s="8">
        <v>0</v>
      </c>
      <c r="M2786" s="8" t="s">
        <v>120</v>
      </c>
      <c r="O2786" s="8" t="s">
        <v>428</v>
      </c>
      <c r="P2786" s="8" t="s">
        <v>1420</v>
      </c>
    </row>
    <row r="2787" spans="1:16" ht="25" customHeight="1">
      <c r="A2787" s="12">
        <v>64</v>
      </c>
      <c r="B2787" s="8">
        <v>1</v>
      </c>
      <c r="C2787" s="8">
        <v>10</v>
      </c>
      <c r="D2787" s="8" t="s">
        <v>716</v>
      </c>
      <c r="E2787" s="8">
        <v>11</v>
      </c>
      <c r="F2787" s="8" t="s">
        <v>1964</v>
      </c>
      <c r="G2787" s="8" t="s">
        <v>449</v>
      </c>
      <c r="H2787" s="8" t="s">
        <v>1499</v>
      </c>
      <c r="I2787" s="8" t="s">
        <v>1963</v>
      </c>
      <c r="J2787" s="8">
        <v>13</v>
      </c>
      <c r="K2787" s="8">
        <v>1</v>
      </c>
      <c r="L2787" s="8">
        <v>0</v>
      </c>
      <c r="M2787" s="8" t="s">
        <v>120</v>
      </c>
      <c r="N2787" s="8" t="s">
        <v>203</v>
      </c>
      <c r="O2787" s="8" t="s">
        <v>449</v>
      </c>
      <c r="P2787" s="8" t="s">
        <v>1499</v>
      </c>
    </row>
    <row r="2788" spans="1:16" ht="25" customHeight="1">
      <c r="A2788" s="12">
        <v>65</v>
      </c>
      <c r="B2788" s="8">
        <v>1</v>
      </c>
      <c r="C2788" s="8">
        <v>10</v>
      </c>
      <c r="D2788" s="8" t="s">
        <v>716</v>
      </c>
      <c r="E2788" s="8">
        <v>11</v>
      </c>
      <c r="F2788" s="8" t="s">
        <v>1964</v>
      </c>
      <c r="G2788" s="8" t="s">
        <v>428</v>
      </c>
      <c r="H2788" s="8" t="s">
        <v>816</v>
      </c>
      <c r="I2788" s="8" t="s">
        <v>1978</v>
      </c>
      <c r="J2788" s="8">
        <v>-2</v>
      </c>
      <c r="K2788" s="8">
        <v>0</v>
      </c>
      <c r="L2788" s="8">
        <v>0</v>
      </c>
      <c r="M2788" s="8" t="s">
        <v>120</v>
      </c>
      <c r="N2788" s="8" t="s">
        <v>203</v>
      </c>
      <c r="O2788" s="8" t="s">
        <v>428</v>
      </c>
      <c r="P2788" s="8" t="s">
        <v>816</v>
      </c>
    </row>
    <row r="2789" spans="1:16" ht="25" customHeight="1">
      <c r="A2789" s="12">
        <v>66</v>
      </c>
      <c r="B2789" s="8">
        <v>1</v>
      </c>
      <c r="C2789" s="8">
        <v>20</v>
      </c>
      <c r="D2789" s="8" t="s">
        <v>720</v>
      </c>
      <c r="E2789" s="8" t="s">
        <v>803</v>
      </c>
      <c r="F2789" s="8" t="s">
        <v>1964</v>
      </c>
      <c r="G2789" s="8" t="s">
        <v>428</v>
      </c>
      <c r="H2789" s="8" t="s">
        <v>816</v>
      </c>
      <c r="I2789" s="8" t="s">
        <v>1965</v>
      </c>
      <c r="J2789" s="8">
        <v>3</v>
      </c>
      <c r="K2789" s="8">
        <v>1</v>
      </c>
      <c r="L2789" s="8">
        <v>0</v>
      </c>
      <c r="M2789" s="8" t="s">
        <v>803</v>
      </c>
      <c r="N2789" s="8" t="s">
        <v>203</v>
      </c>
      <c r="O2789" s="8" t="s">
        <v>428</v>
      </c>
      <c r="P2789" s="8" t="s">
        <v>816</v>
      </c>
    </row>
    <row r="2790" spans="1:16" ht="25" customHeight="1">
      <c r="A2790" s="12">
        <v>67</v>
      </c>
      <c r="B2790" s="8">
        <v>1</v>
      </c>
      <c r="C2790" s="8">
        <v>10</v>
      </c>
      <c r="D2790" s="8" t="s">
        <v>716</v>
      </c>
      <c r="E2790" s="8" t="s">
        <v>803</v>
      </c>
      <c r="F2790" s="8" t="s">
        <v>1964</v>
      </c>
      <c r="G2790" s="8" t="s">
        <v>878</v>
      </c>
      <c r="H2790" s="8" t="s">
        <v>1503</v>
      </c>
      <c r="I2790" s="8" t="s">
        <v>1965</v>
      </c>
      <c r="J2790" s="8">
        <v>6</v>
      </c>
      <c r="K2790" s="8">
        <v>1</v>
      </c>
      <c r="L2790" s="8">
        <v>0</v>
      </c>
      <c r="M2790" s="8" t="s">
        <v>803</v>
      </c>
      <c r="N2790" s="8" t="s">
        <v>203</v>
      </c>
      <c r="O2790" s="8" t="s">
        <v>878</v>
      </c>
      <c r="P2790" s="8" t="s">
        <v>1503</v>
      </c>
    </row>
    <row r="2791" spans="1:16" ht="25" customHeight="1">
      <c r="A2791" s="12">
        <v>68</v>
      </c>
      <c r="B2791" s="8">
        <v>1</v>
      </c>
      <c r="C2791" s="8">
        <v>10</v>
      </c>
      <c r="D2791" s="8" t="s">
        <v>716</v>
      </c>
      <c r="E2791" s="8" t="s">
        <v>802</v>
      </c>
      <c r="F2791" s="8" t="s">
        <v>1970</v>
      </c>
      <c r="G2791" s="8" t="s">
        <v>465</v>
      </c>
      <c r="H2791" s="8" t="s">
        <v>1506</v>
      </c>
      <c r="I2791" s="8" t="s">
        <v>1965</v>
      </c>
      <c r="J2791" s="8">
        <v>2</v>
      </c>
      <c r="K2791" s="8">
        <v>0</v>
      </c>
      <c r="L2791" s="8">
        <v>0</v>
      </c>
      <c r="M2791" s="8" t="s">
        <v>802</v>
      </c>
      <c r="N2791" s="8" t="s">
        <v>811</v>
      </c>
      <c r="O2791" s="8" t="s">
        <v>465</v>
      </c>
      <c r="P2791" s="8" t="s">
        <v>1506</v>
      </c>
    </row>
    <row r="2792" spans="1:16" ht="25" customHeight="1">
      <c r="A2792" s="12">
        <v>69</v>
      </c>
      <c r="B2792" s="8">
        <v>1</v>
      </c>
      <c r="C2792" s="8">
        <v>4</v>
      </c>
      <c r="D2792" s="8" t="s">
        <v>711</v>
      </c>
      <c r="E2792" s="8" t="s">
        <v>802</v>
      </c>
      <c r="F2792" s="8" t="s">
        <v>1970</v>
      </c>
      <c r="G2792" s="8" t="s">
        <v>541</v>
      </c>
      <c r="H2792" s="8" t="s">
        <v>1509</v>
      </c>
      <c r="I2792" s="8" t="s">
        <v>1971</v>
      </c>
      <c r="J2792" s="8">
        <v>4</v>
      </c>
      <c r="K2792" s="8">
        <v>1</v>
      </c>
      <c r="L2792" s="8">
        <v>0</v>
      </c>
      <c r="M2792" s="8" t="s">
        <v>802</v>
      </c>
      <c r="N2792" s="8" t="s">
        <v>811</v>
      </c>
      <c r="O2792" s="8" t="s">
        <v>541</v>
      </c>
      <c r="P2792" s="8" t="s">
        <v>1509</v>
      </c>
    </row>
    <row r="2793" spans="1:16" ht="25" customHeight="1">
      <c r="A2793" s="12">
        <v>70</v>
      </c>
      <c r="B2793" s="8">
        <v>1</v>
      </c>
      <c r="C2793" s="8">
        <v>10</v>
      </c>
      <c r="D2793" s="8" t="s">
        <v>716</v>
      </c>
      <c r="E2793" s="8" t="s">
        <v>802</v>
      </c>
      <c r="F2793" s="8" t="s">
        <v>1970</v>
      </c>
      <c r="G2793" s="8" t="s">
        <v>428</v>
      </c>
      <c r="H2793" s="8" t="s">
        <v>816</v>
      </c>
      <c r="I2793" s="8" t="s">
        <v>1965</v>
      </c>
      <c r="J2793" s="8">
        <v>11</v>
      </c>
      <c r="K2793" s="8">
        <v>1</v>
      </c>
      <c r="L2793" s="8">
        <v>0</v>
      </c>
      <c r="M2793" s="8" t="s">
        <v>802</v>
      </c>
      <c r="N2793" s="8" t="s">
        <v>811</v>
      </c>
      <c r="O2793" s="8" t="s">
        <v>428</v>
      </c>
      <c r="P2793" s="8" t="s">
        <v>816</v>
      </c>
    </row>
    <row r="2794" spans="1:16" ht="25" customHeight="1">
      <c r="A2794" s="12">
        <v>71</v>
      </c>
      <c r="B2794" s="8">
        <v>1</v>
      </c>
      <c r="C2794" s="8">
        <v>9</v>
      </c>
      <c r="D2794" s="8" t="s">
        <v>716</v>
      </c>
      <c r="E2794" s="8" t="s">
        <v>802</v>
      </c>
      <c r="F2794" s="8" t="s">
        <v>1967</v>
      </c>
      <c r="G2794" s="8" t="s">
        <v>428</v>
      </c>
      <c r="H2794" s="8" t="s">
        <v>823</v>
      </c>
      <c r="I2794" s="8" t="s">
        <v>1965</v>
      </c>
      <c r="J2794" s="8">
        <v>5</v>
      </c>
      <c r="K2794" s="8">
        <v>1</v>
      </c>
      <c r="L2794" s="8">
        <v>0</v>
      </c>
      <c r="M2794" s="8" t="s">
        <v>802</v>
      </c>
      <c r="N2794" s="8" t="s">
        <v>206</v>
      </c>
      <c r="O2794" s="8" t="s">
        <v>428</v>
      </c>
      <c r="P2794" s="8" t="s">
        <v>823</v>
      </c>
    </row>
    <row r="2795" spans="1:16" ht="25" customHeight="1">
      <c r="A2795" s="12">
        <v>72</v>
      </c>
      <c r="B2795" s="8">
        <v>2</v>
      </c>
      <c r="C2795" s="8">
        <v>7</v>
      </c>
      <c r="D2795" s="8" t="s">
        <v>716</v>
      </c>
      <c r="E2795" s="8">
        <v>11</v>
      </c>
      <c r="F2795" s="8" t="s">
        <v>1973</v>
      </c>
      <c r="G2795" s="8" t="s">
        <v>446</v>
      </c>
      <c r="H2795" s="8" t="s">
        <v>1516</v>
      </c>
      <c r="I2795" s="8" t="s">
        <v>1974</v>
      </c>
      <c r="J2795" s="8">
        <v>0</v>
      </c>
      <c r="K2795" s="8">
        <v>0</v>
      </c>
      <c r="L2795" s="8">
        <v>0</v>
      </c>
      <c r="M2795" s="8" t="s">
        <v>120</v>
      </c>
      <c r="N2795" s="8" t="s">
        <v>222</v>
      </c>
      <c r="O2795" s="8" t="s">
        <v>446</v>
      </c>
      <c r="P2795" s="8" t="s">
        <v>1516</v>
      </c>
    </row>
    <row r="2796" spans="1:16" ht="25" customHeight="1">
      <c r="A2796" s="12">
        <v>73</v>
      </c>
      <c r="B2796" s="8">
        <v>2</v>
      </c>
      <c r="C2796" s="8">
        <v>5</v>
      </c>
      <c r="D2796" s="8" t="s">
        <v>711</v>
      </c>
      <c r="E2796" s="8">
        <v>11</v>
      </c>
      <c r="F2796" s="8" t="s">
        <v>1964</v>
      </c>
      <c r="G2796" s="8" t="s">
        <v>465</v>
      </c>
      <c r="H2796" s="8" t="s">
        <v>1491</v>
      </c>
      <c r="I2796" s="8" t="s">
        <v>1965</v>
      </c>
      <c r="J2796" s="8">
        <v>-4</v>
      </c>
      <c r="K2796" s="8">
        <v>0</v>
      </c>
      <c r="L2796" s="8">
        <v>0</v>
      </c>
      <c r="M2796" s="8" t="s">
        <v>120</v>
      </c>
      <c r="N2796" s="8" t="s">
        <v>203</v>
      </c>
      <c r="O2796" s="8" t="s">
        <v>465</v>
      </c>
      <c r="P2796" s="8" t="s">
        <v>1491</v>
      </c>
    </row>
    <row r="2797" spans="1:16" ht="25" customHeight="1">
      <c r="A2797" s="12">
        <v>74</v>
      </c>
      <c r="B2797" s="8">
        <v>2</v>
      </c>
      <c r="C2797" s="8">
        <v>10</v>
      </c>
      <c r="D2797" s="8" t="s">
        <v>716</v>
      </c>
      <c r="E2797" s="8">
        <v>11</v>
      </c>
      <c r="F2797" s="8" t="s">
        <v>1964</v>
      </c>
      <c r="G2797" s="8" t="s">
        <v>541</v>
      </c>
      <c r="H2797" s="8" t="s">
        <v>1413</v>
      </c>
      <c r="I2797" s="8" t="s">
        <v>1965</v>
      </c>
      <c r="J2797" s="8">
        <v>1</v>
      </c>
      <c r="K2797" s="8">
        <v>0</v>
      </c>
      <c r="L2797" s="8">
        <v>0</v>
      </c>
      <c r="M2797" s="8" t="s">
        <v>120</v>
      </c>
      <c r="N2797" s="8" t="s">
        <v>203</v>
      </c>
      <c r="O2797" s="8" t="s">
        <v>541</v>
      </c>
      <c r="P2797" s="8" t="s">
        <v>1413</v>
      </c>
    </row>
    <row r="2798" spans="1:16" ht="25" customHeight="1">
      <c r="A2798" s="12">
        <v>75</v>
      </c>
      <c r="B2798" s="8">
        <v>2</v>
      </c>
      <c r="C2798" s="8">
        <v>10</v>
      </c>
      <c r="D2798" s="8" t="s">
        <v>716</v>
      </c>
      <c r="E2798" s="8">
        <v>11</v>
      </c>
      <c r="F2798" s="8" t="s">
        <v>1967</v>
      </c>
      <c r="G2798" s="8" t="s">
        <v>449</v>
      </c>
      <c r="H2798" s="8" t="s">
        <v>1523</v>
      </c>
      <c r="I2798" s="8" t="s">
        <v>1963</v>
      </c>
      <c r="J2798" s="8">
        <v>12</v>
      </c>
      <c r="K2798" s="8">
        <v>1</v>
      </c>
      <c r="L2798" s="8">
        <v>0</v>
      </c>
      <c r="M2798" s="8" t="s">
        <v>120</v>
      </c>
      <c r="N2798" s="8" t="s">
        <v>206</v>
      </c>
      <c r="O2798" s="8" t="s">
        <v>449</v>
      </c>
      <c r="P2798" s="8" t="s">
        <v>1523</v>
      </c>
    </row>
    <row r="2799" spans="1:16" ht="25" customHeight="1">
      <c r="A2799" s="12">
        <v>76</v>
      </c>
      <c r="B2799" s="8">
        <v>2</v>
      </c>
      <c r="C2799" s="8">
        <v>2</v>
      </c>
      <c r="D2799" s="8" t="s">
        <v>706</v>
      </c>
      <c r="E2799" s="8">
        <v>11</v>
      </c>
      <c r="F2799" s="8" t="s">
        <v>1964</v>
      </c>
      <c r="G2799" s="8" t="s">
        <v>468</v>
      </c>
      <c r="H2799" s="8" t="s">
        <v>1431</v>
      </c>
      <c r="I2799" s="8" t="s">
        <v>1974</v>
      </c>
      <c r="J2799" s="8">
        <v>0</v>
      </c>
      <c r="K2799" s="8">
        <v>0</v>
      </c>
      <c r="L2799" s="8">
        <v>0</v>
      </c>
      <c r="M2799" s="8" t="s">
        <v>120</v>
      </c>
      <c r="N2799" s="8" t="s">
        <v>203</v>
      </c>
      <c r="O2799" s="8" t="s">
        <v>468</v>
      </c>
      <c r="P2799" s="8" t="s">
        <v>1431</v>
      </c>
    </row>
    <row r="2800" spans="1:16" ht="25" customHeight="1">
      <c r="A2800" s="12">
        <v>77</v>
      </c>
      <c r="B2800" s="8">
        <v>2</v>
      </c>
      <c r="C2800" s="8">
        <v>10</v>
      </c>
      <c r="D2800" s="8" t="s">
        <v>716</v>
      </c>
      <c r="E2800" s="8">
        <v>11</v>
      </c>
      <c r="F2800" s="8" t="s">
        <v>1964</v>
      </c>
      <c r="G2800" s="8" t="s">
        <v>449</v>
      </c>
      <c r="H2800" s="8" t="s">
        <v>1528</v>
      </c>
      <c r="I2800" s="8" t="s">
        <v>1966</v>
      </c>
      <c r="J2800" s="8">
        <v>11</v>
      </c>
      <c r="K2800" s="8">
        <v>1</v>
      </c>
      <c r="L2800" s="8">
        <v>0</v>
      </c>
      <c r="M2800" s="8" t="s">
        <v>120</v>
      </c>
      <c r="N2800" s="8" t="s">
        <v>203</v>
      </c>
      <c r="O2800" s="8" t="s">
        <v>449</v>
      </c>
      <c r="P2800" s="8" t="s">
        <v>1528</v>
      </c>
    </row>
    <row r="2801" spans="1:16" ht="25" customHeight="1">
      <c r="A2801" s="12">
        <v>78</v>
      </c>
      <c r="B2801" s="8">
        <v>2</v>
      </c>
      <c r="C2801" s="8">
        <v>20</v>
      </c>
      <c r="D2801" s="8" t="s">
        <v>720</v>
      </c>
      <c r="E2801" s="8">
        <v>11</v>
      </c>
      <c r="F2801" s="8" t="s">
        <v>1964</v>
      </c>
      <c r="G2801" s="8" t="s">
        <v>446</v>
      </c>
      <c r="H2801" s="8" t="s">
        <v>1530</v>
      </c>
      <c r="I2801" s="8" t="s">
        <v>1963</v>
      </c>
      <c r="J2801" s="8">
        <v>6</v>
      </c>
      <c r="K2801" s="8">
        <v>0</v>
      </c>
      <c r="L2801" s="8">
        <v>0</v>
      </c>
      <c r="M2801" s="8" t="s">
        <v>120</v>
      </c>
      <c r="N2801" s="8" t="s">
        <v>203</v>
      </c>
      <c r="O2801" s="8" t="s">
        <v>446</v>
      </c>
      <c r="P2801" s="8" t="s">
        <v>1530</v>
      </c>
    </row>
    <row r="2802" spans="1:16" ht="25" customHeight="1">
      <c r="A2802" s="12">
        <v>79</v>
      </c>
      <c r="B2802" s="8">
        <v>2</v>
      </c>
      <c r="C2802" s="8">
        <v>1</v>
      </c>
      <c r="D2802" s="8" t="s">
        <v>706</v>
      </c>
      <c r="E2802" s="8">
        <v>11</v>
      </c>
      <c r="F2802" s="8" t="s">
        <v>1967</v>
      </c>
      <c r="G2802" s="8" t="s">
        <v>574</v>
      </c>
      <c r="H2802" s="8" t="s">
        <v>1533</v>
      </c>
      <c r="I2802" s="8" t="s">
        <v>1965</v>
      </c>
      <c r="J2802" s="8">
        <v>-3</v>
      </c>
      <c r="K2802" s="8">
        <v>0</v>
      </c>
      <c r="L2802" s="8">
        <v>0</v>
      </c>
      <c r="M2802" s="8" t="s">
        <v>120</v>
      </c>
      <c r="N2802" s="8" t="s">
        <v>206</v>
      </c>
      <c r="O2802" s="8" t="s">
        <v>574</v>
      </c>
      <c r="P2802" s="8" t="s">
        <v>1533</v>
      </c>
    </row>
    <row r="2803" spans="1:16" ht="25" customHeight="1">
      <c r="A2803" s="12">
        <v>80</v>
      </c>
      <c r="B2803" s="8">
        <v>2</v>
      </c>
      <c r="C2803" s="8">
        <v>1</v>
      </c>
      <c r="D2803" s="8" t="s">
        <v>706</v>
      </c>
      <c r="E2803" s="8">
        <v>11</v>
      </c>
      <c r="F2803" s="8" t="s">
        <v>1961</v>
      </c>
      <c r="G2803" s="8" t="s">
        <v>449</v>
      </c>
      <c r="H2803" s="8" t="s">
        <v>1536</v>
      </c>
      <c r="I2803" s="8" t="s">
        <v>1974</v>
      </c>
      <c r="J2803" s="8">
        <v>0</v>
      </c>
      <c r="K2803" s="8">
        <v>0</v>
      </c>
      <c r="L2803" s="8">
        <v>0</v>
      </c>
      <c r="M2803" s="8" t="s">
        <v>120</v>
      </c>
      <c r="N2803" s="8" t="s">
        <v>206</v>
      </c>
      <c r="O2803" s="8" t="s">
        <v>449</v>
      </c>
      <c r="P2803" s="8" t="s">
        <v>1536</v>
      </c>
    </row>
    <row r="2804" spans="1:16" ht="25" customHeight="1">
      <c r="A2804" s="12">
        <v>81</v>
      </c>
      <c r="B2804" s="8">
        <v>2</v>
      </c>
      <c r="C2804" s="8">
        <v>6</v>
      </c>
      <c r="D2804" s="8" t="s">
        <v>711</v>
      </c>
      <c r="E2804" s="8">
        <v>11</v>
      </c>
      <c r="F2804" s="8" t="s">
        <v>1964</v>
      </c>
      <c r="G2804" s="8" t="s">
        <v>428</v>
      </c>
      <c r="H2804" s="8" t="s">
        <v>816</v>
      </c>
      <c r="I2804" s="8" t="s">
        <v>1965</v>
      </c>
      <c r="J2804" s="8">
        <v>2</v>
      </c>
      <c r="K2804" s="8">
        <v>0</v>
      </c>
      <c r="L2804" s="8">
        <v>0</v>
      </c>
      <c r="M2804" s="8" t="s">
        <v>120</v>
      </c>
      <c r="N2804" s="8" t="s">
        <v>203</v>
      </c>
      <c r="O2804" s="8" t="s">
        <v>428</v>
      </c>
      <c r="P2804" s="8" t="s">
        <v>816</v>
      </c>
    </row>
    <row r="2805" spans="1:16" ht="25" customHeight="1">
      <c r="A2805" s="12">
        <v>82</v>
      </c>
      <c r="B2805" s="8">
        <v>2</v>
      </c>
      <c r="C2805" s="8">
        <v>10</v>
      </c>
      <c r="D2805" s="8" t="s">
        <v>716</v>
      </c>
      <c r="E2805" s="8">
        <v>11</v>
      </c>
      <c r="F2805" s="8" t="s">
        <v>1964</v>
      </c>
      <c r="G2805" s="8" t="s">
        <v>611</v>
      </c>
      <c r="H2805" s="8" t="s">
        <v>1410</v>
      </c>
      <c r="I2805" s="8" t="s">
        <v>1965</v>
      </c>
      <c r="J2805" s="8">
        <v>8</v>
      </c>
      <c r="K2805" s="8">
        <v>1</v>
      </c>
      <c r="L2805" s="8">
        <v>0</v>
      </c>
      <c r="M2805" s="8" t="s">
        <v>120</v>
      </c>
      <c r="N2805" s="8" t="s">
        <v>203</v>
      </c>
      <c r="O2805" s="8" t="s">
        <v>611</v>
      </c>
      <c r="P2805" s="8" t="s">
        <v>1410</v>
      </c>
    </row>
    <row r="2806" spans="1:16" ht="25" customHeight="1">
      <c r="A2806" s="12">
        <v>83</v>
      </c>
      <c r="B2806" s="8">
        <v>2</v>
      </c>
      <c r="C2806" s="8">
        <v>5</v>
      </c>
      <c r="D2806" s="8" t="s">
        <v>711</v>
      </c>
      <c r="E2806" s="8">
        <v>11</v>
      </c>
      <c r="F2806" s="8" t="s">
        <v>1979</v>
      </c>
      <c r="G2806" s="8" t="s">
        <v>449</v>
      </c>
      <c r="H2806" s="8" t="s">
        <v>1541</v>
      </c>
      <c r="I2806" s="8" t="s">
        <v>1966</v>
      </c>
      <c r="J2806" s="8">
        <v>1</v>
      </c>
      <c r="K2806" s="8">
        <v>0</v>
      </c>
      <c r="L2806" s="8">
        <v>0</v>
      </c>
      <c r="M2806" s="8" t="s">
        <v>120</v>
      </c>
      <c r="N2806" s="8" t="s">
        <v>222</v>
      </c>
      <c r="O2806" s="8" t="s">
        <v>449</v>
      </c>
      <c r="P2806" s="8" t="s">
        <v>1541</v>
      </c>
    </row>
    <row r="2807" spans="1:16" ht="25" customHeight="1">
      <c r="A2807" s="12">
        <v>84</v>
      </c>
      <c r="B2807" s="8">
        <v>2</v>
      </c>
      <c r="C2807" s="8">
        <v>10</v>
      </c>
      <c r="D2807" s="8" t="s">
        <v>716</v>
      </c>
      <c r="E2807" s="8">
        <v>11</v>
      </c>
      <c r="F2807" s="8" t="s">
        <v>1967</v>
      </c>
      <c r="G2807" s="8" t="s">
        <v>449</v>
      </c>
      <c r="H2807" s="8" t="s">
        <v>1544</v>
      </c>
      <c r="I2807" s="8" t="s">
        <v>1963</v>
      </c>
      <c r="J2807" s="8">
        <v>34</v>
      </c>
      <c r="K2807" s="8">
        <v>1</v>
      </c>
      <c r="L2807" s="8">
        <v>1</v>
      </c>
      <c r="M2807" s="8" t="s">
        <v>120</v>
      </c>
      <c r="N2807" s="8" t="s">
        <v>206</v>
      </c>
      <c r="O2807" s="8" t="s">
        <v>449</v>
      </c>
      <c r="P2807" s="8" t="s">
        <v>1544</v>
      </c>
    </row>
    <row r="2808" spans="1:16" ht="25" customHeight="1">
      <c r="A2808" s="12">
        <v>85</v>
      </c>
      <c r="B2808" s="8">
        <v>2</v>
      </c>
      <c r="C2808" s="8">
        <v>9</v>
      </c>
      <c r="D2808" s="8" t="s">
        <v>716</v>
      </c>
      <c r="E2808" s="8">
        <v>11</v>
      </c>
      <c r="F2808" s="8" t="s">
        <v>1964</v>
      </c>
      <c r="G2808" s="8" t="s">
        <v>449</v>
      </c>
      <c r="H2808" s="8" t="s">
        <v>1546</v>
      </c>
      <c r="I2808" s="8" t="s">
        <v>1974</v>
      </c>
      <c r="J2808" s="8">
        <v>0</v>
      </c>
      <c r="K2808" s="8">
        <v>0</v>
      </c>
      <c r="L2808" s="8">
        <v>0</v>
      </c>
      <c r="M2808" s="8" t="s">
        <v>120</v>
      </c>
      <c r="N2808" s="8" t="s">
        <v>203</v>
      </c>
      <c r="O2808" s="8" t="s">
        <v>449</v>
      </c>
      <c r="P2808" s="8" t="s">
        <v>1546</v>
      </c>
    </row>
    <row r="2809" spans="1:16" ht="25" customHeight="1">
      <c r="A2809" s="12">
        <v>86</v>
      </c>
      <c r="B2809" s="8">
        <v>2</v>
      </c>
      <c r="C2809" s="8">
        <v>12</v>
      </c>
      <c r="D2809" s="8" t="s">
        <v>720</v>
      </c>
      <c r="E2809" s="8">
        <v>11</v>
      </c>
      <c r="F2809" s="8" t="s">
        <v>1964</v>
      </c>
      <c r="G2809" s="8" t="s">
        <v>443</v>
      </c>
      <c r="H2809" s="8" t="s">
        <v>821</v>
      </c>
      <c r="I2809" s="8" t="s">
        <v>1963</v>
      </c>
      <c r="J2809" s="8">
        <v>21</v>
      </c>
      <c r="K2809" s="8">
        <v>1</v>
      </c>
      <c r="L2809" s="8">
        <v>1</v>
      </c>
      <c r="M2809" s="8" t="s">
        <v>120</v>
      </c>
      <c r="N2809" s="8" t="s">
        <v>203</v>
      </c>
      <c r="O2809" s="8" t="s">
        <v>443</v>
      </c>
      <c r="P2809" s="8" t="s">
        <v>821</v>
      </c>
    </row>
    <row r="2810" spans="1:16" ht="25" customHeight="1">
      <c r="A2810" s="12">
        <v>87</v>
      </c>
      <c r="B2810" s="8">
        <v>2</v>
      </c>
      <c r="C2810" s="8">
        <v>10</v>
      </c>
      <c r="D2810" s="8" t="s">
        <v>716</v>
      </c>
      <c r="E2810" s="8">
        <v>11</v>
      </c>
      <c r="F2810" s="8" t="s">
        <v>1964</v>
      </c>
      <c r="G2810" s="8" t="s">
        <v>449</v>
      </c>
      <c r="H2810" s="8" t="s">
        <v>1550</v>
      </c>
      <c r="I2810" s="8" t="s">
        <v>1974</v>
      </c>
      <c r="J2810" s="8">
        <v>0</v>
      </c>
      <c r="K2810" s="8">
        <v>0</v>
      </c>
      <c r="L2810" s="8">
        <v>0</v>
      </c>
      <c r="M2810" s="8" t="s">
        <v>120</v>
      </c>
      <c r="N2810" s="8" t="s">
        <v>203</v>
      </c>
      <c r="O2810" s="8" t="s">
        <v>449</v>
      </c>
      <c r="P2810" s="8" t="s">
        <v>1550</v>
      </c>
    </row>
    <row r="2811" spans="1:16" ht="25" customHeight="1">
      <c r="A2811" s="12">
        <v>88</v>
      </c>
      <c r="B2811" s="8">
        <v>2</v>
      </c>
      <c r="C2811" s="8">
        <v>4</v>
      </c>
      <c r="D2811" s="8" t="s">
        <v>711</v>
      </c>
      <c r="E2811" s="8">
        <v>12</v>
      </c>
      <c r="F2811" s="8" t="s">
        <v>1964</v>
      </c>
      <c r="G2811" s="8" t="s">
        <v>465</v>
      </c>
      <c r="H2811" s="8" t="s">
        <v>1398</v>
      </c>
      <c r="I2811" s="8" t="s">
        <v>1965</v>
      </c>
      <c r="J2811" s="8">
        <v>0</v>
      </c>
      <c r="K2811" s="8">
        <v>0</v>
      </c>
      <c r="L2811" s="8">
        <v>0</v>
      </c>
      <c r="M2811" s="8" t="s">
        <v>123</v>
      </c>
      <c r="N2811" s="8" t="s">
        <v>203</v>
      </c>
      <c r="O2811" s="8" t="s">
        <v>465</v>
      </c>
      <c r="P2811" s="8" t="s">
        <v>1398</v>
      </c>
    </row>
    <row r="2812" spans="1:16" ht="25" customHeight="1">
      <c r="A2812" s="12">
        <v>89</v>
      </c>
      <c r="B2812" s="8">
        <v>2</v>
      </c>
      <c r="C2812" s="8">
        <v>6</v>
      </c>
      <c r="D2812" s="8" t="s">
        <v>711</v>
      </c>
      <c r="E2812" s="8">
        <v>11</v>
      </c>
      <c r="F2812" s="8" t="s">
        <v>1961</v>
      </c>
      <c r="G2812" s="8" t="s">
        <v>428</v>
      </c>
      <c r="H2812" s="8" t="s">
        <v>816</v>
      </c>
      <c r="I2812" s="8" t="s">
        <v>1965</v>
      </c>
      <c r="J2812" s="8">
        <v>9</v>
      </c>
      <c r="K2812" s="8">
        <v>1</v>
      </c>
      <c r="L2812" s="8">
        <v>0</v>
      </c>
      <c r="M2812" s="8" t="s">
        <v>120</v>
      </c>
      <c r="N2812" s="8" t="s">
        <v>206</v>
      </c>
      <c r="O2812" s="8" t="s">
        <v>428</v>
      </c>
      <c r="P2812" s="8" t="s">
        <v>816</v>
      </c>
    </row>
    <row r="2813" spans="1:16" ht="25" customHeight="1">
      <c r="A2813" s="12">
        <v>90</v>
      </c>
      <c r="B2813" s="8">
        <v>2</v>
      </c>
      <c r="C2813" s="8">
        <v>10</v>
      </c>
      <c r="D2813" s="8" t="s">
        <v>716</v>
      </c>
      <c r="E2813" s="8">
        <v>11</v>
      </c>
      <c r="F2813" s="8" t="s">
        <v>1964</v>
      </c>
      <c r="G2813" s="8" t="s">
        <v>428</v>
      </c>
      <c r="H2813" s="8" t="s">
        <v>816</v>
      </c>
      <c r="I2813" s="8" t="s">
        <v>1965</v>
      </c>
      <c r="J2813" s="8">
        <v>6</v>
      </c>
      <c r="K2813" s="8">
        <v>1</v>
      </c>
      <c r="L2813" s="8">
        <v>0</v>
      </c>
      <c r="M2813" s="8" t="s">
        <v>120</v>
      </c>
      <c r="N2813" s="8" t="s">
        <v>203</v>
      </c>
      <c r="O2813" s="8" t="s">
        <v>428</v>
      </c>
      <c r="P2813" s="8" t="s">
        <v>816</v>
      </c>
    </row>
    <row r="2814" spans="1:16" ht="25" customHeight="1">
      <c r="A2814" s="12">
        <v>91</v>
      </c>
      <c r="B2814" s="8">
        <v>2</v>
      </c>
      <c r="C2814" s="8">
        <v>3</v>
      </c>
      <c r="D2814" s="8" t="s">
        <v>706</v>
      </c>
      <c r="E2814" s="8">
        <v>11</v>
      </c>
      <c r="F2814" s="8" t="s">
        <v>1967</v>
      </c>
      <c r="G2814" s="8" t="s">
        <v>449</v>
      </c>
      <c r="H2814" s="8" t="s">
        <v>820</v>
      </c>
      <c r="I2814" s="8" t="s">
        <v>1963</v>
      </c>
      <c r="J2814" s="8">
        <v>1</v>
      </c>
      <c r="K2814" s="8">
        <v>0</v>
      </c>
      <c r="L2814" s="8">
        <v>0</v>
      </c>
      <c r="M2814" s="8" t="s">
        <v>120</v>
      </c>
      <c r="N2814" s="8" t="s">
        <v>206</v>
      </c>
      <c r="O2814" s="8" t="s">
        <v>449</v>
      </c>
      <c r="P2814" s="8" t="s">
        <v>820</v>
      </c>
    </row>
    <row r="2815" spans="1:16" ht="25" customHeight="1">
      <c r="A2815" s="12">
        <v>92</v>
      </c>
      <c r="B2815" s="8">
        <v>2</v>
      </c>
      <c r="C2815" s="8">
        <v>1</v>
      </c>
      <c r="D2815" s="8" t="s">
        <v>706</v>
      </c>
      <c r="E2815" s="8">
        <v>11</v>
      </c>
      <c r="F2815" s="8" t="s">
        <v>1961</v>
      </c>
      <c r="G2815" s="8" t="s">
        <v>428</v>
      </c>
      <c r="H2815" s="8" t="s">
        <v>1558</v>
      </c>
      <c r="I2815" s="8" t="s">
        <v>1965</v>
      </c>
      <c r="J2815" s="8">
        <v>1</v>
      </c>
      <c r="K2815" s="8">
        <v>1</v>
      </c>
      <c r="L2815" s="8">
        <v>0</v>
      </c>
      <c r="M2815" s="8" t="s">
        <v>120</v>
      </c>
      <c r="N2815" s="8" t="s">
        <v>206</v>
      </c>
      <c r="O2815" s="8" t="s">
        <v>428</v>
      </c>
      <c r="P2815" s="8" t="s">
        <v>1558</v>
      </c>
    </row>
    <row r="2816" spans="1:16" ht="25" customHeight="1">
      <c r="A2816" s="12">
        <v>93</v>
      </c>
      <c r="B2816" s="8">
        <v>2</v>
      </c>
      <c r="C2816" s="8">
        <v>10</v>
      </c>
      <c r="D2816" s="8" t="s">
        <v>716</v>
      </c>
      <c r="E2816" s="8">
        <v>11</v>
      </c>
      <c r="F2816" s="8" t="s">
        <v>1964</v>
      </c>
      <c r="G2816" s="8" t="s">
        <v>465</v>
      </c>
      <c r="H2816" s="8" t="s">
        <v>1398</v>
      </c>
      <c r="I2816" s="8" t="s">
        <v>1980</v>
      </c>
      <c r="J2816" s="8">
        <v>5</v>
      </c>
      <c r="K2816" s="8">
        <v>1</v>
      </c>
      <c r="L2816" s="8">
        <v>0</v>
      </c>
      <c r="M2816" s="8" t="s">
        <v>120</v>
      </c>
      <c r="N2816" s="8" t="s">
        <v>203</v>
      </c>
      <c r="O2816" s="8" t="s">
        <v>465</v>
      </c>
      <c r="P2816" s="8" t="s">
        <v>1398</v>
      </c>
    </row>
    <row r="2817" spans="1:16" ht="25" customHeight="1">
      <c r="A2817" s="12">
        <v>94</v>
      </c>
      <c r="B2817" s="8">
        <v>2</v>
      </c>
      <c r="C2817" s="8">
        <v>10</v>
      </c>
      <c r="D2817" s="8" t="s">
        <v>716</v>
      </c>
      <c r="E2817" s="8">
        <v>11</v>
      </c>
      <c r="F2817" s="8" t="s">
        <v>1967</v>
      </c>
      <c r="G2817" s="8" t="s">
        <v>428</v>
      </c>
      <c r="H2817" s="8" t="s">
        <v>816</v>
      </c>
      <c r="I2817" s="8" t="s">
        <v>1965</v>
      </c>
      <c r="J2817" s="8">
        <v>5</v>
      </c>
      <c r="K2817" s="8">
        <v>1</v>
      </c>
      <c r="L2817" s="8">
        <v>0</v>
      </c>
      <c r="M2817" s="8" t="s">
        <v>120</v>
      </c>
      <c r="N2817" s="8" t="s">
        <v>206</v>
      </c>
      <c r="O2817" s="8" t="s">
        <v>428</v>
      </c>
      <c r="P2817" s="8" t="s">
        <v>816</v>
      </c>
    </row>
    <row r="2818" spans="1:16" ht="25" customHeight="1">
      <c r="A2818" s="12">
        <v>95</v>
      </c>
      <c r="B2818" s="8">
        <v>2</v>
      </c>
      <c r="C2818" s="8">
        <v>7</v>
      </c>
      <c r="D2818" s="8" t="s">
        <v>716</v>
      </c>
      <c r="E2818" s="8">
        <v>11</v>
      </c>
      <c r="F2818" s="8" t="s">
        <v>1964</v>
      </c>
      <c r="G2818" s="8" t="s">
        <v>452</v>
      </c>
      <c r="H2818" s="8" t="s">
        <v>49</v>
      </c>
      <c r="I2818" s="8" t="s">
        <v>1965</v>
      </c>
      <c r="J2818" s="8">
        <v>1</v>
      </c>
      <c r="K2818" s="8">
        <v>0</v>
      </c>
      <c r="L2818" s="8">
        <v>0</v>
      </c>
      <c r="M2818" s="8" t="s">
        <v>120</v>
      </c>
      <c r="N2818" s="8" t="s">
        <v>203</v>
      </c>
      <c r="O2818" s="8" t="s">
        <v>452</v>
      </c>
      <c r="P2818" s="8" t="s">
        <v>49</v>
      </c>
    </row>
    <row r="2819" spans="1:16" ht="25" customHeight="1">
      <c r="A2819" s="12">
        <v>96</v>
      </c>
      <c r="B2819" s="8">
        <v>2</v>
      </c>
      <c r="C2819" s="8">
        <v>8</v>
      </c>
      <c r="D2819" s="8" t="s">
        <v>716</v>
      </c>
      <c r="E2819" s="8">
        <v>11</v>
      </c>
      <c r="F2819" s="8" t="s">
        <v>1961</v>
      </c>
      <c r="G2819" s="8" t="s">
        <v>574</v>
      </c>
      <c r="H2819" s="8" t="s">
        <v>1422</v>
      </c>
      <c r="J2819" s="8">
        <v>-2</v>
      </c>
      <c r="M2819" s="8" t="s">
        <v>120</v>
      </c>
      <c r="N2819" s="8" t="s">
        <v>206</v>
      </c>
      <c r="O2819" s="8" t="s">
        <v>574</v>
      </c>
      <c r="P2819" s="8" t="s">
        <v>1422</v>
      </c>
    </row>
    <row r="2820" spans="1:16" ht="25" customHeight="1">
      <c r="A2820" s="12">
        <v>97</v>
      </c>
      <c r="B2820" s="8">
        <v>2</v>
      </c>
      <c r="C2820" s="8">
        <v>4</v>
      </c>
      <c r="D2820" s="8" t="s">
        <v>711</v>
      </c>
      <c r="E2820" s="8">
        <v>11</v>
      </c>
      <c r="F2820" s="8" t="s">
        <v>1961</v>
      </c>
      <c r="G2820" s="8" t="s">
        <v>452</v>
      </c>
      <c r="H2820" s="8" t="s">
        <v>49</v>
      </c>
      <c r="I2820" s="8" t="s">
        <v>1966</v>
      </c>
      <c r="J2820" s="8">
        <v>37</v>
      </c>
      <c r="K2820" s="8">
        <v>1</v>
      </c>
      <c r="L2820" s="8">
        <v>1</v>
      </c>
      <c r="M2820" s="8" t="s">
        <v>120</v>
      </c>
      <c r="N2820" s="8" t="s">
        <v>206</v>
      </c>
      <c r="O2820" s="8" t="s">
        <v>452</v>
      </c>
      <c r="P2820" s="8" t="s">
        <v>49</v>
      </c>
    </row>
    <row r="2821" spans="1:16" ht="25" customHeight="1">
      <c r="A2821" s="12">
        <v>98</v>
      </c>
      <c r="B2821" s="8">
        <v>2</v>
      </c>
      <c r="C2821" s="8">
        <v>10</v>
      </c>
      <c r="D2821" s="8" t="s">
        <v>716</v>
      </c>
      <c r="E2821" s="8">
        <v>11</v>
      </c>
      <c r="F2821" s="8" t="s">
        <v>1961</v>
      </c>
      <c r="G2821" s="8" t="s">
        <v>957</v>
      </c>
      <c r="H2821" s="8" t="s">
        <v>1566</v>
      </c>
      <c r="I2821" s="8" t="s">
        <v>1965</v>
      </c>
      <c r="J2821" s="8">
        <v>1</v>
      </c>
      <c r="K2821" s="8">
        <v>0</v>
      </c>
      <c r="L2821" s="8">
        <v>0</v>
      </c>
      <c r="M2821" s="8" t="s">
        <v>120</v>
      </c>
      <c r="N2821" s="8" t="s">
        <v>206</v>
      </c>
      <c r="O2821" s="8" t="s">
        <v>957</v>
      </c>
      <c r="P2821" s="8" t="s">
        <v>1566</v>
      </c>
    </row>
    <row r="2822" spans="1:16" ht="25" customHeight="1">
      <c r="A2822" s="12">
        <v>99</v>
      </c>
      <c r="B2822" s="8">
        <v>2</v>
      </c>
      <c r="C2822" s="8">
        <v>10</v>
      </c>
      <c r="D2822" s="8" t="s">
        <v>716</v>
      </c>
      <c r="E2822" s="8">
        <v>11</v>
      </c>
      <c r="F2822" s="8" t="s">
        <v>1964</v>
      </c>
      <c r="G2822" s="8" t="s">
        <v>465</v>
      </c>
      <c r="H2822" s="8" t="s">
        <v>815</v>
      </c>
      <c r="I2822" s="8" t="s">
        <v>1963</v>
      </c>
      <c r="J2822" s="8">
        <v>6</v>
      </c>
      <c r="K2822" s="8">
        <v>0</v>
      </c>
      <c r="L2822" s="8">
        <v>0</v>
      </c>
      <c r="M2822" s="8" t="s">
        <v>120</v>
      </c>
      <c r="N2822" s="8" t="s">
        <v>203</v>
      </c>
      <c r="O2822" s="8" t="s">
        <v>465</v>
      </c>
      <c r="P2822" s="8" t="s">
        <v>815</v>
      </c>
    </row>
    <row r="2823" spans="1:16" ht="25" customHeight="1">
      <c r="A2823" s="12">
        <v>100</v>
      </c>
      <c r="B2823" s="8">
        <v>2</v>
      </c>
      <c r="C2823" s="8">
        <v>7</v>
      </c>
      <c r="D2823" s="8" t="s">
        <v>716</v>
      </c>
      <c r="E2823" s="8">
        <v>11</v>
      </c>
      <c r="F2823" s="8" t="s">
        <v>1964</v>
      </c>
      <c r="G2823" s="8" t="s">
        <v>574</v>
      </c>
      <c r="H2823" s="8" t="s">
        <v>1422</v>
      </c>
      <c r="I2823" s="8" t="s">
        <v>1965</v>
      </c>
      <c r="J2823" s="8">
        <v>4</v>
      </c>
      <c r="K2823" s="8">
        <v>1</v>
      </c>
      <c r="L2823" s="8">
        <v>0</v>
      </c>
      <c r="M2823" s="8" t="s">
        <v>120</v>
      </c>
      <c r="N2823" s="8" t="s">
        <v>203</v>
      </c>
      <c r="O2823" s="8" t="s">
        <v>574</v>
      </c>
      <c r="P2823" s="8" t="s">
        <v>1422</v>
      </c>
    </row>
    <row r="2824" spans="1:16" ht="25" customHeight="1">
      <c r="A2824" s="12">
        <v>101</v>
      </c>
      <c r="B2824" s="8">
        <v>2</v>
      </c>
      <c r="C2824" s="8">
        <v>3</v>
      </c>
      <c r="D2824" s="8" t="s">
        <v>706</v>
      </c>
      <c r="E2824" s="8">
        <v>12</v>
      </c>
      <c r="F2824" s="8" t="s">
        <v>1967</v>
      </c>
      <c r="G2824" s="8" t="s">
        <v>428</v>
      </c>
      <c r="H2824" s="8" t="s">
        <v>823</v>
      </c>
      <c r="I2824" s="8" t="s">
        <v>1965</v>
      </c>
      <c r="J2824" s="8">
        <v>2</v>
      </c>
      <c r="K2824" s="8">
        <v>0</v>
      </c>
      <c r="L2824" s="8">
        <v>0</v>
      </c>
      <c r="M2824" s="8" t="s">
        <v>123</v>
      </c>
      <c r="N2824" s="8" t="s">
        <v>206</v>
      </c>
      <c r="O2824" s="8" t="s">
        <v>428</v>
      </c>
      <c r="P2824" s="8" t="s">
        <v>823</v>
      </c>
    </row>
    <row r="2825" spans="1:16" ht="25" customHeight="1">
      <c r="A2825" s="12">
        <v>102</v>
      </c>
      <c r="B2825" s="8">
        <v>2</v>
      </c>
      <c r="C2825" s="8">
        <v>10</v>
      </c>
      <c r="D2825" s="8" t="s">
        <v>716</v>
      </c>
      <c r="E2825" s="8">
        <v>11</v>
      </c>
      <c r="F2825" s="8" t="s">
        <v>1964</v>
      </c>
      <c r="G2825" s="8" t="s">
        <v>468</v>
      </c>
      <c r="H2825" s="8" t="s">
        <v>1572</v>
      </c>
      <c r="I2825" s="8" t="s">
        <v>1965</v>
      </c>
      <c r="J2825" s="8">
        <v>0</v>
      </c>
      <c r="K2825" s="8">
        <v>0</v>
      </c>
      <c r="L2825" s="8">
        <v>0</v>
      </c>
      <c r="M2825" s="8" t="s">
        <v>120</v>
      </c>
      <c r="N2825" s="8" t="s">
        <v>203</v>
      </c>
      <c r="O2825" s="8" t="s">
        <v>468</v>
      </c>
      <c r="P2825" s="8" t="s">
        <v>1572</v>
      </c>
    </row>
    <row r="2826" spans="1:16" ht="25" customHeight="1">
      <c r="A2826" s="12">
        <v>103</v>
      </c>
      <c r="B2826" s="8">
        <v>2</v>
      </c>
      <c r="C2826" s="8">
        <v>6</v>
      </c>
      <c r="D2826" s="8" t="s">
        <v>711</v>
      </c>
      <c r="E2826" s="8">
        <v>11</v>
      </c>
      <c r="F2826" s="8" t="s">
        <v>1964</v>
      </c>
      <c r="G2826" s="8" t="s">
        <v>800</v>
      </c>
      <c r="H2826" s="8" t="s">
        <v>1488</v>
      </c>
      <c r="I2826" s="8" t="s">
        <v>1965</v>
      </c>
      <c r="J2826" s="8">
        <v>2</v>
      </c>
      <c r="K2826" s="8">
        <v>0</v>
      </c>
      <c r="L2826" s="8">
        <v>0</v>
      </c>
      <c r="M2826" s="8" t="s">
        <v>120</v>
      </c>
      <c r="N2826" s="8" t="s">
        <v>203</v>
      </c>
      <c r="O2826" s="8" t="s">
        <v>800</v>
      </c>
      <c r="P2826" s="8" t="s">
        <v>1488</v>
      </c>
    </row>
    <row r="2827" spans="1:16" ht="25" customHeight="1">
      <c r="A2827" s="12">
        <v>104</v>
      </c>
      <c r="B2827" s="8">
        <v>2</v>
      </c>
      <c r="C2827" s="8">
        <v>2</v>
      </c>
      <c r="D2827" s="8" t="s">
        <v>706</v>
      </c>
      <c r="E2827" s="8">
        <v>11</v>
      </c>
      <c r="F2827" s="8" t="s">
        <v>1973</v>
      </c>
      <c r="G2827" s="8" t="s">
        <v>449</v>
      </c>
      <c r="H2827" s="8" t="s">
        <v>1416</v>
      </c>
      <c r="I2827" s="8" t="s">
        <v>1974</v>
      </c>
      <c r="J2827" s="8">
        <v>0</v>
      </c>
      <c r="K2827" s="8">
        <v>0</v>
      </c>
      <c r="L2827" s="8">
        <v>0</v>
      </c>
      <c r="M2827" s="8" t="s">
        <v>120</v>
      </c>
      <c r="N2827" s="8" t="s">
        <v>222</v>
      </c>
      <c r="O2827" s="8" t="s">
        <v>449</v>
      </c>
      <c r="P2827" s="8" t="s">
        <v>1416</v>
      </c>
    </row>
    <row r="2828" spans="1:16" ht="25" customHeight="1">
      <c r="A2828" s="12">
        <v>105</v>
      </c>
      <c r="B2828" s="8">
        <v>2</v>
      </c>
      <c r="C2828" s="8">
        <v>6</v>
      </c>
      <c r="D2828" s="8" t="s">
        <v>711</v>
      </c>
      <c r="E2828" s="8">
        <v>11</v>
      </c>
      <c r="F2828" s="8" t="s">
        <v>1961</v>
      </c>
      <c r="G2828" s="8" t="s">
        <v>465</v>
      </c>
      <c r="H2828" s="8" t="s">
        <v>1398</v>
      </c>
      <c r="I2828" s="8" t="s">
        <v>1965</v>
      </c>
      <c r="J2828" s="8">
        <v>0</v>
      </c>
      <c r="K2828" s="8">
        <v>0</v>
      </c>
      <c r="L2828" s="8">
        <v>0</v>
      </c>
      <c r="M2828" s="8" t="s">
        <v>120</v>
      </c>
      <c r="N2828" s="8" t="s">
        <v>206</v>
      </c>
      <c r="O2828" s="8" t="s">
        <v>465</v>
      </c>
      <c r="P2828" s="8" t="s">
        <v>1398</v>
      </c>
    </row>
    <row r="2829" spans="1:16" ht="25" customHeight="1">
      <c r="A2829" s="12">
        <v>106</v>
      </c>
      <c r="B2829" s="8">
        <v>2</v>
      </c>
      <c r="C2829" s="8">
        <v>9</v>
      </c>
      <c r="D2829" s="8" t="s">
        <v>716</v>
      </c>
      <c r="E2829" s="8">
        <v>11</v>
      </c>
      <c r="F2829" s="8" t="s">
        <v>1961</v>
      </c>
      <c r="G2829" s="8" t="s">
        <v>471</v>
      </c>
      <c r="H2829" s="8" t="s">
        <v>1579</v>
      </c>
      <c r="I2829" s="8" t="s">
        <v>1974</v>
      </c>
      <c r="J2829" s="8">
        <v>0</v>
      </c>
      <c r="K2829" s="8">
        <v>0</v>
      </c>
      <c r="L2829" s="8">
        <v>0</v>
      </c>
      <c r="M2829" s="8" t="s">
        <v>120</v>
      </c>
      <c r="N2829" s="8" t="s">
        <v>206</v>
      </c>
      <c r="O2829" s="8" t="s">
        <v>471</v>
      </c>
      <c r="P2829" s="8" t="s">
        <v>1579</v>
      </c>
    </row>
    <row r="2830" spans="1:16" ht="25" customHeight="1">
      <c r="A2830" s="12">
        <v>107</v>
      </c>
      <c r="B2830" s="8">
        <v>2</v>
      </c>
      <c r="C2830" s="8">
        <v>8</v>
      </c>
      <c r="D2830" s="8" t="s">
        <v>716</v>
      </c>
      <c r="E2830" s="8">
        <v>11</v>
      </c>
      <c r="F2830" s="8" t="s">
        <v>1964</v>
      </c>
      <c r="G2830" s="8" t="s">
        <v>474</v>
      </c>
      <c r="H2830" s="8" t="s">
        <v>819</v>
      </c>
      <c r="I2830" s="8" t="s">
        <v>1965</v>
      </c>
      <c r="J2830" s="8">
        <v>2</v>
      </c>
      <c r="K2830" s="8">
        <v>0</v>
      </c>
      <c r="L2830" s="8">
        <v>0</v>
      </c>
      <c r="M2830" s="8" t="s">
        <v>120</v>
      </c>
      <c r="N2830" s="8" t="s">
        <v>203</v>
      </c>
      <c r="O2830" s="8" t="s">
        <v>474</v>
      </c>
      <c r="P2830" s="8" t="s">
        <v>819</v>
      </c>
    </row>
    <row r="2831" spans="1:16" ht="25" customHeight="1">
      <c r="A2831" s="12">
        <v>108</v>
      </c>
      <c r="B2831" s="8">
        <v>2</v>
      </c>
      <c r="C2831" s="8">
        <v>10</v>
      </c>
      <c r="D2831" s="8" t="s">
        <v>716</v>
      </c>
      <c r="E2831" s="8">
        <v>11</v>
      </c>
      <c r="F2831" s="8" t="s">
        <v>1967</v>
      </c>
      <c r="G2831" s="8" t="s">
        <v>428</v>
      </c>
      <c r="H2831" s="8" t="s">
        <v>1583</v>
      </c>
      <c r="I2831" s="8" t="s">
        <v>1974</v>
      </c>
      <c r="J2831" s="8">
        <v>0</v>
      </c>
      <c r="K2831" s="8">
        <v>0</v>
      </c>
      <c r="L2831" s="8">
        <v>0</v>
      </c>
      <c r="M2831" s="8" t="s">
        <v>120</v>
      </c>
      <c r="N2831" s="8" t="s">
        <v>206</v>
      </c>
      <c r="O2831" s="8" t="s">
        <v>428</v>
      </c>
      <c r="P2831" s="8" t="s">
        <v>1583</v>
      </c>
    </row>
    <row r="2832" spans="1:16" ht="25" customHeight="1">
      <c r="A2832" s="12">
        <v>109</v>
      </c>
      <c r="B2832" s="8">
        <v>2</v>
      </c>
      <c r="C2832" s="8">
        <v>7</v>
      </c>
      <c r="D2832" s="8" t="s">
        <v>716</v>
      </c>
      <c r="E2832" s="8">
        <v>11</v>
      </c>
      <c r="F2832" s="8" t="s">
        <v>1967</v>
      </c>
      <c r="G2832" s="8" t="s">
        <v>465</v>
      </c>
      <c r="H2832" s="8" t="s">
        <v>816</v>
      </c>
      <c r="I2832" s="8" t="s">
        <v>1966</v>
      </c>
      <c r="J2832" s="8">
        <v>-2</v>
      </c>
      <c r="K2832" s="8">
        <v>0</v>
      </c>
      <c r="L2832" s="8">
        <v>0</v>
      </c>
      <c r="M2832" s="8" t="s">
        <v>120</v>
      </c>
      <c r="N2832" s="8" t="s">
        <v>206</v>
      </c>
      <c r="O2832" s="8" t="s">
        <v>465</v>
      </c>
      <c r="P2832" s="8" t="s">
        <v>816</v>
      </c>
    </row>
    <row r="2833" spans="1:16" ht="25" customHeight="1">
      <c r="A2833" s="12">
        <v>110</v>
      </c>
      <c r="B2833" s="8">
        <v>2</v>
      </c>
      <c r="C2833" s="8">
        <v>14</v>
      </c>
      <c r="D2833" s="8" t="s">
        <v>720</v>
      </c>
      <c r="E2833" s="8">
        <v>11</v>
      </c>
      <c r="F2833" s="8" t="s">
        <v>1964</v>
      </c>
      <c r="I2833" s="8" t="s">
        <v>1965</v>
      </c>
      <c r="J2833" s="8">
        <v>0</v>
      </c>
      <c r="K2833" s="8">
        <v>0</v>
      </c>
      <c r="L2833" s="8">
        <v>0</v>
      </c>
      <c r="M2833" s="8" t="s">
        <v>120</v>
      </c>
      <c r="N2833" s="8" t="s">
        <v>203</v>
      </c>
    </row>
    <row r="2834" spans="1:16" ht="25" customHeight="1">
      <c r="A2834" s="12">
        <v>111</v>
      </c>
      <c r="B2834" s="8">
        <v>2</v>
      </c>
      <c r="C2834" s="8">
        <v>12</v>
      </c>
      <c r="D2834" s="8" t="s">
        <v>720</v>
      </c>
      <c r="E2834" s="8">
        <v>11</v>
      </c>
      <c r="F2834" s="8" t="s">
        <v>1979</v>
      </c>
      <c r="G2834" s="8" t="s">
        <v>474</v>
      </c>
      <c r="H2834" s="8" t="s">
        <v>819</v>
      </c>
      <c r="I2834" s="8" t="s">
        <v>1965</v>
      </c>
      <c r="J2834" s="8">
        <v>0</v>
      </c>
      <c r="K2834" s="8">
        <v>0</v>
      </c>
      <c r="L2834" s="8">
        <v>0</v>
      </c>
      <c r="M2834" s="8" t="s">
        <v>120</v>
      </c>
      <c r="N2834" s="8" t="s">
        <v>222</v>
      </c>
      <c r="O2834" s="8" t="s">
        <v>474</v>
      </c>
      <c r="P2834" s="8" t="s">
        <v>819</v>
      </c>
    </row>
    <row r="2835" spans="1:16" ht="25" customHeight="1">
      <c r="A2835" s="12">
        <v>112</v>
      </c>
      <c r="B2835" s="8">
        <v>2</v>
      </c>
      <c r="C2835" s="8">
        <v>8</v>
      </c>
      <c r="D2835" s="8" t="s">
        <v>716</v>
      </c>
      <c r="E2835" s="8">
        <v>11</v>
      </c>
      <c r="F2835" s="8" t="s">
        <v>1961</v>
      </c>
      <c r="G2835" s="8" t="s">
        <v>608</v>
      </c>
      <c r="H2835" s="8" t="s">
        <v>1981</v>
      </c>
      <c r="J2835" s="8">
        <v>5</v>
      </c>
      <c r="M2835" s="8" t="s">
        <v>120</v>
      </c>
      <c r="N2835" s="8" t="s">
        <v>206</v>
      </c>
      <c r="O2835" s="8" t="s">
        <v>608</v>
      </c>
      <c r="P2835" s="8" t="s">
        <v>1981</v>
      </c>
    </row>
    <row r="2836" spans="1:16" ht="25" customHeight="1">
      <c r="A2836" s="12">
        <v>113</v>
      </c>
      <c r="B2836" s="8">
        <v>2</v>
      </c>
      <c r="C2836" s="8">
        <v>11</v>
      </c>
      <c r="D2836" s="8" t="s">
        <v>720</v>
      </c>
      <c r="E2836" s="8">
        <v>11</v>
      </c>
      <c r="F2836" s="8" t="s">
        <v>1967</v>
      </c>
      <c r="G2836" s="8" t="s">
        <v>428</v>
      </c>
      <c r="H2836" s="8" t="s">
        <v>823</v>
      </c>
      <c r="I2836" s="8" t="s">
        <v>1974</v>
      </c>
      <c r="J2836" s="8">
        <v>2</v>
      </c>
      <c r="K2836" s="8">
        <v>0</v>
      </c>
      <c r="L2836" s="8">
        <v>0</v>
      </c>
      <c r="M2836" s="8" t="s">
        <v>120</v>
      </c>
      <c r="N2836" s="8" t="s">
        <v>206</v>
      </c>
      <c r="O2836" s="8" t="s">
        <v>428</v>
      </c>
      <c r="P2836" s="8" t="s">
        <v>823</v>
      </c>
    </row>
    <row r="2837" spans="1:16" ht="25" customHeight="1">
      <c r="A2837" s="12">
        <v>114</v>
      </c>
      <c r="B2837" s="8">
        <v>2</v>
      </c>
      <c r="C2837" s="8">
        <v>9</v>
      </c>
      <c r="D2837" s="8" t="s">
        <v>716</v>
      </c>
      <c r="E2837" s="8" t="s">
        <v>803</v>
      </c>
      <c r="F2837" s="8" t="s">
        <v>1964</v>
      </c>
      <c r="I2837" s="8" t="s">
        <v>1965</v>
      </c>
      <c r="J2837" s="8">
        <v>0</v>
      </c>
      <c r="K2837" s="8">
        <v>0</v>
      </c>
      <c r="L2837" s="8">
        <v>0</v>
      </c>
      <c r="M2837" s="8" t="s">
        <v>803</v>
      </c>
      <c r="N2837" s="8" t="s">
        <v>203</v>
      </c>
    </row>
    <row r="2838" spans="1:16" ht="25" customHeight="1">
      <c r="A2838" s="12">
        <v>115</v>
      </c>
      <c r="B2838" s="8">
        <v>2</v>
      </c>
      <c r="C2838" s="8">
        <v>14</v>
      </c>
      <c r="D2838" s="8" t="s">
        <v>720</v>
      </c>
      <c r="E2838" s="8" t="s">
        <v>803</v>
      </c>
      <c r="F2838" s="8" t="s">
        <v>1964</v>
      </c>
      <c r="G2838" s="8" t="s">
        <v>878</v>
      </c>
      <c r="H2838" s="8" t="s">
        <v>1503</v>
      </c>
      <c r="I2838" s="8" t="s">
        <v>1965</v>
      </c>
      <c r="J2838" s="8">
        <v>10</v>
      </c>
      <c r="K2838" s="8">
        <v>1</v>
      </c>
      <c r="L2838" s="8">
        <v>0</v>
      </c>
      <c r="M2838" s="8" t="s">
        <v>803</v>
      </c>
      <c r="N2838" s="8" t="s">
        <v>203</v>
      </c>
      <c r="O2838" s="8" t="s">
        <v>878</v>
      </c>
      <c r="P2838" s="8" t="s">
        <v>1503</v>
      </c>
    </row>
    <row r="2839" spans="1:16" ht="25" customHeight="1">
      <c r="A2839" s="12">
        <v>116</v>
      </c>
      <c r="B2839" s="8">
        <v>2</v>
      </c>
      <c r="C2839" s="8">
        <v>8</v>
      </c>
      <c r="D2839" s="8" t="s">
        <v>716</v>
      </c>
      <c r="E2839" s="8" t="s">
        <v>803</v>
      </c>
      <c r="F2839" s="8" t="s">
        <v>1964</v>
      </c>
      <c r="J2839" s="8">
        <v>0</v>
      </c>
      <c r="M2839" s="8" t="s">
        <v>803</v>
      </c>
      <c r="N2839" s="8" t="s">
        <v>203</v>
      </c>
    </row>
    <row r="2840" spans="1:16" ht="25" customHeight="1">
      <c r="A2840" s="12">
        <v>117</v>
      </c>
      <c r="B2840" s="8">
        <v>2</v>
      </c>
      <c r="C2840" s="8">
        <v>13</v>
      </c>
      <c r="D2840" s="8" t="s">
        <v>720</v>
      </c>
      <c r="E2840" s="8" t="s">
        <v>803</v>
      </c>
      <c r="F2840" s="8" t="s">
        <v>1967</v>
      </c>
      <c r="G2840" s="8" t="s">
        <v>465</v>
      </c>
      <c r="H2840" s="8" t="s">
        <v>816</v>
      </c>
      <c r="I2840" s="8" t="s">
        <v>1965</v>
      </c>
      <c r="J2840" s="8">
        <v>-4</v>
      </c>
      <c r="K2840" s="8">
        <v>0</v>
      </c>
      <c r="L2840" s="8">
        <v>0</v>
      </c>
      <c r="M2840" s="8" t="s">
        <v>803</v>
      </c>
      <c r="N2840" s="8" t="s">
        <v>206</v>
      </c>
      <c r="O2840" s="8" t="s">
        <v>465</v>
      </c>
      <c r="P2840" s="8" t="s">
        <v>816</v>
      </c>
    </row>
    <row r="2841" spans="1:16" ht="25" customHeight="1">
      <c r="A2841" s="12">
        <v>118</v>
      </c>
      <c r="B2841" s="8">
        <v>2</v>
      </c>
      <c r="C2841" s="8">
        <v>17</v>
      </c>
      <c r="D2841" s="8" t="s">
        <v>720</v>
      </c>
      <c r="E2841" s="8">
        <v>11</v>
      </c>
      <c r="F2841" s="8" t="s">
        <v>1967</v>
      </c>
      <c r="G2841" s="8" t="s">
        <v>474</v>
      </c>
      <c r="H2841" s="8" t="s">
        <v>1982</v>
      </c>
      <c r="J2841" s="8">
        <v>0</v>
      </c>
      <c r="M2841" s="8" t="s">
        <v>120</v>
      </c>
      <c r="N2841" s="8" t="s">
        <v>206</v>
      </c>
      <c r="O2841" s="8" t="s">
        <v>474</v>
      </c>
      <c r="P2841" s="8" t="s">
        <v>1982</v>
      </c>
    </row>
    <row r="2842" spans="1:16" ht="25" customHeight="1">
      <c r="A2842" s="12">
        <v>119</v>
      </c>
      <c r="B2842" s="8">
        <v>2</v>
      </c>
      <c r="C2842" s="8">
        <v>8</v>
      </c>
      <c r="D2842" s="8" t="s">
        <v>716</v>
      </c>
      <c r="E2842" s="8">
        <v>11</v>
      </c>
      <c r="F2842" s="8" t="s">
        <v>1961</v>
      </c>
      <c r="G2842" s="8" t="s">
        <v>428</v>
      </c>
      <c r="H2842" s="8" t="s">
        <v>818</v>
      </c>
      <c r="I2842" s="8" t="s">
        <v>1965</v>
      </c>
      <c r="J2842" s="8">
        <v>-1</v>
      </c>
      <c r="K2842" s="8">
        <v>0</v>
      </c>
      <c r="L2842" s="8">
        <v>0</v>
      </c>
      <c r="M2842" s="8" t="s">
        <v>120</v>
      </c>
      <c r="N2842" s="8" t="s">
        <v>206</v>
      </c>
      <c r="O2842" s="8" t="s">
        <v>428</v>
      </c>
      <c r="P2842" s="8" t="s">
        <v>818</v>
      </c>
    </row>
    <row r="2843" spans="1:16" ht="25" customHeight="1">
      <c r="A2843" s="12">
        <v>120</v>
      </c>
      <c r="B2843" s="8">
        <v>2</v>
      </c>
      <c r="C2843" s="8">
        <v>14</v>
      </c>
      <c r="D2843" s="8" t="s">
        <v>720</v>
      </c>
      <c r="E2843" s="8" t="s">
        <v>803</v>
      </c>
      <c r="F2843" s="8" t="s">
        <v>1964</v>
      </c>
      <c r="G2843" s="8" t="s">
        <v>428</v>
      </c>
      <c r="H2843" s="8" t="s">
        <v>818</v>
      </c>
      <c r="I2843" s="8" t="s">
        <v>1974</v>
      </c>
      <c r="J2843" s="8">
        <v>-3</v>
      </c>
      <c r="K2843" s="8">
        <v>0</v>
      </c>
      <c r="L2843" s="8">
        <v>0</v>
      </c>
      <c r="M2843" s="8" t="s">
        <v>803</v>
      </c>
      <c r="N2843" s="8" t="s">
        <v>203</v>
      </c>
      <c r="O2843" s="8" t="s">
        <v>428</v>
      </c>
      <c r="P2843" s="8" t="s">
        <v>818</v>
      </c>
    </row>
    <row r="2844" spans="1:16" ht="25" customHeight="1">
      <c r="A2844" s="12">
        <v>121</v>
      </c>
      <c r="B2844" s="8">
        <v>2</v>
      </c>
      <c r="C2844" s="8">
        <v>8</v>
      </c>
      <c r="D2844" s="8" t="s">
        <v>716</v>
      </c>
      <c r="E2844" s="8">
        <v>11</v>
      </c>
      <c r="F2844" s="8" t="s">
        <v>1961</v>
      </c>
      <c r="G2844" s="8" t="s">
        <v>428</v>
      </c>
      <c r="H2844" s="8" t="s">
        <v>816</v>
      </c>
      <c r="I2844" s="8" t="s">
        <v>1965</v>
      </c>
      <c r="J2844" s="8">
        <v>-2</v>
      </c>
      <c r="K2844" s="8">
        <v>0</v>
      </c>
      <c r="L2844" s="8">
        <v>0</v>
      </c>
      <c r="M2844" s="8" t="s">
        <v>120</v>
      </c>
      <c r="N2844" s="8" t="s">
        <v>206</v>
      </c>
      <c r="O2844" s="8" t="s">
        <v>428</v>
      </c>
      <c r="P2844" s="8" t="s">
        <v>816</v>
      </c>
    </row>
    <row r="2845" spans="1:16" ht="25" customHeight="1">
      <c r="A2845" s="12">
        <v>122</v>
      </c>
      <c r="B2845" s="8">
        <v>2</v>
      </c>
      <c r="C2845" s="8">
        <v>11</v>
      </c>
      <c r="D2845" s="8" t="s">
        <v>720</v>
      </c>
      <c r="E2845" s="8">
        <v>12</v>
      </c>
      <c r="F2845" s="8" t="s">
        <v>1964</v>
      </c>
      <c r="G2845" s="8" t="s">
        <v>428</v>
      </c>
      <c r="H2845" s="8" t="s">
        <v>824</v>
      </c>
      <c r="I2845" s="8" t="s">
        <v>1965</v>
      </c>
      <c r="J2845" s="8">
        <v>4</v>
      </c>
      <c r="K2845" s="8">
        <v>1</v>
      </c>
      <c r="L2845" s="8">
        <v>0</v>
      </c>
      <c r="M2845" s="8" t="s">
        <v>123</v>
      </c>
      <c r="N2845" s="8" t="s">
        <v>203</v>
      </c>
      <c r="O2845" s="8" t="s">
        <v>428</v>
      </c>
      <c r="P2845" s="8" t="s">
        <v>824</v>
      </c>
    </row>
    <row r="2846" spans="1:16" ht="25" customHeight="1">
      <c r="A2846" s="12">
        <v>123</v>
      </c>
      <c r="B2846" s="8">
        <v>2</v>
      </c>
      <c r="C2846" s="8">
        <v>9</v>
      </c>
      <c r="D2846" s="8" t="s">
        <v>716</v>
      </c>
      <c r="E2846" s="8" t="s">
        <v>802</v>
      </c>
      <c r="F2846" s="8" t="s">
        <v>1969</v>
      </c>
      <c r="G2846" s="8" t="s">
        <v>428</v>
      </c>
      <c r="H2846" s="8" t="s">
        <v>816</v>
      </c>
      <c r="I2846" s="8" t="s">
        <v>1965</v>
      </c>
      <c r="J2846" s="8">
        <v>7</v>
      </c>
      <c r="K2846" s="8">
        <v>1</v>
      </c>
      <c r="L2846" s="8">
        <v>0</v>
      </c>
      <c r="M2846" s="8" t="s">
        <v>802</v>
      </c>
      <c r="N2846" s="8" t="s">
        <v>811</v>
      </c>
      <c r="O2846" s="8" t="s">
        <v>428</v>
      </c>
      <c r="P2846" s="8" t="s">
        <v>816</v>
      </c>
    </row>
    <row r="2847" spans="1:16" ht="25" customHeight="1">
      <c r="A2847" s="12">
        <v>124</v>
      </c>
      <c r="B2847" s="8">
        <v>2</v>
      </c>
      <c r="C2847" s="8">
        <v>8</v>
      </c>
      <c r="D2847" s="8" t="s">
        <v>716</v>
      </c>
      <c r="E2847" s="8">
        <v>11</v>
      </c>
      <c r="F2847" s="8" t="s">
        <v>1964</v>
      </c>
      <c r="G2847" s="8" t="s">
        <v>465</v>
      </c>
      <c r="H2847" s="8" t="s">
        <v>1600</v>
      </c>
      <c r="I2847" s="8" t="s">
        <v>1965</v>
      </c>
      <c r="J2847" s="8">
        <v>2</v>
      </c>
      <c r="K2847" s="8">
        <v>0</v>
      </c>
      <c r="L2847" s="8">
        <v>0</v>
      </c>
      <c r="M2847" s="8" t="s">
        <v>120</v>
      </c>
      <c r="N2847" s="8" t="s">
        <v>203</v>
      </c>
      <c r="O2847" s="8" t="s">
        <v>465</v>
      </c>
      <c r="P2847" s="8" t="s">
        <v>1600</v>
      </c>
    </row>
    <row r="2848" spans="1:16" ht="25" customHeight="1">
      <c r="A2848" s="12">
        <v>125</v>
      </c>
      <c r="B2848" s="8">
        <v>2</v>
      </c>
      <c r="C2848" s="8">
        <v>21</v>
      </c>
      <c r="D2848" s="8" t="s">
        <v>720</v>
      </c>
      <c r="E2848" s="8" t="s">
        <v>802</v>
      </c>
      <c r="F2848" s="8" t="s">
        <v>1964</v>
      </c>
      <c r="G2848" s="8" t="s">
        <v>428</v>
      </c>
      <c r="H2848" s="8" t="s">
        <v>824</v>
      </c>
      <c r="I2848" s="8" t="s">
        <v>1965</v>
      </c>
      <c r="J2848" s="8">
        <v>4</v>
      </c>
      <c r="K2848" s="8">
        <v>1</v>
      </c>
      <c r="L2848" s="8">
        <v>0</v>
      </c>
      <c r="M2848" s="8" t="s">
        <v>802</v>
      </c>
      <c r="N2848" s="8" t="s">
        <v>203</v>
      </c>
      <c r="O2848" s="8" t="s">
        <v>428</v>
      </c>
      <c r="P2848" s="8" t="s">
        <v>824</v>
      </c>
    </row>
    <row r="2849" spans="1:16" ht="25" customHeight="1">
      <c r="A2849" s="12">
        <v>126</v>
      </c>
      <c r="B2849" s="8">
        <v>2</v>
      </c>
      <c r="C2849" s="8">
        <v>15</v>
      </c>
      <c r="D2849" s="8" t="s">
        <v>720</v>
      </c>
      <c r="E2849" s="8" t="s">
        <v>802</v>
      </c>
      <c r="F2849" s="8" t="s">
        <v>1969</v>
      </c>
      <c r="G2849" s="8" t="s">
        <v>541</v>
      </c>
      <c r="H2849" s="8" t="s">
        <v>1509</v>
      </c>
      <c r="I2849" s="8" t="s">
        <v>1965</v>
      </c>
      <c r="J2849" s="8">
        <v>1</v>
      </c>
      <c r="K2849" s="8">
        <v>0</v>
      </c>
      <c r="L2849" s="8">
        <v>0</v>
      </c>
      <c r="M2849" s="8" t="s">
        <v>802</v>
      </c>
      <c r="N2849" s="8" t="s">
        <v>811</v>
      </c>
      <c r="O2849" s="8" t="s">
        <v>541</v>
      </c>
      <c r="P2849" s="8" t="s">
        <v>1509</v>
      </c>
    </row>
    <row r="2850" spans="1:16" ht="25" customHeight="1">
      <c r="A2850" s="12">
        <v>127</v>
      </c>
      <c r="B2850" s="8">
        <v>2</v>
      </c>
      <c r="C2850" s="8">
        <v>4</v>
      </c>
      <c r="D2850" s="8" t="s">
        <v>711</v>
      </c>
      <c r="E2850" s="8" t="s">
        <v>803</v>
      </c>
      <c r="F2850" s="8" t="s">
        <v>1962</v>
      </c>
      <c r="G2850" s="8" t="s">
        <v>428</v>
      </c>
      <c r="H2850" s="8" t="s">
        <v>816</v>
      </c>
      <c r="I2850" s="8" t="s">
        <v>1965</v>
      </c>
      <c r="J2850" s="8">
        <v>3</v>
      </c>
      <c r="K2850" s="8">
        <v>1</v>
      </c>
      <c r="L2850" s="8">
        <v>0</v>
      </c>
      <c r="M2850" s="8" t="s">
        <v>803</v>
      </c>
      <c r="N2850" s="8" t="s">
        <v>235</v>
      </c>
      <c r="O2850" s="8" t="s">
        <v>428</v>
      </c>
      <c r="P2850" s="8" t="s">
        <v>816</v>
      </c>
    </row>
    <row r="2851" spans="1:16" ht="25" customHeight="1">
      <c r="A2851" s="12">
        <v>128</v>
      </c>
      <c r="B2851" s="8">
        <v>2</v>
      </c>
      <c r="C2851" s="8">
        <v>8</v>
      </c>
      <c r="D2851" s="8" t="s">
        <v>716</v>
      </c>
      <c r="E2851" s="8" t="s">
        <v>1034</v>
      </c>
      <c r="F2851" s="8" t="s">
        <v>1979</v>
      </c>
      <c r="I2851" s="8" t="s">
        <v>1965</v>
      </c>
      <c r="J2851" s="8">
        <v>0</v>
      </c>
      <c r="K2851" s="8">
        <v>0</v>
      </c>
      <c r="L2851" s="8">
        <v>0</v>
      </c>
      <c r="M2851" s="8" t="s">
        <v>1034</v>
      </c>
      <c r="N2851" s="8" t="s">
        <v>222</v>
      </c>
    </row>
    <row r="2852" spans="1:16" ht="25" customHeight="1">
      <c r="A2852" s="12">
        <v>129</v>
      </c>
      <c r="B2852" s="8">
        <v>2</v>
      </c>
      <c r="C2852" s="8">
        <v>13</v>
      </c>
      <c r="D2852" s="8" t="s">
        <v>720</v>
      </c>
      <c r="E2852" s="8">
        <v>11</v>
      </c>
      <c r="F2852" s="8" t="s">
        <v>1962</v>
      </c>
      <c r="G2852" s="8" t="s">
        <v>428</v>
      </c>
      <c r="H2852" s="8" t="s">
        <v>824</v>
      </c>
      <c r="I2852" s="8" t="s">
        <v>1965</v>
      </c>
      <c r="J2852" s="8">
        <v>14</v>
      </c>
      <c r="K2852" s="8">
        <v>1</v>
      </c>
      <c r="L2852" s="8">
        <v>1</v>
      </c>
      <c r="M2852" s="8" t="s">
        <v>120</v>
      </c>
      <c r="N2852" s="8" t="s">
        <v>235</v>
      </c>
      <c r="O2852" s="8" t="s">
        <v>428</v>
      </c>
      <c r="P2852" s="8" t="s">
        <v>824</v>
      </c>
    </row>
    <row r="2853" spans="1:16" ht="25" customHeight="1">
      <c r="A2853" s="12">
        <v>130</v>
      </c>
      <c r="B2853" s="8">
        <v>2</v>
      </c>
      <c r="C2853" s="8">
        <v>4</v>
      </c>
      <c r="D2853" s="8" t="s">
        <v>711</v>
      </c>
      <c r="E2853" s="8" t="s">
        <v>802</v>
      </c>
      <c r="F2853" s="8" t="s">
        <v>1967</v>
      </c>
      <c r="G2853" s="8" t="s">
        <v>428</v>
      </c>
      <c r="H2853" s="8" t="s">
        <v>1433</v>
      </c>
      <c r="J2853" s="8">
        <v>4</v>
      </c>
      <c r="M2853" s="8" t="s">
        <v>802</v>
      </c>
      <c r="N2853" s="8" t="s">
        <v>206</v>
      </c>
      <c r="O2853" s="8" t="s">
        <v>428</v>
      </c>
      <c r="P2853" s="8" t="s">
        <v>1433</v>
      </c>
    </row>
    <row r="2854" spans="1:16" ht="25" customHeight="1">
      <c r="A2854" s="12">
        <v>131</v>
      </c>
      <c r="B2854" s="8">
        <v>3</v>
      </c>
      <c r="C2854" s="8">
        <v>7</v>
      </c>
      <c r="D2854" s="8" t="s">
        <v>716</v>
      </c>
      <c r="E2854" s="8">
        <v>11</v>
      </c>
      <c r="F2854" s="8" t="s">
        <v>1967</v>
      </c>
      <c r="G2854" s="8" t="s">
        <v>446</v>
      </c>
      <c r="H2854" s="8" t="s">
        <v>1494</v>
      </c>
      <c r="I2854" s="8" t="s">
        <v>1965</v>
      </c>
      <c r="J2854" s="8">
        <v>0</v>
      </c>
      <c r="K2854" s="8">
        <v>0</v>
      </c>
      <c r="L2854" s="8">
        <v>0</v>
      </c>
      <c r="M2854" s="8" t="s">
        <v>120</v>
      </c>
      <c r="N2854" s="8" t="s">
        <v>206</v>
      </c>
      <c r="O2854" s="8" t="s">
        <v>446</v>
      </c>
      <c r="P2854" s="8" t="s">
        <v>1494</v>
      </c>
    </row>
    <row r="2855" spans="1:16" ht="25" customHeight="1">
      <c r="A2855" s="12">
        <v>132</v>
      </c>
      <c r="B2855" s="8">
        <v>3</v>
      </c>
      <c r="C2855" s="8">
        <v>9</v>
      </c>
      <c r="D2855" s="8" t="s">
        <v>716</v>
      </c>
      <c r="E2855" s="8">
        <v>11</v>
      </c>
      <c r="F2855" s="8" t="s">
        <v>1961</v>
      </c>
      <c r="G2855" s="8" t="s">
        <v>474</v>
      </c>
      <c r="H2855" s="8" t="s">
        <v>819</v>
      </c>
      <c r="I2855" s="8" t="s">
        <v>1971</v>
      </c>
      <c r="J2855" s="8">
        <v>14</v>
      </c>
      <c r="K2855" s="8">
        <v>1</v>
      </c>
      <c r="L2855" s="8">
        <v>1</v>
      </c>
      <c r="M2855" s="8" t="s">
        <v>120</v>
      </c>
      <c r="N2855" s="8" t="s">
        <v>206</v>
      </c>
      <c r="O2855" s="8" t="s">
        <v>474</v>
      </c>
      <c r="P2855" s="8" t="s">
        <v>819</v>
      </c>
    </row>
    <row r="2856" spans="1:16" ht="25" customHeight="1">
      <c r="A2856" s="12">
        <v>133</v>
      </c>
      <c r="B2856" s="8">
        <v>3</v>
      </c>
      <c r="C2856" s="8">
        <v>9</v>
      </c>
      <c r="D2856" s="8" t="s">
        <v>716</v>
      </c>
      <c r="E2856" s="8">
        <v>11</v>
      </c>
      <c r="F2856" s="8" t="s">
        <v>1964</v>
      </c>
      <c r="G2856" s="8" t="s">
        <v>449</v>
      </c>
      <c r="H2856" s="8" t="s">
        <v>820</v>
      </c>
      <c r="I2856" s="8" t="s">
        <v>1968</v>
      </c>
      <c r="J2856" s="8">
        <v>11</v>
      </c>
      <c r="K2856" s="8">
        <v>0</v>
      </c>
      <c r="L2856" s="8">
        <v>0</v>
      </c>
      <c r="M2856" s="8" t="s">
        <v>120</v>
      </c>
      <c r="N2856" s="8" t="s">
        <v>203</v>
      </c>
      <c r="O2856" s="8" t="s">
        <v>449</v>
      </c>
      <c r="P2856" s="8" t="s">
        <v>820</v>
      </c>
    </row>
    <row r="2857" spans="1:16" ht="25" customHeight="1">
      <c r="A2857" s="12">
        <v>134</v>
      </c>
      <c r="B2857" s="8">
        <v>3</v>
      </c>
      <c r="C2857" s="8">
        <v>2</v>
      </c>
      <c r="D2857" s="8" t="s">
        <v>706</v>
      </c>
      <c r="E2857" s="8" t="s">
        <v>842</v>
      </c>
      <c r="F2857" s="8" t="s">
        <v>1961</v>
      </c>
      <c r="G2857" s="8" t="s">
        <v>465</v>
      </c>
      <c r="H2857" s="8" t="s">
        <v>815</v>
      </c>
      <c r="I2857" s="8" t="s">
        <v>1963</v>
      </c>
      <c r="J2857" s="8">
        <v>-2</v>
      </c>
      <c r="K2857" s="8">
        <v>0</v>
      </c>
      <c r="L2857" s="8">
        <v>0</v>
      </c>
      <c r="M2857" s="8" t="s">
        <v>842</v>
      </c>
      <c r="N2857" s="8" t="s">
        <v>206</v>
      </c>
      <c r="O2857" s="8" t="s">
        <v>465</v>
      </c>
      <c r="P2857" s="8" t="s">
        <v>815</v>
      </c>
    </row>
    <row r="2858" spans="1:16" ht="25" customHeight="1">
      <c r="A2858" s="12">
        <v>135</v>
      </c>
      <c r="B2858" s="8">
        <v>3</v>
      </c>
      <c r="C2858" s="8">
        <v>14</v>
      </c>
      <c r="D2858" s="8" t="s">
        <v>720</v>
      </c>
      <c r="E2858" s="8">
        <v>12</v>
      </c>
      <c r="F2858" s="8" t="s">
        <v>1967</v>
      </c>
      <c r="G2858" s="8" t="s">
        <v>474</v>
      </c>
      <c r="H2858" s="8" t="s">
        <v>819</v>
      </c>
      <c r="I2858" s="8" t="s">
        <v>1963</v>
      </c>
      <c r="J2858" s="8">
        <v>-6</v>
      </c>
      <c r="K2858" s="8">
        <v>0</v>
      </c>
      <c r="L2858" s="8">
        <v>0</v>
      </c>
      <c r="M2858" s="8" t="s">
        <v>123</v>
      </c>
      <c r="N2858" s="8" t="s">
        <v>206</v>
      </c>
      <c r="O2858" s="8" t="s">
        <v>474</v>
      </c>
      <c r="P2858" s="8" t="s">
        <v>819</v>
      </c>
    </row>
    <row r="2859" spans="1:16" ht="25" customHeight="1">
      <c r="A2859" s="12">
        <v>136</v>
      </c>
      <c r="B2859" s="8">
        <v>3</v>
      </c>
      <c r="C2859" s="8">
        <v>4</v>
      </c>
      <c r="D2859" s="8" t="s">
        <v>711</v>
      </c>
      <c r="E2859" s="8" t="s">
        <v>877</v>
      </c>
      <c r="F2859" s="8" t="s">
        <v>1976</v>
      </c>
      <c r="G2859" s="8" t="s">
        <v>878</v>
      </c>
      <c r="H2859" s="8" t="s">
        <v>1619</v>
      </c>
      <c r="I2859" s="8" t="s">
        <v>1965</v>
      </c>
      <c r="J2859" s="8">
        <v>0</v>
      </c>
      <c r="K2859" s="8">
        <v>0</v>
      </c>
      <c r="L2859" s="8">
        <v>0</v>
      </c>
      <c r="M2859" s="8" t="s">
        <v>877</v>
      </c>
      <c r="N2859" s="8" t="s">
        <v>235</v>
      </c>
      <c r="O2859" s="8" t="s">
        <v>878</v>
      </c>
      <c r="P2859" s="8" t="s">
        <v>1619</v>
      </c>
    </row>
    <row r="2860" spans="1:16" ht="25" customHeight="1">
      <c r="A2860" s="12">
        <v>137</v>
      </c>
      <c r="B2860" s="8">
        <v>3</v>
      </c>
      <c r="C2860" s="8">
        <v>2</v>
      </c>
      <c r="D2860" s="8" t="s">
        <v>706</v>
      </c>
      <c r="E2860" s="8">
        <v>11</v>
      </c>
      <c r="F2860" s="8" t="s">
        <v>1961</v>
      </c>
      <c r="G2860" s="8" t="s">
        <v>446</v>
      </c>
      <c r="H2860" s="8" t="s">
        <v>820</v>
      </c>
      <c r="I2860" s="8" t="s">
        <v>1963</v>
      </c>
      <c r="J2860" s="8">
        <v>0</v>
      </c>
      <c r="K2860" s="8">
        <v>0</v>
      </c>
      <c r="L2860" s="8">
        <v>0</v>
      </c>
      <c r="M2860" s="8" t="s">
        <v>120</v>
      </c>
      <c r="N2860" s="8" t="s">
        <v>206</v>
      </c>
      <c r="O2860" s="8" t="s">
        <v>446</v>
      </c>
      <c r="P2860" s="8" t="s">
        <v>820</v>
      </c>
    </row>
    <row r="2861" spans="1:16" ht="25" customHeight="1">
      <c r="A2861" s="12">
        <v>138</v>
      </c>
      <c r="B2861" s="8">
        <v>3</v>
      </c>
      <c r="C2861" s="8">
        <v>4</v>
      </c>
      <c r="D2861" s="8" t="s">
        <v>711</v>
      </c>
      <c r="E2861" s="8">
        <v>11</v>
      </c>
      <c r="F2861" s="8" t="s">
        <v>1961</v>
      </c>
      <c r="G2861" s="8" t="s">
        <v>449</v>
      </c>
      <c r="H2861" s="8" t="s">
        <v>1624</v>
      </c>
      <c r="I2861" s="8" t="s">
        <v>1965</v>
      </c>
      <c r="J2861" s="8">
        <v>0</v>
      </c>
      <c r="K2861" s="8">
        <v>0</v>
      </c>
      <c r="L2861" s="8">
        <v>0</v>
      </c>
      <c r="M2861" s="8" t="s">
        <v>120</v>
      </c>
      <c r="N2861" s="8" t="s">
        <v>206</v>
      </c>
      <c r="O2861" s="8" t="s">
        <v>449</v>
      </c>
      <c r="P2861" s="8" t="s">
        <v>1624</v>
      </c>
    </row>
    <row r="2862" spans="1:16" ht="25" customHeight="1">
      <c r="A2862" s="12">
        <v>139</v>
      </c>
      <c r="B2862" s="8">
        <v>3</v>
      </c>
      <c r="C2862" s="8">
        <v>9</v>
      </c>
      <c r="D2862" s="8" t="s">
        <v>716</v>
      </c>
      <c r="E2862" s="8">
        <v>11</v>
      </c>
      <c r="F2862" s="8" t="s">
        <v>1967</v>
      </c>
      <c r="G2862" s="8" t="s">
        <v>449</v>
      </c>
      <c r="H2862" s="8" t="s">
        <v>821</v>
      </c>
      <c r="I2862" s="8" t="s">
        <v>1974</v>
      </c>
      <c r="J2862" s="8">
        <v>0</v>
      </c>
      <c r="K2862" s="8">
        <v>0</v>
      </c>
      <c r="L2862" s="8">
        <v>0</v>
      </c>
      <c r="M2862" s="8" t="s">
        <v>120</v>
      </c>
      <c r="N2862" s="8" t="s">
        <v>206</v>
      </c>
      <c r="O2862" s="8" t="s">
        <v>449</v>
      </c>
      <c r="P2862" s="8" t="s">
        <v>821</v>
      </c>
    </row>
    <row r="2863" spans="1:16" ht="25" customHeight="1">
      <c r="A2863" s="12">
        <v>140</v>
      </c>
      <c r="B2863" s="8">
        <v>3</v>
      </c>
      <c r="C2863" s="8">
        <v>10</v>
      </c>
      <c r="D2863" s="8" t="s">
        <v>716</v>
      </c>
      <c r="E2863" s="8">
        <v>11</v>
      </c>
      <c r="F2863" s="8" t="s">
        <v>1961</v>
      </c>
      <c r="G2863" s="8" t="s">
        <v>449</v>
      </c>
      <c r="H2863" s="8" t="s">
        <v>821</v>
      </c>
      <c r="I2863" s="8" t="s">
        <v>1968</v>
      </c>
      <c r="J2863" s="8">
        <v>0</v>
      </c>
      <c r="K2863" s="8">
        <v>0</v>
      </c>
      <c r="L2863" s="8">
        <v>0</v>
      </c>
      <c r="M2863" s="8" t="s">
        <v>120</v>
      </c>
      <c r="N2863" s="8" t="s">
        <v>206</v>
      </c>
      <c r="O2863" s="8" t="s">
        <v>449</v>
      </c>
      <c r="P2863" s="8" t="s">
        <v>821</v>
      </c>
    </row>
    <row r="2864" spans="1:16" ht="25" customHeight="1">
      <c r="A2864" s="12">
        <v>141</v>
      </c>
      <c r="B2864" s="8">
        <v>3</v>
      </c>
      <c r="C2864" s="8">
        <v>4</v>
      </c>
      <c r="D2864" s="8" t="s">
        <v>711</v>
      </c>
      <c r="E2864" s="8">
        <v>11</v>
      </c>
      <c r="F2864" s="8" t="s">
        <v>1961</v>
      </c>
      <c r="G2864" s="8" t="s">
        <v>449</v>
      </c>
      <c r="H2864" s="8" t="s">
        <v>1629</v>
      </c>
      <c r="I2864" s="8" t="s">
        <v>1975</v>
      </c>
      <c r="J2864" s="8">
        <v>10</v>
      </c>
      <c r="K2864" s="8">
        <v>0</v>
      </c>
      <c r="L2864" s="8">
        <v>0</v>
      </c>
      <c r="M2864" s="8" t="s">
        <v>120</v>
      </c>
      <c r="N2864" s="8" t="s">
        <v>206</v>
      </c>
      <c r="O2864" s="8" t="s">
        <v>449</v>
      </c>
      <c r="P2864" s="8" t="s">
        <v>1629</v>
      </c>
    </row>
    <row r="2865" spans="1:16" ht="25" customHeight="1">
      <c r="A2865" s="12">
        <v>142</v>
      </c>
      <c r="B2865" s="8">
        <v>3</v>
      </c>
      <c r="C2865" s="8">
        <v>4</v>
      </c>
      <c r="D2865" s="8" t="s">
        <v>711</v>
      </c>
      <c r="E2865" s="8">
        <v>11</v>
      </c>
      <c r="F2865" s="8" t="s">
        <v>1964</v>
      </c>
      <c r="G2865" s="8" t="s">
        <v>449</v>
      </c>
      <c r="H2865" s="8" t="s">
        <v>1523</v>
      </c>
      <c r="I2865" s="8" t="s">
        <v>1974</v>
      </c>
      <c r="J2865" s="8">
        <v>5</v>
      </c>
      <c r="K2865" s="8">
        <v>0</v>
      </c>
      <c r="L2865" s="8">
        <v>0</v>
      </c>
      <c r="M2865" s="8" t="s">
        <v>120</v>
      </c>
      <c r="N2865" s="8" t="s">
        <v>203</v>
      </c>
      <c r="O2865" s="8" t="s">
        <v>449</v>
      </c>
      <c r="P2865" s="8" t="s">
        <v>1523</v>
      </c>
    </row>
    <row r="2866" spans="1:16" ht="25" customHeight="1">
      <c r="A2866" s="12">
        <v>143</v>
      </c>
      <c r="B2866" s="8">
        <v>3</v>
      </c>
      <c r="C2866" s="8">
        <v>5</v>
      </c>
      <c r="D2866" s="8" t="s">
        <v>711</v>
      </c>
      <c r="E2866" s="8">
        <v>11</v>
      </c>
      <c r="F2866" s="8" t="s">
        <v>1961</v>
      </c>
      <c r="G2866" s="8" t="s">
        <v>605</v>
      </c>
      <c r="H2866" s="8" t="s">
        <v>49</v>
      </c>
      <c r="I2866" s="8" t="s">
        <v>1963</v>
      </c>
      <c r="J2866" s="8">
        <v>0</v>
      </c>
      <c r="K2866" s="8">
        <v>0</v>
      </c>
      <c r="L2866" s="8">
        <v>0</v>
      </c>
      <c r="M2866" s="8" t="s">
        <v>120</v>
      </c>
      <c r="N2866" s="8" t="s">
        <v>206</v>
      </c>
      <c r="O2866" s="8" t="s">
        <v>605</v>
      </c>
      <c r="P2866" s="8" t="s">
        <v>49</v>
      </c>
    </row>
    <row r="2867" spans="1:16" ht="25" customHeight="1">
      <c r="A2867" s="12">
        <v>144</v>
      </c>
      <c r="B2867" s="8">
        <v>3</v>
      </c>
      <c r="C2867" s="8">
        <v>5</v>
      </c>
      <c r="D2867" s="8" t="s">
        <v>711</v>
      </c>
      <c r="E2867" s="8">
        <v>11</v>
      </c>
      <c r="F2867" s="8" t="s">
        <v>1979</v>
      </c>
      <c r="G2867" s="8" t="s">
        <v>449</v>
      </c>
      <c r="H2867" s="8" t="s">
        <v>1635</v>
      </c>
      <c r="I2867" s="8" t="s">
        <v>1963</v>
      </c>
      <c r="J2867" s="8">
        <v>0</v>
      </c>
      <c r="K2867" s="8">
        <v>0</v>
      </c>
      <c r="L2867" s="8">
        <v>0</v>
      </c>
      <c r="M2867" s="8" t="s">
        <v>120</v>
      </c>
      <c r="N2867" s="8" t="s">
        <v>222</v>
      </c>
      <c r="O2867" s="8" t="s">
        <v>449</v>
      </c>
      <c r="P2867" s="8" t="s">
        <v>1635</v>
      </c>
    </row>
    <row r="2868" spans="1:16" ht="25" customHeight="1">
      <c r="A2868" s="12">
        <v>145</v>
      </c>
      <c r="B2868" s="8">
        <v>3</v>
      </c>
      <c r="C2868" s="8">
        <v>6</v>
      </c>
      <c r="D2868" s="8" t="s">
        <v>711</v>
      </c>
      <c r="E2868" s="8">
        <v>11</v>
      </c>
      <c r="F2868" s="8" t="s">
        <v>1967</v>
      </c>
      <c r="G2868" s="8" t="s">
        <v>474</v>
      </c>
      <c r="H2868" s="8" t="s">
        <v>1638</v>
      </c>
      <c r="I2868" s="8" t="s">
        <v>1968</v>
      </c>
      <c r="J2868" s="8">
        <v>9</v>
      </c>
      <c r="K2868" s="8">
        <v>0</v>
      </c>
      <c r="L2868" s="8">
        <v>0</v>
      </c>
      <c r="M2868" s="8" t="s">
        <v>120</v>
      </c>
      <c r="N2868" s="8" t="s">
        <v>206</v>
      </c>
      <c r="O2868" s="8" t="s">
        <v>474</v>
      </c>
      <c r="P2868" s="8" t="s">
        <v>1638</v>
      </c>
    </row>
    <row r="2869" spans="1:16" ht="25" customHeight="1">
      <c r="A2869" s="12">
        <v>146</v>
      </c>
      <c r="B2869" s="8">
        <v>3</v>
      </c>
      <c r="C2869" s="8">
        <v>10</v>
      </c>
      <c r="D2869" s="8" t="s">
        <v>716</v>
      </c>
      <c r="E2869" s="8">
        <v>11</v>
      </c>
      <c r="F2869" s="8" t="s">
        <v>1967</v>
      </c>
      <c r="G2869" s="8" t="s">
        <v>465</v>
      </c>
      <c r="H2869" s="8" t="s">
        <v>1398</v>
      </c>
      <c r="I2869" s="8" t="s">
        <v>1974</v>
      </c>
      <c r="J2869" s="8">
        <v>6</v>
      </c>
      <c r="K2869" s="8">
        <v>0</v>
      </c>
      <c r="L2869" s="8">
        <v>0</v>
      </c>
      <c r="M2869" s="8" t="s">
        <v>120</v>
      </c>
      <c r="N2869" s="8" t="s">
        <v>206</v>
      </c>
      <c r="O2869" s="8" t="s">
        <v>465</v>
      </c>
      <c r="P2869" s="8" t="s">
        <v>1398</v>
      </c>
    </row>
    <row r="2870" spans="1:16" ht="25" customHeight="1">
      <c r="A2870" s="12">
        <v>147</v>
      </c>
      <c r="B2870" s="8">
        <v>3</v>
      </c>
      <c r="C2870" s="8">
        <v>9</v>
      </c>
      <c r="D2870" s="8" t="s">
        <v>716</v>
      </c>
      <c r="E2870" s="8">
        <v>11</v>
      </c>
      <c r="F2870" s="8" t="s">
        <v>1976</v>
      </c>
      <c r="G2870" s="8" t="s">
        <v>468</v>
      </c>
      <c r="H2870" s="8" t="s">
        <v>1635</v>
      </c>
      <c r="I2870" s="8" t="s">
        <v>1963</v>
      </c>
      <c r="J2870" s="8">
        <v>9</v>
      </c>
      <c r="K2870" s="8">
        <v>1</v>
      </c>
      <c r="L2870" s="8">
        <v>0</v>
      </c>
      <c r="M2870" s="8" t="s">
        <v>120</v>
      </c>
      <c r="N2870" s="8" t="s">
        <v>235</v>
      </c>
      <c r="O2870" s="8" t="s">
        <v>468</v>
      </c>
      <c r="P2870" s="8" t="s">
        <v>1635</v>
      </c>
    </row>
    <row r="2871" spans="1:16" ht="25" customHeight="1">
      <c r="A2871" s="12">
        <v>148</v>
      </c>
      <c r="B2871" s="8">
        <v>3</v>
      </c>
      <c r="C2871" s="8">
        <v>4</v>
      </c>
      <c r="D2871" s="8" t="s">
        <v>711</v>
      </c>
      <c r="E2871" s="8">
        <v>11</v>
      </c>
      <c r="F2871" s="8" t="s">
        <v>1967</v>
      </c>
      <c r="G2871" s="8" t="s">
        <v>428</v>
      </c>
      <c r="H2871" s="8" t="s">
        <v>816</v>
      </c>
      <c r="I2871" s="8" t="s">
        <v>1965</v>
      </c>
      <c r="J2871" s="8">
        <v>0</v>
      </c>
      <c r="K2871" s="8">
        <v>0</v>
      </c>
      <c r="L2871" s="8">
        <v>0</v>
      </c>
      <c r="M2871" s="8" t="s">
        <v>120</v>
      </c>
      <c r="N2871" s="8" t="s">
        <v>206</v>
      </c>
      <c r="O2871" s="8" t="s">
        <v>428</v>
      </c>
      <c r="P2871" s="8" t="s">
        <v>816</v>
      </c>
    </row>
    <row r="2872" spans="1:16" ht="25" customHeight="1">
      <c r="A2872" s="12">
        <v>149</v>
      </c>
      <c r="B2872" s="8">
        <v>3</v>
      </c>
      <c r="C2872" s="8">
        <v>3</v>
      </c>
      <c r="D2872" s="8" t="s">
        <v>706</v>
      </c>
      <c r="E2872" s="8">
        <v>11</v>
      </c>
      <c r="F2872" s="8" t="s">
        <v>1961</v>
      </c>
      <c r="G2872" s="8" t="s">
        <v>446</v>
      </c>
      <c r="H2872" s="8" t="s">
        <v>820</v>
      </c>
      <c r="I2872" s="8" t="s">
        <v>1966</v>
      </c>
      <c r="J2872" s="8">
        <v>1</v>
      </c>
      <c r="K2872" s="8">
        <v>0</v>
      </c>
      <c r="L2872" s="8">
        <v>0</v>
      </c>
      <c r="M2872" s="8" t="s">
        <v>120</v>
      </c>
      <c r="N2872" s="8" t="s">
        <v>206</v>
      </c>
      <c r="O2872" s="8" t="s">
        <v>446</v>
      </c>
      <c r="P2872" s="8" t="s">
        <v>820</v>
      </c>
    </row>
    <row r="2873" spans="1:16" ht="25" customHeight="1">
      <c r="A2873" s="12">
        <v>150</v>
      </c>
      <c r="B2873" s="8">
        <v>3</v>
      </c>
      <c r="C2873" s="8">
        <v>13</v>
      </c>
      <c r="D2873" s="8" t="s">
        <v>720</v>
      </c>
      <c r="E2873" s="8">
        <v>11</v>
      </c>
      <c r="F2873" s="8" t="s">
        <v>1961</v>
      </c>
      <c r="G2873" s="8" t="s">
        <v>449</v>
      </c>
      <c r="H2873" s="8" t="s">
        <v>1645</v>
      </c>
      <c r="I2873" s="8" t="s">
        <v>1965</v>
      </c>
      <c r="J2873" s="8">
        <v>0</v>
      </c>
      <c r="K2873" s="8">
        <v>0</v>
      </c>
      <c r="L2873" s="8">
        <v>0</v>
      </c>
      <c r="M2873" s="8" t="s">
        <v>120</v>
      </c>
      <c r="N2873" s="8" t="s">
        <v>206</v>
      </c>
      <c r="O2873" s="8" t="s">
        <v>449</v>
      </c>
      <c r="P2873" s="8" t="s">
        <v>1645</v>
      </c>
    </row>
    <row r="2874" spans="1:16" ht="25" customHeight="1">
      <c r="A2874" s="12">
        <v>151</v>
      </c>
      <c r="B2874" s="8">
        <v>3</v>
      </c>
      <c r="C2874" s="8">
        <v>10</v>
      </c>
      <c r="D2874" s="8" t="s">
        <v>716</v>
      </c>
      <c r="E2874" s="8">
        <v>11</v>
      </c>
      <c r="F2874" s="8" t="s">
        <v>1964</v>
      </c>
      <c r="G2874" s="8" t="s">
        <v>449</v>
      </c>
      <c r="H2874" s="8" t="s">
        <v>820</v>
      </c>
      <c r="I2874" s="8" t="s">
        <v>1966</v>
      </c>
      <c r="J2874" s="8">
        <v>0</v>
      </c>
      <c r="K2874" s="8">
        <v>0</v>
      </c>
      <c r="L2874" s="8">
        <v>0</v>
      </c>
      <c r="M2874" s="8" t="s">
        <v>120</v>
      </c>
      <c r="N2874" s="8" t="s">
        <v>203</v>
      </c>
      <c r="O2874" s="8" t="s">
        <v>449</v>
      </c>
      <c r="P2874" s="8" t="s">
        <v>820</v>
      </c>
    </row>
    <row r="2875" spans="1:16" ht="25" customHeight="1">
      <c r="A2875" s="12">
        <v>152</v>
      </c>
      <c r="B2875" s="8">
        <v>3</v>
      </c>
      <c r="C2875" s="8">
        <v>4</v>
      </c>
      <c r="D2875" s="8" t="s">
        <v>711</v>
      </c>
      <c r="E2875" s="8">
        <v>11</v>
      </c>
      <c r="F2875" s="8" t="s">
        <v>1967</v>
      </c>
      <c r="G2875" s="8" t="s">
        <v>449</v>
      </c>
      <c r="H2875" s="8" t="s">
        <v>1648</v>
      </c>
      <c r="I2875" s="8" t="s">
        <v>1974</v>
      </c>
      <c r="J2875" s="8">
        <v>3</v>
      </c>
      <c r="K2875" s="8">
        <v>0</v>
      </c>
      <c r="L2875" s="8">
        <v>0</v>
      </c>
      <c r="M2875" s="8" t="s">
        <v>120</v>
      </c>
      <c r="N2875" s="8" t="s">
        <v>206</v>
      </c>
      <c r="O2875" s="8" t="s">
        <v>449</v>
      </c>
      <c r="P2875" s="8" t="s">
        <v>1648</v>
      </c>
    </row>
    <row r="2876" spans="1:16" ht="25" customHeight="1">
      <c r="A2876" s="12">
        <v>153</v>
      </c>
      <c r="B2876" s="8">
        <v>3</v>
      </c>
      <c r="C2876" s="8">
        <v>2</v>
      </c>
      <c r="D2876" s="8" t="s">
        <v>706</v>
      </c>
      <c r="E2876" s="8">
        <v>12</v>
      </c>
      <c r="F2876" s="8" t="s">
        <v>1964</v>
      </c>
      <c r="G2876" s="8" t="s">
        <v>474</v>
      </c>
      <c r="H2876" s="8" t="s">
        <v>1650</v>
      </c>
      <c r="I2876" s="8" t="s">
        <v>1974</v>
      </c>
      <c r="J2876" s="8">
        <v>0</v>
      </c>
      <c r="K2876" s="8">
        <v>0</v>
      </c>
      <c r="L2876" s="8">
        <v>0</v>
      </c>
      <c r="M2876" s="8" t="s">
        <v>123</v>
      </c>
      <c r="N2876" s="8" t="s">
        <v>203</v>
      </c>
      <c r="O2876" s="8" t="s">
        <v>474</v>
      </c>
      <c r="P2876" s="8" t="s">
        <v>1650</v>
      </c>
    </row>
    <row r="2877" spans="1:16" ht="25" customHeight="1">
      <c r="A2877" s="12">
        <v>154</v>
      </c>
      <c r="B2877" s="8">
        <v>3</v>
      </c>
      <c r="C2877" s="8">
        <v>6</v>
      </c>
      <c r="D2877" s="8" t="s">
        <v>711</v>
      </c>
      <c r="E2877" s="8">
        <v>11</v>
      </c>
      <c r="F2877" s="8" t="s">
        <v>1961</v>
      </c>
      <c r="G2877" s="8" t="s">
        <v>449</v>
      </c>
      <c r="H2877" s="8" t="s">
        <v>821</v>
      </c>
      <c r="I2877" s="8" t="s">
        <v>1963</v>
      </c>
      <c r="J2877" s="8">
        <v>0</v>
      </c>
      <c r="K2877" s="8">
        <v>0</v>
      </c>
      <c r="L2877" s="8">
        <v>0</v>
      </c>
      <c r="M2877" s="8" t="s">
        <v>120</v>
      </c>
      <c r="N2877" s="8" t="s">
        <v>206</v>
      </c>
      <c r="O2877" s="8" t="s">
        <v>449</v>
      </c>
      <c r="P2877" s="8" t="s">
        <v>821</v>
      </c>
    </row>
    <row r="2878" spans="1:16" ht="25" customHeight="1">
      <c r="A2878" s="12">
        <v>155</v>
      </c>
      <c r="B2878" s="8">
        <v>3</v>
      </c>
      <c r="C2878" s="8">
        <v>9</v>
      </c>
      <c r="D2878" s="8" t="s">
        <v>716</v>
      </c>
      <c r="E2878" s="8">
        <v>11</v>
      </c>
      <c r="F2878" s="8" t="s">
        <v>1961</v>
      </c>
      <c r="G2878" s="8" t="s">
        <v>449</v>
      </c>
      <c r="H2878" s="8" t="s">
        <v>1655</v>
      </c>
      <c r="I2878" s="8" t="s">
        <v>1963</v>
      </c>
      <c r="J2878" s="8">
        <v>-6</v>
      </c>
      <c r="K2878" s="8">
        <v>0</v>
      </c>
      <c r="L2878" s="8">
        <v>0</v>
      </c>
      <c r="M2878" s="8" t="s">
        <v>120</v>
      </c>
      <c r="N2878" s="8" t="s">
        <v>206</v>
      </c>
      <c r="O2878" s="8" t="s">
        <v>449</v>
      </c>
      <c r="P2878" s="8" t="s">
        <v>1655</v>
      </c>
    </row>
    <row r="2879" spans="1:16" ht="25" customHeight="1">
      <c r="A2879" s="12">
        <v>156</v>
      </c>
      <c r="B2879" s="8">
        <v>3</v>
      </c>
      <c r="C2879" s="8">
        <v>6</v>
      </c>
      <c r="D2879" s="8" t="s">
        <v>711</v>
      </c>
      <c r="E2879" s="8">
        <v>11</v>
      </c>
      <c r="F2879" s="8" t="s">
        <v>1967</v>
      </c>
      <c r="G2879" s="8" t="s">
        <v>605</v>
      </c>
      <c r="H2879" s="8" t="s">
        <v>49</v>
      </c>
      <c r="I2879" s="8" t="s">
        <v>1974</v>
      </c>
      <c r="J2879" s="8">
        <v>18</v>
      </c>
      <c r="K2879" s="8">
        <v>0</v>
      </c>
      <c r="L2879" s="8">
        <v>0</v>
      </c>
      <c r="M2879" s="8" t="s">
        <v>120</v>
      </c>
      <c r="N2879" s="8" t="s">
        <v>206</v>
      </c>
      <c r="O2879" s="8" t="s">
        <v>605</v>
      </c>
      <c r="P2879" s="8" t="s">
        <v>49</v>
      </c>
    </row>
    <row r="2880" spans="1:16" ht="25" customHeight="1">
      <c r="A2880" s="12">
        <v>157</v>
      </c>
      <c r="B2880" s="8">
        <v>3</v>
      </c>
      <c r="C2880" s="8">
        <v>10</v>
      </c>
      <c r="D2880" s="8" t="s">
        <v>716</v>
      </c>
      <c r="E2880" s="8">
        <v>11</v>
      </c>
      <c r="F2880" s="8" t="s">
        <v>1964</v>
      </c>
      <c r="G2880" s="8" t="s">
        <v>449</v>
      </c>
      <c r="H2880" s="8" t="s">
        <v>1523</v>
      </c>
      <c r="I2880" s="8" t="s">
        <v>1977</v>
      </c>
      <c r="J2880" s="8">
        <v>18</v>
      </c>
      <c r="K2880" s="8">
        <v>0</v>
      </c>
      <c r="L2880" s="8">
        <v>0</v>
      </c>
      <c r="M2880" s="8" t="s">
        <v>120</v>
      </c>
      <c r="N2880" s="8" t="s">
        <v>203</v>
      </c>
      <c r="O2880" s="8" t="s">
        <v>449</v>
      </c>
      <c r="P2880" s="8" t="s">
        <v>1523</v>
      </c>
    </row>
    <row r="2881" spans="1:16" ht="25" customHeight="1">
      <c r="A2881" s="12">
        <v>158</v>
      </c>
      <c r="B2881" s="8">
        <v>3</v>
      </c>
      <c r="C2881" s="8">
        <v>9</v>
      </c>
      <c r="D2881" s="8" t="s">
        <v>716</v>
      </c>
      <c r="E2881" s="8">
        <v>11</v>
      </c>
      <c r="F2881" s="8" t="s">
        <v>1964</v>
      </c>
      <c r="G2881" s="8" t="s">
        <v>449</v>
      </c>
      <c r="H2881" s="8" t="s">
        <v>1660</v>
      </c>
      <c r="I2881" s="8" t="s">
        <v>1963</v>
      </c>
      <c r="J2881" s="8">
        <v>0</v>
      </c>
      <c r="K2881" s="8">
        <v>0</v>
      </c>
      <c r="L2881" s="8">
        <v>0</v>
      </c>
      <c r="M2881" s="8" t="s">
        <v>120</v>
      </c>
      <c r="N2881" s="8" t="s">
        <v>203</v>
      </c>
      <c r="O2881" s="8" t="s">
        <v>449</v>
      </c>
      <c r="P2881" s="8" t="s">
        <v>1660</v>
      </c>
    </row>
    <row r="2882" spans="1:16" ht="25" customHeight="1">
      <c r="A2882" s="12">
        <v>159</v>
      </c>
      <c r="B2882" s="8">
        <v>3</v>
      </c>
      <c r="C2882" s="8">
        <v>3</v>
      </c>
      <c r="D2882" s="8" t="s">
        <v>706</v>
      </c>
      <c r="E2882" s="8">
        <v>11</v>
      </c>
      <c r="F2882" s="8" t="s">
        <v>1964</v>
      </c>
      <c r="G2882" s="8" t="s">
        <v>449</v>
      </c>
      <c r="H2882" s="8" t="s">
        <v>1662</v>
      </c>
      <c r="I2882" s="8" t="s">
        <v>1963</v>
      </c>
      <c r="J2882" s="8">
        <v>5</v>
      </c>
      <c r="K2882" s="8">
        <v>1</v>
      </c>
      <c r="L2882" s="8">
        <v>0</v>
      </c>
      <c r="M2882" s="8" t="s">
        <v>120</v>
      </c>
      <c r="N2882" s="8" t="s">
        <v>203</v>
      </c>
      <c r="O2882" s="8" t="s">
        <v>449</v>
      </c>
      <c r="P2882" s="8" t="s">
        <v>1662</v>
      </c>
    </row>
    <row r="2883" spans="1:16" ht="25" customHeight="1">
      <c r="A2883" s="12">
        <v>160</v>
      </c>
      <c r="B2883" s="8">
        <v>3</v>
      </c>
      <c r="C2883" s="8">
        <v>12</v>
      </c>
      <c r="D2883" s="8" t="s">
        <v>720</v>
      </c>
      <c r="E2883" s="8">
        <v>10</v>
      </c>
      <c r="F2883" s="8" t="s">
        <v>1967</v>
      </c>
      <c r="G2883" s="8" t="s">
        <v>465</v>
      </c>
      <c r="H2883" s="8" t="s">
        <v>816</v>
      </c>
      <c r="I2883" s="8" t="s">
        <v>1974</v>
      </c>
      <c r="J2883" s="8">
        <v>7</v>
      </c>
      <c r="K2883" s="8">
        <v>0</v>
      </c>
      <c r="L2883" s="8">
        <v>0</v>
      </c>
      <c r="M2883" s="8" t="s">
        <v>175</v>
      </c>
      <c r="N2883" s="8" t="s">
        <v>206</v>
      </c>
      <c r="O2883" s="8" t="s">
        <v>465</v>
      </c>
      <c r="P2883" s="8" t="s">
        <v>816</v>
      </c>
    </row>
    <row r="2884" spans="1:16" ht="25" customHeight="1">
      <c r="A2884" s="12">
        <v>161</v>
      </c>
      <c r="B2884" s="8">
        <v>3</v>
      </c>
      <c r="C2884" s="8">
        <v>3</v>
      </c>
      <c r="D2884" s="8" t="s">
        <v>706</v>
      </c>
      <c r="E2884" s="8">
        <v>11</v>
      </c>
      <c r="F2884" s="8" t="s">
        <v>1961</v>
      </c>
      <c r="I2884" s="8" t="s">
        <v>1963</v>
      </c>
      <c r="J2884" s="8">
        <v>0</v>
      </c>
      <c r="K2884" s="8">
        <v>0</v>
      </c>
      <c r="L2884" s="8">
        <v>0</v>
      </c>
      <c r="M2884" s="8" t="s">
        <v>120</v>
      </c>
      <c r="N2884" s="8" t="s">
        <v>206</v>
      </c>
    </row>
    <row r="2885" spans="1:16" ht="25" customHeight="1">
      <c r="A2885" s="12">
        <v>162</v>
      </c>
      <c r="B2885" s="8">
        <v>3</v>
      </c>
      <c r="C2885" s="8">
        <v>8</v>
      </c>
      <c r="D2885" s="8" t="s">
        <v>716</v>
      </c>
      <c r="E2885" s="8">
        <v>11</v>
      </c>
      <c r="F2885" s="8" t="s">
        <v>1961</v>
      </c>
      <c r="G2885" s="8" t="s">
        <v>465</v>
      </c>
      <c r="H2885" s="8" t="s">
        <v>1439</v>
      </c>
      <c r="I2885" s="8" t="s">
        <v>1965</v>
      </c>
      <c r="J2885" s="8">
        <v>4</v>
      </c>
      <c r="K2885" s="8">
        <v>1</v>
      </c>
      <c r="L2885" s="8">
        <v>0</v>
      </c>
      <c r="M2885" s="8" t="s">
        <v>120</v>
      </c>
      <c r="N2885" s="8" t="s">
        <v>206</v>
      </c>
      <c r="O2885" s="8" t="s">
        <v>465</v>
      </c>
      <c r="P2885" s="8" t="s">
        <v>1439</v>
      </c>
    </row>
    <row r="2886" spans="1:16" ht="25" customHeight="1">
      <c r="A2886" s="12">
        <v>163</v>
      </c>
      <c r="B2886" s="8">
        <v>3</v>
      </c>
      <c r="C2886" s="8">
        <v>9</v>
      </c>
      <c r="D2886" s="8" t="s">
        <v>716</v>
      </c>
      <c r="E2886" s="8">
        <v>11</v>
      </c>
      <c r="F2886" s="8" t="s">
        <v>1964</v>
      </c>
      <c r="G2886" s="8" t="s">
        <v>465</v>
      </c>
      <c r="H2886" s="8" t="s">
        <v>815</v>
      </c>
      <c r="J2886" s="8">
        <v>3</v>
      </c>
      <c r="M2886" s="8" t="s">
        <v>120</v>
      </c>
      <c r="N2886" s="8" t="s">
        <v>203</v>
      </c>
      <c r="O2886" s="8" t="s">
        <v>465</v>
      </c>
      <c r="P2886" s="8" t="s">
        <v>815</v>
      </c>
    </row>
    <row r="2887" spans="1:16" ht="25" customHeight="1">
      <c r="A2887" s="12">
        <v>164</v>
      </c>
      <c r="B2887" s="8">
        <v>3</v>
      </c>
      <c r="C2887" s="8">
        <v>4</v>
      </c>
      <c r="D2887" s="8" t="s">
        <v>711</v>
      </c>
      <c r="E2887" s="8">
        <v>11</v>
      </c>
      <c r="F2887" s="8" t="s">
        <v>1961</v>
      </c>
      <c r="G2887" s="8" t="s">
        <v>428</v>
      </c>
      <c r="H2887" s="8" t="s">
        <v>824</v>
      </c>
      <c r="I2887" s="8" t="s">
        <v>1965</v>
      </c>
      <c r="J2887" s="8">
        <v>2</v>
      </c>
      <c r="K2887" s="8">
        <v>0</v>
      </c>
      <c r="L2887" s="8">
        <v>0</v>
      </c>
      <c r="M2887" s="8" t="s">
        <v>120</v>
      </c>
      <c r="N2887" s="8" t="s">
        <v>206</v>
      </c>
      <c r="O2887" s="8" t="s">
        <v>428</v>
      </c>
      <c r="P2887" s="8" t="s">
        <v>824</v>
      </c>
    </row>
    <row r="2888" spans="1:16" ht="25" customHeight="1">
      <c r="A2888" s="12">
        <v>165</v>
      </c>
      <c r="B2888" s="8">
        <v>3</v>
      </c>
      <c r="C2888" s="8">
        <v>17</v>
      </c>
      <c r="D2888" s="8" t="s">
        <v>720</v>
      </c>
      <c r="E2888" s="8">
        <v>10</v>
      </c>
      <c r="F2888" s="8" t="s">
        <v>1961</v>
      </c>
      <c r="G2888" s="8" t="s">
        <v>428</v>
      </c>
      <c r="H2888" s="8" t="s">
        <v>816</v>
      </c>
      <c r="I2888" s="8" t="s">
        <v>1965</v>
      </c>
      <c r="J2888" s="8">
        <v>-1</v>
      </c>
      <c r="K2888" s="8">
        <v>0</v>
      </c>
      <c r="L2888" s="8">
        <v>0</v>
      </c>
      <c r="M2888" s="8" t="s">
        <v>175</v>
      </c>
      <c r="N2888" s="8" t="s">
        <v>206</v>
      </c>
      <c r="O2888" s="8" t="s">
        <v>428</v>
      </c>
      <c r="P2888" s="8" t="s">
        <v>816</v>
      </c>
    </row>
    <row r="2889" spans="1:16" ht="25" customHeight="1">
      <c r="A2889" s="12">
        <v>166</v>
      </c>
      <c r="B2889" s="8">
        <v>3</v>
      </c>
      <c r="C2889" s="8">
        <v>17</v>
      </c>
      <c r="D2889" s="8" t="s">
        <v>720</v>
      </c>
      <c r="E2889" s="8">
        <v>11</v>
      </c>
      <c r="F2889" s="8" t="s">
        <v>1964</v>
      </c>
      <c r="G2889" s="8" t="s">
        <v>465</v>
      </c>
      <c r="H2889" s="8" t="s">
        <v>815</v>
      </c>
      <c r="I2889" s="8" t="s">
        <v>1965</v>
      </c>
      <c r="J2889" s="8">
        <v>0</v>
      </c>
      <c r="K2889" s="8">
        <v>0</v>
      </c>
      <c r="L2889" s="8">
        <v>0</v>
      </c>
      <c r="M2889" s="8" t="s">
        <v>120</v>
      </c>
      <c r="N2889" s="8" t="s">
        <v>203</v>
      </c>
      <c r="O2889" s="8" t="s">
        <v>465</v>
      </c>
      <c r="P2889" s="8" t="s">
        <v>815</v>
      </c>
    </row>
    <row r="2890" spans="1:16" ht="25" customHeight="1">
      <c r="A2890" s="12">
        <v>167</v>
      </c>
      <c r="B2890" s="8">
        <v>3</v>
      </c>
      <c r="C2890" s="8">
        <v>9</v>
      </c>
      <c r="D2890" s="8" t="s">
        <v>716</v>
      </c>
      <c r="E2890" s="8">
        <v>11</v>
      </c>
      <c r="F2890" s="8" t="s">
        <v>1961</v>
      </c>
      <c r="G2890" s="8" t="s">
        <v>449</v>
      </c>
      <c r="H2890" s="8" t="s">
        <v>1416</v>
      </c>
      <c r="I2890" s="8" t="s">
        <v>1965</v>
      </c>
      <c r="J2890" s="8">
        <v>0</v>
      </c>
      <c r="K2890" s="8">
        <v>0</v>
      </c>
      <c r="L2890" s="8">
        <v>0</v>
      </c>
      <c r="M2890" s="8" t="s">
        <v>120</v>
      </c>
      <c r="N2890" s="8" t="s">
        <v>206</v>
      </c>
      <c r="O2890" s="8" t="s">
        <v>449</v>
      </c>
      <c r="P2890" s="8" t="s">
        <v>1416</v>
      </c>
    </row>
    <row r="2891" spans="1:16" ht="25" customHeight="1">
      <c r="A2891" s="12">
        <v>168</v>
      </c>
      <c r="B2891" s="8">
        <v>3</v>
      </c>
      <c r="C2891" s="8">
        <v>17</v>
      </c>
      <c r="D2891" s="8" t="s">
        <v>720</v>
      </c>
      <c r="E2891" s="8">
        <v>11</v>
      </c>
      <c r="F2891" s="8" t="s">
        <v>1976</v>
      </c>
      <c r="G2891" s="8" t="s">
        <v>428</v>
      </c>
      <c r="H2891" s="8" t="s">
        <v>823</v>
      </c>
      <c r="I2891" s="8" t="s">
        <v>1965</v>
      </c>
      <c r="J2891" s="8">
        <v>-1</v>
      </c>
      <c r="K2891" s="8">
        <v>0</v>
      </c>
      <c r="L2891" s="8">
        <v>0</v>
      </c>
      <c r="M2891" s="8" t="s">
        <v>120</v>
      </c>
      <c r="N2891" s="8" t="s">
        <v>235</v>
      </c>
      <c r="O2891" s="8" t="s">
        <v>428</v>
      </c>
      <c r="P2891" s="8" t="s">
        <v>823</v>
      </c>
    </row>
    <row r="2892" spans="1:16" ht="25" customHeight="1">
      <c r="A2892" s="12">
        <v>169</v>
      </c>
      <c r="B2892" s="8">
        <v>3</v>
      </c>
      <c r="C2892" s="8">
        <v>7</v>
      </c>
      <c r="D2892" s="8" t="s">
        <v>716</v>
      </c>
      <c r="E2892" s="8">
        <v>12</v>
      </c>
      <c r="F2892" s="8" t="s">
        <v>1961</v>
      </c>
      <c r="G2892" s="8" t="s">
        <v>428</v>
      </c>
      <c r="H2892" s="8" t="s">
        <v>823</v>
      </c>
      <c r="I2892" s="8" t="s">
        <v>1974</v>
      </c>
      <c r="J2892" s="8">
        <v>2</v>
      </c>
      <c r="K2892" s="8">
        <v>0</v>
      </c>
      <c r="L2892" s="8">
        <v>0</v>
      </c>
      <c r="M2892" s="8" t="s">
        <v>123</v>
      </c>
      <c r="N2892" s="8" t="s">
        <v>206</v>
      </c>
      <c r="O2892" s="8" t="s">
        <v>428</v>
      </c>
      <c r="P2892" s="8" t="s">
        <v>823</v>
      </c>
    </row>
    <row r="2893" spans="1:16" ht="25" customHeight="1">
      <c r="A2893" s="12">
        <v>170</v>
      </c>
      <c r="B2893" s="8">
        <v>3</v>
      </c>
      <c r="C2893" s="8">
        <v>2</v>
      </c>
      <c r="D2893" s="8" t="s">
        <v>706</v>
      </c>
      <c r="E2893" s="8">
        <v>11</v>
      </c>
      <c r="F2893" s="8" t="s">
        <v>1964</v>
      </c>
      <c r="G2893" s="8" t="s">
        <v>428</v>
      </c>
      <c r="H2893" s="8" t="s">
        <v>824</v>
      </c>
      <c r="I2893" s="8" t="s">
        <v>1965</v>
      </c>
      <c r="J2893" s="8">
        <v>-1</v>
      </c>
      <c r="K2893" s="8">
        <v>0</v>
      </c>
      <c r="L2893" s="8">
        <v>0</v>
      </c>
      <c r="M2893" s="8" t="s">
        <v>120</v>
      </c>
      <c r="N2893" s="8" t="s">
        <v>203</v>
      </c>
      <c r="O2893" s="8" t="s">
        <v>428</v>
      </c>
      <c r="P2893" s="8" t="s">
        <v>824</v>
      </c>
    </row>
    <row r="2894" spans="1:16" ht="25" customHeight="1">
      <c r="A2894" s="12">
        <v>171</v>
      </c>
      <c r="B2894" s="8">
        <v>3</v>
      </c>
      <c r="C2894" s="8">
        <v>17</v>
      </c>
      <c r="D2894" s="8" t="s">
        <v>720</v>
      </c>
      <c r="E2894" s="8">
        <v>11</v>
      </c>
      <c r="F2894" s="8" t="s">
        <v>1961</v>
      </c>
      <c r="G2894" s="8" t="s">
        <v>428</v>
      </c>
      <c r="H2894" s="8" t="s">
        <v>816</v>
      </c>
      <c r="I2894" s="8" t="s">
        <v>1965</v>
      </c>
      <c r="J2894" s="8">
        <v>3</v>
      </c>
      <c r="K2894" s="8">
        <v>1</v>
      </c>
      <c r="L2894" s="8">
        <v>0</v>
      </c>
      <c r="M2894" s="8" t="s">
        <v>120</v>
      </c>
      <c r="N2894" s="8" t="s">
        <v>206</v>
      </c>
      <c r="O2894" s="8" t="s">
        <v>428</v>
      </c>
      <c r="P2894" s="8" t="s">
        <v>816</v>
      </c>
    </row>
    <row r="2895" spans="1:16" ht="25" customHeight="1">
      <c r="A2895" s="12">
        <v>172</v>
      </c>
      <c r="B2895" s="8">
        <v>3</v>
      </c>
      <c r="C2895" s="8">
        <v>14</v>
      </c>
      <c r="D2895" s="8" t="s">
        <v>720</v>
      </c>
      <c r="E2895" s="8">
        <v>11</v>
      </c>
      <c r="F2895" s="8" t="s">
        <v>1964</v>
      </c>
      <c r="G2895" s="8" t="s">
        <v>465</v>
      </c>
      <c r="H2895" s="8" t="s">
        <v>1439</v>
      </c>
      <c r="I2895" s="8" t="s">
        <v>1965</v>
      </c>
      <c r="J2895" s="8">
        <v>10</v>
      </c>
      <c r="K2895" s="8">
        <v>1</v>
      </c>
      <c r="L2895" s="8">
        <v>0</v>
      </c>
      <c r="M2895" s="8" t="s">
        <v>120</v>
      </c>
      <c r="N2895" s="8" t="s">
        <v>203</v>
      </c>
      <c r="O2895" s="8" t="s">
        <v>465</v>
      </c>
      <c r="P2895" s="8" t="s">
        <v>1439</v>
      </c>
    </row>
    <row r="2896" spans="1:16" ht="25" customHeight="1">
      <c r="A2896" s="12">
        <v>173</v>
      </c>
      <c r="B2896" s="8">
        <v>3</v>
      </c>
      <c r="C2896" s="8">
        <v>1</v>
      </c>
      <c r="D2896" s="8" t="s">
        <v>706</v>
      </c>
      <c r="E2896" s="8" t="s">
        <v>1034</v>
      </c>
      <c r="F2896" s="8" t="s">
        <v>1972</v>
      </c>
      <c r="G2896" s="8" t="s">
        <v>878</v>
      </c>
      <c r="H2896" s="8" t="s">
        <v>1451</v>
      </c>
      <c r="I2896" s="8" t="s">
        <v>1965</v>
      </c>
      <c r="J2896" s="8">
        <v>36</v>
      </c>
      <c r="K2896" s="8">
        <v>1</v>
      </c>
      <c r="L2896" s="8">
        <v>1</v>
      </c>
      <c r="M2896" s="8" t="s">
        <v>1034</v>
      </c>
      <c r="N2896" s="8" t="s">
        <v>1170</v>
      </c>
      <c r="O2896" s="8" t="s">
        <v>878</v>
      </c>
      <c r="P2896" s="8" t="s">
        <v>1451</v>
      </c>
    </row>
    <row r="2897" spans="1:16" ht="25" customHeight="1">
      <c r="A2897" s="12">
        <v>174</v>
      </c>
      <c r="B2897" s="8">
        <v>4</v>
      </c>
      <c r="C2897" s="8">
        <v>1</v>
      </c>
      <c r="D2897" s="8" t="s">
        <v>706</v>
      </c>
      <c r="E2897" s="8" t="s">
        <v>1037</v>
      </c>
      <c r="F2897" s="8" t="s">
        <v>1972</v>
      </c>
      <c r="G2897" s="8" t="s">
        <v>1038</v>
      </c>
      <c r="H2897" s="8" t="s">
        <v>1684</v>
      </c>
      <c r="I2897" s="8" t="s">
        <v>1965</v>
      </c>
      <c r="J2897" s="8">
        <v>-1</v>
      </c>
      <c r="K2897" s="8">
        <v>0</v>
      </c>
      <c r="L2897" s="8">
        <v>0</v>
      </c>
      <c r="M2897" s="8" t="s">
        <v>1037</v>
      </c>
      <c r="N2897" s="8" t="s">
        <v>1170</v>
      </c>
      <c r="O2897" s="8" t="s">
        <v>1038</v>
      </c>
      <c r="P2897" s="8" t="s">
        <v>1684</v>
      </c>
    </row>
    <row r="2898" spans="1:16" ht="25" customHeight="1">
      <c r="A2898" s="12">
        <v>175</v>
      </c>
      <c r="B2898" s="8">
        <v>4</v>
      </c>
      <c r="C2898" s="8">
        <v>2</v>
      </c>
      <c r="D2898" s="8" t="s">
        <v>706</v>
      </c>
      <c r="E2898" s="8" t="s">
        <v>802</v>
      </c>
      <c r="F2898" s="8" t="s">
        <v>1969</v>
      </c>
      <c r="G2898" s="8" t="s">
        <v>878</v>
      </c>
      <c r="H2898" s="8" t="s">
        <v>1687</v>
      </c>
      <c r="I2898" s="8" t="s">
        <v>1965</v>
      </c>
      <c r="J2898" s="8">
        <v>0</v>
      </c>
      <c r="K2898" s="8">
        <v>0</v>
      </c>
      <c r="L2898" s="8">
        <v>0</v>
      </c>
      <c r="M2898" s="8" t="s">
        <v>802</v>
      </c>
      <c r="N2898" s="8" t="s">
        <v>811</v>
      </c>
      <c r="O2898" s="8" t="s">
        <v>878</v>
      </c>
      <c r="P2898" s="8" t="s">
        <v>1687</v>
      </c>
    </row>
    <row r="2899" spans="1:16" ht="25" customHeight="1">
      <c r="A2899" s="12">
        <v>176</v>
      </c>
      <c r="I2899" s="8" t="s">
        <v>1965</v>
      </c>
    </row>
    <row r="2900" spans="1:16" ht="25" customHeight="1">
      <c r="A2900" s="12">
        <v>177</v>
      </c>
      <c r="I2900" s="8" t="s">
        <v>1965</v>
      </c>
    </row>
    <row r="2906" spans="1:16" ht="27" customHeight="1">
      <c r="A2906" s="5" t="s">
        <v>1983</v>
      </c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</row>
    <row r="2907" spans="1:16" ht="36" customHeight="1">
      <c r="A2907" s="9" t="s">
        <v>683</v>
      </c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</row>
    <row r="2908" spans="1:16" ht="25" customHeight="1">
      <c r="A2908" s="6" t="s">
        <v>684</v>
      </c>
    </row>
    <row r="2909" spans="1:16" ht="25" customHeight="1">
      <c r="A2909" s="12">
        <v>1</v>
      </c>
      <c r="B2909" s="8" t="s">
        <v>1984</v>
      </c>
    </row>
    <row r="2910" spans="1:16" ht="25" customHeight="1">
      <c r="A2910" s="12">
        <v>2</v>
      </c>
      <c r="B2910" s="8" t="s">
        <v>1985</v>
      </c>
    </row>
    <row r="2911" spans="1:16" ht="25" customHeight="1">
      <c r="A2911" s="12">
        <v>3</v>
      </c>
      <c r="B2911" s="8" t="s">
        <v>1986</v>
      </c>
      <c r="C2911" s="8" t="s">
        <v>1928</v>
      </c>
      <c r="D2911" s="8" t="s">
        <v>1987</v>
      </c>
    </row>
    <row r="2912" spans="1:16" ht="25" customHeight="1">
      <c r="A2912" s="12">
        <v>4</v>
      </c>
      <c r="B2912" s="8" t="s">
        <v>1988</v>
      </c>
      <c r="C2912" s="8" t="s">
        <v>1989</v>
      </c>
      <c r="D2912" s="8" t="s">
        <v>1990</v>
      </c>
    </row>
    <row r="2913" spans="1:4" ht="25" customHeight="1">
      <c r="A2913" s="12">
        <v>5</v>
      </c>
      <c r="B2913" s="8" t="s">
        <v>1991</v>
      </c>
      <c r="C2913" s="8" t="s">
        <v>1989</v>
      </c>
      <c r="D2913" s="8" t="s">
        <v>1990</v>
      </c>
    </row>
    <row r="2914" spans="1:4" ht="25" customHeight="1">
      <c r="A2914" s="12">
        <v>6</v>
      </c>
      <c r="B2914" s="8" t="s">
        <v>1992</v>
      </c>
      <c r="C2914" s="8" t="s">
        <v>1989</v>
      </c>
      <c r="D2914" s="8" t="s">
        <v>1990</v>
      </c>
    </row>
    <row r="2915" spans="1:4" ht="25" customHeight="1">
      <c r="A2915" s="12">
        <v>7</v>
      </c>
      <c r="B2915" s="8" t="s">
        <v>1993</v>
      </c>
      <c r="C2915" s="8" t="s">
        <v>1989</v>
      </c>
      <c r="D2915" s="8" t="s">
        <v>1994</v>
      </c>
    </row>
    <row r="2916" spans="1:4" ht="25" customHeight="1">
      <c r="A2916" s="12">
        <v>8</v>
      </c>
      <c r="B2916" s="8" t="s">
        <v>1995</v>
      </c>
      <c r="C2916" s="8" t="s">
        <v>1989</v>
      </c>
      <c r="D2916" s="8" t="s">
        <v>1996</v>
      </c>
    </row>
    <row r="2917" spans="1:4" ht="25" customHeight="1">
      <c r="A2917" s="12">
        <v>9</v>
      </c>
      <c r="B2917" s="8" t="s">
        <v>1997</v>
      </c>
      <c r="C2917" s="8" t="s">
        <v>1998</v>
      </c>
      <c r="D2917" s="8" t="s">
        <v>1999</v>
      </c>
    </row>
    <row r="2918" spans="1:4" ht="25" customHeight="1">
      <c r="A2918" s="12">
        <v>10</v>
      </c>
      <c r="B2918" s="8" t="s">
        <v>2000</v>
      </c>
      <c r="C2918" s="8" t="s">
        <v>1989</v>
      </c>
      <c r="D2918" s="8" t="s">
        <v>2001</v>
      </c>
    </row>
    <row r="2919" spans="1:4" ht="25" customHeight="1">
      <c r="A2919" s="12">
        <v>11</v>
      </c>
      <c r="B2919" s="8" t="s">
        <v>2002</v>
      </c>
      <c r="C2919" s="8" t="s">
        <v>1989</v>
      </c>
      <c r="D2919" s="8" t="s">
        <v>2003</v>
      </c>
    </row>
    <row r="2920" spans="1:4" ht="25" customHeight="1">
      <c r="A2920" s="12">
        <v>12</v>
      </c>
      <c r="B2920" s="8" t="s">
        <v>2004</v>
      </c>
      <c r="C2920" s="8" t="s">
        <v>1989</v>
      </c>
      <c r="D2920" s="8" t="s">
        <v>2005</v>
      </c>
    </row>
    <row r="2921" spans="1:4" ht="25" customHeight="1">
      <c r="A2921" s="12">
        <v>13</v>
      </c>
      <c r="B2921" s="8" t="s">
        <v>2006</v>
      </c>
      <c r="C2921" s="8" t="s">
        <v>1989</v>
      </c>
      <c r="D2921" s="8" t="s">
        <v>2007</v>
      </c>
    </row>
    <row r="2922" spans="1:4" ht="25" customHeight="1">
      <c r="A2922" s="12">
        <v>14</v>
      </c>
      <c r="B2922" s="8" t="s">
        <v>2008</v>
      </c>
      <c r="C2922" s="8" t="s">
        <v>1989</v>
      </c>
      <c r="D2922" s="8" t="s">
        <v>2009</v>
      </c>
    </row>
    <row r="2923" spans="1:4" ht="25" customHeight="1">
      <c r="A2923" s="12">
        <v>15</v>
      </c>
      <c r="B2923" s="8" t="s">
        <v>2010</v>
      </c>
      <c r="C2923" s="8" t="s">
        <v>1989</v>
      </c>
      <c r="D2923" s="8" t="s">
        <v>2009</v>
      </c>
    </row>
    <row r="2924" spans="1:4" ht="25" customHeight="1">
      <c r="A2924" s="12">
        <v>16</v>
      </c>
      <c r="B2924" s="8" t="s">
        <v>2011</v>
      </c>
      <c r="C2924" s="8" t="s">
        <v>1989</v>
      </c>
      <c r="D2924" s="8" t="s">
        <v>2009</v>
      </c>
    </row>
    <row r="2925" spans="1:4" ht="25" customHeight="1">
      <c r="A2925" s="12">
        <v>17</v>
      </c>
      <c r="B2925" s="8" t="s">
        <v>2012</v>
      </c>
      <c r="C2925" s="8" t="s">
        <v>1989</v>
      </c>
      <c r="D2925" s="8" t="s">
        <v>2009</v>
      </c>
    </row>
    <row r="2926" spans="1:4" ht="25" customHeight="1">
      <c r="A2926" s="12">
        <v>18</v>
      </c>
      <c r="B2926" s="8" t="s">
        <v>2013</v>
      </c>
      <c r="C2926" s="8" t="s">
        <v>1989</v>
      </c>
      <c r="D2926" s="8" t="s">
        <v>2009</v>
      </c>
    </row>
    <row r="2927" spans="1:4" ht="25" customHeight="1">
      <c r="A2927" s="12">
        <v>19</v>
      </c>
      <c r="B2927" s="8" t="s">
        <v>2014</v>
      </c>
      <c r="C2927" s="8" t="s">
        <v>1989</v>
      </c>
      <c r="D2927" s="8" t="s">
        <v>2009</v>
      </c>
    </row>
    <row r="2928" spans="1:4" ht="25" customHeight="1">
      <c r="A2928" s="12">
        <v>20</v>
      </c>
      <c r="B2928" s="8" t="s">
        <v>2015</v>
      </c>
      <c r="C2928" s="8" t="s">
        <v>1989</v>
      </c>
      <c r="D2928" s="8" t="s">
        <v>2009</v>
      </c>
    </row>
    <row r="2929" spans="1:4" ht="25" customHeight="1">
      <c r="A2929" s="12">
        <v>21</v>
      </c>
      <c r="B2929" s="8" t="s">
        <v>2016</v>
      </c>
      <c r="C2929" s="8" t="s">
        <v>1989</v>
      </c>
      <c r="D2929" s="8" t="s">
        <v>2017</v>
      </c>
    </row>
    <row r="2930" spans="1:4" ht="25" customHeight="1">
      <c r="A2930" s="12">
        <v>22</v>
      </c>
      <c r="B2930" s="8" t="s">
        <v>2018</v>
      </c>
      <c r="C2930" s="8" t="s">
        <v>1989</v>
      </c>
      <c r="D2930" s="8" t="s">
        <v>2019</v>
      </c>
    </row>
    <row r="2931" spans="1:4" ht="25" customHeight="1">
      <c r="A2931" s="12">
        <v>23</v>
      </c>
      <c r="B2931" s="8" t="s">
        <v>2020</v>
      </c>
      <c r="C2931" s="8" t="s">
        <v>1989</v>
      </c>
      <c r="D2931" s="8" t="s">
        <v>2021</v>
      </c>
    </row>
    <row r="2932" spans="1:4" ht="25" customHeight="1">
      <c r="A2932" s="12">
        <v>24</v>
      </c>
      <c r="B2932" s="8" t="s">
        <v>2022</v>
      </c>
      <c r="C2932" s="8" t="s">
        <v>1989</v>
      </c>
      <c r="D2932" s="8" t="s">
        <v>2017</v>
      </c>
    </row>
    <row r="2933" spans="1:4" ht="25" customHeight="1">
      <c r="A2933" s="12">
        <v>25</v>
      </c>
      <c r="B2933" s="8" t="s">
        <v>2023</v>
      </c>
      <c r="C2933" s="8" t="s">
        <v>1989</v>
      </c>
      <c r="D2933" s="8" t="s">
        <v>2019</v>
      </c>
    </row>
    <row r="2934" spans="1:4" ht="25" customHeight="1">
      <c r="A2934" s="12">
        <v>26</v>
      </c>
      <c r="B2934" s="8" t="s">
        <v>2024</v>
      </c>
      <c r="C2934" s="8" t="s">
        <v>1989</v>
      </c>
      <c r="D2934" s="8" t="s">
        <v>2021</v>
      </c>
    </row>
    <row r="2935" spans="1:4" ht="25" customHeight="1">
      <c r="A2935" s="12">
        <v>27</v>
      </c>
      <c r="B2935" s="8" t="s">
        <v>2025</v>
      </c>
      <c r="C2935" s="8" t="s">
        <v>1989</v>
      </c>
      <c r="D2935" s="8" t="s">
        <v>2017</v>
      </c>
    </row>
    <row r="2936" spans="1:4" ht="25" customHeight="1">
      <c r="A2936" s="12">
        <v>28</v>
      </c>
      <c r="B2936" s="8" t="s">
        <v>2026</v>
      </c>
      <c r="C2936" s="8" t="s">
        <v>1989</v>
      </c>
      <c r="D2936" s="8" t="s">
        <v>2019</v>
      </c>
    </row>
    <row r="2937" spans="1:4" ht="25" customHeight="1">
      <c r="A2937" s="12">
        <v>29</v>
      </c>
      <c r="B2937" s="8" t="s">
        <v>2027</v>
      </c>
      <c r="C2937" s="8" t="s">
        <v>1989</v>
      </c>
      <c r="D2937" s="8" t="s">
        <v>2021</v>
      </c>
    </row>
    <row r="2938" spans="1:4" ht="25" customHeight="1">
      <c r="A2938" s="12">
        <v>30</v>
      </c>
      <c r="B2938" s="8" t="s">
        <v>2028</v>
      </c>
      <c r="C2938" s="8" t="s">
        <v>1989</v>
      </c>
      <c r="D2938" s="8" t="s">
        <v>2017</v>
      </c>
    </row>
    <row r="2939" spans="1:4" ht="25" customHeight="1">
      <c r="A2939" s="12">
        <v>31</v>
      </c>
      <c r="B2939" s="8" t="s">
        <v>2029</v>
      </c>
      <c r="C2939" s="8" t="s">
        <v>1989</v>
      </c>
      <c r="D2939" s="8" t="s">
        <v>2019</v>
      </c>
    </row>
    <row r="2940" spans="1:4" ht="25" customHeight="1">
      <c r="A2940" s="12">
        <v>32</v>
      </c>
      <c r="B2940" s="8" t="s">
        <v>2030</v>
      </c>
      <c r="C2940" s="8" t="s">
        <v>1989</v>
      </c>
      <c r="D2940" s="8" t="s">
        <v>2021</v>
      </c>
    </row>
    <row r="2941" spans="1:4" ht="25" customHeight="1">
      <c r="A2941" s="12">
        <v>33</v>
      </c>
      <c r="B2941" s="8" t="s">
        <v>2031</v>
      </c>
      <c r="C2941" s="8" t="s">
        <v>1989</v>
      </c>
      <c r="D2941" s="8" t="s">
        <v>2017</v>
      </c>
    </row>
    <row r="2942" spans="1:4" ht="25" customHeight="1">
      <c r="A2942" s="12">
        <v>34</v>
      </c>
      <c r="B2942" s="8" t="s">
        <v>2032</v>
      </c>
      <c r="C2942" s="8" t="s">
        <v>1989</v>
      </c>
      <c r="D2942" s="8" t="s">
        <v>2019</v>
      </c>
    </row>
    <row r="2943" spans="1:4" ht="25" customHeight="1">
      <c r="A2943" s="12">
        <v>35</v>
      </c>
      <c r="B2943" s="8" t="s">
        <v>2033</v>
      </c>
      <c r="C2943" s="8" t="s">
        <v>1989</v>
      </c>
      <c r="D2943" s="8" t="s">
        <v>2021</v>
      </c>
    </row>
    <row r="2944" spans="1:4" ht="25" customHeight="1">
      <c r="A2944" s="12">
        <v>36</v>
      </c>
      <c r="B2944" s="8" t="s">
        <v>2034</v>
      </c>
      <c r="C2944" s="8" t="s">
        <v>1989</v>
      </c>
      <c r="D2944" s="8" t="s">
        <v>2035</v>
      </c>
    </row>
    <row r="2945" spans="1:4" ht="25" customHeight="1">
      <c r="A2945" s="12">
        <v>37</v>
      </c>
      <c r="B2945" s="8" t="s">
        <v>2036</v>
      </c>
      <c r="C2945" s="8">
        <v>0</v>
      </c>
      <c r="D2945" s="8" t="s">
        <v>2037</v>
      </c>
    </row>
    <row r="2946" spans="1:4" ht="25" customHeight="1">
      <c r="A2946" s="12">
        <v>38</v>
      </c>
      <c r="B2946" s="8" t="s">
        <v>2038</v>
      </c>
      <c r="C2946" s="8">
        <v>0</v>
      </c>
      <c r="D2946" s="8" t="s">
        <v>2037</v>
      </c>
    </row>
    <row r="2947" spans="1:4" ht="25" customHeight="1">
      <c r="A2947" s="12">
        <v>39</v>
      </c>
      <c r="B2947" s="8" t="s">
        <v>2039</v>
      </c>
      <c r="C2947" s="8">
        <v>0</v>
      </c>
      <c r="D2947" s="8" t="s">
        <v>2037</v>
      </c>
    </row>
    <row r="2948" spans="1:4" ht="25" customHeight="1">
      <c r="A2948" s="12">
        <v>40</v>
      </c>
      <c r="B2948" s="8" t="s">
        <v>2040</v>
      </c>
      <c r="C2948" s="8">
        <v>0</v>
      </c>
      <c r="D2948" s="8" t="s">
        <v>2037</v>
      </c>
    </row>
    <row r="2949" spans="1:4" ht="25" customHeight="1">
      <c r="A2949" s="12">
        <v>41</v>
      </c>
      <c r="B2949" s="8" t="s">
        <v>2041</v>
      </c>
      <c r="C2949" s="8">
        <v>0</v>
      </c>
      <c r="D2949" s="8" t="s">
        <v>2037</v>
      </c>
    </row>
    <row r="2950" spans="1:4" ht="25" customHeight="1">
      <c r="A2950" s="12">
        <v>42</v>
      </c>
      <c r="B2950" s="8" t="s">
        <v>2042</v>
      </c>
      <c r="C2950" s="8">
        <v>0</v>
      </c>
      <c r="D2950" s="8" t="s">
        <v>2037</v>
      </c>
    </row>
    <row r="2951" spans="1:4" ht="25" customHeight="1">
      <c r="A2951" s="12">
        <v>43</v>
      </c>
      <c r="B2951" s="8" t="s">
        <v>2043</v>
      </c>
      <c r="C2951" s="8">
        <v>0</v>
      </c>
      <c r="D2951" s="8" t="s">
        <v>2037</v>
      </c>
    </row>
    <row r="2952" spans="1:4" ht="25" customHeight="1">
      <c r="A2952" s="12">
        <v>44</v>
      </c>
      <c r="B2952" s="8" t="s">
        <v>2044</v>
      </c>
      <c r="C2952" s="8">
        <v>0</v>
      </c>
      <c r="D2952" s="8" t="s">
        <v>2037</v>
      </c>
    </row>
    <row r="2953" spans="1:4" ht="25" customHeight="1">
      <c r="A2953" s="12">
        <v>45</v>
      </c>
      <c r="B2953" s="8" t="s">
        <v>2045</v>
      </c>
      <c r="C2953" s="8">
        <v>0</v>
      </c>
      <c r="D2953" s="8" t="s">
        <v>2037</v>
      </c>
    </row>
    <row r="2954" spans="1:4" ht="25" customHeight="1">
      <c r="A2954" s="12">
        <v>46</v>
      </c>
      <c r="B2954" s="8" t="s">
        <v>2046</v>
      </c>
      <c r="C2954" s="8">
        <v>0</v>
      </c>
      <c r="D2954" s="8" t="s">
        <v>2037</v>
      </c>
    </row>
    <row r="2955" spans="1:4" ht="25" customHeight="1">
      <c r="A2955" s="12">
        <v>47</v>
      </c>
      <c r="B2955" s="8" t="s">
        <v>2047</v>
      </c>
      <c r="C2955" s="8">
        <v>0</v>
      </c>
      <c r="D2955" s="8" t="s">
        <v>2037</v>
      </c>
    </row>
    <row r="2956" spans="1:4" ht="25" customHeight="1">
      <c r="A2956" s="12">
        <v>48</v>
      </c>
      <c r="B2956" s="8" t="s">
        <v>2048</v>
      </c>
      <c r="C2956" s="8">
        <v>0</v>
      </c>
      <c r="D2956" s="8" t="s">
        <v>2037</v>
      </c>
    </row>
    <row r="2957" spans="1:4" ht="25" customHeight="1">
      <c r="A2957" s="12">
        <v>49</v>
      </c>
      <c r="B2957" s="8" t="s">
        <v>2049</v>
      </c>
      <c r="C2957" s="8">
        <v>0</v>
      </c>
      <c r="D2957" s="8" t="s">
        <v>2037</v>
      </c>
    </row>
    <row r="2958" spans="1:4" ht="25" customHeight="1">
      <c r="A2958" s="12">
        <v>50</v>
      </c>
      <c r="B2958" s="8" t="s">
        <v>2050</v>
      </c>
      <c r="C2958" s="8">
        <v>0</v>
      </c>
      <c r="D2958" s="8" t="s">
        <v>2037</v>
      </c>
    </row>
  </sheetData>
  <sheetProtection sheet="1" objects="1" scenarios="1" autoFilter="0"/>
  <mergeCells count="28">
    <mergeCell ref="A1:M1"/>
    <mergeCell ref="A3:M3"/>
    <mergeCell ref="A1048:M1048"/>
    <mergeCell ref="A1049:M1049"/>
    <mergeCell ref="A1094:M1094"/>
    <mergeCell ref="A1095:M1095"/>
    <mergeCell ref="A1796:M1796"/>
    <mergeCell ref="A1797:M1797"/>
    <mergeCell ref="A1877:M1877"/>
    <mergeCell ref="A1878:M1878"/>
    <mergeCell ref="A1966:M1966"/>
    <mergeCell ref="A1967:M1967"/>
    <mergeCell ref="A2056:M2056"/>
    <mergeCell ref="A2057:M2057"/>
    <mergeCell ref="A2194:M2194"/>
    <mergeCell ref="A2195:M2195"/>
    <mergeCell ref="A2302:M2302"/>
    <mergeCell ref="A2303:M2303"/>
    <mergeCell ref="A2422:M2422"/>
    <mergeCell ref="A2423:M2423"/>
    <mergeCell ref="A2572:M2572"/>
    <mergeCell ref="A2573:M2573"/>
    <mergeCell ref="A2722:M2722"/>
    <mergeCell ref="A2723:M2723"/>
    <mergeCell ref="A2906:M2906"/>
    <mergeCell ref="A2907:M2907"/>
    <mergeCell ref="A39:R39"/>
    <mergeCell ref="A40:R40"/>
  </mergeCells>
  <hyperlinks>
    <hyperlink ref="A2" location="'START_HERE'!A1" display="START"/>
    <hyperlink ref="C2" location="'CALL_LOOKUP_BOARD'!A1" display="FIND A CALL"/>
    <hyperlink ref="F2" location="'HOT_CALL_RESPONSE_CARD'!A1" display="OPPONENT ALERTS"/>
    <hyperlink ref="I2" location="'PRACTICE_SCRIPT_BOARD'!A1" display="PRACTICE"/>
    <hyperlink ref="D8" location="'OPPONENT_IMPORT'!A1048" display="View source output"/>
    <hyperlink ref="D9" location="'OPPONENT_IMPORT'!A1094" display="View source output"/>
    <hyperlink ref="D10" location="'OPPONENT_IMPORT'!A1796" display="View source output"/>
    <hyperlink ref="D11" location="'OPPONENT_IMPORT'!A1877" display="View source output"/>
    <hyperlink ref="D12" location="'OPPONENT_IMPORT'!A1966" display="View source output"/>
    <hyperlink ref="D13" location="'OPPONENT_IMPORT'!A2056" display="View source output"/>
    <hyperlink ref="D14" location="'OPPONENT_IMPORT'!A2194" display="View source output"/>
    <hyperlink ref="D15" location="'OPPONENT_IMPORT'!A2302" display="View source output"/>
    <hyperlink ref="D16" location="'OPPONENT_IMPORT'!A2422" display="View source output"/>
    <hyperlink ref="D17" location="'OPPONENT_IMPORT'!A2572" display="View source output"/>
    <hyperlink ref="D18" location="'OPPONENT_IMPORT'!A2722" display="View source output"/>
    <hyperlink ref="D19" location="'OPPONENT_IMPORT'!A2906" display="View source output"/>
  </hyperlinks>
  <pageMargins left="0.25" right="0.25" top="0.35" bottom="0.35" header="0.3" footer="0.3"/>
  <pageSetup paperSize="1" fitToHeight="0" orientation="landscape"/>
  <headerFooter>
    <oddHeader>&amp;LWeekly Gameplan&amp;RFilm confirms the numbers</oddHeader>
    <oddFooter>&amp;LConcept call-fit candidates, not automatic calls&amp;RPage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99BAC"/>
    <pageSetUpPr fitToPage="1"/>
  </sheetPr>
  <dimension ref="A1:AH2630"/>
  <sheetViews>
    <sheetView workbookViewId="0"/>
  </sheetViews>
  <sheetFormatPr defaultRowHeight="25" customHeight="1"/>
  <cols>
    <col min="1" max="1" width="32.7109375" customWidth="1"/>
    <col min="2" max="4" width="23.7109375" customWidth="1"/>
    <col min="5" max="8" width="26.7109375" customWidth="1"/>
    <col min="9" max="13" width="17.7109375" customWidth="1"/>
    <col min="14" max="44" width="25.7109375" customWidth="1"/>
  </cols>
  <sheetData>
    <row r="1" spans="1:13" ht="36" customHeight="1">
      <c r="A1" s="1" t="s">
        <v>2071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5" customHeight="1">
      <c r="A2" s="3" t="s">
        <v>1</v>
      </c>
      <c r="C2" s="3" t="s">
        <v>2</v>
      </c>
      <c r="F2" s="3" t="s">
        <v>3</v>
      </c>
      <c r="I2" s="3" t="s">
        <v>4</v>
      </c>
    </row>
    <row r="3" spans="1:13" ht="34" customHeight="1">
      <c r="A3" s="4" t="s">
        <v>675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7" spans="1:13" ht="46" customHeight="1">
      <c r="A7" s="6" t="s">
        <v>676</v>
      </c>
      <c r="B7" s="6" t="s">
        <v>677</v>
      </c>
      <c r="C7" s="6" t="s">
        <v>678</v>
      </c>
      <c r="D7" s="6" t="s">
        <v>679</v>
      </c>
    </row>
    <row r="8" spans="1:13" ht="25" customHeight="1">
      <c r="A8" s="8" t="s">
        <v>2072</v>
      </c>
      <c r="B8" s="12">
        <v>288</v>
      </c>
      <c r="C8" s="8" t="s">
        <v>681</v>
      </c>
      <c r="D8" s="3" t="s">
        <v>682</v>
      </c>
    </row>
    <row r="9" spans="1:13" ht="25" customHeight="1">
      <c r="A9" s="8" t="s">
        <v>2118</v>
      </c>
      <c r="B9" s="12">
        <v>52</v>
      </c>
      <c r="C9" s="8" t="s">
        <v>681</v>
      </c>
      <c r="D9" s="3" t="s">
        <v>682</v>
      </c>
    </row>
    <row r="10" spans="1:13" ht="25" customHeight="1">
      <c r="A10" s="8" t="s">
        <v>2172</v>
      </c>
      <c r="B10" s="12">
        <v>63</v>
      </c>
      <c r="C10" s="8" t="s">
        <v>681</v>
      </c>
      <c r="D10" s="3" t="s">
        <v>682</v>
      </c>
    </row>
    <row r="11" spans="1:13" ht="25" customHeight="1">
      <c r="A11" s="8" t="s">
        <v>2181</v>
      </c>
      <c r="B11" s="12">
        <v>172</v>
      </c>
      <c r="C11" s="8" t="s">
        <v>681</v>
      </c>
      <c r="D11" s="3" t="s">
        <v>682</v>
      </c>
    </row>
    <row r="12" spans="1:13" ht="25" customHeight="1">
      <c r="A12" s="8" t="s">
        <v>2184</v>
      </c>
      <c r="B12" s="12">
        <v>248</v>
      </c>
      <c r="C12" s="8" t="s">
        <v>681</v>
      </c>
      <c r="D12" s="3" t="s">
        <v>682</v>
      </c>
    </row>
    <row r="13" spans="1:13" ht="25" customHeight="1">
      <c r="A13" s="8" t="s">
        <v>2186</v>
      </c>
      <c r="B13" s="12">
        <v>57</v>
      </c>
      <c r="C13" s="8" t="s">
        <v>681</v>
      </c>
      <c r="D13" s="3" t="s">
        <v>682</v>
      </c>
    </row>
    <row r="14" spans="1:13" ht="25" customHeight="1">
      <c r="A14" s="8" t="s">
        <v>2189</v>
      </c>
      <c r="B14" s="12">
        <v>47</v>
      </c>
      <c r="C14" s="8" t="s">
        <v>681</v>
      </c>
      <c r="D14" s="3" t="s">
        <v>682</v>
      </c>
    </row>
    <row r="15" spans="1:13" ht="25" customHeight="1">
      <c r="A15" s="8" t="s">
        <v>2192</v>
      </c>
      <c r="B15" s="12">
        <v>39</v>
      </c>
      <c r="C15" s="8" t="s">
        <v>681</v>
      </c>
      <c r="D15" s="3" t="s">
        <v>682</v>
      </c>
    </row>
    <row r="16" spans="1:13" ht="25" customHeight="1">
      <c r="A16" s="8" t="s">
        <v>2195</v>
      </c>
      <c r="B16" s="12">
        <v>10</v>
      </c>
      <c r="C16" s="8" t="s">
        <v>681</v>
      </c>
      <c r="D16" s="3" t="s">
        <v>682</v>
      </c>
    </row>
    <row r="17" spans="1:4" ht="25" customHeight="1">
      <c r="A17" s="8" t="s">
        <v>2197</v>
      </c>
      <c r="B17" s="12">
        <v>15</v>
      </c>
      <c r="C17" s="8" t="s">
        <v>681</v>
      </c>
      <c r="D17" s="3" t="s">
        <v>682</v>
      </c>
    </row>
    <row r="18" spans="1:4" ht="25" customHeight="1">
      <c r="A18" s="8" t="s">
        <v>2199</v>
      </c>
      <c r="B18" s="12">
        <v>11</v>
      </c>
      <c r="C18" s="8" t="s">
        <v>681</v>
      </c>
      <c r="D18" s="3" t="s">
        <v>682</v>
      </c>
    </row>
    <row r="19" spans="1:4" ht="25" customHeight="1">
      <c r="A19" s="8" t="s">
        <v>2201</v>
      </c>
      <c r="B19" s="12">
        <v>23</v>
      </c>
      <c r="C19" s="8" t="s">
        <v>681</v>
      </c>
      <c r="D19" s="3" t="s">
        <v>682</v>
      </c>
    </row>
    <row r="20" spans="1:4" ht="25" customHeight="1">
      <c r="A20" s="8" t="s">
        <v>2203</v>
      </c>
      <c r="B20" s="12">
        <v>22</v>
      </c>
      <c r="C20" s="8" t="s">
        <v>681</v>
      </c>
      <c r="D20" s="3" t="s">
        <v>682</v>
      </c>
    </row>
    <row r="21" spans="1:4" ht="25" customHeight="1">
      <c r="A21" s="8" t="s">
        <v>2206</v>
      </c>
      <c r="B21" s="12">
        <v>33</v>
      </c>
      <c r="C21" s="8" t="s">
        <v>681</v>
      </c>
      <c r="D21" s="3" t="s">
        <v>682</v>
      </c>
    </row>
    <row r="22" spans="1:4" ht="25" customHeight="1">
      <c r="A22" s="8" t="s">
        <v>2209</v>
      </c>
      <c r="B22" s="12">
        <v>15</v>
      </c>
      <c r="C22" s="8" t="s">
        <v>681</v>
      </c>
      <c r="D22" s="3" t="s">
        <v>682</v>
      </c>
    </row>
    <row r="23" spans="1:4" ht="25" customHeight="1">
      <c r="A23" s="8" t="s">
        <v>2211</v>
      </c>
      <c r="B23" s="12">
        <v>21</v>
      </c>
      <c r="C23" s="8" t="s">
        <v>681</v>
      </c>
      <c r="D23" s="3" t="s">
        <v>682</v>
      </c>
    </row>
    <row r="24" spans="1:4" ht="25" customHeight="1">
      <c r="A24" s="8" t="s">
        <v>2213</v>
      </c>
      <c r="B24" s="12">
        <v>29</v>
      </c>
      <c r="C24" s="8" t="s">
        <v>681</v>
      </c>
      <c r="D24" s="3" t="s">
        <v>682</v>
      </c>
    </row>
    <row r="25" spans="1:4" ht="25" customHeight="1">
      <c r="A25" s="8" t="s">
        <v>2215</v>
      </c>
      <c r="B25" s="12">
        <v>12</v>
      </c>
      <c r="C25" s="8" t="s">
        <v>681</v>
      </c>
      <c r="D25" s="3" t="s">
        <v>682</v>
      </c>
    </row>
    <row r="26" spans="1:4" ht="25" customHeight="1">
      <c r="A26" s="8" t="s">
        <v>2217</v>
      </c>
      <c r="B26" s="12">
        <v>11</v>
      </c>
      <c r="C26" s="8" t="s">
        <v>681</v>
      </c>
      <c r="D26" s="3" t="s">
        <v>682</v>
      </c>
    </row>
    <row r="27" spans="1:4" ht="25" customHeight="1">
      <c r="A27" s="8" t="s">
        <v>2219</v>
      </c>
      <c r="B27" s="12">
        <v>20</v>
      </c>
      <c r="C27" s="8" t="s">
        <v>681</v>
      </c>
      <c r="D27" s="3" t="s">
        <v>682</v>
      </c>
    </row>
    <row r="28" spans="1:4" ht="25" customHeight="1">
      <c r="A28" s="8" t="s">
        <v>2221</v>
      </c>
      <c r="B28" s="12">
        <v>15</v>
      </c>
      <c r="C28" s="8" t="s">
        <v>681</v>
      </c>
      <c r="D28" s="3" t="s">
        <v>682</v>
      </c>
    </row>
    <row r="29" spans="1:4" ht="25" customHeight="1">
      <c r="A29" s="8" t="s">
        <v>2223</v>
      </c>
      <c r="B29" s="12">
        <v>8</v>
      </c>
      <c r="C29" s="8" t="s">
        <v>681</v>
      </c>
      <c r="D29" s="3" t="s">
        <v>682</v>
      </c>
    </row>
    <row r="30" spans="1:4" ht="25" customHeight="1">
      <c r="A30" s="8" t="s">
        <v>2225</v>
      </c>
      <c r="B30" s="12">
        <v>49</v>
      </c>
      <c r="C30" s="8" t="s">
        <v>681</v>
      </c>
      <c r="D30" s="3" t="s">
        <v>682</v>
      </c>
    </row>
    <row r="31" spans="1:4" ht="25" customHeight="1">
      <c r="A31" s="8" t="s">
        <v>2236</v>
      </c>
      <c r="B31" s="12">
        <v>8</v>
      </c>
      <c r="C31" s="8" t="s">
        <v>681</v>
      </c>
      <c r="D31" s="3" t="s">
        <v>682</v>
      </c>
    </row>
    <row r="32" spans="1:4" ht="25" customHeight="1">
      <c r="A32" s="8" t="s">
        <v>2238</v>
      </c>
      <c r="B32" s="12">
        <v>120</v>
      </c>
      <c r="C32" s="8" t="s">
        <v>681</v>
      </c>
      <c r="D32" s="3" t="s">
        <v>682</v>
      </c>
    </row>
    <row r="39" spans="1:18" ht="27" customHeight="1">
      <c r="A39" s="5" t="s">
        <v>2051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ht="36" customHeight="1">
      <c r="A40" s="9" t="s">
        <v>2052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ht="46" customHeight="1">
      <c r="A41" s="6" t="s">
        <v>2053</v>
      </c>
      <c r="B41" s="6" t="s">
        <v>2054</v>
      </c>
      <c r="C41" s="6" t="s">
        <v>2055</v>
      </c>
      <c r="D41" s="6" t="s">
        <v>23</v>
      </c>
      <c r="E41" s="6" t="s">
        <v>9</v>
      </c>
      <c r="F41" s="6" t="s">
        <v>21</v>
      </c>
      <c r="G41" s="6" t="s">
        <v>2379</v>
      </c>
      <c r="H41" s="6" t="s">
        <v>2062</v>
      </c>
      <c r="I41" s="6" t="s">
        <v>2058</v>
      </c>
      <c r="J41" s="6" t="s">
        <v>2380</v>
      </c>
      <c r="K41" s="6" t="s">
        <v>2381</v>
      </c>
      <c r="L41" s="6" t="s">
        <v>2382</v>
      </c>
      <c r="M41" s="6" t="s">
        <v>2383</v>
      </c>
      <c r="N41" s="6" t="s">
        <v>2384</v>
      </c>
      <c r="O41" s="6" t="s">
        <v>2385</v>
      </c>
      <c r="P41" s="6" t="s">
        <v>2386</v>
      </c>
      <c r="Q41" s="6" t="s">
        <v>20</v>
      </c>
      <c r="R41" s="6" t="s">
        <v>2387</v>
      </c>
    </row>
    <row r="42" spans="1:18" ht="25" customHeight="1">
      <c r="A42" s="12">
        <v>2</v>
      </c>
      <c r="B42" s="8" t="s">
        <v>2063</v>
      </c>
      <c r="C42" s="8" t="s">
        <v>115</v>
      </c>
      <c r="D42" s="8" t="s">
        <v>608</v>
      </c>
      <c r="E42" s="8" t="s">
        <v>44</v>
      </c>
      <c r="F42" s="8" t="s">
        <v>120</v>
      </c>
      <c r="G42" s="8" t="s">
        <v>203</v>
      </c>
      <c r="H42" s="8" t="s">
        <v>1965</v>
      </c>
      <c r="I42" s="11">
        <v>14</v>
      </c>
      <c r="J42" s="12">
        <v>0</v>
      </c>
      <c r="K42" s="12">
        <v>1</v>
      </c>
      <c r="L42" s="8" t="s">
        <v>2089</v>
      </c>
      <c r="M42" s="8" t="s">
        <v>1965</v>
      </c>
      <c r="N42" s="8" t="s">
        <v>1964</v>
      </c>
      <c r="O42" s="8" t="s">
        <v>2090</v>
      </c>
      <c r="P42" s="8"/>
      <c r="Q42" s="8" t="str">
        <f>IF(B42="","",IF(B42="P","P&amp;10",B42&amp;"D "&amp;C42))</f>
        <v>P&amp;10</v>
      </c>
      <c r="R42" s="8" t="str">
        <f>IF(L42&lt;&gt;"Y","",IF(COUNTIF('DEF_CALL_DECISION_SUPPORT'!$B$1197:$B$1256,SUBSTITUTE(SUBSTITUTE(SUBSTITUTE(E42,"~","~~"),"*","~*"),"?","~?"))&gt;0,"KNOWN","REVIEW: new call; refresh sources"))</f>
        <v>KNOWN</v>
      </c>
    </row>
    <row r="43" spans="1:18" ht="25" customHeight="1">
      <c r="A43" s="12">
        <v>3</v>
      </c>
      <c r="B43" s="8" t="s">
        <v>2063</v>
      </c>
      <c r="C43" s="8" t="s">
        <v>115</v>
      </c>
      <c r="D43" s="8" t="s">
        <v>428</v>
      </c>
      <c r="E43" s="8" t="s">
        <v>44</v>
      </c>
      <c r="F43" s="8" t="s">
        <v>120</v>
      </c>
      <c r="G43" s="8" t="s">
        <v>203</v>
      </c>
      <c r="H43" s="8" t="s">
        <v>1965</v>
      </c>
      <c r="I43" s="11">
        <v>4</v>
      </c>
      <c r="J43" s="12">
        <v>0</v>
      </c>
      <c r="K43" s="12">
        <v>0</v>
      </c>
      <c r="L43" s="8" t="s">
        <v>2089</v>
      </c>
      <c r="M43" s="8" t="s">
        <v>1965</v>
      </c>
      <c r="N43" s="8" t="s">
        <v>1964</v>
      </c>
      <c r="O43" s="8" t="s">
        <v>2090</v>
      </c>
      <c r="P43" s="8"/>
      <c r="Q43" s="8" t="str">
        <f>IF(B43="","",IF(B43="P","P&amp;10",B43&amp;"D "&amp;C43))</f>
        <v>P&amp;10</v>
      </c>
      <c r="R43" s="8" t="str">
        <f>IF(L43&lt;&gt;"Y","",IF(COUNTIF('DEF_CALL_DECISION_SUPPORT'!$B$1197:$B$1256,SUBSTITUTE(SUBSTITUTE(SUBSTITUTE(E43,"~","~~"),"*","~*"),"?","~?"))&gt;0,"KNOWN","REVIEW: new call; refresh sources"))</f>
        <v>KNOWN</v>
      </c>
    </row>
    <row r="44" spans="1:18" ht="25" customHeight="1">
      <c r="A44" s="12">
        <v>4</v>
      </c>
      <c r="B44" s="8" t="s">
        <v>2063</v>
      </c>
      <c r="C44" s="8" t="s">
        <v>115</v>
      </c>
      <c r="D44" s="8" t="s">
        <v>428</v>
      </c>
      <c r="E44" s="8" t="s">
        <v>44</v>
      </c>
      <c r="F44" s="8" t="s">
        <v>120</v>
      </c>
      <c r="G44" s="8" t="s">
        <v>203</v>
      </c>
      <c r="H44" s="8" t="s">
        <v>1965</v>
      </c>
      <c r="I44" s="11">
        <v>7</v>
      </c>
      <c r="J44" s="12">
        <v>0</v>
      </c>
      <c r="K44" s="12">
        <v>0</v>
      </c>
      <c r="L44" s="8" t="s">
        <v>2089</v>
      </c>
      <c r="M44" s="8" t="s">
        <v>1965</v>
      </c>
      <c r="N44" s="8" t="s">
        <v>1964</v>
      </c>
      <c r="O44" s="8" t="s">
        <v>2090</v>
      </c>
      <c r="P44" s="8"/>
      <c r="Q44" s="8" t="str">
        <f>IF(B44="","",IF(B44="P","P&amp;10",B44&amp;"D "&amp;C44))</f>
        <v>P&amp;10</v>
      </c>
      <c r="R44" s="8" t="str">
        <f>IF(L44&lt;&gt;"Y","",IF(COUNTIF('DEF_CALL_DECISION_SUPPORT'!$B$1197:$B$1256,SUBSTITUTE(SUBSTITUTE(SUBSTITUTE(E44,"~","~~"),"*","~*"),"?","~?"))&gt;0,"KNOWN","REVIEW: new call; refresh sources"))</f>
        <v>KNOWN</v>
      </c>
    </row>
    <row r="45" spans="1:18" ht="25" customHeight="1">
      <c r="A45" s="12">
        <v>5</v>
      </c>
      <c r="B45" s="8" t="s">
        <v>2063</v>
      </c>
      <c r="C45" s="8" t="s">
        <v>115</v>
      </c>
      <c r="D45" s="8" t="s">
        <v>468</v>
      </c>
      <c r="E45" s="8" t="s">
        <v>44</v>
      </c>
      <c r="F45" s="8" t="s">
        <v>132</v>
      </c>
      <c r="G45" s="8" t="s">
        <v>203</v>
      </c>
      <c r="H45" s="8" t="s">
        <v>2094</v>
      </c>
      <c r="I45" s="11">
        <v>47</v>
      </c>
      <c r="J45" s="12">
        <v>0</v>
      </c>
      <c r="K45" s="12">
        <v>1</v>
      </c>
      <c r="L45" s="8" t="s">
        <v>2089</v>
      </c>
      <c r="M45" s="8" t="s">
        <v>1963</v>
      </c>
      <c r="N45" s="8" t="s">
        <v>1964</v>
      </c>
      <c r="O45" s="8" t="s">
        <v>2095</v>
      </c>
      <c r="P45" s="8"/>
      <c r="Q45" s="8" t="str">
        <f>IF(B45="","",IF(B45="P","P&amp;10",B45&amp;"D "&amp;C45))</f>
        <v>P&amp;10</v>
      </c>
      <c r="R45" s="8" t="str">
        <f>IF(L45&lt;&gt;"Y","",IF(COUNTIF('DEF_CALL_DECISION_SUPPORT'!$B$1197:$B$1256,SUBSTITUTE(SUBSTITUTE(SUBSTITUTE(E45,"~","~~"),"*","~*"),"?","~?"))&gt;0,"KNOWN","REVIEW: new call; refresh sources"))</f>
        <v>KNOWN</v>
      </c>
    </row>
    <row r="46" spans="1:18" ht="25" customHeight="1">
      <c r="A46" s="12">
        <v>6</v>
      </c>
      <c r="B46" s="8" t="s">
        <v>2063</v>
      </c>
      <c r="C46" s="8" t="s">
        <v>115</v>
      </c>
      <c r="D46" s="8" t="s">
        <v>432</v>
      </c>
      <c r="E46" s="8" t="s">
        <v>44</v>
      </c>
      <c r="F46" s="8" t="s">
        <v>132</v>
      </c>
      <c r="G46" s="8" t="s">
        <v>206</v>
      </c>
      <c r="H46" s="8" t="s">
        <v>1965</v>
      </c>
      <c r="I46" s="11">
        <v>4</v>
      </c>
      <c r="J46" s="12">
        <v>0</v>
      </c>
      <c r="K46" s="12">
        <v>0</v>
      </c>
      <c r="L46" s="8" t="s">
        <v>2089</v>
      </c>
      <c r="M46" s="8" t="s">
        <v>1965</v>
      </c>
      <c r="N46" s="8" t="s">
        <v>1967</v>
      </c>
      <c r="O46" s="8" t="s">
        <v>2097</v>
      </c>
      <c r="P46" s="8"/>
      <c r="Q46" s="8" t="str">
        <f>IF(B46="","",IF(B46="P","P&amp;10",B46&amp;"D "&amp;C46))</f>
        <v>P&amp;10</v>
      </c>
      <c r="R46" s="8" t="str">
        <f>IF(L46&lt;&gt;"Y","",IF(COUNTIF('DEF_CALL_DECISION_SUPPORT'!$B$1197:$B$1256,SUBSTITUTE(SUBSTITUTE(SUBSTITUTE(E46,"~","~~"),"*","~*"),"?","~?"))&gt;0,"KNOWN","REVIEW: new call; refresh sources"))</f>
        <v>KNOWN</v>
      </c>
    </row>
    <row r="47" spans="1:18" ht="25" customHeight="1">
      <c r="A47" s="12">
        <v>7</v>
      </c>
      <c r="B47" s="8" t="s">
        <v>2063</v>
      </c>
      <c r="C47" s="8" t="s">
        <v>115</v>
      </c>
      <c r="D47" s="8" t="s">
        <v>428</v>
      </c>
      <c r="E47" s="8" t="s">
        <v>44</v>
      </c>
      <c r="F47" s="8" t="s">
        <v>132</v>
      </c>
      <c r="G47" s="8" t="s">
        <v>203</v>
      </c>
      <c r="H47" s="8" t="s">
        <v>1965</v>
      </c>
      <c r="I47" s="11">
        <v>6</v>
      </c>
      <c r="J47" s="12">
        <v>0</v>
      </c>
      <c r="K47" s="12">
        <v>0</v>
      </c>
      <c r="L47" s="8" t="s">
        <v>2089</v>
      </c>
      <c r="M47" s="8" t="s">
        <v>1965</v>
      </c>
      <c r="N47" s="8" t="s">
        <v>1964</v>
      </c>
      <c r="O47" s="8" t="s">
        <v>2095</v>
      </c>
      <c r="P47" s="8"/>
      <c r="Q47" s="8" t="str">
        <f>IF(B47="","",IF(B47="P","P&amp;10",B47&amp;"D "&amp;C47))</f>
        <v>P&amp;10</v>
      </c>
      <c r="R47" s="8" t="str">
        <f>IF(L47&lt;&gt;"Y","",IF(COUNTIF('DEF_CALL_DECISION_SUPPORT'!$B$1197:$B$1256,SUBSTITUTE(SUBSTITUTE(SUBSTITUTE(E47,"~","~~"),"*","~*"),"?","~?"))&gt;0,"KNOWN","REVIEW: new call; refresh sources"))</f>
        <v>KNOWN</v>
      </c>
    </row>
    <row r="48" spans="1:18" ht="25" customHeight="1">
      <c r="A48" s="12">
        <v>8</v>
      </c>
      <c r="B48" s="8" t="s">
        <v>2063</v>
      </c>
      <c r="C48" s="8" t="s">
        <v>115</v>
      </c>
      <c r="D48" s="8" t="s">
        <v>428</v>
      </c>
      <c r="E48" s="8" t="s">
        <v>52</v>
      </c>
      <c r="F48" s="8" t="s">
        <v>123</v>
      </c>
      <c r="G48" s="8" t="s">
        <v>206</v>
      </c>
      <c r="H48" s="8" t="s">
        <v>1965</v>
      </c>
      <c r="I48" s="11">
        <v>5</v>
      </c>
      <c r="J48" s="12">
        <v>0</v>
      </c>
      <c r="K48" s="12">
        <v>0</v>
      </c>
      <c r="L48" s="8" t="s">
        <v>2089</v>
      </c>
      <c r="M48" s="8" t="s">
        <v>1965</v>
      </c>
      <c r="N48" s="8" t="s">
        <v>1961</v>
      </c>
      <c r="O48" s="8" t="s">
        <v>2099</v>
      </c>
      <c r="P48" s="8"/>
      <c r="Q48" s="8" t="str">
        <f>IF(B48="","",IF(B48="P","P&amp;10",B48&amp;"D "&amp;C48))</f>
        <v>P&amp;10</v>
      </c>
      <c r="R48" s="8" t="str">
        <f>IF(L48&lt;&gt;"Y","",IF(COUNTIF('DEF_CALL_DECISION_SUPPORT'!$B$1197:$B$1256,SUBSTITUTE(SUBSTITUTE(SUBSTITUTE(E48,"~","~~"),"*","~*"),"?","~?"))&gt;0,"KNOWN","REVIEW: new call; refresh sources"))</f>
        <v>KNOWN</v>
      </c>
    </row>
    <row r="49" spans="1:18" ht="25" customHeight="1">
      <c r="A49" s="12">
        <v>9</v>
      </c>
      <c r="B49" s="8" t="s">
        <v>2063</v>
      </c>
      <c r="C49" s="8" t="s">
        <v>115</v>
      </c>
      <c r="D49" s="8" t="s">
        <v>468</v>
      </c>
      <c r="E49" s="8" t="s">
        <v>52</v>
      </c>
      <c r="F49" s="8" t="s">
        <v>123</v>
      </c>
      <c r="G49" s="8" t="s">
        <v>206</v>
      </c>
      <c r="H49" s="8" t="s">
        <v>2094</v>
      </c>
      <c r="I49" s="11">
        <v>-7</v>
      </c>
      <c r="J49" s="12">
        <v>1</v>
      </c>
      <c r="K49" s="12">
        <v>0</v>
      </c>
      <c r="L49" s="8" t="s">
        <v>2089</v>
      </c>
      <c r="M49" s="8" t="s">
        <v>1977</v>
      </c>
      <c r="N49" s="8" t="s">
        <v>1967</v>
      </c>
      <c r="O49" s="8" t="s">
        <v>2099</v>
      </c>
      <c r="P49" s="8"/>
      <c r="Q49" s="8" t="str">
        <f>IF(B49="","",IF(B49="P","P&amp;10",B49&amp;"D "&amp;C49))</f>
        <v>P&amp;10</v>
      </c>
      <c r="R49" s="8" t="str">
        <f>IF(L49&lt;&gt;"Y","",IF(COUNTIF('DEF_CALL_DECISION_SUPPORT'!$B$1197:$B$1256,SUBSTITUTE(SUBSTITUTE(SUBSTITUTE(E49,"~","~~"),"*","~*"),"?","~?"))&gt;0,"KNOWN","REVIEW: new call; refresh sources"))</f>
        <v>KNOWN</v>
      </c>
    </row>
    <row r="50" spans="1:18" ht="25" customHeight="1">
      <c r="A50" s="12">
        <v>10</v>
      </c>
      <c r="B50" s="8" t="s">
        <v>2063</v>
      </c>
      <c r="C50" s="8" t="s">
        <v>115</v>
      </c>
      <c r="D50" s="8" t="s">
        <v>428</v>
      </c>
      <c r="E50" s="8" t="s">
        <v>52</v>
      </c>
      <c r="F50" s="8" t="s">
        <v>123</v>
      </c>
      <c r="G50" s="8" t="s">
        <v>203</v>
      </c>
      <c r="H50" s="8" t="s">
        <v>1965</v>
      </c>
      <c r="I50" s="11">
        <v>6</v>
      </c>
      <c r="J50" s="12">
        <v>0</v>
      </c>
      <c r="K50" s="12">
        <v>0</v>
      </c>
      <c r="L50" s="8" t="s">
        <v>2089</v>
      </c>
      <c r="M50" s="8" t="s">
        <v>1965</v>
      </c>
      <c r="N50" s="8" t="s">
        <v>1964</v>
      </c>
      <c r="O50" s="8" t="s">
        <v>2102</v>
      </c>
      <c r="P50" s="8"/>
      <c r="Q50" s="8" t="str">
        <f>IF(B50="","",IF(B50="P","P&amp;10",B50&amp;"D "&amp;C50))</f>
        <v>P&amp;10</v>
      </c>
      <c r="R50" s="8" t="str">
        <f>IF(L50&lt;&gt;"Y","",IF(COUNTIF('DEF_CALL_DECISION_SUPPORT'!$B$1197:$B$1256,SUBSTITUTE(SUBSTITUTE(SUBSTITUTE(E50,"~","~~"),"*","~*"),"?","~?"))&gt;0,"KNOWN","REVIEW: new call; refresh sources"))</f>
        <v>KNOWN</v>
      </c>
    </row>
    <row r="51" spans="1:18" ht="25" customHeight="1">
      <c r="A51" s="12">
        <v>11</v>
      </c>
      <c r="B51" s="8" t="s">
        <v>2063</v>
      </c>
      <c r="C51" s="8" t="s">
        <v>115</v>
      </c>
      <c r="D51" s="8" t="s">
        <v>428</v>
      </c>
      <c r="E51" s="8" t="s">
        <v>52</v>
      </c>
      <c r="F51" s="8" t="s">
        <v>123</v>
      </c>
      <c r="G51" s="8" t="s">
        <v>203</v>
      </c>
      <c r="H51" s="8" t="s">
        <v>1965</v>
      </c>
      <c r="I51" s="11">
        <v>2</v>
      </c>
      <c r="J51" s="12">
        <v>1</v>
      </c>
      <c r="K51" s="12">
        <v>0</v>
      </c>
      <c r="L51" s="8" t="s">
        <v>2089</v>
      </c>
      <c r="M51" s="8" t="s">
        <v>1965</v>
      </c>
      <c r="N51" s="8" t="s">
        <v>1964</v>
      </c>
      <c r="O51" s="8" t="s">
        <v>2102</v>
      </c>
      <c r="P51" s="8"/>
      <c r="Q51" s="8" t="str">
        <f>IF(B51="","",IF(B51="P","P&amp;10",B51&amp;"D "&amp;C51))</f>
        <v>P&amp;10</v>
      </c>
      <c r="R51" s="8" t="str">
        <f>IF(L51&lt;&gt;"Y","",IF(COUNTIF('DEF_CALL_DECISION_SUPPORT'!$B$1197:$B$1256,SUBSTITUTE(SUBSTITUTE(SUBSTITUTE(E51,"~","~~"),"*","~*"),"?","~?"))&gt;0,"KNOWN","REVIEW: new call; refresh sources"))</f>
        <v>KNOWN</v>
      </c>
    </row>
    <row r="52" spans="1:18" ht="25" customHeight="1">
      <c r="A52" s="12">
        <v>12</v>
      </c>
      <c r="B52" s="8" t="s">
        <v>2063</v>
      </c>
      <c r="C52" s="8" t="s">
        <v>115</v>
      </c>
      <c r="D52" s="8" t="s">
        <v>471</v>
      </c>
      <c r="E52" s="8" t="s">
        <v>68</v>
      </c>
      <c r="F52" s="8" t="s">
        <v>120</v>
      </c>
      <c r="G52" s="8" t="s">
        <v>206</v>
      </c>
      <c r="H52" s="8" t="s">
        <v>2094</v>
      </c>
      <c r="I52" s="11">
        <v>0</v>
      </c>
      <c r="J52" s="12">
        <v>1</v>
      </c>
      <c r="K52" s="12">
        <v>0</v>
      </c>
      <c r="L52" s="8" t="s">
        <v>2089</v>
      </c>
      <c r="M52" s="8" t="s">
        <v>1974</v>
      </c>
      <c r="N52" s="8" t="s">
        <v>1967</v>
      </c>
      <c r="O52" s="8" t="s">
        <v>2104</v>
      </c>
      <c r="P52" s="8"/>
      <c r="Q52" s="8" t="str">
        <f>IF(B52="","",IF(B52="P","P&amp;10",B52&amp;"D "&amp;C52))</f>
        <v>P&amp;10</v>
      </c>
      <c r="R52" s="8" t="str">
        <f>IF(L52&lt;&gt;"Y","",IF(COUNTIF('DEF_CALL_DECISION_SUPPORT'!$B$1197:$B$1256,SUBSTITUTE(SUBSTITUTE(SUBSTITUTE(E52,"~","~~"),"*","~*"),"?","~?"))&gt;0,"KNOWN","REVIEW: new call; refresh sources"))</f>
        <v>KNOWN</v>
      </c>
    </row>
    <row r="53" spans="1:18" ht="25" customHeight="1">
      <c r="A53" s="12">
        <v>13</v>
      </c>
      <c r="B53" s="8" t="s">
        <v>2063</v>
      </c>
      <c r="C53" s="8" t="s">
        <v>115</v>
      </c>
      <c r="D53" s="8" t="s">
        <v>452</v>
      </c>
      <c r="E53" s="8" t="s">
        <v>68</v>
      </c>
      <c r="F53" s="8" t="s">
        <v>120</v>
      </c>
      <c r="G53" s="8" t="s">
        <v>206</v>
      </c>
      <c r="H53" s="8" t="s">
        <v>2094</v>
      </c>
      <c r="I53" s="11">
        <v>-10</v>
      </c>
      <c r="J53" s="12">
        <v>1</v>
      </c>
      <c r="K53" s="12">
        <v>0</v>
      </c>
      <c r="L53" s="8" t="s">
        <v>2089</v>
      </c>
      <c r="M53" s="8" t="s">
        <v>1977</v>
      </c>
      <c r="N53" s="8" t="s">
        <v>1961</v>
      </c>
      <c r="O53" s="8" t="s">
        <v>2104</v>
      </c>
      <c r="P53" s="8"/>
      <c r="Q53" s="8" t="str">
        <f>IF(B53="","",IF(B53="P","P&amp;10",B53&amp;"D "&amp;C53))</f>
        <v>P&amp;10</v>
      </c>
      <c r="R53" s="8" t="str">
        <f>IF(L53&lt;&gt;"Y","",IF(COUNTIF('DEF_CALL_DECISION_SUPPORT'!$B$1197:$B$1256,SUBSTITUTE(SUBSTITUTE(SUBSTITUTE(E53,"~","~~"),"*","~*"),"?","~?"))&gt;0,"KNOWN","REVIEW: new call; refresh sources"))</f>
        <v>KNOWN</v>
      </c>
    </row>
    <row r="54" spans="1:18" ht="25" customHeight="1">
      <c r="A54" s="12">
        <v>14</v>
      </c>
      <c r="B54" s="8" t="s">
        <v>2063</v>
      </c>
      <c r="C54" s="8" t="s">
        <v>115</v>
      </c>
      <c r="D54" s="8" t="s">
        <v>541</v>
      </c>
      <c r="E54" s="8" t="s">
        <v>68</v>
      </c>
      <c r="F54" s="8" t="s">
        <v>120</v>
      </c>
      <c r="G54" s="8" t="s">
        <v>206</v>
      </c>
      <c r="H54" s="8" t="s">
        <v>1965</v>
      </c>
      <c r="I54" s="11">
        <v>3</v>
      </c>
      <c r="J54" s="12">
        <v>1</v>
      </c>
      <c r="K54" s="12">
        <v>0</v>
      </c>
      <c r="L54" s="8" t="s">
        <v>2089</v>
      </c>
      <c r="M54" s="8" t="s">
        <v>1965</v>
      </c>
      <c r="N54" s="8" t="s">
        <v>1961</v>
      </c>
      <c r="O54" s="8" t="s">
        <v>2104</v>
      </c>
      <c r="P54" s="8"/>
      <c r="Q54" s="8" t="str">
        <f>IF(B54="","",IF(B54="P","P&amp;10",B54&amp;"D "&amp;C54))</f>
        <v>P&amp;10</v>
      </c>
      <c r="R54" s="8" t="str">
        <f>IF(L54&lt;&gt;"Y","",IF(COUNTIF('DEF_CALL_DECISION_SUPPORT'!$B$1197:$B$1256,SUBSTITUTE(SUBSTITUTE(SUBSTITUTE(E54,"~","~~"),"*","~*"),"?","~?"))&gt;0,"KNOWN","REVIEW: new call; refresh sources"))</f>
        <v>KNOWN</v>
      </c>
    </row>
    <row r="55" spans="1:18" ht="25" customHeight="1">
      <c r="A55" s="12">
        <v>15</v>
      </c>
      <c r="B55" s="8" t="s">
        <v>2063</v>
      </c>
      <c r="C55" s="8" t="s">
        <v>115</v>
      </c>
      <c r="D55" s="8" t="s">
        <v>428</v>
      </c>
      <c r="E55" s="8" t="s">
        <v>68</v>
      </c>
      <c r="F55" s="8" t="s">
        <v>120</v>
      </c>
      <c r="G55" s="8" t="s">
        <v>203</v>
      </c>
      <c r="H55" s="8" t="s">
        <v>1965</v>
      </c>
      <c r="I55" s="11">
        <v>4</v>
      </c>
      <c r="J55" s="12">
        <v>0</v>
      </c>
      <c r="K55" s="12">
        <v>0</v>
      </c>
      <c r="L55" s="8" t="s">
        <v>2089</v>
      </c>
      <c r="M55" s="8" t="s">
        <v>1965</v>
      </c>
      <c r="N55" s="8" t="s">
        <v>1964</v>
      </c>
      <c r="O55" s="8" t="s">
        <v>2090</v>
      </c>
      <c r="P55" s="8"/>
      <c r="Q55" s="8" t="str">
        <f>IF(B55="","",IF(B55="P","P&amp;10",B55&amp;"D "&amp;C55))</f>
        <v>P&amp;10</v>
      </c>
      <c r="R55" s="8" t="str">
        <f>IF(L55&lt;&gt;"Y","",IF(COUNTIF('DEF_CALL_DECISION_SUPPORT'!$B$1197:$B$1256,SUBSTITUTE(SUBSTITUTE(SUBSTITUTE(E55,"~","~~"),"*","~*"),"?","~?"))&gt;0,"KNOWN","REVIEW: new call; refresh sources"))</f>
        <v>KNOWN</v>
      </c>
    </row>
    <row r="56" spans="1:18" ht="25" customHeight="1">
      <c r="A56" s="12">
        <v>16</v>
      </c>
      <c r="B56" s="8" t="s">
        <v>2063</v>
      </c>
      <c r="C56" s="8" t="s">
        <v>115</v>
      </c>
      <c r="D56" s="8" t="s">
        <v>465</v>
      </c>
      <c r="E56" s="8" t="s">
        <v>60</v>
      </c>
      <c r="F56" s="8" t="s">
        <v>120</v>
      </c>
      <c r="G56" s="8" t="s">
        <v>203</v>
      </c>
      <c r="H56" s="8" t="s">
        <v>1965</v>
      </c>
      <c r="I56" s="11">
        <v>1</v>
      </c>
      <c r="J56" s="12">
        <v>1</v>
      </c>
      <c r="K56" s="12">
        <v>0</v>
      </c>
      <c r="L56" s="8" t="s">
        <v>2089</v>
      </c>
      <c r="M56" s="8" t="s">
        <v>1965</v>
      </c>
      <c r="N56" s="8" t="s">
        <v>1964</v>
      </c>
      <c r="O56" s="8" t="s">
        <v>2090</v>
      </c>
      <c r="P56" s="8"/>
      <c r="Q56" s="8" t="str">
        <f>IF(B56="","",IF(B56="P","P&amp;10",B56&amp;"D "&amp;C56))</f>
        <v>P&amp;10</v>
      </c>
      <c r="R56" s="8" t="str">
        <f>IF(L56&lt;&gt;"Y","",IF(COUNTIF('DEF_CALL_DECISION_SUPPORT'!$B$1197:$B$1256,SUBSTITUTE(SUBSTITUTE(SUBSTITUTE(E56,"~","~~"),"*","~*"),"?","~?"))&gt;0,"KNOWN","REVIEW: new call; refresh sources"))</f>
        <v>KNOWN</v>
      </c>
    </row>
    <row r="57" spans="1:18" ht="25" customHeight="1">
      <c r="A57" s="12">
        <v>17</v>
      </c>
      <c r="B57" s="8" t="s">
        <v>2063</v>
      </c>
      <c r="C57" s="8" t="s">
        <v>115</v>
      </c>
      <c r="D57" s="8" t="s">
        <v>446</v>
      </c>
      <c r="E57" s="8" t="s">
        <v>60</v>
      </c>
      <c r="F57" s="8" t="s">
        <v>120</v>
      </c>
      <c r="G57" s="8" t="s">
        <v>203</v>
      </c>
      <c r="H57" s="8" t="s">
        <v>2094</v>
      </c>
      <c r="I57" s="11">
        <v>0</v>
      </c>
      <c r="J57" s="12">
        <v>1</v>
      </c>
      <c r="K57" s="12">
        <v>0</v>
      </c>
      <c r="L57" s="8" t="s">
        <v>2089</v>
      </c>
      <c r="M57" s="8" t="s">
        <v>1966</v>
      </c>
      <c r="N57" s="8" t="s">
        <v>1964</v>
      </c>
      <c r="O57" s="8" t="s">
        <v>2090</v>
      </c>
      <c r="P57" s="8"/>
      <c r="Q57" s="8" t="str">
        <f>IF(B57="","",IF(B57="P","P&amp;10",B57&amp;"D "&amp;C57))</f>
        <v>P&amp;10</v>
      </c>
      <c r="R57" s="8" t="str">
        <f>IF(L57&lt;&gt;"Y","",IF(COUNTIF('DEF_CALL_DECISION_SUPPORT'!$B$1197:$B$1256,SUBSTITUTE(SUBSTITUTE(SUBSTITUTE(E57,"~","~~"),"*","~*"),"?","~?"))&gt;0,"KNOWN","REVIEW: new call; refresh sources"))</f>
        <v>KNOWN</v>
      </c>
    </row>
    <row r="58" spans="1:18" ht="25" customHeight="1">
      <c r="A58" s="12">
        <v>18</v>
      </c>
      <c r="B58" s="8" t="s">
        <v>2063</v>
      </c>
      <c r="C58" s="8" t="s">
        <v>115</v>
      </c>
      <c r="D58" s="8" t="s">
        <v>428</v>
      </c>
      <c r="E58" s="8" t="s">
        <v>60</v>
      </c>
      <c r="F58" s="8" t="s">
        <v>120</v>
      </c>
      <c r="G58" s="8" t="s">
        <v>206</v>
      </c>
      <c r="H58" s="8" t="s">
        <v>1965</v>
      </c>
      <c r="I58" s="11">
        <v>3</v>
      </c>
      <c r="J58" s="12">
        <v>1</v>
      </c>
      <c r="K58" s="12">
        <v>0</v>
      </c>
      <c r="L58" s="8" t="s">
        <v>2089</v>
      </c>
      <c r="M58" s="8" t="s">
        <v>1965</v>
      </c>
      <c r="N58" s="8" t="s">
        <v>1961</v>
      </c>
      <c r="O58" s="8" t="s">
        <v>2104</v>
      </c>
      <c r="P58" s="8"/>
      <c r="Q58" s="8" t="str">
        <f>IF(B58="","",IF(B58="P","P&amp;10",B58&amp;"D "&amp;C58))</f>
        <v>P&amp;10</v>
      </c>
      <c r="R58" s="8" t="str">
        <f>IF(L58&lt;&gt;"Y","",IF(COUNTIF('DEF_CALL_DECISION_SUPPORT'!$B$1197:$B$1256,SUBSTITUTE(SUBSTITUTE(SUBSTITUTE(E58,"~","~~"),"*","~*"),"?","~?"))&gt;0,"KNOWN","REVIEW: new call; refresh sources"))</f>
        <v>KNOWN</v>
      </c>
    </row>
    <row r="59" spans="1:18" ht="25" customHeight="1">
      <c r="A59" s="12">
        <v>19</v>
      </c>
      <c r="B59" s="8" t="s">
        <v>2063</v>
      </c>
      <c r="C59" s="8" t="s">
        <v>115</v>
      </c>
      <c r="D59" s="8" t="s">
        <v>446</v>
      </c>
      <c r="E59" s="8" t="s">
        <v>63</v>
      </c>
      <c r="F59" s="8" t="s">
        <v>120</v>
      </c>
      <c r="G59" s="8" t="s">
        <v>206</v>
      </c>
      <c r="H59" s="8" t="s">
        <v>2094</v>
      </c>
      <c r="I59" s="11">
        <v>17</v>
      </c>
      <c r="J59" s="12">
        <v>0</v>
      </c>
      <c r="K59" s="12">
        <v>1</v>
      </c>
      <c r="L59" s="8" t="s">
        <v>2089</v>
      </c>
      <c r="M59" s="8" t="s">
        <v>1963</v>
      </c>
      <c r="N59" s="8" t="s">
        <v>1961</v>
      </c>
      <c r="O59" s="8" t="s">
        <v>2104</v>
      </c>
      <c r="P59" s="8"/>
      <c r="Q59" s="8" t="str">
        <f>IF(B59="","",IF(B59="P","P&amp;10",B59&amp;"D "&amp;C59))</f>
        <v>P&amp;10</v>
      </c>
      <c r="R59" s="8" t="str">
        <f>IF(L59&lt;&gt;"Y","",IF(COUNTIF('DEF_CALL_DECISION_SUPPORT'!$B$1197:$B$1256,SUBSTITUTE(SUBSTITUTE(SUBSTITUTE(E59,"~","~~"),"*","~*"),"?","~?"))&gt;0,"KNOWN","REVIEW: new call; refresh sources"))</f>
        <v>KNOWN</v>
      </c>
    </row>
    <row r="60" spans="1:18" ht="25" customHeight="1">
      <c r="A60" s="12">
        <v>20</v>
      </c>
      <c r="B60" s="8" t="s">
        <v>2063</v>
      </c>
      <c r="C60" s="8" t="s">
        <v>115</v>
      </c>
      <c r="D60" s="8" t="s">
        <v>449</v>
      </c>
      <c r="E60" s="8" t="s">
        <v>63</v>
      </c>
      <c r="F60" s="8" t="s">
        <v>120</v>
      </c>
      <c r="G60" s="8" t="s">
        <v>206</v>
      </c>
      <c r="H60" s="8" t="s">
        <v>2094</v>
      </c>
      <c r="I60" s="11">
        <v>3</v>
      </c>
      <c r="J60" s="12">
        <v>1</v>
      </c>
      <c r="K60" s="12">
        <v>0</v>
      </c>
      <c r="L60" s="8" t="s">
        <v>2089</v>
      </c>
      <c r="M60" s="8" t="s">
        <v>1963</v>
      </c>
      <c r="N60" s="8" t="s">
        <v>1967</v>
      </c>
      <c r="O60" s="8" t="s">
        <v>2104</v>
      </c>
      <c r="P60" s="8"/>
      <c r="Q60" s="8" t="str">
        <f>IF(B60="","",IF(B60="P","P&amp;10",B60&amp;"D "&amp;C60))</f>
        <v>P&amp;10</v>
      </c>
      <c r="R60" s="8" t="str">
        <f>IF(L60&lt;&gt;"Y","",IF(COUNTIF('DEF_CALL_DECISION_SUPPORT'!$B$1197:$B$1256,SUBSTITUTE(SUBSTITUTE(SUBSTITUTE(E60,"~","~~"),"*","~*"),"?","~?"))&gt;0,"KNOWN","REVIEW: new call; refresh sources"))</f>
        <v>KNOWN</v>
      </c>
    </row>
    <row r="61" spans="1:18" ht="25" customHeight="1">
      <c r="A61" s="12">
        <v>21</v>
      </c>
      <c r="B61" s="8" t="s">
        <v>2063</v>
      </c>
      <c r="C61" s="8" t="s">
        <v>115</v>
      </c>
      <c r="D61" s="8" t="s">
        <v>432</v>
      </c>
      <c r="E61" s="8" t="s">
        <v>63</v>
      </c>
      <c r="F61" s="8" t="s">
        <v>120</v>
      </c>
      <c r="G61" s="8" t="s">
        <v>203</v>
      </c>
      <c r="H61" s="8" t="s">
        <v>1965</v>
      </c>
      <c r="I61" s="11">
        <v>7</v>
      </c>
      <c r="J61" s="12">
        <v>0</v>
      </c>
      <c r="K61" s="12">
        <v>0</v>
      </c>
      <c r="L61" s="8" t="s">
        <v>2089</v>
      </c>
      <c r="M61" s="8" t="s">
        <v>1965</v>
      </c>
      <c r="N61" s="8" t="s">
        <v>1964</v>
      </c>
      <c r="O61" s="8" t="s">
        <v>2090</v>
      </c>
      <c r="P61" s="8"/>
      <c r="Q61" s="8" t="str">
        <f>IF(B61="","",IF(B61="P","P&amp;10",B61&amp;"D "&amp;C61))</f>
        <v>P&amp;10</v>
      </c>
      <c r="R61" s="8" t="str">
        <f>IF(L61&lt;&gt;"Y","",IF(COUNTIF('DEF_CALL_DECISION_SUPPORT'!$B$1197:$B$1256,SUBSTITUTE(SUBSTITUTE(SUBSTITUTE(E61,"~","~~"),"*","~*"),"?","~?"))&gt;0,"KNOWN","REVIEW: new call; refresh sources"))</f>
        <v>KNOWN</v>
      </c>
    </row>
    <row r="62" spans="1:18" ht="25" customHeight="1">
      <c r="A62" s="12">
        <v>22</v>
      </c>
      <c r="B62" s="8" t="s">
        <v>2063</v>
      </c>
      <c r="C62" s="8" t="s">
        <v>115</v>
      </c>
      <c r="D62" s="8" t="s">
        <v>471</v>
      </c>
      <c r="E62" s="8" t="s">
        <v>51</v>
      </c>
      <c r="F62" s="8" t="s">
        <v>123</v>
      </c>
      <c r="G62" s="8" t="s">
        <v>206</v>
      </c>
      <c r="H62" s="8" t="s">
        <v>2094</v>
      </c>
      <c r="I62" s="11">
        <v>14</v>
      </c>
      <c r="J62" s="12">
        <v>0</v>
      </c>
      <c r="K62" s="12">
        <v>0</v>
      </c>
      <c r="L62" s="8" t="s">
        <v>2089</v>
      </c>
      <c r="M62" s="8" t="s">
        <v>1963</v>
      </c>
      <c r="N62" s="8" t="s">
        <v>1967</v>
      </c>
      <c r="O62" s="8" t="s">
        <v>2099</v>
      </c>
      <c r="P62" s="8"/>
      <c r="Q62" s="8" t="str">
        <f>IF(B62="","",IF(B62="P","P&amp;10",B62&amp;"D "&amp;C62))</f>
        <v>P&amp;10</v>
      </c>
      <c r="R62" s="8" t="str">
        <f>IF(L62&lt;&gt;"Y","",IF(COUNTIF('DEF_CALL_DECISION_SUPPORT'!$B$1197:$B$1256,SUBSTITUTE(SUBSTITUTE(SUBSTITUTE(E62,"~","~~"),"*","~*"),"?","~?"))&gt;0,"KNOWN","REVIEW: new call; refresh sources"))</f>
        <v>KNOWN</v>
      </c>
    </row>
    <row r="63" spans="1:18" ht="25" customHeight="1">
      <c r="A63" s="12">
        <v>23</v>
      </c>
      <c r="B63" s="8" t="s">
        <v>2063</v>
      </c>
      <c r="C63" s="8" t="s">
        <v>115</v>
      </c>
      <c r="D63" s="8"/>
      <c r="E63" s="8" t="s">
        <v>51</v>
      </c>
      <c r="F63" s="8" t="s">
        <v>123</v>
      </c>
      <c r="G63" s="8" t="s">
        <v>206</v>
      </c>
      <c r="H63" s="8" t="s">
        <v>2110</v>
      </c>
      <c r="I63" s="11">
        <v>0</v>
      </c>
      <c r="J63" s="12"/>
      <c r="K63" s="12"/>
      <c r="L63" s="8" t="s">
        <v>2109</v>
      </c>
      <c r="M63" s="8"/>
      <c r="N63" s="8" t="s">
        <v>1961</v>
      </c>
      <c r="O63" s="8" t="s">
        <v>2099</v>
      </c>
      <c r="P63" s="8" t="s">
        <v>2388</v>
      </c>
      <c r="Q63" s="8" t="str">
        <f>IF(B63="","",IF(B63="P","P&amp;10",B63&amp;"D "&amp;C63))</f>
        <v>P&amp;10</v>
      </c>
      <c r="R63" s="8">
        <f>IF(L63&lt;&gt;"Y","",IF(COUNTIF('DEF_CALL_DECISION_SUPPORT'!$B$1197:$B$1256,SUBSTITUTE(SUBSTITUTE(SUBSTITUTE(E63,"~","~~"),"*","~*"),"?","~?"))&gt;0,"KNOWN","REVIEW: new call; refresh sources"))</f>
        <v/>
      </c>
    </row>
    <row r="64" spans="1:18" ht="25" customHeight="1">
      <c r="A64" s="12">
        <v>24</v>
      </c>
      <c r="B64" s="8" t="s">
        <v>2063</v>
      </c>
      <c r="C64" s="8" t="s">
        <v>115</v>
      </c>
      <c r="D64" s="8" t="s">
        <v>477</v>
      </c>
      <c r="E64" s="8" t="s">
        <v>54</v>
      </c>
      <c r="F64" s="8" t="s">
        <v>123</v>
      </c>
      <c r="G64" s="8" t="s">
        <v>203</v>
      </c>
      <c r="H64" s="8" t="s">
        <v>1965</v>
      </c>
      <c r="I64" s="11">
        <v>6</v>
      </c>
      <c r="J64" s="12">
        <v>0</v>
      </c>
      <c r="K64" s="12">
        <v>0</v>
      </c>
      <c r="L64" s="8" t="s">
        <v>2089</v>
      </c>
      <c r="M64" s="8" t="s">
        <v>1965</v>
      </c>
      <c r="N64" s="8" t="s">
        <v>1964</v>
      </c>
      <c r="O64" s="8" t="s">
        <v>2102</v>
      </c>
      <c r="P64" s="8"/>
      <c r="Q64" s="8" t="str">
        <f>IF(B64="","",IF(B64="P","P&amp;10",B64&amp;"D "&amp;C64))</f>
        <v>P&amp;10</v>
      </c>
      <c r="R64" s="8" t="str">
        <f>IF(L64&lt;&gt;"Y","",IF(COUNTIF('DEF_CALL_DECISION_SUPPORT'!$B$1197:$B$1256,SUBSTITUTE(SUBSTITUTE(SUBSTITUTE(E64,"~","~~"),"*","~*"),"?","~?"))&gt;0,"KNOWN","REVIEW: new call; refresh sources"))</f>
        <v>KNOWN</v>
      </c>
    </row>
    <row r="65" spans="1:18" ht="25" customHeight="1">
      <c r="A65" s="12">
        <v>25</v>
      </c>
      <c r="B65" s="8" t="s">
        <v>2063</v>
      </c>
      <c r="C65" s="8" t="s">
        <v>115</v>
      </c>
      <c r="D65" s="8" t="s">
        <v>428</v>
      </c>
      <c r="E65" s="8" t="s">
        <v>54</v>
      </c>
      <c r="F65" s="8" t="s">
        <v>120</v>
      </c>
      <c r="G65" s="8" t="s">
        <v>203</v>
      </c>
      <c r="H65" s="8" t="s">
        <v>1965</v>
      </c>
      <c r="I65" s="11">
        <v>17</v>
      </c>
      <c r="J65" s="12">
        <v>0</v>
      </c>
      <c r="K65" s="12">
        <v>1</v>
      </c>
      <c r="L65" s="8" t="s">
        <v>2089</v>
      </c>
      <c r="M65" s="8" t="s">
        <v>1965</v>
      </c>
      <c r="N65" s="8" t="s">
        <v>1964</v>
      </c>
      <c r="O65" s="8" t="s">
        <v>2090</v>
      </c>
      <c r="P65" s="8"/>
      <c r="Q65" s="8" t="str">
        <f>IF(B65="","",IF(B65="P","P&amp;10",B65&amp;"D "&amp;C65))</f>
        <v>P&amp;10</v>
      </c>
      <c r="R65" s="8" t="str">
        <f>IF(L65&lt;&gt;"Y","",IF(COUNTIF('DEF_CALL_DECISION_SUPPORT'!$B$1197:$B$1256,SUBSTITUTE(SUBSTITUTE(SUBSTITUTE(E65,"~","~~"),"*","~*"),"?","~?"))&gt;0,"KNOWN","REVIEW: new call; refresh sources"))</f>
        <v>KNOWN</v>
      </c>
    </row>
    <row r="66" spans="1:18" ht="25" customHeight="1">
      <c r="A66" s="12">
        <v>26</v>
      </c>
      <c r="B66" s="8" t="s">
        <v>2063</v>
      </c>
      <c r="C66" s="8" t="s">
        <v>115</v>
      </c>
      <c r="D66" s="8" t="s">
        <v>471</v>
      </c>
      <c r="E66" s="8" t="s">
        <v>56</v>
      </c>
      <c r="F66" s="8" t="s">
        <v>120</v>
      </c>
      <c r="G66" s="8" t="s">
        <v>206</v>
      </c>
      <c r="H66" s="8" t="s">
        <v>2094</v>
      </c>
      <c r="I66" s="11">
        <v>13</v>
      </c>
      <c r="J66" s="12">
        <v>0</v>
      </c>
      <c r="K66" s="12">
        <v>0</v>
      </c>
      <c r="L66" s="8" t="s">
        <v>2089</v>
      </c>
      <c r="M66" s="8" t="s">
        <v>1966</v>
      </c>
      <c r="N66" s="8" t="s">
        <v>1961</v>
      </c>
      <c r="O66" s="8" t="s">
        <v>2104</v>
      </c>
      <c r="P66" s="8"/>
      <c r="Q66" s="8" t="str">
        <f>IF(B66="","",IF(B66="P","P&amp;10",B66&amp;"D "&amp;C66))</f>
        <v>P&amp;10</v>
      </c>
      <c r="R66" s="8" t="str">
        <f>IF(L66&lt;&gt;"Y","",IF(COUNTIF('DEF_CALL_DECISION_SUPPORT'!$B$1197:$B$1256,SUBSTITUTE(SUBSTITUTE(SUBSTITUTE(E66,"~","~~"),"*","~*"),"?","~?"))&gt;0,"KNOWN","REVIEW: new call; refresh sources"))</f>
        <v>KNOWN</v>
      </c>
    </row>
    <row r="67" spans="1:18" ht="25" customHeight="1">
      <c r="A67" s="12">
        <v>27</v>
      </c>
      <c r="B67" s="8" t="s">
        <v>2063</v>
      </c>
      <c r="C67" s="8" t="s">
        <v>115</v>
      </c>
      <c r="D67" s="8" t="s">
        <v>428</v>
      </c>
      <c r="E67" s="8" t="s">
        <v>56</v>
      </c>
      <c r="F67" s="8" t="s">
        <v>120</v>
      </c>
      <c r="G67" s="8" t="s">
        <v>203</v>
      </c>
      <c r="H67" s="8" t="s">
        <v>1965</v>
      </c>
      <c r="I67" s="11">
        <v>4</v>
      </c>
      <c r="J67" s="12">
        <v>0</v>
      </c>
      <c r="K67" s="12">
        <v>0</v>
      </c>
      <c r="L67" s="8" t="s">
        <v>2089</v>
      </c>
      <c r="M67" s="8" t="s">
        <v>1965</v>
      </c>
      <c r="N67" s="8" t="s">
        <v>1964</v>
      </c>
      <c r="O67" s="8" t="s">
        <v>2090</v>
      </c>
      <c r="P67" s="8"/>
      <c r="Q67" s="8" t="str">
        <f>IF(B67="","",IF(B67="P","P&amp;10",B67&amp;"D "&amp;C67))</f>
        <v>P&amp;10</v>
      </c>
      <c r="R67" s="8" t="str">
        <f>IF(L67&lt;&gt;"Y","",IF(COUNTIF('DEF_CALL_DECISION_SUPPORT'!$B$1197:$B$1256,SUBSTITUTE(SUBSTITUTE(SUBSTITUTE(E67,"~","~~"),"*","~*"),"?","~?"))&gt;0,"KNOWN","REVIEW: new call; refresh sources"))</f>
        <v>KNOWN</v>
      </c>
    </row>
    <row r="68" spans="1:18" ht="25" customHeight="1">
      <c r="A68" s="12">
        <v>28</v>
      </c>
      <c r="B68" s="8" t="s">
        <v>2063</v>
      </c>
      <c r="C68" s="8" t="s">
        <v>115</v>
      </c>
      <c r="D68" s="8"/>
      <c r="E68" s="8" t="s">
        <v>27</v>
      </c>
      <c r="F68" s="8"/>
      <c r="G68" s="8"/>
      <c r="H68" s="8" t="s">
        <v>2110</v>
      </c>
      <c r="I68" s="11">
        <v>0</v>
      </c>
      <c r="J68" s="12"/>
      <c r="K68" s="12"/>
      <c r="L68" s="8" t="s">
        <v>2109</v>
      </c>
      <c r="M68" s="8"/>
      <c r="N68" s="8"/>
      <c r="O68" s="8"/>
      <c r="P68" s="8" t="s">
        <v>2388</v>
      </c>
      <c r="Q68" s="8" t="str">
        <f>IF(B68="","",IF(B68="P","P&amp;10",B68&amp;"D "&amp;C68))</f>
        <v>P&amp;10</v>
      </c>
      <c r="R68" s="8">
        <f>IF(L68&lt;&gt;"Y","",IF(COUNTIF('DEF_CALL_DECISION_SUPPORT'!$B$1197:$B$1256,SUBSTITUTE(SUBSTITUTE(SUBSTITUTE(E68,"~","~~"),"*","~*"),"?","~?"))&gt;0,"KNOWN","REVIEW: new call; refresh sources"))</f>
        <v/>
      </c>
    </row>
    <row r="69" spans="1:18" ht="25" customHeight="1">
      <c r="A69" s="12">
        <v>29</v>
      </c>
      <c r="B69" s="8" t="s">
        <v>2063</v>
      </c>
      <c r="C69" s="8" t="s">
        <v>115</v>
      </c>
      <c r="D69" s="8" t="s">
        <v>446</v>
      </c>
      <c r="E69" s="8" t="s">
        <v>43</v>
      </c>
      <c r="F69" s="8" t="s">
        <v>120</v>
      </c>
      <c r="G69" s="8" t="s">
        <v>206</v>
      </c>
      <c r="H69" s="8" t="s">
        <v>2094</v>
      </c>
      <c r="I69" s="11">
        <v>3</v>
      </c>
      <c r="J69" s="12">
        <v>1</v>
      </c>
      <c r="K69" s="12">
        <v>0</v>
      </c>
      <c r="L69" s="8" t="s">
        <v>2089</v>
      </c>
      <c r="M69" s="8" t="s">
        <v>1963</v>
      </c>
      <c r="N69" s="8" t="s">
        <v>1967</v>
      </c>
      <c r="O69" s="8" t="s">
        <v>2104</v>
      </c>
      <c r="P69" s="8"/>
      <c r="Q69" s="8" t="str">
        <f>IF(B69="","",IF(B69="P","P&amp;10",B69&amp;"D "&amp;C69))</f>
        <v>P&amp;10</v>
      </c>
      <c r="R69" s="8" t="str">
        <f>IF(L69&lt;&gt;"Y","",IF(COUNTIF('DEF_CALL_DECISION_SUPPORT'!$B$1197:$B$1256,SUBSTITUTE(SUBSTITUTE(SUBSTITUTE(E69,"~","~~"),"*","~*"),"?","~?"))&gt;0,"KNOWN","REVIEW: new call; refresh sources"))</f>
        <v>KNOWN</v>
      </c>
    </row>
    <row r="70" spans="1:18" ht="25" customHeight="1">
      <c r="A70" s="12">
        <v>30</v>
      </c>
      <c r="B70" s="8" t="s">
        <v>2063</v>
      </c>
      <c r="C70" s="8" t="s">
        <v>115</v>
      </c>
      <c r="D70" s="8" t="s">
        <v>561</v>
      </c>
      <c r="E70" s="8" t="s">
        <v>32</v>
      </c>
      <c r="F70" s="8" t="s">
        <v>120</v>
      </c>
      <c r="G70" s="8" t="s">
        <v>203</v>
      </c>
      <c r="H70" s="8" t="s">
        <v>2094</v>
      </c>
      <c r="I70" s="11">
        <v>72</v>
      </c>
      <c r="J70" s="12">
        <v>0</v>
      </c>
      <c r="K70" s="12">
        <v>1</v>
      </c>
      <c r="L70" s="8" t="s">
        <v>2089</v>
      </c>
      <c r="M70" s="8" t="s">
        <v>1963</v>
      </c>
      <c r="N70" s="8" t="s">
        <v>1964</v>
      </c>
      <c r="O70" s="8" t="s">
        <v>2090</v>
      </c>
      <c r="P70" s="8"/>
      <c r="Q70" s="8" t="str">
        <f>IF(B70="","",IF(B70="P","P&amp;10",B70&amp;"D "&amp;C70))</f>
        <v>P&amp;10</v>
      </c>
      <c r="R70" s="8" t="str">
        <f>IF(L70&lt;&gt;"Y","",IF(COUNTIF('DEF_CALL_DECISION_SUPPORT'!$B$1197:$B$1256,SUBSTITUTE(SUBSTITUTE(SUBSTITUTE(E70,"~","~~"),"*","~*"),"?","~?"))&gt;0,"KNOWN","REVIEW: new call; refresh sources"))</f>
        <v>KNOWN</v>
      </c>
    </row>
    <row r="71" spans="1:18" ht="25" customHeight="1">
      <c r="A71" s="12">
        <v>31</v>
      </c>
      <c r="B71" s="8" t="s">
        <v>2063</v>
      </c>
      <c r="C71" s="8" t="s">
        <v>115</v>
      </c>
      <c r="D71" s="8" t="s">
        <v>2112</v>
      </c>
      <c r="E71" s="8" t="s">
        <v>2111</v>
      </c>
      <c r="F71" s="8" t="s">
        <v>123</v>
      </c>
      <c r="G71" s="8" t="s">
        <v>1170</v>
      </c>
      <c r="H71" s="8" t="s">
        <v>2110</v>
      </c>
      <c r="I71" s="11">
        <v>-2</v>
      </c>
      <c r="J71" s="12"/>
      <c r="K71" s="12"/>
      <c r="L71" s="8" t="s">
        <v>2109</v>
      </c>
      <c r="M71" s="8" t="s">
        <v>2112</v>
      </c>
      <c r="N71" s="8" t="s">
        <v>1972</v>
      </c>
      <c r="O71" s="8" t="s">
        <v>2095</v>
      </c>
      <c r="P71" s="8" t="s">
        <v>2388</v>
      </c>
      <c r="Q71" s="8" t="str">
        <f>IF(B71="","",IF(B71="P","P&amp;10",B71&amp;"D "&amp;C71))</f>
        <v>P&amp;10</v>
      </c>
      <c r="R71" s="8">
        <f>IF(L71&lt;&gt;"Y","",IF(COUNTIF('DEF_CALL_DECISION_SUPPORT'!$B$1197:$B$1256,SUBSTITUTE(SUBSTITUTE(SUBSTITUTE(E71,"~","~~"),"*","~*"),"?","~?"))&gt;0,"KNOWN","REVIEW: new call; refresh sources"))</f>
        <v/>
      </c>
    </row>
    <row r="72" spans="1:18" ht="25" customHeight="1">
      <c r="A72" s="12">
        <v>32</v>
      </c>
      <c r="B72" s="8" t="s">
        <v>2063</v>
      </c>
      <c r="C72" s="8" t="s">
        <v>115</v>
      </c>
      <c r="D72" s="8" t="s">
        <v>428</v>
      </c>
      <c r="E72" s="8" t="s">
        <v>88</v>
      </c>
      <c r="F72" s="8" t="s">
        <v>123</v>
      </c>
      <c r="G72" s="8" t="s">
        <v>203</v>
      </c>
      <c r="H72" s="8" t="s">
        <v>1965</v>
      </c>
      <c r="I72" s="11">
        <v>4</v>
      </c>
      <c r="J72" s="12">
        <v>0</v>
      </c>
      <c r="K72" s="12">
        <v>0</v>
      </c>
      <c r="L72" s="8" t="s">
        <v>2089</v>
      </c>
      <c r="M72" s="8" t="s">
        <v>1965</v>
      </c>
      <c r="N72" s="8" t="s">
        <v>1964</v>
      </c>
      <c r="O72" s="8" t="s">
        <v>2102</v>
      </c>
      <c r="P72" s="8"/>
      <c r="Q72" s="8" t="str">
        <f>IF(B72="","",IF(B72="P","P&amp;10",B72&amp;"D "&amp;C72))</f>
        <v>P&amp;10</v>
      </c>
      <c r="R72" s="8" t="str">
        <f>IF(L72&lt;&gt;"Y","",IF(COUNTIF('DEF_CALL_DECISION_SUPPORT'!$B$1197:$B$1256,SUBSTITUTE(SUBSTITUTE(SUBSTITUTE(E72,"~","~~"),"*","~*"),"?","~?"))&gt;0,"KNOWN","REVIEW: new call; refresh sources"))</f>
        <v>KNOWN</v>
      </c>
    </row>
    <row r="73" spans="1:18" ht="25" customHeight="1">
      <c r="A73" s="12">
        <v>33</v>
      </c>
      <c r="B73" s="8" t="s">
        <v>2063</v>
      </c>
      <c r="C73" s="8" t="s">
        <v>115</v>
      </c>
      <c r="D73" s="8" t="s">
        <v>446</v>
      </c>
      <c r="E73" s="8" t="s">
        <v>53</v>
      </c>
      <c r="F73" s="8" t="s">
        <v>120</v>
      </c>
      <c r="G73" s="8" t="s">
        <v>206</v>
      </c>
      <c r="H73" s="8" t="s">
        <v>2094</v>
      </c>
      <c r="I73" s="11">
        <v>8</v>
      </c>
      <c r="J73" s="12">
        <v>0</v>
      </c>
      <c r="K73" s="12">
        <v>0</v>
      </c>
      <c r="L73" s="8" t="s">
        <v>2089</v>
      </c>
      <c r="M73" s="8" t="s">
        <v>1963</v>
      </c>
      <c r="N73" s="8" t="s">
        <v>1961</v>
      </c>
      <c r="O73" s="8" t="s">
        <v>2104</v>
      </c>
      <c r="P73" s="8"/>
      <c r="Q73" s="8" t="str">
        <f>IF(B73="","",IF(B73="P","P&amp;10",B73&amp;"D "&amp;C73))</f>
        <v>P&amp;10</v>
      </c>
      <c r="R73" s="8" t="str">
        <f>IF(L73&lt;&gt;"Y","",IF(COUNTIF('DEF_CALL_DECISION_SUPPORT'!$B$1197:$B$1256,SUBSTITUTE(SUBSTITUTE(SUBSTITUTE(E73,"~","~~"),"*","~*"),"?","~?"))&gt;0,"KNOWN","REVIEW: new call; refresh sources"))</f>
        <v>KNOWN</v>
      </c>
    </row>
    <row r="74" spans="1:18" ht="25" customHeight="1">
      <c r="A74" s="12">
        <v>34</v>
      </c>
      <c r="B74" s="8" t="s">
        <v>2063</v>
      </c>
      <c r="C74" s="8" t="s">
        <v>115</v>
      </c>
      <c r="D74" s="8" t="s">
        <v>465</v>
      </c>
      <c r="E74" s="8" t="s">
        <v>81</v>
      </c>
      <c r="F74" s="8" t="s">
        <v>120</v>
      </c>
      <c r="G74" s="8" t="s">
        <v>206</v>
      </c>
      <c r="H74" s="8" t="s">
        <v>1965</v>
      </c>
      <c r="I74" s="11">
        <v>4</v>
      </c>
      <c r="J74" s="12">
        <v>0</v>
      </c>
      <c r="K74" s="12">
        <v>0</v>
      </c>
      <c r="L74" s="8" t="s">
        <v>2089</v>
      </c>
      <c r="M74" s="8" t="s">
        <v>1965</v>
      </c>
      <c r="N74" s="8" t="s">
        <v>1967</v>
      </c>
      <c r="O74" s="8" t="s">
        <v>2104</v>
      </c>
      <c r="P74" s="8"/>
      <c r="Q74" s="8" t="str">
        <f>IF(B74="","",IF(B74="P","P&amp;10",B74&amp;"D "&amp;C74))</f>
        <v>P&amp;10</v>
      </c>
      <c r="R74" s="8" t="str">
        <f>IF(L74&lt;&gt;"Y","",IF(COUNTIF('DEF_CALL_DECISION_SUPPORT'!$B$1197:$B$1256,SUBSTITUTE(SUBSTITUTE(SUBSTITUTE(E74,"~","~~"),"*","~*"),"?","~?"))&gt;0,"KNOWN","REVIEW: new call; refresh sources"))</f>
        <v>KNOWN</v>
      </c>
    </row>
    <row r="75" spans="1:18" ht="25" customHeight="1">
      <c r="A75" s="12">
        <v>35</v>
      </c>
      <c r="B75" s="8" t="s">
        <v>2063</v>
      </c>
      <c r="C75" s="8" t="s">
        <v>115</v>
      </c>
      <c r="D75" s="8" t="s">
        <v>471</v>
      </c>
      <c r="E75" s="8" t="s">
        <v>35</v>
      </c>
      <c r="F75" s="8" t="s">
        <v>120</v>
      </c>
      <c r="G75" s="8" t="s">
        <v>206</v>
      </c>
      <c r="H75" s="8" t="s">
        <v>2094</v>
      </c>
      <c r="I75" s="11">
        <v>55</v>
      </c>
      <c r="J75" s="12">
        <v>0</v>
      </c>
      <c r="K75" s="12">
        <v>1</v>
      </c>
      <c r="L75" s="8" t="s">
        <v>2089</v>
      </c>
      <c r="M75" s="8" t="s">
        <v>1963</v>
      </c>
      <c r="N75" s="8" t="s">
        <v>1961</v>
      </c>
      <c r="O75" s="8" t="s">
        <v>2104</v>
      </c>
      <c r="P75" s="8"/>
      <c r="Q75" s="8" t="str">
        <f>IF(B75="","",IF(B75="P","P&amp;10",B75&amp;"D "&amp;C75))</f>
        <v>P&amp;10</v>
      </c>
      <c r="R75" s="8" t="str">
        <f>IF(L75&lt;&gt;"Y","",IF(COUNTIF('DEF_CALL_DECISION_SUPPORT'!$B$1197:$B$1256,SUBSTITUTE(SUBSTITUTE(SUBSTITUTE(E75,"~","~~"),"*","~*"),"?","~?"))&gt;0,"KNOWN","REVIEW: new call; refresh sources"))</f>
        <v>KNOWN</v>
      </c>
    </row>
    <row r="76" spans="1:18" ht="25" customHeight="1">
      <c r="A76" s="12">
        <v>36</v>
      </c>
      <c r="B76" s="8" t="s">
        <v>2063</v>
      </c>
      <c r="C76" s="8" t="s">
        <v>115</v>
      </c>
      <c r="D76" s="8" t="s">
        <v>432</v>
      </c>
      <c r="E76" s="8" t="s">
        <v>62</v>
      </c>
      <c r="F76" s="8" t="s">
        <v>120</v>
      </c>
      <c r="G76" s="8" t="s">
        <v>206</v>
      </c>
      <c r="H76" s="8" t="s">
        <v>1965</v>
      </c>
      <c r="I76" s="11">
        <v>25</v>
      </c>
      <c r="J76" s="12">
        <v>0</v>
      </c>
      <c r="K76" s="12">
        <v>1</v>
      </c>
      <c r="L76" s="8" t="s">
        <v>2089</v>
      </c>
      <c r="M76" s="8" t="s">
        <v>1965</v>
      </c>
      <c r="N76" s="8" t="s">
        <v>1967</v>
      </c>
      <c r="O76" s="8" t="s">
        <v>2104</v>
      </c>
      <c r="P76" s="8"/>
      <c r="Q76" s="8" t="str">
        <f>IF(B76="","",IF(B76="P","P&amp;10",B76&amp;"D "&amp;C76))</f>
        <v>P&amp;10</v>
      </c>
      <c r="R76" s="8" t="str">
        <f>IF(L76&lt;&gt;"Y","",IF(COUNTIF('DEF_CALL_DECISION_SUPPORT'!$B$1197:$B$1256,SUBSTITUTE(SUBSTITUTE(SUBSTITUTE(E76,"~","~~"),"*","~*"),"?","~?"))&gt;0,"KNOWN","REVIEW: new call; refresh sources"))</f>
        <v>KNOWN</v>
      </c>
    </row>
    <row r="77" spans="1:18" ht="25" customHeight="1">
      <c r="A77" s="12">
        <v>37</v>
      </c>
      <c r="B77" s="8" t="s">
        <v>2063</v>
      </c>
      <c r="C77" s="8" t="s">
        <v>115</v>
      </c>
      <c r="D77" s="8" t="s">
        <v>477</v>
      </c>
      <c r="E77" s="8" t="s">
        <v>75</v>
      </c>
      <c r="F77" s="8" t="s">
        <v>120</v>
      </c>
      <c r="G77" s="8" t="s">
        <v>206</v>
      </c>
      <c r="H77" s="8" t="s">
        <v>1965</v>
      </c>
      <c r="I77" s="11">
        <v>9</v>
      </c>
      <c r="J77" s="12">
        <v>0</v>
      </c>
      <c r="K77" s="12">
        <v>0</v>
      </c>
      <c r="L77" s="8" t="s">
        <v>2089</v>
      </c>
      <c r="M77" s="8" t="s">
        <v>1965</v>
      </c>
      <c r="N77" s="8" t="s">
        <v>1961</v>
      </c>
      <c r="O77" s="8" t="s">
        <v>2104</v>
      </c>
      <c r="P77" s="8"/>
      <c r="Q77" s="8" t="str">
        <f>IF(B77="","",IF(B77="P","P&amp;10",B77&amp;"D "&amp;C77))</f>
        <v>P&amp;10</v>
      </c>
      <c r="R77" s="8" t="str">
        <f>IF(L77&lt;&gt;"Y","",IF(COUNTIF('DEF_CALL_DECISION_SUPPORT'!$B$1197:$B$1256,SUBSTITUTE(SUBSTITUTE(SUBSTITUTE(E77,"~","~~"),"*","~*"),"?","~?"))&gt;0,"KNOWN","REVIEW: new call; refresh sources"))</f>
        <v>KNOWN</v>
      </c>
    </row>
    <row r="78" spans="1:18" ht="25" customHeight="1">
      <c r="A78" s="12">
        <v>38</v>
      </c>
      <c r="B78" s="8" t="s">
        <v>2066</v>
      </c>
      <c r="C78" s="8" t="s">
        <v>716</v>
      </c>
      <c r="D78" s="8" t="s">
        <v>465</v>
      </c>
      <c r="E78" s="8" t="s">
        <v>44</v>
      </c>
      <c r="F78" s="8" t="s">
        <v>120</v>
      </c>
      <c r="G78" s="8" t="s">
        <v>206</v>
      </c>
      <c r="H78" s="8" t="s">
        <v>1965</v>
      </c>
      <c r="I78" s="11">
        <v>8</v>
      </c>
      <c r="J78" s="12">
        <v>0</v>
      </c>
      <c r="K78" s="12">
        <v>0</v>
      </c>
      <c r="L78" s="8" t="s">
        <v>2089</v>
      </c>
      <c r="M78" s="8" t="s">
        <v>1965</v>
      </c>
      <c r="N78" s="8" t="s">
        <v>1967</v>
      </c>
      <c r="O78" s="8" t="s">
        <v>2104</v>
      </c>
      <c r="P78" s="8"/>
      <c r="Q78" s="8" t="str">
        <f>IF(B78="","",IF(B78="P","P&amp;10",B78&amp;"D "&amp;C78))</f>
        <v>1D 7-10</v>
      </c>
      <c r="R78" s="8" t="str">
        <f>IF(L78&lt;&gt;"Y","",IF(COUNTIF('DEF_CALL_DECISION_SUPPORT'!$B$1197:$B$1256,SUBSTITUTE(SUBSTITUTE(SUBSTITUTE(E78,"~","~~"),"*","~*"),"?","~?"))&gt;0,"KNOWN","REVIEW: new call; refresh sources"))</f>
        <v>KNOWN</v>
      </c>
    </row>
    <row r="79" spans="1:18" ht="25" customHeight="1">
      <c r="A79" s="12">
        <v>39</v>
      </c>
      <c r="B79" s="8" t="s">
        <v>2066</v>
      </c>
      <c r="C79" s="8" t="s">
        <v>716</v>
      </c>
      <c r="D79" s="8" t="s">
        <v>449</v>
      </c>
      <c r="E79" s="8" t="s">
        <v>44</v>
      </c>
      <c r="F79" s="8" t="s">
        <v>120</v>
      </c>
      <c r="G79" s="8" t="s">
        <v>206</v>
      </c>
      <c r="H79" s="8" t="s">
        <v>2094</v>
      </c>
      <c r="I79" s="11">
        <v>0</v>
      </c>
      <c r="J79" s="12">
        <v>1</v>
      </c>
      <c r="K79" s="12">
        <v>0</v>
      </c>
      <c r="L79" s="8" t="s">
        <v>2089</v>
      </c>
      <c r="M79" s="8" t="s">
        <v>1974</v>
      </c>
      <c r="N79" s="8" t="s">
        <v>1967</v>
      </c>
      <c r="O79" s="8" t="s">
        <v>2104</v>
      </c>
      <c r="P79" s="8"/>
      <c r="Q79" s="8" t="str">
        <f>IF(B79="","",IF(B79="P","P&amp;10",B79&amp;"D "&amp;C79))</f>
        <v>1D 7-10</v>
      </c>
      <c r="R79" s="8" t="str">
        <f>IF(L79&lt;&gt;"Y","",IF(COUNTIF('DEF_CALL_DECISION_SUPPORT'!$B$1197:$B$1256,SUBSTITUTE(SUBSTITUTE(SUBSTITUTE(E79,"~","~~"),"*","~*"),"?","~?"))&gt;0,"KNOWN","REVIEW: new call; refresh sources"))</f>
        <v>KNOWN</v>
      </c>
    </row>
    <row r="80" spans="1:18" ht="25" customHeight="1">
      <c r="A80" s="12">
        <v>40</v>
      </c>
      <c r="B80" s="8" t="s">
        <v>2066</v>
      </c>
      <c r="C80" s="8" t="s">
        <v>716</v>
      </c>
      <c r="D80" s="8" t="s">
        <v>465</v>
      </c>
      <c r="E80" s="8" t="s">
        <v>44</v>
      </c>
      <c r="F80" s="8" t="s">
        <v>120</v>
      </c>
      <c r="G80" s="8" t="s">
        <v>206</v>
      </c>
      <c r="H80" s="8" t="s">
        <v>1965</v>
      </c>
      <c r="I80" s="11">
        <v>3</v>
      </c>
      <c r="J80" s="12">
        <v>1</v>
      </c>
      <c r="K80" s="12">
        <v>0</v>
      </c>
      <c r="L80" s="8" t="s">
        <v>2089</v>
      </c>
      <c r="M80" s="8" t="s">
        <v>1965</v>
      </c>
      <c r="N80" s="8" t="s">
        <v>1961</v>
      </c>
      <c r="O80" s="8" t="s">
        <v>2104</v>
      </c>
      <c r="P80" s="8"/>
      <c r="Q80" s="8" t="str">
        <f>IF(B80="","",IF(B80="P","P&amp;10",B80&amp;"D "&amp;C80))</f>
        <v>1D 7-10</v>
      </c>
      <c r="R80" s="8" t="str">
        <f>IF(L80&lt;&gt;"Y","",IF(COUNTIF('DEF_CALL_DECISION_SUPPORT'!$B$1197:$B$1256,SUBSTITUTE(SUBSTITUTE(SUBSTITUTE(E80,"~","~~"),"*","~*"),"?","~?"))&gt;0,"KNOWN","REVIEW: new call; refresh sources"))</f>
        <v>KNOWN</v>
      </c>
    </row>
    <row r="81" spans="1:18" ht="25" customHeight="1">
      <c r="A81" s="12">
        <v>41</v>
      </c>
      <c r="B81" s="8" t="s">
        <v>2066</v>
      </c>
      <c r="C81" s="8" t="s">
        <v>716</v>
      </c>
      <c r="D81" s="8" t="s">
        <v>432</v>
      </c>
      <c r="E81" s="8" t="s">
        <v>44</v>
      </c>
      <c r="F81" s="8" t="s">
        <v>132</v>
      </c>
      <c r="G81" s="8" t="s">
        <v>206</v>
      </c>
      <c r="H81" s="8" t="s">
        <v>1965</v>
      </c>
      <c r="I81" s="11">
        <v>7</v>
      </c>
      <c r="J81" s="12">
        <v>0</v>
      </c>
      <c r="K81" s="12">
        <v>0</v>
      </c>
      <c r="L81" s="8" t="s">
        <v>2089</v>
      </c>
      <c r="M81" s="8" t="s">
        <v>1965</v>
      </c>
      <c r="N81" s="8" t="s">
        <v>206</v>
      </c>
      <c r="O81" s="8" t="s">
        <v>2097</v>
      </c>
      <c r="P81" s="8"/>
      <c r="Q81" s="8" t="str">
        <f>IF(B81="","",IF(B81="P","P&amp;10",B81&amp;"D "&amp;C81))</f>
        <v>1D 7-10</v>
      </c>
      <c r="R81" s="8" t="str">
        <f>IF(L81&lt;&gt;"Y","",IF(COUNTIF('DEF_CALL_DECISION_SUPPORT'!$B$1197:$B$1256,SUBSTITUTE(SUBSTITUTE(SUBSTITUTE(E81,"~","~~"),"*","~*"),"?","~?"))&gt;0,"KNOWN","REVIEW: new call; refresh sources"))</f>
        <v>KNOWN</v>
      </c>
    </row>
    <row r="82" spans="1:18" ht="25" customHeight="1">
      <c r="A82" s="12">
        <v>42</v>
      </c>
      <c r="B82" s="8" t="s">
        <v>2066</v>
      </c>
      <c r="C82" s="8" t="s">
        <v>716</v>
      </c>
      <c r="D82" s="8" t="s">
        <v>446</v>
      </c>
      <c r="E82" s="8" t="s">
        <v>44</v>
      </c>
      <c r="F82" s="8" t="s">
        <v>120</v>
      </c>
      <c r="G82" s="8" t="s">
        <v>222</v>
      </c>
      <c r="H82" s="8" t="s">
        <v>2094</v>
      </c>
      <c r="I82" s="11">
        <v>11</v>
      </c>
      <c r="J82" s="12">
        <v>0</v>
      </c>
      <c r="K82" s="12">
        <v>0</v>
      </c>
      <c r="L82" s="8" t="s">
        <v>2089</v>
      </c>
      <c r="M82" s="8" t="s">
        <v>1963</v>
      </c>
      <c r="N82" s="8" t="s">
        <v>1973</v>
      </c>
      <c r="O82" s="8" t="s">
        <v>2095</v>
      </c>
      <c r="P82" s="8"/>
      <c r="Q82" s="8" t="str">
        <f>IF(B82="","",IF(B82="P","P&amp;10",B82&amp;"D "&amp;C82))</f>
        <v>1D 7-10</v>
      </c>
      <c r="R82" s="8" t="str">
        <f>IF(L82&lt;&gt;"Y","",IF(COUNTIF('DEF_CALL_DECISION_SUPPORT'!$B$1197:$B$1256,SUBSTITUTE(SUBSTITUTE(SUBSTITUTE(E82,"~","~~"),"*","~*"),"?","~?"))&gt;0,"KNOWN","REVIEW: new call; refresh sources"))</f>
        <v>KNOWN</v>
      </c>
    </row>
    <row r="83" spans="1:18" ht="25" customHeight="1">
      <c r="A83" s="12">
        <v>43</v>
      </c>
      <c r="B83" s="8" t="s">
        <v>2066</v>
      </c>
      <c r="C83" s="8" t="s">
        <v>716</v>
      </c>
      <c r="D83" s="8" t="s">
        <v>465</v>
      </c>
      <c r="E83" s="8" t="s">
        <v>44</v>
      </c>
      <c r="F83" s="8" t="s">
        <v>132</v>
      </c>
      <c r="G83" s="8" t="s">
        <v>206</v>
      </c>
      <c r="H83" s="8" t="s">
        <v>1965</v>
      </c>
      <c r="I83" s="11">
        <v>5</v>
      </c>
      <c r="J83" s="12">
        <v>0</v>
      </c>
      <c r="K83" s="12">
        <v>0</v>
      </c>
      <c r="L83" s="8" t="s">
        <v>2089</v>
      </c>
      <c r="M83" s="8" t="s">
        <v>1965</v>
      </c>
      <c r="N83" s="8" t="s">
        <v>206</v>
      </c>
      <c r="O83" s="8" t="s">
        <v>2097</v>
      </c>
      <c r="P83" s="8"/>
      <c r="Q83" s="8" t="str">
        <f>IF(B83="","",IF(B83="P","P&amp;10",B83&amp;"D "&amp;C83))</f>
        <v>1D 7-10</v>
      </c>
      <c r="R83" s="8" t="str">
        <f>IF(L83&lt;&gt;"Y","",IF(COUNTIF('DEF_CALL_DECISION_SUPPORT'!$B$1197:$B$1256,SUBSTITUTE(SUBSTITUTE(SUBSTITUTE(E83,"~","~~"),"*","~*"),"?","~?"))&gt;0,"KNOWN","REVIEW: new call; refresh sources"))</f>
        <v>KNOWN</v>
      </c>
    </row>
    <row r="84" spans="1:18" ht="25" customHeight="1">
      <c r="A84" s="12">
        <v>44</v>
      </c>
      <c r="B84" s="8" t="s">
        <v>2066</v>
      </c>
      <c r="C84" s="8" t="s">
        <v>716</v>
      </c>
      <c r="D84" s="8"/>
      <c r="E84" s="8" t="s">
        <v>44</v>
      </c>
      <c r="F84" s="8" t="s">
        <v>132</v>
      </c>
      <c r="G84" s="8"/>
      <c r="H84" s="8" t="s">
        <v>2110</v>
      </c>
      <c r="I84" s="11">
        <v>0</v>
      </c>
      <c r="J84" s="12"/>
      <c r="K84" s="12"/>
      <c r="L84" s="8" t="s">
        <v>2109</v>
      </c>
      <c r="M84" s="8"/>
      <c r="N84" s="8"/>
      <c r="O84" s="8"/>
      <c r="P84" s="8" t="s">
        <v>2388</v>
      </c>
      <c r="Q84" s="8" t="str">
        <f>IF(B84="","",IF(B84="P","P&amp;10",B84&amp;"D "&amp;C84))</f>
        <v>1D 7-10</v>
      </c>
      <c r="R84" s="8">
        <f>IF(L84&lt;&gt;"Y","",IF(COUNTIF('DEF_CALL_DECISION_SUPPORT'!$B$1197:$B$1256,SUBSTITUTE(SUBSTITUTE(SUBSTITUTE(E84,"~","~~"),"*","~*"),"?","~?"))&gt;0,"KNOWN","REVIEW: new call; refresh sources"))</f>
        <v/>
      </c>
    </row>
    <row r="85" spans="1:18" ht="25" customHeight="1">
      <c r="A85" s="12">
        <v>45</v>
      </c>
      <c r="B85" s="8" t="s">
        <v>2066</v>
      </c>
      <c r="C85" s="8" t="s">
        <v>716</v>
      </c>
      <c r="D85" s="8" t="s">
        <v>446</v>
      </c>
      <c r="E85" s="8" t="s">
        <v>60</v>
      </c>
      <c r="F85" s="8" t="s">
        <v>120</v>
      </c>
      <c r="G85" s="8" t="s">
        <v>203</v>
      </c>
      <c r="H85" s="8" t="s">
        <v>2094</v>
      </c>
      <c r="I85" s="11">
        <v>3</v>
      </c>
      <c r="J85" s="12">
        <v>1</v>
      </c>
      <c r="K85" s="12">
        <v>0</v>
      </c>
      <c r="L85" s="8" t="s">
        <v>2089</v>
      </c>
      <c r="M85" s="8" t="s">
        <v>1963</v>
      </c>
      <c r="N85" s="8" t="s">
        <v>1964</v>
      </c>
      <c r="O85" s="8" t="s">
        <v>2090</v>
      </c>
      <c r="P85" s="8"/>
      <c r="Q85" s="8" t="str">
        <f>IF(B85="","",IF(B85="P","P&amp;10",B85&amp;"D "&amp;C85))</f>
        <v>1D 7-10</v>
      </c>
      <c r="R85" s="8" t="str">
        <f>IF(L85&lt;&gt;"Y","",IF(COUNTIF('DEF_CALL_DECISION_SUPPORT'!$B$1197:$B$1256,SUBSTITUTE(SUBSTITUTE(SUBSTITUTE(E85,"~","~~"),"*","~*"),"?","~?"))&gt;0,"KNOWN","REVIEW: new call; refresh sources"))</f>
        <v>KNOWN</v>
      </c>
    </row>
    <row r="86" spans="1:18" ht="25" customHeight="1">
      <c r="A86" s="12">
        <v>46</v>
      </c>
      <c r="B86" s="8" t="s">
        <v>2066</v>
      </c>
      <c r="C86" s="8" t="s">
        <v>716</v>
      </c>
      <c r="D86" s="8" t="s">
        <v>449</v>
      </c>
      <c r="E86" s="8" t="s">
        <v>60</v>
      </c>
      <c r="F86" s="8" t="s">
        <v>120</v>
      </c>
      <c r="G86" s="8" t="s">
        <v>203</v>
      </c>
      <c r="H86" s="8" t="s">
        <v>2068</v>
      </c>
      <c r="I86" s="11">
        <v>29</v>
      </c>
      <c r="J86" s="12">
        <v>0</v>
      </c>
      <c r="K86" s="12">
        <v>1</v>
      </c>
      <c r="L86" s="8" t="s">
        <v>2089</v>
      </c>
      <c r="M86" s="8" t="s">
        <v>2113</v>
      </c>
      <c r="N86" s="8" t="s">
        <v>1964</v>
      </c>
      <c r="O86" s="8" t="s">
        <v>2090</v>
      </c>
      <c r="P86" s="8"/>
      <c r="Q86" s="8" t="str">
        <f>IF(B86="","",IF(B86="P","P&amp;10",B86&amp;"D "&amp;C86))</f>
        <v>1D 7-10</v>
      </c>
      <c r="R86" s="8" t="str">
        <f>IF(L86&lt;&gt;"Y","",IF(COUNTIF('DEF_CALL_DECISION_SUPPORT'!$B$1197:$B$1256,SUBSTITUTE(SUBSTITUTE(SUBSTITUTE(E86,"~","~~"),"*","~*"),"?","~?"))&gt;0,"KNOWN","REVIEW: new call; refresh sources"))</f>
        <v>KNOWN</v>
      </c>
    </row>
    <row r="87" spans="1:18" ht="25" customHeight="1">
      <c r="A87" s="12">
        <v>47</v>
      </c>
      <c r="B87" s="8" t="s">
        <v>2066</v>
      </c>
      <c r="C87" s="8" t="s">
        <v>716</v>
      </c>
      <c r="D87" s="8" t="s">
        <v>449</v>
      </c>
      <c r="E87" s="8" t="s">
        <v>60</v>
      </c>
      <c r="F87" s="8" t="s">
        <v>120</v>
      </c>
      <c r="G87" s="8" t="s">
        <v>206</v>
      </c>
      <c r="H87" s="8" t="s">
        <v>2094</v>
      </c>
      <c r="I87" s="11">
        <v>14</v>
      </c>
      <c r="J87" s="12">
        <v>0</v>
      </c>
      <c r="K87" s="12">
        <v>0</v>
      </c>
      <c r="L87" s="8" t="s">
        <v>2089</v>
      </c>
      <c r="M87" s="8" t="s">
        <v>1963</v>
      </c>
      <c r="N87" s="8" t="s">
        <v>1967</v>
      </c>
      <c r="O87" s="8" t="s">
        <v>2104</v>
      </c>
      <c r="P87" s="8"/>
      <c r="Q87" s="8" t="str">
        <f>IF(B87="","",IF(B87="P","P&amp;10",B87&amp;"D "&amp;C87))</f>
        <v>1D 7-10</v>
      </c>
      <c r="R87" s="8" t="str">
        <f>IF(L87&lt;&gt;"Y","",IF(COUNTIF('DEF_CALL_DECISION_SUPPORT'!$B$1197:$B$1256,SUBSTITUTE(SUBSTITUTE(SUBSTITUTE(E87,"~","~~"),"*","~*"),"?","~?"))&gt;0,"KNOWN","REVIEW: new call; refresh sources"))</f>
        <v>KNOWN</v>
      </c>
    </row>
    <row r="88" spans="1:18" ht="25" customHeight="1">
      <c r="A88" s="12">
        <v>48</v>
      </c>
      <c r="B88" s="8" t="s">
        <v>2066</v>
      </c>
      <c r="C88" s="8" t="s">
        <v>711</v>
      </c>
      <c r="D88" s="8" t="s">
        <v>443</v>
      </c>
      <c r="E88" s="8" t="s">
        <v>35</v>
      </c>
      <c r="F88" s="8" t="s">
        <v>123</v>
      </c>
      <c r="G88" s="8" t="s">
        <v>203</v>
      </c>
      <c r="H88" s="8" t="s">
        <v>2094</v>
      </c>
      <c r="I88" s="11">
        <v>5</v>
      </c>
      <c r="J88" s="12">
        <v>1</v>
      </c>
      <c r="K88" s="12">
        <v>0</v>
      </c>
      <c r="L88" s="8" t="s">
        <v>2089</v>
      </c>
      <c r="M88" s="8" t="s">
        <v>1963</v>
      </c>
      <c r="N88" s="8" t="s">
        <v>1964</v>
      </c>
      <c r="O88" s="8" t="s">
        <v>2102</v>
      </c>
      <c r="P88" s="8"/>
      <c r="Q88" s="8" t="str">
        <f>IF(B88="","",IF(B88="P","P&amp;10",B88&amp;"D "&amp;C88))</f>
        <v>1D 4-6</v>
      </c>
      <c r="R88" s="8" t="str">
        <f>IF(L88&lt;&gt;"Y","",IF(COUNTIF('DEF_CALL_DECISION_SUPPORT'!$B$1197:$B$1256,SUBSTITUTE(SUBSTITUTE(SUBSTITUTE(E88,"~","~~"),"*","~*"),"?","~?"))&gt;0,"KNOWN","REVIEW: new call; refresh sources"))</f>
        <v>KNOWN</v>
      </c>
    </row>
    <row r="89" spans="1:18" ht="25" customHeight="1">
      <c r="A89" s="12">
        <v>49</v>
      </c>
      <c r="B89" s="8" t="s">
        <v>2066</v>
      </c>
      <c r="C89" s="8" t="s">
        <v>716</v>
      </c>
      <c r="D89" s="8" t="s">
        <v>468</v>
      </c>
      <c r="E89" s="8" t="s">
        <v>35</v>
      </c>
      <c r="F89" s="8" t="s">
        <v>120</v>
      </c>
      <c r="G89" s="8" t="s">
        <v>203</v>
      </c>
      <c r="H89" s="8" t="s">
        <v>2094</v>
      </c>
      <c r="I89" s="11">
        <v>0</v>
      </c>
      <c r="J89" s="12">
        <v>1</v>
      </c>
      <c r="K89" s="12">
        <v>0</v>
      </c>
      <c r="L89" s="8" t="s">
        <v>2089</v>
      </c>
      <c r="M89" s="8" t="s">
        <v>1974</v>
      </c>
      <c r="N89" s="8" t="s">
        <v>1964</v>
      </c>
      <c r="O89" s="8" t="s">
        <v>2090</v>
      </c>
      <c r="P89" s="8"/>
      <c r="Q89" s="8" t="str">
        <f>IF(B89="","",IF(B89="P","P&amp;10",B89&amp;"D "&amp;C89))</f>
        <v>1D 7-10</v>
      </c>
      <c r="R89" s="8" t="str">
        <f>IF(L89&lt;&gt;"Y","",IF(COUNTIF('DEF_CALL_DECISION_SUPPORT'!$B$1197:$B$1256,SUBSTITUTE(SUBSTITUTE(SUBSTITUTE(E89,"~","~~"),"*","~*"),"?","~?"))&gt;0,"KNOWN","REVIEW: new call; refresh sources"))</f>
        <v>KNOWN</v>
      </c>
    </row>
    <row r="90" spans="1:18" ht="25" customHeight="1">
      <c r="A90" s="12">
        <v>50</v>
      </c>
      <c r="B90" s="8" t="s">
        <v>2066</v>
      </c>
      <c r="C90" s="8" t="s">
        <v>720</v>
      </c>
      <c r="D90" s="8" t="s">
        <v>435</v>
      </c>
      <c r="E90" s="8" t="s">
        <v>35</v>
      </c>
      <c r="F90" s="8" t="s">
        <v>123</v>
      </c>
      <c r="G90" s="8" t="s">
        <v>203</v>
      </c>
      <c r="H90" s="8" t="s">
        <v>1965</v>
      </c>
      <c r="I90" s="11">
        <v>9</v>
      </c>
      <c r="J90" s="12">
        <v>0</v>
      </c>
      <c r="K90" s="12">
        <v>0</v>
      </c>
      <c r="L90" s="8" t="s">
        <v>2089</v>
      </c>
      <c r="M90" s="8" t="s">
        <v>1965</v>
      </c>
      <c r="N90" s="8" t="s">
        <v>1964</v>
      </c>
      <c r="O90" s="8" t="s">
        <v>2102</v>
      </c>
      <c r="P90" s="8"/>
      <c r="Q90" s="8" t="str">
        <f>IF(B90="","",IF(B90="P","P&amp;10",B90&amp;"D "&amp;C90))</f>
        <v>1D 11+</v>
      </c>
      <c r="R90" s="8" t="str">
        <f>IF(L90&lt;&gt;"Y","",IF(COUNTIF('DEF_CALL_DECISION_SUPPORT'!$B$1197:$B$1256,SUBSTITUTE(SUBSTITUTE(SUBSTITUTE(E90,"~","~~"),"*","~*"),"?","~?"))&gt;0,"KNOWN","REVIEW: new call; refresh sources"))</f>
        <v>KNOWN</v>
      </c>
    </row>
    <row r="91" spans="1:18" ht="25" customHeight="1">
      <c r="A91" s="12">
        <v>51</v>
      </c>
      <c r="B91" s="8" t="s">
        <v>2066</v>
      </c>
      <c r="C91" s="8" t="s">
        <v>716</v>
      </c>
      <c r="D91" s="8" t="s">
        <v>428</v>
      </c>
      <c r="E91" s="8" t="s">
        <v>68</v>
      </c>
      <c r="F91" s="8" t="s">
        <v>120</v>
      </c>
      <c r="G91" s="8" t="s">
        <v>215</v>
      </c>
      <c r="H91" s="8" t="s">
        <v>2068</v>
      </c>
      <c r="I91" s="11">
        <v>8</v>
      </c>
      <c r="J91" s="12">
        <v>0</v>
      </c>
      <c r="K91" s="12">
        <v>0</v>
      </c>
      <c r="L91" s="8" t="s">
        <v>2089</v>
      </c>
      <c r="M91" s="8" t="s">
        <v>1971</v>
      </c>
      <c r="N91" s="8" t="s">
        <v>1969</v>
      </c>
      <c r="O91" s="8" t="s">
        <v>2095</v>
      </c>
      <c r="P91" s="8"/>
      <c r="Q91" s="8" t="str">
        <f>IF(B91="","",IF(B91="P","P&amp;10",B91&amp;"D "&amp;C91))</f>
        <v>1D 7-10</v>
      </c>
      <c r="R91" s="8" t="str">
        <f>IF(L91&lt;&gt;"Y","",IF(COUNTIF('DEF_CALL_DECISION_SUPPORT'!$B$1197:$B$1256,SUBSTITUTE(SUBSTITUTE(SUBSTITUTE(E91,"~","~~"),"*","~*"),"?","~?"))&gt;0,"KNOWN","REVIEW: new call; refresh sources"))</f>
        <v>KNOWN</v>
      </c>
    </row>
    <row r="92" spans="1:18" ht="25" customHeight="1">
      <c r="A92" s="12">
        <v>52</v>
      </c>
      <c r="B92" s="8" t="s">
        <v>2066</v>
      </c>
      <c r="C92" s="8" t="s">
        <v>716</v>
      </c>
      <c r="D92" s="8" t="s">
        <v>449</v>
      </c>
      <c r="E92" s="8" t="s">
        <v>68</v>
      </c>
      <c r="F92" s="8" t="s">
        <v>120</v>
      </c>
      <c r="G92" s="8" t="s">
        <v>203</v>
      </c>
      <c r="H92" s="8" t="s">
        <v>2094</v>
      </c>
      <c r="I92" s="11">
        <v>7</v>
      </c>
      <c r="J92" s="12">
        <v>1</v>
      </c>
      <c r="K92" s="12">
        <v>0</v>
      </c>
      <c r="L92" s="8" t="s">
        <v>2089</v>
      </c>
      <c r="M92" s="8" t="s">
        <v>1963</v>
      </c>
      <c r="N92" s="8" t="s">
        <v>1964</v>
      </c>
      <c r="O92" s="8" t="s">
        <v>2090</v>
      </c>
      <c r="P92" s="8"/>
      <c r="Q92" s="8" t="str">
        <f>IF(B92="","",IF(B92="P","P&amp;10",B92&amp;"D "&amp;C92))</f>
        <v>1D 7-10</v>
      </c>
      <c r="R92" s="8" t="str">
        <f>IF(L92&lt;&gt;"Y","",IF(COUNTIF('DEF_CALL_DECISION_SUPPORT'!$B$1197:$B$1256,SUBSTITUTE(SUBSTITUTE(SUBSTITUTE(E92,"~","~~"),"*","~*"),"?","~?"))&gt;0,"KNOWN","REVIEW: new call; refresh sources"))</f>
        <v>KNOWN</v>
      </c>
    </row>
    <row r="93" spans="1:18" ht="25" customHeight="1">
      <c r="A93" s="12">
        <v>53</v>
      </c>
      <c r="B93" s="8" t="s">
        <v>2066</v>
      </c>
      <c r="C93" s="8" t="s">
        <v>716</v>
      </c>
      <c r="D93" s="8" t="s">
        <v>428</v>
      </c>
      <c r="E93" s="8" t="s">
        <v>53</v>
      </c>
      <c r="F93" s="8" t="s">
        <v>120</v>
      </c>
      <c r="G93" s="8" t="s">
        <v>206</v>
      </c>
      <c r="H93" s="8" t="s">
        <v>1965</v>
      </c>
      <c r="I93" s="11">
        <v>5</v>
      </c>
      <c r="J93" s="12">
        <v>0</v>
      </c>
      <c r="K93" s="12">
        <v>0</v>
      </c>
      <c r="L93" s="8" t="s">
        <v>2089</v>
      </c>
      <c r="M93" s="8" t="s">
        <v>1965</v>
      </c>
      <c r="N93" s="8" t="s">
        <v>1967</v>
      </c>
      <c r="O93" s="8" t="s">
        <v>2104</v>
      </c>
      <c r="P93" s="8"/>
      <c r="Q93" s="8" t="str">
        <f>IF(B93="","",IF(B93="P","P&amp;10",B93&amp;"D "&amp;C93))</f>
        <v>1D 7-10</v>
      </c>
      <c r="R93" s="8" t="str">
        <f>IF(L93&lt;&gt;"Y","",IF(COUNTIF('DEF_CALL_DECISION_SUPPORT'!$B$1197:$B$1256,SUBSTITUTE(SUBSTITUTE(SUBSTITUTE(E93,"~","~~"),"*","~*"),"?","~?"))&gt;0,"KNOWN","REVIEW: new call; refresh sources"))</f>
        <v>KNOWN</v>
      </c>
    </row>
    <row r="94" spans="1:18" ht="25" customHeight="1">
      <c r="A94" s="12">
        <v>54</v>
      </c>
      <c r="B94" s="8" t="s">
        <v>2066</v>
      </c>
      <c r="C94" s="8" t="s">
        <v>716</v>
      </c>
      <c r="D94" s="8" t="s">
        <v>449</v>
      </c>
      <c r="E94" s="8" t="s">
        <v>53</v>
      </c>
      <c r="F94" s="8" t="s">
        <v>120</v>
      </c>
      <c r="G94" s="8" t="s">
        <v>222</v>
      </c>
      <c r="H94" s="8" t="s">
        <v>2094</v>
      </c>
      <c r="I94" s="11">
        <v>8</v>
      </c>
      <c r="J94" s="12">
        <v>0</v>
      </c>
      <c r="K94" s="12">
        <v>0</v>
      </c>
      <c r="L94" s="8" t="s">
        <v>2089</v>
      </c>
      <c r="M94" s="8" t="s">
        <v>1963</v>
      </c>
      <c r="N94" s="8" t="s">
        <v>1979</v>
      </c>
      <c r="O94" s="8" t="s">
        <v>2095</v>
      </c>
      <c r="P94" s="8"/>
      <c r="Q94" s="8" t="str">
        <f>IF(B94="","",IF(B94="P","P&amp;10",B94&amp;"D "&amp;C94))</f>
        <v>1D 7-10</v>
      </c>
      <c r="R94" s="8" t="str">
        <f>IF(L94&lt;&gt;"Y","",IF(COUNTIF('DEF_CALL_DECISION_SUPPORT'!$B$1197:$B$1256,SUBSTITUTE(SUBSTITUTE(SUBSTITUTE(E94,"~","~~"),"*","~*"),"?","~?"))&gt;0,"KNOWN","REVIEW: new call; refresh sources"))</f>
        <v>KNOWN</v>
      </c>
    </row>
    <row r="95" spans="1:18" ht="25" customHeight="1">
      <c r="A95" s="12">
        <v>55</v>
      </c>
      <c r="B95" s="8" t="s">
        <v>2066</v>
      </c>
      <c r="C95" s="8" t="s">
        <v>716</v>
      </c>
      <c r="D95" s="8" t="s">
        <v>460</v>
      </c>
      <c r="E95" s="8" t="s">
        <v>53</v>
      </c>
      <c r="F95" s="8" t="s">
        <v>120</v>
      </c>
      <c r="G95" s="8" t="s">
        <v>203</v>
      </c>
      <c r="H95" s="8" t="s">
        <v>2094</v>
      </c>
      <c r="I95" s="11">
        <v>6</v>
      </c>
      <c r="J95" s="12">
        <v>1</v>
      </c>
      <c r="K95" s="12">
        <v>0</v>
      </c>
      <c r="L95" s="8" t="s">
        <v>2089</v>
      </c>
      <c r="M95" s="8" t="s">
        <v>1963</v>
      </c>
      <c r="N95" s="8" t="s">
        <v>1964</v>
      </c>
      <c r="O95" s="8" t="s">
        <v>2090</v>
      </c>
      <c r="P95" s="8"/>
      <c r="Q95" s="8" t="str">
        <f>IF(B95="","",IF(B95="P","P&amp;10",B95&amp;"D "&amp;C95))</f>
        <v>1D 7-10</v>
      </c>
      <c r="R95" s="8" t="str">
        <f>IF(L95&lt;&gt;"Y","",IF(COUNTIF('DEF_CALL_DECISION_SUPPORT'!$B$1197:$B$1256,SUBSTITUTE(SUBSTITUTE(SUBSTITUTE(E95,"~","~~"),"*","~*"),"?","~?"))&gt;0,"KNOWN","REVIEW: new call; refresh sources"))</f>
        <v>KNOWN</v>
      </c>
    </row>
    <row r="96" spans="1:18" ht="25" customHeight="1">
      <c r="A96" s="12">
        <v>56</v>
      </c>
      <c r="B96" s="8" t="s">
        <v>2066</v>
      </c>
      <c r="C96" s="8" t="s">
        <v>716</v>
      </c>
      <c r="D96" s="8" t="s">
        <v>449</v>
      </c>
      <c r="E96" s="8" t="s">
        <v>53</v>
      </c>
      <c r="F96" s="8" t="s">
        <v>120</v>
      </c>
      <c r="G96" s="8" t="s">
        <v>203</v>
      </c>
      <c r="H96" s="8" t="s">
        <v>2094</v>
      </c>
      <c r="I96" s="11">
        <v>5</v>
      </c>
      <c r="J96" s="12">
        <v>1</v>
      </c>
      <c r="K96" s="12">
        <v>0</v>
      </c>
      <c r="L96" s="8" t="s">
        <v>2089</v>
      </c>
      <c r="M96" s="8" t="s">
        <v>1963</v>
      </c>
      <c r="N96" s="8" t="s">
        <v>1964</v>
      </c>
      <c r="O96" s="8" t="s">
        <v>2090</v>
      </c>
      <c r="P96" s="8"/>
      <c r="Q96" s="8" t="str">
        <f>IF(B96="","",IF(B96="P","P&amp;10",B96&amp;"D "&amp;C96))</f>
        <v>1D 7-10</v>
      </c>
      <c r="R96" s="8" t="str">
        <f>IF(L96&lt;&gt;"Y","",IF(COUNTIF('DEF_CALL_DECISION_SUPPORT'!$B$1197:$B$1256,SUBSTITUTE(SUBSTITUTE(SUBSTITUTE(E96,"~","~~"),"*","~*"),"?","~?"))&gt;0,"KNOWN","REVIEW: new call; refresh sources"))</f>
        <v>KNOWN</v>
      </c>
    </row>
    <row r="97" spans="1:18" ht="25" customHeight="1">
      <c r="A97" s="12">
        <v>57</v>
      </c>
      <c r="B97" s="8" t="s">
        <v>2066</v>
      </c>
      <c r="C97" s="8" t="s">
        <v>716</v>
      </c>
      <c r="D97" s="8" t="s">
        <v>428</v>
      </c>
      <c r="E97" s="8" t="s">
        <v>53</v>
      </c>
      <c r="F97" s="8" t="s">
        <v>120</v>
      </c>
      <c r="G97" s="8" t="s">
        <v>203</v>
      </c>
      <c r="H97" s="8" t="s">
        <v>1965</v>
      </c>
      <c r="I97" s="11">
        <v>-1</v>
      </c>
      <c r="J97" s="12">
        <v>1</v>
      </c>
      <c r="K97" s="12">
        <v>0</v>
      </c>
      <c r="L97" s="8" t="s">
        <v>2089</v>
      </c>
      <c r="M97" s="8" t="s">
        <v>1965</v>
      </c>
      <c r="N97" s="8" t="s">
        <v>1964</v>
      </c>
      <c r="O97" s="8" t="s">
        <v>2090</v>
      </c>
      <c r="P97" s="8"/>
      <c r="Q97" s="8" t="str">
        <f>IF(B97="","",IF(B97="P","P&amp;10",B97&amp;"D "&amp;C97))</f>
        <v>1D 7-10</v>
      </c>
      <c r="R97" s="8" t="str">
        <f>IF(L97&lt;&gt;"Y","",IF(COUNTIF('DEF_CALL_DECISION_SUPPORT'!$B$1197:$B$1256,SUBSTITUTE(SUBSTITUTE(SUBSTITUTE(E97,"~","~~"),"*","~*"),"?","~?"))&gt;0,"KNOWN","REVIEW: new call; refresh sources"))</f>
        <v>KNOWN</v>
      </c>
    </row>
    <row r="98" spans="1:18" ht="25" customHeight="1">
      <c r="A98" s="12">
        <v>58</v>
      </c>
      <c r="B98" s="8" t="s">
        <v>2066</v>
      </c>
      <c r="C98" s="8" t="s">
        <v>716</v>
      </c>
      <c r="D98" s="8" t="s">
        <v>468</v>
      </c>
      <c r="E98" s="8" t="s">
        <v>52</v>
      </c>
      <c r="F98" s="8" t="s">
        <v>123</v>
      </c>
      <c r="G98" s="8" t="s">
        <v>203</v>
      </c>
      <c r="H98" s="8" t="s">
        <v>2094</v>
      </c>
      <c r="I98" s="11">
        <v>0</v>
      </c>
      <c r="J98" s="12">
        <v>1</v>
      </c>
      <c r="K98" s="12">
        <v>0</v>
      </c>
      <c r="L98" s="8" t="s">
        <v>2089</v>
      </c>
      <c r="M98" s="8" t="s">
        <v>1974</v>
      </c>
      <c r="N98" s="8" t="s">
        <v>1964</v>
      </c>
      <c r="O98" s="8" t="s">
        <v>2102</v>
      </c>
      <c r="P98" s="8"/>
      <c r="Q98" s="8" t="str">
        <f>IF(B98="","",IF(B98="P","P&amp;10",B98&amp;"D "&amp;C98))</f>
        <v>1D 7-10</v>
      </c>
      <c r="R98" s="8" t="str">
        <f>IF(L98&lt;&gt;"Y","",IF(COUNTIF('DEF_CALL_DECISION_SUPPORT'!$B$1197:$B$1256,SUBSTITUTE(SUBSTITUTE(SUBSTITUTE(E98,"~","~~"),"*","~*"),"?","~?"))&gt;0,"KNOWN","REVIEW: new call; refresh sources"))</f>
        <v>KNOWN</v>
      </c>
    </row>
    <row r="99" spans="1:18" ht="25" customHeight="1">
      <c r="A99" s="12">
        <v>59</v>
      </c>
      <c r="B99" s="8" t="s">
        <v>2066</v>
      </c>
      <c r="C99" s="8" t="s">
        <v>716</v>
      </c>
      <c r="D99" s="8" t="s">
        <v>428</v>
      </c>
      <c r="E99" s="8" t="s">
        <v>52</v>
      </c>
      <c r="F99" s="8" t="s">
        <v>123</v>
      </c>
      <c r="G99" s="8" t="s">
        <v>203</v>
      </c>
      <c r="H99" s="8" t="s">
        <v>1965</v>
      </c>
      <c r="I99" s="11">
        <v>3</v>
      </c>
      <c r="J99" s="12">
        <v>1</v>
      </c>
      <c r="K99" s="12">
        <v>0</v>
      </c>
      <c r="L99" s="8" t="s">
        <v>2089</v>
      </c>
      <c r="M99" s="8" t="s">
        <v>1965</v>
      </c>
      <c r="N99" s="8" t="s">
        <v>1964</v>
      </c>
      <c r="O99" s="8" t="s">
        <v>2102</v>
      </c>
      <c r="P99" s="8"/>
      <c r="Q99" s="8" t="str">
        <f>IF(B99="","",IF(B99="P","P&amp;10",B99&amp;"D "&amp;C99))</f>
        <v>1D 7-10</v>
      </c>
      <c r="R99" s="8" t="str">
        <f>IF(L99&lt;&gt;"Y","",IF(COUNTIF('DEF_CALL_DECISION_SUPPORT'!$B$1197:$B$1256,SUBSTITUTE(SUBSTITUTE(SUBSTITUTE(E99,"~","~~"),"*","~*"),"?","~?"))&gt;0,"KNOWN","REVIEW: new call; refresh sources"))</f>
        <v>KNOWN</v>
      </c>
    </row>
    <row r="100" spans="1:18" ht="25" customHeight="1">
      <c r="A100" s="12">
        <v>60</v>
      </c>
      <c r="B100" s="8" t="s">
        <v>2066</v>
      </c>
      <c r="C100" s="8" t="s">
        <v>716</v>
      </c>
      <c r="D100" s="8" t="s">
        <v>477</v>
      </c>
      <c r="E100" s="8" t="s">
        <v>69</v>
      </c>
      <c r="F100" s="8" t="s">
        <v>120</v>
      </c>
      <c r="G100" s="8" t="s">
        <v>206</v>
      </c>
      <c r="H100" s="8" t="s">
        <v>1965</v>
      </c>
      <c r="I100" s="11">
        <v>2</v>
      </c>
      <c r="J100" s="12">
        <v>1</v>
      </c>
      <c r="K100" s="12">
        <v>0</v>
      </c>
      <c r="L100" s="8" t="s">
        <v>2089</v>
      </c>
      <c r="M100" s="8" t="s">
        <v>1965</v>
      </c>
      <c r="N100" s="8" t="s">
        <v>1967</v>
      </c>
      <c r="O100" s="8" t="s">
        <v>2104</v>
      </c>
      <c r="P100" s="8"/>
      <c r="Q100" s="8" t="str">
        <f>IF(B100="","",IF(B100="P","P&amp;10",B100&amp;"D "&amp;C100))</f>
        <v>1D 7-10</v>
      </c>
      <c r="R100" s="8" t="str">
        <f>IF(L100&lt;&gt;"Y","",IF(COUNTIF('DEF_CALL_DECISION_SUPPORT'!$B$1197:$B$1256,SUBSTITUTE(SUBSTITUTE(SUBSTITUTE(E100,"~","~~"),"*","~*"),"?","~?"))&gt;0,"KNOWN","REVIEW: new call; refresh sources"))</f>
        <v>KNOWN</v>
      </c>
    </row>
    <row r="101" spans="1:18" ht="25" customHeight="1">
      <c r="A101" s="12">
        <v>61</v>
      </c>
      <c r="B101" s="8" t="s">
        <v>2066</v>
      </c>
      <c r="C101" s="8" t="s">
        <v>716</v>
      </c>
      <c r="D101" s="8" t="s">
        <v>428</v>
      </c>
      <c r="E101" s="8" t="s">
        <v>69</v>
      </c>
      <c r="F101" s="8" t="s">
        <v>132</v>
      </c>
      <c r="G101" s="8" t="s">
        <v>206</v>
      </c>
      <c r="H101" s="8" t="s">
        <v>1965</v>
      </c>
      <c r="I101" s="11">
        <v>0</v>
      </c>
      <c r="J101" s="12">
        <v>1</v>
      </c>
      <c r="K101" s="12">
        <v>0</v>
      </c>
      <c r="L101" s="8" t="s">
        <v>2089</v>
      </c>
      <c r="M101" s="8" t="s">
        <v>1965</v>
      </c>
      <c r="N101" s="8" t="s">
        <v>206</v>
      </c>
      <c r="O101" s="8" t="s">
        <v>2097</v>
      </c>
      <c r="P101" s="8"/>
      <c r="Q101" s="8" t="str">
        <f>IF(B101="","",IF(B101="P","P&amp;10",B101&amp;"D "&amp;C101))</f>
        <v>1D 7-10</v>
      </c>
      <c r="R101" s="8" t="str">
        <f>IF(L101&lt;&gt;"Y","",IF(COUNTIF('DEF_CALL_DECISION_SUPPORT'!$B$1197:$B$1256,SUBSTITUTE(SUBSTITUTE(SUBSTITUTE(E101,"~","~~"),"*","~*"),"?","~?"))&gt;0,"KNOWN","REVIEW: new call; refresh sources"))</f>
        <v>KNOWN</v>
      </c>
    </row>
    <row r="102" spans="1:18" ht="25" customHeight="1">
      <c r="A102" s="12">
        <v>62</v>
      </c>
      <c r="B102" s="8" t="s">
        <v>2066</v>
      </c>
      <c r="C102" s="8" t="s">
        <v>716</v>
      </c>
      <c r="D102" s="8" t="s">
        <v>449</v>
      </c>
      <c r="E102" s="8" t="s">
        <v>69</v>
      </c>
      <c r="F102" s="8" t="s">
        <v>120</v>
      </c>
      <c r="G102" s="8" t="s">
        <v>203</v>
      </c>
      <c r="H102" s="8" t="s">
        <v>2094</v>
      </c>
      <c r="I102" s="11">
        <v>0</v>
      </c>
      <c r="J102" s="12">
        <v>1</v>
      </c>
      <c r="K102" s="12">
        <v>0</v>
      </c>
      <c r="L102" s="8" t="s">
        <v>2089</v>
      </c>
      <c r="M102" s="8" t="s">
        <v>1974</v>
      </c>
      <c r="N102" s="8" t="s">
        <v>1964</v>
      </c>
      <c r="O102" s="8" t="s">
        <v>2090</v>
      </c>
      <c r="P102" s="8"/>
      <c r="Q102" s="8" t="str">
        <f>IF(B102="","",IF(B102="P","P&amp;10",B102&amp;"D "&amp;C102))</f>
        <v>1D 7-10</v>
      </c>
      <c r="R102" s="8" t="str">
        <f>IF(L102&lt;&gt;"Y","",IF(COUNTIF('DEF_CALL_DECISION_SUPPORT'!$B$1197:$B$1256,SUBSTITUTE(SUBSTITUTE(SUBSTITUTE(E102,"~","~~"),"*","~*"),"?","~?"))&gt;0,"KNOWN","REVIEW: new call; refresh sources"))</f>
        <v>KNOWN</v>
      </c>
    </row>
    <row r="103" spans="1:18" ht="25" customHeight="1">
      <c r="A103" s="12">
        <v>63</v>
      </c>
      <c r="B103" s="8" t="s">
        <v>2066</v>
      </c>
      <c r="C103" s="8" t="s">
        <v>706</v>
      </c>
      <c r="D103" s="8" t="s">
        <v>428</v>
      </c>
      <c r="E103" s="8" t="s">
        <v>27</v>
      </c>
      <c r="F103" s="8" t="s">
        <v>120</v>
      </c>
      <c r="G103" s="8" t="s">
        <v>203</v>
      </c>
      <c r="H103" s="8" t="s">
        <v>2068</v>
      </c>
      <c r="I103" s="11">
        <v>1</v>
      </c>
      <c r="J103" s="12">
        <v>0</v>
      </c>
      <c r="K103" s="12">
        <v>0</v>
      </c>
      <c r="L103" s="8" t="s">
        <v>2089</v>
      </c>
      <c r="M103" s="8" t="s">
        <v>1971</v>
      </c>
      <c r="N103" s="8" t="s">
        <v>1964</v>
      </c>
      <c r="O103" s="8" t="s">
        <v>2090</v>
      </c>
      <c r="P103" s="8"/>
      <c r="Q103" s="8" t="str">
        <f>IF(B103="","",IF(B103="P","P&amp;10",B103&amp;"D "&amp;C103))</f>
        <v>1D 1-3</v>
      </c>
      <c r="R103" s="8" t="str">
        <f>IF(L103&lt;&gt;"Y","",IF(COUNTIF('DEF_CALL_DECISION_SUPPORT'!$B$1197:$B$1256,SUBSTITUTE(SUBSTITUTE(SUBSTITUTE(E103,"~","~~"),"*","~*"),"?","~?"))&gt;0,"KNOWN","REVIEW: new call; refresh sources"))</f>
        <v>KNOWN</v>
      </c>
    </row>
    <row r="104" spans="1:18" ht="25" customHeight="1">
      <c r="A104" s="12">
        <v>64</v>
      </c>
      <c r="B104" s="8" t="s">
        <v>2066</v>
      </c>
      <c r="C104" s="8" t="s">
        <v>720</v>
      </c>
      <c r="D104" s="8"/>
      <c r="E104" s="8" t="s">
        <v>46</v>
      </c>
      <c r="F104" s="8" t="s">
        <v>132</v>
      </c>
      <c r="G104" s="8"/>
      <c r="H104" s="8" t="s">
        <v>2110</v>
      </c>
      <c r="I104" s="11">
        <v>-2</v>
      </c>
      <c r="J104" s="12"/>
      <c r="K104" s="12"/>
      <c r="L104" s="8" t="s">
        <v>2109</v>
      </c>
      <c r="M104" s="8" t="s">
        <v>2112</v>
      </c>
      <c r="N104" s="8"/>
      <c r="O104" s="8"/>
      <c r="P104" s="8" t="s">
        <v>2388</v>
      </c>
      <c r="Q104" s="8" t="str">
        <f>IF(B104="","",IF(B104="P","P&amp;10",B104&amp;"D "&amp;C104))</f>
        <v>1D 11+</v>
      </c>
      <c r="R104" s="8">
        <f>IF(L104&lt;&gt;"Y","",IF(COUNTIF('DEF_CALL_DECISION_SUPPORT'!$B$1197:$B$1256,SUBSTITUTE(SUBSTITUTE(SUBSTITUTE(E104,"~","~~"),"*","~*"),"?","~?"))&gt;0,"KNOWN","REVIEW: new call; refresh sources"))</f>
        <v/>
      </c>
    </row>
    <row r="105" spans="1:18" ht="25" customHeight="1">
      <c r="A105" s="12">
        <v>65</v>
      </c>
      <c r="B105" s="8" t="s">
        <v>2066</v>
      </c>
      <c r="C105" s="8" t="s">
        <v>716</v>
      </c>
      <c r="D105" s="8" t="s">
        <v>428</v>
      </c>
      <c r="E105" s="8" t="s">
        <v>46</v>
      </c>
      <c r="F105" s="8" t="s">
        <v>120</v>
      </c>
      <c r="G105" s="8" t="s">
        <v>203</v>
      </c>
      <c r="H105" s="8" t="s">
        <v>1965</v>
      </c>
      <c r="I105" s="11">
        <v>0</v>
      </c>
      <c r="J105" s="12">
        <v>1</v>
      </c>
      <c r="K105" s="12">
        <v>0</v>
      </c>
      <c r="L105" s="8" t="s">
        <v>2089</v>
      </c>
      <c r="M105" s="8" t="s">
        <v>1965</v>
      </c>
      <c r="N105" s="8" t="s">
        <v>1964</v>
      </c>
      <c r="O105" s="8" t="s">
        <v>2090</v>
      </c>
      <c r="P105" s="8"/>
      <c r="Q105" s="8" t="str">
        <f>IF(B105="","",IF(B105="P","P&amp;10",B105&amp;"D "&amp;C105))</f>
        <v>1D 7-10</v>
      </c>
      <c r="R105" s="8" t="str">
        <f>IF(L105&lt;&gt;"Y","",IF(COUNTIF('DEF_CALL_DECISION_SUPPORT'!$B$1197:$B$1256,SUBSTITUTE(SUBSTITUTE(SUBSTITUTE(E105,"~","~~"),"*","~*"),"?","~?"))&gt;0,"KNOWN","REVIEW: new call; refresh sources"))</f>
        <v>KNOWN</v>
      </c>
    </row>
    <row r="106" spans="1:18" ht="25" customHeight="1">
      <c r="A106" s="12">
        <v>66</v>
      </c>
      <c r="B106" s="8" t="s">
        <v>2066</v>
      </c>
      <c r="C106" s="8" t="s">
        <v>716</v>
      </c>
      <c r="D106" s="8" t="s">
        <v>449</v>
      </c>
      <c r="E106" s="8" t="s">
        <v>46</v>
      </c>
      <c r="F106" s="8" t="s">
        <v>120</v>
      </c>
      <c r="G106" s="8" t="s">
        <v>222</v>
      </c>
      <c r="H106" s="8" t="s">
        <v>2094</v>
      </c>
      <c r="I106" s="11">
        <v>-4</v>
      </c>
      <c r="J106" s="12">
        <v>1</v>
      </c>
      <c r="K106" s="12">
        <v>0</v>
      </c>
      <c r="L106" s="8" t="s">
        <v>2089</v>
      </c>
      <c r="M106" s="8" t="s">
        <v>1977</v>
      </c>
      <c r="N106" s="8" t="s">
        <v>1979</v>
      </c>
      <c r="O106" s="8" t="s">
        <v>2095</v>
      </c>
      <c r="P106" s="8"/>
      <c r="Q106" s="8" t="str">
        <f>IF(B106="","",IF(B106="P","P&amp;10",B106&amp;"D "&amp;C106))</f>
        <v>1D 7-10</v>
      </c>
      <c r="R106" s="8" t="str">
        <f>IF(L106&lt;&gt;"Y","",IF(COUNTIF('DEF_CALL_DECISION_SUPPORT'!$B$1197:$B$1256,SUBSTITUTE(SUBSTITUTE(SUBSTITUTE(E106,"~","~~"),"*","~*"),"?","~?"))&gt;0,"KNOWN","REVIEW: new call; refresh sources"))</f>
        <v>KNOWN</v>
      </c>
    </row>
    <row r="107" spans="1:18" ht="25" customHeight="1">
      <c r="A107" s="12">
        <v>67</v>
      </c>
      <c r="B107" s="8" t="s">
        <v>2066</v>
      </c>
      <c r="C107" s="8" t="s">
        <v>716</v>
      </c>
      <c r="D107" s="8" t="s">
        <v>446</v>
      </c>
      <c r="E107" s="8" t="s">
        <v>48</v>
      </c>
      <c r="F107" s="8" t="s">
        <v>120</v>
      </c>
      <c r="G107" s="8" t="s">
        <v>203</v>
      </c>
      <c r="H107" s="8" t="s">
        <v>2094</v>
      </c>
      <c r="I107" s="11">
        <v>6</v>
      </c>
      <c r="J107" s="12">
        <v>1</v>
      </c>
      <c r="K107" s="12">
        <v>0</v>
      </c>
      <c r="L107" s="8" t="s">
        <v>2089</v>
      </c>
      <c r="M107" s="8" t="s">
        <v>1963</v>
      </c>
      <c r="N107" s="8" t="s">
        <v>1964</v>
      </c>
      <c r="O107" s="8" t="s">
        <v>2090</v>
      </c>
      <c r="P107" s="8"/>
      <c r="Q107" s="8" t="str">
        <f>IF(B107="","",IF(B107="P","P&amp;10",B107&amp;"D "&amp;C107))</f>
        <v>1D 7-10</v>
      </c>
      <c r="R107" s="8" t="str">
        <f>IF(L107&lt;&gt;"Y","",IF(COUNTIF('DEF_CALL_DECISION_SUPPORT'!$B$1197:$B$1256,SUBSTITUTE(SUBSTITUTE(SUBSTITUTE(E107,"~","~~"),"*","~*"),"?","~?"))&gt;0,"KNOWN","REVIEW: new call; refresh sources"))</f>
        <v>KNOWN</v>
      </c>
    </row>
    <row r="108" spans="1:18" ht="25" customHeight="1">
      <c r="A108" s="12">
        <v>68</v>
      </c>
      <c r="B108" s="8" t="s">
        <v>2066</v>
      </c>
      <c r="C108" s="8" t="s">
        <v>716</v>
      </c>
      <c r="D108" s="8" t="s">
        <v>428</v>
      </c>
      <c r="E108" s="8" t="s">
        <v>34</v>
      </c>
      <c r="F108" s="8" t="s">
        <v>120</v>
      </c>
      <c r="G108" s="8" t="s">
        <v>206</v>
      </c>
      <c r="H108" s="8" t="s">
        <v>2068</v>
      </c>
      <c r="I108" s="11">
        <v>52</v>
      </c>
      <c r="J108" s="12">
        <v>0</v>
      </c>
      <c r="K108" s="12">
        <v>1</v>
      </c>
      <c r="L108" s="8" t="s">
        <v>2089</v>
      </c>
      <c r="M108" s="8" t="s">
        <v>1971</v>
      </c>
      <c r="N108" s="8" t="s">
        <v>1967</v>
      </c>
      <c r="O108" s="8" t="s">
        <v>2104</v>
      </c>
      <c r="P108" s="8"/>
      <c r="Q108" s="8" t="str">
        <f>IF(B108="","",IF(B108="P","P&amp;10",B108&amp;"D "&amp;C108))</f>
        <v>1D 7-10</v>
      </c>
      <c r="R108" s="8" t="str">
        <f>IF(L108&lt;&gt;"Y","",IF(COUNTIF('DEF_CALL_DECISION_SUPPORT'!$B$1197:$B$1256,SUBSTITUTE(SUBSTITUTE(SUBSTITUTE(E108,"~","~~"),"*","~*"),"?","~?"))&gt;0,"KNOWN","REVIEW: new call; refresh sources"))</f>
        <v>KNOWN</v>
      </c>
    </row>
    <row r="109" spans="1:18" ht="25" customHeight="1">
      <c r="A109" s="12">
        <v>69</v>
      </c>
      <c r="B109" s="8" t="s">
        <v>2066</v>
      </c>
      <c r="C109" s="8" t="s">
        <v>720</v>
      </c>
      <c r="D109" s="8" t="s">
        <v>438</v>
      </c>
      <c r="E109" s="8" t="s">
        <v>34</v>
      </c>
      <c r="F109" s="8" t="s">
        <v>120</v>
      </c>
      <c r="G109" s="8" t="s">
        <v>206</v>
      </c>
      <c r="H109" s="8" t="s">
        <v>1965</v>
      </c>
      <c r="I109" s="11">
        <v>3</v>
      </c>
      <c r="J109" s="12">
        <v>1</v>
      </c>
      <c r="K109" s="12">
        <v>0</v>
      </c>
      <c r="L109" s="8" t="s">
        <v>2089</v>
      </c>
      <c r="M109" s="8" t="s">
        <v>1965</v>
      </c>
      <c r="N109" s="8" t="s">
        <v>1967</v>
      </c>
      <c r="O109" s="8" t="s">
        <v>2104</v>
      </c>
      <c r="P109" s="8"/>
      <c r="Q109" s="8" t="str">
        <f>IF(B109="","",IF(B109="P","P&amp;10",B109&amp;"D "&amp;C109))</f>
        <v>1D 11+</v>
      </c>
      <c r="R109" s="8" t="str">
        <f>IF(L109&lt;&gt;"Y","",IF(COUNTIF('DEF_CALL_DECISION_SUPPORT'!$B$1197:$B$1256,SUBSTITUTE(SUBSTITUTE(SUBSTITUTE(E109,"~","~~"),"*","~*"),"?","~?"))&gt;0,"KNOWN","REVIEW: new call; refresh sources"))</f>
        <v>KNOWN</v>
      </c>
    </row>
    <row r="110" spans="1:18" ht="25" customHeight="1">
      <c r="A110" s="12">
        <v>70</v>
      </c>
      <c r="B110" s="8" t="s">
        <v>2066</v>
      </c>
      <c r="C110" s="8" t="s">
        <v>716</v>
      </c>
      <c r="D110" s="8" t="s">
        <v>465</v>
      </c>
      <c r="E110" s="8" t="s">
        <v>34</v>
      </c>
      <c r="F110" s="8" t="s">
        <v>120</v>
      </c>
      <c r="G110" s="8" t="s">
        <v>206</v>
      </c>
      <c r="H110" s="8" t="s">
        <v>1965</v>
      </c>
      <c r="I110" s="11">
        <v>9</v>
      </c>
      <c r="J110" s="12">
        <v>0</v>
      </c>
      <c r="K110" s="12">
        <v>0</v>
      </c>
      <c r="L110" s="8" t="s">
        <v>2089</v>
      </c>
      <c r="M110" s="8" t="s">
        <v>1965</v>
      </c>
      <c r="N110" s="8" t="s">
        <v>1961</v>
      </c>
      <c r="O110" s="8" t="s">
        <v>2104</v>
      </c>
      <c r="P110" s="8"/>
      <c r="Q110" s="8" t="str">
        <f>IF(B110="","",IF(B110="P","P&amp;10",B110&amp;"D "&amp;C110))</f>
        <v>1D 7-10</v>
      </c>
      <c r="R110" s="8" t="str">
        <f>IF(L110&lt;&gt;"Y","",IF(COUNTIF('DEF_CALL_DECISION_SUPPORT'!$B$1197:$B$1256,SUBSTITUTE(SUBSTITUTE(SUBSTITUTE(E110,"~","~~"),"*","~*"),"?","~?"))&gt;0,"KNOWN","REVIEW: new call; refresh sources"))</f>
        <v>KNOWN</v>
      </c>
    </row>
    <row r="111" spans="1:18" ht="25" customHeight="1">
      <c r="A111" s="12">
        <v>71</v>
      </c>
      <c r="B111" s="8" t="s">
        <v>2066</v>
      </c>
      <c r="C111" s="8" t="s">
        <v>716</v>
      </c>
      <c r="D111" s="8" t="s">
        <v>428</v>
      </c>
      <c r="E111" s="8" t="s">
        <v>56</v>
      </c>
      <c r="F111" s="8" t="s">
        <v>132</v>
      </c>
      <c r="G111" s="8" t="s">
        <v>203</v>
      </c>
      <c r="H111" s="8" t="s">
        <v>1965</v>
      </c>
      <c r="I111" s="11">
        <v>4</v>
      </c>
      <c r="J111" s="12">
        <v>0</v>
      </c>
      <c r="K111" s="12">
        <v>0</v>
      </c>
      <c r="L111" s="8" t="s">
        <v>2089</v>
      </c>
      <c r="M111" s="8" t="s">
        <v>1965</v>
      </c>
      <c r="N111" s="8" t="s">
        <v>1964</v>
      </c>
      <c r="O111" s="8" t="s">
        <v>2095</v>
      </c>
      <c r="P111" s="8"/>
      <c r="Q111" s="8" t="str">
        <f>IF(B111="","",IF(B111="P","P&amp;10",B111&amp;"D "&amp;C111))</f>
        <v>1D 7-10</v>
      </c>
      <c r="R111" s="8" t="str">
        <f>IF(L111&lt;&gt;"Y","",IF(COUNTIF('DEF_CALL_DECISION_SUPPORT'!$B$1197:$B$1256,SUBSTITUTE(SUBSTITUTE(SUBSTITUTE(E111,"~","~~"),"*","~*"),"?","~?"))&gt;0,"KNOWN","REVIEW: new call; refresh sources"))</f>
        <v>KNOWN</v>
      </c>
    </row>
    <row r="112" spans="1:18" ht="25" customHeight="1">
      <c r="A112" s="12">
        <v>72</v>
      </c>
      <c r="B112" s="8" t="s">
        <v>2066</v>
      </c>
      <c r="C112" s="8" t="s">
        <v>716</v>
      </c>
      <c r="D112" s="8" t="s">
        <v>449</v>
      </c>
      <c r="E112" s="8" t="s">
        <v>61</v>
      </c>
      <c r="F112" s="8" t="s">
        <v>120</v>
      </c>
      <c r="G112" s="8" t="s">
        <v>203</v>
      </c>
      <c r="H112" s="8" t="s">
        <v>2094</v>
      </c>
      <c r="I112" s="11">
        <v>0</v>
      </c>
      <c r="J112" s="12">
        <v>1</v>
      </c>
      <c r="K112" s="12">
        <v>0</v>
      </c>
      <c r="L112" s="8" t="s">
        <v>2089</v>
      </c>
      <c r="M112" s="8" t="s">
        <v>1974</v>
      </c>
      <c r="N112" s="8" t="s">
        <v>1964</v>
      </c>
      <c r="O112" s="8" t="s">
        <v>2090</v>
      </c>
      <c r="P112" s="8"/>
      <c r="Q112" s="8" t="str">
        <f>IF(B112="","",IF(B112="P","P&amp;10",B112&amp;"D "&amp;C112))</f>
        <v>1D 7-10</v>
      </c>
      <c r="R112" s="8" t="str">
        <f>IF(L112&lt;&gt;"Y","",IF(COUNTIF('DEF_CALL_DECISION_SUPPORT'!$B$1197:$B$1256,SUBSTITUTE(SUBSTITUTE(SUBSTITUTE(E112,"~","~~"),"*","~*"),"?","~?"))&gt;0,"KNOWN","REVIEW: new call; refresh sources"))</f>
        <v>KNOWN</v>
      </c>
    </row>
    <row r="113" spans="1:18" ht="25" customHeight="1">
      <c r="A113" s="12">
        <v>73</v>
      </c>
      <c r="B113" s="8" t="s">
        <v>2066</v>
      </c>
      <c r="C113" s="8" t="s">
        <v>716</v>
      </c>
      <c r="D113" s="8" t="s">
        <v>457</v>
      </c>
      <c r="E113" s="8" t="s">
        <v>61</v>
      </c>
      <c r="F113" s="8" t="s">
        <v>120</v>
      </c>
      <c r="G113" s="8" t="s">
        <v>206</v>
      </c>
      <c r="H113" s="8" t="s">
        <v>1965</v>
      </c>
      <c r="I113" s="11">
        <v>3</v>
      </c>
      <c r="J113" s="12">
        <v>1</v>
      </c>
      <c r="K113" s="12">
        <v>0</v>
      </c>
      <c r="L113" s="8" t="s">
        <v>2089</v>
      </c>
      <c r="M113" s="8" t="s">
        <v>1965</v>
      </c>
      <c r="N113" s="8" t="s">
        <v>1961</v>
      </c>
      <c r="O113" s="8" t="s">
        <v>2104</v>
      </c>
      <c r="P113" s="8"/>
      <c r="Q113" s="8" t="str">
        <f>IF(B113="","",IF(B113="P","P&amp;10",B113&amp;"D "&amp;C113))</f>
        <v>1D 7-10</v>
      </c>
      <c r="R113" s="8" t="str">
        <f>IF(L113&lt;&gt;"Y","",IF(COUNTIF('DEF_CALL_DECISION_SUPPORT'!$B$1197:$B$1256,SUBSTITUTE(SUBSTITUTE(SUBSTITUTE(E113,"~","~~"),"*","~*"),"?","~?"))&gt;0,"KNOWN","REVIEW: new call; refresh sources"))</f>
        <v>KNOWN</v>
      </c>
    </row>
    <row r="114" spans="1:18" ht="25" customHeight="1">
      <c r="A114" s="12">
        <v>74</v>
      </c>
      <c r="B114" s="8" t="s">
        <v>2066</v>
      </c>
      <c r="C114" s="8" t="s">
        <v>716</v>
      </c>
      <c r="D114" s="8" t="s">
        <v>471</v>
      </c>
      <c r="E114" s="8" t="s">
        <v>66</v>
      </c>
      <c r="F114" s="8" t="s">
        <v>120</v>
      </c>
      <c r="G114" s="8" t="s">
        <v>206</v>
      </c>
      <c r="H114" s="8" t="s">
        <v>2094</v>
      </c>
      <c r="I114" s="11">
        <v>4</v>
      </c>
      <c r="J114" s="12">
        <v>1</v>
      </c>
      <c r="K114" s="12">
        <v>0</v>
      </c>
      <c r="L114" s="8" t="s">
        <v>2089</v>
      </c>
      <c r="M114" s="8" t="s">
        <v>1963</v>
      </c>
      <c r="N114" s="8" t="s">
        <v>1967</v>
      </c>
      <c r="O114" s="8" t="s">
        <v>2104</v>
      </c>
      <c r="P114" s="8"/>
      <c r="Q114" s="8" t="str">
        <f>IF(B114="","",IF(B114="P","P&amp;10",B114&amp;"D "&amp;C114))</f>
        <v>1D 7-10</v>
      </c>
      <c r="R114" s="8" t="str">
        <f>IF(L114&lt;&gt;"Y","",IF(COUNTIF('DEF_CALL_DECISION_SUPPORT'!$B$1197:$B$1256,SUBSTITUTE(SUBSTITUTE(SUBSTITUTE(E114,"~","~~"),"*","~*"),"?","~?"))&gt;0,"KNOWN","REVIEW: new call; refresh sources"))</f>
        <v>KNOWN</v>
      </c>
    </row>
    <row r="115" spans="1:18" ht="25" customHeight="1">
      <c r="A115" s="12">
        <v>75</v>
      </c>
      <c r="B115" s="8" t="s">
        <v>2066</v>
      </c>
      <c r="C115" s="8" t="s">
        <v>716</v>
      </c>
      <c r="D115" s="8" t="s">
        <v>449</v>
      </c>
      <c r="E115" s="8" t="s">
        <v>66</v>
      </c>
      <c r="F115" s="8" t="s">
        <v>120</v>
      </c>
      <c r="G115" s="8" t="s">
        <v>206</v>
      </c>
      <c r="H115" s="8" t="s">
        <v>2094</v>
      </c>
      <c r="I115" s="11">
        <v>23</v>
      </c>
      <c r="J115" s="12">
        <v>0</v>
      </c>
      <c r="K115" s="12">
        <v>1</v>
      </c>
      <c r="L115" s="8" t="s">
        <v>2089</v>
      </c>
      <c r="M115" s="8" t="s">
        <v>1963</v>
      </c>
      <c r="N115" s="8" t="s">
        <v>1967</v>
      </c>
      <c r="O115" s="8" t="s">
        <v>2104</v>
      </c>
      <c r="P115" s="8"/>
      <c r="Q115" s="8" t="str">
        <f>IF(B115="","",IF(B115="P","P&amp;10",B115&amp;"D "&amp;C115))</f>
        <v>1D 7-10</v>
      </c>
      <c r="R115" s="8" t="str">
        <f>IF(L115&lt;&gt;"Y","",IF(COUNTIF('DEF_CALL_DECISION_SUPPORT'!$B$1197:$B$1256,SUBSTITUTE(SUBSTITUTE(SUBSTITUTE(E115,"~","~~"),"*","~*"),"?","~?"))&gt;0,"KNOWN","REVIEW: new call; refresh sources"))</f>
        <v>KNOWN</v>
      </c>
    </row>
    <row r="116" spans="1:18" ht="25" customHeight="1">
      <c r="A116" s="12">
        <v>76</v>
      </c>
      <c r="B116" s="8" t="s">
        <v>2066</v>
      </c>
      <c r="C116" s="8" t="s">
        <v>716</v>
      </c>
      <c r="D116" s="8" t="s">
        <v>428</v>
      </c>
      <c r="E116" s="8" t="s">
        <v>66</v>
      </c>
      <c r="F116" s="8" t="s">
        <v>120</v>
      </c>
      <c r="G116" s="8" t="s">
        <v>206</v>
      </c>
      <c r="H116" s="8" t="s">
        <v>1965</v>
      </c>
      <c r="I116" s="11">
        <v>3</v>
      </c>
      <c r="J116" s="12">
        <v>1</v>
      </c>
      <c r="K116" s="12">
        <v>0</v>
      </c>
      <c r="L116" s="8" t="s">
        <v>2089</v>
      </c>
      <c r="M116" s="8" t="s">
        <v>1965</v>
      </c>
      <c r="N116" s="8" t="s">
        <v>1961</v>
      </c>
      <c r="O116" s="8" t="s">
        <v>2104</v>
      </c>
      <c r="P116" s="8"/>
      <c r="Q116" s="8" t="str">
        <f>IF(B116="","",IF(B116="P","P&amp;10",B116&amp;"D "&amp;C116))</f>
        <v>1D 7-10</v>
      </c>
      <c r="R116" s="8" t="str">
        <f>IF(L116&lt;&gt;"Y","",IF(COUNTIF('DEF_CALL_DECISION_SUPPORT'!$B$1197:$B$1256,SUBSTITUTE(SUBSTITUTE(SUBSTITUTE(E116,"~","~~"),"*","~*"),"?","~?"))&gt;0,"KNOWN","REVIEW: new call; refresh sources"))</f>
        <v>KNOWN</v>
      </c>
    </row>
    <row r="117" spans="1:18" ht="25" customHeight="1">
      <c r="A117" s="12">
        <v>77</v>
      </c>
      <c r="B117" s="8" t="s">
        <v>2066</v>
      </c>
      <c r="C117" s="8" t="s">
        <v>716</v>
      </c>
      <c r="D117" s="8" t="s">
        <v>446</v>
      </c>
      <c r="E117" s="8" t="s">
        <v>42</v>
      </c>
      <c r="F117" s="8" t="s">
        <v>120</v>
      </c>
      <c r="G117" s="8" t="s">
        <v>206</v>
      </c>
      <c r="H117" s="8" t="s">
        <v>2094</v>
      </c>
      <c r="I117" s="11">
        <v>14</v>
      </c>
      <c r="J117" s="12">
        <v>0</v>
      </c>
      <c r="K117" s="12">
        <v>0</v>
      </c>
      <c r="L117" s="8" t="s">
        <v>2089</v>
      </c>
      <c r="M117" s="8" t="s">
        <v>1963</v>
      </c>
      <c r="N117" s="8" t="s">
        <v>1961</v>
      </c>
      <c r="O117" s="8" t="s">
        <v>2104</v>
      </c>
      <c r="P117" s="8"/>
      <c r="Q117" s="8" t="str">
        <f>IF(B117="","",IF(B117="P","P&amp;10",B117&amp;"D "&amp;C117))</f>
        <v>1D 7-10</v>
      </c>
      <c r="R117" s="8" t="str">
        <f>IF(L117&lt;&gt;"Y","",IF(COUNTIF('DEF_CALL_DECISION_SUPPORT'!$B$1197:$B$1256,SUBSTITUTE(SUBSTITUTE(SUBSTITUTE(E117,"~","~~"),"*","~*"),"?","~?"))&gt;0,"KNOWN","REVIEW: new call; refresh sources"))</f>
        <v>KNOWN</v>
      </c>
    </row>
    <row r="118" spans="1:18" ht="25" customHeight="1">
      <c r="A118" s="12">
        <v>78</v>
      </c>
      <c r="B118" s="8" t="s">
        <v>2066</v>
      </c>
      <c r="C118" s="8" t="s">
        <v>720</v>
      </c>
      <c r="D118" s="8" t="s">
        <v>432</v>
      </c>
      <c r="E118" s="8" t="s">
        <v>32</v>
      </c>
      <c r="F118" s="8" t="s">
        <v>120</v>
      </c>
      <c r="G118" s="8" t="s">
        <v>203</v>
      </c>
      <c r="H118" s="8" t="s">
        <v>1965</v>
      </c>
      <c r="I118" s="11">
        <v>2</v>
      </c>
      <c r="J118" s="12">
        <v>1</v>
      </c>
      <c r="K118" s="12">
        <v>0</v>
      </c>
      <c r="L118" s="8" t="s">
        <v>2089</v>
      </c>
      <c r="M118" s="8" t="s">
        <v>1965</v>
      </c>
      <c r="N118" s="8" t="s">
        <v>1964</v>
      </c>
      <c r="O118" s="8" t="s">
        <v>2090</v>
      </c>
      <c r="P118" s="8"/>
      <c r="Q118" s="8" t="str">
        <f>IF(B118="","",IF(B118="P","P&amp;10",B118&amp;"D "&amp;C118))</f>
        <v>1D 11+</v>
      </c>
      <c r="R118" s="8" t="str">
        <f>IF(L118&lt;&gt;"Y","",IF(COUNTIF('DEF_CALL_DECISION_SUPPORT'!$B$1197:$B$1256,SUBSTITUTE(SUBSTITUTE(SUBSTITUTE(E118,"~","~~"),"*","~*"),"?","~?"))&gt;0,"KNOWN","REVIEW: new call; refresh sources"))</f>
        <v>KNOWN</v>
      </c>
    </row>
    <row r="119" spans="1:18" ht="25" customHeight="1">
      <c r="A119" s="12">
        <v>79</v>
      </c>
      <c r="B119" s="8" t="s">
        <v>2066</v>
      </c>
      <c r="C119" s="8" t="s">
        <v>716</v>
      </c>
      <c r="D119" s="8" t="s">
        <v>480</v>
      </c>
      <c r="E119" s="8" t="s">
        <v>51</v>
      </c>
      <c r="F119" s="8" t="s">
        <v>123</v>
      </c>
      <c r="G119" s="8" t="s">
        <v>206</v>
      </c>
      <c r="H119" s="8" t="s">
        <v>2094</v>
      </c>
      <c r="I119" s="11">
        <v>0</v>
      </c>
      <c r="J119" s="12">
        <v>1</v>
      </c>
      <c r="K119" s="12">
        <v>0</v>
      </c>
      <c r="L119" s="8" t="s">
        <v>2089</v>
      </c>
      <c r="M119" s="8" t="s">
        <v>1963</v>
      </c>
      <c r="N119" s="8" t="s">
        <v>1961</v>
      </c>
      <c r="O119" s="8" t="s">
        <v>2099</v>
      </c>
      <c r="P119" s="8"/>
      <c r="Q119" s="8" t="str">
        <f>IF(B119="","",IF(B119="P","P&amp;10",B119&amp;"D "&amp;C119))</f>
        <v>1D 7-10</v>
      </c>
      <c r="R119" s="8" t="str">
        <f>IF(L119&lt;&gt;"Y","",IF(COUNTIF('DEF_CALL_DECISION_SUPPORT'!$B$1197:$B$1256,SUBSTITUTE(SUBSTITUTE(SUBSTITUTE(E119,"~","~~"),"*","~*"),"?","~?"))&gt;0,"KNOWN","REVIEW: new call; refresh sources"))</f>
        <v>KNOWN</v>
      </c>
    </row>
    <row r="120" spans="1:18" ht="25" customHeight="1">
      <c r="A120" s="12">
        <v>80</v>
      </c>
      <c r="B120" s="8" t="s">
        <v>2066</v>
      </c>
      <c r="C120" s="8" t="s">
        <v>716</v>
      </c>
      <c r="D120" s="8" t="s">
        <v>471</v>
      </c>
      <c r="E120" s="8" t="s">
        <v>51</v>
      </c>
      <c r="F120" s="8" t="s">
        <v>123</v>
      </c>
      <c r="G120" s="8" t="s">
        <v>203</v>
      </c>
      <c r="H120" s="8" t="s">
        <v>2094</v>
      </c>
      <c r="I120" s="11">
        <v>0</v>
      </c>
      <c r="J120" s="12">
        <v>1</v>
      </c>
      <c r="K120" s="12">
        <v>0</v>
      </c>
      <c r="L120" s="8" t="s">
        <v>2089</v>
      </c>
      <c r="M120" s="8" t="s">
        <v>1974</v>
      </c>
      <c r="N120" s="8" t="s">
        <v>1964</v>
      </c>
      <c r="O120" s="8" t="s">
        <v>2102</v>
      </c>
      <c r="P120" s="8"/>
      <c r="Q120" s="8" t="str">
        <f>IF(B120="","",IF(B120="P","P&amp;10",B120&amp;"D "&amp;C120))</f>
        <v>1D 7-10</v>
      </c>
      <c r="R120" s="8" t="str">
        <f>IF(L120&lt;&gt;"Y","",IF(COUNTIF('DEF_CALL_DECISION_SUPPORT'!$B$1197:$B$1256,SUBSTITUTE(SUBSTITUTE(SUBSTITUTE(E120,"~","~~"),"*","~*"),"?","~?"))&gt;0,"KNOWN","REVIEW: new call; refresh sources"))</f>
        <v>KNOWN</v>
      </c>
    </row>
    <row r="121" spans="1:18" ht="25" customHeight="1">
      <c r="A121" s="12">
        <v>81</v>
      </c>
      <c r="B121" s="8" t="s">
        <v>2066</v>
      </c>
      <c r="C121" s="8" t="s">
        <v>716</v>
      </c>
      <c r="D121" s="8" t="s">
        <v>446</v>
      </c>
      <c r="E121" s="8" t="s">
        <v>65</v>
      </c>
      <c r="F121" s="8" t="s">
        <v>120</v>
      </c>
      <c r="G121" s="8" t="s">
        <v>203</v>
      </c>
      <c r="H121" s="8" t="s">
        <v>2094</v>
      </c>
      <c r="I121" s="11">
        <v>0</v>
      </c>
      <c r="J121" s="12">
        <v>1</v>
      </c>
      <c r="K121" s="12">
        <v>0</v>
      </c>
      <c r="L121" s="8" t="s">
        <v>2089</v>
      </c>
      <c r="M121" s="8" t="s">
        <v>1974</v>
      </c>
      <c r="N121" s="8" t="s">
        <v>1964</v>
      </c>
      <c r="O121" s="8" t="s">
        <v>2090</v>
      </c>
      <c r="P121" s="8"/>
      <c r="Q121" s="8" t="str">
        <f>IF(B121="","",IF(B121="P","P&amp;10",B121&amp;"D "&amp;C121))</f>
        <v>1D 7-10</v>
      </c>
      <c r="R121" s="8" t="str">
        <f>IF(L121&lt;&gt;"Y","",IF(COUNTIF('DEF_CALL_DECISION_SUPPORT'!$B$1197:$B$1256,SUBSTITUTE(SUBSTITUTE(SUBSTITUTE(E121,"~","~~"),"*","~*"),"?","~?"))&gt;0,"KNOWN","REVIEW: new call; refresh sources"))</f>
        <v>KNOWN</v>
      </c>
    </row>
    <row r="122" spans="1:18" ht="25" customHeight="1">
      <c r="A122" s="12">
        <v>82</v>
      </c>
      <c r="B122" s="8" t="s">
        <v>2066</v>
      </c>
      <c r="C122" s="8" t="s">
        <v>716</v>
      </c>
      <c r="D122" s="8" t="s">
        <v>428</v>
      </c>
      <c r="E122" s="8" t="s">
        <v>43</v>
      </c>
      <c r="F122" s="8" t="s">
        <v>120</v>
      </c>
      <c r="G122" s="8" t="s">
        <v>206</v>
      </c>
      <c r="H122" s="8" t="s">
        <v>1965</v>
      </c>
      <c r="I122" s="11">
        <v>-5</v>
      </c>
      <c r="J122" s="12">
        <v>1</v>
      </c>
      <c r="K122" s="12">
        <v>0</v>
      </c>
      <c r="L122" s="8" t="s">
        <v>2089</v>
      </c>
      <c r="M122" s="8" t="s">
        <v>1965</v>
      </c>
      <c r="N122" s="8" t="s">
        <v>1967</v>
      </c>
      <c r="O122" s="8" t="s">
        <v>2104</v>
      </c>
      <c r="P122" s="8"/>
      <c r="Q122" s="8" t="str">
        <f>IF(B122="","",IF(B122="P","P&amp;10",B122&amp;"D "&amp;C122))</f>
        <v>1D 7-10</v>
      </c>
      <c r="R122" s="8" t="str">
        <f>IF(L122&lt;&gt;"Y","",IF(COUNTIF('DEF_CALL_DECISION_SUPPORT'!$B$1197:$B$1256,SUBSTITUTE(SUBSTITUTE(SUBSTITUTE(E122,"~","~~"),"*","~*"),"?","~?"))&gt;0,"KNOWN","REVIEW: new call; refresh sources"))</f>
        <v>KNOWN</v>
      </c>
    </row>
    <row r="123" spans="1:18" ht="25" customHeight="1">
      <c r="A123" s="12">
        <v>83</v>
      </c>
      <c r="B123" s="8" t="s">
        <v>2066</v>
      </c>
      <c r="C123" s="8" t="s">
        <v>716</v>
      </c>
      <c r="D123" s="8" t="s">
        <v>468</v>
      </c>
      <c r="E123" s="8" t="s">
        <v>43</v>
      </c>
      <c r="F123" s="8" t="s">
        <v>120</v>
      </c>
      <c r="G123" s="8" t="s">
        <v>206</v>
      </c>
      <c r="H123" s="8" t="s">
        <v>2094</v>
      </c>
      <c r="I123" s="11">
        <v>6</v>
      </c>
      <c r="J123" s="12">
        <v>1</v>
      </c>
      <c r="K123" s="12">
        <v>0</v>
      </c>
      <c r="L123" s="8" t="s">
        <v>2089</v>
      </c>
      <c r="M123" s="8" t="s">
        <v>1963</v>
      </c>
      <c r="N123" s="8" t="s">
        <v>1967</v>
      </c>
      <c r="O123" s="8" t="s">
        <v>2104</v>
      </c>
      <c r="P123" s="8"/>
      <c r="Q123" s="8" t="str">
        <f>IF(B123="","",IF(B123="P","P&amp;10",B123&amp;"D "&amp;C123))</f>
        <v>1D 7-10</v>
      </c>
      <c r="R123" s="8" t="str">
        <f>IF(L123&lt;&gt;"Y","",IF(COUNTIF('DEF_CALL_DECISION_SUPPORT'!$B$1197:$B$1256,SUBSTITUTE(SUBSTITUTE(SUBSTITUTE(E123,"~","~~"),"*","~*"),"?","~?"))&gt;0,"KNOWN","REVIEW: new call; refresh sources"))</f>
        <v>KNOWN</v>
      </c>
    </row>
    <row r="124" spans="1:18" ht="25" customHeight="1">
      <c r="A124" s="12">
        <v>84</v>
      </c>
      <c r="B124" s="8" t="s">
        <v>2066</v>
      </c>
      <c r="C124" s="8" t="s">
        <v>716</v>
      </c>
      <c r="D124" s="8" t="s">
        <v>449</v>
      </c>
      <c r="E124" s="8" t="s">
        <v>49</v>
      </c>
      <c r="F124" s="8" t="s">
        <v>120</v>
      </c>
      <c r="G124" s="8" t="s">
        <v>206</v>
      </c>
      <c r="H124" s="8" t="s">
        <v>2094</v>
      </c>
      <c r="I124" s="11">
        <v>0</v>
      </c>
      <c r="J124" s="12">
        <v>1</v>
      </c>
      <c r="K124" s="12">
        <v>0</v>
      </c>
      <c r="L124" s="8" t="s">
        <v>2089</v>
      </c>
      <c r="M124" s="8" t="s">
        <v>1974</v>
      </c>
      <c r="N124" s="8" t="s">
        <v>1967</v>
      </c>
      <c r="O124" s="8" t="s">
        <v>2104</v>
      </c>
      <c r="P124" s="8"/>
      <c r="Q124" s="8" t="str">
        <f>IF(B124="","",IF(B124="P","P&amp;10",B124&amp;"D "&amp;C124))</f>
        <v>1D 7-10</v>
      </c>
      <c r="R124" s="8" t="str">
        <f>IF(L124&lt;&gt;"Y","",IF(COUNTIF('DEF_CALL_DECISION_SUPPORT'!$B$1197:$B$1256,SUBSTITUTE(SUBSTITUTE(SUBSTITUTE(E124,"~","~~"),"*","~*"),"?","~?"))&gt;0,"KNOWN","REVIEW: new call; refresh sources"))</f>
        <v>KNOWN</v>
      </c>
    </row>
    <row r="125" spans="1:18" ht="25" customHeight="1">
      <c r="A125" s="12">
        <v>85</v>
      </c>
      <c r="B125" s="8" t="s">
        <v>2066</v>
      </c>
      <c r="C125" s="8" t="s">
        <v>706</v>
      </c>
      <c r="D125" s="8" t="s">
        <v>428</v>
      </c>
      <c r="E125" s="8" t="s">
        <v>30</v>
      </c>
      <c r="F125" s="8" t="s">
        <v>123</v>
      </c>
      <c r="G125" s="8" t="s">
        <v>203</v>
      </c>
      <c r="H125" s="8" t="s">
        <v>1965</v>
      </c>
      <c r="I125" s="11">
        <v>1</v>
      </c>
      <c r="J125" s="12">
        <v>1</v>
      </c>
      <c r="K125" s="12">
        <v>0</v>
      </c>
      <c r="L125" s="8" t="s">
        <v>2089</v>
      </c>
      <c r="M125" s="8" t="s">
        <v>1965</v>
      </c>
      <c r="N125" s="8" t="s">
        <v>1964</v>
      </c>
      <c r="O125" s="8" t="s">
        <v>2102</v>
      </c>
      <c r="P125" s="8"/>
      <c r="Q125" s="8" t="str">
        <f>IF(B125="","",IF(B125="P","P&amp;10",B125&amp;"D "&amp;C125))</f>
        <v>1D 1-3</v>
      </c>
      <c r="R125" s="8" t="str">
        <f>IF(L125&lt;&gt;"Y","",IF(COUNTIF('DEF_CALL_DECISION_SUPPORT'!$B$1197:$B$1256,SUBSTITUTE(SUBSTITUTE(SUBSTITUTE(E125,"~","~~"),"*","~*"),"?","~?"))&gt;0,"KNOWN","REVIEW: new call; refresh sources"))</f>
        <v>KNOWN</v>
      </c>
    </row>
    <row r="126" spans="1:18" ht="25" customHeight="1">
      <c r="A126" s="12">
        <v>86</v>
      </c>
      <c r="B126" s="8" t="s">
        <v>2066</v>
      </c>
      <c r="C126" s="8" t="s">
        <v>716</v>
      </c>
      <c r="D126" s="8" t="s">
        <v>474</v>
      </c>
      <c r="E126" s="8" t="s">
        <v>54</v>
      </c>
      <c r="F126" s="8" t="s">
        <v>120</v>
      </c>
      <c r="G126" s="8" t="s">
        <v>203</v>
      </c>
      <c r="H126" s="8" t="s">
        <v>2094</v>
      </c>
      <c r="I126" s="11">
        <v>3</v>
      </c>
      <c r="J126" s="12">
        <v>1</v>
      </c>
      <c r="K126" s="12">
        <v>0</v>
      </c>
      <c r="L126" s="8" t="s">
        <v>2089</v>
      </c>
      <c r="M126" s="8" t="s">
        <v>1963</v>
      </c>
      <c r="N126" s="8" t="s">
        <v>1964</v>
      </c>
      <c r="O126" s="8" t="s">
        <v>2090</v>
      </c>
      <c r="P126" s="8"/>
      <c r="Q126" s="8" t="str">
        <f>IF(B126="","",IF(B126="P","P&amp;10",B126&amp;"D "&amp;C126))</f>
        <v>1D 7-10</v>
      </c>
      <c r="R126" s="8" t="str">
        <f>IF(L126&lt;&gt;"Y","",IF(COUNTIF('DEF_CALL_DECISION_SUPPORT'!$B$1197:$B$1256,SUBSTITUTE(SUBSTITUTE(SUBSTITUTE(E126,"~","~~"),"*","~*"),"?","~?"))&gt;0,"KNOWN","REVIEW: new call; refresh sources"))</f>
        <v>KNOWN</v>
      </c>
    </row>
    <row r="127" spans="1:18" ht="25" customHeight="1">
      <c r="A127" s="12">
        <v>87</v>
      </c>
      <c r="B127" s="8" t="s">
        <v>2066</v>
      </c>
      <c r="C127" s="8" t="s">
        <v>716</v>
      </c>
      <c r="D127" s="8" t="s">
        <v>449</v>
      </c>
      <c r="E127" s="8" t="s">
        <v>58</v>
      </c>
      <c r="F127" s="8" t="s">
        <v>120</v>
      </c>
      <c r="G127" s="8" t="s">
        <v>206</v>
      </c>
      <c r="H127" s="8" t="s">
        <v>2094</v>
      </c>
      <c r="I127" s="11">
        <v>0</v>
      </c>
      <c r="J127" s="12">
        <v>1</v>
      </c>
      <c r="K127" s="12">
        <v>0</v>
      </c>
      <c r="L127" s="8" t="s">
        <v>2089</v>
      </c>
      <c r="M127" s="8" t="s">
        <v>1974</v>
      </c>
      <c r="N127" s="8" t="s">
        <v>1967</v>
      </c>
      <c r="O127" s="8" t="s">
        <v>2104</v>
      </c>
      <c r="P127" s="8"/>
      <c r="Q127" s="8" t="str">
        <f>IF(B127="","",IF(B127="P","P&amp;10",B127&amp;"D "&amp;C127))</f>
        <v>1D 7-10</v>
      </c>
      <c r="R127" s="8" t="str">
        <f>IF(L127&lt;&gt;"Y","",IF(COUNTIF('DEF_CALL_DECISION_SUPPORT'!$B$1197:$B$1256,SUBSTITUTE(SUBSTITUTE(SUBSTITUTE(E127,"~","~~"),"*","~*"),"?","~?"))&gt;0,"KNOWN","REVIEW: new call; refresh sources"))</f>
        <v>KNOWN</v>
      </c>
    </row>
    <row r="128" spans="1:18" ht="25" customHeight="1">
      <c r="A128" s="12">
        <v>88</v>
      </c>
      <c r="B128" s="8" t="s">
        <v>2066</v>
      </c>
      <c r="C128" s="8" t="s">
        <v>716</v>
      </c>
      <c r="D128" s="8" t="s">
        <v>449</v>
      </c>
      <c r="E128" s="8" t="s">
        <v>58</v>
      </c>
      <c r="F128" s="8" t="s">
        <v>120</v>
      </c>
      <c r="G128" s="8" t="s">
        <v>203</v>
      </c>
      <c r="H128" s="8" t="s">
        <v>2094</v>
      </c>
      <c r="I128" s="11">
        <v>0</v>
      </c>
      <c r="J128" s="12">
        <v>1</v>
      </c>
      <c r="K128" s="12">
        <v>0</v>
      </c>
      <c r="L128" s="8" t="s">
        <v>2089</v>
      </c>
      <c r="M128" s="8" t="s">
        <v>1974</v>
      </c>
      <c r="N128" s="8" t="s">
        <v>1964</v>
      </c>
      <c r="O128" s="8" t="s">
        <v>2090</v>
      </c>
      <c r="P128" s="8"/>
      <c r="Q128" s="8" t="str">
        <f>IF(B128="","",IF(B128="P","P&amp;10",B128&amp;"D "&amp;C128))</f>
        <v>1D 7-10</v>
      </c>
      <c r="R128" s="8" t="str">
        <f>IF(L128&lt;&gt;"Y","",IF(COUNTIF('DEF_CALL_DECISION_SUPPORT'!$B$1197:$B$1256,SUBSTITUTE(SUBSTITUTE(SUBSTITUTE(E128,"~","~~"),"*","~*"),"?","~?"))&gt;0,"KNOWN","REVIEW: new call; refresh sources"))</f>
        <v>KNOWN</v>
      </c>
    </row>
    <row r="129" spans="1:18" ht="25" customHeight="1">
      <c r="A129" s="12">
        <v>89</v>
      </c>
      <c r="B129" s="8" t="s">
        <v>2066</v>
      </c>
      <c r="C129" s="8" t="s">
        <v>716</v>
      </c>
      <c r="D129" s="8" t="s">
        <v>428</v>
      </c>
      <c r="E129" s="8" t="s">
        <v>58</v>
      </c>
      <c r="F129" s="8" t="s">
        <v>120</v>
      </c>
      <c r="G129" s="8" t="s">
        <v>206</v>
      </c>
      <c r="H129" s="8" t="s">
        <v>1965</v>
      </c>
      <c r="I129" s="11">
        <v>1</v>
      </c>
      <c r="J129" s="12">
        <v>1</v>
      </c>
      <c r="K129" s="12">
        <v>0</v>
      </c>
      <c r="L129" s="8" t="s">
        <v>2089</v>
      </c>
      <c r="M129" s="8" t="s">
        <v>1965</v>
      </c>
      <c r="N129" s="8" t="s">
        <v>1967</v>
      </c>
      <c r="O129" s="8" t="s">
        <v>2104</v>
      </c>
      <c r="P129" s="8"/>
      <c r="Q129" s="8" t="str">
        <f>IF(B129="","",IF(B129="P","P&amp;10",B129&amp;"D "&amp;C129))</f>
        <v>1D 7-10</v>
      </c>
      <c r="R129" s="8" t="str">
        <f>IF(L129&lt;&gt;"Y","",IF(COUNTIF('DEF_CALL_DECISION_SUPPORT'!$B$1197:$B$1256,SUBSTITUTE(SUBSTITUTE(SUBSTITUTE(E129,"~","~~"),"*","~*"),"?","~?"))&gt;0,"KNOWN","REVIEW: new call; refresh sources"))</f>
        <v>KNOWN</v>
      </c>
    </row>
    <row r="130" spans="1:18" ht="25" customHeight="1">
      <c r="A130" s="12">
        <v>90</v>
      </c>
      <c r="B130" s="8" t="s">
        <v>2066</v>
      </c>
      <c r="C130" s="8" t="s">
        <v>716</v>
      </c>
      <c r="D130" s="8" t="s">
        <v>471</v>
      </c>
      <c r="E130" s="8" t="s">
        <v>62</v>
      </c>
      <c r="F130" s="8" t="s">
        <v>120</v>
      </c>
      <c r="G130" s="8" t="s">
        <v>206</v>
      </c>
      <c r="H130" s="8" t="s">
        <v>2068</v>
      </c>
      <c r="I130" s="11">
        <v>24</v>
      </c>
      <c r="J130" s="12">
        <v>0</v>
      </c>
      <c r="K130" s="12">
        <v>1</v>
      </c>
      <c r="L130" s="8" t="s">
        <v>2089</v>
      </c>
      <c r="M130" s="8" t="s">
        <v>1971</v>
      </c>
      <c r="N130" s="8" t="s">
        <v>1967</v>
      </c>
      <c r="O130" s="8" t="s">
        <v>2104</v>
      </c>
      <c r="P130" s="8"/>
      <c r="Q130" s="8" t="str">
        <f>IF(B130="","",IF(B130="P","P&amp;10",B130&amp;"D "&amp;C130))</f>
        <v>1D 7-10</v>
      </c>
      <c r="R130" s="8" t="str">
        <f>IF(L130&lt;&gt;"Y","",IF(COUNTIF('DEF_CALL_DECISION_SUPPORT'!$B$1197:$B$1256,SUBSTITUTE(SUBSTITUTE(SUBSTITUTE(E130,"~","~~"),"*","~*"),"?","~?"))&gt;0,"KNOWN","REVIEW: new call; refresh sources"))</f>
        <v>KNOWN</v>
      </c>
    </row>
    <row r="131" spans="1:18" ht="25" customHeight="1">
      <c r="A131" s="12">
        <v>91</v>
      </c>
      <c r="B131" s="8" t="s">
        <v>2066</v>
      </c>
      <c r="C131" s="8" t="s">
        <v>716</v>
      </c>
      <c r="D131" s="8" t="s">
        <v>471</v>
      </c>
      <c r="E131" s="8" t="s">
        <v>62</v>
      </c>
      <c r="F131" s="8" t="s">
        <v>120</v>
      </c>
      <c r="G131" s="8" t="s">
        <v>206</v>
      </c>
      <c r="H131" s="8" t="s">
        <v>2094</v>
      </c>
      <c r="I131" s="11">
        <v>13</v>
      </c>
      <c r="J131" s="12">
        <v>0</v>
      </c>
      <c r="K131" s="12">
        <v>0</v>
      </c>
      <c r="L131" s="8" t="s">
        <v>2089</v>
      </c>
      <c r="M131" s="8" t="s">
        <v>1963</v>
      </c>
      <c r="N131" s="8" t="s">
        <v>1967</v>
      </c>
      <c r="O131" s="8" t="s">
        <v>2104</v>
      </c>
      <c r="P131" s="8"/>
      <c r="Q131" s="8" t="str">
        <f>IF(B131="","",IF(B131="P","P&amp;10",B131&amp;"D "&amp;C131))</f>
        <v>1D 7-10</v>
      </c>
      <c r="R131" s="8" t="str">
        <f>IF(L131&lt;&gt;"Y","",IF(COUNTIF('DEF_CALL_DECISION_SUPPORT'!$B$1197:$B$1256,SUBSTITUTE(SUBSTITUTE(SUBSTITUTE(E131,"~","~~"),"*","~*"),"?","~?"))&gt;0,"KNOWN","REVIEW: new call; refresh sources"))</f>
        <v>KNOWN</v>
      </c>
    </row>
    <row r="132" spans="1:18" ht="25" customHeight="1">
      <c r="A132" s="12">
        <v>92</v>
      </c>
      <c r="B132" s="8" t="s">
        <v>2066</v>
      </c>
      <c r="C132" s="8" t="s">
        <v>711</v>
      </c>
      <c r="D132" s="8" t="s">
        <v>428</v>
      </c>
      <c r="E132" s="8" t="s">
        <v>37</v>
      </c>
      <c r="F132" s="8" t="s">
        <v>123</v>
      </c>
      <c r="G132" s="8" t="s">
        <v>215</v>
      </c>
      <c r="H132" s="8" t="s">
        <v>2068</v>
      </c>
      <c r="I132" s="11">
        <v>5</v>
      </c>
      <c r="J132" s="12">
        <v>0</v>
      </c>
      <c r="K132" s="12">
        <v>0</v>
      </c>
      <c r="L132" s="8" t="s">
        <v>2089</v>
      </c>
      <c r="M132" s="8" t="s">
        <v>1971</v>
      </c>
      <c r="N132" s="8" t="s">
        <v>1969</v>
      </c>
      <c r="O132" s="8" t="s">
        <v>2095</v>
      </c>
      <c r="P132" s="8"/>
      <c r="Q132" s="8" t="str">
        <f>IF(B132="","",IF(B132="P","P&amp;10",B132&amp;"D "&amp;C132))</f>
        <v>1D 4-6</v>
      </c>
      <c r="R132" s="8" t="str">
        <f>IF(L132&lt;&gt;"Y","",IF(COUNTIF('DEF_CALL_DECISION_SUPPORT'!$B$1197:$B$1256,SUBSTITUTE(SUBSTITUTE(SUBSTITUTE(E132,"~","~~"),"*","~*"),"?","~?"))&gt;0,"KNOWN","REVIEW: new call; refresh sources"))</f>
        <v>KNOWN</v>
      </c>
    </row>
    <row r="133" spans="1:18" ht="25" customHeight="1">
      <c r="A133" s="12">
        <v>93</v>
      </c>
      <c r="B133" s="8" t="s">
        <v>2066</v>
      </c>
      <c r="C133" s="8" t="s">
        <v>716</v>
      </c>
      <c r="D133" s="8" t="s">
        <v>449</v>
      </c>
      <c r="E133" s="8" t="s">
        <v>47</v>
      </c>
      <c r="F133" s="8" t="s">
        <v>120</v>
      </c>
      <c r="G133" s="8" t="s">
        <v>222</v>
      </c>
      <c r="H133" s="8" t="s">
        <v>2068</v>
      </c>
      <c r="I133" s="11">
        <v>28</v>
      </c>
      <c r="J133" s="12">
        <v>0</v>
      </c>
      <c r="K133" s="12">
        <v>1</v>
      </c>
      <c r="L133" s="8" t="s">
        <v>2089</v>
      </c>
      <c r="M133" s="8" t="s">
        <v>2113</v>
      </c>
      <c r="N133" s="8" t="s">
        <v>1979</v>
      </c>
      <c r="O133" s="8" t="s">
        <v>2095</v>
      </c>
      <c r="P133" s="8"/>
      <c r="Q133" s="8" t="str">
        <f>IF(B133="","",IF(B133="P","P&amp;10",B133&amp;"D "&amp;C133))</f>
        <v>1D 7-10</v>
      </c>
      <c r="R133" s="8" t="str">
        <f>IF(L133&lt;&gt;"Y","",IF(COUNTIF('DEF_CALL_DECISION_SUPPORT'!$B$1197:$B$1256,SUBSTITUTE(SUBSTITUTE(SUBSTITUTE(E133,"~","~~"),"*","~*"),"?","~?"))&gt;0,"KNOWN","REVIEW: new call; refresh sources"))</f>
        <v>KNOWN</v>
      </c>
    </row>
    <row r="134" spans="1:18" ht="25" customHeight="1">
      <c r="A134" s="12">
        <v>94</v>
      </c>
      <c r="B134" s="8" t="s">
        <v>2066</v>
      </c>
      <c r="C134" s="8" t="s">
        <v>716</v>
      </c>
      <c r="D134" s="8" t="s">
        <v>449</v>
      </c>
      <c r="E134" s="8" t="s">
        <v>47</v>
      </c>
      <c r="F134" s="8" t="s">
        <v>120</v>
      </c>
      <c r="G134" s="8" t="s">
        <v>203</v>
      </c>
      <c r="H134" s="8" t="s">
        <v>2094</v>
      </c>
      <c r="I134" s="11">
        <v>2</v>
      </c>
      <c r="J134" s="12">
        <v>1</v>
      </c>
      <c r="K134" s="12">
        <v>0</v>
      </c>
      <c r="L134" s="8" t="s">
        <v>2089</v>
      </c>
      <c r="M134" s="8" t="s">
        <v>1963</v>
      </c>
      <c r="N134" s="8" t="s">
        <v>1964</v>
      </c>
      <c r="O134" s="8" t="s">
        <v>2090</v>
      </c>
      <c r="P134" s="8"/>
      <c r="Q134" s="8" t="str">
        <f>IF(B134="","",IF(B134="P","P&amp;10",B134&amp;"D "&amp;C134))</f>
        <v>1D 7-10</v>
      </c>
      <c r="R134" s="8" t="str">
        <f>IF(L134&lt;&gt;"Y","",IF(COUNTIF('DEF_CALL_DECISION_SUPPORT'!$B$1197:$B$1256,SUBSTITUTE(SUBSTITUTE(SUBSTITUTE(E134,"~","~~"),"*","~*"),"?","~?"))&gt;0,"KNOWN","REVIEW: new call; refresh sources"))</f>
        <v>KNOWN</v>
      </c>
    </row>
    <row r="135" spans="1:18" ht="25" customHeight="1">
      <c r="A135" s="12">
        <v>95</v>
      </c>
      <c r="B135" s="8" t="s">
        <v>2066</v>
      </c>
      <c r="C135" s="8" t="s">
        <v>716</v>
      </c>
      <c r="D135" s="8" t="s">
        <v>465</v>
      </c>
      <c r="E135" s="8" t="s">
        <v>55</v>
      </c>
      <c r="F135" s="8" t="s">
        <v>120</v>
      </c>
      <c r="G135" s="8" t="s">
        <v>203</v>
      </c>
      <c r="H135" s="8" t="s">
        <v>1965</v>
      </c>
      <c r="I135" s="11">
        <v>9</v>
      </c>
      <c r="J135" s="12">
        <v>0</v>
      </c>
      <c r="K135" s="12">
        <v>0</v>
      </c>
      <c r="L135" s="8" t="s">
        <v>2089</v>
      </c>
      <c r="M135" s="8" t="s">
        <v>1965</v>
      </c>
      <c r="N135" s="8" t="s">
        <v>1964</v>
      </c>
      <c r="O135" s="8" t="s">
        <v>2090</v>
      </c>
      <c r="P135" s="8"/>
      <c r="Q135" s="8" t="str">
        <f>IF(B135="","",IF(B135="P","P&amp;10",B135&amp;"D "&amp;C135))</f>
        <v>1D 7-10</v>
      </c>
      <c r="R135" s="8" t="str">
        <f>IF(L135&lt;&gt;"Y","",IF(COUNTIF('DEF_CALL_DECISION_SUPPORT'!$B$1197:$B$1256,SUBSTITUTE(SUBSTITUTE(SUBSTITUTE(E135,"~","~~"),"*","~*"),"?","~?"))&gt;0,"KNOWN","REVIEW: new call; refresh sources"))</f>
        <v>KNOWN</v>
      </c>
    </row>
    <row r="136" spans="1:18" ht="25" customHeight="1">
      <c r="A136" s="12">
        <v>96</v>
      </c>
      <c r="B136" s="8" t="s">
        <v>2066</v>
      </c>
      <c r="C136" s="8" t="s">
        <v>716</v>
      </c>
      <c r="D136" s="8" t="s">
        <v>468</v>
      </c>
      <c r="E136" s="8" t="s">
        <v>64</v>
      </c>
      <c r="F136" s="8" t="s">
        <v>120</v>
      </c>
      <c r="G136" s="8" t="s">
        <v>206</v>
      </c>
      <c r="H136" s="8" t="s">
        <v>2094</v>
      </c>
      <c r="I136" s="11">
        <v>1</v>
      </c>
      <c r="J136" s="12">
        <v>1</v>
      </c>
      <c r="K136" s="12">
        <v>0</v>
      </c>
      <c r="L136" s="8" t="s">
        <v>2089</v>
      </c>
      <c r="M136" s="8" t="s">
        <v>1963</v>
      </c>
      <c r="N136" s="8" t="s">
        <v>1961</v>
      </c>
      <c r="O136" s="8" t="s">
        <v>2104</v>
      </c>
      <c r="P136" s="8"/>
      <c r="Q136" s="8" t="str">
        <f>IF(B136="","",IF(B136="P","P&amp;10",B136&amp;"D "&amp;C136))</f>
        <v>1D 7-10</v>
      </c>
      <c r="R136" s="8" t="str">
        <f>IF(L136&lt;&gt;"Y","",IF(COUNTIF('DEF_CALL_DECISION_SUPPORT'!$B$1197:$B$1256,SUBSTITUTE(SUBSTITUTE(SUBSTITUTE(E136,"~","~~"),"*","~*"),"?","~?"))&gt;0,"KNOWN","REVIEW: new call; refresh sources"))</f>
        <v>KNOWN</v>
      </c>
    </row>
    <row r="137" spans="1:18" ht="25" customHeight="1">
      <c r="A137" s="12">
        <v>97</v>
      </c>
      <c r="B137" s="8" t="s">
        <v>2066</v>
      </c>
      <c r="C137" s="8" t="s">
        <v>716</v>
      </c>
      <c r="D137" s="8" t="s">
        <v>468</v>
      </c>
      <c r="E137" s="8" t="s">
        <v>50</v>
      </c>
      <c r="F137" s="8" t="s">
        <v>123</v>
      </c>
      <c r="G137" s="8" t="s">
        <v>203</v>
      </c>
      <c r="H137" s="8" t="s">
        <v>2094</v>
      </c>
      <c r="I137" s="11">
        <v>3</v>
      </c>
      <c r="J137" s="12">
        <v>1</v>
      </c>
      <c r="K137" s="12">
        <v>0</v>
      </c>
      <c r="L137" s="8" t="s">
        <v>2089</v>
      </c>
      <c r="M137" s="8" t="s">
        <v>1963</v>
      </c>
      <c r="N137" s="8" t="s">
        <v>1964</v>
      </c>
      <c r="O137" s="8" t="s">
        <v>2102</v>
      </c>
      <c r="P137" s="8"/>
      <c r="Q137" s="8" t="str">
        <f>IF(B137="","",IF(B137="P","P&amp;10",B137&amp;"D "&amp;C137))</f>
        <v>1D 7-10</v>
      </c>
      <c r="R137" s="8" t="str">
        <f>IF(L137&lt;&gt;"Y","",IF(COUNTIF('DEF_CALL_DECISION_SUPPORT'!$B$1197:$B$1256,SUBSTITUTE(SUBSTITUTE(SUBSTITUTE(E137,"~","~~"),"*","~*"),"?","~?"))&gt;0,"KNOWN","REVIEW: new call; refresh sources"))</f>
        <v>KNOWN</v>
      </c>
    </row>
    <row r="138" spans="1:18" ht="25" customHeight="1">
      <c r="A138" s="12">
        <v>98</v>
      </c>
      <c r="B138" s="8" t="s">
        <v>2066</v>
      </c>
      <c r="C138" s="8" t="s">
        <v>716</v>
      </c>
      <c r="D138" s="8" t="s">
        <v>468</v>
      </c>
      <c r="E138" s="8" t="s">
        <v>57</v>
      </c>
      <c r="F138" s="8" t="s">
        <v>120</v>
      </c>
      <c r="G138" s="8" t="s">
        <v>206</v>
      </c>
      <c r="H138" s="8" t="s">
        <v>2094</v>
      </c>
      <c r="I138" s="11">
        <v>13</v>
      </c>
      <c r="J138" s="12">
        <v>0</v>
      </c>
      <c r="K138" s="12">
        <v>0</v>
      </c>
      <c r="L138" s="8" t="s">
        <v>2089</v>
      </c>
      <c r="M138" s="8" t="s">
        <v>1963</v>
      </c>
      <c r="N138" s="8" t="s">
        <v>1967</v>
      </c>
      <c r="O138" s="8" t="s">
        <v>2104</v>
      </c>
      <c r="P138" s="8"/>
      <c r="Q138" s="8" t="str">
        <f>IF(B138="","",IF(B138="P","P&amp;10",B138&amp;"D "&amp;C138))</f>
        <v>1D 7-10</v>
      </c>
      <c r="R138" s="8" t="str">
        <f>IF(L138&lt;&gt;"Y","",IF(COUNTIF('DEF_CALL_DECISION_SUPPORT'!$B$1197:$B$1256,SUBSTITUTE(SUBSTITUTE(SUBSTITUTE(E138,"~","~~"),"*","~*"),"?","~?"))&gt;0,"KNOWN","REVIEW: new call; refresh sources"))</f>
        <v>KNOWN</v>
      </c>
    </row>
    <row r="139" spans="1:18" ht="25" customHeight="1">
      <c r="A139" s="12">
        <v>99</v>
      </c>
      <c r="B139" s="8" t="s">
        <v>2067</v>
      </c>
      <c r="C139" s="8" t="s">
        <v>716</v>
      </c>
      <c r="D139" s="8" t="s">
        <v>449</v>
      </c>
      <c r="E139" s="8" t="s">
        <v>60</v>
      </c>
      <c r="F139" s="8" t="s">
        <v>120</v>
      </c>
      <c r="G139" s="8" t="s">
        <v>206</v>
      </c>
      <c r="H139" s="8" t="s">
        <v>2094</v>
      </c>
      <c r="I139" s="11">
        <v>10</v>
      </c>
      <c r="J139" s="12">
        <v>0</v>
      </c>
      <c r="K139" s="12">
        <v>0</v>
      </c>
      <c r="L139" s="8" t="s">
        <v>2089</v>
      </c>
      <c r="M139" s="8" t="s">
        <v>1966</v>
      </c>
      <c r="N139" s="8" t="s">
        <v>1961</v>
      </c>
      <c r="O139" s="8" t="s">
        <v>2104</v>
      </c>
      <c r="P139" s="8"/>
      <c r="Q139" s="8" t="str">
        <f>IF(B139="","",IF(B139="P","P&amp;10",B139&amp;"D "&amp;C139))</f>
        <v>2D 7-10</v>
      </c>
      <c r="R139" s="8" t="str">
        <f>IF(L139&lt;&gt;"Y","",IF(COUNTIF('DEF_CALL_DECISION_SUPPORT'!$B$1197:$B$1256,SUBSTITUTE(SUBSTITUTE(SUBSTITUTE(E139,"~","~~"),"*","~*"),"?","~?"))&gt;0,"KNOWN","REVIEW: new call; refresh sources"))</f>
        <v>KNOWN</v>
      </c>
    </row>
    <row r="140" spans="1:18" ht="25" customHeight="1">
      <c r="A140" s="12">
        <v>100</v>
      </c>
      <c r="B140" s="8" t="s">
        <v>2067</v>
      </c>
      <c r="C140" s="8" t="s">
        <v>706</v>
      </c>
      <c r="D140" s="8" t="s">
        <v>428</v>
      </c>
      <c r="E140" s="8" t="s">
        <v>60</v>
      </c>
      <c r="F140" s="8" t="s">
        <v>120</v>
      </c>
      <c r="G140" s="8" t="s">
        <v>206</v>
      </c>
      <c r="H140" s="8" t="s">
        <v>1965</v>
      </c>
      <c r="I140" s="11">
        <v>5</v>
      </c>
      <c r="J140" s="12">
        <v>0</v>
      </c>
      <c r="K140" s="12">
        <v>0</v>
      </c>
      <c r="L140" s="8" t="s">
        <v>2089</v>
      </c>
      <c r="M140" s="8" t="s">
        <v>1965</v>
      </c>
      <c r="N140" s="8" t="s">
        <v>1967</v>
      </c>
      <c r="O140" s="8" t="s">
        <v>2104</v>
      </c>
      <c r="P140" s="8"/>
      <c r="Q140" s="8" t="str">
        <f>IF(B140="","",IF(B140="P","P&amp;10",B140&amp;"D "&amp;C140))</f>
        <v>2D 1-3</v>
      </c>
      <c r="R140" s="8" t="str">
        <f>IF(L140&lt;&gt;"Y","",IF(COUNTIF('DEF_CALL_DECISION_SUPPORT'!$B$1197:$B$1256,SUBSTITUTE(SUBSTITUTE(SUBSTITUTE(E140,"~","~~"),"*","~*"),"?","~?"))&gt;0,"KNOWN","REVIEW: new call; refresh sources"))</f>
        <v>KNOWN</v>
      </c>
    </row>
    <row r="141" spans="1:18" ht="25" customHeight="1">
      <c r="A141" s="12">
        <v>101</v>
      </c>
      <c r="B141" s="8" t="s">
        <v>2067</v>
      </c>
      <c r="C141" s="8" t="s">
        <v>716</v>
      </c>
      <c r="D141" s="8" t="s">
        <v>468</v>
      </c>
      <c r="E141" s="8" t="s">
        <v>60</v>
      </c>
      <c r="F141" s="8" t="s">
        <v>120</v>
      </c>
      <c r="G141" s="8" t="s">
        <v>206</v>
      </c>
      <c r="H141" s="8" t="s">
        <v>2094</v>
      </c>
      <c r="I141" s="11">
        <v>0</v>
      </c>
      <c r="J141" s="12">
        <v>1</v>
      </c>
      <c r="K141" s="12">
        <v>0</v>
      </c>
      <c r="L141" s="8" t="s">
        <v>2089</v>
      </c>
      <c r="M141" s="8" t="s">
        <v>1974</v>
      </c>
      <c r="N141" s="8" t="s">
        <v>1967</v>
      </c>
      <c r="O141" s="8" t="s">
        <v>2104</v>
      </c>
      <c r="P141" s="8"/>
      <c r="Q141" s="8" t="str">
        <f>IF(B141="","",IF(B141="P","P&amp;10",B141&amp;"D "&amp;C141))</f>
        <v>2D 7-10</v>
      </c>
      <c r="R141" s="8" t="str">
        <f>IF(L141&lt;&gt;"Y","",IF(COUNTIF('DEF_CALL_DECISION_SUPPORT'!$B$1197:$B$1256,SUBSTITUTE(SUBSTITUTE(SUBSTITUTE(E141,"~","~~"),"*","~*"),"?","~?"))&gt;0,"KNOWN","REVIEW: new call; refresh sources"))</f>
        <v>KNOWN</v>
      </c>
    </row>
    <row r="142" spans="1:18" ht="25" customHeight="1">
      <c r="A142" s="12">
        <v>102</v>
      </c>
      <c r="B142" s="8" t="s">
        <v>2067</v>
      </c>
      <c r="C142" s="8" t="s">
        <v>716</v>
      </c>
      <c r="D142" s="8" t="s">
        <v>541</v>
      </c>
      <c r="E142" s="8" t="s">
        <v>60</v>
      </c>
      <c r="F142" s="8" t="s">
        <v>120</v>
      </c>
      <c r="G142" s="8" t="s">
        <v>203</v>
      </c>
      <c r="H142" s="8" t="s">
        <v>1965</v>
      </c>
      <c r="I142" s="11">
        <v>0</v>
      </c>
      <c r="J142" s="12">
        <v>1</v>
      </c>
      <c r="K142" s="12">
        <v>0</v>
      </c>
      <c r="L142" s="8" t="s">
        <v>2089</v>
      </c>
      <c r="M142" s="8" t="s">
        <v>1965</v>
      </c>
      <c r="N142" s="8" t="s">
        <v>1964</v>
      </c>
      <c r="O142" s="8" t="s">
        <v>2090</v>
      </c>
      <c r="P142" s="8"/>
      <c r="Q142" s="8" t="str">
        <f>IF(B142="","",IF(B142="P","P&amp;10",B142&amp;"D "&amp;C142))</f>
        <v>2D 7-10</v>
      </c>
      <c r="R142" s="8" t="str">
        <f>IF(L142&lt;&gt;"Y","",IF(COUNTIF('DEF_CALL_DECISION_SUPPORT'!$B$1197:$B$1256,SUBSTITUTE(SUBSTITUTE(SUBSTITUTE(E142,"~","~~"),"*","~*"),"?","~?"))&gt;0,"KNOWN","REVIEW: new call; refresh sources"))</f>
        <v>KNOWN</v>
      </c>
    </row>
    <row r="143" spans="1:18" ht="25" customHeight="1">
      <c r="A143" s="12">
        <v>103</v>
      </c>
      <c r="B143" s="8" t="s">
        <v>2067</v>
      </c>
      <c r="C143" s="8" t="s">
        <v>706</v>
      </c>
      <c r="D143" s="8" t="s">
        <v>471</v>
      </c>
      <c r="E143" s="8" t="s">
        <v>60</v>
      </c>
      <c r="F143" s="8" t="s">
        <v>120</v>
      </c>
      <c r="G143" s="8" t="s">
        <v>206</v>
      </c>
      <c r="H143" s="8" t="s">
        <v>2094</v>
      </c>
      <c r="I143" s="11">
        <v>7</v>
      </c>
      <c r="J143" s="12">
        <v>1</v>
      </c>
      <c r="K143" s="12">
        <v>0</v>
      </c>
      <c r="L143" s="8" t="s">
        <v>2089</v>
      </c>
      <c r="M143" s="8" t="s">
        <v>1963</v>
      </c>
      <c r="N143" s="8" t="s">
        <v>1961</v>
      </c>
      <c r="O143" s="8" t="s">
        <v>2104</v>
      </c>
      <c r="P143" s="8"/>
      <c r="Q143" s="8" t="str">
        <f>IF(B143="","",IF(B143="P","P&amp;10",B143&amp;"D "&amp;C143))</f>
        <v>2D 1-3</v>
      </c>
      <c r="R143" s="8" t="str">
        <f>IF(L143&lt;&gt;"Y","",IF(COUNTIF('DEF_CALL_DECISION_SUPPORT'!$B$1197:$B$1256,SUBSTITUTE(SUBSTITUTE(SUBSTITUTE(E143,"~","~~"),"*","~*"),"?","~?"))&gt;0,"KNOWN","REVIEW: new call; refresh sources"))</f>
        <v>KNOWN</v>
      </c>
    </row>
    <row r="144" spans="1:18" ht="25" customHeight="1">
      <c r="A144" s="12">
        <v>104</v>
      </c>
      <c r="B144" s="8" t="s">
        <v>2067</v>
      </c>
      <c r="C144" s="8" t="s">
        <v>711</v>
      </c>
      <c r="D144" s="8" t="s">
        <v>446</v>
      </c>
      <c r="E144" s="8" t="s">
        <v>60</v>
      </c>
      <c r="F144" s="8" t="s">
        <v>120</v>
      </c>
      <c r="G144" s="8" t="s">
        <v>222</v>
      </c>
      <c r="H144" s="8" t="s">
        <v>2094</v>
      </c>
      <c r="I144" s="11">
        <v>12</v>
      </c>
      <c r="J144" s="12">
        <v>0</v>
      </c>
      <c r="K144" s="12">
        <v>0</v>
      </c>
      <c r="L144" s="8" t="s">
        <v>2089</v>
      </c>
      <c r="M144" s="8" t="s">
        <v>1963</v>
      </c>
      <c r="N144" s="8" t="s">
        <v>1979</v>
      </c>
      <c r="O144" s="8" t="s">
        <v>2095</v>
      </c>
      <c r="P144" s="8"/>
      <c r="Q144" s="8" t="str">
        <f>IF(B144="","",IF(B144="P","P&amp;10",B144&amp;"D "&amp;C144))</f>
        <v>2D 4-6</v>
      </c>
      <c r="R144" s="8" t="str">
        <f>IF(L144&lt;&gt;"Y","",IF(COUNTIF('DEF_CALL_DECISION_SUPPORT'!$B$1197:$B$1256,SUBSTITUTE(SUBSTITUTE(SUBSTITUTE(E144,"~","~~"),"*","~*"),"?","~?"))&gt;0,"KNOWN","REVIEW: new call; refresh sources"))</f>
        <v>KNOWN</v>
      </c>
    </row>
    <row r="145" spans="1:18" ht="25" customHeight="1">
      <c r="A145" s="12">
        <v>105</v>
      </c>
      <c r="B145" s="8" t="s">
        <v>2067</v>
      </c>
      <c r="C145" s="8" t="s">
        <v>711</v>
      </c>
      <c r="D145" s="8" t="s">
        <v>465</v>
      </c>
      <c r="E145" s="8" t="s">
        <v>60</v>
      </c>
      <c r="F145" s="8" t="s">
        <v>132</v>
      </c>
      <c r="G145" s="8" t="s">
        <v>206</v>
      </c>
      <c r="H145" s="8" t="s">
        <v>1965</v>
      </c>
      <c r="I145" s="11">
        <v>16</v>
      </c>
      <c r="J145" s="12">
        <v>0</v>
      </c>
      <c r="K145" s="12">
        <v>1</v>
      </c>
      <c r="L145" s="8" t="s">
        <v>2089</v>
      </c>
      <c r="M145" s="8" t="s">
        <v>1965</v>
      </c>
      <c r="N145" s="8" t="s">
        <v>206</v>
      </c>
      <c r="O145" s="8" t="s">
        <v>2097</v>
      </c>
      <c r="P145" s="8"/>
      <c r="Q145" s="8" t="str">
        <f>IF(B145="","",IF(B145="P","P&amp;10",B145&amp;"D "&amp;C145))</f>
        <v>2D 4-6</v>
      </c>
      <c r="R145" s="8" t="str">
        <f>IF(L145&lt;&gt;"Y","",IF(COUNTIF('DEF_CALL_DECISION_SUPPORT'!$B$1197:$B$1256,SUBSTITUTE(SUBSTITUTE(SUBSTITUTE(E145,"~","~~"),"*","~*"),"?","~?"))&gt;0,"KNOWN","REVIEW: new call; refresh sources"))</f>
        <v>KNOWN</v>
      </c>
    </row>
    <row r="146" spans="1:18" ht="25" customHeight="1">
      <c r="A146" s="12">
        <v>106</v>
      </c>
      <c r="B146" s="8" t="s">
        <v>2067</v>
      </c>
      <c r="C146" s="8" t="s">
        <v>706</v>
      </c>
      <c r="D146" s="8" t="s">
        <v>468</v>
      </c>
      <c r="E146" s="8" t="s">
        <v>63</v>
      </c>
      <c r="F146" s="8" t="s">
        <v>120</v>
      </c>
      <c r="G146" s="8" t="s">
        <v>206</v>
      </c>
      <c r="H146" s="8" t="s">
        <v>2094</v>
      </c>
      <c r="I146" s="11">
        <v>28</v>
      </c>
      <c r="J146" s="12">
        <v>0</v>
      </c>
      <c r="K146" s="12">
        <v>1</v>
      </c>
      <c r="L146" s="8" t="s">
        <v>2089</v>
      </c>
      <c r="M146" s="8" t="s">
        <v>1963</v>
      </c>
      <c r="N146" s="8" t="s">
        <v>1961</v>
      </c>
      <c r="O146" s="8" t="s">
        <v>2104</v>
      </c>
      <c r="P146" s="8"/>
      <c r="Q146" s="8" t="str">
        <f>IF(B146="","",IF(B146="P","P&amp;10",B146&amp;"D "&amp;C146))</f>
        <v>2D 1-3</v>
      </c>
      <c r="R146" s="8" t="str">
        <f>IF(L146&lt;&gt;"Y","",IF(COUNTIF('DEF_CALL_DECISION_SUPPORT'!$B$1197:$B$1256,SUBSTITUTE(SUBSTITUTE(SUBSTITUTE(E146,"~","~~"),"*","~*"),"?","~?"))&gt;0,"KNOWN","REVIEW: new call; refresh sources"))</f>
        <v>KNOWN</v>
      </c>
    </row>
    <row r="147" spans="1:18" ht="25" customHeight="1">
      <c r="A147" s="12">
        <v>107</v>
      </c>
      <c r="B147" s="8" t="s">
        <v>2067</v>
      </c>
      <c r="C147" s="8" t="s">
        <v>716</v>
      </c>
      <c r="D147" s="8" t="s">
        <v>449</v>
      </c>
      <c r="E147" s="8" t="s">
        <v>63</v>
      </c>
      <c r="F147" s="8" t="s">
        <v>120</v>
      </c>
      <c r="G147" s="8" t="s">
        <v>206</v>
      </c>
      <c r="H147" s="8" t="s">
        <v>2094</v>
      </c>
      <c r="I147" s="11">
        <v>0</v>
      </c>
      <c r="J147" s="12">
        <v>1</v>
      </c>
      <c r="K147" s="12">
        <v>0</v>
      </c>
      <c r="L147" s="8" t="s">
        <v>2089</v>
      </c>
      <c r="M147" s="8" t="s">
        <v>1974</v>
      </c>
      <c r="N147" s="8" t="s">
        <v>1961</v>
      </c>
      <c r="O147" s="8" t="s">
        <v>2104</v>
      </c>
      <c r="P147" s="8"/>
      <c r="Q147" s="8" t="str">
        <f>IF(B147="","",IF(B147="P","P&amp;10",B147&amp;"D "&amp;C147))</f>
        <v>2D 7-10</v>
      </c>
      <c r="R147" s="8" t="str">
        <f>IF(L147&lt;&gt;"Y","",IF(COUNTIF('DEF_CALL_DECISION_SUPPORT'!$B$1197:$B$1256,SUBSTITUTE(SUBSTITUTE(SUBSTITUTE(E147,"~","~~"),"*","~*"),"?","~?"))&gt;0,"KNOWN","REVIEW: new call; refresh sources"))</f>
        <v>KNOWN</v>
      </c>
    </row>
    <row r="148" spans="1:18" ht="25" customHeight="1">
      <c r="A148" s="12">
        <v>108</v>
      </c>
      <c r="B148" s="8" t="s">
        <v>2067</v>
      </c>
      <c r="C148" s="8" t="s">
        <v>716</v>
      </c>
      <c r="D148" s="8" t="s">
        <v>449</v>
      </c>
      <c r="E148" s="8" t="s">
        <v>63</v>
      </c>
      <c r="F148" s="8" t="s">
        <v>120</v>
      </c>
      <c r="G148" s="8" t="s">
        <v>206</v>
      </c>
      <c r="H148" s="8" t="s">
        <v>2094</v>
      </c>
      <c r="I148" s="11">
        <v>10</v>
      </c>
      <c r="J148" s="12">
        <v>0</v>
      </c>
      <c r="K148" s="12">
        <v>0</v>
      </c>
      <c r="L148" s="8" t="s">
        <v>2089</v>
      </c>
      <c r="M148" s="8" t="s">
        <v>1963</v>
      </c>
      <c r="N148" s="8" t="s">
        <v>1961</v>
      </c>
      <c r="O148" s="8" t="s">
        <v>2104</v>
      </c>
      <c r="P148" s="8"/>
      <c r="Q148" s="8" t="str">
        <f>IF(B148="","",IF(B148="P","P&amp;10",B148&amp;"D "&amp;C148))</f>
        <v>2D 7-10</v>
      </c>
      <c r="R148" s="8" t="str">
        <f>IF(L148&lt;&gt;"Y","",IF(COUNTIF('DEF_CALL_DECISION_SUPPORT'!$B$1197:$B$1256,SUBSTITUTE(SUBSTITUTE(SUBSTITUTE(E148,"~","~~"),"*","~*"),"?","~?"))&gt;0,"KNOWN","REVIEW: new call; refresh sources"))</f>
        <v>KNOWN</v>
      </c>
    </row>
    <row r="149" spans="1:18" ht="25" customHeight="1">
      <c r="A149" s="12">
        <v>109</v>
      </c>
      <c r="B149" s="8" t="s">
        <v>2067</v>
      </c>
      <c r="C149" s="8" t="s">
        <v>716</v>
      </c>
      <c r="D149" s="8" t="s">
        <v>449</v>
      </c>
      <c r="E149" s="8" t="s">
        <v>63</v>
      </c>
      <c r="F149" s="8" t="s">
        <v>120</v>
      </c>
      <c r="G149" s="8" t="s">
        <v>203</v>
      </c>
      <c r="H149" s="8" t="s">
        <v>2094</v>
      </c>
      <c r="I149" s="11">
        <v>0</v>
      </c>
      <c r="J149" s="12">
        <v>1</v>
      </c>
      <c r="K149" s="12">
        <v>0</v>
      </c>
      <c r="L149" s="8" t="s">
        <v>2089</v>
      </c>
      <c r="M149" s="8" t="s">
        <v>1974</v>
      </c>
      <c r="N149" s="8" t="s">
        <v>1964</v>
      </c>
      <c r="O149" s="8" t="s">
        <v>2090</v>
      </c>
      <c r="P149" s="8"/>
      <c r="Q149" s="8" t="str">
        <f>IF(B149="","",IF(B149="P","P&amp;10",B149&amp;"D "&amp;C149))</f>
        <v>2D 7-10</v>
      </c>
      <c r="R149" s="8" t="str">
        <f>IF(L149&lt;&gt;"Y","",IF(COUNTIF('DEF_CALL_DECISION_SUPPORT'!$B$1197:$B$1256,SUBSTITUTE(SUBSTITUTE(SUBSTITUTE(E149,"~","~~"),"*","~*"),"?","~?"))&gt;0,"KNOWN","REVIEW: new call; refresh sources"))</f>
        <v>KNOWN</v>
      </c>
    </row>
    <row r="150" spans="1:18" ht="25" customHeight="1">
      <c r="A150" s="12">
        <v>110</v>
      </c>
      <c r="B150" s="8" t="s">
        <v>2067</v>
      </c>
      <c r="C150" s="8" t="s">
        <v>706</v>
      </c>
      <c r="D150" s="8" t="s">
        <v>446</v>
      </c>
      <c r="E150" s="8" t="s">
        <v>63</v>
      </c>
      <c r="F150" s="8" t="s">
        <v>120</v>
      </c>
      <c r="G150" s="8" t="s">
        <v>206</v>
      </c>
      <c r="H150" s="8" t="s">
        <v>2094</v>
      </c>
      <c r="I150" s="11">
        <v>9</v>
      </c>
      <c r="J150" s="12">
        <v>0</v>
      </c>
      <c r="K150" s="12">
        <v>0</v>
      </c>
      <c r="L150" s="8" t="s">
        <v>2089</v>
      </c>
      <c r="M150" s="8" t="s">
        <v>1963</v>
      </c>
      <c r="N150" s="8" t="s">
        <v>1967</v>
      </c>
      <c r="O150" s="8" t="s">
        <v>2104</v>
      </c>
      <c r="P150" s="8"/>
      <c r="Q150" s="8" t="str">
        <f>IF(B150="","",IF(B150="P","P&amp;10",B150&amp;"D "&amp;C150))</f>
        <v>2D 1-3</v>
      </c>
      <c r="R150" s="8" t="str">
        <f>IF(L150&lt;&gt;"Y","",IF(COUNTIF('DEF_CALL_DECISION_SUPPORT'!$B$1197:$B$1256,SUBSTITUTE(SUBSTITUTE(SUBSTITUTE(E150,"~","~~"),"*","~*"),"?","~?"))&gt;0,"KNOWN","REVIEW: new call; refresh sources"))</f>
        <v>KNOWN</v>
      </c>
    </row>
    <row r="151" spans="1:18" ht="25" customHeight="1">
      <c r="A151" s="12">
        <v>111</v>
      </c>
      <c r="B151" s="8" t="s">
        <v>2067</v>
      </c>
      <c r="C151" s="8" t="s">
        <v>720</v>
      </c>
      <c r="D151" s="8" t="s">
        <v>449</v>
      </c>
      <c r="E151" s="8" t="s">
        <v>63</v>
      </c>
      <c r="F151" s="8" t="s">
        <v>120</v>
      </c>
      <c r="G151" s="8" t="s">
        <v>203</v>
      </c>
      <c r="H151" s="8" t="s">
        <v>2094</v>
      </c>
      <c r="I151" s="11">
        <v>13</v>
      </c>
      <c r="J151" s="12">
        <v>0</v>
      </c>
      <c r="K151" s="12">
        <v>0</v>
      </c>
      <c r="L151" s="8" t="s">
        <v>2089</v>
      </c>
      <c r="M151" s="8" t="s">
        <v>1963</v>
      </c>
      <c r="N151" s="8" t="s">
        <v>1964</v>
      </c>
      <c r="O151" s="8" t="s">
        <v>2090</v>
      </c>
      <c r="P151" s="8"/>
      <c r="Q151" s="8" t="str">
        <f>IF(B151="","",IF(B151="P","P&amp;10",B151&amp;"D "&amp;C151))</f>
        <v>2D 11+</v>
      </c>
      <c r="R151" s="8" t="str">
        <f>IF(L151&lt;&gt;"Y","",IF(COUNTIF('DEF_CALL_DECISION_SUPPORT'!$B$1197:$B$1256,SUBSTITUTE(SUBSTITUTE(SUBSTITUTE(E151,"~","~~"),"*","~*"),"?","~?"))&gt;0,"KNOWN","REVIEW: new call; refresh sources"))</f>
        <v>KNOWN</v>
      </c>
    </row>
    <row r="152" spans="1:18" ht="25" customHeight="1">
      <c r="A152" s="12">
        <v>112</v>
      </c>
      <c r="B152" s="8" t="s">
        <v>2067</v>
      </c>
      <c r="C152" s="8" t="s">
        <v>716</v>
      </c>
      <c r="D152" s="8" t="s">
        <v>449</v>
      </c>
      <c r="E152" s="8" t="s">
        <v>48</v>
      </c>
      <c r="F152" s="8" t="s">
        <v>120</v>
      </c>
      <c r="G152" s="8" t="s">
        <v>206</v>
      </c>
      <c r="H152" s="8" t="s">
        <v>2094</v>
      </c>
      <c r="I152" s="11">
        <v>0</v>
      </c>
      <c r="J152" s="12">
        <v>1</v>
      </c>
      <c r="K152" s="12">
        <v>0</v>
      </c>
      <c r="L152" s="8" t="s">
        <v>2089</v>
      </c>
      <c r="M152" s="8" t="s">
        <v>1974</v>
      </c>
      <c r="N152" s="8" t="s">
        <v>1967</v>
      </c>
      <c r="O152" s="8" t="s">
        <v>2104</v>
      </c>
      <c r="P152" s="8"/>
      <c r="Q152" s="8" t="str">
        <f>IF(B152="","",IF(B152="P","P&amp;10",B152&amp;"D "&amp;C152))</f>
        <v>2D 7-10</v>
      </c>
      <c r="R152" s="8" t="str">
        <f>IF(L152&lt;&gt;"Y","",IF(COUNTIF('DEF_CALL_DECISION_SUPPORT'!$B$1197:$B$1256,SUBSTITUTE(SUBSTITUTE(SUBSTITUTE(E152,"~","~~"),"*","~*"),"?","~?"))&gt;0,"KNOWN","REVIEW: new call; refresh sources"))</f>
        <v>KNOWN</v>
      </c>
    </row>
    <row r="153" spans="1:18" ht="25" customHeight="1">
      <c r="A153" s="12">
        <v>113</v>
      </c>
      <c r="B153" s="8" t="s">
        <v>2067</v>
      </c>
      <c r="C153" s="8" t="s">
        <v>711</v>
      </c>
      <c r="D153" s="8" t="s">
        <v>468</v>
      </c>
      <c r="E153" s="8" t="s">
        <v>48</v>
      </c>
      <c r="F153" s="8" t="s">
        <v>120</v>
      </c>
      <c r="G153" s="8" t="s">
        <v>206</v>
      </c>
      <c r="H153" s="8" t="s">
        <v>2094</v>
      </c>
      <c r="I153" s="11">
        <v>-8</v>
      </c>
      <c r="J153" s="12">
        <v>1</v>
      </c>
      <c r="K153" s="12">
        <v>0</v>
      </c>
      <c r="L153" s="8" t="s">
        <v>2089</v>
      </c>
      <c r="M153" s="8" t="s">
        <v>1977</v>
      </c>
      <c r="N153" s="8" t="s">
        <v>1961</v>
      </c>
      <c r="O153" s="8" t="s">
        <v>2104</v>
      </c>
      <c r="P153" s="8"/>
      <c r="Q153" s="8" t="str">
        <f>IF(B153="","",IF(B153="P","P&amp;10",B153&amp;"D "&amp;C153))</f>
        <v>2D 4-6</v>
      </c>
      <c r="R153" s="8" t="str">
        <f>IF(L153&lt;&gt;"Y","",IF(COUNTIF('DEF_CALL_DECISION_SUPPORT'!$B$1197:$B$1256,SUBSTITUTE(SUBSTITUTE(SUBSTITUTE(E153,"~","~~"),"*","~*"),"?","~?"))&gt;0,"KNOWN","REVIEW: new call; refresh sources"))</f>
        <v>KNOWN</v>
      </c>
    </row>
    <row r="154" spans="1:18" ht="25" customHeight="1">
      <c r="A154" s="12">
        <v>114</v>
      </c>
      <c r="B154" s="8" t="s">
        <v>2067</v>
      </c>
      <c r="C154" s="8" t="s">
        <v>716</v>
      </c>
      <c r="D154" s="8" t="s">
        <v>465</v>
      </c>
      <c r="E154" s="8" t="s">
        <v>48</v>
      </c>
      <c r="F154" s="8" t="s">
        <v>120</v>
      </c>
      <c r="G154" s="8" t="s">
        <v>203</v>
      </c>
      <c r="H154" s="8" t="s">
        <v>1965</v>
      </c>
      <c r="I154" s="11">
        <v>11</v>
      </c>
      <c r="J154" s="12">
        <v>0</v>
      </c>
      <c r="K154" s="12">
        <v>0</v>
      </c>
      <c r="L154" s="8" t="s">
        <v>2089</v>
      </c>
      <c r="M154" s="8" t="s">
        <v>1965</v>
      </c>
      <c r="N154" s="8" t="s">
        <v>1964</v>
      </c>
      <c r="O154" s="8" t="s">
        <v>2090</v>
      </c>
      <c r="P154" s="8"/>
      <c r="Q154" s="8" t="str">
        <f>IF(B154="","",IF(B154="P","P&amp;10",B154&amp;"D "&amp;C154))</f>
        <v>2D 7-10</v>
      </c>
      <c r="R154" s="8" t="str">
        <f>IF(L154&lt;&gt;"Y","",IF(COUNTIF('DEF_CALL_DECISION_SUPPORT'!$B$1197:$B$1256,SUBSTITUTE(SUBSTITUTE(SUBSTITUTE(E154,"~","~~"),"*","~*"),"?","~?"))&gt;0,"KNOWN","REVIEW: new call; refresh sources"))</f>
        <v>KNOWN</v>
      </c>
    </row>
    <row r="155" spans="1:18" ht="25" customHeight="1">
      <c r="A155" s="12">
        <v>115</v>
      </c>
      <c r="B155" s="8" t="s">
        <v>2067</v>
      </c>
      <c r="C155" s="8" t="s">
        <v>716</v>
      </c>
      <c r="D155" s="8" t="s">
        <v>471</v>
      </c>
      <c r="E155" s="8" t="s">
        <v>48</v>
      </c>
      <c r="F155" s="8" t="s">
        <v>120</v>
      </c>
      <c r="G155" s="8" t="s">
        <v>206</v>
      </c>
      <c r="H155" s="8" t="s">
        <v>2094</v>
      </c>
      <c r="I155" s="11">
        <v>10</v>
      </c>
      <c r="J155" s="12">
        <v>0</v>
      </c>
      <c r="K155" s="12">
        <v>0</v>
      </c>
      <c r="L155" s="8" t="s">
        <v>2089</v>
      </c>
      <c r="M155" s="8" t="s">
        <v>1963</v>
      </c>
      <c r="N155" s="8" t="s">
        <v>1967</v>
      </c>
      <c r="O155" s="8" t="s">
        <v>2104</v>
      </c>
      <c r="P155" s="8"/>
      <c r="Q155" s="8" t="str">
        <f>IF(B155="","",IF(B155="P","P&amp;10",B155&amp;"D "&amp;C155))</f>
        <v>2D 7-10</v>
      </c>
      <c r="R155" s="8" t="str">
        <f>IF(L155&lt;&gt;"Y","",IF(COUNTIF('DEF_CALL_DECISION_SUPPORT'!$B$1197:$B$1256,SUBSTITUTE(SUBSTITUTE(SUBSTITUTE(E155,"~","~~"),"*","~*"),"?","~?"))&gt;0,"KNOWN","REVIEW: new call; refresh sources"))</f>
        <v>KNOWN</v>
      </c>
    </row>
    <row r="156" spans="1:18" ht="25" customHeight="1">
      <c r="A156" s="12">
        <v>116</v>
      </c>
      <c r="B156" s="8" t="s">
        <v>2067</v>
      </c>
      <c r="C156" s="8" t="s">
        <v>716</v>
      </c>
      <c r="D156" s="8" t="s">
        <v>465</v>
      </c>
      <c r="E156" s="8" t="s">
        <v>68</v>
      </c>
      <c r="F156" s="8" t="s">
        <v>120</v>
      </c>
      <c r="G156" s="8" t="s">
        <v>206</v>
      </c>
      <c r="H156" s="8" t="s">
        <v>1965</v>
      </c>
      <c r="I156" s="11">
        <v>4</v>
      </c>
      <c r="J156" s="12">
        <v>0</v>
      </c>
      <c r="K156" s="12">
        <v>0</v>
      </c>
      <c r="L156" s="8" t="s">
        <v>2089</v>
      </c>
      <c r="M156" s="8" t="s">
        <v>1965</v>
      </c>
      <c r="N156" s="8" t="s">
        <v>1961</v>
      </c>
      <c r="O156" s="8" t="s">
        <v>2104</v>
      </c>
      <c r="P156" s="8"/>
      <c r="Q156" s="8" t="str">
        <f>IF(B156="","",IF(B156="P","P&amp;10",B156&amp;"D "&amp;C156))</f>
        <v>2D 7-10</v>
      </c>
      <c r="R156" s="8" t="str">
        <f>IF(L156&lt;&gt;"Y","",IF(COUNTIF('DEF_CALL_DECISION_SUPPORT'!$B$1197:$B$1256,SUBSTITUTE(SUBSTITUTE(SUBSTITUTE(E156,"~","~~"),"*","~*"),"?","~?"))&gt;0,"KNOWN","REVIEW: new call; refresh sources"))</f>
        <v>KNOWN</v>
      </c>
    </row>
    <row r="157" spans="1:18" ht="25" customHeight="1">
      <c r="A157" s="12">
        <v>117</v>
      </c>
      <c r="B157" s="8" t="s">
        <v>2067</v>
      </c>
      <c r="C157" s="8" t="s">
        <v>716</v>
      </c>
      <c r="D157" s="8" t="s">
        <v>449</v>
      </c>
      <c r="E157" s="8" t="s">
        <v>68</v>
      </c>
      <c r="F157" s="8" t="s">
        <v>120</v>
      </c>
      <c r="G157" s="8" t="s">
        <v>206</v>
      </c>
      <c r="H157" s="8" t="s">
        <v>2094</v>
      </c>
      <c r="I157" s="11">
        <v>6</v>
      </c>
      <c r="J157" s="12">
        <v>1</v>
      </c>
      <c r="K157" s="12">
        <v>0</v>
      </c>
      <c r="L157" s="8" t="s">
        <v>2089</v>
      </c>
      <c r="M157" s="8" t="s">
        <v>1966</v>
      </c>
      <c r="N157" s="8" t="s">
        <v>1967</v>
      </c>
      <c r="O157" s="8" t="s">
        <v>2104</v>
      </c>
      <c r="P157" s="8"/>
      <c r="Q157" s="8" t="str">
        <f>IF(B157="","",IF(B157="P","P&amp;10",B157&amp;"D "&amp;C157))</f>
        <v>2D 7-10</v>
      </c>
      <c r="R157" s="8" t="str">
        <f>IF(L157&lt;&gt;"Y","",IF(COUNTIF('DEF_CALL_DECISION_SUPPORT'!$B$1197:$B$1256,SUBSTITUTE(SUBSTITUTE(SUBSTITUTE(E157,"~","~~"),"*","~*"),"?","~?"))&gt;0,"KNOWN","REVIEW: new call; refresh sources"))</f>
        <v>KNOWN</v>
      </c>
    </row>
    <row r="158" spans="1:18" ht="25" customHeight="1">
      <c r="A158" s="12">
        <v>118</v>
      </c>
      <c r="B158" s="8" t="s">
        <v>2067</v>
      </c>
      <c r="C158" s="8" t="s">
        <v>711</v>
      </c>
      <c r="D158" s="8" t="s">
        <v>471</v>
      </c>
      <c r="E158" s="8" t="s">
        <v>68</v>
      </c>
      <c r="F158" s="8" t="s">
        <v>120</v>
      </c>
      <c r="G158" s="8" t="s">
        <v>206</v>
      </c>
      <c r="H158" s="8" t="s">
        <v>2094</v>
      </c>
      <c r="I158" s="11">
        <v>0</v>
      </c>
      <c r="J158" s="12">
        <v>1</v>
      </c>
      <c r="K158" s="12">
        <v>0</v>
      </c>
      <c r="L158" s="8" t="s">
        <v>2089</v>
      </c>
      <c r="M158" s="8" t="s">
        <v>1974</v>
      </c>
      <c r="N158" s="8" t="s">
        <v>1961</v>
      </c>
      <c r="O158" s="8" t="s">
        <v>2104</v>
      </c>
      <c r="P158" s="8"/>
      <c r="Q158" s="8" t="str">
        <f>IF(B158="","",IF(B158="P","P&amp;10",B158&amp;"D "&amp;C158))</f>
        <v>2D 4-6</v>
      </c>
      <c r="R158" s="8" t="str">
        <f>IF(L158&lt;&gt;"Y","",IF(COUNTIF('DEF_CALL_DECISION_SUPPORT'!$B$1197:$B$1256,SUBSTITUTE(SUBSTITUTE(SUBSTITUTE(E158,"~","~~"),"*","~*"),"?","~?"))&gt;0,"KNOWN","REVIEW: new call; refresh sources"))</f>
        <v>KNOWN</v>
      </c>
    </row>
    <row r="159" spans="1:18" ht="25" customHeight="1">
      <c r="A159" s="12">
        <v>119</v>
      </c>
      <c r="B159" s="8" t="s">
        <v>2067</v>
      </c>
      <c r="C159" s="8" t="s">
        <v>706</v>
      </c>
      <c r="D159" s="8" t="s">
        <v>432</v>
      </c>
      <c r="E159" s="8" t="s">
        <v>68</v>
      </c>
      <c r="F159" s="8" t="s">
        <v>120</v>
      </c>
      <c r="G159" s="8" t="s">
        <v>206</v>
      </c>
      <c r="H159" s="8" t="s">
        <v>1965</v>
      </c>
      <c r="I159" s="11">
        <v>5</v>
      </c>
      <c r="J159" s="12">
        <v>0</v>
      </c>
      <c r="K159" s="12">
        <v>0</v>
      </c>
      <c r="L159" s="8" t="s">
        <v>2089</v>
      </c>
      <c r="M159" s="8" t="s">
        <v>1965</v>
      </c>
      <c r="N159" s="8" t="s">
        <v>1961</v>
      </c>
      <c r="O159" s="8" t="s">
        <v>2104</v>
      </c>
      <c r="P159" s="8"/>
      <c r="Q159" s="8" t="str">
        <f>IF(B159="","",IF(B159="P","P&amp;10",B159&amp;"D "&amp;C159))</f>
        <v>2D 1-3</v>
      </c>
      <c r="R159" s="8" t="str">
        <f>IF(L159&lt;&gt;"Y","",IF(COUNTIF('DEF_CALL_DECISION_SUPPORT'!$B$1197:$B$1256,SUBSTITUTE(SUBSTITUTE(SUBSTITUTE(E159,"~","~~"),"*","~*"),"?","~?"))&gt;0,"KNOWN","REVIEW: new call; refresh sources"))</f>
        <v>KNOWN</v>
      </c>
    </row>
    <row r="160" spans="1:18" ht="25" customHeight="1">
      <c r="A160" s="12">
        <v>120</v>
      </c>
      <c r="B160" s="8" t="s">
        <v>2067</v>
      </c>
      <c r="C160" s="8" t="s">
        <v>711</v>
      </c>
      <c r="D160" s="8" t="s">
        <v>468</v>
      </c>
      <c r="E160" s="8" t="s">
        <v>44</v>
      </c>
      <c r="F160" s="8" t="s">
        <v>120</v>
      </c>
      <c r="G160" s="8" t="s">
        <v>206</v>
      </c>
      <c r="H160" s="8" t="s">
        <v>2094</v>
      </c>
      <c r="I160" s="11">
        <v>9</v>
      </c>
      <c r="J160" s="12">
        <v>0</v>
      </c>
      <c r="K160" s="12">
        <v>0</v>
      </c>
      <c r="L160" s="8" t="s">
        <v>2089</v>
      </c>
      <c r="M160" s="8" t="s">
        <v>1963</v>
      </c>
      <c r="N160" s="8" t="s">
        <v>1967</v>
      </c>
      <c r="O160" s="8" t="s">
        <v>2104</v>
      </c>
      <c r="P160" s="8"/>
      <c r="Q160" s="8" t="str">
        <f>IF(B160="","",IF(B160="P","P&amp;10",B160&amp;"D "&amp;C160))</f>
        <v>2D 4-6</v>
      </c>
      <c r="R160" s="8" t="str">
        <f>IF(L160&lt;&gt;"Y","",IF(COUNTIF('DEF_CALL_DECISION_SUPPORT'!$B$1197:$B$1256,SUBSTITUTE(SUBSTITUTE(SUBSTITUTE(E160,"~","~~"),"*","~*"),"?","~?"))&gt;0,"KNOWN","REVIEW: new call; refresh sources"))</f>
        <v>KNOWN</v>
      </c>
    </row>
    <row r="161" spans="1:18" ht="25" customHeight="1">
      <c r="A161" s="12">
        <v>121</v>
      </c>
      <c r="B161" s="8" t="s">
        <v>2067</v>
      </c>
      <c r="C161" s="8" t="s">
        <v>711</v>
      </c>
      <c r="D161" s="8" t="s">
        <v>471</v>
      </c>
      <c r="E161" s="8" t="s">
        <v>44</v>
      </c>
      <c r="F161" s="8" t="s">
        <v>120</v>
      </c>
      <c r="G161" s="8" t="s">
        <v>206</v>
      </c>
      <c r="H161" s="8" t="s">
        <v>2094</v>
      </c>
      <c r="I161" s="11">
        <v>0</v>
      </c>
      <c r="J161" s="12">
        <v>1</v>
      </c>
      <c r="K161" s="12">
        <v>0</v>
      </c>
      <c r="L161" s="8" t="s">
        <v>2089</v>
      </c>
      <c r="M161" s="8" t="s">
        <v>1974</v>
      </c>
      <c r="N161" s="8" t="s">
        <v>1967</v>
      </c>
      <c r="O161" s="8" t="s">
        <v>2104</v>
      </c>
      <c r="P161" s="8"/>
      <c r="Q161" s="8" t="str">
        <f>IF(B161="","",IF(B161="P","P&amp;10",B161&amp;"D "&amp;C161))</f>
        <v>2D 4-6</v>
      </c>
      <c r="R161" s="8" t="str">
        <f>IF(L161&lt;&gt;"Y","",IF(COUNTIF('DEF_CALL_DECISION_SUPPORT'!$B$1197:$B$1256,SUBSTITUTE(SUBSTITUTE(SUBSTITUTE(E161,"~","~~"),"*","~*"),"?","~?"))&gt;0,"KNOWN","REVIEW: new call; refresh sources"))</f>
        <v>KNOWN</v>
      </c>
    </row>
    <row r="162" spans="1:18" ht="25" customHeight="1">
      <c r="A162" s="12">
        <v>122</v>
      </c>
      <c r="B162" s="8" t="s">
        <v>2067</v>
      </c>
      <c r="C162" s="8" t="s">
        <v>720</v>
      </c>
      <c r="D162" s="8"/>
      <c r="E162" s="8" t="s">
        <v>44</v>
      </c>
      <c r="F162" s="8" t="s">
        <v>132</v>
      </c>
      <c r="G162" s="8"/>
      <c r="H162" s="8" t="s">
        <v>2110</v>
      </c>
      <c r="I162" s="11">
        <v>-4</v>
      </c>
      <c r="J162" s="12"/>
      <c r="K162" s="12"/>
      <c r="L162" s="8" t="s">
        <v>2109</v>
      </c>
      <c r="M162" s="8" t="s">
        <v>2112</v>
      </c>
      <c r="N162" s="8"/>
      <c r="O162" s="8"/>
      <c r="P162" s="8" t="s">
        <v>2388</v>
      </c>
      <c r="Q162" s="8" t="str">
        <f>IF(B162="","",IF(B162="P","P&amp;10",B162&amp;"D "&amp;C162))</f>
        <v>2D 11+</v>
      </c>
      <c r="R162" s="8">
        <f>IF(L162&lt;&gt;"Y","",IF(COUNTIF('DEF_CALL_DECISION_SUPPORT'!$B$1197:$B$1256,SUBSTITUTE(SUBSTITUTE(SUBSTITUTE(E162,"~","~~"),"*","~*"),"?","~?"))&gt;0,"KNOWN","REVIEW: new call; refresh sources"))</f>
        <v/>
      </c>
    </row>
    <row r="163" spans="1:18" ht="25" customHeight="1">
      <c r="A163" s="12">
        <v>123</v>
      </c>
      <c r="B163" s="8" t="s">
        <v>2067</v>
      </c>
      <c r="C163" s="8" t="s">
        <v>716</v>
      </c>
      <c r="D163" s="8" t="s">
        <v>446</v>
      </c>
      <c r="E163" s="8" t="s">
        <v>34</v>
      </c>
      <c r="F163" s="8" t="s">
        <v>120</v>
      </c>
      <c r="G163" s="8" t="s">
        <v>206</v>
      </c>
      <c r="H163" s="8" t="s">
        <v>2094</v>
      </c>
      <c r="I163" s="11">
        <v>0</v>
      </c>
      <c r="J163" s="12">
        <v>1</v>
      </c>
      <c r="K163" s="12">
        <v>0</v>
      </c>
      <c r="L163" s="8" t="s">
        <v>2089</v>
      </c>
      <c r="M163" s="8" t="s">
        <v>2114</v>
      </c>
      <c r="N163" s="8" t="s">
        <v>1967</v>
      </c>
      <c r="O163" s="8" t="s">
        <v>2104</v>
      </c>
      <c r="P163" s="8"/>
      <c r="Q163" s="8" t="str">
        <f>IF(B163="","",IF(B163="P","P&amp;10",B163&amp;"D "&amp;C163))</f>
        <v>2D 7-10</v>
      </c>
      <c r="R163" s="8" t="str">
        <f>IF(L163&lt;&gt;"Y","",IF(COUNTIF('DEF_CALL_DECISION_SUPPORT'!$B$1197:$B$1256,SUBSTITUTE(SUBSTITUTE(SUBSTITUTE(E163,"~","~~"),"*","~*"),"?","~?"))&gt;0,"KNOWN","REVIEW: new call; refresh sources"))</f>
        <v>KNOWN</v>
      </c>
    </row>
    <row r="164" spans="1:18" ht="25" customHeight="1">
      <c r="A164" s="12">
        <v>124</v>
      </c>
      <c r="B164" s="8" t="s">
        <v>2067</v>
      </c>
      <c r="C164" s="8" t="s">
        <v>711</v>
      </c>
      <c r="D164" s="8" t="s">
        <v>449</v>
      </c>
      <c r="E164" s="8" t="s">
        <v>34</v>
      </c>
      <c r="F164" s="8" t="s">
        <v>120</v>
      </c>
      <c r="G164" s="8" t="s">
        <v>206</v>
      </c>
      <c r="H164" s="8" t="s">
        <v>2094</v>
      </c>
      <c r="I164" s="11">
        <v>10</v>
      </c>
      <c r="J164" s="12">
        <v>0</v>
      </c>
      <c r="K164" s="12">
        <v>0</v>
      </c>
      <c r="L164" s="8" t="s">
        <v>2089</v>
      </c>
      <c r="M164" s="8" t="s">
        <v>1963</v>
      </c>
      <c r="N164" s="8" t="s">
        <v>1967</v>
      </c>
      <c r="O164" s="8" t="s">
        <v>2104</v>
      </c>
      <c r="P164" s="8"/>
      <c r="Q164" s="8" t="str">
        <f>IF(B164="","",IF(B164="P","P&amp;10",B164&amp;"D "&amp;C164))</f>
        <v>2D 4-6</v>
      </c>
      <c r="R164" s="8" t="str">
        <f>IF(L164&lt;&gt;"Y","",IF(COUNTIF('DEF_CALL_DECISION_SUPPORT'!$B$1197:$B$1256,SUBSTITUTE(SUBSTITUTE(SUBSTITUTE(E164,"~","~~"),"*","~*"),"?","~?"))&gt;0,"KNOWN","REVIEW: new call; refresh sources"))</f>
        <v>KNOWN</v>
      </c>
    </row>
    <row r="165" spans="1:18" ht="25" customHeight="1">
      <c r="A165" s="12">
        <v>125</v>
      </c>
      <c r="B165" s="8" t="s">
        <v>2067</v>
      </c>
      <c r="C165" s="8" t="s">
        <v>716</v>
      </c>
      <c r="D165" s="8" t="s">
        <v>465</v>
      </c>
      <c r="E165" s="8" t="s">
        <v>34</v>
      </c>
      <c r="F165" s="8" t="s">
        <v>132</v>
      </c>
      <c r="G165" s="8" t="s">
        <v>203</v>
      </c>
      <c r="H165" s="8" t="s">
        <v>1965</v>
      </c>
      <c r="I165" s="11">
        <v>12</v>
      </c>
      <c r="J165" s="12">
        <v>0</v>
      </c>
      <c r="K165" s="12">
        <v>1</v>
      </c>
      <c r="L165" s="8" t="s">
        <v>2089</v>
      </c>
      <c r="M165" s="8" t="s">
        <v>1965</v>
      </c>
      <c r="N165" s="8" t="s">
        <v>1964</v>
      </c>
      <c r="O165" s="8" t="s">
        <v>2095</v>
      </c>
      <c r="P165" s="8"/>
      <c r="Q165" s="8" t="str">
        <f>IF(B165="","",IF(B165="P","P&amp;10",B165&amp;"D "&amp;C165))</f>
        <v>2D 7-10</v>
      </c>
      <c r="R165" s="8" t="str">
        <f>IF(L165&lt;&gt;"Y","",IF(COUNTIF('DEF_CALL_DECISION_SUPPORT'!$B$1197:$B$1256,SUBSTITUTE(SUBSTITUTE(SUBSTITUTE(E165,"~","~~"),"*","~*"),"?","~?"))&gt;0,"KNOWN","REVIEW: new call; refresh sources"))</f>
        <v>KNOWN</v>
      </c>
    </row>
    <row r="166" spans="1:18" ht="25" customHeight="1">
      <c r="A166" s="12">
        <v>126</v>
      </c>
      <c r="B166" s="8" t="s">
        <v>2067</v>
      </c>
      <c r="C166" s="8" t="s">
        <v>711</v>
      </c>
      <c r="D166" s="8" t="s">
        <v>449</v>
      </c>
      <c r="E166" s="8" t="s">
        <v>79</v>
      </c>
      <c r="F166" s="8" t="s">
        <v>120</v>
      </c>
      <c r="G166" s="8" t="s">
        <v>206</v>
      </c>
      <c r="H166" s="8" t="s">
        <v>2094</v>
      </c>
      <c r="I166" s="11">
        <v>-1</v>
      </c>
      <c r="J166" s="12">
        <v>1</v>
      </c>
      <c r="K166" s="12">
        <v>0</v>
      </c>
      <c r="L166" s="8" t="s">
        <v>2089</v>
      </c>
      <c r="M166" s="8" t="s">
        <v>1963</v>
      </c>
      <c r="N166" s="8" t="s">
        <v>1967</v>
      </c>
      <c r="O166" s="8" t="s">
        <v>2104</v>
      </c>
      <c r="P166" s="8"/>
      <c r="Q166" s="8" t="str">
        <f>IF(B166="","",IF(B166="P","P&amp;10",B166&amp;"D "&amp;C166))</f>
        <v>2D 4-6</v>
      </c>
      <c r="R166" s="8" t="str">
        <f>IF(L166&lt;&gt;"Y","",IF(COUNTIF('DEF_CALL_DECISION_SUPPORT'!$B$1197:$B$1256,SUBSTITUTE(SUBSTITUTE(SUBSTITUTE(E166,"~","~~"),"*","~*"),"?","~?"))&gt;0,"KNOWN","REVIEW: new call; refresh sources"))</f>
        <v>KNOWN</v>
      </c>
    </row>
    <row r="167" spans="1:18" ht="25" customHeight="1">
      <c r="A167" s="12">
        <v>127</v>
      </c>
      <c r="B167" s="8" t="s">
        <v>2067</v>
      </c>
      <c r="C167" s="8" t="s">
        <v>720</v>
      </c>
      <c r="D167" s="8" t="s">
        <v>432</v>
      </c>
      <c r="E167" s="8" t="s">
        <v>79</v>
      </c>
      <c r="F167" s="8" t="s">
        <v>120</v>
      </c>
      <c r="G167" s="8" t="s">
        <v>206</v>
      </c>
      <c r="H167" s="8" t="s">
        <v>1965</v>
      </c>
      <c r="I167" s="11">
        <v>6</v>
      </c>
      <c r="J167" s="12">
        <v>0</v>
      </c>
      <c r="K167" s="12">
        <v>0</v>
      </c>
      <c r="L167" s="8" t="s">
        <v>2089</v>
      </c>
      <c r="M167" s="8" t="s">
        <v>1965</v>
      </c>
      <c r="N167" s="8" t="s">
        <v>1967</v>
      </c>
      <c r="O167" s="8" t="s">
        <v>2104</v>
      </c>
      <c r="P167" s="8"/>
      <c r="Q167" s="8" t="str">
        <f>IF(B167="","",IF(B167="P","P&amp;10",B167&amp;"D "&amp;C167))</f>
        <v>2D 11+</v>
      </c>
      <c r="R167" s="8" t="str">
        <f>IF(L167&lt;&gt;"Y","",IF(COUNTIF('DEF_CALL_DECISION_SUPPORT'!$B$1197:$B$1256,SUBSTITUTE(SUBSTITUTE(SUBSTITUTE(E167,"~","~~"),"*","~*"),"?","~?"))&gt;0,"KNOWN","REVIEW: new call; refresh sources"))</f>
        <v>KNOWN</v>
      </c>
    </row>
    <row r="168" spans="1:18" ht="25" customHeight="1">
      <c r="A168" s="12">
        <v>128</v>
      </c>
      <c r="B168" s="8" t="s">
        <v>2067</v>
      </c>
      <c r="C168" s="8" t="s">
        <v>711</v>
      </c>
      <c r="D168" s="8" t="s">
        <v>468</v>
      </c>
      <c r="E168" s="8" t="s">
        <v>79</v>
      </c>
      <c r="F168" s="8" t="s">
        <v>132</v>
      </c>
      <c r="G168" s="8" t="s">
        <v>203</v>
      </c>
      <c r="H168" s="8" t="s">
        <v>2094</v>
      </c>
      <c r="I168" s="11">
        <v>5</v>
      </c>
      <c r="J168" s="12">
        <v>1</v>
      </c>
      <c r="K168" s="12">
        <v>0</v>
      </c>
      <c r="L168" s="8" t="s">
        <v>2089</v>
      </c>
      <c r="M168" s="8" t="s">
        <v>1963</v>
      </c>
      <c r="N168" s="8" t="s">
        <v>1964</v>
      </c>
      <c r="O168" s="8" t="s">
        <v>2095</v>
      </c>
      <c r="P168" s="8"/>
      <c r="Q168" s="8" t="str">
        <f>IF(B168="","",IF(B168="P","P&amp;10",B168&amp;"D "&amp;C168))</f>
        <v>2D 4-6</v>
      </c>
      <c r="R168" s="8" t="str">
        <f>IF(L168&lt;&gt;"Y","",IF(COUNTIF('DEF_CALL_DECISION_SUPPORT'!$B$1197:$B$1256,SUBSTITUTE(SUBSTITUTE(SUBSTITUTE(E168,"~","~~"),"*","~*"),"?","~?"))&gt;0,"KNOWN","REVIEW: new call; refresh sources"))</f>
        <v>KNOWN</v>
      </c>
    </row>
    <row r="169" spans="1:18" ht="25" customHeight="1">
      <c r="A169" s="12">
        <v>129</v>
      </c>
      <c r="B169" s="8" t="s">
        <v>2067</v>
      </c>
      <c r="C169" s="8" t="s">
        <v>716</v>
      </c>
      <c r="D169" s="8" t="s">
        <v>471</v>
      </c>
      <c r="E169" s="8" t="s">
        <v>56</v>
      </c>
      <c r="F169" s="8" t="s">
        <v>120</v>
      </c>
      <c r="G169" s="8" t="s">
        <v>203</v>
      </c>
      <c r="H169" s="8" t="s">
        <v>2094</v>
      </c>
      <c r="I169" s="11">
        <v>9</v>
      </c>
      <c r="J169" s="12">
        <v>0</v>
      </c>
      <c r="K169" s="12">
        <v>0</v>
      </c>
      <c r="L169" s="8" t="s">
        <v>2089</v>
      </c>
      <c r="M169" s="8" t="s">
        <v>1963</v>
      </c>
      <c r="N169" s="8" t="s">
        <v>1964</v>
      </c>
      <c r="O169" s="8" t="s">
        <v>2090</v>
      </c>
      <c r="P169" s="8"/>
      <c r="Q169" s="8" t="str">
        <f>IF(B169="","",IF(B169="P","P&amp;10",B169&amp;"D "&amp;C169))</f>
        <v>2D 7-10</v>
      </c>
      <c r="R169" s="8" t="str">
        <f>IF(L169&lt;&gt;"Y","",IF(COUNTIF('DEF_CALL_DECISION_SUPPORT'!$B$1197:$B$1256,SUBSTITUTE(SUBSTITUTE(SUBSTITUTE(E169,"~","~~"),"*","~*"),"?","~?"))&gt;0,"KNOWN","REVIEW: new call; refresh sources"))</f>
        <v>KNOWN</v>
      </c>
    </row>
    <row r="170" spans="1:18" ht="25" customHeight="1">
      <c r="A170" s="12">
        <v>130</v>
      </c>
      <c r="B170" s="8" t="s">
        <v>2067</v>
      </c>
      <c r="C170" s="8" t="s">
        <v>711</v>
      </c>
      <c r="D170" s="8" t="s">
        <v>432</v>
      </c>
      <c r="E170" s="8" t="s">
        <v>56</v>
      </c>
      <c r="F170" s="8" t="s">
        <v>132</v>
      </c>
      <c r="G170" s="8" t="s">
        <v>206</v>
      </c>
      <c r="H170" s="8" t="s">
        <v>1965</v>
      </c>
      <c r="I170" s="11">
        <v>5</v>
      </c>
      <c r="J170" s="12">
        <v>0</v>
      </c>
      <c r="K170" s="12">
        <v>0</v>
      </c>
      <c r="L170" s="8" t="s">
        <v>2089</v>
      </c>
      <c r="M170" s="8" t="s">
        <v>1965</v>
      </c>
      <c r="N170" s="8" t="s">
        <v>1967</v>
      </c>
      <c r="O170" s="8" t="s">
        <v>2097</v>
      </c>
      <c r="P170" s="8"/>
      <c r="Q170" s="8" t="str">
        <f>IF(B170="","",IF(B170="P","P&amp;10",B170&amp;"D "&amp;C170))</f>
        <v>2D 4-6</v>
      </c>
      <c r="R170" s="8" t="str">
        <f>IF(L170&lt;&gt;"Y","",IF(COUNTIF('DEF_CALL_DECISION_SUPPORT'!$B$1197:$B$1256,SUBSTITUTE(SUBSTITUTE(SUBSTITUTE(E170,"~","~~"),"*","~*"),"?","~?"))&gt;0,"KNOWN","REVIEW: new call; refresh sources"))</f>
        <v>KNOWN</v>
      </c>
    </row>
    <row r="171" spans="1:18" ht="25" customHeight="1">
      <c r="A171" s="12">
        <v>131</v>
      </c>
      <c r="B171" s="8" t="s">
        <v>2067</v>
      </c>
      <c r="C171" s="8" t="s">
        <v>706</v>
      </c>
      <c r="D171" s="8" t="s">
        <v>428</v>
      </c>
      <c r="E171" s="8" t="s">
        <v>56</v>
      </c>
      <c r="F171" s="8" t="s">
        <v>132</v>
      </c>
      <c r="G171" s="8" t="s">
        <v>206</v>
      </c>
      <c r="H171" s="8" t="s">
        <v>1965</v>
      </c>
      <c r="I171" s="11">
        <v>-2</v>
      </c>
      <c r="J171" s="12">
        <v>1</v>
      </c>
      <c r="K171" s="12">
        <v>0</v>
      </c>
      <c r="L171" s="8" t="s">
        <v>2089</v>
      </c>
      <c r="M171" s="8" t="s">
        <v>1965</v>
      </c>
      <c r="N171" s="8" t="s">
        <v>1967</v>
      </c>
      <c r="O171" s="8" t="s">
        <v>2097</v>
      </c>
      <c r="P171" s="8"/>
      <c r="Q171" s="8" t="str">
        <f>IF(B171="","",IF(B171="P","P&amp;10",B171&amp;"D "&amp;C171))</f>
        <v>2D 1-3</v>
      </c>
      <c r="R171" s="8" t="str">
        <f>IF(L171&lt;&gt;"Y","",IF(COUNTIF('DEF_CALL_DECISION_SUPPORT'!$B$1197:$B$1256,SUBSTITUTE(SUBSTITUTE(SUBSTITUTE(E171,"~","~~"),"*","~*"),"?","~?"))&gt;0,"KNOWN","REVIEW: new call; refresh sources"))</f>
        <v>KNOWN</v>
      </c>
    </row>
    <row r="172" spans="1:18" ht="25" customHeight="1">
      <c r="A172" s="12">
        <v>132</v>
      </c>
      <c r="B172" s="8" t="s">
        <v>2067</v>
      </c>
      <c r="C172" s="8" t="s">
        <v>711</v>
      </c>
      <c r="D172" s="8" t="s">
        <v>449</v>
      </c>
      <c r="E172" s="8" t="s">
        <v>61</v>
      </c>
      <c r="F172" s="8" t="s">
        <v>120</v>
      </c>
      <c r="G172" s="8" t="s">
        <v>206</v>
      </c>
      <c r="H172" s="8" t="s">
        <v>2094</v>
      </c>
      <c r="I172" s="11">
        <v>11</v>
      </c>
      <c r="J172" s="12">
        <v>0</v>
      </c>
      <c r="K172" s="12">
        <v>0</v>
      </c>
      <c r="L172" s="8" t="s">
        <v>2089</v>
      </c>
      <c r="M172" s="8" t="s">
        <v>1963</v>
      </c>
      <c r="N172" s="8" t="s">
        <v>1967</v>
      </c>
      <c r="O172" s="8" t="s">
        <v>2104</v>
      </c>
      <c r="P172" s="8"/>
      <c r="Q172" s="8" t="str">
        <f>IF(B172="","",IF(B172="P","P&amp;10",B172&amp;"D "&amp;C172))</f>
        <v>2D 4-6</v>
      </c>
      <c r="R172" s="8" t="str">
        <f>IF(L172&lt;&gt;"Y","",IF(COUNTIF('DEF_CALL_DECISION_SUPPORT'!$B$1197:$B$1256,SUBSTITUTE(SUBSTITUTE(SUBSTITUTE(E172,"~","~~"),"*","~*"),"?","~?"))&gt;0,"KNOWN","REVIEW: new call; refresh sources"))</f>
        <v>KNOWN</v>
      </c>
    </row>
    <row r="173" spans="1:18" ht="25" customHeight="1">
      <c r="A173" s="12">
        <v>133</v>
      </c>
      <c r="B173" s="8" t="s">
        <v>2067</v>
      </c>
      <c r="C173" s="8" t="s">
        <v>720</v>
      </c>
      <c r="D173" s="8" t="s">
        <v>428</v>
      </c>
      <c r="E173" s="8" t="s">
        <v>61</v>
      </c>
      <c r="F173" s="8" t="s">
        <v>120</v>
      </c>
      <c r="G173" s="8" t="s">
        <v>206</v>
      </c>
      <c r="H173" s="8" t="s">
        <v>1965</v>
      </c>
      <c r="I173" s="11">
        <v>7</v>
      </c>
      <c r="J173" s="12">
        <v>0</v>
      </c>
      <c r="K173" s="12">
        <v>0</v>
      </c>
      <c r="L173" s="8" t="s">
        <v>2089</v>
      </c>
      <c r="M173" s="8" t="s">
        <v>1965</v>
      </c>
      <c r="N173" s="8" t="s">
        <v>1967</v>
      </c>
      <c r="O173" s="8" t="s">
        <v>2104</v>
      </c>
      <c r="P173" s="8"/>
      <c r="Q173" s="8" t="str">
        <f>IF(B173="","",IF(B173="P","P&amp;10",B173&amp;"D "&amp;C173))</f>
        <v>2D 11+</v>
      </c>
      <c r="R173" s="8" t="str">
        <f>IF(L173&lt;&gt;"Y","",IF(COUNTIF('DEF_CALL_DECISION_SUPPORT'!$B$1197:$B$1256,SUBSTITUTE(SUBSTITUTE(SUBSTITUTE(E173,"~","~~"),"*","~*"),"?","~?"))&gt;0,"KNOWN","REVIEW: new call; refresh sources"))</f>
        <v>KNOWN</v>
      </c>
    </row>
    <row r="174" spans="1:18" ht="25" customHeight="1">
      <c r="A174" s="12">
        <v>134</v>
      </c>
      <c r="B174" s="8" t="s">
        <v>2067</v>
      </c>
      <c r="C174" s="8" t="s">
        <v>720</v>
      </c>
      <c r="D174" s="8" t="s">
        <v>428</v>
      </c>
      <c r="E174" s="8" t="s">
        <v>61</v>
      </c>
      <c r="F174" s="8" t="s">
        <v>120</v>
      </c>
      <c r="G174" s="8" t="s">
        <v>203</v>
      </c>
      <c r="H174" s="8" t="s">
        <v>1965</v>
      </c>
      <c r="I174" s="11">
        <v>6</v>
      </c>
      <c r="J174" s="12">
        <v>0</v>
      </c>
      <c r="K174" s="12">
        <v>0</v>
      </c>
      <c r="L174" s="8" t="s">
        <v>2089</v>
      </c>
      <c r="M174" s="8" t="s">
        <v>1965</v>
      </c>
      <c r="N174" s="8" t="s">
        <v>1964</v>
      </c>
      <c r="O174" s="8" t="s">
        <v>2090</v>
      </c>
      <c r="P174" s="8"/>
      <c r="Q174" s="8" t="str">
        <f>IF(B174="","",IF(B174="P","P&amp;10",B174&amp;"D "&amp;C174))</f>
        <v>2D 11+</v>
      </c>
      <c r="R174" s="8" t="str">
        <f>IF(L174&lt;&gt;"Y","",IF(COUNTIF('DEF_CALL_DECISION_SUPPORT'!$B$1197:$B$1256,SUBSTITUTE(SUBSTITUTE(SUBSTITUTE(E174,"~","~~"),"*","~*"),"?","~?"))&gt;0,"KNOWN","REVIEW: new call; refresh sources"))</f>
        <v>KNOWN</v>
      </c>
    </row>
    <row r="175" spans="1:18" ht="25" customHeight="1">
      <c r="A175" s="12">
        <v>135</v>
      </c>
      <c r="B175" s="8" t="s">
        <v>2067</v>
      </c>
      <c r="C175" s="8" t="s">
        <v>716</v>
      </c>
      <c r="D175" s="8" t="s">
        <v>449</v>
      </c>
      <c r="E175" s="8" t="s">
        <v>69</v>
      </c>
      <c r="F175" s="8" t="s">
        <v>120</v>
      </c>
      <c r="G175" s="8" t="s">
        <v>203</v>
      </c>
      <c r="H175" s="8" t="s">
        <v>2094</v>
      </c>
      <c r="I175" s="11">
        <v>5</v>
      </c>
      <c r="J175" s="12">
        <v>1</v>
      </c>
      <c r="K175" s="12">
        <v>0</v>
      </c>
      <c r="L175" s="8" t="s">
        <v>2089</v>
      </c>
      <c r="M175" s="8" t="s">
        <v>1966</v>
      </c>
      <c r="N175" s="8" t="s">
        <v>1964</v>
      </c>
      <c r="O175" s="8" t="s">
        <v>2090</v>
      </c>
      <c r="P175" s="8"/>
      <c r="Q175" s="8" t="str">
        <f>IF(B175="","",IF(B175="P","P&amp;10",B175&amp;"D "&amp;C175))</f>
        <v>2D 7-10</v>
      </c>
      <c r="R175" s="8" t="str">
        <f>IF(L175&lt;&gt;"Y","",IF(COUNTIF('DEF_CALL_DECISION_SUPPORT'!$B$1197:$B$1256,SUBSTITUTE(SUBSTITUTE(SUBSTITUTE(E175,"~","~~"),"*","~*"),"?","~?"))&gt;0,"KNOWN","REVIEW: new call; refresh sources"))</f>
        <v>KNOWN</v>
      </c>
    </row>
    <row r="176" spans="1:18" ht="25" customHeight="1">
      <c r="A176" s="12">
        <v>136</v>
      </c>
      <c r="B176" s="8" t="s">
        <v>2067</v>
      </c>
      <c r="C176" s="8" t="s">
        <v>711</v>
      </c>
      <c r="D176" s="8" t="s">
        <v>428</v>
      </c>
      <c r="E176" s="8" t="s">
        <v>69</v>
      </c>
      <c r="F176" s="8" t="s">
        <v>120</v>
      </c>
      <c r="G176" s="8" t="s">
        <v>206</v>
      </c>
      <c r="H176" s="8" t="s">
        <v>1965</v>
      </c>
      <c r="I176" s="11">
        <v>2</v>
      </c>
      <c r="J176" s="12">
        <v>1</v>
      </c>
      <c r="K176" s="12">
        <v>0</v>
      </c>
      <c r="L176" s="8" t="s">
        <v>2089</v>
      </c>
      <c r="M176" s="8" t="s">
        <v>1965</v>
      </c>
      <c r="N176" s="8" t="s">
        <v>1967</v>
      </c>
      <c r="O176" s="8" t="s">
        <v>2104</v>
      </c>
      <c r="P176" s="8"/>
      <c r="Q176" s="8" t="str">
        <f>IF(B176="","",IF(B176="P","P&amp;10",B176&amp;"D "&amp;C176))</f>
        <v>2D 4-6</v>
      </c>
      <c r="R176" s="8" t="str">
        <f>IF(L176&lt;&gt;"Y","",IF(COUNTIF('DEF_CALL_DECISION_SUPPORT'!$B$1197:$B$1256,SUBSTITUTE(SUBSTITUTE(SUBSTITUTE(E176,"~","~~"),"*","~*"),"?","~?"))&gt;0,"KNOWN","REVIEW: new call; refresh sources"))</f>
        <v>KNOWN</v>
      </c>
    </row>
    <row r="177" spans="1:18" ht="25" customHeight="1">
      <c r="A177" s="12">
        <v>137</v>
      </c>
      <c r="B177" s="8" t="s">
        <v>2067</v>
      </c>
      <c r="C177" s="8" t="s">
        <v>716</v>
      </c>
      <c r="D177" s="8" t="s">
        <v>465</v>
      </c>
      <c r="E177" s="8" t="s">
        <v>69</v>
      </c>
      <c r="F177" s="8" t="s">
        <v>120</v>
      </c>
      <c r="G177" s="8" t="s">
        <v>206</v>
      </c>
      <c r="H177" s="8" t="s">
        <v>1965</v>
      </c>
      <c r="I177" s="11">
        <v>1</v>
      </c>
      <c r="J177" s="12">
        <v>1</v>
      </c>
      <c r="K177" s="12">
        <v>0</v>
      </c>
      <c r="L177" s="8" t="s">
        <v>2089</v>
      </c>
      <c r="M177" s="8" t="s">
        <v>1965</v>
      </c>
      <c r="N177" s="8" t="s">
        <v>1967</v>
      </c>
      <c r="O177" s="8" t="s">
        <v>2104</v>
      </c>
      <c r="P177" s="8"/>
      <c r="Q177" s="8" t="str">
        <f>IF(B177="","",IF(B177="P","P&amp;10",B177&amp;"D "&amp;C177))</f>
        <v>2D 7-10</v>
      </c>
      <c r="R177" s="8" t="str">
        <f>IF(L177&lt;&gt;"Y","",IF(COUNTIF('DEF_CALL_DECISION_SUPPORT'!$B$1197:$B$1256,SUBSTITUTE(SUBSTITUTE(SUBSTITUTE(E177,"~","~~"),"*","~*"),"?","~?"))&gt;0,"KNOWN","REVIEW: new call; refresh sources"))</f>
        <v>KNOWN</v>
      </c>
    </row>
    <row r="178" spans="1:18" ht="25" customHeight="1">
      <c r="A178" s="12">
        <v>138</v>
      </c>
      <c r="B178" s="8" t="s">
        <v>2067</v>
      </c>
      <c r="C178" s="8" t="s">
        <v>716</v>
      </c>
      <c r="D178" s="8" t="s">
        <v>465</v>
      </c>
      <c r="E178" s="8" t="s">
        <v>27</v>
      </c>
      <c r="F178" s="8" t="s">
        <v>123</v>
      </c>
      <c r="G178" s="8" t="s">
        <v>206</v>
      </c>
      <c r="H178" s="8" t="s">
        <v>1965</v>
      </c>
      <c r="I178" s="11">
        <v>3</v>
      </c>
      <c r="J178" s="12">
        <v>1</v>
      </c>
      <c r="K178" s="12">
        <v>0</v>
      </c>
      <c r="L178" s="8" t="s">
        <v>2089</v>
      </c>
      <c r="M178" s="8" t="s">
        <v>1965</v>
      </c>
      <c r="N178" s="8" t="s">
        <v>1967</v>
      </c>
      <c r="O178" s="8" t="s">
        <v>2099</v>
      </c>
      <c r="P178" s="8"/>
      <c r="Q178" s="8" t="str">
        <f>IF(B178="","",IF(B178="P","P&amp;10",B178&amp;"D "&amp;C178))</f>
        <v>2D 7-10</v>
      </c>
      <c r="R178" s="8" t="str">
        <f>IF(L178&lt;&gt;"Y","",IF(COUNTIF('DEF_CALL_DECISION_SUPPORT'!$B$1197:$B$1256,SUBSTITUTE(SUBSTITUTE(SUBSTITUTE(E178,"~","~~"),"*","~*"),"?","~?"))&gt;0,"KNOWN","REVIEW: new call; refresh sources"))</f>
        <v>KNOWN</v>
      </c>
    </row>
    <row r="179" spans="1:18" ht="25" customHeight="1">
      <c r="A179" s="12">
        <v>139</v>
      </c>
      <c r="B179" s="8" t="s">
        <v>2067</v>
      </c>
      <c r="C179" s="8" t="s">
        <v>706</v>
      </c>
      <c r="D179" s="8" t="s">
        <v>428</v>
      </c>
      <c r="E179" s="8" t="s">
        <v>27</v>
      </c>
      <c r="F179" s="8" t="s">
        <v>123</v>
      </c>
      <c r="G179" s="8" t="s">
        <v>206</v>
      </c>
      <c r="H179" s="8" t="s">
        <v>2068</v>
      </c>
      <c r="I179" s="11">
        <v>1</v>
      </c>
      <c r="J179" s="12">
        <v>0</v>
      </c>
      <c r="K179" s="12">
        <v>0</v>
      </c>
      <c r="L179" s="8" t="s">
        <v>2089</v>
      </c>
      <c r="M179" s="8" t="s">
        <v>2115</v>
      </c>
      <c r="N179" s="8" t="s">
        <v>1967</v>
      </c>
      <c r="O179" s="8" t="s">
        <v>2099</v>
      </c>
      <c r="P179" s="8"/>
      <c r="Q179" s="8" t="str">
        <f>IF(B179="","",IF(B179="P","P&amp;10",B179&amp;"D "&amp;C179))</f>
        <v>2D 1-3</v>
      </c>
      <c r="R179" s="8" t="str">
        <f>IF(L179&lt;&gt;"Y","",IF(COUNTIF('DEF_CALL_DECISION_SUPPORT'!$B$1197:$B$1256,SUBSTITUTE(SUBSTITUTE(SUBSTITUTE(E179,"~","~~"),"*","~*"),"?","~?"))&gt;0,"KNOWN","REVIEW: new call; refresh sources"))</f>
        <v>KNOWN</v>
      </c>
    </row>
    <row r="180" spans="1:18" ht="25" customHeight="1">
      <c r="A180" s="12">
        <v>140</v>
      </c>
      <c r="B180" s="8" t="s">
        <v>2067</v>
      </c>
      <c r="C180" s="8" t="s">
        <v>706</v>
      </c>
      <c r="D180" s="8" t="s">
        <v>468</v>
      </c>
      <c r="E180" s="8" t="s">
        <v>46</v>
      </c>
      <c r="F180" s="8" t="s">
        <v>120</v>
      </c>
      <c r="G180" s="8" t="s">
        <v>206</v>
      </c>
      <c r="H180" s="8" t="s">
        <v>2094</v>
      </c>
      <c r="I180" s="11">
        <v>0</v>
      </c>
      <c r="J180" s="12">
        <v>1</v>
      </c>
      <c r="K180" s="12">
        <v>0</v>
      </c>
      <c r="L180" s="8" t="s">
        <v>2089</v>
      </c>
      <c r="M180" s="8" t="s">
        <v>1974</v>
      </c>
      <c r="N180" s="8" t="s">
        <v>1961</v>
      </c>
      <c r="O180" s="8" t="s">
        <v>2104</v>
      </c>
      <c r="P180" s="8"/>
      <c r="Q180" s="8" t="str">
        <f>IF(B180="","",IF(B180="P","P&amp;10",B180&amp;"D "&amp;C180))</f>
        <v>2D 1-3</v>
      </c>
      <c r="R180" s="8" t="str">
        <f>IF(L180&lt;&gt;"Y","",IF(COUNTIF('DEF_CALL_DECISION_SUPPORT'!$B$1197:$B$1256,SUBSTITUTE(SUBSTITUTE(SUBSTITUTE(E180,"~","~~"),"*","~*"),"?","~?"))&gt;0,"KNOWN","REVIEW: new call; refresh sources"))</f>
        <v>KNOWN</v>
      </c>
    </row>
    <row r="181" spans="1:18" ht="25" customHeight="1">
      <c r="A181" s="12">
        <v>141</v>
      </c>
      <c r="B181" s="8" t="s">
        <v>2067</v>
      </c>
      <c r="C181" s="8" t="s">
        <v>720</v>
      </c>
      <c r="D181" s="8" t="s">
        <v>449</v>
      </c>
      <c r="E181" s="8" t="s">
        <v>46</v>
      </c>
      <c r="F181" s="8" t="s">
        <v>120</v>
      </c>
      <c r="G181" s="8" t="s">
        <v>203</v>
      </c>
      <c r="H181" s="8" t="s">
        <v>2094</v>
      </c>
      <c r="I181" s="11">
        <v>-2</v>
      </c>
      <c r="J181" s="12">
        <v>1</v>
      </c>
      <c r="K181" s="12">
        <v>0</v>
      </c>
      <c r="L181" s="8" t="s">
        <v>2089</v>
      </c>
      <c r="M181" s="8" t="s">
        <v>1963</v>
      </c>
      <c r="N181" s="8" t="s">
        <v>1964</v>
      </c>
      <c r="O181" s="8" t="s">
        <v>2090</v>
      </c>
      <c r="P181" s="8"/>
      <c r="Q181" s="8" t="str">
        <f>IF(B181="","",IF(B181="P","P&amp;10",B181&amp;"D "&amp;C181))</f>
        <v>2D 11+</v>
      </c>
      <c r="R181" s="8" t="str">
        <f>IF(L181&lt;&gt;"Y","",IF(COUNTIF('DEF_CALL_DECISION_SUPPORT'!$B$1197:$B$1256,SUBSTITUTE(SUBSTITUTE(SUBSTITUTE(E181,"~","~~"),"*","~*"),"?","~?"))&gt;0,"KNOWN","REVIEW: new call; refresh sources"))</f>
        <v>KNOWN</v>
      </c>
    </row>
    <row r="182" spans="1:18" ht="25" customHeight="1">
      <c r="A182" s="12">
        <v>142</v>
      </c>
      <c r="B182" s="8" t="s">
        <v>2067</v>
      </c>
      <c r="C182" s="8" t="s">
        <v>716</v>
      </c>
      <c r="D182" s="8" t="s">
        <v>446</v>
      </c>
      <c r="E182" s="8" t="s">
        <v>49</v>
      </c>
      <c r="F182" s="8" t="s">
        <v>120</v>
      </c>
      <c r="G182" s="8" t="s">
        <v>206</v>
      </c>
      <c r="H182" s="8" t="s">
        <v>2094</v>
      </c>
      <c r="I182" s="11">
        <v>0</v>
      </c>
      <c r="J182" s="12">
        <v>1</v>
      </c>
      <c r="K182" s="12">
        <v>0</v>
      </c>
      <c r="L182" s="8" t="s">
        <v>2089</v>
      </c>
      <c r="M182" s="8" t="s">
        <v>1974</v>
      </c>
      <c r="N182" s="8" t="s">
        <v>1961</v>
      </c>
      <c r="O182" s="8" t="s">
        <v>2104</v>
      </c>
      <c r="P182" s="8"/>
      <c r="Q182" s="8" t="str">
        <f>IF(B182="","",IF(B182="P","P&amp;10",B182&amp;"D "&amp;C182))</f>
        <v>2D 7-10</v>
      </c>
      <c r="R182" s="8" t="str">
        <f>IF(L182&lt;&gt;"Y","",IF(COUNTIF('DEF_CALL_DECISION_SUPPORT'!$B$1197:$B$1256,SUBSTITUTE(SUBSTITUTE(SUBSTITUTE(E182,"~","~~"),"*","~*"),"?","~?"))&gt;0,"KNOWN","REVIEW: new call; refresh sources"))</f>
        <v>KNOWN</v>
      </c>
    </row>
    <row r="183" spans="1:18" ht="25" customHeight="1">
      <c r="A183" s="12">
        <v>143</v>
      </c>
      <c r="B183" s="8" t="s">
        <v>2067</v>
      </c>
      <c r="C183" s="8" t="s">
        <v>716</v>
      </c>
      <c r="D183" s="8" t="s">
        <v>541</v>
      </c>
      <c r="E183" s="8" t="s">
        <v>49</v>
      </c>
      <c r="F183" s="8" t="s">
        <v>120</v>
      </c>
      <c r="G183" s="8" t="s">
        <v>206</v>
      </c>
      <c r="H183" s="8" t="s">
        <v>2110</v>
      </c>
      <c r="I183" s="11">
        <v>4</v>
      </c>
      <c r="J183" s="12"/>
      <c r="K183" s="12"/>
      <c r="L183" s="8" t="s">
        <v>2109</v>
      </c>
      <c r="M183" s="8" t="s">
        <v>2112</v>
      </c>
      <c r="N183" s="8" t="s">
        <v>1967</v>
      </c>
      <c r="O183" s="8" t="s">
        <v>2104</v>
      </c>
      <c r="P183" s="8" t="s">
        <v>2388</v>
      </c>
      <c r="Q183" s="8" t="str">
        <f>IF(B183="","",IF(B183="P","P&amp;10",B183&amp;"D "&amp;C183))</f>
        <v>2D 7-10</v>
      </c>
      <c r="R183" s="8">
        <f>IF(L183&lt;&gt;"Y","",IF(COUNTIF('DEF_CALL_DECISION_SUPPORT'!$B$1197:$B$1256,SUBSTITUTE(SUBSTITUTE(SUBSTITUTE(E183,"~","~~"),"*","~*"),"?","~?"))&gt;0,"KNOWN","REVIEW: new call; refresh sources"))</f>
        <v/>
      </c>
    </row>
    <row r="184" spans="1:18" ht="25" customHeight="1">
      <c r="A184" s="12">
        <v>144</v>
      </c>
      <c r="B184" s="8" t="s">
        <v>2067</v>
      </c>
      <c r="C184" s="8" t="s">
        <v>706</v>
      </c>
      <c r="D184" s="8" t="s">
        <v>487</v>
      </c>
      <c r="E184" s="8" t="s">
        <v>30</v>
      </c>
      <c r="F184" s="8" t="s">
        <v>145</v>
      </c>
      <c r="G184" s="8" t="s">
        <v>203</v>
      </c>
      <c r="H184" s="8" t="s">
        <v>2068</v>
      </c>
      <c r="I184" s="11">
        <v>1</v>
      </c>
      <c r="J184" s="12">
        <v>0</v>
      </c>
      <c r="K184" s="12">
        <v>0</v>
      </c>
      <c r="L184" s="8" t="s">
        <v>2089</v>
      </c>
      <c r="M184" s="8" t="s">
        <v>2115</v>
      </c>
      <c r="N184" s="8" t="s">
        <v>1964</v>
      </c>
      <c r="O184" s="8" t="s">
        <v>2095</v>
      </c>
      <c r="P184" s="8"/>
      <c r="Q184" s="8" t="str">
        <f>IF(B184="","",IF(B184="P","P&amp;10",B184&amp;"D "&amp;C184))</f>
        <v>2D 1-3</v>
      </c>
      <c r="R184" s="8" t="str">
        <f>IF(L184&lt;&gt;"Y","",IF(COUNTIF('DEF_CALL_DECISION_SUPPORT'!$B$1197:$B$1256,SUBSTITUTE(SUBSTITUTE(SUBSTITUTE(E184,"~","~~"),"*","~*"),"?","~?"))&gt;0,"KNOWN","REVIEW: new call; refresh sources"))</f>
        <v>KNOWN</v>
      </c>
    </row>
    <row r="185" spans="1:18" ht="25" customHeight="1">
      <c r="A185" s="12">
        <v>145</v>
      </c>
      <c r="B185" s="8" t="s">
        <v>2067</v>
      </c>
      <c r="C185" s="8" t="s">
        <v>706</v>
      </c>
      <c r="D185" s="8" t="s">
        <v>428</v>
      </c>
      <c r="E185" s="8" t="s">
        <v>30</v>
      </c>
      <c r="F185" s="8" t="s">
        <v>120</v>
      </c>
      <c r="G185" s="8" t="s">
        <v>203</v>
      </c>
      <c r="H185" s="8" t="s">
        <v>1965</v>
      </c>
      <c r="I185" s="11">
        <v>2</v>
      </c>
      <c r="J185" s="12">
        <v>1</v>
      </c>
      <c r="K185" s="12">
        <v>0</v>
      </c>
      <c r="L185" s="8" t="s">
        <v>2089</v>
      </c>
      <c r="M185" s="8" t="s">
        <v>1965</v>
      </c>
      <c r="N185" s="8" t="s">
        <v>1964</v>
      </c>
      <c r="O185" s="8" t="s">
        <v>2090</v>
      </c>
      <c r="P185" s="8"/>
      <c r="Q185" s="8" t="str">
        <f>IF(B185="","",IF(B185="P","P&amp;10",B185&amp;"D "&amp;C185))</f>
        <v>2D 1-3</v>
      </c>
      <c r="R185" s="8" t="str">
        <f>IF(L185&lt;&gt;"Y","",IF(COUNTIF('DEF_CALL_DECISION_SUPPORT'!$B$1197:$B$1256,SUBSTITUTE(SUBSTITUTE(SUBSTITUTE(E185,"~","~~"),"*","~*"),"?","~?"))&gt;0,"KNOWN","REVIEW: new call; refresh sources"))</f>
        <v>KNOWN</v>
      </c>
    </row>
    <row r="186" spans="1:18" ht="25" customHeight="1">
      <c r="A186" s="12">
        <v>146</v>
      </c>
      <c r="B186" s="8" t="s">
        <v>2067</v>
      </c>
      <c r="C186" s="8" t="s">
        <v>711</v>
      </c>
      <c r="D186" s="8" t="s">
        <v>465</v>
      </c>
      <c r="E186" s="8" t="s">
        <v>80</v>
      </c>
      <c r="F186" s="8" t="s">
        <v>120</v>
      </c>
      <c r="G186" s="8" t="s">
        <v>206</v>
      </c>
      <c r="H186" s="8" t="s">
        <v>1965</v>
      </c>
      <c r="I186" s="11">
        <v>8</v>
      </c>
      <c r="J186" s="12">
        <v>0</v>
      </c>
      <c r="K186" s="12">
        <v>0</v>
      </c>
      <c r="L186" s="8" t="s">
        <v>2089</v>
      </c>
      <c r="M186" s="8" t="s">
        <v>1965</v>
      </c>
      <c r="N186" s="8" t="s">
        <v>1967</v>
      </c>
      <c r="O186" s="8" t="s">
        <v>2104</v>
      </c>
      <c r="P186" s="8"/>
      <c r="Q186" s="8" t="str">
        <f>IF(B186="","",IF(B186="P","P&amp;10",B186&amp;"D "&amp;C186))</f>
        <v>2D 4-6</v>
      </c>
      <c r="R186" s="8" t="str">
        <f>IF(L186&lt;&gt;"Y","",IF(COUNTIF('DEF_CALL_DECISION_SUPPORT'!$B$1197:$B$1256,SUBSTITUTE(SUBSTITUTE(SUBSTITUTE(E186,"~","~~"),"*","~*"),"?","~?"))&gt;0,"KNOWN","REVIEW: new call; refresh sources"))</f>
        <v>KNOWN</v>
      </c>
    </row>
    <row r="187" spans="1:18" ht="25" customHeight="1">
      <c r="A187" s="12">
        <v>147</v>
      </c>
      <c r="B187" s="8" t="s">
        <v>2067</v>
      </c>
      <c r="C187" s="8" t="s">
        <v>720</v>
      </c>
      <c r="D187" s="8" t="s">
        <v>449</v>
      </c>
      <c r="E187" s="8" t="s">
        <v>80</v>
      </c>
      <c r="F187" s="8" t="s">
        <v>120</v>
      </c>
      <c r="G187" s="8" t="s">
        <v>206</v>
      </c>
      <c r="H187" s="8" t="s">
        <v>2094</v>
      </c>
      <c r="I187" s="11">
        <v>3</v>
      </c>
      <c r="J187" s="12">
        <v>1</v>
      </c>
      <c r="K187" s="12">
        <v>0</v>
      </c>
      <c r="L187" s="8" t="s">
        <v>2089</v>
      </c>
      <c r="M187" s="8" t="s">
        <v>1966</v>
      </c>
      <c r="N187" s="8" t="s">
        <v>1967</v>
      </c>
      <c r="O187" s="8" t="s">
        <v>2104</v>
      </c>
      <c r="P187" s="8"/>
      <c r="Q187" s="8" t="str">
        <f>IF(B187="","",IF(B187="P","P&amp;10",B187&amp;"D "&amp;C187))</f>
        <v>2D 11+</v>
      </c>
      <c r="R187" s="8" t="str">
        <f>IF(L187&lt;&gt;"Y","",IF(COUNTIF('DEF_CALL_DECISION_SUPPORT'!$B$1197:$B$1256,SUBSTITUTE(SUBSTITUTE(SUBSTITUTE(E187,"~","~~"),"*","~*"),"?","~?"))&gt;0,"KNOWN","REVIEW: new call; refresh sources"))</f>
        <v>KNOWN</v>
      </c>
    </row>
    <row r="188" spans="1:18" ht="25" customHeight="1">
      <c r="A188" s="12">
        <v>148</v>
      </c>
      <c r="B188" s="8" t="s">
        <v>2067</v>
      </c>
      <c r="C188" s="8" t="s">
        <v>711</v>
      </c>
      <c r="D188" s="8" t="s">
        <v>477</v>
      </c>
      <c r="E188" s="8" t="s">
        <v>52</v>
      </c>
      <c r="F188" s="8" t="s">
        <v>123</v>
      </c>
      <c r="G188" s="8" t="s">
        <v>203</v>
      </c>
      <c r="H188" s="8" t="s">
        <v>1965</v>
      </c>
      <c r="I188" s="11">
        <v>5</v>
      </c>
      <c r="J188" s="12">
        <v>0</v>
      </c>
      <c r="K188" s="12">
        <v>0</v>
      </c>
      <c r="L188" s="8" t="s">
        <v>2089</v>
      </c>
      <c r="M188" s="8" t="s">
        <v>1965</v>
      </c>
      <c r="N188" s="8" t="s">
        <v>1964</v>
      </c>
      <c r="O188" s="8" t="s">
        <v>2102</v>
      </c>
      <c r="P188" s="8"/>
      <c r="Q188" s="8" t="str">
        <f>IF(B188="","",IF(B188="P","P&amp;10",B188&amp;"D "&amp;C188))</f>
        <v>2D 4-6</v>
      </c>
      <c r="R188" s="8" t="str">
        <f>IF(L188&lt;&gt;"Y","",IF(COUNTIF('DEF_CALL_DECISION_SUPPORT'!$B$1197:$B$1256,SUBSTITUTE(SUBSTITUTE(SUBSTITUTE(E188,"~","~~"),"*","~*"),"?","~?"))&gt;0,"KNOWN","REVIEW: new call; refresh sources"))</f>
        <v>KNOWN</v>
      </c>
    </row>
    <row r="189" spans="1:18" ht="25" customHeight="1">
      <c r="A189" s="12">
        <v>149</v>
      </c>
      <c r="B189" s="8" t="s">
        <v>2067</v>
      </c>
      <c r="C189" s="8" t="s">
        <v>711</v>
      </c>
      <c r="D189" s="8" t="s">
        <v>477</v>
      </c>
      <c r="E189" s="8" t="s">
        <v>52</v>
      </c>
      <c r="F189" s="8" t="s">
        <v>123</v>
      </c>
      <c r="G189" s="8" t="s">
        <v>203</v>
      </c>
      <c r="H189" s="8" t="s">
        <v>1965</v>
      </c>
      <c r="I189" s="11">
        <v>1</v>
      </c>
      <c r="J189" s="12">
        <v>1</v>
      </c>
      <c r="K189" s="12">
        <v>0</v>
      </c>
      <c r="L189" s="8" t="s">
        <v>2089</v>
      </c>
      <c r="M189" s="8" t="s">
        <v>1965</v>
      </c>
      <c r="N189" s="8" t="s">
        <v>1964</v>
      </c>
      <c r="O189" s="8" t="s">
        <v>2102</v>
      </c>
      <c r="P189" s="8"/>
      <c r="Q189" s="8" t="str">
        <f>IF(B189="","",IF(B189="P","P&amp;10",B189&amp;"D "&amp;C189))</f>
        <v>2D 4-6</v>
      </c>
      <c r="R189" s="8" t="str">
        <f>IF(L189&lt;&gt;"Y","",IF(COUNTIF('DEF_CALL_DECISION_SUPPORT'!$B$1197:$B$1256,SUBSTITUTE(SUBSTITUTE(SUBSTITUTE(E189,"~","~~"),"*","~*"),"?","~?"))&gt;0,"KNOWN","REVIEW: new call; refresh sources"))</f>
        <v>KNOWN</v>
      </c>
    </row>
    <row r="190" spans="1:18" ht="25" customHeight="1">
      <c r="A190" s="12">
        <v>150</v>
      </c>
      <c r="B190" s="8" t="s">
        <v>2067</v>
      </c>
      <c r="C190" s="8" t="s">
        <v>716</v>
      </c>
      <c r="D190" s="8" t="s">
        <v>471</v>
      </c>
      <c r="E190" s="8" t="s">
        <v>53</v>
      </c>
      <c r="F190" s="8" t="s">
        <v>120</v>
      </c>
      <c r="G190" s="8" t="s">
        <v>203</v>
      </c>
      <c r="H190" s="8" t="s">
        <v>2094</v>
      </c>
      <c r="I190" s="11">
        <v>6</v>
      </c>
      <c r="J190" s="12">
        <v>1</v>
      </c>
      <c r="K190" s="12">
        <v>0</v>
      </c>
      <c r="L190" s="8" t="s">
        <v>2089</v>
      </c>
      <c r="M190" s="8" t="s">
        <v>1963</v>
      </c>
      <c r="N190" s="8" t="s">
        <v>1964</v>
      </c>
      <c r="O190" s="8" t="s">
        <v>2090</v>
      </c>
      <c r="P190" s="8"/>
      <c r="Q190" s="8" t="str">
        <f>IF(B190="","",IF(B190="P","P&amp;10",B190&amp;"D "&amp;C190))</f>
        <v>2D 7-10</v>
      </c>
      <c r="R190" s="8" t="str">
        <f>IF(L190&lt;&gt;"Y","",IF(COUNTIF('DEF_CALL_DECISION_SUPPORT'!$B$1197:$B$1256,SUBSTITUTE(SUBSTITUTE(SUBSTITUTE(E190,"~","~~"),"*","~*"),"?","~?"))&gt;0,"KNOWN","REVIEW: new call; refresh sources"))</f>
        <v>KNOWN</v>
      </c>
    </row>
    <row r="191" spans="1:18" ht="25" customHeight="1">
      <c r="A191" s="12">
        <v>151</v>
      </c>
      <c r="B191" s="8" t="s">
        <v>2067</v>
      </c>
      <c r="C191" s="8" t="s">
        <v>711</v>
      </c>
      <c r="D191" s="8" t="s">
        <v>428</v>
      </c>
      <c r="E191" s="8" t="s">
        <v>53</v>
      </c>
      <c r="F191" s="8" t="s">
        <v>132</v>
      </c>
      <c r="G191" s="8" t="s">
        <v>203</v>
      </c>
      <c r="H191" s="8" t="s">
        <v>1965</v>
      </c>
      <c r="I191" s="11">
        <v>2</v>
      </c>
      <c r="J191" s="12">
        <v>1</v>
      </c>
      <c r="K191" s="12">
        <v>0</v>
      </c>
      <c r="L191" s="8" t="s">
        <v>2089</v>
      </c>
      <c r="M191" s="8" t="s">
        <v>1965</v>
      </c>
      <c r="N191" s="8" t="s">
        <v>1964</v>
      </c>
      <c r="O191" s="8" t="s">
        <v>2095</v>
      </c>
      <c r="P191" s="8"/>
      <c r="Q191" s="8" t="str">
        <f>IF(B191="","",IF(B191="P","P&amp;10",B191&amp;"D "&amp;C191))</f>
        <v>2D 4-6</v>
      </c>
      <c r="R191" s="8" t="str">
        <f>IF(L191&lt;&gt;"Y","",IF(COUNTIF('DEF_CALL_DECISION_SUPPORT'!$B$1197:$B$1256,SUBSTITUTE(SUBSTITUTE(SUBSTITUTE(E191,"~","~~"),"*","~*"),"?","~?"))&gt;0,"KNOWN","REVIEW: new call; refresh sources"))</f>
        <v>KNOWN</v>
      </c>
    </row>
    <row r="192" spans="1:18" ht="25" customHeight="1">
      <c r="A192" s="12">
        <v>152</v>
      </c>
      <c r="B192" s="8" t="s">
        <v>2067</v>
      </c>
      <c r="C192" s="8" t="s">
        <v>716</v>
      </c>
      <c r="D192" s="8" t="s">
        <v>432</v>
      </c>
      <c r="E192" s="8" t="s">
        <v>35</v>
      </c>
      <c r="F192" s="8" t="s">
        <v>123</v>
      </c>
      <c r="G192" s="8" t="s">
        <v>206</v>
      </c>
      <c r="H192" s="8" t="s">
        <v>1965</v>
      </c>
      <c r="I192" s="11">
        <v>5</v>
      </c>
      <c r="J192" s="12">
        <v>0</v>
      </c>
      <c r="K192" s="12">
        <v>0</v>
      </c>
      <c r="L192" s="8" t="s">
        <v>2089</v>
      </c>
      <c r="M192" s="8" t="s">
        <v>1965</v>
      </c>
      <c r="N192" s="8" t="s">
        <v>1967</v>
      </c>
      <c r="O192" s="8" t="s">
        <v>2099</v>
      </c>
      <c r="P192" s="8"/>
      <c r="Q192" s="8" t="str">
        <f>IF(B192="","",IF(B192="P","P&amp;10",B192&amp;"D "&amp;C192))</f>
        <v>2D 7-10</v>
      </c>
      <c r="R192" s="8" t="str">
        <f>IF(L192&lt;&gt;"Y","",IF(COUNTIF('DEF_CALL_DECISION_SUPPORT'!$B$1197:$B$1256,SUBSTITUTE(SUBSTITUTE(SUBSTITUTE(E192,"~","~~"),"*","~*"),"?","~?"))&gt;0,"KNOWN","REVIEW: new call; refresh sources"))</f>
        <v>KNOWN</v>
      </c>
    </row>
    <row r="193" spans="1:18" ht="25" customHeight="1">
      <c r="A193" s="12">
        <v>153</v>
      </c>
      <c r="B193" s="8" t="s">
        <v>2067</v>
      </c>
      <c r="C193" s="8" t="s">
        <v>716</v>
      </c>
      <c r="D193" s="8" t="s">
        <v>432</v>
      </c>
      <c r="E193" s="8" t="s">
        <v>35</v>
      </c>
      <c r="F193" s="8" t="s">
        <v>123</v>
      </c>
      <c r="G193" s="8" t="s">
        <v>206</v>
      </c>
      <c r="H193" s="8" t="s">
        <v>2068</v>
      </c>
      <c r="I193" s="11">
        <v>10</v>
      </c>
      <c r="J193" s="12">
        <v>0</v>
      </c>
      <c r="K193" s="12">
        <v>0</v>
      </c>
      <c r="L193" s="8" t="s">
        <v>2089</v>
      </c>
      <c r="M193" s="8" t="s">
        <v>2115</v>
      </c>
      <c r="N193" s="8" t="s">
        <v>1967</v>
      </c>
      <c r="O193" s="8" t="s">
        <v>2099</v>
      </c>
      <c r="P193" s="8"/>
      <c r="Q193" s="8" t="str">
        <f>IF(B193="","",IF(B193="P","P&amp;10",B193&amp;"D "&amp;C193))</f>
        <v>2D 7-10</v>
      </c>
      <c r="R193" s="8" t="str">
        <f>IF(L193&lt;&gt;"Y","",IF(COUNTIF('DEF_CALL_DECISION_SUPPORT'!$B$1197:$B$1256,SUBSTITUTE(SUBSTITUTE(SUBSTITUTE(E193,"~","~~"),"*","~*"),"?","~?"))&gt;0,"KNOWN","REVIEW: new call; refresh sources"))</f>
        <v>KNOWN</v>
      </c>
    </row>
    <row r="194" spans="1:18" ht="25" customHeight="1">
      <c r="A194" s="12">
        <v>154</v>
      </c>
      <c r="B194" s="8" t="s">
        <v>2067</v>
      </c>
      <c r="C194" s="8" t="s">
        <v>711</v>
      </c>
      <c r="D194" s="8" t="s">
        <v>449</v>
      </c>
      <c r="E194" s="8" t="s">
        <v>84</v>
      </c>
      <c r="F194" s="8" t="s">
        <v>123</v>
      </c>
      <c r="G194" s="8" t="s">
        <v>203</v>
      </c>
      <c r="H194" s="8" t="s">
        <v>2094</v>
      </c>
      <c r="I194" s="11">
        <v>42</v>
      </c>
      <c r="J194" s="12">
        <v>0</v>
      </c>
      <c r="K194" s="12">
        <v>1</v>
      </c>
      <c r="L194" s="8" t="s">
        <v>2089</v>
      </c>
      <c r="M194" s="8" t="s">
        <v>1963</v>
      </c>
      <c r="N194" s="8" t="s">
        <v>1964</v>
      </c>
      <c r="O194" s="8" t="s">
        <v>2102</v>
      </c>
      <c r="P194" s="8"/>
      <c r="Q194" s="8" t="str">
        <f>IF(B194="","",IF(B194="P","P&amp;10",B194&amp;"D "&amp;C194))</f>
        <v>2D 4-6</v>
      </c>
      <c r="R194" s="8" t="str">
        <f>IF(L194&lt;&gt;"Y","",IF(COUNTIF('DEF_CALL_DECISION_SUPPORT'!$B$1197:$B$1256,SUBSTITUTE(SUBSTITUTE(SUBSTITUTE(E194,"~","~~"),"*","~*"),"?","~?"))&gt;0,"KNOWN","REVIEW: new call; refresh sources"))</f>
        <v>KNOWN</v>
      </c>
    </row>
    <row r="195" spans="1:18" ht="25" customHeight="1">
      <c r="A195" s="12">
        <v>155</v>
      </c>
      <c r="B195" s="8" t="s">
        <v>2067</v>
      </c>
      <c r="C195" s="8" t="s">
        <v>716</v>
      </c>
      <c r="D195" s="8" t="s">
        <v>432</v>
      </c>
      <c r="E195" s="8" t="s">
        <v>84</v>
      </c>
      <c r="F195" s="8" t="s">
        <v>123</v>
      </c>
      <c r="G195" s="8" t="s">
        <v>203</v>
      </c>
      <c r="H195" s="8" t="s">
        <v>1965</v>
      </c>
      <c r="I195" s="11">
        <v>3</v>
      </c>
      <c r="J195" s="12">
        <v>1</v>
      </c>
      <c r="K195" s="12">
        <v>0</v>
      </c>
      <c r="L195" s="8" t="s">
        <v>2089</v>
      </c>
      <c r="M195" s="8" t="s">
        <v>1965</v>
      </c>
      <c r="N195" s="8" t="s">
        <v>1964</v>
      </c>
      <c r="O195" s="8" t="s">
        <v>2102</v>
      </c>
      <c r="P195" s="8"/>
      <c r="Q195" s="8" t="str">
        <f>IF(B195="","",IF(B195="P","P&amp;10",B195&amp;"D "&amp;C195))</f>
        <v>2D 7-10</v>
      </c>
      <c r="R195" s="8" t="str">
        <f>IF(L195&lt;&gt;"Y","",IF(COUNTIF('DEF_CALL_DECISION_SUPPORT'!$B$1197:$B$1256,SUBSTITUTE(SUBSTITUTE(SUBSTITUTE(E195,"~","~~"),"*","~*"),"?","~?"))&gt;0,"KNOWN","REVIEW: new call; refresh sources"))</f>
        <v>KNOWN</v>
      </c>
    </row>
    <row r="196" spans="1:18" ht="25" customHeight="1">
      <c r="A196" s="12">
        <v>156</v>
      </c>
      <c r="B196" s="8" t="s">
        <v>2067</v>
      </c>
      <c r="C196" s="8" t="s">
        <v>716</v>
      </c>
      <c r="D196" s="8" t="s">
        <v>428</v>
      </c>
      <c r="E196" s="8" t="s">
        <v>65</v>
      </c>
      <c r="F196" s="8" t="s">
        <v>120</v>
      </c>
      <c r="G196" s="8" t="s">
        <v>222</v>
      </c>
      <c r="H196" s="8" t="s">
        <v>1965</v>
      </c>
      <c r="I196" s="11">
        <v>-1</v>
      </c>
      <c r="J196" s="12">
        <v>1</v>
      </c>
      <c r="K196" s="12">
        <v>0</v>
      </c>
      <c r="L196" s="8" t="s">
        <v>2089</v>
      </c>
      <c r="M196" s="8" t="s">
        <v>1965</v>
      </c>
      <c r="N196" s="8" t="s">
        <v>1973</v>
      </c>
      <c r="O196" s="8" t="s">
        <v>2095</v>
      </c>
      <c r="P196" s="8"/>
      <c r="Q196" s="8" t="str">
        <f>IF(B196="","",IF(B196="P","P&amp;10",B196&amp;"D "&amp;C196))</f>
        <v>2D 7-10</v>
      </c>
      <c r="R196" s="8" t="str">
        <f>IF(L196&lt;&gt;"Y","",IF(COUNTIF('DEF_CALL_DECISION_SUPPORT'!$B$1197:$B$1256,SUBSTITUTE(SUBSTITUTE(SUBSTITUTE(E196,"~","~~"),"*","~*"),"?","~?"))&gt;0,"KNOWN","REVIEW: new call; refresh sources"))</f>
        <v>KNOWN</v>
      </c>
    </row>
    <row r="197" spans="1:18" ht="25" customHeight="1">
      <c r="A197" s="12">
        <v>157</v>
      </c>
      <c r="B197" s="8" t="s">
        <v>2067</v>
      </c>
      <c r="C197" s="8" t="s">
        <v>716</v>
      </c>
      <c r="D197" s="8" t="s">
        <v>428</v>
      </c>
      <c r="E197" s="8" t="s">
        <v>65</v>
      </c>
      <c r="F197" s="8" t="s">
        <v>120</v>
      </c>
      <c r="G197" s="8" t="s">
        <v>203</v>
      </c>
      <c r="H197" s="8" t="s">
        <v>1965</v>
      </c>
      <c r="I197" s="11">
        <v>5</v>
      </c>
      <c r="J197" s="12">
        <v>0</v>
      </c>
      <c r="K197" s="12">
        <v>0</v>
      </c>
      <c r="L197" s="8" t="s">
        <v>2089</v>
      </c>
      <c r="M197" s="8" t="s">
        <v>1965</v>
      </c>
      <c r="N197" s="8" t="s">
        <v>1964</v>
      </c>
      <c r="O197" s="8" t="s">
        <v>2090</v>
      </c>
      <c r="P197" s="8"/>
      <c r="Q197" s="8" t="str">
        <f>IF(B197="","",IF(B197="P","P&amp;10",B197&amp;"D "&amp;C197))</f>
        <v>2D 7-10</v>
      </c>
      <c r="R197" s="8" t="str">
        <f>IF(L197&lt;&gt;"Y","",IF(COUNTIF('DEF_CALL_DECISION_SUPPORT'!$B$1197:$B$1256,SUBSTITUTE(SUBSTITUTE(SUBSTITUTE(E197,"~","~~"),"*","~*"),"?","~?"))&gt;0,"KNOWN","REVIEW: new call; refresh sources"))</f>
        <v>KNOWN</v>
      </c>
    </row>
    <row r="198" spans="1:18" ht="25" customHeight="1">
      <c r="A198" s="12">
        <v>158</v>
      </c>
      <c r="B198" s="8" t="s">
        <v>2067</v>
      </c>
      <c r="C198" s="8" t="s">
        <v>720</v>
      </c>
      <c r="D198" s="8" t="s">
        <v>471</v>
      </c>
      <c r="E198" s="8" t="s">
        <v>77</v>
      </c>
      <c r="F198" s="8" t="s">
        <v>120</v>
      </c>
      <c r="G198" s="8" t="s">
        <v>206</v>
      </c>
      <c r="H198" s="8" t="s">
        <v>2094</v>
      </c>
      <c r="I198" s="11">
        <v>5</v>
      </c>
      <c r="J198" s="12">
        <v>1</v>
      </c>
      <c r="K198" s="12">
        <v>0</v>
      </c>
      <c r="L198" s="8" t="s">
        <v>2089</v>
      </c>
      <c r="M198" s="8" t="s">
        <v>1963</v>
      </c>
      <c r="N198" s="8" t="s">
        <v>1967</v>
      </c>
      <c r="O198" s="8" t="s">
        <v>2104</v>
      </c>
      <c r="P198" s="8"/>
      <c r="Q198" s="8" t="str">
        <f>IF(B198="","",IF(B198="P","P&amp;10",B198&amp;"D "&amp;C198))</f>
        <v>2D 11+</v>
      </c>
      <c r="R198" s="8" t="str">
        <f>IF(L198&lt;&gt;"Y","",IF(COUNTIF('DEF_CALL_DECISION_SUPPORT'!$B$1197:$B$1256,SUBSTITUTE(SUBSTITUTE(SUBSTITUTE(E198,"~","~~"),"*","~*"),"?","~?"))&gt;0,"KNOWN","REVIEW: new call; refresh sources"))</f>
        <v>KNOWN</v>
      </c>
    </row>
    <row r="199" spans="1:18" ht="25" customHeight="1">
      <c r="A199" s="12">
        <v>159</v>
      </c>
      <c r="B199" s="8" t="s">
        <v>2067</v>
      </c>
      <c r="C199" s="8" t="s">
        <v>711</v>
      </c>
      <c r="D199" s="8" t="s">
        <v>465</v>
      </c>
      <c r="E199" s="8" t="s">
        <v>32</v>
      </c>
      <c r="F199" s="8" t="s">
        <v>120</v>
      </c>
      <c r="G199" s="8" t="s">
        <v>206</v>
      </c>
      <c r="H199" s="8" t="s">
        <v>1965</v>
      </c>
      <c r="I199" s="11">
        <v>16</v>
      </c>
      <c r="J199" s="12">
        <v>0</v>
      </c>
      <c r="K199" s="12">
        <v>1</v>
      </c>
      <c r="L199" s="8" t="s">
        <v>2089</v>
      </c>
      <c r="M199" s="8" t="s">
        <v>1965</v>
      </c>
      <c r="N199" s="8" t="s">
        <v>1961</v>
      </c>
      <c r="O199" s="8" t="s">
        <v>2104</v>
      </c>
      <c r="P199" s="8"/>
      <c r="Q199" s="8" t="str">
        <f>IF(B199="","",IF(B199="P","P&amp;10",B199&amp;"D "&amp;C199))</f>
        <v>2D 4-6</v>
      </c>
      <c r="R199" s="8" t="str">
        <f>IF(L199&lt;&gt;"Y","",IF(COUNTIF('DEF_CALL_DECISION_SUPPORT'!$B$1197:$B$1256,SUBSTITUTE(SUBSTITUTE(SUBSTITUTE(E199,"~","~~"),"*","~*"),"?","~?"))&gt;0,"KNOWN","REVIEW: new call; refresh sources"))</f>
        <v>KNOWN</v>
      </c>
    </row>
    <row r="200" spans="1:18" ht="25" customHeight="1">
      <c r="A200" s="12">
        <v>160</v>
      </c>
      <c r="B200" s="8" t="s">
        <v>2067</v>
      </c>
      <c r="C200" s="8" t="s">
        <v>716</v>
      </c>
      <c r="D200" s="8" t="s">
        <v>428</v>
      </c>
      <c r="E200" s="8" t="s">
        <v>87</v>
      </c>
      <c r="F200" s="8" t="s">
        <v>120</v>
      </c>
      <c r="G200" s="8" t="s">
        <v>206</v>
      </c>
      <c r="H200" s="8" t="s">
        <v>1965</v>
      </c>
      <c r="I200" s="11">
        <v>5</v>
      </c>
      <c r="J200" s="12">
        <v>0</v>
      </c>
      <c r="K200" s="12">
        <v>0</v>
      </c>
      <c r="L200" s="8" t="s">
        <v>2089</v>
      </c>
      <c r="M200" s="8" t="s">
        <v>1965</v>
      </c>
      <c r="N200" s="8" t="s">
        <v>1961</v>
      </c>
      <c r="O200" s="8" t="s">
        <v>2104</v>
      </c>
      <c r="P200" s="8"/>
      <c r="Q200" s="8" t="str">
        <f>IF(B200="","",IF(B200="P","P&amp;10",B200&amp;"D "&amp;C200))</f>
        <v>2D 7-10</v>
      </c>
      <c r="R200" s="8" t="str">
        <f>IF(L200&lt;&gt;"Y","",IF(COUNTIF('DEF_CALL_DECISION_SUPPORT'!$B$1197:$B$1256,SUBSTITUTE(SUBSTITUTE(SUBSTITUTE(E200,"~","~~"),"*","~*"),"?","~?"))&gt;0,"KNOWN","REVIEW: new call; refresh sources"))</f>
        <v>KNOWN</v>
      </c>
    </row>
    <row r="201" spans="1:18" ht="25" customHeight="1">
      <c r="A201" s="12">
        <v>161</v>
      </c>
      <c r="B201" s="8" t="s">
        <v>2067</v>
      </c>
      <c r="C201" s="8" t="s">
        <v>716</v>
      </c>
      <c r="D201" s="8" t="s">
        <v>428</v>
      </c>
      <c r="E201" s="8" t="s">
        <v>88</v>
      </c>
      <c r="F201" s="8" t="s">
        <v>123</v>
      </c>
      <c r="G201" s="8" t="s">
        <v>215</v>
      </c>
      <c r="H201" s="8" t="s">
        <v>1965</v>
      </c>
      <c r="I201" s="11">
        <v>3</v>
      </c>
      <c r="J201" s="12">
        <v>1</v>
      </c>
      <c r="K201" s="12">
        <v>0</v>
      </c>
      <c r="L201" s="8" t="s">
        <v>2089</v>
      </c>
      <c r="M201" s="8" t="s">
        <v>1965</v>
      </c>
      <c r="N201" s="8" t="s">
        <v>1969</v>
      </c>
      <c r="O201" s="8" t="s">
        <v>2095</v>
      </c>
      <c r="P201" s="8"/>
      <c r="Q201" s="8" t="str">
        <f>IF(B201="","",IF(B201="P","P&amp;10",B201&amp;"D "&amp;C201))</f>
        <v>2D 7-10</v>
      </c>
      <c r="R201" s="8" t="str">
        <f>IF(L201&lt;&gt;"Y","",IF(COUNTIF('DEF_CALL_DECISION_SUPPORT'!$B$1197:$B$1256,SUBSTITUTE(SUBSTITUTE(SUBSTITUTE(E201,"~","~~"),"*","~*"),"?","~?"))&gt;0,"KNOWN","REVIEW: new call; refresh sources"))</f>
        <v>KNOWN</v>
      </c>
    </row>
    <row r="202" spans="1:18" ht="25" customHeight="1">
      <c r="A202" s="12">
        <v>162</v>
      </c>
      <c r="B202" s="8" t="s">
        <v>2067</v>
      </c>
      <c r="C202" s="8" t="s">
        <v>720</v>
      </c>
      <c r="D202" s="8" t="s">
        <v>465</v>
      </c>
      <c r="E202" s="8" t="s">
        <v>55</v>
      </c>
      <c r="F202" s="8" t="s">
        <v>120</v>
      </c>
      <c r="G202" s="8" t="s">
        <v>203</v>
      </c>
      <c r="H202" s="8" t="s">
        <v>1965</v>
      </c>
      <c r="I202" s="11">
        <v>3</v>
      </c>
      <c r="J202" s="12">
        <v>1</v>
      </c>
      <c r="K202" s="12">
        <v>0</v>
      </c>
      <c r="L202" s="8" t="s">
        <v>2089</v>
      </c>
      <c r="M202" s="8" t="s">
        <v>1965</v>
      </c>
      <c r="N202" s="8" t="s">
        <v>1964</v>
      </c>
      <c r="O202" s="8" t="s">
        <v>2090</v>
      </c>
      <c r="P202" s="8"/>
      <c r="Q202" s="8" t="str">
        <f>IF(B202="","",IF(B202="P","P&amp;10",B202&amp;"D "&amp;C202))</f>
        <v>2D 11+</v>
      </c>
      <c r="R202" s="8" t="str">
        <f>IF(L202&lt;&gt;"Y","",IF(COUNTIF('DEF_CALL_DECISION_SUPPORT'!$B$1197:$B$1256,SUBSTITUTE(SUBSTITUTE(SUBSTITUTE(E202,"~","~~"),"*","~*"),"?","~?"))&gt;0,"KNOWN","REVIEW: new call; refresh sources"))</f>
        <v>KNOWN</v>
      </c>
    </row>
    <row r="203" spans="1:18" ht="25" customHeight="1">
      <c r="A203" s="12">
        <v>163</v>
      </c>
      <c r="B203" s="8" t="s">
        <v>2067</v>
      </c>
      <c r="C203" s="8" t="s">
        <v>706</v>
      </c>
      <c r="D203" s="8" t="s">
        <v>449</v>
      </c>
      <c r="E203" s="8" t="s">
        <v>72</v>
      </c>
      <c r="F203" s="8" t="s">
        <v>120</v>
      </c>
      <c r="G203" s="8" t="s">
        <v>203</v>
      </c>
      <c r="H203" s="8" t="s">
        <v>2094</v>
      </c>
      <c r="I203" s="11">
        <v>9</v>
      </c>
      <c r="J203" s="12">
        <v>0</v>
      </c>
      <c r="K203" s="12">
        <v>0</v>
      </c>
      <c r="L203" s="8" t="s">
        <v>2089</v>
      </c>
      <c r="M203" s="8" t="s">
        <v>1963</v>
      </c>
      <c r="N203" s="8" t="s">
        <v>1964</v>
      </c>
      <c r="O203" s="8" t="s">
        <v>2090</v>
      </c>
      <c r="P203" s="8"/>
      <c r="Q203" s="8" t="str">
        <f>IF(B203="","",IF(B203="P","P&amp;10",B203&amp;"D "&amp;C203))</f>
        <v>2D 1-3</v>
      </c>
      <c r="R203" s="8" t="str">
        <f>IF(L203&lt;&gt;"Y","",IF(COUNTIF('DEF_CALL_DECISION_SUPPORT'!$B$1197:$B$1256,SUBSTITUTE(SUBSTITUTE(SUBSTITUTE(E203,"~","~~"),"*","~*"),"?","~?"))&gt;0,"KNOWN","REVIEW: new call; refresh sources"))</f>
        <v>KNOWN</v>
      </c>
    </row>
    <row r="204" spans="1:18" ht="25" customHeight="1">
      <c r="A204" s="12">
        <v>164</v>
      </c>
      <c r="B204" s="8" t="s">
        <v>2067</v>
      </c>
      <c r="C204" s="8" t="s">
        <v>716</v>
      </c>
      <c r="D204" s="8" t="s">
        <v>480</v>
      </c>
      <c r="E204" s="8" t="s">
        <v>89</v>
      </c>
      <c r="F204" s="8" t="s">
        <v>120</v>
      </c>
      <c r="G204" s="8" t="s">
        <v>206</v>
      </c>
      <c r="H204" s="8" t="s">
        <v>2094</v>
      </c>
      <c r="I204" s="11">
        <v>3</v>
      </c>
      <c r="J204" s="12">
        <v>1</v>
      </c>
      <c r="K204" s="12">
        <v>0</v>
      </c>
      <c r="L204" s="8" t="s">
        <v>2089</v>
      </c>
      <c r="M204" s="8" t="s">
        <v>1963</v>
      </c>
      <c r="N204" s="8" t="s">
        <v>1967</v>
      </c>
      <c r="O204" s="8" t="s">
        <v>2104</v>
      </c>
      <c r="P204" s="8"/>
      <c r="Q204" s="8" t="str">
        <f>IF(B204="","",IF(B204="P","P&amp;10",B204&amp;"D "&amp;C204))</f>
        <v>2D 7-10</v>
      </c>
      <c r="R204" s="8" t="str">
        <f>IF(L204&lt;&gt;"Y","",IF(COUNTIF('DEF_CALL_DECISION_SUPPORT'!$B$1197:$B$1256,SUBSTITUTE(SUBSTITUTE(SUBSTITUTE(E204,"~","~~"),"*","~*"),"?","~?"))&gt;0,"KNOWN","REVIEW: new call; refresh sources"))</f>
        <v>KNOWN</v>
      </c>
    </row>
    <row r="205" spans="1:18" ht="25" customHeight="1">
      <c r="A205" s="12">
        <v>165</v>
      </c>
      <c r="B205" s="8" t="s">
        <v>2067</v>
      </c>
      <c r="C205" s="8" t="s">
        <v>716</v>
      </c>
      <c r="D205" s="8" t="s">
        <v>446</v>
      </c>
      <c r="E205" s="8" t="s">
        <v>90</v>
      </c>
      <c r="F205" s="8" t="s">
        <v>120</v>
      </c>
      <c r="G205" s="8" t="s">
        <v>206</v>
      </c>
      <c r="H205" s="8" t="s">
        <v>2094</v>
      </c>
      <c r="I205" s="11">
        <v>0</v>
      </c>
      <c r="J205" s="12">
        <v>1</v>
      </c>
      <c r="K205" s="12">
        <v>0</v>
      </c>
      <c r="L205" s="8" t="s">
        <v>2089</v>
      </c>
      <c r="M205" s="8" t="s">
        <v>1974</v>
      </c>
      <c r="N205" s="8" t="s">
        <v>1967</v>
      </c>
      <c r="O205" s="8" t="s">
        <v>2104</v>
      </c>
      <c r="P205" s="8"/>
      <c r="Q205" s="8" t="str">
        <f>IF(B205="","",IF(B205="P","P&amp;10",B205&amp;"D "&amp;C205))</f>
        <v>2D 7-10</v>
      </c>
      <c r="R205" s="8" t="str">
        <f>IF(L205&lt;&gt;"Y","",IF(COUNTIF('DEF_CALL_DECISION_SUPPORT'!$B$1197:$B$1256,SUBSTITUTE(SUBSTITUTE(SUBSTITUTE(E205,"~","~~"),"*","~*"),"?","~?"))&gt;0,"KNOWN","REVIEW: new call; refresh sources"))</f>
        <v>KNOWN</v>
      </c>
    </row>
    <row r="206" spans="1:18" ht="25" customHeight="1">
      <c r="A206" s="12">
        <v>166</v>
      </c>
      <c r="B206" s="8" t="s">
        <v>2067</v>
      </c>
      <c r="C206" s="8" t="s">
        <v>720</v>
      </c>
      <c r="D206" s="8" t="s">
        <v>471</v>
      </c>
      <c r="E206" s="8" t="s">
        <v>64</v>
      </c>
      <c r="F206" s="8" t="s">
        <v>120</v>
      </c>
      <c r="G206" s="8" t="s">
        <v>203</v>
      </c>
      <c r="H206" s="8" t="s">
        <v>2094</v>
      </c>
      <c r="I206" s="11">
        <v>5</v>
      </c>
      <c r="J206" s="12">
        <v>1</v>
      </c>
      <c r="K206" s="12">
        <v>0</v>
      </c>
      <c r="L206" s="8" t="s">
        <v>2089</v>
      </c>
      <c r="M206" s="8" t="s">
        <v>1963</v>
      </c>
      <c r="N206" s="8" t="s">
        <v>1964</v>
      </c>
      <c r="O206" s="8" t="s">
        <v>2090</v>
      </c>
      <c r="P206" s="8"/>
      <c r="Q206" s="8" t="str">
        <f>IF(B206="","",IF(B206="P","P&amp;10",B206&amp;"D "&amp;C206))</f>
        <v>2D 11+</v>
      </c>
      <c r="R206" s="8" t="str">
        <f>IF(L206&lt;&gt;"Y","",IF(COUNTIF('DEF_CALL_DECISION_SUPPORT'!$B$1197:$B$1256,SUBSTITUTE(SUBSTITUTE(SUBSTITUTE(E206,"~","~~"),"*","~*"),"?","~?"))&gt;0,"KNOWN","REVIEW: new call; refresh sources"))</f>
        <v>KNOWN</v>
      </c>
    </row>
    <row r="207" spans="1:18" ht="25" customHeight="1">
      <c r="A207" s="12">
        <v>167</v>
      </c>
      <c r="B207" s="8" t="s">
        <v>2067</v>
      </c>
      <c r="C207" s="8" t="s">
        <v>706</v>
      </c>
      <c r="D207" s="8" t="s">
        <v>468</v>
      </c>
      <c r="E207" s="8" t="s">
        <v>74</v>
      </c>
      <c r="F207" s="8" t="s">
        <v>120</v>
      </c>
      <c r="G207" s="8" t="s">
        <v>206</v>
      </c>
      <c r="H207" s="8" t="s">
        <v>2094</v>
      </c>
      <c r="I207" s="11">
        <v>-8</v>
      </c>
      <c r="J207" s="12">
        <v>1</v>
      </c>
      <c r="K207" s="12">
        <v>0</v>
      </c>
      <c r="L207" s="8" t="s">
        <v>2089</v>
      </c>
      <c r="M207" s="8" t="s">
        <v>1977</v>
      </c>
      <c r="N207" s="8" t="s">
        <v>1961</v>
      </c>
      <c r="O207" s="8" t="s">
        <v>2104</v>
      </c>
      <c r="P207" s="8"/>
      <c r="Q207" s="8" t="str">
        <f>IF(B207="","",IF(B207="P","P&amp;10",B207&amp;"D "&amp;C207))</f>
        <v>2D 1-3</v>
      </c>
      <c r="R207" s="8" t="str">
        <f>IF(L207&lt;&gt;"Y","",IF(COUNTIF('DEF_CALL_DECISION_SUPPORT'!$B$1197:$B$1256,SUBSTITUTE(SUBSTITUTE(SUBSTITUTE(E207,"~","~~"),"*","~*"),"?","~?"))&gt;0,"KNOWN","REVIEW: new call; refresh sources"))</f>
        <v>KNOWN</v>
      </c>
    </row>
    <row r="208" spans="1:18" ht="25" customHeight="1">
      <c r="A208" s="12">
        <v>168</v>
      </c>
      <c r="B208" s="8" t="s">
        <v>2069</v>
      </c>
      <c r="C208" s="8" t="s">
        <v>720</v>
      </c>
      <c r="D208" s="8" t="s">
        <v>446</v>
      </c>
      <c r="E208" s="8" t="s">
        <v>101</v>
      </c>
      <c r="F208" s="8" t="s">
        <v>120</v>
      </c>
      <c r="G208" s="8" t="s">
        <v>206</v>
      </c>
      <c r="H208" s="8" t="s">
        <v>2094</v>
      </c>
      <c r="I208" s="11">
        <v>5</v>
      </c>
      <c r="J208" s="12">
        <v>1</v>
      </c>
      <c r="K208" s="12">
        <v>0</v>
      </c>
      <c r="L208" s="8" t="s">
        <v>2089</v>
      </c>
      <c r="M208" s="8" t="s">
        <v>1963</v>
      </c>
      <c r="N208" s="8" t="s">
        <v>1961</v>
      </c>
      <c r="O208" s="8" t="s">
        <v>2104</v>
      </c>
      <c r="P208" s="8"/>
      <c r="Q208" s="8" t="str">
        <f>IF(B208="","",IF(B208="P","P&amp;10",B208&amp;"D "&amp;C208))</f>
        <v>3D 11+</v>
      </c>
      <c r="R208" s="8" t="str">
        <f>IF(L208&lt;&gt;"Y","",IF(COUNTIF('DEF_CALL_DECISION_SUPPORT'!$B$1197:$B$1256,SUBSTITUTE(SUBSTITUTE(SUBSTITUTE(E208,"~","~~"),"*","~*"),"?","~?"))&gt;0,"KNOWN","REVIEW: new call; refresh sources"))</f>
        <v>KNOWN</v>
      </c>
    </row>
    <row r="209" spans="1:18" ht="25" customHeight="1">
      <c r="A209" s="12">
        <v>169</v>
      </c>
      <c r="B209" s="8" t="s">
        <v>2069</v>
      </c>
      <c r="C209" s="8" t="s">
        <v>720</v>
      </c>
      <c r="D209" s="8" t="s">
        <v>449</v>
      </c>
      <c r="E209" s="8" t="s">
        <v>101</v>
      </c>
      <c r="F209" s="8" t="s">
        <v>120</v>
      </c>
      <c r="G209" s="8" t="s">
        <v>203</v>
      </c>
      <c r="H209" s="8" t="s">
        <v>2094</v>
      </c>
      <c r="I209" s="11">
        <v>4</v>
      </c>
      <c r="J209" s="12">
        <v>1</v>
      </c>
      <c r="K209" s="12">
        <v>0</v>
      </c>
      <c r="L209" s="8" t="s">
        <v>2089</v>
      </c>
      <c r="M209" s="8" t="s">
        <v>1963</v>
      </c>
      <c r="N209" s="8" t="s">
        <v>1964</v>
      </c>
      <c r="O209" s="8" t="s">
        <v>2090</v>
      </c>
      <c r="P209" s="8"/>
      <c r="Q209" s="8" t="str">
        <f>IF(B209="","",IF(B209="P","P&amp;10",B209&amp;"D "&amp;C209))</f>
        <v>3D 11+</v>
      </c>
      <c r="R209" s="8" t="str">
        <f>IF(L209&lt;&gt;"Y","",IF(COUNTIF('DEF_CALL_DECISION_SUPPORT'!$B$1197:$B$1256,SUBSTITUTE(SUBSTITUTE(SUBSTITUTE(E209,"~","~~"),"*","~*"),"?","~?"))&gt;0,"KNOWN","REVIEW: new call; refresh sources"))</f>
        <v>KNOWN</v>
      </c>
    </row>
    <row r="210" spans="1:18" ht="25" customHeight="1">
      <c r="A210" s="12">
        <v>170</v>
      </c>
      <c r="B210" s="8" t="s">
        <v>2069</v>
      </c>
      <c r="C210" s="8" t="s">
        <v>720</v>
      </c>
      <c r="D210" s="8" t="s">
        <v>449</v>
      </c>
      <c r="E210" s="8" t="s">
        <v>101</v>
      </c>
      <c r="F210" s="8" t="s">
        <v>120</v>
      </c>
      <c r="G210" s="8" t="s">
        <v>203</v>
      </c>
      <c r="H210" s="8" t="s">
        <v>2094</v>
      </c>
      <c r="I210" s="11">
        <v>0</v>
      </c>
      <c r="J210" s="12">
        <v>1</v>
      </c>
      <c r="K210" s="12">
        <v>0</v>
      </c>
      <c r="L210" s="8" t="s">
        <v>2089</v>
      </c>
      <c r="M210" s="8" t="s">
        <v>1974</v>
      </c>
      <c r="N210" s="8" t="s">
        <v>1964</v>
      </c>
      <c r="O210" s="8" t="s">
        <v>2090</v>
      </c>
      <c r="P210" s="8"/>
      <c r="Q210" s="8" t="str">
        <f>IF(B210="","",IF(B210="P","P&amp;10",B210&amp;"D "&amp;C210))</f>
        <v>3D 11+</v>
      </c>
      <c r="R210" s="8" t="str">
        <f>IF(L210&lt;&gt;"Y","",IF(COUNTIF('DEF_CALL_DECISION_SUPPORT'!$B$1197:$B$1256,SUBSTITUTE(SUBSTITUTE(SUBSTITUTE(E210,"~","~~"),"*","~*"),"?","~?"))&gt;0,"KNOWN","REVIEW: new call; refresh sources"))</f>
        <v>KNOWN</v>
      </c>
    </row>
    <row r="211" spans="1:18" ht="25" customHeight="1">
      <c r="A211" s="12">
        <v>171</v>
      </c>
      <c r="B211" s="8" t="s">
        <v>2069</v>
      </c>
      <c r="C211" s="8" t="s">
        <v>720</v>
      </c>
      <c r="D211" s="8" t="s">
        <v>449</v>
      </c>
      <c r="E211" s="8" t="s">
        <v>101</v>
      </c>
      <c r="F211" s="8" t="s">
        <v>120</v>
      </c>
      <c r="G211" s="8" t="s">
        <v>203</v>
      </c>
      <c r="H211" s="8" t="s">
        <v>2094</v>
      </c>
      <c r="I211" s="11">
        <v>11</v>
      </c>
      <c r="J211" s="12">
        <v>0</v>
      </c>
      <c r="K211" s="12">
        <v>0</v>
      </c>
      <c r="L211" s="8" t="s">
        <v>2089</v>
      </c>
      <c r="M211" s="8" t="s">
        <v>1963</v>
      </c>
      <c r="N211" s="8" t="s">
        <v>1964</v>
      </c>
      <c r="O211" s="8" t="s">
        <v>2090</v>
      </c>
      <c r="P211" s="8"/>
      <c r="Q211" s="8" t="str">
        <f>IF(B211="","",IF(B211="P","P&amp;10",B211&amp;"D "&amp;C211))</f>
        <v>3D 11+</v>
      </c>
      <c r="R211" s="8" t="str">
        <f>IF(L211&lt;&gt;"Y","",IF(COUNTIF('DEF_CALL_DECISION_SUPPORT'!$B$1197:$B$1256,SUBSTITUTE(SUBSTITUTE(SUBSTITUTE(E211,"~","~~"),"*","~*"),"?","~?"))&gt;0,"KNOWN","REVIEW: new call; refresh sources"))</f>
        <v>KNOWN</v>
      </c>
    </row>
    <row r="212" spans="1:18" ht="25" customHeight="1">
      <c r="A212" s="12">
        <v>172</v>
      </c>
      <c r="B212" s="8" t="s">
        <v>2069</v>
      </c>
      <c r="C212" s="8" t="s">
        <v>720</v>
      </c>
      <c r="D212" s="8" t="s">
        <v>561</v>
      </c>
      <c r="E212" s="8" t="s">
        <v>101</v>
      </c>
      <c r="F212" s="8" t="s">
        <v>120</v>
      </c>
      <c r="G212" s="8" t="s">
        <v>203</v>
      </c>
      <c r="H212" s="8" t="s">
        <v>2094</v>
      </c>
      <c r="I212" s="11">
        <v>4</v>
      </c>
      <c r="J212" s="12">
        <v>1</v>
      </c>
      <c r="K212" s="12">
        <v>0</v>
      </c>
      <c r="L212" s="8" t="s">
        <v>2089</v>
      </c>
      <c r="M212" s="8" t="s">
        <v>2065</v>
      </c>
      <c r="N212" s="8" t="s">
        <v>1964</v>
      </c>
      <c r="O212" s="8" t="s">
        <v>2090</v>
      </c>
      <c r="P212" s="8"/>
      <c r="Q212" s="8" t="str">
        <f>IF(B212="","",IF(B212="P","P&amp;10",B212&amp;"D "&amp;C212))</f>
        <v>3D 11+</v>
      </c>
      <c r="R212" s="8" t="str">
        <f>IF(L212&lt;&gt;"Y","",IF(COUNTIF('DEF_CALL_DECISION_SUPPORT'!$B$1197:$B$1256,SUBSTITUTE(SUBSTITUTE(SUBSTITUTE(E212,"~","~~"),"*","~*"),"?","~?"))&gt;0,"KNOWN","REVIEW: new call; refresh sources"))</f>
        <v>KNOWN</v>
      </c>
    </row>
    <row r="213" spans="1:18" ht="25" customHeight="1">
      <c r="A213" s="12">
        <v>173</v>
      </c>
      <c r="B213" s="8" t="s">
        <v>2069</v>
      </c>
      <c r="C213" s="8" t="s">
        <v>720</v>
      </c>
      <c r="D213" s="8" t="s">
        <v>449</v>
      </c>
      <c r="E213" s="8" t="s">
        <v>101</v>
      </c>
      <c r="F213" s="8" t="s">
        <v>120</v>
      </c>
      <c r="G213" s="8" t="s">
        <v>206</v>
      </c>
      <c r="H213" s="8" t="s">
        <v>2094</v>
      </c>
      <c r="I213" s="11">
        <v>49</v>
      </c>
      <c r="J213" s="12">
        <v>0</v>
      </c>
      <c r="K213" s="12">
        <v>1</v>
      </c>
      <c r="L213" s="8" t="s">
        <v>2089</v>
      </c>
      <c r="M213" s="8" t="s">
        <v>1963</v>
      </c>
      <c r="N213" s="8" t="s">
        <v>1961</v>
      </c>
      <c r="O213" s="8" t="s">
        <v>2104</v>
      </c>
      <c r="P213" s="8"/>
      <c r="Q213" s="8" t="str">
        <f>IF(B213="","",IF(B213="P","P&amp;10",B213&amp;"D "&amp;C213))</f>
        <v>3D 11+</v>
      </c>
      <c r="R213" s="8" t="str">
        <f>IF(L213&lt;&gt;"Y","",IF(COUNTIF('DEF_CALL_DECISION_SUPPORT'!$B$1197:$B$1256,SUBSTITUTE(SUBSTITUTE(SUBSTITUTE(E213,"~","~~"),"*","~*"),"?","~?"))&gt;0,"KNOWN","REVIEW: new call; refresh sources"))</f>
        <v>KNOWN</v>
      </c>
    </row>
    <row r="214" spans="1:18" ht="25" customHeight="1">
      <c r="A214" s="12">
        <v>174</v>
      </c>
      <c r="B214" s="8" t="s">
        <v>2069</v>
      </c>
      <c r="C214" s="8" t="s">
        <v>720</v>
      </c>
      <c r="D214" s="8" t="s">
        <v>449</v>
      </c>
      <c r="E214" s="8" t="s">
        <v>102</v>
      </c>
      <c r="F214" s="8" t="s">
        <v>120</v>
      </c>
      <c r="G214" s="8" t="s">
        <v>203</v>
      </c>
      <c r="H214" s="8" t="s">
        <v>2094</v>
      </c>
      <c r="I214" s="11">
        <v>-5</v>
      </c>
      <c r="J214" s="12">
        <v>1</v>
      </c>
      <c r="K214" s="12">
        <v>0</v>
      </c>
      <c r="L214" s="8" t="s">
        <v>2089</v>
      </c>
      <c r="M214" s="8" t="s">
        <v>1977</v>
      </c>
      <c r="N214" s="8" t="s">
        <v>1964</v>
      </c>
      <c r="O214" s="8" t="s">
        <v>2090</v>
      </c>
      <c r="P214" s="8"/>
      <c r="Q214" s="8" t="str">
        <f>IF(B214="","",IF(B214="P","P&amp;10",B214&amp;"D "&amp;C214))</f>
        <v>3D 11+</v>
      </c>
      <c r="R214" s="8" t="str">
        <f>IF(L214&lt;&gt;"Y","",IF(COUNTIF('DEF_CALL_DECISION_SUPPORT'!$B$1197:$B$1256,SUBSTITUTE(SUBSTITUTE(SUBSTITUTE(E214,"~","~~"),"*","~*"),"?","~?"))&gt;0,"KNOWN","REVIEW: new call; refresh sources"))</f>
        <v>KNOWN</v>
      </c>
    </row>
    <row r="215" spans="1:18" ht="25" customHeight="1">
      <c r="A215" s="12">
        <v>175</v>
      </c>
      <c r="B215" s="8" t="s">
        <v>2069</v>
      </c>
      <c r="C215" s="8" t="s">
        <v>711</v>
      </c>
      <c r="D215" s="8" t="s">
        <v>474</v>
      </c>
      <c r="E215" s="8" t="s">
        <v>102</v>
      </c>
      <c r="F215" s="8" t="s">
        <v>120</v>
      </c>
      <c r="G215" s="8" t="s">
        <v>206</v>
      </c>
      <c r="H215" s="8" t="s">
        <v>2094</v>
      </c>
      <c r="I215" s="11">
        <v>1</v>
      </c>
      <c r="J215" s="12">
        <v>1</v>
      </c>
      <c r="K215" s="12">
        <v>0</v>
      </c>
      <c r="L215" s="8" t="s">
        <v>2089</v>
      </c>
      <c r="M215" s="8" t="s">
        <v>1963</v>
      </c>
      <c r="N215" s="8" t="s">
        <v>1961</v>
      </c>
      <c r="O215" s="8" t="s">
        <v>2104</v>
      </c>
      <c r="P215" s="8"/>
      <c r="Q215" s="8" t="str">
        <f>IF(B215="","",IF(B215="P","P&amp;10",B215&amp;"D "&amp;C215))</f>
        <v>3D 4-6</v>
      </c>
      <c r="R215" s="8" t="str">
        <f>IF(L215&lt;&gt;"Y","",IF(COUNTIF('DEF_CALL_DECISION_SUPPORT'!$B$1197:$B$1256,SUBSTITUTE(SUBSTITUTE(SUBSTITUTE(E215,"~","~~"),"*","~*"),"?","~?"))&gt;0,"KNOWN","REVIEW: new call; refresh sources"))</f>
        <v>KNOWN</v>
      </c>
    </row>
    <row r="216" spans="1:18" ht="25" customHeight="1">
      <c r="A216" s="12">
        <v>176</v>
      </c>
      <c r="B216" s="8" t="s">
        <v>2069</v>
      </c>
      <c r="C216" s="8" t="s">
        <v>716</v>
      </c>
      <c r="D216" s="8" t="s">
        <v>428</v>
      </c>
      <c r="E216" s="8" t="s">
        <v>102</v>
      </c>
      <c r="F216" s="8" t="s">
        <v>120</v>
      </c>
      <c r="G216" s="8" t="s">
        <v>203</v>
      </c>
      <c r="H216" s="8" t="s">
        <v>1965</v>
      </c>
      <c r="I216" s="11">
        <v>3</v>
      </c>
      <c r="J216" s="12">
        <v>1</v>
      </c>
      <c r="K216" s="12">
        <v>0</v>
      </c>
      <c r="L216" s="8" t="s">
        <v>2089</v>
      </c>
      <c r="M216" s="8" t="s">
        <v>1965</v>
      </c>
      <c r="N216" s="8" t="s">
        <v>1964</v>
      </c>
      <c r="O216" s="8" t="s">
        <v>2090</v>
      </c>
      <c r="P216" s="8"/>
      <c r="Q216" s="8" t="str">
        <f>IF(B216="","",IF(B216="P","P&amp;10",B216&amp;"D "&amp;C216))</f>
        <v>3D 7-10</v>
      </c>
      <c r="R216" s="8" t="str">
        <f>IF(L216&lt;&gt;"Y","",IF(COUNTIF('DEF_CALL_DECISION_SUPPORT'!$B$1197:$B$1256,SUBSTITUTE(SUBSTITUTE(SUBSTITUTE(E216,"~","~~"),"*","~*"),"?","~?"))&gt;0,"KNOWN","REVIEW: new call; refresh sources"))</f>
        <v>KNOWN</v>
      </c>
    </row>
    <row r="217" spans="1:18" ht="25" customHeight="1">
      <c r="A217" s="12">
        <v>177</v>
      </c>
      <c r="B217" s="8" t="s">
        <v>2069</v>
      </c>
      <c r="C217" s="8" t="s">
        <v>716</v>
      </c>
      <c r="D217" s="8" t="s">
        <v>449</v>
      </c>
      <c r="E217" s="8" t="s">
        <v>102</v>
      </c>
      <c r="F217" s="8" t="s">
        <v>120</v>
      </c>
      <c r="G217" s="8" t="s">
        <v>222</v>
      </c>
      <c r="H217" s="8" t="s">
        <v>2094</v>
      </c>
      <c r="I217" s="11">
        <v>5</v>
      </c>
      <c r="J217" s="12">
        <v>1</v>
      </c>
      <c r="K217" s="12">
        <v>0</v>
      </c>
      <c r="L217" s="8" t="s">
        <v>2089</v>
      </c>
      <c r="M217" s="8" t="s">
        <v>1963</v>
      </c>
      <c r="N217" s="8" t="s">
        <v>1979</v>
      </c>
      <c r="O217" s="8" t="s">
        <v>2095</v>
      </c>
      <c r="P217" s="8"/>
      <c r="Q217" s="8" t="str">
        <f>IF(B217="","",IF(B217="P","P&amp;10",B217&amp;"D "&amp;C217))</f>
        <v>3D 7-10</v>
      </c>
      <c r="R217" s="8" t="str">
        <f>IF(L217&lt;&gt;"Y","",IF(COUNTIF('DEF_CALL_DECISION_SUPPORT'!$B$1197:$B$1256,SUBSTITUTE(SUBSTITUTE(SUBSTITUTE(E217,"~","~~"),"*","~*"),"?","~?"))&gt;0,"KNOWN","REVIEW: new call; refresh sources"))</f>
        <v>KNOWN</v>
      </c>
    </row>
    <row r="218" spans="1:18" ht="25" customHeight="1">
      <c r="A218" s="12">
        <v>178</v>
      </c>
      <c r="B218" s="8" t="s">
        <v>2069</v>
      </c>
      <c r="C218" s="8" t="s">
        <v>711</v>
      </c>
      <c r="D218" s="8" t="s">
        <v>449</v>
      </c>
      <c r="E218" s="8" t="s">
        <v>42</v>
      </c>
      <c r="F218" s="8" t="s">
        <v>120</v>
      </c>
      <c r="G218" s="8" t="s">
        <v>203</v>
      </c>
      <c r="H218" s="8" t="s">
        <v>2094</v>
      </c>
      <c r="I218" s="11">
        <v>-7</v>
      </c>
      <c r="J218" s="12">
        <v>1</v>
      </c>
      <c r="K218" s="12">
        <v>0</v>
      </c>
      <c r="L218" s="8" t="s">
        <v>2089</v>
      </c>
      <c r="M218" s="8" t="s">
        <v>1977</v>
      </c>
      <c r="N218" s="8" t="s">
        <v>1964</v>
      </c>
      <c r="O218" s="8" t="s">
        <v>2090</v>
      </c>
      <c r="P218" s="8"/>
      <c r="Q218" s="8" t="str">
        <f>IF(B218="","",IF(B218="P","P&amp;10",B218&amp;"D "&amp;C218))</f>
        <v>3D 4-6</v>
      </c>
      <c r="R218" s="8" t="str">
        <f>IF(L218&lt;&gt;"Y","",IF(COUNTIF('DEF_CALL_DECISION_SUPPORT'!$B$1197:$B$1256,SUBSTITUTE(SUBSTITUTE(SUBSTITUTE(E218,"~","~~"),"*","~*"),"?","~?"))&gt;0,"KNOWN","REVIEW: new call; refresh sources"))</f>
        <v>KNOWN</v>
      </c>
    </row>
    <row r="219" spans="1:18" ht="25" customHeight="1">
      <c r="A219" s="12">
        <v>179</v>
      </c>
      <c r="B219" s="8" t="s">
        <v>2069</v>
      </c>
      <c r="C219" s="8" t="s">
        <v>711</v>
      </c>
      <c r="D219" s="8" t="s">
        <v>449</v>
      </c>
      <c r="E219" s="8" t="s">
        <v>42</v>
      </c>
      <c r="F219" s="8" t="s">
        <v>120</v>
      </c>
      <c r="G219" s="8" t="s">
        <v>206</v>
      </c>
      <c r="H219" s="8" t="s">
        <v>2094</v>
      </c>
      <c r="I219" s="11">
        <v>3</v>
      </c>
      <c r="J219" s="12">
        <v>1</v>
      </c>
      <c r="K219" s="12">
        <v>0</v>
      </c>
      <c r="L219" s="8" t="s">
        <v>2089</v>
      </c>
      <c r="M219" s="8" t="s">
        <v>1966</v>
      </c>
      <c r="N219" s="8" t="s">
        <v>1967</v>
      </c>
      <c r="O219" s="8" t="s">
        <v>2104</v>
      </c>
      <c r="P219" s="8"/>
      <c r="Q219" s="8" t="str">
        <f>IF(B219="","",IF(B219="P","P&amp;10",B219&amp;"D "&amp;C219))</f>
        <v>3D 4-6</v>
      </c>
      <c r="R219" s="8" t="str">
        <f>IF(L219&lt;&gt;"Y","",IF(COUNTIF('DEF_CALL_DECISION_SUPPORT'!$B$1197:$B$1256,SUBSTITUTE(SUBSTITUTE(SUBSTITUTE(E219,"~","~~"),"*","~*"),"?","~?"))&gt;0,"KNOWN","REVIEW: new call; refresh sources"))</f>
        <v>KNOWN</v>
      </c>
    </row>
    <row r="220" spans="1:18" ht="25" customHeight="1">
      <c r="A220" s="12">
        <v>180</v>
      </c>
      <c r="B220" s="8" t="s">
        <v>2069</v>
      </c>
      <c r="C220" s="8" t="s">
        <v>716</v>
      </c>
      <c r="D220" s="8" t="s">
        <v>449</v>
      </c>
      <c r="E220" s="8" t="s">
        <v>42</v>
      </c>
      <c r="F220" s="8" t="s">
        <v>120</v>
      </c>
      <c r="G220" s="8" t="s">
        <v>222</v>
      </c>
      <c r="H220" s="8" t="s">
        <v>2094</v>
      </c>
      <c r="I220" s="11">
        <v>8</v>
      </c>
      <c r="J220" s="12">
        <v>0</v>
      </c>
      <c r="K220" s="12">
        <v>0</v>
      </c>
      <c r="L220" s="8" t="s">
        <v>2089</v>
      </c>
      <c r="M220" s="8" t="s">
        <v>1963</v>
      </c>
      <c r="N220" s="8" t="s">
        <v>1973</v>
      </c>
      <c r="O220" s="8" t="s">
        <v>2095</v>
      </c>
      <c r="P220" s="8"/>
      <c r="Q220" s="8" t="str">
        <f>IF(B220="","",IF(B220="P","P&amp;10",B220&amp;"D "&amp;C220))</f>
        <v>3D 7-10</v>
      </c>
      <c r="R220" s="8" t="str">
        <f>IF(L220&lt;&gt;"Y","",IF(COUNTIF('DEF_CALL_DECISION_SUPPORT'!$B$1197:$B$1256,SUBSTITUTE(SUBSTITUTE(SUBSTITUTE(E220,"~","~~"),"*","~*"),"?","~?"))&gt;0,"KNOWN","REVIEW: new call; refresh sources"))</f>
        <v>KNOWN</v>
      </c>
    </row>
    <row r="221" spans="1:18" ht="25" customHeight="1">
      <c r="A221" s="12">
        <v>181</v>
      </c>
      <c r="B221" s="8" t="s">
        <v>2069</v>
      </c>
      <c r="C221" s="8" t="s">
        <v>706</v>
      </c>
      <c r="D221" s="8" t="s">
        <v>477</v>
      </c>
      <c r="E221" s="8" t="s">
        <v>77</v>
      </c>
      <c r="F221" s="8" t="s">
        <v>120</v>
      </c>
      <c r="G221" s="8" t="s">
        <v>206</v>
      </c>
      <c r="H221" s="8" t="s">
        <v>1965</v>
      </c>
      <c r="I221" s="11">
        <v>1</v>
      </c>
      <c r="J221" s="12">
        <v>0</v>
      </c>
      <c r="K221" s="12">
        <v>0</v>
      </c>
      <c r="L221" s="8" t="s">
        <v>2089</v>
      </c>
      <c r="M221" s="8" t="s">
        <v>1965</v>
      </c>
      <c r="N221" s="8" t="s">
        <v>1967</v>
      </c>
      <c r="O221" s="8" t="s">
        <v>2104</v>
      </c>
      <c r="P221" s="8"/>
      <c r="Q221" s="8" t="str">
        <f>IF(B221="","",IF(B221="P","P&amp;10",B221&amp;"D "&amp;C221))</f>
        <v>3D 1-3</v>
      </c>
      <c r="R221" s="8" t="str">
        <f>IF(L221&lt;&gt;"Y","",IF(COUNTIF('DEF_CALL_DECISION_SUPPORT'!$B$1197:$B$1256,SUBSTITUTE(SUBSTITUTE(SUBSTITUTE(E221,"~","~~"),"*","~*"),"?","~?"))&gt;0,"KNOWN","REVIEW: new call; refresh sources"))</f>
        <v>KNOWN</v>
      </c>
    </row>
    <row r="222" spans="1:18" ht="25" customHeight="1">
      <c r="A222" s="12">
        <v>182</v>
      </c>
      <c r="B222" s="8" t="s">
        <v>2069</v>
      </c>
      <c r="C222" s="8" t="s">
        <v>711</v>
      </c>
      <c r="D222" s="8" t="s">
        <v>449</v>
      </c>
      <c r="E222" s="8" t="s">
        <v>77</v>
      </c>
      <c r="F222" s="8" t="s">
        <v>120</v>
      </c>
      <c r="G222" s="8" t="s">
        <v>206</v>
      </c>
      <c r="H222" s="8" t="s">
        <v>2094</v>
      </c>
      <c r="I222" s="11">
        <v>5</v>
      </c>
      <c r="J222" s="12">
        <v>1</v>
      </c>
      <c r="K222" s="12">
        <v>0</v>
      </c>
      <c r="L222" s="8" t="s">
        <v>2089</v>
      </c>
      <c r="M222" s="8" t="s">
        <v>1963</v>
      </c>
      <c r="N222" s="8" t="s">
        <v>1967</v>
      </c>
      <c r="O222" s="8" t="s">
        <v>2104</v>
      </c>
      <c r="P222" s="8"/>
      <c r="Q222" s="8" t="str">
        <f>IF(B222="","",IF(B222="P","P&amp;10",B222&amp;"D "&amp;C222))</f>
        <v>3D 4-6</v>
      </c>
      <c r="R222" s="8" t="str">
        <f>IF(L222&lt;&gt;"Y","",IF(COUNTIF('DEF_CALL_DECISION_SUPPORT'!$B$1197:$B$1256,SUBSTITUTE(SUBSTITUTE(SUBSTITUTE(E222,"~","~~"),"*","~*"),"?","~?"))&gt;0,"KNOWN","REVIEW: new call; refresh sources"))</f>
        <v>KNOWN</v>
      </c>
    </row>
    <row r="223" spans="1:18" ht="25" customHeight="1">
      <c r="A223" s="12">
        <v>183</v>
      </c>
      <c r="B223" s="8" t="s">
        <v>2069</v>
      </c>
      <c r="C223" s="8" t="s">
        <v>711</v>
      </c>
      <c r="D223" s="8" t="s">
        <v>432</v>
      </c>
      <c r="E223" s="8" t="s">
        <v>77</v>
      </c>
      <c r="F223" s="8" t="s">
        <v>132</v>
      </c>
      <c r="G223" s="8" t="s">
        <v>206</v>
      </c>
      <c r="H223" s="8" t="s">
        <v>1965</v>
      </c>
      <c r="I223" s="11">
        <v>-1</v>
      </c>
      <c r="J223" s="12">
        <v>1</v>
      </c>
      <c r="K223" s="12">
        <v>0</v>
      </c>
      <c r="L223" s="8" t="s">
        <v>2089</v>
      </c>
      <c r="M223" s="8" t="s">
        <v>1965</v>
      </c>
      <c r="N223" s="8" t="s">
        <v>1967</v>
      </c>
      <c r="O223" s="8" t="s">
        <v>2097</v>
      </c>
      <c r="P223" s="8"/>
      <c r="Q223" s="8" t="str">
        <f>IF(B223="","",IF(B223="P","P&amp;10",B223&amp;"D "&amp;C223))</f>
        <v>3D 4-6</v>
      </c>
      <c r="R223" s="8" t="str">
        <f>IF(L223&lt;&gt;"Y","",IF(COUNTIF('DEF_CALL_DECISION_SUPPORT'!$B$1197:$B$1256,SUBSTITUTE(SUBSTITUTE(SUBSTITUTE(E223,"~","~~"),"*","~*"),"?","~?"))&gt;0,"KNOWN","REVIEW: new call; refresh sources"))</f>
        <v>KNOWN</v>
      </c>
    </row>
    <row r="224" spans="1:18" ht="25" customHeight="1">
      <c r="A224" s="12">
        <v>184</v>
      </c>
      <c r="B224" s="8" t="s">
        <v>2069</v>
      </c>
      <c r="C224" s="8" t="s">
        <v>720</v>
      </c>
      <c r="D224" s="8" t="s">
        <v>449</v>
      </c>
      <c r="E224" s="8" t="s">
        <v>99</v>
      </c>
      <c r="F224" s="8" t="s">
        <v>120</v>
      </c>
      <c r="G224" s="8" t="s">
        <v>206</v>
      </c>
      <c r="H224" s="8" t="s">
        <v>2094</v>
      </c>
      <c r="I224" s="11">
        <v>14</v>
      </c>
      <c r="J224" s="12">
        <v>0</v>
      </c>
      <c r="K224" s="12">
        <v>0</v>
      </c>
      <c r="L224" s="8" t="s">
        <v>2089</v>
      </c>
      <c r="M224" s="8" t="s">
        <v>1963</v>
      </c>
      <c r="N224" s="8" t="s">
        <v>1967</v>
      </c>
      <c r="O224" s="8" t="s">
        <v>2104</v>
      </c>
      <c r="P224" s="8"/>
      <c r="Q224" s="8" t="str">
        <f>IF(B224="","",IF(B224="P","P&amp;10",B224&amp;"D "&amp;C224))</f>
        <v>3D 11+</v>
      </c>
      <c r="R224" s="8" t="str">
        <f>IF(L224&lt;&gt;"Y","",IF(COUNTIF('DEF_CALL_DECISION_SUPPORT'!$B$1197:$B$1256,SUBSTITUTE(SUBSTITUTE(SUBSTITUTE(E224,"~","~~"),"*","~*"),"?","~?"))&gt;0,"KNOWN","REVIEW: new call; refresh sources"))</f>
        <v>KNOWN</v>
      </c>
    </row>
    <row r="225" spans="1:18" ht="25" customHeight="1">
      <c r="A225" s="12">
        <v>185</v>
      </c>
      <c r="B225" s="8" t="s">
        <v>2069</v>
      </c>
      <c r="C225" s="8" t="s">
        <v>720</v>
      </c>
      <c r="D225" s="8" t="s">
        <v>449</v>
      </c>
      <c r="E225" s="8" t="s">
        <v>99</v>
      </c>
      <c r="F225" s="8" t="s">
        <v>120</v>
      </c>
      <c r="G225" s="8" t="s">
        <v>206</v>
      </c>
      <c r="H225" s="8" t="s">
        <v>2094</v>
      </c>
      <c r="I225" s="11">
        <v>0</v>
      </c>
      <c r="J225" s="12">
        <v>1</v>
      </c>
      <c r="K225" s="12">
        <v>0</v>
      </c>
      <c r="L225" s="8" t="s">
        <v>2089</v>
      </c>
      <c r="M225" s="8" t="s">
        <v>1974</v>
      </c>
      <c r="N225" s="8" t="s">
        <v>1967</v>
      </c>
      <c r="O225" s="8" t="s">
        <v>2104</v>
      </c>
      <c r="P225" s="8"/>
      <c r="Q225" s="8" t="str">
        <f>IF(B225="","",IF(B225="P","P&amp;10",B225&amp;"D "&amp;C225))</f>
        <v>3D 11+</v>
      </c>
      <c r="R225" s="8" t="str">
        <f>IF(L225&lt;&gt;"Y","",IF(COUNTIF('DEF_CALL_DECISION_SUPPORT'!$B$1197:$B$1256,SUBSTITUTE(SUBSTITUTE(SUBSTITUTE(E225,"~","~~"),"*","~*"),"?","~?"))&gt;0,"KNOWN","REVIEW: new call; refresh sources"))</f>
        <v>KNOWN</v>
      </c>
    </row>
    <row r="226" spans="1:18" ht="25" customHeight="1">
      <c r="A226" s="12">
        <v>186</v>
      </c>
      <c r="B226" s="8" t="s">
        <v>2069</v>
      </c>
      <c r="C226" s="8" t="s">
        <v>716</v>
      </c>
      <c r="D226" s="8" t="s">
        <v>449</v>
      </c>
      <c r="E226" s="8" t="s">
        <v>99</v>
      </c>
      <c r="F226" s="8" t="s">
        <v>120</v>
      </c>
      <c r="G226" s="8" t="s">
        <v>206</v>
      </c>
      <c r="H226" s="8" t="s">
        <v>2094</v>
      </c>
      <c r="I226" s="11">
        <v>12</v>
      </c>
      <c r="J226" s="12">
        <v>0</v>
      </c>
      <c r="K226" s="12">
        <v>0</v>
      </c>
      <c r="L226" s="8" t="s">
        <v>2089</v>
      </c>
      <c r="M226" s="8" t="s">
        <v>1963</v>
      </c>
      <c r="N226" s="8" t="s">
        <v>1967</v>
      </c>
      <c r="O226" s="8" t="s">
        <v>2104</v>
      </c>
      <c r="P226" s="8"/>
      <c r="Q226" s="8" t="str">
        <f>IF(B226="","",IF(B226="P","P&amp;10",B226&amp;"D "&amp;C226))</f>
        <v>3D 7-10</v>
      </c>
      <c r="R226" s="8" t="str">
        <f>IF(L226&lt;&gt;"Y","",IF(COUNTIF('DEF_CALL_DECISION_SUPPORT'!$B$1197:$B$1256,SUBSTITUTE(SUBSTITUTE(SUBSTITUTE(E226,"~","~~"),"*","~*"),"?","~?"))&gt;0,"KNOWN","REVIEW: new call; refresh sources"))</f>
        <v>KNOWN</v>
      </c>
    </row>
    <row r="227" spans="1:18" ht="25" customHeight="1">
      <c r="A227" s="12">
        <v>187</v>
      </c>
      <c r="B227" s="8" t="s">
        <v>2069</v>
      </c>
      <c r="C227" s="8" t="s">
        <v>706</v>
      </c>
      <c r="D227" s="8" t="s">
        <v>428</v>
      </c>
      <c r="E227" s="8" t="s">
        <v>35</v>
      </c>
      <c r="F227" s="8" t="s">
        <v>123</v>
      </c>
      <c r="G227" s="8" t="s">
        <v>203</v>
      </c>
      <c r="H227" s="8" t="s">
        <v>1965</v>
      </c>
      <c r="I227" s="11">
        <v>5</v>
      </c>
      <c r="J227" s="12">
        <v>0</v>
      </c>
      <c r="K227" s="12">
        <v>0</v>
      </c>
      <c r="L227" s="8" t="s">
        <v>2089</v>
      </c>
      <c r="M227" s="8" t="s">
        <v>1965</v>
      </c>
      <c r="N227" s="8" t="s">
        <v>1964</v>
      </c>
      <c r="O227" s="8" t="s">
        <v>2102</v>
      </c>
      <c r="P227" s="8"/>
      <c r="Q227" s="8" t="str">
        <f>IF(B227="","",IF(B227="P","P&amp;10",B227&amp;"D "&amp;C227))</f>
        <v>3D 1-3</v>
      </c>
      <c r="R227" s="8" t="str">
        <f>IF(L227&lt;&gt;"Y","",IF(COUNTIF('DEF_CALL_DECISION_SUPPORT'!$B$1197:$B$1256,SUBSTITUTE(SUBSTITUTE(SUBSTITUTE(E227,"~","~~"),"*","~*"),"?","~?"))&gt;0,"KNOWN","REVIEW: new call; refresh sources"))</f>
        <v>KNOWN</v>
      </c>
    </row>
    <row r="228" spans="1:18" ht="25" customHeight="1">
      <c r="A228" s="12">
        <v>188</v>
      </c>
      <c r="B228" s="8" t="s">
        <v>2069</v>
      </c>
      <c r="C228" s="8" t="s">
        <v>711</v>
      </c>
      <c r="D228" s="8"/>
      <c r="E228" s="8" t="s">
        <v>35</v>
      </c>
      <c r="F228" s="8" t="s">
        <v>120</v>
      </c>
      <c r="G228" s="8" t="s">
        <v>206</v>
      </c>
      <c r="H228" s="8" t="s">
        <v>2110</v>
      </c>
      <c r="I228" s="11">
        <v>0</v>
      </c>
      <c r="J228" s="12"/>
      <c r="K228" s="12"/>
      <c r="L228" s="8" t="s">
        <v>2109</v>
      </c>
      <c r="M228" s="8"/>
      <c r="N228" s="8" t="s">
        <v>1961</v>
      </c>
      <c r="O228" s="8" t="s">
        <v>2104</v>
      </c>
      <c r="P228" s="8" t="s">
        <v>2388</v>
      </c>
      <c r="Q228" s="8" t="str">
        <f>IF(B228="","",IF(B228="P","P&amp;10",B228&amp;"D "&amp;C228))</f>
        <v>3D 4-6</v>
      </c>
      <c r="R228" s="8">
        <f>IF(L228&lt;&gt;"Y","",IF(COUNTIF('DEF_CALL_DECISION_SUPPORT'!$B$1197:$B$1256,SUBSTITUTE(SUBSTITUTE(SUBSTITUTE(E228,"~","~~"),"*","~*"),"?","~?"))&gt;0,"KNOWN","REVIEW: new call; refresh sources"))</f>
        <v/>
      </c>
    </row>
    <row r="229" spans="1:18" ht="25" customHeight="1">
      <c r="A229" s="12">
        <v>189</v>
      </c>
      <c r="B229" s="8" t="s">
        <v>2069</v>
      </c>
      <c r="C229" s="8" t="s">
        <v>716</v>
      </c>
      <c r="D229" s="8" t="s">
        <v>428</v>
      </c>
      <c r="E229" s="8" t="s">
        <v>35</v>
      </c>
      <c r="F229" s="8" t="s">
        <v>123</v>
      </c>
      <c r="G229" s="8" t="s">
        <v>203</v>
      </c>
      <c r="H229" s="8" t="s">
        <v>1965</v>
      </c>
      <c r="I229" s="11">
        <v>0</v>
      </c>
      <c r="J229" s="12">
        <v>1</v>
      </c>
      <c r="K229" s="12">
        <v>0</v>
      </c>
      <c r="L229" s="8" t="s">
        <v>2089</v>
      </c>
      <c r="M229" s="8" t="s">
        <v>1965</v>
      </c>
      <c r="N229" s="8" t="s">
        <v>1964</v>
      </c>
      <c r="O229" s="8" t="s">
        <v>2102</v>
      </c>
      <c r="P229" s="8"/>
      <c r="Q229" s="8" t="str">
        <f>IF(B229="","",IF(B229="P","P&amp;10",B229&amp;"D "&amp;C229))</f>
        <v>3D 7-10</v>
      </c>
      <c r="R229" s="8" t="str">
        <f>IF(L229&lt;&gt;"Y","",IF(COUNTIF('DEF_CALL_DECISION_SUPPORT'!$B$1197:$B$1256,SUBSTITUTE(SUBSTITUTE(SUBSTITUTE(E229,"~","~~"),"*","~*"),"?","~?"))&gt;0,"KNOWN","REVIEW: new call; refresh sources"))</f>
        <v>KNOWN</v>
      </c>
    </row>
    <row r="230" spans="1:18" ht="25" customHeight="1">
      <c r="A230" s="12">
        <v>190</v>
      </c>
      <c r="B230" s="8" t="s">
        <v>2069</v>
      </c>
      <c r="C230" s="8" t="s">
        <v>711</v>
      </c>
      <c r="D230" s="8" t="s">
        <v>449</v>
      </c>
      <c r="E230" s="8" t="s">
        <v>27</v>
      </c>
      <c r="F230" s="8" t="s">
        <v>120</v>
      </c>
      <c r="G230" s="8" t="s">
        <v>203</v>
      </c>
      <c r="H230" s="8" t="s">
        <v>2094</v>
      </c>
      <c r="I230" s="11">
        <v>0</v>
      </c>
      <c r="J230" s="12">
        <v>1</v>
      </c>
      <c r="K230" s="12">
        <v>0</v>
      </c>
      <c r="L230" s="8" t="s">
        <v>2089</v>
      </c>
      <c r="M230" s="8" t="s">
        <v>1974</v>
      </c>
      <c r="N230" s="8" t="s">
        <v>1964</v>
      </c>
      <c r="O230" s="8" t="s">
        <v>2090</v>
      </c>
      <c r="P230" s="8"/>
      <c r="Q230" s="8" t="str">
        <f>IF(B230="","",IF(B230="P","P&amp;10",B230&amp;"D "&amp;C230))</f>
        <v>3D 4-6</v>
      </c>
      <c r="R230" s="8" t="str">
        <f>IF(L230&lt;&gt;"Y","",IF(COUNTIF('DEF_CALL_DECISION_SUPPORT'!$B$1197:$B$1256,SUBSTITUTE(SUBSTITUTE(SUBSTITUTE(E230,"~","~~"),"*","~*"),"?","~?"))&gt;0,"KNOWN","REVIEW: new call; refresh sources"))</f>
        <v>KNOWN</v>
      </c>
    </row>
    <row r="231" spans="1:18" ht="25" customHeight="1">
      <c r="A231" s="12">
        <v>191</v>
      </c>
      <c r="B231" s="8" t="s">
        <v>2069</v>
      </c>
      <c r="C231" s="8" t="s">
        <v>716</v>
      </c>
      <c r="D231" s="8" t="s">
        <v>428</v>
      </c>
      <c r="E231" s="8" t="s">
        <v>27</v>
      </c>
      <c r="F231" s="8" t="s">
        <v>120</v>
      </c>
      <c r="G231" s="8" t="s">
        <v>203</v>
      </c>
      <c r="H231" s="8" t="s">
        <v>1965</v>
      </c>
      <c r="I231" s="11">
        <v>1</v>
      </c>
      <c r="J231" s="12">
        <v>1</v>
      </c>
      <c r="K231" s="12">
        <v>0</v>
      </c>
      <c r="L231" s="8" t="s">
        <v>2089</v>
      </c>
      <c r="M231" s="8" t="s">
        <v>1965</v>
      </c>
      <c r="N231" s="8" t="s">
        <v>1964</v>
      </c>
      <c r="O231" s="8" t="s">
        <v>2090</v>
      </c>
      <c r="P231" s="8"/>
      <c r="Q231" s="8" t="str">
        <f>IF(B231="","",IF(B231="P","P&amp;10",B231&amp;"D "&amp;C231))</f>
        <v>3D 7-10</v>
      </c>
      <c r="R231" s="8" t="str">
        <f>IF(L231&lt;&gt;"Y","",IF(COUNTIF('DEF_CALL_DECISION_SUPPORT'!$B$1197:$B$1256,SUBSTITUTE(SUBSTITUTE(SUBSTITUTE(E231,"~","~~"),"*","~*"),"?","~?"))&gt;0,"KNOWN","REVIEW: new call; refresh sources"))</f>
        <v>KNOWN</v>
      </c>
    </row>
    <row r="232" spans="1:18" ht="25" customHeight="1">
      <c r="A232" s="12">
        <v>192</v>
      </c>
      <c r="B232" s="8" t="s">
        <v>2069</v>
      </c>
      <c r="C232" s="8" t="s">
        <v>706</v>
      </c>
      <c r="D232" s="8" t="s">
        <v>477</v>
      </c>
      <c r="E232" s="8" t="s">
        <v>60</v>
      </c>
      <c r="F232" s="8" t="s">
        <v>120</v>
      </c>
      <c r="G232" s="8" t="s">
        <v>203</v>
      </c>
      <c r="H232" s="8" t="s">
        <v>1965</v>
      </c>
      <c r="I232" s="11">
        <v>2</v>
      </c>
      <c r="J232" s="12">
        <v>0</v>
      </c>
      <c r="K232" s="12">
        <v>0</v>
      </c>
      <c r="L232" s="8" t="s">
        <v>2089</v>
      </c>
      <c r="M232" s="8" t="s">
        <v>1965</v>
      </c>
      <c r="N232" s="8" t="s">
        <v>1964</v>
      </c>
      <c r="O232" s="8" t="s">
        <v>2090</v>
      </c>
      <c r="P232" s="8"/>
      <c r="Q232" s="8" t="str">
        <f>IF(B232="","",IF(B232="P","P&amp;10",B232&amp;"D "&amp;C232))</f>
        <v>3D 1-3</v>
      </c>
      <c r="R232" s="8" t="str">
        <f>IF(L232&lt;&gt;"Y","",IF(COUNTIF('DEF_CALL_DECISION_SUPPORT'!$B$1197:$B$1256,SUBSTITUTE(SUBSTITUTE(SUBSTITUTE(E232,"~","~~"),"*","~*"),"?","~?"))&gt;0,"KNOWN","REVIEW: new call; refresh sources"))</f>
        <v>KNOWN</v>
      </c>
    </row>
    <row r="233" spans="1:18" ht="25" customHeight="1">
      <c r="A233" s="12">
        <v>193</v>
      </c>
      <c r="B233" s="8" t="s">
        <v>2069</v>
      </c>
      <c r="C233" s="8" t="s">
        <v>711</v>
      </c>
      <c r="D233" s="8" t="s">
        <v>446</v>
      </c>
      <c r="E233" s="8" t="s">
        <v>60</v>
      </c>
      <c r="F233" s="8" t="s">
        <v>120</v>
      </c>
      <c r="G233" s="8" t="s">
        <v>215</v>
      </c>
      <c r="H233" s="8" t="s">
        <v>2094</v>
      </c>
      <c r="I233" s="11">
        <v>0</v>
      </c>
      <c r="J233" s="12">
        <v>1</v>
      </c>
      <c r="K233" s="12">
        <v>0</v>
      </c>
      <c r="L233" s="8" t="s">
        <v>2089</v>
      </c>
      <c r="M233" s="8" t="s">
        <v>1974</v>
      </c>
      <c r="N233" s="8" t="s">
        <v>2116</v>
      </c>
      <c r="O233" s="8" t="s">
        <v>2095</v>
      </c>
      <c r="P233" s="8"/>
      <c r="Q233" s="8" t="str">
        <f>IF(B233="","",IF(B233="P","P&amp;10",B233&amp;"D "&amp;C233))</f>
        <v>3D 4-6</v>
      </c>
      <c r="R233" s="8" t="str">
        <f>IF(L233&lt;&gt;"Y","",IF(COUNTIF('DEF_CALL_DECISION_SUPPORT'!$B$1197:$B$1256,SUBSTITUTE(SUBSTITUTE(SUBSTITUTE(E233,"~","~~"),"*","~*"),"?","~?"))&gt;0,"KNOWN","REVIEW: new call; refresh sources"))</f>
        <v>KNOWN</v>
      </c>
    </row>
    <row r="234" spans="1:18" ht="25" customHeight="1">
      <c r="A234" s="12">
        <v>194</v>
      </c>
      <c r="B234" s="8" t="s">
        <v>2069</v>
      </c>
      <c r="C234" s="8" t="s">
        <v>706</v>
      </c>
      <c r="D234" s="8" t="s">
        <v>428</v>
      </c>
      <c r="E234" s="8" t="s">
        <v>66</v>
      </c>
      <c r="F234" s="8" t="s">
        <v>120</v>
      </c>
      <c r="G234" s="8" t="s">
        <v>203</v>
      </c>
      <c r="H234" s="8" t="s">
        <v>1965</v>
      </c>
      <c r="I234" s="11">
        <v>1</v>
      </c>
      <c r="J234" s="12">
        <v>0</v>
      </c>
      <c r="K234" s="12">
        <v>0</v>
      </c>
      <c r="L234" s="8" t="s">
        <v>2089</v>
      </c>
      <c r="M234" s="8" t="s">
        <v>1965</v>
      </c>
      <c r="N234" s="8" t="s">
        <v>1964</v>
      </c>
      <c r="O234" s="8" t="s">
        <v>2090</v>
      </c>
      <c r="P234" s="8"/>
      <c r="Q234" s="8" t="str">
        <f>IF(B234="","",IF(B234="P","P&amp;10",B234&amp;"D "&amp;C234))</f>
        <v>3D 1-3</v>
      </c>
      <c r="R234" s="8" t="str">
        <f>IF(L234&lt;&gt;"Y","",IF(COUNTIF('DEF_CALL_DECISION_SUPPORT'!$B$1197:$B$1256,SUBSTITUTE(SUBSTITUTE(SUBSTITUTE(E234,"~","~~"),"*","~*"),"?","~?"))&gt;0,"KNOWN","REVIEW: new call; refresh sources"))</f>
        <v>KNOWN</v>
      </c>
    </row>
    <row r="235" spans="1:18" ht="25" customHeight="1">
      <c r="A235" s="12">
        <v>195</v>
      </c>
      <c r="B235" s="8" t="s">
        <v>2069</v>
      </c>
      <c r="C235" s="8" t="s">
        <v>711</v>
      </c>
      <c r="D235" s="8" t="s">
        <v>428</v>
      </c>
      <c r="E235" s="8" t="s">
        <v>66</v>
      </c>
      <c r="F235" s="8" t="s">
        <v>123</v>
      </c>
      <c r="G235" s="8" t="s">
        <v>206</v>
      </c>
      <c r="H235" s="8" t="s">
        <v>1965</v>
      </c>
      <c r="I235" s="11">
        <v>0</v>
      </c>
      <c r="J235" s="12">
        <v>1</v>
      </c>
      <c r="K235" s="12">
        <v>0</v>
      </c>
      <c r="L235" s="8" t="s">
        <v>2089</v>
      </c>
      <c r="M235" s="8" t="s">
        <v>1965</v>
      </c>
      <c r="N235" s="8" t="s">
        <v>1961</v>
      </c>
      <c r="O235" s="8" t="s">
        <v>2099</v>
      </c>
      <c r="P235" s="8"/>
      <c r="Q235" s="8" t="str">
        <f>IF(B235="","",IF(B235="P","P&amp;10",B235&amp;"D "&amp;C235))</f>
        <v>3D 4-6</v>
      </c>
      <c r="R235" s="8" t="str">
        <f>IF(L235&lt;&gt;"Y","",IF(COUNTIF('DEF_CALL_DECISION_SUPPORT'!$B$1197:$B$1256,SUBSTITUTE(SUBSTITUTE(SUBSTITUTE(E235,"~","~~"),"*","~*"),"?","~?"))&gt;0,"KNOWN","REVIEW: new call; refresh sources"))</f>
        <v>KNOWN</v>
      </c>
    </row>
    <row r="236" spans="1:18" ht="25" customHeight="1">
      <c r="A236" s="12">
        <v>196</v>
      </c>
      <c r="B236" s="8" t="s">
        <v>2069</v>
      </c>
      <c r="C236" s="8" t="s">
        <v>706</v>
      </c>
      <c r="D236" s="8"/>
      <c r="E236" s="8"/>
      <c r="F236" s="8" t="s">
        <v>132</v>
      </c>
      <c r="G236" s="8" t="s">
        <v>203</v>
      </c>
      <c r="H236" s="8" t="s">
        <v>2110</v>
      </c>
      <c r="I236" s="11">
        <v>0</v>
      </c>
      <c r="J236" s="12"/>
      <c r="K236" s="12"/>
      <c r="L236" s="8" t="s">
        <v>2109</v>
      </c>
      <c r="M236" s="8"/>
      <c r="N236" s="8" t="s">
        <v>1964</v>
      </c>
      <c r="O236" s="8" t="s">
        <v>2095</v>
      </c>
      <c r="P236" s="8" t="s">
        <v>2388</v>
      </c>
      <c r="Q236" s="8" t="str">
        <f>IF(B236="","",IF(B236="P","P&amp;10",B236&amp;"D "&amp;C236))</f>
        <v>3D 1-3</v>
      </c>
      <c r="R236" s="8">
        <f>IF(L236&lt;&gt;"Y","",IF(COUNTIF('DEF_CALL_DECISION_SUPPORT'!$B$1197:$B$1256,SUBSTITUTE(SUBSTITUTE(SUBSTITUTE(E236,"~","~~"),"*","~*"),"?","~?"))&gt;0,"KNOWN","REVIEW: new call; refresh sources"))</f>
        <v/>
      </c>
    </row>
    <row r="237" spans="1:18" ht="25" customHeight="1">
      <c r="A237" s="12">
        <v>197</v>
      </c>
      <c r="B237" s="8" t="s">
        <v>2069</v>
      </c>
      <c r="C237" s="8" t="s">
        <v>711</v>
      </c>
      <c r="D237" s="8" t="s">
        <v>449</v>
      </c>
      <c r="E237" s="8" t="s">
        <v>37</v>
      </c>
      <c r="F237" s="8" t="s">
        <v>120</v>
      </c>
      <c r="G237" s="8" t="s">
        <v>206</v>
      </c>
      <c r="H237" s="8" t="s">
        <v>2094</v>
      </c>
      <c r="I237" s="11">
        <v>6</v>
      </c>
      <c r="J237" s="12">
        <v>0</v>
      </c>
      <c r="K237" s="12">
        <v>0</v>
      </c>
      <c r="L237" s="8" t="s">
        <v>2089</v>
      </c>
      <c r="M237" s="8" t="s">
        <v>1963</v>
      </c>
      <c r="N237" s="8" t="s">
        <v>1961</v>
      </c>
      <c r="O237" s="8" t="s">
        <v>2104</v>
      </c>
      <c r="P237" s="8"/>
      <c r="Q237" s="8" t="str">
        <f>IF(B237="","",IF(B237="P","P&amp;10",B237&amp;"D "&amp;C237))</f>
        <v>3D 4-6</v>
      </c>
      <c r="R237" s="8" t="str">
        <f>IF(L237&lt;&gt;"Y","",IF(COUNTIF('DEF_CALL_DECISION_SUPPORT'!$B$1197:$B$1256,SUBSTITUTE(SUBSTITUTE(SUBSTITUTE(E237,"~","~~"),"*","~*"),"?","~?"))&gt;0,"KNOWN","REVIEW: new call; refresh sources"))</f>
        <v>KNOWN</v>
      </c>
    </row>
    <row r="238" spans="1:18" ht="25" customHeight="1">
      <c r="A238" s="12">
        <v>198</v>
      </c>
      <c r="B238" s="8" t="s">
        <v>2069</v>
      </c>
      <c r="C238" s="8" t="s">
        <v>706</v>
      </c>
      <c r="D238" s="8" t="s">
        <v>432</v>
      </c>
      <c r="E238" s="8" t="s">
        <v>32</v>
      </c>
      <c r="F238" s="8" t="s">
        <v>132</v>
      </c>
      <c r="G238" s="8" t="s">
        <v>206</v>
      </c>
      <c r="H238" s="8" t="s">
        <v>1965</v>
      </c>
      <c r="I238" s="11">
        <v>8</v>
      </c>
      <c r="J238" s="12">
        <v>0</v>
      </c>
      <c r="K238" s="12">
        <v>0</v>
      </c>
      <c r="L238" s="8" t="s">
        <v>2089</v>
      </c>
      <c r="M238" s="8" t="s">
        <v>1965</v>
      </c>
      <c r="N238" s="8" t="s">
        <v>1967</v>
      </c>
      <c r="O238" s="8" t="s">
        <v>2097</v>
      </c>
      <c r="P238" s="8"/>
      <c r="Q238" s="8" t="str">
        <f>IF(B238="","",IF(B238="P","P&amp;10",B238&amp;"D "&amp;C238))</f>
        <v>3D 1-3</v>
      </c>
      <c r="R238" s="8" t="str">
        <f>IF(L238&lt;&gt;"Y","",IF(COUNTIF('DEF_CALL_DECISION_SUPPORT'!$B$1197:$B$1256,SUBSTITUTE(SUBSTITUTE(SUBSTITUTE(E238,"~","~~"),"*","~*"),"?","~?"))&gt;0,"KNOWN","REVIEW: new call; refresh sources"))</f>
        <v>KNOWN</v>
      </c>
    </row>
    <row r="239" spans="1:18" ht="25" customHeight="1">
      <c r="A239" s="12">
        <v>199</v>
      </c>
      <c r="B239" s="8" t="s">
        <v>2069</v>
      </c>
      <c r="C239" s="8" t="s">
        <v>720</v>
      </c>
      <c r="D239" s="8"/>
      <c r="E239" s="8" t="s">
        <v>44</v>
      </c>
      <c r="F239" s="8" t="s">
        <v>132</v>
      </c>
      <c r="G239" s="8" t="s">
        <v>203</v>
      </c>
      <c r="H239" s="8" t="s">
        <v>2110</v>
      </c>
      <c r="I239" s="11">
        <v>-2</v>
      </c>
      <c r="J239" s="12"/>
      <c r="K239" s="12"/>
      <c r="L239" s="8" t="s">
        <v>2109</v>
      </c>
      <c r="M239" s="8" t="s">
        <v>2112</v>
      </c>
      <c r="N239" s="8" t="s">
        <v>1964</v>
      </c>
      <c r="O239" s="8" t="s">
        <v>2095</v>
      </c>
      <c r="P239" s="8" t="s">
        <v>2388</v>
      </c>
      <c r="Q239" s="8" t="str">
        <f>IF(B239="","",IF(B239="P","P&amp;10",B239&amp;"D "&amp;C239))</f>
        <v>3D 11+</v>
      </c>
      <c r="R239" s="8">
        <f>IF(L239&lt;&gt;"Y","",IF(COUNTIF('DEF_CALL_DECISION_SUPPORT'!$B$1197:$B$1256,SUBSTITUTE(SUBSTITUTE(SUBSTITUTE(E239,"~","~~"),"*","~*"),"?","~?"))&gt;0,"KNOWN","REVIEW: new call; refresh sources"))</f>
        <v/>
      </c>
    </row>
    <row r="240" spans="1:18" ht="25" customHeight="1">
      <c r="A240" s="12">
        <v>200</v>
      </c>
      <c r="B240" s="8" t="s">
        <v>2069</v>
      </c>
      <c r="C240" s="8" t="s">
        <v>716</v>
      </c>
      <c r="D240" s="8" t="s">
        <v>471</v>
      </c>
      <c r="E240" s="8" t="s">
        <v>46</v>
      </c>
      <c r="F240" s="8" t="s">
        <v>132</v>
      </c>
      <c r="G240" s="8" t="s">
        <v>206</v>
      </c>
      <c r="H240" s="8" t="s">
        <v>2094</v>
      </c>
      <c r="I240" s="11">
        <v>7</v>
      </c>
      <c r="J240" s="12">
        <v>0</v>
      </c>
      <c r="K240" s="12">
        <v>0</v>
      </c>
      <c r="L240" s="8" t="s">
        <v>2089</v>
      </c>
      <c r="M240" s="8" t="s">
        <v>1963</v>
      </c>
      <c r="N240" s="8" t="s">
        <v>1967</v>
      </c>
      <c r="O240" s="8" t="s">
        <v>2097</v>
      </c>
      <c r="P240" s="8"/>
      <c r="Q240" s="8" t="str">
        <f>IF(B240="","",IF(B240="P","P&amp;10",B240&amp;"D "&amp;C240))</f>
        <v>3D 7-10</v>
      </c>
      <c r="R240" s="8" t="str">
        <f>IF(L240&lt;&gt;"Y","",IF(COUNTIF('DEF_CALL_DECISION_SUPPORT'!$B$1197:$B$1256,SUBSTITUTE(SUBSTITUTE(SUBSTITUTE(E240,"~","~~"),"*","~*"),"?","~?"))&gt;0,"KNOWN","REVIEW: new call; refresh sources"))</f>
        <v>KNOWN</v>
      </c>
    </row>
    <row r="241" spans="1:18" ht="25" customHeight="1">
      <c r="A241" s="12">
        <v>201</v>
      </c>
      <c r="B241" s="8" t="s">
        <v>2069</v>
      </c>
      <c r="C241" s="8" t="s">
        <v>711</v>
      </c>
      <c r="D241" s="8" t="s">
        <v>449</v>
      </c>
      <c r="E241" s="8" t="s">
        <v>48</v>
      </c>
      <c r="F241" s="8" t="s">
        <v>120</v>
      </c>
      <c r="G241" s="8" t="s">
        <v>206</v>
      </c>
      <c r="H241" s="8" t="s">
        <v>2094</v>
      </c>
      <c r="I241" s="11">
        <v>7</v>
      </c>
      <c r="J241" s="12">
        <v>0</v>
      </c>
      <c r="K241" s="12">
        <v>0</v>
      </c>
      <c r="L241" s="8" t="s">
        <v>2089</v>
      </c>
      <c r="M241" s="8" t="s">
        <v>1963</v>
      </c>
      <c r="N241" s="8" t="s">
        <v>1967</v>
      </c>
      <c r="O241" s="8" t="s">
        <v>2104</v>
      </c>
      <c r="P241" s="8"/>
      <c r="Q241" s="8" t="str">
        <f>IF(B241="","",IF(B241="P","P&amp;10",B241&amp;"D "&amp;C241))</f>
        <v>3D 4-6</v>
      </c>
      <c r="R241" s="8" t="str">
        <f>IF(L241&lt;&gt;"Y","",IF(COUNTIF('DEF_CALL_DECISION_SUPPORT'!$B$1197:$B$1256,SUBSTITUTE(SUBSTITUTE(SUBSTITUTE(E241,"~","~~"),"*","~*"),"?","~?"))&gt;0,"KNOWN","REVIEW: new call; refresh sources"))</f>
        <v>KNOWN</v>
      </c>
    </row>
    <row r="242" spans="1:18" ht="25" customHeight="1">
      <c r="A242" s="12">
        <v>202</v>
      </c>
      <c r="B242" s="8" t="s">
        <v>2069</v>
      </c>
      <c r="C242" s="8" t="s">
        <v>711</v>
      </c>
      <c r="D242" s="8" t="s">
        <v>428</v>
      </c>
      <c r="E242" s="8" t="s">
        <v>80</v>
      </c>
      <c r="F242" s="8" t="s">
        <v>175</v>
      </c>
      <c r="G242" s="8" t="s">
        <v>206</v>
      </c>
      <c r="H242" s="8" t="s">
        <v>1965</v>
      </c>
      <c r="I242" s="11">
        <v>2</v>
      </c>
      <c r="J242" s="12">
        <v>1</v>
      </c>
      <c r="K242" s="12">
        <v>0</v>
      </c>
      <c r="L242" s="8" t="s">
        <v>2089</v>
      </c>
      <c r="M242" s="8" t="s">
        <v>1965</v>
      </c>
      <c r="N242" s="8" t="s">
        <v>1961</v>
      </c>
      <c r="O242" s="8" t="s">
        <v>2095</v>
      </c>
      <c r="P242" s="8"/>
      <c r="Q242" s="8" t="str">
        <f>IF(B242="","",IF(B242="P","P&amp;10",B242&amp;"D "&amp;C242))</f>
        <v>3D 4-6</v>
      </c>
      <c r="R242" s="8" t="str">
        <f>IF(L242&lt;&gt;"Y","",IF(COUNTIF('DEF_CALL_DECISION_SUPPORT'!$B$1197:$B$1256,SUBSTITUTE(SUBSTITUTE(SUBSTITUTE(E242,"~","~~"),"*","~*"),"?","~?"))&gt;0,"KNOWN","REVIEW: new call; refresh sources"))</f>
        <v>KNOWN</v>
      </c>
    </row>
    <row r="243" spans="1:18" ht="25" customHeight="1">
      <c r="A243" s="12">
        <v>203</v>
      </c>
      <c r="B243" s="8" t="s">
        <v>2069</v>
      </c>
      <c r="C243" s="8" t="s">
        <v>706</v>
      </c>
      <c r="D243" s="8" t="s">
        <v>428</v>
      </c>
      <c r="E243" s="8" t="s">
        <v>53</v>
      </c>
      <c r="F243" s="8" t="s">
        <v>132</v>
      </c>
      <c r="G243" s="8" t="s">
        <v>206</v>
      </c>
      <c r="H243" s="8" t="s">
        <v>1965</v>
      </c>
      <c r="I243" s="11">
        <v>11</v>
      </c>
      <c r="J243" s="12">
        <v>0</v>
      </c>
      <c r="K243" s="12">
        <v>0</v>
      </c>
      <c r="L243" s="8" t="s">
        <v>2089</v>
      </c>
      <c r="M243" s="8" t="s">
        <v>1965</v>
      </c>
      <c r="N243" s="8" t="s">
        <v>1967</v>
      </c>
      <c r="O243" s="8" t="s">
        <v>2097</v>
      </c>
      <c r="P243" s="8"/>
      <c r="Q243" s="8" t="str">
        <f>IF(B243="","",IF(B243="P","P&amp;10",B243&amp;"D "&amp;C243))</f>
        <v>3D 1-3</v>
      </c>
      <c r="R243" s="8" t="str">
        <f>IF(L243&lt;&gt;"Y","",IF(COUNTIF('DEF_CALL_DECISION_SUPPORT'!$B$1197:$B$1256,SUBSTITUTE(SUBSTITUTE(SUBSTITUTE(E243,"~","~~"),"*","~*"),"?","~?"))&gt;0,"KNOWN","REVIEW: new call; refresh sources"))</f>
        <v>KNOWN</v>
      </c>
    </row>
    <row r="244" spans="1:18" ht="25" customHeight="1">
      <c r="A244" s="12">
        <v>204</v>
      </c>
      <c r="B244" s="8" t="s">
        <v>2069</v>
      </c>
      <c r="C244" s="8" t="s">
        <v>716</v>
      </c>
      <c r="D244" s="8" t="s">
        <v>446</v>
      </c>
      <c r="E244" s="8" t="s">
        <v>109</v>
      </c>
      <c r="F244" s="8" t="s">
        <v>120</v>
      </c>
      <c r="G244" s="8" t="s">
        <v>203</v>
      </c>
      <c r="H244" s="8" t="s">
        <v>2094</v>
      </c>
      <c r="I244" s="11">
        <v>16</v>
      </c>
      <c r="J244" s="12">
        <v>0</v>
      </c>
      <c r="K244" s="12">
        <v>1</v>
      </c>
      <c r="L244" s="8" t="s">
        <v>2089</v>
      </c>
      <c r="M244" s="8" t="s">
        <v>1963</v>
      </c>
      <c r="N244" s="8" t="s">
        <v>1964</v>
      </c>
      <c r="O244" s="8" t="s">
        <v>2090</v>
      </c>
      <c r="P244" s="8"/>
      <c r="Q244" s="8" t="str">
        <f>IF(B244="","",IF(B244="P","P&amp;10",B244&amp;"D "&amp;C244))</f>
        <v>3D 7-10</v>
      </c>
      <c r="R244" s="8" t="str">
        <f>IF(L244&lt;&gt;"Y","",IF(COUNTIF('DEF_CALL_DECISION_SUPPORT'!$B$1197:$B$1256,SUBSTITUTE(SUBSTITUTE(SUBSTITUTE(E244,"~","~~"),"*","~*"),"?","~?"))&gt;0,"KNOWN","REVIEW: new call; refresh sources"))</f>
        <v>KNOWN</v>
      </c>
    </row>
    <row r="245" spans="1:18" ht="25" customHeight="1">
      <c r="A245" s="12">
        <v>205</v>
      </c>
      <c r="B245" s="8" t="s">
        <v>2069</v>
      </c>
      <c r="C245" s="8" t="s">
        <v>716</v>
      </c>
      <c r="D245" s="8" t="s">
        <v>449</v>
      </c>
      <c r="E245" s="8" t="s">
        <v>61</v>
      </c>
      <c r="F245" s="8" t="s">
        <v>120</v>
      </c>
      <c r="G245" s="8" t="s">
        <v>203</v>
      </c>
      <c r="H245" s="8" t="s">
        <v>2094</v>
      </c>
      <c r="I245" s="11">
        <v>13</v>
      </c>
      <c r="J245" s="12">
        <v>0</v>
      </c>
      <c r="K245" s="12">
        <v>0</v>
      </c>
      <c r="L245" s="8" t="s">
        <v>2089</v>
      </c>
      <c r="M245" s="8" t="s">
        <v>1966</v>
      </c>
      <c r="N245" s="8" t="s">
        <v>1964</v>
      </c>
      <c r="O245" s="8" t="s">
        <v>2090</v>
      </c>
      <c r="P245" s="8"/>
      <c r="Q245" s="8" t="str">
        <f>IF(B245="","",IF(B245="P","P&amp;10",B245&amp;"D "&amp;C245))</f>
        <v>3D 7-10</v>
      </c>
      <c r="R245" s="8" t="str">
        <f>IF(L245&lt;&gt;"Y","",IF(COUNTIF('DEF_CALL_DECISION_SUPPORT'!$B$1197:$B$1256,SUBSTITUTE(SUBSTITUTE(SUBSTITUTE(E245,"~","~~"),"*","~*"),"?","~?"))&gt;0,"KNOWN","REVIEW: new call; refresh sources"))</f>
        <v>KNOWN</v>
      </c>
    </row>
    <row r="246" spans="1:18" ht="25" customHeight="1">
      <c r="A246" s="12">
        <v>206</v>
      </c>
      <c r="B246" s="8" t="s">
        <v>2069</v>
      </c>
      <c r="C246" s="8" t="s">
        <v>711</v>
      </c>
      <c r="D246" s="8" t="s">
        <v>449</v>
      </c>
      <c r="E246" s="8" t="s">
        <v>106</v>
      </c>
      <c r="F246" s="8" t="s">
        <v>120</v>
      </c>
      <c r="G246" s="8" t="s">
        <v>206</v>
      </c>
      <c r="H246" s="8" t="s">
        <v>2094</v>
      </c>
      <c r="I246" s="11">
        <v>22</v>
      </c>
      <c r="J246" s="12">
        <v>0</v>
      </c>
      <c r="K246" s="12">
        <v>1</v>
      </c>
      <c r="L246" s="8" t="s">
        <v>2089</v>
      </c>
      <c r="M246" s="8" t="s">
        <v>1963</v>
      </c>
      <c r="N246" s="8" t="s">
        <v>1967</v>
      </c>
      <c r="O246" s="8" t="s">
        <v>2104</v>
      </c>
      <c r="P246" s="8"/>
      <c r="Q246" s="8" t="str">
        <f>IF(B246="","",IF(B246="P","P&amp;10",B246&amp;"D "&amp;C246))</f>
        <v>3D 4-6</v>
      </c>
      <c r="R246" s="8" t="str">
        <f>IF(L246&lt;&gt;"Y","",IF(COUNTIF('DEF_CALL_DECISION_SUPPORT'!$B$1197:$B$1256,SUBSTITUTE(SUBSTITUTE(SUBSTITUTE(E246,"~","~~"),"*","~*"),"?","~?"))&gt;0,"KNOWN","REVIEW: new call; refresh sources"))</f>
        <v>KNOWN</v>
      </c>
    </row>
    <row r="247" spans="1:18" ht="25" customHeight="1">
      <c r="A247" s="12">
        <v>207</v>
      </c>
      <c r="B247" s="8" t="s">
        <v>2069</v>
      </c>
      <c r="C247" s="8" t="s">
        <v>711</v>
      </c>
      <c r="D247" s="8" t="s">
        <v>449</v>
      </c>
      <c r="E247" s="8" t="s">
        <v>84</v>
      </c>
      <c r="F247" s="8" t="s">
        <v>120</v>
      </c>
      <c r="G247" s="8" t="s">
        <v>206</v>
      </c>
      <c r="H247" s="8" t="s">
        <v>2094</v>
      </c>
      <c r="I247" s="11">
        <v>0</v>
      </c>
      <c r="J247" s="12">
        <v>1</v>
      </c>
      <c r="K247" s="12">
        <v>0</v>
      </c>
      <c r="L247" s="8" t="s">
        <v>2089</v>
      </c>
      <c r="M247" s="8" t="s">
        <v>1974</v>
      </c>
      <c r="N247" s="8" t="s">
        <v>1967</v>
      </c>
      <c r="O247" s="8" t="s">
        <v>2104</v>
      </c>
      <c r="P247" s="8"/>
      <c r="Q247" s="8" t="str">
        <f>IF(B247="","",IF(B247="P","P&amp;10",B247&amp;"D "&amp;C247))</f>
        <v>3D 4-6</v>
      </c>
      <c r="R247" s="8" t="str">
        <f>IF(L247&lt;&gt;"Y","",IF(COUNTIF('DEF_CALL_DECISION_SUPPORT'!$B$1197:$B$1256,SUBSTITUTE(SUBSTITUTE(SUBSTITUTE(E247,"~","~~"),"*","~*"),"?","~?"))&gt;0,"KNOWN","REVIEW: new call; refresh sources"))</f>
        <v>KNOWN</v>
      </c>
    </row>
    <row r="248" spans="1:18" ht="25" customHeight="1">
      <c r="A248" s="12">
        <v>208</v>
      </c>
      <c r="B248" s="8" t="s">
        <v>2069</v>
      </c>
      <c r="C248" s="8" t="s">
        <v>711</v>
      </c>
      <c r="D248" s="8" t="s">
        <v>446</v>
      </c>
      <c r="E248" s="8" t="s">
        <v>65</v>
      </c>
      <c r="F248" s="8" t="s">
        <v>120</v>
      </c>
      <c r="G248" s="8" t="s">
        <v>206</v>
      </c>
      <c r="H248" s="8" t="s">
        <v>2094</v>
      </c>
      <c r="I248" s="11">
        <v>5</v>
      </c>
      <c r="J248" s="12">
        <v>0</v>
      </c>
      <c r="K248" s="12">
        <v>0</v>
      </c>
      <c r="L248" s="8" t="s">
        <v>2089</v>
      </c>
      <c r="M248" s="8" t="s">
        <v>1963</v>
      </c>
      <c r="N248" s="8" t="s">
        <v>1967</v>
      </c>
      <c r="O248" s="8" t="s">
        <v>2104</v>
      </c>
      <c r="P248" s="8"/>
      <c r="Q248" s="8" t="str">
        <f>IF(B248="","",IF(B248="P","P&amp;10",B248&amp;"D "&amp;C248))</f>
        <v>3D 4-6</v>
      </c>
      <c r="R248" s="8" t="str">
        <f>IF(L248&lt;&gt;"Y","",IF(COUNTIF('DEF_CALL_DECISION_SUPPORT'!$B$1197:$B$1256,SUBSTITUTE(SUBSTITUTE(SUBSTITUTE(E248,"~","~~"),"*","~*"),"?","~?"))&gt;0,"KNOWN","REVIEW: new call; refresh sources"))</f>
        <v>KNOWN</v>
      </c>
    </row>
    <row r="249" spans="1:18" ht="25" customHeight="1">
      <c r="A249" s="12">
        <v>209</v>
      </c>
      <c r="B249" s="8" t="s">
        <v>2069</v>
      </c>
      <c r="C249" s="8" t="s">
        <v>711</v>
      </c>
      <c r="D249" s="8" t="s">
        <v>428</v>
      </c>
      <c r="E249" s="8" t="s">
        <v>69</v>
      </c>
      <c r="F249" s="8" t="s">
        <v>123</v>
      </c>
      <c r="G249" s="8" t="s">
        <v>203</v>
      </c>
      <c r="H249" s="8" t="s">
        <v>1965</v>
      </c>
      <c r="I249" s="11">
        <v>19</v>
      </c>
      <c r="J249" s="12">
        <v>0</v>
      </c>
      <c r="K249" s="12">
        <v>1</v>
      </c>
      <c r="L249" s="8" t="s">
        <v>2089</v>
      </c>
      <c r="M249" s="8" t="s">
        <v>1965</v>
      </c>
      <c r="N249" s="8" t="s">
        <v>1964</v>
      </c>
      <c r="O249" s="8" t="s">
        <v>2102</v>
      </c>
      <c r="P249" s="8"/>
      <c r="Q249" s="8" t="str">
        <f>IF(B249="","",IF(B249="P","P&amp;10",B249&amp;"D "&amp;C249))</f>
        <v>3D 4-6</v>
      </c>
      <c r="R249" s="8" t="str">
        <f>IF(L249&lt;&gt;"Y","",IF(COUNTIF('DEF_CALL_DECISION_SUPPORT'!$B$1197:$B$1256,SUBSTITUTE(SUBSTITUTE(SUBSTITUTE(E249,"~","~~"),"*","~*"),"?","~?"))&gt;0,"KNOWN","REVIEW: new call; refresh sources"))</f>
        <v>KNOWN</v>
      </c>
    </row>
    <row r="250" spans="1:18" ht="25" customHeight="1">
      <c r="A250" s="12">
        <v>210</v>
      </c>
      <c r="B250" s="8" t="s">
        <v>2069</v>
      </c>
      <c r="C250" s="8" t="s">
        <v>716</v>
      </c>
      <c r="D250" s="8" t="s">
        <v>449</v>
      </c>
      <c r="E250" s="8" t="s">
        <v>91</v>
      </c>
      <c r="F250" s="8" t="s">
        <v>120</v>
      </c>
      <c r="G250" s="8" t="s">
        <v>203</v>
      </c>
      <c r="H250" s="8" t="s">
        <v>2094</v>
      </c>
      <c r="I250" s="11">
        <v>0</v>
      </c>
      <c r="J250" s="12">
        <v>1</v>
      </c>
      <c r="K250" s="12">
        <v>0</v>
      </c>
      <c r="L250" s="8" t="s">
        <v>2089</v>
      </c>
      <c r="M250" s="8" t="s">
        <v>1974</v>
      </c>
      <c r="N250" s="8" t="s">
        <v>1964</v>
      </c>
      <c r="O250" s="8" t="s">
        <v>2090</v>
      </c>
      <c r="P250" s="8"/>
      <c r="Q250" s="8" t="str">
        <f>IF(B250="","",IF(B250="P","P&amp;10",B250&amp;"D "&amp;C250))</f>
        <v>3D 7-10</v>
      </c>
      <c r="R250" s="8" t="str">
        <f>IF(L250&lt;&gt;"Y","",IF(COUNTIF('DEF_CALL_DECISION_SUPPORT'!$B$1197:$B$1256,SUBSTITUTE(SUBSTITUTE(SUBSTITUTE(E250,"~","~~"),"*","~*"),"?","~?"))&gt;0,"KNOWN","REVIEW: new call; refresh sources"))</f>
        <v>KNOWN</v>
      </c>
    </row>
    <row r="251" spans="1:18" ht="25" customHeight="1">
      <c r="A251" s="12">
        <v>211</v>
      </c>
      <c r="B251" s="8" t="s">
        <v>2070</v>
      </c>
      <c r="C251" s="8" t="s">
        <v>706</v>
      </c>
      <c r="D251" s="8" t="s">
        <v>428</v>
      </c>
      <c r="E251" s="8" t="s">
        <v>60</v>
      </c>
      <c r="F251" s="8" t="s">
        <v>120</v>
      </c>
      <c r="G251" s="8" t="s">
        <v>203</v>
      </c>
      <c r="H251" s="8" t="s">
        <v>1965</v>
      </c>
      <c r="I251" s="11">
        <v>1</v>
      </c>
      <c r="J251" s="12">
        <v>1</v>
      </c>
      <c r="K251" s="12">
        <v>0</v>
      </c>
      <c r="L251" s="8" t="s">
        <v>2089</v>
      </c>
      <c r="M251" s="8" t="s">
        <v>1965</v>
      </c>
      <c r="N251" s="8" t="s">
        <v>1964</v>
      </c>
      <c r="O251" s="8" t="s">
        <v>2090</v>
      </c>
      <c r="P251" s="8"/>
      <c r="Q251" s="8" t="str">
        <f>IF(B251="","",IF(B251="P","P&amp;10",B251&amp;"D "&amp;C251))</f>
        <v>4D 1-3</v>
      </c>
      <c r="R251" s="8" t="str">
        <f>IF(L251&lt;&gt;"Y","",IF(COUNTIF('DEF_CALL_DECISION_SUPPORT'!$B$1197:$B$1256,SUBSTITUTE(SUBSTITUTE(SUBSTITUTE(E251,"~","~~"),"*","~*"),"?","~?"))&gt;0,"KNOWN","REVIEW: new call; refresh sources"))</f>
        <v>KNOWN</v>
      </c>
    </row>
    <row r="252" spans="1:18" ht="25" customHeight="1">
      <c r="A252" s="12">
        <v>212</v>
      </c>
      <c r="B252" s="8" t="s">
        <v>2070</v>
      </c>
      <c r="C252" s="8" t="s">
        <v>706</v>
      </c>
      <c r="D252" s="8" t="s">
        <v>477</v>
      </c>
      <c r="E252" s="8" t="s">
        <v>35</v>
      </c>
      <c r="F252" s="8" t="s">
        <v>120</v>
      </c>
      <c r="G252" s="8" t="s">
        <v>206</v>
      </c>
      <c r="H252" s="8" t="s">
        <v>1965</v>
      </c>
      <c r="I252" s="11">
        <v>5</v>
      </c>
      <c r="J252" s="12">
        <v>0</v>
      </c>
      <c r="K252" s="12">
        <v>0</v>
      </c>
      <c r="L252" s="8" t="s">
        <v>2089</v>
      </c>
      <c r="M252" s="8" t="s">
        <v>1965</v>
      </c>
      <c r="N252" s="8" t="s">
        <v>1967</v>
      </c>
      <c r="O252" s="8" t="s">
        <v>2104</v>
      </c>
      <c r="P252" s="8"/>
      <c r="Q252" s="8" t="str">
        <f>IF(B252="","",IF(B252="P","P&amp;10",B252&amp;"D "&amp;C252))</f>
        <v>4D 1-3</v>
      </c>
      <c r="R252" s="8" t="str">
        <f>IF(L252&lt;&gt;"Y","",IF(COUNTIF('DEF_CALL_DECISION_SUPPORT'!$B$1197:$B$1256,SUBSTITUTE(SUBSTITUTE(SUBSTITUTE(E252,"~","~~"),"*","~*"),"?","~?"))&gt;0,"KNOWN","REVIEW: new call; refresh sources"))</f>
        <v>KNOWN</v>
      </c>
    </row>
    <row r="253" spans="1:18" ht="25" customHeight="1">
      <c r="A253" s="12">
        <v>213</v>
      </c>
      <c r="B253" s="8" t="s">
        <v>2070</v>
      </c>
      <c r="C253" s="8" t="s">
        <v>711</v>
      </c>
      <c r="D253" s="8" t="s">
        <v>449</v>
      </c>
      <c r="E253" s="8" t="s">
        <v>27</v>
      </c>
      <c r="F253" s="8" t="s">
        <v>132</v>
      </c>
      <c r="G253" s="8" t="s">
        <v>222</v>
      </c>
      <c r="H253" s="8" t="s">
        <v>2094</v>
      </c>
      <c r="I253" s="11">
        <v>0</v>
      </c>
      <c r="J253" s="12">
        <v>1</v>
      </c>
      <c r="K253" s="12">
        <v>0</v>
      </c>
      <c r="L253" s="8" t="s">
        <v>2089</v>
      </c>
      <c r="M253" s="8" t="s">
        <v>1974</v>
      </c>
      <c r="N253" s="8" t="s">
        <v>222</v>
      </c>
      <c r="O253" s="8" t="s">
        <v>2095</v>
      </c>
      <c r="P253" s="8"/>
      <c r="Q253" s="8" t="str">
        <f>IF(B253="","",IF(B253="P","P&amp;10",B253&amp;"D "&amp;C253))</f>
        <v>4D 4-6</v>
      </c>
      <c r="R253" s="8" t="str">
        <f>IF(L253&lt;&gt;"Y","",IF(COUNTIF('DEF_CALL_DECISION_SUPPORT'!$B$1197:$B$1256,SUBSTITUTE(SUBSTITUTE(SUBSTITUTE(E253,"~","~~"),"*","~*"),"?","~?"))&gt;0,"KNOWN","REVIEW: new call; refresh sources"))</f>
        <v>KNOWN</v>
      </c>
    </row>
    <row r="254" spans="1:18" ht="25" customHeight="1">
      <c r="A254" s="12">
        <v>214</v>
      </c>
      <c r="B254" s="8" t="s">
        <v>2070</v>
      </c>
      <c r="C254" s="8" t="s">
        <v>706</v>
      </c>
      <c r="D254" s="8" t="s">
        <v>449</v>
      </c>
      <c r="E254" s="8" t="s">
        <v>27</v>
      </c>
      <c r="F254" s="8" t="s">
        <v>120</v>
      </c>
      <c r="G254" s="8" t="s">
        <v>206</v>
      </c>
      <c r="H254" s="8" t="s">
        <v>2094</v>
      </c>
      <c r="I254" s="11">
        <v>4</v>
      </c>
      <c r="J254" s="12">
        <v>0</v>
      </c>
      <c r="K254" s="12">
        <v>0</v>
      </c>
      <c r="L254" s="8" t="s">
        <v>2089</v>
      </c>
      <c r="M254" s="8" t="s">
        <v>1963</v>
      </c>
      <c r="N254" s="8" t="s">
        <v>1961</v>
      </c>
      <c r="O254" s="8" t="s">
        <v>2104</v>
      </c>
      <c r="P254" s="8"/>
      <c r="Q254" s="8" t="str">
        <f>IF(B254="","",IF(B254="P","P&amp;10",B254&amp;"D "&amp;C254))</f>
        <v>4D 1-3</v>
      </c>
      <c r="R254" s="8" t="str">
        <f>IF(L254&lt;&gt;"Y","",IF(COUNTIF('DEF_CALL_DECISION_SUPPORT'!$B$1197:$B$1256,SUBSTITUTE(SUBSTITUTE(SUBSTITUTE(E254,"~","~~"),"*","~*"),"?","~?"))&gt;0,"KNOWN","REVIEW: new call; refresh sources"))</f>
        <v>KNOWN</v>
      </c>
    </row>
    <row r="255" spans="1:18" ht="25" customHeight="1">
      <c r="A255" s="12">
        <v>215</v>
      </c>
      <c r="B255" s="8" t="s">
        <v>2070</v>
      </c>
      <c r="C255" s="8" t="s">
        <v>711</v>
      </c>
      <c r="D255" s="8" t="s">
        <v>449</v>
      </c>
      <c r="E255" s="8" t="s">
        <v>42</v>
      </c>
      <c r="F255" s="8" t="s">
        <v>120</v>
      </c>
      <c r="G255" s="8" t="s">
        <v>206</v>
      </c>
      <c r="H255" s="8" t="s">
        <v>2094</v>
      </c>
      <c r="I255" s="11">
        <v>29</v>
      </c>
      <c r="J255" s="12">
        <v>0</v>
      </c>
      <c r="K255" s="12">
        <v>1</v>
      </c>
      <c r="L255" s="8" t="s">
        <v>2089</v>
      </c>
      <c r="M255" s="8" t="s">
        <v>1963</v>
      </c>
      <c r="N255" s="8" t="s">
        <v>1967</v>
      </c>
      <c r="O255" s="8" t="s">
        <v>2104</v>
      </c>
      <c r="P255" s="8"/>
      <c r="Q255" s="8" t="str">
        <f>IF(B255="","",IF(B255="P","P&amp;10",B255&amp;"D "&amp;C255))</f>
        <v>4D 4-6</v>
      </c>
      <c r="R255" s="8" t="str">
        <f>IF(L255&lt;&gt;"Y","",IF(COUNTIF('DEF_CALL_DECISION_SUPPORT'!$B$1197:$B$1256,SUBSTITUTE(SUBSTITUTE(SUBSTITUTE(E255,"~","~~"),"*","~*"),"?","~?"))&gt;0,"KNOWN","REVIEW: new call; refresh sources"))</f>
        <v>KNOWN</v>
      </c>
    </row>
    <row r="256" spans="1:18" ht="25" customHeight="1">
      <c r="A256" s="12">
        <v>216</v>
      </c>
      <c r="B256" s="8" t="s">
        <v>2063</v>
      </c>
      <c r="C256" s="8" t="s">
        <v>115</v>
      </c>
      <c r="D256" s="8" t="s">
        <v>465</v>
      </c>
      <c r="E256" s="8" t="s">
        <v>35</v>
      </c>
      <c r="F256" s="8" t="s">
        <v>120</v>
      </c>
      <c r="G256" s="8" t="s">
        <v>206</v>
      </c>
      <c r="H256" s="8" t="s">
        <v>1965</v>
      </c>
      <c r="I256" s="11">
        <v>-1</v>
      </c>
      <c r="J256" s="12">
        <v>1</v>
      </c>
      <c r="K256" s="12">
        <v>0</v>
      </c>
      <c r="L256" s="8" t="s">
        <v>2089</v>
      </c>
      <c r="M256" s="8" t="s">
        <v>1965</v>
      </c>
      <c r="N256" s="8" t="s">
        <v>1967</v>
      </c>
      <c r="O256" s="8" t="s">
        <v>2104</v>
      </c>
      <c r="P256" s="8"/>
      <c r="Q256" s="8" t="str">
        <f>IF(B256="","",IF(B256="P","P&amp;10",B256&amp;"D "&amp;C256))</f>
        <v>P&amp;10</v>
      </c>
      <c r="R256" s="8" t="str">
        <f>IF(L256&lt;&gt;"Y","",IF(COUNTIF('DEF_CALL_DECISION_SUPPORT'!$B$1197:$B$1256,SUBSTITUTE(SUBSTITUTE(SUBSTITUTE(E256,"~","~~"),"*","~*"),"?","~?"))&gt;0,"KNOWN","REVIEW: new call; refresh sources"))</f>
        <v>KNOWN</v>
      </c>
    </row>
    <row r="257" spans="1:18" ht="25" customHeight="1">
      <c r="A257" s="12">
        <v>217</v>
      </c>
      <c r="B257" s="8" t="s">
        <v>2063</v>
      </c>
      <c r="C257" s="8" t="s">
        <v>115</v>
      </c>
      <c r="D257" s="8" t="s">
        <v>480</v>
      </c>
      <c r="E257" s="8" t="s">
        <v>35</v>
      </c>
      <c r="F257" s="8" t="s">
        <v>120</v>
      </c>
      <c r="G257" s="8" t="s">
        <v>203</v>
      </c>
      <c r="H257" s="8" t="s">
        <v>2094</v>
      </c>
      <c r="I257" s="11">
        <v>3</v>
      </c>
      <c r="J257" s="12">
        <v>1</v>
      </c>
      <c r="K257" s="12">
        <v>0</v>
      </c>
      <c r="L257" s="8" t="s">
        <v>2089</v>
      </c>
      <c r="M257" s="8" t="s">
        <v>1963</v>
      </c>
      <c r="N257" s="8" t="s">
        <v>1964</v>
      </c>
      <c r="O257" s="8" t="s">
        <v>2090</v>
      </c>
      <c r="P257" s="8"/>
      <c r="Q257" s="8" t="str">
        <f>IF(B257="","",IF(B257="P","P&amp;10",B257&amp;"D "&amp;C257))</f>
        <v>P&amp;10</v>
      </c>
      <c r="R257" s="8" t="str">
        <f>IF(L257&lt;&gt;"Y","",IF(COUNTIF('DEF_CALL_DECISION_SUPPORT'!$B$1197:$B$1256,SUBSTITUTE(SUBSTITUTE(SUBSTITUTE(E257,"~","~~"),"*","~*"),"?","~?"))&gt;0,"KNOWN","REVIEW: new call; refresh sources"))</f>
        <v>KNOWN</v>
      </c>
    </row>
    <row r="258" spans="1:18" ht="25" customHeight="1">
      <c r="A258" s="12">
        <v>218</v>
      </c>
      <c r="B258" s="8" t="s">
        <v>2063</v>
      </c>
      <c r="C258" s="8" t="s">
        <v>115</v>
      </c>
      <c r="D258" s="8" t="s">
        <v>605</v>
      </c>
      <c r="E258" s="8" t="s">
        <v>35</v>
      </c>
      <c r="F258" s="8" t="s">
        <v>120</v>
      </c>
      <c r="G258" s="8" t="s">
        <v>206</v>
      </c>
      <c r="H258" s="8" t="s">
        <v>2094</v>
      </c>
      <c r="I258" s="11">
        <v>0</v>
      </c>
      <c r="J258" s="12">
        <v>1</v>
      </c>
      <c r="K258" s="12">
        <v>0</v>
      </c>
      <c r="L258" s="8" t="s">
        <v>2089</v>
      </c>
      <c r="M258" s="8" t="s">
        <v>1974</v>
      </c>
      <c r="N258" s="8" t="s">
        <v>1967</v>
      </c>
      <c r="O258" s="8" t="s">
        <v>2104</v>
      </c>
      <c r="P258" s="8"/>
      <c r="Q258" s="8" t="str">
        <f>IF(B258="","",IF(B258="P","P&amp;10",B258&amp;"D "&amp;C258))</f>
        <v>P&amp;10</v>
      </c>
      <c r="R258" s="8" t="str">
        <f>IF(L258&lt;&gt;"Y","",IF(COUNTIF('DEF_CALL_DECISION_SUPPORT'!$B$1197:$B$1256,SUBSTITUTE(SUBSTITUTE(SUBSTITUTE(E258,"~","~~"),"*","~*"),"?","~?"))&gt;0,"KNOWN","REVIEW: new call; refresh sources"))</f>
        <v>KNOWN</v>
      </c>
    </row>
    <row r="259" spans="1:18" ht="25" customHeight="1">
      <c r="A259" s="12">
        <v>219</v>
      </c>
      <c r="B259" s="8" t="s">
        <v>2063</v>
      </c>
      <c r="C259" s="8" t="s">
        <v>115</v>
      </c>
      <c r="D259" s="8" t="s">
        <v>449</v>
      </c>
      <c r="E259" s="8" t="s">
        <v>35</v>
      </c>
      <c r="F259" s="8" t="s">
        <v>120</v>
      </c>
      <c r="G259" s="8" t="s">
        <v>203</v>
      </c>
      <c r="H259" s="8" t="s">
        <v>2094</v>
      </c>
      <c r="I259" s="11">
        <v>2</v>
      </c>
      <c r="J259" s="12">
        <v>1</v>
      </c>
      <c r="K259" s="12">
        <v>0</v>
      </c>
      <c r="L259" s="8" t="s">
        <v>2089</v>
      </c>
      <c r="M259" s="8" t="s">
        <v>1963</v>
      </c>
      <c r="N259" s="8" t="s">
        <v>1964</v>
      </c>
      <c r="O259" s="8" t="s">
        <v>2090</v>
      </c>
      <c r="P259" s="8"/>
      <c r="Q259" s="8" t="str">
        <f>IF(B259="","",IF(B259="P","P&amp;10",B259&amp;"D "&amp;C259))</f>
        <v>P&amp;10</v>
      </c>
      <c r="R259" s="8" t="str">
        <f>IF(L259&lt;&gt;"Y","",IF(COUNTIF('DEF_CALL_DECISION_SUPPORT'!$B$1197:$B$1256,SUBSTITUTE(SUBSTITUTE(SUBSTITUTE(E259,"~","~~"),"*","~*"),"?","~?"))&gt;0,"KNOWN","REVIEW: new call; refresh sources"))</f>
        <v>KNOWN</v>
      </c>
    </row>
    <row r="260" spans="1:18" ht="25" customHeight="1">
      <c r="A260" s="12">
        <v>220</v>
      </c>
      <c r="B260" s="8" t="s">
        <v>2063</v>
      </c>
      <c r="C260" s="8" t="s">
        <v>115</v>
      </c>
      <c r="D260" s="8" t="s">
        <v>428</v>
      </c>
      <c r="E260" s="8" t="s">
        <v>35</v>
      </c>
      <c r="F260" s="8" t="s">
        <v>120</v>
      </c>
      <c r="G260" s="8" t="s">
        <v>203</v>
      </c>
      <c r="H260" s="8" t="s">
        <v>1965</v>
      </c>
      <c r="I260" s="11">
        <v>9</v>
      </c>
      <c r="J260" s="12">
        <v>0</v>
      </c>
      <c r="K260" s="12">
        <v>0</v>
      </c>
      <c r="L260" s="8" t="s">
        <v>2089</v>
      </c>
      <c r="M260" s="8" t="s">
        <v>1965</v>
      </c>
      <c r="N260" s="8" t="s">
        <v>1964</v>
      </c>
      <c r="O260" s="8" t="s">
        <v>2090</v>
      </c>
      <c r="P260" s="8"/>
      <c r="Q260" s="8" t="str">
        <f>IF(B260="","",IF(B260="P","P&amp;10",B260&amp;"D "&amp;C260))</f>
        <v>P&amp;10</v>
      </c>
      <c r="R260" s="8" t="str">
        <f>IF(L260&lt;&gt;"Y","",IF(COUNTIF('DEF_CALL_DECISION_SUPPORT'!$B$1197:$B$1256,SUBSTITUTE(SUBSTITUTE(SUBSTITUTE(E260,"~","~~"),"*","~*"),"?","~?"))&gt;0,"KNOWN","REVIEW: new call; refresh sources"))</f>
        <v>KNOWN</v>
      </c>
    </row>
    <row r="261" spans="1:18" ht="25" customHeight="1">
      <c r="A261" s="12">
        <v>221</v>
      </c>
      <c r="B261" s="8" t="s">
        <v>2063</v>
      </c>
      <c r="C261" s="8" t="s">
        <v>115</v>
      </c>
      <c r="D261" s="8" t="s">
        <v>449</v>
      </c>
      <c r="E261" s="8" t="s">
        <v>117</v>
      </c>
      <c r="F261" s="8" t="s">
        <v>123</v>
      </c>
      <c r="G261" s="8" t="s">
        <v>203</v>
      </c>
      <c r="H261" s="8" t="s">
        <v>2094</v>
      </c>
      <c r="I261" s="11">
        <v>16</v>
      </c>
      <c r="J261" s="12">
        <v>0</v>
      </c>
      <c r="K261" s="12">
        <v>1</v>
      </c>
      <c r="L261" s="8" t="s">
        <v>2089</v>
      </c>
      <c r="M261" s="8" t="s">
        <v>1963</v>
      </c>
      <c r="N261" s="8" t="s">
        <v>1964</v>
      </c>
      <c r="O261" s="8" t="s">
        <v>2102</v>
      </c>
      <c r="P261" s="8"/>
      <c r="Q261" s="8" t="str">
        <f>IF(B261="","",IF(B261="P","P&amp;10",B261&amp;"D "&amp;C261))</f>
        <v>P&amp;10</v>
      </c>
      <c r="R261" s="8" t="str">
        <f>IF(L261&lt;&gt;"Y","",IF(COUNTIF('DEF_CALL_DECISION_SUPPORT'!$B$1197:$B$1256,SUBSTITUTE(SUBSTITUTE(SUBSTITUTE(E261,"~","~~"),"*","~*"),"?","~?"))&gt;0,"KNOWN","REVIEW: new call; refresh sources"))</f>
        <v>KNOWN</v>
      </c>
    </row>
    <row r="262" spans="1:18" ht="25" customHeight="1">
      <c r="A262" s="12">
        <v>222</v>
      </c>
      <c r="B262" s="8" t="s">
        <v>2063</v>
      </c>
      <c r="C262" s="8" t="s">
        <v>115</v>
      </c>
      <c r="D262" s="8" t="s">
        <v>446</v>
      </c>
      <c r="E262" s="8" t="s">
        <v>73</v>
      </c>
      <c r="F262" s="8" t="s">
        <v>120</v>
      </c>
      <c r="G262" s="8" t="s">
        <v>203</v>
      </c>
      <c r="H262" s="8" t="s">
        <v>2094</v>
      </c>
      <c r="I262" s="11">
        <v>0</v>
      </c>
      <c r="J262" s="12">
        <v>1</v>
      </c>
      <c r="K262" s="12">
        <v>0</v>
      </c>
      <c r="L262" s="8" t="s">
        <v>2089</v>
      </c>
      <c r="M262" s="8" t="s">
        <v>1968</v>
      </c>
      <c r="N262" s="8" t="s">
        <v>1964</v>
      </c>
      <c r="O262" s="8" t="s">
        <v>2090</v>
      </c>
      <c r="P262" s="8"/>
      <c r="Q262" s="8" t="str">
        <f>IF(B262="","",IF(B262="P","P&amp;10",B262&amp;"D "&amp;C262))</f>
        <v>P&amp;10</v>
      </c>
      <c r="R262" s="8" t="str">
        <f>IF(L262&lt;&gt;"Y","",IF(COUNTIF('DEF_CALL_DECISION_SUPPORT'!$B$1197:$B$1256,SUBSTITUTE(SUBSTITUTE(SUBSTITUTE(E262,"~","~~"),"*","~*"),"?","~?"))&gt;0,"KNOWN","REVIEW: new call; refresh sources"))</f>
        <v>KNOWN</v>
      </c>
    </row>
    <row r="263" spans="1:18" ht="25" customHeight="1">
      <c r="A263" s="12">
        <v>223</v>
      </c>
      <c r="B263" s="8" t="s">
        <v>2063</v>
      </c>
      <c r="C263" s="8" t="s">
        <v>115</v>
      </c>
      <c r="D263" s="8" t="s">
        <v>611</v>
      </c>
      <c r="E263" s="8" t="s">
        <v>67</v>
      </c>
      <c r="F263" s="8" t="s">
        <v>120</v>
      </c>
      <c r="G263" s="8" t="s">
        <v>203</v>
      </c>
      <c r="H263" s="8" t="s">
        <v>1965</v>
      </c>
      <c r="I263" s="11">
        <v>3</v>
      </c>
      <c r="J263" s="12">
        <v>1</v>
      </c>
      <c r="K263" s="12">
        <v>0</v>
      </c>
      <c r="L263" s="8" t="s">
        <v>2089</v>
      </c>
      <c r="M263" s="8" t="s">
        <v>1965</v>
      </c>
      <c r="N263" s="8" t="s">
        <v>1964</v>
      </c>
      <c r="O263" s="8" t="s">
        <v>2090</v>
      </c>
      <c r="P263" s="8"/>
      <c r="Q263" s="8" t="str">
        <f>IF(B263="","",IF(B263="P","P&amp;10",B263&amp;"D "&amp;C263))</f>
        <v>P&amp;10</v>
      </c>
      <c r="R263" s="8" t="str">
        <f>IF(L263&lt;&gt;"Y","",IF(COUNTIF('DEF_CALL_DECISION_SUPPORT'!$B$1197:$B$1256,SUBSTITUTE(SUBSTITUTE(SUBSTITUTE(E263,"~","~~"),"*","~*"),"?","~?"))&gt;0,"KNOWN","REVIEW: new call; refresh sources"))</f>
        <v>KNOWN</v>
      </c>
    </row>
    <row r="264" spans="1:18" ht="25" customHeight="1">
      <c r="A264" s="12">
        <v>224</v>
      </c>
      <c r="B264" s="8" t="s">
        <v>2066</v>
      </c>
      <c r="C264" s="8" t="s">
        <v>716</v>
      </c>
      <c r="D264" s="8" t="s">
        <v>452</v>
      </c>
      <c r="E264" s="8" t="s">
        <v>52</v>
      </c>
      <c r="F264" s="8" t="s">
        <v>123</v>
      </c>
      <c r="G264" s="8" t="s">
        <v>203</v>
      </c>
      <c r="H264" s="8" t="s">
        <v>2094</v>
      </c>
      <c r="I264" s="11">
        <v>0</v>
      </c>
      <c r="J264" s="12">
        <v>1</v>
      </c>
      <c r="K264" s="12">
        <v>0</v>
      </c>
      <c r="L264" s="8" t="s">
        <v>2089</v>
      </c>
      <c r="M264" s="8" t="s">
        <v>1974</v>
      </c>
      <c r="N264" s="8" t="s">
        <v>1964</v>
      </c>
      <c r="O264" s="8" t="s">
        <v>2102</v>
      </c>
      <c r="P264" s="8"/>
      <c r="Q264" s="8" t="str">
        <f>IF(B264="","",IF(B264="P","P&amp;10",B264&amp;"D "&amp;C264))</f>
        <v>1D 7-10</v>
      </c>
      <c r="R264" s="8" t="str">
        <f>IF(L264&lt;&gt;"Y","",IF(COUNTIF('DEF_CALL_DECISION_SUPPORT'!$B$1197:$B$1256,SUBSTITUTE(SUBSTITUTE(SUBSTITUTE(E264,"~","~~"),"*","~*"),"?","~?"))&gt;0,"KNOWN","REVIEW: new call; refresh sources"))</f>
        <v>KNOWN</v>
      </c>
    </row>
    <row r="265" spans="1:18" ht="25" customHeight="1">
      <c r="A265" s="12">
        <v>225</v>
      </c>
      <c r="B265" s="8" t="s">
        <v>2066</v>
      </c>
      <c r="C265" s="8" t="s">
        <v>716</v>
      </c>
      <c r="D265" s="8" t="s">
        <v>468</v>
      </c>
      <c r="E265" s="8" t="s">
        <v>52</v>
      </c>
      <c r="F265" s="8" t="s">
        <v>123</v>
      </c>
      <c r="G265" s="8" t="s">
        <v>203</v>
      </c>
      <c r="H265" s="8" t="s">
        <v>2094</v>
      </c>
      <c r="I265" s="11">
        <v>0</v>
      </c>
      <c r="J265" s="12">
        <v>1</v>
      </c>
      <c r="K265" s="12">
        <v>0</v>
      </c>
      <c r="L265" s="8" t="s">
        <v>2089</v>
      </c>
      <c r="M265" s="8" t="s">
        <v>1974</v>
      </c>
      <c r="N265" s="8" t="s">
        <v>1964</v>
      </c>
      <c r="O265" s="8" t="s">
        <v>2102</v>
      </c>
      <c r="P265" s="8"/>
      <c r="Q265" s="8" t="str">
        <f>IF(B265="","",IF(B265="P","P&amp;10",B265&amp;"D "&amp;C265))</f>
        <v>1D 7-10</v>
      </c>
      <c r="R265" s="8" t="str">
        <f>IF(L265&lt;&gt;"Y","",IF(COUNTIF('DEF_CALL_DECISION_SUPPORT'!$B$1197:$B$1256,SUBSTITUTE(SUBSTITUTE(SUBSTITUTE(E265,"~","~~"),"*","~*"),"?","~?"))&gt;0,"KNOWN","REVIEW: new call; refresh sources"))</f>
        <v>KNOWN</v>
      </c>
    </row>
    <row r="266" spans="1:18" ht="25" customHeight="1">
      <c r="A266" s="12">
        <v>226</v>
      </c>
      <c r="B266" s="8" t="s">
        <v>2066</v>
      </c>
      <c r="C266" s="8" t="s">
        <v>716</v>
      </c>
      <c r="D266" s="8" t="s">
        <v>460</v>
      </c>
      <c r="E266" s="8" t="s">
        <v>52</v>
      </c>
      <c r="F266" s="8" t="s">
        <v>123</v>
      </c>
      <c r="G266" s="8" t="s">
        <v>203</v>
      </c>
      <c r="H266" s="8" t="s">
        <v>2094</v>
      </c>
      <c r="I266" s="11">
        <v>2</v>
      </c>
      <c r="J266" s="12">
        <v>1</v>
      </c>
      <c r="K266" s="12">
        <v>0</v>
      </c>
      <c r="L266" s="8" t="s">
        <v>2089</v>
      </c>
      <c r="M266" s="8" t="s">
        <v>1963</v>
      </c>
      <c r="N266" s="8" t="s">
        <v>1964</v>
      </c>
      <c r="O266" s="8" t="s">
        <v>2102</v>
      </c>
      <c r="P266" s="8"/>
      <c r="Q266" s="8" t="str">
        <f>IF(B266="","",IF(B266="P","P&amp;10",B266&amp;"D "&amp;C266))</f>
        <v>1D 7-10</v>
      </c>
      <c r="R266" s="8" t="str">
        <f>IF(L266&lt;&gt;"Y","",IF(COUNTIF('DEF_CALL_DECISION_SUPPORT'!$B$1197:$B$1256,SUBSTITUTE(SUBSTITUTE(SUBSTITUTE(E266,"~","~~"),"*","~*"),"?","~?"))&gt;0,"KNOWN","REVIEW: new call; refresh sources"))</f>
        <v>KNOWN</v>
      </c>
    </row>
    <row r="267" spans="1:18" ht="25" customHeight="1">
      <c r="A267" s="12">
        <v>227</v>
      </c>
      <c r="B267" s="8" t="s">
        <v>2066</v>
      </c>
      <c r="C267" s="8" t="s">
        <v>716</v>
      </c>
      <c r="D267" s="8" t="s">
        <v>449</v>
      </c>
      <c r="E267" s="8" t="s">
        <v>52</v>
      </c>
      <c r="F267" s="8" t="s">
        <v>123</v>
      </c>
      <c r="G267" s="8" t="s">
        <v>203</v>
      </c>
      <c r="H267" s="8" t="s">
        <v>2094</v>
      </c>
      <c r="I267" s="11">
        <v>15</v>
      </c>
      <c r="J267" s="12">
        <v>0</v>
      </c>
      <c r="K267" s="12">
        <v>1</v>
      </c>
      <c r="L267" s="8" t="s">
        <v>2089</v>
      </c>
      <c r="M267" s="8" t="s">
        <v>1963</v>
      </c>
      <c r="N267" s="8" t="s">
        <v>1964</v>
      </c>
      <c r="O267" s="8" t="s">
        <v>2102</v>
      </c>
      <c r="P267" s="8"/>
      <c r="Q267" s="8" t="str">
        <f>IF(B267="","",IF(B267="P","P&amp;10",B267&amp;"D "&amp;C267))</f>
        <v>1D 7-10</v>
      </c>
      <c r="R267" s="8" t="str">
        <f>IF(L267&lt;&gt;"Y","",IF(COUNTIF('DEF_CALL_DECISION_SUPPORT'!$B$1197:$B$1256,SUBSTITUTE(SUBSTITUTE(SUBSTITUTE(E267,"~","~~"),"*","~*"),"?","~?"))&gt;0,"KNOWN","REVIEW: new call; refresh sources"))</f>
        <v>KNOWN</v>
      </c>
    </row>
    <row r="268" spans="1:18" ht="25" customHeight="1">
      <c r="A268" s="12">
        <v>228</v>
      </c>
      <c r="B268" s="8" t="s">
        <v>2066</v>
      </c>
      <c r="C268" s="8" t="s">
        <v>716</v>
      </c>
      <c r="D268" s="8" t="s">
        <v>446</v>
      </c>
      <c r="E268" s="8" t="s">
        <v>53</v>
      </c>
      <c r="F268" s="8" t="s">
        <v>120</v>
      </c>
      <c r="G268" s="8" t="s">
        <v>203</v>
      </c>
      <c r="H268" s="8" t="s">
        <v>2094</v>
      </c>
      <c r="I268" s="11">
        <v>6</v>
      </c>
      <c r="J268" s="12">
        <v>1</v>
      </c>
      <c r="K268" s="12">
        <v>0</v>
      </c>
      <c r="L268" s="8" t="s">
        <v>2089</v>
      </c>
      <c r="M268" s="8" t="s">
        <v>1963</v>
      </c>
      <c r="N268" s="8" t="s">
        <v>1964</v>
      </c>
      <c r="O268" s="8" t="s">
        <v>2090</v>
      </c>
      <c r="P268" s="8"/>
      <c r="Q268" s="8" t="str">
        <f>IF(B268="","",IF(B268="P","P&amp;10",B268&amp;"D "&amp;C268))</f>
        <v>1D 7-10</v>
      </c>
      <c r="R268" s="8" t="str">
        <f>IF(L268&lt;&gt;"Y","",IF(COUNTIF('DEF_CALL_DECISION_SUPPORT'!$B$1197:$B$1256,SUBSTITUTE(SUBSTITUTE(SUBSTITUTE(E268,"~","~~"),"*","~*"),"?","~?"))&gt;0,"KNOWN","REVIEW: new call; refresh sources"))</f>
        <v>KNOWN</v>
      </c>
    </row>
    <row r="269" spans="1:18" ht="25" customHeight="1">
      <c r="A269" s="12">
        <v>229</v>
      </c>
      <c r="B269" s="8" t="s">
        <v>2066</v>
      </c>
      <c r="C269" s="8" t="s">
        <v>716</v>
      </c>
      <c r="D269" s="8" t="s">
        <v>465</v>
      </c>
      <c r="E269" s="8" t="s">
        <v>53</v>
      </c>
      <c r="F269" s="8" t="s">
        <v>120</v>
      </c>
      <c r="G269" s="8" t="s">
        <v>206</v>
      </c>
      <c r="H269" s="8" t="s">
        <v>1965</v>
      </c>
      <c r="I269" s="11">
        <v>-1</v>
      </c>
      <c r="J269" s="12">
        <v>1</v>
      </c>
      <c r="K269" s="12">
        <v>0</v>
      </c>
      <c r="L269" s="8" t="s">
        <v>2089</v>
      </c>
      <c r="M269" s="8" t="s">
        <v>1965</v>
      </c>
      <c r="N269" s="8" t="s">
        <v>1961</v>
      </c>
      <c r="O269" s="8" t="s">
        <v>2104</v>
      </c>
      <c r="P269" s="8"/>
      <c r="Q269" s="8" t="str">
        <f>IF(B269="","",IF(B269="P","P&amp;10",B269&amp;"D "&amp;C269))</f>
        <v>1D 7-10</v>
      </c>
      <c r="R269" s="8" t="str">
        <f>IF(L269&lt;&gt;"Y","",IF(COUNTIF('DEF_CALL_DECISION_SUPPORT'!$B$1197:$B$1256,SUBSTITUTE(SUBSTITUTE(SUBSTITUTE(E269,"~","~~"),"*","~*"),"?","~?"))&gt;0,"KNOWN","REVIEW: new call; refresh sources"))</f>
        <v>KNOWN</v>
      </c>
    </row>
    <row r="270" spans="1:18" ht="25" customHeight="1">
      <c r="A270" s="12">
        <v>230</v>
      </c>
      <c r="B270" s="8" t="s">
        <v>2066</v>
      </c>
      <c r="C270" s="8" t="s">
        <v>716</v>
      </c>
      <c r="D270" s="8" t="s">
        <v>432</v>
      </c>
      <c r="E270" s="8" t="s">
        <v>53</v>
      </c>
      <c r="F270" s="8" t="s">
        <v>120</v>
      </c>
      <c r="G270" s="8" t="s">
        <v>206</v>
      </c>
      <c r="H270" s="8" t="s">
        <v>1965</v>
      </c>
      <c r="I270" s="11">
        <v>8</v>
      </c>
      <c r="J270" s="12">
        <v>0</v>
      </c>
      <c r="K270" s="12">
        <v>0</v>
      </c>
      <c r="L270" s="8" t="s">
        <v>2089</v>
      </c>
      <c r="M270" s="8" t="s">
        <v>1965</v>
      </c>
      <c r="N270" s="8" t="s">
        <v>1961</v>
      </c>
      <c r="O270" s="8" t="s">
        <v>2104</v>
      </c>
      <c r="P270" s="8"/>
      <c r="Q270" s="8" t="str">
        <f>IF(B270="","",IF(B270="P","P&amp;10",B270&amp;"D "&amp;C270))</f>
        <v>1D 7-10</v>
      </c>
      <c r="R270" s="8" t="str">
        <f>IF(L270&lt;&gt;"Y","",IF(COUNTIF('DEF_CALL_DECISION_SUPPORT'!$B$1197:$B$1256,SUBSTITUTE(SUBSTITUTE(SUBSTITUTE(E270,"~","~~"),"*","~*"),"?","~?"))&gt;0,"KNOWN","REVIEW: new call; refresh sources"))</f>
        <v>KNOWN</v>
      </c>
    </row>
    <row r="271" spans="1:18" ht="25" customHeight="1">
      <c r="A271" s="12">
        <v>231</v>
      </c>
      <c r="B271" s="8" t="s">
        <v>2066</v>
      </c>
      <c r="C271" s="8" t="s">
        <v>716</v>
      </c>
      <c r="D271" s="8" t="s">
        <v>428</v>
      </c>
      <c r="E271" s="8" t="s">
        <v>53</v>
      </c>
      <c r="F271" s="8" t="s">
        <v>120</v>
      </c>
      <c r="G271" s="8" t="s">
        <v>206</v>
      </c>
      <c r="H271" s="8" t="s">
        <v>1965</v>
      </c>
      <c r="I271" s="11">
        <v>11</v>
      </c>
      <c r="J271" s="12">
        <v>0</v>
      </c>
      <c r="K271" s="12">
        <v>0</v>
      </c>
      <c r="L271" s="8" t="s">
        <v>2089</v>
      </c>
      <c r="M271" s="8" t="s">
        <v>1965</v>
      </c>
      <c r="N271" s="8" t="s">
        <v>1967</v>
      </c>
      <c r="O271" s="8" t="s">
        <v>2104</v>
      </c>
      <c r="P271" s="8"/>
      <c r="Q271" s="8" t="str">
        <f>IF(B271="","",IF(B271="P","P&amp;10",B271&amp;"D "&amp;C271))</f>
        <v>1D 7-10</v>
      </c>
      <c r="R271" s="8" t="str">
        <f>IF(L271&lt;&gt;"Y","",IF(COUNTIF('DEF_CALL_DECISION_SUPPORT'!$B$1197:$B$1256,SUBSTITUTE(SUBSTITUTE(SUBSTITUTE(E271,"~","~~"),"*","~*"),"?","~?"))&gt;0,"KNOWN","REVIEW: new call; refresh sources"))</f>
        <v>KNOWN</v>
      </c>
    </row>
    <row r="272" spans="1:18" ht="25" customHeight="1">
      <c r="A272" s="12">
        <v>232</v>
      </c>
      <c r="B272" s="8" t="s">
        <v>2066</v>
      </c>
      <c r="C272" s="8" t="s">
        <v>716</v>
      </c>
      <c r="D272" s="8" t="s">
        <v>449</v>
      </c>
      <c r="E272" s="8" t="s">
        <v>35</v>
      </c>
      <c r="F272" s="8" t="s">
        <v>123</v>
      </c>
      <c r="G272" s="8" t="s">
        <v>222</v>
      </c>
      <c r="H272" s="8" t="s">
        <v>2094</v>
      </c>
      <c r="I272" s="11">
        <v>2</v>
      </c>
      <c r="J272" s="12">
        <v>1</v>
      </c>
      <c r="K272" s="12">
        <v>0</v>
      </c>
      <c r="L272" s="8" t="s">
        <v>2089</v>
      </c>
      <c r="M272" s="8" t="s">
        <v>1966</v>
      </c>
      <c r="N272" s="8" t="s">
        <v>1979</v>
      </c>
      <c r="O272" s="8" t="s">
        <v>2095</v>
      </c>
      <c r="P272" s="8"/>
      <c r="Q272" s="8" t="str">
        <f>IF(B272="","",IF(B272="P","P&amp;10",B272&amp;"D "&amp;C272))</f>
        <v>1D 7-10</v>
      </c>
      <c r="R272" s="8" t="str">
        <f>IF(L272&lt;&gt;"Y","",IF(COUNTIF('DEF_CALL_DECISION_SUPPORT'!$B$1197:$B$1256,SUBSTITUTE(SUBSTITUTE(SUBSTITUTE(E272,"~","~~"),"*","~*"),"?","~?"))&gt;0,"KNOWN","REVIEW: new call; refresh sources"))</f>
        <v>KNOWN</v>
      </c>
    </row>
    <row r="273" spans="1:18" ht="25" customHeight="1">
      <c r="A273" s="12">
        <v>233</v>
      </c>
      <c r="B273" s="8" t="s">
        <v>2066</v>
      </c>
      <c r="C273" s="8" t="s">
        <v>716</v>
      </c>
      <c r="D273" s="8" t="s">
        <v>449</v>
      </c>
      <c r="E273" s="8" t="s">
        <v>35</v>
      </c>
      <c r="F273" s="8" t="s">
        <v>123</v>
      </c>
      <c r="G273" s="8" t="s">
        <v>203</v>
      </c>
      <c r="H273" s="8" t="s">
        <v>2094</v>
      </c>
      <c r="I273" s="11">
        <v>0</v>
      </c>
      <c r="J273" s="12">
        <v>1</v>
      </c>
      <c r="K273" s="12">
        <v>0</v>
      </c>
      <c r="L273" s="8" t="s">
        <v>2089</v>
      </c>
      <c r="M273" s="8" t="s">
        <v>1974</v>
      </c>
      <c r="N273" s="8" t="s">
        <v>1964</v>
      </c>
      <c r="O273" s="8" t="s">
        <v>2102</v>
      </c>
      <c r="P273" s="8"/>
      <c r="Q273" s="8" t="str">
        <f>IF(B273="","",IF(B273="P","P&amp;10",B273&amp;"D "&amp;C273))</f>
        <v>1D 7-10</v>
      </c>
      <c r="R273" s="8" t="str">
        <f>IF(L273&lt;&gt;"Y","",IF(COUNTIF('DEF_CALL_DECISION_SUPPORT'!$B$1197:$B$1256,SUBSTITUTE(SUBSTITUTE(SUBSTITUTE(E273,"~","~~"),"*","~*"),"?","~?"))&gt;0,"KNOWN","REVIEW: new call; refresh sources"))</f>
        <v>KNOWN</v>
      </c>
    </row>
    <row r="274" spans="1:18" ht="25" customHeight="1">
      <c r="A274" s="12">
        <v>234</v>
      </c>
      <c r="B274" s="8" t="s">
        <v>2066</v>
      </c>
      <c r="C274" s="8" t="s">
        <v>716</v>
      </c>
      <c r="D274" s="8" t="s">
        <v>449</v>
      </c>
      <c r="E274" s="8" t="s">
        <v>35</v>
      </c>
      <c r="F274" s="8" t="s">
        <v>120</v>
      </c>
      <c r="G274" s="8" t="s">
        <v>203</v>
      </c>
      <c r="H274" s="8" t="s">
        <v>2094</v>
      </c>
      <c r="I274" s="11">
        <v>0</v>
      </c>
      <c r="J274" s="12">
        <v>1</v>
      </c>
      <c r="K274" s="12">
        <v>0</v>
      </c>
      <c r="L274" s="8" t="s">
        <v>2089</v>
      </c>
      <c r="M274" s="8" t="s">
        <v>1974</v>
      </c>
      <c r="N274" s="8" t="s">
        <v>1964</v>
      </c>
      <c r="O274" s="8" t="s">
        <v>2090</v>
      </c>
      <c r="P274" s="8"/>
      <c r="Q274" s="8" t="str">
        <f>IF(B274="","",IF(B274="P","P&amp;10",B274&amp;"D "&amp;C274))</f>
        <v>1D 7-10</v>
      </c>
      <c r="R274" s="8" t="str">
        <f>IF(L274&lt;&gt;"Y","",IF(COUNTIF('DEF_CALL_DECISION_SUPPORT'!$B$1197:$B$1256,SUBSTITUTE(SUBSTITUTE(SUBSTITUTE(E274,"~","~~"),"*","~*"),"?","~?"))&gt;0,"KNOWN","REVIEW: new call; refresh sources"))</f>
        <v>KNOWN</v>
      </c>
    </row>
    <row r="275" spans="1:18" ht="25" customHeight="1">
      <c r="A275" s="12">
        <v>235</v>
      </c>
      <c r="B275" s="8" t="s">
        <v>2066</v>
      </c>
      <c r="C275" s="8" t="s">
        <v>716</v>
      </c>
      <c r="D275" s="8" t="s">
        <v>465</v>
      </c>
      <c r="E275" s="8" t="s">
        <v>67</v>
      </c>
      <c r="F275" s="8" t="s">
        <v>120</v>
      </c>
      <c r="G275" s="8" t="s">
        <v>206</v>
      </c>
      <c r="H275" s="8" t="s">
        <v>1965</v>
      </c>
      <c r="I275" s="11">
        <v>4</v>
      </c>
      <c r="J275" s="12">
        <v>0</v>
      </c>
      <c r="K275" s="12">
        <v>0</v>
      </c>
      <c r="L275" s="8" t="s">
        <v>2089</v>
      </c>
      <c r="M275" s="8" t="s">
        <v>1965</v>
      </c>
      <c r="N275" s="8" t="s">
        <v>1967</v>
      </c>
      <c r="O275" s="8" t="s">
        <v>2104</v>
      </c>
      <c r="P275" s="8"/>
      <c r="Q275" s="8" t="str">
        <f>IF(B275="","",IF(B275="P","P&amp;10",B275&amp;"D "&amp;C275))</f>
        <v>1D 7-10</v>
      </c>
      <c r="R275" s="8" t="str">
        <f>IF(L275&lt;&gt;"Y","",IF(COUNTIF('DEF_CALL_DECISION_SUPPORT'!$B$1197:$B$1256,SUBSTITUTE(SUBSTITUTE(SUBSTITUTE(E275,"~","~~"),"*","~*"),"?","~?"))&gt;0,"KNOWN","REVIEW: new call; refresh sources"))</f>
        <v>KNOWN</v>
      </c>
    </row>
    <row r="276" spans="1:18" ht="25" customHeight="1">
      <c r="A276" s="12">
        <v>236</v>
      </c>
      <c r="B276" s="8" t="s">
        <v>2066</v>
      </c>
      <c r="C276" s="8" t="s">
        <v>716</v>
      </c>
      <c r="D276" s="8" t="s">
        <v>432</v>
      </c>
      <c r="E276" s="8" t="s">
        <v>67</v>
      </c>
      <c r="F276" s="8" t="s">
        <v>120</v>
      </c>
      <c r="G276" s="8" t="s">
        <v>206</v>
      </c>
      <c r="H276" s="8" t="s">
        <v>1965</v>
      </c>
      <c r="I276" s="11">
        <v>6</v>
      </c>
      <c r="J276" s="12">
        <v>0</v>
      </c>
      <c r="K276" s="12">
        <v>0</v>
      </c>
      <c r="L276" s="8" t="s">
        <v>2089</v>
      </c>
      <c r="M276" s="8" t="s">
        <v>1965</v>
      </c>
      <c r="N276" s="8" t="s">
        <v>1967</v>
      </c>
      <c r="O276" s="8" t="s">
        <v>2104</v>
      </c>
      <c r="P276" s="8"/>
      <c r="Q276" s="8" t="str">
        <f>IF(B276="","",IF(B276="P","P&amp;10",B276&amp;"D "&amp;C276))</f>
        <v>1D 7-10</v>
      </c>
      <c r="R276" s="8" t="str">
        <f>IF(L276&lt;&gt;"Y","",IF(COUNTIF('DEF_CALL_DECISION_SUPPORT'!$B$1197:$B$1256,SUBSTITUTE(SUBSTITUTE(SUBSTITUTE(E276,"~","~~"),"*","~*"),"?","~?"))&gt;0,"KNOWN","REVIEW: new call; refresh sources"))</f>
        <v>KNOWN</v>
      </c>
    </row>
    <row r="277" spans="1:18" ht="25" customHeight="1">
      <c r="A277" s="12">
        <v>237</v>
      </c>
      <c r="B277" s="8" t="s">
        <v>2066</v>
      </c>
      <c r="C277" s="8" t="s">
        <v>716</v>
      </c>
      <c r="D277" s="8" t="s">
        <v>428</v>
      </c>
      <c r="E277" s="8" t="s">
        <v>67</v>
      </c>
      <c r="F277" s="8" t="s">
        <v>120</v>
      </c>
      <c r="G277" s="8" t="s">
        <v>203</v>
      </c>
      <c r="H277" s="8" t="s">
        <v>1965</v>
      </c>
      <c r="I277" s="11">
        <v>-5</v>
      </c>
      <c r="J277" s="12">
        <v>1</v>
      </c>
      <c r="K277" s="12">
        <v>0</v>
      </c>
      <c r="L277" s="8" t="s">
        <v>2089</v>
      </c>
      <c r="M277" s="8" t="s">
        <v>1965</v>
      </c>
      <c r="N277" s="8" t="s">
        <v>1964</v>
      </c>
      <c r="O277" s="8" t="s">
        <v>2090</v>
      </c>
      <c r="P277" s="8"/>
      <c r="Q277" s="8" t="str">
        <f>IF(B277="","",IF(B277="P","P&amp;10",B277&amp;"D "&amp;C277))</f>
        <v>1D 7-10</v>
      </c>
      <c r="R277" s="8" t="str">
        <f>IF(L277&lt;&gt;"Y","",IF(COUNTIF('DEF_CALL_DECISION_SUPPORT'!$B$1197:$B$1256,SUBSTITUTE(SUBSTITUTE(SUBSTITUTE(E277,"~","~~"),"*","~*"),"?","~?"))&gt;0,"KNOWN","REVIEW: new call; refresh sources"))</f>
        <v>KNOWN</v>
      </c>
    </row>
    <row r="278" spans="1:18" ht="25" customHeight="1">
      <c r="A278" s="12">
        <v>238</v>
      </c>
      <c r="B278" s="8" t="s">
        <v>2066</v>
      </c>
      <c r="C278" s="8" t="s">
        <v>716</v>
      </c>
      <c r="D278" s="8" t="s">
        <v>428</v>
      </c>
      <c r="E278" s="8" t="s">
        <v>40</v>
      </c>
      <c r="F278" s="8" t="s">
        <v>120</v>
      </c>
      <c r="G278" s="8" t="s">
        <v>203</v>
      </c>
      <c r="H278" s="8" t="s">
        <v>1965</v>
      </c>
      <c r="I278" s="11">
        <v>5</v>
      </c>
      <c r="J278" s="12">
        <v>0</v>
      </c>
      <c r="K278" s="12">
        <v>0</v>
      </c>
      <c r="L278" s="8" t="s">
        <v>2089</v>
      </c>
      <c r="M278" s="8" t="s">
        <v>1965</v>
      </c>
      <c r="N278" s="8" t="s">
        <v>1964</v>
      </c>
      <c r="O278" s="8" t="s">
        <v>2090</v>
      </c>
      <c r="P278" s="8"/>
      <c r="Q278" s="8" t="str">
        <f>IF(B278="","",IF(B278="P","P&amp;10",B278&amp;"D "&amp;C278))</f>
        <v>1D 7-10</v>
      </c>
      <c r="R278" s="8" t="str">
        <f>IF(L278&lt;&gt;"Y","",IF(COUNTIF('DEF_CALL_DECISION_SUPPORT'!$B$1197:$B$1256,SUBSTITUTE(SUBSTITUTE(SUBSTITUTE(E278,"~","~~"),"*","~*"),"?","~?"))&gt;0,"KNOWN","REVIEW: new call; refresh sources"))</f>
        <v>KNOWN</v>
      </c>
    </row>
    <row r="279" spans="1:18" ht="25" customHeight="1">
      <c r="A279" s="12">
        <v>239</v>
      </c>
      <c r="B279" s="8" t="s">
        <v>2066</v>
      </c>
      <c r="C279" s="8" t="s">
        <v>716</v>
      </c>
      <c r="D279" s="8" t="s">
        <v>474</v>
      </c>
      <c r="E279" s="8" t="s">
        <v>44</v>
      </c>
      <c r="F279" s="8" t="s">
        <v>120</v>
      </c>
      <c r="G279" s="8" t="s">
        <v>206</v>
      </c>
      <c r="H279" s="8" t="s">
        <v>2094</v>
      </c>
      <c r="I279" s="11">
        <v>0</v>
      </c>
      <c r="J279" s="12">
        <v>1</v>
      </c>
      <c r="K279" s="12">
        <v>0</v>
      </c>
      <c r="L279" s="8" t="s">
        <v>2089</v>
      </c>
      <c r="M279" s="8" t="s">
        <v>1963</v>
      </c>
      <c r="N279" s="8" t="s">
        <v>1967</v>
      </c>
      <c r="O279" s="8" t="s">
        <v>2104</v>
      </c>
      <c r="P279" s="8"/>
      <c r="Q279" s="8" t="str">
        <f>IF(B279="","",IF(B279="P","P&amp;10",B279&amp;"D "&amp;C279))</f>
        <v>1D 7-10</v>
      </c>
      <c r="R279" s="8" t="str">
        <f>IF(L279&lt;&gt;"Y","",IF(COUNTIF('DEF_CALL_DECISION_SUPPORT'!$B$1197:$B$1256,SUBSTITUTE(SUBSTITUTE(SUBSTITUTE(E279,"~","~~"),"*","~*"),"?","~?"))&gt;0,"KNOWN","REVIEW: new call; refresh sources"))</f>
        <v>KNOWN</v>
      </c>
    </row>
    <row r="280" spans="1:18" ht="25" customHeight="1">
      <c r="A280" s="12">
        <v>240</v>
      </c>
      <c r="B280" s="8" t="s">
        <v>2066</v>
      </c>
      <c r="C280" s="8" t="s">
        <v>716</v>
      </c>
      <c r="D280" s="8" t="s">
        <v>471</v>
      </c>
      <c r="E280" s="8" t="s">
        <v>46</v>
      </c>
      <c r="F280" s="8" t="s">
        <v>120</v>
      </c>
      <c r="G280" s="8" t="s">
        <v>203</v>
      </c>
      <c r="H280" s="8" t="s">
        <v>2094</v>
      </c>
      <c r="I280" s="11">
        <v>24</v>
      </c>
      <c r="J280" s="12">
        <v>0</v>
      </c>
      <c r="K280" s="12">
        <v>1</v>
      </c>
      <c r="L280" s="8" t="s">
        <v>2089</v>
      </c>
      <c r="M280" s="8" t="s">
        <v>1963</v>
      </c>
      <c r="N280" s="8" t="s">
        <v>1964</v>
      </c>
      <c r="O280" s="8" t="s">
        <v>2090</v>
      </c>
      <c r="P280" s="8"/>
      <c r="Q280" s="8" t="str">
        <f>IF(B280="","",IF(B280="P","P&amp;10",B280&amp;"D "&amp;C280))</f>
        <v>1D 7-10</v>
      </c>
      <c r="R280" s="8" t="str">
        <f>IF(L280&lt;&gt;"Y","",IF(COUNTIF('DEF_CALL_DECISION_SUPPORT'!$B$1197:$B$1256,SUBSTITUTE(SUBSTITUTE(SUBSTITUTE(E280,"~","~~"),"*","~*"),"?","~?"))&gt;0,"KNOWN","REVIEW: new call; refresh sources"))</f>
        <v>KNOWN</v>
      </c>
    </row>
    <row r="281" spans="1:18" ht="25" customHeight="1">
      <c r="A281" s="12">
        <v>241</v>
      </c>
      <c r="B281" s="8" t="s">
        <v>2066</v>
      </c>
      <c r="C281" s="8" t="s">
        <v>706</v>
      </c>
      <c r="D281" s="8" t="s">
        <v>428</v>
      </c>
      <c r="E281" s="8" t="s">
        <v>30</v>
      </c>
      <c r="F281" s="8" t="s">
        <v>123</v>
      </c>
      <c r="G281" s="8" t="s">
        <v>206</v>
      </c>
      <c r="H281" s="8" t="s">
        <v>1965</v>
      </c>
      <c r="I281" s="11">
        <v>2</v>
      </c>
      <c r="J281" s="12">
        <v>1</v>
      </c>
      <c r="K281" s="12">
        <v>0</v>
      </c>
      <c r="L281" s="8" t="s">
        <v>2089</v>
      </c>
      <c r="M281" s="8" t="s">
        <v>1965</v>
      </c>
      <c r="N281" s="8" t="s">
        <v>1967</v>
      </c>
      <c r="O281" s="8" t="s">
        <v>2099</v>
      </c>
      <c r="P281" s="8"/>
      <c r="Q281" s="8" t="str">
        <f>IF(B281="","",IF(B281="P","P&amp;10",B281&amp;"D "&amp;C281))</f>
        <v>1D 1-3</v>
      </c>
      <c r="R281" s="8" t="str">
        <f>IF(L281&lt;&gt;"Y","",IF(COUNTIF('DEF_CALL_DECISION_SUPPORT'!$B$1197:$B$1256,SUBSTITUTE(SUBSTITUTE(SUBSTITUTE(E281,"~","~~"),"*","~*"),"?","~?"))&gt;0,"KNOWN","REVIEW: new call; refresh sources"))</f>
        <v>KNOWN</v>
      </c>
    </row>
    <row r="282" spans="1:18" ht="25" customHeight="1">
      <c r="A282" s="12">
        <v>242</v>
      </c>
      <c r="B282" s="8" t="s">
        <v>2066</v>
      </c>
      <c r="C282" s="8" t="s">
        <v>716</v>
      </c>
      <c r="D282" s="8" t="s">
        <v>428</v>
      </c>
      <c r="E282" s="8" t="s">
        <v>51</v>
      </c>
      <c r="F282" s="8" t="s">
        <v>123</v>
      </c>
      <c r="G282" s="8" t="s">
        <v>206</v>
      </c>
      <c r="H282" s="8" t="s">
        <v>1965</v>
      </c>
      <c r="I282" s="11">
        <v>4</v>
      </c>
      <c r="J282" s="12">
        <v>0</v>
      </c>
      <c r="K282" s="12">
        <v>0</v>
      </c>
      <c r="L282" s="8" t="s">
        <v>2089</v>
      </c>
      <c r="M282" s="8" t="s">
        <v>1965</v>
      </c>
      <c r="N282" s="8" t="s">
        <v>1967</v>
      </c>
      <c r="O282" s="8" t="s">
        <v>2099</v>
      </c>
      <c r="P282" s="8"/>
      <c r="Q282" s="8" t="str">
        <f>IF(B282="","",IF(B282="P","P&amp;10",B282&amp;"D "&amp;C282))</f>
        <v>1D 7-10</v>
      </c>
      <c r="R282" s="8" t="str">
        <f>IF(L282&lt;&gt;"Y","",IF(COUNTIF('DEF_CALL_DECISION_SUPPORT'!$B$1197:$B$1256,SUBSTITUTE(SUBSTITUTE(SUBSTITUTE(E282,"~","~~"),"*","~*"),"?","~?"))&gt;0,"KNOWN","REVIEW: new call; refresh sources"))</f>
        <v>KNOWN</v>
      </c>
    </row>
    <row r="283" spans="1:18" ht="25" customHeight="1">
      <c r="A283" s="12">
        <v>243</v>
      </c>
      <c r="B283" s="8" t="s">
        <v>2066</v>
      </c>
      <c r="C283" s="8" t="s">
        <v>716</v>
      </c>
      <c r="D283" s="8" t="s">
        <v>432</v>
      </c>
      <c r="E283" s="8" t="s">
        <v>59</v>
      </c>
      <c r="F283" s="8" t="s">
        <v>123</v>
      </c>
      <c r="G283" s="8" t="s">
        <v>215</v>
      </c>
      <c r="H283" s="8" t="s">
        <v>1965</v>
      </c>
      <c r="I283" s="11">
        <v>16</v>
      </c>
      <c r="J283" s="12">
        <v>0</v>
      </c>
      <c r="K283" s="12">
        <v>1</v>
      </c>
      <c r="L283" s="8" t="s">
        <v>2089</v>
      </c>
      <c r="M283" s="8" t="s">
        <v>1965</v>
      </c>
      <c r="N283" s="8" t="s">
        <v>1970</v>
      </c>
      <c r="O283" s="8" t="s">
        <v>2095</v>
      </c>
      <c r="P283" s="8"/>
      <c r="Q283" s="8" t="str">
        <f>IF(B283="","",IF(B283="P","P&amp;10",B283&amp;"D "&amp;C283))</f>
        <v>1D 7-10</v>
      </c>
      <c r="R283" s="8" t="str">
        <f>IF(L283&lt;&gt;"Y","",IF(COUNTIF('DEF_CALL_DECISION_SUPPORT'!$B$1197:$B$1256,SUBSTITUTE(SUBSTITUTE(SUBSTITUTE(E283,"~","~~"),"*","~*"),"?","~?"))&gt;0,"KNOWN","REVIEW: new call; refresh sources"))</f>
        <v>KNOWN</v>
      </c>
    </row>
    <row r="284" spans="1:18" ht="25" customHeight="1">
      <c r="A284" s="12">
        <v>244</v>
      </c>
      <c r="B284" s="8" t="s">
        <v>2066</v>
      </c>
      <c r="C284" s="8" t="s">
        <v>716</v>
      </c>
      <c r="D284" s="8" t="s">
        <v>428</v>
      </c>
      <c r="E284" s="8" t="s">
        <v>60</v>
      </c>
      <c r="F284" s="8" t="s">
        <v>120</v>
      </c>
      <c r="G284" s="8" t="s">
        <v>203</v>
      </c>
      <c r="H284" s="8" t="s">
        <v>1965</v>
      </c>
      <c r="I284" s="11">
        <v>4</v>
      </c>
      <c r="J284" s="12">
        <v>0</v>
      </c>
      <c r="K284" s="12">
        <v>0</v>
      </c>
      <c r="L284" s="8" t="s">
        <v>2089</v>
      </c>
      <c r="M284" s="8" t="s">
        <v>1965</v>
      </c>
      <c r="N284" s="8" t="s">
        <v>1964</v>
      </c>
      <c r="O284" s="8" t="s">
        <v>2090</v>
      </c>
      <c r="P284" s="8"/>
      <c r="Q284" s="8" t="str">
        <f>IF(B284="","",IF(B284="P","P&amp;10",B284&amp;"D "&amp;C284))</f>
        <v>1D 7-10</v>
      </c>
      <c r="R284" s="8" t="str">
        <f>IF(L284&lt;&gt;"Y","",IF(COUNTIF('DEF_CALL_DECISION_SUPPORT'!$B$1197:$B$1256,SUBSTITUTE(SUBSTITUTE(SUBSTITUTE(E284,"~","~~"),"*","~*"),"?","~?"))&gt;0,"KNOWN","REVIEW: new call; refresh sources"))</f>
        <v>KNOWN</v>
      </c>
    </row>
    <row r="285" spans="1:18" ht="25" customHeight="1">
      <c r="A285" s="12">
        <v>245</v>
      </c>
      <c r="B285" s="8" t="s">
        <v>2066</v>
      </c>
      <c r="C285" s="8" t="s">
        <v>716</v>
      </c>
      <c r="D285" s="8" t="s">
        <v>468</v>
      </c>
      <c r="E285" s="8" t="s">
        <v>61</v>
      </c>
      <c r="F285" s="8" t="s">
        <v>120</v>
      </c>
      <c r="G285" s="8" t="s">
        <v>203</v>
      </c>
      <c r="H285" s="8" t="s">
        <v>2094</v>
      </c>
      <c r="I285" s="11">
        <v>3</v>
      </c>
      <c r="J285" s="12">
        <v>1</v>
      </c>
      <c r="K285" s="12">
        <v>0</v>
      </c>
      <c r="L285" s="8" t="s">
        <v>2089</v>
      </c>
      <c r="M285" s="8" t="s">
        <v>1963</v>
      </c>
      <c r="N285" s="8" t="s">
        <v>1964</v>
      </c>
      <c r="O285" s="8" t="s">
        <v>2090</v>
      </c>
      <c r="P285" s="8"/>
      <c r="Q285" s="8" t="str">
        <f>IF(B285="","",IF(B285="P","P&amp;10",B285&amp;"D "&amp;C285))</f>
        <v>1D 7-10</v>
      </c>
      <c r="R285" s="8" t="str">
        <f>IF(L285&lt;&gt;"Y","",IF(COUNTIF('DEF_CALL_DECISION_SUPPORT'!$B$1197:$B$1256,SUBSTITUTE(SUBSTITUTE(SUBSTITUTE(E285,"~","~~"),"*","~*"),"?","~?"))&gt;0,"KNOWN","REVIEW: new call; refresh sources"))</f>
        <v>KNOWN</v>
      </c>
    </row>
    <row r="286" spans="1:18" ht="25" customHeight="1">
      <c r="A286" s="12">
        <v>246</v>
      </c>
      <c r="B286" s="8" t="s">
        <v>2066</v>
      </c>
      <c r="C286" s="8" t="s">
        <v>716</v>
      </c>
      <c r="D286" s="8" t="s">
        <v>428</v>
      </c>
      <c r="E286" s="8" t="s">
        <v>63</v>
      </c>
      <c r="F286" s="8" t="s">
        <v>120</v>
      </c>
      <c r="G286" s="8" t="s">
        <v>203</v>
      </c>
      <c r="H286" s="8" t="s">
        <v>1965</v>
      </c>
      <c r="I286" s="11">
        <v>7</v>
      </c>
      <c r="J286" s="12">
        <v>0</v>
      </c>
      <c r="K286" s="12">
        <v>0</v>
      </c>
      <c r="L286" s="8" t="s">
        <v>2089</v>
      </c>
      <c r="M286" s="8" t="s">
        <v>1965</v>
      </c>
      <c r="N286" s="8" t="s">
        <v>1964</v>
      </c>
      <c r="O286" s="8" t="s">
        <v>2090</v>
      </c>
      <c r="P286" s="8"/>
      <c r="Q286" s="8" t="str">
        <f>IF(B286="","",IF(B286="P","P&amp;10",B286&amp;"D "&amp;C286))</f>
        <v>1D 7-10</v>
      </c>
      <c r="R286" s="8" t="str">
        <f>IF(L286&lt;&gt;"Y","",IF(COUNTIF('DEF_CALL_DECISION_SUPPORT'!$B$1197:$B$1256,SUBSTITUTE(SUBSTITUTE(SUBSTITUTE(E286,"~","~~"),"*","~*"),"?","~?"))&gt;0,"KNOWN","REVIEW: new call; refresh sources"))</f>
        <v>KNOWN</v>
      </c>
    </row>
    <row r="287" spans="1:18" ht="25" customHeight="1">
      <c r="A287" s="12">
        <v>247</v>
      </c>
      <c r="B287" s="8" t="s">
        <v>2067</v>
      </c>
      <c r="C287" s="8" t="s">
        <v>716</v>
      </c>
      <c r="D287" s="8" t="s">
        <v>449</v>
      </c>
      <c r="E287" s="8" t="s">
        <v>35</v>
      </c>
      <c r="F287" s="8" t="s">
        <v>120</v>
      </c>
      <c r="G287" s="8" t="s">
        <v>206</v>
      </c>
      <c r="H287" s="8" t="s">
        <v>2110</v>
      </c>
      <c r="I287" s="11">
        <v>0</v>
      </c>
      <c r="J287" s="12"/>
      <c r="K287" s="12"/>
      <c r="L287" s="8" t="s">
        <v>2109</v>
      </c>
      <c r="M287" s="8" t="s">
        <v>2117</v>
      </c>
      <c r="N287" s="8" t="s">
        <v>1961</v>
      </c>
      <c r="O287" s="8" t="s">
        <v>2104</v>
      </c>
      <c r="P287" s="8" t="s">
        <v>2388</v>
      </c>
      <c r="Q287" s="8" t="str">
        <f>IF(B287="","",IF(B287="P","P&amp;10",B287&amp;"D "&amp;C287))</f>
        <v>2D 7-10</v>
      </c>
      <c r="R287" s="8">
        <f>IF(L287&lt;&gt;"Y","",IF(COUNTIF('DEF_CALL_DECISION_SUPPORT'!$B$1197:$B$1256,SUBSTITUTE(SUBSTITUTE(SUBSTITUTE(E287,"~","~~"),"*","~*"),"?","~?"))&gt;0,"KNOWN","REVIEW: new call; refresh sources"))</f>
        <v/>
      </c>
    </row>
    <row r="288" spans="1:18" ht="25" customHeight="1">
      <c r="A288" s="12">
        <v>248</v>
      </c>
      <c r="B288" s="8" t="s">
        <v>2067</v>
      </c>
      <c r="C288" s="8" t="s">
        <v>711</v>
      </c>
      <c r="D288" s="8" t="s">
        <v>465</v>
      </c>
      <c r="E288" s="8" t="s">
        <v>35</v>
      </c>
      <c r="F288" s="8" t="s">
        <v>156</v>
      </c>
      <c r="G288" s="8" t="s">
        <v>235</v>
      </c>
      <c r="H288" s="8" t="s">
        <v>1965</v>
      </c>
      <c r="I288" s="11">
        <v>1</v>
      </c>
      <c r="J288" s="12">
        <v>1</v>
      </c>
      <c r="K288" s="12">
        <v>0</v>
      </c>
      <c r="L288" s="8" t="s">
        <v>2089</v>
      </c>
      <c r="M288" s="8" t="s">
        <v>1965</v>
      </c>
      <c r="N288" s="8" t="s">
        <v>1962</v>
      </c>
      <c r="O288" s="8" t="s">
        <v>2095</v>
      </c>
      <c r="P288" s="8"/>
      <c r="Q288" s="8" t="str">
        <f>IF(B288="","",IF(B288="P","P&amp;10",B288&amp;"D "&amp;C288))</f>
        <v>2D 4-6</v>
      </c>
      <c r="R288" s="8" t="str">
        <f>IF(L288&lt;&gt;"Y","",IF(COUNTIF('DEF_CALL_DECISION_SUPPORT'!$B$1197:$B$1256,SUBSTITUTE(SUBSTITUTE(SUBSTITUTE(E288,"~","~~"),"*","~*"),"?","~?"))&gt;0,"KNOWN","REVIEW: new call; refresh sources"))</f>
        <v>KNOWN</v>
      </c>
    </row>
    <row r="289" spans="1:18" ht="25" customHeight="1">
      <c r="A289" s="12">
        <v>249</v>
      </c>
      <c r="B289" s="8" t="s">
        <v>2067</v>
      </c>
      <c r="C289" s="8" t="s">
        <v>706</v>
      </c>
      <c r="D289" s="8" t="s">
        <v>428</v>
      </c>
      <c r="E289" s="8" t="s">
        <v>35</v>
      </c>
      <c r="F289" s="8" t="s">
        <v>123</v>
      </c>
      <c r="G289" s="8" t="s">
        <v>203</v>
      </c>
      <c r="H289" s="8" t="s">
        <v>1965</v>
      </c>
      <c r="I289" s="11">
        <v>16</v>
      </c>
      <c r="J289" s="12">
        <v>0</v>
      </c>
      <c r="K289" s="12">
        <v>1</v>
      </c>
      <c r="L289" s="8" t="s">
        <v>2089</v>
      </c>
      <c r="M289" s="8" t="s">
        <v>1965</v>
      </c>
      <c r="N289" s="8" t="s">
        <v>1964</v>
      </c>
      <c r="O289" s="8" t="s">
        <v>2102</v>
      </c>
      <c r="P289" s="8"/>
      <c r="Q289" s="8" t="str">
        <f>IF(B289="","",IF(B289="P","P&amp;10",B289&amp;"D "&amp;C289))</f>
        <v>2D 1-3</v>
      </c>
      <c r="R289" s="8" t="str">
        <f>IF(L289&lt;&gt;"Y","",IF(COUNTIF('DEF_CALL_DECISION_SUPPORT'!$B$1197:$B$1256,SUBSTITUTE(SUBSTITUTE(SUBSTITUTE(E289,"~","~~"),"*","~*"),"?","~?"))&gt;0,"KNOWN","REVIEW: new call; refresh sources"))</f>
        <v>KNOWN</v>
      </c>
    </row>
    <row r="290" spans="1:18" ht="25" customHeight="1">
      <c r="A290" s="12">
        <v>250</v>
      </c>
      <c r="B290" s="8" t="s">
        <v>2067</v>
      </c>
      <c r="C290" s="8" t="s">
        <v>711</v>
      </c>
      <c r="D290" s="8" t="s">
        <v>446</v>
      </c>
      <c r="E290" s="8" t="s">
        <v>35</v>
      </c>
      <c r="F290" s="8" t="s">
        <v>123</v>
      </c>
      <c r="G290" s="8" t="s">
        <v>206</v>
      </c>
      <c r="H290" s="8" t="s">
        <v>2094</v>
      </c>
      <c r="I290" s="11">
        <v>0</v>
      </c>
      <c r="J290" s="12">
        <v>1</v>
      </c>
      <c r="K290" s="12">
        <v>0</v>
      </c>
      <c r="L290" s="8" t="s">
        <v>2089</v>
      </c>
      <c r="M290" s="8" t="s">
        <v>1974</v>
      </c>
      <c r="N290" s="8" t="s">
        <v>1967</v>
      </c>
      <c r="O290" s="8" t="s">
        <v>2099</v>
      </c>
      <c r="P290" s="8"/>
      <c r="Q290" s="8" t="str">
        <f>IF(B290="","",IF(B290="P","P&amp;10",B290&amp;"D "&amp;C290))</f>
        <v>2D 4-6</v>
      </c>
      <c r="R290" s="8" t="str">
        <f>IF(L290&lt;&gt;"Y","",IF(COUNTIF('DEF_CALL_DECISION_SUPPORT'!$B$1197:$B$1256,SUBSTITUTE(SUBSTITUTE(SUBSTITUTE(E290,"~","~~"),"*","~*"),"?","~?"))&gt;0,"KNOWN","REVIEW: new call; refresh sources"))</f>
        <v>KNOWN</v>
      </c>
    </row>
    <row r="291" spans="1:18" ht="25" customHeight="1">
      <c r="A291" s="12">
        <v>251</v>
      </c>
      <c r="B291" s="8" t="s">
        <v>2067</v>
      </c>
      <c r="C291" s="8" t="s">
        <v>711</v>
      </c>
      <c r="D291" s="8" t="s">
        <v>449</v>
      </c>
      <c r="E291" s="8" t="s">
        <v>52</v>
      </c>
      <c r="F291" s="8" t="s">
        <v>123</v>
      </c>
      <c r="G291" s="8" t="s">
        <v>203</v>
      </c>
      <c r="H291" s="8" t="s">
        <v>2094</v>
      </c>
      <c r="I291" s="11">
        <v>0</v>
      </c>
      <c r="J291" s="12">
        <v>1</v>
      </c>
      <c r="K291" s="12">
        <v>0</v>
      </c>
      <c r="L291" s="8" t="s">
        <v>2089</v>
      </c>
      <c r="M291" s="8" t="s">
        <v>1974</v>
      </c>
      <c r="N291" s="8" t="s">
        <v>1964</v>
      </c>
      <c r="O291" s="8" t="s">
        <v>2102</v>
      </c>
      <c r="P291" s="8"/>
      <c r="Q291" s="8" t="str">
        <f>IF(B291="","",IF(B291="P","P&amp;10",B291&amp;"D "&amp;C291))</f>
        <v>2D 4-6</v>
      </c>
      <c r="R291" s="8" t="str">
        <f>IF(L291&lt;&gt;"Y","",IF(COUNTIF('DEF_CALL_DECISION_SUPPORT'!$B$1197:$B$1256,SUBSTITUTE(SUBSTITUTE(SUBSTITUTE(E291,"~","~~"),"*","~*"),"?","~?"))&gt;0,"KNOWN","REVIEW: new call; refresh sources"))</f>
        <v>KNOWN</v>
      </c>
    </row>
    <row r="292" spans="1:18" ht="25" customHeight="1">
      <c r="A292" s="12">
        <v>252</v>
      </c>
      <c r="B292" s="8" t="s">
        <v>2067</v>
      </c>
      <c r="C292" s="8" t="s">
        <v>711</v>
      </c>
      <c r="D292" s="8" t="s">
        <v>428</v>
      </c>
      <c r="E292" s="8" t="s">
        <v>40</v>
      </c>
      <c r="F292" s="8" t="s">
        <v>120</v>
      </c>
      <c r="G292" s="8" t="s">
        <v>206</v>
      </c>
      <c r="H292" s="8" t="s">
        <v>1965</v>
      </c>
      <c r="I292" s="11">
        <v>7</v>
      </c>
      <c r="J292" s="12">
        <v>0</v>
      </c>
      <c r="K292" s="12">
        <v>0</v>
      </c>
      <c r="L292" s="8" t="s">
        <v>2089</v>
      </c>
      <c r="M292" s="8" t="s">
        <v>1965</v>
      </c>
      <c r="N292" s="8" t="s">
        <v>1961</v>
      </c>
      <c r="O292" s="8" t="s">
        <v>2104</v>
      </c>
      <c r="P292" s="8"/>
      <c r="Q292" s="8" t="str">
        <f>IF(B292="","",IF(B292="P","P&amp;10",B292&amp;"D "&amp;C292))</f>
        <v>2D 4-6</v>
      </c>
      <c r="R292" s="8" t="str">
        <f>IF(L292&lt;&gt;"Y","",IF(COUNTIF('DEF_CALL_DECISION_SUPPORT'!$B$1197:$B$1256,SUBSTITUTE(SUBSTITUTE(SUBSTITUTE(E292,"~","~~"),"*","~*"),"?","~?"))&gt;0,"KNOWN","REVIEW: new call; refresh sources"))</f>
        <v>KNOWN</v>
      </c>
    </row>
    <row r="293" spans="1:18" ht="25" customHeight="1">
      <c r="A293" s="12">
        <v>253</v>
      </c>
      <c r="B293" s="8" t="s">
        <v>2067</v>
      </c>
      <c r="C293" s="8" t="s">
        <v>716</v>
      </c>
      <c r="D293" s="8" t="s">
        <v>428</v>
      </c>
      <c r="E293" s="8" t="s">
        <v>40</v>
      </c>
      <c r="F293" s="8" t="s">
        <v>120</v>
      </c>
      <c r="G293" s="8" t="s">
        <v>203</v>
      </c>
      <c r="H293" s="8" t="s">
        <v>1965</v>
      </c>
      <c r="I293" s="11">
        <v>7</v>
      </c>
      <c r="J293" s="12">
        <v>0</v>
      </c>
      <c r="K293" s="12">
        <v>0</v>
      </c>
      <c r="L293" s="8" t="s">
        <v>2089</v>
      </c>
      <c r="M293" s="8" t="s">
        <v>1965</v>
      </c>
      <c r="N293" s="8" t="s">
        <v>1964</v>
      </c>
      <c r="O293" s="8" t="s">
        <v>2090</v>
      </c>
      <c r="P293" s="8"/>
      <c r="Q293" s="8" t="str">
        <f>IF(B293="","",IF(B293="P","P&amp;10",B293&amp;"D "&amp;C293))</f>
        <v>2D 7-10</v>
      </c>
      <c r="R293" s="8" t="str">
        <f>IF(L293&lt;&gt;"Y","",IF(COUNTIF('DEF_CALL_DECISION_SUPPORT'!$B$1197:$B$1256,SUBSTITUTE(SUBSTITUTE(SUBSTITUTE(E293,"~","~~"),"*","~*"),"?","~?"))&gt;0,"KNOWN","REVIEW: new call; refresh sources"))</f>
        <v>KNOWN</v>
      </c>
    </row>
    <row r="294" spans="1:18" ht="25" customHeight="1">
      <c r="A294" s="12">
        <v>254</v>
      </c>
      <c r="B294" s="8" t="s">
        <v>2067</v>
      </c>
      <c r="C294" s="8" t="s">
        <v>716</v>
      </c>
      <c r="D294" s="8" t="s">
        <v>449</v>
      </c>
      <c r="E294" s="8" t="s">
        <v>40</v>
      </c>
      <c r="F294" s="8" t="s">
        <v>120</v>
      </c>
      <c r="G294" s="8" t="s">
        <v>206</v>
      </c>
      <c r="H294" s="8" t="s">
        <v>2110</v>
      </c>
      <c r="I294" s="11">
        <v>0</v>
      </c>
      <c r="J294" s="12"/>
      <c r="K294" s="12"/>
      <c r="L294" s="8" t="s">
        <v>2109</v>
      </c>
      <c r="M294" s="8" t="s">
        <v>2117</v>
      </c>
      <c r="N294" s="8" t="s">
        <v>1967</v>
      </c>
      <c r="O294" s="8" t="s">
        <v>2104</v>
      </c>
      <c r="P294" s="8" t="s">
        <v>2388</v>
      </c>
      <c r="Q294" s="8" t="str">
        <f>IF(B294="","",IF(B294="P","P&amp;10",B294&amp;"D "&amp;C294))</f>
        <v>2D 7-10</v>
      </c>
      <c r="R294" s="8">
        <f>IF(L294&lt;&gt;"Y","",IF(COUNTIF('DEF_CALL_DECISION_SUPPORT'!$B$1197:$B$1256,SUBSTITUTE(SUBSTITUTE(SUBSTITUTE(E294,"~","~~"),"*","~*"),"?","~?"))&gt;0,"KNOWN","REVIEW: new call; refresh sources"))</f>
        <v/>
      </c>
    </row>
    <row r="295" spans="1:18" ht="25" customHeight="1">
      <c r="A295" s="12">
        <v>255</v>
      </c>
      <c r="B295" s="8" t="s">
        <v>2067</v>
      </c>
      <c r="C295" s="8" t="s">
        <v>720</v>
      </c>
      <c r="D295" s="8" t="s">
        <v>498</v>
      </c>
      <c r="E295" s="8" t="s">
        <v>61</v>
      </c>
      <c r="F295" s="8" t="s">
        <v>120</v>
      </c>
      <c r="G295" s="8" t="s">
        <v>206</v>
      </c>
      <c r="H295" s="8" t="s">
        <v>2094</v>
      </c>
      <c r="I295" s="11">
        <v>0</v>
      </c>
      <c r="J295" s="12">
        <v>1</v>
      </c>
      <c r="K295" s="12">
        <v>0</v>
      </c>
      <c r="L295" s="8" t="s">
        <v>2089</v>
      </c>
      <c r="M295" s="8" t="s">
        <v>1974</v>
      </c>
      <c r="N295" s="8" t="s">
        <v>1961</v>
      </c>
      <c r="O295" s="8" t="s">
        <v>2104</v>
      </c>
      <c r="P295" s="8" t="s">
        <v>2389</v>
      </c>
      <c r="Q295" s="8" t="str">
        <f>IF(B295="","",IF(B295="P","P&amp;10",B295&amp;"D "&amp;C295))</f>
        <v>2D 11+</v>
      </c>
      <c r="R295" s="8" t="str">
        <f>IF(L295&lt;&gt;"Y","",IF(COUNTIF('DEF_CALL_DECISION_SUPPORT'!$B$1197:$B$1256,SUBSTITUTE(SUBSTITUTE(SUBSTITUTE(E295,"~","~~"),"*","~*"),"?","~?"))&gt;0,"KNOWN","REVIEW: new call; refresh sources"))</f>
        <v>KNOWN</v>
      </c>
    </row>
    <row r="296" spans="1:18" ht="25" customHeight="1">
      <c r="A296" s="12">
        <v>256</v>
      </c>
      <c r="B296" s="8" t="s">
        <v>2067</v>
      </c>
      <c r="C296" s="8" t="s">
        <v>716</v>
      </c>
      <c r="D296" s="8" t="s">
        <v>428</v>
      </c>
      <c r="E296" s="8" t="s">
        <v>61</v>
      </c>
      <c r="F296" s="8" t="s">
        <v>120</v>
      </c>
      <c r="G296" s="8" t="s">
        <v>206</v>
      </c>
      <c r="H296" s="8" t="s">
        <v>1965</v>
      </c>
      <c r="I296" s="11">
        <v>4</v>
      </c>
      <c r="J296" s="12">
        <v>0</v>
      </c>
      <c r="K296" s="12">
        <v>0</v>
      </c>
      <c r="L296" s="8" t="s">
        <v>2089</v>
      </c>
      <c r="M296" s="8" t="s">
        <v>1965</v>
      </c>
      <c r="N296" s="8" t="s">
        <v>1961</v>
      </c>
      <c r="O296" s="8" t="s">
        <v>2104</v>
      </c>
      <c r="P296" s="8"/>
      <c r="Q296" s="8" t="str">
        <f>IF(B296="","",IF(B296="P","P&amp;10",B296&amp;"D "&amp;C296))</f>
        <v>2D 7-10</v>
      </c>
      <c r="R296" s="8" t="str">
        <f>IF(L296&lt;&gt;"Y","",IF(COUNTIF('DEF_CALL_DECISION_SUPPORT'!$B$1197:$B$1256,SUBSTITUTE(SUBSTITUTE(SUBSTITUTE(E296,"~","~~"),"*","~*"),"?","~?"))&gt;0,"KNOWN","REVIEW: new call; refresh sources"))</f>
        <v>KNOWN</v>
      </c>
    </row>
    <row r="297" spans="1:18" ht="25" customHeight="1">
      <c r="A297" s="12">
        <v>257</v>
      </c>
      <c r="B297" s="8" t="s">
        <v>2067</v>
      </c>
      <c r="C297" s="8" t="s">
        <v>716</v>
      </c>
      <c r="D297" s="8" t="s">
        <v>449</v>
      </c>
      <c r="E297" s="8" t="s">
        <v>27</v>
      </c>
      <c r="F297" s="8" t="s">
        <v>123</v>
      </c>
      <c r="G297" s="8" t="s">
        <v>222</v>
      </c>
      <c r="H297" s="8" t="s">
        <v>2094</v>
      </c>
      <c r="I297" s="11">
        <v>0</v>
      </c>
      <c r="J297" s="12">
        <v>1</v>
      </c>
      <c r="K297" s="12">
        <v>0</v>
      </c>
      <c r="L297" s="8" t="s">
        <v>2089</v>
      </c>
      <c r="M297" s="8" t="s">
        <v>1974</v>
      </c>
      <c r="N297" s="8" t="s">
        <v>1973</v>
      </c>
      <c r="O297" s="8" t="s">
        <v>2095</v>
      </c>
      <c r="P297" s="8"/>
      <c r="Q297" s="8" t="str">
        <f>IF(B297="","",IF(B297="P","P&amp;10",B297&amp;"D "&amp;C297))</f>
        <v>2D 7-10</v>
      </c>
      <c r="R297" s="8" t="str">
        <f>IF(L297&lt;&gt;"Y","",IF(COUNTIF('DEF_CALL_DECISION_SUPPORT'!$B$1197:$B$1256,SUBSTITUTE(SUBSTITUTE(SUBSTITUTE(E297,"~","~~"),"*","~*"),"?","~?"))&gt;0,"KNOWN","REVIEW: new call; refresh sources"))</f>
        <v>KNOWN</v>
      </c>
    </row>
    <row r="298" spans="1:18" ht="25" customHeight="1">
      <c r="A298" s="12">
        <v>258</v>
      </c>
      <c r="B298" s="8" t="s">
        <v>2067</v>
      </c>
      <c r="C298" s="8" t="s">
        <v>711</v>
      </c>
      <c r="D298" s="8" t="s">
        <v>465</v>
      </c>
      <c r="E298" s="8" t="s">
        <v>27</v>
      </c>
      <c r="F298" s="8" t="s">
        <v>123</v>
      </c>
      <c r="G298" s="8" t="s">
        <v>203</v>
      </c>
      <c r="H298" s="8" t="s">
        <v>1965</v>
      </c>
      <c r="I298" s="11">
        <v>0</v>
      </c>
      <c r="J298" s="12">
        <v>1</v>
      </c>
      <c r="K298" s="12">
        <v>0</v>
      </c>
      <c r="L298" s="8" t="s">
        <v>2089</v>
      </c>
      <c r="M298" s="8" t="s">
        <v>1965</v>
      </c>
      <c r="N298" s="8" t="s">
        <v>1964</v>
      </c>
      <c r="O298" s="8" t="s">
        <v>2102</v>
      </c>
      <c r="P298" s="8"/>
      <c r="Q298" s="8" t="str">
        <f>IF(B298="","",IF(B298="P","P&amp;10",B298&amp;"D "&amp;C298))</f>
        <v>2D 4-6</v>
      </c>
      <c r="R298" s="8" t="str">
        <f>IF(L298&lt;&gt;"Y","",IF(COUNTIF('DEF_CALL_DECISION_SUPPORT'!$B$1197:$B$1256,SUBSTITUTE(SUBSTITUTE(SUBSTITUTE(E298,"~","~~"),"*","~*"),"?","~?"))&gt;0,"KNOWN","REVIEW: new call; refresh sources"))</f>
        <v>KNOWN</v>
      </c>
    </row>
    <row r="299" spans="1:18" ht="25" customHeight="1">
      <c r="A299" s="12">
        <v>259</v>
      </c>
      <c r="B299" s="8" t="s">
        <v>2067</v>
      </c>
      <c r="C299" s="8" t="s">
        <v>716</v>
      </c>
      <c r="D299" s="8" t="s">
        <v>449</v>
      </c>
      <c r="E299" s="8" t="s">
        <v>73</v>
      </c>
      <c r="F299" s="8" t="s">
        <v>120</v>
      </c>
      <c r="G299" s="8" t="s">
        <v>203</v>
      </c>
      <c r="H299" s="8" t="s">
        <v>2094</v>
      </c>
      <c r="I299" s="11">
        <v>16</v>
      </c>
      <c r="J299" s="12">
        <v>0</v>
      </c>
      <c r="K299" s="12">
        <v>1</v>
      </c>
      <c r="L299" s="8" t="s">
        <v>2089</v>
      </c>
      <c r="M299" s="8" t="s">
        <v>1963</v>
      </c>
      <c r="N299" s="8" t="s">
        <v>1964</v>
      </c>
      <c r="O299" s="8" t="s">
        <v>2090</v>
      </c>
      <c r="P299" s="8"/>
      <c r="Q299" s="8" t="str">
        <f>IF(B299="","",IF(B299="P","P&amp;10",B299&amp;"D "&amp;C299))</f>
        <v>2D 7-10</v>
      </c>
      <c r="R299" s="8" t="str">
        <f>IF(L299&lt;&gt;"Y","",IF(COUNTIF('DEF_CALL_DECISION_SUPPORT'!$B$1197:$B$1256,SUBSTITUTE(SUBSTITUTE(SUBSTITUTE(E299,"~","~~"),"*","~*"),"?","~?"))&gt;0,"KNOWN","REVIEW: new call; refresh sources"))</f>
        <v>KNOWN</v>
      </c>
    </row>
    <row r="300" spans="1:18" ht="25" customHeight="1">
      <c r="A300" s="12">
        <v>260</v>
      </c>
      <c r="B300" s="8" t="s">
        <v>2067</v>
      </c>
      <c r="C300" s="8" t="s">
        <v>706</v>
      </c>
      <c r="D300" s="8" t="s">
        <v>471</v>
      </c>
      <c r="E300" s="8" t="s">
        <v>73</v>
      </c>
      <c r="F300" s="8" t="s">
        <v>120</v>
      </c>
      <c r="G300" s="8" t="s">
        <v>206</v>
      </c>
      <c r="H300" s="8" t="s">
        <v>2094</v>
      </c>
      <c r="I300" s="11">
        <v>6</v>
      </c>
      <c r="J300" s="12">
        <v>1</v>
      </c>
      <c r="K300" s="12">
        <v>0</v>
      </c>
      <c r="L300" s="8" t="s">
        <v>2089</v>
      </c>
      <c r="M300" s="8" t="s">
        <v>1963</v>
      </c>
      <c r="N300" s="8" t="s">
        <v>1967</v>
      </c>
      <c r="O300" s="8" t="s">
        <v>2104</v>
      </c>
      <c r="P300" s="8"/>
      <c r="Q300" s="8" t="str">
        <f>IF(B300="","",IF(B300="P","P&amp;10",B300&amp;"D "&amp;C300))</f>
        <v>2D 1-3</v>
      </c>
      <c r="R300" s="8" t="str">
        <f>IF(L300&lt;&gt;"Y","",IF(COUNTIF('DEF_CALL_DECISION_SUPPORT'!$B$1197:$B$1256,SUBSTITUTE(SUBSTITUTE(SUBSTITUTE(E300,"~","~~"),"*","~*"),"?","~?"))&gt;0,"KNOWN","REVIEW: new call; refresh sources"))</f>
        <v>KNOWN</v>
      </c>
    </row>
    <row r="301" spans="1:18" ht="25" customHeight="1">
      <c r="A301" s="12">
        <v>261</v>
      </c>
      <c r="B301" s="8" t="s">
        <v>2067</v>
      </c>
      <c r="C301" s="8" t="s">
        <v>711</v>
      </c>
      <c r="D301" s="8" t="s">
        <v>428</v>
      </c>
      <c r="E301" s="8" t="s">
        <v>75</v>
      </c>
      <c r="F301" s="8" t="s">
        <v>120</v>
      </c>
      <c r="G301" s="8" t="s">
        <v>203</v>
      </c>
      <c r="H301" s="8" t="s">
        <v>1965</v>
      </c>
      <c r="I301" s="11">
        <v>7</v>
      </c>
      <c r="J301" s="12">
        <v>0</v>
      </c>
      <c r="K301" s="12">
        <v>0</v>
      </c>
      <c r="L301" s="8" t="s">
        <v>2089</v>
      </c>
      <c r="M301" s="8" t="s">
        <v>1965</v>
      </c>
      <c r="N301" s="8" t="s">
        <v>1964</v>
      </c>
      <c r="O301" s="8" t="s">
        <v>2090</v>
      </c>
      <c r="P301" s="8"/>
      <c r="Q301" s="8" t="str">
        <f>IF(B301="","",IF(B301="P","P&amp;10",B301&amp;"D "&amp;C301))</f>
        <v>2D 4-6</v>
      </c>
      <c r="R301" s="8" t="str">
        <f>IF(L301&lt;&gt;"Y","",IF(COUNTIF('DEF_CALL_DECISION_SUPPORT'!$B$1197:$B$1256,SUBSTITUTE(SUBSTITUTE(SUBSTITUTE(E301,"~","~~"),"*","~*"),"?","~?"))&gt;0,"KNOWN","REVIEW: new call; refresh sources"))</f>
        <v>KNOWN</v>
      </c>
    </row>
    <row r="302" spans="1:18" ht="25" customHeight="1">
      <c r="A302" s="12">
        <v>262</v>
      </c>
      <c r="B302" s="8" t="s">
        <v>2067</v>
      </c>
      <c r="C302" s="8" t="s">
        <v>716</v>
      </c>
      <c r="D302" s="8" t="s">
        <v>449</v>
      </c>
      <c r="E302" s="8" t="s">
        <v>75</v>
      </c>
      <c r="F302" s="8" t="s">
        <v>120</v>
      </c>
      <c r="G302" s="8" t="s">
        <v>206</v>
      </c>
      <c r="H302" s="8" t="s">
        <v>2094</v>
      </c>
      <c r="I302" s="11">
        <v>6</v>
      </c>
      <c r="J302" s="12">
        <v>1</v>
      </c>
      <c r="K302" s="12">
        <v>0</v>
      </c>
      <c r="L302" s="8" t="s">
        <v>2089</v>
      </c>
      <c r="M302" s="8" t="s">
        <v>1963</v>
      </c>
      <c r="N302" s="8" t="s">
        <v>1961</v>
      </c>
      <c r="O302" s="8" t="s">
        <v>2104</v>
      </c>
      <c r="P302" s="8"/>
      <c r="Q302" s="8" t="str">
        <f>IF(B302="","",IF(B302="P","P&amp;10",B302&amp;"D "&amp;C302))</f>
        <v>2D 7-10</v>
      </c>
      <c r="R302" s="8" t="str">
        <f>IF(L302&lt;&gt;"Y","",IF(COUNTIF('DEF_CALL_DECISION_SUPPORT'!$B$1197:$B$1256,SUBSTITUTE(SUBSTITUTE(SUBSTITUTE(E302,"~","~~"),"*","~*"),"?","~?"))&gt;0,"KNOWN","REVIEW: new call; refresh sources"))</f>
        <v>KNOWN</v>
      </c>
    </row>
    <row r="303" spans="1:18" ht="25" customHeight="1">
      <c r="A303" s="12">
        <v>263</v>
      </c>
      <c r="B303" s="8" t="s">
        <v>2067</v>
      </c>
      <c r="C303" s="8" t="s">
        <v>706</v>
      </c>
      <c r="D303" s="8" t="s">
        <v>428</v>
      </c>
      <c r="E303" s="8" t="s">
        <v>75</v>
      </c>
      <c r="F303" s="8" t="s">
        <v>120</v>
      </c>
      <c r="G303" s="8" t="s">
        <v>203</v>
      </c>
      <c r="H303" s="8" t="s">
        <v>1965</v>
      </c>
      <c r="I303" s="11">
        <v>1</v>
      </c>
      <c r="J303" s="12">
        <v>1</v>
      </c>
      <c r="K303" s="12">
        <v>0</v>
      </c>
      <c r="L303" s="8" t="s">
        <v>2089</v>
      </c>
      <c r="M303" s="8" t="s">
        <v>1965</v>
      </c>
      <c r="N303" s="8" t="s">
        <v>1964</v>
      </c>
      <c r="O303" s="8" t="s">
        <v>2090</v>
      </c>
      <c r="P303" s="8"/>
      <c r="Q303" s="8" t="str">
        <f>IF(B303="","",IF(B303="P","P&amp;10",B303&amp;"D "&amp;C303))</f>
        <v>2D 1-3</v>
      </c>
      <c r="R303" s="8" t="str">
        <f>IF(L303&lt;&gt;"Y","",IF(COUNTIF('DEF_CALL_DECISION_SUPPORT'!$B$1197:$B$1256,SUBSTITUTE(SUBSTITUTE(SUBSTITUTE(E303,"~","~~"),"*","~*"),"?","~?"))&gt;0,"KNOWN","REVIEW: new call; refresh sources"))</f>
        <v>KNOWN</v>
      </c>
    </row>
    <row r="304" spans="1:18" ht="25" customHeight="1">
      <c r="A304" s="12">
        <v>264</v>
      </c>
      <c r="B304" s="8" t="s">
        <v>2067</v>
      </c>
      <c r="C304" s="8" t="s">
        <v>716</v>
      </c>
      <c r="D304" s="8" t="s">
        <v>471</v>
      </c>
      <c r="E304" s="8" t="s">
        <v>79</v>
      </c>
      <c r="F304" s="8" t="s">
        <v>120</v>
      </c>
      <c r="G304" s="8" t="s">
        <v>203</v>
      </c>
      <c r="H304" s="8" t="s">
        <v>2094</v>
      </c>
      <c r="I304" s="11">
        <v>0</v>
      </c>
      <c r="J304" s="12">
        <v>1</v>
      </c>
      <c r="K304" s="12">
        <v>0</v>
      </c>
      <c r="L304" s="8" t="s">
        <v>2089</v>
      </c>
      <c r="M304" s="8" t="s">
        <v>1974</v>
      </c>
      <c r="N304" s="8" t="s">
        <v>1964</v>
      </c>
      <c r="O304" s="8" t="s">
        <v>2090</v>
      </c>
      <c r="P304" s="8"/>
      <c r="Q304" s="8" t="str">
        <f>IF(B304="","",IF(B304="P","P&amp;10",B304&amp;"D "&amp;C304))</f>
        <v>2D 7-10</v>
      </c>
      <c r="R304" s="8" t="str">
        <f>IF(L304&lt;&gt;"Y","",IF(COUNTIF('DEF_CALL_DECISION_SUPPORT'!$B$1197:$B$1256,SUBSTITUTE(SUBSTITUTE(SUBSTITUTE(E304,"~","~~"),"*","~*"),"?","~?"))&gt;0,"KNOWN","REVIEW: new call; refresh sources"))</f>
        <v>KNOWN</v>
      </c>
    </row>
    <row r="305" spans="1:18" ht="25" customHeight="1">
      <c r="A305" s="12">
        <v>265</v>
      </c>
      <c r="B305" s="8" t="s">
        <v>2067</v>
      </c>
      <c r="C305" s="8" t="s">
        <v>720</v>
      </c>
      <c r="D305" s="8" t="s">
        <v>446</v>
      </c>
      <c r="E305" s="8" t="s">
        <v>79</v>
      </c>
      <c r="F305" s="8" t="s">
        <v>120</v>
      </c>
      <c r="G305" s="8" t="s">
        <v>203</v>
      </c>
      <c r="H305" s="8" t="s">
        <v>2094</v>
      </c>
      <c r="I305" s="11">
        <v>15</v>
      </c>
      <c r="J305" s="12">
        <v>0</v>
      </c>
      <c r="K305" s="12">
        <v>1</v>
      </c>
      <c r="L305" s="8" t="s">
        <v>2089</v>
      </c>
      <c r="M305" s="8" t="s">
        <v>1963</v>
      </c>
      <c r="N305" s="8" t="s">
        <v>1964</v>
      </c>
      <c r="O305" s="8" t="s">
        <v>2090</v>
      </c>
      <c r="P305" s="8"/>
      <c r="Q305" s="8" t="str">
        <f>IF(B305="","",IF(B305="P","P&amp;10",B305&amp;"D "&amp;C305))</f>
        <v>2D 11+</v>
      </c>
      <c r="R305" s="8" t="str">
        <f>IF(L305&lt;&gt;"Y","",IF(COUNTIF('DEF_CALL_DECISION_SUPPORT'!$B$1197:$B$1256,SUBSTITUTE(SUBSTITUTE(SUBSTITUTE(E305,"~","~~"),"*","~*"),"?","~?"))&gt;0,"KNOWN","REVIEW: new call; refresh sources"))</f>
        <v>KNOWN</v>
      </c>
    </row>
    <row r="306" spans="1:18" ht="25" customHeight="1">
      <c r="A306" s="12">
        <v>266</v>
      </c>
      <c r="B306" s="8" t="s">
        <v>2067</v>
      </c>
      <c r="C306" s="8" t="s">
        <v>716</v>
      </c>
      <c r="D306" s="8" t="s">
        <v>468</v>
      </c>
      <c r="E306" s="8" t="s">
        <v>51</v>
      </c>
      <c r="F306" s="8" t="s">
        <v>123</v>
      </c>
      <c r="G306" s="8" t="s">
        <v>203</v>
      </c>
      <c r="H306" s="8" t="s">
        <v>2094</v>
      </c>
      <c r="I306" s="11">
        <v>19</v>
      </c>
      <c r="J306" s="12">
        <v>0</v>
      </c>
      <c r="K306" s="12">
        <v>1</v>
      </c>
      <c r="L306" s="8" t="s">
        <v>2089</v>
      </c>
      <c r="M306" s="8" t="s">
        <v>1963</v>
      </c>
      <c r="N306" s="8" t="s">
        <v>1964</v>
      </c>
      <c r="O306" s="8" t="s">
        <v>2102</v>
      </c>
      <c r="P306" s="8"/>
      <c r="Q306" s="8" t="str">
        <f>IF(B306="","",IF(B306="P","P&amp;10",B306&amp;"D "&amp;C306))</f>
        <v>2D 7-10</v>
      </c>
      <c r="R306" s="8" t="str">
        <f>IF(L306&lt;&gt;"Y","",IF(COUNTIF('DEF_CALL_DECISION_SUPPORT'!$B$1197:$B$1256,SUBSTITUTE(SUBSTITUTE(SUBSTITUTE(E306,"~","~~"),"*","~*"),"?","~?"))&gt;0,"KNOWN","REVIEW: new call; refresh sources"))</f>
        <v>KNOWN</v>
      </c>
    </row>
    <row r="307" spans="1:18" ht="25" customHeight="1">
      <c r="A307" s="12">
        <v>267</v>
      </c>
      <c r="B307" s="8" t="s">
        <v>2067</v>
      </c>
      <c r="C307" s="8" t="s">
        <v>716</v>
      </c>
      <c r="D307" s="8" t="s">
        <v>428</v>
      </c>
      <c r="E307" s="8" t="s">
        <v>66</v>
      </c>
      <c r="F307" s="8" t="s">
        <v>120</v>
      </c>
      <c r="G307" s="8" t="s">
        <v>203</v>
      </c>
      <c r="H307" s="8" t="s">
        <v>1965</v>
      </c>
      <c r="I307" s="11">
        <v>2</v>
      </c>
      <c r="J307" s="12">
        <v>1</v>
      </c>
      <c r="K307" s="12">
        <v>0</v>
      </c>
      <c r="L307" s="8" t="s">
        <v>2089</v>
      </c>
      <c r="M307" s="8" t="s">
        <v>1965</v>
      </c>
      <c r="N307" s="8" t="s">
        <v>1964</v>
      </c>
      <c r="O307" s="8" t="s">
        <v>2090</v>
      </c>
      <c r="P307" s="8"/>
      <c r="Q307" s="8" t="str">
        <f>IF(B307="","",IF(B307="P","P&amp;10",B307&amp;"D "&amp;C307))</f>
        <v>2D 7-10</v>
      </c>
      <c r="R307" s="8" t="str">
        <f>IF(L307&lt;&gt;"Y","",IF(COUNTIF('DEF_CALL_DECISION_SUPPORT'!$B$1197:$B$1256,SUBSTITUTE(SUBSTITUTE(SUBSTITUTE(E307,"~","~~"),"*","~*"),"?","~?"))&gt;0,"KNOWN","REVIEW: new call; refresh sources"))</f>
        <v>KNOWN</v>
      </c>
    </row>
    <row r="308" spans="1:18" ht="25" customHeight="1">
      <c r="A308" s="12">
        <v>268</v>
      </c>
      <c r="B308" s="8" t="s">
        <v>2067</v>
      </c>
      <c r="C308" s="8" t="s">
        <v>716</v>
      </c>
      <c r="D308" s="8" t="s">
        <v>449</v>
      </c>
      <c r="E308" s="8" t="s">
        <v>43</v>
      </c>
      <c r="F308" s="8" t="s">
        <v>120</v>
      </c>
      <c r="G308" s="8" t="s">
        <v>206</v>
      </c>
      <c r="H308" s="8" t="s">
        <v>2094</v>
      </c>
      <c r="I308" s="11">
        <v>5</v>
      </c>
      <c r="J308" s="12">
        <v>1</v>
      </c>
      <c r="K308" s="12">
        <v>0</v>
      </c>
      <c r="L308" s="8" t="s">
        <v>2089</v>
      </c>
      <c r="M308" s="8" t="s">
        <v>1963</v>
      </c>
      <c r="N308" s="8" t="s">
        <v>1967</v>
      </c>
      <c r="O308" s="8" t="s">
        <v>2104</v>
      </c>
      <c r="P308" s="8"/>
      <c r="Q308" s="8" t="str">
        <f>IF(B308="","",IF(B308="P","P&amp;10",B308&amp;"D "&amp;C308))</f>
        <v>2D 7-10</v>
      </c>
      <c r="R308" s="8" t="str">
        <f>IF(L308&lt;&gt;"Y","",IF(COUNTIF('DEF_CALL_DECISION_SUPPORT'!$B$1197:$B$1256,SUBSTITUTE(SUBSTITUTE(SUBSTITUTE(E308,"~","~~"),"*","~*"),"?","~?"))&gt;0,"KNOWN","REVIEW: new call; refresh sources"))</f>
        <v>KNOWN</v>
      </c>
    </row>
    <row r="309" spans="1:18" ht="25" customHeight="1">
      <c r="A309" s="12">
        <v>269</v>
      </c>
      <c r="B309" s="8" t="s">
        <v>2067</v>
      </c>
      <c r="C309" s="8" t="s">
        <v>720</v>
      </c>
      <c r="D309" s="8" t="s">
        <v>449</v>
      </c>
      <c r="E309" s="8" t="s">
        <v>81</v>
      </c>
      <c r="F309" s="8" t="s">
        <v>120</v>
      </c>
      <c r="G309" s="8" t="s">
        <v>206</v>
      </c>
      <c r="H309" s="8" t="s">
        <v>2094</v>
      </c>
      <c r="I309" s="11">
        <v>0</v>
      </c>
      <c r="J309" s="12">
        <v>1</v>
      </c>
      <c r="K309" s="12">
        <v>0</v>
      </c>
      <c r="L309" s="8" t="s">
        <v>2089</v>
      </c>
      <c r="M309" s="8" t="s">
        <v>1974</v>
      </c>
      <c r="N309" s="8" t="s">
        <v>1967</v>
      </c>
      <c r="O309" s="8" t="s">
        <v>2104</v>
      </c>
      <c r="P309" s="8"/>
      <c r="Q309" s="8" t="str">
        <f>IF(B309="","",IF(B309="P","P&amp;10",B309&amp;"D "&amp;C309))</f>
        <v>2D 11+</v>
      </c>
      <c r="R309" s="8" t="str">
        <f>IF(L309&lt;&gt;"Y","",IF(COUNTIF('DEF_CALL_DECISION_SUPPORT'!$B$1197:$B$1256,SUBSTITUTE(SUBSTITUTE(SUBSTITUTE(E309,"~","~~"),"*","~*"),"?","~?"))&gt;0,"KNOWN","REVIEW: new call; refresh sources"))</f>
        <v>KNOWN</v>
      </c>
    </row>
    <row r="310" spans="1:18" ht="25" customHeight="1">
      <c r="A310" s="12">
        <v>270</v>
      </c>
      <c r="B310" s="8" t="s">
        <v>2067</v>
      </c>
      <c r="C310" s="8" t="s">
        <v>716</v>
      </c>
      <c r="D310" s="8" t="s">
        <v>428</v>
      </c>
      <c r="E310" s="8" t="s">
        <v>69</v>
      </c>
      <c r="F310" s="8" t="s">
        <v>120</v>
      </c>
      <c r="G310" s="8" t="s">
        <v>206</v>
      </c>
      <c r="H310" s="8" t="s">
        <v>1965</v>
      </c>
      <c r="I310" s="11">
        <v>0</v>
      </c>
      <c r="J310" s="12">
        <v>1</v>
      </c>
      <c r="K310" s="12">
        <v>0</v>
      </c>
      <c r="L310" s="8" t="s">
        <v>2089</v>
      </c>
      <c r="M310" s="8" t="s">
        <v>1965</v>
      </c>
      <c r="N310" s="8" t="s">
        <v>1961</v>
      </c>
      <c r="O310" s="8" t="s">
        <v>2104</v>
      </c>
      <c r="P310" s="8"/>
      <c r="Q310" s="8" t="str">
        <f>IF(B310="","",IF(B310="P","P&amp;10",B310&amp;"D "&amp;C310))</f>
        <v>2D 7-10</v>
      </c>
      <c r="R310" s="8" t="str">
        <f>IF(L310&lt;&gt;"Y","",IF(COUNTIF('DEF_CALL_DECISION_SUPPORT'!$B$1197:$B$1256,SUBSTITUTE(SUBSTITUTE(SUBSTITUTE(E310,"~","~~"),"*","~*"),"?","~?"))&gt;0,"KNOWN","REVIEW: new call; refresh sources"))</f>
        <v>KNOWN</v>
      </c>
    </row>
    <row r="311" spans="1:18" ht="25" customHeight="1">
      <c r="A311" s="12">
        <v>271</v>
      </c>
      <c r="B311" s="8" t="s">
        <v>2067</v>
      </c>
      <c r="C311" s="8" t="s">
        <v>716</v>
      </c>
      <c r="D311" s="8" t="s">
        <v>428</v>
      </c>
      <c r="E311" s="8" t="s">
        <v>91</v>
      </c>
      <c r="F311" s="8" t="s">
        <v>123</v>
      </c>
      <c r="G311" s="8" t="s">
        <v>206</v>
      </c>
      <c r="H311" s="8" t="s">
        <v>1965</v>
      </c>
      <c r="I311" s="11">
        <v>4</v>
      </c>
      <c r="J311" s="12">
        <v>0</v>
      </c>
      <c r="K311" s="12">
        <v>0</v>
      </c>
      <c r="L311" s="8" t="s">
        <v>2089</v>
      </c>
      <c r="M311" s="8" t="s">
        <v>1965</v>
      </c>
      <c r="N311" s="8" t="s">
        <v>1967</v>
      </c>
      <c r="O311" s="8" t="s">
        <v>2099</v>
      </c>
      <c r="P311" s="8"/>
      <c r="Q311" s="8" t="str">
        <f>IF(B311="","",IF(B311="P","P&amp;10",B311&amp;"D "&amp;C311))</f>
        <v>2D 7-10</v>
      </c>
      <c r="R311" s="8" t="str">
        <f>IF(L311&lt;&gt;"Y","",IF(COUNTIF('DEF_CALL_DECISION_SUPPORT'!$B$1197:$B$1256,SUBSTITUTE(SUBSTITUTE(SUBSTITUTE(E311,"~","~~"),"*","~*"),"?","~?"))&gt;0,"KNOWN","REVIEW: new call; refresh sources"))</f>
        <v>KNOWN</v>
      </c>
    </row>
    <row r="312" spans="1:18" ht="25" customHeight="1">
      <c r="A312" s="12">
        <v>272</v>
      </c>
      <c r="B312" s="8" t="s">
        <v>2069</v>
      </c>
      <c r="C312" s="8" t="s">
        <v>711</v>
      </c>
      <c r="D312" s="8" t="s">
        <v>449</v>
      </c>
      <c r="E312" s="8" t="s">
        <v>100</v>
      </c>
      <c r="F312" s="8" t="s">
        <v>120</v>
      </c>
      <c r="G312" s="8" t="s">
        <v>206</v>
      </c>
      <c r="H312" s="8" t="s">
        <v>2094</v>
      </c>
      <c r="I312" s="11">
        <v>4</v>
      </c>
      <c r="J312" s="12">
        <v>1</v>
      </c>
      <c r="K312" s="12">
        <v>0</v>
      </c>
      <c r="L312" s="8" t="s">
        <v>2089</v>
      </c>
      <c r="M312" s="8" t="s">
        <v>1963</v>
      </c>
      <c r="N312" s="8" t="s">
        <v>1961</v>
      </c>
      <c r="O312" s="8" t="s">
        <v>2104</v>
      </c>
      <c r="P312" s="8"/>
      <c r="Q312" s="8" t="str">
        <f>IF(B312="","",IF(B312="P","P&amp;10",B312&amp;"D "&amp;C312))</f>
        <v>3D 4-6</v>
      </c>
      <c r="R312" s="8" t="str">
        <f>IF(L312&lt;&gt;"Y","",IF(COUNTIF('DEF_CALL_DECISION_SUPPORT'!$B$1197:$B$1256,SUBSTITUTE(SUBSTITUTE(SUBSTITUTE(E312,"~","~~"),"*","~*"),"?","~?"))&gt;0,"KNOWN","REVIEW: new call; refresh sources"))</f>
        <v>KNOWN</v>
      </c>
    </row>
    <row r="313" spans="1:18" ht="25" customHeight="1">
      <c r="A313" s="12">
        <v>273</v>
      </c>
      <c r="B313" s="8" t="s">
        <v>2069</v>
      </c>
      <c r="C313" s="8" t="s">
        <v>720</v>
      </c>
      <c r="D313" s="8" t="s">
        <v>449</v>
      </c>
      <c r="E313" s="8" t="s">
        <v>100</v>
      </c>
      <c r="F313" s="8" t="s">
        <v>120</v>
      </c>
      <c r="G313" s="8" t="s">
        <v>203</v>
      </c>
      <c r="H313" s="8" t="s">
        <v>2094</v>
      </c>
      <c r="I313" s="11">
        <v>0</v>
      </c>
      <c r="J313" s="12">
        <v>1</v>
      </c>
      <c r="K313" s="12">
        <v>0</v>
      </c>
      <c r="L313" s="8" t="s">
        <v>2089</v>
      </c>
      <c r="M313" s="8" t="s">
        <v>1974</v>
      </c>
      <c r="N313" s="8" t="s">
        <v>1964</v>
      </c>
      <c r="O313" s="8" t="s">
        <v>2090</v>
      </c>
      <c r="P313" s="8"/>
      <c r="Q313" s="8" t="str">
        <f>IF(B313="","",IF(B313="P","P&amp;10",B313&amp;"D "&amp;C313))</f>
        <v>3D 11+</v>
      </c>
      <c r="R313" s="8" t="str">
        <f>IF(L313&lt;&gt;"Y","",IF(COUNTIF('DEF_CALL_DECISION_SUPPORT'!$B$1197:$B$1256,SUBSTITUTE(SUBSTITUTE(SUBSTITUTE(E313,"~","~~"),"*","~*"),"?","~?"))&gt;0,"KNOWN","REVIEW: new call; refresh sources"))</f>
        <v>KNOWN</v>
      </c>
    </row>
    <row r="314" spans="1:18" ht="25" customHeight="1">
      <c r="A314" s="12">
        <v>274</v>
      </c>
      <c r="B314" s="8" t="s">
        <v>2069</v>
      </c>
      <c r="C314" s="8" t="s">
        <v>711</v>
      </c>
      <c r="D314" s="8" t="s">
        <v>428</v>
      </c>
      <c r="E314" s="8" t="s">
        <v>100</v>
      </c>
      <c r="F314" s="8" t="s">
        <v>120</v>
      </c>
      <c r="G314" s="8" t="s">
        <v>206</v>
      </c>
      <c r="H314" s="8" t="s">
        <v>1965</v>
      </c>
      <c r="I314" s="11">
        <v>8</v>
      </c>
      <c r="J314" s="12">
        <v>0</v>
      </c>
      <c r="K314" s="12">
        <v>0</v>
      </c>
      <c r="L314" s="8" t="s">
        <v>2089</v>
      </c>
      <c r="M314" s="8" t="s">
        <v>1965</v>
      </c>
      <c r="N314" s="8" t="s">
        <v>1967</v>
      </c>
      <c r="O314" s="8" t="s">
        <v>2104</v>
      </c>
      <c r="P314" s="8"/>
      <c r="Q314" s="8" t="str">
        <f>IF(B314="","",IF(B314="P","P&amp;10",B314&amp;"D "&amp;C314))</f>
        <v>3D 4-6</v>
      </c>
      <c r="R314" s="8" t="str">
        <f>IF(L314&lt;&gt;"Y","",IF(COUNTIF('DEF_CALL_DECISION_SUPPORT'!$B$1197:$B$1256,SUBSTITUTE(SUBSTITUTE(SUBSTITUTE(E314,"~","~~"),"*","~*"),"?","~?"))&gt;0,"KNOWN","REVIEW: new call; refresh sources"))</f>
        <v>KNOWN</v>
      </c>
    </row>
    <row r="315" spans="1:18" ht="25" customHeight="1">
      <c r="A315" s="12">
        <v>275</v>
      </c>
      <c r="B315" s="8" t="s">
        <v>2069</v>
      </c>
      <c r="C315" s="8" t="s">
        <v>706</v>
      </c>
      <c r="D315" s="8" t="s">
        <v>428</v>
      </c>
      <c r="E315" s="8" t="s">
        <v>95</v>
      </c>
      <c r="F315" s="8" t="s">
        <v>123</v>
      </c>
      <c r="G315" s="8" t="s">
        <v>203</v>
      </c>
      <c r="H315" s="8" t="s">
        <v>1965</v>
      </c>
      <c r="I315" s="11">
        <v>6</v>
      </c>
      <c r="J315" s="12">
        <v>0</v>
      </c>
      <c r="K315" s="12">
        <v>0</v>
      </c>
      <c r="L315" s="8" t="s">
        <v>2089</v>
      </c>
      <c r="M315" s="8" t="s">
        <v>1965</v>
      </c>
      <c r="N315" s="8" t="s">
        <v>1964</v>
      </c>
      <c r="O315" s="8" t="s">
        <v>2102</v>
      </c>
      <c r="P315" s="8"/>
      <c r="Q315" s="8" t="str">
        <f>IF(B315="","",IF(B315="P","P&amp;10",B315&amp;"D "&amp;C315))</f>
        <v>3D 1-3</v>
      </c>
      <c r="R315" s="8" t="str">
        <f>IF(L315&lt;&gt;"Y","",IF(COUNTIF('DEF_CALL_DECISION_SUPPORT'!$B$1197:$B$1256,SUBSTITUTE(SUBSTITUTE(SUBSTITUTE(E315,"~","~~"),"*","~*"),"?","~?"))&gt;0,"KNOWN","REVIEW: new call; refresh sources"))</f>
        <v>KNOWN</v>
      </c>
    </row>
    <row r="316" spans="1:18" ht="25" customHeight="1">
      <c r="A316" s="12">
        <v>276</v>
      </c>
      <c r="B316" s="8" t="s">
        <v>2069</v>
      </c>
      <c r="C316" s="8" t="s">
        <v>711</v>
      </c>
      <c r="D316" s="8" t="s">
        <v>449</v>
      </c>
      <c r="E316" s="8" t="s">
        <v>95</v>
      </c>
      <c r="F316" s="8" t="s">
        <v>120</v>
      </c>
      <c r="G316" s="8" t="s">
        <v>203</v>
      </c>
      <c r="H316" s="8" t="s">
        <v>2094</v>
      </c>
      <c r="I316" s="11">
        <v>10</v>
      </c>
      <c r="J316" s="12">
        <v>0</v>
      </c>
      <c r="K316" s="12">
        <v>0</v>
      </c>
      <c r="L316" s="8" t="s">
        <v>2089</v>
      </c>
      <c r="M316" s="8" t="s">
        <v>1963</v>
      </c>
      <c r="N316" s="8" t="s">
        <v>1964</v>
      </c>
      <c r="O316" s="8" t="s">
        <v>2090</v>
      </c>
      <c r="P316" s="8"/>
      <c r="Q316" s="8" t="str">
        <f>IF(B316="","",IF(B316="P","P&amp;10",B316&amp;"D "&amp;C316))</f>
        <v>3D 4-6</v>
      </c>
      <c r="R316" s="8" t="str">
        <f>IF(L316&lt;&gt;"Y","",IF(COUNTIF('DEF_CALL_DECISION_SUPPORT'!$B$1197:$B$1256,SUBSTITUTE(SUBSTITUTE(SUBSTITUTE(E316,"~","~~"),"*","~*"),"?","~?"))&gt;0,"KNOWN","REVIEW: new call; refresh sources"))</f>
        <v>KNOWN</v>
      </c>
    </row>
    <row r="317" spans="1:18" ht="25" customHeight="1">
      <c r="A317" s="12">
        <v>277</v>
      </c>
      <c r="B317" s="8" t="s">
        <v>2069</v>
      </c>
      <c r="C317" s="8" t="s">
        <v>711</v>
      </c>
      <c r="D317" s="8" t="s">
        <v>574</v>
      </c>
      <c r="E317" s="8" t="s">
        <v>95</v>
      </c>
      <c r="F317" s="8" t="s">
        <v>123</v>
      </c>
      <c r="G317" s="8" t="s">
        <v>203</v>
      </c>
      <c r="H317" s="8" t="s">
        <v>1965</v>
      </c>
      <c r="I317" s="11">
        <v>-1</v>
      </c>
      <c r="J317" s="12">
        <v>1</v>
      </c>
      <c r="K317" s="12">
        <v>0</v>
      </c>
      <c r="L317" s="8" t="s">
        <v>2089</v>
      </c>
      <c r="M317" s="8" t="s">
        <v>1965</v>
      </c>
      <c r="N317" s="8" t="s">
        <v>1964</v>
      </c>
      <c r="O317" s="8" t="s">
        <v>2102</v>
      </c>
      <c r="P317" s="8"/>
      <c r="Q317" s="8" t="str">
        <f>IF(B317="","",IF(B317="P","P&amp;10",B317&amp;"D "&amp;C317))</f>
        <v>3D 4-6</v>
      </c>
      <c r="R317" s="8" t="str">
        <f>IF(L317&lt;&gt;"Y","",IF(COUNTIF('DEF_CALL_DECISION_SUPPORT'!$B$1197:$B$1256,SUBSTITUTE(SUBSTITUTE(SUBSTITUTE(E317,"~","~~"),"*","~*"),"?","~?"))&gt;0,"KNOWN","REVIEW: new call; refresh sources"))</f>
        <v>KNOWN</v>
      </c>
    </row>
    <row r="318" spans="1:18" ht="25" customHeight="1">
      <c r="A318" s="12">
        <v>278</v>
      </c>
      <c r="B318" s="8" t="s">
        <v>2069</v>
      </c>
      <c r="C318" s="8" t="s">
        <v>706</v>
      </c>
      <c r="D318" s="8" t="s">
        <v>449</v>
      </c>
      <c r="E318" s="8" t="s">
        <v>93</v>
      </c>
      <c r="F318" s="8" t="s">
        <v>120</v>
      </c>
      <c r="G318" s="8" t="s">
        <v>203</v>
      </c>
      <c r="H318" s="8" t="s">
        <v>2094</v>
      </c>
      <c r="I318" s="11">
        <v>0</v>
      </c>
      <c r="J318" s="12">
        <v>1</v>
      </c>
      <c r="K318" s="12">
        <v>0</v>
      </c>
      <c r="L318" s="8" t="s">
        <v>2089</v>
      </c>
      <c r="M318" s="8" t="s">
        <v>1974</v>
      </c>
      <c r="N318" s="8" t="s">
        <v>1964</v>
      </c>
      <c r="O318" s="8" t="s">
        <v>2090</v>
      </c>
      <c r="P318" s="8"/>
      <c r="Q318" s="8" t="str">
        <f>IF(B318="","",IF(B318="P","P&amp;10",B318&amp;"D "&amp;C318))</f>
        <v>3D 1-3</v>
      </c>
      <c r="R318" s="8" t="str">
        <f>IF(L318&lt;&gt;"Y","",IF(COUNTIF('DEF_CALL_DECISION_SUPPORT'!$B$1197:$B$1256,SUBSTITUTE(SUBSTITUTE(SUBSTITUTE(E318,"~","~~"),"*","~*"),"?","~?"))&gt;0,"KNOWN","REVIEW: new call; refresh sources"))</f>
        <v>KNOWN</v>
      </c>
    </row>
    <row r="319" spans="1:18" ht="25" customHeight="1">
      <c r="A319" s="12">
        <v>279</v>
      </c>
      <c r="B319" s="8" t="s">
        <v>2069</v>
      </c>
      <c r="C319" s="8" t="s">
        <v>716</v>
      </c>
      <c r="D319" s="8" t="s">
        <v>449</v>
      </c>
      <c r="E319" s="8" t="s">
        <v>93</v>
      </c>
      <c r="F319" s="8" t="s">
        <v>120</v>
      </c>
      <c r="G319" s="8" t="s">
        <v>203</v>
      </c>
      <c r="H319" s="8" t="s">
        <v>2094</v>
      </c>
      <c r="I319" s="11">
        <v>21</v>
      </c>
      <c r="J319" s="12">
        <v>0</v>
      </c>
      <c r="K319" s="12">
        <v>1</v>
      </c>
      <c r="L319" s="8" t="s">
        <v>2089</v>
      </c>
      <c r="M319" s="8" t="s">
        <v>1963</v>
      </c>
      <c r="N319" s="8" t="s">
        <v>1964</v>
      </c>
      <c r="O319" s="8" t="s">
        <v>2090</v>
      </c>
      <c r="P319" s="8"/>
      <c r="Q319" s="8" t="str">
        <f>IF(B319="","",IF(B319="P","P&amp;10",B319&amp;"D "&amp;C319))</f>
        <v>3D 7-10</v>
      </c>
      <c r="R319" s="8" t="str">
        <f>IF(L319&lt;&gt;"Y","",IF(COUNTIF('DEF_CALL_DECISION_SUPPORT'!$B$1197:$B$1256,SUBSTITUTE(SUBSTITUTE(SUBSTITUTE(E319,"~","~~"),"*","~*"),"?","~?"))&gt;0,"KNOWN","REVIEW: new call; refresh sources"))</f>
        <v>KNOWN</v>
      </c>
    </row>
    <row r="320" spans="1:18" ht="25" customHeight="1">
      <c r="A320" s="12">
        <v>280</v>
      </c>
      <c r="B320" s="8" t="s">
        <v>2069</v>
      </c>
      <c r="C320" s="8" t="s">
        <v>716</v>
      </c>
      <c r="D320" s="8" t="s">
        <v>449</v>
      </c>
      <c r="E320" s="8" t="s">
        <v>97</v>
      </c>
      <c r="F320" s="8" t="s">
        <v>120</v>
      </c>
      <c r="G320" s="8" t="s">
        <v>222</v>
      </c>
      <c r="H320" s="8" t="s">
        <v>2094</v>
      </c>
      <c r="I320" s="11">
        <v>26</v>
      </c>
      <c r="J320" s="12">
        <v>0</v>
      </c>
      <c r="K320" s="12">
        <v>1</v>
      </c>
      <c r="L320" s="8" t="s">
        <v>2089</v>
      </c>
      <c r="M320" s="8" t="s">
        <v>1963</v>
      </c>
      <c r="N320" s="8" t="s">
        <v>1979</v>
      </c>
      <c r="O320" s="8" t="s">
        <v>2095</v>
      </c>
      <c r="P320" s="8"/>
      <c r="Q320" s="8" t="str">
        <f>IF(B320="","",IF(B320="P","P&amp;10",B320&amp;"D "&amp;C320))</f>
        <v>3D 7-10</v>
      </c>
      <c r="R320" s="8" t="str">
        <f>IF(L320&lt;&gt;"Y","",IF(COUNTIF('DEF_CALL_DECISION_SUPPORT'!$B$1197:$B$1256,SUBSTITUTE(SUBSTITUTE(SUBSTITUTE(E320,"~","~~"),"*","~*"),"?","~?"))&gt;0,"KNOWN","REVIEW: new call; refresh sources"))</f>
        <v>KNOWN</v>
      </c>
    </row>
    <row r="321" spans="1:18" ht="25" customHeight="1">
      <c r="A321" s="12">
        <v>281</v>
      </c>
      <c r="B321" s="8" t="s">
        <v>2069</v>
      </c>
      <c r="C321" s="8" t="s">
        <v>720</v>
      </c>
      <c r="D321" s="8" t="s">
        <v>474</v>
      </c>
      <c r="E321" s="8" t="s">
        <v>97</v>
      </c>
      <c r="F321" s="8" t="s">
        <v>120</v>
      </c>
      <c r="G321" s="8" t="s">
        <v>203</v>
      </c>
      <c r="H321" s="8" t="s">
        <v>2094</v>
      </c>
      <c r="I321" s="11">
        <v>4</v>
      </c>
      <c r="J321" s="12">
        <v>1</v>
      </c>
      <c r="K321" s="12">
        <v>0</v>
      </c>
      <c r="L321" s="8" t="s">
        <v>2089</v>
      </c>
      <c r="M321" s="8" t="s">
        <v>1963</v>
      </c>
      <c r="N321" s="8" t="s">
        <v>1964</v>
      </c>
      <c r="O321" s="8" t="s">
        <v>2090</v>
      </c>
      <c r="P321" s="8"/>
      <c r="Q321" s="8" t="str">
        <f>IF(B321="","",IF(B321="P","P&amp;10",B321&amp;"D "&amp;C321))</f>
        <v>3D 11+</v>
      </c>
      <c r="R321" s="8" t="str">
        <f>IF(L321&lt;&gt;"Y","",IF(COUNTIF('DEF_CALL_DECISION_SUPPORT'!$B$1197:$B$1256,SUBSTITUTE(SUBSTITUTE(SUBSTITUTE(E321,"~","~~"),"*","~*"),"?","~?"))&gt;0,"KNOWN","REVIEW: new call; refresh sources"))</f>
        <v>KNOWN</v>
      </c>
    </row>
    <row r="322" spans="1:18" ht="25" customHeight="1">
      <c r="A322" s="12">
        <v>282</v>
      </c>
      <c r="B322" s="8" t="s">
        <v>2069</v>
      </c>
      <c r="C322" s="8" t="s">
        <v>711</v>
      </c>
      <c r="D322" s="8" t="s">
        <v>449</v>
      </c>
      <c r="E322" s="8" t="s">
        <v>48</v>
      </c>
      <c r="F322" s="8" t="s">
        <v>120</v>
      </c>
      <c r="G322" s="8" t="s">
        <v>203</v>
      </c>
      <c r="H322" s="8" t="s">
        <v>2094</v>
      </c>
      <c r="I322" s="11">
        <v>14</v>
      </c>
      <c r="J322" s="12">
        <v>0</v>
      </c>
      <c r="K322" s="12">
        <v>0</v>
      </c>
      <c r="L322" s="8" t="s">
        <v>2089</v>
      </c>
      <c r="M322" s="8" t="s">
        <v>1963</v>
      </c>
      <c r="N322" s="8" t="s">
        <v>1964</v>
      </c>
      <c r="O322" s="8" t="s">
        <v>2090</v>
      </c>
      <c r="P322" s="8"/>
      <c r="Q322" s="8" t="str">
        <f>IF(B322="","",IF(B322="P","P&amp;10",B322&amp;"D "&amp;C322))</f>
        <v>3D 4-6</v>
      </c>
      <c r="R322" s="8" t="str">
        <f>IF(L322&lt;&gt;"Y","",IF(COUNTIF('DEF_CALL_DECISION_SUPPORT'!$B$1197:$B$1256,SUBSTITUTE(SUBSTITUTE(SUBSTITUTE(E322,"~","~~"),"*","~*"),"?","~?"))&gt;0,"KNOWN","REVIEW: new call; refresh sources"))</f>
        <v>KNOWN</v>
      </c>
    </row>
    <row r="323" spans="1:18" ht="25" customHeight="1">
      <c r="A323" s="12">
        <v>283</v>
      </c>
      <c r="B323" s="8" t="s">
        <v>2069</v>
      </c>
      <c r="C323" s="8" t="s">
        <v>711</v>
      </c>
      <c r="D323" s="8" t="s">
        <v>449</v>
      </c>
      <c r="E323" s="8" t="s">
        <v>105</v>
      </c>
      <c r="F323" s="8" t="s">
        <v>120</v>
      </c>
      <c r="G323" s="8" t="s">
        <v>206</v>
      </c>
      <c r="H323" s="8" t="s">
        <v>2094</v>
      </c>
      <c r="I323" s="11">
        <v>0</v>
      </c>
      <c r="J323" s="12">
        <v>1</v>
      </c>
      <c r="K323" s="12">
        <v>0</v>
      </c>
      <c r="L323" s="8" t="s">
        <v>2089</v>
      </c>
      <c r="M323" s="8" t="s">
        <v>1974</v>
      </c>
      <c r="N323" s="8" t="s">
        <v>1961</v>
      </c>
      <c r="O323" s="8" t="s">
        <v>2104</v>
      </c>
      <c r="P323" s="8"/>
      <c r="Q323" s="8" t="str">
        <f>IF(B323="","",IF(B323="P","P&amp;10",B323&amp;"D "&amp;C323))</f>
        <v>3D 4-6</v>
      </c>
      <c r="R323" s="8" t="str">
        <f>IF(L323&lt;&gt;"Y","",IF(COUNTIF('DEF_CALL_DECISION_SUPPORT'!$B$1197:$B$1256,SUBSTITUTE(SUBSTITUTE(SUBSTITUTE(E323,"~","~~"),"*","~*"),"?","~?"))&gt;0,"KNOWN","REVIEW: new call; refresh sources"))</f>
        <v>KNOWN</v>
      </c>
    </row>
    <row r="324" spans="1:18" ht="25" customHeight="1">
      <c r="A324" s="12">
        <v>284</v>
      </c>
      <c r="B324" s="8" t="s">
        <v>2069</v>
      </c>
      <c r="C324" s="8" t="s">
        <v>716</v>
      </c>
      <c r="D324" s="8" t="s">
        <v>449</v>
      </c>
      <c r="E324" s="8" t="s">
        <v>110</v>
      </c>
      <c r="F324" s="8" t="s">
        <v>120</v>
      </c>
      <c r="G324" s="8" t="s">
        <v>206</v>
      </c>
      <c r="H324" s="8" t="s">
        <v>2094</v>
      </c>
      <c r="I324" s="11">
        <v>19</v>
      </c>
      <c r="J324" s="12">
        <v>0</v>
      </c>
      <c r="K324" s="12">
        <v>1</v>
      </c>
      <c r="L324" s="8" t="s">
        <v>2089</v>
      </c>
      <c r="M324" s="8" t="s">
        <v>1963</v>
      </c>
      <c r="N324" s="8" t="s">
        <v>1961</v>
      </c>
      <c r="O324" s="8" t="s">
        <v>2104</v>
      </c>
      <c r="P324" s="8"/>
      <c r="Q324" s="8" t="str">
        <f>IF(B324="","",IF(B324="P","P&amp;10",B324&amp;"D "&amp;C324))</f>
        <v>3D 7-10</v>
      </c>
      <c r="R324" s="8" t="str">
        <f>IF(L324&lt;&gt;"Y","",IF(COUNTIF('DEF_CALL_DECISION_SUPPORT'!$B$1197:$B$1256,SUBSTITUTE(SUBSTITUTE(SUBSTITUTE(E324,"~","~~"),"*","~*"),"?","~?"))&gt;0,"KNOWN","REVIEW: new call; refresh sources"))</f>
        <v>KNOWN</v>
      </c>
    </row>
    <row r="325" spans="1:18" ht="25" customHeight="1">
      <c r="A325" s="12">
        <v>285</v>
      </c>
      <c r="B325" s="8" t="s">
        <v>2069</v>
      </c>
      <c r="C325" s="8" t="s">
        <v>711</v>
      </c>
      <c r="D325" s="8" t="s">
        <v>449</v>
      </c>
      <c r="E325" s="8" t="s">
        <v>61</v>
      </c>
      <c r="F325" s="8" t="s">
        <v>120</v>
      </c>
      <c r="G325" s="8" t="s">
        <v>206</v>
      </c>
      <c r="H325" s="8" t="s">
        <v>2094</v>
      </c>
      <c r="I325" s="11">
        <v>21</v>
      </c>
      <c r="J325" s="12">
        <v>0</v>
      </c>
      <c r="K325" s="12">
        <v>1</v>
      </c>
      <c r="L325" s="8" t="s">
        <v>2089</v>
      </c>
      <c r="M325" s="8" t="s">
        <v>1963</v>
      </c>
      <c r="N325" s="8" t="s">
        <v>1961</v>
      </c>
      <c r="O325" s="8" t="s">
        <v>2104</v>
      </c>
      <c r="P325" s="8"/>
      <c r="Q325" s="8" t="str">
        <f>IF(B325="","",IF(B325="P","P&amp;10",B325&amp;"D "&amp;C325))</f>
        <v>3D 4-6</v>
      </c>
      <c r="R325" s="8" t="str">
        <f>IF(L325&lt;&gt;"Y","",IF(COUNTIF('DEF_CALL_DECISION_SUPPORT'!$B$1197:$B$1256,SUBSTITUTE(SUBSTITUTE(SUBSTITUTE(E325,"~","~~"),"*","~*"),"?","~?"))&gt;0,"KNOWN","REVIEW: new call; refresh sources"))</f>
        <v>KNOWN</v>
      </c>
    </row>
    <row r="326" spans="1:18" ht="25" customHeight="1">
      <c r="A326" s="12">
        <v>286</v>
      </c>
      <c r="B326" s="8" t="s">
        <v>2069</v>
      </c>
      <c r="C326" s="8" t="s">
        <v>711</v>
      </c>
      <c r="D326" s="8" t="s">
        <v>449</v>
      </c>
      <c r="E326" s="8" t="s">
        <v>66</v>
      </c>
      <c r="F326" s="8" t="s">
        <v>120</v>
      </c>
      <c r="G326" s="8" t="s">
        <v>222</v>
      </c>
      <c r="H326" s="8" t="s">
        <v>2110</v>
      </c>
      <c r="I326" s="11">
        <v>0</v>
      </c>
      <c r="J326" s="12"/>
      <c r="K326" s="12"/>
      <c r="L326" s="8" t="s">
        <v>2109</v>
      </c>
      <c r="M326" s="8" t="s">
        <v>2117</v>
      </c>
      <c r="N326" s="8" t="s">
        <v>1973</v>
      </c>
      <c r="O326" s="8" t="s">
        <v>2095</v>
      </c>
      <c r="P326" s="8" t="s">
        <v>2388</v>
      </c>
      <c r="Q326" s="8" t="str">
        <f>IF(B326="","",IF(B326="P","P&amp;10",B326&amp;"D "&amp;C326))</f>
        <v>3D 4-6</v>
      </c>
      <c r="R326" s="8">
        <f>IF(L326&lt;&gt;"Y","",IF(COUNTIF('DEF_CALL_DECISION_SUPPORT'!$B$1197:$B$1256,SUBSTITUTE(SUBSTITUTE(SUBSTITUTE(E326,"~","~~"),"*","~*"),"?","~?"))&gt;0,"KNOWN","REVIEW: new call; refresh sources"))</f>
        <v/>
      </c>
    </row>
    <row r="327" spans="1:18" ht="25" customHeight="1">
      <c r="A327" s="12">
        <v>287</v>
      </c>
      <c r="B327" s="8" t="s">
        <v>2070</v>
      </c>
      <c r="C327" s="8" t="s">
        <v>706</v>
      </c>
      <c r="D327" s="8" t="s">
        <v>428</v>
      </c>
      <c r="E327" s="8" t="s">
        <v>95</v>
      </c>
      <c r="F327" s="8" t="s">
        <v>123</v>
      </c>
      <c r="G327" s="8" t="s">
        <v>203</v>
      </c>
      <c r="H327" s="8" t="s">
        <v>1965</v>
      </c>
      <c r="I327" s="11">
        <v>3</v>
      </c>
      <c r="J327" s="12">
        <v>0</v>
      </c>
      <c r="K327" s="12">
        <v>0</v>
      </c>
      <c r="L327" s="8" t="s">
        <v>2089</v>
      </c>
      <c r="M327" s="8" t="s">
        <v>1965</v>
      </c>
      <c r="N327" s="8" t="s">
        <v>1964</v>
      </c>
      <c r="O327" s="8" t="s">
        <v>2102</v>
      </c>
      <c r="P327" s="8"/>
      <c r="Q327" s="8" t="str">
        <f>IF(B327="","",IF(B327="P","P&amp;10",B327&amp;"D "&amp;C327))</f>
        <v>4D 1-3</v>
      </c>
      <c r="R327" s="8" t="str">
        <f>IF(L327&lt;&gt;"Y","",IF(COUNTIF('DEF_CALL_DECISION_SUPPORT'!$B$1197:$B$1256,SUBSTITUTE(SUBSTITUTE(SUBSTITUTE(E327,"~","~~"),"*","~*"),"?","~?"))&gt;0,"KNOWN","REVIEW: new call; refresh sources"))</f>
        <v>KNOWN</v>
      </c>
    </row>
    <row r="328" spans="1:18" ht="25" customHeight="1">
      <c r="A328" s="12">
        <v>288</v>
      </c>
      <c r="B328" s="8" t="s">
        <v>2070</v>
      </c>
      <c r="C328" s="8" t="s">
        <v>706</v>
      </c>
      <c r="D328" s="8" t="s">
        <v>468</v>
      </c>
      <c r="E328" s="8" t="s">
        <v>27</v>
      </c>
      <c r="F328" s="8" t="s">
        <v>123</v>
      </c>
      <c r="G328" s="8" t="s">
        <v>203</v>
      </c>
      <c r="H328" s="8" t="s">
        <v>2094</v>
      </c>
      <c r="I328" s="11">
        <v>23</v>
      </c>
      <c r="J328" s="12">
        <v>0</v>
      </c>
      <c r="K328" s="12">
        <v>1</v>
      </c>
      <c r="L328" s="8" t="s">
        <v>2089</v>
      </c>
      <c r="M328" s="8" t="s">
        <v>1963</v>
      </c>
      <c r="N328" s="8" t="s">
        <v>1964</v>
      </c>
      <c r="O328" s="8" t="s">
        <v>2102</v>
      </c>
      <c r="P328" s="8"/>
      <c r="Q328" s="8" t="str">
        <f>IF(B328="","",IF(B328="P","P&amp;10",B328&amp;"D "&amp;C328))</f>
        <v>4D 1-3</v>
      </c>
      <c r="R328" s="8" t="str">
        <f>IF(L328&lt;&gt;"Y","",IF(COUNTIF('DEF_CALL_DECISION_SUPPORT'!$B$1197:$B$1256,SUBSTITUTE(SUBSTITUTE(SUBSTITUTE(E328,"~","~~"),"*","~*"),"?","~?"))&gt;0,"KNOWN","REVIEW: new call; refresh sources"))</f>
        <v>KNOWN</v>
      </c>
    </row>
    <row r="329" spans="1:18" ht="25" customHeight="1">
      <c r="A329" s="12"/>
      <c r="B329" s="8"/>
      <c r="C329" s="8"/>
      <c r="D329" s="8"/>
      <c r="E329" s="8"/>
      <c r="F329" s="8"/>
      <c r="G329" s="8"/>
      <c r="H329" s="8"/>
      <c r="I329" s="11"/>
      <c r="J329" s="12"/>
      <c r="K329" s="12"/>
      <c r="L329" s="8"/>
      <c r="M329" s="8"/>
      <c r="N329" s="8"/>
      <c r="O329" s="8"/>
      <c r="P329" s="8"/>
      <c r="Q329" s="8">
        <f>IF(B329="","",IF(B329="P","P&amp;10",B329&amp;"D "&amp;C329))</f>
        <v/>
      </c>
      <c r="R329" s="8">
        <f>IF(L329&lt;&gt;"Y","",IF(COUNTIF('DEF_CALL_DECISION_SUPPORT'!$B$1197:$B$1256,SUBSTITUTE(SUBSTITUTE(SUBSTITUTE(E329,"~","~~"),"*","~*"),"?","~?"))&gt;0,"KNOWN","REVIEW: new call; refresh sources"))</f>
        <v/>
      </c>
    </row>
    <row r="330" spans="1:18" ht="25" customHeight="1">
      <c r="A330" s="12"/>
      <c r="B330" s="8"/>
      <c r="C330" s="8"/>
      <c r="D330" s="8"/>
      <c r="E330" s="8"/>
      <c r="F330" s="8"/>
      <c r="G330" s="8"/>
      <c r="H330" s="8"/>
      <c r="I330" s="11"/>
      <c r="J330" s="12"/>
      <c r="K330" s="12"/>
      <c r="L330" s="8"/>
      <c r="M330" s="8"/>
      <c r="N330" s="8"/>
      <c r="O330" s="8"/>
      <c r="P330" s="8"/>
      <c r="Q330" s="8">
        <f>IF(B330="","",IF(B330="P","P&amp;10",B330&amp;"D "&amp;C330))</f>
        <v/>
      </c>
      <c r="R330" s="8">
        <f>IF(L330&lt;&gt;"Y","",IF(COUNTIF('DEF_CALL_DECISION_SUPPORT'!$B$1197:$B$1256,SUBSTITUTE(SUBSTITUTE(SUBSTITUTE(E330,"~","~~"),"*","~*"),"?","~?"))&gt;0,"KNOWN","REVIEW: new call; refresh sources"))</f>
        <v/>
      </c>
    </row>
    <row r="331" spans="1:18" ht="25" customHeight="1">
      <c r="A331" s="12"/>
      <c r="B331" s="8"/>
      <c r="C331" s="8"/>
      <c r="D331" s="8"/>
      <c r="E331" s="8"/>
      <c r="F331" s="8"/>
      <c r="G331" s="8"/>
      <c r="H331" s="8"/>
      <c r="I331" s="11"/>
      <c r="J331" s="12"/>
      <c r="K331" s="12"/>
      <c r="L331" s="8"/>
      <c r="M331" s="8"/>
      <c r="N331" s="8"/>
      <c r="O331" s="8"/>
      <c r="P331" s="8"/>
      <c r="Q331" s="8">
        <f>IF(B331="","",IF(B331="P","P&amp;10",B331&amp;"D "&amp;C331))</f>
        <v/>
      </c>
      <c r="R331" s="8">
        <f>IF(L331&lt;&gt;"Y","",IF(COUNTIF('DEF_CALL_DECISION_SUPPORT'!$B$1197:$B$1256,SUBSTITUTE(SUBSTITUTE(SUBSTITUTE(E331,"~","~~"),"*","~*"),"?","~?"))&gt;0,"KNOWN","REVIEW: new call; refresh sources"))</f>
        <v/>
      </c>
    </row>
    <row r="332" spans="1:18" ht="25" customHeight="1">
      <c r="A332" s="12"/>
      <c r="B332" s="8"/>
      <c r="C332" s="8"/>
      <c r="D332" s="8"/>
      <c r="E332" s="8"/>
      <c r="F332" s="8"/>
      <c r="G332" s="8"/>
      <c r="H332" s="8"/>
      <c r="I332" s="11"/>
      <c r="J332" s="12"/>
      <c r="K332" s="12"/>
      <c r="L332" s="8"/>
      <c r="M332" s="8"/>
      <c r="N332" s="8"/>
      <c r="O332" s="8"/>
      <c r="P332" s="8"/>
      <c r="Q332" s="8">
        <f>IF(B332="","",IF(B332="P","P&amp;10",B332&amp;"D "&amp;C332))</f>
        <v/>
      </c>
      <c r="R332" s="8">
        <f>IF(L332&lt;&gt;"Y","",IF(COUNTIF('DEF_CALL_DECISION_SUPPORT'!$B$1197:$B$1256,SUBSTITUTE(SUBSTITUTE(SUBSTITUTE(E332,"~","~~"),"*","~*"),"?","~?"))&gt;0,"KNOWN","REVIEW: new call; refresh sources"))</f>
        <v/>
      </c>
    </row>
    <row r="333" spans="1:18" ht="25" customHeight="1">
      <c r="A333" s="12"/>
      <c r="B333" s="8"/>
      <c r="C333" s="8"/>
      <c r="D333" s="8"/>
      <c r="E333" s="8"/>
      <c r="F333" s="8"/>
      <c r="G333" s="8"/>
      <c r="H333" s="8"/>
      <c r="I333" s="11"/>
      <c r="J333" s="12"/>
      <c r="K333" s="12"/>
      <c r="L333" s="8"/>
      <c r="M333" s="8"/>
      <c r="N333" s="8"/>
      <c r="O333" s="8"/>
      <c r="P333" s="8"/>
      <c r="Q333" s="8">
        <f>IF(B333="","",IF(B333="P","P&amp;10",B333&amp;"D "&amp;C333))</f>
        <v/>
      </c>
      <c r="R333" s="8">
        <f>IF(L333&lt;&gt;"Y","",IF(COUNTIF('DEF_CALL_DECISION_SUPPORT'!$B$1197:$B$1256,SUBSTITUTE(SUBSTITUTE(SUBSTITUTE(E333,"~","~~"),"*","~*"),"?","~?"))&gt;0,"KNOWN","REVIEW: new call; refresh sources"))</f>
        <v/>
      </c>
    </row>
    <row r="334" spans="1:18" ht="25" customHeight="1">
      <c r="A334" s="12"/>
      <c r="B334" s="8"/>
      <c r="C334" s="8"/>
      <c r="D334" s="8"/>
      <c r="E334" s="8"/>
      <c r="F334" s="8"/>
      <c r="G334" s="8"/>
      <c r="H334" s="8"/>
      <c r="I334" s="11"/>
      <c r="J334" s="12"/>
      <c r="K334" s="12"/>
      <c r="L334" s="8"/>
      <c r="M334" s="8"/>
      <c r="N334" s="8"/>
      <c r="O334" s="8"/>
      <c r="P334" s="8"/>
      <c r="Q334" s="8">
        <f>IF(B334="","",IF(B334="P","P&amp;10",B334&amp;"D "&amp;C334))</f>
        <v/>
      </c>
      <c r="R334" s="8">
        <f>IF(L334&lt;&gt;"Y","",IF(COUNTIF('DEF_CALL_DECISION_SUPPORT'!$B$1197:$B$1256,SUBSTITUTE(SUBSTITUTE(SUBSTITUTE(E334,"~","~~"),"*","~*"),"?","~?"))&gt;0,"KNOWN","REVIEW: new call; refresh sources"))</f>
        <v/>
      </c>
    </row>
    <row r="335" spans="1:18" ht="25" customHeight="1">
      <c r="A335" s="12"/>
      <c r="B335" s="8"/>
      <c r="C335" s="8"/>
      <c r="D335" s="8"/>
      <c r="E335" s="8"/>
      <c r="F335" s="8"/>
      <c r="G335" s="8"/>
      <c r="H335" s="8"/>
      <c r="I335" s="11"/>
      <c r="J335" s="12"/>
      <c r="K335" s="12"/>
      <c r="L335" s="8"/>
      <c r="M335" s="8"/>
      <c r="N335" s="8"/>
      <c r="O335" s="8"/>
      <c r="P335" s="8"/>
      <c r="Q335" s="8">
        <f>IF(B335="","",IF(B335="P","P&amp;10",B335&amp;"D "&amp;C335))</f>
        <v/>
      </c>
      <c r="R335" s="8">
        <f>IF(L335&lt;&gt;"Y","",IF(COUNTIF('DEF_CALL_DECISION_SUPPORT'!$B$1197:$B$1256,SUBSTITUTE(SUBSTITUTE(SUBSTITUTE(E335,"~","~~"),"*","~*"),"?","~?"))&gt;0,"KNOWN","REVIEW: new call; refresh sources"))</f>
        <v/>
      </c>
    </row>
    <row r="336" spans="1:18" ht="25" customHeight="1">
      <c r="A336" s="12"/>
      <c r="B336" s="8"/>
      <c r="C336" s="8"/>
      <c r="D336" s="8"/>
      <c r="E336" s="8"/>
      <c r="F336" s="8"/>
      <c r="G336" s="8"/>
      <c r="H336" s="8"/>
      <c r="I336" s="11"/>
      <c r="J336" s="12"/>
      <c r="K336" s="12"/>
      <c r="L336" s="8"/>
      <c r="M336" s="8"/>
      <c r="N336" s="8"/>
      <c r="O336" s="8"/>
      <c r="P336" s="8"/>
      <c r="Q336" s="8">
        <f>IF(B336="","",IF(B336="P","P&amp;10",B336&amp;"D "&amp;C336))</f>
        <v/>
      </c>
      <c r="R336" s="8">
        <f>IF(L336&lt;&gt;"Y","",IF(COUNTIF('DEF_CALL_DECISION_SUPPORT'!$B$1197:$B$1256,SUBSTITUTE(SUBSTITUTE(SUBSTITUTE(E336,"~","~~"),"*","~*"),"?","~?"))&gt;0,"KNOWN","REVIEW: new call; refresh sources"))</f>
        <v/>
      </c>
    </row>
    <row r="337" spans="1:18" ht="25" customHeight="1">
      <c r="A337" s="12"/>
      <c r="B337" s="8"/>
      <c r="C337" s="8"/>
      <c r="D337" s="8"/>
      <c r="E337" s="8"/>
      <c r="F337" s="8"/>
      <c r="G337" s="8"/>
      <c r="H337" s="8"/>
      <c r="I337" s="11"/>
      <c r="J337" s="12"/>
      <c r="K337" s="12"/>
      <c r="L337" s="8"/>
      <c r="M337" s="8"/>
      <c r="N337" s="8"/>
      <c r="O337" s="8"/>
      <c r="P337" s="8"/>
      <c r="Q337" s="8">
        <f>IF(B337="","",IF(B337="P","P&amp;10",B337&amp;"D "&amp;C337))</f>
        <v/>
      </c>
      <c r="R337" s="8">
        <f>IF(L337&lt;&gt;"Y","",IF(COUNTIF('DEF_CALL_DECISION_SUPPORT'!$B$1197:$B$1256,SUBSTITUTE(SUBSTITUTE(SUBSTITUTE(E337,"~","~~"),"*","~*"),"?","~?"))&gt;0,"KNOWN","REVIEW: new call; refresh sources"))</f>
        <v/>
      </c>
    </row>
    <row r="338" spans="1:18" ht="25" customHeight="1">
      <c r="A338" s="12"/>
      <c r="B338" s="8"/>
      <c r="C338" s="8"/>
      <c r="D338" s="8"/>
      <c r="E338" s="8"/>
      <c r="F338" s="8"/>
      <c r="G338" s="8"/>
      <c r="H338" s="8"/>
      <c r="I338" s="11"/>
      <c r="J338" s="12"/>
      <c r="K338" s="12"/>
      <c r="L338" s="8"/>
      <c r="M338" s="8"/>
      <c r="N338" s="8"/>
      <c r="O338" s="8"/>
      <c r="P338" s="8"/>
      <c r="Q338" s="8">
        <f>IF(B338="","",IF(B338="P","P&amp;10",B338&amp;"D "&amp;C338))</f>
        <v/>
      </c>
      <c r="R338" s="8">
        <f>IF(L338&lt;&gt;"Y","",IF(COUNTIF('DEF_CALL_DECISION_SUPPORT'!$B$1197:$B$1256,SUBSTITUTE(SUBSTITUTE(SUBSTITUTE(E338,"~","~~"),"*","~*"),"?","~?"))&gt;0,"KNOWN","REVIEW: new call; refresh sources"))</f>
        <v/>
      </c>
    </row>
    <row r="339" spans="1:18" ht="25" customHeight="1">
      <c r="A339" s="12"/>
      <c r="B339" s="8"/>
      <c r="C339" s="8"/>
      <c r="D339" s="8"/>
      <c r="E339" s="8"/>
      <c r="F339" s="8"/>
      <c r="G339" s="8"/>
      <c r="H339" s="8"/>
      <c r="I339" s="11"/>
      <c r="J339" s="12"/>
      <c r="K339" s="12"/>
      <c r="L339" s="8"/>
      <c r="M339" s="8"/>
      <c r="N339" s="8"/>
      <c r="O339" s="8"/>
      <c r="P339" s="8"/>
      <c r="Q339" s="8">
        <f>IF(B339="","",IF(B339="P","P&amp;10",B339&amp;"D "&amp;C339))</f>
        <v/>
      </c>
      <c r="R339" s="8">
        <f>IF(L339&lt;&gt;"Y","",IF(COUNTIF('DEF_CALL_DECISION_SUPPORT'!$B$1197:$B$1256,SUBSTITUTE(SUBSTITUTE(SUBSTITUTE(E339,"~","~~"),"*","~*"),"?","~?"))&gt;0,"KNOWN","REVIEW: new call; refresh sources"))</f>
        <v/>
      </c>
    </row>
    <row r="340" spans="1:18" ht="25" customHeight="1">
      <c r="A340" s="12"/>
      <c r="B340" s="8"/>
      <c r="C340" s="8"/>
      <c r="D340" s="8"/>
      <c r="E340" s="8"/>
      <c r="F340" s="8"/>
      <c r="G340" s="8"/>
      <c r="H340" s="8"/>
      <c r="I340" s="11"/>
      <c r="J340" s="12"/>
      <c r="K340" s="12"/>
      <c r="L340" s="8"/>
      <c r="M340" s="8"/>
      <c r="N340" s="8"/>
      <c r="O340" s="8"/>
      <c r="P340" s="8"/>
      <c r="Q340" s="8">
        <f>IF(B340="","",IF(B340="P","P&amp;10",B340&amp;"D "&amp;C340))</f>
        <v/>
      </c>
      <c r="R340" s="8">
        <f>IF(L340&lt;&gt;"Y","",IF(COUNTIF('DEF_CALL_DECISION_SUPPORT'!$B$1197:$B$1256,SUBSTITUTE(SUBSTITUTE(SUBSTITUTE(E340,"~","~~"),"*","~*"),"?","~?"))&gt;0,"KNOWN","REVIEW: new call; refresh sources"))</f>
        <v/>
      </c>
    </row>
    <row r="341" spans="1:18" ht="25" customHeight="1">
      <c r="A341" s="12"/>
      <c r="B341" s="8"/>
      <c r="C341" s="8"/>
      <c r="D341" s="8"/>
      <c r="E341" s="8"/>
      <c r="F341" s="8"/>
      <c r="G341" s="8"/>
      <c r="H341" s="8"/>
      <c r="I341" s="11"/>
      <c r="J341" s="12"/>
      <c r="K341" s="12"/>
      <c r="L341" s="8"/>
      <c r="M341" s="8"/>
      <c r="N341" s="8"/>
      <c r="O341" s="8"/>
      <c r="P341" s="8"/>
      <c r="Q341" s="8">
        <f>IF(B341="","",IF(B341="P","P&amp;10",B341&amp;"D "&amp;C341))</f>
        <v/>
      </c>
      <c r="R341" s="8">
        <f>IF(L341&lt;&gt;"Y","",IF(COUNTIF('DEF_CALL_DECISION_SUPPORT'!$B$1197:$B$1256,SUBSTITUTE(SUBSTITUTE(SUBSTITUTE(E341,"~","~~"),"*","~*"),"?","~?"))&gt;0,"KNOWN","REVIEW: new call; refresh sources"))</f>
        <v/>
      </c>
    </row>
    <row r="342" spans="1:18" ht="25" customHeight="1">
      <c r="A342" s="12"/>
      <c r="B342" s="8"/>
      <c r="C342" s="8"/>
      <c r="D342" s="8"/>
      <c r="E342" s="8"/>
      <c r="F342" s="8"/>
      <c r="G342" s="8"/>
      <c r="H342" s="8"/>
      <c r="I342" s="11"/>
      <c r="J342" s="12"/>
      <c r="K342" s="12"/>
      <c r="L342" s="8"/>
      <c r="M342" s="8"/>
      <c r="N342" s="8"/>
      <c r="O342" s="8"/>
      <c r="P342" s="8"/>
      <c r="Q342" s="8">
        <f>IF(B342="","",IF(B342="P","P&amp;10",B342&amp;"D "&amp;C342))</f>
        <v/>
      </c>
      <c r="R342" s="8">
        <f>IF(L342&lt;&gt;"Y","",IF(COUNTIF('DEF_CALL_DECISION_SUPPORT'!$B$1197:$B$1256,SUBSTITUTE(SUBSTITUTE(SUBSTITUTE(E342,"~","~~"),"*","~*"),"?","~?"))&gt;0,"KNOWN","REVIEW: new call; refresh sources"))</f>
        <v/>
      </c>
    </row>
    <row r="343" spans="1:18" ht="25" customHeight="1">
      <c r="A343" s="12"/>
      <c r="B343" s="8"/>
      <c r="C343" s="8"/>
      <c r="D343" s="8"/>
      <c r="E343" s="8"/>
      <c r="F343" s="8"/>
      <c r="G343" s="8"/>
      <c r="H343" s="8"/>
      <c r="I343" s="11"/>
      <c r="J343" s="12"/>
      <c r="K343" s="12"/>
      <c r="L343" s="8"/>
      <c r="M343" s="8"/>
      <c r="N343" s="8"/>
      <c r="O343" s="8"/>
      <c r="P343" s="8"/>
      <c r="Q343" s="8">
        <f>IF(B343="","",IF(B343="P","P&amp;10",B343&amp;"D "&amp;C343))</f>
        <v/>
      </c>
      <c r="R343" s="8">
        <f>IF(L343&lt;&gt;"Y","",IF(COUNTIF('DEF_CALL_DECISION_SUPPORT'!$B$1197:$B$1256,SUBSTITUTE(SUBSTITUTE(SUBSTITUTE(E343,"~","~~"),"*","~*"),"?","~?"))&gt;0,"KNOWN","REVIEW: new call; refresh sources"))</f>
        <v/>
      </c>
    </row>
    <row r="344" spans="1:18" ht="25" customHeight="1">
      <c r="A344" s="12"/>
      <c r="B344" s="8"/>
      <c r="C344" s="8"/>
      <c r="D344" s="8"/>
      <c r="E344" s="8"/>
      <c r="F344" s="8"/>
      <c r="G344" s="8"/>
      <c r="H344" s="8"/>
      <c r="I344" s="11"/>
      <c r="J344" s="12"/>
      <c r="K344" s="12"/>
      <c r="L344" s="8"/>
      <c r="M344" s="8"/>
      <c r="N344" s="8"/>
      <c r="O344" s="8"/>
      <c r="P344" s="8"/>
      <c r="Q344" s="8">
        <f>IF(B344="","",IF(B344="P","P&amp;10",B344&amp;"D "&amp;C344))</f>
        <v/>
      </c>
      <c r="R344" s="8">
        <f>IF(L344&lt;&gt;"Y","",IF(COUNTIF('DEF_CALL_DECISION_SUPPORT'!$B$1197:$B$1256,SUBSTITUTE(SUBSTITUTE(SUBSTITUTE(E344,"~","~~"),"*","~*"),"?","~?"))&gt;0,"KNOWN","REVIEW: new call; refresh sources"))</f>
        <v/>
      </c>
    </row>
    <row r="345" spans="1:18" ht="25" customHeight="1">
      <c r="A345" s="12"/>
      <c r="B345" s="8"/>
      <c r="C345" s="8"/>
      <c r="D345" s="8"/>
      <c r="E345" s="8"/>
      <c r="F345" s="8"/>
      <c r="G345" s="8"/>
      <c r="H345" s="8"/>
      <c r="I345" s="11"/>
      <c r="J345" s="12"/>
      <c r="K345" s="12"/>
      <c r="L345" s="8"/>
      <c r="M345" s="8"/>
      <c r="N345" s="8"/>
      <c r="O345" s="8"/>
      <c r="P345" s="8"/>
      <c r="Q345" s="8">
        <f>IF(B345="","",IF(B345="P","P&amp;10",B345&amp;"D "&amp;C345))</f>
        <v/>
      </c>
      <c r="R345" s="8">
        <f>IF(L345&lt;&gt;"Y","",IF(COUNTIF('DEF_CALL_DECISION_SUPPORT'!$B$1197:$B$1256,SUBSTITUTE(SUBSTITUTE(SUBSTITUTE(E345,"~","~~"),"*","~*"),"?","~?"))&gt;0,"KNOWN","REVIEW: new call; refresh sources"))</f>
        <v/>
      </c>
    </row>
    <row r="346" spans="1:18" ht="25" customHeight="1">
      <c r="A346" s="12"/>
      <c r="B346" s="8"/>
      <c r="C346" s="8"/>
      <c r="D346" s="8"/>
      <c r="E346" s="8"/>
      <c r="F346" s="8"/>
      <c r="G346" s="8"/>
      <c r="H346" s="8"/>
      <c r="I346" s="11"/>
      <c r="J346" s="12"/>
      <c r="K346" s="12"/>
      <c r="L346" s="8"/>
      <c r="M346" s="8"/>
      <c r="N346" s="8"/>
      <c r="O346" s="8"/>
      <c r="P346" s="8"/>
      <c r="Q346" s="8">
        <f>IF(B346="","",IF(B346="P","P&amp;10",B346&amp;"D "&amp;C346))</f>
        <v/>
      </c>
      <c r="R346" s="8">
        <f>IF(L346&lt;&gt;"Y","",IF(COUNTIF('DEF_CALL_DECISION_SUPPORT'!$B$1197:$B$1256,SUBSTITUTE(SUBSTITUTE(SUBSTITUTE(E346,"~","~~"),"*","~*"),"?","~?"))&gt;0,"KNOWN","REVIEW: new call; refresh sources"))</f>
        <v/>
      </c>
    </row>
    <row r="347" spans="1:18" ht="25" customHeight="1">
      <c r="A347" s="12"/>
      <c r="B347" s="8"/>
      <c r="C347" s="8"/>
      <c r="D347" s="8"/>
      <c r="E347" s="8"/>
      <c r="F347" s="8"/>
      <c r="G347" s="8"/>
      <c r="H347" s="8"/>
      <c r="I347" s="11"/>
      <c r="J347" s="12"/>
      <c r="K347" s="12"/>
      <c r="L347" s="8"/>
      <c r="M347" s="8"/>
      <c r="N347" s="8"/>
      <c r="O347" s="8"/>
      <c r="P347" s="8"/>
      <c r="Q347" s="8">
        <f>IF(B347="","",IF(B347="P","P&amp;10",B347&amp;"D "&amp;C347))</f>
        <v/>
      </c>
      <c r="R347" s="8">
        <f>IF(L347&lt;&gt;"Y","",IF(COUNTIF('DEF_CALL_DECISION_SUPPORT'!$B$1197:$B$1256,SUBSTITUTE(SUBSTITUTE(SUBSTITUTE(E347,"~","~~"),"*","~*"),"?","~?"))&gt;0,"KNOWN","REVIEW: new call; refresh sources"))</f>
        <v/>
      </c>
    </row>
    <row r="348" spans="1:18" ht="25" customHeight="1">
      <c r="A348" s="12"/>
      <c r="B348" s="8"/>
      <c r="C348" s="8"/>
      <c r="D348" s="8"/>
      <c r="E348" s="8"/>
      <c r="F348" s="8"/>
      <c r="G348" s="8"/>
      <c r="H348" s="8"/>
      <c r="I348" s="11"/>
      <c r="J348" s="12"/>
      <c r="K348" s="12"/>
      <c r="L348" s="8"/>
      <c r="M348" s="8"/>
      <c r="N348" s="8"/>
      <c r="O348" s="8"/>
      <c r="P348" s="8"/>
      <c r="Q348" s="8">
        <f>IF(B348="","",IF(B348="P","P&amp;10",B348&amp;"D "&amp;C348))</f>
        <v/>
      </c>
      <c r="R348" s="8">
        <f>IF(L348&lt;&gt;"Y","",IF(COUNTIF('DEF_CALL_DECISION_SUPPORT'!$B$1197:$B$1256,SUBSTITUTE(SUBSTITUTE(SUBSTITUTE(E348,"~","~~"),"*","~*"),"?","~?"))&gt;0,"KNOWN","REVIEW: new call; refresh sources"))</f>
        <v/>
      </c>
    </row>
    <row r="349" spans="1:18" ht="25" customHeight="1">
      <c r="A349" s="12"/>
      <c r="B349" s="8"/>
      <c r="C349" s="8"/>
      <c r="D349" s="8"/>
      <c r="E349" s="8"/>
      <c r="F349" s="8"/>
      <c r="G349" s="8"/>
      <c r="H349" s="8"/>
      <c r="I349" s="11"/>
      <c r="J349" s="12"/>
      <c r="K349" s="12"/>
      <c r="L349" s="8"/>
      <c r="M349" s="8"/>
      <c r="N349" s="8"/>
      <c r="O349" s="8"/>
      <c r="P349" s="8"/>
      <c r="Q349" s="8">
        <f>IF(B349="","",IF(B349="P","P&amp;10",B349&amp;"D "&amp;C349))</f>
        <v/>
      </c>
      <c r="R349" s="8">
        <f>IF(L349&lt;&gt;"Y","",IF(COUNTIF('DEF_CALL_DECISION_SUPPORT'!$B$1197:$B$1256,SUBSTITUTE(SUBSTITUTE(SUBSTITUTE(E349,"~","~~"),"*","~*"),"?","~?"))&gt;0,"KNOWN","REVIEW: new call; refresh sources"))</f>
        <v/>
      </c>
    </row>
    <row r="350" spans="1:18" ht="25" customHeight="1">
      <c r="A350" s="12"/>
      <c r="B350" s="8"/>
      <c r="C350" s="8"/>
      <c r="D350" s="8"/>
      <c r="E350" s="8"/>
      <c r="F350" s="8"/>
      <c r="G350" s="8"/>
      <c r="H350" s="8"/>
      <c r="I350" s="11"/>
      <c r="J350" s="12"/>
      <c r="K350" s="12"/>
      <c r="L350" s="8"/>
      <c r="M350" s="8"/>
      <c r="N350" s="8"/>
      <c r="O350" s="8"/>
      <c r="P350" s="8"/>
      <c r="Q350" s="8">
        <f>IF(B350="","",IF(B350="P","P&amp;10",B350&amp;"D "&amp;C350))</f>
        <v/>
      </c>
      <c r="R350" s="8">
        <f>IF(L350&lt;&gt;"Y","",IF(COUNTIF('DEF_CALL_DECISION_SUPPORT'!$B$1197:$B$1256,SUBSTITUTE(SUBSTITUTE(SUBSTITUTE(E350,"~","~~"),"*","~*"),"?","~?"))&gt;0,"KNOWN","REVIEW: new call; refresh sources"))</f>
        <v/>
      </c>
    </row>
    <row r="351" spans="1:18" ht="25" customHeight="1">
      <c r="A351" s="12"/>
      <c r="B351" s="8"/>
      <c r="C351" s="8"/>
      <c r="D351" s="8"/>
      <c r="E351" s="8"/>
      <c r="F351" s="8"/>
      <c r="G351" s="8"/>
      <c r="H351" s="8"/>
      <c r="I351" s="11"/>
      <c r="J351" s="12"/>
      <c r="K351" s="12"/>
      <c r="L351" s="8"/>
      <c r="M351" s="8"/>
      <c r="N351" s="8"/>
      <c r="O351" s="8"/>
      <c r="P351" s="8"/>
      <c r="Q351" s="8">
        <f>IF(B351="","",IF(B351="P","P&amp;10",B351&amp;"D "&amp;C351))</f>
        <v/>
      </c>
      <c r="R351" s="8">
        <f>IF(L351&lt;&gt;"Y","",IF(COUNTIF('DEF_CALL_DECISION_SUPPORT'!$B$1197:$B$1256,SUBSTITUTE(SUBSTITUTE(SUBSTITUTE(E351,"~","~~"),"*","~*"),"?","~?"))&gt;0,"KNOWN","REVIEW: new call; refresh sources"))</f>
        <v/>
      </c>
    </row>
    <row r="352" spans="1:18" ht="25" customHeight="1">
      <c r="A352" s="12"/>
      <c r="B352" s="8"/>
      <c r="C352" s="8"/>
      <c r="D352" s="8"/>
      <c r="E352" s="8"/>
      <c r="F352" s="8"/>
      <c r="G352" s="8"/>
      <c r="H352" s="8"/>
      <c r="I352" s="11"/>
      <c r="J352" s="12"/>
      <c r="K352" s="12"/>
      <c r="L352" s="8"/>
      <c r="M352" s="8"/>
      <c r="N352" s="8"/>
      <c r="O352" s="8"/>
      <c r="P352" s="8"/>
      <c r="Q352" s="8">
        <f>IF(B352="","",IF(B352="P","P&amp;10",B352&amp;"D "&amp;C352))</f>
        <v/>
      </c>
      <c r="R352" s="8">
        <f>IF(L352&lt;&gt;"Y","",IF(COUNTIF('DEF_CALL_DECISION_SUPPORT'!$B$1197:$B$1256,SUBSTITUTE(SUBSTITUTE(SUBSTITUTE(E352,"~","~~"),"*","~*"),"?","~?"))&gt;0,"KNOWN","REVIEW: new call; refresh sources"))</f>
        <v/>
      </c>
    </row>
    <row r="353" spans="1:18" ht="25" customHeight="1">
      <c r="A353" s="12"/>
      <c r="B353" s="8"/>
      <c r="C353" s="8"/>
      <c r="D353" s="8"/>
      <c r="E353" s="8"/>
      <c r="F353" s="8"/>
      <c r="G353" s="8"/>
      <c r="H353" s="8"/>
      <c r="I353" s="11"/>
      <c r="J353" s="12"/>
      <c r="K353" s="12"/>
      <c r="L353" s="8"/>
      <c r="M353" s="8"/>
      <c r="N353" s="8"/>
      <c r="O353" s="8"/>
      <c r="P353" s="8"/>
      <c r="Q353" s="8">
        <f>IF(B353="","",IF(B353="P","P&amp;10",B353&amp;"D "&amp;C353))</f>
        <v/>
      </c>
      <c r="R353" s="8">
        <f>IF(L353&lt;&gt;"Y","",IF(COUNTIF('DEF_CALL_DECISION_SUPPORT'!$B$1197:$B$1256,SUBSTITUTE(SUBSTITUTE(SUBSTITUTE(E353,"~","~~"),"*","~*"),"?","~?"))&gt;0,"KNOWN","REVIEW: new call; refresh sources"))</f>
        <v/>
      </c>
    </row>
    <row r="354" spans="1:18" ht="25" customHeight="1">
      <c r="A354" s="12"/>
      <c r="B354" s="8"/>
      <c r="C354" s="8"/>
      <c r="D354" s="8"/>
      <c r="E354" s="8"/>
      <c r="F354" s="8"/>
      <c r="G354" s="8"/>
      <c r="H354" s="8"/>
      <c r="I354" s="11"/>
      <c r="J354" s="12"/>
      <c r="K354" s="12"/>
      <c r="L354" s="8"/>
      <c r="M354" s="8"/>
      <c r="N354" s="8"/>
      <c r="O354" s="8"/>
      <c r="P354" s="8"/>
      <c r="Q354" s="8">
        <f>IF(B354="","",IF(B354="P","P&amp;10",B354&amp;"D "&amp;C354))</f>
        <v/>
      </c>
      <c r="R354" s="8">
        <f>IF(L354&lt;&gt;"Y","",IF(COUNTIF('DEF_CALL_DECISION_SUPPORT'!$B$1197:$B$1256,SUBSTITUTE(SUBSTITUTE(SUBSTITUTE(E354,"~","~~"),"*","~*"),"?","~?"))&gt;0,"KNOWN","REVIEW: new call; refresh sources"))</f>
        <v/>
      </c>
    </row>
    <row r="355" spans="1:18" ht="25" customHeight="1">
      <c r="A355" s="12"/>
      <c r="B355" s="8"/>
      <c r="C355" s="8"/>
      <c r="D355" s="8"/>
      <c r="E355" s="8"/>
      <c r="F355" s="8"/>
      <c r="G355" s="8"/>
      <c r="H355" s="8"/>
      <c r="I355" s="11"/>
      <c r="J355" s="12"/>
      <c r="K355" s="12"/>
      <c r="L355" s="8"/>
      <c r="M355" s="8"/>
      <c r="N355" s="8"/>
      <c r="O355" s="8"/>
      <c r="P355" s="8"/>
      <c r="Q355" s="8">
        <f>IF(B355="","",IF(B355="P","P&amp;10",B355&amp;"D "&amp;C355))</f>
        <v/>
      </c>
      <c r="R355" s="8">
        <f>IF(L355&lt;&gt;"Y","",IF(COUNTIF('DEF_CALL_DECISION_SUPPORT'!$B$1197:$B$1256,SUBSTITUTE(SUBSTITUTE(SUBSTITUTE(E355,"~","~~"),"*","~*"),"?","~?"))&gt;0,"KNOWN","REVIEW: new call; refresh sources"))</f>
        <v/>
      </c>
    </row>
    <row r="356" spans="1:18" ht="25" customHeight="1">
      <c r="A356" s="12"/>
      <c r="B356" s="8"/>
      <c r="C356" s="8"/>
      <c r="D356" s="8"/>
      <c r="E356" s="8"/>
      <c r="F356" s="8"/>
      <c r="G356" s="8"/>
      <c r="H356" s="8"/>
      <c r="I356" s="11"/>
      <c r="J356" s="12"/>
      <c r="K356" s="12"/>
      <c r="L356" s="8"/>
      <c r="M356" s="8"/>
      <c r="N356" s="8"/>
      <c r="O356" s="8"/>
      <c r="P356" s="8"/>
      <c r="Q356" s="8">
        <f>IF(B356="","",IF(B356="P","P&amp;10",B356&amp;"D "&amp;C356))</f>
        <v/>
      </c>
      <c r="R356" s="8">
        <f>IF(L356&lt;&gt;"Y","",IF(COUNTIF('DEF_CALL_DECISION_SUPPORT'!$B$1197:$B$1256,SUBSTITUTE(SUBSTITUTE(SUBSTITUTE(E356,"~","~~"),"*","~*"),"?","~?"))&gt;0,"KNOWN","REVIEW: new call; refresh sources"))</f>
        <v/>
      </c>
    </row>
    <row r="357" spans="1:18" ht="25" customHeight="1">
      <c r="A357" s="12"/>
      <c r="B357" s="8"/>
      <c r="C357" s="8"/>
      <c r="D357" s="8"/>
      <c r="E357" s="8"/>
      <c r="F357" s="8"/>
      <c r="G357" s="8"/>
      <c r="H357" s="8"/>
      <c r="I357" s="11"/>
      <c r="J357" s="12"/>
      <c r="K357" s="12"/>
      <c r="L357" s="8"/>
      <c r="M357" s="8"/>
      <c r="N357" s="8"/>
      <c r="O357" s="8"/>
      <c r="P357" s="8"/>
      <c r="Q357" s="8">
        <f>IF(B357="","",IF(B357="P","P&amp;10",B357&amp;"D "&amp;C357))</f>
        <v/>
      </c>
      <c r="R357" s="8">
        <f>IF(L357&lt;&gt;"Y","",IF(COUNTIF('DEF_CALL_DECISION_SUPPORT'!$B$1197:$B$1256,SUBSTITUTE(SUBSTITUTE(SUBSTITUTE(E357,"~","~~"),"*","~*"),"?","~?"))&gt;0,"KNOWN","REVIEW: new call; refresh sources"))</f>
        <v/>
      </c>
    </row>
    <row r="358" spans="1:18" ht="25" customHeight="1">
      <c r="A358" s="12"/>
      <c r="B358" s="8"/>
      <c r="C358" s="8"/>
      <c r="D358" s="8"/>
      <c r="E358" s="8"/>
      <c r="F358" s="8"/>
      <c r="G358" s="8"/>
      <c r="H358" s="8"/>
      <c r="I358" s="11"/>
      <c r="J358" s="12"/>
      <c r="K358" s="12"/>
      <c r="L358" s="8"/>
      <c r="M358" s="8"/>
      <c r="N358" s="8"/>
      <c r="O358" s="8"/>
      <c r="P358" s="8"/>
      <c r="Q358" s="8">
        <f>IF(B358="","",IF(B358="P","P&amp;10",B358&amp;"D "&amp;C358))</f>
        <v/>
      </c>
      <c r="R358" s="8">
        <f>IF(L358&lt;&gt;"Y","",IF(COUNTIF('DEF_CALL_DECISION_SUPPORT'!$B$1197:$B$1256,SUBSTITUTE(SUBSTITUTE(SUBSTITUTE(E358,"~","~~"),"*","~*"),"?","~?"))&gt;0,"KNOWN","REVIEW: new call; refresh sources"))</f>
        <v/>
      </c>
    </row>
    <row r="359" spans="1:18" ht="25" customHeight="1">
      <c r="A359" s="12"/>
      <c r="B359" s="8"/>
      <c r="C359" s="8"/>
      <c r="D359" s="8"/>
      <c r="E359" s="8"/>
      <c r="F359" s="8"/>
      <c r="G359" s="8"/>
      <c r="H359" s="8"/>
      <c r="I359" s="11"/>
      <c r="J359" s="12"/>
      <c r="K359" s="12"/>
      <c r="L359" s="8"/>
      <c r="M359" s="8"/>
      <c r="N359" s="8"/>
      <c r="O359" s="8"/>
      <c r="P359" s="8"/>
      <c r="Q359" s="8">
        <f>IF(B359="","",IF(B359="P","P&amp;10",B359&amp;"D "&amp;C359))</f>
        <v/>
      </c>
      <c r="R359" s="8">
        <f>IF(L359&lt;&gt;"Y","",IF(COUNTIF('DEF_CALL_DECISION_SUPPORT'!$B$1197:$B$1256,SUBSTITUTE(SUBSTITUTE(SUBSTITUTE(E359,"~","~~"),"*","~*"),"?","~?"))&gt;0,"KNOWN","REVIEW: new call; refresh sources"))</f>
        <v/>
      </c>
    </row>
    <row r="360" spans="1:18" ht="25" customHeight="1">
      <c r="A360" s="12"/>
      <c r="B360" s="8"/>
      <c r="C360" s="8"/>
      <c r="D360" s="8"/>
      <c r="E360" s="8"/>
      <c r="F360" s="8"/>
      <c r="G360" s="8"/>
      <c r="H360" s="8"/>
      <c r="I360" s="11"/>
      <c r="J360" s="12"/>
      <c r="K360" s="12"/>
      <c r="L360" s="8"/>
      <c r="M360" s="8"/>
      <c r="N360" s="8"/>
      <c r="O360" s="8"/>
      <c r="P360" s="8"/>
      <c r="Q360" s="8">
        <f>IF(B360="","",IF(B360="P","P&amp;10",B360&amp;"D "&amp;C360))</f>
        <v/>
      </c>
      <c r="R360" s="8">
        <f>IF(L360&lt;&gt;"Y","",IF(COUNTIF('DEF_CALL_DECISION_SUPPORT'!$B$1197:$B$1256,SUBSTITUTE(SUBSTITUTE(SUBSTITUTE(E360,"~","~~"),"*","~*"),"?","~?"))&gt;0,"KNOWN","REVIEW: new call; refresh sources"))</f>
        <v/>
      </c>
    </row>
    <row r="361" spans="1:18" ht="25" customHeight="1">
      <c r="A361" s="12"/>
      <c r="B361" s="8"/>
      <c r="C361" s="8"/>
      <c r="D361" s="8"/>
      <c r="E361" s="8"/>
      <c r="F361" s="8"/>
      <c r="G361" s="8"/>
      <c r="H361" s="8"/>
      <c r="I361" s="11"/>
      <c r="J361" s="12"/>
      <c r="K361" s="12"/>
      <c r="L361" s="8"/>
      <c r="M361" s="8"/>
      <c r="N361" s="8"/>
      <c r="O361" s="8"/>
      <c r="P361" s="8"/>
      <c r="Q361" s="8">
        <f>IF(B361="","",IF(B361="P","P&amp;10",B361&amp;"D "&amp;C361))</f>
        <v/>
      </c>
      <c r="R361" s="8">
        <f>IF(L361&lt;&gt;"Y","",IF(COUNTIF('DEF_CALL_DECISION_SUPPORT'!$B$1197:$B$1256,SUBSTITUTE(SUBSTITUTE(SUBSTITUTE(E361,"~","~~"),"*","~*"),"?","~?"))&gt;0,"KNOWN","REVIEW: new call; refresh sources"))</f>
        <v/>
      </c>
    </row>
    <row r="362" spans="1:18" ht="25" customHeight="1">
      <c r="A362" s="12"/>
      <c r="B362" s="8"/>
      <c r="C362" s="8"/>
      <c r="D362" s="8"/>
      <c r="E362" s="8"/>
      <c r="F362" s="8"/>
      <c r="G362" s="8"/>
      <c r="H362" s="8"/>
      <c r="I362" s="11"/>
      <c r="J362" s="12"/>
      <c r="K362" s="12"/>
      <c r="L362" s="8"/>
      <c r="M362" s="8"/>
      <c r="N362" s="8"/>
      <c r="O362" s="8"/>
      <c r="P362" s="8"/>
      <c r="Q362" s="8">
        <f>IF(B362="","",IF(B362="P","P&amp;10",B362&amp;"D "&amp;C362))</f>
        <v/>
      </c>
      <c r="R362" s="8">
        <f>IF(L362&lt;&gt;"Y","",IF(COUNTIF('DEF_CALL_DECISION_SUPPORT'!$B$1197:$B$1256,SUBSTITUTE(SUBSTITUTE(SUBSTITUTE(E362,"~","~~"),"*","~*"),"?","~?"))&gt;0,"KNOWN","REVIEW: new call; refresh sources"))</f>
        <v/>
      </c>
    </row>
    <row r="363" spans="1:18" ht="25" customHeight="1">
      <c r="A363" s="12"/>
      <c r="B363" s="8"/>
      <c r="C363" s="8"/>
      <c r="D363" s="8"/>
      <c r="E363" s="8"/>
      <c r="F363" s="8"/>
      <c r="G363" s="8"/>
      <c r="H363" s="8"/>
      <c r="I363" s="11"/>
      <c r="J363" s="12"/>
      <c r="K363" s="12"/>
      <c r="L363" s="8"/>
      <c r="M363" s="8"/>
      <c r="N363" s="8"/>
      <c r="O363" s="8"/>
      <c r="P363" s="8"/>
      <c r="Q363" s="8">
        <f>IF(B363="","",IF(B363="P","P&amp;10",B363&amp;"D "&amp;C363))</f>
        <v/>
      </c>
      <c r="R363" s="8">
        <f>IF(L363&lt;&gt;"Y","",IF(COUNTIF('DEF_CALL_DECISION_SUPPORT'!$B$1197:$B$1256,SUBSTITUTE(SUBSTITUTE(SUBSTITUTE(E363,"~","~~"),"*","~*"),"?","~?"))&gt;0,"KNOWN","REVIEW: new call; refresh sources"))</f>
        <v/>
      </c>
    </row>
    <row r="364" spans="1:18" ht="25" customHeight="1">
      <c r="A364" s="12"/>
      <c r="B364" s="8"/>
      <c r="C364" s="8"/>
      <c r="D364" s="8"/>
      <c r="E364" s="8"/>
      <c r="F364" s="8"/>
      <c r="G364" s="8"/>
      <c r="H364" s="8"/>
      <c r="I364" s="11"/>
      <c r="J364" s="12"/>
      <c r="K364" s="12"/>
      <c r="L364" s="8"/>
      <c r="M364" s="8"/>
      <c r="N364" s="8"/>
      <c r="O364" s="8"/>
      <c r="P364" s="8"/>
      <c r="Q364" s="8">
        <f>IF(B364="","",IF(B364="P","P&amp;10",B364&amp;"D "&amp;C364))</f>
        <v/>
      </c>
      <c r="R364" s="8">
        <f>IF(L364&lt;&gt;"Y","",IF(COUNTIF('DEF_CALL_DECISION_SUPPORT'!$B$1197:$B$1256,SUBSTITUTE(SUBSTITUTE(SUBSTITUTE(E364,"~","~~"),"*","~*"),"?","~?"))&gt;0,"KNOWN","REVIEW: new call; refresh sources"))</f>
        <v/>
      </c>
    </row>
    <row r="365" spans="1:18" ht="25" customHeight="1">
      <c r="A365" s="12"/>
      <c r="B365" s="8"/>
      <c r="C365" s="8"/>
      <c r="D365" s="8"/>
      <c r="E365" s="8"/>
      <c r="F365" s="8"/>
      <c r="G365" s="8"/>
      <c r="H365" s="8"/>
      <c r="I365" s="11"/>
      <c r="J365" s="12"/>
      <c r="K365" s="12"/>
      <c r="L365" s="8"/>
      <c r="M365" s="8"/>
      <c r="N365" s="8"/>
      <c r="O365" s="8"/>
      <c r="P365" s="8"/>
      <c r="Q365" s="8">
        <f>IF(B365="","",IF(B365="P","P&amp;10",B365&amp;"D "&amp;C365))</f>
        <v/>
      </c>
      <c r="R365" s="8">
        <f>IF(L365&lt;&gt;"Y","",IF(COUNTIF('DEF_CALL_DECISION_SUPPORT'!$B$1197:$B$1256,SUBSTITUTE(SUBSTITUTE(SUBSTITUTE(E365,"~","~~"),"*","~*"),"?","~?"))&gt;0,"KNOWN","REVIEW: new call; refresh sources"))</f>
        <v/>
      </c>
    </row>
    <row r="366" spans="1:18" ht="25" customHeight="1">
      <c r="A366" s="12"/>
      <c r="B366" s="8"/>
      <c r="C366" s="8"/>
      <c r="D366" s="8"/>
      <c r="E366" s="8"/>
      <c r="F366" s="8"/>
      <c r="G366" s="8"/>
      <c r="H366" s="8"/>
      <c r="I366" s="11"/>
      <c r="J366" s="12"/>
      <c r="K366" s="12"/>
      <c r="L366" s="8"/>
      <c r="M366" s="8"/>
      <c r="N366" s="8"/>
      <c r="O366" s="8"/>
      <c r="P366" s="8"/>
      <c r="Q366" s="8">
        <f>IF(B366="","",IF(B366="P","P&amp;10",B366&amp;"D "&amp;C366))</f>
        <v/>
      </c>
      <c r="R366" s="8">
        <f>IF(L366&lt;&gt;"Y","",IF(COUNTIF('DEF_CALL_DECISION_SUPPORT'!$B$1197:$B$1256,SUBSTITUTE(SUBSTITUTE(SUBSTITUTE(E366,"~","~~"),"*","~*"),"?","~?"))&gt;0,"KNOWN","REVIEW: new call; refresh sources"))</f>
        <v/>
      </c>
    </row>
    <row r="367" spans="1:18" ht="25" customHeight="1">
      <c r="A367" s="12"/>
      <c r="B367" s="8"/>
      <c r="C367" s="8"/>
      <c r="D367" s="8"/>
      <c r="E367" s="8"/>
      <c r="F367" s="8"/>
      <c r="G367" s="8"/>
      <c r="H367" s="8"/>
      <c r="I367" s="11"/>
      <c r="J367" s="12"/>
      <c r="K367" s="12"/>
      <c r="L367" s="8"/>
      <c r="M367" s="8"/>
      <c r="N367" s="8"/>
      <c r="O367" s="8"/>
      <c r="P367" s="8"/>
      <c r="Q367" s="8">
        <f>IF(B367="","",IF(B367="P","P&amp;10",B367&amp;"D "&amp;C367))</f>
        <v/>
      </c>
      <c r="R367" s="8">
        <f>IF(L367&lt;&gt;"Y","",IF(COUNTIF('DEF_CALL_DECISION_SUPPORT'!$B$1197:$B$1256,SUBSTITUTE(SUBSTITUTE(SUBSTITUTE(E367,"~","~~"),"*","~*"),"?","~?"))&gt;0,"KNOWN","REVIEW: new call; refresh sources"))</f>
        <v/>
      </c>
    </row>
    <row r="368" spans="1:18" ht="25" customHeight="1">
      <c r="A368" s="12"/>
      <c r="B368" s="8"/>
      <c r="C368" s="8"/>
      <c r="D368" s="8"/>
      <c r="E368" s="8"/>
      <c r="F368" s="8"/>
      <c r="G368" s="8"/>
      <c r="H368" s="8"/>
      <c r="I368" s="11"/>
      <c r="J368" s="12"/>
      <c r="K368" s="12"/>
      <c r="L368" s="8"/>
      <c r="M368" s="8"/>
      <c r="N368" s="8"/>
      <c r="O368" s="8"/>
      <c r="P368" s="8"/>
      <c r="Q368" s="8">
        <f>IF(B368="","",IF(B368="P","P&amp;10",B368&amp;"D "&amp;C368))</f>
        <v/>
      </c>
      <c r="R368" s="8">
        <f>IF(L368&lt;&gt;"Y","",IF(COUNTIF('DEF_CALL_DECISION_SUPPORT'!$B$1197:$B$1256,SUBSTITUTE(SUBSTITUTE(SUBSTITUTE(E368,"~","~~"),"*","~*"),"?","~?"))&gt;0,"KNOWN","REVIEW: new call; refresh sources"))</f>
        <v/>
      </c>
    </row>
    <row r="369" spans="1:18" ht="25" customHeight="1">
      <c r="A369" s="12"/>
      <c r="B369" s="8"/>
      <c r="C369" s="8"/>
      <c r="D369" s="8"/>
      <c r="E369" s="8"/>
      <c r="F369" s="8"/>
      <c r="G369" s="8"/>
      <c r="H369" s="8"/>
      <c r="I369" s="11"/>
      <c r="J369" s="12"/>
      <c r="K369" s="12"/>
      <c r="L369" s="8"/>
      <c r="M369" s="8"/>
      <c r="N369" s="8"/>
      <c r="O369" s="8"/>
      <c r="P369" s="8"/>
      <c r="Q369" s="8">
        <f>IF(B369="","",IF(B369="P","P&amp;10",B369&amp;"D "&amp;C369))</f>
        <v/>
      </c>
      <c r="R369" s="8">
        <f>IF(L369&lt;&gt;"Y","",IF(COUNTIF('DEF_CALL_DECISION_SUPPORT'!$B$1197:$B$1256,SUBSTITUTE(SUBSTITUTE(SUBSTITUTE(E369,"~","~~"),"*","~*"),"?","~?"))&gt;0,"KNOWN","REVIEW: new call; refresh sources"))</f>
        <v/>
      </c>
    </row>
    <row r="370" spans="1:18" ht="25" customHeight="1">
      <c r="A370" s="12"/>
      <c r="B370" s="8"/>
      <c r="C370" s="8"/>
      <c r="D370" s="8"/>
      <c r="E370" s="8"/>
      <c r="F370" s="8"/>
      <c r="G370" s="8"/>
      <c r="H370" s="8"/>
      <c r="I370" s="11"/>
      <c r="J370" s="12"/>
      <c r="K370" s="12"/>
      <c r="L370" s="8"/>
      <c r="M370" s="8"/>
      <c r="N370" s="8"/>
      <c r="O370" s="8"/>
      <c r="P370" s="8"/>
      <c r="Q370" s="8">
        <f>IF(B370="","",IF(B370="P","P&amp;10",B370&amp;"D "&amp;C370))</f>
        <v/>
      </c>
      <c r="R370" s="8">
        <f>IF(L370&lt;&gt;"Y","",IF(COUNTIF('DEF_CALL_DECISION_SUPPORT'!$B$1197:$B$1256,SUBSTITUTE(SUBSTITUTE(SUBSTITUTE(E370,"~","~~"),"*","~*"),"?","~?"))&gt;0,"KNOWN","REVIEW: new call; refresh sources"))</f>
        <v/>
      </c>
    </row>
    <row r="371" spans="1:18" ht="25" customHeight="1">
      <c r="A371" s="12"/>
      <c r="B371" s="8"/>
      <c r="C371" s="8"/>
      <c r="D371" s="8"/>
      <c r="E371" s="8"/>
      <c r="F371" s="8"/>
      <c r="G371" s="8"/>
      <c r="H371" s="8"/>
      <c r="I371" s="11"/>
      <c r="J371" s="12"/>
      <c r="K371" s="12"/>
      <c r="L371" s="8"/>
      <c r="M371" s="8"/>
      <c r="N371" s="8"/>
      <c r="O371" s="8"/>
      <c r="P371" s="8"/>
      <c r="Q371" s="8">
        <f>IF(B371="","",IF(B371="P","P&amp;10",B371&amp;"D "&amp;C371))</f>
        <v/>
      </c>
      <c r="R371" s="8">
        <f>IF(L371&lt;&gt;"Y","",IF(COUNTIF('DEF_CALL_DECISION_SUPPORT'!$B$1197:$B$1256,SUBSTITUTE(SUBSTITUTE(SUBSTITUTE(E371,"~","~~"),"*","~*"),"?","~?"))&gt;0,"KNOWN","REVIEW: new call; refresh sources"))</f>
        <v/>
      </c>
    </row>
    <row r="372" spans="1:18" ht="25" customHeight="1">
      <c r="A372" s="12"/>
      <c r="B372" s="8"/>
      <c r="C372" s="8"/>
      <c r="D372" s="8"/>
      <c r="E372" s="8"/>
      <c r="F372" s="8"/>
      <c r="G372" s="8"/>
      <c r="H372" s="8"/>
      <c r="I372" s="11"/>
      <c r="J372" s="12"/>
      <c r="K372" s="12"/>
      <c r="L372" s="8"/>
      <c r="M372" s="8"/>
      <c r="N372" s="8"/>
      <c r="O372" s="8"/>
      <c r="P372" s="8"/>
      <c r="Q372" s="8">
        <f>IF(B372="","",IF(B372="P","P&amp;10",B372&amp;"D "&amp;C372))</f>
        <v/>
      </c>
      <c r="R372" s="8">
        <f>IF(L372&lt;&gt;"Y","",IF(COUNTIF('DEF_CALL_DECISION_SUPPORT'!$B$1197:$B$1256,SUBSTITUTE(SUBSTITUTE(SUBSTITUTE(E372,"~","~~"),"*","~*"),"?","~?"))&gt;0,"KNOWN","REVIEW: new call; refresh sources"))</f>
        <v/>
      </c>
    </row>
    <row r="373" spans="1:18" ht="25" customHeight="1">
      <c r="A373" s="12"/>
      <c r="B373" s="8"/>
      <c r="C373" s="8"/>
      <c r="D373" s="8"/>
      <c r="E373" s="8"/>
      <c r="F373" s="8"/>
      <c r="G373" s="8"/>
      <c r="H373" s="8"/>
      <c r="I373" s="11"/>
      <c r="J373" s="12"/>
      <c r="K373" s="12"/>
      <c r="L373" s="8"/>
      <c r="M373" s="8"/>
      <c r="N373" s="8"/>
      <c r="O373" s="8"/>
      <c r="P373" s="8"/>
      <c r="Q373" s="8">
        <f>IF(B373="","",IF(B373="P","P&amp;10",B373&amp;"D "&amp;C373))</f>
        <v/>
      </c>
      <c r="R373" s="8">
        <f>IF(L373&lt;&gt;"Y","",IF(COUNTIF('DEF_CALL_DECISION_SUPPORT'!$B$1197:$B$1256,SUBSTITUTE(SUBSTITUTE(SUBSTITUTE(E373,"~","~~"),"*","~*"),"?","~?"))&gt;0,"KNOWN","REVIEW: new call; refresh sources"))</f>
        <v/>
      </c>
    </row>
    <row r="374" spans="1:18" ht="25" customHeight="1">
      <c r="A374" s="12"/>
      <c r="B374" s="8"/>
      <c r="C374" s="8"/>
      <c r="D374" s="8"/>
      <c r="E374" s="8"/>
      <c r="F374" s="8"/>
      <c r="G374" s="8"/>
      <c r="H374" s="8"/>
      <c r="I374" s="11"/>
      <c r="J374" s="12"/>
      <c r="K374" s="12"/>
      <c r="L374" s="8"/>
      <c r="M374" s="8"/>
      <c r="N374" s="8"/>
      <c r="O374" s="8"/>
      <c r="P374" s="8"/>
      <c r="Q374" s="8">
        <f>IF(B374="","",IF(B374="P","P&amp;10",B374&amp;"D "&amp;C374))</f>
        <v/>
      </c>
      <c r="R374" s="8">
        <f>IF(L374&lt;&gt;"Y","",IF(COUNTIF('DEF_CALL_DECISION_SUPPORT'!$B$1197:$B$1256,SUBSTITUTE(SUBSTITUTE(SUBSTITUTE(E374,"~","~~"),"*","~*"),"?","~?"))&gt;0,"KNOWN","REVIEW: new call; refresh sources"))</f>
        <v/>
      </c>
    </row>
    <row r="375" spans="1:18" ht="25" customHeight="1">
      <c r="A375" s="12"/>
      <c r="B375" s="8"/>
      <c r="C375" s="8"/>
      <c r="D375" s="8"/>
      <c r="E375" s="8"/>
      <c r="F375" s="8"/>
      <c r="G375" s="8"/>
      <c r="H375" s="8"/>
      <c r="I375" s="11"/>
      <c r="J375" s="12"/>
      <c r="K375" s="12"/>
      <c r="L375" s="8"/>
      <c r="M375" s="8"/>
      <c r="N375" s="8"/>
      <c r="O375" s="8"/>
      <c r="P375" s="8"/>
      <c r="Q375" s="8">
        <f>IF(B375="","",IF(B375="P","P&amp;10",B375&amp;"D "&amp;C375))</f>
        <v/>
      </c>
      <c r="R375" s="8">
        <f>IF(L375&lt;&gt;"Y","",IF(COUNTIF('DEF_CALL_DECISION_SUPPORT'!$B$1197:$B$1256,SUBSTITUTE(SUBSTITUTE(SUBSTITUTE(E375,"~","~~"),"*","~*"),"?","~?"))&gt;0,"KNOWN","REVIEW: new call; refresh sources"))</f>
        <v/>
      </c>
    </row>
    <row r="376" spans="1:18" ht="25" customHeight="1">
      <c r="A376" s="12"/>
      <c r="B376" s="8"/>
      <c r="C376" s="8"/>
      <c r="D376" s="8"/>
      <c r="E376" s="8"/>
      <c r="F376" s="8"/>
      <c r="G376" s="8"/>
      <c r="H376" s="8"/>
      <c r="I376" s="11"/>
      <c r="J376" s="12"/>
      <c r="K376" s="12"/>
      <c r="L376" s="8"/>
      <c r="M376" s="8"/>
      <c r="N376" s="8"/>
      <c r="O376" s="8"/>
      <c r="P376" s="8"/>
      <c r="Q376" s="8">
        <f>IF(B376="","",IF(B376="P","P&amp;10",B376&amp;"D "&amp;C376))</f>
        <v/>
      </c>
      <c r="R376" s="8">
        <f>IF(L376&lt;&gt;"Y","",IF(COUNTIF('DEF_CALL_DECISION_SUPPORT'!$B$1197:$B$1256,SUBSTITUTE(SUBSTITUTE(SUBSTITUTE(E376,"~","~~"),"*","~*"),"?","~?"))&gt;0,"KNOWN","REVIEW: new call; refresh sources"))</f>
        <v/>
      </c>
    </row>
    <row r="377" spans="1:18" ht="25" customHeight="1">
      <c r="A377" s="12"/>
      <c r="B377" s="8"/>
      <c r="C377" s="8"/>
      <c r="D377" s="8"/>
      <c r="E377" s="8"/>
      <c r="F377" s="8"/>
      <c r="G377" s="8"/>
      <c r="H377" s="8"/>
      <c r="I377" s="11"/>
      <c r="J377" s="12"/>
      <c r="K377" s="12"/>
      <c r="L377" s="8"/>
      <c r="M377" s="8"/>
      <c r="N377" s="8"/>
      <c r="O377" s="8"/>
      <c r="P377" s="8"/>
      <c r="Q377" s="8">
        <f>IF(B377="","",IF(B377="P","P&amp;10",B377&amp;"D "&amp;C377))</f>
        <v/>
      </c>
      <c r="R377" s="8">
        <f>IF(L377&lt;&gt;"Y","",IF(COUNTIF('DEF_CALL_DECISION_SUPPORT'!$B$1197:$B$1256,SUBSTITUTE(SUBSTITUTE(SUBSTITUTE(E377,"~","~~"),"*","~*"),"?","~?"))&gt;0,"KNOWN","REVIEW: new call; refresh sources"))</f>
        <v/>
      </c>
    </row>
    <row r="378" spans="1:18" ht="25" customHeight="1">
      <c r="A378" s="12"/>
      <c r="B378" s="8"/>
      <c r="C378" s="8"/>
      <c r="D378" s="8"/>
      <c r="E378" s="8"/>
      <c r="F378" s="8"/>
      <c r="G378" s="8"/>
      <c r="H378" s="8"/>
      <c r="I378" s="11"/>
      <c r="J378" s="12"/>
      <c r="K378" s="12"/>
      <c r="L378" s="8"/>
      <c r="M378" s="8"/>
      <c r="N378" s="8"/>
      <c r="O378" s="8"/>
      <c r="P378" s="8"/>
      <c r="Q378" s="8">
        <f>IF(B378="","",IF(B378="P","P&amp;10",B378&amp;"D "&amp;C378))</f>
        <v/>
      </c>
      <c r="R378" s="8">
        <f>IF(L378&lt;&gt;"Y","",IF(COUNTIF('DEF_CALL_DECISION_SUPPORT'!$B$1197:$B$1256,SUBSTITUTE(SUBSTITUTE(SUBSTITUTE(E378,"~","~~"),"*","~*"),"?","~?"))&gt;0,"KNOWN","REVIEW: new call; refresh sources"))</f>
        <v/>
      </c>
    </row>
    <row r="379" spans="1:18" ht="25" customHeight="1">
      <c r="A379" s="12"/>
      <c r="B379" s="8"/>
      <c r="C379" s="8"/>
      <c r="D379" s="8"/>
      <c r="E379" s="8"/>
      <c r="F379" s="8"/>
      <c r="G379" s="8"/>
      <c r="H379" s="8"/>
      <c r="I379" s="11"/>
      <c r="J379" s="12"/>
      <c r="K379" s="12"/>
      <c r="L379" s="8"/>
      <c r="M379" s="8"/>
      <c r="N379" s="8"/>
      <c r="O379" s="8"/>
      <c r="P379" s="8"/>
      <c r="Q379" s="8">
        <f>IF(B379="","",IF(B379="P","P&amp;10",B379&amp;"D "&amp;C379))</f>
        <v/>
      </c>
      <c r="R379" s="8">
        <f>IF(L379&lt;&gt;"Y","",IF(COUNTIF('DEF_CALL_DECISION_SUPPORT'!$B$1197:$B$1256,SUBSTITUTE(SUBSTITUTE(SUBSTITUTE(E379,"~","~~"),"*","~*"),"?","~?"))&gt;0,"KNOWN","REVIEW: new call; refresh sources"))</f>
        <v/>
      </c>
    </row>
    <row r="380" spans="1:18" ht="25" customHeight="1">
      <c r="A380" s="12"/>
      <c r="B380" s="8"/>
      <c r="C380" s="8"/>
      <c r="D380" s="8"/>
      <c r="E380" s="8"/>
      <c r="F380" s="8"/>
      <c r="G380" s="8"/>
      <c r="H380" s="8"/>
      <c r="I380" s="11"/>
      <c r="J380" s="12"/>
      <c r="K380" s="12"/>
      <c r="L380" s="8"/>
      <c r="M380" s="8"/>
      <c r="N380" s="8"/>
      <c r="O380" s="8"/>
      <c r="P380" s="8"/>
      <c r="Q380" s="8">
        <f>IF(B380="","",IF(B380="P","P&amp;10",B380&amp;"D "&amp;C380))</f>
        <v/>
      </c>
      <c r="R380" s="8">
        <f>IF(L380&lt;&gt;"Y","",IF(COUNTIF('DEF_CALL_DECISION_SUPPORT'!$B$1197:$B$1256,SUBSTITUTE(SUBSTITUTE(SUBSTITUTE(E380,"~","~~"),"*","~*"),"?","~?"))&gt;0,"KNOWN","REVIEW: new call; refresh sources"))</f>
        <v/>
      </c>
    </row>
    <row r="381" spans="1:18" ht="25" customHeight="1">
      <c r="A381" s="12"/>
      <c r="B381" s="8"/>
      <c r="C381" s="8"/>
      <c r="D381" s="8"/>
      <c r="E381" s="8"/>
      <c r="F381" s="8"/>
      <c r="G381" s="8"/>
      <c r="H381" s="8"/>
      <c r="I381" s="11"/>
      <c r="J381" s="12"/>
      <c r="K381" s="12"/>
      <c r="L381" s="8"/>
      <c r="M381" s="8"/>
      <c r="N381" s="8"/>
      <c r="O381" s="8"/>
      <c r="P381" s="8"/>
      <c r="Q381" s="8">
        <f>IF(B381="","",IF(B381="P","P&amp;10",B381&amp;"D "&amp;C381))</f>
        <v/>
      </c>
      <c r="R381" s="8">
        <f>IF(L381&lt;&gt;"Y","",IF(COUNTIF('DEF_CALL_DECISION_SUPPORT'!$B$1197:$B$1256,SUBSTITUTE(SUBSTITUTE(SUBSTITUTE(E381,"~","~~"),"*","~*"),"?","~?"))&gt;0,"KNOWN","REVIEW: new call; refresh sources"))</f>
        <v/>
      </c>
    </row>
    <row r="382" spans="1:18" ht="25" customHeight="1">
      <c r="A382" s="12"/>
      <c r="B382" s="8"/>
      <c r="C382" s="8"/>
      <c r="D382" s="8"/>
      <c r="E382" s="8"/>
      <c r="F382" s="8"/>
      <c r="G382" s="8"/>
      <c r="H382" s="8"/>
      <c r="I382" s="11"/>
      <c r="J382" s="12"/>
      <c r="K382" s="12"/>
      <c r="L382" s="8"/>
      <c r="M382" s="8"/>
      <c r="N382" s="8"/>
      <c r="O382" s="8"/>
      <c r="P382" s="8"/>
      <c r="Q382" s="8">
        <f>IF(B382="","",IF(B382="P","P&amp;10",B382&amp;"D "&amp;C382))</f>
        <v/>
      </c>
      <c r="R382" s="8">
        <f>IF(L382&lt;&gt;"Y","",IF(COUNTIF('DEF_CALL_DECISION_SUPPORT'!$B$1197:$B$1256,SUBSTITUTE(SUBSTITUTE(SUBSTITUTE(E382,"~","~~"),"*","~*"),"?","~?"))&gt;0,"KNOWN","REVIEW: new call; refresh sources"))</f>
        <v/>
      </c>
    </row>
    <row r="383" spans="1:18" ht="25" customHeight="1">
      <c r="A383" s="12"/>
      <c r="B383" s="8"/>
      <c r="C383" s="8"/>
      <c r="D383" s="8"/>
      <c r="E383" s="8"/>
      <c r="F383" s="8"/>
      <c r="G383" s="8"/>
      <c r="H383" s="8"/>
      <c r="I383" s="11"/>
      <c r="J383" s="12"/>
      <c r="K383" s="12"/>
      <c r="L383" s="8"/>
      <c r="M383" s="8"/>
      <c r="N383" s="8"/>
      <c r="O383" s="8"/>
      <c r="P383" s="8"/>
      <c r="Q383" s="8">
        <f>IF(B383="","",IF(B383="P","P&amp;10",B383&amp;"D "&amp;C383))</f>
        <v/>
      </c>
      <c r="R383" s="8">
        <f>IF(L383&lt;&gt;"Y","",IF(COUNTIF('DEF_CALL_DECISION_SUPPORT'!$B$1197:$B$1256,SUBSTITUTE(SUBSTITUTE(SUBSTITUTE(E383,"~","~~"),"*","~*"),"?","~?"))&gt;0,"KNOWN","REVIEW: new call; refresh sources"))</f>
        <v/>
      </c>
    </row>
    <row r="384" spans="1:18" ht="25" customHeight="1">
      <c r="A384" s="12"/>
      <c r="B384" s="8"/>
      <c r="C384" s="8"/>
      <c r="D384" s="8"/>
      <c r="E384" s="8"/>
      <c r="F384" s="8"/>
      <c r="G384" s="8"/>
      <c r="H384" s="8"/>
      <c r="I384" s="11"/>
      <c r="J384" s="12"/>
      <c r="K384" s="12"/>
      <c r="L384" s="8"/>
      <c r="M384" s="8"/>
      <c r="N384" s="8"/>
      <c r="O384" s="8"/>
      <c r="P384" s="8"/>
      <c r="Q384" s="8">
        <f>IF(B384="","",IF(B384="P","P&amp;10",B384&amp;"D "&amp;C384))</f>
        <v/>
      </c>
      <c r="R384" s="8">
        <f>IF(L384&lt;&gt;"Y","",IF(COUNTIF('DEF_CALL_DECISION_SUPPORT'!$B$1197:$B$1256,SUBSTITUTE(SUBSTITUTE(SUBSTITUTE(E384,"~","~~"),"*","~*"),"?","~?"))&gt;0,"KNOWN","REVIEW: new call; refresh sources"))</f>
        <v/>
      </c>
    </row>
    <row r="385" spans="1:18" ht="25" customHeight="1">
      <c r="A385" s="12"/>
      <c r="B385" s="8"/>
      <c r="C385" s="8"/>
      <c r="D385" s="8"/>
      <c r="E385" s="8"/>
      <c r="F385" s="8"/>
      <c r="G385" s="8"/>
      <c r="H385" s="8"/>
      <c r="I385" s="11"/>
      <c r="J385" s="12"/>
      <c r="K385" s="12"/>
      <c r="L385" s="8"/>
      <c r="M385" s="8"/>
      <c r="N385" s="8"/>
      <c r="O385" s="8"/>
      <c r="P385" s="8"/>
      <c r="Q385" s="8">
        <f>IF(B385="","",IF(B385="P","P&amp;10",B385&amp;"D "&amp;C385))</f>
        <v/>
      </c>
      <c r="R385" s="8">
        <f>IF(L385&lt;&gt;"Y","",IF(COUNTIF('DEF_CALL_DECISION_SUPPORT'!$B$1197:$B$1256,SUBSTITUTE(SUBSTITUTE(SUBSTITUTE(E385,"~","~~"),"*","~*"),"?","~?"))&gt;0,"KNOWN","REVIEW: new call; refresh sources"))</f>
        <v/>
      </c>
    </row>
    <row r="386" spans="1:18" ht="25" customHeight="1">
      <c r="A386" s="12"/>
      <c r="B386" s="8"/>
      <c r="C386" s="8"/>
      <c r="D386" s="8"/>
      <c r="E386" s="8"/>
      <c r="F386" s="8"/>
      <c r="G386" s="8"/>
      <c r="H386" s="8"/>
      <c r="I386" s="11"/>
      <c r="J386" s="12"/>
      <c r="K386" s="12"/>
      <c r="L386" s="8"/>
      <c r="M386" s="8"/>
      <c r="N386" s="8"/>
      <c r="O386" s="8"/>
      <c r="P386" s="8"/>
      <c r="Q386" s="8">
        <f>IF(B386="","",IF(B386="P","P&amp;10",B386&amp;"D "&amp;C386))</f>
        <v/>
      </c>
      <c r="R386" s="8">
        <f>IF(L386&lt;&gt;"Y","",IF(COUNTIF('DEF_CALL_DECISION_SUPPORT'!$B$1197:$B$1256,SUBSTITUTE(SUBSTITUTE(SUBSTITUTE(E386,"~","~~"),"*","~*"),"?","~?"))&gt;0,"KNOWN","REVIEW: new call; refresh sources"))</f>
        <v/>
      </c>
    </row>
    <row r="387" spans="1:18" ht="25" customHeight="1">
      <c r="A387" s="12"/>
      <c r="B387" s="8"/>
      <c r="C387" s="8"/>
      <c r="D387" s="8"/>
      <c r="E387" s="8"/>
      <c r="F387" s="8"/>
      <c r="G387" s="8"/>
      <c r="H387" s="8"/>
      <c r="I387" s="11"/>
      <c r="J387" s="12"/>
      <c r="K387" s="12"/>
      <c r="L387" s="8"/>
      <c r="M387" s="8"/>
      <c r="N387" s="8"/>
      <c r="O387" s="8"/>
      <c r="P387" s="8"/>
      <c r="Q387" s="8">
        <f>IF(B387="","",IF(B387="P","P&amp;10",B387&amp;"D "&amp;C387))</f>
        <v/>
      </c>
      <c r="R387" s="8">
        <f>IF(L387&lt;&gt;"Y","",IF(COUNTIF('DEF_CALL_DECISION_SUPPORT'!$B$1197:$B$1256,SUBSTITUTE(SUBSTITUTE(SUBSTITUTE(E387,"~","~~"),"*","~*"),"?","~?"))&gt;0,"KNOWN","REVIEW: new call; refresh sources"))</f>
        <v/>
      </c>
    </row>
    <row r="388" spans="1:18" ht="25" customHeight="1">
      <c r="A388" s="12"/>
      <c r="B388" s="8"/>
      <c r="C388" s="8"/>
      <c r="D388" s="8"/>
      <c r="E388" s="8"/>
      <c r="F388" s="8"/>
      <c r="G388" s="8"/>
      <c r="H388" s="8"/>
      <c r="I388" s="11"/>
      <c r="J388" s="12"/>
      <c r="K388" s="12"/>
      <c r="L388" s="8"/>
      <c r="M388" s="8"/>
      <c r="N388" s="8"/>
      <c r="O388" s="8"/>
      <c r="P388" s="8"/>
      <c r="Q388" s="8">
        <f>IF(B388="","",IF(B388="P","P&amp;10",B388&amp;"D "&amp;C388))</f>
        <v/>
      </c>
      <c r="R388" s="8">
        <f>IF(L388&lt;&gt;"Y","",IF(COUNTIF('DEF_CALL_DECISION_SUPPORT'!$B$1197:$B$1256,SUBSTITUTE(SUBSTITUTE(SUBSTITUTE(E388,"~","~~"),"*","~*"),"?","~?"))&gt;0,"KNOWN","REVIEW: new call; refresh sources"))</f>
        <v/>
      </c>
    </row>
    <row r="389" spans="1:18" ht="25" customHeight="1">
      <c r="A389" s="12"/>
      <c r="B389" s="8"/>
      <c r="C389" s="8"/>
      <c r="D389" s="8"/>
      <c r="E389" s="8"/>
      <c r="F389" s="8"/>
      <c r="G389" s="8"/>
      <c r="H389" s="8"/>
      <c r="I389" s="11"/>
      <c r="J389" s="12"/>
      <c r="K389" s="12"/>
      <c r="L389" s="8"/>
      <c r="M389" s="8"/>
      <c r="N389" s="8"/>
      <c r="O389" s="8"/>
      <c r="P389" s="8"/>
      <c r="Q389" s="8">
        <f>IF(B389="","",IF(B389="P","P&amp;10",B389&amp;"D "&amp;C389))</f>
        <v/>
      </c>
      <c r="R389" s="8">
        <f>IF(L389&lt;&gt;"Y","",IF(COUNTIF('DEF_CALL_DECISION_SUPPORT'!$B$1197:$B$1256,SUBSTITUTE(SUBSTITUTE(SUBSTITUTE(E389,"~","~~"),"*","~*"),"?","~?"))&gt;0,"KNOWN","REVIEW: new call; refresh sources"))</f>
        <v/>
      </c>
    </row>
    <row r="390" spans="1:18" ht="25" customHeight="1">
      <c r="A390" s="12"/>
      <c r="B390" s="8"/>
      <c r="C390" s="8"/>
      <c r="D390" s="8"/>
      <c r="E390" s="8"/>
      <c r="F390" s="8"/>
      <c r="G390" s="8"/>
      <c r="H390" s="8"/>
      <c r="I390" s="11"/>
      <c r="J390" s="12"/>
      <c r="K390" s="12"/>
      <c r="L390" s="8"/>
      <c r="M390" s="8"/>
      <c r="N390" s="8"/>
      <c r="O390" s="8"/>
      <c r="P390" s="8"/>
      <c r="Q390" s="8">
        <f>IF(B390="","",IF(B390="P","P&amp;10",B390&amp;"D "&amp;C390))</f>
        <v/>
      </c>
      <c r="R390" s="8">
        <f>IF(L390&lt;&gt;"Y","",IF(COUNTIF('DEF_CALL_DECISION_SUPPORT'!$B$1197:$B$1256,SUBSTITUTE(SUBSTITUTE(SUBSTITUTE(E390,"~","~~"),"*","~*"),"?","~?"))&gt;0,"KNOWN","REVIEW: new call; refresh sources"))</f>
        <v/>
      </c>
    </row>
    <row r="391" spans="1:18" ht="25" customHeight="1">
      <c r="A391" s="12"/>
      <c r="B391" s="8"/>
      <c r="C391" s="8"/>
      <c r="D391" s="8"/>
      <c r="E391" s="8"/>
      <c r="F391" s="8"/>
      <c r="G391" s="8"/>
      <c r="H391" s="8"/>
      <c r="I391" s="11"/>
      <c r="J391" s="12"/>
      <c r="K391" s="12"/>
      <c r="L391" s="8"/>
      <c r="M391" s="8"/>
      <c r="N391" s="8"/>
      <c r="O391" s="8"/>
      <c r="P391" s="8"/>
      <c r="Q391" s="8">
        <f>IF(B391="","",IF(B391="P","P&amp;10",B391&amp;"D "&amp;C391))</f>
        <v/>
      </c>
      <c r="R391" s="8">
        <f>IF(L391&lt;&gt;"Y","",IF(COUNTIF('DEF_CALL_DECISION_SUPPORT'!$B$1197:$B$1256,SUBSTITUTE(SUBSTITUTE(SUBSTITUTE(E391,"~","~~"),"*","~*"),"?","~?"))&gt;0,"KNOWN","REVIEW: new call; refresh sources"))</f>
        <v/>
      </c>
    </row>
    <row r="392" spans="1:18" ht="25" customHeight="1">
      <c r="A392" s="12"/>
      <c r="B392" s="8"/>
      <c r="C392" s="8"/>
      <c r="D392" s="8"/>
      <c r="E392" s="8"/>
      <c r="F392" s="8"/>
      <c r="G392" s="8"/>
      <c r="H392" s="8"/>
      <c r="I392" s="11"/>
      <c r="J392" s="12"/>
      <c r="K392" s="12"/>
      <c r="L392" s="8"/>
      <c r="M392" s="8"/>
      <c r="N392" s="8"/>
      <c r="O392" s="8"/>
      <c r="P392" s="8"/>
      <c r="Q392" s="8">
        <f>IF(B392="","",IF(B392="P","P&amp;10",B392&amp;"D "&amp;C392))</f>
        <v/>
      </c>
      <c r="R392" s="8">
        <f>IF(L392&lt;&gt;"Y","",IF(COUNTIF('DEF_CALL_DECISION_SUPPORT'!$B$1197:$B$1256,SUBSTITUTE(SUBSTITUTE(SUBSTITUTE(E392,"~","~~"),"*","~*"),"?","~?"))&gt;0,"KNOWN","REVIEW: new call; refresh sources"))</f>
        <v/>
      </c>
    </row>
    <row r="393" spans="1:18" ht="25" customHeight="1">
      <c r="A393" s="12"/>
      <c r="B393" s="8"/>
      <c r="C393" s="8"/>
      <c r="D393" s="8"/>
      <c r="E393" s="8"/>
      <c r="F393" s="8"/>
      <c r="G393" s="8"/>
      <c r="H393" s="8"/>
      <c r="I393" s="11"/>
      <c r="J393" s="12"/>
      <c r="K393" s="12"/>
      <c r="L393" s="8"/>
      <c r="M393" s="8"/>
      <c r="N393" s="8"/>
      <c r="O393" s="8"/>
      <c r="P393" s="8"/>
      <c r="Q393" s="8">
        <f>IF(B393="","",IF(B393="P","P&amp;10",B393&amp;"D "&amp;C393))</f>
        <v/>
      </c>
      <c r="R393" s="8">
        <f>IF(L393&lt;&gt;"Y","",IF(COUNTIF('DEF_CALL_DECISION_SUPPORT'!$B$1197:$B$1256,SUBSTITUTE(SUBSTITUTE(SUBSTITUTE(E393,"~","~~"),"*","~*"),"?","~?"))&gt;0,"KNOWN","REVIEW: new call; refresh sources"))</f>
        <v/>
      </c>
    </row>
    <row r="394" spans="1:18" ht="25" customHeight="1">
      <c r="A394" s="12"/>
      <c r="B394" s="8"/>
      <c r="C394" s="8"/>
      <c r="D394" s="8"/>
      <c r="E394" s="8"/>
      <c r="F394" s="8"/>
      <c r="G394" s="8"/>
      <c r="H394" s="8"/>
      <c r="I394" s="11"/>
      <c r="J394" s="12"/>
      <c r="K394" s="12"/>
      <c r="L394" s="8"/>
      <c r="M394" s="8"/>
      <c r="N394" s="8"/>
      <c r="O394" s="8"/>
      <c r="P394" s="8"/>
      <c r="Q394" s="8">
        <f>IF(B394="","",IF(B394="P","P&amp;10",B394&amp;"D "&amp;C394))</f>
        <v/>
      </c>
      <c r="R394" s="8">
        <f>IF(L394&lt;&gt;"Y","",IF(COUNTIF('DEF_CALL_DECISION_SUPPORT'!$B$1197:$B$1256,SUBSTITUTE(SUBSTITUTE(SUBSTITUTE(E394,"~","~~"),"*","~*"),"?","~?"))&gt;0,"KNOWN","REVIEW: new call; refresh sources"))</f>
        <v/>
      </c>
    </row>
    <row r="395" spans="1:18" ht="25" customHeight="1">
      <c r="A395" s="12"/>
      <c r="B395" s="8"/>
      <c r="C395" s="8"/>
      <c r="D395" s="8"/>
      <c r="E395" s="8"/>
      <c r="F395" s="8"/>
      <c r="G395" s="8"/>
      <c r="H395" s="8"/>
      <c r="I395" s="11"/>
      <c r="J395" s="12"/>
      <c r="K395" s="12"/>
      <c r="L395" s="8"/>
      <c r="M395" s="8"/>
      <c r="N395" s="8"/>
      <c r="O395" s="8"/>
      <c r="P395" s="8"/>
      <c r="Q395" s="8">
        <f>IF(B395="","",IF(B395="P","P&amp;10",B395&amp;"D "&amp;C395))</f>
        <v/>
      </c>
      <c r="R395" s="8">
        <f>IF(L395&lt;&gt;"Y","",IF(COUNTIF('DEF_CALL_DECISION_SUPPORT'!$B$1197:$B$1256,SUBSTITUTE(SUBSTITUTE(SUBSTITUTE(E395,"~","~~"),"*","~*"),"?","~?"))&gt;0,"KNOWN","REVIEW: new call; refresh sources"))</f>
        <v/>
      </c>
    </row>
    <row r="396" spans="1:18" ht="25" customHeight="1">
      <c r="A396" s="12"/>
      <c r="B396" s="8"/>
      <c r="C396" s="8"/>
      <c r="D396" s="8"/>
      <c r="E396" s="8"/>
      <c r="F396" s="8"/>
      <c r="G396" s="8"/>
      <c r="H396" s="8"/>
      <c r="I396" s="11"/>
      <c r="J396" s="12"/>
      <c r="K396" s="12"/>
      <c r="L396" s="8"/>
      <c r="M396" s="8"/>
      <c r="N396" s="8"/>
      <c r="O396" s="8"/>
      <c r="P396" s="8"/>
      <c r="Q396" s="8">
        <f>IF(B396="","",IF(B396="P","P&amp;10",B396&amp;"D "&amp;C396))</f>
        <v/>
      </c>
      <c r="R396" s="8">
        <f>IF(L396&lt;&gt;"Y","",IF(COUNTIF('DEF_CALL_DECISION_SUPPORT'!$B$1197:$B$1256,SUBSTITUTE(SUBSTITUTE(SUBSTITUTE(E396,"~","~~"),"*","~*"),"?","~?"))&gt;0,"KNOWN","REVIEW: new call; refresh sources"))</f>
        <v/>
      </c>
    </row>
    <row r="397" spans="1:18" ht="25" customHeight="1">
      <c r="A397" s="12"/>
      <c r="B397" s="8"/>
      <c r="C397" s="8"/>
      <c r="D397" s="8"/>
      <c r="E397" s="8"/>
      <c r="F397" s="8"/>
      <c r="G397" s="8"/>
      <c r="H397" s="8"/>
      <c r="I397" s="11"/>
      <c r="J397" s="12"/>
      <c r="K397" s="12"/>
      <c r="L397" s="8"/>
      <c r="M397" s="8"/>
      <c r="N397" s="8"/>
      <c r="O397" s="8"/>
      <c r="P397" s="8"/>
      <c r="Q397" s="8">
        <f>IF(B397="","",IF(B397="P","P&amp;10",B397&amp;"D "&amp;C397))</f>
        <v/>
      </c>
      <c r="R397" s="8">
        <f>IF(L397&lt;&gt;"Y","",IF(COUNTIF('DEF_CALL_DECISION_SUPPORT'!$B$1197:$B$1256,SUBSTITUTE(SUBSTITUTE(SUBSTITUTE(E397,"~","~~"),"*","~*"),"?","~?"))&gt;0,"KNOWN","REVIEW: new call; refresh sources"))</f>
        <v/>
      </c>
    </row>
    <row r="398" spans="1:18" ht="25" customHeight="1">
      <c r="A398" s="12"/>
      <c r="B398" s="8"/>
      <c r="C398" s="8"/>
      <c r="D398" s="8"/>
      <c r="E398" s="8"/>
      <c r="F398" s="8"/>
      <c r="G398" s="8"/>
      <c r="H398" s="8"/>
      <c r="I398" s="11"/>
      <c r="J398" s="12"/>
      <c r="K398" s="12"/>
      <c r="L398" s="8"/>
      <c r="M398" s="8"/>
      <c r="N398" s="8"/>
      <c r="O398" s="8"/>
      <c r="P398" s="8"/>
      <c r="Q398" s="8">
        <f>IF(B398="","",IF(B398="P","P&amp;10",B398&amp;"D "&amp;C398))</f>
        <v/>
      </c>
      <c r="R398" s="8">
        <f>IF(L398&lt;&gt;"Y","",IF(COUNTIF('DEF_CALL_DECISION_SUPPORT'!$B$1197:$B$1256,SUBSTITUTE(SUBSTITUTE(SUBSTITUTE(E398,"~","~~"),"*","~*"),"?","~?"))&gt;0,"KNOWN","REVIEW: new call; refresh sources"))</f>
        <v/>
      </c>
    </row>
    <row r="399" spans="1:18" ht="25" customHeight="1">
      <c r="A399" s="12"/>
      <c r="B399" s="8"/>
      <c r="C399" s="8"/>
      <c r="D399" s="8"/>
      <c r="E399" s="8"/>
      <c r="F399" s="8"/>
      <c r="G399" s="8"/>
      <c r="H399" s="8"/>
      <c r="I399" s="11"/>
      <c r="J399" s="12"/>
      <c r="K399" s="12"/>
      <c r="L399" s="8"/>
      <c r="M399" s="8"/>
      <c r="N399" s="8"/>
      <c r="O399" s="8"/>
      <c r="P399" s="8"/>
      <c r="Q399" s="8">
        <f>IF(B399="","",IF(B399="P","P&amp;10",B399&amp;"D "&amp;C399))</f>
        <v/>
      </c>
      <c r="R399" s="8">
        <f>IF(L399&lt;&gt;"Y","",IF(COUNTIF('DEF_CALL_DECISION_SUPPORT'!$B$1197:$B$1256,SUBSTITUTE(SUBSTITUTE(SUBSTITUTE(E399,"~","~~"),"*","~*"),"?","~?"))&gt;0,"KNOWN","REVIEW: new call; refresh sources"))</f>
        <v/>
      </c>
    </row>
    <row r="400" spans="1:18" ht="25" customHeight="1">
      <c r="A400" s="12"/>
      <c r="B400" s="8"/>
      <c r="C400" s="8"/>
      <c r="D400" s="8"/>
      <c r="E400" s="8"/>
      <c r="F400" s="8"/>
      <c r="G400" s="8"/>
      <c r="H400" s="8"/>
      <c r="I400" s="11"/>
      <c r="J400" s="12"/>
      <c r="K400" s="12"/>
      <c r="L400" s="8"/>
      <c r="M400" s="8"/>
      <c r="N400" s="8"/>
      <c r="O400" s="8"/>
      <c r="P400" s="8"/>
      <c r="Q400" s="8">
        <f>IF(B400="","",IF(B400="P","P&amp;10",B400&amp;"D "&amp;C400))</f>
        <v/>
      </c>
      <c r="R400" s="8">
        <f>IF(L400&lt;&gt;"Y","",IF(COUNTIF('DEF_CALL_DECISION_SUPPORT'!$B$1197:$B$1256,SUBSTITUTE(SUBSTITUTE(SUBSTITUTE(E400,"~","~~"),"*","~*"),"?","~?"))&gt;0,"KNOWN","REVIEW: new call; refresh sources"))</f>
        <v/>
      </c>
    </row>
    <row r="401" spans="1:18" ht="25" customHeight="1">
      <c r="A401" s="12"/>
      <c r="B401" s="8"/>
      <c r="C401" s="8"/>
      <c r="D401" s="8"/>
      <c r="E401" s="8"/>
      <c r="F401" s="8"/>
      <c r="G401" s="8"/>
      <c r="H401" s="8"/>
      <c r="I401" s="11"/>
      <c r="J401" s="12"/>
      <c r="K401" s="12"/>
      <c r="L401" s="8"/>
      <c r="M401" s="8"/>
      <c r="N401" s="8"/>
      <c r="O401" s="8"/>
      <c r="P401" s="8"/>
      <c r="Q401" s="8">
        <f>IF(B401="","",IF(B401="P","P&amp;10",B401&amp;"D "&amp;C401))</f>
        <v/>
      </c>
      <c r="R401" s="8">
        <f>IF(L401&lt;&gt;"Y","",IF(COUNTIF('DEF_CALL_DECISION_SUPPORT'!$B$1197:$B$1256,SUBSTITUTE(SUBSTITUTE(SUBSTITUTE(E401,"~","~~"),"*","~*"),"?","~?"))&gt;0,"KNOWN","REVIEW: new call; refresh sources"))</f>
        <v/>
      </c>
    </row>
    <row r="402" spans="1:18" ht="25" customHeight="1">
      <c r="A402" s="12"/>
      <c r="B402" s="8"/>
      <c r="C402" s="8"/>
      <c r="D402" s="8"/>
      <c r="E402" s="8"/>
      <c r="F402" s="8"/>
      <c r="G402" s="8"/>
      <c r="H402" s="8"/>
      <c r="I402" s="11"/>
      <c r="J402" s="12"/>
      <c r="K402" s="12"/>
      <c r="L402" s="8"/>
      <c r="M402" s="8"/>
      <c r="N402" s="8"/>
      <c r="O402" s="8"/>
      <c r="P402" s="8"/>
      <c r="Q402" s="8">
        <f>IF(B402="","",IF(B402="P","P&amp;10",B402&amp;"D "&amp;C402))</f>
        <v/>
      </c>
      <c r="R402" s="8">
        <f>IF(L402&lt;&gt;"Y","",IF(COUNTIF('DEF_CALL_DECISION_SUPPORT'!$B$1197:$B$1256,SUBSTITUTE(SUBSTITUTE(SUBSTITUTE(E402,"~","~~"),"*","~*"),"?","~?"))&gt;0,"KNOWN","REVIEW: new call; refresh sources"))</f>
        <v/>
      </c>
    </row>
    <row r="403" spans="1:18" ht="25" customHeight="1">
      <c r="A403" s="12"/>
      <c r="B403" s="8"/>
      <c r="C403" s="8"/>
      <c r="D403" s="8"/>
      <c r="E403" s="8"/>
      <c r="F403" s="8"/>
      <c r="G403" s="8"/>
      <c r="H403" s="8"/>
      <c r="I403" s="11"/>
      <c r="J403" s="12"/>
      <c r="K403" s="12"/>
      <c r="L403" s="8"/>
      <c r="M403" s="8"/>
      <c r="N403" s="8"/>
      <c r="O403" s="8"/>
      <c r="P403" s="8"/>
      <c r="Q403" s="8">
        <f>IF(B403="","",IF(B403="P","P&amp;10",B403&amp;"D "&amp;C403))</f>
        <v/>
      </c>
      <c r="R403" s="8">
        <f>IF(L403&lt;&gt;"Y","",IF(COUNTIF('DEF_CALL_DECISION_SUPPORT'!$B$1197:$B$1256,SUBSTITUTE(SUBSTITUTE(SUBSTITUTE(E403,"~","~~"),"*","~*"),"?","~?"))&gt;0,"KNOWN","REVIEW: new call; refresh sources"))</f>
        <v/>
      </c>
    </row>
    <row r="404" spans="1:18" ht="25" customHeight="1">
      <c r="A404" s="12"/>
      <c r="B404" s="8"/>
      <c r="C404" s="8"/>
      <c r="D404" s="8"/>
      <c r="E404" s="8"/>
      <c r="F404" s="8"/>
      <c r="G404" s="8"/>
      <c r="H404" s="8"/>
      <c r="I404" s="11"/>
      <c r="J404" s="12"/>
      <c r="K404" s="12"/>
      <c r="L404" s="8"/>
      <c r="M404" s="8"/>
      <c r="N404" s="8"/>
      <c r="O404" s="8"/>
      <c r="P404" s="8"/>
      <c r="Q404" s="8">
        <f>IF(B404="","",IF(B404="P","P&amp;10",B404&amp;"D "&amp;C404))</f>
        <v/>
      </c>
      <c r="R404" s="8">
        <f>IF(L404&lt;&gt;"Y","",IF(COUNTIF('DEF_CALL_DECISION_SUPPORT'!$B$1197:$B$1256,SUBSTITUTE(SUBSTITUTE(SUBSTITUTE(E404,"~","~~"),"*","~*"),"?","~?"))&gt;0,"KNOWN","REVIEW: new call; refresh sources"))</f>
        <v/>
      </c>
    </row>
    <row r="405" spans="1:18" ht="25" customHeight="1">
      <c r="A405" s="12"/>
      <c r="B405" s="8"/>
      <c r="C405" s="8"/>
      <c r="D405" s="8"/>
      <c r="E405" s="8"/>
      <c r="F405" s="8"/>
      <c r="G405" s="8"/>
      <c r="H405" s="8"/>
      <c r="I405" s="11"/>
      <c r="J405" s="12"/>
      <c r="K405" s="12"/>
      <c r="L405" s="8"/>
      <c r="M405" s="8"/>
      <c r="N405" s="8"/>
      <c r="O405" s="8"/>
      <c r="P405" s="8"/>
      <c r="Q405" s="8">
        <f>IF(B405="","",IF(B405="P","P&amp;10",B405&amp;"D "&amp;C405))</f>
        <v/>
      </c>
      <c r="R405" s="8">
        <f>IF(L405&lt;&gt;"Y","",IF(COUNTIF('DEF_CALL_DECISION_SUPPORT'!$B$1197:$B$1256,SUBSTITUTE(SUBSTITUTE(SUBSTITUTE(E405,"~","~~"),"*","~*"),"?","~?"))&gt;0,"KNOWN","REVIEW: new call; refresh sources"))</f>
        <v/>
      </c>
    </row>
    <row r="406" spans="1:18" ht="25" customHeight="1">
      <c r="A406" s="12"/>
      <c r="B406" s="8"/>
      <c r="C406" s="8"/>
      <c r="D406" s="8"/>
      <c r="E406" s="8"/>
      <c r="F406" s="8"/>
      <c r="G406" s="8"/>
      <c r="H406" s="8"/>
      <c r="I406" s="11"/>
      <c r="J406" s="12"/>
      <c r="K406" s="12"/>
      <c r="L406" s="8"/>
      <c r="M406" s="8"/>
      <c r="N406" s="8"/>
      <c r="O406" s="8"/>
      <c r="P406" s="8"/>
      <c r="Q406" s="8">
        <f>IF(B406="","",IF(B406="P","P&amp;10",B406&amp;"D "&amp;C406))</f>
        <v/>
      </c>
      <c r="R406" s="8">
        <f>IF(L406&lt;&gt;"Y","",IF(COUNTIF('DEF_CALL_DECISION_SUPPORT'!$B$1197:$B$1256,SUBSTITUTE(SUBSTITUTE(SUBSTITUTE(E406,"~","~~"),"*","~*"),"?","~?"))&gt;0,"KNOWN","REVIEW: new call; refresh sources"))</f>
        <v/>
      </c>
    </row>
    <row r="407" spans="1:18" ht="25" customHeight="1">
      <c r="A407" s="12"/>
      <c r="B407" s="8"/>
      <c r="C407" s="8"/>
      <c r="D407" s="8"/>
      <c r="E407" s="8"/>
      <c r="F407" s="8"/>
      <c r="G407" s="8"/>
      <c r="H407" s="8"/>
      <c r="I407" s="11"/>
      <c r="J407" s="12"/>
      <c r="K407" s="12"/>
      <c r="L407" s="8"/>
      <c r="M407" s="8"/>
      <c r="N407" s="8"/>
      <c r="O407" s="8"/>
      <c r="P407" s="8"/>
      <c r="Q407" s="8">
        <f>IF(B407="","",IF(B407="P","P&amp;10",B407&amp;"D "&amp;C407))</f>
        <v/>
      </c>
      <c r="R407" s="8">
        <f>IF(L407&lt;&gt;"Y","",IF(COUNTIF('DEF_CALL_DECISION_SUPPORT'!$B$1197:$B$1256,SUBSTITUTE(SUBSTITUTE(SUBSTITUTE(E407,"~","~~"),"*","~*"),"?","~?"))&gt;0,"KNOWN","REVIEW: new call; refresh sources"))</f>
        <v/>
      </c>
    </row>
    <row r="408" spans="1:18" ht="25" customHeight="1">
      <c r="A408" s="12"/>
      <c r="B408" s="8"/>
      <c r="C408" s="8"/>
      <c r="D408" s="8"/>
      <c r="E408" s="8"/>
      <c r="F408" s="8"/>
      <c r="G408" s="8"/>
      <c r="H408" s="8"/>
      <c r="I408" s="11"/>
      <c r="J408" s="12"/>
      <c r="K408" s="12"/>
      <c r="L408" s="8"/>
      <c r="M408" s="8"/>
      <c r="N408" s="8"/>
      <c r="O408" s="8"/>
      <c r="P408" s="8"/>
      <c r="Q408" s="8">
        <f>IF(B408="","",IF(B408="P","P&amp;10",B408&amp;"D "&amp;C408))</f>
        <v/>
      </c>
      <c r="R408" s="8">
        <f>IF(L408&lt;&gt;"Y","",IF(COUNTIF('DEF_CALL_DECISION_SUPPORT'!$B$1197:$B$1256,SUBSTITUTE(SUBSTITUTE(SUBSTITUTE(E408,"~","~~"),"*","~*"),"?","~?"))&gt;0,"KNOWN","REVIEW: new call; refresh sources"))</f>
        <v/>
      </c>
    </row>
    <row r="409" spans="1:18" ht="25" customHeight="1">
      <c r="A409" s="12"/>
      <c r="B409" s="8"/>
      <c r="C409" s="8"/>
      <c r="D409" s="8"/>
      <c r="E409" s="8"/>
      <c r="F409" s="8"/>
      <c r="G409" s="8"/>
      <c r="H409" s="8"/>
      <c r="I409" s="11"/>
      <c r="J409" s="12"/>
      <c r="K409" s="12"/>
      <c r="L409" s="8"/>
      <c r="M409" s="8"/>
      <c r="N409" s="8"/>
      <c r="O409" s="8"/>
      <c r="P409" s="8"/>
      <c r="Q409" s="8">
        <f>IF(B409="","",IF(B409="P","P&amp;10",B409&amp;"D "&amp;C409))</f>
        <v/>
      </c>
      <c r="R409" s="8">
        <f>IF(L409&lt;&gt;"Y","",IF(COUNTIF('DEF_CALL_DECISION_SUPPORT'!$B$1197:$B$1256,SUBSTITUTE(SUBSTITUTE(SUBSTITUTE(E409,"~","~~"),"*","~*"),"?","~?"))&gt;0,"KNOWN","REVIEW: new call; refresh sources"))</f>
        <v/>
      </c>
    </row>
    <row r="410" spans="1:18" ht="25" customHeight="1">
      <c r="A410" s="12"/>
      <c r="B410" s="8"/>
      <c r="C410" s="8"/>
      <c r="D410" s="8"/>
      <c r="E410" s="8"/>
      <c r="F410" s="8"/>
      <c r="G410" s="8"/>
      <c r="H410" s="8"/>
      <c r="I410" s="11"/>
      <c r="J410" s="12"/>
      <c r="K410" s="12"/>
      <c r="L410" s="8"/>
      <c r="M410" s="8"/>
      <c r="N410" s="8"/>
      <c r="O410" s="8"/>
      <c r="P410" s="8"/>
      <c r="Q410" s="8">
        <f>IF(B410="","",IF(B410="P","P&amp;10",B410&amp;"D "&amp;C410))</f>
        <v/>
      </c>
      <c r="R410" s="8">
        <f>IF(L410&lt;&gt;"Y","",IF(COUNTIF('DEF_CALL_DECISION_SUPPORT'!$B$1197:$B$1256,SUBSTITUTE(SUBSTITUTE(SUBSTITUTE(E410,"~","~~"),"*","~*"),"?","~?"))&gt;0,"KNOWN","REVIEW: new call; refresh sources"))</f>
        <v/>
      </c>
    </row>
    <row r="411" spans="1:18" ht="25" customHeight="1">
      <c r="A411" s="12"/>
      <c r="B411" s="8"/>
      <c r="C411" s="8"/>
      <c r="D411" s="8"/>
      <c r="E411" s="8"/>
      <c r="F411" s="8"/>
      <c r="G411" s="8"/>
      <c r="H411" s="8"/>
      <c r="I411" s="11"/>
      <c r="J411" s="12"/>
      <c r="K411" s="12"/>
      <c r="L411" s="8"/>
      <c r="M411" s="8"/>
      <c r="N411" s="8"/>
      <c r="O411" s="8"/>
      <c r="P411" s="8"/>
      <c r="Q411" s="8">
        <f>IF(B411="","",IF(B411="P","P&amp;10",B411&amp;"D "&amp;C411))</f>
        <v/>
      </c>
      <c r="R411" s="8">
        <f>IF(L411&lt;&gt;"Y","",IF(COUNTIF('DEF_CALL_DECISION_SUPPORT'!$B$1197:$B$1256,SUBSTITUTE(SUBSTITUTE(SUBSTITUTE(E411,"~","~~"),"*","~*"),"?","~?"))&gt;0,"KNOWN","REVIEW: new call; refresh sources"))</f>
        <v/>
      </c>
    </row>
    <row r="412" spans="1:18" ht="25" customHeight="1">
      <c r="A412" s="12"/>
      <c r="B412" s="8"/>
      <c r="C412" s="8"/>
      <c r="D412" s="8"/>
      <c r="E412" s="8"/>
      <c r="F412" s="8"/>
      <c r="G412" s="8"/>
      <c r="H412" s="8"/>
      <c r="I412" s="11"/>
      <c r="J412" s="12"/>
      <c r="K412" s="12"/>
      <c r="L412" s="8"/>
      <c r="M412" s="8"/>
      <c r="N412" s="8"/>
      <c r="O412" s="8"/>
      <c r="P412" s="8"/>
      <c r="Q412" s="8">
        <f>IF(B412="","",IF(B412="P","P&amp;10",B412&amp;"D "&amp;C412))</f>
        <v/>
      </c>
      <c r="R412" s="8">
        <f>IF(L412&lt;&gt;"Y","",IF(COUNTIF('DEF_CALL_DECISION_SUPPORT'!$B$1197:$B$1256,SUBSTITUTE(SUBSTITUTE(SUBSTITUTE(E412,"~","~~"),"*","~*"),"?","~?"))&gt;0,"KNOWN","REVIEW: new call; refresh sources"))</f>
        <v/>
      </c>
    </row>
    <row r="413" spans="1:18" ht="25" customHeight="1">
      <c r="A413" s="12"/>
      <c r="B413" s="8"/>
      <c r="C413" s="8"/>
      <c r="D413" s="8"/>
      <c r="E413" s="8"/>
      <c r="F413" s="8"/>
      <c r="G413" s="8"/>
      <c r="H413" s="8"/>
      <c r="I413" s="11"/>
      <c r="J413" s="12"/>
      <c r="K413" s="12"/>
      <c r="L413" s="8"/>
      <c r="M413" s="8"/>
      <c r="N413" s="8"/>
      <c r="O413" s="8"/>
      <c r="P413" s="8"/>
      <c r="Q413" s="8">
        <f>IF(B413="","",IF(B413="P","P&amp;10",B413&amp;"D "&amp;C413))</f>
        <v/>
      </c>
      <c r="R413" s="8">
        <f>IF(L413&lt;&gt;"Y","",IF(COUNTIF('DEF_CALL_DECISION_SUPPORT'!$B$1197:$B$1256,SUBSTITUTE(SUBSTITUTE(SUBSTITUTE(E413,"~","~~"),"*","~*"),"?","~?"))&gt;0,"KNOWN","REVIEW: new call; refresh sources"))</f>
        <v/>
      </c>
    </row>
    <row r="414" spans="1:18" ht="25" customHeight="1">
      <c r="A414" s="12"/>
      <c r="B414" s="8"/>
      <c r="C414" s="8"/>
      <c r="D414" s="8"/>
      <c r="E414" s="8"/>
      <c r="F414" s="8"/>
      <c r="G414" s="8"/>
      <c r="H414" s="8"/>
      <c r="I414" s="11"/>
      <c r="J414" s="12"/>
      <c r="K414" s="12"/>
      <c r="L414" s="8"/>
      <c r="M414" s="8"/>
      <c r="N414" s="8"/>
      <c r="O414" s="8"/>
      <c r="P414" s="8"/>
      <c r="Q414" s="8">
        <f>IF(B414="","",IF(B414="P","P&amp;10",B414&amp;"D "&amp;C414))</f>
        <v/>
      </c>
      <c r="R414" s="8">
        <f>IF(L414&lt;&gt;"Y","",IF(COUNTIF('DEF_CALL_DECISION_SUPPORT'!$B$1197:$B$1256,SUBSTITUTE(SUBSTITUTE(SUBSTITUTE(E414,"~","~~"),"*","~*"),"?","~?"))&gt;0,"KNOWN","REVIEW: new call; refresh sources"))</f>
        <v/>
      </c>
    </row>
    <row r="415" spans="1:18" ht="25" customHeight="1">
      <c r="A415" s="12"/>
      <c r="B415" s="8"/>
      <c r="C415" s="8"/>
      <c r="D415" s="8"/>
      <c r="E415" s="8"/>
      <c r="F415" s="8"/>
      <c r="G415" s="8"/>
      <c r="H415" s="8"/>
      <c r="I415" s="11"/>
      <c r="J415" s="12"/>
      <c r="K415" s="12"/>
      <c r="L415" s="8"/>
      <c r="M415" s="8"/>
      <c r="N415" s="8"/>
      <c r="O415" s="8"/>
      <c r="P415" s="8"/>
      <c r="Q415" s="8">
        <f>IF(B415="","",IF(B415="P","P&amp;10",B415&amp;"D "&amp;C415))</f>
        <v/>
      </c>
      <c r="R415" s="8">
        <f>IF(L415&lt;&gt;"Y","",IF(COUNTIF('DEF_CALL_DECISION_SUPPORT'!$B$1197:$B$1256,SUBSTITUTE(SUBSTITUTE(SUBSTITUTE(E415,"~","~~"),"*","~*"),"?","~?"))&gt;0,"KNOWN","REVIEW: new call; refresh sources"))</f>
        <v/>
      </c>
    </row>
    <row r="416" spans="1:18" ht="25" customHeight="1">
      <c r="A416" s="12"/>
      <c r="B416" s="8"/>
      <c r="C416" s="8"/>
      <c r="D416" s="8"/>
      <c r="E416" s="8"/>
      <c r="F416" s="8"/>
      <c r="G416" s="8"/>
      <c r="H416" s="8"/>
      <c r="I416" s="11"/>
      <c r="J416" s="12"/>
      <c r="K416" s="12"/>
      <c r="L416" s="8"/>
      <c r="M416" s="8"/>
      <c r="N416" s="8"/>
      <c r="O416" s="8"/>
      <c r="P416" s="8"/>
      <c r="Q416" s="8">
        <f>IF(B416="","",IF(B416="P","P&amp;10",B416&amp;"D "&amp;C416))</f>
        <v/>
      </c>
      <c r="R416" s="8">
        <f>IF(L416&lt;&gt;"Y","",IF(COUNTIF('DEF_CALL_DECISION_SUPPORT'!$B$1197:$B$1256,SUBSTITUTE(SUBSTITUTE(SUBSTITUTE(E416,"~","~~"),"*","~*"),"?","~?"))&gt;0,"KNOWN","REVIEW: new call; refresh sources"))</f>
        <v/>
      </c>
    </row>
    <row r="417" spans="1:18" ht="25" customHeight="1">
      <c r="A417" s="12"/>
      <c r="B417" s="8"/>
      <c r="C417" s="8"/>
      <c r="D417" s="8"/>
      <c r="E417" s="8"/>
      <c r="F417" s="8"/>
      <c r="G417" s="8"/>
      <c r="H417" s="8"/>
      <c r="I417" s="11"/>
      <c r="J417" s="12"/>
      <c r="K417" s="12"/>
      <c r="L417" s="8"/>
      <c r="M417" s="8"/>
      <c r="N417" s="8"/>
      <c r="O417" s="8"/>
      <c r="P417" s="8"/>
      <c r="Q417" s="8">
        <f>IF(B417="","",IF(B417="P","P&amp;10",B417&amp;"D "&amp;C417))</f>
        <v/>
      </c>
      <c r="R417" s="8">
        <f>IF(L417&lt;&gt;"Y","",IF(COUNTIF('DEF_CALL_DECISION_SUPPORT'!$B$1197:$B$1256,SUBSTITUTE(SUBSTITUTE(SUBSTITUTE(E417,"~","~~"),"*","~*"),"?","~?"))&gt;0,"KNOWN","REVIEW: new call; refresh sources"))</f>
        <v/>
      </c>
    </row>
    <row r="418" spans="1:18" ht="25" customHeight="1">
      <c r="A418" s="12"/>
      <c r="B418" s="8"/>
      <c r="C418" s="8"/>
      <c r="D418" s="8"/>
      <c r="E418" s="8"/>
      <c r="F418" s="8"/>
      <c r="G418" s="8"/>
      <c r="H418" s="8"/>
      <c r="I418" s="11"/>
      <c r="J418" s="12"/>
      <c r="K418" s="12"/>
      <c r="L418" s="8"/>
      <c r="M418" s="8"/>
      <c r="N418" s="8"/>
      <c r="O418" s="8"/>
      <c r="P418" s="8"/>
      <c r="Q418" s="8">
        <f>IF(B418="","",IF(B418="P","P&amp;10",B418&amp;"D "&amp;C418))</f>
        <v/>
      </c>
      <c r="R418" s="8">
        <f>IF(L418&lt;&gt;"Y","",IF(COUNTIF('DEF_CALL_DECISION_SUPPORT'!$B$1197:$B$1256,SUBSTITUTE(SUBSTITUTE(SUBSTITUTE(E418,"~","~~"),"*","~*"),"?","~?"))&gt;0,"KNOWN","REVIEW: new call; refresh sources"))</f>
        <v/>
      </c>
    </row>
    <row r="419" spans="1:18" ht="25" customHeight="1">
      <c r="A419" s="12"/>
      <c r="B419" s="8"/>
      <c r="C419" s="8"/>
      <c r="D419" s="8"/>
      <c r="E419" s="8"/>
      <c r="F419" s="8"/>
      <c r="G419" s="8"/>
      <c r="H419" s="8"/>
      <c r="I419" s="11"/>
      <c r="J419" s="12"/>
      <c r="K419" s="12"/>
      <c r="L419" s="8"/>
      <c r="M419" s="8"/>
      <c r="N419" s="8"/>
      <c r="O419" s="8"/>
      <c r="P419" s="8"/>
      <c r="Q419" s="8">
        <f>IF(B419="","",IF(B419="P","P&amp;10",B419&amp;"D "&amp;C419))</f>
        <v/>
      </c>
      <c r="R419" s="8">
        <f>IF(L419&lt;&gt;"Y","",IF(COUNTIF('DEF_CALL_DECISION_SUPPORT'!$B$1197:$B$1256,SUBSTITUTE(SUBSTITUTE(SUBSTITUTE(E419,"~","~~"),"*","~*"),"?","~?"))&gt;0,"KNOWN","REVIEW: new call; refresh sources"))</f>
        <v/>
      </c>
    </row>
    <row r="420" spans="1:18" ht="25" customHeight="1">
      <c r="A420" s="12"/>
      <c r="B420" s="8"/>
      <c r="C420" s="8"/>
      <c r="D420" s="8"/>
      <c r="E420" s="8"/>
      <c r="F420" s="8"/>
      <c r="G420" s="8"/>
      <c r="H420" s="8"/>
      <c r="I420" s="11"/>
      <c r="J420" s="12"/>
      <c r="K420" s="12"/>
      <c r="L420" s="8"/>
      <c r="M420" s="8"/>
      <c r="N420" s="8"/>
      <c r="O420" s="8"/>
      <c r="P420" s="8"/>
      <c r="Q420" s="8">
        <f>IF(B420="","",IF(B420="P","P&amp;10",B420&amp;"D "&amp;C420))</f>
        <v/>
      </c>
      <c r="R420" s="8">
        <f>IF(L420&lt;&gt;"Y","",IF(COUNTIF('DEF_CALL_DECISION_SUPPORT'!$B$1197:$B$1256,SUBSTITUTE(SUBSTITUTE(SUBSTITUTE(E420,"~","~~"),"*","~*"),"?","~?"))&gt;0,"KNOWN","REVIEW: new call; refresh sources"))</f>
        <v/>
      </c>
    </row>
    <row r="421" spans="1:18" ht="25" customHeight="1">
      <c r="A421" s="12"/>
      <c r="B421" s="8"/>
      <c r="C421" s="8"/>
      <c r="D421" s="8"/>
      <c r="E421" s="8"/>
      <c r="F421" s="8"/>
      <c r="G421" s="8"/>
      <c r="H421" s="8"/>
      <c r="I421" s="11"/>
      <c r="J421" s="12"/>
      <c r="K421" s="12"/>
      <c r="L421" s="8"/>
      <c r="M421" s="8"/>
      <c r="N421" s="8"/>
      <c r="O421" s="8"/>
      <c r="P421" s="8"/>
      <c r="Q421" s="8">
        <f>IF(B421="","",IF(B421="P","P&amp;10",B421&amp;"D "&amp;C421))</f>
        <v/>
      </c>
      <c r="R421" s="8">
        <f>IF(L421&lt;&gt;"Y","",IF(COUNTIF('DEF_CALL_DECISION_SUPPORT'!$B$1197:$B$1256,SUBSTITUTE(SUBSTITUTE(SUBSTITUTE(E421,"~","~~"),"*","~*"),"?","~?"))&gt;0,"KNOWN","REVIEW: new call; refresh sources"))</f>
        <v/>
      </c>
    </row>
    <row r="422" spans="1:18" ht="25" customHeight="1">
      <c r="A422" s="12"/>
      <c r="B422" s="8"/>
      <c r="C422" s="8"/>
      <c r="D422" s="8"/>
      <c r="E422" s="8"/>
      <c r="F422" s="8"/>
      <c r="G422" s="8"/>
      <c r="H422" s="8"/>
      <c r="I422" s="11"/>
      <c r="J422" s="12"/>
      <c r="K422" s="12"/>
      <c r="L422" s="8"/>
      <c r="M422" s="8"/>
      <c r="N422" s="8"/>
      <c r="O422" s="8"/>
      <c r="P422" s="8"/>
      <c r="Q422" s="8">
        <f>IF(B422="","",IF(B422="P","P&amp;10",B422&amp;"D "&amp;C422))</f>
        <v/>
      </c>
      <c r="R422" s="8">
        <f>IF(L422&lt;&gt;"Y","",IF(COUNTIF('DEF_CALL_DECISION_SUPPORT'!$B$1197:$B$1256,SUBSTITUTE(SUBSTITUTE(SUBSTITUTE(E422,"~","~~"),"*","~*"),"?","~?"))&gt;0,"KNOWN","REVIEW: new call; refresh sources"))</f>
        <v/>
      </c>
    </row>
    <row r="423" spans="1:18" ht="25" customHeight="1">
      <c r="A423" s="12"/>
      <c r="B423" s="8"/>
      <c r="C423" s="8"/>
      <c r="D423" s="8"/>
      <c r="E423" s="8"/>
      <c r="F423" s="8"/>
      <c r="G423" s="8"/>
      <c r="H423" s="8"/>
      <c r="I423" s="11"/>
      <c r="J423" s="12"/>
      <c r="K423" s="12"/>
      <c r="L423" s="8"/>
      <c r="M423" s="8"/>
      <c r="N423" s="8"/>
      <c r="O423" s="8"/>
      <c r="P423" s="8"/>
      <c r="Q423" s="8">
        <f>IF(B423="","",IF(B423="P","P&amp;10",B423&amp;"D "&amp;C423))</f>
        <v/>
      </c>
      <c r="R423" s="8">
        <f>IF(L423&lt;&gt;"Y","",IF(COUNTIF('DEF_CALL_DECISION_SUPPORT'!$B$1197:$B$1256,SUBSTITUTE(SUBSTITUTE(SUBSTITUTE(E423,"~","~~"),"*","~*"),"?","~?"))&gt;0,"KNOWN","REVIEW: new call; refresh sources"))</f>
        <v/>
      </c>
    </row>
    <row r="424" spans="1:18" ht="25" customHeight="1">
      <c r="A424" s="12"/>
      <c r="B424" s="8"/>
      <c r="C424" s="8"/>
      <c r="D424" s="8"/>
      <c r="E424" s="8"/>
      <c r="F424" s="8"/>
      <c r="G424" s="8"/>
      <c r="H424" s="8"/>
      <c r="I424" s="11"/>
      <c r="J424" s="12"/>
      <c r="K424" s="12"/>
      <c r="L424" s="8"/>
      <c r="M424" s="8"/>
      <c r="N424" s="8"/>
      <c r="O424" s="8"/>
      <c r="P424" s="8"/>
      <c r="Q424" s="8">
        <f>IF(B424="","",IF(B424="P","P&amp;10",B424&amp;"D "&amp;C424))</f>
        <v/>
      </c>
      <c r="R424" s="8">
        <f>IF(L424&lt;&gt;"Y","",IF(COUNTIF('DEF_CALL_DECISION_SUPPORT'!$B$1197:$B$1256,SUBSTITUTE(SUBSTITUTE(SUBSTITUTE(E424,"~","~~"),"*","~*"),"?","~?"))&gt;0,"KNOWN","REVIEW: new call; refresh sources"))</f>
        <v/>
      </c>
    </row>
    <row r="425" spans="1:18" ht="25" customHeight="1">
      <c r="A425" s="12"/>
      <c r="B425" s="8"/>
      <c r="C425" s="8"/>
      <c r="D425" s="8"/>
      <c r="E425" s="8"/>
      <c r="F425" s="8"/>
      <c r="G425" s="8"/>
      <c r="H425" s="8"/>
      <c r="I425" s="11"/>
      <c r="J425" s="12"/>
      <c r="K425" s="12"/>
      <c r="L425" s="8"/>
      <c r="M425" s="8"/>
      <c r="N425" s="8"/>
      <c r="O425" s="8"/>
      <c r="P425" s="8"/>
      <c r="Q425" s="8">
        <f>IF(B425="","",IF(B425="P","P&amp;10",B425&amp;"D "&amp;C425))</f>
        <v/>
      </c>
      <c r="R425" s="8">
        <f>IF(L425&lt;&gt;"Y","",IF(COUNTIF('DEF_CALL_DECISION_SUPPORT'!$B$1197:$B$1256,SUBSTITUTE(SUBSTITUTE(SUBSTITUTE(E425,"~","~~"),"*","~*"),"?","~?"))&gt;0,"KNOWN","REVIEW: new call; refresh sources"))</f>
        <v/>
      </c>
    </row>
    <row r="426" spans="1:18" ht="25" customHeight="1">
      <c r="A426" s="12"/>
      <c r="B426" s="8"/>
      <c r="C426" s="8"/>
      <c r="D426" s="8"/>
      <c r="E426" s="8"/>
      <c r="F426" s="8"/>
      <c r="G426" s="8"/>
      <c r="H426" s="8"/>
      <c r="I426" s="11"/>
      <c r="J426" s="12"/>
      <c r="K426" s="12"/>
      <c r="L426" s="8"/>
      <c r="M426" s="8"/>
      <c r="N426" s="8"/>
      <c r="O426" s="8"/>
      <c r="P426" s="8"/>
      <c r="Q426" s="8">
        <f>IF(B426="","",IF(B426="P","P&amp;10",B426&amp;"D "&amp;C426))</f>
        <v/>
      </c>
      <c r="R426" s="8">
        <f>IF(L426&lt;&gt;"Y","",IF(COUNTIF('DEF_CALL_DECISION_SUPPORT'!$B$1197:$B$1256,SUBSTITUTE(SUBSTITUTE(SUBSTITUTE(E426,"~","~~"),"*","~*"),"?","~?"))&gt;0,"KNOWN","REVIEW: new call; refresh sources"))</f>
        <v/>
      </c>
    </row>
    <row r="427" spans="1:18" ht="25" customHeight="1">
      <c r="A427" s="12"/>
      <c r="B427" s="8"/>
      <c r="C427" s="8"/>
      <c r="D427" s="8"/>
      <c r="E427" s="8"/>
      <c r="F427" s="8"/>
      <c r="G427" s="8"/>
      <c r="H427" s="8"/>
      <c r="I427" s="11"/>
      <c r="J427" s="12"/>
      <c r="K427" s="12"/>
      <c r="L427" s="8"/>
      <c r="M427" s="8"/>
      <c r="N427" s="8"/>
      <c r="O427" s="8"/>
      <c r="P427" s="8"/>
      <c r="Q427" s="8">
        <f>IF(B427="","",IF(B427="P","P&amp;10",B427&amp;"D "&amp;C427))</f>
        <v/>
      </c>
      <c r="R427" s="8">
        <f>IF(L427&lt;&gt;"Y","",IF(COUNTIF('DEF_CALL_DECISION_SUPPORT'!$B$1197:$B$1256,SUBSTITUTE(SUBSTITUTE(SUBSTITUTE(E427,"~","~~"),"*","~*"),"?","~?"))&gt;0,"KNOWN","REVIEW: new call; refresh sources"))</f>
        <v/>
      </c>
    </row>
    <row r="428" spans="1:18" ht="25" customHeight="1">
      <c r="A428" s="12"/>
      <c r="B428" s="8"/>
      <c r="C428" s="8"/>
      <c r="D428" s="8"/>
      <c r="E428" s="8"/>
      <c r="F428" s="8"/>
      <c r="G428" s="8"/>
      <c r="H428" s="8"/>
      <c r="I428" s="11"/>
      <c r="J428" s="12"/>
      <c r="K428" s="12"/>
      <c r="L428" s="8"/>
      <c r="M428" s="8"/>
      <c r="N428" s="8"/>
      <c r="O428" s="8"/>
      <c r="P428" s="8"/>
      <c r="Q428" s="8">
        <f>IF(B428="","",IF(B428="P","P&amp;10",B428&amp;"D "&amp;C428))</f>
        <v/>
      </c>
      <c r="R428" s="8">
        <f>IF(L428&lt;&gt;"Y","",IF(COUNTIF('DEF_CALL_DECISION_SUPPORT'!$B$1197:$B$1256,SUBSTITUTE(SUBSTITUTE(SUBSTITUTE(E428,"~","~~"),"*","~*"),"?","~?"))&gt;0,"KNOWN","REVIEW: new call; refresh sources"))</f>
        <v/>
      </c>
    </row>
    <row r="429" spans="1:18" ht="25" customHeight="1">
      <c r="A429" s="12"/>
      <c r="B429" s="8"/>
      <c r="C429" s="8"/>
      <c r="D429" s="8"/>
      <c r="E429" s="8"/>
      <c r="F429" s="8"/>
      <c r="G429" s="8"/>
      <c r="H429" s="8"/>
      <c r="I429" s="11"/>
      <c r="J429" s="12"/>
      <c r="K429" s="12"/>
      <c r="L429" s="8"/>
      <c r="M429" s="8"/>
      <c r="N429" s="8"/>
      <c r="O429" s="8"/>
      <c r="P429" s="8"/>
      <c r="Q429" s="8">
        <f>IF(B429="","",IF(B429="P","P&amp;10",B429&amp;"D "&amp;C429))</f>
        <v/>
      </c>
      <c r="R429" s="8">
        <f>IF(L429&lt;&gt;"Y","",IF(COUNTIF('DEF_CALL_DECISION_SUPPORT'!$B$1197:$B$1256,SUBSTITUTE(SUBSTITUTE(SUBSTITUTE(E429,"~","~~"),"*","~*"),"?","~?"))&gt;0,"KNOWN","REVIEW: new call; refresh sources"))</f>
        <v/>
      </c>
    </row>
    <row r="430" spans="1:18" ht="25" customHeight="1">
      <c r="A430" s="12"/>
      <c r="B430" s="8"/>
      <c r="C430" s="8"/>
      <c r="D430" s="8"/>
      <c r="E430" s="8"/>
      <c r="F430" s="8"/>
      <c r="G430" s="8"/>
      <c r="H430" s="8"/>
      <c r="I430" s="11"/>
      <c r="J430" s="12"/>
      <c r="K430" s="12"/>
      <c r="L430" s="8"/>
      <c r="M430" s="8"/>
      <c r="N430" s="8"/>
      <c r="O430" s="8"/>
      <c r="P430" s="8"/>
      <c r="Q430" s="8">
        <f>IF(B430="","",IF(B430="P","P&amp;10",B430&amp;"D "&amp;C430))</f>
        <v/>
      </c>
      <c r="R430" s="8">
        <f>IF(L430&lt;&gt;"Y","",IF(COUNTIF('DEF_CALL_DECISION_SUPPORT'!$B$1197:$B$1256,SUBSTITUTE(SUBSTITUTE(SUBSTITUTE(E430,"~","~~"),"*","~*"),"?","~?"))&gt;0,"KNOWN","REVIEW: new call; refresh sources"))</f>
        <v/>
      </c>
    </row>
    <row r="431" spans="1:18" ht="25" customHeight="1">
      <c r="A431" s="12"/>
      <c r="B431" s="8"/>
      <c r="C431" s="8"/>
      <c r="D431" s="8"/>
      <c r="E431" s="8"/>
      <c r="F431" s="8"/>
      <c r="G431" s="8"/>
      <c r="H431" s="8"/>
      <c r="I431" s="11"/>
      <c r="J431" s="12"/>
      <c r="K431" s="12"/>
      <c r="L431" s="8"/>
      <c r="M431" s="8"/>
      <c r="N431" s="8"/>
      <c r="O431" s="8"/>
      <c r="P431" s="8"/>
      <c r="Q431" s="8">
        <f>IF(B431="","",IF(B431="P","P&amp;10",B431&amp;"D "&amp;C431))</f>
        <v/>
      </c>
      <c r="R431" s="8">
        <f>IF(L431&lt;&gt;"Y","",IF(COUNTIF('DEF_CALL_DECISION_SUPPORT'!$B$1197:$B$1256,SUBSTITUTE(SUBSTITUTE(SUBSTITUTE(E431,"~","~~"),"*","~*"),"?","~?"))&gt;0,"KNOWN","REVIEW: new call; refresh sources"))</f>
        <v/>
      </c>
    </row>
    <row r="432" spans="1:18" ht="25" customHeight="1">
      <c r="A432" s="12"/>
      <c r="B432" s="8"/>
      <c r="C432" s="8"/>
      <c r="D432" s="8"/>
      <c r="E432" s="8"/>
      <c r="F432" s="8"/>
      <c r="G432" s="8"/>
      <c r="H432" s="8"/>
      <c r="I432" s="11"/>
      <c r="J432" s="12"/>
      <c r="K432" s="12"/>
      <c r="L432" s="8"/>
      <c r="M432" s="8"/>
      <c r="N432" s="8"/>
      <c r="O432" s="8"/>
      <c r="P432" s="8"/>
      <c r="Q432" s="8">
        <f>IF(B432="","",IF(B432="P","P&amp;10",B432&amp;"D "&amp;C432))</f>
        <v/>
      </c>
      <c r="R432" s="8">
        <f>IF(L432&lt;&gt;"Y","",IF(COUNTIF('DEF_CALL_DECISION_SUPPORT'!$B$1197:$B$1256,SUBSTITUTE(SUBSTITUTE(SUBSTITUTE(E432,"~","~~"),"*","~*"),"?","~?"))&gt;0,"KNOWN","REVIEW: new call; refresh sources"))</f>
        <v/>
      </c>
    </row>
    <row r="433" spans="1:18" ht="25" customHeight="1">
      <c r="A433" s="12"/>
      <c r="B433" s="8"/>
      <c r="C433" s="8"/>
      <c r="D433" s="8"/>
      <c r="E433" s="8"/>
      <c r="F433" s="8"/>
      <c r="G433" s="8"/>
      <c r="H433" s="8"/>
      <c r="I433" s="11"/>
      <c r="J433" s="12"/>
      <c r="K433" s="12"/>
      <c r="L433" s="8"/>
      <c r="M433" s="8"/>
      <c r="N433" s="8"/>
      <c r="O433" s="8"/>
      <c r="P433" s="8"/>
      <c r="Q433" s="8">
        <f>IF(B433="","",IF(B433="P","P&amp;10",B433&amp;"D "&amp;C433))</f>
        <v/>
      </c>
      <c r="R433" s="8">
        <f>IF(L433&lt;&gt;"Y","",IF(COUNTIF('DEF_CALL_DECISION_SUPPORT'!$B$1197:$B$1256,SUBSTITUTE(SUBSTITUTE(SUBSTITUTE(E433,"~","~~"),"*","~*"),"?","~?"))&gt;0,"KNOWN","REVIEW: new call; refresh sources"))</f>
        <v/>
      </c>
    </row>
    <row r="434" spans="1:18" ht="25" customHeight="1">
      <c r="A434" s="12"/>
      <c r="B434" s="8"/>
      <c r="C434" s="8"/>
      <c r="D434" s="8"/>
      <c r="E434" s="8"/>
      <c r="F434" s="8"/>
      <c r="G434" s="8"/>
      <c r="H434" s="8"/>
      <c r="I434" s="11"/>
      <c r="J434" s="12"/>
      <c r="K434" s="12"/>
      <c r="L434" s="8"/>
      <c r="M434" s="8"/>
      <c r="N434" s="8"/>
      <c r="O434" s="8"/>
      <c r="P434" s="8"/>
      <c r="Q434" s="8">
        <f>IF(B434="","",IF(B434="P","P&amp;10",B434&amp;"D "&amp;C434))</f>
        <v/>
      </c>
      <c r="R434" s="8">
        <f>IF(L434&lt;&gt;"Y","",IF(COUNTIF('DEF_CALL_DECISION_SUPPORT'!$B$1197:$B$1256,SUBSTITUTE(SUBSTITUTE(SUBSTITUTE(E434,"~","~~"),"*","~*"),"?","~?"))&gt;0,"KNOWN","REVIEW: new call; refresh sources"))</f>
        <v/>
      </c>
    </row>
    <row r="435" spans="1:18" ht="25" customHeight="1">
      <c r="A435" s="12"/>
      <c r="B435" s="8"/>
      <c r="C435" s="8"/>
      <c r="D435" s="8"/>
      <c r="E435" s="8"/>
      <c r="F435" s="8"/>
      <c r="G435" s="8"/>
      <c r="H435" s="8"/>
      <c r="I435" s="11"/>
      <c r="J435" s="12"/>
      <c r="K435" s="12"/>
      <c r="L435" s="8"/>
      <c r="M435" s="8"/>
      <c r="N435" s="8"/>
      <c r="O435" s="8"/>
      <c r="P435" s="8"/>
      <c r="Q435" s="8">
        <f>IF(B435="","",IF(B435="P","P&amp;10",B435&amp;"D "&amp;C435))</f>
        <v/>
      </c>
      <c r="R435" s="8">
        <f>IF(L435&lt;&gt;"Y","",IF(COUNTIF('DEF_CALL_DECISION_SUPPORT'!$B$1197:$B$1256,SUBSTITUTE(SUBSTITUTE(SUBSTITUTE(E435,"~","~~"),"*","~*"),"?","~?"))&gt;0,"KNOWN","REVIEW: new call; refresh sources"))</f>
        <v/>
      </c>
    </row>
    <row r="436" spans="1:18" ht="25" customHeight="1">
      <c r="A436" s="12"/>
      <c r="B436" s="8"/>
      <c r="C436" s="8"/>
      <c r="D436" s="8"/>
      <c r="E436" s="8"/>
      <c r="F436" s="8"/>
      <c r="G436" s="8"/>
      <c r="H436" s="8"/>
      <c r="I436" s="11"/>
      <c r="J436" s="12"/>
      <c r="K436" s="12"/>
      <c r="L436" s="8"/>
      <c r="M436" s="8"/>
      <c r="N436" s="8"/>
      <c r="O436" s="8"/>
      <c r="P436" s="8"/>
      <c r="Q436" s="8">
        <f>IF(B436="","",IF(B436="P","P&amp;10",B436&amp;"D "&amp;C436))</f>
        <v/>
      </c>
      <c r="R436" s="8">
        <f>IF(L436&lt;&gt;"Y","",IF(COUNTIF('DEF_CALL_DECISION_SUPPORT'!$B$1197:$B$1256,SUBSTITUTE(SUBSTITUTE(SUBSTITUTE(E436,"~","~~"),"*","~*"),"?","~?"))&gt;0,"KNOWN","REVIEW: new call; refresh sources"))</f>
        <v/>
      </c>
    </row>
    <row r="437" spans="1:18" ht="25" customHeight="1">
      <c r="A437" s="12"/>
      <c r="B437" s="8"/>
      <c r="C437" s="8"/>
      <c r="D437" s="8"/>
      <c r="E437" s="8"/>
      <c r="F437" s="8"/>
      <c r="G437" s="8"/>
      <c r="H437" s="8"/>
      <c r="I437" s="11"/>
      <c r="J437" s="12"/>
      <c r="K437" s="12"/>
      <c r="L437" s="8"/>
      <c r="M437" s="8"/>
      <c r="N437" s="8"/>
      <c r="O437" s="8"/>
      <c r="P437" s="8"/>
      <c r="Q437" s="8">
        <f>IF(B437="","",IF(B437="P","P&amp;10",B437&amp;"D "&amp;C437))</f>
        <v/>
      </c>
      <c r="R437" s="8">
        <f>IF(L437&lt;&gt;"Y","",IF(COUNTIF('DEF_CALL_DECISION_SUPPORT'!$B$1197:$B$1256,SUBSTITUTE(SUBSTITUTE(SUBSTITUTE(E437,"~","~~"),"*","~*"),"?","~?"))&gt;0,"KNOWN","REVIEW: new call; refresh sources"))</f>
        <v/>
      </c>
    </row>
    <row r="438" spans="1:18" ht="25" customHeight="1">
      <c r="A438" s="12"/>
      <c r="B438" s="8"/>
      <c r="C438" s="8"/>
      <c r="D438" s="8"/>
      <c r="E438" s="8"/>
      <c r="F438" s="8"/>
      <c r="G438" s="8"/>
      <c r="H438" s="8"/>
      <c r="I438" s="11"/>
      <c r="J438" s="12"/>
      <c r="K438" s="12"/>
      <c r="L438" s="8"/>
      <c r="M438" s="8"/>
      <c r="N438" s="8"/>
      <c r="O438" s="8"/>
      <c r="P438" s="8"/>
      <c r="Q438" s="8">
        <f>IF(B438="","",IF(B438="P","P&amp;10",B438&amp;"D "&amp;C438))</f>
        <v/>
      </c>
      <c r="R438" s="8">
        <f>IF(L438&lt;&gt;"Y","",IF(COUNTIF('DEF_CALL_DECISION_SUPPORT'!$B$1197:$B$1256,SUBSTITUTE(SUBSTITUTE(SUBSTITUTE(E438,"~","~~"),"*","~*"),"?","~?"))&gt;0,"KNOWN","REVIEW: new call; refresh sources"))</f>
        <v/>
      </c>
    </row>
    <row r="439" spans="1:18" ht="25" customHeight="1">
      <c r="A439" s="12"/>
      <c r="B439" s="8"/>
      <c r="C439" s="8"/>
      <c r="D439" s="8"/>
      <c r="E439" s="8"/>
      <c r="F439" s="8"/>
      <c r="G439" s="8"/>
      <c r="H439" s="8"/>
      <c r="I439" s="11"/>
      <c r="J439" s="12"/>
      <c r="K439" s="12"/>
      <c r="L439" s="8"/>
      <c r="M439" s="8"/>
      <c r="N439" s="8"/>
      <c r="O439" s="8"/>
      <c r="P439" s="8"/>
      <c r="Q439" s="8">
        <f>IF(B439="","",IF(B439="P","P&amp;10",B439&amp;"D "&amp;C439))</f>
        <v/>
      </c>
      <c r="R439" s="8">
        <f>IF(L439&lt;&gt;"Y","",IF(COUNTIF('DEF_CALL_DECISION_SUPPORT'!$B$1197:$B$1256,SUBSTITUTE(SUBSTITUTE(SUBSTITUTE(E439,"~","~~"),"*","~*"),"?","~?"))&gt;0,"KNOWN","REVIEW: new call; refresh sources"))</f>
        <v/>
      </c>
    </row>
    <row r="440" spans="1:18" ht="25" customHeight="1">
      <c r="A440" s="12"/>
      <c r="B440" s="8"/>
      <c r="C440" s="8"/>
      <c r="D440" s="8"/>
      <c r="E440" s="8"/>
      <c r="F440" s="8"/>
      <c r="G440" s="8"/>
      <c r="H440" s="8"/>
      <c r="I440" s="11"/>
      <c r="J440" s="12"/>
      <c r="K440" s="12"/>
      <c r="L440" s="8"/>
      <c r="M440" s="8"/>
      <c r="N440" s="8"/>
      <c r="O440" s="8"/>
      <c r="P440" s="8"/>
      <c r="Q440" s="8">
        <f>IF(B440="","",IF(B440="P","P&amp;10",B440&amp;"D "&amp;C440))</f>
        <v/>
      </c>
      <c r="R440" s="8">
        <f>IF(L440&lt;&gt;"Y","",IF(COUNTIF('DEF_CALL_DECISION_SUPPORT'!$B$1197:$B$1256,SUBSTITUTE(SUBSTITUTE(SUBSTITUTE(E440,"~","~~"),"*","~*"),"?","~?"))&gt;0,"KNOWN","REVIEW: new call; refresh sources"))</f>
        <v/>
      </c>
    </row>
    <row r="441" spans="1:18" ht="25" customHeight="1">
      <c r="A441" s="12"/>
      <c r="B441" s="8"/>
      <c r="C441" s="8"/>
      <c r="D441" s="8"/>
      <c r="E441" s="8"/>
      <c r="F441" s="8"/>
      <c r="G441" s="8"/>
      <c r="H441" s="8"/>
      <c r="I441" s="11"/>
      <c r="J441" s="12"/>
      <c r="K441" s="12"/>
      <c r="L441" s="8"/>
      <c r="M441" s="8"/>
      <c r="N441" s="8"/>
      <c r="O441" s="8"/>
      <c r="P441" s="8"/>
      <c r="Q441" s="8">
        <f>IF(B441="","",IF(B441="P","P&amp;10",B441&amp;"D "&amp;C441))</f>
        <v/>
      </c>
      <c r="R441" s="8">
        <f>IF(L441&lt;&gt;"Y","",IF(COUNTIF('DEF_CALL_DECISION_SUPPORT'!$B$1197:$B$1256,SUBSTITUTE(SUBSTITUTE(SUBSTITUTE(E441,"~","~~"),"*","~*"),"?","~?"))&gt;0,"KNOWN","REVIEW: new call; refresh sources"))</f>
        <v/>
      </c>
    </row>
    <row r="442" spans="1:18" ht="25" customHeight="1">
      <c r="A442" s="12"/>
      <c r="B442" s="8"/>
      <c r="C442" s="8"/>
      <c r="D442" s="8"/>
      <c r="E442" s="8"/>
      <c r="F442" s="8"/>
      <c r="G442" s="8"/>
      <c r="H442" s="8"/>
      <c r="I442" s="11"/>
      <c r="J442" s="12"/>
      <c r="K442" s="12"/>
      <c r="L442" s="8"/>
      <c r="M442" s="8"/>
      <c r="N442" s="8"/>
      <c r="O442" s="8"/>
      <c r="P442" s="8"/>
      <c r="Q442" s="8">
        <f>IF(B442="","",IF(B442="P","P&amp;10",B442&amp;"D "&amp;C442))</f>
        <v/>
      </c>
      <c r="R442" s="8">
        <f>IF(L442&lt;&gt;"Y","",IF(COUNTIF('DEF_CALL_DECISION_SUPPORT'!$B$1197:$B$1256,SUBSTITUTE(SUBSTITUTE(SUBSTITUTE(E442,"~","~~"),"*","~*"),"?","~?"))&gt;0,"KNOWN","REVIEW: new call; refresh sources"))</f>
        <v/>
      </c>
    </row>
    <row r="443" spans="1:18" ht="25" customHeight="1">
      <c r="A443" s="12"/>
      <c r="B443" s="8"/>
      <c r="C443" s="8"/>
      <c r="D443" s="8"/>
      <c r="E443" s="8"/>
      <c r="F443" s="8"/>
      <c r="G443" s="8"/>
      <c r="H443" s="8"/>
      <c r="I443" s="11"/>
      <c r="J443" s="12"/>
      <c r="K443" s="12"/>
      <c r="L443" s="8"/>
      <c r="M443" s="8"/>
      <c r="N443" s="8"/>
      <c r="O443" s="8"/>
      <c r="P443" s="8"/>
      <c r="Q443" s="8">
        <f>IF(B443="","",IF(B443="P","P&amp;10",B443&amp;"D "&amp;C443))</f>
        <v/>
      </c>
      <c r="R443" s="8">
        <f>IF(L443&lt;&gt;"Y","",IF(COUNTIF('DEF_CALL_DECISION_SUPPORT'!$B$1197:$B$1256,SUBSTITUTE(SUBSTITUTE(SUBSTITUTE(E443,"~","~~"),"*","~*"),"?","~?"))&gt;0,"KNOWN","REVIEW: new call; refresh sources"))</f>
        <v/>
      </c>
    </row>
    <row r="444" spans="1:18" ht="25" customHeight="1">
      <c r="A444" s="12"/>
      <c r="B444" s="8"/>
      <c r="C444" s="8"/>
      <c r="D444" s="8"/>
      <c r="E444" s="8"/>
      <c r="F444" s="8"/>
      <c r="G444" s="8"/>
      <c r="H444" s="8"/>
      <c r="I444" s="11"/>
      <c r="J444" s="12"/>
      <c r="K444" s="12"/>
      <c r="L444" s="8"/>
      <c r="M444" s="8"/>
      <c r="N444" s="8"/>
      <c r="O444" s="8"/>
      <c r="P444" s="8"/>
      <c r="Q444" s="8">
        <f>IF(B444="","",IF(B444="P","P&amp;10",B444&amp;"D "&amp;C444))</f>
        <v/>
      </c>
      <c r="R444" s="8">
        <f>IF(L444&lt;&gt;"Y","",IF(COUNTIF('DEF_CALL_DECISION_SUPPORT'!$B$1197:$B$1256,SUBSTITUTE(SUBSTITUTE(SUBSTITUTE(E444,"~","~~"),"*","~*"),"?","~?"))&gt;0,"KNOWN","REVIEW: new call; refresh sources"))</f>
        <v/>
      </c>
    </row>
    <row r="445" spans="1:18" ht="25" customHeight="1">
      <c r="A445" s="12"/>
      <c r="B445" s="8"/>
      <c r="C445" s="8"/>
      <c r="D445" s="8"/>
      <c r="E445" s="8"/>
      <c r="F445" s="8"/>
      <c r="G445" s="8"/>
      <c r="H445" s="8"/>
      <c r="I445" s="11"/>
      <c r="J445" s="12"/>
      <c r="K445" s="12"/>
      <c r="L445" s="8"/>
      <c r="M445" s="8"/>
      <c r="N445" s="8"/>
      <c r="O445" s="8"/>
      <c r="P445" s="8"/>
      <c r="Q445" s="8">
        <f>IF(B445="","",IF(B445="P","P&amp;10",B445&amp;"D "&amp;C445))</f>
        <v/>
      </c>
      <c r="R445" s="8">
        <f>IF(L445&lt;&gt;"Y","",IF(COUNTIF('DEF_CALL_DECISION_SUPPORT'!$B$1197:$B$1256,SUBSTITUTE(SUBSTITUTE(SUBSTITUTE(E445,"~","~~"),"*","~*"),"?","~?"))&gt;0,"KNOWN","REVIEW: new call; refresh sources"))</f>
        <v/>
      </c>
    </row>
    <row r="446" spans="1:18" ht="25" customHeight="1">
      <c r="A446" s="12"/>
      <c r="B446" s="8"/>
      <c r="C446" s="8"/>
      <c r="D446" s="8"/>
      <c r="E446" s="8"/>
      <c r="F446" s="8"/>
      <c r="G446" s="8"/>
      <c r="H446" s="8"/>
      <c r="I446" s="11"/>
      <c r="J446" s="12"/>
      <c r="K446" s="12"/>
      <c r="L446" s="8"/>
      <c r="M446" s="8"/>
      <c r="N446" s="8"/>
      <c r="O446" s="8"/>
      <c r="P446" s="8"/>
      <c r="Q446" s="8">
        <f>IF(B446="","",IF(B446="P","P&amp;10",B446&amp;"D "&amp;C446))</f>
        <v/>
      </c>
      <c r="R446" s="8">
        <f>IF(L446&lt;&gt;"Y","",IF(COUNTIF('DEF_CALL_DECISION_SUPPORT'!$B$1197:$B$1256,SUBSTITUTE(SUBSTITUTE(SUBSTITUTE(E446,"~","~~"),"*","~*"),"?","~?"))&gt;0,"KNOWN","REVIEW: new call; refresh sources"))</f>
        <v/>
      </c>
    </row>
    <row r="447" spans="1:18" ht="25" customHeight="1">
      <c r="A447" s="12"/>
      <c r="B447" s="8"/>
      <c r="C447" s="8"/>
      <c r="D447" s="8"/>
      <c r="E447" s="8"/>
      <c r="F447" s="8"/>
      <c r="G447" s="8"/>
      <c r="H447" s="8"/>
      <c r="I447" s="11"/>
      <c r="J447" s="12"/>
      <c r="K447" s="12"/>
      <c r="L447" s="8"/>
      <c r="M447" s="8"/>
      <c r="N447" s="8"/>
      <c r="O447" s="8"/>
      <c r="P447" s="8"/>
      <c r="Q447" s="8">
        <f>IF(B447="","",IF(B447="P","P&amp;10",B447&amp;"D "&amp;C447))</f>
        <v/>
      </c>
      <c r="R447" s="8">
        <f>IF(L447&lt;&gt;"Y","",IF(COUNTIF('DEF_CALL_DECISION_SUPPORT'!$B$1197:$B$1256,SUBSTITUTE(SUBSTITUTE(SUBSTITUTE(E447,"~","~~"),"*","~*"),"?","~?"))&gt;0,"KNOWN","REVIEW: new call; refresh sources"))</f>
        <v/>
      </c>
    </row>
    <row r="448" spans="1:18" ht="25" customHeight="1">
      <c r="A448" s="12"/>
      <c r="B448" s="8"/>
      <c r="C448" s="8"/>
      <c r="D448" s="8"/>
      <c r="E448" s="8"/>
      <c r="F448" s="8"/>
      <c r="G448" s="8"/>
      <c r="H448" s="8"/>
      <c r="I448" s="11"/>
      <c r="J448" s="12"/>
      <c r="K448" s="12"/>
      <c r="L448" s="8"/>
      <c r="M448" s="8"/>
      <c r="N448" s="8"/>
      <c r="O448" s="8"/>
      <c r="P448" s="8"/>
      <c r="Q448" s="8">
        <f>IF(B448="","",IF(B448="P","P&amp;10",B448&amp;"D "&amp;C448))</f>
        <v/>
      </c>
      <c r="R448" s="8">
        <f>IF(L448&lt;&gt;"Y","",IF(COUNTIF('DEF_CALL_DECISION_SUPPORT'!$B$1197:$B$1256,SUBSTITUTE(SUBSTITUTE(SUBSTITUTE(E448,"~","~~"),"*","~*"),"?","~?"))&gt;0,"KNOWN","REVIEW: new call; refresh sources"))</f>
        <v/>
      </c>
    </row>
    <row r="449" spans="1:18" ht="25" customHeight="1">
      <c r="A449" s="12"/>
      <c r="B449" s="8"/>
      <c r="C449" s="8"/>
      <c r="D449" s="8"/>
      <c r="E449" s="8"/>
      <c r="F449" s="8"/>
      <c r="G449" s="8"/>
      <c r="H449" s="8"/>
      <c r="I449" s="11"/>
      <c r="J449" s="12"/>
      <c r="K449" s="12"/>
      <c r="L449" s="8"/>
      <c r="M449" s="8"/>
      <c r="N449" s="8"/>
      <c r="O449" s="8"/>
      <c r="P449" s="8"/>
      <c r="Q449" s="8">
        <f>IF(B449="","",IF(B449="P","P&amp;10",B449&amp;"D "&amp;C449))</f>
        <v/>
      </c>
      <c r="R449" s="8">
        <f>IF(L449&lt;&gt;"Y","",IF(COUNTIF('DEF_CALL_DECISION_SUPPORT'!$B$1197:$B$1256,SUBSTITUTE(SUBSTITUTE(SUBSTITUTE(E449,"~","~~"),"*","~*"),"?","~?"))&gt;0,"KNOWN","REVIEW: new call; refresh sources"))</f>
        <v/>
      </c>
    </row>
    <row r="450" spans="1:18" ht="25" customHeight="1">
      <c r="A450" s="12"/>
      <c r="B450" s="8"/>
      <c r="C450" s="8"/>
      <c r="D450" s="8"/>
      <c r="E450" s="8"/>
      <c r="F450" s="8"/>
      <c r="G450" s="8"/>
      <c r="H450" s="8"/>
      <c r="I450" s="11"/>
      <c r="J450" s="12"/>
      <c r="K450" s="12"/>
      <c r="L450" s="8"/>
      <c r="M450" s="8"/>
      <c r="N450" s="8"/>
      <c r="O450" s="8"/>
      <c r="P450" s="8"/>
      <c r="Q450" s="8">
        <f>IF(B450="","",IF(B450="P","P&amp;10",B450&amp;"D "&amp;C450))</f>
        <v/>
      </c>
      <c r="R450" s="8">
        <f>IF(L450&lt;&gt;"Y","",IF(COUNTIF('DEF_CALL_DECISION_SUPPORT'!$B$1197:$B$1256,SUBSTITUTE(SUBSTITUTE(SUBSTITUTE(E450,"~","~~"),"*","~*"),"?","~?"))&gt;0,"KNOWN","REVIEW: new call; refresh sources"))</f>
        <v/>
      </c>
    </row>
    <row r="451" spans="1:18" ht="25" customHeight="1">
      <c r="A451" s="12"/>
      <c r="B451" s="8"/>
      <c r="C451" s="8"/>
      <c r="D451" s="8"/>
      <c r="E451" s="8"/>
      <c r="F451" s="8"/>
      <c r="G451" s="8"/>
      <c r="H451" s="8"/>
      <c r="I451" s="11"/>
      <c r="J451" s="12"/>
      <c r="K451" s="12"/>
      <c r="L451" s="8"/>
      <c r="M451" s="8"/>
      <c r="N451" s="8"/>
      <c r="O451" s="8"/>
      <c r="P451" s="8"/>
      <c r="Q451" s="8">
        <f>IF(B451="","",IF(B451="P","P&amp;10",B451&amp;"D "&amp;C451))</f>
        <v/>
      </c>
      <c r="R451" s="8">
        <f>IF(L451&lt;&gt;"Y","",IF(COUNTIF('DEF_CALL_DECISION_SUPPORT'!$B$1197:$B$1256,SUBSTITUTE(SUBSTITUTE(SUBSTITUTE(E451,"~","~~"),"*","~*"),"?","~?"))&gt;0,"KNOWN","REVIEW: new call; refresh sources"))</f>
        <v/>
      </c>
    </row>
    <row r="452" spans="1:18" ht="25" customHeight="1">
      <c r="A452" s="12"/>
      <c r="B452" s="8"/>
      <c r="C452" s="8"/>
      <c r="D452" s="8"/>
      <c r="E452" s="8"/>
      <c r="F452" s="8"/>
      <c r="G452" s="8"/>
      <c r="H452" s="8"/>
      <c r="I452" s="11"/>
      <c r="J452" s="12"/>
      <c r="K452" s="12"/>
      <c r="L452" s="8"/>
      <c r="M452" s="8"/>
      <c r="N452" s="8"/>
      <c r="O452" s="8"/>
      <c r="P452" s="8"/>
      <c r="Q452" s="8">
        <f>IF(B452="","",IF(B452="P","P&amp;10",B452&amp;"D "&amp;C452))</f>
        <v/>
      </c>
      <c r="R452" s="8">
        <f>IF(L452&lt;&gt;"Y","",IF(COUNTIF('DEF_CALL_DECISION_SUPPORT'!$B$1197:$B$1256,SUBSTITUTE(SUBSTITUTE(SUBSTITUTE(E452,"~","~~"),"*","~*"),"?","~?"))&gt;0,"KNOWN","REVIEW: new call; refresh sources"))</f>
        <v/>
      </c>
    </row>
    <row r="453" spans="1:18" ht="25" customHeight="1">
      <c r="A453" s="12"/>
      <c r="B453" s="8"/>
      <c r="C453" s="8"/>
      <c r="D453" s="8"/>
      <c r="E453" s="8"/>
      <c r="F453" s="8"/>
      <c r="G453" s="8"/>
      <c r="H453" s="8"/>
      <c r="I453" s="11"/>
      <c r="J453" s="12"/>
      <c r="K453" s="12"/>
      <c r="L453" s="8"/>
      <c r="M453" s="8"/>
      <c r="N453" s="8"/>
      <c r="O453" s="8"/>
      <c r="P453" s="8"/>
      <c r="Q453" s="8">
        <f>IF(B453="","",IF(B453="P","P&amp;10",B453&amp;"D "&amp;C453))</f>
        <v/>
      </c>
      <c r="R453" s="8">
        <f>IF(L453&lt;&gt;"Y","",IF(COUNTIF('DEF_CALL_DECISION_SUPPORT'!$B$1197:$B$1256,SUBSTITUTE(SUBSTITUTE(SUBSTITUTE(E453,"~","~~"),"*","~*"),"?","~?"))&gt;0,"KNOWN","REVIEW: new call; refresh sources"))</f>
        <v/>
      </c>
    </row>
    <row r="454" spans="1:18" ht="25" customHeight="1">
      <c r="A454" s="12"/>
      <c r="B454" s="8"/>
      <c r="C454" s="8"/>
      <c r="D454" s="8"/>
      <c r="E454" s="8"/>
      <c r="F454" s="8"/>
      <c r="G454" s="8"/>
      <c r="H454" s="8"/>
      <c r="I454" s="11"/>
      <c r="J454" s="12"/>
      <c r="K454" s="12"/>
      <c r="L454" s="8"/>
      <c r="M454" s="8"/>
      <c r="N454" s="8"/>
      <c r="O454" s="8"/>
      <c r="P454" s="8"/>
      <c r="Q454" s="8">
        <f>IF(B454="","",IF(B454="P","P&amp;10",B454&amp;"D "&amp;C454))</f>
        <v/>
      </c>
      <c r="R454" s="8">
        <f>IF(L454&lt;&gt;"Y","",IF(COUNTIF('DEF_CALL_DECISION_SUPPORT'!$B$1197:$B$1256,SUBSTITUTE(SUBSTITUTE(SUBSTITUTE(E454,"~","~~"),"*","~*"),"?","~?"))&gt;0,"KNOWN","REVIEW: new call; refresh sources"))</f>
        <v/>
      </c>
    </row>
    <row r="455" spans="1:18" ht="25" customHeight="1">
      <c r="A455" s="12"/>
      <c r="B455" s="8"/>
      <c r="C455" s="8"/>
      <c r="D455" s="8"/>
      <c r="E455" s="8"/>
      <c r="F455" s="8"/>
      <c r="G455" s="8"/>
      <c r="H455" s="8"/>
      <c r="I455" s="11"/>
      <c r="J455" s="12"/>
      <c r="K455" s="12"/>
      <c r="L455" s="8"/>
      <c r="M455" s="8"/>
      <c r="N455" s="8"/>
      <c r="O455" s="8"/>
      <c r="P455" s="8"/>
      <c r="Q455" s="8">
        <f>IF(B455="","",IF(B455="P","P&amp;10",B455&amp;"D "&amp;C455))</f>
        <v/>
      </c>
      <c r="R455" s="8">
        <f>IF(L455&lt;&gt;"Y","",IF(COUNTIF('DEF_CALL_DECISION_SUPPORT'!$B$1197:$B$1256,SUBSTITUTE(SUBSTITUTE(SUBSTITUTE(E455,"~","~~"),"*","~*"),"?","~?"))&gt;0,"KNOWN","REVIEW: new call; refresh sources"))</f>
        <v/>
      </c>
    </row>
    <row r="456" spans="1:18" ht="25" customHeight="1">
      <c r="A456" s="12"/>
      <c r="B456" s="8"/>
      <c r="C456" s="8"/>
      <c r="D456" s="8"/>
      <c r="E456" s="8"/>
      <c r="F456" s="8"/>
      <c r="G456" s="8"/>
      <c r="H456" s="8"/>
      <c r="I456" s="11"/>
      <c r="J456" s="12"/>
      <c r="K456" s="12"/>
      <c r="L456" s="8"/>
      <c r="M456" s="8"/>
      <c r="N456" s="8"/>
      <c r="O456" s="8"/>
      <c r="P456" s="8"/>
      <c r="Q456" s="8">
        <f>IF(B456="","",IF(B456="P","P&amp;10",B456&amp;"D "&amp;C456))</f>
        <v/>
      </c>
      <c r="R456" s="8">
        <f>IF(L456&lt;&gt;"Y","",IF(COUNTIF('DEF_CALL_DECISION_SUPPORT'!$B$1197:$B$1256,SUBSTITUTE(SUBSTITUTE(SUBSTITUTE(E456,"~","~~"),"*","~*"),"?","~?"))&gt;0,"KNOWN","REVIEW: new call; refresh sources"))</f>
        <v/>
      </c>
    </row>
    <row r="457" spans="1:18" ht="25" customHeight="1">
      <c r="A457" s="12"/>
      <c r="B457" s="8"/>
      <c r="C457" s="8"/>
      <c r="D457" s="8"/>
      <c r="E457" s="8"/>
      <c r="F457" s="8"/>
      <c r="G457" s="8"/>
      <c r="H457" s="8"/>
      <c r="I457" s="11"/>
      <c r="J457" s="12"/>
      <c r="K457" s="12"/>
      <c r="L457" s="8"/>
      <c r="M457" s="8"/>
      <c r="N457" s="8"/>
      <c r="O457" s="8"/>
      <c r="P457" s="8"/>
      <c r="Q457" s="8">
        <f>IF(B457="","",IF(B457="P","P&amp;10",B457&amp;"D "&amp;C457))</f>
        <v/>
      </c>
      <c r="R457" s="8">
        <f>IF(L457&lt;&gt;"Y","",IF(COUNTIF('DEF_CALL_DECISION_SUPPORT'!$B$1197:$B$1256,SUBSTITUTE(SUBSTITUTE(SUBSTITUTE(E457,"~","~~"),"*","~*"),"?","~?"))&gt;0,"KNOWN","REVIEW: new call; refresh sources"))</f>
        <v/>
      </c>
    </row>
    <row r="458" spans="1:18" ht="25" customHeight="1">
      <c r="A458" s="12"/>
      <c r="B458" s="8"/>
      <c r="C458" s="8"/>
      <c r="D458" s="8"/>
      <c r="E458" s="8"/>
      <c r="F458" s="8"/>
      <c r="G458" s="8"/>
      <c r="H458" s="8"/>
      <c r="I458" s="11"/>
      <c r="J458" s="12"/>
      <c r="K458" s="12"/>
      <c r="L458" s="8"/>
      <c r="M458" s="8"/>
      <c r="N458" s="8"/>
      <c r="O458" s="8"/>
      <c r="P458" s="8"/>
      <c r="Q458" s="8">
        <f>IF(B458="","",IF(B458="P","P&amp;10",B458&amp;"D "&amp;C458))</f>
        <v/>
      </c>
      <c r="R458" s="8">
        <f>IF(L458&lt;&gt;"Y","",IF(COUNTIF('DEF_CALL_DECISION_SUPPORT'!$B$1197:$B$1256,SUBSTITUTE(SUBSTITUTE(SUBSTITUTE(E458,"~","~~"),"*","~*"),"?","~?"))&gt;0,"KNOWN","REVIEW: new call; refresh sources"))</f>
        <v/>
      </c>
    </row>
    <row r="459" spans="1:18" ht="25" customHeight="1">
      <c r="A459" s="12"/>
      <c r="B459" s="8"/>
      <c r="C459" s="8"/>
      <c r="D459" s="8"/>
      <c r="E459" s="8"/>
      <c r="F459" s="8"/>
      <c r="G459" s="8"/>
      <c r="H459" s="8"/>
      <c r="I459" s="11"/>
      <c r="J459" s="12"/>
      <c r="K459" s="12"/>
      <c r="L459" s="8"/>
      <c r="M459" s="8"/>
      <c r="N459" s="8"/>
      <c r="O459" s="8"/>
      <c r="P459" s="8"/>
      <c r="Q459" s="8">
        <f>IF(B459="","",IF(B459="P","P&amp;10",B459&amp;"D "&amp;C459))</f>
        <v/>
      </c>
      <c r="R459" s="8">
        <f>IF(L459&lt;&gt;"Y","",IF(COUNTIF('DEF_CALL_DECISION_SUPPORT'!$B$1197:$B$1256,SUBSTITUTE(SUBSTITUTE(SUBSTITUTE(E459,"~","~~"),"*","~*"),"?","~?"))&gt;0,"KNOWN","REVIEW: new call; refresh sources"))</f>
        <v/>
      </c>
    </row>
    <row r="460" spans="1:18" ht="25" customHeight="1">
      <c r="A460" s="12"/>
      <c r="B460" s="8"/>
      <c r="C460" s="8"/>
      <c r="D460" s="8"/>
      <c r="E460" s="8"/>
      <c r="F460" s="8"/>
      <c r="G460" s="8"/>
      <c r="H460" s="8"/>
      <c r="I460" s="11"/>
      <c r="J460" s="12"/>
      <c r="K460" s="12"/>
      <c r="L460" s="8"/>
      <c r="M460" s="8"/>
      <c r="N460" s="8"/>
      <c r="O460" s="8"/>
      <c r="P460" s="8"/>
      <c r="Q460" s="8">
        <f>IF(B460="","",IF(B460="P","P&amp;10",B460&amp;"D "&amp;C460))</f>
        <v/>
      </c>
      <c r="R460" s="8">
        <f>IF(L460&lt;&gt;"Y","",IF(COUNTIF('DEF_CALL_DECISION_SUPPORT'!$B$1197:$B$1256,SUBSTITUTE(SUBSTITUTE(SUBSTITUTE(E460,"~","~~"),"*","~*"),"?","~?"))&gt;0,"KNOWN","REVIEW: new call; refresh sources"))</f>
        <v/>
      </c>
    </row>
    <row r="461" spans="1:18" ht="25" customHeight="1">
      <c r="A461" s="12"/>
      <c r="B461" s="8"/>
      <c r="C461" s="8"/>
      <c r="D461" s="8"/>
      <c r="E461" s="8"/>
      <c r="F461" s="8"/>
      <c r="G461" s="8"/>
      <c r="H461" s="8"/>
      <c r="I461" s="11"/>
      <c r="J461" s="12"/>
      <c r="K461" s="12"/>
      <c r="L461" s="8"/>
      <c r="M461" s="8"/>
      <c r="N461" s="8"/>
      <c r="O461" s="8"/>
      <c r="P461" s="8"/>
      <c r="Q461" s="8">
        <f>IF(B461="","",IF(B461="P","P&amp;10",B461&amp;"D "&amp;C461))</f>
        <v/>
      </c>
      <c r="R461" s="8">
        <f>IF(L461&lt;&gt;"Y","",IF(COUNTIF('DEF_CALL_DECISION_SUPPORT'!$B$1197:$B$1256,SUBSTITUTE(SUBSTITUTE(SUBSTITUTE(E461,"~","~~"),"*","~*"),"?","~?"))&gt;0,"KNOWN","REVIEW: new call; refresh sources"))</f>
        <v/>
      </c>
    </row>
    <row r="462" spans="1:18" ht="25" customHeight="1">
      <c r="A462" s="12"/>
      <c r="B462" s="8"/>
      <c r="C462" s="8"/>
      <c r="D462" s="8"/>
      <c r="E462" s="8"/>
      <c r="F462" s="8"/>
      <c r="G462" s="8"/>
      <c r="H462" s="8"/>
      <c r="I462" s="11"/>
      <c r="J462" s="12"/>
      <c r="K462" s="12"/>
      <c r="L462" s="8"/>
      <c r="M462" s="8"/>
      <c r="N462" s="8"/>
      <c r="O462" s="8"/>
      <c r="P462" s="8"/>
      <c r="Q462" s="8">
        <f>IF(B462="","",IF(B462="P","P&amp;10",B462&amp;"D "&amp;C462))</f>
        <v/>
      </c>
      <c r="R462" s="8">
        <f>IF(L462&lt;&gt;"Y","",IF(COUNTIF('DEF_CALL_DECISION_SUPPORT'!$B$1197:$B$1256,SUBSTITUTE(SUBSTITUTE(SUBSTITUTE(E462,"~","~~"),"*","~*"),"?","~?"))&gt;0,"KNOWN","REVIEW: new call; refresh sources"))</f>
        <v/>
      </c>
    </row>
    <row r="463" spans="1:18" ht="25" customHeight="1">
      <c r="A463" s="12"/>
      <c r="B463" s="8"/>
      <c r="C463" s="8"/>
      <c r="D463" s="8"/>
      <c r="E463" s="8"/>
      <c r="F463" s="8"/>
      <c r="G463" s="8"/>
      <c r="H463" s="8"/>
      <c r="I463" s="11"/>
      <c r="J463" s="12"/>
      <c r="K463" s="12"/>
      <c r="L463" s="8"/>
      <c r="M463" s="8"/>
      <c r="N463" s="8"/>
      <c r="O463" s="8"/>
      <c r="P463" s="8"/>
      <c r="Q463" s="8">
        <f>IF(B463="","",IF(B463="P","P&amp;10",B463&amp;"D "&amp;C463))</f>
        <v/>
      </c>
      <c r="R463" s="8">
        <f>IF(L463&lt;&gt;"Y","",IF(COUNTIF('DEF_CALL_DECISION_SUPPORT'!$B$1197:$B$1256,SUBSTITUTE(SUBSTITUTE(SUBSTITUTE(E463,"~","~~"),"*","~*"),"?","~?"))&gt;0,"KNOWN","REVIEW: new call; refresh sources"))</f>
        <v/>
      </c>
    </row>
    <row r="464" spans="1:18" ht="25" customHeight="1">
      <c r="A464" s="12"/>
      <c r="B464" s="8"/>
      <c r="C464" s="8"/>
      <c r="D464" s="8"/>
      <c r="E464" s="8"/>
      <c r="F464" s="8"/>
      <c r="G464" s="8"/>
      <c r="H464" s="8"/>
      <c r="I464" s="11"/>
      <c r="J464" s="12"/>
      <c r="K464" s="12"/>
      <c r="L464" s="8"/>
      <c r="M464" s="8"/>
      <c r="N464" s="8"/>
      <c r="O464" s="8"/>
      <c r="P464" s="8"/>
      <c r="Q464" s="8">
        <f>IF(B464="","",IF(B464="P","P&amp;10",B464&amp;"D "&amp;C464))</f>
        <v/>
      </c>
      <c r="R464" s="8">
        <f>IF(L464&lt;&gt;"Y","",IF(COUNTIF('DEF_CALL_DECISION_SUPPORT'!$B$1197:$B$1256,SUBSTITUTE(SUBSTITUTE(SUBSTITUTE(E464,"~","~~"),"*","~*"),"?","~?"))&gt;0,"KNOWN","REVIEW: new call; refresh sources"))</f>
        <v/>
      </c>
    </row>
    <row r="465" spans="1:18" ht="25" customHeight="1">
      <c r="A465" s="12"/>
      <c r="B465" s="8"/>
      <c r="C465" s="8"/>
      <c r="D465" s="8"/>
      <c r="E465" s="8"/>
      <c r="F465" s="8"/>
      <c r="G465" s="8"/>
      <c r="H465" s="8"/>
      <c r="I465" s="11"/>
      <c r="J465" s="12"/>
      <c r="K465" s="12"/>
      <c r="L465" s="8"/>
      <c r="M465" s="8"/>
      <c r="N465" s="8"/>
      <c r="O465" s="8"/>
      <c r="P465" s="8"/>
      <c r="Q465" s="8">
        <f>IF(B465="","",IF(B465="P","P&amp;10",B465&amp;"D "&amp;C465))</f>
        <v/>
      </c>
      <c r="R465" s="8">
        <f>IF(L465&lt;&gt;"Y","",IF(COUNTIF('DEF_CALL_DECISION_SUPPORT'!$B$1197:$B$1256,SUBSTITUTE(SUBSTITUTE(SUBSTITUTE(E465,"~","~~"),"*","~*"),"?","~?"))&gt;0,"KNOWN","REVIEW: new call; refresh sources"))</f>
        <v/>
      </c>
    </row>
    <row r="466" spans="1:18" ht="25" customHeight="1">
      <c r="A466" s="12"/>
      <c r="B466" s="8"/>
      <c r="C466" s="8"/>
      <c r="D466" s="8"/>
      <c r="E466" s="8"/>
      <c r="F466" s="8"/>
      <c r="G466" s="8"/>
      <c r="H466" s="8"/>
      <c r="I466" s="11"/>
      <c r="J466" s="12"/>
      <c r="K466" s="12"/>
      <c r="L466" s="8"/>
      <c r="M466" s="8"/>
      <c r="N466" s="8"/>
      <c r="O466" s="8"/>
      <c r="P466" s="8"/>
      <c r="Q466" s="8">
        <f>IF(B466="","",IF(B466="P","P&amp;10",B466&amp;"D "&amp;C466))</f>
        <v/>
      </c>
      <c r="R466" s="8">
        <f>IF(L466&lt;&gt;"Y","",IF(COUNTIF('DEF_CALL_DECISION_SUPPORT'!$B$1197:$B$1256,SUBSTITUTE(SUBSTITUTE(SUBSTITUTE(E466,"~","~~"),"*","~*"),"?","~?"))&gt;0,"KNOWN","REVIEW: new call; refresh sources"))</f>
        <v/>
      </c>
    </row>
    <row r="467" spans="1:18" ht="25" customHeight="1">
      <c r="A467" s="12"/>
      <c r="B467" s="8"/>
      <c r="C467" s="8"/>
      <c r="D467" s="8"/>
      <c r="E467" s="8"/>
      <c r="F467" s="8"/>
      <c r="G467" s="8"/>
      <c r="H467" s="8"/>
      <c r="I467" s="11"/>
      <c r="J467" s="12"/>
      <c r="K467" s="12"/>
      <c r="L467" s="8"/>
      <c r="M467" s="8"/>
      <c r="N467" s="8"/>
      <c r="O467" s="8"/>
      <c r="P467" s="8"/>
      <c r="Q467" s="8">
        <f>IF(B467="","",IF(B467="P","P&amp;10",B467&amp;"D "&amp;C467))</f>
        <v/>
      </c>
      <c r="R467" s="8">
        <f>IF(L467&lt;&gt;"Y","",IF(COUNTIF('DEF_CALL_DECISION_SUPPORT'!$B$1197:$B$1256,SUBSTITUTE(SUBSTITUTE(SUBSTITUTE(E467,"~","~~"),"*","~*"),"?","~?"))&gt;0,"KNOWN","REVIEW: new call; refresh sources"))</f>
        <v/>
      </c>
    </row>
    <row r="468" spans="1:18" ht="25" customHeight="1">
      <c r="A468" s="12"/>
      <c r="B468" s="8"/>
      <c r="C468" s="8"/>
      <c r="D468" s="8"/>
      <c r="E468" s="8"/>
      <c r="F468" s="8"/>
      <c r="G468" s="8"/>
      <c r="H468" s="8"/>
      <c r="I468" s="11"/>
      <c r="J468" s="12"/>
      <c r="K468" s="12"/>
      <c r="L468" s="8"/>
      <c r="M468" s="8"/>
      <c r="N468" s="8"/>
      <c r="O468" s="8"/>
      <c r="P468" s="8"/>
      <c r="Q468" s="8">
        <f>IF(B468="","",IF(B468="P","P&amp;10",B468&amp;"D "&amp;C468))</f>
        <v/>
      </c>
      <c r="R468" s="8">
        <f>IF(L468&lt;&gt;"Y","",IF(COUNTIF('DEF_CALL_DECISION_SUPPORT'!$B$1197:$B$1256,SUBSTITUTE(SUBSTITUTE(SUBSTITUTE(E468,"~","~~"),"*","~*"),"?","~?"))&gt;0,"KNOWN","REVIEW: new call; refresh sources"))</f>
        <v/>
      </c>
    </row>
    <row r="469" spans="1:18" ht="25" customHeight="1">
      <c r="A469" s="12"/>
      <c r="B469" s="8"/>
      <c r="C469" s="8"/>
      <c r="D469" s="8"/>
      <c r="E469" s="8"/>
      <c r="F469" s="8"/>
      <c r="G469" s="8"/>
      <c r="H469" s="8"/>
      <c r="I469" s="11"/>
      <c r="J469" s="12"/>
      <c r="K469" s="12"/>
      <c r="L469" s="8"/>
      <c r="M469" s="8"/>
      <c r="N469" s="8"/>
      <c r="O469" s="8"/>
      <c r="P469" s="8"/>
      <c r="Q469" s="8">
        <f>IF(B469="","",IF(B469="P","P&amp;10",B469&amp;"D "&amp;C469))</f>
        <v/>
      </c>
      <c r="R469" s="8">
        <f>IF(L469&lt;&gt;"Y","",IF(COUNTIF('DEF_CALL_DECISION_SUPPORT'!$B$1197:$B$1256,SUBSTITUTE(SUBSTITUTE(SUBSTITUTE(E469,"~","~~"),"*","~*"),"?","~?"))&gt;0,"KNOWN","REVIEW: new call; refresh sources"))</f>
        <v/>
      </c>
    </row>
    <row r="470" spans="1:18" ht="25" customHeight="1">
      <c r="A470" s="12"/>
      <c r="B470" s="8"/>
      <c r="C470" s="8"/>
      <c r="D470" s="8"/>
      <c r="E470" s="8"/>
      <c r="F470" s="8"/>
      <c r="G470" s="8"/>
      <c r="H470" s="8"/>
      <c r="I470" s="11"/>
      <c r="J470" s="12"/>
      <c r="K470" s="12"/>
      <c r="L470" s="8"/>
      <c r="M470" s="8"/>
      <c r="N470" s="8"/>
      <c r="O470" s="8"/>
      <c r="P470" s="8"/>
      <c r="Q470" s="8">
        <f>IF(B470="","",IF(B470="P","P&amp;10",B470&amp;"D "&amp;C470))</f>
        <v/>
      </c>
      <c r="R470" s="8">
        <f>IF(L470&lt;&gt;"Y","",IF(COUNTIF('DEF_CALL_DECISION_SUPPORT'!$B$1197:$B$1256,SUBSTITUTE(SUBSTITUTE(SUBSTITUTE(E470,"~","~~"),"*","~*"),"?","~?"))&gt;0,"KNOWN","REVIEW: new call; refresh sources"))</f>
        <v/>
      </c>
    </row>
    <row r="471" spans="1:18" ht="25" customHeight="1">
      <c r="A471" s="12"/>
      <c r="B471" s="8"/>
      <c r="C471" s="8"/>
      <c r="D471" s="8"/>
      <c r="E471" s="8"/>
      <c r="F471" s="8"/>
      <c r="G471" s="8"/>
      <c r="H471" s="8"/>
      <c r="I471" s="11"/>
      <c r="J471" s="12"/>
      <c r="K471" s="12"/>
      <c r="L471" s="8"/>
      <c r="M471" s="8"/>
      <c r="N471" s="8"/>
      <c r="O471" s="8"/>
      <c r="P471" s="8"/>
      <c r="Q471" s="8">
        <f>IF(B471="","",IF(B471="P","P&amp;10",B471&amp;"D "&amp;C471))</f>
        <v/>
      </c>
      <c r="R471" s="8">
        <f>IF(L471&lt;&gt;"Y","",IF(COUNTIF('DEF_CALL_DECISION_SUPPORT'!$B$1197:$B$1256,SUBSTITUTE(SUBSTITUTE(SUBSTITUTE(E471,"~","~~"),"*","~*"),"?","~?"))&gt;0,"KNOWN","REVIEW: new call; refresh sources"))</f>
        <v/>
      </c>
    </row>
    <row r="472" spans="1:18" ht="25" customHeight="1">
      <c r="A472" s="12"/>
      <c r="B472" s="8"/>
      <c r="C472" s="8"/>
      <c r="D472" s="8"/>
      <c r="E472" s="8"/>
      <c r="F472" s="8"/>
      <c r="G472" s="8"/>
      <c r="H472" s="8"/>
      <c r="I472" s="11"/>
      <c r="J472" s="12"/>
      <c r="K472" s="12"/>
      <c r="L472" s="8"/>
      <c r="M472" s="8"/>
      <c r="N472" s="8"/>
      <c r="O472" s="8"/>
      <c r="P472" s="8"/>
      <c r="Q472" s="8">
        <f>IF(B472="","",IF(B472="P","P&amp;10",B472&amp;"D "&amp;C472))</f>
        <v/>
      </c>
      <c r="R472" s="8">
        <f>IF(L472&lt;&gt;"Y","",IF(COUNTIF('DEF_CALL_DECISION_SUPPORT'!$B$1197:$B$1256,SUBSTITUTE(SUBSTITUTE(SUBSTITUTE(E472,"~","~~"),"*","~*"),"?","~?"))&gt;0,"KNOWN","REVIEW: new call; refresh sources"))</f>
        <v/>
      </c>
    </row>
    <row r="473" spans="1:18" ht="25" customHeight="1">
      <c r="A473" s="12"/>
      <c r="B473" s="8"/>
      <c r="C473" s="8"/>
      <c r="D473" s="8"/>
      <c r="E473" s="8"/>
      <c r="F473" s="8"/>
      <c r="G473" s="8"/>
      <c r="H473" s="8"/>
      <c r="I473" s="11"/>
      <c r="J473" s="12"/>
      <c r="K473" s="12"/>
      <c r="L473" s="8"/>
      <c r="M473" s="8"/>
      <c r="N473" s="8"/>
      <c r="O473" s="8"/>
      <c r="P473" s="8"/>
      <c r="Q473" s="8">
        <f>IF(B473="","",IF(B473="P","P&amp;10",B473&amp;"D "&amp;C473))</f>
        <v/>
      </c>
      <c r="R473" s="8">
        <f>IF(L473&lt;&gt;"Y","",IF(COUNTIF('DEF_CALL_DECISION_SUPPORT'!$B$1197:$B$1256,SUBSTITUTE(SUBSTITUTE(SUBSTITUTE(E473,"~","~~"),"*","~*"),"?","~?"))&gt;0,"KNOWN","REVIEW: new call; refresh sources"))</f>
        <v/>
      </c>
    </row>
    <row r="474" spans="1:18" ht="25" customHeight="1">
      <c r="A474" s="12"/>
      <c r="B474" s="8"/>
      <c r="C474" s="8"/>
      <c r="D474" s="8"/>
      <c r="E474" s="8"/>
      <c r="F474" s="8"/>
      <c r="G474" s="8"/>
      <c r="H474" s="8"/>
      <c r="I474" s="11"/>
      <c r="J474" s="12"/>
      <c r="K474" s="12"/>
      <c r="L474" s="8"/>
      <c r="M474" s="8"/>
      <c r="N474" s="8"/>
      <c r="O474" s="8"/>
      <c r="P474" s="8"/>
      <c r="Q474" s="8">
        <f>IF(B474="","",IF(B474="P","P&amp;10",B474&amp;"D "&amp;C474))</f>
        <v/>
      </c>
      <c r="R474" s="8">
        <f>IF(L474&lt;&gt;"Y","",IF(COUNTIF('DEF_CALL_DECISION_SUPPORT'!$B$1197:$B$1256,SUBSTITUTE(SUBSTITUTE(SUBSTITUTE(E474,"~","~~"),"*","~*"),"?","~?"))&gt;0,"KNOWN","REVIEW: new call; refresh sources"))</f>
        <v/>
      </c>
    </row>
    <row r="475" spans="1:18" ht="25" customHeight="1">
      <c r="A475" s="12"/>
      <c r="B475" s="8"/>
      <c r="C475" s="8"/>
      <c r="D475" s="8"/>
      <c r="E475" s="8"/>
      <c r="F475" s="8"/>
      <c r="G475" s="8"/>
      <c r="H475" s="8"/>
      <c r="I475" s="11"/>
      <c r="J475" s="12"/>
      <c r="K475" s="12"/>
      <c r="L475" s="8"/>
      <c r="M475" s="8"/>
      <c r="N475" s="8"/>
      <c r="O475" s="8"/>
      <c r="P475" s="8"/>
      <c r="Q475" s="8">
        <f>IF(B475="","",IF(B475="P","P&amp;10",B475&amp;"D "&amp;C475))</f>
        <v/>
      </c>
      <c r="R475" s="8">
        <f>IF(L475&lt;&gt;"Y","",IF(COUNTIF('DEF_CALL_DECISION_SUPPORT'!$B$1197:$B$1256,SUBSTITUTE(SUBSTITUTE(SUBSTITUTE(E475,"~","~~"),"*","~*"),"?","~?"))&gt;0,"KNOWN","REVIEW: new call; refresh sources"))</f>
        <v/>
      </c>
    </row>
    <row r="476" spans="1:18" ht="25" customHeight="1">
      <c r="A476" s="12"/>
      <c r="B476" s="8"/>
      <c r="C476" s="8"/>
      <c r="D476" s="8"/>
      <c r="E476" s="8"/>
      <c r="F476" s="8"/>
      <c r="G476" s="8"/>
      <c r="H476" s="8"/>
      <c r="I476" s="11"/>
      <c r="J476" s="12"/>
      <c r="K476" s="12"/>
      <c r="L476" s="8"/>
      <c r="M476" s="8"/>
      <c r="N476" s="8"/>
      <c r="O476" s="8"/>
      <c r="P476" s="8"/>
      <c r="Q476" s="8">
        <f>IF(B476="","",IF(B476="P","P&amp;10",B476&amp;"D "&amp;C476))</f>
        <v/>
      </c>
      <c r="R476" s="8">
        <f>IF(L476&lt;&gt;"Y","",IF(COUNTIF('DEF_CALL_DECISION_SUPPORT'!$B$1197:$B$1256,SUBSTITUTE(SUBSTITUTE(SUBSTITUTE(E476,"~","~~"),"*","~*"),"?","~?"))&gt;0,"KNOWN","REVIEW: new call; refresh sources"))</f>
        <v/>
      </c>
    </row>
    <row r="477" spans="1:18" ht="25" customHeight="1">
      <c r="A477" s="12"/>
      <c r="B477" s="8"/>
      <c r="C477" s="8"/>
      <c r="D477" s="8"/>
      <c r="E477" s="8"/>
      <c r="F477" s="8"/>
      <c r="G477" s="8"/>
      <c r="H477" s="8"/>
      <c r="I477" s="11"/>
      <c r="J477" s="12"/>
      <c r="K477" s="12"/>
      <c r="L477" s="8"/>
      <c r="M477" s="8"/>
      <c r="N477" s="8"/>
      <c r="O477" s="8"/>
      <c r="P477" s="8"/>
      <c r="Q477" s="8">
        <f>IF(B477="","",IF(B477="P","P&amp;10",B477&amp;"D "&amp;C477))</f>
        <v/>
      </c>
      <c r="R477" s="8">
        <f>IF(L477&lt;&gt;"Y","",IF(COUNTIF('DEF_CALL_DECISION_SUPPORT'!$B$1197:$B$1256,SUBSTITUTE(SUBSTITUTE(SUBSTITUTE(E477,"~","~~"),"*","~*"),"?","~?"))&gt;0,"KNOWN","REVIEW: new call; refresh sources"))</f>
        <v/>
      </c>
    </row>
    <row r="478" spans="1:18" ht="25" customHeight="1">
      <c r="A478" s="12"/>
      <c r="B478" s="8"/>
      <c r="C478" s="8"/>
      <c r="D478" s="8"/>
      <c r="E478" s="8"/>
      <c r="F478" s="8"/>
      <c r="G478" s="8"/>
      <c r="H478" s="8"/>
      <c r="I478" s="11"/>
      <c r="J478" s="12"/>
      <c r="K478" s="12"/>
      <c r="L478" s="8"/>
      <c r="M478" s="8"/>
      <c r="N478" s="8"/>
      <c r="O478" s="8"/>
      <c r="P478" s="8"/>
      <c r="Q478" s="8">
        <f>IF(B478="","",IF(B478="P","P&amp;10",B478&amp;"D "&amp;C478))</f>
        <v/>
      </c>
      <c r="R478" s="8">
        <f>IF(L478&lt;&gt;"Y","",IF(COUNTIF('DEF_CALL_DECISION_SUPPORT'!$B$1197:$B$1256,SUBSTITUTE(SUBSTITUTE(SUBSTITUTE(E478,"~","~~"),"*","~*"),"?","~?"))&gt;0,"KNOWN","REVIEW: new call; refresh sources"))</f>
        <v/>
      </c>
    </row>
    <row r="479" spans="1:18" ht="25" customHeight="1">
      <c r="A479" s="12"/>
      <c r="B479" s="8"/>
      <c r="C479" s="8"/>
      <c r="D479" s="8"/>
      <c r="E479" s="8"/>
      <c r="F479" s="8"/>
      <c r="G479" s="8"/>
      <c r="H479" s="8"/>
      <c r="I479" s="11"/>
      <c r="J479" s="12"/>
      <c r="K479" s="12"/>
      <c r="L479" s="8"/>
      <c r="M479" s="8"/>
      <c r="N479" s="8"/>
      <c r="O479" s="8"/>
      <c r="P479" s="8"/>
      <c r="Q479" s="8">
        <f>IF(B479="","",IF(B479="P","P&amp;10",B479&amp;"D "&amp;C479))</f>
        <v/>
      </c>
      <c r="R479" s="8">
        <f>IF(L479&lt;&gt;"Y","",IF(COUNTIF('DEF_CALL_DECISION_SUPPORT'!$B$1197:$B$1256,SUBSTITUTE(SUBSTITUTE(SUBSTITUTE(E479,"~","~~"),"*","~*"),"?","~?"))&gt;0,"KNOWN","REVIEW: new call; refresh sources"))</f>
        <v/>
      </c>
    </row>
    <row r="480" spans="1:18" ht="25" customHeight="1">
      <c r="A480" s="12"/>
      <c r="B480" s="8"/>
      <c r="C480" s="8"/>
      <c r="D480" s="8"/>
      <c r="E480" s="8"/>
      <c r="F480" s="8"/>
      <c r="G480" s="8"/>
      <c r="H480" s="8"/>
      <c r="I480" s="11"/>
      <c r="J480" s="12"/>
      <c r="K480" s="12"/>
      <c r="L480" s="8"/>
      <c r="M480" s="8"/>
      <c r="N480" s="8"/>
      <c r="O480" s="8"/>
      <c r="P480" s="8"/>
      <c r="Q480" s="8">
        <f>IF(B480="","",IF(B480="P","P&amp;10",B480&amp;"D "&amp;C480))</f>
        <v/>
      </c>
      <c r="R480" s="8">
        <f>IF(L480&lt;&gt;"Y","",IF(COUNTIF('DEF_CALL_DECISION_SUPPORT'!$B$1197:$B$1256,SUBSTITUTE(SUBSTITUTE(SUBSTITUTE(E480,"~","~~"),"*","~*"),"?","~?"))&gt;0,"KNOWN","REVIEW: new call; refresh sources"))</f>
        <v/>
      </c>
    </row>
    <row r="481" spans="1:18" ht="25" customHeight="1">
      <c r="A481" s="12"/>
      <c r="B481" s="8"/>
      <c r="C481" s="8"/>
      <c r="D481" s="8"/>
      <c r="E481" s="8"/>
      <c r="F481" s="8"/>
      <c r="G481" s="8"/>
      <c r="H481" s="8"/>
      <c r="I481" s="11"/>
      <c r="J481" s="12"/>
      <c r="K481" s="12"/>
      <c r="L481" s="8"/>
      <c r="M481" s="8"/>
      <c r="N481" s="8"/>
      <c r="O481" s="8"/>
      <c r="P481" s="8"/>
      <c r="Q481" s="8">
        <f>IF(B481="","",IF(B481="P","P&amp;10",B481&amp;"D "&amp;C481))</f>
        <v/>
      </c>
      <c r="R481" s="8">
        <f>IF(L481&lt;&gt;"Y","",IF(COUNTIF('DEF_CALL_DECISION_SUPPORT'!$B$1197:$B$1256,SUBSTITUTE(SUBSTITUTE(SUBSTITUTE(E481,"~","~~"),"*","~*"),"?","~?"))&gt;0,"KNOWN","REVIEW: new call; refresh sources"))</f>
        <v/>
      </c>
    </row>
    <row r="482" spans="1:18" ht="25" customHeight="1">
      <c r="A482" s="12"/>
      <c r="B482" s="8"/>
      <c r="C482" s="8"/>
      <c r="D482" s="8"/>
      <c r="E482" s="8"/>
      <c r="F482" s="8"/>
      <c r="G482" s="8"/>
      <c r="H482" s="8"/>
      <c r="I482" s="11"/>
      <c r="J482" s="12"/>
      <c r="K482" s="12"/>
      <c r="L482" s="8"/>
      <c r="M482" s="8"/>
      <c r="N482" s="8"/>
      <c r="O482" s="8"/>
      <c r="P482" s="8"/>
      <c r="Q482" s="8">
        <f>IF(B482="","",IF(B482="P","P&amp;10",B482&amp;"D "&amp;C482))</f>
        <v/>
      </c>
      <c r="R482" s="8">
        <f>IF(L482&lt;&gt;"Y","",IF(COUNTIF('DEF_CALL_DECISION_SUPPORT'!$B$1197:$B$1256,SUBSTITUTE(SUBSTITUTE(SUBSTITUTE(E482,"~","~~"),"*","~*"),"?","~?"))&gt;0,"KNOWN","REVIEW: new call; refresh sources"))</f>
        <v/>
      </c>
    </row>
    <row r="483" spans="1:18" ht="25" customHeight="1">
      <c r="A483" s="12"/>
      <c r="B483" s="8"/>
      <c r="C483" s="8"/>
      <c r="D483" s="8"/>
      <c r="E483" s="8"/>
      <c r="F483" s="8"/>
      <c r="G483" s="8"/>
      <c r="H483" s="8"/>
      <c r="I483" s="11"/>
      <c r="J483" s="12"/>
      <c r="K483" s="12"/>
      <c r="L483" s="8"/>
      <c r="M483" s="8"/>
      <c r="N483" s="8"/>
      <c r="O483" s="8"/>
      <c r="P483" s="8"/>
      <c r="Q483" s="8">
        <f>IF(B483="","",IF(B483="P","P&amp;10",B483&amp;"D "&amp;C483))</f>
        <v/>
      </c>
      <c r="R483" s="8">
        <f>IF(L483&lt;&gt;"Y","",IF(COUNTIF('DEF_CALL_DECISION_SUPPORT'!$B$1197:$B$1256,SUBSTITUTE(SUBSTITUTE(SUBSTITUTE(E483,"~","~~"),"*","~*"),"?","~?"))&gt;0,"KNOWN","REVIEW: new call; refresh sources"))</f>
        <v/>
      </c>
    </row>
    <row r="484" spans="1:18" ht="25" customHeight="1">
      <c r="A484" s="12"/>
      <c r="B484" s="8"/>
      <c r="C484" s="8"/>
      <c r="D484" s="8"/>
      <c r="E484" s="8"/>
      <c r="F484" s="8"/>
      <c r="G484" s="8"/>
      <c r="H484" s="8"/>
      <c r="I484" s="11"/>
      <c r="J484" s="12"/>
      <c r="K484" s="12"/>
      <c r="L484" s="8"/>
      <c r="M484" s="8"/>
      <c r="N484" s="8"/>
      <c r="O484" s="8"/>
      <c r="P484" s="8"/>
      <c r="Q484" s="8">
        <f>IF(B484="","",IF(B484="P","P&amp;10",B484&amp;"D "&amp;C484))</f>
        <v/>
      </c>
      <c r="R484" s="8">
        <f>IF(L484&lt;&gt;"Y","",IF(COUNTIF('DEF_CALL_DECISION_SUPPORT'!$B$1197:$B$1256,SUBSTITUTE(SUBSTITUTE(SUBSTITUTE(E484,"~","~~"),"*","~*"),"?","~?"))&gt;0,"KNOWN","REVIEW: new call; refresh sources"))</f>
        <v/>
      </c>
    </row>
    <row r="485" spans="1:18" ht="25" customHeight="1">
      <c r="A485" s="12"/>
      <c r="B485" s="8"/>
      <c r="C485" s="8"/>
      <c r="D485" s="8"/>
      <c r="E485" s="8"/>
      <c r="F485" s="8"/>
      <c r="G485" s="8"/>
      <c r="H485" s="8"/>
      <c r="I485" s="11"/>
      <c r="J485" s="12"/>
      <c r="K485" s="12"/>
      <c r="L485" s="8"/>
      <c r="M485" s="8"/>
      <c r="N485" s="8"/>
      <c r="O485" s="8"/>
      <c r="P485" s="8"/>
      <c r="Q485" s="8">
        <f>IF(B485="","",IF(B485="P","P&amp;10",B485&amp;"D "&amp;C485))</f>
        <v/>
      </c>
      <c r="R485" s="8">
        <f>IF(L485&lt;&gt;"Y","",IF(COUNTIF('DEF_CALL_DECISION_SUPPORT'!$B$1197:$B$1256,SUBSTITUTE(SUBSTITUTE(SUBSTITUTE(E485,"~","~~"),"*","~*"),"?","~?"))&gt;0,"KNOWN","REVIEW: new call; refresh sources"))</f>
        <v/>
      </c>
    </row>
    <row r="486" spans="1:18" ht="25" customHeight="1">
      <c r="A486" s="12"/>
      <c r="B486" s="8"/>
      <c r="C486" s="8"/>
      <c r="D486" s="8"/>
      <c r="E486" s="8"/>
      <c r="F486" s="8"/>
      <c r="G486" s="8"/>
      <c r="H486" s="8"/>
      <c r="I486" s="11"/>
      <c r="J486" s="12"/>
      <c r="K486" s="12"/>
      <c r="L486" s="8"/>
      <c r="M486" s="8"/>
      <c r="N486" s="8"/>
      <c r="O486" s="8"/>
      <c r="P486" s="8"/>
      <c r="Q486" s="8">
        <f>IF(B486="","",IF(B486="P","P&amp;10",B486&amp;"D "&amp;C486))</f>
        <v/>
      </c>
      <c r="R486" s="8">
        <f>IF(L486&lt;&gt;"Y","",IF(COUNTIF('DEF_CALL_DECISION_SUPPORT'!$B$1197:$B$1256,SUBSTITUTE(SUBSTITUTE(SUBSTITUTE(E486,"~","~~"),"*","~*"),"?","~?"))&gt;0,"KNOWN","REVIEW: new call; refresh sources"))</f>
        <v/>
      </c>
    </row>
    <row r="487" spans="1:18" ht="25" customHeight="1">
      <c r="A487" s="12"/>
      <c r="B487" s="8"/>
      <c r="C487" s="8"/>
      <c r="D487" s="8"/>
      <c r="E487" s="8"/>
      <c r="F487" s="8"/>
      <c r="G487" s="8"/>
      <c r="H487" s="8"/>
      <c r="I487" s="11"/>
      <c r="J487" s="12"/>
      <c r="K487" s="12"/>
      <c r="L487" s="8"/>
      <c r="M487" s="8"/>
      <c r="N487" s="8"/>
      <c r="O487" s="8"/>
      <c r="P487" s="8"/>
      <c r="Q487" s="8">
        <f>IF(B487="","",IF(B487="P","P&amp;10",B487&amp;"D "&amp;C487))</f>
        <v/>
      </c>
      <c r="R487" s="8">
        <f>IF(L487&lt;&gt;"Y","",IF(COUNTIF('DEF_CALL_DECISION_SUPPORT'!$B$1197:$B$1256,SUBSTITUTE(SUBSTITUTE(SUBSTITUTE(E487,"~","~~"),"*","~*"),"?","~?"))&gt;0,"KNOWN","REVIEW: new call; refresh sources"))</f>
        <v/>
      </c>
    </row>
    <row r="488" spans="1:18" ht="25" customHeight="1">
      <c r="A488" s="12"/>
      <c r="B488" s="8"/>
      <c r="C488" s="8"/>
      <c r="D488" s="8"/>
      <c r="E488" s="8"/>
      <c r="F488" s="8"/>
      <c r="G488" s="8"/>
      <c r="H488" s="8"/>
      <c r="I488" s="11"/>
      <c r="J488" s="12"/>
      <c r="K488" s="12"/>
      <c r="L488" s="8"/>
      <c r="M488" s="8"/>
      <c r="N488" s="8"/>
      <c r="O488" s="8"/>
      <c r="P488" s="8"/>
      <c r="Q488" s="8">
        <f>IF(B488="","",IF(B488="P","P&amp;10",B488&amp;"D "&amp;C488))</f>
        <v/>
      </c>
      <c r="R488" s="8">
        <f>IF(L488&lt;&gt;"Y","",IF(COUNTIF('DEF_CALL_DECISION_SUPPORT'!$B$1197:$B$1256,SUBSTITUTE(SUBSTITUTE(SUBSTITUTE(E488,"~","~~"),"*","~*"),"?","~?"))&gt;0,"KNOWN","REVIEW: new call; refresh sources"))</f>
        <v/>
      </c>
    </row>
    <row r="489" spans="1:18" ht="25" customHeight="1">
      <c r="A489" s="12"/>
      <c r="B489" s="8"/>
      <c r="C489" s="8"/>
      <c r="D489" s="8"/>
      <c r="E489" s="8"/>
      <c r="F489" s="8"/>
      <c r="G489" s="8"/>
      <c r="H489" s="8"/>
      <c r="I489" s="11"/>
      <c r="J489" s="12"/>
      <c r="K489" s="12"/>
      <c r="L489" s="8"/>
      <c r="M489" s="8"/>
      <c r="N489" s="8"/>
      <c r="O489" s="8"/>
      <c r="P489" s="8"/>
      <c r="Q489" s="8">
        <f>IF(B489="","",IF(B489="P","P&amp;10",B489&amp;"D "&amp;C489))</f>
        <v/>
      </c>
      <c r="R489" s="8">
        <f>IF(L489&lt;&gt;"Y","",IF(COUNTIF('DEF_CALL_DECISION_SUPPORT'!$B$1197:$B$1256,SUBSTITUTE(SUBSTITUTE(SUBSTITUTE(E489,"~","~~"),"*","~*"),"?","~?"))&gt;0,"KNOWN","REVIEW: new call; refresh sources"))</f>
        <v/>
      </c>
    </row>
    <row r="490" spans="1:18" ht="25" customHeight="1">
      <c r="A490" s="12"/>
      <c r="B490" s="8"/>
      <c r="C490" s="8"/>
      <c r="D490" s="8"/>
      <c r="E490" s="8"/>
      <c r="F490" s="8"/>
      <c r="G490" s="8"/>
      <c r="H490" s="8"/>
      <c r="I490" s="11"/>
      <c r="J490" s="12"/>
      <c r="K490" s="12"/>
      <c r="L490" s="8"/>
      <c r="M490" s="8"/>
      <c r="N490" s="8"/>
      <c r="O490" s="8"/>
      <c r="P490" s="8"/>
      <c r="Q490" s="8">
        <f>IF(B490="","",IF(B490="P","P&amp;10",B490&amp;"D "&amp;C490))</f>
        <v/>
      </c>
      <c r="R490" s="8">
        <f>IF(L490&lt;&gt;"Y","",IF(COUNTIF('DEF_CALL_DECISION_SUPPORT'!$B$1197:$B$1256,SUBSTITUTE(SUBSTITUTE(SUBSTITUTE(E490,"~","~~"),"*","~*"),"?","~?"))&gt;0,"KNOWN","REVIEW: new call; refresh sources"))</f>
        <v/>
      </c>
    </row>
    <row r="491" spans="1:18" ht="25" customHeight="1">
      <c r="A491" s="12"/>
      <c r="B491" s="8"/>
      <c r="C491" s="8"/>
      <c r="D491" s="8"/>
      <c r="E491" s="8"/>
      <c r="F491" s="8"/>
      <c r="G491" s="8"/>
      <c r="H491" s="8"/>
      <c r="I491" s="11"/>
      <c r="J491" s="12"/>
      <c r="K491" s="12"/>
      <c r="L491" s="8"/>
      <c r="M491" s="8"/>
      <c r="N491" s="8"/>
      <c r="O491" s="8"/>
      <c r="P491" s="8"/>
      <c r="Q491" s="8">
        <f>IF(B491="","",IF(B491="P","P&amp;10",B491&amp;"D "&amp;C491))</f>
        <v/>
      </c>
      <c r="R491" s="8">
        <f>IF(L491&lt;&gt;"Y","",IF(COUNTIF('DEF_CALL_DECISION_SUPPORT'!$B$1197:$B$1256,SUBSTITUTE(SUBSTITUTE(SUBSTITUTE(E491,"~","~~"),"*","~*"),"?","~?"))&gt;0,"KNOWN","REVIEW: new call; refresh sources"))</f>
        <v/>
      </c>
    </row>
    <row r="492" spans="1:18" ht="25" customHeight="1">
      <c r="A492" s="12"/>
      <c r="B492" s="8"/>
      <c r="C492" s="8"/>
      <c r="D492" s="8"/>
      <c r="E492" s="8"/>
      <c r="F492" s="8"/>
      <c r="G492" s="8"/>
      <c r="H492" s="8"/>
      <c r="I492" s="11"/>
      <c r="J492" s="12"/>
      <c r="K492" s="12"/>
      <c r="L492" s="8"/>
      <c r="M492" s="8"/>
      <c r="N492" s="8"/>
      <c r="O492" s="8"/>
      <c r="P492" s="8"/>
      <c r="Q492" s="8">
        <f>IF(B492="","",IF(B492="P","P&amp;10",B492&amp;"D "&amp;C492))</f>
        <v/>
      </c>
      <c r="R492" s="8">
        <f>IF(L492&lt;&gt;"Y","",IF(COUNTIF('DEF_CALL_DECISION_SUPPORT'!$B$1197:$B$1256,SUBSTITUTE(SUBSTITUTE(SUBSTITUTE(E492,"~","~~"),"*","~*"),"?","~?"))&gt;0,"KNOWN","REVIEW: new call; refresh sources"))</f>
        <v/>
      </c>
    </row>
    <row r="493" spans="1:18" ht="25" customHeight="1">
      <c r="A493" s="12"/>
      <c r="B493" s="8"/>
      <c r="C493" s="8"/>
      <c r="D493" s="8"/>
      <c r="E493" s="8"/>
      <c r="F493" s="8"/>
      <c r="G493" s="8"/>
      <c r="H493" s="8"/>
      <c r="I493" s="11"/>
      <c r="J493" s="12"/>
      <c r="K493" s="12"/>
      <c r="L493" s="8"/>
      <c r="M493" s="8"/>
      <c r="N493" s="8"/>
      <c r="O493" s="8"/>
      <c r="P493" s="8"/>
      <c r="Q493" s="8">
        <f>IF(B493="","",IF(B493="P","P&amp;10",B493&amp;"D "&amp;C493))</f>
        <v/>
      </c>
      <c r="R493" s="8">
        <f>IF(L493&lt;&gt;"Y","",IF(COUNTIF('DEF_CALL_DECISION_SUPPORT'!$B$1197:$B$1256,SUBSTITUTE(SUBSTITUTE(SUBSTITUTE(E493,"~","~~"),"*","~*"),"?","~?"))&gt;0,"KNOWN","REVIEW: new call; refresh sources"))</f>
        <v/>
      </c>
    </row>
    <row r="494" spans="1:18" ht="25" customHeight="1">
      <c r="A494" s="12"/>
      <c r="B494" s="8"/>
      <c r="C494" s="8"/>
      <c r="D494" s="8"/>
      <c r="E494" s="8"/>
      <c r="F494" s="8"/>
      <c r="G494" s="8"/>
      <c r="H494" s="8"/>
      <c r="I494" s="11"/>
      <c r="J494" s="12"/>
      <c r="K494" s="12"/>
      <c r="L494" s="8"/>
      <c r="M494" s="8"/>
      <c r="N494" s="8"/>
      <c r="O494" s="8"/>
      <c r="P494" s="8"/>
      <c r="Q494" s="8">
        <f>IF(B494="","",IF(B494="P","P&amp;10",B494&amp;"D "&amp;C494))</f>
        <v/>
      </c>
      <c r="R494" s="8">
        <f>IF(L494&lt;&gt;"Y","",IF(COUNTIF('DEF_CALL_DECISION_SUPPORT'!$B$1197:$B$1256,SUBSTITUTE(SUBSTITUTE(SUBSTITUTE(E494,"~","~~"),"*","~*"),"?","~?"))&gt;0,"KNOWN","REVIEW: new call; refresh sources"))</f>
        <v/>
      </c>
    </row>
    <row r="495" spans="1:18" ht="25" customHeight="1">
      <c r="A495" s="12"/>
      <c r="B495" s="8"/>
      <c r="C495" s="8"/>
      <c r="D495" s="8"/>
      <c r="E495" s="8"/>
      <c r="F495" s="8"/>
      <c r="G495" s="8"/>
      <c r="H495" s="8"/>
      <c r="I495" s="11"/>
      <c r="J495" s="12"/>
      <c r="K495" s="12"/>
      <c r="L495" s="8"/>
      <c r="M495" s="8"/>
      <c r="N495" s="8"/>
      <c r="O495" s="8"/>
      <c r="P495" s="8"/>
      <c r="Q495" s="8">
        <f>IF(B495="","",IF(B495="P","P&amp;10",B495&amp;"D "&amp;C495))</f>
        <v/>
      </c>
      <c r="R495" s="8">
        <f>IF(L495&lt;&gt;"Y","",IF(COUNTIF('DEF_CALL_DECISION_SUPPORT'!$B$1197:$B$1256,SUBSTITUTE(SUBSTITUTE(SUBSTITUTE(E495,"~","~~"),"*","~*"),"?","~?"))&gt;0,"KNOWN","REVIEW: new call; refresh sources"))</f>
        <v/>
      </c>
    </row>
    <row r="496" spans="1:18" ht="25" customHeight="1">
      <c r="A496" s="12"/>
      <c r="B496" s="8"/>
      <c r="C496" s="8"/>
      <c r="D496" s="8"/>
      <c r="E496" s="8"/>
      <c r="F496" s="8"/>
      <c r="G496" s="8"/>
      <c r="H496" s="8"/>
      <c r="I496" s="11"/>
      <c r="J496" s="12"/>
      <c r="K496" s="12"/>
      <c r="L496" s="8"/>
      <c r="M496" s="8"/>
      <c r="N496" s="8"/>
      <c r="O496" s="8"/>
      <c r="P496" s="8"/>
      <c r="Q496" s="8">
        <f>IF(B496="","",IF(B496="P","P&amp;10",B496&amp;"D "&amp;C496))</f>
        <v/>
      </c>
      <c r="R496" s="8">
        <f>IF(L496&lt;&gt;"Y","",IF(COUNTIF('DEF_CALL_DECISION_SUPPORT'!$B$1197:$B$1256,SUBSTITUTE(SUBSTITUTE(SUBSTITUTE(E496,"~","~~"),"*","~*"),"?","~?"))&gt;0,"KNOWN","REVIEW: new call; refresh sources"))</f>
        <v/>
      </c>
    </row>
    <row r="497" spans="1:18" ht="25" customHeight="1">
      <c r="A497" s="12"/>
      <c r="B497" s="8"/>
      <c r="C497" s="8"/>
      <c r="D497" s="8"/>
      <c r="E497" s="8"/>
      <c r="F497" s="8"/>
      <c r="G497" s="8"/>
      <c r="H497" s="8"/>
      <c r="I497" s="11"/>
      <c r="J497" s="12"/>
      <c r="K497" s="12"/>
      <c r="L497" s="8"/>
      <c r="M497" s="8"/>
      <c r="N497" s="8"/>
      <c r="O497" s="8"/>
      <c r="P497" s="8"/>
      <c r="Q497" s="8">
        <f>IF(B497="","",IF(B497="P","P&amp;10",B497&amp;"D "&amp;C497))</f>
        <v/>
      </c>
      <c r="R497" s="8">
        <f>IF(L497&lt;&gt;"Y","",IF(COUNTIF('DEF_CALL_DECISION_SUPPORT'!$B$1197:$B$1256,SUBSTITUTE(SUBSTITUTE(SUBSTITUTE(E497,"~","~~"),"*","~*"),"?","~?"))&gt;0,"KNOWN","REVIEW: new call; refresh sources"))</f>
        <v/>
      </c>
    </row>
    <row r="498" spans="1:18" ht="25" customHeight="1">
      <c r="A498" s="12"/>
      <c r="B498" s="8"/>
      <c r="C498" s="8"/>
      <c r="D498" s="8"/>
      <c r="E498" s="8"/>
      <c r="F498" s="8"/>
      <c r="G498" s="8"/>
      <c r="H498" s="8"/>
      <c r="I498" s="11"/>
      <c r="J498" s="12"/>
      <c r="K498" s="12"/>
      <c r="L498" s="8"/>
      <c r="M498" s="8"/>
      <c r="N498" s="8"/>
      <c r="O498" s="8"/>
      <c r="P498" s="8"/>
      <c r="Q498" s="8">
        <f>IF(B498="","",IF(B498="P","P&amp;10",B498&amp;"D "&amp;C498))</f>
        <v/>
      </c>
      <c r="R498" s="8">
        <f>IF(L498&lt;&gt;"Y","",IF(COUNTIF('DEF_CALL_DECISION_SUPPORT'!$B$1197:$B$1256,SUBSTITUTE(SUBSTITUTE(SUBSTITUTE(E498,"~","~~"),"*","~*"),"?","~?"))&gt;0,"KNOWN","REVIEW: new call; refresh sources"))</f>
        <v/>
      </c>
    </row>
    <row r="499" spans="1:18" ht="25" customHeight="1">
      <c r="A499" s="12"/>
      <c r="B499" s="8"/>
      <c r="C499" s="8"/>
      <c r="D499" s="8"/>
      <c r="E499" s="8"/>
      <c r="F499" s="8"/>
      <c r="G499" s="8"/>
      <c r="H499" s="8"/>
      <c r="I499" s="11"/>
      <c r="J499" s="12"/>
      <c r="K499" s="12"/>
      <c r="L499" s="8"/>
      <c r="M499" s="8"/>
      <c r="N499" s="8"/>
      <c r="O499" s="8"/>
      <c r="P499" s="8"/>
      <c r="Q499" s="8">
        <f>IF(B499="","",IF(B499="P","P&amp;10",B499&amp;"D "&amp;C499))</f>
        <v/>
      </c>
      <c r="R499" s="8">
        <f>IF(L499&lt;&gt;"Y","",IF(COUNTIF('DEF_CALL_DECISION_SUPPORT'!$B$1197:$B$1256,SUBSTITUTE(SUBSTITUTE(SUBSTITUTE(E499,"~","~~"),"*","~*"),"?","~?"))&gt;0,"KNOWN","REVIEW: new call; refresh sources"))</f>
        <v/>
      </c>
    </row>
    <row r="500" spans="1:18" ht="25" customHeight="1">
      <c r="A500" s="12"/>
      <c r="B500" s="8"/>
      <c r="C500" s="8"/>
      <c r="D500" s="8"/>
      <c r="E500" s="8"/>
      <c r="F500" s="8"/>
      <c r="G500" s="8"/>
      <c r="H500" s="8"/>
      <c r="I500" s="11"/>
      <c r="J500" s="12"/>
      <c r="K500" s="12"/>
      <c r="L500" s="8"/>
      <c r="M500" s="8"/>
      <c r="N500" s="8"/>
      <c r="O500" s="8"/>
      <c r="P500" s="8"/>
      <c r="Q500" s="8">
        <f>IF(B500="","",IF(B500="P","P&amp;10",B500&amp;"D "&amp;C500))</f>
        <v/>
      </c>
      <c r="R500" s="8">
        <f>IF(L500&lt;&gt;"Y","",IF(COUNTIF('DEF_CALL_DECISION_SUPPORT'!$B$1197:$B$1256,SUBSTITUTE(SUBSTITUTE(SUBSTITUTE(E500,"~","~~"),"*","~*"),"?","~?"))&gt;0,"KNOWN","REVIEW: new call; refresh sources"))</f>
        <v/>
      </c>
    </row>
    <row r="501" spans="1:18" ht="25" customHeight="1">
      <c r="A501" s="12"/>
      <c r="B501" s="8"/>
      <c r="C501" s="8"/>
      <c r="D501" s="8"/>
      <c r="E501" s="8"/>
      <c r="F501" s="8"/>
      <c r="G501" s="8"/>
      <c r="H501" s="8"/>
      <c r="I501" s="11"/>
      <c r="J501" s="12"/>
      <c r="K501" s="12"/>
      <c r="L501" s="8"/>
      <c r="M501" s="8"/>
      <c r="N501" s="8"/>
      <c r="O501" s="8"/>
      <c r="P501" s="8"/>
      <c r="Q501" s="8">
        <f>IF(B501="","",IF(B501="P","P&amp;10",B501&amp;"D "&amp;C501))</f>
        <v/>
      </c>
      <c r="R501" s="8">
        <f>IF(L501&lt;&gt;"Y","",IF(COUNTIF('DEF_CALL_DECISION_SUPPORT'!$B$1197:$B$1256,SUBSTITUTE(SUBSTITUTE(SUBSTITUTE(E501,"~","~~"),"*","~*"),"?","~?"))&gt;0,"KNOWN","REVIEW: new call; refresh sources"))</f>
        <v/>
      </c>
    </row>
    <row r="502" spans="1:18" ht="25" customHeight="1">
      <c r="A502" s="12"/>
      <c r="B502" s="8"/>
      <c r="C502" s="8"/>
      <c r="D502" s="8"/>
      <c r="E502" s="8"/>
      <c r="F502" s="8"/>
      <c r="G502" s="8"/>
      <c r="H502" s="8"/>
      <c r="I502" s="11"/>
      <c r="J502" s="12"/>
      <c r="K502" s="12"/>
      <c r="L502" s="8"/>
      <c r="M502" s="8"/>
      <c r="N502" s="8"/>
      <c r="O502" s="8"/>
      <c r="P502" s="8"/>
      <c r="Q502" s="8">
        <f>IF(B502="","",IF(B502="P","P&amp;10",B502&amp;"D "&amp;C502))</f>
        <v/>
      </c>
      <c r="R502" s="8">
        <f>IF(L502&lt;&gt;"Y","",IF(COUNTIF('DEF_CALL_DECISION_SUPPORT'!$B$1197:$B$1256,SUBSTITUTE(SUBSTITUTE(SUBSTITUTE(E502,"~","~~"),"*","~*"),"?","~?"))&gt;0,"KNOWN","REVIEW: new call; refresh sources"))</f>
        <v/>
      </c>
    </row>
    <row r="503" spans="1:18" ht="25" customHeight="1">
      <c r="A503" s="12"/>
      <c r="B503" s="8"/>
      <c r="C503" s="8"/>
      <c r="D503" s="8"/>
      <c r="E503" s="8"/>
      <c r="F503" s="8"/>
      <c r="G503" s="8"/>
      <c r="H503" s="8"/>
      <c r="I503" s="11"/>
      <c r="J503" s="12"/>
      <c r="K503" s="12"/>
      <c r="L503" s="8"/>
      <c r="M503" s="8"/>
      <c r="N503" s="8"/>
      <c r="O503" s="8"/>
      <c r="P503" s="8"/>
      <c r="Q503" s="8">
        <f>IF(B503="","",IF(B503="P","P&amp;10",B503&amp;"D "&amp;C503))</f>
        <v/>
      </c>
      <c r="R503" s="8">
        <f>IF(L503&lt;&gt;"Y","",IF(COUNTIF('DEF_CALL_DECISION_SUPPORT'!$B$1197:$B$1256,SUBSTITUTE(SUBSTITUTE(SUBSTITUTE(E503,"~","~~"),"*","~*"),"?","~?"))&gt;0,"KNOWN","REVIEW: new call; refresh sources"))</f>
        <v/>
      </c>
    </row>
    <row r="504" spans="1:18" ht="25" customHeight="1">
      <c r="A504" s="12"/>
      <c r="B504" s="8"/>
      <c r="C504" s="8"/>
      <c r="D504" s="8"/>
      <c r="E504" s="8"/>
      <c r="F504" s="8"/>
      <c r="G504" s="8"/>
      <c r="H504" s="8"/>
      <c r="I504" s="11"/>
      <c r="J504" s="12"/>
      <c r="K504" s="12"/>
      <c r="L504" s="8"/>
      <c r="M504" s="8"/>
      <c r="N504" s="8"/>
      <c r="O504" s="8"/>
      <c r="P504" s="8"/>
      <c r="Q504" s="8">
        <f>IF(B504="","",IF(B504="P","P&amp;10",B504&amp;"D "&amp;C504))</f>
        <v/>
      </c>
      <c r="R504" s="8">
        <f>IF(L504&lt;&gt;"Y","",IF(COUNTIF('DEF_CALL_DECISION_SUPPORT'!$B$1197:$B$1256,SUBSTITUTE(SUBSTITUTE(SUBSTITUTE(E504,"~","~~"),"*","~*"),"?","~?"))&gt;0,"KNOWN","REVIEW: new call; refresh sources"))</f>
        <v/>
      </c>
    </row>
    <row r="505" spans="1:18" ht="25" customHeight="1">
      <c r="A505" s="12"/>
      <c r="B505" s="8"/>
      <c r="C505" s="8"/>
      <c r="D505" s="8"/>
      <c r="E505" s="8"/>
      <c r="F505" s="8"/>
      <c r="G505" s="8"/>
      <c r="H505" s="8"/>
      <c r="I505" s="11"/>
      <c r="J505" s="12"/>
      <c r="K505" s="12"/>
      <c r="L505" s="8"/>
      <c r="M505" s="8"/>
      <c r="N505" s="8"/>
      <c r="O505" s="8"/>
      <c r="P505" s="8"/>
      <c r="Q505" s="8">
        <f>IF(B505="","",IF(B505="P","P&amp;10",B505&amp;"D "&amp;C505))</f>
        <v/>
      </c>
      <c r="R505" s="8">
        <f>IF(L505&lt;&gt;"Y","",IF(COUNTIF('DEF_CALL_DECISION_SUPPORT'!$B$1197:$B$1256,SUBSTITUTE(SUBSTITUTE(SUBSTITUTE(E505,"~","~~"),"*","~*"),"?","~?"))&gt;0,"KNOWN","REVIEW: new call; refresh sources"))</f>
        <v/>
      </c>
    </row>
    <row r="506" spans="1:18" ht="25" customHeight="1">
      <c r="A506" s="12"/>
      <c r="B506" s="8"/>
      <c r="C506" s="8"/>
      <c r="D506" s="8"/>
      <c r="E506" s="8"/>
      <c r="F506" s="8"/>
      <c r="G506" s="8"/>
      <c r="H506" s="8"/>
      <c r="I506" s="11"/>
      <c r="J506" s="12"/>
      <c r="K506" s="12"/>
      <c r="L506" s="8"/>
      <c r="M506" s="8"/>
      <c r="N506" s="8"/>
      <c r="O506" s="8"/>
      <c r="P506" s="8"/>
      <c r="Q506" s="8">
        <f>IF(B506="","",IF(B506="P","P&amp;10",B506&amp;"D "&amp;C506))</f>
        <v/>
      </c>
      <c r="R506" s="8">
        <f>IF(L506&lt;&gt;"Y","",IF(COUNTIF('DEF_CALL_DECISION_SUPPORT'!$B$1197:$B$1256,SUBSTITUTE(SUBSTITUTE(SUBSTITUTE(E506,"~","~~"),"*","~*"),"?","~?"))&gt;0,"KNOWN","REVIEW: new call; refresh sources"))</f>
        <v/>
      </c>
    </row>
    <row r="507" spans="1:18" ht="25" customHeight="1">
      <c r="A507" s="12"/>
      <c r="B507" s="8"/>
      <c r="C507" s="8"/>
      <c r="D507" s="8"/>
      <c r="E507" s="8"/>
      <c r="F507" s="8"/>
      <c r="G507" s="8"/>
      <c r="H507" s="8"/>
      <c r="I507" s="11"/>
      <c r="J507" s="12"/>
      <c r="K507" s="12"/>
      <c r="L507" s="8"/>
      <c r="M507" s="8"/>
      <c r="N507" s="8"/>
      <c r="O507" s="8"/>
      <c r="P507" s="8"/>
      <c r="Q507" s="8">
        <f>IF(B507="","",IF(B507="P","P&amp;10",B507&amp;"D "&amp;C507))</f>
        <v/>
      </c>
      <c r="R507" s="8">
        <f>IF(L507&lt;&gt;"Y","",IF(COUNTIF('DEF_CALL_DECISION_SUPPORT'!$B$1197:$B$1256,SUBSTITUTE(SUBSTITUTE(SUBSTITUTE(E507,"~","~~"),"*","~*"),"?","~?"))&gt;0,"KNOWN","REVIEW: new call; refresh sources"))</f>
        <v/>
      </c>
    </row>
    <row r="508" spans="1:18" ht="25" customHeight="1">
      <c r="A508" s="12"/>
      <c r="B508" s="8"/>
      <c r="C508" s="8"/>
      <c r="D508" s="8"/>
      <c r="E508" s="8"/>
      <c r="F508" s="8"/>
      <c r="G508" s="8"/>
      <c r="H508" s="8"/>
      <c r="I508" s="11"/>
      <c r="J508" s="12"/>
      <c r="K508" s="12"/>
      <c r="L508" s="8"/>
      <c r="M508" s="8"/>
      <c r="N508" s="8"/>
      <c r="O508" s="8"/>
      <c r="P508" s="8"/>
      <c r="Q508" s="8">
        <f>IF(B508="","",IF(B508="P","P&amp;10",B508&amp;"D "&amp;C508))</f>
        <v/>
      </c>
      <c r="R508" s="8">
        <f>IF(L508&lt;&gt;"Y","",IF(COUNTIF('DEF_CALL_DECISION_SUPPORT'!$B$1197:$B$1256,SUBSTITUTE(SUBSTITUTE(SUBSTITUTE(E508,"~","~~"),"*","~*"),"?","~?"))&gt;0,"KNOWN","REVIEW: new call; refresh sources"))</f>
        <v/>
      </c>
    </row>
    <row r="509" spans="1:18" ht="25" customHeight="1">
      <c r="A509" s="12"/>
      <c r="B509" s="8"/>
      <c r="C509" s="8"/>
      <c r="D509" s="8"/>
      <c r="E509" s="8"/>
      <c r="F509" s="8"/>
      <c r="G509" s="8"/>
      <c r="H509" s="8"/>
      <c r="I509" s="11"/>
      <c r="J509" s="12"/>
      <c r="K509" s="12"/>
      <c r="L509" s="8"/>
      <c r="M509" s="8"/>
      <c r="N509" s="8"/>
      <c r="O509" s="8"/>
      <c r="P509" s="8"/>
      <c r="Q509" s="8">
        <f>IF(B509="","",IF(B509="P","P&amp;10",B509&amp;"D "&amp;C509))</f>
        <v/>
      </c>
      <c r="R509" s="8">
        <f>IF(L509&lt;&gt;"Y","",IF(COUNTIF('DEF_CALL_DECISION_SUPPORT'!$B$1197:$B$1256,SUBSTITUTE(SUBSTITUTE(SUBSTITUTE(E509,"~","~~"),"*","~*"),"?","~?"))&gt;0,"KNOWN","REVIEW: new call; refresh sources"))</f>
        <v/>
      </c>
    </row>
    <row r="510" spans="1:18" ht="25" customHeight="1">
      <c r="A510" s="12"/>
      <c r="B510" s="8"/>
      <c r="C510" s="8"/>
      <c r="D510" s="8"/>
      <c r="E510" s="8"/>
      <c r="F510" s="8"/>
      <c r="G510" s="8"/>
      <c r="H510" s="8"/>
      <c r="I510" s="11"/>
      <c r="J510" s="12"/>
      <c r="K510" s="12"/>
      <c r="L510" s="8"/>
      <c r="M510" s="8"/>
      <c r="N510" s="8"/>
      <c r="O510" s="8"/>
      <c r="P510" s="8"/>
      <c r="Q510" s="8">
        <f>IF(B510="","",IF(B510="P","P&amp;10",B510&amp;"D "&amp;C510))</f>
        <v/>
      </c>
      <c r="R510" s="8">
        <f>IF(L510&lt;&gt;"Y","",IF(COUNTIF('DEF_CALL_DECISION_SUPPORT'!$B$1197:$B$1256,SUBSTITUTE(SUBSTITUTE(SUBSTITUTE(E510,"~","~~"),"*","~*"),"?","~?"))&gt;0,"KNOWN","REVIEW: new call; refresh sources"))</f>
        <v/>
      </c>
    </row>
    <row r="511" spans="1:18" ht="25" customHeight="1">
      <c r="A511" s="12"/>
      <c r="B511" s="8"/>
      <c r="C511" s="8"/>
      <c r="D511" s="8"/>
      <c r="E511" s="8"/>
      <c r="F511" s="8"/>
      <c r="G511" s="8"/>
      <c r="H511" s="8"/>
      <c r="I511" s="11"/>
      <c r="J511" s="12"/>
      <c r="K511" s="12"/>
      <c r="L511" s="8"/>
      <c r="M511" s="8"/>
      <c r="N511" s="8"/>
      <c r="O511" s="8"/>
      <c r="P511" s="8"/>
      <c r="Q511" s="8">
        <f>IF(B511="","",IF(B511="P","P&amp;10",B511&amp;"D "&amp;C511))</f>
        <v/>
      </c>
      <c r="R511" s="8">
        <f>IF(L511&lt;&gt;"Y","",IF(COUNTIF('DEF_CALL_DECISION_SUPPORT'!$B$1197:$B$1256,SUBSTITUTE(SUBSTITUTE(SUBSTITUTE(E511,"~","~~"),"*","~*"),"?","~?"))&gt;0,"KNOWN","REVIEW: new call; refresh sources"))</f>
        <v/>
      </c>
    </row>
    <row r="512" spans="1:18" ht="25" customHeight="1">
      <c r="A512" s="12"/>
      <c r="B512" s="8"/>
      <c r="C512" s="8"/>
      <c r="D512" s="8"/>
      <c r="E512" s="8"/>
      <c r="F512" s="8"/>
      <c r="G512" s="8"/>
      <c r="H512" s="8"/>
      <c r="I512" s="11"/>
      <c r="J512" s="12"/>
      <c r="K512" s="12"/>
      <c r="L512" s="8"/>
      <c r="M512" s="8"/>
      <c r="N512" s="8"/>
      <c r="O512" s="8"/>
      <c r="P512" s="8"/>
      <c r="Q512" s="8">
        <f>IF(B512="","",IF(B512="P","P&amp;10",B512&amp;"D "&amp;C512))</f>
        <v/>
      </c>
      <c r="R512" s="8">
        <f>IF(L512&lt;&gt;"Y","",IF(COUNTIF('DEF_CALL_DECISION_SUPPORT'!$B$1197:$B$1256,SUBSTITUTE(SUBSTITUTE(SUBSTITUTE(E512,"~","~~"),"*","~*"),"?","~?"))&gt;0,"KNOWN","REVIEW: new call; refresh sources"))</f>
        <v/>
      </c>
    </row>
    <row r="513" spans="1:18" ht="25" customHeight="1">
      <c r="A513" s="12"/>
      <c r="B513" s="8"/>
      <c r="C513" s="8"/>
      <c r="D513" s="8"/>
      <c r="E513" s="8"/>
      <c r="F513" s="8"/>
      <c r="G513" s="8"/>
      <c r="H513" s="8"/>
      <c r="I513" s="11"/>
      <c r="J513" s="12"/>
      <c r="K513" s="12"/>
      <c r="L513" s="8"/>
      <c r="M513" s="8"/>
      <c r="N513" s="8"/>
      <c r="O513" s="8"/>
      <c r="P513" s="8"/>
      <c r="Q513" s="8">
        <f>IF(B513="","",IF(B513="P","P&amp;10",B513&amp;"D "&amp;C513))</f>
        <v/>
      </c>
      <c r="R513" s="8">
        <f>IF(L513&lt;&gt;"Y","",IF(COUNTIF('DEF_CALL_DECISION_SUPPORT'!$B$1197:$B$1256,SUBSTITUTE(SUBSTITUTE(SUBSTITUTE(E513,"~","~~"),"*","~*"),"?","~?"))&gt;0,"KNOWN","REVIEW: new call; refresh sources"))</f>
        <v/>
      </c>
    </row>
    <row r="514" spans="1:18" ht="25" customHeight="1">
      <c r="A514" s="12"/>
      <c r="B514" s="8"/>
      <c r="C514" s="8"/>
      <c r="D514" s="8"/>
      <c r="E514" s="8"/>
      <c r="F514" s="8"/>
      <c r="G514" s="8"/>
      <c r="H514" s="8"/>
      <c r="I514" s="11"/>
      <c r="J514" s="12"/>
      <c r="K514" s="12"/>
      <c r="L514" s="8"/>
      <c r="M514" s="8"/>
      <c r="N514" s="8"/>
      <c r="O514" s="8"/>
      <c r="P514" s="8"/>
      <c r="Q514" s="8">
        <f>IF(B514="","",IF(B514="P","P&amp;10",B514&amp;"D "&amp;C514))</f>
        <v/>
      </c>
      <c r="R514" s="8">
        <f>IF(L514&lt;&gt;"Y","",IF(COUNTIF('DEF_CALL_DECISION_SUPPORT'!$B$1197:$B$1256,SUBSTITUTE(SUBSTITUTE(SUBSTITUTE(E514,"~","~~"),"*","~*"),"?","~?"))&gt;0,"KNOWN","REVIEW: new call; refresh sources"))</f>
        <v/>
      </c>
    </row>
    <row r="515" spans="1:18" ht="25" customHeight="1">
      <c r="A515" s="12"/>
      <c r="B515" s="8"/>
      <c r="C515" s="8"/>
      <c r="D515" s="8"/>
      <c r="E515" s="8"/>
      <c r="F515" s="8"/>
      <c r="G515" s="8"/>
      <c r="H515" s="8"/>
      <c r="I515" s="11"/>
      <c r="J515" s="12"/>
      <c r="K515" s="12"/>
      <c r="L515" s="8"/>
      <c r="M515" s="8"/>
      <c r="N515" s="8"/>
      <c r="O515" s="8"/>
      <c r="P515" s="8"/>
      <c r="Q515" s="8">
        <f>IF(B515="","",IF(B515="P","P&amp;10",B515&amp;"D "&amp;C515))</f>
        <v/>
      </c>
      <c r="R515" s="8">
        <f>IF(L515&lt;&gt;"Y","",IF(COUNTIF('DEF_CALL_DECISION_SUPPORT'!$B$1197:$B$1256,SUBSTITUTE(SUBSTITUTE(SUBSTITUTE(E515,"~","~~"),"*","~*"),"?","~?"))&gt;0,"KNOWN","REVIEW: new call; refresh sources"))</f>
        <v/>
      </c>
    </row>
    <row r="516" spans="1:18" ht="25" customHeight="1">
      <c r="A516" s="12"/>
      <c r="B516" s="8"/>
      <c r="C516" s="8"/>
      <c r="D516" s="8"/>
      <c r="E516" s="8"/>
      <c r="F516" s="8"/>
      <c r="G516" s="8"/>
      <c r="H516" s="8"/>
      <c r="I516" s="11"/>
      <c r="J516" s="12"/>
      <c r="K516" s="12"/>
      <c r="L516" s="8"/>
      <c r="M516" s="8"/>
      <c r="N516" s="8"/>
      <c r="O516" s="8"/>
      <c r="P516" s="8"/>
      <c r="Q516" s="8">
        <f>IF(B516="","",IF(B516="P","P&amp;10",B516&amp;"D "&amp;C516))</f>
        <v/>
      </c>
      <c r="R516" s="8">
        <f>IF(L516&lt;&gt;"Y","",IF(COUNTIF('DEF_CALL_DECISION_SUPPORT'!$B$1197:$B$1256,SUBSTITUTE(SUBSTITUTE(SUBSTITUTE(E516,"~","~~"),"*","~*"),"?","~?"))&gt;0,"KNOWN","REVIEW: new call; refresh sources"))</f>
        <v/>
      </c>
    </row>
    <row r="517" spans="1:18" ht="25" customHeight="1">
      <c r="A517" s="12"/>
      <c r="B517" s="8"/>
      <c r="C517" s="8"/>
      <c r="D517" s="8"/>
      <c r="E517" s="8"/>
      <c r="F517" s="8"/>
      <c r="G517" s="8"/>
      <c r="H517" s="8"/>
      <c r="I517" s="11"/>
      <c r="J517" s="12"/>
      <c r="K517" s="12"/>
      <c r="L517" s="8"/>
      <c r="M517" s="8"/>
      <c r="N517" s="8"/>
      <c r="O517" s="8"/>
      <c r="P517" s="8"/>
      <c r="Q517" s="8">
        <f>IF(B517="","",IF(B517="P","P&amp;10",B517&amp;"D "&amp;C517))</f>
        <v/>
      </c>
      <c r="R517" s="8">
        <f>IF(L517&lt;&gt;"Y","",IF(COUNTIF('DEF_CALL_DECISION_SUPPORT'!$B$1197:$B$1256,SUBSTITUTE(SUBSTITUTE(SUBSTITUTE(E517,"~","~~"),"*","~*"),"?","~?"))&gt;0,"KNOWN","REVIEW: new call; refresh sources"))</f>
        <v/>
      </c>
    </row>
    <row r="518" spans="1:18" ht="25" customHeight="1">
      <c r="A518" s="12"/>
      <c r="B518" s="8"/>
      <c r="C518" s="8"/>
      <c r="D518" s="8"/>
      <c r="E518" s="8"/>
      <c r="F518" s="8"/>
      <c r="G518" s="8"/>
      <c r="H518" s="8"/>
      <c r="I518" s="11"/>
      <c r="J518" s="12"/>
      <c r="K518" s="12"/>
      <c r="L518" s="8"/>
      <c r="M518" s="8"/>
      <c r="N518" s="8"/>
      <c r="O518" s="8"/>
      <c r="P518" s="8"/>
      <c r="Q518" s="8">
        <f>IF(B518="","",IF(B518="P","P&amp;10",B518&amp;"D "&amp;C518))</f>
        <v/>
      </c>
      <c r="R518" s="8">
        <f>IF(L518&lt;&gt;"Y","",IF(COUNTIF('DEF_CALL_DECISION_SUPPORT'!$B$1197:$B$1256,SUBSTITUTE(SUBSTITUTE(SUBSTITUTE(E518,"~","~~"),"*","~*"),"?","~?"))&gt;0,"KNOWN","REVIEW: new call; refresh sources"))</f>
        <v/>
      </c>
    </row>
    <row r="519" spans="1:18" ht="25" customHeight="1">
      <c r="A519" s="12"/>
      <c r="B519" s="8"/>
      <c r="C519" s="8"/>
      <c r="D519" s="8"/>
      <c r="E519" s="8"/>
      <c r="F519" s="8"/>
      <c r="G519" s="8"/>
      <c r="H519" s="8"/>
      <c r="I519" s="11"/>
      <c r="J519" s="12"/>
      <c r="K519" s="12"/>
      <c r="L519" s="8"/>
      <c r="M519" s="8"/>
      <c r="N519" s="8"/>
      <c r="O519" s="8"/>
      <c r="P519" s="8"/>
      <c r="Q519" s="8">
        <f>IF(B519="","",IF(B519="P","P&amp;10",B519&amp;"D "&amp;C519))</f>
        <v/>
      </c>
      <c r="R519" s="8">
        <f>IF(L519&lt;&gt;"Y","",IF(COUNTIF('DEF_CALL_DECISION_SUPPORT'!$B$1197:$B$1256,SUBSTITUTE(SUBSTITUTE(SUBSTITUTE(E519,"~","~~"),"*","~*"),"?","~?"))&gt;0,"KNOWN","REVIEW: new call; refresh sources"))</f>
        <v/>
      </c>
    </row>
    <row r="520" spans="1:18" ht="25" customHeight="1">
      <c r="A520" s="12"/>
      <c r="B520" s="8"/>
      <c r="C520" s="8"/>
      <c r="D520" s="8"/>
      <c r="E520" s="8"/>
      <c r="F520" s="8"/>
      <c r="G520" s="8"/>
      <c r="H520" s="8"/>
      <c r="I520" s="11"/>
      <c r="J520" s="12"/>
      <c r="K520" s="12"/>
      <c r="L520" s="8"/>
      <c r="M520" s="8"/>
      <c r="N520" s="8"/>
      <c r="O520" s="8"/>
      <c r="P520" s="8"/>
      <c r="Q520" s="8">
        <f>IF(B520="","",IF(B520="P","P&amp;10",B520&amp;"D "&amp;C520))</f>
        <v/>
      </c>
      <c r="R520" s="8">
        <f>IF(L520&lt;&gt;"Y","",IF(COUNTIF('DEF_CALL_DECISION_SUPPORT'!$B$1197:$B$1256,SUBSTITUTE(SUBSTITUTE(SUBSTITUTE(E520,"~","~~"),"*","~*"),"?","~?"))&gt;0,"KNOWN","REVIEW: new call; refresh sources"))</f>
        <v/>
      </c>
    </row>
    <row r="521" spans="1:18" ht="25" customHeight="1">
      <c r="A521" s="12"/>
      <c r="B521" s="8"/>
      <c r="C521" s="8"/>
      <c r="D521" s="8"/>
      <c r="E521" s="8"/>
      <c r="F521" s="8"/>
      <c r="G521" s="8"/>
      <c r="H521" s="8"/>
      <c r="I521" s="11"/>
      <c r="J521" s="12"/>
      <c r="K521" s="12"/>
      <c r="L521" s="8"/>
      <c r="M521" s="8"/>
      <c r="N521" s="8"/>
      <c r="O521" s="8"/>
      <c r="P521" s="8"/>
      <c r="Q521" s="8">
        <f>IF(B521="","",IF(B521="P","P&amp;10",B521&amp;"D "&amp;C521))</f>
        <v/>
      </c>
      <c r="R521" s="8">
        <f>IF(L521&lt;&gt;"Y","",IF(COUNTIF('DEF_CALL_DECISION_SUPPORT'!$B$1197:$B$1256,SUBSTITUTE(SUBSTITUTE(SUBSTITUTE(E521,"~","~~"),"*","~*"),"?","~?"))&gt;0,"KNOWN","REVIEW: new call; refresh sources"))</f>
        <v/>
      </c>
    </row>
    <row r="522" spans="1:18" ht="25" customHeight="1">
      <c r="A522" s="12"/>
      <c r="B522" s="8"/>
      <c r="C522" s="8"/>
      <c r="D522" s="8"/>
      <c r="E522" s="8"/>
      <c r="F522" s="8"/>
      <c r="G522" s="8"/>
      <c r="H522" s="8"/>
      <c r="I522" s="11"/>
      <c r="J522" s="12"/>
      <c r="K522" s="12"/>
      <c r="L522" s="8"/>
      <c r="M522" s="8"/>
      <c r="N522" s="8"/>
      <c r="O522" s="8"/>
      <c r="P522" s="8"/>
      <c r="Q522" s="8">
        <f>IF(B522="","",IF(B522="P","P&amp;10",B522&amp;"D "&amp;C522))</f>
        <v/>
      </c>
      <c r="R522" s="8">
        <f>IF(L522&lt;&gt;"Y","",IF(COUNTIF('DEF_CALL_DECISION_SUPPORT'!$B$1197:$B$1256,SUBSTITUTE(SUBSTITUTE(SUBSTITUTE(E522,"~","~~"),"*","~*"),"?","~?"))&gt;0,"KNOWN","REVIEW: new call; refresh sources"))</f>
        <v/>
      </c>
    </row>
    <row r="523" spans="1:18" ht="25" customHeight="1">
      <c r="A523" s="12"/>
      <c r="B523" s="8"/>
      <c r="C523" s="8"/>
      <c r="D523" s="8"/>
      <c r="E523" s="8"/>
      <c r="F523" s="8"/>
      <c r="G523" s="8"/>
      <c r="H523" s="8"/>
      <c r="I523" s="11"/>
      <c r="J523" s="12"/>
      <c r="K523" s="12"/>
      <c r="L523" s="8"/>
      <c r="M523" s="8"/>
      <c r="N523" s="8"/>
      <c r="O523" s="8"/>
      <c r="P523" s="8"/>
      <c r="Q523" s="8">
        <f>IF(B523="","",IF(B523="P","P&amp;10",B523&amp;"D "&amp;C523))</f>
        <v/>
      </c>
      <c r="R523" s="8">
        <f>IF(L523&lt;&gt;"Y","",IF(COUNTIF('DEF_CALL_DECISION_SUPPORT'!$B$1197:$B$1256,SUBSTITUTE(SUBSTITUTE(SUBSTITUTE(E523,"~","~~"),"*","~*"),"?","~?"))&gt;0,"KNOWN","REVIEW: new call; refresh sources"))</f>
        <v/>
      </c>
    </row>
    <row r="524" spans="1:18" ht="25" customHeight="1">
      <c r="A524" s="12"/>
      <c r="B524" s="8"/>
      <c r="C524" s="8"/>
      <c r="D524" s="8"/>
      <c r="E524" s="8"/>
      <c r="F524" s="8"/>
      <c r="G524" s="8"/>
      <c r="H524" s="8"/>
      <c r="I524" s="11"/>
      <c r="J524" s="12"/>
      <c r="K524" s="12"/>
      <c r="L524" s="8"/>
      <c r="M524" s="8"/>
      <c r="N524" s="8"/>
      <c r="O524" s="8"/>
      <c r="P524" s="8"/>
      <c r="Q524" s="8">
        <f>IF(B524="","",IF(B524="P","P&amp;10",B524&amp;"D "&amp;C524))</f>
        <v/>
      </c>
      <c r="R524" s="8">
        <f>IF(L524&lt;&gt;"Y","",IF(COUNTIF('DEF_CALL_DECISION_SUPPORT'!$B$1197:$B$1256,SUBSTITUTE(SUBSTITUTE(SUBSTITUTE(E524,"~","~~"),"*","~*"),"?","~?"))&gt;0,"KNOWN","REVIEW: new call; refresh sources"))</f>
        <v/>
      </c>
    </row>
    <row r="525" spans="1:18" ht="25" customHeight="1">
      <c r="A525" s="12"/>
      <c r="B525" s="8"/>
      <c r="C525" s="8"/>
      <c r="D525" s="8"/>
      <c r="E525" s="8"/>
      <c r="F525" s="8"/>
      <c r="G525" s="8"/>
      <c r="H525" s="8"/>
      <c r="I525" s="11"/>
      <c r="J525" s="12"/>
      <c r="K525" s="12"/>
      <c r="L525" s="8"/>
      <c r="M525" s="8"/>
      <c r="N525" s="8"/>
      <c r="O525" s="8"/>
      <c r="P525" s="8"/>
      <c r="Q525" s="8">
        <f>IF(B525="","",IF(B525="P","P&amp;10",B525&amp;"D "&amp;C525))</f>
        <v/>
      </c>
      <c r="R525" s="8">
        <f>IF(L525&lt;&gt;"Y","",IF(COUNTIF('DEF_CALL_DECISION_SUPPORT'!$B$1197:$B$1256,SUBSTITUTE(SUBSTITUTE(SUBSTITUTE(E525,"~","~~"),"*","~*"),"?","~?"))&gt;0,"KNOWN","REVIEW: new call; refresh sources"))</f>
        <v/>
      </c>
    </row>
    <row r="526" spans="1:18" ht="25" customHeight="1">
      <c r="A526" s="12"/>
      <c r="B526" s="8"/>
      <c r="C526" s="8"/>
      <c r="D526" s="8"/>
      <c r="E526" s="8"/>
      <c r="F526" s="8"/>
      <c r="G526" s="8"/>
      <c r="H526" s="8"/>
      <c r="I526" s="11"/>
      <c r="J526" s="12"/>
      <c r="K526" s="12"/>
      <c r="L526" s="8"/>
      <c r="M526" s="8"/>
      <c r="N526" s="8"/>
      <c r="O526" s="8"/>
      <c r="P526" s="8"/>
      <c r="Q526" s="8">
        <f>IF(B526="","",IF(B526="P","P&amp;10",B526&amp;"D "&amp;C526))</f>
        <v/>
      </c>
      <c r="R526" s="8">
        <f>IF(L526&lt;&gt;"Y","",IF(COUNTIF('DEF_CALL_DECISION_SUPPORT'!$B$1197:$B$1256,SUBSTITUTE(SUBSTITUTE(SUBSTITUTE(E526,"~","~~"),"*","~*"),"?","~?"))&gt;0,"KNOWN","REVIEW: new call; refresh sources"))</f>
        <v/>
      </c>
    </row>
    <row r="527" spans="1:18" ht="25" customHeight="1">
      <c r="A527" s="12"/>
      <c r="B527" s="8"/>
      <c r="C527" s="8"/>
      <c r="D527" s="8"/>
      <c r="E527" s="8"/>
      <c r="F527" s="8"/>
      <c r="G527" s="8"/>
      <c r="H527" s="8"/>
      <c r="I527" s="11"/>
      <c r="J527" s="12"/>
      <c r="K527" s="12"/>
      <c r="L527" s="8"/>
      <c r="M527" s="8"/>
      <c r="N527" s="8"/>
      <c r="O527" s="8"/>
      <c r="P527" s="8"/>
      <c r="Q527" s="8">
        <f>IF(B527="","",IF(B527="P","P&amp;10",B527&amp;"D "&amp;C527))</f>
        <v/>
      </c>
      <c r="R527" s="8">
        <f>IF(L527&lt;&gt;"Y","",IF(COUNTIF('DEF_CALL_DECISION_SUPPORT'!$B$1197:$B$1256,SUBSTITUTE(SUBSTITUTE(SUBSTITUTE(E527,"~","~~"),"*","~*"),"?","~?"))&gt;0,"KNOWN","REVIEW: new call; refresh sources"))</f>
        <v/>
      </c>
    </row>
    <row r="528" spans="1:18" ht="25" customHeight="1">
      <c r="A528" s="12"/>
      <c r="B528" s="8"/>
      <c r="C528" s="8"/>
      <c r="D528" s="8"/>
      <c r="E528" s="8"/>
      <c r="F528" s="8"/>
      <c r="G528" s="8"/>
      <c r="H528" s="8"/>
      <c r="I528" s="11"/>
      <c r="J528" s="12"/>
      <c r="K528" s="12"/>
      <c r="L528" s="8"/>
      <c r="M528" s="8"/>
      <c r="N528" s="8"/>
      <c r="O528" s="8"/>
      <c r="P528" s="8"/>
      <c r="Q528" s="8">
        <f>IF(B528="","",IF(B528="P","P&amp;10",B528&amp;"D "&amp;C528))</f>
        <v/>
      </c>
      <c r="R528" s="8">
        <f>IF(L528&lt;&gt;"Y","",IF(COUNTIF('DEF_CALL_DECISION_SUPPORT'!$B$1197:$B$1256,SUBSTITUTE(SUBSTITUTE(SUBSTITUTE(E528,"~","~~"),"*","~*"),"?","~?"))&gt;0,"KNOWN","REVIEW: new call; refresh sources"))</f>
        <v/>
      </c>
    </row>
    <row r="529" spans="1:18" ht="25" customHeight="1">
      <c r="A529" s="12"/>
      <c r="B529" s="8"/>
      <c r="C529" s="8"/>
      <c r="D529" s="8"/>
      <c r="E529" s="8"/>
      <c r="F529" s="8"/>
      <c r="G529" s="8"/>
      <c r="H529" s="8"/>
      <c r="I529" s="11"/>
      <c r="J529" s="12"/>
      <c r="K529" s="12"/>
      <c r="L529" s="8"/>
      <c r="M529" s="8"/>
      <c r="N529" s="8"/>
      <c r="O529" s="8"/>
      <c r="P529" s="8"/>
      <c r="Q529" s="8">
        <f>IF(B529="","",IF(B529="P","P&amp;10",B529&amp;"D "&amp;C529))</f>
        <v/>
      </c>
      <c r="R529" s="8">
        <f>IF(L529&lt;&gt;"Y","",IF(COUNTIF('DEF_CALL_DECISION_SUPPORT'!$B$1197:$B$1256,SUBSTITUTE(SUBSTITUTE(SUBSTITUTE(E529,"~","~~"),"*","~*"),"?","~?"))&gt;0,"KNOWN","REVIEW: new call; refresh sources"))</f>
        <v/>
      </c>
    </row>
    <row r="530" spans="1:18" ht="25" customHeight="1">
      <c r="A530" s="12"/>
      <c r="B530" s="8"/>
      <c r="C530" s="8"/>
      <c r="D530" s="8"/>
      <c r="E530" s="8"/>
      <c r="F530" s="8"/>
      <c r="G530" s="8"/>
      <c r="H530" s="8"/>
      <c r="I530" s="11"/>
      <c r="J530" s="12"/>
      <c r="K530" s="12"/>
      <c r="L530" s="8"/>
      <c r="M530" s="8"/>
      <c r="N530" s="8"/>
      <c r="O530" s="8"/>
      <c r="P530" s="8"/>
      <c r="Q530" s="8">
        <f>IF(B530="","",IF(B530="P","P&amp;10",B530&amp;"D "&amp;C530))</f>
        <v/>
      </c>
      <c r="R530" s="8">
        <f>IF(L530&lt;&gt;"Y","",IF(COUNTIF('DEF_CALL_DECISION_SUPPORT'!$B$1197:$B$1256,SUBSTITUTE(SUBSTITUTE(SUBSTITUTE(E530,"~","~~"),"*","~*"),"?","~?"))&gt;0,"KNOWN","REVIEW: new call; refresh sources"))</f>
        <v/>
      </c>
    </row>
    <row r="531" spans="1:18" ht="25" customHeight="1">
      <c r="A531" s="12"/>
      <c r="B531" s="8"/>
      <c r="C531" s="8"/>
      <c r="D531" s="8"/>
      <c r="E531" s="8"/>
      <c r="F531" s="8"/>
      <c r="G531" s="8"/>
      <c r="H531" s="8"/>
      <c r="I531" s="11"/>
      <c r="J531" s="12"/>
      <c r="K531" s="12"/>
      <c r="L531" s="8"/>
      <c r="M531" s="8"/>
      <c r="N531" s="8"/>
      <c r="O531" s="8"/>
      <c r="P531" s="8"/>
      <c r="Q531" s="8">
        <f>IF(B531="","",IF(B531="P","P&amp;10",B531&amp;"D "&amp;C531))</f>
        <v/>
      </c>
      <c r="R531" s="8">
        <f>IF(L531&lt;&gt;"Y","",IF(COUNTIF('DEF_CALL_DECISION_SUPPORT'!$B$1197:$B$1256,SUBSTITUTE(SUBSTITUTE(SUBSTITUTE(E531,"~","~~"),"*","~*"),"?","~?"))&gt;0,"KNOWN","REVIEW: new call; refresh sources"))</f>
        <v/>
      </c>
    </row>
    <row r="532" spans="1:18" ht="25" customHeight="1">
      <c r="A532" s="12"/>
      <c r="B532" s="8"/>
      <c r="C532" s="8"/>
      <c r="D532" s="8"/>
      <c r="E532" s="8"/>
      <c r="F532" s="8"/>
      <c r="G532" s="8"/>
      <c r="H532" s="8"/>
      <c r="I532" s="11"/>
      <c r="J532" s="12"/>
      <c r="K532" s="12"/>
      <c r="L532" s="8"/>
      <c r="M532" s="8"/>
      <c r="N532" s="8"/>
      <c r="O532" s="8"/>
      <c r="P532" s="8"/>
      <c r="Q532" s="8">
        <f>IF(B532="","",IF(B532="P","P&amp;10",B532&amp;"D "&amp;C532))</f>
        <v/>
      </c>
      <c r="R532" s="8">
        <f>IF(L532&lt;&gt;"Y","",IF(COUNTIF('DEF_CALL_DECISION_SUPPORT'!$B$1197:$B$1256,SUBSTITUTE(SUBSTITUTE(SUBSTITUTE(E532,"~","~~"),"*","~*"),"?","~?"))&gt;0,"KNOWN","REVIEW: new call; refresh sources"))</f>
        <v/>
      </c>
    </row>
    <row r="533" spans="1:18" ht="25" customHeight="1">
      <c r="A533" s="12"/>
      <c r="B533" s="8"/>
      <c r="C533" s="8"/>
      <c r="D533" s="8"/>
      <c r="E533" s="8"/>
      <c r="F533" s="8"/>
      <c r="G533" s="8"/>
      <c r="H533" s="8"/>
      <c r="I533" s="11"/>
      <c r="J533" s="12"/>
      <c r="K533" s="12"/>
      <c r="L533" s="8"/>
      <c r="M533" s="8"/>
      <c r="N533" s="8"/>
      <c r="O533" s="8"/>
      <c r="P533" s="8"/>
      <c r="Q533" s="8">
        <f>IF(B533="","",IF(B533="P","P&amp;10",B533&amp;"D "&amp;C533))</f>
        <v/>
      </c>
      <c r="R533" s="8">
        <f>IF(L533&lt;&gt;"Y","",IF(COUNTIF('DEF_CALL_DECISION_SUPPORT'!$B$1197:$B$1256,SUBSTITUTE(SUBSTITUTE(SUBSTITUTE(E533,"~","~~"),"*","~*"),"?","~?"))&gt;0,"KNOWN","REVIEW: new call; refresh sources"))</f>
        <v/>
      </c>
    </row>
    <row r="534" spans="1:18" ht="25" customHeight="1">
      <c r="A534" s="12"/>
      <c r="B534" s="8"/>
      <c r="C534" s="8"/>
      <c r="D534" s="8"/>
      <c r="E534" s="8"/>
      <c r="F534" s="8"/>
      <c r="G534" s="8"/>
      <c r="H534" s="8"/>
      <c r="I534" s="11"/>
      <c r="J534" s="12"/>
      <c r="K534" s="12"/>
      <c r="L534" s="8"/>
      <c r="M534" s="8"/>
      <c r="N534" s="8"/>
      <c r="O534" s="8"/>
      <c r="P534" s="8"/>
      <c r="Q534" s="8">
        <f>IF(B534="","",IF(B534="P","P&amp;10",B534&amp;"D "&amp;C534))</f>
        <v/>
      </c>
      <c r="R534" s="8">
        <f>IF(L534&lt;&gt;"Y","",IF(COUNTIF('DEF_CALL_DECISION_SUPPORT'!$B$1197:$B$1256,SUBSTITUTE(SUBSTITUTE(SUBSTITUTE(E534,"~","~~"),"*","~*"),"?","~?"))&gt;0,"KNOWN","REVIEW: new call; refresh sources"))</f>
        <v/>
      </c>
    </row>
    <row r="535" spans="1:18" ht="25" customHeight="1">
      <c r="A535" s="12"/>
      <c r="B535" s="8"/>
      <c r="C535" s="8"/>
      <c r="D535" s="8"/>
      <c r="E535" s="8"/>
      <c r="F535" s="8"/>
      <c r="G535" s="8"/>
      <c r="H535" s="8"/>
      <c r="I535" s="11"/>
      <c r="J535" s="12"/>
      <c r="K535" s="12"/>
      <c r="L535" s="8"/>
      <c r="M535" s="8"/>
      <c r="N535" s="8"/>
      <c r="O535" s="8"/>
      <c r="P535" s="8"/>
      <c r="Q535" s="8">
        <f>IF(B535="","",IF(B535="P","P&amp;10",B535&amp;"D "&amp;C535))</f>
        <v/>
      </c>
      <c r="R535" s="8">
        <f>IF(L535&lt;&gt;"Y","",IF(COUNTIF('DEF_CALL_DECISION_SUPPORT'!$B$1197:$B$1256,SUBSTITUTE(SUBSTITUTE(SUBSTITUTE(E535,"~","~~"),"*","~*"),"?","~?"))&gt;0,"KNOWN","REVIEW: new call; refresh sources"))</f>
        <v/>
      </c>
    </row>
    <row r="536" spans="1:18" ht="25" customHeight="1">
      <c r="A536" s="12"/>
      <c r="B536" s="8"/>
      <c r="C536" s="8"/>
      <c r="D536" s="8"/>
      <c r="E536" s="8"/>
      <c r="F536" s="8"/>
      <c r="G536" s="8"/>
      <c r="H536" s="8"/>
      <c r="I536" s="11"/>
      <c r="J536" s="12"/>
      <c r="K536" s="12"/>
      <c r="L536" s="8"/>
      <c r="M536" s="8"/>
      <c r="N536" s="8"/>
      <c r="O536" s="8"/>
      <c r="P536" s="8"/>
      <c r="Q536" s="8">
        <f>IF(B536="","",IF(B536="P","P&amp;10",B536&amp;"D "&amp;C536))</f>
        <v/>
      </c>
      <c r="R536" s="8">
        <f>IF(L536&lt;&gt;"Y","",IF(COUNTIF('DEF_CALL_DECISION_SUPPORT'!$B$1197:$B$1256,SUBSTITUTE(SUBSTITUTE(SUBSTITUTE(E536,"~","~~"),"*","~*"),"?","~?"))&gt;0,"KNOWN","REVIEW: new call; refresh sources"))</f>
        <v/>
      </c>
    </row>
    <row r="537" spans="1:18" ht="25" customHeight="1">
      <c r="A537" s="12"/>
      <c r="B537" s="8"/>
      <c r="C537" s="8"/>
      <c r="D537" s="8"/>
      <c r="E537" s="8"/>
      <c r="F537" s="8"/>
      <c r="G537" s="8"/>
      <c r="H537" s="8"/>
      <c r="I537" s="11"/>
      <c r="J537" s="12"/>
      <c r="K537" s="12"/>
      <c r="L537" s="8"/>
      <c r="M537" s="8"/>
      <c r="N537" s="8"/>
      <c r="O537" s="8"/>
      <c r="P537" s="8"/>
      <c r="Q537" s="8">
        <f>IF(B537="","",IF(B537="P","P&amp;10",B537&amp;"D "&amp;C537))</f>
        <v/>
      </c>
      <c r="R537" s="8">
        <f>IF(L537&lt;&gt;"Y","",IF(COUNTIF('DEF_CALL_DECISION_SUPPORT'!$B$1197:$B$1256,SUBSTITUTE(SUBSTITUTE(SUBSTITUTE(E537,"~","~~"),"*","~*"),"?","~?"))&gt;0,"KNOWN","REVIEW: new call; refresh sources"))</f>
        <v/>
      </c>
    </row>
    <row r="538" spans="1:18" ht="25" customHeight="1">
      <c r="A538" s="12"/>
      <c r="B538" s="8"/>
      <c r="C538" s="8"/>
      <c r="D538" s="8"/>
      <c r="E538" s="8"/>
      <c r="F538" s="8"/>
      <c r="G538" s="8"/>
      <c r="H538" s="8"/>
      <c r="I538" s="11"/>
      <c r="J538" s="12"/>
      <c r="K538" s="12"/>
      <c r="L538" s="8"/>
      <c r="M538" s="8"/>
      <c r="N538" s="8"/>
      <c r="O538" s="8"/>
      <c r="P538" s="8"/>
      <c r="Q538" s="8">
        <f>IF(B538="","",IF(B538="P","P&amp;10",B538&amp;"D "&amp;C538))</f>
        <v/>
      </c>
      <c r="R538" s="8">
        <f>IF(L538&lt;&gt;"Y","",IF(COUNTIF('DEF_CALL_DECISION_SUPPORT'!$B$1197:$B$1256,SUBSTITUTE(SUBSTITUTE(SUBSTITUTE(E538,"~","~~"),"*","~*"),"?","~?"))&gt;0,"KNOWN","REVIEW: new call; refresh sources"))</f>
        <v/>
      </c>
    </row>
    <row r="539" spans="1:18" ht="25" customHeight="1">
      <c r="A539" s="12"/>
      <c r="B539" s="8"/>
      <c r="C539" s="8"/>
      <c r="D539" s="8"/>
      <c r="E539" s="8"/>
      <c r="F539" s="8"/>
      <c r="G539" s="8"/>
      <c r="H539" s="8"/>
      <c r="I539" s="11"/>
      <c r="J539" s="12"/>
      <c r="K539" s="12"/>
      <c r="L539" s="8"/>
      <c r="M539" s="8"/>
      <c r="N539" s="8"/>
      <c r="O539" s="8"/>
      <c r="P539" s="8"/>
      <c r="Q539" s="8">
        <f>IF(B539="","",IF(B539="P","P&amp;10",B539&amp;"D "&amp;C539))</f>
        <v/>
      </c>
      <c r="R539" s="8">
        <f>IF(L539&lt;&gt;"Y","",IF(COUNTIF('DEF_CALL_DECISION_SUPPORT'!$B$1197:$B$1256,SUBSTITUTE(SUBSTITUTE(SUBSTITUTE(E539,"~","~~"),"*","~*"),"?","~?"))&gt;0,"KNOWN","REVIEW: new call; refresh sources"))</f>
        <v/>
      </c>
    </row>
    <row r="540" spans="1:18" ht="25" customHeight="1">
      <c r="A540" s="12"/>
      <c r="B540" s="8"/>
      <c r="C540" s="8"/>
      <c r="D540" s="8"/>
      <c r="E540" s="8"/>
      <c r="F540" s="8"/>
      <c r="G540" s="8"/>
      <c r="H540" s="8"/>
      <c r="I540" s="11"/>
      <c r="J540" s="12"/>
      <c r="K540" s="12"/>
      <c r="L540" s="8"/>
      <c r="M540" s="8"/>
      <c r="N540" s="8"/>
      <c r="O540" s="8"/>
      <c r="P540" s="8"/>
      <c r="Q540" s="8">
        <f>IF(B540="","",IF(B540="P","P&amp;10",B540&amp;"D "&amp;C540))</f>
        <v/>
      </c>
      <c r="R540" s="8">
        <f>IF(L540&lt;&gt;"Y","",IF(COUNTIF('DEF_CALL_DECISION_SUPPORT'!$B$1197:$B$1256,SUBSTITUTE(SUBSTITUTE(SUBSTITUTE(E540,"~","~~"),"*","~*"),"?","~?"))&gt;0,"KNOWN","REVIEW: new call; refresh sources"))</f>
        <v/>
      </c>
    </row>
    <row r="541" spans="1:18" ht="25" customHeight="1">
      <c r="A541" s="12"/>
      <c r="B541" s="8"/>
      <c r="C541" s="8"/>
      <c r="D541" s="8"/>
      <c r="E541" s="8"/>
      <c r="F541" s="8"/>
      <c r="G541" s="8"/>
      <c r="H541" s="8"/>
      <c r="I541" s="11"/>
      <c r="J541" s="12"/>
      <c r="K541" s="12"/>
      <c r="L541" s="8"/>
      <c r="M541" s="8"/>
      <c r="N541" s="8"/>
      <c r="O541" s="8"/>
      <c r="P541" s="8"/>
      <c r="Q541" s="8">
        <f>IF(B541="","",IF(B541="P","P&amp;10",B541&amp;"D "&amp;C541))</f>
        <v/>
      </c>
      <c r="R541" s="8">
        <f>IF(L541&lt;&gt;"Y","",IF(COUNTIF('DEF_CALL_DECISION_SUPPORT'!$B$1197:$B$1256,SUBSTITUTE(SUBSTITUTE(SUBSTITUTE(E541,"~","~~"),"*","~*"),"?","~?"))&gt;0,"KNOWN","REVIEW: new call; refresh sources"))</f>
        <v/>
      </c>
    </row>
    <row r="542" spans="1:18" ht="25" customHeight="1">
      <c r="A542" s="12"/>
      <c r="B542" s="8"/>
      <c r="C542" s="8"/>
      <c r="D542" s="8"/>
      <c r="E542" s="8"/>
      <c r="F542" s="8"/>
      <c r="G542" s="8"/>
      <c r="H542" s="8"/>
      <c r="I542" s="11"/>
      <c r="J542" s="12"/>
      <c r="K542" s="12"/>
      <c r="L542" s="8"/>
      <c r="M542" s="8"/>
      <c r="N542" s="8"/>
      <c r="O542" s="8"/>
      <c r="P542" s="8"/>
      <c r="Q542" s="8">
        <f>IF(B542="","",IF(B542="P","P&amp;10",B542&amp;"D "&amp;C542))</f>
        <v/>
      </c>
      <c r="R542" s="8">
        <f>IF(L542&lt;&gt;"Y","",IF(COUNTIF('DEF_CALL_DECISION_SUPPORT'!$B$1197:$B$1256,SUBSTITUTE(SUBSTITUTE(SUBSTITUTE(E542,"~","~~"),"*","~*"),"?","~?"))&gt;0,"KNOWN","REVIEW: new call; refresh sources"))</f>
        <v/>
      </c>
    </row>
    <row r="543" spans="1:18" ht="25" customHeight="1">
      <c r="A543" s="12"/>
      <c r="B543" s="8"/>
      <c r="C543" s="8"/>
      <c r="D543" s="8"/>
      <c r="E543" s="8"/>
      <c r="F543" s="8"/>
      <c r="G543" s="8"/>
      <c r="H543" s="8"/>
      <c r="I543" s="11"/>
      <c r="J543" s="12"/>
      <c r="K543" s="12"/>
      <c r="L543" s="8"/>
      <c r="M543" s="8"/>
      <c r="N543" s="8"/>
      <c r="O543" s="8"/>
      <c r="P543" s="8"/>
      <c r="Q543" s="8">
        <f>IF(B543="","",IF(B543="P","P&amp;10",B543&amp;"D "&amp;C543))</f>
        <v/>
      </c>
      <c r="R543" s="8">
        <f>IF(L543&lt;&gt;"Y","",IF(COUNTIF('DEF_CALL_DECISION_SUPPORT'!$B$1197:$B$1256,SUBSTITUTE(SUBSTITUTE(SUBSTITUTE(E543,"~","~~"),"*","~*"),"?","~?"))&gt;0,"KNOWN","REVIEW: new call; refresh sources"))</f>
        <v/>
      </c>
    </row>
    <row r="544" spans="1:18" ht="25" customHeight="1">
      <c r="A544" s="12"/>
      <c r="B544" s="8"/>
      <c r="C544" s="8"/>
      <c r="D544" s="8"/>
      <c r="E544" s="8"/>
      <c r="F544" s="8"/>
      <c r="G544" s="8"/>
      <c r="H544" s="8"/>
      <c r="I544" s="11"/>
      <c r="J544" s="12"/>
      <c r="K544" s="12"/>
      <c r="L544" s="8"/>
      <c r="M544" s="8"/>
      <c r="N544" s="8"/>
      <c r="O544" s="8"/>
      <c r="P544" s="8"/>
      <c r="Q544" s="8">
        <f>IF(B544="","",IF(B544="P","P&amp;10",B544&amp;"D "&amp;C544))</f>
        <v/>
      </c>
      <c r="R544" s="8">
        <f>IF(L544&lt;&gt;"Y","",IF(COUNTIF('DEF_CALL_DECISION_SUPPORT'!$B$1197:$B$1256,SUBSTITUTE(SUBSTITUTE(SUBSTITUTE(E544,"~","~~"),"*","~*"),"?","~?"))&gt;0,"KNOWN","REVIEW: new call; refresh sources"))</f>
        <v/>
      </c>
    </row>
    <row r="545" spans="1:18" ht="25" customHeight="1">
      <c r="A545" s="12"/>
      <c r="B545" s="8"/>
      <c r="C545" s="8"/>
      <c r="D545" s="8"/>
      <c r="E545" s="8"/>
      <c r="F545" s="8"/>
      <c r="G545" s="8"/>
      <c r="H545" s="8"/>
      <c r="I545" s="11"/>
      <c r="J545" s="12"/>
      <c r="K545" s="12"/>
      <c r="L545" s="8"/>
      <c r="M545" s="8"/>
      <c r="N545" s="8"/>
      <c r="O545" s="8"/>
      <c r="P545" s="8"/>
      <c r="Q545" s="8">
        <f>IF(B545="","",IF(B545="P","P&amp;10",B545&amp;"D "&amp;C545))</f>
        <v/>
      </c>
      <c r="R545" s="8">
        <f>IF(L545&lt;&gt;"Y","",IF(COUNTIF('DEF_CALL_DECISION_SUPPORT'!$B$1197:$B$1256,SUBSTITUTE(SUBSTITUTE(SUBSTITUTE(E545,"~","~~"),"*","~*"),"?","~?"))&gt;0,"KNOWN","REVIEW: new call; refresh sources"))</f>
        <v/>
      </c>
    </row>
    <row r="546" spans="1:18" ht="25" customHeight="1">
      <c r="A546" s="12"/>
      <c r="B546" s="8"/>
      <c r="C546" s="8"/>
      <c r="D546" s="8"/>
      <c r="E546" s="8"/>
      <c r="F546" s="8"/>
      <c r="G546" s="8"/>
      <c r="H546" s="8"/>
      <c r="I546" s="11"/>
      <c r="J546" s="12"/>
      <c r="K546" s="12"/>
      <c r="L546" s="8"/>
      <c r="M546" s="8"/>
      <c r="N546" s="8"/>
      <c r="O546" s="8"/>
      <c r="P546" s="8"/>
      <c r="Q546" s="8">
        <f>IF(B546="","",IF(B546="P","P&amp;10",B546&amp;"D "&amp;C546))</f>
        <v/>
      </c>
      <c r="R546" s="8">
        <f>IF(L546&lt;&gt;"Y","",IF(COUNTIF('DEF_CALL_DECISION_SUPPORT'!$B$1197:$B$1256,SUBSTITUTE(SUBSTITUTE(SUBSTITUTE(E546,"~","~~"),"*","~*"),"?","~?"))&gt;0,"KNOWN","REVIEW: new call; refresh sources"))</f>
        <v/>
      </c>
    </row>
    <row r="547" spans="1:18" ht="25" customHeight="1">
      <c r="A547" s="12"/>
      <c r="B547" s="8"/>
      <c r="C547" s="8"/>
      <c r="D547" s="8"/>
      <c r="E547" s="8"/>
      <c r="F547" s="8"/>
      <c r="G547" s="8"/>
      <c r="H547" s="8"/>
      <c r="I547" s="11"/>
      <c r="J547" s="12"/>
      <c r="K547" s="12"/>
      <c r="L547" s="8"/>
      <c r="M547" s="8"/>
      <c r="N547" s="8"/>
      <c r="O547" s="8"/>
      <c r="P547" s="8"/>
      <c r="Q547" s="8">
        <f>IF(B547="","",IF(B547="P","P&amp;10",B547&amp;"D "&amp;C547))</f>
        <v/>
      </c>
      <c r="R547" s="8">
        <f>IF(L547&lt;&gt;"Y","",IF(COUNTIF('DEF_CALL_DECISION_SUPPORT'!$B$1197:$B$1256,SUBSTITUTE(SUBSTITUTE(SUBSTITUTE(E547,"~","~~"),"*","~*"),"?","~?"))&gt;0,"KNOWN","REVIEW: new call; refresh sources"))</f>
        <v/>
      </c>
    </row>
    <row r="548" spans="1:18" ht="25" customHeight="1">
      <c r="A548" s="12"/>
      <c r="B548" s="8"/>
      <c r="C548" s="8"/>
      <c r="D548" s="8"/>
      <c r="E548" s="8"/>
      <c r="F548" s="8"/>
      <c r="G548" s="8"/>
      <c r="H548" s="8"/>
      <c r="I548" s="11"/>
      <c r="J548" s="12"/>
      <c r="K548" s="12"/>
      <c r="L548" s="8"/>
      <c r="M548" s="8"/>
      <c r="N548" s="8"/>
      <c r="O548" s="8"/>
      <c r="P548" s="8"/>
      <c r="Q548" s="8">
        <f>IF(B548="","",IF(B548="P","P&amp;10",B548&amp;"D "&amp;C548))</f>
        <v/>
      </c>
      <c r="R548" s="8">
        <f>IF(L548&lt;&gt;"Y","",IF(COUNTIF('DEF_CALL_DECISION_SUPPORT'!$B$1197:$B$1256,SUBSTITUTE(SUBSTITUTE(SUBSTITUTE(E548,"~","~~"),"*","~*"),"?","~?"))&gt;0,"KNOWN","REVIEW: new call; refresh sources"))</f>
        <v/>
      </c>
    </row>
    <row r="549" spans="1:18" ht="25" customHeight="1">
      <c r="A549" s="12"/>
      <c r="B549" s="8"/>
      <c r="C549" s="8"/>
      <c r="D549" s="8"/>
      <c r="E549" s="8"/>
      <c r="F549" s="8"/>
      <c r="G549" s="8"/>
      <c r="H549" s="8"/>
      <c r="I549" s="11"/>
      <c r="J549" s="12"/>
      <c r="K549" s="12"/>
      <c r="L549" s="8"/>
      <c r="M549" s="8"/>
      <c r="N549" s="8"/>
      <c r="O549" s="8"/>
      <c r="P549" s="8"/>
      <c r="Q549" s="8">
        <f>IF(B549="","",IF(B549="P","P&amp;10",B549&amp;"D "&amp;C549))</f>
        <v/>
      </c>
      <c r="R549" s="8">
        <f>IF(L549&lt;&gt;"Y","",IF(COUNTIF('DEF_CALL_DECISION_SUPPORT'!$B$1197:$B$1256,SUBSTITUTE(SUBSTITUTE(SUBSTITUTE(E549,"~","~~"),"*","~*"),"?","~?"))&gt;0,"KNOWN","REVIEW: new call; refresh sources"))</f>
        <v/>
      </c>
    </row>
    <row r="550" spans="1:18" ht="25" customHeight="1">
      <c r="A550" s="12"/>
      <c r="B550" s="8"/>
      <c r="C550" s="8"/>
      <c r="D550" s="8"/>
      <c r="E550" s="8"/>
      <c r="F550" s="8"/>
      <c r="G550" s="8"/>
      <c r="H550" s="8"/>
      <c r="I550" s="11"/>
      <c r="J550" s="12"/>
      <c r="K550" s="12"/>
      <c r="L550" s="8"/>
      <c r="M550" s="8"/>
      <c r="N550" s="8"/>
      <c r="O550" s="8"/>
      <c r="P550" s="8"/>
      <c r="Q550" s="8">
        <f>IF(B550="","",IF(B550="P","P&amp;10",B550&amp;"D "&amp;C550))</f>
        <v/>
      </c>
      <c r="R550" s="8">
        <f>IF(L550&lt;&gt;"Y","",IF(COUNTIF('DEF_CALL_DECISION_SUPPORT'!$B$1197:$B$1256,SUBSTITUTE(SUBSTITUTE(SUBSTITUTE(E550,"~","~~"),"*","~*"),"?","~?"))&gt;0,"KNOWN","REVIEW: new call; refresh sources"))</f>
        <v/>
      </c>
    </row>
    <row r="551" spans="1:18" ht="25" customHeight="1">
      <c r="A551" s="12"/>
      <c r="B551" s="8"/>
      <c r="C551" s="8"/>
      <c r="D551" s="8"/>
      <c r="E551" s="8"/>
      <c r="F551" s="8"/>
      <c r="G551" s="8"/>
      <c r="H551" s="8"/>
      <c r="I551" s="11"/>
      <c r="J551" s="12"/>
      <c r="K551" s="12"/>
      <c r="L551" s="8"/>
      <c r="M551" s="8"/>
      <c r="N551" s="8"/>
      <c r="O551" s="8"/>
      <c r="P551" s="8"/>
      <c r="Q551" s="8">
        <f>IF(B551="","",IF(B551="P","P&amp;10",B551&amp;"D "&amp;C551))</f>
        <v/>
      </c>
      <c r="R551" s="8">
        <f>IF(L551&lt;&gt;"Y","",IF(COUNTIF('DEF_CALL_DECISION_SUPPORT'!$B$1197:$B$1256,SUBSTITUTE(SUBSTITUTE(SUBSTITUTE(E551,"~","~~"),"*","~*"),"?","~?"))&gt;0,"KNOWN","REVIEW: new call; refresh sources"))</f>
        <v/>
      </c>
    </row>
    <row r="552" spans="1:18" ht="25" customHeight="1">
      <c r="A552" s="12"/>
      <c r="B552" s="8"/>
      <c r="C552" s="8"/>
      <c r="D552" s="8"/>
      <c r="E552" s="8"/>
      <c r="F552" s="8"/>
      <c r="G552" s="8"/>
      <c r="H552" s="8"/>
      <c r="I552" s="11"/>
      <c r="J552" s="12"/>
      <c r="K552" s="12"/>
      <c r="L552" s="8"/>
      <c r="M552" s="8"/>
      <c r="N552" s="8"/>
      <c r="O552" s="8"/>
      <c r="P552" s="8"/>
      <c r="Q552" s="8">
        <f>IF(B552="","",IF(B552="P","P&amp;10",B552&amp;"D "&amp;C552))</f>
        <v/>
      </c>
      <c r="R552" s="8">
        <f>IF(L552&lt;&gt;"Y","",IF(COUNTIF('DEF_CALL_DECISION_SUPPORT'!$B$1197:$B$1256,SUBSTITUTE(SUBSTITUTE(SUBSTITUTE(E552,"~","~~"),"*","~*"),"?","~?"))&gt;0,"KNOWN","REVIEW: new call; refresh sources"))</f>
        <v/>
      </c>
    </row>
    <row r="553" spans="1:18" ht="25" customHeight="1">
      <c r="A553" s="12"/>
      <c r="B553" s="8"/>
      <c r="C553" s="8"/>
      <c r="D553" s="8"/>
      <c r="E553" s="8"/>
      <c r="F553" s="8"/>
      <c r="G553" s="8"/>
      <c r="H553" s="8"/>
      <c r="I553" s="11"/>
      <c r="J553" s="12"/>
      <c r="K553" s="12"/>
      <c r="L553" s="8"/>
      <c r="M553" s="8"/>
      <c r="N553" s="8"/>
      <c r="O553" s="8"/>
      <c r="P553" s="8"/>
      <c r="Q553" s="8">
        <f>IF(B553="","",IF(B553="P","P&amp;10",B553&amp;"D "&amp;C553))</f>
        <v/>
      </c>
      <c r="R553" s="8">
        <f>IF(L553&lt;&gt;"Y","",IF(COUNTIF('DEF_CALL_DECISION_SUPPORT'!$B$1197:$B$1256,SUBSTITUTE(SUBSTITUTE(SUBSTITUTE(E553,"~","~~"),"*","~*"),"?","~?"))&gt;0,"KNOWN","REVIEW: new call; refresh sources"))</f>
        <v/>
      </c>
    </row>
    <row r="554" spans="1:18" ht="25" customHeight="1">
      <c r="A554" s="12"/>
      <c r="B554" s="8"/>
      <c r="C554" s="8"/>
      <c r="D554" s="8"/>
      <c r="E554" s="8"/>
      <c r="F554" s="8"/>
      <c r="G554" s="8"/>
      <c r="H554" s="8"/>
      <c r="I554" s="11"/>
      <c r="J554" s="12"/>
      <c r="K554" s="12"/>
      <c r="L554" s="8"/>
      <c r="M554" s="8"/>
      <c r="N554" s="8"/>
      <c r="O554" s="8"/>
      <c r="P554" s="8"/>
      <c r="Q554" s="8">
        <f>IF(B554="","",IF(B554="P","P&amp;10",B554&amp;"D "&amp;C554))</f>
        <v/>
      </c>
      <c r="R554" s="8">
        <f>IF(L554&lt;&gt;"Y","",IF(COUNTIF('DEF_CALL_DECISION_SUPPORT'!$B$1197:$B$1256,SUBSTITUTE(SUBSTITUTE(SUBSTITUTE(E554,"~","~~"),"*","~*"),"?","~?"))&gt;0,"KNOWN","REVIEW: new call; refresh sources"))</f>
        <v/>
      </c>
    </row>
    <row r="555" spans="1:18" ht="25" customHeight="1">
      <c r="A555" s="12"/>
      <c r="B555" s="8"/>
      <c r="C555" s="8"/>
      <c r="D555" s="8"/>
      <c r="E555" s="8"/>
      <c r="F555" s="8"/>
      <c r="G555" s="8"/>
      <c r="H555" s="8"/>
      <c r="I555" s="11"/>
      <c r="J555" s="12"/>
      <c r="K555" s="12"/>
      <c r="L555" s="8"/>
      <c r="M555" s="8"/>
      <c r="N555" s="8"/>
      <c r="O555" s="8"/>
      <c r="P555" s="8"/>
      <c r="Q555" s="8">
        <f>IF(B555="","",IF(B555="P","P&amp;10",B555&amp;"D "&amp;C555))</f>
        <v/>
      </c>
      <c r="R555" s="8">
        <f>IF(L555&lt;&gt;"Y","",IF(COUNTIF('DEF_CALL_DECISION_SUPPORT'!$B$1197:$B$1256,SUBSTITUTE(SUBSTITUTE(SUBSTITUTE(E555,"~","~~"),"*","~*"),"?","~?"))&gt;0,"KNOWN","REVIEW: new call; refresh sources"))</f>
        <v/>
      </c>
    </row>
    <row r="556" spans="1:18" ht="25" customHeight="1">
      <c r="A556" s="12"/>
      <c r="B556" s="8"/>
      <c r="C556" s="8"/>
      <c r="D556" s="8"/>
      <c r="E556" s="8"/>
      <c r="F556" s="8"/>
      <c r="G556" s="8"/>
      <c r="H556" s="8"/>
      <c r="I556" s="11"/>
      <c r="J556" s="12"/>
      <c r="K556" s="12"/>
      <c r="L556" s="8"/>
      <c r="M556" s="8"/>
      <c r="N556" s="8"/>
      <c r="O556" s="8"/>
      <c r="P556" s="8"/>
      <c r="Q556" s="8">
        <f>IF(B556="","",IF(B556="P","P&amp;10",B556&amp;"D "&amp;C556))</f>
        <v/>
      </c>
      <c r="R556" s="8">
        <f>IF(L556&lt;&gt;"Y","",IF(COUNTIF('DEF_CALL_DECISION_SUPPORT'!$B$1197:$B$1256,SUBSTITUTE(SUBSTITUTE(SUBSTITUTE(E556,"~","~~"),"*","~*"),"?","~?"))&gt;0,"KNOWN","REVIEW: new call; refresh sources"))</f>
        <v/>
      </c>
    </row>
    <row r="557" spans="1:18" ht="25" customHeight="1">
      <c r="A557" s="12"/>
      <c r="B557" s="8"/>
      <c r="C557" s="8"/>
      <c r="D557" s="8"/>
      <c r="E557" s="8"/>
      <c r="F557" s="8"/>
      <c r="G557" s="8"/>
      <c r="H557" s="8"/>
      <c r="I557" s="11"/>
      <c r="J557" s="12"/>
      <c r="K557" s="12"/>
      <c r="L557" s="8"/>
      <c r="M557" s="8"/>
      <c r="N557" s="8"/>
      <c r="O557" s="8"/>
      <c r="P557" s="8"/>
      <c r="Q557" s="8">
        <f>IF(B557="","",IF(B557="P","P&amp;10",B557&amp;"D "&amp;C557))</f>
        <v/>
      </c>
      <c r="R557" s="8">
        <f>IF(L557&lt;&gt;"Y","",IF(COUNTIF('DEF_CALL_DECISION_SUPPORT'!$B$1197:$B$1256,SUBSTITUTE(SUBSTITUTE(SUBSTITUTE(E557,"~","~~"),"*","~*"),"?","~?"))&gt;0,"KNOWN","REVIEW: new call; refresh sources"))</f>
        <v/>
      </c>
    </row>
    <row r="558" spans="1:18" ht="25" customHeight="1">
      <c r="A558" s="12"/>
      <c r="B558" s="8"/>
      <c r="C558" s="8"/>
      <c r="D558" s="8"/>
      <c r="E558" s="8"/>
      <c r="F558" s="8"/>
      <c r="G558" s="8"/>
      <c r="H558" s="8"/>
      <c r="I558" s="11"/>
      <c r="J558" s="12"/>
      <c r="K558" s="12"/>
      <c r="L558" s="8"/>
      <c r="M558" s="8"/>
      <c r="N558" s="8"/>
      <c r="O558" s="8"/>
      <c r="P558" s="8"/>
      <c r="Q558" s="8">
        <f>IF(B558="","",IF(B558="P","P&amp;10",B558&amp;"D "&amp;C558))</f>
        <v/>
      </c>
      <c r="R558" s="8">
        <f>IF(L558&lt;&gt;"Y","",IF(COUNTIF('DEF_CALL_DECISION_SUPPORT'!$B$1197:$B$1256,SUBSTITUTE(SUBSTITUTE(SUBSTITUTE(E558,"~","~~"),"*","~*"),"?","~?"))&gt;0,"KNOWN","REVIEW: new call; refresh sources"))</f>
        <v/>
      </c>
    </row>
    <row r="559" spans="1:18" ht="25" customHeight="1">
      <c r="A559" s="12"/>
      <c r="B559" s="8"/>
      <c r="C559" s="8"/>
      <c r="D559" s="8"/>
      <c r="E559" s="8"/>
      <c r="F559" s="8"/>
      <c r="G559" s="8"/>
      <c r="H559" s="8"/>
      <c r="I559" s="11"/>
      <c r="J559" s="12"/>
      <c r="K559" s="12"/>
      <c r="L559" s="8"/>
      <c r="M559" s="8"/>
      <c r="N559" s="8"/>
      <c r="O559" s="8"/>
      <c r="P559" s="8"/>
      <c r="Q559" s="8">
        <f>IF(B559="","",IF(B559="P","P&amp;10",B559&amp;"D "&amp;C559))</f>
        <v/>
      </c>
      <c r="R559" s="8">
        <f>IF(L559&lt;&gt;"Y","",IF(COUNTIF('DEF_CALL_DECISION_SUPPORT'!$B$1197:$B$1256,SUBSTITUTE(SUBSTITUTE(SUBSTITUTE(E559,"~","~~"),"*","~*"),"?","~?"))&gt;0,"KNOWN","REVIEW: new call; refresh sources"))</f>
        <v/>
      </c>
    </row>
    <row r="560" spans="1:18" ht="25" customHeight="1">
      <c r="A560" s="12"/>
      <c r="B560" s="8"/>
      <c r="C560" s="8"/>
      <c r="D560" s="8"/>
      <c r="E560" s="8"/>
      <c r="F560" s="8"/>
      <c r="G560" s="8"/>
      <c r="H560" s="8"/>
      <c r="I560" s="11"/>
      <c r="J560" s="12"/>
      <c r="K560" s="12"/>
      <c r="L560" s="8"/>
      <c r="M560" s="8"/>
      <c r="N560" s="8"/>
      <c r="O560" s="8"/>
      <c r="P560" s="8"/>
      <c r="Q560" s="8">
        <f>IF(B560="","",IF(B560="P","P&amp;10",B560&amp;"D "&amp;C560))</f>
        <v/>
      </c>
      <c r="R560" s="8">
        <f>IF(L560&lt;&gt;"Y","",IF(COUNTIF('DEF_CALL_DECISION_SUPPORT'!$B$1197:$B$1256,SUBSTITUTE(SUBSTITUTE(SUBSTITUTE(E560,"~","~~"),"*","~*"),"?","~?"))&gt;0,"KNOWN","REVIEW: new call; refresh sources"))</f>
        <v/>
      </c>
    </row>
    <row r="561" spans="1:18" ht="25" customHeight="1">
      <c r="A561" s="12"/>
      <c r="B561" s="8"/>
      <c r="C561" s="8"/>
      <c r="D561" s="8"/>
      <c r="E561" s="8"/>
      <c r="F561" s="8"/>
      <c r="G561" s="8"/>
      <c r="H561" s="8"/>
      <c r="I561" s="11"/>
      <c r="J561" s="12"/>
      <c r="K561" s="12"/>
      <c r="L561" s="8"/>
      <c r="M561" s="8"/>
      <c r="N561" s="8"/>
      <c r="O561" s="8"/>
      <c r="P561" s="8"/>
      <c r="Q561" s="8">
        <f>IF(B561="","",IF(B561="P","P&amp;10",B561&amp;"D "&amp;C561))</f>
        <v/>
      </c>
      <c r="R561" s="8">
        <f>IF(L561&lt;&gt;"Y","",IF(COUNTIF('DEF_CALL_DECISION_SUPPORT'!$B$1197:$B$1256,SUBSTITUTE(SUBSTITUTE(SUBSTITUTE(E561,"~","~~"),"*","~*"),"?","~?"))&gt;0,"KNOWN","REVIEW: new call; refresh sources"))</f>
        <v/>
      </c>
    </row>
    <row r="562" spans="1:18" ht="25" customHeight="1">
      <c r="A562" s="12"/>
      <c r="B562" s="8"/>
      <c r="C562" s="8"/>
      <c r="D562" s="8"/>
      <c r="E562" s="8"/>
      <c r="F562" s="8"/>
      <c r="G562" s="8"/>
      <c r="H562" s="8"/>
      <c r="I562" s="11"/>
      <c r="J562" s="12"/>
      <c r="K562" s="12"/>
      <c r="L562" s="8"/>
      <c r="M562" s="8"/>
      <c r="N562" s="8"/>
      <c r="O562" s="8"/>
      <c r="P562" s="8"/>
      <c r="Q562" s="8">
        <f>IF(B562="","",IF(B562="P","P&amp;10",B562&amp;"D "&amp;C562))</f>
        <v/>
      </c>
      <c r="R562" s="8">
        <f>IF(L562&lt;&gt;"Y","",IF(COUNTIF('DEF_CALL_DECISION_SUPPORT'!$B$1197:$B$1256,SUBSTITUTE(SUBSTITUTE(SUBSTITUTE(E562,"~","~~"),"*","~*"),"?","~?"))&gt;0,"KNOWN","REVIEW: new call; refresh sources"))</f>
        <v/>
      </c>
    </row>
    <row r="563" spans="1:18" ht="25" customHeight="1">
      <c r="A563" s="12"/>
      <c r="B563" s="8"/>
      <c r="C563" s="8"/>
      <c r="D563" s="8"/>
      <c r="E563" s="8"/>
      <c r="F563" s="8"/>
      <c r="G563" s="8"/>
      <c r="H563" s="8"/>
      <c r="I563" s="11"/>
      <c r="J563" s="12"/>
      <c r="K563" s="12"/>
      <c r="L563" s="8"/>
      <c r="M563" s="8"/>
      <c r="N563" s="8"/>
      <c r="O563" s="8"/>
      <c r="P563" s="8"/>
      <c r="Q563" s="8">
        <f>IF(B563="","",IF(B563="P","P&amp;10",B563&amp;"D "&amp;C563))</f>
        <v/>
      </c>
      <c r="R563" s="8">
        <f>IF(L563&lt;&gt;"Y","",IF(COUNTIF('DEF_CALL_DECISION_SUPPORT'!$B$1197:$B$1256,SUBSTITUTE(SUBSTITUTE(SUBSTITUTE(E563,"~","~~"),"*","~*"),"?","~?"))&gt;0,"KNOWN","REVIEW: new call; refresh sources"))</f>
        <v/>
      </c>
    </row>
    <row r="564" spans="1:18" ht="25" customHeight="1">
      <c r="A564" s="12"/>
      <c r="B564" s="8"/>
      <c r="C564" s="8"/>
      <c r="D564" s="8"/>
      <c r="E564" s="8"/>
      <c r="F564" s="8"/>
      <c r="G564" s="8"/>
      <c r="H564" s="8"/>
      <c r="I564" s="11"/>
      <c r="J564" s="12"/>
      <c r="K564" s="12"/>
      <c r="L564" s="8"/>
      <c r="M564" s="8"/>
      <c r="N564" s="8"/>
      <c r="O564" s="8"/>
      <c r="P564" s="8"/>
      <c r="Q564" s="8">
        <f>IF(B564="","",IF(B564="P","P&amp;10",B564&amp;"D "&amp;C564))</f>
        <v/>
      </c>
      <c r="R564" s="8">
        <f>IF(L564&lt;&gt;"Y","",IF(COUNTIF('DEF_CALL_DECISION_SUPPORT'!$B$1197:$B$1256,SUBSTITUTE(SUBSTITUTE(SUBSTITUTE(E564,"~","~~"),"*","~*"),"?","~?"))&gt;0,"KNOWN","REVIEW: new call; refresh sources"))</f>
        <v/>
      </c>
    </row>
    <row r="565" spans="1:18" ht="25" customHeight="1">
      <c r="A565" s="12"/>
      <c r="B565" s="8"/>
      <c r="C565" s="8"/>
      <c r="D565" s="8"/>
      <c r="E565" s="8"/>
      <c r="F565" s="8"/>
      <c r="G565" s="8"/>
      <c r="H565" s="8"/>
      <c r="I565" s="11"/>
      <c r="J565" s="12"/>
      <c r="K565" s="12"/>
      <c r="L565" s="8"/>
      <c r="M565" s="8"/>
      <c r="N565" s="8"/>
      <c r="O565" s="8"/>
      <c r="P565" s="8"/>
      <c r="Q565" s="8">
        <f>IF(B565="","",IF(B565="P","P&amp;10",B565&amp;"D "&amp;C565))</f>
        <v/>
      </c>
      <c r="R565" s="8">
        <f>IF(L565&lt;&gt;"Y","",IF(COUNTIF('DEF_CALL_DECISION_SUPPORT'!$B$1197:$B$1256,SUBSTITUTE(SUBSTITUTE(SUBSTITUTE(E565,"~","~~"),"*","~*"),"?","~?"))&gt;0,"KNOWN","REVIEW: new call; refresh sources"))</f>
        <v/>
      </c>
    </row>
    <row r="566" spans="1:18" ht="25" customHeight="1">
      <c r="A566" s="12"/>
      <c r="B566" s="8"/>
      <c r="C566" s="8"/>
      <c r="D566" s="8"/>
      <c r="E566" s="8"/>
      <c r="F566" s="8"/>
      <c r="G566" s="8"/>
      <c r="H566" s="8"/>
      <c r="I566" s="11"/>
      <c r="J566" s="12"/>
      <c r="K566" s="12"/>
      <c r="L566" s="8"/>
      <c r="M566" s="8"/>
      <c r="N566" s="8"/>
      <c r="O566" s="8"/>
      <c r="P566" s="8"/>
      <c r="Q566" s="8">
        <f>IF(B566="","",IF(B566="P","P&amp;10",B566&amp;"D "&amp;C566))</f>
        <v/>
      </c>
      <c r="R566" s="8">
        <f>IF(L566&lt;&gt;"Y","",IF(COUNTIF('DEF_CALL_DECISION_SUPPORT'!$B$1197:$B$1256,SUBSTITUTE(SUBSTITUTE(SUBSTITUTE(E566,"~","~~"),"*","~*"),"?","~?"))&gt;0,"KNOWN","REVIEW: new call; refresh sources"))</f>
        <v/>
      </c>
    </row>
    <row r="567" spans="1:18" ht="25" customHeight="1">
      <c r="A567" s="12"/>
      <c r="B567" s="8"/>
      <c r="C567" s="8"/>
      <c r="D567" s="8"/>
      <c r="E567" s="8"/>
      <c r="F567" s="8"/>
      <c r="G567" s="8"/>
      <c r="H567" s="8"/>
      <c r="I567" s="11"/>
      <c r="J567" s="12"/>
      <c r="K567" s="12"/>
      <c r="L567" s="8"/>
      <c r="M567" s="8"/>
      <c r="N567" s="8"/>
      <c r="O567" s="8"/>
      <c r="P567" s="8"/>
      <c r="Q567" s="8">
        <f>IF(B567="","",IF(B567="P","P&amp;10",B567&amp;"D "&amp;C567))</f>
        <v/>
      </c>
      <c r="R567" s="8">
        <f>IF(L567&lt;&gt;"Y","",IF(COUNTIF('DEF_CALL_DECISION_SUPPORT'!$B$1197:$B$1256,SUBSTITUTE(SUBSTITUTE(SUBSTITUTE(E567,"~","~~"),"*","~*"),"?","~?"))&gt;0,"KNOWN","REVIEW: new call; refresh sources"))</f>
        <v/>
      </c>
    </row>
    <row r="568" spans="1:18" ht="25" customHeight="1">
      <c r="A568" s="12"/>
      <c r="B568" s="8"/>
      <c r="C568" s="8"/>
      <c r="D568" s="8"/>
      <c r="E568" s="8"/>
      <c r="F568" s="8"/>
      <c r="G568" s="8"/>
      <c r="H568" s="8"/>
      <c r="I568" s="11"/>
      <c r="J568" s="12"/>
      <c r="K568" s="12"/>
      <c r="L568" s="8"/>
      <c r="M568" s="8"/>
      <c r="N568" s="8"/>
      <c r="O568" s="8"/>
      <c r="P568" s="8"/>
      <c r="Q568" s="8">
        <f>IF(B568="","",IF(B568="P","P&amp;10",B568&amp;"D "&amp;C568))</f>
        <v/>
      </c>
      <c r="R568" s="8">
        <f>IF(L568&lt;&gt;"Y","",IF(COUNTIF('DEF_CALL_DECISION_SUPPORT'!$B$1197:$B$1256,SUBSTITUTE(SUBSTITUTE(SUBSTITUTE(E568,"~","~~"),"*","~*"),"?","~?"))&gt;0,"KNOWN","REVIEW: new call; refresh sources"))</f>
        <v/>
      </c>
    </row>
    <row r="569" spans="1:18" ht="25" customHeight="1">
      <c r="A569" s="12"/>
      <c r="B569" s="8"/>
      <c r="C569" s="8"/>
      <c r="D569" s="8"/>
      <c r="E569" s="8"/>
      <c r="F569" s="8"/>
      <c r="G569" s="8"/>
      <c r="H569" s="8"/>
      <c r="I569" s="11"/>
      <c r="J569" s="12"/>
      <c r="K569" s="12"/>
      <c r="L569" s="8"/>
      <c r="M569" s="8"/>
      <c r="N569" s="8"/>
      <c r="O569" s="8"/>
      <c r="P569" s="8"/>
      <c r="Q569" s="8">
        <f>IF(B569="","",IF(B569="P","P&amp;10",B569&amp;"D "&amp;C569))</f>
        <v/>
      </c>
      <c r="R569" s="8">
        <f>IF(L569&lt;&gt;"Y","",IF(COUNTIF('DEF_CALL_DECISION_SUPPORT'!$B$1197:$B$1256,SUBSTITUTE(SUBSTITUTE(SUBSTITUTE(E569,"~","~~"),"*","~*"),"?","~?"))&gt;0,"KNOWN","REVIEW: new call; refresh sources"))</f>
        <v/>
      </c>
    </row>
    <row r="570" spans="1:18" ht="25" customHeight="1">
      <c r="A570" s="12"/>
      <c r="B570" s="8"/>
      <c r="C570" s="8"/>
      <c r="D570" s="8"/>
      <c r="E570" s="8"/>
      <c r="F570" s="8"/>
      <c r="G570" s="8"/>
      <c r="H570" s="8"/>
      <c r="I570" s="11"/>
      <c r="J570" s="12"/>
      <c r="K570" s="12"/>
      <c r="L570" s="8"/>
      <c r="M570" s="8"/>
      <c r="N570" s="8"/>
      <c r="O570" s="8"/>
      <c r="P570" s="8"/>
      <c r="Q570" s="8">
        <f>IF(B570="","",IF(B570="P","P&amp;10",B570&amp;"D "&amp;C570))</f>
        <v/>
      </c>
      <c r="R570" s="8">
        <f>IF(L570&lt;&gt;"Y","",IF(COUNTIF('DEF_CALL_DECISION_SUPPORT'!$B$1197:$B$1256,SUBSTITUTE(SUBSTITUTE(SUBSTITUTE(E570,"~","~~"),"*","~*"),"?","~?"))&gt;0,"KNOWN","REVIEW: new call; refresh sources"))</f>
        <v/>
      </c>
    </row>
    <row r="571" spans="1:18" ht="25" customHeight="1">
      <c r="A571" s="12"/>
      <c r="B571" s="8"/>
      <c r="C571" s="8"/>
      <c r="D571" s="8"/>
      <c r="E571" s="8"/>
      <c r="F571" s="8"/>
      <c r="G571" s="8"/>
      <c r="H571" s="8"/>
      <c r="I571" s="11"/>
      <c r="J571" s="12"/>
      <c r="K571" s="12"/>
      <c r="L571" s="8"/>
      <c r="M571" s="8"/>
      <c r="N571" s="8"/>
      <c r="O571" s="8"/>
      <c r="P571" s="8"/>
      <c r="Q571" s="8">
        <f>IF(B571="","",IF(B571="P","P&amp;10",B571&amp;"D "&amp;C571))</f>
        <v/>
      </c>
      <c r="R571" s="8">
        <f>IF(L571&lt;&gt;"Y","",IF(COUNTIF('DEF_CALL_DECISION_SUPPORT'!$B$1197:$B$1256,SUBSTITUTE(SUBSTITUTE(SUBSTITUTE(E571,"~","~~"),"*","~*"),"?","~?"))&gt;0,"KNOWN","REVIEW: new call; refresh sources"))</f>
        <v/>
      </c>
    </row>
    <row r="572" spans="1:18" ht="25" customHeight="1">
      <c r="A572" s="12"/>
      <c r="B572" s="8"/>
      <c r="C572" s="8"/>
      <c r="D572" s="8"/>
      <c r="E572" s="8"/>
      <c r="F572" s="8"/>
      <c r="G572" s="8"/>
      <c r="H572" s="8"/>
      <c r="I572" s="11"/>
      <c r="J572" s="12"/>
      <c r="K572" s="12"/>
      <c r="L572" s="8"/>
      <c r="M572" s="8"/>
      <c r="N572" s="8"/>
      <c r="O572" s="8"/>
      <c r="P572" s="8"/>
      <c r="Q572" s="8">
        <f>IF(B572="","",IF(B572="P","P&amp;10",B572&amp;"D "&amp;C572))</f>
        <v/>
      </c>
      <c r="R572" s="8">
        <f>IF(L572&lt;&gt;"Y","",IF(COUNTIF('DEF_CALL_DECISION_SUPPORT'!$B$1197:$B$1256,SUBSTITUTE(SUBSTITUTE(SUBSTITUTE(E572,"~","~~"),"*","~*"),"?","~?"))&gt;0,"KNOWN","REVIEW: new call; refresh sources"))</f>
        <v/>
      </c>
    </row>
    <row r="573" spans="1:18" ht="25" customHeight="1">
      <c r="A573" s="12"/>
      <c r="B573" s="8"/>
      <c r="C573" s="8"/>
      <c r="D573" s="8"/>
      <c r="E573" s="8"/>
      <c r="F573" s="8"/>
      <c r="G573" s="8"/>
      <c r="H573" s="8"/>
      <c r="I573" s="11"/>
      <c r="J573" s="12"/>
      <c r="K573" s="12"/>
      <c r="L573" s="8"/>
      <c r="M573" s="8"/>
      <c r="N573" s="8"/>
      <c r="O573" s="8"/>
      <c r="P573" s="8"/>
      <c r="Q573" s="8">
        <f>IF(B573="","",IF(B573="P","P&amp;10",B573&amp;"D "&amp;C573))</f>
        <v/>
      </c>
      <c r="R573" s="8">
        <f>IF(L573&lt;&gt;"Y","",IF(COUNTIF('DEF_CALL_DECISION_SUPPORT'!$B$1197:$B$1256,SUBSTITUTE(SUBSTITUTE(SUBSTITUTE(E573,"~","~~"),"*","~*"),"?","~?"))&gt;0,"KNOWN","REVIEW: new call; refresh sources"))</f>
        <v/>
      </c>
    </row>
    <row r="574" spans="1:18" ht="25" customHeight="1">
      <c r="A574" s="12"/>
      <c r="B574" s="8"/>
      <c r="C574" s="8"/>
      <c r="D574" s="8"/>
      <c r="E574" s="8"/>
      <c r="F574" s="8"/>
      <c r="G574" s="8"/>
      <c r="H574" s="8"/>
      <c r="I574" s="11"/>
      <c r="J574" s="12"/>
      <c r="K574" s="12"/>
      <c r="L574" s="8"/>
      <c r="M574" s="8"/>
      <c r="N574" s="8"/>
      <c r="O574" s="8"/>
      <c r="P574" s="8"/>
      <c r="Q574" s="8">
        <f>IF(B574="","",IF(B574="P","P&amp;10",B574&amp;"D "&amp;C574))</f>
        <v/>
      </c>
      <c r="R574" s="8">
        <f>IF(L574&lt;&gt;"Y","",IF(COUNTIF('DEF_CALL_DECISION_SUPPORT'!$B$1197:$B$1256,SUBSTITUTE(SUBSTITUTE(SUBSTITUTE(E574,"~","~~"),"*","~*"),"?","~?"))&gt;0,"KNOWN","REVIEW: new call; refresh sources"))</f>
        <v/>
      </c>
    </row>
    <row r="575" spans="1:18" ht="25" customHeight="1">
      <c r="A575" s="12"/>
      <c r="B575" s="8"/>
      <c r="C575" s="8"/>
      <c r="D575" s="8"/>
      <c r="E575" s="8"/>
      <c r="F575" s="8"/>
      <c r="G575" s="8"/>
      <c r="H575" s="8"/>
      <c r="I575" s="11"/>
      <c r="J575" s="12"/>
      <c r="K575" s="12"/>
      <c r="L575" s="8"/>
      <c r="M575" s="8"/>
      <c r="N575" s="8"/>
      <c r="O575" s="8"/>
      <c r="P575" s="8"/>
      <c r="Q575" s="8">
        <f>IF(B575="","",IF(B575="P","P&amp;10",B575&amp;"D "&amp;C575))</f>
        <v/>
      </c>
      <c r="R575" s="8">
        <f>IF(L575&lt;&gt;"Y","",IF(COUNTIF('DEF_CALL_DECISION_SUPPORT'!$B$1197:$B$1256,SUBSTITUTE(SUBSTITUTE(SUBSTITUTE(E575,"~","~~"),"*","~*"),"?","~?"))&gt;0,"KNOWN","REVIEW: new call; refresh sources"))</f>
        <v/>
      </c>
    </row>
    <row r="576" spans="1:18" ht="25" customHeight="1">
      <c r="A576" s="12"/>
      <c r="B576" s="8"/>
      <c r="C576" s="8"/>
      <c r="D576" s="8"/>
      <c r="E576" s="8"/>
      <c r="F576" s="8"/>
      <c r="G576" s="8"/>
      <c r="H576" s="8"/>
      <c r="I576" s="11"/>
      <c r="J576" s="12"/>
      <c r="K576" s="12"/>
      <c r="L576" s="8"/>
      <c r="M576" s="8"/>
      <c r="N576" s="8"/>
      <c r="O576" s="8"/>
      <c r="P576" s="8"/>
      <c r="Q576" s="8">
        <f>IF(B576="","",IF(B576="P","P&amp;10",B576&amp;"D "&amp;C576))</f>
        <v/>
      </c>
      <c r="R576" s="8">
        <f>IF(L576&lt;&gt;"Y","",IF(COUNTIF('DEF_CALL_DECISION_SUPPORT'!$B$1197:$B$1256,SUBSTITUTE(SUBSTITUTE(SUBSTITUTE(E576,"~","~~"),"*","~*"),"?","~?"))&gt;0,"KNOWN","REVIEW: new call; refresh sources"))</f>
        <v/>
      </c>
    </row>
    <row r="577" spans="1:18" ht="25" customHeight="1">
      <c r="A577" s="12"/>
      <c r="B577" s="8"/>
      <c r="C577" s="8"/>
      <c r="D577" s="8"/>
      <c r="E577" s="8"/>
      <c r="F577" s="8"/>
      <c r="G577" s="8"/>
      <c r="H577" s="8"/>
      <c r="I577" s="11"/>
      <c r="J577" s="12"/>
      <c r="K577" s="12"/>
      <c r="L577" s="8"/>
      <c r="M577" s="8"/>
      <c r="N577" s="8"/>
      <c r="O577" s="8"/>
      <c r="P577" s="8"/>
      <c r="Q577" s="8">
        <f>IF(B577="","",IF(B577="P","P&amp;10",B577&amp;"D "&amp;C577))</f>
        <v/>
      </c>
      <c r="R577" s="8">
        <f>IF(L577&lt;&gt;"Y","",IF(COUNTIF('DEF_CALL_DECISION_SUPPORT'!$B$1197:$B$1256,SUBSTITUTE(SUBSTITUTE(SUBSTITUTE(E577,"~","~~"),"*","~*"),"?","~?"))&gt;0,"KNOWN","REVIEW: new call; refresh sources"))</f>
        <v/>
      </c>
    </row>
    <row r="578" spans="1:18" ht="25" customHeight="1">
      <c r="A578" s="12"/>
      <c r="B578" s="8"/>
      <c r="C578" s="8"/>
      <c r="D578" s="8"/>
      <c r="E578" s="8"/>
      <c r="F578" s="8"/>
      <c r="G578" s="8"/>
      <c r="H578" s="8"/>
      <c r="I578" s="11"/>
      <c r="J578" s="12"/>
      <c r="K578" s="12"/>
      <c r="L578" s="8"/>
      <c r="M578" s="8"/>
      <c r="N578" s="8"/>
      <c r="O578" s="8"/>
      <c r="P578" s="8"/>
      <c r="Q578" s="8">
        <f>IF(B578="","",IF(B578="P","P&amp;10",B578&amp;"D "&amp;C578))</f>
        <v/>
      </c>
      <c r="R578" s="8">
        <f>IF(L578&lt;&gt;"Y","",IF(COUNTIF('DEF_CALL_DECISION_SUPPORT'!$B$1197:$B$1256,SUBSTITUTE(SUBSTITUTE(SUBSTITUTE(E578,"~","~~"),"*","~*"),"?","~?"))&gt;0,"KNOWN","REVIEW: new call; refresh sources"))</f>
        <v/>
      </c>
    </row>
    <row r="579" spans="1:18" ht="25" customHeight="1">
      <c r="A579" s="12"/>
      <c r="B579" s="8"/>
      <c r="C579" s="8"/>
      <c r="D579" s="8"/>
      <c r="E579" s="8"/>
      <c r="F579" s="8"/>
      <c r="G579" s="8"/>
      <c r="H579" s="8"/>
      <c r="I579" s="11"/>
      <c r="J579" s="12"/>
      <c r="K579" s="12"/>
      <c r="L579" s="8"/>
      <c r="M579" s="8"/>
      <c r="N579" s="8"/>
      <c r="O579" s="8"/>
      <c r="P579" s="8"/>
      <c r="Q579" s="8">
        <f>IF(B579="","",IF(B579="P","P&amp;10",B579&amp;"D "&amp;C579))</f>
        <v/>
      </c>
      <c r="R579" s="8">
        <f>IF(L579&lt;&gt;"Y","",IF(COUNTIF('DEF_CALL_DECISION_SUPPORT'!$B$1197:$B$1256,SUBSTITUTE(SUBSTITUTE(SUBSTITUTE(E579,"~","~~"),"*","~*"),"?","~?"))&gt;0,"KNOWN","REVIEW: new call; refresh sources"))</f>
        <v/>
      </c>
    </row>
    <row r="580" spans="1:18" ht="25" customHeight="1">
      <c r="A580" s="12"/>
      <c r="B580" s="8"/>
      <c r="C580" s="8"/>
      <c r="D580" s="8"/>
      <c r="E580" s="8"/>
      <c r="F580" s="8"/>
      <c r="G580" s="8"/>
      <c r="H580" s="8"/>
      <c r="I580" s="11"/>
      <c r="J580" s="12"/>
      <c r="K580" s="12"/>
      <c r="L580" s="8"/>
      <c r="M580" s="8"/>
      <c r="N580" s="8"/>
      <c r="O580" s="8"/>
      <c r="P580" s="8"/>
      <c r="Q580" s="8">
        <f>IF(B580="","",IF(B580="P","P&amp;10",B580&amp;"D "&amp;C580))</f>
        <v/>
      </c>
      <c r="R580" s="8">
        <f>IF(L580&lt;&gt;"Y","",IF(COUNTIF('DEF_CALL_DECISION_SUPPORT'!$B$1197:$B$1256,SUBSTITUTE(SUBSTITUTE(SUBSTITUTE(E580,"~","~~"),"*","~*"),"?","~?"))&gt;0,"KNOWN","REVIEW: new call; refresh sources"))</f>
        <v/>
      </c>
    </row>
    <row r="581" spans="1:18" ht="25" customHeight="1">
      <c r="A581" s="12"/>
      <c r="B581" s="8"/>
      <c r="C581" s="8"/>
      <c r="D581" s="8"/>
      <c r="E581" s="8"/>
      <c r="F581" s="8"/>
      <c r="G581" s="8"/>
      <c r="H581" s="8"/>
      <c r="I581" s="11"/>
      <c r="J581" s="12"/>
      <c r="K581" s="12"/>
      <c r="L581" s="8"/>
      <c r="M581" s="8"/>
      <c r="N581" s="8"/>
      <c r="O581" s="8"/>
      <c r="P581" s="8"/>
      <c r="Q581" s="8">
        <f>IF(B581="","",IF(B581="P","P&amp;10",B581&amp;"D "&amp;C581))</f>
        <v/>
      </c>
      <c r="R581" s="8">
        <f>IF(L581&lt;&gt;"Y","",IF(COUNTIF('DEF_CALL_DECISION_SUPPORT'!$B$1197:$B$1256,SUBSTITUTE(SUBSTITUTE(SUBSTITUTE(E581,"~","~~"),"*","~*"),"?","~?"))&gt;0,"KNOWN","REVIEW: new call; refresh sources"))</f>
        <v/>
      </c>
    </row>
    <row r="582" spans="1:18" ht="25" customHeight="1">
      <c r="A582" s="12"/>
      <c r="B582" s="8"/>
      <c r="C582" s="8"/>
      <c r="D582" s="8"/>
      <c r="E582" s="8"/>
      <c r="F582" s="8"/>
      <c r="G582" s="8"/>
      <c r="H582" s="8"/>
      <c r="I582" s="11"/>
      <c r="J582" s="12"/>
      <c r="K582" s="12"/>
      <c r="L582" s="8"/>
      <c r="M582" s="8"/>
      <c r="N582" s="8"/>
      <c r="O582" s="8"/>
      <c r="P582" s="8"/>
      <c r="Q582" s="8">
        <f>IF(B582="","",IF(B582="P","P&amp;10",B582&amp;"D "&amp;C582))</f>
        <v/>
      </c>
      <c r="R582" s="8">
        <f>IF(L582&lt;&gt;"Y","",IF(COUNTIF('DEF_CALL_DECISION_SUPPORT'!$B$1197:$B$1256,SUBSTITUTE(SUBSTITUTE(SUBSTITUTE(E582,"~","~~"),"*","~*"),"?","~?"))&gt;0,"KNOWN","REVIEW: new call; refresh sources"))</f>
        <v/>
      </c>
    </row>
    <row r="583" spans="1:18" ht="25" customHeight="1">
      <c r="A583" s="12"/>
      <c r="B583" s="8"/>
      <c r="C583" s="8"/>
      <c r="D583" s="8"/>
      <c r="E583" s="8"/>
      <c r="F583" s="8"/>
      <c r="G583" s="8"/>
      <c r="H583" s="8"/>
      <c r="I583" s="11"/>
      <c r="J583" s="12"/>
      <c r="K583" s="12"/>
      <c r="L583" s="8"/>
      <c r="M583" s="8"/>
      <c r="N583" s="8"/>
      <c r="O583" s="8"/>
      <c r="P583" s="8"/>
      <c r="Q583" s="8">
        <f>IF(B583="","",IF(B583="P","P&amp;10",B583&amp;"D "&amp;C583))</f>
        <v/>
      </c>
      <c r="R583" s="8">
        <f>IF(L583&lt;&gt;"Y","",IF(COUNTIF('DEF_CALL_DECISION_SUPPORT'!$B$1197:$B$1256,SUBSTITUTE(SUBSTITUTE(SUBSTITUTE(E583,"~","~~"),"*","~*"),"?","~?"))&gt;0,"KNOWN","REVIEW: new call; refresh sources"))</f>
        <v/>
      </c>
    </row>
    <row r="584" spans="1:18" ht="25" customHeight="1">
      <c r="A584" s="12"/>
      <c r="B584" s="8"/>
      <c r="C584" s="8"/>
      <c r="D584" s="8"/>
      <c r="E584" s="8"/>
      <c r="F584" s="8"/>
      <c r="G584" s="8"/>
      <c r="H584" s="8"/>
      <c r="I584" s="11"/>
      <c r="J584" s="12"/>
      <c r="K584" s="12"/>
      <c r="L584" s="8"/>
      <c r="M584" s="8"/>
      <c r="N584" s="8"/>
      <c r="O584" s="8"/>
      <c r="P584" s="8"/>
      <c r="Q584" s="8">
        <f>IF(B584="","",IF(B584="P","P&amp;10",B584&amp;"D "&amp;C584))</f>
        <v/>
      </c>
      <c r="R584" s="8">
        <f>IF(L584&lt;&gt;"Y","",IF(COUNTIF('DEF_CALL_DECISION_SUPPORT'!$B$1197:$B$1256,SUBSTITUTE(SUBSTITUTE(SUBSTITUTE(E584,"~","~~"),"*","~*"),"?","~?"))&gt;0,"KNOWN","REVIEW: new call; refresh sources"))</f>
        <v/>
      </c>
    </row>
    <row r="585" spans="1:18" ht="25" customHeight="1">
      <c r="A585" s="12"/>
      <c r="B585" s="8"/>
      <c r="C585" s="8"/>
      <c r="D585" s="8"/>
      <c r="E585" s="8"/>
      <c r="F585" s="8"/>
      <c r="G585" s="8"/>
      <c r="H585" s="8"/>
      <c r="I585" s="11"/>
      <c r="J585" s="12"/>
      <c r="K585" s="12"/>
      <c r="L585" s="8"/>
      <c r="M585" s="8"/>
      <c r="N585" s="8"/>
      <c r="O585" s="8"/>
      <c r="P585" s="8"/>
      <c r="Q585" s="8">
        <f>IF(B585="","",IF(B585="P","P&amp;10",B585&amp;"D "&amp;C585))</f>
        <v/>
      </c>
      <c r="R585" s="8">
        <f>IF(L585&lt;&gt;"Y","",IF(COUNTIF('DEF_CALL_DECISION_SUPPORT'!$B$1197:$B$1256,SUBSTITUTE(SUBSTITUTE(SUBSTITUTE(E585,"~","~~"),"*","~*"),"?","~?"))&gt;0,"KNOWN","REVIEW: new call; refresh sources"))</f>
        <v/>
      </c>
    </row>
    <row r="586" spans="1:18" ht="25" customHeight="1">
      <c r="A586" s="12"/>
      <c r="B586" s="8"/>
      <c r="C586" s="8"/>
      <c r="D586" s="8"/>
      <c r="E586" s="8"/>
      <c r="F586" s="8"/>
      <c r="G586" s="8"/>
      <c r="H586" s="8"/>
      <c r="I586" s="11"/>
      <c r="J586" s="12"/>
      <c r="K586" s="12"/>
      <c r="L586" s="8"/>
      <c r="M586" s="8"/>
      <c r="N586" s="8"/>
      <c r="O586" s="8"/>
      <c r="P586" s="8"/>
      <c r="Q586" s="8">
        <f>IF(B586="","",IF(B586="P","P&amp;10",B586&amp;"D "&amp;C586))</f>
        <v/>
      </c>
      <c r="R586" s="8">
        <f>IF(L586&lt;&gt;"Y","",IF(COUNTIF('DEF_CALL_DECISION_SUPPORT'!$B$1197:$B$1256,SUBSTITUTE(SUBSTITUTE(SUBSTITUTE(E586,"~","~~"),"*","~*"),"?","~?"))&gt;0,"KNOWN","REVIEW: new call; refresh sources"))</f>
        <v/>
      </c>
    </row>
    <row r="587" spans="1:18" ht="25" customHeight="1">
      <c r="A587" s="12"/>
      <c r="B587" s="8"/>
      <c r="C587" s="8"/>
      <c r="D587" s="8"/>
      <c r="E587" s="8"/>
      <c r="F587" s="8"/>
      <c r="G587" s="8"/>
      <c r="H587" s="8"/>
      <c r="I587" s="11"/>
      <c r="J587" s="12"/>
      <c r="K587" s="12"/>
      <c r="L587" s="8"/>
      <c r="M587" s="8"/>
      <c r="N587" s="8"/>
      <c r="O587" s="8"/>
      <c r="P587" s="8"/>
      <c r="Q587" s="8">
        <f>IF(B587="","",IF(B587="P","P&amp;10",B587&amp;"D "&amp;C587))</f>
        <v/>
      </c>
      <c r="R587" s="8">
        <f>IF(L587&lt;&gt;"Y","",IF(COUNTIF('DEF_CALL_DECISION_SUPPORT'!$B$1197:$B$1256,SUBSTITUTE(SUBSTITUTE(SUBSTITUTE(E587,"~","~~"),"*","~*"),"?","~?"))&gt;0,"KNOWN","REVIEW: new call; refresh sources"))</f>
        <v/>
      </c>
    </row>
    <row r="588" spans="1:18" ht="25" customHeight="1">
      <c r="A588" s="12"/>
      <c r="B588" s="8"/>
      <c r="C588" s="8"/>
      <c r="D588" s="8"/>
      <c r="E588" s="8"/>
      <c r="F588" s="8"/>
      <c r="G588" s="8"/>
      <c r="H588" s="8"/>
      <c r="I588" s="11"/>
      <c r="J588" s="12"/>
      <c r="K588" s="12"/>
      <c r="L588" s="8"/>
      <c r="M588" s="8"/>
      <c r="N588" s="8"/>
      <c r="O588" s="8"/>
      <c r="P588" s="8"/>
      <c r="Q588" s="8">
        <f>IF(B588="","",IF(B588="P","P&amp;10",B588&amp;"D "&amp;C588))</f>
        <v/>
      </c>
      <c r="R588" s="8">
        <f>IF(L588&lt;&gt;"Y","",IF(COUNTIF('DEF_CALL_DECISION_SUPPORT'!$B$1197:$B$1256,SUBSTITUTE(SUBSTITUTE(SUBSTITUTE(E588,"~","~~"),"*","~*"),"?","~?"))&gt;0,"KNOWN","REVIEW: new call; refresh sources"))</f>
        <v/>
      </c>
    </row>
    <row r="589" spans="1:18" ht="25" customHeight="1">
      <c r="A589" s="12"/>
      <c r="B589" s="8"/>
      <c r="C589" s="8"/>
      <c r="D589" s="8"/>
      <c r="E589" s="8"/>
      <c r="F589" s="8"/>
      <c r="G589" s="8"/>
      <c r="H589" s="8"/>
      <c r="I589" s="11"/>
      <c r="J589" s="12"/>
      <c r="K589" s="12"/>
      <c r="L589" s="8"/>
      <c r="M589" s="8"/>
      <c r="N589" s="8"/>
      <c r="O589" s="8"/>
      <c r="P589" s="8"/>
      <c r="Q589" s="8">
        <f>IF(B589="","",IF(B589="P","P&amp;10",B589&amp;"D "&amp;C589))</f>
        <v/>
      </c>
      <c r="R589" s="8">
        <f>IF(L589&lt;&gt;"Y","",IF(COUNTIF('DEF_CALL_DECISION_SUPPORT'!$B$1197:$B$1256,SUBSTITUTE(SUBSTITUTE(SUBSTITUTE(E589,"~","~~"),"*","~*"),"?","~?"))&gt;0,"KNOWN","REVIEW: new call; refresh sources"))</f>
        <v/>
      </c>
    </row>
    <row r="590" spans="1:18" ht="25" customHeight="1">
      <c r="A590" s="12"/>
      <c r="B590" s="8"/>
      <c r="C590" s="8"/>
      <c r="D590" s="8"/>
      <c r="E590" s="8"/>
      <c r="F590" s="8"/>
      <c r="G590" s="8"/>
      <c r="H590" s="8"/>
      <c r="I590" s="11"/>
      <c r="J590" s="12"/>
      <c r="K590" s="12"/>
      <c r="L590" s="8"/>
      <c r="M590" s="8"/>
      <c r="N590" s="8"/>
      <c r="O590" s="8"/>
      <c r="P590" s="8"/>
      <c r="Q590" s="8">
        <f>IF(B590="","",IF(B590="P","P&amp;10",B590&amp;"D "&amp;C590))</f>
        <v/>
      </c>
      <c r="R590" s="8">
        <f>IF(L590&lt;&gt;"Y","",IF(COUNTIF('DEF_CALL_DECISION_SUPPORT'!$B$1197:$B$1256,SUBSTITUTE(SUBSTITUTE(SUBSTITUTE(E590,"~","~~"),"*","~*"),"?","~?"))&gt;0,"KNOWN","REVIEW: new call; refresh sources"))</f>
        <v/>
      </c>
    </row>
    <row r="591" spans="1:18" ht="25" customHeight="1">
      <c r="A591" s="12"/>
      <c r="B591" s="8"/>
      <c r="C591" s="8"/>
      <c r="D591" s="8"/>
      <c r="E591" s="8"/>
      <c r="F591" s="8"/>
      <c r="G591" s="8"/>
      <c r="H591" s="8"/>
      <c r="I591" s="11"/>
      <c r="J591" s="12"/>
      <c r="K591" s="12"/>
      <c r="L591" s="8"/>
      <c r="M591" s="8"/>
      <c r="N591" s="8"/>
      <c r="O591" s="8"/>
      <c r="P591" s="8"/>
      <c r="Q591" s="8">
        <f>IF(B591="","",IF(B591="P","P&amp;10",B591&amp;"D "&amp;C591))</f>
        <v/>
      </c>
      <c r="R591" s="8">
        <f>IF(L591&lt;&gt;"Y","",IF(COUNTIF('DEF_CALL_DECISION_SUPPORT'!$B$1197:$B$1256,SUBSTITUTE(SUBSTITUTE(SUBSTITUTE(E591,"~","~~"),"*","~*"),"?","~?"))&gt;0,"KNOWN","REVIEW: new call; refresh sources"))</f>
        <v/>
      </c>
    </row>
    <row r="592" spans="1:18" ht="25" customHeight="1">
      <c r="A592" s="12"/>
      <c r="B592" s="8"/>
      <c r="C592" s="8"/>
      <c r="D592" s="8"/>
      <c r="E592" s="8"/>
      <c r="F592" s="8"/>
      <c r="G592" s="8"/>
      <c r="H592" s="8"/>
      <c r="I592" s="11"/>
      <c r="J592" s="12"/>
      <c r="K592" s="12"/>
      <c r="L592" s="8"/>
      <c r="M592" s="8"/>
      <c r="N592" s="8"/>
      <c r="O592" s="8"/>
      <c r="P592" s="8"/>
      <c r="Q592" s="8">
        <f>IF(B592="","",IF(B592="P","P&amp;10",B592&amp;"D "&amp;C592))</f>
        <v/>
      </c>
      <c r="R592" s="8">
        <f>IF(L592&lt;&gt;"Y","",IF(COUNTIF('DEF_CALL_DECISION_SUPPORT'!$B$1197:$B$1256,SUBSTITUTE(SUBSTITUTE(SUBSTITUTE(E592,"~","~~"),"*","~*"),"?","~?"))&gt;0,"KNOWN","REVIEW: new call; refresh sources"))</f>
        <v/>
      </c>
    </row>
    <row r="593" spans="1:18" ht="25" customHeight="1">
      <c r="A593" s="12"/>
      <c r="B593" s="8"/>
      <c r="C593" s="8"/>
      <c r="D593" s="8"/>
      <c r="E593" s="8"/>
      <c r="F593" s="8"/>
      <c r="G593" s="8"/>
      <c r="H593" s="8"/>
      <c r="I593" s="11"/>
      <c r="J593" s="12"/>
      <c r="K593" s="12"/>
      <c r="L593" s="8"/>
      <c r="M593" s="8"/>
      <c r="N593" s="8"/>
      <c r="O593" s="8"/>
      <c r="P593" s="8"/>
      <c r="Q593" s="8">
        <f>IF(B593="","",IF(B593="P","P&amp;10",B593&amp;"D "&amp;C593))</f>
        <v/>
      </c>
      <c r="R593" s="8">
        <f>IF(L593&lt;&gt;"Y","",IF(COUNTIF('DEF_CALL_DECISION_SUPPORT'!$B$1197:$B$1256,SUBSTITUTE(SUBSTITUTE(SUBSTITUTE(E593,"~","~~"),"*","~*"),"?","~?"))&gt;0,"KNOWN","REVIEW: new call; refresh sources"))</f>
        <v/>
      </c>
    </row>
    <row r="594" spans="1:18" ht="25" customHeight="1">
      <c r="A594" s="12"/>
      <c r="B594" s="8"/>
      <c r="C594" s="8"/>
      <c r="D594" s="8"/>
      <c r="E594" s="8"/>
      <c r="F594" s="8"/>
      <c r="G594" s="8"/>
      <c r="H594" s="8"/>
      <c r="I594" s="11"/>
      <c r="J594" s="12"/>
      <c r="K594" s="12"/>
      <c r="L594" s="8"/>
      <c r="M594" s="8"/>
      <c r="N594" s="8"/>
      <c r="O594" s="8"/>
      <c r="P594" s="8"/>
      <c r="Q594" s="8">
        <f>IF(B594="","",IF(B594="P","P&amp;10",B594&amp;"D "&amp;C594))</f>
        <v/>
      </c>
      <c r="R594" s="8">
        <f>IF(L594&lt;&gt;"Y","",IF(COUNTIF('DEF_CALL_DECISION_SUPPORT'!$B$1197:$B$1256,SUBSTITUTE(SUBSTITUTE(SUBSTITUTE(E594,"~","~~"),"*","~*"),"?","~?"))&gt;0,"KNOWN","REVIEW: new call; refresh sources"))</f>
        <v/>
      </c>
    </row>
    <row r="595" spans="1:18" ht="25" customHeight="1">
      <c r="A595" s="12"/>
      <c r="B595" s="8"/>
      <c r="C595" s="8"/>
      <c r="D595" s="8"/>
      <c r="E595" s="8"/>
      <c r="F595" s="8"/>
      <c r="G595" s="8"/>
      <c r="H595" s="8"/>
      <c r="I595" s="11"/>
      <c r="J595" s="12"/>
      <c r="K595" s="12"/>
      <c r="L595" s="8"/>
      <c r="M595" s="8"/>
      <c r="N595" s="8"/>
      <c r="O595" s="8"/>
      <c r="P595" s="8"/>
      <c r="Q595" s="8">
        <f>IF(B595="","",IF(B595="P","P&amp;10",B595&amp;"D "&amp;C595))</f>
        <v/>
      </c>
      <c r="R595" s="8">
        <f>IF(L595&lt;&gt;"Y","",IF(COUNTIF('DEF_CALL_DECISION_SUPPORT'!$B$1197:$B$1256,SUBSTITUTE(SUBSTITUTE(SUBSTITUTE(E595,"~","~~"),"*","~*"),"?","~?"))&gt;0,"KNOWN","REVIEW: new call; refresh sources"))</f>
        <v/>
      </c>
    </row>
    <row r="596" spans="1:18" ht="25" customHeight="1">
      <c r="A596" s="12"/>
      <c r="B596" s="8"/>
      <c r="C596" s="8"/>
      <c r="D596" s="8"/>
      <c r="E596" s="8"/>
      <c r="F596" s="8"/>
      <c r="G596" s="8"/>
      <c r="H596" s="8"/>
      <c r="I596" s="11"/>
      <c r="J596" s="12"/>
      <c r="K596" s="12"/>
      <c r="L596" s="8"/>
      <c r="M596" s="8"/>
      <c r="N596" s="8"/>
      <c r="O596" s="8"/>
      <c r="P596" s="8"/>
      <c r="Q596" s="8">
        <f>IF(B596="","",IF(B596="P","P&amp;10",B596&amp;"D "&amp;C596))</f>
        <v/>
      </c>
      <c r="R596" s="8">
        <f>IF(L596&lt;&gt;"Y","",IF(COUNTIF('DEF_CALL_DECISION_SUPPORT'!$B$1197:$B$1256,SUBSTITUTE(SUBSTITUTE(SUBSTITUTE(E596,"~","~~"),"*","~*"),"?","~?"))&gt;0,"KNOWN","REVIEW: new call; refresh sources"))</f>
        <v/>
      </c>
    </row>
    <row r="597" spans="1:18" ht="25" customHeight="1">
      <c r="A597" s="12"/>
      <c r="B597" s="8"/>
      <c r="C597" s="8"/>
      <c r="D597" s="8"/>
      <c r="E597" s="8"/>
      <c r="F597" s="8"/>
      <c r="G597" s="8"/>
      <c r="H597" s="8"/>
      <c r="I597" s="11"/>
      <c r="J597" s="12"/>
      <c r="K597" s="12"/>
      <c r="L597" s="8"/>
      <c r="M597" s="8"/>
      <c r="N597" s="8"/>
      <c r="O597" s="8"/>
      <c r="P597" s="8"/>
      <c r="Q597" s="8">
        <f>IF(B597="","",IF(B597="P","P&amp;10",B597&amp;"D "&amp;C597))</f>
        <v/>
      </c>
      <c r="R597" s="8">
        <f>IF(L597&lt;&gt;"Y","",IF(COUNTIF('DEF_CALL_DECISION_SUPPORT'!$B$1197:$B$1256,SUBSTITUTE(SUBSTITUTE(SUBSTITUTE(E597,"~","~~"),"*","~*"),"?","~?"))&gt;0,"KNOWN","REVIEW: new call; refresh sources"))</f>
        <v/>
      </c>
    </row>
    <row r="598" spans="1:18" ht="25" customHeight="1">
      <c r="A598" s="12"/>
      <c r="B598" s="8"/>
      <c r="C598" s="8"/>
      <c r="D598" s="8"/>
      <c r="E598" s="8"/>
      <c r="F598" s="8"/>
      <c r="G598" s="8"/>
      <c r="H598" s="8"/>
      <c r="I598" s="11"/>
      <c r="J598" s="12"/>
      <c r="K598" s="12"/>
      <c r="L598" s="8"/>
      <c r="M598" s="8"/>
      <c r="N598" s="8"/>
      <c r="O598" s="8"/>
      <c r="P598" s="8"/>
      <c r="Q598" s="8">
        <f>IF(B598="","",IF(B598="P","P&amp;10",B598&amp;"D "&amp;C598))</f>
        <v/>
      </c>
      <c r="R598" s="8">
        <f>IF(L598&lt;&gt;"Y","",IF(COUNTIF('DEF_CALL_DECISION_SUPPORT'!$B$1197:$B$1256,SUBSTITUTE(SUBSTITUTE(SUBSTITUTE(E598,"~","~~"),"*","~*"),"?","~?"))&gt;0,"KNOWN","REVIEW: new call; refresh sources"))</f>
        <v/>
      </c>
    </row>
    <row r="599" spans="1:18" ht="25" customHeight="1">
      <c r="A599" s="12"/>
      <c r="B599" s="8"/>
      <c r="C599" s="8"/>
      <c r="D599" s="8"/>
      <c r="E599" s="8"/>
      <c r="F599" s="8"/>
      <c r="G599" s="8"/>
      <c r="H599" s="8"/>
      <c r="I599" s="11"/>
      <c r="J599" s="12"/>
      <c r="K599" s="12"/>
      <c r="L599" s="8"/>
      <c r="M599" s="8"/>
      <c r="N599" s="8"/>
      <c r="O599" s="8"/>
      <c r="P599" s="8"/>
      <c r="Q599" s="8">
        <f>IF(B599="","",IF(B599="P","P&amp;10",B599&amp;"D "&amp;C599))</f>
        <v/>
      </c>
      <c r="R599" s="8">
        <f>IF(L599&lt;&gt;"Y","",IF(COUNTIF('DEF_CALL_DECISION_SUPPORT'!$B$1197:$B$1256,SUBSTITUTE(SUBSTITUTE(SUBSTITUTE(E599,"~","~~"),"*","~*"),"?","~?"))&gt;0,"KNOWN","REVIEW: new call; refresh sources"))</f>
        <v/>
      </c>
    </row>
    <row r="600" spans="1:18" ht="25" customHeight="1">
      <c r="A600" s="12"/>
      <c r="B600" s="8"/>
      <c r="C600" s="8"/>
      <c r="D600" s="8"/>
      <c r="E600" s="8"/>
      <c r="F600" s="8"/>
      <c r="G600" s="8"/>
      <c r="H600" s="8"/>
      <c r="I600" s="11"/>
      <c r="J600" s="12"/>
      <c r="K600" s="12"/>
      <c r="L600" s="8"/>
      <c r="M600" s="8"/>
      <c r="N600" s="8"/>
      <c r="O600" s="8"/>
      <c r="P600" s="8"/>
      <c r="Q600" s="8">
        <f>IF(B600="","",IF(B600="P","P&amp;10",B600&amp;"D "&amp;C600))</f>
        <v/>
      </c>
      <c r="R600" s="8">
        <f>IF(L600&lt;&gt;"Y","",IF(COUNTIF('DEF_CALL_DECISION_SUPPORT'!$B$1197:$B$1256,SUBSTITUTE(SUBSTITUTE(SUBSTITUTE(E600,"~","~~"),"*","~*"),"?","~?"))&gt;0,"KNOWN","REVIEW: new call; refresh sources"))</f>
        <v/>
      </c>
    </row>
    <row r="601" spans="1:18" ht="25" customHeight="1">
      <c r="A601" s="12"/>
      <c r="B601" s="8"/>
      <c r="C601" s="8"/>
      <c r="D601" s="8"/>
      <c r="E601" s="8"/>
      <c r="F601" s="8"/>
      <c r="G601" s="8"/>
      <c r="H601" s="8"/>
      <c r="I601" s="11"/>
      <c r="J601" s="12"/>
      <c r="K601" s="12"/>
      <c r="L601" s="8"/>
      <c r="M601" s="8"/>
      <c r="N601" s="8"/>
      <c r="O601" s="8"/>
      <c r="P601" s="8"/>
      <c r="Q601" s="8">
        <f>IF(B601="","",IF(B601="P","P&amp;10",B601&amp;"D "&amp;C601))</f>
        <v/>
      </c>
      <c r="R601" s="8">
        <f>IF(L601&lt;&gt;"Y","",IF(COUNTIF('DEF_CALL_DECISION_SUPPORT'!$B$1197:$B$1256,SUBSTITUTE(SUBSTITUTE(SUBSTITUTE(E601,"~","~~"),"*","~*"),"?","~?"))&gt;0,"KNOWN","REVIEW: new call; refresh sources"))</f>
        <v/>
      </c>
    </row>
    <row r="602" spans="1:18" ht="25" customHeight="1">
      <c r="A602" s="12"/>
      <c r="B602" s="8"/>
      <c r="C602" s="8"/>
      <c r="D602" s="8"/>
      <c r="E602" s="8"/>
      <c r="F602" s="8"/>
      <c r="G602" s="8"/>
      <c r="H602" s="8"/>
      <c r="I602" s="11"/>
      <c r="J602" s="12"/>
      <c r="K602" s="12"/>
      <c r="L602" s="8"/>
      <c r="M602" s="8"/>
      <c r="N602" s="8"/>
      <c r="O602" s="8"/>
      <c r="P602" s="8"/>
      <c r="Q602" s="8">
        <f>IF(B602="","",IF(B602="P","P&amp;10",B602&amp;"D "&amp;C602))</f>
        <v/>
      </c>
      <c r="R602" s="8">
        <f>IF(L602&lt;&gt;"Y","",IF(COUNTIF('DEF_CALL_DECISION_SUPPORT'!$B$1197:$B$1256,SUBSTITUTE(SUBSTITUTE(SUBSTITUTE(E602,"~","~~"),"*","~*"),"?","~?"))&gt;0,"KNOWN","REVIEW: new call; refresh sources"))</f>
        <v/>
      </c>
    </row>
    <row r="603" spans="1:18" ht="25" customHeight="1">
      <c r="A603" s="12"/>
      <c r="B603" s="8"/>
      <c r="C603" s="8"/>
      <c r="D603" s="8"/>
      <c r="E603" s="8"/>
      <c r="F603" s="8"/>
      <c r="G603" s="8"/>
      <c r="H603" s="8"/>
      <c r="I603" s="11"/>
      <c r="J603" s="12"/>
      <c r="K603" s="12"/>
      <c r="L603" s="8"/>
      <c r="M603" s="8"/>
      <c r="N603" s="8"/>
      <c r="O603" s="8"/>
      <c r="P603" s="8"/>
      <c r="Q603" s="8">
        <f>IF(B603="","",IF(B603="P","P&amp;10",B603&amp;"D "&amp;C603))</f>
        <v/>
      </c>
      <c r="R603" s="8">
        <f>IF(L603&lt;&gt;"Y","",IF(COUNTIF('DEF_CALL_DECISION_SUPPORT'!$B$1197:$B$1256,SUBSTITUTE(SUBSTITUTE(SUBSTITUTE(E603,"~","~~"),"*","~*"),"?","~?"))&gt;0,"KNOWN","REVIEW: new call; refresh sources"))</f>
        <v/>
      </c>
    </row>
    <row r="604" spans="1:18" ht="25" customHeight="1">
      <c r="A604" s="12"/>
      <c r="B604" s="8"/>
      <c r="C604" s="8"/>
      <c r="D604" s="8"/>
      <c r="E604" s="8"/>
      <c r="F604" s="8"/>
      <c r="G604" s="8"/>
      <c r="H604" s="8"/>
      <c r="I604" s="11"/>
      <c r="J604" s="12"/>
      <c r="K604" s="12"/>
      <c r="L604" s="8"/>
      <c r="M604" s="8"/>
      <c r="N604" s="8"/>
      <c r="O604" s="8"/>
      <c r="P604" s="8"/>
      <c r="Q604" s="8">
        <f>IF(B604="","",IF(B604="P","P&amp;10",B604&amp;"D "&amp;C604))</f>
        <v/>
      </c>
      <c r="R604" s="8">
        <f>IF(L604&lt;&gt;"Y","",IF(COUNTIF('DEF_CALL_DECISION_SUPPORT'!$B$1197:$B$1256,SUBSTITUTE(SUBSTITUTE(SUBSTITUTE(E604,"~","~~"),"*","~*"),"?","~?"))&gt;0,"KNOWN","REVIEW: new call; refresh sources"))</f>
        <v/>
      </c>
    </row>
    <row r="605" spans="1:18" ht="25" customHeight="1">
      <c r="A605" s="12"/>
      <c r="B605" s="8"/>
      <c r="C605" s="8"/>
      <c r="D605" s="8"/>
      <c r="E605" s="8"/>
      <c r="F605" s="8"/>
      <c r="G605" s="8"/>
      <c r="H605" s="8"/>
      <c r="I605" s="11"/>
      <c r="J605" s="12"/>
      <c r="K605" s="12"/>
      <c r="L605" s="8"/>
      <c r="M605" s="8"/>
      <c r="N605" s="8"/>
      <c r="O605" s="8"/>
      <c r="P605" s="8"/>
      <c r="Q605" s="8">
        <f>IF(B605="","",IF(B605="P","P&amp;10",B605&amp;"D "&amp;C605))</f>
        <v/>
      </c>
      <c r="R605" s="8">
        <f>IF(L605&lt;&gt;"Y","",IF(COUNTIF('DEF_CALL_DECISION_SUPPORT'!$B$1197:$B$1256,SUBSTITUTE(SUBSTITUTE(SUBSTITUTE(E605,"~","~~"),"*","~*"),"?","~?"))&gt;0,"KNOWN","REVIEW: new call; refresh sources"))</f>
        <v/>
      </c>
    </row>
    <row r="606" spans="1:18" ht="25" customHeight="1">
      <c r="A606" s="12"/>
      <c r="B606" s="8"/>
      <c r="C606" s="8"/>
      <c r="D606" s="8"/>
      <c r="E606" s="8"/>
      <c r="F606" s="8"/>
      <c r="G606" s="8"/>
      <c r="H606" s="8"/>
      <c r="I606" s="11"/>
      <c r="J606" s="12"/>
      <c r="K606" s="12"/>
      <c r="L606" s="8"/>
      <c r="M606" s="8"/>
      <c r="N606" s="8"/>
      <c r="O606" s="8"/>
      <c r="P606" s="8"/>
      <c r="Q606" s="8">
        <f>IF(B606="","",IF(B606="P","P&amp;10",B606&amp;"D "&amp;C606))</f>
        <v/>
      </c>
      <c r="R606" s="8">
        <f>IF(L606&lt;&gt;"Y","",IF(COUNTIF('DEF_CALL_DECISION_SUPPORT'!$B$1197:$B$1256,SUBSTITUTE(SUBSTITUTE(SUBSTITUTE(E606,"~","~~"),"*","~*"),"?","~?"))&gt;0,"KNOWN","REVIEW: new call; refresh sources"))</f>
        <v/>
      </c>
    </row>
    <row r="607" spans="1:18" ht="25" customHeight="1">
      <c r="A607" s="12"/>
      <c r="B607" s="8"/>
      <c r="C607" s="8"/>
      <c r="D607" s="8"/>
      <c r="E607" s="8"/>
      <c r="F607" s="8"/>
      <c r="G607" s="8"/>
      <c r="H607" s="8"/>
      <c r="I607" s="11"/>
      <c r="J607" s="12"/>
      <c r="K607" s="12"/>
      <c r="L607" s="8"/>
      <c r="M607" s="8"/>
      <c r="N607" s="8"/>
      <c r="O607" s="8"/>
      <c r="P607" s="8"/>
      <c r="Q607" s="8">
        <f>IF(B607="","",IF(B607="P","P&amp;10",B607&amp;"D "&amp;C607))</f>
        <v/>
      </c>
      <c r="R607" s="8">
        <f>IF(L607&lt;&gt;"Y","",IF(COUNTIF('DEF_CALL_DECISION_SUPPORT'!$B$1197:$B$1256,SUBSTITUTE(SUBSTITUTE(SUBSTITUTE(E607,"~","~~"),"*","~*"),"?","~?"))&gt;0,"KNOWN","REVIEW: new call; refresh sources"))</f>
        <v/>
      </c>
    </row>
    <row r="608" spans="1:18" ht="25" customHeight="1">
      <c r="A608" s="12"/>
      <c r="B608" s="8"/>
      <c r="C608" s="8"/>
      <c r="D608" s="8"/>
      <c r="E608" s="8"/>
      <c r="F608" s="8"/>
      <c r="G608" s="8"/>
      <c r="H608" s="8"/>
      <c r="I608" s="11"/>
      <c r="J608" s="12"/>
      <c r="K608" s="12"/>
      <c r="L608" s="8"/>
      <c r="M608" s="8"/>
      <c r="N608" s="8"/>
      <c r="O608" s="8"/>
      <c r="P608" s="8"/>
      <c r="Q608" s="8">
        <f>IF(B608="","",IF(B608="P","P&amp;10",B608&amp;"D "&amp;C608))</f>
        <v/>
      </c>
      <c r="R608" s="8">
        <f>IF(L608&lt;&gt;"Y","",IF(COUNTIF('DEF_CALL_DECISION_SUPPORT'!$B$1197:$B$1256,SUBSTITUTE(SUBSTITUTE(SUBSTITUTE(E608,"~","~~"),"*","~*"),"?","~?"))&gt;0,"KNOWN","REVIEW: new call; refresh sources"))</f>
        <v/>
      </c>
    </row>
    <row r="609" spans="1:18" ht="25" customHeight="1">
      <c r="A609" s="12"/>
      <c r="B609" s="8"/>
      <c r="C609" s="8"/>
      <c r="D609" s="8"/>
      <c r="E609" s="8"/>
      <c r="F609" s="8"/>
      <c r="G609" s="8"/>
      <c r="H609" s="8"/>
      <c r="I609" s="11"/>
      <c r="J609" s="12"/>
      <c r="K609" s="12"/>
      <c r="L609" s="8"/>
      <c r="M609" s="8"/>
      <c r="N609" s="8"/>
      <c r="O609" s="8"/>
      <c r="P609" s="8"/>
      <c r="Q609" s="8">
        <f>IF(B609="","",IF(B609="P","P&amp;10",B609&amp;"D "&amp;C609))</f>
        <v/>
      </c>
      <c r="R609" s="8">
        <f>IF(L609&lt;&gt;"Y","",IF(COUNTIF('DEF_CALL_DECISION_SUPPORT'!$B$1197:$B$1256,SUBSTITUTE(SUBSTITUTE(SUBSTITUTE(E609,"~","~~"),"*","~*"),"?","~?"))&gt;0,"KNOWN","REVIEW: new call; refresh sources"))</f>
        <v/>
      </c>
    </row>
    <row r="610" spans="1:18" ht="25" customHeight="1">
      <c r="A610" s="12"/>
      <c r="B610" s="8"/>
      <c r="C610" s="8"/>
      <c r="D610" s="8"/>
      <c r="E610" s="8"/>
      <c r="F610" s="8"/>
      <c r="G610" s="8"/>
      <c r="H610" s="8"/>
      <c r="I610" s="11"/>
      <c r="J610" s="12"/>
      <c r="K610" s="12"/>
      <c r="L610" s="8"/>
      <c r="M610" s="8"/>
      <c r="N610" s="8"/>
      <c r="O610" s="8"/>
      <c r="P610" s="8"/>
      <c r="Q610" s="8">
        <f>IF(B610="","",IF(B610="P","P&amp;10",B610&amp;"D "&amp;C610))</f>
        <v/>
      </c>
      <c r="R610" s="8">
        <f>IF(L610&lt;&gt;"Y","",IF(COUNTIF('DEF_CALL_DECISION_SUPPORT'!$B$1197:$B$1256,SUBSTITUTE(SUBSTITUTE(SUBSTITUTE(E610,"~","~~"),"*","~*"),"?","~?"))&gt;0,"KNOWN","REVIEW: new call; refresh sources"))</f>
        <v/>
      </c>
    </row>
    <row r="611" spans="1:18" ht="25" customHeight="1">
      <c r="A611" s="12"/>
      <c r="B611" s="8"/>
      <c r="C611" s="8"/>
      <c r="D611" s="8"/>
      <c r="E611" s="8"/>
      <c r="F611" s="8"/>
      <c r="G611" s="8"/>
      <c r="H611" s="8"/>
      <c r="I611" s="11"/>
      <c r="J611" s="12"/>
      <c r="K611" s="12"/>
      <c r="L611" s="8"/>
      <c r="M611" s="8"/>
      <c r="N611" s="8"/>
      <c r="O611" s="8"/>
      <c r="P611" s="8"/>
      <c r="Q611" s="8">
        <f>IF(B611="","",IF(B611="P","P&amp;10",B611&amp;"D "&amp;C611))</f>
        <v/>
      </c>
      <c r="R611" s="8">
        <f>IF(L611&lt;&gt;"Y","",IF(COUNTIF('DEF_CALL_DECISION_SUPPORT'!$B$1197:$B$1256,SUBSTITUTE(SUBSTITUTE(SUBSTITUTE(E611,"~","~~"),"*","~*"),"?","~?"))&gt;0,"KNOWN","REVIEW: new call; refresh sources"))</f>
        <v/>
      </c>
    </row>
    <row r="612" spans="1:18" ht="25" customHeight="1">
      <c r="A612" s="12"/>
      <c r="B612" s="8"/>
      <c r="C612" s="8"/>
      <c r="D612" s="8"/>
      <c r="E612" s="8"/>
      <c r="F612" s="8"/>
      <c r="G612" s="8"/>
      <c r="H612" s="8"/>
      <c r="I612" s="11"/>
      <c r="J612" s="12"/>
      <c r="K612" s="12"/>
      <c r="L612" s="8"/>
      <c r="M612" s="8"/>
      <c r="N612" s="8"/>
      <c r="O612" s="8"/>
      <c r="P612" s="8"/>
      <c r="Q612" s="8">
        <f>IF(B612="","",IF(B612="P","P&amp;10",B612&amp;"D "&amp;C612))</f>
        <v/>
      </c>
      <c r="R612" s="8">
        <f>IF(L612&lt;&gt;"Y","",IF(COUNTIF('DEF_CALL_DECISION_SUPPORT'!$B$1197:$B$1256,SUBSTITUTE(SUBSTITUTE(SUBSTITUTE(E612,"~","~~"),"*","~*"),"?","~?"))&gt;0,"KNOWN","REVIEW: new call; refresh sources"))</f>
        <v/>
      </c>
    </row>
    <row r="613" spans="1:18" ht="25" customHeight="1">
      <c r="A613" s="12"/>
      <c r="B613" s="8"/>
      <c r="C613" s="8"/>
      <c r="D613" s="8"/>
      <c r="E613" s="8"/>
      <c r="F613" s="8"/>
      <c r="G613" s="8"/>
      <c r="H613" s="8"/>
      <c r="I613" s="11"/>
      <c r="J613" s="12"/>
      <c r="K613" s="12"/>
      <c r="L613" s="8"/>
      <c r="M613" s="8"/>
      <c r="N613" s="8"/>
      <c r="O613" s="8"/>
      <c r="P613" s="8"/>
      <c r="Q613" s="8">
        <f>IF(B613="","",IF(B613="P","P&amp;10",B613&amp;"D "&amp;C613))</f>
        <v/>
      </c>
      <c r="R613" s="8">
        <f>IF(L613&lt;&gt;"Y","",IF(COUNTIF('DEF_CALL_DECISION_SUPPORT'!$B$1197:$B$1256,SUBSTITUTE(SUBSTITUTE(SUBSTITUTE(E613,"~","~~"),"*","~*"),"?","~?"))&gt;0,"KNOWN","REVIEW: new call; refresh sources"))</f>
        <v/>
      </c>
    </row>
    <row r="614" spans="1:18" ht="25" customHeight="1">
      <c r="A614" s="12"/>
      <c r="B614" s="8"/>
      <c r="C614" s="8"/>
      <c r="D614" s="8"/>
      <c r="E614" s="8"/>
      <c r="F614" s="8"/>
      <c r="G614" s="8"/>
      <c r="H614" s="8"/>
      <c r="I614" s="11"/>
      <c r="J614" s="12"/>
      <c r="K614" s="12"/>
      <c r="L614" s="8"/>
      <c r="M614" s="8"/>
      <c r="N614" s="8"/>
      <c r="O614" s="8"/>
      <c r="P614" s="8"/>
      <c r="Q614" s="8">
        <f>IF(B614="","",IF(B614="P","P&amp;10",B614&amp;"D "&amp;C614))</f>
        <v/>
      </c>
      <c r="R614" s="8">
        <f>IF(L614&lt;&gt;"Y","",IF(COUNTIF('DEF_CALL_DECISION_SUPPORT'!$B$1197:$B$1256,SUBSTITUTE(SUBSTITUTE(SUBSTITUTE(E614,"~","~~"),"*","~*"),"?","~?"))&gt;0,"KNOWN","REVIEW: new call; refresh sources"))</f>
        <v/>
      </c>
    </row>
    <row r="615" spans="1:18" ht="25" customHeight="1">
      <c r="A615" s="12"/>
      <c r="B615" s="8"/>
      <c r="C615" s="8"/>
      <c r="D615" s="8"/>
      <c r="E615" s="8"/>
      <c r="F615" s="8"/>
      <c r="G615" s="8"/>
      <c r="H615" s="8"/>
      <c r="I615" s="11"/>
      <c r="J615" s="12"/>
      <c r="K615" s="12"/>
      <c r="L615" s="8"/>
      <c r="M615" s="8"/>
      <c r="N615" s="8"/>
      <c r="O615" s="8"/>
      <c r="P615" s="8"/>
      <c r="Q615" s="8">
        <f>IF(B615="","",IF(B615="P","P&amp;10",B615&amp;"D "&amp;C615))</f>
        <v/>
      </c>
      <c r="R615" s="8">
        <f>IF(L615&lt;&gt;"Y","",IF(COUNTIF('DEF_CALL_DECISION_SUPPORT'!$B$1197:$B$1256,SUBSTITUTE(SUBSTITUTE(SUBSTITUTE(E615,"~","~~"),"*","~*"),"?","~?"))&gt;0,"KNOWN","REVIEW: new call; refresh sources"))</f>
        <v/>
      </c>
    </row>
    <row r="616" spans="1:18" ht="25" customHeight="1">
      <c r="A616" s="12"/>
      <c r="B616" s="8"/>
      <c r="C616" s="8"/>
      <c r="D616" s="8"/>
      <c r="E616" s="8"/>
      <c r="F616" s="8"/>
      <c r="G616" s="8"/>
      <c r="H616" s="8"/>
      <c r="I616" s="11"/>
      <c r="J616" s="12"/>
      <c r="K616" s="12"/>
      <c r="L616" s="8"/>
      <c r="M616" s="8"/>
      <c r="N616" s="8"/>
      <c r="O616" s="8"/>
      <c r="P616" s="8"/>
      <c r="Q616" s="8">
        <f>IF(B616="","",IF(B616="P","P&amp;10",B616&amp;"D "&amp;C616))</f>
        <v/>
      </c>
      <c r="R616" s="8">
        <f>IF(L616&lt;&gt;"Y","",IF(COUNTIF('DEF_CALL_DECISION_SUPPORT'!$B$1197:$B$1256,SUBSTITUTE(SUBSTITUTE(SUBSTITUTE(E616,"~","~~"),"*","~*"),"?","~?"))&gt;0,"KNOWN","REVIEW: new call; refresh sources"))</f>
        <v/>
      </c>
    </row>
    <row r="617" spans="1:18" ht="25" customHeight="1">
      <c r="A617" s="12"/>
      <c r="B617" s="8"/>
      <c r="C617" s="8"/>
      <c r="D617" s="8"/>
      <c r="E617" s="8"/>
      <c r="F617" s="8"/>
      <c r="G617" s="8"/>
      <c r="H617" s="8"/>
      <c r="I617" s="11"/>
      <c r="J617" s="12"/>
      <c r="K617" s="12"/>
      <c r="L617" s="8"/>
      <c r="M617" s="8"/>
      <c r="N617" s="8"/>
      <c r="O617" s="8"/>
      <c r="P617" s="8"/>
      <c r="Q617" s="8">
        <f>IF(B617="","",IF(B617="P","P&amp;10",B617&amp;"D "&amp;C617))</f>
        <v/>
      </c>
      <c r="R617" s="8">
        <f>IF(L617&lt;&gt;"Y","",IF(COUNTIF('DEF_CALL_DECISION_SUPPORT'!$B$1197:$B$1256,SUBSTITUTE(SUBSTITUTE(SUBSTITUTE(E617,"~","~~"),"*","~*"),"?","~?"))&gt;0,"KNOWN","REVIEW: new call; refresh sources"))</f>
        <v/>
      </c>
    </row>
    <row r="618" spans="1:18" ht="25" customHeight="1">
      <c r="A618" s="12"/>
      <c r="B618" s="8"/>
      <c r="C618" s="8"/>
      <c r="D618" s="8"/>
      <c r="E618" s="8"/>
      <c r="F618" s="8"/>
      <c r="G618" s="8"/>
      <c r="H618" s="8"/>
      <c r="I618" s="11"/>
      <c r="J618" s="12"/>
      <c r="K618" s="12"/>
      <c r="L618" s="8"/>
      <c r="M618" s="8"/>
      <c r="N618" s="8"/>
      <c r="O618" s="8"/>
      <c r="P618" s="8"/>
      <c r="Q618" s="8">
        <f>IF(B618="","",IF(B618="P","P&amp;10",B618&amp;"D "&amp;C618))</f>
        <v/>
      </c>
      <c r="R618" s="8">
        <f>IF(L618&lt;&gt;"Y","",IF(COUNTIF('DEF_CALL_DECISION_SUPPORT'!$B$1197:$B$1256,SUBSTITUTE(SUBSTITUTE(SUBSTITUTE(E618,"~","~~"),"*","~*"),"?","~?"))&gt;0,"KNOWN","REVIEW: new call; refresh sources"))</f>
        <v/>
      </c>
    </row>
    <row r="619" spans="1:18" ht="25" customHeight="1">
      <c r="A619" s="12"/>
      <c r="B619" s="8"/>
      <c r="C619" s="8"/>
      <c r="D619" s="8"/>
      <c r="E619" s="8"/>
      <c r="F619" s="8"/>
      <c r="G619" s="8"/>
      <c r="H619" s="8"/>
      <c r="I619" s="11"/>
      <c r="J619" s="12"/>
      <c r="K619" s="12"/>
      <c r="L619" s="8"/>
      <c r="M619" s="8"/>
      <c r="N619" s="8"/>
      <c r="O619" s="8"/>
      <c r="P619" s="8"/>
      <c r="Q619" s="8">
        <f>IF(B619="","",IF(B619="P","P&amp;10",B619&amp;"D "&amp;C619))</f>
        <v/>
      </c>
      <c r="R619" s="8">
        <f>IF(L619&lt;&gt;"Y","",IF(COUNTIF('DEF_CALL_DECISION_SUPPORT'!$B$1197:$B$1256,SUBSTITUTE(SUBSTITUTE(SUBSTITUTE(E619,"~","~~"),"*","~*"),"?","~?"))&gt;0,"KNOWN","REVIEW: new call; refresh sources"))</f>
        <v/>
      </c>
    </row>
    <row r="620" spans="1:18" ht="25" customHeight="1">
      <c r="A620" s="12"/>
      <c r="B620" s="8"/>
      <c r="C620" s="8"/>
      <c r="D620" s="8"/>
      <c r="E620" s="8"/>
      <c r="F620" s="8"/>
      <c r="G620" s="8"/>
      <c r="H620" s="8"/>
      <c r="I620" s="11"/>
      <c r="J620" s="12"/>
      <c r="K620" s="12"/>
      <c r="L620" s="8"/>
      <c r="M620" s="8"/>
      <c r="N620" s="8"/>
      <c r="O620" s="8"/>
      <c r="P620" s="8"/>
      <c r="Q620" s="8">
        <f>IF(B620="","",IF(B620="P","P&amp;10",B620&amp;"D "&amp;C620))</f>
        <v/>
      </c>
      <c r="R620" s="8">
        <f>IF(L620&lt;&gt;"Y","",IF(COUNTIF('DEF_CALL_DECISION_SUPPORT'!$B$1197:$B$1256,SUBSTITUTE(SUBSTITUTE(SUBSTITUTE(E620,"~","~~"),"*","~*"),"?","~?"))&gt;0,"KNOWN","REVIEW: new call; refresh sources"))</f>
        <v/>
      </c>
    </row>
    <row r="621" spans="1:18" ht="25" customHeight="1">
      <c r="A621" s="12"/>
      <c r="B621" s="8"/>
      <c r="C621" s="8"/>
      <c r="D621" s="8"/>
      <c r="E621" s="8"/>
      <c r="F621" s="8"/>
      <c r="G621" s="8"/>
      <c r="H621" s="8"/>
      <c r="I621" s="11"/>
      <c r="J621" s="12"/>
      <c r="K621" s="12"/>
      <c r="L621" s="8"/>
      <c r="M621" s="8"/>
      <c r="N621" s="8"/>
      <c r="O621" s="8"/>
      <c r="P621" s="8"/>
      <c r="Q621" s="8">
        <f>IF(B621="","",IF(B621="P","P&amp;10",B621&amp;"D "&amp;C621))</f>
        <v/>
      </c>
      <c r="R621" s="8">
        <f>IF(L621&lt;&gt;"Y","",IF(COUNTIF('DEF_CALL_DECISION_SUPPORT'!$B$1197:$B$1256,SUBSTITUTE(SUBSTITUTE(SUBSTITUTE(E621,"~","~~"),"*","~*"),"?","~?"))&gt;0,"KNOWN","REVIEW: new call; refresh sources"))</f>
        <v/>
      </c>
    </row>
    <row r="622" spans="1:18" ht="25" customHeight="1">
      <c r="A622" s="12"/>
      <c r="B622" s="8"/>
      <c r="C622" s="8"/>
      <c r="D622" s="8"/>
      <c r="E622" s="8"/>
      <c r="F622" s="8"/>
      <c r="G622" s="8"/>
      <c r="H622" s="8"/>
      <c r="I622" s="11"/>
      <c r="J622" s="12"/>
      <c r="K622" s="12"/>
      <c r="L622" s="8"/>
      <c r="M622" s="8"/>
      <c r="N622" s="8"/>
      <c r="O622" s="8"/>
      <c r="P622" s="8"/>
      <c r="Q622" s="8">
        <f>IF(B622="","",IF(B622="P","P&amp;10",B622&amp;"D "&amp;C622))</f>
        <v/>
      </c>
      <c r="R622" s="8">
        <f>IF(L622&lt;&gt;"Y","",IF(COUNTIF('DEF_CALL_DECISION_SUPPORT'!$B$1197:$B$1256,SUBSTITUTE(SUBSTITUTE(SUBSTITUTE(E622,"~","~~"),"*","~*"),"?","~?"))&gt;0,"KNOWN","REVIEW: new call; refresh sources"))</f>
        <v/>
      </c>
    </row>
    <row r="623" spans="1:18" ht="25" customHeight="1">
      <c r="A623" s="12"/>
      <c r="B623" s="8"/>
      <c r="C623" s="8"/>
      <c r="D623" s="8"/>
      <c r="E623" s="8"/>
      <c r="F623" s="8"/>
      <c r="G623" s="8"/>
      <c r="H623" s="8"/>
      <c r="I623" s="11"/>
      <c r="J623" s="12"/>
      <c r="K623" s="12"/>
      <c r="L623" s="8"/>
      <c r="M623" s="8"/>
      <c r="N623" s="8"/>
      <c r="O623" s="8"/>
      <c r="P623" s="8"/>
      <c r="Q623" s="8">
        <f>IF(B623="","",IF(B623="P","P&amp;10",B623&amp;"D "&amp;C623))</f>
        <v/>
      </c>
      <c r="R623" s="8">
        <f>IF(L623&lt;&gt;"Y","",IF(COUNTIF('DEF_CALL_DECISION_SUPPORT'!$B$1197:$B$1256,SUBSTITUTE(SUBSTITUTE(SUBSTITUTE(E623,"~","~~"),"*","~*"),"?","~?"))&gt;0,"KNOWN","REVIEW: new call; refresh sources"))</f>
        <v/>
      </c>
    </row>
    <row r="624" spans="1:18" ht="25" customHeight="1">
      <c r="A624" s="12"/>
      <c r="B624" s="8"/>
      <c r="C624" s="8"/>
      <c r="D624" s="8"/>
      <c r="E624" s="8"/>
      <c r="F624" s="8"/>
      <c r="G624" s="8"/>
      <c r="H624" s="8"/>
      <c r="I624" s="11"/>
      <c r="J624" s="12"/>
      <c r="K624" s="12"/>
      <c r="L624" s="8"/>
      <c r="M624" s="8"/>
      <c r="N624" s="8"/>
      <c r="O624" s="8"/>
      <c r="P624" s="8"/>
      <c r="Q624" s="8">
        <f>IF(B624="","",IF(B624="P","P&amp;10",B624&amp;"D "&amp;C624))</f>
        <v/>
      </c>
      <c r="R624" s="8">
        <f>IF(L624&lt;&gt;"Y","",IF(COUNTIF('DEF_CALL_DECISION_SUPPORT'!$B$1197:$B$1256,SUBSTITUTE(SUBSTITUTE(SUBSTITUTE(E624,"~","~~"),"*","~*"),"?","~?"))&gt;0,"KNOWN","REVIEW: new call; refresh sources"))</f>
        <v/>
      </c>
    </row>
    <row r="625" spans="1:18" ht="25" customHeight="1">
      <c r="A625" s="12"/>
      <c r="B625" s="8"/>
      <c r="C625" s="8"/>
      <c r="D625" s="8"/>
      <c r="E625" s="8"/>
      <c r="F625" s="8"/>
      <c r="G625" s="8"/>
      <c r="H625" s="8"/>
      <c r="I625" s="11"/>
      <c r="J625" s="12"/>
      <c r="K625" s="12"/>
      <c r="L625" s="8"/>
      <c r="M625" s="8"/>
      <c r="N625" s="8"/>
      <c r="O625" s="8"/>
      <c r="P625" s="8"/>
      <c r="Q625" s="8">
        <f>IF(B625="","",IF(B625="P","P&amp;10",B625&amp;"D "&amp;C625))</f>
        <v/>
      </c>
      <c r="R625" s="8">
        <f>IF(L625&lt;&gt;"Y","",IF(COUNTIF('DEF_CALL_DECISION_SUPPORT'!$B$1197:$B$1256,SUBSTITUTE(SUBSTITUTE(SUBSTITUTE(E625,"~","~~"),"*","~*"),"?","~?"))&gt;0,"KNOWN","REVIEW: new call; refresh sources"))</f>
        <v/>
      </c>
    </row>
    <row r="626" spans="1:18" ht="25" customHeight="1">
      <c r="A626" s="12"/>
      <c r="B626" s="8"/>
      <c r="C626" s="8"/>
      <c r="D626" s="8"/>
      <c r="E626" s="8"/>
      <c r="F626" s="8"/>
      <c r="G626" s="8"/>
      <c r="H626" s="8"/>
      <c r="I626" s="11"/>
      <c r="J626" s="12"/>
      <c r="K626" s="12"/>
      <c r="L626" s="8"/>
      <c r="M626" s="8"/>
      <c r="N626" s="8"/>
      <c r="O626" s="8"/>
      <c r="P626" s="8"/>
      <c r="Q626" s="8">
        <f>IF(B626="","",IF(B626="P","P&amp;10",B626&amp;"D "&amp;C626))</f>
        <v/>
      </c>
      <c r="R626" s="8">
        <f>IF(L626&lt;&gt;"Y","",IF(COUNTIF('DEF_CALL_DECISION_SUPPORT'!$B$1197:$B$1256,SUBSTITUTE(SUBSTITUTE(SUBSTITUTE(E626,"~","~~"),"*","~*"),"?","~?"))&gt;0,"KNOWN","REVIEW: new call; refresh sources"))</f>
        <v/>
      </c>
    </row>
    <row r="627" spans="1:18" ht="25" customHeight="1">
      <c r="A627" s="12"/>
      <c r="B627" s="8"/>
      <c r="C627" s="8"/>
      <c r="D627" s="8"/>
      <c r="E627" s="8"/>
      <c r="F627" s="8"/>
      <c r="G627" s="8"/>
      <c r="H627" s="8"/>
      <c r="I627" s="11"/>
      <c r="J627" s="12"/>
      <c r="K627" s="12"/>
      <c r="L627" s="8"/>
      <c r="M627" s="8"/>
      <c r="N627" s="8"/>
      <c r="O627" s="8"/>
      <c r="P627" s="8"/>
      <c r="Q627" s="8">
        <f>IF(B627="","",IF(B627="P","P&amp;10",B627&amp;"D "&amp;C627))</f>
        <v/>
      </c>
      <c r="R627" s="8">
        <f>IF(L627&lt;&gt;"Y","",IF(COUNTIF('DEF_CALL_DECISION_SUPPORT'!$B$1197:$B$1256,SUBSTITUTE(SUBSTITUTE(SUBSTITUTE(E627,"~","~~"),"*","~*"),"?","~?"))&gt;0,"KNOWN","REVIEW: new call; refresh sources"))</f>
        <v/>
      </c>
    </row>
    <row r="628" spans="1:18" ht="25" customHeight="1">
      <c r="A628" s="12"/>
      <c r="B628" s="8"/>
      <c r="C628" s="8"/>
      <c r="D628" s="8"/>
      <c r="E628" s="8"/>
      <c r="F628" s="8"/>
      <c r="G628" s="8"/>
      <c r="H628" s="8"/>
      <c r="I628" s="11"/>
      <c r="J628" s="12"/>
      <c r="K628" s="12"/>
      <c r="L628" s="8"/>
      <c r="M628" s="8"/>
      <c r="N628" s="8"/>
      <c r="O628" s="8"/>
      <c r="P628" s="8"/>
      <c r="Q628" s="8">
        <f>IF(B628="","",IF(B628="P","P&amp;10",B628&amp;"D "&amp;C628))</f>
        <v/>
      </c>
      <c r="R628" s="8">
        <f>IF(L628&lt;&gt;"Y","",IF(COUNTIF('DEF_CALL_DECISION_SUPPORT'!$B$1197:$B$1256,SUBSTITUTE(SUBSTITUTE(SUBSTITUTE(E628,"~","~~"),"*","~*"),"?","~?"))&gt;0,"KNOWN","REVIEW: new call; refresh sources"))</f>
        <v/>
      </c>
    </row>
    <row r="629" spans="1:18" ht="25" customHeight="1">
      <c r="A629" s="12"/>
      <c r="B629" s="8"/>
      <c r="C629" s="8"/>
      <c r="D629" s="8"/>
      <c r="E629" s="8"/>
      <c r="F629" s="8"/>
      <c r="G629" s="8"/>
      <c r="H629" s="8"/>
      <c r="I629" s="11"/>
      <c r="J629" s="12"/>
      <c r="K629" s="12"/>
      <c r="L629" s="8"/>
      <c r="M629" s="8"/>
      <c r="N629" s="8"/>
      <c r="O629" s="8"/>
      <c r="P629" s="8"/>
      <c r="Q629" s="8">
        <f>IF(B629="","",IF(B629="P","P&amp;10",B629&amp;"D "&amp;C629))</f>
        <v/>
      </c>
      <c r="R629" s="8">
        <f>IF(L629&lt;&gt;"Y","",IF(COUNTIF('DEF_CALL_DECISION_SUPPORT'!$B$1197:$B$1256,SUBSTITUTE(SUBSTITUTE(SUBSTITUTE(E629,"~","~~"),"*","~*"),"?","~?"))&gt;0,"KNOWN","REVIEW: new call; refresh sources"))</f>
        <v/>
      </c>
    </row>
    <row r="630" spans="1:18" ht="25" customHeight="1">
      <c r="A630" s="12"/>
      <c r="B630" s="8"/>
      <c r="C630" s="8"/>
      <c r="D630" s="8"/>
      <c r="E630" s="8"/>
      <c r="F630" s="8"/>
      <c r="G630" s="8"/>
      <c r="H630" s="8"/>
      <c r="I630" s="11"/>
      <c r="J630" s="12"/>
      <c r="K630" s="12"/>
      <c r="L630" s="8"/>
      <c r="M630" s="8"/>
      <c r="N630" s="8"/>
      <c r="O630" s="8"/>
      <c r="P630" s="8"/>
      <c r="Q630" s="8">
        <f>IF(B630="","",IF(B630="P","P&amp;10",B630&amp;"D "&amp;C630))</f>
        <v/>
      </c>
      <c r="R630" s="8">
        <f>IF(L630&lt;&gt;"Y","",IF(COUNTIF('DEF_CALL_DECISION_SUPPORT'!$B$1197:$B$1256,SUBSTITUTE(SUBSTITUTE(SUBSTITUTE(E630,"~","~~"),"*","~*"),"?","~?"))&gt;0,"KNOWN","REVIEW: new call; refresh sources"))</f>
        <v/>
      </c>
    </row>
    <row r="631" spans="1:18" ht="25" customHeight="1">
      <c r="A631" s="12"/>
      <c r="B631" s="8"/>
      <c r="C631" s="8"/>
      <c r="D631" s="8"/>
      <c r="E631" s="8"/>
      <c r="F631" s="8"/>
      <c r="G631" s="8"/>
      <c r="H631" s="8"/>
      <c r="I631" s="11"/>
      <c r="J631" s="12"/>
      <c r="K631" s="12"/>
      <c r="L631" s="8"/>
      <c r="M631" s="8"/>
      <c r="N631" s="8"/>
      <c r="O631" s="8"/>
      <c r="P631" s="8"/>
      <c r="Q631" s="8">
        <f>IF(B631="","",IF(B631="P","P&amp;10",B631&amp;"D "&amp;C631))</f>
        <v/>
      </c>
      <c r="R631" s="8">
        <f>IF(L631&lt;&gt;"Y","",IF(COUNTIF('DEF_CALL_DECISION_SUPPORT'!$B$1197:$B$1256,SUBSTITUTE(SUBSTITUTE(SUBSTITUTE(E631,"~","~~"),"*","~*"),"?","~?"))&gt;0,"KNOWN","REVIEW: new call; refresh sources"))</f>
        <v/>
      </c>
    </row>
    <row r="632" spans="1:18" ht="25" customHeight="1">
      <c r="A632" s="12"/>
      <c r="B632" s="8"/>
      <c r="C632" s="8"/>
      <c r="D632" s="8"/>
      <c r="E632" s="8"/>
      <c r="F632" s="8"/>
      <c r="G632" s="8"/>
      <c r="H632" s="8"/>
      <c r="I632" s="11"/>
      <c r="J632" s="12"/>
      <c r="K632" s="12"/>
      <c r="L632" s="8"/>
      <c r="M632" s="8"/>
      <c r="N632" s="8"/>
      <c r="O632" s="8"/>
      <c r="P632" s="8"/>
      <c r="Q632" s="8">
        <f>IF(B632="","",IF(B632="P","P&amp;10",B632&amp;"D "&amp;C632))</f>
        <v/>
      </c>
      <c r="R632" s="8">
        <f>IF(L632&lt;&gt;"Y","",IF(COUNTIF('DEF_CALL_DECISION_SUPPORT'!$B$1197:$B$1256,SUBSTITUTE(SUBSTITUTE(SUBSTITUTE(E632,"~","~~"),"*","~*"),"?","~?"))&gt;0,"KNOWN","REVIEW: new call; refresh sources"))</f>
        <v/>
      </c>
    </row>
    <row r="633" spans="1:18" ht="25" customHeight="1">
      <c r="A633" s="12"/>
      <c r="B633" s="8"/>
      <c r="C633" s="8"/>
      <c r="D633" s="8"/>
      <c r="E633" s="8"/>
      <c r="F633" s="8"/>
      <c r="G633" s="8"/>
      <c r="H633" s="8"/>
      <c r="I633" s="11"/>
      <c r="J633" s="12"/>
      <c r="K633" s="12"/>
      <c r="L633" s="8"/>
      <c r="M633" s="8"/>
      <c r="N633" s="8"/>
      <c r="O633" s="8"/>
      <c r="P633" s="8"/>
      <c r="Q633" s="8">
        <f>IF(B633="","",IF(B633="P","P&amp;10",B633&amp;"D "&amp;C633))</f>
        <v/>
      </c>
      <c r="R633" s="8">
        <f>IF(L633&lt;&gt;"Y","",IF(COUNTIF('DEF_CALL_DECISION_SUPPORT'!$B$1197:$B$1256,SUBSTITUTE(SUBSTITUTE(SUBSTITUTE(E633,"~","~~"),"*","~*"),"?","~?"))&gt;0,"KNOWN","REVIEW: new call; refresh sources"))</f>
        <v/>
      </c>
    </row>
    <row r="634" spans="1:18" ht="25" customHeight="1">
      <c r="A634" s="12"/>
      <c r="B634" s="8"/>
      <c r="C634" s="8"/>
      <c r="D634" s="8"/>
      <c r="E634" s="8"/>
      <c r="F634" s="8"/>
      <c r="G634" s="8"/>
      <c r="H634" s="8"/>
      <c r="I634" s="11"/>
      <c r="J634" s="12"/>
      <c r="K634" s="12"/>
      <c r="L634" s="8"/>
      <c r="M634" s="8"/>
      <c r="N634" s="8"/>
      <c r="O634" s="8"/>
      <c r="P634" s="8"/>
      <c r="Q634" s="8">
        <f>IF(B634="","",IF(B634="P","P&amp;10",B634&amp;"D "&amp;C634))</f>
        <v/>
      </c>
      <c r="R634" s="8">
        <f>IF(L634&lt;&gt;"Y","",IF(COUNTIF('DEF_CALL_DECISION_SUPPORT'!$B$1197:$B$1256,SUBSTITUTE(SUBSTITUTE(SUBSTITUTE(E634,"~","~~"),"*","~*"),"?","~?"))&gt;0,"KNOWN","REVIEW: new call; refresh sources"))</f>
        <v/>
      </c>
    </row>
    <row r="635" spans="1:18" ht="25" customHeight="1">
      <c r="A635" s="12"/>
      <c r="B635" s="8"/>
      <c r="C635" s="8"/>
      <c r="D635" s="8"/>
      <c r="E635" s="8"/>
      <c r="F635" s="8"/>
      <c r="G635" s="8"/>
      <c r="H635" s="8"/>
      <c r="I635" s="11"/>
      <c r="J635" s="12"/>
      <c r="K635" s="12"/>
      <c r="L635" s="8"/>
      <c r="M635" s="8"/>
      <c r="N635" s="8"/>
      <c r="O635" s="8"/>
      <c r="P635" s="8"/>
      <c r="Q635" s="8">
        <f>IF(B635="","",IF(B635="P","P&amp;10",B635&amp;"D "&amp;C635))</f>
        <v/>
      </c>
      <c r="R635" s="8">
        <f>IF(L635&lt;&gt;"Y","",IF(COUNTIF('DEF_CALL_DECISION_SUPPORT'!$B$1197:$B$1256,SUBSTITUTE(SUBSTITUTE(SUBSTITUTE(E635,"~","~~"),"*","~*"),"?","~?"))&gt;0,"KNOWN","REVIEW: new call; refresh sources"))</f>
        <v/>
      </c>
    </row>
    <row r="636" spans="1:18" ht="25" customHeight="1">
      <c r="A636" s="12"/>
      <c r="B636" s="8"/>
      <c r="C636" s="8"/>
      <c r="D636" s="8"/>
      <c r="E636" s="8"/>
      <c r="F636" s="8"/>
      <c r="G636" s="8"/>
      <c r="H636" s="8"/>
      <c r="I636" s="11"/>
      <c r="J636" s="12"/>
      <c r="K636" s="12"/>
      <c r="L636" s="8"/>
      <c r="M636" s="8"/>
      <c r="N636" s="8"/>
      <c r="O636" s="8"/>
      <c r="P636" s="8"/>
      <c r="Q636" s="8">
        <f>IF(B636="","",IF(B636="P","P&amp;10",B636&amp;"D "&amp;C636))</f>
        <v/>
      </c>
      <c r="R636" s="8">
        <f>IF(L636&lt;&gt;"Y","",IF(COUNTIF('DEF_CALL_DECISION_SUPPORT'!$B$1197:$B$1256,SUBSTITUTE(SUBSTITUTE(SUBSTITUTE(E636,"~","~~"),"*","~*"),"?","~?"))&gt;0,"KNOWN","REVIEW: new call; refresh sources"))</f>
        <v/>
      </c>
    </row>
    <row r="637" spans="1:18" ht="25" customHeight="1">
      <c r="A637" s="12"/>
      <c r="B637" s="8"/>
      <c r="C637" s="8"/>
      <c r="D637" s="8"/>
      <c r="E637" s="8"/>
      <c r="F637" s="8"/>
      <c r="G637" s="8"/>
      <c r="H637" s="8"/>
      <c r="I637" s="11"/>
      <c r="J637" s="12"/>
      <c r="K637" s="12"/>
      <c r="L637" s="8"/>
      <c r="M637" s="8"/>
      <c r="N637" s="8"/>
      <c r="O637" s="8"/>
      <c r="P637" s="8"/>
      <c r="Q637" s="8">
        <f>IF(B637="","",IF(B637="P","P&amp;10",B637&amp;"D "&amp;C637))</f>
        <v/>
      </c>
      <c r="R637" s="8">
        <f>IF(L637&lt;&gt;"Y","",IF(COUNTIF('DEF_CALL_DECISION_SUPPORT'!$B$1197:$B$1256,SUBSTITUTE(SUBSTITUTE(SUBSTITUTE(E637,"~","~~"),"*","~*"),"?","~?"))&gt;0,"KNOWN","REVIEW: new call; refresh sources"))</f>
        <v/>
      </c>
    </row>
    <row r="638" spans="1:18" ht="25" customHeight="1">
      <c r="A638" s="12"/>
      <c r="B638" s="8"/>
      <c r="C638" s="8"/>
      <c r="D638" s="8"/>
      <c r="E638" s="8"/>
      <c r="F638" s="8"/>
      <c r="G638" s="8"/>
      <c r="H638" s="8"/>
      <c r="I638" s="11"/>
      <c r="J638" s="12"/>
      <c r="K638" s="12"/>
      <c r="L638" s="8"/>
      <c r="M638" s="8"/>
      <c r="N638" s="8"/>
      <c r="O638" s="8"/>
      <c r="P638" s="8"/>
      <c r="Q638" s="8">
        <f>IF(B638="","",IF(B638="P","P&amp;10",B638&amp;"D "&amp;C638))</f>
        <v/>
      </c>
      <c r="R638" s="8">
        <f>IF(L638&lt;&gt;"Y","",IF(COUNTIF('DEF_CALL_DECISION_SUPPORT'!$B$1197:$B$1256,SUBSTITUTE(SUBSTITUTE(SUBSTITUTE(E638,"~","~~"),"*","~*"),"?","~?"))&gt;0,"KNOWN","REVIEW: new call; refresh sources"))</f>
        <v/>
      </c>
    </row>
    <row r="639" spans="1:18" ht="25" customHeight="1">
      <c r="A639" s="12"/>
      <c r="B639" s="8"/>
      <c r="C639" s="8"/>
      <c r="D639" s="8"/>
      <c r="E639" s="8"/>
      <c r="F639" s="8"/>
      <c r="G639" s="8"/>
      <c r="H639" s="8"/>
      <c r="I639" s="11"/>
      <c r="J639" s="12"/>
      <c r="K639" s="12"/>
      <c r="L639" s="8"/>
      <c r="M639" s="8"/>
      <c r="N639" s="8"/>
      <c r="O639" s="8"/>
      <c r="P639" s="8"/>
      <c r="Q639" s="8">
        <f>IF(B639="","",IF(B639="P","P&amp;10",B639&amp;"D "&amp;C639))</f>
        <v/>
      </c>
      <c r="R639" s="8">
        <f>IF(L639&lt;&gt;"Y","",IF(COUNTIF('DEF_CALL_DECISION_SUPPORT'!$B$1197:$B$1256,SUBSTITUTE(SUBSTITUTE(SUBSTITUTE(E639,"~","~~"),"*","~*"),"?","~?"))&gt;0,"KNOWN","REVIEW: new call; refresh sources"))</f>
        <v/>
      </c>
    </row>
    <row r="640" spans="1:18" ht="25" customHeight="1">
      <c r="A640" s="12"/>
      <c r="B640" s="8"/>
      <c r="C640" s="8"/>
      <c r="D640" s="8"/>
      <c r="E640" s="8"/>
      <c r="F640" s="8"/>
      <c r="G640" s="8"/>
      <c r="H640" s="8"/>
      <c r="I640" s="11"/>
      <c r="J640" s="12"/>
      <c r="K640" s="12"/>
      <c r="L640" s="8"/>
      <c r="M640" s="8"/>
      <c r="N640" s="8"/>
      <c r="O640" s="8"/>
      <c r="P640" s="8"/>
      <c r="Q640" s="8">
        <f>IF(B640="","",IF(B640="P","P&amp;10",B640&amp;"D "&amp;C640))</f>
        <v/>
      </c>
      <c r="R640" s="8">
        <f>IF(L640&lt;&gt;"Y","",IF(COUNTIF('DEF_CALL_DECISION_SUPPORT'!$B$1197:$B$1256,SUBSTITUTE(SUBSTITUTE(SUBSTITUTE(E640,"~","~~"),"*","~*"),"?","~?"))&gt;0,"KNOWN","REVIEW: new call; refresh sources"))</f>
        <v/>
      </c>
    </row>
    <row r="641" spans="1:18" ht="25" customHeight="1">
      <c r="A641" s="12"/>
      <c r="B641" s="8"/>
      <c r="C641" s="8"/>
      <c r="D641" s="8"/>
      <c r="E641" s="8"/>
      <c r="F641" s="8"/>
      <c r="G641" s="8"/>
      <c r="H641" s="8"/>
      <c r="I641" s="11"/>
      <c r="J641" s="12"/>
      <c r="K641" s="12"/>
      <c r="L641" s="8"/>
      <c r="M641" s="8"/>
      <c r="N641" s="8"/>
      <c r="O641" s="8"/>
      <c r="P641" s="8"/>
      <c r="Q641" s="8">
        <f>IF(B641="","",IF(B641="P","P&amp;10",B641&amp;"D "&amp;C641))</f>
        <v/>
      </c>
      <c r="R641" s="8">
        <f>IF(L641&lt;&gt;"Y","",IF(COUNTIF('DEF_CALL_DECISION_SUPPORT'!$B$1197:$B$1256,SUBSTITUTE(SUBSTITUTE(SUBSTITUTE(E641,"~","~~"),"*","~*"),"?","~?"))&gt;0,"KNOWN","REVIEW: new call; refresh sources"))</f>
        <v/>
      </c>
    </row>
    <row r="642" spans="1:18" ht="25" customHeight="1">
      <c r="A642" s="12"/>
      <c r="B642" s="8"/>
      <c r="C642" s="8"/>
      <c r="D642" s="8"/>
      <c r="E642" s="8"/>
      <c r="F642" s="8"/>
      <c r="G642" s="8"/>
      <c r="H642" s="8"/>
      <c r="I642" s="11"/>
      <c r="J642" s="12"/>
      <c r="K642" s="12"/>
      <c r="L642" s="8"/>
      <c r="M642" s="8"/>
      <c r="N642" s="8"/>
      <c r="O642" s="8"/>
      <c r="P642" s="8"/>
      <c r="Q642" s="8">
        <f>IF(B642="","",IF(B642="P","P&amp;10",B642&amp;"D "&amp;C642))</f>
        <v/>
      </c>
      <c r="R642" s="8">
        <f>IF(L642&lt;&gt;"Y","",IF(COUNTIF('DEF_CALL_DECISION_SUPPORT'!$B$1197:$B$1256,SUBSTITUTE(SUBSTITUTE(SUBSTITUTE(E642,"~","~~"),"*","~*"),"?","~?"))&gt;0,"KNOWN","REVIEW: new call; refresh sources"))</f>
        <v/>
      </c>
    </row>
    <row r="643" spans="1:18" ht="25" customHeight="1">
      <c r="A643" s="12"/>
      <c r="B643" s="8"/>
      <c r="C643" s="8"/>
      <c r="D643" s="8"/>
      <c r="E643" s="8"/>
      <c r="F643" s="8"/>
      <c r="G643" s="8"/>
      <c r="H643" s="8"/>
      <c r="I643" s="11"/>
      <c r="J643" s="12"/>
      <c r="K643" s="12"/>
      <c r="L643" s="8"/>
      <c r="M643" s="8"/>
      <c r="N643" s="8"/>
      <c r="O643" s="8"/>
      <c r="P643" s="8"/>
      <c r="Q643" s="8">
        <f>IF(B643="","",IF(B643="P","P&amp;10",B643&amp;"D "&amp;C643))</f>
        <v/>
      </c>
      <c r="R643" s="8">
        <f>IF(L643&lt;&gt;"Y","",IF(COUNTIF('DEF_CALL_DECISION_SUPPORT'!$B$1197:$B$1256,SUBSTITUTE(SUBSTITUTE(SUBSTITUTE(E643,"~","~~"),"*","~*"),"?","~?"))&gt;0,"KNOWN","REVIEW: new call; refresh sources"))</f>
        <v/>
      </c>
    </row>
    <row r="644" spans="1:18" ht="25" customHeight="1">
      <c r="A644" s="12"/>
      <c r="B644" s="8"/>
      <c r="C644" s="8"/>
      <c r="D644" s="8"/>
      <c r="E644" s="8"/>
      <c r="F644" s="8"/>
      <c r="G644" s="8"/>
      <c r="H644" s="8"/>
      <c r="I644" s="11"/>
      <c r="J644" s="12"/>
      <c r="K644" s="12"/>
      <c r="L644" s="8"/>
      <c r="M644" s="8"/>
      <c r="N644" s="8"/>
      <c r="O644" s="8"/>
      <c r="P644" s="8"/>
      <c r="Q644" s="8">
        <f>IF(B644="","",IF(B644="P","P&amp;10",B644&amp;"D "&amp;C644))</f>
        <v/>
      </c>
      <c r="R644" s="8">
        <f>IF(L644&lt;&gt;"Y","",IF(COUNTIF('DEF_CALL_DECISION_SUPPORT'!$B$1197:$B$1256,SUBSTITUTE(SUBSTITUTE(SUBSTITUTE(E644,"~","~~"),"*","~*"),"?","~?"))&gt;0,"KNOWN","REVIEW: new call; refresh sources"))</f>
        <v/>
      </c>
    </row>
    <row r="645" spans="1:18" ht="25" customHeight="1">
      <c r="A645" s="12"/>
      <c r="B645" s="8"/>
      <c r="C645" s="8"/>
      <c r="D645" s="8"/>
      <c r="E645" s="8"/>
      <c r="F645" s="8"/>
      <c r="G645" s="8"/>
      <c r="H645" s="8"/>
      <c r="I645" s="11"/>
      <c r="J645" s="12"/>
      <c r="K645" s="12"/>
      <c r="L645" s="8"/>
      <c r="M645" s="8"/>
      <c r="N645" s="8"/>
      <c r="O645" s="8"/>
      <c r="P645" s="8"/>
      <c r="Q645" s="8">
        <f>IF(B645="","",IF(B645="P","P&amp;10",B645&amp;"D "&amp;C645))</f>
        <v/>
      </c>
      <c r="R645" s="8">
        <f>IF(L645&lt;&gt;"Y","",IF(COUNTIF('DEF_CALL_DECISION_SUPPORT'!$B$1197:$B$1256,SUBSTITUTE(SUBSTITUTE(SUBSTITUTE(E645,"~","~~"),"*","~*"),"?","~?"))&gt;0,"KNOWN","REVIEW: new call; refresh sources"))</f>
        <v/>
      </c>
    </row>
    <row r="646" spans="1:18" ht="25" customHeight="1">
      <c r="A646" s="12"/>
      <c r="B646" s="8"/>
      <c r="C646" s="8"/>
      <c r="D646" s="8"/>
      <c r="E646" s="8"/>
      <c r="F646" s="8"/>
      <c r="G646" s="8"/>
      <c r="H646" s="8"/>
      <c r="I646" s="11"/>
      <c r="J646" s="12"/>
      <c r="K646" s="12"/>
      <c r="L646" s="8"/>
      <c r="M646" s="8"/>
      <c r="N646" s="8"/>
      <c r="O646" s="8"/>
      <c r="P646" s="8"/>
      <c r="Q646" s="8">
        <f>IF(B646="","",IF(B646="P","P&amp;10",B646&amp;"D "&amp;C646))</f>
        <v/>
      </c>
      <c r="R646" s="8">
        <f>IF(L646&lt;&gt;"Y","",IF(COUNTIF('DEF_CALL_DECISION_SUPPORT'!$B$1197:$B$1256,SUBSTITUTE(SUBSTITUTE(SUBSTITUTE(E646,"~","~~"),"*","~*"),"?","~?"))&gt;0,"KNOWN","REVIEW: new call; refresh sources"))</f>
        <v/>
      </c>
    </row>
    <row r="647" spans="1:18" ht="25" customHeight="1">
      <c r="A647" s="12"/>
      <c r="B647" s="8"/>
      <c r="C647" s="8"/>
      <c r="D647" s="8"/>
      <c r="E647" s="8"/>
      <c r="F647" s="8"/>
      <c r="G647" s="8"/>
      <c r="H647" s="8"/>
      <c r="I647" s="11"/>
      <c r="J647" s="12"/>
      <c r="K647" s="12"/>
      <c r="L647" s="8"/>
      <c r="M647" s="8"/>
      <c r="N647" s="8"/>
      <c r="O647" s="8"/>
      <c r="P647" s="8"/>
      <c r="Q647" s="8">
        <f>IF(B647="","",IF(B647="P","P&amp;10",B647&amp;"D "&amp;C647))</f>
        <v/>
      </c>
      <c r="R647" s="8">
        <f>IF(L647&lt;&gt;"Y","",IF(COUNTIF('DEF_CALL_DECISION_SUPPORT'!$B$1197:$B$1256,SUBSTITUTE(SUBSTITUTE(SUBSTITUTE(E647,"~","~~"),"*","~*"),"?","~?"))&gt;0,"KNOWN","REVIEW: new call; refresh sources"))</f>
        <v/>
      </c>
    </row>
    <row r="648" spans="1:18" ht="25" customHeight="1">
      <c r="A648" s="12"/>
      <c r="B648" s="8"/>
      <c r="C648" s="8"/>
      <c r="D648" s="8"/>
      <c r="E648" s="8"/>
      <c r="F648" s="8"/>
      <c r="G648" s="8"/>
      <c r="H648" s="8"/>
      <c r="I648" s="11"/>
      <c r="J648" s="12"/>
      <c r="K648" s="12"/>
      <c r="L648" s="8"/>
      <c r="M648" s="8"/>
      <c r="N648" s="8"/>
      <c r="O648" s="8"/>
      <c r="P648" s="8"/>
      <c r="Q648" s="8">
        <f>IF(B648="","",IF(B648="P","P&amp;10",B648&amp;"D "&amp;C648))</f>
        <v/>
      </c>
      <c r="R648" s="8">
        <f>IF(L648&lt;&gt;"Y","",IF(COUNTIF('DEF_CALL_DECISION_SUPPORT'!$B$1197:$B$1256,SUBSTITUTE(SUBSTITUTE(SUBSTITUTE(E648,"~","~~"),"*","~*"),"?","~?"))&gt;0,"KNOWN","REVIEW: new call; refresh sources"))</f>
        <v/>
      </c>
    </row>
    <row r="649" spans="1:18" ht="25" customHeight="1">
      <c r="A649" s="12"/>
      <c r="B649" s="8"/>
      <c r="C649" s="8"/>
      <c r="D649" s="8"/>
      <c r="E649" s="8"/>
      <c r="F649" s="8"/>
      <c r="G649" s="8"/>
      <c r="H649" s="8"/>
      <c r="I649" s="11"/>
      <c r="J649" s="12"/>
      <c r="K649" s="12"/>
      <c r="L649" s="8"/>
      <c r="M649" s="8"/>
      <c r="N649" s="8"/>
      <c r="O649" s="8"/>
      <c r="P649" s="8"/>
      <c r="Q649" s="8">
        <f>IF(B649="","",IF(B649="P","P&amp;10",B649&amp;"D "&amp;C649))</f>
        <v/>
      </c>
      <c r="R649" s="8">
        <f>IF(L649&lt;&gt;"Y","",IF(COUNTIF('DEF_CALL_DECISION_SUPPORT'!$B$1197:$B$1256,SUBSTITUTE(SUBSTITUTE(SUBSTITUTE(E649,"~","~~"),"*","~*"),"?","~?"))&gt;0,"KNOWN","REVIEW: new call; refresh sources"))</f>
        <v/>
      </c>
    </row>
    <row r="650" spans="1:18" ht="25" customHeight="1">
      <c r="A650" s="12"/>
      <c r="B650" s="8"/>
      <c r="C650" s="8"/>
      <c r="D650" s="8"/>
      <c r="E650" s="8"/>
      <c r="F650" s="8"/>
      <c r="G650" s="8"/>
      <c r="H650" s="8"/>
      <c r="I650" s="11"/>
      <c r="J650" s="12"/>
      <c r="K650" s="12"/>
      <c r="L650" s="8"/>
      <c r="M650" s="8"/>
      <c r="N650" s="8"/>
      <c r="O650" s="8"/>
      <c r="P650" s="8"/>
      <c r="Q650" s="8">
        <f>IF(B650="","",IF(B650="P","P&amp;10",B650&amp;"D "&amp;C650))</f>
        <v/>
      </c>
      <c r="R650" s="8">
        <f>IF(L650&lt;&gt;"Y","",IF(COUNTIF('DEF_CALL_DECISION_SUPPORT'!$B$1197:$B$1256,SUBSTITUTE(SUBSTITUTE(SUBSTITUTE(E650,"~","~~"),"*","~*"),"?","~?"))&gt;0,"KNOWN","REVIEW: new call; refresh sources"))</f>
        <v/>
      </c>
    </row>
    <row r="651" spans="1:18" ht="25" customHeight="1">
      <c r="A651" s="12"/>
      <c r="B651" s="8"/>
      <c r="C651" s="8"/>
      <c r="D651" s="8"/>
      <c r="E651" s="8"/>
      <c r="F651" s="8"/>
      <c r="G651" s="8"/>
      <c r="H651" s="8"/>
      <c r="I651" s="11"/>
      <c r="J651" s="12"/>
      <c r="K651" s="12"/>
      <c r="L651" s="8"/>
      <c r="M651" s="8"/>
      <c r="N651" s="8"/>
      <c r="O651" s="8"/>
      <c r="P651" s="8"/>
      <c r="Q651" s="8">
        <f>IF(B651="","",IF(B651="P","P&amp;10",B651&amp;"D "&amp;C651))</f>
        <v/>
      </c>
      <c r="R651" s="8">
        <f>IF(L651&lt;&gt;"Y","",IF(COUNTIF('DEF_CALL_DECISION_SUPPORT'!$B$1197:$B$1256,SUBSTITUTE(SUBSTITUTE(SUBSTITUTE(E651,"~","~~"),"*","~*"),"?","~?"))&gt;0,"KNOWN","REVIEW: new call; refresh sources"))</f>
        <v/>
      </c>
    </row>
    <row r="652" spans="1:18" ht="25" customHeight="1">
      <c r="A652" s="12"/>
      <c r="B652" s="8"/>
      <c r="C652" s="8"/>
      <c r="D652" s="8"/>
      <c r="E652" s="8"/>
      <c r="F652" s="8"/>
      <c r="G652" s="8"/>
      <c r="H652" s="8"/>
      <c r="I652" s="11"/>
      <c r="J652" s="12"/>
      <c r="K652" s="12"/>
      <c r="L652" s="8"/>
      <c r="M652" s="8"/>
      <c r="N652" s="8"/>
      <c r="O652" s="8"/>
      <c r="P652" s="8"/>
      <c r="Q652" s="8">
        <f>IF(B652="","",IF(B652="P","P&amp;10",B652&amp;"D "&amp;C652))</f>
        <v/>
      </c>
      <c r="R652" s="8">
        <f>IF(L652&lt;&gt;"Y","",IF(COUNTIF('DEF_CALL_DECISION_SUPPORT'!$B$1197:$B$1256,SUBSTITUTE(SUBSTITUTE(SUBSTITUTE(E652,"~","~~"),"*","~*"),"?","~?"))&gt;0,"KNOWN","REVIEW: new call; refresh sources"))</f>
        <v/>
      </c>
    </row>
    <row r="653" spans="1:18" ht="25" customHeight="1">
      <c r="A653" s="12"/>
      <c r="B653" s="8"/>
      <c r="C653" s="8"/>
      <c r="D653" s="8"/>
      <c r="E653" s="8"/>
      <c r="F653" s="8"/>
      <c r="G653" s="8"/>
      <c r="H653" s="8"/>
      <c r="I653" s="11"/>
      <c r="J653" s="12"/>
      <c r="K653" s="12"/>
      <c r="L653" s="8"/>
      <c r="M653" s="8"/>
      <c r="N653" s="8"/>
      <c r="O653" s="8"/>
      <c r="P653" s="8"/>
      <c r="Q653" s="8">
        <f>IF(B653="","",IF(B653="P","P&amp;10",B653&amp;"D "&amp;C653))</f>
        <v/>
      </c>
      <c r="R653" s="8">
        <f>IF(L653&lt;&gt;"Y","",IF(COUNTIF('DEF_CALL_DECISION_SUPPORT'!$B$1197:$B$1256,SUBSTITUTE(SUBSTITUTE(SUBSTITUTE(E653,"~","~~"),"*","~*"),"?","~?"))&gt;0,"KNOWN","REVIEW: new call; refresh sources"))</f>
        <v/>
      </c>
    </row>
    <row r="654" spans="1:18" ht="25" customHeight="1">
      <c r="A654" s="12"/>
      <c r="B654" s="8"/>
      <c r="C654" s="8"/>
      <c r="D654" s="8"/>
      <c r="E654" s="8"/>
      <c r="F654" s="8"/>
      <c r="G654" s="8"/>
      <c r="H654" s="8"/>
      <c r="I654" s="11"/>
      <c r="J654" s="12"/>
      <c r="K654" s="12"/>
      <c r="L654" s="8"/>
      <c r="M654" s="8"/>
      <c r="N654" s="8"/>
      <c r="O654" s="8"/>
      <c r="P654" s="8"/>
      <c r="Q654" s="8">
        <f>IF(B654="","",IF(B654="P","P&amp;10",B654&amp;"D "&amp;C654))</f>
        <v/>
      </c>
      <c r="R654" s="8">
        <f>IF(L654&lt;&gt;"Y","",IF(COUNTIF('DEF_CALL_DECISION_SUPPORT'!$B$1197:$B$1256,SUBSTITUTE(SUBSTITUTE(SUBSTITUTE(E654,"~","~~"),"*","~*"),"?","~?"))&gt;0,"KNOWN","REVIEW: new call; refresh sources"))</f>
        <v/>
      </c>
    </row>
    <row r="655" spans="1:18" ht="25" customHeight="1">
      <c r="A655" s="12"/>
      <c r="B655" s="8"/>
      <c r="C655" s="8"/>
      <c r="D655" s="8"/>
      <c r="E655" s="8"/>
      <c r="F655" s="8"/>
      <c r="G655" s="8"/>
      <c r="H655" s="8"/>
      <c r="I655" s="11"/>
      <c r="J655" s="12"/>
      <c r="K655" s="12"/>
      <c r="L655" s="8"/>
      <c r="M655" s="8"/>
      <c r="N655" s="8"/>
      <c r="O655" s="8"/>
      <c r="P655" s="8"/>
      <c r="Q655" s="8">
        <f>IF(B655="","",IF(B655="P","P&amp;10",B655&amp;"D "&amp;C655))</f>
        <v/>
      </c>
      <c r="R655" s="8">
        <f>IF(L655&lt;&gt;"Y","",IF(COUNTIF('DEF_CALL_DECISION_SUPPORT'!$B$1197:$B$1256,SUBSTITUTE(SUBSTITUTE(SUBSTITUTE(E655,"~","~~"),"*","~*"),"?","~?"))&gt;0,"KNOWN","REVIEW: new call; refresh sources"))</f>
        <v/>
      </c>
    </row>
    <row r="656" spans="1:18" ht="25" customHeight="1">
      <c r="A656" s="12"/>
      <c r="B656" s="8"/>
      <c r="C656" s="8"/>
      <c r="D656" s="8"/>
      <c r="E656" s="8"/>
      <c r="F656" s="8"/>
      <c r="G656" s="8"/>
      <c r="H656" s="8"/>
      <c r="I656" s="11"/>
      <c r="J656" s="12"/>
      <c r="K656" s="12"/>
      <c r="L656" s="8"/>
      <c r="M656" s="8"/>
      <c r="N656" s="8"/>
      <c r="O656" s="8"/>
      <c r="P656" s="8"/>
      <c r="Q656" s="8">
        <f>IF(B656="","",IF(B656="P","P&amp;10",B656&amp;"D "&amp;C656))</f>
        <v/>
      </c>
      <c r="R656" s="8">
        <f>IF(L656&lt;&gt;"Y","",IF(COUNTIF('DEF_CALL_DECISION_SUPPORT'!$B$1197:$B$1256,SUBSTITUTE(SUBSTITUTE(SUBSTITUTE(E656,"~","~~"),"*","~*"),"?","~?"))&gt;0,"KNOWN","REVIEW: new call; refresh sources"))</f>
        <v/>
      </c>
    </row>
    <row r="657" spans="1:18" ht="25" customHeight="1">
      <c r="A657" s="12"/>
      <c r="B657" s="8"/>
      <c r="C657" s="8"/>
      <c r="D657" s="8"/>
      <c r="E657" s="8"/>
      <c r="F657" s="8"/>
      <c r="G657" s="8"/>
      <c r="H657" s="8"/>
      <c r="I657" s="11"/>
      <c r="J657" s="12"/>
      <c r="K657" s="12"/>
      <c r="L657" s="8"/>
      <c r="M657" s="8"/>
      <c r="N657" s="8"/>
      <c r="O657" s="8"/>
      <c r="P657" s="8"/>
      <c r="Q657" s="8">
        <f>IF(B657="","",IF(B657="P","P&amp;10",B657&amp;"D "&amp;C657))</f>
        <v/>
      </c>
      <c r="R657" s="8">
        <f>IF(L657&lt;&gt;"Y","",IF(COUNTIF('DEF_CALL_DECISION_SUPPORT'!$B$1197:$B$1256,SUBSTITUTE(SUBSTITUTE(SUBSTITUTE(E657,"~","~~"),"*","~*"),"?","~?"))&gt;0,"KNOWN","REVIEW: new call; refresh sources"))</f>
        <v/>
      </c>
    </row>
    <row r="658" spans="1:18" ht="25" customHeight="1">
      <c r="A658" s="12"/>
      <c r="B658" s="8"/>
      <c r="C658" s="8"/>
      <c r="D658" s="8"/>
      <c r="E658" s="8"/>
      <c r="F658" s="8"/>
      <c r="G658" s="8"/>
      <c r="H658" s="8"/>
      <c r="I658" s="11"/>
      <c r="J658" s="12"/>
      <c r="K658" s="12"/>
      <c r="L658" s="8"/>
      <c r="M658" s="8"/>
      <c r="N658" s="8"/>
      <c r="O658" s="8"/>
      <c r="P658" s="8"/>
      <c r="Q658" s="8">
        <f>IF(B658="","",IF(B658="P","P&amp;10",B658&amp;"D "&amp;C658))</f>
        <v/>
      </c>
      <c r="R658" s="8">
        <f>IF(L658&lt;&gt;"Y","",IF(COUNTIF('DEF_CALL_DECISION_SUPPORT'!$B$1197:$B$1256,SUBSTITUTE(SUBSTITUTE(SUBSTITUTE(E658,"~","~~"),"*","~*"),"?","~?"))&gt;0,"KNOWN","REVIEW: new call; refresh sources"))</f>
        <v/>
      </c>
    </row>
    <row r="659" spans="1:18" ht="25" customHeight="1">
      <c r="A659" s="12"/>
      <c r="B659" s="8"/>
      <c r="C659" s="8"/>
      <c r="D659" s="8"/>
      <c r="E659" s="8"/>
      <c r="F659" s="8"/>
      <c r="G659" s="8"/>
      <c r="H659" s="8"/>
      <c r="I659" s="11"/>
      <c r="J659" s="12"/>
      <c r="K659" s="12"/>
      <c r="L659" s="8"/>
      <c r="M659" s="8"/>
      <c r="N659" s="8"/>
      <c r="O659" s="8"/>
      <c r="P659" s="8"/>
      <c r="Q659" s="8">
        <f>IF(B659="","",IF(B659="P","P&amp;10",B659&amp;"D "&amp;C659))</f>
        <v/>
      </c>
      <c r="R659" s="8">
        <f>IF(L659&lt;&gt;"Y","",IF(COUNTIF('DEF_CALL_DECISION_SUPPORT'!$B$1197:$B$1256,SUBSTITUTE(SUBSTITUTE(SUBSTITUTE(E659,"~","~~"),"*","~*"),"?","~?"))&gt;0,"KNOWN","REVIEW: new call; refresh sources"))</f>
        <v/>
      </c>
    </row>
    <row r="660" spans="1:18" ht="25" customHeight="1">
      <c r="A660" s="12"/>
      <c r="B660" s="8"/>
      <c r="C660" s="8"/>
      <c r="D660" s="8"/>
      <c r="E660" s="8"/>
      <c r="F660" s="8"/>
      <c r="G660" s="8"/>
      <c r="H660" s="8"/>
      <c r="I660" s="11"/>
      <c r="J660" s="12"/>
      <c r="K660" s="12"/>
      <c r="L660" s="8"/>
      <c r="M660" s="8"/>
      <c r="N660" s="8"/>
      <c r="O660" s="8"/>
      <c r="P660" s="8"/>
      <c r="Q660" s="8">
        <f>IF(B660="","",IF(B660="P","P&amp;10",B660&amp;"D "&amp;C660))</f>
        <v/>
      </c>
      <c r="R660" s="8">
        <f>IF(L660&lt;&gt;"Y","",IF(COUNTIF('DEF_CALL_DECISION_SUPPORT'!$B$1197:$B$1256,SUBSTITUTE(SUBSTITUTE(SUBSTITUTE(E660,"~","~~"),"*","~*"),"?","~?"))&gt;0,"KNOWN","REVIEW: new call; refresh sources"))</f>
        <v/>
      </c>
    </row>
    <row r="661" spans="1:18" ht="25" customHeight="1">
      <c r="A661" s="12"/>
      <c r="B661" s="8"/>
      <c r="C661" s="8"/>
      <c r="D661" s="8"/>
      <c r="E661" s="8"/>
      <c r="F661" s="8"/>
      <c r="G661" s="8"/>
      <c r="H661" s="8"/>
      <c r="I661" s="11"/>
      <c r="J661" s="12"/>
      <c r="K661" s="12"/>
      <c r="L661" s="8"/>
      <c r="M661" s="8"/>
      <c r="N661" s="8"/>
      <c r="O661" s="8"/>
      <c r="P661" s="8"/>
      <c r="Q661" s="8">
        <f>IF(B661="","",IF(B661="P","P&amp;10",B661&amp;"D "&amp;C661))</f>
        <v/>
      </c>
      <c r="R661" s="8">
        <f>IF(L661&lt;&gt;"Y","",IF(COUNTIF('DEF_CALL_DECISION_SUPPORT'!$B$1197:$B$1256,SUBSTITUTE(SUBSTITUTE(SUBSTITUTE(E661,"~","~~"),"*","~*"),"?","~?"))&gt;0,"KNOWN","REVIEW: new call; refresh sources"))</f>
        <v/>
      </c>
    </row>
    <row r="662" spans="1:18" ht="25" customHeight="1">
      <c r="A662" s="12"/>
      <c r="B662" s="8"/>
      <c r="C662" s="8"/>
      <c r="D662" s="8"/>
      <c r="E662" s="8"/>
      <c r="F662" s="8"/>
      <c r="G662" s="8"/>
      <c r="H662" s="8"/>
      <c r="I662" s="11"/>
      <c r="J662" s="12"/>
      <c r="K662" s="12"/>
      <c r="L662" s="8"/>
      <c r="M662" s="8"/>
      <c r="N662" s="8"/>
      <c r="O662" s="8"/>
      <c r="P662" s="8"/>
      <c r="Q662" s="8">
        <f>IF(B662="","",IF(B662="P","P&amp;10",B662&amp;"D "&amp;C662))</f>
        <v/>
      </c>
      <c r="R662" s="8">
        <f>IF(L662&lt;&gt;"Y","",IF(COUNTIF('DEF_CALL_DECISION_SUPPORT'!$B$1197:$B$1256,SUBSTITUTE(SUBSTITUTE(SUBSTITUTE(E662,"~","~~"),"*","~*"),"?","~?"))&gt;0,"KNOWN","REVIEW: new call; refresh sources"))</f>
        <v/>
      </c>
    </row>
    <row r="663" spans="1:18" ht="25" customHeight="1">
      <c r="A663" s="12"/>
      <c r="B663" s="8"/>
      <c r="C663" s="8"/>
      <c r="D663" s="8"/>
      <c r="E663" s="8"/>
      <c r="F663" s="8"/>
      <c r="G663" s="8"/>
      <c r="H663" s="8"/>
      <c r="I663" s="11"/>
      <c r="J663" s="12"/>
      <c r="K663" s="12"/>
      <c r="L663" s="8"/>
      <c r="M663" s="8"/>
      <c r="N663" s="8"/>
      <c r="O663" s="8"/>
      <c r="P663" s="8"/>
      <c r="Q663" s="8">
        <f>IF(B663="","",IF(B663="P","P&amp;10",B663&amp;"D "&amp;C663))</f>
        <v/>
      </c>
      <c r="R663" s="8">
        <f>IF(L663&lt;&gt;"Y","",IF(COUNTIF('DEF_CALL_DECISION_SUPPORT'!$B$1197:$B$1256,SUBSTITUTE(SUBSTITUTE(SUBSTITUTE(E663,"~","~~"),"*","~*"),"?","~?"))&gt;0,"KNOWN","REVIEW: new call; refresh sources"))</f>
        <v/>
      </c>
    </row>
    <row r="664" spans="1:18" ht="25" customHeight="1">
      <c r="A664" s="12"/>
      <c r="B664" s="8"/>
      <c r="C664" s="8"/>
      <c r="D664" s="8"/>
      <c r="E664" s="8"/>
      <c r="F664" s="8"/>
      <c r="G664" s="8"/>
      <c r="H664" s="8"/>
      <c r="I664" s="11"/>
      <c r="J664" s="12"/>
      <c r="K664" s="12"/>
      <c r="L664" s="8"/>
      <c r="M664" s="8"/>
      <c r="N664" s="8"/>
      <c r="O664" s="8"/>
      <c r="P664" s="8"/>
      <c r="Q664" s="8">
        <f>IF(B664="","",IF(B664="P","P&amp;10",B664&amp;"D "&amp;C664))</f>
        <v/>
      </c>
      <c r="R664" s="8">
        <f>IF(L664&lt;&gt;"Y","",IF(COUNTIF('DEF_CALL_DECISION_SUPPORT'!$B$1197:$B$1256,SUBSTITUTE(SUBSTITUTE(SUBSTITUTE(E664,"~","~~"),"*","~*"),"?","~?"))&gt;0,"KNOWN","REVIEW: new call; refresh sources"))</f>
        <v/>
      </c>
    </row>
    <row r="665" spans="1:18" ht="25" customHeight="1">
      <c r="A665" s="12"/>
      <c r="B665" s="8"/>
      <c r="C665" s="8"/>
      <c r="D665" s="8"/>
      <c r="E665" s="8"/>
      <c r="F665" s="8"/>
      <c r="G665" s="8"/>
      <c r="H665" s="8"/>
      <c r="I665" s="11"/>
      <c r="J665" s="12"/>
      <c r="K665" s="12"/>
      <c r="L665" s="8"/>
      <c r="M665" s="8"/>
      <c r="N665" s="8"/>
      <c r="O665" s="8"/>
      <c r="P665" s="8"/>
      <c r="Q665" s="8">
        <f>IF(B665="","",IF(B665="P","P&amp;10",B665&amp;"D "&amp;C665))</f>
        <v/>
      </c>
      <c r="R665" s="8">
        <f>IF(L665&lt;&gt;"Y","",IF(COUNTIF('DEF_CALL_DECISION_SUPPORT'!$B$1197:$B$1256,SUBSTITUTE(SUBSTITUTE(SUBSTITUTE(E665,"~","~~"),"*","~*"),"?","~?"))&gt;0,"KNOWN","REVIEW: new call; refresh sources"))</f>
        <v/>
      </c>
    </row>
    <row r="666" spans="1:18" ht="25" customHeight="1">
      <c r="A666" s="12"/>
      <c r="B666" s="8"/>
      <c r="C666" s="8"/>
      <c r="D666" s="8"/>
      <c r="E666" s="8"/>
      <c r="F666" s="8"/>
      <c r="G666" s="8"/>
      <c r="H666" s="8"/>
      <c r="I666" s="11"/>
      <c r="J666" s="12"/>
      <c r="K666" s="12"/>
      <c r="L666" s="8"/>
      <c r="M666" s="8"/>
      <c r="N666" s="8"/>
      <c r="O666" s="8"/>
      <c r="P666" s="8"/>
      <c r="Q666" s="8">
        <f>IF(B666="","",IF(B666="P","P&amp;10",B666&amp;"D "&amp;C666))</f>
        <v/>
      </c>
      <c r="R666" s="8">
        <f>IF(L666&lt;&gt;"Y","",IF(COUNTIF('DEF_CALL_DECISION_SUPPORT'!$B$1197:$B$1256,SUBSTITUTE(SUBSTITUTE(SUBSTITUTE(E666,"~","~~"),"*","~*"),"?","~?"))&gt;0,"KNOWN","REVIEW: new call; refresh sources"))</f>
        <v/>
      </c>
    </row>
    <row r="667" spans="1:18" ht="25" customHeight="1">
      <c r="A667" s="12"/>
      <c r="B667" s="8"/>
      <c r="C667" s="8"/>
      <c r="D667" s="8"/>
      <c r="E667" s="8"/>
      <c r="F667" s="8"/>
      <c r="G667" s="8"/>
      <c r="H667" s="8"/>
      <c r="I667" s="11"/>
      <c r="J667" s="12"/>
      <c r="K667" s="12"/>
      <c r="L667" s="8"/>
      <c r="M667" s="8"/>
      <c r="N667" s="8"/>
      <c r="O667" s="8"/>
      <c r="P667" s="8"/>
      <c r="Q667" s="8">
        <f>IF(B667="","",IF(B667="P","P&amp;10",B667&amp;"D "&amp;C667))</f>
        <v/>
      </c>
      <c r="R667" s="8">
        <f>IF(L667&lt;&gt;"Y","",IF(COUNTIF('DEF_CALL_DECISION_SUPPORT'!$B$1197:$B$1256,SUBSTITUTE(SUBSTITUTE(SUBSTITUTE(E667,"~","~~"),"*","~*"),"?","~?"))&gt;0,"KNOWN","REVIEW: new call; refresh sources"))</f>
        <v/>
      </c>
    </row>
    <row r="668" spans="1:18" ht="25" customHeight="1">
      <c r="A668" s="12"/>
      <c r="B668" s="8"/>
      <c r="C668" s="8"/>
      <c r="D668" s="8"/>
      <c r="E668" s="8"/>
      <c r="F668" s="8"/>
      <c r="G668" s="8"/>
      <c r="H668" s="8"/>
      <c r="I668" s="11"/>
      <c r="J668" s="12"/>
      <c r="K668" s="12"/>
      <c r="L668" s="8"/>
      <c r="M668" s="8"/>
      <c r="N668" s="8"/>
      <c r="O668" s="8"/>
      <c r="P668" s="8"/>
      <c r="Q668" s="8">
        <f>IF(B668="","",IF(B668="P","P&amp;10",B668&amp;"D "&amp;C668))</f>
        <v/>
      </c>
      <c r="R668" s="8">
        <f>IF(L668&lt;&gt;"Y","",IF(COUNTIF('DEF_CALL_DECISION_SUPPORT'!$B$1197:$B$1256,SUBSTITUTE(SUBSTITUTE(SUBSTITUTE(E668,"~","~~"),"*","~*"),"?","~?"))&gt;0,"KNOWN","REVIEW: new call; refresh sources"))</f>
        <v/>
      </c>
    </row>
    <row r="669" spans="1:18" ht="25" customHeight="1">
      <c r="A669" s="12"/>
      <c r="B669" s="8"/>
      <c r="C669" s="8"/>
      <c r="D669" s="8"/>
      <c r="E669" s="8"/>
      <c r="F669" s="8"/>
      <c r="G669" s="8"/>
      <c r="H669" s="8"/>
      <c r="I669" s="11"/>
      <c r="J669" s="12"/>
      <c r="K669" s="12"/>
      <c r="L669" s="8"/>
      <c r="M669" s="8"/>
      <c r="N669" s="8"/>
      <c r="O669" s="8"/>
      <c r="P669" s="8"/>
      <c r="Q669" s="8">
        <f>IF(B669="","",IF(B669="P","P&amp;10",B669&amp;"D "&amp;C669))</f>
        <v/>
      </c>
      <c r="R669" s="8">
        <f>IF(L669&lt;&gt;"Y","",IF(COUNTIF('DEF_CALL_DECISION_SUPPORT'!$B$1197:$B$1256,SUBSTITUTE(SUBSTITUTE(SUBSTITUTE(E669,"~","~~"),"*","~*"),"?","~?"))&gt;0,"KNOWN","REVIEW: new call; refresh sources"))</f>
        <v/>
      </c>
    </row>
    <row r="670" spans="1:18" ht="25" customHeight="1">
      <c r="A670" s="12"/>
      <c r="B670" s="8"/>
      <c r="C670" s="8"/>
      <c r="D670" s="8"/>
      <c r="E670" s="8"/>
      <c r="F670" s="8"/>
      <c r="G670" s="8"/>
      <c r="H670" s="8"/>
      <c r="I670" s="11"/>
      <c r="J670" s="12"/>
      <c r="K670" s="12"/>
      <c r="L670" s="8"/>
      <c r="M670" s="8"/>
      <c r="N670" s="8"/>
      <c r="O670" s="8"/>
      <c r="P670" s="8"/>
      <c r="Q670" s="8">
        <f>IF(B670="","",IF(B670="P","P&amp;10",B670&amp;"D "&amp;C670))</f>
        <v/>
      </c>
      <c r="R670" s="8">
        <f>IF(L670&lt;&gt;"Y","",IF(COUNTIF('DEF_CALL_DECISION_SUPPORT'!$B$1197:$B$1256,SUBSTITUTE(SUBSTITUTE(SUBSTITUTE(E670,"~","~~"),"*","~*"),"?","~?"))&gt;0,"KNOWN","REVIEW: new call; refresh sources"))</f>
        <v/>
      </c>
    </row>
    <row r="671" spans="1:18" ht="25" customHeight="1">
      <c r="A671" s="12"/>
      <c r="B671" s="8"/>
      <c r="C671" s="8"/>
      <c r="D671" s="8"/>
      <c r="E671" s="8"/>
      <c r="F671" s="8"/>
      <c r="G671" s="8"/>
      <c r="H671" s="8"/>
      <c r="I671" s="11"/>
      <c r="J671" s="12"/>
      <c r="K671" s="12"/>
      <c r="L671" s="8"/>
      <c r="M671" s="8"/>
      <c r="N671" s="8"/>
      <c r="O671" s="8"/>
      <c r="P671" s="8"/>
      <c r="Q671" s="8">
        <f>IF(B671="","",IF(B671="P","P&amp;10",B671&amp;"D "&amp;C671))</f>
        <v/>
      </c>
      <c r="R671" s="8">
        <f>IF(L671&lt;&gt;"Y","",IF(COUNTIF('DEF_CALL_DECISION_SUPPORT'!$B$1197:$B$1256,SUBSTITUTE(SUBSTITUTE(SUBSTITUTE(E671,"~","~~"),"*","~*"),"?","~?"))&gt;0,"KNOWN","REVIEW: new call; refresh sources"))</f>
        <v/>
      </c>
    </row>
    <row r="672" spans="1:18" ht="25" customHeight="1">
      <c r="A672" s="12"/>
      <c r="B672" s="8"/>
      <c r="C672" s="8"/>
      <c r="D672" s="8"/>
      <c r="E672" s="8"/>
      <c r="F672" s="8"/>
      <c r="G672" s="8"/>
      <c r="H672" s="8"/>
      <c r="I672" s="11"/>
      <c r="J672" s="12"/>
      <c r="K672" s="12"/>
      <c r="L672" s="8"/>
      <c r="M672" s="8"/>
      <c r="N672" s="8"/>
      <c r="O672" s="8"/>
      <c r="P672" s="8"/>
      <c r="Q672" s="8">
        <f>IF(B672="","",IF(B672="P","P&amp;10",B672&amp;"D "&amp;C672))</f>
        <v/>
      </c>
      <c r="R672" s="8">
        <f>IF(L672&lt;&gt;"Y","",IF(COUNTIF('DEF_CALL_DECISION_SUPPORT'!$B$1197:$B$1256,SUBSTITUTE(SUBSTITUTE(SUBSTITUTE(E672,"~","~~"),"*","~*"),"?","~?"))&gt;0,"KNOWN","REVIEW: new call; refresh sources"))</f>
        <v/>
      </c>
    </row>
    <row r="673" spans="1:18" ht="25" customHeight="1">
      <c r="A673" s="12"/>
      <c r="B673" s="8"/>
      <c r="C673" s="8"/>
      <c r="D673" s="8"/>
      <c r="E673" s="8"/>
      <c r="F673" s="8"/>
      <c r="G673" s="8"/>
      <c r="H673" s="8"/>
      <c r="I673" s="11"/>
      <c r="J673" s="12"/>
      <c r="K673" s="12"/>
      <c r="L673" s="8"/>
      <c r="M673" s="8"/>
      <c r="N673" s="8"/>
      <c r="O673" s="8"/>
      <c r="P673" s="8"/>
      <c r="Q673" s="8">
        <f>IF(B673="","",IF(B673="P","P&amp;10",B673&amp;"D "&amp;C673))</f>
        <v/>
      </c>
      <c r="R673" s="8">
        <f>IF(L673&lt;&gt;"Y","",IF(COUNTIF('DEF_CALL_DECISION_SUPPORT'!$B$1197:$B$1256,SUBSTITUTE(SUBSTITUTE(SUBSTITUTE(E673,"~","~~"),"*","~*"),"?","~?"))&gt;0,"KNOWN","REVIEW: new call; refresh sources"))</f>
        <v/>
      </c>
    </row>
    <row r="674" spans="1:18" ht="25" customHeight="1">
      <c r="A674" s="12"/>
      <c r="B674" s="8"/>
      <c r="C674" s="8"/>
      <c r="D674" s="8"/>
      <c r="E674" s="8"/>
      <c r="F674" s="8"/>
      <c r="G674" s="8"/>
      <c r="H674" s="8"/>
      <c r="I674" s="11"/>
      <c r="J674" s="12"/>
      <c r="K674" s="12"/>
      <c r="L674" s="8"/>
      <c r="M674" s="8"/>
      <c r="N674" s="8"/>
      <c r="O674" s="8"/>
      <c r="P674" s="8"/>
      <c r="Q674" s="8">
        <f>IF(B674="","",IF(B674="P","P&amp;10",B674&amp;"D "&amp;C674))</f>
        <v/>
      </c>
      <c r="R674" s="8">
        <f>IF(L674&lt;&gt;"Y","",IF(COUNTIF('DEF_CALL_DECISION_SUPPORT'!$B$1197:$B$1256,SUBSTITUTE(SUBSTITUTE(SUBSTITUTE(E674,"~","~~"),"*","~*"),"?","~?"))&gt;0,"KNOWN","REVIEW: new call; refresh sources"))</f>
        <v/>
      </c>
    </row>
    <row r="675" spans="1:18" ht="25" customHeight="1">
      <c r="A675" s="12"/>
      <c r="B675" s="8"/>
      <c r="C675" s="8"/>
      <c r="D675" s="8"/>
      <c r="E675" s="8"/>
      <c r="F675" s="8"/>
      <c r="G675" s="8"/>
      <c r="H675" s="8"/>
      <c r="I675" s="11"/>
      <c r="J675" s="12"/>
      <c r="K675" s="12"/>
      <c r="L675" s="8"/>
      <c r="M675" s="8"/>
      <c r="N675" s="8"/>
      <c r="O675" s="8"/>
      <c r="P675" s="8"/>
      <c r="Q675" s="8">
        <f>IF(B675="","",IF(B675="P","P&amp;10",B675&amp;"D "&amp;C675))</f>
        <v/>
      </c>
      <c r="R675" s="8">
        <f>IF(L675&lt;&gt;"Y","",IF(COUNTIF('DEF_CALL_DECISION_SUPPORT'!$B$1197:$B$1256,SUBSTITUTE(SUBSTITUTE(SUBSTITUTE(E675,"~","~~"),"*","~*"),"?","~?"))&gt;0,"KNOWN","REVIEW: new call; refresh sources"))</f>
        <v/>
      </c>
    </row>
    <row r="676" spans="1:18" ht="25" customHeight="1">
      <c r="A676" s="12"/>
      <c r="B676" s="8"/>
      <c r="C676" s="8"/>
      <c r="D676" s="8"/>
      <c r="E676" s="8"/>
      <c r="F676" s="8"/>
      <c r="G676" s="8"/>
      <c r="H676" s="8"/>
      <c r="I676" s="11"/>
      <c r="J676" s="12"/>
      <c r="K676" s="12"/>
      <c r="L676" s="8"/>
      <c r="M676" s="8"/>
      <c r="N676" s="8"/>
      <c r="O676" s="8"/>
      <c r="P676" s="8"/>
      <c r="Q676" s="8">
        <f>IF(B676="","",IF(B676="P","P&amp;10",B676&amp;"D "&amp;C676))</f>
        <v/>
      </c>
      <c r="R676" s="8">
        <f>IF(L676&lt;&gt;"Y","",IF(COUNTIF('DEF_CALL_DECISION_SUPPORT'!$B$1197:$B$1256,SUBSTITUTE(SUBSTITUTE(SUBSTITUTE(E676,"~","~~"),"*","~*"),"?","~?"))&gt;0,"KNOWN","REVIEW: new call; refresh sources"))</f>
        <v/>
      </c>
    </row>
    <row r="677" spans="1:18" ht="25" customHeight="1">
      <c r="A677" s="12"/>
      <c r="B677" s="8"/>
      <c r="C677" s="8"/>
      <c r="D677" s="8"/>
      <c r="E677" s="8"/>
      <c r="F677" s="8"/>
      <c r="G677" s="8"/>
      <c r="H677" s="8"/>
      <c r="I677" s="11"/>
      <c r="J677" s="12"/>
      <c r="K677" s="12"/>
      <c r="L677" s="8"/>
      <c r="M677" s="8"/>
      <c r="N677" s="8"/>
      <c r="O677" s="8"/>
      <c r="P677" s="8"/>
      <c r="Q677" s="8">
        <f>IF(B677="","",IF(B677="P","P&amp;10",B677&amp;"D "&amp;C677))</f>
        <v/>
      </c>
      <c r="R677" s="8">
        <f>IF(L677&lt;&gt;"Y","",IF(COUNTIF('DEF_CALL_DECISION_SUPPORT'!$B$1197:$B$1256,SUBSTITUTE(SUBSTITUTE(SUBSTITUTE(E677,"~","~~"),"*","~*"),"?","~?"))&gt;0,"KNOWN","REVIEW: new call; refresh sources"))</f>
        <v/>
      </c>
    </row>
    <row r="678" spans="1:18" ht="25" customHeight="1">
      <c r="A678" s="12"/>
      <c r="B678" s="8"/>
      <c r="C678" s="8"/>
      <c r="D678" s="8"/>
      <c r="E678" s="8"/>
      <c r="F678" s="8"/>
      <c r="G678" s="8"/>
      <c r="H678" s="8"/>
      <c r="I678" s="11"/>
      <c r="J678" s="12"/>
      <c r="K678" s="12"/>
      <c r="L678" s="8"/>
      <c r="M678" s="8"/>
      <c r="N678" s="8"/>
      <c r="O678" s="8"/>
      <c r="P678" s="8"/>
      <c r="Q678" s="8">
        <f>IF(B678="","",IF(B678="P","P&amp;10",B678&amp;"D "&amp;C678))</f>
        <v/>
      </c>
      <c r="R678" s="8">
        <f>IF(L678&lt;&gt;"Y","",IF(COUNTIF('DEF_CALL_DECISION_SUPPORT'!$B$1197:$B$1256,SUBSTITUTE(SUBSTITUTE(SUBSTITUTE(E678,"~","~~"),"*","~*"),"?","~?"))&gt;0,"KNOWN","REVIEW: new call; refresh sources"))</f>
        <v/>
      </c>
    </row>
    <row r="679" spans="1:18" ht="25" customHeight="1">
      <c r="A679" s="12"/>
      <c r="B679" s="8"/>
      <c r="C679" s="8"/>
      <c r="D679" s="8"/>
      <c r="E679" s="8"/>
      <c r="F679" s="8"/>
      <c r="G679" s="8"/>
      <c r="H679" s="8"/>
      <c r="I679" s="11"/>
      <c r="J679" s="12"/>
      <c r="K679" s="12"/>
      <c r="L679" s="8"/>
      <c r="M679" s="8"/>
      <c r="N679" s="8"/>
      <c r="O679" s="8"/>
      <c r="P679" s="8"/>
      <c r="Q679" s="8">
        <f>IF(B679="","",IF(B679="P","P&amp;10",B679&amp;"D "&amp;C679))</f>
        <v/>
      </c>
      <c r="R679" s="8">
        <f>IF(L679&lt;&gt;"Y","",IF(COUNTIF('DEF_CALL_DECISION_SUPPORT'!$B$1197:$B$1256,SUBSTITUTE(SUBSTITUTE(SUBSTITUTE(E679,"~","~~"),"*","~*"),"?","~?"))&gt;0,"KNOWN","REVIEW: new call; refresh sources"))</f>
        <v/>
      </c>
    </row>
    <row r="680" spans="1:18" ht="25" customHeight="1">
      <c r="A680" s="12"/>
      <c r="B680" s="8"/>
      <c r="C680" s="8"/>
      <c r="D680" s="8"/>
      <c r="E680" s="8"/>
      <c r="F680" s="8"/>
      <c r="G680" s="8"/>
      <c r="H680" s="8"/>
      <c r="I680" s="11"/>
      <c r="J680" s="12"/>
      <c r="K680" s="12"/>
      <c r="L680" s="8"/>
      <c r="M680" s="8"/>
      <c r="N680" s="8"/>
      <c r="O680" s="8"/>
      <c r="P680" s="8"/>
      <c r="Q680" s="8">
        <f>IF(B680="","",IF(B680="P","P&amp;10",B680&amp;"D "&amp;C680))</f>
        <v/>
      </c>
      <c r="R680" s="8">
        <f>IF(L680&lt;&gt;"Y","",IF(COUNTIF('DEF_CALL_DECISION_SUPPORT'!$B$1197:$B$1256,SUBSTITUTE(SUBSTITUTE(SUBSTITUTE(E680,"~","~~"),"*","~*"),"?","~?"))&gt;0,"KNOWN","REVIEW: new call; refresh sources"))</f>
        <v/>
      </c>
    </row>
    <row r="681" spans="1:18" ht="25" customHeight="1">
      <c r="A681" s="12"/>
      <c r="B681" s="8"/>
      <c r="C681" s="8"/>
      <c r="D681" s="8"/>
      <c r="E681" s="8"/>
      <c r="F681" s="8"/>
      <c r="G681" s="8"/>
      <c r="H681" s="8"/>
      <c r="I681" s="11"/>
      <c r="J681" s="12"/>
      <c r="K681" s="12"/>
      <c r="L681" s="8"/>
      <c r="M681" s="8"/>
      <c r="N681" s="8"/>
      <c r="O681" s="8"/>
      <c r="P681" s="8"/>
      <c r="Q681" s="8">
        <f>IF(B681="","",IF(B681="P","P&amp;10",B681&amp;"D "&amp;C681))</f>
        <v/>
      </c>
      <c r="R681" s="8">
        <f>IF(L681&lt;&gt;"Y","",IF(COUNTIF('DEF_CALL_DECISION_SUPPORT'!$B$1197:$B$1256,SUBSTITUTE(SUBSTITUTE(SUBSTITUTE(E681,"~","~~"),"*","~*"),"?","~?"))&gt;0,"KNOWN","REVIEW: new call; refresh sources"))</f>
        <v/>
      </c>
    </row>
    <row r="682" spans="1:18" ht="25" customHeight="1">
      <c r="A682" s="12"/>
      <c r="B682" s="8"/>
      <c r="C682" s="8"/>
      <c r="D682" s="8"/>
      <c r="E682" s="8"/>
      <c r="F682" s="8"/>
      <c r="G682" s="8"/>
      <c r="H682" s="8"/>
      <c r="I682" s="11"/>
      <c r="J682" s="12"/>
      <c r="K682" s="12"/>
      <c r="L682" s="8"/>
      <c r="M682" s="8"/>
      <c r="N682" s="8"/>
      <c r="O682" s="8"/>
      <c r="P682" s="8"/>
      <c r="Q682" s="8">
        <f>IF(B682="","",IF(B682="P","P&amp;10",B682&amp;"D "&amp;C682))</f>
        <v/>
      </c>
      <c r="R682" s="8">
        <f>IF(L682&lt;&gt;"Y","",IF(COUNTIF('DEF_CALL_DECISION_SUPPORT'!$B$1197:$B$1256,SUBSTITUTE(SUBSTITUTE(SUBSTITUTE(E682,"~","~~"),"*","~*"),"?","~?"))&gt;0,"KNOWN","REVIEW: new call; refresh sources"))</f>
        <v/>
      </c>
    </row>
    <row r="683" spans="1:18" ht="25" customHeight="1">
      <c r="A683" s="12"/>
      <c r="B683" s="8"/>
      <c r="C683" s="8"/>
      <c r="D683" s="8"/>
      <c r="E683" s="8"/>
      <c r="F683" s="8"/>
      <c r="G683" s="8"/>
      <c r="H683" s="8"/>
      <c r="I683" s="11"/>
      <c r="J683" s="12"/>
      <c r="K683" s="12"/>
      <c r="L683" s="8"/>
      <c r="M683" s="8"/>
      <c r="N683" s="8"/>
      <c r="O683" s="8"/>
      <c r="P683" s="8"/>
      <c r="Q683" s="8">
        <f>IF(B683="","",IF(B683="P","P&amp;10",B683&amp;"D "&amp;C683))</f>
        <v/>
      </c>
      <c r="R683" s="8">
        <f>IF(L683&lt;&gt;"Y","",IF(COUNTIF('DEF_CALL_DECISION_SUPPORT'!$B$1197:$B$1256,SUBSTITUTE(SUBSTITUTE(SUBSTITUTE(E683,"~","~~"),"*","~*"),"?","~?"))&gt;0,"KNOWN","REVIEW: new call; refresh sources"))</f>
        <v/>
      </c>
    </row>
    <row r="684" spans="1:18" ht="25" customHeight="1">
      <c r="A684" s="12"/>
      <c r="B684" s="8"/>
      <c r="C684" s="8"/>
      <c r="D684" s="8"/>
      <c r="E684" s="8"/>
      <c r="F684" s="8"/>
      <c r="G684" s="8"/>
      <c r="H684" s="8"/>
      <c r="I684" s="11"/>
      <c r="J684" s="12"/>
      <c r="K684" s="12"/>
      <c r="L684" s="8"/>
      <c r="M684" s="8"/>
      <c r="N684" s="8"/>
      <c r="O684" s="8"/>
      <c r="P684" s="8"/>
      <c r="Q684" s="8">
        <f>IF(B684="","",IF(B684="P","P&amp;10",B684&amp;"D "&amp;C684))</f>
        <v/>
      </c>
      <c r="R684" s="8">
        <f>IF(L684&lt;&gt;"Y","",IF(COUNTIF('DEF_CALL_DECISION_SUPPORT'!$B$1197:$B$1256,SUBSTITUTE(SUBSTITUTE(SUBSTITUTE(E684,"~","~~"),"*","~*"),"?","~?"))&gt;0,"KNOWN","REVIEW: new call; refresh sources"))</f>
        <v/>
      </c>
    </row>
    <row r="685" spans="1:18" ht="25" customHeight="1">
      <c r="A685" s="12"/>
      <c r="B685" s="8"/>
      <c r="C685" s="8"/>
      <c r="D685" s="8"/>
      <c r="E685" s="8"/>
      <c r="F685" s="8"/>
      <c r="G685" s="8"/>
      <c r="H685" s="8"/>
      <c r="I685" s="11"/>
      <c r="J685" s="12"/>
      <c r="K685" s="12"/>
      <c r="L685" s="8"/>
      <c r="M685" s="8"/>
      <c r="N685" s="8"/>
      <c r="O685" s="8"/>
      <c r="P685" s="8"/>
      <c r="Q685" s="8">
        <f>IF(B685="","",IF(B685="P","P&amp;10",B685&amp;"D "&amp;C685))</f>
        <v/>
      </c>
      <c r="R685" s="8">
        <f>IF(L685&lt;&gt;"Y","",IF(COUNTIF('DEF_CALL_DECISION_SUPPORT'!$B$1197:$B$1256,SUBSTITUTE(SUBSTITUTE(SUBSTITUTE(E685,"~","~~"),"*","~*"),"?","~?"))&gt;0,"KNOWN","REVIEW: new call; refresh sources"))</f>
        <v/>
      </c>
    </row>
    <row r="686" spans="1:18" ht="25" customHeight="1">
      <c r="A686" s="12"/>
      <c r="B686" s="8"/>
      <c r="C686" s="8"/>
      <c r="D686" s="8"/>
      <c r="E686" s="8"/>
      <c r="F686" s="8"/>
      <c r="G686" s="8"/>
      <c r="H686" s="8"/>
      <c r="I686" s="11"/>
      <c r="J686" s="12"/>
      <c r="K686" s="12"/>
      <c r="L686" s="8"/>
      <c r="M686" s="8"/>
      <c r="N686" s="8"/>
      <c r="O686" s="8"/>
      <c r="P686" s="8"/>
      <c r="Q686" s="8">
        <f>IF(B686="","",IF(B686="P","P&amp;10",B686&amp;"D "&amp;C686))</f>
        <v/>
      </c>
      <c r="R686" s="8">
        <f>IF(L686&lt;&gt;"Y","",IF(COUNTIF('DEF_CALL_DECISION_SUPPORT'!$B$1197:$B$1256,SUBSTITUTE(SUBSTITUTE(SUBSTITUTE(E686,"~","~~"),"*","~*"),"?","~?"))&gt;0,"KNOWN","REVIEW: new call; refresh sources"))</f>
        <v/>
      </c>
    </row>
    <row r="687" spans="1:18" ht="25" customHeight="1">
      <c r="A687" s="12"/>
      <c r="B687" s="8"/>
      <c r="C687" s="8"/>
      <c r="D687" s="8"/>
      <c r="E687" s="8"/>
      <c r="F687" s="8"/>
      <c r="G687" s="8"/>
      <c r="H687" s="8"/>
      <c r="I687" s="11"/>
      <c r="J687" s="12"/>
      <c r="K687" s="12"/>
      <c r="L687" s="8"/>
      <c r="M687" s="8"/>
      <c r="N687" s="8"/>
      <c r="O687" s="8"/>
      <c r="P687" s="8"/>
      <c r="Q687" s="8">
        <f>IF(B687="","",IF(B687="P","P&amp;10",B687&amp;"D "&amp;C687))</f>
        <v/>
      </c>
      <c r="R687" s="8">
        <f>IF(L687&lt;&gt;"Y","",IF(COUNTIF('DEF_CALL_DECISION_SUPPORT'!$B$1197:$B$1256,SUBSTITUTE(SUBSTITUTE(SUBSTITUTE(E687,"~","~~"),"*","~*"),"?","~?"))&gt;0,"KNOWN","REVIEW: new call; refresh sources"))</f>
        <v/>
      </c>
    </row>
    <row r="688" spans="1:18" ht="25" customHeight="1">
      <c r="A688" s="12"/>
      <c r="B688" s="8"/>
      <c r="C688" s="8"/>
      <c r="D688" s="8"/>
      <c r="E688" s="8"/>
      <c r="F688" s="8"/>
      <c r="G688" s="8"/>
      <c r="H688" s="8"/>
      <c r="I688" s="11"/>
      <c r="J688" s="12"/>
      <c r="K688" s="12"/>
      <c r="L688" s="8"/>
      <c r="M688" s="8"/>
      <c r="N688" s="8"/>
      <c r="O688" s="8"/>
      <c r="P688" s="8"/>
      <c r="Q688" s="8">
        <f>IF(B688="","",IF(B688="P","P&amp;10",B688&amp;"D "&amp;C688))</f>
        <v/>
      </c>
      <c r="R688" s="8">
        <f>IF(L688&lt;&gt;"Y","",IF(COUNTIF('DEF_CALL_DECISION_SUPPORT'!$B$1197:$B$1256,SUBSTITUTE(SUBSTITUTE(SUBSTITUTE(E688,"~","~~"),"*","~*"),"?","~?"))&gt;0,"KNOWN","REVIEW: new call; refresh sources"))</f>
        <v/>
      </c>
    </row>
    <row r="689" spans="1:18" ht="25" customHeight="1">
      <c r="A689" s="12"/>
      <c r="B689" s="8"/>
      <c r="C689" s="8"/>
      <c r="D689" s="8"/>
      <c r="E689" s="8"/>
      <c r="F689" s="8"/>
      <c r="G689" s="8"/>
      <c r="H689" s="8"/>
      <c r="I689" s="11"/>
      <c r="J689" s="12"/>
      <c r="K689" s="12"/>
      <c r="L689" s="8"/>
      <c r="M689" s="8"/>
      <c r="N689" s="8"/>
      <c r="O689" s="8"/>
      <c r="P689" s="8"/>
      <c r="Q689" s="8">
        <f>IF(B689="","",IF(B689="P","P&amp;10",B689&amp;"D "&amp;C689))</f>
        <v/>
      </c>
      <c r="R689" s="8">
        <f>IF(L689&lt;&gt;"Y","",IF(COUNTIF('DEF_CALL_DECISION_SUPPORT'!$B$1197:$B$1256,SUBSTITUTE(SUBSTITUTE(SUBSTITUTE(E689,"~","~~"),"*","~*"),"?","~?"))&gt;0,"KNOWN","REVIEW: new call; refresh sources"))</f>
        <v/>
      </c>
    </row>
    <row r="690" spans="1:18" ht="25" customHeight="1">
      <c r="A690" s="12"/>
      <c r="B690" s="8"/>
      <c r="C690" s="8"/>
      <c r="D690" s="8"/>
      <c r="E690" s="8"/>
      <c r="F690" s="8"/>
      <c r="G690" s="8"/>
      <c r="H690" s="8"/>
      <c r="I690" s="11"/>
      <c r="J690" s="12"/>
      <c r="K690" s="12"/>
      <c r="L690" s="8"/>
      <c r="M690" s="8"/>
      <c r="N690" s="8"/>
      <c r="O690" s="8"/>
      <c r="P690" s="8"/>
      <c r="Q690" s="8">
        <f>IF(B690="","",IF(B690="P","P&amp;10",B690&amp;"D "&amp;C690))</f>
        <v/>
      </c>
      <c r="R690" s="8">
        <f>IF(L690&lt;&gt;"Y","",IF(COUNTIF('DEF_CALL_DECISION_SUPPORT'!$B$1197:$B$1256,SUBSTITUTE(SUBSTITUTE(SUBSTITUTE(E690,"~","~~"),"*","~*"),"?","~?"))&gt;0,"KNOWN","REVIEW: new call; refresh sources"))</f>
        <v/>
      </c>
    </row>
    <row r="691" spans="1:18" ht="25" customHeight="1">
      <c r="A691" s="12"/>
      <c r="B691" s="8"/>
      <c r="C691" s="8"/>
      <c r="D691" s="8"/>
      <c r="E691" s="8"/>
      <c r="F691" s="8"/>
      <c r="G691" s="8"/>
      <c r="H691" s="8"/>
      <c r="I691" s="11"/>
      <c r="J691" s="12"/>
      <c r="K691" s="12"/>
      <c r="L691" s="8"/>
      <c r="M691" s="8"/>
      <c r="N691" s="8"/>
      <c r="O691" s="8"/>
      <c r="P691" s="8"/>
      <c r="Q691" s="8">
        <f>IF(B691="","",IF(B691="P","P&amp;10",B691&amp;"D "&amp;C691))</f>
        <v/>
      </c>
      <c r="R691" s="8">
        <f>IF(L691&lt;&gt;"Y","",IF(COUNTIF('DEF_CALL_DECISION_SUPPORT'!$B$1197:$B$1256,SUBSTITUTE(SUBSTITUTE(SUBSTITUTE(E691,"~","~~"),"*","~*"),"?","~?"))&gt;0,"KNOWN","REVIEW: new call; refresh sources"))</f>
        <v/>
      </c>
    </row>
    <row r="692" spans="1:18" ht="25" customHeight="1">
      <c r="A692" s="12"/>
      <c r="B692" s="8"/>
      <c r="C692" s="8"/>
      <c r="D692" s="8"/>
      <c r="E692" s="8"/>
      <c r="F692" s="8"/>
      <c r="G692" s="8"/>
      <c r="H692" s="8"/>
      <c r="I692" s="11"/>
      <c r="J692" s="12"/>
      <c r="K692" s="12"/>
      <c r="L692" s="8"/>
      <c r="M692" s="8"/>
      <c r="N692" s="8"/>
      <c r="O692" s="8"/>
      <c r="P692" s="8"/>
      <c r="Q692" s="8">
        <f>IF(B692="","",IF(B692="P","P&amp;10",B692&amp;"D "&amp;C692))</f>
        <v/>
      </c>
      <c r="R692" s="8">
        <f>IF(L692&lt;&gt;"Y","",IF(COUNTIF('DEF_CALL_DECISION_SUPPORT'!$B$1197:$B$1256,SUBSTITUTE(SUBSTITUTE(SUBSTITUTE(E692,"~","~~"),"*","~*"),"?","~?"))&gt;0,"KNOWN","REVIEW: new call; refresh sources"))</f>
        <v/>
      </c>
    </row>
    <row r="693" spans="1:18" ht="25" customHeight="1">
      <c r="A693" s="12"/>
      <c r="B693" s="8"/>
      <c r="C693" s="8"/>
      <c r="D693" s="8"/>
      <c r="E693" s="8"/>
      <c r="F693" s="8"/>
      <c r="G693" s="8"/>
      <c r="H693" s="8"/>
      <c r="I693" s="11"/>
      <c r="J693" s="12"/>
      <c r="K693" s="12"/>
      <c r="L693" s="8"/>
      <c r="M693" s="8"/>
      <c r="N693" s="8"/>
      <c r="O693" s="8"/>
      <c r="P693" s="8"/>
      <c r="Q693" s="8">
        <f>IF(B693="","",IF(B693="P","P&amp;10",B693&amp;"D "&amp;C693))</f>
        <v/>
      </c>
      <c r="R693" s="8">
        <f>IF(L693&lt;&gt;"Y","",IF(COUNTIF('DEF_CALL_DECISION_SUPPORT'!$B$1197:$B$1256,SUBSTITUTE(SUBSTITUTE(SUBSTITUTE(E693,"~","~~"),"*","~*"),"?","~?"))&gt;0,"KNOWN","REVIEW: new call; refresh sources"))</f>
        <v/>
      </c>
    </row>
    <row r="694" spans="1:18" ht="25" customHeight="1">
      <c r="A694" s="12"/>
      <c r="B694" s="8"/>
      <c r="C694" s="8"/>
      <c r="D694" s="8"/>
      <c r="E694" s="8"/>
      <c r="F694" s="8"/>
      <c r="G694" s="8"/>
      <c r="H694" s="8"/>
      <c r="I694" s="11"/>
      <c r="J694" s="12"/>
      <c r="K694" s="12"/>
      <c r="L694" s="8"/>
      <c r="M694" s="8"/>
      <c r="N694" s="8"/>
      <c r="O694" s="8"/>
      <c r="P694" s="8"/>
      <c r="Q694" s="8">
        <f>IF(B694="","",IF(B694="P","P&amp;10",B694&amp;"D "&amp;C694))</f>
        <v/>
      </c>
      <c r="R694" s="8">
        <f>IF(L694&lt;&gt;"Y","",IF(COUNTIF('DEF_CALL_DECISION_SUPPORT'!$B$1197:$B$1256,SUBSTITUTE(SUBSTITUTE(SUBSTITUTE(E694,"~","~~"),"*","~*"),"?","~?"))&gt;0,"KNOWN","REVIEW: new call; refresh sources"))</f>
        <v/>
      </c>
    </row>
    <row r="695" spans="1:18" ht="25" customHeight="1">
      <c r="A695" s="12"/>
      <c r="B695" s="8"/>
      <c r="C695" s="8"/>
      <c r="D695" s="8"/>
      <c r="E695" s="8"/>
      <c r="F695" s="8"/>
      <c r="G695" s="8"/>
      <c r="H695" s="8"/>
      <c r="I695" s="11"/>
      <c r="J695" s="12"/>
      <c r="K695" s="12"/>
      <c r="L695" s="8"/>
      <c r="M695" s="8"/>
      <c r="N695" s="8"/>
      <c r="O695" s="8"/>
      <c r="P695" s="8"/>
      <c r="Q695" s="8">
        <f>IF(B695="","",IF(B695="P","P&amp;10",B695&amp;"D "&amp;C695))</f>
        <v/>
      </c>
      <c r="R695" s="8">
        <f>IF(L695&lt;&gt;"Y","",IF(COUNTIF('DEF_CALL_DECISION_SUPPORT'!$B$1197:$B$1256,SUBSTITUTE(SUBSTITUTE(SUBSTITUTE(E695,"~","~~"),"*","~*"),"?","~?"))&gt;0,"KNOWN","REVIEW: new call; refresh sources"))</f>
        <v/>
      </c>
    </row>
    <row r="696" spans="1:18" ht="25" customHeight="1">
      <c r="A696" s="12"/>
      <c r="B696" s="8"/>
      <c r="C696" s="8"/>
      <c r="D696" s="8"/>
      <c r="E696" s="8"/>
      <c r="F696" s="8"/>
      <c r="G696" s="8"/>
      <c r="H696" s="8"/>
      <c r="I696" s="11"/>
      <c r="J696" s="12"/>
      <c r="K696" s="12"/>
      <c r="L696" s="8"/>
      <c r="M696" s="8"/>
      <c r="N696" s="8"/>
      <c r="O696" s="8"/>
      <c r="P696" s="8"/>
      <c r="Q696" s="8">
        <f>IF(B696="","",IF(B696="P","P&amp;10",B696&amp;"D "&amp;C696))</f>
        <v/>
      </c>
      <c r="R696" s="8">
        <f>IF(L696&lt;&gt;"Y","",IF(COUNTIF('DEF_CALL_DECISION_SUPPORT'!$B$1197:$B$1256,SUBSTITUTE(SUBSTITUTE(SUBSTITUTE(E696,"~","~~"),"*","~*"),"?","~?"))&gt;0,"KNOWN","REVIEW: new call; refresh sources"))</f>
        <v/>
      </c>
    </row>
    <row r="697" spans="1:18" ht="25" customHeight="1">
      <c r="A697" s="12"/>
      <c r="B697" s="8"/>
      <c r="C697" s="8"/>
      <c r="D697" s="8"/>
      <c r="E697" s="8"/>
      <c r="F697" s="8"/>
      <c r="G697" s="8"/>
      <c r="H697" s="8"/>
      <c r="I697" s="11"/>
      <c r="J697" s="12"/>
      <c r="K697" s="12"/>
      <c r="L697" s="8"/>
      <c r="M697" s="8"/>
      <c r="N697" s="8"/>
      <c r="O697" s="8"/>
      <c r="P697" s="8"/>
      <c r="Q697" s="8">
        <f>IF(B697="","",IF(B697="P","P&amp;10",B697&amp;"D "&amp;C697))</f>
        <v/>
      </c>
      <c r="R697" s="8">
        <f>IF(L697&lt;&gt;"Y","",IF(COUNTIF('DEF_CALL_DECISION_SUPPORT'!$B$1197:$B$1256,SUBSTITUTE(SUBSTITUTE(SUBSTITUTE(E697,"~","~~"),"*","~*"),"?","~?"))&gt;0,"KNOWN","REVIEW: new call; refresh sources"))</f>
        <v/>
      </c>
    </row>
    <row r="698" spans="1:18" ht="25" customHeight="1">
      <c r="A698" s="12"/>
      <c r="B698" s="8"/>
      <c r="C698" s="8"/>
      <c r="D698" s="8"/>
      <c r="E698" s="8"/>
      <c r="F698" s="8"/>
      <c r="G698" s="8"/>
      <c r="H698" s="8"/>
      <c r="I698" s="11"/>
      <c r="J698" s="12"/>
      <c r="K698" s="12"/>
      <c r="L698" s="8"/>
      <c r="M698" s="8"/>
      <c r="N698" s="8"/>
      <c r="O698" s="8"/>
      <c r="P698" s="8"/>
      <c r="Q698" s="8">
        <f>IF(B698="","",IF(B698="P","P&amp;10",B698&amp;"D "&amp;C698))</f>
        <v/>
      </c>
      <c r="R698" s="8">
        <f>IF(L698&lt;&gt;"Y","",IF(COUNTIF('DEF_CALL_DECISION_SUPPORT'!$B$1197:$B$1256,SUBSTITUTE(SUBSTITUTE(SUBSTITUTE(E698,"~","~~"),"*","~*"),"?","~?"))&gt;0,"KNOWN","REVIEW: new call; refresh sources"))</f>
        <v/>
      </c>
    </row>
    <row r="699" spans="1:18" ht="25" customHeight="1">
      <c r="A699" s="12"/>
      <c r="B699" s="8"/>
      <c r="C699" s="8"/>
      <c r="D699" s="8"/>
      <c r="E699" s="8"/>
      <c r="F699" s="8"/>
      <c r="G699" s="8"/>
      <c r="H699" s="8"/>
      <c r="I699" s="11"/>
      <c r="J699" s="12"/>
      <c r="K699" s="12"/>
      <c r="L699" s="8"/>
      <c r="M699" s="8"/>
      <c r="N699" s="8"/>
      <c r="O699" s="8"/>
      <c r="P699" s="8"/>
      <c r="Q699" s="8">
        <f>IF(B699="","",IF(B699="P","P&amp;10",B699&amp;"D "&amp;C699))</f>
        <v/>
      </c>
      <c r="R699" s="8">
        <f>IF(L699&lt;&gt;"Y","",IF(COUNTIF('DEF_CALL_DECISION_SUPPORT'!$B$1197:$B$1256,SUBSTITUTE(SUBSTITUTE(SUBSTITUTE(E699,"~","~~"),"*","~*"),"?","~?"))&gt;0,"KNOWN","REVIEW: new call; refresh sources"))</f>
        <v/>
      </c>
    </row>
    <row r="700" spans="1:18" ht="25" customHeight="1">
      <c r="A700" s="12"/>
      <c r="B700" s="8"/>
      <c r="C700" s="8"/>
      <c r="D700" s="8"/>
      <c r="E700" s="8"/>
      <c r="F700" s="8"/>
      <c r="G700" s="8"/>
      <c r="H700" s="8"/>
      <c r="I700" s="11"/>
      <c r="J700" s="12"/>
      <c r="K700" s="12"/>
      <c r="L700" s="8"/>
      <c r="M700" s="8"/>
      <c r="N700" s="8"/>
      <c r="O700" s="8"/>
      <c r="P700" s="8"/>
      <c r="Q700" s="8">
        <f>IF(B700="","",IF(B700="P","P&amp;10",B700&amp;"D "&amp;C700))</f>
        <v/>
      </c>
      <c r="R700" s="8">
        <f>IF(L700&lt;&gt;"Y","",IF(COUNTIF('DEF_CALL_DECISION_SUPPORT'!$B$1197:$B$1256,SUBSTITUTE(SUBSTITUTE(SUBSTITUTE(E700,"~","~~"),"*","~*"),"?","~?"))&gt;0,"KNOWN","REVIEW: new call; refresh sources"))</f>
        <v/>
      </c>
    </row>
    <row r="701" spans="1:18" ht="25" customHeight="1">
      <c r="A701" s="12"/>
      <c r="B701" s="8"/>
      <c r="C701" s="8"/>
      <c r="D701" s="8"/>
      <c r="E701" s="8"/>
      <c r="F701" s="8"/>
      <c r="G701" s="8"/>
      <c r="H701" s="8"/>
      <c r="I701" s="11"/>
      <c r="J701" s="12"/>
      <c r="K701" s="12"/>
      <c r="L701" s="8"/>
      <c r="M701" s="8"/>
      <c r="N701" s="8"/>
      <c r="O701" s="8"/>
      <c r="P701" s="8"/>
      <c r="Q701" s="8">
        <f>IF(B701="","",IF(B701="P","P&amp;10",B701&amp;"D "&amp;C701))</f>
        <v/>
      </c>
      <c r="R701" s="8">
        <f>IF(L701&lt;&gt;"Y","",IF(COUNTIF('DEF_CALL_DECISION_SUPPORT'!$B$1197:$B$1256,SUBSTITUTE(SUBSTITUTE(SUBSTITUTE(E701,"~","~~"),"*","~*"),"?","~?"))&gt;0,"KNOWN","REVIEW: new call; refresh sources"))</f>
        <v/>
      </c>
    </row>
    <row r="702" spans="1:18" ht="25" customHeight="1">
      <c r="A702" s="12"/>
      <c r="B702" s="8"/>
      <c r="C702" s="8"/>
      <c r="D702" s="8"/>
      <c r="E702" s="8"/>
      <c r="F702" s="8"/>
      <c r="G702" s="8"/>
      <c r="H702" s="8"/>
      <c r="I702" s="11"/>
      <c r="J702" s="12"/>
      <c r="K702" s="12"/>
      <c r="L702" s="8"/>
      <c r="M702" s="8"/>
      <c r="N702" s="8"/>
      <c r="O702" s="8"/>
      <c r="P702" s="8"/>
      <c r="Q702" s="8">
        <f>IF(B702="","",IF(B702="P","P&amp;10",B702&amp;"D "&amp;C702))</f>
        <v/>
      </c>
      <c r="R702" s="8">
        <f>IF(L702&lt;&gt;"Y","",IF(COUNTIF('DEF_CALL_DECISION_SUPPORT'!$B$1197:$B$1256,SUBSTITUTE(SUBSTITUTE(SUBSTITUTE(E702,"~","~~"),"*","~*"),"?","~?"))&gt;0,"KNOWN","REVIEW: new call; refresh sources"))</f>
        <v/>
      </c>
    </row>
    <row r="703" spans="1:18" ht="25" customHeight="1">
      <c r="A703" s="12"/>
      <c r="B703" s="8"/>
      <c r="C703" s="8"/>
      <c r="D703" s="8"/>
      <c r="E703" s="8"/>
      <c r="F703" s="8"/>
      <c r="G703" s="8"/>
      <c r="H703" s="8"/>
      <c r="I703" s="11"/>
      <c r="J703" s="12"/>
      <c r="K703" s="12"/>
      <c r="L703" s="8"/>
      <c r="M703" s="8"/>
      <c r="N703" s="8"/>
      <c r="O703" s="8"/>
      <c r="P703" s="8"/>
      <c r="Q703" s="8">
        <f>IF(B703="","",IF(B703="P","P&amp;10",B703&amp;"D "&amp;C703))</f>
        <v/>
      </c>
      <c r="R703" s="8">
        <f>IF(L703&lt;&gt;"Y","",IF(COUNTIF('DEF_CALL_DECISION_SUPPORT'!$B$1197:$B$1256,SUBSTITUTE(SUBSTITUTE(SUBSTITUTE(E703,"~","~~"),"*","~*"),"?","~?"))&gt;0,"KNOWN","REVIEW: new call; refresh sources"))</f>
        <v/>
      </c>
    </row>
    <row r="704" spans="1:18" ht="25" customHeight="1">
      <c r="A704" s="12"/>
      <c r="B704" s="8"/>
      <c r="C704" s="8"/>
      <c r="D704" s="8"/>
      <c r="E704" s="8"/>
      <c r="F704" s="8"/>
      <c r="G704" s="8"/>
      <c r="H704" s="8"/>
      <c r="I704" s="11"/>
      <c r="J704" s="12"/>
      <c r="K704" s="12"/>
      <c r="L704" s="8"/>
      <c r="M704" s="8"/>
      <c r="N704" s="8"/>
      <c r="O704" s="8"/>
      <c r="P704" s="8"/>
      <c r="Q704" s="8">
        <f>IF(B704="","",IF(B704="P","P&amp;10",B704&amp;"D "&amp;C704))</f>
        <v/>
      </c>
      <c r="R704" s="8">
        <f>IF(L704&lt;&gt;"Y","",IF(COUNTIF('DEF_CALL_DECISION_SUPPORT'!$B$1197:$B$1256,SUBSTITUTE(SUBSTITUTE(SUBSTITUTE(E704,"~","~~"),"*","~*"),"?","~?"))&gt;0,"KNOWN","REVIEW: new call; refresh sources"))</f>
        <v/>
      </c>
    </row>
    <row r="705" spans="1:18" ht="25" customHeight="1">
      <c r="A705" s="12"/>
      <c r="B705" s="8"/>
      <c r="C705" s="8"/>
      <c r="D705" s="8"/>
      <c r="E705" s="8"/>
      <c r="F705" s="8"/>
      <c r="G705" s="8"/>
      <c r="H705" s="8"/>
      <c r="I705" s="11"/>
      <c r="J705" s="12"/>
      <c r="K705" s="12"/>
      <c r="L705" s="8"/>
      <c r="M705" s="8"/>
      <c r="N705" s="8"/>
      <c r="O705" s="8"/>
      <c r="P705" s="8"/>
      <c r="Q705" s="8">
        <f>IF(B705="","",IF(B705="P","P&amp;10",B705&amp;"D "&amp;C705))</f>
        <v/>
      </c>
      <c r="R705" s="8">
        <f>IF(L705&lt;&gt;"Y","",IF(COUNTIF('DEF_CALL_DECISION_SUPPORT'!$B$1197:$B$1256,SUBSTITUTE(SUBSTITUTE(SUBSTITUTE(E705,"~","~~"),"*","~*"),"?","~?"))&gt;0,"KNOWN","REVIEW: new call; refresh sources"))</f>
        <v/>
      </c>
    </row>
    <row r="706" spans="1:18" ht="25" customHeight="1">
      <c r="A706" s="12"/>
      <c r="B706" s="8"/>
      <c r="C706" s="8"/>
      <c r="D706" s="8"/>
      <c r="E706" s="8"/>
      <c r="F706" s="8"/>
      <c r="G706" s="8"/>
      <c r="H706" s="8"/>
      <c r="I706" s="11"/>
      <c r="J706" s="12"/>
      <c r="K706" s="12"/>
      <c r="L706" s="8"/>
      <c r="M706" s="8"/>
      <c r="N706" s="8"/>
      <c r="O706" s="8"/>
      <c r="P706" s="8"/>
      <c r="Q706" s="8">
        <f>IF(B706="","",IF(B706="P","P&amp;10",B706&amp;"D "&amp;C706))</f>
        <v/>
      </c>
      <c r="R706" s="8">
        <f>IF(L706&lt;&gt;"Y","",IF(COUNTIF('DEF_CALL_DECISION_SUPPORT'!$B$1197:$B$1256,SUBSTITUTE(SUBSTITUTE(SUBSTITUTE(E706,"~","~~"),"*","~*"),"?","~?"))&gt;0,"KNOWN","REVIEW: new call; refresh sources"))</f>
        <v/>
      </c>
    </row>
    <row r="707" spans="1:18" ht="25" customHeight="1">
      <c r="A707" s="12"/>
      <c r="B707" s="8"/>
      <c r="C707" s="8"/>
      <c r="D707" s="8"/>
      <c r="E707" s="8"/>
      <c r="F707" s="8"/>
      <c r="G707" s="8"/>
      <c r="H707" s="8"/>
      <c r="I707" s="11"/>
      <c r="J707" s="12"/>
      <c r="K707" s="12"/>
      <c r="L707" s="8"/>
      <c r="M707" s="8"/>
      <c r="N707" s="8"/>
      <c r="O707" s="8"/>
      <c r="P707" s="8"/>
      <c r="Q707" s="8">
        <f>IF(B707="","",IF(B707="P","P&amp;10",B707&amp;"D "&amp;C707))</f>
        <v/>
      </c>
      <c r="R707" s="8">
        <f>IF(L707&lt;&gt;"Y","",IF(COUNTIF('DEF_CALL_DECISION_SUPPORT'!$B$1197:$B$1256,SUBSTITUTE(SUBSTITUTE(SUBSTITUTE(E707,"~","~~"),"*","~*"),"?","~?"))&gt;0,"KNOWN","REVIEW: new call; refresh sources"))</f>
        <v/>
      </c>
    </row>
    <row r="708" spans="1:18" ht="25" customHeight="1">
      <c r="A708" s="12"/>
      <c r="B708" s="8"/>
      <c r="C708" s="8"/>
      <c r="D708" s="8"/>
      <c r="E708" s="8"/>
      <c r="F708" s="8"/>
      <c r="G708" s="8"/>
      <c r="H708" s="8"/>
      <c r="I708" s="11"/>
      <c r="J708" s="12"/>
      <c r="K708" s="12"/>
      <c r="L708" s="8"/>
      <c r="M708" s="8"/>
      <c r="N708" s="8"/>
      <c r="O708" s="8"/>
      <c r="P708" s="8"/>
      <c r="Q708" s="8">
        <f>IF(B708="","",IF(B708="P","P&amp;10",B708&amp;"D "&amp;C708))</f>
        <v/>
      </c>
      <c r="R708" s="8">
        <f>IF(L708&lt;&gt;"Y","",IF(COUNTIF('DEF_CALL_DECISION_SUPPORT'!$B$1197:$B$1256,SUBSTITUTE(SUBSTITUTE(SUBSTITUTE(E708,"~","~~"),"*","~*"),"?","~?"))&gt;0,"KNOWN","REVIEW: new call; refresh sources"))</f>
        <v/>
      </c>
    </row>
    <row r="709" spans="1:18" ht="25" customHeight="1">
      <c r="A709" s="12"/>
      <c r="B709" s="8"/>
      <c r="C709" s="8"/>
      <c r="D709" s="8"/>
      <c r="E709" s="8"/>
      <c r="F709" s="8"/>
      <c r="G709" s="8"/>
      <c r="H709" s="8"/>
      <c r="I709" s="11"/>
      <c r="J709" s="12"/>
      <c r="K709" s="12"/>
      <c r="L709" s="8"/>
      <c r="M709" s="8"/>
      <c r="N709" s="8"/>
      <c r="O709" s="8"/>
      <c r="P709" s="8"/>
      <c r="Q709" s="8">
        <f>IF(B709="","",IF(B709="P","P&amp;10",B709&amp;"D "&amp;C709))</f>
        <v/>
      </c>
      <c r="R709" s="8">
        <f>IF(L709&lt;&gt;"Y","",IF(COUNTIF('DEF_CALL_DECISION_SUPPORT'!$B$1197:$B$1256,SUBSTITUTE(SUBSTITUTE(SUBSTITUTE(E709,"~","~~"),"*","~*"),"?","~?"))&gt;0,"KNOWN","REVIEW: new call; refresh sources"))</f>
        <v/>
      </c>
    </row>
    <row r="710" spans="1:18" ht="25" customHeight="1">
      <c r="A710" s="12"/>
      <c r="B710" s="8"/>
      <c r="C710" s="8"/>
      <c r="D710" s="8"/>
      <c r="E710" s="8"/>
      <c r="F710" s="8"/>
      <c r="G710" s="8"/>
      <c r="H710" s="8"/>
      <c r="I710" s="11"/>
      <c r="J710" s="12"/>
      <c r="K710" s="12"/>
      <c r="L710" s="8"/>
      <c r="M710" s="8"/>
      <c r="N710" s="8"/>
      <c r="O710" s="8"/>
      <c r="P710" s="8"/>
      <c r="Q710" s="8">
        <f>IF(B710="","",IF(B710="P","P&amp;10",B710&amp;"D "&amp;C710))</f>
        <v/>
      </c>
      <c r="R710" s="8">
        <f>IF(L710&lt;&gt;"Y","",IF(COUNTIF('DEF_CALL_DECISION_SUPPORT'!$B$1197:$B$1256,SUBSTITUTE(SUBSTITUTE(SUBSTITUTE(E710,"~","~~"),"*","~*"),"?","~?"))&gt;0,"KNOWN","REVIEW: new call; refresh sources"))</f>
        <v/>
      </c>
    </row>
    <row r="711" spans="1:18" ht="25" customHeight="1">
      <c r="A711" s="12"/>
      <c r="B711" s="8"/>
      <c r="C711" s="8"/>
      <c r="D711" s="8"/>
      <c r="E711" s="8"/>
      <c r="F711" s="8"/>
      <c r="G711" s="8"/>
      <c r="H711" s="8"/>
      <c r="I711" s="11"/>
      <c r="J711" s="12"/>
      <c r="K711" s="12"/>
      <c r="L711" s="8"/>
      <c r="M711" s="8"/>
      <c r="N711" s="8"/>
      <c r="O711" s="8"/>
      <c r="P711" s="8"/>
      <c r="Q711" s="8">
        <f>IF(B711="","",IF(B711="P","P&amp;10",B711&amp;"D "&amp;C711))</f>
        <v/>
      </c>
      <c r="R711" s="8">
        <f>IF(L711&lt;&gt;"Y","",IF(COUNTIF('DEF_CALL_DECISION_SUPPORT'!$B$1197:$B$1256,SUBSTITUTE(SUBSTITUTE(SUBSTITUTE(E711,"~","~~"),"*","~*"),"?","~?"))&gt;0,"KNOWN","REVIEW: new call; refresh sources"))</f>
        <v/>
      </c>
    </row>
    <row r="712" spans="1:18" ht="25" customHeight="1">
      <c r="A712" s="12"/>
      <c r="B712" s="8"/>
      <c r="C712" s="8"/>
      <c r="D712" s="8"/>
      <c r="E712" s="8"/>
      <c r="F712" s="8"/>
      <c r="G712" s="8"/>
      <c r="H712" s="8"/>
      <c r="I712" s="11"/>
      <c r="J712" s="12"/>
      <c r="K712" s="12"/>
      <c r="L712" s="8"/>
      <c r="M712" s="8"/>
      <c r="N712" s="8"/>
      <c r="O712" s="8"/>
      <c r="P712" s="8"/>
      <c r="Q712" s="8">
        <f>IF(B712="","",IF(B712="P","P&amp;10",B712&amp;"D "&amp;C712))</f>
        <v/>
      </c>
      <c r="R712" s="8">
        <f>IF(L712&lt;&gt;"Y","",IF(COUNTIF('DEF_CALL_DECISION_SUPPORT'!$B$1197:$B$1256,SUBSTITUTE(SUBSTITUTE(SUBSTITUTE(E712,"~","~~"),"*","~*"),"?","~?"))&gt;0,"KNOWN","REVIEW: new call; refresh sources"))</f>
        <v/>
      </c>
    </row>
    <row r="713" spans="1:18" ht="25" customHeight="1">
      <c r="A713" s="12"/>
      <c r="B713" s="8"/>
      <c r="C713" s="8"/>
      <c r="D713" s="8"/>
      <c r="E713" s="8"/>
      <c r="F713" s="8"/>
      <c r="G713" s="8"/>
      <c r="H713" s="8"/>
      <c r="I713" s="11"/>
      <c r="J713" s="12"/>
      <c r="K713" s="12"/>
      <c r="L713" s="8"/>
      <c r="M713" s="8"/>
      <c r="N713" s="8"/>
      <c r="O713" s="8"/>
      <c r="P713" s="8"/>
      <c r="Q713" s="8">
        <f>IF(B713="","",IF(B713="P","P&amp;10",B713&amp;"D "&amp;C713))</f>
        <v/>
      </c>
      <c r="R713" s="8">
        <f>IF(L713&lt;&gt;"Y","",IF(COUNTIF('DEF_CALL_DECISION_SUPPORT'!$B$1197:$B$1256,SUBSTITUTE(SUBSTITUTE(SUBSTITUTE(E713,"~","~~"),"*","~*"),"?","~?"))&gt;0,"KNOWN","REVIEW: new call; refresh sources"))</f>
        <v/>
      </c>
    </row>
    <row r="714" spans="1:18" ht="25" customHeight="1">
      <c r="A714" s="12"/>
      <c r="B714" s="8"/>
      <c r="C714" s="8"/>
      <c r="D714" s="8"/>
      <c r="E714" s="8"/>
      <c r="F714" s="8"/>
      <c r="G714" s="8"/>
      <c r="H714" s="8"/>
      <c r="I714" s="11"/>
      <c r="J714" s="12"/>
      <c r="K714" s="12"/>
      <c r="L714" s="8"/>
      <c r="M714" s="8"/>
      <c r="N714" s="8"/>
      <c r="O714" s="8"/>
      <c r="P714" s="8"/>
      <c r="Q714" s="8">
        <f>IF(B714="","",IF(B714="P","P&amp;10",B714&amp;"D "&amp;C714))</f>
        <v/>
      </c>
      <c r="R714" s="8">
        <f>IF(L714&lt;&gt;"Y","",IF(COUNTIF('DEF_CALL_DECISION_SUPPORT'!$B$1197:$B$1256,SUBSTITUTE(SUBSTITUTE(SUBSTITUTE(E714,"~","~~"),"*","~*"),"?","~?"))&gt;0,"KNOWN","REVIEW: new call; refresh sources"))</f>
        <v/>
      </c>
    </row>
    <row r="715" spans="1:18" ht="25" customHeight="1">
      <c r="A715" s="12"/>
      <c r="B715" s="8"/>
      <c r="C715" s="8"/>
      <c r="D715" s="8"/>
      <c r="E715" s="8"/>
      <c r="F715" s="8"/>
      <c r="G715" s="8"/>
      <c r="H715" s="8"/>
      <c r="I715" s="11"/>
      <c r="J715" s="12"/>
      <c r="K715" s="12"/>
      <c r="L715" s="8"/>
      <c r="M715" s="8"/>
      <c r="N715" s="8"/>
      <c r="O715" s="8"/>
      <c r="P715" s="8"/>
      <c r="Q715" s="8">
        <f>IF(B715="","",IF(B715="P","P&amp;10",B715&amp;"D "&amp;C715))</f>
        <v/>
      </c>
      <c r="R715" s="8">
        <f>IF(L715&lt;&gt;"Y","",IF(COUNTIF('DEF_CALL_DECISION_SUPPORT'!$B$1197:$B$1256,SUBSTITUTE(SUBSTITUTE(SUBSTITUTE(E715,"~","~~"),"*","~*"),"?","~?"))&gt;0,"KNOWN","REVIEW: new call; refresh sources"))</f>
        <v/>
      </c>
    </row>
    <row r="716" spans="1:18" ht="25" customHeight="1">
      <c r="A716" s="12"/>
      <c r="B716" s="8"/>
      <c r="C716" s="8"/>
      <c r="D716" s="8"/>
      <c r="E716" s="8"/>
      <c r="F716" s="8"/>
      <c r="G716" s="8"/>
      <c r="H716" s="8"/>
      <c r="I716" s="11"/>
      <c r="J716" s="12"/>
      <c r="K716" s="12"/>
      <c r="L716" s="8"/>
      <c r="M716" s="8"/>
      <c r="N716" s="8"/>
      <c r="O716" s="8"/>
      <c r="P716" s="8"/>
      <c r="Q716" s="8">
        <f>IF(B716="","",IF(B716="P","P&amp;10",B716&amp;"D "&amp;C716))</f>
        <v/>
      </c>
      <c r="R716" s="8">
        <f>IF(L716&lt;&gt;"Y","",IF(COUNTIF('DEF_CALL_DECISION_SUPPORT'!$B$1197:$B$1256,SUBSTITUTE(SUBSTITUTE(SUBSTITUTE(E716,"~","~~"),"*","~*"),"?","~?"))&gt;0,"KNOWN","REVIEW: new call; refresh sources"))</f>
        <v/>
      </c>
    </row>
    <row r="717" spans="1:18" ht="25" customHeight="1">
      <c r="A717" s="12"/>
      <c r="B717" s="8"/>
      <c r="C717" s="8"/>
      <c r="D717" s="8"/>
      <c r="E717" s="8"/>
      <c r="F717" s="8"/>
      <c r="G717" s="8"/>
      <c r="H717" s="8"/>
      <c r="I717" s="11"/>
      <c r="J717" s="12"/>
      <c r="K717" s="12"/>
      <c r="L717" s="8"/>
      <c r="M717" s="8"/>
      <c r="N717" s="8"/>
      <c r="O717" s="8"/>
      <c r="P717" s="8"/>
      <c r="Q717" s="8">
        <f>IF(B717="","",IF(B717="P","P&amp;10",B717&amp;"D "&amp;C717))</f>
        <v/>
      </c>
      <c r="R717" s="8">
        <f>IF(L717&lt;&gt;"Y","",IF(COUNTIF('DEF_CALL_DECISION_SUPPORT'!$B$1197:$B$1256,SUBSTITUTE(SUBSTITUTE(SUBSTITUTE(E717,"~","~~"),"*","~*"),"?","~?"))&gt;0,"KNOWN","REVIEW: new call; refresh sources"))</f>
        <v/>
      </c>
    </row>
    <row r="718" spans="1:18" ht="25" customHeight="1">
      <c r="A718" s="12"/>
      <c r="B718" s="8"/>
      <c r="C718" s="8"/>
      <c r="D718" s="8"/>
      <c r="E718" s="8"/>
      <c r="F718" s="8"/>
      <c r="G718" s="8"/>
      <c r="H718" s="8"/>
      <c r="I718" s="11"/>
      <c r="J718" s="12"/>
      <c r="K718" s="12"/>
      <c r="L718" s="8"/>
      <c r="M718" s="8"/>
      <c r="N718" s="8"/>
      <c r="O718" s="8"/>
      <c r="P718" s="8"/>
      <c r="Q718" s="8">
        <f>IF(B718="","",IF(B718="P","P&amp;10",B718&amp;"D "&amp;C718))</f>
        <v/>
      </c>
      <c r="R718" s="8">
        <f>IF(L718&lt;&gt;"Y","",IF(COUNTIF('DEF_CALL_DECISION_SUPPORT'!$B$1197:$B$1256,SUBSTITUTE(SUBSTITUTE(SUBSTITUTE(E718,"~","~~"),"*","~*"),"?","~?"))&gt;0,"KNOWN","REVIEW: new call; refresh sources"))</f>
        <v/>
      </c>
    </row>
    <row r="719" spans="1:18" ht="25" customHeight="1">
      <c r="A719" s="12"/>
      <c r="B719" s="8"/>
      <c r="C719" s="8"/>
      <c r="D719" s="8"/>
      <c r="E719" s="8"/>
      <c r="F719" s="8"/>
      <c r="G719" s="8"/>
      <c r="H719" s="8"/>
      <c r="I719" s="11"/>
      <c r="J719" s="12"/>
      <c r="K719" s="12"/>
      <c r="L719" s="8"/>
      <c r="M719" s="8"/>
      <c r="N719" s="8"/>
      <c r="O719" s="8"/>
      <c r="P719" s="8"/>
      <c r="Q719" s="8">
        <f>IF(B719="","",IF(B719="P","P&amp;10",B719&amp;"D "&amp;C719))</f>
        <v/>
      </c>
      <c r="R719" s="8">
        <f>IF(L719&lt;&gt;"Y","",IF(COUNTIF('DEF_CALL_DECISION_SUPPORT'!$B$1197:$B$1256,SUBSTITUTE(SUBSTITUTE(SUBSTITUTE(E719,"~","~~"),"*","~*"),"?","~?"))&gt;0,"KNOWN","REVIEW: new call; refresh sources"))</f>
        <v/>
      </c>
    </row>
    <row r="720" spans="1:18" ht="25" customHeight="1">
      <c r="A720" s="12"/>
      <c r="B720" s="8"/>
      <c r="C720" s="8"/>
      <c r="D720" s="8"/>
      <c r="E720" s="8"/>
      <c r="F720" s="8"/>
      <c r="G720" s="8"/>
      <c r="H720" s="8"/>
      <c r="I720" s="11"/>
      <c r="J720" s="12"/>
      <c r="K720" s="12"/>
      <c r="L720" s="8"/>
      <c r="M720" s="8"/>
      <c r="N720" s="8"/>
      <c r="O720" s="8"/>
      <c r="P720" s="8"/>
      <c r="Q720" s="8">
        <f>IF(B720="","",IF(B720="P","P&amp;10",B720&amp;"D "&amp;C720))</f>
        <v/>
      </c>
      <c r="R720" s="8">
        <f>IF(L720&lt;&gt;"Y","",IF(COUNTIF('DEF_CALL_DECISION_SUPPORT'!$B$1197:$B$1256,SUBSTITUTE(SUBSTITUTE(SUBSTITUTE(E720,"~","~~"),"*","~*"),"?","~?"))&gt;0,"KNOWN","REVIEW: new call; refresh sources"))</f>
        <v/>
      </c>
    </row>
    <row r="721" spans="1:18" ht="25" customHeight="1">
      <c r="A721" s="12"/>
      <c r="B721" s="8"/>
      <c r="C721" s="8"/>
      <c r="D721" s="8"/>
      <c r="E721" s="8"/>
      <c r="F721" s="8"/>
      <c r="G721" s="8"/>
      <c r="H721" s="8"/>
      <c r="I721" s="11"/>
      <c r="J721" s="12"/>
      <c r="K721" s="12"/>
      <c r="L721" s="8"/>
      <c r="M721" s="8"/>
      <c r="N721" s="8"/>
      <c r="O721" s="8"/>
      <c r="P721" s="8"/>
      <c r="Q721" s="8">
        <f>IF(B721="","",IF(B721="P","P&amp;10",B721&amp;"D "&amp;C721))</f>
        <v/>
      </c>
      <c r="R721" s="8">
        <f>IF(L721&lt;&gt;"Y","",IF(COUNTIF('DEF_CALL_DECISION_SUPPORT'!$B$1197:$B$1256,SUBSTITUTE(SUBSTITUTE(SUBSTITUTE(E721,"~","~~"),"*","~*"),"?","~?"))&gt;0,"KNOWN","REVIEW: new call; refresh sources"))</f>
        <v/>
      </c>
    </row>
    <row r="722" spans="1:18" ht="25" customHeight="1">
      <c r="A722" s="12"/>
      <c r="B722" s="8"/>
      <c r="C722" s="8"/>
      <c r="D722" s="8"/>
      <c r="E722" s="8"/>
      <c r="F722" s="8"/>
      <c r="G722" s="8"/>
      <c r="H722" s="8"/>
      <c r="I722" s="11"/>
      <c r="J722" s="12"/>
      <c r="K722" s="12"/>
      <c r="L722" s="8"/>
      <c r="M722" s="8"/>
      <c r="N722" s="8"/>
      <c r="O722" s="8"/>
      <c r="P722" s="8"/>
      <c r="Q722" s="8">
        <f>IF(B722="","",IF(B722="P","P&amp;10",B722&amp;"D "&amp;C722))</f>
        <v/>
      </c>
      <c r="R722" s="8">
        <f>IF(L722&lt;&gt;"Y","",IF(COUNTIF('DEF_CALL_DECISION_SUPPORT'!$B$1197:$B$1256,SUBSTITUTE(SUBSTITUTE(SUBSTITUTE(E722,"~","~~"),"*","~*"),"?","~?"))&gt;0,"KNOWN","REVIEW: new call; refresh sources"))</f>
        <v/>
      </c>
    </row>
    <row r="723" spans="1:18" ht="25" customHeight="1">
      <c r="A723" s="12"/>
      <c r="B723" s="8"/>
      <c r="C723" s="8"/>
      <c r="D723" s="8"/>
      <c r="E723" s="8"/>
      <c r="F723" s="8"/>
      <c r="G723" s="8"/>
      <c r="H723" s="8"/>
      <c r="I723" s="11"/>
      <c r="J723" s="12"/>
      <c r="K723" s="12"/>
      <c r="L723" s="8"/>
      <c r="M723" s="8"/>
      <c r="N723" s="8"/>
      <c r="O723" s="8"/>
      <c r="P723" s="8"/>
      <c r="Q723" s="8">
        <f>IF(B723="","",IF(B723="P","P&amp;10",B723&amp;"D "&amp;C723))</f>
        <v/>
      </c>
      <c r="R723" s="8">
        <f>IF(L723&lt;&gt;"Y","",IF(COUNTIF('DEF_CALL_DECISION_SUPPORT'!$B$1197:$B$1256,SUBSTITUTE(SUBSTITUTE(SUBSTITUTE(E723,"~","~~"),"*","~*"),"?","~?"))&gt;0,"KNOWN","REVIEW: new call; refresh sources"))</f>
        <v/>
      </c>
    </row>
    <row r="724" spans="1:18" ht="25" customHeight="1">
      <c r="A724" s="12"/>
      <c r="B724" s="8"/>
      <c r="C724" s="8"/>
      <c r="D724" s="8"/>
      <c r="E724" s="8"/>
      <c r="F724" s="8"/>
      <c r="G724" s="8"/>
      <c r="H724" s="8"/>
      <c r="I724" s="11"/>
      <c r="J724" s="12"/>
      <c r="K724" s="12"/>
      <c r="L724" s="8"/>
      <c r="M724" s="8"/>
      <c r="N724" s="8"/>
      <c r="O724" s="8"/>
      <c r="P724" s="8"/>
      <c r="Q724" s="8">
        <f>IF(B724="","",IF(B724="P","P&amp;10",B724&amp;"D "&amp;C724))</f>
        <v/>
      </c>
      <c r="R724" s="8">
        <f>IF(L724&lt;&gt;"Y","",IF(COUNTIF('DEF_CALL_DECISION_SUPPORT'!$B$1197:$B$1256,SUBSTITUTE(SUBSTITUTE(SUBSTITUTE(E724,"~","~~"),"*","~*"),"?","~?"))&gt;0,"KNOWN","REVIEW: new call; refresh sources"))</f>
        <v/>
      </c>
    </row>
    <row r="725" spans="1:18" ht="25" customHeight="1">
      <c r="A725" s="12"/>
      <c r="B725" s="8"/>
      <c r="C725" s="8"/>
      <c r="D725" s="8"/>
      <c r="E725" s="8"/>
      <c r="F725" s="8"/>
      <c r="G725" s="8"/>
      <c r="H725" s="8"/>
      <c r="I725" s="11"/>
      <c r="J725" s="12"/>
      <c r="K725" s="12"/>
      <c r="L725" s="8"/>
      <c r="M725" s="8"/>
      <c r="N725" s="8"/>
      <c r="O725" s="8"/>
      <c r="P725" s="8"/>
      <c r="Q725" s="8">
        <f>IF(B725="","",IF(B725="P","P&amp;10",B725&amp;"D "&amp;C725))</f>
        <v/>
      </c>
      <c r="R725" s="8">
        <f>IF(L725&lt;&gt;"Y","",IF(COUNTIF('DEF_CALL_DECISION_SUPPORT'!$B$1197:$B$1256,SUBSTITUTE(SUBSTITUTE(SUBSTITUTE(E725,"~","~~"),"*","~*"),"?","~?"))&gt;0,"KNOWN","REVIEW: new call; refresh sources"))</f>
        <v/>
      </c>
    </row>
    <row r="726" spans="1:18" ht="25" customHeight="1">
      <c r="A726" s="12"/>
      <c r="B726" s="8"/>
      <c r="C726" s="8"/>
      <c r="D726" s="8"/>
      <c r="E726" s="8"/>
      <c r="F726" s="8"/>
      <c r="G726" s="8"/>
      <c r="H726" s="8"/>
      <c r="I726" s="11"/>
      <c r="J726" s="12"/>
      <c r="K726" s="12"/>
      <c r="L726" s="8"/>
      <c r="M726" s="8"/>
      <c r="N726" s="8"/>
      <c r="O726" s="8"/>
      <c r="P726" s="8"/>
      <c r="Q726" s="8">
        <f>IF(B726="","",IF(B726="P","P&amp;10",B726&amp;"D "&amp;C726))</f>
        <v/>
      </c>
      <c r="R726" s="8">
        <f>IF(L726&lt;&gt;"Y","",IF(COUNTIF('DEF_CALL_DECISION_SUPPORT'!$B$1197:$B$1256,SUBSTITUTE(SUBSTITUTE(SUBSTITUTE(E726,"~","~~"),"*","~*"),"?","~?"))&gt;0,"KNOWN","REVIEW: new call; refresh sources"))</f>
        <v/>
      </c>
    </row>
    <row r="727" spans="1:18" ht="25" customHeight="1">
      <c r="A727" s="12"/>
      <c r="B727" s="8"/>
      <c r="C727" s="8"/>
      <c r="D727" s="8"/>
      <c r="E727" s="8"/>
      <c r="F727" s="8"/>
      <c r="G727" s="8"/>
      <c r="H727" s="8"/>
      <c r="I727" s="11"/>
      <c r="J727" s="12"/>
      <c r="K727" s="12"/>
      <c r="L727" s="8"/>
      <c r="M727" s="8"/>
      <c r="N727" s="8"/>
      <c r="O727" s="8"/>
      <c r="P727" s="8"/>
      <c r="Q727" s="8">
        <f>IF(B727="","",IF(B727="P","P&amp;10",B727&amp;"D "&amp;C727))</f>
        <v/>
      </c>
      <c r="R727" s="8">
        <f>IF(L727&lt;&gt;"Y","",IF(COUNTIF('DEF_CALL_DECISION_SUPPORT'!$B$1197:$B$1256,SUBSTITUTE(SUBSTITUTE(SUBSTITUTE(E727,"~","~~"),"*","~*"),"?","~?"))&gt;0,"KNOWN","REVIEW: new call; refresh sources"))</f>
        <v/>
      </c>
    </row>
    <row r="728" spans="1:18" ht="25" customHeight="1">
      <c r="A728" s="12"/>
      <c r="B728" s="8"/>
      <c r="C728" s="8"/>
      <c r="D728" s="8"/>
      <c r="E728" s="8"/>
      <c r="F728" s="8"/>
      <c r="G728" s="8"/>
      <c r="H728" s="8"/>
      <c r="I728" s="11"/>
      <c r="J728" s="12"/>
      <c r="K728" s="12"/>
      <c r="L728" s="8"/>
      <c r="M728" s="8"/>
      <c r="N728" s="8"/>
      <c r="O728" s="8"/>
      <c r="P728" s="8"/>
      <c r="Q728" s="8">
        <f>IF(B728="","",IF(B728="P","P&amp;10",B728&amp;"D "&amp;C728))</f>
        <v/>
      </c>
      <c r="R728" s="8">
        <f>IF(L728&lt;&gt;"Y","",IF(COUNTIF('DEF_CALL_DECISION_SUPPORT'!$B$1197:$B$1256,SUBSTITUTE(SUBSTITUTE(SUBSTITUTE(E728,"~","~~"),"*","~*"),"?","~?"))&gt;0,"KNOWN","REVIEW: new call; refresh sources"))</f>
        <v/>
      </c>
    </row>
    <row r="729" spans="1:18" ht="25" customHeight="1">
      <c r="A729" s="12"/>
      <c r="B729" s="8"/>
      <c r="C729" s="8"/>
      <c r="D729" s="8"/>
      <c r="E729" s="8"/>
      <c r="F729" s="8"/>
      <c r="G729" s="8"/>
      <c r="H729" s="8"/>
      <c r="I729" s="11"/>
      <c r="J729" s="12"/>
      <c r="K729" s="12"/>
      <c r="L729" s="8"/>
      <c r="M729" s="8"/>
      <c r="N729" s="8"/>
      <c r="O729" s="8"/>
      <c r="P729" s="8"/>
      <c r="Q729" s="8">
        <f>IF(B729="","",IF(B729="P","P&amp;10",B729&amp;"D "&amp;C729))</f>
        <v/>
      </c>
      <c r="R729" s="8">
        <f>IF(L729&lt;&gt;"Y","",IF(COUNTIF('DEF_CALL_DECISION_SUPPORT'!$B$1197:$B$1256,SUBSTITUTE(SUBSTITUTE(SUBSTITUTE(E729,"~","~~"),"*","~*"),"?","~?"))&gt;0,"KNOWN","REVIEW: new call; refresh sources"))</f>
        <v/>
      </c>
    </row>
    <row r="730" spans="1:18" ht="25" customHeight="1">
      <c r="A730" s="12"/>
      <c r="B730" s="8"/>
      <c r="C730" s="8"/>
      <c r="D730" s="8"/>
      <c r="E730" s="8"/>
      <c r="F730" s="8"/>
      <c r="G730" s="8"/>
      <c r="H730" s="8"/>
      <c r="I730" s="11"/>
      <c r="J730" s="12"/>
      <c r="K730" s="12"/>
      <c r="L730" s="8"/>
      <c r="M730" s="8"/>
      <c r="N730" s="8"/>
      <c r="O730" s="8"/>
      <c r="P730" s="8"/>
      <c r="Q730" s="8">
        <f>IF(B730="","",IF(B730="P","P&amp;10",B730&amp;"D "&amp;C730))</f>
        <v/>
      </c>
      <c r="R730" s="8">
        <f>IF(L730&lt;&gt;"Y","",IF(COUNTIF('DEF_CALL_DECISION_SUPPORT'!$B$1197:$B$1256,SUBSTITUTE(SUBSTITUTE(SUBSTITUTE(E730,"~","~~"),"*","~*"),"?","~?"))&gt;0,"KNOWN","REVIEW: new call; refresh sources"))</f>
        <v/>
      </c>
    </row>
    <row r="731" spans="1:18" ht="25" customHeight="1">
      <c r="A731" s="12"/>
      <c r="B731" s="8"/>
      <c r="C731" s="8"/>
      <c r="D731" s="8"/>
      <c r="E731" s="8"/>
      <c r="F731" s="8"/>
      <c r="G731" s="8"/>
      <c r="H731" s="8"/>
      <c r="I731" s="11"/>
      <c r="J731" s="12"/>
      <c r="K731" s="12"/>
      <c r="L731" s="8"/>
      <c r="M731" s="8"/>
      <c r="N731" s="8"/>
      <c r="O731" s="8"/>
      <c r="P731" s="8"/>
      <c r="Q731" s="8">
        <f>IF(B731="","",IF(B731="P","P&amp;10",B731&amp;"D "&amp;C731))</f>
        <v/>
      </c>
      <c r="R731" s="8">
        <f>IF(L731&lt;&gt;"Y","",IF(COUNTIF('DEF_CALL_DECISION_SUPPORT'!$B$1197:$B$1256,SUBSTITUTE(SUBSTITUTE(SUBSTITUTE(E731,"~","~~"),"*","~*"),"?","~?"))&gt;0,"KNOWN","REVIEW: new call; refresh sources"))</f>
        <v/>
      </c>
    </row>
    <row r="732" spans="1:18" ht="25" customHeight="1">
      <c r="A732" s="12"/>
      <c r="B732" s="8"/>
      <c r="C732" s="8"/>
      <c r="D732" s="8"/>
      <c r="E732" s="8"/>
      <c r="F732" s="8"/>
      <c r="G732" s="8"/>
      <c r="H732" s="8"/>
      <c r="I732" s="11"/>
      <c r="J732" s="12"/>
      <c r="K732" s="12"/>
      <c r="L732" s="8"/>
      <c r="M732" s="8"/>
      <c r="N732" s="8"/>
      <c r="O732" s="8"/>
      <c r="P732" s="8"/>
      <c r="Q732" s="8">
        <f>IF(B732="","",IF(B732="P","P&amp;10",B732&amp;"D "&amp;C732))</f>
        <v/>
      </c>
      <c r="R732" s="8">
        <f>IF(L732&lt;&gt;"Y","",IF(COUNTIF('DEF_CALL_DECISION_SUPPORT'!$B$1197:$B$1256,SUBSTITUTE(SUBSTITUTE(SUBSTITUTE(E732,"~","~~"),"*","~*"),"?","~?"))&gt;0,"KNOWN","REVIEW: new call; refresh sources"))</f>
        <v/>
      </c>
    </row>
    <row r="733" spans="1:18" ht="25" customHeight="1">
      <c r="A733" s="12"/>
      <c r="B733" s="8"/>
      <c r="C733" s="8"/>
      <c r="D733" s="8"/>
      <c r="E733" s="8"/>
      <c r="F733" s="8"/>
      <c r="G733" s="8"/>
      <c r="H733" s="8"/>
      <c r="I733" s="11"/>
      <c r="J733" s="12"/>
      <c r="K733" s="12"/>
      <c r="L733" s="8"/>
      <c r="M733" s="8"/>
      <c r="N733" s="8"/>
      <c r="O733" s="8"/>
      <c r="P733" s="8"/>
      <c r="Q733" s="8">
        <f>IF(B733="","",IF(B733="P","P&amp;10",B733&amp;"D "&amp;C733))</f>
        <v/>
      </c>
      <c r="R733" s="8">
        <f>IF(L733&lt;&gt;"Y","",IF(COUNTIF('DEF_CALL_DECISION_SUPPORT'!$B$1197:$B$1256,SUBSTITUTE(SUBSTITUTE(SUBSTITUTE(E733,"~","~~"),"*","~*"),"?","~?"))&gt;0,"KNOWN","REVIEW: new call; refresh sources"))</f>
        <v/>
      </c>
    </row>
    <row r="734" spans="1:18" ht="25" customHeight="1">
      <c r="A734" s="12"/>
      <c r="B734" s="8"/>
      <c r="C734" s="8"/>
      <c r="D734" s="8"/>
      <c r="E734" s="8"/>
      <c r="F734" s="8"/>
      <c r="G734" s="8"/>
      <c r="H734" s="8"/>
      <c r="I734" s="11"/>
      <c r="J734" s="12"/>
      <c r="K734" s="12"/>
      <c r="L734" s="8"/>
      <c r="M734" s="8"/>
      <c r="N734" s="8"/>
      <c r="O734" s="8"/>
      <c r="P734" s="8"/>
      <c r="Q734" s="8">
        <f>IF(B734="","",IF(B734="P","P&amp;10",B734&amp;"D "&amp;C734))</f>
        <v/>
      </c>
      <c r="R734" s="8">
        <f>IF(L734&lt;&gt;"Y","",IF(COUNTIF('DEF_CALL_DECISION_SUPPORT'!$B$1197:$B$1256,SUBSTITUTE(SUBSTITUTE(SUBSTITUTE(E734,"~","~~"),"*","~*"),"?","~?"))&gt;0,"KNOWN","REVIEW: new call; refresh sources"))</f>
        <v/>
      </c>
    </row>
    <row r="735" spans="1:18" ht="25" customHeight="1">
      <c r="A735" s="12"/>
      <c r="B735" s="8"/>
      <c r="C735" s="8"/>
      <c r="D735" s="8"/>
      <c r="E735" s="8"/>
      <c r="F735" s="8"/>
      <c r="G735" s="8"/>
      <c r="H735" s="8"/>
      <c r="I735" s="11"/>
      <c r="J735" s="12"/>
      <c r="K735" s="12"/>
      <c r="L735" s="8"/>
      <c r="M735" s="8"/>
      <c r="N735" s="8"/>
      <c r="O735" s="8"/>
      <c r="P735" s="8"/>
      <c r="Q735" s="8">
        <f>IF(B735="","",IF(B735="P","P&amp;10",B735&amp;"D "&amp;C735))</f>
        <v/>
      </c>
      <c r="R735" s="8">
        <f>IF(L735&lt;&gt;"Y","",IF(COUNTIF('DEF_CALL_DECISION_SUPPORT'!$B$1197:$B$1256,SUBSTITUTE(SUBSTITUTE(SUBSTITUTE(E735,"~","~~"),"*","~*"),"?","~?"))&gt;0,"KNOWN","REVIEW: new call; refresh sources"))</f>
        <v/>
      </c>
    </row>
    <row r="736" spans="1:18" ht="25" customHeight="1">
      <c r="A736" s="12"/>
      <c r="B736" s="8"/>
      <c r="C736" s="8"/>
      <c r="D736" s="8"/>
      <c r="E736" s="8"/>
      <c r="F736" s="8"/>
      <c r="G736" s="8"/>
      <c r="H736" s="8"/>
      <c r="I736" s="11"/>
      <c r="J736" s="12"/>
      <c r="K736" s="12"/>
      <c r="L736" s="8"/>
      <c r="M736" s="8"/>
      <c r="N736" s="8"/>
      <c r="O736" s="8"/>
      <c r="P736" s="8"/>
      <c r="Q736" s="8">
        <f>IF(B736="","",IF(B736="P","P&amp;10",B736&amp;"D "&amp;C736))</f>
        <v/>
      </c>
      <c r="R736" s="8">
        <f>IF(L736&lt;&gt;"Y","",IF(COUNTIF('DEF_CALL_DECISION_SUPPORT'!$B$1197:$B$1256,SUBSTITUTE(SUBSTITUTE(SUBSTITUTE(E736,"~","~~"),"*","~*"),"?","~?"))&gt;0,"KNOWN","REVIEW: new call; refresh sources"))</f>
        <v/>
      </c>
    </row>
    <row r="737" spans="1:18" ht="25" customHeight="1">
      <c r="A737" s="12"/>
      <c r="B737" s="8"/>
      <c r="C737" s="8"/>
      <c r="D737" s="8"/>
      <c r="E737" s="8"/>
      <c r="F737" s="8"/>
      <c r="G737" s="8"/>
      <c r="H737" s="8"/>
      <c r="I737" s="11"/>
      <c r="J737" s="12"/>
      <c r="K737" s="12"/>
      <c r="L737" s="8"/>
      <c r="M737" s="8"/>
      <c r="N737" s="8"/>
      <c r="O737" s="8"/>
      <c r="P737" s="8"/>
      <c r="Q737" s="8">
        <f>IF(B737="","",IF(B737="P","P&amp;10",B737&amp;"D "&amp;C737))</f>
        <v/>
      </c>
      <c r="R737" s="8">
        <f>IF(L737&lt;&gt;"Y","",IF(COUNTIF('DEF_CALL_DECISION_SUPPORT'!$B$1197:$B$1256,SUBSTITUTE(SUBSTITUTE(SUBSTITUTE(E737,"~","~~"),"*","~*"),"?","~?"))&gt;0,"KNOWN","REVIEW: new call; refresh sources"))</f>
        <v/>
      </c>
    </row>
    <row r="738" spans="1:18" ht="25" customHeight="1">
      <c r="A738" s="12"/>
      <c r="B738" s="8"/>
      <c r="C738" s="8"/>
      <c r="D738" s="8"/>
      <c r="E738" s="8"/>
      <c r="F738" s="8"/>
      <c r="G738" s="8"/>
      <c r="H738" s="8"/>
      <c r="I738" s="11"/>
      <c r="J738" s="12"/>
      <c r="K738" s="12"/>
      <c r="L738" s="8"/>
      <c r="M738" s="8"/>
      <c r="N738" s="8"/>
      <c r="O738" s="8"/>
      <c r="P738" s="8"/>
      <c r="Q738" s="8">
        <f>IF(B738="","",IF(B738="P","P&amp;10",B738&amp;"D "&amp;C738))</f>
        <v/>
      </c>
      <c r="R738" s="8">
        <f>IF(L738&lt;&gt;"Y","",IF(COUNTIF('DEF_CALL_DECISION_SUPPORT'!$B$1197:$B$1256,SUBSTITUTE(SUBSTITUTE(SUBSTITUTE(E738,"~","~~"),"*","~*"),"?","~?"))&gt;0,"KNOWN","REVIEW: new call; refresh sources"))</f>
        <v/>
      </c>
    </row>
    <row r="739" spans="1:18" ht="25" customHeight="1">
      <c r="A739" s="12"/>
      <c r="B739" s="8"/>
      <c r="C739" s="8"/>
      <c r="D739" s="8"/>
      <c r="E739" s="8"/>
      <c r="F739" s="8"/>
      <c r="G739" s="8"/>
      <c r="H739" s="8"/>
      <c r="I739" s="11"/>
      <c r="J739" s="12"/>
      <c r="K739" s="12"/>
      <c r="L739" s="8"/>
      <c r="M739" s="8"/>
      <c r="N739" s="8"/>
      <c r="O739" s="8"/>
      <c r="P739" s="8"/>
      <c r="Q739" s="8">
        <f>IF(B739="","",IF(B739="P","P&amp;10",B739&amp;"D "&amp;C739))</f>
        <v/>
      </c>
      <c r="R739" s="8">
        <f>IF(L739&lt;&gt;"Y","",IF(COUNTIF('DEF_CALL_DECISION_SUPPORT'!$B$1197:$B$1256,SUBSTITUTE(SUBSTITUTE(SUBSTITUTE(E739,"~","~~"),"*","~*"),"?","~?"))&gt;0,"KNOWN","REVIEW: new call; refresh sources"))</f>
        <v/>
      </c>
    </row>
    <row r="740" spans="1:18" ht="25" customHeight="1">
      <c r="A740" s="12"/>
      <c r="B740" s="8"/>
      <c r="C740" s="8"/>
      <c r="D740" s="8"/>
      <c r="E740" s="8"/>
      <c r="F740" s="8"/>
      <c r="G740" s="8"/>
      <c r="H740" s="8"/>
      <c r="I740" s="11"/>
      <c r="J740" s="12"/>
      <c r="K740" s="12"/>
      <c r="L740" s="8"/>
      <c r="M740" s="8"/>
      <c r="N740" s="8"/>
      <c r="O740" s="8"/>
      <c r="P740" s="8"/>
      <c r="Q740" s="8">
        <f>IF(B740="","",IF(B740="P","P&amp;10",B740&amp;"D "&amp;C740))</f>
        <v/>
      </c>
      <c r="R740" s="8">
        <f>IF(L740&lt;&gt;"Y","",IF(COUNTIF('DEF_CALL_DECISION_SUPPORT'!$B$1197:$B$1256,SUBSTITUTE(SUBSTITUTE(SUBSTITUTE(E740,"~","~~"),"*","~*"),"?","~?"))&gt;0,"KNOWN","REVIEW: new call; refresh sources"))</f>
        <v/>
      </c>
    </row>
    <row r="741" spans="1:18" ht="25" customHeight="1">
      <c r="A741" s="12"/>
      <c r="B741" s="8"/>
      <c r="C741" s="8"/>
      <c r="D741" s="8"/>
      <c r="E741" s="8"/>
      <c r="F741" s="8"/>
      <c r="G741" s="8"/>
      <c r="H741" s="8"/>
      <c r="I741" s="11"/>
      <c r="J741" s="12"/>
      <c r="K741" s="12"/>
      <c r="L741" s="8"/>
      <c r="M741" s="8"/>
      <c r="N741" s="8"/>
      <c r="O741" s="8"/>
      <c r="P741" s="8"/>
      <c r="Q741" s="8">
        <f>IF(B741="","",IF(B741="P","P&amp;10",B741&amp;"D "&amp;C741))</f>
        <v/>
      </c>
      <c r="R741" s="8">
        <f>IF(L741&lt;&gt;"Y","",IF(COUNTIF('DEF_CALL_DECISION_SUPPORT'!$B$1197:$B$1256,SUBSTITUTE(SUBSTITUTE(SUBSTITUTE(E741,"~","~~"),"*","~*"),"?","~?"))&gt;0,"KNOWN","REVIEW: new call; refresh sources"))</f>
        <v/>
      </c>
    </row>
    <row r="742" spans="1:18" ht="25" customHeight="1">
      <c r="A742" s="12"/>
      <c r="B742" s="8"/>
      <c r="C742" s="8"/>
      <c r="D742" s="8"/>
      <c r="E742" s="8"/>
      <c r="F742" s="8"/>
      <c r="G742" s="8"/>
      <c r="H742" s="8"/>
      <c r="I742" s="11"/>
      <c r="J742" s="12"/>
      <c r="K742" s="12"/>
      <c r="L742" s="8"/>
      <c r="M742" s="8"/>
      <c r="N742" s="8"/>
      <c r="O742" s="8"/>
      <c r="P742" s="8"/>
      <c r="Q742" s="8">
        <f>IF(B742="","",IF(B742="P","P&amp;10",B742&amp;"D "&amp;C742))</f>
        <v/>
      </c>
      <c r="R742" s="8">
        <f>IF(L742&lt;&gt;"Y","",IF(COUNTIF('DEF_CALL_DECISION_SUPPORT'!$B$1197:$B$1256,SUBSTITUTE(SUBSTITUTE(SUBSTITUTE(E742,"~","~~"),"*","~*"),"?","~?"))&gt;0,"KNOWN","REVIEW: new call; refresh sources"))</f>
        <v/>
      </c>
    </row>
    <row r="743" spans="1:18" ht="25" customHeight="1">
      <c r="A743" s="12"/>
      <c r="B743" s="8"/>
      <c r="C743" s="8"/>
      <c r="D743" s="8"/>
      <c r="E743" s="8"/>
      <c r="F743" s="8"/>
      <c r="G743" s="8"/>
      <c r="H743" s="8"/>
      <c r="I743" s="11"/>
      <c r="J743" s="12"/>
      <c r="K743" s="12"/>
      <c r="L743" s="8"/>
      <c r="M743" s="8"/>
      <c r="N743" s="8"/>
      <c r="O743" s="8"/>
      <c r="P743" s="8"/>
      <c r="Q743" s="8">
        <f>IF(B743="","",IF(B743="P","P&amp;10",B743&amp;"D "&amp;C743))</f>
        <v/>
      </c>
      <c r="R743" s="8">
        <f>IF(L743&lt;&gt;"Y","",IF(COUNTIF('DEF_CALL_DECISION_SUPPORT'!$B$1197:$B$1256,SUBSTITUTE(SUBSTITUTE(SUBSTITUTE(E743,"~","~~"),"*","~*"),"?","~?"))&gt;0,"KNOWN","REVIEW: new call; refresh sources"))</f>
        <v/>
      </c>
    </row>
    <row r="744" spans="1:18" ht="25" customHeight="1">
      <c r="A744" s="12"/>
      <c r="B744" s="8"/>
      <c r="C744" s="8"/>
      <c r="D744" s="8"/>
      <c r="E744" s="8"/>
      <c r="F744" s="8"/>
      <c r="G744" s="8"/>
      <c r="H744" s="8"/>
      <c r="I744" s="11"/>
      <c r="J744" s="12"/>
      <c r="K744" s="12"/>
      <c r="L744" s="8"/>
      <c r="M744" s="8"/>
      <c r="N744" s="8"/>
      <c r="O744" s="8"/>
      <c r="P744" s="8"/>
      <c r="Q744" s="8">
        <f>IF(B744="","",IF(B744="P","P&amp;10",B744&amp;"D "&amp;C744))</f>
        <v/>
      </c>
      <c r="R744" s="8">
        <f>IF(L744&lt;&gt;"Y","",IF(COUNTIF('DEF_CALL_DECISION_SUPPORT'!$B$1197:$B$1256,SUBSTITUTE(SUBSTITUTE(SUBSTITUTE(E744,"~","~~"),"*","~*"),"?","~?"))&gt;0,"KNOWN","REVIEW: new call; refresh sources"))</f>
        <v/>
      </c>
    </row>
    <row r="745" spans="1:18" ht="25" customHeight="1">
      <c r="A745" s="12"/>
      <c r="B745" s="8"/>
      <c r="C745" s="8"/>
      <c r="D745" s="8"/>
      <c r="E745" s="8"/>
      <c r="F745" s="8"/>
      <c r="G745" s="8"/>
      <c r="H745" s="8"/>
      <c r="I745" s="11"/>
      <c r="J745" s="12"/>
      <c r="K745" s="12"/>
      <c r="L745" s="8"/>
      <c r="M745" s="8"/>
      <c r="N745" s="8"/>
      <c r="O745" s="8"/>
      <c r="P745" s="8"/>
      <c r="Q745" s="8">
        <f>IF(B745="","",IF(B745="P","P&amp;10",B745&amp;"D "&amp;C745))</f>
        <v/>
      </c>
      <c r="R745" s="8">
        <f>IF(L745&lt;&gt;"Y","",IF(COUNTIF('DEF_CALL_DECISION_SUPPORT'!$B$1197:$B$1256,SUBSTITUTE(SUBSTITUTE(SUBSTITUTE(E745,"~","~~"),"*","~*"),"?","~?"))&gt;0,"KNOWN","REVIEW: new call; refresh sources"))</f>
        <v/>
      </c>
    </row>
    <row r="746" spans="1:18" ht="25" customHeight="1">
      <c r="A746" s="12"/>
      <c r="B746" s="8"/>
      <c r="C746" s="8"/>
      <c r="D746" s="8"/>
      <c r="E746" s="8"/>
      <c r="F746" s="8"/>
      <c r="G746" s="8"/>
      <c r="H746" s="8"/>
      <c r="I746" s="11"/>
      <c r="J746" s="12"/>
      <c r="K746" s="12"/>
      <c r="L746" s="8"/>
      <c r="M746" s="8"/>
      <c r="N746" s="8"/>
      <c r="O746" s="8"/>
      <c r="P746" s="8"/>
      <c r="Q746" s="8">
        <f>IF(B746="","",IF(B746="P","P&amp;10",B746&amp;"D "&amp;C746))</f>
        <v/>
      </c>
      <c r="R746" s="8">
        <f>IF(L746&lt;&gt;"Y","",IF(COUNTIF('DEF_CALL_DECISION_SUPPORT'!$B$1197:$B$1256,SUBSTITUTE(SUBSTITUTE(SUBSTITUTE(E746,"~","~~"),"*","~*"),"?","~?"))&gt;0,"KNOWN","REVIEW: new call; refresh sources"))</f>
        <v/>
      </c>
    </row>
    <row r="747" spans="1:18" ht="25" customHeight="1">
      <c r="A747" s="12"/>
      <c r="B747" s="8"/>
      <c r="C747" s="8"/>
      <c r="D747" s="8"/>
      <c r="E747" s="8"/>
      <c r="F747" s="8"/>
      <c r="G747" s="8"/>
      <c r="H747" s="8"/>
      <c r="I747" s="11"/>
      <c r="J747" s="12"/>
      <c r="K747" s="12"/>
      <c r="L747" s="8"/>
      <c r="M747" s="8"/>
      <c r="N747" s="8"/>
      <c r="O747" s="8"/>
      <c r="P747" s="8"/>
      <c r="Q747" s="8">
        <f>IF(B747="","",IF(B747="P","P&amp;10",B747&amp;"D "&amp;C747))</f>
        <v/>
      </c>
      <c r="R747" s="8">
        <f>IF(L747&lt;&gt;"Y","",IF(COUNTIF('DEF_CALL_DECISION_SUPPORT'!$B$1197:$B$1256,SUBSTITUTE(SUBSTITUTE(SUBSTITUTE(E747,"~","~~"),"*","~*"),"?","~?"))&gt;0,"KNOWN","REVIEW: new call; refresh sources"))</f>
        <v/>
      </c>
    </row>
    <row r="748" spans="1:18" ht="25" customHeight="1">
      <c r="A748" s="12"/>
      <c r="B748" s="8"/>
      <c r="C748" s="8"/>
      <c r="D748" s="8"/>
      <c r="E748" s="8"/>
      <c r="F748" s="8"/>
      <c r="G748" s="8"/>
      <c r="H748" s="8"/>
      <c r="I748" s="11"/>
      <c r="J748" s="12"/>
      <c r="K748" s="12"/>
      <c r="L748" s="8"/>
      <c r="M748" s="8"/>
      <c r="N748" s="8"/>
      <c r="O748" s="8"/>
      <c r="P748" s="8"/>
      <c r="Q748" s="8">
        <f>IF(B748="","",IF(B748="P","P&amp;10",B748&amp;"D "&amp;C748))</f>
        <v/>
      </c>
      <c r="R748" s="8">
        <f>IF(L748&lt;&gt;"Y","",IF(COUNTIF('DEF_CALL_DECISION_SUPPORT'!$B$1197:$B$1256,SUBSTITUTE(SUBSTITUTE(SUBSTITUTE(E748,"~","~~"),"*","~*"),"?","~?"))&gt;0,"KNOWN","REVIEW: new call; refresh sources"))</f>
        <v/>
      </c>
    </row>
    <row r="749" spans="1:18" ht="25" customHeight="1">
      <c r="A749" s="12"/>
      <c r="B749" s="8"/>
      <c r="C749" s="8"/>
      <c r="D749" s="8"/>
      <c r="E749" s="8"/>
      <c r="F749" s="8"/>
      <c r="G749" s="8"/>
      <c r="H749" s="8"/>
      <c r="I749" s="11"/>
      <c r="J749" s="12"/>
      <c r="K749" s="12"/>
      <c r="L749" s="8"/>
      <c r="M749" s="8"/>
      <c r="N749" s="8"/>
      <c r="O749" s="8"/>
      <c r="P749" s="8"/>
      <c r="Q749" s="8">
        <f>IF(B749="","",IF(B749="P","P&amp;10",B749&amp;"D "&amp;C749))</f>
        <v/>
      </c>
      <c r="R749" s="8">
        <f>IF(L749&lt;&gt;"Y","",IF(COUNTIF('DEF_CALL_DECISION_SUPPORT'!$B$1197:$B$1256,SUBSTITUTE(SUBSTITUTE(SUBSTITUTE(E749,"~","~~"),"*","~*"),"?","~?"))&gt;0,"KNOWN","REVIEW: new call; refresh sources"))</f>
        <v/>
      </c>
    </row>
    <row r="750" spans="1:18" ht="25" customHeight="1">
      <c r="A750" s="12"/>
      <c r="B750" s="8"/>
      <c r="C750" s="8"/>
      <c r="D750" s="8"/>
      <c r="E750" s="8"/>
      <c r="F750" s="8"/>
      <c r="G750" s="8"/>
      <c r="H750" s="8"/>
      <c r="I750" s="11"/>
      <c r="J750" s="12"/>
      <c r="K750" s="12"/>
      <c r="L750" s="8"/>
      <c r="M750" s="8"/>
      <c r="N750" s="8"/>
      <c r="O750" s="8"/>
      <c r="P750" s="8"/>
      <c r="Q750" s="8">
        <f>IF(B750="","",IF(B750="P","P&amp;10",B750&amp;"D "&amp;C750))</f>
        <v/>
      </c>
      <c r="R750" s="8">
        <f>IF(L750&lt;&gt;"Y","",IF(COUNTIF('DEF_CALL_DECISION_SUPPORT'!$B$1197:$B$1256,SUBSTITUTE(SUBSTITUTE(SUBSTITUTE(E750,"~","~~"),"*","~*"),"?","~?"))&gt;0,"KNOWN","REVIEW: new call; refresh sources"))</f>
        <v/>
      </c>
    </row>
    <row r="751" spans="1:18" ht="25" customHeight="1">
      <c r="A751" s="12"/>
      <c r="B751" s="8"/>
      <c r="C751" s="8"/>
      <c r="D751" s="8"/>
      <c r="E751" s="8"/>
      <c r="F751" s="8"/>
      <c r="G751" s="8"/>
      <c r="H751" s="8"/>
      <c r="I751" s="11"/>
      <c r="J751" s="12"/>
      <c r="K751" s="12"/>
      <c r="L751" s="8"/>
      <c r="M751" s="8"/>
      <c r="N751" s="8"/>
      <c r="O751" s="8"/>
      <c r="P751" s="8"/>
      <c r="Q751" s="8">
        <f>IF(B751="","",IF(B751="P","P&amp;10",B751&amp;"D "&amp;C751))</f>
        <v/>
      </c>
      <c r="R751" s="8">
        <f>IF(L751&lt;&gt;"Y","",IF(COUNTIF('DEF_CALL_DECISION_SUPPORT'!$B$1197:$B$1256,SUBSTITUTE(SUBSTITUTE(SUBSTITUTE(E751,"~","~~"),"*","~*"),"?","~?"))&gt;0,"KNOWN","REVIEW: new call; refresh sources"))</f>
        <v/>
      </c>
    </row>
    <row r="752" spans="1:18" ht="25" customHeight="1">
      <c r="A752" s="12"/>
      <c r="B752" s="8"/>
      <c r="C752" s="8"/>
      <c r="D752" s="8"/>
      <c r="E752" s="8"/>
      <c r="F752" s="8"/>
      <c r="G752" s="8"/>
      <c r="H752" s="8"/>
      <c r="I752" s="11"/>
      <c r="J752" s="12"/>
      <c r="K752" s="12"/>
      <c r="L752" s="8"/>
      <c r="M752" s="8"/>
      <c r="N752" s="8"/>
      <c r="O752" s="8"/>
      <c r="P752" s="8"/>
      <c r="Q752" s="8">
        <f>IF(B752="","",IF(B752="P","P&amp;10",B752&amp;"D "&amp;C752))</f>
        <v/>
      </c>
      <c r="R752" s="8">
        <f>IF(L752&lt;&gt;"Y","",IF(COUNTIF('DEF_CALL_DECISION_SUPPORT'!$B$1197:$B$1256,SUBSTITUTE(SUBSTITUTE(SUBSTITUTE(E752,"~","~~"),"*","~*"),"?","~?"))&gt;0,"KNOWN","REVIEW: new call; refresh sources"))</f>
        <v/>
      </c>
    </row>
    <row r="753" spans="1:18" ht="25" customHeight="1">
      <c r="A753" s="12"/>
      <c r="B753" s="8"/>
      <c r="C753" s="8"/>
      <c r="D753" s="8"/>
      <c r="E753" s="8"/>
      <c r="F753" s="8"/>
      <c r="G753" s="8"/>
      <c r="H753" s="8"/>
      <c r="I753" s="11"/>
      <c r="J753" s="12"/>
      <c r="K753" s="12"/>
      <c r="L753" s="8"/>
      <c r="M753" s="8"/>
      <c r="N753" s="8"/>
      <c r="O753" s="8"/>
      <c r="P753" s="8"/>
      <c r="Q753" s="8">
        <f>IF(B753="","",IF(B753="P","P&amp;10",B753&amp;"D "&amp;C753))</f>
        <v/>
      </c>
      <c r="R753" s="8">
        <f>IF(L753&lt;&gt;"Y","",IF(COUNTIF('DEF_CALL_DECISION_SUPPORT'!$B$1197:$B$1256,SUBSTITUTE(SUBSTITUTE(SUBSTITUTE(E753,"~","~~"),"*","~*"),"?","~?"))&gt;0,"KNOWN","REVIEW: new call; refresh sources"))</f>
        <v/>
      </c>
    </row>
    <row r="754" spans="1:18" ht="25" customHeight="1">
      <c r="A754" s="12"/>
      <c r="B754" s="8"/>
      <c r="C754" s="8"/>
      <c r="D754" s="8"/>
      <c r="E754" s="8"/>
      <c r="F754" s="8"/>
      <c r="G754" s="8"/>
      <c r="H754" s="8"/>
      <c r="I754" s="11"/>
      <c r="J754" s="12"/>
      <c r="K754" s="12"/>
      <c r="L754" s="8"/>
      <c r="M754" s="8"/>
      <c r="N754" s="8"/>
      <c r="O754" s="8"/>
      <c r="P754" s="8"/>
      <c r="Q754" s="8">
        <f>IF(B754="","",IF(B754="P","P&amp;10",B754&amp;"D "&amp;C754))</f>
        <v/>
      </c>
      <c r="R754" s="8">
        <f>IF(L754&lt;&gt;"Y","",IF(COUNTIF('DEF_CALL_DECISION_SUPPORT'!$B$1197:$B$1256,SUBSTITUTE(SUBSTITUTE(SUBSTITUTE(E754,"~","~~"),"*","~*"),"?","~?"))&gt;0,"KNOWN","REVIEW: new call; refresh sources"))</f>
        <v/>
      </c>
    </row>
    <row r="755" spans="1:18" ht="25" customHeight="1">
      <c r="A755" s="12"/>
      <c r="B755" s="8"/>
      <c r="C755" s="8"/>
      <c r="D755" s="8"/>
      <c r="E755" s="8"/>
      <c r="F755" s="8"/>
      <c r="G755" s="8"/>
      <c r="H755" s="8"/>
      <c r="I755" s="11"/>
      <c r="J755" s="12"/>
      <c r="K755" s="12"/>
      <c r="L755" s="8"/>
      <c r="M755" s="8"/>
      <c r="N755" s="8"/>
      <c r="O755" s="8"/>
      <c r="P755" s="8"/>
      <c r="Q755" s="8">
        <f>IF(B755="","",IF(B755="P","P&amp;10",B755&amp;"D "&amp;C755))</f>
        <v/>
      </c>
      <c r="R755" s="8">
        <f>IF(L755&lt;&gt;"Y","",IF(COUNTIF('DEF_CALL_DECISION_SUPPORT'!$B$1197:$B$1256,SUBSTITUTE(SUBSTITUTE(SUBSTITUTE(E755,"~","~~"),"*","~*"),"?","~?"))&gt;0,"KNOWN","REVIEW: new call; refresh sources"))</f>
        <v/>
      </c>
    </row>
    <row r="756" spans="1:18" ht="25" customHeight="1">
      <c r="A756" s="12"/>
      <c r="B756" s="8"/>
      <c r="C756" s="8"/>
      <c r="D756" s="8"/>
      <c r="E756" s="8"/>
      <c r="F756" s="8"/>
      <c r="G756" s="8"/>
      <c r="H756" s="8"/>
      <c r="I756" s="11"/>
      <c r="J756" s="12"/>
      <c r="K756" s="12"/>
      <c r="L756" s="8"/>
      <c r="M756" s="8"/>
      <c r="N756" s="8"/>
      <c r="O756" s="8"/>
      <c r="P756" s="8"/>
      <c r="Q756" s="8">
        <f>IF(B756="","",IF(B756="P","P&amp;10",B756&amp;"D "&amp;C756))</f>
        <v/>
      </c>
      <c r="R756" s="8">
        <f>IF(L756&lt;&gt;"Y","",IF(COUNTIF('DEF_CALL_DECISION_SUPPORT'!$B$1197:$B$1256,SUBSTITUTE(SUBSTITUTE(SUBSTITUTE(E756,"~","~~"),"*","~*"),"?","~?"))&gt;0,"KNOWN","REVIEW: new call; refresh sources"))</f>
        <v/>
      </c>
    </row>
    <row r="757" spans="1:18" ht="25" customHeight="1">
      <c r="A757" s="12"/>
      <c r="B757" s="8"/>
      <c r="C757" s="8"/>
      <c r="D757" s="8"/>
      <c r="E757" s="8"/>
      <c r="F757" s="8"/>
      <c r="G757" s="8"/>
      <c r="H757" s="8"/>
      <c r="I757" s="11"/>
      <c r="J757" s="12"/>
      <c r="K757" s="12"/>
      <c r="L757" s="8"/>
      <c r="M757" s="8"/>
      <c r="N757" s="8"/>
      <c r="O757" s="8"/>
      <c r="P757" s="8"/>
      <c r="Q757" s="8">
        <f>IF(B757="","",IF(B757="P","P&amp;10",B757&amp;"D "&amp;C757))</f>
        <v/>
      </c>
      <c r="R757" s="8">
        <f>IF(L757&lt;&gt;"Y","",IF(COUNTIF('DEF_CALL_DECISION_SUPPORT'!$B$1197:$B$1256,SUBSTITUTE(SUBSTITUTE(SUBSTITUTE(E757,"~","~~"),"*","~*"),"?","~?"))&gt;0,"KNOWN","REVIEW: new call; refresh sources"))</f>
        <v/>
      </c>
    </row>
    <row r="758" spans="1:18" ht="25" customHeight="1">
      <c r="A758" s="12"/>
      <c r="B758" s="8"/>
      <c r="C758" s="8"/>
      <c r="D758" s="8"/>
      <c r="E758" s="8"/>
      <c r="F758" s="8"/>
      <c r="G758" s="8"/>
      <c r="H758" s="8"/>
      <c r="I758" s="11"/>
      <c r="J758" s="12"/>
      <c r="K758" s="12"/>
      <c r="L758" s="8"/>
      <c r="M758" s="8"/>
      <c r="N758" s="8"/>
      <c r="O758" s="8"/>
      <c r="P758" s="8"/>
      <c r="Q758" s="8">
        <f>IF(B758="","",IF(B758="P","P&amp;10",B758&amp;"D "&amp;C758))</f>
        <v/>
      </c>
      <c r="R758" s="8">
        <f>IF(L758&lt;&gt;"Y","",IF(COUNTIF('DEF_CALL_DECISION_SUPPORT'!$B$1197:$B$1256,SUBSTITUTE(SUBSTITUTE(SUBSTITUTE(E758,"~","~~"),"*","~*"),"?","~?"))&gt;0,"KNOWN","REVIEW: new call; refresh sources"))</f>
        <v/>
      </c>
    </row>
    <row r="759" spans="1:18" ht="25" customHeight="1">
      <c r="A759" s="12"/>
      <c r="B759" s="8"/>
      <c r="C759" s="8"/>
      <c r="D759" s="8"/>
      <c r="E759" s="8"/>
      <c r="F759" s="8"/>
      <c r="G759" s="8"/>
      <c r="H759" s="8"/>
      <c r="I759" s="11"/>
      <c r="J759" s="12"/>
      <c r="K759" s="12"/>
      <c r="L759" s="8"/>
      <c r="M759" s="8"/>
      <c r="N759" s="8"/>
      <c r="O759" s="8"/>
      <c r="P759" s="8"/>
      <c r="Q759" s="8">
        <f>IF(B759="","",IF(B759="P","P&amp;10",B759&amp;"D "&amp;C759))</f>
        <v/>
      </c>
      <c r="R759" s="8">
        <f>IF(L759&lt;&gt;"Y","",IF(COUNTIF('DEF_CALL_DECISION_SUPPORT'!$B$1197:$B$1256,SUBSTITUTE(SUBSTITUTE(SUBSTITUTE(E759,"~","~~"),"*","~*"),"?","~?"))&gt;0,"KNOWN","REVIEW: new call; refresh sources"))</f>
        <v/>
      </c>
    </row>
    <row r="760" spans="1:18" ht="25" customHeight="1">
      <c r="A760" s="12"/>
      <c r="B760" s="8"/>
      <c r="C760" s="8"/>
      <c r="D760" s="8"/>
      <c r="E760" s="8"/>
      <c r="F760" s="8"/>
      <c r="G760" s="8"/>
      <c r="H760" s="8"/>
      <c r="I760" s="11"/>
      <c r="J760" s="12"/>
      <c r="K760" s="12"/>
      <c r="L760" s="8"/>
      <c r="M760" s="8"/>
      <c r="N760" s="8"/>
      <c r="O760" s="8"/>
      <c r="P760" s="8"/>
      <c r="Q760" s="8">
        <f>IF(B760="","",IF(B760="P","P&amp;10",B760&amp;"D "&amp;C760))</f>
        <v/>
      </c>
      <c r="R760" s="8">
        <f>IF(L760&lt;&gt;"Y","",IF(COUNTIF('DEF_CALL_DECISION_SUPPORT'!$B$1197:$B$1256,SUBSTITUTE(SUBSTITUTE(SUBSTITUTE(E760,"~","~~"),"*","~*"),"?","~?"))&gt;0,"KNOWN","REVIEW: new call; refresh sources"))</f>
        <v/>
      </c>
    </row>
    <row r="761" spans="1:18" ht="25" customHeight="1">
      <c r="A761" s="12"/>
      <c r="B761" s="8"/>
      <c r="C761" s="8"/>
      <c r="D761" s="8"/>
      <c r="E761" s="8"/>
      <c r="F761" s="8"/>
      <c r="G761" s="8"/>
      <c r="H761" s="8"/>
      <c r="I761" s="11"/>
      <c r="J761" s="12"/>
      <c r="K761" s="12"/>
      <c r="L761" s="8"/>
      <c r="M761" s="8"/>
      <c r="N761" s="8"/>
      <c r="O761" s="8"/>
      <c r="P761" s="8"/>
      <c r="Q761" s="8">
        <f>IF(B761="","",IF(B761="P","P&amp;10",B761&amp;"D "&amp;C761))</f>
        <v/>
      </c>
      <c r="R761" s="8">
        <f>IF(L761&lt;&gt;"Y","",IF(COUNTIF('DEF_CALL_DECISION_SUPPORT'!$B$1197:$B$1256,SUBSTITUTE(SUBSTITUTE(SUBSTITUTE(E761,"~","~~"),"*","~*"),"?","~?"))&gt;0,"KNOWN","REVIEW: new call; refresh sources"))</f>
        <v/>
      </c>
    </row>
    <row r="762" spans="1:18" ht="25" customHeight="1">
      <c r="A762" s="12"/>
      <c r="B762" s="8"/>
      <c r="C762" s="8"/>
      <c r="D762" s="8"/>
      <c r="E762" s="8"/>
      <c r="F762" s="8"/>
      <c r="G762" s="8"/>
      <c r="H762" s="8"/>
      <c r="I762" s="11"/>
      <c r="J762" s="12"/>
      <c r="K762" s="12"/>
      <c r="L762" s="8"/>
      <c r="M762" s="8"/>
      <c r="N762" s="8"/>
      <c r="O762" s="8"/>
      <c r="P762" s="8"/>
      <c r="Q762" s="8">
        <f>IF(B762="","",IF(B762="P","P&amp;10",B762&amp;"D "&amp;C762))</f>
        <v/>
      </c>
      <c r="R762" s="8">
        <f>IF(L762&lt;&gt;"Y","",IF(COUNTIF('DEF_CALL_DECISION_SUPPORT'!$B$1197:$B$1256,SUBSTITUTE(SUBSTITUTE(SUBSTITUTE(E762,"~","~~"),"*","~*"),"?","~?"))&gt;0,"KNOWN","REVIEW: new call; refresh sources"))</f>
        <v/>
      </c>
    </row>
    <row r="763" spans="1:18" ht="25" customHeight="1">
      <c r="A763" s="12"/>
      <c r="B763" s="8"/>
      <c r="C763" s="8"/>
      <c r="D763" s="8"/>
      <c r="E763" s="8"/>
      <c r="F763" s="8"/>
      <c r="G763" s="8"/>
      <c r="H763" s="8"/>
      <c r="I763" s="11"/>
      <c r="J763" s="12"/>
      <c r="K763" s="12"/>
      <c r="L763" s="8"/>
      <c r="M763" s="8"/>
      <c r="N763" s="8"/>
      <c r="O763" s="8"/>
      <c r="P763" s="8"/>
      <c r="Q763" s="8">
        <f>IF(B763="","",IF(B763="P","P&amp;10",B763&amp;"D "&amp;C763))</f>
        <v/>
      </c>
      <c r="R763" s="8">
        <f>IF(L763&lt;&gt;"Y","",IF(COUNTIF('DEF_CALL_DECISION_SUPPORT'!$B$1197:$B$1256,SUBSTITUTE(SUBSTITUTE(SUBSTITUTE(E763,"~","~~"),"*","~*"),"?","~?"))&gt;0,"KNOWN","REVIEW: new call; refresh sources"))</f>
        <v/>
      </c>
    </row>
    <row r="764" spans="1:18" ht="25" customHeight="1">
      <c r="A764" s="12"/>
      <c r="B764" s="8"/>
      <c r="C764" s="8"/>
      <c r="D764" s="8"/>
      <c r="E764" s="8"/>
      <c r="F764" s="8"/>
      <c r="G764" s="8"/>
      <c r="H764" s="8"/>
      <c r="I764" s="11"/>
      <c r="J764" s="12"/>
      <c r="K764" s="12"/>
      <c r="L764" s="8"/>
      <c r="M764" s="8"/>
      <c r="N764" s="8"/>
      <c r="O764" s="8"/>
      <c r="P764" s="8"/>
      <c r="Q764" s="8">
        <f>IF(B764="","",IF(B764="P","P&amp;10",B764&amp;"D "&amp;C764))</f>
        <v/>
      </c>
      <c r="R764" s="8">
        <f>IF(L764&lt;&gt;"Y","",IF(COUNTIF('DEF_CALL_DECISION_SUPPORT'!$B$1197:$B$1256,SUBSTITUTE(SUBSTITUTE(SUBSTITUTE(E764,"~","~~"),"*","~*"),"?","~?"))&gt;0,"KNOWN","REVIEW: new call; refresh sources"))</f>
        <v/>
      </c>
    </row>
    <row r="765" spans="1:18" ht="25" customHeight="1">
      <c r="A765" s="12"/>
      <c r="B765" s="8"/>
      <c r="C765" s="8"/>
      <c r="D765" s="8"/>
      <c r="E765" s="8"/>
      <c r="F765" s="8"/>
      <c r="G765" s="8"/>
      <c r="H765" s="8"/>
      <c r="I765" s="11"/>
      <c r="J765" s="12"/>
      <c r="K765" s="12"/>
      <c r="L765" s="8"/>
      <c r="M765" s="8"/>
      <c r="N765" s="8"/>
      <c r="O765" s="8"/>
      <c r="P765" s="8"/>
      <c r="Q765" s="8">
        <f>IF(B765="","",IF(B765="P","P&amp;10",B765&amp;"D "&amp;C765))</f>
        <v/>
      </c>
      <c r="R765" s="8">
        <f>IF(L765&lt;&gt;"Y","",IF(COUNTIF('DEF_CALL_DECISION_SUPPORT'!$B$1197:$B$1256,SUBSTITUTE(SUBSTITUTE(SUBSTITUTE(E765,"~","~~"),"*","~*"),"?","~?"))&gt;0,"KNOWN","REVIEW: new call; refresh sources"))</f>
        <v/>
      </c>
    </row>
    <row r="766" spans="1:18" ht="25" customHeight="1">
      <c r="A766" s="12"/>
      <c r="B766" s="8"/>
      <c r="C766" s="8"/>
      <c r="D766" s="8"/>
      <c r="E766" s="8"/>
      <c r="F766" s="8"/>
      <c r="G766" s="8"/>
      <c r="H766" s="8"/>
      <c r="I766" s="11"/>
      <c r="J766" s="12"/>
      <c r="K766" s="12"/>
      <c r="L766" s="8"/>
      <c r="M766" s="8"/>
      <c r="N766" s="8"/>
      <c r="O766" s="8"/>
      <c r="P766" s="8"/>
      <c r="Q766" s="8">
        <f>IF(B766="","",IF(B766="P","P&amp;10",B766&amp;"D "&amp;C766))</f>
        <v/>
      </c>
      <c r="R766" s="8">
        <f>IF(L766&lt;&gt;"Y","",IF(COUNTIF('DEF_CALL_DECISION_SUPPORT'!$B$1197:$B$1256,SUBSTITUTE(SUBSTITUTE(SUBSTITUTE(E766,"~","~~"),"*","~*"),"?","~?"))&gt;0,"KNOWN","REVIEW: new call; refresh sources"))</f>
        <v/>
      </c>
    </row>
    <row r="767" spans="1:18" ht="25" customHeight="1">
      <c r="A767" s="12"/>
      <c r="B767" s="8"/>
      <c r="C767" s="8"/>
      <c r="D767" s="8"/>
      <c r="E767" s="8"/>
      <c r="F767" s="8"/>
      <c r="G767" s="8"/>
      <c r="H767" s="8"/>
      <c r="I767" s="11"/>
      <c r="J767" s="12"/>
      <c r="K767" s="12"/>
      <c r="L767" s="8"/>
      <c r="M767" s="8"/>
      <c r="N767" s="8"/>
      <c r="O767" s="8"/>
      <c r="P767" s="8"/>
      <c r="Q767" s="8">
        <f>IF(B767="","",IF(B767="P","P&amp;10",B767&amp;"D "&amp;C767))</f>
        <v/>
      </c>
      <c r="R767" s="8">
        <f>IF(L767&lt;&gt;"Y","",IF(COUNTIF('DEF_CALL_DECISION_SUPPORT'!$B$1197:$B$1256,SUBSTITUTE(SUBSTITUTE(SUBSTITUTE(E767,"~","~~"),"*","~*"),"?","~?"))&gt;0,"KNOWN","REVIEW: new call; refresh sources"))</f>
        <v/>
      </c>
    </row>
    <row r="768" spans="1:18" ht="25" customHeight="1">
      <c r="A768" s="12"/>
      <c r="B768" s="8"/>
      <c r="C768" s="8"/>
      <c r="D768" s="8"/>
      <c r="E768" s="8"/>
      <c r="F768" s="8"/>
      <c r="G768" s="8"/>
      <c r="H768" s="8"/>
      <c r="I768" s="11"/>
      <c r="J768" s="12"/>
      <c r="K768" s="12"/>
      <c r="L768" s="8"/>
      <c r="M768" s="8"/>
      <c r="N768" s="8"/>
      <c r="O768" s="8"/>
      <c r="P768" s="8"/>
      <c r="Q768" s="8">
        <f>IF(B768="","",IF(B768="P","P&amp;10",B768&amp;"D "&amp;C768))</f>
        <v/>
      </c>
      <c r="R768" s="8">
        <f>IF(L768&lt;&gt;"Y","",IF(COUNTIF('DEF_CALL_DECISION_SUPPORT'!$B$1197:$B$1256,SUBSTITUTE(SUBSTITUTE(SUBSTITUTE(E768,"~","~~"),"*","~*"),"?","~?"))&gt;0,"KNOWN","REVIEW: new call; refresh sources"))</f>
        <v/>
      </c>
    </row>
    <row r="769" spans="1:18" ht="25" customHeight="1">
      <c r="A769" s="12"/>
      <c r="B769" s="8"/>
      <c r="C769" s="8"/>
      <c r="D769" s="8"/>
      <c r="E769" s="8"/>
      <c r="F769" s="8"/>
      <c r="G769" s="8"/>
      <c r="H769" s="8"/>
      <c r="I769" s="11"/>
      <c r="J769" s="12"/>
      <c r="K769" s="12"/>
      <c r="L769" s="8"/>
      <c r="M769" s="8"/>
      <c r="N769" s="8"/>
      <c r="O769" s="8"/>
      <c r="P769" s="8"/>
      <c r="Q769" s="8">
        <f>IF(B769="","",IF(B769="P","P&amp;10",B769&amp;"D "&amp;C769))</f>
        <v/>
      </c>
      <c r="R769" s="8">
        <f>IF(L769&lt;&gt;"Y","",IF(COUNTIF('DEF_CALL_DECISION_SUPPORT'!$B$1197:$B$1256,SUBSTITUTE(SUBSTITUTE(SUBSTITUTE(E769,"~","~~"),"*","~*"),"?","~?"))&gt;0,"KNOWN","REVIEW: new call; refresh sources"))</f>
        <v/>
      </c>
    </row>
    <row r="770" spans="1:18" ht="25" customHeight="1">
      <c r="A770" s="12"/>
      <c r="B770" s="8"/>
      <c r="C770" s="8"/>
      <c r="D770" s="8"/>
      <c r="E770" s="8"/>
      <c r="F770" s="8"/>
      <c r="G770" s="8"/>
      <c r="H770" s="8"/>
      <c r="I770" s="11"/>
      <c r="J770" s="12"/>
      <c r="K770" s="12"/>
      <c r="L770" s="8"/>
      <c r="M770" s="8"/>
      <c r="N770" s="8"/>
      <c r="O770" s="8"/>
      <c r="P770" s="8"/>
      <c r="Q770" s="8">
        <f>IF(B770="","",IF(B770="P","P&amp;10",B770&amp;"D "&amp;C770))</f>
        <v/>
      </c>
      <c r="R770" s="8">
        <f>IF(L770&lt;&gt;"Y","",IF(COUNTIF('DEF_CALL_DECISION_SUPPORT'!$B$1197:$B$1256,SUBSTITUTE(SUBSTITUTE(SUBSTITUTE(E770,"~","~~"),"*","~*"),"?","~?"))&gt;0,"KNOWN","REVIEW: new call; refresh sources"))</f>
        <v/>
      </c>
    </row>
    <row r="771" spans="1:18" ht="25" customHeight="1">
      <c r="A771" s="12"/>
      <c r="B771" s="8"/>
      <c r="C771" s="8"/>
      <c r="D771" s="8"/>
      <c r="E771" s="8"/>
      <c r="F771" s="8"/>
      <c r="G771" s="8"/>
      <c r="H771" s="8"/>
      <c r="I771" s="11"/>
      <c r="J771" s="12"/>
      <c r="K771" s="12"/>
      <c r="L771" s="8"/>
      <c r="M771" s="8"/>
      <c r="N771" s="8"/>
      <c r="O771" s="8"/>
      <c r="P771" s="8"/>
      <c r="Q771" s="8">
        <f>IF(B771="","",IF(B771="P","P&amp;10",B771&amp;"D "&amp;C771))</f>
        <v/>
      </c>
      <c r="R771" s="8">
        <f>IF(L771&lt;&gt;"Y","",IF(COUNTIF('DEF_CALL_DECISION_SUPPORT'!$B$1197:$B$1256,SUBSTITUTE(SUBSTITUTE(SUBSTITUTE(E771,"~","~~"),"*","~*"),"?","~?"))&gt;0,"KNOWN","REVIEW: new call; refresh sources"))</f>
        <v/>
      </c>
    </row>
    <row r="772" spans="1:18" ht="25" customHeight="1">
      <c r="A772" s="12"/>
      <c r="B772" s="8"/>
      <c r="C772" s="8"/>
      <c r="D772" s="8"/>
      <c r="E772" s="8"/>
      <c r="F772" s="8"/>
      <c r="G772" s="8"/>
      <c r="H772" s="8"/>
      <c r="I772" s="11"/>
      <c r="J772" s="12"/>
      <c r="K772" s="12"/>
      <c r="L772" s="8"/>
      <c r="M772" s="8"/>
      <c r="N772" s="8"/>
      <c r="O772" s="8"/>
      <c r="P772" s="8"/>
      <c r="Q772" s="8">
        <f>IF(B772="","",IF(B772="P","P&amp;10",B772&amp;"D "&amp;C772))</f>
        <v/>
      </c>
      <c r="R772" s="8">
        <f>IF(L772&lt;&gt;"Y","",IF(COUNTIF('DEF_CALL_DECISION_SUPPORT'!$B$1197:$B$1256,SUBSTITUTE(SUBSTITUTE(SUBSTITUTE(E772,"~","~~"),"*","~*"),"?","~?"))&gt;0,"KNOWN","REVIEW: new call; refresh sources"))</f>
        <v/>
      </c>
    </row>
    <row r="773" spans="1:18" ht="25" customHeight="1">
      <c r="A773" s="12"/>
      <c r="B773" s="8"/>
      <c r="C773" s="8"/>
      <c r="D773" s="8"/>
      <c r="E773" s="8"/>
      <c r="F773" s="8"/>
      <c r="G773" s="8"/>
      <c r="H773" s="8"/>
      <c r="I773" s="11"/>
      <c r="J773" s="12"/>
      <c r="K773" s="12"/>
      <c r="L773" s="8"/>
      <c r="M773" s="8"/>
      <c r="N773" s="8"/>
      <c r="O773" s="8"/>
      <c r="P773" s="8"/>
      <c r="Q773" s="8">
        <f>IF(B773="","",IF(B773="P","P&amp;10",B773&amp;"D "&amp;C773))</f>
        <v/>
      </c>
      <c r="R773" s="8">
        <f>IF(L773&lt;&gt;"Y","",IF(COUNTIF('DEF_CALL_DECISION_SUPPORT'!$B$1197:$B$1256,SUBSTITUTE(SUBSTITUTE(SUBSTITUTE(E773,"~","~~"),"*","~*"),"?","~?"))&gt;0,"KNOWN","REVIEW: new call; refresh sources"))</f>
        <v/>
      </c>
    </row>
    <row r="774" spans="1:18" ht="25" customHeight="1">
      <c r="A774" s="12"/>
      <c r="B774" s="8"/>
      <c r="C774" s="8"/>
      <c r="D774" s="8"/>
      <c r="E774" s="8"/>
      <c r="F774" s="8"/>
      <c r="G774" s="8"/>
      <c r="H774" s="8"/>
      <c r="I774" s="11"/>
      <c r="J774" s="12"/>
      <c r="K774" s="12"/>
      <c r="L774" s="8"/>
      <c r="M774" s="8"/>
      <c r="N774" s="8"/>
      <c r="O774" s="8"/>
      <c r="P774" s="8"/>
      <c r="Q774" s="8">
        <f>IF(B774="","",IF(B774="P","P&amp;10",B774&amp;"D "&amp;C774))</f>
        <v/>
      </c>
      <c r="R774" s="8">
        <f>IF(L774&lt;&gt;"Y","",IF(COUNTIF('DEF_CALL_DECISION_SUPPORT'!$B$1197:$B$1256,SUBSTITUTE(SUBSTITUTE(SUBSTITUTE(E774,"~","~~"),"*","~*"),"?","~?"))&gt;0,"KNOWN","REVIEW: new call; refresh sources"))</f>
        <v/>
      </c>
    </row>
    <row r="775" spans="1:18" ht="25" customHeight="1">
      <c r="A775" s="12"/>
      <c r="B775" s="8"/>
      <c r="C775" s="8"/>
      <c r="D775" s="8"/>
      <c r="E775" s="8"/>
      <c r="F775" s="8"/>
      <c r="G775" s="8"/>
      <c r="H775" s="8"/>
      <c r="I775" s="11"/>
      <c r="J775" s="12"/>
      <c r="K775" s="12"/>
      <c r="L775" s="8"/>
      <c r="M775" s="8"/>
      <c r="N775" s="8"/>
      <c r="O775" s="8"/>
      <c r="P775" s="8"/>
      <c r="Q775" s="8">
        <f>IF(B775="","",IF(B775="P","P&amp;10",B775&amp;"D "&amp;C775))</f>
        <v/>
      </c>
      <c r="R775" s="8">
        <f>IF(L775&lt;&gt;"Y","",IF(COUNTIF('DEF_CALL_DECISION_SUPPORT'!$B$1197:$B$1256,SUBSTITUTE(SUBSTITUTE(SUBSTITUTE(E775,"~","~~"),"*","~*"),"?","~?"))&gt;0,"KNOWN","REVIEW: new call; refresh sources"))</f>
        <v/>
      </c>
    </row>
    <row r="776" spans="1:18" ht="25" customHeight="1">
      <c r="A776" s="12"/>
      <c r="B776" s="8"/>
      <c r="C776" s="8"/>
      <c r="D776" s="8"/>
      <c r="E776" s="8"/>
      <c r="F776" s="8"/>
      <c r="G776" s="8"/>
      <c r="H776" s="8"/>
      <c r="I776" s="11"/>
      <c r="J776" s="12"/>
      <c r="K776" s="12"/>
      <c r="L776" s="8"/>
      <c r="M776" s="8"/>
      <c r="N776" s="8"/>
      <c r="O776" s="8"/>
      <c r="P776" s="8"/>
      <c r="Q776" s="8">
        <f>IF(B776="","",IF(B776="P","P&amp;10",B776&amp;"D "&amp;C776))</f>
        <v/>
      </c>
      <c r="R776" s="8">
        <f>IF(L776&lt;&gt;"Y","",IF(COUNTIF('DEF_CALL_DECISION_SUPPORT'!$B$1197:$B$1256,SUBSTITUTE(SUBSTITUTE(SUBSTITUTE(E776,"~","~~"),"*","~*"),"?","~?"))&gt;0,"KNOWN","REVIEW: new call; refresh sources"))</f>
        <v/>
      </c>
    </row>
    <row r="777" spans="1:18" ht="25" customHeight="1">
      <c r="A777" s="12"/>
      <c r="B777" s="8"/>
      <c r="C777" s="8"/>
      <c r="D777" s="8"/>
      <c r="E777" s="8"/>
      <c r="F777" s="8"/>
      <c r="G777" s="8"/>
      <c r="H777" s="8"/>
      <c r="I777" s="11"/>
      <c r="J777" s="12"/>
      <c r="K777" s="12"/>
      <c r="L777" s="8"/>
      <c r="M777" s="8"/>
      <c r="N777" s="8"/>
      <c r="O777" s="8"/>
      <c r="P777" s="8"/>
      <c r="Q777" s="8">
        <f>IF(B777="","",IF(B777="P","P&amp;10",B777&amp;"D "&amp;C777))</f>
        <v/>
      </c>
      <c r="R777" s="8">
        <f>IF(L777&lt;&gt;"Y","",IF(COUNTIF('DEF_CALL_DECISION_SUPPORT'!$B$1197:$B$1256,SUBSTITUTE(SUBSTITUTE(SUBSTITUTE(E777,"~","~~"),"*","~*"),"?","~?"))&gt;0,"KNOWN","REVIEW: new call; refresh sources"))</f>
        <v/>
      </c>
    </row>
    <row r="778" spans="1:18" ht="25" customHeight="1">
      <c r="A778" s="12"/>
      <c r="B778" s="8"/>
      <c r="C778" s="8"/>
      <c r="D778" s="8"/>
      <c r="E778" s="8"/>
      <c r="F778" s="8"/>
      <c r="G778" s="8"/>
      <c r="H778" s="8"/>
      <c r="I778" s="11"/>
      <c r="J778" s="12"/>
      <c r="K778" s="12"/>
      <c r="L778" s="8"/>
      <c r="M778" s="8"/>
      <c r="N778" s="8"/>
      <c r="O778" s="8"/>
      <c r="P778" s="8"/>
      <c r="Q778" s="8">
        <f>IF(B778="","",IF(B778="P","P&amp;10",B778&amp;"D "&amp;C778))</f>
        <v/>
      </c>
      <c r="R778" s="8">
        <f>IF(L778&lt;&gt;"Y","",IF(COUNTIF('DEF_CALL_DECISION_SUPPORT'!$B$1197:$B$1256,SUBSTITUTE(SUBSTITUTE(SUBSTITUTE(E778,"~","~~"),"*","~*"),"?","~?"))&gt;0,"KNOWN","REVIEW: new call; refresh sources"))</f>
        <v/>
      </c>
    </row>
    <row r="779" spans="1:18" ht="25" customHeight="1">
      <c r="A779" s="12"/>
      <c r="B779" s="8"/>
      <c r="C779" s="8"/>
      <c r="D779" s="8"/>
      <c r="E779" s="8"/>
      <c r="F779" s="8"/>
      <c r="G779" s="8"/>
      <c r="H779" s="8"/>
      <c r="I779" s="11"/>
      <c r="J779" s="12"/>
      <c r="K779" s="12"/>
      <c r="L779" s="8"/>
      <c r="M779" s="8"/>
      <c r="N779" s="8"/>
      <c r="O779" s="8"/>
      <c r="P779" s="8"/>
      <c r="Q779" s="8">
        <f>IF(B779="","",IF(B779="P","P&amp;10",B779&amp;"D "&amp;C779))</f>
        <v/>
      </c>
      <c r="R779" s="8">
        <f>IF(L779&lt;&gt;"Y","",IF(COUNTIF('DEF_CALL_DECISION_SUPPORT'!$B$1197:$B$1256,SUBSTITUTE(SUBSTITUTE(SUBSTITUTE(E779,"~","~~"),"*","~*"),"?","~?"))&gt;0,"KNOWN","REVIEW: new call; refresh sources"))</f>
        <v/>
      </c>
    </row>
    <row r="780" spans="1:18" ht="25" customHeight="1">
      <c r="A780" s="12"/>
      <c r="B780" s="8"/>
      <c r="C780" s="8"/>
      <c r="D780" s="8"/>
      <c r="E780" s="8"/>
      <c r="F780" s="8"/>
      <c r="G780" s="8"/>
      <c r="H780" s="8"/>
      <c r="I780" s="11"/>
      <c r="J780" s="12"/>
      <c r="K780" s="12"/>
      <c r="L780" s="8"/>
      <c r="M780" s="8"/>
      <c r="N780" s="8"/>
      <c r="O780" s="8"/>
      <c r="P780" s="8"/>
      <c r="Q780" s="8">
        <f>IF(B780="","",IF(B780="P","P&amp;10",B780&amp;"D "&amp;C780))</f>
        <v/>
      </c>
      <c r="R780" s="8">
        <f>IF(L780&lt;&gt;"Y","",IF(COUNTIF('DEF_CALL_DECISION_SUPPORT'!$B$1197:$B$1256,SUBSTITUTE(SUBSTITUTE(SUBSTITUTE(E780,"~","~~"),"*","~*"),"?","~?"))&gt;0,"KNOWN","REVIEW: new call; refresh sources"))</f>
        <v/>
      </c>
    </row>
    <row r="781" spans="1:18" ht="25" customHeight="1">
      <c r="A781" s="12"/>
      <c r="B781" s="8"/>
      <c r="C781" s="8"/>
      <c r="D781" s="8"/>
      <c r="E781" s="8"/>
      <c r="F781" s="8"/>
      <c r="G781" s="8"/>
      <c r="H781" s="8"/>
      <c r="I781" s="11"/>
      <c r="J781" s="12"/>
      <c r="K781" s="12"/>
      <c r="L781" s="8"/>
      <c r="M781" s="8"/>
      <c r="N781" s="8"/>
      <c r="O781" s="8"/>
      <c r="P781" s="8"/>
      <c r="Q781" s="8">
        <f>IF(B781="","",IF(B781="P","P&amp;10",B781&amp;"D "&amp;C781))</f>
        <v/>
      </c>
      <c r="R781" s="8">
        <f>IF(L781&lt;&gt;"Y","",IF(COUNTIF('DEF_CALL_DECISION_SUPPORT'!$B$1197:$B$1256,SUBSTITUTE(SUBSTITUTE(SUBSTITUTE(E781,"~","~~"),"*","~*"),"?","~?"))&gt;0,"KNOWN","REVIEW: new call; refresh sources"))</f>
        <v/>
      </c>
    </row>
    <row r="782" spans="1:18" ht="25" customHeight="1">
      <c r="A782" s="12"/>
      <c r="B782" s="8"/>
      <c r="C782" s="8"/>
      <c r="D782" s="8"/>
      <c r="E782" s="8"/>
      <c r="F782" s="8"/>
      <c r="G782" s="8"/>
      <c r="H782" s="8"/>
      <c r="I782" s="11"/>
      <c r="J782" s="12"/>
      <c r="K782" s="12"/>
      <c r="L782" s="8"/>
      <c r="M782" s="8"/>
      <c r="N782" s="8"/>
      <c r="O782" s="8"/>
      <c r="P782" s="8"/>
      <c r="Q782" s="8">
        <f>IF(B782="","",IF(B782="P","P&amp;10",B782&amp;"D "&amp;C782))</f>
        <v/>
      </c>
      <c r="R782" s="8">
        <f>IF(L782&lt;&gt;"Y","",IF(COUNTIF('DEF_CALL_DECISION_SUPPORT'!$B$1197:$B$1256,SUBSTITUTE(SUBSTITUTE(SUBSTITUTE(E782,"~","~~"),"*","~*"),"?","~?"))&gt;0,"KNOWN","REVIEW: new call; refresh sources"))</f>
        <v/>
      </c>
    </row>
    <row r="783" spans="1:18" ht="25" customHeight="1">
      <c r="A783" s="12"/>
      <c r="B783" s="8"/>
      <c r="C783" s="8"/>
      <c r="D783" s="8"/>
      <c r="E783" s="8"/>
      <c r="F783" s="8"/>
      <c r="G783" s="8"/>
      <c r="H783" s="8"/>
      <c r="I783" s="11"/>
      <c r="J783" s="12"/>
      <c r="K783" s="12"/>
      <c r="L783" s="8"/>
      <c r="M783" s="8"/>
      <c r="N783" s="8"/>
      <c r="O783" s="8"/>
      <c r="P783" s="8"/>
      <c r="Q783" s="8">
        <f>IF(B783="","",IF(B783="P","P&amp;10",B783&amp;"D "&amp;C783))</f>
        <v/>
      </c>
      <c r="R783" s="8">
        <f>IF(L783&lt;&gt;"Y","",IF(COUNTIF('DEF_CALL_DECISION_SUPPORT'!$B$1197:$B$1256,SUBSTITUTE(SUBSTITUTE(SUBSTITUTE(E783,"~","~~"),"*","~*"),"?","~?"))&gt;0,"KNOWN","REVIEW: new call; refresh sources"))</f>
        <v/>
      </c>
    </row>
    <row r="784" spans="1:18" ht="25" customHeight="1">
      <c r="A784" s="12"/>
      <c r="B784" s="8"/>
      <c r="C784" s="8"/>
      <c r="D784" s="8"/>
      <c r="E784" s="8"/>
      <c r="F784" s="8"/>
      <c r="G784" s="8"/>
      <c r="H784" s="8"/>
      <c r="I784" s="11"/>
      <c r="J784" s="12"/>
      <c r="K784" s="12"/>
      <c r="L784" s="8"/>
      <c r="M784" s="8"/>
      <c r="N784" s="8"/>
      <c r="O784" s="8"/>
      <c r="P784" s="8"/>
      <c r="Q784" s="8">
        <f>IF(B784="","",IF(B784="P","P&amp;10",B784&amp;"D "&amp;C784))</f>
        <v/>
      </c>
      <c r="R784" s="8">
        <f>IF(L784&lt;&gt;"Y","",IF(COUNTIF('DEF_CALL_DECISION_SUPPORT'!$B$1197:$B$1256,SUBSTITUTE(SUBSTITUTE(SUBSTITUTE(E784,"~","~~"),"*","~*"),"?","~?"))&gt;0,"KNOWN","REVIEW: new call; refresh sources"))</f>
        <v/>
      </c>
    </row>
    <row r="785" spans="1:18" ht="25" customHeight="1">
      <c r="A785" s="12"/>
      <c r="B785" s="8"/>
      <c r="C785" s="8"/>
      <c r="D785" s="8"/>
      <c r="E785" s="8"/>
      <c r="F785" s="8"/>
      <c r="G785" s="8"/>
      <c r="H785" s="8"/>
      <c r="I785" s="11"/>
      <c r="J785" s="12"/>
      <c r="K785" s="12"/>
      <c r="L785" s="8"/>
      <c r="M785" s="8"/>
      <c r="N785" s="8"/>
      <c r="O785" s="8"/>
      <c r="P785" s="8"/>
      <c r="Q785" s="8">
        <f>IF(B785="","",IF(B785="P","P&amp;10",B785&amp;"D "&amp;C785))</f>
        <v/>
      </c>
      <c r="R785" s="8">
        <f>IF(L785&lt;&gt;"Y","",IF(COUNTIF('DEF_CALL_DECISION_SUPPORT'!$B$1197:$B$1256,SUBSTITUTE(SUBSTITUTE(SUBSTITUTE(E785,"~","~~"),"*","~*"),"?","~?"))&gt;0,"KNOWN","REVIEW: new call; refresh sources"))</f>
        <v/>
      </c>
    </row>
    <row r="786" spans="1:18" ht="25" customHeight="1">
      <c r="A786" s="12"/>
      <c r="B786" s="8"/>
      <c r="C786" s="8"/>
      <c r="D786" s="8"/>
      <c r="E786" s="8"/>
      <c r="F786" s="8"/>
      <c r="G786" s="8"/>
      <c r="H786" s="8"/>
      <c r="I786" s="11"/>
      <c r="J786" s="12"/>
      <c r="K786" s="12"/>
      <c r="L786" s="8"/>
      <c r="M786" s="8"/>
      <c r="N786" s="8"/>
      <c r="O786" s="8"/>
      <c r="P786" s="8"/>
      <c r="Q786" s="8">
        <f>IF(B786="","",IF(B786="P","P&amp;10",B786&amp;"D "&amp;C786))</f>
        <v/>
      </c>
      <c r="R786" s="8">
        <f>IF(L786&lt;&gt;"Y","",IF(COUNTIF('DEF_CALL_DECISION_SUPPORT'!$B$1197:$B$1256,SUBSTITUTE(SUBSTITUTE(SUBSTITUTE(E786,"~","~~"),"*","~*"),"?","~?"))&gt;0,"KNOWN","REVIEW: new call; refresh sources"))</f>
        <v/>
      </c>
    </row>
    <row r="787" spans="1:18" ht="25" customHeight="1">
      <c r="A787" s="12"/>
      <c r="B787" s="8"/>
      <c r="C787" s="8"/>
      <c r="D787" s="8"/>
      <c r="E787" s="8"/>
      <c r="F787" s="8"/>
      <c r="G787" s="8"/>
      <c r="H787" s="8"/>
      <c r="I787" s="11"/>
      <c r="J787" s="12"/>
      <c r="K787" s="12"/>
      <c r="L787" s="8"/>
      <c r="M787" s="8"/>
      <c r="N787" s="8"/>
      <c r="O787" s="8"/>
      <c r="P787" s="8"/>
      <c r="Q787" s="8">
        <f>IF(B787="","",IF(B787="P","P&amp;10",B787&amp;"D "&amp;C787))</f>
        <v/>
      </c>
      <c r="R787" s="8">
        <f>IF(L787&lt;&gt;"Y","",IF(COUNTIF('DEF_CALL_DECISION_SUPPORT'!$B$1197:$B$1256,SUBSTITUTE(SUBSTITUTE(SUBSTITUTE(E787,"~","~~"),"*","~*"),"?","~?"))&gt;0,"KNOWN","REVIEW: new call; refresh sources"))</f>
        <v/>
      </c>
    </row>
    <row r="788" spans="1:18" ht="25" customHeight="1">
      <c r="A788" s="12"/>
      <c r="B788" s="8"/>
      <c r="C788" s="8"/>
      <c r="D788" s="8"/>
      <c r="E788" s="8"/>
      <c r="F788" s="8"/>
      <c r="G788" s="8"/>
      <c r="H788" s="8"/>
      <c r="I788" s="11"/>
      <c r="J788" s="12"/>
      <c r="K788" s="12"/>
      <c r="L788" s="8"/>
      <c r="M788" s="8"/>
      <c r="N788" s="8"/>
      <c r="O788" s="8"/>
      <c r="P788" s="8"/>
      <c r="Q788" s="8">
        <f>IF(B788="","",IF(B788="P","P&amp;10",B788&amp;"D "&amp;C788))</f>
        <v/>
      </c>
      <c r="R788" s="8">
        <f>IF(L788&lt;&gt;"Y","",IF(COUNTIF('DEF_CALL_DECISION_SUPPORT'!$B$1197:$B$1256,SUBSTITUTE(SUBSTITUTE(SUBSTITUTE(E788,"~","~~"),"*","~*"),"?","~?"))&gt;0,"KNOWN","REVIEW: new call; refresh sources"))</f>
        <v/>
      </c>
    </row>
    <row r="789" spans="1:18" ht="25" customHeight="1">
      <c r="A789" s="12"/>
      <c r="B789" s="8"/>
      <c r="C789" s="8"/>
      <c r="D789" s="8"/>
      <c r="E789" s="8"/>
      <c r="F789" s="8"/>
      <c r="G789" s="8"/>
      <c r="H789" s="8"/>
      <c r="I789" s="11"/>
      <c r="J789" s="12"/>
      <c r="K789" s="12"/>
      <c r="L789" s="8"/>
      <c r="M789" s="8"/>
      <c r="N789" s="8"/>
      <c r="O789" s="8"/>
      <c r="P789" s="8"/>
      <c r="Q789" s="8">
        <f>IF(B789="","",IF(B789="P","P&amp;10",B789&amp;"D "&amp;C789))</f>
        <v/>
      </c>
      <c r="R789" s="8">
        <f>IF(L789&lt;&gt;"Y","",IF(COUNTIF('DEF_CALL_DECISION_SUPPORT'!$B$1197:$B$1256,SUBSTITUTE(SUBSTITUTE(SUBSTITUTE(E789,"~","~~"),"*","~*"),"?","~?"))&gt;0,"KNOWN","REVIEW: new call; refresh sources"))</f>
        <v/>
      </c>
    </row>
    <row r="790" spans="1:18" ht="25" customHeight="1">
      <c r="A790" s="12"/>
      <c r="B790" s="8"/>
      <c r="C790" s="8"/>
      <c r="D790" s="8"/>
      <c r="E790" s="8"/>
      <c r="F790" s="8"/>
      <c r="G790" s="8"/>
      <c r="H790" s="8"/>
      <c r="I790" s="11"/>
      <c r="J790" s="12"/>
      <c r="K790" s="12"/>
      <c r="L790" s="8"/>
      <c r="M790" s="8"/>
      <c r="N790" s="8"/>
      <c r="O790" s="8"/>
      <c r="P790" s="8"/>
      <c r="Q790" s="8">
        <f>IF(B790="","",IF(B790="P","P&amp;10",B790&amp;"D "&amp;C790))</f>
        <v/>
      </c>
      <c r="R790" s="8">
        <f>IF(L790&lt;&gt;"Y","",IF(COUNTIF('DEF_CALL_DECISION_SUPPORT'!$B$1197:$B$1256,SUBSTITUTE(SUBSTITUTE(SUBSTITUTE(E790,"~","~~"),"*","~*"),"?","~?"))&gt;0,"KNOWN","REVIEW: new call; refresh sources"))</f>
        <v/>
      </c>
    </row>
    <row r="791" spans="1:18" ht="25" customHeight="1">
      <c r="A791" s="12"/>
      <c r="B791" s="8"/>
      <c r="C791" s="8"/>
      <c r="D791" s="8"/>
      <c r="E791" s="8"/>
      <c r="F791" s="8"/>
      <c r="G791" s="8"/>
      <c r="H791" s="8"/>
      <c r="I791" s="11"/>
      <c r="J791" s="12"/>
      <c r="K791" s="12"/>
      <c r="L791" s="8"/>
      <c r="M791" s="8"/>
      <c r="N791" s="8"/>
      <c r="O791" s="8"/>
      <c r="P791" s="8"/>
      <c r="Q791" s="8">
        <f>IF(B791="","",IF(B791="P","P&amp;10",B791&amp;"D "&amp;C791))</f>
        <v/>
      </c>
      <c r="R791" s="8">
        <f>IF(L791&lt;&gt;"Y","",IF(COUNTIF('DEF_CALL_DECISION_SUPPORT'!$B$1197:$B$1256,SUBSTITUTE(SUBSTITUTE(SUBSTITUTE(E791,"~","~~"),"*","~*"),"?","~?"))&gt;0,"KNOWN","REVIEW: new call; refresh sources"))</f>
        <v/>
      </c>
    </row>
    <row r="792" spans="1:18" ht="25" customHeight="1">
      <c r="A792" s="12"/>
      <c r="B792" s="8"/>
      <c r="C792" s="8"/>
      <c r="D792" s="8"/>
      <c r="E792" s="8"/>
      <c r="F792" s="8"/>
      <c r="G792" s="8"/>
      <c r="H792" s="8"/>
      <c r="I792" s="11"/>
      <c r="J792" s="12"/>
      <c r="K792" s="12"/>
      <c r="L792" s="8"/>
      <c r="M792" s="8"/>
      <c r="N792" s="8"/>
      <c r="O792" s="8"/>
      <c r="P792" s="8"/>
      <c r="Q792" s="8">
        <f>IF(B792="","",IF(B792="P","P&amp;10",B792&amp;"D "&amp;C792))</f>
        <v/>
      </c>
      <c r="R792" s="8">
        <f>IF(L792&lt;&gt;"Y","",IF(COUNTIF('DEF_CALL_DECISION_SUPPORT'!$B$1197:$B$1256,SUBSTITUTE(SUBSTITUTE(SUBSTITUTE(E792,"~","~~"),"*","~*"),"?","~?"))&gt;0,"KNOWN","REVIEW: new call; refresh sources"))</f>
        <v/>
      </c>
    </row>
    <row r="793" spans="1:18" ht="25" customHeight="1">
      <c r="A793" s="12"/>
      <c r="B793" s="8"/>
      <c r="C793" s="8"/>
      <c r="D793" s="8"/>
      <c r="E793" s="8"/>
      <c r="F793" s="8"/>
      <c r="G793" s="8"/>
      <c r="H793" s="8"/>
      <c r="I793" s="11"/>
      <c r="J793" s="12"/>
      <c r="K793" s="12"/>
      <c r="L793" s="8"/>
      <c r="M793" s="8"/>
      <c r="N793" s="8"/>
      <c r="O793" s="8"/>
      <c r="P793" s="8"/>
      <c r="Q793" s="8">
        <f>IF(B793="","",IF(B793="P","P&amp;10",B793&amp;"D "&amp;C793))</f>
        <v/>
      </c>
      <c r="R793" s="8">
        <f>IF(L793&lt;&gt;"Y","",IF(COUNTIF('DEF_CALL_DECISION_SUPPORT'!$B$1197:$B$1256,SUBSTITUTE(SUBSTITUTE(SUBSTITUTE(E793,"~","~~"),"*","~*"),"?","~?"))&gt;0,"KNOWN","REVIEW: new call; refresh sources"))</f>
        <v/>
      </c>
    </row>
    <row r="794" spans="1:18" ht="25" customHeight="1">
      <c r="A794" s="12"/>
      <c r="B794" s="8"/>
      <c r="C794" s="8"/>
      <c r="D794" s="8"/>
      <c r="E794" s="8"/>
      <c r="F794" s="8"/>
      <c r="G794" s="8"/>
      <c r="H794" s="8"/>
      <c r="I794" s="11"/>
      <c r="J794" s="12"/>
      <c r="K794" s="12"/>
      <c r="L794" s="8"/>
      <c r="M794" s="8"/>
      <c r="N794" s="8"/>
      <c r="O794" s="8"/>
      <c r="P794" s="8"/>
      <c r="Q794" s="8">
        <f>IF(B794="","",IF(B794="P","P&amp;10",B794&amp;"D "&amp;C794))</f>
        <v/>
      </c>
      <c r="R794" s="8">
        <f>IF(L794&lt;&gt;"Y","",IF(COUNTIF('DEF_CALL_DECISION_SUPPORT'!$B$1197:$B$1256,SUBSTITUTE(SUBSTITUTE(SUBSTITUTE(E794,"~","~~"),"*","~*"),"?","~?"))&gt;0,"KNOWN","REVIEW: new call; refresh sources"))</f>
        <v/>
      </c>
    </row>
    <row r="795" spans="1:18" ht="25" customHeight="1">
      <c r="A795" s="12"/>
      <c r="B795" s="8"/>
      <c r="C795" s="8"/>
      <c r="D795" s="8"/>
      <c r="E795" s="8"/>
      <c r="F795" s="8"/>
      <c r="G795" s="8"/>
      <c r="H795" s="8"/>
      <c r="I795" s="11"/>
      <c r="J795" s="12"/>
      <c r="K795" s="12"/>
      <c r="L795" s="8"/>
      <c r="M795" s="8"/>
      <c r="N795" s="8"/>
      <c r="O795" s="8"/>
      <c r="P795" s="8"/>
      <c r="Q795" s="8">
        <f>IF(B795="","",IF(B795="P","P&amp;10",B795&amp;"D "&amp;C795))</f>
        <v/>
      </c>
      <c r="R795" s="8">
        <f>IF(L795&lt;&gt;"Y","",IF(COUNTIF('DEF_CALL_DECISION_SUPPORT'!$B$1197:$B$1256,SUBSTITUTE(SUBSTITUTE(SUBSTITUTE(E795,"~","~~"),"*","~*"),"?","~?"))&gt;0,"KNOWN","REVIEW: new call; refresh sources"))</f>
        <v/>
      </c>
    </row>
    <row r="796" spans="1:18" ht="25" customHeight="1">
      <c r="A796" s="12"/>
      <c r="B796" s="8"/>
      <c r="C796" s="8"/>
      <c r="D796" s="8"/>
      <c r="E796" s="8"/>
      <c r="F796" s="8"/>
      <c r="G796" s="8"/>
      <c r="H796" s="8"/>
      <c r="I796" s="11"/>
      <c r="J796" s="12"/>
      <c r="K796" s="12"/>
      <c r="L796" s="8"/>
      <c r="M796" s="8"/>
      <c r="N796" s="8"/>
      <c r="O796" s="8"/>
      <c r="P796" s="8"/>
      <c r="Q796" s="8">
        <f>IF(B796="","",IF(B796="P","P&amp;10",B796&amp;"D "&amp;C796))</f>
        <v/>
      </c>
      <c r="R796" s="8">
        <f>IF(L796&lt;&gt;"Y","",IF(COUNTIF('DEF_CALL_DECISION_SUPPORT'!$B$1197:$B$1256,SUBSTITUTE(SUBSTITUTE(SUBSTITUTE(E796,"~","~~"),"*","~*"),"?","~?"))&gt;0,"KNOWN","REVIEW: new call; refresh sources"))</f>
        <v/>
      </c>
    </row>
    <row r="797" spans="1:18" ht="25" customHeight="1">
      <c r="A797" s="12"/>
      <c r="B797" s="8"/>
      <c r="C797" s="8"/>
      <c r="D797" s="8"/>
      <c r="E797" s="8"/>
      <c r="F797" s="8"/>
      <c r="G797" s="8"/>
      <c r="H797" s="8"/>
      <c r="I797" s="11"/>
      <c r="J797" s="12"/>
      <c r="K797" s="12"/>
      <c r="L797" s="8"/>
      <c r="M797" s="8"/>
      <c r="N797" s="8"/>
      <c r="O797" s="8"/>
      <c r="P797" s="8"/>
      <c r="Q797" s="8">
        <f>IF(B797="","",IF(B797="P","P&amp;10",B797&amp;"D "&amp;C797))</f>
        <v/>
      </c>
      <c r="R797" s="8">
        <f>IF(L797&lt;&gt;"Y","",IF(COUNTIF('DEF_CALL_DECISION_SUPPORT'!$B$1197:$B$1256,SUBSTITUTE(SUBSTITUTE(SUBSTITUTE(E797,"~","~~"),"*","~*"),"?","~?"))&gt;0,"KNOWN","REVIEW: new call; refresh sources"))</f>
        <v/>
      </c>
    </row>
    <row r="798" spans="1:18" ht="25" customHeight="1">
      <c r="A798" s="12"/>
      <c r="B798" s="8"/>
      <c r="C798" s="8"/>
      <c r="D798" s="8"/>
      <c r="E798" s="8"/>
      <c r="F798" s="8"/>
      <c r="G798" s="8"/>
      <c r="H798" s="8"/>
      <c r="I798" s="11"/>
      <c r="J798" s="12"/>
      <c r="K798" s="12"/>
      <c r="L798" s="8"/>
      <c r="M798" s="8"/>
      <c r="N798" s="8"/>
      <c r="O798" s="8"/>
      <c r="P798" s="8"/>
      <c r="Q798" s="8">
        <f>IF(B798="","",IF(B798="P","P&amp;10",B798&amp;"D "&amp;C798))</f>
        <v/>
      </c>
      <c r="R798" s="8">
        <f>IF(L798&lt;&gt;"Y","",IF(COUNTIF('DEF_CALL_DECISION_SUPPORT'!$B$1197:$B$1256,SUBSTITUTE(SUBSTITUTE(SUBSTITUTE(E798,"~","~~"),"*","~*"),"?","~?"))&gt;0,"KNOWN","REVIEW: new call; refresh sources"))</f>
        <v/>
      </c>
    </row>
    <row r="799" spans="1:18" ht="25" customHeight="1">
      <c r="A799" s="12"/>
      <c r="B799" s="8"/>
      <c r="C799" s="8"/>
      <c r="D799" s="8"/>
      <c r="E799" s="8"/>
      <c r="F799" s="8"/>
      <c r="G799" s="8"/>
      <c r="H799" s="8"/>
      <c r="I799" s="11"/>
      <c r="J799" s="12"/>
      <c r="K799" s="12"/>
      <c r="L799" s="8"/>
      <c r="M799" s="8"/>
      <c r="N799" s="8"/>
      <c r="O799" s="8"/>
      <c r="P799" s="8"/>
      <c r="Q799" s="8">
        <f>IF(B799="","",IF(B799="P","P&amp;10",B799&amp;"D "&amp;C799))</f>
        <v/>
      </c>
      <c r="R799" s="8">
        <f>IF(L799&lt;&gt;"Y","",IF(COUNTIF('DEF_CALL_DECISION_SUPPORT'!$B$1197:$B$1256,SUBSTITUTE(SUBSTITUTE(SUBSTITUTE(E799,"~","~~"),"*","~*"),"?","~?"))&gt;0,"KNOWN","REVIEW: new call; refresh sources"))</f>
        <v/>
      </c>
    </row>
    <row r="800" spans="1:18" ht="25" customHeight="1">
      <c r="A800" s="12"/>
      <c r="B800" s="8"/>
      <c r="C800" s="8"/>
      <c r="D800" s="8"/>
      <c r="E800" s="8"/>
      <c r="F800" s="8"/>
      <c r="G800" s="8"/>
      <c r="H800" s="8"/>
      <c r="I800" s="11"/>
      <c r="J800" s="12"/>
      <c r="K800" s="12"/>
      <c r="L800" s="8"/>
      <c r="M800" s="8"/>
      <c r="N800" s="8"/>
      <c r="O800" s="8"/>
      <c r="P800" s="8"/>
      <c r="Q800" s="8">
        <f>IF(B800="","",IF(B800="P","P&amp;10",B800&amp;"D "&amp;C800))</f>
        <v/>
      </c>
      <c r="R800" s="8">
        <f>IF(L800&lt;&gt;"Y","",IF(COUNTIF('DEF_CALL_DECISION_SUPPORT'!$B$1197:$B$1256,SUBSTITUTE(SUBSTITUTE(SUBSTITUTE(E800,"~","~~"),"*","~*"),"?","~?"))&gt;0,"KNOWN","REVIEW: new call; refresh sources"))</f>
        <v/>
      </c>
    </row>
    <row r="801" spans="1:18" ht="25" customHeight="1">
      <c r="A801" s="12"/>
      <c r="B801" s="8"/>
      <c r="C801" s="8"/>
      <c r="D801" s="8"/>
      <c r="E801" s="8"/>
      <c r="F801" s="8"/>
      <c r="G801" s="8"/>
      <c r="H801" s="8"/>
      <c r="I801" s="11"/>
      <c r="J801" s="12"/>
      <c r="K801" s="12"/>
      <c r="L801" s="8"/>
      <c r="M801" s="8"/>
      <c r="N801" s="8"/>
      <c r="O801" s="8"/>
      <c r="P801" s="8"/>
      <c r="Q801" s="8">
        <f>IF(B801="","",IF(B801="P","P&amp;10",B801&amp;"D "&amp;C801))</f>
        <v/>
      </c>
      <c r="R801" s="8">
        <f>IF(L801&lt;&gt;"Y","",IF(COUNTIF('DEF_CALL_DECISION_SUPPORT'!$B$1197:$B$1256,SUBSTITUTE(SUBSTITUTE(SUBSTITUTE(E801,"~","~~"),"*","~*"),"?","~?"))&gt;0,"KNOWN","REVIEW: new call; refresh sources"))</f>
        <v/>
      </c>
    </row>
    <row r="802" spans="1:18" ht="25" customHeight="1">
      <c r="A802" s="12"/>
      <c r="B802" s="8"/>
      <c r="C802" s="8"/>
      <c r="D802" s="8"/>
      <c r="E802" s="8"/>
      <c r="F802" s="8"/>
      <c r="G802" s="8"/>
      <c r="H802" s="8"/>
      <c r="I802" s="11"/>
      <c r="J802" s="12"/>
      <c r="K802" s="12"/>
      <c r="L802" s="8"/>
      <c r="M802" s="8"/>
      <c r="N802" s="8"/>
      <c r="O802" s="8"/>
      <c r="P802" s="8"/>
      <c r="Q802" s="8">
        <f>IF(B802="","",IF(B802="P","P&amp;10",B802&amp;"D "&amp;C802))</f>
        <v/>
      </c>
      <c r="R802" s="8">
        <f>IF(L802&lt;&gt;"Y","",IF(COUNTIF('DEF_CALL_DECISION_SUPPORT'!$B$1197:$B$1256,SUBSTITUTE(SUBSTITUTE(SUBSTITUTE(E802,"~","~~"),"*","~*"),"?","~?"))&gt;0,"KNOWN","REVIEW: new call; refresh sources"))</f>
        <v/>
      </c>
    </row>
    <row r="803" spans="1:18" ht="25" customHeight="1">
      <c r="A803" s="12"/>
      <c r="B803" s="8"/>
      <c r="C803" s="8"/>
      <c r="D803" s="8"/>
      <c r="E803" s="8"/>
      <c r="F803" s="8"/>
      <c r="G803" s="8"/>
      <c r="H803" s="8"/>
      <c r="I803" s="11"/>
      <c r="J803" s="12"/>
      <c r="K803" s="12"/>
      <c r="L803" s="8"/>
      <c r="M803" s="8"/>
      <c r="N803" s="8"/>
      <c r="O803" s="8"/>
      <c r="P803" s="8"/>
      <c r="Q803" s="8">
        <f>IF(B803="","",IF(B803="P","P&amp;10",B803&amp;"D "&amp;C803))</f>
        <v/>
      </c>
      <c r="R803" s="8">
        <f>IF(L803&lt;&gt;"Y","",IF(COUNTIF('DEF_CALL_DECISION_SUPPORT'!$B$1197:$B$1256,SUBSTITUTE(SUBSTITUTE(SUBSTITUTE(E803,"~","~~"),"*","~*"),"?","~?"))&gt;0,"KNOWN","REVIEW: new call; refresh sources"))</f>
        <v/>
      </c>
    </row>
    <row r="804" spans="1:18" ht="25" customHeight="1">
      <c r="A804" s="12"/>
      <c r="B804" s="8"/>
      <c r="C804" s="8"/>
      <c r="D804" s="8"/>
      <c r="E804" s="8"/>
      <c r="F804" s="8"/>
      <c r="G804" s="8"/>
      <c r="H804" s="8"/>
      <c r="I804" s="11"/>
      <c r="J804" s="12"/>
      <c r="K804" s="12"/>
      <c r="L804" s="8"/>
      <c r="M804" s="8"/>
      <c r="N804" s="8"/>
      <c r="O804" s="8"/>
      <c r="P804" s="8"/>
      <c r="Q804" s="8">
        <f>IF(B804="","",IF(B804="P","P&amp;10",B804&amp;"D "&amp;C804))</f>
        <v/>
      </c>
      <c r="R804" s="8">
        <f>IF(L804&lt;&gt;"Y","",IF(COUNTIF('DEF_CALL_DECISION_SUPPORT'!$B$1197:$B$1256,SUBSTITUTE(SUBSTITUTE(SUBSTITUTE(E804,"~","~~"),"*","~*"),"?","~?"))&gt;0,"KNOWN","REVIEW: new call; refresh sources"))</f>
        <v/>
      </c>
    </row>
    <row r="805" spans="1:18" ht="25" customHeight="1">
      <c r="A805" s="12"/>
      <c r="B805" s="8"/>
      <c r="C805" s="8"/>
      <c r="D805" s="8"/>
      <c r="E805" s="8"/>
      <c r="F805" s="8"/>
      <c r="G805" s="8"/>
      <c r="H805" s="8"/>
      <c r="I805" s="11"/>
      <c r="J805" s="12"/>
      <c r="K805" s="12"/>
      <c r="L805" s="8"/>
      <c r="M805" s="8"/>
      <c r="N805" s="8"/>
      <c r="O805" s="8"/>
      <c r="P805" s="8"/>
      <c r="Q805" s="8">
        <f>IF(B805="","",IF(B805="P","P&amp;10",B805&amp;"D "&amp;C805))</f>
        <v/>
      </c>
      <c r="R805" s="8">
        <f>IF(L805&lt;&gt;"Y","",IF(COUNTIF('DEF_CALL_DECISION_SUPPORT'!$B$1197:$B$1256,SUBSTITUTE(SUBSTITUTE(SUBSTITUTE(E805,"~","~~"),"*","~*"),"?","~?"))&gt;0,"KNOWN","REVIEW: new call; refresh sources"))</f>
        <v/>
      </c>
    </row>
    <row r="806" spans="1:18" ht="25" customHeight="1">
      <c r="A806" s="12"/>
      <c r="B806" s="8"/>
      <c r="C806" s="8"/>
      <c r="D806" s="8"/>
      <c r="E806" s="8"/>
      <c r="F806" s="8"/>
      <c r="G806" s="8"/>
      <c r="H806" s="8"/>
      <c r="I806" s="11"/>
      <c r="J806" s="12"/>
      <c r="K806" s="12"/>
      <c r="L806" s="8"/>
      <c r="M806" s="8"/>
      <c r="N806" s="8"/>
      <c r="O806" s="8"/>
      <c r="P806" s="8"/>
      <c r="Q806" s="8">
        <f>IF(B806="","",IF(B806="P","P&amp;10",B806&amp;"D "&amp;C806))</f>
        <v/>
      </c>
      <c r="R806" s="8">
        <f>IF(L806&lt;&gt;"Y","",IF(COUNTIF('DEF_CALL_DECISION_SUPPORT'!$B$1197:$B$1256,SUBSTITUTE(SUBSTITUTE(SUBSTITUTE(E806,"~","~~"),"*","~*"),"?","~?"))&gt;0,"KNOWN","REVIEW: new call; refresh sources"))</f>
        <v/>
      </c>
    </row>
    <row r="807" spans="1:18" ht="25" customHeight="1">
      <c r="A807" s="12"/>
      <c r="B807" s="8"/>
      <c r="C807" s="8"/>
      <c r="D807" s="8"/>
      <c r="E807" s="8"/>
      <c r="F807" s="8"/>
      <c r="G807" s="8"/>
      <c r="H807" s="8"/>
      <c r="I807" s="11"/>
      <c r="J807" s="12"/>
      <c r="K807" s="12"/>
      <c r="L807" s="8"/>
      <c r="M807" s="8"/>
      <c r="N807" s="8"/>
      <c r="O807" s="8"/>
      <c r="P807" s="8"/>
      <c r="Q807" s="8">
        <f>IF(B807="","",IF(B807="P","P&amp;10",B807&amp;"D "&amp;C807))</f>
        <v/>
      </c>
      <c r="R807" s="8">
        <f>IF(L807&lt;&gt;"Y","",IF(COUNTIF('DEF_CALL_DECISION_SUPPORT'!$B$1197:$B$1256,SUBSTITUTE(SUBSTITUTE(SUBSTITUTE(E807,"~","~~"),"*","~*"),"?","~?"))&gt;0,"KNOWN","REVIEW: new call; refresh sources"))</f>
        <v/>
      </c>
    </row>
    <row r="808" spans="1:18" ht="25" customHeight="1">
      <c r="A808" s="12"/>
      <c r="B808" s="8"/>
      <c r="C808" s="8"/>
      <c r="D808" s="8"/>
      <c r="E808" s="8"/>
      <c r="F808" s="8"/>
      <c r="G808" s="8"/>
      <c r="H808" s="8"/>
      <c r="I808" s="11"/>
      <c r="J808" s="12"/>
      <c r="K808" s="12"/>
      <c r="L808" s="8"/>
      <c r="M808" s="8"/>
      <c r="N808" s="8"/>
      <c r="O808" s="8"/>
      <c r="P808" s="8"/>
      <c r="Q808" s="8">
        <f>IF(B808="","",IF(B808="P","P&amp;10",B808&amp;"D "&amp;C808))</f>
        <v/>
      </c>
      <c r="R808" s="8">
        <f>IF(L808&lt;&gt;"Y","",IF(COUNTIF('DEF_CALL_DECISION_SUPPORT'!$B$1197:$B$1256,SUBSTITUTE(SUBSTITUTE(SUBSTITUTE(E808,"~","~~"),"*","~*"),"?","~?"))&gt;0,"KNOWN","REVIEW: new call; refresh sources"))</f>
        <v/>
      </c>
    </row>
    <row r="809" spans="1:18" ht="25" customHeight="1">
      <c r="A809" s="12"/>
      <c r="B809" s="8"/>
      <c r="C809" s="8"/>
      <c r="D809" s="8"/>
      <c r="E809" s="8"/>
      <c r="F809" s="8"/>
      <c r="G809" s="8"/>
      <c r="H809" s="8"/>
      <c r="I809" s="11"/>
      <c r="J809" s="12"/>
      <c r="K809" s="12"/>
      <c r="L809" s="8"/>
      <c r="M809" s="8"/>
      <c r="N809" s="8"/>
      <c r="O809" s="8"/>
      <c r="P809" s="8"/>
      <c r="Q809" s="8">
        <f>IF(B809="","",IF(B809="P","P&amp;10",B809&amp;"D "&amp;C809))</f>
        <v/>
      </c>
      <c r="R809" s="8">
        <f>IF(L809&lt;&gt;"Y","",IF(COUNTIF('DEF_CALL_DECISION_SUPPORT'!$B$1197:$B$1256,SUBSTITUTE(SUBSTITUTE(SUBSTITUTE(E809,"~","~~"),"*","~*"),"?","~?"))&gt;0,"KNOWN","REVIEW: new call; refresh sources"))</f>
        <v/>
      </c>
    </row>
    <row r="810" spans="1:18" ht="25" customHeight="1">
      <c r="A810" s="12"/>
      <c r="B810" s="8"/>
      <c r="C810" s="8"/>
      <c r="D810" s="8"/>
      <c r="E810" s="8"/>
      <c r="F810" s="8"/>
      <c r="G810" s="8"/>
      <c r="H810" s="8"/>
      <c r="I810" s="11"/>
      <c r="J810" s="12"/>
      <c r="K810" s="12"/>
      <c r="L810" s="8"/>
      <c r="M810" s="8"/>
      <c r="N810" s="8"/>
      <c r="O810" s="8"/>
      <c r="P810" s="8"/>
      <c r="Q810" s="8">
        <f>IF(B810="","",IF(B810="P","P&amp;10",B810&amp;"D "&amp;C810))</f>
        <v/>
      </c>
      <c r="R810" s="8">
        <f>IF(L810&lt;&gt;"Y","",IF(COUNTIF('DEF_CALL_DECISION_SUPPORT'!$B$1197:$B$1256,SUBSTITUTE(SUBSTITUTE(SUBSTITUTE(E810,"~","~~"),"*","~*"),"?","~?"))&gt;0,"KNOWN","REVIEW: new call; refresh sources"))</f>
        <v/>
      </c>
    </row>
    <row r="811" spans="1:18" ht="25" customHeight="1">
      <c r="A811" s="12"/>
      <c r="B811" s="8"/>
      <c r="C811" s="8"/>
      <c r="D811" s="8"/>
      <c r="E811" s="8"/>
      <c r="F811" s="8"/>
      <c r="G811" s="8"/>
      <c r="H811" s="8"/>
      <c r="I811" s="11"/>
      <c r="J811" s="12"/>
      <c r="K811" s="12"/>
      <c r="L811" s="8"/>
      <c r="M811" s="8"/>
      <c r="N811" s="8"/>
      <c r="O811" s="8"/>
      <c r="P811" s="8"/>
      <c r="Q811" s="8">
        <f>IF(B811="","",IF(B811="P","P&amp;10",B811&amp;"D "&amp;C811))</f>
        <v/>
      </c>
      <c r="R811" s="8">
        <f>IF(L811&lt;&gt;"Y","",IF(COUNTIF('DEF_CALL_DECISION_SUPPORT'!$B$1197:$B$1256,SUBSTITUTE(SUBSTITUTE(SUBSTITUTE(E811,"~","~~"),"*","~*"),"?","~?"))&gt;0,"KNOWN","REVIEW: new call; refresh sources"))</f>
        <v/>
      </c>
    </row>
    <row r="812" spans="1:18" ht="25" customHeight="1">
      <c r="A812" s="12"/>
      <c r="B812" s="8"/>
      <c r="C812" s="8"/>
      <c r="D812" s="8"/>
      <c r="E812" s="8"/>
      <c r="F812" s="8"/>
      <c r="G812" s="8"/>
      <c r="H812" s="8"/>
      <c r="I812" s="11"/>
      <c r="J812" s="12"/>
      <c r="K812" s="12"/>
      <c r="L812" s="8"/>
      <c r="M812" s="8"/>
      <c r="N812" s="8"/>
      <c r="O812" s="8"/>
      <c r="P812" s="8"/>
      <c r="Q812" s="8">
        <f>IF(B812="","",IF(B812="P","P&amp;10",B812&amp;"D "&amp;C812))</f>
        <v/>
      </c>
      <c r="R812" s="8">
        <f>IF(L812&lt;&gt;"Y","",IF(COUNTIF('DEF_CALL_DECISION_SUPPORT'!$B$1197:$B$1256,SUBSTITUTE(SUBSTITUTE(SUBSTITUTE(E812,"~","~~"),"*","~*"),"?","~?"))&gt;0,"KNOWN","REVIEW: new call; refresh sources"))</f>
        <v/>
      </c>
    </row>
    <row r="813" spans="1:18" ht="25" customHeight="1">
      <c r="A813" s="12"/>
      <c r="B813" s="8"/>
      <c r="C813" s="8"/>
      <c r="D813" s="8"/>
      <c r="E813" s="8"/>
      <c r="F813" s="8"/>
      <c r="G813" s="8"/>
      <c r="H813" s="8"/>
      <c r="I813" s="11"/>
      <c r="J813" s="12"/>
      <c r="K813" s="12"/>
      <c r="L813" s="8"/>
      <c r="M813" s="8"/>
      <c r="N813" s="8"/>
      <c r="O813" s="8"/>
      <c r="P813" s="8"/>
      <c r="Q813" s="8">
        <f>IF(B813="","",IF(B813="P","P&amp;10",B813&amp;"D "&amp;C813))</f>
        <v/>
      </c>
      <c r="R813" s="8">
        <f>IF(L813&lt;&gt;"Y","",IF(COUNTIF('DEF_CALL_DECISION_SUPPORT'!$B$1197:$B$1256,SUBSTITUTE(SUBSTITUTE(SUBSTITUTE(E813,"~","~~"),"*","~*"),"?","~?"))&gt;0,"KNOWN","REVIEW: new call; refresh sources"))</f>
        <v/>
      </c>
    </row>
    <row r="814" spans="1:18" ht="25" customHeight="1">
      <c r="A814" s="12"/>
      <c r="B814" s="8"/>
      <c r="C814" s="8"/>
      <c r="D814" s="8"/>
      <c r="E814" s="8"/>
      <c r="F814" s="8"/>
      <c r="G814" s="8"/>
      <c r="H814" s="8"/>
      <c r="I814" s="11"/>
      <c r="J814" s="12"/>
      <c r="K814" s="12"/>
      <c r="L814" s="8"/>
      <c r="M814" s="8"/>
      <c r="N814" s="8"/>
      <c r="O814" s="8"/>
      <c r="P814" s="8"/>
      <c r="Q814" s="8">
        <f>IF(B814="","",IF(B814="P","P&amp;10",B814&amp;"D "&amp;C814))</f>
        <v/>
      </c>
      <c r="R814" s="8">
        <f>IF(L814&lt;&gt;"Y","",IF(COUNTIF('DEF_CALL_DECISION_SUPPORT'!$B$1197:$B$1256,SUBSTITUTE(SUBSTITUTE(SUBSTITUTE(E814,"~","~~"),"*","~*"),"?","~?"))&gt;0,"KNOWN","REVIEW: new call; refresh sources"))</f>
        <v/>
      </c>
    </row>
    <row r="815" spans="1:18" ht="25" customHeight="1">
      <c r="A815" s="12"/>
      <c r="B815" s="8"/>
      <c r="C815" s="8"/>
      <c r="D815" s="8"/>
      <c r="E815" s="8"/>
      <c r="F815" s="8"/>
      <c r="G815" s="8"/>
      <c r="H815" s="8"/>
      <c r="I815" s="11"/>
      <c r="J815" s="12"/>
      <c r="K815" s="12"/>
      <c r="L815" s="8"/>
      <c r="M815" s="8"/>
      <c r="N815" s="8"/>
      <c r="O815" s="8"/>
      <c r="P815" s="8"/>
      <c r="Q815" s="8">
        <f>IF(B815="","",IF(B815="P","P&amp;10",B815&amp;"D "&amp;C815))</f>
        <v/>
      </c>
      <c r="R815" s="8">
        <f>IF(L815&lt;&gt;"Y","",IF(COUNTIF('DEF_CALL_DECISION_SUPPORT'!$B$1197:$B$1256,SUBSTITUTE(SUBSTITUTE(SUBSTITUTE(E815,"~","~~"),"*","~*"),"?","~?"))&gt;0,"KNOWN","REVIEW: new call; refresh sources"))</f>
        <v/>
      </c>
    </row>
    <row r="816" spans="1:18" ht="25" customHeight="1">
      <c r="A816" s="12"/>
      <c r="B816" s="8"/>
      <c r="C816" s="8"/>
      <c r="D816" s="8"/>
      <c r="E816" s="8"/>
      <c r="F816" s="8"/>
      <c r="G816" s="8"/>
      <c r="H816" s="8"/>
      <c r="I816" s="11"/>
      <c r="J816" s="12"/>
      <c r="K816" s="12"/>
      <c r="L816" s="8"/>
      <c r="M816" s="8"/>
      <c r="N816" s="8"/>
      <c r="O816" s="8"/>
      <c r="P816" s="8"/>
      <c r="Q816" s="8">
        <f>IF(B816="","",IF(B816="P","P&amp;10",B816&amp;"D "&amp;C816))</f>
        <v/>
      </c>
      <c r="R816" s="8">
        <f>IF(L816&lt;&gt;"Y","",IF(COUNTIF('DEF_CALL_DECISION_SUPPORT'!$B$1197:$B$1256,SUBSTITUTE(SUBSTITUTE(SUBSTITUTE(E816,"~","~~"),"*","~*"),"?","~?"))&gt;0,"KNOWN","REVIEW: new call; refresh sources"))</f>
        <v/>
      </c>
    </row>
    <row r="817" spans="1:18" ht="25" customHeight="1">
      <c r="A817" s="12"/>
      <c r="B817" s="8"/>
      <c r="C817" s="8"/>
      <c r="D817" s="8"/>
      <c r="E817" s="8"/>
      <c r="F817" s="8"/>
      <c r="G817" s="8"/>
      <c r="H817" s="8"/>
      <c r="I817" s="11"/>
      <c r="J817" s="12"/>
      <c r="K817" s="12"/>
      <c r="L817" s="8"/>
      <c r="M817" s="8"/>
      <c r="N817" s="8"/>
      <c r="O817" s="8"/>
      <c r="P817" s="8"/>
      <c r="Q817" s="8">
        <f>IF(B817="","",IF(B817="P","P&amp;10",B817&amp;"D "&amp;C817))</f>
        <v/>
      </c>
      <c r="R817" s="8">
        <f>IF(L817&lt;&gt;"Y","",IF(COUNTIF('DEF_CALL_DECISION_SUPPORT'!$B$1197:$B$1256,SUBSTITUTE(SUBSTITUTE(SUBSTITUTE(E817,"~","~~"),"*","~*"),"?","~?"))&gt;0,"KNOWN","REVIEW: new call; refresh sources"))</f>
        <v/>
      </c>
    </row>
    <row r="818" spans="1:18" ht="25" customHeight="1">
      <c r="A818" s="12"/>
      <c r="B818" s="8"/>
      <c r="C818" s="8"/>
      <c r="D818" s="8"/>
      <c r="E818" s="8"/>
      <c r="F818" s="8"/>
      <c r="G818" s="8"/>
      <c r="H818" s="8"/>
      <c r="I818" s="11"/>
      <c r="J818" s="12"/>
      <c r="K818" s="12"/>
      <c r="L818" s="8"/>
      <c r="M818" s="8"/>
      <c r="N818" s="8"/>
      <c r="O818" s="8"/>
      <c r="P818" s="8"/>
      <c r="Q818" s="8">
        <f>IF(B818="","",IF(B818="P","P&amp;10",B818&amp;"D "&amp;C818))</f>
        <v/>
      </c>
      <c r="R818" s="8">
        <f>IF(L818&lt;&gt;"Y","",IF(COUNTIF('DEF_CALL_DECISION_SUPPORT'!$B$1197:$B$1256,SUBSTITUTE(SUBSTITUTE(SUBSTITUTE(E818,"~","~~"),"*","~*"),"?","~?"))&gt;0,"KNOWN","REVIEW: new call; refresh sources"))</f>
        <v/>
      </c>
    </row>
    <row r="819" spans="1:18" ht="25" customHeight="1">
      <c r="A819" s="12"/>
      <c r="B819" s="8"/>
      <c r="C819" s="8"/>
      <c r="D819" s="8"/>
      <c r="E819" s="8"/>
      <c r="F819" s="8"/>
      <c r="G819" s="8"/>
      <c r="H819" s="8"/>
      <c r="I819" s="11"/>
      <c r="J819" s="12"/>
      <c r="K819" s="12"/>
      <c r="L819" s="8"/>
      <c r="M819" s="8"/>
      <c r="N819" s="8"/>
      <c r="O819" s="8"/>
      <c r="P819" s="8"/>
      <c r="Q819" s="8">
        <f>IF(B819="","",IF(B819="P","P&amp;10",B819&amp;"D "&amp;C819))</f>
        <v/>
      </c>
      <c r="R819" s="8">
        <f>IF(L819&lt;&gt;"Y","",IF(COUNTIF('DEF_CALL_DECISION_SUPPORT'!$B$1197:$B$1256,SUBSTITUTE(SUBSTITUTE(SUBSTITUTE(E819,"~","~~"),"*","~*"),"?","~?"))&gt;0,"KNOWN","REVIEW: new call; refresh sources"))</f>
        <v/>
      </c>
    </row>
    <row r="820" spans="1:18" ht="25" customHeight="1">
      <c r="A820" s="12"/>
      <c r="B820" s="8"/>
      <c r="C820" s="8"/>
      <c r="D820" s="8"/>
      <c r="E820" s="8"/>
      <c r="F820" s="8"/>
      <c r="G820" s="8"/>
      <c r="H820" s="8"/>
      <c r="I820" s="11"/>
      <c r="J820" s="12"/>
      <c r="K820" s="12"/>
      <c r="L820" s="8"/>
      <c r="M820" s="8"/>
      <c r="N820" s="8"/>
      <c r="O820" s="8"/>
      <c r="P820" s="8"/>
      <c r="Q820" s="8">
        <f>IF(B820="","",IF(B820="P","P&amp;10",B820&amp;"D "&amp;C820))</f>
        <v/>
      </c>
      <c r="R820" s="8">
        <f>IF(L820&lt;&gt;"Y","",IF(COUNTIF('DEF_CALL_DECISION_SUPPORT'!$B$1197:$B$1256,SUBSTITUTE(SUBSTITUTE(SUBSTITUTE(E820,"~","~~"),"*","~*"),"?","~?"))&gt;0,"KNOWN","REVIEW: new call; refresh sources"))</f>
        <v/>
      </c>
    </row>
    <row r="821" spans="1:18" ht="25" customHeight="1">
      <c r="A821" s="12"/>
      <c r="B821" s="8"/>
      <c r="C821" s="8"/>
      <c r="D821" s="8"/>
      <c r="E821" s="8"/>
      <c r="F821" s="8"/>
      <c r="G821" s="8"/>
      <c r="H821" s="8"/>
      <c r="I821" s="11"/>
      <c r="J821" s="12"/>
      <c r="K821" s="12"/>
      <c r="L821" s="8"/>
      <c r="M821" s="8"/>
      <c r="N821" s="8"/>
      <c r="O821" s="8"/>
      <c r="P821" s="8"/>
      <c r="Q821" s="8">
        <f>IF(B821="","",IF(B821="P","P&amp;10",B821&amp;"D "&amp;C821))</f>
        <v/>
      </c>
      <c r="R821" s="8">
        <f>IF(L821&lt;&gt;"Y","",IF(COUNTIF('DEF_CALL_DECISION_SUPPORT'!$B$1197:$B$1256,SUBSTITUTE(SUBSTITUTE(SUBSTITUTE(E821,"~","~~"),"*","~*"),"?","~?"))&gt;0,"KNOWN","REVIEW: new call; refresh sources"))</f>
        <v/>
      </c>
    </row>
    <row r="822" spans="1:18" ht="25" customHeight="1">
      <c r="A822" s="12"/>
      <c r="B822" s="8"/>
      <c r="C822" s="8"/>
      <c r="D822" s="8"/>
      <c r="E822" s="8"/>
      <c r="F822" s="8"/>
      <c r="G822" s="8"/>
      <c r="H822" s="8"/>
      <c r="I822" s="11"/>
      <c r="J822" s="12"/>
      <c r="K822" s="12"/>
      <c r="L822" s="8"/>
      <c r="M822" s="8"/>
      <c r="N822" s="8"/>
      <c r="O822" s="8"/>
      <c r="P822" s="8"/>
      <c r="Q822" s="8">
        <f>IF(B822="","",IF(B822="P","P&amp;10",B822&amp;"D "&amp;C822))</f>
        <v/>
      </c>
      <c r="R822" s="8">
        <f>IF(L822&lt;&gt;"Y","",IF(COUNTIF('DEF_CALL_DECISION_SUPPORT'!$B$1197:$B$1256,SUBSTITUTE(SUBSTITUTE(SUBSTITUTE(E822,"~","~~"),"*","~*"),"?","~?"))&gt;0,"KNOWN","REVIEW: new call; refresh sources"))</f>
        <v/>
      </c>
    </row>
    <row r="823" spans="1:18" ht="25" customHeight="1">
      <c r="A823" s="12"/>
      <c r="B823" s="8"/>
      <c r="C823" s="8"/>
      <c r="D823" s="8"/>
      <c r="E823" s="8"/>
      <c r="F823" s="8"/>
      <c r="G823" s="8"/>
      <c r="H823" s="8"/>
      <c r="I823" s="11"/>
      <c r="J823" s="12"/>
      <c r="K823" s="12"/>
      <c r="L823" s="8"/>
      <c r="M823" s="8"/>
      <c r="N823" s="8"/>
      <c r="O823" s="8"/>
      <c r="P823" s="8"/>
      <c r="Q823" s="8">
        <f>IF(B823="","",IF(B823="P","P&amp;10",B823&amp;"D "&amp;C823))</f>
        <v/>
      </c>
      <c r="R823" s="8">
        <f>IF(L823&lt;&gt;"Y","",IF(COUNTIF('DEF_CALL_DECISION_SUPPORT'!$B$1197:$B$1256,SUBSTITUTE(SUBSTITUTE(SUBSTITUTE(E823,"~","~~"),"*","~*"),"?","~?"))&gt;0,"KNOWN","REVIEW: new call; refresh sources"))</f>
        <v/>
      </c>
    </row>
    <row r="824" spans="1:18" ht="25" customHeight="1">
      <c r="A824" s="12"/>
      <c r="B824" s="8"/>
      <c r="C824" s="8"/>
      <c r="D824" s="8"/>
      <c r="E824" s="8"/>
      <c r="F824" s="8"/>
      <c r="G824" s="8"/>
      <c r="H824" s="8"/>
      <c r="I824" s="11"/>
      <c r="J824" s="12"/>
      <c r="K824" s="12"/>
      <c r="L824" s="8"/>
      <c r="M824" s="8"/>
      <c r="N824" s="8"/>
      <c r="O824" s="8"/>
      <c r="P824" s="8"/>
      <c r="Q824" s="8">
        <f>IF(B824="","",IF(B824="P","P&amp;10",B824&amp;"D "&amp;C824))</f>
        <v/>
      </c>
      <c r="R824" s="8">
        <f>IF(L824&lt;&gt;"Y","",IF(COUNTIF('DEF_CALL_DECISION_SUPPORT'!$B$1197:$B$1256,SUBSTITUTE(SUBSTITUTE(SUBSTITUTE(E824,"~","~~"),"*","~*"),"?","~?"))&gt;0,"KNOWN","REVIEW: new call; refresh sources"))</f>
        <v/>
      </c>
    </row>
    <row r="825" spans="1:18" ht="25" customHeight="1">
      <c r="A825" s="12"/>
      <c r="B825" s="8"/>
      <c r="C825" s="8"/>
      <c r="D825" s="8"/>
      <c r="E825" s="8"/>
      <c r="F825" s="8"/>
      <c r="G825" s="8"/>
      <c r="H825" s="8"/>
      <c r="I825" s="11"/>
      <c r="J825" s="12"/>
      <c r="K825" s="12"/>
      <c r="L825" s="8"/>
      <c r="M825" s="8"/>
      <c r="N825" s="8"/>
      <c r="O825" s="8"/>
      <c r="P825" s="8"/>
      <c r="Q825" s="8">
        <f>IF(B825="","",IF(B825="P","P&amp;10",B825&amp;"D "&amp;C825))</f>
        <v/>
      </c>
      <c r="R825" s="8">
        <f>IF(L825&lt;&gt;"Y","",IF(COUNTIF('DEF_CALL_DECISION_SUPPORT'!$B$1197:$B$1256,SUBSTITUTE(SUBSTITUTE(SUBSTITUTE(E825,"~","~~"),"*","~*"),"?","~?"))&gt;0,"KNOWN","REVIEW: new call; refresh sources"))</f>
        <v/>
      </c>
    </row>
    <row r="826" spans="1:18" ht="25" customHeight="1">
      <c r="A826" s="12"/>
      <c r="B826" s="8"/>
      <c r="C826" s="8"/>
      <c r="D826" s="8"/>
      <c r="E826" s="8"/>
      <c r="F826" s="8"/>
      <c r="G826" s="8"/>
      <c r="H826" s="8"/>
      <c r="I826" s="11"/>
      <c r="J826" s="12"/>
      <c r="K826" s="12"/>
      <c r="L826" s="8"/>
      <c r="M826" s="8"/>
      <c r="N826" s="8"/>
      <c r="O826" s="8"/>
      <c r="P826" s="8"/>
      <c r="Q826" s="8">
        <f>IF(B826="","",IF(B826="P","P&amp;10",B826&amp;"D "&amp;C826))</f>
        <v/>
      </c>
      <c r="R826" s="8">
        <f>IF(L826&lt;&gt;"Y","",IF(COUNTIF('DEF_CALL_DECISION_SUPPORT'!$B$1197:$B$1256,SUBSTITUTE(SUBSTITUTE(SUBSTITUTE(E826,"~","~~"),"*","~*"),"?","~?"))&gt;0,"KNOWN","REVIEW: new call; refresh sources"))</f>
        <v/>
      </c>
    </row>
    <row r="827" spans="1:18" ht="25" customHeight="1">
      <c r="A827" s="12"/>
      <c r="B827" s="8"/>
      <c r="C827" s="8"/>
      <c r="D827" s="8"/>
      <c r="E827" s="8"/>
      <c r="F827" s="8"/>
      <c r="G827" s="8"/>
      <c r="H827" s="8"/>
      <c r="I827" s="11"/>
      <c r="J827" s="12"/>
      <c r="K827" s="12"/>
      <c r="L827" s="8"/>
      <c r="M827" s="8"/>
      <c r="N827" s="8"/>
      <c r="O827" s="8"/>
      <c r="P827" s="8"/>
      <c r="Q827" s="8">
        <f>IF(B827="","",IF(B827="P","P&amp;10",B827&amp;"D "&amp;C827))</f>
        <v/>
      </c>
      <c r="R827" s="8">
        <f>IF(L827&lt;&gt;"Y","",IF(COUNTIF('DEF_CALL_DECISION_SUPPORT'!$B$1197:$B$1256,SUBSTITUTE(SUBSTITUTE(SUBSTITUTE(E827,"~","~~"),"*","~*"),"?","~?"))&gt;0,"KNOWN","REVIEW: new call; refresh sources"))</f>
        <v/>
      </c>
    </row>
    <row r="828" spans="1:18" ht="25" customHeight="1">
      <c r="A828" s="12"/>
      <c r="B828" s="8"/>
      <c r="C828" s="8"/>
      <c r="D828" s="8"/>
      <c r="E828" s="8"/>
      <c r="F828" s="8"/>
      <c r="G828" s="8"/>
      <c r="H828" s="8"/>
      <c r="I828" s="11"/>
      <c r="J828" s="12"/>
      <c r="K828" s="12"/>
      <c r="L828" s="8"/>
      <c r="M828" s="8"/>
      <c r="N828" s="8"/>
      <c r="O828" s="8"/>
      <c r="P828" s="8"/>
      <c r="Q828" s="8">
        <f>IF(B828="","",IF(B828="P","P&amp;10",B828&amp;"D "&amp;C828))</f>
        <v/>
      </c>
      <c r="R828" s="8">
        <f>IF(L828&lt;&gt;"Y","",IF(COUNTIF('DEF_CALL_DECISION_SUPPORT'!$B$1197:$B$1256,SUBSTITUTE(SUBSTITUTE(SUBSTITUTE(E828,"~","~~"),"*","~*"),"?","~?"))&gt;0,"KNOWN","REVIEW: new call; refresh sources"))</f>
        <v/>
      </c>
    </row>
    <row r="829" spans="1:18" ht="25" customHeight="1">
      <c r="A829" s="12"/>
      <c r="B829" s="8"/>
      <c r="C829" s="8"/>
      <c r="D829" s="8"/>
      <c r="E829" s="8"/>
      <c r="F829" s="8"/>
      <c r="G829" s="8"/>
      <c r="H829" s="8"/>
      <c r="I829" s="11"/>
      <c r="J829" s="12"/>
      <c r="K829" s="12"/>
      <c r="L829" s="8"/>
      <c r="M829" s="8"/>
      <c r="N829" s="8"/>
      <c r="O829" s="8"/>
      <c r="P829" s="8"/>
      <c r="Q829" s="8">
        <f>IF(B829="","",IF(B829="P","P&amp;10",B829&amp;"D "&amp;C829))</f>
        <v/>
      </c>
      <c r="R829" s="8">
        <f>IF(L829&lt;&gt;"Y","",IF(COUNTIF('DEF_CALL_DECISION_SUPPORT'!$B$1197:$B$1256,SUBSTITUTE(SUBSTITUTE(SUBSTITUTE(E829,"~","~~"),"*","~*"),"?","~?"))&gt;0,"KNOWN","REVIEW: new call; refresh sources"))</f>
        <v/>
      </c>
    </row>
    <row r="830" spans="1:18" ht="25" customHeight="1">
      <c r="A830" s="12"/>
      <c r="B830" s="8"/>
      <c r="C830" s="8"/>
      <c r="D830" s="8"/>
      <c r="E830" s="8"/>
      <c r="F830" s="8"/>
      <c r="G830" s="8"/>
      <c r="H830" s="8"/>
      <c r="I830" s="11"/>
      <c r="J830" s="12"/>
      <c r="K830" s="12"/>
      <c r="L830" s="8"/>
      <c r="M830" s="8"/>
      <c r="N830" s="8"/>
      <c r="O830" s="8"/>
      <c r="P830" s="8"/>
      <c r="Q830" s="8">
        <f>IF(B830="","",IF(B830="P","P&amp;10",B830&amp;"D "&amp;C830))</f>
        <v/>
      </c>
      <c r="R830" s="8">
        <f>IF(L830&lt;&gt;"Y","",IF(COUNTIF('DEF_CALL_DECISION_SUPPORT'!$B$1197:$B$1256,SUBSTITUTE(SUBSTITUTE(SUBSTITUTE(E830,"~","~~"),"*","~*"),"?","~?"))&gt;0,"KNOWN","REVIEW: new call; refresh sources"))</f>
        <v/>
      </c>
    </row>
    <row r="831" spans="1:18" ht="25" customHeight="1">
      <c r="A831" s="12"/>
      <c r="B831" s="8"/>
      <c r="C831" s="8"/>
      <c r="D831" s="8"/>
      <c r="E831" s="8"/>
      <c r="F831" s="8"/>
      <c r="G831" s="8"/>
      <c r="H831" s="8"/>
      <c r="I831" s="11"/>
      <c r="J831" s="12"/>
      <c r="K831" s="12"/>
      <c r="L831" s="8"/>
      <c r="M831" s="8"/>
      <c r="N831" s="8"/>
      <c r="O831" s="8"/>
      <c r="P831" s="8"/>
      <c r="Q831" s="8">
        <f>IF(B831="","",IF(B831="P","P&amp;10",B831&amp;"D "&amp;C831))</f>
        <v/>
      </c>
      <c r="R831" s="8">
        <f>IF(L831&lt;&gt;"Y","",IF(COUNTIF('DEF_CALL_DECISION_SUPPORT'!$B$1197:$B$1256,SUBSTITUTE(SUBSTITUTE(SUBSTITUTE(E831,"~","~~"),"*","~*"),"?","~?"))&gt;0,"KNOWN","REVIEW: new call; refresh sources"))</f>
        <v/>
      </c>
    </row>
    <row r="832" spans="1:18" ht="25" customHeight="1">
      <c r="A832" s="12"/>
      <c r="B832" s="8"/>
      <c r="C832" s="8"/>
      <c r="D832" s="8"/>
      <c r="E832" s="8"/>
      <c r="F832" s="8"/>
      <c r="G832" s="8"/>
      <c r="H832" s="8"/>
      <c r="I832" s="11"/>
      <c r="J832" s="12"/>
      <c r="K832" s="12"/>
      <c r="L832" s="8"/>
      <c r="M832" s="8"/>
      <c r="N832" s="8"/>
      <c r="O832" s="8"/>
      <c r="P832" s="8"/>
      <c r="Q832" s="8">
        <f>IF(B832="","",IF(B832="P","P&amp;10",B832&amp;"D "&amp;C832))</f>
        <v/>
      </c>
      <c r="R832" s="8">
        <f>IF(L832&lt;&gt;"Y","",IF(COUNTIF('DEF_CALL_DECISION_SUPPORT'!$B$1197:$B$1256,SUBSTITUTE(SUBSTITUTE(SUBSTITUTE(E832,"~","~~"),"*","~*"),"?","~?"))&gt;0,"KNOWN","REVIEW: new call; refresh sources"))</f>
        <v/>
      </c>
    </row>
    <row r="833" spans="1:18" ht="25" customHeight="1">
      <c r="A833" s="12"/>
      <c r="B833" s="8"/>
      <c r="C833" s="8"/>
      <c r="D833" s="8"/>
      <c r="E833" s="8"/>
      <c r="F833" s="8"/>
      <c r="G833" s="8"/>
      <c r="H833" s="8"/>
      <c r="I833" s="11"/>
      <c r="J833" s="12"/>
      <c r="K833" s="12"/>
      <c r="L833" s="8"/>
      <c r="M833" s="8"/>
      <c r="N833" s="8"/>
      <c r="O833" s="8"/>
      <c r="P833" s="8"/>
      <c r="Q833" s="8">
        <f>IF(B833="","",IF(B833="P","P&amp;10",B833&amp;"D "&amp;C833))</f>
        <v/>
      </c>
      <c r="R833" s="8">
        <f>IF(L833&lt;&gt;"Y","",IF(COUNTIF('DEF_CALL_DECISION_SUPPORT'!$B$1197:$B$1256,SUBSTITUTE(SUBSTITUTE(SUBSTITUTE(E833,"~","~~"),"*","~*"),"?","~?"))&gt;0,"KNOWN","REVIEW: new call; refresh sources"))</f>
        <v/>
      </c>
    </row>
    <row r="834" spans="1:18" ht="25" customHeight="1">
      <c r="A834" s="12"/>
      <c r="B834" s="8"/>
      <c r="C834" s="8"/>
      <c r="D834" s="8"/>
      <c r="E834" s="8"/>
      <c r="F834" s="8"/>
      <c r="G834" s="8"/>
      <c r="H834" s="8"/>
      <c r="I834" s="11"/>
      <c r="J834" s="12"/>
      <c r="K834" s="12"/>
      <c r="L834" s="8"/>
      <c r="M834" s="8"/>
      <c r="N834" s="8"/>
      <c r="O834" s="8"/>
      <c r="P834" s="8"/>
      <c r="Q834" s="8">
        <f>IF(B834="","",IF(B834="P","P&amp;10",B834&amp;"D "&amp;C834))</f>
        <v/>
      </c>
      <c r="R834" s="8">
        <f>IF(L834&lt;&gt;"Y","",IF(COUNTIF('DEF_CALL_DECISION_SUPPORT'!$B$1197:$B$1256,SUBSTITUTE(SUBSTITUTE(SUBSTITUTE(E834,"~","~~"),"*","~*"),"?","~?"))&gt;0,"KNOWN","REVIEW: new call; refresh sources"))</f>
        <v/>
      </c>
    </row>
    <row r="835" spans="1:18" ht="25" customHeight="1">
      <c r="A835" s="12"/>
      <c r="B835" s="8"/>
      <c r="C835" s="8"/>
      <c r="D835" s="8"/>
      <c r="E835" s="8"/>
      <c r="F835" s="8"/>
      <c r="G835" s="8"/>
      <c r="H835" s="8"/>
      <c r="I835" s="11"/>
      <c r="J835" s="12"/>
      <c r="K835" s="12"/>
      <c r="L835" s="8"/>
      <c r="M835" s="8"/>
      <c r="N835" s="8"/>
      <c r="O835" s="8"/>
      <c r="P835" s="8"/>
      <c r="Q835" s="8">
        <f>IF(B835="","",IF(B835="P","P&amp;10",B835&amp;"D "&amp;C835))</f>
        <v/>
      </c>
      <c r="R835" s="8">
        <f>IF(L835&lt;&gt;"Y","",IF(COUNTIF('DEF_CALL_DECISION_SUPPORT'!$B$1197:$B$1256,SUBSTITUTE(SUBSTITUTE(SUBSTITUTE(E835,"~","~~"),"*","~*"),"?","~?"))&gt;0,"KNOWN","REVIEW: new call; refresh sources"))</f>
        <v/>
      </c>
    </row>
    <row r="836" spans="1:18" ht="25" customHeight="1">
      <c r="A836" s="12"/>
      <c r="B836" s="8"/>
      <c r="C836" s="8"/>
      <c r="D836" s="8"/>
      <c r="E836" s="8"/>
      <c r="F836" s="8"/>
      <c r="G836" s="8"/>
      <c r="H836" s="8"/>
      <c r="I836" s="11"/>
      <c r="J836" s="12"/>
      <c r="K836" s="12"/>
      <c r="L836" s="8"/>
      <c r="M836" s="8"/>
      <c r="N836" s="8"/>
      <c r="O836" s="8"/>
      <c r="P836" s="8"/>
      <c r="Q836" s="8">
        <f>IF(B836="","",IF(B836="P","P&amp;10",B836&amp;"D "&amp;C836))</f>
        <v/>
      </c>
      <c r="R836" s="8">
        <f>IF(L836&lt;&gt;"Y","",IF(COUNTIF('DEF_CALL_DECISION_SUPPORT'!$B$1197:$B$1256,SUBSTITUTE(SUBSTITUTE(SUBSTITUTE(E836,"~","~~"),"*","~*"),"?","~?"))&gt;0,"KNOWN","REVIEW: new call; refresh sources"))</f>
        <v/>
      </c>
    </row>
    <row r="837" spans="1:18" ht="25" customHeight="1">
      <c r="A837" s="12"/>
      <c r="B837" s="8"/>
      <c r="C837" s="8"/>
      <c r="D837" s="8"/>
      <c r="E837" s="8"/>
      <c r="F837" s="8"/>
      <c r="G837" s="8"/>
      <c r="H837" s="8"/>
      <c r="I837" s="11"/>
      <c r="J837" s="12"/>
      <c r="K837" s="12"/>
      <c r="L837" s="8"/>
      <c r="M837" s="8"/>
      <c r="N837" s="8"/>
      <c r="O837" s="8"/>
      <c r="P837" s="8"/>
      <c r="Q837" s="8">
        <f>IF(B837="","",IF(B837="P","P&amp;10",B837&amp;"D "&amp;C837))</f>
        <v/>
      </c>
      <c r="R837" s="8">
        <f>IF(L837&lt;&gt;"Y","",IF(COUNTIF('DEF_CALL_DECISION_SUPPORT'!$B$1197:$B$1256,SUBSTITUTE(SUBSTITUTE(SUBSTITUTE(E837,"~","~~"),"*","~*"),"?","~?"))&gt;0,"KNOWN","REVIEW: new call; refresh sources"))</f>
        <v/>
      </c>
    </row>
    <row r="838" spans="1:18" ht="25" customHeight="1">
      <c r="A838" s="12"/>
      <c r="B838" s="8"/>
      <c r="C838" s="8"/>
      <c r="D838" s="8"/>
      <c r="E838" s="8"/>
      <c r="F838" s="8"/>
      <c r="G838" s="8"/>
      <c r="H838" s="8"/>
      <c r="I838" s="11"/>
      <c r="J838" s="12"/>
      <c r="K838" s="12"/>
      <c r="L838" s="8"/>
      <c r="M838" s="8"/>
      <c r="N838" s="8"/>
      <c r="O838" s="8"/>
      <c r="P838" s="8"/>
      <c r="Q838" s="8">
        <f>IF(B838="","",IF(B838="P","P&amp;10",B838&amp;"D "&amp;C838))</f>
        <v/>
      </c>
      <c r="R838" s="8">
        <f>IF(L838&lt;&gt;"Y","",IF(COUNTIF('DEF_CALL_DECISION_SUPPORT'!$B$1197:$B$1256,SUBSTITUTE(SUBSTITUTE(SUBSTITUTE(E838,"~","~~"),"*","~*"),"?","~?"))&gt;0,"KNOWN","REVIEW: new call; refresh sources"))</f>
        <v/>
      </c>
    </row>
    <row r="839" spans="1:18" ht="25" customHeight="1">
      <c r="A839" s="12"/>
      <c r="B839" s="8"/>
      <c r="C839" s="8"/>
      <c r="D839" s="8"/>
      <c r="E839" s="8"/>
      <c r="F839" s="8"/>
      <c r="G839" s="8"/>
      <c r="H839" s="8"/>
      <c r="I839" s="11"/>
      <c r="J839" s="12"/>
      <c r="K839" s="12"/>
      <c r="L839" s="8"/>
      <c r="M839" s="8"/>
      <c r="N839" s="8"/>
      <c r="O839" s="8"/>
      <c r="P839" s="8"/>
      <c r="Q839" s="8">
        <f>IF(B839="","",IF(B839="P","P&amp;10",B839&amp;"D "&amp;C839))</f>
        <v/>
      </c>
      <c r="R839" s="8">
        <f>IF(L839&lt;&gt;"Y","",IF(COUNTIF('DEF_CALL_DECISION_SUPPORT'!$B$1197:$B$1256,SUBSTITUTE(SUBSTITUTE(SUBSTITUTE(E839,"~","~~"),"*","~*"),"?","~?"))&gt;0,"KNOWN","REVIEW: new call; refresh sources"))</f>
        <v/>
      </c>
    </row>
    <row r="840" spans="1:18" ht="25" customHeight="1">
      <c r="A840" s="12"/>
      <c r="B840" s="8"/>
      <c r="C840" s="8"/>
      <c r="D840" s="8"/>
      <c r="E840" s="8"/>
      <c r="F840" s="8"/>
      <c r="G840" s="8"/>
      <c r="H840" s="8"/>
      <c r="I840" s="11"/>
      <c r="J840" s="12"/>
      <c r="K840" s="12"/>
      <c r="L840" s="8"/>
      <c r="M840" s="8"/>
      <c r="N840" s="8"/>
      <c r="O840" s="8"/>
      <c r="P840" s="8"/>
      <c r="Q840" s="8">
        <f>IF(B840="","",IF(B840="P","P&amp;10",B840&amp;"D "&amp;C840))</f>
        <v/>
      </c>
      <c r="R840" s="8">
        <f>IF(L840&lt;&gt;"Y","",IF(COUNTIF('DEF_CALL_DECISION_SUPPORT'!$B$1197:$B$1256,SUBSTITUTE(SUBSTITUTE(SUBSTITUTE(E840,"~","~~"),"*","~*"),"?","~?"))&gt;0,"KNOWN","REVIEW: new call; refresh sources"))</f>
        <v/>
      </c>
    </row>
    <row r="841" spans="1:18" ht="25" customHeight="1">
      <c r="A841" s="12"/>
      <c r="B841" s="8"/>
      <c r="C841" s="8"/>
      <c r="D841" s="8"/>
      <c r="E841" s="8"/>
      <c r="F841" s="8"/>
      <c r="G841" s="8"/>
      <c r="H841" s="8"/>
      <c r="I841" s="11"/>
      <c r="J841" s="12"/>
      <c r="K841" s="12"/>
      <c r="L841" s="8"/>
      <c r="M841" s="8"/>
      <c r="N841" s="8"/>
      <c r="O841" s="8"/>
      <c r="P841" s="8"/>
      <c r="Q841" s="8">
        <f>IF(B841="","",IF(B841="P","P&amp;10",B841&amp;"D "&amp;C841))</f>
        <v/>
      </c>
      <c r="R841" s="8">
        <f>IF(L841&lt;&gt;"Y","",IF(COUNTIF('DEF_CALL_DECISION_SUPPORT'!$B$1197:$B$1256,SUBSTITUTE(SUBSTITUTE(SUBSTITUTE(E841,"~","~~"),"*","~*"),"?","~?"))&gt;0,"KNOWN","REVIEW: new call; refresh sources"))</f>
        <v/>
      </c>
    </row>
    <row r="842" spans="1:18" ht="25" customHeight="1">
      <c r="A842" s="12"/>
      <c r="B842" s="8"/>
      <c r="C842" s="8"/>
      <c r="D842" s="8"/>
      <c r="E842" s="8"/>
      <c r="F842" s="8"/>
      <c r="G842" s="8"/>
      <c r="H842" s="8"/>
      <c r="I842" s="11"/>
      <c r="J842" s="12"/>
      <c r="K842" s="12"/>
      <c r="L842" s="8"/>
      <c r="M842" s="8"/>
      <c r="N842" s="8"/>
      <c r="O842" s="8"/>
      <c r="P842" s="8"/>
      <c r="Q842" s="8">
        <f>IF(B842="","",IF(B842="P","P&amp;10",B842&amp;"D "&amp;C842))</f>
        <v/>
      </c>
      <c r="R842" s="8">
        <f>IF(L842&lt;&gt;"Y","",IF(COUNTIF('DEF_CALL_DECISION_SUPPORT'!$B$1197:$B$1256,SUBSTITUTE(SUBSTITUTE(SUBSTITUTE(E842,"~","~~"),"*","~*"),"?","~?"))&gt;0,"KNOWN","REVIEW: new call; refresh sources"))</f>
        <v/>
      </c>
    </row>
    <row r="843" spans="1:18" ht="25" customHeight="1">
      <c r="A843" s="12"/>
      <c r="B843" s="8"/>
      <c r="C843" s="8"/>
      <c r="D843" s="8"/>
      <c r="E843" s="8"/>
      <c r="F843" s="8"/>
      <c r="G843" s="8"/>
      <c r="H843" s="8"/>
      <c r="I843" s="11"/>
      <c r="J843" s="12"/>
      <c r="K843" s="12"/>
      <c r="L843" s="8"/>
      <c r="M843" s="8"/>
      <c r="N843" s="8"/>
      <c r="O843" s="8"/>
      <c r="P843" s="8"/>
      <c r="Q843" s="8">
        <f>IF(B843="","",IF(B843="P","P&amp;10",B843&amp;"D "&amp;C843))</f>
        <v/>
      </c>
      <c r="R843" s="8">
        <f>IF(L843&lt;&gt;"Y","",IF(COUNTIF('DEF_CALL_DECISION_SUPPORT'!$B$1197:$B$1256,SUBSTITUTE(SUBSTITUTE(SUBSTITUTE(E843,"~","~~"),"*","~*"),"?","~?"))&gt;0,"KNOWN","REVIEW: new call; refresh sources"))</f>
        <v/>
      </c>
    </row>
    <row r="844" spans="1:18" ht="25" customHeight="1">
      <c r="A844" s="12"/>
      <c r="B844" s="8"/>
      <c r="C844" s="8"/>
      <c r="D844" s="8"/>
      <c r="E844" s="8"/>
      <c r="F844" s="8"/>
      <c r="G844" s="8"/>
      <c r="H844" s="8"/>
      <c r="I844" s="11"/>
      <c r="J844" s="12"/>
      <c r="K844" s="12"/>
      <c r="L844" s="8"/>
      <c r="M844" s="8"/>
      <c r="N844" s="8"/>
      <c r="O844" s="8"/>
      <c r="P844" s="8"/>
      <c r="Q844" s="8">
        <f>IF(B844="","",IF(B844="P","P&amp;10",B844&amp;"D "&amp;C844))</f>
        <v/>
      </c>
      <c r="R844" s="8">
        <f>IF(L844&lt;&gt;"Y","",IF(COUNTIF('DEF_CALL_DECISION_SUPPORT'!$B$1197:$B$1256,SUBSTITUTE(SUBSTITUTE(SUBSTITUTE(E844,"~","~~"),"*","~*"),"?","~?"))&gt;0,"KNOWN","REVIEW: new call; refresh sources"))</f>
        <v/>
      </c>
    </row>
    <row r="845" spans="1:18" ht="25" customHeight="1">
      <c r="A845" s="12"/>
      <c r="B845" s="8"/>
      <c r="C845" s="8"/>
      <c r="D845" s="8"/>
      <c r="E845" s="8"/>
      <c r="F845" s="8"/>
      <c r="G845" s="8"/>
      <c r="H845" s="8"/>
      <c r="I845" s="11"/>
      <c r="J845" s="12"/>
      <c r="K845" s="12"/>
      <c r="L845" s="8"/>
      <c r="M845" s="8"/>
      <c r="N845" s="8"/>
      <c r="O845" s="8"/>
      <c r="P845" s="8"/>
      <c r="Q845" s="8">
        <f>IF(B845="","",IF(B845="P","P&amp;10",B845&amp;"D "&amp;C845))</f>
        <v/>
      </c>
      <c r="R845" s="8">
        <f>IF(L845&lt;&gt;"Y","",IF(COUNTIF('DEF_CALL_DECISION_SUPPORT'!$B$1197:$B$1256,SUBSTITUTE(SUBSTITUTE(SUBSTITUTE(E845,"~","~~"),"*","~*"),"?","~?"))&gt;0,"KNOWN","REVIEW: new call; refresh sources"))</f>
        <v/>
      </c>
    </row>
    <row r="846" spans="1:18" ht="25" customHeight="1">
      <c r="A846" s="12"/>
      <c r="B846" s="8"/>
      <c r="C846" s="8"/>
      <c r="D846" s="8"/>
      <c r="E846" s="8"/>
      <c r="F846" s="8"/>
      <c r="G846" s="8"/>
      <c r="H846" s="8"/>
      <c r="I846" s="11"/>
      <c r="J846" s="12"/>
      <c r="K846" s="12"/>
      <c r="L846" s="8"/>
      <c r="M846" s="8"/>
      <c r="N846" s="8"/>
      <c r="O846" s="8"/>
      <c r="P846" s="8"/>
      <c r="Q846" s="8">
        <f>IF(B846="","",IF(B846="P","P&amp;10",B846&amp;"D "&amp;C846))</f>
        <v/>
      </c>
      <c r="R846" s="8">
        <f>IF(L846&lt;&gt;"Y","",IF(COUNTIF('DEF_CALL_DECISION_SUPPORT'!$B$1197:$B$1256,SUBSTITUTE(SUBSTITUTE(SUBSTITUTE(E846,"~","~~"),"*","~*"),"?","~?"))&gt;0,"KNOWN","REVIEW: new call; refresh sources"))</f>
        <v/>
      </c>
    </row>
    <row r="847" spans="1:18" ht="25" customHeight="1">
      <c r="A847" s="12"/>
      <c r="B847" s="8"/>
      <c r="C847" s="8"/>
      <c r="D847" s="8"/>
      <c r="E847" s="8"/>
      <c r="F847" s="8"/>
      <c r="G847" s="8"/>
      <c r="H847" s="8"/>
      <c r="I847" s="11"/>
      <c r="J847" s="12"/>
      <c r="K847" s="12"/>
      <c r="L847" s="8"/>
      <c r="M847" s="8"/>
      <c r="N847" s="8"/>
      <c r="O847" s="8"/>
      <c r="P847" s="8"/>
      <c r="Q847" s="8">
        <f>IF(B847="","",IF(B847="P","P&amp;10",B847&amp;"D "&amp;C847))</f>
        <v/>
      </c>
      <c r="R847" s="8">
        <f>IF(L847&lt;&gt;"Y","",IF(COUNTIF('DEF_CALL_DECISION_SUPPORT'!$B$1197:$B$1256,SUBSTITUTE(SUBSTITUTE(SUBSTITUTE(E847,"~","~~"),"*","~*"),"?","~?"))&gt;0,"KNOWN","REVIEW: new call; refresh sources"))</f>
        <v/>
      </c>
    </row>
    <row r="848" spans="1:18" ht="25" customHeight="1">
      <c r="A848" s="12"/>
      <c r="B848" s="8"/>
      <c r="C848" s="8"/>
      <c r="D848" s="8"/>
      <c r="E848" s="8"/>
      <c r="F848" s="8"/>
      <c r="G848" s="8"/>
      <c r="H848" s="8"/>
      <c r="I848" s="11"/>
      <c r="J848" s="12"/>
      <c r="K848" s="12"/>
      <c r="L848" s="8"/>
      <c r="M848" s="8"/>
      <c r="N848" s="8"/>
      <c r="O848" s="8"/>
      <c r="P848" s="8"/>
      <c r="Q848" s="8">
        <f>IF(B848="","",IF(B848="P","P&amp;10",B848&amp;"D "&amp;C848))</f>
        <v/>
      </c>
      <c r="R848" s="8">
        <f>IF(L848&lt;&gt;"Y","",IF(COUNTIF('DEF_CALL_DECISION_SUPPORT'!$B$1197:$B$1256,SUBSTITUTE(SUBSTITUTE(SUBSTITUTE(E848,"~","~~"),"*","~*"),"?","~?"))&gt;0,"KNOWN","REVIEW: new call; refresh sources"))</f>
        <v/>
      </c>
    </row>
    <row r="849" spans="1:18" ht="25" customHeight="1">
      <c r="A849" s="12"/>
      <c r="B849" s="8"/>
      <c r="C849" s="8"/>
      <c r="D849" s="8"/>
      <c r="E849" s="8"/>
      <c r="F849" s="8"/>
      <c r="G849" s="8"/>
      <c r="H849" s="8"/>
      <c r="I849" s="11"/>
      <c r="J849" s="12"/>
      <c r="K849" s="12"/>
      <c r="L849" s="8"/>
      <c r="M849" s="8"/>
      <c r="N849" s="8"/>
      <c r="O849" s="8"/>
      <c r="P849" s="8"/>
      <c r="Q849" s="8">
        <f>IF(B849="","",IF(B849="P","P&amp;10",B849&amp;"D "&amp;C849))</f>
        <v/>
      </c>
      <c r="R849" s="8">
        <f>IF(L849&lt;&gt;"Y","",IF(COUNTIF('DEF_CALL_DECISION_SUPPORT'!$B$1197:$B$1256,SUBSTITUTE(SUBSTITUTE(SUBSTITUTE(E849,"~","~~"),"*","~*"),"?","~?"))&gt;0,"KNOWN","REVIEW: new call; refresh sources"))</f>
        <v/>
      </c>
    </row>
    <row r="850" spans="1:18" ht="25" customHeight="1">
      <c r="A850" s="12"/>
      <c r="B850" s="8"/>
      <c r="C850" s="8"/>
      <c r="D850" s="8"/>
      <c r="E850" s="8"/>
      <c r="F850" s="8"/>
      <c r="G850" s="8"/>
      <c r="H850" s="8"/>
      <c r="I850" s="11"/>
      <c r="J850" s="12"/>
      <c r="K850" s="12"/>
      <c r="L850" s="8"/>
      <c r="M850" s="8"/>
      <c r="N850" s="8"/>
      <c r="O850" s="8"/>
      <c r="P850" s="8"/>
      <c r="Q850" s="8">
        <f>IF(B850="","",IF(B850="P","P&amp;10",B850&amp;"D "&amp;C850))</f>
        <v/>
      </c>
      <c r="R850" s="8">
        <f>IF(L850&lt;&gt;"Y","",IF(COUNTIF('DEF_CALL_DECISION_SUPPORT'!$B$1197:$B$1256,SUBSTITUTE(SUBSTITUTE(SUBSTITUTE(E850,"~","~~"),"*","~*"),"?","~?"))&gt;0,"KNOWN","REVIEW: new call; refresh sources"))</f>
        <v/>
      </c>
    </row>
    <row r="851" spans="1:18" ht="25" customHeight="1">
      <c r="A851" s="12"/>
      <c r="B851" s="8"/>
      <c r="C851" s="8"/>
      <c r="D851" s="8"/>
      <c r="E851" s="8"/>
      <c r="F851" s="8"/>
      <c r="G851" s="8"/>
      <c r="H851" s="8"/>
      <c r="I851" s="11"/>
      <c r="J851" s="12"/>
      <c r="K851" s="12"/>
      <c r="L851" s="8"/>
      <c r="M851" s="8"/>
      <c r="N851" s="8"/>
      <c r="O851" s="8"/>
      <c r="P851" s="8"/>
      <c r="Q851" s="8">
        <f>IF(B851="","",IF(B851="P","P&amp;10",B851&amp;"D "&amp;C851))</f>
        <v/>
      </c>
      <c r="R851" s="8">
        <f>IF(L851&lt;&gt;"Y","",IF(COUNTIF('DEF_CALL_DECISION_SUPPORT'!$B$1197:$B$1256,SUBSTITUTE(SUBSTITUTE(SUBSTITUTE(E851,"~","~~"),"*","~*"),"?","~?"))&gt;0,"KNOWN","REVIEW: new call; refresh sources"))</f>
        <v/>
      </c>
    </row>
    <row r="852" spans="1:18" ht="25" customHeight="1">
      <c r="A852" s="12"/>
      <c r="B852" s="8"/>
      <c r="C852" s="8"/>
      <c r="D852" s="8"/>
      <c r="E852" s="8"/>
      <c r="F852" s="8"/>
      <c r="G852" s="8"/>
      <c r="H852" s="8"/>
      <c r="I852" s="11"/>
      <c r="J852" s="12"/>
      <c r="K852" s="12"/>
      <c r="L852" s="8"/>
      <c r="M852" s="8"/>
      <c r="N852" s="8"/>
      <c r="O852" s="8"/>
      <c r="P852" s="8"/>
      <c r="Q852" s="8">
        <f>IF(B852="","",IF(B852="P","P&amp;10",B852&amp;"D "&amp;C852))</f>
        <v/>
      </c>
      <c r="R852" s="8">
        <f>IF(L852&lt;&gt;"Y","",IF(COUNTIF('DEF_CALL_DECISION_SUPPORT'!$B$1197:$B$1256,SUBSTITUTE(SUBSTITUTE(SUBSTITUTE(E852,"~","~~"),"*","~*"),"?","~?"))&gt;0,"KNOWN","REVIEW: new call; refresh sources"))</f>
        <v/>
      </c>
    </row>
    <row r="853" spans="1:18" ht="25" customHeight="1">
      <c r="A853" s="12"/>
      <c r="B853" s="8"/>
      <c r="C853" s="8"/>
      <c r="D853" s="8"/>
      <c r="E853" s="8"/>
      <c r="F853" s="8"/>
      <c r="G853" s="8"/>
      <c r="H853" s="8"/>
      <c r="I853" s="11"/>
      <c r="J853" s="12"/>
      <c r="K853" s="12"/>
      <c r="L853" s="8"/>
      <c r="M853" s="8"/>
      <c r="N853" s="8"/>
      <c r="O853" s="8"/>
      <c r="P853" s="8"/>
      <c r="Q853" s="8">
        <f>IF(B853="","",IF(B853="P","P&amp;10",B853&amp;"D "&amp;C853))</f>
        <v/>
      </c>
      <c r="R853" s="8">
        <f>IF(L853&lt;&gt;"Y","",IF(COUNTIF('DEF_CALL_DECISION_SUPPORT'!$B$1197:$B$1256,SUBSTITUTE(SUBSTITUTE(SUBSTITUTE(E853,"~","~~"),"*","~*"),"?","~?"))&gt;0,"KNOWN","REVIEW: new call; refresh sources"))</f>
        <v/>
      </c>
    </row>
    <row r="854" spans="1:18" ht="25" customHeight="1">
      <c r="A854" s="12"/>
      <c r="B854" s="8"/>
      <c r="C854" s="8"/>
      <c r="D854" s="8"/>
      <c r="E854" s="8"/>
      <c r="F854" s="8"/>
      <c r="G854" s="8"/>
      <c r="H854" s="8"/>
      <c r="I854" s="11"/>
      <c r="J854" s="12"/>
      <c r="K854" s="12"/>
      <c r="L854" s="8"/>
      <c r="M854" s="8"/>
      <c r="N854" s="8"/>
      <c r="O854" s="8"/>
      <c r="P854" s="8"/>
      <c r="Q854" s="8">
        <f>IF(B854="","",IF(B854="P","P&amp;10",B854&amp;"D "&amp;C854))</f>
        <v/>
      </c>
      <c r="R854" s="8">
        <f>IF(L854&lt;&gt;"Y","",IF(COUNTIF('DEF_CALL_DECISION_SUPPORT'!$B$1197:$B$1256,SUBSTITUTE(SUBSTITUTE(SUBSTITUTE(E854,"~","~~"),"*","~*"),"?","~?"))&gt;0,"KNOWN","REVIEW: new call; refresh sources"))</f>
        <v/>
      </c>
    </row>
    <row r="855" spans="1:18" ht="25" customHeight="1">
      <c r="A855" s="12"/>
      <c r="B855" s="8"/>
      <c r="C855" s="8"/>
      <c r="D855" s="8"/>
      <c r="E855" s="8"/>
      <c r="F855" s="8"/>
      <c r="G855" s="8"/>
      <c r="H855" s="8"/>
      <c r="I855" s="11"/>
      <c r="J855" s="12"/>
      <c r="K855" s="12"/>
      <c r="L855" s="8"/>
      <c r="M855" s="8"/>
      <c r="N855" s="8"/>
      <c r="O855" s="8"/>
      <c r="P855" s="8"/>
      <c r="Q855" s="8">
        <f>IF(B855="","",IF(B855="P","P&amp;10",B855&amp;"D "&amp;C855))</f>
        <v/>
      </c>
      <c r="R855" s="8">
        <f>IF(L855&lt;&gt;"Y","",IF(COUNTIF('DEF_CALL_DECISION_SUPPORT'!$B$1197:$B$1256,SUBSTITUTE(SUBSTITUTE(SUBSTITUTE(E855,"~","~~"),"*","~*"),"?","~?"))&gt;0,"KNOWN","REVIEW: new call; refresh sources"))</f>
        <v/>
      </c>
    </row>
    <row r="856" spans="1:18" ht="25" customHeight="1">
      <c r="A856" s="12"/>
      <c r="B856" s="8"/>
      <c r="C856" s="8"/>
      <c r="D856" s="8"/>
      <c r="E856" s="8"/>
      <c r="F856" s="8"/>
      <c r="G856" s="8"/>
      <c r="H856" s="8"/>
      <c r="I856" s="11"/>
      <c r="J856" s="12"/>
      <c r="K856" s="12"/>
      <c r="L856" s="8"/>
      <c r="M856" s="8"/>
      <c r="N856" s="8"/>
      <c r="O856" s="8"/>
      <c r="P856" s="8"/>
      <c r="Q856" s="8">
        <f>IF(B856="","",IF(B856="P","P&amp;10",B856&amp;"D "&amp;C856))</f>
        <v/>
      </c>
      <c r="R856" s="8">
        <f>IF(L856&lt;&gt;"Y","",IF(COUNTIF('DEF_CALL_DECISION_SUPPORT'!$B$1197:$B$1256,SUBSTITUTE(SUBSTITUTE(SUBSTITUTE(E856,"~","~~"),"*","~*"),"?","~?"))&gt;0,"KNOWN","REVIEW: new call; refresh sources"))</f>
        <v/>
      </c>
    </row>
    <row r="857" spans="1:18" ht="25" customHeight="1">
      <c r="A857" s="12"/>
      <c r="B857" s="8"/>
      <c r="C857" s="8"/>
      <c r="D857" s="8"/>
      <c r="E857" s="8"/>
      <c r="F857" s="8"/>
      <c r="G857" s="8"/>
      <c r="H857" s="8"/>
      <c r="I857" s="11"/>
      <c r="J857" s="12"/>
      <c r="K857" s="12"/>
      <c r="L857" s="8"/>
      <c r="M857" s="8"/>
      <c r="N857" s="8"/>
      <c r="O857" s="8"/>
      <c r="P857" s="8"/>
      <c r="Q857" s="8">
        <f>IF(B857="","",IF(B857="P","P&amp;10",B857&amp;"D "&amp;C857))</f>
        <v/>
      </c>
      <c r="R857" s="8">
        <f>IF(L857&lt;&gt;"Y","",IF(COUNTIF('DEF_CALL_DECISION_SUPPORT'!$B$1197:$B$1256,SUBSTITUTE(SUBSTITUTE(SUBSTITUTE(E857,"~","~~"),"*","~*"),"?","~?"))&gt;0,"KNOWN","REVIEW: new call; refresh sources"))</f>
        <v/>
      </c>
    </row>
    <row r="858" spans="1:18" ht="25" customHeight="1">
      <c r="A858" s="12"/>
      <c r="B858" s="8"/>
      <c r="C858" s="8"/>
      <c r="D858" s="8"/>
      <c r="E858" s="8"/>
      <c r="F858" s="8"/>
      <c r="G858" s="8"/>
      <c r="H858" s="8"/>
      <c r="I858" s="11"/>
      <c r="J858" s="12"/>
      <c r="K858" s="12"/>
      <c r="L858" s="8"/>
      <c r="M858" s="8"/>
      <c r="N858" s="8"/>
      <c r="O858" s="8"/>
      <c r="P858" s="8"/>
      <c r="Q858" s="8">
        <f>IF(B858="","",IF(B858="P","P&amp;10",B858&amp;"D "&amp;C858))</f>
        <v/>
      </c>
      <c r="R858" s="8">
        <f>IF(L858&lt;&gt;"Y","",IF(COUNTIF('DEF_CALL_DECISION_SUPPORT'!$B$1197:$B$1256,SUBSTITUTE(SUBSTITUTE(SUBSTITUTE(E858,"~","~~"),"*","~*"),"?","~?"))&gt;0,"KNOWN","REVIEW: new call; refresh sources"))</f>
        <v/>
      </c>
    </row>
    <row r="859" spans="1:18" ht="25" customHeight="1">
      <c r="A859" s="12"/>
      <c r="B859" s="8"/>
      <c r="C859" s="8"/>
      <c r="D859" s="8"/>
      <c r="E859" s="8"/>
      <c r="F859" s="8"/>
      <c r="G859" s="8"/>
      <c r="H859" s="8"/>
      <c r="I859" s="11"/>
      <c r="J859" s="12"/>
      <c r="K859" s="12"/>
      <c r="L859" s="8"/>
      <c r="M859" s="8"/>
      <c r="N859" s="8"/>
      <c r="O859" s="8"/>
      <c r="P859" s="8"/>
      <c r="Q859" s="8">
        <f>IF(B859="","",IF(B859="P","P&amp;10",B859&amp;"D "&amp;C859))</f>
        <v/>
      </c>
      <c r="R859" s="8">
        <f>IF(L859&lt;&gt;"Y","",IF(COUNTIF('DEF_CALL_DECISION_SUPPORT'!$B$1197:$B$1256,SUBSTITUTE(SUBSTITUTE(SUBSTITUTE(E859,"~","~~"),"*","~*"),"?","~?"))&gt;0,"KNOWN","REVIEW: new call; refresh sources"))</f>
        <v/>
      </c>
    </row>
    <row r="860" spans="1:18" ht="25" customHeight="1">
      <c r="A860" s="12"/>
      <c r="B860" s="8"/>
      <c r="C860" s="8"/>
      <c r="D860" s="8"/>
      <c r="E860" s="8"/>
      <c r="F860" s="8"/>
      <c r="G860" s="8"/>
      <c r="H860" s="8"/>
      <c r="I860" s="11"/>
      <c r="J860" s="12"/>
      <c r="K860" s="12"/>
      <c r="L860" s="8"/>
      <c r="M860" s="8"/>
      <c r="N860" s="8"/>
      <c r="O860" s="8"/>
      <c r="P860" s="8"/>
      <c r="Q860" s="8">
        <f>IF(B860="","",IF(B860="P","P&amp;10",B860&amp;"D "&amp;C860))</f>
        <v/>
      </c>
      <c r="R860" s="8">
        <f>IF(L860&lt;&gt;"Y","",IF(COUNTIF('DEF_CALL_DECISION_SUPPORT'!$B$1197:$B$1256,SUBSTITUTE(SUBSTITUTE(SUBSTITUTE(E860,"~","~~"),"*","~*"),"?","~?"))&gt;0,"KNOWN","REVIEW: new call; refresh sources"))</f>
        <v/>
      </c>
    </row>
    <row r="861" spans="1:18" ht="25" customHeight="1">
      <c r="A861" s="12"/>
      <c r="B861" s="8"/>
      <c r="C861" s="8"/>
      <c r="D861" s="8"/>
      <c r="E861" s="8"/>
      <c r="F861" s="8"/>
      <c r="G861" s="8"/>
      <c r="H861" s="8"/>
      <c r="I861" s="11"/>
      <c r="J861" s="12"/>
      <c r="K861" s="12"/>
      <c r="L861" s="8"/>
      <c r="M861" s="8"/>
      <c r="N861" s="8"/>
      <c r="O861" s="8"/>
      <c r="P861" s="8"/>
      <c r="Q861" s="8">
        <f>IF(B861="","",IF(B861="P","P&amp;10",B861&amp;"D "&amp;C861))</f>
        <v/>
      </c>
      <c r="R861" s="8">
        <f>IF(L861&lt;&gt;"Y","",IF(COUNTIF('DEF_CALL_DECISION_SUPPORT'!$B$1197:$B$1256,SUBSTITUTE(SUBSTITUTE(SUBSTITUTE(E861,"~","~~"),"*","~*"),"?","~?"))&gt;0,"KNOWN","REVIEW: new call; refresh sources"))</f>
        <v/>
      </c>
    </row>
    <row r="862" spans="1:18" ht="25" customHeight="1">
      <c r="A862" s="12"/>
      <c r="B862" s="8"/>
      <c r="C862" s="8"/>
      <c r="D862" s="8"/>
      <c r="E862" s="8"/>
      <c r="F862" s="8"/>
      <c r="G862" s="8"/>
      <c r="H862" s="8"/>
      <c r="I862" s="11"/>
      <c r="J862" s="12"/>
      <c r="K862" s="12"/>
      <c r="L862" s="8"/>
      <c r="M862" s="8"/>
      <c r="N862" s="8"/>
      <c r="O862" s="8"/>
      <c r="P862" s="8"/>
      <c r="Q862" s="8">
        <f>IF(B862="","",IF(B862="P","P&amp;10",B862&amp;"D "&amp;C862))</f>
        <v/>
      </c>
      <c r="R862" s="8">
        <f>IF(L862&lt;&gt;"Y","",IF(COUNTIF('DEF_CALL_DECISION_SUPPORT'!$B$1197:$B$1256,SUBSTITUTE(SUBSTITUTE(SUBSTITUTE(E862,"~","~~"),"*","~*"),"?","~?"))&gt;0,"KNOWN","REVIEW: new call; refresh sources"))</f>
        <v/>
      </c>
    </row>
    <row r="863" spans="1:18" ht="25" customHeight="1">
      <c r="A863" s="12"/>
      <c r="B863" s="8"/>
      <c r="C863" s="8"/>
      <c r="D863" s="8"/>
      <c r="E863" s="8"/>
      <c r="F863" s="8"/>
      <c r="G863" s="8"/>
      <c r="H863" s="8"/>
      <c r="I863" s="11"/>
      <c r="J863" s="12"/>
      <c r="K863" s="12"/>
      <c r="L863" s="8"/>
      <c r="M863" s="8"/>
      <c r="N863" s="8"/>
      <c r="O863" s="8"/>
      <c r="P863" s="8"/>
      <c r="Q863" s="8">
        <f>IF(B863="","",IF(B863="P","P&amp;10",B863&amp;"D "&amp;C863))</f>
        <v/>
      </c>
      <c r="R863" s="8">
        <f>IF(L863&lt;&gt;"Y","",IF(COUNTIF('DEF_CALL_DECISION_SUPPORT'!$B$1197:$B$1256,SUBSTITUTE(SUBSTITUTE(SUBSTITUTE(E863,"~","~~"),"*","~*"),"?","~?"))&gt;0,"KNOWN","REVIEW: new call; refresh sources"))</f>
        <v/>
      </c>
    </row>
    <row r="864" spans="1:18" ht="25" customHeight="1">
      <c r="A864" s="12"/>
      <c r="B864" s="8"/>
      <c r="C864" s="8"/>
      <c r="D864" s="8"/>
      <c r="E864" s="8"/>
      <c r="F864" s="8"/>
      <c r="G864" s="8"/>
      <c r="H864" s="8"/>
      <c r="I864" s="11"/>
      <c r="J864" s="12"/>
      <c r="K864" s="12"/>
      <c r="L864" s="8"/>
      <c r="M864" s="8"/>
      <c r="N864" s="8"/>
      <c r="O864" s="8"/>
      <c r="P864" s="8"/>
      <c r="Q864" s="8">
        <f>IF(B864="","",IF(B864="P","P&amp;10",B864&amp;"D "&amp;C864))</f>
        <v/>
      </c>
      <c r="R864" s="8">
        <f>IF(L864&lt;&gt;"Y","",IF(COUNTIF('DEF_CALL_DECISION_SUPPORT'!$B$1197:$B$1256,SUBSTITUTE(SUBSTITUTE(SUBSTITUTE(E864,"~","~~"),"*","~*"),"?","~?"))&gt;0,"KNOWN","REVIEW: new call; refresh sources"))</f>
        <v/>
      </c>
    </row>
    <row r="865" spans="1:18" ht="25" customHeight="1">
      <c r="A865" s="12"/>
      <c r="B865" s="8"/>
      <c r="C865" s="8"/>
      <c r="D865" s="8"/>
      <c r="E865" s="8"/>
      <c r="F865" s="8"/>
      <c r="G865" s="8"/>
      <c r="H865" s="8"/>
      <c r="I865" s="11"/>
      <c r="J865" s="12"/>
      <c r="K865" s="12"/>
      <c r="L865" s="8"/>
      <c r="M865" s="8"/>
      <c r="N865" s="8"/>
      <c r="O865" s="8"/>
      <c r="P865" s="8"/>
      <c r="Q865" s="8">
        <f>IF(B865="","",IF(B865="P","P&amp;10",B865&amp;"D "&amp;C865))</f>
        <v/>
      </c>
      <c r="R865" s="8">
        <f>IF(L865&lt;&gt;"Y","",IF(COUNTIF('DEF_CALL_DECISION_SUPPORT'!$B$1197:$B$1256,SUBSTITUTE(SUBSTITUTE(SUBSTITUTE(E865,"~","~~"),"*","~*"),"?","~?"))&gt;0,"KNOWN","REVIEW: new call; refresh sources"))</f>
        <v/>
      </c>
    </row>
    <row r="866" spans="1:18" ht="25" customHeight="1">
      <c r="A866" s="12"/>
      <c r="B866" s="8"/>
      <c r="C866" s="8"/>
      <c r="D866" s="8"/>
      <c r="E866" s="8"/>
      <c r="F866" s="8"/>
      <c r="G866" s="8"/>
      <c r="H866" s="8"/>
      <c r="I866" s="11"/>
      <c r="J866" s="12"/>
      <c r="K866" s="12"/>
      <c r="L866" s="8"/>
      <c r="M866" s="8"/>
      <c r="N866" s="8"/>
      <c r="O866" s="8"/>
      <c r="P866" s="8"/>
      <c r="Q866" s="8">
        <f>IF(B866="","",IF(B866="P","P&amp;10",B866&amp;"D "&amp;C866))</f>
        <v/>
      </c>
      <c r="R866" s="8">
        <f>IF(L866&lt;&gt;"Y","",IF(COUNTIF('DEF_CALL_DECISION_SUPPORT'!$B$1197:$B$1256,SUBSTITUTE(SUBSTITUTE(SUBSTITUTE(E866,"~","~~"),"*","~*"),"?","~?"))&gt;0,"KNOWN","REVIEW: new call; refresh sources"))</f>
        <v/>
      </c>
    </row>
    <row r="867" spans="1:18" ht="25" customHeight="1">
      <c r="A867" s="12"/>
      <c r="B867" s="8"/>
      <c r="C867" s="8"/>
      <c r="D867" s="8"/>
      <c r="E867" s="8"/>
      <c r="F867" s="8"/>
      <c r="G867" s="8"/>
      <c r="H867" s="8"/>
      <c r="I867" s="11"/>
      <c r="J867" s="12"/>
      <c r="K867" s="12"/>
      <c r="L867" s="8"/>
      <c r="M867" s="8"/>
      <c r="N867" s="8"/>
      <c r="O867" s="8"/>
      <c r="P867" s="8"/>
      <c r="Q867" s="8">
        <f>IF(B867="","",IF(B867="P","P&amp;10",B867&amp;"D "&amp;C867))</f>
        <v/>
      </c>
      <c r="R867" s="8">
        <f>IF(L867&lt;&gt;"Y","",IF(COUNTIF('DEF_CALL_DECISION_SUPPORT'!$B$1197:$B$1256,SUBSTITUTE(SUBSTITUTE(SUBSTITUTE(E867,"~","~~"),"*","~*"),"?","~?"))&gt;0,"KNOWN","REVIEW: new call; refresh sources"))</f>
        <v/>
      </c>
    </row>
    <row r="868" spans="1:18" ht="25" customHeight="1">
      <c r="A868" s="12"/>
      <c r="B868" s="8"/>
      <c r="C868" s="8"/>
      <c r="D868" s="8"/>
      <c r="E868" s="8"/>
      <c r="F868" s="8"/>
      <c r="G868" s="8"/>
      <c r="H868" s="8"/>
      <c r="I868" s="11"/>
      <c r="J868" s="12"/>
      <c r="K868" s="12"/>
      <c r="L868" s="8"/>
      <c r="M868" s="8"/>
      <c r="N868" s="8"/>
      <c r="O868" s="8"/>
      <c r="P868" s="8"/>
      <c r="Q868" s="8">
        <f>IF(B868="","",IF(B868="P","P&amp;10",B868&amp;"D "&amp;C868))</f>
        <v/>
      </c>
      <c r="R868" s="8">
        <f>IF(L868&lt;&gt;"Y","",IF(COUNTIF('DEF_CALL_DECISION_SUPPORT'!$B$1197:$B$1256,SUBSTITUTE(SUBSTITUTE(SUBSTITUTE(E868,"~","~~"),"*","~*"),"?","~?"))&gt;0,"KNOWN","REVIEW: new call; refresh sources"))</f>
        <v/>
      </c>
    </row>
    <row r="869" spans="1:18" ht="25" customHeight="1">
      <c r="A869" s="12"/>
      <c r="B869" s="8"/>
      <c r="C869" s="8"/>
      <c r="D869" s="8"/>
      <c r="E869" s="8"/>
      <c r="F869" s="8"/>
      <c r="G869" s="8"/>
      <c r="H869" s="8"/>
      <c r="I869" s="11"/>
      <c r="J869" s="12"/>
      <c r="K869" s="12"/>
      <c r="L869" s="8"/>
      <c r="M869" s="8"/>
      <c r="N869" s="8"/>
      <c r="O869" s="8"/>
      <c r="P869" s="8"/>
      <c r="Q869" s="8">
        <f>IF(B869="","",IF(B869="P","P&amp;10",B869&amp;"D "&amp;C869))</f>
        <v/>
      </c>
      <c r="R869" s="8">
        <f>IF(L869&lt;&gt;"Y","",IF(COUNTIF('DEF_CALL_DECISION_SUPPORT'!$B$1197:$B$1256,SUBSTITUTE(SUBSTITUTE(SUBSTITUTE(E869,"~","~~"),"*","~*"),"?","~?"))&gt;0,"KNOWN","REVIEW: new call; refresh sources"))</f>
        <v/>
      </c>
    </row>
    <row r="870" spans="1:18" ht="25" customHeight="1">
      <c r="A870" s="12"/>
      <c r="B870" s="8"/>
      <c r="C870" s="8"/>
      <c r="D870" s="8"/>
      <c r="E870" s="8"/>
      <c r="F870" s="8"/>
      <c r="G870" s="8"/>
      <c r="H870" s="8"/>
      <c r="I870" s="11"/>
      <c r="J870" s="12"/>
      <c r="K870" s="12"/>
      <c r="L870" s="8"/>
      <c r="M870" s="8"/>
      <c r="N870" s="8"/>
      <c r="O870" s="8"/>
      <c r="P870" s="8"/>
      <c r="Q870" s="8">
        <f>IF(B870="","",IF(B870="P","P&amp;10",B870&amp;"D "&amp;C870))</f>
        <v/>
      </c>
      <c r="R870" s="8">
        <f>IF(L870&lt;&gt;"Y","",IF(COUNTIF('DEF_CALL_DECISION_SUPPORT'!$B$1197:$B$1256,SUBSTITUTE(SUBSTITUTE(SUBSTITUTE(E870,"~","~~"),"*","~*"),"?","~?"))&gt;0,"KNOWN","REVIEW: new call; refresh sources"))</f>
        <v/>
      </c>
    </row>
    <row r="871" spans="1:18" ht="25" customHeight="1">
      <c r="A871" s="12"/>
      <c r="B871" s="8"/>
      <c r="C871" s="8"/>
      <c r="D871" s="8"/>
      <c r="E871" s="8"/>
      <c r="F871" s="8"/>
      <c r="G871" s="8"/>
      <c r="H871" s="8"/>
      <c r="I871" s="11"/>
      <c r="J871" s="12"/>
      <c r="K871" s="12"/>
      <c r="L871" s="8"/>
      <c r="M871" s="8"/>
      <c r="N871" s="8"/>
      <c r="O871" s="8"/>
      <c r="P871" s="8"/>
      <c r="Q871" s="8">
        <f>IF(B871="","",IF(B871="P","P&amp;10",B871&amp;"D "&amp;C871))</f>
        <v/>
      </c>
      <c r="R871" s="8">
        <f>IF(L871&lt;&gt;"Y","",IF(COUNTIF('DEF_CALL_DECISION_SUPPORT'!$B$1197:$B$1256,SUBSTITUTE(SUBSTITUTE(SUBSTITUTE(E871,"~","~~"),"*","~*"),"?","~?"))&gt;0,"KNOWN","REVIEW: new call; refresh sources"))</f>
        <v/>
      </c>
    </row>
    <row r="872" spans="1:18" ht="25" customHeight="1">
      <c r="A872" s="12"/>
      <c r="B872" s="8"/>
      <c r="C872" s="8"/>
      <c r="D872" s="8"/>
      <c r="E872" s="8"/>
      <c r="F872" s="8"/>
      <c r="G872" s="8"/>
      <c r="H872" s="8"/>
      <c r="I872" s="11"/>
      <c r="J872" s="12"/>
      <c r="K872" s="12"/>
      <c r="L872" s="8"/>
      <c r="M872" s="8"/>
      <c r="N872" s="8"/>
      <c r="O872" s="8"/>
      <c r="P872" s="8"/>
      <c r="Q872" s="8">
        <f>IF(B872="","",IF(B872="P","P&amp;10",B872&amp;"D "&amp;C872))</f>
        <v/>
      </c>
      <c r="R872" s="8">
        <f>IF(L872&lt;&gt;"Y","",IF(COUNTIF('DEF_CALL_DECISION_SUPPORT'!$B$1197:$B$1256,SUBSTITUTE(SUBSTITUTE(SUBSTITUTE(E872,"~","~~"),"*","~*"),"?","~?"))&gt;0,"KNOWN","REVIEW: new call; refresh sources"))</f>
        <v/>
      </c>
    </row>
    <row r="873" spans="1:18" ht="25" customHeight="1">
      <c r="A873" s="12"/>
      <c r="B873" s="8"/>
      <c r="C873" s="8"/>
      <c r="D873" s="8"/>
      <c r="E873" s="8"/>
      <c r="F873" s="8"/>
      <c r="G873" s="8"/>
      <c r="H873" s="8"/>
      <c r="I873" s="11"/>
      <c r="J873" s="12"/>
      <c r="K873" s="12"/>
      <c r="L873" s="8"/>
      <c r="M873" s="8"/>
      <c r="N873" s="8"/>
      <c r="O873" s="8"/>
      <c r="P873" s="8"/>
      <c r="Q873" s="8">
        <f>IF(B873="","",IF(B873="P","P&amp;10",B873&amp;"D "&amp;C873))</f>
        <v/>
      </c>
      <c r="R873" s="8">
        <f>IF(L873&lt;&gt;"Y","",IF(COUNTIF('DEF_CALL_DECISION_SUPPORT'!$B$1197:$B$1256,SUBSTITUTE(SUBSTITUTE(SUBSTITUTE(E873,"~","~~"),"*","~*"),"?","~?"))&gt;0,"KNOWN","REVIEW: new call; refresh sources"))</f>
        <v/>
      </c>
    </row>
    <row r="874" spans="1:18" ht="25" customHeight="1">
      <c r="A874" s="12"/>
      <c r="B874" s="8"/>
      <c r="C874" s="8"/>
      <c r="D874" s="8"/>
      <c r="E874" s="8"/>
      <c r="F874" s="8"/>
      <c r="G874" s="8"/>
      <c r="H874" s="8"/>
      <c r="I874" s="11"/>
      <c r="J874" s="12"/>
      <c r="K874" s="12"/>
      <c r="L874" s="8"/>
      <c r="M874" s="8"/>
      <c r="N874" s="8"/>
      <c r="O874" s="8"/>
      <c r="P874" s="8"/>
      <c r="Q874" s="8">
        <f>IF(B874="","",IF(B874="P","P&amp;10",B874&amp;"D "&amp;C874))</f>
        <v/>
      </c>
      <c r="R874" s="8">
        <f>IF(L874&lt;&gt;"Y","",IF(COUNTIF('DEF_CALL_DECISION_SUPPORT'!$B$1197:$B$1256,SUBSTITUTE(SUBSTITUTE(SUBSTITUTE(E874,"~","~~"),"*","~*"),"?","~?"))&gt;0,"KNOWN","REVIEW: new call; refresh sources"))</f>
        <v/>
      </c>
    </row>
    <row r="875" spans="1:18" ht="25" customHeight="1">
      <c r="A875" s="12"/>
      <c r="B875" s="8"/>
      <c r="C875" s="8"/>
      <c r="D875" s="8"/>
      <c r="E875" s="8"/>
      <c r="F875" s="8"/>
      <c r="G875" s="8"/>
      <c r="H875" s="8"/>
      <c r="I875" s="11"/>
      <c r="J875" s="12"/>
      <c r="K875" s="12"/>
      <c r="L875" s="8"/>
      <c r="M875" s="8"/>
      <c r="N875" s="8"/>
      <c r="O875" s="8"/>
      <c r="P875" s="8"/>
      <c r="Q875" s="8">
        <f>IF(B875="","",IF(B875="P","P&amp;10",B875&amp;"D "&amp;C875))</f>
        <v/>
      </c>
      <c r="R875" s="8">
        <f>IF(L875&lt;&gt;"Y","",IF(COUNTIF('DEF_CALL_DECISION_SUPPORT'!$B$1197:$B$1256,SUBSTITUTE(SUBSTITUTE(SUBSTITUTE(E875,"~","~~"),"*","~*"),"?","~?"))&gt;0,"KNOWN","REVIEW: new call; refresh sources"))</f>
        <v/>
      </c>
    </row>
    <row r="876" spans="1:18" ht="25" customHeight="1">
      <c r="A876" s="12"/>
      <c r="B876" s="8"/>
      <c r="C876" s="8"/>
      <c r="D876" s="8"/>
      <c r="E876" s="8"/>
      <c r="F876" s="8"/>
      <c r="G876" s="8"/>
      <c r="H876" s="8"/>
      <c r="I876" s="11"/>
      <c r="J876" s="12"/>
      <c r="K876" s="12"/>
      <c r="L876" s="8"/>
      <c r="M876" s="8"/>
      <c r="N876" s="8"/>
      <c r="O876" s="8"/>
      <c r="P876" s="8"/>
      <c r="Q876" s="8">
        <f>IF(B876="","",IF(B876="P","P&amp;10",B876&amp;"D "&amp;C876))</f>
        <v/>
      </c>
      <c r="R876" s="8">
        <f>IF(L876&lt;&gt;"Y","",IF(COUNTIF('DEF_CALL_DECISION_SUPPORT'!$B$1197:$B$1256,SUBSTITUTE(SUBSTITUTE(SUBSTITUTE(E876,"~","~~"),"*","~*"),"?","~?"))&gt;0,"KNOWN","REVIEW: new call; refresh sources"))</f>
        <v/>
      </c>
    </row>
    <row r="877" spans="1:18" ht="25" customHeight="1">
      <c r="A877" s="12"/>
      <c r="B877" s="8"/>
      <c r="C877" s="8"/>
      <c r="D877" s="8"/>
      <c r="E877" s="8"/>
      <c r="F877" s="8"/>
      <c r="G877" s="8"/>
      <c r="H877" s="8"/>
      <c r="I877" s="11"/>
      <c r="J877" s="12"/>
      <c r="K877" s="12"/>
      <c r="L877" s="8"/>
      <c r="M877" s="8"/>
      <c r="N877" s="8"/>
      <c r="O877" s="8"/>
      <c r="P877" s="8"/>
      <c r="Q877" s="8">
        <f>IF(B877="","",IF(B877="P","P&amp;10",B877&amp;"D "&amp;C877))</f>
        <v/>
      </c>
      <c r="R877" s="8">
        <f>IF(L877&lt;&gt;"Y","",IF(COUNTIF('DEF_CALL_DECISION_SUPPORT'!$B$1197:$B$1256,SUBSTITUTE(SUBSTITUTE(SUBSTITUTE(E877,"~","~~"),"*","~*"),"?","~?"))&gt;0,"KNOWN","REVIEW: new call; refresh sources"))</f>
        <v/>
      </c>
    </row>
    <row r="878" spans="1:18" ht="25" customHeight="1">
      <c r="A878" s="12"/>
      <c r="B878" s="8"/>
      <c r="C878" s="8"/>
      <c r="D878" s="8"/>
      <c r="E878" s="8"/>
      <c r="F878" s="8"/>
      <c r="G878" s="8"/>
      <c r="H878" s="8"/>
      <c r="I878" s="11"/>
      <c r="J878" s="12"/>
      <c r="K878" s="12"/>
      <c r="L878" s="8"/>
      <c r="M878" s="8"/>
      <c r="N878" s="8"/>
      <c r="O878" s="8"/>
      <c r="P878" s="8"/>
      <c r="Q878" s="8">
        <f>IF(B878="","",IF(B878="P","P&amp;10",B878&amp;"D "&amp;C878))</f>
        <v/>
      </c>
      <c r="R878" s="8">
        <f>IF(L878&lt;&gt;"Y","",IF(COUNTIF('DEF_CALL_DECISION_SUPPORT'!$B$1197:$B$1256,SUBSTITUTE(SUBSTITUTE(SUBSTITUTE(E878,"~","~~"),"*","~*"),"?","~?"))&gt;0,"KNOWN","REVIEW: new call; refresh sources"))</f>
        <v/>
      </c>
    </row>
    <row r="879" spans="1:18" ht="25" customHeight="1">
      <c r="A879" s="12"/>
      <c r="B879" s="8"/>
      <c r="C879" s="8"/>
      <c r="D879" s="8"/>
      <c r="E879" s="8"/>
      <c r="F879" s="8"/>
      <c r="G879" s="8"/>
      <c r="H879" s="8"/>
      <c r="I879" s="11"/>
      <c r="J879" s="12"/>
      <c r="K879" s="12"/>
      <c r="L879" s="8"/>
      <c r="M879" s="8"/>
      <c r="N879" s="8"/>
      <c r="O879" s="8"/>
      <c r="P879" s="8"/>
      <c r="Q879" s="8">
        <f>IF(B879="","",IF(B879="P","P&amp;10",B879&amp;"D "&amp;C879))</f>
        <v/>
      </c>
      <c r="R879" s="8">
        <f>IF(L879&lt;&gt;"Y","",IF(COUNTIF('DEF_CALL_DECISION_SUPPORT'!$B$1197:$B$1256,SUBSTITUTE(SUBSTITUTE(SUBSTITUTE(E879,"~","~~"),"*","~*"),"?","~?"))&gt;0,"KNOWN","REVIEW: new call; refresh sources"))</f>
        <v/>
      </c>
    </row>
    <row r="880" spans="1:18" ht="25" customHeight="1">
      <c r="A880" s="12"/>
      <c r="B880" s="8"/>
      <c r="C880" s="8"/>
      <c r="D880" s="8"/>
      <c r="E880" s="8"/>
      <c r="F880" s="8"/>
      <c r="G880" s="8"/>
      <c r="H880" s="8"/>
      <c r="I880" s="11"/>
      <c r="J880" s="12"/>
      <c r="K880" s="12"/>
      <c r="L880" s="8"/>
      <c r="M880" s="8"/>
      <c r="N880" s="8"/>
      <c r="O880" s="8"/>
      <c r="P880" s="8"/>
      <c r="Q880" s="8">
        <f>IF(B880="","",IF(B880="P","P&amp;10",B880&amp;"D "&amp;C880))</f>
        <v/>
      </c>
      <c r="R880" s="8">
        <f>IF(L880&lt;&gt;"Y","",IF(COUNTIF('DEF_CALL_DECISION_SUPPORT'!$B$1197:$B$1256,SUBSTITUTE(SUBSTITUTE(SUBSTITUTE(E880,"~","~~"),"*","~*"),"?","~?"))&gt;0,"KNOWN","REVIEW: new call; refresh sources"))</f>
        <v/>
      </c>
    </row>
    <row r="881" spans="1:18" ht="25" customHeight="1">
      <c r="A881" s="12"/>
      <c r="B881" s="8"/>
      <c r="C881" s="8"/>
      <c r="D881" s="8"/>
      <c r="E881" s="8"/>
      <c r="F881" s="8"/>
      <c r="G881" s="8"/>
      <c r="H881" s="8"/>
      <c r="I881" s="11"/>
      <c r="J881" s="12"/>
      <c r="K881" s="12"/>
      <c r="L881" s="8"/>
      <c r="M881" s="8"/>
      <c r="N881" s="8"/>
      <c r="O881" s="8"/>
      <c r="P881" s="8"/>
      <c r="Q881" s="8">
        <f>IF(B881="","",IF(B881="P","P&amp;10",B881&amp;"D "&amp;C881))</f>
        <v/>
      </c>
      <c r="R881" s="8">
        <f>IF(L881&lt;&gt;"Y","",IF(COUNTIF('DEF_CALL_DECISION_SUPPORT'!$B$1197:$B$1256,SUBSTITUTE(SUBSTITUTE(SUBSTITUTE(E881,"~","~~"),"*","~*"),"?","~?"))&gt;0,"KNOWN","REVIEW: new call; refresh sources"))</f>
        <v/>
      </c>
    </row>
    <row r="882" spans="1:18" ht="25" customHeight="1">
      <c r="A882" s="12"/>
      <c r="B882" s="8"/>
      <c r="C882" s="8"/>
      <c r="D882" s="8"/>
      <c r="E882" s="8"/>
      <c r="F882" s="8"/>
      <c r="G882" s="8"/>
      <c r="H882" s="8"/>
      <c r="I882" s="11"/>
      <c r="J882" s="12"/>
      <c r="K882" s="12"/>
      <c r="L882" s="8"/>
      <c r="M882" s="8"/>
      <c r="N882" s="8"/>
      <c r="O882" s="8"/>
      <c r="P882" s="8"/>
      <c r="Q882" s="8">
        <f>IF(B882="","",IF(B882="P","P&amp;10",B882&amp;"D "&amp;C882))</f>
        <v/>
      </c>
      <c r="R882" s="8">
        <f>IF(L882&lt;&gt;"Y","",IF(COUNTIF('DEF_CALL_DECISION_SUPPORT'!$B$1197:$B$1256,SUBSTITUTE(SUBSTITUTE(SUBSTITUTE(E882,"~","~~"),"*","~*"),"?","~?"))&gt;0,"KNOWN","REVIEW: new call; refresh sources"))</f>
        <v/>
      </c>
    </row>
    <row r="883" spans="1:18" ht="25" customHeight="1">
      <c r="A883" s="12"/>
      <c r="B883" s="8"/>
      <c r="C883" s="8"/>
      <c r="D883" s="8"/>
      <c r="E883" s="8"/>
      <c r="F883" s="8"/>
      <c r="G883" s="8"/>
      <c r="H883" s="8"/>
      <c r="I883" s="11"/>
      <c r="J883" s="12"/>
      <c r="K883" s="12"/>
      <c r="L883" s="8"/>
      <c r="M883" s="8"/>
      <c r="N883" s="8"/>
      <c r="O883" s="8"/>
      <c r="P883" s="8"/>
      <c r="Q883" s="8">
        <f>IF(B883="","",IF(B883="P","P&amp;10",B883&amp;"D "&amp;C883))</f>
        <v/>
      </c>
      <c r="R883" s="8">
        <f>IF(L883&lt;&gt;"Y","",IF(COUNTIF('DEF_CALL_DECISION_SUPPORT'!$B$1197:$B$1256,SUBSTITUTE(SUBSTITUTE(SUBSTITUTE(E883,"~","~~"),"*","~*"),"?","~?"))&gt;0,"KNOWN","REVIEW: new call; refresh sources"))</f>
        <v/>
      </c>
    </row>
    <row r="884" spans="1:18" ht="25" customHeight="1">
      <c r="A884" s="12"/>
      <c r="B884" s="8"/>
      <c r="C884" s="8"/>
      <c r="D884" s="8"/>
      <c r="E884" s="8"/>
      <c r="F884" s="8"/>
      <c r="G884" s="8"/>
      <c r="H884" s="8"/>
      <c r="I884" s="11"/>
      <c r="J884" s="12"/>
      <c r="K884" s="12"/>
      <c r="L884" s="8"/>
      <c r="M884" s="8"/>
      <c r="N884" s="8"/>
      <c r="O884" s="8"/>
      <c r="P884" s="8"/>
      <c r="Q884" s="8">
        <f>IF(B884="","",IF(B884="P","P&amp;10",B884&amp;"D "&amp;C884))</f>
        <v/>
      </c>
      <c r="R884" s="8">
        <f>IF(L884&lt;&gt;"Y","",IF(COUNTIF('DEF_CALL_DECISION_SUPPORT'!$B$1197:$B$1256,SUBSTITUTE(SUBSTITUTE(SUBSTITUTE(E884,"~","~~"),"*","~*"),"?","~?"))&gt;0,"KNOWN","REVIEW: new call; refresh sources"))</f>
        <v/>
      </c>
    </row>
    <row r="885" spans="1:18" ht="25" customHeight="1">
      <c r="A885" s="12"/>
      <c r="B885" s="8"/>
      <c r="C885" s="8"/>
      <c r="D885" s="8"/>
      <c r="E885" s="8"/>
      <c r="F885" s="8"/>
      <c r="G885" s="8"/>
      <c r="H885" s="8"/>
      <c r="I885" s="11"/>
      <c r="J885" s="12"/>
      <c r="K885" s="12"/>
      <c r="L885" s="8"/>
      <c r="M885" s="8"/>
      <c r="N885" s="8"/>
      <c r="O885" s="8"/>
      <c r="P885" s="8"/>
      <c r="Q885" s="8">
        <f>IF(B885="","",IF(B885="P","P&amp;10",B885&amp;"D "&amp;C885))</f>
        <v/>
      </c>
      <c r="R885" s="8">
        <f>IF(L885&lt;&gt;"Y","",IF(COUNTIF('DEF_CALL_DECISION_SUPPORT'!$B$1197:$B$1256,SUBSTITUTE(SUBSTITUTE(SUBSTITUTE(E885,"~","~~"),"*","~*"),"?","~?"))&gt;0,"KNOWN","REVIEW: new call; refresh sources"))</f>
        <v/>
      </c>
    </row>
    <row r="886" spans="1:18" ht="25" customHeight="1">
      <c r="A886" s="12"/>
      <c r="B886" s="8"/>
      <c r="C886" s="8"/>
      <c r="D886" s="8"/>
      <c r="E886" s="8"/>
      <c r="F886" s="8"/>
      <c r="G886" s="8"/>
      <c r="H886" s="8"/>
      <c r="I886" s="11"/>
      <c r="J886" s="12"/>
      <c r="K886" s="12"/>
      <c r="L886" s="8"/>
      <c r="M886" s="8"/>
      <c r="N886" s="8"/>
      <c r="O886" s="8"/>
      <c r="P886" s="8"/>
      <c r="Q886" s="8">
        <f>IF(B886="","",IF(B886="P","P&amp;10",B886&amp;"D "&amp;C886))</f>
        <v/>
      </c>
      <c r="R886" s="8">
        <f>IF(L886&lt;&gt;"Y","",IF(COUNTIF('DEF_CALL_DECISION_SUPPORT'!$B$1197:$B$1256,SUBSTITUTE(SUBSTITUTE(SUBSTITUTE(E886,"~","~~"),"*","~*"),"?","~?"))&gt;0,"KNOWN","REVIEW: new call; refresh sources"))</f>
        <v/>
      </c>
    </row>
    <row r="887" spans="1:18" ht="25" customHeight="1">
      <c r="A887" s="12"/>
      <c r="B887" s="8"/>
      <c r="C887" s="8"/>
      <c r="D887" s="8"/>
      <c r="E887" s="8"/>
      <c r="F887" s="8"/>
      <c r="G887" s="8"/>
      <c r="H887" s="8"/>
      <c r="I887" s="11"/>
      <c r="J887" s="12"/>
      <c r="K887" s="12"/>
      <c r="L887" s="8"/>
      <c r="M887" s="8"/>
      <c r="N887" s="8"/>
      <c r="O887" s="8"/>
      <c r="P887" s="8"/>
      <c r="Q887" s="8">
        <f>IF(B887="","",IF(B887="P","P&amp;10",B887&amp;"D "&amp;C887))</f>
        <v/>
      </c>
      <c r="R887" s="8">
        <f>IF(L887&lt;&gt;"Y","",IF(COUNTIF('DEF_CALL_DECISION_SUPPORT'!$B$1197:$B$1256,SUBSTITUTE(SUBSTITUTE(SUBSTITUTE(E887,"~","~~"),"*","~*"),"?","~?"))&gt;0,"KNOWN","REVIEW: new call; refresh sources"))</f>
        <v/>
      </c>
    </row>
    <row r="888" spans="1:18" ht="25" customHeight="1">
      <c r="A888" s="12"/>
      <c r="B888" s="8"/>
      <c r="C888" s="8"/>
      <c r="D888" s="8"/>
      <c r="E888" s="8"/>
      <c r="F888" s="8"/>
      <c r="G888" s="8"/>
      <c r="H888" s="8"/>
      <c r="I888" s="11"/>
      <c r="J888" s="12"/>
      <c r="K888" s="12"/>
      <c r="L888" s="8"/>
      <c r="M888" s="8"/>
      <c r="N888" s="8"/>
      <c r="O888" s="8"/>
      <c r="P888" s="8"/>
      <c r="Q888" s="8">
        <f>IF(B888="","",IF(B888="P","P&amp;10",B888&amp;"D "&amp;C888))</f>
        <v/>
      </c>
      <c r="R888" s="8">
        <f>IF(L888&lt;&gt;"Y","",IF(COUNTIF('DEF_CALL_DECISION_SUPPORT'!$B$1197:$B$1256,SUBSTITUTE(SUBSTITUTE(SUBSTITUTE(E888,"~","~~"),"*","~*"),"?","~?"))&gt;0,"KNOWN","REVIEW: new call; refresh sources"))</f>
        <v/>
      </c>
    </row>
    <row r="889" spans="1:18" ht="25" customHeight="1">
      <c r="A889" s="12"/>
      <c r="B889" s="8"/>
      <c r="C889" s="8"/>
      <c r="D889" s="8"/>
      <c r="E889" s="8"/>
      <c r="F889" s="8"/>
      <c r="G889" s="8"/>
      <c r="H889" s="8"/>
      <c r="I889" s="11"/>
      <c r="J889" s="12"/>
      <c r="K889" s="12"/>
      <c r="L889" s="8"/>
      <c r="M889" s="8"/>
      <c r="N889" s="8"/>
      <c r="O889" s="8"/>
      <c r="P889" s="8"/>
      <c r="Q889" s="8">
        <f>IF(B889="","",IF(B889="P","P&amp;10",B889&amp;"D "&amp;C889))</f>
        <v/>
      </c>
      <c r="R889" s="8">
        <f>IF(L889&lt;&gt;"Y","",IF(COUNTIF('DEF_CALL_DECISION_SUPPORT'!$B$1197:$B$1256,SUBSTITUTE(SUBSTITUTE(SUBSTITUTE(E889,"~","~~"),"*","~*"),"?","~?"))&gt;0,"KNOWN","REVIEW: new call; refresh sources"))</f>
        <v/>
      </c>
    </row>
    <row r="890" spans="1:18" ht="25" customHeight="1">
      <c r="A890" s="12"/>
      <c r="B890" s="8"/>
      <c r="C890" s="8"/>
      <c r="D890" s="8"/>
      <c r="E890" s="8"/>
      <c r="F890" s="8"/>
      <c r="G890" s="8"/>
      <c r="H890" s="8"/>
      <c r="I890" s="11"/>
      <c r="J890" s="12"/>
      <c r="K890" s="12"/>
      <c r="L890" s="8"/>
      <c r="M890" s="8"/>
      <c r="N890" s="8"/>
      <c r="O890" s="8"/>
      <c r="P890" s="8"/>
      <c r="Q890" s="8">
        <f>IF(B890="","",IF(B890="P","P&amp;10",B890&amp;"D "&amp;C890))</f>
        <v/>
      </c>
      <c r="R890" s="8">
        <f>IF(L890&lt;&gt;"Y","",IF(COUNTIF('DEF_CALL_DECISION_SUPPORT'!$B$1197:$B$1256,SUBSTITUTE(SUBSTITUTE(SUBSTITUTE(E890,"~","~~"),"*","~*"),"?","~?"))&gt;0,"KNOWN","REVIEW: new call; refresh sources"))</f>
        <v/>
      </c>
    </row>
    <row r="891" spans="1:18" ht="25" customHeight="1">
      <c r="A891" s="12"/>
      <c r="B891" s="8"/>
      <c r="C891" s="8"/>
      <c r="D891" s="8"/>
      <c r="E891" s="8"/>
      <c r="F891" s="8"/>
      <c r="G891" s="8"/>
      <c r="H891" s="8"/>
      <c r="I891" s="11"/>
      <c r="J891" s="12"/>
      <c r="K891" s="12"/>
      <c r="L891" s="8"/>
      <c r="M891" s="8"/>
      <c r="N891" s="8"/>
      <c r="O891" s="8"/>
      <c r="P891" s="8"/>
      <c r="Q891" s="8">
        <f>IF(B891="","",IF(B891="P","P&amp;10",B891&amp;"D "&amp;C891))</f>
        <v/>
      </c>
      <c r="R891" s="8">
        <f>IF(L891&lt;&gt;"Y","",IF(COUNTIF('DEF_CALL_DECISION_SUPPORT'!$B$1197:$B$1256,SUBSTITUTE(SUBSTITUTE(SUBSTITUTE(E891,"~","~~"),"*","~*"),"?","~?"))&gt;0,"KNOWN","REVIEW: new call; refresh sources"))</f>
        <v/>
      </c>
    </row>
    <row r="892" spans="1:18" ht="25" customHeight="1">
      <c r="A892" s="12"/>
      <c r="B892" s="8"/>
      <c r="C892" s="8"/>
      <c r="D892" s="8"/>
      <c r="E892" s="8"/>
      <c r="F892" s="8"/>
      <c r="G892" s="8"/>
      <c r="H892" s="8"/>
      <c r="I892" s="11"/>
      <c r="J892" s="12"/>
      <c r="K892" s="12"/>
      <c r="L892" s="8"/>
      <c r="M892" s="8"/>
      <c r="N892" s="8"/>
      <c r="O892" s="8"/>
      <c r="P892" s="8"/>
      <c r="Q892" s="8">
        <f>IF(B892="","",IF(B892="P","P&amp;10",B892&amp;"D "&amp;C892))</f>
        <v/>
      </c>
      <c r="R892" s="8">
        <f>IF(L892&lt;&gt;"Y","",IF(COUNTIF('DEF_CALL_DECISION_SUPPORT'!$B$1197:$B$1256,SUBSTITUTE(SUBSTITUTE(SUBSTITUTE(E892,"~","~~"),"*","~*"),"?","~?"))&gt;0,"KNOWN","REVIEW: new call; refresh sources"))</f>
        <v/>
      </c>
    </row>
    <row r="893" spans="1:18" ht="25" customHeight="1">
      <c r="A893" s="12"/>
      <c r="B893" s="8"/>
      <c r="C893" s="8"/>
      <c r="D893" s="8"/>
      <c r="E893" s="8"/>
      <c r="F893" s="8"/>
      <c r="G893" s="8"/>
      <c r="H893" s="8"/>
      <c r="I893" s="11"/>
      <c r="J893" s="12"/>
      <c r="K893" s="12"/>
      <c r="L893" s="8"/>
      <c r="M893" s="8"/>
      <c r="N893" s="8"/>
      <c r="O893" s="8"/>
      <c r="P893" s="8"/>
      <c r="Q893" s="8">
        <f>IF(B893="","",IF(B893="P","P&amp;10",B893&amp;"D "&amp;C893))</f>
        <v/>
      </c>
      <c r="R893" s="8">
        <f>IF(L893&lt;&gt;"Y","",IF(COUNTIF('DEF_CALL_DECISION_SUPPORT'!$B$1197:$B$1256,SUBSTITUTE(SUBSTITUTE(SUBSTITUTE(E893,"~","~~"),"*","~*"),"?","~?"))&gt;0,"KNOWN","REVIEW: new call; refresh sources"))</f>
        <v/>
      </c>
    </row>
    <row r="894" spans="1:18" ht="25" customHeight="1">
      <c r="A894" s="12"/>
      <c r="B894" s="8"/>
      <c r="C894" s="8"/>
      <c r="D894" s="8"/>
      <c r="E894" s="8"/>
      <c r="F894" s="8"/>
      <c r="G894" s="8"/>
      <c r="H894" s="8"/>
      <c r="I894" s="11"/>
      <c r="J894" s="12"/>
      <c r="K894" s="12"/>
      <c r="L894" s="8"/>
      <c r="M894" s="8"/>
      <c r="N894" s="8"/>
      <c r="O894" s="8"/>
      <c r="P894" s="8"/>
      <c r="Q894" s="8">
        <f>IF(B894="","",IF(B894="P","P&amp;10",B894&amp;"D "&amp;C894))</f>
        <v/>
      </c>
      <c r="R894" s="8">
        <f>IF(L894&lt;&gt;"Y","",IF(COUNTIF('DEF_CALL_DECISION_SUPPORT'!$B$1197:$B$1256,SUBSTITUTE(SUBSTITUTE(SUBSTITUTE(E894,"~","~~"),"*","~*"),"?","~?"))&gt;0,"KNOWN","REVIEW: new call; refresh sources"))</f>
        <v/>
      </c>
    </row>
    <row r="895" spans="1:18" ht="25" customHeight="1">
      <c r="A895" s="12"/>
      <c r="B895" s="8"/>
      <c r="C895" s="8"/>
      <c r="D895" s="8"/>
      <c r="E895" s="8"/>
      <c r="F895" s="8"/>
      <c r="G895" s="8"/>
      <c r="H895" s="8"/>
      <c r="I895" s="11"/>
      <c r="J895" s="12"/>
      <c r="K895" s="12"/>
      <c r="L895" s="8"/>
      <c r="M895" s="8"/>
      <c r="N895" s="8"/>
      <c r="O895" s="8"/>
      <c r="P895" s="8"/>
      <c r="Q895" s="8">
        <f>IF(B895="","",IF(B895="P","P&amp;10",B895&amp;"D "&amp;C895))</f>
        <v/>
      </c>
      <c r="R895" s="8">
        <f>IF(L895&lt;&gt;"Y","",IF(COUNTIF('DEF_CALL_DECISION_SUPPORT'!$B$1197:$B$1256,SUBSTITUTE(SUBSTITUTE(SUBSTITUTE(E895,"~","~~"),"*","~*"),"?","~?"))&gt;0,"KNOWN","REVIEW: new call; refresh sources"))</f>
        <v/>
      </c>
    </row>
    <row r="896" spans="1:18" ht="25" customHeight="1">
      <c r="A896" s="12"/>
      <c r="B896" s="8"/>
      <c r="C896" s="8"/>
      <c r="D896" s="8"/>
      <c r="E896" s="8"/>
      <c r="F896" s="8"/>
      <c r="G896" s="8"/>
      <c r="H896" s="8"/>
      <c r="I896" s="11"/>
      <c r="J896" s="12"/>
      <c r="K896" s="12"/>
      <c r="L896" s="8"/>
      <c r="M896" s="8"/>
      <c r="N896" s="8"/>
      <c r="O896" s="8"/>
      <c r="P896" s="8"/>
      <c r="Q896" s="8">
        <f>IF(B896="","",IF(B896="P","P&amp;10",B896&amp;"D "&amp;C896))</f>
        <v/>
      </c>
      <c r="R896" s="8">
        <f>IF(L896&lt;&gt;"Y","",IF(COUNTIF('DEF_CALL_DECISION_SUPPORT'!$B$1197:$B$1256,SUBSTITUTE(SUBSTITUTE(SUBSTITUTE(E896,"~","~~"),"*","~*"),"?","~?"))&gt;0,"KNOWN","REVIEW: new call; refresh sources"))</f>
        <v/>
      </c>
    </row>
    <row r="897" spans="1:18" ht="25" customHeight="1">
      <c r="A897" s="12"/>
      <c r="B897" s="8"/>
      <c r="C897" s="8"/>
      <c r="D897" s="8"/>
      <c r="E897" s="8"/>
      <c r="F897" s="8"/>
      <c r="G897" s="8"/>
      <c r="H897" s="8"/>
      <c r="I897" s="11"/>
      <c r="J897" s="12"/>
      <c r="K897" s="12"/>
      <c r="L897" s="8"/>
      <c r="M897" s="8"/>
      <c r="N897" s="8"/>
      <c r="O897" s="8"/>
      <c r="P897" s="8"/>
      <c r="Q897" s="8">
        <f>IF(B897="","",IF(B897="P","P&amp;10",B897&amp;"D "&amp;C897))</f>
        <v/>
      </c>
      <c r="R897" s="8">
        <f>IF(L897&lt;&gt;"Y","",IF(COUNTIF('DEF_CALL_DECISION_SUPPORT'!$B$1197:$B$1256,SUBSTITUTE(SUBSTITUTE(SUBSTITUTE(E897,"~","~~"),"*","~*"),"?","~?"))&gt;0,"KNOWN","REVIEW: new call; refresh sources"))</f>
        <v/>
      </c>
    </row>
    <row r="898" spans="1:18" ht="25" customHeight="1">
      <c r="A898" s="12"/>
      <c r="B898" s="8"/>
      <c r="C898" s="8"/>
      <c r="D898" s="8"/>
      <c r="E898" s="8"/>
      <c r="F898" s="8"/>
      <c r="G898" s="8"/>
      <c r="H898" s="8"/>
      <c r="I898" s="11"/>
      <c r="J898" s="12"/>
      <c r="K898" s="12"/>
      <c r="L898" s="8"/>
      <c r="M898" s="8"/>
      <c r="N898" s="8"/>
      <c r="O898" s="8"/>
      <c r="P898" s="8"/>
      <c r="Q898" s="8">
        <f>IF(B898="","",IF(B898="P","P&amp;10",B898&amp;"D "&amp;C898))</f>
        <v/>
      </c>
      <c r="R898" s="8">
        <f>IF(L898&lt;&gt;"Y","",IF(COUNTIF('DEF_CALL_DECISION_SUPPORT'!$B$1197:$B$1256,SUBSTITUTE(SUBSTITUTE(SUBSTITUTE(E898,"~","~~"),"*","~*"),"?","~?"))&gt;0,"KNOWN","REVIEW: new call; refresh sources"))</f>
        <v/>
      </c>
    </row>
    <row r="899" spans="1:18" ht="25" customHeight="1">
      <c r="A899" s="12"/>
      <c r="B899" s="8"/>
      <c r="C899" s="8"/>
      <c r="D899" s="8"/>
      <c r="E899" s="8"/>
      <c r="F899" s="8"/>
      <c r="G899" s="8"/>
      <c r="H899" s="8"/>
      <c r="I899" s="11"/>
      <c r="J899" s="12"/>
      <c r="K899" s="12"/>
      <c r="L899" s="8"/>
      <c r="M899" s="8"/>
      <c r="N899" s="8"/>
      <c r="O899" s="8"/>
      <c r="P899" s="8"/>
      <c r="Q899" s="8">
        <f>IF(B899="","",IF(B899="P","P&amp;10",B899&amp;"D "&amp;C899))</f>
        <v/>
      </c>
      <c r="R899" s="8">
        <f>IF(L899&lt;&gt;"Y","",IF(COUNTIF('DEF_CALL_DECISION_SUPPORT'!$B$1197:$B$1256,SUBSTITUTE(SUBSTITUTE(SUBSTITUTE(E899,"~","~~"),"*","~*"),"?","~?"))&gt;0,"KNOWN","REVIEW: new call; refresh sources"))</f>
        <v/>
      </c>
    </row>
    <row r="900" spans="1:18" ht="25" customHeight="1">
      <c r="A900" s="12"/>
      <c r="B900" s="8"/>
      <c r="C900" s="8"/>
      <c r="D900" s="8"/>
      <c r="E900" s="8"/>
      <c r="F900" s="8"/>
      <c r="G900" s="8"/>
      <c r="H900" s="8"/>
      <c r="I900" s="11"/>
      <c r="J900" s="12"/>
      <c r="K900" s="12"/>
      <c r="L900" s="8"/>
      <c r="M900" s="8"/>
      <c r="N900" s="8"/>
      <c r="O900" s="8"/>
      <c r="P900" s="8"/>
      <c r="Q900" s="8">
        <f>IF(B900="","",IF(B900="P","P&amp;10",B900&amp;"D "&amp;C900))</f>
        <v/>
      </c>
      <c r="R900" s="8">
        <f>IF(L900&lt;&gt;"Y","",IF(COUNTIF('DEF_CALL_DECISION_SUPPORT'!$B$1197:$B$1256,SUBSTITUTE(SUBSTITUTE(SUBSTITUTE(E900,"~","~~"),"*","~*"),"?","~?"))&gt;0,"KNOWN","REVIEW: new call; refresh sources"))</f>
        <v/>
      </c>
    </row>
    <row r="901" spans="1:18" ht="25" customHeight="1">
      <c r="A901" s="12"/>
      <c r="B901" s="8"/>
      <c r="C901" s="8"/>
      <c r="D901" s="8"/>
      <c r="E901" s="8"/>
      <c r="F901" s="8"/>
      <c r="G901" s="8"/>
      <c r="H901" s="8"/>
      <c r="I901" s="11"/>
      <c r="J901" s="12"/>
      <c r="K901" s="12"/>
      <c r="L901" s="8"/>
      <c r="M901" s="8"/>
      <c r="N901" s="8"/>
      <c r="O901" s="8"/>
      <c r="P901" s="8"/>
      <c r="Q901" s="8">
        <f>IF(B901="","",IF(B901="P","P&amp;10",B901&amp;"D "&amp;C901))</f>
        <v/>
      </c>
      <c r="R901" s="8">
        <f>IF(L901&lt;&gt;"Y","",IF(COUNTIF('DEF_CALL_DECISION_SUPPORT'!$B$1197:$B$1256,SUBSTITUTE(SUBSTITUTE(SUBSTITUTE(E901,"~","~~"),"*","~*"),"?","~?"))&gt;0,"KNOWN","REVIEW: new call; refresh sources"))</f>
        <v/>
      </c>
    </row>
    <row r="902" spans="1:18" ht="25" customHeight="1">
      <c r="A902" s="12"/>
      <c r="B902" s="8"/>
      <c r="C902" s="8"/>
      <c r="D902" s="8"/>
      <c r="E902" s="8"/>
      <c r="F902" s="8"/>
      <c r="G902" s="8"/>
      <c r="H902" s="8"/>
      <c r="I902" s="11"/>
      <c r="J902" s="12"/>
      <c r="K902" s="12"/>
      <c r="L902" s="8"/>
      <c r="M902" s="8"/>
      <c r="N902" s="8"/>
      <c r="O902" s="8"/>
      <c r="P902" s="8"/>
      <c r="Q902" s="8">
        <f>IF(B902="","",IF(B902="P","P&amp;10",B902&amp;"D "&amp;C902))</f>
        <v/>
      </c>
      <c r="R902" s="8">
        <f>IF(L902&lt;&gt;"Y","",IF(COUNTIF('DEF_CALL_DECISION_SUPPORT'!$B$1197:$B$1256,SUBSTITUTE(SUBSTITUTE(SUBSTITUTE(E902,"~","~~"),"*","~*"),"?","~?"))&gt;0,"KNOWN","REVIEW: new call; refresh sources"))</f>
        <v/>
      </c>
    </row>
    <row r="903" spans="1:18" ht="25" customHeight="1">
      <c r="A903" s="12"/>
      <c r="B903" s="8"/>
      <c r="C903" s="8"/>
      <c r="D903" s="8"/>
      <c r="E903" s="8"/>
      <c r="F903" s="8"/>
      <c r="G903" s="8"/>
      <c r="H903" s="8"/>
      <c r="I903" s="11"/>
      <c r="J903" s="12"/>
      <c r="K903" s="12"/>
      <c r="L903" s="8"/>
      <c r="M903" s="8"/>
      <c r="N903" s="8"/>
      <c r="O903" s="8"/>
      <c r="P903" s="8"/>
      <c r="Q903" s="8">
        <f>IF(B903="","",IF(B903="P","P&amp;10",B903&amp;"D "&amp;C903))</f>
        <v/>
      </c>
      <c r="R903" s="8">
        <f>IF(L903&lt;&gt;"Y","",IF(COUNTIF('DEF_CALL_DECISION_SUPPORT'!$B$1197:$B$1256,SUBSTITUTE(SUBSTITUTE(SUBSTITUTE(E903,"~","~~"),"*","~*"),"?","~?"))&gt;0,"KNOWN","REVIEW: new call; refresh sources"))</f>
        <v/>
      </c>
    </row>
    <row r="904" spans="1:18" ht="25" customHeight="1">
      <c r="A904" s="12"/>
      <c r="B904" s="8"/>
      <c r="C904" s="8"/>
      <c r="D904" s="8"/>
      <c r="E904" s="8"/>
      <c r="F904" s="8"/>
      <c r="G904" s="8"/>
      <c r="H904" s="8"/>
      <c r="I904" s="11"/>
      <c r="J904" s="12"/>
      <c r="K904" s="12"/>
      <c r="L904" s="8"/>
      <c r="M904" s="8"/>
      <c r="N904" s="8"/>
      <c r="O904" s="8"/>
      <c r="P904" s="8"/>
      <c r="Q904" s="8">
        <f>IF(B904="","",IF(B904="P","P&amp;10",B904&amp;"D "&amp;C904))</f>
        <v/>
      </c>
      <c r="R904" s="8">
        <f>IF(L904&lt;&gt;"Y","",IF(COUNTIF('DEF_CALL_DECISION_SUPPORT'!$B$1197:$B$1256,SUBSTITUTE(SUBSTITUTE(SUBSTITUTE(E904,"~","~~"),"*","~*"),"?","~?"))&gt;0,"KNOWN","REVIEW: new call; refresh sources"))</f>
        <v/>
      </c>
    </row>
    <row r="905" spans="1:18" ht="25" customHeight="1">
      <c r="A905" s="12"/>
      <c r="B905" s="8"/>
      <c r="C905" s="8"/>
      <c r="D905" s="8"/>
      <c r="E905" s="8"/>
      <c r="F905" s="8"/>
      <c r="G905" s="8"/>
      <c r="H905" s="8"/>
      <c r="I905" s="11"/>
      <c r="J905" s="12"/>
      <c r="K905" s="12"/>
      <c r="L905" s="8"/>
      <c r="M905" s="8"/>
      <c r="N905" s="8"/>
      <c r="O905" s="8"/>
      <c r="P905" s="8"/>
      <c r="Q905" s="8">
        <f>IF(B905="","",IF(B905="P","P&amp;10",B905&amp;"D "&amp;C905))</f>
        <v/>
      </c>
      <c r="R905" s="8">
        <f>IF(L905&lt;&gt;"Y","",IF(COUNTIF('DEF_CALL_DECISION_SUPPORT'!$B$1197:$B$1256,SUBSTITUTE(SUBSTITUTE(SUBSTITUTE(E905,"~","~~"),"*","~*"),"?","~?"))&gt;0,"KNOWN","REVIEW: new call; refresh sources"))</f>
        <v/>
      </c>
    </row>
    <row r="906" spans="1:18" ht="25" customHeight="1">
      <c r="A906" s="12"/>
      <c r="B906" s="8"/>
      <c r="C906" s="8"/>
      <c r="D906" s="8"/>
      <c r="E906" s="8"/>
      <c r="F906" s="8"/>
      <c r="G906" s="8"/>
      <c r="H906" s="8"/>
      <c r="I906" s="11"/>
      <c r="J906" s="12"/>
      <c r="K906" s="12"/>
      <c r="L906" s="8"/>
      <c r="M906" s="8"/>
      <c r="N906" s="8"/>
      <c r="O906" s="8"/>
      <c r="P906" s="8"/>
      <c r="Q906" s="8">
        <f>IF(B906="","",IF(B906="P","P&amp;10",B906&amp;"D "&amp;C906))</f>
        <v/>
      </c>
      <c r="R906" s="8">
        <f>IF(L906&lt;&gt;"Y","",IF(COUNTIF('DEF_CALL_DECISION_SUPPORT'!$B$1197:$B$1256,SUBSTITUTE(SUBSTITUTE(SUBSTITUTE(E906,"~","~~"),"*","~*"),"?","~?"))&gt;0,"KNOWN","REVIEW: new call; refresh sources"))</f>
        <v/>
      </c>
    </row>
    <row r="907" spans="1:18" ht="25" customHeight="1">
      <c r="A907" s="12"/>
      <c r="B907" s="8"/>
      <c r="C907" s="8"/>
      <c r="D907" s="8"/>
      <c r="E907" s="8"/>
      <c r="F907" s="8"/>
      <c r="G907" s="8"/>
      <c r="H907" s="8"/>
      <c r="I907" s="11"/>
      <c r="J907" s="12"/>
      <c r="K907" s="12"/>
      <c r="L907" s="8"/>
      <c r="M907" s="8"/>
      <c r="N907" s="8"/>
      <c r="O907" s="8"/>
      <c r="P907" s="8"/>
      <c r="Q907" s="8">
        <f>IF(B907="","",IF(B907="P","P&amp;10",B907&amp;"D "&amp;C907))</f>
        <v/>
      </c>
      <c r="R907" s="8">
        <f>IF(L907&lt;&gt;"Y","",IF(COUNTIF('DEF_CALL_DECISION_SUPPORT'!$B$1197:$B$1256,SUBSTITUTE(SUBSTITUTE(SUBSTITUTE(E907,"~","~~"),"*","~*"),"?","~?"))&gt;0,"KNOWN","REVIEW: new call; refresh sources"))</f>
        <v/>
      </c>
    </row>
    <row r="908" spans="1:18" ht="25" customHeight="1">
      <c r="A908" s="12"/>
      <c r="B908" s="8"/>
      <c r="C908" s="8"/>
      <c r="D908" s="8"/>
      <c r="E908" s="8"/>
      <c r="F908" s="8"/>
      <c r="G908" s="8"/>
      <c r="H908" s="8"/>
      <c r="I908" s="11"/>
      <c r="J908" s="12"/>
      <c r="K908" s="12"/>
      <c r="L908" s="8"/>
      <c r="M908" s="8"/>
      <c r="N908" s="8"/>
      <c r="O908" s="8"/>
      <c r="P908" s="8"/>
      <c r="Q908" s="8">
        <f>IF(B908="","",IF(B908="P","P&amp;10",B908&amp;"D "&amp;C908))</f>
        <v/>
      </c>
      <c r="R908" s="8">
        <f>IF(L908&lt;&gt;"Y","",IF(COUNTIF('DEF_CALL_DECISION_SUPPORT'!$B$1197:$B$1256,SUBSTITUTE(SUBSTITUTE(SUBSTITUTE(E908,"~","~~"),"*","~*"),"?","~?"))&gt;0,"KNOWN","REVIEW: new call; refresh sources"))</f>
        <v/>
      </c>
    </row>
    <row r="909" spans="1:18" ht="25" customHeight="1">
      <c r="A909" s="12"/>
      <c r="B909" s="8"/>
      <c r="C909" s="8"/>
      <c r="D909" s="8"/>
      <c r="E909" s="8"/>
      <c r="F909" s="8"/>
      <c r="G909" s="8"/>
      <c r="H909" s="8"/>
      <c r="I909" s="11"/>
      <c r="J909" s="12"/>
      <c r="K909" s="12"/>
      <c r="L909" s="8"/>
      <c r="M909" s="8"/>
      <c r="N909" s="8"/>
      <c r="O909" s="8"/>
      <c r="P909" s="8"/>
      <c r="Q909" s="8">
        <f>IF(B909="","",IF(B909="P","P&amp;10",B909&amp;"D "&amp;C909))</f>
        <v/>
      </c>
      <c r="R909" s="8">
        <f>IF(L909&lt;&gt;"Y","",IF(COUNTIF('DEF_CALL_DECISION_SUPPORT'!$B$1197:$B$1256,SUBSTITUTE(SUBSTITUTE(SUBSTITUTE(E909,"~","~~"),"*","~*"),"?","~?"))&gt;0,"KNOWN","REVIEW: new call; refresh sources"))</f>
        <v/>
      </c>
    </row>
    <row r="910" spans="1:18" ht="25" customHeight="1">
      <c r="A910" s="12"/>
      <c r="B910" s="8"/>
      <c r="C910" s="8"/>
      <c r="D910" s="8"/>
      <c r="E910" s="8"/>
      <c r="F910" s="8"/>
      <c r="G910" s="8"/>
      <c r="H910" s="8"/>
      <c r="I910" s="11"/>
      <c r="J910" s="12"/>
      <c r="K910" s="12"/>
      <c r="L910" s="8"/>
      <c r="M910" s="8"/>
      <c r="N910" s="8"/>
      <c r="O910" s="8"/>
      <c r="P910" s="8"/>
      <c r="Q910" s="8">
        <f>IF(B910="","",IF(B910="P","P&amp;10",B910&amp;"D "&amp;C910))</f>
        <v/>
      </c>
      <c r="R910" s="8">
        <f>IF(L910&lt;&gt;"Y","",IF(COUNTIF('DEF_CALL_DECISION_SUPPORT'!$B$1197:$B$1256,SUBSTITUTE(SUBSTITUTE(SUBSTITUTE(E910,"~","~~"),"*","~*"),"?","~?"))&gt;0,"KNOWN","REVIEW: new call; refresh sources"))</f>
        <v/>
      </c>
    </row>
    <row r="911" spans="1:18" ht="25" customHeight="1">
      <c r="A911" s="12"/>
      <c r="B911" s="8"/>
      <c r="C911" s="8"/>
      <c r="D911" s="8"/>
      <c r="E911" s="8"/>
      <c r="F911" s="8"/>
      <c r="G911" s="8"/>
      <c r="H911" s="8"/>
      <c r="I911" s="11"/>
      <c r="J911" s="12"/>
      <c r="K911" s="12"/>
      <c r="L911" s="8"/>
      <c r="M911" s="8"/>
      <c r="N911" s="8"/>
      <c r="O911" s="8"/>
      <c r="P911" s="8"/>
      <c r="Q911" s="8">
        <f>IF(B911="","",IF(B911="P","P&amp;10",B911&amp;"D "&amp;C911))</f>
        <v/>
      </c>
      <c r="R911" s="8">
        <f>IF(L911&lt;&gt;"Y","",IF(COUNTIF('DEF_CALL_DECISION_SUPPORT'!$B$1197:$B$1256,SUBSTITUTE(SUBSTITUTE(SUBSTITUTE(E911,"~","~~"),"*","~*"),"?","~?"))&gt;0,"KNOWN","REVIEW: new call; refresh sources"))</f>
        <v/>
      </c>
    </row>
    <row r="912" spans="1:18" ht="25" customHeight="1">
      <c r="A912" s="12"/>
      <c r="B912" s="8"/>
      <c r="C912" s="8"/>
      <c r="D912" s="8"/>
      <c r="E912" s="8"/>
      <c r="F912" s="8"/>
      <c r="G912" s="8"/>
      <c r="H912" s="8"/>
      <c r="I912" s="11"/>
      <c r="J912" s="12"/>
      <c r="K912" s="12"/>
      <c r="L912" s="8"/>
      <c r="M912" s="8"/>
      <c r="N912" s="8"/>
      <c r="O912" s="8"/>
      <c r="P912" s="8"/>
      <c r="Q912" s="8">
        <f>IF(B912="","",IF(B912="P","P&amp;10",B912&amp;"D "&amp;C912))</f>
        <v/>
      </c>
      <c r="R912" s="8">
        <f>IF(L912&lt;&gt;"Y","",IF(COUNTIF('DEF_CALL_DECISION_SUPPORT'!$B$1197:$B$1256,SUBSTITUTE(SUBSTITUTE(SUBSTITUTE(E912,"~","~~"),"*","~*"),"?","~?"))&gt;0,"KNOWN","REVIEW: new call; refresh sources"))</f>
        <v/>
      </c>
    </row>
    <row r="913" spans="1:18" ht="25" customHeight="1">
      <c r="A913" s="12"/>
      <c r="B913" s="8"/>
      <c r="C913" s="8"/>
      <c r="D913" s="8"/>
      <c r="E913" s="8"/>
      <c r="F913" s="8"/>
      <c r="G913" s="8"/>
      <c r="H913" s="8"/>
      <c r="I913" s="11"/>
      <c r="J913" s="12"/>
      <c r="K913" s="12"/>
      <c r="L913" s="8"/>
      <c r="M913" s="8"/>
      <c r="N913" s="8"/>
      <c r="O913" s="8"/>
      <c r="P913" s="8"/>
      <c r="Q913" s="8">
        <f>IF(B913="","",IF(B913="P","P&amp;10",B913&amp;"D "&amp;C913))</f>
        <v/>
      </c>
      <c r="R913" s="8">
        <f>IF(L913&lt;&gt;"Y","",IF(COUNTIF('DEF_CALL_DECISION_SUPPORT'!$B$1197:$B$1256,SUBSTITUTE(SUBSTITUTE(SUBSTITUTE(E913,"~","~~"),"*","~*"),"?","~?"))&gt;0,"KNOWN","REVIEW: new call; refresh sources"))</f>
        <v/>
      </c>
    </row>
    <row r="914" spans="1:18" ht="25" customHeight="1">
      <c r="A914" s="12"/>
      <c r="B914" s="8"/>
      <c r="C914" s="8"/>
      <c r="D914" s="8"/>
      <c r="E914" s="8"/>
      <c r="F914" s="8"/>
      <c r="G914" s="8"/>
      <c r="H914" s="8"/>
      <c r="I914" s="11"/>
      <c r="J914" s="12"/>
      <c r="K914" s="12"/>
      <c r="L914" s="8"/>
      <c r="M914" s="8"/>
      <c r="N914" s="8"/>
      <c r="O914" s="8"/>
      <c r="P914" s="8"/>
      <c r="Q914" s="8">
        <f>IF(B914="","",IF(B914="P","P&amp;10",B914&amp;"D "&amp;C914))</f>
        <v/>
      </c>
      <c r="R914" s="8">
        <f>IF(L914&lt;&gt;"Y","",IF(COUNTIF('DEF_CALL_DECISION_SUPPORT'!$B$1197:$B$1256,SUBSTITUTE(SUBSTITUTE(SUBSTITUTE(E914,"~","~~"),"*","~*"),"?","~?"))&gt;0,"KNOWN","REVIEW: new call; refresh sources"))</f>
        <v/>
      </c>
    </row>
    <row r="915" spans="1:18" ht="25" customHeight="1">
      <c r="A915" s="12"/>
      <c r="B915" s="8"/>
      <c r="C915" s="8"/>
      <c r="D915" s="8"/>
      <c r="E915" s="8"/>
      <c r="F915" s="8"/>
      <c r="G915" s="8"/>
      <c r="H915" s="8"/>
      <c r="I915" s="11"/>
      <c r="J915" s="12"/>
      <c r="K915" s="12"/>
      <c r="L915" s="8"/>
      <c r="M915" s="8"/>
      <c r="N915" s="8"/>
      <c r="O915" s="8"/>
      <c r="P915" s="8"/>
      <c r="Q915" s="8">
        <f>IF(B915="","",IF(B915="P","P&amp;10",B915&amp;"D "&amp;C915))</f>
        <v/>
      </c>
      <c r="R915" s="8">
        <f>IF(L915&lt;&gt;"Y","",IF(COUNTIF('DEF_CALL_DECISION_SUPPORT'!$B$1197:$B$1256,SUBSTITUTE(SUBSTITUTE(SUBSTITUTE(E915,"~","~~"),"*","~*"),"?","~?"))&gt;0,"KNOWN","REVIEW: new call; refresh sources"))</f>
        <v/>
      </c>
    </row>
    <row r="916" spans="1:18" ht="25" customHeight="1">
      <c r="A916" s="12"/>
      <c r="B916" s="8"/>
      <c r="C916" s="8"/>
      <c r="D916" s="8"/>
      <c r="E916" s="8"/>
      <c r="F916" s="8"/>
      <c r="G916" s="8"/>
      <c r="H916" s="8"/>
      <c r="I916" s="11"/>
      <c r="J916" s="12"/>
      <c r="K916" s="12"/>
      <c r="L916" s="8"/>
      <c r="M916" s="8"/>
      <c r="N916" s="8"/>
      <c r="O916" s="8"/>
      <c r="P916" s="8"/>
      <c r="Q916" s="8">
        <f>IF(B916="","",IF(B916="P","P&amp;10",B916&amp;"D "&amp;C916))</f>
        <v/>
      </c>
      <c r="R916" s="8">
        <f>IF(L916&lt;&gt;"Y","",IF(COUNTIF('DEF_CALL_DECISION_SUPPORT'!$B$1197:$B$1256,SUBSTITUTE(SUBSTITUTE(SUBSTITUTE(E916,"~","~~"),"*","~*"),"?","~?"))&gt;0,"KNOWN","REVIEW: new call; refresh sources"))</f>
        <v/>
      </c>
    </row>
    <row r="917" spans="1:18" ht="25" customHeight="1">
      <c r="A917" s="12"/>
      <c r="B917" s="8"/>
      <c r="C917" s="8"/>
      <c r="D917" s="8"/>
      <c r="E917" s="8"/>
      <c r="F917" s="8"/>
      <c r="G917" s="8"/>
      <c r="H917" s="8"/>
      <c r="I917" s="11"/>
      <c r="J917" s="12"/>
      <c r="K917" s="12"/>
      <c r="L917" s="8"/>
      <c r="M917" s="8"/>
      <c r="N917" s="8"/>
      <c r="O917" s="8"/>
      <c r="P917" s="8"/>
      <c r="Q917" s="8">
        <f>IF(B917="","",IF(B917="P","P&amp;10",B917&amp;"D "&amp;C917))</f>
        <v/>
      </c>
      <c r="R917" s="8">
        <f>IF(L917&lt;&gt;"Y","",IF(COUNTIF('DEF_CALL_DECISION_SUPPORT'!$B$1197:$B$1256,SUBSTITUTE(SUBSTITUTE(SUBSTITUTE(E917,"~","~~"),"*","~*"),"?","~?"))&gt;0,"KNOWN","REVIEW: new call; refresh sources"))</f>
        <v/>
      </c>
    </row>
    <row r="918" spans="1:18" ht="25" customHeight="1">
      <c r="A918" s="12"/>
      <c r="B918" s="8"/>
      <c r="C918" s="8"/>
      <c r="D918" s="8"/>
      <c r="E918" s="8"/>
      <c r="F918" s="8"/>
      <c r="G918" s="8"/>
      <c r="H918" s="8"/>
      <c r="I918" s="11"/>
      <c r="J918" s="12"/>
      <c r="K918" s="12"/>
      <c r="L918" s="8"/>
      <c r="M918" s="8"/>
      <c r="N918" s="8"/>
      <c r="O918" s="8"/>
      <c r="P918" s="8"/>
      <c r="Q918" s="8">
        <f>IF(B918="","",IF(B918="P","P&amp;10",B918&amp;"D "&amp;C918))</f>
        <v/>
      </c>
      <c r="R918" s="8">
        <f>IF(L918&lt;&gt;"Y","",IF(COUNTIF('DEF_CALL_DECISION_SUPPORT'!$B$1197:$B$1256,SUBSTITUTE(SUBSTITUTE(SUBSTITUTE(E918,"~","~~"),"*","~*"),"?","~?"))&gt;0,"KNOWN","REVIEW: new call; refresh sources"))</f>
        <v/>
      </c>
    </row>
    <row r="919" spans="1:18" ht="25" customHeight="1">
      <c r="A919" s="12"/>
      <c r="B919" s="8"/>
      <c r="C919" s="8"/>
      <c r="D919" s="8"/>
      <c r="E919" s="8"/>
      <c r="F919" s="8"/>
      <c r="G919" s="8"/>
      <c r="H919" s="8"/>
      <c r="I919" s="11"/>
      <c r="J919" s="12"/>
      <c r="K919" s="12"/>
      <c r="L919" s="8"/>
      <c r="M919" s="8"/>
      <c r="N919" s="8"/>
      <c r="O919" s="8"/>
      <c r="P919" s="8"/>
      <c r="Q919" s="8">
        <f>IF(B919="","",IF(B919="P","P&amp;10",B919&amp;"D "&amp;C919))</f>
        <v/>
      </c>
      <c r="R919" s="8">
        <f>IF(L919&lt;&gt;"Y","",IF(COUNTIF('DEF_CALL_DECISION_SUPPORT'!$B$1197:$B$1256,SUBSTITUTE(SUBSTITUTE(SUBSTITUTE(E919,"~","~~"),"*","~*"),"?","~?"))&gt;0,"KNOWN","REVIEW: new call; refresh sources"))</f>
        <v/>
      </c>
    </row>
    <row r="920" spans="1:18" ht="25" customHeight="1">
      <c r="A920" s="12"/>
      <c r="B920" s="8"/>
      <c r="C920" s="8"/>
      <c r="D920" s="8"/>
      <c r="E920" s="8"/>
      <c r="F920" s="8"/>
      <c r="G920" s="8"/>
      <c r="H920" s="8"/>
      <c r="I920" s="11"/>
      <c r="J920" s="12"/>
      <c r="K920" s="12"/>
      <c r="L920" s="8"/>
      <c r="M920" s="8"/>
      <c r="N920" s="8"/>
      <c r="O920" s="8"/>
      <c r="P920" s="8"/>
      <c r="Q920" s="8">
        <f>IF(B920="","",IF(B920="P","P&amp;10",B920&amp;"D "&amp;C920))</f>
        <v/>
      </c>
      <c r="R920" s="8">
        <f>IF(L920&lt;&gt;"Y","",IF(COUNTIF('DEF_CALL_DECISION_SUPPORT'!$B$1197:$B$1256,SUBSTITUTE(SUBSTITUTE(SUBSTITUTE(E920,"~","~~"),"*","~*"),"?","~?"))&gt;0,"KNOWN","REVIEW: new call; refresh sources"))</f>
        <v/>
      </c>
    </row>
    <row r="921" spans="1:18" ht="25" customHeight="1">
      <c r="A921" s="12"/>
      <c r="B921" s="8"/>
      <c r="C921" s="8"/>
      <c r="D921" s="8"/>
      <c r="E921" s="8"/>
      <c r="F921" s="8"/>
      <c r="G921" s="8"/>
      <c r="H921" s="8"/>
      <c r="I921" s="11"/>
      <c r="J921" s="12"/>
      <c r="K921" s="12"/>
      <c r="L921" s="8"/>
      <c r="M921" s="8"/>
      <c r="N921" s="8"/>
      <c r="O921" s="8"/>
      <c r="P921" s="8"/>
      <c r="Q921" s="8">
        <f>IF(B921="","",IF(B921="P","P&amp;10",B921&amp;"D "&amp;C921))</f>
        <v/>
      </c>
      <c r="R921" s="8">
        <f>IF(L921&lt;&gt;"Y","",IF(COUNTIF('DEF_CALL_DECISION_SUPPORT'!$B$1197:$B$1256,SUBSTITUTE(SUBSTITUTE(SUBSTITUTE(E921,"~","~~"),"*","~*"),"?","~?"))&gt;0,"KNOWN","REVIEW: new call; refresh sources"))</f>
        <v/>
      </c>
    </row>
    <row r="922" spans="1:18" ht="25" customHeight="1">
      <c r="A922" s="12"/>
      <c r="B922" s="8"/>
      <c r="C922" s="8"/>
      <c r="D922" s="8"/>
      <c r="E922" s="8"/>
      <c r="F922" s="8"/>
      <c r="G922" s="8"/>
      <c r="H922" s="8"/>
      <c r="I922" s="11"/>
      <c r="J922" s="12"/>
      <c r="K922" s="12"/>
      <c r="L922" s="8"/>
      <c r="M922" s="8"/>
      <c r="N922" s="8"/>
      <c r="O922" s="8"/>
      <c r="P922" s="8"/>
      <c r="Q922" s="8">
        <f>IF(B922="","",IF(B922="P","P&amp;10",B922&amp;"D "&amp;C922))</f>
        <v/>
      </c>
      <c r="R922" s="8">
        <f>IF(L922&lt;&gt;"Y","",IF(COUNTIF('DEF_CALL_DECISION_SUPPORT'!$B$1197:$B$1256,SUBSTITUTE(SUBSTITUTE(SUBSTITUTE(E922,"~","~~"),"*","~*"),"?","~?"))&gt;0,"KNOWN","REVIEW: new call; refresh sources"))</f>
        <v/>
      </c>
    </row>
    <row r="923" spans="1:18" ht="25" customHeight="1">
      <c r="A923" s="12"/>
      <c r="B923" s="8"/>
      <c r="C923" s="8"/>
      <c r="D923" s="8"/>
      <c r="E923" s="8"/>
      <c r="F923" s="8"/>
      <c r="G923" s="8"/>
      <c r="H923" s="8"/>
      <c r="I923" s="11"/>
      <c r="J923" s="12"/>
      <c r="K923" s="12"/>
      <c r="L923" s="8"/>
      <c r="M923" s="8"/>
      <c r="N923" s="8"/>
      <c r="O923" s="8"/>
      <c r="P923" s="8"/>
      <c r="Q923" s="8">
        <f>IF(B923="","",IF(B923="P","P&amp;10",B923&amp;"D "&amp;C923))</f>
        <v/>
      </c>
      <c r="R923" s="8">
        <f>IF(L923&lt;&gt;"Y","",IF(COUNTIF('DEF_CALL_DECISION_SUPPORT'!$B$1197:$B$1256,SUBSTITUTE(SUBSTITUTE(SUBSTITUTE(E923,"~","~~"),"*","~*"),"?","~?"))&gt;0,"KNOWN","REVIEW: new call; refresh sources"))</f>
        <v/>
      </c>
    </row>
    <row r="924" spans="1:18" ht="25" customHeight="1">
      <c r="A924" s="12"/>
      <c r="B924" s="8"/>
      <c r="C924" s="8"/>
      <c r="D924" s="8"/>
      <c r="E924" s="8"/>
      <c r="F924" s="8"/>
      <c r="G924" s="8"/>
      <c r="H924" s="8"/>
      <c r="I924" s="11"/>
      <c r="J924" s="12"/>
      <c r="K924" s="12"/>
      <c r="L924" s="8"/>
      <c r="M924" s="8"/>
      <c r="N924" s="8"/>
      <c r="O924" s="8"/>
      <c r="P924" s="8"/>
      <c r="Q924" s="8">
        <f>IF(B924="","",IF(B924="P","P&amp;10",B924&amp;"D "&amp;C924))</f>
        <v/>
      </c>
      <c r="R924" s="8">
        <f>IF(L924&lt;&gt;"Y","",IF(COUNTIF('DEF_CALL_DECISION_SUPPORT'!$B$1197:$B$1256,SUBSTITUTE(SUBSTITUTE(SUBSTITUTE(E924,"~","~~"),"*","~*"),"?","~?"))&gt;0,"KNOWN","REVIEW: new call; refresh sources"))</f>
        <v/>
      </c>
    </row>
    <row r="925" spans="1:18" ht="25" customHeight="1">
      <c r="A925" s="12"/>
      <c r="B925" s="8"/>
      <c r="C925" s="8"/>
      <c r="D925" s="8"/>
      <c r="E925" s="8"/>
      <c r="F925" s="8"/>
      <c r="G925" s="8"/>
      <c r="H925" s="8"/>
      <c r="I925" s="11"/>
      <c r="J925" s="12"/>
      <c r="K925" s="12"/>
      <c r="L925" s="8"/>
      <c r="M925" s="8"/>
      <c r="N925" s="8"/>
      <c r="O925" s="8"/>
      <c r="P925" s="8"/>
      <c r="Q925" s="8">
        <f>IF(B925="","",IF(B925="P","P&amp;10",B925&amp;"D "&amp;C925))</f>
        <v/>
      </c>
      <c r="R925" s="8">
        <f>IF(L925&lt;&gt;"Y","",IF(COUNTIF('DEF_CALL_DECISION_SUPPORT'!$B$1197:$B$1256,SUBSTITUTE(SUBSTITUTE(SUBSTITUTE(E925,"~","~~"),"*","~*"),"?","~?"))&gt;0,"KNOWN","REVIEW: new call; refresh sources"))</f>
        <v/>
      </c>
    </row>
    <row r="926" spans="1:18" ht="25" customHeight="1">
      <c r="A926" s="12"/>
      <c r="B926" s="8"/>
      <c r="C926" s="8"/>
      <c r="D926" s="8"/>
      <c r="E926" s="8"/>
      <c r="F926" s="8"/>
      <c r="G926" s="8"/>
      <c r="H926" s="8"/>
      <c r="I926" s="11"/>
      <c r="J926" s="12"/>
      <c r="K926" s="12"/>
      <c r="L926" s="8"/>
      <c r="M926" s="8"/>
      <c r="N926" s="8"/>
      <c r="O926" s="8"/>
      <c r="P926" s="8"/>
      <c r="Q926" s="8">
        <f>IF(B926="","",IF(B926="P","P&amp;10",B926&amp;"D "&amp;C926))</f>
        <v/>
      </c>
      <c r="R926" s="8">
        <f>IF(L926&lt;&gt;"Y","",IF(COUNTIF('DEF_CALL_DECISION_SUPPORT'!$B$1197:$B$1256,SUBSTITUTE(SUBSTITUTE(SUBSTITUTE(E926,"~","~~"),"*","~*"),"?","~?"))&gt;0,"KNOWN","REVIEW: new call; refresh sources"))</f>
        <v/>
      </c>
    </row>
    <row r="927" spans="1:18" ht="25" customHeight="1">
      <c r="A927" s="12"/>
      <c r="B927" s="8"/>
      <c r="C927" s="8"/>
      <c r="D927" s="8"/>
      <c r="E927" s="8"/>
      <c r="F927" s="8"/>
      <c r="G927" s="8"/>
      <c r="H927" s="8"/>
      <c r="I927" s="11"/>
      <c r="J927" s="12"/>
      <c r="K927" s="12"/>
      <c r="L927" s="8"/>
      <c r="M927" s="8"/>
      <c r="N927" s="8"/>
      <c r="O927" s="8"/>
      <c r="P927" s="8"/>
      <c r="Q927" s="8">
        <f>IF(B927="","",IF(B927="P","P&amp;10",B927&amp;"D "&amp;C927))</f>
        <v/>
      </c>
      <c r="R927" s="8">
        <f>IF(L927&lt;&gt;"Y","",IF(COUNTIF('DEF_CALL_DECISION_SUPPORT'!$B$1197:$B$1256,SUBSTITUTE(SUBSTITUTE(SUBSTITUTE(E927,"~","~~"),"*","~*"),"?","~?"))&gt;0,"KNOWN","REVIEW: new call; refresh sources"))</f>
        <v/>
      </c>
    </row>
    <row r="928" spans="1:18" ht="25" customHeight="1">
      <c r="A928" s="12"/>
      <c r="B928" s="8"/>
      <c r="C928" s="8"/>
      <c r="D928" s="8"/>
      <c r="E928" s="8"/>
      <c r="F928" s="8"/>
      <c r="G928" s="8"/>
      <c r="H928" s="8"/>
      <c r="I928" s="11"/>
      <c r="J928" s="12"/>
      <c r="K928" s="12"/>
      <c r="L928" s="8"/>
      <c r="M928" s="8"/>
      <c r="N928" s="8"/>
      <c r="O928" s="8"/>
      <c r="P928" s="8"/>
      <c r="Q928" s="8">
        <f>IF(B928="","",IF(B928="P","P&amp;10",B928&amp;"D "&amp;C928))</f>
        <v/>
      </c>
      <c r="R928" s="8">
        <f>IF(L928&lt;&gt;"Y","",IF(COUNTIF('DEF_CALL_DECISION_SUPPORT'!$B$1197:$B$1256,SUBSTITUTE(SUBSTITUTE(SUBSTITUTE(E928,"~","~~"),"*","~*"),"?","~?"))&gt;0,"KNOWN","REVIEW: new call; refresh sources"))</f>
        <v/>
      </c>
    </row>
    <row r="929" spans="1:18" ht="25" customHeight="1">
      <c r="A929" s="12"/>
      <c r="B929" s="8"/>
      <c r="C929" s="8"/>
      <c r="D929" s="8"/>
      <c r="E929" s="8"/>
      <c r="F929" s="8"/>
      <c r="G929" s="8"/>
      <c r="H929" s="8"/>
      <c r="I929" s="11"/>
      <c r="J929" s="12"/>
      <c r="K929" s="12"/>
      <c r="L929" s="8"/>
      <c r="M929" s="8"/>
      <c r="N929" s="8"/>
      <c r="O929" s="8"/>
      <c r="P929" s="8"/>
      <c r="Q929" s="8">
        <f>IF(B929="","",IF(B929="P","P&amp;10",B929&amp;"D "&amp;C929))</f>
        <v/>
      </c>
      <c r="R929" s="8">
        <f>IF(L929&lt;&gt;"Y","",IF(COUNTIF('DEF_CALL_DECISION_SUPPORT'!$B$1197:$B$1256,SUBSTITUTE(SUBSTITUTE(SUBSTITUTE(E929,"~","~~"),"*","~*"),"?","~?"))&gt;0,"KNOWN","REVIEW: new call; refresh sources"))</f>
        <v/>
      </c>
    </row>
    <row r="930" spans="1:18" ht="25" customHeight="1">
      <c r="A930" s="12"/>
      <c r="B930" s="8"/>
      <c r="C930" s="8"/>
      <c r="D930" s="8"/>
      <c r="E930" s="8"/>
      <c r="F930" s="8"/>
      <c r="G930" s="8"/>
      <c r="H930" s="8"/>
      <c r="I930" s="11"/>
      <c r="J930" s="12"/>
      <c r="K930" s="12"/>
      <c r="L930" s="8"/>
      <c r="M930" s="8"/>
      <c r="N930" s="8"/>
      <c r="O930" s="8"/>
      <c r="P930" s="8"/>
      <c r="Q930" s="8">
        <f>IF(B930="","",IF(B930="P","P&amp;10",B930&amp;"D "&amp;C930))</f>
        <v/>
      </c>
      <c r="R930" s="8">
        <f>IF(L930&lt;&gt;"Y","",IF(COUNTIF('DEF_CALL_DECISION_SUPPORT'!$B$1197:$B$1256,SUBSTITUTE(SUBSTITUTE(SUBSTITUTE(E930,"~","~~"),"*","~*"),"?","~?"))&gt;0,"KNOWN","REVIEW: new call; refresh sources"))</f>
        <v/>
      </c>
    </row>
    <row r="931" spans="1:18" ht="25" customHeight="1">
      <c r="A931" s="12"/>
      <c r="B931" s="8"/>
      <c r="C931" s="8"/>
      <c r="D931" s="8"/>
      <c r="E931" s="8"/>
      <c r="F931" s="8"/>
      <c r="G931" s="8"/>
      <c r="H931" s="8"/>
      <c r="I931" s="11"/>
      <c r="J931" s="12"/>
      <c r="K931" s="12"/>
      <c r="L931" s="8"/>
      <c r="M931" s="8"/>
      <c r="N931" s="8"/>
      <c r="O931" s="8"/>
      <c r="P931" s="8"/>
      <c r="Q931" s="8">
        <f>IF(B931="","",IF(B931="P","P&amp;10",B931&amp;"D "&amp;C931))</f>
        <v/>
      </c>
      <c r="R931" s="8">
        <f>IF(L931&lt;&gt;"Y","",IF(COUNTIF('DEF_CALL_DECISION_SUPPORT'!$B$1197:$B$1256,SUBSTITUTE(SUBSTITUTE(SUBSTITUTE(E931,"~","~~"),"*","~*"),"?","~?"))&gt;0,"KNOWN","REVIEW: new call; refresh sources"))</f>
        <v/>
      </c>
    </row>
    <row r="932" spans="1:18" ht="25" customHeight="1">
      <c r="A932" s="12"/>
      <c r="B932" s="8"/>
      <c r="C932" s="8"/>
      <c r="D932" s="8"/>
      <c r="E932" s="8"/>
      <c r="F932" s="8"/>
      <c r="G932" s="8"/>
      <c r="H932" s="8"/>
      <c r="I932" s="11"/>
      <c r="J932" s="12"/>
      <c r="K932" s="12"/>
      <c r="L932" s="8"/>
      <c r="M932" s="8"/>
      <c r="N932" s="8"/>
      <c r="O932" s="8"/>
      <c r="P932" s="8"/>
      <c r="Q932" s="8">
        <f>IF(B932="","",IF(B932="P","P&amp;10",B932&amp;"D "&amp;C932))</f>
        <v/>
      </c>
      <c r="R932" s="8">
        <f>IF(L932&lt;&gt;"Y","",IF(COUNTIF('DEF_CALL_DECISION_SUPPORT'!$B$1197:$B$1256,SUBSTITUTE(SUBSTITUTE(SUBSTITUTE(E932,"~","~~"),"*","~*"),"?","~?"))&gt;0,"KNOWN","REVIEW: new call; refresh sources"))</f>
        <v/>
      </c>
    </row>
    <row r="933" spans="1:18" ht="25" customHeight="1">
      <c r="A933" s="12"/>
      <c r="B933" s="8"/>
      <c r="C933" s="8"/>
      <c r="D933" s="8"/>
      <c r="E933" s="8"/>
      <c r="F933" s="8"/>
      <c r="G933" s="8"/>
      <c r="H933" s="8"/>
      <c r="I933" s="11"/>
      <c r="J933" s="12"/>
      <c r="K933" s="12"/>
      <c r="L933" s="8"/>
      <c r="M933" s="8"/>
      <c r="N933" s="8"/>
      <c r="O933" s="8"/>
      <c r="P933" s="8"/>
      <c r="Q933" s="8">
        <f>IF(B933="","",IF(B933="P","P&amp;10",B933&amp;"D "&amp;C933))</f>
        <v/>
      </c>
      <c r="R933" s="8">
        <f>IF(L933&lt;&gt;"Y","",IF(COUNTIF('DEF_CALL_DECISION_SUPPORT'!$B$1197:$B$1256,SUBSTITUTE(SUBSTITUTE(SUBSTITUTE(E933,"~","~~"),"*","~*"),"?","~?"))&gt;0,"KNOWN","REVIEW: new call; refresh sources"))</f>
        <v/>
      </c>
    </row>
    <row r="934" spans="1:18" ht="25" customHeight="1">
      <c r="A934" s="12"/>
      <c r="B934" s="8"/>
      <c r="C934" s="8"/>
      <c r="D934" s="8"/>
      <c r="E934" s="8"/>
      <c r="F934" s="8"/>
      <c r="G934" s="8"/>
      <c r="H934" s="8"/>
      <c r="I934" s="11"/>
      <c r="J934" s="12"/>
      <c r="K934" s="12"/>
      <c r="L934" s="8"/>
      <c r="M934" s="8"/>
      <c r="N934" s="8"/>
      <c r="O934" s="8"/>
      <c r="P934" s="8"/>
      <c r="Q934" s="8">
        <f>IF(B934="","",IF(B934="P","P&amp;10",B934&amp;"D "&amp;C934))</f>
        <v/>
      </c>
      <c r="R934" s="8">
        <f>IF(L934&lt;&gt;"Y","",IF(COUNTIF('DEF_CALL_DECISION_SUPPORT'!$B$1197:$B$1256,SUBSTITUTE(SUBSTITUTE(SUBSTITUTE(E934,"~","~~"),"*","~*"),"?","~?"))&gt;0,"KNOWN","REVIEW: new call; refresh sources"))</f>
        <v/>
      </c>
    </row>
    <row r="935" spans="1:18" ht="25" customHeight="1">
      <c r="A935" s="12"/>
      <c r="B935" s="8"/>
      <c r="C935" s="8"/>
      <c r="D935" s="8"/>
      <c r="E935" s="8"/>
      <c r="F935" s="8"/>
      <c r="G935" s="8"/>
      <c r="H935" s="8"/>
      <c r="I935" s="11"/>
      <c r="J935" s="12"/>
      <c r="K935" s="12"/>
      <c r="L935" s="8"/>
      <c r="M935" s="8"/>
      <c r="N935" s="8"/>
      <c r="O935" s="8"/>
      <c r="P935" s="8"/>
      <c r="Q935" s="8">
        <f>IF(B935="","",IF(B935="P","P&amp;10",B935&amp;"D "&amp;C935))</f>
        <v/>
      </c>
      <c r="R935" s="8">
        <f>IF(L935&lt;&gt;"Y","",IF(COUNTIF('DEF_CALL_DECISION_SUPPORT'!$B$1197:$B$1256,SUBSTITUTE(SUBSTITUTE(SUBSTITUTE(E935,"~","~~"),"*","~*"),"?","~?"))&gt;0,"KNOWN","REVIEW: new call; refresh sources"))</f>
        <v/>
      </c>
    </row>
    <row r="936" spans="1:18" ht="25" customHeight="1">
      <c r="A936" s="12"/>
      <c r="B936" s="8"/>
      <c r="C936" s="8"/>
      <c r="D936" s="8"/>
      <c r="E936" s="8"/>
      <c r="F936" s="8"/>
      <c r="G936" s="8"/>
      <c r="H936" s="8"/>
      <c r="I936" s="11"/>
      <c r="J936" s="12"/>
      <c r="K936" s="12"/>
      <c r="L936" s="8"/>
      <c r="M936" s="8"/>
      <c r="N936" s="8"/>
      <c r="O936" s="8"/>
      <c r="P936" s="8"/>
      <c r="Q936" s="8">
        <f>IF(B936="","",IF(B936="P","P&amp;10",B936&amp;"D "&amp;C936))</f>
        <v/>
      </c>
      <c r="R936" s="8">
        <f>IF(L936&lt;&gt;"Y","",IF(COUNTIF('DEF_CALL_DECISION_SUPPORT'!$B$1197:$B$1256,SUBSTITUTE(SUBSTITUTE(SUBSTITUTE(E936,"~","~~"),"*","~*"),"?","~?"))&gt;0,"KNOWN","REVIEW: new call; refresh sources"))</f>
        <v/>
      </c>
    </row>
    <row r="937" spans="1:18" ht="25" customHeight="1">
      <c r="A937" s="12"/>
      <c r="B937" s="8"/>
      <c r="C937" s="8"/>
      <c r="D937" s="8"/>
      <c r="E937" s="8"/>
      <c r="F937" s="8"/>
      <c r="G937" s="8"/>
      <c r="H937" s="8"/>
      <c r="I937" s="11"/>
      <c r="J937" s="12"/>
      <c r="K937" s="12"/>
      <c r="L937" s="8"/>
      <c r="M937" s="8"/>
      <c r="N937" s="8"/>
      <c r="O937" s="8"/>
      <c r="P937" s="8"/>
      <c r="Q937" s="8">
        <f>IF(B937="","",IF(B937="P","P&amp;10",B937&amp;"D "&amp;C937))</f>
        <v/>
      </c>
      <c r="R937" s="8">
        <f>IF(L937&lt;&gt;"Y","",IF(COUNTIF('DEF_CALL_DECISION_SUPPORT'!$B$1197:$B$1256,SUBSTITUTE(SUBSTITUTE(SUBSTITUTE(E937,"~","~~"),"*","~*"),"?","~?"))&gt;0,"KNOWN","REVIEW: new call; refresh sources"))</f>
        <v/>
      </c>
    </row>
    <row r="938" spans="1:18" ht="25" customHeight="1">
      <c r="A938" s="12"/>
      <c r="B938" s="8"/>
      <c r="C938" s="8"/>
      <c r="D938" s="8"/>
      <c r="E938" s="8"/>
      <c r="F938" s="8"/>
      <c r="G938" s="8"/>
      <c r="H938" s="8"/>
      <c r="I938" s="11"/>
      <c r="J938" s="12"/>
      <c r="K938" s="12"/>
      <c r="L938" s="8"/>
      <c r="M938" s="8"/>
      <c r="N938" s="8"/>
      <c r="O938" s="8"/>
      <c r="P938" s="8"/>
      <c r="Q938" s="8">
        <f>IF(B938="","",IF(B938="P","P&amp;10",B938&amp;"D "&amp;C938))</f>
        <v/>
      </c>
      <c r="R938" s="8">
        <f>IF(L938&lt;&gt;"Y","",IF(COUNTIF('DEF_CALL_DECISION_SUPPORT'!$B$1197:$B$1256,SUBSTITUTE(SUBSTITUTE(SUBSTITUTE(E938,"~","~~"),"*","~*"),"?","~?"))&gt;0,"KNOWN","REVIEW: new call; refresh sources"))</f>
        <v/>
      </c>
    </row>
    <row r="939" spans="1:18" ht="25" customHeight="1">
      <c r="A939" s="12"/>
      <c r="B939" s="8"/>
      <c r="C939" s="8"/>
      <c r="D939" s="8"/>
      <c r="E939" s="8"/>
      <c r="F939" s="8"/>
      <c r="G939" s="8"/>
      <c r="H939" s="8"/>
      <c r="I939" s="11"/>
      <c r="J939" s="12"/>
      <c r="K939" s="12"/>
      <c r="L939" s="8"/>
      <c r="M939" s="8"/>
      <c r="N939" s="8"/>
      <c r="O939" s="8"/>
      <c r="P939" s="8"/>
      <c r="Q939" s="8">
        <f>IF(B939="","",IF(B939="P","P&amp;10",B939&amp;"D "&amp;C939))</f>
        <v/>
      </c>
      <c r="R939" s="8">
        <f>IF(L939&lt;&gt;"Y","",IF(COUNTIF('DEF_CALL_DECISION_SUPPORT'!$B$1197:$B$1256,SUBSTITUTE(SUBSTITUTE(SUBSTITUTE(E939,"~","~~"),"*","~*"),"?","~?"))&gt;0,"KNOWN","REVIEW: new call; refresh sources"))</f>
        <v/>
      </c>
    </row>
    <row r="940" spans="1:18" ht="25" customHeight="1">
      <c r="A940" s="12"/>
      <c r="B940" s="8"/>
      <c r="C940" s="8"/>
      <c r="D940" s="8"/>
      <c r="E940" s="8"/>
      <c r="F940" s="8"/>
      <c r="G940" s="8"/>
      <c r="H940" s="8"/>
      <c r="I940" s="11"/>
      <c r="J940" s="12"/>
      <c r="K940" s="12"/>
      <c r="L940" s="8"/>
      <c r="M940" s="8"/>
      <c r="N940" s="8"/>
      <c r="O940" s="8"/>
      <c r="P940" s="8"/>
      <c r="Q940" s="8">
        <f>IF(B940="","",IF(B940="P","P&amp;10",B940&amp;"D "&amp;C940))</f>
        <v/>
      </c>
      <c r="R940" s="8">
        <f>IF(L940&lt;&gt;"Y","",IF(COUNTIF('DEF_CALL_DECISION_SUPPORT'!$B$1197:$B$1256,SUBSTITUTE(SUBSTITUTE(SUBSTITUTE(E940,"~","~~"),"*","~*"),"?","~?"))&gt;0,"KNOWN","REVIEW: new call; refresh sources"))</f>
        <v/>
      </c>
    </row>
    <row r="941" spans="1:18" ht="25" customHeight="1">
      <c r="A941" s="12"/>
      <c r="B941" s="8"/>
      <c r="C941" s="8"/>
      <c r="D941" s="8"/>
      <c r="E941" s="8"/>
      <c r="F941" s="8"/>
      <c r="G941" s="8"/>
      <c r="H941" s="8"/>
      <c r="I941" s="11"/>
      <c r="J941" s="12"/>
      <c r="K941" s="12"/>
      <c r="L941" s="8"/>
      <c r="M941" s="8"/>
      <c r="N941" s="8"/>
      <c r="O941" s="8"/>
      <c r="P941" s="8"/>
      <c r="Q941" s="8">
        <f>IF(B941="","",IF(B941="P","P&amp;10",B941&amp;"D "&amp;C941))</f>
        <v/>
      </c>
      <c r="R941" s="8">
        <f>IF(L941&lt;&gt;"Y","",IF(COUNTIF('DEF_CALL_DECISION_SUPPORT'!$B$1197:$B$1256,SUBSTITUTE(SUBSTITUTE(SUBSTITUTE(E941,"~","~~"),"*","~*"),"?","~?"))&gt;0,"KNOWN","REVIEW: new call; refresh sources"))</f>
        <v/>
      </c>
    </row>
    <row r="942" spans="1:18" ht="25" customHeight="1">
      <c r="A942" s="12"/>
      <c r="B942" s="8"/>
      <c r="C942" s="8"/>
      <c r="D942" s="8"/>
      <c r="E942" s="8"/>
      <c r="F942" s="8"/>
      <c r="G942" s="8"/>
      <c r="H942" s="8"/>
      <c r="I942" s="11"/>
      <c r="J942" s="12"/>
      <c r="K942" s="12"/>
      <c r="L942" s="8"/>
      <c r="M942" s="8"/>
      <c r="N942" s="8"/>
      <c r="O942" s="8"/>
      <c r="P942" s="8"/>
      <c r="Q942" s="8">
        <f>IF(B942="","",IF(B942="P","P&amp;10",B942&amp;"D "&amp;C942))</f>
        <v/>
      </c>
      <c r="R942" s="8">
        <f>IF(L942&lt;&gt;"Y","",IF(COUNTIF('DEF_CALL_DECISION_SUPPORT'!$B$1197:$B$1256,SUBSTITUTE(SUBSTITUTE(SUBSTITUTE(E942,"~","~~"),"*","~*"),"?","~?"))&gt;0,"KNOWN","REVIEW: new call; refresh sources"))</f>
        <v/>
      </c>
    </row>
    <row r="943" spans="1:18" ht="25" customHeight="1">
      <c r="A943" s="12"/>
      <c r="B943" s="8"/>
      <c r="C943" s="8"/>
      <c r="D943" s="8"/>
      <c r="E943" s="8"/>
      <c r="F943" s="8"/>
      <c r="G943" s="8"/>
      <c r="H943" s="8"/>
      <c r="I943" s="11"/>
      <c r="J943" s="12"/>
      <c r="K943" s="12"/>
      <c r="L943" s="8"/>
      <c r="M943" s="8"/>
      <c r="N943" s="8"/>
      <c r="O943" s="8"/>
      <c r="P943" s="8"/>
      <c r="Q943" s="8">
        <f>IF(B943="","",IF(B943="P","P&amp;10",B943&amp;"D "&amp;C943))</f>
        <v/>
      </c>
      <c r="R943" s="8">
        <f>IF(L943&lt;&gt;"Y","",IF(COUNTIF('DEF_CALL_DECISION_SUPPORT'!$B$1197:$B$1256,SUBSTITUTE(SUBSTITUTE(SUBSTITUTE(E943,"~","~~"),"*","~*"),"?","~?"))&gt;0,"KNOWN","REVIEW: new call; refresh sources"))</f>
        <v/>
      </c>
    </row>
    <row r="944" spans="1:18" ht="25" customHeight="1">
      <c r="A944" s="12"/>
      <c r="B944" s="8"/>
      <c r="C944" s="8"/>
      <c r="D944" s="8"/>
      <c r="E944" s="8"/>
      <c r="F944" s="8"/>
      <c r="G944" s="8"/>
      <c r="H944" s="8"/>
      <c r="I944" s="11"/>
      <c r="J944" s="12"/>
      <c r="K944" s="12"/>
      <c r="L944" s="8"/>
      <c r="M944" s="8"/>
      <c r="N944" s="8"/>
      <c r="O944" s="8"/>
      <c r="P944" s="8"/>
      <c r="Q944" s="8">
        <f>IF(B944="","",IF(B944="P","P&amp;10",B944&amp;"D "&amp;C944))</f>
        <v/>
      </c>
      <c r="R944" s="8">
        <f>IF(L944&lt;&gt;"Y","",IF(COUNTIF('DEF_CALL_DECISION_SUPPORT'!$B$1197:$B$1256,SUBSTITUTE(SUBSTITUTE(SUBSTITUTE(E944,"~","~~"),"*","~*"),"?","~?"))&gt;0,"KNOWN","REVIEW: new call; refresh sources"))</f>
        <v/>
      </c>
    </row>
    <row r="945" spans="1:18" ht="25" customHeight="1">
      <c r="A945" s="12"/>
      <c r="B945" s="8"/>
      <c r="C945" s="8"/>
      <c r="D945" s="8"/>
      <c r="E945" s="8"/>
      <c r="F945" s="8"/>
      <c r="G945" s="8"/>
      <c r="H945" s="8"/>
      <c r="I945" s="11"/>
      <c r="J945" s="12"/>
      <c r="K945" s="12"/>
      <c r="L945" s="8"/>
      <c r="M945" s="8"/>
      <c r="N945" s="8"/>
      <c r="O945" s="8"/>
      <c r="P945" s="8"/>
      <c r="Q945" s="8">
        <f>IF(B945="","",IF(B945="P","P&amp;10",B945&amp;"D "&amp;C945))</f>
        <v/>
      </c>
      <c r="R945" s="8">
        <f>IF(L945&lt;&gt;"Y","",IF(COUNTIF('DEF_CALL_DECISION_SUPPORT'!$B$1197:$B$1256,SUBSTITUTE(SUBSTITUTE(SUBSTITUTE(E945,"~","~~"),"*","~*"),"?","~?"))&gt;0,"KNOWN","REVIEW: new call; refresh sources"))</f>
        <v/>
      </c>
    </row>
    <row r="946" spans="1:18" ht="25" customHeight="1">
      <c r="A946" s="12"/>
      <c r="B946" s="8"/>
      <c r="C946" s="8"/>
      <c r="D946" s="8"/>
      <c r="E946" s="8"/>
      <c r="F946" s="8"/>
      <c r="G946" s="8"/>
      <c r="H946" s="8"/>
      <c r="I946" s="11"/>
      <c r="J946" s="12"/>
      <c r="K946" s="12"/>
      <c r="L946" s="8"/>
      <c r="M946" s="8"/>
      <c r="N946" s="8"/>
      <c r="O946" s="8"/>
      <c r="P946" s="8"/>
      <c r="Q946" s="8">
        <f>IF(B946="","",IF(B946="P","P&amp;10",B946&amp;"D "&amp;C946))</f>
        <v/>
      </c>
      <c r="R946" s="8">
        <f>IF(L946&lt;&gt;"Y","",IF(COUNTIF('DEF_CALL_DECISION_SUPPORT'!$B$1197:$B$1256,SUBSTITUTE(SUBSTITUTE(SUBSTITUTE(E946,"~","~~"),"*","~*"),"?","~?"))&gt;0,"KNOWN","REVIEW: new call; refresh sources"))</f>
        <v/>
      </c>
    </row>
    <row r="947" spans="1:18" ht="25" customHeight="1">
      <c r="A947" s="12"/>
      <c r="B947" s="8"/>
      <c r="C947" s="8"/>
      <c r="D947" s="8"/>
      <c r="E947" s="8"/>
      <c r="F947" s="8"/>
      <c r="G947" s="8"/>
      <c r="H947" s="8"/>
      <c r="I947" s="11"/>
      <c r="J947" s="12"/>
      <c r="K947" s="12"/>
      <c r="L947" s="8"/>
      <c r="M947" s="8"/>
      <c r="N947" s="8"/>
      <c r="O947" s="8"/>
      <c r="P947" s="8"/>
      <c r="Q947" s="8">
        <f>IF(B947="","",IF(B947="P","P&amp;10",B947&amp;"D "&amp;C947))</f>
        <v/>
      </c>
      <c r="R947" s="8">
        <f>IF(L947&lt;&gt;"Y","",IF(COUNTIF('DEF_CALL_DECISION_SUPPORT'!$B$1197:$B$1256,SUBSTITUTE(SUBSTITUTE(SUBSTITUTE(E947,"~","~~"),"*","~*"),"?","~?"))&gt;0,"KNOWN","REVIEW: new call; refresh sources"))</f>
        <v/>
      </c>
    </row>
    <row r="948" spans="1:18" ht="25" customHeight="1">
      <c r="A948" s="12"/>
      <c r="B948" s="8"/>
      <c r="C948" s="8"/>
      <c r="D948" s="8"/>
      <c r="E948" s="8"/>
      <c r="F948" s="8"/>
      <c r="G948" s="8"/>
      <c r="H948" s="8"/>
      <c r="I948" s="11"/>
      <c r="J948" s="12"/>
      <c r="K948" s="12"/>
      <c r="L948" s="8"/>
      <c r="M948" s="8"/>
      <c r="N948" s="8"/>
      <c r="O948" s="8"/>
      <c r="P948" s="8"/>
      <c r="Q948" s="8">
        <f>IF(B948="","",IF(B948="P","P&amp;10",B948&amp;"D "&amp;C948))</f>
        <v/>
      </c>
      <c r="R948" s="8">
        <f>IF(L948&lt;&gt;"Y","",IF(COUNTIF('DEF_CALL_DECISION_SUPPORT'!$B$1197:$B$1256,SUBSTITUTE(SUBSTITUTE(SUBSTITUTE(E948,"~","~~"),"*","~*"),"?","~?"))&gt;0,"KNOWN","REVIEW: new call; refresh sources"))</f>
        <v/>
      </c>
    </row>
    <row r="949" spans="1:18" ht="25" customHeight="1">
      <c r="A949" s="12"/>
      <c r="B949" s="8"/>
      <c r="C949" s="8"/>
      <c r="D949" s="8"/>
      <c r="E949" s="8"/>
      <c r="F949" s="8"/>
      <c r="G949" s="8"/>
      <c r="H949" s="8"/>
      <c r="I949" s="11"/>
      <c r="J949" s="12"/>
      <c r="K949" s="12"/>
      <c r="L949" s="8"/>
      <c r="M949" s="8"/>
      <c r="N949" s="8"/>
      <c r="O949" s="8"/>
      <c r="P949" s="8"/>
      <c r="Q949" s="8">
        <f>IF(B949="","",IF(B949="P","P&amp;10",B949&amp;"D "&amp;C949))</f>
        <v/>
      </c>
      <c r="R949" s="8">
        <f>IF(L949&lt;&gt;"Y","",IF(COUNTIF('DEF_CALL_DECISION_SUPPORT'!$B$1197:$B$1256,SUBSTITUTE(SUBSTITUTE(SUBSTITUTE(E949,"~","~~"),"*","~*"),"?","~?"))&gt;0,"KNOWN","REVIEW: new call; refresh sources"))</f>
        <v/>
      </c>
    </row>
    <row r="950" spans="1:18" ht="25" customHeight="1">
      <c r="A950" s="12"/>
      <c r="B950" s="8"/>
      <c r="C950" s="8"/>
      <c r="D950" s="8"/>
      <c r="E950" s="8"/>
      <c r="F950" s="8"/>
      <c r="G950" s="8"/>
      <c r="H950" s="8"/>
      <c r="I950" s="11"/>
      <c r="J950" s="12"/>
      <c r="K950" s="12"/>
      <c r="L950" s="8"/>
      <c r="M950" s="8"/>
      <c r="N950" s="8"/>
      <c r="O950" s="8"/>
      <c r="P950" s="8"/>
      <c r="Q950" s="8">
        <f>IF(B950="","",IF(B950="P","P&amp;10",B950&amp;"D "&amp;C950))</f>
        <v/>
      </c>
      <c r="R950" s="8">
        <f>IF(L950&lt;&gt;"Y","",IF(COUNTIF('DEF_CALL_DECISION_SUPPORT'!$B$1197:$B$1256,SUBSTITUTE(SUBSTITUTE(SUBSTITUTE(E950,"~","~~"),"*","~*"),"?","~?"))&gt;0,"KNOWN","REVIEW: new call; refresh sources"))</f>
        <v/>
      </c>
    </row>
    <row r="951" spans="1:18" ht="25" customHeight="1">
      <c r="A951" s="12"/>
      <c r="B951" s="8"/>
      <c r="C951" s="8"/>
      <c r="D951" s="8"/>
      <c r="E951" s="8"/>
      <c r="F951" s="8"/>
      <c r="G951" s="8"/>
      <c r="H951" s="8"/>
      <c r="I951" s="11"/>
      <c r="J951" s="12"/>
      <c r="K951" s="12"/>
      <c r="L951" s="8"/>
      <c r="M951" s="8"/>
      <c r="N951" s="8"/>
      <c r="O951" s="8"/>
      <c r="P951" s="8"/>
      <c r="Q951" s="8">
        <f>IF(B951="","",IF(B951="P","P&amp;10",B951&amp;"D "&amp;C951))</f>
        <v/>
      </c>
      <c r="R951" s="8">
        <f>IF(L951&lt;&gt;"Y","",IF(COUNTIF('DEF_CALL_DECISION_SUPPORT'!$B$1197:$B$1256,SUBSTITUTE(SUBSTITUTE(SUBSTITUTE(E951,"~","~~"),"*","~*"),"?","~?"))&gt;0,"KNOWN","REVIEW: new call; refresh sources"))</f>
        <v/>
      </c>
    </row>
    <row r="952" spans="1:18" ht="25" customHeight="1">
      <c r="A952" s="12"/>
      <c r="B952" s="8"/>
      <c r="C952" s="8"/>
      <c r="D952" s="8"/>
      <c r="E952" s="8"/>
      <c r="F952" s="8"/>
      <c r="G952" s="8"/>
      <c r="H952" s="8"/>
      <c r="I952" s="11"/>
      <c r="J952" s="12"/>
      <c r="K952" s="12"/>
      <c r="L952" s="8"/>
      <c r="M952" s="8"/>
      <c r="N952" s="8"/>
      <c r="O952" s="8"/>
      <c r="P952" s="8"/>
      <c r="Q952" s="8">
        <f>IF(B952="","",IF(B952="P","P&amp;10",B952&amp;"D "&amp;C952))</f>
        <v/>
      </c>
      <c r="R952" s="8">
        <f>IF(L952&lt;&gt;"Y","",IF(COUNTIF('DEF_CALL_DECISION_SUPPORT'!$B$1197:$B$1256,SUBSTITUTE(SUBSTITUTE(SUBSTITUTE(E952,"~","~~"),"*","~*"),"?","~?"))&gt;0,"KNOWN","REVIEW: new call; refresh sources"))</f>
        <v/>
      </c>
    </row>
    <row r="953" spans="1:18" ht="25" customHeight="1">
      <c r="A953" s="12"/>
      <c r="B953" s="8"/>
      <c r="C953" s="8"/>
      <c r="D953" s="8"/>
      <c r="E953" s="8"/>
      <c r="F953" s="8"/>
      <c r="G953" s="8"/>
      <c r="H953" s="8"/>
      <c r="I953" s="11"/>
      <c r="J953" s="12"/>
      <c r="K953" s="12"/>
      <c r="L953" s="8"/>
      <c r="M953" s="8"/>
      <c r="N953" s="8"/>
      <c r="O953" s="8"/>
      <c r="P953" s="8"/>
      <c r="Q953" s="8">
        <f>IF(B953="","",IF(B953="P","P&amp;10",B953&amp;"D "&amp;C953))</f>
        <v/>
      </c>
      <c r="R953" s="8">
        <f>IF(L953&lt;&gt;"Y","",IF(COUNTIF('DEF_CALL_DECISION_SUPPORT'!$B$1197:$B$1256,SUBSTITUTE(SUBSTITUTE(SUBSTITUTE(E953,"~","~~"),"*","~*"),"?","~?"))&gt;0,"KNOWN","REVIEW: new call; refresh sources"))</f>
        <v/>
      </c>
    </row>
    <row r="954" spans="1:18" ht="25" customHeight="1">
      <c r="A954" s="12"/>
      <c r="B954" s="8"/>
      <c r="C954" s="8"/>
      <c r="D954" s="8"/>
      <c r="E954" s="8"/>
      <c r="F954" s="8"/>
      <c r="G954" s="8"/>
      <c r="H954" s="8"/>
      <c r="I954" s="11"/>
      <c r="J954" s="12"/>
      <c r="K954" s="12"/>
      <c r="L954" s="8"/>
      <c r="M954" s="8"/>
      <c r="N954" s="8"/>
      <c r="O954" s="8"/>
      <c r="P954" s="8"/>
      <c r="Q954" s="8">
        <f>IF(B954="","",IF(B954="P","P&amp;10",B954&amp;"D "&amp;C954))</f>
        <v/>
      </c>
      <c r="R954" s="8">
        <f>IF(L954&lt;&gt;"Y","",IF(COUNTIF('DEF_CALL_DECISION_SUPPORT'!$B$1197:$B$1256,SUBSTITUTE(SUBSTITUTE(SUBSTITUTE(E954,"~","~~"),"*","~*"),"?","~?"))&gt;0,"KNOWN","REVIEW: new call; refresh sources"))</f>
        <v/>
      </c>
    </row>
    <row r="955" spans="1:18" ht="25" customHeight="1">
      <c r="A955" s="12"/>
      <c r="B955" s="8"/>
      <c r="C955" s="8"/>
      <c r="D955" s="8"/>
      <c r="E955" s="8"/>
      <c r="F955" s="8"/>
      <c r="G955" s="8"/>
      <c r="H955" s="8"/>
      <c r="I955" s="11"/>
      <c r="J955" s="12"/>
      <c r="K955" s="12"/>
      <c r="L955" s="8"/>
      <c r="M955" s="8"/>
      <c r="N955" s="8"/>
      <c r="O955" s="8"/>
      <c r="P955" s="8"/>
      <c r="Q955" s="8">
        <f>IF(B955="","",IF(B955="P","P&amp;10",B955&amp;"D "&amp;C955))</f>
        <v/>
      </c>
      <c r="R955" s="8">
        <f>IF(L955&lt;&gt;"Y","",IF(COUNTIF('DEF_CALL_DECISION_SUPPORT'!$B$1197:$B$1256,SUBSTITUTE(SUBSTITUTE(SUBSTITUTE(E955,"~","~~"),"*","~*"),"?","~?"))&gt;0,"KNOWN","REVIEW: new call; refresh sources"))</f>
        <v/>
      </c>
    </row>
    <row r="956" spans="1:18" ht="25" customHeight="1">
      <c r="A956" s="12"/>
      <c r="B956" s="8"/>
      <c r="C956" s="8"/>
      <c r="D956" s="8"/>
      <c r="E956" s="8"/>
      <c r="F956" s="8"/>
      <c r="G956" s="8"/>
      <c r="H956" s="8"/>
      <c r="I956" s="11"/>
      <c r="J956" s="12"/>
      <c r="K956" s="12"/>
      <c r="L956" s="8"/>
      <c r="M956" s="8"/>
      <c r="N956" s="8"/>
      <c r="O956" s="8"/>
      <c r="P956" s="8"/>
      <c r="Q956" s="8">
        <f>IF(B956="","",IF(B956="P","P&amp;10",B956&amp;"D "&amp;C956))</f>
        <v/>
      </c>
      <c r="R956" s="8">
        <f>IF(L956&lt;&gt;"Y","",IF(COUNTIF('DEF_CALL_DECISION_SUPPORT'!$B$1197:$B$1256,SUBSTITUTE(SUBSTITUTE(SUBSTITUTE(E956,"~","~~"),"*","~*"),"?","~?"))&gt;0,"KNOWN","REVIEW: new call; refresh sources"))</f>
        <v/>
      </c>
    </row>
    <row r="957" spans="1:18" ht="25" customHeight="1">
      <c r="A957" s="12"/>
      <c r="B957" s="8"/>
      <c r="C957" s="8"/>
      <c r="D957" s="8"/>
      <c r="E957" s="8"/>
      <c r="F957" s="8"/>
      <c r="G957" s="8"/>
      <c r="H957" s="8"/>
      <c r="I957" s="11"/>
      <c r="J957" s="12"/>
      <c r="K957" s="12"/>
      <c r="L957" s="8"/>
      <c r="M957" s="8"/>
      <c r="N957" s="8"/>
      <c r="O957" s="8"/>
      <c r="P957" s="8"/>
      <c r="Q957" s="8">
        <f>IF(B957="","",IF(B957="P","P&amp;10",B957&amp;"D "&amp;C957))</f>
        <v/>
      </c>
      <c r="R957" s="8">
        <f>IF(L957&lt;&gt;"Y","",IF(COUNTIF('DEF_CALL_DECISION_SUPPORT'!$B$1197:$B$1256,SUBSTITUTE(SUBSTITUTE(SUBSTITUTE(E957,"~","~~"),"*","~*"),"?","~?"))&gt;0,"KNOWN","REVIEW: new call; refresh sources"))</f>
        <v/>
      </c>
    </row>
    <row r="958" spans="1:18" ht="25" customHeight="1">
      <c r="A958" s="12"/>
      <c r="B958" s="8"/>
      <c r="C958" s="8"/>
      <c r="D958" s="8"/>
      <c r="E958" s="8"/>
      <c r="F958" s="8"/>
      <c r="G958" s="8"/>
      <c r="H958" s="8"/>
      <c r="I958" s="11"/>
      <c r="J958" s="12"/>
      <c r="K958" s="12"/>
      <c r="L958" s="8"/>
      <c r="M958" s="8"/>
      <c r="N958" s="8"/>
      <c r="O958" s="8"/>
      <c r="P958" s="8"/>
      <c r="Q958" s="8">
        <f>IF(B958="","",IF(B958="P","P&amp;10",B958&amp;"D "&amp;C958))</f>
        <v/>
      </c>
      <c r="R958" s="8">
        <f>IF(L958&lt;&gt;"Y","",IF(COUNTIF('DEF_CALL_DECISION_SUPPORT'!$B$1197:$B$1256,SUBSTITUTE(SUBSTITUTE(SUBSTITUTE(E958,"~","~~"),"*","~*"),"?","~?"))&gt;0,"KNOWN","REVIEW: new call; refresh sources"))</f>
        <v/>
      </c>
    </row>
    <row r="959" spans="1:18" ht="25" customHeight="1">
      <c r="A959" s="12"/>
      <c r="B959" s="8"/>
      <c r="C959" s="8"/>
      <c r="D959" s="8"/>
      <c r="E959" s="8"/>
      <c r="F959" s="8"/>
      <c r="G959" s="8"/>
      <c r="H959" s="8"/>
      <c r="I959" s="11"/>
      <c r="J959" s="12"/>
      <c r="K959" s="12"/>
      <c r="L959" s="8"/>
      <c r="M959" s="8"/>
      <c r="N959" s="8"/>
      <c r="O959" s="8"/>
      <c r="P959" s="8"/>
      <c r="Q959" s="8">
        <f>IF(B959="","",IF(B959="P","P&amp;10",B959&amp;"D "&amp;C959))</f>
        <v/>
      </c>
      <c r="R959" s="8">
        <f>IF(L959&lt;&gt;"Y","",IF(COUNTIF('DEF_CALL_DECISION_SUPPORT'!$B$1197:$B$1256,SUBSTITUTE(SUBSTITUTE(SUBSTITUTE(E959,"~","~~"),"*","~*"),"?","~?"))&gt;0,"KNOWN","REVIEW: new call; refresh sources"))</f>
        <v/>
      </c>
    </row>
    <row r="960" spans="1:18" ht="25" customHeight="1">
      <c r="A960" s="12"/>
      <c r="B960" s="8"/>
      <c r="C960" s="8"/>
      <c r="D960" s="8"/>
      <c r="E960" s="8"/>
      <c r="F960" s="8"/>
      <c r="G960" s="8"/>
      <c r="H960" s="8"/>
      <c r="I960" s="11"/>
      <c r="J960" s="12"/>
      <c r="K960" s="12"/>
      <c r="L960" s="8"/>
      <c r="M960" s="8"/>
      <c r="N960" s="8"/>
      <c r="O960" s="8"/>
      <c r="P960" s="8"/>
      <c r="Q960" s="8">
        <f>IF(B960="","",IF(B960="P","P&amp;10",B960&amp;"D "&amp;C960))</f>
        <v/>
      </c>
      <c r="R960" s="8">
        <f>IF(L960&lt;&gt;"Y","",IF(COUNTIF('DEF_CALL_DECISION_SUPPORT'!$B$1197:$B$1256,SUBSTITUTE(SUBSTITUTE(SUBSTITUTE(E960,"~","~~"),"*","~*"),"?","~?"))&gt;0,"KNOWN","REVIEW: new call; refresh sources"))</f>
        <v/>
      </c>
    </row>
    <row r="961" spans="1:18" ht="25" customHeight="1">
      <c r="A961" s="12"/>
      <c r="B961" s="8"/>
      <c r="C961" s="8"/>
      <c r="D961" s="8"/>
      <c r="E961" s="8"/>
      <c r="F961" s="8"/>
      <c r="G961" s="8"/>
      <c r="H961" s="8"/>
      <c r="I961" s="11"/>
      <c r="J961" s="12"/>
      <c r="K961" s="12"/>
      <c r="L961" s="8"/>
      <c r="M961" s="8"/>
      <c r="N961" s="8"/>
      <c r="O961" s="8"/>
      <c r="P961" s="8"/>
      <c r="Q961" s="8">
        <f>IF(B961="","",IF(B961="P","P&amp;10",B961&amp;"D "&amp;C961))</f>
        <v/>
      </c>
      <c r="R961" s="8">
        <f>IF(L961&lt;&gt;"Y","",IF(COUNTIF('DEF_CALL_DECISION_SUPPORT'!$B$1197:$B$1256,SUBSTITUTE(SUBSTITUTE(SUBSTITUTE(E961,"~","~~"),"*","~*"),"?","~?"))&gt;0,"KNOWN","REVIEW: new call; refresh sources"))</f>
        <v/>
      </c>
    </row>
    <row r="962" spans="1:18" ht="25" customHeight="1">
      <c r="A962" s="12"/>
      <c r="B962" s="8"/>
      <c r="C962" s="8"/>
      <c r="D962" s="8"/>
      <c r="E962" s="8"/>
      <c r="F962" s="8"/>
      <c r="G962" s="8"/>
      <c r="H962" s="8"/>
      <c r="I962" s="11"/>
      <c r="J962" s="12"/>
      <c r="K962" s="12"/>
      <c r="L962" s="8"/>
      <c r="M962" s="8"/>
      <c r="N962" s="8"/>
      <c r="O962" s="8"/>
      <c r="P962" s="8"/>
      <c r="Q962" s="8">
        <f>IF(B962="","",IF(B962="P","P&amp;10",B962&amp;"D "&amp;C962))</f>
        <v/>
      </c>
      <c r="R962" s="8">
        <f>IF(L962&lt;&gt;"Y","",IF(COUNTIF('DEF_CALL_DECISION_SUPPORT'!$B$1197:$B$1256,SUBSTITUTE(SUBSTITUTE(SUBSTITUTE(E962,"~","~~"),"*","~*"),"?","~?"))&gt;0,"KNOWN","REVIEW: new call; refresh sources"))</f>
        <v/>
      </c>
    </row>
    <row r="963" spans="1:18" ht="25" customHeight="1">
      <c r="A963" s="12"/>
      <c r="B963" s="8"/>
      <c r="C963" s="8"/>
      <c r="D963" s="8"/>
      <c r="E963" s="8"/>
      <c r="F963" s="8"/>
      <c r="G963" s="8"/>
      <c r="H963" s="8"/>
      <c r="I963" s="11"/>
      <c r="J963" s="12"/>
      <c r="K963" s="12"/>
      <c r="L963" s="8"/>
      <c r="M963" s="8"/>
      <c r="N963" s="8"/>
      <c r="O963" s="8"/>
      <c r="P963" s="8"/>
      <c r="Q963" s="8">
        <f>IF(B963="","",IF(B963="P","P&amp;10",B963&amp;"D "&amp;C963))</f>
        <v/>
      </c>
      <c r="R963" s="8">
        <f>IF(L963&lt;&gt;"Y","",IF(COUNTIF('DEF_CALL_DECISION_SUPPORT'!$B$1197:$B$1256,SUBSTITUTE(SUBSTITUTE(SUBSTITUTE(E963,"~","~~"),"*","~*"),"?","~?"))&gt;0,"KNOWN","REVIEW: new call; refresh sources"))</f>
        <v/>
      </c>
    </row>
    <row r="964" spans="1:18" ht="25" customHeight="1">
      <c r="A964" s="12"/>
      <c r="B964" s="8"/>
      <c r="C964" s="8"/>
      <c r="D964" s="8"/>
      <c r="E964" s="8"/>
      <c r="F964" s="8"/>
      <c r="G964" s="8"/>
      <c r="H964" s="8"/>
      <c r="I964" s="11"/>
      <c r="J964" s="12"/>
      <c r="K964" s="12"/>
      <c r="L964" s="8"/>
      <c r="M964" s="8"/>
      <c r="N964" s="8"/>
      <c r="O964" s="8"/>
      <c r="P964" s="8"/>
      <c r="Q964" s="8">
        <f>IF(B964="","",IF(B964="P","P&amp;10",B964&amp;"D "&amp;C964))</f>
        <v/>
      </c>
      <c r="R964" s="8">
        <f>IF(L964&lt;&gt;"Y","",IF(COUNTIF('DEF_CALL_DECISION_SUPPORT'!$B$1197:$B$1256,SUBSTITUTE(SUBSTITUTE(SUBSTITUTE(E964,"~","~~"),"*","~*"),"?","~?"))&gt;0,"KNOWN","REVIEW: new call; refresh sources"))</f>
        <v/>
      </c>
    </row>
    <row r="965" spans="1:18" ht="25" customHeight="1">
      <c r="A965" s="12"/>
      <c r="B965" s="8"/>
      <c r="C965" s="8"/>
      <c r="D965" s="8"/>
      <c r="E965" s="8"/>
      <c r="F965" s="8"/>
      <c r="G965" s="8"/>
      <c r="H965" s="8"/>
      <c r="I965" s="11"/>
      <c r="J965" s="12"/>
      <c r="K965" s="12"/>
      <c r="L965" s="8"/>
      <c r="M965" s="8"/>
      <c r="N965" s="8"/>
      <c r="O965" s="8"/>
      <c r="P965" s="8"/>
      <c r="Q965" s="8">
        <f>IF(B965="","",IF(B965="P","P&amp;10",B965&amp;"D "&amp;C965))</f>
        <v/>
      </c>
      <c r="R965" s="8">
        <f>IF(L965&lt;&gt;"Y","",IF(COUNTIF('DEF_CALL_DECISION_SUPPORT'!$B$1197:$B$1256,SUBSTITUTE(SUBSTITUTE(SUBSTITUTE(E965,"~","~~"),"*","~*"),"?","~?"))&gt;0,"KNOWN","REVIEW: new call; refresh sources"))</f>
        <v/>
      </c>
    </row>
    <row r="966" spans="1:18" ht="25" customHeight="1">
      <c r="A966" s="12"/>
      <c r="B966" s="8"/>
      <c r="C966" s="8"/>
      <c r="D966" s="8"/>
      <c r="E966" s="8"/>
      <c r="F966" s="8"/>
      <c r="G966" s="8"/>
      <c r="H966" s="8"/>
      <c r="I966" s="11"/>
      <c r="J966" s="12"/>
      <c r="K966" s="12"/>
      <c r="L966" s="8"/>
      <c r="M966" s="8"/>
      <c r="N966" s="8"/>
      <c r="O966" s="8"/>
      <c r="P966" s="8"/>
      <c r="Q966" s="8">
        <f>IF(B966="","",IF(B966="P","P&amp;10",B966&amp;"D "&amp;C966))</f>
        <v/>
      </c>
      <c r="R966" s="8">
        <f>IF(L966&lt;&gt;"Y","",IF(COUNTIF('DEF_CALL_DECISION_SUPPORT'!$B$1197:$B$1256,SUBSTITUTE(SUBSTITUTE(SUBSTITUTE(E966,"~","~~"),"*","~*"),"?","~?"))&gt;0,"KNOWN","REVIEW: new call; refresh sources"))</f>
        <v/>
      </c>
    </row>
    <row r="967" spans="1:18" ht="25" customHeight="1">
      <c r="A967" s="12"/>
      <c r="B967" s="8"/>
      <c r="C967" s="8"/>
      <c r="D967" s="8"/>
      <c r="E967" s="8"/>
      <c r="F967" s="8"/>
      <c r="G967" s="8"/>
      <c r="H967" s="8"/>
      <c r="I967" s="11"/>
      <c r="J967" s="12"/>
      <c r="K967" s="12"/>
      <c r="L967" s="8"/>
      <c r="M967" s="8"/>
      <c r="N967" s="8"/>
      <c r="O967" s="8"/>
      <c r="P967" s="8"/>
      <c r="Q967" s="8">
        <f>IF(B967="","",IF(B967="P","P&amp;10",B967&amp;"D "&amp;C967))</f>
        <v/>
      </c>
      <c r="R967" s="8">
        <f>IF(L967&lt;&gt;"Y","",IF(COUNTIF('DEF_CALL_DECISION_SUPPORT'!$B$1197:$B$1256,SUBSTITUTE(SUBSTITUTE(SUBSTITUTE(E967,"~","~~"),"*","~*"),"?","~?"))&gt;0,"KNOWN","REVIEW: new call; refresh sources"))</f>
        <v/>
      </c>
    </row>
    <row r="968" spans="1:18" ht="25" customHeight="1">
      <c r="A968" s="12"/>
      <c r="B968" s="8"/>
      <c r="C968" s="8"/>
      <c r="D968" s="8"/>
      <c r="E968" s="8"/>
      <c r="F968" s="8"/>
      <c r="G968" s="8"/>
      <c r="H968" s="8"/>
      <c r="I968" s="11"/>
      <c r="J968" s="12"/>
      <c r="K968" s="12"/>
      <c r="L968" s="8"/>
      <c r="M968" s="8"/>
      <c r="N968" s="8"/>
      <c r="O968" s="8"/>
      <c r="P968" s="8"/>
      <c r="Q968" s="8">
        <f>IF(B968="","",IF(B968="P","P&amp;10",B968&amp;"D "&amp;C968))</f>
        <v/>
      </c>
      <c r="R968" s="8">
        <f>IF(L968&lt;&gt;"Y","",IF(COUNTIF('DEF_CALL_DECISION_SUPPORT'!$B$1197:$B$1256,SUBSTITUTE(SUBSTITUTE(SUBSTITUTE(E968,"~","~~"),"*","~*"),"?","~?"))&gt;0,"KNOWN","REVIEW: new call; refresh sources"))</f>
        <v/>
      </c>
    </row>
    <row r="969" spans="1:18" ht="25" customHeight="1">
      <c r="A969" s="12"/>
      <c r="B969" s="8"/>
      <c r="C969" s="8"/>
      <c r="D969" s="8"/>
      <c r="E969" s="8"/>
      <c r="F969" s="8"/>
      <c r="G969" s="8"/>
      <c r="H969" s="8"/>
      <c r="I969" s="11"/>
      <c r="J969" s="12"/>
      <c r="K969" s="12"/>
      <c r="L969" s="8"/>
      <c r="M969" s="8"/>
      <c r="N969" s="8"/>
      <c r="O969" s="8"/>
      <c r="P969" s="8"/>
      <c r="Q969" s="8">
        <f>IF(B969="","",IF(B969="P","P&amp;10",B969&amp;"D "&amp;C969))</f>
        <v/>
      </c>
      <c r="R969" s="8">
        <f>IF(L969&lt;&gt;"Y","",IF(COUNTIF('DEF_CALL_DECISION_SUPPORT'!$B$1197:$B$1256,SUBSTITUTE(SUBSTITUTE(SUBSTITUTE(E969,"~","~~"),"*","~*"),"?","~?"))&gt;0,"KNOWN","REVIEW: new call; refresh sources"))</f>
        <v/>
      </c>
    </row>
    <row r="970" spans="1:18" ht="25" customHeight="1">
      <c r="A970" s="12"/>
      <c r="B970" s="8"/>
      <c r="C970" s="8"/>
      <c r="D970" s="8"/>
      <c r="E970" s="8"/>
      <c r="F970" s="8"/>
      <c r="G970" s="8"/>
      <c r="H970" s="8"/>
      <c r="I970" s="11"/>
      <c r="J970" s="12"/>
      <c r="K970" s="12"/>
      <c r="L970" s="8"/>
      <c r="M970" s="8"/>
      <c r="N970" s="8"/>
      <c r="O970" s="8"/>
      <c r="P970" s="8"/>
      <c r="Q970" s="8">
        <f>IF(B970="","",IF(B970="P","P&amp;10",B970&amp;"D "&amp;C970))</f>
        <v/>
      </c>
      <c r="R970" s="8">
        <f>IF(L970&lt;&gt;"Y","",IF(COUNTIF('DEF_CALL_DECISION_SUPPORT'!$B$1197:$B$1256,SUBSTITUTE(SUBSTITUTE(SUBSTITUTE(E970,"~","~~"),"*","~*"),"?","~?"))&gt;0,"KNOWN","REVIEW: new call; refresh sources"))</f>
        <v/>
      </c>
    </row>
    <row r="971" spans="1:18" ht="25" customHeight="1">
      <c r="A971" s="12"/>
      <c r="B971" s="8"/>
      <c r="C971" s="8"/>
      <c r="D971" s="8"/>
      <c r="E971" s="8"/>
      <c r="F971" s="8"/>
      <c r="G971" s="8"/>
      <c r="H971" s="8"/>
      <c r="I971" s="11"/>
      <c r="J971" s="12"/>
      <c r="K971" s="12"/>
      <c r="L971" s="8"/>
      <c r="M971" s="8"/>
      <c r="N971" s="8"/>
      <c r="O971" s="8"/>
      <c r="P971" s="8"/>
      <c r="Q971" s="8">
        <f>IF(B971="","",IF(B971="P","P&amp;10",B971&amp;"D "&amp;C971))</f>
        <v/>
      </c>
      <c r="R971" s="8">
        <f>IF(L971&lt;&gt;"Y","",IF(COUNTIF('DEF_CALL_DECISION_SUPPORT'!$B$1197:$B$1256,SUBSTITUTE(SUBSTITUTE(SUBSTITUTE(E971,"~","~~"),"*","~*"),"?","~?"))&gt;0,"KNOWN","REVIEW: new call; refresh sources"))</f>
        <v/>
      </c>
    </row>
    <row r="972" spans="1:18" ht="25" customHeight="1">
      <c r="A972" s="12"/>
      <c r="B972" s="8"/>
      <c r="C972" s="8"/>
      <c r="D972" s="8"/>
      <c r="E972" s="8"/>
      <c r="F972" s="8"/>
      <c r="G972" s="8"/>
      <c r="H972" s="8"/>
      <c r="I972" s="11"/>
      <c r="J972" s="12"/>
      <c r="K972" s="12"/>
      <c r="L972" s="8"/>
      <c r="M972" s="8"/>
      <c r="N972" s="8"/>
      <c r="O972" s="8"/>
      <c r="P972" s="8"/>
      <c r="Q972" s="8">
        <f>IF(B972="","",IF(B972="P","P&amp;10",B972&amp;"D "&amp;C972))</f>
        <v/>
      </c>
      <c r="R972" s="8">
        <f>IF(L972&lt;&gt;"Y","",IF(COUNTIF('DEF_CALL_DECISION_SUPPORT'!$B$1197:$B$1256,SUBSTITUTE(SUBSTITUTE(SUBSTITUTE(E972,"~","~~"),"*","~*"),"?","~?"))&gt;0,"KNOWN","REVIEW: new call; refresh sources"))</f>
        <v/>
      </c>
    </row>
    <row r="973" spans="1:18" ht="25" customHeight="1">
      <c r="A973" s="12"/>
      <c r="B973" s="8"/>
      <c r="C973" s="8"/>
      <c r="D973" s="8"/>
      <c r="E973" s="8"/>
      <c r="F973" s="8"/>
      <c r="G973" s="8"/>
      <c r="H973" s="8"/>
      <c r="I973" s="11"/>
      <c r="J973" s="12"/>
      <c r="K973" s="12"/>
      <c r="L973" s="8"/>
      <c r="M973" s="8"/>
      <c r="N973" s="8"/>
      <c r="O973" s="8"/>
      <c r="P973" s="8"/>
      <c r="Q973" s="8">
        <f>IF(B973="","",IF(B973="P","P&amp;10",B973&amp;"D "&amp;C973))</f>
        <v/>
      </c>
      <c r="R973" s="8">
        <f>IF(L973&lt;&gt;"Y","",IF(COUNTIF('DEF_CALL_DECISION_SUPPORT'!$B$1197:$B$1256,SUBSTITUTE(SUBSTITUTE(SUBSTITUTE(E973,"~","~~"),"*","~*"),"?","~?"))&gt;0,"KNOWN","REVIEW: new call; refresh sources"))</f>
        <v/>
      </c>
    </row>
    <row r="974" spans="1:18" ht="25" customHeight="1">
      <c r="A974" s="12"/>
      <c r="B974" s="8"/>
      <c r="C974" s="8"/>
      <c r="D974" s="8"/>
      <c r="E974" s="8"/>
      <c r="F974" s="8"/>
      <c r="G974" s="8"/>
      <c r="H974" s="8"/>
      <c r="I974" s="11"/>
      <c r="J974" s="12"/>
      <c r="K974" s="12"/>
      <c r="L974" s="8"/>
      <c r="M974" s="8"/>
      <c r="N974" s="8"/>
      <c r="O974" s="8"/>
      <c r="P974" s="8"/>
      <c r="Q974" s="8">
        <f>IF(B974="","",IF(B974="P","P&amp;10",B974&amp;"D "&amp;C974))</f>
        <v/>
      </c>
      <c r="R974" s="8">
        <f>IF(L974&lt;&gt;"Y","",IF(COUNTIF('DEF_CALL_DECISION_SUPPORT'!$B$1197:$B$1256,SUBSTITUTE(SUBSTITUTE(SUBSTITUTE(E974,"~","~~"),"*","~*"),"?","~?"))&gt;0,"KNOWN","REVIEW: new call; refresh sources"))</f>
        <v/>
      </c>
    </row>
    <row r="975" spans="1:18" ht="25" customHeight="1">
      <c r="A975" s="12"/>
      <c r="B975" s="8"/>
      <c r="C975" s="8"/>
      <c r="D975" s="8"/>
      <c r="E975" s="8"/>
      <c r="F975" s="8"/>
      <c r="G975" s="8"/>
      <c r="H975" s="8"/>
      <c r="I975" s="11"/>
      <c r="J975" s="12"/>
      <c r="K975" s="12"/>
      <c r="L975" s="8"/>
      <c r="M975" s="8"/>
      <c r="N975" s="8"/>
      <c r="O975" s="8"/>
      <c r="P975" s="8"/>
      <c r="Q975" s="8">
        <f>IF(B975="","",IF(B975="P","P&amp;10",B975&amp;"D "&amp;C975))</f>
        <v/>
      </c>
      <c r="R975" s="8">
        <f>IF(L975&lt;&gt;"Y","",IF(COUNTIF('DEF_CALL_DECISION_SUPPORT'!$B$1197:$B$1256,SUBSTITUTE(SUBSTITUTE(SUBSTITUTE(E975,"~","~~"),"*","~*"),"?","~?"))&gt;0,"KNOWN","REVIEW: new call; refresh sources"))</f>
        <v/>
      </c>
    </row>
    <row r="976" spans="1:18" ht="25" customHeight="1">
      <c r="A976" s="12"/>
      <c r="B976" s="8"/>
      <c r="C976" s="8"/>
      <c r="D976" s="8"/>
      <c r="E976" s="8"/>
      <c r="F976" s="8"/>
      <c r="G976" s="8"/>
      <c r="H976" s="8"/>
      <c r="I976" s="11"/>
      <c r="J976" s="12"/>
      <c r="K976" s="12"/>
      <c r="L976" s="8"/>
      <c r="M976" s="8"/>
      <c r="N976" s="8"/>
      <c r="O976" s="8"/>
      <c r="P976" s="8"/>
      <c r="Q976" s="8">
        <f>IF(B976="","",IF(B976="P","P&amp;10",B976&amp;"D "&amp;C976))</f>
        <v/>
      </c>
      <c r="R976" s="8">
        <f>IF(L976&lt;&gt;"Y","",IF(COUNTIF('DEF_CALL_DECISION_SUPPORT'!$B$1197:$B$1256,SUBSTITUTE(SUBSTITUTE(SUBSTITUTE(E976,"~","~~"),"*","~*"),"?","~?"))&gt;0,"KNOWN","REVIEW: new call; refresh sources"))</f>
        <v/>
      </c>
    </row>
    <row r="977" spans="1:18" ht="25" customHeight="1">
      <c r="A977" s="12"/>
      <c r="B977" s="8"/>
      <c r="C977" s="8"/>
      <c r="D977" s="8"/>
      <c r="E977" s="8"/>
      <c r="F977" s="8"/>
      <c r="G977" s="8"/>
      <c r="H977" s="8"/>
      <c r="I977" s="11"/>
      <c r="J977" s="12"/>
      <c r="K977" s="12"/>
      <c r="L977" s="8"/>
      <c r="M977" s="8"/>
      <c r="N977" s="8"/>
      <c r="O977" s="8"/>
      <c r="P977" s="8"/>
      <c r="Q977" s="8">
        <f>IF(B977="","",IF(B977="P","P&amp;10",B977&amp;"D "&amp;C977))</f>
        <v/>
      </c>
      <c r="R977" s="8">
        <f>IF(L977&lt;&gt;"Y","",IF(COUNTIF('DEF_CALL_DECISION_SUPPORT'!$B$1197:$B$1256,SUBSTITUTE(SUBSTITUTE(SUBSTITUTE(E977,"~","~~"),"*","~*"),"?","~?"))&gt;0,"KNOWN","REVIEW: new call; refresh sources"))</f>
        <v/>
      </c>
    </row>
    <row r="978" spans="1:18" ht="25" customHeight="1">
      <c r="A978" s="12"/>
      <c r="B978" s="8"/>
      <c r="C978" s="8"/>
      <c r="D978" s="8"/>
      <c r="E978" s="8"/>
      <c r="F978" s="8"/>
      <c r="G978" s="8"/>
      <c r="H978" s="8"/>
      <c r="I978" s="11"/>
      <c r="J978" s="12"/>
      <c r="K978" s="12"/>
      <c r="L978" s="8"/>
      <c r="M978" s="8"/>
      <c r="N978" s="8"/>
      <c r="O978" s="8"/>
      <c r="P978" s="8"/>
      <c r="Q978" s="8">
        <f>IF(B978="","",IF(B978="P","P&amp;10",B978&amp;"D "&amp;C978))</f>
        <v/>
      </c>
      <c r="R978" s="8">
        <f>IF(L978&lt;&gt;"Y","",IF(COUNTIF('DEF_CALL_DECISION_SUPPORT'!$B$1197:$B$1256,SUBSTITUTE(SUBSTITUTE(SUBSTITUTE(E978,"~","~~"),"*","~*"),"?","~?"))&gt;0,"KNOWN","REVIEW: new call; refresh sources"))</f>
        <v/>
      </c>
    </row>
    <row r="979" spans="1:18" ht="25" customHeight="1">
      <c r="A979" s="12"/>
      <c r="B979" s="8"/>
      <c r="C979" s="8"/>
      <c r="D979" s="8"/>
      <c r="E979" s="8"/>
      <c r="F979" s="8"/>
      <c r="G979" s="8"/>
      <c r="H979" s="8"/>
      <c r="I979" s="11"/>
      <c r="J979" s="12"/>
      <c r="K979" s="12"/>
      <c r="L979" s="8"/>
      <c r="M979" s="8"/>
      <c r="N979" s="8"/>
      <c r="O979" s="8"/>
      <c r="P979" s="8"/>
      <c r="Q979" s="8">
        <f>IF(B979="","",IF(B979="P","P&amp;10",B979&amp;"D "&amp;C979))</f>
        <v/>
      </c>
      <c r="R979" s="8">
        <f>IF(L979&lt;&gt;"Y","",IF(COUNTIF('DEF_CALL_DECISION_SUPPORT'!$B$1197:$B$1256,SUBSTITUTE(SUBSTITUTE(SUBSTITUTE(E979,"~","~~"),"*","~*"),"?","~?"))&gt;0,"KNOWN","REVIEW: new call; refresh sources"))</f>
        <v/>
      </c>
    </row>
    <row r="980" spans="1:18" ht="25" customHeight="1">
      <c r="A980" s="12"/>
      <c r="B980" s="8"/>
      <c r="C980" s="8"/>
      <c r="D980" s="8"/>
      <c r="E980" s="8"/>
      <c r="F980" s="8"/>
      <c r="G980" s="8"/>
      <c r="H980" s="8"/>
      <c r="I980" s="11"/>
      <c r="J980" s="12"/>
      <c r="K980" s="12"/>
      <c r="L980" s="8"/>
      <c r="M980" s="8"/>
      <c r="N980" s="8"/>
      <c r="O980" s="8"/>
      <c r="P980" s="8"/>
      <c r="Q980" s="8">
        <f>IF(B980="","",IF(B980="P","P&amp;10",B980&amp;"D "&amp;C980))</f>
        <v/>
      </c>
      <c r="R980" s="8">
        <f>IF(L980&lt;&gt;"Y","",IF(COUNTIF('DEF_CALL_DECISION_SUPPORT'!$B$1197:$B$1256,SUBSTITUTE(SUBSTITUTE(SUBSTITUTE(E980,"~","~~"),"*","~*"),"?","~?"))&gt;0,"KNOWN","REVIEW: new call; refresh sources"))</f>
        <v/>
      </c>
    </row>
    <row r="981" spans="1:18" ht="25" customHeight="1">
      <c r="A981" s="12"/>
      <c r="B981" s="8"/>
      <c r="C981" s="8"/>
      <c r="D981" s="8"/>
      <c r="E981" s="8"/>
      <c r="F981" s="8"/>
      <c r="G981" s="8"/>
      <c r="H981" s="8"/>
      <c r="I981" s="11"/>
      <c r="J981" s="12"/>
      <c r="K981" s="12"/>
      <c r="L981" s="8"/>
      <c r="M981" s="8"/>
      <c r="N981" s="8"/>
      <c r="O981" s="8"/>
      <c r="P981" s="8"/>
      <c r="Q981" s="8">
        <f>IF(B981="","",IF(B981="P","P&amp;10",B981&amp;"D "&amp;C981))</f>
        <v/>
      </c>
      <c r="R981" s="8">
        <f>IF(L981&lt;&gt;"Y","",IF(COUNTIF('DEF_CALL_DECISION_SUPPORT'!$B$1197:$B$1256,SUBSTITUTE(SUBSTITUTE(SUBSTITUTE(E981,"~","~~"),"*","~*"),"?","~?"))&gt;0,"KNOWN","REVIEW: new call; refresh sources"))</f>
        <v/>
      </c>
    </row>
    <row r="982" spans="1:18" ht="25" customHeight="1">
      <c r="A982" s="12"/>
      <c r="B982" s="8"/>
      <c r="C982" s="8"/>
      <c r="D982" s="8"/>
      <c r="E982" s="8"/>
      <c r="F982" s="8"/>
      <c r="G982" s="8"/>
      <c r="H982" s="8"/>
      <c r="I982" s="11"/>
      <c r="J982" s="12"/>
      <c r="K982" s="12"/>
      <c r="L982" s="8"/>
      <c r="M982" s="8"/>
      <c r="N982" s="8"/>
      <c r="O982" s="8"/>
      <c r="P982" s="8"/>
      <c r="Q982" s="8">
        <f>IF(B982="","",IF(B982="P","P&amp;10",B982&amp;"D "&amp;C982))</f>
        <v/>
      </c>
      <c r="R982" s="8">
        <f>IF(L982&lt;&gt;"Y","",IF(COUNTIF('DEF_CALL_DECISION_SUPPORT'!$B$1197:$B$1256,SUBSTITUTE(SUBSTITUTE(SUBSTITUTE(E982,"~","~~"),"*","~*"),"?","~?"))&gt;0,"KNOWN","REVIEW: new call; refresh sources"))</f>
        <v/>
      </c>
    </row>
    <row r="983" spans="1:18" ht="25" customHeight="1">
      <c r="A983" s="12"/>
      <c r="B983" s="8"/>
      <c r="C983" s="8"/>
      <c r="D983" s="8"/>
      <c r="E983" s="8"/>
      <c r="F983" s="8"/>
      <c r="G983" s="8"/>
      <c r="H983" s="8"/>
      <c r="I983" s="11"/>
      <c r="J983" s="12"/>
      <c r="K983" s="12"/>
      <c r="L983" s="8"/>
      <c r="M983" s="8"/>
      <c r="N983" s="8"/>
      <c r="O983" s="8"/>
      <c r="P983" s="8"/>
      <c r="Q983" s="8">
        <f>IF(B983="","",IF(B983="P","P&amp;10",B983&amp;"D "&amp;C983))</f>
        <v/>
      </c>
      <c r="R983" s="8">
        <f>IF(L983&lt;&gt;"Y","",IF(COUNTIF('DEF_CALL_DECISION_SUPPORT'!$B$1197:$B$1256,SUBSTITUTE(SUBSTITUTE(SUBSTITUTE(E983,"~","~~"),"*","~*"),"?","~?"))&gt;0,"KNOWN","REVIEW: new call; refresh sources"))</f>
        <v/>
      </c>
    </row>
    <row r="984" spans="1:18" ht="25" customHeight="1">
      <c r="A984" s="12"/>
      <c r="B984" s="8"/>
      <c r="C984" s="8"/>
      <c r="D984" s="8"/>
      <c r="E984" s="8"/>
      <c r="F984" s="8"/>
      <c r="G984" s="8"/>
      <c r="H984" s="8"/>
      <c r="I984" s="11"/>
      <c r="J984" s="12"/>
      <c r="K984" s="12"/>
      <c r="L984" s="8"/>
      <c r="M984" s="8"/>
      <c r="N984" s="8"/>
      <c r="O984" s="8"/>
      <c r="P984" s="8"/>
      <c r="Q984" s="8">
        <f>IF(B984="","",IF(B984="P","P&amp;10",B984&amp;"D "&amp;C984))</f>
        <v/>
      </c>
      <c r="R984" s="8">
        <f>IF(L984&lt;&gt;"Y","",IF(COUNTIF('DEF_CALL_DECISION_SUPPORT'!$B$1197:$B$1256,SUBSTITUTE(SUBSTITUTE(SUBSTITUTE(E984,"~","~~"),"*","~*"),"?","~?"))&gt;0,"KNOWN","REVIEW: new call; refresh sources"))</f>
        <v/>
      </c>
    </row>
    <row r="985" spans="1:18" ht="25" customHeight="1">
      <c r="A985" s="12"/>
      <c r="B985" s="8"/>
      <c r="C985" s="8"/>
      <c r="D985" s="8"/>
      <c r="E985" s="8"/>
      <c r="F985" s="8"/>
      <c r="G985" s="8"/>
      <c r="H985" s="8"/>
      <c r="I985" s="11"/>
      <c r="J985" s="12"/>
      <c r="K985" s="12"/>
      <c r="L985" s="8"/>
      <c r="M985" s="8"/>
      <c r="N985" s="8"/>
      <c r="O985" s="8"/>
      <c r="P985" s="8"/>
      <c r="Q985" s="8">
        <f>IF(B985="","",IF(B985="P","P&amp;10",B985&amp;"D "&amp;C985))</f>
        <v/>
      </c>
      <c r="R985" s="8">
        <f>IF(L985&lt;&gt;"Y","",IF(COUNTIF('DEF_CALL_DECISION_SUPPORT'!$B$1197:$B$1256,SUBSTITUTE(SUBSTITUTE(SUBSTITUTE(E985,"~","~~"),"*","~*"),"?","~?"))&gt;0,"KNOWN","REVIEW: new call; refresh sources"))</f>
        <v/>
      </c>
    </row>
    <row r="986" spans="1:18" ht="25" customHeight="1">
      <c r="A986" s="12"/>
      <c r="B986" s="8"/>
      <c r="C986" s="8"/>
      <c r="D986" s="8"/>
      <c r="E986" s="8"/>
      <c r="F986" s="8"/>
      <c r="G986" s="8"/>
      <c r="H986" s="8"/>
      <c r="I986" s="11"/>
      <c r="J986" s="12"/>
      <c r="K986" s="12"/>
      <c r="L986" s="8"/>
      <c r="M986" s="8"/>
      <c r="N986" s="8"/>
      <c r="O986" s="8"/>
      <c r="P986" s="8"/>
      <c r="Q986" s="8">
        <f>IF(B986="","",IF(B986="P","P&amp;10",B986&amp;"D "&amp;C986))</f>
        <v/>
      </c>
      <c r="R986" s="8">
        <f>IF(L986&lt;&gt;"Y","",IF(COUNTIF('DEF_CALL_DECISION_SUPPORT'!$B$1197:$B$1256,SUBSTITUTE(SUBSTITUTE(SUBSTITUTE(E986,"~","~~"),"*","~*"),"?","~?"))&gt;0,"KNOWN","REVIEW: new call; refresh sources"))</f>
        <v/>
      </c>
    </row>
    <row r="987" spans="1:18" ht="25" customHeight="1">
      <c r="A987" s="12"/>
      <c r="B987" s="8"/>
      <c r="C987" s="8"/>
      <c r="D987" s="8"/>
      <c r="E987" s="8"/>
      <c r="F987" s="8"/>
      <c r="G987" s="8"/>
      <c r="H987" s="8"/>
      <c r="I987" s="11"/>
      <c r="J987" s="12"/>
      <c r="K987" s="12"/>
      <c r="L987" s="8"/>
      <c r="M987" s="8"/>
      <c r="N987" s="8"/>
      <c r="O987" s="8"/>
      <c r="P987" s="8"/>
      <c r="Q987" s="8">
        <f>IF(B987="","",IF(B987="P","P&amp;10",B987&amp;"D "&amp;C987))</f>
        <v/>
      </c>
      <c r="R987" s="8">
        <f>IF(L987&lt;&gt;"Y","",IF(COUNTIF('DEF_CALL_DECISION_SUPPORT'!$B$1197:$B$1256,SUBSTITUTE(SUBSTITUTE(SUBSTITUTE(E987,"~","~~"),"*","~*"),"?","~?"))&gt;0,"KNOWN","REVIEW: new call; refresh sources"))</f>
        <v/>
      </c>
    </row>
    <row r="988" spans="1:18" ht="25" customHeight="1">
      <c r="A988" s="12"/>
      <c r="B988" s="8"/>
      <c r="C988" s="8"/>
      <c r="D988" s="8"/>
      <c r="E988" s="8"/>
      <c r="F988" s="8"/>
      <c r="G988" s="8"/>
      <c r="H988" s="8"/>
      <c r="I988" s="11"/>
      <c r="J988" s="12"/>
      <c r="K988" s="12"/>
      <c r="L988" s="8"/>
      <c r="M988" s="8"/>
      <c r="N988" s="8"/>
      <c r="O988" s="8"/>
      <c r="P988" s="8"/>
      <c r="Q988" s="8">
        <f>IF(B988="","",IF(B988="P","P&amp;10",B988&amp;"D "&amp;C988))</f>
        <v/>
      </c>
      <c r="R988" s="8">
        <f>IF(L988&lt;&gt;"Y","",IF(COUNTIF('DEF_CALL_DECISION_SUPPORT'!$B$1197:$B$1256,SUBSTITUTE(SUBSTITUTE(SUBSTITUTE(E988,"~","~~"),"*","~*"),"?","~?"))&gt;0,"KNOWN","REVIEW: new call; refresh sources"))</f>
        <v/>
      </c>
    </row>
    <row r="989" spans="1:18" ht="25" customHeight="1">
      <c r="A989" s="12"/>
      <c r="B989" s="8"/>
      <c r="C989" s="8"/>
      <c r="D989" s="8"/>
      <c r="E989" s="8"/>
      <c r="F989" s="8"/>
      <c r="G989" s="8"/>
      <c r="H989" s="8"/>
      <c r="I989" s="11"/>
      <c r="J989" s="12"/>
      <c r="K989" s="12"/>
      <c r="L989" s="8"/>
      <c r="M989" s="8"/>
      <c r="N989" s="8"/>
      <c r="O989" s="8"/>
      <c r="P989" s="8"/>
      <c r="Q989" s="8">
        <f>IF(B989="","",IF(B989="P","P&amp;10",B989&amp;"D "&amp;C989))</f>
        <v/>
      </c>
      <c r="R989" s="8">
        <f>IF(L989&lt;&gt;"Y","",IF(COUNTIF('DEF_CALL_DECISION_SUPPORT'!$B$1197:$B$1256,SUBSTITUTE(SUBSTITUTE(SUBSTITUTE(E989,"~","~~"),"*","~*"),"?","~?"))&gt;0,"KNOWN","REVIEW: new call; refresh sources"))</f>
        <v/>
      </c>
    </row>
    <row r="990" spans="1:18" ht="25" customHeight="1">
      <c r="A990" s="12"/>
      <c r="B990" s="8"/>
      <c r="C990" s="8"/>
      <c r="D990" s="8"/>
      <c r="E990" s="8"/>
      <c r="F990" s="8"/>
      <c r="G990" s="8"/>
      <c r="H990" s="8"/>
      <c r="I990" s="11"/>
      <c r="J990" s="12"/>
      <c r="K990" s="12"/>
      <c r="L990" s="8"/>
      <c r="M990" s="8"/>
      <c r="N990" s="8"/>
      <c r="O990" s="8"/>
      <c r="P990" s="8"/>
      <c r="Q990" s="8">
        <f>IF(B990="","",IF(B990="P","P&amp;10",B990&amp;"D "&amp;C990))</f>
        <v/>
      </c>
      <c r="R990" s="8">
        <f>IF(L990&lt;&gt;"Y","",IF(COUNTIF('DEF_CALL_DECISION_SUPPORT'!$B$1197:$B$1256,SUBSTITUTE(SUBSTITUTE(SUBSTITUTE(E990,"~","~~"),"*","~*"),"?","~?"))&gt;0,"KNOWN","REVIEW: new call; refresh sources"))</f>
        <v/>
      </c>
    </row>
    <row r="991" spans="1:18" ht="25" customHeight="1">
      <c r="A991" s="12"/>
      <c r="B991" s="8"/>
      <c r="C991" s="8"/>
      <c r="D991" s="8"/>
      <c r="E991" s="8"/>
      <c r="F991" s="8"/>
      <c r="G991" s="8"/>
      <c r="H991" s="8"/>
      <c r="I991" s="11"/>
      <c r="J991" s="12"/>
      <c r="K991" s="12"/>
      <c r="L991" s="8"/>
      <c r="M991" s="8"/>
      <c r="N991" s="8"/>
      <c r="O991" s="8"/>
      <c r="P991" s="8"/>
      <c r="Q991" s="8">
        <f>IF(B991="","",IF(B991="P","P&amp;10",B991&amp;"D "&amp;C991))</f>
        <v/>
      </c>
      <c r="R991" s="8">
        <f>IF(L991&lt;&gt;"Y","",IF(COUNTIF('DEF_CALL_DECISION_SUPPORT'!$B$1197:$B$1256,SUBSTITUTE(SUBSTITUTE(SUBSTITUTE(E991,"~","~~"),"*","~*"),"?","~?"))&gt;0,"KNOWN","REVIEW: new call; refresh sources"))</f>
        <v/>
      </c>
    </row>
    <row r="992" spans="1:18" ht="25" customHeight="1">
      <c r="A992" s="12"/>
      <c r="B992" s="8"/>
      <c r="C992" s="8"/>
      <c r="D992" s="8"/>
      <c r="E992" s="8"/>
      <c r="F992" s="8"/>
      <c r="G992" s="8"/>
      <c r="H992" s="8"/>
      <c r="I992" s="11"/>
      <c r="J992" s="12"/>
      <c r="K992" s="12"/>
      <c r="L992" s="8"/>
      <c r="M992" s="8"/>
      <c r="N992" s="8"/>
      <c r="O992" s="8"/>
      <c r="P992" s="8"/>
      <c r="Q992" s="8">
        <f>IF(B992="","",IF(B992="P","P&amp;10",B992&amp;"D "&amp;C992))</f>
        <v/>
      </c>
      <c r="R992" s="8">
        <f>IF(L992&lt;&gt;"Y","",IF(COUNTIF('DEF_CALL_DECISION_SUPPORT'!$B$1197:$B$1256,SUBSTITUTE(SUBSTITUTE(SUBSTITUTE(E992,"~","~~"),"*","~*"),"?","~?"))&gt;0,"KNOWN","REVIEW: new call; refresh sources"))</f>
        <v/>
      </c>
    </row>
    <row r="993" spans="1:18" ht="25" customHeight="1">
      <c r="A993" s="12"/>
      <c r="B993" s="8"/>
      <c r="C993" s="8"/>
      <c r="D993" s="8"/>
      <c r="E993" s="8"/>
      <c r="F993" s="8"/>
      <c r="G993" s="8"/>
      <c r="H993" s="8"/>
      <c r="I993" s="11"/>
      <c r="J993" s="12"/>
      <c r="K993" s="12"/>
      <c r="L993" s="8"/>
      <c r="M993" s="8"/>
      <c r="N993" s="8"/>
      <c r="O993" s="8"/>
      <c r="P993" s="8"/>
      <c r="Q993" s="8">
        <f>IF(B993="","",IF(B993="P","P&amp;10",B993&amp;"D "&amp;C993))</f>
        <v/>
      </c>
      <c r="R993" s="8">
        <f>IF(L993&lt;&gt;"Y","",IF(COUNTIF('DEF_CALL_DECISION_SUPPORT'!$B$1197:$B$1256,SUBSTITUTE(SUBSTITUTE(SUBSTITUTE(E993,"~","~~"),"*","~*"),"?","~?"))&gt;0,"KNOWN","REVIEW: new call; refresh sources"))</f>
        <v/>
      </c>
    </row>
    <row r="994" spans="1:18" ht="25" customHeight="1">
      <c r="A994" s="12"/>
      <c r="B994" s="8"/>
      <c r="C994" s="8"/>
      <c r="D994" s="8"/>
      <c r="E994" s="8"/>
      <c r="F994" s="8"/>
      <c r="G994" s="8"/>
      <c r="H994" s="8"/>
      <c r="I994" s="11"/>
      <c r="J994" s="12"/>
      <c r="K994" s="12"/>
      <c r="L994" s="8"/>
      <c r="M994" s="8"/>
      <c r="N994" s="8"/>
      <c r="O994" s="8"/>
      <c r="P994" s="8"/>
      <c r="Q994" s="8">
        <f>IF(B994="","",IF(B994="P","P&amp;10",B994&amp;"D "&amp;C994))</f>
        <v/>
      </c>
      <c r="R994" s="8">
        <f>IF(L994&lt;&gt;"Y","",IF(COUNTIF('DEF_CALL_DECISION_SUPPORT'!$B$1197:$B$1256,SUBSTITUTE(SUBSTITUTE(SUBSTITUTE(E994,"~","~~"),"*","~*"),"?","~?"))&gt;0,"KNOWN","REVIEW: new call; refresh sources"))</f>
        <v/>
      </c>
    </row>
    <row r="995" spans="1:18" ht="25" customHeight="1">
      <c r="A995" s="12"/>
      <c r="B995" s="8"/>
      <c r="C995" s="8"/>
      <c r="D995" s="8"/>
      <c r="E995" s="8"/>
      <c r="F995" s="8"/>
      <c r="G995" s="8"/>
      <c r="H995" s="8"/>
      <c r="I995" s="11"/>
      <c r="J995" s="12"/>
      <c r="K995" s="12"/>
      <c r="L995" s="8"/>
      <c r="M995" s="8"/>
      <c r="N995" s="8"/>
      <c r="O995" s="8"/>
      <c r="P995" s="8"/>
      <c r="Q995" s="8">
        <f>IF(B995="","",IF(B995="P","P&amp;10",B995&amp;"D "&amp;C995))</f>
        <v/>
      </c>
      <c r="R995" s="8">
        <f>IF(L995&lt;&gt;"Y","",IF(COUNTIF('DEF_CALL_DECISION_SUPPORT'!$B$1197:$B$1256,SUBSTITUTE(SUBSTITUTE(SUBSTITUTE(E995,"~","~~"),"*","~*"),"?","~?"))&gt;0,"KNOWN","REVIEW: new call; refresh sources"))</f>
        <v/>
      </c>
    </row>
    <row r="996" spans="1:18" ht="25" customHeight="1">
      <c r="A996" s="12"/>
      <c r="B996" s="8"/>
      <c r="C996" s="8"/>
      <c r="D996" s="8"/>
      <c r="E996" s="8"/>
      <c r="F996" s="8"/>
      <c r="G996" s="8"/>
      <c r="H996" s="8"/>
      <c r="I996" s="11"/>
      <c r="J996" s="12"/>
      <c r="K996" s="12"/>
      <c r="L996" s="8"/>
      <c r="M996" s="8"/>
      <c r="N996" s="8"/>
      <c r="O996" s="8"/>
      <c r="P996" s="8"/>
      <c r="Q996" s="8">
        <f>IF(B996="","",IF(B996="P","P&amp;10",B996&amp;"D "&amp;C996))</f>
        <v/>
      </c>
      <c r="R996" s="8">
        <f>IF(L996&lt;&gt;"Y","",IF(COUNTIF('DEF_CALL_DECISION_SUPPORT'!$B$1197:$B$1256,SUBSTITUTE(SUBSTITUTE(SUBSTITUTE(E996,"~","~~"),"*","~*"),"?","~?"))&gt;0,"KNOWN","REVIEW: new call; refresh sources"))</f>
        <v/>
      </c>
    </row>
    <row r="997" spans="1:18" ht="25" customHeight="1">
      <c r="A997" s="12"/>
      <c r="B997" s="8"/>
      <c r="C997" s="8"/>
      <c r="D997" s="8"/>
      <c r="E997" s="8"/>
      <c r="F997" s="8"/>
      <c r="G997" s="8"/>
      <c r="H997" s="8"/>
      <c r="I997" s="11"/>
      <c r="J997" s="12"/>
      <c r="K997" s="12"/>
      <c r="L997" s="8"/>
      <c r="M997" s="8"/>
      <c r="N997" s="8"/>
      <c r="O997" s="8"/>
      <c r="P997" s="8"/>
      <c r="Q997" s="8">
        <f>IF(B997="","",IF(B997="P","P&amp;10",B997&amp;"D "&amp;C997))</f>
        <v/>
      </c>
      <c r="R997" s="8">
        <f>IF(L997&lt;&gt;"Y","",IF(COUNTIF('DEF_CALL_DECISION_SUPPORT'!$B$1197:$B$1256,SUBSTITUTE(SUBSTITUTE(SUBSTITUTE(E997,"~","~~"),"*","~*"),"?","~?"))&gt;0,"KNOWN","REVIEW: new call; refresh sources"))</f>
        <v/>
      </c>
    </row>
    <row r="998" spans="1:18" ht="25" customHeight="1">
      <c r="A998" s="12"/>
      <c r="B998" s="8"/>
      <c r="C998" s="8"/>
      <c r="D998" s="8"/>
      <c r="E998" s="8"/>
      <c r="F998" s="8"/>
      <c r="G998" s="8"/>
      <c r="H998" s="8"/>
      <c r="I998" s="11"/>
      <c r="J998" s="12"/>
      <c r="K998" s="12"/>
      <c r="L998" s="8"/>
      <c r="M998" s="8"/>
      <c r="N998" s="8"/>
      <c r="O998" s="8"/>
      <c r="P998" s="8"/>
      <c r="Q998" s="8">
        <f>IF(B998="","",IF(B998="P","P&amp;10",B998&amp;"D "&amp;C998))</f>
        <v/>
      </c>
      <c r="R998" s="8">
        <f>IF(L998&lt;&gt;"Y","",IF(COUNTIF('DEF_CALL_DECISION_SUPPORT'!$B$1197:$B$1256,SUBSTITUTE(SUBSTITUTE(SUBSTITUTE(E998,"~","~~"),"*","~*"),"?","~?"))&gt;0,"KNOWN","REVIEW: new call; refresh sources"))</f>
        <v/>
      </c>
    </row>
    <row r="999" spans="1:18" ht="25" customHeight="1">
      <c r="A999" s="12"/>
      <c r="B999" s="8"/>
      <c r="C999" s="8"/>
      <c r="D999" s="8"/>
      <c r="E999" s="8"/>
      <c r="F999" s="8"/>
      <c r="G999" s="8"/>
      <c r="H999" s="8"/>
      <c r="I999" s="11"/>
      <c r="J999" s="12"/>
      <c r="K999" s="12"/>
      <c r="L999" s="8"/>
      <c r="M999" s="8"/>
      <c r="N999" s="8"/>
      <c r="O999" s="8"/>
      <c r="P999" s="8"/>
      <c r="Q999" s="8">
        <f>IF(B999="","",IF(B999="P","P&amp;10",B999&amp;"D "&amp;C999))</f>
        <v/>
      </c>
      <c r="R999" s="8">
        <f>IF(L999&lt;&gt;"Y","",IF(COUNTIF('DEF_CALL_DECISION_SUPPORT'!$B$1197:$B$1256,SUBSTITUTE(SUBSTITUTE(SUBSTITUTE(E999,"~","~~"),"*","~*"),"?","~?"))&gt;0,"KNOWN","REVIEW: new call; refresh sources"))</f>
        <v/>
      </c>
    </row>
    <row r="1000" spans="1:18" ht="25" customHeight="1">
      <c r="A1000" s="12"/>
      <c r="B1000" s="8"/>
      <c r="C1000" s="8"/>
      <c r="D1000" s="8"/>
      <c r="E1000" s="8"/>
      <c r="F1000" s="8"/>
      <c r="G1000" s="8"/>
      <c r="H1000" s="8"/>
      <c r="I1000" s="11"/>
      <c r="J1000" s="12"/>
      <c r="K1000" s="12"/>
      <c r="L1000" s="8"/>
      <c r="M1000" s="8"/>
      <c r="N1000" s="8"/>
      <c r="O1000" s="8"/>
      <c r="P1000" s="8"/>
      <c r="Q1000" s="8">
        <f>IF(B1000="","",IF(B1000="P","P&amp;10",B1000&amp;"D "&amp;C1000))</f>
        <v/>
      </c>
      <c r="R1000" s="8">
        <f>IF(L1000&lt;&gt;"Y","",IF(COUNTIF('DEF_CALL_DECISION_SUPPORT'!$B$1197:$B$1256,SUBSTITUTE(SUBSTITUTE(SUBSTITUTE(E1000,"~","~~"),"*","~*"),"?","~?"))&gt;0,"KNOWN","REVIEW: new call; refresh sources"))</f>
        <v/>
      </c>
    </row>
    <row r="1001" spans="1:18" ht="25" customHeight="1">
      <c r="A1001" s="12"/>
      <c r="B1001" s="8"/>
      <c r="C1001" s="8"/>
      <c r="D1001" s="8"/>
      <c r="E1001" s="8"/>
      <c r="F1001" s="8"/>
      <c r="G1001" s="8"/>
      <c r="H1001" s="8"/>
      <c r="I1001" s="11"/>
      <c r="J1001" s="12"/>
      <c r="K1001" s="12"/>
      <c r="L1001" s="8"/>
      <c r="M1001" s="8"/>
      <c r="N1001" s="8"/>
      <c r="O1001" s="8"/>
      <c r="P1001" s="8"/>
      <c r="Q1001" s="8">
        <f>IF(B1001="","",IF(B1001="P","P&amp;10",B1001&amp;"D "&amp;C1001))</f>
        <v/>
      </c>
      <c r="R1001" s="8">
        <f>IF(L1001&lt;&gt;"Y","",IF(COUNTIF('DEF_CALL_DECISION_SUPPORT'!$B$1197:$B$1256,SUBSTITUTE(SUBSTITUTE(SUBSTITUTE(E1001,"~","~~"),"*","~*"),"?","~?"))&gt;0,"KNOWN","REVIEW: new call; refresh sources"))</f>
        <v/>
      </c>
    </row>
    <row r="1002" spans="1:18" ht="25" customHeight="1">
      <c r="A1002" s="12"/>
      <c r="B1002" s="8"/>
      <c r="C1002" s="8"/>
      <c r="D1002" s="8"/>
      <c r="E1002" s="8"/>
      <c r="F1002" s="8"/>
      <c r="G1002" s="8"/>
      <c r="H1002" s="8"/>
      <c r="I1002" s="11"/>
      <c r="J1002" s="12"/>
      <c r="K1002" s="12"/>
      <c r="L1002" s="8"/>
      <c r="M1002" s="8"/>
      <c r="N1002" s="8"/>
      <c r="O1002" s="8"/>
      <c r="P1002" s="8"/>
      <c r="Q1002" s="8">
        <f>IF(B1002="","",IF(B1002="P","P&amp;10",B1002&amp;"D "&amp;C1002))</f>
        <v/>
      </c>
      <c r="R1002" s="8">
        <f>IF(L1002&lt;&gt;"Y","",IF(COUNTIF('DEF_CALL_DECISION_SUPPORT'!$B$1197:$B$1256,SUBSTITUTE(SUBSTITUTE(SUBSTITUTE(E1002,"~","~~"),"*","~*"),"?","~?"))&gt;0,"KNOWN","REVIEW: new call; refresh sources"))</f>
        <v/>
      </c>
    </row>
    <row r="1003" spans="1:18" ht="25" customHeight="1">
      <c r="A1003" s="12"/>
      <c r="B1003" s="8"/>
      <c r="C1003" s="8"/>
      <c r="D1003" s="8"/>
      <c r="E1003" s="8"/>
      <c r="F1003" s="8"/>
      <c r="G1003" s="8"/>
      <c r="H1003" s="8"/>
      <c r="I1003" s="11"/>
      <c r="J1003" s="12"/>
      <c r="K1003" s="12"/>
      <c r="L1003" s="8"/>
      <c r="M1003" s="8"/>
      <c r="N1003" s="8"/>
      <c r="O1003" s="8"/>
      <c r="P1003" s="8"/>
      <c r="Q1003" s="8">
        <f>IF(B1003="","",IF(B1003="P","P&amp;10",B1003&amp;"D "&amp;C1003))</f>
        <v/>
      </c>
      <c r="R1003" s="8">
        <f>IF(L1003&lt;&gt;"Y","",IF(COUNTIF('DEF_CALL_DECISION_SUPPORT'!$B$1197:$B$1256,SUBSTITUTE(SUBSTITUTE(SUBSTITUTE(E1003,"~","~~"),"*","~*"),"?","~?"))&gt;0,"KNOWN","REVIEW: new call; refresh sources"))</f>
        <v/>
      </c>
    </row>
    <row r="1004" spans="1:18" ht="25" customHeight="1">
      <c r="A1004" s="12"/>
      <c r="B1004" s="8"/>
      <c r="C1004" s="8"/>
      <c r="D1004" s="8"/>
      <c r="E1004" s="8"/>
      <c r="F1004" s="8"/>
      <c r="G1004" s="8"/>
      <c r="H1004" s="8"/>
      <c r="I1004" s="11"/>
      <c r="J1004" s="12"/>
      <c r="K1004" s="12"/>
      <c r="L1004" s="8"/>
      <c r="M1004" s="8"/>
      <c r="N1004" s="8"/>
      <c r="O1004" s="8"/>
      <c r="P1004" s="8"/>
      <c r="Q1004" s="8">
        <f>IF(B1004="","",IF(B1004="P","P&amp;10",B1004&amp;"D "&amp;C1004))</f>
        <v/>
      </c>
      <c r="R1004" s="8">
        <f>IF(L1004&lt;&gt;"Y","",IF(COUNTIF('DEF_CALL_DECISION_SUPPORT'!$B$1197:$B$1256,SUBSTITUTE(SUBSTITUTE(SUBSTITUTE(E1004,"~","~~"),"*","~*"),"?","~?"))&gt;0,"KNOWN","REVIEW: new call; refresh sources"))</f>
        <v/>
      </c>
    </row>
    <row r="1005" spans="1:18" ht="25" customHeight="1">
      <c r="A1005" s="12"/>
      <c r="B1005" s="8"/>
      <c r="C1005" s="8"/>
      <c r="D1005" s="8"/>
      <c r="E1005" s="8"/>
      <c r="F1005" s="8"/>
      <c r="G1005" s="8"/>
      <c r="H1005" s="8"/>
      <c r="I1005" s="11"/>
      <c r="J1005" s="12"/>
      <c r="K1005" s="12"/>
      <c r="L1005" s="8"/>
      <c r="M1005" s="8"/>
      <c r="N1005" s="8"/>
      <c r="O1005" s="8"/>
      <c r="P1005" s="8"/>
      <c r="Q1005" s="8">
        <f>IF(B1005="","",IF(B1005="P","P&amp;10",B1005&amp;"D "&amp;C1005))</f>
        <v/>
      </c>
      <c r="R1005" s="8">
        <f>IF(L1005&lt;&gt;"Y","",IF(COUNTIF('DEF_CALL_DECISION_SUPPORT'!$B$1197:$B$1256,SUBSTITUTE(SUBSTITUTE(SUBSTITUTE(E1005,"~","~~"),"*","~*"),"?","~?"))&gt;0,"KNOWN","REVIEW: new call; refresh sources"))</f>
        <v/>
      </c>
    </row>
    <row r="1006" spans="1:18" ht="25" customHeight="1">
      <c r="A1006" s="12"/>
      <c r="B1006" s="8"/>
      <c r="C1006" s="8"/>
      <c r="D1006" s="8"/>
      <c r="E1006" s="8"/>
      <c r="F1006" s="8"/>
      <c r="G1006" s="8"/>
      <c r="H1006" s="8"/>
      <c r="I1006" s="11"/>
      <c r="J1006" s="12"/>
      <c r="K1006" s="12"/>
      <c r="L1006" s="8"/>
      <c r="M1006" s="8"/>
      <c r="N1006" s="8"/>
      <c r="O1006" s="8"/>
      <c r="P1006" s="8"/>
      <c r="Q1006" s="8">
        <f>IF(B1006="","",IF(B1006="P","P&amp;10",B1006&amp;"D "&amp;C1006))</f>
        <v/>
      </c>
      <c r="R1006" s="8">
        <f>IF(L1006&lt;&gt;"Y","",IF(COUNTIF('DEF_CALL_DECISION_SUPPORT'!$B$1197:$B$1256,SUBSTITUTE(SUBSTITUTE(SUBSTITUTE(E1006,"~","~~"),"*","~*"),"?","~?"))&gt;0,"KNOWN","REVIEW: new call; refresh sources"))</f>
        <v/>
      </c>
    </row>
    <row r="1007" spans="1:18" ht="25" customHeight="1">
      <c r="A1007" s="12"/>
      <c r="B1007" s="8"/>
      <c r="C1007" s="8"/>
      <c r="D1007" s="8"/>
      <c r="E1007" s="8"/>
      <c r="F1007" s="8"/>
      <c r="G1007" s="8"/>
      <c r="H1007" s="8"/>
      <c r="I1007" s="11"/>
      <c r="J1007" s="12"/>
      <c r="K1007" s="12"/>
      <c r="L1007" s="8"/>
      <c r="M1007" s="8"/>
      <c r="N1007" s="8"/>
      <c r="O1007" s="8"/>
      <c r="P1007" s="8"/>
      <c r="Q1007" s="8">
        <f>IF(B1007="","",IF(B1007="P","P&amp;10",B1007&amp;"D "&amp;C1007))</f>
        <v/>
      </c>
      <c r="R1007" s="8">
        <f>IF(L1007&lt;&gt;"Y","",IF(COUNTIF('DEF_CALL_DECISION_SUPPORT'!$B$1197:$B$1256,SUBSTITUTE(SUBSTITUTE(SUBSTITUTE(E1007,"~","~~"),"*","~*"),"?","~?"))&gt;0,"KNOWN","REVIEW: new call; refresh sources"))</f>
        <v/>
      </c>
    </row>
    <row r="1008" spans="1:18" ht="25" customHeight="1">
      <c r="A1008" s="12"/>
      <c r="B1008" s="8"/>
      <c r="C1008" s="8"/>
      <c r="D1008" s="8"/>
      <c r="E1008" s="8"/>
      <c r="F1008" s="8"/>
      <c r="G1008" s="8"/>
      <c r="H1008" s="8"/>
      <c r="I1008" s="11"/>
      <c r="J1008" s="12"/>
      <c r="K1008" s="12"/>
      <c r="L1008" s="8"/>
      <c r="M1008" s="8"/>
      <c r="N1008" s="8"/>
      <c r="O1008" s="8"/>
      <c r="P1008" s="8"/>
      <c r="Q1008" s="8">
        <f>IF(B1008="","",IF(B1008="P","P&amp;10",B1008&amp;"D "&amp;C1008))</f>
        <v/>
      </c>
      <c r="R1008" s="8">
        <f>IF(L1008&lt;&gt;"Y","",IF(COUNTIF('DEF_CALL_DECISION_SUPPORT'!$B$1197:$B$1256,SUBSTITUTE(SUBSTITUTE(SUBSTITUTE(E1008,"~","~~"),"*","~*"),"?","~?"))&gt;0,"KNOWN","REVIEW: new call; refresh sources"))</f>
        <v/>
      </c>
    </row>
    <row r="1009" spans="1:18" ht="25" customHeight="1">
      <c r="A1009" s="12"/>
      <c r="B1009" s="8"/>
      <c r="C1009" s="8"/>
      <c r="D1009" s="8"/>
      <c r="E1009" s="8"/>
      <c r="F1009" s="8"/>
      <c r="G1009" s="8"/>
      <c r="H1009" s="8"/>
      <c r="I1009" s="11"/>
      <c r="J1009" s="12"/>
      <c r="K1009" s="12"/>
      <c r="L1009" s="8"/>
      <c r="M1009" s="8"/>
      <c r="N1009" s="8"/>
      <c r="O1009" s="8"/>
      <c r="P1009" s="8"/>
      <c r="Q1009" s="8">
        <f>IF(B1009="","",IF(B1009="P","P&amp;10",B1009&amp;"D "&amp;C1009))</f>
        <v/>
      </c>
      <c r="R1009" s="8">
        <f>IF(L1009&lt;&gt;"Y","",IF(COUNTIF('DEF_CALL_DECISION_SUPPORT'!$B$1197:$B$1256,SUBSTITUTE(SUBSTITUTE(SUBSTITUTE(E1009,"~","~~"),"*","~*"),"?","~?"))&gt;0,"KNOWN","REVIEW: new call; refresh sources"))</f>
        <v/>
      </c>
    </row>
    <row r="1010" spans="1:18" ht="25" customHeight="1">
      <c r="A1010" s="12"/>
      <c r="B1010" s="8"/>
      <c r="C1010" s="8"/>
      <c r="D1010" s="8"/>
      <c r="E1010" s="8"/>
      <c r="F1010" s="8"/>
      <c r="G1010" s="8"/>
      <c r="H1010" s="8"/>
      <c r="I1010" s="11"/>
      <c r="J1010" s="12"/>
      <c r="K1010" s="12"/>
      <c r="L1010" s="8"/>
      <c r="M1010" s="8"/>
      <c r="N1010" s="8"/>
      <c r="O1010" s="8"/>
      <c r="P1010" s="8"/>
      <c r="Q1010" s="8">
        <f>IF(B1010="","",IF(B1010="P","P&amp;10",B1010&amp;"D "&amp;C1010))</f>
        <v/>
      </c>
      <c r="R1010" s="8">
        <f>IF(L1010&lt;&gt;"Y","",IF(COUNTIF('DEF_CALL_DECISION_SUPPORT'!$B$1197:$B$1256,SUBSTITUTE(SUBSTITUTE(SUBSTITUTE(E1010,"~","~~"),"*","~*"),"?","~?"))&gt;0,"KNOWN","REVIEW: new call; refresh sources"))</f>
        <v/>
      </c>
    </row>
    <row r="1011" spans="1:18" ht="25" customHeight="1">
      <c r="A1011" s="12"/>
      <c r="B1011" s="8"/>
      <c r="C1011" s="8"/>
      <c r="D1011" s="8"/>
      <c r="E1011" s="8"/>
      <c r="F1011" s="8"/>
      <c r="G1011" s="8"/>
      <c r="H1011" s="8"/>
      <c r="I1011" s="11"/>
      <c r="J1011" s="12"/>
      <c r="K1011" s="12"/>
      <c r="L1011" s="8"/>
      <c r="M1011" s="8"/>
      <c r="N1011" s="8"/>
      <c r="O1011" s="8"/>
      <c r="P1011" s="8"/>
      <c r="Q1011" s="8">
        <f>IF(B1011="","",IF(B1011="P","P&amp;10",B1011&amp;"D "&amp;C1011))</f>
        <v/>
      </c>
      <c r="R1011" s="8">
        <f>IF(L1011&lt;&gt;"Y","",IF(COUNTIF('DEF_CALL_DECISION_SUPPORT'!$B$1197:$B$1256,SUBSTITUTE(SUBSTITUTE(SUBSTITUTE(E1011,"~","~~"),"*","~*"),"?","~?"))&gt;0,"KNOWN","REVIEW: new call; refresh sources"))</f>
        <v/>
      </c>
    </row>
    <row r="1012" spans="1:18" ht="25" customHeight="1">
      <c r="A1012" s="12"/>
      <c r="B1012" s="8"/>
      <c r="C1012" s="8"/>
      <c r="D1012" s="8"/>
      <c r="E1012" s="8"/>
      <c r="F1012" s="8"/>
      <c r="G1012" s="8"/>
      <c r="H1012" s="8"/>
      <c r="I1012" s="11"/>
      <c r="J1012" s="12"/>
      <c r="K1012" s="12"/>
      <c r="L1012" s="8"/>
      <c r="M1012" s="8"/>
      <c r="N1012" s="8"/>
      <c r="O1012" s="8"/>
      <c r="P1012" s="8"/>
      <c r="Q1012" s="8">
        <f>IF(B1012="","",IF(B1012="P","P&amp;10",B1012&amp;"D "&amp;C1012))</f>
        <v/>
      </c>
      <c r="R1012" s="8">
        <f>IF(L1012&lt;&gt;"Y","",IF(COUNTIF('DEF_CALL_DECISION_SUPPORT'!$B$1197:$B$1256,SUBSTITUTE(SUBSTITUTE(SUBSTITUTE(E1012,"~","~~"),"*","~*"),"?","~?"))&gt;0,"KNOWN","REVIEW: new call; refresh sources"))</f>
        <v/>
      </c>
    </row>
    <row r="1013" spans="1:18" ht="25" customHeight="1">
      <c r="A1013" s="12"/>
      <c r="B1013" s="8"/>
      <c r="C1013" s="8"/>
      <c r="D1013" s="8"/>
      <c r="E1013" s="8"/>
      <c r="F1013" s="8"/>
      <c r="G1013" s="8"/>
      <c r="H1013" s="8"/>
      <c r="I1013" s="11"/>
      <c r="J1013" s="12"/>
      <c r="K1013" s="12"/>
      <c r="L1013" s="8"/>
      <c r="M1013" s="8"/>
      <c r="N1013" s="8"/>
      <c r="O1013" s="8"/>
      <c r="P1013" s="8"/>
      <c r="Q1013" s="8">
        <f>IF(B1013="","",IF(B1013="P","P&amp;10",B1013&amp;"D "&amp;C1013))</f>
        <v/>
      </c>
      <c r="R1013" s="8">
        <f>IF(L1013&lt;&gt;"Y","",IF(COUNTIF('DEF_CALL_DECISION_SUPPORT'!$B$1197:$B$1256,SUBSTITUTE(SUBSTITUTE(SUBSTITUTE(E1013,"~","~~"),"*","~*"),"?","~?"))&gt;0,"KNOWN","REVIEW: new call; refresh sources"))</f>
        <v/>
      </c>
    </row>
    <row r="1014" spans="1:18" ht="25" customHeight="1">
      <c r="A1014" s="12"/>
      <c r="B1014" s="8"/>
      <c r="C1014" s="8"/>
      <c r="D1014" s="8"/>
      <c r="E1014" s="8"/>
      <c r="F1014" s="8"/>
      <c r="G1014" s="8"/>
      <c r="H1014" s="8"/>
      <c r="I1014" s="11"/>
      <c r="J1014" s="12"/>
      <c r="K1014" s="12"/>
      <c r="L1014" s="8"/>
      <c r="M1014" s="8"/>
      <c r="N1014" s="8"/>
      <c r="O1014" s="8"/>
      <c r="P1014" s="8"/>
      <c r="Q1014" s="8">
        <f>IF(B1014="","",IF(B1014="P","P&amp;10",B1014&amp;"D "&amp;C1014))</f>
        <v/>
      </c>
      <c r="R1014" s="8">
        <f>IF(L1014&lt;&gt;"Y","",IF(COUNTIF('DEF_CALL_DECISION_SUPPORT'!$B$1197:$B$1256,SUBSTITUTE(SUBSTITUTE(SUBSTITUTE(E1014,"~","~~"),"*","~*"),"?","~?"))&gt;0,"KNOWN","REVIEW: new call; refresh sources"))</f>
        <v/>
      </c>
    </row>
    <row r="1015" spans="1:18" ht="25" customHeight="1">
      <c r="A1015" s="12"/>
      <c r="B1015" s="8"/>
      <c r="C1015" s="8"/>
      <c r="D1015" s="8"/>
      <c r="E1015" s="8"/>
      <c r="F1015" s="8"/>
      <c r="G1015" s="8"/>
      <c r="H1015" s="8"/>
      <c r="I1015" s="11"/>
      <c r="J1015" s="12"/>
      <c r="K1015" s="12"/>
      <c r="L1015" s="8"/>
      <c r="M1015" s="8"/>
      <c r="N1015" s="8"/>
      <c r="O1015" s="8"/>
      <c r="P1015" s="8"/>
      <c r="Q1015" s="8">
        <f>IF(B1015="","",IF(B1015="P","P&amp;10",B1015&amp;"D "&amp;C1015))</f>
        <v/>
      </c>
      <c r="R1015" s="8">
        <f>IF(L1015&lt;&gt;"Y","",IF(COUNTIF('DEF_CALL_DECISION_SUPPORT'!$B$1197:$B$1256,SUBSTITUTE(SUBSTITUTE(SUBSTITUTE(E1015,"~","~~"),"*","~*"),"?","~?"))&gt;0,"KNOWN","REVIEW: new call; refresh sources"))</f>
        <v/>
      </c>
    </row>
    <row r="1016" spans="1:18" ht="25" customHeight="1">
      <c r="A1016" s="12"/>
      <c r="B1016" s="8"/>
      <c r="C1016" s="8"/>
      <c r="D1016" s="8"/>
      <c r="E1016" s="8"/>
      <c r="F1016" s="8"/>
      <c r="G1016" s="8"/>
      <c r="H1016" s="8"/>
      <c r="I1016" s="11"/>
      <c r="J1016" s="12"/>
      <c r="K1016" s="12"/>
      <c r="L1016" s="8"/>
      <c r="M1016" s="8"/>
      <c r="N1016" s="8"/>
      <c r="O1016" s="8"/>
      <c r="P1016" s="8"/>
      <c r="Q1016" s="8">
        <f>IF(B1016="","",IF(B1016="P","P&amp;10",B1016&amp;"D "&amp;C1016))</f>
        <v/>
      </c>
      <c r="R1016" s="8">
        <f>IF(L1016&lt;&gt;"Y","",IF(COUNTIF('DEF_CALL_DECISION_SUPPORT'!$B$1197:$B$1256,SUBSTITUTE(SUBSTITUTE(SUBSTITUTE(E1016,"~","~~"),"*","~*"),"?","~?"))&gt;0,"KNOWN","REVIEW: new call; refresh sources"))</f>
        <v/>
      </c>
    </row>
    <row r="1017" spans="1:18" ht="25" customHeight="1">
      <c r="A1017" s="12"/>
      <c r="B1017" s="8"/>
      <c r="C1017" s="8"/>
      <c r="D1017" s="8"/>
      <c r="E1017" s="8"/>
      <c r="F1017" s="8"/>
      <c r="G1017" s="8"/>
      <c r="H1017" s="8"/>
      <c r="I1017" s="11"/>
      <c r="J1017" s="12"/>
      <c r="K1017" s="12"/>
      <c r="L1017" s="8"/>
      <c r="M1017" s="8"/>
      <c r="N1017" s="8"/>
      <c r="O1017" s="8"/>
      <c r="P1017" s="8"/>
      <c r="Q1017" s="8">
        <f>IF(B1017="","",IF(B1017="P","P&amp;10",B1017&amp;"D "&amp;C1017))</f>
        <v/>
      </c>
      <c r="R1017" s="8">
        <f>IF(L1017&lt;&gt;"Y","",IF(COUNTIF('DEF_CALL_DECISION_SUPPORT'!$B$1197:$B$1256,SUBSTITUTE(SUBSTITUTE(SUBSTITUTE(E1017,"~","~~"),"*","~*"),"?","~?"))&gt;0,"KNOWN","REVIEW: new call; refresh sources"))</f>
        <v/>
      </c>
    </row>
    <row r="1018" spans="1:18" ht="25" customHeight="1">
      <c r="A1018" s="12"/>
      <c r="B1018" s="8"/>
      <c r="C1018" s="8"/>
      <c r="D1018" s="8"/>
      <c r="E1018" s="8"/>
      <c r="F1018" s="8"/>
      <c r="G1018" s="8"/>
      <c r="H1018" s="8"/>
      <c r="I1018" s="11"/>
      <c r="J1018" s="12"/>
      <c r="K1018" s="12"/>
      <c r="L1018" s="8"/>
      <c r="M1018" s="8"/>
      <c r="N1018" s="8"/>
      <c r="O1018" s="8"/>
      <c r="P1018" s="8"/>
      <c r="Q1018" s="8">
        <f>IF(B1018="","",IF(B1018="P","P&amp;10",B1018&amp;"D "&amp;C1018))</f>
        <v/>
      </c>
      <c r="R1018" s="8">
        <f>IF(L1018&lt;&gt;"Y","",IF(COUNTIF('DEF_CALL_DECISION_SUPPORT'!$B$1197:$B$1256,SUBSTITUTE(SUBSTITUTE(SUBSTITUTE(E1018,"~","~~"),"*","~*"),"?","~?"))&gt;0,"KNOWN","REVIEW: new call; refresh sources"))</f>
        <v/>
      </c>
    </row>
    <row r="1019" spans="1:18" ht="25" customHeight="1">
      <c r="A1019" s="12"/>
      <c r="B1019" s="8"/>
      <c r="C1019" s="8"/>
      <c r="D1019" s="8"/>
      <c r="E1019" s="8"/>
      <c r="F1019" s="8"/>
      <c r="G1019" s="8"/>
      <c r="H1019" s="8"/>
      <c r="I1019" s="11"/>
      <c r="J1019" s="12"/>
      <c r="K1019" s="12"/>
      <c r="L1019" s="8"/>
      <c r="M1019" s="8"/>
      <c r="N1019" s="8"/>
      <c r="O1019" s="8"/>
      <c r="P1019" s="8"/>
      <c r="Q1019" s="8">
        <f>IF(B1019="","",IF(B1019="P","P&amp;10",B1019&amp;"D "&amp;C1019))</f>
        <v/>
      </c>
      <c r="R1019" s="8">
        <f>IF(L1019&lt;&gt;"Y","",IF(COUNTIF('DEF_CALL_DECISION_SUPPORT'!$B$1197:$B$1256,SUBSTITUTE(SUBSTITUTE(SUBSTITUTE(E1019,"~","~~"),"*","~*"),"?","~?"))&gt;0,"KNOWN","REVIEW: new call; refresh sources"))</f>
        <v/>
      </c>
    </row>
    <row r="1020" spans="1:18" ht="25" customHeight="1">
      <c r="A1020" s="12"/>
      <c r="B1020" s="8"/>
      <c r="C1020" s="8"/>
      <c r="D1020" s="8"/>
      <c r="E1020" s="8"/>
      <c r="F1020" s="8"/>
      <c r="G1020" s="8"/>
      <c r="H1020" s="8"/>
      <c r="I1020" s="11"/>
      <c r="J1020" s="12"/>
      <c r="K1020" s="12"/>
      <c r="L1020" s="8"/>
      <c r="M1020" s="8"/>
      <c r="N1020" s="8"/>
      <c r="O1020" s="8"/>
      <c r="P1020" s="8"/>
      <c r="Q1020" s="8">
        <f>IF(B1020="","",IF(B1020="P","P&amp;10",B1020&amp;"D "&amp;C1020))</f>
        <v/>
      </c>
      <c r="R1020" s="8">
        <f>IF(L1020&lt;&gt;"Y","",IF(COUNTIF('DEF_CALL_DECISION_SUPPORT'!$B$1197:$B$1256,SUBSTITUTE(SUBSTITUTE(SUBSTITUTE(E1020,"~","~~"),"*","~*"),"?","~?"))&gt;0,"KNOWN","REVIEW: new call; refresh sources"))</f>
        <v/>
      </c>
    </row>
    <row r="1021" spans="1:18" ht="25" customHeight="1">
      <c r="A1021" s="12"/>
      <c r="B1021" s="8"/>
      <c r="C1021" s="8"/>
      <c r="D1021" s="8"/>
      <c r="E1021" s="8"/>
      <c r="F1021" s="8"/>
      <c r="G1021" s="8"/>
      <c r="H1021" s="8"/>
      <c r="I1021" s="11"/>
      <c r="J1021" s="12"/>
      <c r="K1021" s="12"/>
      <c r="L1021" s="8"/>
      <c r="M1021" s="8"/>
      <c r="N1021" s="8"/>
      <c r="O1021" s="8"/>
      <c r="P1021" s="8"/>
      <c r="Q1021" s="8">
        <f>IF(B1021="","",IF(B1021="P","P&amp;10",B1021&amp;"D "&amp;C1021))</f>
        <v/>
      </c>
      <c r="R1021" s="8">
        <f>IF(L1021&lt;&gt;"Y","",IF(COUNTIF('DEF_CALL_DECISION_SUPPORT'!$B$1197:$B$1256,SUBSTITUTE(SUBSTITUTE(SUBSTITUTE(E1021,"~","~~"),"*","~*"),"?","~?"))&gt;0,"KNOWN","REVIEW: new call; refresh sources"))</f>
        <v/>
      </c>
    </row>
    <row r="1022" spans="1:18" ht="25" customHeight="1">
      <c r="A1022" s="12"/>
      <c r="B1022" s="8"/>
      <c r="C1022" s="8"/>
      <c r="D1022" s="8"/>
      <c r="E1022" s="8"/>
      <c r="F1022" s="8"/>
      <c r="G1022" s="8"/>
      <c r="H1022" s="8"/>
      <c r="I1022" s="11"/>
      <c r="J1022" s="12"/>
      <c r="K1022" s="12"/>
      <c r="L1022" s="8"/>
      <c r="M1022" s="8"/>
      <c r="N1022" s="8"/>
      <c r="O1022" s="8"/>
      <c r="P1022" s="8"/>
      <c r="Q1022" s="8">
        <f>IF(B1022="","",IF(B1022="P","P&amp;10",B1022&amp;"D "&amp;C1022))</f>
        <v/>
      </c>
      <c r="R1022" s="8">
        <f>IF(L1022&lt;&gt;"Y","",IF(COUNTIF('DEF_CALL_DECISION_SUPPORT'!$B$1197:$B$1256,SUBSTITUTE(SUBSTITUTE(SUBSTITUTE(E1022,"~","~~"),"*","~*"),"?","~?"))&gt;0,"KNOWN","REVIEW: new call; refresh sources"))</f>
        <v/>
      </c>
    </row>
    <row r="1023" spans="1:18" ht="25" customHeight="1">
      <c r="A1023" s="12"/>
      <c r="B1023" s="8"/>
      <c r="C1023" s="8"/>
      <c r="D1023" s="8"/>
      <c r="E1023" s="8"/>
      <c r="F1023" s="8"/>
      <c r="G1023" s="8"/>
      <c r="H1023" s="8"/>
      <c r="I1023" s="11"/>
      <c r="J1023" s="12"/>
      <c r="K1023" s="12"/>
      <c r="L1023" s="8"/>
      <c r="M1023" s="8"/>
      <c r="N1023" s="8"/>
      <c r="O1023" s="8"/>
      <c r="P1023" s="8"/>
      <c r="Q1023" s="8">
        <f>IF(B1023="","",IF(B1023="P","P&amp;10",B1023&amp;"D "&amp;C1023))</f>
        <v/>
      </c>
      <c r="R1023" s="8">
        <f>IF(L1023&lt;&gt;"Y","",IF(COUNTIF('DEF_CALL_DECISION_SUPPORT'!$B$1197:$B$1256,SUBSTITUTE(SUBSTITUTE(SUBSTITUTE(E1023,"~","~~"),"*","~*"),"?","~?"))&gt;0,"KNOWN","REVIEW: new call; refresh sources"))</f>
        <v/>
      </c>
    </row>
    <row r="1024" spans="1:18" ht="25" customHeight="1">
      <c r="A1024" s="12"/>
      <c r="B1024" s="8"/>
      <c r="C1024" s="8"/>
      <c r="D1024" s="8"/>
      <c r="E1024" s="8"/>
      <c r="F1024" s="8"/>
      <c r="G1024" s="8"/>
      <c r="H1024" s="8"/>
      <c r="I1024" s="11"/>
      <c r="J1024" s="12"/>
      <c r="K1024" s="12"/>
      <c r="L1024" s="8"/>
      <c r="M1024" s="8"/>
      <c r="N1024" s="8"/>
      <c r="O1024" s="8"/>
      <c r="P1024" s="8"/>
      <c r="Q1024" s="8">
        <f>IF(B1024="","",IF(B1024="P","P&amp;10",B1024&amp;"D "&amp;C1024))</f>
        <v/>
      </c>
      <c r="R1024" s="8">
        <f>IF(L1024&lt;&gt;"Y","",IF(COUNTIF('DEF_CALL_DECISION_SUPPORT'!$B$1197:$B$1256,SUBSTITUTE(SUBSTITUTE(SUBSTITUTE(E1024,"~","~~"),"*","~*"),"?","~?"))&gt;0,"KNOWN","REVIEW: new call; refresh sources"))</f>
        <v/>
      </c>
    </row>
    <row r="1025" spans="1:18" ht="25" customHeight="1">
      <c r="A1025" s="12"/>
      <c r="B1025" s="8"/>
      <c r="C1025" s="8"/>
      <c r="D1025" s="8"/>
      <c r="E1025" s="8"/>
      <c r="F1025" s="8"/>
      <c r="G1025" s="8"/>
      <c r="H1025" s="8"/>
      <c r="I1025" s="11"/>
      <c r="J1025" s="12"/>
      <c r="K1025" s="12"/>
      <c r="L1025" s="8"/>
      <c r="M1025" s="8"/>
      <c r="N1025" s="8"/>
      <c r="O1025" s="8"/>
      <c r="P1025" s="8"/>
      <c r="Q1025" s="8">
        <f>IF(B1025="","",IF(B1025="P","P&amp;10",B1025&amp;"D "&amp;C1025))</f>
        <v/>
      </c>
      <c r="R1025" s="8">
        <f>IF(L1025&lt;&gt;"Y","",IF(COUNTIF('DEF_CALL_DECISION_SUPPORT'!$B$1197:$B$1256,SUBSTITUTE(SUBSTITUTE(SUBSTITUTE(E1025,"~","~~"),"*","~*"),"?","~?"))&gt;0,"KNOWN","REVIEW: new call; refresh sources"))</f>
        <v/>
      </c>
    </row>
    <row r="1026" spans="1:18" ht="25" customHeight="1">
      <c r="A1026" s="12"/>
      <c r="B1026" s="8"/>
      <c r="C1026" s="8"/>
      <c r="D1026" s="8"/>
      <c r="E1026" s="8"/>
      <c r="F1026" s="8"/>
      <c r="G1026" s="8"/>
      <c r="H1026" s="8"/>
      <c r="I1026" s="11"/>
      <c r="J1026" s="12"/>
      <c r="K1026" s="12"/>
      <c r="L1026" s="8"/>
      <c r="M1026" s="8"/>
      <c r="N1026" s="8"/>
      <c r="O1026" s="8"/>
      <c r="P1026" s="8"/>
      <c r="Q1026" s="8">
        <f>IF(B1026="","",IF(B1026="P","P&amp;10",B1026&amp;"D "&amp;C1026))</f>
        <v/>
      </c>
      <c r="R1026" s="8">
        <f>IF(L1026&lt;&gt;"Y","",IF(COUNTIF('DEF_CALL_DECISION_SUPPORT'!$B$1197:$B$1256,SUBSTITUTE(SUBSTITUTE(SUBSTITUTE(E1026,"~","~~"),"*","~*"),"?","~?"))&gt;0,"KNOWN","REVIEW: new call; refresh sources"))</f>
        <v/>
      </c>
    </row>
    <row r="1027" spans="1:18" ht="25" customHeight="1">
      <c r="A1027" s="12"/>
      <c r="B1027" s="8"/>
      <c r="C1027" s="8"/>
      <c r="D1027" s="8"/>
      <c r="E1027" s="8"/>
      <c r="F1027" s="8"/>
      <c r="G1027" s="8"/>
      <c r="H1027" s="8"/>
      <c r="I1027" s="11"/>
      <c r="J1027" s="12"/>
      <c r="K1027" s="12"/>
      <c r="L1027" s="8"/>
      <c r="M1027" s="8"/>
      <c r="N1027" s="8"/>
      <c r="O1027" s="8"/>
      <c r="P1027" s="8"/>
      <c r="Q1027" s="8">
        <f>IF(B1027="","",IF(B1027="P","P&amp;10",B1027&amp;"D "&amp;C1027))</f>
        <v/>
      </c>
      <c r="R1027" s="8">
        <f>IF(L1027&lt;&gt;"Y","",IF(COUNTIF('DEF_CALL_DECISION_SUPPORT'!$B$1197:$B$1256,SUBSTITUTE(SUBSTITUTE(SUBSTITUTE(E1027,"~","~~"),"*","~*"),"?","~?"))&gt;0,"KNOWN","REVIEW: new call; refresh sources"))</f>
        <v/>
      </c>
    </row>
    <row r="1028" spans="1:18" ht="25" customHeight="1">
      <c r="A1028" s="12"/>
      <c r="B1028" s="8"/>
      <c r="C1028" s="8"/>
      <c r="D1028" s="8"/>
      <c r="E1028" s="8"/>
      <c r="F1028" s="8"/>
      <c r="G1028" s="8"/>
      <c r="H1028" s="8"/>
      <c r="I1028" s="11"/>
      <c r="J1028" s="12"/>
      <c r="K1028" s="12"/>
      <c r="L1028" s="8"/>
      <c r="M1028" s="8"/>
      <c r="N1028" s="8"/>
      <c r="O1028" s="8"/>
      <c r="P1028" s="8"/>
      <c r="Q1028" s="8">
        <f>IF(B1028="","",IF(B1028="P","P&amp;10",B1028&amp;"D "&amp;C1028))</f>
        <v/>
      </c>
      <c r="R1028" s="8">
        <f>IF(L1028&lt;&gt;"Y","",IF(COUNTIF('DEF_CALL_DECISION_SUPPORT'!$B$1197:$B$1256,SUBSTITUTE(SUBSTITUTE(SUBSTITUTE(E1028,"~","~~"),"*","~*"),"?","~?"))&gt;0,"KNOWN","REVIEW: new call; refresh sources"))</f>
        <v/>
      </c>
    </row>
    <row r="1029" spans="1:18" ht="25" customHeight="1">
      <c r="A1029" s="12"/>
      <c r="B1029" s="8"/>
      <c r="C1029" s="8"/>
      <c r="D1029" s="8"/>
      <c r="E1029" s="8"/>
      <c r="F1029" s="8"/>
      <c r="G1029" s="8"/>
      <c r="H1029" s="8"/>
      <c r="I1029" s="11"/>
      <c r="J1029" s="12"/>
      <c r="K1029" s="12"/>
      <c r="L1029" s="8"/>
      <c r="M1029" s="8"/>
      <c r="N1029" s="8"/>
      <c r="O1029" s="8"/>
      <c r="P1029" s="8"/>
      <c r="Q1029" s="8">
        <f>IF(B1029="","",IF(B1029="P","P&amp;10",B1029&amp;"D "&amp;C1029))</f>
        <v/>
      </c>
      <c r="R1029" s="8">
        <f>IF(L1029&lt;&gt;"Y","",IF(COUNTIF('DEF_CALL_DECISION_SUPPORT'!$B$1197:$B$1256,SUBSTITUTE(SUBSTITUTE(SUBSTITUTE(E1029,"~","~~"),"*","~*"),"?","~?"))&gt;0,"KNOWN","REVIEW: new call; refresh sources"))</f>
        <v/>
      </c>
    </row>
    <row r="1030" spans="1:18" ht="25" customHeight="1">
      <c r="A1030" s="12"/>
      <c r="B1030" s="8"/>
      <c r="C1030" s="8"/>
      <c r="D1030" s="8"/>
      <c r="E1030" s="8"/>
      <c r="F1030" s="8"/>
      <c r="G1030" s="8"/>
      <c r="H1030" s="8"/>
      <c r="I1030" s="11"/>
      <c r="J1030" s="12"/>
      <c r="K1030" s="12"/>
      <c r="L1030" s="8"/>
      <c r="M1030" s="8"/>
      <c r="N1030" s="8"/>
      <c r="O1030" s="8"/>
      <c r="P1030" s="8"/>
      <c r="Q1030" s="8">
        <f>IF(B1030="","",IF(B1030="P","P&amp;10",B1030&amp;"D "&amp;C1030))</f>
        <v/>
      </c>
      <c r="R1030" s="8">
        <f>IF(L1030&lt;&gt;"Y","",IF(COUNTIF('DEF_CALL_DECISION_SUPPORT'!$B$1197:$B$1256,SUBSTITUTE(SUBSTITUTE(SUBSTITUTE(E1030,"~","~~"),"*","~*"),"?","~?"))&gt;0,"KNOWN","REVIEW: new call; refresh sources"))</f>
        <v/>
      </c>
    </row>
    <row r="1031" spans="1:18" ht="25" customHeight="1">
      <c r="A1031" s="12"/>
      <c r="B1031" s="8"/>
      <c r="C1031" s="8"/>
      <c r="D1031" s="8"/>
      <c r="E1031" s="8"/>
      <c r="F1031" s="8"/>
      <c r="G1031" s="8"/>
      <c r="H1031" s="8"/>
      <c r="I1031" s="11"/>
      <c r="J1031" s="12"/>
      <c r="K1031" s="12"/>
      <c r="L1031" s="8"/>
      <c r="M1031" s="8"/>
      <c r="N1031" s="8"/>
      <c r="O1031" s="8"/>
      <c r="P1031" s="8"/>
      <c r="Q1031" s="8">
        <f>IF(B1031="","",IF(B1031="P","P&amp;10",B1031&amp;"D "&amp;C1031))</f>
        <v/>
      </c>
      <c r="R1031" s="8">
        <f>IF(L1031&lt;&gt;"Y","",IF(COUNTIF('DEF_CALL_DECISION_SUPPORT'!$B$1197:$B$1256,SUBSTITUTE(SUBSTITUTE(SUBSTITUTE(E1031,"~","~~"),"*","~*"),"?","~?"))&gt;0,"KNOWN","REVIEW: new call; refresh sources"))</f>
        <v/>
      </c>
    </row>
    <row r="1032" spans="1:18" ht="25" customHeight="1">
      <c r="A1032" s="12"/>
      <c r="B1032" s="8"/>
      <c r="C1032" s="8"/>
      <c r="D1032" s="8"/>
      <c r="E1032" s="8"/>
      <c r="F1032" s="8"/>
      <c r="G1032" s="8"/>
      <c r="H1032" s="8"/>
      <c r="I1032" s="11"/>
      <c r="J1032" s="12"/>
      <c r="K1032" s="12"/>
      <c r="L1032" s="8"/>
      <c r="M1032" s="8"/>
      <c r="N1032" s="8"/>
      <c r="O1032" s="8"/>
      <c r="P1032" s="8"/>
      <c r="Q1032" s="8">
        <f>IF(B1032="","",IF(B1032="P","P&amp;10",B1032&amp;"D "&amp;C1032))</f>
        <v/>
      </c>
      <c r="R1032" s="8">
        <f>IF(L1032&lt;&gt;"Y","",IF(COUNTIF('DEF_CALL_DECISION_SUPPORT'!$B$1197:$B$1256,SUBSTITUTE(SUBSTITUTE(SUBSTITUTE(E1032,"~","~~"),"*","~*"),"?","~?"))&gt;0,"KNOWN","REVIEW: new call; refresh sources"))</f>
        <v/>
      </c>
    </row>
    <row r="1033" spans="1:18" ht="25" customHeight="1">
      <c r="A1033" s="12"/>
      <c r="B1033" s="8"/>
      <c r="C1033" s="8"/>
      <c r="D1033" s="8"/>
      <c r="E1033" s="8"/>
      <c r="F1033" s="8"/>
      <c r="G1033" s="8"/>
      <c r="H1033" s="8"/>
      <c r="I1033" s="11"/>
      <c r="J1033" s="12"/>
      <c r="K1033" s="12"/>
      <c r="L1033" s="8"/>
      <c r="M1033" s="8"/>
      <c r="N1033" s="8"/>
      <c r="O1033" s="8"/>
      <c r="P1033" s="8"/>
      <c r="Q1033" s="8">
        <f>IF(B1033="","",IF(B1033="P","P&amp;10",B1033&amp;"D "&amp;C1033))</f>
        <v/>
      </c>
      <c r="R1033" s="8">
        <f>IF(L1033&lt;&gt;"Y","",IF(COUNTIF('DEF_CALL_DECISION_SUPPORT'!$B$1197:$B$1256,SUBSTITUTE(SUBSTITUTE(SUBSTITUTE(E1033,"~","~~"),"*","~*"),"?","~?"))&gt;0,"KNOWN","REVIEW: new call; refresh sources"))</f>
        <v/>
      </c>
    </row>
    <row r="1034" spans="1:18" ht="25" customHeight="1">
      <c r="A1034" s="12"/>
      <c r="B1034" s="8"/>
      <c r="C1034" s="8"/>
      <c r="D1034" s="8"/>
      <c r="E1034" s="8"/>
      <c r="F1034" s="8"/>
      <c r="G1034" s="8"/>
      <c r="H1034" s="8"/>
      <c r="I1034" s="11"/>
      <c r="J1034" s="12"/>
      <c r="K1034" s="12"/>
      <c r="L1034" s="8"/>
      <c r="M1034" s="8"/>
      <c r="N1034" s="8"/>
      <c r="O1034" s="8"/>
      <c r="P1034" s="8"/>
      <c r="Q1034" s="8">
        <f>IF(B1034="","",IF(B1034="P","P&amp;10",B1034&amp;"D "&amp;C1034))</f>
        <v/>
      </c>
      <c r="R1034" s="8">
        <f>IF(L1034&lt;&gt;"Y","",IF(COUNTIF('DEF_CALL_DECISION_SUPPORT'!$B$1197:$B$1256,SUBSTITUTE(SUBSTITUTE(SUBSTITUTE(E1034,"~","~~"),"*","~*"),"?","~?"))&gt;0,"KNOWN","REVIEW: new call; refresh sources"))</f>
        <v/>
      </c>
    </row>
    <row r="1035" spans="1:18" ht="25" customHeight="1">
      <c r="A1035" s="12"/>
      <c r="B1035" s="8"/>
      <c r="C1035" s="8"/>
      <c r="D1035" s="8"/>
      <c r="E1035" s="8"/>
      <c r="F1035" s="8"/>
      <c r="G1035" s="8"/>
      <c r="H1035" s="8"/>
      <c r="I1035" s="11"/>
      <c r="J1035" s="12"/>
      <c r="K1035" s="12"/>
      <c r="L1035" s="8"/>
      <c r="M1035" s="8"/>
      <c r="N1035" s="8"/>
      <c r="O1035" s="8"/>
      <c r="P1035" s="8"/>
      <c r="Q1035" s="8">
        <f>IF(B1035="","",IF(B1035="P","P&amp;10",B1035&amp;"D "&amp;C1035))</f>
        <v/>
      </c>
      <c r="R1035" s="8">
        <f>IF(L1035&lt;&gt;"Y","",IF(COUNTIF('DEF_CALL_DECISION_SUPPORT'!$B$1197:$B$1256,SUBSTITUTE(SUBSTITUTE(SUBSTITUTE(E1035,"~","~~"),"*","~*"),"?","~?"))&gt;0,"KNOWN","REVIEW: new call; refresh sources"))</f>
        <v/>
      </c>
    </row>
    <row r="1036" spans="1:18" ht="25" customHeight="1">
      <c r="A1036" s="12"/>
      <c r="B1036" s="8"/>
      <c r="C1036" s="8"/>
      <c r="D1036" s="8"/>
      <c r="E1036" s="8"/>
      <c r="F1036" s="8"/>
      <c r="G1036" s="8"/>
      <c r="H1036" s="8"/>
      <c r="I1036" s="11"/>
      <c r="J1036" s="12"/>
      <c r="K1036" s="12"/>
      <c r="L1036" s="8"/>
      <c r="M1036" s="8"/>
      <c r="N1036" s="8"/>
      <c r="O1036" s="8"/>
      <c r="P1036" s="8"/>
      <c r="Q1036" s="8">
        <f>IF(B1036="","",IF(B1036="P","P&amp;10",B1036&amp;"D "&amp;C1036))</f>
        <v/>
      </c>
      <c r="R1036" s="8">
        <f>IF(L1036&lt;&gt;"Y","",IF(COUNTIF('DEF_CALL_DECISION_SUPPORT'!$B$1197:$B$1256,SUBSTITUTE(SUBSTITUTE(SUBSTITUTE(E1036,"~","~~"),"*","~*"),"?","~?"))&gt;0,"KNOWN","REVIEW: new call; refresh sources"))</f>
        <v/>
      </c>
    </row>
    <row r="1037" spans="1:18" ht="25" customHeight="1">
      <c r="A1037" s="12"/>
      <c r="B1037" s="8"/>
      <c r="C1037" s="8"/>
      <c r="D1037" s="8"/>
      <c r="E1037" s="8"/>
      <c r="F1037" s="8"/>
      <c r="G1037" s="8"/>
      <c r="H1037" s="8"/>
      <c r="I1037" s="11"/>
      <c r="J1037" s="12"/>
      <c r="K1037" s="12"/>
      <c r="L1037" s="8"/>
      <c r="M1037" s="8"/>
      <c r="N1037" s="8"/>
      <c r="O1037" s="8"/>
      <c r="P1037" s="8"/>
      <c r="Q1037" s="8">
        <f>IF(B1037="","",IF(B1037="P","P&amp;10",B1037&amp;"D "&amp;C1037))</f>
        <v/>
      </c>
      <c r="R1037" s="8">
        <f>IF(L1037&lt;&gt;"Y","",IF(COUNTIF('DEF_CALL_DECISION_SUPPORT'!$B$1197:$B$1256,SUBSTITUTE(SUBSTITUTE(SUBSTITUTE(E1037,"~","~~"),"*","~*"),"?","~?"))&gt;0,"KNOWN","REVIEW: new call; refresh sources"))</f>
        <v/>
      </c>
    </row>
    <row r="1038" spans="1:18" ht="25" customHeight="1">
      <c r="A1038" s="12"/>
      <c r="B1038" s="8"/>
      <c r="C1038" s="8"/>
      <c r="D1038" s="8"/>
      <c r="E1038" s="8"/>
      <c r="F1038" s="8"/>
      <c r="G1038" s="8"/>
      <c r="H1038" s="8"/>
      <c r="I1038" s="11"/>
      <c r="J1038" s="12"/>
      <c r="K1038" s="12"/>
      <c r="L1038" s="8"/>
      <c r="M1038" s="8"/>
      <c r="N1038" s="8"/>
      <c r="O1038" s="8"/>
      <c r="P1038" s="8"/>
      <c r="Q1038" s="8">
        <f>IF(B1038="","",IF(B1038="P","P&amp;10",B1038&amp;"D "&amp;C1038))</f>
        <v/>
      </c>
      <c r="R1038" s="8">
        <f>IF(L1038&lt;&gt;"Y","",IF(COUNTIF('DEF_CALL_DECISION_SUPPORT'!$B$1197:$B$1256,SUBSTITUTE(SUBSTITUTE(SUBSTITUTE(E1038,"~","~~"),"*","~*"),"?","~?"))&gt;0,"KNOWN","REVIEW: new call; refresh sources"))</f>
        <v/>
      </c>
    </row>
    <row r="1039" spans="1:18" ht="25" customHeight="1">
      <c r="A1039" s="12"/>
      <c r="B1039" s="8"/>
      <c r="C1039" s="8"/>
      <c r="D1039" s="8"/>
      <c r="E1039" s="8"/>
      <c r="F1039" s="8"/>
      <c r="G1039" s="8"/>
      <c r="H1039" s="8"/>
      <c r="I1039" s="11"/>
      <c r="J1039" s="12"/>
      <c r="K1039" s="12"/>
      <c r="L1039" s="8"/>
      <c r="M1039" s="8"/>
      <c r="N1039" s="8"/>
      <c r="O1039" s="8"/>
      <c r="P1039" s="8"/>
      <c r="Q1039" s="8">
        <f>IF(B1039="","",IF(B1039="P","P&amp;10",B1039&amp;"D "&amp;C1039))</f>
        <v/>
      </c>
      <c r="R1039" s="8">
        <f>IF(L1039&lt;&gt;"Y","",IF(COUNTIF('DEF_CALL_DECISION_SUPPORT'!$B$1197:$B$1256,SUBSTITUTE(SUBSTITUTE(SUBSTITUTE(E1039,"~","~~"),"*","~*"),"?","~?"))&gt;0,"KNOWN","REVIEW: new call; refresh sources"))</f>
        <v/>
      </c>
    </row>
    <row r="1040" spans="1:18" ht="25" customHeight="1">
      <c r="A1040" s="12"/>
      <c r="B1040" s="8"/>
      <c r="C1040" s="8"/>
      <c r="D1040" s="8"/>
      <c r="E1040" s="8"/>
      <c r="F1040" s="8"/>
      <c r="G1040" s="8"/>
      <c r="H1040" s="8"/>
      <c r="I1040" s="11"/>
      <c r="J1040" s="12"/>
      <c r="K1040" s="12"/>
      <c r="L1040" s="8"/>
      <c r="M1040" s="8"/>
      <c r="N1040" s="8"/>
      <c r="O1040" s="8"/>
      <c r="P1040" s="8"/>
      <c r="Q1040" s="8">
        <f>IF(B1040="","",IF(B1040="P","P&amp;10",B1040&amp;"D "&amp;C1040))</f>
        <v/>
      </c>
      <c r="R1040" s="8">
        <f>IF(L1040&lt;&gt;"Y","",IF(COUNTIF('DEF_CALL_DECISION_SUPPORT'!$B$1197:$B$1256,SUBSTITUTE(SUBSTITUTE(SUBSTITUTE(E1040,"~","~~"),"*","~*"),"?","~?"))&gt;0,"KNOWN","REVIEW: new call; refresh sources"))</f>
        <v/>
      </c>
    </row>
    <row r="1048" spans="1:18" ht="27" customHeight="1">
      <c r="A1048" s="5" t="s">
        <v>2072</v>
      </c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</row>
    <row r="1049" spans="1:18" ht="36" customHeight="1">
      <c r="A1049" s="9" t="s">
        <v>683</v>
      </c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</row>
    <row r="1050" spans="1:18" ht="25" customHeight="1">
      <c r="A1050" s="6" t="s">
        <v>684</v>
      </c>
    </row>
    <row r="1051" spans="1:18" ht="25" customHeight="1">
      <c r="A1051" s="12">
        <v>1</v>
      </c>
      <c r="B1051" s="8" t="s">
        <v>2073</v>
      </c>
      <c r="C1051" s="8" t="s">
        <v>2074</v>
      </c>
      <c r="D1051" s="8" t="s">
        <v>2075</v>
      </c>
      <c r="E1051" s="8" t="s">
        <v>2076</v>
      </c>
      <c r="F1051" s="8" t="s">
        <v>2077</v>
      </c>
      <c r="G1051" s="8" t="s">
        <v>2078</v>
      </c>
      <c r="H1051" s="8" t="s">
        <v>2079</v>
      </c>
      <c r="I1051" s="8" t="s">
        <v>2080</v>
      </c>
      <c r="J1051" s="8" t="s">
        <v>2081</v>
      </c>
      <c r="K1051" s="8" t="s">
        <v>2082</v>
      </c>
      <c r="L1051" s="8" t="s">
        <v>2083</v>
      </c>
      <c r="M1051" s="8" t="s">
        <v>2084</v>
      </c>
      <c r="N1051" s="8" t="s">
        <v>2085</v>
      </c>
      <c r="O1051" s="8" t="s">
        <v>2086</v>
      </c>
      <c r="P1051" s="8" t="s">
        <v>2087</v>
      </c>
      <c r="Q1051" s="8" t="s">
        <v>2088</v>
      </c>
    </row>
    <row r="1052" spans="1:18" ht="25" customHeight="1">
      <c r="A1052" s="12">
        <v>2</v>
      </c>
      <c r="B1052" s="8" t="s">
        <v>2063</v>
      </c>
      <c r="C1052" s="8" t="s">
        <v>44</v>
      </c>
      <c r="D1052" s="8">
        <v>10</v>
      </c>
      <c r="E1052" s="8" t="s">
        <v>1965</v>
      </c>
      <c r="F1052" s="8">
        <v>14</v>
      </c>
      <c r="G1052" s="8" t="s">
        <v>608</v>
      </c>
      <c r="H1052" s="8" t="s">
        <v>2089</v>
      </c>
      <c r="I1052" s="8" t="s">
        <v>1965</v>
      </c>
      <c r="J1052" s="8">
        <v>0</v>
      </c>
      <c r="K1052" s="8">
        <v>1</v>
      </c>
      <c r="L1052" s="8">
        <v>11</v>
      </c>
      <c r="M1052" s="8" t="s">
        <v>1964</v>
      </c>
      <c r="N1052" s="8" t="s">
        <v>115</v>
      </c>
      <c r="O1052" s="8" t="s">
        <v>203</v>
      </c>
      <c r="P1052" s="8" t="s">
        <v>2090</v>
      </c>
      <c r="Q1052" s="8" t="s">
        <v>2091</v>
      </c>
      <c r="R1052" s="8">
        <v>274</v>
      </c>
    </row>
    <row r="1053" spans="1:18" ht="25" customHeight="1">
      <c r="A1053" s="12">
        <v>3</v>
      </c>
      <c r="B1053" s="8" t="s">
        <v>2063</v>
      </c>
      <c r="C1053" s="8" t="s">
        <v>44</v>
      </c>
      <c r="D1053" s="8">
        <v>10</v>
      </c>
      <c r="E1053" s="8" t="s">
        <v>1965</v>
      </c>
      <c r="F1053" s="8">
        <v>4</v>
      </c>
      <c r="G1053" s="8" t="s">
        <v>428</v>
      </c>
      <c r="H1053" s="8" t="s">
        <v>2089</v>
      </c>
      <c r="I1053" s="8" t="s">
        <v>1965</v>
      </c>
      <c r="J1053" s="8">
        <v>0</v>
      </c>
      <c r="K1053" s="8">
        <v>0</v>
      </c>
      <c r="L1053" s="8">
        <v>11</v>
      </c>
      <c r="M1053" s="8" t="s">
        <v>1964</v>
      </c>
      <c r="N1053" s="8" t="s">
        <v>115</v>
      </c>
      <c r="O1053" s="8" t="s">
        <v>203</v>
      </c>
      <c r="P1053" s="8" t="s">
        <v>2090</v>
      </c>
      <c r="Q1053" s="8" t="s">
        <v>2092</v>
      </c>
      <c r="R1053" s="8">
        <v>13</v>
      </c>
    </row>
    <row r="1054" spans="1:18" ht="25" customHeight="1">
      <c r="A1054" s="12">
        <v>4</v>
      </c>
      <c r="B1054" s="8" t="s">
        <v>2063</v>
      </c>
      <c r="C1054" s="8" t="s">
        <v>44</v>
      </c>
      <c r="D1054" s="8">
        <v>10</v>
      </c>
      <c r="E1054" s="8" t="s">
        <v>1965</v>
      </c>
      <c r="F1054" s="8">
        <v>7</v>
      </c>
      <c r="G1054" s="8" t="s">
        <v>428</v>
      </c>
      <c r="H1054" s="8" t="s">
        <v>2089</v>
      </c>
      <c r="I1054" s="8" t="s">
        <v>1965</v>
      </c>
      <c r="J1054" s="8">
        <v>0</v>
      </c>
      <c r="K1054" s="8">
        <v>0</v>
      </c>
      <c r="L1054" s="8">
        <v>11</v>
      </c>
      <c r="M1054" s="8" t="s">
        <v>1964</v>
      </c>
      <c r="N1054" s="8" t="s">
        <v>115</v>
      </c>
      <c r="O1054" s="8" t="s">
        <v>203</v>
      </c>
      <c r="P1054" s="8" t="s">
        <v>2090</v>
      </c>
      <c r="Q1054" s="8" t="s">
        <v>2093</v>
      </c>
      <c r="R1054" s="8">
        <v>0</v>
      </c>
    </row>
    <row r="1055" spans="1:18" ht="25" customHeight="1">
      <c r="A1055" s="12">
        <v>5</v>
      </c>
      <c r="B1055" s="8" t="s">
        <v>2063</v>
      </c>
      <c r="C1055" s="8" t="s">
        <v>44</v>
      </c>
      <c r="D1055" s="8">
        <v>10</v>
      </c>
      <c r="E1055" s="8" t="s">
        <v>1963</v>
      </c>
      <c r="F1055" s="8">
        <v>47</v>
      </c>
      <c r="G1055" s="8" t="s">
        <v>468</v>
      </c>
      <c r="H1055" s="8" t="s">
        <v>2089</v>
      </c>
      <c r="I1055" s="8" t="s">
        <v>2094</v>
      </c>
      <c r="J1055" s="8">
        <v>0</v>
      </c>
      <c r="K1055" s="8">
        <v>1</v>
      </c>
      <c r="L1055" s="8" t="s">
        <v>132</v>
      </c>
      <c r="M1055" s="8" t="s">
        <v>1964</v>
      </c>
      <c r="N1055" s="8" t="s">
        <v>115</v>
      </c>
      <c r="O1055" s="8" t="s">
        <v>203</v>
      </c>
      <c r="P1055" s="8" t="s">
        <v>2095</v>
      </c>
      <c r="Q1055" s="8" t="s">
        <v>2096</v>
      </c>
      <c r="R1055" s="8">
        <v>10</v>
      </c>
    </row>
    <row r="1056" spans="1:18" ht="25" customHeight="1">
      <c r="A1056" s="12">
        <v>6</v>
      </c>
      <c r="B1056" s="8" t="s">
        <v>2063</v>
      </c>
      <c r="C1056" s="8" t="s">
        <v>44</v>
      </c>
      <c r="D1056" s="8">
        <v>10</v>
      </c>
      <c r="E1056" s="8" t="s">
        <v>1965</v>
      </c>
      <c r="F1056" s="8">
        <v>4</v>
      </c>
      <c r="G1056" s="8" t="s">
        <v>432</v>
      </c>
      <c r="H1056" s="8" t="s">
        <v>2089</v>
      </c>
      <c r="I1056" s="8" t="s">
        <v>1965</v>
      </c>
      <c r="J1056" s="8">
        <v>0</v>
      </c>
      <c r="K1056" s="8">
        <v>0</v>
      </c>
      <c r="L1056" s="8" t="s">
        <v>132</v>
      </c>
      <c r="M1056" s="8" t="s">
        <v>1967</v>
      </c>
      <c r="N1056" s="8" t="s">
        <v>115</v>
      </c>
      <c r="O1056" s="8" t="s">
        <v>206</v>
      </c>
      <c r="P1056" s="8" t="s">
        <v>2097</v>
      </c>
      <c r="Q1056" s="8" t="s">
        <v>2098</v>
      </c>
      <c r="R1056" s="8">
        <v>1</v>
      </c>
    </row>
    <row r="1057" spans="1:17" ht="25" customHeight="1">
      <c r="A1057" s="12">
        <v>7</v>
      </c>
      <c r="B1057" s="8" t="s">
        <v>2063</v>
      </c>
      <c r="C1057" s="8" t="s">
        <v>44</v>
      </c>
      <c r="D1057" s="8">
        <v>10</v>
      </c>
      <c r="E1057" s="8" t="s">
        <v>1965</v>
      </c>
      <c r="F1057" s="8">
        <v>6</v>
      </c>
      <c r="G1057" s="8" t="s">
        <v>428</v>
      </c>
      <c r="H1057" s="8" t="s">
        <v>2089</v>
      </c>
      <c r="I1057" s="8" t="s">
        <v>1965</v>
      </c>
      <c r="J1057" s="8">
        <v>0</v>
      </c>
      <c r="K1057" s="8">
        <v>0</v>
      </c>
      <c r="L1057" s="8" t="s">
        <v>132</v>
      </c>
      <c r="M1057" s="8" t="s">
        <v>1964</v>
      </c>
      <c r="N1057" s="8" t="s">
        <v>115</v>
      </c>
      <c r="O1057" s="8" t="s">
        <v>203</v>
      </c>
      <c r="P1057" s="8" t="s">
        <v>2095</v>
      </c>
    </row>
    <row r="1058" spans="1:17" ht="25" customHeight="1">
      <c r="A1058" s="12">
        <v>8</v>
      </c>
      <c r="B1058" s="8" t="s">
        <v>2063</v>
      </c>
      <c r="C1058" s="8" t="s">
        <v>52</v>
      </c>
      <c r="D1058" s="8">
        <v>10</v>
      </c>
      <c r="E1058" s="8" t="s">
        <v>1965</v>
      </c>
      <c r="F1058" s="8">
        <v>5</v>
      </c>
      <c r="G1058" s="8" t="s">
        <v>428</v>
      </c>
      <c r="H1058" s="8" t="s">
        <v>2089</v>
      </c>
      <c r="I1058" s="8" t="s">
        <v>1965</v>
      </c>
      <c r="J1058" s="8">
        <v>0</v>
      </c>
      <c r="K1058" s="8">
        <v>0</v>
      </c>
      <c r="L1058" s="8">
        <v>12</v>
      </c>
      <c r="M1058" s="8" t="s">
        <v>1961</v>
      </c>
      <c r="N1058" s="8" t="s">
        <v>115</v>
      </c>
      <c r="O1058" s="8" t="s">
        <v>206</v>
      </c>
      <c r="P1058" s="8" t="s">
        <v>2099</v>
      </c>
      <c r="Q1058" s="8" t="s">
        <v>2100</v>
      </c>
    </row>
    <row r="1059" spans="1:17" ht="25" customHeight="1">
      <c r="A1059" s="12">
        <v>9</v>
      </c>
      <c r="B1059" s="8" t="s">
        <v>2063</v>
      </c>
      <c r="C1059" s="8" t="s">
        <v>52</v>
      </c>
      <c r="D1059" s="8">
        <v>10</v>
      </c>
      <c r="E1059" s="8" t="s">
        <v>1977</v>
      </c>
      <c r="F1059" s="8">
        <v>-7</v>
      </c>
      <c r="G1059" s="8" t="s">
        <v>468</v>
      </c>
      <c r="H1059" s="8" t="s">
        <v>2089</v>
      </c>
      <c r="I1059" s="8" t="s">
        <v>2094</v>
      </c>
      <c r="J1059" s="8">
        <v>1</v>
      </c>
      <c r="K1059" s="8">
        <v>0</v>
      </c>
      <c r="L1059" s="8">
        <v>12</v>
      </c>
      <c r="M1059" s="8" t="s">
        <v>1967</v>
      </c>
      <c r="N1059" s="8" t="s">
        <v>115</v>
      </c>
      <c r="O1059" s="8" t="s">
        <v>206</v>
      </c>
      <c r="P1059" s="8" t="s">
        <v>2099</v>
      </c>
      <c r="Q1059" s="8" t="s">
        <v>2101</v>
      </c>
    </row>
    <row r="1060" spans="1:17" ht="25" customHeight="1">
      <c r="A1060" s="12">
        <v>10</v>
      </c>
      <c r="B1060" s="8" t="s">
        <v>2063</v>
      </c>
      <c r="C1060" s="8" t="s">
        <v>52</v>
      </c>
      <c r="D1060" s="8">
        <v>10</v>
      </c>
      <c r="E1060" s="8" t="s">
        <v>1965</v>
      </c>
      <c r="F1060" s="8">
        <v>6</v>
      </c>
      <c r="G1060" s="8" t="s">
        <v>428</v>
      </c>
      <c r="H1060" s="8" t="s">
        <v>2089</v>
      </c>
      <c r="I1060" s="8" t="s">
        <v>1965</v>
      </c>
      <c r="J1060" s="8">
        <v>0</v>
      </c>
      <c r="K1060" s="8">
        <v>0</v>
      </c>
      <c r="L1060" s="8">
        <v>12</v>
      </c>
      <c r="M1060" s="8" t="s">
        <v>1964</v>
      </c>
      <c r="N1060" s="8" t="s">
        <v>115</v>
      </c>
      <c r="O1060" s="8" t="s">
        <v>203</v>
      </c>
      <c r="P1060" s="8" t="s">
        <v>2102</v>
      </c>
    </row>
    <row r="1061" spans="1:17" ht="25" customHeight="1">
      <c r="A1061" s="12">
        <v>11</v>
      </c>
      <c r="B1061" s="8" t="s">
        <v>2063</v>
      </c>
      <c r="C1061" s="8" t="s">
        <v>52</v>
      </c>
      <c r="D1061" s="8">
        <v>10</v>
      </c>
      <c r="E1061" s="8" t="s">
        <v>1965</v>
      </c>
      <c r="F1061" s="8">
        <v>2</v>
      </c>
      <c r="G1061" s="8" t="s">
        <v>428</v>
      </c>
      <c r="H1061" s="8" t="s">
        <v>2089</v>
      </c>
      <c r="I1061" s="8" t="s">
        <v>1965</v>
      </c>
      <c r="J1061" s="8">
        <v>1</v>
      </c>
      <c r="K1061" s="8">
        <v>0</v>
      </c>
      <c r="L1061" s="8">
        <v>12</v>
      </c>
      <c r="M1061" s="8" t="s">
        <v>1964</v>
      </c>
      <c r="N1061" s="8" t="s">
        <v>115</v>
      </c>
      <c r="O1061" s="8" t="s">
        <v>203</v>
      </c>
      <c r="P1061" s="8" t="s">
        <v>2102</v>
      </c>
      <c r="Q1061" s="8" t="s">
        <v>2103</v>
      </c>
    </row>
    <row r="1062" spans="1:17" ht="25" customHeight="1">
      <c r="A1062" s="12">
        <v>12</v>
      </c>
      <c r="B1062" s="8" t="s">
        <v>2063</v>
      </c>
      <c r="C1062" s="8" t="s">
        <v>68</v>
      </c>
      <c r="D1062" s="8">
        <v>10</v>
      </c>
      <c r="E1062" s="8" t="s">
        <v>1974</v>
      </c>
      <c r="F1062" s="8">
        <v>0</v>
      </c>
      <c r="G1062" s="8" t="s">
        <v>471</v>
      </c>
      <c r="H1062" s="8" t="s">
        <v>2089</v>
      </c>
      <c r="I1062" s="8" t="s">
        <v>2094</v>
      </c>
      <c r="J1062" s="8">
        <v>1</v>
      </c>
      <c r="K1062" s="8">
        <v>0</v>
      </c>
      <c r="L1062" s="8">
        <v>11</v>
      </c>
      <c r="M1062" s="8" t="s">
        <v>1967</v>
      </c>
      <c r="N1062" s="8" t="s">
        <v>115</v>
      </c>
      <c r="O1062" s="8" t="s">
        <v>206</v>
      </c>
      <c r="P1062" s="8" t="s">
        <v>2104</v>
      </c>
    </row>
    <row r="1063" spans="1:17" ht="25" customHeight="1">
      <c r="A1063" s="12">
        <v>13</v>
      </c>
      <c r="B1063" s="8" t="s">
        <v>2063</v>
      </c>
      <c r="C1063" s="8" t="s">
        <v>68</v>
      </c>
      <c r="D1063" s="8">
        <v>10</v>
      </c>
      <c r="E1063" s="8" t="s">
        <v>1977</v>
      </c>
      <c r="F1063" s="8">
        <v>-10</v>
      </c>
      <c r="G1063" s="8" t="s">
        <v>452</v>
      </c>
      <c r="H1063" s="8" t="s">
        <v>2089</v>
      </c>
      <c r="I1063" s="8" t="s">
        <v>2094</v>
      </c>
      <c r="J1063" s="8">
        <v>1</v>
      </c>
      <c r="K1063" s="8">
        <v>0</v>
      </c>
      <c r="L1063" s="8">
        <v>11</v>
      </c>
      <c r="M1063" s="8" t="s">
        <v>1961</v>
      </c>
      <c r="N1063" s="8" t="s">
        <v>115</v>
      </c>
      <c r="O1063" s="8" t="s">
        <v>206</v>
      </c>
      <c r="P1063" s="8" t="s">
        <v>2104</v>
      </c>
      <c r="Q1063" s="8" t="s">
        <v>2105</v>
      </c>
    </row>
    <row r="1064" spans="1:17" ht="25" customHeight="1">
      <c r="A1064" s="12">
        <v>14</v>
      </c>
      <c r="B1064" s="8" t="s">
        <v>2063</v>
      </c>
      <c r="C1064" s="8" t="s">
        <v>68</v>
      </c>
      <c r="D1064" s="8">
        <v>10</v>
      </c>
      <c r="E1064" s="8" t="s">
        <v>1965</v>
      </c>
      <c r="F1064" s="8">
        <v>3</v>
      </c>
      <c r="G1064" s="8" t="s">
        <v>541</v>
      </c>
      <c r="H1064" s="8" t="s">
        <v>2089</v>
      </c>
      <c r="I1064" s="8" t="s">
        <v>1965</v>
      </c>
      <c r="J1064" s="8">
        <v>1</v>
      </c>
      <c r="K1064" s="8">
        <v>0</v>
      </c>
      <c r="L1064" s="8">
        <v>11</v>
      </c>
      <c r="M1064" s="8" t="s">
        <v>1961</v>
      </c>
      <c r="N1064" s="8" t="s">
        <v>115</v>
      </c>
      <c r="O1064" s="8" t="s">
        <v>206</v>
      </c>
      <c r="P1064" s="8" t="s">
        <v>2104</v>
      </c>
    </row>
    <row r="1065" spans="1:17" ht="25" customHeight="1">
      <c r="A1065" s="12">
        <v>15</v>
      </c>
      <c r="B1065" s="8" t="s">
        <v>2063</v>
      </c>
      <c r="C1065" s="8" t="s">
        <v>68</v>
      </c>
      <c r="D1065" s="8">
        <v>10</v>
      </c>
      <c r="E1065" s="8" t="s">
        <v>1965</v>
      </c>
      <c r="F1065" s="8">
        <v>4</v>
      </c>
      <c r="G1065" s="8" t="s">
        <v>428</v>
      </c>
      <c r="H1065" s="8" t="s">
        <v>2089</v>
      </c>
      <c r="I1065" s="8" t="s">
        <v>1965</v>
      </c>
      <c r="J1065" s="8">
        <v>0</v>
      </c>
      <c r="K1065" s="8">
        <v>0</v>
      </c>
      <c r="L1065" s="8">
        <v>11</v>
      </c>
      <c r="M1065" s="8" t="s">
        <v>1964</v>
      </c>
      <c r="N1065" s="8" t="s">
        <v>115</v>
      </c>
      <c r="O1065" s="8" t="s">
        <v>203</v>
      </c>
      <c r="P1065" s="8" t="s">
        <v>2090</v>
      </c>
    </row>
    <row r="1066" spans="1:17" ht="25" customHeight="1">
      <c r="A1066" s="12">
        <v>16</v>
      </c>
      <c r="B1066" s="8" t="s">
        <v>2063</v>
      </c>
      <c r="C1066" s="8" t="s">
        <v>60</v>
      </c>
      <c r="D1066" s="8">
        <v>10</v>
      </c>
      <c r="E1066" s="8" t="s">
        <v>1965</v>
      </c>
      <c r="F1066" s="8">
        <v>1</v>
      </c>
      <c r="G1066" s="8" t="s">
        <v>465</v>
      </c>
      <c r="H1066" s="8" t="s">
        <v>2089</v>
      </c>
      <c r="I1066" s="8" t="s">
        <v>1965</v>
      </c>
      <c r="J1066" s="8">
        <v>1</v>
      </c>
      <c r="K1066" s="8">
        <v>0</v>
      </c>
      <c r="L1066" s="8">
        <v>11</v>
      </c>
      <c r="M1066" s="8" t="s">
        <v>1964</v>
      </c>
      <c r="N1066" s="8" t="s">
        <v>115</v>
      </c>
      <c r="O1066" s="8" t="s">
        <v>203</v>
      </c>
      <c r="P1066" s="8" t="s">
        <v>2090</v>
      </c>
      <c r="Q1066" s="8" t="s">
        <v>2106</v>
      </c>
    </row>
    <row r="1067" spans="1:17" ht="25" customHeight="1">
      <c r="A1067" s="12">
        <v>17</v>
      </c>
      <c r="B1067" s="8" t="s">
        <v>2063</v>
      </c>
      <c r="C1067" s="8" t="s">
        <v>60</v>
      </c>
      <c r="D1067" s="8">
        <v>10</v>
      </c>
      <c r="E1067" s="8" t="s">
        <v>1966</v>
      </c>
      <c r="F1067" s="8">
        <v>0</v>
      </c>
      <c r="G1067" s="8" t="s">
        <v>446</v>
      </c>
      <c r="H1067" s="8" t="s">
        <v>2089</v>
      </c>
      <c r="I1067" s="8" t="s">
        <v>2094</v>
      </c>
      <c r="J1067" s="8">
        <v>1</v>
      </c>
      <c r="K1067" s="8">
        <v>0</v>
      </c>
      <c r="L1067" s="8">
        <v>11</v>
      </c>
      <c r="M1067" s="8" t="s">
        <v>1964</v>
      </c>
      <c r="N1067" s="8" t="s">
        <v>115</v>
      </c>
      <c r="O1067" s="8" t="s">
        <v>203</v>
      </c>
      <c r="P1067" s="8" t="s">
        <v>2090</v>
      </c>
      <c r="Q1067" s="8" t="s">
        <v>2107</v>
      </c>
    </row>
    <row r="1068" spans="1:17" ht="25" customHeight="1">
      <c r="A1068" s="12">
        <v>18</v>
      </c>
      <c r="B1068" s="8" t="s">
        <v>2063</v>
      </c>
      <c r="C1068" s="8" t="s">
        <v>60</v>
      </c>
      <c r="D1068" s="8">
        <v>10</v>
      </c>
      <c r="E1068" s="8" t="s">
        <v>1965</v>
      </c>
      <c r="F1068" s="8">
        <v>3</v>
      </c>
      <c r="G1068" s="8" t="s">
        <v>428</v>
      </c>
      <c r="H1068" s="8" t="s">
        <v>2089</v>
      </c>
      <c r="I1068" s="8" t="s">
        <v>1965</v>
      </c>
      <c r="J1068" s="8">
        <v>1</v>
      </c>
      <c r="K1068" s="8">
        <v>0</v>
      </c>
      <c r="L1068" s="8">
        <v>11</v>
      </c>
      <c r="M1068" s="8" t="s">
        <v>1961</v>
      </c>
      <c r="N1068" s="8" t="s">
        <v>115</v>
      </c>
      <c r="O1068" s="8" t="s">
        <v>206</v>
      </c>
      <c r="P1068" s="8" t="s">
        <v>2104</v>
      </c>
      <c r="Q1068" s="8" t="s">
        <v>2108</v>
      </c>
    </row>
    <row r="1069" spans="1:17" ht="25" customHeight="1">
      <c r="A1069" s="12">
        <v>19</v>
      </c>
      <c r="B1069" s="8" t="s">
        <v>2063</v>
      </c>
      <c r="C1069" s="8" t="s">
        <v>63</v>
      </c>
      <c r="D1069" s="8">
        <v>10</v>
      </c>
      <c r="E1069" s="8" t="s">
        <v>1963</v>
      </c>
      <c r="F1069" s="8">
        <v>17</v>
      </c>
      <c r="G1069" s="8" t="s">
        <v>446</v>
      </c>
      <c r="H1069" s="8" t="s">
        <v>2089</v>
      </c>
      <c r="I1069" s="8" t="s">
        <v>2094</v>
      </c>
      <c r="J1069" s="8">
        <v>0</v>
      </c>
      <c r="K1069" s="8">
        <v>1</v>
      </c>
      <c r="L1069" s="8">
        <v>11</v>
      </c>
      <c r="M1069" s="8" t="s">
        <v>1961</v>
      </c>
      <c r="N1069" s="8" t="s">
        <v>115</v>
      </c>
      <c r="O1069" s="8" t="s">
        <v>206</v>
      </c>
      <c r="P1069" s="8" t="s">
        <v>2104</v>
      </c>
    </row>
    <row r="1070" spans="1:17" ht="25" customHeight="1">
      <c r="A1070" s="12">
        <v>20</v>
      </c>
      <c r="B1070" s="8" t="s">
        <v>2063</v>
      </c>
      <c r="C1070" s="8" t="s">
        <v>63</v>
      </c>
      <c r="D1070" s="8">
        <v>10</v>
      </c>
      <c r="E1070" s="8" t="s">
        <v>1963</v>
      </c>
      <c r="F1070" s="8">
        <v>3</v>
      </c>
      <c r="G1070" s="8" t="s">
        <v>449</v>
      </c>
      <c r="H1070" s="8" t="s">
        <v>2089</v>
      </c>
      <c r="I1070" s="8" t="s">
        <v>2094</v>
      </c>
      <c r="J1070" s="8">
        <v>1</v>
      </c>
      <c r="K1070" s="8">
        <v>0</v>
      </c>
      <c r="L1070" s="8">
        <v>11</v>
      </c>
      <c r="M1070" s="8" t="s">
        <v>1967</v>
      </c>
      <c r="N1070" s="8" t="s">
        <v>115</v>
      </c>
      <c r="O1070" s="8" t="s">
        <v>206</v>
      </c>
      <c r="P1070" s="8" t="s">
        <v>2104</v>
      </c>
    </row>
    <row r="1071" spans="1:17" ht="25" customHeight="1">
      <c r="A1071" s="12">
        <v>21</v>
      </c>
      <c r="B1071" s="8" t="s">
        <v>2063</v>
      </c>
      <c r="C1071" s="8" t="s">
        <v>63</v>
      </c>
      <c r="D1071" s="8">
        <v>10</v>
      </c>
      <c r="E1071" s="8" t="s">
        <v>1965</v>
      </c>
      <c r="F1071" s="8">
        <v>7</v>
      </c>
      <c r="G1071" s="8" t="s">
        <v>432</v>
      </c>
      <c r="H1071" s="8" t="s">
        <v>2089</v>
      </c>
      <c r="I1071" s="8" t="s">
        <v>1965</v>
      </c>
      <c r="J1071" s="8">
        <v>0</v>
      </c>
      <c r="K1071" s="8">
        <v>0</v>
      </c>
      <c r="L1071" s="8">
        <v>11</v>
      </c>
      <c r="M1071" s="8" t="s">
        <v>1964</v>
      </c>
      <c r="N1071" s="8" t="s">
        <v>115</v>
      </c>
      <c r="O1071" s="8" t="s">
        <v>203</v>
      </c>
      <c r="P1071" s="8" t="s">
        <v>2090</v>
      </c>
    </row>
    <row r="1072" spans="1:17" ht="25" customHeight="1">
      <c r="A1072" s="12">
        <v>22</v>
      </c>
      <c r="B1072" s="8" t="s">
        <v>2063</v>
      </c>
      <c r="C1072" s="8" t="s">
        <v>51</v>
      </c>
      <c r="D1072" s="8">
        <v>10</v>
      </c>
      <c r="E1072" s="8" t="s">
        <v>1963</v>
      </c>
      <c r="F1072" s="8">
        <v>14</v>
      </c>
      <c r="G1072" s="8" t="s">
        <v>471</v>
      </c>
      <c r="H1072" s="8" t="s">
        <v>2089</v>
      </c>
      <c r="I1072" s="8" t="s">
        <v>2094</v>
      </c>
      <c r="J1072" s="8">
        <v>0</v>
      </c>
      <c r="K1072" s="8">
        <v>0</v>
      </c>
      <c r="L1072" s="8">
        <v>12</v>
      </c>
      <c r="M1072" s="8" t="s">
        <v>1967</v>
      </c>
      <c r="N1072" s="8" t="s">
        <v>115</v>
      </c>
      <c r="O1072" s="8" t="s">
        <v>206</v>
      </c>
      <c r="P1072" s="8" t="s">
        <v>2099</v>
      </c>
    </row>
    <row r="1073" spans="1:16" ht="25" customHeight="1">
      <c r="A1073" s="12">
        <v>23</v>
      </c>
      <c r="B1073" s="8" t="s">
        <v>2063</v>
      </c>
      <c r="C1073" s="8" t="s">
        <v>51</v>
      </c>
      <c r="D1073" s="8">
        <v>10</v>
      </c>
      <c r="F1073" s="8">
        <v>0</v>
      </c>
      <c r="H1073" s="8" t="s">
        <v>2109</v>
      </c>
      <c r="I1073" s="8" t="s">
        <v>2110</v>
      </c>
      <c r="L1073" s="8">
        <v>12</v>
      </c>
      <c r="M1073" s="8" t="s">
        <v>1961</v>
      </c>
      <c r="N1073" s="8" t="s">
        <v>115</v>
      </c>
      <c r="O1073" s="8" t="s">
        <v>206</v>
      </c>
      <c r="P1073" s="8" t="s">
        <v>2099</v>
      </c>
    </row>
    <row r="1074" spans="1:16" ht="25" customHeight="1">
      <c r="A1074" s="12">
        <v>24</v>
      </c>
      <c r="B1074" s="8" t="s">
        <v>2063</v>
      </c>
      <c r="C1074" s="8" t="s">
        <v>54</v>
      </c>
      <c r="D1074" s="8">
        <v>10</v>
      </c>
      <c r="E1074" s="8" t="s">
        <v>1965</v>
      </c>
      <c r="F1074" s="8">
        <v>6</v>
      </c>
      <c r="G1074" s="8" t="s">
        <v>477</v>
      </c>
      <c r="H1074" s="8" t="s">
        <v>2089</v>
      </c>
      <c r="I1074" s="8" t="s">
        <v>1965</v>
      </c>
      <c r="J1074" s="8">
        <v>0</v>
      </c>
      <c r="K1074" s="8">
        <v>0</v>
      </c>
      <c r="L1074" s="8">
        <v>12</v>
      </c>
      <c r="M1074" s="8" t="s">
        <v>1964</v>
      </c>
      <c r="N1074" s="8" t="s">
        <v>115</v>
      </c>
      <c r="O1074" s="8" t="s">
        <v>203</v>
      </c>
      <c r="P1074" s="8" t="s">
        <v>2102</v>
      </c>
    </row>
    <row r="1075" spans="1:16" ht="25" customHeight="1">
      <c r="A1075" s="12">
        <v>25</v>
      </c>
      <c r="B1075" s="8" t="s">
        <v>2063</v>
      </c>
      <c r="C1075" s="8" t="s">
        <v>54</v>
      </c>
      <c r="D1075" s="8">
        <v>10</v>
      </c>
      <c r="E1075" s="8" t="s">
        <v>1965</v>
      </c>
      <c r="F1075" s="8">
        <v>17</v>
      </c>
      <c r="G1075" s="8" t="s">
        <v>428</v>
      </c>
      <c r="H1075" s="8" t="s">
        <v>2089</v>
      </c>
      <c r="I1075" s="8" t="s">
        <v>1965</v>
      </c>
      <c r="J1075" s="8">
        <v>0</v>
      </c>
      <c r="K1075" s="8">
        <v>1</v>
      </c>
      <c r="L1075" s="8">
        <v>11</v>
      </c>
      <c r="M1075" s="8" t="s">
        <v>1964</v>
      </c>
      <c r="N1075" s="8" t="s">
        <v>115</v>
      </c>
      <c r="O1075" s="8" t="s">
        <v>203</v>
      </c>
      <c r="P1075" s="8" t="s">
        <v>2090</v>
      </c>
    </row>
    <row r="1076" spans="1:16" ht="25" customHeight="1">
      <c r="A1076" s="12">
        <v>26</v>
      </c>
      <c r="B1076" s="8" t="s">
        <v>2063</v>
      </c>
      <c r="C1076" s="8" t="s">
        <v>56</v>
      </c>
      <c r="D1076" s="8">
        <v>10</v>
      </c>
      <c r="E1076" s="8" t="s">
        <v>1966</v>
      </c>
      <c r="F1076" s="8">
        <v>13</v>
      </c>
      <c r="G1076" s="8" t="s">
        <v>471</v>
      </c>
      <c r="H1076" s="8" t="s">
        <v>2089</v>
      </c>
      <c r="I1076" s="8" t="s">
        <v>2094</v>
      </c>
      <c r="J1076" s="8">
        <v>0</v>
      </c>
      <c r="K1076" s="8">
        <v>0</v>
      </c>
      <c r="L1076" s="8">
        <v>11</v>
      </c>
      <c r="M1076" s="8" t="s">
        <v>1961</v>
      </c>
      <c r="N1076" s="8" t="s">
        <v>115</v>
      </c>
      <c r="O1076" s="8" t="s">
        <v>206</v>
      </c>
      <c r="P1076" s="8" t="s">
        <v>2104</v>
      </c>
    </row>
    <row r="1077" spans="1:16" ht="25" customHeight="1">
      <c r="A1077" s="12">
        <v>27</v>
      </c>
      <c r="B1077" s="8" t="s">
        <v>2063</v>
      </c>
      <c r="C1077" s="8" t="s">
        <v>56</v>
      </c>
      <c r="D1077" s="8">
        <v>10</v>
      </c>
      <c r="E1077" s="8" t="s">
        <v>1965</v>
      </c>
      <c r="F1077" s="8">
        <v>4</v>
      </c>
      <c r="G1077" s="8" t="s">
        <v>428</v>
      </c>
      <c r="H1077" s="8" t="s">
        <v>2089</v>
      </c>
      <c r="I1077" s="8" t="s">
        <v>1965</v>
      </c>
      <c r="J1077" s="8">
        <v>0</v>
      </c>
      <c r="K1077" s="8">
        <v>0</v>
      </c>
      <c r="L1077" s="8">
        <v>11</v>
      </c>
      <c r="M1077" s="8" t="s">
        <v>1964</v>
      </c>
      <c r="N1077" s="8" t="s">
        <v>115</v>
      </c>
      <c r="O1077" s="8" t="s">
        <v>203</v>
      </c>
      <c r="P1077" s="8" t="s">
        <v>2090</v>
      </c>
    </row>
    <row r="1078" spans="1:16" ht="25" customHeight="1">
      <c r="A1078" s="12">
        <v>28</v>
      </c>
      <c r="B1078" s="8" t="s">
        <v>2063</v>
      </c>
      <c r="C1078" s="8" t="s">
        <v>27</v>
      </c>
      <c r="D1078" s="8">
        <v>0</v>
      </c>
      <c r="F1078" s="8">
        <v>0</v>
      </c>
      <c r="H1078" s="8" t="s">
        <v>2109</v>
      </c>
      <c r="I1078" s="8" t="s">
        <v>2110</v>
      </c>
      <c r="N1078" s="8" t="s">
        <v>115</v>
      </c>
    </row>
    <row r="1079" spans="1:16" ht="25" customHeight="1">
      <c r="A1079" s="12">
        <v>29</v>
      </c>
      <c r="B1079" s="8" t="s">
        <v>2063</v>
      </c>
      <c r="C1079" s="8" t="s">
        <v>43</v>
      </c>
      <c r="D1079" s="8">
        <v>10</v>
      </c>
      <c r="E1079" s="8" t="s">
        <v>1963</v>
      </c>
      <c r="F1079" s="8">
        <v>3</v>
      </c>
      <c r="G1079" s="8" t="s">
        <v>446</v>
      </c>
      <c r="H1079" s="8" t="s">
        <v>2089</v>
      </c>
      <c r="I1079" s="8" t="s">
        <v>2094</v>
      </c>
      <c r="J1079" s="8">
        <v>1</v>
      </c>
      <c r="K1079" s="8">
        <v>0</v>
      </c>
      <c r="L1079" s="8">
        <v>11</v>
      </c>
      <c r="M1079" s="8" t="s">
        <v>1967</v>
      </c>
      <c r="N1079" s="8" t="s">
        <v>115</v>
      </c>
      <c r="O1079" s="8" t="s">
        <v>206</v>
      </c>
      <c r="P1079" s="8" t="s">
        <v>2104</v>
      </c>
    </row>
    <row r="1080" spans="1:16" ht="25" customHeight="1">
      <c r="A1080" s="12">
        <v>30</v>
      </c>
      <c r="B1080" s="8" t="s">
        <v>2063</v>
      </c>
      <c r="C1080" s="8" t="s">
        <v>32</v>
      </c>
      <c r="D1080" s="8">
        <v>10</v>
      </c>
      <c r="E1080" s="8" t="s">
        <v>1963</v>
      </c>
      <c r="F1080" s="8">
        <v>72</v>
      </c>
      <c r="G1080" s="8" t="s">
        <v>561</v>
      </c>
      <c r="H1080" s="8" t="s">
        <v>2089</v>
      </c>
      <c r="I1080" s="8" t="s">
        <v>2094</v>
      </c>
      <c r="J1080" s="8">
        <v>0</v>
      </c>
      <c r="K1080" s="8">
        <v>1</v>
      </c>
      <c r="L1080" s="8">
        <v>11</v>
      </c>
      <c r="M1080" s="8" t="s">
        <v>1964</v>
      </c>
      <c r="N1080" s="8" t="s">
        <v>115</v>
      </c>
      <c r="O1080" s="8" t="s">
        <v>203</v>
      </c>
      <c r="P1080" s="8" t="s">
        <v>2090</v>
      </c>
    </row>
    <row r="1081" spans="1:16" ht="25" customHeight="1">
      <c r="A1081" s="12">
        <v>31</v>
      </c>
      <c r="B1081" s="8" t="s">
        <v>2063</v>
      </c>
      <c r="C1081" s="8" t="s">
        <v>2111</v>
      </c>
      <c r="D1081" s="8">
        <v>10</v>
      </c>
      <c r="E1081" s="8" t="s">
        <v>2112</v>
      </c>
      <c r="F1081" s="8">
        <v>-2</v>
      </c>
      <c r="G1081" s="8" t="s">
        <v>2112</v>
      </c>
      <c r="H1081" s="8" t="s">
        <v>2109</v>
      </c>
      <c r="I1081" s="8" t="s">
        <v>2110</v>
      </c>
      <c r="L1081" s="8">
        <v>12</v>
      </c>
      <c r="M1081" s="8" t="s">
        <v>1972</v>
      </c>
      <c r="N1081" s="8" t="s">
        <v>115</v>
      </c>
      <c r="O1081" s="8" t="s">
        <v>1170</v>
      </c>
      <c r="P1081" s="8" t="s">
        <v>2095</v>
      </c>
    </row>
    <row r="1082" spans="1:16" ht="25" customHeight="1">
      <c r="A1082" s="12">
        <v>32</v>
      </c>
      <c r="B1082" s="8" t="s">
        <v>2063</v>
      </c>
      <c r="C1082" s="8" t="s">
        <v>88</v>
      </c>
      <c r="D1082" s="8">
        <v>10</v>
      </c>
      <c r="E1082" s="8" t="s">
        <v>1965</v>
      </c>
      <c r="F1082" s="8">
        <v>4</v>
      </c>
      <c r="G1082" s="8" t="s">
        <v>428</v>
      </c>
      <c r="H1082" s="8" t="s">
        <v>2089</v>
      </c>
      <c r="I1082" s="8" t="s">
        <v>1965</v>
      </c>
      <c r="J1082" s="8">
        <v>0</v>
      </c>
      <c r="K1082" s="8">
        <v>0</v>
      </c>
      <c r="L1082" s="8">
        <v>12</v>
      </c>
      <c r="M1082" s="8" t="s">
        <v>1964</v>
      </c>
      <c r="N1082" s="8" t="s">
        <v>115</v>
      </c>
      <c r="O1082" s="8" t="s">
        <v>203</v>
      </c>
      <c r="P1082" s="8" t="s">
        <v>2102</v>
      </c>
    </row>
    <row r="1083" spans="1:16" ht="25" customHeight="1">
      <c r="A1083" s="12">
        <v>33</v>
      </c>
      <c r="B1083" s="8" t="s">
        <v>2063</v>
      </c>
      <c r="C1083" s="8" t="s">
        <v>53</v>
      </c>
      <c r="D1083" s="8">
        <v>10</v>
      </c>
      <c r="E1083" s="8" t="s">
        <v>1963</v>
      </c>
      <c r="F1083" s="8">
        <v>8</v>
      </c>
      <c r="G1083" s="8" t="s">
        <v>446</v>
      </c>
      <c r="H1083" s="8" t="s">
        <v>2089</v>
      </c>
      <c r="I1083" s="8" t="s">
        <v>2094</v>
      </c>
      <c r="J1083" s="8">
        <v>0</v>
      </c>
      <c r="K1083" s="8">
        <v>0</v>
      </c>
      <c r="L1083" s="8">
        <v>11</v>
      </c>
      <c r="M1083" s="8" t="s">
        <v>1961</v>
      </c>
      <c r="N1083" s="8" t="s">
        <v>115</v>
      </c>
      <c r="O1083" s="8" t="s">
        <v>206</v>
      </c>
      <c r="P1083" s="8" t="s">
        <v>2104</v>
      </c>
    </row>
    <row r="1084" spans="1:16" ht="25" customHeight="1">
      <c r="A1084" s="12">
        <v>34</v>
      </c>
      <c r="B1084" s="8" t="s">
        <v>2063</v>
      </c>
      <c r="C1084" s="8" t="s">
        <v>81</v>
      </c>
      <c r="D1084" s="8">
        <v>10</v>
      </c>
      <c r="E1084" s="8" t="s">
        <v>1965</v>
      </c>
      <c r="F1084" s="8">
        <v>4</v>
      </c>
      <c r="G1084" s="8" t="s">
        <v>465</v>
      </c>
      <c r="H1084" s="8" t="s">
        <v>2089</v>
      </c>
      <c r="I1084" s="8" t="s">
        <v>1965</v>
      </c>
      <c r="J1084" s="8">
        <v>0</v>
      </c>
      <c r="K1084" s="8">
        <v>0</v>
      </c>
      <c r="L1084" s="8">
        <v>11</v>
      </c>
      <c r="M1084" s="8" t="s">
        <v>1967</v>
      </c>
      <c r="N1084" s="8" t="s">
        <v>115</v>
      </c>
      <c r="O1084" s="8" t="s">
        <v>206</v>
      </c>
      <c r="P1084" s="8" t="s">
        <v>2104</v>
      </c>
    </row>
    <row r="1085" spans="1:16" ht="25" customHeight="1">
      <c r="A1085" s="12">
        <v>35</v>
      </c>
      <c r="B1085" s="8" t="s">
        <v>2063</v>
      </c>
      <c r="C1085" s="8" t="s">
        <v>35</v>
      </c>
      <c r="D1085" s="8">
        <v>10</v>
      </c>
      <c r="E1085" s="8" t="s">
        <v>1963</v>
      </c>
      <c r="F1085" s="8">
        <v>55</v>
      </c>
      <c r="G1085" s="8" t="s">
        <v>471</v>
      </c>
      <c r="H1085" s="8" t="s">
        <v>2089</v>
      </c>
      <c r="I1085" s="8" t="s">
        <v>2094</v>
      </c>
      <c r="J1085" s="8">
        <v>0</v>
      </c>
      <c r="K1085" s="8">
        <v>1</v>
      </c>
      <c r="L1085" s="8">
        <v>11</v>
      </c>
      <c r="M1085" s="8" t="s">
        <v>1961</v>
      </c>
      <c r="N1085" s="8" t="s">
        <v>115</v>
      </c>
      <c r="O1085" s="8" t="s">
        <v>206</v>
      </c>
      <c r="P1085" s="8" t="s">
        <v>2104</v>
      </c>
    </row>
    <row r="1086" spans="1:16" ht="25" customHeight="1">
      <c r="A1086" s="12">
        <v>36</v>
      </c>
      <c r="B1086" s="8" t="s">
        <v>2063</v>
      </c>
      <c r="C1086" s="8" t="s">
        <v>62</v>
      </c>
      <c r="D1086" s="8">
        <v>10</v>
      </c>
      <c r="E1086" s="8" t="s">
        <v>1965</v>
      </c>
      <c r="F1086" s="8">
        <v>25</v>
      </c>
      <c r="G1086" s="8" t="s">
        <v>432</v>
      </c>
      <c r="H1086" s="8" t="s">
        <v>2089</v>
      </c>
      <c r="I1086" s="8" t="s">
        <v>1965</v>
      </c>
      <c r="J1086" s="8">
        <v>0</v>
      </c>
      <c r="K1086" s="8">
        <v>1</v>
      </c>
      <c r="L1086" s="8">
        <v>11</v>
      </c>
      <c r="M1086" s="8" t="s">
        <v>1967</v>
      </c>
      <c r="N1086" s="8" t="s">
        <v>115</v>
      </c>
      <c r="O1086" s="8" t="s">
        <v>206</v>
      </c>
      <c r="P1086" s="8" t="s">
        <v>2104</v>
      </c>
    </row>
    <row r="1087" spans="1:16" ht="25" customHeight="1">
      <c r="A1087" s="12">
        <v>37</v>
      </c>
      <c r="B1087" s="8" t="s">
        <v>2063</v>
      </c>
      <c r="C1087" s="8" t="s">
        <v>75</v>
      </c>
      <c r="D1087" s="8">
        <v>10</v>
      </c>
      <c r="E1087" s="8" t="s">
        <v>1965</v>
      </c>
      <c r="F1087" s="8">
        <v>9</v>
      </c>
      <c r="G1087" s="8" t="s">
        <v>477</v>
      </c>
      <c r="H1087" s="8" t="s">
        <v>2089</v>
      </c>
      <c r="I1087" s="8" t="s">
        <v>1965</v>
      </c>
      <c r="J1087" s="8">
        <v>0</v>
      </c>
      <c r="K1087" s="8">
        <v>0</v>
      </c>
      <c r="L1087" s="8">
        <v>11</v>
      </c>
      <c r="M1087" s="8" t="s">
        <v>1961</v>
      </c>
      <c r="N1087" s="8" t="s">
        <v>115</v>
      </c>
      <c r="O1087" s="8" t="s">
        <v>206</v>
      </c>
      <c r="P1087" s="8" t="s">
        <v>2104</v>
      </c>
    </row>
    <row r="1088" spans="1:16" ht="25" customHeight="1">
      <c r="A1088" s="12">
        <v>38</v>
      </c>
      <c r="B1088" s="8">
        <v>1</v>
      </c>
      <c r="C1088" s="8" t="s">
        <v>44</v>
      </c>
      <c r="D1088" s="8">
        <v>10</v>
      </c>
      <c r="E1088" s="8" t="s">
        <v>1965</v>
      </c>
      <c r="F1088" s="8">
        <v>8</v>
      </c>
      <c r="G1088" s="8" t="s">
        <v>465</v>
      </c>
      <c r="H1088" s="8" t="s">
        <v>2089</v>
      </c>
      <c r="I1088" s="8" t="s">
        <v>1965</v>
      </c>
      <c r="J1088" s="8">
        <v>0</v>
      </c>
      <c r="K1088" s="8">
        <v>0</v>
      </c>
      <c r="L1088" s="8">
        <v>11</v>
      </c>
      <c r="M1088" s="8" t="s">
        <v>1967</v>
      </c>
      <c r="N1088" s="8" t="s">
        <v>716</v>
      </c>
      <c r="O1088" s="8" t="s">
        <v>206</v>
      </c>
      <c r="P1088" s="8" t="s">
        <v>2104</v>
      </c>
    </row>
    <row r="1089" spans="1:16" ht="25" customHeight="1">
      <c r="A1089" s="12">
        <v>39</v>
      </c>
      <c r="B1089" s="8">
        <v>1</v>
      </c>
      <c r="C1089" s="8" t="s">
        <v>44</v>
      </c>
      <c r="D1089" s="8">
        <v>10</v>
      </c>
      <c r="E1089" s="8" t="s">
        <v>1974</v>
      </c>
      <c r="F1089" s="8">
        <v>0</v>
      </c>
      <c r="G1089" s="8" t="s">
        <v>449</v>
      </c>
      <c r="H1089" s="8" t="s">
        <v>2089</v>
      </c>
      <c r="I1089" s="8" t="s">
        <v>2094</v>
      </c>
      <c r="J1089" s="8">
        <v>1</v>
      </c>
      <c r="K1089" s="8">
        <v>0</v>
      </c>
      <c r="L1089" s="8">
        <v>11</v>
      </c>
      <c r="M1089" s="8" t="s">
        <v>1967</v>
      </c>
      <c r="N1089" s="8" t="s">
        <v>716</v>
      </c>
      <c r="O1089" s="8" t="s">
        <v>206</v>
      </c>
      <c r="P1089" s="8" t="s">
        <v>2104</v>
      </c>
    </row>
    <row r="1090" spans="1:16" ht="25" customHeight="1">
      <c r="A1090" s="12">
        <v>40</v>
      </c>
      <c r="B1090" s="8">
        <v>1</v>
      </c>
      <c r="C1090" s="8" t="s">
        <v>44</v>
      </c>
      <c r="D1090" s="8">
        <v>10</v>
      </c>
      <c r="E1090" s="8" t="s">
        <v>1965</v>
      </c>
      <c r="F1090" s="8">
        <v>3</v>
      </c>
      <c r="G1090" s="8" t="s">
        <v>465</v>
      </c>
      <c r="H1090" s="8" t="s">
        <v>2089</v>
      </c>
      <c r="I1090" s="8" t="s">
        <v>1965</v>
      </c>
      <c r="J1090" s="8">
        <v>1</v>
      </c>
      <c r="K1090" s="8">
        <v>0</v>
      </c>
      <c r="L1090" s="8">
        <v>11</v>
      </c>
      <c r="M1090" s="8" t="s">
        <v>1961</v>
      </c>
      <c r="N1090" s="8" t="s">
        <v>716</v>
      </c>
      <c r="O1090" s="8" t="s">
        <v>206</v>
      </c>
      <c r="P1090" s="8" t="s">
        <v>2104</v>
      </c>
    </row>
    <row r="1091" spans="1:16" ht="25" customHeight="1">
      <c r="A1091" s="12">
        <v>41</v>
      </c>
      <c r="B1091" s="8">
        <v>1</v>
      </c>
      <c r="C1091" s="8" t="s">
        <v>44</v>
      </c>
      <c r="D1091" s="8">
        <v>10</v>
      </c>
      <c r="E1091" s="8" t="s">
        <v>1965</v>
      </c>
      <c r="F1091" s="8">
        <v>7</v>
      </c>
      <c r="G1091" s="8" t="s">
        <v>432</v>
      </c>
      <c r="H1091" s="8" t="s">
        <v>2089</v>
      </c>
      <c r="I1091" s="8" t="s">
        <v>1965</v>
      </c>
      <c r="J1091" s="8">
        <v>0</v>
      </c>
      <c r="K1091" s="8">
        <v>0</v>
      </c>
      <c r="L1091" s="8" t="s">
        <v>132</v>
      </c>
      <c r="M1091" s="8" t="s">
        <v>206</v>
      </c>
      <c r="N1091" s="8" t="s">
        <v>716</v>
      </c>
      <c r="O1091" s="8" t="s">
        <v>206</v>
      </c>
      <c r="P1091" s="8" t="s">
        <v>2097</v>
      </c>
    </row>
    <row r="1092" spans="1:16" ht="25" customHeight="1">
      <c r="A1092" s="12">
        <v>42</v>
      </c>
      <c r="B1092" s="8">
        <v>1</v>
      </c>
      <c r="C1092" s="8" t="s">
        <v>44</v>
      </c>
      <c r="D1092" s="8">
        <v>10</v>
      </c>
      <c r="E1092" s="8" t="s">
        <v>1963</v>
      </c>
      <c r="F1092" s="8">
        <v>11</v>
      </c>
      <c r="G1092" s="8" t="s">
        <v>446</v>
      </c>
      <c r="H1092" s="8" t="s">
        <v>2089</v>
      </c>
      <c r="I1092" s="8" t="s">
        <v>2094</v>
      </c>
      <c r="J1092" s="8">
        <v>0</v>
      </c>
      <c r="K1092" s="8">
        <v>0</v>
      </c>
      <c r="L1092" s="8">
        <v>11</v>
      </c>
      <c r="M1092" s="8" t="s">
        <v>1973</v>
      </c>
      <c r="N1092" s="8" t="s">
        <v>716</v>
      </c>
      <c r="O1092" s="8" t="s">
        <v>222</v>
      </c>
      <c r="P1092" s="8" t="s">
        <v>2095</v>
      </c>
    </row>
    <row r="1093" spans="1:16" ht="25" customHeight="1">
      <c r="A1093" s="12">
        <v>43</v>
      </c>
      <c r="B1093" s="8">
        <v>1</v>
      </c>
      <c r="C1093" s="8" t="s">
        <v>44</v>
      </c>
      <c r="D1093" s="8">
        <v>10</v>
      </c>
      <c r="E1093" s="8" t="s">
        <v>1965</v>
      </c>
      <c r="F1093" s="8">
        <v>5</v>
      </c>
      <c r="G1093" s="8" t="s">
        <v>465</v>
      </c>
      <c r="H1093" s="8" t="s">
        <v>2089</v>
      </c>
      <c r="I1093" s="8" t="s">
        <v>1965</v>
      </c>
      <c r="J1093" s="8">
        <v>0</v>
      </c>
      <c r="K1093" s="8">
        <v>0</v>
      </c>
      <c r="L1093" s="8" t="s">
        <v>132</v>
      </c>
      <c r="M1093" s="8" t="s">
        <v>206</v>
      </c>
      <c r="N1093" s="8" t="s">
        <v>716</v>
      </c>
      <c r="O1093" s="8" t="s">
        <v>206</v>
      </c>
      <c r="P1093" s="8" t="s">
        <v>2097</v>
      </c>
    </row>
    <row r="1094" spans="1:16" ht="25" customHeight="1">
      <c r="A1094" s="12">
        <v>44</v>
      </c>
      <c r="B1094" s="8">
        <v>1</v>
      </c>
      <c r="C1094" s="8" t="s">
        <v>44</v>
      </c>
      <c r="D1094" s="8">
        <v>10</v>
      </c>
      <c r="F1094" s="8">
        <v>0</v>
      </c>
      <c r="H1094" s="8" t="s">
        <v>2109</v>
      </c>
      <c r="I1094" s="8" t="s">
        <v>2110</v>
      </c>
      <c r="L1094" s="8" t="s">
        <v>132</v>
      </c>
      <c r="N1094" s="8" t="s">
        <v>716</v>
      </c>
    </row>
    <row r="1095" spans="1:16" ht="25" customHeight="1">
      <c r="A1095" s="12">
        <v>45</v>
      </c>
      <c r="B1095" s="8">
        <v>1</v>
      </c>
      <c r="C1095" s="8" t="s">
        <v>60</v>
      </c>
      <c r="D1095" s="8">
        <v>10</v>
      </c>
      <c r="E1095" s="8" t="s">
        <v>1963</v>
      </c>
      <c r="F1095" s="8">
        <v>3</v>
      </c>
      <c r="G1095" s="8" t="s">
        <v>446</v>
      </c>
      <c r="H1095" s="8" t="s">
        <v>2089</v>
      </c>
      <c r="I1095" s="8" t="s">
        <v>2094</v>
      </c>
      <c r="J1095" s="8">
        <v>1</v>
      </c>
      <c r="K1095" s="8">
        <v>0</v>
      </c>
      <c r="L1095" s="8">
        <v>11</v>
      </c>
      <c r="M1095" s="8" t="s">
        <v>1964</v>
      </c>
      <c r="N1095" s="8" t="s">
        <v>716</v>
      </c>
      <c r="O1095" s="8" t="s">
        <v>203</v>
      </c>
      <c r="P1095" s="8" t="s">
        <v>2090</v>
      </c>
    </row>
    <row r="1096" spans="1:16" ht="25" customHeight="1">
      <c r="A1096" s="12">
        <v>46</v>
      </c>
      <c r="B1096" s="8">
        <v>1</v>
      </c>
      <c r="C1096" s="8" t="s">
        <v>60</v>
      </c>
      <c r="D1096" s="8">
        <v>10</v>
      </c>
      <c r="E1096" s="8" t="s">
        <v>2113</v>
      </c>
      <c r="F1096" s="8">
        <v>29</v>
      </c>
      <c r="G1096" s="8" t="s">
        <v>449</v>
      </c>
      <c r="H1096" s="8" t="s">
        <v>2089</v>
      </c>
      <c r="I1096" s="8" t="s">
        <v>2068</v>
      </c>
      <c r="J1096" s="8">
        <v>0</v>
      </c>
      <c r="K1096" s="8">
        <v>1</v>
      </c>
      <c r="L1096" s="8">
        <v>11</v>
      </c>
      <c r="M1096" s="8" t="s">
        <v>1964</v>
      </c>
      <c r="N1096" s="8" t="s">
        <v>716</v>
      </c>
      <c r="O1096" s="8" t="s">
        <v>203</v>
      </c>
      <c r="P1096" s="8" t="s">
        <v>2090</v>
      </c>
    </row>
    <row r="1097" spans="1:16" ht="25" customHeight="1">
      <c r="A1097" s="12">
        <v>47</v>
      </c>
      <c r="B1097" s="8">
        <v>1</v>
      </c>
      <c r="C1097" s="8" t="s">
        <v>60</v>
      </c>
      <c r="D1097" s="8">
        <v>10</v>
      </c>
      <c r="E1097" s="8" t="s">
        <v>1963</v>
      </c>
      <c r="F1097" s="8">
        <v>14</v>
      </c>
      <c r="G1097" s="8" t="s">
        <v>449</v>
      </c>
      <c r="H1097" s="8" t="s">
        <v>2089</v>
      </c>
      <c r="I1097" s="8" t="s">
        <v>2094</v>
      </c>
      <c r="J1097" s="8">
        <v>0</v>
      </c>
      <c r="K1097" s="8">
        <v>0</v>
      </c>
      <c r="L1097" s="8">
        <v>11</v>
      </c>
      <c r="M1097" s="8" t="s">
        <v>1967</v>
      </c>
      <c r="N1097" s="8" t="s">
        <v>716</v>
      </c>
      <c r="O1097" s="8" t="s">
        <v>206</v>
      </c>
      <c r="P1097" s="8" t="s">
        <v>2104</v>
      </c>
    </row>
    <row r="1098" spans="1:16" ht="25" customHeight="1">
      <c r="A1098" s="12">
        <v>48</v>
      </c>
      <c r="B1098" s="8">
        <v>1</v>
      </c>
      <c r="C1098" s="8" t="s">
        <v>35</v>
      </c>
      <c r="D1098" s="8">
        <v>6</v>
      </c>
      <c r="E1098" s="8" t="s">
        <v>1963</v>
      </c>
      <c r="F1098" s="8">
        <v>5</v>
      </c>
      <c r="G1098" s="8" t="s">
        <v>443</v>
      </c>
      <c r="H1098" s="8" t="s">
        <v>2089</v>
      </c>
      <c r="I1098" s="8" t="s">
        <v>2094</v>
      </c>
      <c r="J1098" s="8">
        <v>1</v>
      </c>
      <c r="K1098" s="8">
        <v>0</v>
      </c>
      <c r="L1098" s="8">
        <v>12</v>
      </c>
      <c r="M1098" s="8" t="s">
        <v>1964</v>
      </c>
      <c r="N1098" s="8" t="s">
        <v>711</v>
      </c>
      <c r="O1098" s="8" t="s">
        <v>203</v>
      </c>
      <c r="P1098" s="8" t="s">
        <v>2102</v>
      </c>
    </row>
    <row r="1099" spans="1:16" ht="25" customHeight="1">
      <c r="A1099" s="12">
        <v>49</v>
      </c>
      <c r="B1099" s="8">
        <v>1</v>
      </c>
      <c r="C1099" s="8" t="s">
        <v>35</v>
      </c>
      <c r="D1099" s="8">
        <v>10</v>
      </c>
      <c r="E1099" s="8" t="s">
        <v>1974</v>
      </c>
      <c r="F1099" s="8">
        <v>0</v>
      </c>
      <c r="G1099" s="8" t="s">
        <v>468</v>
      </c>
      <c r="H1099" s="8" t="s">
        <v>2089</v>
      </c>
      <c r="I1099" s="8" t="s">
        <v>2094</v>
      </c>
      <c r="J1099" s="8">
        <v>1</v>
      </c>
      <c r="K1099" s="8">
        <v>0</v>
      </c>
      <c r="L1099" s="8">
        <v>11</v>
      </c>
      <c r="M1099" s="8" t="s">
        <v>1964</v>
      </c>
      <c r="N1099" s="8" t="s">
        <v>716</v>
      </c>
      <c r="O1099" s="8" t="s">
        <v>203</v>
      </c>
      <c r="P1099" s="8" t="s">
        <v>2090</v>
      </c>
    </row>
    <row r="1100" spans="1:16" ht="25" customHeight="1">
      <c r="A1100" s="12">
        <v>50</v>
      </c>
      <c r="B1100" s="8">
        <v>1</v>
      </c>
      <c r="C1100" s="8" t="s">
        <v>35</v>
      </c>
      <c r="D1100" s="8">
        <v>19</v>
      </c>
      <c r="E1100" s="8" t="s">
        <v>1965</v>
      </c>
      <c r="F1100" s="8">
        <v>9</v>
      </c>
      <c r="G1100" s="8" t="s">
        <v>435</v>
      </c>
      <c r="H1100" s="8" t="s">
        <v>2089</v>
      </c>
      <c r="I1100" s="8" t="s">
        <v>1965</v>
      </c>
      <c r="J1100" s="8">
        <v>0</v>
      </c>
      <c r="K1100" s="8">
        <v>0</v>
      </c>
      <c r="L1100" s="8">
        <v>12</v>
      </c>
      <c r="M1100" s="8" t="s">
        <v>1964</v>
      </c>
      <c r="N1100" s="8" t="s">
        <v>720</v>
      </c>
      <c r="O1100" s="8" t="s">
        <v>203</v>
      </c>
      <c r="P1100" s="8" t="s">
        <v>2102</v>
      </c>
    </row>
    <row r="1101" spans="1:16" ht="25" customHeight="1">
      <c r="A1101" s="12">
        <v>51</v>
      </c>
      <c r="B1101" s="8">
        <v>1</v>
      </c>
      <c r="C1101" s="8" t="s">
        <v>68</v>
      </c>
      <c r="D1101" s="8">
        <v>8</v>
      </c>
      <c r="E1101" s="8" t="s">
        <v>1971</v>
      </c>
      <c r="F1101" s="8">
        <v>8</v>
      </c>
      <c r="G1101" s="8" t="s">
        <v>428</v>
      </c>
      <c r="H1101" s="8" t="s">
        <v>2089</v>
      </c>
      <c r="I1101" s="8" t="s">
        <v>2068</v>
      </c>
      <c r="J1101" s="8">
        <v>0</v>
      </c>
      <c r="K1101" s="8">
        <v>0</v>
      </c>
      <c r="L1101" s="8">
        <v>11</v>
      </c>
      <c r="M1101" s="8" t="s">
        <v>1969</v>
      </c>
      <c r="N1101" s="8" t="s">
        <v>716</v>
      </c>
      <c r="O1101" s="8" t="s">
        <v>215</v>
      </c>
      <c r="P1101" s="8" t="s">
        <v>2095</v>
      </c>
    </row>
    <row r="1102" spans="1:16" ht="25" customHeight="1">
      <c r="A1102" s="12">
        <v>52</v>
      </c>
      <c r="B1102" s="8">
        <v>1</v>
      </c>
      <c r="C1102" s="8" t="s">
        <v>68</v>
      </c>
      <c r="D1102" s="8">
        <v>10</v>
      </c>
      <c r="E1102" s="8" t="s">
        <v>1963</v>
      </c>
      <c r="F1102" s="8">
        <v>7</v>
      </c>
      <c r="G1102" s="8" t="s">
        <v>449</v>
      </c>
      <c r="H1102" s="8" t="s">
        <v>2089</v>
      </c>
      <c r="I1102" s="8" t="s">
        <v>2094</v>
      </c>
      <c r="J1102" s="8">
        <v>1</v>
      </c>
      <c r="K1102" s="8">
        <v>0</v>
      </c>
      <c r="L1102" s="8">
        <v>11</v>
      </c>
      <c r="M1102" s="8" t="s">
        <v>1964</v>
      </c>
      <c r="N1102" s="8" t="s">
        <v>716</v>
      </c>
      <c r="O1102" s="8" t="s">
        <v>203</v>
      </c>
      <c r="P1102" s="8" t="s">
        <v>2090</v>
      </c>
    </row>
    <row r="1103" spans="1:16" ht="25" customHeight="1">
      <c r="A1103" s="12">
        <v>53</v>
      </c>
      <c r="B1103" s="8">
        <v>1</v>
      </c>
      <c r="C1103" s="8" t="s">
        <v>53</v>
      </c>
      <c r="D1103" s="8">
        <v>10</v>
      </c>
      <c r="E1103" s="8" t="s">
        <v>1965</v>
      </c>
      <c r="F1103" s="8">
        <v>5</v>
      </c>
      <c r="G1103" s="8" t="s">
        <v>428</v>
      </c>
      <c r="H1103" s="8" t="s">
        <v>2089</v>
      </c>
      <c r="I1103" s="8" t="s">
        <v>1965</v>
      </c>
      <c r="J1103" s="8">
        <v>0</v>
      </c>
      <c r="K1103" s="8">
        <v>0</v>
      </c>
      <c r="L1103" s="8">
        <v>11</v>
      </c>
      <c r="M1103" s="8" t="s">
        <v>1967</v>
      </c>
      <c r="N1103" s="8" t="s">
        <v>716</v>
      </c>
      <c r="O1103" s="8" t="s">
        <v>206</v>
      </c>
      <c r="P1103" s="8" t="s">
        <v>2104</v>
      </c>
    </row>
    <row r="1104" spans="1:16" ht="25" customHeight="1">
      <c r="A1104" s="12">
        <v>54</v>
      </c>
      <c r="B1104" s="8">
        <v>1</v>
      </c>
      <c r="C1104" s="8" t="s">
        <v>53</v>
      </c>
      <c r="D1104" s="8">
        <v>10</v>
      </c>
      <c r="E1104" s="8" t="s">
        <v>1963</v>
      </c>
      <c r="F1104" s="8">
        <v>8</v>
      </c>
      <c r="G1104" s="8" t="s">
        <v>449</v>
      </c>
      <c r="H1104" s="8" t="s">
        <v>2089</v>
      </c>
      <c r="I1104" s="8" t="s">
        <v>2094</v>
      </c>
      <c r="J1104" s="8">
        <v>0</v>
      </c>
      <c r="K1104" s="8">
        <v>0</v>
      </c>
      <c r="L1104" s="8">
        <v>11</v>
      </c>
      <c r="M1104" s="8" t="s">
        <v>1979</v>
      </c>
      <c r="N1104" s="8" t="s">
        <v>716</v>
      </c>
      <c r="O1104" s="8" t="s">
        <v>222</v>
      </c>
      <c r="P1104" s="8" t="s">
        <v>2095</v>
      </c>
    </row>
    <row r="1105" spans="1:16" ht="25" customHeight="1">
      <c r="A1105" s="12">
        <v>55</v>
      </c>
      <c r="B1105" s="8">
        <v>1</v>
      </c>
      <c r="C1105" s="8" t="s">
        <v>53</v>
      </c>
      <c r="D1105" s="8">
        <v>10</v>
      </c>
      <c r="E1105" s="8" t="s">
        <v>1963</v>
      </c>
      <c r="F1105" s="8">
        <v>6</v>
      </c>
      <c r="G1105" s="8" t="s">
        <v>460</v>
      </c>
      <c r="H1105" s="8" t="s">
        <v>2089</v>
      </c>
      <c r="I1105" s="8" t="s">
        <v>2094</v>
      </c>
      <c r="J1105" s="8">
        <v>1</v>
      </c>
      <c r="K1105" s="8">
        <v>0</v>
      </c>
      <c r="L1105" s="8">
        <v>11</v>
      </c>
      <c r="M1105" s="8" t="s">
        <v>1964</v>
      </c>
      <c r="N1105" s="8" t="s">
        <v>716</v>
      </c>
      <c r="O1105" s="8" t="s">
        <v>203</v>
      </c>
      <c r="P1105" s="8" t="s">
        <v>2090</v>
      </c>
    </row>
    <row r="1106" spans="1:16" ht="25" customHeight="1">
      <c r="A1106" s="12">
        <v>56</v>
      </c>
      <c r="B1106" s="8">
        <v>1</v>
      </c>
      <c r="C1106" s="8" t="s">
        <v>53</v>
      </c>
      <c r="D1106" s="8">
        <v>10</v>
      </c>
      <c r="E1106" s="8" t="s">
        <v>1963</v>
      </c>
      <c r="F1106" s="8">
        <v>5</v>
      </c>
      <c r="G1106" s="8" t="s">
        <v>449</v>
      </c>
      <c r="H1106" s="8" t="s">
        <v>2089</v>
      </c>
      <c r="I1106" s="8" t="s">
        <v>2094</v>
      </c>
      <c r="J1106" s="8">
        <v>1</v>
      </c>
      <c r="K1106" s="8">
        <v>0</v>
      </c>
      <c r="L1106" s="8">
        <v>11</v>
      </c>
      <c r="M1106" s="8" t="s">
        <v>1964</v>
      </c>
      <c r="N1106" s="8" t="s">
        <v>716</v>
      </c>
      <c r="O1106" s="8" t="s">
        <v>203</v>
      </c>
      <c r="P1106" s="8" t="s">
        <v>2090</v>
      </c>
    </row>
    <row r="1107" spans="1:16" ht="25" customHeight="1">
      <c r="A1107" s="12">
        <v>57</v>
      </c>
      <c r="B1107" s="8">
        <v>1</v>
      </c>
      <c r="C1107" s="8" t="s">
        <v>53</v>
      </c>
      <c r="D1107" s="8">
        <v>10</v>
      </c>
      <c r="E1107" s="8" t="s">
        <v>1965</v>
      </c>
      <c r="F1107" s="8">
        <v>-1</v>
      </c>
      <c r="G1107" s="8" t="s">
        <v>428</v>
      </c>
      <c r="H1107" s="8" t="s">
        <v>2089</v>
      </c>
      <c r="I1107" s="8" t="s">
        <v>1965</v>
      </c>
      <c r="J1107" s="8">
        <v>1</v>
      </c>
      <c r="K1107" s="8">
        <v>0</v>
      </c>
      <c r="L1107" s="8">
        <v>11</v>
      </c>
      <c r="M1107" s="8" t="s">
        <v>1964</v>
      </c>
      <c r="N1107" s="8" t="s">
        <v>716</v>
      </c>
      <c r="O1107" s="8" t="s">
        <v>203</v>
      </c>
      <c r="P1107" s="8" t="s">
        <v>2090</v>
      </c>
    </row>
    <row r="1108" spans="1:16" ht="25" customHeight="1">
      <c r="A1108" s="12">
        <v>58</v>
      </c>
      <c r="B1108" s="8">
        <v>1</v>
      </c>
      <c r="C1108" s="8" t="s">
        <v>52</v>
      </c>
      <c r="D1108" s="8">
        <v>10</v>
      </c>
      <c r="E1108" s="8" t="s">
        <v>1974</v>
      </c>
      <c r="F1108" s="8">
        <v>0</v>
      </c>
      <c r="G1108" s="8" t="s">
        <v>468</v>
      </c>
      <c r="H1108" s="8" t="s">
        <v>2089</v>
      </c>
      <c r="I1108" s="8" t="s">
        <v>2094</v>
      </c>
      <c r="J1108" s="8">
        <v>1</v>
      </c>
      <c r="K1108" s="8">
        <v>0</v>
      </c>
      <c r="L1108" s="8">
        <v>12</v>
      </c>
      <c r="M1108" s="8" t="s">
        <v>1964</v>
      </c>
      <c r="N1108" s="8" t="s">
        <v>716</v>
      </c>
      <c r="O1108" s="8" t="s">
        <v>203</v>
      </c>
      <c r="P1108" s="8" t="s">
        <v>2102</v>
      </c>
    </row>
    <row r="1109" spans="1:16" ht="25" customHeight="1">
      <c r="A1109" s="12">
        <v>59</v>
      </c>
      <c r="B1109" s="8">
        <v>1</v>
      </c>
      <c r="C1109" s="8" t="s">
        <v>52</v>
      </c>
      <c r="D1109" s="8">
        <v>10</v>
      </c>
      <c r="E1109" s="8" t="s">
        <v>1965</v>
      </c>
      <c r="F1109" s="8">
        <v>3</v>
      </c>
      <c r="G1109" s="8" t="s">
        <v>428</v>
      </c>
      <c r="H1109" s="8" t="s">
        <v>2089</v>
      </c>
      <c r="I1109" s="8" t="s">
        <v>1965</v>
      </c>
      <c r="J1109" s="8">
        <v>1</v>
      </c>
      <c r="K1109" s="8">
        <v>0</v>
      </c>
      <c r="L1109" s="8">
        <v>12</v>
      </c>
      <c r="M1109" s="8" t="s">
        <v>1964</v>
      </c>
      <c r="N1109" s="8" t="s">
        <v>716</v>
      </c>
      <c r="O1109" s="8" t="s">
        <v>203</v>
      </c>
      <c r="P1109" s="8" t="s">
        <v>2102</v>
      </c>
    </row>
    <row r="1110" spans="1:16" ht="25" customHeight="1">
      <c r="A1110" s="12">
        <v>60</v>
      </c>
      <c r="B1110" s="8">
        <v>1</v>
      </c>
      <c r="C1110" s="8" t="s">
        <v>69</v>
      </c>
      <c r="D1110" s="8">
        <v>10</v>
      </c>
      <c r="E1110" s="8" t="s">
        <v>1965</v>
      </c>
      <c r="F1110" s="8">
        <v>2</v>
      </c>
      <c r="G1110" s="8" t="s">
        <v>477</v>
      </c>
      <c r="H1110" s="8" t="s">
        <v>2089</v>
      </c>
      <c r="I1110" s="8" t="s">
        <v>1965</v>
      </c>
      <c r="J1110" s="8">
        <v>1</v>
      </c>
      <c r="K1110" s="8">
        <v>0</v>
      </c>
      <c r="L1110" s="8">
        <v>11</v>
      </c>
      <c r="M1110" s="8" t="s">
        <v>1967</v>
      </c>
      <c r="N1110" s="8" t="s">
        <v>716</v>
      </c>
      <c r="O1110" s="8" t="s">
        <v>206</v>
      </c>
      <c r="P1110" s="8" t="s">
        <v>2104</v>
      </c>
    </row>
    <row r="1111" spans="1:16" ht="25" customHeight="1">
      <c r="A1111" s="12">
        <v>61</v>
      </c>
      <c r="B1111" s="8">
        <v>1</v>
      </c>
      <c r="C1111" s="8" t="s">
        <v>69</v>
      </c>
      <c r="D1111" s="8">
        <v>10</v>
      </c>
      <c r="E1111" s="8" t="s">
        <v>1965</v>
      </c>
      <c r="F1111" s="8">
        <v>0</v>
      </c>
      <c r="G1111" s="8" t="s">
        <v>428</v>
      </c>
      <c r="H1111" s="8" t="s">
        <v>2089</v>
      </c>
      <c r="I1111" s="8" t="s">
        <v>1965</v>
      </c>
      <c r="J1111" s="8">
        <v>1</v>
      </c>
      <c r="K1111" s="8">
        <v>0</v>
      </c>
      <c r="L1111" s="8" t="s">
        <v>132</v>
      </c>
      <c r="M1111" s="8" t="s">
        <v>206</v>
      </c>
      <c r="N1111" s="8" t="s">
        <v>716</v>
      </c>
      <c r="O1111" s="8" t="s">
        <v>206</v>
      </c>
      <c r="P1111" s="8" t="s">
        <v>2097</v>
      </c>
    </row>
    <row r="1112" spans="1:16" ht="25" customHeight="1">
      <c r="A1112" s="12">
        <v>62</v>
      </c>
      <c r="B1112" s="8">
        <v>1</v>
      </c>
      <c r="C1112" s="8" t="s">
        <v>69</v>
      </c>
      <c r="D1112" s="8">
        <v>10</v>
      </c>
      <c r="E1112" s="8" t="s">
        <v>1974</v>
      </c>
      <c r="F1112" s="8">
        <v>0</v>
      </c>
      <c r="G1112" s="8" t="s">
        <v>449</v>
      </c>
      <c r="H1112" s="8" t="s">
        <v>2089</v>
      </c>
      <c r="I1112" s="8" t="s">
        <v>2094</v>
      </c>
      <c r="J1112" s="8">
        <v>1</v>
      </c>
      <c r="K1112" s="8">
        <v>0</v>
      </c>
      <c r="L1112" s="8">
        <v>11</v>
      </c>
      <c r="M1112" s="8" t="s">
        <v>1964</v>
      </c>
      <c r="N1112" s="8" t="s">
        <v>716</v>
      </c>
      <c r="O1112" s="8" t="s">
        <v>203</v>
      </c>
      <c r="P1112" s="8" t="s">
        <v>2090</v>
      </c>
    </row>
    <row r="1113" spans="1:16" ht="25" customHeight="1">
      <c r="A1113" s="12">
        <v>63</v>
      </c>
      <c r="B1113" s="8">
        <v>1</v>
      </c>
      <c r="C1113" s="8" t="s">
        <v>27</v>
      </c>
      <c r="D1113" s="8">
        <v>1</v>
      </c>
      <c r="E1113" s="8" t="s">
        <v>1971</v>
      </c>
      <c r="F1113" s="8">
        <v>1</v>
      </c>
      <c r="G1113" s="8" t="s">
        <v>428</v>
      </c>
      <c r="H1113" s="8" t="s">
        <v>2089</v>
      </c>
      <c r="I1113" s="8" t="s">
        <v>2068</v>
      </c>
      <c r="J1113" s="8">
        <v>0</v>
      </c>
      <c r="K1113" s="8">
        <v>0</v>
      </c>
      <c r="L1113" s="8">
        <v>11</v>
      </c>
      <c r="M1113" s="8" t="s">
        <v>1964</v>
      </c>
      <c r="N1113" s="8" t="s">
        <v>706</v>
      </c>
      <c r="O1113" s="8" t="s">
        <v>203</v>
      </c>
      <c r="P1113" s="8" t="s">
        <v>2090</v>
      </c>
    </row>
    <row r="1114" spans="1:16" ht="25" customHeight="1">
      <c r="A1114" s="12">
        <v>64</v>
      </c>
      <c r="B1114" s="8">
        <v>1</v>
      </c>
      <c r="C1114" s="8" t="s">
        <v>46</v>
      </c>
      <c r="D1114" s="8">
        <v>15</v>
      </c>
      <c r="E1114" s="8" t="s">
        <v>2112</v>
      </c>
      <c r="F1114" s="8">
        <v>-2</v>
      </c>
      <c r="H1114" s="8" t="s">
        <v>2109</v>
      </c>
      <c r="I1114" s="8" t="s">
        <v>2110</v>
      </c>
      <c r="L1114" s="8" t="s">
        <v>132</v>
      </c>
      <c r="N1114" s="8" t="s">
        <v>720</v>
      </c>
    </row>
    <row r="1115" spans="1:16" ht="25" customHeight="1">
      <c r="A1115" s="12">
        <v>65</v>
      </c>
      <c r="B1115" s="8">
        <v>1</v>
      </c>
      <c r="C1115" s="8" t="s">
        <v>46</v>
      </c>
      <c r="D1115" s="8">
        <v>10</v>
      </c>
      <c r="E1115" s="8" t="s">
        <v>1965</v>
      </c>
      <c r="F1115" s="8">
        <v>0</v>
      </c>
      <c r="G1115" s="8" t="s">
        <v>428</v>
      </c>
      <c r="H1115" s="8" t="s">
        <v>2089</v>
      </c>
      <c r="I1115" s="8" t="s">
        <v>1965</v>
      </c>
      <c r="J1115" s="8">
        <v>1</v>
      </c>
      <c r="K1115" s="8">
        <v>0</v>
      </c>
      <c r="L1115" s="8">
        <v>11</v>
      </c>
      <c r="M1115" s="8" t="s">
        <v>1964</v>
      </c>
      <c r="N1115" s="8" t="s">
        <v>716</v>
      </c>
      <c r="O1115" s="8" t="s">
        <v>203</v>
      </c>
      <c r="P1115" s="8" t="s">
        <v>2090</v>
      </c>
    </row>
    <row r="1116" spans="1:16" ht="25" customHeight="1">
      <c r="A1116" s="12">
        <v>66</v>
      </c>
      <c r="B1116" s="8">
        <v>1</v>
      </c>
      <c r="C1116" s="8" t="s">
        <v>46</v>
      </c>
      <c r="D1116" s="8">
        <v>10</v>
      </c>
      <c r="E1116" s="8" t="s">
        <v>1977</v>
      </c>
      <c r="F1116" s="8">
        <v>-4</v>
      </c>
      <c r="G1116" s="8" t="s">
        <v>449</v>
      </c>
      <c r="H1116" s="8" t="s">
        <v>2089</v>
      </c>
      <c r="I1116" s="8" t="s">
        <v>2094</v>
      </c>
      <c r="J1116" s="8">
        <v>1</v>
      </c>
      <c r="K1116" s="8">
        <v>0</v>
      </c>
      <c r="L1116" s="8">
        <v>11</v>
      </c>
      <c r="M1116" s="8" t="s">
        <v>1979</v>
      </c>
      <c r="N1116" s="8" t="s">
        <v>716</v>
      </c>
      <c r="O1116" s="8" t="s">
        <v>222</v>
      </c>
      <c r="P1116" s="8" t="s">
        <v>2095</v>
      </c>
    </row>
    <row r="1117" spans="1:16" ht="25" customHeight="1">
      <c r="A1117" s="12">
        <v>67</v>
      </c>
      <c r="B1117" s="8">
        <v>1</v>
      </c>
      <c r="C1117" s="8" t="s">
        <v>48</v>
      </c>
      <c r="D1117" s="8">
        <v>10</v>
      </c>
      <c r="E1117" s="8" t="s">
        <v>1963</v>
      </c>
      <c r="F1117" s="8">
        <v>6</v>
      </c>
      <c r="G1117" s="8" t="s">
        <v>446</v>
      </c>
      <c r="H1117" s="8" t="s">
        <v>2089</v>
      </c>
      <c r="I1117" s="8" t="s">
        <v>2094</v>
      </c>
      <c r="J1117" s="8">
        <v>1</v>
      </c>
      <c r="K1117" s="8">
        <v>0</v>
      </c>
      <c r="L1117" s="8">
        <v>11</v>
      </c>
      <c r="M1117" s="8" t="s">
        <v>1964</v>
      </c>
      <c r="N1117" s="8" t="s">
        <v>716</v>
      </c>
      <c r="O1117" s="8" t="s">
        <v>203</v>
      </c>
      <c r="P1117" s="8" t="s">
        <v>2090</v>
      </c>
    </row>
    <row r="1118" spans="1:16" ht="25" customHeight="1">
      <c r="A1118" s="12">
        <v>68</v>
      </c>
      <c r="B1118" s="8">
        <v>1</v>
      </c>
      <c r="C1118" s="8" t="s">
        <v>34</v>
      </c>
      <c r="D1118" s="8">
        <v>10</v>
      </c>
      <c r="E1118" s="8" t="s">
        <v>1971</v>
      </c>
      <c r="F1118" s="8">
        <v>52</v>
      </c>
      <c r="G1118" s="8" t="s">
        <v>428</v>
      </c>
      <c r="H1118" s="8" t="s">
        <v>2089</v>
      </c>
      <c r="I1118" s="8" t="s">
        <v>2068</v>
      </c>
      <c r="J1118" s="8">
        <v>0</v>
      </c>
      <c r="K1118" s="8">
        <v>1</v>
      </c>
      <c r="L1118" s="8">
        <v>11</v>
      </c>
      <c r="M1118" s="8" t="s">
        <v>1967</v>
      </c>
      <c r="N1118" s="8" t="s">
        <v>716</v>
      </c>
      <c r="O1118" s="8" t="s">
        <v>206</v>
      </c>
      <c r="P1118" s="8" t="s">
        <v>2104</v>
      </c>
    </row>
    <row r="1119" spans="1:16" ht="25" customHeight="1">
      <c r="A1119" s="12">
        <v>69</v>
      </c>
      <c r="B1119" s="8">
        <v>1</v>
      </c>
      <c r="C1119" s="8" t="s">
        <v>34</v>
      </c>
      <c r="D1119" s="8">
        <v>23</v>
      </c>
      <c r="E1119" s="8" t="s">
        <v>1965</v>
      </c>
      <c r="F1119" s="8">
        <v>3</v>
      </c>
      <c r="G1119" s="8" t="s">
        <v>438</v>
      </c>
      <c r="H1119" s="8" t="s">
        <v>2089</v>
      </c>
      <c r="I1119" s="8" t="s">
        <v>1965</v>
      </c>
      <c r="J1119" s="8">
        <v>1</v>
      </c>
      <c r="K1119" s="8">
        <v>0</v>
      </c>
      <c r="L1119" s="8">
        <v>11</v>
      </c>
      <c r="M1119" s="8" t="s">
        <v>1967</v>
      </c>
      <c r="N1119" s="8" t="s">
        <v>720</v>
      </c>
      <c r="O1119" s="8" t="s">
        <v>206</v>
      </c>
      <c r="P1119" s="8" t="s">
        <v>2104</v>
      </c>
    </row>
    <row r="1120" spans="1:16" ht="25" customHeight="1">
      <c r="A1120" s="12">
        <v>70</v>
      </c>
      <c r="B1120" s="8">
        <v>1</v>
      </c>
      <c r="C1120" s="8" t="s">
        <v>34</v>
      </c>
      <c r="D1120" s="8">
        <v>10</v>
      </c>
      <c r="E1120" s="8" t="s">
        <v>1965</v>
      </c>
      <c r="F1120" s="8">
        <v>9</v>
      </c>
      <c r="G1120" s="8" t="s">
        <v>465</v>
      </c>
      <c r="H1120" s="8" t="s">
        <v>2089</v>
      </c>
      <c r="I1120" s="8" t="s">
        <v>1965</v>
      </c>
      <c r="J1120" s="8">
        <v>0</v>
      </c>
      <c r="K1120" s="8">
        <v>0</v>
      </c>
      <c r="L1120" s="8">
        <v>11</v>
      </c>
      <c r="M1120" s="8" t="s">
        <v>1961</v>
      </c>
      <c r="N1120" s="8" t="s">
        <v>716</v>
      </c>
      <c r="O1120" s="8" t="s">
        <v>206</v>
      </c>
      <c r="P1120" s="8" t="s">
        <v>2104</v>
      </c>
    </row>
    <row r="1121" spans="1:16" ht="25" customHeight="1">
      <c r="A1121" s="12">
        <v>71</v>
      </c>
      <c r="B1121" s="8">
        <v>1</v>
      </c>
      <c r="C1121" s="8" t="s">
        <v>56</v>
      </c>
      <c r="D1121" s="8">
        <v>10</v>
      </c>
      <c r="E1121" s="8" t="s">
        <v>1965</v>
      </c>
      <c r="F1121" s="8">
        <v>4</v>
      </c>
      <c r="G1121" s="8" t="s">
        <v>428</v>
      </c>
      <c r="H1121" s="8" t="s">
        <v>2089</v>
      </c>
      <c r="I1121" s="8" t="s">
        <v>1965</v>
      </c>
      <c r="J1121" s="8">
        <v>0</v>
      </c>
      <c r="K1121" s="8">
        <v>0</v>
      </c>
      <c r="L1121" s="8" t="s">
        <v>132</v>
      </c>
      <c r="M1121" s="8" t="s">
        <v>1964</v>
      </c>
      <c r="N1121" s="8" t="s">
        <v>716</v>
      </c>
      <c r="O1121" s="8" t="s">
        <v>203</v>
      </c>
      <c r="P1121" s="8" t="s">
        <v>2095</v>
      </c>
    </row>
    <row r="1122" spans="1:16" ht="25" customHeight="1">
      <c r="A1122" s="12">
        <v>72</v>
      </c>
      <c r="B1122" s="8">
        <v>1</v>
      </c>
      <c r="C1122" s="8" t="s">
        <v>61</v>
      </c>
      <c r="D1122" s="8">
        <v>10</v>
      </c>
      <c r="E1122" s="8" t="s">
        <v>1974</v>
      </c>
      <c r="F1122" s="8">
        <v>0</v>
      </c>
      <c r="G1122" s="8" t="s">
        <v>449</v>
      </c>
      <c r="H1122" s="8" t="s">
        <v>2089</v>
      </c>
      <c r="I1122" s="8" t="s">
        <v>2094</v>
      </c>
      <c r="J1122" s="8">
        <v>1</v>
      </c>
      <c r="K1122" s="8">
        <v>0</v>
      </c>
      <c r="L1122" s="8">
        <v>11</v>
      </c>
      <c r="M1122" s="8" t="s">
        <v>1964</v>
      </c>
      <c r="N1122" s="8" t="s">
        <v>716</v>
      </c>
      <c r="O1122" s="8" t="s">
        <v>203</v>
      </c>
      <c r="P1122" s="8" t="s">
        <v>2090</v>
      </c>
    </row>
    <row r="1123" spans="1:16" ht="25" customHeight="1">
      <c r="A1123" s="12">
        <v>73</v>
      </c>
      <c r="B1123" s="8">
        <v>1</v>
      </c>
      <c r="C1123" s="8" t="s">
        <v>61</v>
      </c>
      <c r="D1123" s="8">
        <v>10</v>
      </c>
      <c r="E1123" s="8" t="s">
        <v>1965</v>
      </c>
      <c r="F1123" s="8">
        <v>3</v>
      </c>
      <c r="G1123" s="8" t="s">
        <v>457</v>
      </c>
      <c r="H1123" s="8" t="s">
        <v>2089</v>
      </c>
      <c r="I1123" s="8" t="s">
        <v>1965</v>
      </c>
      <c r="J1123" s="8">
        <v>1</v>
      </c>
      <c r="K1123" s="8">
        <v>0</v>
      </c>
      <c r="L1123" s="8">
        <v>11</v>
      </c>
      <c r="M1123" s="8" t="s">
        <v>1961</v>
      </c>
      <c r="N1123" s="8" t="s">
        <v>716</v>
      </c>
      <c r="O1123" s="8" t="s">
        <v>206</v>
      </c>
      <c r="P1123" s="8" t="s">
        <v>2104</v>
      </c>
    </row>
    <row r="1124" spans="1:16" ht="25" customHeight="1">
      <c r="A1124" s="12">
        <v>74</v>
      </c>
      <c r="B1124" s="8">
        <v>1</v>
      </c>
      <c r="C1124" s="8" t="s">
        <v>66</v>
      </c>
      <c r="D1124" s="8">
        <v>10</v>
      </c>
      <c r="E1124" s="8" t="s">
        <v>1963</v>
      </c>
      <c r="F1124" s="8">
        <v>4</v>
      </c>
      <c r="G1124" s="8" t="s">
        <v>471</v>
      </c>
      <c r="H1124" s="8" t="s">
        <v>2089</v>
      </c>
      <c r="I1124" s="8" t="s">
        <v>2094</v>
      </c>
      <c r="J1124" s="8">
        <v>1</v>
      </c>
      <c r="K1124" s="8">
        <v>0</v>
      </c>
      <c r="L1124" s="8">
        <v>11</v>
      </c>
      <c r="M1124" s="8" t="s">
        <v>1967</v>
      </c>
      <c r="N1124" s="8" t="s">
        <v>716</v>
      </c>
      <c r="O1124" s="8" t="s">
        <v>206</v>
      </c>
      <c r="P1124" s="8" t="s">
        <v>2104</v>
      </c>
    </row>
    <row r="1125" spans="1:16" ht="25" customHeight="1">
      <c r="A1125" s="12">
        <v>75</v>
      </c>
      <c r="B1125" s="8">
        <v>1</v>
      </c>
      <c r="C1125" s="8" t="s">
        <v>66</v>
      </c>
      <c r="D1125" s="8">
        <v>10</v>
      </c>
      <c r="E1125" s="8" t="s">
        <v>1963</v>
      </c>
      <c r="F1125" s="8">
        <v>23</v>
      </c>
      <c r="G1125" s="8" t="s">
        <v>449</v>
      </c>
      <c r="H1125" s="8" t="s">
        <v>2089</v>
      </c>
      <c r="I1125" s="8" t="s">
        <v>2094</v>
      </c>
      <c r="J1125" s="8">
        <v>0</v>
      </c>
      <c r="K1125" s="8">
        <v>1</v>
      </c>
      <c r="L1125" s="8">
        <v>11</v>
      </c>
      <c r="M1125" s="8" t="s">
        <v>1967</v>
      </c>
      <c r="N1125" s="8" t="s">
        <v>716</v>
      </c>
      <c r="O1125" s="8" t="s">
        <v>206</v>
      </c>
      <c r="P1125" s="8" t="s">
        <v>2104</v>
      </c>
    </row>
    <row r="1126" spans="1:16" ht="25" customHeight="1">
      <c r="A1126" s="12">
        <v>76</v>
      </c>
      <c r="B1126" s="8">
        <v>1</v>
      </c>
      <c r="C1126" s="8" t="s">
        <v>66</v>
      </c>
      <c r="D1126" s="8">
        <v>10</v>
      </c>
      <c r="E1126" s="8" t="s">
        <v>1965</v>
      </c>
      <c r="F1126" s="8">
        <v>3</v>
      </c>
      <c r="G1126" s="8" t="s">
        <v>428</v>
      </c>
      <c r="H1126" s="8" t="s">
        <v>2089</v>
      </c>
      <c r="I1126" s="8" t="s">
        <v>1965</v>
      </c>
      <c r="J1126" s="8">
        <v>1</v>
      </c>
      <c r="K1126" s="8">
        <v>0</v>
      </c>
      <c r="L1126" s="8">
        <v>11</v>
      </c>
      <c r="M1126" s="8" t="s">
        <v>1961</v>
      </c>
      <c r="N1126" s="8" t="s">
        <v>716</v>
      </c>
      <c r="O1126" s="8" t="s">
        <v>206</v>
      </c>
      <c r="P1126" s="8" t="s">
        <v>2104</v>
      </c>
    </row>
    <row r="1127" spans="1:16" ht="25" customHeight="1">
      <c r="A1127" s="12">
        <v>77</v>
      </c>
      <c r="B1127" s="8">
        <v>1</v>
      </c>
      <c r="C1127" s="8" t="s">
        <v>42</v>
      </c>
      <c r="D1127" s="8">
        <v>10</v>
      </c>
      <c r="E1127" s="8" t="s">
        <v>1963</v>
      </c>
      <c r="F1127" s="8">
        <v>14</v>
      </c>
      <c r="G1127" s="8" t="s">
        <v>446</v>
      </c>
      <c r="H1127" s="8" t="s">
        <v>2089</v>
      </c>
      <c r="I1127" s="8" t="s">
        <v>2094</v>
      </c>
      <c r="J1127" s="8">
        <v>0</v>
      </c>
      <c r="K1127" s="8">
        <v>0</v>
      </c>
      <c r="L1127" s="8">
        <v>11</v>
      </c>
      <c r="M1127" s="8" t="s">
        <v>1961</v>
      </c>
      <c r="N1127" s="8" t="s">
        <v>716</v>
      </c>
      <c r="O1127" s="8" t="s">
        <v>206</v>
      </c>
      <c r="P1127" s="8" t="s">
        <v>2104</v>
      </c>
    </row>
    <row r="1128" spans="1:16" ht="25" customHeight="1">
      <c r="A1128" s="12">
        <v>78</v>
      </c>
      <c r="B1128" s="8">
        <v>1</v>
      </c>
      <c r="C1128" s="8" t="s">
        <v>32</v>
      </c>
      <c r="D1128" s="8">
        <v>15</v>
      </c>
      <c r="E1128" s="8" t="s">
        <v>1965</v>
      </c>
      <c r="F1128" s="8">
        <v>2</v>
      </c>
      <c r="G1128" s="8" t="s">
        <v>432</v>
      </c>
      <c r="H1128" s="8" t="s">
        <v>2089</v>
      </c>
      <c r="I1128" s="8" t="s">
        <v>1965</v>
      </c>
      <c r="J1128" s="8">
        <v>1</v>
      </c>
      <c r="K1128" s="8">
        <v>0</v>
      </c>
      <c r="L1128" s="8">
        <v>11</v>
      </c>
      <c r="M1128" s="8" t="s">
        <v>1964</v>
      </c>
      <c r="N1128" s="8" t="s">
        <v>720</v>
      </c>
      <c r="O1128" s="8" t="s">
        <v>203</v>
      </c>
      <c r="P1128" s="8" t="s">
        <v>2090</v>
      </c>
    </row>
    <row r="1129" spans="1:16" ht="25" customHeight="1">
      <c r="A1129" s="12">
        <v>79</v>
      </c>
      <c r="B1129" s="8">
        <v>1</v>
      </c>
      <c r="C1129" s="8" t="s">
        <v>51</v>
      </c>
      <c r="D1129" s="8">
        <v>9</v>
      </c>
      <c r="E1129" s="8" t="s">
        <v>1963</v>
      </c>
      <c r="F1129" s="8">
        <v>0</v>
      </c>
      <c r="G1129" s="8" t="s">
        <v>480</v>
      </c>
      <c r="H1129" s="8" t="s">
        <v>2089</v>
      </c>
      <c r="I1129" s="8" t="s">
        <v>2094</v>
      </c>
      <c r="J1129" s="8">
        <v>1</v>
      </c>
      <c r="K1129" s="8">
        <v>0</v>
      </c>
      <c r="L1129" s="8">
        <v>12</v>
      </c>
      <c r="M1129" s="8" t="s">
        <v>1961</v>
      </c>
      <c r="N1129" s="8" t="s">
        <v>716</v>
      </c>
      <c r="O1129" s="8" t="s">
        <v>206</v>
      </c>
      <c r="P1129" s="8" t="s">
        <v>2099</v>
      </c>
    </row>
    <row r="1130" spans="1:16" ht="25" customHeight="1">
      <c r="A1130" s="12">
        <v>80</v>
      </c>
      <c r="B1130" s="8">
        <v>1</v>
      </c>
      <c r="C1130" s="8" t="s">
        <v>51</v>
      </c>
      <c r="D1130" s="8">
        <v>10</v>
      </c>
      <c r="E1130" s="8" t="s">
        <v>1974</v>
      </c>
      <c r="F1130" s="8">
        <v>0</v>
      </c>
      <c r="G1130" s="8" t="s">
        <v>471</v>
      </c>
      <c r="H1130" s="8" t="s">
        <v>2089</v>
      </c>
      <c r="I1130" s="8" t="s">
        <v>2094</v>
      </c>
      <c r="J1130" s="8">
        <v>1</v>
      </c>
      <c r="K1130" s="8">
        <v>0</v>
      </c>
      <c r="L1130" s="8">
        <v>12</v>
      </c>
      <c r="M1130" s="8" t="s">
        <v>1964</v>
      </c>
      <c r="N1130" s="8" t="s">
        <v>716</v>
      </c>
      <c r="O1130" s="8" t="s">
        <v>203</v>
      </c>
      <c r="P1130" s="8" t="s">
        <v>2102</v>
      </c>
    </row>
    <row r="1131" spans="1:16" ht="25" customHeight="1">
      <c r="A1131" s="12">
        <v>81</v>
      </c>
      <c r="B1131" s="8">
        <v>1</v>
      </c>
      <c r="C1131" s="8" t="s">
        <v>65</v>
      </c>
      <c r="D1131" s="8">
        <v>10</v>
      </c>
      <c r="E1131" s="8" t="s">
        <v>1974</v>
      </c>
      <c r="F1131" s="8">
        <v>0</v>
      </c>
      <c r="G1131" s="8" t="s">
        <v>446</v>
      </c>
      <c r="H1131" s="8" t="s">
        <v>2089</v>
      </c>
      <c r="I1131" s="8" t="s">
        <v>2094</v>
      </c>
      <c r="J1131" s="8">
        <v>1</v>
      </c>
      <c r="K1131" s="8">
        <v>0</v>
      </c>
      <c r="L1131" s="8">
        <v>11</v>
      </c>
      <c r="M1131" s="8" t="s">
        <v>1964</v>
      </c>
      <c r="N1131" s="8" t="s">
        <v>716</v>
      </c>
      <c r="O1131" s="8" t="s">
        <v>203</v>
      </c>
      <c r="P1131" s="8" t="s">
        <v>2090</v>
      </c>
    </row>
    <row r="1132" spans="1:16" ht="25" customHeight="1">
      <c r="A1132" s="12">
        <v>82</v>
      </c>
      <c r="B1132" s="8">
        <v>1</v>
      </c>
      <c r="C1132" s="8" t="s">
        <v>43</v>
      </c>
      <c r="D1132" s="8">
        <v>10</v>
      </c>
      <c r="E1132" s="8" t="s">
        <v>1965</v>
      </c>
      <c r="F1132" s="8">
        <v>-5</v>
      </c>
      <c r="G1132" s="8" t="s">
        <v>428</v>
      </c>
      <c r="H1132" s="8" t="s">
        <v>2089</v>
      </c>
      <c r="I1132" s="8" t="s">
        <v>1965</v>
      </c>
      <c r="J1132" s="8">
        <v>1</v>
      </c>
      <c r="K1132" s="8">
        <v>0</v>
      </c>
      <c r="L1132" s="8">
        <v>11</v>
      </c>
      <c r="M1132" s="8" t="s">
        <v>1967</v>
      </c>
      <c r="N1132" s="8" t="s">
        <v>716</v>
      </c>
      <c r="O1132" s="8" t="s">
        <v>206</v>
      </c>
      <c r="P1132" s="8" t="s">
        <v>2104</v>
      </c>
    </row>
    <row r="1133" spans="1:16" ht="25" customHeight="1">
      <c r="A1133" s="12">
        <v>83</v>
      </c>
      <c r="B1133" s="8">
        <v>1</v>
      </c>
      <c r="C1133" s="8" t="s">
        <v>43</v>
      </c>
      <c r="D1133" s="8">
        <v>10</v>
      </c>
      <c r="E1133" s="8" t="s">
        <v>1963</v>
      </c>
      <c r="F1133" s="8">
        <v>6</v>
      </c>
      <c r="G1133" s="8" t="s">
        <v>468</v>
      </c>
      <c r="H1133" s="8" t="s">
        <v>2089</v>
      </c>
      <c r="I1133" s="8" t="s">
        <v>2094</v>
      </c>
      <c r="J1133" s="8">
        <v>1</v>
      </c>
      <c r="K1133" s="8">
        <v>0</v>
      </c>
      <c r="L1133" s="8">
        <v>11</v>
      </c>
      <c r="M1133" s="8" t="s">
        <v>1967</v>
      </c>
      <c r="N1133" s="8" t="s">
        <v>716</v>
      </c>
      <c r="O1133" s="8" t="s">
        <v>206</v>
      </c>
      <c r="P1133" s="8" t="s">
        <v>2104</v>
      </c>
    </row>
    <row r="1134" spans="1:16" ht="25" customHeight="1">
      <c r="A1134" s="12">
        <v>84</v>
      </c>
      <c r="B1134" s="8">
        <v>1</v>
      </c>
      <c r="C1134" s="8" t="s">
        <v>49</v>
      </c>
      <c r="D1134" s="8">
        <v>10</v>
      </c>
      <c r="E1134" s="8" t="s">
        <v>1974</v>
      </c>
      <c r="F1134" s="8">
        <v>0</v>
      </c>
      <c r="G1134" s="8" t="s">
        <v>449</v>
      </c>
      <c r="H1134" s="8" t="s">
        <v>2089</v>
      </c>
      <c r="I1134" s="8" t="s">
        <v>2094</v>
      </c>
      <c r="J1134" s="8">
        <v>1</v>
      </c>
      <c r="K1134" s="8">
        <v>0</v>
      </c>
      <c r="L1134" s="8">
        <v>11</v>
      </c>
      <c r="M1134" s="8" t="s">
        <v>1967</v>
      </c>
      <c r="N1134" s="8" t="s">
        <v>716</v>
      </c>
      <c r="O1134" s="8" t="s">
        <v>206</v>
      </c>
      <c r="P1134" s="8" t="s">
        <v>2104</v>
      </c>
    </row>
    <row r="1135" spans="1:16" ht="25" customHeight="1">
      <c r="A1135" s="12">
        <v>85</v>
      </c>
      <c r="B1135" s="8">
        <v>1</v>
      </c>
      <c r="C1135" s="8" t="s">
        <v>30</v>
      </c>
      <c r="D1135" s="8">
        <v>2</v>
      </c>
      <c r="E1135" s="8" t="s">
        <v>1965</v>
      </c>
      <c r="F1135" s="8">
        <v>1</v>
      </c>
      <c r="G1135" s="8" t="s">
        <v>428</v>
      </c>
      <c r="H1135" s="8" t="s">
        <v>2089</v>
      </c>
      <c r="I1135" s="8" t="s">
        <v>1965</v>
      </c>
      <c r="J1135" s="8">
        <v>1</v>
      </c>
      <c r="K1135" s="8">
        <v>0</v>
      </c>
      <c r="L1135" s="8">
        <v>12</v>
      </c>
      <c r="M1135" s="8" t="s">
        <v>1964</v>
      </c>
      <c r="N1135" s="8" t="s">
        <v>706</v>
      </c>
      <c r="O1135" s="8" t="s">
        <v>203</v>
      </c>
      <c r="P1135" s="8" t="s">
        <v>2102</v>
      </c>
    </row>
    <row r="1136" spans="1:16" ht="25" customHeight="1">
      <c r="A1136" s="12">
        <v>86</v>
      </c>
      <c r="B1136" s="8">
        <v>1</v>
      </c>
      <c r="C1136" s="8" t="s">
        <v>54</v>
      </c>
      <c r="D1136" s="8">
        <v>10</v>
      </c>
      <c r="E1136" s="8" t="s">
        <v>1963</v>
      </c>
      <c r="F1136" s="8">
        <v>3</v>
      </c>
      <c r="G1136" s="8" t="s">
        <v>474</v>
      </c>
      <c r="H1136" s="8" t="s">
        <v>2089</v>
      </c>
      <c r="I1136" s="8" t="s">
        <v>2094</v>
      </c>
      <c r="J1136" s="8">
        <v>1</v>
      </c>
      <c r="K1136" s="8">
        <v>0</v>
      </c>
      <c r="L1136" s="8">
        <v>11</v>
      </c>
      <c r="M1136" s="8" t="s">
        <v>1964</v>
      </c>
      <c r="N1136" s="8" t="s">
        <v>716</v>
      </c>
      <c r="O1136" s="8" t="s">
        <v>203</v>
      </c>
      <c r="P1136" s="8" t="s">
        <v>2090</v>
      </c>
    </row>
    <row r="1137" spans="1:16" ht="25" customHeight="1">
      <c r="A1137" s="12">
        <v>87</v>
      </c>
      <c r="B1137" s="8">
        <v>1</v>
      </c>
      <c r="C1137" s="8" t="s">
        <v>58</v>
      </c>
      <c r="D1137" s="8">
        <v>10</v>
      </c>
      <c r="E1137" s="8" t="s">
        <v>1974</v>
      </c>
      <c r="F1137" s="8">
        <v>0</v>
      </c>
      <c r="G1137" s="8" t="s">
        <v>449</v>
      </c>
      <c r="H1137" s="8" t="s">
        <v>2089</v>
      </c>
      <c r="I1137" s="8" t="s">
        <v>2094</v>
      </c>
      <c r="J1137" s="8">
        <v>1</v>
      </c>
      <c r="K1137" s="8">
        <v>0</v>
      </c>
      <c r="L1137" s="8">
        <v>11</v>
      </c>
      <c r="M1137" s="8" t="s">
        <v>1967</v>
      </c>
      <c r="N1137" s="8" t="s">
        <v>716</v>
      </c>
      <c r="O1137" s="8" t="s">
        <v>206</v>
      </c>
      <c r="P1137" s="8" t="s">
        <v>2104</v>
      </c>
    </row>
    <row r="1138" spans="1:16" ht="25" customHeight="1">
      <c r="A1138" s="12">
        <v>88</v>
      </c>
      <c r="B1138" s="8">
        <v>1</v>
      </c>
      <c r="C1138" s="8" t="s">
        <v>58</v>
      </c>
      <c r="D1138" s="8">
        <v>10</v>
      </c>
      <c r="E1138" s="8" t="s">
        <v>1974</v>
      </c>
      <c r="F1138" s="8">
        <v>0</v>
      </c>
      <c r="G1138" s="8" t="s">
        <v>449</v>
      </c>
      <c r="H1138" s="8" t="s">
        <v>2089</v>
      </c>
      <c r="I1138" s="8" t="s">
        <v>2094</v>
      </c>
      <c r="J1138" s="8">
        <v>1</v>
      </c>
      <c r="K1138" s="8">
        <v>0</v>
      </c>
      <c r="L1138" s="8">
        <v>11</v>
      </c>
      <c r="M1138" s="8" t="s">
        <v>1964</v>
      </c>
      <c r="N1138" s="8" t="s">
        <v>716</v>
      </c>
      <c r="O1138" s="8" t="s">
        <v>203</v>
      </c>
      <c r="P1138" s="8" t="s">
        <v>2090</v>
      </c>
    </row>
    <row r="1139" spans="1:16" ht="25" customHeight="1">
      <c r="A1139" s="12">
        <v>89</v>
      </c>
      <c r="B1139" s="8">
        <v>1</v>
      </c>
      <c r="C1139" s="8" t="s">
        <v>58</v>
      </c>
      <c r="D1139" s="8">
        <v>10</v>
      </c>
      <c r="E1139" s="8" t="s">
        <v>1965</v>
      </c>
      <c r="F1139" s="8">
        <v>1</v>
      </c>
      <c r="G1139" s="8" t="s">
        <v>428</v>
      </c>
      <c r="H1139" s="8" t="s">
        <v>2089</v>
      </c>
      <c r="I1139" s="8" t="s">
        <v>1965</v>
      </c>
      <c r="J1139" s="8">
        <v>1</v>
      </c>
      <c r="K1139" s="8">
        <v>0</v>
      </c>
      <c r="L1139" s="8">
        <v>11</v>
      </c>
      <c r="M1139" s="8" t="s">
        <v>1967</v>
      </c>
      <c r="N1139" s="8" t="s">
        <v>716</v>
      </c>
      <c r="O1139" s="8" t="s">
        <v>206</v>
      </c>
      <c r="P1139" s="8" t="s">
        <v>2104</v>
      </c>
    </row>
    <row r="1140" spans="1:16" ht="25" customHeight="1">
      <c r="A1140" s="12">
        <v>90</v>
      </c>
      <c r="B1140" s="8">
        <v>1</v>
      </c>
      <c r="C1140" s="8" t="s">
        <v>62</v>
      </c>
      <c r="D1140" s="8">
        <v>10</v>
      </c>
      <c r="E1140" s="8" t="s">
        <v>1971</v>
      </c>
      <c r="F1140" s="8">
        <v>24</v>
      </c>
      <c r="G1140" s="8" t="s">
        <v>471</v>
      </c>
      <c r="H1140" s="8" t="s">
        <v>2089</v>
      </c>
      <c r="I1140" s="8" t="s">
        <v>2068</v>
      </c>
      <c r="J1140" s="8">
        <v>0</v>
      </c>
      <c r="K1140" s="8">
        <v>1</v>
      </c>
      <c r="L1140" s="8">
        <v>11</v>
      </c>
      <c r="M1140" s="8" t="s">
        <v>1967</v>
      </c>
      <c r="N1140" s="8" t="s">
        <v>716</v>
      </c>
      <c r="O1140" s="8" t="s">
        <v>206</v>
      </c>
      <c r="P1140" s="8" t="s">
        <v>2104</v>
      </c>
    </row>
    <row r="1141" spans="1:16" ht="25" customHeight="1">
      <c r="A1141" s="12">
        <v>91</v>
      </c>
      <c r="B1141" s="8">
        <v>1</v>
      </c>
      <c r="C1141" s="8" t="s">
        <v>62</v>
      </c>
      <c r="D1141" s="8">
        <v>10</v>
      </c>
      <c r="E1141" s="8" t="s">
        <v>1963</v>
      </c>
      <c r="F1141" s="8">
        <v>13</v>
      </c>
      <c r="G1141" s="8" t="s">
        <v>471</v>
      </c>
      <c r="H1141" s="8" t="s">
        <v>2089</v>
      </c>
      <c r="I1141" s="8" t="s">
        <v>2094</v>
      </c>
      <c r="J1141" s="8">
        <v>0</v>
      </c>
      <c r="K1141" s="8">
        <v>0</v>
      </c>
      <c r="L1141" s="8">
        <v>11</v>
      </c>
      <c r="M1141" s="8" t="s">
        <v>1967</v>
      </c>
      <c r="N1141" s="8" t="s">
        <v>716</v>
      </c>
      <c r="O1141" s="8" t="s">
        <v>206</v>
      </c>
      <c r="P1141" s="8" t="s">
        <v>2104</v>
      </c>
    </row>
    <row r="1142" spans="1:16" ht="25" customHeight="1">
      <c r="A1142" s="12">
        <v>92</v>
      </c>
      <c r="B1142" s="8">
        <v>1</v>
      </c>
      <c r="C1142" s="8" t="s">
        <v>37</v>
      </c>
      <c r="D1142" s="8">
        <v>5</v>
      </c>
      <c r="E1142" s="8" t="s">
        <v>1971</v>
      </c>
      <c r="F1142" s="8">
        <v>5</v>
      </c>
      <c r="G1142" s="8" t="s">
        <v>428</v>
      </c>
      <c r="H1142" s="8" t="s">
        <v>2089</v>
      </c>
      <c r="I1142" s="8" t="s">
        <v>2068</v>
      </c>
      <c r="J1142" s="8">
        <v>0</v>
      </c>
      <c r="K1142" s="8">
        <v>0</v>
      </c>
      <c r="L1142" s="8">
        <v>12</v>
      </c>
      <c r="M1142" s="8" t="s">
        <v>1969</v>
      </c>
      <c r="N1142" s="8" t="s">
        <v>711</v>
      </c>
      <c r="O1142" s="8" t="s">
        <v>215</v>
      </c>
      <c r="P1142" s="8" t="s">
        <v>2095</v>
      </c>
    </row>
    <row r="1143" spans="1:16" ht="25" customHeight="1">
      <c r="A1143" s="12">
        <v>93</v>
      </c>
      <c r="B1143" s="8">
        <v>1</v>
      </c>
      <c r="C1143" s="8" t="s">
        <v>47</v>
      </c>
      <c r="D1143" s="8">
        <v>10</v>
      </c>
      <c r="E1143" s="8" t="s">
        <v>2113</v>
      </c>
      <c r="F1143" s="8">
        <v>28</v>
      </c>
      <c r="G1143" s="8" t="s">
        <v>449</v>
      </c>
      <c r="H1143" s="8" t="s">
        <v>2089</v>
      </c>
      <c r="I1143" s="8" t="s">
        <v>2068</v>
      </c>
      <c r="J1143" s="8">
        <v>0</v>
      </c>
      <c r="K1143" s="8">
        <v>1</v>
      </c>
      <c r="L1143" s="8">
        <v>11</v>
      </c>
      <c r="M1143" s="8" t="s">
        <v>1979</v>
      </c>
      <c r="N1143" s="8" t="s">
        <v>716</v>
      </c>
      <c r="O1143" s="8" t="s">
        <v>222</v>
      </c>
      <c r="P1143" s="8" t="s">
        <v>2095</v>
      </c>
    </row>
    <row r="1144" spans="1:16" ht="25" customHeight="1">
      <c r="A1144" s="12">
        <v>94</v>
      </c>
      <c r="B1144" s="8">
        <v>1</v>
      </c>
      <c r="C1144" s="8" t="s">
        <v>47</v>
      </c>
      <c r="D1144" s="8">
        <v>10</v>
      </c>
      <c r="E1144" s="8" t="s">
        <v>1963</v>
      </c>
      <c r="F1144" s="8">
        <v>2</v>
      </c>
      <c r="G1144" s="8" t="s">
        <v>449</v>
      </c>
      <c r="H1144" s="8" t="s">
        <v>2089</v>
      </c>
      <c r="I1144" s="8" t="s">
        <v>2094</v>
      </c>
      <c r="J1144" s="8">
        <v>1</v>
      </c>
      <c r="K1144" s="8">
        <v>0</v>
      </c>
      <c r="L1144" s="8">
        <v>11</v>
      </c>
      <c r="M1144" s="8" t="s">
        <v>1964</v>
      </c>
      <c r="N1144" s="8" t="s">
        <v>716</v>
      </c>
      <c r="O1144" s="8" t="s">
        <v>203</v>
      </c>
      <c r="P1144" s="8" t="s">
        <v>2090</v>
      </c>
    </row>
    <row r="1145" spans="1:16" ht="25" customHeight="1">
      <c r="A1145" s="12">
        <v>95</v>
      </c>
      <c r="B1145" s="8">
        <v>1</v>
      </c>
      <c r="C1145" s="8" t="s">
        <v>55</v>
      </c>
      <c r="D1145" s="8">
        <v>10</v>
      </c>
      <c r="E1145" s="8" t="s">
        <v>1965</v>
      </c>
      <c r="F1145" s="8">
        <v>9</v>
      </c>
      <c r="G1145" s="8" t="s">
        <v>465</v>
      </c>
      <c r="H1145" s="8" t="s">
        <v>2089</v>
      </c>
      <c r="I1145" s="8" t="s">
        <v>1965</v>
      </c>
      <c r="J1145" s="8">
        <v>0</v>
      </c>
      <c r="K1145" s="8">
        <v>0</v>
      </c>
      <c r="L1145" s="8">
        <v>11</v>
      </c>
      <c r="M1145" s="8" t="s">
        <v>1964</v>
      </c>
      <c r="N1145" s="8" t="s">
        <v>716</v>
      </c>
      <c r="O1145" s="8" t="s">
        <v>203</v>
      </c>
      <c r="P1145" s="8" t="s">
        <v>2090</v>
      </c>
    </row>
    <row r="1146" spans="1:16" ht="25" customHeight="1">
      <c r="A1146" s="12">
        <v>96</v>
      </c>
      <c r="B1146" s="8">
        <v>1</v>
      </c>
      <c r="C1146" s="8" t="s">
        <v>64</v>
      </c>
      <c r="D1146" s="8">
        <v>10</v>
      </c>
      <c r="E1146" s="8" t="s">
        <v>1963</v>
      </c>
      <c r="F1146" s="8">
        <v>1</v>
      </c>
      <c r="G1146" s="8" t="s">
        <v>468</v>
      </c>
      <c r="H1146" s="8" t="s">
        <v>2089</v>
      </c>
      <c r="I1146" s="8" t="s">
        <v>2094</v>
      </c>
      <c r="J1146" s="8">
        <v>1</v>
      </c>
      <c r="K1146" s="8">
        <v>0</v>
      </c>
      <c r="L1146" s="8">
        <v>11</v>
      </c>
      <c r="M1146" s="8" t="s">
        <v>1961</v>
      </c>
      <c r="N1146" s="8" t="s">
        <v>716</v>
      </c>
      <c r="O1146" s="8" t="s">
        <v>206</v>
      </c>
      <c r="P1146" s="8" t="s">
        <v>2104</v>
      </c>
    </row>
    <row r="1147" spans="1:16" ht="25" customHeight="1">
      <c r="A1147" s="12">
        <v>97</v>
      </c>
      <c r="B1147" s="8">
        <v>1</v>
      </c>
      <c r="C1147" s="8" t="s">
        <v>50</v>
      </c>
      <c r="D1147" s="8">
        <v>10</v>
      </c>
      <c r="E1147" s="8" t="s">
        <v>1963</v>
      </c>
      <c r="F1147" s="8">
        <v>3</v>
      </c>
      <c r="G1147" s="8" t="s">
        <v>468</v>
      </c>
      <c r="H1147" s="8" t="s">
        <v>2089</v>
      </c>
      <c r="I1147" s="8" t="s">
        <v>2094</v>
      </c>
      <c r="J1147" s="8">
        <v>1</v>
      </c>
      <c r="K1147" s="8">
        <v>0</v>
      </c>
      <c r="L1147" s="8">
        <v>12</v>
      </c>
      <c r="M1147" s="8" t="s">
        <v>1964</v>
      </c>
      <c r="N1147" s="8" t="s">
        <v>716</v>
      </c>
      <c r="O1147" s="8" t="s">
        <v>203</v>
      </c>
      <c r="P1147" s="8" t="s">
        <v>2102</v>
      </c>
    </row>
    <row r="1148" spans="1:16" ht="25" customHeight="1">
      <c r="A1148" s="12">
        <v>98</v>
      </c>
      <c r="B1148" s="8">
        <v>1</v>
      </c>
      <c r="C1148" s="8" t="s">
        <v>57</v>
      </c>
      <c r="D1148" s="8">
        <v>10</v>
      </c>
      <c r="E1148" s="8" t="s">
        <v>1963</v>
      </c>
      <c r="F1148" s="8">
        <v>13</v>
      </c>
      <c r="G1148" s="8" t="s">
        <v>468</v>
      </c>
      <c r="H1148" s="8" t="s">
        <v>2089</v>
      </c>
      <c r="I1148" s="8" t="s">
        <v>2094</v>
      </c>
      <c r="J1148" s="8">
        <v>0</v>
      </c>
      <c r="K1148" s="8">
        <v>0</v>
      </c>
      <c r="L1148" s="8">
        <v>11</v>
      </c>
      <c r="M1148" s="8" t="s">
        <v>1967</v>
      </c>
      <c r="N1148" s="8" t="s">
        <v>716</v>
      </c>
      <c r="O1148" s="8" t="s">
        <v>206</v>
      </c>
      <c r="P1148" s="8" t="s">
        <v>2104</v>
      </c>
    </row>
    <row r="1149" spans="1:16" ht="25" customHeight="1">
      <c r="A1149" s="12">
        <v>99</v>
      </c>
      <c r="B1149" s="8">
        <v>2</v>
      </c>
      <c r="C1149" s="8" t="s">
        <v>60</v>
      </c>
      <c r="D1149" s="8">
        <v>8</v>
      </c>
      <c r="E1149" s="8" t="s">
        <v>1966</v>
      </c>
      <c r="F1149" s="8">
        <v>10</v>
      </c>
      <c r="G1149" s="8" t="s">
        <v>449</v>
      </c>
      <c r="H1149" s="8" t="s">
        <v>2089</v>
      </c>
      <c r="I1149" s="8" t="s">
        <v>2094</v>
      </c>
      <c r="J1149" s="8">
        <v>0</v>
      </c>
      <c r="K1149" s="8">
        <v>0</v>
      </c>
      <c r="L1149" s="8">
        <v>11</v>
      </c>
      <c r="M1149" s="8" t="s">
        <v>1961</v>
      </c>
      <c r="N1149" s="8" t="s">
        <v>716</v>
      </c>
      <c r="O1149" s="8" t="s">
        <v>206</v>
      </c>
      <c r="P1149" s="8" t="s">
        <v>2104</v>
      </c>
    </row>
    <row r="1150" spans="1:16" ht="25" customHeight="1">
      <c r="A1150" s="12">
        <v>100</v>
      </c>
      <c r="B1150" s="8">
        <v>2</v>
      </c>
      <c r="C1150" s="8" t="s">
        <v>60</v>
      </c>
      <c r="D1150" s="8">
        <v>2</v>
      </c>
      <c r="E1150" s="8" t="s">
        <v>1965</v>
      </c>
      <c r="F1150" s="8">
        <v>5</v>
      </c>
      <c r="G1150" s="8" t="s">
        <v>428</v>
      </c>
      <c r="H1150" s="8" t="s">
        <v>2089</v>
      </c>
      <c r="I1150" s="8" t="s">
        <v>1965</v>
      </c>
      <c r="J1150" s="8">
        <v>0</v>
      </c>
      <c r="K1150" s="8">
        <v>0</v>
      </c>
      <c r="L1150" s="8">
        <v>11</v>
      </c>
      <c r="M1150" s="8" t="s">
        <v>1967</v>
      </c>
      <c r="N1150" s="8" t="s">
        <v>706</v>
      </c>
      <c r="O1150" s="8" t="s">
        <v>206</v>
      </c>
      <c r="P1150" s="8" t="s">
        <v>2104</v>
      </c>
    </row>
    <row r="1151" spans="1:16" ht="25" customHeight="1">
      <c r="A1151" s="12">
        <v>101</v>
      </c>
      <c r="B1151" s="8">
        <v>2</v>
      </c>
      <c r="C1151" s="8" t="s">
        <v>60</v>
      </c>
      <c r="D1151" s="8">
        <v>9</v>
      </c>
      <c r="E1151" s="8" t="s">
        <v>1974</v>
      </c>
      <c r="F1151" s="8">
        <v>0</v>
      </c>
      <c r="G1151" s="8" t="s">
        <v>468</v>
      </c>
      <c r="H1151" s="8" t="s">
        <v>2089</v>
      </c>
      <c r="I1151" s="8" t="s">
        <v>2094</v>
      </c>
      <c r="J1151" s="8">
        <v>1</v>
      </c>
      <c r="K1151" s="8">
        <v>0</v>
      </c>
      <c r="L1151" s="8">
        <v>11</v>
      </c>
      <c r="M1151" s="8" t="s">
        <v>1967</v>
      </c>
      <c r="N1151" s="8" t="s">
        <v>716</v>
      </c>
      <c r="O1151" s="8" t="s">
        <v>206</v>
      </c>
      <c r="P1151" s="8" t="s">
        <v>2104</v>
      </c>
    </row>
    <row r="1152" spans="1:16" ht="25" customHeight="1">
      <c r="A1152" s="12">
        <v>102</v>
      </c>
      <c r="B1152" s="8">
        <v>2</v>
      </c>
      <c r="C1152" s="8" t="s">
        <v>60</v>
      </c>
      <c r="D1152" s="8">
        <v>10</v>
      </c>
      <c r="E1152" s="8" t="s">
        <v>1965</v>
      </c>
      <c r="F1152" s="8">
        <v>0</v>
      </c>
      <c r="G1152" s="8" t="s">
        <v>541</v>
      </c>
      <c r="H1152" s="8" t="s">
        <v>2089</v>
      </c>
      <c r="I1152" s="8" t="s">
        <v>1965</v>
      </c>
      <c r="J1152" s="8">
        <v>1</v>
      </c>
      <c r="K1152" s="8">
        <v>0</v>
      </c>
      <c r="L1152" s="8">
        <v>11</v>
      </c>
      <c r="M1152" s="8" t="s">
        <v>1964</v>
      </c>
      <c r="N1152" s="8" t="s">
        <v>716</v>
      </c>
      <c r="O1152" s="8" t="s">
        <v>203</v>
      </c>
      <c r="P1152" s="8" t="s">
        <v>2090</v>
      </c>
    </row>
    <row r="1153" spans="1:16" ht="25" customHeight="1">
      <c r="A1153" s="12">
        <v>103</v>
      </c>
      <c r="B1153" s="8">
        <v>2</v>
      </c>
      <c r="C1153" s="8" t="s">
        <v>60</v>
      </c>
      <c r="D1153" s="8">
        <v>2</v>
      </c>
      <c r="E1153" s="8" t="s">
        <v>1963</v>
      </c>
      <c r="F1153" s="8">
        <v>7</v>
      </c>
      <c r="G1153" s="8" t="s">
        <v>471</v>
      </c>
      <c r="H1153" s="8" t="s">
        <v>2089</v>
      </c>
      <c r="I1153" s="8" t="s">
        <v>2094</v>
      </c>
      <c r="J1153" s="8">
        <v>1</v>
      </c>
      <c r="K1153" s="8">
        <v>0</v>
      </c>
      <c r="L1153" s="8">
        <v>11</v>
      </c>
      <c r="M1153" s="8" t="s">
        <v>1961</v>
      </c>
      <c r="N1153" s="8" t="s">
        <v>706</v>
      </c>
      <c r="O1153" s="8" t="s">
        <v>206</v>
      </c>
      <c r="P1153" s="8" t="s">
        <v>2104</v>
      </c>
    </row>
    <row r="1154" spans="1:16" ht="25" customHeight="1">
      <c r="A1154" s="12">
        <v>104</v>
      </c>
      <c r="B1154" s="8">
        <v>2</v>
      </c>
      <c r="C1154" s="8" t="s">
        <v>60</v>
      </c>
      <c r="D1154" s="8">
        <v>6</v>
      </c>
      <c r="E1154" s="8" t="s">
        <v>1963</v>
      </c>
      <c r="F1154" s="8">
        <v>12</v>
      </c>
      <c r="G1154" s="8" t="s">
        <v>446</v>
      </c>
      <c r="H1154" s="8" t="s">
        <v>2089</v>
      </c>
      <c r="I1154" s="8" t="s">
        <v>2094</v>
      </c>
      <c r="J1154" s="8">
        <v>0</v>
      </c>
      <c r="K1154" s="8">
        <v>0</v>
      </c>
      <c r="L1154" s="8">
        <v>11</v>
      </c>
      <c r="M1154" s="8" t="s">
        <v>1979</v>
      </c>
      <c r="N1154" s="8" t="s">
        <v>711</v>
      </c>
      <c r="O1154" s="8" t="s">
        <v>222</v>
      </c>
      <c r="P1154" s="8" t="s">
        <v>2095</v>
      </c>
    </row>
    <row r="1155" spans="1:16" ht="25" customHeight="1">
      <c r="A1155" s="12">
        <v>105</v>
      </c>
      <c r="B1155" s="8">
        <v>2</v>
      </c>
      <c r="C1155" s="8" t="s">
        <v>60</v>
      </c>
      <c r="D1155" s="8">
        <v>5</v>
      </c>
      <c r="E1155" s="8" t="s">
        <v>1965</v>
      </c>
      <c r="F1155" s="8">
        <v>16</v>
      </c>
      <c r="G1155" s="8" t="s">
        <v>465</v>
      </c>
      <c r="H1155" s="8" t="s">
        <v>2089</v>
      </c>
      <c r="I1155" s="8" t="s">
        <v>1965</v>
      </c>
      <c r="J1155" s="8">
        <v>0</v>
      </c>
      <c r="K1155" s="8">
        <v>1</v>
      </c>
      <c r="L1155" s="8" t="s">
        <v>132</v>
      </c>
      <c r="M1155" s="8" t="s">
        <v>206</v>
      </c>
      <c r="N1155" s="8" t="s">
        <v>711</v>
      </c>
      <c r="O1155" s="8" t="s">
        <v>206</v>
      </c>
      <c r="P1155" s="8" t="s">
        <v>2097</v>
      </c>
    </row>
    <row r="1156" spans="1:16" ht="25" customHeight="1">
      <c r="A1156" s="12">
        <v>106</v>
      </c>
      <c r="B1156" s="8">
        <v>2</v>
      </c>
      <c r="C1156" s="8" t="s">
        <v>63</v>
      </c>
      <c r="D1156" s="8">
        <v>1</v>
      </c>
      <c r="E1156" s="8" t="s">
        <v>1963</v>
      </c>
      <c r="F1156" s="8">
        <v>28</v>
      </c>
      <c r="G1156" s="8" t="s">
        <v>468</v>
      </c>
      <c r="H1156" s="8" t="s">
        <v>2089</v>
      </c>
      <c r="I1156" s="8" t="s">
        <v>2094</v>
      </c>
      <c r="J1156" s="8">
        <v>0</v>
      </c>
      <c r="K1156" s="8">
        <v>1</v>
      </c>
      <c r="L1156" s="8">
        <v>11</v>
      </c>
      <c r="M1156" s="8" t="s">
        <v>1961</v>
      </c>
      <c r="N1156" s="8" t="s">
        <v>706</v>
      </c>
      <c r="O1156" s="8" t="s">
        <v>206</v>
      </c>
      <c r="P1156" s="8" t="s">
        <v>2104</v>
      </c>
    </row>
    <row r="1157" spans="1:16" ht="25" customHeight="1">
      <c r="A1157" s="12">
        <v>107</v>
      </c>
      <c r="B1157" s="8">
        <v>2</v>
      </c>
      <c r="C1157" s="8" t="s">
        <v>63</v>
      </c>
      <c r="D1157" s="8">
        <v>9</v>
      </c>
      <c r="E1157" s="8" t="s">
        <v>1974</v>
      </c>
      <c r="F1157" s="8">
        <v>0</v>
      </c>
      <c r="G1157" s="8" t="s">
        <v>449</v>
      </c>
      <c r="H1157" s="8" t="s">
        <v>2089</v>
      </c>
      <c r="I1157" s="8" t="s">
        <v>2094</v>
      </c>
      <c r="J1157" s="8">
        <v>1</v>
      </c>
      <c r="K1157" s="8">
        <v>0</v>
      </c>
      <c r="L1157" s="8">
        <v>11</v>
      </c>
      <c r="M1157" s="8" t="s">
        <v>1961</v>
      </c>
      <c r="N1157" s="8" t="s">
        <v>716</v>
      </c>
      <c r="O1157" s="8" t="s">
        <v>206</v>
      </c>
      <c r="P1157" s="8" t="s">
        <v>2104</v>
      </c>
    </row>
    <row r="1158" spans="1:16" ht="25" customHeight="1">
      <c r="A1158" s="12">
        <v>108</v>
      </c>
      <c r="B1158" s="8">
        <v>2</v>
      </c>
      <c r="C1158" s="8" t="s">
        <v>63</v>
      </c>
      <c r="D1158" s="8">
        <v>7</v>
      </c>
      <c r="E1158" s="8" t="s">
        <v>1963</v>
      </c>
      <c r="F1158" s="8">
        <v>10</v>
      </c>
      <c r="G1158" s="8" t="s">
        <v>449</v>
      </c>
      <c r="H1158" s="8" t="s">
        <v>2089</v>
      </c>
      <c r="I1158" s="8" t="s">
        <v>2094</v>
      </c>
      <c r="J1158" s="8">
        <v>0</v>
      </c>
      <c r="K1158" s="8">
        <v>0</v>
      </c>
      <c r="L1158" s="8">
        <v>11</v>
      </c>
      <c r="M1158" s="8" t="s">
        <v>1961</v>
      </c>
      <c r="N1158" s="8" t="s">
        <v>716</v>
      </c>
      <c r="O1158" s="8" t="s">
        <v>206</v>
      </c>
      <c r="P1158" s="8" t="s">
        <v>2104</v>
      </c>
    </row>
    <row r="1159" spans="1:16" ht="25" customHeight="1">
      <c r="A1159" s="12">
        <v>109</v>
      </c>
      <c r="B1159" s="8">
        <v>2</v>
      </c>
      <c r="C1159" s="8" t="s">
        <v>63</v>
      </c>
      <c r="D1159" s="8">
        <v>10</v>
      </c>
      <c r="E1159" s="8" t="s">
        <v>1974</v>
      </c>
      <c r="F1159" s="8">
        <v>0</v>
      </c>
      <c r="G1159" s="8" t="s">
        <v>449</v>
      </c>
      <c r="H1159" s="8" t="s">
        <v>2089</v>
      </c>
      <c r="I1159" s="8" t="s">
        <v>2094</v>
      </c>
      <c r="J1159" s="8">
        <v>1</v>
      </c>
      <c r="K1159" s="8">
        <v>0</v>
      </c>
      <c r="L1159" s="8">
        <v>11</v>
      </c>
      <c r="M1159" s="8" t="s">
        <v>1964</v>
      </c>
      <c r="N1159" s="8" t="s">
        <v>716</v>
      </c>
      <c r="O1159" s="8" t="s">
        <v>203</v>
      </c>
      <c r="P1159" s="8" t="s">
        <v>2090</v>
      </c>
    </row>
    <row r="1160" spans="1:16" ht="25" customHeight="1">
      <c r="A1160" s="12">
        <v>110</v>
      </c>
      <c r="B1160" s="8">
        <v>2</v>
      </c>
      <c r="C1160" s="8" t="s">
        <v>63</v>
      </c>
      <c r="D1160" s="8">
        <v>3</v>
      </c>
      <c r="E1160" s="8" t="s">
        <v>1963</v>
      </c>
      <c r="F1160" s="8">
        <v>9</v>
      </c>
      <c r="G1160" s="8" t="s">
        <v>446</v>
      </c>
      <c r="H1160" s="8" t="s">
        <v>2089</v>
      </c>
      <c r="I1160" s="8" t="s">
        <v>2094</v>
      </c>
      <c r="J1160" s="8">
        <v>0</v>
      </c>
      <c r="K1160" s="8">
        <v>0</v>
      </c>
      <c r="L1160" s="8">
        <v>11</v>
      </c>
      <c r="M1160" s="8" t="s">
        <v>1967</v>
      </c>
      <c r="N1160" s="8" t="s">
        <v>706</v>
      </c>
      <c r="O1160" s="8" t="s">
        <v>206</v>
      </c>
      <c r="P1160" s="8" t="s">
        <v>2104</v>
      </c>
    </row>
    <row r="1161" spans="1:16" ht="25" customHeight="1">
      <c r="A1161" s="12">
        <v>111</v>
      </c>
      <c r="B1161" s="8">
        <v>2</v>
      </c>
      <c r="C1161" s="8" t="s">
        <v>63</v>
      </c>
      <c r="D1161" s="8">
        <v>20</v>
      </c>
      <c r="E1161" s="8" t="s">
        <v>1963</v>
      </c>
      <c r="F1161" s="8">
        <v>13</v>
      </c>
      <c r="G1161" s="8" t="s">
        <v>449</v>
      </c>
      <c r="H1161" s="8" t="s">
        <v>2089</v>
      </c>
      <c r="I1161" s="8" t="s">
        <v>2094</v>
      </c>
      <c r="J1161" s="8">
        <v>0</v>
      </c>
      <c r="K1161" s="8">
        <v>0</v>
      </c>
      <c r="L1161" s="8">
        <v>11</v>
      </c>
      <c r="M1161" s="8" t="s">
        <v>1964</v>
      </c>
      <c r="N1161" s="8" t="s">
        <v>720</v>
      </c>
      <c r="O1161" s="8" t="s">
        <v>203</v>
      </c>
      <c r="P1161" s="8" t="s">
        <v>2090</v>
      </c>
    </row>
    <row r="1162" spans="1:16" ht="25" customHeight="1">
      <c r="A1162" s="12">
        <v>112</v>
      </c>
      <c r="B1162" s="8">
        <v>2</v>
      </c>
      <c r="C1162" s="8" t="s">
        <v>48</v>
      </c>
      <c r="D1162" s="8">
        <v>10</v>
      </c>
      <c r="E1162" s="8" t="s">
        <v>1974</v>
      </c>
      <c r="F1162" s="8">
        <v>0</v>
      </c>
      <c r="G1162" s="8" t="s">
        <v>449</v>
      </c>
      <c r="H1162" s="8" t="s">
        <v>2089</v>
      </c>
      <c r="I1162" s="8" t="s">
        <v>2094</v>
      </c>
      <c r="J1162" s="8">
        <v>1</v>
      </c>
      <c r="K1162" s="8">
        <v>0</v>
      </c>
      <c r="L1162" s="8">
        <v>11</v>
      </c>
      <c r="M1162" s="8" t="s">
        <v>1967</v>
      </c>
      <c r="N1162" s="8" t="s">
        <v>716</v>
      </c>
      <c r="O1162" s="8" t="s">
        <v>206</v>
      </c>
      <c r="P1162" s="8" t="s">
        <v>2104</v>
      </c>
    </row>
    <row r="1163" spans="1:16" ht="25" customHeight="1">
      <c r="A1163" s="12">
        <v>113</v>
      </c>
      <c r="B1163" s="8">
        <v>2</v>
      </c>
      <c r="C1163" s="8" t="s">
        <v>48</v>
      </c>
      <c r="D1163" s="8">
        <v>6</v>
      </c>
      <c r="E1163" s="8" t="s">
        <v>1977</v>
      </c>
      <c r="F1163" s="8">
        <v>-8</v>
      </c>
      <c r="G1163" s="8" t="s">
        <v>468</v>
      </c>
      <c r="H1163" s="8" t="s">
        <v>2089</v>
      </c>
      <c r="I1163" s="8" t="s">
        <v>2094</v>
      </c>
      <c r="J1163" s="8">
        <v>1</v>
      </c>
      <c r="K1163" s="8">
        <v>0</v>
      </c>
      <c r="L1163" s="8">
        <v>11</v>
      </c>
      <c r="M1163" s="8" t="s">
        <v>1961</v>
      </c>
      <c r="N1163" s="8" t="s">
        <v>711</v>
      </c>
      <c r="O1163" s="8" t="s">
        <v>206</v>
      </c>
      <c r="P1163" s="8" t="s">
        <v>2104</v>
      </c>
    </row>
    <row r="1164" spans="1:16" ht="25" customHeight="1">
      <c r="A1164" s="12">
        <v>114</v>
      </c>
      <c r="B1164" s="8">
        <v>2</v>
      </c>
      <c r="C1164" s="8" t="s">
        <v>48</v>
      </c>
      <c r="D1164" s="8">
        <v>10</v>
      </c>
      <c r="E1164" s="8" t="s">
        <v>1965</v>
      </c>
      <c r="F1164" s="8">
        <v>11</v>
      </c>
      <c r="G1164" s="8" t="s">
        <v>465</v>
      </c>
      <c r="H1164" s="8" t="s">
        <v>2089</v>
      </c>
      <c r="I1164" s="8" t="s">
        <v>1965</v>
      </c>
      <c r="J1164" s="8">
        <v>0</v>
      </c>
      <c r="K1164" s="8">
        <v>0</v>
      </c>
      <c r="L1164" s="8">
        <v>11</v>
      </c>
      <c r="M1164" s="8" t="s">
        <v>1964</v>
      </c>
      <c r="N1164" s="8" t="s">
        <v>716</v>
      </c>
      <c r="O1164" s="8" t="s">
        <v>203</v>
      </c>
      <c r="P1164" s="8" t="s">
        <v>2090</v>
      </c>
    </row>
    <row r="1165" spans="1:16" ht="25" customHeight="1">
      <c r="A1165" s="12">
        <v>115</v>
      </c>
      <c r="B1165" s="8">
        <v>2</v>
      </c>
      <c r="C1165" s="8" t="s">
        <v>48</v>
      </c>
      <c r="D1165" s="8">
        <v>9</v>
      </c>
      <c r="E1165" s="8" t="s">
        <v>1963</v>
      </c>
      <c r="F1165" s="8">
        <v>10</v>
      </c>
      <c r="G1165" s="8" t="s">
        <v>471</v>
      </c>
      <c r="H1165" s="8" t="s">
        <v>2089</v>
      </c>
      <c r="I1165" s="8" t="s">
        <v>2094</v>
      </c>
      <c r="J1165" s="8">
        <v>0</v>
      </c>
      <c r="K1165" s="8">
        <v>0</v>
      </c>
      <c r="L1165" s="8">
        <v>11</v>
      </c>
      <c r="M1165" s="8" t="s">
        <v>1967</v>
      </c>
      <c r="N1165" s="8" t="s">
        <v>716</v>
      </c>
      <c r="O1165" s="8" t="s">
        <v>206</v>
      </c>
      <c r="P1165" s="8" t="s">
        <v>2104</v>
      </c>
    </row>
    <row r="1166" spans="1:16" ht="25" customHeight="1">
      <c r="A1166" s="12">
        <v>116</v>
      </c>
      <c r="B1166" s="8">
        <v>2</v>
      </c>
      <c r="C1166" s="8" t="s">
        <v>68</v>
      </c>
      <c r="D1166" s="8">
        <v>8</v>
      </c>
      <c r="E1166" s="8" t="s">
        <v>1965</v>
      </c>
      <c r="F1166" s="8">
        <v>4</v>
      </c>
      <c r="G1166" s="8" t="s">
        <v>465</v>
      </c>
      <c r="H1166" s="8" t="s">
        <v>2089</v>
      </c>
      <c r="I1166" s="8" t="s">
        <v>1965</v>
      </c>
      <c r="J1166" s="8">
        <v>0</v>
      </c>
      <c r="K1166" s="8">
        <v>0</v>
      </c>
      <c r="L1166" s="8">
        <v>11</v>
      </c>
      <c r="M1166" s="8" t="s">
        <v>1961</v>
      </c>
      <c r="N1166" s="8" t="s">
        <v>716</v>
      </c>
      <c r="O1166" s="8" t="s">
        <v>206</v>
      </c>
      <c r="P1166" s="8" t="s">
        <v>2104</v>
      </c>
    </row>
    <row r="1167" spans="1:16" ht="25" customHeight="1">
      <c r="A1167" s="12">
        <v>117</v>
      </c>
      <c r="B1167" s="8">
        <v>2</v>
      </c>
      <c r="C1167" s="8" t="s">
        <v>68</v>
      </c>
      <c r="D1167" s="8">
        <v>7</v>
      </c>
      <c r="E1167" s="8" t="s">
        <v>1966</v>
      </c>
      <c r="F1167" s="8">
        <v>6</v>
      </c>
      <c r="G1167" s="8" t="s">
        <v>449</v>
      </c>
      <c r="H1167" s="8" t="s">
        <v>2089</v>
      </c>
      <c r="I1167" s="8" t="s">
        <v>2094</v>
      </c>
      <c r="J1167" s="8">
        <v>1</v>
      </c>
      <c r="K1167" s="8">
        <v>0</v>
      </c>
      <c r="L1167" s="8">
        <v>11</v>
      </c>
      <c r="M1167" s="8" t="s">
        <v>1967</v>
      </c>
      <c r="N1167" s="8" t="s">
        <v>716</v>
      </c>
      <c r="O1167" s="8" t="s">
        <v>206</v>
      </c>
      <c r="P1167" s="8" t="s">
        <v>2104</v>
      </c>
    </row>
    <row r="1168" spans="1:16" ht="25" customHeight="1">
      <c r="A1168" s="12">
        <v>118</v>
      </c>
      <c r="B1168" s="8">
        <v>2</v>
      </c>
      <c r="C1168" s="8" t="s">
        <v>68</v>
      </c>
      <c r="D1168" s="8">
        <v>5</v>
      </c>
      <c r="E1168" s="8" t="s">
        <v>1974</v>
      </c>
      <c r="F1168" s="8">
        <v>0</v>
      </c>
      <c r="G1168" s="8" t="s">
        <v>471</v>
      </c>
      <c r="H1168" s="8" t="s">
        <v>2089</v>
      </c>
      <c r="I1168" s="8" t="s">
        <v>2094</v>
      </c>
      <c r="J1168" s="8">
        <v>1</v>
      </c>
      <c r="K1168" s="8">
        <v>0</v>
      </c>
      <c r="L1168" s="8">
        <v>11</v>
      </c>
      <c r="M1168" s="8" t="s">
        <v>1961</v>
      </c>
      <c r="N1168" s="8" t="s">
        <v>711</v>
      </c>
      <c r="O1168" s="8" t="s">
        <v>206</v>
      </c>
      <c r="P1168" s="8" t="s">
        <v>2104</v>
      </c>
    </row>
    <row r="1169" spans="1:16" ht="25" customHeight="1">
      <c r="A1169" s="12">
        <v>119</v>
      </c>
      <c r="B1169" s="8">
        <v>2</v>
      </c>
      <c r="C1169" s="8" t="s">
        <v>68</v>
      </c>
      <c r="D1169" s="8">
        <v>3</v>
      </c>
      <c r="E1169" s="8" t="s">
        <v>1965</v>
      </c>
      <c r="F1169" s="8">
        <v>5</v>
      </c>
      <c r="G1169" s="8" t="s">
        <v>432</v>
      </c>
      <c r="H1169" s="8" t="s">
        <v>2089</v>
      </c>
      <c r="I1169" s="8" t="s">
        <v>1965</v>
      </c>
      <c r="J1169" s="8">
        <v>0</v>
      </c>
      <c r="K1169" s="8">
        <v>0</v>
      </c>
      <c r="L1169" s="8">
        <v>11</v>
      </c>
      <c r="M1169" s="8" t="s">
        <v>1961</v>
      </c>
      <c r="N1169" s="8" t="s">
        <v>706</v>
      </c>
      <c r="O1169" s="8" t="s">
        <v>206</v>
      </c>
      <c r="P1169" s="8" t="s">
        <v>2104</v>
      </c>
    </row>
    <row r="1170" spans="1:16" ht="25" customHeight="1">
      <c r="A1170" s="12">
        <v>120</v>
      </c>
      <c r="B1170" s="8">
        <v>2</v>
      </c>
      <c r="C1170" s="8" t="s">
        <v>44</v>
      </c>
      <c r="D1170" s="8">
        <v>4</v>
      </c>
      <c r="E1170" s="8" t="s">
        <v>1963</v>
      </c>
      <c r="F1170" s="8">
        <v>9</v>
      </c>
      <c r="G1170" s="8" t="s">
        <v>468</v>
      </c>
      <c r="H1170" s="8" t="s">
        <v>2089</v>
      </c>
      <c r="I1170" s="8" t="s">
        <v>2094</v>
      </c>
      <c r="J1170" s="8">
        <v>0</v>
      </c>
      <c r="K1170" s="8">
        <v>0</v>
      </c>
      <c r="L1170" s="8">
        <v>11</v>
      </c>
      <c r="M1170" s="8" t="s">
        <v>1967</v>
      </c>
      <c r="N1170" s="8" t="s">
        <v>711</v>
      </c>
      <c r="O1170" s="8" t="s">
        <v>206</v>
      </c>
      <c r="P1170" s="8" t="s">
        <v>2104</v>
      </c>
    </row>
    <row r="1171" spans="1:16" ht="25" customHeight="1">
      <c r="A1171" s="12">
        <v>121</v>
      </c>
      <c r="B1171" s="8">
        <v>2</v>
      </c>
      <c r="C1171" s="8" t="s">
        <v>44</v>
      </c>
      <c r="D1171" s="8">
        <v>4</v>
      </c>
      <c r="E1171" s="8" t="s">
        <v>1974</v>
      </c>
      <c r="F1171" s="8">
        <v>0</v>
      </c>
      <c r="G1171" s="8" t="s">
        <v>471</v>
      </c>
      <c r="H1171" s="8" t="s">
        <v>2089</v>
      </c>
      <c r="I1171" s="8" t="s">
        <v>2094</v>
      </c>
      <c r="J1171" s="8">
        <v>1</v>
      </c>
      <c r="K1171" s="8">
        <v>0</v>
      </c>
      <c r="L1171" s="8">
        <v>11</v>
      </c>
      <c r="M1171" s="8" t="s">
        <v>1967</v>
      </c>
      <c r="N1171" s="8" t="s">
        <v>711</v>
      </c>
      <c r="O1171" s="8" t="s">
        <v>206</v>
      </c>
      <c r="P1171" s="8" t="s">
        <v>2104</v>
      </c>
    </row>
    <row r="1172" spans="1:16" ht="25" customHeight="1">
      <c r="A1172" s="12">
        <v>122</v>
      </c>
      <c r="B1172" s="8">
        <v>2</v>
      </c>
      <c r="C1172" s="8" t="s">
        <v>44</v>
      </c>
      <c r="D1172" s="8">
        <v>17</v>
      </c>
      <c r="E1172" s="8" t="s">
        <v>2112</v>
      </c>
      <c r="F1172" s="8">
        <v>-4</v>
      </c>
      <c r="H1172" s="8" t="s">
        <v>2109</v>
      </c>
      <c r="I1172" s="8" t="s">
        <v>2110</v>
      </c>
      <c r="L1172" s="8" t="s">
        <v>132</v>
      </c>
      <c r="N1172" s="8" t="s">
        <v>720</v>
      </c>
    </row>
    <row r="1173" spans="1:16" ht="25" customHeight="1">
      <c r="A1173" s="12">
        <v>123</v>
      </c>
      <c r="B1173" s="8">
        <v>2</v>
      </c>
      <c r="C1173" s="8" t="s">
        <v>34</v>
      </c>
      <c r="D1173" s="8">
        <v>10</v>
      </c>
      <c r="E1173" s="8" t="s">
        <v>2114</v>
      </c>
      <c r="F1173" s="8">
        <v>0</v>
      </c>
      <c r="G1173" s="8" t="s">
        <v>446</v>
      </c>
      <c r="H1173" s="8" t="s">
        <v>2089</v>
      </c>
      <c r="I1173" s="8" t="s">
        <v>2094</v>
      </c>
      <c r="J1173" s="8">
        <v>1</v>
      </c>
      <c r="K1173" s="8">
        <v>0</v>
      </c>
      <c r="L1173" s="8">
        <v>11</v>
      </c>
      <c r="M1173" s="8" t="s">
        <v>1967</v>
      </c>
      <c r="N1173" s="8" t="s">
        <v>716</v>
      </c>
      <c r="O1173" s="8" t="s">
        <v>206</v>
      </c>
      <c r="P1173" s="8" t="s">
        <v>2104</v>
      </c>
    </row>
    <row r="1174" spans="1:16" ht="25" customHeight="1">
      <c r="A1174" s="12">
        <v>124</v>
      </c>
      <c r="B1174" s="8">
        <v>2</v>
      </c>
      <c r="C1174" s="8" t="s">
        <v>34</v>
      </c>
      <c r="D1174" s="8">
        <v>6</v>
      </c>
      <c r="E1174" s="8" t="s">
        <v>1963</v>
      </c>
      <c r="F1174" s="8">
        <v>10</v>
      </c>
      <c r="G1174" s="8" t="s">
        <v>449</v>
      </c>
      <c r="H1174" s="8" t="s">
        <v>2089</v>
      </c>
      <c r="I1174" s="8" t="s">
        <v>2094</v>
      </c>
      <c r="J1174" s="8">
        <v>0</v>
      </c>
      <c r="K1174" s="8">
        <v>0</v>
      </c>
      <c r="L1174" s="8">
        <v>11</v>
      </c>
      <c r="M1174" s="8" t="s">
        <v>1967</v>
      </c>
      <c r="N1174" s="8" t="s">
        <v>711</v>
      </c>
      <c r="O1174" s="8" t="s">
        <v>206</v>
      </c>
      <c r="P1174" s="8" t="s">
        <v>2104</v>
      </c>
    </row>
    <row r="1175" spans="1:16" ht="25" customHeight="1">
      <c r="A1175" s="12">
        <v>125</v>
      </c>
      <c r="B1175" s="8">
        <v>2</v>
      </c>
      <c r="C1175" s="8" t="s">
        <v>34</v>
      </c>
      <c r="D1175" s="8">
        <v>10</v>
      </c>
      <c r="E1175" s="8" t="s">
        <v>1965</v>
      </c>
      <c r="F1175" s="8">
        <v>12</v>
      </c>
      <c r="G1175" s="8" t="s">
        <v>465</v>
      </c>
      <c r="H1175" s="8" t="s">
        <v>2089</v>
      </c>
      <c r="I1175" s="8" t="s">
        <v>1965</v>
      </c>
      <c r="J1175" s="8">
        <v>0</v>
      </c>
      <c r="K1175" s="8">
        <v>1</v>
      </c>
      <c r="L1175" s="8" t="s">
        <v>132</v>
      </c>
      <c r="M1175" s="8" t="s">
        <v>1964</v>
      </c>
      <c r="N1175" s="8" t="s">
        <v>716</v>
      </c>
      <c r="O1175" s="8" t="s">
        <v>203</v>
      </c>
      <c r="P1175" s="8" t="s">
        <v>2095</v>
      </c>
    </row>
    <row r="1176" spans="1:16" ht="25" customHeight="1">
      <c r="A1176" s="12">
        <v>126</v>
      </c>
      <c r="B1176" s="8">
        <v>2</v>
      </c>
      <c r="C1176" s="8" t="s">
        <v>79</v>
      </c>
      <c r="D1176" s="8">
        <v>4</v>
      </c>
      <c r="E1176" s="8" t="s">
        <v>1963</v>
      </c>
      <c r="F1176" s="8">
        <v>-1</v>
      </c>
      <c r="G1176" s="8" t="s">
        <v>449</v>
      </c>
      <c r="H1176" s="8" t="s">
        <v>2089</v>
      </c>
      <c r="I1176" s="8" t="s">
        <v>2094</v>
      </c>
      <c r="J1176" s="8">
        <v>1</v>
      </c>
      <c r="K1176" s="8">
        <v>0</v>
      </c>
      <c r="L1176" s="8">
        <v>11</v>
      </c>
      <c r="M1176" s="8" t="s">
        <v>1967</v>
      </c>
      <c r="N1176" s="8" t="s">
        <v>711</v>
      </c>
      <c r="O1176" s="8" t="s">
        <v>206</v>
      </c>
      <c r="P1176" s="8" t="s">
        <v>2104</v>
      </c>
    </row>
    <row r="1177" spans="1:16" ht="25" customHeight="1">
      <c r="A1177" s="12">
        <v>127</v>
      </c>
      <c r="B1177" s="8">
        <v>2</v>
      </c>
      <c r="C1177" s="8" t="s">
        <v>79</v>
      </c>
      <c r="D1177" s="8">
        <v>14</v>
      </c>
      <c r="E1177" s="8" t="s">
        <v>1965</v>
      </c>
      <c r="F1177" s="8">
        <v>6</v>
      </c>
      <c r="G1177" s="8" t="s">
        <v>432</v>
      </c>
      <c r="H1177" s="8" t="s">
        <v>2089</v>
      </c>
      <c r="I1177" s="8" t="s">
        <v>1965</v>
      </c>
      <c r="J1177" s="8">
        <v>0</v>
      </c>
      <c r="K1177" s="8">
        <v>0</v>
      </c>
      <c r="L1177" s="8">
        <v>11</v>
      </c>
      <c r="M1177" s="8" t="s">
        <v>1967</v>
      </c>
      <c r="N1177" s="8" t="s">
        <v>720</v>
      </c>
      <c r="O1177" s="8" t="s">
        <v>206</v>
      </c>
      <c r="P1177" s="8" t="s">
        <v>2104</v>
      </c>
    </row>
    <row r="1178" spans="1:16" ht="25" customHeight="1">
      <c r="A1178" s="12">
        <v>128</v>
      </c>
      <c r="B1178" s="8">
        <v>2</v>
      </c>
      <c r="C1178" s="8" t="s">
        <v>79</v>
      </c>
      <c r="D1178" s="8">
        <v>6</v>
      </c>
      <c r="E1178" s="8" t="s">
        <v>1963</v>
      </c>
      <c r="F1178" s="8">
        <v>5</v>
      </c>
      <c r="G1178" s="8" t="s">
        <v>468</v>
      </c>
      <c r="H1178" s="8" t="s">
        <v>2089</v>
      </c>
      <c r="I1178" s="8" t="s">
        <v>2094</v>
      </c>
      <c r="J1178" s="8">
        <v>1</v>
      </c>
      <c r="K1178" s="8">
        <v>0</v>
      </c>
      <c r="L1178" s="8" t="s">
        <v>132</v>
      </c>
      <c r="M1178" s="8" t="s">
        <v>1964</v>
      </c>
      <c r="N1178" s="8" t="s">
        <v>711</v>
      </c>
      <c r="O1178" s="8" t="s">
        <v>203</v>
      </c>
      <c r="P1178" s="8" t="s">
        <v>2095</v>
      </c>
    </row>
    <row r="1179" spans="1:16" ht="25" customHeight="1">
      <c r="A1179" s="12">
        <v>129</v>
      </c>
      <c r="B1179" s="8">
        <v>2</v>
      </c>
      <c r="C1179" s="8" t="s">
        <v>56</v>
      </c>
      <c r="D1179" s="8">
        <v>7</v>
      </c>
      <c r="E1179" s="8" t="s">
        <v>1963</v>
      </c>
      <c r="F1179" s="8">
        <v>9</v>
      </c>
      <c r="G1179" s="8" t="s">
        <v>471</v>
      </c>
      <c r="H1179" s="8" t="s">
        <v>2089</v>
      </c>
      <c r="I1179" s="8" t="s">
        <v>2094</v>
      </c>
      <c r="J1179" s="8">
        <v>0</v>
      </c>
      <c r="K1179" s="8">
        <v>0</v>
      </c>
      <c r="L1179" s="8">
        <v>11</v>
      </c>
      <c r="M1179" s="8" t="s">
        <v>1964</v>
      </c>
      <c r="N1179" s="8" t="s">
        <v>716</v>
      </c>
      <c r="O1179" s="8" t="s">
        <v>203</v>
      </c>
      <c r="P1179" s="8" t="s">
        <v>2090</v>
      </c>
    </row>
    <row r="1180" spans="1:16" ht="25" customHeight="1">
      <c r="A1180" s="12">
        <v>130</v>
      </c>
      <c r="B1180" s="8">
        <v>2</v>
      </c>
      <c r="C1180" s="8" t="s">
        <v>56</v>
      </c>
      <c r="D1180" s="8">
        <v>6</v>
      </c>
      <c r="E1180" s="8" t="s">
        <v>1965</v>
      </c>
      <c r="F1180" s="8">
        <v>5</v>
      </c>
      <c r="G1180" s="8" t="s">
        <v>432</v>
      </c>
      <c r="H1180" s="8" t="s">
        <v>2089</v>
      </c>
      <c r="I1180" s="8" t="s">
        <v>1965</v>
      </c>
      <c r="J1180" s="8">
        <v>0</v>
      </c>
      <c r="K1180" s="8">
        <v>0</v>
      </c>
      <c r="L1180" s="8" t="s">
        <v>132</v>
      </c>
      <c r="M1180" s="8" t="s">
        <v>1967</v>
      </c>
      <c r="N1180" s="8" t="s">
        <v>711</v>
      </c>
      <c r="O1180" s="8" t="s">
        <v>206</v>
      </c>
      <c r="P1180" s="8" t="s">
        <v>2097</v>
      </c>
    </row>
    <row r="1181" spans="1:16" ht="25" customHeight="1">
      <c r="A1181" s="12">
        <v>131</v>
      </c>
      <c r="B1181" s="8">
        <v>2</v>
      </c>
      <c r="C1181" s="8" t="s">
        <v>56</v>
      </c>
      <c r="D1181" s="8">
        <v>3</v>
      </c>
      <c r="E1181" s="8" t="s">
        <v>1965</v>
      </c>
      <c r="F1181" s="8">
        <v>-2</v>
      </c>
      <c r="G1181" s="8" t="s">
        <v>428</v>
      </c>
      <c r="H1181" s="8" t="s">
        <v>2089</v>
      </c>
      <c r="I1181" s="8" t="s">
        <v>1965</v>
      </c>
      <c r="J1181" s="8">
        <v>1</v>
      </c>
      <c r="K1181" s="8">
        <v>0</v>
      </c>
      <c r="L1181" s="8" t="s">
        <v>132</v>
      </c>
      <c r="M1181" s="8" t="s">
        <v>1967</v>
      </c>
      <c r="N1181" s="8" t="s">
        <v>706</v>
      </c>
      <c r="O1181" s="8" t="s">
        <v>206</v>
      </c>
      <c r="P1181" s="8" t="s">
        <v>2097</v>
      </c>
    </row>
    <row r="1182" spans="1:16" ht="25" customHeight="1">
      <c r="A1182" s="12">
        <v>132</v>
      </c>
      <c r="B1182" s="8">
        <v>2</v>
      </c>
      <c r="C1182" s="8" t="s">
        <v>61</v>
      </c>
      <c r="D1182" s="8">
        <v>4</v>
      </c>
      <c r="E1182" s="8" t="s">
        <v>1963</v>
      </c>
      <c r="F1182" s="8">
        <v>11</v>
      </c>
      <c r="G1182" s="8" t="s">
        <v>449</v>
      </c>
      <c r="H1182" s="8" t="s">
        <v>2089</v>
      </c>
      <c r="I1182" s="8" t="s">
        <v>2094</v>
      </c>
      <c r="J1182" s="8">
        <v>0</v>
      </c>
      <c r="K1182" s="8">
        <v>0</v>
      </c>
      <c r="L1182" s="8">
        <v>11</v>
      </c>
      <c r="M1182" s="8" t="s">
        <v>1967</v>
      </c>
      <c r="N1182" s="8" t="s">
        <v>711</v>
      </c>
      <c r="O1182" s="8" t="s">
        <v>206</v>
      </c>
      <c r="P1182" s="8" t="s">
        <v>2104</v>
      </c>
    </row>
    <row r="1183" spans="1:16" ht="25" customHeight="1">
      <c r="A1183" s="12">
        <v>133</v>
      </c>
      <c r="B1183" s="8">
        <v>2</v>
      </c>
      <c r="C1183" s="8" t="s">
        <v>61</v>
      </c>
      <c r="D1183" s="8">
        <v>20</v>
      </c>
      <c r="E1183" s="8" t="s">
        <v>1965</v>
      </c>
      <c r="F1183" s="8">
        <v>7</v>
      </c>
      <c r="G1183" s="8" t="s">
        <v>428</v>
      </c>
      <c r="H1183" s="8" t="s">
        <v>2089</v>
      </c>
      <c r="I1183" s="8" t="s">
        <v>1965</v>
      </c>
      <c r="J1183" s="8">
        <v>0</v>
      </c>
      <c r="K1183" s="8">
        <v>0</v>
      </c>
      <c r="L1183" s="8">
        <v>11</v>
      </c>
      <c r="M1183" s="8" t="s">
        <v>1967</v>
      </c>
      <c r="N1183" s="8" t="s">
        <v>720</v>
      </c>
      <c r="O1183" s="8" t="s">
        <v>206</v>
      </c>
      <c r="P1183" s="8" t="s">
        <v>2104</v>
      </c>
    </row>
    <row r="1184" spans="1:16" ht="25" customHeight="1">
      <c r="A1184" s="12">
        <v>134</v>
      </c>
      <c r="B1184" s="8">
        <v>2</v>
      </c>
      <c r="C1184" s="8" t="s">
        <v>61</v>
      </c>
      <c r="D1184" s="8">
        <v>18</v>
      </c>
      <c r="E1184" s="8" t="s">
        <v>1965</v>
      </c>
      <c r="F1184" s="8">
        <v>6</v>
      </c>
      <c r="G1184" s="8" t="s">
        <v>428</v>
      </c>
      <c r="H1184" s="8" t="s">
        <v>2089</v>
      </c>
      <c r="I1184" s="8" t="s">
        <v>1965</v>
      </c>
      <c r="J1184" s="8">
        <v>0</v>
      </c>
      <c r="K1184" s="8">
        <v>0</v>
      </c>
      <c r="L1184" s="8">
        <v>11</v>
      </c>
      <c r="M1184" s="8" t="s">
        <v>1964</v>
      </c>
      <c r="N1184" s="8" t="s">
        <v>720</v>
      </c>
      <c r="O1184" s="8" t="s">
        <v>203</v>
      </c>
      <c r="P1184" s="8" t="s">
        <v>2090</v>
      </c>
    </row>
    <row r="1185" spans="1:16" ht="25" customHeight="1">
      <c r="A1185" s="12">
        <v>135</v>
      </c>
      <c r="B1185" s="8">
        <v>2</v>
      </c>
      <c r="C1185" s="8" t="s">
        <v>69</v>
      </c>
      <c r="D1185" s="8">
        <v>10</v>
      </c>
      <c r="E1185" s="8" t="s">
        <v>1966</v>
      </c>
      <c r="F1185" s="8">
        <v>5</v>
      </c>
      <c r="G1185" s="8" t="s">
        <v>449</v>
      </c>
      <c r="H1185" s="8" t="s">
        <v>2089</v>
      </c>
      <c r="I1185" s="8" t="s">
        <v>2094</v>
      </c>
      <c r="J1185" s="8">
        <v>1</v>
      </c>
      <c r="K1185" s="8">
        <v>0</v>
      </c>
      <c r="L1185" s="8">
        <v>11</v>
      </c>
      <c r="M1185" s="8" t="s">
        <v>1964</v>
      </c>
      <c r="N1185" s="8" t="s">
        <v>716</v>
      </c>
      <c r="O1185" s="8" t="s">
        <v>203</v>
      </c>
      <c r="P1185" s="8" t="s">
        <v>2090</v>
      </c>
    </row>
    <row r="1186" spans="1:16" ht="25" customHeight="1">
      <c r="A1186" s="12">
        <v>136</v>
      </c>
      <c r="B1186" s="8">
        <v>2</v>
      </c>
      <c r="C1186" s="8" t="s">
        <v>69</v>
      </c>
      <c r="D1186" s="8">
        <v>6</v>
      </c>
      <c r="E1186" s="8" t="s">
        <v>1965</v>
      </c>
      <c r="F1186" s="8">
        <v>2</v>
      </c>
      <c r="G1186" s="8" t="s">
        <v>428</v>
      </c>
      <c r="H1186" s="8" t="s">
        <v>2089</v>
      </c>
      <c r="I1186" s="8" t="s">
        <v>1965</v>
      </c>
      <c r="J1186" s="8">
        <v>1</v>
      </c>
      <c r="K1186" s="8">
        <v>0</v>
      </c>
      <c r="L1186" s="8">
        <v>11</v>
      </c>
      <c r="M1186" s="8" t="s">
        <v>1967</v>
      </c>
      <c r="N1186" s="8" t="s">
        <v>711</v>
      </c>
      <c r="O1186" s="8" t="s">
        <v>206</v>
      </c>
      <c r="P1186" s="8" t="s">
        <v>2104</v>
      </c>
    </row>
    <row r="1187" spans="1:16" ht="25" customHeight="1">
      <c r="A1187" s="12">
        <v>137</v>
      </c>
      <c r="B1187" s="8">
        <v>2</v>
      </c>
      <c r="C1187" s="8" t="s">
        <v>69</v>
      </c>
      <c r="D1187" s="8">
        <v>7</v>
      </c>
      <c r="E1187" s="8" t="s">
        <v>1965</v>
      </c>
      <c r="F1187" s="8">
        <v>1</v>
      </c>
      <c r="G1187" s="8" t="s">
        <v>465</v>
      </c>
      <c r="H1187" s="8" t="s">
        <v>2089</v>
      </c>
      <c r="I1187" s="8" t="s">
        <v>1965</v>
      </c>
      <c r="J1187" s="8">
        <v>1</v>
      </c>
      <c r="K1187" s="8">
        <v>0</v>
      </c>
      <c r="L1187" s="8">
        <v>11</v>
      </c>
      <c r="M1187" s="8" t="s">
        <v>1967</v>
      </c>
      <c r="N1187" s="8" t="s">
        <v>716</v>
      </c>
      <c r="O1187" s="8" t="s">
        <v>206</v>
      </c>
      <c r="P1187" s="8" t="s">
        <v>2104</v>
      </c>
    </row>
    <row r="1188" spans="1:16" ht="25" customHeight="1">
      <c r="A1188" s="12">
        <v>138</v>
      </c>
      <c r="B1188" s="8">
        <v>2</v>
      </c>
      <c r="C1188" s="8" t="s">
        <v>27</v>
      </c>
      <c r="D1188" s="8">
        <v>7</v>
      </c>
      <c r="E1188" s="8" t="s">
        <v>1965</v>
      </c>
      <c r="F1188" s="8">
        <v>3</v>
      </c>
      <c r="G1188" s="8" t="s">
        <v>465</v>
      </c>
      <c r="H1188" s="8" t="s">
        <v>2089</v>
      </c>
      <c r="I1188" s="8" t="s">
        <v>1965</v>
      </c>
      <c r="J1188" s="8">
        <v>1</v>
      </c>
      <c r="K1188" s="8">
        <v>0</v>
      </c>
      <c r="L1188" s="8">
        <v>12</v>
      </c>
      <c r="M1188" s="8" t="s">
        <v>1967</v>
      </c>
      <c r="N1188" s="8" t="s">
        <v>716</v>
      </c>
      <c r="O1188" s="8" t="s">
        <v>206</v>
      </c>
      <c r="P1188" s="8" t="s">
        <v>2099</v>
      </c>
    </row>
    <row r="1189" spans="1:16" ht="25" customHeight="1">
      <c r="A1189" s="12">
        <v>139</v>
      </c>
      <c r="B1189" s="8">
        <v>2</v>
      </c>
      <c r="C1189" s="8" t="s">
        <v>27</v>
      </c>
      <c r="D1189" s="8">
        <v>1</v>
      </c>
      <c r="E1189" s="8" t="s">
        <v>2115</v>
      </c>
      <c r="F1189" s="8">
        <v>1</v>
      </c>
      <c r="G1189" s="8" t="s">
        <v>428</v>
      </c>
      <c r="H1189" s="8" t="s">
        <v>2089</v>
      </c>
      <c r="I1189" s="8" t="s">
        <v>2068</v>
      </c>
      <c r="J1189" s="8">
        <v>0</v>
      </c>
      <c r="K1189" s="8">
        <v>0</v>
      </c>
      <c r="L1189" s="8">
        <v>12</v>
      </c>
      <c r="M1189" s="8" t="s">
        <v>1967</v>
      </c>
      <c r="N1189" s="8" t="s">
        <v>706</v>
      </c>
      <c r="O1189" s="8" t="s">
        <v>206</v>
      </c>
      <c r="P1189" s="8" t="s">
        <v>2099</v>
      </c>
    </row>
    <row r="1190" spans="1:16" ht="25" customHeight="1">
      <c r="A1190" s="12">
        <v>140</v>
      </c>
      <c r="B1190" s="8">
        <v>2</v>
      </c>
      <c r="C1190" s="8" t="s">
        <v>46</v>
      </c>
      <c r="D1190" s="8">
        <v>1</v>
      </c>
      <c r="E1190" s="8" t="s">
        <v>1974</v>
      </c>
      <c r="F1190" s="8">
        <v>0</v>
      </c>
      <c r="G1190" s="8" t="s">
        <v>468</v>
      </c>
      <c r="H1190" s="8" t="s">
        <v>2089</v>
      </c>
      <c r="I1190" s="8" t="s">
        <v>2094</v>
      </c>
      <c r="J1190" s="8">
        <v>1</v>
      </c>
      <c r="K1190" s="8">
        <v>0</v>
      </c>
      <c r="L1190" s="8">
        <v>11</v>
      </c>
      <c r="M1190" s="8" t="s">
        <v>1961</v>
      </c>
      <c r="N1190" s="8" t="s">
        <v>706</v>
      </c>
      <c r="O1190" s="8" t="s">
        <v>206</v>
      </c>
      <c r="P1190" s="8" t="s">
        <v>2104</v>
      </c>
    </row>
    <row r="1191" spans="1:16" ht="25" customHeight="1">
      <c r="A1191" s="12">
        <v>141</v>
      </c>
      <c r="B1191" s="8">
        <v>2</v>
      </c>
      <c r="C1191" s="8" t="s">
        <v>46</v>
      </c>
      <c r="D1191" s="8">
        <v>20</v>
      </c>
      <c r="E1191" s="8" t="s">
        <v>1963</v>
      </c>
      <c r="F1191" s="8">
        <v>-2</v>
      </c>
      <c r="G1191" s="8" t="s">
        <v>449</v>
      </c>
      <c r="H1191" s="8" t="s">
        <v>2089</v>
      </c>
      <c r="I1191" s="8" t="s">
        <v>2094</v>
      </c>
      <c r="J1191" s="8">
        <v>1</v>
      </c>
      <c r="K1191" s="8">
        <v>0</v>
      </c>
      <c r="L1191" s="8">
        <v>11</v>
      </c>
      <c r="M1191" s="8" t="s">
        <v>1964</v>
      </c>
      <c r="N1191" s="8" t="s">
        <v>720</v>
      </c>
      <c r="O1191" s="8" t="s">
        <v>203</v>
      </c>
      <c r="P1191" s="8" t="s">
        <v>2090</v>
      </c>
    </row>
    <row r="1192" spans="1:16" ht="25" customHeight="1">
      <c r="A1192" s="12">
        <v>142</v>
      </c>
      <c r="B1192" s="8">
        <v>2</v>
      </c>
      <c r="C1192" s="8" t="s">
        <v>49</v>
      </c>
      <c r="D1192" s="8">
        <v>10</v>
      </c>
      <c r="E1192" s="8" t="s">
        <v>1974</v>
      </c>
      <c r="F1192" s="8">
        <v>0</v>
      </c>
      <c r="G1192" s="8" t="s">
        <v>446</v>
      </c>
      <c r="H1192" s="8" t="s">
        <v>2089</v>
      </c>
      <c r="I1192" s="8" t="s">
        <v>2094</v>
      </c>
      <c r="J1192" s="8">
        <v>1</v>
      </c>
      <c r="K1192" s="8">
        <v>0</v>
      </c>
      <c r="L1192" s="8">
        <v>11</v>
      </c>
      <c r="M1192" s="8" t="s">
        <v>1961</v>
      </c>
      <c r="N1192" s="8" t="s">
        <v>716</v>
      </c>
      <c r="O1192" s="8" t="s">
        <v>206</v>
      </c>
      <c r="P1192" s="8" t="s">
        <v>2104</v>
      </c>
    </row>
    <row r="1193" spans="1:16" ht="25" customHeight="1">
      <c r="A1193" s="12">
        <v>143</v>
      </c>
      <c r="B1193" s="8">
        <v>2</v>
      </c>
      <c r="C1193" s="8" t="s">
        <v>49</v>
      </c>
      <c r="D1193" s="8">
        <v>10</v>
      </c>
      <c r="E1193" s="8" t="s">
        <v>2112</v>
      </c>
      <c r="F1193" s="8">
        <v>4</v>
      </c>
      <c r="G1193" s="8" t="s">
        <v>541</v>
      </c>
      <c r="H1193" s="8" t="s">
        <v>2109</v>
      </c>
      <c r="I1193" s="8" t="s">
        <v>2110</v>
      </c>
      <c r="L1193" s="8">
        <v>11</v>
      </c>
      <c r="M1193" s="8" t="s">
        <v>1967</v>
      </c>
      <c r="N1193" s="8" t="s">
        <v>716</v>
      </c>
      <c r="O1193" s="8" t="s">
        <v>206</v>
      </c>
      <c r="P1193" s="8" t="s">
        <v>2104</v>
      </c>
    </row>
    <row r="1194" spans="1:16" ht="25" customHeight="1">
      <c r="A1194" s="12">
        <v>144</v>
      </c>
      <c r="B1194" s="8">
        <v>2</v>
      </c>
      <c r="C1194" s="8" t="s">
        <v>30</v>
      </c>
      <c r="D1194" s="8">
        <v>1</v>
      </c>
      <c r="E1194" s="8" t="s">
        <v>2115</v>
      </c>
      <c r="F1194" s="8">
        <v>1</v>
      </c>
      <c r="G1194" s="8" t="s">
        <v>487</v>
      </c>
      <c r="H1194" s="8" t="s">
        <v>2089</v>
      </c>
      <c r="I1194" s="8" t="s">
        <v>2068</v>
      </c>
      <c r="J1194" s="8">
        <v>0</v>
      </c>
      <c r="K1194" s="8">
        <v>0</v>
      </c>
      <c r="L1194" s="8">
        <v>22</v>
      </c>
      <c r="M1194" s="8" t="s">
        <v>1964</v>
      </c>
      <c r="N1194" s="8" t="s">
        <v>706</v>
      </c>
      <c r="O1194" s="8" t="s">
        <v>203</v>
      </c>
      <c r="P1194" s="8" t="s">
        <v>2095</v>
      </c>
    </row>
    <row r="1195" spans="1:16" ht="25" customHeight="1">
      <c r="A1195" s="12">
        <v>145</v>
      </c>
      <c r="B1195" s="8">
        <v>2</v>
      </c>
      <c r="C1195" s="8" t="s">
        <v>30</v>
      </c>
      <c r="D1195" s="8">
        <v>2</v>
      </c>
      <c r="E1195" s="8" t="s">
        <v>1965</v>
      </c>
      <c r="F1195" s="8">
        <v>2</v>
      </c>
      <c r="G1195" s="8" t="s">
        <v>428</v>
      </c>
      <c r="H1195" s="8" t="s">
        <v>2089</v>
      </c>
      <c r="I1195" s="8" t="s">
        <v>1965</v>
      </c>
      <c r="J1195" s="8">
        <v>1</v>
      </c>
      <c r="K1195" s="8">
        <v>0</v>
      </c>
      <c r="L1195" s="8">
        <v>11</v>
      </c>
      <c r="M1195" s="8" t="s">
        <v>1964</v>
      </c>
      <c r="N1195" s="8" t="s">
        <v>706</v>
      </c>
      <c r="O1195" s="8" t="s">
        <v>203</v>
      </c>
      <c r="P1195" s="8" t="s">
        <v>2090</v>
      </c>
    </row>
    <row r="1196" spans="1:16" ht="25" customHeight="1">
      <c r="A1196" s="12">
        <v>146</v>
      </c>
      <c r="B1196" s="8">
        <v>2</v>
      </c>
      <c r="C1196" s="8" t="s">
        <v>80</v>
      </c>
      <c r="D1196" s="8">
        <v>5</v>
      </c>
      <c r="E1196" s="8" t="s">
        <v>1965</v>
      </c>
      <c r="F1196" s="8">
        <v>8</v>
      </c>
      <c r="G1196" s="8" t="s">
        <v>465</v>
      </c>
      <c r="H1196" s="8" t="s">
        <v>2089</v>
      </c>
      <c r="I1196" s="8" t="s">
        <v>1965</v>
      </c>
      <c r="J1196" s="8">
        <v>0</v>
      </c>
      <c r="K1196" s="8">
        <v>0</v>
      </c>
      <c r="L1196" s="8">
        <v>11</v>
      </c>
      <c r="M1196" s="8" t="s">
        <v>1967</v>
      </c>
      <c r="N1196" s="8" t="s">
        <v>711</v>
      </c>
      <c r="O1196" s="8" t="s">
        <v>206</v>
      </c>
      <c r="P1196" s="8" t="s">
        <v>2104</v>
      </c>
    </row>
    <row r="1197" spans="1:16" ht="25" customHeight="1">
      <c r="A1197" s="12">
        <v>147</v>
      </c>
      <c r="B1197" s="8">
        <v>2</v>
      </c>
      <c r="C1197" s="8" t="s">
        <v>80</v>
      </c>
      <c r="D1197" s="8">
        <v>15</v>
      </c>
      <c r="E1197" s="8" t="s">
        <v>1966</v>
      </c>
      <c r="F1197" s="8">
        <v>3</v>
      </c>
      <c r="G1197" s="8" t="s">
        <v>449</v>
      </c>
      <c r="H1197" s="8" t="s">
        <v>2089</v>
      </c>
      <c r="I1197" s="8" t="s">
        <v>2094</v>
      </c>
      <c r="J1197" s="8">
        <v>1</v>
      </c>
      <c r="K1197" s="8">
        <v>0</v>
      </c>
      <c r="L1197" s="8">
        <v>11</v>
      </c>
      <c r="M1197" s="8" t="s">
        <v>1967</v>
      </c>
      <c r="N1197" s="8" t="s">
        <v>720</v>
      </c>
      <c r="O1197" s="8" t="s">
        <v>206</v>
      </c>
      <c r="P1197" s="8" t="s">
        <v>2104</v>
      </c>
    </row>
    <row r="1198" spans="1:16" ht="25" customHeight="1">
      <c r="A1198" s="12">
        <v>148</v>
      </c>
      <c r="B1198" s="8">
        <v>2</v>
      </c>
      <c r="C1198" s="8" t="s">
        <v>52</v>
      </c>
      <c r="D1198" s="8">
        <v>4</v>
      </c>
      <c r="E1198" s="8" t="s">
        <v>1965</v>
      </c>
      <c r="F1198" s="8">
        <v>5</v>
      </c>
      <c r="G1198" s="8" t="s">
        <v>477</v>
      </c>
      <c r="H1198" s="8" t="s">
        <v>2089</v>
      </c>
      <c r="I1198" s="8" t="s">
        <v>1965</v>
      </c>
      <c r="J1198" s="8">
        <v>0</v>
      </c>
      <c r="K1198" s="8">
        <v>0</v>
      </c>
      <c r="L1198" s="8">
        <v>12</v>
      </c>
      <c r="M1198" s="8" t="s">
        <v>1964</v>
      </c>
      <c r="N1198" s="8" t="s">
        <v>711</v>
      </c>
      <c r="O1198" s="8" t="s">
        <v>203</v>
      </c>
      <c r="P1198" s="8" t="s">
        <v>2102</v>
      </c>
    </row>
    <row r="1199" spans="1:16" ht="25" customHeight="1">
      <c r="A1199" s="12">
        <v>149</v>
      </c>
      <c r="B1199" s="8">
        <v>2</v>
      </c>
      <c r="C1199" s="8" t="s">
        <v>52</v>
      </c>
      <c r="D1199" s="8">
        <v>5</v>
      </c>
      <c r="E1199" s="8" t="s">
        <v>1965</v>
      </c>
      <c r="F1199" s="8">
        <v>1</v>
      </c>
      <c r="G1199" s="8" t="s">
        <v>477</v>
      </c>
      <c r="H1199" s="8" t="s">
        <v>2089</v>
      </c>
      <c r="I1199" s="8" t="s">
        <v>1965</v>
      </c>
      <c r="J1199" s="8">
        <v>1</v>
      </c>
      <c r="K1199" s="8">
        <v>0</v>
      </c>
      <c r="L1199" s="8">
        <v>12</v>
      </c>
      <c r="M1199" s="8" t="s">
        <v>1964</v>
      </c>
      <c r="N1199" s="8" t="s">
        <v>711</v>
      </c>
      <c r="O1199" s="8" t="s">
        <v>203</v>
      </c>
      <c r="P1199" s="8" t="s">
        <v>2102</v>
      </c>
    </row>
    <row r="1200" spans="1:16" ht="25" customHeight="1">
      <c r="A1200" s="12">
        <v>150</v>
      </c>
      <c r="B1200" s="8">
        <v>2</v>
      </c>
      <c r="C1200" s="8" t="s">
        <v>53</v>
      </c>
      <c r="D1200" s="8">
        <v>7</v>
      </c>
      <c r="E1200" s="8" t="s">
        <v>1963</v>
      </c>
      <c r="F1200" s="8">
        <v>6</v>
      </c>
      <c r="G1200" s="8" t="s">
        <v>471</v>
      </c>
      <c r="H1200" s="8" t="s">
        <v>2089</v>
      </c>
      <c r="I1200" s="8" t="s">
        <v>2094</v>
      </c>
      <c r="J1200" s="8">
        <v>1</v>
      </c>
      <c r="K1200" s="8">
        <v>0</v>
      </c>
      <c r="L1200" s="8">
        <v>11</v>
      </c>
      <c r="M1200" s="8" t="s">
        <v>1964</v>
      </c>
      <c r="N1200" s="8" t="s">
        <v>716</v>
      </c>
      <c r="O1200" s="8" t="s">
        <v>203</v>
      </c>
      <c r="P1200" s="8" t="s">
        <v>2090</v>
      </c>
    </row>
    <row r="1201" spans="1:16" ht="25" customHeight="1">
      <c r="A1201" s="12">
        <v>151</v>
      </c>
      <c r="B1201" s="8">
        <v>2</v>
      </c>
      <c r="C1201" s="8" t="s">
        <v>53</v>
      </c>
      <c r="D1201" s="8">
        <v>4</v>
      </c>
      <c r="E1201" s="8" t="s">
        <v>1965</v>
      </c>
      <c r="F1201" s="8">
        <v>2</v>
      </c>
      <c r="G1201" s="8" t="s">
        <v>428</v>
      </c>
      <c r="H1201" s="8" t="s">
        <v>2089</v>
      </c>
      <c r="I1201" s="8" t="s">
        <v>1965</v>
      </c>
      <c r="J1201" s="8">
        <v>1</v>
      </c>
      <c r="K1201" s="8">
        <v>0</v>
      </c>
      <c r="L1201" s="8" t="s">
        <v>132</v>
      </c>
      <c r="M1201" s="8" t="s">
        <v>1964</v>
      </c>
      <c r="N1201" s="8" t="s">
        <v>711</v>
      </c>
      <c r="O1201" s="8" t="s">
        <v>203</v>
      </c>
      <c r="P1201" s="8" t="s">
        <v>2095</v>
      </c>
    </row>
    <row r="1202" spans="1:16" ht="25" customHeight="1">
      <c r="A1202" s="12">
        <v>152</v>
      </c>
      <c r="B1202" s="8">
        <v>2</v>
      </c>
      <c r="C1202" s="8" t="s">
        <v>35</v>
      </c>
      <c r="D1202" s="8">
        <v>10</v>
      </c>
      <c r="E1202" s="8" t="s">
        <v>1965</v>
      </c>
      <c r="F1202" s="8">
        <v>5</v>
      </c>
      <c r="G1202" s="8" t="s">
        <v>432</v>
      </c>
      <c r="H1202" s="8" t="s">
        <v>2089</v>
      </c>
      <c r="I1202" s="8" t="s">
        <v>1965</v>
      </c>
      <c r="J1202" s="8">
        <v>0</v>
      </c>
      <c r="K1202" s="8">
        <v>0</v>
      </c>
      <c r="L1202" s="8">
        <v>12</v>
      </c>
      <c r="M1202" s="8" t="s">
        <v>1967</v>
      </c>
      <c r="N1202" s="8" t="s">
        <v>716</v>
      </c>
      <c r="O1202" s="8" t="s">
        <v>206</v>
      </c>
      <c r="P1202" s="8" t="s">
        <v>2099</v>
      </c>
    </row>
    <row r="1203" spans="1:16" ht="25" customHeight="1">
      <c r="A1203" s="12">
        <v>153</v>
      </c>
      <c r="B1203" s="8">
        <v>2</v>
      </c>
      <c r="C1203" s="8" t="s">
        <v>35</v>
      </c>
      <c r="D1203" s="8">
        <v>10</v>
      </c>
      <c r="E1203" s="8" t="s">
        <v>2115</v>
      </c>
      <c r="F1203" s="8">
        <v>10</v>
      </c>
      <c r="G1203" s="8" t="s">
        <v>432</v>
      </c>
      <c r="H1203" s="8" t="s">
        <v>2089</v>
      </c>
      <c r="I1203" s="8" t="s">
        <v>2068</v>
      </c>
      <c r="J1203" s="8">
        <v>0</v>
      </c>
      <c r="K1203" s="8">
        <v>0</v>
      </c>
      <c r="L1203" s="8">
        <v>12</v>
      </c>
      <c r="M1203" s="8" t="s">
        <v>1967</v>
      </c>
      <c r="N1203" s="8" t="s">
        <v>716</v>
      </c>
      <c r="O1203" s="8" t="s">
        <v>206</v>
      </c>
      <c r="P1203" s="8" t="s">
        <v>2099</v>
      </c>
    </row>
    <row r="1204" spans="1:16" ht="25" customHeight="1">
      <c r="A1204" s="12">
        <v>154</v>
      </c>
      <c r="B1204" s="8">
        <v>2</v>
      </c>
      <c r="C1204" s="8" t="s">
        <v>84</v>
      </c>
      <c r="D1204" s="8">
        <v>6</v>
      </c>
      <c r="E1204" s="8" t="s">
        <v>1963</v>
      </c>
      <c r="F1204" s="8">
        <v>42</v>
      </c>
      <c r="G1204" s="8" t="s">
        <v>449</v>
      </c>
      <c r="H1204" s="8" t="s">
        <v>2089</v>
      </c>
      <c r="I1204" s="8" t="s">
        <v>2094</v>
      </c>
      <c r="J1204" s="8">
        <v>0</v>
      </c>
      <c r="K1204" s="8">
        <v>1</v>
      </c>
      <c r="L1204" s="8">
        <v>12</v>
      </c>
      <c r="M1204" s="8" t="s">
        <v>1964</v>
      </c>
      <c r="N1204" s="8" t="s">
        <v>711</v>
      </c>
      <c r="O1204" s="8" t="s">
        <v>203</v>
      </c>
      <c r="P1204" s="8" t="s">
        <v>2102</v>
      </c>
    </row>
    <row r="1205" spans="1:16" ht="25" customHeight="1">
      <c r="A1205" s="12">
        <v>155</v>
      </c>
      <c r="B1205" s="8">
        <v>2</v>
      </c>
      <c r="C1205" s="8" t="s">
        <v>84</v>
      </c>
      <c r="D1205" s="8">
        <v>8</v>
      </c>
      <c r="E1205" s="8" t="s">
        <v>1965</v>
      </c>
      <c r="F1205" s="8">
        <v>3</v>
      </c>
      <c r="G1205" s="8" t="s">
        <v>432</v>
      </c>
      <c r="H1205" s="8" t="s">
        <v>2089</v>
      </c>
      <c r="I1205" s="8" t="s">
        <v>1965</v>
      </c>
      <c r="J1205" s="8">
        <v>1</v>
      </c>
      <c r="K1205" s="8">
        <v>0</v>
      </c>
      <c r="L1205" s="8">
        <v>12</v>
      </c>
      <c r="M1205" s="8" t="s">
        <v>1964</v>
      </c>
      <c r="N1205" s="8" t="s">
        <v>716</v>
      </c>
      <c r="O1205" s="8" t="s">
        <v>203</v>
      </c>
      <c r="P1205" s="8" t="s">
        <v>2102</v>
      </c>
    </row>
    <row r="1206" spans="1:16" ht="25" customHeight="1">
      <c r="A1206" s="12">
        <v>156</v>
      </c>
      <c r="B1206" s="8">
        <v>2</v>
      </c>
      <c r="C1206" s="8" t="s">
        <v>65</v>
      </c>
      <c r="D1206" s="8">
        <v>10</v>
      </c>
      <c r="E1206" s="8" t="s">
        <v>1965</v>
      </c>
      <c r="F1206" s="8">
        <v>-1</v>
      </c>
      <c r="G1206" s="8" t="s">
        <v>428</v>
      </c>
      <c r="H1206" s="8" t="s">
        <v>2089</v>
      </c>
      <c r="I1206" s="8" t="s">
        <v>1965</v>
      </c>
      <c r="J1206" s="8">
        <v>1</v>
      </c>
      <c r="K1206" s="8">
        <v>0</v>
      </c>
      <c r="L1206" s="8">
        <v>11</v>
      </c>
      <c r="M1206" s="8" t="s">
        <v>1973</v>
      </c>
      <c r="N1206" s="8" t="s">
        <v>716</v>
      </c>
      <c r="O1206" s="8" t="s">
        <v>222</v>
      </c>
      <c r="P1206" s="8" t="s">
        <v>2095</v>
      </c>
    </row>
    <row r="1207" spans="1:16" ht="25" customHeight="1">
      <c r="A1207" s="12">
        <v>157</v>
      </c>
      <c r="B1207" s="8">
        <v>2</v>
      </c>
      <c r="C1207" s="8" t="s">
        <v>65</v>
      </c>
      <c r="D1207" s="8">
        <v>10</v>
      </c>
      <c r="E1207" s="8" t="s">
        <v>1965</v>
      </c>
      <c r="F1207" s="8">
        <v>5</v>
      </c>
      <c r="G1207" s="8" t="s">
        <v>428</v>
      </c>
      <c r="H1207" s="8" t="s">
        <v>2089</v>
      </c>
      <c r="I1207" s="8" t="s">
        <v>1965</v>
      </c>
      <c r="J1207" s="8">
        <v>0</v>
      </c>
      <c r="K1207" s="8">
        <v>0</v>
      </c>
      <c r="L1207" s="8">
        <v>11</v>
      </c>
      <c r="M1207" s="8" t="s">
        <v>1964</v>
      </c>
      <c r="N1207" s="8" t="s">
        <v>716</v>
      </c>
      <c r="O1207" s="8" t="s">
        <v>203</v>
      </c>
      <c r="P1207" s="8" t="s">
        <v>2090</v>
      </c>
    </row>
    <row r="1208" spans="1:16" ht="25" customHeight="1">
      <c r="A1208" s="12">
        <v>158</v>
      </c>
      <c r="B1208" s="8">
        <v>2</v>
      </c>
      <c r="C1208" s="8" t="s">
        <v>77</v>
      </c>
      <c r="D1208" s="8">
        <v>11</v>
      </c>
      <c r="E1208" s="8" t="s">
        <v>1963</v>
      </c>
      <c r="F1208" s="8">
        <v>5</v>
      </c>
      <c r="G1208" s="8" t="s">
        <v>471</v>
      </c>
      <c r="H1208" s="8" t="s">
        <v>2089</v>
      </c>
      <c r="I1208" s="8" t="s">
        <v>2094</v>
      </c>
      <c r="J1208" s="8">
        <v>1</v>
      </c>
      <c r="K1208" s="8">
        <v>0</v>
      </c>
      <c r="L1208" s="8">
        <v>11</v>
      </c>
      <c r="M1208" s="8" t="s">
        <v>1967</v>
      </c>
      <c r="N1208" s="8" t="s">
        <v>720</v>
      </c>
      <c r="O1208" s="8" t="s">
        <v>206</v>
      </c>
      <c r="P1208" s="8" t="s">
        <v>2104</v>
      </c>
    </row>
    <row r="1209" spans="1:16" ht="25" customHeight="1">
      <c r="A1209" s="12">
        <v>159</v>
      </c>
      <c r="B1209" s="8">
        <v>2</v>
      </c>
      <c r="C1209" s="8" t="s">
        <v>32</v>
      </c>
      <c r="D1209" s="8">
        <v>6</v>
      </c>
      <c r="E1209" s="8" t="s">
        <v>1965</v>
      </c>
      <c r="F1209" s="8">
        <v>16</v>
      </c>
      <c r="G1209" s="8" t="s">
        <v>465</v>
      </c>
      <c r="H1209" s="8" t="s">
        <v>2089</v>
      </c>
      <c r="I1209" s="8" t="s">
        <v>1965</v>
      </c>
      <c r="J1209" s="8">
        <v>0</v>
      </c>
      <c r="K1209" s="8">
        <v>1</v>
      </c>
      <c r="L1209" s="8">
        <v>11</v>
      </c>
      <c r="M1209" s="8" t="s">
        <v>1961</v>
      </c>
      <c r="N1209" s="8" t="s">
        <v>711</v>
      </c>
      <c r="O1209" s="8" t="s">
        <v>206</v>
      </c>
      <c r="P1209" s="8" t="s">
        <v>2104</v>
      </c>
    </row>
    <row r="1210" spans="1:16" ht="25" customHeight="1">
      <c r="A1210" s="12">
        <v>160</v>
      </c>
      <c r="B1210" s="8">
        <v>2</v>
      </c>
      <c r="C1210" s="8" t="s">
        <v>87</v>
      </c>
      <c r="D1210" s="8">
        <v>7</v>
      </c>
      <c r="E1210" s="8" t="s">
        <v>1965</v>
      </c>
      <c r="F1210" s="8">
        <v>5</v>
      </c>
      <c r="G1210" s="8" t="s">
        <v>428</v>
      </c>
      <c r="H1210" s="8" t="s">
        <v>2089</v>
      </c>
      <c r="I1210" s="8" t="s">
        <v>1965</v>
      </c>
      <c r="J1210" s="8">
        <v>0</v>
      </c>
      <c r="K1210" s="8">
        <v>0</v>
      </c>
      <c r="L1210" s="8">
        <v>11</v>
      </c>
      <c r="M1210" s="8" t="s">
        <v>1961</v>
      </c>
      <c r="N1210" s="8" t="s">
        <v>716</v>
      </c>
      <c r="O1210" s="8" t="s">
        <v>206</v>
      </c>
      <c r="P1210" s="8" t="s">
        <v>2104</v>
      </c>
    </row>
    <row r="1211" spans="1:16" ht="25" customHeight="1">
      <c r="A1211" s="12">
        <v>161</v>
      </c>
      <c r="B1211" s="8">
        <v>2</v>
      </c>
      <c r="C1211" s="8" t="s">
        <v>88</v>
      </c>
      <c r="D1211" s="8">
        <v>7</v>
      </c>
      <c r="E1211" s="8" t="s">
        <v>1965</v>
      </c>
      <c r="F1211" s="8">
        <v>3</v>
      </c>
      <c r="G1211" s="8" t="s">
        <v>428</v>
      </c>
      <c r="H1211" s="8" t="s">
        <v>2089</v>
      </c>
      <c r="I1211" s="8" t="s">
        <v>1965</v>
      </c>
      <c r="J1211" s="8">
        <v>1</v>
      </c>
      <c r="K1211" s="8">
        <v>0</v>
      </c>
      <c r="L1211" s="8">
        <v>12</v>
      </c>
      <c r="M1211" s="8" t="s">
        <v>1969</v>
      </c>
      <c r="N1211" s="8" t="s">
        <v>716</v>
      </c>
      <c r="O1211" s="8" t="s">
        <v>215</v>
      </c>
      <c r="P1211" s="8" t="s">
        <v>2095</v>
      </c>
    </row>
    <row r="1212" spans="1:16" ht="25" customHeight="1">
      <c r="A1212" s="12">
        <v>162</v>
      </c>
      <c r="B1212" s="8">
        <v>2</v>
      </c>
      <c r="C1212" s="8" t="s">
        <v>55</v>
      </c>
      <c r="D1212" s="8">
        <v>17</v>
      </c>
      <c r="E1212" s="8" t="s">
        <v>1965</v>
      </c>
      <c r="F1212" s="8">
        <v>3</v>
      </c>
      <c r="G1212" s="8" t="s">
        <v>465</v>
      </c>
      <c r="H1212" s="8" t="s">
        <v>2089</v>
      </c>
      <c r="I1212" s="8" t="s">
        <v>1965</v>
      </c>
      <c r="J1212" s="8">
        <v>1</v>
      </c>
      <c r="K1212" s="8">
        <v>0</v>
      </c>
      <c r="L1212" s="8">
        <v>11</v>
      </c>
      <c r="M1212" s="8" t="s">
        <v>1964</v>
      </c>
      <c r="N1212" s="8" t="s">
        <v>720</v>
      </c>
      <c r="O1212" s="8" t="s">
        <v>203</v>
      </c>
      <c r="P1212" s="8" t="s">
        <v>2090</v>
      </c>
    </row>
    <row r="1213" spans="1:16" ht="25" customHeight="1">
      <c r="A1213" s="12">
        <v>163</v>
      </c>
      <c r="B1213" s="8">
        <v>2</v>
      </c>
      <c r="C1213" s="8" t="s">
        <v>72</v>
      </c>
      <c r="D1213" s="8">
        <v>1</v>
      </c>
      <c r="E1213" s="8" t="s">
        <v>1963</v>
      </c>
      <c r="F1213" s="8">
        <v>9</v>
      </c>
      <c r="G1213" s="8" t="s">
        <v>449</v>
      </c>
      <c r="H1213" s="8" t="s">
        <v>2089</v>
      </c>
      <c r="I1213" s="8" t="s">
        <v>2094</v>
      </c>
      <c r="J1213" s="8">
        <v>0</v>
      </c>
      <c r="K1213" s="8">
        <v>0</v>
      </c>
      <c r="L1213" s="8">
        <v>11</v>
      </c>
      <c r="M1213" s="8" t="s">
        <v>1964</v>
      </c>
      <c r="N1213" s="8" t="s">
        <v>706</v>
      </c>
      <c r="O1213" s="8" t="s">
        <v>203</v>
      </c>
      <c r="P1213" s="8" t="s">
        <v>2090</v>
      </c>
    </row>
    <row r="1214" spans="1:16" ht="25" customHeight="1">
      <c r="A1214" s="12">
        <v>164</v>
      </c>
      <c r="B1214" s="8">
        <v>2</v>
      </c>
      <c r="C1214" s="8" t="s">
        <v>89</v>
      </c>
      <c r="D1214" s="8">
        <v>7</v>
      </c>
      <c r="E1214" s="8" t="s">
        <v>1963</v>
      </c>
      <c r="F1214" s="8">
        <v>3</v>
      </c>
      <c r="G1214" s="8" t="s">
        <v>480</v>
      </c>
      <c r="H1214" s="8" t="s">
        <v>2089</v>
      </c>
      <c r="I1214" s="8" t="s">
        <v>2094</v>
      </c>
      <c r="J1214" s="8">
        <v>1</v>
      </c>
      <c r="K1214" s="8">
        <v>0</v>
      </c>
      <c r="L1214" s="8">
        <v>11</v>
      </c>
      <c r="M1214" s="8" t="s">
        <v>1967</v>
      </c>
      <c r="N1214" s="8" t="s">
        <v>716</v>
      </c>
      <c r="O1214" s="8" t="s">
        <v>206</v>
      </c>
      <c r="P1214" s="8" t="s">
        <v>2104</v>
      </c>
    </row>
    <row r="1215" spans="1:16" ht="25" customHeight="1">
      <c r="A1215" s="12">
        <v>165</v>
      </c>
      <c r="B1215" s="8">
        <v>2</v>
      </c>
      <c r="C1215" s="8" t="s">
        <v>90</v>
      </c>
      <c r="D1215" s="8">
        <v>10</v>
      </c>
      <c r="E1215" s="8" t="s">
        <v>1974</v>
      </c>
      <c r="F1215" s="8">
        <v>0</v>
      </c>
      <c r="G1215" s="8" t="s">
        <v>446</v>
      </c>
      <c r="H1215" s="8" t="s">
        <v>2089</v>
      </c>
      <c r="I1215" s="8" t="s">
        <v>2094</v>
      </c>
      <c r="J1215" s="8">
        <v>1</v>
      </c>
      <c r="K1215" s="8">
        <v>0</v>
      </c>
      <c r="L1215" s="8">
        <v>11</v>
      </c>
      <c r="M1215" s="8" t="s">
        <v>1967</v>
      </c>
      <c r="N1215" s="8" t="s">
        <v>716</v>
      </c>
      <c r="O1215" s="8" t="s">
        <v>206</v>
      </c>
      <c r="P1215" s="8" t="s">
        <v>2104</v>
      </c>
    </row>
    <row r="1216" spans="1:16" ht="25" customHeight="1">
      <c r="A1216" s="12">
        <v>166</v>
      </c>
      <c r="B1216" s="8">
        <v>2</v>
      </c>
      <c r="C1216" s="8" t="s">
        <v>64</v>
      </c>
      <c r="D1216" s="8">
        <v>22</v>
      </c>
      <c r="E1216" s="8" t="s">
        <v>1963</v>
      </c>
      <c r="F1216" s="8">
        <v>5</v>
      </c>
      <c r="G1216" s="8" t="s">
        <v>471</v>
      </c>
      <c r="H1216" s="8" t="s">
        <v>2089</v>
      </c>
      <c r="I1216" s="8" t="s">
        <v>2094</v>
      </c>
      <c r="J1216" s="8">
        <v>1</v>
      </c>
      <c r="K1216" s="8">
        <v>0</v>
      </c>
      <c r="L1216" s="8">
        <v>11</v>
      </c>
      <c r="M1216" s="8" t="s">
        <v>1964</v>
      </c>
      <c r="N1216" s="8" t="s">
        <v>720</v>
      </c>
      <c r="O1216" s="8" t="s">
        <v>203</v>
      </c>
      <c r="P1216" s="8" t="s">
        <v>2090</v>
      </c>
    </row>
    <row r="1217" spans="1:16" ht="25" customHeight="1">
      <c r="A1217" s="12">
        <v>167</v>
      </c>
      <c r="B1217" s="8">
        <v>2</v>
      </c>
      <c r="C1217" s="8" t="s">
        <v>74</v>
      </c>
      <c r="D1217" s="8">
        <v>3</v>
      </c>
      <c r="E1217" s="8" t="s">
        <v>1977</v>
      </c>
      <c r="F1217" s="8">
        <v>-8</v>
      </c>
      <c r="G1217" s="8" t="s">
        <v>468</v>
      </c>
      <c r="H1217" s="8" t="s">
        <v>2089</v>
      </c>
      <c r="I1217" s="8" t="s">
        <v>2094</v>
      </c>
      <c r="J1217" s="8">
        <v>1</v>
      </c>
      <c r="K1217" s="8">
        <v>0</v>
      </c>
      <c r="L1217" s="8">
        <v>11</v>
      </c>
      <c r="M1217" s="8" t="s">
        <v>1961</v>
      </c>
      <c r="N1217" s="8" t="s">
        <v>706</v>
      </c>
      <c r="O1217" s="8" t="s">
        <v>206</v>
      </c>
      <c r="P1217" s="8" t="s">
        <v>2104</v>
      </c>
    </row>
    <row r="1218" spans="1:16" ht="25" customHeight="1">
      <c r="A1218" s="12">
        <v>168</v>
      </c>
      <c r="B1218" s="8">
        <v>3</v>
      </c>
      <c r="C1218" s="8" t="s">
        <v>101</v>
      </c>
      <c r="D1218" s="8">
        <v>14</v>
      </c>
      <c r="E1218" s="8" t="s">
        <v>1963</v>
      </c>
      <c r="F1218" s="8">
        <v>5</v>
      </c>
      <c r="G1218" s="8" t="s">
        <v>446</v>
      </c>
      <c r="H1218" s="8" t="s">
        <v>2089</v>
      </c>
      <c r="I1218" s="8" t="s">
        <v>2094</v>
      </c>
      <c r="J1218" s="8">
        <v>1</v>
      </c>
      <c r="K1218" s="8">
        <v>0</v>
      </c>
      <c r="L1218" s="8">
        <v>11</v>
      </c>
      <c r="M1218" s="8" t="s">
        <v>1961</v>
      </c>
      <c r="N1218" s="8" t="s">
        <v>720</v>
      </c>
      <c r="O1218" s="8" t="s">
        <v>206</v>
      </c>
      <c r="P1218" s="8" t="s">
        <v>2104</v>
      </c>
    </row>
    <row r="1219" spans="1:16" ht="25" customHeight="1">
      <c r="A1219" s="12">
        <v>169</v>
      </c>
      <c r="B1219" s="8">
        <v>3</v>
      </c>
      <c r="C1219" s="8" t="s">
        <v>101</v>
      </c>
      <c r="D1219" s="8">
        <v>11</v>
      </c>
      <c r="E1219" s="8" t="s">
        <v>1963</v>
      </c>
      <c r="F1219" s="8">
        <v>4</v>
      </c>
      <c r="G1219" s="8" t="s">
        <v>449</v>
      </c>
      <c r="H1219" s="8" t="s">
        <v>2089</v>
      </c>
      <c r="I1219" s="8" t="s">
        <v>2094</v>
      </c>
      <c r="J1219" s="8">
        <v>1</v>
      </c>
      <c r="K1219" s="8">
        <v>0</v>
      </c>
      <c r="L1219" s="8">
        <v>11</v>
      </c>
      <c r="M1219" s="8" t="s">
        <v>1964</v>
      </c>
      <c r="N1219" s="8" t="s">
        <v>720</v>
      </c>
      <c r="O1219" s="8" t="s">
        <v>203</v>
      </c>
      <c r="P1219" s="8" t="s">
        <v>2090</v>
      </c>
    </row>
    <row r="1220" spans="1:16" ht="25" customHeight="1">
      <c r="A1220" s="12">
        <v>170</v>
      </c>
      <c r="B1220" s="8">
        <v>3</v>
      </c>
      <c r="C1220" s="8" t="s">
        <v>101</v>
      </c>
      <c r="D1220" s="8">
        <v>17</v>
      </c>
      <c r="E1220" s="8" t="s">
        <v>1974</v>
      </c>
      <c r="F1220" s="8">
        <v>0</v>
      </c>
      <c r="G1220" s="8" t="s">
        <v>449</v>
      </c>
      <c r="H1220" s="8" t="s">
        <v>2089</v>
      </c>
      <c r="I1220" s="8" t="s">
        <v>2094</v>
      </c>
      <c r="J1220" s="8">
        <v>1</v>
      </c>
      <c r="K1220" s="8">
        <v>0</v>
      </c>
      <c r="L1220" s="8">
        <v>11</v>
      </c>
      <c r="M1220" s="8" t="s">
        <v>1964</v>
      </c>
      <c r="N1220" s="8" t="s">
        <v>720</v>
      </c>
      <c r="O1220" s="8" t="s">
        <v>203</v>
      </c>
      <c r="P1220" s="8" t="s">
        <v>2090</v>
      </c>
    </row>
    <row r="1221" spans="1:16" ht="25" customHeight="1">
      <c r="A1221" s="12">
        <v>171</v>
      </c>
      <c r="B1221" s="8">
        <v>3</v>
      </c>
      <c r="C1221" s="8" t="s">
        <v>101</v>
      </c>
      <c r="D1221" s="8">
        <v>22</v>
      </c>
      <c r="E1221" s="8" t="s">
        <v>1963</v>
      </c>
      <c r="F1221" s="8">
        <v>11</v>
      </c>
      <c r="G1221" s="8" t="s">
        <v>449</v>
      </c>
      <c r="H1221" s="8" t="s">
        <v>2089</v>
      </c>
      <c r="I1221" s="8" t="s">
        <v>2094</v>
      </c>
      <c r="J1221" s="8">
        <v>0</v>
      </c>
      <c r="K1221" s="8">
        <v>0</v>
      </c>
      <c r="L1221" s="8">
        <v>11</v>
      </c>
      <c r="M1221" s="8" t="s">
        <v>1964</v>
      </c>
      <c r="N1221" s="8" t="s">
        <v>720</v>
      </c>
      <c r="O1221" s="8" t="s">
        <v>203</v>
      </c>
      <c r="P1221" s="8" t="s">
        <v>2090</v>
      </c>
    </row>
    <row r="1222" spans="1:16" ht="25" customHeight="1">
      <c r="A1222" s="12">
        <v>172</v>
      </c>
      <c r="B1222" s="8">
        <v>3</v>
      </c>
      <c r="C1222" s="8" t="s">
        <v>101</v>
      </c>
      <c r="D1222" s="8">
        <v>12</v>
      </c>
      <c r="E1222" s="8" t="s">
        <v>2065</v>
      </c>
      <c r="F1222" s="8">
        <v>4</v>
      </c>
      <c r="G1222" s="8" t="s">
        <v>561</v>
      </c>
      <c r="H1222" s="8" t="s">
        <v>2089</v>
      </c>
      <c r="I1222" s="8" t="s">
        <v>2094</v>
      </c>
      <c r="J1222" s="8">
        <v>1</v>
      </c>
      <c r="K1222" s="8">
        <v>0</v>
      </c>
      <c r="L1222" s="8">
        <v>11</v>
      </c>
      <c r="M1222" s="8" t="s">
        <v>1964</v>
      </c>
      <c r="N1222" s="8" t="s">
        <v>720</v>
      </c>
      <c r="O1222" s="8" t="s">
        <v>203</v>
      </c>
      <c r="P1222" s="8" t="s">
        <v>2090</v>
      </c>
    </row>
    <row r="1223" spans="1:16" ht="25" customHeight="1">
      <c r="A1223" s="12">
        <v>173</v>
      </c>
      <c r="B1223" s="8">
        <v>3</v>
      </c>
      <c r="C1223" s="8" t="s">
        <v>101</v>
      </c>
      <c r="D1223" s="8">
        <v>12</v>
      </c>
      <c r="E1223" s="8" t="s">
        <v>1963</v>
      </c>
      <c r="F1223" s="8">
        <v>49</v>
      </c>
      <c r="G1223" s="8" t="s">
        <v>449</v>
      </c>
      <c r="H1223" s="8" t="s">
        <v>2089</v>
      </c>
      <c r="I1223" s="8" t="s">
        <v>2094</v>
      </c>
      <c r="J1223" s="8">
        <v>0</v>
      </c>
      <c r="K1223" s="8">
        <v>1</v>
      </c>
      <c r="L1223" s="8">
        <v>11</v>
      </c>
      <c r="M1223" s="8" t="s">
        <v>1961</v>
      </c>
      <c r="N1223" s="8" t="s">
        <v>720</v>
      </c>
      <c r="O1223" s="8" t="s">
        <v>206</v>
      </c>
      <c r="P1223" s="8" t="s">
        <v>2104</v>
      </c>
    </row>
    <row r="1224" spans="1:16" ht="25" customHeight="1">
      <c r="A1224" s="12">
        <v>174</v>
      </c>
      <c r="B1224" s="8">
        <v>3</v>
      </c>
      <c r="C1224" s="8" t="s">
        <v>102</v>
      </c>
      <c r="D1224" s="8">
        <v>11</v>
      </c>
      <c r="E1224" s="8" t="s">
        <v>1977</v>
      </c>
      <c r="F1224" s="8">
        <v>-5</v>
      </c>
      <c r="G1224" s="8" t="s">
        <v>449</v>
      </c>
      <c r="H1224" s="8" t="s">
        <v>2089</v>
      </c>
      <c r="I1224" s="8" t="s">
        <v>2094</v>
      </c>
      <c r="J1224" s="8">
        <v>1</v>
      </c>
      <c r="K1224" s="8">
        <v>0</v>
      </c>
      <c r="L1224" s="8">
        <v>11</v>
      </c>
      <c r="M1224" s="8" t="s">
        <v>1964</v>
      </c>
      <c r="N1224" s="8" t="s">
        <v>720</v>
      </c>
      <c r="O1224" s="8" t="s">
        <v>203</v>
      </c>
      <c r="P1224" s="8" t="s">
        <v>2090</v>
      </c>
    </row>
    <row r="1225" spans="1:16" ht="25" customHeight="1">
      <c r="A1225" s="12">
        <v>175</v>
      </c>
      <c r="B1225" s="8">
        <v>3</v>
      </c>
      <c r="C1225" s="8" t="s">
        <v>102</v>
      </c>
      <c r="D1225" s="8">
        <v>5</v>
      </c>
      <c r="E1225" s="8" t="s">
        <v>1963</v>
      </c>
      <c r="F1225" s="8">
        <v>1</v>
      </c>
      <c r="G1225" s="8" t="s">
        <v>474</v>
      </c>
      <c r="H1225" s="8" t="s">
        <v>2089</v>
      </c>
      <c r="I1225" s="8" t="s">
        <v>2094</v>
      </c>
      <c r="J1225" s="8">
        <v>1</v>
      </c>
      <c r="K1225" s="8">
        <v>0</v>
      </c>
      <c r="L1225" s="8">
        <v>11</v>
      </c>
      <c r="M1225" s="8" t="s">
        <v>1961</v>
      </c>
      <c r="N1225" s="8" t="s">
        <v>711</v>
      </c>
      <c r="O1225" s="8" t="s">
        <v>206</v>
      </c>
      <c r="P1225" s="8" t="s">
        <v>2104</v>
      </c>
    </row>
    <row r="1226" spans="1:16" ht="25" customHeight="1">
      <c r="A1226" s="12">
        <v>176</v>
      </c>
      <c r="B1226" s="8">
        <v>3</v>
      </c>
      <c r="C1226" s="8" t="s">
        <v>102</v>
      </c>
      <c r="D1226" s="8">
        <v>9</v>
      </c>
      <c r="E1226" s="8" t="s">
        <v>1965</v>
      </c>
      <c r="F1226" s="8">
        <v>3</v>
      </c>
      <c r="G1226" s="8" t="s">
        <v>428</v>
      </c>
      <c r="H1226" s="8" t="s">
        <v>2089</v>
      </c>
      <c r="I1226" s="8" t="s">
        <v>1965</v>
      </c>
      <c r="J1226" s="8">
        <v>1</v>
      </c>
      <c r="K1226" s="8">
        <v>0</v>
      </c>
      <c r="L1226" s="8">
        <v>11</v>
      </c>
      <c r="M1226" s="8" t="s">
        <v>1964</v>
      </c>
      <c r="N1226" s="8" t="s">
        <v>716</v>
      </c>
      <c r="O1226" s="8" t="s">
        <v>203</v>
      </c>
      <c r="P1226" s="8" t="s">
        <v>2090</v>
      </c>
    </row>
    <row r="1227" spans="1:16" ht="25" customHeight="1">
      <c r="A1227" s="12">
        <v>177</v>
      </c>
      <c r="B1227" s="8">
        <v>3</v>
      </c>
      <c r="C1227" s="8" t="s">
        <v>102</v>
      </c>
      <c r="D1227" s="8">
        <v>10</v>
      </c>
      <c r="E1227" s="8" t="s">
        <v>1963</v>
      </c>
      <c r="F1227" s="8">
        <v>5</v>
      </c>
      <c r="G1227" s="8" t="s">
        <v>449</v>
      </c>
      <c r="H1227" s="8" t="s">
        <v>2089</v>
      </c>
      <c r="I1227" s="8" t="s">
        <v>2094</v>
      </c>
      <c r="J1227" s="8">
        <v>1</v>
      </c>
      <c r="K1227" s="8">
        <v>0</v>
      </c>
      <c r="L1227" s="8">
        <v>11</v>
      </c>
      <c r="M1227" s="8" t="s">
        <v>1979</v>
      </c>
      <c r="N1227" s="8" t="s">
        <v>716</v>
      </c>
      <c r="O1227" s="8" t="s">
        <v>222</v>
      </c>
      <c r="P1227" s="8" t="s">
        <v>2095</v>
      </c>
    </row>
    <row r="1228" spans="1:16" ht="25" customHeight="1">
      <c r="A1228" s="12">
        <v>178</v>
      </c>
      <c r="B1228" s="8">
        <v>3</v>
      </c>
      <c r="C1228" s="8" t="s">
        <v>42</v>
      </c>
      <c r="D1228" s="8">
        <v>4</v>
      </c>
      <c r="E1228" s="8" t="s">
        <v>1977</v>
      </c>
      <c r="F1228" s="8">
        <v>-7</v>
      </c>
      <c r="G1228" s="8" t="s">
        <v>449</v>
      </c>
      <c r="H1228" s="8" t="s">
        <v>2089</v>
      </c>
      <c r="I1228" s="8" t="s">
        <v>2094</v>
      </c>
      <c r="J1228" s="8">
        <v>1</v>
      </c>
      <c r="K1228" s="8">
        <v>0</v>
      </c>
      <c r="L1228" s="8">
        <v>11</v>
      </c>
      <c r="M1228" s="8" t="s">
        <v>1964</v>
      </c>
      <c r="N1228" s="8" t="s">
        <v>711</v>
      </c>
      <c r="O1228" s="8" t="s">
        <v>203</v>
      </c>
      <c r="P1228" s="8" t="s">
        <v>2090</v>
      </c>
    </row>
    <row r="1229" spans="1:16" ht="25" customHeight="1">
      <c r="A1229" s="12">
        <v>179</v>
      </c>
      <c r="B1229" s="8">
        <v>3</v>
      </c>
      <c r="C1229" s="8" t="s">
        <v>42</v>
      </c>
      <c r="D1229" s="8">
        <v>4</v>
      </c>
      <c r="E1229" s="8" t="s">
        <v>1966</v>
      </c>
      <c r="F1229" s="8">
        <v>3</v>
      </c>
      <c r="G1229" s="8" t="s">
        <v>449</v>
      </c>
      <c r="H1229" s="8" t="s">
        <v>2089</v>
      </c>
      <c r="I1229" s="8" t="s">
        <v>2094</v>
      </c>
      <c r="J1229" s="8">
        <v>1</v>
      </c>
      <c r="K1229" s="8">
        <v>0</v>
      </c>
      <c r="L1229" s="8">
        <v>11</v>
      </c>
      <c r="M1229" s="8" t="s">
        <v>1967</v>
      </c>
      <c r="N1229" s="8" t="s">
        <v>711</v>
      </c>
      <c r="O1229" s="8" t="s">
        <v>206</v>
      </c>
      <c r="P1229" s="8" t="s">
        <v>2104</v>
      </c>
    </row>
    <row r="1230" spans="1:16" ht="25" customHeight="1">
      <c r="A1230" s="12">
        <v>180</v>
      </c>
      <c r="B1230" s="8">
        <v>3</v>
      </c>
      <c r="C1230" s="8" t="s">
        <v>42</v>
      </c>
      <c r="D1230" s="8">
        <v>7</v>
      </c>
      <c r="E1230" s="8" t="s">
        <v>1963</v>
      </c>
      <c r="F1230" s="8">
        <v>8</v>
      </c>
      <c r="G1230" s="8" t="s">
        <v>449</v>
      </c>
      <c r="H1230" s="8" t="s">
        <v>2089</v>
      </c>
      <c r="I1230" s="8" t="s">
        <v>2094</v>
      </c>
      <c r="J1230" s="8">
        <v>0</v>
      </c>
      <c r="K1230" s="8">
        <v>0</v>
      </c>
      <c r="L1230" s="8">
        <v>11</v>
      </c>
      <c r="M1230" s="8" t="s">
        <v>1973</v>
      </c>
      <c r="N1230" s="8" t="s">
        <v>716</v>
      </c>
      <c r="O1230" s="8" t="s">
        <v>222</v>
      </c>
      <c r="P1230" s="8" t="s">
        <v>2095</v>
      </c>
    </row>
    <row r="1231" spans="1:16" ht="25" customHeight="1">
      <c r="A1231" s="12">
        <v>181</v>
      </c>
      <c r="B1231" s="8">
        <v>3</v>
      </c>
      <c r="C1231" s="8" t="s">
        <v>77</v>
      </c>
      <c r="D1231" s="8">
        <v>1</v>
      </c>
      <c r="E1231" s="8" t="s">
        <v>1965</v>
      </c>
      <c r="F1231" s="8">
        <v>1</v>
      </c>
      <c r="G1231" s="8" t="s">
        <v>477</v>
      </c>
      <c r="H1231" s="8" t="s">
        <v>2089</v>
      </c>
      <c r="I1231" s="8" t="s">
        <v>1965</v>
      </c>
      <c r="J1231" s="8">
        <v>0</v>
      </c>
      <c r="K1231" s="8">
        <v>0</v>
      </c>
      <c r="L1231" s="8">
        <v>11</v>
      </c>
      <c r="M1231" s="8" t="s">
        <v>1967</v>
      </c>
      <c r="N1231" s="8" t="s">
        <v>706</v>
      </c>
      <c r="O1231" s="8" t="s">
        <v>206</v>
      </c>
      <c r="P1231" s="8" t="s">
        <v>2104</v>
      </c>
    </row>
    <row r="1232" spans="1:16" ht="25" customHeight="1">
      <c r="A1232" s="12">
        <v>182</v>
      </c>
      <c r="B1232" s="8">
        <v>3</v>
      </c>
      <c r="C1232" s="8" t="s">
        <v>77</v>
      </c>
      <c r="D1232" s="8">
        <v>6</v>
      </c>
      <c r="E1232" s="8" t="s">
        <v>1963</v>
      </c>
      <c r="F1232" s="8">
        <v>5</v>
      </c>
      <c r="G1232" s="8" t="s">
        <v>449</v>
      </c>
      <c r="H1232" s="8" t="s">
        <v>2089</v>
      </c>
      <c r="I1232" s="8" t="s">
        <v>2094</v>
      </c>
      <c r="J1232" s="8">
        <v>1</v>
      </c>
      <c r="K1232" s="8">
        <v>0</v>
      </c>
      <c r="L1232" s="8">
        <v>11</v>
      </c>
      <c r="M1232" s="8" t="s">
        <v>1967</v>
      </c>
      <c r="N1232" s="8" t="s">
        <v>711</v>
      </c>
      <c r="O1232" s="8" t="s">
        <v>206</v>
      </c>
      <c r="P1232" s="8" t="s">
        <v>2104</v>
      </c>
    </row>
    <row r="1233" spans="1:16" ht="25" customHeight="1">
      <c r="A1233" s="12">
        <v>183</v>
      </c>
      <c r="B1233" s="8">
        <v>3</v>
      </c>
      <c r="C1233" s="8" t="s">
        <v>77</v>
      </c>
      <c r="D1233" s="8">
        <v>5</v>
      </c>
      <c r="E1233" s="8" t="s">
        <v>1965</v>
      </c>
      <c r="F1233" s="8">
        <v>-1</v>
      </c>
      <c r="G1233" s="8" t="s">
        <v>432</v>
      </c>
      <c r="H1233" s="8" t="s">
        <v>2089</v>
      </c>
      <c r="I1233" s="8" t="s">
        <v>1965</v>
      </c>
      <c r="J1233" s="8">
        <v>1</v>
      </c>
      <c r="K1233" s="8">
        <v>0</v>
      </c>
      <c r="L1233" s="8" t="s">
        <v>132</v>
      </c>
      <c r="M1233" s="8" t="s">
        <v>1967</v>
      </c>
      <c r="N1233" s="8" t="s">
        <v>711</v>
      </c>
      <c r="O1233" s="8" t="s">
        <v>206</v>
      </c>
      <c r="P1233" s="8" t="s">
        <v>2097</v>
      </c>
    </row>
    <row r="1234" spans="1:16" ht="25" customHeight="1">
      <c r="A1234" s="12">
        <v>184</v>
      </c>
      <c r="B1234" s="8">
        <v>3</v>
      </c>
      <c r="C1234" s="8" t="s">
        <v>99</v>
      </c>
      <c r="D1234" s="8">
        <v>13</v>
      </c>
      <c r="E1234" s="8" t="s">
        <v>1963</v>
      </c>
      <c r="F1234" s="8">
        <v>14</v>
      </c>
      <c r="G1234" s="8" t="s">
        <v>449</v>
      </c>
      <c r="H1234" s="8" t="s">
        <v>2089</v>
      </c>
      <c r="I1234" s="8" t="s">
        <v>2094</v>
      </c>
      <c r="J1234" s="8">
        <v>0</v>
      </c>
      <c r="K1234" s="8">
        <v>0</v>
      </c>
      <c r="L1234" s="8">
        <v>11</v>
      </c>
      <c r="M1234" s="8" t="s">
        <v>1967</v>
      </c>
      <c r="N1234" s="8" t="s">
        <v>720</v>
      </c>
      <c r="O1234" s="8" t="s">
        <v>206</v>
      </c>
      <c r="P1234" s="8" t="s">
        <v>2104</v>
      </c>
    </row>
    <row r="1235" spans="1:16" ht="25" customHeight="1">
      <c r="A1235" s="12">
        <v>185</v>
      </c>
      <c r="B1235" s="8">
        <v>3</v>
      </c>
      <c r="C1235" s="8" t="s">
        <v>99</v>
      </c>
      <c r="D1235" s="8">
        <v>14</v>
      </c>
      <c r="E1235" s="8" t="s">
        <v>1974</v>
      </c>
      <c r="F1235" s="8">
        <v>0</v>
      </c>
      <c r="G1235" s="8" t="s">
        <v>449</v>
      </c>
      <c r="H1235" s="8" t="s">
        <v>2089</v>
      </c>
      <c r="I1235" s="8" t="s">
        <v>2094</v>
      </c>
      <c r="J1235" s="8">
        <v>1</v>
      </c>
      <c r="K1235" s="8">
        <v>0</v>
      </c>
      <c r="L1235" s="8">
        <v>11</v>
      </c>
      <c r="M1235" s="8" t="s">
        <v>1967</v>
      </c>
      <c r="N1235" s="8" t="s">
        <v>720</v>
      </c>
      <c r="O1235" s="8" t="s">
        <v>206</v>
      </c>
      <c r="P1235" s="8" t="s">
        <v>2104</v>
      </c>
    </row>
    <row r="1236" spans="1:16" ht="25" customHeight="1">
      <c r="A1236" s="12">
        <v>186</v>
      </c>
      <c r="B1236" s="8">
        <v>3</v>
      </c>
      <c r="C1236" s="8" t="s">
        <v>99</v>
      </c>
      <c r="D1236" s="8">
        <v>10</v>
      </c>
      <c r="E1236" s="8" t="s">
        <v>1963</v>
      </c>
      <c r="F1236" s="8">
        <v>12</v>
      </c>
      <c r="G1236" s="8" t="s">
        <v>449</v>
      </c>
      <c r="H1236" s="8" t="s">
        <v>2089</v>
      </c>
      <c r="I1236" s="8" t="s">
        <v>2094</v>
      </c>
      <c r="J1236" s="8">
        <v>0</v>
      </c>
      <c r="K1236" s="8">
        <v>0</v>
      </c>
      <c r="L1236" s="8">
        <v>11</v>
      </c>
      <c r="M1236" s="8" t="s">
        <v>1967</v>
      </c>
      <c r="N1236" s="8" t="s">
        <v>716</v>
      </c>
      <c r="O1236" s="8" t="s">
        <v>206</v>
      </c>
      <c r="P1236" s="8" t="s">
        <v>2104</v>
      </c>
    </row>
    <row r="1237" spans="1:16" ht="25" customHeight="1">
      <c r="A1237" s="12">
        <v>187</v>
      </c>
      <c r="B1237" s="8">
        <v>3</v>
      </c>
      <c r="C1237" s="8" t="s">
        <v>35</v>
      </c>
      <c r="D1237" s="8">
        <v>2</v>
      </c>
      <c r="E1237" s="8" t="s">
        <v>1965</v>
      </c>
      <c r="F1237" s="8">
        <v>5</v>
      </c>
      <c r="G1237" s="8" t="s">
        <v>428</v>
      </c>
      <c r="H1237" s="8" t="s">
        <v>2089</v>
      </c>
      <c r="I1237" s="8" t="s">
        <v>1965</v>
      </c>
      <c r="J1237" s="8">
        <v>0</v>
      </c>
      <c r="K1237" s="8">
        <v>0</v>
      </c>
      <c r="L1237" s="8">
        <v>12</v>
      </c>
      <c r="M1237" s="8" t="s">
        <v>1964</v>
      </c>
      <c r="N1237" s="8" t="s">
        <v>706</v>
      </c>
      <c r="O1237" s="8" t="s">
        <v>203</v>
      </c>
      <c r="P1237" s="8" t="s">
        <v>2102</v>
      </c>
    </row>
    <row r="1238" spans="1:16" ht="25" customHeight="1">
      <c r="A1238" s="12">
        <v>188</v>
      </c>
      <c r="B1238" s="8">
        <v>3</v>
      </c>
      <c r="C1238" s="8" t="s">
        <v>35</v>
      </c>
      <c r="D1238" s="8">
        <v>5</v>
      </c>
      <c r="F1238" s="8">
        <v>0</v>
      </c>
      <c r="H1238" s="8" t="s">
        <v>2109</v>
      </c>
      <c r="I1238" s="8" t="s">
        <v>2110</v>
      </c>
      <c r="L1238" s="8">
        <v>11</v>
      </c>
      <c r="M1238" s="8" t="s">
        <v>1961</v>
      </c>
      <c r="N1238" s="8" t="s">
        <v>711</v>
      </c>
      <c r="O1238" s="8" t="s">
        <v>206</v>
      </c>
      <c r="P1238" s="8" t="s">
        <v>2104</v>
      </c>
    </row>
    <row r="1239" spans="1:16" ht="25" customHeight="1">
      <c r="A1239" s="12">
        <v>189</v>
      </c>
      <c r="B1239" s="8">
        <v>3</v>
      </c>
      <c r="C1239" s="8" t="s">
        <v>35</v>
      </c>
      <c r="D1239" s="8">
        <v>9</v>
      </c>
      <c r="E1239" s="8" t="s">
        <v>1965</v>
      </c>
      <c r="F1239" s="8">
        <v>0</v>
      </c>
      <c r="G1239" s="8" t="s">
        <v>428</v>
      </c>
      <c r="H1239" s="8" t="s">
        <v>2089</v>
      </c>
      <c r="I1239" s="8" t="s">
        <v>1965</v>
      </c>
      <c r="J1239" s="8">
        <v>1</v>
      </c>
      <c r="K1239" s="8">
        <v>0</v>
      </c>
      <c r="L1239" s="8">
        <v>12</v>
      </c>
      <c r="M1239" s="8" t="s">
        <v>1964</v>
      </c>
      <c r="N1239" s="8" t="s">
        <v>716</v>
      </c>
      <c r="O1239" s="8" t="s">
        <v>203</v>
      </c>
      <c r="P1239" s="8" t="s">
        <v>2102</v>
      </c>
    </row>
    <row r="1240" spans="1:16" ht="25" customHeight="1">
      <c r="A1240" s="12">
        <v>190</v>
      </c>
      <c r="B1240" s="8">
        <v>3</v>
      </c>
      <c r="C1240" s="8" t="s">
        <v>27</v>
      </c>
      <c r="D1240" s="8">
        <v>4</v>
      </c>
      <c r="E1240" s="8" t="s">
        <v>1974</v>
      </c>
      <c r="F1240" s="8">
        <v>0</v>
      </c>
      <c r="G1240" s="8" t="s">
        <v>449</v>
      </c>
      <c r="H1240" s="8" t="s">
        <v>2089</v>
      </c>
      <c r="I1240" s="8" t="s">
        <v>2094</v>
      </c>
      <c r="J1240" s="8">
        <v>1</v>
      </c>
      <c r="K1240" s="8">
        <v>0</v>
      </c>
      <c r="L1240" s="8">
        <v>11</v>
      </c>
      <c r="M1240" s="8" t="s">
        <v>1964</v>
      </c>
      <c r="N1240" s="8" t="s">
        <v>711</v>
      </c>
      <c r="O1240" s="8" t="s">
        <v>203</v>
      </c>
      <c r="P1240" s="8" t="s">
        <v>2090</v>
      </c>
    </row>
    <row r="1241" spans="1:16" ht="25" customHeight="1">
      <c r="A1241" s="12">
        <v>191</v>
      </c>
      <c r="B1241" s="8">
        <v>3</v>
      </c>
      <c r="C1241" s="8" t="s">
        <v>27</v>
      </c>
      <c r="D1241" s="8">
        <v>10</v>
      </c>
      <c r="E1241" s="8" t="s">
        <v>1965</v>
      </c>
      <c r="F1241" s="8">
        <v>1</v>
      </c>
      <c r="G1241" s="8" t="s">
        <v>428</v>
      </c>
      <c r="H1241" s="8" t="s">
        <v>2089</v>
      </c>
      <c r="I1241" s="8" t="s">
        <v>1965</v>
      </c>
      <c r="J1241" s="8">
        <v>1</v>
      </c>
      <c r="K1241" s="8">
        <v>0</v>
      </c>
      <c r="L1241" s="8">
        <v>11</v>
      </c>
      <c r="M1241" s="8" t="s">
        <v>1964</v>
      </c>
      <c r="N1241" s="8" t="s">
        <v>716</v>
      </c>
      <c r="O1241" s="8" t="s">
        <v>203</v>
      </c>
      <c r="P1241" s="8" t="s">
        <v>2090</v>
      </c>
    </row>
    <row r="1242" spans="1:16" ht="25" customHeight="1">
      <c r="A1242" s="12">
        <v>192</v>
      </c>
      <c r="B1242" s="8">
        <v>3</v>
      </c>
      <c r="C1242" s="8" t="s">
        <v>60</v>
      </c>
      <c r="D1242" s="8">
        <v>1</v>
      </c>
      <c r="E1242" s="8" t="s">
        <v>1965</v>
      </c>
      <c r="F1242" s="8">
        <v>2</v>
      </c>
      <c r="G1242" s="8" t="s">
        <v>477</v>
      </c>
      <c r="H1242" s="8" t="s">
        <v>2089</v>
      </c>
      <c r="I1242" s="8" t="s">
        <v>1965</v>
      </c>
      <c r="J1242" s="8">
        <v>0</v>
      </c>
      <c r="K1242" s="8">
        <v>0</v>
      </c>
      <c r="L1242" s="8">
        <v>11</v>
      </c>
      <c r="M1242" s="8" t="s">
        <v>1964</v>
      </c>
      <c r="N1242" s="8" t="s">
        <v>706</v>
      </c>
      <c r="O1242" s="8" t="s">
        <v>203</v>
      </c>
      <c r="P1242" s="8" t="s">
        <v>2090</v>
      </c>
    </row>
    <row r="1243" spans="1:16" ht="25" customHeight="1">
      <c r="A1243" s="12">
        <v>193</v>
      </c>
      <c r="B1243" s="8">
        <v>3</v>
      </c>
      <c r="C1243" s="8" t="s">
        <v>60</v>
      </c>
      <c r="D1243" s="8">
        <v>4</v>
      </c>
      <c r="E1243" s="8" t="s">
        <v>1974</v>
      </c>
      <c r="F1243" s="8">
        <v>0</v>
      </c>
      <c r="G1243" s="8" t="s">
        <v>446</v>
      </c>
      <c r="H1243" s="8" t="s">
        <v>2089</v>
      </c>
      <c r="I1243" s="8" t="s">
        <v>2094</v>
      </c>
      <c r="J1243" s="8">
        <v>1</v>
      </c>
      <c r="K1243" s="8">
        <v>0</v>
      </c>
      <c r="L1243" s="8">
        <v>11</v>
      </c>
      <c r="M1243" s="8" t="s">
        <v>2116</v>
      </c>
      <c r="N1243" s="8" t="s">
        <v>711</v>
      </c>
      <c r="O1243" s="8" t="s">
        <v>215</v>
      </c>
      <c r="P1243" s="8" t="s">
        <v>2095</v>
      </c>
    </row>
    <row r="1244" spans="1:16" ht="25" customHeight="1">
      <c r="A1244" s="12">
        <v>194</v>
      </c>
      <c r="B1244" s="8">
        <v>3</v>
      </c>
      <c r="C1244" s="8" t="s">
        <v>66</v>
      </c>
      <c r="D1244" s="8">
        <v>1</v>
      </c>
      <c r="E1244" s="8" t="s">
        <v>1965</v>
      </c>
      <c r="F1244" s="8">
        <v>1</v>
      </c>
      <c r="G1244" s="8" t="s">
        <v>428</v>
      </c>
      <c r="H1244" s="8" t="s">
        <v>2089</v>
      </c>
      <c r="I1244" s="8" t="s">
        <v>1965</v>
      </c>
      <c r="J1244" s="8">
        <v>0</v>
      </c>
      <c r="K1244" s="8">
        <v>0</v>
      </c>
      <c r="L1244" s="8">
        <v>11</v>
      </c>
      <c r="M1244" s="8" t="s">
        <v>1964</v>
      </c>
      <c r="N1244" s="8" t="s">
        <v>706</v>
      </c>
      <c r="O1244" s="8" t="s">
        <v>203</v>
      </c>
      <c r="P1244" s="8" t="s">
        <v>2090</v>
      </c>
    </row>
    <row r="1245" spans="1:16" ht="25" customHeight="1">
      <c r="A1245" s="12">
        <v>195</v>
      </c>
      <c r="B1245" s="8">
        <v>3</v>
      </c>
      <c r="C1245" s="8" t="s">
        <v>66</v>
      </c>
      <c r="D1245" s="8">
        <v>4</v>
      </c>
      <c r="E1245" s="8" t="s">
        <v>1965</v>
      </c>
      <c r="F1245" s="8">
        <v>0</v>
      </c>
      <c r="G1245" s="8" t="s">
        <v>428</v>
      </c>
      <c r="H1245" s="8" t="s">
        <v>2089</v>
      </c>
      <c r="I1245" s="8" t="s">
        <v>1965</v>
      </c>
      <c r="J1245" s="8">
        <v>1</v>
      </c>
      <c r="K1245" s="8">
        <v>0</v>
      </c>
      <c r="L1245" s="8">
        <v>12</v>
      </c>
      <c r="M1245" s="8" t="s">
        <v>1961</v>
      </c>
      <c r="N1245" s="8" t="s">
        <v>711</v>
      </c>
      <c r="O1245" s="8" t="s">
        <v>206</v>
      </c>
      <c r="P1245" s="8" t="s">
        <v>2099</v>
      </c>
    </row>
    <row r="1246" spans="1:16" ht="25" customHeight="1">
      <c r="A1246" s="12">
        <v>196</v>
      </c>
      <c r="B1246" s="8">
        <v>3</v>
      </c>
      <c r="D1246" s="8">
        <v>2</v>
      </c>
      <c r="F1246" s="8">
        <v>0</v>
      </c>
      <c r="H1246" s="8" t="s">
        <v>2109</v>
      </c>
      <c r="I1246" s="8" t="s">
        <v>2110</v>
      </c>
      <c r="L1246" s="8" t="s">
        <v>132</v>
      </c>
      <c r="M1246" s="8" t="s">
        <v>1964</v>
      </c>
      <c r="N1246" s="8" t="s">
        <v>706</v>
      </c>
      <c r="O1246" s="8" t="s">
        <v>203</v>
      </c>
      <c r="P1246" s="8" t="s">
        <v>2095</v>
      </c>
    </row>
    <row r="1247" spans="1:16" ht="25" customHeight="1">
      <c r="A1247" s="12">
        <v>197</v>
      </c>
      <c r="B1247" s="8">
        <v>3</v>
      </c>
      <c r="C1247" s="8" t="s">
        <v>37</v>
      </c>
      <c r="D1247" s="8">
        <v>6</v>
      </c>
      <c r="E1247" s="8" t="s">
        <v>1963</v>
      </c>
      <c r="F1247" s="8">
        <v>6</v>
      </c>
      <c r="G1247" s="8" t="s">
        <v>449</v>
      </c>
      <c r="H1247" s="8" t="s">
        <v>2089</v>
      </c>
      <c r="I1247" s="8" t="s">
        <v>2094</v>
      </c>
      <c r="J1247" s="8">
        <v>0</v>
      </c>
      <c r="K1247" s="8">
        <v>0</v>
      </c>
      <c r="L1247" s="8">
        <v>11</v>
      </c>
      <c r="M1247" s="8" t="s">
        <v>1961</v>
      </c>
      <c r="N1247" s="8" t="s">
        <v>711</v>
      </c>
      <c r="O1247" s="8" t="s">
        <v>206</v>
      </c>
      <c r="P1247" s="8" t="s">
        <v>2104</v>
      </c>
    </row>
    <row r="1248" spans="1:16" ht="25" customHeight="1">
      <c r="A1248" s="12">
        <v>198</v>
      </c>
      <c r="B1248" s="8">
        <v>3</v>
      </c>
      <c r="C1248" s="8" t="s">
        <v>32</v>
      </c>
      <c r="D1248" s="8">
        <v>1</v>
      </c>
      <c r="E1248" s="8" t="s">
        <v>1965</v>
      </c>
      <c r="F1248" s="8">
        <v>8</v>
      </c>
      <c r="G1248" s="8" t="s">
        <v>432</v>
      </c>
      <c r="H1248" s="8" t="s">
        <v>2089</v>
      </c>
      <c r="I1248" s="8" t="s">
        <v>1965</v>
      </c>
      <c r="J1248" s="8">
        <v>0</v>
      </c>
      <c r="K1248" s="8">
        <v>0</v>
      </c>
      <c r="L1248" s="8" t="s">
        <v>132</v>
      </c>
      <c r="M1248" s="8" t="s">
        <v>1967</v>
      </c>
      <c r="N1248" s="8" t="s">
        <v>706</v>
      </c>
      <c r="O1248" s="8" t="s">
        <v>206</v>
      </c>
      <c r="P1248" s="8" t="s">
        <v>2097</v>
      </c>
    </row>
    <row r="1249" spans="1:16" ht="25" customHeight="1">
      <c r="A1249" s="12">
        <v>199</v>
      </c>
      <c r="B1249" s="8">
        <v>3</v>
      </c>
      <c r="C1249" s="8" t="s">
        <v>44</v>
      </c>
      <c r="D1249" s="8">
        <v>21</v>
      </c>
      <c r="E1249" s="8" t="s">
        <v>2112</v>
      </c>
      <c r="F1249" s="8">
        <v>-2</v>
      </c>
      <c r="H1249" s="8" t="s">
        <v>2109</v>
      </c>
      <c r="I1249" s="8" t="s">
        <v>2110</v>
      </c>
      <c r="L1249" s="8" t="s">
        <v>132</v>
      </c>
      <c r="M1249" s="8" t="s">
        <v>1964</v>
      </c>
      <c r="N1249" s="8" t="s">
        <v>720</v>
      </c>
      <c r="O1249" s="8" t="s">
        <v>203</v>
      </c>
      <c r="P1249" s="8" t="s">
        <v>2095</v>
      </c>
    </row>
    <row r="1250" spans="1:16" ht="25" customHeight="1">
      <c r="A1250" s="12">
        <v>200</v>
      </c>
      <c r="B1250" s="8">
        <v>3</v>
      </c>
      <c r="C1250" s="8" t="s">
        <v>46</v>
      </c>
      <c r="D1250" s="8">
        <v>7</v>
      </c>
      <c r="E1250" s="8" t="s">
        <v>1963</v>
      </c>
      <c r="F1250" s="8">
        <v>7</v>
      </c>
      <c r="G1250" s="8" t="s">
        <v>471</v>
      </c>
      <c r="H1250" s="8" t="s">
        <v>2089</v>
      </c>
      <c r="I1250" s="8" t="s">
        <v>2094</v>
      </c>
      <c r="J1250" s="8">
        <v>0</v>
      </c>
      <c r="K1250" s="8">
        <v>0</v>
      </c>
      <c r="L1250" s="8" t="s">
        <v>132</v>
      </c>
      <c r="M1250" s="8" t="s">
        <v>1967</v>
      </c>
      <c r="N1250" s="8" t="s">
        <v>716</v>
      </c>
      <c r="O1250" s="8" t="s">
        <v>206</v>
      </c>
      <c r="P1250" s="8" t="s">
        <v>2097</v>
      </c>
    </row>
    <row r="1251" spans="1:16" ht="25" customHeight="1">
      <c r="A1251" s="12">
        <v>201</v>
      </c>
      <c r="B1251" s="8">
        <v>3</v>
      </c>
      <c r="C1251" s="8" t="s">
        <v>48</v>
      </c>
      <c r="D1251" s="8">
        <v>6</v>
      </c>
      <c r="E1251" s="8" t="s">
        <v>1963</v>
      </c>
      <c r="F1251" s="8">
        <v>7</v>
      </c>
      <c r="G1251" s="8" t="s">
        <v>449</v>
      </c>
      <c r="H1251" s="8" t="s">
        <v>2089</v>
      </c>
      <c r="I1251" s="8" t="s">
        <v>2094</v>
      </c>
      <c r="J1251" s="8">
        <v>0</v>
      </c>
      <c r="K1251" s="8">
        <v>0</v>
      </c>
      <c r="L1251" s="8">
        <v>11</v>
      </c>
      <c r="M1251" s="8" t="s">
        <v>1967</v>
      </c>
      <c r="N1251" s="8" t="s">
        <v>711</v>
      </c>
      <c r="O1251" s="8" t="s">
        <v>206</v>
      </c>
      <c r="P1251" s="8" t="s">
        <v>2104</v>
      </c>
    </row>
    <row r="1252" spans="1:16" ht="25" customHeight="1">
      <c r="A1252" s="12">
        <v>202</v>
      </c>
      <c r="B1252" s="8">
        <v>3</v>
      </c>
      <c r="C1252" s="8" t="s">
        <v>80</v>
      </c>
      <c r="D1252" s="8">
        <v>4</v>
      </c>
      <c r="E1252" s="8" t="s">
        <v>1965</v>
      </c>
      <c r="F1252" s="8">
        <v>2</v>
      </c>
      <c r="G1252" s="8" t="s">
        <v>428</v>
      </c>
      <c r="H1252" s="8" t="s">
        <v>2089</v>
      </c>
      <c r="I1252" s="8" t="s">
        <v>1965</v>
      </c>
      <c r="J1252" s="8">
        <v>1</v>
      </c>
      <c r="K1252" s="8">
        <v>0</v>
      </c>
      <c r="L1252" s="8">
        <v>10</v>
      </c>
      <c r="M1252" s="8" t="s">
        <v>1961</v>
      </c>
      <c r="N1252" s="8" t="s">
        <v>711</v>
      </c>
      <c r="O1252" s="8" t="s">
        <v>206</v>
      </c>
      <c r="P1252" s="8" t="s">
        <v>2095</v>
      </c>
    </row>
    <row r="1253" spans="1:16" ht="25" customHeight="1">
      <c r="A1253" s="12">
        <v>203</v>
      </c>
      <c r="B1253" s="8">
        <v>3</v>
      </c>
      <c r="C1253" s="8" t="s">
        <v>53</v>
      </c>
      <c r="D1253" s="8">
        <v>1</v>
      </c>
      <c r="E1253" s="8" t="s">
        <v>1965</v>
      </c>
      <c r="F1253" s="8">
        <v>11</v>
      </c>
      <c r="G1253" s="8" t="s">
        <v>428</v>
      </c>
      <c r="H1253" s="8" t="s">
        <v>2089</v>
      </c>
      <c r="I1253" s="8" t="s">
        <v>1965</v>
      </c>
      <c r="J1253" s="8">
        <v>0</v>
      </c>
      <c r="K1253" s="8">
        <v>0</v>
      </c>
      <c r="L1253" s="8" t="s">
        <v>132</v>
      </c>
      <c r="M1253" s="8" t="s">
        <v>1967</v>
      </c>
      <c r="N1253" s="8" t="s">
        <v>706</v>
      </c>
      <c r="O1253" s="8" t="s">
        <v>206</v>
      </c>
      <c r="P1253" s="8" t="s">
        <v>2097</v>
      </c>
    </row>
    <row r="1254" spans="1:16" ht="25" customHeight="1">
      <c r="A1254" s="12">
        <v>204</v>
      </c>
      <c r="B1254" s="8">
        <v>3</v>
      </c>
      <c r="C1254" s="8" t="s">
        <v>109</v>
      </c>
      <c r="D1254" s="8">
        <v>10</v>
      </c>
      <c r="E1254" s="8" t="s">
        <v>1963</v>
      </c>
      <c r="F1254" s="8">
        <v>16</v>
      </c>
      <c r="G1254" s="8" t="s">
        <v>446</v>
      </c>
      <c r="H1254" s="8" t="s">
        <v>2089</v>
      </c>
      <c r="I1254" s="8" t="s">
        <v>2094</v>
      </c>
      <c r="J1254" s="8">
        <v>0</v>
      </c>
      <c r="K1254" s="8">
        <v>1</v>
      </c>
      <c r="L1254" s="8">
        <v>11</v>
      </c>
      <c r="M1254" s="8" t="s">
        <v>1964</v>
      </c>
      <c r="N1254" s="8" t="s">
        <v>716</v>
      </c>
      <c r="O1254" s="8" t="s">
        <v>203</v>
      </c>
      <c r="P1254" s="8" t="s">
        <v>2090</v>
      </c>
    </row>
    <row r="1255" spans="1:16" ht="25" customHeight="1">
      <c r="A1255" s="12">
        <v>205</v>
      </c>
      <c r="B1255" s="8">
        <v>3</v>
      </c>
      <c r="C1255" s="8" t="s">
        <v>61</v>
      </c>
      <c r="D1255" s="8">
        <v>10</v>
      </c>
      <c r="E1255" s="8" t="s">
        <v>1966</v>
      </c>
      <c r="F1255" s="8">
        <v>13</v>
      </c>
      <c r="G1255" s="8" t="s">
        <v>449</v>
      </c>
      <c r="H1255" s="8" t="s">
        <v>2089</v>
      </c>
      <c r="I1255" s="8" t="s">
        <v>2094</v>
      </c>
      <c r="J1255" s="8">
        <v>0</v>
      </c>
      <c r="K1255" s="8">
        <v>0</v>
      </c>
      <c r="L1255" s="8">
        <v>11</v>
      </c>
      <c r="M1255" s="8" t="s">
        <v>1964</v>
      </c>
      <c r="N1255" s="8" t="s">
        <v>716</v>
      </c>
      <c r="O1255" s="8" t="s">
        <v>203</v>
      </c>
      <c r="P1255" s="8" t="s">
        <v>2090</v>
      </c>
    </row>
    <row r="1256" spans="1:16" ht="25" customHeight="1">
      <c r="A1256" s="12">
        <v>206</v>
      </c>
      <c r="B1256" s="8">
        <v>3</v>
      </c>
      <c r="C1256" s="8" t="s">
        <v>106</v>
      </c>
      <c r="D1256" s="8">
        <v>5</v>
      </c>
      <c r="E1256" s="8" t="s">
        <v>1963</v>
      </c>
      <c r="F1256" s="8">
        <v>22</v>
      </c>
      <c r="G1256" s="8" t="s">
        <v>449</v>
      </c>
      <c r="H1256" s="8" t="s">
        <v>2089</v>
      </c>
      <c r="I1256" s="8" t="s">
        <v>2094</v>
      </c>
      <c r="J1256" s="8">
        <v>0</v>
      </c>
      <c r="K1256" s="8">
        <v>1</v>
      </c>
      <c r="L1256" s="8">
        <v>11</v>
      </c>
      <c r="M1256" s="8" t="s">
        <v>1967</v>
      </c>
      <c r="N1256" s="8" t="s">
        <v>711</v>
      </c>
      <c r="O1256" s="8" t="s">
        <v>206</v>
      </c>
      <c r="P1256" s="8" t="s">
        <v>2104</v>
      </c>
    </row>
    <row r="1257" spans="1:16" ht="25" customHeight="1">
      <c r="A1257" s="12">
        <v>207</v>
      </c>
      <c r="B1257" s="8">
        <v>3</v>
      </c>
      <c r="C1257" s="8" t="s">
        <v>84</v>
      </c>
      <c r="D1257" s="8">
        <v>5</v>
      </c>
      <c r="E1257" s="8" t="s">
        <v>1974</v>
      </c>
      <c r="F1257" s="8">
        <v>0</v>
      </c>
      <c r="G1257" s="8" t="s">
        <v>449</v>
      </c>
      <c r="H1257" s="8" t="s">
        <v>2089</v>
      </c>
      <c r="I1257" s="8" t="s">
        <v>2094</v>
      </c>
      <c r="J1257" s="8">
        <v>1</v>
      </c>
      <c r="K1257" s="8">
        <v>0</v>
      </c>
      <c r="L1257" s="8">
        <v>11</v>
      </c>
      <c r="M1257" s="8" t="s">
        <v>1967</v>
      </c>
      <c r="N1257" s="8" t="s">
        <v>711</v>
      </c>
      <c r="O1257" s="8" t="s">
        <v>206</v>
      </c>
      <c r="P1257" s="8" t="s">
        <v>2104</v>
      </c>
    </row>
    <row r="1258" spans="1:16" ht="25" customHeight="1">
      <c r="A1258" s="12">
        <v>208</v>
      </c>
      <c r="B1258" s="8">
        <v>3</v>
      </c>
      <c r="C1258" s="8" t="s">
        <v>65</v>
      </c>
      <c r="D1258" s="8">
        <v>4</v>
      </c>
      <c r="E1258" s="8" t="s">
        <v>1963</v>
      </c>
      <c r="F1258" s="8">
        <v>5</v>
      </c>
      <c r="G1258" s="8" t="s">
        <v>446</v>
      </c>
      <c r="H1258" s="8" t="s">
        <v>2089</v>
      </c>
      <c r="I1258" s="8" t="s">
        <v>2094</v>
      </c>
      <c r="J1258" s="8">
        <v>0</v>
      </c>
      <c r="K1258" s="8">
        <v>0</v>
      </c>
      <c r="L1258" s="8">
        <v>11</v>
      </c>
      <c r="M1258" s="8" t="s">
        <v>1967</v>
      </c>
      <c r="N1258" s="8" t="s">
        <v>711</v>
      </c>
      <c r="O1258" s="8" t="s">
        <v>206</v>
      </c>
      <c r="P1258" s="8" t="s">
        <v>2104</v>
      </c>
    </row>
    <row r="1259" spans="1:16" ht="25" customHeight="1">
      <c r="A1259" s="12">
        <v>209</v>
      </c>
      <c r="B1259" s="8">
        <v>3</v>
      </c>
      <c r="C1259" s="8" t="s">
        <v>69</v>
      </c>
      <c r="D1259" s="8">
        <v>5</v>
      </c>
      <c r="E1259" s="8" t="s">
        <v>1965</v>
      </c>
      <c r="F1259" s="8">
        <v>19</v>
      </c>
      <c r="G1259" s="8" t="s">
        <v>428</v>
      </c>
      <c r="H1259" s="8" t="s">
        <v>2089</v>
      </c>
      <c r="I1259" s="8" t="s">
        <v>1965</v>
      </c>
      <c r="J1259" s="8">
        <v>0</v>
      </c>
      <c r="K1259" s="8">
        <v>1</v>
      </c>
      <c r="L1259" s="8">
        <v>12</v>
      </c>
      <c r="M1259" s="8" t="s">
        <v>1964</v>
      </c>
      <c r="N1259" s="8" t="s">
        <v>711</v>
      </c>
      <c r="O1259" s="8" t="s">
        <v>203</v>
      </c>
      <c r="P1259" s="8" t="s">
        <v>2102</v>
      </c>
    </row>
    <row r="1260" spans="1:16" ht="25" customHeight="1">
      <c r="A1260" s="12">
        <v>210</v>
      </c>
      <c r="B1260" s="8">
        <v>3</v>
      </c>
      <c r="C1260" s="8" t="s">
        <v>91</v>
      </c>
      <c r="D1260" s="8">
        <v>9</v>
      </c>
      <c r="E1260" s="8" t="s">
        <v>1974</v>
      </c>
      <c r="F1260" s="8">
        <v>0</v>
      </c>
      <c r="G1260" s="8" t="s">
        <v>449</v>
      </c>
      <c r="H1260" s="8" t="s">
        <v>2089</v>
      </c>
      <c r="I1260" s="8" t="s">
        <v>2094</v>
      </c>
      <c r="J1260" s="8">
        <v>1</v>
      </c>
      <c r="K1260" s="8">
        <v>0</v>
      </c>
      <c r="L1260" s="8">
        <v>11</v>
      </c>
      <c r="M1260" s="8" t="s">
        <v>1964</v>
      </c>
      <c r="N1260" s="8" t="s">
        <v>716</v>
      </c>
      <c r="O1260" s="8" t="s">
        <v>203</v>
      </c>
      <c r="P1260" s="8" t="s">
        <v>2090</v>
      </c>
    </row>
    <row r="1261" spans="1:16" ht="25" customHeight="1">
      <c r="A1261" s="12">
        <v>211</v>
      </c>
      <c r="B1261" s="8">
        <v>4</v>
      </c>
      <c r="C1261" s="8" t="s">
        <v>60</v>
      </c>
      <c r="D1261" s="8">
        <v>2</v>
      </c>
      <c r="E1261" s="8" t="s">
        <v>1965</v>
      </c>
      <c r="F1261" s="8">
        <v>1</v>
      </c>
      <c r="G1261" s="8" t="s">
        <v>428</v>
      </c>
      <c r="H1261" s="8" t="s">
        <v>2089</v>
      </c>
      <c r="I1261" s="8" t="s">
        <v>1965</v>
      </c>
      <c r="J1261" s="8">
        <v>1</v>
      </c>
      <c r="K1261" s="8">
        <v>0</v>
      </c>
      <c r="L1261" s="8">
        <v>11</v>
      </c>
      <c r="M1261" s="8" t="s">
        <v>1964</v>
      </c>
      <c r="N1261" s="8" t="s">
        <v>706</v>
      </c>
      <c r="O1261" s="8" t="s">
        <v>203</v>
      </c>
      <c r="P1261" s="8" t="s">
        <v>2090</v>
      </c>
    </row>
    <row r="1262" spans="1:16" ht="25" customHeight="1">
      <c r="A1262" s="12">
        <v>212</v>
      </c>
      <c r="B1262" s="8">
        <v>4</v>
      </c>
      <c r="C1262" s="8" t="s">
        <v>35</v>
      </c>
      <c r="D1262" s="8">
        <v>1</v>
      </c>
      <c r="E1262" s="8" t="s">
        <v>1965</v>
      </c>
      <c r="F1262" s="8">
        <v>5</v>
      </c>
      <c r="G1262" s="8" t="s">
        <v>477</v>
      </c>
      <c r="H1262" s="8" t="s">
        <v>2089</v>
      </c>
      <c r="I1262" s="8" t="s">
        <v>1965</v>
      </c>
      <c r="J1262" s="8">
        <v>0</v>
      </c>
      <c r="K1262" s="8">
        <v>0</v>
      </c>
      <c r="L1262" s="8">
        <v>11</v>
      </c>
      <c r="M1262" s="8" t="s">
        <v>1967</v>
      </c>
      <c r="N1262" s="8" t="s">
        <v>706</v>
      </c>
      <c r="O1262" s="8" t="s">
        <v>206</v>
      </c>
      <c r="P1262" s="8" t="s">
        <v>2104</v>
      </c>
    </row>
    <row r="1263" spans="1:16" ht="25" customHeight="1">
      <c r="A1263" s="12">
        <v>213</v>
      </c>
      <c r="B1263" s="8">
        <v>4</v>
      </c>
      <c r="C1263" s="8" t="s">
        <v>27</v>
      </c>
      <c r="D1263" s="8">
        <v>6</v>
      </c>
      <c r="E1263" s="8" t="s">
        <v>1974</v>
      </c>
      <c r="F1263" s="8">
        <v>0</v>
      </c>
      <c r="G1263" s="8" t="s">
        <v>449</v>
      </c>
      <c r="H1263" s="8" t="s">
        <v>2089</v>
      </c>
      <c r="I1263" s="8" t="s">
        <v>2094</v>
      </c>
      <c r="J1263" s="8">
        <v>1</v>
      </c>
      <c r="K1263" s="8">
        <v>0</v>
      </c>
      <c r="L1263" s="8" t="s">
        <v>132</v>
      </c>
      <c r="M1263" s="8" t="s">
        <v>222</v>
      </c>
      <c r="N1263" s="8" t="s">
        <v>711</v>
      </c>
      <c r="O1263" s="8" t="s">
        <v>222</v>
      </c>
      <c r="P1263" s="8" t="s">
        <v>2095</v>
      </c>
    </row>
    <row r="1264" spans="1:16" ht="25" customHeight="1">
      <c r="A1264" s="12">
        <v>214</v>
      </c>
      <c r="B1264" s="8">
        <v>4</v>
      </c>
      <c r="C1264" s="8" t="s">
        <v>27</v>
      </c>
      <c r="D1264" s="8">
        <v>1</v>
      </c>
      <c r="E1264" s="8" t="s">
        <v>1963</v>
      </c>
      <c r="F1264" s="8">
        <v>4</v>
      </c>
      <c r="G1264" s="8" t="s">
        <v>449</v>
      </c>
      <c r="H1264" s="8" t="s">
        <v>2089</v>
      </c>
      <c r="I1264" s="8" t="s">
        <v>2094</v>
      </c>
      <c r="J1264" s="8">
        <v>0</v>
      </c>
      <c r="K1264" s="8">
        <v>0</v>
      </c>
      <c r="L1264" s="8">
        <v>11</v>
      </c>
      <c r="M1264" s="8" t="s">
        <v>1961</v>
      </c>
      <c r="N1264" s="8" t="s">
        <v>706</v>
      </c>
      <c r="O1264" s="8" t="s">
        <v>206</v>
      </c>
      <c r="P1264" s="8" t="s">
        <v>2104</v>
      </c>
    </row>
    <row r="1265" spans="1:16" ht="25" customHeight="1">
      <c r="A1265" s="12">
        <v>215</v>
      </c>
      <c r="B1265" s="8">
        <v>4</v>
      </c>
      <c r="C1265" s="8" t="s">
        <v>42</v>
      </c>
      <c r="D1265" s="8">
        <v>5</v>
      </c>
      <c r="E1265" s="8" t="s">
        <v>1963</v>
      </c>
      <c r="F1265" s="8">
        <v>29</v>
      </c>
      <c r="G1265" s="8" t="s">
        <v>449</v>
      </c>
      <c r="H1265" s="8" t="s">
        <v>2089</v>
      </c>
      <c r="I1265" s="8" t="s">
        <v>2094</v>
      </c>
      <c r="J1265" s="8">
        <v>0</v>
      </c>
      <c r="K1265" s="8">
        <v>1</v>
      </c>
      <c r="L1265" s="8">
        <v>11</v>
      </c>
      <c r="M1265" s="8" t="s">
        <v>1967</v>
      </c>
      <c r="N1265" s="8" t="s">
        <v>711</v>
      </c>
      <c r="O1265" s="8" t="s">
        <v>206</v>
      </c>
      <c r="P1265" s="8" t="s">
        <v>2104</v>
      </c>
    </row>
    <row r="1266" spans="1:16" ht="25" customHeight="1">
      <c r="A1266" s="12">
        <v>216</v>
      </c>
      <c r="B1266" s="8" t="s">
        <v>2063</v>
      </c>
      <c r="C1266" s="8" t="s">
        <v>35</v>
      </c>
      <c r="D1266" s="8">
        <v>10</v>
      </c>
      <c r="E1266" s="8" t="s">
        <v>1965</v>
      </c>
      <c r="F1266" s="8">
        <v>-1</v>
      </c>
      <c r="G1266" s="8" t="s">
        <v>465</v>
      </c>
      <c r="H1266" s="8" t="s">
        <v>2089</v>
      </c>
      <c r="I1266" s="8" t="s">
        <v>1965</v>
      </c>
      <c r="J1266" s="8">
        <v>1</v>
      </c>
      <c r="K1266" s="8">
        <v>0</v>
      </c>
      <c r="L1266" s="8">
        <v>11</v>
      </c>
      <c r="M1266" s="8" t="s">
        <v>1967</v>
      </c>
      <c r="N1266" s="8" t="s">
        <v>115</v>
      </c>
      <c r="O1266" s="8" t="s">
        <v>206</v>
      </c>
      <c r="P1266" s="8" t="s">
        <v>2104</v>
      </c>
    </row>
    <row r="1267" spans="1:16" ht="25" customHeight="1">
      <c r="A1267" s="12">
        <v>217</v>
      </c>
      <c r="B1267" s="8" t="s">
        <v>2063</v>
      </c>
      <c r="C1267" s="8" t="s">
        <v>35</v>
      </c>
      <c r="D1267" s="8">
        <v>10</v>
      </c>
      <c r="E1267" s="8" t="s">
        <v>1963</v>
      </c>
      <c r="F1267" s="8">
        <v>3</v>
      </c>
      <c r="G1267" s="8" t="s">
        <v>480</v>
      </c>
      <c r="H1267" s="8" t="s">
        <v>2089</v>
      </c>
      <c r="I1267" s="8" t="s">
        <v>2094</v>
      </c>
      <c r="J1267" s="8">
        <v>1</v>
      </c>
      <c r="K1267" s="8">
        <v>0</v>
      </c>
      <c r="L1267" s="8">
        <v>11</v>
      </c>
      <c r="M1267" s="8" t="s">
        <v>1964</v>
      </c>
      <c r="N1267" s="8" t="s">
        <v>115</v>
      </c>
      <c r="O1267" s="8" t="s">
        <v>203</v>
      </c>
      <c r="P1267" s="8" t="s">
        <v>2090</v>
      </c>
    </row>
    <row r="1268" spans="1:16" ht="25" customHeight="1">
      <c r="A1268" s="12">
        <v>218</v>
      </c>
      <c r="B1268" s="8" t="s">
        <v>2063</v>
      </c>
      <c r="C1268" s="8" t="s">
        <v>35</v>
      </c>
      <c r="D1268" s="8">
        <v>10</v>
      </c>
      <c r="E1268" s="8" t="s">
        <v>1974</v>
      </c>
      <c r="F1268" s="8">
        <v>0</v>
      </c>
      <c r="G1268" s="8" t="s">
        <v>605</v>
      </c>
      <c r="H1268" s="8" t="s">
        <v>2089</v>
      </c>
      <c r="I1268" s="8" t="s">
        <v>2094</v>
      </c>
      <c r="J1268" s="8">
        <v>1</v>
      </c>
      <c r="K1268" s="8">
        <v>0</v>
      </c>
      <c r="L1268" s="8">
        <v>11</v>
      </c>
      <c r="M1268" s="8" t="s">
        <v>1967</v>
      </c>
      <c r="N1268" s="8" t="s">
        <v>115</v>
      </c>
      <c r="O1268" s="8" t="s">
        <v>206</v>
      </c>
      <c r="P1268" s="8" t="s">
        <v>2104</v>
      </c>
    </row>
    <row r="1269" spans="1:16" ht="25" customHeight="1">
      <c r="A1269" s="12">
        <v>219</v>
      </c>
      <c r="B1269" s="8" t="s">
        <v>2063</v>
      </c>
      <c r="C1269" s="8" t="s">
        <v>35</v>
      </c>
      <c r="D1269" s="8">
        <v>10</v>
      </c>
      <c r="E1269" s="8" t="s">
        <v>1963</v>
      </c>
      <c r="F1269" s="8">
        <v>2</v>
      </c>
      <c r="G1269" s="8" t="s">
        <v>449</v>
      </c>
      <c r="H1269" s="8" t="s">
        <v>2089</v>
      </c>
      <c r="I1269" s="8" t="s">
        <v>2094</v>
      </c>
      <c r="J1269" s="8">
        <v>1</v>
      </c>
      <c r="K1269" s="8">
        <v>0</v>
      </c>
      <c r="L1269" s="8">
        <v>11</v>
      </c>
      <c r="M1269" s="8" t="s">
        <v>1964</v>
      </c>
      <c r="N1269" s="8" t="s">
        <v>115</v>
      </c>
      <c r="O1269" s="8" t="s">
        <v>203</v>
      </c>
      <c r="P1269" s="8" t="s">
        <v>2090</v>
      </c>
    </row>
    <row r="1270" spans="1:16" ht="25" customHeight="1">
      <c r="A1270" s="12">
        <v>220</v>
      </c>
      <c r="B1270" s="8" t="s">
        <v>2063</v>
      </c>
      <c r="C1270" s="8" t="s">
        <v>35</v>
      </c>
      <c r="D1270" s="8">
        <v>10</v>
      </c>
      <c r="E1270" s="8" t="s">
        <v>1965</v>
      </c>
      <c r="F1270" s="8">
        <v>9</v>
      </c>
      <c r="G1270" s="8" t="s">
        <v>428</v>
      </c>
      <c r="H1270" s="8" t="s">
        <v>2089</v>
      </c>
      <c r="I1270" s="8" t="s">
        <v>1965</v>
      </c>
      <c r="J1270" s="8">
        <v>0</v>
      </c>
      <c r="K1270" s="8">
        <v>0</v>
      </c>
      <c r="L1270" s="8">
        <v>11</v>
      </c>
      <c r="M1270" s="8" t="s">
        <v>1964</v>
      </c>
      <c r="N1270" s="8" t="s">
        <v>115</v>
      </c>
      <c r="O1270" s="8" t="s">
        <v>203</v>
      </c>
      <c r="P1270" s="8" t="s">
        <v>2090</v>
      </c>
    </row>
    <row r="1271" spans="1:16" ht="25" customHeight="1">
      <c r="A1271" s="12">
        <v>221</v>
      </c>
      <c r="B1271" s="8" t="s">
        <v>2063</v>
      </c>
      <c r="C1271" s="8" t="s">
        <v>117</v>
      </c>
      <c r="D1271" s="8">
        <v>10</v>
      </c>
      <c r="E1271" s="8" t="s">
        <v>1963</v>
      </c>
      <c r="F1271" s="8">
        <v>16</v>
      </c>
      <c r="G1271" s="8" t="s">
        <v>449</v>
      </c>
      <c r="H1271" s="8" t="s">
        <v>2089</v>
      </c>
      <c r="I1271" s="8" t="s">
        <v>2094</v>
      </c>
      <c r="J1271" s="8">
        <v>0</v>
      </c>
      <c r="K1271" s="8">
        <v>1</v>
      </c>
      <c r="L1271" s="8">
        <v>12</v>
      </c>
      <c r="M1271" s="8" t="s">
        <v>1964</v>
      </c>
      <c r="N1271" s="8" t="s">
        <v>115</v>
      </c>
      <c r="O1271" s="8" t="s">
        <v>203</v>
      </c>
      <c r="P1271" s="8" t="s">
        <v>2102</v>
      </c>
    </row>
    <row r="1272" spans="1:16" ht="25" customHeight="1">
      <c r="A1272" s="12">
        <v>222</v>
      </c>
      <c r="B1272" s="8" t="s">
        <v>2063</v>
      </c>
      <c r="C1272" s="8" t="s">
        <v>73</v>
      </c>
      <c r="D1272" s="8">
        <v>10</v>
      </c>
      <c r="E1272" s="8" t="s">
        <v>1968</v>
      </c>
      <c r="F1272" s="8">
        <v>0</v>
      </c>
      <c r="G1272" s="8" t="s">
        <v>446</v>
      </c>
      <c r="H1272" s="8" t="s">
        <v>2089</v>
      </c>
      <c r="I1272" s="8" t="s">
        <v>2094</v>
      </c>
      <c r="J1272" s="8">
        <v>1</v>
      </c>
      <c r="K1272" s="8">
        <v>0</v>
      </c>
      <c r="L1272" s="8">
        <v>11</v>
      </c>
      <c r="M1272" s="8" t="s">
        <v>1964</v>
      </c>
      <c r="N1272" s="8" t="s">
        <v>115</v>
      </c>
      <c r="O1272" s="8" t="s">
        <v>203</v>
      </c>
      <c r="P1272" s="8" t="s">
        <v>2090</v>
      </c>
    </row>
    <row r="1273" spans="1:16" ht="25" customHeight="1">
      <c r="A1273" s="12">
        <v>223</v>
      </c>
      <c r="B1273" s="8" t="s">
        <v>2063</v>
      </c>
      <c r="C1273" s="8" t="s">
        <v>67</v>
      </c>
      <c r="D1273" s="8">
        <v>10</v>
      </c>
      <c r="E1273" s="8" t="s">
        <v>1965</v>
      </c>
      <c r="F1273" s="8">
        <v>3</v>
      </c>
      <c r="G1273" s="8" t="s">
        <v>611</v>
      </c>
      <c r="H1273" s="8" t="s">
        <v>2089</v>
      </c>
      <c r="I1273" s="8" t="s">
        <v>1965</v>
      </c>
      <c r="J1273" s="8">
        <v>1</v>
      </c>
      <c r="K1273" s="8">
        <v>0</v>
      </c>
      <c r="L1273" s="8">
        <v>11</v>
      </c>
      <c r="M1273" s="8" t="s">
        <v>1964</v>
      </c>
      <c r="N1273" s="8" t="s">
        <v>115</v>
      </c>
      <c r="O1273" s="8" t="s">
        <v>203</v>
      </c>
      <c r="P1273" s="8" t="s">
        <v>2090</v>
      </c>
    </row>
    <row r="1274" spans="1:16" ht="25" customHeight="1">
      <c r="A1274" s="12">
        <v>224</v>
      </c>
      <c r="B1274" s="8">
        <v>1</v>
      </c>
      <c r="C1274" s="8" t="s">
        <v>52</v>
      </c>
      <c r="D1274" s="8">
        <v>10</v>
      </c>
      <c r="E1274" s="8" t="s">
        <v>1974</v>
      </c>
      <c r="F1274" s="8">
        <v>0</v>
      </c>
      <c r="G1274" s="8" t="s">
        <v>452</v>
      </c>
      <c r="H1274" s="8" t="s">
        <v>2089</v>
      </c>
      <c r="I1274" s="8" t="s">
        <v>2094</v>
      </c>
      <c r="J1274" s="8">
        <v>1</v>
      </c>
      <c r="K1274" s="8">
        <v>0</v>
      </c>
      <c r="L1274" s="8">
        <v>12</v>
      </c>
      <c r="M1274" s="8" t="s">
        <v>1964</v>
      </c>
      <c r="N1274" s="8" t="s">
        <v>716</v>
      </c>
      <c r="O1274" s="8" t="s">
        <v>203</v>
      </c>
      <c r="P1274" s="8" t="s">
        <v>2102</v>
      </c>
    </row>
    <row r="1275" spans="1:16" ht="25" customHeight="1">
      <c r="A1275" s="12">
        <v>225</v>
      </c>
      <c r="B1275" s="8">
        <v>1</v>
      </c>
      <c r="C1275" s="8" t="s">
        <v>52</v>
      </c>
      <c r="D1275" s="8">
        <v>10</v>
      </c>
      <c r="E1275" s="8" t="s">
        <v>1974</v>
      </c>
      <c r="F1275" s="8">
        <v>0</v>
      </c>
      <c r="G1275" s="8" t="s">
        <v>468</v>
      </c>
      <c r="H1275" s="8" t="s">
        <v>2089</v>
      </c>
      <c r="I1275" s="8" t="s">
        <v>2094</v>
      </c>
      <c r="J1275" s="8">
        <v>1</v>
      </c>
      <c r="K1275" s="8">
        <v>0</v>
      </c>
      <c r="L1275" s="8">
        <v>12</v>
      </c>
      <c r="M1275" s="8" t="s">
        <v>1964</v>
      </c>
      <c r="N1275" s="8" t="s">
        <v>716</v>
      </c>
      <c r="O1275" s="8" t="s">
        <v>203</v>
      </c>
      <c r="P1275" s="8" t="s">
        <v>2102</v>
      </c>
    </row>
    <row r="1276" spans="1:16" ht="25" customHeight="1">
      <c r="A1276" s="12">
        <v>226</v>
      </c>
      <c r="B1276" s="8">
        <v>1</v>
      </c>
      <c r="C1276" s="8" t="s">
        <v>52</v>
      </c>
      <c r="D1276" s="8">
        <v>10</v>
      </c>
      <c r="E1276" s="8" t="s">
        <v>1963</v>
      </c>
      <c r="F1276" s="8">
        <v>2</v>
      </c>
      <c r="G1276" s="8" t="s">
        <v>460</v>
      </c>
      <c r="H1276" s="8" t="s">
        <v>2089</v>
      </c>
      <c r="I1276" s="8" t="s">
        <v>2094</v>
      </c>
      <c r="J1276" s="8">
        <v>1</v>
      </c>
      <c r="K1276" s="8">
        <v>0</v>
      </c>
      <c r="L1276" s="8">
        <v>12</v>
      </c>
      <c r="M1276" s="8" t="s">
        <v>1964</v>
      </c>
      <c r="N1276" s="8" t="s">
        <v>716</v>
      </c>
      <c r="O1276" s="8" t="s">
        <v>203</v>
      </c>
      <c r="P1276" s="8" t="s">
        <v>2102</v>
      </c>
    </row>
    <row r="1277" spans="1:16" ht="25" customHeight="1">
      <c r="A1277" s="12">
        <v>227</v>
      </c>
      <c r="B1277" s="8">
        <v>1</v>
      </c>
      <c r="C1277" s="8" t="s">
        <v>52</v>
      </c>
      <c r="D1277" s="8">
        <v>10</v>
      </c>
      <c r="E1277" s="8" t="s">
        <v>1963</v>
      </c>
      <c r="F1277" s="8">
        <v>15</v>
      </c>
      <c r="G1277" s="8" t="s">
        <v>449</v>
      </c>
      <c r="H1277" s="8" t="s">
        <v>2089</v>
      </c>
      <c r="I1277" s="8" t="s">
        <v>2094</v>
      </c>
      <c r="J1277" s="8">
        <v>0</v>
      </c>
      <c r="K1277" s="8">
        <v>1</v>
      </c>
      <c r="L1277" s="8">
        <v>12</v>
      </c>
      <c r="M1277" s="8" t="s">
        <v>1964</v>
      </c>
      <c r="N1277" s="8" t="s">
        <v>716</v>
      </c>
      <c r="O1277" s="8" t="s">
        <v>203</v>
      </c>
      <c r="P1277" s="8" t="s">
        <v>2102</v>
      </c>
    </row>
    <row r="1278" spans="1:16" ht="25" customHeight="1">
      <c r="A1278" s="12">
        <v>228</v>
      </c>
      <c r="B1278" s="8">
        <v>1</v>
      </c>
      <c r="C1278" s="8" t="s">
        <v>53</v>
      </c>
      <c r="D1278" s="8">
        <v>10</v>
      </c>
      <c r="E1278" s="8" t="s">
        <v>1963</v>
      </c>
      <c r="F1278" s="8">
        <v>6</v>
      </c>
      <c r="G1278" s="8" t="s">
        <v>446</v>
      </c>
      <c r="H1278" s="8" t="s">
        <v>2089</v>
      </c>
      <c r="I1278" s="8" t="s">
        <v>2094</v>
      </c>
      <c r="J1278" s="8">
        <v>1</v>
      </c>
      <c r="K1278" s="8">
        <v>0</v>
      </c>
      <c r="L1278" s="8">
        <v>11</v>
      </c>
      <c r="M1278" s="8" t="s">
        <v>1964</v>
      </c>
      <c r="N1278" s="8" t="s">
        <v>716</v>
      </c>
      <c r="O1278" s="8" t="s">
        <v>203</v>
      </c>
      <c r="P1278" s="8" t="s">
        <v>2090</v>
      </c>
    </row>
    <row r="1279" spans="1:16" ht="25" customHeight="1">
      <c r="A1279" s="12">
        <v>229</v>
      </c>
      <c r="B1279" s="8">
        <v>1</v>
      </c>
      <c r="C1279" s="8" t="s">
        <v>53</v>
      </c>
      <c r="D1279" s="8">
        <v>10</v>
      </c>
      <c r="E1279" s="8" t="s">
        <v>1965</v>
      </c>
      <c r="F1279" s="8">
        <v>-1</v>
      </c>
      <c r="G1279" s="8" t="s">
        <v>465</v>
      </c>
      <c r="H1279" s="8" t="s">
        <v>2089</v>
      </c>
      <c r="I1279" s="8" t="s">
        <v>1965</v>
      </c>
      <c r="J1279" s="8">
        <v>1</v>
      </c>
      <c r="K1279" s="8">
        <v>0</v>
      </c>
      <c r="L1279" s="8">
        <v>11</v>
      </c>
      <c r="M1279" s="8" t="s">
        <v>1961</v>
      </c>
      <c r="N1279" s="8" t="s">
        <v>716</v>
      </c>
      <c r="O1279" s="8" t="s">
        <v>206</v>
      </c>
      <c r="P1279" s="8" t="s">
        <v>2104</v>
      </c>
    </row>
    <row r="1280" spans="1:16" ht="25" customHeight="1">
      <c r="A1280" s="12">
        <v>230</v>
      </c>
      <c r="B1280" s="8">
        <v>1</v>
      </c>
      <c r="C1280" s="8" t="s">
        <v>53</v>
      </c>
      <c r="D1280" s="8">
        <v>10</v>
      </c>
      <c r="E1280" s="8" t="s">
        <v>1965</v>
      </c>
      <c r="F1280" s="8">
        <v>8</v>
      </c>
      <c r="G1280" s="8" t="s">
        <v>432</v>
      </c>
      <c r="H1280" s="8" t="s">
        <v>2089</v>
      </c>
      <c r="I1280" s="8" t="s">
        <v>1965</v>
      </c>
      <c r="J1280" s="8">
        <v>0</v>
      </c>
      <c r="K1280" s="8">
        <v>0</v>
      </c>
      <c r="L1280" s="8">
        <v>11</v>
      </c>
      <c r="M1280" s="8" t="s">
        <v>1961</v>
      </c>
      <c r="N1280" s="8" t="s">
        <v>716</v>
      </c>
      <c r="O1280" s="8" t="s">
        <v>206</v>
      </c>
      <c r="P1280" s="8" t="s">
        <v>2104</v>
      </c>
    </row>
    <row r="1281" spans="1:16" ht="25" customHeight="1">
      <c r="A1281" s="12">
        <v>231</v>
      </c>
      <c r="B1281" s="8">
        <v>1</v>
      </c>
      <c r="C1281" s="8" t="s">
        <v>53</v>
      </c>
      <c r="D1281" s="8">
        <v>10</v>
      </c>
      <c r="E1281" s="8" t="s">
        <v>1965</v>
      </c>
      <c r="F1281" s="8">
        <v>11</v>
      </c>
      <c r="G1281" s="8" t="s">
        <v>428</v>
      </c>
      <c r="H1281" s="8" t="s">
        <v>2089</v>
      </c>
      <c r="I1281" s="8" t="s">
        <v>1965</v>
      </c>
      <c r="J1281" s="8">
        <v>0</v>
      </c>
      <c r="K1281" s="8">
        <v>0</v>
      </c>
      <c r="L1281" s="8">
        <v>11</v>
      </c>
      <c r="M1281" s="8" t="s">
        <v>1967</v>
      </c>
      <c r="N1281" s="8" t="s">
        <v>716</v>
      </c>
      <c r="O1281" s="8" t="s">
        <v>206</v>
      </c>
      <c r="P1281" s="8" t="s">
        <v>2104</v>
      </c>
    </row>
    <row r="1282" spans="1:16" ht="25" customHeight="1">
      <c r="A1282" s="12">
        <v>232</v>
      </c>
      <c r="B1282" s="8">
        <v>1</v>
      </c>
      <c r="C1282" s="8" t="s">
        <v>35</v>
      </c>
      <c r="D1282" s="8">
        <v>10</v>
      </c>
      <c r="E1282" s="8" t="s">
        <v>1966</v>
      </c>
      <c r="F1282" s="8">
        <v>2</v>
      </c>
      <c r="G1282" s="8" t="s">
        <v>449</v>
      </c>
      <c r="H1282" s="8" t="s">
        <v>2089</v>
      </c>
      <c r="I1282" s="8" t="s">
        <v>2094</v>
      </c>
      <c r="J1282" s="8">
        <v>1</v>
      </c>
      <c r="K1282" s="8">
        <v>0</v>
      </c>
      <c r="L1282" s="8">
        <v>12</v>
      </c>
      <c r="M1282" s="8" t="s">
        <v>1979</v>
      </c>
      <c r="N1282" s="8" t="s">
        <v>716</v>
      </c>
      <c r="O1282" s="8" t="s">
        <v>222</v>
      </c>
      <c r="P1282" s="8" t="s">
        <v>2095</v>
      </c>
    </row>
    <row r="1283" spans="1:16" ht="25" customHeight="1">
      <c r="A1283" s="12">
        <v>233</v>
      </c>
      <c r="B1283" s="8">
        <v>1</v>
      </c>
      <c r="C1283" s="8" t="s">
        <v>35</v>
      </c>
      <c r="D1283" s="8">
        <v>10</v>
      </c>
      <c r="E1283" s="8" t="s">
        <v>1974</v>
      </c>
      <c r="F1283" s="8">
        <v>0</v>
      </c>
      <c r="G1283" s="8" t="s">
        <v>449</v>
      </c>
      <c r="H1283" s="8" t="s">
        <v>2089</v>
      </c>
      <c r="I1283" s="8" t="s">
        <v>2094</v>
      </c>
      <c r="J1283" s="8">
        <v>1</v>
      </c>
      <c r="K1283" s="8">
        <v>0</v>
      </c>
      <c r="L1283" s="8">
        <v>12</v>
      </c>
      <c r="M1283" s="8" t="s">
        <v>1964</v>
      </c>
      <c r="N1283" s="8" t="s">
        <v>716</v>
      </c>
      <c r="O1283" s="8" t="s">
        <v>203</v>
      </c>
      <c r="P1283" s="8" t="s">
        <v>2102</v>
      </c>
    </row>
    <row r="1284" spans="1:16" ht="25" customHeight="1">
      <c r="A1284" s="12">
        <v>234</v>
      </c>
      <c r="B1284" s="8">
        <v>1</v>
      </c>
      <c r="C1284" s="8" t="s">
        <v>35</v>
      </c>
      <c r="D1284" s="8">
        <v>10</v>
      </c>
      <c r="E1284" s="8" t="s">
        <v>1974</v>
      </c>
      <c r="F1284" s="8">
        <v>0</v>
      </c>
      <c r="G1284" s="8" t="s">
        <v>449</v>
      </c>
      <c r="H1284" s="8" t="s">
        <v>2089</v>
      </c>
      <c r="I1284" s="8" t="s">
        <v>2094</v>
      </c>
      <c r="J1284" s="8">
        <v>1</v>
      </c>
      <c r="K1284" s="8">
        <v>0</v>
      </c>
      <c r="L1284" s="8">
        <v>11</v>
      </c>
      <c r="M1284" s="8" t="s">
        <v>1964</v>
      </c>
      <c r="N1284" s="8" t="s">
        <v>716</v>
      </c>
      <c r="O1284" s="8" t="s">
        <v>203</v>
      </c>
      <c r="P1284" s="8" t="s">
        <v>2090</v>
      </c>
    </row>
    <row r="1285" spans="1:16" ht="25" customHeight="1">
      <c r="A1285" s="12">
        <v>235</v>
      </c>
      <c r="B1285" s="8">
        <v>1</v>
      </c>
      <c r="C1285" s="8" t="s">
        <v>67</v>
      </c>
      <c r="D1285" s="8">
        <v>10</v>
      </c>
      <c r="E1285" s="8" t="s">
        <v>1965</v>
      </c>
      <c r="F1285" s="8">
        <v>4</v>
      </c>
      <c r="G1285" s="8" t="s">
        <v>465</v>
      </c>
      <c r="H1285" s="8" t="s">
        <v>2089</v>
      </c>
      <c r="I1285" s="8" t="s">
        <v>1965</v>
      </c>
      <c r="J1285" s="8">
        <v>0</v>
      </c>
      <c r="K1285" s="8">
        <v>0</v>
      </c>
      <c r="L1285" s="8">
        <v>11</v>
      </c>
      <c r="M1285" s="8" t="s">
        <v>1967</v>
      </c>
      <c r="N1285" s="8" t="s">
        <v>716</v>
      </c>
      <c r="O1285" s="8" t="s">
        <v>206</v>
      </c>
      <c r="P1285" s="8" t="s">
        <v>2104</v>
      </c>
    </row>
    <row r="1286" spans="1:16" ht="25" customHeight="1">
      <c r="A1286" s="12">
        <v>236</v>
      </c>
      <c r="B1286" s="8">
        <v>1</v>
      </c>
      <c r="C1286" s="8" t="s">
        <v>67</v>
      </c>
      <c r="D1286" s="8">
        <v>10</v>
      </c>
      <c r="E1286" s="8" t="s">
        <v>1965</v>
      </c>
      <c r="F1286" s="8">
        <v>6</v>
      </c>
      <c r="G1286" s="8" t="s">
        <v>432</v>
      </c>
      <c r="H1286" s="8" t="s">
        <v>2089</v>
      </c>
      <c r="I1286" s="8" t="s">
        <v>1965</v>
      </c>
      <c r="J1286" s="8">
        <v>0</v>
      </c>
      <c r="K1286" s="8">
        <v>0</v>
      </c>
      <c r="L1286" s="8">
        <v>11</v>
      </c>
      <c r="M1286" s="8" t="s">
        <v>1967</v>
      </c>
      <c r="N1286" s="8" t="s">
        <v>716</v>
      </c>
      <c r="O1286" s="8" t="s">
        <v>206</v>
      </c>
      <c r="P1286" s="8" t="s">
        <v>2104</v>
      </c>
    </row>
    <row r="1287" spans="1:16" ht="25" customHeight="1">
      <c r="A1287" s="12">
        <v>237</v>
      </c>
      <c r="B1287" s="8">
        <v>1</v>
      </c>
      <c r="C1287" s="8" t="s">
        <v>67</v>
      </c>
      <c r="D1287" s="8">
        <v>10</v>
      </c>
      <c r="E1287" s="8" t="s">
        <v>1965</v>
      </c>
      <c r="F1287" s="8">
        <v>-5</v>
      </c>
      <c r="G1287" s="8" t="s">
        <v>428</v>
      </c>
      <c r="H1287" s="8" t="s">
        <v>2089</v>
      </c>
      <c r="I1287" s="8" t="s">
        <v>1965</v>
      </c>
      <c r="J1287" s="8">
        <v>1</v>
      </c>
      <c r="K1287" s="8">
        <v>0</v>
      </c>
      <c r="L1287" s="8">
        <v>11</v>
      </c>
      <c r="M1287" s="8" t="s">
        <v>1964</v>
      </c>
      <c r="N1287" s="8" t="s">
        <v>716</v>
      </c>
      <c r="O1287" s="8" t="s">
        <v>203</v>
      </c>
      <c r="P1287" s="8" t="s">
        <v>2090</v>
      </c>
    </row>
    <row r="1288" spans="1:16" ht="25" customHeight="1">
      <c r="A1288" s="12">
        <v>238</v>
      </c>
      <c r="B1288" s="8">
        <v>1</v>
      </c>
      <c r="C1288" s="8" t="s">
        <v>40</v>
      </c>
      <c r="D1288" s="8">
        <v>10</v>
      </c>
      <c r="E1288" s="8" t="s">
        <v>1965</v>
      </c>
      <c r="F1288" s="8">
        <v>5</v>
      </c>
      <c r="G1288" s="8" t="s">
        <v>428</v>
      </c>
      <c r="H1288" s="8" t="s">
        <v>2089</v>
      </c>
      <c r="I1288" s="8" t="s">
        <v>1965</v>
      </c>
      <c r="J1288" s="8">
        <v>0</v>
      </c>
      <c r="K1288" s="8">
        <v>0</v>
      </c>
      <c r="L1288" s="8">
        <v>11</v>
      </c>
      <c r="M1288" s="8" t="s">
        <v>1964</v>
      </c>
      <c r="N1288" s="8" t="s">
        <v>716</v>
      </c>
      <c r="O1288" s="8" t="s">
        <v>203</v>
      </c>
      <c r="P1288" s="8" t="s">
        <v>2090</v>
      </c>
    </row>
    <row r="1289" spans="1:16" ht="25" customHeight="1">
      <c r="A1289" s="12">
        <v>239</v>
      </c>
      <c r="B1289" s="8">
        <v>1</v>
      </c>
      <c r="C1289" s="8" t="s">
        <v>44</v>
      </c>
      <c r="D1289" s="8">
        <v>10</v>
      </c>
      <c r="E1289" s="8" t="s">
        <v>1963</v>
      </c>
      <c r="F1289" s="8">
        <v>0</v>
      </c>
      <c r="G1289" s="8" t="s">
        <v>474</v>
      </c>
      <c r="H1289" s="8" t="s">
        <v>2089</v>
      </c>
      <c r="I1289" s="8" t="s">
        <v>2094</v>
      </c>
      <c r="J1289" s="8">
        <v>1</v>
      </c>
      <c r="K1289" s="8">
        <v>0</v>
      </c>
      <c r="L1289" s="8">
        <v>11</v>
      </c>
      <c r="M1289" s="8" t="s">
        <v>1967</v>
      </c>
      <c r="N1289" s="8" t="s">
        <v>716</v>
      </c>
      <c r="O1289" s="8" t="s">
        <v>206</v>
      </c>
      <c r="P1289" s="8" t="s">
        <v>2104</v>
      </c>
    </row>
    <row r="1290" spans="1:16" ht="25" customHeight="1">
      <c r="A1290" s="12">
        <v>240</v>
      </c>
      <c r="B1290" s="8">
        <v>1</v>
      </c>
      <c r="C1290" s="8" t="s">
        <v>46</v>
      </c>
      <c r="D1290" s="8">
        <v>10</v>
      </c>
      <c r="E1290" s="8" t="s">
        <v>1963</v>
      </c>
      <c r="F1290" s="8">
        <v>24</v>
      </c>
      <c r="G1290" s="8" t="s">
        <v>471</v>
      </c>
      <c r="H1290" s="8" t="s">
        <v>2089</v>
      </c>
      <c r="I1290" s="8" t="s">
        <v>2094</v>
      </c>
      <c r="J1290" s="8">
        <v>0</v>
      </c>
      <c r="K1290" s="8">
        <v>1</v>
      </c>
      <c r="L1290" s="8">
        <v>11</v>
      </c>
      <c r="M1290" s="8" t="s">
        <v>1964</v>
      </c>
      <c r="N1290" s="8" t="s">
        <v>716</v>
      </c>
      <c r="O1290" s="8" t="s">
        <v>203</v>
      </c>
      <c r="P1290" s="8" t="s">
        <v>2090</v>
      </c>
    </row>
    <row r="1291" spans="1:16" ht="25" customHeight="1">
      <c r="A1291" s="12">
        <v>241</v>
      </c>
      <c r="B1291" s="8">
        <v>1</v>
      </c>
      <c r="C1291" s="8" t="s">
        <v>30</v>
      </c>
      <c r="D1291" s="8">
        <v>2</v>
      </c>
      <c r="E1291" s="8" t="s">
        <v>1965</v>
      </c>
      <c r="F1291" s="8">
        <v>2</v>
      </c>
      <c r="G1291" s="8" t="s">
        <v>428</v>
      </c>
      <c r="H1291" s="8" t="s">
        <v>2089</v>
      </c>
      <c r="I1291" s="8" t="s">
        <v>1965</v>
      </c>
      <c r="J1291" s="8">
        <v>1</v>
      </c>
      <c r="K1291" s="8">
        <v>0</v>
      </c>
      <c r="L1291" s="8">
        <v>12</v>
      </c>
      <c r="M1291" s="8" t="s">
        <v>1967</v>
      </c>
      <c r="N1291" s="8" t="s">
        <v>706</v>
      </c>
      <c r="O1291" s="8" t="s">
        <v>206</v>
      </c>
      <c r="P1291" s="8" t="s">
        <v>2099</v>
      </c>
    </row>
    <row r="1292" spans="1:16" ht="25" customHeight="1">
      <c r="A1292" s="12">
        <v>242</v>
      </c>
      <c r="B1292" s="8">
        <v>1</v>
      </c>
      <c r="C1292" s="8" t="s">
        <v>51</v>
      </c>
      <c r="D1292" s="8">
        <v>10</v>
      </c>
      <c r="E1292" s="8" t="s">
        <v>1965</v>
      </c>
      <c r="F1292" s="8">
        <v>4</v>
      </c>
      <c r="G1292" s="8" t="s">
        <v>428</v>
      </c>
      <c r="H1292" s="8" t="s">
        <v>2089</v>
      </c>
      <c r="I1292" s="8" t="s">
        <v>1965</v>
      </c>
      <c r="J1292" s="8">
        <v>0</v>
      </c>
      <c r="K1292" s="8">
        <v>0</v>
      </c>
      <c r="L1292" s="8">
        <v>12</v>
      </c>
      <c r="M1292" s="8" t="s">
        <v>1967</v>
      </c>
      <c r="N1292" s="8" t="s">
        <v>716</v>
      </c>
      <c r="O1292" s="8" t="s">
        <v>206</v>
      </c>
      <c r="P1292" s="8" t="s">
        <v>2099</v>
      </c>
    </row>
    <row r="1293" spans="1:16" ht="25" customHeight="1">
      <c r="A1293" s="12">
        <v>243</v>
      </c>
      <c r="B1293" s="8">
        <v>1</v>
      </c>
      <c r="C1293" s="8" t="s">
        <v>59</v>
      </c>
      <c r="D1293" s="8">
        <v>10</v>
      </c>
      <c r="E1293" s="8" t="s">
        <v>1965</v>
      </c>
      <c r="F1293" s="8">
        <v>16</v>
      </c>
      <c r="G1293" s="8" t="s">
        <v>432</v>
      </c>
      <c r="H1293" s="8" t="s">
        <v>2089</v>
      </c>
      <c r="I1293" s="8" t="s">
        <v>1965</v>
      </c>
      <c r="J1293" s="8">
        <v>0</v>
      </c>
      <c r="K1293" s="8">
        <v>1</v>
      </c>
      <c r="L1293" s="8">
        <v>12</v>
      </c>
      <c r="M1293" s="8" t="s">
        <v>1970</v>
      </c>
      <c r="N1293" s="8" t="s">
        <v>716</v>
      </c>
      <c r="O1293" s="8" t="s">
        <v>215</v>
      </c>
      <c r="P1293" s="8" t="s">
        <v>2095</v>
      </c>
    </row>
    <row r="1294" spans="1:16" ht="25" customHeight="1">
      <c r="A1294" s="12">
        <v>244</v>
      </c>
      <c r="B1294" s="8">
        <v>1</v>
      </c>
      <c r="C1294" s="8" t="s">
        <v>60</v>
      </c>
      <c r="D1294" s="8">
        <v>10</v>
      </c>
      <c r="E1294" s="8" t="s">
        <v>1965</v>
      </c>
      <c r="F1294" s="8">
        <v>4</v>
      </c>
      <c r="G1294" s="8" t="s">
        <v>428</v>
      </c>
      <c r="H1294" s="8" t="s">
        <v>2089</v>
      </c>
      <c r="I1294" s="8" t="s">
        <v>1965</v>
      </c>
      <c r="J1294" s="8">
        <v>0</v>
      </c>
      <c r="K1294" s="8">
        <v>0</v>
      </c>
      <c r="L1294" s="8">
        <v>11</v>
      </c>
      <c r="M1294" s="8" t="s">
        <v>1964</v>
      </c>
      <c r="N1294" s="8" t="s">
        <v>716</v>
      </c>
      <c r="O1294" s="8" t="s">
        <v>203</v>
      </c>
      <c r="P1294" s="8" t="s">
        <v>2090</v>
      </c>
    </row>
    <row r="1295" spans="1:16" ht="25" customHeight="1">
      <c r="A1295" s="12">
        <v>245</v>
      </c>
      <c r="B1295" s="8">
        <v>1</v>
      </c>
      <c r="C1295" s="8" t="s">
        <v>61</v>
      </c>
      <c r="D1295" s="8">
        <v>10</v>
      </c>
      <c r="E1295" s="8" t="s">
        <v>1963</v>
      </c>
      <c r="F1295" s="8">
        <v>3</v>
      </c>
      <c r="G1295" s="8" t="s">
        <v>468</v>
      </c>
      <c r="H1295" s="8" t="s">
        <v>2089</v>
      </c>
      <c r="I1295" s="8" t="s">
        <v>2094</v>
      </c>
      <c r="J1295" s="8">
        <v>1</v>
      </c>
      <c r="K1295" s="8">
        <v>0</v>
      </c>
      <c r="L1295" s="8">
        <v>11</v>
      </c>
      <c r="M1295" s="8" t="s">
        <v>1964</v>
      </c>
      <c r="N1295" s="8" t="s">
        <v>716</v>
      </c>
      <c r="O1295" s="8" t="s">
        <v>203</v>
      </c>
      <c r="P1295" s="8" t="s">
        <v>2090</v>
      </c>
    </row>
    <row r="1296" spans="1:16" ht="25" customHeight="1">
      <c r="A1296" s="12">
        <v>246</v>
      </c>
      <c r="B1296" s="8">
        <v>1</v>
      </c>
      <c r="C1296" s="8" t="s">
        <v>63</v>
      </c>
      <c r="D1296" s="8">
        <v>10</v>
      </c>
      <c r="E1296" s="8" t="s">
        <v>1965</v>
      </c>
      <c r="F1296" s="8">
        <v>7</v>
      </c>
      <c r="G1296" s="8" t="s">
        <v>428</v>
      </c>
      <c r="H1296" s="8" t="s">
        <v>2089</v>
      </c>
      <c r="I1296" s="8" t="s">
        <v>1965</v>
      </c>
      <c r="J1296" s="8">
        <v>0</v>
      </c>
      <c r="K1296" s="8">
        <v>0</v>
      </c>
      <c r="L1296" s="8">
        <v>11</v>
      </c>
      <c r="M1296" s="8" t="s">
        <v>1964</v>
      </c>
      <c r="N1296" s="8" t="s">
        <v>716</v>
      </c>
      <c r="O1296" s="8" t="s">
        <v>203</v>
      </c>
      <c r="P1296" s="8" t="s">
        <v>2090</v>
      </c>
    </row>
    <row r="1297" spans="1:16" ht="25" customHeight="1">
      <c r="A1297" s="12">
        <v>247</v>
      </c>
      <c r="B1297" s="8">
        <v>2</v>
      </c>
      <c r="C1297" s="8" t="s">
        <v>35</v>
      </c>
      <c r="D1297" s="8">
        <v>7</v>
      </c>
      <c r="E1297" s="8" t="s">
        <v>2117</v>
      </c>
      <c r="F1297" s="8">
        <v>0</v>
      </c>
      <c r="G1297" s="8" t="s">
        <v>449</v>
      </c>
      <c r="H1297" s="8" t="s">
        <v>2109</v>
      </c>
      <c r="I1297" s="8" t="s">
        <v>2110</v>
      </c>
      <c r="L1297" s="8">
        <v>11</v>
      </c>
      <c r="M1297" s="8" t="s">
        <v>1961</v>
      </c>
      <c r="N1297" s="8" t="s">
        <v>716</v>
      </c>
      <c r="O1297" s="8" t="s">
        <v>206</v>
      </c>
      <c r="P1297" s="8" t="s">
        <v>2104</v>
      </c>
    </row>
    <row r="1298" spans="1:16" ht="25" customHeight="1">
      <c r="A1298" s="12">
        <v>248</v>
      </c>
      <c r="B1298" s="8">
        <v>2</v>
      </c>
      <c r="C1298" s="8" t="s">
        <v>35</v>
      </c>
      <c r="D1298" s="8">
        <v>4</v>
      </c>
      <c r="E1298" s="8" t="s">
        <v>1965</v>
      </c>
      <c r="F1298" s="8">
        <v>1</v>
      </c>
      <c r="G1298" s="8" t="s">
        <v>465</v>
      </c>
      <c r="H1298" s="8" t="s">
        <v>2089</v>
      </c>
      <c r="I1298" s="8" t="s">
        <v>1965</v>
      </c>
      <c r="J1298" s="8">
        <v>1</v>
      </c>
      <c r="K1298" s="8">
        <v>0</v>
      </c>
      <c r="L1298" s="8">
        <v>20</v>
      </c>
      <c r="M1298" s="8" t="s">
        <v>1962</v>
      </c>
      <c r="N1298" s="8" t="s">
        <v>711</v>
      </c>
      <c r="O1298" s="8" t="s">
        <v>235</v>
      </c>
      <c r="P1298" s="8" t="s">
        <v>2095</v>
      </c>
    </row>
    <row r="1299" spans="1:16" ht="25" customHeight="1">
      <c r="A1299" s="12">
        <v>249</v>
      </c>
      <c r="B1299" s="8">
        <v>2</v>
      </c>
      <c r="C1299" s="8" t="s">
        <v>35</v>
      </c>
      <c r="D1299" s="8">
        <v>2</v>
      </c>
      <c r="E1299" s="8" t="s">
        <v>1965</v>
      </c>
      <c r="F1299" s="8">
        <v>16</v>
      </c>
      <c r="G1299" s="8" t="s">
        <v>428</v>
      </c>
      <c r="H1299" s="8" t="s">
        <v>2089</v>
      </c>
      <c r="I1299" s="8" t="s">
        <v>1965</v>
      </c>
      <c r="J1299" s="8">
        <v>0</v>
      </c>
      <c r="K1299" s="8">
        <v>1</v>
      </c>
      <c r="L1299" s="8">
        <v>12</v>
      </c>
      <c r="M1299" s="8" t="s">
        <v>1964</v>
      </c>
      <c r="N1299" s="8" t="s">
        <v>706</v>
      </c>
      <c r="O1299" s="8" t="s">
        <v>203</v>
      </c>
      <c r="P1299" s="8" t="s">
        <v>2102</v>
      </c>
    </row>
    <row r="1300" spans="1:16" ht="25" customHeight="1">
      <c r="A1300" s="12">
        <v>250</v>
      </c>
      <c r="B1300" s="8">
        <v>2</v>
      </c>
      <c r="C1300" s="8" t="s">
        <v>35</v>
      </c>
      <c r="D1300" s="8">
        <v>6</v>
      </c>
      <c r="E1300" s="8" t="s">
        <v>1974</v>
      </c>
      <c r="F1300" s="8">
        <v>0</v>
      </c>
      <c r="G1300" s="8" t="s">
        <v>446</v>
      </c>
      <c r="H1300" s="8" t="s">
        <v>2089</v>
      </c>
      <c r="I1300" s="8" t="s">
        <v>2094</v>
      </c>
      <c r="J1300" s="8">
        <v>1</v>
      </c>
      <c r="K1300" s="8">
        <v>0</v>
      </c>
      <c r="L1300" s="8">
        <v>12</v>
      </c>
      <c r="M1300" s="8" t="s">
        <v>1967</v>
      </c>
      <c r="N1300" s="8" t="s">
        <v>711</v>
      </c>
      <c r="O1300" s="8" t="s">
        <v>206</v>
      </c>
      <c r="P1300" s="8" t="s">
        <v>2099</v>
      </c>
    </row>
    <row r="1301" spans="1:16" ht="25" customHeight="1">
      <c r="A1301" s="12">
        <v>251</v>
      </c>
      <c r="B1301" s="8">
        <v>2</v>
      </c>
      <c r="C1301" s="8" t="s">
        <v>52</v>
      </c>
      <c r="D1301" s="8">
        <v>4</v>
      </c>
      <c r="E1301" s="8" t="s">
        <v>1974</v>
      </c>
      <c r="F1301" s="8">
        <v>0</v>
      </c>
      <c r="G1301" s="8" t="s">
        <v>449</v>
      </c>
      <c r="H1301" s="8" t="s">
        <v>2089</v>
      </c>
      <c r="I1301" s="8" t="s">
        <v>2094</v>
      </c>
      <c r="J1301" s="8">
        <v>1</v>
      </c>
      <c r="K1301" s="8">
        <v>0</v>
      </c>
      <c r="L1301" s="8">
        <v>12</v>
      </c>
      <c r="M1301" s="8" t="s">
        <v>1964</v>
      </c>
      <c r="N1301" s="8" t="s">
        <v>711</v>
      </c>
      <c r="O1301" s="8" t="s">
        <v>203</v>
      </c>
      <c r="P1301" s="8" t="s">
        <v>2102</v>
      </c>
    </row>
    <row r="1302" spans="1:16" ht="25" customHeight="1">
      <c r="A1302" s="12">
        <v>252</v>
      </c>
      <c r="B1302" s="8">
        <v>2</v>
      </c>
      <c r="C1302" s="8" t="s">
        <v>40</v>
      </c>
      <c r="D1302" s="8">
        <v>5</v>
      </c>
      <c r="E1302" s="8" t="s">
        <v>1965</v>
      </c>
      <c r="F1302" s="8">
        <v>7</v>
      </c>
      <c r="G1302" s="8" t="s">
        <v>428</v>
      </c>
      <c r="H1302" s="8" t="s">
        <v>2089</v>
      </c>
      <c r="I1302" s="8" t="s">
        <v>1965</v>
      </c>
      <c r="J1302" s="8">
        <v>0</v>
      </c>
      <c r="K1302" s="8">
        <v>0</v>
      </c>
      <c r="L1302" s="8">
        <v>11</v>
      </c>
      <c r="M1302" s="8" t="s">
        <v>1961</v>
      </c>
      <c r="N1302" s="8" t="s">
        <v>711</v>
      </c>
      <c r="O1302" s="8" t="s">
        <v>206</v>
      </c>
      <c r="P1302" s="8" t="s">
        <v>2104</v>
      </c>
    </row>
    <row r="1303" spans="1:16" ht="25" customHeight="1">
      <c r="A1303" s="12">
        <v>253</v>
      </c>
      <c r="B1303" s="8">
        <v>2</v>
      </c>
      <c r="C1303" s="8" t="s">
        <v>40</v>
      </c>
      <c r="D1303" s="8">
        <v>10</v>
      </c>
      <c r="E1303" s="8" t="s">
        <v>1965</v>
      </c>
      <c r="F1303" s="8">
        <v>7</v>
      </c>
      <c r="G1303" s="8" t="s">
        <v>428</v>
      </c>
      <c r="H1303" s="8" t="s">
        <v>2089</v>
      </c>
      <c r="I1303" s="8" t="s">
        <v>1965</v>
      </c>
      <c r="J1303" s="8">
        <v>0</v>
      </c>
      <c r="K1303" s="8">
        <v>0</v>
      </c>
      <c r="L1303" s="8">
        <v>11</v>
      </c>
      <c r="M1303" s="8" t="s">
        <v>1964</v>
      </c>
      <c r="N1303" s="8" t="s">
        <v>716</v>
      </c>
      <c r="O1303" s="8" t="s">
        <v>203</v>
      </c>
      <c r="P1303" s="8" t="s">
        <v>2090</v>
      </c>
    </row>
    <row r="1304" spans="1:16" ht="25" customHeight="1">
      <c r="A1304" s="12">
        <v>254</v>
      </c>
      <c r="B1304" s="8">
        <v>2</v>
      </c>
      <c r="C1304" s="8" t="s">
        <v>40</v>
      </c>
      <c r="D1304" s="8">
        <v>8</v>
      </c>
      <c r="E1304" s="8" t="s">
        <v>2117</v>
      </c>
      <c r="F1304" s="8">
        <v>0</v>
      </c>
      <c r="G1304" s="8" t="s">
        <v>449</v>
      </c>
      <c r="H1304" s="8" t="s">
        <v>2109</v>
      </c>
      <c r="I1304" s="8" t="s">
        <v>2110</v>
      </c>
      <c r="L1304" s="8">
        <v>11</v>
      </c>
      <c r="M1304" s="8" t="s">
        <v>1967</v>
      </c>
      <c r="N1304" s="8" t="s">
        <v>716</v>
      </c>
      <c r="O1304" s="8" t="s">
        <v>206</v>
      </c>
      <c r="P1304" s="8" t="s">
        <v>2104</v>
      </c>
    </row>
    <row r="1305" spans="1:16" ht="25" customHeight="1">
      <c r="A1305" s="12">
        <v>255</v>
      </c>
      <c r="B1305" s="8">
        <v>2</v>
      </c>
      <c r="C1305" s="8" t="s">
        <v>61</v>
      </c>
      <c r="D1305" s="8">
        <v>15</v>
      </c>
      <c r="E1305" s="8" t="s">
        <v>1974</v>
      </c>
      <c r="F1305" s="8">
        <v>0</v>
      </c>
      <c r="H1305" s="8" t="s">
        <v>2089</v>
      </c>
      <c r="I1305" s="8" t="s">
        <v>2094</v>
      </c>
      <c r="J1305" s="8">
        <v>1</v>
      </c>
      <c r="K1305" s="8">
        <v>0</v>
      </c>
      <c r="L1305" s="8">
        <v>11</v>
      </c>
      <c r="M1305" s="8" t="s">
        <v>1961</v>
      </c>
      <c r="N1305" s="8" t="s">
        <v>720</v>
      </c>
      <c r="O1305" s="8" t="s">
        <v>206</v>
      </c>
      <c r="P1305" s="8" t="s">
        <v>2104</v>
      </c>
    </row>
    <row r="1306" spans="1:16" ht="25" customHeight="1">
      <c r="A1306" s="12">
        <v>256</v>
      </c>
      <c r="B1306" s="8">
        <v>2</v>
      </c>
      <c r="C1306" s="8" t="s">
        <v>61</v>
      </c>
      <c r="D1306" s="8">
        <v>10</v>
      </c>
      <c r="E1306" s="8" t="s">
        <v>1965</v>
      </c>
      <c r="F1306" s="8">
        <v>4</v>
      </c>
      <c r="G1306" s="8" t="s">
        <v>428</v>
      </c>
      <c r="H1306" s="8" t="s">
        <v>2089</v>
      </c>
      <c r="I1306" s="8" t="s">
        <v>1965</v>
      </c>
      <c r="J1306" s="8">
        <v>0</v>
      </c>
      <c r="K1306" s="8">
        <v>0</v>
      </c>
      <c r="L1306" s="8">
        <v>11</v>
      </c>
      <c r="M1306" s="8" t="s">
        <v>1961</v>
      </c>
      <c r="N1306" s="8" t="s">
        <v>716</v>
      </c>
      <c r="O1306" s="8" t="s">
        <v>206</v>
      </c>
      <c r="P1306" s="8" t="s">
        <v>2104</v>
      </c>
    </row>
    <row r="1307" spans="1:16" ht="25" customHeight="1">
      <c r="A1307" s="12">
        <v>257</v>
      </c>
      <c r="B1307" s="8">
        <v>2</v>
      </c>
      <c r="C1307" s="8" t="s">
        <v>27</v>
      </c>
      <c r="D1307" s="8">
        <v>8</v>
      </c>
      <c r="E1307" s="8" t="s">
        <v>1974</v>
      </c>
      <c r="F1307" s="8">
        <v>0</v>
      </c>
      <c r="G1307" s="8" t="s">
        <v>449</v>
      </c>
      <c r="H1307" s="8" t="s">
        <v>2089</v>
      </c>
      <c r="I1307" s="8" t="s">
        <v>2094</v>
      </c>
      <c r="J1307" s="8">
        <v>1</v>
      </c>
      <c r="K1307" s="8">
        <v>0</v>
      </c>
      <c r="L1307" s="8">
        <v>12</v>
      </c>
      <c r="M1307" s="8" t="s">
        <v>1973</v>
      </c>
      <c r="N1307" s="8" t="s">
        <v>716</v>
      </c>
      <c r="O1307" s="8" t="s">
        <v>222</v>
      </c>
      <c r="P1307" s="8" t="s">
        <v>2095</v>
      </c>
    </row>
    <row r="1308" spans="1:16" ht="25" customHeight="1">
      <c r="A1308" s="12">
        <v>258</v>
      </c>
      <c r="B1308" s="8">
        <v>2</v>
      </c>
      <c r="C1308" s="8" t="s">
        <v>27</v>
      </c>
      <c r="D1308" s="8">
        <v>6</v>
      </c>
      <c r="E1308" s="8" t="s">
        <v>1965</v>
      </c>
      <c r="F1308" s="8">
        <v>0</v>
      </c>
      <c r="G1308" s="8" t="s">
        <v>465</v>
      </c>
      <c r="H1308" s="8" t="s">
        <v>2089</v>
      </c>
      <c r="I1308" s="8" t="s">
        <v>1965</v>
      </c>
      <c r="J1308" s="8">
        <v>1</v>
      </c>
      <c r="K1308" s="8">
        <v>0</v>
      </c>
      <c r="L1308" s="8">
        <v>12</v>
      </c>
      <c r="M1308" s="8" t="s">
        <v>1964</v>
      </c>
      <c r="N1308" s="8" t="s">
        <v>711</v>
      </c>
      <c r="O1308" s="8" t="s">
        <v>203</v>
      </c>
      <c r="P1308" s="8" t="s">
        <v>2102</v>
      </c>
    </row>
    <row r="1309" spans="1:16" ht="25" customHeight="1">
      <c r="A1309" s="12">
        <v>259</v>
      </c>
      <c r="B1309" s="8">
        <v>2</v>
      </c>
      <c r="C1309" s="8" t="s">
        <v>73</v>
      </c>
      <c r="D1309" s="8">
        <v>7</v>
      </c>
      <c r="E1309" s="8" t="s">
        <v>1963</v>
      </c>
      <c r="F1309" s="8">
        <v>16</v>
      </c>
      <c r="G1309" s="8" t="s">
        <v>449</v>
      </c>
      <c r="H1309" s="8" t="s">
        <v>2089</v>
      </c>
      <c r="I1309" s="8" t="s">
        <v>2094</v>
      </c>
      <c r="J1309" s="8">
        <v>0</v>
      </c>
      <c r="K1309" s="8">
        <v>1</v>
      </c>
      <c r="L1309" s="8">
        <v>11</v>
      </c>
      <c r="M1309" s="8" t="s">
        <v>1964</v>
      </c>
      <c r="N1309" s="8" t="s">
        <v>716</v>
      </c>
      <c r="O1309" s="8" t="s">
        <v>203</v>
      </c>
      <c r="P1309" s="8" t="s">
        <v>2090</v>
      </c>
    </row>
    <row r="1310" spans="1:16" ht="25" customHeight="1">
      <c r="A1310" s="12">
        <v>260</v>
      </c>
      <c r="B1310" s="8">
        <v>2</v>
      </c>
      <c r="C1310" s="8" t="s">
        <v>73</v>
      </c>
      <c r="D1310" s="8">
        <v>3</v>
      </c>
      <c r="E1310" s="8" t="s">
        <v>1963</v>
      </c>
      <c r="F1310" s="8">
        <v>6</v>
      </c>
      <c r="G1310" s="8" t="s">
        <v>471</v>
      </c>
      <c r="H1310" s="8" t="s">
        <v>2089</v>
      </c>
      <c r="I1310" s="8" t="s">
        <v>2094</v>
      </c>
      <c r="J1310" s="8">
        <v>1</v>
      </c>
      <c r="K1310" s="8">
        <v>0</v>
      </c>
      <c r="L1310" s="8">
        <v>11</v>
      </c>
      <c r="M1310" s="8" t="s">
        <v>1967</v>
      </c>
      <c r="N1310" s="8" t="s">
        <v>706</v>
      </c>
      <c r="O1310" s="8" t="s">
        <v>206</v>
      </c>
      <c r="P1310" s="8" t="s">
        <v>2104</v>
      </c>
    </row>
    <row r="1311" spans="1:16" ht="25" customHeight="1">
      <c r="A1311" s="12">
        <v>261</v>
      </c>
      <c r="B1311" s="8">
        <v>2</v>
      </c>
      <c r="C1311" s="8" t="s">
        <v>75</v>
      </c>
      <c r="D1311" s="8">
        <v>6</v>
      </c>
      <c r="E1311" s="8" t="s">
        <v>1965</v>
      </c>
      <c r="F1311" s="8">
        <v>7</v>
      </c>
      <c r="G1311" s="8" t="s">
        <v>428</v>
      </c>
      <c r="H1311" s="8" t="s">
        <v>2089</v>
      </c>
      <c r="I1311" s="8" t="s">
        <v>1965</v>
      </c>
      <c r="J1311" s="8">
        <v>0</v>
      </c>
      <c r="K1311" s="8">
        <v>0</v>
      </c>
      <c r="L1311" s="8">
        <v>11</v>
      </c>
      <c r="M1311" s="8" t="s">
        <v>1964</v>
      </c>
      <c r="N1311" s="8" t="s">
        <v>711</v>
      </c>
      <c r="O1311" s="8" t="s">
        <v>203</v>
      </c>
      <c r="P1311" s="8" t="s">
        <v>2090</v>
      </c>
    </row>
    <row r="1312" spans="1:16" ht="25" customHeight="1">
      <c r="A1312" s="12">
        <v>262</v>
      </c>
      <c r="B1312" s="8">
        <v>2</v>
      </c>
      <c r="C1312" s="8" t="s">
        <v>75</v>
      </c>
      <c r="D1312" s="8">
        <v>10</v>
      </c>
      <c r="E1312" s="8" t="s">
        <v>1963</v>
      </c>
      <c r="F1312" s="8">
        <v>6</v>
      </c>
      <c r="G1312" s="8" t="s">
        <v>449</v>
      </c>
      <c r="H1312" s="8" t="s">
        <v>2089</v>
      </c>
      <c r="I1312" s="8" t="s">
        <v>2094</v>
      </c>
      <c r="J1312" s="8">
        <v>1</v>
      </c>
      <c r="K1312" s="8">
        <v>0</v>
      </c>
      <c r="L1312" s="8">
        <v>11</v>
      </c>
      <c r="M1312" s="8" t="s">
        <v>1961</v>
      </c>
      <c r="N1312" s="8" t="s">
        <v>716</v>
      </c>
      <c r="O1312" s="8" t="s">
        <v>206</v>
      </c>
      <c r="P1312" s="8" t="s">
        <v>2104</v>
      </c>
    </row>
    <row r="1313" spans="1:16" ht="25" customHeight="1">
      <c r="A1313" s="12">
        <v>263</v>
      </c>
      <c r="B1313" s="8">
        <v>2</v>
      </c>
      <c r="C1313" s="8" t="s">
        <v>75</v>
      </c>
      <c r="D1313" s="8">
        <v>1</v>
      </c>
      <c r="E1313" s="8" t="s">
        <v>1965</v>
      </c>
      <c r="F1313" s="8">
        <v>1</v>
      </c>
      <c r="G1313" s="8" t="s">
        <v>428</v>
      </c>
      <c r="H1313" s="8" t="s">
        <v>2089</v>
      </c>
      <c r="I1313" s="8" t="s">
        <v>1965</v>
      </c>
      <c r="J1313" s="8">
        <v>1</v>
      </c>
      <c r="K1313" s="8">
        <v>0</v>
      </c>
      <c r="L1313" s="8">
        <v>11</v>
      </c>
      <c r="M1313" s="8" t="s">
        <v>1964</v>
      </c>
      <c r="N1313" s="8" t="s">
        <v>706</v>
      </c>
      <c r="O1313" s="8" t="s">
        <v>203</v>
      </c>
      <c r="P1313" s="8" t="s">
        <v>2090</v>
      </c>
    </row>
    <row r="1314" spans="1:16" ht="25" customHeight="1">
      <c r="A1314" s="12">
        <v>264</v>
      </c>
      <c r="B1314" s="8">
        <v>2</v>
      </c>
      <c r="C1314" s="8" t="s">
        <v>79</v>
      </c>
      <c r="D1314" s="8">
        <v>8</v>
      </c>
      <c r="E1314" s="8" t="s">
        <v>1974</v>
      </c>
      <c r="F1314" s="8">
        <v>0</v>
      </c>
      <c r="G1314" s="8" t="s">
        <v>471</v>
      </c>
      <c r="H1314" s="8" t="s">
        <v>2089</v>
      </c>
      <c r="I1314" s="8" t="s">
        <v>2094</v>
      </c>
      <c r="J1314" s="8">
        <v>1</v>
      </c>
      <c r="K1314" s="8">
        <v>0</v>
      </c>
      <c r="L1314" s="8">
        <v>11</v>
      </c>
      <c r="M1314" s="8" t="s">
        <v>1964</v>
      </c>
      <c r="N1314" s="8" t="s">
        <v>716</v>
      </c>
      <c r="O1314" s="8" t="s">
        <v>203</v>
      </c>
      <c r="P1314" s="8" t="s">
        <v>2090</v>
      </c>
    </row>
    <row r="1315" spans="1:16" ht="25" customHeight="1">
      <c r="A1315" s="12">
        <v>265</v>
      </c>
      <c r="B1315" s="8">
        <v>2</v>
      </c>
      <c r="C1315" s="8" t="s">
        <v>79</v>
      </c>
      <c r="D1315" s="8">
        <v>11</v>
      </c>
      <c r="E1315" s="8" t="s">
        <v>1963</v>
      </c>
      <c r="F1315" s="8">
        <v>15</v>
      </c>
      <c r="G1315" s="8" t="s">
        <v>446</v>
      </c>
      <c r="H1315" s="8" t="s">
        <v>2089</v>
      </c>
      <c r="I1315" s="8" t="s">
        <v>2094</v>
      </c>
      <c r="J1315" s="8">
        <v>0</v>
      </c>
      <c r="K1315" s="8">
        <v>1</v>
      </c>
      <c r="L1315" s="8">
        <v>11</v>
      </c>
      <c r="M1315" s="8" t="s">
        <v>1964</v>
      </c>
      <c r="N1315" s="8" t="s">
        <v>720</v>
      </c>
      <c r="O1315" s="8" t="s">
        <v>203</v>
      </c>
      <c r="P1315" s="8" t="s">
        <v>2090</v>
      </c>
    </row>
    <row r="1316" spans="1:16" ht="25" customHeight="1">
      <c r="A1316" s="12">
        <v>266</v>
      </c>
      <c r="B1316" s="8">
        <v>2</v>
      </c>
      <c r="C1316" s="8" t="s">
        <v>51</v>
      </c>
      <c r="D1316" s="8">
        <v>10</v>
      </c>
      <c r="E1316" s="8" t="s">
        <v>1963</v>
      </c>
      <c r="F1316" s="8">
        <v>19</v>
      </c>
      <c r="G1316" s="8" t="s">
        <v>468</v>
      </c>
      <c r="H1316" s="8" t="s">
        <v>2089</v>
      </c>
      <c r="I1316" s="8" t="s">
        <v>2094</v>
      </c>
      <c r="J1316" s="8">
        <v>0</v>
      </c>
      <c r="K1316" s="8">
        <v>1</v>
      </c>
      <c r="L1316" s="8">
        <v>12</v>
      </c>
      <c r="M1316" s="8" t="s">
        <v>1964</v>
      </c>
      <c r="N1316" s="8" t="s">
        <v>716</v>
      </c>
      <c r="O1316" s="8" t="s">
        <v>203</v>
      </c>
      <c r="P1316" s="8" t="s">
        <v>2102</v>
      </c>
    </row>
    <row r="1317" spans="1:16" ht="25" customHeight="1">
      <c r="A1317" s="12">
        <v>267</v>
      </c>
      <c r="B1317" s="8">
        <v>2</v>
      </c>
      <c r="C1317" s="8" t="s">
        <v>66</v>
      </c>
      <c r="D1317" s="8">
        <v>7</v>
      </c>
      <c r="E1317" s="8" t="s">
        <v>1965</v>
      </c>
      <c r="F1317" s="8">
        <v>2</v>
      </c>
      <c r="G1317" s="8" t="s">
        <v>428</v>
      </c>
      <c r="H1317" s="8" t="s">
        <v>2089</v>
      </c>
      <c r="I1317" s="8" t="s">
        <v>1965</v>
      </c>
      <c r="J1317" s="8">
        <v>1</v>
      </c>
      <c r="K1317" s="8">
        <v>0</v>
      </c>
      <c r="L1317" s="8">
        <v>11</v>
      </c>
      <c r="M1317" s="8" t="s">
        <v>1964</v>
      </c>
      <c r="N1317" s="8" t="s">
        <v>716</v>
      </c>
      <c r="O1317" s="8" t="s">
        <v>203</v>
      </c>
      <c r="P1317" s="8" t="s">
        <v>2090</v>
      </c>
    </row>
    <row r="1318" spans="1:16" ht="25" customHeight="1">
      <c r="A1318" s="12">
        <v>268</v>
      </c>
      <c r="B1318" s="8">
        <v>2</v>
      </c>
      <c r="C1318" s="8" t="s">
        <v>43</v>
      </c>
      <c r="D1318" s="8">
        <v>10</v>
      </c>
      <c r="E1318" s="8" t="s">
        <v>1963</v>
      </c>
      <c r="F1318" s="8">
        <v>5</v>
      </c>
      <c r="G1318" s="8" t="s">
        <v>449</v>
      </c>
      <c r="H1318" s="8" t="s">
        <v>2089</v>
      </c>
      <c r="I1318" s="8" t="s">
        <v>2094</v>
      </c>
      <c r="J1318" s="8">
        <v>1</v>
      </c>
      <c r="K1318" s="8">
        <v>0</v>
      </c>
      <c r="L1318" s="8">
        <v>11</v>
      </c>
      <c r="M1318" s="8" t="s">
        <v>1967</v>
      </c>
      <c r="N1318" s="8" t="s">
        <v>716</v>
      </c>
      <c r="O1318" s="8" t="s">
        <v>206</v>
      </c>
      <c r="P1318" s="8" t="s">
        <v>2104</v>
      </c>
    </row>
    <row r="1319" spans="1:16" ht="25" customHeight="1">
      <c r="A1319" s="12">
        <v>269</v>
      </c>
      <c r="B1319" s="8">
        <v>2</v>
      </c>
      <c r="C1319" s="8" t="s">
        <v>81</v>
      </c>
      <c r="D1319" s="8">
        <v>11</v>
      </c>
      <c r="E1319" s="8" t="s">
        <v>1974</v>
      </c>
      <c r="F1319" s="8">
        <v>0</v>
      </c>
      <c r="G1319" s="8" t="s">
        <v>449</v>
      </c>
      <c r="H1319" s="8" t="s">
        <v>2089</v>
      </c>
      <c r="I1319" s="8" t="s">
        <v>2094</v>
      </c>
      <c r="J1319" s="8">
        <v>1</v>
      </c>
      <c r="K1319" s="8">
        <v>0</v>
      </c>
      <c r="L1319" s="8">
        <v>11</v>
      </c>
      <c r="M1319" s="8" t="s">
        <v>1967</v>
      </c>
      <c r="N1319" s="8" t="s">
        <v>720</v>
      </c>
      <c r="O1319" s="8" t="s">
        <v>206</v>
      </c>
      <c r="P1319" s="8" t="s">
        <v>2104</v>
      </c>
    </row>
    <row r="1320" spans="1:16" ht="25" customHeight="1">
      <c r="A1320" s="12">
        <v>270</v>
      </c>
      <c r="B1320" s="8">
        <v>2</v>
      </c>
      <c r="C1320" s="8" t="s">
        <v>69</v>
      </c>
      <c r="D1320" s="8">
        <v>10</v>
      </c>
      <c r="E1320" s="8" t="s">
        <v>1965</v>
      </c>
      <c r="F1320" s="8">
        <v>0</v>
      </c>
      <c r="G1320" s="8" t="s">
        <v>428</v>
      </c>
      <c r="H1320" s="8" t="s">
        <v>2089</v>
      </c>
      <c r="I1320" s="8" t="s">
        <v>1965</v>
      </c>
      <c r="J1320" s="8">
        <v>1</v>
      </c>
      <c r="K1320" s="8">
        <v>0</v>
      </c>
      <c r="L1320" s="8">
        <v>11</v>
      </c>
      <c r="M1320" s="8" t="s">
        <v>1961</v>
      </c>
      <c r="N1320" s="8" t="s">
        <v>716</v>
      </c>
      <c r="O1320" s="8" t="s">
        <v>206</v>
      </c>
      <c r="P1320" s="8" t="s">
        <v>2104</v>
      </c>
    </row>
    <row r="1321" spans="1:16" ht="25" customHeight="1">
      <c r="A1321" s="12">
        <v>271</v>
      </c>
      <c r="B1321" s="8">
        <v>2</v>
      </c>
      <c r="C1321" s="8" t="s">
        <v>91</v>
      </c>
      <c r="D1321" s="8">
        <v>10</v>
      </c>
      <c r="E1321" s="8" t="s">
        <v>1965</v>
      </c>
      <c r="F1321" s="8">
        <v>4</v>
      </c>
      <c r="G1321" s="8" t="s">
        <v>428</v>
      </c>
      <c r="H1321" s="8" t="s">
        <v>2089</v>
      </c>
      <c r="I1321" s="8" t="s">
        <v>1965</v>
      </c>
      <c r="J1321" s="8">
        <v>0</v>
      </c>
      <c r="K1321" s="8">
        <v>0</v>
      </c>
      <c r="L1321" s="8">
        <v>12</v>
      </c>
      <c r="M1321" s="8" t="s">
        <v>1967</v>
      </c>
      <c r="N1321" s="8" t="s">
        <v>716</v>
      </c>
      <c r="O1321" s="8" t="s">
        <v>206</v>
      </c>
      <c r="P1321" s="8" t="s">
        <v>2099</v>
      </c>
    </row>
    <row r="1322" spans="1:16" ht="25" customHeight="1">
      <c r="A1322" s="12">
        <v>272</v>
      </c>
      <c r="B1322" s="8">
        <v>3</v>
      </c>
      <c r="C1322" s="8" t="s">
        <v>100</v>
      </c>
      <c r="D1322" s="8">
        <v>5</v>
      </c>
      <c r="E1322" s="8" t="s">
        <v>1963</v>
      </c>
      <c r="F1322" s="8">
        <v>4</v>
      </c>
      <c r="G1322" s="8" t="s">
        <v>449</v>
      </c>
      <c r="H1322" s="8" t="s">
        <v>2089</v>
      </c>
      <c r="I1322" s="8" t="s">
        <v>2094</v>
      </c>
      <c r="J1322" s="8">
        <v>1</v>
      </c>
      <c r="K1322" s="8">
        <v>0</v>
      </c>
      <c r="L1322" s="8">
        <v>11</v>
      </c>
      <c r="M1322" s="8" t="s">
        <v>1961</v>
      </c>
      <c r="N1322" s="8" t="s">
        <v>711</v>
      </c>
      <c r="O1322" s="8" t="s">
        <v>206</v>
      </c>
      <c r="P1322" s="8" t="s">
        <v>2104</v>
      </c>
    </row>
    <row r="1323" spans="1:16" ht="25" customHeight="1">
      <c r="A1323" s="12">
        <v>273</v>
      </c>
      <c r="B1323" s="8">
        <v>3</v>
      </c>
      <c r="C1323" s="8" t="s">
        <v>100</v>
      </c>
      <c r="D1323" s="8">
        <v>15</v>
      </c>
      <c r="E1323" s="8" t="s">
        <v>1974</v>
      </c>
      <c r="F1323" s="8">
        <v>0</v>
      </c>
      <c r="G1323" s="8" t="s">
        <v>449</v>
      </c>
      <c r="H1323" s="8" t="s">
        <v>2089</v>
      </c>
      <c r="I1323" s="8" t="s">
        <v>2094</v>
      </c>
      <c r="J1323" s="8">
        <v>1</v>
      </c>
      <c r="K1323" s="8">
        <v>0</v>
      </c>
      <c r="L1323" s="8">
        <v>11</v>
      </c>
      <c r="M1323" s="8" t="s">
        <v>1964</v>
      </c>
      <c r="N1323" s="8" t="s">
        <v>720</v>
      </c>
      <c r="O1323" s="8" t="s">
        <v>203</v>
      </c>
      <c r="P1323" s="8" t="s">
        <v>2090</v>
      </c>
    </row>
    <row r="1324" spans="1:16" ht="25" customHeight="1">
      <c r="A1324" s="12">
        <v>274</v>
      </c>
      <c r="B1324" s="8">
        <v>3</v>
      </c>
      <c r="C1324" s="8" t="s">
        <v>100</v>
      </c>
      <c r="D1324" s="8">
        <v>6</v>
      </c>
      <c r="E1324" s="8" t="s">
        <v>1965</v>
      </c>
      <c r="F1324" s="8">
        <v>8</v>
      </c>
      <c r="G1324" s="8" t="s">
        <v>428</v>
      </c>
      <c r="H1324" s="8" t="s">
        <v>2089</v>
      </c>
      <c r="I1324" s="8" t="s">
        <v>1965</v>
      </c>
      <c r="J1324" s="8">
        <v>0</v>
      </c>
      <c r="K1324" s="8">
        <v>0</v>
      </c>
      <c r="L1324" s="8">
        <v>11</v>
      </c>
      <c r="M1324" s="8" t="s">
        <v>1967</v>
      </c>
      <c r="N1324" s="8" t="s">
        <v>711</v>
      </c>
      <c r="O1324" s="8" t="s">
        <v>206</v>
      </c>
      <c r="P1324" s="8" t="s">
        <v>2104</v>
      </c>
    </row>
    <row r="1325" spans="1:16" ht="25" customHeight="1">
      <c r="A1325" s="12">
        <v>275</v>
      </c>
      <c r="B1325" s="8">
        <v>3</v>
      </c>
      <c r="C1325" s="8" t="s">
        <v>95</v>
      </c>
      <c r="D1325" s="8">
        <v>3</v>
      </c>
      <c r="E1325" s="8" t="s">
        <v>1965</v>
      </c>
      <c r="F1325" s="8">
        <v>6</v>
      </c>
      <c r="G1325" s="8" t="s">
        <v>428</v>
      </c>
      <c r="H1325" s="8" t="s">
        <v>2089</v>
      </c>
      <c r="I1325" s="8" t="s">
        <v>1965</v>
      </c>
      <c r="J1325" s="8">
        <v>0</v>
      </c>
      <c r="K1325" s="8">
        <v>0</v>
      </c>
      <c r="L1325" s="8">
        <v>12</v>
      </c>
      <c r="M1325" s="8" t="s">
        <v>1964</v>
      </c>
      <c r="N1325" s="8" t="s">
        <v>706</v>
      </c>
      <c r="O1325" s="8" t="s">
        <v>203</v>
      </c>
      <c r="P1325" s="8" t="s">
        <v>2102</v>
      </c>
    </row>
    <row r="1326" spans="1:16" ht="25" customHeight="1">
      <c r="A1326" s="12">
        <v>276</v>
      </c>
      <c r="B1326" s="8">
        <v>3</v>
      </c>
      <c r="C1326" s="8" t="s">
        <v>95</v>
      </c>
      <c r="D1326" s="8">
        <v>5</v>
      </c>
      <c r="E1326" s="8" t="s">
        <v>1963</v>
      </c>
      <c r="F1326" s="8">
        <v>10</v>
      </c>
      <c r="G1326" s="8" t="s">
        <v>449</v>
      </c>
      <c r="H1326" s="8" t="s">
        <v>2089</v>
      </c>
      <c r="I1326" s="8" t="s">
        <v>2094</v>
      </c>
      <c r="J1326" s="8">
        <v>0</v>
      </c>
      <c r="K1326" s="8">
        <v>0</v>
      </c>
      <c r="L1326" s="8">
        <v>11</v>
      </c>
      <c r="M1326" s="8" t="s">
        <v>1964</v>
      </c>
      <c r="N1326" s="8" t="s">
        <v>711</v>
      </c>
      <c r="O1326" s="8" t="s">
        <v>203</v>
      </c>
      <c r="P1326" s="8" t="s">
        <v>2090</v>
      </c>
    </row>
    <row r="1327" spans="1:16" ht="25" customHeight="1">
      <c r="A1327" s="12">
        <v>277</v>
      </c>
      <c r="B1327" s="8">
        <v>3</v>
      </c>
      <c r="C1327" s="8" t="s">
        <v>95</v>
      </c>
      <c r="D1327" s="8">
        <v>6</v>
      </c>
      <c r="E1327" s="8" t="s">
        <v>1965</v>
      </c>
      <c r="F1327" s="8">
        <v>-1</v>
      </c>
      <c r="G1327" s="8" t="s">
        <v>574</v>
      </c>
      <c r="H1327" s="8" t="s">
        <v>2089</v>
      </c>
      <c r="I1327" s="8" t="s">
        <v>1965</v>
      </c>
      <c r="J1327" s="8">
        <v>1</v>
      </c>
      <c r="K1327" s="8">
        <v>0</v>
      </c>
      <c r="L1327" s="8">
        <v>12</v>
      </c>
      <c r="M1327" s="8" t="s">
        <v>1964</v>
      </c>
      <c r="N1327" s="8" t="s">
        <v>711</v>
      </c>
      <c r="O1327" s="8" t="s">
        <v>203</v>
      </c>
      <c r="P1327" s="8" t="s">
        <v>2102</v>
      </c>
    </row>
    <row r="1328" spans="1:16" ht="25" customHeight="1">
      <c r="A1328" s="12">
        <v>278</v>
      </c>
      <c r="B1328" s="8">
        <v>3</v>
      </c>
      <c r="C1328" s="8" t="s">
        <v>93</v>
      </c>
      <c r="D1328" s="8">
        <v>3</v>
      </c>
      <c r="E1328" s="8" t="s">
        <v>1974</v>
      </c>
      <c r="F1328" s="8">
        <v>0</v>
      </c>
      <c r="G1328" s="8" t="s">
        <v>449</v>
      </c>
      <c r="H1328" s="8" t="s">
        <v>2089</v>
      </c>
      <c r="I1328" s="8" t="s">
        <v>2094</v>
      </c>
      <c r="J1328" s="8">
        <v>1</v>
      </c>
      <c r="K1328" s="8">
        <v>0</v>
      </c>
      <c r="L1328" s="8">
        <v>11</v>
      </c>
      <c r="M1328" s="8" t="s">
        <v>1964</v>
      </c>
      <c r="N1328" s="8" t="s">
        <v>706</v>
      </c>
      <c r="O1328" s="8" t="s">
        <v>203</v>
      </c>
      <c r="P1328" s="8" t="s">
        <v>2090</v>
      </c>
    </row>
    <row r="1329" spans="1:16" ht="25" customHeight="1">
      <c r="A1329" s="12">
        <v>279</v>
      </c>
      <c r="B1329" s="8">
        <v>3</v>
      </c>
      <c r="C1329" s="8" t="s">
        <v>93</v>
      </c>
      <c r="D1329" s="8">
        <v>8</v>
      </c>
      <c r="E1329" s="8" t="s">
        <v>1963</v>
      </c>
      <c r="F1329" s="8">
        <v>21</v>
      </c>
      <c r="G1329" s="8" t="s">
        <v>449</v>
      </c>
      <c r="H1329" s="8" t="s">
        <v>2089</v>
      </c>
      <c r="I1329" s="8" t="s">
        <v>2094</v>
      </c>
      <c r="J1329" s="8">
        <v>0</v>
      </c>
      <c r="K1329" s="8">
        <v>1</v>
      </c>
      <c r="L1329" s="8">
        <v>11</v>
      </c>
      <c r="M1329" s="8" t="s">
        <v>1964</v>
      </c>
      <c r="N1329" s="8" t="s">
        <v>716</v>
      </c>
      <c r="O1329" s="8" t="s">
        <v>203</v>
      </c>
      <c r="P1329" s="8" t="s">
        <v>2090</v>
      </c>
    </row>
    <row r="1330" spans="1:16" ht="25" customHeight="1">
      <c r="A1330" s="12">
        <v>280</v>
      </c>
      <c r="B1330" s="8">
        <v>3</v>
      </c>
      <c r="C1330" s="8" t="s">
        <v>97</v>
      </c>
      <c r="D1330" s="8">
        <v>8</v>
      </c>
      <c r="E1330" s="8" t="s">
        <v>1963</v>
      </c>
      <c r="F1330" s="8">
        <v>26</v>
      </c>
      <c r="G1330" s="8" t="s">
        <v>449</v>
      </c>
      <c r="H1330" s="8" t="s">
        <v>2089</v>
      </c>
      <c r="I1330" s="8" t="s">
        <v>2094</v>
      </c>
      <c r="J1330" s="8">
        <v>0</v>
      </c>
      <c r="K1330" s="8">
        <v>1</v>
      </c>
      <c r="L1330" s="8">
        <v>11</v>
      </c>
      <c r="M1330" s="8" t="s">
        <v>1979</v>
      </c>
      <c r="N1330" s="8" t="s">
        <v>716</v>
      </c>
      <c r="O1330" s="8" t="s">
        <v>222</v>
      </c>
      <c r="P1330" s="8" t="s">
        <v>2095</v>
      </c>
    </row>
    <row r="1331" spans="1:16" ht="25" customHeight="1">
      <c r="A1331" s="12">
        <v>281</v>
      </c>
      <c r="B1331" s="8">
        <v>3</v>
      </c>
      <c r="C1331" s="8" t="s">
        <v>97</v>
      </c>
      <c r="D1331" s="8">
        <v>11</v>
      </c>
      <c r="E1331" s="8" t="s">
        <v>1963</v>
      </c>
      <c r="F1331" s="8">
        <v>4</v>
      </c>
      <c r="G1331" s="8" t="s">
        <v>474</v>
      </c>
      <c r="H1331" s="8" t="s">
        <v>2089</v>
      </c>
      <c r="I1331" s="8" t="s">
        <v>2094</v>
      </c>
      <c r="J1331" s="8">
        <v>1</v>
      </c>
      <c r="K1331" s="8">
        <v>0</v>
      </c>
      <c r="L1331" s="8">
        <v>11</v>
      </c>
      <c r="M1331" s="8" t="s">
        <v>1964</v>
      </c>
      <c r="N1331" s="8" t="s">
        <v>720</v>
      </c>
      <c r="O1331" s="8" t="s">
        <v>203</v>
      </c>
      <c r="P1331" s="8" t="s">
        <v>2090</v>
      </c>
    </row>
    <row r="1332" spans="1:16" ht="25" customHeight="1">
      <c r="A1332" s="12">
        <v>282</v>
      </c>
      <c r="B1332" s="8">
        <v>3</v>
      </c>
      <c r="C1332" s="8" t="s">
        <v>48</v>
      </c>
      <c r="D1332" s="8">
        <v>6</v>
      </c>
      <c r="E1332" s="8" t="s">
        <v>1963</v>
      </c>
      <c r="F1332" s="8">
        <v>14</v>
      </c>
      <c r="G1332" s="8" t="s">
        <v>449</v>
      </c>
      <c r="H1332" s="8" t="s">
        <v>2089</v>
      </c>
      <c r="I1332" s="8" t="s">
        <v>2094</v>
      </c>
      <c r="J1332" s="8">
        <v>0</v>
      </c>
      <c r="K1332" s="8">
        <v>0</v>
      </c>
      <c r="L1332" s="8">
        <v>11</v>
      </c>
      <c r="M1332" s="8" t="s">
        <v>1964</v>
      </c>
      <c r="N1332" s="8" t="s">
        <v>711</v>
      </c>
      <c r="O1332" s="8" t="s">
        <v>203</v>
      </c>
      <c r="P1332" s="8" t="s">
        <v>2090</v>
      </c>
    </row>
    <row r="1333" spans="1:16" ht="25" customHeight="1">
      <c r="A1333" s="12">
        <v>283</v>
      </c>
      <c r="B1333" s="8">
        <v>3</v>
      </c>
      <c r="C1333" s="8" t="s">
        <v>105</v>
      </c>
      <c r="D1333" s="8">
        <v>4</v>
      </c>
      <c r="E1333" s="8" t="s">
        <v>1974</v>
      </c>
      <c r="F1333" s="8">
        <v>0</v>
      </c>
      <c r="G1333" s="8" t="s">
        <v>449</v>
      </c>
      <c r="H1333" s="8" t="s">
        <v>2089</v>
      </c>
      <c r="I1333" s="8" t="s">
        <v>2094</v>
      </c>
      <c r="J1333" s="8">
        <v>1</v>
      </c>
      <c r="K1333" s="8">
        <v>0</v>
      </c>
      <c r="L1333" s="8">
        <v>11</v>
      </c>
      <c r="M1333" s="8" t="s">
        <v>1961</v>
      </c>
      <c r="N1333" s="8" t="s">
        <v>711</v>
      </c>
      <c r="O1333" s="8" t="s">
        <v>206</v>
      </c>
      <c r="P1333" s="8" t="s">
        <v>2104</v>
      </c>
    </row>
    <row r="1334" spans="1:16" ht="25" customHeight="1">
      <c r="A1334" s="12">
        <v>284</v>
      </c>
      <c r="B1334" s="8">
        <v>3</v>
      </c>
      <c r="C1334" s="8" t="s">
        <v>110</v>
      </c>
      <c r="D1334" s="8">
        <v>10</v>
      </c>
      <c r="E1334" s="8" t="s">
        <v>1963</v>
      </c>
      <c r="F1334" s="8">
        <v>19</v>
      </c>
      <c r="G1334" s="8" t="s">
        <v>449</v>
      </c>
      <c r="H1334" s="8" t="s">
        <v>2089</v>
      </c>
      <c r="I1334" s="8" t="s">
        <v>2094</v>
      </c>
      <c r="J1334" s="8">
        <v>0</v>
      </c>
      <c r="K1334" s="8">
        <v>1</v>
      </c>
      <c r="L1334" s="8">
        <v>11</v>
      </c>
      <c r="M1334" s="8" t="s">
        <v>1961</v>
      </c>
      <c r="N1334" s="8" t="s">
        <v>716</v>
      </c>
      <c r="O1334" s="8" t="s">
        <v>206</v>
      </c>
      <c r="P1334" s="8" t="s">
        <v>2104</v>
      </c>
    </row>
    <row r="1335" spans="1:16" ht="25" customHeight="1">
      <c r="A1335" s="12">
        <v>285</v>
      </c>
      <c r="B1335" s="8">
        <v>3</v>
      </c>
      <c r="C1335" s="8" t="s">
        <v>61</v>
      </c>
      <c r="D1335" s="8">
        <v>6</v>
      </c>
      <c r="E1335" s="8" t="s">
        <v>1963</v>
      </c>
      <c r="F1335" s="8">
        <v>21</v>
      </c>
      <c r="G1335" s="8" t="s">
        <v>449</v>
      </c>
      <c r="H1335" s="8" t="s">
        <v>2089</v>
      </c>
      <c r="I1335" s="8" t="s">
        <v>2094</v>
      </c>
      <c r="J1335" s="8">
        <v>0</v>
      </c>
      <c r="K1335" s="8">
        <v>1</v>
      </c>
      <c r="L1335" s="8">
        <v>11</v>
      </c>
      <c r="M1335" s="8" t="s">
        <v>1961</v>
      </c>
      <c r="N1335" s="8" t="s">
        <v>711</v>
      </c>
      <c r="O1335" s="8" t="s">
        <v>206</v>
      </c>
      <c r="P1335" s="8" t="s">
        <v>2104</v>
      </c>
    </row>
    <row r="1336" spans="1:16" ht="25" customHeight="1">
      <c r="A1336" s="12">
        <v>286</v>
      </c>
      <c r="B1336" s="8">
        <v>3</v>
      </c>
      <c r="C1336" s="8" t="s">
        <v>66</v>
      </c>
      <c r="D1336" s="8">
        <v>4</v>
      </c>
      <c r="E1336" s="8" t="s">
        <v>2117</v>
      </c>
      <c r="F1336" s="8">
        <v>0</v>
      </c>
      <c r="G1336" s="8" t="s">
        <v>449</v>
      </c>
      <c r="H1336" s="8" t="s">
        <v>2109</v>
      </c>
      <c r="I1336" s="8" t="s">
        <v>2110</v>
      </c>
      <c r="L1336" s="8">
        <v>11</v>
      </c>
      <c r="M1336" s="8" t="s">
        <v>1973</v>
      </c>
      <c r="N1336" s="8" t="s">
        <v>711</v>
      </c>
      <c r="O1336" s="8" t="s">
        <v>222</v>
      </c>
      <c r="P1336" s="8" t="s">
        <v>2095</v>
      </c>
    </row>
    <row r="1337" spans="1:16" ht="25" customHeight="1">
      <c r="A1337" s="12">
        <v>287</v>
      </c>
      <c r="B1337" s="8">
        <v>4</v>
      </c>
      <c r="C1337" s="8" t="s">
        <v>95</v>
      </c>
      <c r="D1337" s="8">
        <v>1</v>
      </c>
      <c r="E1337" s="8" t="s">
        <v>1965</v>
      </c>
      <c r="F1337" s="8">
        <v>3</v>
      </c>
      <c r="G1337" s="8" t="s">
        <v>428</v>
      </c>
      <c r="H1337" s="8" t="s">
        <v>2089</v>
      </c>
      <c r="I1337" s="8" t="s">
        <v>1965</v>
      </c>
      <c r="J1337" s="8">
        <v>0</v>
      </c>
      <c r="K1337" s="8">
        <v>0</v>
      </c>
      <c r="L1337" s="8">
        <v>12</v>
      </c>
      <c r="M1337" s="8" t="s">
        <v>1964</v>
      </c>
      <c r="N1337" s="8" t="s">
        <v>706</v>
      </c>
      <c r="O1337" s="8" t="s">
        <v>203</v>
      </c>
      <c r="P1337" s="8" t="s">
        <v>2102</v>
      </c>
    </row>
    <row r="1338" spans="1:16" ht="25" customHeight="1">
      <c r="A1338" s="12">
        <v>288</v>
      </c>
      <c r="B1338" s="8">
        <v>4</v>
      </c>
      <c r="C1338" s="8" t="s">
        <v>27</v>
      </c>
      <c r="D1338" s="8">
        <v>3</v>
      </c>
      <c r="E1338" s="8" t="s">
        <v>1963</v>
      </c>
      <c r="F1338" s="8">
        <v>23</v>
      </c>
      <c r="G1338" s="8" t="s">
        <v>468</v>
      </c>
      <c r="H1338" s="8" t="s">
        <v>2089</v>
      </c>
      <c r="I1338" s="8" t="s">
        <v>2094</v>
      </c>
      <c r="J1338" s="8">
        <v>0</v>
      </c>
      <c r="K1338" s="8">
        <v>1</v>
      </c>
      <c r="L1338" s="8">
        <v>12</v>
      </c>
      <c r="M1338" s="8" t="s">
        <v>1964</v>
      </c>
      <c r="N1338" s="8" t="s">
        <v>706</v>
      </c>
      <c r="O1338" s="8" t="s">
        <v>203</v>
      </c>
      <c r="P1338" s="8" t="s">
        <v>2102</v>
      </c>
    </row>
    <row r="1344" spans="1:16" ht="27" customHeight="1">
      <c r="A1344" s="5" t="s">
        <v>2118</v>
      </c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</row>
    <row r="1345" spans="1:32" ht="36" customHeight="1">
      <c r="A1345" s="9" t="s">
        <v>683</v>
      </c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</row>
    <row r="1346" spans="1:32" ht="25" customHeight="1">
      <c r="A1346" s="6" t="s">
        <v>684</v>
      </c>
    </row>
    <row r="1347" spans="1:32" ht="25" customHeight="1">
      <c r="A1347" s="12">
        <v>1</v>
      </c>
      <c r="B1347" s="8" t="s">
        <v>2119</v>
      </c>
      <c r="S1347" s="8" t="s">
        <v>2120</v>
      </c>
    </row>
    <row r="1348" spans="1:32" ht="25" customHeight="1">
      <c r="A1348" s="12">
        <v>2</v>
      </c>
      <c r="B1348" s="8" t="s">
        <v>2121</v>
      </c>
      <c r="E1348" s="8" t="s">
        <v>2072</v>
      </c>
      <c r="H1348" s="8" t="s">
        <v>2122</v>
      </c>
      <c r="K1348" s="8" t="s">
        <v>2123</v>
      </c>
      <c r="S1348" s="8" t="s">
        <v>2124</v>
      </c>
      <c r="W1348" s="8" t="s">
        <v>2125</v>
      </c>
      <c r="AA1348" s="8" t="s">
        <v>2126</v>
      </c>
    </row>
    <row r="1349" spans="1:32" ht="25" customHeight="1">
      <c r="A1349" s="12">
        <v>3</v>
      </c>
      <c r="B1349" s="8" t="s">
        <v>1927</v>
      </c>
      <c r="C1349" s="8" t="s">
        <v>1928</v>
      </c>
      <c r="E1349" s="8" t="s">
        <v>2127</v>
      </c>
    </row>
    <row r="1350" spans="1:32" ht="25" customHeight="1">
      <c r="A1350" s="12">
        <v>4</v>
      </c>
      <c r="B1350" s="8" t="s">
        <v>2128</v>
      </c>
      <c r="C1350" s="8">
        <v>274</v>
      </c>
      <c r="E1350" s="8" t="s">
        <v>2129</v>
      </c>
      <c r="F1350" s="8">
        <v>10</v>
      </c>
    </row>
    <row r="1351" spans="1:32" ht="25" customHeight="1">
      <c r="A1351" s="12">
        <v>5</v>
      </c>
      <c r="B1351" s="8" t="s">
        <v>2130</v>
      </c>
      <c r="C1351" s="8">
        <v>143</v>
      </c>
      <c r="E1351" s="8" t="s">
        <v>2131</v>
      </c>
      <c r="F1351" s="8">
        <v>0</v>
      </c>
    </row>
    <row r="1352" spans="1:32" ht="25" customHeight="1">
      <c r="A1352" s="12">
        <v>6</v>
      </c>
      <c r="B1352" s="8" t="s">
        <v>2132</v>
      </c>
      <c r="C1352" s="11">
        <v>0.5218978102189781</v>
      </c>
      <c r="E1352" s="8" t="s">
        <v>2092</v>
      </c>
      <c r="F1352" s="8">
        <v>13</v>
      </c>
    </row>
    <row r="1353" spans="1:32" ht="25" customHeight="1">
      <c r="A1353" s="12">
        <v>7</v>
      </c>
      <c r="B1353" s="8" t="s">
        <v>2133</v>
      </c>
      <c r="C1353" s="8">
        <v>35</v>
      </c>
      <c r="E1353" s="8" t="s">
        <v>786</v>
      </c>
      <c r="F1353" s="8" t="s">
        <v>799</v>
      </c>
    </row>
    <row r="1354" spans="1:32" ht="25" customHeight="1">
      <c r="A1354" s="12">
        <v>8</v>
      </c>
      <c r="B1354" s="8" t="s">
        <v>784</v>
      </c>
      <c r="C1354" s="11">
        <v>0.1277372262773723</v>
      </c>
      <c r="E1354" s="8" t="s">
        <v>2134</v>
      </c>
      <c r="F1354" s="11">
        <v>57.5</v>
      </c>
    </row>
    <row r="1355" spans="1:32" ht="25" customHeight="1">
      <c r="A1355" s="12">
        <v>9</v>
      </c>
      <c r="B1355" s="8" t="s">
        <v>2135</v>
      </c>
      <c r="C1355" s="11">
        <v>6.437956204379562</v>
      </c>
      <c r="E1355" s="8" t="s">
        <v>2136</v>
      </c>
      <c r="F1355" s="8" t="s">
        <v>2137</v>
      </c>
    </row>
    <row r="1356" spans="1:32" ht="25" customHeight="1">
      <c r="A1356" s="12">
        <v>10</v>
      </c>
      <c r="B1356" s="8" t="s">
        <v>2138</v>
      </c>
      <c r="C1356" s="8">
        <v>114</v>
      </c>
      <c r="E1356" s="8" t="s">
        <v>2139</v>
      </c>
      <c r="F1356" s="8" t="s">
        <v>2140</v>
      </c>
    </row>
    <row r="1357" spans="1:32" ht="25" customHeight="1">
      <c r="A1357" s="12">
        <v>11</v>
      </c>
      <c r="B1357" s="8" t="s">
        <v>2141</v>
      </c>
      <c r="C1357" s="8">
        <v>150</v>
      </c>
      <c r="E1357" s="8" t="s">
        <v>690</v>
      </c>
      <c r="F1357" s="8">
        <v>1</v>
      </c>
    </row>
    <row r="1358" spans="1:32" ht="25" customHeight="1">
      <c r="A1358" s="12">
        <v>12</v>
      </c>
      <c r="B1358" s="8" t="s">
        <v>2142</v>
      </c>
      <c r="C1358" s="8" t="s">
        <v>2143</v>
      </c>
      <c r="E1358" s="8" t="s">
        <v>2093</v>
      </c>
      <c r="F1358" s="8">
        <v>0</v>
      </c>
    </row>
    <row r="1359" spans="1:32" ht="25" customHeight="1">
      <c r="A1359" s="12">
        <v>14</v>
      </c>
      <c r="B1359" s="8" t="s">
        <v>2144</v>
      </c>
      <c r="S1359" s="8" t="s">
        <v>2145</v>
      </c>
    </row>
    <row r="1360" spans="1:32" ht="25" customHeight="1">
      <c r="A1360" s="12">
        <v>15</v>
      </c>
      <c r="B1360" s="8" t="s">
        <v>687</v>
      </c>
      <c r="C1360" s="8" t="s">
        <v>2091</v>
      </c>
      <c r="D1360" s="8" t="s">
        <v>690</v>
      </c>
      <c r="E1360" s="8" t="s">
        <v>2130</v>
      </c>
      <c r="F1360" s="8" t="s">
        <v>2132</v>
      </c>
      <c r="G1360" s="8" t="s">
        <v>2133</v>
      </c>
      <c r="H1360" s="8" t="s">
        <v>784</v>
      </c>
      <c r="I1360" s="8" t="s">
        <v>2135</v>
      </c>
      <c r="J1360" s="8" t="s">
        <v>2146</v>
      </c>
      <c r="K1360" s="8" t="s">
        <v>2147</v>
      </c>
      <c r="L1360" s="8" t="s">
        <v>786</v>
      </c>
      <c r="M1360" s="8" t="s">
        <v>2134</v>
      </c>
      <c r="N1360" s="8" t="s">
        <v>2136</v>
      </c>
      <c r="O1360" s="8" t="s">
        <v>2139</v>
      </c>
      <c r="S1360" s="8" t="s">
        <v>688</v>
      </c>
      <c r="T1360" s="8" t="s">
        <v>2091</v>
      </c>
      <c r="U1360" s="8" t="s">
        <v>690</v>
      </c>
      <c r="V1360" s="8" t="s">
        <v>2130</v>
      </c>
      <c r="W1360" s="8" t="s">
        <v>2132</v>
      </c>
      <c r="X1360" s="8" t="s">
        <v>2133</v>
      </c>
      <c r="Y1360" s="8" t="s">
        <v>784</v>
      </c>
      <c r="Z1360" s="8" t="s">
        <v>2135</v>
      </c>
      <c r="AA1360" s="8" t="s">
        <v>2146</v>
      </c>
      <c r="AB1360" s="8" t="s">
        <v>2147</v>
      </c>
      <c r="AC1360" s="8" t="s">
        <v>786</v>
      </c>
      <c r="AD1360" s="8" t="s">
        <v>2134</v>
      </c>
      <c r="AE1360" s="8" t="s">
        <v>2136</v>
      </c>
      <c r="AF1360" s="8" t="s">
        <v>2139</v>
      </c>
    </row>
    <row r="1361" spans="1:34" ht="25" customHeight="1">
      <c r="A1361" s="12">
        <v>16</v>
      </c>
      <c r="B1361" s="8" t="s">
        <v>2063</v>
      </c>
      <c r="C1361" s="8">
        <v>41</v>
      </c>
      <c r="D1361" s="11">
        <v>0.1496350364963504</v>
      </c>
      <c r="E1361" s="8">
        <v>16</v>
      </c>
      <c r="F1361" s="11">
        <v>0.3902439024390244</v>
      </c>
      <c r="G1361" s="8">
        <v>8</v>
      </c>
      <c r="H1361" s="11">
        <v>0.1951219512195122</v>
      </c>
      <c r="I1361" s="11">
        <v>9.317073170731707</v>
      </c>
      <c r="J1361" s="11">
        <v>0.5609756097560976</v>
      </c>
      <c r="K1361" s="11">
        <v>0.4390243902439024</v>
      </c>
      <c r="L1361" s="8" t="s">
        <v>799</v>
      </c>
      <c r="M1361" s="11">
        <v>44.1</v>
      </c>
      <c r="N1361" s="8" t="s">
        <v>2148</v>
      </c>
      <c r="O1361" s="8" t="s">
        <v>2149</v>
      </c>
      <c r="S1361" s="8" t="s">
        <v>115</v>
      </c>
      <c r="T1361" s="8">
        <v>41</v>
      </c>
      <c r="U1361" s="11">
        <v>0.1496350364963504</v>
      </c>
      <c r="V1361" s="8">
        <v>16</v>
      </c>
      <c r="W1361" s="11">
        <v>0.3902439024390244</v>
      </c>
      <c r="X1361" s="8">
        <v>8</v>
      </c>
      <c r="Y1361" s="11">
        <v>0.1951219512195122</v>
      </c>
      <c r="Z1361" s="11">
        <v>9.317073170731707</v>
      </c>
      <c r="AA1361" s="11">
        <v>0.5609756097560976</v>
      </c>
      <c r="AB1361" s="11">
        <v>0.4390243902439024</v>
      </c>
      <c r="AC1361" s="8" t="s">
        <v>799</v>
      </c>
      <c r="AD1361" s="11">
        <v>44.1</v>
      </c>
      <c r="AE1361" s="8" t="s">
        <v>2148</v>
      </c>
      <c r="AF1361" s="8" t="s">
        <v>2150</v>
      </c>
    </row>
    <row r="1362" spans="1:34" ht="25" customHeight="1">
      <c r="A1362" s="12">
        <v>17</v>
      </c>
      <c r="B1362" s="8" t="s">
        <v>2066</v>
      </c>
      <c r="C1362" s="8">
        <v>82</v>
      </c>
      <c r="D1362" s="11">
        <v>0.2992700729927008</v>
      </c>
      <c r="E1362" s="8">
        <v>49</v>
      </c>
      <c r="F1362" s="11">
        <v>0.5975609756097561</v>
      </c>
      <c r="G1362" s="8">
        <v>8</v>
      </c>
      <c r="H1362" s="11">
        <v>0.0975609756097561</v>
      </c>
      <c r="I1362" s="11">
        <v>5.780487804878049</v>
      </c>
      <c r="J1362" s="11">
        <v>0.4024390243902439</v>
      </c>
      <c r="K1362" s="11">
        <v>0.5121951219512195</v>
      </c>
      <c r="L1362" s="8" t="s">
        <v>799</v>
      </c>
      <c r="M1362" s="11">
        <v>64.09999999999999</v>
      </c>
      <c r="N1362" s="8" t="s">
        <v>2137</v>
      </c>
      <c r="O1362" s="8" t="s">
        <v>2151</v>
      </c>
      <c r="S1362" s="8" t="s">
        <v>706</v>
      </c>
      <c r="T1362" s="8">
        <v>31</v>
      </c>
      <c r="U1362" s="11">
        <v>0.1131386861313869</v>
      </c>
      <c r="V1362" s="8">
        <v>11</v>
      </c>
      <c r="W1362" s="11">
        <v>0.3548387096774194</v>
      </c>
      <c r="X1362" s="8">
        <v>3</v>
      </c>
      <c r="Y1362" s="11">
        <v>0.09677419354838709</v>
      </c>
      <c r="Z1362" s="11">
        <v>4.967741935483871</v>
      </c>
      <c r="AA1362" s="11">
        <v>0.5806451612903226</v>
      </c>
      <c r="AB1362" s="11">
        <v>0.3225806451612903</v>
      </c>
      <c r="AC1362" s="8" t="s">
        <v>799</v>
      </c>
      <c r="AD1362" s="11">
        <v>47.9</v>
      </c>
      <c r="AE1362" s="8" t="s">
        <v>2148</v>
      </c>
      <c r="AF1362" s="8" t="s">
        <v>2150</v>
      </c>
    </row>
    <row r="1363" spans="1:34" ht="25" customHeight="1">
      <c r="A1363" s="12">
        <v>18</v>
      </c>
      <c r="B1363" s="8" t="s">
        <v>2067</v>
      </c>
      <c r="C1363" s="8">
        <v>90</v>
      </c>
      <c r="D1363" s="11">
        <v>0.3284671532846715</v>
      </c>
      <c r="E1363" s="8">
        <v>49</v>
      </c>
      <c r="F1363" s="11">
        <v>0.5444444444444444</v>
      </c>
      <c r="G1363" s="8">
        <v>9</v>
      </c>
      <c r="H1363" s="11">
        <v>0.1</v>
      </c>
      <c r="I1363" s="11">
        <v>5.266666666666667</v>
      </c>
      <c r="J1363" s="11">
        <v>0.4333333333333333</v>
      </c>
      <c r="K1363" s="11">
        <v>0.5333333333333333</v>
      </c>
      <c r="L1363" s="8" t="s">
        <v>799</v>
      </c>
      <c r="M1363" s="11">
        <v>60.8</v>
      </c>
      <c r="N1363" s="8" t="s">
        <v>2137</v>
      </c>
      <c r="O1363" s="8" t="s">
        <v>2151</v>
      </c>
      <c r="S1363" s="8" t="s">
        <v>711</v>
      </c>
      <c r="T1363" s="8">
        <v>50</v>
      </c>
      <c r="U1363" s="11">
        <v>0.1824817518248175</v>
      </c>
      <c r="V1363" s="8">
        <v>27</v>
      </c>
      <c r="W1363" s="11">
        <v>0.54</v>
      </c>
      <c r="X1363" s="8">
        <v>7</v>
      </c>
      <c r="Y1363" s="11">
        <v>0.14</v>
      </c>
      <c r="Z1363" s="11">
        <v>6.14</v>
      </c>
      <c r="AA1363" s="11">
        <v>0.36</v>
      </c>
      <c r="AB1363" s="11">
        <v>0.62</v>
      </c>
      <c r="AC1363" s="8" t="s">
        <v>799</v>
      </c>
      <c r="AD1363" s="11">
        <v>58.9</v>
      </c>
      <c r="AE1363" s="8" t="s">
        <v>2137</v>
      </c>
      <c r="AF1363" s="8" t="s">
        <v>2151</v>
      </c>
    </row>
    <row r="1364" spans="1:34" ht="25" customHeight="1">
      <c r="A1364" s="12">
        <v>19</v>
      </c>
      <c r="B1364" s="8" t="s">
        <v>2069</v>
      </c>
      <c r="C1364" s="8">
        <v>54</v>
      </c>
      <c r="D1364" s="11">
        <v>0.1970802919708029</v>
      </c>
      <c r="E1364" s="8">
        <v>27</v>
      </c>
      <c r="F1364" s="11">
        <v>0.5</v>
      </c>
      <c r="G1364" s="8">
        <v>8</v>
      </c>
      <c r="H1364" s="11">
        <v>0.1481481481481481</v>
      </c>
      <c r="I1364" s="11">
        <v>6.833333333333333</v>
      </c>
      <c r="J1364" s="11">
        <v>0.2962962962962963</v>
      </c>
      <c r="K1364" s="11">
        <v>0.7037037037037037</v>
      </c>
      <c r="L1364" s="8" t="s">
        <v>799</v>
      </c>
      <c r="M1364" s="11">
        <v>55.2</v>
      </c>
      <c r="N1364" s="8" t="s">
        <v>2137</v>
      </c>
      <c r="O1364" s="8" t="s">
        <v>2151</v>
      </c>
      <c r="S1364" s="8" t="s">
        <v>716</v>
      </c>
      <c r="T1364" s="8">
        <v>126</v>
      </c>
      <c r="U1364" s="11">
        <v>0.4598540145985401</v>
      </c>
      <c r="V1364" s="8">
        <v>72</v>
      </c>
      <c r="W1364" s="11">
        <v>0.5714285714285714</v>
      </c>
      <c r="X1364" s="8">
        <v>15</v>
      </c>
      <c r="Y1364" s="11">
        <v>0.119047619047619</v>
      </c>
      <c r="Z1364" s="11">
        <v>6.031746031746032</v>
      </c>
      <c r="AA1364" s="11">
        <v>0.3809523809523809</v>
      </c>
      <c r="AB1364" s="11">
        <v>0.5714285714285714</v>
      </c>
      <c r="AC1364" s="8" t="s">
        <v>799</v>
      </c>
      <c r="AD1364" s="11">
        <v>61.6</v>
      </c>
      <c r="AE1364" s="8" t="s">
        <v>2137</v>
      </c>
      <c r="AF1364" s="8" t="s">
        <v>2151</v>
      </c>
    </row>
    <row r="1365" spans="1:34" ht="25" customHeight="1">
      <c r="A1365" s="12">
        <v>20</v>
      </c>
      <c r="B1365" s="8" t="s">
        <v>2070</v>
      </c>
      <c r="C1365" s="8">
        <v>7</v>
      </c>
      <c r="D1365" s="11">
        <v>0.02554744525547445</v>
      </c>
      <c r="E1365" s="8">
        <v>2</v>
      </c>
      <c r="F1365" s="11">
        <v>0.2857142857142857</v>
      </c>
      <c r="G1365" s="8">
        <v>2</v>
      </c>
      <c r="H1365" s="11">
        <v>0.2857142857142857</v>
      </c>
      <c r="I1365" s="11">
        <v>9.285714285714286</v>
      </c>
      <c r="J1365" s="11">
        <v>0.4285714285714285</v>
      </c>
      <c r="K1365" s="11">
        <v>0.5714285714285714</v>
      </c>
      <c r="L1365" s="8" t="s">
        <v>799</v>
      </c>
      <c r="M1365" s="8">
        <v>35</v>
      </c>
      <c r="N1365" s="8" t="s">
        <v>2148</v>
      </c>
      <c r="O1365" s="8" t="s">
        <v>2149</v>
      </c>
      <c r="S1365" s="8" t="s">
        <v>720</v>
      </c>
      <c r="T1365" s="8">
        <v>26</v>
      </c>
      <c r="U1365" s="11">
        <v>0.0948905109489051</v>
      </c>
      <c r="V1365" s="8">
        <v>17</v>
      </c>
      <c r="W1365" s="11">
        <v>0.6538461538461539</v>
      </c>
      <c r="X1365" s="8">
        <v>2</v>
      </c>
      <c r="Y1365" s="11">
        <v>0.07692307692307693</v>
      </c>
      <c r="Z1365" s="11">
        <v>6.192307692307693</v>
      </c>
      <c r="AA1365" s="11">
        <v>0.2692307692307692</v>
      </c>
      <c r="AB1365" s="11">
        <v>0.7307692307692307</v>
      </c>
      <c r="AC1365" s="8" t="s">
        <v>799</v>
      </c>
      <c r="AD1365" s="8">
        <v>68</v>
      </c>
      <c r="AE1365" s="8" t="s">
        <v>2152</v>
      </c>
      <c r="AF1365" s="8" t="s">
        <v>2153</v>
      </c>
    </row>
    <row r="1366" spans="1:34" ht="25" customHeight="1">
      <c r="A1366" s="12">
        <v>21</v>
      </c>
      <c r="B1366" s="8" t="s">
        <v>1986</v>
      </c>
      <c r="C1366" s="8">
        <v>0</v>
      </c>
      <c r="D1366" s="8">
        <v>0</v>
      </c>
      <c r="E1366" s="8">
        <v>0</v>
      </c>
      <c r="G1366" s="8">
        <v>0</v>
      </c>
      <c r="O1366" s="8" t="s">
        <v>2154</v>
      </c>
      <c r="S1366" s="8" t="s">
        <v>1986</v>
      </c>
      <c r="T1366" s="8">
        <v>0</v>
      </c>
      <c r="U1366" s="8">
        <v>0</v>
      </c>
      <c r="V1366" s="8">
        <v>0</v>
      </c>
      <c r="X1366" s="8">
        <v>0</v>
      </c>
      <c r="AF1366" s="8" t="s">
        <v>2154</v>
      </c>
    </row>
    <row r="1367" spans="1:34" ht="25" customHeight="1">
      <c r="A1367" s="12">
        <v>23</v>
      </c>
      <c r="B1367" s="8" t="s">
        <v>2155</v>
      </c>
    </row>
    <row r="1368" spans="1:34" ht="25" customHeight="1">
      <c r="A1368" s="12">
        <v>24</v>
      </c>
      <c r="B1368" s="8" t="s">
        <v>2156</v>
      </c>
      <c r="C1368" s="8" t="s">
        <v>2091</v>
      </c>
      <c r="D1368" s="8" t="s">
        <v>690</v>
      </c>
      <c r="E1368" s="8" t="s">
        <v>2130</v>
      </c>
      <c r="F1368" s="8" t="s">
        <v>2132</v>
      </c>
      <c r="G1368" s="8" t="s">
        <v>2133</v>
      </c>
      <c r="H1368" s="8" t="s">
        <v>784</v>
      </c>
      <c r="I1368" s="8" t="s">
        <v>2135</v>
      </c>
      <c r="J1368" s="8" t="s">
        <v>2146</v>
      </c>
      <c r="K1368" s="8" t="s">
        <v>2147</v>
      </c>
      <c r="L1368" s="8" t="s">
        <v>786</v>
      </c>
      <c r="M1368" s="8" t="s">
        <v>2134</v>
      </c>
      <c r="N1368" s="8" t="s">
        <v>2136</v>
      </c>
      <c r="O1368" s="8" t="s">
        <v>2139</v>
      </c>
    </row>
    <row r="1369" spans="1:34" ht="25" customHeight="1">
      <c r="A1369" s="12">
        <v>25</v>
      </c>
      <c r="B1369" s="8" t="s">
        <v>1965</v>
      </c>
      <c r="C1369" s="8">
        <v>114</v>
      </c>
      <c r="D1369" s="11">
        <v>0.4160583941605839</v>
      </c>
      <c r="E1369" s="8">
        <v>47</v>
      </c>
      <c r="F1369" s="11">
        <v>0.412280701754386</v>
      </c>
      <c r="G1369" s="8">
        <v>9</v>
      </c>
      <c r="H1369" s="11">
        <v>0.07894736842105263</v>
      </c>
      <c r="I1369" s="11">
        <v>4.728070175438597</v>
      </c>
      <c r="J1369" s="8">
        <v>1</v>
      </c>
      <c r="K1369" s="8">
        <v>0</v>
      </c>
      <c r="L1369" s="8" t="s">
        <v>799</v>
      </c>
      <c r="M1369" s="11">
        <v>52.6</v>
      </c>
      <c r="N1369" s="8" t="s">
        <v>2137</v>
      </c>
      <c r="O1369" s="8" t="s">
        <v>2151</v>
      </c>
    </row>
    <row r="1370" spans="1:34" ht="25" customHeight="1">
      <c r="A1370" s="12">
        <v>26</v>
      </c>
      <c r="B1370" s="8" t="s">
        <v>2094</v>
      </c>
      <c r="C1370" s="8">
        <v>150</v>
      </c>
      <c r="D1370" s="11">
        <v>0.5474452554744526</v>
      </c>
      <c r="E1370" s="8">
        <v>96</v>
      </c>
      <c r="F1370" s="11">
        <v>0.64</v>
      </c>
      <c r="G1370" s="8">
        <v>22</v>
      </c>
      <c r="H1370" s="11">
        <v>0.1466666666666667</v>
      </c>
      <c r="I1370" s="11">
        <v>7.106666666666666</v>
      </c>
      <c r="J1370" s="8">
        <v>0</v>
      </c>
      <c r="K1370" s="8">
        <v>1</v>
      </c>
      <c r="L1370" s="8" t="s">
        <v>799</v>
      </c>
      <c r="M1370" s="11">
        <v>64.8</v>
      </c>
      <c r="N1370" s="8" t="s">
        <v>2137</v>
      </c>
      <c r="O1370" s="8" t="s">
        <v>2151</v>
      </c>
    </row>
    <row r="1371" spans="1:34" ht="25" customHeight="1">
      <c r="A1371" s="12">
        <v>27</v>
      </c>
      <c r="B1371" s="8" t="s">
        <v>2068</v>
      </c>
      <c r="C1371" s="8">
        <v>10</v>
      </c>
      <c r="D1371" s="11">
        <v>0.0364963503649635</v>
      </c>
      <c r="E1371" s="8">
        <v>0</v>
      </c>
      <c r="F1371" s="8">
        <v>0</v>
      </c>
      <c r="G1371" s="8">
        <v>4</v>
      </c>
      <c r="H1371" s="11">
        <v>0.4</v>
      </c>
      <c r="I1371" s="11">
        <v>15.9</v>
      </c>
      <c r="J1371" s="8">
        <v>0</v>
      </c>
      <c r="K1371" s="8">
        <v>0</v>
      </c>
      <c r="L1371" s="8" t="s">
        <v>799</v>
      </c>
      <c r="M1371" s="8">
        <v>12</v>
      </c>
      <c r="N1371" s="8" t="s">
        <v>2148</v>
      </c>
      <c r="O1371" s="8" t="s">
        <v>2157</v>
      </c>
    </row>
    <row r="1372" spans="1:34" ht="25" customHeight="1">
      <c r="A1372" s="12">
        <v>28</v>
      </c>
      <c r="B1372" s="8" t="s">
        <v>2095</v>
      </c>
      <c r="C1372" s="8">
        <v>0</v>
      </c>
      <c r="D1372" s="8">
        <v>0</v>
      </c>
      <c r="E1372" s="8">
        <v>0</v>
      </c>
      <c r="G1372" s="8">
        <v>0</v>
      </c>
      <c r="O1372" s="8" t="s">
        <v>2154</v>
      </c>
    </row>
    <row r="1373" spans="1:34" ht="25" customHeight="1">
      <c r="A1373" s="12">
        <v>30</v>
      </c>
      <c r="B1373" s="8" t="s">
        <v>2158</v>
      </c>
      <c r="S1373" s="8" t="s">
        <v>2159</v>
      </c>
    </row>
    <row r="1374" spans="1:34" ht="25" customHeight="1">
      <c r="A1374" s="12">
        <v>31</v>
      </c>
      <c r="B1374" s="8" t="s">
        <v>781</v>
      </c>
      <c r="C1374" s="8" t="s">
        <v>2091</v>
      </c>
      <c r="D1374" s="8" t="s">
        <v>690</v>
      </c>
      <c r="E1374" s="8" t="s">
        <v>2130</v>
      </c>
      <c r="F1374" s="8" t="s">
        <v>2132</v>
      </c>
      <c r="G1374" s="8" t="s">
        <v>2133</v>
      </c>
      <c r="H1374" s="8" t="s">
        <v>784</v>
      </c>
      <c r="I1374" s="8" t="s">
        <v>2135</v>
      </c>
      <c r="J1374" s="8" t="s">
        <v>2146</v>
      </c>
      <c r="K1374" s="8" t="s">
        <v>2147</v>
      </c>
      <c r="L1374" s="8" t="s">
        <v>786</v>
      </c>
      <c r="M1374" s="8" t="s">
        <v>2134</v>
      </c>
      <c r="N1374" s="8" t="s">
        <v>2136</v>
      </c>
      <c r="O1374" s="8" t="s">
        <v>2139</v>
      </c>
      <c r="P1374" s="8" t="s">
        <v>1946</v>
      </c>
      <c r="S1374" s="8" t="s">
        <v>780</v>
      </c>
      <c r="T1374" s="8" t="s">
        <v>2160</v>
      </c>
      <c r="U1374" s="8" t="s">
        <v>2091</v>
      </c>
      <c r="V1374" s="8" t="s">
        <v>690</v>
      </c>
      <c r="W1374" s="8" t="s">
        <v>2130</v>
      </c>
      <c r="X1374" s="8" t="s">
        <v>2132</v>
      </c>
      <c r="Y1374" s="8" t="s">
        <v>2133</v>
      </c>
      <c r="Z1374" s="8" t="s">
        <v>784</v>
      </c>
      <c r="AA1374" s="8" t="s">
        <v>2135</v>
      </c>
      <c r="AB1374" s="8" t="s">
        <v>2146</v>
      </c>
      <c r="AC1374" s="8" t="s">
        <v>2147</v>
      </c>
      <c r="AD1374" s="8" t="s">
        <v>786</v>
      </c>
      <c r="AE1374" s="8" t="s">
        <v>2134</v>
      </c>
      <c r="AF1374" s="8" t="s">
        <v>2136</v>
      </c>
      <c r="AG1374" s="8" t="s">
        <v>2139</v>
      </c>
      <c r="AH1374" s="8" t="s">
        <v>1946</v>
      </c>
    </row>
    <row r="1375" spans="1:34" ht="25" customHeight="1">
      <c r="A1375" s="12">
        <v>32</v>
      </c>
      <c r="B1375" s="8" t="s">
        <v>608</v>
      </c>
      <c r="C1375" s="8">
        <v>1</v>
      </c>
      <c r="D1375" s="11">
        <v>0.00364963503649635</v>
      </c>
      <c r="E1375" s="8">
        <v>0</v>
      </c>
      <c r="F1375" s="8">
        <v>0</v>
      </c>
      <c r="G1375" s="8">
        <v>1</v>
      </c>
      <c r="H1375" s="8">
        <v>1</v>
      </c>
      <c r="I1375" s="8">
        <v>14</v>
      </c>
      <c r="J1375" s="8">
        <v>1</v>
      </c>
      <c r="K1375" s="8">
        <v>0</v>
      </c>
      <c r="L1375" s="8" t="s">
        <v>791</v>
      </c>
      <c r="M1375" s="8">
        <v>0</v>
      </c>
      <c r="N1375" s="8" t="s">
        <v>2161</v>
      </c>
      <c r="O1375" s="8" t="s">
        <v>2162</v>
      </c>
      <c r="P1375" s="8">
        <v>1</v>
      </c>
      <c r="S1375" s="8" t="s">
        <v>120</v>
      </c>
      <c r="T1375" s="8" t="s">
        <v>203</v>
      </c>
      <c r="U1375" s="8">
        <v>83</v>
      </c>
      <c r="V1375" s="11">
        <v>0.3029197080291971</v>
      </c>
      <c r="W1375" s="8">
        <v>49</v>
      </c>
      <c r="X1375" s="11">
        <v>0.5903614457831325</v>
      </c>
      <c r="Y1375" s="8">
        <v>9</v>
      </c>
      <c r="Z1375" s="11">
        <v>0.108433734939759</v>
      </c>
      <c r="AA1375" s="11">
        <v>5.734939759036145</v>
      </c>
      <c r="AB1375" s="11">
        <v>0.3975903614457831</v>
      </c>
      <c r="AC1375" s="11">
        <v>0.5783132530120482</v>
      </c>
      <c r="AD1375" s="8" t="s">
        <v>799</v>
      </c>
      <c r="AE1375" s="11">
        <v>63.4</v>
      </c>
      <c r="AF1375" s="8" t="s">
        <v>2137</v>
      </c>
      <c r="AG1375" s="8" t="s">
        <v>2151</v>
      </c>
      <c r="AH1375" s="8">
        <v>1</v>
      </c>
    </row>
    <row r="1376" spans="1:34" ht="25" customHeight="1">
      <c r="A1376" s="12">
        <v>33</v>
      </c>
      <c r="B1376" s="8" t="s">
        <v>428</v>
      </c>
      <c r="C1376" s="8">
        <v>67</v>
      </c>
      <c r="D1376" s="11">
        <v>0.2445255474452555</v>
      </c>
      <c r="E1376" s="8">
        <v>27</v>
      </c>
      <c r="F1376" s="11">
        <v>0.4029850746268657</v>
      </c>
      <c r="G1376" s="8">
        <v>4</v>
      </c>
      <c r="H1376" s="11">
        <v>0.05970149253731343</v>
      </c>
      <c r="I1376" s="11">
        <v>4.761194029850746</v>
      </c>
      <c r="J1376" s="11">
        <v>0.9253731343283582</v>
      </c>
      <c r="K1376" s="8">
        <v>0</v>
      </c>
      <c r="L1376" s="8" t="s">
        <v>799</v>
      </c>
      <c r="M1376" s="11">
        <v>52.3</v>
      </c>
      <c r="N1376" s="8" t="s">
        <v>2137</v>
      </c>
      <c r="O1376" s="8" t="s">
        <v>2151</v>
      </c>
      <c r="P1376" s="8">
        <v>2</v>
      </c>
      <c r="S1376" s="8" t="s">
        <v>132</v>
      </c>
      <c r="T1376" s="8" t="s">
        <v>203</v>
      </c>
      <c r="U1376" s="8">
        <v>6</v>
      </c>
      <c r="V1376" s="11">
        <v>0.0218978102189781</v>
      </c>
      <c r="W1376" s="8">
        <v>2</v>
      </c>
      <c r="X1376" s="11">
        <v>0.3333333333333333</v>
      </c>
      <c r="Y1376" s="8">
        <v>2</v>
      </c>
      <c r="Z1376" s="11">
        <v>0.3333333333333333</v>
      </c>
      <c r="AA1376" s="11">
        <v>12.66666666666667</v>
      </c>
      <c r="AB1376" s="11">
        <v>0.6666666666666666</v>
      </c>
      <c r="AC1376" s="11">
        <v>0.3333333333333333</v>
      </c>
      <c r="AD1376" s="8" t="s">
        <v>795</v>
      </c>
      <c r="AE1376" s="11">
        <v>36.7</v>
      </c>
      <c r="AF1376" s="8" t="s">
        <v>2148</v>
      </c>
      <c r="AG1376" s="8" t="s">
        <v>2163</v>
      </c>
      <c r="AH1376" s="8">
        <v>4</v>
      </c>
    </row>
    <row r="1377" spans="1:34" ht="25" customHeight="1">
      <c r="A1377" s="12">
        <v>34</v>
      </c>
      <c r="B1377" s="8" t="s">
        <v>468</v>
      </c>
      <c r="C1377" s="8">
        <v>19</v>
      </c>
      <c r="D1377" s="11">
        <v>0.06934306569343066</v>
      </c>
      <c r="E1377" s="8">
        <v>13</v>
      </c>
      <c r="F1377" s="11">
        <v>0.6842105263157895</v>
      </c>
      <c r="G1377" s="8">
        <v>4</v>
      </c>
      <c r="H1377" s="11">
        <v>0.2105263157894737</v>
      </c>
      <c r="I1377" s="11">
        <v>7.052631578947368</v>
      </c>
      <c r="J1377" s="8">
        <v>0</v>
      </c>
      <c r="K1377" s="8">
        <v>1</v>
      </c>
      <c r="L1377" s="8" t="s">
        <v>799</v>
      </c>
      <c r="M1377" s="11">
        <v>66.59999999999999</v>
      </c>
      <c r="N1377" s="8" t="s">
        <v>2152</v>
      </c>
      <c r="O1377" s="8" t="s">
        <v>2153</v>
      </c>
      <c r="P1377" s="8">
        <v>4</v>
      </c>
      <c r="S1377" s="8" t="s">
        <v>132</v>
      </c>
      <c r="T1377" s="8" t="s">
        <v>206</v>
      </c>
      <c r="U1377" s="8">
        <v>11</v>
      </c>
      <c r="V1377" s="11">
        <v>0.04014598540145985</v>
      </c>
      <c r="W1377" s="8">
        <v>3</v>
      </c>
      <c r="X1377" s="11">
        <v>0.2727272727272727</v>
      </c>
      <c r="Y1377" s="8">
        <v>1</v>
      </c>
      <c r="Z1377" s="11">
        <v>0.09090909090909091</v>
      </c>
      <c r="AA1377" s="11">
        <v>5.454545454545454</v>
      </c>
      <c r="AB1377" s="11">
        <v>0.9090909090909091</v>
      </c>
      <c r="AC1377" s="11">
        <v>0.09090909090909091</v>
      </c>
      <c r="AD1377" s="8" t="s">
        <v>799</v>
      </c>
      <c r="AE1377" s="11">
        <v>41.8</v>
      </c>
      <c r="AF1377" s="8" t="s">
        <v>2148</v>
      </c>
      <c r="AG1377" s="8" t="s">
        <v>2163</v>
      </c>
      <c r="AH1377" s="8">
        <v>5</v>
      </c>
    </row>
    <row r="1378" spans="1:34" ht="25" customHeight="1">
      <c r="A1378" s="12">
        <v>35</v>
      </c>
      <c r="B1378" s="8" t="s">
        <v>432</v>
      </c>
      <c r="C1378" s="8">
        <v>16</v>
      </c>
      <c r="D1378" s="11">
        <v>0.0583941605839416</v>
      </c>
      <c r="E1378" s="8">
        <v>3</v>
      </c>
      <c r="F1378" s="11">
        <v>0.1875</v>
      </c>
      <c r="G1378" s="8">
        <v>2</v>
      </c>
      <c r="H1378" s="11">
        <v>0.125</v>
      </c>
      <c r="I1378" s="11">
        <v>7.25</v>
      </c>
      <c r="J1378" s="11">
        <v>0.9375</v>
      </c>
      <c r="K1378" s="8">
        <v>0</v>
      </c>
      <c r="L1378" s="8" t="s">
        <v>799</v>
      </c>
      <c r="M1378" s="11">
        <v>33.4</v>
      </c>
      <c r="N1378" s="8" t="s">
        <v>2148</v>
      </c>
      <c r="O1378" s="8" t="s">
        <v>2164</v>
      </c>
      <c r="P1378" s="8">
        <v>5</v>
      </c>
      <c r="S1378" s="8" t="s">
        <v>123</v>
      </c>
      <c r="T1378" s="8" t="s">
        <v>206</v>
      </c>
      <c r="U1378" s="8">
        <v>13</v>
      </c>
      <c r="V1378" s="11">
        <v>0.04744525547445255</v>
      </c>
      <c r="W1378" s="8">
        <v>6</v>
      </c>
      <c r="X1378" s="11">
        <v>0.4615384615384616</v>
      </c>
      <c r="Y1378" s="8">
        <v>0</v>
      </c>
      <c r="Z1378" s="8">
        <v>0</v>
      </c>
      <c r="AA1378" s="11">
        <v>3.153846153846154</v>
      </c>
      <c r="AB1378" s="11">
        <v>0.5384615384615384</v>
      </c>
      <c r="AC1378" s="11">
        <v>0.3076923076923077</v>
      </c>
      <c r="AD1378" s="8" t="s">
        <v>799</v>
      </c>
      <c r="AE1378" s="11">
        <v>59.2</v>
      </c>
      <c r="AF1378" s="8" t="s">
        <v>2137</v>
      </c>
      <c r="AG1378" s="8" t="s">
        <v>2151</v>
      </c>
      <c r="AH1378" s="8">
        <v>7</v>
      </c>
    </row>
    <row r="1379" spans="1:34" ht="25" customHeight="1">
      <c r="A1379" s="12">
        <v>36</v>
      </c>
      <c r="B1379" s="8" t="s">
        <v>471</v>
      </c>
      <c r="C1379" s="8">
        <v>20</v>
      </c>
      <c r="D1379" s="11">
        <v>0.072992700729927</v>
      </c>
      <c r="E1379" s="8">
        <v>11</v>
      </c>
      <c r="F1379" s="11">
        <v>0.55</v>
      </c>
      <c r="G1379" s="8">
        <v>3</v>
      </c>
      <c r="H1379" s="11">
        <v>0.15</v>
      </c>
      <c r="I1379" s="11">
        <v>10.1</v>
      </c>
      <c r="J1379" s="8">
        <v>0</v>
      </c>
      <c r="K1379" s="11">
        <v>0.95</v>
      </c>
      <c r="L1379" s="8" t="s">
        <v>799</v>
      </c>
      <c r="M1379" s="11">
        <v>55.5</v>
      </c>
      <c r="N1379" s="8" t="s">
        <v>2137</v>
      </c>
      <c r="O1379" s="8" t="s">
        <v>2151</v>
      </c>
      <c r="P1379" s="8">
        <v>11</v>
      </c>
      <c r="S1379" s="8" t="s">
        <v>123</v>
      </c>
      <c r="T1379" s="8" t="s">
        <v>203</v>
      </c>
      <c r="U1379" s="8">
        <v>32</v>
      </c>
      <c r="V1379" s="11">
        <v>0.1167883211678832</v>
      </c>
      <c r="W1379" s="8">
        <v>17</v>
      </c>
      <c r="X1379" s="11">
        <v>0.53125</v>
      </c>
      <c r="Y1379" s="8">
        <v>7</v>
      </c>
      <c r="Z1379" s="11">
        <v>0.21875</v>
      </c>
      <c r="AA1379" s="11">
        <v>6.65625</v>
      </c>
      <c r="AB1379" s="11">
        <v>0.5625</v>
      </c>
      <c r="AC1379" s="11">
        <v>0.4375</v>
      </c>
      <c r="AD1379" s="8" t="s">
        <v>799</v>
      </c>
      <c r="AE1379" s="11">
        <v>56.2</v>
      </c>
      <c r="AF1379" s="8" t="s">
        <v>2137</v>
      </c>
      <c r="AG1379" s="8" t="s">
        <v>2151</v>
      </c>
      <c r="AH1379" s="8">
        <v>9</v>
      </c>
    </row>
    <row r="1380" spans="1:34" ht="25" customHeight="1">
      <c r="A1380" s="12">
        <v>37</v>
      </c>
      <c r="B1380" s="8" t="s">
        <v>452</v>
      </c>
      <c r="C1380" s="8">
        <v>2</v>
      </c>
      <c r="D1380" s="11">
        <v>0.0072992700729927</v>
      </c>
      <c r="E1380" s="8">
        <v>2</v>
      </c>
      <c r="F1380" s="8">
        <v>1</v>
      </c>
      <c r="G1380" s="8">
        <v>0</v>
      </c>
      <c r="H1380" s="8">
        <v>0</v>
      </c>
      <c r="I1380" s="8">
        <v>-5</v>
      </c>
      <c r="J1380" s="8">
        <v>0</v>
      </c>
      <c r="K1380" s="8">
        <v>1</v>
      </c>
      <c r="L1380" s="8" t="s">
        <v>791</v>
      </c>
      <c r="M1380" s="8">
        <v>100</v>
      </c>
      <c r="N1380" s="8" t="s">
        <v>2165</v>
      </c>
      <c r="O1380" s="8" t="s">
        <v>2166</v>
      </c>
      <c r="P1380" s="8">
        <v>12</v>
      </c>
      <c r="S1380" s="8" t="s">
        <v>120</v>
      </c>
      <c r="T1380" s="8" t="s">
        <v>206</v>
      </c>
      <c r="U1380" s="8">
        <v>109</v>
      </c>
      <c r="V1380" s="11">
        <v>0.3978102189781022</v>
      </c>
      <c r="W1380" s="8">
        <v>56</v>
      </c>
      <c r="X1380" s="11">
        <v>0.5137614678899083</v>
      </c>
      <c r="Y1380" s="8">
        <v>13</v>
      </c>
      <c r="Z1380" s="11">
        <v>0.1192660550458716</v>
      </c>
      <c r="AA1380" s="11">
        <v>7.036697247706422</v>
      </c>
      <c r="AB1380" s="11">
        <v>0.3394495412844037</v>
      </c>
      <c r="AC1380" s="11">
        <v>0.6422018348623854</v>
      </c>
      <c r="AD1380" s="8" t="s">
        <v>799</v>
      </c>
      <c r="AE1380" s="11">
        <v>56.5</v>
      </c>
      <c r="AF1380" s="8" t="s">
        <v>2137</v>
      </c>
      <c r="AG1380" s="8" t="s">
        <v>2151</v>
      </c>
      <c r="AH1380" s="8">
        <v>11</v>
      </c>
    </row>
    <row r="1381" spans="1:34" ht="25" customHeight="1">
      <c r="A1381" s="12">
        <v>38</v>
      </c>
      <c r="B1381" s="8" t="s">
        <v>541</v>
      </c>
      <c r="C1381" s="8">
        <v>2</v>
      </c>
      <c r="D1381" s="11">
        <v>0.0072992700729927</v>
      </c>
      <c r="E1381" s="8">
        <v>2</v>
      </c>
      <c r="F1381" s="8">
        <v>1</v>
      </c>
      <c r="G1381" s="8">
        <v>0</v>
      </c>
      <c r="H1381" s="8">
        <v>0</v>
      </c>
      <c r="I1381" s="11">
        <v>1.5</v>
      </c>
      <c r="J1381" s="8">
        <v>1</v>
      </c>
      <c r="K1381" s="8">
        <v>0</v>
      </c>
      <c r="L1381" s="8" t="s">
        <v>791</v>
      </c>
      <c r="M1381" s="11">
        <v>98.5</v>
      </c>
      <c r="N1381" s="8" t="s">
        <v>2165</v>
      </c>
      <c r="O1381" s="8" t="s">
        <v>2166</v>
      </c>
      <c r="P1381" s="8">
        <v>13</v>
      </c>
      <c r="S1381" s="8" t="s">
        <v>120</v>
      </c>
      <c r="T1381" s="8" t="s">
        <v>222</v>
      </c>
      <c r="U1381" s="8">
        <v>9</v>
      </c>
      <c r="V1381" s="11">
        <v>0.03284671532846715</v>
      </c>
      <c r="W1381" s="8">
        <v>3</v>
      </c>
      <c r="X1381" s="11">
        <v>0.3333333333333333</v>
      </c>
      <c r="Y1381" s="8">
        <v>2</v>
      </c>
      <c r="Z1381" s="11">
        <v>0.2222222222222222</v>
      </c>
      <c r="AA1381" s="11">
        <v>10.33333333333333</v>
      </c>
      <c r="AB1381" s="11">
        <v>0.1111111111111111</v>
      </c>
      <c r="AC1381" s="11">
        <v>0.7777777777777778</v>
      </c>
      <c r="AD1381" s="8" t="s">
        <v>799</v>
      </c>
      <c r="AE1381" s="11">
        <v>38.9</v>
      </c>
      <c r="AF1381" s="8" t="s">
        <v>2148</v>
      </c>
      <c r="AG1381" s="8" t="s">
        <v>2163</v>
      </c>
      <c r="AH1381" s="8">
        <v>41</v>
      </c>
    </row>
    <row r="1382" spans="1:34" ht="25" customHeight="1">
      <c r="A1382" s="12">
        <v>39</v>
      </c>
      <c r="B1382" s="8" t="s">
        <v>465</v>
      </c>
      <c r="C1382" s="8">
        <v>21</v>
      </c>
      <c r="D1382" s="11">
        <v>0.07664233576642336</v>
      </c>
      <c r="E1382" s="8">
        <v>9</v>
      </c>
      <c r="F1382" s="11">
        <v>0.4285714285714285</v>
      </c>
      <c r="G1382" s="8">
        <v>3</v>
      </c>
      <c r="H1382" s="11">
        <v>0.1428571428571428</v>
      </c>
      <c r="I1382" s="11">
        <v>5.523809523809524</v>
      </c>
      <c r="J1382" s="8">
        <v>1</v>
      </c>
      <c r="K1382" s="8">
        <v>0</v>
      </c>
      <c r="L1382" s="8" t="s">
        <v>799</v>
      </c>
      <c r="M1382" s="11">
        <v>51.6</v>
      </c>
      <c r="N1382" s="8" t="s">
        <v>2137</v>
      </c>
      <c r="O1382" s="8" t="s">
        <v>2151</v>
      </c>
      <c r="P1382" s="8">
        <v>15</v>
      </c>
      <c r="S1382" s="8" t="s">
        <v>120</v>
      </c>
      <c r="T1382" s="8" t="s">
        <v>215</v>
      </c>
      <c r="U1382" s="8">
        <v>2</v>
      </c>
      <c r="V1382" s="11">
        <v>0.0072992700729927</v>
      </c>
      <c r="W1382" s="8">
        <v>1</v>
      </c>
      <c r="X1382" s="11">
        <v>0.5</v>
      </c>
      <c r="Y1382" s="8">
        <v>0</v>
      </c>
      <c r="Z1382" s="8">
        <v>0</v>
      </c>
      <c r="AA1382" s="8">
        <v>4</v>
      </c>
      <c r="AB1382" s="8">
        <v>0</v>
      </c>
      <c r="AC1382" s="11">
        <v>0.5</v>
      </c>
      <c r="AD1382" s="8" t="s">
        <v>791</v>
      </c>
      <c r="AE1382" s="8">
        <v>61</v>
      </c>
      <c r="AF1382" s="8" t="s">
        <v>2165</v>
      </c>
      <c r="AG1382" s="8" t="s">
        <v>2166</v>
      </c>
      <c r="AH1382" s="8">
        <v>50</v>
      </c>
    </row>
    <row r="1383" spans="1:34" ht="25" customHeight="1">
      <c r="A1383" s="12">
        <v>40</v>
      </c>
      <c r="B1383" s="8" t="s">
        <v>446</v>
      </c>
      <c r="C1383" s="8">
        <v>22</v>
      </c>
      <c r="D1383" s="11">
        <v>0.08029197080291971</v>
      </c>
      <c r="E1383" s="8">
        <v>13</v>
      </c>
      <c r="F1383" s="11">
        <v>0.5909090909090909</v>
      </c>
      <c r="G1383" s="8">
        <v>3</v>
      </c>
      <c r="H1383" s="11">
        <v>0.1363636363636364</v>
      </c>
      <c r="I1383" s="11">
        <v>5.909090909090909</v>
      </c>
      <c r="J1383" s="8">
        <v>0</v>
      </c>
      <c r="K1383" s="8">
        <v>1</v>
      </c>
      <c r="L1383" s="8" t="s">
        <v>799</v>
      </c>
      <c r="M1383" s="11">
        <v>62.7</v>
      </c>
      <c r="N1383" s="8" t="s">
        <v>2137</v>
      </c>
      <c r="O1383" s="8" t="s">
        <v>2151</v>
      </c>
      <c r="P1383" s="8">
        <v>16</v>
      </c>
      <c r="S1383" s="8" t="s">
        <v>123</v>
      </c>
      <c r="T1383" s="8" t="s">
        <v>215</v>
      </c>
      <c r="U1383" s="8">
        <v>3</v>
      </c>
      <c r="V1383" s="11">
        <v>0.01094890510948905</v>
      </c>
      <c r="W1383" s="8">
        <v>1</v>
      </c>
      <c r="X1383" s="11">
        <v>0.3333333333333333</v>
      </c>
      <c r="Y1383" s="8">
        <v>1</v>
      </c>
      <c r="Z1383" s="11">
        <v>0.3333333333333333</v>
      </c>
      <c r="AA1383" s="8">
        <v>8</v>
      </c>
      <c r="AB1383" s="11">
        <v>0.6666666666666666</v>
      </c>
      <c r="AC1383" s="8">
        <v>0</v>
      </c>
      <c r="AD1383" s="8" t="s">
        <v>801</v>
      </c>
      <c r="AE1383" s="11">
        <v>38.7</v>
      </c>
      <c r="AF1383" s="8" t="s">
        <v>2167</v>
      </c>
      <c r="AG1383" s="8" t="s">
        <v>2168</v>
      </c>
      <c r="AH1383" s="8">
        <v>91</v>
      </c>
    </row>
    <row r="1384" spans="1:34" ht="25" customHeight="1">
      <c r="A1384" s="12">
        <v>41</v>
      </c>
      <c r="B1384" s="8" t="s">
        <v>449</v>
      </c>
      <c r="C1384" s="8">
        <v>76</v>
      </c>
      <c r="D1384" s="11">
        <v>0.2773722627737226</v>
      </c>
      <c r="E1384" s="8">
        <v>44</v>
      </c>
      <c r="F1384" s="11">
        <v>0.5789473684210527</v>
      </c>
      <c r="G1384" s="8">
        <v>14</v>
      </c>
      <c r="H1384" s="11">
        <v>0.1842105263157895</v>
      </c>
      <c r="I1384" s="11">
        <v>7.736842105263158</v>
      </c>
      <c r="J1384" s="8">
        <v>0</v>
      </c>
      <c r="K1384" s="11">
        <v>0.9736842105263158</v>
      </c>
      <c r="L1384" s="8" t="s">
        <v>799</v>
      </c>
      <c r="M1384" s="11">
        <v>59.1</v>
      </c>
      <c r="N1384" s="8" t="s">
        <v>2137</v>
      </c>
      <c r="O1384" s="8" t="s">
        <v>2151</v>
      </c>
      <c r="P1384" s="8">
        <v>19</v>
      </c>
      <c r="S1384" s="8" t="s">
        <v>145</v>
      </c>
      <c r="T1384" s="8" t="s">
        <v>203</v>
      </c>
      <c r="U1384" s="8">
        <v>1</v>
      </c>
      <c r="V1384" s="11">
        <v>0.00364963503649635</v>
      </c>
      <c r="W1384" s="8">
        <v>0</v>
      </c>
      <c r="X1384" s="8">
        <v>0</v>
      </c>
      <c r="Y1384" s="8">
        <v>0</v>
      </c>
      <c r="Z1384" s="8">
        <v>0</v>
      </c>
      <c r="AA1384" s="8">
        <v>1</v>
      </c>
      <c r="AB1384" s="8">
        <v>0</v>
      </c>
      <c r="AC1384" s="8">
        <v>0</v>
      </c>
      <c r="AD1384" s="8" t="s">
        <v>791</v>
      </c>
      <c r="AE1384" s="8">
        <v>29</v>
      </c>
      <c r="AF1384" s="8" t="s">
        <v>2165</v>
      </c>
      <c r="AG1384" s="8" t="s">
        <v>2166</v>
      </c>
      <c r="AH1384" s="8">
        <v>143</v>
      </c>
    </row>
    <row r="1385" spans="1:34" ht="25" customHeight="1">
      <c r="A1385" s="12">
        <v>42</v>
      </c>
      <c r="B1385" s="8" t="s">
        <v>477</v>
      </c>
      <c r="C1385" s="8">
        <v>8</v>
      </c>
      <c r="D1385" s="11">
        <v>0.0291970802919708</v>
      </c>
      <c r="E1385" s="8">
        <v>2</v>
      </c>
      <c r="F1385" s="11">
        <v>0.25</v>
      </c>
      <c r="G1385" s="8">
        <v>0</v>
      </c>
      <c r="H1385" s="8">
        <v>0</v>
      </c>
      <c r="I1385" s="11">
        <v>3.875</v>
      </c>
      <c r="J1385" s="8">
        <v>1</v>
      </c>
      <c r="K1385" s="8">
        <v>0</v>
      </c>
      <c r="L1385" s="8" t="s">
        <v>799</v>
      </c>
      <c r="M1385" s="11">
        <v>43.6</v>
      </c>
      <c r="N1385" s="8" t="s">
        <v>2148</v>
      </c>
      <c r="O1385" s="8" t="s">
        <v>2164</v>
      </c>
      <c r="P1385" s="8">
        <v>23</v>
      </c>
      <c r="S1385" s="8" t="s">
        <v>175</v>
      </c>
      <c r="T1385" s="8" t="s">
        <v>206</v>
      </c>
      <c r="U1385" s="8">
        <v>1</v>
      </c>
      <c r="V1385" s="11">
        <v>0.00364963503649635</v>
      </c>
      <c r="W1385" s="8">
        <v>1</v>
      </c>
      <c r="X1385" s="8">
        <v>1</v>
      </c>
      <c r="Y1385" s="8">
        <v>0</v>
      </c>
      <c r="Z1385" s="8">
        <v>0</v>
      </c>
      <c r="AA1385" s="8">
        <v>2</v>
      </c>
      <c r="AB1385" s="8">
        <v>1</v>
      </c>
      <c r="AC1385" s="8">
        <v>0</v>
      </c>
      <c r="AD1385" s="8" t="s">
        <v>791</v>
      </c>
      <c r="AE1385" s="8">
        <v>98</v>
      </c>
      <c r="AF1385" s="8" t="s">
        <v>2165</v>
      </c>
      <c r="AG1385" s="8" t="s">
        <v>2166</v>
      </c>
      <c r="AH1385" s="8">
        <v>201</v>
      </c>
    </row>
    <row r="1386" spans="1:34" ht="25" customHeight="1">
      <c r="A1386" s="12">
        <v>43</v>
      </c>
      <c r="B1386" s="8" t="s">
        <v>561</v>
      </c>
      <c r="C1386" s="8">
        <v>2</v>
      </c>
      <c r="D1386" s="11">
        <v>0.0072992700729927</v>
      </c>
      <c r="E1386" s="8">
        <v>1</v>
      </c>
      <c r="F1386" s="11">
        <v>0.5</v>
      </c>
      <c r="G1386" s="8">
        <v>1</v>
      </c>
      <c r="H1386" s="11">
        <v>0.5</v>
      </c>
      <c r="I1386" s="8">
        <v>38</v>
      </c>
      <c r="J1386" s="8">
        <v>0</v>
      </c>
      <c r="K1386" s="8">
        <v>1</v>
      </c>
      <c r="L1386" s="8" t="s">
        <v>791</v>
      </c>
      <c r="M1386" s="8">
        <v>45</v>
      </c>
      <c r="N1386" s="8" t="s">
        <v>2161</v>
      </c>
      <c r="O1386" s="8" t="s">
        <v>2162</v>
      </c>
      <c r="P1386" s="8">
        <v>29</v>
      </c>
      <c r="S1386" s="8" t="s">
        <v>132</v>
      </c>
      <c r="T1386" s="8" t="s">
        <v>222</v>
      </c>
      <c r="U1386" s="8">
        <v>1</v>
      </c>
      <c r="V1386" s="11">
        <v>0.00364963503649635</v>
      </c>
      <c r="W1386" s="8">
        <v>1</v>
      </c>
      <c r="X1386" s="8">
        <v>1</v>
      </c>
      <c r="Y1386" s="8">
        <v>0</v>
      </c>
      <c r="Z1386" s="8">
        <v>0</v>
      </c>
      <c r="AA1386" s="8">
        <v>0</v>
      </c>
      <c r="AB1386" s="8">
        <v>0</v>
      </c>
      <c r="AC1386" s="8">
        <v>1</v>
      </c>
      <c r="AD1386" s="8" t="s">
        <v>791</v>
      </c>
      <c r="AE1386" s="8">
        <v>100</v>
      </c>
      <c r="AF1386" s="8" t="s">
        <v>2165</v>
      </c>
      <c r="AG1386" s="8" t="s">
        <v>2166</v>
      </c>
      <c r="AH1386" s="8">
        <v>212</v>
      </c>
    </row>
    <row r="1387" spans="1:34" ht="25" customHeight="1">
      <c r="A1387" s="12">
        <v>44</v>
      </c>
      <c r="B1387" s="8" t="s">
        <v>443</v>
      </c>
      <c r="C1387" s="8">
        <v>1</v>
      </c>
      <c r="D1387" s="11">
        <v>0.00364963503649635</v>
      </c>
      <c r="E1387" s="8">
        <v>1</v>
      </c>
      <c r="F1387" s="8">
        <v>1</v>
      </c>
      <c r="G1387" s="8">
        <v>0</v>
      </c>
      <c r="H1387" s="8">
        <v>0</v>
      </c>
      <c r="I1387" s="8">
        <v>5</v>
      </c>
      <c r="J1387" s="8">
        <v>0</v>
      </c>
      <c r="K1387" s="8">
        <v>1</v>
      </c>
      <c r="L1387" s="8" t="s">
        <v>791</v>
      </c>
      <c r="M1387" s="8">
        <v>95</v>
      </c>
      <c r="N1387" s="8" t="s">
        <v>2165</v>
      </c>
      <c r="O1387" s="8" t="s">
        <v>2166</v>
      </c>
      <c r="P1387" s="8">
        <v>47</v>
      </c>
      <c r="S1387" s="8" t="s">
        <v>123</v>
      </c>
      <c r="T1387" s="8" t="s">
        <v>222</v>
      </c>
      <c r="U1387" s="8">
        <v>2</v>
      </c>
      <c r="V1387" s="11">
        <v>0.0072992700729927</v>
      </c>
      <c r="W1387" s="8">
        <v>2</v>
      </c>
      <c r="X1387" s="8">
        <v>1</v>
      </c>
      <c r="Y1387" s="8">
        <v>0</v>
      </c>
      <c r="Z1387" s="8">
        <v>0</v>
      </c>
      <c r="AA1387" s="8">
        <v>1</v>
      </c>
      <c r="AB1387" s="8">
        <v>0</v>
      </c>
      <c r="AC1387" s="8">
        <v>1</v>
      </c>
      <c r="AD1387" s="8" t="s">
        <v>791</v>
      </c>
      <c r="AE1387" s="8">
        <v>99</v>
      </c>
      <c r="AF1387" s="8" t="s">
        <v>2165</v>
      </c>
      <c r="AG1387" s="8" t="s">
        <v>2166</v>
      </c>
      <c r="AH1387" s="8">
        <v>231</v>
      </c>
    </row>
    <row r="1388" spans="1:34" ht="25" customHeight="1">
      <c r="A1388" s="12">
        <v>45</v>
      </c>
      <c r="B1388" s="8" t="s">
        <v>435</v>
      </c>
      <c r="C1388" s="8">
        <v>1</v>
      </c>
      <c r="D1388" s="11">
        <v>0.00364963503649635</v>
      </c>
      <c r="E1388" s="8">
        <v>0</v>
      </c>
      <c r="F1388" s="8">
        <v>0</v>
      </c>
      <c r="G1388" s="8">
        <v>0</v>
      </c>
      <c r="H1388" s="8">
        <v>0</v>
      </c>
      <c r="I1388" s="8">
        <v>9</v>
      </c>
      <c r="J1388" s="8">
        <v>1</v>
      </c>
      <c r="K1388" s="8">
        <v>0</v>
      </c>
      <c r="L1388" s="8" t="s">
        <v>791</v>
      </c>
      <c r="M1388" s="8">
        <v>21</v>
      </c>
      <c r="N1388" s="8" t="s">
        <v>2165</v>
      </c>
      <c r="O1388" s="8" t="s">
        <v>2166</v>
      </c>
      <c r="P1388" s="8">
        <v>49</v>
      </c>
      <c r="S1388" s="8" t="s">
        <v>156</v>
      </c>
      <c r="T1388" s="8" t="s">
        <v>235</v>
      </c>
      <c r="U1388" s="8">
        <v>1</v>
      </c>
      <c r="V1388" s="11">
        <v>0.00364963503649635</v>
      </c>
      <c r="W1388" s="8">
        <v>1</v>
      </c>
      <c r="X1388" s="8">
        <v>1</v>
      </c>
      <c r="Y1388" s="8">
        <v>0</v>
      </c>
      <c r="Z1388" s="8">
        <v>0</v>
      </c>
      <c r="AA1388" s="8">
        <v>1</v>
      </c>
      <c r="AB1388" s="8">
        <v>1</v>
      </c>
      <c r="AC1388" s="8">
        <v>0</v>
      </c>
      <c r="AD1388" s="8" t="s">
        <v>791</v>
      </c>
      <c r="AE1388" s="8">
        <v>99</v>
      </c>
      <c r="AF1388" s="8" t="s">
        <v>2165</v>
      </c>
      <c r="AG1388" s="8" t="s">
        <v>2166</v>
      </c>
      <c r="AH1388" s="8">
        <v>247</v>
      </c>
    </row>
    <row r="1389" spans="1:34" ht="25" customHeight="1">
      <c r="A1389" s="12">
        <v>46</v>
      </c>
      <c r="B1389" s="8" t="s">
        <v>460</v>
      </c>
      <c r="C1389" s="8">
        <v>2</v>
      </c>
      <c r="D1389" s="11">
        <v>0.0072992700729927</v>
      </c>
      <c r="E1389" s="8">
        <v>2</v>
      </c>
      <c r="F1389" s="8">
        <v>1</v>
      </c>
      <c r="G1389" s="8">
        <v>0</v>
      </c>
      <c r="H1389" s="8">
        <v>0</v>
      </c>
      <c r="I1389" s="8">
        <v>4</v>
      </c>
      <c r="J1389" s="8">
        <v>0</v>
      </c>
      <c r="K1389" s="8">
        <v>1</v>
      </c>
      <c r="L1389" s="8" t="s">
        <v>791</v>
      </c>
      <c r="M1389" s="8">
        <v>96</v>
      </c>
      <c r="N1389" s="8" t="s">
        <v>2165</v>
      </c>
      <c r="O1389" s="8" t="s">
        <v>2166</v>
      </c>
      <c r="P1389" s="8">
        <v>54</v>
      </c>
    </row>
    <row r="1390" spans="1:34" ht="25" customHeight="1">
      <c r="A1390" s="12">
        <v>47</v>
      </c>
      <c r="B1390" s="8" t="s">
        <v>438</v>
      </c>
      <c r="C1390" s="8">
        <v>1</v>
      </c>
      <c r="D1390" s="11">
        <v>0.00364963503649635</v>
      </c>
      <c r="E1390" s="8">
        <v>1</v>
      </c>
      <c r="F1390" s="8">
        <v>1</v>
      </c>
      <c r="G1390" s="8">
        <v>0</v>
      </c>
      <c r="H1390" s="8">
        <v>0</v>
      </c>
      <c r="I1390" s="8">
        <v>3</v>
      </c>
      <c r="J1390" s="8">
        <v>1</v>
      </c>
      <c r="K1390" s="8">
        <v>0</v>
      </c>
      <c r="L1390" s="8" t="s">
        <v>791</v>
      </c>
      <c r="M1390" s="8">
        <v>97</v>
      </c>
      <c r="N1390" s="8" t="s">
        <v>2165</v>
      </c>
      <c r="O1390" s="8" t="s">
        <v>2166</v>
      </c>
      <c r="P1390" s="8">
        <v>68</v>
      </c>
    </row>
    <row r="1391" spans="1:34" ht="25" customHeight="1">
      <c r="A1391" s="12">
        <v>48</v>
      </c>
      <c r="B1391" s="8" t="s">
        <v>457</v>
      </c>
      <c r="C1391" s="8">
        <v>1</v>
      </c>
      <c r="D1391" s="11">
        <v>0.00364963503649635</v>
      </c>
      <c r="E1391" s="8">
        <v>1</v>
      </c>
      <c r="F1391" s="8">
        <v>1</v>
      </c>
      <c r="G1391" s="8">
        <v>0</v>
      </c>
      <c r="H1391" s="8">
        <v>0</v>
      </c>
      <c r="I1391" s="8">
        <v>3</v>
      </c>
      <c r="J1391" s="8">
        <v>1</v>
      </c>
      <c r="K1391" s="8">
        <v>0</v>
      </c>
      <c r="L1391" s="8" t="s">
        <v>791</v>
      </c>
      <c r="M1391" s="8">
        <v>97</v>
      </c>
      <c r="N1391" s="8" t="s">
        <v>2165</v>
      </c>
      <c r="O1391" s="8" t="s">
        <v>2166</v>
      </c>
      <c r="P1391" s="8">
        <v>72</v>
      </c>
    </row>
    <row r="1392" spans="1:34" ht="25" customHeight="1">
      <c r="A1392" s="12">
        <v>49</v>
      </c>
      <c r="B1392" s="8" t="s">
        <v>480</v>
      </c>
      <c r="C1392" s="8">
        <v>3</v>
      </c>
      <c r="D1392" s="11">
        <v>0.01094890510948905</v>
      </c>
      <c r="E1392" s="8">
        <v>3</v>
      </c>
      <c r="F1392" s="8">
        <v>1</v>
      </c>
      <c r="G1392" s="8">
        <v>0</v>
      </c>
      <c r="H1392" s="8">
        <v>0</v>
      </c>
      <c r="I1392" s="8">
        <v>2</v>
      </c>
      <c r="J1392" s="8">
        <v>0</v>
      </c>
      <c r="K1392" s="8">
        <v>1</v>
      </c>
      <c r="L1392" s="8" t="s">
        <v>801</v>
      </c>
      <c r="M1392" s="8">
        <v>98</v>
      </c>
      <c r="N1392" s="8" t="s">
        <v>2169</v>
      </c>
      <c r="O1392" s="8" t="s">
        <v>2168</v>
      </c>
      <c r="P1392" s="8">
        <v>78</v>
      </c>
    </row>
    <row r="1393" spans="1:16" ht="25" customHeight="1">
      <c r="A1393" s="12">
        <v>50</v>
      </c>
      <c r="B1393" s="8" t="s">
        <v>474</v>
      </c>
      <c r="C1393" s="8">
        <v>4</v>
      </c>
      <c r="D1393" s="11">
        <v>0.0145985401459854</v>
      </c>
      <c r="E1393" s="8">
        <v>4</v>
      </c>
      <c r="F1393" s="8">
        <v>1</v>
      </c>
      <c r="G1393" s="8">
        <v>0</v>
      </c>
      <c r="H1393" s="8">
        <v>0</v>
      </c>
      <c r="I1393" s="8">
        <v>2</v>
      </c>
      <c r="J1393" s="8">
        <v>0</v>
      </c>
      <c r="K1393" s="8">
        <v>1</v>
      </c>
      <c r="L1393" s="8" t="s">
        <v>795</v>
      </c>
      <c r="M1393" s="8">
        <v>98</v>
      </c>
      <c r="N1393" s="8" t="s">
        <v>2170</v>
      </c>
      <c r="O1393" s="8" t="s">
        <v>2151</v>
      </c>
      <c r="P1393" s="8">
        <v>85</v>
      </c>
    </row>
    <row r="1394" spans="1:16" ht="25" customHeight="1">
      <c r="A1394" s="12">
        <v>51</v>
      </c>
      <c r="B1394" s="8" t="s">
        <v>487</v>
      </c>
      <c r="C1394" s="8">
        <v>1</v>
      </c>
      <c r="D1394" s="11">
        <v>0.00364963503649635</v>
      </c>
      <c r="E1394" s="8">
        <v>0</v>
      </c>
      <c r="F1394" s="8">
        <v>0</v>
      </c>
      <c r="G1394" s="8">
        <v>0</v>
      </c>
      <c r="H1394" s="8">
        <v>0</v>
      </c>
      <c r="I1394" s="8">
        <v>1</v>
      </c>
      <c r="J1394" s="8">
        <v>0</v>
      </c>
      <c r="K1394" s="8">
        <v>0</v>
      </c>
      <c r="L1394" s="8" t="s">
        <v>791</v>
      </c>
      <c r="M1394" s="8">
        <v>29</v>
      </c>
      <c r="N1394" s="8" t="s">
        <v>2165</v>
      </c>
      <c r="O1394" s="8" t="s">
        <v>2166</v>
      </c>
      <c r="P1394" s="8">
        <v>143</v>
      </c>
    </row>
    <row r="1395" spans="1:16" ht="25" customHeight="1">
      <c r="A1395" s="12">
        <v>52</v>
      </c>
      <c r="B1395" s="8" t="s">
        <v>605</v>
      </c>
      <c r="C1395" s="8">
        <v>1</v>
      </c>
      <c r="D1395" s="11">
        <v>0.00364963503649635</v>
      </c>
      <c r="E1395" s="8">
        <v>1</v>
      </c>
      <c r="F1395" s="8">
        <v>1</v>
      </c>
      <c r="G1395" s="8">
        <v>0</v>
      </c>
      <c r="H1395" s="8">
        <v>0</v>
      </c>
      <c r="I1395" s="8">
        <v>0</v>
      </c>
      <c r="J1395" s="8">
        <v>0</v>
      </c>
      <c r="K1395" s="8">
        <v>1</v>
      </c>
      <c r="L1395" s="8" t="s">
        <v>791</v>
      </c>
      <c r="M1395" s="8">
        <v>100</v>
      </c>
      <c r="N1395" s="8" t="s">
        <v>2165</v>
      </c>
      <c r="O1395" s="8" t="s">
        <v>2166</v>
      </c>
      <c r="P1395" s="8">
        <v>217</v>
      </c>
    </row>
    <row r="1396" spans="1:16" ht="25" customHeight="1">
      <c r="A1396" s="12">
        <v>53</v>
      </c>
      <c r="B1396" s="8" t="s">
        <v>611</v>
      </c>
      <c r="C1396" s="8">
        <v>1</v>
      </c>
      <c r="D1396" s="11">
        <v>0.00364963503649635</v>
      </c>
      <c r="E1396" s="8">
        <v>1</v>
      </c>
      <c r="F1396" s="8">
        <v>1</v>
      </c>
      <c r="G1396" s="8">
        <v>0</v>
      </c>
      <c r="H1396" s="8">
        <v>0</v>
      </c>
      <c r="I1396" s="8">
        <v>3</v>
      </c>
      <c r="J1396" s="8">
        <v>1</v>
      </c>
      <c r="K1396" s="8">
        <v>0</v>
      </c>
      <c r="L1396" s="8" t="s">
        <v>791</v>
      </c>
      <c r="M1396" s="8">
        <v>97</v>
      </c>
      <c r="N1396" s="8" t="s">
        <v>2165</v>
      </c>
      <c r="O1396" s="8" t="s">
        <v>2166</v>
      </c>
      <c r="P1396" s="8">
        <v>222</v>
      </c>
    </row>
    <row r="1397" spans="1:16" ht="25" customHeight="1">
      <c r="A1397" s="12">
        <v>54</v>
      </c>
      <c r="B1397" s="8" t="s">
        <v>498</v>
      </c>
      <c r="C1397" s="8">
        <v>1</v>
      </c>
      <c r="D1397" s="11">
        <v>0.00364963503649635</v>
      </c>
      <c r="E1397" s="8">
        <v>1</v>
      </c>
      <c r="F1397" s="8">
        <v>1</v>
      </c>
      <c r="G1397" s="8">
        <v>0</v>
      </c>
      <c r="H1397" s="8">
        <v>0</v>
      </c>
      <c r="I1397" s="8">
        <v>0</v>
      </c>
      <c r="J1397" s="8">
        <v>0</v>
      </c>
      <c r="K1397" s="8">
        <v>1</v>
      </c>
      <c r="L1397" s="8" t="s">
        <v>791</v>
      </c>
      <c r="M1397" s="8">
        <v>100</v>
      </c>
      <c r="N1397" s="8" t="s">
        <v>2165</v>
      </c>
      <c r="O1397" s="8" t="s">
        <v>2171</v>
      </c>
      <c r="P1397" s="8">
        <v>254</v>
      </c>
    </row>
    <row r="1398" spans="1:16" ht="25" customHeight="1">
      <c r="A1398" s="12">
        <v>55</v>
      </c>
      <c r="B1398" s="8" t="s">
        <v>574</v>
      </c>
      <c r="C1398" s="8">
        <v>1</v>
      </c>
      <c r="D1398" s="11">
        <v>0.00364963503649635</v>
      </c>
      <c r="E1398" s="8">
        <v>1</v>
      </c>
      <c r="F1398" s="8">
        <v>1</v>
      </c>
      <c r="G1398" s="8">
        <v>0</v>
      </c>
      <c r="H1398" s="8">
        <v>0</v>
      </c>
      <c r="I1398" s="8">
        <v>-1</v>
      </c>
      <c r="J1398" s="8">
        <v>1</v>
      </c>
      <c r="K1398" s="8">
        <v>0</v>
      </c>
      <c r="L1398" s="8" t="s">
        <v>791</v>
      </c>
      <c r="M1398" s="8">
        <v>100</v>
      </c>
      <c r="N1398" s="8" t="s">
        <v>2165</v>
      </c>
      <c r="O1398" s="8" t="s">
        <v>2166</v>
      </c>
      <c r="P1398" s="8">
        <v>276</v>
      </c>
    </row>
    <row r="1404" spans="1:16" ht="27" customHeight="1">
      <c r="A1404" s="5" t="s">
        <v>2172</v>
      </c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</row>
    <row r="1405" spans="1:16" ht="36" customHeight="1">
      <c r="A1405" s="9" t="s">
        <v>683</v>
      </c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</row>
    <row r="1406" spans="1:16" ht="25" customHeight="1">
      <c r="A1406" s="6" t="s">
        <v>684</v>
      </c>
    </row>
    <row r="1407" spans="1:16" ht="25" customHeight="1">
      <c r="A1407" s="12">
        <v>1</v>
      </c>
      <c r="B1407" s="8" t="s">
        <v>2173</v>
      </c>
    </row>
    <row r="1408" spans="1:16" ht="25" customHeight="1">
      <c r="A1408" s="12">
        <v>2</v>
      </c>
      <c r="B1408" s="8" t="s">
        <v>2174</v>
      </c>
      <c r="E1408" s="8" t="s">
        <v>2121</v>
      </c>
      <c r="H1408" s="8" t="s">
        <v>2072</v>
      </c>
      <c r="K1408" s="8" t="s">
        <v>2122</v>
      </c>
      <c r="M1408" s="8" t="s">
        <v>2175</v>
      </c>
    </row>
    <row r="1409" spans="1:16" ht="25" customHeight="1">
      <c r="A1409" s="12">
        <v>3</v>
      </c>
      <c r="B1409" s="8" t="s">
        <v>2176</v>
      </c>
      <c r="C1409" s="8" t="s">
        <v>2091</v>
      </c>
      <c r="D1409" s="8" t="s">
        <v>690</v>
      </c>
      <c r="E1409" s="8" t="s">
        <v>2130</v>
      </c>
      <c r="F1409" s="8" t="s">
        <v>2132</v>
      </c>
      <c r="G1409" s="8" t="s">
        <v>2133</v>
      </c>
      <c r="H1409" s="8" t="s">
        <v>784</v>
      </c>
      <c r="I1409" s="8" t="s">
        <v>2135</v>
      </c>
      <c r="J1409" s="8" t="s">
        <v>2146</v>
      </c>
      <c r="K1409" s="8" t="s">
        <v>2147</v>
      </c>
      <c r="L1409" s="8" t="s">
        <v>786</v>
      </c>
      <c r="M1409" s="8" t="s">
        <v>2134</v>
      </c>
      <c r="N1409" s="8" t="s">
        <v>2136</v>
      </c>
      <c r="O1409" s="8" t="s">
        <v>2139</v>
      </c>
      <c r="P1409" s="8" t="s">
        <v>1946</v>
      </c>
    </row>
    <row r="1410" spans="1:16" ht="25" customHeight="1">
      <c r="A1410" s="12">
        <v>4</v>
      </c>
      <c r="B1410" s="8" t="s">
        <v>44</v>
      </c>
      <c r="C1410" s="8">
        <v>15</v>
      </c>
      <c r="D1410" s="11">
        <v>0.05474452554744526</v>
      </c>
      <c r="E1410" s="8">
        <v>4</v>
      </c>
      <c r="F1410" s="11">
        <v>0.2666666666666667</v>
      </c>
      <c r="G1410" s="8">
        <v>2</v>
      </c>
      <c r="H1410" s="11">
        <v>0.1333333333333333</v>
      </c>
      <c r="I1410" s="11">
        <v>8.333333333333334</v>
      </c>
      <c r="J1410" s="11">
        <v>0.6</v>
      </c>
      <c r="K1410" s="11">
        <v>0.4</v>
      </c>
      <c r="L1410" s="8" t="s">
        <v>799</v>
      </c>
      <c r="M1410" s="11">
        <v>37.7</v>
      </c>
      <c r="N1410" s="8" t="s">
        <v>2177</v>
      </c>
      <c r="O1410" s="8" t="s">
        <v>2178</v>
      </c>
      <c r="P1410" s="8">
        <v>1</v>
      </c>
    </row>
    <row r="1411" spans="1:16" ht="25" customHeight="1">
      <c r="A1411" s="12">
        <v>5</v>
      </c>
      <c r="B1411" s="8" t="s">
        <v>52</v>
      </c>
      <c r="C1411" s="8">
        <v>13</v>
      </c>
      <c r="D1411" s="11">
        <v>0.04744525547445255</v>
      </c>
      <c r="E1411" s="8">
        <v>9</v>
      </c>
      <c r="F1411" s="11">
        <v>0.6923076923076923</v>
      </c>
      <c r="G1411" s="8">
        <v>1</v>
      </c>
      <c r="H1411" s="11">
        <v>0.07692307692307693</v>
      </c>
      <c r="I1411" s="11">
        <v>2.461538461538462</v>
      </c>
      <c r="J1411" s="11">
        <v>0.4615384615384616</v>
      </c>
      <c r="K1411" s="11">
        <v>0.5384615384615384</v>
      </c>
      <c r="L1411" s="8" t="s">
        <v>799</v>
      </c>
      <c r="M1411" s="11">
        <v>74.5</v>
      </c>
      <c r="N1411" s="8" t="s">
        <v>2152</v>
      </c>
      <c r="O1411" s="8" t="s">
        <v>2153</v>
      </c>
      <c r="P1411" s="8">
        <v>7</v>
      </c>
    </row>
    <row r="1412" spans="1:16" ht="25" customHeight="1">
      <c r="A1412" s="12">
        <v>6</v>
      </c>
      <c r="B1412" s="8" t="s">
        <v>68</v>
      </c>
      <c r="C1412" s="8">
        <v>10</v>
      </c>
      <c r="D1412" s="11">
        <v>0.0364963503649635</v>
      </c>
      <c r="E1412" s="8">
        <v>6</v>
      </c>
      <c r="F1412" s="11">
        <v>0.6</v>
      </c>
      <c r="G1412" s="8">
        <v>0</v>
      </c>
      <c r="H1412" s="8">
        <v>0</v>
      </c>
      <c r="I1412" s="11">
        <v>2.7</v>
      </c>
      <c r="J1412" s="11">
        <v>0.4</v>
      </c>
      <c r="K1412" s="11">
        <v>0.5</v>
      </c>
      <c r="L1412" s="8" t="s">
        <v>799</v>
      </c>
      <c r="M1412" s="11">
        <v>69.3</v>
      </c>
      <c r="N1412" s="8" t="s">
        <v>2152</v>
      </c>
      <c r="O1412" s="8" t="s">
        <v>2151</v>
      </c>
      <c r="P1412" s="8">
        <v>11</v>
      </c>
    </row>
    <row r="1413" spans="1:16" ht="25" customHeight="1">
      <c r="A1413" s="12">
        <v>7</v>
      </c>
      <c r="B1413" s="8" t="s">
        <v>60</v>
      </c>
      <c r="C1413" s="8">
        <v>17</v>
      </c>
      <c r="D1413" s="11">
        <v>0.06204379562043796</v>
      </c>
      <c r="E1413" s="8">
        <v>9</v>
      </c>
      <c r="F1413" s="11">
        <v>0.5294117647058824</v>
      </c>
      <c r="G1413" s="8">
        <v>2</v>
      </c>
      <c r="H1413" s="11">
        <v>0.1176470588235294</v>
      </c>
      <c r="I1413" s="11">
        <v>6.294117647058823</v>
      </c>
      <c r="J1413" s="11">
        <v>0.4705882352941176</v>
      </c>
      <c r="K1413" s="11">
        <v>0.4705882352941176</v>
      </c>
      <c r="L1413" s="8" t="s">
        <v>799</v>
      </c>
      <c r="M1413" s="11">
        <v>58.4</v>
      </c>
      <c r="N1413" s="8" t="s">
        <v>2137</v>
      </c>
      <c r="O1413" s="8" t="s">
        <v>2151</v>
      </c>
      <c r="P1413" s="8">
        <v>15</v>
      </c>
    </row>
    <row r="1414" spans="1:16" ht="25" customHeight="1">
      <c r="A1414" s="12">
        <v>8</v>
      </c>
      <c r="B1414" s="8" t="s">
        <v>63</v>
      </c>
      <c r="C1414" s="8">
        <v>10</v>
      </c>
      <c r="D1414" s="11">
        <v>0.0364963503649635</v>
      </c>
      <c r="E1414" s="8">
        <v>3</v>
      </c>
      <c r="F1414" s="11">
        <v>0.3</v>
      </c>
      <c r="G1414" s="8">
        <v>2</v>
      </c>
      <c r="H1414" s="11">
        <v>0.2</v>
      </c>
      <c r="I1414" s="11">
        <v>9.4</v>
      </c>
      <c r="J1414" s="11">
        <v>0.2</v>
      </c>
      <c r="K1414" s="11">
        <v>0.8</v>
      </c>
      <c r="L1414" s="8" t="s">
        <v>799</v>
      </c>
      <c r="M1414" s="11">
        <v>37.6</v>
      </c>
      <c r="N1414" s="8" t="s">
        <v>2177</v>
      </c>
      <c r="O1414" s="8" t="s">
        <v>2178</v>
      </c>
      <c r="P1414" s="8">
        <v>18</v>
      </c>
    </row>
    <row r="1415" spans="1:16" ht="25" customHeight="1">
      <c r="A1415" s="12">
        <v>9</v>
      </c>
      <c r="B1415" s="8" t="s">
        <v>51</v>
      </c>
      <c r="C1415" s="8">
        <v>5</v>
      </c>
      <c r="D1415" s="11">
        <v>0.01824817518248175</v>
      </c>
      <c r="E1415" s="8">
        <v>2</v>
      </c>
      <c r="F1415" s="11">
        <v>0.4</v>
      </c>
      <c r="G1415" s="8">
        <v>1</v>
      </c>
      <c r="H1415" s="11">
        <v>0.2</v>
      </c>
      <c r="I1415" s="11">
        <v>7.4</v>
      </c>
      <c r="J1415" s="11">
        <v>0.2</v>
      </c>
      <c r="K1415" s="11">
        <v>0.8</v>
      </c>
      <c r="L1415" s="8" t="s">
        <v>795</v>
      </c>
      <c r="M1415" s="11">
        <v>46.6</v>
      </c>
      <c r="N1415" s="8" t="s">
        <v>2177</v>
      </c>
      <c r="O1415" s="8" t="s">
        <v>2178</v>
      </c>
      <c r="P1415" s="8">
        <v>21</v>
      </c>
    </row>
    <row r="1416" spans="1:16" ht="25" customHeight="1">
      <c r="A1416" s="12">
        <v>10</v>
      </c>
      <c r="B1416" s="8" t="s">
        <v>54</v>
      </c>
      <c r="C1416" s="8">
        <v>3</v>
      </c>
      <c r="D1416" s="11">
        <v>0.01094890510948905</v>
      </c>
      <c r="E1416" s="8">
        <v>1</v>
      </c>
      <c r="F1416" s="11">
        <v>0.3333333333333333</v>
      </c>
      <c r="G1416" s="8">
        <v>1</v>
      </c>
      <c r="H1416" s="11">
        <v>0.3333333333333333</v>
      </c>
      <c r="I1416" s="11">
        <v>8.666666666666666</v>
      </c>
      <c r="J1416" s="11">
        <v>0.6666666666666666</v>
      </c>
      <c r="K1416" s="11">
        <v>0.3333333333333333</v>
      </c>
      <c r="L1416" s="8" t="s">
        <v>801</v>
      </c>
      <c r="M1416" s="8">
        <v>38</v>
      </c>
      <c r="N1416" s="8" t="s">
        <v>2167</v>
      </c>
      <c r="O1416" s="8" t="s">
        <v>2168</v>
      </c>
      <c r="P1416" s="8">
        <v>23</v>
      </c>
    </row>
    <row r="1417" spans="1:16" ht="25" customHeight="1">
      <c r="A1417" s="12">
        <v>11</v>
      </c>
      <c r="B1417" s="8" t="s">
        <v>56</v>
      </c>
      <c r="C1417" s="8">
        <v>6</v>
      </c>
      <c r="D1417" s="11">
        <v>0.0218978102189781</v>
      </c>
      <c r="E1417" s="8">
        <v>1</v>
      </c>
      <c r="F1417" s="11">
        <v>0.1666666666666667</v>
      </c>
      <c r="G1417" s="8">
        <v>0</v>
      </c>
      <c r="H1417" s="8">
        <v>0</v>
      </c>
      <c r="I1417" s="11">
        <v>5.5</v>
      </c>
      <c r="J1417" s="11">
        <v>0.6666666666666666</v>
      </c>
      <c r="K1417" s="11">
        <v>0.3333333333333333</v>
      </c>
      <c r="L1417" s="8" t="s">
        <v>795</v>
      </c>
      <c r="M1417" s="11">
        <v>36.2</v>
      </c>
      <c r="N1417" s="8" t="s">
        <v>2177</v>
      </c>
      <c r="O1417" s="8" t="s">
        <v>2178</v>
      </c>
      <c r="P1417" s="8">
        <v>25</v>
      </c>
    </row>
    <row r="1418" spans="1:16" ht="25" customHeight="1">
      <c r="A1418" s="12">
        <v>12</v>
      </c>
      <c r="B1418" s="8" t="s">
        <v>43</v>
      </c>
      <c r="C1418" s="8">
        <v>4</v>
      </c>
      <c r="D1418" s="11">
        <v>0.0145985401459854</v>
      </c>
      <c r="E1418" s="8">
        <v>4</v>
      </c>
      <c r="F1418" s="8">
        <v>1</v>
      </c>
      <c r="G1418" s="8">
        <v>0</v>
      </c>
      <c r="H1418" s="8">
        <v>0</v>
      </c>
      <c r="I1418" s="11">
        <v>2.25</v>
      </c>
      <c r="J1418" s="11">
        <v>0.25</v>
      </c>
      <c r="K1418" s="11">
        <v>0.75</v>
      </c>
      <c r="L1418" s="8" t="s">
        <v>795</v>
      </c>
      <c r="M1418" s="11">
        <v>97.8</v>
      </c>
      <c r="N1418" s="8" t="s">
        <v>2170</v>
      </c>
      <c r="O1418" s="8" t="s">
        <v>2151</v>
      </c>
      <c r="P1418" s="8">
        <v>28</v>
      </c>
    </row>
    <row r="1419" spans="1:16" ht="25" customHeight="1">
      <c r="A1419" s="12">
        <v>13</v>
      </c>
      <c r="B1419" s="8" t="s">
        <v>32</v>
      </c>
      <c r="C1419" s="8">
        <v>4</v>
      </c>
      <c r="D1419" s="11">
        <v>0.0145985401459854</v>
      </c>
      <c r="E1419" s="8">
        <v>1</v>
      </c>
      <c r="F1419" s="11">
        <v>0.25</v>
      </c>
      <c r="G1419" s="8">
        <v>2</v>
      </c>
      <c r="H1419" s="11">
        <v>0.5</v>
      </c>
      <c r="I1419" s="11">
        <v>24.5</v>
      </c>
      <c r="J1419" s="11">
        <v>0.75</v>
      </c>
      <c r="K1419" s="11">
        <v>0.25</v>
      </c>
      <c r="L1419" s="8" t="s">
        <v>795</v>
      </c>
      <c r="M1419" s="11">
        <v>27.5</v>
      </c>
      <c r="N1419" s="8" t="s">
        <v>2177</v>
      </c>
      <c r="O1419" s="8" t="s">
        <v>2178</v>
      </c>
      <c r="P1419" s="8">
        <v>29</v>
      </c>
    </row>
    <row r="1420" spans="1:16" ht="25" customHeight="1">
      <c r="A1420" s="12">
        <v>14</v>
      </c>
      <c r="B1420" s="8" t="s">
        <v>88</v>
      </c>
      <c r="C1420" s="8">
        <v>2</v>
      </c>
      <c r="D1420" s="11">
        <v>0.0072992700729927</v>
      </c>
      <c r="E1420" s="8">
        <v>1</v>
      </c>
      <c r="F1420" s="11">
        <v>0.5</v>
      </c>
      <c r="G1420" s="8">
        <v>0</v>
      </c>
      <c r="H1420" s="8">
        <v>0</v>
      </c>
      <c r="I1420" s="11">
        <v>3.5</v>
      </c>
      <c r="J1420" s="8">
        <v>1</v>
      </c>
      <c r="K1420" s="8">
        <v>0</v>
      </c>
      <c r="L1420" s="8" t="s">
        <v>791</v>
      </c>
      <c r="M1420" s="11">
        <v>61.5</v>
      </c>
      <c r="N1420" s="8" t="s">
        <v>2165</v>
      </c>
      <c r="O1420" s="8" t="s">
        <v>2166</v>
      </c>
      <c r="P1420" s="8">
        <v>31</v>
      </c>
    </row>
    <row r="1421" spans="1:16" ht="25" customHeight="1">
      <c r="A1421" s="12">
        <v>15</v>
      </c>
      <c r="B1421" s="8" t="s">
        <v>53</v>
      </c>
      <c r="C1421" s="8">
        <v>13</v>
      </c>
      <c r="D1421" s="11">
        <v>0.04744525547445255</v>
      </c>
      <c r="E1421" s="8">
        <v>7</v>
      </c>
      <c r="F1421" s="11">
        <v>0.5384615384615384</v>
      </c>
      <c r="G1421" s="8">
        <v>0</v>
      </c>
      <c r="H1421" s="8">
        <v>0</v>
      </c>
      <c r="I1421" s="11">
        <v>5.692307692307693</v>
      </c>
      <c r="J1421" s="11">
        <v>0.5384615384615384</v>
      </c>
      <c r="K1421" s="11">
        <v>0.4615384615384616</v>
      </c>
      <c r="L1421" s="8" t="s">
        <v>799</v>
      </c>
      <c r="M1421" s="8">
        <v>62</v>
      </c>
      <c r="N1421" s="8" t="s">
        <v>2137</v>
      </c>
      <c r="O1421" s="8" t="s">
        <v>2151</v>
      </c>
      <c r="P1421" s="8">
        <v>32</v>
      </c>
    </row>
    <row r="1422" spans="1:16" ht="25" customHeight="1">
      <c r="A1422" s="12">
        <v>16</v>
      </c>
      <c r="B1422" s="8" t="s">
        <v>81</v>
      </c>
      <c r="C1422" s="8">
        <v>2</v>
      </c>
      <c r="D1422" s="11">
        <v>0.0072992700729927</v>
      </c>
      <c r="E1422" s="8">
        <v>1</v>
      </c>
      <c r="F1422" s="11">
        <v>0.5</v>
      </c>
      <c r="G1422" s="8">
        <v>0</v>
      </c>
      <c r="H1422" s="8">
        <v>0</v>
      </c>
      <c r="I1422" s="8">
        <v>2</v>
      </c>
      <c r="J1422" s="11">
        <v>0.5</v>
      </c>
      <c r="K1422" s="11">
        <v>0.5</v>
      </c>
      <c r="L1422" s="8" t="s">
        <v>791</v>
      </c>
      <c r="M1422" s="8">
        <v>63</v>
      </c>
      <c r="N1422" s="8" t="s">
        <v>2165</v>
      </c>
      <c r="O1422" s="8" t="s">
        <v>2166</v>
      </c>
      <c r="P1422" s="8">
        <v>33</v>
      </c>
    </row>
    <row r="1423" spans="1:16" ht="25" customHeight="1">
      <c r="A1423" s="12">
        <v>17</v>
      </c>
      <c r="B1423" s="8" t="s">
        <v>35</v>
      </c>
      <c r="C1423" s="8">
        <v>20</v>
      </c>
      <c r="D1423" s="11">
        <v>0.072992700729927</v>
      </c>
      <c r="E1423" s="8">
        <v>12</v>
      </c>
      <c r="F1423" s="11">
        <v>0.6</v>
      </c>
      <c r="G1423" s="8">
        <v>2</v>
      </c>
      <c r="H1423" s="11">
        <v>0.1</v>
      </c>
      <c r="I1423" s="11">
        <v>6.3</v>
      </c>
      <c r="J1423" s="11">
        <v>0.45</v>
      </c>
      <c r="K1423" s="11">
        <v>0.5</v>
      </c>
      <c r="L1423" s="8" t="s">
        <v>799</v>
      </c>
      <c r="M1423" s="11">
        <v>63.7</v>
      </c>
      <c r="N1423" s="8" t="s">
        <v>2137</v>
      </c>
      <c r="O1423" s="8" t="s">
        <v>2151</v>
      </c>
      <c r="P1423" s="8">
        <v>34</v>
      </c>
    </row>
    <row r="1424" spans="1:16" ht="25" customHeight="1">
      <c r="A1424" s="12">
        <v>18</v>
      </c>
      <c r="B1424" s="8" t="s">
        <v>62</v>
      </c>
      <c r="C1424" s="8">
        <v>3</v>
      </c>
      <c r="D1424" s="11">
        <v>0.01094890510948905</v>
      </c>
      <c r="E1424" s="8">
        <v>0</v>
      </c>
      <c r="F1424" s="8">
        <v>0</v>
      </c>
      <c r="G1424" s="8">
        <v>2</v>
      </c>
      <c r="H1424" s="11">
        <v>0.6666666666666666</v>
      </c>
      <c r="I1424" s="11">
        <v>20.66666666666667</v>
      </c>
      <c r="J1424" s="11">
        <v>0.3333333333333333</v>
      </c>
      <c r="K1424" s="11">
        <v>0.3333333333333333</v>
      </c>
      <c r="L1424" s="8" t="s">
        <v>801</v>
      </c>
      <c r="M1424" s="11">
        <v>6.7</v>
      </c>
      <c r="N1424" s="8" t="s">
        <v>2167</v>
      </c>
      <c r="O1424" s="8" t="s">
        <v>2168</v>
      </c>
      <c r="P1424" s="8">
        <v>35</v>
      </c>
    </row>
    <row r="1425" spans="1:16" ht="25" customHeight="1">
      <c r="A1425" s="12">
        <v>19</v>
      </c>
      <c r="B1425" s="8" t="s">
        <v>75</v>
      </c>
      <c r="C1425" s="8">
        <v>4</v>
      </c>
      <c r="D1425" s="11">
        <v>0.0145985401459854</v>
      </c>
      <c r="E1425" s="8">
        <v>2</v>
      </c>
      <c r="F1425" s="11">
        <v>0.5</v>
      </c>
      <c r="G1425" s="8">
        <v>0</v>
      </c>
      <c r="H1425" s="8">
        <v>0</v>
      </c>
      <c r="I1425" s="11">
        <v>5.75</v>
      </c>
      <c r="J1425" s="11">
        <v>0.75</v>
      </c>
      <c r="K1425" s="11">
        <v>0.25</v>
      </c>
      <c r="L1425" s="8" t="s">
        <v>795</v>
      </c>
      <c r="M1425" s="11">
        <v>59.3</v>
      </c>
      <c r="N1425" s="8" t="s">
        <v>2137</v>
      </c>
      <c r="O1425" s="8" t="s">
        <v>2151</v>
      </c>
      <c r="P1425" s="8">
        <v>36</v>
      </c>
    </row>
    <row r="1426" spans="1:16" ht="25" customHeight="1">
      <c r="A1426" s="12">
        <v>20</v>
      </c>
      <c r="B1426" s="8" t="s">
        <v>69</v>
      </c>
      <c r="C1426" s="8">
        <v>8</v>
      </c>
      <c r="D1426" s="11">
        <v>0.0291970802919708</v>
      </c>
      <c r="E1426" s="8">
        <v>7</v>
      </c>
      <c r="F1426" s="11">
        <v>0.875</v>
      </c>
      <c r="G1426" s="8">
        <v>1</v>
      </c>
      <c r="H1426" s="11">
        <v>0.125</v>
      </c>
      <c r="I1426" s="11">
        <v>3.625</v>
      </c>
      <c r="J1426" s="11">
        <v>0.75</v>
      </c>
      <c r="K1426" s="11">
        <v>0.25</v>
      </c>
      <c r="L1426" s="8" t="s">
        <v>799</v>
      </c>
      <c r="M1426" s="11">
        <v>85.09999999999999</v>
      </c>
      <c r="N1426" s="8" t="s">
        <v>2170</v>
      </c>
      <c r="O1426" s="8" t="s">
        <v>2153</v>
      </c>
      <c r="P1426" s="8">
        <v>59</v>
      </c>
    </row>
    <row r="1427" spans="1:16" ht="25" customHeight="1">
      <c r="A1427" s="12">
        <v>21</v>
      </c>
      <c r="B1427" s="8" t="s">
        <v>27</v>
      </c>
      <c r="C1427" s="8">
        <v>10</v>
      </c>
      <c r="D1427" s="11">
        <v>0.0364963503649635</v>
      </c>
      <c r="E1427" s="8">
        <v>6</v>
      </c>
      <c r="F1427" s="11">
        <v>0.6</v>
      </c>
      <c r="G1427" s="8">
        <v>1</v>
      </c>
      <c r="H1427" s="11">
        <v>0.1</v>
      </c>
      <c r="I1427" s="11">
        <v>3.3</v>
      </c>
      <c r="J1427" s="11">
        <v>0.3</v>
      </c>
      <c r="K1427" s="11">
        <v>0.5</v>
      </c>
      <c r="L1427" s="8" t="s">
        <v>799</v>
      </c>
      <c r="M1427" s="11">
        <v>66.7</v>
      </c>
      <c r="N1427" s="8" t="s">
        <v>2152</v>
      </c>
      <c r="O1427" s="8" t="s">
        <v>2153</v>
      </c>
      <c r="P1427" s="8">
        <v>62</v>
      </c>
    </row>
    <row r="1428" spans="1:16" ht="25" customHeight="1">
      <c r="A1428" s="12">
        <v>22</v>
      </c>
      <c r="B1428" s="8" t="s">
        <v>46</v>
      </c>
      <c r="C1428" s="8">
        <v>6</v>
      </c>
      <c r="D1428" s="11">
        <v>0.0218978102189781</v>
      </c>
      <c r="E1428" s="8">
        <v>4</v>
      </c>
      <c r="F1428" s="11">
        <v>0.6666666666666666</v>
      </c>
      <c r="G1428" s="8">
        <v>1</v>
      </c>
      <c r="H1428" s="11">
        <v>0.1666666666666667</v>
      </c>
      <c r="I1428" s="11">
        <v>4.166666666666667</v>
      </c>
      <c r="J1428" s="11">
        <v>0.1666666666666667</v>
      </c>
      <c r="K1428" s="11">
        <v>0.8333333333333334</v>
      </c>
      <c r="L1428" s="8" t="s">
        <v>795</v>
      </c>
      <c r="M1428" s="11">
        <v>69.2</v>
      </c>
      <c r="N1428" s="8" t="s">
        <v>2152</v>
      </c>
      <c r="O1428" s="8" t="s">
        <v>2153</v>
      </c>
      <c r="P1428" s="8">
        <v>64</v>
      </c>
    </row>
    <row r="1429" spans="1:16" ht="25" customHeight="1">
      <c r="A1429" s="12">
        <v>23</v>
      </c>
      <c r="B1429" s="8" t="s">
        <v>48</v>
      </c>
      <c r="C1429" s="8">
        <v>7</v>
      </c>
      <c r="D1429" s="11">
        <v>0.02554744525547445</v>
      </c>
      <c r="E1429" s="8">
        <v>3</v>
      </c>
      <c r="F1429" s="11">
        <v>0.4285714285714285</v>
      </c>
      <c r="G1429" s="8">
        <v>0</v>
      </c>
      <c r="H1429" s="8">
        <v>0</v>
      </c>
      <c r="I1429" s="11">
        <v>5.714285714285714</v>
      </c>
      <c r="J1429" s="11">
        <v>0.1428571428571428</v>
      </c>
      <c r="K1429" s="11">
        <v>0.8571428571428571</v>
      </c>
      <c r="L1429" s="8" t="s">
        <v>799</v>
      </c>
      <c r="M1429" s="11">
        <v>54.3</v>
      </c>
      <c r="N1429" s="8" t="s">
        <v>2137</v>
      </c>
      <c r="O1429" s="8" t="s">
        <v>2151</v>
      </c>
      <c r="P1429" s="8">
        <v>66</v>
      </c>
    </row>
    <row r="1430" spans="1:16" ht="25" customHeight="1">
      <c r="A1430" s="12">
        <v>24</v>
      </c>
      <c r="B1430" s="8" t="s">
        <v>34</v>
      </c>
      <c r="C1430" s="8">
        <v>6</v>
      </c>
      <c r="D1430" s="11">
        <v>0.0218978102189781</v>
      </c>
      <c r="E1430" s="8">
        <v>2</v>
      </c>
      <c r="F1430" s="11">
        <v>0.3333333333333333</v>
      </c>
      <c r="G1430" s="8">
        <v>2</v>
      </c>
      <c r="H1430" s="11">
        <v>0.3333333333333333</v>
      </c>
      <c r="I1430" s="11">
        <v>14.33333333333333</v>
      </c>
      <c r="J1430" s="11">
        <v>0.5</v>
      </c>
      <c r="K1430" s="11">
        <v>0.3333333333333333</v>
      </c>
      <c r="L1430" s="8" t="s">
        <v>795</v>
      </c>
      <c r="M1430" s="11">
        <v>36.7</v>
      </c>
      <c r="N1430" s="8" t="s">
        <v>2177</v>
      </c>
      <c r="O1430" s="8" t="s">
        <v>2178</v>
      </c>
      <c r="P1430" s="8">
        <v>67</v>
      </c>
    </row>
    <row r="1431" spans="1:16" ht="25" customHeight="1">
      <c r="A1431" s="12">
        <v>25</v>
      </c>
      <c r="B1431" s="8" t="s">
        <v>61</v>
      </c>
      <c r="C1431" s="8">
        <v>10</v>
      </c>
      <c r="D1431" s="11">
        <v>0.0364963503649635</v>
      </c>
      <c r="E1431" s="8">
        <v>4</v>
      </c>
      <c r="F1431" s="11">
        <v>0.4</v>
      </c>
      <c r="G1431" s="8">
        <v>1</v>
      </c>
      <c r="H1431" s="11">
        <v>0.1</v>
      </c>
      <c r="I1431" s="11">
        <v>6.8</v>
      </c>
      <c r="J1431" s="11">
        <v>0.4</v>
      </c>
      <c r="K1431" s="11">
        <v>0.6</v>
      </c>
      <c r="L1431" s="8" t="s">
        <v>799</v>
      </c>
      <c r="M1431" s="11">
        <v>49.2</v>
      </c>
      <c r="N1431" s="8" t="s">
        <v>2177</v>
      </c>
      <c r="O1431" s="8" t="s">
        <v>2178</v>
      </c>
      <c r="P1431" s="8">
        <v>71</v>
      </c>
    </row>
    <row r="1432" spans="1:16" ht="25" customHeight="1">
      <c r="A1432" s="12">
        <v>26</v>
      </c>
      <c r="B1432" s="8" t="s">
        <v>66</v>
      </c>
      <c r="C1432" s="8">
        <v>6</v>
      </c>
      <c r="D1432" s="11">
        <v>0.0218978102189781</v>
      </c>
      <c r="E1432" s="8">
        <v>4</v>
      </c>
      <c r="F1432" s="11">
        <v>0.6666666666666666</v>
      </c>
      <c r="G1432" s="8">
        <v>1</v>
      </c>
      <c r="H1432" s="11">
        <v>0.1666666666666667</v>
      </c>
      <c r="I1432" s="11">
        <v>5.5</v>
      </c>
      <c r="J1432" s="11">
        <v>0.6666666666666666</v>
      </c>
      <c r="K1432" s="11">
        <v>0.3333333333333333</v>
      </c>
      <c r="L1432" s="8" t="s">
        <v>795</v>
      </c>
      <c r="M1432" s="11">
        <v>67.8</v>
      </c>
      <c r="N1432" s="8" t="s">
        <v>2152</v>
      </c>
      <c r="O1432" s="8" t="s">
        <v>2153</v>
      </c>
      <c r="P1432" s="8">
        <v>73</v>
      </c>
    </row>
    <row r="1433" spans="1:16" ht="25" customHeight="1">
      <c r="A1433" s="12">
        <v>27</v>
      </c>
      <c r="B1433" s="8" t="s">
        <v>42</v>
      </c>
      <c r="C1433" s="8">
        <v>5</v>
      </c>
      <c r="D1433" s="11">
        <v>0.01824817518248175</v>
      </c>
      <c r="E1433" s="8">
        <v>2</v>
      </c>
      <c r="F1433" s="11">
        <v>0.4</v>
      </c>
      <c r="G1433" s="8">
        <v>1</v>
      </c>
      <c r="H1433" s="11">
        <v>0.2</v>
      </c>
      <c r="I1433" s="11">
        <v>9.4</v>
      </c>
      <c r="J1433" s="8">
        <v>0</v>
      </c>
      <c r="K1433" s="8">
        <v>1</v>
      </c>
      <c r="L1433" s="8" t="s">
        <v>795</v>
      </c>
      <c r="M1433" s="11">
        <v>44.6</v>
      </c>
      <c r="N1433" s="8" t="s">
        <v>2177</v>
      </c>
      <c r="O1433" s="8" t="s">
        <v>2178</v>
      </c>
      <c r="P1433" s="8">
        <v>76</v>
      </c>
    </row>
    <row r="1434" spans="1:16" ht="25" customHeight="1">
      <c r="A1434" s="12">
        <v>28</v>
      </c>
      <c r="B1434" s="8" t="s">
        <v>65</v>
      </c>
      <c r="C1434" s="8">
        <v>4</v>
      </c>
      <c r="D1434" s="11">
        <v>0.0145985401459854</v>
      </c>
      <c r="E1434" s="8">
        <v>2</v>
      </c>
      <c r="F1434" s="11">
        <v>0.5</v>
      </c>
      <c r="G1434" s="8">
        <v>0</v>
      </c>
      <c r="H1434" s="8">
        <v>0</v>
      </c>
      <c r="I1434" s="11">
        <v>2.25</v>
      </c>
      <c r="J1434" s="11">
        <v>0.5</v>
      </c>
      <c r="K1434" s="11">
        <v>0.5</v>
      </c>
      <c r="L1434" s="8" t="s">
        <v>795</v>
      </c>
      <c r="M1434" s="11">
        <v>62.8</v>
      </c>
      <c r="N1434" s="8" t="s">
        <v>2137</v>
      </c>
      <c r="O1434" s="8" t="s">
        <v>2151</v>
      </c>
      <c r="P1434" s="8">
        <v>80</v>
      </c>
    </row>
    <row r="1435" spans="1:16" ht="25" customHeight="1">
      <c r="A1435" s="12">
        <v>29</v>
      </c>
      <c r="B1435" s="8" t="s">
        <v>49</v>
      </c>
      <c r="C1435" s="8">
        <v>2</v>
      </c>
      <c r="D1435" s="11">
        <v>0.0072992700729927</v>
      </c>
      <c r="E1435" s="8">
        <v>2</v>
      </c>
      <c r="F1435" s="8">
        <v>1</v>
      </c>
      <c r="G1435" s="8">
        <v>0</v>
      </c>
      <c r="H1435" s="8">
        <v>0</v>
      </c>
      <c r="I1435" s="8">
        <v>0</v>
      </c>
      <c r="J1435" s="8">
        <v>0</v>
      </c>
      <c r="K1435" s="8">
        <v>1</v>
      </c>
      <c r="L1435" s="8" t="s">
        <v>791</v>
      </c>
      <c r="M1435" s="8">
        <v>100</v>
      </c>
      <c r="N1435" s="8" t="s">
        <v>2165</v>
      </c>
      <c r="O1435" s="8" t="s">
        <v>2166</v>
      </c>
      <c r="P1435" s="8">
        <v>83</v>
      </c>
    </row>
    <row r="1436" spans="1:16" ht="25" customHeight="1">
      <c r="A1436" s="12">
        <v>30</v>
      </c>
      <c r="B1436" s="8" t="s">
        <v>30</v>
      </c>
      <c r="C1436" s="8">
        <v>4</v>
      </c>
      <c r="D1436" s="11">
        <v>0.0145985401459854</v>
      </c>
      <c r="E1436" s="8">
        <v>3</v>
      </c>
      <c r="F1436" s="11">
        <v>0.75</v>
      </c>
      <c r="G1436" s="8">
        <v>0</v>
      </c>
      <c r="H1436" s="8">
        <v>0</v>
      </c>
      <c r="I1436" s="11">
        <v>1.5</v>
      </c>
      <c r="J1436" s="11">
        <v>0.75</v>
      </c>
      <c r="K1436" s="8">
        <v>0</v>
      </c>
      <c r="L1436" s="8" t="s">
        <v>795</v>
      </c>
      <c r="M1436" s="8">
        <v>81</v>
      </c>
      <c r="N1436" s="8" t="s">
        <v>2170</v>
      </c>
      <c r="O1436" s="8" t="s">
        <v>2151</v>
      </c>
      <c r="P1436" s="8">
        <v>84</v>
      </c>
    </row>
    <row r="1437" spans="1:16" ht="25" customHeight="1">
      <c r="A1437" s="12">
        <v>31</v>
      </c>
      <c r="B1437" s="8" t="s">
        <v>58</v>
      </c>
      <c r="C1437" s="8">
        <v>3</v>
      </c>
      <c r="D1437" s="11">
        <v>0.01094890510948905</v>
      </c>
      <c r="E1437" s="8">
        <v>3</v>
      </c>
      <c r="F1437" s="8">
        <v>1</v>
      </c>
      <c r="G1437" s="8">
        <v>0</v>
      </c>
      <c r="H1437" s="8">
        <v>0</v>
      </c>
      <c r="I1437" s="11">
        <v>0.3333333333333333</v>
      </c>
      <c r="J1437" s="11">
        <v>0.3333333333333333</v>
      </c>
      <c r="K1437" s="11">
        <v>0.6666666666666666</v>
      </c>
      <c r="L1437" s="8" t="s">
        <v>801</v>
      </c>
      <c r="M1437" s="11">
        <v>99.7</v>
      </c>
      <c r="N1437" s="8" t="s">
        <v>2169</v>
      </c>
      <c r="O1437" s="8" t="s">
        <v>2168</v>
      </c>
      <c r="P1437" s="8">
        <v>86</v>
      </c>
    </row>
    <row r="1438" spans="1:16" ht="25" customHeight="1">
      <c r="A1438" s="12">
        <v>32</v>
      </c>
      <c r="B1438" s="8" t="s">
        <v>37</v>
      </c>
      <c r="C1438" s="8">
        <v>2</v>
      </c>
      <c r="D1438" s="11">
        <v>0.0072992700729927</v>
      </c>
      <c r="E1438" s="8">
        <v>0</v>
      </c>
      <c r="F1438" s="8">
        <v>0</v>
      </c>
      <c r="G1438" s="8">
        <v>0</v>
      </c>
      <c r="H1438" s="8">
        <v>0</v>
      </c>
      <c r="I1438" s="11">
        <v>5.5</v>
      </c>
      <c r="J1438" s="8">
        <v>0</v>
      </c>
      <c r="K1438" s="11">
        <v>0.5</v>
      </c>
      <c r="L1438" s="8" t="s">
        <v>791</v>
      </c>
      <c r="M1438" s="11">
        <v>24.5</v>
      </c>
      <c r="N1438" s="8" t="s">
        <v>2165</v>
      </c>
      <c r="O1438" s="8" t="s">
        <v>2166</v>
      </c>
      <c r="P1438" s="8">
        <v>91</v>
      </c>
    </row>
    <row r="1439" spans="1:16" ht="25" customHeight="1">
      <c r="A1439" s="12">
        <v>33</v>
      </c>
      <c r="B1439" s="8" t="s">
        <v>47</v>
      </c>
      <c r="C1439" s="8">
        <v>2</v>
      </c>
      <c r="D1439" s="11">
        <v>0.0072992700729927</v>
      </c>
      <c r="E1439" s="8">
        <v>1</v>
      </c>
      <c r="F1439" s="11">
        <v>0.5</v>
      </c>
      <c r="G1439" s="8">
        <v>1</v>
      </c>
      <c r="H1439" s="11">
        <v>0.5</v>
      </c>
      <c r="I1439" s="8">
        <v>15</v>
      </c>
      <c r="J1439" s="8">
        <v>0</v>
      </c>
      <c r="K1439" s="11">
        <v>0.5</v>
      </c>
      <c r="L1439" s="8" t="s">
        <v>791</v>
      </c>
      <c r="M1439" s="8">
        <v>45</v>
      </c>
      <c r="N1439" s="8" t="s">
        <v>2161</v>
      </c>
      <c r="O1439" s="8" t="s">
        <v>2162</v>
      </c>
      <c r="P1439" s="8">
        <v>92</v>
      </c>
    </row>
    <row r="1440" spans="1:16" ht="25" customHeight="1">
      <c r="A1440" s="12">
        <v>34</v>
      </c>
      <c r="B1440" s="8" t="s">
        <v>55</v>
      </c>
      <c r="C1440" s="8">
        <v>2</v>
      </c>
      <c r="D1440" s="11">
        <v>0.0072992700729927</v>
      </c>
      <c r="E1440" s="8">
        <v>1</v>
      </c>
      <c r="F1440" s="11">
        <v>0.5</v>
      </c>
      <c r="G1440" s="8">
        <v>0</v>
      </c>
      <c r="H1440" s="8">
        <v>0</v>
      </c>
      <c r="I1440" s="8">
        <v>6</v>
      </c>
      <c r="J1440" s="8">
        <v>1</v>
      </c>
      <c r="K1440" s="8">
        <v>0</v>
      </c>
      <c r="L1440" s="8" t="s">
        <v>791</v>
      </c>
      <c r="M1440" s="8">
        <v>59</v>
      </c>
      <c r="N1440" s="8" t="s">
        <v>2165</v>
      </c>
      <c r="O1440" s="8" t="s">
        <v>2166</v>
      </c>
      <c r="P1440" s="8">
        <v>94</v>
      </c>
    </row>
    <row r="1441" spans="1:16" ht="25" customHeight="1">
      <c r="A1441" s="12">
        <v>35</v>
      </c>
      <c r="B1441" s="8" t="s">
        <v>64</v>
      </c>
      <c r="C1441" s="8">
        <v>2</v>
      </c>
      <c r="D1441" s="11">
        <v>0.0072992700729927</v>
      </c>
      <c r="E1441" s="8">
        <v>2</v>
      </c>
      <c r="F1441" s="8">
        <v>1</v>
      </c>
      <c r="G1441" s="8">
        <v>0</v>
      </c>
      <c r="H1441" s="8">
        <v>0</v>
      </c>
      <c r="I1441" s="8">
        <v>3</v>
      </c>
      <c r="J1441" s="8">
        <v>0</v>
      </c>
      <c r="K1441" s="8">
        <v>1</v>
      </c>
      <c r="L1441" s="8" t="s">
        <v>791</v>
      </c>
      <c r="M1441" s="8">
        <v>97</v>
      </c>
      <c r="N1441" s="8" t="s">
        <v>2165</v>
      </c>
      <c r="O1441" s="8" t="s">
        <v>2166</v>
      </c>
      <c r="P1441" s="8">
        <v>95</v>
      </c>
    </row>
    <row r="1442" spans="1:16" ht="25" customHeight="1">
      <c r="A1442" s="12">
        <v>36</v>
      </c>
      <c r="B1442" s="8" t="s">
        <v>50</v>
      </c>
      <c r="C1442" s="8">
        <v>1</v>
      </c>
      <c r="D1442" s="11">
        <v>0.00364963503649635</v>
      </c>
      <c r="E1442" s="8">
        <v>1</v>
      </c>
      <c r="F1442" s="8">
        <v>1</v>
      </c>
      <c r="G1442" s="8">
        <v>0</v>
      </c>
      <c r="H1442" s="8">
        <v>0</v>
      </c>
      <c r="I1442" s="8">
        <v>3</v>
      </c>
      <c r="J1442" s="8">
        <v>0</v>
      </c>
      <c r="K1442" s="8">
        <v>1</v>
      </c>
      <c r="L1442" s="8" t="s">
        <v>791</v>
      </c>
      <c r="M1442" s="8">
        <v>97</v>
      </c>
      <c r="N1442" s="8" t="s">
        <v>2165</v>
      </c>
      <c r="O1442" s="8" t="s">
        <v>2166</v>
      </c>
      <c r="P1442" s="8">
        <v>96</v>
      </c>
    </row>
    <row r="1443" spans="1:16" ht="25" customHeight="1">
      <c r="A1443" s="12">
        <v>37</v>
      </c>
      <c r="B1443" s="8" t="s">
        <v>57</v>
      </c>
      <c r="C1443" s="8">
        <v>1</v>
      </c>
      <c r="D1443" s="11">
        <v>0.00364963503649635</v>
      </c>
      <c r="E1443" s="8">
        <v>0</v>
      </c>
      <c r="F1443" s="8">
        <v>0</v>
      </c>
      <c r="G1443" s="8">
        <v>0</v>
      </c>
      <c r="H1443" s="8">
        <v>0</v>
      </c>
      <c r="I1443" s="8">
        <v>13</v>
      </c>
      <c r="J1443" s="8">
        <v>0</v>
      </c>
      <c r="K1443" s="8">
        <v>1</v>
      </c>
      <c r="L1443" s="8" t="s">
        <v>791</v>
      </c>
      <c r="M1443" s="8">
        <v>20</v>
      </c>
      <c r="N1443" s="8" t="s">
        <v>2165</v>
      </c>
      <c r="O1443" s="8" t="s">
        <v>2166</v>
      </c>
      <c r="P1443" s="8">
        <v>97</v>
      </c>
    </row>
    <row r="1444" spans="1:16" ht="25" customHeight="1">
      <c r="A1444" s="12">
        <v>38</v>
      </c>
      <c r="B1444" s="8" t="s">
        <v>79</v>
      </c>
      <c r="C1444" s="8">
        <v>5</v>
      </c>
      <c r="D1444" s="11">
        <v>0.01824817518248175</v>
      </c>
      <c r="E1444" s="8">
        <v>3</v>
      </c>
      <c r="F1444" s="11">
        <v>0.6</v>
      </c>
      <c r="G1444" s="8">
        <v>1</v>
      </c>
      <c r="H1444" s="11">
        <v>0.2</v>
      </c>
      <c r="I1444" s="8">
        <v>5</v>
      </c>
      <c r="J1444" s="11">
        <v>0.2</v>
      </c>
      <c r="K1444" s="11">
        <v>0.8</v>
      </c>
      <c r="L1444" s="8" t="s">
        <v>795</v>
      </c>
      <c r="M1444" s="8">
        <v>63</v>
      </c>
      <c r="N1444" s="8" t="s">
        <v>2137</v>
      </c>
      <c r="O1444" s="8" t="s">
        <v>2151</v>
      </c>
      <c r="P1444" s="8">
        <v>125</v>
      </c>
    </row>
    <row r="1445" spans="1:16" ht="25" customHeight="1">
      <c r="A1445" s="12">
        <v>39</v>
      </c>
      <c r="B1445" s="8" t="s">
        <v>80</v>
      </c>
      <c r="C1445" s="8">
        <v>3</v>
      </c>
      <c r="D1445" s="11">
        <v>0.01094890510948905</v>
      </c>
      <c r="E1445" s="8">
        <v>2</v>
      </c>
      <c r="F1445" s="11">
        <v>0.6666666666666666</v>
      </c>
      <c r="G1445" s="8">
        <v>0</v>
      </c>
      <c r="H1445" s="8">
        <v>0</v>
      </c>
      <c r="I1445" s="11">
        <v>4.333333333333333</v>
      </c>
      <c r="J1445" s="11">
        <v>0.6666666666666666</v>
      </c>
      <c r="K1445" s="11">
        <v>0.3333333333333333</v>
      </c>
      <c r="L1445" s="8" t="s">
        <v>801</v>
      </c>
      <c r="M1445" s="11">
        <v>72.3</v>
      </c>
      <c r="N1445" s="8" t="s">
        <v>2179</v>
      </c>
      <c r="O1445" s="8" t="s">
        <v>2168</v>
      </c>
      <c r="P1445" s="8">
        <v>145</v>
      </c>
    </row>
    <row r="1446" spans="1:16" ht="25" customHeight="1">
      <c r="A1446" s="12">
        <v>40</v>
      </c>
      <c r="B1446" s="8" t="s">
        <v>84</v>
      </c>
      <c r="C1446" s="8">
        <v>3</v>
      </c>
      <c r="D1446" s="11">
        <v>0.01094890510948905</v>
      </c>
      <c r="E1446" s="8">
        <v>2</v>
      </c>
      <c r="F1446" s="11">
        <v>0.6666666666666666</v>
      </c>
      <c r="G1446" s="8">
        <v>1</v>
      </c>
      <c r="H1446" s="11">
        <v>0.3333333333333333</v>
      </c>
      <c r="I1446" s="8">
        <v>15</v>
      </c>
      <c r="J1446" s="11">
        <v>0.3333333333333333</v>
      </c>
      <c r="K1446" s="11">
        <v>0.6666666666666666</v>
      </c>
      <c r="L1446" s="8" t="s">
        <v>801</v>
      </c>
      <c r="M1446" s="8">
        <v>60</v>
      </c>
      <c r="N1446" s="8" t="s">
        <v>2180</v>
      </c>
      <c r="O1446" s="8" t="s">
        <v>2168</v>
      </c>
      <c r="P1446" s="8">
        <v>153</v>
      </c>
    </row>
    <row r="1447" spans="1:16" ht="25" customHeight="1">
      <c r="A1447" s="12">
        <v>41</v>
      </c>
      <c r="B1447" s="8" t="s">
        <v>77</v>
      </c>
      <c r="C1447" s="8">
        <v>4</v>
      </c>
      <c r="D1447" s="11">
        <v>0.0145985401459854</v>
      </c>
      <c r="E1447" s="8">
        <v>3</v>
      </c>
      <c r="F1447" s="11">
        <v>0.75</v>
      </c>
      <c r="G1447" s="8">
        <v>0</v>
      </c>
      <c r="H1447" s="8">
        <v>0</v>
      </c>
      <c r="I1447" s="11">
        <v>2.5</v>
      </c>
      <c r="J1447" s="11">
        <v>0.5</v>
      </c>
      <c r="K1447" s="11">
        <v>0.5</v>
      </c>
      <c r="L1447" s="8" t="s">
        <v>795</v>
      </c>
      <c r="M1447" s="8">
        <v>80</v>
      </c>
      <c r="N1447" s="8" t="s">
        <v>2170</v>
      </c>
      <c r="O1447" s="8" t="s">
        <v>2151</v>
      </c>
      <c r="P1447" s="8">
        <v>157</v>
      </c>
    </row>
    <row r="1448" spans="1:16" ht="25" customHeight="1">
      <c r="A1448" s="12">
        <v>42</v>
      </c>
      <c r="B1448" s="8" t="s">
        <v>87</v>
      </c>
      <c r="C1448" s="8">
        <v>1</v>
      </c>
      <c r="D1448" s="11">
        <v>0.00364963503649635</v>
      </c>
      <c r="E1448" s="8">
        <v>0</v>
      </c>
      <c r="F1448" s="8">
        <v>0</v>
      </c>
      <c r="G1448" s="8">
        <v>0</v>
      </c>
      <c r="H1448" s="8">
        <v>0</v>
      </c>
      <c r="I1448" s="8">
        <v>5</v>
      </c>
      <c r="J1448" s="8">
        <v>1</v>
      </c>
      <c r="K1448" s="8">
        <v>0</v>
      </c>
      <c r="L1448" s="8" t="s">
        <v>791</v>
      </c>
      <c r="M1448" s="8">
        <v>25</v>
      </c>
      <c r="N1448" s="8" t="s">
        <v>2165</v>
      </c>
      <c r="O1448" s="8" t="s">
        <v>2166</v>
      </c>
      <c r="P1448" s="8">
        <v>159</v>
      </c>
    </row>
    <row r="1449" spans="1:16" ht="25" customHeight="1">
      <c r="A1449" s="12">
        <v>43</v>
      </c>
      <c r="B1449" s="8" t="s">
        <v>72</v>
      </c>
      <c r="C1449" s="8">
        <v>1</v>
      </c>
      <c r="D1449" s="11">
        <v>0.00364963503649635</v>
      </c>
      <c r="E1449" s="8">
        <v>0</v>
      </c>
      <c r="F1449" s="8">
        <v>0</v>
      </c>
      <c r="G1449" s="8">
        <v>0</v>
      </c>
      <c r="H1449" s="8">
        <v>0</v>
      </c>
      <c r="I1449" s="8">
        <v>9</v>
      </c>
      <c r="J1449" s="8">
        <v>0</v>
      </c>
      <c r="K1449" s="8">
        <v>1</v>
      </c>
      <c r="L1449" s="8" t="s">
        <v>791</v>
      </c>
      <c r="M1449" s="8">
        <v>21</v>
      </c>
      <c r="N1449" s="8" t="s">
        <v>2165</v>
      </c>
      <c r="O1449" s="8" t="s">
        <v>2166</v>
      </c>
      <c r="P1449" s="8">
        <v>162</v>
      </c>
    </row>
    <row r="1450" spans="1:16" ht="25" customHeight="1">
      <c r="A1450" s="12">
        <v>44</v>
      </c>
      <c r="B1450" s="8" t="s">
        <v>89</v>
      </c>
      <c r="C1450" s="8">
        <v>1</v>
      </c>
      <c r="D1450" s="11">
        <v>0.00364963503649635</v>
      </c>
      <c r="E1450" s="8">
        <v>1</v>
      </c>
      <c r="F1450" s="8">
        <v>1</v>
      </c>
      <c r="G1450" s="8">
        <v>0</v>
      </c>
      <c r="H1450" s="8">
        <v>0</v>
      </c>
      <c r="I1450" s="8">
        <v>3</v>
      </c>
      <c r="J1450" s="8">
        <v>0</v>
      </c>
      <c r="K1450" s="8">
        <v>1</v>
      </c>
      <c r="L1450" s="8" t="s">
        <v>791</v>
      </c>
      <c r="M1450" s="8">
        <v>97</v>
      </c>
      <c r="N1450" s="8" t="s">
        <v>2165</v>
      </c>
      <c r="O1450" s="8" t="s">
        <v>2166</v>
      </c>
      <c r="P1450" s="8">
        <v>163</v>
      </c>
    </row>
    <row r="1451" spans="1:16" ht="25" customHeight="1">
      <c r="A1451" s="12">
        <v>45</v>
      </c>
      <c r="B1451" s="8" t="s">
        <v>90</v>
      </c>
      <c r="C1451" s="8">
        <v>1</v>
      </c>
      <c r="D1451" s="11">
        <v>0.00364963503649635</v>
      </c>
      <c r="E1451" s="8">
        <v>1</v>
      </c>
      <c r="F1451" s="8">
        <v>1</v>
      </c>
      <c r="G1451" s="8">
        <v>0</v>
      </c>
      <c r="H1451" s="8">
        <v>0</v>
      </c>
      <c r="I1451" s="8">
        <v>0</v>
      </c>
      <c r="J1451" s="8">
        <v>0</v>
      </c>
      <c r="K1451" s="8">
        <v>1</v>
      </c>
      <c r="L1451" s="8" t="s">
        <v>791</v>
      </c>
      <c r="M1451" s="8">
        <v>100</v>
      </c>
      <c r="N1451" s="8" t="s">
        <v>2165</v>
      </c>
      <c r="O1451" s="8" t="s">
        <v>2166</v>
      </c>
      <c r="P1451" s="8">
        <v>164</v>
      </c>
    </row>
    <row r="1452" spans="1:16" ht="25" customHeight="1">
      <c r="A1452" s="12">
        <v>46</v>
      </c>
      <c r="B1452" s="8" t="s">
        <v>74</v>
      </c>
      <c r="C1452" s="8">
        <v>1</v>
      </c>
      <c r="D1452" s="11">
        <v>0.00364963503649635</v>
      </c>
      <c r="E1452" s="8">
        <v>1</v>
      </c>
      <c r="F1452" s="8">
        <v>1</v>
      </c>
      <c r="G1452" s="8">
        <v>0</v>
      </c>
      <c r="H1452" s="8">
        <v>0</v>
      </c>
      <c r="I1452" s="8">
        <v>-8</v>
      </c>
      <c r="J1452" s="8">
        <v>0</v>
      </c>
      <c r="K1452" s="8">
        <v>1</v>
      </c>
      <c r="L1452" s="8" t="s">
        <v>791</v>
      </c>
      <c r="M1452" s="8">
        <v>100</v>
      </c>
      <c r="N1452" s="8" t="s">
        <v>2165</v>
      </c>
      <c r="O1452" s="8" t="s">
        <v>2166</v>
      </c>
      <c r="P1452" s="8">
        <v>166</v>
      </c>
    </row>
    <row r="1453" spans="1:16" ht="25" customHeight="1">
      <c r="A1453" s="12">
        <v>47</v>
      </c>
      <c r="B1453" s="8" t="s">
        <v>101</v>
      </c>
      <c r="C1453" s="8">
        <v>6</v>
      </c>
      <c r="D1453" s="11">
        <v>0.0218978102189781</v>
      </c>
      <c r="E1453" s="8">
        <v>4</v>
      </c>
      <c r="F1453" s="11">
        <v>0.6666666666666666</v>
      </c>
      <c r="G1453" s="8">
        <v>1</v>
      </c>
      <c r="H1453" s="11">
        <v>0.1666666666666667</v>
      </c>
      <c r="I1453" s="11">
        <v>12.16666666666667</v>
      </c>
      <c r="J1453" s="8">
        <v>0</v>
      </c>
      <c r="K1453" s="8">
        <v>1</v>
      </c>
      <c r="L1453" s="8" t="s">
        <v>795</v>
      </c>
      <c r="M1453" s="11">
        <v>63.3</v>
      </c>
      <c r="N1453" s="8" t="s">
        <v>2137</v>
      </c>
      <c r="O1453" s="8" t="s">
        <v>2151</v>
      </c>
      <c r="P1453" s="8">
        <v>167</v>
      </c>
    </row>
    <row r="1454" spans="1:16" ht="25" customHeight="1">
      <c r="A1454" s="12">
        <v>48</v>
      </c>
      <c r="B1454" s="8" t="s">
        <v>102</v>
      </c>
      <c r="C1454" s="8">
        <v>4</v>
      </c>
      <c r="D1454" s="11">
        <v>0.0145985401459854</v>
      </c>
      <c r="E1454" s="8">
        <v>4</v>
      </c>
      <c r="F1454" s="8">
        <v>1</v>
      </c>
      <c r="G1454" s="8">
        <v>0</v>
      </c>
      <c r="H1454" s="8">
        <v>0</v>
      </c>
      <c r="I1454" s="8">
        <v>1</v>
      </c>
      <c r="J1454" s="11">
        <v>0.25</v>
      </c>
      <c r="K1454" s="11">
        <v>0.75</v>
      </c>
      <c r="L1454" s="8" t="s">
        <v>795</v>
      </c>
      <c r="M1454" s="8">
        <v>99</v>
      </c>
      <c r="N1454" s="8" t="s">
        <v>2170</v>
      </c>
      <c r="O1454" s="8" t="s">
        <v>2151</v>
      </c>
      <c r="P1454" s="8">
        <v>173</v>
      </c>
    </row>
    <row r="1455" spans="1:16" ht="25" customHeight="1">
      <c r="A1455" s="12">
        <v>49</v>
      </c>
      <c r="B1455" s="8" t="s">
        <v>99</v>
      </c>
      <c r="C1455" s="8">
        <v>3</v>
      </c>
      <c r="D1455" s="11">
        <v>0.01094890510948905</v>
      </c>
      <c r="E1455" s="8">
        <v>1</v>
      </c>
      <c r="F1455" s="11">
        <v>0.3333333333333333</v>
      </c>
      <c r="G1455" s="8">
        <v>0</v>
      </c>
      <c r="H1455" s="8">
        <v>0</v>
      </c>
      <c r="I1455" s="11">
        <v>8.666666666666666</v>
      </c>
      <c r="J1455" s="8">
        <v>0</v>
      </c>
      <c r="K1455" s="8">
        <v>1</v>
      </c>
      <c r="L1455" s="8" t="s">
        <v>801</v>
      </c>
      <c r="M1455" s="11">
        <v>44.7</v>
      </c>
      <c r="N1455" s="8" t="s">
        <v>2167</v>
      </c>
      <c r="O1455" s="8" t="s">
        <v>2168</v>
      </c>
      <c r="P1455" s="8">
        <v>183</v>
      </c>
    </row>
    <row r="1456" spans="1:16" ht="25" customHeight="1">
      <c r="A1456" s="12">
        <v>50</v>
      </c>
      <c r="B1456" s="8" t="s">
        <v>109</v>
      </c>
      <c r="C1456" s="8">
        <v>1</v>
      </c>
      <c r="D1456" s="11">
        <v>0.00364963503649635</v>
      </c>
      <c r="E1456" s="8">
        <v>0</v>
      </c>
      <c r="F1456" s="8">
        <v>0</v>
      </c>
      <c r="G1456" s="8">
        <v>1</v>
      </c>
      <c r="H1456" s="8">
        <v>1</v>
      </c>
      <c r="I1456" s="8">
        <v>16</v>
      </c>
      <c r="J1456" s="8">
        <v>0</v>
      </c>
      <c r="K1456" s="8">
        <v>1</v>
      </c>
      <c r="L1456" s="8" t="s">
        <v>791</v>
      </c>
      <c r="M1456" s="8">
        <v>0</v>
      </c>
      <c r="N1456" s="8" t="s">
        <v>2161</v>
      </c>
      <c r="O1456" s="8" t="s">
        <v>2162</v>
      </c>
      <c r="P1456" s="8">
        <v>203</v>
      </c>
    </row>
    <row r="1457" spans="1:16" ht="25" customHeight="1">
      <c r="A1457" s="12">
        <v>51</v>
      </c>
      <c r="B1457" s="8" t="s">
        <v>106</v>
      </c>
      <c r="C1457" s="8">
        <v>1</v>
      </c>
      <c r="D1457" s="11">
        <v>0.00364963503649635</v>
      </c>
      <c r="E1457" s="8">
        <v>0</v>
      </c>
      <c r="F1457" s="8">
        <v>0</v>
      </c>
      <c r="G1457" s="8">
        <v>1</v>
      </c>
      <c r="H1457" s="8">
        <v>1</v>
      </c>
      <c r="I1457" s="8">
        <v>22</v>
      </c>
      <c r="J1457" s="8">
        <v>0</v>
      </c>
      <c r="K1457" s="8">
        <v>1</v>
      </c>
      <c r="L1457" s="8" t="s">
        <v>791</v>
      </c>
      <c r="M1457" s="8">
        <v>0</v>
      </c>
      <c r="N1457" s="8" t="s">
        <v>2161</v>
      </c>
      <c r="O1457" s="8" t="s">
        <v>2162</v>
      </c>
      <c r="P1457" s="8">
        <v>205</v>
      </c>
    </row>
    <row r="1458" spans="1:16" ht="25" customHeight="1">
      <c r="A1458" s="12">
        <v>52</v>
      </c>
      <c r="B1458" s="8" t="s">
        <v>91</v>
      </c>
      <c r="C1458" s="8">
        <v>2</v>
      </c>
      <c r="D1458" s="11">
        <v>0.0072992700729927</v>
      </c>
      <c r="E1458" s="8">
        <v>1</v>
      </c>
      <c r="F1458" s="11">
        <v>0.5</v>
      </c>
      <c r="G1458" s="8">
        <v>0</v>
      </c>
      <c r="H1458" s="8">
        <v>0</v>
      </c>
      <c r="I1458" s="8">
        <v>2</v>
      </c>
      <c r="J1458" s="11">
        <v>0.5</v>
      </c>
      <c r="K1458" s="11">
        <v>0.5</v>
      </c>
      <c r="L1458" s="8" t="s">
        <v>791</v>
      </c>
      <c r="M1458" s="8">
        <v>63</v>
      </c>
      <c r="N1458" s="8" t="s">
        <v>2165</v>
      </c>
      <c r="O1458" s="8" t="s">
        <v>2166</v>
      </c>
      <c r="P1458" s="8">
        <v>209</v>
      </c>
    </row>
    <row r="1459" spans="1:16" ht="25" customHeight="1">
      <c r="A1459" s="12">
        <v>53</v>
      </c>
      <c r="B1459" s="8" t="s">
        <v>117</v>
      </c>
      <c r="C1459" s="8">
        <v>1</v>
      </c>
      <c r="D1459" s="11">
        <v>0.00364963503649635</v>
      </c>
      <c r="E1459" s="8">
        <v>0</v>
      </c>
      <c r="F1459" s="8">
        <v>0</v>
      </c>
      <c r="G1459" s="8">
        <v>1</v>
      </c>
      <c r="H1459" s="8">
        <v>1</v>
      </c>
      <c r="I1459" s="8">
        <v>16</v>
      </c>
      <c r="J1459" s="8">
        <v>0</v>
      </c>
      <c r="K1459" s="8">
        <v>1</v>
      </c>
      <c r="L1459" s="8" t="s">
        <v>791</v>
      </c>
      <c r="M1459" s="8">
        <v>0</v>
      </c>
      <c r="N1459" s="8" t="s">
        <v>2161</v>
      </c>
      <c r="O1459" s="8" t="s">
        <v>2162</v>
      </c>
      <c r="P1459" s="8">
        <v>220</v>
      </c>
    </row>
    <row r="1460" spans="1:16" ht="25" customHeight="1">
      <c r="A1460" s="12">
        <v>54</v>
      </c>
      <c r="B1460" s="8" t="s">
        <v>73</v>
      </c>
      <c r="C1460" s="8">
        <v>3</v>
      </c>
      <c r="D1460" s="11">
        <v>0.01094890510948905</v>
      </c>
      <c r="E1460" s="8">
        <v>2</v>
      </c>
      <c r="F1460" s="11">
        <v>0.6666666666666666</v>
      </c>
      <c r="G1460" s="8">
        <v>1</v>
      </c>
      <c r="H1460" s="11">
        <v>0.3333333333333333</v>
      </c>
      <c r="I1460" s="11">
        <v>7.333333333333333</v>
      </c>
      <c r="J1460" s="8">
        <v>0</v>
      </c>
      <c r="K1460" s="8">
        <v>1</v>
      </c>
      <c r="L1460" s="8" t="s">
        <v>801</v>
      </c>
      <c r="M1460" s="11">
        <v>62.7</v>
      </c>
      <c r="N1460" s="8" t="s">
        <v>2180</v>
      </c>
      <c r="O1460" s="8" t="s">
        <v>2168</v>
      </c>
      <c r="P1460" s="8">
        <v>221</v>
      </c>
    </row>
    <row r="1461" spans="1:16" ht="25" customHeight="1">
      <c r="A1461" s="12">
        <v>55</v>
      </c>
      <c r="B1461" s="8" t="s">
        <v>67</v>
      </c>
      <c r="C1461" s="8">
        <v>4</v>
      </c>
      <c r="D1461" s="11">
        <v>0.0145985401459854</v>
      </c>
      <c r="E1461" s="8">
        <v>2</v>
      </c>
      <c r="F1461" s="11">
        <v>0.5</v>
      </c>
      <c r="G1461" s="8">
        <v>0</v>
      </c>
      <c r="H1461" s="8">
        <v>0</v>
      </c>
      <c r="I1461" s="8">
        <v>2</v>
      </c>
      <c r="J1461" s="8">
        <v>1</v>
      </c>
      <c r="K1461" s="8">
        <v>0</v>
      </c>
      <c r="L1461" s="8" t="s">
        <v>795</v>
      </c>
      <c r="M1461" s="8">
        <v>63</v>
      </c>
      <c r="N1461" s="8" t="s">
        <v>2137</v>
      </c>
      <c r="O1461" s="8" t="s">
        <v>2151</v>
      </c>
      <c r="P1461" s="8">
        <v>222</v>
      </c>
    </row>
    <row r="1462" spans="1:16" ht="25" customHeight="1">
      <c r="A1462" s="12">
        <v>56</v>
      </c>
      <c r="B1462" s="8" t="s">
        <v>40</v>
      </c>
      <c r="C1462" s="8">
        <v>3</v>
      </c>
      <c r="D1462" s="11">
        <v>0.01094890510948905</v>
      </c>
      <c r="E1462" s="8">
        <v>0</v>
      </c>
      <c r="F1462" s="8">
        <v>0</v>
      </c>
      <c r="G1462" s="8">
        <v>0</v>
      </c>
      <c r="H1462" s="8">
        <v>0</v>
      </c>
      <c r="I1462" s="11">
        <v>6.333333333333333</v>
      </c>
      <c r="J1462" s="8">
        <v>1</v>
      </c>
      <c r="K1462" s="8">
        <v>0</v>
      </c>
      <c r="L1462" s="8" t="s">
        <v>801</v>
      </c>
      <c r="M1462" s="11">
        <v>23.7</v>
      </c>
      <c r="N1462" s="8" t="s">
        <v>2167</v>
      </c>
      <c r="O1462" s="8" t="s">
        <v>2168</v>
      </c>
      <c r="P1462" s="8">
        <v>237</v>
      </c>
    </row>
    <row r="1463" spans="1:16" ht="25" customHeight="1">
      <c r="A1463" s="12">
        <v>57</v>
      </c>
      <c r="B1463" s="8" t="s">
        <v>59</v>
      </c>
      <c r="C1463" s="8">
        <v>1</v>
      </c>
      <c r="D1463" s="11">
        <v>0.00364963503649635</v>
      </c>
      <c r="E1463" s="8">
        <v>0</v>
      </c>
      <c r="F1463" s="8">
        <v>0</v>
      </c>
      <c r="G1463" s="8">
        <v>1</v>
      </c>
      <c r="H1463" s="8">
        <v>1</v>
      </c>
      <c r="I1463" s="8">
        <v>16</v>
      </c>
      <c r="J1463" s="8">
        <v>1</v>
      </c>
      <c r="K1463" s="8">
        <v>0</v>
      </c>
      <c r="L1463" s="8" t="s">
        <v>791</v>
      </c>
      <c r="M1463" s="8">
        <v>0</v>
      </c>
      <c r="N1463" s="8" t="s">
        <v>2161</v>
      </c>
      <c r="O1463" s="8" t="s">
        <v>2162</v>
      </c>
      <c r="P1463" s="8">
        <v>242</v>
      </c>
    </row>
    <row r="1464" spans="1:16" ht="25" customHeight="1">
      <c r="A1464" s="12">
        <v>58</v>
      </c>
      <c r="B1464" s="8" t="s">
        <v>100</v>
      </c>
      <c r="C1464" s="8">
        <v>3</v>
      </c>
      <c r="D1464" s="11">
        <v>0.01094890510948905</v>
      </c>
      <c r="E1464" s="8">
        <v>2</v>
      </c>
      <c r="F1464" s="11">
        <v>0.6666666666666666</v>
      </c>
      <c r="G1464" s="8">
        <v>0</v>
      </c>
      <c r="H1464" s="8">
        <v>0</v>
      </c>
      <c r="I1464" s="8">
        <v>4</v>
      </c>
      <c r="J1464" s="11">
        <v>0.3333333333333333</v>
      </c>
      <c r="K1464" s="11">
        <v>0.6666666666666666</v>
      </c>
      <c r="L1464" s="8" t="s">
        <v>801</v>
      </c>
      <c r="M1464" s="11">
        <v>72.7</v>
      </c>
      <c r="N1464" s="8" t="s">
        <v>2179</v>
      </c>
      <c r="O1464" s="8" t="s">
        <v>2168</v>
      </c>
      <c r="P1464" s="8">
        <v>271</v>
      </c>
    </row>
    <row r="1465" spans="1:16" ht="25" customHeight="1">
      <c r="A1465" s="12">
        <v>59</v>
      </c>
      <c r="B1465" s="8" t="s">
        <v>95</v>
      </c>
      <c r="C1465" s="8">
        <v>4</v>
      </c>
      <c r="D1465" s="11">
        <v>0.0145985401459854</v>
      </c>
      <c r="E1465" s="8">
        <v>1</v>
      </c>
      <c r="F1465" s="11">
        <v>0.25</v>
      </c>
      <c r="G1465" s="8">
        <v>0</v>
      </c>
      <c r="H1465" s="8">
        <v>0</v>
      </c>
      <c r="I1465" s="11">
        <v>4.5</v>
      </c>
      <c r="J1465" s="11">
        <v>0.75</v>
      </c>
      <c r="K1465" s="11">
        <v>0.25</v>
      </c>
      <c r="L1465" s="8" t="s">
        <v>795</v>
      </c>
      <c r="M1465" s="8">
        <v>43</v>
      </c>
      <c r="N1465" s="8" t="s">
        <v>2177</v>
      </c>
      <c r="O1465" s="8" t="s">
        <v>2178</v>
      </c>
      <c r="P1465" s="8">
        <v>274</v>
      </c>
    </row>
    <row r="1466" spans="1:16" ht="25" customHeight="1">
      <c r="A1466" s="12">
        <v>60</v>
      </c>
      <c r="B1466" s="8" t="s">
        <v>93</v>
      </c>
      <c r="C1466" s="8">
        <v>2</v>
      </c>
      <c r="D1466" s="11">
        <v>0.0072992700729927</v>
      </c>
      <c r="E1466" s="8">
        <v>1</v>
      </c>
      <c r="F1466" s="11">
        <v>0.5</v>
      </c>
      <c r="G1466" s="8">
        <v>1</v>
      </c>
      <c r="H1466" s="11">
        <v>0.5</v>
      </c>
      <c r="I1466" s="11">
        <v>10.5</v>
      </c>
      <c r="J1466" s="8">
        <v>0</v>
      </c>
      <c r="K1466" s="8">
        <v>1</v>
      </c>
      <c r="L1466" s="8" t="s">
        <v>791</v>
      </c>
      <c r="M1466" s="8">
        <v>45</v>
      </c>
      <c r="N1466" s="8" t="s">
        <v>2161</v>
      </c>
      <c r="O1466" s="8" t="s">
        <v>2162</v>
      </c>
      <c r="P1466" s="8">
        <v>277</v>
      </c>
    </row>
    <row r="1467" spans="1:16" ht="25" customHeight="1">
      <c r="A1467" s="12">
        <v>61</v>
      </c>
      <c r="B1467" s="8" t="s">
        <v>97</v>
      </c>
      <c r="C1467" s="8">
        <v>2</v>
      </c>
      <c r="D1467" s="11">
        <v>0.0072992700729927</v>
      </c>
      <c r="E1467" s="8">
        <v>1</v>
      </c>
      <c r="F1467" s="11">
        <v>0.5</v>
      </c>
      <c r="G1467" s="8">
        <v>1</v>
      </c>
      <c r="H1467" s="11">
        <v>0.5</v>
      </c>
      <c r="I1467" s="8">
        <v>15</v>
      </c>
      <c r="J1467" s="8">
        <v>0</v>
      </c>
      <c r="K1467" s="8">
        <v>1</v>
      </c>
      <c r="L1467" s="8" t="s">
        <v>791</v>
      </c>
      <c r="M1467" s="8">
        <v>45</v>
      </c>
      <c r="N1467" s="8" t="s">
        <v>2161</v>
      </c>
      <c r="O1467" s="8" t="s">
        <v>2162</v>
      </c>
      <c r="P1467" s="8">
        <v>279</v>
      </c>
    </row>
    <row r="1468" spans="1:16" ht="25" customHeight="1">
      <c r="A1468" s="12">
        <v>62</v>
      </c>
      <c r="B1468" s="8" t="s">
        <v>105</v>
      </c>
      <c r="C1468" s="8">
        <v>1</v>
      </c>
      <c r="D1468" s="11">
        <v>0.00364963503649635</v>
      </c>
      <c r="E1468" s="8">
        <v>1</v>
      </c>
      <c r="F1468" s="8">
        <v>1</v>
      </c>
      <c r="G1468" s="8">
        <v>0</v>
      </c>
      <c r="H1468" s="8">
        <v>0</v>
      </c>
      <c r="I1468" s="8">
        <v>0</v>
      </c>
      <c r="J1468" s="8">
        <v>0</v>
      </c>
      <c r="K1468" s="8">
        <v>1</v>
      </c>
      <c r="L1468" s="8" t="s">
        <v>791</v>
      </c>
      <c r="M1468" s="8">
        <v>100</v>
      </c>
      <c r="N1468" s="8" t="s">
        <v>2165</v>
      </c>
      <c r="O1468" s="8" t="s">
        <v>2166</v>
      </c>
      <c r="P1468" s="8">
        <v>282</v>
      </c>
    </row>
    <row r="1469" spans="1:16" ht="25" customHeight="1">
      <c r="A1469" s="12">
        <v>63</v>
      </c>
      <c r="B1469" s="8" t="s">
        <v>110</v>
      </c>
      <c r="C1469" s="8">
        <v>1</v>
      </c>
      <c r="D1469" s="11">
        <v>0.00364963503649635</v>
      </c>
      <c r="E1469" s="8">
        <v>0</v>
      </c>
      <c r="F1469" s="8">
        <v>0</v>
      </c>
      <c r="G1469" s="8">
        <v>1</v>
      </c>
      <c r="H1469" s="8">
        <v>1</v>
      </c>
      <c r="I1469" s="8">
        <v>19</v>
      </c>
      <c r="J1469" s="8">
        <v>0</v>
      </c>
      <c r="K1469" s="8">
        <v>1</v>
      </c>
      <c r="L1469" s="8" t="s">
        <v>791</v>
      </c>
      <c r="M1469" s="8">
        <v>0</v>
      </c>
      <c r="N1469" s="8" t="s">
        <v>2161</v>
      </c>
      <c r="O1469" s="8" t="s">
        <v>2162</v>
      </c>
      <c r="P1469" s="8">
        <v>283</v>
      </c>
    </row>
    <row r="1475" spans="1:18" ht="27" customHeight="1">
      <c r="A1475" s="5" t="s">
        <v>2181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</row>
    <row r="1476" spans="1:18" ht="36" customHeight="1">
      <c r="A1476" s="9" t="s">
        <v>683</v>
      </c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</row>
    <row r="1477" spans="1:18" ht="25" customHeight="1">
      <c r="A1477" s="6" t="s">
        <v>684</v>
      </c>
    </row>
    <row r="1478" spans="1:18" ht="25" customHeight="1">
      <c r="A1478" s="12">
        <v>1</v>
      </c>
      <c r="B1478" s="8" t="s">
        <v>2182</v>
      </c>
    </row>
    <row r="1479" spans="1:18" ht="25" customHeight="1">
      <c r="A1479" s="12">
        <v>2</v>
      </c>
      <c r="B1479" s="8" t="s">
        <v>2174</v>
      </c>
      <c r="E1479" s="8" t="s">
        <v>2121</v>
      </c>
      <c r="H1479" s="8" t="s">
        <v>2072</v>
      </c>
      <c r="K1479" s="8" t="s">
        <v>2122</v>
      </c>
      <c r="M1479" s="8" t="s">
        <v>2175</v>
      </c>
    </row>
    <row r="1480" spans="1:18" ht="25" customHeight="1">
      <c r="A1480" s="12">
        <v>3</v>
      </c>
      <c r="B1480" s="8" t="s">
        <v>687</v>
      </c>
      <c r="C1480" s="8" t="s">
        <v>1951</v>
      </c>
      <c r="D1480" s="8" t="s">
        <v>2176</v>
      </c>
      <c r="E1480" s="8" t="s">
        <v>2091</v>
      </c>
      <c r="F1480" s="8" t="s">
        <v>690</v>
      </c>
      <c r="G1480" s="8" t="s">
        <v>2130</v>
      </c>
      <c r="H1480" s="8" t="s">
        <v>2132</v>
      </c>
      <c r="I1480" s="8" t="s">
        <v>2133</v>
      </c>
      <c r="J1480" s="8" t="s">
        <v>784</v>
      </c>
      <c r="K1480" s="8" t="s">
        <v>2135</v>
      </c>
      <c r="L1480" s="8" t="s">
        <v>2146</v>
      </c>
      <c r="M1480" s="8" t="s">
        <v>2147</v>
      </c>
      <c r="N1480" s="8" t="s">
        <v>786</v>
      </c>
      <c r="O1480" s="8" t="s">
        <v>2134</v>
      </c>
      <c r="P1480" s="8" t="s">
        <v>2136</v>
      </c>
      <c r="Q1480" s="8" t="s">
        <v>2139</v>
      </c>
      <c r="R1480" s="8" t="s">
        <v>1946</v>
      </c>
    </row>
    <row r="1481" spans="1:18" ht="25" customHeight="1">
      <c r="A1481" s="12">
        <v>4</v>
      </c>
      <c r="B1481" s="8" t="s">
        <v>2063</v>
      </c>
      <c r="C1481" s="8" t="s">
        <v>115</v>
      </c>
      <c r="D1481" s="8" t="s">
        <v>44</v>
      </c>
      <c r="E1481" s="8">
        <v>6</v>
      </c>
      <c r="F1481" s="11">
        <v>0.1463414634146341</v>
      </c>
      <c r="G1481" s="8">
        <v>0</v>
      </c>
      <c r="H1481" s="8">
        <v>0</v>
      </c>
      <c r="I1481" s="8">
        <v>2</v>
      </c>
      <c r="J1481" s="11">
        <v>0.3333333333333333</v>
      </c>
      <c r="K1481" s="11">
        <v>13.66666666666667</v>
      </c>
      <c r="L1481" s="11">
        <v>0.8333333333333334</v>
      </c>
      <c r="M1481" s="11">
        <v>0.1666666666666667</v>
      </c>
      <c r="N1481" s="8" t="s">
        <v>795</v>
      </c>
      <c r="O1481" s="11">
        <v>13.3</v>
      </c>
      <c r="P1481" s="8" t="s">
        <v>2177</v>
      </c>
      <c r="Q1481" s="8" t="s">
        <v>2183</v>
      </c>
      <c r="R1481" s="8">
        <v>1</v>
      </c>
    </row>
    <row r="1482" spans="1:18" ht="25" customHeight="1">
      <c r="A1482" s="12">
        <v>5</v>
      </c>
      <c r="B1482" s="8" t="s">
        <v>2063</v>
      </c>
      <c r="C1482" s="8" t="s">
        <v>115</v>
      </c>
      <c r="D1482" s="8" t="s">
        <v>52</v>
      </c>
      <c r="E1482" s="8">
        <v>4</v>
      </c>
      <c r="F1482" s="11">
        <v>0.0975609756097561</v>
      </c>
      <c r="G1482" s="8">
        <v>2</v>
      </c>
      <c r="H1482" s="11">
        <v>0.5</v>
      </c>
      <c r="I1482" s="8">
        <v>0</v>
      </c>
      <c r="J1482" s="8">
        <v>0</v>
      </c>
      <c r="K1482" s="11">
        <v>1.5</v>
      </c>
      <c r="L1482" s="11">
        <v>0.75</v>
      </c>
      <c r="M1482" s="11">
        <v>0.25</v>
      </c>
      <c r="N1482" s="8" t="s">
        <v>795</v>
      </c>
      <c r="O1482" s="11">
        <v>63.5</v>
      </c>
      <c r="P1482" s="8" t="s">
        <v>2137</v>
      </c>
      <c r="Q1482" s="8" t="s">
        <v>2151</v>
      </c>
      <c r="R1482" s="8">
        <v>7</v>
      </c>
    </row>
    <row r="1483" spans="1:18" ht="25" customHeight="1">
      <c r="A1483" s="12">
        <v>6</v>
      </c>
      <c r="B1483" s="8" t="s">
        <v>2063</v>
      </c>
      <c r="C1483" s="8" t="s">
        <v>115</v>
      </c>
      <c r="D1483" s="8" t="s">
        <v>68</v>
      </c>
      <c r="E1483" s="8">
        <v>4</v>
      </c>
      <c r="F1483" s="11">
        <v>0.0975609756097561</v>
      </c>
      <c r="G1483" s="8">
        <v>3</v>
      </c>
      <c r="H1483" s="11">
        <v>0.75</v>
      </c>
      <c r="I1483" s="8">
        <v>0</v>
      </c>
      <c r="J1483" s="8">
        <v>0</v>
      </c>
      <c r="K1483" s="11">
        <v>-0.75</v>
      </c>
      <c r="L1483" s="11">
        <v>0.5</v>
      </c>
      <c r="M1483" s="11">
        <v>0.5</v>
      </c>
      <c r="N1483" s="8" t="s">
        <v>795</v>
      </c>
      <c r="O1483" s="11">
        <v>82.5</v>
      </c>
      <c r="P1483" s="8" t="s">
        <v>2170</v>
      </c>
      <c r="Q1483" s="8" t="s">
        <v>2151</v>
      </c>
      <c r="R1483" s="8">
        <v>11</v>
      </c>
    </row>
    <row r="1484" spans="1:18" ht="25" customHeight="1">
      <c r="A1484" s="12">
        <v>7</v>
      </c>
      <c r="B1484" s="8" t="s">
        <v>2063</v>
      </c>
      <c r="C1484" s="8" t="s">
        <v>115</v>
      </c>
      <c r="D1484" s="8" t="s">
        <v>60</v>
      </c>
      <c r="E1484" s="8">
        <v>3</v>
      </c>
      <c r="F1484" s="11">
        <v>0.07317073170731707</v>
      </c>
      <c r="G1484" s="8">
        <v>3</v>
      </c>
      <c r="H1484" s="8">
        <v>1</v>
      </c>
      <c r="I1484" s="8">
        <v>0</v>
      </c>
      <c r="J1484" s="8">
        <v>0</v>
      </c>
      <c r="K1484" s="11">
        <v>1.333333333333333</v>
      </c>
      <c r="L1484" s="11">
        <v>0.6666666666666666</v>
      </c>
      <c r="M1484" s="11">
        <v>0.3333333333333333</v>
      </c>
      <c r="N1484" s="8" t="s">
        <v>801</v>
      </c>
      <c r="O1484" s="11">
        <v>98.7</v>
      </c>
      <c r="P1484" s="8" t="s">
        <v>2169</v>
      </c>
      <c r="Q1484" s="8" t="s">
        <v>2168</v>
      </c>
      <c r="R1484" s="8">
        <v>15</v>
      </c>
    </row>
    <row r="1485" spans="1:18" ht="25" customHeight="1">
      <c r="A1485" s="12">
        <v>8</v>
      </c>
      <c r="B1485" s="8" t="s">
        <v>2063</v>
      </c>
      <c r="C1485" s="8" t="s">
        <v>115</v>
      </c>
      <c r="D1485" s="8" t="s">
        <v>63</v>
      </c>
      <c r="E1485" s="8">
        <v>3</v>
      </c>
      <c r="F1485" s="11">
        <v>0.07317073170731707</v>
      </c>
      <c r="G1485" s="8">
        <v>1</v>
      </c>
      <c r="H1485" s="11">
        <v>0.3333333333333333</v>
      </c>
      <c r="I1485" s="8">
        <v>1</v>
      </c>
      <c r="J1485" s="11">
        <v>0.3333333333333333</v>
      </c>
      <c r="K1485" s="8">
        <v>9</v>
      </c>
      <c r="L1485" s="11">
        <v>0.3333333333333333</v>
      </c>
      <c r="M1485" s="11">
        <v>0.6666666666666666</v>
      </c>
      <c r="N1485" s="8" t="s">
        <v>801</v>
      </c>
      <c r="O1485" s="11">
        <v>37.7</v>
      </c>
      <c r="P1485" s="8" t="s">
        <v>2167</v>
      </c>
      <c r="Q1485" s="8" t="s">
        <v>2168</v>
      </c>
      <c r="R1485" s="8">
        <v>18</v>
      </c>
    </row>
    <row r="1486" spans="1:18" ht="25" customHeight="1">
      <c r="A1486" s="12">
        <v>9</v>
      </c>
      <c r="B1486" s="8" t="s">
        <v>2063</v>
      </c>
      <c r="C1486" s="8" t="s">
        <v>115</v>
      </c>
      <c r="D1486" s="8" t="s">
        <v>51</v>
      </c>
      <c r="E1486" s="8">
        <v>1</v>
      </c>
      <c r="F1486" s="11">
        <v>0.02439024390243903</v>
      </c>
      <c r="G1486" s="8">
        <v>0</v>
      </c>
      <c r="H1486" s="8">
        <v>0</v>
      </c>
      <c r="I1486" s="8">
        <v>0</v>
      </c>
      <c r="J1486" s="8">
        <v>0</v>
      </c>
      <c r="K1486" s="8">
        <v>14</v>
      </c>
      <c r="L1486" s="8">
        <v>0</v>
      </c>
      <c r="M1486" s="8">
        <v>1</v>
      </c>
      <c r="N1486" s="8" t="s">
        <v>791</v>
      </c>
      <c r="O1486" s="8">
        <v>20</v>
      </c>
      <c r="P1486" s="8" t="s">
        <v>2165</v>
      </c>
      <c r="Q1486" s="8" t="s">
        <v>2166</v>
      </c>
      <c r="R1486" s="8">
        <v>21</v>
      </c>
    </row>
    <row r="1487" spans="1:18" ht="25" customHeight="1">
      <c r="A1487" s="12">
        <v>10</v>
      </c>
      <c r="B1487" s="8" t="s">
        <v>2063</v>
      </c>
      <c r="C1487" s="8" t="s">
        <v>115</v>
      </c>
      <c r="D1487" s="8" t="s">
        <v>54</v>
      </c>
      <c r="E1487" s="8">
        <v>2</v>
      </c>
      <c r="F1487" s="11">
        <v>0.04878048780487805</v>
      </c>
      <c r="G1487" s="8">
        <v>0</v>
      </c>
      <c r="H1487" s="8">
        <v>0</v>
      </c>
      <c r="I1487" s="8">
        <v>1</v>
      </c>
      <c r="J1487" s="11">
        <v>0.5</v>
      </c>
      <c r="K1487" s="11">
        <v>11.5</v>
      </c>
      <c r="L1487" s="8">
        <v>1</v>
      </c>
      <c r="M1487" s="8">
        <v>0</v>
      </c>
      <c r="N1487" s="8" t="s">
        <v>791</v>
      </c>
      <c r="O1487" s="8">
        <v>10</v>
      </c>
      <c r="P1487" s="8" t="s">
        <v>2161</v>
      </c>
      <c r="Q1487" s="8" t="s">
        <v>2162</v>
      </c>
      <c r="R1487" s="8">
        <v>23</v>
      </c>
    </row>
    <row r="1488" spans="1:18" ht="25" customHeight="1">
      <c r="A1488" s="12">
        <v>11</v>
      </c>
      <c r="B1488" s="8" t="s">
        <v>2063</v>
      </c>
      <c r="C1488" s="8" t="s">
        <v>115</v>
      </c>
      <c r="D1488" s="8" t="s">
        <v>56</v>
      </c>
      <c r="E1488" s="8">
        <v>2</v>
      </c>
      <c r="F1488" s="11">
        <v>0.04878048780487805</v>
      </c>
      <c r="G1488" s="8">
        <v>0</v>
      </c>
      <c r="H1488" s="8">
        <v>0</v>
      </c>
      <c r="I1488" s="8">
        <v>0</v>
      </c>
      <c r="J1488" s="8">
        <v>0</v>
      </c>
      <c r="K1488" s="11">
        <v>8.5</v>
      </c>
      <c r="L1488" s="11">
        <v>0.5</v>
      </c>
      <c r="M1488" s="11">
        <v>0.5</v>
      </c>
      <c r="N1488" s="8" t="s">
        <v>791</v>
      </c>
      <c r="O1488" s="11">
        <v>21.5</v>
      </c>
      <c r="P1488" s="8" t="s">
        <v>2165</v>
      </c>
      <c r="Q1488" s="8" t="s">
        <v>2166</v>
      </c>
      <c r="R1488" s="8">
        <v>25</v>
      </c>
    </row>
    <row r="1489" spans="1:18" ht="25" customHeight="1">
      <c r="A1489" s="12">
        <v>12</v>
      </c>
      <c r="B1489" s="8" t="s">
        <v>2063</v>
      </c>
      <c r="C1489" s="8" t="s">
        <v>115</v>
      </c>
      <c r="D1489" s="8" t="s">
        <v>43</v>
      </c>
      <c r="E1489" s="8">
        <v>1</v>
      </c>
      <c r="F1489" s="11">
        <v>0.02439024390243903</v>
      </c>
      <c r="G1489" s="8">
        <v>1</v>
      </c>
      <c r="H1489" s="8">
        <v>1</v>
      </c>
      <c r="I1489" s="8">
        <v>0</v>
      </c>
      <c r="J1489" s="8">
        <v>0</v>
      </c>
      <c r="K1489" s="8">
        <v>3</v>
      </c>
      <c r="L1489" s="8">
        <v>0</v>
      </c>
      <c r="M1489" s="8">
        <v>1</v>
      </c>
      <c r="N1489" s="8" t="s">
        <v>791</v>
      </c>
      <c r="O1489" s="8">
        <v>97</v>
      </c>
      <c r="P1489" s="8" t="s">
        <v>2165</v>
      </c>
      <c r="Q1489" s="8" t="s">
        <v>2166</v>
      </c>
      <c r="R1489" s="8">
        <v>28</v>
      </c>
    </row>
    <row r="1490" spans="1:18" ht="25" customHeight="1">
      <c r="A1490" s="12">
        <v>13</v>
      </c>
      <c r="B1490" s="8" t="s">
        <v>2063</v>
      </c>
      <c r="C1490" s="8" t="s">
        <v>115</v>
      </c>
      <c r="D1490" s="8" t="s">
        <v>32</v>
      </c>
      <c r="E1490" s="8">
        <v>1</v>
      </c>
      <c r="F1490" s="11">
        <v>0.02439024390243903</v>
      </c>
      <c r="G1490" s="8">
        <v>0</v>
      </c>
      <c r="H1490" s="8">
        <v>0</v>
      </c>
      <c r="I1490" s="8">
        <v>1</v>
      </c>
      <c r="J1490" s="8">
        <v>1</v>
      </c>
      <c r="K1490" s="8">
        <v>72</v>
      </c>
      <c r="L1490" s="8">
        <v>0</v>
      </c>
      <c r="M1490" s="8">
        <v>1</v>
      </c>
      <c r="N1490" s="8" t="s">
        <v>791</v>
      </c>
      <c r="O1490" s="8">
        <v>0</v>
      </c>
      <c r="P1490" s="8" t="s">
        <v>2161</v>
      </c>
      <c r="Q1490" s="8" t="s">
        <v>2162</v>
      </c>
      <c r="R1490" s="8">
        <v>29</v>
      </c>
    </row>
    <row r="1491" spans="1:18" ht="25" customHeight="1">
      <c r="A1491" s="12">
        <v>14</v>
      </c>
      <c r="B1491" s="8" t="s">
        <v>2063</v>
      </c>
      <c r="C1491" s="8" t="s">
        <v>115</v>
      </c>
      <c r="D1491" s="8" t="s">
        <v>88</v>
      </c>
      <c r="E1491" s="8">
        <v>1</v>
      </c>
      <c r="F1491" s="11">
        <v>0.02439024390243903</v>
      </c>
      <c r="G1491" s="8">
        <v>0</v>
      </c>
      <c r="H1491" s="8">
        <v>0</v>
      </c>
      <c r="I1491" s="8">
        <v>0</v>
      </c>
      <c r="J1491" s="8">
        <v>0</v>
      </c>
      <c r="K1491" s="8">
        <v>4</v>
      </c>
      <c r="L1491" s="8">
        <v>1</v>
      </c>
      <c r="M1491" s="8">
        <v>0</v>
      </c>
      <c r="N1491" s="8" t="s">
        <v>791</v>
      </c>
      <c r="O1491" s="8">
        <v>26</v>
      </c>
      <c r="P1491" s="8" t="s">
        <v>2165</v>
      </c>
      <c r="Q1491" s="8" t="s">
        <v>2166</v>
      </c>
      <c r="R1491" s="8">
        <v>31</v>
      </c>
    </row>
    <row r="1492" spans="1:18" ht="25" customHeight="1">
      <c r="A1492" s="12">
        <v>15</v>
      </c>
      <c r="B1492" s="8" t="s">
        <v>2063</v>
      </c>
      <c r="C1492" s="8" t="s">
        <v>115</v>
      </c>
      <c r="D1492" s="8" t="s">
        <v>53</v>
      </c>
      <c r="E1492" s="8">
        <v>1</v>
      </c>
      <c r="F1492" s="11">
        <v>0.02439024390243903</v>
      </c>
      <c r="G1492" s="8">
        <v>0</v>
      </c>
      <c r="H1492" s="8">
        <v>0</v>
      </c>
      <c r="I1492" s="8">
        <v>0</v>
      </c>
      <c r="J1492" s="8">
        <v>0</v>
      </c>
      <c r="K1492" s="8">
        <v>8</v>
      </c>
      <c r="L1492" s="8">
        <v>0</v>
      </c>
      <c r="M1492" s="8">
        <v>1</v>
      </c>
      <c r="N1492" s="8" t="s">
        <v>791</v>
      </c>
      <c r="O1492" s="8">
        <v>22</v>
      </c>
      <c r="P1492" s="8" t="s">
        <v>2165</v>
      </c>
      <c r="Q1492" s="8" t="s">
        <v>2166</v>
      </c>
      <c r="R1492" s="8">
        <v>32</v>
      </c>
    </row>
    <row r="1493" spans="1:18" ht="25" customHeight="1">
      <c r="A1493" s="12">
        <v>16</v>
      </c>
      <c r="B1493" s="8" t="s">
        <v>2063</v>
      </c>
      <c r="C1493" s="8" t="s">
        <v>115</v>
      </c>
      <c r="D1493" s="8" t="s">
        <v>81</v>
      </c>
      <c r="E1493" s="8">
        <v>1</v>
      </c>
      <c r="F1493" s="11">
        <v>0.02439024390243903</v>
      </c>
      <c r="G1493" s="8">
        <v>0</v>
      </c>
      <c r="H1493" s="8">
        <v>0</v>
      </c>
      <c r="I1493" s="8">
        <v>0</v>
      </c>
      <c r="J1493" s="8">
        <v>0</v>
      </c>
      <c r="K1493" s="8">
        <v>4</v>
      </c>
      <c r="L1493" s="8">
        <v>1</v>
      </c>
      <c r="M1493" s="8">
        <v>0</v>
      </c>
      <c r="N1493" s="8" t="s">
        <v>791</v>
      </c>
      <c r="O1493" s="8">
        <v>26</v>
      </c>
      <c r="P1493" s="8" t="s">
        <v>2165</v>
      </c>
      <c r="Q1493" s="8" t="s">
        <v>2166</v>
      </c>
      <c r="R1493" s="8">
        <v>33</v>
      </c>
    </row>
    <row r="1494" spans="1:18" ht="25" customHeight="1">
      <c r="A1494" s="12">
        <v>17</v>
      </c>
      <c r="B1494" s="8" t="s">
        <v>2063</v>
      </c>
      <c r="C1494" s="8" t="s">
        <v>115</v>
      </c>
      <c r="D1494" s="8" t="s">
        <v>35</v>
      </c>
      <c r="E1494" s="8">
        <v>6</v>
      </c>
      <c r="F1494" s="11">
        <v>0.1463414634146341</v>
      </c>
      <c r="G1494" s="8">
        <v>4</v>
      </c>
      <c r="H1494" s="11">
        <v>0.6666666666666666</v>
      </c>
      <c r="I1494" s="8">
        <v>1</v>
      </c>
      <c r="J1494" s="11">
        <v>0.1666666666666667</v>
      </c>
      <c r="K1494" s="11">
        <v>11.33333333333333</v>
      </c>
      <c r="L1494" s="11">
        <v>0.3333333333333333</v>
      </c>
      <c r="M1494" s="11">
        <v>0.6666666666666666</v>
      </c>
      <c r="N1494" s="8" t="s">
        <v>795</v>
      </c>
      <c r="O1494" s="11">
        <v>63.3</v>
      </c>
      <c r="P1494" s="8" t="s">
        <v>2137</v>
      </c>
      <c r="Q1494" s="8" t="s">
        <v>2151</v>
      </c>
      <c r="R1494" s="8">
        <v>34</v>
      </c>
    </row>
    <row r="1495" spans="1:18" ht="25" customHeight="1">
      <c r="A1495" s="12">
        <v>18</v>
      </c>
      <c r="B1495" s="8" t="s">
        <v>2063</v>
      </c>
      <c r="C1495" s="8" t="s">
        <v>115</v>
      </c>
      <c r="D1495" s="8" t="s">
        <v>62</v>
      </c>
      <c r="E1495" s="8">
        <v>1</v>
      </c>
      <c r="F1495" s="11">
        <v>0.02439024390243903</v>
      </c>
      <c r="G1495" s="8">
        <v>0</v>
      </c>
      <c r="H1495" s="8">
        <v>0</v>
      </c>
      <c r="I1495" s="8">
        <v>1</v>
      </c>
      <c r="J1495" s="8">
        <v>1</v>
      </c>
      <c r="K1495" s="8">
        <v>25</v>
      </c>
      <c r="L1495" s="8">
        <v>1</v>
      </c>
      <c r="M1495" s="8">
        <v>0</v>
      </c>
      <c r="N1495" s="8" t="s">
        <v>791</v>
      </c>
      <c r="O1495" s="8">
        <v>0</v>
      </c>
      <c r="P1495" s="8" t="s">
        <v>2161</v>
      </c>
      <c r="Q1495" s="8" t="s">
        <v>2162</v>
      </c>
      <c r="R1495" s="8">
        <v>35</v>
      </c>
    </row>
    <row r="1496" spans="1:18" ht="25" customHeight="1">
      <c r="A1496" s="12">
        <v>19</v>
      </c>
      <c r="B1496" s="8" t="s">
        <v>2063</v>
      </c>
      <c r="C1496" s="8" t="s">
        <v>115</v>
      </c>
      <c r="D1496" s="8" t="s">
        <v>75</v>
      </c>
      <c r="E1496" s="8">
        <v>1</v>
      </c>
      <c r="F1496" s="11">
        <v>0.02439024390243903</v>
      </c>
      <c r="G1496" s="8">
        <v>0</v>
      </c>
      <c r="H1496" s="8">
        <v>0</v>
      </c>
      <c r="I1496" s="8">
        <v>0</v>
      </c>
      <c r="J1496" s="8">
        <v>0</v>
      </c>
      <c r="K1496" s="8">
        <v>9</v>
      </c>
      <c r="L1496" s="8">
        <v>1</v>
      </c>
      <c r="M1496" s="8">
        <v>0</v>
      </c>
      <c r="N1496" s="8" t="s">
        <v>791</v>
      </c>
      <c r="O1496" s="8">
        <v>21</v>
      </c>
      <c r="P1496" s="8" t="s">
        <v>2165</v>
      </c>
      <c r="Q1496" s="8" t="s">
        <v>2166</v>
      </c>
      <c r="R1496" s="8">
        <v>36</v>
      </c>
    </row>
    <row r="1497" spans="1:18" ht="25" customHeight="1">
      <c r="A1497" s="12">
        <v>20</v>
      </c>
      <c r="B1497" s="8" t="s">
        <v>2066</v>
      </c>
      <c r="C1497" s="8" t="s">
        <v>716</v>
      </c>
      <c r="D1497" s="8" t="s">
        <v>44</v>
      </c>
      <c r="E1497" s="8">
        <v>7</v>
      </c>
      <c r="F1497" s="11">
        <v>0.0945945945945946</v>
      </c>
      <c r="G1497" s="8">
        <v>3</v>
      </c>
      <c r="H1497" s="11">
        <v>0.4285714285714285</v>
      </c>
      <c r="I1497" s="8">
        <v>0</v>
      </c>
      <c r="J1497" s="8">
        <v>0</v>
      </c>
      <c r="K1497" s="11">
        <v>4.857142857142857</v>
      </c>
      <c r="L1497" s="11">
        <v>0.5714285714285714</v>
      </c>
      <c r="M1497" s="11">
        <v>0.4285714285714285</v>
      </c>
      <c r="N1497" s="8" t="s">
        <v>799</v>
      </c>
      <c r="O1497" s="11">
        <v>55.1</v>
      </c>
      <c r="P1497" s="8" t="s">
        <v>2137</v>
      </c>
      <c r="Q1497" s="8" t="s">
        <v>2151</v>
      </c>
      <c r="R1497" s="8">
        <v>37</v>
      </c>
    </row>
    <row r="1498" spans="1:18" ht="25" customHeight="1">
      <c r="A1498" s="12">
        <v>21</v>
      </c>
      <c r="B1498" s="8" t="s">
        <v>2066</v>
      </c>
      <c r="C1498" s="8" t="s">
        <v>716</v>
      </c>
      <c r="D1498" s="8" t="s">
        <v>60</v>
      </c>
      <c r="E1498" s="8">
        <v>4</v>
      </c>
      <c r="F1498" s="11">
        <v>0.05405405405405406</v>
      </c>
      <c r="G1498" s="8">
        <v>1</v>
      </c>
      <c r="H1498" s="11">
        <v>0.25</v>
      </c>
      <c r="I1498" s="8">
        <v>1</v>
      </c>
      <c r="J1498" s="11">
        <v>0.25</v>
      </c>
      <c r="K1498" s="11">
        <v>12.5</v>
      </c>
      <c r="L1498" s="11">
        <v>0.25</v>
      </c>
      <c r="M1498" s="11">
        <v>0.5</v>
      </c>
      <c r="N1498" s="8" t="s">
        <v>795</v>
      </c>
      <c r="O1498" s="11">
        <v>32.5</v>
      </c>
      <c r="P1498" s="8" t="s">
        <v>2177</v>
      </c>
      <c r="Q1498" s="8" t="s">
        <v>2183</v>
      </c>
      <c r="R1498" s="8">
        <v>44</v>
      </c>
    </row>
    <row r="1499" spans="1:18" ht="25" customHeight="1">
      <c r="A1499" s="12">
        <v>22</v>
      </c>
      <c r="B1499" s="8" t="s">
        <v>2066</v>
      </c>
      <c r="C1499" s="8" t="s">
        <v>711</v>
      </c>
      <c r="D1499" s="8" t="s">
        <v>35</v>
      </c>
      <c r="E1499" s="8">
        <v>1</v>
      </c>
      <c r="F1499" s="11">
        <v>0.5</v>
      </c>
      <c r="G1499" s="8">
        <v>1</v>
      </c>
      <c r="H1499" s="8">
        <v>1</v>
      </c>
      <c r="I1499" s="8">
        <v>0</v>
      </c>
      <c r="J1499" s="8">
        <v>0</v>
      </c>
      <c r="K1499" s="8">
        <v>5</v>
      </c>
      <c r="L1499" s="8">
        <v>0</v>
      </c>
      <c r="M1499" s="8">
        <v>1</v>
      </c>
      <c r="N1499" s="8" t="s">
        <v>791</v>
      </c>
      <c r="O1499" s="8">
        <v>95</v>
      </c>
      <c r="P1499" s="8" t="s">
        <v>2165</v>
      </c>
      <c r="Q1499" s="8" t="s">
        <v>2166</v>
      </c>
      <c r="R1499" s="8">
        <v>47</v>
      </c>
    </row>
    <row r="1500" spans="1:18" ht="25" customHeight="1">
      <c r="A1500" s="12">
        <v>23</v>
      </c>
      <c r="B1500" s="8" t="s">
        <v>2066</v>
      </c>
      <c r="C1500" s="8" t="s">
        <v>716</v>
      </c>
      <c r="D1500" s="8" t="s">
        <v>35</v>
      </c>
      <c r="E1500" s="8">
        <v>4</v>
      </c>
      <c r="F1500" s="11">
        <v>0.05405405405405406</v>
      </c>
      <c r="G1500" s="8">
        <v>4</v>
      </c>
      <c r="H1500" s="8">
        <v>1</v>
      </c>
      <c r="I1500" s="8">
        <v>0</v>
      </c>
      <c r="J1500" s="8">
        <v>0</v>
      </c>
      <c r="K1500" s="11">
        <v>0.5</v>
      </c>
      <c r="L1500" s="8">
        <v>0</v>
      </c>
      <c r="M1500" s="8">
        <v>1</v>
      </c>
      <c r="N1500" s="8" t="s">
        <v>795</v>
      </c>
      <c r="O1500" s="11">
        <v>99.5</v>
      </c>
      <c r="P1500" s="8" t="s">
        <v>2170</v>
      </c>
      <c r="Q1500" s="8" t="s">
        <v>2151</v>
      </c>
      <c r="R1500" s="8">
        <v>48</v>
      </c>
    </row>
    <row r="1501" spans="1:18" ht="25" customHeight="1">
      <c r="A1501" s="12">
        <v>24</v>
      </c>
      <c r="B1501" s="8" t="s">
        <v>2066</v>
      </c>
      <c r="C1501" s="8" t="s">
        <v>720</v>
      </c>
      <c r="D1501" s="8" t="s">
        <v>35</v>
      </c>
      <c r="E1501" s="8">
        <v>1</v>
      </c>
      <c r="F1501" s="11">
        <v>0.3333333333333333</v>
      </c>
      <c r="G1501" s="8">
        <v>0</v>
      </c>
      <c r="H1501" s="8">
        <v>0</v>
      </c>
      <c r="I1501" s="8">
        <v>0</v>
      </c>
      <c r="J1501" s="8">
        <v>0</v>
      </c>
      <c r="K1501" s="8">
        <v>9</v>
      </c>
      <c r="L1501" s="8">
        <v>1</v>
      </c>
      <c r="M1501" s="8">
        <v>0</v>
      </c>
      <c r="N1501" s="8" t="s">
        <v>791</v>
      </c>
      <c r="O1501" s="8">
        <v>21</v>
      </c>
      <c r="P1501" s="8" t="s">
        <v>2165</v>
      </c>
      <c r="Q1501" s="8" t="s">
        <v>2166</v>
      </c>
      <c r="R1501" s="8">
        <v>49</v>
      </c>
    </row>
    <row r="1502" spans="1:18" ht="25" customHeight="1">
      <c r="A1502" s="12">
        <v>25</v>
      </c>
      <c r="B1502" s="8" t="s">
        <v>2066</v>
      </c>
      <c r="C1502" s="8" t="s">
        <v>716</v>
      </c>
      <c r="D1502" s="8" t="s">
        <v>68</v>
      </c>
      <c r="E1502" s="8">
        <v>2</v>
      </c>
      <c r="F1502" s="11">
        <v>0.02702702702702703</v>
      </c>
      <c r="G1502" s="8">
        <v>1</v>
      </c>
      <c r="H1502" s="11">
        <v>0.5</v>
      </c>
      <c r="I1502" s="8">
        <v>0</v>
      </c>
      <c r="J1502" s="8">
        <v>0</v>
      </c>
      <c r="K1502" s="11">
        <v>7.5</v>
      </c>
      <c r="L1502" s="8">
        <v>0</v>
      </c>
      <c r="M1502" s="11">
        <v>0.5</v>
      </c>
      <c r="N1502" s="8" t="s">
        <v>791</v>
      </c>
      <c r="O1502" s="11">
        <v>57.5</v>
      </c>
      <c r="P1502" s="8" t="s">
        <v>2165</v>
      </c>
      <c r="Q1502" s="8" t="s">
        <v>2166</v>
      </c>
      <c r="R1502" s="8">
        <v>50</v>
      </c>
    </row>
    <row r="1503" spans="1:18" ht="25" customHeight="1">
      <c r="A1503" s="12">
        <v>26</v>
      </c>
      <c r="B1503" s="8" t="s">
        <v>2066</v>
      </c>
      <c r="C1503" s="8" t="s">
        <v>716</v>
      </c>
      <c r="D1503" s="8" t="s">
        <v>53</v>
      </c>
      <c r="E1503" s="8">
        <v>9</v>
      </c>
      <c r="F1503" s="11">
        <v>0.1216216216216216</v>
      </c>
      <c r="G1503" s="8">
        <v>5</v>
      </c>
      <c r="H1503" s="11">
        <v>0.5555555555555556</v>
      </c>
      <c r="I1503" s="8">
        <v>0</v>
      </c>
      <c r="J1503" s="8">
        <v>0</v>
      </c>
      <c r="K1503" s="11">
        <v>5.222222222222222</v>
      </c>
      <c r="L1503" s="11">
        <v>0.5555555555555556</v>
      </c>
      <c r="M1503" s="11">
        <v>0.4444444444444444</v>
      </c>
      <c r="N1503" s="8" t="s">
        <v>799</v>
      </c>
      <c r="O1503" s="11">
        <v>63.7</v>
      </c>
      <c r="P1503" s="8" t="s">
        <v>2137</v>
      </c>
      <c r="Q1503" s="8" t="s">
        <v>2151</v>
      </c>
      <c r="R1503" s="8">
        <v>52</v>
      </c>
    </row>
    <row r="1504" spans="1:18" ht="25" customHeight="1">
      <c r="A1504" s="12">
        <v>27</v>
      </c>
      <c r="B1504" s="8" t="s">
        <v>2066</v>
      </c>
      <c r="C1504" s="8" t="s">
        <v>716</v>
      </c>
      <c r="D1504" s="8" t="s">
        <v>52</v>
      </c>
      <c r="E1504" s="8">
        <v>6</v>
      </c>
      <c r="F1504" s="11">
        <v>0.08108108108108109</v>
      </c>
      <c r="G1504" s="8">
        <v>5</v>
      </c>
      <c r="H1504" s="11">
        <v>0.8333333333333334</v>
      </c>
      <c r="I1504" s="8">
        <v>1</v>
      </c>
      <c r="J1504" s="11">
        <v>0.1666666666666667</v>
      </c>
      <c r="K1504" s="11">
        <v>3.333333333333333</v>
      </c>
      <c r="L1504" s="11">
        <v>0.1666666666666667</v>
      </c>
      <c r="M1504" s="11">
        <v>0.8333333333333334</v>
      </c>
      <c r="N1504" s="8" t="s">
        <v>795</v>
      </c>
      <c r="O1504" s="11">
        <v>81.7</v>
      </c>
      <c r="P1504" s="8" t="s">
        <v>2170</v>
      </c>
      <c r="Q1504" s="8" t="s">
        <v>2153</v>
      </c>
      <c r="R1504" s="8">
        <v>57</v>
      </c>
    </row>
    <row r="1505" spans="1:18" ht="25" customHeight="1">
      <c r="A1505" s="12">
        <v>28</v>
      </c>
      <c r="B1505" s="8" t="s">
        <v>2066</v>
      </c>
      <c r="C1505" s="8" t="s">
        <v>716</v>
      </c>
      <c r="D1505" s="8" t="s">
        <v>69</v>
      </c>
      <c r="E1505" s="8">
        <v>3</v>
      </c>
      <c r="F1505" s="11">
        <v>0.04054054054054054</v>
      </c>
      <c r="G1505" s="8">
        <v>3</v>
      </c>
      <c r="H1505" s="8">
        <v>1</v>
      </c>
      <c r="I1505" s="8">
        <v>0</v>
      </c>
      <c r="J1505" s="8">
        <v>0</v>
      </c>
      <c r="K1505" s="11">
        <v>0.6666666666666666</v>
      </c>
      <c r="L1505" s="11">
        <v>0.6666666666666666</v>
      </c>
      <c r="M1505" s="11">
        <v>0.3333333333333333</v>
      </c>
      <c r="N1505" s="8" t="s">
        <v>801</v>
      </c>
      <c r="O1505" s="11">
        <v>99.3</v>
      </c>
      <c r="P1505" s="8" t="s">
        <v>2169</v>
      </c>
      <c r="Q1505" s="8" t="s">
        <v>2168</v>
      </c>
      <c r="R1505" s="8">
        <v>59</v>
      </c>
    </row>
    <row r="1506" spans="1:18" ht="25" customHeight="1">
      <c r="A1506" s="12">
        <v>29</v>
      </c>
      <c r="B1506" s="8" t="s">
        <v>2066</v>
      </c>
      <c r="C1506" s="8" t="s">
        <v>706</v>
      </c>
      <c r="D1506" s="8" t="s">
        <v>27</v>
      </c>
      <c r="E1506" s="8">
        <v>1</v>
      </c>
      <c r="F1506" s="11">
        <v>0.3333333333333333</v>
      </c>
      <c r="G1506" s="8">
        <v>0</v>
      </c>
      <c r="H1506" s="8">
        <v>0</v>
      </c>
      <c r="I1506" s="8">
        <v>0</v>
      </c>
      <c r="J1506" s="8">
        <v>0</v>
      </c>
      <c r="K1506" s="8">
        <v>1</v>
      </c>
      <c r="L1506" s="8">
        <v>0</v>
      </c>
      <c r="M1506" s="8">
        <v>0</v>
      </c>
      <c r="N1506" s="8" t="s">
        <v>791</v>
      </c>
      <c r="O1506" s="8">
        <v>29</v>
      </c>
      <c r="P1506" s="8" t="s">
        <v>2165</v>
      </c>
      <c r="Q1506" s="8" t="s">
        <v>2166</v>
      </c>
      <c r="R1506" s="8">
        <v>62</v>
      </c>
    </row>
    <row r="1507" spans="1:18" ht="25" customHeight="1">
      <c r="A1507" s="12">
        <v>30</v>
      </c>
      <c r="B1507" s="8" t="s">
        <v>2066</v>
      </c>
      <c r="C1507" s="8" t="s">
        <v>716</v>
      </c>
      <c r="D1507" s="8" t="s">
        <v>46</v>
      </c>
      <c r="E1507" s="8">
        <v>3</v>
      </c>
      <c r="F1507" s="11">
        <v>0.04054054054054054</v>
      </c>
      <c r="G1507" s="8">
        <v>2</v>
      </c>
      <c r="H1507" s="11">
        <v>0.6666666666666666</v>
      </c>
      <c r="I1507" s="8">
        <v>1</v>
      </c>
      <c r="J1507" s="11">
        <v>0.3333333333333333</v>
      </c>
      <c r="K1507" s="11">
        <v>6.666666666666667</v>
      </c>
      <c r="L1507" s="11">
        <v>0.3333333333333333</v>
      </c>
      <c r="M1507" s="11">
        <v>0.6666666666666666</v>
      </c>
      <c r="N1507" s="8" t="s">
        <v>801</v>
      </c>
      <c r="O1507" s="11">
        <v>63.3</v>
      </c>
      <c r="P1507" s="8" t="s">
        <v>2180</v>
      </c>
      <c r="Q1507" s="8" t="s">
        <v>2168</v>
      </c>
      <c r="R1507" s="8">
        <v>64</v>
      </c>
    </row>
    <row r="1508" spans="1:18" ht="25" customHeight="1">
      <c r="A1508" s="12">
        <v>31</v>
      </c>
      <c r="B1508" s="8" t="s">
        <v>2066</v>
      </c>
      <c r="C1508" s="8" t="s">
        <v>716</v>
      </c>
      <c r="D1508" s="8" t="s">
        <v>48</v>
      </c>
      <c r="E1508" s="8">
        <v>1</v>
      </c>
      <c r="F1508" s="11">
        <v>0.01351351351351351</v>
      </c>
      <c r="G1508" s="8">
        <v>1</v>
      </c>
      <c r="H1508" s="8">
        <v>1</v>
      </c>
      <c r="I1508" s="8">
        <v>0</v>
      </c>
      <c r="J1508" s="8">
        <v>0</v>
      </c>
      <c r="K1508" s="8">
        <v>6</v>
      </c>
      <c r="L1508" s="8">
        <v>0</v>
      </c>
      <c r="M1508" s="8">
        <v>1</v>
      </c>
      <c r="N1508" s="8" t="s">
        <v>791</v>
      </c>
      <c r="O1508" s="8">
        <v>94</v>
      </c>
      <c r="P1508" s="8" t="s">
        <v>2165</v>
      </c>
      <c r="Q1508" s="8" t="s">
        <v>2166</v>
      </c>
      <c r="R1508" s="8">
        <v>66</v>
      </c>
    </row>
    <row r="1509" spans="1:18" ht="25" customHeight="1">
      <c r="A1509" s="12">
        <v>32</v>
      </c>
      <c r="B1509" s="8" t="s">
        <v>2066</v>
      </c>
      <c r="C1509" s="8" t="s">
        <v>716</v>
      </c>
      <c r="D1509" s="8" t="s">
        <v>34</v>
      </c>
      <c r="E1509" s="8">
        <v>2</v>
      </c>
      <c r="F1509" s="11">
        <v>0.02702702702702703</v>
      </c>
      <c r="G1509" s="8">
        <v>0</v>
      </c>
      <c r="H1509" s="8">
        <v>0</v>
      </c>
      <c r="I1509" s="8">
        <v>1</v>
      </c>
      <c r="J1509" s="11">
        <v>0.5</v>
      </c>
      <c r="K1509" s="11">
        <v>30.5</v>
      </c>
      <c r="L1509" s="11">
        <v>0.5</v>
      </c>
      <c r="M1509" s="8">
        <v>0</v>
      </c>
      <c r="N1509" s="8" t="s">
        <v>791</v>
      </c>
      <c r="O1509" s="8">
        <v>10</v>
      </c>
      <c r="P1509" s="8" t="s">
        <v>2161</v>
      </c>
      <c r="Q1509" s="8" t="s">
        <v>2162</v>
      </c>
      <c r="R1509" s="8">
        <v>67</v>
      </c>
    </row>
    <row r="1510" spans="1:18" ht="25" customHeight="1">
      <c r="A1510" s="12">
        <v>33</v>
      </c>
      <c r="B1510" s="8" t="s">
        <v>2066</v>
      </c>
      <c r="C1510" s="8" t="s">
        <v>720</v>
      </c>
      <c r="D1510" s="8" t="s">
        <v>34</v>
      </c>
      <c r="E1510" s="8">
        <v>1</v>
      </c>
      <c r="F1510" s="11">
        <v>0.3333333333333333</v>
      </c>
      <c r="G1510" s="8">
        <v>1</v>
      </c>
      <c r="H1510" s="8">
        <v>1</v>
      </c>
      <c r="I1510" s="8">
        <v>0</v>
      </c>
      <c r="J1510" s="8">
        <v>0</v>
      </c>
      <c r="K1510" s="8">
        <v>3</v>
      </c>
      <c r="L1510" s="8">
        <v>1</v>
      </c>
      <c r="M1510" s="8">
        <v>0</v>
      </c>
      <c r="N1510" s="8" t="s">
        <v>791</v>
      </c>
      <c r="O1510" s="8">
        <v>97</v>
      </c>
      <c r="P1510" s="8" t="s">
        <v>2165</v>
      </c>
      <c r="Q1510" s="8" t="s">
        <v>2166</v>
      </c>
      <c r="R1510" s="8">
        <v>68</v>
      </c>
    </row>
    <row r="1511" spans="1:18" ht="25" customHeight="1">
      <c r="A1511" s="12">
        <v>34</v>
      </c>
      <c r="B1511" s="8" t="s">
        <v>2066</v>
      </c>
      <c r="C1511" s="8" t="s">
        <v>716</v>
      </c>
      <c r="D1511" s="8" t="s">
        <v>56</v>
      </c>
      <c r="E1511" s="8">
        <v>1</v>
      </c>
      <c r="F1511" s="11">
        <v>0.01351351351351351</v>
      </c>
      <c r="G1511" s="8">
        <v>0</v>
      </c>
      <c r="H1511" s="8">
        <v>0</v>
      </c>
      <c r="I1511" s="8">
        <v>0</v>
      </c>
      <c r="J1511" s="8">
        <v>0</v>
      </c>
      <c r="K1511" s="8">
        <v>4</v>
      </c>
      <c r="L1511" s="8">
        <v>1</v>
      </c>
      <c r="M1511" s="8">
        <v>0</v>
      </c>
      <c r="N1511" s="8" t="s">
        <v>791</v>
      </c>
      <c r="O1511" s="8">
        <v>26</v>
      </c>
      <c r="P1511" s="8" t="s">
        <v>2165</v>
      </c>
      <c r="Q1511" s="8" t="s">
        <v>2166</v>
      </c>
      <c r="R1511" s="8">
        <v>70</v>
      </c>
    </row>
    <row r="1512" spans="1:18" ht="25" customHeight="1">
      <c r="A1512" s="12">
        <v>35</v>
      </c>
      <c r="B1512" s="8" t="s">
        <v>2066</v>
      </c>
      <c r="C1512" s="8" t="s">
        <v>716</v>
      </c>
      <c r="D1512" s="8" t="s">
        <v>61</v>
      </c>
      <c r="E1512" s="8">
        <v>3</v>
      </c>
      <c r="F1512" s="11">
        <v>0.04054054054054054</v>
      </c>
      <c r="G1512" s="8">
        <v>3</v>
      </c>
      <c r="H1512" s="8">
        <v>1</v>
      </c>
      <c r="I1512" s="8">
        <v>0</v>
      </c>
      <c r="J1512" s="8">
        <v>0</v>
      </c>
      <c r="K1512" s="8">
        <v>2</v>
      </c>
      <c r="L1512" s="11">
        <v>0.3333333333333333</v>
      </c>
      <c r="M1512" s="11">
        <v>0.6666666666666666</v>
      </c>
      <c r="N1512" s="8" t="s">
        <v>801</v>
      </c>
      <c r="O1512" s="8">
        <v>98</v>
      </c>
      <c r="P1512" s="8" t="s">
        <v>2169</v>
      </c>
      <c r="Q1512" s="8" t="s">
        <v>2168</v>
      </c>
      <c r="R1512" s="8">
        <v>71</v>
      </c>
    </row>
    <row r="1513" spans="1:18" ht="25" customHeight="1">
      <c r="A1513" s="12">
        <v>36</v>
      </c>
      <c r="B1513" s="8" t="s">
        <v>2066</v>
      </c>
      <c r="C1513" s="8" t="s">
        <v>716</v>
      </c>
      <c r="D1513" s="8" t="s">
        <v>66</v>
      </c>
      <c r="E1513" s="8">
        <v>3</v>
      </c>
      <c r="F1513" s="11">
        <v>0.04054054054054054</v>
      </c>
      <c r="G1513" s="8">
        <v>2</v>
      </c>
      <c r="H1513" s="11">
        <v>0.6666666666666666</v>
      </c>
      <c r="I1513" s="8">
        <v>1</v>
      </c>
      <c r="J1513" s="11">
        <v>0.3333333333333333</v>
      </c>
      <c r="K1513" s="8">
        <v>10</v>
      </c>
      <c r="L1513" s="11">
        <v>0.3333333333333333</v>
      </c>
      <c r="M1513" s="11">
        <v>0.6666666666666666</v>
      </c>
      <c r="N1513" s="8" t="s">
        <v>801</v>
      </c>
      <c r="O1513" s="8">
        <v>60</v>
      </c>
      <c r="P1513" s="8" t="s">
        <v>2180</v>
      </c>
      <c r="Q1513" s="8" t="s">
        <v>2168</v>
      </c>
      <c r="R1513" s="8">
        <v>73</v>
      </c>
    </row>
    <row r="1514" spans="1:18" ht="25" customHeight="1">
      <c r="A1514" s="12">
        <v>37</v>
      </c>
      <c r="B1514" s="8" t="s">
        <v>2066</v>
      </c>
      <c r="C1514" s="8" t="s">
        <v>716</v>
      </c>
      <c r="D1514" s="8" t="s">
        <v>42</v>
      </c>
      <c r="E1514" s="8">
        <v>1</v>
      </c>
      <c r="F1514" s="11">
        <v>0.01351351351351351</v>
      </c>
      <c r="G1514" s="8">
        <v>0</v>
      </c>
      <c r="H1514" s="8">
        <v>0</v>
      </c>
      <c r="I1514" s="8">
        <v>0</v>
      </c>
      <c r="J1514" s="8">
        <v>0</v>
      </c>
      <c r="K1514" s="8">
        <v>14</v>
      </c>
      <c r="L1514" s="8">
        <v>0</v>
      </c>
      <c r="M1514" s="8">
        <v>1</v>
      </c>
      <c r="N1514" s="8" t="s">
        <v>791</v>
      </c>
      <c r="O1514" s="8">
        <v>20</v>
      </c>
      <c r="P1514" s="8" t="s">
        <v>2165</v>
      </c>
      <c r="Q1514" s="8" t="s">
        <v>2166</v>
      </c>
      <c r="R1514" s="8">
        <v>76</v>
      </c>
    </row>
    <row r="1515" spans="1:18" ht="25" customHeight="1">
      <c r="A1515" s="12">
        <v>38</v>
      </c>
      <c r="B1515" s="8" t="s">
        <v>2066</v>
      </c>
      <c r="C1515" s="8" t="s">
        <v>720</v>
      </c>
      <c r="D1515" s="8" t="s">
        <v>32</v>
      </c>
      <c r="E1515" s="8">
        <v>1</v>
      </c>
      <c r="F1515" s="11">
        <v>0.3333333333333333</v>
      </c>
      <c r="G1515" s="8">
        <v>1</v>
      </c>
      <c r="H1515" s="8">
        <v>1</v>
      </c>
      <c r="I1515" s="8">
        <v>0</v>
      </c>
      <c r="J1515" s="8">
        <v>0</v>
      </c>
      <c r="K1515" s="8">
        <v>2</v>
      </c>
      <c r="L1515" s="8">
        <v>1</v>
      </c>
      <c r="M1515" s="8">
        <v>0</v>
      </c>
      <c r="N1515" s="8" t="s">
        <v>791</v>
      </c>
      <c r="O1515" s="8">
        <v>98</v>
      </c>
      <c r="P1515" s="8" t="s">
        <v>2165</v>
      </c>
      <c r="Q1515" s="8" t="s">
        <v>2166</v>
      </c>
      <c r="R1515" s="8">
        <v>77</v>
      </c>
    </row>
    <row r="1516" spans="1:18" ht="25" customHeight="1">
      <c r="A1516" s="12">
        <v>39</v>
      </c>
      <c r="B1516" s="8" t="s">
        <v>2066</v>
      </c>
      <c r="C1516" s="8" t="s">
        <v>716</v>
      </c>
      <c r="D1516" s="8" t="s">
        <v>51</v>
      </c>
      <c r="E1516" s="8">
        <v>3</v>
      </c>
      <c r="F1516" s="11">
        <v>0.04054054054054054</v>
      </c>
      <c r="G1516" s="8">
        <v>2</v>
      </c>
      <c r="H1516" s="11">
        <v>0.6666666666666666</v>
      </c>
      <c r="I1516" s="8">
        <v>0</v>
      </c>
      <c r="J1516" s="8">
        <v>0</v>
      </c>
      <c r="K1516" s="11">
        <v>1.333333333333333</v>
      </c>
      <c r="L1516" s="11">
        <v>0.3333333333333333</v>
      </c>
      <c r="M1516" s="11">
        <v>0.6666666666666666</v>
      </c>
      <c r="N1516" s="8" t="s">
        <v>801</v>
      </c>
      <c r="O1516" s="11">
        <v>75.3</v>
      </c>
      <c r="P1516" s="8" t="s">
        <v>2179</v>
      </c>
      <c r="Q1516" s="8" t="s">
        <v>2168</v>
      </c>
      <c r="R1516" s="8">
        <v>78</v>
      </c>
    </row>
    <row r="1517" spans="1:18" ht="25" customHeight="1">
      <c r="A1517" s="12">
        <v>40</v>
      </c>
      <c r="B1517" s="8" t="s">
        <v>2066</v>
      </c>
      <c r="C1517" s="8" t="s">
        <v>716</v>
      </c>
      <c r="D1517" s="8" t="s">
        <v>65</v>
      </c>
      <c r="E1517" s="8">
        <v>1</v>
      </c>
      <c r="F1517" s="11">
        <v>0.01351351351351351</v>
      </c>
      <c r="G1517" s="8">
        <v>1</v>
      </c>
      <c r="H1517" s="8">
        <v>1</v>
      </c>
      <c r="I1517" s="8">
        <v>0</v>
      </c>
      <c r="J1517" s="8">
        <v>0</v>
      </c>
      <c r="K1517" s="8">
        <v>0</v>
      </c>
      <c r="L1517" s="8">
        <v>0</v>
      </c>
      <c r="M1517" s="8">
        <v>1</v>
      </c>
      <c r="N1517" s="8" t="s">
        <v>791</v>
      </c>
      <c r="O1517" s="8">
        <v>100</v>
      </c>
      <c r="P1517" s="8" t="s">
        <v>2165</v>
      </c>
      <c r="Q1517" s="8" t="s">
        <v>2166</v>
      </c>
      <c r="R1517" s="8">
        <v>80</v>
      </c>
    </row>
    <row r="1518" spans="1:18" ht="25" customHeight="1">
      <c r="A1518" s="12">
        <v>41</v>
      </c>
      <c r="B1518" s="8" t="s">
        <v>2066</v>
      </c>
      <c r="C1518" s="8" t="s">
        <v>716</v>
      </c>
      <c r="D1518" s="8" t="s">
        <v>43</v>
      </c>
      <c r="E1518" s="8">
        <v>2</v>
      </c>
      <c r="F1518" s="11">
        <v>0.02702702702702703</v>
      </c>
      <c r="G1518" s="8">
        <v>2</v>
      </c>
      <c r="H1518" s="8">
        <v>1</v>
      </c>
      <c r="I1518" s="8">
        <v>0</v>
      </c>
      <c r="J1518" s="8">
        <v>0</v>
      </c>
      <c r="K1518" s="11">
        <v>0.5</v>
      </c>
      <c r="L1518" s="11">
        <v>0.5</v>
      </c>
      <c r="M1518" s="11">
        <v>0.5</v>
      </c>
      <c r="N1518" s="8" t="s">
        <v>791</v>
      </c>
      <c r="O1518" s="11">
        <v>99.5</v>
      </c>
      <c r="P1518" s="8" t="s">
        <v>2165</v>
      </c>
      <c r="Q1518" s="8" t="s">
        <v>2166</v>
      </c>
      <c r="R1518" s="8">
        <v>81</v>
      </c>
    </row>
    <row r="1519" spans="1:18" ht="25" customHeight="1">
      <c r="A1519" s="12">
        <v>42</v>
      </c>
      <c r="B1519" s="8" t="s">
        <v>2066</v>
      </c>
      <c r="C1519" s="8" t="s">
        <v>716</v>
      </c>
      <c r="D1519" s="8" t="s">
        <v>49</v>
      </c>
      <c r="E1519" s="8">
        <v>1</v>
      </c>
      <c r="F1519" s="11">
        <v>0.01351351351351351</v>
      </c>
      <c r="G1519" s="8">
        <v>1</v>
      </c>
      <c r="H1519" s="8">
        <v>1</v>
      </c>
      <c r="I1519" s="8">
        <v>0</v>
      </c>
      <c r="J1519" s="8">
        <v>0</v>
      </c>
      <c r="K1519" s="8">
        <v>0</v>
      </c>
      <c r="L1519" s="8">
        <v>0</v>
      </c>
      <c r="M1519" s="8">
        <v>1</v>
      </c>
      <c r="N1519" s="8" t="s">
        <v>791</v>
      </c>
      <c r="O1519" s="8">
        <v>100</v>
      </c>
      <c r="P1519" s="8" t="s">
        <v>2165</v>
      </c>
      <c r="Q1519" s="8" t="s">
        <v>2166</v>
      </c>
      <c r="R1519" s="8">
        <v>83</v>
      </c>
    </row>
    <row r="1520" spans="1:18" ht="25" customHeight="1">
      <c r="A1520" s="12">
        <v>43</v>
      </c>
      <c r="B1520" s="8" t="s">
        <v>2066</v>
      </c>
      <c r="C1520" s="8" t="s">
        <v>706</v>
      </c>
      <c r="D1520" s="8" t="s">
        <v>30</v>
      </c>
      <c r="E1520" s="8">
        <v>2</v>
      </c>
      <c r="F1520" s="11">
        <v>0.6666666666666666</v>
      </c>
      <c r="G1520" s="8">
        <v>2</v>
      </c>
      <c r="H1520" s="8">
        <v>1</v>
      </c>
      <c r="I1520" s="8">
        <v>0</v>
      </c>
      <c r="J1520" s="8">
        <v>0</v>
      </c>
      <c r="K1520" s="11">
        <v>1.5</v>
      </c>
      <c r="L1520" s="8">
        <v>1</v>
      </c>
      <c r="M1520" s="8">
        <v>0</v>
      </c>
      <c r="N1520" s="8" t="s">
        <v>791</v>
      </c>
      <c r="O1520" s="11">
        <v>98.5</v>
      </c>
      <c r="P1520" s="8" t="s">
        <v>2165</v>
      </c>
      <c r="Q1520" s="8" t="s">
        <v>2166</v>
      </c>
      <c r="R1520" s="8">
        <v>84</v>
      </c>
    </row>
    <row r="1521" spans="1:18" ht="25" customHeight="1">
      <c r="A1521" s="12">
        <v>44</v>
      </c>
      <c r="B1521" s="8" t="s">
        <v>2066</v>
      </c>
      <c r="C1521" s="8" t="s">
        <v>716</v>
      </c>
      <c r="D1521" s="8" t="s">
        <v>54</v>
      </c>
      <c r="E1521" s="8">
        <v>1</v>
      </c>
      <c r="F1521" s="11">
        <v>0.01351351351351351</v>
      </c>
      <c r="G1521" s="8">
        <v>1</v>
      </c>
      <c r="H1521" s="8">
        <v>1</v>
      </c>
      <c r="I1521" s="8">
        <v>0</v>
      </c>
      <c r="J1521" s="8">
        <v>0</v>
      </c>
      <c r="K1521" s="8">
        <v>3</v>
      </c>
      <c r="L1521" s="8">
        <v>0</v>
      </c>
      <c r="M1521" s="8">
        <v>1</v>
      </c>
      <c r="N1521" s="8" t="s">
        <v>791</v>
      </c>
      <c r="O1521" s="8">
        <v>97</v>
      </c>
      <c r="P1521" s="8" t="s">
        <v>2165</v>
      </c>
      <c r="Q1521" s="8" t="s">
        <v>2166</v>
      </c>
      <c r="R1521" s="8">
        <v>85</v>
      </c>
    </row>
    <row r="1522" spans="1:18" ht="25" customHeight="1">
      <c r="A1522" s="12">
        <v>45</v>
      </c>
      <c r="B1522" s="8" t="s">
        <v>2066</v>
      </c>
      <c r="C1522" s="8" t="s">
        <v>716</v>
      </c>
      <c r="D1522" s="8" t="s">
        <v>58</v>
      </c>
      <c r="E1522" s="8">
        <v>3</v>
      </c>
      <c r="F1522" s="11">
        <v>0.04054054054054054</v>
      </c>
      <c r="G1522" s="8">
        <v>3</v>
      </c>
      <c r="H1522" s="8">
        <v>1</v>
      </c>
      <c r="I1522" s="8">
        <v>0</v>
      </c>
      <c r="J1522" s="8">
        <v>0</v>
      </c>
      <c r="K1522" s="11">
        <v>0.3333333333333333</v>
      </c>
      <c r="L1522" s="11">
        <v>0.3333333333333333</v>
      </c>
      <c r="M1522" s="11">
        <v>0.6666666666666666</v>
      </c>
      <c r="N1522" s="8" t="s">
        <v>801</v>
      </c>
      <c r="O1522" s="11">
        <v>99.7</v>
      </c>
      <c r="P1522" s="8" t="s">
        <v>2169</v>
      </c>
      <c r="Q1522" s="8" t="s">
        <v>2168</v>
      </c>
      <c r="R1522" s="8">
        <v>86</v>
      </c>
    </row>
    <row r="1523" spans="1:18" ht="25" customHeight="1">
      <c r="A1523" s="12">
        <v>46</v>
      </c>
      <c r="B1523" s="8" t="s">
        <v>2066</v>
      </c>
      <c r="C1523" s="8" t="s">
        <v>716</v>
      </c>
      <c r="D1523" s="8" t="s">
        <v>62</v>
      </c>
      <c r="E1523" s="8">
        <v>2</v>
      </c>
      <c r="F1523" s="11">
        <v>0.02702702702702703</v>
      </c>
      <c r="G1523" s="8">
        <v>0</v>
      </c>
      <c r="H1523" s="8">
        <v>0</v>
      </c>
      <c r="I1523" s="8">
        <v>1</v>
      </c>
      <c r="J1523" s="11">
        <v>0.5</v>
      </c>
      <c r="K1523" s="11">
        <v>18.5</v>
      </c>
      <c r="L1523" s="8">
        <v>0</v>
      </c>
      <c r="M1523" s="11">
        <v>0.5</v>
      </c>
      <c r="N1523" s="8" t="s">
        <v>791</v>
      </c>
      <c r="O1523" s="8">
        <v>10</v>
      </c>
      <c r="P1523" s="8" t="s">
        <v>2161</v>
      </c>
      <c r="Q1523" s="8" t="s">
        <v>2162</v>
      </c>
      <c r="R1523" s="8">
        <v>89</v>
      </c>
    </row>
    <row r="1524" spans="1:18" ht="25" customHeight="1">
      <c r="A1524" s="12">
        <v>47</v>
      </c>
      <c r="B1524" s="8" t="s">
        <v>2066</v>
      </c>
      <c r="C1524" s="8" t="s">
        <v>711</v>
      </c>
      <c r="D1524" s="8" t="s">
        <v>37</v>
      </c>
      <c r="E1524" s="8">
        <v>1</v>
      </c>
      <c r="F1524" s="11">
        <v>0.5</v>
      </c>
      <c r="G1524" s="8">
        <v>0</v>
      </c>
      <c r="H1524" s="8">
        <v>0</v>
      </c>
      <c r="I1524" s="8">
        <v>0</v>
      </c>
      <c r="J1524" s="8">
        <v>0</v>
      </c>
      <c r="K1524" s="8">
        <v>5</v>
      </c>
      <c r="L1524" s="8">
        <v>0</v>
      </c>
      <c r="M1524" s="8">
        <v>0</v>
      </c>
      <c r="N1524" s="8" t="s">
        <v>791</v>
      </c>
      <c r="O1524" s="8">
        <v>25</v>
      </c>
      <c r="P1524" s="8" t="s">
        <v>2165</v>
      </c>
      <c r="Q1524" s="8" t="s">
        <v>2166</v>
      </c>
      <c r="R1524" s="8">
        <v>91</v>
      </c>
    </row>
    <row r="1525" spans="1:18" ht="25" customHeight="1">
      <c r="A1525" s="12">
        <v>48</v>
      </c>
      <c r="B1525" s="8" t="s">
        <v>2066</v>
      </c>
      <c r="C1525" s="8" t="s">
        <v>716</v>
      </c>
      <c r="D1525" s="8" t="s">
        <v>47</v>
      </c>
      <c r="E1525" s="8">
        <v>2</v>
      </c>
      <c r="F1525" s="11">
        <v>0.02702702702702703</v>
      </c>
      <c r="G1525" s="8">
        <v>1</v>
      </c>
      <c r="H1525" s="11">
        <v>0.5</v>
      </c>
      <c r="I1525" s="8">
        <v>1</v>
      </c>
      <c r="J1525" s="11">
        <v>0.5</v>
      </c>
      <c r="K1525" s="8">
        <v>15</v>
      </c>
      <c r="L1525" s="8">
        <v>0</v>
      </c>
      <c r="M1525" s="11">
        <v>0.5</v>
      </c>
      <c r="N1525" s="8" t="s">
        <v>791</v>
      </c>
      <c r="O1525" s="8">
        <v>45</v>
      </c>
      <c r="P1525" s="8" t="s">
        <v>2161</v>
      </c>
      <c r="Q1525" s="8" t="s">
        <v>2162</v>
      </c>
      <c r="R1525" s="8">
        <v>92</v>
      </c>
    </row>
    <row r="1526" spans="1:18" ht="25" customHeight="1">
      <c r="A1526" s="12">
        <v>49</v>
      </c>
      <c r="B1526" s="8" t="s">
        <v>2066</v>
      </c>
      <c r="C1526" s="8" t="s">
        <v>716</v>
      </c>
      <c r="D1526" s="8" t="s">
        <v>55</v>
      </c>
      <c r="E1526" s="8">
        <v>1</v>
      </c>
      <c r="F1526" s="11">
        <v>0.01351351351351351</v>
      </c>
      <c r="G1526" s="8">
        <v>0</v>
      </c>
      <c r="H1526" s="8">
        <v>0</v>
      </c>
      <c r="I1526" s="8">
        <v>0</v>
      </c>
      <c r="J1526" s="8">
        <v>0</v>
      </c>
      <c r="K1526" s="8">
        <v>9</v>
      </c>
      <c r="L1526" s="8">
        <v>1</v>
      </c>
      <c r="M1526" s="8">
        <v>0</v>
      </c>
      <c r="N1526" s="8" t="s">
        <v>791</v>
      </c>
      <c r="O1526" s="8">
        <v>21</v>
      </c>
      <c r="P1526" s="8" t="s">
        <v>2165</v>
      </c>
      <c r="Q1526" s="8" t="s">
        <v>2166</v>
      </c>
      <c r="R1526" s="8">
        <v>94</v>
      </c>
    </row>
    <row r="1527" spans="1:18" ht="25" customHeight="1">
      <c r="A1527" s="12">
        <v>50</v>
      </c>
      <c r="B1527" s="8" t="s">
        <v>2066</v>
      </c>
      <c r="C1527" s="8" t="s">
        <v>716</v>
      </c>
      <c r="D1527" s="8" t="s">
        <v>64</v>
      </c>
      <c r="E1527" s="8">
        <v>1</v>
      </c>
      <c r="F1527" s="11">
        <v>0.01351351351351351</v>
      </c>
      <c r="G1527" s="8">
        <v>1</v>
      </c>
      <c r="H1527" s="8">
        <v>1</v>
      </c>
      <c r="I1527" s="8">
        <v>0</v>
      </c>
      <c r="J1527" s="8">
        <v>0</v>
      </c>
      <c r="K1527" s="8">
        <v>1</v>
      </c>
      <c r="L1527" s="8">
        <v>0</v>
      </c>
      <c r="M1527" s="8">
        <v>1</v>
      </c>
      <c r="N1527" s="8" t="s">
        <v>791</v>
      </c>
      <c r="O1527" s="8">
        <v>99</v>
      </c>
      <c r="P1527" s="8" t="s">
        <v>2165</v>
      </c>
      <c r="Q1527" s="8" t="s">
        <v>2166</v>
      </c>
      <c r="R1527" s="8">
        <v>95</v>
      </c>
    </row>
    <row r="1528" spans="1:18" ht="25" customHeight="1">
      <c r="A1528" s="12">
        <v>51</v>
      </c>
      <c r="B1528" s="8" t="s">
        <v>2066</v>
      </c>
      <c r="C1528" s="8" t="s">
        <v>716</v>
      </c>
      <c r="D1528" s="8" t="s">
        <v>50</v>
      </c>
      <c r="E1528" s="8">
        <v>1</v>
      </c>
      <c r="F1528" s="11">
        <v>0.01351351351351351</v>
      </c>
      <c r="G1528" s="8">
        <v>1</v>
      </c>
      <c r="H1528" s="8">
        <v>1</v>
      </c>
      <c r="I1528" s="8">
        <v>0</v>
      </c>
      <c r="J1528" s="8">
        <v>0</v>
      </c>
      <c r="K1528" s="8">
        <v>3</v>
      </c>
      <c r="L1528" s="8">
        <v>0</v>
      </c>
      <c r="M1528" s="8">
        <v>1</v>
      </c>
      <c r="N1528" s="8" t="s">
        <v>791</v>
      </c>
      <c r="O1528" s="8">
        <v>97</v>
      </c>
      <c r="P1528" s="8" t="s">
        <v>2165</v>
      </c>
      <c r="Q1528" s="8" t="s">
        <v>2166</v>
      </c>
      <c r="R1528" s="8">
        <v>96</v>
      </c>
    </row>
    <row r="1529" spans="1:18" ht="25" customHeight="1">
      <c r="A1529" s="12">
        <v>52</v>
      </c>
      <c r="B1529" s="8" t="s">
        <v>2066</v>
      </c>
      <c r="C1529" s="8" t="s">
        <v>716</v>
      </c>
      <c r="D1529" s="8" t="s">
        <v>57</v>
      </c>
      <c r="E1529" s="8">
        <v>1</v>
      </c>
      <c r="F1529" s="11">
        <v>0.01351351351351351</v>
      </c>
      <c r="G1529" s="8">
        <v>0</v>
      </c>
      <c r="H1529" s="8">
        <v>0</v>
      </c>
      <c r="I1529" s="8">
        <v>0</v>
      </c>
      <c r="J1529" s="8">
        <v>0</v>
      </c>
      <c r="K1529" s="8">
        <v>13</v>
      </c>
      <c r="L1529" s="8">
        <v>0</v>
      </c>
      <c r="M1529" s="8">
        <v>1</v>
      </c>
      <c r="N1529" s="8" t="s">
        <v>791</v>
      </c>
      <c r="O1529" s="8">
        <v>20</v>
      </c>
      <c r="P1529" s="8" t="s">
        <v>2165</v>
      </c>
      <c r="Q1529" s="8" t="s">
        <v>2166</v>
      </c>
      <c r="R1529" s="8">
        <v>97</v>
      </c>
    </row>
    <row r="1530" spans="1:18" ht="25" customHeight="1">
      <c r="A1530" s="12">
        <v>53</v>
      </c>
      <c r="B1530" s="8" t="s">
        <v>2067</v>
      </c>
      <c r="C1530" s="8" t="s">
        <v>716</v>
      </c>
      <c r="D1530" s="8" t="s">
        <v>60</v>
      </c>
      <c r="E1530" s="8">
        <v>3</v>
      </c>
      <c r="F1530" s="11">
        <v>0.07692307692307693</v>
      </c>
      <c r="G1530" s="8">
        <v>2</v>
      </c>
      <c r="H1530" s="11">
        <v>0.6666666666666666</v>
      </c>
      <c r="I1530" s="8">
        <v>0</v>
      </c>
      <c r="J1530" s="8">
        <v>0</v>
      </c>
      <c r="K1530" s="11">
        <v>3.333333333333333</v>
      </c>
      <c r="L1530" s="11">
        <v>0.3333333333333333</v>
      </c>
      <c r="M1530" s="11">
        <v>0.6666666666666666</v>
      </c>
      <c r="N1530" s="8" t="s">
        <v>801</v>
      </c>
      <c r="O1530" s="11">
        <v>73.3</v>
      </c>
      <c r="P1530" s="8" t="s">
        <v>2179</v>
      </c>
      <c r="Q1530" s="8" t="s">
        <v>2168</v>
      </c>
      <c r="R1530" s="8">
        <v>98</v>
      </c>
    </row>
    <row r="1531" spans="1:18" ht="25" customHeight="1">
      <c r="A1531" s="12">
        <v>54</v>
      </c>
      <c r="B1531" s="8" t="s">
        <v>2067</v>
      </c>
      <c r="C1531" s="8" t="s">
        <v>706</v>
      </c>
      <c r="D1531" s="8" t="s">
        <v>60</v>
      </c>
      <c r="E1531" s="8">
        <v>2</v>
      </c>
      <c r="F1531" s="11">
        <v>0.1333333333333333</v>
      </c>
      <c r="G1531" s="8">
        <v>1</v>
      </c>
      <c r="H1531" s="11">
        <v>0.5</v>
      </c>
      <c r="I1531" s="8">
        <v>0</v>
      </c>
      <c r="J1531" s="8">
        <v>0</v>
      </c>
      <c r="K1531" s="8">
        <v>6</v>
      </c>
      <c r="L1531" s="11">
        <v>0.5</v>
      </c>
      <c r="M1531" s="11">
        <v>0.5</v>
      </c>
      <c r="N1531" s="8" t="s">
        <v>791</v>
      </c>
      <c r="O1531" s="8">
        <v>59</v>
      </c>
      <c r="P1531" s="8" t="s">
        <v>2165</v>
      </c>
      <c r="Q1531" s="8" t="s">
        <v>2166</v>
      </c>
      <c r="R1531" s="8">
        <v>99</v>
      </c>
    </row>
    <row r="1532" spans="1:18" ht="25" customHeight="1">
      <c r="A1532" s="12">
        <v>55</v>
      </c>
      <c r="B1532" s="8" t="s">
        <v>2067</v>
      </c>
      <c r="C1532" s="8" t="s">
        <v>711</v>
      </c>
      <c r="D1532" s="8" t="s">
        <v>60</v>
      </c>
      <c r="E1532" s="8">
        <v>2</v>
      </c>
      <c r="F1532" s="11">
        <v>0.08333333333333333</v>
      </c>
      <c r="G1532" s="8">
        <v>0</v>
      </c>
      <c r="H1532" s="8">
        <v>0</v>
      </c>
      <c r="I1532" s="8">
        <v>1</v>
      </c>
      <c r="J1532" s="11">
        <v>0.5</v>
      </c>
      <c r="K1532" s="8">
        <v>14</v>
      </c>
      <c r="L1532" s="11">
        <v>0.5</v>
      </c>
      <c r="M1532" s="11">
        <v>0.5</v>
      </c>
      <c r="N1532" s="8" t="s">
        <v>791</v>
      </c>
      <c r="O1532" s="8">
        <v>10</v>
      </c>
      <c r="P1532" s="8" t="s">
        <v>2161</v>
      </c>
      <c r="Q1532" s="8" t="s">
        <v>2162</v>
      </c>
      <c r="R1532" s="8">
        <v>103</v>
      </c>
    </row>
    <row r="1533" spans="1:18" ht="25" customHeight="1">
      <c r="A1533" s="12">
        <v>56</v>
      </c>
      <c r="B1533" s="8" t="s">
        <v>2067</v>
      </c>
      <c r="C1533" s="8" t="s">
        <v>706</v>
      </c>
      <c r="D1533" s="8" t="s">
        <v>63</v>
      </c>
      <c r="E1533" s="8">
        <v>2</v>
      </c>
      <c r="F1533" s="11">
        <v>0.1333333333333333</v>
      </c>
      <c r="G1533" s="8">
        <v>0</v>
      </c>
      <c r="H1533" s="8">
        <v>0</v>
      </c>
      <c r="I1533" s="8">
        <v>1</v>
      </c>
      <c r="J1533" s="11">
        <v>0.5</v>
      </c>
      <c r="K1533" s="11">
        <v>18.5</v>
      </c>
      <c r="L1533" s="8">
        <v>0</v>
      </c>
      <c r="M1533" s="8">
        <v>1</v>
      </c>
      <c r="N1533" s="8" t="s">
        <v>791</v>
      </c>
      <c r="O1533" s="8">
        <v>10</v>
      </c>
      <c r="P1533" s="8" t="s">
        <v>2161</v>
      </c>
      <c r="Q1533" s="8" t="s">
        <v>2162</v>
      </c>
      <c r="R1533" s="8">
        <v>105</v>
      </c>
    </row>
    <row r="1534" spans="1:18" ht="25" customHeight="1">
      <c r="A1534" s="12">
        <v>57</v>
      </c>
      <c r="B1534" s="8" t="s">
        <v>2067</v>
      </c>
      <c r="C1534" s="8" t="s">
        <v>716</v>
      </c>
      <c r="D1534" s="8" t="s">
        <v>63</v>
      </c>
      <c r="E1534" s="8">
        <v>3</v>
      </c>
      <c r="F1534" s="11">
        <v>0.07692307692307693</v>
      </c>
      <c r="G1534" s="8">
        <v>2</v>
      </c>
      <c r="H1534" s="11">
        <v>0.6666666666666666</v>
      </c>
      <c r="I1534" s="8">
        <v>0</v>
      </c>
      <c r="J1534" s="8">
        <v>0</v>
      </c>
      <c r="K1534" s="11">
        <v>3.333333333333333</v>
      </c>
      <c r="L1534" s="8">
        <v>0</v>
      </c>
      <c r="M1534" s="8">
        <v>1</v>
      </c>
      <c r="N1534" s="8" t="s">
        <v>801</v>
      </c>
      <c r="O1534" s="11">
        <v>73.3</v>
      </c>
      <c r="P1534" s="8" t="s">
        <v>2179</v>
      </c>
      <c r="Q1534" s="8" t="s">
        <v>2168</v>
      </c>
      <c r="R1534" s="8">
        <v>106</v>
      </c>
    </row>
    <row r="1535" spans="1:18" ht="25" customHeight="1">
      <c r="A1535" s="12">
        <v>58</v>
      </c>
      <c r="B1535" s="8" t="s">
        <v>2067</v>
      </c>
      <c r="C1535" s="8" t="s">
        <v>720</v>
      </c>
      <c r="D1535" s="8" t="s">
        <v>63</v>
      </c>
      <c r="E1535" s="8">
        <v>1</v>
      </c>
      <c r="F1535" s="11">
        <v>0.08333333333333333</v>
      </c>
      <c r="G1535" s="8">
        <v>0</v>
      </c>
      <c r="H1535" s="8">
        <v>0</v>
      </c>
      <c r="I1535" s="8">
        <v>0</v>
      </c>
      <c r="J1535" s="8">
        <v>0</v>
      </c>
      <c r="K1535" s="8">
        <v>13</v>
      </c>
      <c r="L1535" s="8">
        <v>0</v>
      </c>
      <c r="M1535" s="8">
        <v>1</v>
      </c>
      <c r="N1535" s="8" t="s">
        <v>791</v>
      </c>
      <c r="O1535" s="8">
        <v>20</v>
      </c>
      <c r="P1535" s="8" t="s">
        <v>2165</v>
      </c>
      <c r="Q1535" s="8" t="s">
        <v>2166</v>
      </c>
      <c r="R1535" s="8">
        <v>110</v>
      </c>
    </row>
    <row r="1536" spans="1:18" ht="25" customHeight="1">
      <c r="A1536" s="12">
        <v>59</v>
      </c>
      <c r="B1536" s="8" t="s">
        <v>2067</v>
      </c>
      <c r="C1536" s="8" t="s">
        <v>716</v>
      </c>
      <c r="D1536" s="8" t="s">
        <v>48</v>
      </c>
      <c r="E1536" s="8">
        <v>3</v>
      </c>
      <c r="F1536" s="11">
        <v>0.07692307692307693</v>
      </c>
      <c r="G1536" s="8">
        <v>1</v>
      </c>
      <c r="H1536" s="11">
        <v>0.3333333333333333</v>
      </c>
      <c r="I1536" s="8">
        <v>0</v>
      </c>
      <c r="J1536" s="8">
        <v>0</v>
      </c>
      <c r="K1536" s="8">
        <v>7</v>
      </c>
      <c r="L1536" s="11">
        <v>0.3333333333333333</v>
      </c>
      <c r="M1536" s="11">
        <v>0.6666666666666666</v>
      </c>
      <c r="N1536" s="8" t="s">
        <v>801</v>
      </c>
      <c r="O1536" s="11">
        <v>46.3</v>
      </c>
      <c r="P1536" s="8" t="s">
        <v>2167</v>
      </c>
      <c r="Q1536" s="8" t="s">
        <v>2168</v>
      </c>
      <c r="R1536" s="8">
        <v>111</v>
      </c>
    </row>
    <row r="1537" spans="1:18" ht="25" customHeight="1">
      <c r="A1537" s="12">
        <v>60</v>
      </c>
      <c r="B1537" s="8" t="s">
        <v>2067</v>
      </c>
      <c r="C1537" s="8" t="s">
        <v>711</v>
      </c>
      <c r="D1537" s="8" t="s">
        <v>48</v>
      </c>
      <c r="E1537" s="8">
        <v>1</v>
      </c>
      <c r="F1537" s="11">
        <v>0.04166666666666666</v>
      </c>
      <c r="G1537" s="8">
        <v>1</v>
      </c>
      <c r="H1537" s="8">
        <v>1</v>
      </c>
      <c r="I1537" s="8">
        <v>0</v>
      </c>
      <c r="J1537" s="8">
        <v>0</v>
      </c>
      <c r="K1537" s="8">
        <v>-8</v>
      </c>
      <c r="L1537" s="8">
        <v>0</v>
      </c>
      <c r="M1537" s="8">
        <v>1</v>
      </c>
      <c r="N1537" s="8" t="s">
        <v>791</v>
      </c>
      <c r="O1537" s="8">
        <v>100</v>
      </c>
      <c r="P1537" s="8" t="s">
        <v>2165</v>
      </c>
      <c r="Q1537" s="8" t="s">
        <v>2166</v>
      </c>
      <c r="R1537" s="8">
        <v>112</v>
      </c>
    </row>
    <row r="1538" spans="1:18" ht="25" customHeight="1">
      <c r="A1538" s="12">
        <v>61</v>
      </c>
      <c r="B1538" s="8" t="s">
        <v>2067</v>
      </c>
      <c r="C1538" s="8" t="s">
        <v>716</v>
      </c>
      <c r="D1538" s="8" t="s">
        <v>68</v>
      </c>
      <c r="E1538" s="8">
        <v>2</v>
      </c>
      <c r="F1538" s="11">
        <v>0.05128205128205128</v>
      </c>
      <c r="G1538" s="8">
        <v>1</v>
      </c>
      <c r="H1538" s="11">
        <v>0.5</v>
      </c>
      <c r="I1538" s="8">
        <v>0</v>
      </c>
      <c r="J1538" s="8">
        <v>0</v>
      </c>
      <c r="K1538" s="8">
        <v>5</v>
      </c>
      <c r="L1538" s="11">
        <v>0.5</v>
      </c>
      <c r="M1538" s="11">
        <v>0.5</v>
      </c>
      <c r="N1538" s="8" t="s">
        <v>791</v>
      </c>
      <c r="O1538" s="8">
        <v>60</v>
      </c>
      <c r="P1538" s="8" t="s">
        <v>2165</v>
      </c>
      <c r="Q1538" s="8" t="s">
        <v>2166</v>
      </c>
      <c r="R1538" s="8">
        <v>115</v>
      </c>
    </row>
    <row r="1539" spans="1:18" ht="25" customHeight="1">
      <c r="A1539" s="12">
        <v>62</v>
      </c>
      <c r="B1539" s="8" t="s">
        <v>2067</v>
      </c>
      <c r="C1539" s="8" t="s">
        <v>711</v>
      </c>
      <c r="D1539" s="8" t="s">
        <v>68</v>
      </c>
      <c r="E1539" s="8">
        <v>1</v>
      </c>
      <c r="F1539" s="11">
        <v>0.04166666666666666</v>
      </c>
      <c r="G1539" s="8">
        <v>1</v>
      </c>
      <c r="H1539" s="8">
        <v>1</v>
      </c>
      <c r="I1539" s="8">
        <v>0</v>
      </c>
      <c r="J1539" s="8">
        <v>0</v>
      </c>
      <c r="K1539" s="8">
        <v>0</v>
      </c>
      <c r="L1539" s="8">
        <v>0</v>
      </c>
      <c r="M1539" s="8">
        <v>1</v>
      </c>
      <c r="N1539" s="8" t="s">
        <v>791</v>
      </c>
      <c r="O1539" s="8">
        <v>100</v>
      </c>
      <c r="P1539" s="8" t="s">
        <v>2165</v>
      </c>
      <c r="Q1539" s="8" t="s">
        <v>2166</v>
      </c>
      <c r="R1539" s="8">
        <v>117</v>
      </c>
    </row>
    <row r="1540" spans="1:18" ht="25" customHeight="1">
      <c r="A1540" s="12">
        <v>63</v>
      </c>
      <c r="B1540" s="8" t="s">
        <v>2067</v>
      </c>
      <c r="C1540" s="8" t="s">
        <v>706</v>
      </c>
      <c r="D1540" s="8" t="s">
        <v>68</v>
      </c>
      <c r="E1540" s="8">
        <v>1</v>
      </c>
      <c r="F1540" s="11">
        <v>0.06666666666666667</v>
      </c>
      <c r="G1540" s="8">
        <v>0</v>
      </c>
      <c r="H1540" s="8">
        <v>0</v>
      </c>
      <c r="I1540" s="8">
        <v>0</v>
      </c>
      <c r="J1540" s="8">
        <v>0</v>
      </c>
      <c r="K1540" s="8">
        <v>5</v>
      </c>
      <c r="L1540" s="8">
        <v>1</v>
      </c>
      <c r="M1540" s="8">
        <v>0</v>
      </c>
      <c r="N1540" s="8" t="s">
        <v>791</v>
      </c>
      <c r="O1540" s="8">
        <v>25</v>
      </c>
      <c r="P1540" s="8" t="s">
        <v>2165</v>
      </c>
      <c r="Q1540" s="8" t="s">
        <v>2166</v>
      </c>
      <c r="R1540" s="8">
        <v>118</v>
      </c>
    </row>
    <row r="1541" spans="1:18" ht="25" customHeight="1">
      <c r="A1541" s="12">
        <v>64</v>
      </c>
      <c r="B1541" s="8" t="s">
        <v>2067</v>
      </c>
      <c r="C1541" s="8" t="s">
        <v>711</v>
      </c>
      <c r="D1541" s="8" t="s">
        <v>44</v>
      </c>
      <c r="E1541" s="8">
        <v>2</v>
      </c>
      <c r="F1541" s="11">
        <v>0.08333333333333333</v>
      </c>
      <c r="G1541" s="8">
        <v>1</v>
      </c>
      <c r="H1541" s="11">
        <v>0.5</v>
      </c>
      <c r="I1541" s="8">
        <v>0</v>
      </c>
      <c r="J1541" s="8">
        <v>0</v>
      </c>
      <c r="K1541" s="11">
        <v>4.5</v>
      </c>
      <c r="L1541" s="8">
        <v>0</v>
      </c>
      <c r="M1541" s="8">
        <v>1</v>
      </c>
      <c r="N1541" s="8" t="s">
        <v>791</v>
      </c>
      <c r="O1541" s="11">
        <v>60.5</v>
      </c>
      <c r="P1541" s="8" t="s">
        <v>2165</v>
      </c>
      <c r="Q1541" s="8" t="s">
        <v>2166</v>
      </c>
      <c r="R1541" s="8">
        <v>119</v>
      </c>
    </row>
    <row r="1542" spans="1:18" ht="25" customHeight="1">
      <c r="A1542" s="12">
        <v>65</v>
      </c>
      <c r="B1542" s="8" t="s">
        <v>2067</v>
      </c>
      <c r="C1542" s="8" t="s">
        <v>716</v>
      </c>
      <c r="D1542" s="8" t="s">
        <v>34</v>
      </c>
      <c r="E1542" s="8">
        <v>2</v>
      </c>
      <c r="F1542" s="11">
        <v>0.05128205128205128</v>
      </c>
      <c r="G1542" s="8">
        <v>1</v>
      </c>
      <c r="H1542" s="11">
        <v>0.5</v>
      </c>
      <c r="I1542" s="8">
        <v>1</v>
      </c>
      <c r="J1542" s="11">
        <v>0.5</v>
      </c>
      <c r="K1542" s="8">
        <v>6</v>
      </c>
      <c r="L1542" s="11">
        <v>0.5</v>
      </c>
      <c r="M1542" s="11">
        <v>0.5</v>
      </c>
      <c r="N1542" s="8" t="s">
        <v>791</v>
      </c>
      <c r="O1542" s="8">
        <v>49</v>
      </c>
      <c r="P1542" s="8" t="s">
        <v>2161</v>
      </c>
      <c r="Q1542" s="8" t="s">
        <v>2162</v>
      </c>
      <c r="R1542" s="8">
        <v>122</v>
      </c>
    </row>
    <row r="1543" spans="1:18" ht="25" customHeight="1">
      <c r="A1543" s="12">
        <v>66</v>
      </c>
      <c r="B1543" s="8" t="s">
        <v>2067</v>
      </c>
      <c r="C1543" s="8" t="s">
        <v>711</v>
      </c>
      <c r="D1543" s="8" t="s">
        <v>34</v>
      </c>
      <c r="E1543" s="8">
        <v>1</v>
      </c>
      <c r="F1543" s="11">
        <v>0.04166666666666666</v>
      </c>
      <c r="G1543" s="8">
        <v>0</v>
      </c>
      <c r="H1543" s="8">
        <v>0</v>
      </c>
      <c r="I1543" s="8">
        <v>0</v>
      </c>
      <c r="J1543" s="8">
        <v>0</v>
      </c>
      <c r="K1543" s="8">
        <v>10</v>
      </c>
      <c r="L1543" s="8">
        <v>0</v>
      </c>
      <c r="M1543" s="8">
        <v>1</v>
      </c>
      <c r="N1543" s="8" t="s">
        <v>791</v>
      </c>
      <c r="O1543" s="8">
        <v>20</v>
      </c>
      <c r="P1543" s="8" t="s">
        <v>2165</v>
      </c>
      <c r="Q1543" s="8" t="s">
        <v>2166</v>
      </c>
      <c r="R1543" s="8">
        <v>123</v>
      </c>
    </row>
    <row r="1544" spans="1:18" ht="25" customHeight="1">
      <c r="A1544" s="12">
        <v>67</v>
      </c>
      <c r="B1544" s="8" t="s">
        <v>2067</v>
      </c>
      <c r="C1544" s="8" t="s">
        <v>711</v>
      </c>
      <c r="D1544" s="8" t="s">
        <v>79</v>
      </c>
      <c r="E1544" s="8">
        <v>2</v>
      </c>
      <c r="F1544" s="11">
        <v>0.08333333333333333</v>
      </c>
      <c r="G1544" s="8">
        <v>2</v>
      </c>
      <c r="H1544" s="8">
        <v>1</v>
      </c>
      <c r="I1544" s="8">
        <v>0</v>
      </c>
      <c r="J1544" s="8">
        <v>0</v>
      </c>
      <c r="K1544" s="8">
        <v>2</v>
      </c>
      <c r="L1544" s="8">
        <v>0</v>
      </c>
      <c r="M1544" s="8">
        <v>1</v>
      </c>
      <c r="N1544" s="8" t="s">
        <v>791</v>
      </c>
      <c r="O1544" s="8">
        <v>98</v>
      </c>
      <c r="P1544" s="8" t="s">
        <v>2165</v>
      </c>
      <c r="Q1544" s="8" t="s">
        <v>2166</v>
      </c>
      <c r="R1544" s="8">
        <v>125</v>
      </c>
    </row>
    <row r="1545" spans="1:18" ht="25" customHeight="1">
      <c r="A1545" s="12">
        <v>68</v>
      </c>
      <c r="B1545" s="8" t="s">
        <v>2067</v>
      </c>
      <c r="C1545" s="8" t="s">
        <v>720</v>
      </c>
      <c r="D1545" s="8" t="s">
        <v>79</v>
      </c>
      <c r="E1545" s="8">
        <v>2</v>
      </c>
      <c r="F1545" s="11">
        <v>0.1666666666666667</v>
      </c>
      <c r="G1545" s="8">
        <v>0</v>
      </c>
      <c r="H1545" s="8">
        <v>0</v>
      </c>
      <c r="I1545" s="8">
        <v>1</v>
      </c>
      <c r="J1545" s="11">
        <v>0.5</v>
      </c>
      <c r="K1545" s="11">
        <v>10.5</v>
      </c>
      <c r="L1545" s="11">
        <v>0.5</v>
      </c>
      <c r="M1545" s="11">
        <v>0.5</v>
      </c>
      <c r="N1545" s="8" t="s">
        <v>791</v>
      </c>
      <c r="O1545" s="8">
        <v>10</v>
      </c>
      <c r="P1545" s="8" t="s">
        <v>2161</v>
      </c>
      <c r="Q1545" s="8" t="s">
        <v>2162</v>
      </c>
      <c r="R1545" s="8">
        <v>126</v>
      </c>
    </row>
    <row r="1546" spans="1:18" ht="25" customHeight="1">
      <c r="A1546" s="12">
        <v>69</v>
      </c>
      <c r="B1546" s="8" t="s">
        <v>2067</v>
      </c>
      <c r="C1546" s="8" t="s">
        <v>716</v>
      </c>
      <c r="D1546" s="8" t="s">
        <v>56</v>
      </c>
      <c r="E1546" s="8">
        <v>1</v>
      </c>
      <c r="F1546" s="11">
        <v>0.02564102564102564</v>
      </c>
      <c r="G1546" s="8">
        <v>0</v>
      </c>
      <c r="H1546" s="8">
        <v>0</v>
      </c>
      <c r="I1546" s="8">
        <v>0</v>
      </c>
      <c r="J1546" s="8">
        <v>0</v>
      </c>
      <c r="K1546" s="8">
        <v>9</v>
      </c>
      <c r="L1546" s="8">
        <v>0</v>
      </c>
      <c r="M1546" s="8">
        <v>1</v>
      </c>
      <c r="N1546" s="8" t="s">
        <v>791</v>
      </c>
      <c r="O1546" s="8">
        <v>21</v>
      </c>
      <c r="P1546" s="8" t="s">
        <v>2165</v>
      </c>
      <c r="Q1546" s="8" t="s">
        <v>2166</v>
      </c>
      <c r="R1546" s="8">
        <v>128</v>
      </c>
    </row>
    <row r="1547" spans="1:18" ht="25" customHeight="1">
      <c r="A1547" s="12">
        <v>70</v>
      </c>
      <c r="B1547" s="8" t="s">
        <v>2067</v>
      </c>
      <c r="C1547" s="8" t="s">
        <v>711</v>
      </c>
      <c r="D1547" s="8" t="s">
        <v>56</v>
      </c>
      <c r="E1547" s="8">
        <v>1</v>
      </c>
      <c r="F1547" s="11">
        <v>0.04166666666666666</v>
      </c>
      <c r="G1547" s="8">
        <v>0</v>
      </c>
      <c r="H1547" s="8">
        <v>0</v>
      </c>
      <c r="I1547" s="8">
        <v>0</v>
      </c>
      <c r="J1547" s="8">
        <v>0</v>
      </c>
      <c r="K1547" s="8">
        <v>5</v>
      </c>
      <c r="L1547" s="8">
        <v>1</v>
      </c>
      <c r="M1547" s="8">
        <v>0</v>
      </c>
      <c r="N1547" s="8" t="s">
        <v>791</v>
      </c>
      <c r="O1547" s="8">
        <v>25</v>
      </c>
      <c r="P1547" s="8" t="s">
        <v>2165</v>
      </c>
      <c r="Q1547" s="8" t="s">
        <v>2166</v>
      </c>
      <c r="R1547" s="8">
        <v>129</v>
      </c>
    </row>
    <row r="1548" spans="1:18" ht="25" customHeight="1">
      <c r="A1548" s="12">
        <v>71</v>
      </c>
      <c r="B1548" s="8" t="s">
        <v>2067</v>
      </c>
      <c r="C1548" s="8" t="s">
        <v>706</v>
      </c>
      <c r="D1548" s="8" t="s">
        <v>56</v>
      </c>
      <c r="E1548" s="8">
        <v>1</v>
      </c>
      <c r="F1548" s="11">
        <v>0.06666666666666667</v>
      </c>
      <c r="G1548" s="8">
        <v>1</v>
      </c>
      <c r="H1548" s="8">
        <v>1</v>
      </c>
      <c r="I1548" s="8">
        <v>0</v>
      </c>
      <c r="J1548" s="8">
        <v>0</v>
      </c>
      <c r="K1548" s="8">
        <v>-2</v>
      </c>
      <c r="L1548" s="8">
        <v>1</v>
      </c>
      <c r="M1548" s="8">
        <v>0</v>
      </c>
      <c r="N1548" s="8" t="s">
        <v>791</v>
      </c>
      <c r="O1548" s="8">
        <v>100</v>
      </c>
      <c r="P1548" s="8" t="s">
        <v>2165</v>
      </c>
      <c r="Q1548" s="8" t="s">
        <v>2166</v>
      </c>
      <c r="R1548" s="8">
        <v>130</v>
      </c>
    </row>
    <row r="1549" spans="1:18" ht="25" customHeight="1">
      <c r="A1549" s="12">
        <v>72</v>
      </c>
      <c r="B1549" s="8" t="s">
        <v>2067</v>
      </c>
      <c r="C1549" s="8" t="s">
        <v>711</v>
      </c>
      <c r="D1549" s="8" t="s">
        <v>61</v>
      </c>
      <c r="E1549" s="8">
        <v>1</v>
      </c>
      <c r="F1549" s="11">
        <v>0.04166666666666666</v>
      </c>
      <c r="G1549" s="8">
        <v>0</v>
      </c>
      <c r="H1549" s="8">
        <v>0</v>
      </c>
      <c r="I1549" s="8">
        <v>0</v>
      </c>
      <c r="J1549" s="8">
        <v>0</v>
      </c>
      <c r="K1549" s="8">
        <v>11</v>
      </c>
      <c r="L1549" s="8">
        <v>0</v>
      </c>
      <c r="M1549" s="8">
        <v>1</v>
      </c>
      <c r="N1549" s="8" t="s">
        <v>791</v>
      </c>
      <c r="O1549" s="8">
        <v>20</v>
      </c>
      <c r="P1549" s="8" t="s">
        <v>2165</v>
      </c>
      <c r="Q1549" s="8" t="s">
        <v>2166</v>
      </c>
      <c r="R1549" s="8">
        <v>131</v>
      </c>
    </row>
    <row r="1550" spans="1:18" ht="25" customHeight="1">
      <c r="A1550" s="12">
        <v>73</v>
      </c>
      <c r="B1550" s="8" t="s">
        <v>2067</v>
      </c>
      <c r="C1550" s="8" t="s">
        <v>720</v>
      </c>
      <c r="D1550" s="8" t="s">
        <v>61</v>
      </c>
      <c r="E1550" s="8">
        <v>3</v>
      </c>
      <c r="F1550" s="11">
        <v>0.25</v>
      </c>
      <c r="G1550" s="8">
        <v>1</v>
      </c>
      <c r="H1550" s="11">
        <v>0.3333333333333333</v>
      </c>
      <c r="I1550" s="8">
        <v>0</v>
      </c>
      <c r="J1550" s="8">
        <v>0</v>
      </c>
      <c r="K1550" s="11">
        <v>4.333333333333333</v>
      </c>
      <c r="L1550" s="11">
        <v>0.6666666666666666</v>
      </c>
      <c r="M1550" s="11">
        <v>0.3333333333333333</v>
      </c>
      <c r="N1550" s="8" t="s">
        <v>801</v>
      </c>
      <c r="O1550" s="8">
        <v>49</v>
      </c>
      <c r="P1550" s="8" t="s">
        <v>2167</v>
      </c>
      <c r="Q1550" s="8" t="s">
        <v>2168</v>
      </c>
      <c r="R1550" s="8">
        <v>132</v>
      </c>
    </row>
    <row r="1551" spans="1:18" ht="25" customHeight="1">
      <c r="A1551" s="12">
        <v>74</v>
      </c>
      <c r="B1551" s="8" t="s">
        <v>2067</v>
      </c>
      <c r="C1551" s="8" t="s">
        <v>716</v>
      </c>
      <c r="D1551" s="8" t="s">
        <v>69</v>
      </c>
      <c r="E1551" s="8">
        <v>3</v>
      </c>
      <c r="F1551" s="11">
        <v>0.07692307692307693</v>
      </c>
      <c r="G1551" s="8">
        <v>3</v>
      </c>
      <c r="H1551" s="8">
        <v>1</v>
      </c>
      <c r="I1551" s="8">
        <v>0</v>
      </c>
      <c r="J1551" s="8">
        <v>0</v>
      </c>
      <c r="K1551" s="8">
        <v>2</v>
      </c>
      <c r="L1551" s="11">
        <v>0.6666666666666666</v>
      </c>
      <c r="M1551" s="11">
        <v>0.3333333333333333</v>
      </c>
      <c r="N1551" s="8" t="s">
        <v>801</v>
      </c>
      <c r="O1551" s="8">
        <v>98</v>
      </c>
      <c r="P1551" s="8" t="s">
        <v>2169</v>
      </c>
      <c r="Q1551" s="8" t="s">
        <v>2168</v>
      </c>
      <c r="R1551" s="8">
        <v>134</v>
      </c>
    </row>
    <row r="1552" spans="1:18" ht="25" customHeight="1">
      <c r="A1552" s="12">
        <v>75</v>
      </c>
      <c r="B1552" s="8" t="s">
        <v>2067</v>
      </c>
      <c r="C1552" s="8" t="s">
        <v>711</v>
      </c>
      <c r="D1552" s="8" t="s">
        <v>69</v>
      </c>
      <c r="E1552" s="8">
        <v>1</v>
      </c>
      <c r="F1552" s="11">
        <v>0.04166666666666666</v>
      </c>
      <c r="G1552" s="8">
        <v>1</v>
      </c>
      <c r="H1552" s="8">
        <v>1</v>
      </c>
      <c r="I1552" s="8">
        <v>0</v>
      </c>
      <c r="J1552" s="8">
        <v>0</v>
      </c>
      <c r="K1552" s="8">
        <v>2</v>
      </c>
      <c r="L1552" s="8">
        <v>1</v>
      </c>
      <c r="M1552" s="8">
        <v>0</v>
      </c>
      <c r="N1552" s="8" t="s">
        <v>791</v>
      </c>
      <c r="O1552" s="8">
        <v>98</v>
      </c>
      <c r="P1552" s="8" t="s">
        <v>2165</v>
      </c>
      <c r="Q1552" s="8" t="s">
        <v>2166</v>
      </c>
      <c r="R1552" s="8">
        <v>135</v>
      </c>
    </row>
    <row r="1553" spans="1:18" ht="25" customHeight="1">
      <c r="A1553" s="12">
        <v>76</v>
      </c>
      <c r="B1553" s="8" t="s">
        <v>2067</v>
      </c>
      <c r="C1553" s="8" t="s">
        <v>716</v>
      </c>
      <c r="D1553" s="8" t="s">
        <v>27</v>
      </c>
      <c r="E1553" s="8">
        <v>2</v>
      </c>
      <c r="F1553" s="11">
        <v>0.05128205128205128</v>
      </c>
      <c r="G1553" s="8">
        <v>2</v>
      </c>
      <c r="H1553" s="8">
        <v>1</v>
      </c>
      <c r="I1553" s="8">
        <v>0</v>
      </c>
      <c r="J1553" s="8">
        <v>0</v>
      </c>
      <c r="K1553" s="11">
        <v>1.5</v>
      </c>
      <c r="L1553" s="11">
        <v>0.5</v>
      </c>
      <c r="M1553" s="11">
        <v>0.5</v>
      </c>
      <c r="N1553" s="8" t="s">
        <v>791</v>
      </c>
      <c r="O1553" s="11">
        <v>98.5</v>
      </c>
      <c r="P1553" s="8" t="s">
        <v>2165</v>
      </c>
      <c r="Q1553" s="8" t="s">
        <v>2166</v>
      </c>
      <c r="R1553" s="8">
        <v>137</v>
      </c>
    </row>
    <row r="1554" spans="1:18" ht="25" customHeight="1">
      <c r="A1554" s="12">
        <v>77</v>
      </c>
      <c r="B1554" s="8" t="s">
        <v>2067</v>
      </c>
      <c r="C1554" s="8" t="s">
        <v>706</v>
      </c>
      <c r="D1554" s="8" t="s">
        <v>27</v>
      </c>
      <c r="E1554" s="8">
        <v>1</v>
      </c>
      <c r="F1554" s="11">
        <v>0.06666666666666667</v>
      </c>
      <c r="G1554" s="8">
        <v>0</v>
      </c>
      <c r="H1554" s="8">
        <v>0</v>
      </c>
      <c r="I1554" s="8">
        <v>0</v>
      </c>
      <c r="J1554" s="8">
        <v>0</v>
      </c>
      <c r="K1554" s="8">
        <v>1</v>
      </c>
      <c r="L1554" s="8">
        <v>0</v>
      </c>
      <c r="M1554" s="8">
        <v>0</v>
      </c>
      <c r="N1554" s="8" t="s">
        <v>791</v>
      </c>
      <c r="O1554" s="8">
        <v>29</v>
      </c>
      <c r="P1554" s="8" t="s">
        <v>2165</v>
      </c>
      <c r="Q1554" s="8" t="s">
        <v>2166</v>
      </c>
      <c r="R1554" s="8">
        <v>138</v>
      </c>
    </row>
    <row r="1555" spans="1:18" ht="25" customHeight="1">
      <c r="A1555" s="12">
        <v>78</v>
      </c>
      <c r="B1555" s="8" t="s">
        <v>2067</v>
      </c>
      <c r="C1555" s="8" t="s">
        <v>706</v>
      </c>
      <c r="D1555" s="8" t="s">
        <v>46</v>
      </c>
      <c r="E1555" s="8">
        <v>1</v>
      </c>
      <c r="F1555" s="11">
        <v>0.06666666666666667</v>
      </c>
      <c r="G1555" s="8">
        <v>1</v>
      </c>
      <c r="H1555" s="8">
        <v>1</v>
      </c>
      <c r="I1555" s="8">
        <v>0</v>
      </c>
      <c r="J1555" s="8">
        <v>0</v>
      </c>
      <c r="K1555" s="8">
        <v>0</v>
      </c>
      <c r="L1555" s="8">
        <v>0</v>
      </c>
      <c r="M1555" s="8">
        <v>1</v>
      </c>
      <c r="N1555" s="8" t="s">
        <v>791</v>
      </c>
      <c r="O1555" s="8">
        <v>100</v>
      </c>
      <c r="P1555" s="8" t="s">
        <v>2165</v>
      </c>
      <c r="Q1555" s="8" t="s">
        <v>2166</v>
      </c>
      <c r="R1555" s="8">
        <v>139</v>
      </c>
    </row>
    <row r="1556" spans="1:18" ht="25" customHeight="1">
      <c r="A1556" s="12">
        <v>79</v>
      </c>
      <c r="B1556" s="8" t="s">
        <v>2067</v>
      </c>
      <c r="C1556" s="8" t="s">
        <v>720</v>
      </c>
      <c r="D1556" s="8" t="s">
        <v>46</v>
      </c>
      <c r="E1556" s="8">
        <v>1</v>
      </c>
      <c r="F1556" s="11">
        <v>0.08333333333333333</v>
      </c>
      <c r="G1556" s="8">
        <v>1</v>
      </c>
      <c r="H1556" s="8">
        <v>1</v>
      </c>
      <c r="I1556" s="8">
        <v>0</v>
      </c>
      <c r="J1556" s="8">
        <v>0</v>
      </c>
      <c r="K1556" s="8">
        <v>-2</v>
      </c>
      <c r="L1556" s="8">
        <v>0</v>
      </c>
      <c r="M1556" s="8">
        <v>1</v>
      </c>
      <c r="N1556" s="8" t="s">
        <v>791</v>
      </c>
      <c r="O1556" s="8">
        <v>100</v>
      </c>
      <c r="P1556" s="8" t="s">
        <v>2165</v>
      </c>
      <c r="Q1556" s="8" t="s">
        <v>2166</v>
      </c>
      <c r="R1556" s="8">
        <v>140</v>
      </c>
    </row>
    <row r="1557" spans="1:18" ht="25" customHeight="1">
      <c r="A1557" s="12">
        <v>80</v>
      </c>
      <c r="B1557" s="8" t="s">
        <v>2067</v>
      </c>
      <c r="C1557" s="8" t="s">
        <v>716</v>
      </c>
      <c r="D1557" s="8" t="s">
        <v>49</v>
      </c>
      <c r="E1557" s="8">
        <v>1</v>
      </c>
      <c r="F1557" s="11">
        <v>0.02564102564102564</v>
      </c>
      <c r="G1557" s="8">
        <v>1</v>
      </c>
      <c r="H1557" s="8">
        <v>1</v>
      </c>
      <c r="I1557" s="8">
        <v>0</v>
      </c>
      <c r="J1557" s="8">
        <v>0</v>
      </c>
      <c r="K1557" s="8">
        <v>0</v>
      </c>
      <c r="L1557" s="8">
        <v>0</v>
      </c>
      <c r="M1557" s="8">
        <v>1</v>
      </c>
      <c r="N1557" s="8" t="s">
        <v>791</v>
      </c>
      <c r="O1557" s="8">
        <v>100</v>
      </c>
      <c r="P1557" s="8" t="s">
        <v>2165</v>
      </c>
      <c r="Q1557" s="8" t="s">
        <v>2166</v>
      </c>
      <c r="R1557" s="8">
        <v>141</v>
      </c>
    </row>
    <row r="1558" spans="1:18" ht="25" customHeight="1">
      <c r="A1558" s="12">
        <v>81</v>
      </c>
      <c r="B1558" s="8" t="s">
        <v>2067</v>
      </c>
      <c r="C1558" s="8" t="s">
        <v>706</v>
      </c>
      <c r="D1558" s="8" t="s">
        <v>30</v>
      </c>
      <c r="E1558" s="8">
        <v>2</v>
      </c>
      <c r="F1558" s="11">
        <v>0.1333333333333333</v>
      </c>
      <c r="G1558" s="8">
        <v>1</v>
      </c>
      <c r="H1558" s="11">
        <v>0.5</v>
      </c>
      <c r="I1558" s="8">
        <v>0</v>
      </c>
      <c r="J1558" s="8">
        <v>0</v>
      </c>
      <c r="K1558" s="11">
        <v>1.5</v>
      </c>
      <c r="L1558" s="11">
        <v>0.5</v>
      </c>
      <c r="M1558" s="8">
        <v>0</v>
      </c>
      <c r="N1558" s="8" t="s">
        <v>791</v>
      </c>
      <c r="O1558" s="11">
        <v>63.5</v>
      </c>
      <c r="P1558" s="8" t="s">
        <v>2165</v>
      </c>
      <c r="Q1558" s="8" t="s">
        <v>2166</v>
      </c>
      <c r="R1558" s="8">
        <v>143</v>
      </c>
    </row>
    <row r="1559" spans="1:18" ht="25" customHeight="1">
      <c r="A1559" s="12">
        <v>82</v>
      </c>
      <c r="B1559" s="8" t="s">
        <v>2067</v>
      </c>
      <c r="C1559" s="8" t="s">
        <v>711</v>
      </c>
      <c r="D1559" s="8" t="s">
        <v>80</v>
      </c>
      <c r="E1559" s="8">
        <v>1</v>
      </c>
      <c r="F1559" s="11">
        <v>0.04166666666666666</v>
      </c>
      <c r="G1559" s="8">
        <v>0</v>
      </c>
      <c r="H1559" s="8">
        <v>0</v>
      </c>
      <c r="I1559" s="8">
        <v>0</v>
      </c>
      <c r="J1559" s="8">
        <v>0</v>
      </c>
      <c r="K1559" s="8">
        <v>8</v>
      </c>
      <c r="L1559" s="8">
        <v>1</v>
      </c>
      <c r="M1559" s="8">
        <v>0</v>
      </c>
      <c r="N1559" s="8" t="s">
        <v>791</v>
      </c>
      <c r="O1559" s="8">
        <v>22</v>
      </c>
      <c r="P1559" s="8" t="s">
        <v>2165</v>
      </c>
      <c r="Q1559" s="8" t="s">
        <v>2166</v>
      </c>
      <c r="R1559" s="8">
        <v>145</v>
      </c>
    </row>
    <row r="1560" spans="1:18" ht="25" customHeight="1">
      <c r="A1560" s="12">
        <v>83</v>
      </c>
      <c r="B1560" s="8" t="s">
        <v>2067</v>
      </c>
      <c r="C1560" s="8" t="s">
        <v>720</v>
      </c>
      <c r="D1560" s="8" t="s">
        <v>80</v>
      </c>
      <c r="E1560" s="8">
        <v>1</v>
      </c>
      <c r="F1560" s="11">
        <v>0.08333333333333333</v>
      </c>
      <c r="G1560" s="8">
        <v>1</v>
      </c>
      <c r="H1560" s="8">
        <v>1</v>
      </c>
      <c r="I1560" s="8">
        <v>0</v>
      </c>
      <c r="J1560" s="8">
        <v>0</v>
      </c>
      <c r="K1560" s="8">
        <v>3</v>
      </c>
      <c r="L1560" s="8">
        <v>0</v>
      </c>
      <c r="M1560" s="8">
        <v>1</v>
      </c>
      <c r="N1560" s="8" t="s">
        <v>791</v>
      </c>
      <c r="O1560" s="8">
        <v>97</v>
      </c>
      <c r="P1560" s="8" t="s">
        <v>2165</v>
      </c>
      <c r="Q1560" s="8" t="s">
        <v>2166</v>
      </c>
      <c r="R1560" s="8">
        <v>146</v>
      </c>
    </row>
    <row r="1561" spans="1:18" ht="25" customHeight="1">
      <c r="A1561" s="12">
        <v>84</v>
      </c>
      <c r="B1561" s="8" t="s">
        <v>2067</v>
      </c>
      <c r="C1561" s="8" t="s">
        <v>711</v>
      </c>
      <c r="D1561" s="8" t="s">
        <v>52</v>
      </c>
      <c r="E1561" s="8">
        <v>3</v>
      </c>
      <c r="F1561" s="11">
        <v>0.125</v>
      </c>
      <c r="G1561" s="8">
        <v>2</v>
      </c>
      <c r="H1561" s="11">
        <v>0.6666666666666666</v>
      </c>
      <c r="I1561" s="8">
        <v>0</v>
      </c>
      <c r="J1561" s="8">
        <v>0</v>
      </c>
      <c r="K1561" s="8">
        <v>2</v>
      </c>
      <c r="L1561" s="11">
        <v>0.6666666666666666</v>
      </c>
      <c r="M1561" s="11">
        <v>0.3333333333333333</v>
      </c>
      <c r="N1561" s="8" t="s">
        <v>801</v>
      </c>
      <c r="O1561" s="11">
        <v>74.7</v>
      </c>
      <c r="P1561" s="8" t="s">
        <v>2179</v>
      </c>
      <c r="Q1561" s="8" t="s">
        <v>2168</v>
      </c>
      <c r="R1561" s="8">
        <v>147</v>
      </c>
    </row>
    <row r="1562" spans="1:18" ht="25" customHeight="1">
      <c r="A1562" s="12">
        <v>85</v>
      </c>
      <c r="B1562" s="8" t="s">
        <v>2067</v>
      </c>
      <c r="C1562" s="8" t="s">
        <v>716</v>
      </c>
      <c r="D1562" s="8" t="s">
        <v>53</v>
      </c>
      <c r="E1562" s="8">
        <v>1</v>
      </c>
      <c r="F1562" s="11">
        <v>0.02564102564102564</v>
      </c>
      <c r="G1562" s="8">
        <v>1</v>
      </c>
      <c r="H1562" s="8">
        <v>1</v>
      </c>
      <c r="I1562" s="8">
        <v>0</v>
      </c>
      <c r="J1562" s="8">
        <v>0</v>
      </c>
      <c r="K1562" s="8">
        <v>6</v>
      </c>
      <c r="L1562" s="8">
        <v>0</v>
      </c>
      <c r="M1562" s="8">
        <v>1</v>
      </c>
      <c r="N1562" s="8" t="s">
        <v>791</v>
      </c>
      <c r="O1562" s="8">
        <v>94</v>
      </c>
      <c r="P1562" s="8" t="s">
        <v>2165</v>
      </c>
      <c r="Q1562" s="8" t="s">
        <v>2166</v>
      </c>
      <c r="R1562" s="8">
        <v>149</v>
      </c>
    </row>
    <row r="1563" spans="1:18" ht="25" customHeight="1">
      <c r="A1563" s="12">
        <v>86</v>
      </c>
      <c r="B1563" s="8" t="s">
        <v>2067</v>
      </c>
      <c r="C1563" s="8" t="s">
        <v>711</v>
      </c>
      <c r="D1563" s="8" t="s">
        <v>53</v>
      </c>
      <c r="E1563" s="8">
        <v>1</v>
      </c>
      <c r="F1563" s="11">
        <v>0.04166666666666666</v>
      </c>
      <c r="G1563" s="8">
        <v>1</v>
      </c>
      <c r="H1563" s="8">
        <v>1</v>
      </c>
      <c r="I1563" s="8">
        <v>0</v>
      </c>
      <c r="J1563" s="8">
        <v>0</v>
      </c>
      <c r="K1563" s="8">
        <v>2</v>
      </c>
      <c r="L1563" s="8">
        <v>1</v>
      </c>
      <c r="M1563" s="8">
        <v>0</v>
      </c>
      <c r="N1563" s="8" t="s">
        <v>791</v>
      </c>
      <c r="O1563" s="8">
        <v>98</v>
      </c>
      <c r="P1563" s="8" t="s">
        <v>2165</v>
      </c>
      <c r="Q1563" s="8" t="s">
        <v>2166</v>
      </c>
      <c r="R1563" s="8">
        <v>150</v>
      </c>
    </row>
    <row r="1564" spans="1:18" ht="25" customHeight="1">
      <c r="A1564" s="12">
        <v>87</v>
      </c>
      <c r="B1564" s="8" t="s">
        <v>2067</v>
      </c>
      <c r="C1564" s="8" t="s">
        <v>716</v>
      </c>
      <c r="D1564" s="8" t="s">
        <v>35</v>
      </c>
      <c r="E1564" s="8">
        <v>2</v>
      </c>
      <c r="F1564" s="11">
        <v>0.05128205128205128</v>
      </c>
      <c r="G1564" s="8">
        <v>0</v>
      </c>
      <c r="H1564" s="8">
        <v>0</v>
      </c>
      <c r="I1564" s="8">
        <v>0</v>
      </c>
      <c r="J1564" s="8">
        <v>0</v>
      </c>
      <c r="K1564" s="11">
        <v>7.5</v>
      </c>
      <c r="L1564" s="11">
        <v>0.5</v>
      </c>
      <c r="M1564" s="8">
        <v>0</v>
      </c>
      <c r="N1564" s="8" t="s">
        <v>791</v>
      </c>
      <c r="O1564" s="11">
        <v>22.5</v>
      </c>
      <c r="P1564" s="8" t="s">
        <v>2165</v>
      </c>
      <c r="Q1564" s="8" t="s">
        <v>2166</v>
      </c>
      <c r="R1564" s="8">
        <v>151</v>
      </c>
    </row>
    <row r="1565" spans="1:18" ht="25" customHeight="1">
      <c r="A1565" s="12">
        <v>88</v>
      </c>
      <c r="B1565" s="8" t="s">
        <v>2067</v>
      </c>
      <c r="C1565" s="8" t="s">
        <v>711</v>
      </c>
      <c r="D1565" s="8" t="s">
        <v>84</v>
      </c>
      <c r="E1565" s="8">
        <v>1</v>
      </c>
      <c r="F1565" s="11">
        <v>0.04166666666666666</v>
      </c>
      <c r="G1565" s="8">
        <v>0</v>
      </c>
      <c r="H1565" s="8">
        <v>0</v>
      </c>
      <c r="I1565" s="8">
        <v>1</v>
      </c>
      <c r="J1565" s="8">
        <v>1</v>
      </c>
      <c r="K1565" s="8">
        <v>42</v>
      </c>
      <c r="L1565" s="8">
        <v>0</v>
      </c>
      <c r="M1565" s="8">
        <v>1</v>
      </c>
      <c r="N1565" s="8" t="s">
        <v>791</v>
      </c>
      <c r="O1565" s="8">
        <v>0</v>
      </c>
      <c r="P1565" s="8" t="s">
        <v>2161</v>
      </c>
      <c r="Q1565" s="8" t="s">
        <v>2162</v>
      </c>
      <c r="R1565" s="8">
        <v>153</v>
      </c>
    </row>
    <row r="1566" spans="1:18" ht="25" customHeight="1">
      <c r="A1566" s="12">
        <v>89</v>
      </c>
      <c r="B1566" s="8" t="s">
        <v>2067</v>
      </c>
      <c r="C1566" s="8" t="s">
        <v>716</v>
      </c>
      <c r="D1566" s="8" t="s">
        <v>84</v>
      </c>
      <c r="E1566" s="8">
        <v>1</v>
      </c>
      <c r="F1566" s="11">
        <v>0.02564102564102564</v>
      </c>
      <c r="G1566" s="8">
        <v>1</v>
      </c>
      <c r="H1566" s="8">
        <v>1</v>
      </c>
      <c r="I1566" s="8">
        <v>0</v>
      </c>
      <c r="J1566" s="8">
        <v>0</v>
      </c>
      <c r="K1566" s="8">
        <v>3</v>
      </c>
      <c r="L1566" s="8">
        <v>1</v>
      </c>
      <c r="M1566" s="8">
        <v>0</v>
      </c>
      <c r="N1566" s="8" t="s">
        <v>791</v>
      </c>
      <c r="O1566" s="8">
        <v>97</v>
      </c>
      <c r="P1566" s="8" t="s">
        <v>2165</v>
      </c>
      <c r="Q1566" s="8" t="s">
        <v>2166</v>
      </c>
      <c r="R1566" s="8">
        <v>154</v>
      </c>
    </row>
    <row r="1567" spans="1:18" ht="25" customHeight="1">
      <c r="A1567" s="12">
        <v>90</v>
      </c>
      <c r="B1567" s="8" t="s">
        <v>2067</v>
      </c>
      <c r="C1567" s="8" t="s">
        <v>716</v>
      </c>
      <c r="D1567" s="8" t="s">
        <v>65</v>
      </c>
      <c r="E1567" s="8">
        <v>2</v>
      </c>
      <c r="F1567" s="11">
        <v>0.05128205128205128</v>
      </c>
      <c r="G1567" s="8">
        <v>1</v>
      </c>
      <c r="H1567" s="11">
        <v>0.5</v>
      </c>
      <c r="I1567" s="8">
        <v>0</v>
      </c>
      <c r="J1567" s="8">
        <v>0</v>
      </c>
      <c r="K1567" s="8">
        <v>2</v>
      </c>
      <c r="L1567" s="8">
        <v>1</v>
      </c>
      <c r="M1567" s="8">
        <v>0</v>
      </c>
      <c r="N1567" s="8" t="s">
        <v>791</v>
      </c>
      <c r="O1567" s="8">
        <v>63</v>
      </c>
      <c r="P1567" s="8" t="s">
        <v>2165</v>
      </c>
      <c r="Q1567" s="8" t="s">
        <v>2166</v>
      </c>
      <c r="R1567" s="8">
        <v>155</v>
      </c>
    </row>
    <row r="1568" spans="1:18" ht="25" customHeight="1">
      <c r="A1568" s="12">
        <v>91</v>
      </c>
      <c r="B1568" s="8" t="s">
        <v>2067</v>
      </c>
      <c r="C1568" s="8" t="s">
        <v>720</v>
      </c>
      <c r="D1568" s="8" t="s">
        <v>77</v>
      </c>
      <c r="E1568" s="8">
        <v>1</v>
      </c>
      <c r="F1568" s="11">
        <v>0.08333333333333333</v>
      </c>
      <c r="G1568" s="8">
        <v>1</v>
      </c>
      <c r="H1568" s="8">
        <v>1</v>
      </c>
      <c r="I1568" s="8">
        <v>0</v>
      </c>
      <c r="J1568" s="8">
        <v>0</v>
      </c>
      <c r="K1568" s="8">
        <v>5</v>
      </c>
      <c r="L1568" s="8">
        <v>0</v>
      </c>
      <c r="M1568" s="8">
        <v>1</v>
      </c>
      <c r="N1568" s="8" t="s">
        <v>791</v>
      </c>
      <c r="O1568" s="8">
        <v>95</v>
      </c>
      <c r="P1568" s="8" t="s">
        <v>2165</v>
      </c>
      <c r="Q1568" s="8" t="s">
        <v>2166</v>
      </c>
      <c r="R1568" s="8">
        <v>157</v>
      </c>
    </row>
    <row r="1569" spans="1:18" ht="25" customHeight="1">
      <c r="A1569" s="12">
        <v>92</v>
      </c>
      <c r="B1569" s="8" t="s">
        <v>2067</v>
      </c>
      <c r="C1569" s="8" t="s">
        <v>711</v>
      </c>
      <c r="D1569" s="8" t="s">
        <v>32</v>
      </c>
      <c r="E1569" s="8">
        <v>1</v>
      </c>
      <c r="F1569" s="11">
        <v>0.04166666666666666</v>
      </c>
      <c r="G1569" s="8">
        <v>0</v>
      </c>
      <c r="H1569" s="8">
        <v>0</v>
      </c>
      <c r="I1569" s="8">
        <v>1</v>
      </c>
      <c r="J1569" s="8">
        <v>1</v>
      </c>
      <c r="K1569" s="8">
        <v>16</v>
      </c>
      <c r="L1569" s="8">
        <v>1</v>
      </c>
      <c r="M1569" s="8">
        <v>0</v>
      </c>
      <c r="N1569" s="8" t="s">
        <v>791</v>
      </c>
      <c r="O1569" s="8">
        <v>0</v>
      </c>
      <c r="P1569" s="8" t="s">
        <v>2161</v>
      </c>
      <c r="Q1569" s="8" t="s">
        <v>2162</v>
      </c>
      <c r="R1569" s="8">
        <v>158</v>
      </c>
    </row>
    <row r="1570" spans="1:18" ht="25" customHeight="1">
      <c r="A1570" s="12">
        <v>93</v>
      </c>
      <c r="B1570" s="8" t="s">
        <v>2067</v>
      </c>
      <c r="C1570" s="8" t="s">
        <v>716</v>
      </c>
      <c r="D1570" s="8" t="s">
        <v>87</v>
      </c>
      <c r="E1570" s="8">
        <v>1</v>
      </c>
      <c r="F1570" s="11">
        <v>0.02564102564102564</v>
      </c>
      <c r="G1570" s="8">
        <v>0</v>
      </c>
      <c r="H1570" s="8">
        <v>0</v>
      </c>
      <c r="I1570" s="8">
        <v>0</v>
      </c>
      <c r="J1570" s="8">
        <v>0</v>
      </c>
      <c r="K1570" s="8">
        <v>5</v>
      </c>
      <c r="L1570" s="8">
        <v>1</v>
      </c>
      <c r="M1570" s="8">
        <v>0</v>
      </c>
      <c r="N1570" s="8" t="s">
        <v>791</v>
      </c>
      <c r="O1570" s="8">
        <v>25</v>
      </c>
      <c r="P1570" s="8" t="s">
        <v>2165</v>
      </c>
      <c r="Q1570" s="8" t="s">
        <v>2166</v>
      </c>
      <c r="R1570" s="8">
        <v>159</v>
      </c>
    </row>
    <row r="1571" spans="1:18" ht="25" customHeight="1">
      <c r="A1571" s="12">
        <v>94</v>
      </c>
      <c r="B1571" s="8" t="s">
        <v>2067</v>
      </c>
      <c r="C1571" s="8" t="s">
        <v>716</v>
      </c>
      <c r="D1571" s="8" t="s">
        <v>88</v>
      </c>
      <c r="E1571" s="8">
        <v>1</v>
      </c>
      <c r="F1571" s="11">
        <v>0.02564102564102564</v>
      </c>
      <c r="G1571" s="8">
        <v>1</v>
      </c>
      <c r="H1571" s="8">
        <v>1</v>
      </c>
      <c r="I1571" s="8">
        <v>0</v>
      </c>
      <c r="J1571" s="8">
        <v>0</v>
      </c>
      <c r="K1571" s="8">
        <v>3</v>
      </c>
      <c r="L1571" s="8">
        <v>1</v>
      </c>
      <c r="M1571" s="8">
        <v>0</v>
      </c>
      <c r="N1571" s="8" t="s">
        <v>791</v>
      </c>
      <c r="O1571" s="8">
        <v>97</v>
      </c>
      <c r="P1571" s="8" t="s">
        <v>2165</v>
      </c>
      <c r="Q1571" s="8" t="s">
        <v>2166</v>
      </c>
      <c r="R1571" s="8">
        <v>160</v>
      </c>
    </row>
    <row r="1572" spans="1:18" ht="25" customHeight="1">
      <c r="A1572" s="12">
        <v>95</v>
      </c>
      <c r="B1572" s="8" t="s">
        <v>2067</v>
      </c>
      <c r="C1572" s="8" t="s">
        <v>720</v>
      </c>
      <c r="D1572" s="8" t="s">
        <v>55</v>
      </c>
      <c r="E1572" s="8">
        <v>1</v>
      </c>
      <c r="F1572" s="11">
        <v>0.08333333333333333</v>
      </c>
      <c r="G1572" s="8">
        <v>1</v>
      </c>
      <c r="H1572" s="8">
        <v>1</v>
      </c>
      <c r="I1572" s="8">
        <v>0</v>
      </c>
      <c r="J1572" s="8">
        <v>0</v>
      </c>
      <c r="K1572" s="8">
        <v>3</v>
      </c>
      <c r="L1572" s="8">
        <v>1</v>
      </c>
      <c r="M1572" s="8">
        <v>0</v>
      </c>
      <c r="N1572" s="8" t="s">
        <v>791</v>
      </c>
      <c r="O1572" s="8">
        <v>97</v>
      </c>
      <c r="P1572" s="8" t="s">
        <v>2165</v>
      </c>
      <c r="Q1572" s="8" t="s">
        <v>2166</v>
      </c>
      <c r="R1572" s="8">
        <v>161</v>
      </c>
    </row>
    <row r="1573" spans="1:18" ht="25" customHeight="1">
      <c r="A1573" s="12">
        <v>96</v>
      </c>
      <c r="B1573" s="8" t="s">
        <v>2067</v>
      </c>
      <c r="C1573" s="8" t="s">
        <v>706</v>
      </c>
      <c r="D1573" s="8" t="s">
        <v>72</v>
      </c>
      <c r="E1573" s="8">
        <v>1</v>
      </c>
      <c r="F1573" s="11">
        <v>0.06666666666666667</v>
      </c>
      <c r="G1573" s="8">
        <v>0</v>
      </c>
      <c r="H1573" s="8">
        <v>0</v>
      </c>
      <c r="I1573" s="8">
        <v>0</v>
      </c>
      <c r="J1573" s="8">
        <v>0</v>
      </c>
      <c r="K1573" s="8">
        <v>9</v>
      </c>
      <c r="L1573" s="8">
        <v>0</v>
      </c>
      <c r="M1573" s="8">
        <v>1</v>
      </c>
      <c r="N1573" s="8" t="s">
        <v>791</v>
      </c>
      <c r="O1573" s="8">
        <v>21</v>
      </c>
      <c r="P1573" s="8" t="s">
        <v>2165</v>
      </c>
      <c r="Q1573" s="8" t="s">
        <v>2166</v>
      </c>
      <c r="R1573" s="8">
        <v>162</v>
      </c>
    </row>
    <row r="1574" spans="1:18" ht="25" customHeight="1">
      <c r="A1574" s="12">
        <v>97</v>
      </c>
      <c r="B1574" s="8" t="s">
        <v>2067</v>
      </c>
      <c r="C1574" s="8" t="s">
        <v>716</v>
      </c>
      <c r="D1574" s="8" t="s">
        <v>89</v>
      </c>
      <c r="E1574" s="8">
        <v>1</v>
      </c>
      <c r="F1574" s="11">
        <v>0.02564102564102564</v>
      </c>
      <c r="G1574" s="8">
        <v>1</v>
      </c>
      <c r="H1574" s="8">
        <v>1</v>
      </c>
      <c r="I1574" s="8">
        <v>0</v>
      </c>
      <c r="J1574" s="8">
        <v>0</v>
      </c>
      <c r="K1574" s="8">
        <v>3</v>
      </c>
      <c r="L1574" s="8">
        <v>0</v>
      </c>
      <c r="M1574" s="8">
        <v>1</v>
      </c>
      <c r="N1574" s="8" t="s">
        <v>791</v>
      </c>
      <c r="O1574" s="8">
        <v>97</v>
      </c>
      <c r="P1574" s="8" t="s">
        <v>2165</v>
      </c>
      <c r="Q1574" s="8" t="s">
        <v>2166</v>
      </c>
      <c r="R1574" s="8">
        <v>163</v>
      </c>
    </row>
    <row r="1575" spans="1:18" ht="25" customHeight="1">
      <c r="A1575" s="12">
        <v>98</v>
      </c>
      <c r="B1575" s="8" t="s">
        <v>2067</v>
      </c>
      <c r="C1575" s="8" t="s">
        <v>716</v>
      </c>
      <c r="D1575" s="8" t="s">
        <v>90</v>
      </c>
      <c r="E1575" s="8">
        <v>1</v>
      </c>
      <c r="F1575" s="11">
        <v>0.02564102564102564</v>
      </c>
      <c r="G1575" s="8">
        <v>1</v>
      </c>
      <c r="H1575" s="8">
        <v>1</v>
      </c>
      <c r="I1575" s="8">
        <v>0</v>
      </c>
      <c r="J1575" s="8">
        <v>0</v>
      </c>
      <c r="K1575" s="8">
        <v>0</v>
      </c>
      <c r="L1575" s="8">
        <v>0</v>
      </c>
      <c r="M1575" s="8">
        <v>1</v>
      </c>
      <c r="N1575" s="8" t="s">
        <v>791</v>
      </c>
      <c r="O1575" s="8">
        <v>100</v>
      </c>
      <c r="P1575" s="8" t="s">
        <v>2165</v>
      </c>
      <c r="Q1575" s="8" t="s">
        <v>2166</v>
      </c>
      <c r="R1575" s="8">
        <v>164</v>
      </c>
    </row>
    <row r="1576" spans="1:18" ht="25" customHeight="1">
      <c r="A1576" s="12">
        <v>99</v>
      </c>
      <c r="B1576" s="8" t="s">
        <v>2067</v>
      </c>
      <c r="C1576" s="8" t="s">
        <v>720</v>
      </c>
      <c r="D1576" s="8" t="s">
        <v>64</v>
      </c>
      <c r="E1576" s="8">
        <v>1</v>
      </c>
      <c r="F1576" s="11">
        <v>0.08333333333333333</v>
      </c>
      <c r="G1576" s="8">
        <v>1</v>
      </c>
      <c r="H1576" s="8">
        <v>1</v>
      </c>
      <c r="I1576" s="8">
        <v>0</v>
      </c>
      <c r="J1576" s="8">
        <v>0</v>
      </c>
      <c r="K1576" s="8">
        <v>5</v>
      </c>
      <c r="L1576" s="8">
        <v>0</v>
      </c>
      <c r="M1576" s="8">
        <v>1</v>
      </c>
      <c r="N1576" s="8" t="s">
        <v>791</v>
      </c>
      <c r="O1576" s="8">
        <v>95</v>
      </c>
      <c r="P1576" s="8" t="s">
        <v>2165</v>
      </c>
      <c r="Q1576" s="8" t="s">
        <v>2166</v>
      </c>
      <c r="R1576" s="8">
        <v>165</v>
      </c>
    </row>
    <row r="1577" spans="1:18" ht="25" customHeight="1">
      <c r="A1577" s="12">
        <v>100</v>
      </c>
      <c r="B1577" s="8" t="s">
        <v>2067</v>
      </c>
      <c r="C1577" s="8" t="s">
        <v>706</v>
      </c>
      <c r="D1577" s="8" t="s">
        <v>74</v>
      </c>
      <c r="E1577" s="8">
        <v>1</v>
      </c>
      <c r="F1577" s="11">
        <v>0.06666666666666667</v>
      </c>
      <c r="G1577" s="8">
        <v>1</v>
      </c>
      <c r="H1577" s="8">
        <v>1</v>
      </c>
      <c r="I1577" s="8">
        <v>0</v>
      </c>
      <c r="J1577" s="8">
        <v>0</v>
      </c>
      <c r="K1577" s="8">
        <v>-8</v>
      </c>
      <c r="L1577" s="8">
        <v>0</v>
      </c>
      <c r="M1577" s="8">
        <v>1</v>
      </c>
      <c r="N1577" s="8" t="s">
        <v>791</v>
      </c>
      <c r="O1577" s="8">
        <v>100</v>
      </c>
      <c r="P1577" s="8" t="s">
        <v>2165</v>
      </c>
      <c r="Q1577" s="8" t="s">
        <v>2166</v>
      </c>
      <c r="R1577" s="8">
        <v>166</v>
      </c>
    </row>
    <row r="1578" spans="1:18" ht="25" customHeight="1">
      <c r="A1578" s="12">
        <v>101</v>
      </c>
      <c r="B1578" s="8" t="s">
        <v>2069</v>
      </c>
      <c r="C1578" s="8" t="s">
        <v>720</v>
      </c>
      <c r="D1578" s="8" t="s">
        <v>101</v>
      </c>
      <c r="E1578" s="8">
        <v>6</v>
      </c>
      <c r="F1578" s="11">
        <v>0.5454545454545454</v>
      </c>
      <c r="G1578" s="8">
        <v>4</v>
      </c>
      <c r="H1578" s="11">
        <v>0.6666666666666666</v>
      </c>
      <c r="I1578" s="8">
        <v>1</v>
      </c>
      <c r="J1578" s="11">
        <v>0.1666666666666667</v>
      </c>
      <c r="K1578" s="11">
        <v>12.16666666666667</v>
      </c>
      <c r="L1578" s="8">
        <v>0</v>
      </c>
      <c r="M1578" s="8">
        <v>1</v>
      </c>
      <c r="N1578" s="8" t="s">
        <v>795</v>
      </c>
      <c r="O1578" s="11">
        <v>63.3</v>
      </c>
      <c r="P1578" s="8" t="s">
        <v>2137</v>
      </c>
      <c r="Q1578" s="8" t="s">
        <v>2151</v>
      </c>
      <c r="R1578" s="8">
        <v>167</v>
      </c>
    </row>
    <row r="1579" spans="1:18" ht="25" customHeight="1">
      <c r="A1579" s="12">
        <v>102</v>
      </c>
      <c r="B1579" s="8" t="s">
        <v>2069</v>
      </c>
      <c r="C1579" s="8" t="s">
        <v>720</v>
      </c>
      <c r="D1579" s="8" t="s">
        <v>102</v>
      </c>
      <c r="E1579" s="8">
        <v>1</v>
      </c>
      <c r="F1579" s="11">
        <v>0.09090909090909091</v>
      </c>
      <c r="G1579" s="8">
        <v>1</v>
      </c>
      <c r="H1579" s="8">
        <v>1</v>
      </c>
      <c r="I1579" s="8">
        <v>0</v>
      </c>
      <c r="J1579" s="8">
        <v>0</v>
      </c>
      <c r="K1579" s="8">
        <v>-5</v>
      </c>
      <c r="L1579" s="8">
        <v>0</v>
      </c>
      <c r="M1579" s="8">
        <v>1</v>
      </c>
      <c r="N1579" s="8" t="s">
        <v>791</v>
      </c>
      <c r="O1579" s="8">
        <v>100</v>
      </c>
      <c r="P1579" s="8" t="s">
        <v>2165</v>
      </c>
      <c r="Q1579" s="8" t="s">
        <v>2166</v>
      </c>
      <c r="R1579" s="8">
        <v>173</v>
      </c>
    </row>
    <row r="1580" spans="1:18" ht="25" customHeight="1">
      <c r="A1580" s="12">
        <v>103</v>
      </c>
      <c r="B1580" s="8" t="s">
        <v>2069</v>
      </c>
      <c r="C1580" s="8" t="s">
        <v>711</v>
      </c>
      <c r="D1580" s="8" t="s">
        <v>102</v>
      </c>
      <c r="E1580" s="8">
        <v>1</v>
      </c>
      <c r="F1580" s="11">
        <v>0.04545454545454546</v>
      </c>
      <c r="G1580" s="8">
        <v>1</v>
      </c>
      <c r="H1580" s="8">
        <v>1</v>
      </c>
      <c r="I1580" s="8">
        <v>0</v>
      </c>
      <c r="J1580" s="8">
        <v>0</v>
      </c>
      <c r="K1580" s="8">
        <v>1</v>
      </c>
      <c r="L1580" s="8">
        <v>0</v>
      </c>
      <c r="M1580" s="8">
        <v>1</v>
      </c>
      <c r="N1580" s="8" t="s">
        <v>791</v>
      </c>
      <c r="O1580" s="8">
        <v>99</v>
      </c>
      <c r="P1580" s="8" t="s">
        <v>2165</v>
      </c>
      <c r="Q1580" s="8" t="s">
        <v>2166</v>
      </c>
      <c r="R1580" s="8">
        <v>174</v>
      </c>
    </row>
    <row r="1581" spans="1:18" ht="25" customHeight="1">
      <c r="A1581" s="12">
        <v>104</v>
      </c>
      <c r="B1581" s="8" t="s">
        <v>2069</v>
      </c>
      <c r="C1581" s="8" t="s">
        <v>716</v>
      </c>
      <c r="D1581" s="8" t="s">
        <v>102</v>
      </c>
      <c r="E1581" s="8">
        <v>2</v>
      </c>
      <c r="F1581" s="11">
        <v>0.1538461538461539</v>
      </c>
      <c r="G1581" s="8">
        <v>2</v>
      </c>
      <c r="H1581" s="8">
        <v>1</v>
      </c>
      <c r="I1581" s="8">
        <v>0</v>
      </c>
      <c r="J1581" s="8">
        <v>0</v>
      </c>
      <c r="K1581" s="8">
        <v>4</v>
      </c>
      <c r="L1581" s="11">
        <v>0.5</v>
      </c>
      <c r="M1581" s="11">
        <v>0.5</v>
      </c>
      <c r="N1581" s="8" t="s">
        <v>791</v>
      </c>
      <c r="O1581" s="8">
        <v>96</v>
      </c>
      <c r="P1581" s="8" t="s">
        <v>2165</v>
      </c>
      <c r="Q1581" s="8" t="s">
        <v>2166</v>
      </c>
      <c r="R1581" s="8">
        <v>175</v>
      </c>
    </row>
    <row r="1582" spans="1:18" ht="25" customHeight="1">
      <c r="A1582" s="12">
        <v>105</v>
      </c>
      <c r="B1582" s="8" t="s">
        <v>2069</v>
      </c>
      <c r="C1582" s="8" t="s">
        <v>711</v>
      </c>
      <c r="D1582" s="8" t="s">
        <v>42</v>
      </c>
      <c r="E1582" s="8">
        <v>2</v>
      </c>
      <c r="F1582" s="11">
        <v>0.09090909090909091</v>
      </c>
      <c r="G1582" s="8">
        <v>2</v>
      </c>
      <c r="H1582" s="8">
        <v>1</v>
      </c>
      <c r="I1582" s="8">
        <v>0</v>
      </c>
      <c r="J1582" s="8">
        <v>0</v>
      </c>
      <c r="K1582" s="8">
        <v>-2</v>
      </c>
      <c r="L1582" s="8">
        <v>0</v>
      </c>
      <c r="M1582" s="8">
        <v>1</v>
      </c>
      <c r="N1582" s="8" t="s">
        <v>791</v>
      </c>
      <c r="O1582" s="8">
        <v>100</v>
      </c>
      <c r="P1582" s="8" t="s">
        <v>2165</v>
      </c>
      <c r="Q1582" s="8" t="s">
        <v>2166</v>
      </c>
      <c r="R1582" s="8">
        <v>177</v>
      </c>
    </row>
    <row r="1583" spans="1:18" ht="25" customHeight="1">
      <c r="A1583" s="12">
        <v>106</v>
      </c>
      <c r="B1583" s="8" t="s">
        <v>2069</v>
      </c>
      <c r="C1583" s="8" t="s">
        <v>716</v>
      </c>
      <c r="D1583" s="8" t="s">
        <v>42</v>
      </c>
      <c r="E1583" s="8">
        <v>1</v>
      </c>
      <c r="F1583" s="11">
        <v>0.07692307692307693</v>
      </c>
      <c r="G1583" s="8">
        <v>0</v>
      </c>
      <c r="H1583" s="8">
        <v>0</v>
      </c>
      <c r="I1583" s="8">
        <v>0</v>
      </c>
      <c r="J1583" s="8">
        <v>0</v>
      </c>
      <c r="K1583" s="8">
        <v>8</v>
      </c>
      <c r="L1583" s="8">
        <v>0</v>
      </c>
      <c r="M1583" s="8">
        <v>1</v>
      </c>
      <c r="N1583" s="8" t="s">
        <v>791</v>
      </c>
      <c r="O1583" s="8">
        <v>22</v>
      </c>
      <c r="P1583" s="8" t="s">
        <v>2165</v>
      </c>
      <c r="Q1583" s="8" t="s">
        <v>2166</v>
      </c>
      <c r="R1583" s="8">
        <v>179</v>
      </c>
    </row>
    <row r="1584" spans="1:18" ht="25" customHeight="1">
      <c r="A1584" s="12">
        <v>107</v>
      </c>
      <c r="B1584" s="8" t="s">
        <v>2069</v>
      </c>
      <c r="C1584" s="8" t="s">
        <v>706</v>
      </c>
      <c r="D1584" s="8" t="s">
        <v>77</v>
      </c>
      <c r="E1584" s="8">
        <v>1</v>
      </c>
      <c r="F1584" s="11">
        <v>0.125</v>
      </c>
      <c r="G1584" s="8">
        <v>0</v>
      </c>
      <c r="H1584" s="8">
        <v>0</v>
      </c>
      <c r="I1584" s="8">
        <v>0</v>
      </c>
      <c r="J1584" s="8">
        <v>0</v>
      </c>
      <c r="K1584" s="8">
        <v>1</v>
      </c>
      <c r="L1584" s="8">
        <v>1</v>
      </c>
      <c r="M1584" s="8">
        <v>0</v>
      </c>
      <c r="N1584" s="8" t="s">
        <v>791</v>
      </c>
      <c r="O1584" s="8">
        <v>29</v>
      </c>
      <c r="P1584" s="8" t="s">
        <v>2165</v>
      </c>
      <c r="Q1584" s="8" t="s">
        <v>2166</v>
      </c>
      <c r="R1584" s="8">
        <v>180</v>
      </c>
    </row>
    <row r="1585" spans="1:18" ht="25" customHeight="1">
      <c r="A1585" s="12">
        <v>108</v>
      </c>
      <c r="B1585" s="8" t="s">
        <v>2069</v>
      </c>
      <c r="C1585" s="8" t="s">
        <v>711</v>
      </c>
      <c r="D1585" s="8" t="s">
        <v>77</v>
      </c>
      <c r="E1585" s="8">
        <v>2</v>
      </c>
      <c r="F1585" s="11">
        <v>0.09090909090909091</v>
      </c>
      <c r="G1585" s="8">
        <v>2</v>
      </c>
      <c r="H1585" s="8">
        <v>1</v>
      </c>
      <c r="I1585" s="8">
        <v>0</v>
      </c>
      <c r="J1585" s="8">
        <v>0</v>
      </c>
      <c r="K1585" s="8">
        <v>2</v>
      </c>
      <c r="L1585" s="11">
        <v>0.5</v>
      </c>
      <c r="M1585" s="11">
        <v>0.5</v>
      </c>
      <c r="N1585" s="8" t="s">
        <v>791</v>
      </c>
      <c r="O1585" s="8">
        <v>98</v>
      </c>
      <c r="P1585" s="8" t="s">
        <v>2165</v>
      </c>
      <c r="Q1585" s="8" t="s">
        <v>2166</v>
      </c>
      <c r="R1585" s="8">
        <v>181</v>
      </c>
    </row>
    <row r="1586" spans="1:18" ht="25" customHeight="1">
      <c r="A1586" s="12">
        <v>109</v>
      </c>
      <c r="B1586" s="8" t="s">
        <v>2069</v>
      </c>
      <c r="C1586" s="8" t="s">
        <v>720</v>
      </c>
      <c r="D1586" s="8" t="s">
        <v>99</v>
      </c>
      <c r="E1586" s="8">
        <v>2</v>
      </c>
      <c r="F1586" s="11">
        <v>0.1818181818181818</v>
      </c>
      <c r="G1586" s="8">
        <v>1</v>
      </c>
      <c r="H1586" s="11">
        <v>0.5</v>
      </c>
      <c r="I1586" s="8">
        <v>0</v>
      </c>
      <c r="J1586" s="8">
        <v>0</v>
      </c>
      <c r="K1586" s="8">
        <v>7</v>
      </c>
      <c r="L1586" s="8">
        <v>0</v>
      </c>
      <c r="M1586" s="8">
        <v>1</v>
      </c>
      <c r="N1586" s="8" t="s">
        <v>791</v>
      </c>
      <c r="O1586" s="8">
        <v>58</v>
      </c>
      <c r="P1586" s="8" t="s">
        <v>2165</v>
      </c>
      <c r="Q1586" s="8" t="s">
        <v>2166</v>
      </c>
      <c r="R1586" s="8">
        <v>183</v>
      </c>
    </row>
    <row r="1587" spans="1:18" ht="25" customHeight="1">
      <c r="A1587" s="12">
        <v>110</v>
      </c>
      <c r="B1587" s="8" t="s">
        <v>2069</v>
      </c>
      <c r="C1587" s="8" t="s">
        <v>716</v>
      </c>
      <c r="D1587" s="8" t="s">
        <v>99</v>
      </c>
      <c r="E1587" s="8">
        <v>1</v>
      </c>
      <c r="F1587" s="11">
        <v>0.07692307692307693</v>
      </c>
      <c r="G1587" s="8">
        <v>0</v>
      </c>
      <c r="H1587" s="8">
        <v>0</v>
      </c>
      <c r="I1587" s="8">
        <v>0</v>
      </c>
      <c r="J1587" s="8">
        <v>0</v>
      </c>
      <c r="K1587" s="8">
        <v>12</v>
      </c>
      <c r="L1587" s="8">
        <v>0</v>
      </c>
      <c r="M1587" s="8">
        <v>1</v>
      </c>
      <c r="N1587" s="8" t="s">
        <v>791</v>
      </c>
      <c r="O1587" s="8">
        <v>20</v>
      </c>
      <c r="P1587" s="8" t="s">
        <v>2165</v>
      </c>
      <c r="Q1587" s="8" t="s">
        <v>2166</v>
      </c>
      <c r="R1587" s="8">
        <v>185</v>
      </c>
    </row>
    <row r="1588" spans="1:18" ht="25" customHeight="1">
      <c r="A1588" s="12">
        <v>111</v>
      </c>
      <c r="B1588" s="8" t="s">
        <v>2069</v>
      </c>
      <c r="C1588" s="8" t="s">
        <v>706</v>
      </c>
      <c r="D1588" s="8" t="s">
        <v>35</v>
      </c>
      <c r="E1588" s="8">
        <v>1</v>
      </c>
      <c r="F1588" s="11">
        <v>0.125</v>
      </c>
      <c r="G1588" s="8">
        <v>0</v>
      </c>
      <c r="H1588" s="8">
        <v>0</v>
      </c>
      <c r="I1588" s="8">
        <v>0</v>
      </c>
      <c r="J1588" s="8">
        <v>0</v>
      </c>
      <c r="K1588" s="8">
        <v>5</v>
      </c>
      <c r="L1588" s="8">
        <v>1</v>
      </c>
      <c r="M1588" s="8">
        <v>0</v>
      </c>
      <c r="N1588" s="8" t="s">
        <v>791</v>
      </c>
      <c r="O1588" s="8">
        <v>25</v>
      </c>
      <c r="P1588" s="8" t="s">
        <v>2165</v>
      </c>
      <c r="Q1588" s="8" t="s">
        <v>2166</v>
      </c>
      <c r="R1588" s="8">
        <v>186</v>
      </c>
    </row>
    <row r="1589" spans="1:18" ht="25" customHeight="1">
      <c r="A1589" s="12">
        <v>112</v>
      </c>
      <c r="B1589" s="8" t="s">
        <v>2069</v>
      </c>
      <c r="C1589" s="8" t="s">
        <v>716</v>
      </c>
      <c r="D1589" s="8" t="s">
        <v>35</v>
      </c>
      <c r="E1589" s="8">
        <v>1</v>
      </c>
      <c r="F1589" s="11">
        <v>0.07692307692307693</v>
      </c>
      <c r="G1589" s="8">
        <v>1</v>
      </c>
      <c r="H1589" s="8">
        <v>1</v>
      </c>
      <c r="I1589" s="8">
        <v>0</v>
      </c>
      <c r="J1589" s="8">
        <v>0</v>
      </c>
      <c r="K1589" s="8">
        <v>0</v>
      </c>
      <c r="L1589" s="8">
        <v>1</v>
      </c>
      <c r="M1589" s="8">
        <v>0</v>
      </c>
      <c r="N1589" s="8" t="s">
        <v>791</v>
      </c>
      <c r="O1589" s="8">
        <v>100</v>
      </c>
      <c r="P1589" s="8" t="s">
        <v>2165</v>
      </c>
      <c r="Q1589" s="8" t="s">
        <v>2166</v>
      </c>
      <c r="R1589" s="8">
        <v>188</v>
      </c>
    </row>
    <row r="1590" spans="1:18" ht="25" customHeight="1">
      <c r="A1590" s="12">
        <v>113</v>
      </c>
      <c r="B1590" s="8" t="s">
        <v>2069</v>
      </c>
      <c r="C1590" s="8" t="s">
        <v>711</v>
      </c>
      <c r="D1590" s="8" t="s">
        <v>27</v>
      </c>
      <c r="E1590" s="8">
        <v>1</v>
      </c>
      <c r="F1590" s="11">
        <v>0.04545454545454546</v>
      </c>
      <c r="G1590" s="8">
        <v>1</v>
      </c>
      <c r="H1590" s="8">
        <v>1</v>
      </c>
      <c r="I1590" s="8">
        <v>0</v>
      </c>
      <c r="J1590" s="8">
        <v>0</v>
      </c>
      <c r="K1590" s="8">
        <v>0</v>
      </c>
      <c r="L1590" s="8">
        <v>0</v>
      </c>
      <c r="M1590" s="8">
        <v>1</v>
      </c>
      <c r="N1590" s="8" t="s">
        <v>791</v>
      </c>
      <c r="O1590" s="8">
        <v>100</v>
      </c>
      <c r="P1590" s="8" t="s">
        <v>2165</v>
      </c>
      <c r="Q1590" s="8" t="s">
        <v>2166</v>
      </c>
      <c r="R1590" s="8">
        <v>189</v>
      </c>
    </row>
    <row r="1591" spans="1:18" ht="25" customHeight="1">
      <c r="A1591" s="12">
        <v>114</v>
      </c>
      <c r="B1591" s="8" t="s">
        <v>2069</v>
      </c>
      <c r="C1591" s="8" t="s">
        <v>716</v>
      </c>
      <c r="D1591" s="8" t="s">
        <v>27</v>
      </c>
      <c r="E1591" s="8">
        <v>1</v>
      </c>
      <c r="F1591" s="11">
        <v>0.07692307692307693</v>
      </c>
      <c r="G1591" s="8">
        <v>1</v>
      </c>
      <c r="H1591" s="8">
        <v>1</v>
      </c>
      <c r="I1591" s="8">
        <v>0</v>
      </c>
      <c r="J1591" s="8">
        <v>0</v>
      </c>
      <c r="K1591" s="8">
        <v>1</v>
      </c>
      <c r="L1591" s="8">
        <v>1</v>
      </c>
      <c r="M1591" s="8">
        <v>0</v>
      </c>
      <c r="N1591" s="8" t="s">
        <v>791</v>
      </c>
      <c r="O1591" s="8">
        <v>99</v>
      </c>
      <c r="P1591" s="8" t="s">
        <v>2165</v>
      </c>
      <c r="Q1591" s="8" t="s">
        <v>2166</v>
      </c>
      <c r="R1591" s="8">
        <v>190</v>
      </c>
    </row>
    <row r="1592" spans="1:18" ht="25" customHeight="1">
      <c r="A1592" s="12">
        <v>115</v>
      </c>
      <c r="B1592" s="8" t="s">
        <v>2069</v>
      </c>
      <c r="C1592" s="8" t="s">
        <v>706</v>
      </c>
      <c r="D1592" s="8" t="s">
        <v>60</v>
      </c>
      <c r="E1592" s="8">
        <v>1</v>
      </c>
      <c r="F1592" s="11">
        <v>0.125</v>
      </c>
      <c r="G1592" s="8">
        <v>0</v>
      </c>
      <c r="H1592" s="8">
        <v>0</v>
      </c>
      <c r="I1592" s="8">
        <v>0</v>
      </c>
      <c r="J1592" s="8">
        <v>0</v>
      </c>
      <c r="K1592" s="8">
        <v>2</v>
      </c>
      <c r="L1592" s="8">
        <v>1</v>
      </c>
      <c r="M1592" s="8">
        <v>0</v>
      </c>
      <c r="N1592" s="8" t="s">
        <v>791</v>
      </c>
      <c r="O1592" s="8">
        <v>28</v>
      </c>
      <c r="P1592" s="8" t="s">
        <v>2165</v>
      </c>
      <c r="Q1592" s="8" t="s">
        <v>2166</v>
      </c>
      <c r="R1592" s="8">
        <v>191</v>
      </c>
    </row>
    <row r="1593" spans="1:18" ht="25" customHeight="1">
      <c r="A1593" s="12">
        <v>116</v>
      </c>
      <c r="B1593" s="8" t="s">
        <v>2069</v>
      </c>
      <c r="C1593" s="8" t="s">
        <v>711</v>
      </c>
      <c r="D1593" s="8" t="s">
        <v>60</v>
      </c>
      <c r="E1593" s="8">
        <v>1</v>
      </c>
      <c r="F1593" s="11">
        <v>0.04545454545454546</v>
      </c>
      <c r="G1593" s="8">
        <v>1</v>
      </c>
      <c r="H1593" s="8">
        <v>1</v>
      </c>
      <c r="I1593" s="8">
        <v>0</v>
      </c>
      <c r="J1593" s="8">
        <v>0</v>
      </c>
      <c r="K1593" s="8">
        <v>0</v>
      </c>
      <c r="L1593" s="8">
        <v>0</v>
      </c>
      <c r="M1593" s="8">
        <v>1</v>
      </c>
      <c r="N1593" s="8" t="s">
        <v>791</v>
      </c>
      <c r="O1593" s="8">
        <v>100</v>
      </c>
      <c r="P1593" s="8" t="s">
        <v>2165</v>
      </c>
      <c r="Q1593" s="8" t="s">
        <v>2166</v>
      </c>
      <c r="R1593" s="8">
        <v>192</v>
      </c>
    </row>
    <row r="1594" spans="1:18" ht="25" customHeight="1">
      <c r="A1594" s="12">
        <v>117</v>
      </c>
      <c r="B1594" s="8" t="s">
        <v>2069</v>
      </c>
      <c r="C1594" s="8" t="s">
        <v>706</v>
      </c>
      <c r="D1594" s="8" t="s">
        <v>66</v>
      </c>
      <c r="E1594" s="8">
        <v>1</v>
      </c>
      <c r="F1594" s="11">
        <v>0.125</v>
      </c>
      <c r="G1594" s="8">
        <v>0</v>
      </c>
      <c r="H1594" s="8">
        <v>0</v>
      </c>
      <c r="I1594" s="8">
        <v>0</v>
      </c>
      <c r="J1594" s="8">
        <v>0</v>
      </c>
      <c r="K1594" s="8">
        <v>1</v>
      </c>
      <c r="L1594" s="8">
        <v>1</v>
      </c>
      <c r="M1594" s="8">
        <v>0</v>
      </c>
      <c r="N1594" s="8" t="s">
        <v>791</v>
      </c>
      <c r="O1594" s="8">
        <v>29</v>
      </c>
      <c r="P1594" s="8" t="s">
        <v>2165</v>
      </c>
      <c r="Q1594" s="8" t="s">
        <v>2166</v>
      </c>
      <c r="R1594" s="8">
        <v>193</v>
      </c>
    </row>
    <row r="1595" spans="1:18" ht="25" customHeight="1">
      <c r="A1595" s="12">
        <v>118</v>
      </c>
      <c r="B1595" s="8" t="s">
        <v>2069</v>
      </c>
      <c r="C1595" s="8" t="s">
        <v>711</v>
      </c>
      <c r="D1595" s="8" t="s">
        <v>66</v>
      </c>
      <c r="E1595" s="8">
        <v>1</v>
      </c>
      <c r="F1595" s="11">
        <v>0.04545454545454546</v>
      </c>
      <c r="G1595" s="8">
        <v>1</v>
      </c>
      <c r="H1595" s="8">
        <v>1</v>
      </c>
      <c r="I1595" s="8">
        <v>0</v>
      </c>
      <c r="J1595" s="8">
        <v>0</v>
      </c>
      <c r="K1595" s="8">
        <v>0</v>
      </c>
      <c r="L1595" s="8">
        <v>1</v>
      </c>
      <c r="M1595" s="8">
        <v>0</v>
      </c>
      <c r="N1595" s="8" t="s">
        <v>791</v>
      </c>
      <c r="O1595" s="8">
        <v>100</v>
      </c>
      <c r="P1595" s="8" t="s">
        <v>2165</v>
      </c>
      <c r="Q1595" s="8" t="s">
        <v>2166</v>
      </c>
      <c r="R1595" s="8">
        <v>194</v>
      </c>
    </row>
    <row r="1596" spans="1:18" ht="25" customHeight="1">
      <c r="A1596" s="12">
        <v>119</v>
      </c>
      <c r="B1596" s="8" t="s">
        <v>2069</v>
      </c>
      <c r="C1596" s="8" t="s">
        <v>711</v>
      </c>
      <c r="D1596" s="8" t="s">
        <v>37</v>
      </c>
      <c r="E1596" s="8">
        <v>1</v>
      </c>
      <c r="F1596" s="11">
        <v>0.04545454545454546</v>
      </c>
      <c r="G1596" s="8">
        <v>0</v>
      </c>
      <c r="H1596" s="8">
        <v>0</v>
      </c>
      <c r="I1596" s="8">
        <v>0</v>
      </c>
      <c r="J1596" s="8">
        <v>0</v>
      </c>
      <c r="K1596" s="8">
        <v>6</v>
      </c>
      <c r="L1596" s="8">
        <v>0</v>
      </c>
      <c r="M1596" s="8">
        <v>1</v>
      </c>
      <c r="N1596" s="8" t="s">
        <v>791</v>
      </c>
      <c r="O1596" s="8">
        <v>24</v>
      </c>
      <c r="P1596" s="8" t="s">
        <v>2165</v>
      </c>
      <c r="Q1596" s="8" t="s">
        <v>2166</v>
      </c>
      <c r="R1596" s="8">
        <v>196</v>
      </c>
    </row>
    <row r="1597" spans="1:18" ht="25" customHeight="1">
      <c r="A1597" s="12">
        <v>120</v>
      </c>
      <c r="B1597" s="8" t="s">
        <v>2069</v>
      </c>
      <c r="C1597" s="8" t="s">
        <v>706</v>
      </c>
      <c r="D1597" s="8" t="s">
        <v>32</v>
      </c>
      <c r="E1597" s="8">
        <v>1</v>
      </c>
      <c r="F1597" s="11">
        <v>0.125</v>
      </c>
      <c r="G1597" s="8">
        <v>0</v>
      </c>
      <c r="H1597" s="8">
        <v>0</v>
      </c>
      <c r="I1597" s="8">
        <v>0</v>
      </c>
      <c r="J1597" s="8">
        <v>0</v>
      </c>
      <c r="K1597" s="8">
        <v>8</v>
      </c>
      <c r="L1597" s="8">
        <v>1</v>
      </c>
      <c r="M1597" s="8">
        <v>0</v>
      </c>
      <c r="N1597" s="8" t="s">
        <v>791</v>
      </c>
      <c r="O1597" s="8">
        <v>22</v>
      </c>
      <c r="P1597" s="8" t="s">
        <v>2165</v>
      </c>
      <c r="Q1597" s="8" t="s">
        <v>2166</v>
      </c>
      <c r="R1597" s="8">
        <v>197</v>
      </c>
    </row>
    <row r="1598" spans="1:18" ht="25" customHeight="1">
      <c r="A1598" s="12">
        <v>121</v>
      </c>
      <c r="B1598" s="8" t="s">
        <v>2069</v>
      </c>
      <c r="C1598" s="8" t="s">
        <v>716</v>
      </c>
      <c r="D1598" s="8" t="s">
        <v>46</v>
      </c>
      <c r="E1598" s="8">
        <v>1</v>
      </c>
      <c r="F1598" s="11">
        <v>0.07692307692307693</v>
      </c>
      <c r="G1598" s="8">
        <v>0</v>
      </c>
      <c r="H1598" s="8">
        <v>0</v>
      </c>
      <c r="I1598" s="8">
        <v>0</v>
      </c>
      <c r="J1598" s="8">
        <v>0</v>
      </c>
      <c r="K1598" s="8">
        <v>7</v>
      </c>
      <c r="L1598" s="8">
        <v>0</v>
      </c>
      <c r="M1598" s="8">
        <v>1</v>
      </c>
      <c r="N1598" s="8" t="s">
        <v>791</v>
      </c>
      <c r="O1598" s="8">
        <v>23</v>
      </c>
      <c r="P1598" s="8" t="s">
        <v>2165</v>
      </c>
      <c r="Q1598" s="8" t="s">
        <v>2166</v>
      </c>
      <c r="R1598" s="8">
        <v>199</v>
      </c>
    </row>
    <row r="1599" spans="1:18" ht="25" customHeight="1">
      <c r="A1599" s="12">
        <v>122</v>
      </c>
      <c r="B1599" s="8" t="s">
        <v>2069</v>
      </c>
      <c r="C1599" s="8" t="s">
        <v>711</v>
      </c>
      <c r="D1599" s="8" t="s">
        <v>48</v>
      </c>
      <c r="E1599" s="8">
        <v>2</v>
      </c>
      <c r="F1599" s="11">
        <v>0.09090909090909091</v>
      </c>
      <c r="G1599" s="8">
        <v>0</v>
      </c>
      <c r="H1599" s="8">
        <v>0</v>
      </c>
      <c r="I1599" s="8">
        <v>0</v>
      </c>
      <c r="J1599" s="8">
        <v>0</v>
      </c>
      <c r="K1599" s="11">
        <v>10.5</v>
      </c>
      <c r="L1599" s="8">
        <v>0</v>
      </c>
      <c r="M1599" s="8">
        <v>1</v>
      </c>
      <c r="N1599" s="8" t="s">
        <v>791</v>
      </c>
      <c r="O1599" s="8">
        <v>20</v>
      </c>
      <c r="P1599" s="8" t="s">
        <v>2165</v>
      </c>
      <c r="Q1599" s="8" t="s">
        <v>2166</v>
      </c>
      <c r="R1599" s="8">
        <v>200</v>
      </c>
    </row>
    <row r="1600" spans="1:18" ht="25" customHeight="1">
      <c r="A1600" s="12">
        <v>123</v>
      </c>
      <c r="B1600" s="8" t="s">
        <v>2069</v>
      </c>
      <c r="C1600" s="8" t="s">
        <v>711</v>
      </c>
      <c r="D1600" s="8" t="s">
        <v>80</v>
      </c>
      <c r="E1600" s="8">
        <v>1</v>
      </c>
      <c r="F1600" s="11">
        <v>0.04545454545454546</v>
      </c>
      <c r="G1600" s="8">
        <v>1</v>
      </c>
      <c r="H1600" s="8">
        <v>1</v>
      </c>
      <c r="I1600" s="8">
        <v>0</v>
      </c>
      <c r="J1600" s="8">
        <v>0</v>
      </c>
      <c r="K1600" s="8">
        <v>2</v>
      </c>
      <c r="L1600" s="8">
        <v>1</v>
      </c>
      <c r="M1600" s="8">
        <v>0</v>
      </c>
      <c r="N1600" s="8" t="s">
        <v>791</v>
      </c>
      <c r="O1600" s="8">
        <v>98</v>
      </c>
      <c r="P1600" s="8" t="s">
        <v>2165</v>
      </c>
      <c r="Q1600" s="8" t="s">
        <v>2166</v>
      </c>
      <c r="R1600" s="8">
        <v>201</v>
      </c>
    </row>
    <row r="1601" spans="1:18" ht="25" customHeight="1">
      <c r="A1601" s="12">
        <v>124</v>
      </c>
      <c r="B1601" s="8" t="s">
        <v>2069</v>
      </c>
      <c r="C1601" s="8" t="s">
        <v>706</v>
      </c>
      <c r="D1601" s="8" t="s">
        <v>53</v>
      </c>
      <c r="E1601" s="8">
        <v>1</v>
      </c>
      <c r="F1601" s="11">
        <v>0.125</v>
      </c>
      <c r="G1601" s="8">
        <v>0</v>
      </c>
      <c r="H1601" s="8">
        <v>0</v>
      </c>
      <c r="I1601" s="8">
        <v>0</v>
      </c>
      <c r="J1601" s="8">
        <v>0</v>
      </c>
      <c r="K1601" s="8">
        <v>11</v>
      </c>
      <c r="L1601" s="8">
        <v>1</v>
      </c>
      <c r="M1601" s="8">
        <v>0</v>
      </c>
      <c r="N1601" s="8" t="s">
        <v>791</v>
      </c>
      <c r="O1601" s="8">
        <v>20</v>
      </c>
      <c r="P1601" s="8" t="s">
        <v>2165</v>
      </c>
      <c r="Q1601" s="8" t="s">
        <v>2166</v>
      </c>
      <c r="R1601" s="8">
        <v>202</v>
      </c>
    </row>
    <row r="1602" spans="1:18" ht="25" customHeight="1">
      <c r="A1602" s="12">
        <v>125</v>
      </c>
      <c r="B1602" s="8" t="s">
        <v>2069</v>
      </c>
      <c r="C1602" s="8" t="s">
        <v>716</v>
      </c>
      <c r="D1602" s="8" t="s">
        <v>109</v>
      </c>
      <c r="E1602" s="8">
        <v>1</v>
      </c>
      <c r="F1602" s="11">
        <v>0.07692307692307693</v>
      </c>
      <c r="G1602" s="8">
        <v>0</v>
      </c>
      <c r="H1602" s="8">
        <v>0</v>
      </c>
      <c r="I1602" s="8">
        <v>1</v>
      </c>
      <c r="J1602" s="8">
        <v>1</v>
      </c>
      <c r="K1602" s="8">
        <v>16</v>
      </c>
      <c r="L1602" s="8">
        <v>0</v>
      </c>
      <c r="M1602" s="8">
        <v>1</v>
      </c>
      <c r="N1602" s="8" t="s">
        <v>791</v>
      </c>
      <c r="O1602" s="8">
        <v>0</v>
      </c>
      <c r="P1602" s="8" t="s">
        <v>2161</v>
      </c>
      <c r="Q1602" s="8" t="s">
        <v>2162</v>
      </c>
      <c r="R1602" s="8">
        <v>203</v>
      </c>
    </row>
    <row r="1603" spans="1:18" ht="25" customHeight="1">
      <c r="A1603" s="12">
        <v>126</v>
      </c>
      <c r="B1603" s="8" t="s">
        <v>2069</v>
      </c>
      <c r="C1603" s="8" t="s">
        <v>716</v>
      </c>
      <c r="D1603" s="8" t="s">
        <v>61</v>
      </c>
      <c r="E1603" s="8">
        <v>1</v>
      </c>
      <c r="F1603" s="11">
        <v>0.07692307692307693</v>
      </c>
      <c r="G1603" s="8">
        <v>0</v>
      </c>
      <c r="H1603" s="8">
        <v>0</v>
      </c>
      <c r="I1603" s="8">
        <v>0</v>
      </c>
      <c r="J1603" s="8">
        <v>0</v>
      </c>
      <c r="K1603" s="8">
        <v>13</v>
      </c>
      <c r="L1603" s="8">
        <v>0</v>
      </c>
      <c r="M1603" s="8">
        <v>1</v>
      </c>
      <c r="N1603" s="8" t="s">
        <v>791</v>
      </c>
      <c r="O1603" s="8">
        <v>20</v>
      </c>
      <c r="P1603" s="8" t="s">
        <v>2165</v>
      </c>
      <c r="Q1603" s="8" t="s">
        <v>2166</v>
      </c>
      <c r="R1603" s="8">
        <v>204</v>
      </c>
    </row>
    <row r="1604" spans="1:18" ht="25" customHeight="1">
      <c r="A1604" s="12">
        <v>127</v>
      </c>
      <c r="B1604" s="8" t="s">
        <v>2069</v>
      </c>
      <c r="C1604" s="8" t="s">
        <v>711</v>
      </c>
      <c r="D1604" s="8" t="s">
        <v>106</v>
      </c>
      <c r="E1604" s="8">
        <v>1</v>
      </c>
      <c r="F1604" s="11">
        <v>0.04545454545454546</v>
      </c>
      <c r="G1604" s="8">
        <v>0</v>
      </c>
      <c r="H1604" s="8">
        <v>0</v>
      </c>
      <c r="I1604" s="8">
        <v>1</v>
      </c>
      <c r="J1604" s="8">
        <v>1</v>
      </c>
      <c r="K1604" s="8">
        <v>22</v>
      </c>
      <c r="L1604" s="8">
        <v>0</v>
      </c>
      <c r="M1604" s="8">
        <v>1</v>
      </c>
      <c r="N1604" s="8" t="s">
        <v>791</v>
      </c>
      <c r="O1604" s="8">
        <v>0</v>
      </c>
      <c r="P1604" s="8" t="s">
        <v>2161</v>
      </c>
      <c r="Q1604" s="8" t="s">
        <v>2162</v>
      </c>
      <c r="R1604" s="8">
        <v>205</v>
      </c>
    </row>
    <row r="1605" spans="1:18" ht="25" customHeight="1">
      <c r="A1605" s="12">
        <v>128</v>
      </c>
      <c r="B1605" s="8" t="s">
        <v>2069</v>
      </c>
      <c r="C1605" s="8" t="s">
        <v>711</v>
      </c>
      <c r="D1605" s="8" t="s">
        <v>84</v>
      </c>
      <c r="E1605" s="8">
        <v>1</v>
      </c>
      <c r="F1605" s="11">
        <v>0.04545454545454546</v>
      </c>
      <c r="G1605" s="8">
        <v>1</v>
      </c>
      <c r="H1605" s="8">
        <v>1</v>
      </c>
      <c r="I1605" s="8">
        <v>0</v>
      </c>
      <c r="J1605" s="8">
        <v>0</v>
      </c>
      <c r="K1605" s="8">
        <v>0</v>
      </c>
      <c r="L1605" s="8">
        <v>0</v>
      </c>
      <c r="M1605" s="8">
        <v>1</v>
      </c>
      <c r="N1605" s="8" t="s">
        <v>791</v>
      </c>
      <c r="O1605" s="8">
        <v>100</v>
      </c>
      <c r="P1605" s="8" t="s">
        <v>2165</v>
      </c>
      <c r="Q1605" s="8" t="s">
        <v>2166</v>
      </c>
      <c r="R1605" s="8">
        <v>206</v>
      </c>
    </row>
    <row r="1606" spans="1:18" ht="25" customHeight="1">
      <c r="A1606" s="12">
        <v>129</v>
      </c>
      <c r="B1606" s="8" t="s">
        <v>2069</v>
      </c>
      <c r="C1606" s="8" t="s">
        <v>711</v>
      </c>
      <c r="D1606" s="8" t="s">
        <v>65</v>
      </c>
      <c r="E1606" s="8">
        <v>1</v>
      </c>
      <c r="F1606" s="11">
        <v>0.04545454545454546</v>
      </c>
      <c r="G1606" s="8">
        <v>0</v>
      </c>
      <c r="H1606" s="8">
        <v>0</v>
      </c>
      <c r="I1606" s="8">
        <v>0</v>
      </c>
      <c r="J1606" s="8">
        <v>0</v>
      </c>
      <c r="K1606" s="8">
        <v>5</v>
      </c>
      <c r="L1606" s="8">
        <v>0</v>
      </c>
      <c r="M1606" s="8">
        <v>1</v>
      </c>
      <c r="N1606" s="8" t="s">
        <v>791</v>
      </c>
      <c r="O1606" s="8">
        <v>25</v>
      </c>
      <c r="P1606" s="8" t="s">
        <v>2165</v>
      </c>
      <c r="Q1606" s="8" t="s">
        <v>2166</v>
      </c>
      <c r="R1606" s="8">
        <v>207</v>
      </c>
    </row>
    <row r="1607" spans="1:18" ht="25" customHeight="1">
      <c r="A1607" s="12">
        <v>130</v>
      </c>
      <c r="B1607" s="8" t="s">
        <v>2069</v>
      </c>
      <c r="C1607" s="8" t="s">
        <v>711</v>
      </c>
      <c r="D1607" s="8" t="s">
        <v>69</v>
      </c>
      <c r="E1607" s="8">
        <v>1</v>
      </c>
      <c r="F1607" s="11">
        <v>0.04545454545454546</v>
      </c>
      <c r="G1607" s="8">
        <v>0</v>
      </c>
      <c r="H1607" s="8">
        <v>0</v>
      </c>
      <c r="I1607" s="8">
        <v>1</v>
      </c>
      <c r="J1607" s="8">
        <v>1</v>
      </c>
      <c r="K1607" s="8">
        <v>19</v>
      </c>
      <c r="L1607" s="8">
        <v>1</v>
      </c>
      <c r="M1607" s="8">
        <v>0</v>
      </c>
      <c r="N1607" s="8" t="s">
        <v>791</v>
      </c>
      <c r="O1607" s="8">
        <v>0</v>
      </c>
      <c r="P1607" s="8" t="s">
        <v>2161</v>
      </c>
      <c r="Q1607" s="8" t="s">
        <v>2162</v>
      </c>
      <c r="R1607" s="8">
        <v>208</v>
      </c>
    </row>
    <row r="1608" spans="1:18" ht="25" customHeight="1">
      <c r="A1608" s="12">
        <v>131</v>
      </c>
      <c r="B1608" s="8" t="s">
        <v>2069</v>
      </c>
      <c r="C1608" s="8" t="s">
        <v>716</v>
      </c>
      <c r="D1608" s="8" t="s">
        <v>91</v>
      </c>
      <c r="E1608" s="8">
        <v>1</v>
      </c>
      <c r="F1608" s="11">
        <v>0.07692307692307693</v>
      </c>
      <c r="G1608" s="8">
        <v>1</v>
      </c>
      <c r="H1608" s="8">
        <v>1</v>
      </c>
      <c r="I1608" s="8">
        <v>0</v>
      </c>
      <c r="J1608" s="8">
        <v>0</v>
      </c>
      <c r="K1608" s="8">
        <v>0</v>
      </c>
      <c r="L1608" s="8">
        <v>0</v>
      </c>
      <c r="M1608" s="8">
        <v>1</v>
      </c>
      <c r="N1608" s="8" t="s">
        <v>791</v>
      </c>
      <c r="O1608" s="8">
        <v>100</v>
      </c>
      <c r="P1608" s="8" t="s">
        <v>2165</v>
      </c>
      <c r="Q1608" s="8" t="s">
        <v>2166</v>
      </c>
      <c r="R1608" s="8">
        <v>209</v>
      </c>
    </row>
    <row r="1609" spans="1:18" ht="25" customHeight="1">
      <c r="A1609" s="12">
        <v>132</v>
      </c>
      <c r="B1609" s="8" t="s">
        <v>2070</v>
      </c>
      <c r="C1609" s="8" t="s">
        <v>706</v>
      </c>
      <c r="D1609" s="8" t="s">
        <v>60</v>
      </c>
      <c r="E1609" s="8">
        <v>1</v>
      </c>
      <c r="F1609" s="11">
        <v>0.2</v>
      </c>
      <c r="G1609" s="8">
        <v>1</v>
      </c>
      <c r="H1609" s="8">
        <v>1</v>
      </c>
      <c r="I1609" s="8">
        <v>0</v>
      </c>
      <c r="J1609" s="8">
        <v>0</v>
      </c>
      <c r="K1609" s="8">
        <v>1</v>
      </c>
      <c r="L1609" s="8">
        <v>1</v>
      </c>
      <c r="M1609" s="8">
        <v>0</v>
      </c>
      <c r="N1609" s="8" t="s">
        <v>791</v>
      </c>
      <c r="O1609" s="8">
        <v>99</v>
      </c>
      <c r="P1609" s="8" t="s">
        <v>2165</v>
      </c>
      <c r="Q1609" s="8" t="s">
        <v>2166</v>
      </c>
      <c r="R1609" s="8">
        <v>210</v>
      </c>
    </row>
    <row r="1610" spans="1:18" ht="25" customHeight="1">
      <c r="A1610" s="12">
        <v>133</v>
      </c>
      <c r="B1610" s="8" t="s">
        <v>2070</v>
      </c>
      <c r="C1610" s="8" t="s">
        <v>706</v>
      </c>
      <c r="D1610" s="8" t="s">
        <v>35</v>
      </c>
      <c r="E1610" s="8">
        <v>1</v>
      </c>
      <c r="F1610" s="11">
        <v>0.2</v>
      </c>
      <c r="G1610" s="8">
        <v>0</v>
      </c>
      <c r="H1610" s="8">
        <v>0</v>
      </c>
      <c r="I1610" s="8">
        <v>0</v>
      </c>
      <c r="J1610" s="8">
        <v>0</v>
      </c>
      <c r="K1610" s="8">
        <v>5</v>
      </c>
      <c r="L1610" s="8">
        <v>1</v>
      </c>
      <c r="M1610" s="8">
        <v>0</v>
      </c>
      <c r="N1610" s="8" t="s">
        <v>791</v>
      </c>
      <c r="O1610" s="8">
        <v>25</v>
      </c>
      <c r="P1610" s="8" t="s">
        <v>2165</v>
      </c>
      <c r="Q1610" s="8" t="s">
        <v>2166</v>
      </c>
      <c r="R1610" s="8">
        <v>211</v>
      </c>
    </row>
    <row r="1611" spans="1:18" ht="25" customHeight="1">
      <c r="A1611" s="12">
        <v>134</v>
      </c>
      <c r="B1611" s="8" t="s">
        <v>2070</v>
      </c>
      <c r="C1611" s="8" t="s">
        <v>711</v>
      </c>
      <c r="D1611" s="8" t="s">
        <v>27</v>
      </c>
      <c r="E1611" s="8">
        <v>1</v>
      </c>
      <c r="F1611" s="11">
        <v>0.5</v>
      </c>
      <c r="G1611" s="8">
        <v>1</v>
      </c>
      <c r="H1611" s="8">
        <v>1</v>
      </c>
      <c r="I1611" s="8">
        <v>0</v>
      </c>
      <c r="J1611" s="8">
        <v>0</v>
      </c>
      <c r="K1611" s="8">
        <v>0</v>
      </c>
      <c r="L1611" s="8">
        <v>0</v>
      </c>
      <c r="M1611" s="8">
        <v>1</v>
      </c>
      <c r="N1611" s="8" t="s">
        <v>791</v>
      </c>
      <c r="O1611" s="8">
        <v>100</v>
      </c>
      <c r="P1611" s="8" t="s">
        <v>2165</v>
      </c>
      <c r="Q1611" s="8" t="s">
        <v>2166</v>
      </c>
      <c r="R1611" s="8">
        <v>212</v>
      </c>
    </row>
    <row r="1612" spans="1:18" ht="25" customHeight="1">
      <c r="A1612" s="12">
        <v>135</v>
      </c>
      <c r="B1612" s="8" t="s">
        <v>2070</v>
      </c>
      <c r="C1612" s="8" t="s">
        <v>706</v>
      </c>
      <c r="D1612" s="8" t="s">
        <v>27</v>
      </c>
      <c r="E1612" s="8">
        <v>2</v>
      </c>
      <c r="F1612" s="11">
        <v>0.4</v>
      </c>
      <c r="G1612" s="8">
        <v>0</v>
      </c>
      <c r="H1612" s="8">
        <v>0</v>
      </c>
      <c r="I1612" s="8">
        <v>1</v>
      </c>
      <c r="J1612" s="11">
        <v>0.5</v>
      </c>
      <c r="K1612" s="11">
        <v>13.5</v>
      </c>
      <c r="L1612" s="8">
        <v>0</v>
      </c>
      <c r="M1612" s="8">
        <v>1</v>
      </c>
      <c r="N1612" s="8" t="s">
        <v>791</v>
      </c>
      <c r="O1612" s="8">
        <v>10</v>
      </c>
      <c r="P1612" s="8" t="s">
        <v>2161</v>
      </c>
      <c r="Q1612" s="8" t="s">
        <v>2162</v>
      </c>
      <c r="R1612" s="8">
        <v>213</v>
      </c>
    </row>
    <row r="1613" spans="1:18" ht="25" customHeight="1">
      <c r="A1613" s="12">
        <v>136</v>
      </c>
      <c r="B1613" s="8" t="s">
        <v>2070</v>
      </c>
      <c r="C1613" s="8" t="s">
        <v>711</v>
      </c>
      <c r="D1613" s="8" t="s">
        <v>42</v>
      </c>
      <c r="E1613" s="8">
        <v>1</v>
      </c>
      <c r="F1613" s="11">
        <v>0.5</v>
      </c>
      <c r="G1613" s="8">
        <v>0</v>
      </c>
      <c r="H1613" s="8">
        <v>0</v>
      </c>
      <c r="I1613" s="8">
        <v>1</v>
      </c>
      <c r="J1613" s="8">
        <v>1</v>
      </c>
      <c r="K1613" s="8">
        <v>29</v>
      </c>
      <c r="L1613" s="8">
        <v>0</v>
      </c>
      <c r="M1613" s="8">
        <v>1</v>
      </c>
      <c r="N1613" s="8" t="s">
        <v>791</v>
      </c>
      <c r="O1613" s="8">
        <v>0</v>
      </c>
      <c r="P1613" s="8" t="s">
        <v>2161</v>
      </c>
      <c r="Q1613" s="8" t="s">
        <v>2162</v>
      </c>
      <c r="R1613" s="8">
        <v>214</v>
      </c>
    </row>
    <row r="1614" spans="1:18" ht="25" customHeight="1">
      <c r="A1614" s="12">
        <v>137</v>
      </c>
      <c r="B1614" s="8" t="s">
        <v>2063</v>
      </c>
      <c r="C1614" s="8" t="s">
        <v>115</v>
      </c>
      <c r="D1614" s="8" t="s">
        <v>117</v>
      </c>
      <c r="E1614" s="8">
        <v>1</v>
      </c>
      <c r="F1614" s="11">
        <v>0.02439024390243903</v>
      </c>
      <c r="G1614" s="8">
        <v>0</v>
      </c>
      <c r="H1614" s="8">
        <v>0</v>
      </c>
      <c r="I1614" s="8">
        <v>1</v>
      </c>
      <c r="J1614" s="8">
        <v>1</v>
      </c>
      <c r="K1614" s="8">
        <v>16</v>
      </c>
      <c r="L1614" s="8">
        <v>0</v>
      </c>
      <c r="M1614" s="8">
        <v>1</v>
      </c>
      <c r="N1614" s="8" t="s">
        <v>791</v>
      </c>
      <c r="O1614" s="8">
        <v>0</v>
      </c>
      <c r="P1614" s="8" t="s">
        <v>2161</v>
      </c>
      <c r="Q1614" s="8" t="s">
        <v>2162</v>
      </c>
      <c r="R1614" s="8">
        <v>220</v>
      </c>
    </row>
    <row r="1615" spans="1:18" ht="25" customHeight="1">
      <c r="A1615" s="12">
        <v>138</v>
      </c>
      <c r="B1615" s="8" t="s">
        <v>2063</v>
      </c>
      <c r="C1615" s="8" t="s">
        <v>115</v>
      </c>
      <c r="D1615" s="8" t="s">
        <v>73</v>
      </c>
      <c r="E1615" s="8">
        <v>1</v>
      </c>
      <c r="F1615" s="11">
        <v>0.02439024390243903</v>
      </c>
      <c r="G1615" s="8">
        <v>1</v>
      </c>
      <c r="H1615" s="8">
        <v>1</v>
      </c>
      <c r="I1615" s="8">
        <v>0</v>
      </c>
      <c r="J1615" s="8">
        <v>0</v>
      </c>
      <c r="K1615" s="8">
        <v>0</v>
      </c>
      <c r="L1615" s="8">
        <v>0</v>
      </c>
      <c r="M1615" s="8">
        <v>1</v>
      </c>
      <c r="N1615" s="8" t="s">
        <v>791</v>
      </c>
      <c r="O1615" s="8">
        <v>100</v>
      </c>
      <c r="P1615" s="8" t="s">
        <v>2165</v>
      </c>
      <c r="Q1615" s="8" t="s">
        <v>2166</v>
      </c>
      <c r="R1615" s="8">
        <v>221</v>
      </c>
    </row>
    <row r="1616" spans="1:18" ht="25" customHeight="1">
      <c r="A1616" s="12">
        <v>139</v>
      </c>
      <c r="B1616" s="8" t="s">
        <v>2063</v>
      </c>
      <c r="C1616" s="8" t="s">
        <v>115</v>
      </c>
      <c r="D1616" s="8" t="s">
        <v>67</v>
      </c>
      <c r="E1616" s="8">
        <v>1</v>
      </c>
      <c r="F1616" s="11">
        <v>0.02439024390243903</v>
      </c>
      <c r="G1616" s="8">
        <v>1</v>
      </c>
      <c r="H1616" s="8">
        <v>1</v>
      </c>
      <c r="I1616" s="8">
        <v>0</v>
      </c>
      <c r="J1616" s="8">
        <v>0</v>
      </c>
      <c r="K1616" s="8">
        <v>3</v>
      </c>
      <c r="L1616" s="8">
        <v>1</v>
      </c>
      <c r="M1616" s="8">
        <v>0</v>
      </c>
      <c r="N1616" s="8" t="s">
        <v>791</v>
      </c>
      <c r="O1616" s="8">
        <v>97</v>
      </c>
      <c r="P1616" s="8" t="s">
        <v>2165</v>
      </c>
      <c r="Q1616" s="8" t="s">
        <v>2166</v>
      </c>
      <c r="R1616" s="8">
        <v>222</v>
      </c>
    </row>
    <row r="1617" spans="1:18" ht="25" customHeight="1">
      <c r="A1617" s="12">
        <v>140</v>
      </c>
      <c r="B1617" s="8" t="s">
        <v>2066</v>
      </c>
      <c r="C1617" s="8" t="s">
        <v>716</v>
      </c>
      <c r="D1617" s="8" t="s">
        <v>67</v>
      </c>
      <c r="E1617" s="8">
        <v>3</v>
      </c>
      <c r="F1617" s="11">
        <v>0.04054054054054054</v>
      </c>
      <c r="G1617" s="8">
        <v>1</v>
      </c>
      <c r="H1617" s="11">
        <v>0.3333333333333333</v>
      </c>
      <c r="I1617" s="8">
        <v>0</v>
      </c>
      <c r="J1617" s="8">
        <v>0</v>
      </c>
      <c r="K1617" s="11">
        <v>1.666666666666667</v>
      </c>
      <c r="L1617" s="8">
        <v>1</v>
      </c>
      <c r="M1617" s="8">
        <v>0</v>
      </c>
      <c r="N1617" s="8" t="s">
        <v>801</v>
      </c>
      <c r="O1617" s="11">
        <v>51.7</v>
      </c>
      <c r="P1617" s="8" t="s">
        <v>2180</v>
      </c>
      <c r="Q1617" s="8" t="s">
        <v>2168</v>
      </c>
      <c r="R1617" s="8">
        <v>234</v>
      </c>
    </row>
    <row r="1618" spans="1:18" ht="25" customHeight="1">
      <c r="A1618" s="12">
        <v>141</v>
      </c>
      <c r="B1618" s="8" t="s">
        <v>2066</v>
      </c>
      <c r="C1618" s="8" t="s">
        <v>716</v>
      </c>
      <c r="D1618" s="8" t="s">
        <v>40</v>
      </c>
      <c r="E1618" s="8">
        <v>1</v>
      </c>
      <c r="F1618" s="11">
        <v>0.01351351351351351</v>
      </c>
      <c r="G1618" s="8">
        <v>0</v>
      </c>
      <c r="H1618" s="8">
        <v>0</v>
      </c>
      <c r="I1618" s="8">
        <v>0</v>
      </c>
      <c r="J1618" s="8">
        <v>0</v>
      </c>
      <c r="K1618" s="8">
        <v>5</v>
      </c>
      <c r="L1618" s="8">
        <v>1</v>
      </c>
      <c r="M1618" s="8">
        <v>0</v>
      </c>
      <c r="N1618" s="8" t="s">
        <v>791</v>
      </c>
      <c r="O1618" s="8">
        <v>25</v>
      </c>
      <c r="P1618" s="8" t="s">
        <v>2165</v>
      </c>
      <c r="Q1618" s="8" t="s">
        <v>2166</v>
      </c>
      <c r="R1618" s="8">
        <v>237</v>
      </c>
    </row>
    <row r="1619" spans="1:18" ht="25" customHeight="1">
      <c r="A1619" s="12">
        <v>142</v>
      </c>
      <c r="B1619" s="8" t="s">
        <v>2066</v>
      </c>
      <c r="C1619" s="8" t="s">
        <v>716</v>
      </c>
      <c r="D1619" s="8" t="s">
        <v>59</v>
      </c>
      <c r="E1619" s="8">
        <v>1</v>
      </c>
      <c r="F1619" s="11">
        <v>0.01351351351351351</v>
      </c>
      <c r="G1619" s="8">
        <v>0</v>
      </c>
      <c r="H1619" s="8">
        <v>0</v>
      </c>
      <c r="I1619" s="8">
        <v>1</v>
      </c>
      <c r="J1619" s="8">
        <v>1</v>
      </c>
      <c r="K1619" s="8">
        <v>16</v>
      </c>
      <c r="L1619" s="8">
        <v>1</v>
      </c>
      <c r="M1619" s="8">
        <v>0</v>
      </c>
      <c r="N1619" s="8" t="s">
        <v>791</v>
      </c>
      <c r="O1619" s="8">
        <v>0</v>
      </c>
      <c r="P1619" s="8" t="s">
        <v>2161</v>
      </c>
      <c r="Q1619" s="8" t="s">
        <v>2162</v>
      </c>
      <c r="R1619" s="8">
        <v>242</v>
      </c>
    </row>
    <row r="1620" spans="1:18" ht="25" customHeight="1">
      <c r="A1620" s="12">
        <v>143</v>
      </c>
      <c r="B1620" s="8" t="s">
        <v>2066</v>
      </c>
      <c r="C1620" s="8" t="s">
        <v>716</v>
      </c>
      <c r="D1620" s="8" t="s">
        <v>63</v>
      </c>
      <c r="E1620" s="8">
        <v>1</v>
      </c>
      <c r="F1620" s="11">
        <v>0.01351351351351351</v>
      </c>
      <c r="G1620" s="8">
        <v>0</v>
      </c>
      <c r="H1620" s="8">
        <v>0</v>
      </c>
      <c r="I1620" s="8">
        <v>0</v>
      </c>
      <c r="J1620" s="8">
        <v>0</v>
      </c>
      <c r="K1620" s="8">
        <v>7</v>
      </c>
      <c r="L1620" s="8">
        <v>1</v>
      </c>
      <c r="M1620" s="8">
        <v>0</v>
      </c>
      <c r="N1620" s="8" t="s">
        <v>791</v>
      </c>
      <c r="O1620" s="8">
        <v>23</v>
      </c>
      <c r="P1620" s="8" t="s">
        <v>2165</v>
      </c>
      <c r="Q1620" s="8" t="s">
        <v>2166</v>
      </c>
      <c r="R1620" s="8">
        <v>245</v>
      </c>
    </row>
    <row r="1621" spans="1:18" ht="25" customHeight="1">
      <c r="A1621" s="12">
        <v>144</v>
      </c>
      <c r="B1621" s="8" t="s">
        <v>2067</v>
      </c>
      <c r="C1621" s="8" t="s">
        <v>711</v>
      </c>
      <c r="D1621" s="8" t="s">
        <v>35</v>
      </c>
      <c r="E1621" s="8">
        <v>2</v>
      </c>
      <c r="F1621" s="11">
        <v>0.08333333333333333</v>
      </c>
      <c r="G1621" s="8">
        <v>2</v>
      </c>
      <c r="H1621" s="8">
        <v>1</v>
      </c>
      <c r="I1621" s="8">
        <v>0</v>
      </c>
      <c r="J1621" s="8">
        <v>0</v>
      </c>
      <c r="K1621" s="11">
        <v>0.5</v>
      </c>
      <c r="L1621" s="11">
        <v>0.5</v>
      </c>
      <c r="M1621" s="11">
        <v>0.5</v>
      </c>
      <c r="N1621" s="8" t="s">
        <v>791</v>
      </c>
      <c r="O1621" s="11">
        <v>99.5</v>
      </c>
      <c r="P1621" s="8" t="s">
        <v>2165</v>
      </c>
      <c r="Q1621" s="8" t="s">
        <v>2166</v>
      </c>
      <c r="R1621" s="8">
        <v>247</v>
      </c>
    </row>
    <row r="1622" spans="1:18" ht="25" customHeight="1">
      <c r="A1622" s="12">
        <v>145</v>
      </c>
      <c r="B1622" s="8" t="s">
        <v>2067</v>
      </c>
      <c r="C1622" s="8" t="s">
        <v>706</v>
      </c>
      <c r="D1622" s="8" t="s">
        <v>35</v>
      </c>
      <c r="E1622" s="8">
        <v>1</v>
      </c>
      <c r="F1622" s="11">
        <v>0.06666666666666667</v>
      </c>
      <c r="G1622" s="8">
        <v>0</v>
      </c>
      <c r="H1622" s="8">
        <v>0</v>
      </c>
      <c r="I1622" s="8">
        <v>1</v>
      </c>
      <c r="J1622" s="8">
        <v>1</v>
      </c>
      <c r="K1622" s="8">
        <v>16</v>
      </c>
      <c r="L1622" s="8">
        <v>1</v>
      </c>
      <c r="M1622" s="8">
        <v>0</v>
      </c>
      <c r="N1622" s="8" t="s">
        <v>791</v>
      </c>
      <c r="O1622" s="8">
        <v>0</v>
      </c>
      <c r="P1622" s="8" t="s">
        <v>2161</v>
      </c>
      <c r="Q1622" s="8" t="s">
        <v>2162</v>
      </c>
      <c r="R1622" s="8">
        <v>248</v>
      </c>
    </row>
    <row r="1623" spans="1:18" ht="25" customHeight="1">
      <c r="A1623" s="12">
        <v>146</v>
      </c>
      <c r="B1623" s="8" t="s">
        <v>2067</v>
      </c>
      <c r="C1623" s="8" t="s">
        <v>711</v>
      </c>
      <c r="D1623" s="8" t="s">
        <v>40</v>
      </c>
      <c r="E1623" s="8">
        <v>1</v>
      </c>
      <c r="F1623" s="11">
        <v>0.04166666666666666</v>
      </c>
      <c r="G1623" s="8">
        <v>0</v>
      </c>
      <c r="H1623" s="8">
        <v>0</v>
      </c>
      <c r="I1623" s="8">
        <v>0</v>
      </c>
      <c r="J1623" s="8">
        <v>0</v>
      </c>
      <c r="K1623" s="8">
        <v>7</v>
      </c>
      <c r="L1623" s="8">
        <v>1</v>
      </c>
      <c r="M1623" s="8">
        <v>0</v>
      </c>
      <c r="N1623" s="8" t="s">
        <v>791</v>
      </c>
      <c r="O1623" s="8">
        <v>23</v>
      </c>
      <c r="P1623" s="8" t="s">
        <v>2165</v>
      </c>
      <c r="Q1623" s="8" t="s">
        <v>2166</v>
      </c>
      <c r="R1623" s="8">
        <v>251</v>
      </c>
    </row>
    <row r="1624" spans="1:18" ht="25" customHeight="1">
      <c r="A1624" s="12">
        <v>147</v>
      </c>
      <c r="B1624" s="8" t="s">
        <v>2067</v>
      </c>
      <c r="C1624" s="8" t="s">
        <v>716</v>
      </c>
      <c r="D1624" s="8" t="s">
        <v>40</v>
      </c>
      <c r="E1624" s="8">
        <v>1</v>
      </c>
      <c r="F1624" s="11">
        <v>0.02564102564102564</v>
      </c>
      <c r="G1624" s="8">
        <v>0</v>
      </c>
      <c r="H1624" s="8">
        <v>0</v>
      </c>
      <c r="I1624" s="8">
        <v>0</v>
      </c>
      <c r="J1624" s="8">
        <v>0</v>
      </c>
      <c r="K1624" s="8">
        <v>7</v>
      </c>
      <c r="L1624" s="8">
        <v>1</v>
      </c>
      <c r="M1624" s="8">
        <v>0</v>
      </c>
      <c r="N1624" s="8" t="s">
        <v>791</v>
      </c>
      <c r="O1624" s="8">
        <v>23</v>
      </c>
      <c r="P1624" s="8" t="s">
        <v>2165</v>
      </c>
      <c r="Q1624" s="8" t="s">
        <v>2166</v>
      </c>
      <c r="R1624" s="8">
        <v>252</v>
      </c>
    </row>
    <row r="1625" spans="1:18" ht="25" customHeight="1">
      <c r="A1625" s="12">
        <v>148</v>
      </c>
      <c r="B1625" s="8" t="s">
        <v>2067</v>
      </c>
      <c r="C1625" s="8" t="s">
        <v>716</v>
      </c>
      <c r="D1625" s="8" t="s">
        <v>61</v>
      </c>
      <c r="E1625" s="8">
        <v>1</v>
      </c>
      <c r="F1625" s="11">
        <v>0.02564102564102564</v>
      </c>
      <c r="G1625" s="8">
        <v>0</v>
      </c>
      <c r="H1625" s="8">
        <v>0</v>
      </c>
      <c r="I1625" s="8">
        <v>0</v>
      </c>
      <c r="J1625" s="8">
        <v>0</v>
      </c>
      <c r="K1625" s="8">
        <v>4</v>
      </c>
      <c r="L1625" s="8">
        <v>1</v>
      </c>
      <c r="M1625" s="8">
        <v>0</v>
      </c>
      <c r="N1625" s="8" t="s">
        <v>791</v>
      </c>
      <c r="O1625" s="8">
        <v>26</v>
      </c>
      <c r="P1625" s="8" t="s">
        <v>2165</v>
      </c>
      <c r="Q1625" s="8" t="s">
        <v>2166</v>
      </c>
      <c r="R1625" s="8">
        <v>255</v>
      </c>
    </row>
    <row r="1626" spans="1:18" ht="25" customHeight="1">
      <c r="A1626" s="12">
        <v>149</v>
      </c>
      <c r="B1626" s="8" t="s">
        <v>2067</v>
      </c>
      <c r="C1626" s="8" t="s">
        <v>711</v>
      </c>
      <c r="D1626" s="8" t="s">
        <v>27</v>
      </c>
      <c r="E1626" s="8">
        <v>1</v>
      </c>
      <c r="F1626" s="11">
        <v>0.04166666666666666</v>
      </c>
      <c r="G1626" s="8">
        <v>1</v>
      </c>
      <c r="H1626" s="8">
        <v>1</v>
      </c>
      <c r="I1626" s="8">
        <v>0</v>
      </c>
      <c r="J1626" s="8">
        <v>0</v>
      </c>
      <c r="K1626" s="8">
        <v>0</v>
      </c>
      <c r="L1626" s="8">
        <v>1</v>
      </c>
      <c r="M1626" s="8">
        <v>0</v>
      </c>
      <c r="N1626" s="8" t="s">
        <v>791</v>
      </c>
      <c r="O1626" s="8">
        <v>100</v>
      </c>
      <c r="P1626" s="8" t="s">
        <v>2165</v>
      </c>
      <c r="Q1626" s="8" t="s">
        <v>2166</v>
      </c>
      <c r="R1626" s="8">
        <v>257</v>
      </c>
    </row>
    <row r="1627" spans="1:18" ht="25" customHeight="1">
      <c r="A1627" s="12">
        <v>150</v>
      </c>
      <c r="B1627" s="8" t="s">
        <v>2067</v>
      </c>
      <c r="C1627" s="8" t="s">
        <v>716</v>
      </c>
      <c r="D1627" s="8" t="s">
        <v>73</v>
      </c>
      <c r="E1627" s="8">
        <v>1</v>
      </c>
      <c r="F1627" s="11">
        <v>0.02564102564102564</v>
      </c>
      <c r="G1627" s="8">
        <v>0</v>
      </c>
      <c r="H1627" s="8">
        <v>0</v>
      </c>
      <c r="I1627" s="8">
        <v>1</v>
      </c>
      <c r="J1627" s="8">
        <v>1</v>
      </c>
      <c r="K1627" s="8">
        <v>16</v>
      </c>
      <c r="L1627" s="8">
        <v>0</v>
      </c>
      <c r="M1627" s="8">
        <v>1</v>
      </c>
      <c r="N1627" s="8" t="s">
        <v>791</v>
      </c>
      <c r="O1627" s="8">
        <v>0</v>
      </c>
      <c r="P1627" s="8" t="s">
        <v>2161</v>
      </c>
      <c r="Q1627" s="8" t="s">
        <v>2162</v>
      </c>
      <c r="R1627" s="8">
        <v>258</v>
      </c>
    </row>
    <row r="1628" spans="1:18" ht="25" customHeight="1">
      <c r="A1628" s="12">
        <v>151</v>
      </c>
      <c r="B1628" s="8" t="s">
        <v>2067</v>
      </c>
      <c r="C1628" s="8" t="s">
        <v>706</v>
      </c>
      <c r="D1628" s="8" t="s">
        <v>73</v>
      </c>
      <c r="E1628" s="8">
        <v>1</v>
      </c>
      <c r="F1628" s="11">
        <v>0.06666666666666667</v>
      </c>
      <c r="G1628" s="8">
        <v>1</v>
      </c>
      <c r="H1628" s="8">
        <v>1</v>
      </c>
      <c r="I1628" s="8">
        <v>0</v>
      </c>
      <c r="J1628" s="8">
        <v>0</v>
      </c>
      <c r="K1628" s="8">
        <v>6</v>
      </c>
      <c r="L1628" s="8">
        <v>0</v>
      </c>
      <c r="M1628" s="8">
        <v>1</v>
      </c>
      <c r="N1628" s="8" t="s">
        <v>791</v>
      </c>
      <c r="O1628" s="8">
        <v>94</v>
      </c>
      <c r="P1628" s="8" t="s">
        <v>2165</v>
      </c>
      <c r="Q1628" s="8" t="s">
        <v>2166</v>
      </c>
      <c r="R1628" s="8">
        <v>259</v>
      </c>
    </row>
    <row r="1629" spans="1:18" ht="25" customHeight="1">
      <c r="A1629" s="12">
        <v>152</v>
      </c>
      <c r="B1629" s="8" t="s">
        <v>2067</v>
      </c>
      <c r="C1629" s="8" t="s">
        <v>711</v>
      </c>
      <c r="D1629" s="8" t="s">
        <v>75</v>
      </c>
      <c r="E1629" s="8">
        <v>1</v>
      </c>
      <c r="F1629" s="11">
        <v>0.04166666666666666</v>
      </c>
      <c r="G1629" s="8">
        <v>0</v>
      </c>
      <c r="H1629" s="8">
        <v>0</v>
      </c>
      <c r="I1629" s="8">
        <v>0</v>
      </c>
      <c r="J1629" s="8">
        <v>0</v>
      </c>
      <c r="K1629" s="8">
        <v>7</v>
      </c>
      <c r="L1629" s="8">
        <v>1</v>
      </c>
      <c r="M1629" s="8">
        <v>0</v>
      </c>
      <c r="N1629" s="8" t="s">
        <v>791</v>
      </c>
      <c r="O1629" s="8">
        <v>23</v>
      </c>
      <c r="P1629" s="8" t="s">
        <v>2165</v>
      </c>
      <c r="Q1629" s="8" t="s">
        <v>2166</v>
      </c>
      <c r="R1629" s="8">
        <v>260</v>
      </c>
    </row>
    <row r="1630" spans="1:18" ht="25" customHeight="1">
      <c r="A1630" s="12">
        <v>153</v>
      </c>
      <c r="B1630" s="8" t="s">
        <v>2067</v>
      </c>
      <c r="C1630" s="8" t="s">
        <v>716</v>
      </c>
      <c r="D1630" s="8" t="s">
        <v>75</v>
      </c>
      <c r="E1630" s="8">
        <v>1</v>
      </c>
      <c r="F1630" s="11">
        <v>0.02564102564102564</v>
      </c>
      <c r="G1630" s="8">
        <v>1</v>
      </c>
      <c r="H1630" s="8">
        <v>1</v>
      </c>
      <c r="I1630" s="8">
        <v>0</v>
      </c>
      <c r="J1630" s="8">
        <v>0</v>
      </c>
      <c r="K1630" s="8">
        <v>6</v>
      </c>
      <c r="L1630" s="8">
        <v>0</v>
      </c>
      <c r="M1630" s="8">
        <v>1</v>
      </c>
      <c r="N1630" s="8" t="s">
        <v>791</v>
      </c>
      <c r="O1630" s="8">
        <v>94</v>
      </c>
      <c r="P1630" s="8" t="s">
        <v>2165</v>
      </c>
      <c r="Q1630" s="8" t="s">
        <v>2166</v>
      </c>
      <c r="R1630" s="8">
        <v>261</v>
      </c>
    </row>
    <row r="1631" spans="1:18" ht="25" customHeight="1">
      <c r="A1631" s="12">
        <v>154</v>
      </c>
      <c r="B1631" s="8" t="s">
        <v>2067</v>
      </c>
      <c r="C1631" s="8" t="s">
        <v>706</v>
      </c>
      <c r="D1631" s="8" t="s">
        <v>75</v>
      </c>
      <c r="E1631" s="8">
        <v>1</v>
      </c>
      <c r="F1631" s="11">
        <v>0.06666666666666667</v>
      </c>
      <c r="G1631" s="8">
        <v>1</v>
      </c>
      <c r="H1631" s="8">
        <v>1</v>
      </c>
      <c r="I1631" s="8">
        <v>0</v>
      </c>
      <c r="J1631" s="8">
        <v>0</v>
      </c>
      <c r="K1631" s="8">
        <v>1</v>
      </c>
      <c r="L1631" s="8">
        <v>1</v>
      </c>
      <c r="M1631" s="8">
        <v>0</v>
      </c>
      <c r="N1631" s="8" t="s">
        <v>791</v>
      </c>
      <c r="O1631" s="8">
        <v>99</v>
      </c>
      <c r="P1631" s="8" t="s">
        <v>2165</v>
      </c>
      <c r="Q1631" s="8" t="s">
        <v>2166</v>
      </c>
      <c r="R1631" s="8">
        <v>262</v>
      </c>
    </row>
    <row r="1632" spans="1:18" ht="25" customHeight="1">
      <c r="A1632" s="12">
        <v>155</v>
      </c>
      <c r="B1632" s="8" t="s">
        <v>2067</v>
      </c>
      <c r="C1632" s="8" t="s">
        <v>716</v>
      </c>
      <c r="D1632" s="8" t="s">
        <v>79</v>
      </c>
      <c r="E1632" s="8">
        <v>1</v>
      </c>
      <c r="F1632" s="11">
        <v>0.02564102564102564</v>
      </c>
      <c r="G1632" s="8">
        <v>1</v>
      </c>
      <c r="H1632" s="8">
        <v>1</v>
      </c>
      <c r="I1632" s="8">
        <v>0</v>
      </c>
      <c r="J1632" s="8">
        <v>0</v>
      </c>
      <c r="K1632" s="8">
        <v>0</v>
      </c>
      <c r="L1632" s="8">
        <v>0</v>
      </c>
      <c r="M1632" s="8">
        <v>1</v>
      </c>
      <c r="N1632" s="8" t="s">
        <v>791</v>
      </c>
      <c r="O1632" s="8">
        <v>100</v>
      </c>
      <c r="P1632" s="8" t="s">
        <v>2165</v>
      </c>
      <c r="Q1632" s="8" t="s">
        <v>2166</v>
      </c>
      <c r="R1632" s="8">
        <v>263</v>
      </c>
    </row>
    <row r="1633" spans="1:18" ht="25" customHeight="1">
      <c r="A1633" s="12">
        <v>156</v>
      </c>
      <c r="B1633" s="8" t="s">
        <v>2067</v>
      </c>
      <c r="C1633" s="8" t="s">
        <v>716</v>
      </c>
      <c r="D1633" s="8" t="s">
        <v>51</v>
      </c>
      <c r="E1633" s="8">
        <v>1</v>
      </c>
      <c r="F1633" s="11">
        <v>0.02564102564102564</v>
      </c>
      <c r="G1633" s="8">
        <v>0</v>
      </c>
      <c r="H1633" s="8">
        <v>0</v>
      </c>
      <c r="I1633" s="8">
        <v>1</v>
      </c>
      <c r="J1633" s="8">
        <v>1</v>
      </c>
      <c r="K1633" s="8">
        <v>19</v>
      </c>
      <c r="L1633" s="8">
        <v>0</v>
      </c>
      <c r="M1633" s="8">
        <v>1</v>
      </c>
      <c r="N1633" s="8" t="s">
        <v>791</v>
      </c>
      <c r="O1633" s="8">
        <v>0</v>
      </c>
      <c r="P1633" s="8" t="s">
        <v>2161</v>
      </c>
      <c r="Q1633" s="8" t="s">
        <v>2162</v>
      </c>
      <c r="R1633" s="8">
        <v>265</v>
      </c>
    </row>
    <row r="1634" spans="1:18" ht="25" customHeight="1">
      <c r="A1634" s="12">
        <v>157</v>
      </c>
      <c r="B1634" s="8" t="s">
        <v>2067</v>
      </c>
      <c r="C1634" s="8" t="s">
        <v>716</v>
      </c>
      <c r="D1634" s="8" t="s">
        <v>66</v>
      </c>
      <c r="E1634" s="8">
        <v>1</v>
      </c>
      <c r="F1634" s="11">
        <v>0.02564102564102564</v>
      </c>
      <c r="G1634" s="8">
        <v>1</v>
      </c>
      <c r="H1634" s="8">
        <v>1</v>
      </c>
      <c r="I1634" s="8">
        <v>0</v>
      </c>
      <c r="J1634" s="8">
        <v>0</v>
      </c>
      <c r="K1634" s="8">
        <v>2</v>
      </c>
      <c r="L1634" s="8">
        <v>1</v>
      </c>
      <c r="M1634" s="8">
        <v>0</v>
      </c>
      <c r="N1634" s="8" t="s">
        <v>791</v>
      </c>
      <c r="O1634" s="8">
        <v>98</v>
      </c>
      <c r="P1634" s="8" t="s">
        <v>2165</v>
      </c>
      <c r="Q1634" s="8" t="s">
        <v>2166</v>
      </c>
      <c r="R1634" s="8">
        <v>266</v>
      </c>
    </row>
    <row r="1635" spans="1:18" ht="25" customHeight="1">
      <c r="A1635" s="12">
        <v>158</v>
      </c>
      <c r="B1635" s="8" t="s">
        <v>2067</v>
      </c>
      <c r="C1635" s="8" t="s">
        <v>716</v>
      </c>
      <c r="D1635" s="8" t="s">
        <v>43</v>
      </c>
      <c r="E1635" s="8">
        <v>1</v>
      </c>
      <c r="F1635" s="11">
        <v>0.02564102564102564</v>
      </c>
      <c r="G1635" s="8">
        <v>1</v>
      </c>
      <c r="H1635" s="8">
        <v>1</v>
      </c>
      <c r="I1635" s="8">
        <v>0</v>
      </c>
      <c r="J1635" s="8">
        <v>0</v>
      </c>
      <c r="K1635" s="8">
        <v>5</v>
      </c>
      <c r="L1635" s="8">
        <v>0</v>
      </c>
      <c r="M1635" s="8">
        <v>1</v>
      </c>
      <c r="N1635" s="8" t="s">
        <v>791</v>
      </c>
      <c r="O1635" s="8">
        <v>95</v>
      </c>
      <c r="P1635" s="8" t="s">
        <v>2165</v>
      </c>
      <c r="Q1635" s="8" t="s">
        <v>2166</v>
      </c>
      <c r="R1635" s="8">
        <v>267</v>
      </c>
    </row>
    <row r="1636" spans="1:18" ht="25" customHeight="1">
      <c r="A1636" s="12">
        <v>159</v>
      </c>
      <c r="B1636" s="8" t="s">
        <v>2067</v>
      </c>
      <c r="C1636" s="8" t="s">
        <v>720</v>
      </c>
      <c r="D1636" s="8" t="s">
        <v>81</v>
      </c>
      <c r="E1636" s="8">
        <v>1</v>
      </c>
      <c r="F1636" s="11">
        <v>0.08333333333333333</v>
      </c>
      <c r="G1636" s="8">
        <v>1</v>
      </c>
      <c r="H1636" s="8">
        <v>1</v>
      </c>
      <c r="I1636" s="8">
        <v>0</v>
      </c>
      <c r="J1636" s="8">
        <v>0</v>
      </c>
      <c r="K1636" s="8">
        <v>0</v>
      </c>
      <c r="L1636" s="8">
        <v>0</v>
      </c>
      <c r="M1636" s="8">
        <v>1</v>
      </c>
      <c r="N1636" s="8" t="s">
        <v>791</v>
      </c>
      <c r="O1636" s="8">
        <v>100</v>
      </c>
      <c r="P1636" s="8" t="s">
        <v>2165</v>
      </c>
      <c r="Q1636" s="8" t="s">
        <v>2166</v>
      </c>
      <c r="R1636" s="8">
        <v>268</v>
      </c>
    </row>
    <row r="1637" spans="1:18" ht="25" customHeight="1">
      <c r="A1637" s="12">
        <v>160</v>
      </c>
      <c r="B1637" s="8" t="s">
        <v>2067</v>
      </c>
      <c r="C1637" s="8" t="s">
        <v>716</v>
      </c>
      <c r="D1637" s="8" t="s">
        <v>91</v>
      </c>
      <c r="E1637" s="8">
        <v>1</v>
      </c>
      <c r="F1637" s="11">
        <v>0.02564102564102564</v>
      </c>
      <c r="G1637" s="8">
        <v>0</v>
      </c>
      <c r="H1637" s="8">
        <v>0</v>
      </c>
      <c r="I1637" s="8">
        <v>0</v>
      </c>
      <c r="J1637" s="8">
        <v>0</v>
      </c>
      <c r="K1637" s="8">
        <v>4</v>
      </c>
      <c r="L1637" s="8">
        <v>1</v>
      </c>
      <c r="M1637" s="8">
        <v>0</v>
      </c>
      <c r="N1637" s="8" t="s">
        <v>791</v>
      </c>
      <c r="O1637" s="8">
        <v>26</v>
      </c>
      <c r="P1637" s="8" t="s">
        <v>2165</v>
      </c>
      <c r="Q1637" s="8" t="s">
        <v>2166</v>
      </c>
      <c r="R1637" s="8">
        <v>270</v>
      </c>
    </row>
    <row r="1638" spans="1:18" ht="25" customHeight="1">
      <c r="A1638" s="12">
        <v>161</v>
      </c>
      <c r="B1638" s="8" t="s">
        <v>2069</v>
      </c>
      <c r="C1638" s="8" t="s">
        <v>711</v>
      </c>
      <c r="D1638" s="8" t="s">
        <v>100</v>
      </c>
      <c r="E1638" s="8">
        <v>2</v>
      </c>
      <c r="F1638" s="11">
        <v>0.09090909090909091</v>
      </c>
      <c r="G1638" s="8">
        <v>1</v>
      </c>
      <c r="H1638" s="11">
        <v>0.5</v>
      </c>
      <c r="I1638" s="8">
        <v>0</v>
      </c>
      <c r="J1638" s="8">
        <v>0</v>
      </c>
      <c r="K1638" s="8">
        <v>6</v>
      </c>
      <c r="L1638" s="11">
        <v>0.5</v>
      </c>
      <c r="M1638" s="11">
        <v>0.5</v>
      </c>
      <c r="N1638" s="8" t="s">
        <v>791</v>
      </c>
      <c r="O1638" s="8">
        <v>59</v>
      </c>
      <c r="P1638" s="8" t="s">
        <v>2165</v>
      </c>
      <c r="Q1638" s="8" t="s">
        <v>2166</v>
      </c>
      <c r="R1638" s="8">
        <v>271</v>
      </c>
    </row>
    <row r="1639" spans="1:18" ht="25" customHeight="1">
      <c r="A1639" s="12">
        <v>162</v>
      </c>
      <c r="B1639" s="8" t="s">
        <v>2069</v>
      </c>
      <c r="C1639" s="8" t="s">
        <v>720</v>
      </c>
      <c r="D1639" s="8" t="s">
        <v>100</v>
      </c>
      <c r="E1639" s="8">
        <v>1</v>
      </c>
      <c r="F1639" s="11">
        <v>0.09090909090909091</v>
      </c>
      <c r="G1639" s="8">
        <v>1</v>
      </c>
      <c r="H1639" s="8">
        <v>1</v>
      </c>
      <c r="I1639" s="8">
        <v>0</v>
      </c>
      <c r="J1639" s="8">
        <v>0</v>
      </c>
      <c r="K1639" s="8">
        <v>0</v>
      </c>
      <c r="L1639" s="8">
        <v>0</v>
      </c>
      <c r="M1639" s="8">
        <v>1</v>
      </c>
      <c r="N1639" s="8" t="s">
        <v>791</v>
      </c>
      <c r="O1639" s="8">
        <v>100</v>
      </c>
      <c r="P1639" s="8" t="s">
        <v>2165</v>
      </c>
      <c r="Q1639" s="8" t="s">
        <v>2166</v>
      </c>
      <c r="R1639" s="8">
        <v>272</v>
      </c>
    </row>
    <row r="1640" spans="1:18" ht="25" customHeight="1">
      <c r="A1640" s="12">
        <v>163</v>
      </c>
      <c r="B1640" s="8" t="s">
        <v>2069</v>
      </c>
      <c r="C1640" s="8" t="s">
        <v>706</v>
      </c>
      <c r="D1640" s="8" t="s">
        <v>95</v>
      </c>
      <c r="E1640" s="8">
        <v>1</v>
      </c>
      <c r="F1640" s="11">
        <v>0.125</v>
      </c>
      <c r="G1640" s="8">
        <v>0</v>
      </c>
      <c r="H1640" s="8">
        <v>0</v>
      </c>
      <c r="I1640" s="8">
        <v>0</v>
      </c>
      <c r="J1640" s="8">
        <v>0</v>
      </c>
      <c r="K1640" s="8">
        <v>6</v>
      </c>
      <c r="L1640" s="8">
        <v>1</v>
      </c>
      <c r="M1640" s="8">
        <v>0</v>
      </c>
      <c r="N1640" s="8" t="s">
        <v>791</v>
      </c>
      <c r="O1640" s="8">
        <v>24</v>
      </c>
      <c r="P1640" s="8" t="s">
        <v>2165</v>
      </c>
      <c r="Q1640" s="8" t="s">
        <v>2166</v>
      </c>
      <c r="R1640" s="8">
        <v>274</v>
      </c>
    </row>
    <row r="1641" spans="1:18" ht="25" customHeight="1">
      <c r="A1641" s="12">
        <v>164</v>
      </c>
      <c r="B1641" s="8" t="s">
        <v>2069</v>
      </c>
      <c r="C1641" s="8" t="s">
        <v>711</v>
      </c>
      <c r="D1641" s="8" t="s">
        <v>95</v>
      </c>
      <c r="E1641" s="8">
        <v>2</v>
      </c>
      <c r="F1641" s="11">
        <v>0.09090909090909091</v>
      </c>
      <c r="G1641" s="8">
        <v>1</v>
      </c>
      <c r="H1641" s="11">
        <v>0.5</v>
      </c>
      <c r="I1641" s="8">
        <v>0</v>
      </c>
      <c r="J1641" s="8">
        <v>0</v>
      </c>
      <c r="K1641" s="11">
        <v>4.5</v>
      </c>
      <c r="L1641" s="11">
        <v>0.5</v>
      </c>
      <c r="M1641" s="11">
        <v>0.5</v>
      </c>
      <c r="N1641" s="8" t="s">
        <v>791</v>
      </c>
      <c r="O1641" s="11">
        <v>60.5</v>
      </c>
      <c r="P1641" s="8" t="s">
        <v>2165</v>
      </c>
      <c r="Q1641" s="8" t="s">
        <v>2166</v>
      </c>
      <c r="R1641" s="8">
        <v>275</v>
      </c>
    </row>
    <row r="1642" spans="1:18" ht="25" customHeight="1">
      <c r="A1642" s="12">
        <v>165</v>
      </c>
      <c r="B1642" s="8" t="s">
        <v>2069</v>
      </c>
      <c r="C1642" s="8" t="s">
        <v>706</v>
      </c>
      <c r="D1642" s="8" t="s">
        <v>93</v>
      </c>
      <c r="E1642" s="8">
        <v>1</v>
      </c>
      <c r="F1642" s="11">
        <v>0.125</v>
      </c>
      <c r="G1642" s="8">
        <v>1</v>
      </c>
      <c r="H1642" s="8">
        <v>1</v>
      </c>
      <c r="I1642" s="8">
        <v>0</v>
      </c>
      <c r="J1642" s="8">
        <v>0</v>
      </c>
      <c r="K1642" s="8">
        <v>0</v>
      </c>
      <c r="L1642" s="8">
        <v>0</v>
      </c>
      <c r="M1642" s="8">
        <v>1</v>
      </c>
      <c r="N1642" s="8" t="s">
        <v>791</v>
      </c>
      <c r="O1642" s="8">
        <v>100</v>
      </c>
      <c r="P1642" s="8" t="s">
        <v>2165</v>
      </c>
      <c r="Q1642" s="8" t="s">
        <v>2166</v>
      </c>
      <c r="R1642" s="8">
        <v>277</v>
      </c>
    </row>
    <row r="1643" spans="1:18" ht="25" customHeight="1">
      <c r="A1643" s="12">
        <v>166</v>
      </c>
      <c r="B1643" s="8" t="s">
        <v>2069</v>
      </c>
      <c r="C1643" s="8" t="s">
        <v>716</v>
      </c>
      <c r="D1643" s="8" t="s">
        <v>93</v>
      </c>
      <c r="E1643" s="8">
        <v>1</v>
      </c>
      <c r="F1643" s="11">
        <v>0.07692307692307693</v>
      </c>
      <c r="G1643" s="8">
        <v>0</v>
      </c>
      <c r="H1643" s="8">
        <v>0</v>
      </c>
      <c r="I1643" s="8">
        <v>1</v>
      </c>
      <c r="J1643" s="8">
        <v>1</v>
      </c>
      <c r="K1643" s="8">
        <v>21</v>
      </c>
      <c r="L1643" s="8">
        <v>0</v>
      </c>
      <c r="M1643" s="8">
        <v>1</v>
      </c>
      <c r="N1643" s="8" t="s">
        <v>791</v>
      </c>
      <c r="O1643" s="8">
        <v>0</v>
      </c>
      <c r="P1643" s="8" t="s">
        <v>2161</v>
      </c>
      <c r="Q1643" s="8" t="s">
        <v>2162</v>
      </c>
      <c r="R1643" s="8">
        <v>278</v>
      </c>
    </row>
    <row r="1644" spans="1:18" ht="25" customHeight="1">
      <c r="A1644" s="12">
        <v>167</v>
      </c>
      <c r="B1644" s="8" t="s">
        <v>2069</v>
      </c>
      <c r="C1644" s="8" t="s">
        <v>716</v>
      </c>
      <c r="D1644" s="8" t="s">
        <v>97</v>
      </c>
      <c r="E1644" s="8">
        <v>1</v>
      </c>
      <c r="F1644" s="11">
        <v>0.07692307692307693</v>
      </c>
      <c r="G1644" s="8">
        <v>0</v>
      </c>
      <c r="H1644" s="8">
        <v>0</v>
      </c>
      <c r="I1644" s="8">
        <v>1</v>
      </c>
      <c r="J1644" s="8">
        <v>1</v>
      </c>
      <c r="K1644" s="8">
        <v>26</v>
      </c>
      <c r="L1644" s="8">
        <v>0</v>
      </c>
      <c r="M1644" s="8">
        <v>1</v>
      </c>
      <c r="N1644" s="8" t="s">
        <v>791</v>
      </c>
      <c r="O1644" s="8">
        <v>0</v>
      </c>
      <c r="P1644" s="8" t="s">
        <v>2161</v>
      </c>
      <c r="Q1644" s="8" t="s">
        <v>2162</v>
      </c>
      <c r="R1644" s="8">
        <v>279</v>
      </c>
    </row>
    <row r="1645" spans="1:18" ht="25" customHeight="1">
      <c r="A1645" s="12">
        <v>168</v>
      </c>
      <c r="B1645" s="8" t="s">
        <v>2069</v>
      </c>
      <c r="C1645" s="8" t="s">
        <v>720</v>
      </c>
      <c r="D1645" s="8" t="s">
        <v>97</v>
      </c>
      <c r="E1645" s="8">
        <v>1</v>
      </c>
      <c r="F1645" s="11">
        <v>0.09090909090909091</v>
      </c>
      <c r="G1645" s="8">
        <v>1</v>
      </c>
      <c r="H1645" s="8">
        <v>1</v>
      </c>
      <c r="I1645" s="8">
        <v>0</v>
      </c>
      <c r="J1645" s="8">
        <v>0</v>
      </c>
      <c r="K1645" s="8">
        <v>4</v>
      </c>
      <c r="L1645" s="8">
        <v>0</v>
      </c>
      <c r="M1645" s="8">
        <v>1</v>
      </c>
      <c r="N1645" s="8" t="s">
        <v>791</v>
      </c>
      <c r="O1645" s="8">
        <v>96</v>
      </c>
      <c r="P1645" s="8" t="s">
        <v>2165</v>
      </c>
      <c r="Q1645" s="8" t="s">
        <v>2166</v>
      </c>
      <c r="R1645" s="8">
        <v>280</v>
      </c>
    </row>
    <row r="1646" spans="1:18" ht="25" customHeight="1">
      <c r="A1646" s="12">
        <v>169</v>
      </c>
      <c r="B1646" s="8" t="s">
        <v>2069</v>
      </c>
      <c r="C1646" s="8" t="s">
        <v>711</v>
      </c>
      <c r="D1646" s="8" t="s">
        <v>105</v>
      </c>
      <c r="E1646" s="8">
        <v>1</v>
      </c>
      <c r="F1646" s="11">
        <v>0.04545454545454546</v>
      </c>
      <c r="G1646" s="8">
        <v>1</v>
      </c>
      <c r="H1646" s="8">
        <v>1</v>
      </c>
      <c r="I1646" s="8">
        <v>0</v>
      </c>
      <c r="J1646" s="8">
        <v>0</v>
      </c>
      <c r="K1646" s="8">
        <v>0</v>
      </c>
      <c r="L1646" s="8">
        <v>0</v>
      </c>
      <c r="M1646" s="8">
        <v>1</v>
      </c>
      <c r="N1646" s="8" t="s">
        <v>791</v>
      </c>
      <c r="O1646" s="8">
        <v>100</v>
      </c>
      <c r="P1646" s="8" t="s">
        <v>2165</v>
      </c>
      <c r="Q1646" s="8" t="s">
        <v>2166</v>
      </c>
      <c r="R1646" s="8">
        <v>282</v>
      </c>
    </row>
    <row r="1647" spans="1:18" ht="25" customHeight="1">
      <c r="A1647" s="12">
        <v>170</v>
      </c>
      <c r="B1647" s="8" t="s">
        <v>2069</v>
      </c>
      <c r="C1647" s="8" t="s">
        <v>716</v>
      </c>
      <c r="D1647" s="8" t="s">
        <v>110</v>
      </c>
      <c r="E1647" s="8">
        <v>1</v>
      </c>
      <c r="F1647" s="11">
        <v>0.07692307692307693</v>
      </c>
      <c r="G1647" s="8">
        <v>0</v>
      </c>
      <c r="H1647" s="8">
        <v>0</v>
      </c>
      <c r="I1647" s="8">
        <v>1</v>
      </c>
      <c r="J1647" s="8">
        <v>1</v>
      </c>
      <c r="K1647" s="8">
        <v>19</v>
      </c>
      <c r="L1647" s="8">
        <v>0</v>
      </c>
      <c r="M1647" s="8">
        <v>1</v>
      </c>
      <c r="N1647" s="8" t="s">
        <v>791</v>
      </c>
      <c r="O1647" s="8">
        <v>0</v>
      </c>
      <c r="P1647" s="8" t="s">
        <v>2161</v>
      </c>
      <c r="Q1647" s="8" t="s">
        <v>2162</v>
      </c>
      <c r="R1647" s="8">
        <v>283</v>
      </c>
    </row>
    <row r="1648" spans="1:18" ht="25" customHeight="1">
      <c r="A1648" s="12">
        <v>171</v>
      </c>
      <c r="B1648" s="8" t="s">
        <v>2069</v>
      </c>
      <c r="C1648" s="8" t="s">
        <v>711</v>
      </c>
      <c r="D1648" s="8" t="s">
        <v>61</v>
      </c>
      <c r="E1648" s="8">
        <v>1</v>
      </c>
      <c r="F1648" s="11">
        <v>0.04545454545454546</v>
      </c>
      <c r="G1648" s="8">
        <v>0</v>
      </c>
      <c r="H1648" s="8">
        <v>0</v>
      </c>
      <c r="I1648" s="8">
        <v>1</v>
      </c>
      <c r="J1648" s="8">
        <v>1</v>
      </c>
      <c r="K1648" s="8">
        <v>21</v>
      </c>
      <c r="L1648" s="8">
        <v>0</v>
      </c>
      <c r="M1648" s="8">
        <v>1</v>
      </c>
      <c r="N1648" s="8" t="s">
        <v>791</v>
      </c>
      <c r="O1648" s="8">
        <v>0</v>
      </c>
      <c r="P1648" s="8" t="s">
        <v>2161</v>
      </c>
      <c r="Q1648" s="8" t="s">
        <v>2162</v>
      </c>
      <c r="R1648" s="8">
        <v>284</v>
      </c>
    </row>
    <row r="1649" spans="1:19" ht="25" customHeight="1">
      <c r="A1649" s="12">
        <v>172</v>
      </c>
      <c r="B1649" s="8" t="s">
        <v>2070</v>
      </c>
      <c r="C1649" s="8" t="s">
        <v>706</v>
      </c>
      <c r="D1649" s="8" t="s">
        <v>95</v>
      </c>
      <c r="E1649" s="8">
        <v>1</v>
      </c>
      <c r="F1649" s="11">
        <v>0.2</v>
      </c>
      <c r="G1649" s="8">
        <v>0</v>
      </c>
      <c r="H1649" s="8">
        <v>0</v>
      </c>
      <c r="I1649" s="8">
        <v>0</v>
      </c>
      <c r="J1649" s="8">
        <v>0</v>
      </c>
      <c r="K1649" s="8">
        <v>3</v>
      </c>
      <c r="L1649" s="8">
        <v>1</v>
      </c>
      <c r="M1649" s="8">
        <v>0</v>
      </c>
      <c r="N1649" s="8" t="s">
        <v>791</v>
      </c>
      <c r="O1649" s="8">
        <v>27</v>
      </c>
      <c r="P1649" s="8" t="s">
        <v>2165</v>
      </c>
      <c r="Q1649" s="8" t="s">
        <v>2166</v>
      </c>
      <c r="R1649" s="8">
        <v>286</v>
      </c>
    </row>
    <row r="1655" spans="1:19" ht="27" customHeight="1">
      <c r="A1655" s="5" t="s">
        <v>2184</v>
      </c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</row>
    <row r="1656" spans="1:19" ht="36" customHeight="1">
      <c r="A1656" s="9" t="s">
        <v>683</v>
      </c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</row>
    <row r="1657" spans="1:19" ht="25" customHeight="1">
      <c r="A1657" s="6" t="s">
        <v>684</v>
      </c>
    </row>
    <row r="1658" spans="1:19" ht="25" customHeight="1">
      <c r="A1658" s="12">
        <v>1</v>
      </c>
      <c r="B1658" s="8" t="s">
        <v>2185</v>
      </c>
    </row>
    <row r="1659" spans="1:19" ht="25" customHeight="1">
      <c r="A1659" s="12">
        <v>2</v>
      </c>
      <c r="B1659" s="8" t="s">
        <v>2174</v>
      </c>
      <c r="E1659" s="8" t="s">
        <v>2121</v>
      </c>
      <c r="H1659" s="8" t="s">
        <v>2072</v>
      </c>
      <c r="K1659" s="8" t="s">
        <v>2122</v>
      </c>
      <c r="M1659" s="8" t="s">
        <v>2175</v>
      </c>
    </row>
    <row r="1660" spans="1:19" ht="25" customHeight="1">
      <c r="A1660" s="12">
        <v>3</v>
      </c>
      <c r="B1660" s="8" t="s">
        <v>687</v>
      </c>
      <c r="C1660" s="8" t="s">
        <v>1951</v>
      </c>
      <c r="D1660" s="8" t="s">
        <v>781</v>
      </c>
      <c r="E1660" s="8" t="s">
        <v>2176</v>
      </c>
      <c r="F1660" s="8" t="s">
        <v>2091</v>
      </c>
      <c r="G1660" s="8" t="s">
        <v>690</v>
      </c>
      <c r="H1660" s="8" t="s">
        <v>2130</v>
      </c>
      <c r="I1660" s="8" t="s">
        <v>2132</v>
      </c>
      <c r="J1660" s="8" t="s">
        <v>2133</v>
      </c>
      <c r="K1660" s="8" t="s">
        <v>784</v>
      </c>
      <c r="L1660" s="8" t="s">
        <v>2135</v>
      </c>
      <c r="M1660" s="8" t="s">
        <v>2146</v>
      </c>
      <c r="N1660" s="8" t="s">
        <v>2147</v>
      </c>
      <c r="O1660" s="8" t="s">
        <v>786</v>
      </c>
      <c r="P1660" s="8" t="s">
        <v>2134</v>
      </c>
      <c r="Q1660" s="8" t="s">
        <v>2136</v>
      </c>
      <c r="R1660" s="8" t="s">
        <v>2139</v>
      </c>
      <c r="S1660" s="8" t="s">
        <v>1946</v>
      </c>
    </row>
    <row r="1661" spans="1:19" ht="25" customHeight="1">
      <c r="A1661" s="12">
        <v>4</v>
      </c>
      <c r="B1661" s="8" t="s">
        <v>2063</v>
      </c>
      <c r="C1661" s="8" t="s">
        <v>115</v>
      </c>
      <c r="D1661" s="8" t="s">
        <v>608</v>
      </c>
      <c r="E1661" s="8" t="s">
        <v>44</v>
      </c>
      <c r="F1661" s="8">
        <v>1</v>
      </c>
      <c r="G1661" s="8">
        <v>1</v>
      </c>
      <c r="H1661" s="8">
        <v>0</v>
      </c>
      <c r="I1661" s="8">
        <v>0</v>
      </c>
      <c r="J1661" s="8">
        <v>1</v>
      </c>
      <c r="K1661" s="8">
        <v>1</v>
      </c>
      <c r="L1661" s="8">
        <v>14</v>
      </c>
      <c r="M1661" s="8">
        <v>1</v>
      </c>
      <c r="N1661" s="8">
        <v>0</v>
      </c>
      <c r="O1661" s="8" t="s">
        <v>791</v>
      </c>
      <c r="P1661" s="8">
        <v>0</v>
      </c>
      <c r="Q1661" s="8" t="s">
        <v>2161</v>
      </c>
      <c r="R1661" s="8" t="s">
        <v>2162</v>
      </c>
      <c r="S1661" s="8">
        <v>1</v>
      </c>
    </row>
    <row r="1662" spans="1:19" ht="25" customHeight="1">
      <c r="A1662" s="12">
        <v>5</v>
      </c>
      <c r="B1662" s="8" t="s">
        <v>2063</v>
      </c>
      <c r="C1662" s="8" t="s">
        <v>115</v>
      </c>
      <c r="D1662" s="8" t="s">
        <v>428</v>
      </c>
      <c r="E1662" s="8" t="s">
        <v>44</v>
      </c>
      <c r="F1662" s="8">
        <v>3</v>
      </c>
      <c r="G1662" s="11">
        <v>0.25</v>
      </c>
      <c r="H1662" s="8">
        <v>0</v>
      </c>
      <c r="I1662" s="8">
        <v>0</v>
      </c>
      <c r="J1662" s="8">
        <v>0</v>
      </c>
      <c r="K1662" s="8">
        <v>0</v>
      </c>
      <c r="L1662" s="11">
        <v>5.666666666666667</v>
      </c>
      <c r="M1662" s="8">
        <v>1</v>
      </c>
      <c r="N1662" s="8">
        <v>0</v>
      </c>
      <c r="O1662" s="8" t="s">
        <v>801</v>
      </c>
      <c r="P1662" s="11">
        <v>24.3</v>
      </c>
      <c r="Q1662" s="8" t="s">
        <v>2167</v>
      </c>
      <c r="R1662" s="8" t="s">
        <v>2168</v>
      </c>
      <c r="S1662" s="8">
        <v>2</v>
      </c>
    </row>
    <row r="1663" spans="1:19" ht="25" customHeight="1">
      <c r="A1663" s="12">
        <v>6</v>
      </c>
      <c r="B1663" s="8" t="s">
        <v>2063</v>
      </c>
      <c r="C1663" s="8" t="s">
        <v>115</v>
      </c>
      <c r="D1663" s="8" t="s">
        <v>468</v>
      </c>
      <c r="E1663" s="8" t="s">
        <v>44</v>
      </c>
      <c r="F1663" s="8">
        <v>1</v>
      </c>
      <c r="G1663" s="11">
        <v>0.5</v>
      </c>
      <c r="H1663" s="8">
        <v>0</v>
      </c>
      <c r="I1663" s="8">
        <v>0</v>
      </c>
      <c r="J1663" s="8">
        <v>1</v>
      </c>
      <c r="K1663" s="8">
        <v>1</v>
      </c>
      <c r="L1663" s="8">
        <v>47</v>
      </c>
      <c r="M1663" s="8">
        <v>0</v>
      </c>
      <c r="N1663" s="8">
        <v>1</v>
      </c>
      <c r="O1663" s="8" t="s">
        <v>791</v>
      </c>
      <c r="P1663" s="8">
        <v>0</v>
      </c>
      <c r="Q1663" s="8" t="s">
        <v>2161</v>
      </c>
      <c r="R1663" s="8" t="s">
        <v>2162</v>
      </c>
      <c r="S1663" s="8">
        <v>4</v>
      </c>
    </row>
    <row r="1664" spans="1:19" ht="25" customHeight="1">
      <c r="A1664" s="12">
        <v>7</v>
      </c>
      <c r="B1664" s="8" t="s">
        <v>2063</v>
      </c>
      <c r="C1664" s="8" t="s">
        <v>115</v>
      </c>
      <c r="D1664" s="8" t="s">
        <v>432</v>
      </c>
      <c r="E1664" s="8" t="s">
        <v>44</v>
      </c>
      <c r="F1664" s="8">
        <v>1</v>
      </c>
      <c r="G1664" s="11">
        <v>0.3333333333333333</v>
      </c>
      <c r="H1664" s="8">
        <v>0</v>
      </c>
      <c r="I1664" s="8">
        <v>0</v>
      </c>
      <c r="J1664" s="8">
        <v>0</v>
      </c>
      <c r="K1664" s="8">
        <v>0</v>
      </c>
      <c r="L1664" s="8">
        <v>4</v>
      </c>
      <c r="M1664" s="8">
        <v>1</v>
      </c>
      <c r="N1664" s="8">
        <v>0</v>
      </c>
      <c r="O1664" s="8" t="s">
        <v>791</v>
      </c>
      <c r="P1664" s="8">
        <v>26</v>
      </c>
      <c r="Q1664" s="8" t="s">
        <v>2165</v>
      </c>
      <c r="R1664" s="8" t="s">
        <v>2166</v>
      </c>
      <c r="S1664" s="8">
        <v>5</v>
      </c>
    </row>
    <row r="1665" spans="1:19" ht="25" customHeight="1">
      <c r="A1665" s="12">
        <v>8</v>
      </c>
      <c r="B1665" s="8" t="s">
        <v>2063</v>
      </c>
      <c r="C1665" s="8" t="s">
        <v>115</v>
      </c>
      <c r="D1665" s="8" t="s">
        <v>428</v>
      </c>
      <c r="E1665" s="8" t="s">
        <v>52</v>
      </c>
      <c r="F1665" s="8">
        <v>3</v>
      </c>
      <c r="G1665" s="11">
        <v>0.25</v>
      </c>
      <c r="H1665" s="8">
        <v>1</v>
      </c>
      <c r="I1665" s="11">
        <v>0.3333333333333333</v>
      </c>
      <c r="J1665" s="8">
        <v>0</v>
      </c>
      <c r="K1665" s="8">
        <v>0</v>
      </c>
      <c r="L1665" s="11">
        <v>4.333333333333333</v>
      </c>
      <c r="M1665" s="8">
        <v>1</v>
      </c>
      <c r="N1665" s="8">
        <v>0</v>
      </c>
      <c r="O1665" s="8" t="s">
        <v>801</v>
      </c>
      <c r="P1665" s="8">
        <v>49</v>
      </c>
      <c r="Q1665" s="8" t="s">
        <v>2167</v>
      </c>
      <c r="R1665" s="8" t="s">
        <v>2168</v>
      </c>
      <c r="S1665" s="8">
        <v>7</v>
      </c>
    </row>
    <row r="1666" spans="1:19" ht="25" customHeight="1">
      <c r="A1666" s="12">
        <v>9</v>
      </c>
      <c r="B1666" s="8" t="s">
        <v>2063</v>
      </c>
      <c r="C1666" s="8" t="s">
        <v>115</v>
      </c>
      <c r="D1666" s="8" t="s">
        <v>468</v>
      </c>
      <c r="E1666" s="8" t="s">
        <v>52</v>
      </c>
      <c r="F1666" s="8">
        <v>1</v>
      </c>
      <c r="G1666" s="11">
        <v>0.5</v>
      </c>
      <c r="H1666" s="8">
        <v>1</v>
      </c>
      <c r="I1666" s="8">
        <v>1</v>
      </c>
      <c r="J1666" s="8">
        <v>0</v>
      </c>
      <c r="K1666" s="8">
        <v>0</v>
      </c>
      <c r="L1666" s="8">
        <v>-7</v>
      </c>
      <c r="M1666" s="8">
        <v>0</v>
      </c>
      <c r="N1666" s="8">
        <v>1</v>
      </c>
      <c r="O1666" s="8" t="s">
        <v>791</v>
      </c>
      <c r="P1666" s="8">
        <v>100</v>
      </c>
      <c r="Q1666" s="8" t="s">
        <v>2165</v>
      </c>
      <c r="R1666" s="8" t="s">
        <v>2166</v>
      </c>
      <c r="S1666" s="8">
        <v>8</v>
      </c>
    </row>
    <row r="1667" spans="1:19" ht="25" customHeight="1">
      <c r="A1667" s="12">
        <v>10</v>
      </c>
      <c r="B1667" s="8" t="s">
        <v>2063</v>
      </c>
      <c r="C1667" s="8" t="s">
        <v>115</v>
      </c>
      <c r="D1667" s="8" t="s">
        <v>471</v>
      </c>
      <c r="E1667" s="8" t="s">
        <v>68</v>
      </c>
      <c r="F1667" s="8">
        <v>1</v>
      </c>
      <c r="G1667" s="11">
        <v>0.25</v>
      </c>
      <c r="H1667" s="8">
        <v>1</v>
      </c>
      <c r="I1667" s="8">
        <v>1</v>
      </c>
      <c r="J1667" s="8">
        <v>0</v>
      </c>
      <c r="K1667" s="8">
        <v>0</v>
      </c>
      <c r="L1667" s="8">
        <v>0</v>
      </c>
      <c r="M1667" s="8">
        <v>0</v>
      </c>
      <c r="N1667" s="8">
        <v>1</v>
      </c>
      <c r="O1667" s="8" t="s">
        <v>791</v>
      </c>
      <c r="P1667" s="8">
        <v>100</v>
      </c>
      <c r="Q1667" s="8" t="s">
        <v>2165</v>
      </c>
      <c r="R1667" s="8" t="s">
        <v>2166</v>
      </c>
      <c r="S1667" s="8">
        <v>11</v>
      </c>
    </row>
    <row r="1668" spans="1:19" ht="25" customHeight="1">
      <c r="A1668" s="12">
        <v>11</v>
      </c>
      <c r="B1668" s="8" t="s">
        <v>2063</v>
      </c>
      <c r="C1668" s="8" t="s">
        <v>115</v>
      </c>
      <c r="D1668" s="8" t="s">
        <v>452</v>
      </c>
      <c r="E1668" s="8" t="s">
        <v>68</v>
      </c>
      <c r="F1668" s="8">
        <v>1</v>
      </c>
      <c r="G1668" s="8">
        <v>1</v>
      </c>
      <c r="H1668" s="8">
        <v>1</v>
      </c>
      <c r="I1668" s="8">
        <v>1</v>
      </c>
      <c r="J1668" s="8">
        <v>0</v>
      </c>
      <c r="K1668" s="8">
        <v>0</v>
      </c>
      <c r="L1668" s="8">
        <v>-10</v>
      </c>
      <c r="M1668" s="8">
        <v>0</v>
      </c>
      <c r="N1668" s="8">
        <v>1</v>
      </c>
      <c r="O1668" s="8" t="s">
        <v>791</v>
      </c>
      <c r="P1668" s="8">
        <v>100</v>
      </c>
      <c r="Q1668" s="8" t="s">
        <v>2165</v>
      </c>
      <c r="R1668" s="8" t="s">
        <v>2166</v>
      </c>
      <c r="S1668" s="8">
        <v>12</v>
      </c>
    </row>
    <row r="1669" spans="1:19" ht="25" customHeight="1">
      <c r="A1669" s="12">
        <v>12</v>
      </c>
      <c r="B1669" s="8" t="s">
        <v>2063</v>
      </c>
      <c r="C1669" s="8" t="s">
        <v>115</v>
      </c>
      <c r="D1669" s="8" t="s">
        <v>541</v>
      </c>
      <c r="E1669" s="8" t="s">
        <v>68</v>
      </c>
      <c r="F1669" s="8">
        <v>1</v>
      </c>
      <c r="G1669" s="8">
        <v>1</v>
      </c>
      <c r="H1669" s="8">
        <v>1</v>
      </c>
      <c r="I1669" s="8">
        <v>1</v>
      </c>
      <c r="J1669" s="8">
        <v>0</v>
      </c>
      <c r="K1669" s="8">
        <v>0</v>
      </c>
      <c r="L1669" s="8">
        <v>3</v>
      </c>
      <c r="M1669" s="8">
        <v>1</v>
      </c>
      <c r="N1669" s="8">
        <v>0</v>
      </c>
      <c r="O1669" s="8" t="s">
        <v>791</v>
      </c>
      <c r="P1669" s="8">
        <v>97</v>
      </c>
      <c r="Q1669" s="8" t="s">
        <v>2165</v>
      </c>
      <c r="R1669" s="8" t="s">
        <v>2166</v>
      </c>
      <c r="S1669" s="8">
        <v>13</v>
      </c>
    </row>
    <row r="1670" spans="1:19" ht="25" customHeight="1">
      <c r="A1670" s="12">
        <v>13</v>
      </c>
      <c r="B1670" s="8" t="s">
        <v>2063</v>
      </c>
      <c r="C1670" s="8" t="s">
        <v>115</v>
      </c>
      <c r="D1670" s="8" t="s">
        <v>428</v>
      </c>
      <c r="E1670" s="8" t="s">
        <v>68</v>
      </c>
      <c r="F1670" s="8">
        <v>1</v>
      </c>
      <c r="G1670" s="11">
        <v>0.08333333333333333</v>
      </c>
      <c r="H1670" s="8">
        <v>0</v>
      </c>
      <c r="I1670" s="8">
        <v>0</v>
      </c>
      <c r="J1670" s="8">
        <v>0</v>
      </c>
      <c r="K1670" s="8">
        <v>0</v>
      </c>
      <c r="L1670" s="8">
        <v>4</v>
      </c>
      <c r="M1670" s="8">
        <v>1</v>
      </c>
      <c r="N1670" s="8">
        <v>0</v>
      </c>
      <c r="O1670" s="8" t="s">
        <v>791</v>
      </c>
      <c r="P1670" s="8">
        <v>26</v>
      </c>
      <c r="Q1670" s="8" t="s">
        <v>2165</v>
      </c>
      <c r="R1670" s="8" t="s">
        <v>2166</v>
      </c>
      <c r="S1670" s="8">
        <v>14</v>
      </c>
    </row>
    <row r="1671" spans="1:19" ht="25" customHeight="1">
      <c r="A1671" s="12">
        <v>14</v>
      </c>
      <c r="B1671" s="8" t="s">
        <v>2063</v>
      </c>
      <c r="C1671" s="8" t="s">
        <v>115</v>
      </c>
      <c r="D1671" s="8" t="s">
        <v>465</v>
      </c>
      <c r="E1671" s="8" t="s">
        <v>60</v>
      </c>
      <c r="F1671" s="8">
        <v>1</v>
      </c>
      <c r="G1671" s="11">
        <v>0.3333333333333333</v>
      </c>
      <c r="H1671" s="8">
        <v>1</v>
      </c>
      <c r="I1671" s="8">
        <v>1</v>
      </c>
      <c r="J1671" s="8">
        <v>0</v>
      </c>
      <c r="K1671" s="8">
        <v>0</v>
      </c>
      <c r="L1671" s="8">
        <v>1</v>
      </c>
      <c r="M1671" s="8">
        <v>1</v>
      </c>
      <c r="N1671" s="8">
        <v>0</v>
      </c>
      <c r="O1671" s="8" t="s">
        <v>791</v>
      </c>
      <c r="P1671" s="8">
        <v>99</v>
      </c>
      <c r="Q1671" s="8" t="s">
        <v>2165</v>
      </c>
      <c r="R1671" s="8" t="s">
        <v>2166</v>
      </c>
      <c r="S1671" s="8">
        <v>15</v>
      </c>
    </row>
    <row r="1672" spans="1:19" ht="25" customHeight="1">
      <c r="A1672" s="12">
        <v>15</v>
      </c>
      <c r="B1672" s="8" t="s">
        <v>2063</v>
      </c>
      <c r="C1672" s="8" t="s">
        <v>115</v>
      </c>
      <c r="D1672" s="8" t="s">
        <v>446</v>
      </c>
      <c r="E1672" s="8" t="s">
        <v>60</v>
      </c>
      <c r="F1672" s="8">
        <v>1</v>
      </c>
      <c r="G1672" s="11">
        <v>0.2</v>
      </c>
      <c r="H1672" s="8">
        <v>1</v>
      </c>
      <c r="I1672" s="8">
        <v>1</v>
      </c>
      <c r="J1672" s="8">
        <v>0</v>
      </c>
      <c r="K1672" s="8">
        <v>0</v>
      </c>
      <c r="L1672" s="8">
        <v>0</v>
      </c>
      <c r="M1672" s="8">
        <v>0</v>
      </c>
      <c r="N1672" s="8">
        <v>1</v>
      </c>
      <c r="O1672" s="8" t="s">
        <v>791</v>
      </c>
      <c r="P1672" s="8">
        <v>100</v>
      </c>
      <c r="Q1672" s="8" t="s">
        <v>2165</v>
      </c>
      <c r="R1672" s="8" t="s">
        <v>2166</v>
      </c>
      <c r="S1672" s="8">
        <v>16</v>
      </c>
    </row>
    <row r="1673" spans="1:19" ht="25" customHeight="1">
      <c r="A1673" s="12">
        <v>16</v>
      </c>
      <c r="B1673" s="8" t="s">
        <v>2063</v>
      </c>
      <c r="C1673" s="8" t="s">
        <v>115</v>
      </c>
      <c r="D1673" s="8" t="s">
        <v>428</v>
      </c>
      <c r="E1673" s="8" t="s">
        <v>60</v>
      </c>
      <c r="F1673" s="8">
        <v>1</v>
      </c>
      <c r="G1673" s="11">
        <v>0.08333333333333333</v>
      </c>
      <c r="H1673" s="8">
        <v>1</v>
      </c>
      <c r="I1673" s="8">
        <v>1</v>
      </c>
      <c r="J1673" s="8">
        <v>0</v>
      </c>
      <c r="K1673" s="8">
        <v>0</v>
      </c>
      <c r="L1673" s="8">
        <v>3</v>
      </c>
      <c r="M1673" s="8">
        <v>1</v>
      </c>
      <c r="N1673" s="8">
        <v>0</v>
      </c>
      <c r="O1673" s="8" t="s">
        <v>791</v>
      </c>
      <c r="P1673" s="8">
        <v>97</v>
      </c>
      <c r="Q1673" s="8" t="s">
        <v>2165</v>
      </c>
      <c r="R1673" s="8" t="s">
        <v>2166</v>
      </c>
      <c r="S1673" s="8">
        <v>17</v>
      </c>
    </row>
    <row r="1674" spans="1:19" ht="25" customHeight="1">
      <c r="A1674" s="12">
        <v>17</v>
      </c>
      <c r="B1674" s="8" t="s">
        <v>2063</v>
      </c>
      <c r="C1674" s="8" t="s">
        <v>115</v>
      </c>
      <c r="D1674" s="8" t="s">
        <v>446</v>
      </c>
      <c r="E1674" s="8" t="s">
        <v>63</v>
      </c>
      <c r="F1674" s="8">
        <v>1</v>
      </c>
      <c r="G1674" s="11">
        <v>0.2</v>
      </c>
      <c r="H1674" s="8">
        <v>0</v>
      </c>
      <c r="I1674" s="8">
        <v>0</v>
      </c>
      <c r="J1674" s="8">
        <v>1</v>
      </c>
      <c r="K1674" s="8">
        <v>1</v>
      </c>
      <c r="L1674" s="8">
        <v>17</v>
      </c>
      <c r="M1674" s="8">
        <v>0</v>
      </c>
      <c r="N1674" s="8">
        <v>1</v>
      </c>
      <c r="O1674" s="8" t="s">
        <v>791</v>
      </c>
      <c r="P1674" s="8">
        <v>0</v>
      </c>
      <c r="Q1674" s="8" t="s">
        <v>2161</v>
      </c>
      <c r="R1674" s="8" t="s">
        <v>2162</v>
      </c>
      <c r="S1674" s="8">
        <v>18</v>
      </c>
    </row>
    <row r="1675" spans="1:19" ht="25" customHeight="1">
      <c r="A1675" s="12">
        <v>18</v>
      </c>
      <c r="B1675" s="8" t="s">
        <v>2063</v>
      </c>
      <c r="C1675" s="8" t="s">
        <v>115</v>
      </c>
      <c r="D1675" s="8" t="s">
        <v>449</v>
      </c>
      <c r="E1675" s="8" t="s">
        <v>63</v>
      </c>
      <c r="F1675" s="8">
        <v>1</v>
      </c>
      <c r="G1675" s="11">
        <v>0.3333333333333333</v>
      </c>
      <c r="H1675" s="8">
        <v>1</v>
      </c>
      <c r="I1675" s="8">
        <v>1</v>
      </c>
      <c r="J1675" s="8">
        <v>0</v>
      </c>
      <c r="K1675" s="8">
        <v>0</v>
      </c>
      <c r="L1675" s="8">
        <v>3</v>
      </c>
      <c r="M1675" s="8">
        <v>0</v>
      </c>
      <c r="N1675" s="8">
        <v>1</v>
      </c>
      <c r="O1675" s="8" t="s">
        <v>791</v>
      </c>
      <c r="P1675" s="8">
        <v>97</v>
      </c>
      <c r="Q1675" s="8" t="s">
        <v>2165</v>
      </c>
      <c r="R1675" s="8" t="s">
        <v>2166</v>
      </c>
      <c r="S1675" s="8">
        <v>19</v>
      </c>
    </row>
    <row r="1676" spans="1:19" ht="25" customHeight="1">
      <c r="A1676" s="12">
        <v>19</v>
      </c>
      <c r="B1676" s="8" t="s">
        <v>2063</v>
      </c>
      <c r="C1676" s="8" t="s">
        <v>115</v>
      </c>
      <c r="D1676" s="8" t="s">
        <v>432</v>
      </c>
      <c r="E1676" s="8" t="s">
        <v>63</v>
      </c>
      <c r="F1676" s="8">
        <v>1</v>
      </c>
      <c r="G1676" s="11">
        <v>0.3333333333333333</v>
      </c>
      <c r="H1676" s="8">
        <v>0</v>
      </c>
      <c r="I1676" s="8">
        <v>0</v>
      </c>
      <c r="J1676" s="8">
        <v>0</v>
      </c>
      <c r="K1676" s="8">
        <v>0</v>
      </c>
      <c r="L1676" s="8">
        <v>7</v>
      </c>
      <c r="M1676" s="8">
        <v>1</v>
      </c>
      <c r="N1676" s="8">
        <v>0</v>
      </c>
      <c r="O1676" s="8" t="s">
        <v>791</v>
      </c>
      <c r="P1676" s="8">
        <v>23</v>
      </c>
      <c r="Q1676" s="8" t="s">
        <v>2165</v>
      </c>
      <c r="R1676" s="8" t="s">
        <v>2166</v>
      </c>
      <c r="S1676" s="8">
        <v>20</v>
      </c>
    </row>
    <row r="1677" spans="1:19" ht="25" customHeight="1">
      <c r="A1677" s="12">
        <v>20</v>
      </c>
      <c r="B1677" s="8" t="s">
        <v>2063</v>
      </c>
      <c r="C1677" s="8" t="s">
        <v>115</v>
      </c>
      <c r="D1677" s="8" t="s">
        <v>471</v>
      </c>
      <c r="E1677" s="8" t="s">
        <v>51</v>
      </c>
      <c r="F1677" s="8">
        <v>1</v>
      </c>
      <c r="G1677" s="11">
        <v>0.25</v>
      </c>
      <c r="H1677" s="8">
        <v>0</v>
      </c>
      <c r="I1677" s="8">
        <v>0</v>
      </c>
      <c r="J1677" s="8">
        <v>0</v>
      </c>
      <c r="K1677" s="8">
        <v>0</v>
      </c>
      <c r="L1677" s="8">
        <v>14</v>
      </c>
      <c r="M1677" s="8">
        <v>0</v>
      </c>
      <c r="N1677" s="8">
        <v>1</v>
      </c>
      <c r="O1677" s="8" t="s">
        <v>791</v>
      </c>
      <c r="P1677" s="8">
        <v>20</v>
      </c>
      <c r="Q1677" s="8" t="s">
        <v>2165</v>
      </c>
      <c r="R1677" s="8" t="s">
        <v>2166</v>
      </c>
      <c r="S1677" s="8">
        <v>21</v>
      </c>
    </row>
    <row r="1678" spans="1:19" ht="25" customHeight="1">
      <c r="A1678" s="12">
        <v>21</v>
      </c>
      <c r="B1678" s="8" t="s">
        <v>2063</v>
      </c>
      <c r="C1678" s="8" t="s">
        <v>115</v>
      </c>
      <c r="D1678" s="8" t="s">
        <v>477</v>
      </c>
      <c r="E1678" s="8" t="s">
        <v>54</v>
      </c>
      <c r="F1678" s="8">
        <v>1</v>
      </c>
      <c r="G1678" s="11">
        <v>0.5</v>
      </c>
      <c r="H1678" s="8">
        <v>0</v>
      </c>
      <c r="I1678" s="8">
        <v>0</v>
      </c>
      <c r="J1678" s="8">
        <v>0</v>
      </c>
      <c r="K1678" s="8">
        <v>0</v>
      </c>
      <c r="L1678" s="8">
        <v>6</v>
      </c>
      <c r="M1678" s="8">
        <v>1</v>
      </c>
      <c r="N1678" s="8">
        <v>0</v>
      </c>
      <c r="O1678" s="8" t="s">
        <v>791</v>
      </c>
      <c r="P1678" s="8">
        <v>24</v>
      </c>
      <c r="Q1678" s="8" t="s">
        <v>2165</v>
      </c>
      <c r="R1678" s="8" t="s">
        <v>2166</v>
      </c>
      <c r="S1678" s="8">
        <v>23</v>
      </c>
    </row>
    <row r="1679" spans="1:19" ht="25" customHeight="1">
      <c r="A1679" s="12">
        <v>22</v>
      </c>
      <c r="B1679" s="8" t="s">
        <v>2063</v>
      </c>
      <c r="C1679" s="8" t="s">
        <v>115</v>
      </c>
      <c r="D1679" s="8" t="s">
        <v>428</v>
      </c>
      <c r="E1679" s="8" t="s">
        <v>54</v>
      </c>
      <c r="F1679" s="8">
        <v>1</v>
      </c>
      <c r="G1679" s="11">
        <v>0.08333333333333333</v>
      </c>
      <c r="H1679" s="8">
        <v>0</v>
      </c>
      <c r="I1679" s="8">
        <v>0</v>
      </c>
      <c r="J1679" s="8">
        <v>1</v>
      </c>
      <c r="K1679" s="8">
        <v>1</v>
      </c>
      <c r="L1679" s="8">
        <v>17</v>
      </c>
      <c r="M1679" s="8">
        <v>1</v>
      </c>
      <c r="N1679" s="8">
        <v>0</v>
      </c>
      <c r="O1679" s="8" t="s">
        <v>791</v>
      </c>
      <c r="P1679" s="8">
        <v>0</v>
      </c>
      <c r="Q1679" s="8" t="s">
        <v>2161</v>
      </c>
      <c r="R1679" s="8" t="s">
        <v>2162</v>
      </c>
      <c r="S1679" s="8">
        <v>24</v>
      </c>
    </row>
    <row r="1680" spans="1:19" ht="25" customHeight="1">
      <c r="A1680" s="12">
        <v>23</v>
      </c>
      <c r="B1680" s="8" t="s">
        <v>2063</v>
      </c>
      <c r="C1680" s="8" t="s">
        <v>115</v>
      </c>
      <c r="D1680" s="8" t="s">
        <v>471</v>
      </c>
      <c r="E1680" s="8" t="s">
        <v>56</v>
      </c>
      <c r="F1680" s="8">
        <v>1</v>
      </c>
      <c r="G1680" s="11">
        <v>0.25</v>
      </c>
      <c r="H1680" s="8">
        <v>0</v>
      </c>
      <c r="I1680" s="8">
        <v>0</v>
      </c>
      <c r="J1680" s="8">
        <v>0</v>
      </c>
      <c r="K1680" s="8">
        <v>0</v>
      </c>
      <c r="L1680" s="8">
        <v>13</v>
      </c>
      <c r="M1680" s="8">
        <v>0</v>
      </c>
      <c r="N1680" s="8">
        <v>1</v>
      </c>
      <c r="O1680" s="8" t="s">
        <v>791</v>
      </c>
      <c r="P1680" s="8">
        <v>20</v>
      </c>
      <c r="Q1680" s="8" t="s">
        <v>2165</v>
      </c>
      <c r="R1680" s="8" t="s">
        <v>2166</v>
      </c>
      <c r="S1680" s="8">
        <v>25</v>
      </c>
    </row>
    <row r="1681" spans="1:19" ht="25" customHeight="1">
      <c r="A1681" s="12">
        <v>24</v>
      </c>
      <c r="B1681" s="8" t="s">
        <v>2063</v>
      </c>
      <c r="C1681" s="8" t="s">
        <v>115</v>
      </c>
      <c r="D1681" s="8" t="s">
        <v>428</v>
      </c>
      <c r="E1681" s="8" t="s">
        <v>56</v>
      </c>
      <c r="F1681" s="8">
        <v>1</v>
      </c>
      <c r="G1681" s="11">
        <v>0.08333333333333333</v>
      </c>
      <c r="H1681" s="8">
        <v>0</v>
      </c>
      <c r="I1681" s="8">
        <v>0</v>
      </c>
      <c r="J1681" s="8">
        <v>0</v>
      </c>
      <c r="K1681" s="8">
        <v>0</v>
      </c>
      <c r="L1681" s="8">
        <v>4</v>
      </c>
      <c r="M1681" s="8">
        <v>1</v>
      </c>
      <c r="N1681" s="8">
        <v>0</v>
      </c>
      <c r="O1681" s="8" t="s">
        <v>791</v>
      </c>
      <c r="P1681" s="8">
        <v>26</v>
      </c>
      <c r="Q1681" s="8" t="s">
        <v>2165</v>
      </c>
      <c r="R1681" s="8" t="s">
        <v>2166</v>
      </c>
      <c r="S1681" s="8">
        <v>26</v>
      </c>
    </row>
    <row r="1682" spans="1:19" ht="25" customHeight="1">
      <c r="A1682" s="12">
        <v>25</v>
      </c>
      <c r="B1682" s="8" t="s">
        <v>2063</v>
      </c>
      <c r="C1682" s="8" t="s">
        <v>115</v>
      </c>
      <c r="D1682" s="8" t="s">
        <v>446</v>
      </c>
      <c r="E1682" s="8" t="s">
        <v>43</v>
      </c>
      <c r="F1682" s="8">
        <v>1</v>
      </c>
      <c r="G1682" s="11">
        <v>0.2</v>
      </c>
      <c r="H1682" s="8">
        <v>1</v>
      </c>
      <c r="I1682" s="8">
        <v>1</v>
      </c>
      <c r="J1682" s="8">
        <v>0</v>
      </c>
      <c r="K1682" s="8">
        <v>0</v>
      </c>
      <c r="L1682" s="8">
        <v>3</v>
      </c>
      <c r="M1682" s="8">
        <v>0</v>
      </c>
      <c r="N1682" s="8">
        <v>1</v>
      </c>
      <c r="O1682" s="8" t="s">
        <v>791</v>
      </c>
      <c r="P1682" s="8">
        <v>97</v>
      </c>
      <c r="Q1682" s="8" t="s">
        <v>2165</v>
      </c>
      <c r="R1682" s="8" t="s">
        <v>2166</v>
      </c>
      <c r="S1682" s="8">
        <v>28</v>
      </c>
    </row>
    <row r="1683" spans="1:19" ht="25" customHeight="1">
      <c r="A1683" s="12">
        <v>26</v>
      </c>
      <c r="B1683" s="8" t="s">
        <v>2063</v>
      </c>
      <c r="C1683" s="8" t="s">
        <v>115</v>
      </c>
      <c r="D1683" s="8" t="s">
        <v>561</v>
      </c>
      <c r="E1683" s="8" t="s">
        <v>32</v>
      </c>
      <c r="F1683" s="8">
        <v>1</v>
      </c>
      <c r="G1683" s="8">
        <v>1</v>
      </c>
      <c r="H1683" s="8">
        <v>0</v>
      </c>
      <c r="I1683" s="8">
        <v>0</v>
      </c>
      <c r="J1683" s="8">
        <v>1</v>
      </c>
      <c r="K1683" s="8">
        <v>1</v>
      </c>
      <c r="L1683" s="8">
        <v>72</v>
      </c>
      <c r="M1683" s="8">
        <v>0</v>
      </c>
      <c r="N1683" s="8">
        <v>1</v>
      </c>
      <c r="O1683" s="8" t="s">
        <v>791</v>
      </c>
      <c r="P1683" s="8">
        <v>0</v>
      </c>
      <c r="Q1683" s="8" t="s">
        <v>2161</v>
      </c>
      <c r="R1683" s="8" t="s">
        <v>2162</v>
      </c>
      <c r="S1683" s="8">
        <v>29</v>
      </c>
    </row>
    <row r="1684" spans="1:19" ht="25" customHeight="1">
      <c r="A1684" s="12">
        <v>27</v>
      </c>
      <c r="B1684" s="8" t="s">
        <v>2063</v>
      </c>
      <c r="C1684" s="8" t="s">
        <v>115</v>
      </c>
      <c r="D1684" s="8" t="s">
        <v>428</v>
      </c>
      <c r="E1684" s="8" t="s">
        <v>88</v>
      </c>
      <c r="F1684" s="8">
        <v>1</v>
      </c>
      <c r="G1684" s="11">
        <v>0.08333333333333333</v>
      </c>
      <c r="H1684" s="8">
        <v>0</v>
      </c>
      <c r="I1684" s="8">
        <v>0</v>
      </c>
      <c r="J1684" s="8">
        <v>0</v>
      </c>
      <c r="K1684" s="8">
        <v>0</v>
      </c>
      <c r="L1684" s="8">
        <v>4</v>
      </c>
      <c r="M1684" s="8">
        <v>1</v>
      </c>
      <c r="N1684" s="8">
        <v>0</v>
      </c>
      <c r="O1684" s="8" t="s">
        <v>791</v>
      </c>
      <c r="P1684" s="8">
        <v>26</v>
      </c>
      <c r="Q1684" s="8" t="s">
        <v>2165</v>
      </c>
      <c r="R1684" s="8" t="s">
        <v>2166</v>
      </c>
      <c r="S1684" s="8">
        <v>31</v>
      </c>
    </row>
    <row r="1685" spans="1:19" ht="25" customHeight="1">
      <c r="A1685" s="12">
        <v>28</v>
      </c>
      <c r="B1685" s="8" t="s">
        <v>2063</v>
      </c>
      <c r="C1685" s="8" t="s">
        <v>115</v>
      </c>
      <c r="D1685" s="8" t="s">
        <v>446</v>
      </c>
      <c r="E1685" s="8" t="s">
        <v>53</v>
      </c>
      <c r="F1685" s="8">
        <v>1</v>
      </c>
      <c r="G1685" s="11">
        <v>0.2</v>
      </c>
      <c r="H1685" s="8">
        <v>0</v>
      </c>
      <c r="I1685" s="8">
        <v>0</v>
      </c>
      <c r="J1685" s="8">
        <v>0</v>
      </c>
      <c r="K1685" s="8">
        <v>0</v>
      </c>
      <c r="L1685" s="8">
        <v>8</v>
      </c>
      <c r="M1685" s="8">
        <v>0</v>
      </c>
      <c r="N1685" s="8">
        <v>1</v>
      </c>
      <c r="O1685" s="8" t="s">
        <v>791</v>
      </c>
      <c r="P1685" s="8">
        <v>22</v>
      </c>
      <c r="Q1685" s="8" t="s">
        <v>2165</v>
      </c>
      <c r="R1685" s="8" t="s">
        <v>2166</v>
      </c>
      <c r="S1685" s="8">
        <v>32</v>
      </c>
    </row>
    <row r="1686" spans="1:19" ht="25" customHeight="1">
      <c r="A1686" s="12">
        <v>29</v>
      </c>
      <c r="B1686" s="8" t="s">
        <v>2063</v>
      </c>
      <c r="C1686" s="8" t="s">
        <v>115</v>
      </c>
      <c r="D1686" s="8" t="s">
        <v>465</v>
      </c>
      <c r="E1686" s="8" t="s">
        <v>81</v>
      </c>
      <c r="F1686" s="8">
        <v>1</v>
      </c>
      <c r="G1686" s="11">
        <v>0.3333333333333333</v>
      </c>
      <c r="H1686" s="8">
        <v>0</v>
      </c>
      <c r="I1686" s="8">
        <v>0</v>
      </c>
      <c r="J1686" s="8">
        <v>0</v>
      </c>
      <c r="K1686" s="8">
        <v>0</v>
      </c>
      <c r="L1686" s="8">
        <v>4</v>
      </c>
      <c r="M1686" s="8">
        <v>1</v>
      </c>
      <c r="N1686" s="8">
        <v>0</v>
      </c>
      <c r="O1686" s="8" t="s">
        <v>791</v>
      </c>
      <c r="P1686" s="8">
        <v>26</v>
      </c>
      <c r="Q1686" s="8" t="s">
        <v>2165</v>
      </c>
      <c r="R1686" s="8" t="s">
        <v>2166</v>
      </c>
      <c r="S1686" s="8">
        <v>33</v>
      </c>
    </row>
    <row r="1687" spans="1:19" ht="25" customHeight="1">
      <c r="A1687" s="12">
        <v>30</v>
      </c>
      <c r="B1687" s="8" t="s">
        <v>2063</v>
      </c>
      <c r="C1687" s="8" t="s">
        <v>115</v>
      </c>
      <c r="D1687" s="8" t="s">
        <v>471</v>
      </c>
      <c r="E1687" s="8" t="s">
        <v>35</v>
      </c>
      <c r="F1687" s="8">
        <v>1</v>
      </c>
      <c r="G1687" s="11">
        <v>0.25</v>
      </c>
      <c r="H1687" s="8">
        <v>0</v>
      </c>
      <c r="I1687" s="8">
        <v>0</v>
      </c>
      <c r="J1687" s="8">
        <v>1</v>
      </c>
      <c r="K1687" s="8">
        <v>1</v>
      </c>
      <c r="L1687" s="8">
        <v>55</v>
      </c>
      <c r="M1687" s="8">
        <v>0</v>
      </c>
      <c r="N1687" s="8">
        <v>1</v>
      </c>
      <c r="O1687" s="8" t="s">
        <v>791</v>
      </c>
      <c r="P1687" s="8">
        <v>0</v>
      </c>
      <c r="Q1687" s="8" t="s">
        <v>2161</v>
      </c>
      <c r="R1687" s="8" t="s">
        <v>2162</v>
      </c>
      <c r="S1687" s="8">
        <v>34</v>
      </c>
    </row>
    <row r="1688" spans="1:19" ht="25" customHeight="1">
      <c r="A1688" s="12">
        <v>31</v>
      </c>
      <c r="B1688" s="8" t="s">
        <v>2063</v>
      </c>
      <c r="C1688" s="8" t="s">
        <v>115</v>
      </c>
      <c r="D1688" s="8" t="s">
        <v>432</v>
      </c>
      <c r="E1688" s="8" t="s">
        <v>62</v>
      </c>
      <c r="F1688" s="8">
        <v>1</v>
      </c>
      <c r="G1688" s="11">
        <v>0.3333333333333333</v>
      </c>
      <c r="H1688" s="8">
        <v>0</v>
      </c>
      <c r="I1688" s="8">
        <v>0</v>
      </c>
      <c r="J1688" s="8">
        <v>1</v>
      </c>
      <c r="K1688" s="8">
        <v>1</v>
      </c>
      <c r="L1688" s="8">
        <v>25</v>
      </c>
      <c r="M1688" s="8">
        <v>1</v>
      </c>
      <c r="N1688" s="8">
        <v>0</v>
      </c>
      <c r="O1688" s="8" t="s">
        <v>791</v>
      </c>
      <c r="P1688" s="8">
        <v>0</v>
      </c>
      <c r="Q1688" s="8" t="s">
        <v>2161</v>
      </c>
      <c r="R1688" s="8" t="s">
        <v>2162</v>
      </c>
      <c r="S1688" s="8">
        <v>35</v>
      </c>
    </row>
    <row r="1689" spans="1:19" ht="25" customHeight="1">
      <c r="A1689" s="12">
        <v>32</v>
      </c>
      <c r="B1689" s="8" t="s">
        <v>2063</v>
      </c>
      <c r="C1689" s="8" t="s">
        <v>115</v>
      </c>
      <c r="D1689" s="8" t="s">
        <v>477</v>
      </c>
      <c r="E1689" s="8" t="s">
        <v>75</v>
      </c>
      <c r="F1689" s="8">
        <v>1</v>
      </c>
      <c r="G1689" s="11">
        <v>0.5</v>
      </c>
      <c r="H1689" s="8">
        <v>0</v>
      </c>
      <c r="I1689" s="8">
        <v>0</v>
      </c>
      <c r="J1689" s="8">
        <v>0</v>
      </c>
      <c r="K1689" s="8">
        <v>0</v>
      </c>
      <c r="L1689" s="8">
        <v>9</v>
      </c>
      <c r="M1689" s="8">
        <v>1</v>
      </c>
      <c r="N1689" s="8">
        <v>0</v>
      </c>
      <c r="O1689" s="8" t="s">
        <v>791</v>
      </c>
      <c r="P1689" s="8">
        <v>21</v>
      </c>
      <c r="Q1689" s="8" t="s">
        <v>2165</v>
      </c>
      <c r="R1689" s="8" t="s">
        <v>2166</v>
      </c>
      <c r="S1689" s="8">
        <v>36</v>
      </c>
    </row>
    <row r="1690" spans="1:19" ht="25" customHeight="1">
      <c r="A1690" s="12">
        <v>33</v>
      </c>
      <c r="B1690" s="8" t="s">
        <v>2066</v>
      </c>
      <c r="C1690" s="8" t="s">
        <v>716</v>
      </c>
      <c r="D1690" s="8" t="s">
        <v>465</v>
      </c>
      <c r="E1690" s="8" t="s">
        <v>44</v>
      </c>
      <c r="F1690" s="8">
        <v>3</v>
      </c>
      <c r="G1690" s="11">
        <v>0.4285714285714285</v>
      </c>
      <c r="H1690" s="8">
        <v>1</v>
      </c>
      <c r="I1690" s="11">
        <v>0.3333333333333333</v>
      </c>
      <c r="J1690" s="8">
        <v>0</v>
      </c>
      <c r="K1690" s="8">
        <v>0</v>
      </c>
      <c r="L1690" s="11">
        <v>5.333333333333333</v>
      </c>
      <c r="M1690" s="8">
        <v>1</v>
      </c>
      <c r="N1690" s="8">
        <v>0</v>
      </c>
      <c r="O1690" s="8" t="s">
        <v>801</v>
      </c>
      <c r="P1690" s="8">
        <v>48</v>
      </c>
      <c r="Q1690" s="8" t="s">
        <v>2167</v>
      </c>
      <c r="R1690" s="8" t="s">
        <v>2168</v>
      </c>
      <c r="S1690" s="8">
        <v>37</v>
      </c>
    </row>
    <row r="1691" spans="1:19" ht="25" customHeight="1">
      <c r="A1691" s="12">
        <v>34</v>
      </c>
      <c r="B1691" s="8" t="s">
        <v>2066</v>
      </c>
      <c r="C1691" s="8" t="s">
        <v>716</v>
      </c>
      <c r="D1691" s="8" t="s">
        <v>449</v>
      </c>
      <c r="E1691" s="8" t="s">
        <v>44</v>
      </c>
      <c r="F1691" s="8">
        <v>1</v>
      </c>
      <c r="G1691" s="11">
        <v>0.05263157894736842</v>
      </c>
      <c r="H1691" s="8">
        <v>1</v>
      </c>
      <c r="I1691" s="8">
        <v>1</v>
      </c>
      <c r="J1691" s="8">
        <v>0</v>
      </c>
      <c r="K1691" s="8">
        <v>0</v>
      </c>
      <c r="L1691" s="8">
        <v>0</v>
      </c>
      <c r="M1691" s="8">
        <v>0</v>
      </c>
      <c r="N1691" s="8">
        <v>1</v>
      </c>
      <c r="O1691" s="8" t="s">
        <v>791</v>
      </c>
      <c r="P1691" s="8">
        <v>100</v>
      </c>
      <c r="Q1691" s="8" t="s">
        <v>2165</v>
      </c>
      <c r="R1691" s="8" t="s">
        <v>2166</v>
      </c>
      <c r="S1691" s="8">
        <v>38</v>
      </c>
    </row>
    <row r="1692" spans="1:19" ht="25" customHeight="1">
      <c r="A1692" s="12">
        <v>35</v>
      </c>
      <c r="B1692" s="8" t="s">
        <v>2066</v>
      </c>
      <c r="C1692" s="8" t="s">
        <v>716</v>
      </c>
      <c r="D1692" s="8" t="s">
        <v>432</v>
      </c>
      <c r="E1692" s="8" t="s">
        <v>44</v>
      </c>
      <c r="F1692" s="8">
        <v>1</v>
      </c>
      <c r="G1692" s="11">
        <v>0.25</v>
      </c>
      <c r="H1692" s="8">
        <v>0</v>
      </c>
      <c r="I1692" s="8">
        <v>0</v>
      </c>
      <c r="J1692" s="8">
        <v>0</v>
      </c>
      <c r="K1692" s="8">
        <v>0</v>
      </c>
      <c r="L1692" s="8">
        <v>7</v>
      </c>
      <c r="M1692" s="8">
        <v>1</v>
      </c>
      <c r="N1692" s="8">
        <v>0</v>
      </c>
      <c r="O1692" s="8" t="s">
        <v>791</v>
      </c>
      <c r="P1692" s="8">
        <v>23</v>
      </c>
      <c r="Q1692" s="8" t="s">
        <v>2165</v>
      </c>
      <c r="R1692" s="8" t="s">
        <v>2166</v>
      </c>
      <c r="S1692" s="8">
        <v>40</v>
      </c>
    </row>
    <row r="1693" spans="1:19" ht="25" customHeight="1">
      <c r="A1693" s="12">
        <v>36</v>
      </c>
      <c r="B1693" s="8" t="s">
        <v>2066</v>
      </c>
      <c r="C1693" s="8" t="s">
        <v>716</v>
      </c>
      <c r="D1693" s="8" t="s">
        <v>446</v>
      </c>
      <c r="E1693" s="8" t="s">
        <v>44</v>
      </c>
      <c r="F1693" s="8">
        <v>1</v>
      </c>
      <c r="G1693" s="11">
        <v>0.1666666666666667</v>
      </c>
      <c r="H1693" s="8">
        <v>0</v>
      </c>
      <c r="I1693" s="8">
        <v>0</v>
      </c>
      <c r="J1693" s="8">
        <v>0</v>
      </c>
      <c r="K1693" s="8">
        <v>0</v>
      </c>
      <c r="L1693" s="8">
        <v>11</v>
      </c>
      <c r="M1693" s="8">
        <v>0</v>
      </c>
      <c r="N1693" s="8">
        <v>1</v>
      </c>
      <c r="O1693" s="8" t="s">
        <v>791</v>
      </c>
      <c r="P1693" s="8">
        <v>20</v>
      </c>
      <c r="Q1693" s="8" t="s">
        <v>2165</v>
      </c>
      <c r="R1693" s="8" t="s">
        <v>2166</v>
      </c>
      <c r="S1693" s="8">
        <v>41</v>
      </c>
    </row>
    <row r="1694" spans="1:19" ht="25" customHeight="1">
      <c r="A1694" s="12">
        <v>37</v>
      </c>
      <c r="B1694" s="8" t="s">
        <v>2066</v>
      </c>
      <c r="C1694" s="8" t="s">
        <v>716</v>
      </c>
      <c r="D1694" s="8" t="s">
        <v>446</v>
      </c>
      <c r="E1694" s="8" t="s">
        <v>60</v>
      </c>
      <c r="F1694" s="8">
        <v>1</v>
      </c>
      <c r="G1694" s="11">
        <v>0.1666666666666667</v>
      </c>
      <c r="H1694" s="8">
        <v>1</v>
      </c>
      <c r="I1694" s="8">
        <v>1</v>
      </c>
      <c r="J1694" s="8">
        <v>0</v>
      </c>
      <c r="K1694" s="8">
        <v>0</v>
      </c>
      <c r="L1694" s="8">
        <v>3</v>
      </c>
      <c r="M1694" s="8">
        <v>0</v>
      </c>
      <c r="N1694" s="8">
        <v>1</v>
      </c>
      <c r="O1694" s="8" t="s">
        <v>791</v>
      </c>
      <c r="P1694" s="8">
        <v>97</v>
      </c>
      <c r="Q1694" s="8" t="s">
        <v>2165</v>
      </c>
      <c r="R1694" s="8" t="s">
        <v>2166</v>
      </c>
      <c r="S1694" s="8">
        <v>44</v>
      </c>
    </row>
    <row r="1695" spans="1:19" ht="25" customHeight="1">
      <c r="A1695" s="12">
        <v>38</v>
      </c>
      <c r="B1695" s="8" t="s">
        <v>2066</v>
      </c>
      <c r="C1695" s="8" t="s">
        <v>716</v>
      </c>
      <c r="D1695" s="8" t="s">
        <v>449</v>
      </c>
      <c r="E1695" s="8" t="s">
        <v>60</v>
      </c>
      <c r="F1695" s="8">
        <v>2</v>
      </c>
      <c r="G1695" s="11">
        <v>0.1052631578947368</v>
      </c>
      <c r="H1695" s="8">
        <v>0</v>
      </c>
      <c r="I1695" s="8">
        <v>0</v>
      </c>
      <c r="J1695" s="8">
        <v>1</v>
      </c>
      <c r="K1695" s="11">
        <v>0.5</v>
      </c>
      <c r="L1695" s="11">
        <v>21.5</v>
      </c>
      <c r="M1695" s="8">
        <v>0</v>
      </c>
      <c r="N1695" s="11">
        <v>0.5</v>
      </c>
      <c r="O1695" s="8" t="s">
        <v>791</v>
      </c>
      <c r="P1695" s="8">
        <v>10</v>
      </c>
      <c r="Q1695" s="8" t="s">
        <v>2161</v>
      </c>
      <c r="R1695" s="8" t="s">
        <v>2162</v>
      </c>
      <c r="S1695" s="8">
        <v>45</v>
      </c>
    </row>
    <row r="1696" spans="1:19" ht="25" customHeight="1">
      <c r="A1696" s="12">
        <v>39</v>
      </c>
      <c r="B1696" s="8" t="s">
        <v>2066</v>
      </c>
      <c r="C1696" s="8" t="s">
        <v>711</v>
      </c>
      <c r="D1696" s="8" t="s">
        <v>443</v>
      </c>
      <c r="E1696" s="8" t="s">
        <v>35</v>
      </c>
      <c r="F1696" s="8">
        <v>1</v>
      </c>
      <c r="G1696" s="8">
        <v>1</v>
      </c>
      <c r="H1696" s="8">
        <v>1</v>
      </c>
      <c r="I1696" s="8">
        <v>1</v>
      </c>
      <c r="J1696" s="8">
        <v>0</v>
      </c>
      <c r="K1696" s="8">
        <v>0</v>
      </c>
      <c r="L1696" s="8">
        <v>5</v>
      </c>
      <c r="M1696" s="8">
        <v>0</v>
      </c>
      <c r="N1696" s="8">
        <v>1</v>
      </c>
      <c r="O1696" s="8" t="s">
        <v>791</v>
      </c>
      <c r="P1696" s="8">
        <v>95</v>
      </c>
      <c r="Q1696" s="8" t="s">
        <v>2165</v>
      </c>
      <c r="R1696" s="8" t="s">
        <v>2166</v>
      </c>
      <c r="S1696" s="8">
        <v>47</v>
      </c>
    </row>
    <row r="1697" spans="1:19" ht="25" customHeight="1">
      <c r="A1697" s="12">
        <v>40</v>
      </c>
      <c r="B1697" s="8" t="s">
        <v>2066</v>
      </c>
      <c r="C1697" s="8" t="s">
        <v>716</v>
      </c>
      <c r="D1697" s="8" t="s">
        <v>468</v>
      </c>
      <c r="E1697" s="8" t="s">
        <v>35</v>
      </c>
      <c r="F1697" s="8">
        <v>1</v>
      </c>
      <c r="G1697" s="11">
        <v>0.125</v>
      </c>
      <c r="H1697" s="8">
        <v>1</v>
      </c>
      <c r="I1697" s="8">
        <v>1</v>
      </c>
      <c r="J1697" s="8">
        <v>0</v>
      </c>
      <c r="K1697" s="8">
        <v>0</v>
      </c>
      <c r="L1697" s="8">
        <v>0</v>
      </c>
      <c r="M1697" s="8">
        <v>0</v>
      </c>
      <c r="N1697" s="8">
        <v>1</v>
      </c>
      <c r="O1697" s="8" t="s">
        <v>791</v>
      </c>
      <c r="P1697" s="8">
        <v>100</v>
      </c>
      <c r="Q1697" s="8" t="s">
        <v>2165</v>
      </c>
      <c r="R1697" s="8" t="s">
        <v>2166</v>
      </c>
      <c r="S1697" s="8">
        <v>48</v>
      </c>
    </row>
    <row r="1698" spans="1:19" ht="25" customHeight="1">
      <c r="A1698" s="12">
        <v>41</v>
      </c>
      <c r="B1698" s="8" t="s">
        <v>2066</v>
      </c>
      <c r="C1698" s="8" t="s">
        <v>720</v>
      </c>
      <c r="D1698" s="8" t="s">
        <v>435</v>
      </c>
      <c r="E1698" s="8" t="s">
        <v>35</v>
      </c>
      <c r="F1698" s="8">
        <v>1</v>
      </c>
      <c r="G1698" s="8">
        <v>1</v>
      </c>
      <c r="H1698" s="8">
        <v>0</v>
      </c>
      <c r="I1698" s="8">
        <v>0</v>
      </c>
      <c r="J1698" s="8">
        <v>0</v>
      </c>
      <c r="K1698" s="8">
        <v>0</v>
      </c>
      <c r="L1698" s="8">
        <v>9</v>
      </c>
      <c r="M1698" s="8">
        <v>1</v>
      </c>
      <c r="N1698" s="8">
        <v>0</v>
      </c>
      <c r="O1698" s="8" t="s">
        <v>791</v>
      </c>
      <c r="P1698" s="8">
        <v>21</v>
      </c>
      <c r="Q1698" s="8" t="s">
        <v>2165</v>
      </c>
      <c r="R1698" s="8" t="s">
        <v>2166</v>
      </c>
      <c r="S1698" s="8">
        <v>49</v>
      </c>
    </row>
    <row r="1699" spans="1:19" ht="25" customHeight="1">
      <c r="A1699" s="12">
        <v>42</v>
      </c>
      <c r="B1699" s="8" t="s">
        <v>2066</v>
      </c>
      <c r="C1699" s="8" t="s">
        <v>716</v>
      </c>
      <c r="D1699" s="8" t="s">
        <v>428</v>
      </c>
      <c r="E1699" s="8" t="s">
        <v>68</v>
      </c>
      <c r="F1699" s="8">
        <v>1</v>
      </c>
      <c r="G1699" s="11">
        <v>0.05882352941176471</v>
      </c>
      <c r="H1699" s="8">
        <v>0</v>
      </c>
      <c r="I1699" s="8">
        <v>0</v>
      </c>
      <c r="J1699" s="8">
        <v>0</v>
      </c>
      <c r="K1699" s="8">
        <v>0</v>
      </c>
      <c r="L1699" s="8">
        <v>8</v>
      </c>
      <c r="M1699" s="8">
        <v>0</v>
      </c>
      <c r="N1699" s="8">
        <v>0</v>
      </c>
      <c r="O1699" s="8" t="s">
        <v>791</v>
      </c>
      <c r="P1699" s="8">
        <v>22</v>
      </c>
      <c r="Q1699" s="8" t="s">
        <v>2165</v>
      </c>
      <c r="R1699" s="8" t="s">
        <v>2166</v>
      </c>
      <c r="S1699" s="8">
        <v>50</v>
      </c>
    </row>
    <row r="1700" spans="1:19" ht="25" customHeight="1">
      <c r="A1700" s="12">
        <v>43</v>
      </c>
      <c r="B1700" s="8" t="s">
        <v>2066</v>
      </c>
      <c r="C1700" s="8" t="s">
        <v>716</v>
      </c>
      <c r="D1700" s="8" t="s">
        <v>449</v>
      </c>
      <c r="E1700" s="8" t="s">
        <v>68</v>
      </c>
      <c r="F1700" s="8">
        <v>1</v>
      </c>
      <c r="G1700" s="11">
        <v>0.05263157894736842</v>
      </c>
      <c r="H1700" s="8">
        <v>1</v>
      </c>
      <c r="I1700" s="8">
        <v>1</v>
      </c>
      <c r="J1700" s="8">
        <v>0</v>
      </c>
      <c r="K1700" s="8">
        <v>0</v>
      </c>
      <c r="L1700" s="8">
        <v>7</v>
      </c>
      <c r="M1700" s="8">
        <v>0</v>
      </c>
      <c r="N1700" s="8">
        <v>1</v>
      </c>
      <c r="O1700" s="8" t="s">
        <v>791</v>
      </c>
      <c r="P1700" s="8">
        <v>93</v>
      </c>
      <c r="Q1700" s="8" t="s">
        <v>2165</v>
      </c>
      <c r="R1700" s="8" t="s">
        <v>2166</v>
      </c>
      <c r="S1700" s="8">
        <v>51</v>
      </c>
    </row>
    <row r="1701" spans="1:19" ht="25" customHeight="1">
      <c r="A1701" s="12">
        <v>44</v>
      </c>
      <c r="B1701" s="8" t="s">
        <v>2066</v>
      </c>
      <c r="C1701" s="8" t="s">
        <v>716</v>
      </c>
      <c r="D1701" s="8" t="s">
        <v>428</v>
      </c>
      <c r="E1701" s="8" t="s">
        <v>53</v>
      </c>
      <c r="F1701" s="8">
        <v>3</v>
      </c>
      <c r="G1701" s="11">
        <v>0.1764705882352941</v>
      </c>
      <c r="H1701" s="8">
        <v>1</v>
      </c>
      <c r="I1701" s="11">
        <v>0.3333333333333333</v>
      </c>
      <c r="J1701" s="8">
        <v>0</v>
      </c>
      <c r="K1701" s="8">
        <v>0</v>
      </c>
      <c r="L1701" s="8">
        <v>5</v>
      </c>
      <c r="M1701" s="8">
        <v>1</v>
      </c>
      <c r="N1701" s="8">
        <v>0</v>
      </c>
      <c r="O1701" s="8" t="s">
        <v>801</v>
      </c>
      <c r="P1701" s="11">
        <v>48.3</v>
      </c>
      <c r="Q1701" s="8" t="s">
        <v>2167</v>
      </c>
      <c r="R1701" s="8" t="s">
        <v>2168</v>
      </c>
      <c r="S1701" s="8">
        <v>52</v>
      </c>
    </row>
    <row r="1702" spans="1:19" ht="25" customHeight="1">
      <c r="A1702" s="12">
        <v>45</v>
      </c>
      <c r="B1702" s="8" t="s">
        <v>2066</v>
      </c>
      <c r="C1702" s="8" t="s">
        <v>716</v>
      </c>
      <c r="D1702" s="8" t="s">
        <v>449</v>
      </c>
      <c r="E1702" s="8" t="s">
        <v>53</v>
      </c>
      <c r="F1702" s="8">
        <v>2</v>
      </c>
      <c r="G1702" s="11">
        <v>0.1052631578947368</v>
      </c>
      <c r="H1702" s="8">
        <v>1</v>
      </c>
      <c r="I1702" s="11">
        <v>0.5</v>
      </c>
      <c r="J1702" s="8">
        <v>0</v>
      </c>
      <c r="K1702" s="8">
        <v>0</v>
      </c>
      <c r="L1702" s="11">
        <v>6.5</v>
      </c>
      <c r="M1702" s="8">
        <v>0</v>
      </c>
      <c r="N1702" s="8">
        <v>1</v>
      </c>
      <c r="O1702" s="8" t="s">
        <v>791</v>
      </c>
      <c r="P1702" s="11">
        <v>58.5</v>
      </c>
      <c r="Q1702" s="8" t="s">
        <v>2165</v>
      </c>
      <c r="R1702" s="8" t="s">
        <v>2166</v>
      </c>
      <c r="S1702" s="8">
        <v>53</v>
      </c>
    </row>
    <row r="1703" spans="1:19" ht="25" customHeight="1">
      <c r="A1703" s="12">
        <v>46</v>
      </c>
      <c r="B1703" s="8" t="s">
        <v>2066</v>
      </c>
      <c r="C1703" s="8" t="s">
        <v>716</v>
      </c>
      <c r="D1703" s="8" t="s">
        <v>460</v>
      </c>
      <c r="E1703" s="8" t="s">
        <v>53</v>
      </c>
      <c r="F1703" s="8">
        <v>1</v>
      </c>
      <c r="G1703" s="11">
        <v>0.5</v>
      </c>
      <c r="H1703" s="8">
        <v>1</v>
      </c>
      <c r="I1703" s="8">
        <v>1</v>
      </c>
      <c r="J1703" s="8">
        <v>0</v>
      </c>
      <c r="K1703" s="8">
        <v>0</v>
      </c>
      <c r="L1703" s="8">
        <v>6</v>
      </c>
      <c r="M1703" s="8">
        <v>0</v>
      </c>
      <c r="N1703" s="8">
        <v>1</v>
      </c>
      <c r="O1703" s="8" t="s">
        <v>791</v>
      </c>
      <c r="P1703" s="8">
        <v>94</v>
      </c>
      <c r="Q1703" s="8" t="s">
        <v>2165</v>
      </c>
      <c r="R1703" s="8" t="s">
        <v>2166</v>
      </c>
      <c r="S1703" s="8">
        <v>54</v>
      </c>
    </row>
    <row r="1704" spans="1:19" ht="25" customHeight="1">
      <c r="A1704" s="12">
        <v>47</v>
      </c>
      <c r="B1704" s="8" t="s">
        <v>2066</v>
      </c>
      <c r="C1704" s="8" t="s">
        <v>716</v>
      </c>
      <c r="D1704" s="8" t="s">
        <v>468</v>
      </c>
      <c r="E1704" s="8" t="s">
        <v>52</v>
      </c>
      <c r="F1704" s="8">
        <v>2</v>
      </c>
      <c r="G1704" s="11">
        <v>0.25</v>
      </c>
      <c r="H1704" s="8">
        <v>2</v>
      </c>
      <c r="I1704" s="8">
        <v>1</v>
      </c>
      <c r="J1704" s="8">
        <v>0</v>
      </c>
      <c r="K1704" s="8">
        <v>0</v>
      </c>
      <c r="L1704" s="8">
        <v>0</v>
      </c>
      <c r="M1704" s="8">
        <v>0</v>
      </c>
      <c r="N1704" s="8">
        <v>1</v>
      </c>
      <c r="O1704" s="8" t="s">
        <v>791</v>
      </c>
      <c r="P1704" s="8">
        <v>100</v>
      </c>
      <c r="Q1704" s="8" t="s">
        <v>2165</v>
      </c>
      <c r="R1704" s="8" t="s">
        <v>2166</v>
      </c>
      <c r="S1704" s="8">
        <v>57</v>
      </c>
    </row>
    <row r="1705" spans="1:19" ht="25" customHeight="1">
      <c r="A1705" s="12">
        <v>48</v>
      </c>
      <c r="B1705" s="8" t="s">
        <v>2066</v>
      </c>
      <c r="C1705" s="8" t="s">
        <v>716</v>
      </c>
      <c r="D1705" s="8" t="s">
        <v>428</v>
      </c>
      <c r="E1705" s="8" t="s">
        <v>52</v>
      </c>
      <c r="F1705" s="8">
        <v>1</v>
      </c>
      <c r="G1705" s="11">
        <v>0.05882352941176471</v>
      </c>
      <c r="H1705" s="8">
        <v>1</v>
      </c>
      <c r="I1705" s="8">
        <v>1</v>
      </c>
      <c r="J1705" s="8">
        <v>0</v>
      </c>
      <c r="K1705" s="8">
        <v>0</v>
      </c>
      <c r="L1705" s="8">
        <v>3</v>
      </c>
      <c r="M1705" s="8">
        <v>1</v>
      </c>
      <c r="N1705" s="8">
        <v>0</v>
      </c>
      <c r="O1705" s="8" t="s">
        <v>791</v>
      </c>
      <c r="P1705" s="8">
        <v>97</v>
      </c>
      <c r="Q1705" s="8" t="s">
        <v>2165</v>
      </c>
      <c r="R1705" s="8" t="s">
        <v>2166</v>
      </c>
      <c r="S1705" s="8">
        <v>58</v>
      </c>
    </row>
    <row r="1706" spans="1:19" ht="25" customHeight="1">
      <c r="A1706" s="12">
        <v>49</v>
      </c>
      <c r="B1706" s="8" t="s">
        <v>2066</v>
      </c>
      <c r="C1706" s="8" t="s">
        <v>716</v>
      </c>
      <c r="D1706" s="8" t="s">
        <v>477</v>
      </c>
      <c r="E1706" s="8" t="s">
        <v>69</v>
      </c>
      <c r="F1706" s="8">
        <v>1</v>
      </c>
      <c r="G1706" s="8">
        <v>1</v>
      </c>
      <c r="H1706" s="8">
        <v>1</v>
      </c>
      <c r="I1706" s="8">
        <v>1</v>
      </c>
      <c r="J1706" s="8">
        <v>0</v>
      </c>
      <c r="K1706" s="8">
        <v>0</v>
      </c>
      <c r="L1706" s="8">
        <v>2</v>
      </c>
      <c r="M1706" s="8">
        <v>1</v>
      </c>
      <c r="N1706" s="8">
        <v>0</v>
      </c>
      <c r="O1706" s="8" t="s">
        <v>791</v>
      </c>
      <c r="P1706" s="8">
        <v>98</v>
      </c>
      <c r="Q1706" s="8" t="s">
        <v>2165</v>
      </c>
      <c r="R1706" s="8" t="s">
        <v>2166</v>
      </c>
      <c r="S1706" s="8">
        <v>59</v>
      </c>
    </row>
    <row r="1707" spans="1:19" ht="25" customHeight="1">
      <c r="A1707" s="12">
        <v>50</v>
      </c>
      <c r="B1707" s="8" t="s">
        <v>2066</v>
      </c>
      <c r="C1707" s="8" t="s">
        <v>716</v>
      </c>
      <c r="D1707" s="8" t="s">
        <v>428</v>
      </c>
      <c r="E1707" s="8" t="s">
        <v>69</v>
      </c>
      <c r="F1707" s="8">
        <v>1</v>
      </c>
      <c r="G1707" s="11">
        <v>0.05882352941176471</v>
      </c>
      <c r="H1707" s="8">
        <v>1</v>
      </c>
      <c r="I1707" s="8">
        <v>1</v>
      </c>
      <c r="J1707" s="8">
        <v>0</v>
      </c>
      <c r="K1707" s="8">
        <v>0</v>
      </c>
      <c r="L1707" s="8">
        <v>0</v>
      </c>
      <c r="M1707" s="8">
        <v>1</v>
      </c>
      <c r="N1707" s="8">
        <v>0</v>
      </c>
      <c r="O1707" s="8" t="s">
        <v>791</v>
      </c>
      <c r="P1707" s="8">
        <v>100</v>
      </c>
      <c r="Q1707" s="8" t="s">
        <v>2165</v>
      </c>
      <c r="R1707" s="8" t="s">
        <v>2166</v>
      </c>
      <c r="S1707" s="8">
        <v>60</v>
      </c>
    </row>
    <row r="1708" spans="1:19" ht="25" customHeight="1">
      <c r="A1708" s="12">
        <v>51</v>
      </c>
      <c r="B1708" s="8" t="s">
        <v>2066</v>
      </c>
      <c r="C1708" s="8" t="s">
        <v>716</v>
      </c>
      <c r="D1708" s="8" t="s">
        <v>449</v>
      </c>
      <c r="E1708" s="8" t="s">
        <v>69</v>
      </c>
      <c r="F1708" s="8">
        <v>1</v>
      </c>
      <c r="G1708" s="11">
        <v>0.05263157894736842</v>
      </c>
      <c r="H1708" s="8">
        <v>1</v>
      </c>
      <c r="I1708" s="8">
        <v>1</v>
      </c>
      <c r="J1708" s="8">
        <v>0</v>
      </c>
      <c r="K1708" s="8">
        <v>0</v>
      </c>
      <c r="L1708" s="8">
        <v>0</v>
      </c>
      <c r="M1708" s="8">
        <v>0</v>
      </c>
      <c r="N1708" s="8">
        <v>1</v>
      </c>
      <c r="O1708" s="8" t="s">
        <v>791</v>
      </c>
      <c r="P1708" s="8">
        <v>100</v>
      </c>
      <c r="Q1708" s="8" t="s">
        <v>2165</v>
      </c>
      <c r="R1708" s="8" t="s">
        <v>2166</v>
      </c>
      <c r="S1708" s="8">
        <v>61</v>
      </c>
    </row>
    <row r="1709" spans="1:19" ht="25" customHeight="1">
      <c r="A1709" s="12">
        <v>52</v>
      </c>
      <c r="B1709" s="8" t="s">
        <v>2066</v>
      </c>
      <c r="C1709" s="8" t="s">
        <v>706</v>
      </c>
      <c r="D1709" s="8" t="s">
        <v>428</v>
      </c>
      <c r="E1709" s="8" t="s">
        <v>27</v>
      </c>
      <c r="F1709" s="8">
        <v>1</v>
      </c>
      <c r="G1709" s="11">
        <v>0.3333333333333333</v>
      </c>
      <c r="H1709" s="8">
        <v>0</v>
      </c>
      <c r="I1709" s="8">
        <v>0</v>
      </c>
      <c r="J1709" s="8">
        <v>0</v>
      </c>
      <c r="K1709" s="8">
        <v>0</v>
      </c>
      <c r="L1709" s="8">
        <v>1</v>
      </c>
      <c r="M1709" s="8">
        <v>0</v>
      </c>
      <c r="N1709" s="8">
        <v>0</v>
      </c>
      <c r="O1709" s="8" t="s">
        <v>791</v>
      </c>
      <c r="P1709" s="8">
        <v>29</v>
      </c>
      <c r="Q1709" s="8" t="s">
        <v>2165</v>
      </c>
      <c r="R1709" s="8" t="s">
        <v>2166</v>
      </c>
      <c r="S1709" s="8">
        <v>62</v>
      </c>
    </row>
    <row r="1710" spans="1:19" ht="25" customHeight="1">
      <c r="A1710" s="12">
        <v>53</v>
      </c>
      <c r="B1710" s="8" t="s">
        <v>2066</v>
      </c>
      <c r="C1710" s="8" t="s">
        <v>716</v>
      </c>
      <c r="D1710" s="8" t="s">
        <v>428</v>
      </c>
      <c r="E1710" s="8" t="s">
        <v>46</v>
      </c>
      <c r="F1710" s="8">
        <v>1</v>
      </c>
      <c r="G1710" s="11">
        <v>0.05882352941176471</v>
      </c>
      <c r="H1710" s="8">
        <v>1</v>
      </c>
      <c r="I1710" s="8">
        <v>1</v>
      </c>
      <c r="J1710" s="8">
        <v>0</v>
      </c>
      <c r="K1710" s="8">
        <v>0</v>
      </c>
      <c r="L1710" s="8">
        <v>0</v>
      </c>
      <c r="M1710" s="8">
        <v>1</v>
      </c>
      <c r="N1710" s="8">
        <v>0</v>
      </c>
      <c r="O1710" s="8" t="s">
        <v>791</v>
      </c>
      <c r="P1710" s="8">
        <v>100</v>
      </c>
      <c r="Q1710" s="8" t="s">
        <v>2165</v>
      </c>
      <c r="R1710" s="8" t="s">
        <v>2166</v>
      </c>
      <c r="S1710" s="8">
        <v>64</v>
      </c>
    </row>
    <row r="1711" spans="1:19" ht="25" customHeight="1">
      <c r="A1711" s="12">
        <v>54</v>
      </c>
      <c r="B1711" s="8" t="s">
        <v>2066</v>
      </c>
      <c r="C1711" s="8" t="s">
        <v>716</v>
      </c>
      <c r="D1711" s="8" t="s">
        <v>449</v>
      </c>
      <c r="E1711" s="8" t="s">
        <v>46</v>
      </c>
      <c r="F1711" s="8">
        <v>1</v>
      </c>
      <c r="G1711" s="11">
        <v>0.05263157894736842</v>
      </c>
      <c r="H1711" s="8">
        <v>1</v>
      </c>
      <c r="I1711" s="8">
        <v>1</v>
      </c>
      <c r="J1711" s="8">
        <v>0</v>
      </c>
      <c r="K1711" s="8">
        <v>0</v>
      </c>
      <c r="L1711" s="8">
        <v>-4</v>
      </c>
      <c r="M1711" s="8">
        <v>0</v>
      </c>
      <c r="N1711" s="8">
        <v>1</v>
      </c>
      <c r="O1711" s="8" t="s">
        <v>791</v>
      </c>
      <c r="P1711" s="8">
        <v>100</v>
      </c>
      <c r="Q1711" s="8" t="s">
        <v>2165</v>
      </c>
      <c r="R1711" s="8" t="s">
        <v>2166</v>
      </c>
      <c r="S1711" s="8">
        <v>65</v>
      </c>
    </row>
    <row r="1712" spans="1:19" ht="25" customHeight="1">
      <c r="A1712" s="12">
        <v>55</v>
      </c>
      <c r="B1712" s="8" t="s">
        <v>2066</v>
      </c>
      <c r="C1712" s="8" t="s">
        <v>716</v>
      </c>
      <c r="D1712" s="8" t="s">
        <v>446</v>
      </c>
      <c r="E1712" s="8" t="s">
        <v>48</v>
      </c>
      <c r="F1712" s="8">
        <v>1</v>
      </c>
      <c r="G1712" s="11">
        <v>0.1666666666666667</v>
      </c>
      <c r="H1712" s="8">
        <v>1</v>
      </c>
      <c r="I1712" s="8">
        <v>1</v>
      </c>
      <c r="J1712" s="8">
        <v>0</v>
      </c>
      <c r="K1712" s="8">
        <v>0</v>
      </c>
      <c r="L1712" s="8">
        <v>6</v>
      </c>
      <c r="M1712" s="8">
        <v>0</v>
      </c>
      <c r="N1712" s="8">
        <v>1</v>
      </c>
      <c r="O1712" s="8" t="s">
        <v>791</v>
      </c>
      <c r="P1712" s="8">
        <v>94</v>
      </c>
      <c r="Q1712" s="8" t="s">
        <v>2165</v>
      </c>
      <c r="R1712" s="8" t="s">
        <v>2166</v>
      </c>
      <c r="S1712" s="8">
        <v>66</v>
      </c>
    </row>
    <row r="1713" spans="1:19" ht="25" customHeight="1">
      <c r="A1713" s="12">
        <v>56</v>
      </c>
      <c r="B1713" s="8" t="s">
        <v>2066</v>
      </c>
      <c r="C1713" s="8" t="s">
        <v>716</v>
      </c>
      <c r="D1713" s="8" t="s">
        <v>428</v>
      </c>
      <c r="E1713" s="8" t="s">
        <v>34</v>
      </c>
      <c r="F1713" s="8">
        <v>1</v>
      </c>
      <c r="G1713" s="11">
        <v>0.05882352941176471</v>
      </c>
      <c r="H1713" s="8">
        <v>0</v>
      </c>
      <c r="I1713" s="8">
        <v>0</v>
      </c>
      <c r="J1713" s="8">
        <v>1</v>
      </c>
      <c r="K1713" s="8">
        <v>1</v>
      </c>
      <c r="L1713" s="8">
        <v>52</v>
      </c>
      <c r="M1713" s="8">
        <v>0</v>
      </c>
      <c r="N1713" s="8">
        <v>0</v>
      </c>
      <c r="O1713" s="8" t="s">
        <v>791</v>
      </c>
      <c r="P1713" s="8">
        <v>0</v>
      </c>
      <c r="Q1713" s="8" t="s">
        <v>2161</v>
      </c>
      <c r="R1713" s="8" t="s">
        <v>2162</v>
      </c>
      <c r="S1713" s="8">
        <v>67</v>
      </c>
    </row>
    <row r="1714" spans="1:19" ht="25" customHeight="1">
      <c r="A1714" s="12">
        <v>57</v>
      </c>
      <c r="B1714" s="8" t="s">
        <v>2066</v>
      </c>
      <c r="C1714" s="8" t="s">
        <v>720</v>
      </c>
      <c r="D1714" s="8" t="s">
        <v>438</v>
      </c>
      <c r="E1714" s="8" t="s">
        <v>34</v>
      </c>
      <c r="F1714" s="8">
        <v>1</v>
      </c>
      <c r="G1714" s="8">
        <v>1</v>
      </c>
      <c r="H1714" s="8">
        <v>1</v>
      </c>
      <c r="I1714" s="8">
        <v>1</v>
      </c>
      <c r="J1714" s="8">
        <v>0</v>
      </c>
      <c r="K1714" s="8">
        <v>0</v>
      </c>
      <c r="L1714" s="8">
        <v>3</v>
      </c>
      <c r="M1714" s="8">
        <v>1</v>
      </c>
      <c r="N1714" s="8">
        <v>0</v>
      </c>
      <c r="O1714" s="8" t="s">
        <v>791</v>
      </c>
      <c r="P1714" s="8">
        <v>97</v>
      </c>
      <c r="Q1714" s="8" t="s">
        <v>2165</v>
      </c>
      <c r="R1714" s="8" t="s">
        <v>2166</v>
      </c>
      <c r="S1714" s="8">
        <v>68</v>
      </c>
    </row>
    <row r="1715" spans="1:19" ht="25" customHeight="1">
      <c r="A1715" s="12">
        <v>58</v>
      </c>
      <c r="B1715" s="8" t="s">
        <v>2066</v>
      </c>
      <c r="C1715" s="8" t="s">
        <v>716</v>
      </c>
      <c r="D1715" s="8" t="s">
        <v>465</v>
      </c>
      <c r="E1715" s="8" t="s">
        <v>34</v>
      </c>
      <c r="F1715" s="8">
        <v>1</v>
      </c>
      <c r="G1715" s="11">
        <v>0.1428571428571428</v>
      </c>
      <c r="H1715" s="8">
        <v>0</v>
      </c>
      <c r="I1715" s="8">
        <v>0</v>
      </c>
      <c r="J1715" s="8">
        <v>0</v>
      </c>
      <c r="K1715" s="8">
        <v>0</v>
      </c>
      <c r="L1715" s="8">
        <v>9</v>
      </c>
      <c r="M1715" s="8">
        <v>1</v>
      </c>
      <c r="N1715" s="8">
        <v>0</v>
      </c>
      <c r="O1715" s="8" t="s">
        <v>791</v>
      </c>
      <c r="P1715" s="8">
        <v>21</v>
      </c>
      <c r="Q1715" s="8" t="s">
        <v>2165</v>
      </c>
      <c r="R1715" s="8" t="s">
        <v>2166</v>
      </c>
      <c r="S1715" s="8">
        <v>69</v>
      </c>
    </row>
    <row r="1716" spans="1:19" ht="25" customHeight="1">
      <c r="A1716" s="12">
        <v>59</v>
      </c>
      <c r="B1716" s="8" t="s">
        <v>2066</v>
      </c>
      <c r="C1716" s="8" t="s">
        <v>716</v>
      </c>
      <c r="D1716" s="8" t="s">
        <v>428</v>
      </c>
      <c r="E1716" s="8" t="s">
        <v>56</v>
      </c>
      <c r="F1716" s="8">
        <v>1</v>
      </c>
      <c r="G1716" s="11">
        <v>0.05882352941176471</v>
      </c>
      <c r="H1716" s="8">
        <v>0</v>
      </c>
      <c r="I1716" s="8">
        <v>0</v>
      </c>
      <c r="J1716" s="8">
        <v>0</v>
      </c>
      <c r="K1716" s="8">
        <v>0</v>
      </c>
      <c r="L1716" s="8">
        <v>4</v>
      </c>
      <c r="M1716" s="8">
        <v>1</v>
      </c>
      <c r="N1716" s="8">
        <v>0</v>
      </c>
      <c r="O1716" s="8" t="s">
        <v>791</v>
      </c>
      <c r="P1716" s="8">
        <v>26</v>
      </c>
      <c r="Q1716" s="8" t="s">
        <v>2165</v>
      </c>
      <c r="R1716" s="8" t="s">
        <v>2166</v>
      </c>
      <c r="S1716" s="8">
        <v>70</v>
      </c>
    </row>
    <row r="1717" spans="1:19" ht="25" customHeight="1">
      <c r="A1717" s="12">
        <v>60</v>
      </c>
      <c r="B1717" s="8" t="s">
        <v>2066</v>
      </c>
      <c r="C1717" s="8" t="s">
        <v>716</v>
      </c>
      <c r="D1717" s="8" t="s">
        <v>449</v>
      </c>
      <c r="E1717" s="8" t="s">
        <v>61</v>
      </c>
      <c r="F1717" s="8">
        <v>1</v>
      </c>
      <c r="G1717" s="11">
        <v>0.05263157894736842</v>
      </c>
      <c r="H1717" s="8">
        <v>1</v>
      </c>
      <c r="I1717" s="8">
        <v>1</v>
      </c>
      <c r="J1717" s="8">
        <v>0</v>
      </c>
      <c r="K1717" s="8">
        <v>0</v>
      </c>
      <c r="L1717" s="8">
        <v>0</v>
      </c>
      <c r="M1717" s="8">
        <v>0</v>
      </c>
      <c r="N1717" s="8">
        <v>1</v>
      </c>
      <c r="O1717" s="8" t="s">
        <v>791</v>
      </c>
      <c r="P1717" s="8">
        <v>100</v>
      </c>
      <c r="Q1717" s="8" t="s">
        <v>2165</v>
      </c>
      <c r="R1717" s="8" t="s">
        <v>2166</v>
      </c>
      <c r="S1717" s="8">
        <v>71</v>
      </c>
    </row>
    <row r="1718" spans="1:19" ht="25" customHeight="1">
      <c r="A1718" s="12">
        <v>61</v>
      </c>
      <c r="B1718" s="8" t="s">
        <v>2066</v>
      </c>
      <c r="C1718" s="8" t="s">
        <v>716</v>
      </c>
      <c r="D1718" s="8" t="s">
        <v>457</v>
      </c>
      <c r="E1718" s="8" t="s">
        <v>61</v>
      </c>
      <c r="F1718" s="8">
        <v>1</v>
      </c>
      <c r="G1718" s="8">
        <v>1</v>
      </c>
      <c r="H1718" s="8">
        <v>1</v>
      </c>
      <c r="I1718" s="8">
        <v>1</v>
      </c>
      <c r="J1718" s="8">
        <v>0</v>
      </c>
      <c r="K1718" s="8">
        <v>0</v>
      </c>
      <c r="L1718" s="8">
        <v>3</v>
      </c>
      <c r="M1718" s="8">
        <v>1</v>
      </c>
      <c r="N1718" s="8">
        <v>0</v>
      </c>
      <c r="O1718" s="8" t="s">
        <v>791</v>
      </c>
      <c r="P1718" s="8">
        <v>97</v>
      </c>
      <c r="Q1718" s="8" t="s">
        <v>2165</v>
      </c>
      <c r="R1718" s="8" t="s">
        <v>2166</v>
      </c>
      <c r="S1718" s="8">
        <v>72</v>
      </c>
    </row>
    <row r="1719" spans="1:19" ht="25" customHeight="1">
      <c r="A1719" s="12">
        <v>62</v>
      </c>
      <c r="B1719" s="8" t="s">
        <v>2066</v>
      </c>
      <c r="C1719" s="8" t="s">
        <v>716</v>
      </c>
      <c r="D1719" s="8" t="s">
        <v>471</v>
      </c>
      <c r="E1719" s="8" t="s">
        <v>66</v>
      </c>
      <c r="F1719" s="8">
        <v>1</v>
      </c>
      <c r="G1719" s="11">
        <v>0.2</v>
      </c>
      <c r="H1719" s="8">
        <v>1</v>
      </c>
      <c r="I1719" s="8">
        <v>1</v>
      </c>
      <c r="J1719" s="8">
        <v>0</v>
      </c>
      <c r="K1719" s="8">
        <v>0</v>
      </c>
      <c r="L1719" s="8">
        <v>4</v>
      </c>
      <c r="M1719" s="8">
        <v>0</v>
      </c>
      <c r="N1719" s="8">
        <v>1</v>
      </c>
      <c r="O1719" s="8" t="s">
        <v>791</v>
      </c>
      <c r="P1719" s="8">
        <v>96</v>
      </c>
      <c r="Q1719" s="8" t="s">
        <v>2165</v>
      </c>
      <c r="R1719" s="8" t="s">
        <v>2166</v>
      </c>
      <c r="S1719" s="8">
        <v>73</v>
      </c>
    </row>
    <row r="1720" spans="1:19" ht="25" customHeight="1">
      <c r="A1720" s="12">
        <v>63</v>
      </c>
      <c r="B1720" s="8" t="s">
        <v>2066</v>
      </c>
      <c r="C1720" s="8" t="s">
        <v>716</v>
      </c>
      <c r="D1720" s="8" t="s">
        <v>449</v>
      </c>
      <c r="E1720" s="8" t="s">
        <v>66</v>
      </c>
      <c r="F1720" s="8">
        <v>1</v>
      </c>
      <c r="G1720" s="11">
        <v>0.05263157894736842</v>
      </c>
      <c r="H1720" s="8">
        <v>0</v>
      </c>
      <c r="I1720" s="8">
        <v>0</v>
      </c>
      <c r="J1720" s="8">
        <v>1</v>
      </c>
      <c r="K1720" s="8">
        <v>1</v>
      </c>
      <c r="L1720" s="8">
        <v>23</v>
      </c>
      <c r="M1720" s="8">
        <v>0</v>
      </c>
      <c r="N1720" s="8">
        <v>1</v>
      </c>
      <c r="O1720" s="8" t="s">
        <v>791</v>
      </c>
      <c r="P1720" s="8">
        <v>0</v>
      </c>
      <c r="Q1720" s="8" t="s">
        <v>2161</v>
      </c>
      <c r="R1720" s="8" t="s">
        <v>2162</v>
      </c>
      <c r="S1720" s="8">
        <v>74</v>
      </c>
    </row>
    <row r="1721" spans="1:19" ht="25" customHeight="1">
      <c r="A1721" s="12">
        <v>64</v>
      </c>
      <c r="B1721" s="8" t="s">
        <v>2066</v>
      </c>
      <c r="C1721" s="8" t="s">
        <v>716</v>
      </c>
      <c r="D1721" s="8" t="s">
        <v>428</v>
      </c>
      <c r="E1721" s="8" t="s">
        <v>66</v>
      </c>
      <c r="F1721" s="8">
        <v>1</v>
      </c>
      <c r="G1721" s="11">
        <v>0.05882352941176471</v>
      </c>
      <c r="H1721" s="8">
        <v>1</v>
      </c>
      <c r="I1721" s="8">
        <v>1</v>
      </c>
      <c r="J1721" s="8">
        <v>0</v>
      </c>
      <c r="K1721" s="8">
        <v>0</v>
      </c>
      <c r="L1721" s="8">
        <v>3</v>
      </c>
      <c r="M1721" s="8">
        <v>1</v>
      </c>
      <c r="N1721" s="8">
        <v>0</v>
      </c>
      <c r="O1721" s="8" t="s">
        <v>791</v>
      </c>
      <c r="P1721" s="8">
        <v>97</v>
      </c>
      <c r="Q1721" s="8" t="s">
        <v>2165</v>
      </c>
      <c r="R1721" s="8" t="s">
        <v>2166</v>
      </c>
      <c r="S1721" s="8">
        <v>75</v>
      </c>
    </row>
    <row r="1722" spans="1:19" ht="25" customHeight="1">
      <c r="A1722" s="12">
        <v>65</v>
      </c>
      <c r="B1722" s="8" t="s">
        <v>2066</v>
      </c>
      <c r="C1722" s="8" t="s">
        <v>716</v>
      </c>
      <c r="D1722" s="8" t="s">
        <v>446</v>
      </c>
      <c r="E1722" s="8" t="s">
        <v>42</v>
      </c>
      <c r="F1722" s="8">
        <v>1</v>
      </c>
      <c r="G1722" s="11">
        <v>0.1666666666666667</v>
      </c>
      <c r="H1722" s="8">
        <v>0</v>
      </c>
      <c r="I1722" s="8">
        <v>0</v>
      </c>
      <c r="J1722" s="8">
        <v>0</v>
      </c>
      <c r="K1722" s="8">
        <v>0</v>
      </c>
      <c r="L1722" s="8">
        <v>14</v>
      </c>
      <c r="M1722" s="8">
        <v>0</v>
      </c>
      <c r="N1722" s="8">
        <v>1</v>
      </c>
      <c r="O1722" s="8" t="s">
        <v>791</v>
      </c>
      <c r="P1722" s="8">
        <v>20</v>
      </c>
      <c r="Q1722" s="8" t="s">
        <v>2165</v>
      </c>
      <c r="R1722" s="8" t="s">
        <v>2166</v>
      </c>
      <c r="S1722" s="8">
        <v>76</v>
      </c>
    </row>
    <row r="1723" spans="1:19" ht="25" customHeight="1">
      <c r="A1723" s="12">
        <v>66</v>
      </c>
      <c r="B1723" s="8" t="s">
        <v>2066</v>
      </c>
      <c r="C1723" s="8" t="s">
        <v>720</v>
      </c>
      <c r="D1723" s="8" t="s">
        <v>432</v>
      </c>
      <c r="E1723" s="8" t="s">
        <v>32</v>
      </c>
      <c r="F1723" s="8">
        <v>1</v>
      </c>
      <c r="G1723" s="8">
        <v>1</v>
      </c>
      <c r="H1723" s="8">
        <v>1</v>
      </c>
      <c r="I1723" s="8">
        <v>1</v>
      </c>
      <c r="J1723" s="8">
        <v>0</v>
      </c>
      <c r="K1723" s="8">
        <v>0</v>
      </c>
      <c r="L1723" s="8">
        <v>2</v>
      </c>
      <c r="M1723" s="8">
        <v>1</v>
      </c>
      <c r="N1723" s="8">
        <v>0</v>
      </c>
      <c r="O1723" s="8" t="s">
        <v>791</v>
      </c>
      <c r="P1723" s="8">
        <v>98</v>
      </c>
      <c r="Q1723" s="8" t="s">
        <v>2165</v>
      </c>
      <c r="R1723" s="8" t="s">
        <v>2166</v>
      </c>
      <c r="S1723" s="8">
        <v>77</v>
      </c>
    </row>
    <row r="1724" spans="1:19" ht="25" customHeight="1">
      <c r="A1724" s="12">
        <v>67</v>
      </c>
      <c r="B1724" s="8" t="s">
        <v>2066</v>
      </c>
      <c r="C1724" s="8" t="s">
        <v>716</v>
      </c>
      <c r="D1724" s="8" t="s">
        <v>480</v>
      </c>
      <c r="E1724" s="8" t="s">
        <v>51</v>
      </c>
      <c r="F1724" s="8">
        <v>1</v>
      </c>
      <c r="G1724" s="8">
        <v>1</v>
      </c>
      <c r="H1724" s="8">
        <v>1</v>
      </c>
      <c r="I1724" s="8">
        <v>1</v>
      </c>
      <c r="J1724" s="8">
        <v>0</v>
      </c>
      <c r="K1724" s="8">
        <v>0</v>
      </c>
      <c r="L1724" s="8">
        <v>0</v>
      </c>
      <c r="M1724" s="8">
        <v>0</v>
      </c>
      <c r="N1724" s="8">
        <v>1</v>
      </c>
      <c r="O1724" s="8" t="s">
        <v>791</v>
      </c>
      <c r="P1724" s="8">
        <v>100</v>
      </c>
      <c r="Q1724" s="8" t="s">
        <v>2165</v>
      </c>
      <c r="R1724" s="8" t="s">
        <v>2166</v>
      </c>
      <c r="S1724" s="8">
        <v>78</v>
      </c>
    </row>
    <row r="1725" spans="1:19" ht="25" customHeight="1">
      <c r="A1725" s="12">
        <v>68</v>
      </c>
      <c r="B1725" s="8" t="s">
        <v>2066</v>
      </c>
      <c r="C1725" s="8" t="s">
        <v>716</v>
      </c>
      <c r="D1725" s="8" t="s">
        <v>471</v>
      </c>
      <c r="E1725" s="8" t="s">
        <v>51</v>
      </c>
      <c r="F1725" s="8">
        <v>1</v>
      </c>
      <c r="G1725" s="11">
        <v>0.2</v>
      </c>
      <c r="H1725" s="8">
        <v>1</v>
      </c>
      <c r="I1725" s="8">
        <v>1</v>
      </c>
      <c r="J1725" s="8">
        <v>0</v>
      </c>
      <c r="K1725" s="8">
        <v>0</v>
      </c>
      <c r="L1725" s="8">
        <v>0</v>
      </c>
      <c r="M1725" s="8">
        <v>0</v>
      </c>
      <c r="N1725" s="8">
        <v>1</v>
      </c>
      <c r="O1725" s="8" t="s">
        <v>791</v>
      </c>
      <c r="P1725" s="8">
        <v>100</v>
      </c>
      <c r="Q1725" s="8" t="s">
        <v>2165</v>
      </c>
      <c r="R1725" s="8" t="s">
        <v>2166</v>
      </c>
      <c r="S1725" s="8">
        <v>79</v>
      </c>
    </row>
    <row r="1726" spans="1:19" ht="25" customHeight="1">
      <c r="A1726" s="12">
        <v>69</v>
      </c>
      <c r="B1726" s="8" t="s">
        <v>2066</v>
      </c>
      <c r="C1726" s="8" t="s">
        <v>716</v>
      </c>
      <c r="D1726" s="8" t="s">
        <v>446</v>
      </c>
      <c r="E1726" s="8" t="s">
        <v>65</v>
      </c>
      <c r="F1726" s="8">
        <v>1</v>
      </c>
      <c r="G1726" s="11">
        <v>0.1666666666666667</v>
      </c>
      <c r="H1726" s="8">
        <v>1</v>
      </c>
      <c r="I1726" s="8">
        <v>1</v>
      </c>
      <c r="J1726" s="8">
        <v>0</v>
      </c>
      <c r="K1726" s="8">
        <v>0</v>
      </c>
      <c r="L1726" s="8">
        <v>0</v>
      </c>
      <c r="M1726" s="8">
        <v>0</v>
      </c>
      <c r="N1726" s="8">
        <v>1</v>
      </c>
      <c r="O1726" s="8" t="s">
        <v>791</v>
      </c>
      <c r="P1726" s="8">
        <v>100</v>
      </c>
      <c r="Q1726" s="8" t="s">
        <v>2165</v>
      </c>
      <c r="R1726" s="8" t="s">
        <v>2166</v>
      </c>
      <c r="S1726" s="8">
        <v>80</v>
      </c>
    </row>
    <row r="1727" spans="1:19" ht="25" customHeight="1">
      <c r="A1727" s="12">
        <v>70</v>
      </c>
      <c r="B1727" s="8" t="s">
        <v>2066</v>
      </c>
      <c r="C1727" s="8" t="s">
        <v>716</v>
      </c>
      <c r="D1727" s="8" t="s">
        <v>428</v>
      </c>
      <c r="E1727" s="8" t="s">
        <v>43</v>
      </c>
      <c r="F1727" s="8">
        <v>1</v>
      </c>
      <c r="G1727" s="11">
        <v>0.05882352941176471</v>
      </c>
      <c r="H1727" s="8">
        <v>1</v>
      </c>
      <c r="I1727" s="8">
        <v>1</v>
      </c>
      <c r="J1727" s="8">
        <v>0</v>
      </c>
      <c r="K1727" s="8">
        <v>0</v>
      </c>
      <c r="L1727" s="8">
        <v>-5</v>
      </c>
      <c r="M1727" s="8">
        <v>1</v>
      </c>
      <c r="N1727" s="8">
        <v>0</v>
      </c>
      <c r="O1727" s="8" t="s">
        <v>791</v>
      </c>
      <c r="P1727" s="8">
        <v>100</v>
      </c>
      <c r="Q1727" s="8" t="s">
        <v>2165</v>
      </c>
      <c r="R1727" s="8" t="s">
        <v>2166</v>
      </c>
      <c r="S1727" s="8">
        <v>81</v>
      </c>
    </row>
    <row r="1728" spans="1:19" ht="25" customHeight="1">
      <c r="A1728" s="12">
        <v>71</v>
      </c>
      <c r="B1728" s="8" t="s">
        <v>2066</v>
      </c>
      <c r="C1728" s="8" t="s">
        <v>716</v>
      </c>
      <c r="D1728" s="8" t="s">
        <v>468</v>
      </c>
      <c r="E1728" s="8" t="s">
        <v>43</v>
      </c>
      <c r="F1728" s="8">
        <v>1</v>
      </c>
      <c r="G1728" s="11">
        <v>0.125</v>
      </c>
      <c r="H1728" s="8">
        <v>1</v>
      </c>
      <c r="I1728" s="8">
        <v>1</v>
      </c>
      <c r="J1728" s="8">
        <v>0</v>
      </c>
      <c r="K1728" s="8">
        <v>0</v>
      </c>
      <c r="L1728" s="8">
        <v>6</v>
      </c>
      <c r="M1728" s="8">
        <v>0</v>
      </c>
      <c r="N1728" s="8">
        <v>1</v>
      </c>
      <c r="O1728" s="8" t="s">
        <v>791</v>
      </c>
      <c r="P1728" s="8">
        <v>94</v>
      </c>
      <c r="Q1728" s="8" t="s">
        <v>2165</v>
      </c>
      <c r="R1728" s="8" t="s">
        <v>2166</v>
      </c>
      <c r="S1728" s="8">
        <v>82</v>
      </c>
    </row>
    <row r="1729" spans="1:19" ht="25" customHeight="1">
      <c r="A1729" s="12">
        <v>72</v>
      </c>
      <c r="B1729" s="8" t="s">
        <v>2066</v>
      </c>
      <c r="C1729" s="8" t="s">
        <v>716</v>
      </c>
      <c r="D1729" s="8" t="s">
        <v>449</v>
      </c>
      <c r="E1729" s="8" t="s">
        <v>49</v>
      </c>
      <c r="F1729" s="8">
        <v>1</v>
      </c>
      <c r="G1729" s="11">
        <v>0.05263157894736842</v>
      </c>
      <c r="H1729" s="8">
        <v>1</v>
      </c>
      <c r="I1729" s="8">
        <v>1</v>
      </c>
      <c r="J1729" s="8">
        <v>0</v>
      </c>
      <c r="K1729" s="8">
        <v>0</v>
      </c>
      <c r="L1729" s="8">
        <v>0</v>
      </c>
      <c r="M1729" s="8">
        <v>0</v>
      </c>
      <c r="N1729" s="8">
        <v>1</v>
      </c>
      <c r="O1729" s="8" t="s">
        <v>791</v>
      </c>
      <c r="P1729" s="8">
        <v>100</v>
      </c>
      <c r="Q1729" s="8" t="s">
        <v>2165</v>
      </c>
      <c r="R1729" s="8" t="s">
        <v>2166</v>
      </c>
      <c r="S1729" s="8">
        <v>83</v>
      </c>
    </row>
    <row r="1730" spans="1:19" ht="25" customHeight="1">
      <c r="A1730" s="12">
        <v>73</v>
      </c>
      <c r="B1730" s="8" t="s">
        <v>2066</v>
      </c>
      <c r="C1730" s="8" t="s">
        <v>706</v>
      </c>
      <c r="D1730" s="8" t="s">
        <v>428</v>
      </c>
      <c r="E1730" s="8" t="s">
        <v>30</v>
      </c>
      <c r="F1730" s="8">
        <v>2</v>
      </c>
      <c r="G1730" s="11">
        <v>0.6666666666666666</v>
      </c>
      <c r="H1730" s="8">
        <v>2</v>
      </c>
      <c r="I1730" s="8">
        <v>1</v>
      </c>
      <c r="J1730" s="8">
        <v>0</v>
      </c>
      <c r="K1730" s="8">
        <v>0</v>
      </c>
      <c r="L1730" s="11">
        <v>1.5</v>
      </c>
      <c r="M1730" s="8">
        <v>1</v>
      </c>
      <c r="N1730" s="8">
        <v>0</v>
      </c>
      <c r="O1730" s="8" t="s">
        <v>791</v>
      </c>
      <c r="P1730" s="11">
        <v>98.5</v>
      </c>
      <c r="Q1730" s="8" t="s">
        <v>2165</v>
      </c>
      <c r="R1730" s="8" t="s">
        <v>2166</v>
      </c>
      <c r="S1730" s="8">
        <v>84</v>
      </c>
    </row>
    <row r="1731" spans="1:19" ht="25" customHeight="1">
      <c r="A1731" s="12">
        <v>74</v>
      </c>
      <c r="B1731" s="8" t="s">
        <v>2066</v>
      </c>
      <c r="C1731" s="8" t="s">
        <v>716</v>
      </c>
      <c r="D1731" s="8" t="s">
        <v>474</v>
      </c>
      <c r="E1731" s="8" t="s">
        <v>54</v>
      </c>
      <c r="F1731" s="8">
        <v>1</v>
      </c>
      <c r="G1731" s="11">
        <v>0.5</v>
      </c>
      <c r="H1731" s="8">
        <v>1</v>
      </c>
      <c r="I1731" s="8">
        <v>1</v>
      </c>
      <c r="J1731" s="8">
        <v>0</v>
      </c>
      <c r="K1731" s="8">
        <v>0</v>
      </c>
      <c r="L1731" s="8">
        <v>3</v>
      </c>
      <c r="M1731" s="8">
        <v>0</v>
      </c>
      <c r="N1731" s="8">
        <v>1</v>
      </c>
      <c r="O1731" s="8" t="s">
        <v>791</v>
      </c>
      <c r="P1731" s="8">
        <v>97</v>
      </c>
      <c r="Q1731" s="8" t="s">
        <v>2165</v>
      </c>
      <c r="R1731" s="8" t="s">
        <v>2166</v>
      </c>
      <c r="S1731" s="8">
        <v>85</v>
      </c>
    </row>
    <row r="1732" spans="1:19" ht="25" customHeight="1">
      <c r="A1732" s="12">
        <v>75</v>
      </c>
      <c r="B1732" s="8" t="s">
        <v>2066</v>
      </c>
      <c r="C1732" s="8" t="s">
        <v>716</v>
      </c>
      <c r="D1732" s="8" t="s">
        <v>449</v>
      </c>
      <c r="E1732" s="8" t="s">
        <v>58</v>
      </c>
      <c r="F1732" s="8">
        <v>2</v>
      </c>
      <c r="G1732" s="11">
        <v>0.1052631578947368</v>
      </c>
      <c r="H1732" s="8">
        <v>2</v>
      </c>
      <c r="I1732" s="8">
        <v>1</v>
      </c>
      <c r="J1732" s="8">
        <v>0</v>
      </c>
      <c r="K1732" s="8">
        <v>0</v>
      </c>
      <c r="L1732" s="8">
        <v>0</v>
      </c>
      <c r="M1732" s="8">
        <v>0</v>
      </c>
      <c r="N1732" s="8">
        <v>1</v>
      </c>
      <c r="O1732" s="8" t="s">
        <v>791</v>
      </c>
      <c r="P1732" s="8">
        <v>100</v>
      </c>
      <c r="Q1732" s="8" t="s">
        <v>2165</v>
      </c>
      <c r="R1732" s="8" t="s">
        <v>2166</v>
      </c>
      <c r="S1732" s="8">
        <v>86</v>
      </c>
    </row>
    <row r="1733" spans="1:19" ht="25" customHeight="1">
      <c r="A1733" s="12">
        <v>76</v>
      </c>
      <c r="B1733" s="8" t="s">
        <v>2066</v>
      </c>
      <c r="C1733" s="8" t="s">
        <v>716</v>
      </c>
      <c r="D1733" s="8" t="s">
        <v>428</v>
      </c>
      <c r="E1733" s="8" t="s">
        <v>58</v>
      </c>
      <c r="F1733" s="8">
        <v>1</v>
      </c>
      <c r="G1733" s="11">
        <v>0.05882352941176471</v>
      </c>
      <c r="H1733" s="8">
        <v>1</v>
      </c>
      <c r="I1733" s="8">
        <v>1</v>
      </c>
      <c r="J1733" s="8">
        <v>0</v>
      </c>
      <c r="K1733" s="8">
        <v>0</v>
      </c>
      <c r="L1733" s="8">
        <v>1</v>
      </c>
      <c r="M1733" s="8">
        <v>1</v>
      </c>
      <c r="N1733" s="8">
        <v>0</v>
      </c>
      <c r="O1733" s="8" t="s">
        <v>791</v>
      </c>
      <c r="P1733" s="8">
        <v>99</v>
      </c>
      <c r="Q1733" s="8" t="s">
        <v>2165</v>
      </c>
      <c r="R1733" s="8" t="s">
        <v>2166</v>
      </c>
      <c r="S1733" s="8">
        <v>88</v>
      </c>
    </row>
    <row r="1734" spans="1:19" ht="25" customHeight="1">
      <c r="A1734" s="12">
        <v>77</v>
      </c>
      <c r="B1734" s="8" t="s">
        <v>2066</v>
      </c>
      <c r="C1734" s="8" t="s">
        <v>716</v>
      </c>
      <c r="D1734" s="8" t="s">
        <v>471</v>
      </c>
      <c r="E1734" s="8" t="s">
        <v>62</v>
      </c>
      <c r="F1734" s="8">
        <v>2</v>
      </c>
      <c r="G1734" s="11">
        <v>0.4</v>
      </c>
      <c r="H1734" s="8">
        <v>0</v>
      </c>
      <c r="I1734" s="8">
        <v>0</v>
      </c>
      <c r="J1734" s="8">
        <v>1</v>
      </c>
      <c r="K1734" s="11">
        <v>0.5</v>
      </c>
      <c r="L1734" s="11">
        <v>18.5</v>
      </c>
      <c r="M1734" s="8">
        <v>0</v>
      </c>
      <c r="N1734" s="11">
        <v>0.5</v>
      </c>
      <c r="O1734" s="8" t="s">
        <v>791</v>
      </c>
      <c r="P1734" s="8">
        <v>10</v>
      </c>
      <c r="Q1734" s="8" t="s">
        <v>2161</v>
      </c>
      <c r="R1734" s="8" t="s">
        <v>2162</v>
      </c>
      <c r="S1734" s="8">
        <v>89</v>
      </c>
    </row>
    <row r="1735" spans="1:19" ht="25" customHeight="1">
      <c r="A1735" s="12">
        <v>78</v>
      </c>
      <c r="B1735" s="8" t="s">
        <v>2066</v>
      </c>
      <c r="C1735" s="8" t="s">
        <v>711</v>
      </c>
      <c r="D1735" s="8" t="s">
        <v>428</v>
      </c>
      <c r="E1735" s="8" t="s">
        <v>37</v>
      </c>
      <c r="F1735" s="8">
        <v>1</v>
      </c>
      <c r="G1735" s="8">
        <v>1</v>
      </c>
      <c r="H1735" s="8">
        <v>0</v>
      </c>
      <c r="I1735" s="8">
        <v>0</v>
      </c>
      <c r="J1735" s="8">
        <v>0</v>
      </c>
      <c r="K1735" s="8">
        <v>0</v>
      </c>
      <c r="L1735" s="8">
        <v>5</v>
      </c>
      <c r="M1735" s="8">
        <v>0</v>
      </c>
      <c r="N1735" s="8">
        <v>0</v>
      </c>
      <c r="O1735" s="8" t="s">
        <v>791</v>
      </c>
      <c r="P1735" s="8">
        <v>25</v>
      </c>
      <c r="Q1735" s="8" t="s">
        <v>2165</v>
      </c>
      <c r="R1735" s="8" t="s">
        <v>2166</v>
      </c>
      <c r="S1735" s="8">
        <v>91</v>
      </c>
    </row>
    <row r="1736" spans="1:19" ht="25" customHeight="1">
      <c r="A1736" s="12">
        <v>79</v>
      </c>
      <c r="B1736" s="8" t="s">
        <v>2066</v>
      </c>
      <c r="C1736" s="8" t="s">
        <v>716</v>
      </c>
      <c r="D1736" s="8" t="s">
        <v>449</v>
      </c>
      <c r="E1736" s="8" t="s">
        <v>47</v>
      </c>
      <c r="F1736" s="8">
        <v>2</v>
      </c>
      <c r="G1736" s="11">
        <v>0.1052631578947368</v>
      </c>
      <c r="H1736" s="8">
        <v>1</v>
      </c>
      <c r="I1736" s="11">
        <v>0.5</v>
      </c>
      <c r="J1736" s="8">
        <v>1</v>
      </c>
      <c r="K1736" s="11">
        <v>0.5</v>
      </c>
      <c r="L1736" s="8">
        <v>15</v>
      </c>
      <c r="M1736" s="8">
        <v>0</v>
      </c>
      <c r="N1736" s="11">
        <v>0.5</v>
      </c>
      <c r="O1736" s="8" t="s">
        <v>791</v>
      </c>
      <c r="P1736" s="8">
        <v>45</v>
      </c>
      <c r="Q1736" s="8" t="s">
        <v>2161</v>
      </c>
      <c r="R1736" s="8" t="s">
        <v>2162</v>
      </c>
      <c r="S1736" s="8">
        <v>92</v>
      </c>
    </row>
    <row r="1737" spans="1:19" ht="25" customHeight="1">
      <c r="A1737" s="12">
        <v>80</v>
      </c>
      <c r="B1737" s="8" t="s">
        <v>2066</v>
      </c>
      <c r="C1737" s="8" t="s">
        <v>716</v>
      </c>
      <c r="D1737" s="8" t="s">
        <v>465</v>
      </c>
      <c r="E1737" s="8" t="s">
        <v>55</v>
      </c>
      <c r="F1737" s="8">
        <v>1</v>
      </c>
      <c r="G1737" s="11">
        <v>0.1428571428571428</v>
      </c>
      <c r="H1737" s="8">
        <v>0</v>
      </c>
      <c r="I1737" s="8">
        <v>0</v>
      </c>
      <c r="J1737" s="8">
        <v>0</v>
      </c>
      <c r="K1737" s="8">
        <v>0</v>
      </c>
      <c r="L1737" s="8">
        <v>9</v>
      </c>
      <c r="M1737" s="8">
        <v>1</v>
      </c>
      <c r="N1737" s="8">
        <v>0</v>
      </c>
      <c r="O1737" s="8" t="s">
        <v>791</v>
      </c>
      <c r="P1737" s="8">
        <v>21</v>
      </c>
      <c r="Q1737" s="8" t="s">
        <v>2165</v>
      </c>
      <c r="R1737" s="8" t="s">
        <v>2166</v>
      </c>
      <c r="S1737" s="8">
        <v>94</v>
      </c>
    </row>
    <row r="1738" spans="1:19" ht="25" customHeight="1">
      <c r="A1738" s="12">
        <v>81</v>
      </c>
      <c r="B1738" s="8" t="s">
        <v>2066</v>
      </c>
      <c r="C1738" s="8" t="s">
        <v>716</v>
      </c>
      <c r="D1738" s="8" t="s">
        <v>468</v>
      </c>
      <c r="E1738" s="8" t="s">
        <v>64</v>
      </c>
      <c r="F1738" s="8">
        <v>1</v>
      </c>
      <c r="G1738" s="11">
        <v>0.125</v>
      </c>
      <c r="H1738" s="8">
        <v>1</v>
      </c>
      <c r="I1738" s="8">
        <v>1</v>
      </c>
      <c r="J1738" s="8">
        <v>0</v>
      </c>
      <c r="K1738" s="8">
        <v>0</v>
      </c>
      <c r="L1738" s="8">
        <v>1</v>
      </c>
      <c r="M1738" s="8">
        <v>0</v>
      </c>
      <c r="N1738" s="8">
        <v>1</v>
      </c>
      <c r="O1738" s="8" t="s">
        <v>791</v>
      </c>
      <c r="P1738" s="8">
        <v>99</v>
      </c>
      <c r="Q1738" s="8" t="s">
        <v>2165</v>
      </c>
      <c r="R1738" s="8" t="s">
        <v>2166</v>
      </c>
      <c r="S1738" s="8">
        <v>95</v>
      </c>
    </row>
    <row r="1739" spans="1:19" ht="25" customHeight="1">
      <c r="A1739" s="12">
        <v>82</v>
      </c>
      <c r="B1739" s="8" t="s">
        <v>2066</v>
      </c>
      <c r="C1739" s="8" t="s">
        <v>716</v>
      </c>
      <c r="D1739" s="8" t="s">
        <v>468</v>
      </c>
      <c r="E1739" s="8" t="s">
        <v>50</v>
      </c>
      <c r="F1739" s="8">
        <v>1</v>
      </c>
      <c r="G1739" s="11">
        <v>0.125</v>
      </c>
      <c r="H1739" s="8">
        <v>1</v>
      </c>
      <c r="I1739" s="8">
        <v>1</v>
      </c>
      <c r="J1739" s="8">
        <v>0</v>
      </c>
      <c r="K1739" s="8">
        <v>0</v>
      </c>
      <c r="L1739" s="8">
        <v>3</v>
      </c>
      <c r="M1739" s="8">
        <v>0</v>
      </c>
      <c r="N1739" s="8">
        <v>1</v>
      </c>
      <c r="O1739" s="8" t="s">
        <v>791</v>
      </c>
      <c r="P1739" s="8">
        <v>97</v>
      </c>
      <c r="Q1739" s="8" t="s">
        <v>2165</v>
      </c>
      <c r="R1739" s="8" t="s">
        <v>2166</v>
      </c>
      <c r="S1739" s="8">
        <v>96</v>
      </c>
    </row>
    <row r="1740" spans="1:19" ht="25" customHeight="1">
      <c r="A1740" s="12">
        <v>83</v>
      </c>
      <c r="B1740" s="8" t="s">
        <v>2066</v>
      </c>
      <c r="C1740" s="8" t="s">
        <v>716</v>
      </c>
      <c r="D1740" s="8" t="s">
        <v>468</v>
      </c>
      <c r="E1740" s="8" t="s">
        <v>57</v>
      </c>
      <c r="F1740" s="8">
        <v>1</v>
      </c>
      <c r="G1740" s="11">
        <v>0.125</v>
      </c>
      <c r="H1740" s="8">
        <v>0</v>
      </c>
      <c r="I1740" s="8">
        <v>0</v>
      </c>
      <c r="J1740" s="8">
        <v>0</v>
      </c>
      <c r="K1740" s="8">
        <v>0</v>
      </c>
      <c r="L1740" s="8">
        <v>13</v>
      </c>
      <c r="M1740" s="8">
        <v>0</v>
      </c>
      <c r="N1740" s="8">
        <v>1</v>
      </c>
      <c r="O1740" s="8" t="s">
        <v>791</v>
      </c>
      <c r="P1740" s="8">
        <v>20</v>
      </c>
      <c r="Q1740" s="8" t="s">
        <v>2165</v>
      </c>
      <c r="R1740" s="8" t="s">
        <v>2166</v>
      </c>
      <c r="S1740" s="8">
        <v>97</v>
      </c>
    </row>
    <row r="1741" spans="1:19" ht="25" customHeight="1">
      <c r="A1741" s="12">
        <v>84</v>
      </c>
      <c r="B1741" s="8" t="s">
        <v>2067</v>
      </c>
      <c r="C1741" s="8" t="s">
        <v>716</v>
      </c>
      <c r="D1741" s="8" t="s">
        <v>449</v>
      </c>
      <c r="E1741" s="8" t="s">
        <v>60</v>
      </c>
      <c r="F1741" s="8">
        <v>1</v>
      </c>
      <c r="G1741" s="11">
        <v>0.09090909090909091</v>
      </c>
      <c r="H1741" s="8">
        <v>0</v>
      </c>
      <c r="I1741" s="8">
        <v>0</v>
      </c>
      <c r="J1741" s="8">
        <v>0</v>
      </c>
      <c r="K1741" s="8">
        <v>0</v>
      </c>
      <c r="L1741" s="8">
        <v>10</v>
      </c>
      <c r="M1741" s="8">
        <v>0</v>
      </c>
      <c r="N1741" s="8">
        <v>1</v>
      </c>
      <c r="O1741" s="8" t="s">
        <v>791</v>
      </c>
      <c r="P1741" s="8">
        <v>20</v>
      </c>
      <c r="Q1741" s="8" t="s">
        <v>2165</v>
      </c>
      <c r="R1741" s="8" t="s">
        <v>2166</v>
      </c>
      <c r="S1741" s="8">
        <v>98</v>
      </c>
    </row>
    <row r="1742" spans="1:19" ht="25" customHeight="1">
      <c r="A1742" s="12">
        <v>85</v>
      </c>
      <c r="B1742" s="8" t="s">
        <v>2067</v>
      </c>
      <c r="C1742" s="8" t="s">
        <v>706</v>
      </c>
      <c r="D1742" s="8" t="s">
        <v>428</v>
      </c>
      <c r="E1742" s="8" t="s">
        <v>60</v>
      </c>
      <c r="F1742" s="8">
        <v>1</v>
      </c>
      <c r="G1742" s="11">
        <v>0.1666666666666667</v>
      </c>
      <c r="H1742" s="8">
        <v>0</v>
      </c>
      <c r="I1742" s="8">
        <v>0</v>
      </c>
      <c r="J1742" s="8">
        <v>0</v>
      </c>
      <c r="K1742" s="8">
        <v>0</v>
      </c>
      <c r="L1742" s="8">
        <v>5</v>
      </c>
      <c r="M1742" s="8">
        <v>1</v>
      </c>
      <c r="N1742" s="8">
        <v>0</v>
      </c>
      <c r="O1742" s="8" t="s">
        <v>791</v>
      </c>
      <c r="P1742" s="8">
        <v>25</v>
      </c>
      <c r="Q1742" s="8" t="s">
        <v>2165</v>
      </c>
      <c r="R1742" s="8" t="s">
        <v>2166</v>
      </c>
      <c r="S1742" s="8">
        <v>99</v>
      </c>
    </row>
    <row r="1743" spans="1:19" ht="25" customHeight="1">
      <c r="A1743" s="12">
        <v>86</v>
      </c>
      <c r="B1743" s="8" t="s">
        <v>2067</v>
      </c>
      <c r="C1743" s="8" t="s">
        <v>716</v>
      </c>
      <c r="D1743" s="8" t="s">
        <v>468</v>
      </c>
      <c r="E1743" s="8" t="s">
        <v>60</v>
      </c>
      <c r="F1743" s="8">
        <v>1</v>
      </c>
      <c r="G1743" s="11">
        <v>0.5</v>
      </c>
      <c r="H1743" s="8">
        <v>1</v>
      </c>
      <c r="I1743" s="8">
        <v>1</v>
      </c>
      <c r="J1743" s="8">
        <v>0</v>
      </c>
      <c r="K1743" s="8">
        <v>0</v>
      </c>
      <c r="L1743" s="8">
        <v>0</v>
      </c>
      <c r="M1743" s="8">
        <v>0</v>
      </c>
      <c r="N1743" s="8">
        <v>1</v>
      </c>
      <c r="O1743" s="8" t="s">
        <v>791</v>
      </c>
      <c r="P1743" s="8">
        <v>100</v>
      </c>
      <c r="Q1743" s="8" t="s">
        <v>2165</v>
      </c>
      <c r="R1743" s="8" t="s">
        <v>2166</v>
      </c>
      <c r="S1743" s="8">
        <v>100</v>
      </c>
    </row>
    <row r="1744" spans="1:19" ht="25" customHeight="1">
      <c r="A1744" s="12">
        <v>87</v>
      </c>
      <c r="B1744" s="8" t="s">
        <v>2067</v>
      </c>
      <c r="C1744" s="8" t="s">
        <v>716</v>
      </c>
      <c r="D1744" s="8" t="s">
        <v>541</v>
      </c>
      <c r="E1744" s="8" t="s">
        <v>60</v>
      </c>
      <c r="F1744" s="8">
        <v>1</v>
      </c>
      <c r="G1744" s="8">
        <v>1</v>
      </c>
      <c r="H1744" s="8">
        <v>1</v>
      </c>
      <c r="I1744" s="8">
        <v>1</v>
      </c>
      <c r="J1744" s="8">
        <v>0</v>
      </c>
      <c r="K1744" s="8">
        <v>0</v>
      </c>
      <c r="L1744" s="8">
        <v>0</v>
      </c>
      <c r="M1744" s="8">
        <v>1</v>
      </c>
      <c r="N1744" s="8">
        <v>0</v>
      </c>
      <c r="O1744" s="8" t="s">
        <v>791</v>
      </c>
      <c r="P1744" s="8">
        <v>100</v>
      </c>
      <c r="Q1744" s="8" t="s">
        <v>2165</v>
      </c>
      <c r="R1744" s="8" t="s">
        <v>2166</v>
      </c>
      <c r="S1744" s="8">
        <v>101</v>
      </c>
    </row>
    <row r="1745" spans="1:19" ht="25" customHeight="1">
      <c r="A1745" s="12">
        <v>88</v>
      </c>
      <c r="B1745" s="8" t="s">
        <v>2067</v>
      </c>
      <c r="C1745" s="8" t="s">
        <v>706</v>
      </c>
      <c r="D1745" s="8" t="s">
        <v>471</v>
      </c>
      <c r="E1745" s="8" t="s">
        <v>60</v>
      </c>
      <c r="F1745" s="8">
        <v>1</v>
      </c>
      <c r="G1745" s="11">
        <v>0.5</v>
      </c>
      <c r="H1745" s="8">
        <v>1</v>
      </c>
      <c r="I1745" s="8">
        <v>1</v>
      </c>
      <c r="J1745" s="8">
        <v>0</v>
      </c>
      <c r="K1745" s="8">
        <v>0</v>
      </c>
      <c r="L1745" s="8">
        <v>7</v>
      </c>
      <c r="M1745" s="8">
        <v>0</v>
      </c>
      <c r="N1745" s="8">
        <v>1</v>
      </c>
      <c r="O1745" s="8" t="s">
        <v>791</v>
      </c>
      <c r="P1745" s="8">
        <v>93</v>
      </c>
      <c r="Q1745" s="8" t="s">
        <v>2165</v>
      </c>
      <c r="R1745" s="8" t="s">
        <v>2166</v>
      </c>
      <c r="S1745" s="8">
        <v>102</v>
      </c>
    </row>
    <row r="1746" spans="1:19" ht="25" customHeight="1">
      <c r="A1746" s="12">
        <v>89</v>
      </c>
      <c r="B1746" s="8" t="s">
        <v>2067</v>
      </c>
      <c r="C1746" s="8" t="s">
        <v>711</v>
      </c>
      <c r="D1746" s="8" t="s">
        <v>446</v>
      </c>
      <c r="E1746" s="8" t="s">
        <v>60</v>
      </c>
      <c r="F1746" s="8">
        <v>1</v>
      </c>
      <c r="G1746" s="11">
        <v>0.5</v>
      </c>
      <c r="H1746" s="8">
        <v>0</v>
      </c>
      <c r="I1746" s="8">
        <v>0</v>
      </c>
      <c r="J1746" s="8">
        <v>0</v>
      </c>
      <c r="K1746" s="8">
        <v>0</v>
      </c>
      <c r="L1746" s="8">
        <v>12</v>
      </c>
      <c r="M1746" s="8">
        <v>0</v>
      </c>
      <c r="N1746" s="8">
        <v>1</v>
      </c>
      <c r="O1746" s="8" t="s">
        <v>791</v>
      </c>
      <c r="P1746" s="8">
        <v>20</v>
      </c>
      <c r="Q1746" s="8" t="s">
        <v>2165</v>
      </c>
      <c r="R1746" s="8" t="s">
        <v>2166</v>
      </c>
      <c r="S1746" s="8">
        <v>103</v>
      </c>
    </row>
    <row r="1747" spans="1:19" ht="25" customHeight="1">
      <c r="A1747" s="12">
        <v>90</v>
      </c>
      <c r="B1747" s="8" t="s">
        <v>2067</v>
      </c>
      <c r="C1747" s="8" t="s">
        <v>711</v>
      </c>
      <c r="D1747" s="8" t="s">
        <v>465</v>
      </c>
      <c r="E1747" s="8" t="s">
        <v>60</v>
      </c>
      <c r="F1747" s="8">
        <v>1</v>
      </c>
      <c r="G1747" s="11">
        <v>0.2</v>
      </c>
      <c r="H1747" s="8">
        <v>0</v>
      </c>
      <c r="I1747" s="8">
        <v>0</v>
      </c>
      <c r="J1747" s="8">
        <v>1</v>
      </c>
      <c r="K1747" s="8">
        <v>1</v>
      </c>
      <c r="L1747" s="8">
        <v>16</v>
      </c>
      <c r="M1747" s="8">
        <v>1</v>
      </c>
      <c r="N1747" s="8">
        <v>0</v>
      </c>
      <c r="O1747" s="8" t="s">
        <v>791</v>
      </c>
      <c r="P1747" s="8">
        <v>0</v>
      </c>
      <c r="Q1747" s="8" t="s">
        <v>2161</v>
      </c>
      <c r="R1747" s="8" t="s">
        <v>2162</v>
      </c>
      <c r="S1747" s="8">
        <v>104</v>
      </c>
    </row>
    <row r="1748" spans="1:19" ht="25" customHeight="1">
      <c r="A1748" s="12">
        <v>91</v>
      </c>
      <c r="B1748" s="8" t="s">
        <v>2067</v>
      </c>
      <c r="C1748" s="8" t="s">
        <v>706</v>
      </c>
      <c r="D1748" s="8" t="s">
        <v>468</v>
      </c>
      <c r="E1748" s="8" t="s">
        <v>63</v>
      </c>
      <c r="F1748" s="8">
        <v>1</v>
      </c>
      <c r="G1748" s="11">
        <v>0.3333333333333333</v>
      </c>
      <c r="H1748" s="8">
        <v>0</v>
      </c>
      <c r="I1748" s="8">
        <v>0</v>
      </c>
      <c r="J1748" s="8">
        <v>1</v>
      </c>
      <c r="K1748" s="8">
        <v>1</v>
      </c>
      <c r="L1748" s="8">
        <v>28</v>
      </c>
      <c r="M1748" s="8">
        <v>0</v>
      </c>
      <c r="N1748" s="8">
        <v>1</v>
      </c>
      <c r="O1748" s="8" t="s">
        <v>791</v>
      </c>
      <c r="P1748" s="8">
        <v>0</v>
      </c>
      <c r="Q1748" s="8" t="s">
        <v>2161</v>
      </c>
      <c r="R1748" s="8" t="s">
        <v>2162</v>
      </c>
      <c r="S1748" s="8">
        <v>105</v>
      </c>
    </row>
    <row r="1749" spans="1:19" ht="25" customHeight="1">
      <c r="A1749" s="12">
        <v>92</v>
      </c>
      <c r="B1749" s="8" t="s">
        <v>2067</v>
      </c>
      <c r="C1749" s="8" t="s">
        <v>716</v>
      </c>
      <c r="D1749" s="8" t="s">
        <v>449</v>
      </c>
      <c r="E1749" s="8" t="s">
        <v>63</v>
      </c>
      <c r="F1749" s="8">
        <v>3</v>
      </c>
      <c r="G1749" s="11">
        <v>0.2727272727272727</v>
      </c>
      <c r="H1749" s="8">
        <v>2</v>
      </c>
      <c r="I1749" s="11">
        <v>0.6666666666666666</v>
      </c>
      <c r="J1749" s="8">
        <v>0</v>
      </c>
      <c r="K1749" s="8">
        <v>0</v>
      </c>
      <c r="L1749" s="11">
        <v>3.333333333333333</v>
      </c>
      <c r="M1749" s="8">
        <v>0</v>
      </c>
      <c r="N1749" s="8">
        <v>1</v>
      </c>
      <c r="O1749" s="8" t="s">
        <v>801</v>
      </c>
      <c r="P1749" s="11">
        <v>73.3</v>
      </c>
      <c r="Q1749" s="8" t="s">
        <v>2179</v>
      </c>
      <c r="R1749" s="8" t="s">
        <v>2168</v>
      </c>
      <c r="S1749" s="8">
        <v>106</v>
      </c>
    </row>
    <row r="1750" spans="1:19" ht="25" customHeight="1">
      <c r="A1750" s="12">
        <v>93</v>
      </c>
      <c r="B1750" s="8" t="s">
        <v>2067</v>
      </c>
      <c r="C1750" s="8" t="s">
        <v>706</v>
      </c>
      <c r="D1750" s="8" t="s">
        <v>446</v>
      </c>
      <c r="E1750" s="8" t="s">
        <v>63</v>
      </c>
      <c r="F1750" s="8">
        <v>1</v>
      </c>
      <c r="G1750" s="8">
        <v>1</v>
      </c>
      <c r="H1750" s="8">
        <v>0</v>
      </c>
      <c r="I1750" s="8">
        <v>0</v>
      </c>
      <c r="J1750" s="8">
        <v>0</v>
      </c>
      <c r="K1750" s="8">
        <v>0</v>
      </c>
      <c r="L1750" s="8">
        <v>9</v>
      </c>
      <c r="M1750" s="8">
        <v>0</v>
      </c>
      <c r="N1750" s="8">
        <v>1</v>
      </c>
      <c r="O1750" s="8" t="s">
        <v>791</v>
      </c>
      <c r="P1750" s="8">
        <v>21</v>
      </c>
      <c r="Q1750" s="8" t="s">
        <v>2165</v>
      </c>
      <c r="R1750" s="8" t="s">
        <v>2166</v>
      </c>
      <c r="S1750" s="8">
        <v>109</v>
      </c>
    </row>
    <row r="1751" spans="1:19" ht="25" customHeight="1">
      <c r="A1751" s="12">
        <v>94</v>
      </c>
      <c r="B1751" s="8" t="s">
        <v>2067</v>
      </c>
      <c r="C1751" s="8" t="s">
        <v>720</v>
      </c>
      <c r="D1751" s="8" t="s">
        <v>449</v>
      </c>
      <c r="E1751" s="8" t="s">
        <v>63</v>
      </c>
      <c r="F1751" s="8">
        <v>1</v>
      </c>
      <c r="G1751" s="11">
        <v>0.25</v>
      </c>
      <c r="H1751" s="8">
        <v>0</v>
      </c>
      <c r="I1751" s="8">
        <v>0</v>
      </c>
      <c r="J1751" s="8">
        <v>0</v>
      </c>
      <c r="K1751" s="8">
        <v>0</v>
      </c>
      <c r="L1751" s="8">
        <v>13</v>
      </c>
      <c r="M1751" s="8">
        <v>0</v>
      </c>
      <c r="N1751" s="8">
        <v>1</v>
      </c>
      <c r="O1751" s="8" t="s">
        <v>791</v>
      </c>
      <c r="P1751" s="8">
        <v>20</v>
      </c>
      <c r="Q1751" s="8" t="s">
        <v>2165</v>
      </c>
      <c r="R1751" s="8" t="s">
        <v>2166</v>
      </c>
      <c r="S1751" s="8">
        <v>110</v>
      </c>
    </row>
    <row r="1752" spans="1:19" ht="25" customHeight="1">
      <c r="A1752" s="12">
        <v>95</v>
      </c>
      <c r="B1752" s="8" t="s">
        <v>2067</v>
      </c>
      <c r="C1752" s="8" t="s">
        <v>716</v>
      </c>
      <c r="D1752" s="8" t="s">
        <v>449</v>
      </c>
      <c r="E1752" s="8" t="s">
        <v>48</v>
      </c>
      <c r="F1752" s="8">
        <v>1</v>
      </c>
      <c r="G1752" s="11">
        <v>0.09090909090909091</v>
      </c>
      <c r="H1752" s="8">
        <v>1</v>
      </c>
      <c r="I1752" s="8">
        <v>1</v>
      </c>
      <c r="J1752" s="8">
        <v>0</v>
      </c>
      <c r="K1752" s="8">
        <v>0</v>
      </c>
      <c r="L1752" s="8">
        <v>0</v>
      </c>
      <c r="M1752" s="8">
        <v>0</v>
      </c>
      <c r="N1752" s="8">
        <v>1</v>
      </c>
      <c r="O1752" s="8" t="s">
        <v>791</v>
      </c>
      <c r="P1752" s="8">
        <v>100</v>
      </c>
      <c r="Q1752" s="8" t="s">
        <v>2165</v>
      </c>
      <c r="R1752" s="8" t="s">
        <v>2166</v>
      </c>
      <c r="S1752" s="8">
        <v>111</v>
      </c>
    </row>
    <row r="1753" spans="1:19" ht="25" customHeight="1">
      <c r="A1753" s="12">
        <v>96</v>
      </c>
      <c r="B1753" s="8" t="s">
        <v>2067</v>
      </c>
      <c r="C1753" s="8" t="s">
        <v>711</v>
      </c>
      <c r="D1753" s="8" t="s">
        <v>468</v>
      </c>
      <c r="E1753" s="8" t="s">
        <v>48</v>
      </c>
      <c r="F1753" s="8">
        <v>1</v>
      </c>
      <c r="G1753" s="11">
        <v>0.3333333333333333</v>
      </c>
      <c r="H1753" s="8">
        <v>1</v>
      </c>
      <c r="I1753" s="8">
        <v>1</v>
      </c>
      <c r="J1753" s="8">
        <v>0</v>
      </c>
      <c r="K1753" s="8">
        <v>0</v>
      </c>
      <c r="L1753" s="8">
        <v>-8</v>
      </c>
      <c r="M1753" s="8">
        <v>0</v>
      </c>
      <c r="N1753" s="8">
        <v>1</v>
      </c>
      <c r="O1753" s="8" t="s">
        <v>791</v>
      </c>
      <c r="P1753" s="8">
        <v>100</v>
      </c>
      <c r="Q1753" s="8" t="s">
        <v>2165</v>
      </c>
      <c r="R1753" s="8" t="s">
        <v>2166</v>
      </c>
      <c r="S1753" s="8">
        <v>112</v>
      </c>
    </row>
    <row r="1754" spans="1:19" ht="25" customHeight="1">
      <c r="A1754" s="12">
        <v>97</v>
      </c>
      <c r="B1754" s="8" t="s">
        <v>2067</v>
      </c>
      <c r="C1754" s="8" t="s">
        <v>716</v>
      </c>
      <c r="D1754" s="8" t="s">
        <v>465</v>
      </c>
      <c r="E1754" s="8" t="s">
        <v>48</v>
      </c>
      <c r="F1754" s="8">
        <v>1</v>
      </c>
      <c r="G1754" s="11">
        <v>0.2</v>
      </c>
      <c r="H1754" s="8">
        <v>0</v>
      </c>
      <c r="I1754" s="8">
        <v>0</v>
      </c>
      <c r="J1754" s="8">
        <v>0</v>
      </c>
      <c r="K1754" s="8">
        <v>0</v>
      </c>
      <c r="L1754" s="8">
        <v>11</v>
      </c>
      <c r="M1754" s="8">
        <v>1</v>
      </c>
      <c r="N1754" s="8">
        <v>0</v>
      </c>
      <c r="O1754" s="8" t="s">
        <v>791</v>
      </c>
      <c r="P1754" s="8">
        <v>20</v>
      </c>
      <c r="Q1754" s="8" t="s">
        <v>2165</v>
      </c>
      <c r="R1754" s="8" t="s">
        <v>2166</v>
      </c>
      <c r="S1754" s="8">
        <v>113</v>
      </c>
    </row>
    <row r="1755" spans="1:19" ht="25" customHeight="1">
      <c r="A1755" s="12">
        <v>98</v>
      </c>
      <c r="B1755" s="8" t="s">
        <v>2067</v>
      </c>
      <c r="C1755" s="8" t="s">
        <v>716</v>
      </c>
      <c r="D1755" s="8" t="s">
        <v>471</v>
      </c>
      <c r="E1755" s="8" t="s">
        <v>48</v>
      </c>
      <c r="F1755" s="8">
        <v>1</v>
      </c>
      <c r="G1755" s="11">
        <v>0.25</v>
      </c>
      <c r="H1755" s="8">
        <v>0</v>
      </c>
      <c r="I1755" s="8">
        <v>0</v>
      </c>
      <c r="J1755" s="8">
        <v>0</v>
      </c>
      <c r="K1755" s="8">
        <v>0</v>
      </c>
      <c r="L1755" s="8">
        <v>10</v>
      </c>
      <c r="M1755" s="8">
        <v>0</v>
      </c>
      <c r="N1755" s="8">
        <v>1</v>
      </c>
      <c r="O1755" s="8" t="s">
        <v>791</v>
      </c>
      <c r="P1755" s="8">
        <v>20</v>
      </c>
      <c r="Q1755" s="8" t="s">
        <v>2165</v>
      </c>
      <c r="R1755" s="8" t="s">
        <v>2166</v>
      </c>
      <c r="S1755" s="8">
        <v>114</v>
      </c>
    </row>
    <row r="1756" spans="1:19" ht="25" customHeight="1">
      <c r="A1756" s="12">
        <v>99</v>
      </c>
      <c r="B1756" s="8" t="s">
        <v>2067</v>
      </c>
      <c r="C1756" s="8" t="s">
        <v>716</v>
      </c>
      <c r="D1756" s="8" t="s">
        <v>465</v>
      </c>
      <c r="E1756" s="8" t="s">
        <v>68</v>
      </c>
      <c r="F1756" s="8">
        <v>1</v>
      </c>
      <c r="G1756" s="11">
        <v>0.2</v>
      </c>
      <c r="H1756" s="8">
        <v>0</v>
      </c>
      <c r="I1756" s="8">
        <v>0</v>
      </c>
      <c r="J1756" s="8">
        <v>0</v>
      </c>
      <c r="K1756" s="8">
        <v>0</v>
      </c>
      <c r="L1756" s="8">
        <v>4</v>
      </c>
      <c r="M1756" s="8">
        <v>1</v>
      </c>
      <c r="N1756" s="8">
        <v>0</v>
      </c>
      <c r="O1756" s="8" t="s">
        <v>791</v>
      </c>
      <c r="P1756" s="8">
        <v>26</v>
      </c>
      <c r="Q1756" s="8" t="s">
        <v>2165</v>
      </c>
      <c r="R1756" s="8" t="s">
        <v>2166</v>
      </c>
      <c r="S1756" s="8">
        <v>115</v>
      </c>
    </row>
    <row r="1757" spans="1:19" ht="25" customHeight="1">
      <c r="A1757" s="12">
        <v>100</v>
      </c>
      <c r="B1757" s="8" t="s">
        <v>2067</v>
      </c>
      <c r="C1757" s="8" t="s">
        <v>716</v>
      </c>
      <c r="D1757" s="8" t="s">
        <v>449</v>
      </c>
      <c r="E1757" s="8" t="s">
        <v>68</v>
      </c>
      <c r="F1757" s="8">
        <v>1</v>
      </c>
      <c r="G1757" s="11">
        <v>0.09090909090909091</v>
      </c>
      <c r="H1757" s="8">
        <v>1</v>
      </c>
      <c r="I1757" s="8">
        <v>1</v>
      </c>
      <c r="J1757" s="8">
        <v>0</v>
      </c>
      <c r="K1757" s="8">
        <v>0</v>
      </c>
      <c r="L1757" s="8">
        <v>6</v>
      </c>
      <c r="M1757" s="8">
        <v>0</v>
      </c>
      <c r="N1757" s="8">
        <v>1</v>
      </c>
      <c r="O1757" s="8" t="s">
        <v>791</v>
      </c>
      <c r="P1757" s="8">
        <v>94</v>
      </c>
      <c r="Q1757" s="8" t="s">
        <v>2165</v>
      </c>
      <c r="R1757" s="8" t="s">
        <v>2166</v>
      </c>
      <c r="S1757" s="8">
        <v>116</v>
      </c>
    </row>
    <row r="1758" spans="1:19" ht="25" customHeight="1">
      <c r="A1758" s="12">
        <v>101</v>
      </c>
      <c r="B1758" s="8" t="s">
        <v>2067</v>
      </c>
      <c r="C1758" s="8" t="s">
        <v>711</v>
      </c>
      <c r="D1758" s="8" t="s">
        <v>471</v>
      </c>
      <c r="E1758" s="8" t="s">
        <v>68</v>
      </c>
      <c r="F1758" s="8">
        <v>1</v>
      </c>
      <c r="G1758" s="11">
        <v>0.5</v>
      </c>
      <c r="H1758" s="8">
        <v>1</v>
      </c>
      <c r="I1758" s="8">
        <v>1</v>
      </c>
      <c r="J1758" s="8">
        <v>0</v>
      </c>
      <c r="K1758" s="8">
        <v>0</v>
      </c>
      <c r="L1758" s="8">
        <v>0</v>
      </c>
      <c r="M1758" s="8">
        <v>0</v>
      </c>
      <c r="N1758" s="8">
        <v>1</v>
      </c>
      <c r="O1758" s="8" t="s">
        <v>791</v>
      </c>
      <c r="P1758" s="8">
        <v>100</v>
      </c>
      <c r="Q1758" s="8" t="s">
        <v>2165</v>
      </c>
      <c r="R1758" s="8" t="s">
        <v>2166</v>
      </c>
      <c r="S1758" s="8">
        <v>117</v>
      </c>
    </row>
    <row r="1759" spans="1:19" ht="25" customHeight="1">
      <c r="A1759" s="12">
        <v>102</v>
      </c>
      <c r="B1759" s="8" t="s">
        <v>2067</v>
      </c>
      <c r="C1759" s="8" t="s">
        <v>706</v>
      </c>
      <c r="D1759" s="8" t="s">
        <v>432</v>
      </c>
      <c r="E1759" s="8" t="s">
        <v>68</v>
      </c>
      <c r="F1759" s="8">
        <v>1</v>
      </c>
      <c r="G1759" s="8">
        <v>1</v>
      </c>
      <c r="H1759" s="8">
        <v>0</v>
      </c>
      <c r="I1759" s="8">
        <v>0</v>
      </c>
      <c r="J1759" s="8">
        <v>0</v>
      </c>
      <c r="K1759" s="8">
        <v>0</v>
      </c>
      <c r="L1759" s="8">
        <v>5</v>
      </c>
      <c r="M1759" s="8">
        <v>1</v>
      </c>
      <c r="N1759" s="8">
        <v>0</v>
      </c>
      <c r="O1759" s="8" t="s">
        <v>791</v>
      </c>
      <c r="P1759" s="8">
        <v>25</v>
      </c>
      <c r="Q1759" s="8" t="s">
        <v>2165</v>
      </c>
      <c r="R1759" s="8" t="s">
        <v>2166</v>
      </c>
      <c r="S1759" s="8">
        <v>118</v>
      </c>
    </row>
    <row r="1760" spans="1:19" ht="25" customHeight="1">
      <c r="A1760" s="12">
        <v>103</v>
      </c>
      <c r="B1760" s="8" t="s">
        <v>2067</v>
      </c>
      <c r="C1760" s="8" t="s">
        <v>711</v>
      </c>
      <c r="D1760" s="8" t="s">
        <v>468</v>
      </c>
      <c r="E1760" s="8" t="s">
        <v>44</v>
      </c>
      <c r="F1760" s="8">
        <v>1</v>
      </c>
      <c r="G1760" s="11">
        <v>0.3333333333333333</v>
      </c>
      <c r="H1760" s="8">
        <v>0</v>
      </c>
      <c r="I1760" s="8">
        <v>0</v>
      </c>
      <c r="J1760" s="8">
        <v>0</v>
      </c>
      <c r="K1760" s="8">
        <v>0</v>
      </c>
      <c r="L1760" s="8">
        <v>9</v>
      </c>
      <c r="M1760" s="8">
        <v>0</v>
      </c>
      <c r="N1760" s="8">
        <v>1</v>
      </c>
      <c r="O1760" s="8" t="s">
        <v>791</v>
      </c>
      <c r="P1760" s="8">
        <v>21</v>
      </c>
      <c r="Q1760" s="8" t="s">
        <v>2165</v>
      </c>
      <c r="R1760" s="8" t="s">
        <v>2166</v>
      </c>
      <c r="S1760" s="8">
        <v>119</v>
      </c>
    </row>
    <row r="1761" spans="1:19" ht="25" customHeight="1">
      <c r="A1761" s="12">
        <v>104</v>
      </c>
      <c r="B1761" s="8" t="s">
        <v>2067</v>
      </c>
      <c r="C1761" s="8" t="s">
        <v>711</v>
      </c>
      <c r="D1761" s="8" t="s">
        <v>471</v>
      </c>
      <c r="E1761" s="8" t="s">
        <v>44</v>
      </c>
      <c r="F1761" s="8">
        <v>1</v>
      </c>
      <c r="G1761" s="11">
        <v>0.5</v>
      </c>
      <c r="H1761" s="8">
        <v>1</v>
      </c>
      <c r="I1761" s="8">
        <v>1</v>
      </c>
      <c r="J1761" s="8">
        <v>0</v>
      </c>
      <c r="K1761" s="8">
        <v>0</v>
      </c>
      <c r="L1761" s="8">
        <v>0</v>
      </c>
      <c r="M1761" s="8">
        <v>0</v>
      </c>
      <c r="N1761" s="8">
        <v>1</v>
      </c>
      <c r="O1761" s="8" t="s">
        <v>791</v>
      </c>
      <c r="P1761" s="8">
        <v>100</v>
      </c>
      <c r="Q1761" s="8" t="s">
        <v>2165</v>
      </c>
      <c r="R1761" s="8" t="s">
        <v>2166</v>
      </c>
      <c r="S1761" s="8">
        <v>120</v>
      </c>
    </row>
    <row r="1762" spans="1:19" ht="25" customHeight="1">
      <c r="A1762" s="12">
        <v>105</v>
      </c>
      <c r="B1762" s="8" t="s">
        <v>2067</v>
      </c>
      <c r="C1762" s="8" t="s">
        <v>716</v>
      </c>
      <c r="D1762" s="8" t="s">
        <v>446</v>
      </c>
      <c r="E1762" s="8" t="s">
        <v>34</v>
      </c>
      <c r="F1762" s="8">
        <v>1</v>
      </c>
      <c r="G1762" s="11">
        <v>0.3333333333333333</v>
      </c>
      <c r="H1762" s="8">
        <v>1</v>
      </c>
      <c r="I1762" s="8">
        <v>1</v>
      </c>
      <c r="J1762" s="8">
        <v>0</v>
      </c>
      <c r="K1762" s="8">
        <v>0</v>
      </c>
      <c r="L1762" s="8">
        <v>0</v>
      </c>
      <c r="M1762" s="8">
        <v>0</v>
      </c>
      <c r="N1762" s="8">
        <v>1</v>
      </c>
      <c r="O1762" s="8" t="s">
        <v>791</v>
      </c>
      <c r="P1762" s="8">
        <v>100</v>
      </c>
      <c r="Q1762" s="8" t="s">
        <v>2165</v>
      </c>
      <c r="R1762" s="8" t="s">
        <v>2166</v>
      </c>
      <c r="S1762" s="8">
        <v>122</v>
      </c>
    </row>
    <row r="1763" spans="1:19" ht="25" customHeight="1">
      <c r="A1763" s="12">
        <v>106</v>
      </c>
      <c r="B1763" s="8" t="s">
        <v>2067</v>
      </c>
      <c r="C1763" s="8" t="s">
        <v>711</v>
      </c>
      <c r="D1763" s="8" t="s">
        <v>449</v>
      </c>
      <c r="E1763" s="8" t="s">
        <v>34</v>
      </c>
      <c r="F1763" s="8">
        <v>1</v>
      </c>
      <c r="G1763" s="11">
        <v>0.2</v>
      </c>
      <c r="H1763" s="8">
        <v>0</v>
      </c>
      <c r="I1763" s="8">
        <v>0</v>
      </c>
      <c r="J1763" s="8">
        <v>0</v>
      </c>
      <c r="K1763" s="8">
        <v>0</v>
      </c>
      <c r="L1763" s="8">
        <v>10</v>
      </c>
      <c r="M1763" s="8">
        <v>0</v>
      </c>
      <c r="N1763" s="8">
        <v>1</v>
      </c>
      <c r="O1763" s="8" t="s">
        <v>791</v>
      </c>
      <c r="P1763" s="8">
        <v>20</v>
      </c>
      <c r="Q1763" s="8" t="s">
        <v>2165</v>
      </c>
      <c r="R1763" s="8" t="s">
        <v>2166</v>
      </c>
      <c r="S1763" s="8">
        <v>123</v>
      </c>
    </row>
    <row r="1764" spans="1:19" ht="25" customHeight="1">
      <c r="A1764" s="12">
        <v>107</v>
      </c>
      <c r="B1764" s="8" t="s">
        <v>2067</v>
      </c>
      <c r="C1764" s="8" t="s">
        <v>716</v>
      </c>
      <c r="D1764" s="8" t="s">
        <v>465</v>
      </c>
      <c r="E1764" s="8" t="s">
        <v>34</v>
      </c>
      <c r="F1764" s="8">
        <v>1</v>
      </c>
      <c r="G1764" s="11">
        <v>0.2</v>
      </c>
      <c r="H1764" s="8">
        <v>0</v>
      </c>
      <c r="I1764" s="8">
        <v>0</v>
      </c>
      <c r="J1764" s="8">
        <v>1</v>
      </c>
      <c r="K1764" s="8">
        <v>1</v>
      </c>
      <c r="L1764" s="8">
        <v>12</v>
      </c>
      <c r="M1764" s="8">
        <v>1</v>
      </c>
      <c r="N1764" s="8">
        <v>0</v>
      </c>
      <c r="O1764" s="8" t="s">
        <v>791</v>
      </c>
      <c r="P1764" s="8">
        <v>0</v>
      </c>
      <c r="Q1764" s="8" t="s">
        <v>2161</v>
      </c>
      <c r="R1764" s="8" t="s">
        <v>2162</v>
      </c>
      <c r="S1764" s="8">
        <v>124</v>
      </c>
    </row>
    <row r="1765" spans="1:19" ht="25" customHeight="1">
      <c r="A1765" s="12">
        <v>108</v>
      </c>
      <c r="B1765" s="8" t="s">
        <v>2067</v>
      </c>
      <c r="C1765" s="8" t="s">
        <v>711</v>
      </c>
      <c r="D1765" s="8" t="s">
        <v>449</v>
      </c>
      <c r="E1765" s="8" t="s">
        <v>79</v>
      </c>
      <c r="F1765" s="8">
        <v>1</v>
      </c>
      <c r="G1765" s="11">
        <v>0.2</v>
      </c>
      <c r="H1765" s="8">
        <v>1</v>
      </c>
      <c r="I1765" s="8">
        <v>1</v>
      </c>
      <c r="J1765" s="8">
        <v>0</v>
      </c>
      <c r="K1765" s="8">
        <v>0</v>
      </c>
      <c r="L1765" s="8">
        <v>-1</v>
      </c>
      <c r="M1765" s="8">
        <v>0</v>
      </c>
      <c r="N1765" s="8">
        <v>1</v>
      </c>
      <c r="O1765" s="8" t="s">
        <v>791</v>
      </c>
      <c r="P1765" s="8">
        <v>100</v>
      </c>
      <c r="Q1765" s="8" t="s">
        <v>2165</v>
      </c>
      <c r="R1765" s="8" t="s">
        <v>2166</v>
      </c>
      <c r="S1765" s="8">
        <v>125</v>
      </c>
    </row>
    <row r="1766" spans="1:19" ht="25" customHeight="1">
      <c r="A1766" s="12">
        <v>109</v>
      </c>
      <c r="B1766" s="8" t="s">
        <v>2067</v>
      </c>
      <c r="C1766" s="8" t="s">
        <v>720</v>
      </c>
      <c r="D1766" s="8" t="s">
        <v>432</v>
      </c>
      <c r="E1766" s="8" t="s">
        <v>79</v>
      </c>
      <c r="F1766" s="8">
        <v>1</v>
      </c>
      <c r="G1766" s="8">
        <v>1</v>
      </c>
      <c r="H1766" s="8">
        <v>0</v>
      </c>
      <c r="I1766" s="8">
        <v>0</v>
      </c>
      <c r="J1766" s="8">
        <v>0</v>
      </c>
      <c r="K1766" s="8">
        <v>0</v>
      </c>
      <c r="L1766" s="8">
        <v>6</v>
      </c>
      <c r="M1766" s="8">
        <v>1</v>
      </c>
      <c r="N1766" s="8">
        <v>0</v>
      </c>
      <c r="O1766" s="8" t="s">
        <v>791</v>
      </c>
      <c r="P1766" s="8">
        <v>24</v>
      </c>
      <c r="Q1766" s="8" t="s">
        <v>2165</v>
      </c>
      <c r="R1766" s="8" t="s">
        <v>2166</v>
      </c>
      <c r="S1766" s="8">
        <v>126</v>
      </c>
    </row>
    <row r="1767" spans="1:19" ht="25" customHeight="1">
      <c r="A1767" s="12">
        <v>110</v>
      </c>
      <c r="B1767" s="8" t="s">
        <v>2067</v>
      </c>
      <c r="C1767" s="8" t="s">
        <v>711</v>
      </c>
      <c r="D1767" s="8" t="s">
        <v>468</v>
      </c>
      <c r="E1767" s="8" t="s">
        <v>79</v>
      </c>
      <c r="F1767" s="8">
        <v>1</v>
      </c>
      <c r="G1767" s="11">
        <v>0.3333333333333333</v>
      </c>
      <c r="H1767" s="8">
        <v>1</v>
      </c>
      <c r="I1767" s="8">
        <v>1</v>
      </c>
      <c r="J1767" s="8">
        <v>0</v>
      </c>
      <c r="K1767" s="8">
        <v>0</v>
      </c>
      <c r="L1767" s="8">
        <v>5</v>
      </c>
      <c r="M1767" s="8">
        <v>0</v>
      </c>
      <c r="N1767" s="8">
        <v>1</v>
      </c>
      <c r="O1767" s="8" t="s">
        <v>791</v>
      </c>
      <c r="P1767" s="8">
        <v>95</v>
      </c>
      <c r="Q1767" s="8" t="s">
        <v>2165</v>
      </c>
      <c r="R1767" s="8" t="s">
        <v>2166</v>
      </c>
      <c r="S1767" s="8">
        <v>127</v>
      </c>
    </row>
    <row r="1768" spans="1:19" ht="25" customHeight="1">
      <c r="A1768" s="12">
        <v>111</v>
      </c>
      <c r="B1768" s="8" t="s">
        <v>2067</v>
      </c>
      <c r="C1768" s="8" t="s">
        <v>716</v>
      </c>
      <c r="D1768" s="8" t="s">
        <v>471</v>
      </c>
      <c r="E1768" s="8" t="s">
        <v>56</v>
      </c>
      <c r="F1768" s="8">
        <v>1</v>
      </c>
      <c r="G1768" s="11">
        <v>0.25</v>
      </c>
      <c r="H1768" s="8">
        <v>0</v>
      </c>
      <c r="I1768" s="8">
        <v>0</v>
      </c>
      <c r="J1768" s="8">
        <v>0</v>
      </c>
      <c r="K1768" s="8">
        <v>0</v>
      </c>
      <c r="L1768" s="8">
        <v>9</v>
      </c>
      <c r="M1768" s="8">
        <v>0</v>
      </c>
      <c r="N1768" s="8">
        <v>1</v>
      </c>
      <c r="O1768" s="8" t="s">
        <v>791</v>
      </c>
      <c r="P1768" s="8">
        <v>21</v>
      </c>
      <c r="Q1768" s="8" t="s">
        <v>2165</v>
      </c>
      <c r="R1768" s="8" t="s">
        <v>2166</v>
      </c>
      <c r="S1768" s="8">
        <v>128</v>
      </c>
    </row>
    <row r="1769" spans="1:19" ht="25" customHeight="1">
      <c r="A1769" s="12">
        <v>112</v>
      </c>
      <c r="B1769" s="8" t="s">
        <v>2067</v>
      </c>
      <c r="C1769" s="8" t="s">
        <v>711</v>
      </c>
      <c r="D1769" s="8" t="s">
        <v>432</v>
      </c>
      <c r="E1769" s="8" t="s">
        <v>56</v>
      </c>
      <c r="F1769" s="8">
        <v>1</v>
      </c>
      <c r="G1769" s="8">
        <v>1</v>
      </c>
      <c r="H1769" s="8">
        <v>0</v>
      </c>
      <c r="I1769" s="8">
        <v>0</v>
      </c>
      <c r="J1769" s="8">
        <v>0</v>
      </c>
      <c r="K1769" s="8">
        <v>0</v>
      </c>
      <c r="L1769" s="8">
        <v>5</v>
      </c>
      <c r="M1769" s="8">
        <v>1</v>
      </c>
      <c r="N1769" s="8">
        <v>0</v>
      </c>
      <c r="O1769" s="8" t="s">
        <v>791</v>
      </c>
      <c r="P1769" s="8">
        <v>25</v>
      </c>
      <c r="Q1769" s="8" t="s">
        <v>2165</v>
      </c>
      <c r="R1769" s="8" t="s">
        <v>2166</v>
      </c>
      <c r="S1769" s="8">
        <v>129</v>
      </c>
    </row>
    <row r="1770" spans="1:19" ht="25" customHeight="1">
      <c r="A1770" s="12">
        <v>113</v>
      </c>
      <c r="B1770" s="8" t="s">
        <v>2067</v>
      </c>
      <c r="C1770" s="8" t="s">
        <v>706</v>
      </c>
      <c r="D1770" s="8" t="s">
        <v>428</v>
      </c>
      <c r="E1770" s="8" t="s">
        <v>56</v>
      </c>
      <c r="F1770" s="8">
        <v>1</v>
      </c>
      <c r="G1770" s="11">
        <v>0.1666666666666667</v>
      </c>
      <c r="H1770" s="8">
        <v>1</v>
      </c>
      <c r="I1770" s="8">
        <v>1</v>
      </c>
      <c r="J1770" s="8">
        <v>0</v>
      </c>
      <c r="K1770" s="8">
        <v>0</v>
      </c>
      <c r="L1770" s="8">
        <v>-2</v>
      </c>
      <c r="M1770" s="8">
        <v>1</v>
      </c>
      <c r="N1770" s="8">
        <v>0</v>
      </c>
      <c r="O1770" s="8" t="s">
        <v>791</v>
      </c>
      <c r="P1770" s="8">
        <v>100</v>
      </c>
      <c r="Q1770" s="8" t="s">
        <v>2165</v>
      </c>
      <c r="R1770" s="8" t="s">
        <v>2166</v>
      </c>
      <c r="S1770" s="8">
        <v>130</v>
      </c>
    </row>
    <row r="1771" spans="1:19" ht="25" customHeight="1">
      <c r="A1771" s="12">
        <v>114</v>
      </c>
      <c r="B1771" s="8" t="s">
        <v>2067</v>
      </c>
      <c r="C1771" s="8" t="s">
        <v>711</v>
      </c>
      <c r="D1771" s="8" t="s">
        <v>449</v>
      </c>
      <c r="E1771" s="8" t="s">
        <v>61</v>
      </c>
      <c r="F1771" s="8">
        <v>1</v>
      </c>
      <c r="G1771" s="11">
        <v>0.2</v>
      </c>
      <c r="H1771" s="8">
        <v>0</v>
      </c>
      <c r="I1771" s="8">
        <v>0</v>
      </c>
      <c r="J1771" s="8">
        <v>0</v>
      </c>
      <c r="K1771" s="8">
        <v>0</v>
      </c>
      <c r="L1771" s="8">
        <v>11</v>
      </c>
      <c r="M1771" s="8">
        <v>0</v>
      </c>
      <c r="N1771" s="8">
        <v>1</v>
      </c>
      <c r="O1771" s="8" t="s">
        <v>791</v>
      </c>
      <c r="P1771" s="8">
        <v>20</v>
      </c>
      <c r="Q1771" s="8" t="s">
        <v>2165</v>
      </c>
      <c r="R1771" s="8" t="s">
        <v>2166</v>
      </c>
      <c r="S1771" s="8">
        <v>131</v>
      </c>
    </row>
    <row r="1772" spans="1:19" ht="25" customHeight="1">
      <c r="A1772" s="12">
        <v>115</v>
      </c>
      <c r="B1772" s="8" t="s">
        <v>2067</v>
      </c>
      <c r="C1772" s="8" t="s">
        <v>720</v>
      </c>
      <c r="D1772" s="8" t="s">
        <v>428</v>
      </c>
      <c r="E1772" s="8" t="s">
        <v>61</v>
      </c>
      <c r="F1772" s="8">
        <v>2</v>
      </c>
      <c r="G1772" s="8">
        <v>1</v>
      </c>
      <c r="H1772" s="8">
        <v>0</v>
      </c>
      <c r="I1772" s="8">
        <v>0</v>
      </c>
      <c r="J1772" s="8">
        <v>0</v>
      </c>
      <c r="K1772" s="8">
        <v>0</v>
      </c>
      <c r="L1772" s="11">
        <v>6.5</v>
      </c>
      <c r="M1772" s="8">
        <v>1</v>
      </c>
      <c r="N1772" s="8">
        <v>0</v>
      </c>
      <c r="O1772" s="8" t="s">
        <v>791</v>
      </c>
      <c r="P1772" s="11">
        <v>23.5</v>
      </c>
      <c r="Q1772" s="8" t="s">
        <v>2165</v>
      </c>
      <c r="R1772" s="8" t="s">
        <v>2166</v>
      </c>
      <c r="S1772" s="8">
        <v>132</v>
      </c>
    </row>
    <row r="1773" spans="1:19" ht="25" customHeight="1">
      <c r="A1773" s="12">
        <v>116</v>
      </c>
      <c r="B1773" s="8" t="s">
        <v>2067</v>
      </c>
      <c r="C1773" s="8" t="s">
        <v>716</v>
      </c>
      <c r="D1773" s="8" t="s">
        <v>449</v>
      </c>
      <c r="E1773" s="8" t="s">
        <v>69</v>
      </c>
      <c r="F1773" s="8">
        <v>1</v>
      </c>
      <c r="G1773" s="11">
        <v>0.09090909090909091</v>
      </c>
      <c r="H1773" s="8">
        <v>1</v>
      </c>
      <c r="I1773" s="8">
        <v>1</v>
      </c>
      <c r="J1773" s="8">
        <v>0</v>
      </c>
      <c r="K1773" s="8">
        <v>0</v>
      </c>
      <c r="L1773" s="8">
        <v>5</v>
      </c>
      <c r="M1773" s="8">
        <v>0</v>
      </c>
      <c r="N1773" s="8">
        <v>1</v>
      </c>
      <c r="O1773" s="8" t="s">
        <v>791</v>
      </c>
      <c r="P1773" s="8">
        <v>95</v>
      </c>
      <c r="Q1773" s="8" t="s">
        <v>2165</v>
      </c>
      <c r="R1773" s="8" t="s">
        <v>2166</v>
      </c>
      <c r="S1773" s="8">
        <v>134</v>
      </c>
    </row>
    <row r="1774" spans="1:19" ht="25" customHeight="1">
      <c r="A1774" s="12">
        <v>117</v>
      </c>
      <c r="B1774" s="8" t="s">
        <v>2067</v>
      </c>
      <c r="C1774" s="8" t="s">
        <v>711</v>
      </c>
      <c r="D1774" s="8" t="s">
        <v>428</v>
      </c>
      <c r="E1774" s="8" t="s">
        <v>69</v>
      </c>
      <c r="F1774" s="8">
        <v>1</v>
      </c>
      <c r="G1774" s="11">
        <v>0.25</v>
      </c>
      <c r="H1774" s="8">
        <v>1</v>
      </c>
      <c r="I1774" s="8">
        <v>1</v>
      </c>
      <c r="J1774" s="8">
        <v>0</v>
      </c>
      <c r="K1774" s="8">
        <v>0</v>
      </c>
      <c r="L1774" s="8">
        <v>2</v>
      </c>
      <c r="M1774" s="8">
        <v>1</v>
      </c>
      <c r="N1774" s="8">
        <v>0</v>
      </c>
      <c r="O1774" s="8" t="s">
        <v>791</v>
      </c>
      <c r="P1774" s="8">
        <v>98</v>
      </c>
      <c r="Q1774" s="8" t="s">
        <v>2165</v>
      </c>
      <c r="R1774" s="8" t="s">
        <v>2166</v>
      </c>
      <c r="S1774" s="8">
        <v>135</v>
      </c>
    </row>
    <row r="1775" spans="1:19" ht="25" customHeight="1">
      <c r="A1775" s="12">
        <v>118</v>
      </c>
      <c r="B1775" s="8" t="s">
        <v>2067</v>
      </c>
      <c r="C1775" s="8" t="s">
        <v>716</v>
      </c>
      <c r="D1775" s="8" t="s">
        <v>465</v>
      </c>
      <c r="E1775" s="8" t="s">
        <v>69</v>
      </c>
      <c r="F1775" s="8">
        <v>1</v>
      </c>
      <c r="G1775" s="11">
        <v>0.2</v>
      </c>
      <c r="H1775" s="8">
        <v>1</v>
      </c>
      <c r="I1775" s="8">
        <v>1</v>
      </c>
      <c r="J1775" s="8">
        <v>0</v>
      </c>
      <c r="K1775" s="8">
        <v>0</v>
      </c>
      <c r="L1775" s="8">
        <v>1</v>
      </c>
      <c r="M1775" s="8">
        <v>1</v>
      </c>
      <c r="N1775" s="8">
        <v>0</v>
      </c>
      <c r="O1775" s="8" t="s">
        <v>791</v>
      </c>
      <c r="P1775" s="8">
        <v>99</v>
      </c>
      <c r="Q1775" s="8" t="s">
        <v>2165</v>
      </c>
      <c r="R1775" s="8" t="s">
        <v>2166</v>
      </c>
      <c r="S1775" s="8">
        <v>136</v>
      </c>
    </row>
    <row r="1776" spans="1:19" ht="25" customHeight="1">
      <c r="A1776" s="12">
        <v>119</v>
      </c>
      <c r="B1776" s="8" t="s">
        <v>2067</v>
      </c>
      <c r="C1776" s="8" t="s">
        <v>716</v>
      </c>
      <c r="D1776" s="8" t="s">
        <v>465</v>
      </c>
      <c r="E1776" s="8" t="s">
        <v>27</v>
      </c>
      <c r="F1776" s="8">
        <v>1</v>
      </c>
      <c r="G1776" s="11">
        <v>0.2</v>
      </c>
      <c r="H1776" s="8">
        <v>1</v>
      </c>
      <c r="I1776" s="8">
        <v>1</v>
      </c>
      <c r="J1776" s="8">
        <v>0</v>
      </c>
      <c r="K1776" s="8">
        <v>0</v>
      </c>
      <c r="L1776" s="8">
        <v>3</v>
      </c>
      <c r="M1776" s="8">
        <v>1</v>
      </c>
      <c r="N1776" s="8">
        <v>0</v>
      </c>
      <c r="O1776" s="8" t="s">
        <v>791</v>
      </c>
      <c r="P1776" s="8">
        <v>97</v>
      </c>
      <c r="Q1776" s="8" t="s">
        <v>2165</v>
      </c>
      <c r="R1776" s="8" t="s">
        <v>2166</v>
      </c>
      <c r="S1776" s="8">
        <v>137</v>
      </c>
    </row>
    <row r="1777" spans="1:19" ht="25" customHeight="1">
      <c r="A1777" s="12">
        <v>120</v>
      </c>
      <c r="B1777" s="8" t="s">
        <v>2067</v>
      </c>
      <c r="C1777" s="8" t="s">
        <v>706</v>
      </c>
      <c r="D1777" s="8" t="s">
        <v>428</v>
      </c>
      <c r="E1777" s="8" t="s">
        <v>27</v>
      </c>
      <c r="F1777" s="8">
        <v>1</v>
      </c>
      <c r="G1777" s="11">
        <v>0.1666666666666667</v>
      </c>
      <c r="H1777" s="8">
        <v>0</v>
      </c>
      <c r="I1777" s="8">
        <v>0</v>
      </c>
      <c r="J1777" s="8">
        <v>0</v>
      </c>
      <c r="K1777" s="8">
        <v>0</v>
      </c>
      <c r="L1777" s="8">
        <v>1</v>
      </c>
      <c r="M1777" s="8">
        <v>0</v>
      </c>
      <c r="N1777" s="8">
        <v>0</v>
      </c>
      <c r="O1777" s="8" t="s">
        <v>791</v>
      </c>
      <c r="P1777" s="8">
        <v>29</v>
      </c>
      <c r="Q1777" s="8" t="s">
        <v>2165</v>
      </c>
      <c r="R1777" s="8" t="s">
        <v>2166</v>
      </c>
      <c r="S1777" s="8">
        <v>138</v>
      </c>
    </row>
    <row r="1778" spans="1:19" ht="25" customHeight="1">
      <c r="A1778" s="12">
        <v>121</v>
      </c>
      <c r="B1778" s="8" t="s">
        <v>2067</v>
      </c>
      <c r="C1778" s="8" t="s">
        <v>706</v>
      </c>
      <c r="D1778" s="8" t="s">
        <v>468</v>
      </c>
      <c r="E1778" s="8" t="s">
        <v>46</v>
      </c>
      <c r="F1778" s="8">
        <v>1</v>
      </c>
      <c r="G1778" s="11">
        <v>0.3333333333333333</v>
      </c>
      <c r="H1778" s="8">
        <v>1</v>
      </c>
      <c r="I1778" s="8">
        <v>1</v>
      </c>
      <c r="J1778" s="8">
        <v>0</v>
      </c>
      <c r="K1778" s="8">
        <v>0</v>
      </c>
      <c r="L1778" s="8">
        <v>0</v>
      </c>
      <c r="M1778" s="8">
        <v>0</v>
      </c>
      <c r="N1778" s="8">
        <v>1</v>
      </c>
      <c r="O1778" s="8" t="s">
        <v>791</v>
      </c>
      <c r="P1778" s="8">
        <v>100</v>
      </c>
      <c r="Q1778" s="8" t="s">
        <v>2165</v>
      </c>
      <c r="R1778" s="8" t="s">
        <v>2166</v>
      </c>
      <c r="S1778" s="8">
        <v>139</v>
      </c>
    </row>
    <row r="1779" spans="1:19" ht="25" customHeight="1">
      <c r="A1779" s="12">
        <v>122</v>
      </c>
      <c r="B1779" s="8" t="s">
        <v>2067</v>
      </c>
      <c r="C1779" s="8" t="s">
        <v>720</v>
      </c>
      <c r="D1779" s="8" t="s">
        <v>449</v>
      </c>
      <c r="E1779" s="8" t="s">
        <v>46</v>
      </c>
      <c r="F1779" s="8">
        <v>1</v>
      </c>
      <c r="G1779" s="11">
        <v>0.25</v>
      </c>
      <c r="H1779" s="8">
        <v>1</v>
      </c>
      <c r="I1779" s="8">
        <v>1</v>
      </c>
      <c r="J1779" s="8">
        <v>0</v>
      </c>
      <c r="K1779" s="8">
        <v>0</v>
      </c>
      <c r="L1779" s="8">
        <v>-2</v>
      </c>
      <c r="M1779" s="8">
        <v>0</v>
      </c>
      <c r="N1779" s="8">
        <v>1</v>
      </c>
      <c r="O1779" s="8" t="s">
        <v>791</v>
      </c>
      <c r="P1779" s="8">
        <v>100</v>
      </c>
      <c r="Q1779" s="8" t="s">
        <v>2165</v>
      </c>
      <c r="R1779" s="8" t="s">
        <v>2166</v>
      </c>
      <c r="S1779" s="8">
        <v>140</v>
      </c>
    </row>
    <row r="1780" spans="1:19" ht="25" customHeight="1">
      <c r="A1780" s="12">
        <v>123</v>
      </c>
      <c r="B1780" s="8" t="s">
        <v>2067</v>
      </c>
      <c r="C1780" s="8" t="s">
        <v>716</v>
      </c>
      <c r="D1780" s="8" t="s">
        <v>446</v>
      </c>
      <c r="E1780" s="8" t="s">
        <v>49</v>
      </c>
      <c r="F1780" s="8">
        <v>1</v>
      </c>
      <c r="G1780" s="11">
        <v>0.3333333333333333</v>
      </c>
      <c r="H1780" s="8">
        <v>1</v>
      </c>
      <c r="I1780" s="8">
        <v>1</v>
      </c>
      <c r="J1780" s="8">
        <v>0</v>
      </c>
      <c r="K1780" s="8">
        <v>0</v>
      </c>
      <c r="L1780" s="8">
        <v>0</v>
      </c>
      <c r="M1780" s="8">
        <v>0</v>
      </c>
      <c r="N1780" s="8">
        <v>1</v>
      </c>
      <c r="O1780" s="8" t="s">
        <v>791</v>
      </c>
      <c r="P1780" s="8">
        <v>100</v>
      </c>
      <c r="Q1780" s="8" t="s">
        <v>2165</v>
      </c>
      <c r="R1780" s="8" t="s">
        <v>2166</v>
      </c>
      <c r="S1780" s="8">
        <v>141</v>
      </c>
    </row>
    <row r="1781" spans="1:19" ht="25" customHeight="1">
      <c r="A1781" s="12">
        <v>124</v>
      </c>
      <c r="B1781" s="8" t="s">
        <v>2067</v>
      </c>
      <c r="C1781" s="8" t="s">
        <v>706</v>
      </c>
      <c r="D1781" s="8" t="s">
        <v>487</v>
      </c>
      <c r="E1781" s="8" t="s">
        <v>30</v>
      </c>
      <c r="F1781" s="8">
        <v>1</v>
      </c>
      <c r="G1781" s="8">
        <v>1</v>
      </c>
      <c r="H1781" s="8">
        <v>0</v>
      </c>
      <c r="I1781" s="8">
        <v>0</v>
      </c>
      <c r="J1781" s="8">
        <v>0</v>
      </c>
      <c r="K1781" s="8">
        <v>0</v>
      </c>
      <c r="L1781" s="8">
        <v>1</v>
      </c>
      <c r="M1781" s="8">
        <v>0</v>
      </c>
      <c r="N1781" s="8">
        <v>0</v>
      </c>
      <c r="O1781" s="8" t="s">
        <v>791</v>
      </c>
      <c r="P1781" s="8">
        <v>29</v>
      </c>
      <c r="Q1781" s="8" t="s">
        <v>2165</v>
      </c>
      <c r="R1781" s="8" t="s">
        <v>2166</v>
      </c>
      <c r="S1781" s="8">
        <v>143</v>
      </c>
    </row>
    <row r="1782" spans="1:19" ht="25" customHeight="1">
      <c r="A1782" s="12">
        <v>125</v>
      </c>
      <c r="B1782" s="8" t="s">
        <v>2067</v>
      </c>
      <c r="C1782" s="8" t="s">
        <v>706</v>
      </c>
      <c r="D1782" s="8" t="s">
        <v>428</v>
      </c>
      <c r="E1782" s="8" t="s">
        <v>30</v>
      </c>
      <c r="F1782" s="8">
        <v>1</v>
      </c>
      <c r="G1782" s="11">
        <v>0.1666666666666667</v>
      </c>
      <c r="H1782" s="8">
        <v>1</v>
      </c>
      <c r="I1782" s="8">
        <v>1</v>
      </c>
      <c r="J1782" s="8">
        <v>0</v>
      </c>
      <c r="K1782" s="8">
        <v>0</v>
      </c>
      <c r="L1782" s="8">
        <v>2</v>
      </c>
      <c r="M1782" s="8">
        <v>1</v>
      </c>
      <c r="N1782" s="8">
        <v>0</v>
      </c>
      <c r="O1782" s="8" t="s">
        <v>791</v>
      </c>
      <c r="P1782" s="8">
        <v>98</v>
      </c>
      <c r="Q1782" s="8" t="s">
        <v>2165</v>
      </c>
      <c r="R1782" s="8" t="s">
        <v>2166</v>
      </c>
      <c r="S1782" s="8">
        <v>144</v>
      </c>
    </row>
    <row r="1783" spans="1:19" ht="25" customHeight="1">
      <c r="A1783" s="12">
        <v>126</v>
      </c>
      <c r="B1783" s="8" t="s">
        <v>2067</v>
      </c>
      <c r="C1783" s="8" t="s">
        <v>711</v>
      </c>
      <c r="D1783" s="8" t="s">
        <v>465</v>
      </c>
      <c r="E1783" s="8" t="s">
        <v>80</v>
      </c>
      <c r="F1783" s="8">
        <v>1</v>
      </c>
      <c r="G1783" s="11">
        <v>0.2</v>
      </c>
      <c r="H1783" s="8">
        <v>0</v>
      </c>
      <c r="I1783" s="8">
        <v>0</v>
      </c>
      <c r="J1783" s="8">
        <v>0</v>
      </c>
      <c r="K1783" s="8">
        <v>0</v>
      </c>
      <c r="L1783" s="8">
        <v>8</v>
      </c>
      <c r="M1783" s="8">
        <v>1</v>
      </c>
      <c r="N1783" s="8">
        <v>0</v>
      </c>
      <c r="O1783" s="8" t="s">
        <v>791</v>
      </c>
      <c r="P1783" s="8">
        <v>22</v>
      </c>
      <c r="Q1783" s="8" t="s">
        <v>2165</v>
      </c>
      <c r="R1783" s="8" t="s">
        <v>2166</v>
      </c>
      <c r="S1783" s="8">
        <v>145</v>
      </c>
    </row>
    <row r="1784" spans="1:19" ht="25" customHeight="1">
      <c r="A1784" s="12">
        <v>127</v>
      </c>
      <c r="B1784" s="8" t="s">
        <v>2067</v>
      </c>
      <c r="C1784" s="8" t="s">
        <v>720</v>
      </c>
      <c r="D1784" s="8" t="s">
        <v>449</v>
      </c>
      <c r="E1784" s="8" t="s">
        <v>80</v>
      </c>
      <c r="F1784" s="8">
        <v>1</v>
      </c>
      <c r="G1784" s="11">
        <v>0.25</v>
      </c>
      <c r="H1784" s="8">
        <v>1</v>
      </c>
      <c r="I1784" s="8">
        <v>1</v>
      </c>
      <c r="J1784" s="8">
        <v>0</v>
      </c>
      <c r="K1784" s="8">
        <v>0</v>
      </c>
      <c r="L1784" s="8">
        <v>3</v>
      </c>
      <c r="M1784" s="8">
        <v>0</v>
      </c>
      <c r="N1784" s="8">
        <v>1</v>
      </c>
      <c r="O1784" s="8" t="s">
        <v>791</v>
      </c>
      <c r="P1784" s="8">
        <v>97</v>
      </c>
      <c r="Q1784" s="8" t="s">
        <v>2165</v>
      </c>
      <c r="R1784" s="8" t="s">
        <v>2166</v>
      </c>
      <c r="S1784" s="8">
        <v>146</v>
      </c>
    </row>
    <row r="1785" spans="1:19" ht="25" customHeight="1">
      <c r="A1785" s="12">
        <v>128</v>
      </c>
      <c r="B1785" s="8" t="s">
        <v>2067</v>
      </c>
      <c r="C1785" s="8" t="s">
        <v>711</v>
      </c>
      <c r="D1785" s="8" t="s">
        <v>477</v>
      </c>
      <c r="E1785" s="8" t="s">
        <v>52</v>
      </c>
      <c r="F1785" s="8">
        <v>2</v>
      </c>
      <c r="G1785" s="8">
        <v>1</v>
      </c>
      <c r="H1785" s="8">
        <v>1</v>
      </c>
      <c r="I1785" s="11">
        <v>0.5</v>
      </c>
      <c r="J1785" s="8">
        <v>0</v>
      </c>
      <c r="K1785" s="8">
        <v>0</v>
      </c>
      <c r="L1785" s="8">
        <v>3</v>
      </c>
      <c r="M1785" s="8">
        <v>1</v>
      </c>
      <c r="N1785" s="8">
        <v>0</v>
      </c>
      <c r="O1785" s="8" t="s">
        <v>791</v>
      </c>
      <c r="P1785" s="8">
        <v>62</v>
      </c>
      <c r="Q1785" s="8" t="s">
        <v>2165</v>
      </c>
      <c r="R1785" s="8" t="s">
        <v>2166</v>
      </c>
      <c r="S1785" s="8">
        <v>147</v>
      </c>
    </row>
    <row r="1786" spans="1:19" ht="25" customHeight="1">
      <c r="A1786" s="12">
        <v>129</v>
      </c>
      <c r="B1786" s="8" t="s">
        <v>2067</v>
      </c>
      <c r="C1786" s="8" t="s">
        <v>716</v>
      </c>
      <c r="D1786" s="8" t="s">
        <v>471</v>
      </c>
      <c r="E1786" s="8" t="s">
        <v>53</v>
      </c>
      <c r="F1786" s="8">
        <v>1</v>
      </c>
      <c r="G1786" s="11">
        <v>0.25</v>
      </c>
      <c r="H1786" s="8">
        <v>1</v>
      </c>
      <c r="I1786" s="8">
        <v>1</v>
      </c>
      <c r="J1786" s="8">
        <v>0</v>
      </c>
      <c r="K1786" s="8">
        <v>0</v>
      </c>
      <c r="L1786" s="8">
        <v>6</v>
      </c>
      <c r="M1786" s="8">
        <v>0</v>
      </c>
      <c r="N1786" s="8">
        <v>1</v>
      </c>
      <c r="O1786" s="8" t="s">
        <v>791</v>
      </c>
      <c r="P1786" s="8">
        <v>94</v>
      </c>
      <c r="Q1786" s="8" t="s">
        <v>2165</v>
      </c>
      <c r="R1786" s="8" t="s">
        <v>2166</v>
      </c>
      <c r="S1786" s="8">
        <v>149</v>
      </c>
    </row>
    <row r="1787" spans="1:19" ht="25" customHeight="1">
      <c r="A1787" s="12">
        <v>130</v>
      </c>
      <c r="B1787" s="8" t="s">
        <v>2067</v>
      </c>
      <c r="C1787" s="8" t="s">
        <v>711</v>
      </c>
      <c r="D1787" s="8" t="s">
        <v>428</v>
      </c>
      <c r="E1787" s="8" t="s">
        <v>53</v>
      </c>
      <c r="F1787" s="8">
        <v>1</v>
      </c>
      <c r="G1787" s="11">
        <v>0.25</v>
      </c>
      <c r="H1787" s="8">
        <v>1</v>
      </c>
      <c r="I1787" s="8">
        <v>1</v>
      </c>
      <c r="J1787" s="8">
        <v>0</v>
      </c>
      <c r="K1787" s="8">
        <v>0</v>
      </c>
      <c r="L1787" s="8">
        <v>2</v>
      </c>
      <c r="M1787" s="8">
        <v>1</v>
      </c>
      <c r="N1787" s="8">
        <v>0</v>
      </c>
      <c r="O1787" s="8" t="s">
        <v>791</v>
      </c>
      <c r="P1787" s="8">
        <v>98</v>
      </c>
      <c r="Q1787" s="8" t="s">
        <v>2165</v>
      </c>
      <c r="R1787" s="8" t="s">
        <v>2166</v>
      </c>
      <c r="S1787" s="8">
        <v>150</v>
      </c>
    </row>
    <row r="1788" spans="1:19" ht="25" customHeight="1">
      <c r="A1788" s="12">
        <v>131</v>
      </c>
      <c r="B1788" s="8" t="s">
        <v>2067</v>
      </c>
      <c r="C1788" s="8" t="s">
        <v>716</v>
      </c>
      <c r="D1788" s="8" t="s">
        <v>432</v>
      </c>
      <c r="E1788" s="8" t="s">
        <v>35</v>
      </c>
      <c r="F1788" s="8">
        <v>2</v>
      </c>
      <c r="G1788" s="11">
        <v>0.6666666666666666</v>
      </c>
      <c r="H1788" s="8">
        <v>0</v>
      </c>
      <c r="I1788" s="8">
        <v>0</v>
      </c>
      <c r="J1788" s="8">
        <v>0</v>
      </c>
      <c r="K1788" s="8">
        <v>0</v>
      </c>
      <c r="L1788" s="11">
        <v>7.5</v>
      </c>
      <c r="M1788" s="11">
        <v>0.5</v>
      </c>
      <c r="N1788" s="8">
        <v>0</v>
      </c>
      <c r="O1788" s="8" t="s">
        <v>791</v>
      </c>
      <c r="P1788" s="11">
        <v>22.5</v>
      </c>
      <c r="Q1788" s="8" t="s">
        <v>2165</v>
      </c>
      <c r="R1788" s="8" t="s">
        <v>2166</v>
      </c>
      <c r="S1788" s="8">
        <v>151</v>
      </c>
    </row>
    <row r="1789" spans="1:19" ht="25" customHeight="1">
      <c r="A1789" s="12">
        <v>132</v>
      </c>
      <c r="B1789" s="8" t="s">
        <v>2067</v>
      </c>
      <c r="C1789" s="8" t="s">
        <v>711</v>
      </c>
      <c r="D1789" s="8" t="s">
        <v>449</v>
      </c>
      <c r="E1789" s="8" t="s">
        <v>84</v>
      </c>
      <c r="F1789" s="8">
        <v>1</v>
      </c>
      <c r="G1789" s="11">
        <v>0.2</v>
      </c>
      <c r="H1789" s="8">
        <v>0</v>
      </c>
      <c r="I1789" s="8">
        <v>0</v>
      </c>
      <c r="J1789" s="8">
        <v>1</v>
      </c>
      <c r="K1789" s="8">
        <v>1</v>
      </c>
      <c r="L1789" s="8">
        <v>42</v>
      </c>
      <c r="M1789" s="8">
        <v>0</v>
      </c>
      <c r="N1789" s="8">
        <v>1</v>
      </c>
      <c r="O1789" s="8" t="s">
        <v>791</v>
      </c>
      <c r="P1789" s="8">
        <v>0</v>
      </c>
      <c r="Q1789" s="8" t="s">
        <v>2161</v>
      </c>
      <c r="R1789" s="8" t="s">
        <v>2162</v>
      </c>
      <c r="S1789" s="8">
        <v>153</v>
      </c>
    </row>
    <row r="1790" spans="1:19" ht="25" customHeight="1">
      <c r="A1790" s="12">
        <v>133</v>
      </c>
      <c r="B1790" s="8" t="s">
        <v>2067</v>
      </c>
      <c r="C1790" s="8" t="s">
        <v>716</v>
      </c>
      <c r="D1790" s="8" t="s">
        <v>432</v>
      </c>
      <c r="E1790" s="8" t="s">
        <v>84</v>
      </c>
      <c r="F1790" s="8">
        <v>1</v>
      </c>
      <c r="G1790" s="11">
        <v>0.3333333333333333</v>
      </c>
      <c r="H1790" s="8">
        <v>1</v>
      </c>
      <c r="I1790" s="8">
        <v>1</v>
      </c>
      <c r="J1790" s="8">
        <v>0</v>
      </c>
      <c r="K1790" s="8">
        <v>0</v>
      </c>
      <c r="L1790" s="8">
        <v>3</v>
      </c>
      <c r="M1790" s="8">
        <v>1</v>
      </c>
      <c r="N1790" s="8">
        <v>0</v>
      </c>
      <c r="O1790" s="8" t="s">
        <v>791</v>
      </c>
      <c r="P1790" s="8">
        <v>97</v>
      </c>
      <c r="Q1790" s="8" t="s">
        <v>2165</v>
      </c>
      <c r="R1790" s="8" t="s">
        <v>2166</v>
      </c>
      <c r="S1790" s="8">
        <v>154</v>
      </c>
    </row>
    <row r="1791" spans="1:19" ht="25" customHeight="1">
      <c r="A1791" s="12">
        <v>134</v>
      </c>
      <c r="B1791" s="8" t="s">
        <v>2067</v>
      </c>
      <c r="C1791" s="8" t="s">
        <v>716</v>
      </c>
      <c r="D1791" s="8" t="s">
        <v>428</v>
      </c>
      <c r="E1791" s="8" t="s">
        <v>65</v>
      </c>
      <c r="F1791" s="8">
        <v>2</v>
      </c>
      <c r="G1791" s="11">
        <v>0.2222222222222222</v>
      </c>
      <c r="H1791" s="8">
        <v>1</v>
      </c>
      <c r="I1791" s="11">
        <v>0.5</v>
      </c>
      <c r="J1791" s="8">
        <v>0</v>
      </c>
      <c r="K1791" s="8">
        <v>0</v>
      </c>
      <c r="L1791" s="8">
        <v>2</v>
      </c>
      <c r="M1791" s="8">
        <v>1</v>
      </c>
      <c r="N1791" s="8">
        <v>0</v>
      </c>
      <c r="O1791" s="8" t="s">
        <v>791</v>
      </c>
      <c r="P1791" s="8">
        <v>63</v>
      </c>
      <c r="Q1791" s="8" t="s">
        <v>2165</v>
      </c>
      <c r="R1791" s="8" t="s">
        <v>2166</v>
      </c>
      <c r="S1791" s="8">
        <v>155</v>
      </c>
    </row>
    <row r="1792" spans="1:19" ht="25" customHeight="1">
      <c r="A1792" s="12">
        <v>135</v>
      </c>
      <c r="B1792" s="8" t="s">
        <v>2067</v>
      </c>
      <c r="C1792" s="8" t="s">
        <v>720</v>
      </c>
      <c r="D1792" s="8" t="s">
        <v>471</v>
      </c>
      <c r="E1792" s="8" t="s">
        <v>77</v>
      </c>
      <c r="F1792" s="8">
        <v>1</v>
      </c>
      <c r="G1792" s="11">
        <v>0.5</v>
      </c>
      <c r="H1792" s="8">
        <v>1</v>
      </c>
      <c r="I1792" s="8">
        <v>1</v>
      </c>
      <c r="J1792" s="8">
        <v>0</v>
      </c>
      <c r="K1792" s="8">
        <v>0</v>
      </c>
      <c r="L1792" s="8">
        <v>5</v>
      </c>
      <c r="M1792" s="8">
        <v>0</v>
      </c>
      <c r="N1792" s="8">
        <v>1</v>
      </c>
      <c r="O1792" s="8" t="s">
        <v>791</v>
      </c>
      <c r="P1792" s="8">
        <v>95</v>
      </c>
      <c r="Q1792" s="8" t="s">
        <v>2165</v>
      </c>
      <c r="R1792" s="8" t="s">
        <v>2166</v>
      </c>
      <c r="S1792" s="8">
        <v>157</v>
      </c>
    </row>
    <row r="1793" spans="1:19" ht="25" customHeight="1">
      <c r="A1793" s="12">
        <v>136</v>
      </c>
      <c r="B1793" s="8" t="s">
        <v>2067</v>
      </c>
      <c r="C1793" s="8" t="s">
        <v>711</v>
      </c>
      <c r="D1793" s="8" t="s">
        <v>465</v>
      </c>
      <c r="E1793" s="8" t="s">
        <v>32</v>
      </c>
      <c r="F1793" s="8">
        <v>1</v>
      </c>
      <c r="G1793" s="11">
        <v>0.2</v>
      </c>
      <c r="H1793" s="8">
        <v>0</v>
      </c>
      <c r="I1793" s="8">
        <v>0</v>
      </c>
      <c r="J1793" s="8">
        <v>1</v>
      </c>
      <c r="K1793" s="8">
        <v>1</v>
      </c>
      <c r="L1793" s="8">
        <v>16</v>
      </c>
      <c r="M1793" s="8">
        <v>1</v>
      </c>
      <c r="N1793" s="8">
        <v>0</v>
      </c>
      <c r="O1793" s="8" t="s">
        <v>791</v>
      </c>
      <c r="P1793" s="8">
        <v>0</v>
      </c>
      <c r="Q1793" s="8" t="s">
        <v>2161</v>
      </c>
      <c r="R1793" s="8" t="s">
        <v>2162</v>
      </c>
      <c r="S1793" s="8">
        <v>158</v>
      </c>
    </row>
    <row r="1794" spans="1:19" ht="25" customHeight="1">
      <c r="A1794" s="12">
        <v>137</v>
      </c>
      <c r="B1794" s="8" t="s">
        <v>2067</v>
      </c>
      <c r="C1794" s="8" t="s">
        <v>716</v>
      </c>
      <c r="D1794" s="8" t="s">
        <v>428</v>
      </c>
      <c r="E1794" s="8" t="s">
        <v>87</v>
      </c>
      <c r="F1794" s="8">
        <v>1</v>
      </c>
      <c r="G1794" s="11">
        <v>0.1111111111111111</v>
      </c>
      <c r="H1794" s="8">
        <v>0</v>
      </c>
      <c r="I1794" s="8">
        <v>0</v>
      </c>
      <c r="J1794" s="8">
        <v>0</v>
      </c>
      <c r="K1794" s="8">
        <v>0</v>
      </c>
      <c r="L1794" s="8">
        <v>5</v>
      </c>
      <c r="M1794" s="8">
        <v>1</v>
      </c>
      <c r="N1794" s="8">
        <v>0</v>
      </c>
      <c r="O1794" s="8" t="s">
        <v>791</v>
      </c>
      <c r="P1794" s="8">
        <v>25</v>
      </c>
      <c r="Q1794" s="8" t="s">
        <v>2165</v>
      </c>
      <c r="R1794" s="8" t="s">
        <v>2166</v>
      </c>
      <c r="S1794" s="8">
        <v>159</v>
      </c>
    </row>
    <row r="1795" spans="1:19" ht="25" customHeight="1">
      <c r="A1795" s="12">
        <v>138</v>
      </c>
      <c r="B1795" s="8" t="s">
        <v>2067</v>
      </c>
      <c r="C1795" s="8" t="s">
        <v>716</v>
      </c>
      <c r="D1795" s="8" t="s">
        <v>428</v>
      </c>
      <c r="E1795" s="8" t="s">
        <v>88</v>
      </c>
      <c r="F1795" s="8">
        <v>1</v>
      </c>
      <c r="G1795" s="11">
        <v>0.1111111111111111</v>
      </c>
      <c r="H1795" s="8">
        <v>1</v>
      </c>
      <c r="I1795" s="8">
        <v>1</v>
      </c>
      <c r="J1795" s="8">
        <v>0</v>
      </c>
      <c r="K1795" s="8">
        <v>0</v>
      </c>
      <c r="L1795" s="8">
        <v>3</v>
      </c>
      <c r="M1795" s="8">
        <v>1</v>
      </c>
      <c r="N1795" s="8">
        <v>0</v>
      </c>
      <c r="O1795" s="8" t="s">
        <v>791</v>
      </c>
      <c r="P1795" s="8">
        <v>97</v>
      </c>
      <c r="Q1795" s="8" t="s">
        <v>2165</v>
      </c>
      <c r="R1795" s="8" t="s">
        <v>2166</v>
      </c>
      <c r="S1795" s="8">
        <v>160</v>
      </c>
    </row>
    <row r="1796" spans="1:19" ht="25" customHeight="1">
      <c r="A1796" s="12">
        <v>139</v>
      </c>
      <c r="B1796" s="8" t="s">
        <v>2067</v>
      </c>
      <c r="C1796" s="8" t="s">
        <v>720</v>
      </c>
      <c r="D1796" s="8" t="s">
        <v>465</v>
      </c>
      <c r="E1796" s="8" t="s">
        <v>55</v>
      </c>
      <c r="F1796" s="8">
        <v>1</v>
      </c>
      <c r="G1796" s="8">
        <v>1</v>
      </c>
      <c r="H1796" s="8">
        <v>1</v>
      </c>
      <c r="I1796" s="8">
        <v>1</v>
      </c>
      <c r="J1796" s="8">
        <v>0</v>
      </c>
      <c r="K1796" s="8">
        <v>0</v>
      </c>
      <c r="L1796" s="8">
        <v>3</v>
      </c>
      <c r="M1796" s="8">
        <v>1</v>
      </c>
      <c r="N1796" s="8">
        <v>0</v>
      </c>
      <c r="O1796" s="8" t="s">
        <v>791</v>
      </c>
      <c r="P1796" s="8">
        <v>97</v>
      </c>
      <c r="Q1796" s="8" t="s">
        <v>2165</v>
      </c>
      <c r="R1796" s="8" t="s">
        <v>2166</v>
      </c>
      <c r="S1796" s="8">
        <v>161</v>
      </c>
    </row>
    <row r="1797" spans="1:19" ht="25" customHeight="1">
      <c r="A1797" s="12">
        <v>140</v>
      </c>
      <c r="B1797" s="8" t="s">
        <v>2067</v>
      </c>
      <c r="C1797" s="8" t="s">
        <v>706</v>
      </c>
      <c r="D1797" s="8" t="s">
        <v>449</v>
      </c>
      <c r="E1797" s="8" t="s">
        <v>72</v>
      </c>
      <c r="F1797" s="8">
        <v>1</v>
      </c>
      <c r="G1797" s="8">
        <v>1</v>
      </c>
      <c r="H1797" s="8">
        <v>0</v>
      </c>
      <c r="I1797" s="8">
        <v>0</v>
      </c>
      <c r="J1797" s="8">
        <v>0</v>
      </c>
      <c r="K1797" s="8">
        <v>0</v>
      </c>
      <c r="L1797" s="8">
        <v>9</v>
      </c>
      <c r="M1797" s="8">
        <v>0</v>
      </c>
      <c r="N1797" s="8">
        <v>1</v>
      </c>
      <c r="O1797" s="8" t="s">
        <v>791</v>
      </c>
      <c r="P1797" s="8">
        <v>21</v>
      </c>
      <c r="Q1797" s="8" t="s">
        <v>2165</v>
      </c>
      <c r="R1797" s="8" t="s">
        <v>2166</v>
      </c>
      <c r="S1797" s="8">
        <v>162</v>
      </c>
    </row>
    <row r="1798" spans="1:19" ht="25" customHeight="1">
      <c r="A1798" s="12">
        <v>141</v>
      </c>
      <c r="B1798" s="8" t="s">
        <v>2067</v>
      </c>
      <c r="C1798" s="8" t="s">
        <v>716</v>
      </c>
      <c r="D1798" s="8" t="s">
        <v>480</v>
      </c>
      <c r="E1798" s="8" t="s">
        <v>89</v>
      </c>
      <c r="F1798" s="8">
        <v>1</v>
      </c>
      <c r="G1798" s="8">
        <v>1</v>
      </c>
      <c r="H1798" s="8">
        <v>1</v>
      </c>
      <c r="I1798" s="8">
        <v>1</v>
      </c>
      <c r="J1798" s="8">
        <v>0</v>
      </c>
      <c r="K1798" s="8">
        <v>0</v>
      </c>
      <c r="L1798" s="8">
        <v>3</v>
      </c>
      <c r="M1798" s="8">
        <v>0</v>
      </c>
      <c r="N1798" s="8">
        <v>1</v>
      </c>
      <c r="O1798" s="8" t="s">
        <v>791</v>
      </c>
      <c r="P1798" s="8">
        <v>97</v>
      </c>
      <c r="Q1798" s="8" t="s">
        <v>2165</v>
      </c>
      <c r="R1798" s="8" t="s">
        <v>2166</v>
      </c>
      <c r="S1798" s="8">
        <v>163</v>
      </c>
    </row>
    <row r="1799" spans="1:19" ht="25" customHeight="1">
      <c r="A1799" s="12">
        <v>142</v>
      </c>
      <c r="B1799" s="8" t="s">
        <v>2067</v>
      </c>
      <c r="C1799" s="8" t="s">
        <v>716</v>
      </c>
      <c r="D1799" s="8" t="s">
        <v>446</v>
      </c>
      <c r="E1799" s="8" t="s">
        <v>90</v>
      </c>
      <c r="F1799" s="8">
        <v>1</v>
      </c>
      <c r="G1799" s="11">
        <v>0.3333333333333333</v>
      </c>
      <c r="H1799" s="8">
        <v>1</v>
      </c>
      <c r="I1799" s="8">
        <v>1</v>
      </c>
      <c r="J1799" s="8">
        <v>0</v>
      </c>
      <c r="K1799" s="8">
        <v>0</v>
      </c>
      <c r="L1799" s="8">
        <v>0</v>
      </c>
      <c r="M1799" s="8">
        <v>0</v>
      </c>
      <c r="N1799" s="8">
        <v>1</v>
      </c>
      <c r="O1799" s="8" t="s">
        <v>791</v>
      </c>
      <c r="P1799" s="8">
        <v>100</v>
      </c>
      <c r="Q1799" s="8" t="s">
        <v>2165</v>
      </c>
      <c r="R1799" s="8" t="s">
        <v>2166</v>
      </c>
      <c r="S1799" s="8">
        <v>164</v>
      </c>
    </row>
    <row r="1800" spans="1:19" ht="25" customHeight="1">
      <c r="A1800" s="12">
        <v>143</v>
      </c>
      <c r="B1800" s="8" t="s">
        <v>2067</v>
      </c>
      <c r="C1800" s="8" t="s">
        <v>720</v>
      </c>
      <c r="D1800" s="8" t="s">
        <v>471</v>
      </c>
      <c r="E1800" s="8" t="s">
        <v>64</v>
      </c>
      <c r="F1800" s="8">
        <v>1</v>
      </c>
      <c r="G1800" s="11">
        <v>0.5</v>
      </c>
      <c r="H1800" s="8">
        <v>1</v>
      </c>
      <c r="I1800" s="8">
        <v>1</v>
      </c>
      <c r="J1800" s="8">
        <v>0</v>
      </c>
      <c r="K1800" s="8">
        <v>0</v>
      </c>
      <c r="L1800" s="8">
        <v>5</v>
      </c>
      <c r="M1800" s="8">
        <v>0</v>
      </c>
      <c r="N1800" s="8">
        <v>1</v>
      </c>
      <c r="O1800" s="8" t="s">
        <v>791</v>
      </c>
      <c r="P1800" s="8">
        <v>95</v>
      </c>
      <c r="Q1800" s="8" t="s">
        <v>2165</v>
      </c>
      <c r="R1800" s="8" t="s">
        <v>2166</v>
      </c>
      <c r="S1800" s="8">
        <v>165</v>
      </c>
    </row>
    <row r="1801" spans="1:19" ht="25" customHeight="1">
      <c r="A1801" s="12">
        <v>144</v>
      </c>
      <c r="B1801" s="8" t="s">
        <v>2067</v>
      </c>
      <c r="C1801" s="8" t="s">
        <v>706</v>
      </c>
      <c r="D1801" s="8" t="s">
        <v>468</v>
      </c>
      <c r="E1801" s="8" t="s">
        <v>74</v>
      </c>
      <c r="F1801" s="8">
        <v>1</v>
      </c>
      <c r="G1801" s="11">
        <v>0.3333333333333333</v>
      </c>
      <c r="H1801" s="8">
        <v>1</v>
      </c>
      <c r="I1801" s="8">
        <v>1</v>
      </c>
      <c r="J1801" s="8">
        <v>0</v>
      </c>
      <c r="K1801" s="8">
        <v>0</v>
      </c>
      <c r="L1801" s="8">
        <v>-8</v>
      </c>
      <c r="M1801" s="8">
        <v>0</v>
      </c>
      <c r="N1801" s="8">
        <v>1</v>
      </c>
      <c r="O1801" s="8" t="s">
        <v>791</v>
      </c>
      <c r="P1801" s="8">
        <v>100</v>
      </c>
      <c r="Q1801" s="8" t="s">
        <v>2165</v>
      </c>
      <c r="R1801" s="8" t="s">
        <v>2166</v>
      </c>
      <c r="S1801" s="8">
        <v>166</v>
      </c>
    </row>
    <row r="1802" spans="1:19" ht="25" customHeight="1">
      <c r="A1802" s="12">
        <v>145</v>
      </c>
      <c r="B1802" s="8" t="s">
        <v>2069</v>
      </c>
      <c r="C1802" s="8" t="s">
        <v>720</v>
      </c>
      <c r="D1802" s="8" t="s">
        <v>446</v>
      </c>
      <c r="E1802" s="8" t="s">
        <v>101</v>
      </c>
      <c r="F1802" s="8">
        <v>1</v>
      </c>
      <c r="G1802" s="8">
        <v>1</v>
      </c>
      <c r="H1802" s="8">
        <v>1</v>
      </c>
      <c r="I1802" s="8">
        <v>1</v>
      </c>
      <c r="J1802" s="8">
        <v>0</v>
      </c>
      <c r="K1802" s="8">
        <v>0</v>
      </c>
      <c r="L1802" s="8">
        <v>5</v>
      </c>
      <c r="M1802" s="8">
        <v>0</v>
      </c>
      <c r="N1802" s="8">
        <v>1</v>
      </c>
      <c r="O1802" s="8" t="s">
        <v>791</v>
      </c>
      <c r="P1802" s="8">
        <v>95</v>
      </c>
      <c r="Q1802" s="8" t="s">
        <v>2165</v>
      </c>
      <c r="R1802" s="8" t="s">
        <v>2166</v>
      </c>
      <c r="S1802" s="8">
        <v>167</v>
      </c>
    </row>
    <row r="1803" spans="1:19" ht="25" customHeight="1">
      <c r="A1803" s="12">
        <v>146</v>
      </c>
      <c r="B1803" s="8" t="s">
        <v>2069</v>
      </c>
      <c r="C1803" s="8" t="s">
        <v>720</v>
      </c>
      <c r="D1803" s="8" t="s">
        <v>449</v>
      </c>
      <c r="E1803" s="8" t="s">
        <v>101</v>
      </c>
      <c r="F1803" s="8">
        <v>4</v>
      </c>
      <c r="G1803" s="11">
        <v>0.5</v>
      </c>
      <c r="H1803" s="8">
        <v>2</v>
      </c>
      <c r="I1803" s="11">
        <v>0.5</v>
      </c>
      <c r="J1803" s="8">
        <v>1</v>
      </c>
      <c r="K1803" s="11">
        <v>0.25</v>
      </c>
      <c r="L1803" s="8">
        <v>16</v>
      </c>
      <c r="M1803" s="8">
        <v>0</v>
      </c>
      <c r="N1803" s="8">
        <v>1</v>
      </c>
      <c r="O1803" s="8" t="s">
        <v>795</v>
      </c>
      <c r="P1803" s="8">
        <v>50</v>
      </c>
      <c r="Q1803" s="8" t="s">
        <v>2137</v>
      </c>
      <c r="R1803" s="8" t="s">
        <v>2151</v>
      </c>
      <c r="S1803" s="8">
        <v>168</v>
      </c>
    </row>
    <row r="1804" spans="1:19" ht="25" customHeight="1">
      <c r="A1804" s="12">
        <v>147</v>
      </c>
      <c r="B1804" s="8" t="s">
        <v>2069</v>
      </c>
      <c r="C1804" s="8" t="s">
        <v>720</v>
      </c>
      <c r="D1804" s="8" t="s">
        <v>561</v>
      </c>
      <c r="E1804" s="8" t="s">
        <v>101</v>
      </c>
      <c r="F1804" s="8">
        <v>1</v>
      </c>
      <c r="G1804" s="8">
        <v>1</v>
      </c>
      <c r="H1804" s="8">
        <v>1</v>
      </c>
      <c r="I1804" s="8">
        <v>1</v>
      </c>
      <c r="J1804" s="8">
        <v>0</v>
      </c>
      <c r="K1804" s="8">
        <v>0</v>
      </c>
      <c r="L1804" s="8">
        <v>4</v>
      </c>
      <c r="M1804" s="8">
        <v>0</v>
      </c>
      <c r="N1804" s="8">
        <v>1</v>
      </c>
      <c r="O1804" s="8" t="s">
        <v>791</v>
      </c>
      <c r="P1804" s="8">
        <v>96</v>
      </c>
      <c r="Q1804" s="8" t="s">
        <v>2165</v>
      </c>
      <c r="R1804" s="8" t="s">
        <v>2166</v>
      </c>
      <c r="S1804" s="8">
        <v>171</v>
      </c>
    </row>
    <row r="1805" spans="1:19" ht="25" customHeight="1">
      <c r="A1805" s="12">
        <v>148</v>
      </c>
      <c r="B1805" s="8" t="s">
        <v>2069</v>
      </c>
      <c r="C1805" s="8" t="s">
        <v>720</v>
      </c>
      <c r="D1805" s="8" t="s">
        <v>449</v>
      </c>
      <c r="E1805" s="8" t="s">
        <v>102</v>
      </c>
      <c r="F1805" s="8">
        <v>1</v>
      </c>
      <c r="G1805" s="11">
        <v>0.125</v>
      </c>
      <c r="H1805" s="8">
        <v>1</v>
      </c>
      <c r="I1805" s="8">
        <v>1</v>
      </c>
      <c r="J1805" s="8">
        <v>0</v>
      </c>
      <c r="K1805" s="8">
        <v>0</v>
      </c>
      <c r="L1805" s="8">
        <v>-5</v>
      </c>
      <c r="M1805" s="8">
        <v>0</v>
      </c>
      <c r="N1805" s="8">
        <v>1</v>
      </c>
      <c r="O1805" s="8" t="s">
        <v>791</v>
      </c>
      <c r="P1805" s="8">
        <v>100</v>
      </c>
      <c r="Q1805" s="8" t="s">
        <v>2165</v>
      </c>
      <c r="R1805" s="8" t="s">
        <v>2166</v>
      </c>
      <c r="S1805" s="8">
        <v>173</v>
      </c>
    </row>
    <row r="1806" spans="1:19" ht="25" customHeight="1">
      <c r="A1806" s="12">
        <v>149</v>
      </c>
      <c r="B1806" s="8" t="s">
        <v>2069</v>
      </c>
      <c r="C1806" s="8" t="s">
        <v>711</v>
      </c>
      <c r="D1806" s="8" t="s">
        <v>474</v>
      </c>
      <c r="E1806" s="8" t="s">
        <v>102</v>
      </c>
      <c r="F1806" s="8">
        <v>1</v>
      </c>
      <c r="G1806" s="8">
        <v>1</v>
      </c>
      <c r="H1806" s="8">
        <v>1</v>
      </c>
      <c r="I1806" s="8">
        <v>1</v>
      </c>
      <c r="J1806" s="8">
        <v>0</v>
      </c>
      <c r="K1806" s="8">
        <v>0</v>
      </c>
      <c r="L1806" s="8">
        <v>1</v>
      </c>
      <c r="M1806" s="8">
        <v>0</v>
      </c>
      <c r="N1806" s="8">
        <v>1</v>
      </c>
      <c r="O1806" s="8" t="s">
        <v>791</v>
      </c>
      <c r="P1806" s="8">
        <v>99</v>
      </c>
      <c r="Q1806" s="8" t="s">
        <v>2165</v>
      </c>
      <c r="R1806" s="8" t="s">
        <v>2166</v>
      </c>
      <c r="S1806" s="8">
        <v>174</v>
      </c>
    </row>
    <row r="1807" spans="1:19" ht="25" customHeight="1">
      <c r="A1807" s="12">
        <v>150</v>
      </c>
      <c r="B1807" s="8" t="s">
        <v>2069</v>
      </c>
      <c r="C1807" s="8" t="s">
        <v>716</v>
      </c>
      <c r="D1807" s="8" t="s">
        <v>428</v>
      </c>
      <c r="E1807" s="8" t="s">
        <v>102</v>
      </c>
      <c r="F1807" s="8">
        <v>1</v>
      </c>
      <c r="G1807" s="11">
        <v>0.3333333333333333</v>
      </c>
      <c r="H1807" s="8">
        <v>1</v>
      </c>
      <c r="I1807" s="8">
        <v>1</v>
      </c>
      <c r="J1807" s="8">
        <v>0</v>
      </c>
      <c r="K1807" s="8">
        <v>0</v>
      </c>
      <c r="L1807" s="8">
        <v>3</v>
      </c>
      <c r="M1807" s="8">
        <v>1</v>
      </c>
      <c r="N1807" s="8">
        <v>0</v>
      </c>
      <c r="O1807" s="8" t="s">
        <v>791</v>
      </c>
      <c r="P1807" s="8">
        <v>97</v>
      </c>
      <c r="Q1807" s="8" t="s">
        <v>2165</v>
      </c>
      <c r="R1807" s="8" t="s">
        <v>2166</v>
      </c>
      <c r="S1807" s="8">
        <v>175</v>
      </c>
    </row>
    <row r="1808" spans="1:19" ht="25" customHeight="1">
      <c r="A1808" s="12">
        <v>151</v>
      </c>
      <c r="B1808" s="8" t="s">
        <v>2069</v>
      </c>
      <c r="C1808" s="8" t="s">
        <v>716</v>
      </c>
      <c r="D1808" s="8" t="s">
        <v>449</v>
      </c>
      <c r="E1808" s="8" t="s">
        <v>102</v>
      </c>
      <c r="F1808" s="8">
        <v>1</v>
      </c>
      <c r="G1808" s="11">
        <v>0.125</v>
      </c>
      <c r="H1808" s="8">
        <v>1</v>
      </c>
      <c r="I1808" s="8">
        <v>1</v>
      </c>
      <c r="J1808" s="8">
        <v>0</v>
      </c>
      <c r="K1808" s="8">
        <v>0</v>
      </c>
      <c r="L1808" s="8">
        <v>5</v>
      </c>
      <c r="M1808" s="8">
        <v>0</v>
      </c>
      <c r="N1808" s="8">
        <v>1</v>
      </c>
      <c r="O1808" s="8" t="s">
        <v>791</v>
      </c>
      <c r="P1808" s="8">
        <v>95</v>
      </c>
      <c r="Q1808" s="8" t="s">
        <v>2165</v>
      </c>
      <c r="R1808" s="8" t="s">
        <v>2166</v>
      </c>
      <c r="S1808" s="8">
        <v>176</v>
      </c>
    </row>
    <row r="1809" spans="1:19" ht="25" customHeight="1">
      <c r="A1809" s="12">
        <v>152</v>
      </c>
      <c r="B1809" s="8" t="s">
        <v>2069</v>
      </c>
      <c r="C1809" s="8" t="s">
        <v>711</v>
      </c>
      <c r="D1809" s="8" t="s">
        <v>449</v>
      </c>
      <c r="E1809" s="8" t="s">
        <v>42</v>
      </c>
      <c r="F1809" s="8">
        <v>2</v>
      </c>
      <c r="G1809" s="11">
        <v>0.1538461538461539</v>
      </c>
      <c r="H1809" s="8">
        <v>2</v>
      </c>
      <c r="I1809" s="8">
        <v>1</v>
      </c>
      <c r="J1809" s="8">
        <v>0</v>
      </c>
      <c r="K1809" s="8">
        <v>0</v>
      </c>
      <c r="L1809" s="8">
        <v>-2</v>
      </c>
      <c r="M1809" s="8">
        <v>0</v>
      </c>
      <c r="N1809" s="8">
        <v>1</v>
      </c>
      <c r="O1809" s="8" t="s">
        <v>791</v>
      </c>
      <c r="P1809" s="8">
        <v>100</v>
      </c>
      <c r="Q1809" s="8" t="s">
        <v>2165</v>
      </c>
      <c r="R1809" s="8" t="s">
        <v>2166</v>
      </c>
      <c r="S1809" s="8">
        <v>177</v>
      </c>
    </row>
    <row r="1810" spans="1:19" ht="25" customHeight="1">
      <c r="A1810" s="12">
        <v>153</v>
      </c>
      <c r="B1810" s="8" t="s">
        <v>2069</v>
      </c>
      <c r="C1810" s="8" t="s">
        <v>716</v>
      </c>
      <c r="D1810" s="8" t="s">
        <v>449</v>
      </c>
      <c r="E1810" s="8" t="s">
        <v>42</v>
      </c>
      <c r="F1810" s="8">
        <v>1</v>
      </c>
      <c r="G1810" s="11">
        <v>0.125</v>
      </c>
      <c r="H1810" s="8">
        <v>0</v>
      </c>
      <c r="I1810" s="8">
        <v>0</v>
      </c>
      <c r="J1810" s="8">
        <v>0</v>
      </c>
      <c r="K1810" s="8">
        <v>0</v>
      </c>
      <c r="L1810" s="8">
        <v>8</v>
      </c>
      <c r="M1810" s="8">
        <v>0</v>
      </c>
      <c r="N1810" s="8">
        <v>1</v>
      </c>
      <c r="O1810" s="8" t="s">
        <v>791</v>
      </c>
      <c r="P1810" s="8">
        <v>22</v>
      </c>
      <c r="Q1810" s="8" t="s">
        <v>2165</v>
      </c>
      <c r="R1810" s="8" t="s">
        <v>2166</v>
      </c>
      <c r="S1810" s="8">
        <v>179</v>
      </c>
    </row>
    <row r="1811" spans="1:19" ht="25" customHeight="1">
      <c r="A1811" s="12">
        <v>154</v>
      </c>
      <c r="B1811" s="8" t="s">
        <v>2069</v>
      </c>
      <c r="C1811" s="8" t="s">
        <v>706</v>
      </c>
      <c r="D1811" s="8" t="s">
        <v>477</v>
      </c>
      <c r="E1811" s="8" t="s">
        <v>77</v>
      </c>
      <c r="F1811" s="8">
        <v>1</v>
      </c>
      <c r="G1811" s="11">
        <v>0.5</v>
      </c>
      <c r="H1811" s="8">
        <v>0</v>
      </c>
      <c r="I1811" s="8">
        <v>0</v>
      </c>
      <c r="J1811" s="8">
        <v>0</v>
      </c>
      <c r="K1811" s="8">
        <v>0</v>
      </c>
      <c r="L1811" s="8">
        <v>1</v>
      </c>
      <c r="M1811" s="8">
        <v>1</v>
      </c>
      <c r="N1811" s="8">
        <v>0</v>
      </c>
      <c r="O1811" s="8" t="s">
        <v>791</v>
      </c>
      <c r="P1811" s="8">
        <v>29</v>
      </c>
      <c r="Q1811" s="8" t="s">
        <v>2165</v>
      </c>
      <c r="R1811" s="8" t="s">
        <v>2166</v>
      </c>
      <c r="S1811" s="8">
        <v>180</v>
      </c>
    </row>
    <row r="1812" spans="1:19" ht="25" customHeight="1">
      <c r="A1812" s="12">
        <v>155</v>
      </c>
      <c r="B1812" s="8" t="s">
        <v>2069</v>
      </c>
      <c r="C1812" s="8" t="s">
        <v>711</v>
      </c>
      <c r="D1812" s="8" t="s">
        <v>449</v>
      </c>
      <c r="E1812" s="8" t="s">
        <v>77</v>
      </c>
      <c r="F1812" s="8">
        <v>1</v>
      </c>
      <c r="G1812" s="11">
        <v>0.07692307692307693</v>
      </c>
      <c r="H1812" s="8">
        <v>1</v>
      </c>
      <c r="I1812" s="8">
        <v>1</v>
      </c>
      <c r="J1812" s="8">
        <v>0</v>
      </c>
      <c r="K1812" s="8">
        <v>0</v>
      </c>
      <c r="L1812" s="8">
        <v>5</v>
      </c>
      <c r="M1812" s="8">
        <v>0</v>
      </c>
      <c r="N1812" s="8">
        <v>1</v>
      </c>
      <c r="O1812" s="8" t="s">
        <v>791</v>
      </c>
      <c r="P1812" s="8">
        <v>95</v>
      </c>
      <c r="Q1812" s="8" t="s">
        <v>2165</v>
      </c>
      <c r="R1812" s="8" t="s">
        <v>2166</v>
      </c>
      <c r="S1812" s="8">
        <v>181</v>
      </c>
    </row>
    <row r="1813" spans="1:19" ht="25" customHeight="1">
      <c r="A1813" s="12">
        <v>156</v>
      </c>
      <c r="B1813" s="8" t="s">
        <v>2069</v>
      </c>
      <c r="C1813" s="8" t="s">
        <v>711</v>
      </c>
      <c r="D1813" s="8" t="s">
        <v>432</v>
      </c>
      <c r="E1813" s="8" t="s">
        <v>77</v>
      </c>
      <c r="F1813" s="8">
        <v>1</v>
      </c>
      <c r="G1813" s="8">
        <v>1</v>
      </c>
      <c r="H1813" s="8">
        <v>1</v>
      </c>
      <c r="I1813" s="8">
        <v>1</v>
      </c>
      <c r="J1813" s="8">
        <v>0</v>
      </c>
      <c r="K1813" s="8">
        <v>0</v>
      </c>
      <c r="L1813" s="8">
        <v>-1</v>
      </c>
      <c r="M1813" s="8">
        <v>1</v>
      </c>
      <c r="N1813" s="8">
        <v>0</v>
      </c>
      <c r="O1813" s="8" t="s">
        <v>791</v>
      </c>
      <c r="P1813" s="8">
        <v>100</v>
      </c>
      <c r="Q1813" s="8" t="s">
        <v>2165</v>
      </c>
      <c r="R1813" s="8" t="s">
        <v>2166</v>
      </c>
      <c r="S1813" s="8">
        <v>182</v>
      </c>
    </row>
    <row r="1814" spans="1:19" ht="25" customHeight="1">
      <c r="A1814" s="12">
        <v>157</v>
      </c>
      <c r="B1814" s="8" t="s">
        <v>2069</v>
      </c>
      <c r="C1814" s="8" t="s">
        <v>720</v>
      </c>
      <c r="D1814" s="8" t="s">
        <v>449</v>
      </c>
      <c r="E1814" s="8" t="s">
        <v>99</v>
      </c>
      <c r="F1814" s="8">
        <v>2</v>
      </c>
      <c r="G1814" s="11">
        <v>0.25</v>
      </c>
      <c r="H1814" s="8">
        <v>1</v>
      </c>
      <c r="I1814" s="11">
        <v>0.5</v>
      </c>
      <c r="J1814" s="8">
        <v>0</v>
      </c>
      <c r="K1814" s="8">
        <v>0</v>
      </c>
      <c r="L1814" s="8">
        <v>7</v>
      </c>
      <c r="M1814" s="8">
        <v>0</v>
      </c>
      <c r="N1814" s="8">
        <v>1</v>
      </c>
      <c r="O1814" s="8" t="s">
        <v>791</v>
      </c>
      <c r="P1814" s="8">
        <v>58</v>
      </c>
      <c r="Q1814" s="8" t="s">
        <v>2165</v>
      </c>
      <c r="R1814" s="8" t="s">
        <v>2166</v>
      </c>
      <c r="S1814" s="8">
        <v>183</v>
      </c>
    </row>
    <row r="1815" spans="1:19" ht="25" customHeight="1">
      <c r="A1815" s="12">
        <v>158</v>
      </c>
      <c r="B1815" s="8" t="s">
        <v>2069</v>
      </c>
      <c r="C1815" s="8" t="s">
        <v>716</v>
      </c>
      <c r="D1815" s="8" t="s">
        <v>449</v>
      </c>
      <c r="E1815" s="8" t="s">
        <v>99</v>
      </c>
      <c r="F1815" s="8">
        <v>1</v>
      </c>
      <c r="G1815" s="11">
        <v>0.125</v>
      </c>
      <c r="H1815" s="8">
        <v>0</v>
      </c>
      <c r="I1815" s="8">
        <v>0</v>
      </c>
      <c r="J1815" s="8">
        <v>0</v>
      </c>
      <c r="K1815" s="8">
        <v>0</v>
      </c>
      <c r="L1815" s="8">
        <v>12</v>
      </c>
      <c r="M1815" s="8">
        <v>0</v>
      </c>
      <c r="N1815" s="8">
        <v>1</v>
      </c>
      <c r="O1815" s="8" t="s">
        <v>791</v>
      </c>
      <c r="P1815" s="8">
        <v>20</v>
      </c>
      <c r="Q1815" s="8" t="s">
        <v>2165</v>
      </c>
      <c r="R1815" s="8" t="s">
        <v>2166</v>
      </c>
      <c r="S1815" s="8">
        <v>185</v>
      </c>
    </row>
    <row r="1816" spans="1:19" ht="25" customHeight="1">
      <c r="A1816" s="12">
        <v>159</v>
      </c>
      <c r="B1816" s="8" t="s">
        <v>2069</v>
      </c>
      <c r="C1816" s="8" t="s">
        <v>706</v>
      </c>
      <c r="D1816" s="8" t="s">
        <v>428</v>
      </c>
      <c r="E1816" s="8" t="s">
        <v>35</v>
      </c>
      <c r="F1816" s="8">
        <v>1</v>
      </c>
      <c r="G1816" s="11">
        <v>0.25</v>
      </c>
      <c r="H1816" s="8">
        <v>0</v>
      </c>
      <c r="I1816" s="8">
        <v>0</v>
      </c>
      <c r="J1816" s="8">
        <v>0</v>
      </c>
      <c r="K1816" s="8">
        <v>0</v>
      </c>
      <c r="L1816" s="8">
        <v>5</v>
      </c>
      <c r="M1816" s="8">
        <v>1</v>
      </c>
      <c r="N1816" s="8">
        <v>0</v>
      </c>
      <c r="O1816" s="8" t="s">
        <v>791</v>
      </c>
      <c r="P1816" s="8">
        <v>25</v>
      </c>
      <c r="Q1816" s="8" t="s">
        <v>2165</v>
      </c>
      <c r="R1816" s="8" t="s">
        <v>2166</v>
      </c>
      <c r="S1816" s="8">
        <v>186</v>
      </c>
    </row>
    <row r="1817" spans="1:19" ht="25" customHeight="1">
      <c r="A1817" s="12">
        <v>160</v>
      </c>
      <c r="B1817" s="8" t="s">
        <v>2069</v>
      </c>
      <c r="C1817" s="8" t="s">
        <v>716</v>
      </c>
      <c r="D1817" s="8" t="s">
        <v>428</v>
      </c>
      <c r="E1817" s="8" t="s">
        <v>35</v>
      </c>
      <c r="F1817" s="8">
        <v>1</v>
      </c>
      <c r="G1817" s="11">
        <v>0.3333333333333333</v>
      </c>
      <c r="H1817" s="8">
        <v>1</v>
      </c>
      <c r="I1817" s="8">
        <v>1</v>
      </c>
      <c r="J1817" s="8">
        <v>0</v>
      </c>
      <c r="K1817" s="8">
        <v>0</v>
      </c>
      <c r="L1817" s="8">
        <v>0</v>
      </c>
      <c r="M1817" s="8">
        <v>1</v>
      </c>
      <c r="N1817" s="8">
        <v>0</v>
      </c>
      <c r="O1817" s="8" t="s">
        <v>791</v>
      </c>
      <c r="P1817" s="8">
        <v>100</v>
      </c>
      <c r="Q1817" s="8" t="s">
        <v>2165</v>
      </c>
      <c r="R1817" s="8" t="s">
        <v>2166</v>
      </c>
      <c r="S1817" s="8">
        <v>188</v>
      </c>
    </row>
    <row r="1818" spans="1:19" ht="25" customHeight="1">
      <c r="A1818" s="12">
        <v>161</v>
      </c>
      <c r="B1818" s="8" t="s">
        <v>2069</v>
      </c>
      <c r="C1818" s="8" t="s">
        <v>711</v>
      </c>
      <c r="D1818" s="8" t="s">
        <v>449</v>
      </c>
      <c r="E1818" s="8" t="s">
        <v>27</v>
      </c>
      <c r="F1818" s="8">
        <v>1</v>
      </c>
      <c r="G1818" s="11">
        <v>0.07692307692307693</v>
      </c>
      <c r="H1818" s="8">
        <v>1</v>
      </c>
      <c r="I1818" s="8">
        <v>1</v>
      </c>
      <c r="J1818" s="8">
        <v>0</v>
      </c>
      <c r="K1818" s="8">
        <v>0</v>
      </c>
      <c r="L1818" s="8">
        <v>0</v>
      </c>
      <c r="M1818" s="8">
        <v>0</v>
      </c>
      <c r="N1818" s="8">
        <v>1</v>
      </c>
      <c r="O1818" s="8" t="s">
        <v>791</v>
      </c>
      <c r="P1818" s="8">
        <v>100</v>
      </c>
      <c r="Q1818" s="8" t="s">
        <v>2165</v>
      </c>
      <c r="R1818" s="8" t="s">
        <v>2166</v>
      </c>
      <c r="S1818" s="8">
        <v>189</v>
      </c>
    </row>
    <row r="1819" spans="1:19" ht="25" customHeight="1">
      <c r="A1819" s="12">
        <v>162</v>
      </c>
      <c r="B1819" s="8" t="s">
        <v>2069</v>
      </c>
      <c r="C1819" s="8" t="s">
        <v>716</v>
      </c>
      <c r="D1819" s="8" t="s">
        <v>428</v>
      </c>
      <c r="E1819" s="8" t="s">
        <v>27</v>
      </c>
      <c r="F1819" s="8">
        <v>1</v>
      </c>
      <c r="G1819" s="11">
        <v>0.3333333333333333</v>
      </c>
      <c r="H1819" s="8">
        <v>1</v>
      </c>
      <c r="I1819" s="8">
        <v>1</v>
      </c>
      <c r="J1819" s="8">
        <v>0</v>
      </c>
      <c r="K1819" s="8">
        <v>0</v>
      </c>
      <c r="L1819" s="8">
        <v>1</v>
      </c>
      <c r="M1819" s="8">
        <v>1</v>
      </c>
      <c r="N1819" s="8">
        <v>0</v>
      </c>
      <c r="O1819" s="8" t="s">
        <v>791</v>
      </c>
      <c r="P1819" s="8">
        <v>99</v>
      </c>
      <c r="Q1819" s="8" t="s">
        <v>2165</v>
      </c>
      <c r="R1819" s="8" t="s">
        <v>2166</v>
      </c>
      <c r="S1819" s="8">
        <v>190</v>
      </c>
    </row>
    <row r="1820" spans="1:19" ht="25" customHeight="1">
      <c r="A1820" s="12">
        <v>163</v>
      </c>
      <c r="B1820" s="8" t="s">
        <v>2069</v>
      </c>
      <c r="C1820" s="8" t="s">
        <v>706</v>
      </c>
      <c r="D1820" s="8" t="s">
        <v>477</v>
      </c>
      <c r="E1820" s="8" t="s">
        <v>60</v>
      </c>
      <c r="F1820" s="8">
        <v>1</v>
      </c>
      <c r="G1820" s="11">
        <v>0.5</v>
      </c>
      <c r="H1820" s="8">
        <v>0</v>
      </c>
      <c r="I1820" s="8">
        <v>0</v>
      </c>
      <c r="J1820" s="8">
        <v>0</v>
      </c>
      <c r="K1820" s="8">
        <v>0</v>
      </c>
      <c r="L1820" s="8">
        <v>2</v>
      </c>
      <c r="M1820" s="8">
        <v>1</v>
      </c>
      <c r="N1820" s="8">
        <v>0</v>
      </c>
      <c r="O1820" s="8" t="s">
        <v>791</v>
      </c>
      <c r="P1820" s="8">
        <v>28</v>
      </c>
      <c r="Q1820" s="8" t="s">
        <v>2165</v>
      </c>
      <c r="R1820" s="8" t="s">
        <v>2166</v>
      </c>
      <c r="S1820" s="8">
        <v>191</v>
      </c>
    </row>
    <row r="1821" spans="1:19" ht="25" customHeight="1">
      <c r="A1821" s="12">
        <v>164</v>
      </c>
      <c r="B1821" s="8" t="s">
        <v>2069</v>
      </c>
      <c r="C1821" s="8" t="s">
        <v>711</v>
      </c>
      <c r="D1821" s="8" t="s">
        <v>446</v>
      </c>
      <c r="E1821" s="8" t="s">
        <v>60</v>
      </c>
      <c r="F1821" s="8">
        <v>1</v>
      </c>
      <c r="G1821" s="11">
        <v>0.5</v>
      </c>
      <c r="H1821" s="8">
        <v>1</v>
      </c>
      <c r="I1821" s="8">
        <v>1</v>
      </c>
      <c r="J1821" s="8">
        <v>0</v>
      </c>
      <c r="K1821" s="8">
        <v>0</v>
      </c>
      <c r="L1821" s="8">
        <v>0</v>
      </c>
      <c r="M1821" s="8">
        <v>0</v>
      </c>
      <c r="N1821" s="8">
        <v>1</v>
      </c>
      <c r="O1821" s="8" t="s">
        <v>791</v>
      </c>
      <c r="P1821" s="8">
        <v>100</v>
      </c>
      <c r="Q1821" s="8" t="s">
        <v>2165</v>
      </c>
      <c r="R1821" s="8" t="s">
        <v>2166</v>
      </c>
      <c r="S1821" s="8">
        <v>192</v>
      </c>
    </row>
    <row r="1822" spans="1:19" ht="25" customHeight="1">
      <c r="A1822" s="12">
        <v>165</v>
      </c>
      <c r="B1822" s="8" t="s">
        <v>2069</v>
      </c>
      <c r="C1822" s="8" t="s">
        <v>706</v>
      </c>
      <c r="D1822" s="8" t="s">
        <v>428</v>
      </c>
      <c r="E1822" s="8" t="s">
        <v>66</v>
      </c>
      <c r="F1822" s="8">
        <v>1</v>
      </c>
      <c r="G1822" s="11">
        <v>0.25</v>
      </c>
      <c r="H1822" s="8">
        <v>0</v>
      </c>
      <c r="I1822" s="8">
        <v>0</v>
      </c>
      <c r="J1822" s="8">
        <v>0</v>
      </c>
      <c r="K1822" s="8">
        <v>0</v>
      </c>
      <c r="L1822" s="8">
        <v>1</v>
      </c>
      <c r="M1822" s="8">
        <v>1</v>
      </c>
      <c r="N1822" s="8">
        <v>0</v>
      </c>
      <c r="O1822" s="8" t="s">
        <v>791</v>
      </c>
      <c r="P1822" s="8">
        <v>29</v>
      </c>
      <c r="Q1822" s="8" t="s">
        <v>2165</v>
      </c>
      <c r="R1822" s="8" t="s">
        <v>2166</v>
      </c>
      <c r="S1822" s="8">
        <v>193</v>
      </c>
    </row>
    <row r="1823" spans="1:19" ht="25" customHeight="1">
      <c r="A1823" s="12">
        <v>166</v>
      </c>
      <c r="B1823" s="8" t="s">
        <v>2069</v>
      </c>
      <c r="C1823" s="8" t="s">
        <v>711</v>
      </c>
      <c r="D1823" s="8" t="s">
        <v>428</v>
      </c>
      <c r="E1823" s="8" t="s">
        <v>66</v>
      </c>
      <c r="F1823" s="8">
        <v>1</v>
      </c>
      <c r="G1823" s="11">
        <v>0.25</v>
      </c>
      <c r="H1823" s="8">
        <v>1</v>
      </c>
      <c r="I1823" s="8">
        <v>1</v>
      </c>
      <c r="J1823" s="8">
        <v>0</v>
      </c>
      <c r="K1823" s="8">
        <v>0</v>
      </c>
      <c r="L1823" s="8">
        <v>0</v>
      </c>
      <c r="M1823" s="8">
        <v>1</v>
      </c>
      <c r="N1823" s="8">
        <v>0</v>
      </c>
      <c r="O1823" s="8" t="s">
        <v>791</v>
      </c>
      <c r="P1823" s="8">
        <v>100</v>
      </c>
      <c r="Q1823" s="8" t="s">
        <v>2165</v>
      </c>
      <c r="R1823" s="8" t="s">
        <v>2166</v>
      </c>
      <c r="S1823" s="8">
        <v>194</v>
      </c>
    </row>
    <row r="1824" spans="1:19" ht="25" customHeight="1">
      <c r="A1824" s="12">
        <v>167</v>
      </c>
      <c r="B1824" s="8" t="s">
        <v>2069</v>
      </c>
      <c r="C1824" s="8" t="s">
        <v>711</v>
      </c>
      <c r="D1824" s="8" t="s">
        <v>449</v>
      </c>
      <c r="E1824" s="8" t="s">
        <v>37</v>
      </c>
      <c r="F1824" s="8">
        <v>1</v>
      </c>
      <c r="G1824" s="11">
        <v>0.07692307692307693</v>
      </c>
      <c r="H1824" s="8">
        <v>0</v>
      </c>
      <c r="I1824" s="8">
        <v>0</v>
      </c>
      <c r="J1824" s="8">
        <v>0</v>
      </c>
      <c r="K1824" s="8">
        <v>0</v>
      </c>
      <c r="L1824" s="8">
        <v>6</v>
      </c>
      <c r="M1824" s="8">
        <v>0</v>
      </c>
      <c r="N1824" s="8">
        <v>1</v>
      </c>
      <c r="O1824" s="8" t="s">
        <v>791</v>
      </c>
      <c r="P1824" s="8">
        <v>24</v>
      </c>
      <c r="Q1824" s="8" t="s">
        <v>2165</v>
      </c>
      <c r="R1824" s="8" t="s">
        <v>2166</v>
      </c>
      <c r="S1824" s="8">
        <v>196</v>
      </c>
    </row>
    <row r="1825" spans="1:19" ht="25" customHeight="1">
      <c r="A1825" s="12">
        <v>168</v>
      </c>
      <c r="B1825" s="8" t="s">
        <v>2069</v>
      </c>
      <c r="C1825" s="8" t="s">
        <v>706</v>
      </c>
      <c r="D1825" s="8" t="s">
        <v>432</v>
      </c>
      <c r="E1825" s="8" t="s">
        <v>32</v>
      </c>
      <c r="F1825" s="8">
        <v>1</v>
      </c>
      <c r="G1825" s="8">
        <v>1</v>
      </c>
      <c r="H1825" s="8">
        <v>0</v>
      </c>
      <c r="I1825" s="8">
        <v>0</v>
      </c>
      <c r="J1825" s="8">
        <v>0</v>
      </c>
      <c r="K1825" s="8">
        <v>0</v>
      </c>
      <c r="L1825" s="8">
        <v>8</v>
      </c>
      <c r="M1825" s="8">
        <v>1</v>
      </c>
      <c r="N1825" s="8">
        <v>0</v>
      </c>
      <c r="O1825" s="8" t="s">
        <v>791</v>
      </c>
      <c r="P1825" s="8">
        <v>22</v>
      </c>
      <c r="Q1825" s="8" t="s">
        <v>2165</v>
      </c>
      <c r="R1825" s="8" t="s">
        <v>2166</v>
      </c>
      <c r="S1825" s="8">
        <v>197</v>
      </c>
    </row>
    <row r="1826" spans="1:19" ht="25" customHeight="1">
      <c r="A1826" s="12">
        <v>169</v>
      </c>
      <c r="B1826" s="8" t="s">
        <v>2069</v>
      </c>
      <c r="C1826" s="8" t="s">
        <v>716</v>
      </c>
      <c r="D1826" s="8" t="s">
        <v>471</v>
      </c>
      <c r="E1826" s="8" t="s">
        <v>46</v>
      </c>
      <c r="F1826" s="8">
        <v>1</v>
      </c>
      <c r="G1826" s="8">
        <v>1</v>
      </c>
      <c r="H1826" s="8">
        <v>0</v>
      </c>
      <c r="I1826" s="8">
        <v>0</v>
      </c>
      <c r="J1826" s="8">
        <v>0</v>
      </c>
      <c r="K1826" s="8">
        <v>0</v>
      </c>
      <c r="L1826" s="8">
        <v>7</v>
      </c>
      <c r="M1826" s="8">
        <v>0</v>
      </c>
      <c r="N1826" s="8">
        <v>1</v>
      </c>
      <c r="O1826" s="8" t="s">
        <v>791</v>
      </c>
      <c r="P1826" s="8">
        <v>23</v>
      </c>
      <c r="Q1826" s="8" t="s">
        <v>2165</v>
      </c>
      <c r="R1826" s="8" t="s">
        <v>2166</v>
      </c>
      <c r="S1826" s="8">
        <v>199</v>
      </c>
    </row>
    <row r="1827" spans="1:19" ht="25" customHeight="1">
      <c r="A1827" s="12">
        <v>170</v>
      </c>
      <c r="B1827" s="8" t="s">
        <v>2069</v>
      </c>
      <c r="C1827" s="8" t="s">
        <v>711</v>
      </c>
      <c r="D1827" s="8" t="s">
        <v>449</v>
      </c>
      <c r="E1827" s="8" t="s">
        <v>48</v>
      </c>
      <c r="F1827" s="8">
        <v>2</v>
      </c>
      <c r="G1827" s="11">
        <v>0.1538461538461539</v>
      </c>
      <c r="H1827" s="8">
        <v>0</v>
      </c>
      <c r="I1827" s="8">
        <v>0</v>
      </c>
      <c r="J1827" s="8">
        <v>0</v>
      </c>
      <c r="K1827" s="8">
        <v>0</v>
      </c>
      <c r="L1827" s="11">
        <v>10.5</v>
      </c>
      <c r="M1827" s="8">
        <v>0</v>
      </c>
      <c r="N1827" s="8">
        <v>1</v>
      </c>
      <c r="O1827" s="8" t="s">
        <v>791</v>
      </c>
      <c r="P1827" s="8">
        <v>20</v>
      </c>
      <c r="Q1827" s="8" t="s">
        <v>2165</v>
      </c>
      <c r="R1827" s="8" t="s">
        <v>2166</v>
      </c>
      <c r="S1827" s="8">
        <v>200</v>
      </c>
    </row>
    <row r="1828" spans="1:19" ht="25" customHeight="1">
      <c r="A1828" s="12">
        <v>171</v>
      </c>
      <c r="B1828" s="8" t="s">
        <v>2069</v>
      </c>
      <c r="C1828" s="8" t="s">
        <v>711</v>
      </c>
      <c r="D1828" s="8" t="s">
        <v>428</v>
      </c>
      <c r="E1828" s="8" t="s">
        <v>80</v>
      </c>
      <c r="F1828" s="8">
        <v>1</v>
      </c>
      <c r="G1828" s="11">
        <v>0.25</v>
      </c>
      <c r="H1828" s="8">
        <v>1</v>
      </c>
      <c r="I1828" s="8">
        <v>1</v>
      </c>
      <c r="J1828" s="8">
        <v>0</v>
      </c>
      <c r="K1828" s="8">
        <v>0</v>
      </c>
      <c r="L1828" s="8">
        <v>2</v>
      </c>
      <c r="M1828" s="8">
        <v>1</v>
      </c>
      <c r="N1828" s="8">
        <v>0</v>
      </c>
      <c r="O1828" s="8" t="s">
        <v>791</v>
      </c>
      <c r="P1828" s="8">
        <v>98</v>
      </c>
      <c r="Q1828" s="8" t="s">
        <v>2165</v>
      </c>
      <c r="R1828" s="8" t="s">
        <v>2166</v>
      </c>
      <c r="S1828" s="8">
        <v>201</v>
      </c>
    </row>
    <row r="1829" spans="1:19" ht="25" customHeight="1">
      <c r="A1829" s="12">
        <v>172</v>
      </c>
      <c r="B1829" s="8" t="s">
        <v>2069</v>
      </c>
      <c r="C1829" s="8" t="s">
        <v>706</v>
      </c>
      <c r="D1829" s="8" t="s">
        <v>428</v>
      </c>
      <c r="E1829" s="8" t="s">
        <v>53</v>
      </c>
      <c r="F1829" s="8">
        <v>1</v>
      </c>
      <c r="G1829" s="11">
        <v>0.25</v>
      </c>
      <c r="H1829" s="8">
        <v>0</v>
      </c>
      <c r="I1829" s="8">
        <v>0</v>
      </c>
      <c r="J1829" s="8">
        <v>0</v>
      </c>
      <c r="K1829" s="8">
        <v>0</v>
      </c>
      <c r="L1829" s="8">
        <v>11</v>
      </c>
      <c r="M1829" s="8">
        <v>1</v>
      </c>
      <c r="N1829" s="8">
        <v>0</v>
      </c>
      <c r="O1829" s="8" t="s">
        <v>791</v>
      </c>
      <c r="P1829" s="8">
        <v>20</v>
      </c>
      <c r="Q1829" s="8" t="s">
        <v>2165</v>
      </c>
      <c r="R1829" s="8" t="s">
        <v>2166</v>
      </c>
      <c r="S1829" s="8">
        <v>202</v>
      </c>
    </row>
    <row r="1830" spans="1:19" ht="25" customHeight="1">
      <c r="A1830" s="12">
        <v>173</v>
      </c>
      <c r="B1830" s="8" t="s">
        <v>2069</v>
      </c>
      <c r="C1830" s="8" t="s">
        <v>716</v>
      </c>
      <c r="D1830" s="8" t="s">
        <v>446</v>
      </c>
      <c r="E1830" s="8" t="s">
        <v>109</v>
      </c>
      <c r="F1830" s="8">
        <v>1</v>
      </c>
      <c r="G1830" s="8">
        <v>1</v>
      </c>
      <c r="H1830" s="8">
        <v>0</v>
      </c>
      <c r="I1830" s="8">
        <v>0</v>
      </c>
      <c r="J1830" s="8">
        <v>1</v>
      </c>
      <c r="K1830" s="8">
        <v>1</v>
      </c>
      <c r="L1830" s="8">
        <v>16</v>
      </c>
      <c r="M1830" s="8">
        <v>0</v>
      </c>
      <c r="N1830" s="8">
        <v>1</v>
      </c>
      <c r="O1830" s="8" t="s">
        <v>791</v>
      </c>
      <c r="P1830" s="8">
        <v>0</v>
      </c>
      <c r="Q1830" s="8" t="s">
        <v>2161</v>
      </c>
      <c r="R1830" s="8" t="s">
        <v>2162</v>
      </c>
      <c r="S1830" s="8">
        <v>203</v>
      </c>
    </row>
    <row r="1831" spans="1:19" ht="25" customHeight="1">
      <c r="A1831" s="12">
        <v>174</v>
      </c>
      <c r="B1831" s="8" t="s">
        <v>2069</v>
      </c>
      <c r="C1831" s="8" t="s">
        <v>716</v>
      </c>
      <c r="D1831" s="8" t="s">
        <v>449</v>
      </c>
      <c r="E1831" s="8" t="s">
        <v>61</v>
      </c>
      <c r="F1831" s="8">
        <v>1</v>
      </c>
      <c r="G1831" s="11">
        <v>0.125</v>
      </c>
      <c r="H1831" s="8">
        <v>0</v>
      </c>
      <c r="I1831" s="8">
        <v>0</v>
      </c>
      <c r="J1831" s="8">
        <v>0</v>
      </c>
      <c r="K1831" s="8">
        <v>0</v>
      </c>
      <c r="L1831" s="8">
        <v>13</v>
      </c>
      <c r="M1831" s="8">
        <v>0</v>
      </c>
      <c r="N1831" s="8">
        <v>1</v>
      </c>
      <c r="O1831" s="8" t="s">
        <v>791</v>
      </c>
      <c r="P1831" s="8">
        <v>20</v>
      </c>
      <c r="Q1831" s="8" t="s">
        <v>2165</v>
      </c>
      <c r="R1831" s="8" t="s">
        <v>2166</v>
      </c>
      <c r="S1831" s="8">
        <v>204</v>
      </c>
    </row>
    <row r="1832" spans="1:19" ht="25" customHeight="1">
      <c r="A1832" s="12">
        <v>175</v>
      </c>
      <c r="B1832" s="8" t="s">
        <v>2069</v>
      </c>
      <c r="C1832" s="8" t="s">
        <v>711</v>
      </c>
      <c r="D1832" s="8" t="s">
        <v>449</v>
      </c>
      <c r="E1832" s="8" t="s">
        <v>106</v>
      </c>
      <c r="F1832" s="8">
        <v>1</v>
      </c>
      <c r="G1832" s="11">
        <v>0.07692307692307693</v>
      </c>
      <c r="H1832" s="8">
        <v>0</v>
      </c>
      <c r="I1832" s="8">
        <v>0</v>
      </c>
      <c r="J1832" s="8">
        <v>1</v>
      </c>
      <c r="K1832" s="8">
        <v>1</v>
      </c>
      <c r="L1832" s="8">
        <v>22</v>
      </c>
      <c r="M1832" s="8">
        <v>0</v>
      </c>
      <c r="N1832" s="8">
        <v>1</v>
      </c>
      <c r="O1832" s="8" t="s">
        <v>791</v>
      </c>
      <c r="P1832" s="8">
        <v>0</v>
      </c>
      <c r="Q1832" s="8" t="s">
        <v>2161</v>
      </c>
      <c r="R1832" s="8" t="s">
        <v>2162</v>
      </c>
      <c r="S1832" s="8">
        <v>205</v>
      </c>
    </row>
    <row r="1833" spans="1:19" ht="25" customHeight="1">
      <c r="A1833" s="12">
        <v>176</v>
      </c>
      <c r="B1833" s="8" t="s">
        <v>2069</v>
      </c>
      <c r="C1833" s="8" t="s">
        <v>711</v>
      </c>
      <c r="D1833" s="8" t="s">
        <v>449</v>
      </c>
      <c r="E1833" s="8" t="s">
        <v>84</v>
      </c>
      <c r="F1833" s="8">
        <v>1</v>
      </c>
      <c r="G1833" s="11">
        <v>0.07692307692307693</v>
      </c>
      <c r="H1833" s="8">
        <v>1</v>
      </c>
      <c r="I1833" s="8">
        <v>1</v>
      </c>
      <c r="J1833" s="8">
        <v>0</v>
      </c>
      <c r="K1833" s="8">
        <v>0</v>
      </c>
      <c r="L1833" s="8">
        <v>0</v>
      </c>
      <c r="M1833" s="8">
        <v>0</v>
      </c>
      <c r="N1833" s="8">
        <v>1</v>
      </c>
      <c r="O1833" s="8" t="s">
        <v>791</v>
      </c>
      <c r="P1833" s="8">
        <v>100</v>
      </c>
      <c r="Q1833" s="8" t="s">
        <v>2165</v>
      </c>
      <c r="R1833" s="8" t="s">
        <v>2166</v>
      </c>
      <c r="S1833" s="8">
        <v>206</v>
      </c>
    </row>
    <row r="1834" spans="1:19" ht="25" customHeight="1">
      <c r="A1834" s="12">
        <v>177</v>
      </c>
      <c r="B1834" s="8" t="s">
        <v>2069</v>
      </c>
      <c r="C1834" s="8" t="s">
        <v>711</v>
      </c>
      <c r="D1834" s="8" t="s">
        <v>446</v>
      </c>
      <c r="E1834" s="8" t="s">
        <v>65</v>
      </c>
      <c r="F1834" s="8">
        <v>1</v>
      </c>
      <c r="G1834" s="11">
        <v>0.5</v>
      </c>
      <c r="H1834" s="8">
        <v>0</v>
      </c>
      <c r="I1834" s="8">
        <v>0</v>
      </c>
      <c r="J1834" s="8">
        <v>0</v>
      </c>
      <c r="K1834" s="8">
        <v>0</v>
      </c>
      <c r="L1834" s="8">
        <v>5</v>
      </c>
      <c r="M1834" s="8">
        <v>0</v>
      </c>
      <c r="N1834" s="8">
        <v>1</v>
      </c>
      <c r="O1834" s="8" t="s">
        <v>791</v>
      </c>
      <c r="P1834" s="8">
        <v>25</v>
      </c>
      <c r="Q1834" s="8" t="s">
        <v>2165</v>
      </c>
      <c r="R1834" s="8" t="s">
        <v>2166</v>
      </c>
      <c r="S1834" s="8">
        <v>207</v>
      </c>
    </row>
    <row r="1835" spans="1:19" ht="25" customHeight="1">
      <c r="A1835" s="12">
        <v>178</v>
      </c>
      <c r="B1835" s="8" t="s">
        <v>2069</v>
      </c>
      <c r="C1835" s="8" t="s">
        <v>711</v>
      </c>
      <c r="D1835" s="8" t="s">
        <v>428</v>
      </c>
      <c r="E1835" s="8" t="s">
        <v>69</v>
      </c>
      <c r="F1835" s="8">
        <v>1</v>
      </c>
      <c r="G1835" s="11">
        <v>0.25</v>
      </c>
      <c r="H1835" s="8">
        <v>0</v>
      </c>
      <c r="I1835" s="8">
        <v>0</v>
      </c>
      <c r="J1835" s="8">
        <v>1</v>
      </c>
      <c r="K1835" s="8">
        <v>1</v>
      </c>
      <c r="L1835" s="8">
        <v>19</v>
      </c>
      <c r="M1835" s="8">
        <v>1</v>
      </c>
      <c r="N1835" s="8">
        <v>0</v>
      </c>
      <c r="O1835" s="8" t="s">
        <v>791</v>
      </c>
      <c r="P1835" s="8">
        <v>0</v>
      </c>
      <c r="Q1835" s="8" t="s">
        <v>2161</v>
      </c>
      <c r="R1835" s="8" t="s">
        <v>2162</v>
      </c>
      <c r="S1835" s="8">
        <v>208</v>
      </c>
    </row>
    <row r="1836" spans="1:19" ht="25" customHeight="1">
      <c r="A1836" s="12">
        <v>179</v>
      </c>
      <c r="B1836" s="8" t="s">
        <v>2069</v>
      </c>
      <c r="C1836" s="8" t="s">
        <v>716</v>
      </c>
      <c r="D1836" s="8" t="s">
        <v>449</v>
      </c>
      <c r="E1836" s="8" t="s">
        <v>91</v>
      </c>
      <c r="F1836" s="8">
        <v>1</v>
      </c>
      <c r="G1836" s="11">
        <v>0.125</v>
      </c>
      <c r="H1836" s="8">
        <v>1</v>
      </c>
      <c r="I1836" s="8">
        <v>1</v>
      </c>
      <c r="J1836" s="8">
        <v>0</v>
      </c>
      <c r="K1836" s="8">
        <v>0</v>
      </c>
      <c r="L1836" s="8">
        <v>0</v>
      </c>
      <c r="M1836" s="8">
        <v>0</v>
      </c>
      <c r="N1836" s="8">
        <v>1</v>
      </c>
      <c r="O1836" s="8" t="s">
        <v>791</v>
      </c>
      <c r="P1836" s="8">
        <v>100</v>
      </c>
      <c r="Q1836" s="8" t="s">
        <v>2165</v>
      </c>
      <c r="R1836" s="8" t="s">
        <v>2166</v>
      </c>
      <c r="S1836" s="8">
        <v>209</v>
      </c>
    </row>
    <row r="1837" spans="1:19" ht="25" customHeight="1">
      <c r="A1837" s="12">
        <v>180</v>
      </c>
      <c r="B1837" s="8" t="s">
        <v>2070</v>
      </c>
      <c r="C1837" s="8" t="s">
        <v>706</v>
      </c>
      <c r="D1837" s="8" t="s">
        <v>428</v>
      </c>
      <c r="E1837" s="8" t="s">
        <v>60</v>
      </c>
      <c r="F1837" s="8">
        <v>1</v>
      </c>
      <c r="G1837" s="11">
        <v>0.5</v>
      </c>
      <c r="H1837" s="8">
        <v>1</v>
      </c>
      <c r="I1837" s="8">
        <v>1</v>
      </c>
      <c r="J1837" s="8">
        <v>0</v>
      </c>
      <c r="K1837" s="8">
        <v>0</v>
      </c>
      <c r="L1837" s="8">
        <v>1</v>
      </c>
      <c r="M1837" s="8">
        <v>1</v>
      </c>
      <c r="N1837" s="8">
        <v>0</v>
      </c>
      <c r="O1837" s="8" t="s">
        <v>791</v>
      </c>
      <c r="P1837" s="8">
        <v>99</v>
      </c>
      <c r="Q1837" s="8" t="s">
        <v>2165</v>
      </c>
      <c r="R1837" s="8" t="s">
        <v>2166</v>
      </c>
      <c r="S1837" s="8">
        <v>210</v>
      </c>
    </row>
    <row r="1838" spans="1:19" ht="25" customHeight="1">
      <c r="A1838" s="12">
        <v>181</v>
      </c>
      <c r="B1838" s="8" t="s">
        <v>2070</v>
      </c>
      <c r="C1838" s="8" t="s">
        <v>706</v>
      </c>
      <c r="D1838" s="8" t="s">
        <v>477</v>
      </c>
      <c r="E1838" s="8" t="s">
        <v>35</v>
      </c>
      <c r="F1838" s="8">
        <v>1</v>
      </c>
      <c r="G1838" s="8">
        <v>1</v>
      </c>
      <c r="H1838" s="8">
        <v>0</v>
      </c>
      <c r="I1838" s="8">
        <v>0</v>
      </c>
      <c r="J1838" s="8">
        <v>0</v>
      </c>
      <c r="K1838" s="8">
        <v>0</v>
      </c>
      <c r="L1838" s="8">
        <v>5</v>
      </c>
      <c r="M1838" s="8">
        <v>1</v>
      </c>
      <c r="N1838" s="8">
        <v>0</v>
      </c>
      <c r="O1838" s="8" t="s">
        <v>791</v>
      </c>
      <c r="P1838" s="8">
        <v>25</v>
      </c>
      <c r="Q1838" s="8" t="s">
        <v>2165</v>
      </c>
      <c r="R1838" s="8" t="s">
        <v>2166</v>
      </c>
      <c r="S1838" s="8">
        <v>211</v>
      </c>
    </row>
    <row r="1839" spans="1:19" ht="25" customHeight="1">
      <c r="A1839" s="12">
        <v>182</v>
      </c>
      <c r="B1839" s="8" t="s">
        <v>2070</v>
      </c>
      <c r="C1839" s="8" t="s">
        <v>711</v>
      </c>
      <c r="D1839" s="8" t="s">
        <v>449</v>
      </c>
      <c r="E1839" s="8" t="s">
        <v>27</v>
      </c>
      <c r="F1839" s="8">
        <v>1</v>
      </c>
      <c r="G1839" s="11">
        <v>0.5</v>
      </c>
      <c r="H1839" s="8">
        <v>1</v>
      </c>
      <c r="I1839" s="8">
        <v>1</v>
      </c>
      <c r="J1839" s="8">
        <v>0</v>
      </c>
      <c r="K1839" s="8">
        <v>0</v>
      </c>
      <c r="L1839" s="8">
        <v>0</v>
      </c>
      <c r="M1839" s="8">
        <v>0</v>
      </c>
      <c r="N1839" s="8">
        <v>1</v>
      </c>
      <c r="O1839" s="8" t="s">
        <v>791</v>
      </c>
      <c r="P1839" s="8">
        <v>100</v>
      </c>
      <c r="Q1839" s="8" t="s">
        <v>2165</v>
      </c>
      <c r="R1839" s="8" t="s">
        <v>2166</v>
      </c>
      <c r="S1839" s="8">
        <v>212</v>
      </c>
    </row>
    <row r="1840" spans="1:19" ht="25" customHeight="1">
      <c r="A1840" s="12">
        <v>183</v>
      </c>
      <c r="B1840" s="8" t="s">
        <v>2070</v>
      </c>
      <c r="C1840" s="8" t="s">
        <v>706</v>
      </c>
      <c r="D1840" s="8" t="s">
        <v>449</v>
      </c>
      <c r="E1840" s="8" t="s">
        <v>27</v>
      </c>
      <c r="F1840" s="8">
        <v>1</v>
      </c>
      <c r="G1840" s="8">
        <v>1</v>
      </c>
      <c r="H1840" s="8">
        <v>0</v>
      </c>
      <c r="I1840" s="8">
        <v>0</v>
      </c>
      <c r="J1840" s="8">
        <v>0</v>
      </c>
      <c r="K1840" s="8">
        <v>0</v>
      </c>
      <c r="L1840" s="8">
        <v>4</v>
      </c>
      <c r="M1840" s="8">
        <v>0</v>
      </c>
      <c r="N1840" s="8">
        <v>1</v>
      </c>
      <c r="O1840" s="8" t="s">
        <v>791</v>
      </c>
      <c r="P1840" s="8">
        <v>26</v>
      </c>
      <c r="Q1840" s="8" t="s">
        <v>2165</v>
      </c>
      <c r="R1840" s="8" t="s">
        <v>2166</v>
      </c>
      <c r="S1840" s="8">
        <v>213</v>
      </c>
    </row>
    <row r="1841" spans="1:19" ht="25" customHeight="1">
      <c r="A1841" s="12">
        <v>184</v>
      </c>
      <c r="B1841" s="8" t="s">
        <v>2070</v>
      </c>
      <c r="C1841" s="8" t="s">
        <v>711</v>
      </c>
      <c r="D1841" s="8" t="s">
        <v>449</v>
      </c>
      <c r="E1841" s="8" t="s">
        <v>42</v>
      </c>
      <c r="F1841" s="8">
        <v>1</v>
      </c>
      <c r="G1841" s="11">
        <v>0.5</v>
      </c>
      <c r="H1841" s="8">
        <v>0</v>
      </c>
      <c r="I1841" s="8">
        <v>0</v>
      </c>
      <c r="J1841" s="8">
        <v>1</v>
      </c>
      <c r="K1841" s="8">
        <v>1</v>
      </c>
      <c r="L1841" s="8">
        <v>29</v>
      </c>
      <c r="M1841" s="8">
        <v>0</v>
      </c>
      <c r="N1841" s="8">
        <v>1</v>
      </c>
      <c r="O1841" s="8" t="s">
        <v>791</v>
      </c>
      <c r="P1841" s="8">
        <v>0</v>
      </c>
      <c r="Q1841" s="8" t="s">
        <v>2161</v>
      </c>
      <c r="R1841" s="8" t="s">
        <v>2162</v>
      </c>
      <c r="S1841" s="8">
        <v>214</v>
      </c>
    </row>
    <row r="1842" spans="1:19" ht="25" customHeight="1">
      <c r="A1842" s="12">
        <v>185</v>
      </c>
      <c r="B1842" s="8" t="s">
        <v>2063</v>
      </c>
      <c r="C1842" s="8" t="s">
        <v>115</v>
      </c>
      <c r="D1842" s="8" t="s">
        <v>465</v>
      </c>
      <c r="E1842" s="8" t="s">
        <v>35</v>
      </c>
      <c r="F1842" s="8">
        <v>1</v>
      </c>
      <c r="G1842" s="11">
        <v>0.3333333333333333</v>
      </c>
      <c r="H1842" s="8">
        <v>1</v>
      </c>
      <c r="I1842" s="8">
        <v>1</v>
      </c>
      <c r="J1842" s="8">
        <v>0</v>
      </c>
      <c r="K1842" s="8">
        <v>0</v>
      </c>
      <c r="L1842" s="8">
        <v>-1</v>
      </c>
      <c r="M1842" s="8">
        <v>1</v>
      </c>
      <c r="N1842" s="8">
        <v>0</v>
      </c>
      <c r="O1842" s="8" t="s">
        <v>791</v>
      </c>
      <c r="P1842" s="8">
        <v>100</v>
      </c>
      <c r="Q1842" s="8" t="s">
        <v>2165</v>
      </c>
      <c r="R1842" s="8" t="s">
        <v>2166</v>
      </c>
      <c r="S1842" s="8">
        <v>215</v>
      </c>
    </row>
    <row r="1843" spans="1:19" ht="25" customHeight="1">
      <c r="A1843" s="12">
        <v>186</v>
      </c>
      <c r="B1843" s="8" t="s">
        <v>2063</v>
      </c>
      <c r="C1843" s="8" t="s">
        <v>115</v>
      </c>
      <c r="D1843" s="8" t="s">
        <v>480</v>
      </c>
      <c r="E1843" s="8" t="s">
        <v>35</v>
      </c>
      <c r="F1843" s="8">
        <v>1</v>
      </c>
      <c r="G1843" s="8">
        <v>1</v>
      </c>
      <c r="H1843" s="8">
        <v>1</v>
      </c>
      <c r="I1843" s="8">
        <v>1</v>
      </c>
      <c r="J1843" s="8">
        <v>0</v>
      </c>
      <c r="K1843" s="8">
        <v>0</v>
      </c>
      <c r="L1843" s="8">
        <v>3</v>
      </c>
      <c r="M1843" s="8">
        <v>0</v>
      </c>
      <c r="N1843" s="8">
        <v>1</v>
      </c>
      <c r="O1843" s="8" t="s">
        <v>791</v>
      </c>
      <c r="P1843" s="8">
        <v>97</v>
      </c>
      <c r="Q1843" s="8" t="s">
        <v>2165</v>
      </c>
      <c r="R1843" s="8" t="s">
        <v>2166</v>
      </c>
      <c r="S1843" s="8">
        <v>216</v>
      </c>
    </row>
    <row r="1844" spans="1:19" ht="25" customHeight="1">
      <c r="A1844" s="12">
        <v>187</v>
      </c>
      <c r="B1844" s="8" t="s">
        <v>2063</v>
      </c>
      <c r="C1844" s="8" t="s">
        <v>115</v>
      </c>
      <c r="D1844" s="8" t="s">
        <v>605</v>
      </c>
      <c r="E1844" s="8" t="s">
        <v>35</v>
      </c>
      <c r="F1844" s="8">
        <v>1</v>
      </c>
      <c r="G1844" s="8">
        <v>1</v>
      </c>
      <c r="H1844" s="8">
        <v>1</v>
      </c>
      <c r="I1844" s="8">
        <v>1</v>
      </c>
      <c r="J1844" s="8">
        <v>0</v>
      </c>
      <c r="K1844" s="8">
        <v>0</v>
      </c>
      <c r="L1844" s="8">
        <v>0</v>
      </c>
      <c r="M1844" s="8">
        <v>0</v>
      </c>
      <c r="N1844" s="8">
        <v>1</v>
      </c>
      <c r="O1844" s="8" t="s">
        <v>791</v>
      </c>
      <c r="P1844" s="8">
        <v>100</v>
      </c>
      <c r="Q1844" s="8" t="s">
        <v>2165</v>
      </c>
      <c r="R1844" s="8" t="s">
        <v>2166</v>
      </c>
      <c r="S1844" s="8">
        <v>217</v>
      </c>
    </row>
    <row r="1845" spans="1:19" ht="25" customHeight="1">
      <c r="A1845" s="12">
        <v>188</v>
      </c>
      <c r="B1845" s="8" t="s">
        <v>2063</v>
      </c>
      <c r="C1845" s="8" t="s">
        <v>115</v>
      </c>
      <c r="D1845" s="8" t="s">
        <v>449</v>
      </c>
      <c r="E1845" s="8" t="s">
        <v>35</v>
      </c>
      <c r="F1845" s="8">
        <v>1</v>
      </c>
      <c r="G1845" s="11">
        <v>0.3333333333333333</v>
      </c>
      <c r="H1845" s="8">
        <v>1</v>
      </c>
      <c r="I1845" s="8">
        <v>1</v>
      </c>
      <c r="J1845" s="8">
        <v>0</v>
      </c>
      <c r="K1845" s="8">
        <v>0</v>
      </c>
      <c r="L1845" s="8">
        <v>2</v>
      </c>
      <c r="M1845" s="8">
        <v>0</v>
      </c>
      <c r="N1845" s="8">
        <v>1</v>
      </c>
      <c r="O1845" s="8" t="s">
        <v>791</v>
      </c>
      <c r="P1845" s="8">
        <v>98</v>
      </c>
      <c r="Q1845" s="8" t="s">
        <v>2165</v>
      </c>
      <c r="R1845" s="8" t="s">
        <v>2166</v>
      </c>
      <c r="S1845" s="8">
        <v>218</v>
      </c>
    </row>
    <row r="1846" spans="1:19" ht="25" customHeight="1">
      <c r="A1846" s="12">
        <v>189</v>
      </c>
      <c r="B1846" s="8" t="s">
        <v>2063</v>
      </c>
      <c r="C1846" s="8" t="s">
        <v>115</v>
      </c>
      <c r="D1846" s="8" t="s">
        <v>428</v>
      </c>
      <c r="E1846" s="8" t="s">
        <v>35</v>
      </c>
      <c r="F1846" s="8">
        <v>1</v>
      </c>
      <c r="G1846" s="11">
        <v>0.08333333333333333</v>
      </c>
      <c r="H1846" s="8">
        <v>0</v>
      </c>
      <c r="I1846" s="8">
        <v>0</v>
      </c>
      <c r="J1846" s="8">
        <v>0</v>
      </c>
      <c r="K1846" s="8">
        <v>0</v>
      </c>
      <c r="L1846" s="8">
        <v>9</v>
      </c>
      <c r="M1846" s="8">
        <v>1</v>
      </c>
      <c r="N1846" s="8">
        <v>0</v>
      </c>
      <c r="O1846" s="8" t="s">
        <v>791</v>
      </c>
      <c r="P1846" s="8">
        <v>21</v>
      </c>
      <c r="Q1846" s="8" t="s">
        <v>2165</v>
      </c>
      <c r="R1846" s="8" t="s">
        <v>2166</v>
      </c>
      <c r="S1846" s="8">
        <v>219</v>
      </c>
    </row>
    <row r="1847" spans="1:19" ht="25" customHeight="1">
      <c r="A1847" s="12">
        <v>190</v>
      </c>
      <c r="B1847" s="8" t="s">
        <v>2063</v>
      </c>
      <c r="C1847" s="8" t="s">
        <v>115</v>
      </c>
      <c r="D1847" s="8" t="s">
        <v>449</v>
      </c>
      <c r="E1847" s="8" t="s">
        <v>117</v>
      </c>
      <c r="F1847" s="8">
        <v>1</v>
      </c>
      <c r="G1847" s="11">
        <v>0.3333333333333333</v>
      </c>
      <c r="H1847" s="8">
        <v>0</v>
      </c>
      <c r="I1847" s="8">
        <v>0</v>
      </c>
      <c r="J1847" s="8">
        <v>1</v>
      </c>
      <c r="K1847" s="8">
        <v>1</v>
      </c>
      <c r="L1847" s="8">
        <v>16</v>
      </c>
      <c r="M1847" s="8">
        <v>0</v>
      </c>
      <c r="N1847" s="8">
        <v>1</v>
      </c>
      <c r="O1847" s="8" t="s">
        <v>791</v>
      </c>
      <c r="P1847" s="8">
        <v>0</v>
      </c>
      <c r="Q1847" s="8" t="s">
        <v>2161</v>
      </c>
      <c r="R1847" s="8" t="s">
        <v>2162</v>
      </c>
      <c r="S1847" s="8">
        <v>220</v>
      </c>
    </row>
    <row r="1848" spans="1:19" ht="25" customHeight="1">
      <c r="A1848" s="12">
        <v>191</v>
      </c>
      <c r="B1848" s="8" t="s">
        <v>2063</v>
      </c>
      <c r="C1848" s="8" t="s">
        <v>115</v>
      </c>
      <c r="D1848" s="8" t="s">
        <v>446</v>
      </c>
      <c r="E1848" s="8" t="s">
        <v>73</v>
      </c>
      <c r="F1848" s="8">
        <v>1</v>
      </c>
      <c r="G1848" s="11">
        <v>0.2</v>
      </c>
      <c r="H1848" s="8">
        <v>1</v>
      </c>
      <c r="I1848" s="8">
        <v>1</v>
      </c>
      <c r="J1848" s="8">
        <v>0</v>
      </c>
      <c r="K1848" s="8">
        <v>0</v>
      </c>
      <c r="L1848" s="8">
        <v>0</v>
      </c>
      <c r="M1848" s="8">
        <v>0</v>
      </c>
      <c r="N1848" s="8">
        <v>1</v>
      </c>
      <c r="O1848" s="8" t="s">
        <v>791</v>
      </c>
      <c r="P1848" s="8">
        <v>100</v>
      </c>
      <c r="Q1848" s="8" t="s">
        <v>2165</v>
      </c>
      <c r="R1848" s="8" t="s">
        <v>2166</v>
      </c>
      <c r="S1848" s="8">
        <v>221</v>
      </c>
    </row>
    <row r="1849" spans="1:19" ht="25" customHeight="1">
      <c r="A1849" s="12">
        <v>192</v>
      </c>
      <c r="B1849" s="8" t="s">
        <v>2063</v>
      </c>
      <c r="C1849" s="8" t="s">
        <v>115</v>
      </c>
      <c r="D1849" s="8" t="s">
        <v>611</v>
      </c>
      <c r="E1849" s="8" t="s">
        <v>67</v>
      </c>
      <c r="F1849" s="8">
        <v>1</v>
      </c>
      <c r="G1849" s="8">
        <v>1</v>
      </c>
      <c r="H1849" s="8">
        <v>1</v>
      </c>
      <c r="I1849" s="8">
        <v>1</v>
      </c>
      <c r="J1849" s="8">
        <v>0</v>
      </c>
      <c r="K1849" s="8">
        <v>0</v>
      </c>
      <c r="L1849" s="8">
        <v>3</v>
      </c>
      <c r="M1849" s="8">
        <v>1</v>
      </c>
      <c r="N1849" s="8">
        <v>0</v>
      </c>
      <c r="O1849" s="8" t="s">
        <v>791</v>
      </c>
      <c r="P1849" s="8">
        <v>97</v>
      </c>
      <c r="Q1849" s="8" t="s">
        <v>2165</v>
      </c>
      <c r="R1849" s="8" t="s">
        <v>2166</v>
      </c>
      <c r="S1849" s="8">
        <v>222</v>
      </c>
    </row>
    <row r="1850" spans="1:19" ht="25" customHeight="1">
      <c r="A1850" s="12">
        <v>193</v>
      </c>
      <c r="B1850" s="8" t="s">
        <v>2066</v>
      </c>
      <c r="C1850" s="8" t="s">
        <v>716</v>
      </c>
      <c r="D1850" s="8" t="s">
        <v>452</v>
      </c>
      <c r="E1850" s="8" t="s">
        <v>52</v>
      </c>
      <c r="F1850" s="8">
        <v>1</v>
      </c>
      <c r="G1850" s="8">
        <v>1</v>
      </c>
      <c r="H1850" s="8">
        <v>1</v>
      </c>
      <c r="I1850" s="8">
        <v>1</v>
      </c>
      <c r="J1850" s="8">
        <v>0</v>
      </c>
      <c r="K1850" s="8">
        <v>0</v>
      </c>
      <c r="L1850" s="8">
        <v>0</v>
      </c>
      <c r="M1850" s="8">
        <v>0</v>
      </c>
      <c r="N1850" s="8">
        <v>1</v>
      </c>
      <c r="O1850" s="8" t="s">
        <v>791</v>
      </c>
      <c r="P1850" s="8">
        <v>100</v>
      </c>
      <c r="Q1850" s="8" t="s">
        <v>2165</v>
      </c>
      <c r="R1850" s="8" t="s">
        <v>2166</v>
      </c>
      <c r="S1850" s="8">
        <v>223</v>
      </c>
    </row>
    <row r="1851" spans="1:19" ht="25" customHeight="1">
      <c r="A1851" s="12">
        <v>194</v>
      </c>
      <c r="B1851" s="8" t="s">
        <v>2066</v>
      </c>
      <c r="C1851" s="8" t="s">
        <v>716</v>
      </c>
      <c r="D1851" s="8" t="s">
        <v>460</v>
      </c>
      <c r="E1851" s="8" t="s">
        <v>52</v>
      </c>
      <c r="F1851" s="8">
        <v>1</v>
      </c>
      <c r="G1851" s="11">
        <v>0.5</v>
      </c>
      <c r="H1851" s="8">
        <v>1</v>
      </c>
      <c r="I1851" s="8">
        <v>1</v>
      </c>
      <c r="J1851" s="8">
        <v>0</v>
      </c>
      <c r="K1851" s="8">
        <v>0</v>
      </c>
      <c r="L1851" s="8">
        <v>2</v>
      </c>
      <c r="M1851" s="8">
        <v>0</v>
      </c>
      <c r="N1851" s="8">
        <v>1</v>
      </c>
      <c r="O1851" s="8" t="s">
        <v>791</v>
      </c>
      <c r="P1851" s="8">
        <v>98</v>
      </c>
      <c r="Q1851" s="8" t="s">
        <v>2165</v>
      </c>
      <c r="R1851" s="8" t="s">
        <v>2166</v>
      </c>
      <c r="S1851" s="8">
        <v>225</v>
      </c>
    </row>
    <row r="1852" spans="1:19" ht="25" customHeight="1">
      <c r="A1852" s="12">
        <v>195</v>
      </c>
      <c r="B1852" s="8" t="s">
        <v>2066</v>
      </c>
      <c r="C1852" s="8" t="s">
        <v>716</v>
      </c>
      <c r="D1852" s="8" t="s">
        <v>449</v>
      </c>
      <c r="E1852" s="8" t="s">
        <v>52</v>
      </c>
      <c r="F1852" s="8">
        <v>1</v>
      </c>
      <c r="G1852" s="11">
        <v>0.05263157894736842</v>
      </c>
      <c r="H1852" s="8">
        <v>0</v>
      </c>
      <c r="I1852" s="8">
        <v>0</v>
      </c>
      <c r="J1852" s="8">
        <v>1</v>
      </c>
      <c r="K1852" s="8">
        <v>1</v>
      </c>
      <c r="L1852" s="8">
        <v>15</v>
      </c>
      <c r="M1852" s="8">
        <v>0</v>
      </c>
      <c r="N1852" s="8">
        <v>1</v>
      </c>
      <c r="O1852" s="8" t="s">
        <v>791</v>
      </c>
      <c r="P1852" s="8">
        <v>0</v>
      </c>
      <c r="Q1852" s="8" t="s">
        <v>2161</v>
      </c>
      <c r="R1852" s="8" t="s">
        <v>2162</v>
      </c>
      <c r="S1852" s="8">
        <v>226</v>
      </c>
    </row>
    <row r="1853" spans="1:19" ht="25" customHeight="1">
      <c r="A1853" s="12">
        <v>196</v>
      </c>
      <c r="B1853" s="8" t="s">
        <v>2066</v>
      </c>
      <c r="C1853" s="8" t="s">
        <v>716</v>
      </c>
      <c r="D1853" s="8" t="s">
        <v>446</v>
      </c>
      <c r="E1853" s="8" t="s">
        <v>53</v>
      </c>
      <c r="F1853" s="8">
        <v>1</v>
      </c>
      <c r="G1853" s="11">
        <v>0.1666666666666667</v>
      </c>
      <c r="H1853" s="8">
        <v>1</v>
      </c>
      <c r="I1853" s="8">
        <v>1</v>
      </c>
      <c r="J1853" s="8">
        <v>0</v>
      </c>
      <c r="K1853" s="8">
        <v>0</v>
      </c>
      <c r="L1853" s="8">
        <v>6</v>
      </c>
      <c r="M1853" s="8">
        <v>0</v>
      </c>
      <c r="N1853" s="8">
        <v>1</v>
      </c>
      <c r="O1853" s="8" t="s">
        <v>791</v>
      </c>
      <c r="P1853" s="8">
        <v>94</v>
      </c>
      <c r="Q1853" s="8" t="s">
        <v>2165</v>
      </c>
      <c r="R1853" s="8" t="s">
        <v>2166</v>
      </c>
      <c r="S1853" s="8">
        <v>227</v>
      </c>
    </row>
    <row r="1854" spans="1:19" ht="25" customHeight="1">
      <c r="A1854" s="12">
        <v>197</v>
      </c>
      <c r="B1854" s="8" t="s">
        <v>2066</v>
      </c>
      <c r="C1854" s="8" t="s">
        <v>716</v>
      </c>
      <c r="D1854" s="8" t="s">
        <v>465</v>
      </c>
      <c r="E1854" s="8" t="s">
        <v>53</v>
      </c>
      <c r="F1854" s="8">
        <v>1</v>
      </c>
      <c r="G1854" s="11">
        <v>0.1428571428571428</v>
      </c>
      <c r="H1854" s="8">
        <v>1</v>
      </c>
      <c r="I1854" s="8">
        <v>1</v>
      </c>
      <c r="J1854" s="8">
        <v>0</v>
      </c>
      <c r="K1854" s="8">
        <v>0</v>
      </c>
      <c r="L1854" s="8">
        <v>-1</v>
      </c>
      <c r="M1854" s="8">
        <v>1</v>
      </c>
      <c r="N1854" s="8">
        <v>0</v>
      </c>
      <c r="O1854" s="8" t="s">
        <v>791</v>
      </c>
      <c r="P1854" s="8">
        <v>100</v>
      </c>
      <c r="Q1854" s="8" t="s">
        <v>2165</v>
      </c>
      <c r="R1854" s="8" t="s">
        <v>2166</v>
      </c>
      <c r="S1854" s="8">
        <v>228</v>
      </c>
    </row>
    <row r="1855" spans="1:19" ht="25" customHeight="1">
      <c r="A1855" s="12">
        <v>198</v>
      </c>
      <c r="B1855" s="8" t="s">
        <v>2066</v>
      </c>
      <c r="C1855" s="8" t="s">
        <v>716</v>
      </c>
      <c r="D1855" s="8" t="s">
        <v>432</v>
      </c>
      <c r="E1855" s="8" t="s">
        <v>53</v>
      </c>
      <c r="F1855" s="8">
        <v>1</v>
      </c>
      <c r="G1855" s="11">
        <v>0.25</v>
      </c>
      <c r="H1855" s="8">
        <v>0</v>
      </c>
      <c r="I1855" s="8">
        <v>0</v>
      </c>
      <c r="J1855" s="8">
        <v>0</v>
      </c>
      <c r="K1855" s="8">
        <v>0</v>
      </c>
      <c r="L1855" s="8">
        <v>8</v>
      </c>
      <c r="M1855" s="8">
        <v>1</v>
      </c>
      <c r="N1855" s="8">
        <v>0</v>
      </c>
      <c r="O1855" s="8" t="s">
        <v>791</v>
      </c>
      <c r="P1855" s="8">
        <v>22</v>
      </c>
      <c r="Q1855" s="8" t="s">
        <v>2165</v>
      </c>
      <c r="R1855" s="8" t="s">
        <v>2166</v>
      </c>
      <c r="S1855" s="8">
        <v>229</v>
      </c>
    </row>
    <row r="1856" spans="1:19" ht="25" customHeight="1">
      <c r="A1856" s="12">
        <v>199</v>
      </c>
      <c r="B1856" s="8" t="s">
        <v>2066</v>
      </c>
      <c r="C1856" s="8" t="s">
        <v>716</v>
      </c>
      <c r="D1856" s="8" t="s">
        <v>449</v>
      </c>
      <c r="E1856" s="8" t="s">
        <v>35</v>
      </c>
      <c r="F1856" s="8">
        <v>3</v>
      </c>
      <c r="G1856" s="11">
        <v>0.1578947368421053</v>
      </c>
      <c r="H1856" s="8">
        <v>3</v>
      </c>
      <c r="I1856" s="8">
        <v>1</v>
      </c>
      <c r="J1856" s="8">
        <v>0</v>
      </c>
      <c r="K1856" s="8">
        <v>0</v>
      </c>
      <c r="L1856" s="11">
        <v>0.6666666666666666</v>
      </c>
      <c r="M1856" s="8">
        <v>0</v>
      </c>
      <c r="N1856" s="8">
        <v>1</v>
      </c>
      <c r="O1856" s="8" t="s">
        <v>801</v>
      </c>
      <c r="P1856" s="11">
        <v>99.3</v>
      </c>
      <c r="Q1856" s="8" t="s">
        <v>2169</v>
      </c>
      <c r="R1856" s="8" t="s">
        <v>2168</v>
      </c>
      <c r="S1856" s="8">
        <v>231</v>
      </c>
    </row>
    <row r="1857" spans="1:19" ht="25" customHeight="1">
      <c r="A1857" s="12">
        <v>200</v>
      </c>
      <c r="B1857" s="8" t="s">
        <v>2066</v>
      </c>
      <c r="C1857" s="8" t="s">
        <v>716</v>
      </c>
      <c r="D1857" s="8" t="s">
        <v>465</v>
      </c>
      <c r="E1857" s="8" t="s">
        <v>67</v>
      </c>
      <c r="F1857" s="8">
        <v>1</v>
      </c>
      <c r="G1857" s="11">
        <v>0.1428571428571428</v>
      </c>
      <c r="H1857" s="8">
        <v>0</v>
      </c>
      <c r="I1857" s="8">
        <v>0</v>
      </c>
      <c r="J1857" s="8">
        <v>0</v>
      </c>
      <c r="K1857" s="8">
        <v>0</v>
      </c>
      <c r="L1857" s="8">
        <v>4</v>
      </c>
      <c r="M1857" s="8">
        <v>1</v>
      </c>
      <c r="N1857" s="8">
        <v>0</v>
      </c>
      <c r="O1857" s="8" t="s">
        <v>791</v>
      </c>
      <c r="P1857" s="8">
        <v>26</v>
      </c>
      <c r="Q1857" s="8" t="s">
        <v>2165</v>
      </c>
      <c r="R1857" s="8" t="s">
        <v>2166</v>
      </c>
      <c r="S1857" s="8">
        <v>234</v>
      </c>
    </row>
    <row r="1858" spans="1:19" ht="25" customHeight="1">
      <c r="A1858" s="12">
        <v>201</v>
      </c>
      <c r="B1858" s="8" t="s">
        <v>2066</v>
      </c>
      <c r="C1858" s="8" t="s">
        <v>716</v>
      </c>
      <c r="D1858" s="8" t="s">
        <v>432</v>
      </c>
      <c r="E1858" s="8" t="s">
        <v>67</v>
      </c>
      <c r="F1858" s="8">
        <v>1</v>
      </c>
      <c r="G1858" s="11">
        <v>0.25</v>
      </c>
      <c r="H1858" s="8">
        <v>0</v>
      </c>
      <c r="I1858" s="8">
        <v>0</v>
      </c>
      <c r="J1858" s="8">
        <v>0</v>
      </c>
      <c r="K1858" s="8">
        <v>0</v>
      </c>
      <c r="L1858" s="8">
        <v>6</v>
      </c>
      <c r="M1858" s="8">
        <v>1</v>
      </c>
      <c r="N1858" s="8">
        <v>0</v>
      </c>
      <c r="O1858" s="8" t="s">
        <v>791</v>
      </c>
      <c r="P1858" s="8">
        <v>24</v>
      </c>
      <c r="Q1858" s="8" t="s">
        <v>2165</v>
      </c>
      <c r="R1858" s="8" t="s">
        <v>2166</v>
      </c>
      <c r="S1858" s="8">
        <v>235</v>
      </c>
    </row>
    <row r="1859" spans="1:19" ht="25" customHeight="1">
      <c r="A1859" s="12">
        <v>202</v>
      </c>
      <c r="B1859" s="8" t="s">
        <v>2066</v>
      </c>
      <c r="C1859" s="8" t="s">
        <v>716</v>
      </c>
      <c r="D1859" s="8" t="s">
        <v>428</v>
      </c>
      <c r="E1859" s="8" t="s">
        <v>67</v>
      </c>
      <c r="F1859" s="8">
        <v>1</v>
      </c>
      <c r="G1859" s="11">
        <v>0.05882352941176471</v>
      </c>
      <c r="H1859" s="8">
        <v>1</v>
      </c>
      <c r="I1859" s="8">
        <v>1</v>
      </c>
      <c r="J1859" s="8">
        <v>0</v>
      </c>
      <c r="K1859" s="8">
        <v>0</v>
      </c>
      <c r="L1859" s="8">
        <v>-5</v>
      </c>
      <c r="M1859" s="8">
        <v>1</v>
      </c>
      <c r="N1859" s="8">
        <v>0</v>
      </c>
      <c r="O1859" s="8" t="s">
        <v>791</v>
      </c>
      <c r="P1859" s="8">
        <v>100</v>
      </c>
      <c r="Q1859" s="8" t="s">
        <v>2165</v>
      </c>
      <c r="R1859" s="8" t="s">
        <v>2166</v>
      </c>
      <c r="S1859" s="8">
        <v>236</v>
      </c>
    </row>
    <row r="1860" spans="1:19" ht="25" customHeight="1">
      <c r="A1860" s="12">
        <v>203</v>
      </c>
      <c r="B1860" s="8" t="s">
        <v>2066</v>
      </c>
      <c r="C1860" s="8" t="s">
        <v>716</v>
      </c>
      <c r="D1860" s="8" t="s">
        <v>428</v>
      </c>
      <c r="E1860" s="8" t="s">
        <v>40</v>
      </c>
      <c r="F1860" s="8">
        <v>1</v>
      </c>
      <c r="G1860" s="11">
        <v>0.05882352941176471</v>
      </c>
      <c r="H1860" s="8">
        <v>0</v>
      </c>
      <c r="I1860" s="8">
        <v>0</v>
      </c>
      <c r="J1860" s="8">
        <v>0</v>
      </c>
      <c r="K1860" s="8">
        <v>0</v>
      </c>
      <c r="L1860" s="8">
        <v>5</v>
      </c>
      <c r="M1860" s="8">
        <v>1</v>
      </c>
      <c r="N1860" s="8">
        <v>0</v>
      </c>
      <c r="O1860" s="8" t="s">
        <v>791</v>
      </c>
      <c r="P1860" s="8">
        <v>25</v>
      </c>
      <c r="Q1860" s="8" t="s">
        <v>2165</v>
      </c>
      <c r="R1860" s="8" t="s">
        <v>2166</v>
      </c>
      <c r="S1860" s="8">
        <v>237</v>
      </c>
    </row>
    <row r="1861" spans="1:19" ht="25" customHeight="1">
      <c r="A1861" s="12">
        <v>204</v>
      </c>
      <c r="B1861" s="8" t="s">
        <v>2066</v>
      </c>
      <c r="C1861" s="8" t="s">
        <v>716</v>
      </c>
      <c r="D1861" s="8" t="s">
        <v>474</v>
      </c>
      <c r="E1861" s="8" t="s">
        <v>44</v>
      </c>
      <c r="F1861" s="8">
        <v>1</v>
      </c>
      <c r="G1861" s="11">
        <v>0.5</v>
      </c>
      <c r="H1861" s="8">
        <v>1</v>
      </c>
      <c r="I1861" s="8">
        <v>1</v>
      </c>
      <c r="J1861" s="8">
        <v>0</v>
      </c>
      <c r="K1861" s="8">
        <v>0</v>
      </c>
      <c r="L1861" s="8">
        <v>0</v>
      </c>
      <c r="M1861" s="8">
        <v>0</v>
      </c>
      <c r="N1861" s="8">
        <v>1</v>
      </c>
      <c r="O1861" s="8" t="s">
        <v>791</v>
      </c>
      <c r="P1861" s="8">
        <v>100</v>
      </c>
      <c r="Q1861" s="8" t="s">
        <v>2165</v>
      </c>
      <c r="R1861" s="8" t="s">
        <v>2166</v>
      </c>
      <c r="S1861" s="8">
        <v>238</v>
      </c>
    </row>
    <row r="1862" spans="1:19" ht="25" customHeight="1">
      <c r="A1862" s="12">
        <v>205</v>
      </c>
      <c r="B1862" s="8" t="s">
        <v>2066</v>
      </c>
      <c r="C1862" s="8" t="s">
        <v>716</v>
      </c>
      <c r="D1862" s="8" t="s">
        <v>471</v>
      </c>
      <c r="E1862" s="8" t="s">
        <v>46</v>
      </c>
      <c r="F1862" s="8">
        <v>1</v>
      </c>
      <c r="G1862" s="11">
        <v>0.2</v>
      </c>
      <c r="H1862" s="8">
        <v>0</v>
      </c>
      <c r="I1862" s="8">
        <v>0</v>
      </c>
      <c r="J1862" s="8">
        <v>1</v>
      </c>
      <c r="K1862" s="8">
        <v>1</v>
      </c>
      <c r="L1862" s="8">
        <v>24</v>
      </c>
      <c r="M1862" s="8">
        <v>0</v>
      </c>
      <c r="N1862" s="8">
        <v>1</v>
      </c>
      <c r="O1862" s="8" t="s">
        <v>791</v>
      </c>
      <c r="P1862" s="8">
        <v>0</v>
      </c>
      <c r="Q1862" s="8" t="s">
        <v>2161</v>
      </c>
      <c r="R1862" s="8" t="s">
        <v>2162</v>
      </c>
      <c r="S1862" s="8">
        <v>239</v>
      </c>
    </row>
    <row r="1863" spans="1:19" ht="25" customHeight="1">
      <c r="A1863" s="12">
        <v>206</v>
      </c>
      <c r="B1863" s="8" t="s">
        <v>2066</v>
      </c>
      <c r="C1863" s="8" t="s">
        <v>716</v>
      </c>
      <c r="D1863" s="8" t="s">
        <v>428</v>
      </c>
      <c r="E1863" s="8" t="s">
        <v>51</v>
      </c>
      <c r="F1863" s="8">
        <v>1</v>
      </c>
      <c r="G1863" s="11">
        <v>0.05882352941176471</v>
      </c>
      <c r="H1863" s="8">
        <v>0</v>
      </c>
      <c r="I1863" s="8">
        <v>0</v>
      </c>
      <c r="J1863" s="8">
        <v>0</v>
      </c>
      <c r="K1863" s="8">
        <v>0</v>
      </c>
      <c r="L1863" s="8">
        <v>4</v>
      </c>
      <c r="M1863" s="8">
        <v>1</v>
      </c>
      <c r="N1863" s="8">
        <v>0</v>
      </c>
      <c r="O1863" s="8" t="s">
        <v>791</v>
      </c>
      <c r="P1863" s="8">
        <v>26</v>
      </c>
      <c r="Q1863" s="8" t="s">
        <v>2165</v>
      </c>
      <c r="R1863" s="8" t="s">
        <v>2166</v>
      </c>
      <c r="S1863" s="8">
        <v>241</v>
      </c>
    </row>
    <row r="1864" spans="1:19" ht="25" customHeight="1">
      <c r="A1864" s="12">
        <v>207</v>
      </c>
      <c r="B1864" s="8" t="s">
        <v>2066</v>
      </c>
      <c r="C1864" s="8" t="s">
        <v>716</v>
      </c>
      <c r="D1864" s="8" t="s">
        <v>432</v>
      </c>
      <c r="E1864" s="8" t="s">
        <v>59</v>
      </c>
      <c r="F1864" s="8">
        <v>1</v>
      </c>
      <c r="G1864" s="11">
        <v>0.25</v>
      </c>
      <c r="H1864" s="8">
        <v>0</v>
      </c>
      <c r="I1864" s="8">
        <v>0</v>
      </c>
      <c r="J1864" s="8">
        <v>1</v>
      </c>
      <c r="K1864" s="8">
        <v>1</v>
      </c>
      <c r="L1864" s="8">
        <v>16</v>
      </c>
      <c r="M1864" s="8">
        <v>1</v>
      </c>
      <c r="N1864" s="8">
        <v>0</v>
      </c>
      <c r="O1864" s="8" t="s">
        <v>791</v>
      </c>
      <c r="P1864" s="8">
        <v>0</v>
      </c>
      <c r="Q1864" s="8" t="s">
        <v>2161</v>
      </c>
      <c r="R1864" s="8" t="s">
        <v>2162</v>
      </c>
      <c r="S1864" s="8">
        <v>242</v>
      </c>
    </row>
    <row r="1865" spans="1:19" ht="25" customHeight="1">
      <c r="A1865" s="12">
        <v>208</v>
      </c>
      <c r="B1865" s="8" t="s">
        <v>2066</v>
      </c>
      <c r="C1865" s="8" t="s">
        <v>716</v>
      </c>
      <c r="D1865" s="8" t="s">
        <v>428</v>
      </c>
      <c r="E1865" s="8" t="s">
        <v>60</v>
      </c>
      <c r="F1865" s="8">
        <v>1</v>
      </c>
      <c r="G1865" s="11">
        <v>0.05882352941176471</v>
      </c>
      <c r="H1865" s="8">
        <v>0</v>
      </c>
      <c r="I1865" s="8">
        <v>0</v>
      </c>
      <c r="J1865" s="8">
        <v>0</v>
      </c>
      <c r="K1865" s="8">
        <v>0</v>
      </c>
      <c r="L1865" s="8">
        <v>4</v>
      </c>
      <c r="M1865" s="8">
        <v>1</v>
      </c>
      <c r="N1865" s="8">
        <v>0</v>
      </c>
      <c r="O1865" s="8" t="s">
        <v>791</v>
      </c>
      <c r="P1865" s="8">
        <v>26</v>
      </c>
      <c r="Q1865" s="8" t="s">
        <v>2165</v>
      </c>
      <c r="R1865" s="8" t="s">
        <v>2166</v>
      </c>
      <c r="S1865" s="8">
        <v>243</v>
      </c>
    </row>
    <row r="1866" spans="1:19" ht="25" customHeight="1">
      <c r="A1866" s="12">
        <v>209</v>
      </c>
      <c r="B1866" s="8" t="s">
        <v>2066</v>
      </c>
      <c r="C1866" s="8" t="s">
        <v>716</v>
      </c>
      <c r="D1866" s="8" t="s">
        <v>468</v>
      </c>
      <c r="E1866" s="8" t="s">
        <v>61</v>
      </c>
      <c r="F1866" s="8">
        <v>1</v>
      </c>
      <c r="G1866" s="11">
        <v>0.125</v>
      </c>
      <c r="H1866" s="8">
        <v>1</v>
      </c>
      <c r="I1866" s="8">
        <v>1</v>
      </c>
      <c r="J1866" s="8">
        <v>0</v>
      </c>
      <c r="K1866" s="8">
        <v>0</v>
      </c>
      <c r="L1866" s="8">
        <v>3</v>
      </c>
      <c r="M1866" s="8">
        <v>0</v>
      </c>
      <c r="N1866" s="8">
        <v>1</v>
      </c>
      <c r="O1866" s="8" t="s">
        <v>791</v>
      </c>
      <c r="P1866" s="8">
        <v>97</v>
      </c>
      <c r="Q1866" s="8" t="s">
        <v>2165</v>
      </c>
      <c r="R1866" s="8" t="s">
        <v>2166</v>
      </c>
      <c r="S1866" s="8">
        <v>244</v>
      </c>
    </row>
    <row r="1867" spans="1:19" ht="25" customHeight="1">
      <c r="A1867" s="12">
        <v>210</v>
      </c>
      <c r="B1867" s="8" t="s">
        <v>2066</v>
      </c>
      <c r="C1867" s="8" t="s">
        <v>716</v>
      </c>
      <c r="D1867" s="8" t="s">
        <v>428</v>
      </c>
      <c r="E1867" s="8" t="s">
        <v>63</v>
      </c>
      <c r="F1867" s="8">
        <v>1</v>
      </c>
      <c r="G1867" s="11">
        <v>0.05882352941176471</v>
      </c>
      <c r="H1867" s="8">
        <v>0</v>
      </c>
      <c r="I1867" s="8">
        <v>0</v>
      </c>
      <c r="J1867" s="8">
        <v>0</v>
      </c>
      <c r="K1867" s="8">
        <v>0</v>
      </c>
      <c r="L1867" s="8">
        <v>7</v>
      </c>
      <c r="M1867" s="8">
        <v>1</v>
      </c>
      <c r="N1867" s="8">
        <v>0</v>
      </c>
      <c r="O1867" s="8" t="s">
        <v>791</v>
      </c>
      <c r="P1867" s="8">
        <v>23</v>
      </c>
      <c r="Q1867" s="8" t="s">
        <v>2165</v>
      </c>
      <c r="R1867" s="8" t="s">
        <v>2166</v>
      </c>
      <c r="S1867" s="8">
        <v>245</v>
      </c>
    </row>
    <row r="1868" spans="1:19" ht="25" customHeight="1">
      <c r="A1868" s="12">
        <v>211</v>
      </c>
      <c r="B1868" s="8" t="s">
        <v>2067</v>
      </c>
      <c r="C1868" s="8" t="s">
        <v>711</v>
      </c>
      <c r="D1868" s="8" t="s">
        <v>465</v>
      </c>
      <c r="E1868" s="8" t="s">
        <v>35</v>
      </c>
      <c r="F1868" s="8">
        <v>1</v>
      </c>
      <c r="G1868" s="11">
        <v>0.2</v>
      </c>
      <c r="H1868" s="8">
        <v>1</v>
      </c>
      <c r="I1868" s="8">
        <v>1</v>
      </c>
      <c r="J1868" s="8">
        <v>0</v>
      </c>
      <c r="K1868" s="8">
        <v>0</v>
      </c>
      <c r="L1868" s="8">
        <v>1</v>
      </c>
      <c r="M1868" s="8">
        <v>1</v>
      </c>
      <c r="N1868" s="8">
        <v>0</v>
      </c>
      <c r="O1868" s="8" t="s">
        <v>791</v>
      </c>
      <c r="P1868" s="8">
        <v>99</v>
      </c>
      <c r="Q1868" s="8" t="s">
        <v>2165</v>
      </c>
      <c r="R1868" s="8" t="s">
        <v>2166</v>
      </c>
      <c r="S1868" s="8">
        <v>247</v>
      </c>
    </row>
    <row r="1869" spans="1:19" ht="25" customHeight="1">
      <c r="A1869" s="12">
        <v>212</v>
      </c>
      <c r="B1869" s="8" t="s">
        <v>2067</v>
      </c>
      <c r="C1869" s="8" t="s">
        <v>706</v>
      </c>
      <c r="D1869" s="8" t="s">
        <v>428</v>
      </c>
      <c r="E1869" s="8" t="s">
        <v>35</v>
      </c>
      <c r="F1869" s="8">
        <v>1</v>
      </c>
      <c r="G1869" s="11">
        <v>0.1666666666666667</v>
      </c>
      <c r="H1869" s="8">
        <v>0</v>
      </c>
      <c r="I1869" s="8">
        <v>0</v>
      </c>
      <c r="J1869" s="8">
        <v>1</v>
      </c>
      <c r="K1869" s="8">
        <v>1</v>
      </c>
      <c r="L1869" s="8">
        <v>16</v>
      </c>
      <c r="M1869" s="8">
        <v>1</v>
      </c>
      <c r="N1869" s="8">
        <v>0</v>
      </c>
      <c r="O1869" s="8" t="s">
        <v>791</v>
      </c>
      <c r="P1869" s="8">
        <v>0</v>
      </c>
      <c r="Q1869" s="8" t="s">
        <v>2161</v>
      </c>
      <c r="R1869" s="8" t="s">
        <v>2162</v>
      </c>
      <c r="S1869" s="8">
        <v>248</v>
      </c>
    </row>
    <row r="1870" spans="1:19" ht="25" customHeight="1">
      <c r="A1870" s="12">
        <v>213</v>
      </c>
      <c r="B1870" s="8" t="s">
        <v>2067</v>
      </c>
      <c r="C1870" s="8" t="s">
        <v>711</v>
      </c>
      <c r="D1870" s="8" t="s">
        <v>446</v>
      </c>
      <c r="E1870" s="8" t="s">
        <v>35</v>
      </c>
      <c r="F1870" s="8">
        <v>1</v>
      </c>
      <c r="G1870" s="11">
        <v>0.5</v>
      </c>
      <c r="H1870" s="8">
        <v>1</v>
      </c>
      <c r="I1870" s="8">
        <v>1</v>
      </c>
      <c r="J1870" s="8">
        <v>0</v>
      </c>
      <c r="K1870" s="8">
        <v>0</v>
      </c>
      <c r="L1870" s="8">
        <v>0</v>
      </c>
      <c r="M1870" s="8">
        <v>0</v>
      </c>
      <c r="N1870" s="8">
        <v>1</v>
      </c>
      <c r="O1870" s="8" t="s">
        <v>791</v>
      </c>
      <c r="P1870" s="8">
        <v>100</v>
      </c>
      <c r="Q1870" s="8" t="s">
        <v>2165</v>
      </c>
      <c r="R1870" s="8" t="s">
        <v>2166</v>
      </c>
      <c r="S1870" s="8">
        <v>249</v>
      </c>
    </row>
    <row r="1871" spans="1:19" ht="25" customHeight="1">
      <c r="A1871" s="12">
        <v>214</v>
      </c>
      <c r="B1871" s="8" t="s">
        <v>2067</v>
      </c>
      <c r="C1871" s="8" t="s">
        <v>711</v>
      </c>
      <c r="D1871" s="8" t="s">
        <v>449</v>
      </c>
      <c r="E1871" s="8" t="s">
        <v>52</v>
      </c>
      <c r="F1871" s="8">
        <v>1</v>
      </c>
      <c r="G1871" s="11">
        <v>0.2</v>
      </c>
      <c r="H1871" s="8">
        <v>1</v>
      </c>
      <c r="I1871" s="8">
        <v>1</v>
      </c>
      <c r="J1871" s="8">
        <v>0</v>
      </c>
      <c r="K1871" s="8">
        <v>0</v>
      </c>
      <c r="L1871" s="8">
        <v>0</v>
      </c>
      <c r="M1871" s="8">
        <v>0</v>
      </c>
      <c r="N1871" s="8">
        <v>1</v>
      </c>
      <c r="O1871" s="8" t="s">
        <v>791</v>
      </c>
      <c r="P1871" s="8">
        <v>100</v>
      </c>
      <c r="Q1871" s="8" t="s">
        <v>2165</v>
      </c>
      <c r="R1871" s="8" t="s">
        <v>2166</v>
      </c>
      <c r="S1871" s="8">
        <v>250</v>
      </c>
    </row>
    <row r="1872" spans="1:19" ht="25" customHeight="1">
      <c r="A1872" s="12">
        <v>215</v>
      </c>
      <c r="B1872" s="8" t="s">
        <v>2067</v>
      </c>
      <c r="C1872" s="8" t="s">
        <v>711</v>
      </c>
      <c r="D1872" s="8" t="s">
        <v>428</v>
      </c>
      <c r="E1872" s="8" t="s">
        <v>40</v>
      </c>
      <c r="F1872" s="8">
        <v>1</v>
      </c>
      <c r="G1872" s="11">
        <v>0.25</v>
      </c>
      <c r="H1872" s="8">
        <v>0</v>
      </c>
      <c r="I1872" s="8">
        <v>0</v>
      </c>
      <c r="J1872" s="8">
        <v>0</v>
      </c>
      <c r="K1872" s="8">
        <v>0</v>
      </c>
      <c r="L1872" s="8">
        <v>7</v>
      </c>
      <c r="M1872" s="8">
        <v>1</v>
      </c>
      <c r="N1872" s="8">
        <v>0</v>
      </c>
      <c r="O1872" s="8" t="s">
        <v>791</v>
      </c>
      <c r="P1872" s="8">
        <v>23</v>
      </c>
      <c r="Q1872" s="8" t="s">
        <v>2165</v>
      </c>
      <c r="R1872" s="8" t="s">
        <v>2166</v>
      </c>
      <c r="S1872" s="8">
        <v>251</v>
      </c>
    </row>
    <row r="1873" spans="1:19" ht="25" customHeight="1">
      <c r="A1873" s="12">
        <v>216</v>
      </c>
      <c r="B1873" s="8" t="s">
        <v>2067</v>
      </c>
      <c r="C1873" s="8" t="s">
        <v>716</v>
      </c>
      <c r="D1873" s="8" t="s">
        <v>428</v>
      </c>
      <c r="E1873" s="8" t="s">
        <v>40</v>
      </c>
      <c r="F1873" s="8">
        <v>1</v>
      </c>
      <c r="G1873" s="11">
        <v>0.1111111111111111</v>
      </c>
      <c r="H1873" s="8">
        <v>0</v>
      </c>
      <c r="I1873" s="8">
        <v>0</v>
      </c>
      <c r="J1873" s="8">
        <v>0</v>
      </c>
      <c r="K1873" s="8">
        <v>0</v>
      </c>
      <c r="L1873" s="8">
        <v>7</v>
      </c>
      <c r="M1873" s="8">
        <v>1</v>
      </c>
      <c r="N1873" s="8">
        <v>0</v>
      </c>
      <c r="O1873" s="8" t="s">
        <v>791</v>
      </c>
      <c r="P1873" s="8">
        <v>23</v>
      </c>
      <c r="Q1873" s="8" t="s">
        <v>2165</v>
      </c>
      <c r="R1873" s="8" t="s">
        <v>2166</v>
      </c>
      <c r="S1873" s="8">
        <v>252</v>
      </c>
    </row>
    <row r="1874" spans="1:19" ht="25" customHeight="1">
      <c r="A1874" s="12">
        <v>217</v>
      </c>
      <c r="B1874" s="8" t="s">
        <v>2067</v>
      </c>
      <c r="C1874" s="8" t="s">
        <v>720</v>
      </c>
      <c r="D1874" s="8" t="s">
        <v>498</v>
      </c>
      <c r="E1874" s="8" t="s">
        <v>61</v>
      </c>
      <c r="F1874" s="8">
        <v>1</v>
      </c>
      <c r="G1874" s="8">
        <v>1</v>
      </c>
      <c r="H1874" s="8">
        <v>1</v>
      </c>
      <c r="I1874" s="8">
        <v>1</v>
      </c>
      <c r="J1874" s="8">
        <v>0</v>
      </c>
      <c r="K1874" s="8">
        <v>0</v>
      </c>
      <c r="L1874" s="8">
        <v>0</v>
      </c>
      <c r="M1874" s="8">
        <v>0</v>
      </c>
      <c r="N1874" s="8">
        <v>1</v>
      </c>
      <c r="O1874" s="8" t="s">
        <v>791</v>
      </c>
      <c r="P1874" s="8">
        <v>100</v>
      </c>
      <c r="Q1874" s="8" t="s">
        <v>2165</v>
      </c>
      <c r="R1874" s="8" t="s">
        <v>2171</v>
      </c>
      <c r="S1874" s="8">
        <v>254</v>
      </c>
    </row>
    <row r="1875" spans="1:19" ht="25" customHeight="1">
      <c r="A1875" s="12">
        <v>218</v>
      </c>
      <c r="B1875" s="8" t="s">
        <v>2067</v>
      </c>
      <c r="C1875" s="8" t="s">
        <v>716</v>
      </c>
      <c r="D1875" s="8" t="s">
        <v>428</v>
      </c>
      <c r="E1875" s="8" t="s">
        <v>61</v>
      </c>
      <c r="F1875" s="8">
        <v>1</v>
      </c>
      <c r="G1875" s="11">
        <v>0.1111111111111111</v>
      </c>
      <c r="H1875" s="8">
        <v>0</v>
      </c>
      <c r="I1875" s="8">
        <v>0</v>
      </c>
      <c r="J1875" s="8">
        <v>0</v>
      </c>
      <c r="K1875" s="8">
        <v>0</v>
      </c>
      <c r="L1875" s="8">
        <v>4</v>
      </c>
      <c r="M1875" s="8">
        <v>1</v>
      </c>
      <c r="N1875" s="8">
        <v>0</v>
      </c>
      <c r="O1875" s="8" t="s">
        <v>791</v>
      </c>
      <c r="P1875" s="8">
        <v>26</v>
      </c>
      <c r="Q1875" s="8" t="s">
        <v>2165</v>
      </c>
      <c r="R1875" s="8" t="s">
        <v>2166</v>
      </c>
      <c r="S1875" s="8">
        <v>255</v>
      </c>
    </row>
    <row r="1876" spans="1:19" ht="25" customHeight="1">
      <c r="A1876" s="12">
        <v>219</v>
      </c>
      <c r="B1876" s="8" t="s">
        <v>2067</v>
      </c>
      <c r="C1876" s="8" t="s">
        <v>716</v>
      </c>
      <c r="D1876" s="8" t="s">
        <v>449</v>
      </c>
      <c r="E1876" s="8" t="s">
        <v>27</v>
      </c>
      <c r="F1876" s="8">
        <v>1</v>
      </c>
      <c r="G1876" s="11">
        <v>0.09090909090909091</v>
      </c>
      <c r="H1876" s="8">
        <v>1</v>
      </c>
      <c r="I1876" s="8">
        <v>1</v>
      </c>
      <c r="J1876" s="8">
        <v>0</v>
      </c>
      <c r="K1876" s="8">
        <v>0</v>
      </c>
      <c r="L1876" s="8">
        <v>0</v>
      </c>
      <c r="M1876" s="8">
        <v>0</v>
      </c>
      <c r="N1876" s="8">
        <v>1</v>
      </c>
      <c r="O1876" s="8" t="s">
        <v>791</v>
      </c>
      <c r="P1876" s="8">
        <v>100</v>
      </c>
      <c r="Q1876" s="8" t="s">
        <v>2165</v>
      </c>
      <c r="R1876" s="8" t="s">
        <v>2166</v>
      </c>
      <c r="S1876" s="8">
        <v>256</v>
      </c>
    </row>
    <row r="1877" spans="1:19" ht="25" customHeight="1">
      <c r="A1877" s="12">
        <v>220</v>
      </c>
      <c r="B1877" s="8" t="s">
        <v>2067</v>
      </c>
      <c r="C1877" s="8" t="s">
        <v>711</v>
      </c>
      <c r="D1877" s="8" t="s">
        <v>465</v>
      </c>
      <c r="E1877" s="8" t="s">
        <v>27</v>
      </c>
      <c r="F1877" s="8">
        <v>1</v>
      </c>
      <c r="G1877" s="11">
        <v>0.2</v>
      </c>
      <c r="H1877" s="8">
        <v>1</v>
      </c>
      <c r="I1877" s="8">
        <v>1</v>
      </c>
      <c r="J1877" s="8">
        <v>0</v>
      </c>
      <c r="K1877" s="8">
        <v>0</v>
      </c>
      <c r="L1877" s="8">
        <v>0</v>
      </c>
      <c r="M1877" s="8">
        <v>1</v>
      </c>
      <c r="N1877" s="8">
        <v>0</v>
      </c>
      <c r="O1877" s="8" t="s">
        <v>791</v>
      </c>
      <c r="P1877" s="8">
        <v>100</v>
      </c>
      <c r="Q1877" s="8" t="s">
        <v>2165</v>
      </c>
      <c r="R1877" s="8" t="s">
        <v>2166</v>
      </c>
      <c r="S1877" s="8">
        <v>257</v>
      </c>
    </row>
    <row r="1878" spans="1:19" ht="25" customHeight="1">
      <c r="A1878" s="12">
        <v>221</v>
      </c>
      <c r="B1878" s="8" t="s">
        <v>2067</v>
      </c>
      <c r="C1878" s="8" t="s">
        <v>716</v>
      </c>
      <c r="D1878" s="8" t="s">
        <v>449</v>
      </c>
      <c r="E1878" s="8" t="s">
        <v>73</v>
      </c>
      <c r="F1878" s="8">
        <v>1</v>
      </c>
      <c r="G1878" s="11">
        <v>0.09090909090909091</v>
      </c>
      <c r="H1878" s="8">
        <v>0</v>
      </c>
      <c r="I1878" s="8">
        <v>0</v>
      </c>
      <c r="J1878" s="8">
        <v>1</v>
      </c>
      <c r="K1878" s="8">
        <v>1</v>
      </c>
      <c r="L1878" s="8">
        <v>16</v>
      </c>
      <c r="M1878" s="8">
        <v>0</v>
      </c>
      <c r="N1878" s="8">
        <v>1</v>
      </c>
      <c r="O1878" s="8" t="s">
        <v>791</v>
      </c>
      <c r="P1878" s="8">
        <v>0</v>
      </c>
      <c r="Q1878" s="8" t="s">
        <v>2161</v>
      </c>
      <c r="R1878" s="8" t="s">
        <v>2162</v>
      </c>
      <c r="S1878" s="8">
        <v>258</v>
      </c>
    </row>
    <row r="1879" spans="1:19" ht="25" customHeight="1">
      <c r="A1879" s="12">
        <v>222</v>
      </c>
      <c r="B1879" s="8" t="s">
        <v>2067</v>
      </c>
      <c r="C1879" s="8" t="s">
        <v>706</v>
      </c>
      <c r="D1879" s="8" t="s">
        <v>471</v>
      </c>
      <c r="E1879" s="8" t="s">
        <v>73</v>
      </c>
      <c r="F1879" s="8">
        <v>1</v>
      </c>
      <c r="G1879" s="11">
        <v>0.5</v>
      </c>
      <c r="H1879" s="8">
        <v>1</v>
      </c>
      <c r="I1879" s="8">
        <v>1</v>
      </c>
      <c r="J1879" s="8">
        <v>0</v>
      </c>
      <c r="K1879" s="8">
        <v>0</v>
      </c>
      <c r="L1879" s="8">
        <v>6</v>
      </c>
      <c r="M1879" s="8">
        <v>0</v>
      </c>
      <c r="N1879" s="8">
        <v>1</v>
      </c>
      <c r="O1879" s="8" t="s">
        <v>791</v>
      </c>
      <c r="P1879" s="8">
        <v>94</v>
      </c>
      <c r="Q1879" s="8" t="s">
        <v>2165</v>
      </c>
      <c r="R1879" s="8" t="s">
        <v>2166</v>
      </c>
      <c r="S1879" s="8">
        <v>259</v>
      </c>
    </row>
    <row r="1880" spans="1:19" ht="25" customHeight="1">
      <c r="A1880" s="12">
        <v>223</v>
      </c>
      <c r="B1880" s="8" t="s">
        <v>2067</v>
      </c>
      <c r="C1880" s="8" t="s">
        <v>711</v>
      </c>
      <c r="D1880" s="8" t="s">
        <v>428</v>
      </c>
      <c r="E1880" s="8" t="s">
        <v>75</v>
      </c>
      <c r="F1880" s="8">
        <v>1</v>
      </c>
      <c r="G1880" s="11">
        <v>0.25</v>
      </c>
      <c r="H1880" s="8">
        <v>0</v>
      </c>
      <c r="I1880" s="8">
        <v>0</v>
      </c>
      <c r="J1880" s="8">
        <v>0</v>
      </c>
      <c r="K1880" s="8">
        <v>0</v>
      </c>
      <c r="L1880" s="8">
        <v>7</v>
      </c>
      <c r="M1880" s="8">
        <v>1</v>
      </c>
      <c r="N1880" s="8">
        <v>0</v>
      </c>
      <c r="O1880" s="8" t="s">
        <v>791</v>
      </c>
      <c r="P1880" s="8">
        <v>23</v>
      </c>
      <c r="Q1880" s="8" t="s">
        <v>2165</v>
      </c>
      <c r="R1880" s="8" t="s">
        <v>2166</v>
      </c>
      <c r="S1880" s="8">
        <v>260</v>
      </c>
    </row>
    <row r="1881" spans="1:19" ht="25" customHeight="1">
      <c r="A1881" s="12">
        <v>224</v>
      </c>
      <c r="B1881" s="8" t="s">
        <v>2067</v>
      </c>
      <c r="C1881" s="8" t="s">
        <v>716</v>
      </c>
      <c r="D1881" s="8" t="s">
        <v>449</v>
      </c>
      <c r="E1881" s="8" t="s">
        <v>75</v>
      </c>
      <c r="F1881" s="8">
        <v>1</v>
      </c>
      <c r="G1881" s="11">
        <v>0.09090909090909091</v>
      </c>
      <c r="H1881" s="8">
        <v>1</v>
      </c>
      <c r="I1881" s="8">
        <v>1</v>
      </c>
      <c r="J1881" s="8">
        <v>0</v>
      </c>
      <c r="K1881" s="8">
        <v>0</v>
      </c>
      <c r="L1881" s="8">
        <v>6</v>
      </c>
      <c r="M1881" s="8">
        <v>0</v>
      </c>
      <c r="N1881" s="8">
        <v>1</v>
      </c>
      <c r="O1881" s="8" t="s">
        <v>791</v>
      </c>
      <c r="P1881" s="8">
        <v>94</v>
      </c>
      <c r="Q1881" s="8" t="s">
        <v>2165</v>
      </c>
      <c r="R1881" s="8" t="s">
        <v>2166</v>
      </c>
      <c r="S1881" s="8">
        <v>261</v>
      </c>
    </row>
    <row r="1882" spans="1:19" ht="25" customHeight="1">
      <c r="A1882" s="12">
        <v>225</v>
      </c>
      <c r="B1882" s="8" t="s">
        <v>2067</v>
      </c>
      <c r="C1882" s="8" t="s">
        <v>706</v>
      </c>
      <c r="D1882" s="8" t="s">
        <v>428</v>
      </c>
      <c r="E1882" s="8" t="s">
        <v>75</v>
      </c>
      <c r="F1882" s="8">
        <v>1</v>
      </c>
      <c r="G1882" s="11">
        <v>0.1666666666666667</v>
      </c>
      <c r="H1882" s="8">
        <v>1</v>
      </c>
      <c r="I1882" s="8">
        <v>1</v>
      </c>
      <c r="J1882" s="8">
        <v>0</v>
      </c>
      <c r="K1882" s="8">
        <v>0</v>
      </c>
      <c r="L1882" s="8">
        <v>1</v>
      </c>
      <c r="M1882" s="8">
        <v>1</v>
      </c>
      <c r="N1882" s="8">
        <v>0</v>
      </c>
      <c r="O1882" s="8" t="s">
        <v>791</v>
      </c>
      <c r="P1882" s="8">
        <v>99</v>
      </c>
      <c r="Q1882" s="8" t="s">
        <v>2165</v>
      </c>
      <c r="R1882" s="8" t="s">
        <v>2166</v>
      </c>
      <c r="S1882" s="8">
        <v>262</v>
      </c>
    </row>
    <row r="1883" spans="1:19" ht="25" customHeight="1">
      <c r="A1883" s="12">
        <v>226</v>
      </c>
      <c r="B1883" s="8" t="s">
        <v>2067</v>
      </c>
      <c r="C1883" s="8" t="s">
        <v>716</v>
      </c>
      <c r="D1883" s="8" t="s">
        <v>471</v>
      </c>
      <c r="E1883" s="8" t="s">
        <v>79</v>
      </c>
      <c r="F1883" s="8">
        <v>1</v>
      </c>
      <c r="G1883" s="11">
        <v>0.25</v>
      </c>
      <c r="H1883" s="8">
        <v>1</v>
      </c>
      <c r="I1883" s="8">
        <v>1</v>
      </c>
      <c r="J1883" s="8">
        <v>0</v>
      </c>
      <c r="K1883" s="8">
        <v>0</v>
      </c>
      <c r="L1883" s="8">
        <v>0</v>
      </c>
      <c r="M1883" s="8">
        <v>0</v>
      </c>
      <c r="N1883" s="8">
        <v>1</v>
      </c>
      <c r="O1883" s="8" t="s">
        <v>791</v>
      </c>
      <c r="P1883" s="8">
        <v>100</v>
      </c>
      <c r="Q1883" s="8" t="s">
        <v>2165</v>
      </c>
      <c r="R1883" s="8" t="s">
        <v>2166</v>
      </c>
      <c r="S1883" s="8">
        <v>263</v>
      </c>
    </row>
    <row r="1884" spans="1:19" ht="25" customHeight="1">
      <c r="A1884" s="12">
        <v>227</v>
      </c>
      <c r="B1884" s="8" t="s">
        <v>2067</v>
      </c>
      <c r="C1884" s="8" t="s">
        <v>720</v>
      </c>
      <c r="D1884" s="8" t="s">
        <v>446</v>
      </c>
      <c r="E1884" s="8" t="s">
        <v>79</v>
      </c>
      <c r="F1884" s="8">
        <v>1</v>
      </c>
      <c r="G1884" s="8">
        <v>1</v>
      </c>
      <c r="H1884" s="8">
        <v>0</v>
      </c>
      <c r="I1884" s="8">
        <v>0</v>
      </c>
      <c r="J1884" s="8">
        <v>1</v>
      </c>
      <c r="K1884" s="8">
        <v>1</v>
      </c>
      <c r="L1884" s="8">
        <v>15</v>
      </c>
      <c r="M1884" s="8">
        <v>0</v>
      </c>
      <c r="N1884" s="8">
        <v>1</v>
      </c>
      <c r="O1884" s="8" t="s">
        <v>791</v>
      </c>
      <c r="P1884" s="8">
        <v>0</v>
      </c>
      <c r="Q1884" s="8" t="s">
        <v>2161</v>
      </c>
      <c r="R1884" s="8" t="s">
        <v>2162</v>
      </c>
      <c r="S1884" s="8">
        <v>264</v>
      </c>
    </row>
    <row r="1885" spans="1:19" ht="25" customHeight="1">
      <c r="A1885" s="12">
        <v>228</v>
      </c>
      <c r="B1885" s="8" t="s">
        <v>2067</v>
      </c>
      <c r="C1885" s="8" t="s">
        <v>716</v>
      </c>
      <c r="D1885" s="8" t="s">
        <v>468</v>
      </c>
      <c r="E1885" s="8" t="s">
        <v>51</v>
      </c>
      <c r="F1885" s="8">
        <v>1</v>
      </c>
      <c r="G1885" s="11">
        <v>0.5</v>
      </c>
      <c r="H1885" s="8">
        <v>0</v>
      </c>
      <c r="I1885" s="8">
        <v>0</v>
      </c>
      <c r="J1885" s="8">
        <v>1</v>
      </c>
      <c r="K1885" s="8">
        <v>1</v>
      </c>
      <c r="L1885" s="8">
        <v>19</v>
      </c>
      <c r="M1885" s="8">
        <v>0</v>
      </c>
      <c r="N1885" s="8">
        <v>1</v>
      </c>
      <c r="O1885" s="8" t="s">
        <v>791</v>
      </c>
      <c r="P1885" s="8">
        <v>0</v>
      </c>
      <c r="Q1885" s="8" t="s">
        <v>2161</v>
      </c>
      <c r="R1885" s="8" t="s">
        <v>2162</v>
      </c>
      <c r="S1885" s="8">
        <v>265</v>
      </c>
    </row>
    <row r="1886" spans="1:19" ht="25" customHeight="1">
      <c r="A1886" s="12">
        <v>229</v>
      </c>
      <c r="B1886" s="8" t="s">
        <v>2067</v>
      </c>
      <c r="C1886" s="8" t="s">
        <v>716</v>
      </c>
      <c r="D1886" s="8" t="s">
        <v>428</v>
      </c>
      <c r="E1886" s="8" t="s">
        <v>66</v>
      </c>
      <c r="F1886" s="8">
        <v>1</v>
      </c>
      <c r="G1886" s="11">
        <v>0.1111111111111111</v>
      </c>
      <c r="H1886" s="8">
        <v>1</v>
      </c>
      <c r="I1886" s="8">
        <v>1</v>
      </c>
      <c r="J1886" s="8">
        <v>0</v>
      </c>
      <c r="K1886" s="8">
        <v>0</v>
      </c>
      <c r="L1886" s="8">
        <v>2</v>
      </c>
      <c r="M1886" s="8">
        <v>1</v>
      </c>
      <c r="N1886" s="8">
        <v>0</v>
      </c>
      <c r="O1886" s="8" t="s">
        <v>791</v>
      </c>
      <c r="P1886" s="8">
        <v>98</v>
      </c>
      <c r="Q1886" s="8" t="s">
        <v>2165</v>
      </c>
      <c r="R1886" s="8" t="s">
        <v>2166</v>
      </c>
      <c r="S1886" s="8">
        <v>266</v>
      </c>
    </row>
    <row r="1887" spans="1:19" ht="25" customHeight="1">
      <c r="A1887" s="12">
        <v>230</v>
      </c>
      <c r="B1887" s="8" t="s">
        <v>2067</v>
      </c>
      <c r="C1887" s="8" t="s">
        <v>716</v>
      </c>
      <c r="D1887" s="8" t="s">
        <v>449</v>
      </c>
      <c r="E1887" s="8" t="s">
        <v>43</v>
      </c>
      <c r="F1887" s="8">
        <v>1</v>
      </c>
      <c r="G1887" s="11">
        <v>0.09090909090909091</v>
      </c>
      <c r="H1887" s="8">
        <v>1</v>
      </c>
      <c r="I1887" s="8">
        <v>1</v>
      </c>
      <c r="J1887" s="8">
        <v>0</v>
      </c>
      <c r="K1887" s="8">
        <v>0</v>
      </c>
      <c r="L1887" s="8">
        <v>5</v>
      </c>
      <c r="M1887" s="8">
        <v>0</v>
      </c>
      <c r="N1887" s="8">
        <v>1</v>
      </c>
      <c r="O1887" s="8" t="s">
        <v>791</v>
      </c>
      <c r="P1887" s="8">
        <v>95</v>
      </c>
      <c r="Q1887" s="8" t="s">
        <v>2165</v>
      </c>
      <c r="R1887" s="8" t="s">
        <v>2166</v>
      </c>
      <c r="S1887" s="8">
        <v>267</v>
      </c>
    </row>
    <row r="1888" spans="1:19" ht="25" customHeight="1">
      <c r="A1888" s="12">
        <v>231</v>
      </c>
      <c r="B1888" s="8" t="s">
        <v>2067</v>
      </c>
      <c r="C1888" s="8" t="s">
        <v>720</v>
      </c>
      <c r="D1888" s="8" t="s">
        <v>449</v>
      </c>
      <c r="E1888" s="8" t="s">
        <v>81</v>
      </c>
      <c r="F1888" s="8">
        <v>1</v>
      </c>
      <c r="G1888" s="11">
        <v>0.25</v>
      </c>
      <c r="H1888" s="8">
        <v>1</v>
      </c>
      <c r="I1888" s="8">
        <v>1</v>
      </c>
      <c r="J1888" s="8">
        <v>0</v>
      </c>
      <c r="K1888" s="8">
        <v>0</v>
      </c>
      <c r="L1888" s="8">
        <v>0</v>
      </c>
      <c r="M1888" s="8">
        <v>0</v>
      </c>
      <c r="N1888" s="8">
        <v>1</v>
      </c>
      <c r="O1888" s="8" t="s">
        <v>791</v>
      </c>
      <c r="P1888" s="8">
        <v>100</v>
      </c>
      <c r="Q1888" s="8" t="s">
        <v>2165</v>
      </c>
      <c r="R1888" s="8" t="s">
        <v>2166</v>
      </c>
      <c r="S1888" s="8">
        <v>268</v>
      </c>
    </row>
    <row r="1889" spans="1:19" ht="25" customHeight="1">
      <c r="A1889" s="12">
        <v>232</v>
      </c>
      <c r="B1889" s="8" t="s">
        <v>2067</v>
      </c>
      <c r="C1889" s="8" t="s">
        <v>716</v>
      </c>
      <c r="D1889" s="8" t="s">
        <v>428</v>
      </c>
      <c r="E1889" s="8" t="s">
        <v>69</v>
      </c>
      <c r="F1889" s="8">
        <v>1</v>
      </c>
      <c r="G1889" s="11">
        <v>0.1111111111111111</v>
      </c>
      <c r="H1889" s="8">
        <v>1</v>
      </c>
      <c r="I1889" s="8">
        <v>1</v>
      </c>
      <c r="J1889" s="8">
        <v>0</v>
      </c>
      <c r="K1889" s="8">
        <v>0</v>
      </c>
      <c r="L1889" s="8">
        <v>0</v>
      </c>
      <c r="M1889" s="8">
        <v>1</v>
      </c>
      <c r="N1889" s="8">
        <v>0</v>
      </c>
      <c r="O1889" s="8" t="s">
        <v>791</v>
      </c>
      <c r="P1889" s="8">
        <v>100</v>
      </c>
      <c r="Q1889" s="8" t="s">
        <v>2165</v>
      </c>
      <c r="R1889" s="8" t="s">
        <v>2166</v>
      </c>
      <c r="S1889" s="8">
        <v>269</v>
      </c>
    </row>
    <row r="1890" spans="1:19" ht="25" customHeight="1">
      <c r="A1890" s="12">
        <v>233</v>
      </c>
      <c r="B1890" s="8" t="s">
        <v>2067</v>
      </c>
      <c r="C1890" s="8" t="s">
        <v>716</v>
      </c>
      <c r="D1890" s="8" t="s">
        <v>428</v>
      </c>
      <c r="E1890" s="8" t="s">
        <v>91</v>
      </c>
      <c r="F1890" s="8">
        <v>1</v>
      </c>
      <c r="G1890" s="11">
        <v>0.1111111111111111</v>
      </c>
      <c r="H1890" s="8">
        <v>0</v>
      </c>
      <c r="I1890" s="8">
        <v>0</v>
      </c>
      <c r="J1890" s="8">
        <v>0</v>
      </c>
      <c r="K1890" s="8">
        <v>0</v>
      </c>
      <c r="L1890" s="8">
        <v>4</v>
      </c>
      <c r="M1890" s="8">
        <v>1</v>
      </c>
      <c r="N1890" s="8">
        <v>0</v>
      </c>
      <c r="O1890" s="8" t="s">
        <v>791</v>
      </c>
      <c r="P1890" s="8">
        <v>26</v>
      </c>
      <c r="Q1890" s="8" t="s">
        <v>2165</v>
      </c>
      <c r="R1890" s="8" t="s">
        <v>2166</v>
      </c>
      <c r="S1890" s="8">
        <v>270</v>
      </c>
    </row>
    <row r="1891" spans="1:19" ht="25" customHeight="1">
      <c r="A1891" s="12">
        <v>234</v>
      </c>
      <c r="B1891" s="8" t="s">
        <v>2069</v>
      </c>
      <c r="C1891" s="8" t="s">
        <v>711</v>
      </c>
      <c r="D1891" s="8" t="s">
        <v>449</v>
      </c>
      <c r="E1891" s="8" t="s">
        <v>100</v>
      </c>
      <c r="F1891" s="8">
        <v>1</v>
      </c>
      <c r="G1891" s="11">
        <v>0.07692307692307693</v>
      </c>
      <c r="H1891" s="8">
        <v>1</v>
      </c>
      <c r="I1891" s="8">
        <v>1</v>
      </c>
      <c r="J1891" s="8">
        <v>0</v>
      </c>
      <c r="K1891" s="8">
        <v>0</v>
      </c>
      <c r="L1891" s="8">
        <v>4</v>
      </c>
      <c r="M1891" s="8">
        <v>0</v>
      </c>
      <c r="N1891" s="8">
        <v>1</v>
      </c>
      <c r="O1891" s="8" t="s">
        <v>791</v>
      </c>
      <c r="P1891" s="8">
        <v>96</v>
      </c>
      <c r="Q1891" s="8" t="s">
        <v>2165</v>
      </c>
      <c r="R1891" s="8" t="s">
        <v>2166</v>
      </c>
      <c r="S1891" s="8">
        <v>271</v>
      </c>
    </row>
    <row r="1892" spans="1:19" ht="25" customHeight="1">
      <c r="A1892" s="12">
        <v>235</v>
      </c>
      <c r="B1892" s="8" t="s">
        <v>2069</v>
      </c>
      <c r="C1892" s="8" t="s">
        <v>720</v>
      </c>
      <c r="D1892" s="8" t="s">
        <v>449</v>
      </c>
      <c r="E1892" s="8" t="s">
        <v>100</v>
      </c>
      <c r="F1892" s="8">
        <v>1</v>
      </c>
      <c r="G1892" s="11">
        <v>0.125</v>
      </c>
      <c r="H1892" s="8">
        <v>1</v>
      </c>
      <c r="I1892" s="8">
        <v>1</v>
      </c>
      <c r="J1892" s="8">
        <v>0</v>
      </c>
      <c r="K1892" s="8">
        <v>0</v>
      </c>
      <c r="L1892" s="8">
        <v>0</v>
      </c>
      <c r="M1892" s="8">
        <v>0</v>
      </c>
      <c r="N1892" s="8">
        <v>1</v>
      </c>
      <c r="O1892" s="8" t="s">
        <v>791</v>
      </c>
      <c r="P1892" s="8">
        <v>100</v>
      </c>
      <c r="Q1892" s="8" t="s">
        <v>2165</v>
      </c>
      <c r="R1892" s="8" t="s">
        <v>2166</v>
      </c>
      <c r="S1892" s="8">
        <v>272</v>
      </c>
    </row>
    <row r="1893" spans="1:19" ht="25" customHeight="1">
      <c r="A1893" s="12">
        <v>236</v>
      </c>
      <c r="B1893" s="8" t="s">
        <v>2069</v>
      </c>
      <c r="C1893" s="8" t="s">
        <v>711</v>
      </c>
      <c r="D1893" s="8" t="s">
        <v>428</v>
      </c>
      <c r="E1893" s="8" t="s">
        <v>100</v>
      </c>
      <c r="F1893" s="8">
        <v>1</v>
      </c>
      <c r="G1893" s="11">
        <v>0.25</v>
      </c>
      <c r="H1893" s="8">
        <v>0</v>
      </c>
      <c r="I1893" s="8">
        <v>0</v>
      </c>
      <c r="J1893" s="8">
        <v>0</v>
      </c>
      <c r="K1893" s="8">
        <v>0</v>
      </c>
      <c r="L1893" s="8">
        <v>8</v>
      </c>
      <c r="M1893" s="8">
        <v>1</v>
      </c>
      <c r="N1893" s="8">
        <v>0</v>
      </c>
      <c r="O1893" s="8" t="s">
        <v>791</v>
      </c>
      <c r="P1893" s="8">
        <v>22</v>
      </c>
      <c r="Q1893" s="8" t="s">
        <v>2165</v>
      </c>
      <c r="R1893" s="8" t="s">
        <v>2166</v>
      </c>
      <c r="S1893" s="8">
        <v>273</v>
      </c>
    </row>
    <row r="1894" spans="1:19" ht="25" customHeight="1">
      <c r="A1894" s="12">
        <v>237</v>
      </c>
      <c r="B1894" s="8" t="s">
        <v>2069</v>
      </c>
      <c r="C1894" s="8" t="s">
        <v>706</v>
      </c>
      <c r="D1894" s="8" t="s">
        <v>428</v>
      </c>
      <c r="E1894" s="8" t="s">
        <v>95</v>
      </c>
      <c r="F1894" s="8">
        <v>1</v>
      </c>
      <c r="G1894" s="11">
        <v>0.25</v>
      </c>
      <c r="H1894" s="8">
        <v>0</v>
      </c>
      <c r="I1894" s="8">
        <v>0</v>
      </c>
      <c r="J1894" s="8">
        <v>0</v>
      </c>
      <c r="K1894" s="8">
        <v>0</v>
      </c>
      <c r="L1894" s="8">
        <v>6</v>
      </c>
      <c r="M1894" s="8">
        <v>1</v>
      </c>
      <c r="N1894" s="8">
        <v>0</v>
      </c>
      <c r="O1894" s="8" t="s">
        <v>791</v>
      </c>
      <c r="P1894" s="8">
        <v>24</v>
      </c>
      <c r="Q1894" s="8" t="s">
        <v>2165</v>
      </c>
      <c r="R1894" s="8" t="s">
        <v>2166</v>
      </c>
      <c r="S1894" s="8">
        <v>274</v>
      </c>
    </row>
    <row r="1895" spans="1:19" ht="25" customHeight="1">
      <c r="A1895" s="12">
        <v>238</v>
      </c>
      <c r="B1895" s="8" t="s">
        <v>2069</v>
      </c>
      <c r="C1895" s="8" t="s">
        <v>711</v>
      </c>
      <c r="D1895" s="8" t="s">
        <v>449</v>
      </c>
      <c r="E1895" s="8" t="s">
        <v>95</v>
      </c>
      <c r="F1895" s="8">
        <v>1</v>
      </c>
      <c r="G1895" s="11">
        <v>0.07692307692307693</v>
      </c>
      <c r="H1895" s="8">
        <v>0</v>
      </c>
      <c r="I1895" s="8">
        <v>0</v>
      </c>
      <c r="J1895" s="8">
        <v>0</v>
      </c>
      <c r="K1895" s="8">
        <v>0</v>
      </c>
      <c r="L1895" s="8">
        <v>10</v>
      </c>
      <c r="M1895" s="8">
        <v>0</v>
      </c>
      <c r="N1895" s="8">
        <v>1</v>
      </c>
      <c r="O1895" s="8" t="s">
        <v>791</v>
      </c>
      <c r="P1895" s="8">
        <v>20</v>
      </c>
      <c r="Q1895" s="8" t="s">
        <v>2165</v>
      </c>
      <c r="R1895" s="8" t="s">
        <v>2166</v>
      </c>
      <c r="S1895" s="8">
        <v>275</v>
      </c>
    </row>
    <row r="1896" spans="1:19" ht="25" customHeight="1">
      <c r="A1896" s="12">
        <v>239</v>
      </c>
      <c r="B1896" s="8" t="s">
        <v>2069</v>
      </c>
      <c r="C1896" s="8" t="s">
        <v>711</v>
      </c>
      <c r="D1896" s="8" t="s">
        <v>574</v>
      </c>
      <c r="E1896" s="8" t="s">
        <v>95</v>
      </c>
      <c r="F1896" s="8">
        <v>1</v>
      </c>
      <c r="G1896" s="8">
        <v>1</v>
      </c>
      <c r="H1896" s="8">
        <v>1</v>
      </c>
      <c r="I1896" s="8">
        <v>1</v>
      </c>
      <c r="J1896" s="8">
        <v>0</v>
      </c>
      <c r="K1896" s="8">
        <v>0</v>
      </c>
      <c r="L1896" s="8">
        <v>-1</v>
      </c>
      <c r="M1896" s="8">
        <v>1</v>
      </c>
      <c r="N1896" s="8">
        <v>0</v>
      </c>
      <c r="O1896" s="8" t="s">
        <v>791</v>
      </c>
      <c r="P1896" s="8">
        <v>100</v>
      </c>
      <c r="Q1896" s="8" t="s">
        <v>2165</v>
      </c>
      <c r="R1896" s="8" t="s">
        <v>2166</v>
      </c>
      <c r="S1896" s="8">
        <v>276</v>
      </c>
    </row>
    <row r="1897" spans="1:19" ht="25" customHeight="1">
      <c r="A1897" s="12">
        <v>240</v>
      </c>
      <c r="B1897" s="8" t="s">
        <v>2069</v>
      </c>
      <c r="C1897" s="8" t="s">
        <v>706</v>
      </c>
      <c r="D1897" s="8" t="s">
        <v>449</v>
      </c>
      <c r="E1897" s="8" t="s">
        <v>93</v>
      </c>
      <c r="F1897" s="8">
        <v>1</v>
      </c>
      <c r="G1897" s="8">
        <v>1</v>
      </c>
      <c r="H1897" s="8">
        <v>1</v>
      </c>
      <c r="I1897" s="8">
        <v>1</v>
      </c>
      <c r="J1897" s="8">
        <v>0</v>
      </c>
      <c r="K1897" s="8">
        <v>0</v>
      </c>
      <c r="L1897" s="8">
        <v>0</v>
      </c>
      <c r="M1897" s="8">
        <v>0</v>
      </c>
      <c r="N1897" s="8">
        <v>1</v>
      </c>
      <c r="O1897" s="8" t="s">
        <v>791</v>
      </c>
      <c r="P1897" s="8">
        <v>100</v>
      </c>
      <c r="Q1897" s="8" t="s">
        <v>2165</v>
      </c>
      <c r="R1897" s="8" t="s">
        <v>2166</v>
      </c>
      <c r="S1897" s="8">
        <v>277</v>
      </c>
    </row>
    <row r="1898" spans="1:19" ht="25" customHeight="1">
      <c r="A1898" s="12">
        <v>241</v>
      </c>
      <c r="B1898" s="8" t="s">
        <v>2069</v>
      </c>
      <c r="C1898" s="8" t="s">
        <v>716</v>
      </c>
      <c r="D1898" s="8" t="s">
        <v>449</v>
      </c>
      <c r="E1898" s="8" t="s">
        <v>93</v>
      </c>
      <c r="F1898" s="8">
        <v>1</v>
      </c>
      <c r="G1898" s="11">
        <v>0.125</v>
      </c>
      <c r="H1898" s="8">
        <v>0</v>
      </c>
      <c r="I1898" s="8">
        <v>0</v>
      </c>
      <c r="J1898" s="8">
        <v>1</v>
      </c>
      <c r="K1898" s="8">
        <v>1</v>
      </c>
      <c r="L1898" s="8">
        <v>21</v>
      </c>
      <c r="M1898" s="8">
        <v>0</v>
      </c>
      <c r="N1898" s="8">
        <v>1</v>
      </c>
      <c r="O1898" s="8" t="s">
        <v>791</v>
      </c>
      <c r="P1898" s="8">
        <v>0</v>
      </c>
      <c r="Q1898" s="8" t="s">
        <v>2161</v>
      </c>
      <c r="R1898" s="8" t="s">
        <v>2162</v>
      </c>
      <c r="S1898" s="8">
        <v>278</v>
      </c>
    </row>
    <row r="1899" spans="1:19" ht="25" customHeight="1">
      <c r="A1899" s="12">
        <v>242</v>
      </c>
      <c r="B1899" s="8" t="s">
        <v>2069</v>
      </c>
      <c r="C1899" s="8" t="s">
        <v>716</v>
      </c>
      <c r="D1899" s="8" t="s">
        <v>449</v>
      </c>
      <c r="E1899" s="8" t="s">
        <v>97</v>
      </c>
      <c r="F1899" s="8">
        <v>1</v>
      </c>
      <c r="G1899" s="11">
        <v>0.125</v>
      </c>
      <c r="H1899" s="8">
        <v>0</v>
      </c>
      <c r="I1899" s="8">
        <v>0</v>
      </c>
      <c r="J1899" s="8">
        <v>1</v>
      </c>
      <c r="K1899" s="8">
        <v>1</v>
      </c>
      <c r="L1899" s="8">
        <v>26</v>
      </c>
      <c r="M1899" s="8">
        <v>0</v>
      </c>
      <c r="N1899" s="8">
        <v>1</v>
      </c>
      <c r="O1899" s="8" t="s">
        <v>791</v>
      </c>
      <c r="P1899" s="8">
        <v>0</v>
      </c>
      <c r="Q1899" s="8" t="s">
        <v>2161</v>
      </c>
      <c r="R1899" s="8" t="s">
        <v>2162</v>
      </c>
      <c r="S1899" s="8">
        <v>279</v>
      </c>
    </row>
    <row r="1900" spans="1:19" ht="25" customHeight="1">
      <c r="A1900" s="12">
        <v>243</v>
      </c>
      <c r="B1900" s="8" t="s">
        <v>2069</v>
      </c>
      <c r="C1900" s="8" t="s">
        <v>720</v>
      </c>
      <c r="D1900" s="8" t="s">
        <v>474</v>
      </c>
      <c r="E1900" s="8" t="s">
        <v>97</v>
      </c>
      <c r="F1900" s="8">
        <v>1</v>
      </c>
      <c r="G1900" s="8">
        <v>1</v>
      </c>
      <c r="H1900" s="8">
        <v>1</v>
      </c>
      <c r="I1900" s="8">
        <v>1</v>
      </c>
      <c r="J1900" s="8">
        <v>0</v>
      </c>
      <c r="K1900" s="8">
        <v>0</v>
      </c>
      <c r="L1900" s="8">
        <v>4</v>
      </c>
      <c r="M1900" s="8">
        <v>0</v>
      </c>
      <c r="N1900" s="8">
        <v>1</v>
      </c>
      <c r="O1900" s="8" t="s">
        <v>791</v>
      </c>
      <c r="P1900" s="8">
        <v>96</v>
      </c>
      <c r="Q1900" s="8" t="s">
        <v>2165</v>
      </c>
      <c r="R1900" s="8" t="s">
        <v>2166</v>
      </c>
      <c r="S1900" s="8">
        <v>280</v>
      </c>
    </row>
    <row r="1901" spans="1:19" ht="25" customHeight="1">
      <c r="A1901" s="12">
        <v>244</v>
      </c>
      <c r="B1901" s="8" t="s">
        <v>2069</v>
      </c>
      <c r="C1901" s="8" t="s">
        <v>711</v>
      </c>
      <c r="D1901" s="8" t="s">
        <v>449</v>
      </c>
      <c r="E1901" s="8" t="s">
        <v>105</v>
      </c>
      <c r="F1901" s="8">
        <v>1</v>
      </c>
      <c r="G1901" s="11">
        <v>0.07692307692307693</v>
      </c>
      <c r="H1901" s="8">
        <v>1</v>
      </c>
      <c r="I1901" s="8">
        <v>1</v>
      </c>
      <c r="J1901" s="8">
        <v>0</v>
      </c>
      <c r="K1901" s="8">
        <v>0</v>
      </c>
      <c r="L1901" s="8">
        <v>0</v>
      </c>
      <c r="M1901" s="8">
        <v>0</v>
      </c>
      <c r="N1901" s="8">
        <v>1</v>
      </c>
      <c r="O1901" s="8" t="s">
        <v>791</v>
      </c>
      <c r="P1901" s="8">
        <v>100</v>
      </c>
      <c r="Q1901" s="8" t="s">
        <v>2165</v>
      </c>
      <c r="R1901" s="8" t="s">
        <v>2166</v>
      </c>
      <c r="S1901" s="8">
        <v>282</v>
      </c>
    </row>
    <row r="1902" spans="1:19" ht="25" customHeight="1">
      <c r="A1902" s="12">
        <v>245</v>
      </c>
      <c r="B1902" s="8" t="s">
        <v>2069</v>
      </c>
      <c r="C1902" s="8" t="s">
        <v>716</v>
      </c>
      <c r="D1902" s="8" t="s">
        <v>449</v>
      </c>
      <c r="E1902" s="8" t="s">
        <v>110</v>
      </c>
      <c r="F1902" s="8">
        <v>1</v>
      </c>
      <c r="G1902" s="11">
        <v>0.125</v>
      </c>
      <c r="H1902" s="8">
        <v>0</v>
      </c>
      <c r="I1902" s="8">
        <v>0</v>
      </c>
      <c r="J1902" s="8">
        <v>1</v>
      </c>
      <c r="K1902" s="8">
        <v>1</v>
      </c>
      <c r="L1902" s="8">
        <v>19</v>
      </c>
      <c r="M1902" s="8">
        <v>0</v>
      </c>
      <c r="N1902" s="8">
        <v>1</v>
      </c>
      <c r="O1902" s="8" t="s">
        <v>791</v>
      </c>
      <c r="P1902" s="8">
        <v>0</v>
      </c>
      <c r="Q1902" s="8" t="s">
        <v>2161</v>
      </c>
      <c r="R1902" s="8" t="s">
        <v>2162</v>
      </c>
      <c r="S1902" s="8">
        <v>283</v>
      </c>
    </row>
    <row r="1903" spans="1:19" ht="25" customHeight="1">
      <c r="A1903" s="12">
        <v>246</v>
      </c>
      <c r="B1903" s="8" t="s">
        <v>2069</v>
      </c>
      <c r="C1903" s="8" t="s">
        <v>711</v>
      </c>
      <c r="D1903" s="8" t="s">
        <v>449</v>
      </c>
      <c r="E1903" s="8" t="s">
        <v>61</v>
      </c>
      <c r="F1903" s="8">
        <v>1</v>
      </c>
      <c r="G1903" s="11">
        <v>0.07692307692307693</v>
      </c>
      <c r="H1903" s="8">
        <v>0</v>
      </c>
      <c r="I1903" s="8">
        <v>0</v>
      </c>
      <c r="J1903" s="8">
        <v>1</v>
      </c>
      <c r="K1903" s="8">
        <v>1</v>
      </c>
      <c r="L1903" s="8">
        <v>21</v>
      </c>
      <c r="M1903" s="8">
        <v>0</v>
      </c>
      <c r="N1903" s="8">
        <v>1</v>
      </c>
      <c r="O1903" s="8" t="s">
        <v>791</v>
      </c>
      <c r="P1903" s="8">
        <v>0</v>
      </c>
      <c r="Q1903" s="8" t="s">
        <v>2161</v>
      </c>
      <c r="R1903" s="8" t="s">
        <v>2162</v>
      </c>
      <c r="S1903" s="8">
        <v>284</v>
      </c>
    </row>
    <row r="1904" spans="1:19" ht="25" customHeight="1">
      <c r="A1904" s="12">
        <v>247</v>
      </c>
      <c r="B1904" s="8" t="s">
        <v>2070</v>
      </c>
      <c r="C1904" s="8" t="s">
        <v>706</v>
      </c>
      <c r="D1904" s="8" t="s">
        <v>428</v>
      </c>
      <c r="E1904" s="8" t="s">
        <v>95</v>
      </c>
      <c r="F1904" s="8">
        <v>1</v>
      </c>
      <c r="G1904" s="11">
        <v>0.5</v>
      </c>
      <c r="H1904" s="8">
        <v>0</v>
      </c>
      <c r="I1904" s="8">
        <v>0</v>
      </c>
      <c r="J1904" s="8">
        <v>0</v>
      </c>
      <c r="K1904" s="8">
        <v>0</v>
      </c>
      <c r="L1904" s="8">
        <v>3</v>
      </c>
      <c r="M1904" s="8">
        <v>1</v>
      </c>
      <c r="N1904" s="8">
        <v>0</v>
      </c>
      <c r="O1904" s="8" t="s">
        <v>791</v>
      </c>
      <c r="P1904" s="8">
        <v>27</v>
      </c>
      <c r="Q1904" s="8" t="s">
        <v>2165</v>
      </c>
      <c r="R1904" s="8" t="s">
        <v>2166</v>
      </c>
      <c r="S1904" s="8">
        <v>286</v>
      </c>
    </row>
    <row r="1905" spans="1:19" ht="25" customHeight="1">
      <c r="A1905" s="12">
        <v>248</v>
      </c>
      <c r="B1905" s="8" t="s">
        <v>2070</v>
      </c>
      <c r="C1905" s="8" t="s">
        <v>706</v>
      </c>
      <c r="D1905" s="8" t="s">
        <v>468</v>
      </c>
      <c r="E1905" s="8" t="s">
        <v>27</v>
      </c>
      <c r="F1905" s="8">
        <v>1</v>
      </c>
      <c r="G1905" s="8">
        <v>1</v>
      </c>
      <c r="H1905" s="8">
        <v>0</v>
      </c>
      <c r="I1905" s="8">
        <v>0</v>
      </c>
      <c r="J1905" s="8">
        <v>1</v>
      </c>
      <c r="K1905" s="8">
        <v>1</v>
      </c>
      <c r="L1905" s="8">
        <v>23</v>
      </c>
      <c r="M1905" s="8">
        <v>0</v>
      </c>
      <c r="N1905" s="8">
        <v>1</v>
      </c>
      <c r="O1905" s="8" t="s">
        <v>791</v>
      </c>
      <c r="P1905" s="8">
        <v>0</v>
      </c>
      <c r="Q1905" s="8" t="s">
        <v>2161</v>
      </c>
      <c r="R1905" s="8" t="s">
        <v>2162</v>
      </c>
      <c r="S1905" s="8">
        <v>287</v>
      </c>
    </row>
    <row r="1911" spans="1:19" ht="27" customHeight="1">
      <c r="A1911" s="5" t="s">
        <v>2186</v>
      </c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</row>
    <row r="1912" spans="1:19" ht="36" customHeight="1">
      <c r="A1912" s="9" t="s">
        <v>683</v>
      </c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</row>
    <row r="1913" spans="1:19" ht="25" customHeight="1">
      <c r="A1913" s="6" t="s">
        <v>684</v>
      </c>
    </row>
    <row r="1914" spans="1:19" ht="25" customHeight="1">
      <c r="A1914" s="12">
        <v>1</v>
      </c>
      <c r="B1914" s="8" t="s">
        <v>2187</v>
      </c>
    </row>
    <row r="1915" spans="1:19" ht="25" customHeight="1">
      <c r="A1915" s="12">
        <v>2</v>
      </c>
      <c r="B1915" s="8" t="s">
        <v>2174</v>
      </c>
      <c r="E1915" s="8" t="s">
        <v>2121</v>
      </c>
      <c r="H1915" s="8" t="s">
        <v>2072</v>
      </c>
      <c r="K1915" s="8" t="s">
        <v>2122</v>
      </c>
      <c r="M1915" s="8" t="s">
        <v>2175</v>
      </c>
    </row>
    <row r="1916" spans="1:19" ht="25" customHeight="1">
      <c r="A1916" s="12">
        <v>3</v>
      </c>
      <c r="B1916" s="8" t="s">
        <v>2176</v>
      </c>
      <c r="C1916" s="8" t="s">
        <v>2091</v>
      </c>
      <c r="D1916" s="8" t="s">
        <v>690</v>
      </c>
      <c r="E1916" s="8" t="s">
        <v>2130</v>
      </c>
      <c r="F1916" s="8" t="s">
        <v>2132</v>
      </c>
      <c r="G1916" s="8" t="s">
        <v>2133</v>
      </c>
      <c r="H1916" s="8" t="s">
        <v>784</v>
      </c>
      <c r="I1916" s="8" t="s">
        <v>2135</v>
      </c>
      <c r="J1916" s="8" t="s">
        <v>2146</v>
      </c>
      <c r="K1916" s="8" t="s">
        <v>2147</v>
      </c>
      <c r="L1916" s="8" t="s">
        <v>786</v>
      </c>
      <c r="M1916" s="8" t="s">
        <v>2134</v>
      </c>
      <c r="N1916" s="8" t="s">
        <v>2136</v>
      </c>
      <c r="O1916" s="8" t="s">
        <v>2139</v>
      </c>
      <c r="P1916" s="8" t="s">
        <v>1946</v>
      </c>
    </row>
    <row r="1917" spans="1:19" ht="25" customHeight="1">
      <c r="A1917" s="12">
        <v>4</v>
      </c>
      <c r="B1917" s="8" t="s">
        <v>44</v>
      </c>
      <c r="C1917" s="8">
        <v>10</v>
      </c>
      <c r="D1917" s="11">
        <v>0.04926108374384237</v>
      </c>
      <c r="E1917" s="8">
        <v>4</v>
      </c>
      <c r="F1917" s="11">
        <v>0.4</v>
      </c>
      <c r="G1917" s="8">
        <v>1</v>
      </c>
      <c r="H1917" s="11">
        <v>0.1</v>
      </c>
      <c r="I1917" s="11">
        <v>5.6</v>
      </c>
      <c r="J1917" s="11">
        <v>0.5</v>
      </c>
      <c r="K1917" s="11">
        <v>0.5</v>
      </c>
      <c r="L1917" s="8" t="s">
        <v>799</v>
      </c>
      <c r="M1917" s="11">
        <v>50.4</v>
      </c>
      <c r="N1917" s="8" t="s">
        <v>2137</v>
      </c>
      <c r="O1917" s="8" t="s">
        <v>2151</v>
      </c>
      <c r="P1917" s="8">
        <v>1</v>
      </c>
    </row>
    <row r="1918" spans="1:19" ht="25" customHeight="1">
      <c r="A1918" s="12">
        <v>5</v>
      </c>
      <c r="B1918" s="8" t="s">
        <v>68</v>
      </c>
      <c r="C1918" s="8">
        <v>10</v>
      </c>
      <c r="D1918" s="11">
        <v>0.04926108374384237</v>
      </c>
      <c r="E1918" s="8">
        <v>6</v>
      </c>
      <c r="F1918" s="11">
        <v>0.6</v>
      </c>
      <c r="G1918" s="8">
        <v>0</v>
      </c>
      <c r="H1918" s="8">
        <v>0</v>
      </c>
      <c r="I1918" s="11">
        <v>2.7</v>
      </c>
      <c r="J1918" s="11">
        <v>0.4</v>
      </c>
      <c r="K1918" s="11">
        <v>0.5</v>
      </c>
      <c r="L1918" s="8" t="s">
        <v>799</v>
      </c>
      <c r="M1918" s="11">
        <v>69.3</v>
      </c>
      <c r="N1918" s="8" t="s">
        <v>2152</v>
      </c>
      <c r="O1918" s="8" t="s">
        <v>2151</v>
      </c>
      <c r="P1918" s="8">
        <v>11</v>
      </c>
    </row>
    <row r="1919" spans="1:19" ht="25" customHeight="1">
      <c r="A1919" s="12">
        <v>6</v>
      </c>
      <c r="B1919" s="8" t="s">
        <v>60</v>
      </c>
      <c r="C1919" s="8">
        <v>16</v>
      </c>
      <c r="D1919" s="11">
        <v>0.07881773399014778</v>
      </c>
      <c r="E1919" s="8">
        <v>9</v>
      </c>
      <c r="F1919" s="11">
        <v>0.5625</v>
      </c>
      <c r="G1919" s="8">
        <v>1</v>
      </c>
      <c r="H1919" s="11">
        <v>0.0625</v>
      </c>
      <c r="I1919" s="11">
        <v>5.6875</v>
      </c>
      <c r="J1919" s="11">
        <v>0.4375</v>
      </c>
      <c r="K1919" s="11">
        <v>0.5</v>
      </c>
      <c r="L1919" s="8" t="s">
        <v>799</v>
      </c>
      <c r="M1919" s="11">
        <v>62.4</v>
      </c>
      <c r="N1919" s="8" t="s">
        <v>2137</v>
      </c>
      <c r="O1919" s="8" t="s">
        <v>2151</v>
      </c>
      <c r="P1919" s="8">
        <v>15</v>
      </c>
    </row>
    <row r="1920" spans="1:19" ht="25" customHeight="1">
      <c r="A1920" s="12">
        <v>7</v>
      </c>
      <c r="B1920" s="8" t="s">
        <v>63</v>
      </c>
      <c r="C1920" s="8">
        <v>10</v>
      </c>
      <c r="D1920" s="11">
        <v>0.04926108374384237</v>
      </c>
      <c r="E1920" s="8">
        <v>3</v>
      </c>
      <c r="F1920" s="11">
        <v>0.3</v>
      </c>
      <c r="G1920" s="8">
        <v>2</v>
      </c>
      <c r="H1920" s="11">
        <v>0.2</v>
      </c>
      <c r="I1920" s="11">
        <v>9.4</v>
      </c>
      <c r="J1920" s="11">
        <v>0.2</v>
      </c>
      <c r="K1920" s="11">
        <v>0.8</v>
      </c>
      <c r="L1920" s="8" t="s">
        <v>799</v>
      </c>
      <c r="M1920" s="11">
        <v>37.6</v>
      </c>
      <c r="N1920" s="8" t="s">
        <v>2177</v>
      </c>
      <c r="O1920" s="8" t="s">
        <v>2188</v>
      </c>
      <c r="P1920" s="8">
        <v>18</v>
      </c>
    </row>
    <row r="1921" spans="1:16" ht="25" customHeight="1">
      <c r="A1921" s="12">
        <v>8</v>
      </c>
      <c r="B1921" s="8" t="s">
        <v>54</v>
      </c>
      <c r="C1921" s="8">
        <v>2</v>
      </c>
      <c r="D1921" s="11">
        <v>0.009852216748768473</v>
      </c>
      <c r="E1921" s="8">
        <v>1</v>
      </c>
      <c r="F1921" s="11">
        <v>0.5</v>
      </c>
      <c r="G1921" s="8">
        <v>1</v>
      </c>
      <c r="H1921" s="11">
        <v>0.5</v>
      </c>
      <c r="I1921" s="8">
        <v>10</v>
      </c>
      <c r="J1921" s="11">
        <v>0.5</v>
      </c>
      <c r="K1921" s="11">
        <v>0.5</v>
      </c>
      <c r="L1921" s="8" t="s">
        <v>791</v>
      </c>
      <c r="M1921" s="8">
        <v>45</v>
      </c>
      <c r="N1921" s="8" t="s">
        <v>2161</v>
      </c>
      <c r="O1921" s="8" t="s">
        <v>2162</v>
      </c>
      <c r="P1921" s="8">
        <v>24</v>
      </c>
    </row>
    <row r="1922" spans="1:16" ht="25" customHeight="1">
      <c r="A1922" s="12">
        <v>9</v>
      </c>
      <c r="B1922" s="8" t="s">
        <v>56</v>
      </c>
      <c r="C1922" s="8">
        <v>3</v>
      </c>
      <c r="D1922" s="11">
        <v>0.01477832512315271</v>
      </c>
      <c r="E1922" s="8">
        <v>0</v>
      </c>
      <c r="F1922" s="8">
        <v>0</v>
      </c>
      <c r="G1922" s="8">
        <v>0</v>
      </c>
      <c r="H1922" s="8">
        <v>0</v>
      </c>
      <c r="I1922" s="11">
        <v>8.666666666666666</v>
      </c>
      <c r="J1922" s="11">
        <v>0.3333333333333333</v>
      </c>
      <c r="K1922" s="11">
        <v>0.6666666666666666</v>
      </c>
      <c r="L1922" s="8" t="s">
        <v>801</v>
      </c>
      <c r="M1922" s="11">
        <v>21.3</v>
      </c>
      <c r="N1922" s="8" t="s">
        <v>2167</v>
      </c>
      <c r="O1922" s="8" t="s">
        <v>2168</v>
      </c>
      <c r="P1922" s="8">
        <v>25</v>
      </c>
    </row>
    <row r="1923" spans="1:16" ht="25" customHeight="1">
      <c r="A1923" s="12">
        <v>10</v>
      </c>
      <c r="B1923" s="8" t="s">
        <v>43</v>
      </c>
      <c r="C1923" s="8">
        <v>4</v>
      </c>
      <c r="D1923" s="11">
        <v>0.01970443349753695</v>
      </c>
      <c r="E1923" s="8">
        <v>4</v>
      </c>
      <c r="F1923" s="8">
        <v>1</v>
      </c>
      <c r="G1923" s="8">
        <v>0</v>
      </c>
      <c r="H1923" s="8">
        <v>0</v>
      </c>
      <c r="I1923" s="11">
        <v>2.25</v>
      </c>
      <c r="J1923" s="11">
        <v>0.25</v>
      </c>
      <c r="K1923" s="11">
        <v>0.75</v>
      </c>
      <c r="L1923" s="8" t="s">
        <v>795</v>
      </c>
      <c r="M1923" s="11">
        <v>97.8</v>
      </c>
      <c r="N1923" s="8" t="s">
        <v>2170</v>
      </c>
      <c r="O1923" s="8" t="s">
        <v>2151</v>
      </c>
      <c r="P1923" s="8">
        <v>28</v>
      </c>
    </row>
    <row r="1924" spans="1:16" ht="25" customHeight="1">
      <c r="A1924" s="12">
        <v>11</v>
      </c>
      <c r="B1924" s="8" t="s">
        <v>32</v>
      </c>
      <c r="C1924" s="8">
        <v>3</v>
      </c>
      <c r="D1924" s="11">
        <v>0.01477832512315271</v>
      </c>
      <c r="E1924" s="8">
        <v>1</v>
      </c>
      <c r="F1924" s="11">
        <v>0.3333333333333333</v>
      </c>
      <c r="G1924" s="8">
        <v>2</v>
      </c>
      <c r="H1924" s="11">
        <v>0.6666666666666666</v>
      </c>
      <c r="I1924" s="8">
        <v>30</v>
      </c>
      <c r="J1924" s="11">
        <v>0.6666666666666666</v>
      </c>
      <c r="K1924" s="11">
        <v>0.3333333333333333</v>
      </c>
      <c r="L1924" s="8" t="s">
        <v>801</v>
      </c>
      <c r="M1924" s="8">
        <v>30</v>
      </c>
      <c r="N1924" s="8" t="s">
        <v>2167</v>
      </c>
      <c r="O1924" s="8" t="s">
        <v>2168</v>
      </c>
      <c r="P1924" s="8">
        <v>29</v>
      </c>
    </row>
    <row r="1925" spans="1:16" ht="25" customHeight="1">
      <c r="A1925" s="12">
        <v>12</v>
      </c>
      <c r="B1925" s="8" t="s">
        <v>53</v>
      </c>
      <c r="C1925" s="8">
        <v>11</v>
      </c>
      <c r="D1925" s="11">
        <v>0.0541871921182266</v>
      </c>
      <c r="E1925" s="8">
        <v>6</v>
      </c>
      <c r="F1925" s="11">
        <v>0.5454545454545454</v>
      </c>
      <c r="G1925" s="8">
        <v>0</v>
      </c>
      <c r="H1925" s="8">
        <v>0</v>
      </c>
      <c r="I1925" s="11">
        <v>5.545454545454546</v>
      </c>
      <c r="J1925" s="11">
        <v>0.4545454545454545</v>
      </c>
      <c r="K1925" s="11">
        <v>0.5454545454545454</v>
      </c>
      <c r="L1925" s="8" t="s">
        <v>799</v>
      </c>
      <c r="M1925" s="11">
        <v>62.6</v>
      </c>
      <c r="N1925" s="8" t="s">
        <v>2137</v>
      </c>
      <c r="O1925" s="8" t="s">
        <v>2151</v>
      </c>
      <c r="P1925" s="8">
        <v>32</v>
      </c>
    </row>
    <row r="1926" spans="1:16" ht="25" customHeight="1">
      <c r="A1926" s="12">
        <v>13</v>
      </c>
      <c r="B1926" s="8" t="s">
        <v>81</v>
      </c>
      <c r="C1926" s="8">
        <v>2</v>
      </c>
      <c r="D1926" s="11">
        <v>0.009852216748768473</v>
      </c>
      <c r="E1926" s="8">
        <v>1</v>
      </c>
      <c r="F1926" s="11">
        <v>0.5</v>
      </c>
      <c r="G1926" s="8">
        <v>0</v>
      </c>
      <c r="H1926" s="8">
        <v>0</v>
      </c>
      <c r="I1926" s="8">
        <v>2</v>
      </c>
      <c r="J1926" s="11">
        <v>0.5</v>
      </c>
      <c r="K1926" s="11">
        <v>0.5</v>
      </c>
      <c r="L1926" s="8" t="s">
        <v>791</v>
      </c>
      <c r="M1926" s="8">
        <v>63</v>
      </c>
      <c r="N1926" s="8" t="s">
        <v>2165</v>
      </c>
      <c r="O1926" s="8" t="s">
        <v>2166</v>
      </c>
      <c r="P1926" s="8">
        <v>33</v>
      </c>
    </row>
    <row r="1927" spans="1:16" ht="25" customHeight="1">
      <c r="A1927" s="12">
        <v>14</v>
      </c>
      <c r="B1927" s="8" t="s">
        <v>35</v>
      </c>
      <c r="C1927" s="8">
        <v>9</v>
      </c>
      <c r="D1927" s="11">
        <v>0.04433497536945813</v>
      </c>
      <c r="E1927" s="8">
        <v>6</v>
      </c>
      <c r="F1927" s="11">
        <v>0.6666666666666666</v>
      </c>
      <c r="G1927" s="8">
        <v>1</v>
      </c>
      <c r="H1927" s="11">
        <v>0.1111111111111111</v>
      </c>
      <c r="I1927" s="11">
        <v>8.111111111111111</v>
      </c>
      <c r="J1927" s="11">
        <v>0.3333333333333333</v>
      </c>
      <c r="K1927" s="11">
        <v>0.6666666666666666</v>
      </c>
      <c r="L1927" s="8" t="s">
        <v>799</v>
      </c>
      <c r="M1927" s="11">
        <v>66.3</v>
      </c>
      <c r="N1927" s="8" t="s">
        <v>2152</v>
      </c>
      <c r="O1927" s="8" t="s">
        <v>2153</v>
      </c>
      <c r="P1927" s="8">
        <v>34</v>
      </c>
    </row>
    <row r="1928" spans="1:16" ht="25" customHeight="1">
      <c r="A1928" s="12">
        <v>15</v>
      </c>
      <c r="B1928" s="8" t="s">
        <v>62</v>
      </c>
      <c r="C1928" s="8">
        <v>3</v>
      </c>
      <c r="D1928" s="11">
        <v>0.01477832512315271</v>
      </c>
      <c r="E1928" s="8">
        <v>0</v>
      </c>
      <c r="F1928" s="8">
        <v>0</v>
      </c>
      <c r="G1928" s="8">
        <v>2</v>
      </c>
      <c r="H1928" s="11">
        <v>0.6666666666666666</v>
      </c>
      <c r="I1928" s="11">
        <v>20.66666666666667</v>
      </c>
      <c r="J1928" s="11">
        <v>0.3333333333333333</v>
      </c>
      <c r="K1928" s="11">
        <v>0.3333333333333333</v>
      </c>
      <c r="L1928" s="8" t="s">
        <v>801</v>
      </c>
      <c r="M1928" s="11">
        <v>6.7</v>
      </c>
      <c r="N1928" s="8" t="s">
        <v>2167</v>
      </c>
      <c r="O1928" s="8" t="s">
        <v>2168</v>
      </c>
      <c r="P1928" s="8">
        <v>35</v>
      </c>
    </row>
    <row r="1929" spans="1:16" ht="25" customHeight="1">
      <c r="A1929" s="12">
        <v>16</v>
      </c>
      <c r="B1929" s="8" t="s">
        <v>75</v>
      </c>
      <c r="C1929" s="8">
        <v>4</v>
      </c>
      <c r="D1929" s="11">
        <v>0.01970443349753695</v>
      </c>
      <c r="E1929" s="8">
        <v>2</v>
      </c>
      <c r="F1929" s="11">
        <v>0.5</v>
      </c>
      <c r="G1929" s="8">
        <v>0</v>
      </c>
      <c r="H1929" s="8">
        <v>0</v>
      </c>
      <c r="I1929" s="11">
        <v>5.75</v>
      </c>
      <c r="J1929" s="11">
        <v>0.75</v>
      </c>
      <c r="K1929" s="11">
        <v>0.25</v>
      </c>
      <c r="L1929" s="8" t="s">
        <v>795</v>
      </c>
      <c r="M1929" s="11">
        <v>59.3</v>
      </c>
      <c r="N1929" s="8" t="s">
        <v>2137</v>
      </c>
      <c r="O1929" s="8" t="s">
        <v>2151</v>
      </c>
      <c r="P1929" s="8">
        <v>36</v>
      </c>
    </row>
    <row r="1930" spans="1:16" ht="25" customHeight="1">
      <c r="A1930" s="12">
        <v>17</v>
      </c>
      <c r="B1930" s="8" t="s">
        <v>69</v>
      </c>
      <c r="C1930" s="8">
        <v>6</v>
      </c>
      <c r="D1930" s="11">
        <v>0.02955665024630542</v>
      </c>
      <c r="E1930" s="8">
        <v>6</v>
      </c>
      <c r="F1930" s="8">
        <v>1</v>
      </c>
      <c r="G1930" s="8">
        <v>0</v>
      </c>
      <c r="H1930" s="8">
        <v>0</v>
      </c>
      <c r="I1930" s="11">
        <v>1.666666666666667</v>
      </c>
      <c r="J1930" s="11">
        <v>0.6666666666666666</v>
      </c>
      <c r="K1930" s="11">
        <v>0.3333333333333333</v>
      </c>
      <c r="L1930" s="8" t="s">
        <v>795</v>
      </c>
      <c r="M1930" s="11">
        <v>98.3</v>
      </c>
      <c r="N1930" s="8" t="s">
        <v>2170</v>
      </c>
      <c r="O1930" s="8" t="s">
        <v>2151</v>
      </c>
      <c r="P1930" s="8">
        <v>59</v>
      </c>
    </row>
    <row r="1931" spans="1:16" ht="25" customHeight="1">
      <c r="A1931" s="12">
        <v>18</v>
      </c>
      <c r="B1931" s="8" t="s">
        <v>27</v>
      </c>
      <c r="C1931" s="8">
        <v>4</v>
      </c>
      <c r="D1931" s="11">
        <v>0.01970443349753695</v>
      </c>
      <c r="E1931" s="8">
        <v>2</v>
      </c>
      <c r="F1931" s="11">
        <v>0.5</v>
      </c>
      <c r="G1931" s="8">
        <v>0</v>
      </c>
      <c r="H1931" s="8">
        <v>0</v>
      </c>
      <c r="I1931" s="11">
        <v>1.5</v>
      </c>
      <c r="J1931" s="11">
        <v>0.25</v>
      </c>
      <c r="K1931" s="11">
        <v>0.5</v>
      </c>
      <c r="L1931" s="8" t="s">
        <v>795</v>
      </c>
      <c r="M1931" s="11">
        <v>63.5</v>
      </c>
      <c r="N1931" s="8" t="s">
        <v>2137</v>
      </c>
      <c r="O1931" s="8" t="s">
        <v>2151</v>
      </c>
      <c r="P1931" s="8">
        <v>62</v>
      </c>
    </row>
    <row r="1932" spans="1:16" ht="25" customHeight="1">
      <c r="A1932" s="12">
        <v>19</v>
      </c>
      <c r="B1932" s="8" t="s">
        <v>46</v>
      </c>
      <c r="C1932" s="8">
        <v>5</v>
      </c>
      <c r="D1932" s="11">
        <v>0.02463054187192118</v>
      </c>
      <c r="E1932" s="8">
        <v>4</v>
      </c>
      <c r="F1932" s="11">
        <v>0.8</v>
      </c>
      <c r="G1932" s="8">
        <v>1</v>
      </c>
      <c r="H1932" s="11">
        <v>0.2</v>
      </c>
      <c r="I1932" s="11">
        <v>3.6</v>
      </c>
      <c r="J1932" s="11">
        <v>0.2</v>
      </c>
      <c r="K1932" s="11">
        <v>0.8</v>
      </c>
      <c r="L1932" s="8" t="s">
        <v>795</v>
      </c>
      <c r="M1932" s="11">
        <v>78.40000000000001</v>
      </c>
      <c r="N1932" s="8" t="s">
        <v>2152</v>
      </c>
      <c r="O1932" s="8" t="s">
        <v>2153</v>
      </c>
      <c r="P1932" s="8">
        <v>64</v>
      </c>
    </row>
    <row r="1933" spans="1:16" ht="25" customHeight="1">
      <c r="A1933" s="12">
        <v>20</v>
      </c>
      <c r="B1933" s="8" t="s">
        <v>48</v>
      </c>
      <c r="C1933" s="8">
        <v>7</v>
      </c>
      <c r="D1933" s="11">
        <v>0.03448275862068965</v>
      </c>
      <c r="E1933" s="8">
        <v>3</v>
      </c>
      <c r="F1933" s="11">
        <v>0.4285714285714285</v>
      </c>
      <c r="G1933" s="8">
        <v>0</v>
      </c>
      <c r="H1933" s="8">
        <v>0</v>
      </c>
      <c r="I1933" s="11">
        <v>5.714285714285714</v>
      </c>
      <c r="J1933" s="11">
        <v>0.1428571428571428</v>
      </c>
      <c r="K1933" s="11">
        <v>0.8571428571428571</v>
      </c>
      <c r="L1933" s="8" t="s">
        <v>799</v>
      </c>
      <c r="M1933" s="11">
        <v>54.3</v>
      </c>
      <c r="N1933" s="8" t="s">
        <v>2137</v>
      </c>
      <c r="O1933" s="8" t="s">
        <v>2151</v>
      </c>
      <c r="P1933" s="8">
        <v>66</v>
      </c>
    </row>
    <row r="1934" spans="1:16" ht="25" customHeight="1">
      <c r="A1934" s="12">
        <v>21</v>
      </c>
      <c r="B1934" s="8" t="s">
        <v>34</v>
      </c>
      <c r="C1934" s="8">
        <v>5</v>
      </c>
      <c r="D1934" s="11">
        <v>0.02463054187192118</v>
      </c>
      <c r="E1934" s="8">
        <v>2</v>
      </c>
      <c r="F1934" s="11">
        <v>0.4</v>
      </c>
      <c r="G1934" s="8">
        <v>1</v>
      </c>
      <c r="H1934" s="11">
        <v>0.2</v>
      </c>
      <c r="I1934" s="11">
        <v>14.8</v>
      </c>
      <c r="J1934" s="11">
        <v>0.4</v>
      </c>
      <c r="K1934" s="11">
        <v>0.4</v>
      </c>
      <c r="L1934" s="8" t="s">
        <v>795</v>
      </c>
      <c r="M1934" s="8">
        <v>44</v>
      </c>
      <c r="N1934" s="8" t="s">
        <v>2177</v>
      </c>
      <c r="O1934" s="8" t="s">
        <v>2188</v>
      </c>
      <c r="P1934" s="8">
        <v>67</v>
      </c>
    </row>
    <row r="1935" spans="1:16" ht="25" customHeight="1">
      <c r="A1935" s="12">
        <v>22</v>
      </c>
      <c r="B1935" s="8" t="s">
        <v>61</v>
      </c>
      <c r="C1935" s="8">
        <v>10</v>
      </c>
      <c r="D1935" s="11">
        <v>0.04926108374384237</v>
      </c>
      <c r="E1935" s="8">
        <v>4</v>
      </c>
      <c r="F1935" s="11">
        <v>0.4</v>
      </c>
      <c r="G1935" s="8">
        <v>1</v>
      </c>
      <c r="H1935" s="11">
        <v>0.1</v>
      </c>
      <c r="I1935" s="11">
        <v>6.8</v>
      </c>
      <c r="J1935" s="11">
        <v>0.4</v>
      </c>
      <c r="K1935" s="11">
        <v>0.6</v>
      </c>
      <c r="L1935" s="8" t="s">
        <v>799</v>
      </c>
      <c r="M1935" s="11">
        <v>49.2</v>
      </c>
      <c r="N1935" s="8" t="s">
        <v>2177</v>
      </c>
      <c r="O1935" s="8" t="s">
        <v>2188</v>
      </c>
      <c r="P1935" s="8">
        <v>71</v>
      </c>
    </row>
    <row r="1936" spans="1:16" ht="25" customHeight="1">
      <c r="A1936" s="12">
        <v>23</v>
      </c>
      <c r="B1936" s="8" t="s">
        <v>66</v>
      </c>
      <c r="C1936" s="8">
        <v>5</v>
      </c>
      <c r="D1936" s="11">
        <v>0.02463054187192118</v>
      </c>
      <c r="E1936" s="8">
        <v>3</v>
      </c>
      <c r="F1936" s="11">
        <v>0.6</v>
      </c>
      <c r="G1936" s="8">
        <v>1</v>
      </c>
      <c r="H1936" s="11">
        <v>0.2</v>
      </c>
      <c r="I1936" s="11">
        <v>6.6</v>
      </c>
      <c r="J1936" s="11">
        <v>0.6</v>
      </c>
      <c r="K1936" s="11">
        <v>0.4</v>
      </c>
      <c r="L1936" s="8" t="s">
        <v>795</v>
      </c>
      <c r="M1936" s="11">
        <v>61.4</v>
      </c>
      <c r="N1936" s="8" t="s">
        <v>2137</v>
      </c>
      <c r="O1936" s="8" t="s">
        <v>2151</v>
      </c>
      <c r="P1936" s="8">
        <v>73</v>
      </c>
    </row>
    <row r="1937" spans="1:16" ht="25" customHeight="1">
      <c r="A1937" s="12">
        <v>24</v>
      </c>
      <c r="B1937" s="8" t="s">
        <v>42</v>
      </c>
      <c r="C1937" s="8">
        <v>5</v>
      </c>
      <c r="D1937" s="11">
        <v>0.02463054187192118</v>
      </c>
      <c r="E1937" s="8">
        <v>2</v>
      </c>
      <c r="F1937" s="11">
        <v>0.4</v>
      </c>
      <c r="G1937" s="8">
        <v>1</v>
      </c>
      <c r="H1937" s="11">
        <v>0.2</v>
      </c>
      <c r="I1937" s="11">
        <v>9.4</v>
      </c>
      <c r="J1937" s="8">
        <v>0</v>
      </c>
      <c r="K1937" s="8">
        <v>1</v>
      </c>
      <c r="L1937" s="8" t="s">
        <v>795</v>
      </c>
      <c r="M1937" s="11">
        <v>44.6</v>
      </c>
      <c r="N1937" s="8" t="s">
        <v>2177</v>
      </c>
      <c r="O1937" s="8" t="s">
        <v>2188</v>
      </c>
      <c r="P1937" s="8">
        <v>76</v>
      </c>
    </row>
    <row r="1938" spans="1:16" ht="25" customHeight="1">
      <c r="A1938" s="12">
        <v>25</v>
      </c>
      <c r="B1938" s="8" t="s">
        <v>65</v>
      </c>
      <c r="C1938" s="8">
        <v>4</v>
      </c>
      <c r="D1938" s="11">
        <v>0.01970443349753695</v>
      </c>
      <c r="E1938" s="8">
        <v>2</v>
      </c>
      <c r="F1938" s="11">
        <v>0.5</v>
      </c>
      <c r="G1938" s="8">
        <v>0</v>
      </c>
      <c r="H1938" s="8">
        <v>0</v>
      </c>
      <c r="I1938" s="11">
        <v>2.25</v>
      </c>
      <c r="J1938" s="11">
        <v>0.5</v>
      </c>
      <c r="K1938" s="11">
        <v>0.5</v>
      </c>
      <c r="L1938" s="8" t="s">
        <v>795</v>
      </c>
      <c r="M1938" s="11">
        <v>62.8</v>
      </c>
      <c r="N1938" s="8" t="s">
        <v>2137</v>
      </c>
      <c r="O1938" s="8" t="s">
        <v>2151</v>
      </c>
      <c r="P1938" s="8">
        <v>80</v>
      </c>
    </row>
    <row r="1939" spans="1:16" ht="25" customHeight="1">
      <c r="A1939" s="12">
        <v>26</v>
      </c>
      <c r="B1939" s="8" t="s">
        <v>49</v>
      </c>
      <c r="C1939" s="8">
        <v>2</v>
      </c>
      <c r="D1939" s="11">
        <v>0.009852216748768473</v>
      </c>
      <c r="E1939" s="8">
        <v>2</v>
      </c>
      <c r="F1939" s="8">
        <v>1</v>
      </c>
      <c r="G1939" s="8">
        <v>0</v>
      </c>
      <c r="H1939" s="8">
        <v>0</v>
      </c>
      <c r="I1939" s="8">
        <v>0</v>
      </c>
      <c r="J1939" s="8">
        <v>0</v>
      </c>
      <c r="K1939" s="8">
        <v>1</v>
      </c>
      <c r="L1939" s="8" t="s">
        <v>791</v>
      </c>
      <c r="M1939" s="8">
        <v>100</v>
      </c>
      <c r="N1939" s="8" t="s">
        <v>2165</v>
      </c>
      <c r="O1939" s="8" t="s">
        <v>2166</v>
      </c>
      <c r="P1939" s="8">
        <v>83</v>
      </c>
    </row>
    <row r="1940" spans="1:16" ht="25" customHeight="1">
      <c r="A1940" s="12">
        <v>27</v>
      </c>
      <c r="B1940" s="8" t="s">
        <v>58</v>
      </c>
      <c r="C1940" s="8">
        <v>3</v>
      </c>
      <c r="D1940" s="11">
        <v>0.01477832512315271</v>
      </c>
      <c r="E1940" s="8">
        <v>3</v>
      </c>
      <c r="F1940" s="8">
        <v>1</v>
      </c>
      <c r="G1940" s="8">
        <v>0</v>
      </c>
      <c r="H1940" s="8">
        <v>0</v>
      </c>
      <c r="I1940" s="11">
        <v>0.3333333333333333</v>
      </c>
      <c r="J1940" s="11">
        <v>0.3333333333333333</v>
      </c>
      <c r="K1940" s="11">
        <v>0.6666666666666666</v>
      </c>
      <c r="L1940" s="8" t="s">
        <v>801</v>
      </c>
      <c r="M1940" s="11">
        <v>99.7</v>
      </c>
      <c r="N1940" s="8" t="s">
        <v>2169</v>
      </c>
      <c r="O1940" s="8" t="s">
        <v>2168</v>
      </c>
      <c r="P1940" s="8">
        <v>86</v>
      </c>
    </row>
    <row r="1941" spans="1:16" ht="25" customHeight="1">
      <c r="A1941" s="12">
        <v>28</v>
      </c>
      <c r="B1941" s="8" t="s">
        <v>47</v>
      </c>
      <c r="C1941" s="8">
        <v>2</v>
      </c>
      <c r="D1941" s="11">
        <v>0.009852216748768473</v>
      </c>
      <c r="E1941" s="8">
        <v>1</v>
      </c>
      <c r="F1941" s="11">
        <v>0.5</v>
      </c>
      <c r="G1941" s="8">
        <v>1</v>
      </c>
      <c r="H1941" s="11">
        <v>0.5</v>
      </c>
      <c r="I1941" s="8">
        <v>15</v>
      </c>
      <c r="J1941" s="8">
        <v>0</v>
      </c>
      <c r="K1941" s="11">
        <v>0.5</v>
      </c>
      <c r="L1941" s="8" t="s">
        <v>791</v>
      </c>
      <c r="M1941" s="8">
        <v>45</v>
      </c>
      <c r="N1941" s="8" t="s">
        <v>2161</v>
      </c>
      <c r="O1941" s="8" t="s">
        <v>2162</v>
      </c>
      <c r="P1941" s="8">
        <v>92</v>
      </c>
    </row>
    <row r="1942" spans="1:16" ht="25" customHeight="1">
      <c r="A1942" s="12">
        <v>29</v>
      </c>
      <c r="B1942" s="8" t="s">
        <v>55</v>
      </c>
      <c r="C1942" s="8">
        <v>2</v>
      </c>
      <c r="D1942" s="11">
        <v>0.009852216748768473</v>
      </c>
      <c r="E1942" s="8">
        <v>1</v>
      </c>
      <c r="F1942" s="11">
        <v>0.5</v>
      </c>
      <c r="G1942" s="8">
        <v>0</v>
      </c>
      <c r="H1942" s="8">
        <v>0</v>
      </c>
      <c r="I1942" s="8">
        <v>6</v>
      </c>
      <c r="J1942" s="8">
        <v>1</v>
      </c>
      <c r="K1942" s="8">
        <v>0</v>
      </c>
      <c r="L1942" s="8" t="s">
        <v>791</v>
      </c>
      <c r="M1942" s="8">
        <v>59</v>
      </c>
      <c r="N1942" s="8" t="s">
        <v>2165</v>
      </c>
      <c r="O1942" s="8" t="s">
        <v>2166</v>
      </c>
      <c r="P1942" s="8">
        <v>94</v>
      </c>
    </row>
    <row r="1943" spans="1:16" ht="25" customHeight="1">
      <c r="A1943" s="12">
        <v>30</v>
      </c>
      <c r="B1943" s="8" t="s">
        <v>64</v>
      </c>
      <c r="C1943" s="8">
        <v>2</v>
      </c>
      <c r="D1943" s="11">
        <v>0.009852216748768473</v>
      </c>
      <c r="E1943" s="8">
        <v>2</v>
      </c>
      <c r="F1943" s="8">
        <v>1</v>
      </c>
      <c r="G1943" s="8">
        <v>0</v>
      </c>
      <c r="H1943" s="8">
        <v>0</v>
      </c>
      <c r="I1943" s="8">
        <v>3</v>
      </c>
      <c r="J1943" s="8">
        <v>0</v>
      </c>
      <c r="K1943" s="8">
        <v>1</v>
      </c>
      <c r="L1943" s="8" t="s">
        <v>791</v>
      </c>
      <c r="M1943" s="8">
        <v>97</v>
      </c>
      <c r="N1943" s="8" t="s">
        <v>2165</v>
      </c>
      <c r="O1943" s="8" t="s">
        <v>2166</v>
      </c>
      <c r="P1943" s="8">
        <v>95</v>
      </c>
    </row>
    <row r="1944" spans="1:16" ht="25" customHeight="1">
      <c r="A1944" s="12">
        <v>31</v>
      </c>
      <c r="B1944" s="8" t="s">
        <v>57</v>
      </c>
      <c r="C1944" s="8">
        <v>1</v>
      </c>
      <c r="D1944" s="11">
        <v>0.004926108374384237</v>
      </c>
      <c r="E1944" s="8">
        <v>0</v>
      </c>
      <c r="F1944" s="8">
        <v>0</v>
      </c>
      <c r="G1944" s="8">
        <v>0</v>
      </c>
      <c r="H1944" s="8">
        <v>0</v>
      </c>
      <c r="I1944" s="8">
        <v>13</v>
      </c>
      <c r="J1944" s="8">
        <v>0</v>
      </c>
      <c r="K1944" s="8">
        <v>1</v>
      </c>
      <c r="L1944" s="8" t="s">
        <v>791</v>
      </c>
      <c r="M1944" s="8">
        <v>20</v>
      </c>
      <c r="N1944" s="8" t="s">
        <v>2165</v>
      </c>
      <c r="O1944" s="8" t="s">
        <v>2166</v>
      </c>
      <c r="P1944" s="8">
        <v>97</v>
      </c>
    </row>
    <row r="1945" spans="1:16" ht="25" customHeight="1">
      <c r="A1945" s="12">
        <v>32</v>
      </c>
      <c r="B1945" s="8" t="s">
        <v>79</v>
      </c>
      <c r="C1945" s="8">
        <v>4</v>
      </c>
      <c r="D1945" s="11">
        <v>0.01970443349753695</v>
      </c>
      <c r="E1945" s="8">
        <v>2</v>
      </c>
      <c r="F1945" s="11">
        <v>0.5</v>
      </c>
      <c r="G1945" s="8">
        <v>1</v>
      </c>
      <c r="H1945" s="11">
        <v>0.25</v>
      </c>
      <c r="I1945" s="8">
        <v>5</v>
      </c>
      <c r="J1945" s="11">
        <v>0.25</v>
      </c>
      <c r="K1945" s="11">
        <v>0.75</v>
      </c>
      <c r="L1945" s="8" t="s">
        <v>795</v>
      </c>
      <c r="M1945" s="8">
        <v>55</v>
      </c>
      <c r="N1945" s="8" t="s">
        <v>2137</v>
      </c>
      <c r="O1945" s="8" t="s">
        <v>2151</v>
      </c>
      <c r="P1945" s="8">
        <v>125</v>
      </c>
    </row>
    <row r="1946" spans="1:16" ht="25" customHeight="1">
      <c r="A1946" s="12">
        <v>33</v>
      </c>
      <c r="B1946" s="8" t="s">
        <v>30</v>
      </c>
      <c r="C1946" s="8">
        <v>1</v>
      </c>
      <c r="D1946" s="11">
        <v>0.004926108374384237</v>
      </c>
      <c r="E1946" s="8">
        <v>1</v>
      </c>
      <c r="F1946" s="8">
        <v>1</v>
      </c>
      <c r="G1946" s="8">
        <v>0</v>
      </c>
      <c r="H1946" s="8">
        <v>0</v>
      </c>
      <c r="I1946" s="8">
        <v>2</v>
      </c>
      <c r="J1946" s="8">
        <v>1</v>
      </c>
      <c r="K1946" s="8">
        <v>0</v>
      </c>
      <c r="L1946" s="8" t="s">
        <v>791</v>
      </c>
      <c r="M1946" s="8">
        <v>98</v>
      </c>
      <c r="N1946" s="8" t="s">
        <v>2165</v>
      </c>
      <c r="O1946" s="8" t="s">
        <v>2166</v>
      </c>
      <c r="P1946" s="8">
        <v>144</v>
      </c>
    </row>
    <row r="1947" spans="1:16" ht="25" customHeight="1">
      <c r="A1947" s="12">
        <v>34</v>
      </c>
      <c r="B1947" s="8" t="s">
        <v>80</v>
      </c>
      <c r="C1947" s="8">
        <v>2</v>
      </c>
      <c r="D1947" s="11">
        <v>0.009852216748768473</v>
      </c>
      <c r="E1947" s="8">
        <v>1</v>
      </c>
      <c r="F1947" s="11">
        <v>0.5</v>
      </c>
      <c r="G1947" s="8">
        <v>0</v>
      </c>
      <c r="H1947" s="8">
        <v>0</v>
      </c>
      <c r="I1947" s="11">
        <v>5.5</v>
      </c>
      <c r="J1947" s="11">
        <v>0.5</v>
      </c>
      <c r="K1947" s="11">
        <v>0.5</v>
      </c>
      <c r="L1947" s="8" t="s">
        <v>791</v>
      </c>
      <c r="M1947" s="11">
        <v>59.5</v>
      </c>
      <c r="N1947" s="8" t="s">
        <v>2165</v>
      </c>
      <c r="O1947" s="8" t="s">
        <v>2166</v>
      </c>
      <c r="P1947" s="8">
        <v>145</v>
      </c>
    </row>
    <row r="1948" spans="1:16" ht="25" customHeight="1">
      <c r="A1948" s="12">
        <v>35</v>
      </c>
      <c r="B1948" s="8" t="s">
        <v>77</v>
      </c>
      <c r="C1948" s="8">
        <v>3</v>
      </c>
      <c r="D1948" s="11">
        <v>0.01477832512315271</v>
      </c>
      <c r="E1948" s="8">
        <v>2</v>
      </c>
      <c r="F1948" s="11">
        <v>0.6666666666666666</v>
      </c>
      <c r="G1948" s="8">
        <v>0</v>
      </c>
      <c r="H1948" s="8">
        <v>0</v>
      </c>
      <c r="I1948" s="11">
        <v>3.666666666666667</v>
      </c>
      <c r="J1948" s="11">
        <v>0.3333333333333333</v>
      </c>
      <c r="K1948" s="11">
        <v>0.6666666666666666</v>
      </c>
      <c r="L1948" s="8" t="s">
        <v>801</v>
      </c>
      <c r="M1948" s="8">
        <v>73</v>
      </c>
      <c r="N1948" s="8" t="s">
        <v>2179</v>
      </c>
      <c r="O1948" s="8" t="s">
        <v>2168</v>
      </c>
      <c r="P1948" s="8">
        <v>157</v>
      </c>
    </row>
    <row r="1949" spans="1:16" ht="25" customHeight="1">
      <c r="A1949" s="12">
        <v>36</v>
      </c>
      <c r="B1949" s="8" t="s">
        <v>87</v>
      </c>
      <c r="C1949" s="8">
        <v>1</v>
      </c>
      <c r="D1949" s="11">
        <v>0.004926108374384237</v>
      </c>
      <c r="E1949" s="8">
        <v>0</v>
      </c>
      <c r="F1949" s="8">
        <v>0</v>
      </c>
      <c r="G1949" s="8">
        <v>0</v>
      </c>
      <c r="H1949" s="8">
        <v>0</v>
      </c>
      <c r="I1949" s="8">
        <v>5</v>
      </c>
      <c r="J1949" s="8">
        <v>1</v>
      </c>
      <c r="K1949" s="8">
        <v>0</v>
      </c>
      <c r="L1949" s="8" t="s">
        <v>791</v>
      </c>
      <c r="M1949" s="8">
        <v>25</v>
      </c>
      <c r="N1949" s="8" t="s">
        <v>2165</v>
      </c>
      <c r="O1949" s="8" t="s">
        <v>2166</v>
      </c>
      <c r="P1949" s="8">
        <v>159</v>
      </c>
    </row>
    <row r="1950" spans="1:16" ht="25" customHeight="1">
      <c r="A1950" s="12">
        <v>37</v>
      </c>
      <c r="B1950" s="8" t="s">
        <v>72</v>
      </c>
      <c r="C1950" s="8">
        <v>1</v>
      </c>
      <c r="D1950" s="11">
        <v>0.004926108374384237</v>
      </c>
      <c r="E1950" s="8">
        <v>0</v>
      </c>
      <c r="F1950" s="8">
        <v>0</v>
      </c>
      <c r="G1950" s="8">
        <v>0</v>
      </c>
      <c r="H1950" s="8">
        <v>0</v>
      </c>
      <c r="I1950" s="8">
        <v>9</v>
      </c>
      <c r="J1950" s="8">
        <v>0</v>
      </c>
      <c r="K1950" s="8">
        <v>1</v>
      </c>
      <c r="L1950" s="8" t="s">
        <v>791</v>
      </c>
      <c r="M1950" s="8">
        <v>21</v>
      </c>
      <c r="N1950" s="8" t="s">
        <v>2165</v>
      </c>
      <c r="O1950" s="8" t="s">
        <v>2166</v>
      </c>
      <c r="P1950" s="8">
        <v>162</v>
      </c>
    </row>
    <row r="1951" spans="1:16" ht="25" customHeight="1">
      <c r="A1951" s="12">
        <v>38</v>
      </c>
      <c r="B1951" s="8" t="s">
        <v>89</v>
      </c>
      <c r="C1951" s="8">
        <v>1</v>
      </c>
      <c r="D1951" s="11">
        <v>0.004926108374384237</v>
      </c>
      <c r="E1951" s="8">
        <v>1</v>
      </c>
      <c r="F1951" s="8">
        <v>1</v>
      </c>
      <c r="G1951" s="8">
        <v>0</v>
      </c>
      <c r="H1951" s="8">
        <v>0</v>
      </c>
      <c r="I1951" s="8">
        <v>3</v>
      </c>
      <c r="J1951" s="8">
        <v>0</v>
      </c>
      <c r="K1951" s="8">
        <v>1</v>
      </c>
      <c r="L1951" s="8" t="s">
        <v>791</v>
      </c>
      <c r="M1951" s="8">
        <v>97</v>
      </c>
      <c r="N1951" s="8" t="s">
        <v>2165</v>
      </c>
      <c r="O1951" s="8" t="s">
        <v>2166</v>
      </c>
      <c r="P1951" s="8">
        <v>163</v>
      </c>
    </row>
    <row r="1952" spans="1:16" ht="25" customHeight="1">
      <c r="A1952" s="12">
        <v>39</v>
      </c>
      <c r="B1952" s="8" t="s">
        <v>90</v>
      </c>
      <c r="C1952" s="8">
        <v>1</v>
      </c>
      <c r="D1952" s="11">
        <v>0.004926108374384237</v>
      </c>
      <c r="E1952" s="8">
        <v>1</v>
      </c>
      <c r="F1952" s="8">
        <v>1</v>
      </c>
      <c r="G1952" s="8">
        <v>0</v>
      </c>
      <c r="H1952" s="8">
        <v>0</v>
      </c>
      <c r="I1952" s="8">
        <v>0</v>
      </c>
      <c r="J1952" s="8">
        <v>0</v>
      </c>
      <c r="K1952" s="8">
        <v>1</v>
      </c>
      <c r="L1952" s="8" t="s">
        <v>791</v>
      </c>
      <c r="M1952" s="8">
        <v>100</v>
      </c>
      <c r="N1952" s="8" t="s">
        <v>2165</v>
      </c>
      <c r="O1952" s="8" t="s">
        <v>2166</v>
      </c>
      <c r="P1952" s="8">
        <v>164</v>
      </c>
    </row>
    <row r="1953" spans="1:16" ht="25" customHeight="1">
      <c r="A1953" s="12">
        <v>40</v>
      </c>
      <c r="B1953" s="8" t="s">
        <v>74</v>
      </c>
      <c r="C1953" s="8">
        <v>1</v>
      </c>
      <c r="D1953" s="11">
        <v>0.004926108374384237</v>
      </c>
      <c r="E1953" s="8">
        <v>1</v>
      </c>
      <c r="F1953" s="8">
        <v>1</v>
      </c>
      <c r="G1953" s="8">
        <v>0</v>
      </c>
      <c r="H1953" s="8">
        <v>0</v>
      </c>
      <c r="I1953" s="8">
        <v>-8</v>
      </c>
      <c r="J1953" s="8">
        <v>0</v>
      </c>
      <c r="K1953" s="8">
        <v>1</v>
      </c>
      <c r="L1953" s="8" t="s">
        <v>791</v>
      </c>
      <c r="M1953" s="8">
        <v>100</v>
      </c>
      <c r="N1953" s="8" t="s">
        <v>2165</v>
      </c>
      <c r="O1953" s="8" t="s">
        <v>2166</v>
      </c>
      <c r="P1953" s="8">
        <v>166</v>
      </c>
    </row>
    <row r="1954" spans="1:16" ht="25" customHeight="1">
      <c r="A1954" s="12">
        <v>41</v>
      </c>
      <c r="B1954" s="8" t="s">
        <v>101</v>
      </c>
      <c r="C1954" s="8">
        <v>6</v>
      </c>
      <c r="D1954" s="11">
        <v>0.02955665024630542</v>
      </c>
      <c r="E1954" s="8">
        <v>4</v>
      </c>
      <c r="F1954" s="11">
        <v>0.6666666666666666</v>
      </c>
      <c r="G1954" s="8">
        <v>1</v>
      </c>
      <c r="H1954" s="11">
        <v>0.1666666666666667</v>
      </c>
      <c r="I1954" s="11">
        <v>12.16666666666667</v>
      </c>
      <c r="J1954" s="8">
        <v>0</v>
      </c>
      <c r="K1954" s="8">
        <v>1</v>
      </c>
      <c r="L1954" s="8" t="s">
        <v>795</v>
      </c>
      <c r="M1954" s="11">
        <v>63.3</v>
      </c>
      <c r="N1954" s="8" t="s">
        <v>2137</v>
      </c>
      <c r="O1954" s="8" t="s">
        <v>2151</v>
      </c>
      <c r="P1954" s="8">
        <v>167</v>
      </c>
    </row>
    <row r="1955" spans="1:16" ht="25" customHeight="1">
      <c r="A1955" s="12">
        <v>42</v>
      </c>
      <c r="B1955" s="8" t="s">
        <v>102</v>
      </c>
      <c r="C1955" s="8">
        <v>4</v>
      </c>
      <c r="D1955" s="11">
        <v>0.01970443349753695</v>
      </c>
      <c r="E1955" s="8">
        <v>4</v>
      </c>
      <c r="F1955" s="8">
        <v>1</v>
      </c>
      <c r="G1955" s="8">
        <v>0</v>
      </c>
      <c r="H1955" s="8">
        <v>0</v>
      </c>
      <c r="I1955" s="8">
        <v>1</v>
      </c>
      <c r="J1955" s="11">
        <v>0.25</v>
      </c>
      <c r="K1955" s="11">
        <v>0.75</v>
      </c>
      <c r="L1955" s="8" t="s">
        <v>795</v>
      </c>
      <c r="M1955" s="8">
        <v>99</v>
      </c>
      <c r="N1955" s="8" t="s">
        <v>2170</v>
      </c>
      <c r="O1955" s="8" t="s">
        <v>2151</v>
      </c>
      <c r="P1955" s="8">
        <v>173</v>
      </c>
    </row>
    <row r="1956" spans="1:16" ht="25" customHeight="1">
      <c r="A1956" s="12">
        <v>43</v>
      </c>
      <c r="B1956" s="8" t="s">
        <v>99</v>
      </c>
      <c r="C1956" s="8">
        <v>3</v>
      </c>
      <c r="D1956" s="11">
        <v>0.01477832512315271</v>
      </c>
      <c r="E1956" s="8">
        <v>1</v>
      </c>
      <c r="F1956" s="11">
        <v>0.3333333333333333</v>
      </c>
      <c r="G1956" s="8">
        <v>0</v>
      </c>
      <c r="H1956" s="8">
        <v>0</v>
      </c>
      <c r="I1956" s="11">
        <v>8.666666666666666</v>
      </c>
      <c r="J1956" s="8">
        <v>0</v>
      </c>
      <c r="K1956" s="8">
        <v>1</v>
      </c>
      <c r="L1956" s="8" t="s">
        <v>801</v>
      </c>
      <c r="M1956" s="11">
        <v>44.7</v>
      </c>
      <c r="N1956" s="8" t="s">
        <v>2167</v>
      </c>
      <c r="O1956" s="8" t="s">
        <v>2168</v>
      </c>
      <c r="P1956" s="8">
        <v>183</v>
      </c>
    </row>
    <row r="1957" spans="1:16" ht="25" customHeight="1">
      <c r="A1957" s="12">
        <v>44</v>
      </c>
      <c r="B1957" s="8" t="s">
        <v>37</v>
      </c>
      <c r="C1957" s="8">
        <v>1</v>
      </c>
      <c r="D1957" s="11">
        <v>0.004926108374384237</v>
      </c>
      <c r="E1957" s="8">
        <v>0</v>
      </c>
      <c r="F1957" s="8">
        <v>0</v>
      </c>
      <c r="G1957" s="8">
        <v>0</v>
      </c>
      <c r="H1957" s="8">
        <v>0</v>
      </c>
      <c r="I1957" s="8">
        <v>6</v>
      </c>
      <c r="J1957" s="8">
        <v>0</v>
      </c>
      <c r="K1957" s="8">
        <v>1</v>
      </c>
      <c r="L1957" s="8" t="s">
        <v>791</v>
      </c>
      <c r="M1957" s="8">
        <v>24</v>
      </c>
      <c r="N1957" s="8" t="s">
        <v>2165</v>
      </c>
      <c r="O1957" s="8" t="s">
        <v>2166</v>
      </c>
      <c r="P1957" s="8">
        <v>196</v>
      </c>
    </row>
    <row r="1958" spans="1:16" ht="25" customHeight="1">
      <c r="A1958" s="12">
        <v>45</v>
      </c>
      <c r="B1958" s="8" t="s">
        <v>109</v>
      </c>
      <c r="C1958" s="8">
        <v>1</v>
      </c>
      <c r="D1958" s="11">
        <v>0.004926108374384237</v>
      </c>
      <c r="E1958" s="8">
        <v>0</v>
      </c>
      <c r="F1958" s="8">
        <v>0</v>
      </c>
      <c r="G1958" s="8">
        <v>1</v>
      </c>
      <c r="H1958" s="8">
        <v>1</v>
      </c>
      <c r="I1958" s="8">
        <v>16</v>
      </c>
      <c r="J1958" s="8">
        <v>0</v>
      </c>
      <c r="K1958" s="8">
        <v>1</v>
      </c>
      <c r="L1958" s="8" t="s">
        <v>791</v>
      </c>
      <c r="M1958" s="8">
        <v>0</v>
      </c>
      <c r="N1958" s="8" t="s">
        <v>2161</v>
      </c>
      <c r="O1958" s="8" t="s">
        <v>2162</v>
      </c>
      <c r="P1958" s="8">
        <v>203</v>
      </c>
    </row>
    <row r="1959" spans="1:16" ht="25" customHeight="1">
      <c r="A1959" s="12">
        <v>46</v>
      </c>
      <c r="B1959" s="8" t="s">
        <v>106</v>
      </c>
      <c r="C1959" s="8">
        <v>1</v>
      </c>
      <c r="D1959" s="11">
        <v>0.004926108374384237</v>
      </c>
      <c r="E1959" s="8">
        <v>0</v>
      </c>
      <c r="F1959" s="8">
        <v>0</v>
      </c>
      <c r="G1959" s="8">
        <v>1</v>
      </c>
      <c r="H1959" s="8">
        <v>1</v>
      </c>
      <c r="I1959" s="8">
        <v>22</v>
      </c>
      <c r="J1959" s="8">
        <v>0</v>
      </c>
      <c r="K1959" s="8">
        <v>1</v>
      </c>
      <c r="L1959" s="8" t="s">
        <v>791</v>
      </c>
      <c r="M1959" s="8">
        <v>0</v>
      </c>
      <c r="N1959" s="8" t="s">
        <v>2161</v>
      </c>
      <c r="O1959" s="8" t="s">
        <v>2162</v>
      </c>
      <c r="P1959" s="8">
        <v>205</v>
      </c>
    </row>
    <row r="1960" spans="1:16" ht="25" customHeight="1">
      <c r="A1960" s="12">
        <v>47</v>
      </c>
      <c r="B1960" s="8" t="s">
        <v>84</v>
      </c>
      <c r="C1960" s="8">
        <v>1</v>
      </c>
      <c r="D1960" s="11">
        <v>0.004926108374384237</v>
      </c>
      <c r="E1960" s="8">
        <v>1</v>
      </c>
      <c r="F1960" s="8">
        <v>1</v>
      </c>
      <c r="G1960" s="8">
        <v>0</v>
      </c>
      <c r="H1960" s="8">
        <v>0</v>
      </c>
      <c r="I1960" s="8">
        <v>0</v>
      </c>
      <c r="J1960" s="8">
        <v>0</v>
      </c>
      <c r="K1960" s="8">
        <v>1</v>
      </c>
      <c r="L1960" s="8" t="s">
        <v>791</v>
      </c>
      <c r="M1960" s="8">
        <v>100</v>
      </c>
      <c r="N1960" s="8" t="s">
        <v>2165</v>
      </c>
      <c r="O1960" s="8" t="s">
        <v>2166</v>
      </c>
      <c r="P1960" s="8">
        <v>206</v>
      </c>
    </row>
    <row r="1961" spans="1:16" ht="25" customHeight="1">
      <c r="A1961" s="12">
        <v>48</v>
      </c>
      <c r="B1961" s="8" t="s">
        <v>91</v>
      </c>
      <c r="C1961" s="8">
        <v>1</v>
      </c>
      <c r="D1961" s="11">
        <v>0.004926108374384237</v>
      </c>
      <c r="E1961" s="8">
        <v>1</v>
      </c>
      <c r="F1961" s="8">
        <v>1</v>
      </c>
      <c r="G1961" s="8">
        <v>0</v>
      </c>
      <c r="H1961" s="8">
        <v>0</v>
      </c>
      <c r="I1961" s="8">
        <v>0</v>
      </c>
      <c r="J1961" s="8">
        <v>0</v>
      </c>
      <c r="K1961" s="8">
        <v>1</v>
      </c>
      <c r="L1961" s="8" t="s">
        <v>791</v>
      </c>
      <c r="M1961" s="8">
        <v>100</v>
      </c>
      <c r="N1961" s="8" t="s">
        <v>2165</v>
      </c>
      <c r="O1961" s="8" t="s">
        <v>2166</v>
      </c>
      <c r="P1961" s="8">
        <v>209</v>
      </c>
    </row>
    <row r="1962" spans="1:16" ht="25" customHeight="1">
      <c r="A1962" s="12">
        <v>49</v>
      </c>
      <c r="B1962" s="8" t="s">
        <v>73</v>
      </c>
      <c r="C1962" s="8">
        <v>3</v>
      </c>
      <c r="D1962" s="11">
        <v>0.01477832512315271</v>
      </c>
      <c r="E1962" s="8">
        <v>2</v>
      </c>
      <c r="F1962" s="11">
        <v>0.6666666666666666</v>
      </c>
      <c r="G1962" s="8">
        <v>1</v>
      </c>
      <c r="H1962" s="11">
        <v>0.3333333333333333</v>
      </c>
      <c r="I1962" s="11">
        <v>7.333333333333333</v>
      </c>
      <c r="J1962" s="8">
        <v>0</v>
      </c>
      <c r="K1962" s="8">
        <v>1</v>
      </c>
      <c r="L1962" s="8" t="s">
        <v>801</v>
      </c>
      <c r="M1962" s="11">
        <v>62.7</v>
      </c>
      <c r="N1962" s="8" t="s">
        <v>2180</v>
      </c>
      <c r="O1962" s="8" t="s">
        <v>2168</v>
      </c>
      <c r="P1962" s="8">
        <v>221</v>
      </c>
    </row>
    <row r="1963" spans="1:16" ht="25" customHeight="1">
      <c r="A1963" s="12">
        <v>50</v>
      </c>
      <c r="B1963" s="8" t="s">
        <v>67</v>
      </c>
      <c r="C1963" s="8">
        <v>4</v>
      </c>
      <c r="D1963" s="11">
        <v>0.01970443349753695</v>
      </c>
      <c r="E1963" s="8">
        <v>2</v>
      </c>
      <c r="F1963" s="11">
        <v>0.5</v>
      </c>
      <c r="G1963" s="8">
        <v>0</v>
      </c>
      <c r="H1963" s="8">
        <v>0</v>
      </c>
      <c r="I1963" s="8">
        <v>2</v>
      </c>
      <c r="J1963" s="8">
        <v>1</v>
      </c>
      <c r="K1963" s="8">
        <v>0</v>
      </c>
      <c r="L1963" s="8" t="s">
        <v>795</v>
      </c>
      <c r="M1963" s="8">
        <v>63</v>
      </c>
      <c r="N1963" s="8" t="s">
        <v>2137</v>
      </c>
      <c r="O1963" s="8" t="s">
        <v>2151</v>
      </c>
      <c r="P1963" s="8">
        <v>222</v>
      </c>
    </row>
    <row r="1964" spans="1:16" ht="25" customHeight="1">
      <c r="A1964" s="12">
        <v>51</v>
      </c>
      <c r="B1964" s="8" t="s">
        <v>40</v>
      </c>
      <c r="C1964" s="8">
        <v>3</v>
      </c>
      <c r="D1964" s="11">
        <v>0.01477832512315271</v>
      </c>
      <c r="E1964" s="8">
        <v>0</v>
      </c>
      <c r="F1964" s="8">
        <v>0</v>
      </c>
      <c r="G1964" s="8">
        <v>0</v>
      </c>
      <c r="H1964" s="8">
        <v>0</v>
      </c>
      <c r="I1964" s="11">
        <v>6.333333333333333</v>
      </c>
      <c r="J1964" s="8">
        <v>1</v>
      </c>
      <c r="K1964" s="8">
        <v>0</v>
      </c>
      <c r="L1964" s="8" t="s">
        <v>801</v>
      </c>
      <c r="M1964" s="11">
        <v>23.7</v>
      </c>
      <c r="N1964" s="8" t="s">
        <v>2167</v>
      </c>
      <c r="O1964" s="8" t="s">
        <v>2168</v>
      </c>
      <c r="P1964" s="8">
        <v>237</v>
      </c>
    </row>
    <row r="1965" spans="1:16" ht="25" customHeight="1">
      <c r="A1965" s="12">
        <v>52</v>
      </c>
      <c r="B1965" s="8" t="s">
        <v>100</v>
      </c>
      <c r="C1965" s="8">
        <v>3</v>
      </c>
      <c r="D1965" s="11">
        <v>0.01477832512315271</v>
      </c>
      <c r="E1965" s="8">
        <v>2</v>
      </c>
      <c r="F1965" s="11">
        <v>0.6666666666666666</v>
      </c>
      <c r="G1965" s="8">
        <v>0</v>
      </c>
      <c r="H1965" s="8">
        <v>0</v>
      </c>
      <c r="I1965" s="8">
        <v>4</v>
      </c>
      <c r="J1965" s="11">
        <v>0.3333333333333333</v>
      </c>
      <c r="K1965" s="11">
        <v>0.6666666666666666</v>
      </c>
      <c r="L1965" s="8" t="s">
        <v>801</v>
      </c>
      <c r="M1965" s="11">
        <v>72.7</v>
      </c>
      <c r="N1965" s="8" t="s">
        <v>2179</v>
      </c>
      <c r="O1965" s="8" t="s">
        <v>2168</v>
      </c>
      <c r="P1965" s="8">
        <v>271</v>
      </c>
    </row>
    <row r="1966" spans="1:16" ht="25" customHeight="1">
      <c r="A1966" s="12">
        <v>53</v>
      </c>
      <c r="B1966" s="8" t="s">
        <v>95</v>
      </c>
      <c r="C1966" s="8">
        <v>1</v>
      </c>
      <c r="D1966" s="11">
        <v>0.004926108374384237</v>
      </c>
      <c r="E1966" s="8">
        <v>0</v>
      </c>
      <c r="F1966" s="8">
        <v>0</v>
      </c>
      <c r="G1966" s="8">
        <v>0</v>
      </c>
      <c r="H1966" s="8">
        <v>0</v>
      </c>
      <c r="I1966" s="8">
        <v>10</v>
      </c>
      <c r="J1966" s="8">
        <v>0</v>
      </c>
      <c r="K1966" s="8">
        <v>1</v>
      </c>
      <c r="L1966" s="8" t="s">
        <v>791</v>
      </c>
      <c r="M1966" s="8">
        <v>20</v>
      </c>
      <c r="N1966" s="8" t="s">
        <v>2165</v>
      </c>
      <c r="O1966" s="8" t="s">
        <v>2166</v>
      </c>
      <c r="P1966" s="8">
        <v>275</v>
      </c>
    </row>
    <row r="1967" spans="1:16" ht="25" customHeight="1">
      <c r="A1967" s="12">
        <v>54</v>
      </c>
      <c r="B1967" s="8" t="s">
        <v>93</v>
      </c>
      <c r="C1967" s="8">
        <v>2</v>
      </c>
      <c r="D1967" s="11">
        <v>0.009852216748768473</v>
      </c>
      <c r="E1967" s="8">
        <v>1</v>
      </c>
      <c r="F1967" s="11">
        <v>0.5</v>
      </c>
      <c r="G1967" s="8">
        <v>1</v>
      </c>
      <c r="H1967" s="11">
        <v>0.5</v>
      </c>
      <c r="I1967" s="11">
        <v>10.5</v>
      </c>
      <c r="J1967" s="8">
        <v>0</v>
      </c>
      <c r="K1967" s="8">
        <v>1</v>
      </c>
      <c r="L1967" s="8" t="s">
        <v>791</v>
      </c>
      <c r="M1967" s="8">
        <v>45</v>
      </c>
      <c r="N1967" s="8" t="s">
        <v>2161</v>
      </c>
      <c r="O1967" s="8" t="s">
        <v>2162</v>
      </c>
      <c r="P1967" s="8">
        <v>277</v>
      </c>
    </row>
    <row r="1968" spans="1:16" ht="25" customHeight="1">
      <c r="A1968" s="12">
        <v>55</v>
      </c>
      <c r="B1968" s="8" t="s">
        <v>97</v>
      </c>
      <c r="C1968" s="8">
        <v>2</v>
      </c>
      <c r="D1968" s="11">
        <v>0.009852216748768473</v>
      </c>
      <c r="E1968" s="8">
        <v>1</v>
      </c>
      <c r="F1968" s="11">
        <v>0.5</v>
      </c>
      <c r="G1968" s="8">
        <v>1</v>
      </c>
      <c r="H1968" s="11">
        <v>0.5</v>
      </c>
      <c r="I1968" s="8">
        <v>15</v>
      </c>
      <c r="J1968" s="8">
        <v>0</v>
      </c>
      <c r="K1968" s="8">
        <v>1</v>
      </c>
      <c r="L1968" s="8" t="s">
        <v>791</v>
      </c>
      <c r="M1968" s="8">
        <v>45</v>
      </c>
      <c r="N1968" s="8" t="s">
        <v>2161</v>
      </c>
      <c r="O1968" s="8" t="s">
        <v>2162</v>
      </c>
      <c r="P1968" s="8">
        <v>279</v>
      </c>
    </row>
    <row r="1969" spans="1:16" ht="25" customHeight="1">
      <c r="A1969" s="12">
        <v>56</v>
      </c>
      <c r="B1969" s="8" t="s">
        <v>105</v>
      </c>
      <c r="C1969" s="8">
        <v>1</v>
      </c>
      <c r="D1969" s="11">
        <v>0.004926108374384237</v>
      </c>
      <c r="E1969" s="8">
        <v>1</v>
      </c>
      <c r="F1969" s="8">
        <v>1</v>
      </c>
      <c r="G1969" s="8">
        <v>0</v>
      </c>
      <c r="H1969" s="8">
        <v>0</v>
      </c>
      <c r="I1969" s="8">
        <v>0</v>
      </c>
      <c r="J1969" s="8">
        <v>0</v>
      </c>
      <c r="K1969" s="8">
        <v>1</v>
      </c>
      <c r="L1969" s="8" t="s">
        <v>791</v>
      </c>
      <c r="M1969" s="8">
        <v>100</v>
      </c>
      <c r="N1969" s="8" t="s">
        <v>2165</v>
      </c>
      <c r="O1969" s="8" t="s">
        <v>2166</v>
      </c>
      <c r="P1969" s="8">
        <v>282</v>
      </c>
    </row>
    <row r="1970" spans="1:16" ht="25" customHeight="1">
      <c r="A1970" s="12">
        <v>57</v>
      </c>
      <c r="B1970" s="8" t="s">
        <v>110</v>
      </c>
      <c r="C1970" s="8">
        <v>1</v>
      </c>
      <c r="D1970" s="11">
        <v>0.004926108374384237</v>
      </c>
      <c r="E1970" s="8">
        <v>0</v>
      </c>
      <c r="F1970" s="8">
        <v>0</v>
      </c>
      <c r="G1970" s="8">
        <v>1</v>
      </c>
      <c r="H1970" s="8">
        <v>1</v>
      </c>
      <c r="I1970" s="8">
        <v>19</v>
      </c>
      <c r="J1970" s="8">
        <v>0</v>
      </c>
      <c r="K1970" s="8">
        <v>1</v>
      </c>
      <c r="L1970" s="8" t="s">
        <v>791</v>
      </c>
      <c r="M1970" s="8">
        <v>0</v>
      </c>
      <c r="N1970" s="8" t="s">
        <v>2161</v>
      </c>
      <c r="O1970" s="8" t="s">
        <v>2162</v>
      </c>
      <c r="P1970" s="8">
        <v>283</v>
      </c>
    </row>
    <row r="1976" spans="1:16" ht="27" customHeight="1">
      <c r="A1976" s="5" t="s">
        <v>2189</v>
      </c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</row>
    <row r="1977" spans="1:16" ht="36" customHeight="1">
      <c r="A1977" s="9" t="s">
        <v>683</v>
      </c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</row>
    <row r="1978" spans="1:16" ht="25" customHeight="1">
      <c r="A1978" s="6" t="s">
        <v>684</v>
      </c>
    </row>
    <row r="1979" spans="1:16" ht="25" customHeight="1">
      <c r="A1979" s="12">
        <v>1</v>
      </c>
      <c r="B1979" s="8" t="s">
        <v>2190</v>
      </c>
    </row>
    <row r="1980" spans="1:16" ht="25" customHeight="1">
      <c r="A1980" s="12">
        <v>2</v>
      </c>
      <c r="B1980" s="8" t="s">
        <v>2174</v>
      </c>
      <c r="E1980" s="8" t="s">
        <v>2121</v>
      </c>
      <c r="H1980" s="8" t="s">
        <v>2072</v>
      </c>
      <c r="K1980" s="8" t="s">
        <v>2122</v>
      </c>
      <c r="M1980" s="8" t="s">
        <v>2175</v>
      </c>
    </row>
    <row r="1981" spans="1:16" ht="25" customHeight="1">
      <c r="A1981" s="12">
        <v>3</v>
      </c>
      <c r="B1981" s="8" t="s">
        <v>2176</v>
      </c>
      <c r="C1981" s="8" t="s">
        <v>2091</v>
      </c>
      <c r="D1981" s="8" t="s">
        <v>690</v>
      </c>
      <c r="E1981" s="8" t="s">
        <v>2130</v>
      </c>
      <c r="F1981" s="8" t="s">
        <v>2132</v>
      </c>
      <c r="G1981" s="8" t="s">
        <v>2133</v>
      </c>
      <c r="H1981" s="8" t="s">
        <v>784</v>
      </c>
      <c r="I1981" s="8" t="s">
        <v>2135</v>
      </c>
      <c r="J1981" s="8" t="s">
        <v>2146</v>
      </c>
      <c r="K1981" s="8" t="s">
        <v>2147</v>
      </c>
      <c r="L1981" s="8" t="s">
        <v>786</v>
      </c>
      <c r="M1981" s="8" t="s">
        <v>2134</v>
      </c>
      <c r="N1981" s="8" t="s">
        <v>2136</v>
      </c>
      <c r="O1981" s="8" t="s">
        <v>2139</v>
      </c>
      <c r="P1981" s="8" t="s">
        <v>1946</v>
      </c>
    </row>
    <row r="1982" spans="1:16" ht="25" customHeight="1">
      <c r="A1982" s="12">
        <v>4</v>
      </c>
      <c r="B1982" s="8" t="s">
        <v>68</v>
      </c>
      <c r="C1982" s="8">
        <v>7</v>
      </c>
      <c r="D1982" s="11">
        <v>0.06422018348623854</v>
      </c>
      <c r="E1982" s="8">
        <v>5</v>
      </c>
      <c r="F1982" s="11">
        <v>0.7142857142857143</v>
      </c>
      <c r="G1982" s="8">
        <v>0</v>
      </c>
      <c r="H1982" s="8">
        <v>0</v>
      </c>
      <c r="I1982" s="11">
        <v>1.142857142857143</v>
      </c>
      <c r="J1982" s="11">
        <v>0.4285714285714285</v>
      </c>
      <c r="K1982" s="11">
        <v>0.5714285714285714</v>
      </c>
      <c r="L1982" s="8" t="s">
        <v>799</v>
      </c>
      <c r="M1982" s="11">
        <v>78.90000000000001</v>
      </c>
      <c r="N1982" s="8" t="s">
        <v>2152</v>
      </c>
      <c r="O1982" s="8" t="s">
        <v>2151</v>
      </c>
      <c r="P1982" s="8">
        <v>11</v>
      </c>
    </row>
    <row r="1983" spans="1:16" ht="25" customHeight="1">
      <c r="A1983" s="12">
        <v>5</v>
      </c>
      <c r="B1983" s="8" t="s">
        <v>60</v>
      </c>
      <c r="C1983" s="8">
        <v>6</v>
      </c>
      <c r="D1983" s="11">
        <v>0.05504587155963303</v>
      </c>
      <c r="E1983" s="8">
        <v>3</v>
      </c>
      <c r="F1983" s="11">
        <v>0.5</v>
      </c>
      <c r="G1983" s="8">
        <v>0</v>
      </c>
      <c r="H1983" s="8">
        <v>0</v>
      </c>
      <c r="I1983" s="11">
        <v>6.5</v>
      </c>
      <c r="J1983" s="11">
        <v>0.3333333333333333</v>
      </c>
      <c r="K1983" s="11">
        <v>0.6666666666666666</v>
      </c>
      <c r="L1983" s="8" t="s">
        <v>795</v>
      </c>
      <c r="M1983" s="11">
        <v>58.5</v>
      </c>
      <c r="N1983" s="8" t="s">
        <v>2137</v>
      </c>
      <c r="O1983" s="8" t="s">
        <v>2151</v>
      </c>
      <c r="P1983" s="8">
        <v>17</v>
      </c>
    </row>
    <row r="1984" spans="1:16" ht="25" customHeight="1">
      <c r="A1984" s="12">
        <v>6</v>
      </c>
      <c r="B1984" s="8" t="s">
        <v>63</v>
      </c>
      <c r="C1984" s="8">
        <v>6</v>
      </c>
      <c r="D1984" s="11">
        <v>0.05504587155963303</v>
      </c>
      <c r="E1984" s="8">
        <v>2</v>
      </c>
      <c r="F1984" s="11">
        <v>0.3333333333333333</v>
      </c>
      <c r="G1984" s="8">
        <v>2</v>
      </c>
      <c r="H1984" s="11">
        <v>0.3333333333333333</v>
      </c>
      <c r="I1984" s="11">
        <v>11.16666666666667</v>
      </c>
      <c r="J1984" s="8">
        <v>0</v>
      </c>
      <c r="K1984" s="8">
        <v>1</v>
      </c>
      <c r="L1984" s="8" t="s">
        <v>795</v>
      </c>
      <c r="M1984" s="11">
        <v>36.7</v>
      </c>
      <c r="N1984" s="8" t="s">
        <v>2177</v>
      </c>
      <c r="O1984" s="8" t="s">
        <v>2191</v>
      </c>
      <c r="P1984" s="8">
        <v>18</v>
      </c>
    </row>
    <row r="1985" spans="1:16" ht="25" customHeight="1">
      <c r="A1985" s="12">
        <v>7</v>
      </c>
      <c r="B1985" s="8" t="s">
        <v>56</v>
      </c>
      <c r="C1985" s="8">
        <v>1</v>
      </c>
      <c r="D1985" s="11">
        <v>0.009174311926605505</v>
      </c>
      <c r="E1985" s="8">
        <v>0</v>
      </c>
      <c r="F1985" s="8">
        <v>0</v>
      </c>
      <c r="G1985" s="8">
        <v>0</v>
      </c>
      <c r="H1985" s="8">
        <v>0</v>
      </c>
      <c r="I1985" s="8">
        <v>13</v>
      </c>
      <c r="J1985" s="8">
        <v>0</v>
      </c>
      <c r="K1985" s="8">
        <v>1</v>
      </c>
      <c r="L1985" s="8" t="s">
        <v>791</v>
      </c>
      <c r="M1985" s="8">
        <v>20</v>
      </c>
      <c r="N1985" s="8" t="s">
        <v>2165</v>
      </c>
      <c r="O1985" s="8" t="s">
        <v>2166</v>
      </c>
      <c r="P1985" s="8">
        <v>25</v>
      </c>
    </row>
    <row r="1986" spans="1:16" ht="25" customHeight="1">
      <c r="A1986" s="12">
        <v>8</v>
      </c>
      <c r="B1986" s="8" t="s">
        <v>43</v>
      </c>
      <c r="C1986" s="8">
        <v>4</v>
      </c>
      <c r="D1986" s="11">
        <v>0.03669724770642202</v>
      </c>
      <c r="E1986" s="8">
        <v>4</v>
      </c>
      <c r="F1986" s="8">
        <v>1</v>
      </c>
      <c r="G1986" s="8">
        <v>0</v>
      </c>
      <c r="H1986" s="8">
        <v>0</v>
      </c>
      <c r="I1986" s="11">
        <v>2.25</v>
      </c>
      <c r="J1986" s="11">
        <v>0.25</v>
      </c>
      <c r="K1986" s="11">
        <v>0.75</v>
      </c>
      <c r="L1986" s="8" t="s">
        <v>795</v>
      </c>
      <c r="M1986" s="11">
        <v>97.8</v>
      </c>
      <c r="N1986" s="8" t="s">
        <v>2170</v>
      </c>
      <c r="O1986" s="8" t="s">
        <v>2151</v>
      </c>
      <c r="P1986" s="8">
        <v>28</v>
      </c>
    </row>
    <row r="1987" spans="1:16" ht="25" customHeight="1">
      <c r="A1987" s="12">
        <v>9</v>
      </c>
      <c r="B1987" s="8" t="s">
        <v>53</v>
      </c>
      <c r="C1987" s="8">
        <v>5</v>
      </c>
      <c r="D1987" s="11">
        <v>0.04587155963302753</v>
      </c>
      <c r="E1987" s="8">
        <v>1</v>
      </c>
      <c r="F1987" s="11">
        <v>0.2</v>
      </c>
      <c r="G1987" s="8">
        <v>0</v>
      </c>
      <c r="H1987" s="8">
        <v>0</v>
      </c>
      <c r="I1987" s="11">
        <v>6.2</v>
      </c>
      <c r="J1987" s="11">
        <v>0.8</v>
      </c>
      <c r="K1987" s="11">
        <v>0.2</v>
      </c>
      <c r="L1987" s="8" t="s">
        <v>795</v>
      </c>
      <c r="M1987" s="11">
        <v>37.8</v>
      </c>
      <c r="N1987" s="8" t="s">
        <v>2177</v>
      </c>
      <c r="O1987" s="8" t="s">
        <v>2191</v>
      </c>
      <c r="P1987" s="8">
        <v>32</v>
      </c>
    </row>
    <row r="1988" spans="1:16" ht="25" customHeight="1">
      <c r="A1988" s="12">
        <v>10</v>
      </c>
      <c r="B1988" s="8" t="s">
        <v>81</v>
      </c>
      <c r="C1988" s="8">
        <v>2</v>
      </c>
      <c r="D1988" s="11">
        <v>0.01834862385321101</v>
      </c>
      <c r="E1988" s="8">
        <v>1</v>
      </c>
      <c r="F1988" s="11">
        <v>0.5</v>
      </c>
      <c r="G1988" s="8">
        <v>0</v>
      </c>
      <c r="H1988" s="8">
        <v>0</v>
      </c>
      <c r="I1988" s="8">
        <v>2</v>
      </c>
      <c r="J1988" s="11">
        <v>0.5</v>
      </c>
      <c r="K1988" s="11">
        <v>0.5</v>
      </c>
      <c r="L1988" s="8" t="s">
        <v>791</v>
      </c>
      <c r="M1988" s="8">
        <v>63</v>
      </c>
      <c r="N1988" s="8" t="s">
        <v>2165</v>
      </c>
      <c r="O1988" s="8" t="s">
        <v>2166</v>
      </c>
      <c r="P1988" s="8">
        <v>33</v>
      </c>
    </row>
    <row r="1989" spans="1:16" ht="25" customHeight="1">
      <c r="A1989" s="12">
        <v>11</v>
      </c>
      <c r="B1989" s="8" t="s">
        <v>35</v>
      </c>
      <c r="C1989" s="8">
        <v>4</v>
      </c>
      <c r="D1989" s="11">
        <v>0.03669724770642202</v>
      </c>
      <c r="E1989" s="8">
        <v>2</v>
      </c>
      <c r="F1989" s="11">
        <v>0.5</v>
      </c>
      <c r="G1989" s="8">
        <v>1</v>
      </c>
      <c r="H1989" s="11">
        <v>0.25</v>
      </c>
      <c r="I1989" s="11">
        <v>14.75</v>
      </c>
      <c r="J1989" s="11">
        <v>0.5</v>
      </c>
      <c r="K1989" s="11">
        <v>0.5</v>
      </c>
      <c r="L1989" s="8" t="s">
        <v>795</v>
      </c>
      <c r="M1989" s="8">
        <v>50</v>
      </c>
      <c r="N1989" s="8" t="s">
        <v>2137</v>
      </c>
      <c r="O1989" s="8" t="s">
        <v>2151</v>
      </c>
      <c r="P1989" s="8">
        <v>34</v>
      </c>
    </row>
    <row r="1990" spans="1:16" ht="25" customHeight="1">
      <c r="A1990" s="12">
        <v>12</v>
      </c>
      <c r="B1990" s="8" t="s">
        <v>62</v>
      </c>
      <c r="C1990" s="8">
        <v>3</v>
      </c>
      <c r="D1990" s="11">
        <v>0.02752293577981652</v>
      </c>
      <c r="E1990" s="8">
        <v>0</v>
      </c>
      <c r="F1990" s="8">
        <v>0</v>
      </c>
      <c r="G1990" s="8">
        <v>2</v>
      </c>
      <c r="H1990" s="11">
        <v>0.6666666666666666</v>
      </c>
      <c r="I1990" s="11">
        <v>20.66666666666667</v>
      </c>
      <c r="J1990" s="11">
        <v>0.3333333333333333</v>
      </c>
      <c r="K1990" s="11">
        <v>0.3333333333333333</v>
      </c>
      <c r="L1990" s="8" t="s">
        <v>801</v>
      </c>
      <c r="M1990" s="11">
        <v>6.7</v>
      </c>
      <c r="N1990" s="8" t="s">
        <v>2167</v>
      </c>
      <c r="O1990" s="8" t="s">
        <v>2168</v>
      </c>
      <c r="P1990" s="8">
        <v>35</v>
      </c>
    </row>
    <row r="1991" spans="1:16" ht="25" customHeight="1">
      <c r="A1991" s="12">
        <v>13</v>
      </c>
      <c r="B1991" s="8" t="s">
        <v>75</v>
      </c>
      <c r="C1991" s="8">
        <v>2</v>
      </c>
      <c r="D1991" s="11">
        <v>0.01834862385321101</v>
      </c>
      <c r="E1991" s="8">
        <v>1</v>
      </c>
      <c r="F1991" s="11">
        <v>0.5</v>
      </c>
      <c r="G1991" s="8">
        <v>0</v>
      </c>
      <c r="H1991" s="8">
        <v>0</v>
      </c>
      <c r="I1991" s="11">
        <v>7.5</v>
      </c>
      <c r="J1991" s="11">
        <v>0.5</v>
      </c>
      <c r="K1991" s="11">
        <v>0.5</v>
      </c>
      <c r="L1991" s="8" t="s">
        <v>791</v>
      </c>
      <c r="M1991" s="11">
        <v>57.5</v>
      </c>
      <c r="N1991" s="8" t="s">
        <v>2165</v>
      </c>
      <c r="O1991" s="8" t="s">
        <v>2166</v>
      </c>
      <c r="P1991" s="8">
        <v>36</v>
      </c>
    </row>
    <row r="1992" spans="1:16" ht="25" customHeight="1">
      <c r="A1992" s="12">
        <v>14</v>
      </c>
      <c r="B1992" s="8" t="s">
        <v>44</v>
      </c>
      <c r="C1992" s="8">
        <v>6</v>
      </c>
      <c r="D1992" s="11">
        <v>0.05504587155963303</v>
      </c>
      <c r="E1992" s="8">
        <v>4</v>
      </c>
      <c r="F1992" s="11">
        <v>0.6666666666666666</v>
      </c>
      <c r="G1992" s="8">
        <v>0</v>
      </c>
      <c r="H1992" s="8">
        <v>0</v>
      </c>
      <c r="I1992" s="11">
        <v>3.333333333333333</v>
      </c>
      <c r="J1992" s="11">
        <v>0.3333333333333333</v>
      </c>
      <c r="K1992" s="11">
        <v>0.6666666666666666</v>
      </c>
      <c r="L1992" s="8" t="s">
        <v>795</v>
      </c>
      <c r="M1992" s="11">
        <v>73.3</v>
      </c>
      <c r="N1992" s="8" t="s">
        <v>2152</v>
      </c>
      <c r="O1992" s="8" t="s">
        <v>2151</v>
      </c>
      <c r="P1992" s="8">
        <v>37</v>
      </c>
    </row>
    <row r="1993" spans="1:16" ht="25" customHeight="1">
      <c r="A1993" s="12">
        <v>15</v>
      </c>
      <c r="B1993" s="8" t="s">
        <v>69</v>
      </c>
      <c r="C1993" s="8">
        <v>4</v>
      </c>
      <c r="D1993" s="11">
        <v>0.03669724770642202</v>
      </c>
      <c r="E1993" s="8">
        <v>4</v>
      </c>
      <c r="F1993" s="8">
        <v>1</v>
      </c>
      <c r="G1993" s="8">
        <v>0</v>
      </c>
      <c r="H1993" s="8">
        <v>0</v>
      </c>
      <c r="I1993" s="11">
        <v>1.25</v>
      </c>
      <c r="J1993" s="8">
        <v>1</v>
      </c>
      <c r="K1993" s="8">
        <v>0</v>
      </c>
      <c r="L1993" s="8" t="s">
        <v>795</v>
      </c>
      <c r="M1993" s="11">
        <v>98.8</v>
      </c>
      <c r="N1993" s="8" t="s">
        <v>2170</v>
      </c>
      <c r="O1993" s="8" t="s">
        <v>2151</v>
      </c>
      <c r="P1993" s="8">
        <v>59</v>
      </c>
    </row>
    <row r="1994" spans="1:16" ht="25" customHeight="1">
      <c r="A1994" s="12">
        <v>16</v>
      </c>
      <c r="B1994" s="8" t="s">
        <v>34</v>
      </c>
      <c r="C1994" s="8">
        <v>5</v>
      </c>
      <c r="D1994" s="11">
        <v>0.04587155963302753</v>
      </c>
      <c r="E1994" s="8">
        <v>2</v>
      </c>
      <c r="F1994" s="11">
        <v>0.4</v>
      </c>
      <c r="G1994" s="8">
        <v>1</v>
      </c>
      <c r="H1994" s="11">
        <v>0.2</v>
      </c>
      <c r="I1994" s="11">
        <v>14.8</v>
      </c>
      <c r="J1994" s="11">
        <v>0.4</v>
      </c>
      <c r="K1994" s="11">
        <v>0.4</v>
      </c>
      <c r="L1994" s="8" t="s">
        <v>795</v>
      </c>
      <c r="M1994" s="8">
        <v>44</v>
      </c>
      <c r="N1994" s="8" t="s">
        <v>2177</v>
      </c>
      <c r="O1994" s="8" t="s">
        <v>2191</v>
      </c>
      <c r="P1994" s="8">
        <v>67</v>
      </c>
    </row>
    <row r="1995" spans="1:16" ht="25" customHeight="1">
      <c r="A1995" s="12">
        <v>17</v>
      </c>
      <c r="B1995" s="8" t="s">
        <v>61</v>
      </c>
      <c r="C1995" s="8">
        <v>6</v>
      </c>
      <c r="D1995" s="11">
        <v>0.05504587155963303</v>
      </c>
      <c r="E1995" s="8">
        <v>2</v>
      </c>
      <c r="F1995" s="11">
        <v>0.3333333333333333</v>
      </c>
      <c r="G1995" s="8">
        <v>1</v>
      </c>
      <c r="H1995" s="11">
        <v>0.1666666666666667</v>
      </c>
      <c r="I1995" s="11">
        <v>7.666666666666667</v>
      </c>
      <c r="J1995" s="11">
        <v>0.5</v>
      </c>
      <c r="K1995" s="11">
        <v>0.5</v>
      </c>
      <c r="L1995" s="8" t="s">
        <v>795</v>
      </c>
      <c r="M1995" s="11">
        <v>42.3</v>
      </c>
      <c r="N1995" s="8" t="s">
        <v>2177</v>
      </c>
      <c r="O1995" s="8" t="s">
        <v>2191</v>
      </c>
      <c r="P1995" s="8">
        <v>72</v>
      </c>
    </row>
    <row r="1996" spans="1:16" ht="25" customHeight="1">
      <c r="A1996" s="12">
        <v>18</v>
      </c>
      <c r="B1996" s="8" t="s">
        <v>66</v>
      </c>
      <c r="C1996" s="8">
        <v>3</v>
      </c>
      <c r="D1996" s="11">
        <v>0.02752293577981652</v>
      </c>
      <c r="E1996" s="8">
        <v>2</v>
      </c>
      <c r="F1996" s="11">
        <v>0.6666666666666666</v>
      </c>
      <c r="G1996" s="8">
        <v>1</v>
      </c>
      <c r="H1996" s="11">
        <v>0.3333333333333333</v>
      </c>
      <c r="I1996" s="8">
        <v>10</v>
      </c>
      <c r="J1996" s="11">
        <v>0.3333333333333333</v>
      </c>
      <c r="K1996" s="11">
        <v>0.6666666666666666</v>
      </c>
      <c r="L1996" s="8" t="s">
        <v>801</v>
      </c>
      <c r="M1996" s="8">
        <v>60</v>
      </c>
      <c r="N1996" s="8" t="s">
        <v>2180</v>
      </c>
      <c r="O1996" s="8" t="s">
        <v>2168</v>
      </c>
      <c r="P1996" s="8">
        <v>73</v>
      </c>
    </row>
    <row r="1997" spans="1:16" ht="25" customHeight="1">
      <c r="A1997" s="12">
        <v>19</v>
      </c>
      <c r="B1997" s="8" t="s">
        <v>42</v>
      </c>
      <c r="C1997" s="8">
        <v>3</v>
      </c>
      <c r="D1997" s="11">
        <v>0.02752293577981652</v>
      </c>
      <c r="E1997" s="8">
        <v>1</v>
      </c>
      <c r="F1997" s="11">
        <v>0.3333333333333333</v>
      </c>
      <c r="G1997" s="8">
        <v>1</v>
      </c>
      <c r="H1997" s="11">
        <v>0.3333333333333333</v>
      </c>
      <c r="I1997" s="11">
        <v>15.33333333333333</v>
      </c>
      <c r="J1997" s="8">
        <v>0</v>
      </c>
      <c r="K1997" s="8">
        <v>1</v>
      </c>
      <c r="L1997" s="8" t="s">
        <v>801</v>
      </c>
      <c r="M1997" s="11">
        <v>36.7</v>
      </c>
      <c r="N1997" s="8" t="s">
        <v>2167</v>
      </c>
      <c r="O1997" s="8" t="s">
        <v>2168</v>
      </c>
      <c r="P1997" s="8">
        <v>76</v>
      </c>
    </row>
    <row r="1998" spans="1:16" ht="25" customHeight="1">
      <c r="A1998" s="12">
        <v>20</v>
      </c>
      <c r="B1998" s="8" t="s">
        <v>49</v>
      </c>
      <c r="C1998" s="8">
        <v>2</v>
      </c>
      <c r="D1998" s="11">
        <v>0.01834862385321101</v>
      </c>
      <c r="E1998" s="8">
        <v>2</v>
      </c>
      <c r="F1998" s="8">
        <v>1</v>
      </c>
      <c r="G1998" s="8">
        <v>0</v>
      </c>
      <c r="H1998" s="8">
        <v>0</v>
      </c>
      <c r="I1998" s="8">
        <v>0</v>
      </c>
      <c r="J1998" s="8">
        <v>0</v>
      </c>
      <c r="K1998" s="8">
        <v>1</v>
      </c>
      <c r="L1998" s="8" t="s">
        <v>791</v>
      </c>
      <c r="M1998" s="8">
        <v>100</v>
      </c>
      <c r="N1998" s="8" t="s">
        <v>2165</v>
      </c>
      <c r="O1998" s="8" t="s">
        <v>2166</v>
      </c>
      <c r="P1998" s="8">
        <v>83</v>
      </c>
    </row>
    <row r="1999" spans="1:16" ht="25" customHeight="1">
      <c r="A1999" s="12">
        <v>21</v>
      </c>
      <c r="B1999" s="8" t="s">
        <v>58</v>
      </c>
      <c r="C1999" s="8">
        <v>2</v>
      </c>
      <c r="D1999" s="11">
        <v>0.01834862385321101</v>
      </c>
      <c r="E1999" s="8">
        <v>2</v>
      </c>
      <c r="F1999" s="8">
        <v>1</v>
      </c>
      <c r="G1999" s="8">
        <v>0</v>
      </c>
      <c r="H1999" s="8">
        <v>0</v>
      </c>
      <c r="I1999" s="11">
        <v>0.5</v>
      </c>
      <c r="J1999" s="11">
        <v>0.5</v>
      </c>
      <c r="K1999" s="11">
        <v>0.5</v>
      </c>
      <c r="L1999" s="8" t="s">
        <v>791</v>
      </c>
      <c r="M1999" s="11">
        <v>99.5</v>
      </c>
      <c r="N1999" s="8" t="s">
        <v>2165</v>
      </c>
      <c r="O1999" s="8" t="s">
        <v>2166</v>
      </c>
      <c r="P1999" s="8">
        <v>86</v>
      </c>
    </row>
    <row r="2000" spans="1:16" ht="25" customHeight="1">
      <c r="A2000" s="12">
        <v>22</v>
      </c>
      <c r="B2000" s="8" t="s">
        <v>64</v>
      </c>
      <c r="C2000" s="8">
        <v>1</v>
      </c>
      <c r="D2000" s="11">
        <v>0.009174311926605505</v>
      </c>
      <c r="E2000" s="8">
        <v>1</v>
      </c>
      <c r="F2000" s="8">
        <v>1</v>
      </c>
      <c r="G2000" s="8">
        <v>0</v>
      </c>
      <c r="H2000" s="8">
        <v>0</v>
      </c>
      <c r="I2000" s="8">
        <v>1</v>
      </c>
      <c r="J2000" s="8">
        <v>0</v>
      </c>
      <c r="K2000" s="8">
        <v>1</v>
      </c>
      <c r="L2000" s="8" t="s">
        <v>791</v>
      </c>
      <c r="M2000" s="8">
        <v>99</v>
      </c>
      <c r="N2000" s="8" t="s">
        <v>2165</v>
      </c>
      <c r="O2000" s="8" t="s">
        <v>2166</v>
      </c>
      <c r="P2000" s="8">
        <v>95</v>
      </c>
    </row>
    <row r="2001" spans="1:16" ht="25" customHeight="1">
      <c r="A2001" s="12">
        <v>23</v>
      </c>
      <c r="B2001" s="8" t="s">
        <v>57</v>
      </c>
      <c r="C2001" s="8">
        <v>1</v>
      </c>
      <c r="D2001" s="11">
        <v>0.009174311926605505</v>
      </c>
      <c r="E2001" s="8">
        <v>0</v>
      </c>
      <c r="F2001" s="8">
        <v>0</v>
      </c>
      <c r="G2001" s="8">
        <v>0</v>
      </c>
      <c r="H2001" s="8">
        <v>0</v>
      </c>
      <c r="I2001" s="8">
        <v>13</v>
      </c>
      <c r="J2001" s="8">
        <v>0</v>
      </c>
      <c r="K2001" s="8">
        <v>1</v>
      </c>
      <c r="L2001" s="8" t="s">
        <v>791</v>
      </c>
      <c r="M2001" s="8">
        <v>20</v>
      </c>
      <c r="N2001" s="8" t="s">
        <v>2165</v>
      </c>
      <c r="O2001" s="8" t="s">
        <v>2166</v>
      </c>
      <c r="P2001" s="8">
        <v>97</v>
      </c>
    </row>
    <row r="2002" spans="1:16" ht="25" customHeight="1">
      <c r="A2002" s="12">
        <v>24</v>
      </c>
      <c r="B2002" s="8" t="s">
        <v>48</v>
      </c>
      <c r="C2002" s="8">
        <v>4</v>
      </c>
      <c r="D2002" s="11">
        <v>0.03669724770642202</v>
      </c>
      <c r="E2002" s="8">
        <v>2</v>
      </c>
      <c r="F2002" s="11">
        <v>0.5</v>
      </c>
      <c r="G2002" s="8">
        <v>0</v>
      </c>
      <c r="H2002" s="8">
        <v>0</v>
      </c>
      <c r="I2002" s="11">
        <v>2.25</v>
      </c>
      <c r="J2002" s="8">
        <v>0</v>
      </c>
      <c r="K2002" s="8">
        <v>1</v>
      </c>
      <c r="L2002" s="8" t="s">
        <v>795</v>
      </c>
      <c r="M2002" s="11">
        <v>62.8</v>
      </c>
      <c r="N2002" s="8" t="s">
        <v>2137</v>
      </c>
      <c r="O2002" s="8" t="s">
        <v>2151</v>
      </c>
      <c r="P2002" s="8">
        <v>111</v>
      </c>
    </row>
    <row r="2003" spans="1:16" ht="25" customHeight="1">
      <c r="A2003" s="12">
        <v>25</v>
      </c>
      <c r="B2003" s="8" t="s">
        <v>79</v>
      </c>
      <c r="C2003" s="8">
        <v>2</v>
      </c>
      <c r="D2003" s="11">
        <v>0.01834862385321101</v>
      </c>
      <c r="E2003" s="8">
        <v>1</v>
      </c>
      <c r="F2003" s="11">
        <v>0.5</v>
      </c>
      <c r="G2003" s="8">
        <v>0</v>
      </c>
      <c r="H2003" s="8">
        <v>0</v>
      </c>
      <c r="I2003" s="11">
        <v>2.5</v>
      </c>
      <c r="J2003" s="11">
        <v>0.5</v>
      </c>
      <c r="K2003" s="11">
        <v>0.5</v>
      </c>
      <c r="L2003" s="8" t="s">
        <v>791</v>
      </c>
      <c r="M2003" s="11">
        <v>62.5</v>
      </c>
      <c r="N2003" s="8" t="s">
        <v>2165</v>
      </c>
      <c r="O2003" s="8" t="s">
        <v>2166</v>
      </c>
      <c r="P2003" s="8">
        <v>125</v>
      </c>
    </row>
    <row r="2004" spans="1:16" ht="25" customHeight="1">
      <c r="A2004" s="12">
        <v>26</v>
      </c>
      <c r="B2004" s="8" t="s">
        <v>46</v>
      </c>
      <c r="C2004" s="8">
        <v>1</v>
      </c>
      <c r="D2004" s="11">
        <v>0.009174311926605505</v>
      </c>
      <c r="E2004" s="8">
        <v>1</v>
      </c>
      <c r="F2004" s="8">
        <v>1</v>
      </c>
      <c r="G2004" s="8">
        <v>0</v>
      </c>
      <c r="H2004" s="8">
        <v>0</v>
      </c>
      <c r="I2004" s="8">
        <v>0</v>
      </c>
      <c r="J2004" s="8">
        <v>0</v>
      </c>
      <c r="K2004" s="8">
        <v>1</v>
      </c>
      <c r="L2004" s="8" t="s">
        <v>791</v>
      </c>
      <c r="M2004" s="8">
        <v>100</v>
      </c>
      <c r="N2004" s="8" t="s">
        <v>2165</v>
      </c>
      <c r="O2004" s="8" t="s">
        <v>2166</v>
      </c>
      <c r="P2004" s="8">
        <v>139</v>
      </c>
    </row>
    <row r="2005" spans="1:16" ht="25" customHeight="1">
      <c r="A2005" s="12">
        <v>27</v>
      </c>
      <c r="B2005" s="8" t="s">
        <v>80</v>
      </c>
      <c r="C2005" s="8">
        <v>2</v>
      </c>
      <c r="D2005" s="11">
        <v>0.01834862385321101</v>
      </c>
      <c r="E2005" s="8">
        <v>1</v>
      </c>
      <c r="F2005" s="11">
        <v>0.5</v>
      </c>
      <c r="G2005" s="8">
        <v>0</v>
      </c>
      <c r="H2005" s="8">
        <v>0</v>
      </c>
      <c r="I2005" s="11">
        <v>5.5</v>
      </c>
      <c r="J2005" s="11">
        <v>0.5</v>
      </c>
      <c r="K2005" s="11">
        <v>0.5</v>
      </c>
      <c r="L2005" s="8" t="s">
        <v>791</v>
      </c>
      <c r="M2005" s="11">
        <v>59.5</v>
      </c>
      <c r="N2005" s="8" t="s">
        <v>2165</v>
      </c>
      <c r="O2005" s="8" t="s">
        <v>2166</v>
      </c>
      <c r="P2005" s="8">
        <v>145</v>
      </c>
    </row>
    <row r="2006" spans="1:16" ht="25" customHeight="1">
      <c r="A2006" s="12">
        <v>28</v>
      </c>
      <c r="B2006" s="8" t="s">
        <v>77</v>
      </c>
      <c r="C2006" s="8">
        <v>3</v>
      </c>
      <c r="D2006" s="11">
        <v>0.02752293577981652</v>
      </c>
      <c r="E2006" s="8">
        <v>2</v>
      </c>
      <c r="F2006" s="11">
        <v>0.6666666666666666</v>
      </c>
      <c r="G2006" s="8">
        <v>0</v>
      </c>
      <c r="H2006" s="8">
        <v>0</v>
      </c>
      <c r="I2006" s="11">
        <v>3.666666666666667</v>
      </c>
      <c r="J2006" s="11">
        <v>0.3333333333333333</v>
      </c>
      <c r="K2006" s="11">
        <v>0.6666666666666666</v>
      </c>
      <c r="L2006" s="8" t="s">
        <v>801</v>
      </c>
      <c r="M2006" s="8">
        <v>73</v>
      </c>
      <c r="N2006" s="8" t="s">
        <v>2179</v>
      </c>
      <c r="O2006" s="8" t="s">
        <v>2168</v>
      </c>
      <c r="P2006" s="8">
        <v>157</v>
      </c>
    </row>
    <row r="2007" spans="1:16" ht="25" customHeight="1">
      <c r="A2007" s="12">
        <v>29</v>
      </c>
      <c r="B2007" s="8" t="s">
        <v>32</v>
      </c>
      <c r="C2007" s="8">
        <v>1</v>
      </c>
      <c r="D2007" s="11">
        <v>0.009174311926605505</v>
      </c>
      <c r="E2007" s="8">
        <v>0</v>
      </c>
      <c r="F2007" s="8">
        <v>0</v>
      </c>
      <c r="G2007" s="8">
        <v>1</v>
      </c>
      <c r="H2007" s="8">
        <v>1</v>
      </c>
      <c r="I2007" s="8">
        <v>16</v>
      </c>
      <c r="J2007" s="8">
        <v>1</v>
      </c>
      <c r="K2007" s="8">
        <v>0</v>
      </c>
      <c r="L2007" s="8" t="s">
        <v>791</v>
      </c>
      <c r="M2007" s="8">
        <v>0</v>
      </c>
      <c r="N2007" s="8" t="s">
        <v>2161</v>
      </c>
      <c r="O2007" s="8" t="s">
        <v>2162</v>
      </c>
      <c r="P2007" s="8">
        <v>158</v>
      </c>
    </row>
    <row r="2008" spans="1:16" ht="25" customHeight="1">
      <c r="A2008" s="12">
        <v>30</v>
      </c>
      <c r="B2008" s="8" t="s">
        <v>87</v>
      </c>
      <c r="C2008" s="8">
        <v>1</v>
      </c>
      <c r="D2008" s="11">
        <v>0.009174311926605505</v>
      </c>
      <c r="E2008" s="8">
        <v>0</v>
      </c>
      <c r="F2008" s="8">
        <v>0</v>
      </c>
      <c r="G2008" s="8">
        <v>0</v>
      </c>
      <c r="H2008" s="8">
        <v>0</v>
      </c>
      <c r="I2008" s="8">
        <v>5</v>
      </c>
      <c r="J2008" s="8">
        <v>1</v>
      </c>
      <c r="K2008" s="8">
        <v>0</v>
      </c>
      <c r="L2008" s="8" t="s">
        <v>791</v>
      </c>
      <c r="M2008" s="8">
        <v>25</v>
      </c>
      <c r="N2008" s="8" t="s">
        <v>2165</v>
      </c>
      <c r="O2008" s="8" t="s">
        <v>2166</v>
      </c>
      <c r="P2008" s="8">
        <v>159</v>
      </c>
    </row>
    <row r="2009" spans="1:16" ht="25" customHeight="1">
      <c r="A2009" s="12">
        <v>31</v>
      </c>
      <c r="B2009" s="8" t="s">
        <v>89</v>
      </c>
      <c r="C2009" s="8">
        <v>1</v>
      </c>
      <c r="D2009" s="11">
        <v>0.009174311926605505</v>
      </c>
      <c r="E2009" s="8">
        <v>1</v>
      </c>
      <c r="F2009" s="8">
        <v>1</v>
      </c>
      <c r="G2009" s="8">
        <v>0</v>
      </c>
      <c r="H2009" s="8">
        <v>0</v>
      </c>
      <c r="I2009" s="8">
        <v>3</v>
      </c>
      <c r="J2009" s="8">
        <v>0</v>
      </c>
      <c r="K2009" s="8">
        <v>1</v>
      </c>
      <c r="L2009" s="8" t="s">
        <v>791</v>
      </c>
      <c r="M2009" s="8">
        <v>97</v>
      </c>
      <c r="N2009" s="8" t="s">
        <v>2165</v>
      </c>
      <c r="O2009" s="8" t="s">
        <v>2166</v>
      </c>
      <c r="P2009" s="8">
        <v>163</v>
      </c>
    </row>
    <row r="2010" spans="1:16" ht="25" customHeight="1">
      <c r="A2010" s="12">
        <v>32</v>
      </c>
      <c r="B2010" s="8" t="s">
        <v>90</v>
      </c>
      <c r="C2010" s="8">
        <v>1</v>
      </c>
      <c r="D2010" s="11">
        <v>0.009174311926605505</v>
      </c>
      <c r="E2010" s="8">
        <v>1</v>
      </c>
      <c r="F2010" s="8">
        <v>1</v>
      </c>
      <c r="G2010" s="8">
        <v>0</v>
      </c>
      <c r="H2010" s="8">
        <v>0</v>
      </c>
      <c r="I2010" s="8">
        <v>0</v>
      </c>
      <c r="J2010" s="8">
        <v>0</v>
      </c>
      <c r="K2010" s="8">
        <v>1</v>
      </c>
      <c r="L2010" s="8" t="s">
        <v>791</v>
      </c>
      <c r="M2010" s="8">
        <v>100</v>
      </c>
      <c r="N2010" s="8" t="s">
        <v>2165</v>
      </c>
      <c r="O2010" s="8" t="s">
        <v>2166</v>
      </c>
      <c r="P2010" s="8">
        <v>164</v>
      </c>
    </row>
    <row r="2011" spans="1:16" ht="25" customHeight="1">
      <c r="A2011" s="12">
        <v>33</v>
      </c>
      <c r="B2011" s="8" t="s">
        <v>74</v>
      </c>
      <c r="C2011" s="8">
        <v>1</v>
      </c>
      <c r="D2011" s="11">
        <v>0.009174311926605505</v>
      </c>
      <c r="E2011" s="8">
        <v>1</v>
      </c>
      <c r="F2011" s="8">
        <v>1</v>
      </c>
      <c r="G2011" s="8">
        <v>0</v>
      </c>
      <c r="H2011" s="8">
        <v>0</v>
      </c>
      <c r="I2011" s="8">
        <v>-8</v>
      </c>
      <c r="J2011" s="8">
        <v>0</v>
      </c>
      <c r="K2011" s="8">
        <v>1</v>
      </c>
      <c r="L2011" s="8" t="s">
        <v>791</v>
      </c>
      <c r="M2011" s="8">
        <v>100</v>
      </c>
      <c r="N2011" s="8" t="s">
        <v>2165</v>
      </c>
      <c r="O2011" s="8" t="s">
        <v>2166</v>
      </c>
      <c r="P2011" s="8">
        <v>166</v>
      </c>
    </row>
    <row r="2012" spans="1:16" ht="25" customHeight="1">
      <c r="A2012" s="12">
        <v>34</v>
      </c>
      <c r="B2012" s="8" t="s">
        <v>101</v>
      </c>
      <c r="C2012" s="8">
        <v>2</v>
      </c>
      <c r="D2012" s="11">
        <v>0.01834862385321101</v>
      </c>
      <c r="E2012" s="8">
        <v>1</v>
      </c>
      <c r="F2012" s="11">
        <v>0.5</v>
      </c>
      <c r="G2012" s="8">
        <v>1</v>
      </c>
      <c r="H2012" s="11">
        <v>0.5</v>
      </c>
      <c r="I2012" s="8">
        <v>27</v>
      </c>
      <c r="J2012" s="8">
        <v>0</v>
      </c>
      <c r="K2012" s="8">
        <v>1</v>
      </c>
      <c r="L2012" s="8" t="s">
        <v>791</v>
      </c>
      <c r="M2012" s="8">
        <v>45</v>
      </c>
      <c r="N2012" s="8" t="s">
        <v>2161</v>
      </c>
      <c r="O2012" s="8" t="s">
        <v>2162</v>
      </c>
      <c r="P2012" s="8">
        <v>167</v>
      </c>
    </row>
    <row r="2013" spans="1:16" ht="25" customHeight="1">
      <c r="A2013" s="12">
        <v>35</v>
      </c>
      <c r="B2013" s="8" t="s">
        <v>102</v>
      </c>
      <c r="C2013" s="8">
        <v>1</v>
      </c>
      <c r="D2013" s="11">
        <v>0.009174311926605505</v>
      </c>
      <c r="E2013" s="8">
        <v>1</v>
      </c>
      <c r="F2013" s="8">
        <v>1</v>
      </c>
      <c r="G2013" s="8">
        <v>0</v>
      </c>
      <c r="H2013" s="8">
        <v>0</v>
      </c>
      <c r="I2013" s="8">
        <v>1</v>
      </c>
      <c r="J2013" s="8">
        <v>0</v>
      </c>
      <c r="K2013" s="8">
        <v>1</v>
      </c>
      <c r="L2013" s="8" t="s">
        <v>791</v>
      </c>
      <c r="M2013" s="8">
        <v>99</v>
      </c>
      <c r="N2013" s="8" t="s">
        <v>2165</v>
      </c>
      <c r="O2013" s="8" t="s">
        <v>2166</v>
      </c>
      <c r="P2013" s="8">
        <v>174</v>
      </c>
    </row>
    <row r="2014" spans="1:16" ht="25" customHeight="1">
      <c r="A2014" s="12">
        <v>36</v>
      </c>
      <c r="B2014" s="8" t="s">
        <v>99</v>
      </c>
      <c r="C2014" s="8">
        <v>3</v>
      </c>
      <c r="D2014" s="11">
        <v>0.02752293577981652</v>
      </c>
      <c r="E2014" s="8">
        <v>1</v>
      </c>
      <c r="F2014" s="11">
        <v>0.3333333333333333</v>
      </c>
      <c r="G2014" s="8">
        <v>0</v>
      </c>
      <c r="H2014" s="8">
        <v>0</v>
      </c>
      <c r="I2014" s="11">
        <v>8.666666666666666</v>
      </c>
      <c r="J2014" s="8">
        <v>0</v>
      </c>
      <c r="K2014" s="8">
        <v>1</v>
      </c>
      <c r="L2014" s="8" t="s">
        <v>801</v>
      </c>
      <c r="M2014" s="11">
        <v>44.7</v>
      </c>
      <c r="N2014" s="8" t="s">
        <v>2167</v>
      </c>
      <c r="O2014" s="8" t="s">
        <v>2168</v>
      </c>
      <c r="P2014" s="8">
        <v>183</v>
      </c>
    </row>
    <row r="2015" spans="1:16" ht="25" customHeight="1">
      <c r="A2015" s="12">
        <v>37</v>
      </c>
      <c r="B2015" s="8" t="s">
        <v>37</v>
      </c>
      <c r="C2015" s="8">
        <v>1</v>
      </c>
      <c r="D2015" s="11">
        <v>0.009174311926605505</v>
      </c>
      <c r="E2015" s="8">
        <v>0</v>
      </c>
      <c r="F2015" s="8">
        <v>0</v>
      </c>
      <c r="G2015" s="8">
        <v>0</v>
      </c>
      <c r="H2015" s="8">
        <v>0</v>
      </c>
      <c r="I2015" s="8">
        <v>6</v>
      </c>
      <c r="J2015" s="8">
        <v>0</v>
      </c>
      <c r="K2015" s="8">
        <v>1</v>
      </c>
      <c r="L2015" s="8" t="s">
        <v>791</v>
      </c>
      <c r="M2015" s="8">
        <v>24</v>
      </c>
      <c r="N2015" s="8" t="s">
        <v>2165</v>
      </c>
      <c r="O2015" s="8" t="s">
        <v>2166</v>
      </c>
      <c r="P2015" s="8">
        <v>196</v>
      </c>
    </row>
    <row r="2016" spans="1:16" ht="25" customHeight="1">
      <c r="A2016" s="12">
        <v>38</v>
      </c>
      <c r="B2016" s="8" t="s">
        <v>106</v>
      </c>
      <c r="C2016" s="8">
        <v>1</v>
      </c>
      <c r="D2016" s="11">
        <v>0.009174311926605505</v>
      </c>
      <c r="E2016" s="8">
        <v>0</v>
      </c>
      <c r="F2016" s="8">
        <v>0</v>
      </c>
      <c r="G2016" s="8">
        <v>1</v>
      </c>
      <c r="H2016" s="8">
        <v>1</v>
      </c>
      <c r="I2016" s="8">
        <v>22</v>
      </c>
      <c r="J2016" s="8">
        <v>0</v>
      </c>
      <c r="K2016" s="8">
        <v>1</v>
      </c>
      <c r="L2016" s="8" t="s">
        <v>791</v>
      </c>
      <c r="M2016" s="8">
        <v>0</v>
      </c>
      <c r="N2016" s="8" t="s">
        <v>2161</v>
      </c>
      <c r="O2016" s="8" t="s">
        <v>2162</v>
      </c>
      <c r="P2016" s="8">
        <v>205</v>
      </c>
    </row>
    <row r="2017" spans="1:16" ht="25" customHeight="1">
      <c r="A2017" s="12">
        <v>39</v>
      </c>
      <c r="B2017" s="8" t="s">
        <v>84</v>
      </c>
      <c r="C2017" s="8">
        <v>1</v>
      </c>
      <c r="D2017" s="11">
        <v>0.009174311926605505</v>
      </c>
      <c r="E2017" s="8">
        <v>1</v>
      </c>
      <c r="F2017" s="8">
        <v>1</v>
      </c>
      <c r="G2017" s="8">
        <v>0</v>
      </c>
      <c r="H2017" s="8">
        <v>0</v>
      </c>
      <c r="I2017" s="8">
        <v>0</v>
      </c>
      <c r="J2017" s="8">
        <v>0</v>
      </c>
      <c r="K2017" s="8">
        <v>1</v>
      </c>
      <c r="L2017" s="8" t="s">
        <v>791</v>
      </c>
      <c r="M2017" s="8">
        <v>100</v>
      </c>
      <c r="N2017" s="8" t="s">
        <v>2165</v>
      </c>
      <c r="O2017" s="8" t="s">
        <v>2166</v>
      </c>
      <c r="P2017" s="8">
        <v>206</v>
      </c>
    </row>
    <row r="2018" spans="1:16" ht="25" customHeight="1">
      <c r="A2018" s="12">
        <v>40</v>
      </c>
      <c r="B2018" s="8" t="s">
        <v>65</v>
      </c>
      <c r="C2018" s="8">
        <v>1</v>
      </c>
      <c r="D2018" s="11">
        <v>0.009174311926605505</v>
      </c>
      <c r="E2018" s="8">
        <v>0</v>
      </c>
      <c r="F2018" s="8">
        <v>0</v>
      </c>
      <c r="G2018" s="8">
        <v>0</v>
      </c>
      <c r="H2018" s="8">
        <v>0</v>
      </c>
      <c r="I2018" s="8">
        <v>5</v>
      </c>
      <c r="J2018" s="8">
        <v>0</v>
      </c>
      <c r="K2018" s="8">
        <v>1</v>
      </c>
      <c r="L2018" s="8" t="s">
        <v>791</v>
      </c>
      <c r="M2018" s="8">
        <v>25</v>
      </c>
      <c r="N2018" s="8" t="s">
        <v>2165</v>
      </c>
      <c r="O2018" s="8" t="s">
        <v>2166</v>
      </c>
      <c r="P2018" s="8">
        <v>207</v>
      </c>
    </row>
    <row r="2019" spans="1:16" ht="25" customHeight="1">
      <c r="A2019" s="12">
        <v>41</v>
      </c>
      <c r="B2019" s="8" t="s">
        <v>27</v>
      </c>
      <c r="C2019" s="8">
        <v>1</v>
      </c>
      <c r="D2019" s="11">
        <v>0.009174311926605505</v>
      </c>
      <c r="E2019" s="8">
        <v>0</v>
      </c>
      <c r="F2019" s="8">
        <v>0</v>
      </c>
      <c r="G2019" s="8">
        <v>0</v>
      </c>
      <c r="H2019" s="8">
        <v>0</v>
      </c>
      <c r="I2019" s="8">
        <v>4</v>
      </c>
      <c r="J2019" s="8">
        <v>0</v>
      </c>
      <c r="K2019" s="8">
        <v>1</v>
      </c>
      <c r="L2019" s="8" t="s">
        <v>791</v>
      </c>
      <c r="M2019" s="8">
        <v>26</v>
      </c>
      <c r="N2019" s="8" t="s">
        <v>2165</v>
      </c>
      <c r="O2019" s="8" t="s">
        <v>2166</v>
      </c>
      <c r="P2019" s="8">
        <v>213</v>
      </c>
    </row>
    <row r="2020" spans="1:16" ht="25" customHeight="1">
      <c r="A2020" s="12">
        <v>42</v>
      </c>
      <c r="B2020" s="8" t="s">
        <v>67</v>
      </c>
      <c r="C2020" s="8">
        <v>2</v>
      </c>
      <c r="D2020" s="11">
        <v>0.01834862385321101</v>
      </c>
      <c r="E2020" s="8">
        <v>0</v>
      </c>
      <c r="F2020" s="8">
        <v>0</v>
      </c>
      <c r="G2020" s="8">
        <v>0</v>
      </c>
      <c r="H2020" s="8">
        <v>0</v>
      </c>
      <c r="I2020" s="8">
        <v>5</v>
      </c>
      <c r="J2020" s="8">
        <v>1</v>
      </c>
      <c r="K2020" s="8">
        <v>0</v>
      </c>
      <c r="L2020" s="8" t="s">
        <v>791</v>
      </c>
      <c r="M2020" s="8">
        <v>25</v>
      </c>
      <c r="N2020" s="8" t="s">
        <v>2165</v>
      </c>
      <c r="O2020" s="8" t="s">
        <v>2166</v>
      </c>
      <c r="P2020" s="8">
        <v>234</v>
      </c>
    </row>
    <row r="2021" spans="1:16" ht="25" customHeight="1">
      <c r="A2021" s="12">
        <v>43</v>
      </c>
      <c r="B2021" s="8" t="s">
        <v>40</v>
      </c>
      <c r="C2021" s="8">
        <v>1</v>
      </c>
      <c r="D2021" s="11">
        <v>0.009174311926605505</v>
      </c>
      <c r="E2021" s="8">
        <v>0</v>
      </c>
      <c r="F2021" s="8">
        <v>0</v>
      </c>
      <c r="G2021" s="8">
        <v>0</v>
      </c>
      <c r="H2021" s="8">
        <v>0</v>
      </c>
      <c r="I2021" s="8">
        <v>7</v>
      </c>
      <c r="J2021" s="8">
        <v>1</v>
      </c>
      <c r="K2021" s="8">
        <v>0</v>
      </c>
      <c r="L2021" s="8" t="s">
        <v>791</v>
      </c>
      <c r="M2021" s="8">
        <v>23</v>
      </c>
      <c r="N2021" s="8" t="s">
        <v>2165</v>
      </c>
      <c r="O2021" s="8" t="s">
        <v>2166</v>
      </c>
      <c r="P2021" s="8">
        <v>251</v>
      </c>
    </row>
    <row r="2022" spans="1:16" ht="25" customHeight="1">
      <c r="A2022" s="12">
        <v>44</v>
      </c>
      <c r="B2022" s="8" t="s">
        <v>73</v>
      </c>
      <c r="C2022" s="8">
        <v>1</v>
      </c>
      <c r="D2022" s="11">
        <v>0.009174311926605505</v>
      </c>
      <c r="E2022" s="8">
        <v>1</v>
      </c>
      <c r="F2022" s="8">
        <v>1</v>
      </c>
      <c r="G2022" s="8">
        <v>0</v>
      </c>
      <c r="H2022" s="8">
        <v>0</v>
      </c>
      <c r="I2022" s="8">
        <v>6</v>
      </c>
      <c r="J2022" s="8">
        <v>0</v>
      </c>
      <c r="K2022" s="8">
        <v>1</v>
      </c>
      <c r="L2022" s="8" t="s">
        <v>791</v>
      </c>
      <c r="M2022" s="8">
        <v>94</v>
      </c>
      <c r="N2022" s="8" t="s">
        <v>2165</v>
      </c>
      <c r="O2022" s="8" t="s">
        <v>2166</v>
      </c>
      <c r="P2022" s="8">
        <v>259</v>
      </c>
    </row>
    <row r="2023" spans="1:16" ht="25" customHeight="1">
      <c r="A2023" s="12">
        <v>45</v>
      </c>
      <c r="B2023" s="8" t="s">
        <v>100</v>
      </c>
      <c r="C2023" s="8">
        <v>2</v>
      </c>
      <c r="D2023" s="11">
        <v>0.01834862385321101</v>
      </c>
      <c r="E2023" s="8">
        <v>1</v>
      </c>
      <c r="F2023" s="11">
        <v>0.5</v>
      </c>
      <c r="G2023" s="8">
        <v>0</v>
      </c>
      <c r="H2023" s="8">
        <v>0</v>
      </c>
      <c r="I2023" s="8">
        <v>6</v>
      </c>
      <c r="J2023" s="11">
        <v>0.5</v>
      </c>
      <c r="K2023" s="11">
        <v>0.5</v>
      </c>
      <c r="L2023" s="8" t="s">
        <v>791</v>
      </c>
      <c r="M2023" s="8">
        <v>59</v>
      </c>
      <c r="N2023" s="8" t="s">
        <v>2165</v>
      </c>
      <c r="O2023" s="8" t="s">
        <v>2166</v>
      </c>
      <c r="P2023" s="8">
        <v>271</v>
      </c>
    </row>
    <row r="2024" spans="1:16" ht="25" customHeight="1">
      <c r="A2024" s="12">
        <v>46</v>
      </c>
      <c r="B2024" s="8" t="s">
        <v>105</v>
      </c>
      <c r="C2024" s="8">
        <v>1</v>
      </c>
      <c r="D2024" s="11">
        <v>0.009174311926605505</v>
      </c>
      <c r="E2024" s="8">
        <v>1</v>
      </c>
      <c r="F2024" s="8">
        <v>1</v>
      </c>
      <c r="G2024" s="8">
        <v>0</v>
      </c>
      <c r="H2024" s="8">
        <v>0</v>
      </c>
      <c r="I2024" s="8">
        <v>0</v>
      </c>
      <c r="J2024" s="8">
        <v>0</v>
      </c>
      <c r="K2024" s="8">
        <v>1</v>
      </c>
      <c r="L2024" s="8" t="s">
        <v>791</v>
      </c>
      <c r="M2024" s="8">
        <v>100</v>
      </c>
      <c r="N2024" s="8" t="s">
        <v>2165</v>
      </c>
      <c r="O2024" s="8" t="s">
        <v>2166</v>
      </c>
      <c r="P2024" s="8">
        <v>282</v>
      </c>
    </row>
    <row r="2025" spans="1:16" ht="25" customHeight="1">
      <c r="A2025" s="12">
        <v>47</v>
      </c>
      <c r="B2025" s="8" t="s">
        <v>110</v>
      </c>
      <c r="C2025" s="8">
        <v>1</v>
      </c>
      <c r="D2025" s="11">
        <v>0.009174311926605505</v>
      </c>
      <c r="E2025" s="8">
        <v>0</v>
      </c>
      <c r="F2025" s="8">
        <v>0</v>
      </c>
      <c r="G2025" s="8">
        <v>1</v>
      </c>
      <c r="H2025" s="8">
        <v>1</v>
      </c>
      <c r="I2025" s="8">
        <v>19</v>
      </c>
      <c r="J2025" s="8">
        <v>0</v>
      </c>
      <c r="K2025" s="8">
        <v>1</v>
      </c>
      <c r="L2025" s="8" t="s">
        <v>791</v>
      </c>
      <c r="M2025" s="8">
        <v>0</v>
      </c>
      <c r="N2025" s="8" t="s">
        <v>2161</v>
      </c>
      <c r="O2025" s="8" t="s">
        <v>2162</v>
      </c>
      <c r="P2025" s="8">
        <v>283</v>
      </c>
    </row>
    <row r="2031" spans="1:16" ht="27" customHeight="1">
      <c r="A2031" s="5" t="s">
        <v>2192</v>
      </c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</row>
    <row r="2032" spans="1:16" ht="36" customHeight="1">
      <c r="A2032" s="9" t="s">
        <v>683</v>
      </c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</row>
    <row r="2033" spans="1:16" ht="25" customHeight="1">
      <c r="A2033" s="6" t="s">
        <v>684</v>
      </c>
    </row>
    <row r="2034" spans="1:16" ht="25" customHeight="1">
      <c r="A2034" s="12">
        <v>1</v>
      </c>
      <c r="B2034" s="8" t="s">
        <v>2193</v>
      </c>
    </row>
    <row r="2035" spans="1:16" ht="25" customHeight="1">
      <c r="A2035" s="12">
        <v>2</v>
      </c>
      <c r="B2035" s="8" t="s">
        <v>2174</v>
      </c>
      <c r="E2035" s="8" t="s">
        <v>2121</v>
      </c>
      <c r="H2035" s="8" t="s">
        <v>2072</v>
      </c>
      <c r="K2035" s="8" t="s">
        <v>2122</v>
      </c>
      <c r="M2035" s="8" t="s">
        <v>2175</v>
      </c>
    </row>
    <row r="2036" spans="1:16" ht="25" customHeight="1">
      <c r="A2036" s="12">
        <v>3</v>
      </c>
      <c r="B2036" s="8" t="s">
        <v>2176</v>
      </c>
      <c r="C2036" s="8" t="s">
        <v>2091</v>
      </c>
      <c r="D2036" s="8" t="s">
        <v>690</v>
      </c>
      <c r="E2036" s="8" t="s">
        <v>2130</v>
      </c>
      <c r="F2036" s="8" t="s">
        <v>2132</v>
      </c>
      <c r="G2036" s="8" t="s">
        <v>2133</v>
      </c>
      <c r="H2036" s="8" t="s">
        <v>784</v>
      </c>
      <c r="I2036" s="8" t="s">
        <v>2135</v>
      </c>
      <c r="J2036" s="8" t="s">
        <v>2146</v>
      </c>
      <c r="K2036" s="8" t="s">
        <v>2147</v>
      </c>
      <c r="L2036" s="8" t="s">
        <v>786</v>
      </c>
      <c r="M2036" s="8" t="s">
        <v>2134</v>
      </c>
      <c r="N2036" s="8" t="s">
        <v>2136</v>
      </c>
      <c r="O2036" s="8" t="s">
        <v>2139</v>
      </c>
      <c r="P2036" s="8" t="s">
        <v>1946</v>
      </c>
    </row>
    <row r="2037" spans="1:16" ht="25" customHeight="1">
      <c r="A2037" s="12">
        <v>4</v>
      </c>
      <c r="B2037" s="8" t="s">
        <v>44</v>
      </c>
      <c r="C2037" s="8">
        <v>3</v>
      </c>
      <c r="D2037" s="11">
        <v>0.03614457831325301</v>
      </c>
      <c r="E2037" s="8">
        <v>0</v>
      </c>
      <c r="F2037" s="8">
        <v>0</v>
      </c>
      <c r="G2037" s="8">
        <v>1</v>
      </c>
      <c r="H2037" s="11">
        <v>0.3333333333333333</v>
      </c>
      <c r="I2037" s="11">
        <v>8.333333333333334</v>
      </c>
      <c r="J2037" s="8">
        <v>1</v>
      </c>
      <c r="K2037" s="8">
        <v>0</v>
      </c>
      <c r="L2037" s="8" t="s">
        <v>801</v>
      </c>
      <c r="M2037" s="8">
        <v>15</v>
      </c>
      <c r="N2037" s="8" t="s">
        <v>2167</v>
      </c>
      <c r="O2037" s="8" t="s">
        <v>2168</v>
      </c>
      <c r="P2037" s="8">
        <v>1</v>
      </c>
    </row>
    <row r="2038" spans="1:16" ht="25" customHeight="1">
      <c r="A2038" s="12">
        <v>5</v>
      </c>
      <c r="B2038" s="8" t="s">
        <v>68</v>
      </c>
      <c r="C2038" s="8">
        <v>2</v>
      </c>
      <c r="D2038" s="11">
        <v>0.02409638554216868</v>
      </c>
      <c r="E2038" s="8">
        <v>1</v>
      </c>
      <c r="F2038" s="11">
        <v>0.5</v>
      </c>
      <c r="G2038" s="8">
        <v>0</v>
      </c>
      <c r="H2038" s="8">
        <v>0</v>
      </c>
      <c r="I2038" s="11">
        <v>5.5</v>
      </c>
      <c r="J2038" s="11">
        <v>0.5</v>
      </c>
      <c r="K2038" s="11">
        <v>0.5</v>
      </c>
      <c r="L2038" s="8" t="s">
        <v>791</v>
      </c>
      <c r="M2038" s="11">
        <v>59.5</v>
      </c>
      <c r="N2038" s="8" t="s">
        <v>2165</v>
      </c>
      <c r="O2038" s="8" t="s">
        <v>2166</v>
      </c>
      <c r="P2038" s="8">
        <v>14</v>
      </c>
    </row>
    <row r="2039" spans="1:16" ht="25" customHeight="1">
      <c r="A2039" s="12">
        <v>6</v>
      </c>
      <c r="B2039" s="8" t="s">
        <v>60</v>
      </c>
      <c r="C2039" s="8">
        <v>8</v>
      </c>
      <c r="D2039" s="11">
        <v>0.0963855421686747</v>
      </c>
      <c r="E2039" s="8">
        <v>5</v>
      </c>
      <c r="F2039" s="11">
        <v>0.625</v>
      </c>
      <c r="G2039" s="8">
        <v>1</v>
      </c>
      <c r="H2039" s="11">
        <v>0.125</v>
      </c>
      <c r="I2039" s="8">
        <v>5</v>
      </c>
      <c r="J2039" s="11">
        <v>0.625</v>
      </c>
      <c r="K2039" s="11">
        <v>0.25</v>
      </c>
      <c r="L2039" s="8" t="s">
        <v>799</v>
      </c>
      <c r="M2039" s="11">
        <v>66.3</v>
      </c>
      <c r="N2039" s="8" t="s">
        <v>2152</v>
      </c>
      <c r="O2039" s="8" t="s">
        <v>2153</v>
      </c>
      <c r="P2039" s="8">
        <v>15</v>
      </c>
    </row>
    <row r="2040" spans="1:16" ht="25" customHeight="1">
      <c r="A2040" s="12">
        <v>7</v>
      </c>
      <c r="B2040" s="8" t="s">
        <v>63</v>
      </c>
      <c r="C2040" s="8">
        <v>4</v>
      </c>
      <c r="D2040" s="11">
        <v>0.04819277108433735</v>
      </c>
      <c r="E2040" s="8">
        <v>1</v>
      </c>
      <c r="F2040" s="11">
        <v>0.25</v>
      </c>
      <c r="G2040" s="8">
        <v>0</v>
      </c>
      <c r="H2040" s="8">
        <v>0</v>
      </c>
      <c r="I2040" s="11">
        <v>6.75</v>
      </c>
      <c r="J2040" s="11">
        <v>0.5</v>
      </c>
      <c r="K2040" s="11">
        <v>0.5</v>
      </c>
      <c r="L2040" s="8" t="s">
        <v>795</v>
      </c>
      <c r="M2040" s="11">
        <v>40.8</v>
      </c>
      <c r="N2040" s="8" t="s">
        <v>2177</v>
      </c>
      <c r="O2040" s="8" t="s">
        <v>2194</v>
      </c>
      <c r="P2040" s="8">
        <v>20</v>
      </c>
    </row>
    <row r="2041" spans="1:16" ht="25" customHeight="1">
      <c r="A2041" s="12">
        <v>8</v>
      </c>
      <c r="B2041" s="8" t="s">
        <v>54</v>
      </c>
      <c r="C2041" s="8">
        <v>2</v>
      </c>
      <c r="D2041" s="11">
        <v>0.02409638554216868</v>
      </c>
      <c r="E2041" s="8">
        <v>1</v>
      </c>
      <c r="F2041" s="11">
        <v>0.5</v>
      </c>
      <c r="G2041" s="8">
        <v>1</v>
      </c>
      <c r="H2041" s="11">
        <v>0.5</v>
      </c>
      <c r="I2041" s="8">
        <v>10</v>
      </c>
      <c r="J2041" s="11">
        <v>0.5</v>
      </c>
      <c r="K2041" s="11">
        <v>0.5</v>
      </c>
      <c r="L2041" s="8" t="s">
        <v>791</v>
      </c>
      <c r="M2041" s="8">
        <v>45</v>
      </c>
      <c r="N2041" s="8" t="s">
        <v>2161</v>
      </c>
      <c r="O2041" s="8" t="s">
        <v>2162</v>
      </c>
      <c r="P2041" s="8">
        <v>24</v>
      </c>
    </row>
    <row r="2042" spans="1:16" ht="25" customHeight="1">
      <c r="A2042" s="12">
        <v>9</v>
      </c>
      <c r="B2042" s="8" t="s">
        <v>56</v>
      </c>
      <c r="C2042" s="8">
        <v>2</v>
      </c>
      <c r="D2042" s="11">
        <v>0.02409638554216868</v>
      </c>
      <c r="E2042" s="8">
        <v>0</v>
      </c>
      <c r="F2042" s="8">
        <v>0</v>
      </c>
      <c r="G2042" s="8">
        <v>0</v>
      </c>
      <c r="H2042" s="8">
        <v>0</v>
      </c>
      <c r="I2042" s="11">
        <v>6.5</v>
      </c>
      <c r="J2042" s="11">
        <v>0.5</v>
      </c>
      <c r="K2042" s="11">
        <v>0.5</v>
      </c>
      <c r="L2042" s="8" t="s">
        <v>791</v>
      </c>
      <c r="M2042" s="11">
        <v>23.5</v>
      </c>
      <c r="N2042" s="8" t="s">
        <v>2165</v>
      </c>
      <c r="O2042" s="8" t="s">
        <v>2166</v>
      </c>
      <c r="P2042" s="8">
        <v>26</v>
      </c>
    </row>
    <row r="2043" spans="1:16" ht="25" customHeight="1">
      <c r="A2043" s="12">
        <v>10</v>
      </c>
      <c r="B2043" s="8" t="s">
        <v>32</v>
      </c>
      <c r="C2043" s="8">
        <v>2</v>
      </c>
      <c r="D2043" s="11">
        <v>0.02409638554216868</v>
      </c>
      <c r="E2043" s="8">
        <v>1</v>
      </c>
      <c r="F2043" s="11">
        <v>0.5</v>
      </c>
      <c r="G2043" s="8">
        <v>1</v>
      </c>
      <c r="H2043" s="11">
        <v>0.5</v>
      </c>
      <c r="I2043" s="8">
        <v>37</v>
      </c>
      <c r="J2043" s="11">
        <v>0.5</v>
      </c>
      <c r="K2043" s="11">
        <v>0.5</v>
      </c>
      <c r="L2043" s="8" t="s">
        <v>791</v>
      </c>
      <c r="M2043" s="8">
        <v>45</v>
      </c>
      <c r="N2043" s="8" t="s">
        <v>2161</v>
      </c>
      <c r="O2043" s="8" t="s">
        <v>2162</v>
      </c>
      <c r="P2043" s="8">
        <v>29</v>
      </c>
    </row>
    <row r="2044" spans="1:16" ht="25" customHeight="1">
      <c r="A2044" s="12">
        <v>11</v>
      </c>
      <c r="B2044" s="8" t="s">
        <v>35</v>
      </c>
      <c r="C2044" s="8">
        <v>5</v>
      </c>
      <c r="D2044" s="11">
        <v>0.06024096385542169</v>
      </c>
      <c r="E2044" s="8">
        <v>4</v>
      </c>
      <c r="F2044" s="11">
        <v>0.8</v>
      </c>
      <c r="G2044" s="8">
        <v>0</v>
      </c>
      <c r="H2044" s="8">
        <v>0</v>
      </c>
      <c r="I2044" s="11">
        <v>2.8</v>
      </c>
      <c r="J2044" s="11">
        <v>0.2</v>
      </c>
      <c r="K2044" s="11">
        <v>0.8</v>
      </c>
      <c r="L2044" s="8" t="s">
        <v>795</v>
      </c>
      <c r="M2044" s="11">
        <v>83.2</v>
      </c>
      <c r="N2044" s="8" t="s">
        <v>2170</v>
      </c>
      <c r="O2044" s="8" t="s">
        <v>2151</v>
      </c>
      <c r="P2044" s="8">
        <v>48</v>
      </c>
    </row>
    <row r="2045" spans="1:16" ht="25" customHeight="1">
      <c r="A2045" s="12">
        <v>12</v>
      </c>
      <c r="B2045" s="8" t="s">
        <v>53</v>
      </c>
      <c r="C2045" s="8">
        <v>5</v>
      </c>
      <c r="D2045" s="11">
        <v>0.06024096385542169</v>
      </c>
      <c r="E2045" s="8">
        <v>5</v>
      </c>
      <c r="F2045" s="8">
        <v>1</v>
      </c>
      <c r="G2045" s="8">
        <v>0</v>
      </c>
      <c r="H2045" s="8">
        <v>0</v>
      </c>
      <c r="I2045" s="11">
        <v>4.4</v>
      </c>
      <c r="J2045" s="11">
        <v>0.2</v>
      </c>
      <c r="K2045" s="11">
        <v>0.8</v>
      </c>
      <c r="L2045" s="8" t="s">
        <v>795</v>
      </c>
      <c r="M2045" s="11">
        <v>95.59999999999999</v>
      </c>
      <c r="N2045" s="8" t="s">
        <v>2170</v>
      </c>
      <c r="O2045" s="8" t="s">
        <v>2151</v>
      </c>
      <c r="P2045" s="8">
        <v>54</v>
      </c>
    </row>
    <row r="2046" spans="1:16" ht="25" customHeight="1">
      <c r="A2046" s="12">
        <v>13</v>
      </c>
      <c r="B2046" s="8" t="s">
        <v>69</v>
      </c>
      <c r="C2046" s="8">
        <v>2</v>
      </c>
      <c r="D2046" s="11">
        <v>0.02409638554216868</v>
      </c>
      <c r="E2046" s="8">
        <v>2</v>
      </c>
      <c r="F2046" s="8">
        <v>1</v>
      </c>
      <c r="G2046" s="8">
        <v>0</v>
      </c>
      <c r="H2046" s="8">
        <v>0</v>
      </c>
      <c r="I2046" s="11">
        <v>2.5</v>
      </c>
      <c r="J2046" s="8">
        <v>0</v>
      </c>
      <c r="K2046" s="8">
        <v>1</v>
      </c>
      <c r="L2046" s="8" t="s">
        <v>791</v>
      </c>
      <c r="M2046" s="11">
        <v>97.5</v>
      </c>
      <c r="N2046" s="8" t="s">
        <v>2165</v>
      </c>
      <c r="O2046" s="8" t="s">
        <v>2166</v>
      </c>
      <c r="P2046" s="8">
        <v>61</v>
      </c>
    </row>
    <row r="2047" spans="1:16" ht="25" customHeight="1">
      <c r="A2047" s="12">
        <v>14</v>
      </c>
      <c r="B2047" s="8" t="s">
        <v>27</v>
      </c>
      <c r="C2047" s="8">
        <v>3</v>
      </c>
      <c r="D2047" s="11">
        <v>0.03614457831325301</v>
      </c>
      <c r="E2047" s="8">
        <v>2</v>
      </c>
      <c r="F2047" s="11">
        <v>0.6666666666666666</v>
      </c>
      <c r="G2047" s="8">
        <v>0</v>
      </c>
      <c r="H2047" s="8">
        <v>0</v>
      </c>
      <c r="I2047" s="11">
        <v>0.6666666666666666</v>
      </c>
      <c r="J2047" s="11">
        <v>0.3333333333333333</v>
      </c>
      <c r="K2047" s="11">
        <v>0.3333333333333333</v>
      </c>
      <c r="L2047" s="8" t="s">
        <v>801</v>
      </c>
      <c r="M2047" s="8">
        <v>76</v>
      </c>
      <c r="N2047" s="8" t="s">
        <v>2179</v>
      </c>
      <c r="O2047" s="8" t="s">
        <v>2168</v>
      </c>
      <c r="P2047" s="8">
        <v>62</v>
      </c>
    </row>
    <row r="2048" spans="1:16" ht="25" customHeight="1">
      <c r="A2048" s="12">
        <v>15</v>
      </c>
      <c r="B2048" s="8" t="s">
        <v>46</v>
      </c>
      <c r="C2048" s="8">
        <v>3</v>
      </c>
      <c r="D2048" s="11">
        <v>0.03614457831325301</v>
      </c>
      <c r="E2048" s="8">
        <v>2</v>
      </c>
      <c r="F2048" s="11">
        <v>0.6666666666666666</v>
      </c>
      <c r="G2048" s="8">
        <v>1</v>
      </c>
      <c r="H2048" s="11">
        <v>0.3333333333333333</v>
      </c>
      <c r="I2048" s="11">
        <v>7.333333333333333</v>
      </c>
      <c r="J2048" s="11">
        <v>0.3333333333333333</v>
      </c>
      <c r="K2048" s="11">
        <v>0.6666666666666666</v>
      </c>
      <c r="L2048" s="8" t="s">
        <v>801</v>
      </c>
      <c r="M2048" s="11">
        <v>62.7</v>
      </c>
      <c r="N2048" s="8" t="s">
        <v>2180</v>
      </c>
      <c r="O2048" s="8" t="s">
        <v>2168</v>
      </c>
      <c r="P2048" s="8">
        <v>64</v>
      </c>
    </row>
    <row r="2049" spans="1:16" ht="25" customHeight="1">
      <c r="A2049" s="12">
        <v>16</v>
      </c>
      <c r="B2049" s="8" t="s">
        <v>48</v>
      </c>
      <c r="C2049" s="8">
        <v>3</v>
      </c>
      <c r="D2049" s="11">
        <v>0.03614457831325301</v>
      </c>
      <c r="E2049" s="8">
        <v>1</v>
      </c>
      <c r="F2049" s="11">
        <v>0.3333333333333333</v>
      </c>
      <c r="G2049" s="8">
        <v>0</v>
      </c>
      <c r="H2049" s="8">
        <v>0</v>
      </c>
      <c r="I2049" s="11">
        <v>10.33333333333333</v>
      </c>
      <c r="J2049" s="11">
        <v>0.3333333333333333</v>
      </c>
      <c r="K2049" s="11">
        <v>0.6666666666666666</v>
      </c>
      <c r="L2049" s="8" t="s">
        <v>801</v>
      </c>
      <c r="M2049" s="11">
        <v>43.3</v>
      </c>
      <c r="N2049" s="8" t="s">
        <v>2167</v>
      </c>
      <c r="O2049" s="8" t="s">
        <v>2168</v>
      </c>
      <c r="P2049" s="8">
        <v>66</v>
      </c>
    </row>
    <row r="2050" spans="1:16" ht="25" customHeight="1">
      <c r="A2050" s="12">
        <v>17</v>
      </c>
      <c r="B2050" s="8" t="s">
        <v>61</v>
      </c>
      <c r="C2050" s="8">
        <v>4</v>
      </c>
      <c r="D2050" s="11">
        <v>0.04819277108433735</v>
      </c>
      <c r="E2050" s="8">
        <v>2</v>
      </c>
      <c r="F2050" s="11">
        <v>0.5</v>
      </c>
      <c r="G2050" s="8">
        <v>0</v>
      </c>
      <c r="H2050" s="8">
        <v>0</v>
      </c>
      <c r="I2050" s="11">
        <v>5.5</v>
      </c>
      <c r="J2050" s="11">
        <v>0.25</v>
      </c>
      <c r="K2050" s="11">
        <v>0.75</v>
      </c>
      <c r="L2050" s="8" t="s">
        <v>795</v>
      </c>
      <c r="M2050" s="11">
        <v>59.5</v>
      </c>
      <c r="N2050" s="8" t="s">
        <v>2137</v>
      </c>
      <c r="O2050" s="8" t="s">
        <v>2151</v>
      </c>
      <c r="P2050" s="8">
        <v>71</v>
      </c>
    </row>
    <row r="2051" spans="1:16" ht="25" customHeight="1">
      <c r="A2051" s="12">
        <v>18</v>
      </c>
      <c r="B2051" s="8" t="s">
        <v>65</v>
      </c>
      <c r="C2051" s="8">
        <v>2</v>
      </c>
      <c r="D2051" s="11">
        <v>0.02409638554216868</v>
      </c>
      <c r="E2051" s="8">
        <v>1</v>
      </c>
      <c r="F2051" s="11">
        <v>0.5</v>
      </c>
      <c r="G2051" s="8">
        <v>0</v>
      </c>
      <c r="H2051" s="8">
        <v>0</v>
      </c>
      <c r="I2051" s="11">
        <v>2.5</v>
      </c>
      <c r="J2051" s="11">
        <v>0.5</v>
      </c>
      <c r="K2051" s="11">
        <v>0.5</v>
      </c>
      <c r="L2051" s="8" t="s">
        <v>791</v>
      </c>
      <c r="M2051" s="11">
        <v>62.5</v>
      </c>
      <c r="N2051" s="8" t="s">
        <v>2165</v>
      </c>
      <c r="O2051" s="8" t="s">
        <v>2166</v>
      </c>
      <c r="P2051" s="8">
        <v>80</v>
      </c>
    </row>
    <row r="2052" spans="1:16" ht="25" customHeight="1">
      <c r="A2052" s="12">
        <v>19</v>
      </c>
      <c r="B2052" s="8" t="s">
        <v>58</v>
      </c>
      <c r="C2052" s="8">
        <v>1</v>
      </c>
      <c r="D2052" s="11">
        <v>0.01204819277108434</v>
      </c>
      <c r="E2052" s="8">
        <v>1</v>
      </c>
      <c r="F2052" s="8">
        <v>1</v>
      </c>
      <c r="G2052" s="8">
        <v>0</v>
      </c>
      <c r="H2052" s="8">
        <v>0</v>
      </c>
      <c r="I2052" s="8">
        <v>0</v>
      </c>
      <c r="J2052" s="8">
        <v>0</v>
      </c>
      <c r="K2052" s="8">
        <v>1</v>
      </c>
      <c r="L2052" s="8" t="s">
        <v>791</v>
      </c>
      <c r="M2052" s="8">
        <v>100</v>
      </c>
      <c r="N2052" s="8" t="s">
        <v>2165</v>
      </c>
      <c r="O2052" s="8" t="s">
        <v>2166</v>
      </c>
      <c r="P2052" s="8">
        <v>87</v>
      </c>
    </row>
    <row r="2053" spans="1:16" ht="25" customHeight="1">
      <c r="A2053" s="12">
        <v>20</v>
      </c>
      <c r="B2053" s="8" t="s">
        <v>47</v>
      </c>
      <c r="C2053" s="8">
        <v>1</v>
      </c>
      <c r="D2053" s="11">
        <v>0.01204819277108434</v>
      </c>
      <c r="E2053" s="8">
        <v>1</v>
      </c>
      <c r="F2053" s="8">
        <v>1</v>
      </c>
      <c r="G2053" s="8">
        <v>0</v>
      </c>
      <c r="H2053" s="8">
        <v>0</v>
      </c>
      <c r="I2053" s="8">
        <v>2</v>
      </c>
      <c r="J2053" s="8">
        <v>0</v>
      </c>
      <c r="K2053" s="8">
        <v>1</v>
      </c>
      <c r="L2053" s="8" t="s">
        <v>791</v>
      </c>
      <c r="M2053" s="8">
        <v>98</v>
      </c>
      <c r="N2053" s="8" t="s">
        <v>2165</v>
      </c>
      <c r="O2053" s="8" t="s">
        <v>2166</v>
      </c>
      <c r="P2053" s="8">
        <v>93</v>
      </c>
    </row>
    <row r="2054" spans="1:16" ht="25" customHeight="1">
      <c r="A2054" s="12">
        <v>21</v>
      </c>
      <c r="B2054" s="8" t="s">
        <v>55</v>
      </c>
      <c r="C2054" s="8">
        <v>2</v>
      </c>
      <c r="D2054" s="11">
        <v>0.02409638554216868</v>
      </c>
      <c r="E2054" s="8">
        <v>1</v>
      </c>
      <c r="F2054" s="11">
        <v>0.5</v>
      </c>
      <c r="G2054" s="8">
        <v>0</v>
      </c>
      <c r="H2054" s="8">
        <v>0</v>
      </c>
      <c r="I2054" s="8">
        <v>6</v>
      </c>
      <c r="J2054" s="8">
        <v>1</v>
      </c>
      <c r="K2054" s="8">
        <v>0</v>
      </c>
      <c r="L2054" s="8" t="s">
        <v>791</v>
      </c>
      <c r="M2054" s="8">
        <v>59</v>
      </c>
      <c r="N2054" s="8" t="s">
        <v>2165</v>
      </c>
      <c r="O2054" s="8" t="s">
        <v>2166</v>
      </c>
      <c r="P2054" s="8">
        <v>94</v>
      </c>
    </row>
    <row r="2055" spans="1:16" ht="25" customHeight="1">
      <c r="A2055" s="12">
        <v>22</v>
      </c>
      <c r="B2055" s="8" t="s">
        <v>30</v>
      </c>
      <c r="C2055" s="8">
        <v>1</v>
      </c>
      <c r="D2055" s="11">
        <v>0.01204819277108434</v>
      </c>
      <c r="E2055" s="8">
        <v>1</v>
      </c>
      <c r="F2055" s="8">
        <v>1</v>
      </c>
      <c r="G2055" s="8">
        <v>0</v>
      </c>
      <c r="H2055" s="8">
        <v>0</v>
      </c>
      <c r="I2055" s="8">
        <v>2</v>
      </c>
      <c r="J2055" s="8">
        <v>1</v>
      </c>
      <c r="K2055" s="8">
        <v>0</v>
      </c>
      <c r="L2055" s="8" t="s">
        <v>791</v>
      </c>
      <c r="M2055" s="8">
        <v>98</v>
      </c>
      <c r="N2055" s="8" t="s">
        <v>2165</v>
      </c>
      <c r="O2055" s="8" t="s">
        <v>2166</v>
      </c>
      <c r="P2055" s="8">
        <v>144</v>
      </c>
    </row>
    <row r="2056" spans="1:16" ht="25" customHeight="1">
      <c r="A2056" s="12">
        <v>23</v>
      </c>
      <c r="B2056" s="8" t="s">
        <v>72</v>
      </c>
      <c r="C2056" s="8">
        <v>1</v>
      </c>
      <c r="D2056" s="11">
        <v>0.01204819277108434</v>
      </c>
      <c r="E2056" s="8">
        <v>0</v>
      </c>
      <c r="F2056" s="8">
        <v>0</v>
      </c>
      <c r="G2056" s="8">
        <v>0</v>
      </c>
      <c r="H2056" s="8">
        <v>0</v>
      </c>
      <c r="I2056" s="8">
        <v>9</v>
      </c>
      <c r="J2056" s="8">
        <v>0</v>
      </c>
      <c r="K2056" s="8">
        <v>1</v>
      </c>
      <c r="L2056" s="8" t="s">
        <v>791</v>
      </c>
      <c r="M2056" s="8">
        <v>21</v>
      </c>
      <c r="N2056" s="8" t="s">
        <v>2165</v>
      </c>
      <c r="O2056" s="8" t="s">
        <v>2166</v>
      </c>
      <c r="P2056" s="8">
        <v>162</v>
      </c>
    </row>
    <row r="2057" spans="1:16" ht="25" customHeight="1">
      <c r="A2057" s="12">
        <v>24</v>
      </c>
      <c r="B2057" s="8" t="s">
        <v>64</v>
      </c>
      <c r="C2057" s="8">
        <v>1</v>
      </c>
      <c r="D2057" s="11">
        <v>0.01204819277108434</v>
      </c>
      <c r="E2057" s="8">
        <v>1</v>
      </c>
      <c r="F2057" s="8">
        <v>1</v>
      </c>
      <c r="G2057" s="8">
        <v>0</v>
      </c>
      <c r="H2057" s="8">
        <v>0</v>
      </c>
      <c r="I2057" s="8">
        <v>5</v>
      </c>
      <c r="J2057" s="8">
        <v>0</v>
      </c>
      <c r="K2057" s="8">
        <v>1</v>
      </c>
      <c r="L2057" s="8" t="s">
        <v>791</v>
      </c>
      <c r="M2057" s="8">
        <v>95</v>
      </c>
      <c r="N2057" s="8" t="s">
        <v>2165</v>
      </c>
      <c r="O2057" s="8" t="s">
        <v>2166</v>
      </c>
      <c r="P2057" s="8">
        <v>165</v>
      </c>
    </row>
    <row r="2058" spans="1:16" ht="25" customHeight="1">
      <c r="A2058" s="12">
        <v>25</v>
      </c>
      <c r="B2058" s="8" t="s">
        <v>101</v>
      </c>
      <c r="C2058" s="8">
        <v>4</v>
      </c>
      <c r="D2058" s="11">
        <v>0.04819277108433735</v>
      </c>
      <c r="E2058" s="8">
        <v>3</v>
      </c>
      <c r="F2058" s="11">
        <v>0.75</v>
      </c>
      <c r="G2058" s="8">
        <v>0</v>
      </c>
      <c r="H2058" s="8">
        <v>0</v>
      </c>
      <c r="I2058" s="11">
        <v>4.75</v>
      </c>
      <c r="J2058" s="8">
        <v>0</v>
      </c>
      <c r="K2058" s="8">
        <v>1</v>
      </c>
      <c r="L2058" s="8" t="s">
        <v>795</v>
      </c>
      <c r="M2058" s="11">
        <v>77.8</v>
      </c>
      <c r="N2058" s="8" t="s">
        <v>2152</v>
      </c>
      <c r="O2058" s="8" t="s">
        <v>2151</v>
      </c>
      <c r="P2058" s="8">
        <v>168</v>
      </c>
    </row>
    <row r="2059" spans="1:16" ht="25" customHeight="1">
      <c r="A2059" s="12">
        <v>26</v>
      </c>
      <c r="B2059" s="8" t="s">
        <v>102</v>
      </c>
      <c r="C2059" s="8">
        <v>2</v>
      </c>
      <c r="D2059" s="11">
        <v>0.02409638554216868</v>
      </c>
      <c r="E2059" s="8">
        <v>2</v>
      </c>
      <c r="F2059" s="8">
        <v>1</v>
      </c>
      <c r="G2059" s="8">
        <v>0</v>
      </c>
      <c r="H2059" s="8">
        <v>0</v>
      </c>
      <c r="I2059" s="8">
        <v>-1</v>
      </c>
      <c r="J2059" s="11">
        <v>0.5</v>
      </c>
      <c r="K2059" s="11">
        <v>0.5</v>
      </c>
      <c r="L2059" s="8" t="s">
        <v>791</v>
      </c>
      <c r="M2059" s="8">
        <v>100</v>
      </c>
      <c r="N2059" s="8" t="s">
        <v>2165</v>
      </c>
      <c r="O2059" s="8" t="s">
        <v>2166</v>
      </c>
      <c r="P2059" s="8">
        <v>173</v>
      </c>
    </row>
    <row r="2060" spans="1:16" ht="25" customHeight="1">
      <c r="A2060" s="12">
        <v>27</v>
      </c>
      <c r="B2060" s="8" t="s">
        <v>42</v>
      </c>
      <c r="C2060" s="8">
        <v>1</v>
      </c>
      <c r="D2060" s="11">
        <v>0.01204819277108434</v>
      </c>
      <c r="E2060" s="8">
        <v>1</v>
      </c>
      <c r="F2060" s="8">
        <v>1</v>
      </c>
      <c r="G2060" s="8">
        <v>0</v>
      </c>
      <c r="H2060" s="8">
        <v>0</v>
      </c>
      <c r="I2060" s="8">
        <v>-7</v>
      </c>
      <c r="J2060" s="8">
        <v>0</v>
      </c>
      <c r="K2060" s="8">
        <v>1</v>
      </c>
      <c r="L2060" s="8" t="s">
        <v>791</v>
      </c>
      <c r="M2060" s="8">
        <v>100</v>
      </c>
      <c r="N2060" s="8" t="s">
        <v>2165</v>
      </c>
      <c r="O2060" s="8" t="s">
        <v>2166</v>
      </c>
      <c r="P2060" s="8">
        <v>177</v>
      </c>
    </row>
    <row r="2061" spans="1:16" ht="25" customHeight="1">
      <c r="A2061" s="12">
        <v>28</v>
      </c>
      <c r="B2061" s="8" t="s">
        <v>66</v>
      </c>
      <c r="C2061" s="8">
        <v>2</v>
      </c>
      <c r="D2061" s="11">
        <v>0.02409638554216868</v>
      </c>
      <c r="E2061" s="8">
        <v>1</v>
      </c>
      <c r="F2061" s="11">
        <v>0.5</v>
      </c>
      <c r="G2061" s="8">
        <v>0</v>
      </c>
      <c r="H2061" s="8">
        <v>0</v>
      </c>
      <c r="I2061" s="11">
        <v>1.5</v>
      </c>
      <c r="J2061" s="8">
        <v>1</v>
      </c>
      <c r="K2061" s="8">
        <v>0</v>
      </c>
      <c r="L2061" s="8" t="s">
        <v>791</v>
      </c>
      <c r="M2061" s="11">
        <v>63.5</v>
      </c>
      <c r="N2061" s="8" t="s">
        <v>2165</v>
      </c>
      <c r="O2061" s="8" t="s">
        <v>2166</v>
      </c>
      <c r="P2061" s="8">
        <v>193</v>
      </c>
    </row>
    <row r="2062" spans="1:16" ht="25" customHeight="1">
      <c r="A2062" s="12">
        <v>29</v>
      </c>
      <c r="B2062" s="8" t="s">
        <v>109</v>
      </c>
      <c r="C2062" s="8">
        <v>1</v>
      </c>
      <c r="D2062" s="11">
        <v>0.01204819277108434</v>
      </c>
      <c r="E2062" s="8">
        <v>0</v>
      </c>
      <c r="F2062" s="8">
        <v>0</v>
      </c>
      <c r="G2062" s="8">
        <v>1</v>
      </c>
      <c r="H2062" s="8">
        <v>1</v>
      </c>
      <c r="I2062" s="8">
        <v>16</v>
      </c>
      <c r="J2062" s="8">
        <v>0</v>
      </c>
      <c r="K2062" s="8">
        <v>1</v>
      </c>
      <c r="L2062" s="8" t="s">
        <v>791</v>
      </c>
      <c r="M2062" s="8">
        <v>0</v>
      </c>
      <c r="N2062" s="8" t="s">
        <v>2161</v>
      </c>
      <c r="O2062" s="8" t="s">
        <v>2162</v>
      </c>
      <c r="P2062" s="8">
        <v>203</v>
      </c>
    </row>
    <row r="2063" spans="1:16" ht="25" customHeight="1">
      <c r="A2063" s="12">
        <v>30</v>
      </c>
      <c r="B2063" s="8" t="s">
        <v>91</v>
      </c>
      <c r="C2063" s="8">
        <v>1</v>
      </c>
      <c r="D2063" s="11">
        <v>0.01204819277108434</v>
      </c>
      <c r="E2063" s="8">
        <v>1</v>
      </c>
      <c r="F2063" s="8">
        <v>1</v>
      </c>
      <c r="G2063" s="8">
        <v>0</v>
      </c>
      <c r="H2063" s="8">
        <v>0</v>
      </c>
      <c r="I2063" s="8">
        <v>0</v>
      </c>
      <c r="J2063" s="8">
        <v>0</v>
      </c>
      <c r="K2063" s="8">
        <v>1</v>
      </c>
      <c r="L2063" s="8" t="s">
        <v>791</v>
      </c>
      <c r="M2063" s="8">
        <v>100</v>
      </c>
      <c r="N2063" s="8" t="s">
        <v>2165</v>
      </c>
      <c r="O2063" s="8" t="s">
        <v>2166</v>
      </c>
      <c r="P2063" s="8">
        <v>209</v>
      </c>
    </row>
    <row r="2064" spans="1:16" ht="25" customHeight="1">
      <c r="A2064" s="12">
        <v>31</v>
      </c>
      <c r="B2064" s="8" t="s">
        <v>73</v>
      </c>
      <c r="C2064" s="8">
        <v>2</v>
      </c>
      <c r="D2064" s="11">
        <v>0.02409638554216868</v>
      </c>
      <c r="E2064" s="8">
        <v>1</v>
      </c>
      <c r="F2064" s="11">
        <v>0.5</v>
      </c>
      <c r="G2064" s="8">
        <v>1</v>
      </c>
      <c r="H2064" s="11">
        <v>0.5</v>
      </c>
      <c r="I2064" s="8">
        <v>8</v>
      </c>
      <c r="J2064" s="8">
        <v>0</v>
      </c>
      <c r="K2064" s="8">
        <v>1</v>
      </c>
      <c r="L2064" s="8" t="s">
        <v>791</v>
      </c>
      <c r="M2064" s="8">
        <v>47</v>
      </c>
      <c r="N2064" s="8" t="s">
        <v>2161</v>
      </c>
      <c r="O2064" s="8" t="s">
        <v>2162</v>
      </c>
      <c r="P2064" s="8">
        <v>221</v>
      </c>
    </row>
    <row r="2065" spans="1:16" ht="25" customHeight="1">
      <c r="A2065" s="12">
        <v>32</v>
      </c>
      <c r="B2065" s="8" t="s">
        <v>67</v>
      </c>
      <c r="C2065" s="8">
        <v>2</v>
      </c>
      <c r="D2065" s="11">
        <v>0.02409638554216868</v>
      </c>
      <c r="E2065" s="8">
        <v>2</v>
      </c>
      <c r="F2065" s="8">
        <v>1</v>
      </c>
      <c r="G2065" s="8">
        <v>0</v>
      </c>
      <c r="H2065" s="8">
        <v>0</v>
      </c>
      <c r="I2065" s="8">
        <v>-1</v>
      </c>
      <c r="J2065" s="8">
        <v>1</v>
      </c>
      <c r="K2065" s="8">
        <v>0</v>
      </c>
      <c r="L2065" s="8" t="s">
        <v>791</v>
      </c>
      <c r="M2065" s="8">
        <v>100</v>
      </c>
      <c r="N2065" s="8" t="s">
        <v>2165</v>
      </c>
      <c r="O2065" s="8" t="s">
        <v>2166</v>
      </c>
      <c r="P2065" s="8">
        <v>222</v>
      </c>
    </row>
    <row r="2066" spans="1:16" ht="25" customHeight="1">
      <c r="A2066" s="12">
        <v>33</v>
      </c>
      <c r="B2066" s="8" t="s">
        <v>40</v>
      </c>
      <c r="C2066" s="8">
        <v>2</v>
      </c>
      <c r="D2066" s="11">
        <v>0.02409638554216868</v>
      </c>
      <c r="E2066" s="8">
        <v>0</v>
      </c>
      <c r="F2066" s="8">
        <v>0</v>
      </c>
      <c r="G2066" s="8">
        <v>0</v>
      </c>
      <c r="H2066" s="8">
        <v>0</v>
      </c>
      <c r="I2066" s="8">
        <v>6</v>
      </c>
      <c r="J2066" s="8">
        <v>1</v>
      </c>
      <c r="K2066" s="8">
        <v>0</v>
      </c>
      <c r="L2066" s="8" t="s">
        <v>791</v>
      </c>
      <c r="M2066" s="8">
        <v>24</v>
      </c>
      <c r="N2066" s="8" t="s">
        <v>2165</v>
      </c>
      <c r="O2066" s="8" t="s">
        <v>2166</v>
      </c>
      <c r="P2066" s="8">
        <v>237</v>
      </c>
    </row>
    <row r="2067" spans="1:16" ht="25" customHeight="1">
      <c r="A2067" s="12">
        <v>34</v>
      </c>
      <c r="B2067" s="8" t="s">
        <v>75</v>
      </c>
      <c r="C2067" s="8">
        <v>2</v>
      </c>
      <c r="D2067" s="11">
        <v>0.02409638554216868</v>
      </c>
      <c r="E2067" s="8">
        <v>1</v>
      </c>
      <c r="F2067" s="11">
        <v>0.5</v>
      </c>
      <c r="G2067" s="8">
        <v>0</v>
      </c>
      <c r="H2067" s="8">
        <v>0</v>
      </c>
      <c r="I2067" s="8">
        <v>4</v>
      </c>
      <c r="J2067" s="8">
        <v>1</v>
      </c>
      <c r="K2067" s="8">
        <v>0</v>
      </c>
      <c r="L2067" s="8" t="s">
        <v>791</v>
      </c>
      <c r="M2067" s="8">
        <v>61</v>
      </c>
      <c r="N2067" s="8" t="s">
        <v>2165</v>
      </c>
      <c r="O2067" s="8" t="s">
        <v>2166</v>
      </c>
      <c r="P2067" s="8">
        <v>260</v>
      </c>
    </row>
    <row r="2068" spans="1:16" ht="25" customHeight="1">
      <c r="A2068" s="12">
        <v>35</v>
      </c>
      <c r="B2068" s="8" t="s">
        <v>79</v>
      </c>
      <c r="C2068" s="8">
        <v>2</v>
      </c>
      <c r="D2068" s="11">
        <v>0.02409638554216868</v>
      </c>
      <c r="E2068" s="8">
        <v>1</v>
      </c>
      <c r="F2068" s="11">
        <v>0.5</v>
      </c>
      <c r="G2068" s="8">
        <v>1</v>
      </c>
      <c r="H2068" s="11">
        <v>0.5</v>
      </c>
      <c r="I2068" s="11">
        <v>7.5</v>
      </c>
      <c r="J2068" s="8">
        <v>0</v>
      </c>
      <c r="K2068" s="8">
        <v>1</v>
      </c>
      <c r="L2068" s="8" t="s">
        <v>791</v>
      </c>
      <c r="M2068" s="11">
        <v>47.5</v>
      </c>
      <c r="N2068" s="8" t="s">
        <v>2161</v>
      </c>
      <c r="O2068" s="8" t="s">
        <v>2162</v>
      </c>
      <c r="P2068" s="8">
        <v>263</v>
      </c>
    </row>
    <row r="2069" spans="1:16" ht="25" customHeight="1">
      <c r="A2069" s="12">
        <v>36</v>
      </c>
      <c r="B2069" s="8" t="s">
        <v>100</v>
      </c>
      <c r="C2069" s="8">
        <v>1</v>
      </c>
      <c r="D2069" s="11">
        <v>0.01204819277108434</v>
      </c>
      <c r="E2069" s="8">
        <v>1</v>
      </c>
      <c r="F2069" s="8">
        <v>1</v>
      </c>
      <c r="G2069" s="8">
        <v>0</v>
      </c>
      <c r="H2069" s="8">
        <v>0</v>
      </c>
      <c r="I2069" s="8">
        <v>0</v>
      </c>
      <c r="J2069" s="8">
        <v>0</v>
      </c>
      <c r="K2069" s="8">
        <v>1</v>
      </c>
      <c r="L2069" s="8" t="s">
        <v>791</v>
      </c>
      <c r="M2069" s="8">
        <v>100</v>
      </c>
      <c r="N2069" s="8" t="s">
        <v>2165</v>
      </c>
      <c r="O2069" s="8" t="s">
        <v>2166</v>
      </c>
      <c r="P2069" s="8">
        <v>272</v>
      </c>
    </row>
    <row r="2070" spans="1:16" ht="25" customHeight="1">
      <c r="A2070" s="12">
        <v>37</v>
      </c>
      <c r="B2070" s="8" t="s">
        <v>95</v>
      </c>
      <c r="C2070" s="8">
        <v>1</v>
      </c>
      <c r="D2070" s="11">
        <v>0.01204819277108434</v>
      </c>
      <c r="E2070" s="8">
        <v>0</v>
      </c>
      <c r="F2070" s="8">
        <v>0</v>
      </c>
      <c r="G2070" s="8">
        <v>0</v>
      </c>
      <c r="H2070" s="8">
        <v>0</v>
      </c>
      <c r="I2070" s="8">
        <v>10</v>
      </c>
      <c r="J2070" s="8">
        <v>0</v>
      </c>
      <c r="K2070" s="8">
        <v>1</v>
      </c>
      <c r="L2070" s="8" t="s">
        <v>791</v>
      </c>
      <c r="M2070" s="8">
        <v>20</v>
      </c>
      <c r="N2070" s="8" t="s">
        <v>2165</v>
      </c>
      <c r="O2070" s="8" t="s">
        <v>2166</v>
      </c>
      <c r="P2070" s="8">
        <v>275</v>
      </c>
    </row>
    <row r="2071" spans="1:16" ht="25" customHeight="1">
      <c r="A2071" s="12">
        <v>38</v>
      </c>
      <c r="B2071" s="8" t="s">
        <v>93</v>
      </c>
      <c r="C2071" s="8">
        <v>2</v>
      </c>
      <c r="D2071" s="11">
        <v>0.02409638554216868</v>
      </c>
      <c r="E2071" s="8">
        <v>1</v>
      </c>
      <c r="F2071" s="11">
        <v>0.5</v>
      </c>
      <c r="G2071" s="8">
        <v>1</v>
      </c>
      <c r="H2071" s="11">
        <v>0.5</v>
      </c>
      <c r="I2071" s="11">
        <v>10.5</v>
      </c>
      <c r="J2071" s="8">
        <v>0</v>
      </c>
      <c r="K2071" s="8">
        <v>1</v>
      </c>
      <c r="L2071" s="8" t="s">
        <v>791</v>
      </c>
      <c r="M2071" s="8">
        <v>45</v>
      </c>
      <c r="N2071" s="8" t="s">
        <v>2161</v>
      </c>
      <c r="O2071" s="8" t="s">
        <v>2162</v>
      </c>
      <c r="P2071" s="8">
        <v>277</v>
      </c>
    </row>
    <row r="2072" spans="1:16" ht="25" customHeight="1">
      <c r="A2072" s="12">
        <v>39</v>
      </c>
      <c r="B2072" s="8" t="s">
        <v>97</v>
      </c>
      <c r="C2072" s="8">
        <v>1</v>
      </c>
      <c r="D2072" s="11">
        <v>0.01204819277108434</v>
      </c>
      <c r="E2072" s="8">
        <v>1</v>
      </c>
      <c r="F2072" s="8">
        <v>1</v>
      </c>
      <c r="G2072" s="8">
        <v>0</v>
      </c>
      <c r="H2072" s="8">
        <v>0</v>
      </c>
      <c r="I2072" s="8">
        <v>4</v>
      </c>
      <c r="J2072" s="8">
        <v>0</v>
      </c>
      <c r="K2072" s="8">
        <v>1</v>
      </c>
      <c r="L2072" s="8" t="s">
        <v>791</v>
      </c>
      <c r="M2072" s="8">
        <v>96</v>
      </c>
      <c r="N2072" s="8" t="s">
        <v>2165</v>
      </c>
      <c r="O2072" s="8" t="s">
        <v>2166</v>
      </c>
      <c r="P2072" s="8">
        <v>280</v>
      </c>
    </row>
    <row r="2078" spans="1:16" ht="27" customHeight="1">
      <c r="A2078" s="5" t="s">
        <v>2195</v>
      </c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</row>
    <row r="2079" spans="1:16" ht="36" customHeight="1">
      <c r="A2079" s="9" t="s">
        <v>683</v>
      </c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</row>
    <row r="2080" spans="1:16" ht="25" customHeight="1">
      <c r="A2080" s="6" t="s">
        <v>684</v>
      </c>
    </row>
    <row r="2081" spans="1:16" ht="25" customHeight="1">
      <c r="A2081" s="12">
        <v>1</v>
      </c>
      <c r="B2081" s="8" t="s">
        <v>2196</v>
      </c>
    </row>
    <row r="2082" spans="1:16" ht="25" customHeight="1">
      <c r="A2082" s="12">
        <v>2</v>
      </c>
      <c r="B2082" s="8" t="s">
        <v>2174</v>
      </c>
      <c r="E2082" s="8" t="s">
        <v>2121</v>
      </c>
      <c r="H2082" s="8" t="s">
        <v>2072</v>
      </c>
      <c r="K2082" s="8" t="s">
        <v>2122</v>
      </c>
      <c r="M2082" s="8" t="s">
        <v>2175</v>
      </c>
    </row>
    <row r="2083" spans="1:16" ht="25" customHeight="1">
      <c r="A2083" s="12">
        <v>3</v>
      </c>
      <c r="B2083" s="8" t="s">
        <v>2176</v>
      </c>
      <c r="C2083" s="8" t="s">
        <v>2091</v>
      </c>
      <c r="D2083" s="8" t="s">
        <v>690</v>
      </c>
      <c r="E2083" s="8" t="s">
        <v>2130</v>
      </c>
      <c r="F2083" s="8" t="s">
        <v>2132</v>
      </c>
      <c r="G2083" s="8" t="s">
        <v>2133</v>
      </c>
      <c r="H2083" s="8" t="s">
        <v>784</v>
      </c>
      <c r="I2083" s="8" t="s">
        <v>2135</v>
      </c>
      <c r="J2083" s="8" t="s">
        <v>2146</v>
      </c>
      <c r="K2083" s="8" t="s">
        <v>2147</v>
      </c>
      <c r="L2083" s="8" t="s">
        <v>786</v>
      </c>
      <c r="M2083" s="8" t="s">
        <v>2134</v>
      </c>
      <c r="N2083" s="8" t="s">
        <v>2136</v>
      </c>
      <c r="O2083" s="8" t="s">
        <v>2139</v>
      </c>
      <c r="P2083" s="8" t="s">
        <v>1946</v>
      </c>
    </row>
    <row r="2084" spans="1:16" ht="25" customHeight="1">
      <c r="A2084" s="12">
        <v>4</v>
      </c>
      <c r="B2084" s="8" t="s">
        <v>52</v>
      </c>
      <c r="C2084" s="8">
        <v>2</v>
      </c>
      <c r="D2084" s="11">
        <v>0.1538461538461539</v>
      </c>
      <c r="E2084" s="8">
        <v>1</v>
      </c>
      <c r="F2084" s="11">
        <v>0.5</v>
      </c>
      <c r="G2084" s="8">
        <v>0</v>
      </c>
      <c r="H2084" s="8">
        <v>0</v>
      </c>
      <c r="I2084" s="8">
        <v>-1</v>
      </c>
      <c r="J2084" s="11">
        <v>0.5</v>
      </c>
      <c r="K2084" s="11">
        <v>0.5</v>
      </c>
      <c r="L2084" s="8" t="s">
        <v>791</v>
      </c>
      <c r="M2084" s="8">
        <v>65</v>
      </c>
      <c r="N2084" s="8" t="s">
        <v>2165</v>
      </c>
      <c r="O2084" s="8" t="s">
        <v>2166</v>
      </c>
      <c r="P2084" s="8">
        <v>7</v>
      </c>
    </row>
    <row r="2085" spans="1:16" ht="25" customHeight="1">
      <c r="A2085" s="12">
        <v>5</v>
      </c>
      <c r="B2085" s="8" t="s">
        <v>51</v>
      </c>
      <c r="C2085" s="8">
        <v>3</v>
      </c>
      <c r="D2085" s="11">
        <v>0.2307692307692308</v>
      </c>
      <c r="E2085" s="8">
        <v>1</v>
      </c>
      <c r="F2085" s="11">
        <v>0.3333333333333333</v>
      </c>
      <c r="G2085" s="8">
        <v>0</v>
      </c>
      <c r="H2085" s="8">
        <v>0</v>
      </c>
      <c r="I2085" s="8">
        <v>6</v>
      </c>
      <c r="J2085" s="11">
        <v>0.3333333333333333</v>
      </c>
      <c r="K2085" s="11">
        <v>0.6666666666666666</v>
      </c>
      <c r="L2085" s="8" t="s">
        <v>801</v>
      </c>
      <c r="M2085" s="11">
        <v>47.3</v>
      </c>
      <c r="N2085" s="8" t="s">
        <v>2167</v>
      </c>
      <c r="O2085" s="8" t="s">
        <v>2168</v>
      </c>
      <c r="P2085" s="8">
        <v>21</v>
      </c>
    </row>
    <row r="2086" spans="1:16" ht="25" customHeight="1">
      <c r="A2086" s="12">
        <v>6</v>
      </c>
      <c r="B2086" s="8" t="s">
        <v>27</v>
      </c>
      <c r="C2086" s="8">
        <v>2</v>
      </c>
      <c r="D2086" s="11">
        <v>0.1538461538461539</v>
      </c>
      <c r="E2086" s="8">
        <v>1</v>
      </c>
      <c r="F2086" s="11">
        <v>0.5</v>
      </c>
      <c r="G2086" s="8">
        <v>0</v>
      </c>
      <c r="H2086" s="8">
        <v>0</v>
      </c>
      <c r="I2086" s="8">
        <v>2</v>
      </c>
      <c r="J2086" s="11">
        <v>0.5</v>
      </c>
      <c r="K2086" s="8">
        <v>0</v>
      </c>
      <c r="L2086" s="8" t="s">
        <v>791</v>
      </c>
      <c r="M2086" s="8">
        <v>63</v>
      </c>
      <c r="N2086" s="8" t="s">
        <v>2165</v>
      </c>
      <c r="O2086" s="8" t="s">
        <v>2166</v>
      </c>
      <c r="P2086" s="8">
        <v>137</v>
      </c>
    </row>
    <row r="2087" spans="1:16" ht="25" customHeight="1">
      <c r="A2087" s="12">
        <v>7</v>
      </c>
      <c r="B2087" s="8" t="s">
        <v>35</v>
      </c>
      <c r="C2087" s="8">
        <v>3</v>
      </c>
      <c r="D2087" s="11">
        <v>0.2307692307692308</v>
      </c>
      <c r="E2087" s="8">
        <v>1</v>
      </c>
      <c r="F2087" s="11">
        <v>0.3333333333333333</v>
      </c>
      <c r="G2087" s="8">
        <v>0</v>
      </c>
      <c r="H2087" s="8">
        <v>0</v>
      </c>
      <c r="I2087" s="8">
        <v>5</v>
      </c>
      <c r="J2087" s="11">
        <v>0.3333333333333333</v>
      </c>
      <c r="K2087" s="11">
        <v>0.3333333333333333</v>
      </c>
      <c r="L2087" s="8" t="s">
        <v>801</v>
      </c>
      <c r="M2087" s="11">
        <v>48.3</v>
      </c>
      <c r="N2087" s="8" t="s">
        <v>2167</v>
      </c>
      <c r="O2087" s="8" t="s">
        <v>2168</v>
      </c>
      <c r="P2087" s="8">
        <v>151</v>
      </c>
    </row>
    <row r="2088" spans="1:16" ht="25" customHeight="1">
      <c r="A2088" s="12">
        <v>8</v>
      </c>
      <c r="B2088" s="8" t="s">
        <v>66</v>
      </c>
      <c r="C2088" s="8">
        <v>1</v>
      </c>
      <c r="D2088" s="11">
        <v>0.07692307692307693</v>
      </c>
      <c r="E2088" s="8">
        <v>1</v>
      </c>
      <c r="F2088" s="8">
        <v>1</v>
      </c>
      <c r="G2088" s="8">
        <v>0</v>
      </c>
      <c r="H2088" s="8">
        <v>0</v>
      </c>
      <c r="I2088" s="8">
        <v>0</v>
      </c>
      <c r="J2088" s="8">
        <v>1</v>
      </c>
      <c r="K2088" s="8">
        <v>0</v>
      </c>
      <c r="L2088" s="8" t="s">
        <v>791</v>
      </c>
      <c r="M2088" s="8">
        <v>100</v>
      </c>
      <c r="N2088" s="8" t="s">
        <v>2165</v>
      </c>
      <c r="O2088" s="8" t="s">
        <v>2166</v>
      </c>
      <c r="P2088" s="8">
        <v>194</v>
      </c>
    </row>
    <row r="2089" spans="1:16" ht="25" customHeight="1">
      <c r="A2089" s="12">
        <v>9</v>
      </c>
      <c r="B2089" s="8" t="s">
        <v>30</v>
      </c>
      <c r="C2089" s="8">
        <v>1</v>
      </c>
      <c r="D2089" s="11">
        <v>0.07692307692307693</v>
      </c>
      <c r="E2089" s="8">
        <v>1</v>
      </c>
      <c r="F2089" s="8">
        <v>1</v>
      </c>
      <c r="G2089" s="8">
        <v>0</v>
      </c>
      <c r="H2089" s="8">
        <v>0</v>
      </c>
      <c r="I2089" s="8">
        <v>2</v>
      </c>
      <c r="J2089" s="8">
        <v>1</v>
      </c>
      <c r="K2089" s="8">
        <v>0</v>
      </c>
      <c r="L2089" s="8" t="s">
        <v>791</v>
      </c>
      <c r="M2089" s="8">
        <v>98</v>
      </c>
      <c r="N2089" s="8" t="s">
        <v>2165</v>
      </c>
      <c r="O2089" s="8" t="s">
        <v>2166</v>
      </c>
      <c r="P2089" s="8">
        <v>240</v>
      </c>
    </row>
    <row r="2090" spans="1:16" ht="25" customHeight="1">
      <c r="A2090" s="12">
        <v>10</v>
      </c>
      <c r="B2090" s="8" t="s">
        <v>91</v>
      </c>
      <c r="C2090" s="8">
        <v>1</v>
      </c>
      <c r="D2090" s="11">
        <v>0.07692307692307693</v>
      </c>
      <c r="E2090" s="8">
        <v>0</v>
      </c>
      <c r="F2090" s="8">
        <v>0</v>
      </c>
      <c r="G2090" s="8">
        <v>0</v>
      </c>
      <c r="H2090" s="8">
        <v>0</v>
      </c>
      <c r="I2090" s="8">
        <v>4</v>
      </c>
      <c r="J2090" s="8">
        <v>1</v>
      </c>
      <c r="K2090" s="8">
        <v>0</v>
      </c>
      <c r="L2090" s="8" t="s">
        <v>791</v>
      </c>
      <c r="M2090" s="8">
        <v>26</v>
      </c>
      <c r="N2090" s="8" t="s">
        <v>2165</v>
      </c>
      <c r="O2090" s="8" t="s">
        <v>2166</v>
      </c>
      <c r="P2090" s="8">
        <v>270</v>
      </c>
    </row>
    <row r="2096" spans="1:16" ht="27" customHeight="1">
      <c r="A2096" s="5" t="s">
        <v>2197</v>
      </c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</row>
    <row r="2097" spans="1:16" ht="36" customHeight="1">
      <c r="A2097" s="9" t="s">
        <v>683</v>
      </c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</row>
    <row r="2098" spans="1:16" ht="25" customHeight="1">
      <c r="A2098" s="6" t="s">
        <v>684</v>
      </c>
    </row>
    <row r="2099" spans="1:16" ht="25" customHeight="1">
      <c r="A2099" s="12">
        <v>1</v>
      </c>
      <c r="B2099" s="8" t="s">
        <v>2198</v>
      </c>
    </row>
    <row r="2100" spans="1:16" ht="25" customHeight="1">
      <c r="A2100" s="12">
        <v>2</v>
      </c>
      <c r="B2100" s="8" t="s">
        <v>2174</v>
      </c>
      <c r="E2100" s="8" t="s">
        <v>2121</v>
      </c>
      <c r="H2100" s="8" t="s">
        <v>2072</v>
      </c>
      <c r="K2100" s="8" t="s">
        <v>2122</v>
      </c>
      <c r="M2100" s="8" t="s">
        <v>2175</v>
      </c>
    </row>
    <row r="2101" spans="1:16" ht="25" customHeight="1">
      <c r="A2101" s="12">
        <v>3</v>
      </c>
      <c r="B2101" s="8" t="s">
        <v>2176</v>
      </c>
      <c r="C2101" s="8" t="s">
        <v>2091</v>
      </c>
      <c r="D2101" s="8" t="s">
        <v>690</v>
      </c>
      <c r="E2101" s="8" t="s">
        <v>2130</v>
      </c>
      <c r="F2101" s="8" t="s">
        <v>2132</v>
      </c>
      <c r="G2101" s="8" t="s">
        <v>2133</v>
      </c>
      <c r="H2101" s="8" t="s">
        <v>784</v>
      </c>
      <c r="I2101" s="8" t="s">
        <v>2135</v>
      </c>
      <c r="J2101" s="8" t="s">
        <v>2146</v>
      </c>
      <c r="K2101" s="8" t="s">
        <v>2147</v>
      </c>
      <c r="L2101" s="8" t="s">
        <v>786</v>
      </c>
      <c r="M2101" s="8" t="s">
        <v>2134</v>
      </c>
      <c r="N2101" s="8" t="s">
        <v>2136</v>
      </c>
      <c r="O2101" s="8" t="s">
        <v>2139</v>
      </c>
      <c r="P2101" s="8" t="s">
        <v>1946</v>
      </c>
    </row>
    <row r="2102" spans="1:16" ht="25" customHeight="1">
      <c r="A2102" s="12">
        <v>4</v>
      </c>
      <c r="B2102" s="8" t="s">
        <v>52</v>
      </c>
      <c r="C2102" s="8">
        <v>11</v>
      </c>
      <c r="D2102" s="11">
        <v>0.34375</v>
      </c>
      <c r="E2102" s="8">
        <v>8</v>
      </c>
      <c r="F2102" s="11">
        <v>0.7272727272727273</v>
      </c>
      <c r="G2102" s="8">
        <v>1</v>
      </c>
      <c r="H2102" s="11">
        <v>0.09090909090909091</v>
      </c>
      <c r="I2102" s="11">
        <v>3.090909090909091</v>
      </c>
      <c r="J2102" s="11">
        <v>0.4545454545454545</v>
      </c>
      <c r="K2102" s="11">
        <v>0.5454545454545454</v>
      </c>
      <c r="L2102" s="8" t="s">
        <v>799</v>
      </c>
      <c r="M2102" s="8">
        <v>76</v>
      </c>
      <c r="N2102" s="8" t="s">
        <v>2152</v>
      </c>
      <c r="O2102" s="8" t="s">
        <v>2153</v>
      </c>
      <c r="P2102" s="8">
        <v>9</v>
      </c>
    </row>
    <row r="2103" spans="1:16" ht="25" customHeight="1">
      <c r="A2103" s="12">
        <v>5</v>
      </c>
      <c r="B2103" s="8" t="s">
        <v>54</v>
      </c>
      <c r="C2103" s="8">
        <v>1</v>
      </c>
      <c r="D2103" s="11">
        <v>0.03125</v>
      </c>
      <c r="E2103" s="8">
        <v>0</v>
      </c>
      <c r="F2103" s="8">
        <v>0</v>
      </c>
      <c r="G2103" s="8">
        <v>0</v>
      </c>
      <c r="H2103" s="8">
        <v>0</v>
      </c>
      <c r="I2103" s="8">
        <v>6</v>
      </c>
      <c r="J2103" s="8">
        <v>1</v>
      </c>
      <c r="K2103" s="8">
        <v>0</v>
      </c>
      <c r="L2103" s="8" t="s">
        <v>791</v>
      </c>
      <c r="M2103" s="8">
        <v>24</v>
      </c>
      <c r="N2103" s="8" t="s">
        <v>2165</v>
      </c>
      <c r="O2103" s="8" t="s">
        <v>2166</v>
      </c>
      <c r="P2103" s="8">
        <v>23</v>
      </c>
    </row>
    <row r="2104" spans="1:16" ht="25" customHeight="1">
      <c r="A2104" s="12">
        <v>6</v>
      </c>
      <c r="B2104" s="8" t="s">
        <v>88</v>
      </c>
      <c r="C2104" s="8">
        <v>1</v>
      </c>
      <c r="D2104" s="11">
        <v>0.03125</v>
      </c>
      <c r="E2104" s="8">
        <v>0</v>
      </c>
      <c r="F2104" s="8">
        <v>0</v>
      </c>
      <c r="G2104" s="8">
        <v>0</v>
      </c>
      <c r="H2104" s="8">
        <v>0</v>
      </c>
      <c r="I2104" s="8">
        <v>4</v>
      </c>
      <c r="J2104" s="8">
        <v>1</v>
      </c>
      <c r="K2104" s="8">
        <v>0</v>
      </c>
      <c r="L2104" s="8" t="s">
        <v>791</v>
      </c>
      <c r="M2104" s="8">
        <v>26</v>
      </c>
      <c r="N2104" s="8" t="s">
        <v>2165</v>
      </c>
      <c r="O2104" s="8" t="s">
        <v>2166</v>
      </c>
      <c r="P2104" s="8">
        <v>31</v>
      </c>
    </row>
    <row r="2105" spans="1:16" ht="25" customHeight="1">
      <c r="A2105" s="12">
        <v>7</v>
      </c>
      <c r="B2105" s="8" t="s">
        <v>35</v>
      </c>
      <c r="C2105" s="8">
        <v>6</v>
      </c>
      <c r="D2105" s="11">
        <v>0.1875</v>
      </c>
      <c r="E2105" s="8">
        <v>3</v>
      </c>
      <c r="F2105" s="11">
        <v>0.5</v>
      </c>
      <c r="G2105" s="8">
        <v>1</v>
      </c>
      <c r="H2105" s="11">
        <v>0.1666666666666667</v>
      </c>
      <c r="I2105" s="11">
        <v>5.833333333333333</v>
      </c>
      <c r="J2105" s="11">
        <v>0.6666666666666666</v>
      </c>
      <c r="K2105" s="11">
        <v>0.3333333333333333</v>
      </c>
      <c r="L2105" s="8" t="s">
        <v>795</v>
      </c>
      <c r="M2105" s="11">
        <v>55.8</v>
      </c>
      <c r="N2105" s="8" t="s">
        <v>2137</v>
      </c>
      <c r="O2105" s="8" t="s">
        <v>2151</v>
      </c>
      <c r="P2105" s="8">
        <v>47</v>
      </c>
    </row>
    <row r="2106" spans="1:16" ht="25" customHeight="1">
      <c r="A2106" s="12">
        <v>8</v>
      </c>
      <c r="B2106" s="8" t="s">
        <v>51</v>
      </c>
      <c r="C2106" s="8">
        <v>2</v>
      </c>
      <c r="D2106" s="11">
        <v>0.0625</v>
      </c>
      <c r="E2106" s="8">
        <v>1</v>
      </c>
      <c r="F2106" s="11">
        <v>0.5</v>
      </c>
      <c r="G2106" s="8">
        <v>1</v>
      </c>
      <c r="H2106" s="11">
        <v>0.5</v>
      </c>
      <c r="I2106" s="11">
        <v>9.5</v>
      </c>
      <c r="J2106" s="8">
        <v>0</v>
      </c>
      <c r="K2106" s="8">
        <v>1</v>
      </c>
      <c r="L2106" s="8" t="s">
        <v>791</v>
      </c>
      <c r="M2106" s="11">
        <v>45.5</v>
      </c>
      <c r="N2106" s="8" t="s">
        <v>2161</v>
      </c>
      <c r="O2106" s="8" t="s">
        <v>2162</v>
      </c>
      <c r="P2106" s="8">
        <v>79</v>
      </c>
    </row>
    <row r="2107" spans="1:16" ht="25" customHeight="1">
      <c r="A2107" s="12">
        <v>9</v>
      </c>
      <c r="B2107" s="8" t="s">
        <v>30</v>
      </c>
      <c r="C2107" s="8">
        <v>1</v>
      </c>
      <c r="D2107" s="11">
        <v>0.03125</v>
      </c>
      <c r="E2107" s="8">
        <v>1</v>
      </c>
      <c r="F2107" s="8">
        <v>1</v>
      </c>
      <c r="G2107" s="8">
        <v>0</v>
      </c>
      <c r="H2107" s="8">
        <v>0</v>
      </c>
      <c r="I2107" s="8">
        <v>1</v>
      </c>
      <c r="J2107" s="8">
        <v>1</v>
      </c>
      <c r="K2107" s="8">
        <v>0</v>
      </c>
      <c r="L2107" s="8" t="s">
        <v>791</v>
      </c>
      <c r="M2107" s="8">
        <v>99</v>
      </c>
      <c r="N2107" s="8" t="s">
        <v>2165</v>
      </c>
      <c r="O2107" s="8" t="s">
        <v>2166</v>
      </c>
      <c r="P2107" s="8">
        <v>84</v>
      </c>
    </row>
    <row r="2108" spans="1:16" ht="25" customHeight="1">
      <c r="A2108" s="12">
        <v>10</v>
      </c>
      <c r="B2108" s="8" t="s">
        <v>50</v>
      </c>
      <c r="C2108" s="8">
        <v>1</v>
      </c>
      <c r="D2108" s="11">
        <v>0.03125</v>
      </c>
      <c r="E2108" s="8">
        <v>1</v>
      </c>
      <c r="F2108" s="8">
        <v>1</v>
      </c>
      <c r="G2108" s="8">
        <v>0</v>
      </c>
      <c r="H2108" s="8">
        <v>0</v>
      </c>
      <c r="I2108" s="8">
        <v>3</v>
      </c>
      <c r="J2108" s="8">
        <v>0</v>
      </c>
      <c r="K2108" s="8">
        <v>1</v>
      </c>
      <c r="L2108" s="8" t="s">
        <v>791</v>
      </c>
      <c r="M2108" s="8">
        <v>97</v>
      </c>
      <c r="N2108" s="8" t="s">
        <v>2165</v>
      </c>
      <c r="O2108" s="8" t="s">
        <v>2166</v>
      </c>
      <c r="P2108" s="8">
        <v>96</v>
      </c>
    </row>
    <row r="2109" spans="1:16" ht="25" customHeight="1">
      <c r="A2109" s="12">
        <v>11</v>
      </c>
      <c r="B2109" s="8" t="s">
        <v>84</v>
      </c>
      <c r="C2109" s="8">
        <v>2</v>
      </c>
      <c r="D2109" s="11">
        <v>0.0625</v>
      </c>
      <c r="E2109" s="8">
        <v>1</v>
      </c>
      <c r="F2109" s="11">
        <v>0.5</v>
      </c>
      <c r="G2109" s="8">
        <v>1</v>
      </c>
      <c r="H2109" s="11">
        <v>0.5</v>
      </c>
      <c r="I2109" s="11">
        <v>22.5</v>
      </c>
      <c r="J2109" s="11">
        <v>0.5</v>
      </c>
      <c r="K2109" s="11">
        <v>0.5</v>
      </c>
      <c r="L2109" s="8" t="s">
        <v>791</v>
      </c>
      <c r="M2109" s="8">
        <v>45</v>
      </c>
      <c r="N2109" s="8" t="s">
        <v>2161</v>
      </c>
      <c r="O2109" s="8" t="s">
        <v>2162</v>
      </c>
      <c r="P2109" s="8">
        <v>153</v>
      </c>
    </row>
    <row r="2110" spans="1:16" ht="25" customHeight="1">
      <c r="A2110" s="12">
        <v>12</v>
      </c>
      <c r="B2110" s="8" t="s">
        <v>69</v>
      </c>
      <c r="C2110" s="8">
        <v>1</v>
      </c>
      <c r="D2110" s="11">
        <v>0.03125</v>
      </c>
      <c r="E2110" s="8">
        <v>0</v>
      </c>
      <c r="F2110" s="8">
        <v>0</v>
      </c>
      <c r="G2110" s="8">
        <v>1</v>
      </c>
      <c r="H2110" s="8">
        <v>1</v>
      </c>
      <c r="I2110" s="8">
        <v>19</v>
      </c>
      <c r="J2110" s="8">
        <v>1</v>
      </c>
      <c r="K2110" s="8">
        <v>0</v>
      </c>
      <c r="L2110" s="8" t="s">
        <v>791</v>
      </c>
      <c r="M2110" s="8">
        <v>0</v>
      </c>
      <c r="N2110" s="8" t="s">
        <v>2161</v>
      </c>
      <c r="O2110" s="8" t="s">
        <v>2162</v>
      </c>
      <c r="P2110" s="8">
        <v>208</v>
      </c>
    </row>
    <row r="2111" spans="1:16" ht="25" customHeight="1">
      <c r="A2111" s="12">
        <v>13</v>
      </c>
      <c r="B2111" s="8" t="s">
        <v>117</v>
      </c>
      <c r="C2111" s="8">
        <v>1</v>
      </c>
      <c r="D2111" s="11">
        <v>0.03125</v>
      </c>
      <c r="E2111" s="8">
        <v>0</v>
      </c>
      <c r="F2111" s="8">
        <v>0</v>
      </c>
      <c r="G2111" s="8">
        <v>1</v>
      </c>
      <c r="H2111" s="8">
        <v>1</v>
      </c>
      <c r="I2111" s="8">
        <v>16</v>
      </c>
      <c r="J2111" s="8">
        <v>0</v>
      </c>
      <c r="K2111" s="8">
        <v>1</v>
      </c>
      <c r="L2111" s="8" t="s">
        <v>791</v>
      </c>
      <c r="M2111" s="8">
        <v>0</v>
      </c>
      <c r="N2111" s="8" t="s">
        <v>2161</v>
      </c>
      <c r="O2111" s="8" t="s">
        <v>2162</v>
      </c>
      <c r="P2111" s="8">
        <v>220</v>
      </c>
    </row>
    <row r="2112" spans="1:16" ht="25" customHeight="1">
      <c r="A2112" s="12">
        <v>14</v>
      </c>
      <c r="B2112" s="8" t="s">
        <v>27</v>
      </c>
      <c r="C2112" s="8">
        <v>2</v>
      </c>
      <c r="D2112" s="11">
        <v>0.0625</v>
      </c>
      <c r="E2112" s="8">
        <v>1</v>
      </c>
      <c r="F2112" s="11">
        <v>0.5</v>
      </c>
      <c r="G2112" s="8">
        <v>1</v>
      </c>
      <c r="H2112" s="11">
        <v>0.5</v>
      </c>
      <c r="I2112" s="11">
        <v>11.5</v>
      </c>
      <c r="J2112" s="11">
        <v>0.5</v>
      </c>
      <c r="K2112" s="11">
        <v>0.5</v>
      </c>
      <c r="L2112" s="8" t="s">
        <v>791</v>
      </c>
      <c r="M2112" s="8">
        <v>45</v>
      </c>
      <c r="N2112" s="8" t="s">
        <v>2161</v>
      </c>
      <c r="O2112" s="8" t="s">
        <v>2162</v>
      </c>
      <c r="P2112" s="8">
        <v>257</v>
      </c>
    </row>
    <row r="2113" spans="1:16" ht="25" customHeight="1">
      <c r="A2113" s="12">
        <v>15</v>
      </c>
      <c r="B2113" s="8" t="s">
        <v>95</v>
      </c>
      <c r="C2113" s="8">
        <v>3</v>
      </c>
      <c r="D2113" s="11">
        <v>0.09375</v>
      </c>
      <c r="E2113" s="8">
        <v>1</v>
      </c>
      <c r="F2113" s="11">
        <v>0.3333333333333333</v>
      </c>
      <c r="G2113" s="8">
        <v>0</v>
      </c>
      <c r="H2113" s="8">
        <v>0</v>
      </c>
      <c r="I2113" s="11">
        <v>2.666666666666667</v>
      </c>
      <c r="J2113" s="8">
        <v>1</v>
      </c>
      <c r="K2113" s="8">
        <v>0</v>
      </c>
      <c r="L2113" s="8" t="s">
        <v>801</v>
      </c>
      <c r="M2113" s="11">
        <v>50.7</v>
      </c>
      <c r="N2113" s="8" t="s">
        <v>2180</v>
      </c>
      <c r="O2113" s="8" t="s">
        <v>2168</v>
      </c>
      <c r="P2113" s="8">
        <v>274</v>
      </c>
    </row>
    <row r="2119" spans="1:16" ht="27" customHeight="1">
      <c r="A2119" s="5" t="s">
        <v>2199</v>
      </c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</row>
    <row r="2120" spans="1:16" ht="36" customHeight="1">
      <c r="A2120" s="9" t="s">
        <v>683</v>
      </c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</row>
    <row r="2121" spans="1:16" ht="25" customHeight="1">
      <c r="A2121" s="6" t="s">
        <v>684</v>
      </c>
    </row>
    <row r="2122" spans="1:16" ht="25" customHeight="1">
      <c r="A2122" s="12">
        <v>1</v>
      </c>
      <c r="B2122" s="8" t="s">
        <v>2200</v>
      </c>
    </row>
    <row r="2123" spans="1:16" ht="25" customHeight="1">
      <c r="A2123" s="12">
        <v>2</v>
      </c>
      <c r="B2123" s="8" t="s">
        <v>2174</v>
      </c>
      <c r="E2123" s="8" t="s">
        <v>2121</v>
      </c>
      <c r="H2123" s="8" t="s">
        <v>2072</v>
      </c>
      <c r="K2123" s="8" t="s">
        <v>2122</v>
      </c>
      <c r="M2123" s="8" t="s">
        <v>2175</v>
      </c>
    </row>
    <row r="2124" spans="1:16" ht="25" customHeight="1">
      <c r="A2124" s="12">
        <v>3</v>
      </c>
      <c r="B2124" s="8" t="s">
        <v>2176</v>
      </c>
      <c r="C2124" s="8" t="s">
        <v>2091</v>
      </c>
      <c r="D2124" s="8" t="s">
        <v>690</v>
      </c>
      <c r="E2124" s="8" t="s">
        <v>2130</v>
      </c>
      <c r="F2124" s="8" t="s">
        <v>2132</v>
      </c>
      <c r="G2124" s="8" t="s">
        <v>2133</v>
      </c>
      <c r="H2124" s="8" t="s">
        <v>784</v>
      </c>
      <c r="I2124" s="8" t="s">
        <v>2135</v>
      </c>
      <c r="J2124" s="8" t="s">
        <v>2146</v>
      </c>
      <c r="K2124" s="8" t="s">
        <v>2147</v>
      </c>
      <c r="L2124" s="8" t="s">
        <v>786</v>
      </c>
      <c r="M2124" s="8" t="s">
        <v>2134</v>
      </c>
      <c r="N2124" s="8" t="s">
        <v>2136</v>
      </c>
      <c r="O2124" s="8" t="s">
        <v>2139</v>
      </c>
      <c r="P2124" s="8" t="s">
        <v>1946</v>
      </c>
    </row>
    <row r="2125" spans="1:16" ht="25" customHeight="1">
      <c r="A2125" s="12">
        <v>4</v>
      </c>
      <c r="B2125" s="8" t="s">
        <v>44</v>
      </c>
      <c r="C2125" s="8">
        <v>3</v>
      </c>
      <c r="D2125" s="11">
        <v>0.2727272727272727</v>
      </c>
      <c r="E2125" s="8">
        <v>0</v>
      </c>
      <c r="F2125" s="8">
        <v>0</v>
      </c>
      <c r="G2125" s="8">
        <v>0</v>
      </c>
      <c r="H2125" s="8">
        <v>0</v>
      </c>
      <c r="I2125" s="11">
        <v>5.333333333333333</v>
      </c>
      <c r="J2125" s="8">
        <v>1</v>
      </c>
      <c r="K2125" s="8">
        <v>0</v>
      </c>
      <c r="L2125" s="8" t="s">
        <v>801</v>
      </c>
      <c r="M2125" s="11">
        <v>24.7</v>
      </c>
      <c r="N2125" s="8" t="s">
        <v>2167</v>
      </c>
      <c r="O2125" s="8" t="s">
        <v>2168</v>
      </c>
      <c r="P2125" s="8">
        <v>5</v>
      </c>
    </row>
    <row r="2126" spans="1:16" ht="25" customHeight="1">
      <c r="A2126" s="12">
        <v>5</v>
      </c>
      <c r="B2126" s="8" t="s">
        <v>69</v>
      </c>
      <c r="C2126" s="8">
        <v>1</v>
      </c>
      <c r="D2126" s="11">
        <v>0.09090909090909091</v>
      </c>
      <c r="E2126" s="8">
        <v>1</v>
      </c>
      <c r="F2126" s="8">
        <v>1</v>
      </c>
      <c r="G2126" s="8">
        <v>0</v>
      </c>
      <c r="H2126" s="8">
        <v>0</v>
      </c>
      <c r="I2126" s="8">
        <v>0</v>
      </c>
      <c r="J2126" s="8">
        <v>1</v>
      </c>
      <c r="K2126" s="8">
        <v>0</v>
      </c>
      <c r="L2126" s="8" t="s">
        <v>791</v>
      </c>
      <c r="M2126" s="8">
        <v>100</v>
      </c>
      <c r="N2126" s="8" t="s">
        <v>2165</v>
      </c>
      <c r="O2126" s="8" t="s">
        <v>2166</v>
      </c>
      <c r="P2126" s="8">
        <v>60</v>
      </c>
    </row>
    <row r="2127" spans="1:16" ht="25" customHeight="1">
      <c r="A2127" s="12">
        <v>6</v>
      </c>
      <c r="B2127" s="8" t="s">
        <v>60</v>
      </c>
      <c r="C2127" s="8">
        <v>1</v>
      </c>
      <c r="D2127" s="11">
        <v>0.09090909090909091</v>
      </c>
      <c r="E2127" s="8">
        <v>0</v>
      </c>
      <c r="F2127" s="8">
        <v>0</v>
      </c>
      <c r="G2127" s="8">
        <v>1</v>
      </c>
      <c r="H2127" s="8">
        <v>1</v>
      </c>
      <c r="I2127" s="8">
        <v>16</v>
      </c>
      <c r="J2127" s="8">
        <v>1</v>
      </c>
      <c r="K2127" s="8">
        <v>0</v>
      </c>
      <c r="L2127" s="8" t="s">
        <v>791</v>
      </c>
      <c r="M2127" s="8">
        <v>0</v>
      </c>
      <c r="N2127" s="8" t="s">
        <v>2161</v>
      </c>
      <c r="O2127" s="8" t="s">
        <v>2162</v>
      </c>
      <c r="P2127" s="8">
        <v>104</v>
      </c>
    </row>
    <row r="2128" spans="1:16" ht="25" customHeight="1">
      <c r="A2128" s="12">
        <v>7</v>
      </c>
      <c r="B2128" s="8" t="s">
        <v>56</v>
      </c>
      <c r="C2128" s="8">
        <v>2</v>
      </c>
      <c r="D2128" s="11">
        <v>0.1818181818181818</v>
      </c>
      <c r="E2128" s="8">
        <v>1</v>
      </c>
      <c r="F2128" s="11">
        <v>0.5</v>
      </c>
      <c r="G2128" s="8">
        <v>0</v>
      </c>
      <c r="H2128" s="8">
        <v>0</v>
      </c>
      <c r="I2128" s="11">
        <v>1.5</v>
      </c>
      <c r="J2128" s="8">
        <v>1</v>
      </c>
      <c r="K2128" s="8">
        <v>0</v>
      </c>
      <c r="L2128" s="8" t="s">
        <v>791</v>
      </c>
      <c r="M2128" s="11">
        <v>63.5</v>
      </c>
      <c r="N2128" s="8" t="s">
        <v>2165</v>
      </c>
      <c r="O2128" s="8" t="s">
        <v>2166</v>
      </c>
      <c r="P2128" s="8">
        <v>129</v>
      </c>
    </row>
    <row r="2129" spans="1:16" ht="25" customHeight="1">
      <c r="A2129" s="12">
        <v>8</v>
      </c>
      <c r="B2129" s="8" t="s">
        <v>77</v>
      </c>
      <c r="C2129" s="8">
        <v>1</v>
      </c>
      <c r="D2129" s="11">
        <v>0.09090909090909091</v>
      </c>
      <c r="E2129" s="8">
        <v>1</v>
      </c>
      <c r="F2129" s="8">
        <v>1</v>
      </c>
      <c r="G2129" s="8">
        <v>0</v>
      </c>
      <c r="H2129" s="8">
        <v>0</v>
      </c>
      <c r="I2129" s="8">
        <v>-1</v>
      </c>
      <c r="J2129" s="8">
        <v>1</v>
      </c>
      <c r="K2129" s="8">
        <v>0</v>
      </c>
      <c r="L2129" s="8" t="s">
        <v>791</v>
      </c>
      <c r="M2129" s="8">
        <v>100</v>
      </c>
      <c r="N2129" s="8" t="s">
        <v>2165</v>
      </c>
      <c r="O2129" s="8" t="s">
        <v>2166</v>
      </c>
      <c r="P2129" s="8">
        <v>182</v>
      </c>
    </row>
    <row r="2130" spans="1:16" ht="25" customHeight="1">
      <c r="A2130" s="12">
        <v>9</v>
      </c>
      <c r="B2130" s="8" t="s">
        <v>32</v>
      </c>
      <c r="C2130" s="8">
        <v>1</v>
      </c>
      <c r="D2130" s="11">
        <v>0.09090909090909091</v>
      </c>
      <c r="E2130" s="8">
        <v>0</v>
      </c>
      <c r="F2130" s="8">
        <v>0</v>
      </c>
      <c r="G2130" s="8">
        <v>0</v>
      </c>
      <c r="H2130" s="8">
        <v>0</v>
      </c>
      <c r="I2130" s="8">
        <v>8</v>
      </c>
      <c r="J2130" s="8">
        <v>1</v>
      </c>
      <c r="K2130" s="8">
        <v>0</v>
      </c>
      <c r="L2130" s="8" t="s">
        <v>791</v>
      </c>
      <c r="M2130" s="8">
        <v>22</v>
      </c>
      <c r="N2130" s="8" t="s">
        <v>2165</v>
      </c>
      <c r="O2130" s="8" t="s">
        <v>2166</v>
      </c>
      <c r="P2130" s="8">
        <v>197</v>
      </c>
    </row>
    <row r="2131" spans="1:16" ht="25" customHeight="1">
      <c r="A2131" s="12">
        <v>10</v>
      </c>
      <c r="B2131" s="8" t="s">
        <v>46</v>
      </c>
      <c r="C2131" s="8">
        <v>1</v>
      </c>
      <c r="D2131" s="11">
        <v>0.09090909090909091</v>
      </c>
      <c r="E2131" s="8">
        <v>0</v>
      </c>
      <c r="F2131" s="8">
        <v>0</v>
      </c>
      <c r="G2131" s="8">
        <v>0</v>
      </c>
      <c r="H2131" s="8">
        <v>0</v>
      </c>
      <c r="I2131" s="8">
        <v>7</v>
      </c>
      <c r="J2131" s="8">
        <v>0</v>
      </c>
      <c r="K2131" s="8">
        <v>1</v>
      </c>
      <c r="L2131" s="8" t="s">
        <v>791</v>
      </c>
      <c r="M2131" s="8">
        <v>23</v>
      </c>
      <c r="N2131" s="8" t="s">
        <v>2165</v>
      </c>
      <c r="O2131" s="8" t="s">
        <v>2166</v>
      </c>
      <c r="P2131" s="8">
        <v>199</v>
      </c>
    </row>
    <row r="2132" spans="1:16" ht="25" customHeight="1">
      <c r="A2132" s="12">
        <v>11</v>
      </c>
      <c r="B2132" s="8" t="s">
        <v>53</v>
      </c>
      <c r="C2132" s="8">
        <v>1</v>
      </c>
      <c r="D2132" s="11">
        <v>0.09090909090909091</v>
      </c>
      <c r="E2132" s="8">
        <v>0</v>
      </c>
      <c r="F2132" s="8">
        <v>0</v>
      </c>
      <c r="G2132" s="8">
        <v>0</v>
      </c>
      <c r="H2132" s="8">
        <v>0</v>
      </c>
      <c r="I2132" s="8">
        <v>11</v>
      </c>
      <c r="J2132" s="8">
        <v>1</v>
      </c>
      <c r="K2132" s="8">
        <v>0</v>
      </c>
      <c r="L2132" s="8" t="s">
        <v>791</v>
      </c>
      <c r="M2132" s="8">
        <v>20</v>
      </c>
      <c r="N2132" s="8" t="s">
        <v>2165</v>
      </c>
      <c r="O2132" s="8" t="s">
        <v>2166</v>
      </c>
      <c r="P2132" s="8">
        <v>202</v>
      </c>
    </row>
    <row r="2138" spans="1:16" ht="27" customHeight="1">
      <c r="A2138" s="5" t="s">
        <v>2201</v>
      </c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</row>
    <row r="2139" spans="1:16" ht="36" customHeight="1">
      <c r="A2139" s="9" t="s">
        <v>683</v>
      </c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</row>
    <row r="2140" spans="1:16" ht="25" customHeight="1">
      <c r="A2140" s="6" t="s">
        <v>684</v>
      </c>
    </row>
    <row r="2141" spans="1:16" ht="25" customHeight="1">
      <c r="A2141" s="12">
        <v>1</v>
      </c>
      <c r="B2141" s="8" t="s">
        <v>2202</v>
      </c>
    </row>
    <row r="2142" spans="1:16" ht="25" customHeight="1">
      <c r="A2142" s="12">
        <v>2</v>
      </c>
      <c r="B2142" s="8" t="s">
        <v>2174</v>
      </c>
      <c r="E2142" s="8" t="s">
        <v>2121</v>
      </c>
      <c r="H2142" s="8" t="s">
        <v>2072</v>
      </c>
      <c r="K2142" s="8" t="s">
        <v>2122</v>
      </c>
      <c r="M2142" s="8" t="s">
        <v>2175</v>
      </c>
    </row>
    <row r="2143" spans="1:16" ht="25" customHeight="1">
      <c r="A2143" s="12">
        <v>3</v>
      </c>
      <c r="B2143" s="8" t="s">
        <v>2176</v>
      </c>
      <c r="C2143" s="8" t="s">
        <v>2091</v>
      </c>
      <c r="D2143" s="8" t="s">
        <v>690</v>
      </c>
      <c r="E2143" s="8" t="s">
        <v>2130</v>
      </c>
      <c r="F2143" s="8" t="s">
        <v>2132</v>
      </c>
      <c r="G2143" s="8" t="s">
        <v>2133</v>
      </c>
      <c r="H2143" s="8" t="s">
        <v>784</v>
      </c>
      <c r="I2143" s="8" t="s">
        <v>2135</v>
      </c>
      <c r="J2143" s="8" t="s">
        <v>2146</v>
      </c>
      <c r="K2143" s="8" t="s">
        <v>2147</v>
      </c>
      <c r="L2143" s="8" t="s">
        <v>786</v>
      </c>
      <c r="M2143" s="8" t="s">
        <v>2134</v>
      </c>
      <c r="N2143" s="8" t="s">
        <v>2136</v>
      </c>
      <c r="O2143" s="8" t="s">
        <v>2139</v>
      </c>
      <c r="P2143" s="8" t="s">
        <v>1946</v>
      </c>
    </row>
    <row r="2144" spans="1:16" ht="25" customHeight="1">
      <c r="A2144" s="12">
        <v>4</v>
      </c>
      <c r="B2144" s="8" t="s">
        <v>44</v>
      </c>
      <c r="C2144" s="8">
        <v>3</v>
      </c>
      <c r="D2144" s="11">
        <v>0.1153846153846154</v>
      </c>
      <c r="E2144" s="8">
        <v>0</v>
      </c>
      <c r="F2144" s="8">
        <v>0</v>
      </c>
      <c r="G2144" s="8">
        <v>1</v>
      </c>
      <c r="H2144" s="11">
        <v>0.3333333333333333</v>
      </c>
      <c r="I2144" s="11">
        <v>21.33333333333333</v>
      </c>
      <c r="J2144" s="11">
        <v>0.3333333333333333</v>
      </c>
      <c r="K2144" s="11">
        <v>0.6666666666666666</v>
      </c>
      <c r="L2144" s="8" t="s">
        <v>801</v>
      </c>
      <c r="M2144" s="11">
        <v>13.3</v>
      </c>
      <c r="N2144" s="8" t="s">
        <v>2167</v>
      </c>
      <c r="O2144" s="8" t="s">
        <v>2168</v>
      </c>
      <c r="P2144" s="8">
        <v>4</v>
      </c>
    </row>
    <row r="2145" spans="1:16" ht="25" customHeight="1">
      <c r="A2145" s="12">
        <v>5</v>
      </c>
      <c r="B2145" s="8" t="s">
        <v>68</v>
      </c>
      <c r="C2145" s="8">
        <v>1</v>
      </c>
      <c r="D2145" s="11">
        <v>0.03846153846153846</v>
      </c>
      <c r="E2145" s="8">
        <v>0</v>
      </c>
      <c r="F2145" s="8">
        <v>0</v>
      </c>
      <c r="G2145" s="8">
        <v>0</v>
      </c>
      <c r="H2145" s="8">
        <v>0</v>
      </c>
      <c r="I2145" s="8">
        <v>8</v>
      </c>
      <c r="J2145" s="8">
        <v>0</v>
      </c>
      <c r="K2145" s="8">
        <v>0</v>
      </c>
      <c r="L2145" s="8" t="s">
        <v>791</v>
      </c>
      <c r="M2145" s="8">
        <v>22</v>
      </c>
      <c r="N2145" s="8" t="s">
        <v>2165</v>
      </c>
      <c r="O2145" s="8" t="s">
        <v>2166</v>
      </c>
      <c r="P2145" s="8">
        <v>50</v>
      </c>
    </row>
    <row r="2146" spans="1:16" ht="25" customHeight="1">
      <c r="A2146" s="12">
        <v>6</v>
      </c>
      <c r="B2146" s="8" t="s">
        <v>53</v>
      </c>
      <c r="C2146" s="8">
        <v>2</v>
      </c>
      <c r="D2146" s="11">
        <v>0.07692307692307693</v>
      </c>
      <c r="E2146" s="8">
        <v>1</v>
      </c>
      <c r="F2146" s="11">
        <v>0.5</v>
      </c>
      <c r="G2146" s="8">
        <v>0</v>
      </c>
      <c r="H2146" s="8">
        <v>0</v>
      </c>
      <c r="I2146" s="8">
        <v>5</v>
      </c>
      <c r="J2146" s="11">
        <v>0.5</v>
      </c>
      <c r="K2146" s="11">
        <v>0.5</v>
      </c>
      <c r="L2146" s="8" t="s">
        <v>791</v>
      </c>
      <c r="M2146" s="8">
        <v>60</v>
      </c>
      <c r="N2146" s="8" t="s">
        <v>2165</v>
      </c>
      <c r="O2146" s="8" t="s">
        <v>2166</v>
      </c>
      <c r="P2146" s="8">
        <v>53</v>
      </c>
    </row>
    <row r="2147" spans="1:16" ht="25" customHeight="1">
      <c r="A2147" s="12">
        <v>7</v>
      </c>
      <c r="B2147" s="8" t="s">
        <v>46</v>
      </c>
      <c r="C2147" s="8">
        <v>1</v>
      </c>
      <c r="D2147" s="11">
        <v>0.03846153846153846</v>
      </c>
      <c r="E2147" s="8">
        <v>1</v>
      </c>
      <c r="F2147" s="8">
        <v>1</v>
      </c>
      <c r="G2147" s="8">
        <v>0</v>
      </c>
      <c r="H2147" s="8">
        <v>0</v>
      </c>
      <c r="I2147" s="8">
        <v>-4</v>
      </c>
      <c r="J2147" s="8">
        <v>0</v>
      </c>
      <c r="K2147" s="8">
        <v>1</v>
      </c>
      <c r="L2147" s="8" t="s">
        <v>791</v>
      </c>
      <c r="M2147" s="8">
        <v>100</v>
      </c>
      <c r="N2147" s="8" t="s">
        <v>2165</v>
      </c>
      <c r="O2147" s="8" t="s">
        <v>2166</v>
      </c>
      <c r="P2147" s="8">
        <v>65</v>
      </c>
    </row>
    <row r="2148" spans="1:16" ht="25" customHeight="1">
      <c r="A2148" s="12">
        <v>8</v>
      </c>
      <c r="B2148" s="8" t="s">
        <v>56</v>
      </c>
      <c r="C2148" s="8">
        <v>1</v>
      </c>
      <c r="D2148" s="11">
        <v>0.03846153846153846</v>
      </c>
      <c r="E2148" s="8">
        <v>0</v>
      </c>
      <c r="F2148" s="8">
        <v>0</v>
      </c>
      <c r="G2148" s="8">
        <v>0</v>
      </c>
      <c r="H2148" s="8">
        <v>0</v>
      </c>
      <c r="I2148" s="8">
        <v>4</v>
      </c>
      <c r="J2148" s="8">
        <v>1</v>
      </c>
      <c r="K2148" s="8">
        <v>0</v>
      </c>
      <c r="L2148" s="8" t="s">
        <v>791</v>
      </c>
      <c r="M2148" s="8">
        <v>26</v>
      </c>
      <c r="N2148" s="8" t="s">
        <v>2165</v>
      </c>
      <c r="O2148" s="8" t="s">
        <v>2166</v>
      </c>
      <c r="P2148" s="8">
        <v>70</v>
      </c>
    </row>
    <row r="2149" spans="1:16" ht="25" customHeight="1">
      <c r="A2149" s="12">
        <v>9</v>
      </c>
      <c r="B2149" s="8" t="s">
        <v>37</v>
      </c>
      <c r="C2149" s="8">
        <v>1</v>
      </c>
      <c r="D2149" s="11">
        <v>0.03846153846153846</v>
      </c>
      <c r="E2149" s="8">
        <v>0</v>
      </c>
      <c r="F2149" s="8">
        <v>0</v>
      </c>
      <c r="G2149" s="8">
        <v>0</v>
      </c>
      <c r="H2149" s="8">
        <v>0</v>
      </c>
      <c r="I2149" s="8">
        <v>5</v>
      </c>
      <c r="J2149" s="8">
        <v>0</v>
      </c>
      <c r="K2149" s="8">
        <v>0</v>
      </c>
      <c r="L2149" s="8" t="s">
        <v>791</v>
      </c>
      <c r="M2149" s="8">
        <v>25</v>
      </c>
      <c r="N2149" s="8" t="s">
        <v>2165</v>
      </c>
      <c r="O2149" s="8" t="s">
        <v>2166</v>
      </c>
      <c r="P2149" s="8">
        <v>91</v>
      </c>
    </row>
    <row r="2150" spans="1:16" ht="25" customHeight="1">
      <c r="A2150" s="12">
        <v>10</v>
      </c>
      <c r="B2150" s="8" t="s">
        <v>47</v>
      </c>
      <c r="C2150" s="8">
        <v>1</v>
      </c>
      <c r="D2150" s="11">
        <v>0.03846153846153846</v>
      </c>
      <c r="E2150" s="8">
        <v>0</v>
      </c>
      <c r="F2150" s="8">
        <v>0</v>
      </c>
      <c r="G2150" s="8">
        <v>1</v>
      </c>
      <c r="H2150" s="8">
        <v>1</v>
      </c>
      <c r="I2150" s="8">
        <v>28</v>
      </c>
      <c r="J2150" s="8">
        <v>0</v>
      </c>
      <c r="K2150" s="8">
        <v>0</v>
      </c>
      <c r="L2150" s="8" t="s">
        <v>791</v>
      </c>
      <c r="M2150" s="8">
        <v>0</v>
      </c>
      <c r="N2150" s="8" t="s">
        <v>2161</v>
      </c>
      <c r="O2150" s="8" t="s">
        <v>2162</v>
      </c>
      <c r="P2150" s="8">
        <v>92</v>
      </c>
    </row>
    <row r="2151" spans="1:16" ht="25" customHeight="1">
      <c r="A2151" s="12">
        <v>11</v>
      </c>
      <c r="B2151" s="8" t="s">
        <v>60</v>
      </c>
      <c r="C2151" s="8">
        <v>2</v>
      </c>
      <c r="D2151" s="11">
        <v>0.07692307692307693</v>
      </c>
      <c r="E2151" s="8">
        <v>1</v>
      </c>
      <c r="F2151" s="11">
        <v>0.5</v>
      </c>
      <c r="G2151" s="8">
        <v>0</v>
      </c>
      <c r="H2151" s="8">
        <v>0</v>
      </c>
      <c r="I2151" s="8">
        <v>6</v>
      </c>
      <c r="J2151" s="8">
        <v>0</v>
      </c>
      <c r="K2151" s="8">
        <v>1</v>
      </c>
      <c r="L2151" s="8" t="s">
        <v>791</v>
      </c>
      <c r="M2151" s="8">
        <v>59</v>
      </c>
      <c r="N2151" s="8" t="s">
        <v>2165</v>
      </c>
      <c r="O2151" s="8" t="s">
        <v>2166</v>
      </c>
      <c r="P2151" s="8">
        <v>103</v>
      </c>
    </row>
    <row r="2152" spans="1:16" ht="25" customHeight="1">
      <c r="A2152" s="12">
        <v>12</v>
      </c>
      <c r="B2152" s="8" t="s">
        <v>34</v>
      </c>
      <c r="C2152" s="8">
        <v>1</v>
      </c>
      <c r="D2152" s="11">
        <v>0.03846153846153846</v>
      </c>
      <c r="E2152" s="8">
        <v>0</v>
      </c>
      <c r="F2152" s="8">
        <v>0</v>
      </c>
      <c r="G2152" s="8">
        <v>1</v>
      </c>
      <c r="H2152" s="8">
        <v>1</v>
      </c>
      <c r="I2152" s="8">
        <v>12</v>
      </c>
      <c r="J2152" s="8">
        <v>1</v>
      </c>
      <c r="K2152" s="8">
        <v>0</v>
      </c>
      <c r="L2152" s="8" t="s">
        <v>791</v>
      </c>
      <c r="M2152" s="8">
        <v>0</v>
      </c>
      <c r="N2152" s="8" t="s">
        <v>2161</v>
      </c>
      <c r="O2152" s="8" t="s">
        <v>2162</v>
      </c>
      <c r="P2152" s="8">
        <v>124</v>
      </c>
    </row>
    <row r="2153" spans="1:16" ht="25" customHeight="1">
      <c r="A2153" s="12">
        <v>13</v>
      </c>
      <c r="B2153" s="8" t="s">
        <v>79</v>
      </c>
      <c r="C2153" s="8">
        <v>1</v>
      </c>
      <c r="D2153" s="11">
        <v>0.03846153846153846</v>
      </c>
      <c r="E2153" s="8">
        <v>1</v>
      </c>
      <c r="F2153" s="8">
        <v>1</v>
      </c>
      <c r="G2153" s="8">
        <v>0</v>
      </c>
      <c r="H2153" s="8">
        <v>0</v>
      </c>
      <c r="I2153" s="8">
        <v>5</v>
      </c>
      <c r="J2153" s="8">
        <v>0</v>
      </c>
      <c r="K2153" s="8">
        <v>1</v>
      </c>
      <c r="L2153" s="8" t="s">
        <v>791</v>
      </c>
      <c r="M2153" s="8">
        <v>95</v>
      </c>
      <c r="N2153" s="8" t="s">
        <v>2165</v>
      </c>
      <c r="O2153" s="8" t="s">
        <v>2166</v>
      </c>
      <c r="P2153" s="8">
        <v>127</v>
      </c>
    </row>
    <row r="2154" spans="1:16" ht="25" customHeight="1">
      <c r="A2154" s="12">
        <v>14</v>
      </c>
      <c r="B2154" s="8" t="s">
        <v>30</v>
      </c>
      <c r="C2154" s="8">
        <v>1</v>
      </c>
      <c r="D2154" s="11">
        <v>0.03846153846153846</v>
      </c>
      <c r="E2154" s="8">
        <v>0</v>
      </c>
      <c r="F2154" s="8">
        <v>0</v>
      </c>
      <c r="G2154" s="8">
        <v>0</v>
      </c>
      <c r="H2154" s="8">
        <v>0</v>
      </c>
      <c r="I2154" s="8">
        <v>1</v>
      </c>
      <c r="J2154" s="8">
        <v>0</v>
      </c>
      <c r="K2154" s="8">
        <v>0</v>
      </c>
      <c r="L2154" s="8" t="s">
        <v>791</v>
      </c>
      <c r="M2154" s="8">
        <v>29</v>
      </c>
      <c r="N2154" s="8" t="s">
        <v>2165</v>
      </c>
      <c r="O2154" s="8" t="s">
        <v>2166</v>
      </c>
      <c r="P2154" s="8">
        <v>143</v>
      </c>
    </row>
    <row r="2155" spans="1:16" ht="25" customHeight="1">
      <c r="A2155" s="12">
        <v>15</v>
      </c>
      <c r="B2155" s="8" t="s">
        <v>65</v>
      </c>
      <c r="C2155" s="8">
        <v>1</v>
      </c>
      <c r="D2155" s="11">
        <v>0.03846153846153846</v>
      </c>
      <c r="E2155" s="8">
        <v>1</v>
      </c>
      <c r="F2155" s="8">
        <v>1</v>
      </c>
      <c r="G2155" s="8">
        <v>0</v>
      </c>
      <c r="H2155" s="8">
        <v>0</v>
      </c>
      <c r="I2155" s="8">
        <v>-1</v>
      </c>
      <c r="J2155" s="8">
        <v>1</v>
      </c>
      <c r="K2155" s="8">
        <v>0</v>
      </c>
      <c r="L2155" s="8" t="s">
        <v>791</v>
      </c>
      <c r="M2155" s="8">
        <v>100</v>
      </c>
      <c r="N2155" s="8" t="s">
        <v>2165</v>
      </c>
      <c r="O2155" s="8" t="s">
        <v>2166</v>
      </c>
      <c r="P2155" s="8">
        <v>155</v>
      </c>
    </row>
    <row r="2156" spans="1:16" ht="25" customHeight="1">
      <c r="A2156" s="12">
        <v>16</v>
      </c>
      <c r="B2156" s="8" t="s">
        <v>88</v>
      </c>
      <c r="C2156" s="8">
        <v>1</v>
      </c>
      <c r="D2156" s="11">
        <v>0.03846153846153846</v>
      </c>
      <c r="E2156" s="8">
        <v>1</v>
      </c>
      <c r="F2156" s="8">
        <v>1</v>
      </c>
      <c r="G2156" s="8">
        <v>0</v>
      </c>
      <c r="H2156" s="8">
        <v>0</v>
      </c>
      <c r="I2156" s="8">
        <v>3</v>
      </c>
      <c r="J2156" s="8">
        <v>1</v>
      </c>
      <c r="K2156" s="8">
        <v>0</v>
      </c>
      <c r="L2156" s="8" t="s">
        <v>791</v>
      </c>
      <c r="M2156" s="8">
        <v>97</v>
      </c>
      <c r="N2156" s="8" t="s">
        <v>2165</v>
      </c>
      <c r="O2156" s="8" t="s">
        <v>2166</v>
      </c>
      <c r="P2156" s="8">
        <v>160</v>
      </c>
    </row>
    <row r="2157" spans="1:16" ht="25" customHeight="1">
      <c r="A2157" s="12">
        <v>17</v>
      </c>
      <c r="B2157" s="8" t="s">
        <v>102</v>
      </c>
      <c r="C2157" s="8">
        <v>1</v>
      </c>
      <c r="D2157" s="11">
        <v>0.03846153846153846</v>
      </c>
      <c r="E2157" s="8">
        <v>1</v>
      </c>
      <c r="F2157" s="8">
        <v>1</v>
      </c>
      <c r="G2157" s="8">
        <v>0</v>
      </c>
      <c r="H2157" s="8">
        <v>0</v>
      </c>
      <c r="I2157" s="8">
        <v>5</v>
      </c>
      <c r="J2157" s="8">
        <v>0</v>
      </c>
      <c r="K2157" s="8">
        <v>1</v>
      </c>
      <c r="L2157" s="8" t="s">
        <v>791</v>
      </c>
      <c r="M2157" s="8">
        <v>95</v>
      </c>
      <c r="N2157" s="8" t="s">
        <v>2165</v>
      </c>
      <c r="O2157" s="8" t="s">
        <v>2166</v>
      </c>
      <c r="P2157" s="8">
        <v>176</v>
      </c>
    </row>
    <row r="2158" spans="1:16" ht="25" customHeight="1">
      <c r="A2158" s="12">
        <v>18</v>
      </c>
      <c r="B2158" s="8" t="s">
        <v>42</v>
      </c>
      <c r="C2158" s="8">
        <v>1</v>
      </c>
      <c r="D2158" s="11">
        <v>0.03846153846153846</v>
      </c>
      <c r="E2158" s="8">
        <v>0</v>
      </c>
      <c r="F2158" s="8">
        <v>0</v>
      </c>
      <c r="G2158" s="8">
        <v>0</v>
      </c>
      <c r="H2158" s="8">
        <v>0</v>
      </c>
      <c r="I2158" s="8">
        <v>8</v>
      </c>
      <c r="J2158" s="8">
        <v>0</v>
      </c>
      <c r="K2158" s="8">
        <v>1</v>
      </c>
      <c r="L2158" s="8" t="s">
        <v>791</v>
      </c>
      <c r="M2158" s="8">
        <v>22</v>
      </c>
      <c r="N2158" s="8" t="s">
        <v>2165</v>
      </c>
      <c r="O2158" s="8" t="s">
        <v>2166</v>
      </c>
      <c r="P2158" s="8">
        <v>179</v>
      </c>
    </row>
    <row r="2159" spans="1:16" ht="25" customHeight="1">
      <c r="A2159" s="12">
        <v>19</v>
      </c>
      <c r="B2159" s="8" t="s">
        <v>80</v>
      </c>
      <c r="C2159" s="8">
        <v>1</v>
      </c>
      <c r="D2159" s="11">
        <v>0.03846153846153846</v>
      </c>
      <c r="E2159" s="8">
        <v>1</v>
      </c>
      <c r="F2159" s="8">
        <v>1</v>
      </c>
      <c r="G2159" s="8">
        <v>0</v>
      </c>
      <c r="H2159" s="8">
        <v>0</v>
      </c>
      <c r="I2159" s="8">
        <v>2</v>
      </c>
      <c r="J2159" s="8">
        <v>1</v>
      </c>
      <c r="K2159" s="8">
        <v>0</v>
      </c>
      <c r="L2159" s="8" t="s">
        <v>791</v>
      </c>
      <c r="M2159" s="8">
        <v>98</v>
      </c>
      <c r="N2159" s="8" t="s">
        <v>2165</v>
      </c>
      <c r="O2159" s="8" t="s">
        <v>2166</v>
      </c>
      <c r="P2159" s="8">
        <v>201</v>
      </c>
    </row>
    <row r="2160" spans="1:16" ht="25" customHeight="1">
      <c r="A2160" s="12">
        <v>20</v>
      </c>
      <c r="B2160" s="8" t="s">
        <v>27</v>
      </c>
      <c r="C2160" s="8">
        <v>2</v>
      </c>
      <c r="D2160" s="11">
        <v>0.07692307692307693</v>
      </c>
      <c r="E2160" s="8">
        <v>2</v>
      </c>
      <c r="F2160" s="8">
        <v>1</v>
      </c>
      <c r="G2160" s="8">
        <v>0</v>
      </c>
      <c r="H2160" s="8">
        <v>0</v>
      </c>
      <c r="I2160" s="8">
        <v>0</v>
      </c>
      <c r="J2160" s="8">
        <v>0</v>
      </c>
      <c r="K2160" s="8">
        <v>1</v>
      </c>
      <c r="L2160" s="8" t="s">
        <v>791</v>
      </c>
      <c r="M2160" s="8">
        <v>100</v>
      </c>
      <c r="N2160" s="8" t="s">
        <v>2165</v>
      </c>
      <c r="O2160" s="8" t="s">
        <v>2166</v>
      </c>
      <c r="P2160" s="8">
        <v>212</v>
      </c>
    </row>
    <row r="2161" spans="1:16" ht="25" customHeight="1">
      <c r="A2161" s="12">
        <v>21</v>
      </c>
      <c r="B2161" s="8" t="s">
        <v>35</v>
      </c>
      <c r="C2161" s="8">
        <v>2</v>
      </c>
      <c r="D2161" s="11">
        <v>0.07692307692307693</v>
      </c>
      <c r="E2161" s="8">
        <v>2</v>
      </c>
      <c r="F2161" s="8">
        <v>1</v>
      </c>
      <c r="G2161" s="8">
        <v>0</v>
      </c>
      <c r="H2161" s="8">
        <v>0</v>
      </c>
      <c r="I2161" s="11">
        <v>1.5</v>
      </c>
      <c r="J2161" s="11">
        <v>0.5</v>
      </c>
      <c r="K2161" s="11">
        <v>0.5</v>
      </c>
      <c r="L2161" s="8" t="s">
        <v>791</v>
      </c>
      <c r="M2161" s="11">
        <v>98.5</v>
      </c>
      <c r="N2161" s="8" t="s">
        <v>2165</v>
      </c>
      <c r="O2161" s="8" t="s">
        <v>2166</v>
      </c>
      <c r="P2161" s="8">
        <v>231</v>
      </c>
    </row>
    <row r="2162" spans="1:16" ht="25" customHeight="1">
      <c r="A2162" s="12">
        <v>22</v>
      </c>
      <c r="B2162" s="8" t="s">
        <v>59</v>
      </c>
      <c r="C2162" s="8">
        <v>1</v>
      </c>
      <c r="D2162" s="11">
        <v>0.03846153846153846</v>
      </c>
      <c r="E2162" s="8">
        <v>0</v>
      </c>
      <c r="F2162" s="8">
        <v>0</v>
      </c>
      <c r="G2162" s="8">
        <v>1</v>
      </c>
      <c r="H2162" s="8">
        <v>1</v>
      </c>
      <c r="I2162" s="8">
        <v>16</v>
      </c>
      <c r="J2162" s="8">
        <v>1</v>
      </c>
      <c r="K2162" s="8">
        <v>0</v>
      </c>
      <c r="L2162" s="8" t="s">
        <v>791</v>
      </c>
      <c r="M2162" s="8">
        <v>0</v>
      </c>
      <c r="N2162" s="8" t="s">
        <v>2161</v>
      </c>
      <c r="O2162" s="8" t="s">
        <v>2162</v>
      </c>
      <c r="P2162" s="8">
        <v>242</v>
      </c>
    </row>
    <row r="2163" spans="1:16" ht="25" customHeight="1">
      <c r="A2163" s="12">
        <v>23</v>
      </c>
      <c r="B2163" s="8" t="s">
        <v>97</v>
      </c>
      <c r="C2163" s="8">
        <v>1</v>
      </c>
      <c r="D2163" s="11">
        <v>0.03846153846153846</v>
      </c>
      <c r="E2163" s="8">
        <v>0</v>
      </c>
      <c r="F2163" s="8">
        <v>0</v>
      </c>
      <c r="G2163" s="8">
        <v>1</v>
      </c>
      <c r="H2163" s="8">
        <v>1</v>
      </c>
      <c r="I2163" s="8">
        <v>26</v>
      </c>
      <c r="J2163" s="8">
        <v>0</v>
      </c>
      <c r="K2163" s="8">
        <v>1</v>
      </c>
      <c r="L2163" s="8" t="s">
        <v>791</v>
      </c>
      <c r="M2163" s="8">
        <v>0</v>
      </c>
      <c r="N2163" s="8" t="s">
        <v>2161</v>
      </c>
      <c r="O2163" s="8" t="s">
        <v>2162</v>
      </c>
      <c r="P2163" s="8">
        <v>279</v>
      </c>
    </row>
    <row r="2169" spans="1:16" ht="27" customHeight="1">
      <c r="A2169" s="5" t="s">
        <v>2203</v>
      </c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</row>
    <row r="2170" spans="1:16" ht="36" customHeight="1">
      <c r="A2170" s="9" t="s">
        <v>683</v>
      </c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</row>
    <row r="2171" spans="1:16" ht="25" customHeight="1">
      <c r="A2171" s="6" t="s">
        <v>684</v>
      </c>
    </row>
    <row r="2172" spans="1:16" ht="25" customHeight="1">
      <c r="A2172" s="12">
        <v>1</v>
      </c>
      <c r="B2172" s="8" t="s">
        <v>2204</v>
      </c>
    </row>
    <row r="2173" spans="1:16" ht="25" customHeight="1">
      <c r="A2173" s="12">
        <v>2</v>
      </c>
      <c r="B2173" s="8" t="s">
        <v>2174</v>
      </c>
      <c r="E2173" s="8" t="s">
        <v>2121</v>
      </c>
      <c r="H2173" s="8" t="s">
        <v>2072</v>
      </c>
      <c r="K2173" s="8" t="s">
        <v>2122</v>
      </c>
      <c r="M2173" s="8" t="s">
        <v>2175</v>
      </c>
    </row>
    <row r="2174" spans="1:16" ht="25" customHeight="1">
      <c r="A2174" s="12">
        <v>3</v>
      </c>
      <c r="B2174" s="8" t="s">
        <v>2176</v>
      </c>
      <c r="C2174" s="8" t="s">
        <v>2091</v>
      </c>
      <c r="D2174" s="8" t="s">
        <v>690</v>
      </c>
      <c r="E2174" s="8" t="s">
        <v>2130</v>
      </c>
      <c r="F2174" s="8" t="s">
        <v>2132</v>
      </c>
      <c r="G2174" s="8" t="s">
        <v>2133</v>
      </c>
      <c r="H2174" s="8" t="s">
        <v>784</v>
      </c>
      <c r="I2174" s="8" t="s">
        <v>2135</v>
      </c>
      <c r="J2174" s="8" t="s">
        <v>2146</v>
      </c>
      <c r="K2174" s="8" t="s">
        <v>2147</v>
      </c>
      <c r="L2174" s="8" t="s">
        <v>786</v>
      </c>
      <c r="M2174" s="8" t="s">
        <v>2134</v>
      </c>
      <c r="N2174" s="8" t="s">
        <v>2136</v>
      </c>
      <c r="O2174" s="8" t="s">
        <v>2139</v>
      </c>
      <c r="P2174" s="8" t="s">
        <v>1946</v>
      </c>
    </row>
    <row r="2175" spans="1:16" ht="25" customHeight="1">
      <c r="A2175" s="12">
        <v>4</v>
      </c>
      <c r="B2175" s="8" t="s">
        <v>44</v>
      </c>
      <c r="C2175" s="8">
        <v>6</v>
      </c>
      <c r="D2175" s="11">
        <v>0.1463414634146341</v>
      </c>
      <c r="E2175" s="8">
        <v>0</v>
      </c>
      <c r="F2175" s="8">
        <v>0</v>
      </c>
      <c r="G2175" s="8">
        <v>2</v>
      </c>
      <c r="H2175" s="11">
        <v>0.3333333333333333</v>
      </c>
      <c r="I2175" s="11">
        <v>13.66666666666667</v>
      </c>
      <c r="J2175" s="11">
        <v>0.8333333333333334</v>
      </c>
      <c r="K2175" s="11">
        <v>0.1666666666666667</v>
      </c>
      <c r="L2175" s="8" t="s">
        <v>795</v>
      </c>
      <c r="M2175" s="11">
        <v>13.3</v>
      </c>
      <c r="N2175" s="8" t="s">
        <v>2177</v>
      </c>
      <c r="O2175" s="8" t="s">
        <v>2205</v>
      </c>
      <c r="P2175" s="8">
        <v>1</v>
      </c>
    </row>
    <row r="2176" spans="1:16" ht="25" customHeight="1">
      <c r="A2176" s="12">
        <v>5</v>
      </c>
      <c r="B2176" s="8" t="s">
        <v>52</v>
      </c>
      <c r="C2176" s="8">
        <v>4</v>
      </c>
      <c r="D2176" s="11">
        <v>0.0975609756097561</v>
      </c>
      <c r="E2176" s="8">
        <v>2</v>
      </c>
      <c r="F2176" s="11">
        <v>0.5</v>
      </c>
      <c r="G2176" s="8">
        <v>0</v>
      </c>
      <c r="H2176" s="8">
        <v>0</v>
      </c>
      <c r="I2176" s="11">
        <v>1.5</v>
      </c>
      <c r="J2176" s="11">
        <v>0.75</v>
      </c>
      <c r="K2176" s="11">
        <v>0.25</v>
      </c>
      <c r="L2176" s="8" t="s">
        <v>795</v>
      </c>
      <c r="M2176" s="11">
        <v>63.5</v>
      </c>
      <c r="N2176" s="8" t="s">
        <v>2137</v>
      </c>
      <c r="O2176" s="8" t="s">
        <v>2151</v>
      </c>
      <c r="P2176" s="8">
        <v>7</v>
      </c>
    </row>
    <row r="2177" spans="1:16" ht="25" customHeight="1">
      <c r="A2177" s="12">
        <v>6</v>
      </c>
      <c r="B2177" s="8" t="s">
        <v>68</v>
      </c>
      <c r="C2177" s="8">
        <v>4</v>
      </c>
      <c r="D2177" s="11">
        <v>0.0975609756097561</v>
      </c>
      <c r="E2177" s="8">
        <v>3</v>
      </c>
      <c r="F2177" s="11">
        <v>0.75</v>
      </c>
      <c r="G2177" s="8">
        <v>0</v>
      </c>
      <c r="H2177" s="8">
        <v>0</v>
      </c>
      <c r="I2177" s="11">
        <v>-0.75</v>
      </c>
      <c r="J2177" s="11">
        <v>0.5</v>
      </c>
      <c r="K2177" s="11">
        <v>0.5</v>
      </c>
      <c r="L2177" s="8" t="s">
        <v>795</v>
      </c>
      <c r="M2177" s="11">
        <v>82.5</v>
      </c>
      <c r="N2177" s="8" t="s">
        <v>2170</v>
      </c>
      <c r="O2177" s="8" t="s">
        <v>2151</v>
      </c>
      <c r="P2177" s="8">
        <v>11</v>
      </c>
    </row>
    <row r="2178" spans="1:16" ht="25" customHeight="1">
      <c r="A2178" s="12">
        <v>7</v>
      </c>
      <c r="B2178" s="8" t="s">
        <v>60</v>
      </c>
      <c r="C2178" s="8">
        <v>3</v>
      </c>
      <c r="D2178" s="11">
        <v>0.07317073170731707</v>
      </c>
      <c r="E2178" s="8">
        <v>3</v>
      </c>
      <c r="F2178" s="8">
        <v>1</v>
      </c>
      <c r="G2178" s="8">
        <v>0</v>
      </c>
      <c r="H2178" s="8">
        <v>0</v>
      </c>
      <c r="I2178" s="11">
        <v>1.333333333333333</v>
      </c>
      <c r="J2178" s="11">
        <v>0.6666666666666666</v>
      </c>
      <c r="K2178" s="11">
        <v>0.3333333333333333</v>
      </c>
      <c r="L2178" s="8" t="s">
        <v>801</v>
      </c>
      <c r="M2178" s="11">
        <v>98.7</v>
      </c>
      <c r="N2178" s="8" t="s">
        <v>2169</v>
      </c>
      <c r="O2178" s="8" t="s">
        <v>2168</v>
      </c>
      <c r="P2178" s="8">
        <v>15</v>
      </c>
    </row>
    <row r="2179" spans="1:16" ht="25" customHeight="1">
      <c r="A2179" s="12">
        <v>8</v>
      </c>
      <c r="B2179" s="8" t="s">
        <v>63</v>
      </c>
      <c r="C2179" s="8">
        <v>3</v>
      </c>
      <c r="D2179" s="11">
        <v>0.07317073170731707</v>
      </c>
      <c r="E2179" s="8">
        <v>1</v>
      </c>
      <c r="F2179" s="11">
        <v>0.3333333333333333</v>
      </c>
      <c r="G2179" s="8">
        <v>1</v>
      </c>
      <c r="H2179" s="11">
        <v>0.3333333333333333</v>
      </c>
      <c r="I2179" s="8">
        <v>9</v>
      </c>
      <c r="J2179" s="11">
        <v>0.3333333333333333</v>
      </c>
      <c r="K2179" s="11">
        <v>0.6666666666666666</v>
      </c>
      <c r="L2179" s="8" t="s">
        <v>801</v>
      </c>
      <c r="M2179" s="11">
        <v>37.7</v>
      </c>
      <c r="N2179" s="8" t="s">
        <v>2167</v>
      </c>
      <c r="O2179" s="8" t="s">
        <v>2168</v>
      </c>
      <c r="P2179" s="8">
        <v>18</v>
      </c>
    </row>
    <row r="2180" spans="1:16" ht="25" customHeight="1">
      <c r="A2180" s="12">
        <v>9</v>
      </c>
      <c r="B2180" s="8" t="s">
        <v>51</v>
      </c>
      <c r="C2180" s="8">
        <v>1</v>
      </c>
      <c r="D2180" s="11">
        <v>0.02439024390243903</v>
      </c>
      <c r="E2180" s="8">
        <v>0</v>
      </c>
      <c r="F2180" s="8">
        <v>0</v>
      </c>
      <c r="G2180" s="8">
        <v>0</v>
      </c>
      <c r="H2180" s="8">
        <v>0</v>
      </c>
      <c r="I2180" s="8">
        <v>14</v>
      </c>
      <c r="J2180" s="8">
        <v>0</v>
      </c>
      <c r="K2180" s="8">
        <v>1</v>
      </c>
      <c r="L2180" s="8" t="s">
        <v>791</v>
      </c>
      <c r="M2180" s="8">
        <v>20</v>
      </c>
      <c r="N2180" s="8" t="s">
        <v>2165</v>
      </c>
      <c r="O2180" s="8" t="s">
        <v>2166</v>
      </c>
      <c r="P2180" s="8">
        <v>21</v>
      </c>
    </row>
    <row r="2181" spans="1:16" ht="25" customHeight="1">
      <c r="A2181" s="12">
        <v>10</v>
      </c>
      <c r="B2181" s="8" t="s">
        <v>54</v>
      </c>
      <c r="C2181" s="8">
        <v>2</v>
      </c>
      <c r="D2181" s="11">
        <v>0.04878048780487805</v>
      </c>
      <c r="E2181" s="8">
        <v>0</v>
      </c>
      <c r="F2181" s="8">
        <v>0</v>
      </c>
      <c r="G2181" s="8">
        <v>1</v>
      </c>
      <c r="H2181" s="11">
        <v>0.5</v>
      </c>
      <c r="I2181" s="11">
        <v>11.5</v>
      </c>
      <c r="J2181" s="8">
        <v>1</v>
      </c>
      <c r="K2181" s="8">
        <v>0</v>
      </c>
      <c r="L2181" s="8" t="s">
        <v>791</v>
      </c>
      <c r="M2181" s="8">
        <v>10</v>
      </c>
      <c r="N2181" s="8" t="s">
        <v>2161</v>
      </c>
      <c r="O2181" s="8" t="s">
        <v>2162</v>
      </c>
      <c r="P2181" s="8">
        <v>23</v>
      </c>
    </row>
    <row r="2182" spans="1:16" ht="25" customHeight="1">
      <c r="A2182" s="12">
        <v>11</v>
      </c>
      <c r="B2182" s="8" t="s">
        <v>56</v>
      </c>
      <c r="C2182" s="8">
        <v>2</v>
      </c>
      <c r="D2182" s="11">
        <v>0.04878048780487805</v>
      </c>
      <c r="E2182" s="8">
        <v>0</v>
      </c>
      <c r="F2182" s="8">
        <v>0</v>
      </c>
      <c r="G2182" s="8">
        <v>0</v>
      </c>
      <c r="H2182" s="8">
        <v>0</v>
      </c>
      <c r="I2182" s="11">
        <v>8.5</v>
      </c>
      <c r="J2182" s="11">
        <v>0.5</v>
      </c>
      <c r="K2182" s="11">
        <v>0.5</v>
      </c>
      <c r="L2182" s="8" t="s">
        <v>791</v>
      </c>
      <c r="M2182" s="11">
        <v>21.5</v>
      </c>
      <c r="N2182" s="8" t="s">
        <v>2165</v>
      </c>
      <c r="O2182" s="8" t="s">
        <v>2166</v>
      </c>
      <c r="P2182" s="8">
        <v>25</v>
      </c>
    </row>
    <row r="2183" spans="1:16" ht="25" customHeight="1">
      <c r="A2183" s="12">
        <v>12</v>
      </c>
      <c r="B2183" s="8" t="s">
        <v>43</v>
      </c>
      <c r="C2183" s="8">
        <v>1</v>
      </c>
      <c r="D2183" s="11">
        <v>0.02439024390243903</v>
      </c>
      <c r="E2183" s="8">
        <v>1</v>
      </c>
      <c r="F2183" s="8">
        <v>1</v>
      </c>
      <c r="G2183" s="8">
        <v>0</v>
      </c>
      <c r="H2183" s="8">
        <v>0</v>
      </c>
      <c r="I2183" s="8">
        <v>3</v>
      </c>
      <c r="J2183" s="8">
        <v>0</v>
      </c>
      <c r="K2183" s="8">
        <v>1</v>
      </c>
      <c r="L2183" s="8" t="s">
        <v>791</v>
      </c>
      <c r="M2183" s="8">
        <v>97</v>
      </c>
      <c r="N2183" s="8" t="s">
        <v>2165</v>
      </c>
      <c r="O2183" s="8" t="s">
        <v>2166</v>
      </c>
      <c r="P2183" s="8">
        <v>28</v>
      </c>
    </row>
    <row r="2184" spans="1:16" ht="25" customHeight="1">
      <c r="A2184" s="12">
        <v>13</v>
      </c>
      <c r="B2184" s="8" t="s">
        <v>32</v>
      </c>
      <c r="C2184" s="8">
        <v>1</v>
      </c>
      <c r="D2184" s="11">
        <v>0.02439024390243903</v>
      </c>
      <c r="E2184" s="8">
        <v>0</v>
      </c>
      <c r="F2184" s="8">
        <v>0</v>
      </c>
      <c r="G2184" s="8">
        <v>1</v>
      </c>
      <c r="H2184" s="8">
        <v>1</v>
      </c>
      <c r="I2184" s="8">
        <v>72</v>
      </c>
      <c r="J2184" s="8">
        <v>0</v>
      </c>
      <c r="K2184" s="8">
        <v>1</v>
      </c>
      <c r="L2184" s="8" t="s">
        <v>791</v>
      </c>
      <c r="M2184" s="8">
        <v>0</v>
      </c>
      <c r="N2184" s="8" t="s">
        <v>2161</v>
      </c>
      <c r="O2184" s="8" t="s">
        <v>2162</v>
      </c>
      <c r="P2184" s="8">
        <v>29</v>
      </c>
    </row>
    <row r="2185" spans="1:16" ht="25" customHeight="1">
      <c r="A2185" s="12">
        <v>14</v>
      </c>
      <c r="B2185" s="8" t="s">
        <v>88</v>
      </c>
      <c r="C2185" s="8">
        <v>1</v>
      </c>
      <c r="D2185" s="11">
        <v>0.02439024390243903</v>
      </c>
      <c r="E2185" s="8">
        <v>0</v>
      </c>
      <c r="F2185" s="8">
        <v>0</v>
      </c>
      <c r="G2185" s="8">
        <v>0</v>
      </c>
      <c r="H2185" s="8">
        <v>0</v>
      </c>
      <c r="I2185" s="8">
        <v>4</v>
      </c>
      <c r="J2185" s="8">
        <v>1</v>
      </c>
      <c r="K2185" s="8">
        <v>0</v>
      </c>
      <c r="L2185" s="8" t="s">
        <v>791</v>
      </c>
      <c r="M2185" s="8">
        <v>26</v>
      </c>
      <c r="N2185" s="8" t="s">
        <v>2165</v>
      </c>
      <c r="O2185" s="8" t="s">
        <v>2166</v>
      </c>
      <c r="P2185" s="8">
        <v>31</v>
      </c>
    </row>
    <row r="2186" spans="1:16" ht="25" customHeight="1">
      <c r="A2186" s="12">
        <v>15</v>
      </c>
      <c r="B2186" s="8" t="s">
        <v>53</v>
      </c>
      <c r="C2186" s="8">
        <v>1</v>
      </c>
      <c r="D2186" s="11">
        <v>0.02439024390243903</v>
      </c>
      <c r="E2186" s="8">
        <v>0</v>
      </c>
      <c r="F2186" s="8">
        <v>0</v>
      </c>
      <c r="G2186" s="8">
        <v>0</v>
      </c>
      <c r="H2186" s="8">
        <v>0</v>
      </c>
      <c r="I2186" s="8">
        <v>8</v>
      </c>
      <c r="J2186" s="8">
        <v>0</v>
      </c>
      <c r="K2186" s="8">
        <v>1</v>
      </c>
      <c r="L2186" s="8" t="s">
        <v>791</v>
      </c>
      <c r="M2186" s="8">
        <v>22</v>
      </c>
      <c r="N2186" s="8" t="s">
        <v>2165</v>
      </c>
      <c r="O2186" s="8" t="s">
        <v>2166</v>
      </c>
      <c r="P2186" s="8">
        <v>32</v>
      </c>
    </row>
    <row r="2187" spans="1:16" ht="25" customHeight="1">
      <c r="A2187" s="12">
        <v>16</v>
      </c>
      <c r="B2187" s="8" t="s">
        <v>81</v>
      </c>
      <c r="C2187" s="8">
        <v>1</v>
      </c>
      <c r="D2187" s="11">
        <v>0.02439024390243903</v>
      </c>
      <c r="E2187" s="8">
        <v>0</v>
      </c>
      <c r="F2187" s="8">
        <v>0</v>
      </c>
      <c r="G2187" s="8">
        <v>0</v>
      </c>
      <c r="H2187" s="8">
        <v>0</v>
      </c>
      <c r="I2187" s="8">
        <v>4</v>
      </c>
      <c r="J2187" s="8">
        <v>1</v>
      </c>
      <c r="K2187" s="8">
        <v>0</v>
      </c>
      <c r="L2187" s="8" t="s">
        <v>791</v>
      </c>
      <c r="M2187" s="8">
        <v>26</v>
      </c>
      <c r="N2187" s="8" t="s">
        <v>2165</v>
      </c>
      <c r="O2187" s="8" t="s">
        <v>2166</v>
      </c>
      <c r="P2187" s="8">
        <v>33</v>
      </c>
    </row>
    <row r="2188" spans="1:16" ht="25" customHeight="1">
      <c r="A2188" s="12">
        <v>17</v>
      </c>
      <c r="B2188" s="8" t="s">
        <v>35</v>
      </c>
      <c r="C2188" s="8">
        <v>6</v>
      </c>
      <c r="D2188" s="11">
        <v>0.1463414634146341</v>
      </c>
      <c r="E2188" s="8">
        <v>4</v>
      </c>
      <c r="F2188" s="11">
        <v>0.6666666666666666</v>
      </c>
      <c r="G2188" s="8">
        <v>1</v>
      </c>
      <c r="H2188" s="11">
        <v>0.1666666666666667</v>
      </c>
      <c r="I2188" s="11">
        <v>11.33333333333333</v>
      </c>
      <c r="J2188" s="11">
        <v>0.3333333333333333</v>
      </c>
      <c r="K2188" s="11">
        <v>0.6666666666666666</v>
      </c>
      <c r="L2188" s="8" t="s">
        <v>795</v>
      </c>
      <c r="M2188" s="11">
        <v>63.3</v>
      </c>
      <c r="N2188" s="8" t="s">
        <v>2137</v>
      </c>
      <c r="O2188" s="8" t="s">
        <v>2151</v>
      </c>
      <c r="P2188" s="8">
        <v>34</v>
      </c>
    </row>
    <row r="2189" spans="1:16" ht="25" customHeight="1">
      <c r="A2189" s="12">
        <v>18</v>
      </c>
      <c r="B2189" s="8" t="s">
        <v>62</v>
      </c>
      <c r="C2189" s="8">
        <v>1</v>
      </c>
      <c r="D2189" s="11">
        <v>0.02439024390243903</v>
      </c>
      <c r="E2189" s="8">
        <v>0</v>
      </c>
      <c r="F2189" s="8">
        <v>0</v>
      </c>
      <c r="G2189" s="8">
        <v>1</v>
      </c>
      <c r="H2189" s="8">
        <v>1</v>
      </c>
      <c r="I2189" s="8">
        <v>25</v>
      </c>
      <c r="J2189" s="8">
        <v>1</v>
      </c>
      <c r="K2189" s="8">
        <v>0</v>
      </c>
      <c r="L2189" s="8" t="s">
        <v>791</v>
      </c>
      <c r="M2189" s="8">
        <v>0</v>
      </c>
      <c r="N2189" s="8" t="s">
        <v>2161</v>
      </c>
      <c r="O2189" s="8" t="s">
        <v>2162</v>
      </c>
      <c r="P2189" s="8">
        <v>35</v>
      </c>
    </row>
    <row r="2190" spans="1:16" ht="25" customHeight="1">
      <c r="A2190" s="12">
        <v>19</v>
      </c>
      <c r="B2190" s="8" t="s">
        <v>75</v>
      </c>
      <c r="C2190" s="8">
        <v>1</v>
      </c>
      <c r="D2190" s="11">
        <v>0.02439024390243903</v>
      </c>
      <c r="E2190" s="8">
        <v>0</v>
      </c>
      <c r="F2190" s="8">
        <v>0</v>
      </c>
      <c r="G2190" s="8">
        <v>0</v>
      </c>
      <c r="H2190" s="8">
        <v>0</v>
      </c>
      <c r="I2190" s="8">
        <v>9</v>
      </c>
      <c r="J2190" s="8">
        <v>1</v>
      </c>
      <c r="K2190" s="8">
        <v>0</v>
      </c>
      <c r="L2190" s="8" t="s">
        <v>791</v>
      </c>
      <c r="M2190" s="8">
        <v>21</v>
      </c>
      <c r="N2190" s="8" t="s">
        <v>2165</v>
      </c>
      <c r="O2190" s="8" t="s">
        <v>2166</v>
      </c>
      <c r="P2190" s="8">
        <v>36</v>
      </c>
    </row>
    <row r="2191" spans="1:16" ht="25" customHeight="1">
      <c r="A2191" s="12">
        <v>20</v>
      </c>
      <c r="B2191" s="8" t="s">
        <v>117</v>
      </c>
      <c r="C2191" s="8">
        <v>1</v>
      </c>
      <c r="D2191" s="11">
        <v>0.02439024390243903</v>
      </c>
      <c r="E2191" s="8">
        <v>0</v>
      </c>
      <c r="F2191" s="8">
        <v>0</v>
      </c>
      <c r="G2191" s="8">
        <v>1</v>
      </c>
      <c r="H2191" s="8">
        <v>1</v>
      </c>
      <c r="I2191" s="8">
        <v>16</v>
      </c>
      <c r="J2191" s="8">
        <v>0</v>
      </c>
      <c r="K2191" s="8">
        <v>1</v>
      </c>
      <c r="L2191" s="8" t="s">
        <v>791</v>
      </c>
      <c r="M2191" s="8">
        <v>0</v>
      </c>
      <c r="N2191" s="8" t="s">
        <v>2161</v>
      </c>
      <c r="O2191" s="8" t="s">
        <v>2162</v>
      </c>
      <c r="P2191" s="8">
        <v>220</v>
      </c>
    </row>
    <row r="2192" spans="1:16" ht="25" customHeight="1">
      <c r="A2192" s="12">
        <v>21</v>
      </c>
      <c r="B2192" s="8" t="s">
        <v>73</v>
      </c>
      <c r="C2192" s="8">
        <v>1</v>
      </c>
      <c r="D2192" s="11">
        <v>0.02439024390243903</v>
      </c>
      <c r="E2192" s="8">
        <v>1</v>
      </c>
      <c r="F2192" s="8">
        <v>1</v>
      </c>
      <c r="G2192" s="8">
        <v>0</v>
      </c>
      <c r="H2192" s="8">
        <v>0</v>
      </c>
      <c r="I2192" s="8">
        <v>0</v>
      </c>
      <c r="J2192" s="8">
        <v>0</v>
      </c>
      <c r="K2192" s="8">
        <v>1</v>
      </c>
      <c r="L2192" s="8" t="s">
        <v>791</v>
      </c>
      <c r="M2192" s="8">
        <v>100</v>
      </c>
      <c r="N2192" s="8" t="s">
        <v>2165</v>
      </c>
      <c r="O2192" s="8" t="s">
        <v>2166</v>
      </c>
      <c r="P2192" s="8">
        <v>221</v>
      </c>
    </row>
    <row r="2193" spans="1:16" ht="25" customHeight="1">
      <c r="A2193" s="12">
        <v>22</v>
      </c>
      <c r="B2193" s="8" t="s">
        <v>67</v>
      </c>
      <c r="C2193" s="8">
        <v>1</v>
      </c>
      <c r="D2193" s="11">
        <v>0.02439024390243903</v>
      </c>
      <c r="E2193" s="8">
        <v>1</v>
      </c>
      <c r="F2193" s="8">
        <v>1</v>
      </c>
      <c r="G2193" s="8">
        <v>0</v>
      </c>
      <c r="H2193" s="8">
        <v>0</v>
      </c>
      <c r="I2193" s="8">
        <v>3</v>
      </c>
      <c r="J2193" s="8">
        <v>1</v>
      </c>
      <c r="K2193" s="8">
        <v>0</v>
      </c>
      <c r="L2193" s="8" t="s">
        <v>791</v>
      </c>
      <c r="M2193" s="8">
        <v>97</v>
      </c>
      <c r="N2193" s="8" t="s">
        <v>2165</v>
      </c>
      <c r="O2193" s="8" t="s">
        <v>2166</v>
      </c>
      <c r="P2193" s="8">
        <v>222</v>
      </c>
    </row>
    <row r="2199" spans="1:16" ht="27" customHeight="1">
      <c r="A2199" s="5" t="s">
        <v>2206</v>
      </c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</row>
    <row r="2200" spans="1:16" ht="36" customHeight="1">
      <c r="A2200" s="9" t="s">
        <v>683</v>
      </c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</row>
    <row r="2201" spans="1:16" ht="25" customHeight="1">
      <c r="A2201" s="6" t="s">
        <v>684</v>
      </c>
    </row>
    <row r="2202" spans="1:16" ht="25" customHeight="1">
      <c r="A2202" s="12">
        <v>1</v>
      </c>
      <c r="B2202" s="8" t="s">
        <v>2207</v>
      </c>
    </row>
    <row r="2203" spans="1:16" ht="25" customHeight="1">
      <c r="A2203" s="12">
        <v>2</v>
      </c>
      <c r="B2203" s="8" t="s">
        <v>2174</v>
      </c>
      <c r="E2203" s="8" t="s">
        <v>2121</v>
      </c>
      <c r="H2203" s="8" t="s">
        <v>2072</v>
      </c>
      <c r="K2203" s="8" t="s">
        <v>2122</v>
      </c>
      <c r="M2203" s="8" t="s">
        <v>2175</v>
      </c>
    </row>
    <row r="2204" spans="1:16" ht="25" customHeight="1">
      <c r="A2204" s="12">
        <v>3</v>
      </c>
      <c r="B2204" s="8" t="s">
        <v>2176</v>
      </c>
      <c r="C2204" s="8" t="s">
        <v>2091</v>
      </c>
      <c r="D2204" s="8" t="s">
        <v>690</v>
      </c>
      <c r="E2204" s="8" t="s">
        <v>2130</v>
      </c>
      <c r="F2204" s="8" t="s">
        <v>2132</v>
      </c>
      <c r="G2204" s="8" t="s">
        <v>2133</v>
      </c>
      <c r="H2204" s="8" t="s">
        <v>784</v>
      </c>
      <c r="I2204" s="8" t="s">
        <v>2135</v>
      </c>
      <c r="J2204" s="8" t="s">
        <v>2146</v>
      </c>
      <c r="K2204" s="8" t="s">
        <v>2147</v>
      </c>
      <c r="L2204" s="8" t="s">
        <v>786</v>
      </c>
      <c r="M2204" s="8" t="s">
        <v>2134</v>
      </c>
      <c r="N2204" s="8" t="s">
        <v>2136</v>
      </c>
      <c r="O2204" s="8" t="s">
        <v>2139</v>
      </c>
      <c r="P2204" s="8" t="s">
        <v>1946</v>
      </c>
    </row>
    <row r="2205" spans="1:16" ht="25" customHeight="1">
      <c r="A2205" s="12">
        <v>4</v>
      </c>
      <c r="B2205" s="8" t="s">
        <v>44</v>
      </c>
      <c r="C2205" s="8">
        <v>7</v>
      </c>
      <c r="D2205" s="11">
        <v>0.09722222222222222</v>
      </c>
      <c r="E2205" s="8">
        <v>3</v>
      </c>
      <c r="F2205" s="11">
        <v>0.4285714285714285</v>
      </c>
      <c r="G2205" s="8">
        <v>0</v>
      </c>
      <c r="H2205" s="8">
        <v>0</v>
      </c>
      <c r="I2205" s="11">
        <v>4.857142857142857</v>
      </c>
      <c r="J2205" s="11">
        <v>0.5714285714285714</v>
      </c>
      <c r="K2205" s="11">
        <v>0.4285714285714285</v>
      </c>
      <c r="L2205" s="8" t="s">
        <v>799</v>
      </c>
      <c r="M2205" s="11">
        <v>55.1</v>
      </c>
      <c r="N2205" s="8" t="s">
        <v>2137</v>
      </c>
      <c r="O2205" s="8" t="s">
        <v>2151</v>
      </c>
      <c r="P2205" s="8">
        <v>37</v>
      </c>
    </row>
    <row r="2206" spans="1:16" ht="25" customHeight="1">
      <c r="A2206" s="12">
        <v>5</v>
      </c>
      <c r="B2206" s="8" t="s">
        <v>60</v>
      </c>
      <c r="C2206" s="8">
        <v>4</v>
      </c>
      <c r="D2206" s="11">
        <v>0.05555555555555555</v>
      </c>
      <c r="E2206" s="8">
        <v>1</v>
      </c>
      <c r="F2206" s="11">
        <v>0.25</v>
      </c>
      <c r="G2206" s="8">
        <v>1</v>
      </c>
      <c r="H2206" s="11">
        <v>0.25</v>
      </c>
      <c r="I2206" s="11">
        <v>12.5</v>
      </c>
      <c r="J2206" s="11">
        <v>0.25</v>
      </c>
      <c r="K2206" s="11">
        <v>0.5</v>
      </c>
      <c r="L2206" s="8" t="s">
        <v>795</v>
      </c>
      <c r="M2206" s="11">
        <v>32.5</v>
      </c>
      <c r="N2206" s="8" t="s">
        <v>2177</v>
      </c>
      <c r="O2206" s="8" t="s">
        <v>2208</v>
      </c>
      <c r="P2206" s="8">
        <v>44</v>
      </c>
    </row>
    <row r="2207" spans="1:16" ht="25" customHeight="1">
      <c r="A2207" s="12">
        <v>6</v>
      </c>
      <c r="B2207" s="8" t="s">
        <v>35</v>
      </c>
      <c r="C2207" s="8">
        <v>4</v>
      </c>
      <c r="D2207" s="11">
        <v>0.05555555555555555</v>
      </c>
      <c r="E2207" s="8">
        <v>4</v>
      </c>
      <c r="F2207" s="8">
        <v>1</v>
      </c>
      <c r="G2207" s="8">
        <v>0</v>
      </c>
      <c r="H2207" s="8">
        <v>0</v>
      </c>
      <c r="I2207" s="11">
        <v>0.5</v>
      </c>
      <c r="J2207" s="8">
        <v>0</v>
      </c>
      <c r="K2207" s="8">
        <v>1</v>
      </c>
      <c r="L2207" s="8" t="s">
        <v>795</v>
      </c>
      <c r="M2207" s="11">
        <v>99.5</v>
      </c>
      <c r="N2207" s="8" t="s">
        <v>2170</v>
      </c>
      <c r="O2207" s="8" t="s">
        <v>2151</v>
      </c>
      <c r="P2207" s="8">
        <v>48</v>
      </c>
    </row>
    <row r="2208" spans="1:16" ht="25" customHeight="1">
      <c r="A2208" s="12">
        <v>7</v>
      </c>
      <c r="B2208" s="8" t="s">
        <v>68</v>
      </c>
      <c r="C2208" s="8">
        <v>1</v>
      </c>
      <c r="D2208" s="11">
        <v>0.01388888888888889</v>
      </c>
      <c r="E2208" s="8">
        <v>1</v>
      </c>
      <c r="F2208" s="8">
        <v>1</v>
      </c>
      <c r="G2208" s="8">
        <v>0</v>
      </c>
      <c r="H2208" s="8">
        <v>0</v>
      </c>
      <c r="I2208" s="8">
        <v>7</v>
      </c>
      <c r="J2208" s="8">
        <v>0</v>
      </c>
      <c r="K2208" s="8">
        <v>1</v>
      </c>
      <c r="L2208" s="8" t="s">
        <v>791</v>
      </c>
      <c r="M2208" s="8">
        <v>93</v>
      </c>
      <c r="N2208" s="8" t="s">
        <v>2165</v>
      </c>
      <c r="O2208" s="8" t="s">
        <v>2166</v>
      </c>
      <c r="P2208" s="8">
        <v>51</v>
      </c>
    </row>
    <row r="2209" spans="1:16" ht="25" customHeight="1">
      <c r="A2209" s="12">
        <v>8</v>
      </c>
      <c r="B2209" s="8" t="s">
        <v>53</v>
      </c>
      <c r="C2209" s="8">
        <v>9</v>
      </c>
      <c r="D2209" s="11">
        <v>0.125</v>
      </c>
      <c r="E2209" s="8">
        <v>5</v>
      </c>
      <c r="F2209" s="11">
        <v>0.5555555555555556</v>
      </c>
      <c r="G2209" s="8">
        <v>0</v>
      </c>
      <c r="H2209" s="8">
        <v>0</v>
      </c>
      <c r="I2209" s="11">
        <v>5.222222222222222</v>
      </c>
      <c r="J2209" s="11">
        <v>0.5555555555555556</v>
      </c>
      <c r="K2209" s="11">
        <v>0.4444444444444444</v>
      </c>
      <c r="L2209" s="8" t="s">
        <v>799</v>
      </c>
      <c r="M2209" s="11">
        <v>63.7</v>
      </c>
      <c r="N2209" s="8" t="s">
        <v>2137</v>
      </c>
      <c r="O2209" s="8" t="s">
        <v>2151</v>
      </c>
      <c r="P2209" s="8">
        <v>52</v>
      </c>
    </row>
    <row r="2210" spans="1:16" ht="25" customHeight="1">
      <c r="A2210" s="12">
        <v>9</v>
      </c>
      <c r="B2210" s="8" t="s">
        <v>52</v>
      </c>
      <c r="C2210" s="8">
        <v>6</v>
      </c>
      <c r="D2210" s="11">
        <v>0.08333333333333333</v>
      </c>
      <c r="E2210" s="8">
        <v>5</v>
      </c>
      <c r="F2210" s="11">
        <v>0.8333333333333334</v>
      </c>
      <c r="G2210" s="8">
        <v>1</v>
      </c>
      <c r="H2210" s="11">
        <v>0.1666666666666667</v>
      </c>
      <c r="I2210" s="11">
        <v>3.333333333333333</v>
      </c>
      <c r="J2210" s="11">
        <v>0.1666666666666667</v>
      </c>
      <c r="K2210" s="11">
        <v>0.8333333333333334</v>
      </c>
      <c r="L2210" s="8" t="s">
        <v>795</v>
      </c>
      <c r="M2210" s="11">
        <v>81.7</v>
      </c>
      <c r="N2210" s="8" t="s">
        <v>2170</v>
      </c>
      <c r="O2210" s="8" t="s">
        <v>2153</v>
      </c>
      <c r="P2210" s="8">
        <v>57</v>
      </c>
    </row>
    <row r="2211" spans="1:16" ht="25" customHeight="1">
      <c r="A2211" s="12">
        <v>10</v>
      </c>
      <c r="B2211" s="8" t="s">
        <v>69</v>
      </c>
      <c r="C2211" s="8">
        <v>3</v>
      </c>
      <c r="D2211" s="11">
        <v>0.04166666666666666</v>
      </c>
      <c r="E2211" s="8">
        <v>3</v>
      </c>
      <c r="F2211" s="8">
        <v>1</v>
      </c>
      <c r="G2211" s="8">
        <v>0</v>
      </c>
      <c r="H2211" s="8">
        <v>0</v>
      </c>
      <c r="I2211" s="11">
        <v>0.6666666666666666</v>
      </c>
      <c r="J2211" s="11">
        <v>0.6666666666666666</v>
      </c>
      <c r="K2211" s="11">
        <v>0.3333333333333333</v>
      </c>
      <c r="L2211" s="8" t="s">
        <v>801</v>
      </c>
      <c r="M2211" s="11">
        <v>99.3</v>
      </c>
      <c r="N2211" s="8" t="s">
        <v>2169</v>
      </c>
      <c r="O2211" s="8" t="s">
        <v>2168</v>
      </c>
      <c r="P2211" s="8">
        <v>59</v>
      </c>
    </row>
    <row r="2212" spans="1:16" ht="25" customHeight="1">
      <c r="A2212" s="12">
        <v>11</v>
      </c>
      <c r="B2212" s="8" t="s">
        <v>46</v>
      </c>
      <c r="C2212" s="8">
        <v>3</v>
      </c>
      <c r="D2212" s="11">
        <v>0.04166666666666666</v>
      </c>
      <c r="E2212" s="8">
        <v>2</v>
      </c>
      <c r="F2212" s="11">
        <v>0.6666666666666666</v>
      </c>
      <c r="G2212" s="8">
        <v>1</v>
      </c>
      <c r="H2212" s="11">
        <v>0.3333333333333333</v>
      </c>
      <c r="I2212" s="11">
        <v>6.666666666666667</v>
      </c>
      <c r="J2212" s="11">
        <v>0.3333333333333333</v>
      </c>
      <c r="K2212" s="11">
        <v>0.6666666666666666</v>
      </c>
      <c r="L2212" s="8" t="s">
        <v>801</v>
      </c>
      <c r="M2212" s="11">
        <v>63.3</v>
      </c>
      <c r="N2212" s="8" t="s">
        <v>2180</v>
      </c>
      <c r="O2212" s="8" t="s">
        <v>2168</v>
      </c>
      <c r="P2212" s="8">
        <v>64</v>
      </c>
    </row>
    <row r="2213" spans="1:16" ht="25" customHeight="1">
      <c r="A2213" s="12">
        <v>12</v>
      </c>
      <c r="B2213" s="8" t="s">
        <v>48</v>
      </c>
      <c r="C2213" s="8">
        <v>1</v>
      </c>
      <c r="D2213" s="11">
        <v>0.01388888888888889</v>
      </c>
      <c r="E2213" s="8">
        <v>1</v>
      </c>
      <c r="F2213" s="8">
        <v>1</v>
      </c>
      <c r="G2213" s="8">
        <v>0</v>
      </c>
      <c r="H2213" s="8">
        <v>0</v>
      </c>
      <c r="I2213" s="8">
        <v>6</v>
      </c>
      <c r="J2213" s="8">
        <v>0</v>
      </c>
      <c r="K2213" s="8">
        <v>1</v>
      </c>
      <c r="L2213" s="8" t="s">
        <v>791</v>
      </c>
      <c r="M2213" s="8">
        <v>94</v>
      </c>
      <c r="N2213" s="8" t="s">
        <v>2165</v>
      </c>
      <c r="O2213" s="8" t="s">
        <v>2166</v>
      </c>
      <c r="P2213" s="8">
        <v>66</v>
      </c>
    </row>
    <row r="2214" spans="1:16" ht="25" customHeight="1">
      <c r="A2214" s="12">
        <v>13</v>
      </c>
      <c r="B2214" s="8" t="s">
        <v>34</v>
      </c>
      <c r="C2214" s="8">
        <v>2</v>
      </c>
      <c r="D2214" s="11">
        <v>0.02777777777777778</v>
      </c>
      <c r="E2214" s="8">
        <v>0</v>
      </c>
      <c r="F2214" s="8">
        <v>0</v>
      </c>
      <c r="G2214" s="8">
        <v>1</v>
      </c>
      <c r="H2214" s="11">
        <v>0.5</v>
      </c>
      <c r="I2214" s="11">
        <v>30.5</v>
      </c>
      <c r="J2214" s="11">
        <v>0.5</v>
      </c>
      <c r="K2214" s="8">
        <v>0</v>
      </c>
      <c r="L2214" s="8" t="s">
        <v>791</v>
      </c>
      <c r="M2214" s="8">
        <v>10</v>
      </c>
      <c r="N2214" s="8" t="s">
        <v>2161</v>
      </c>
      <c r="O2214" s="8" t="s">
        <v>2162</v>
      </c>
      <c r="P2214" s="8">
        <v>67</v>
      </c>
    </row>
    <row r="2215" spans="1:16" ht="25" customHeight="1">
      <c r="A2215" s="12">
        <v>14</v>
      </c>
      <c r="B2215" s="8" t="s">
        <v>56</v>
      </c>
      <c r="C2215" s="8">
        <v>1</v>
      </c>
      <c r="D2215" s="11">
        <v>0.01388888888888889</v>
      </c>
      <c r="E2215" s="8">
        <v>0</v>
      </c>
      <c r="F2215" s="8">
        <v>0</v>
      </c>
      <c r="G2215" s="8">
        <v>0</v>
      </c>
      <c r="H2215" s="8">
        <v>0</v>
      </c>
      <c r="I2215" s="8">
        <v>4</v>
      </c>
      <c r="J2215" s="8">
        <v>1</v>
      </c>
      <c r="K2215" s="8">
        <v>0</v>
      </c>
      <c r="L2215" s="8" t="s">
        <v>791</v>
      </c>
      <c r="M2215" s="8">
        <v>26</v>
      </c>
      <c r="N2215" s="8" t="s">
        <v>2165</v>
      </c>
      <c r="O2215" s="8" t="s">
        <v>2166</v>
      </c>
      <c r="P2215" s="8">
        <v>70</v>
      </c>
    </row>
    <row r="2216" spans="1:16" ht="25" customHeight="1">
      <c r="A2216" s="12">
        <v>15</v>
      </c>
      <c r="B2216" s="8" t="s">
        <v>61</v>
      </c>
      <c r="C2216" s="8">
        <v>3</v>
      </c>
      <c r="D2216" s="11">
        <v>0.04166666666666666</v>
      </c>
      <c r="E2216" s="8">
        <v>3</v>
      </c>
      <c r="F2216" s="8">
        <v>1</v>
      </c>
      <c r="G2216" s="8">
        <v>0</v>
      </c>
      <c r="H2216" s="8">
        <v>0</v>
      </c>
      <c r="I2216" s="8">
        <v>2</v>
      </c>
      <c r="J2216" s="11">
        <v>0.3333333333333333</v>
      </c>
      <c r="K2216" s="11">
        <v>0.6666666666666666</v>
      </c>
      <c r="L2216" s="8" t="s">
        <v>801</v>
      </c>
      <c r="M2216" s="8">
        <v>98</v>
      </c>
      <c r="N2216" s="8" t="s">
        <v>2169</v>
      </c>
      <c r="O2216" s="8" t="s">
        <v>2168</v>
      </c>
      <c r="P2216" s="8">
        <v>71</v>
      </c>
    </row>
    <row r="2217" spans="1:16" ht="25" customHeight="1">
      <c r="A2217" s="12">
        <v>16</v>
      </c>
      <c r="B2217" s="8" t="s">
        <v>66</v>
      </c>
      <c r="C2217" s="8">
        <v>3</v>
      </c>
      <c r="D2217" s="11">
        <v>0.04166666666666666</v>
      </c>
      <c r="E2217" s="8">
        <v>2</v>
      </c>
      <c r="F2217" s="11">
        <v>0.6666666666666666</v>
      </c>
      <c r="G2217" s="8">
        <v>1</v>
      </c>
      <c r="H2217" s="11">
        <v>0.3333333333333333</v>
      </c>
      <c r="I2217" s="8">
        <v>10</v>
      </c>
      <c r="J2217" s="11">
        <v>0.3333333333333333</v>
      </c>
      <c r="K2217" s="11">
        <v>0.6666666666666666</v>
      </c>
      <c r="L2217" s="8" t="s">
        <v>801</v>
      </c>
      <c r="M2217" s="8">
        <v>60</v>
      </c>
      <c r="N2217" s="8" t="s">
        <v>2180</v>
      </c>
      <c r="O2217" s="8" t="s">
        <v>2168</v>
      </c>
      <c r="P2217" s="8">
        <v>73</v>
      </c>
    </row>
    <row r="2218" spans="1:16" ht="25" customHeight="1">
      <c r="A2218" s="12">
        <v>17</v>
      </c>
      <c r="B2218" s="8" t="s">
        <v>42</v>
      </c>
      <c r="C2218" s="8">
        <v>1</v>
      </c>
      <c r="D2218" s="11">
        <v>0.01388888888888889</v>
      </c>
      <c r="E2218" s="8">
        <v>0</v>
      </c>
      <c r="F2218" s="8">
        <v>0</v>
      </c>
      <c r="G2218" s="8">
        <v>0</v>
      </c>
      <c r="H2218" s="8">
        <v>0</v>
      </c>
      <c r="I2218" s="8">
        <v>14</v>
      </c>
      <c r="J2218" s="8">
        <v>0</v>
      </c>
      <c r="K2218" s="8">
        <v>1</v>
      </c>
      <c r="L2218" s="8" t="s">
        <v>791</v>
      </c>
      <c r="M2218" s="8">
        <v>20</v>
      </c>
      <c r="N2218" s="8" t="s">
        <v>2165</v>
      </c>
      <c r="O2218" s="8" t="s">
        <v>2166</v>
      </c>
      <c r="P2218" s="8">
        <v>76</v>
      </c>
    </row>
    <row r="2219" spans="1:16" ht="25" customHeight="1">
      <c r="A2219" s="12">
        <v>18</v>
      </c>
      <c r="B2219" s="8" t="s">
        <v>51</v>
      </c>
      <c r="C2219" s="8">
        <v>2</v>
      </c>
      <c r="D2219" s="11">
        <v>0.02777777777777778</v>
      </c>
      <c r="E2219" s="8">
        <v>1</v>
      </c>
      <c r="F2219" s="11">
        <v>0.5</v>
      </c>
      <c r="G2219" s="8">
        <v>0</v>
      </c>
      <c r="H2219" s="8">
        <v>0</v>
      </c>
      <c r="I2219" s="8">
        <v>2</v>
      </c>
      <c r="J2219" s="11">
        <v>0.5</v>
      </c>
      <c r="K2219" s="11">
        <v>0.5</v>
      </c>
      <c r="L2219" s="8" t="s">
        <v>791</v>
      </c>
      <c r="M2219" s="8">
        <v>63</v>
      </c>
      <c r="N2219" s="8" t="s">
        <v>2165</v>
      </c>
      <c r="O2219" s="8" t="s">
        <v>2166</v>
      </c>
      <c r="P2219" s="8">
        <v>79</v>
      </c>
    </row>
    <row r="2220" spans="1:16" ht="25" customHeight="1">
      <c r="A2220" s="12">
        <v>19</v>
      </c>
      <c r="B2220" s="8" t="s">
        <v>65</v>
      </c>
      <c r="C2220" s="8">
        <v>1</v>
      </c>
      <c r="D2220" s="11">
        <v>0.01388888888888889</v>
      </c>
      <c r="E2220" s="8">
        <v>1</v>
      </c>
      <c r="F2220" s="8">
        <v>1</v>
      </c>
      <c r="G2220" s="8">
        <v>0</v>
      </c>
      <c r="H2220" s="8">
        <v>0</v>
      </c>
      <c r="I2220" s="8">
        <v>0</v>
      </c>
      <c r="J2220" s="8">
        <v>0</v>
      </c>
      <c r="K2220" s="8">
        <v>1</v>
      </c>
      <c r="L2220" s="8" t="s">
        <v>791</v>
      </c>
      <c r="M2220" s="8">
        <v>100</v>
      </c>
      <c r="N2220" s="8" t="s">
        <v>2165</v>
      </c>
      <c r="O2220" s="8" t="s">
        <v>2166</v>
      </c>
      <c r="P2220" s="8">
        <v>80</v>
      </c>
    </row>
    <row r="2221" spans="1:16" ht="25" customHeight="1">
      <c r="A2221" s="12">
        <v>20</v>
      </c>
      <c r="B2221" s="8" t="s">
        <v>43</v>
      </c>
      <c r="C2221" s="8">
        <v>2</v>
      </c>
      <c r="D2221" s="11">
        <v>0.02777777777777778</v>
      </c>
      <c r="E2221" s="8">
        <v>2</v>
      </c>
      <c r="F2221" s="8">
        <v>1</v>
      </c>
      <c r="G2221" s="8">
        <v>0</v>
      </c>
      <c r="H2221" s="8">
        <v>0</v>
      </c>
      <c r="I2221" s="11">
        <v>0.5</v>
      </c>
      <c r="J2221" s="11">
        <v>0.5</v>
      </c>
      <c r="K2221" s="11">
        <v>0.5</v>
      </c>
      <c r="L2221" s="8" t="s">
        <v>791</v>
      </c>
      <c r="M2221" s="11">
        <v>99.5</v>
      </c>
      <c r="N2221" s="8" t="s">
        <v>2165</v>
      </c>
      <c r="O2221" s="8" t="s">
        <v>2166</v>
      </c>
      <c r="P2221" s="8">
        <v>81</v>
      </c>
    </row>
    <row r="2222" spans="1:16" ht="25" customHeight="1">
      <c r="A2222" s="12">
        <v>21</v>
      </c>
      <c r="B2222" s="8" t="s">
        <v>49</v>
      </c>
      <c r="C2222" s="8">
        <v>1</v>
      </c>
      <c r="D2222" s="11">
        <v>0.01388888888888889</v>
      </c>
      <c r="E2222" s="8">
        <v>1</v>
      </c>
      <c r="F2222" s="8">
        <v>1</v>
      </c>
      <c r="G2222" s="8">
        <v>0</v>
      </c>
      <c r="H2222" s="8">
        <v>0</v>
      </c>
      <c r="I2222" s="8">
        <v>0</v>
      </c>
      <c r="J2222" s="8">
        <v>0</v>
      </c>
      <c r="K2222" s="8">
        <v>1</v>
      </c>
      <c r="L2222" s="8" t="s">
        <v>791</v>
      </c>
      <c r="M2222" s="8">
        <v>100</v>
      </c>
      <c r="N2222" s="8" t="s">
        <v>2165</v>
      </c>
      <c r="O2222" s="8" t="s">
        <v>2166</v>
      </c>
      <c r="P2222" s="8">
        <v>83</v>
      </c>
    </row>
    <row r="2223" spans="1:16" ht="25" customHeight="1">
      <c r="A2223" s="12">
        <v>22</v>
      </c>
      <c r="B2223" s="8" t="s">
        <v>54</v>
      </c>
      <c r="C2223" s="8">
        <v>1</v>
      </c>
      <c r="D2223" s="11">
        <v>0.01388888888888889</v>
      </c>
      <c r="E2223" s="8">
        <v>1</v>
      </c>
      <c r="F2223" s="8">
        <v>1</v>
      </c>
      <c r="G2223" s="8">
        <v>0</v>
      </c>
      <c r="H2223" s="8">
        <v>0</v>
      </c>
      <c r="I2223" s="8">
        <v>3</v>
      </c>
      <c r="J2223" s="8">
        <v>0</v>
      </c>
      <c r="K2223" s="8">
        <v>1</v>
      </c>
      <c r="L2223" s="8" t="s">
        <v>791</v>
      </c>
      <c r="M2223" s="8">
        <v>97</v>
      </c>
      <c r="N2223" s="8" t="s">
        <v>2165</v>
      </c>
      <c r="O2223" s="8" t="s">
        <v>2166</v>
      </c>
      <c r="P2223" s="8">
        <v>85</v>
      </c>
    </row>
    <row r="2224" spans="1:16" ht="25" customHeight="1">
      <c r="A2224" s="12">
        <v>23</v>
      </c>
      <c r="B2224" s="8" t="s">
        <v>58</v>
      </c>
      <c r="C2224" s="8">
        <v>3</v>
      </c>
      <c r="D2224" s="11">
        <v>0.04166666666666666</v>
      </c>
      <c r="E2224" s="8">
        <v>3</v>
      </c>
      <c r="F2224" s="8">
        <v>1</v>
      </c>
      <c r="G2224" s="8">
        <v>0</v>
      </c>
      <c r="H2224" s="8">
        <v>0</v>
      </c>
      <c r="I2224" s="11">
        <v>0.3333333333333333</v>
      </c>
      <c r="J2224" s="11">
        <v>0.3333333333333333</v>
      </c>
      <c r="K2224" s="11">
        <v>0.6666666666666666</v>
      </c>
      <c r="L2224" s="8" t="s">
        <v>801</v>
      </c>
      <c r="M2224" s="11">
        <v>99.7</v>
      </c>
      <c r="N2224" s="8" t="s">
        <v>2169</v>
      </c>
      <c r="O2224" s="8" t="s">
        <v>2168</v>
      </c>
      <c r="P2224" s="8">
        <v>86</v>
      </c>
    </row>
    <row r="2225" spans="1:16" ht="25" customHeight="1">
      <c r="A2225" s="12">
        <v>24</v>
      </c>
      <c r="B2225" s="8" t="s">
        <v>62</v>
      </c>
      <c r="C2225" s="8">
        <v>2</v>
      </c>
      <c r="D2225" s="11">
        <v>0.02777777777777778</v>
      </c>
      <c r="E2225" s="8">
        <v>0</v>
      </c>
      <c r="F2225" s="8">
        <v>0</v>
      </c>
      <c r="G2225" s="8">
        <v>1</v>
      </c>
      <c r="H2225" s="11">
        <v>0.5</v>
      </c>
      <c r="I2225" s="11">
        <v>18.5</v>
      </c>
      <c r="J2225" s="8">
        <v>0</v>
      </c>
      <c r="K2225" s="11">
        <v>0.5</v>
      </c>
      <c r="L2225" s="8" t="s">
        <v>791</v>
      </c>
      <c r="M2225" s="8">
        <v>10</v>
      </c>
      <c r="N2225" s="8" t="s">
        <v>2161</v>
      </c>
      <c r="O2225" s="8" t="s">
        <v>2162</v>
      </c>
      <c r="P2225" s="8">
        <v>89</v>
      </c>
    </row>
    <row r="2226" spans="1:16" ht="25" customHeight="1">
      <c r="A2226" s="12">
        <v>25</v>
      </c>
      <c r="B2226" s="8" t="s">
        <v>47</v>
      </c>
      <c r="C2226" s="8">
        <v>2</v>
      </c>
      <c r="D2226" s="11">
        <v>0.02777777777777778</v>
      </c>
      <c r="E2226" s="8">
        <v>1</v>
      </c>
      <c r="F2226" s="11">
        <v>0.5</v>
      </c>
      <c r="G2226" s="8">
        <v>1</v>
      </c>
      <c r="H2226" s="11">
        <v>0.5</v>
      </c>
      <c r="I2226" s="8">
        <v>15</v>
      </c>
      <c r="J2226" s="8">
        <v>0</v>
      </c>
      <c r="K2226" s="11">
        <v>0.5</v>
      </c>
      <c r="L2226" s="8" t="s">
        <v>791</v>
      </c>
      <c r="M2226" s="8">
        <v>45</v>
      </c>
      <c r="N2226" s="8" t="s">
        <v>2161</v>
      </c>
      <c r="O2226" s="8" t="s">
        <v>2162</v>
      </c>
      <c r="P2226" s="8">
        <v>92</v>
      </c>
    </row>
    <row r="2227" spans="1:16" ht="25" customHeight="1">
      <c r="A2227" s="12">
        <v>26</v>
      </c>
      <c r="B2227" s="8" t="s">
        <v>55</v>
      </c>
      <c r="C2227" s="8">
        <v>1</v>
      </c>
      <c r="D2227" s="11">
        <v>0.01388888888888889</v>
      </c>
      <c r="E2227" s="8">
        <v>0</v>
      </c>
      <c r="F2227" s="8">
        <v>0</v>
      </c>
      <c r="G2227" s="8">
        <v>0</v>
      </c>
      <c r="H2227" s="8">
        <v>0</v>
      </c>
      <c r="I2227" s="8">
        <v>9</v>
      </c>
      <c r="J2227" s="8">
        <v>1</v>
      </c>
      <c r="K2227" s="8">
        <v>0</v>
      </c>
      <c r="L2227" s="8" t="s">
        <v>791</v>
      </c>
      <c r="M2227" s="8">
        <v>21</v>
      </c>
      <c r="N2227" s="8" t="s">
        <v>2165</v>
      </c>
      <c r="O2227" s="8" t="s">
        <v>2166</v>
      </c>
      <c r="P2227" s="8">
        <v>94</v>
      </c>
    </row>
    <row r="2228" spans="1:16" ht="25" customHeight="1">
      <c r="A2228" s="12">
        <v>27</v>
      </c>
      <c r="B2228" s="8" t="s">
        <v>64</v>
      </c>
      <c r="C2228" s="8">
        <v>1</v>
      </c>
      <c r="D2228" s="11">
        <v>0.01388888888888889</v>
      </c>
      <c r="E2228" s="8">
        <v>1</v>
      </c>
      <c r="F2228" s="8">
        <v>1</v>
      </c>
      <c r="G2228" s="8">
        <v>0</v>
      </c>
      <c r="H2228" s="8">
        <v>0</v>
      </c>
      <c r="I2228" s="8">
        <v>1</v>
      </c>
      <c r="J2228" s="8">
        <v>0</v>
      </c>
      <c r="K2228" s="8">
        <v>1</v>
      </c>
      <c r="L2228" s="8" t="s">
        <v>791</v>
      </c>
      <c r="M2228" s="8">
        <v>99</v>
      </c>
      <c r="N2228" s="8" t="s">
        <v>2165</v>
      </c>
      <c r="O2228" s="8" t="s">
        <v>2166</v>
      </c>
      <c r="P2228" s="8">
        <v>95</v>
      </c>
    </row>
    <row r="2229" spans="1:16" ht="25" customHeight="1">
      <c r="A2229" s="12">
        <v>28</v>
      </c>
      <c r="B2229" s="8" t="s">
        <v>50</v>
      </c>
      <c r="C2229" s="8">
        <v>1</v>
      </c>
      <c r="D2229" s="11">
        <v>0.01388888888888889</v>
      </c>
      <c r="E2229" s="8">
        <v>1</v>
      </c>
      <c r="F2229" s="8">
        <v>1</v>
      </c>
      <c r="G2229" s="8">
        <v>0</v>
      </c>
      <c r="H2229" s="8">
        <v>0</v>
      </c>
      <c r="I2229" s="8">
        <v>3</v>
      </c>
      <c r="J2229" s="8">
        <v>0</v>
      </c>
      <c r="K2229" s="8">
        <v>1</v>
      </c>
      <c r="L2229" s="8" t="s">
        <v>791</v>
      </c>
      <c r="M2229" s="8">
        <v>97</v>
      </c>
      <c r="N2229" s="8" t="s">
        <v>2165</v>
      </c>
      <c r="O2229" s="8" t="s">
        <v>2166</v>
      </c>
      <c r="P2229" s="8">
        <v>96</v>
      </c>
    </row>
    <row r="2230" spans="1:16" ht="25" customHeight="1">
      <c r="A2230" s="12">
        <v>29</v>
      </c>
      <c r="B2230" s="8" t="s">
        <v>57</v>
      </c>
      <c r="C2230" s="8">
        <v>1</v>
      </c>
      <c r="D2230" s="11">
        <v>0.01388888888888889</v>
      </c>
      <c r="E2230" s="8">
        <v>0</v>
      </c>
      <c r="F2230" s="8">
        <v>0</v>
      </c>
      <c r="G2230" s="8">
        <v>0</v>
      </c>
      <c r="H2230" s="8">
        <v>0</v>
      </c>
      <c r="I2230" s="8">
        <v>13</v>
      </c>
      <c r="J2230" s="8">
        <v>0</v>
      </c>
      <c r="K2230" s="8">
        <v>1</v>
      </c>
      <c r="L2230" s="8" t="s">
        <v>791</v>
      </c>
      <c r="M2230" s="8">
        <v>20</v>
      </c>
      <c r="N2230" s="8" t="s">
        <v>2165</v>
      </c>
      <c r="O2230" s="8" t="s">
        <v>2166</v>
      </c>
      <c r="P2230" s="8">
        <v>97</v>
      </c>
    </row>
    <row r="2231" spans="1:16" ht="25" customHeight="1">
      <c r="A2231" s="12">
        <v>30</v>
      </c>
      <c r="B2231" s="8" t="s">
        <v>67</v>
      </c>
      <c r="C2231" s="8">
        <v>3</v>
      </c>
      <c r="D2231" s="11">
        <v>0.04166666666666666</v>
      </c>
      <c r="E2231" s="8">
        <v>1</v>
      </c>
      <c r="F2231" s="11">
        <v>0.3333333333333333</v>
      </c>
      <c r="G2231" s="8">
        <v>0</v>
      </c>
      <c r="H2231" s="8">
        <v>0</v>
      </c>
      <c r="I2231" s="11">
        <v>1.666666666666667</v>
      </c>
      <c r="J2231" s="8">
        <v>1</v>
      </c>
      <c r="K2231" s="8">
        <v>0</v>
      </c>
      <c r="L2231" s="8" t="s">
        <v>801</v>
      </c>
      <c r="M2231" s="11">
        <v>51.7</v>
      </c>
      <c r="N2231" s="8" t="s">
        <v>2180</v>
      </c>
      <c r="O2231" s="8" t="s">
        <v>2168</v>
      </c>
      <c r="P2231" s="8">
        <v>234</v>
      </c>
    </row>
    <row r="2232" spans="1:16" ht="25" customHeight="1">
      <c r="A2232" s="12">
        <v>31</v>
      </c>
      <c r="B2232" s="8" t="s">
        <v>40</v>
      </c>
      <c r="C2232" s="8">
        <v>1</v>
      </c>
      <c r="D2232" s="11">
        <v>0.01388888888888889</v>
      </c>
      <c r="E2232" s="8">
        <v>0</v>
      </c>
      <c r="F2232" s="8">
        <v>0</v>
      </c>
      <c r="G2232" s="8">
        <v>0</v>
      </c>
      <c r="H2232" s="8">
        <v>0</v>
      </c>
      <c r="I2232" s="8">
        <v>5</v>
      </c>
      <c r="J2232" s="8">
        <v>1</v>
      </c>
      <c r="K2232" s="8">
        <v>0</v>
      </c>
      <c r="L2232" s="8" t="s">
        <v>791</v>
      </c>
      <c r="M2232" s="8">
        <v>25</v>
      </c>
      <c r="N2232" s="8" t="s">
        <v>2165</v>
      </c>
      <c r="O2232" s="8" t="s">
        <v>2166</v>
      </c>
      <c r="P2232" s="8">
        <v>237</v>
      </c>
    </row>
    <row r="2233" spans="1:16" ht="25" customHeight="1">
      <c r="A2233" s="12">
        <v>32</v>
      </c>
      <c r="B2233" s="8" t="s">
        <v>59</v>
      </c>
      <c r="C2233" s="8">
        <v>1</v>
      </c>
      <c r="D2233" s="11">
        <v>0.01388888888888889</v>
      </c>
      <c r="E2233" s="8">
        <v>0</v>
      </c>
      <c r="F2233" s="8">
        <v>0</v>
      </c>
      <c r="G2233" s="8">
        <v>1</v>
      </c>
      <c r="H2233" s="8">
        <v>1</v>
      </c>
      <c r="I2233" s="8">
        <v>16</v>
      </c>
      <c r="J2233" s="8">
        <v>1</v>
      </c>
      <c r="K2233" s="8">
        <v>0</v>
      </c>
      <c r="L2233" s="8" t="s">
        <v>791</v>
      </c>
      <c r="M2233" s="8">
        <v>0</v>
      </c>
      <c r="N2233" s="8" t="s">
        <v>2161</v>
      </c>
      <c r="O2233" s="8" t="s">
        <v>2162</v>
      </c>
      <c r="P2233" s="8">
        <v>242</v>
      </c>
    </row>
    <row r="2234" spans="1:16" ht="25" customHeight="1">
      <c r="A2234" s="12">
        <v>33</v>
      </c>
      <c r="B2234" s="8" t="s">
        <v>63</v>
      </c>
      <c r="C2234" s="8">
        <v>1</v>
      </c>
      <c r="D2234" s="11">
        <v>0.01388888888888889</v>
      </c>
      <c r="E2234" s="8">
        <v>0</v>
      </c>
      <c r="F2234" s="8">
        <v>0</v>
      </c>
      <c r="G2234" s="8">
        <v>0</v>
      </c>
      <c r="H2234" s="8">
        <v>0</v>
      </c>
      <c r="I2234" s="8">
        <v>7</v>
      </c>
      <c r="J2234" s="8">
        <v>1</v>
      </c>
      <c r="K2234" s="8">
        <v>0</v>
      </c>
      <c r="L2234" s="8" t="s">
        <v>791</v>
      </c>
      <c r="M2234" s="8">
        <v>23</v>
      </c>
      <c r="N2234" s="8" t="s">
        <v>2165</v>
      </c>
      <c r="O2234" s="8" t="s">
        <v>2166</v>
      </c>
      <c r="P2234" s="8">
        <v>245</v>
      </c>
    </row>
    <row r="2240" spans="1:16" ht="27" customHeight="1">
      <c r="A2240" s="5" t="s">
        <v>2209</v>
      </c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</row>
    <row r="2241" spans="1:16" ht="36" customHeight="1">
      <c r="A2241" s="9" t="s">
        <v>683</v>
      </c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</row>
    <row r="2242" spans="1:16" ht="25" customHeight="1">
      <c r="A2242" s="6" t="s">
        <v>684</v>
      </c>
    </row>
    <row r="2243" spans="1:16" ht="25" customHeight="1">
      <c r="A2243" s="12">
        <v>1</v>
      </c>
      <c r="B2243" s="8" t="s">
        <v>2210</v>
      </c>
    </row>
    <row r="2244" spans="1:16" ht="25" customHeight="1">
      <c r="A2244" s="12">
        <v>2</v>
      </c>
      <c r="B2244" s="8" t="s">
        <v>2174</v>
      </c>
      <c r="E2244" s="8" t="s">
        <v>2121</v>
      </c>
      <c r="H2244" s="8" t="s">
        <v>2072</v>
      </c>
      <c r="K2244" s="8" t="s">
        <v>2122</v>
      </c>
      <c r="M2244" s="8" t="s">
        <v>2175</v>
      </c>
    </row>
    <row r="2245" spans="1:16" ht="25" customHeight="1">
      <c r="A2245" s="12">
        <v>3</v>
      </c>
      <c r="B2245" s="8" t="s">
        <v>2176</v>
      </c>
      <c r="C2245" s="8" t="s">
        <v>2091</v>
      </c>
      <c r="D2245" s="8" t="s">
        <v>690</v>
      </c>
      <c r="E2245" s="8" t="s">
        <v>2130</v>
      </c>
      <c r="F2245" s="8" t="s">
        <v>2132</v>
      </c>
      <c r="G2245" s="8" t="s">
        <v>2133</v>
      </c>
      <c r="H2245" s="8" t="s">
        <v>784</v>
      </c>
      <c r="I2245" s="8" t="s">
        <v>2135</v>
      </c>
      <c r="J2245" s="8" t="s">
        <v>2146</v>
      </c>
      <c r="K2245" s="8" t="s">
        <v>2147</v>
      </c>
      <c r="L2245" s="8" t="s">
        <v>786</v>
      </c>
      <c r="M2245" s="8" t="s">
        <v>2134</v>
      </c>
      <c r="N2245" s="8" t="s">
        <v>2136</v>
      </c>
      <c r="O2245" s="8" t="s">
        <v>2139</v>
      </c>
      <c r="P2245" s="8" t="s">
        <v>1946</v>
      </c>
    </row>
    <row r="2246" spans="1:16" ht="25" customHeight="1">
      <c r="A2246" s="12">
        <v>4</v>
      </c>
      <c r="B2246" s="8" t="s">
        <v>60</v>
      </c>
      <c r="C2246" s="8">
        <v>2</v>
      </c>
      <c r="D2246" s="11">
        <v>0.1333333333333333</v>
      </c>
      <c r="E2246" s="8">
        <v>1</v>
      </c>
      <c r="F2246" s="11">
        <v>0.5</v>
      </c>
      <c r="G2246" s="8">
        <v>0</v>
      </c>
      <c r="H2246" s="8">
        <v>0</v>
      </c>
      <c r="I2246" s="8">
        <v>6</v>
      </c>
      <c r="J2246" s="11">
        <v>0.5</v>
      </c>
      <c r="K2246" s="11">
        <v>0.5</v>
      </c>
      <c r="L2246" s="8" t="s">
        <v>791</v>
      </c>
      <c r="M2246" s="8">
        <v>59</v>
      </c>
      <c r="N2246" s="8" t="s">
        <v>2165</v>
      </c>
      <c r="O2246" s="8" t="s">
        <v>2166</v>
      </c>
      <c r="P2246" s="8">
        <v>99</v>
      </c>
    </row>
    <row r="2247" spans="1:16" ht="25" customHeight="1">
      <c r="A2247" s="12">
        <v>5</v>
      </c>
      <c r="B2247" s="8" t="s">
        <v>63</v>
      </c>
      <c r="C2247" s="8">
        <v>2</v>
      </c>
      <c r="D2247" s="11">
        <v>0.1333333333333333</v>
      </c>
      <c r="E2247" s="8">
        <v>0</v>
      </c>
      <c r="F2247" s="8">
        <v>0</v>
      </c>
      <c r="G2247" s="8">
        <v>1</v>
      </c>
      <c r="H2247" s="11">
        <v>0.5</v>
      </c>
      <c r="I2247" s="11">
        <v>18.5</v>
      </c>
      <c r="J2247" s="8">
        <v>0</v>
      </c>
      <c r="K2247" s="8">
        <v>1</v>
      </c>
      <c r="L2247" s="8" t="s">
        <v>791</v>
      </c>
      <c r="M2247" s="8">
        <v>10</v>
      </c>
      <c r="N2247" s="8" t="s">
        <v>2161</v>
      </c>
      <c r="O2247" s="8" t="s">
        <v>2162</v>
      </c>
      <c r="P2247" s="8">
        <v>105</v>
      </c>
    </row>
    <row r="2248" spans="1:16" ht="25" customHeight="1">
      <c r="A2248" s="12">
        <v>6</v>
      </c>
      <c r="B2248" s="8" t="s">
        <v>68</v>
      </c>
      <c r="C2248" s="8">
        <v>1</v>
      </c>
      <c r="D2248" s="11">
        <v>0.06666666666666667</v>
      </c>
      <c r="E2248" s="8">
        <v>0</v>
      </c>
      <c r="F2248" s="8">
        <v>0</v>
      </c>
      <c r="G2248" s="8">
        <v>0</v>
      </c>
      <c r="H2248" s="8">
        <v>0</v>
      </c>
      <c r="I2248" s="8">
        <v>5</v>
      </c>
      <c r="J2248" s="8">
        <v>1</v>
      </c>
      <c r="K2248" s="8">
        <v>0</v>
      </c>
      <c r="L2248" s="8" t="s">
        <v>791</v>
      </c>
      <c r="M2248" s="8">
        <v>25</v>
      </c>
      <c r="N2248" s="8" t="s">
        <v>2165</v>
      </c>
      <c r="O2248" s="8" t="s">
        <v>2166</v>
      </c>
      <c r="P2248" s="8">
        <v>118</v>
      </c>
    </row>
    <row r="2249" spans="1:16" ht="25" customHeight="1">
      <c r="A2249" s="12">
        <v>7</v>
      </c>
      <c r="B2249" s="8" t="s">
        <v>56</v>
      </c>
      <c r="C2249" s="8">
        <v>1</v>
      </c>
      <c r="D2249" s="11">
        <v>0.06666666666666667</v>
      </c>
      <c r="E2249" s="8">
        <v>1</v>
      </c>
      <c r="F2249" s="8">
        <v>1</v>
      </c>
      <c r="G2249" s="8">
        <v>0</v>
      </c>
      <c r="H2249" s="8">
        <v>0</v>
      </c>
      <c r="I2249" s="8">
        <v>-2</v>
      </c>
      <c r="J2249" s="8">
        <v>1</v>
      </c>
      <c r="K2249" s="8">
        <v>0</v>
      </c>
      <c r="L2249" s="8" t="s">
        <v>791</v>
      </c>
      <c r="M2249" s="8">
        <v>100</v>
      </c>
      <c r="N2249" s="8" t="s">
        <v>2165</v>
      </c>
      <c r="O2249" s="8" t="s">
        <v>2166</v>
      </c>
      <c r="P2249" s="8">
        <v>130</v>
      </c>
    </row>
    <row r="2250" spans="1:16" ht="25" customHeight="1">
      <c r="A2250" s="12">
        <v>8</v>
      </c>
      <c r="B2250" s="8" t="s">
        <v>27</v>
      </c>
      <c r="C2250" s="8">
        <v>1</v>
      </c>
      <c r="D2250" s="11">
        <v>0.06666666666666667</v>
      </c>
      <c r="E2250" s="8">
        <v>0</v>
      </c>
      <c r="F2250" s="8">
        <v>0</v>
      </c>
      <c r="G2250" s="8">
        <v>0</v>
      </c>
      <c r="H2250" s="8">
        <v>0</v>
      </c>
      <c r="I2250" s="8">
        <v>1</v>
      </c>
      <c r="J2250" s="8">
        <v>0</v>
      </c>
      <c r="K2250" s="8">
        <v>0</v>
      </c>
      <c r="L2250" s="8" t="s">
        <v>791</v>
      </c>
      <c r="M2250" s="8">
        <v>29</v>
      </c>
      <c r="N2250" s="8" t="s">
        <v>2165</v>
      </c>
      <c r="O2250" s="8" t="s">
        <v>2166</v>
      </c>
      <c r="P2250" s="8">
        <v>138</v>
      </c>
    </row>
    <row r="2251" spans="1:16" ht="25" customHeight="1">
      <c r="A2251" s="12">
        <v>9</v>
      </c>
      <c r="B2251" s="8" t="s">
        <v>46</v>
      </c>
      <c r="C2251" s="8">
        <v>1</v>
      </c>
      <c r="D2251" s="11">
        <v>0.06666666666666667</v>
      </c>
      <c r="E2251" s="8">
        <v>1</v>
      </c>
      <c r="F2251" s="8">
        <v>1</v>
      </c>
      <c r="G2251" s="8">
        <v>0</v>
      </c>
      <c r="H2251" s="8">
        <v>0</v>
      </c>
      <c r="I2251" s="8">
        <v>0</v>
      </c>
      <c r="J2251" s="8">
        <v>0</v>
      </c>
      <c r="K2251" s="8">
        <v>1</v>
      </c>
      <c r="L2251" s="8" t="s">
        <v>791</v>
      </c>
      <c r="M2251" s="8">
        <v>100</v>
      </c>
      <c r="N2251" s="8" t="s">
        <v>2165</v>
      </c>
      <c r="O2251" s="8" t="s">
        <v>2166</v>
      </c>
      <c r="P2251" s="8">
        <v>139</v>
      </c>
    </row>
    <row r="2252" spans="1:16" ht="25" customHeight="1">
      <c r="A2252" s="12">
        <v>10</v>
      </c>
      <c r="B2252" s="8" t="s">
        <v>30</v>
      </c>
      <c r="C2252" s="8">
        <v>2</v>
      </c>
      <c r="D2252" s="11">
        <v>0.1333333333333333</v>
      </c>
      <c r="E2252" s="8">
        <v>1</v>
      </c>
      <c r="F2252" s="11">
        <v>0.5</v>
      </c>
      <c r="G2252" s="8">
        <v>0</v>
      </c>
      <c r="H2252" s="8">
        <v>0</v>
      </c>
      <c r="I2252" s="11">
        <v>1.5</v>
      </c>
      <c r="J2252" s="11">
        <v>0.5</v>
      </c>
      <c r="K2252" s="8">
        <v>0</v>
      </c>
      <c r="L2252" s="8" t="s">
        <v>791</v>
      </c>
      <c r="M2252" s="11">
        <v>63.5</v>
      </c>
      <c r="N2252" s="8" t="s">
        <v>2165</v>
      </c>
      <c r="O2252" s="8" t="s">
        <v>2166</v>
      </c>
      <c r="P2252" s="8">
        <v>143</v>
      </c>
    </row>
    <row r="2253" spans="1:16" ht="25" customHeight="1">
      <c r="A2253" s="12">
        <v>11</v>
      </c>
      <c r="B2253" s="8" t="s">
        <v>72</v>
      </c>
      <c r="C2253" s="8">
        <v>1</v>
      </c>
      <c r="D2253" s="11">
        <v>0.06666666666666667</v>
      </c>
      <c r="E2253" s="8">
        <v>0</v>
      </c>
      <c r="F2253" s="8">
        <v>0</v>
      </c>
      <c r="G2253" s="8">
        <v>0</v>
      </c>
      <c r="H2253" s="8">
        <v>0</v>
      </c>
      <c r="I2253" s="8">
        <v>9</v>
      </c>
      <c r="J2253" s="8">
        <v>0</v>
      </c>
      <c r="K2253" s="8">
        <v>1</v>
      </c>
      <c r="L2253" s="8" t="s">
        <v>791</v>
      </c>
      <c r="M2253" s="8">
        <v>21</v>
      </c>
      <c r="N2253" s="8" t="s">
        <v>2165</v>
      </c>
      <c r="O2253" s="8" t="s">
        <v>2166</v>
      </c>
      <c r="P2253" s="8">
        <v>162</v>
      </c>
    </row>
    <row r="2254" spans="1:16" ht="25" customHeight="1">
      <c r="A2254" s="12">
        <v>12</v>
      </c>
      <c r="B2254" s="8" t="s">
        <v>74</v>
      </c>
      <c r="C2254" s="8">
        <v>1</v>
      </c>
      <c r="D2254" s="11">
        <v>0.06666666666666667</v>
      </c>
      <c r="E2254" s="8">
        <v>1</v>
      </c>
      <c r="F2254" s="8">
        <v>1</v>
      </c>
      <c r="G2254" s="8">
        <v>0</v>
      </c>
      <c r="H2254" s="8">
        <v>0</v>
      </c>
      <c r="I2254" s="8">
        <v>-8</v>
      </c>
      <c r="J2254" s="8">
        <v>0</v>
      </c>
      <c r="K2254" s="8">
        <v>1</v>
      </c>
      <c r="L2254" s="8" t="s">
        <v>791</v>
      </c>
      <c r="M2254" s="8">
        <v>100</v>
      </c>
      <c r="N2254" s="8" t="s">
        <v>2165</v>
      </c>
      <c r="O2254" s="8" t="s">
        <v>2166</v>
      </c>
      <c r="P2254" s="8">
        <v>166</v>
      </c>
    </row>
    <row r="2255" spans="1:16" ht="25" customHeight="1">
      <c r="A2255" s="12">
        <v>13</v>
      </c>
      <c r="B2255" s="8" t="s">
        <v>35</v>
      </c>
      <c r="C2255" s="8">
        <v>1</v>
      </c>
      <c r="D2255" s="11">
        <v>0.06666666666666667</v>
      </c>
      <c r="E2255" s="8">
        <v>0</v>
      </c>
      <c r="F2255" s="8">
        <v>0</v>
      </c>
      <c r="G2255" s="8">
        <v>1</v>
      </c>
      <c r="H2255" s="8">
        <v>1</v>
      </c>
      <c r="I2255" s="8">
        <v>16</v>
      </c>
      <c r="J2255" s="8">
        <v>1</v>
      </c>
      <c r="K2255" s="8">
        <v>0</v>
      </c>
      <c r="L2255" s="8" t="s">
        <v>791</v>
      </c>
      <c r="M2255" s="8">
        <v>0</v>
      </c>
      <c r="N2255" s="8" t="s">
        <v>2161</v>
      </c>
      <c r="O2255" s="8" t="s">
        <v>2162</v>
      </c>
      <c r="P2255" s="8">
        <v>248</v>
      </c>
    </row>
    <row r="2256" spans="1:16" ht="25" customHeight="1">
      <c r="A2256" s="12">
        <v>14</v>
      </c>
      <c r="B2256" s="8" t="s">
        <v>73</v>
      </c>
      <c r="C2256" s="8">
        <v>1</v>
      </c>
      <c r="D2256" s="11">
        <v>0.06666666666666667</v>
      </c>
      <c r="E2256" s="8">
        <v>1</v>
      </c>
      <c r="F2256" s="8">
        <v>1</v>
      </c>
      <c r="G2256" s="8">
        <v>0</v>
      </c>
      <c r="H2256" s="8">
        <v>0</v>
      </c>
      <c r="I2256" s="8">
        <v>6</v>
      </c>
      <c r="J2256" s="8">
        <v>0</v>
      </c>
      <c r="K2256" s="8">
        <v>1</v>
      </c>
      <c r="L2256" s="8" t="s">
        <v>791</v>
      </c>
      <c r="M2256" s="8">
        <v>94</v>
      </c>
      <c r="N2256" s="8" t="s">
        <v>2165</v>
      </c>
      <c r="O2256" s="8" t="s">
        <v>2166</v>
      </c>
      <c r="P2256" s="8">
        <v>259</v>
      </c>
    </row>
    <row r="2257" spans="1:16" ht="25" customHeight="1">
      <c r="A2257" s="12">
        <v>15</v>
      </c>
      <c r="B2257" s="8" t="s">
        <v>75</v>
      </c>
      <c r="C2257" s="8">
        <v>1</v>
      </c>
      <c r="D2257" s="11">
        <v>0.06666666666666667</v>
      </c>
      <c r="E2257" s="8">
        <v>1</v>
      </c>
      <c r="F2257" s="8">
        <v>1</v>
      </c>
      <c r="G2257" s="8">
        <v>0</v>
      </c>
      <c r="H2257" s="8">
        <v>0</v>
      </c>
      <c r="I2257" s="8">
        <v>1</v>
      </c>
      <c r="J2257" s="8">
        <v>1</v>
      </c>
      <c r="K2257" s="8">
        <v>0</v>
      </c>
      <c r="L2257" s="8" t="s">
        <v>791</v>
      </c>
      <c r="M2257" s="8">
        <v>99</v>
      </c>
      <c r="N2257" s="8" t="s">
        <v>2165</v>
      </c>
      <c r="O2257" s="8" t="s">
        <v>2166</v>
      </c>
      <c r="P2257" s="8">
        <v>262</v>
      </c>
    </row>
    <row r="2263" spans="1:16" ht="27" customHeight="1">
      <c r="A2263" s="5" t="s">
        <v>2211</v>
      </c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</row>
    <row r="2264" spans="1:16" ht="36" customHeight="1">
      <c r="A2264" s="9" t="s">
        <v>683</v>
      </c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</row>
    <row r="2265" spans="1:16" ht="25" customHeight="1">
      <c r="A2265" s="6" t="s">
        <v>684</v>
      </c>
    </row>
    <row r="2266" spans="1:16" ht="25" customHeight="1">
      <c r="A2266" s="12">
        <v>1</v>
      </c>
      <c r="B2266" s="8" t="s">
        <v>2212</v>
      </c>
    </row>
    <row r="2267" spans="1:16" ht="25" customHeight="1">
      <c r="A2267" s="12">
        <v>2</v>
      </c>
      <c r="B2267" s="8" t="s">
        <v>2174</v>
      </c>
      <c r="E2267" s="8" t="s">
        <v>2121</v>
      </c>
      <c r="H2267" s="8" t="s">
        <v>2072</v>
      </c>
      <c r="K2267" s="8" t="s">
        <v>2122</v>
      </c>
      <c r="M2267" s="8" t="s">
        <v>2175</v>
      </c>
    </row>
    <row r="2268" spans="1:16" ht="25" customHeight="1">
      <c r="A2268" s="12">
        <v>3</v>
      </c>
      <c r="B2268" s="8" t="s">
        <v>2176</v>
      </c>
      <c r="C2268" s="8" t="s">
        <v>2091</v>
      </c>
      <c r="D2268" s="8" t="s">
        <v>690</v>
      </c>
      <c r="E2268" s="8" t="s">
        <v>2130</v>
      </c>
      <c r="F2268" s="8" t="s">
        <v>2132</v>
      </c>
      <c r="G2268" s="8" t="s">
        <v>2133</v>
      </c>
      <c r="H2268" s="8" t="s">
        <v>784</v>
      </c>
      <c r="I2268" s="8" t="s">
        <v>2135</v>
      </c>
      <c r="J2268" s="8" t="s">
        <v>2146</v>
      </c>
      <c r="K2268" s="8" t="s">
        <v>2147</v>
      </c>
      <c r="L2268" s="8" t="s">
        <v>786</v>
      </c>
      <c r="M2268" s="8" t="s">
        <v>2134</v>
      </c>
      <c r="N2268" s="8" t="s">
        <v>2136</v>
      </c>
      <c r="O2268" s="8" t="s">
        <v>2139</v>
      </c>
      <c r="P2268" s="8" t="s">
        <v>1946</v>
      </c>
    </row>
    <row r="2269" spans="1:16" ht="25" customHeight="1">
      <c r="A2269" s="12">
        <v>4</v>
      </c>
      <c r="B2269" s="8" t="s">
        <v>60</v>
      </c>
      <c r="C2269" s="8">
        <v>2</v>
      </c>
      <c r="D2269" s="11">
        <v>0.08333333333333333</v>
      </c>
      <c r="E2269" s="8">
        <v>0</v>
      </c>
      <c r="F2269" s="8">
        <v>0</v>
      </c>
      <c r="G2269" s="8">
        <v>1</v>
      </c>
      <c r="H2269" s="11">
        <v>0.5</v>
      </c>
      <c r="I2269" s="8">
        <v>14</v>
      </c>
      <c r="J2269" s="11">
        <v>0.5</v>
      </c>
      <c r="K2269" s="11">
        <v>0.5</v>
      </c>
      <c r="L2269" s="8" t="s">
        <v>791</v>
      </c>
      <c r="M2269" s="8">
        <v>10</v>
      </c>
      <c r="N2269" s="8" t="s">
        <v>2161</v>
      </c>
      <c r="O2269" s="8" t="s">
        <v>2162</v>
      </c>
      <c r="P2269" s="8">
        <v>103</v>
      </c>
    </row>
    <row r="2270" spans="1:16" ht="25" customHeight="1">
      <c r="A2270" s="12">
        <v>5</v>
      </c>
      <c r="B2270" s="8" t="s">
        <v>48</v>
      </c>
      <c r="C2270" s="8">
        <v>1</v>
      </c>
      <c r="D2270" s="11">
        <v>0.04166666666666666</v>
      </c>
      <c r="E2270" s="8">
        <v>1</v>
      </c>
      <c r="F2270" s="8">
        <v>1</v>
      </c>
      <c r="G2270" s="8">
        <v>0</v>
      </c>
      <c r="H2270" s="8">
        <v>0</v>
      </c>
      <c r="I2270" s="8">
        <v>-8</v>
      </c>
      <c r="J2270" s="8">
        <v>0</v>
      </c>
      <c r="K2270" s="8">
        <v>1</v>
      </c>
      <c r="L2270" s="8" t="s">
        <v>791</v>
      </c>
      <c r="M2270" s="8">
        <v>100</v>
      </c>
      <c r="N2270" s="8" t="s">
        <v>2165</v>
      </c>
      <c r="O2270" s="8" t="s">
        <v>2166</v>
      </c>
      <c r="P2270" s="8">
        <v>112</v>
      </c>
    </row>
    <row r="2271" spans="1:16" ht="25" customHeight="1">
      <c r="A2271" s="12">
        <v>6</v>
      </c>
      <c r="B2271" s="8" t="s">
        <v>68</v>
      </c>
      <c r="C2271" s="8">
        <v>1</v>
      </c>
      <c r="D2271" s="11">
        <v>0.04166666666666666</v>
      </c>
      <c r="E2271" s="8">
        <v>1</v>
      </c>
      <c r="F2271" s="8">
        <v>1</v>
      </c>
      <c r="G2271" s="8">
        <v>0</v>
      </c>
      <c r="H2271" s="8">
        <v>0</v>
      </c>
      <c r="I2271" s="8">
        <v>0</v>
      </c>
      <c r="J2271" s="8">
        <v>0</v>
      </c>
      <c r="K2271" s="8">
        <v>1</v>
      </c>
      <c r="L2271" s="8" t="s">
        <v>791</v>
      </c>
      <c r="M2271" s="8">
        <v>100</v>
      </c>
      <c r="N2271" s="8" t="s">
        <v>2165</v>
      </c>
      <c r="O2271" s="8" t="s">
        <v>2166</v>
      </c>
      <c r="P2271" s="8">
        <v>117</v>
      </c>
    </row>
    <row r="2272" spans="1:16" ht="25" customHeight="1">
      <c r="A2272" s="12">
        <v>7</v>
      </c>
      <c r="B2272" s="8" t="s">
        <v>44</v>
      </c>
      <c r="C2272" s="8">
        <v>2</v>
      </c>
      <c r="D2272" s="11">
        <v>0.08333333333333333</v>
      </c>
      <c r="E2272" s="8">
        <v>1</v>
      </c>
      <c r="F2272" s="11">
        <v>0.5</v>
      </c>
      <c r="G2272" s="8">
        <v>0</v>
      </c>
      <c r="H2272" s="8">
        <v>0</v>
      </c>
      <c r="I2272" s="11">
        <v>4.5</v>
      </c>
      <c r="J2272" s="8">
        <v>0</v>
      </c>
      <c r="K2272" s="8">
        <v>1</v>
      </c>
      <c r="L2272" s="8" t="s">
        <v>791</v>
      </c>
      <c r="M2272" s="11">
        <v>60.5</v>
      </c>
      <c r="N2272" s="8" t="s">
        <v>2165</v>
      </c>
      <c r="O2272" s="8" t="s">
        <v>2166</v>
      </c>
      <c r="P2272" s="8">
        <v>119</v>
      </c>
    </row>
    <row r="2273" spans="1:16" ht="25" customHeight="1">
      <c r="A2273" s="12">
        <v>8</v>
      </c>
      <c r="B2273" s="8" t="s">
        <v>34</v>
      </c>
      <c r="C2273" s="8">
        <v>1</v>
      </c>
      <c r="D2273" s="11">
        <v>0.04166666666666666</v>
      </c>
      <c r="E2273" s="8">
        <v>0</v>
      </c>
      <c r="F2273" s="8">
        <v>0</v>
      </c>
      <c r="G2273" s="8">
        <v>0</v>
      </c>
      <c r="H2273" s="8">
        <v>0</v>
      </c>
      <c r="I2273" s="8">
        <v>10</v>
      </c>
      <c r="J2273" s="8">
        <v>0</v>
      </c>
      <c r="K2273" s="8">
        <v>1</v>
      </c>
      <c r="L2273" s="8" t="s">
        <v>791</v>
      </c>
      <c r="M2273" s="8">
        <v>20</v>
      </c>
      <c r="N2273" s="8" t="s">
        <v>2165</v>
      </c>
      <c r="O2273" s="8" t="s">
        <v>2166</v>
      </c>
      <c r="P2273" s="8">
        <v>123</v>
      </c>
    </row>
    <row r="2274" spans="1:16" ht="25" customHeight="1">
      <c r="A2274" s="12">
        <v>9</v>
      </c>
      <c r="B2274" s="8" t="s">
        <v>79</v>
      </c>
      <c r="C2274" s="8">
        <v>2</v>
      </c>
      <c r="D2274" s="11">
        <v>0.08333333333333333</v>
      </c>
      <c r="E2274" s="8">
        <v>2</v>
      </c>
      <c r="F2274" s="8">
        <v>1</v>
      </c>
      <c r="G2274" s="8">
        <v>0</v>
      </c>
      <c r="H2274" s="8">
        <v>0</v>
      </c>
      <c r="I2274" s="8">
        <v>2</v>
      </c>
      <c r="J2274" s="8">
        <v>0</v>
      </c>
      <c r="K2274" s="8">
        <v>1</v>
      </c>
      <c r="L2274" s="8" t="s">
        <v>791</v>
      </c>
      <c r="M2274" s="8">
        <v>98</v>
      </c>
      <c r="N2274" s="8" t="s">
        <v>2165</v>
      </c>
      <c r="O2274" s="8" t="s">
        <v>2166</v>
      </c>
      <c r="P2274" s="8">
        <v>125</v>
      </c>
    </row>
    <row r="2275" spans="1:16" ht="25" customHeight="1">
      <c r="A2275" s="12">
        <v>10</v>
      </c>
      <c r="B2275" s="8" t="s">
        <v>56</v>
      </c>
      <c r="C2275" s="8">
        <v>1</v>
      </c>
      <c r="D2275" s="11">
        <v>0.04166666666666666</v>
      </c>
      <c r="E2275" s="8">
        <v>0</v>
      </c>
      <c r="F2275" s="8">
        <v>0</v>
      </c>
      <c r="G2275" s="8">
        <v>0</v>
      </c>
      <c r="H2275" s="8">
        <v>0</v>
      </c>
      <c r="I2275" s="8">
        <v>5</v>
      </c>
      <c r="J2275" s="8">
        <v>1</v>
      </c>
      <c r="K2275" s="8">
        <v>0</v>
      </c>
      <c r="L2275" s="8" t="s">
        <v>791</v>
      </c>
      <c r="M2275" s="8">
        <v>25</v>
      </c>
      <c r="N2275" s="8" t="s">
        <v>2165</v>
      </c>
      <c r="O2275" s="8" t="s">
        <v>2166</v>
      </c>
      <c r="P2275" s="8">
        <v>129</v>
      </c>
    </row>
    <row r="2276" spans="1:16" ht="25" customHeight="1">
      <c r="A2276" s="12">
        <v>11</v>
      </c>
      <c r="B2276" s="8" t="s">
        <v>61</v>
      </c>
      <c r="C2276" s="8">
        <v>1</v>
      </c>
      <c r="D2276" s="11">
        <v>0.04166666666666666</v>
      </c>
      <c r="E2276" s="8">
        <v>0</v>
      </c>
      <c r="F2276" s="8">
        <v>0</v>
      </c>
      <c r="G2276" s="8">
        <v>0</v>
      </c>
      <c r="H2276" s="8">
        <v>0</v>
      </c>
      <c r="I2276" s="8">
        <v>11</v>
      </c>
      <c r="J2276" s="8">
        <v>0</v>
      </c>
      <c r="K2276" s="8">
        <v>1</v>
      </c>
      <c r="L2276" s="8" t="s">
        <v>791</v>
      </c>
      <c r="M2276" s="8">
        <v>20</v>
      </c>
      <c r="N2276" s="8" t="s">
        <v>2165</v>
      </c>
      <c r="O2276" s="8" t="s">
        <v>2166</v>
      </c>
      <c r="P2276" s="8">
        <v>131</v>
      </c>
    </row>
    <row r="2277" spans="1:16" ht="25" customHeight="1">
      <c r="A2277" s="12">
        <v>12</v>
      </c>
      <c r="B2277" s="8" t="s">
        <v>69</v>
      </c>
      <c r="C2277" s="8">
        <v>1</v>
      </c>
      <c r="D2277" s="11">
        <v>0.04166666666666666</v>
      </c>
      <c r="E2277" s="8">
        <v>1</v>
      </c>
      <c r="F2277" s="8">
        <v>1</v>
      </c>
      <c r="G2277" s="8">
        <v>0</v>
      </c>
      <c r="H2277" s="8">
        <v>0</v>
      </c>
      <c r="I2277" s="8">
        <v>2</v>
      </c>
      <c r="J2277" s="8">
        <v>1</v>
      </c>
      <c r="K2277" s="8">
        <v>0</v>
      </c>
      <c r="L2277" s="8" t="s">
        <v>791</v>
      </c>
      <c r="M2277" s="8">
        <v>98</v>
      </c>
      <c r="N2277" s="8" t="s">
        <v>2165</v>
      </c>
      <c r="O2277" s="8" t="s">
        <v>2166</v>
      </c>
      <c r="P2277" s="8">
        <v>135</v>
      </c>
    </row>
    <row r="2278" spans="1:16" ht="25" customHeight="1">
      <c r="A2278" s="12">
        <v>13</v>
      </c>
      <c r="B2278" s="8" t="s">
        <v>80</v>
      </c>
      <c r="C2278" s="8">
        <v>1</v>
      </c>
      <c r="D2278" s="11">
        <v>0.04166666666666666</v>
      </c>
      <c r="E2278" s="8">
        <v>0</v>
      </c>
      <c r="F2278" s="8">
        <v>0</v>
      </c>
      <c r="G2278" s="8">
        <v>0</v>
      </c>
      <c r="H2278" s="8">
        <v>0</v>
      </c>
      <c r="I2278" s="8">
        <v>8</v>
      </c>
      <c r="J2278" s="8">
        <v>1</v>
      </c>
      <c r="K2278" s="8">
        <v>0</v>
      </c>
      <c r="L2278" s="8" t="s">
        <v>791</v>
      </c>
      <c r="M2278" s="8">
        <v>22</v>
      </c>
      <c r="N2278" s="8" t="s">
        <v>2165</v>
      </c>
      <c r="O2278" s="8" t="s">
        <v>2166</v>
      </c>
      <c r="P2278" s="8">
        <v>145</v>
      </c>
    </row>
    <row r="2279" spans="1:16" ht="25" customHeight="1">
      <c r="A2279" s="12">
        <v>14</v>
      </c>
      <c r="B2279" s="8" t="s">
        <v>52</v>
      </c>
      <c r="C2279" s="8">
        <v>3</v>
      </c>
      <c r="D2279" s="11">
        <v>0.125</v>
      </c>
      <c r="E2279" s="8">
        <v>2</v>
      </c>
      <c r="F2279" s="11">
        <v>0.6666666666666666</v>
      </c>
      <c r="G2279" s="8">
        <v>0</v>
      </c>
      <c r="H2279" s="8">
        <v>0</v>
      </c>
      <c r="I2279" s="8">
        <v>2</v>
      </c>
      <c r="J2279" s="11">
        <v>0.6666666666666666</v>
      </c>
      <c r="K2279" s="11">
        <v>0.3333333333333333</v>
      </c>
      <c r="L2279" s="8" t="s">
        <v>801</v>
      </c>
      <c r="M2279" s="11">
        <v>74.7</v>
      </c>
      <c r="N2279" s="8" t="s">
        <v>2179</v>
      </c>
      <c r="O2279" s="8" t="s">
        <v>2168</v>
      </c>
      <c r="P2279" s="8">
        <v>147</v>
      </c>
    </row>
    <row r="2280" spans="1:16" ht="25" customHeight="1">
      <c r="A2280" s="12">
        <v>15</v>
      </c>
      <c r="B2280" s="8" t="s">
        <v>53</v>
      </c>
      <c r="C2280" s="8">
        <v>1</v>
      </c>
      <c r="D2280" s="11">
        <v>0.04166666666666666</v>
      </c>
      <c r="E2280" s="8">
        <v>1</v>
      </c>
      <c r="F2280" s="8">
        <v>1</v>
      </c>
      <c r="G2280" s="8">
        <v>0</v>
      </c>
      <c r="H2280" s="8">
        <v>0</v>
      </c>
      <c r="I2280" s="8">
        <v>2</v>
      </c>
      <c r="J2280" s="8">
        <v>1</v>
      </c>
      <c r="K2280" s="8">
        <v>0</v>
      </c>
      <c r="L2280" s="8" t="s">
        <v>791</v>
      </c>
      <c r="M2280" s="8">
        <v>98</v>
      </c>
      <c r="N2280" s="8" t="s">
        <v>2165</v>
      </c>
      <c r="O2280" s="8" t="s">
        <v>2166</v>
      </c>
      <c r="P2280" s="8">
        <v>150</v>
      </c>
    </row>
    <row r="2281" spans="1:16" ht="25" customHeight="1">
      <c r="A2281" s="12">
        <v>16</v>
      </c>
      <c r="B2281" s="8" t="s">
        <v>84</v>
      </c>
      <c r="C2281" s="8">
        <v>1</v>
      </c>
      <c r="D2281" s="11">
        <v>0.04166666666666666</v>
      </c>
      <c r="E2281" s="8">
        <v>0</v>
      </c>
      <c r="F2281" s="8">
        <v>0</v>
      </c>
      <c r="G2281" s="8">
        <v>1</v>
      </c>
      <c r="H2281" s="8">
        <v>1</v>
      </c>
      <c r="I2281" s="8">
        <v>42</v>
      </c>
      <c r="J2281" s="8">
        <v>0</v>
      </c>
      <c r="K2281" s="8">
        <v>1</v>
      </c>
      <c r="L2281" s="8" t="s">
        <v>791</v>
      </c>
      <c r="M2281" s="8">
        <v>0</v>
      </c>
      <c r="N2281" s="8" t="s">
        <v>2161</v>
      </c>
      <c r="O2281" s="8" t="s">
        <v>2162</v>
      </c>
      <c r="P2281" s="8">
        <v>153</v>
      </c>
    </row>
    <row r="2282" spans="1:16" ht="25" customHeight="1">
      <c r="A2282" s="12">
        <v>17</v>
      </c>
      <c r="B2282" s="8" t="s">
        <v>32</v>
      </c>
      <c r="C2282" s="8">
        <v>1</v>
      </c>
      <c r="D2282" s="11">
        <v>0.04166666666666666</v>
      </c>
      <c r="E2282" s="8">
        <v>0</v>
      </c>
      <c r="F2282" s="8">
        <v>0</v>
      </c>
      <c r="G2282" s="8">
        <v>1</v>
      </c>
      <c r="H2282" s="8">
        <v>1</v>
      </c>
      <c r="I2282" s="8">
        <v>16</v>
      </c>
      <c r="J2282" s="8">
        <v>1</v>
      </c>
      <c r="K2282" s="8">
        <v>0</v>
      </c>
      <c r="L2282" s="8" t="s">
        <v>791</v>
      </c>
      <c r="M2282" s="8">
        <v>0</v>
      </c>
      <c r="N2282" s="8" t="s">
        <v>2161</v>
      </c>
      <c r="O2282" s="8" t="s">
        <v>2162</v>
      </c>
      <c r="P2282" s="8">
        <v>158</v>
      </c>
    </row>
    <row r="2283" spans="1:16" ht="25" customHeight="1">
      <c r="A2283" s="12">
        <v>18</v>
      </c>
      <c r="B2283" s="8" t="s">
        <v>35</v>
      </c>
      <c r="C2283" s="8">
        <v>2</v>
      </c>
      <c r="D2283" s="11">
        <v>0.08333333333333333</v>
      </c>
      <c r="E2283" s="8">
        <v>2</v>
      </c>
      <c r="F2283" s="8">
        <v>1</v>
      </c>
      <c r="G2283" s="8">
        <v>0</v>
      </c>
      <c r="H2283" s="8">
        <v>0</v>
      </c>
      <c r="I2283" s="11">
        <v>0.5</v>
      </c>
      <c r="J2283" s="11">
        <v>0.5</v>
      </c>
      <c r="K2283" s="11">
        <v>0.5</v>
      </c>
      <c r="L2283" s="8" t="s">
        <v>791</v>
      </c>
      <c r="M2283" s="11">
        <v>99.5</v>
      </c>
      <c r="N2283" s="8" t="s">
        <v>2165</v>
      </c>
      <c r="O2283" s="8" t="s">
        <v>2166</v>
      </c>
      <c r="P2283" s="8">
        <v>247</v>
      </c>
    </row>
    <row r="2284" spans="1:16" ht="25" customHeight="1">
      <c r="A2284" s="12">
        <v>19</v>
      </c>
      <c r="B2284" s="8" t="s">
        <v>40</v>
      </c>
      <c r="C2284" s="8">
        <v>1</v>
      </c>
      <c r="D2284" s="11">
        <v>0.04166666666666666</v>
      </c>
      <c r="E2284" s="8">
        <v>0</v>
      </c>
      <c r="F2284" s="8">
        <v>0</v>
      </c>
      <c r="G2284" s="8">
        <v>0</v>
      </c>
      <c r="H2284" s="8">
        <v>0</v>
      </c>
      <c r="I2284" s="8">
        <v>7</v>
      </c>
      <c r="J2284" s="8">
        <v>1</v>
      </c>
      <c r="K2284" s="8">
        <v>0</v>
      </c>
      <c r="L2284" s="8" t="s">
        <v>791</v>
      </c>
      <c r="M2284" s="8">
        <v>23</v>
      </c>
      <c r="N2284" s="8" t="s">
        <v>2165</v>
      </c>
      <c r="O2284" s="8" t="s">
        <v>2166</v>
      </c>
      <c r="P2284" s="8">
        <v>251</v>
      </c>
    </row>
    <row r="2285" spans="1:16" ht="25" customHeight="1">
      <c r="A2285" s="12">
        <v>20</v>
      </c>
      <c r="B2285" s="8" t="s">
        <v>27</v>
      </c>
      <c r="C2285" s="8">
        <v>1</v>
      </c>
      <c r="D2285" s="11">
        <v>0.04166666666666666</v>
      </c>
      <c r="E2285" s="8">
        <v>1</v>
      </c>
      <c r="F2285" s="8">
        <v>1</v>
      </c>
      <c r="G2285" s="8">
        <v>0</v>
      </c>
      <c r="H2285" s="8">
        <v>0</v>
      </c>
      <c r="I2285" s="8">
        <v>0</v>
      </c>
      <c r="J2285" s="8">
        <v>1</v>
      </c>
      <c r="K2285" s="8">
        <v>0</v>
      </c>
      <c r="L2285" s="8" t="s">
        <v>791</v>
      </c>
      <c r="M2285" s="8">
        <v>100</v>
      </c>
      <c r="N2285" s="8" t="s">
        <v>2165</v>
      </c>
      <c r="O2285" s="8" t="s">
        <v>2166</v>
      </c>
      <c r="P2285" s="8">
        <v>257</v>
      </c>
    </row>
    <row r="2286" spans="1:16" ht="25" customHeight="1">
      <c r="A2286" s="12">
        <v>21</v>
      </c>
      <c r="B2286" s="8" t="s">
        <v>75</v>
      </c>
      <c r="C2286" s="8">
        <v>1</v>
      </c>
      <c r="D2286" s="11">
        <v>0.04166666666666666</v>
      </c>
      <c r="E2286" s="8">
        <v>0</v>
      </c>
      <c r="F2286" s="8">
        <v>0</v>
      </c>
      <c r="G2286" s="8">
        <v>0</v>
      </c>
      <c r="H2286" s="8">
        <v>0</v>
      </c>
      <c r="I2286" s="8">
        <v>7</v>
      </c>
      <c r="J2286" s="8">
        <v>1</v>
      </c>
      <c r="K2286" s="8">
        <v>0</v>
      </c>
      <c r="L2286" s="8" t="s">
        <v>791</v>
      </c>
      <c r="M2286" s="8">
        <v>23</v>
      </c>
      <c r="N2286" s="8" t="s">
        <v>2165</v>
      </c>
      <c r="O2286" s="8" t="s">
        <v>2166</v>
      </c>
      <c r="P2286" s="8">
        <v>260</v>
      </c>
    </row>
    <row r="2292" spans="1:16" ht="27" customHeight="1">
      <c r="A2292" s="5" t="s">
        <v>2213</v>
      </c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</row>
    <row r="2293" spans="1:16" ht="36" customHeight="1">
      <c r="A2293" s="9" t="s">
        <v>683</v>
      </c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</row>
    <row r="2294" spans="1:16" ht="25" customHeight="1">
      <c r="A2294" s="6" t="s">
        <v>684</v>
      </c>
    </row>
    <row r="2295" spans="1:16" ht="25" customHeight="1">
      <c r="A2295" s="12">
        <v>1</v>
      </c>
      <c r="B2295" s="8" t="s">
        <v>2214</v>
      </c>
    </row>
    <row r="2296" spans="1:16" ht="25" customHeight="1">
      <c r="A2296" s="12">
        <v>2</v>
      </c>
      <c r="B2296" s="8" t="s">
        <v>2174</v>
      </c>
      <c r="E2296" s="8" t="s">
        <v>2121</v>
      </c>
      <c r="H2296" s="8" t="s">
        <v>2072</v>
      </c>
      <c r="K2296" s="8" t="s">
        <v>2122</v>
      </c>
      <c r="M2296" s="8" t="s">
        <v>2175</v>
      </c>
    </row>
    <row r="2297" spans="1:16" ht="25" customHeight="1">
      <c r="A2297" s="12">
        <v>3</v>
      </c>
      <c r="B2297" s="8" t="s">
        <v>2176</v>
      </c>
      <c r="C2297" s="8" t="s">
        <v>2091</v>
      </c>
      <c r="D2297" s="8" t="s">
        <v>690</v>
      </c>
      <c r="E2297" s="8" t="s">
        <v>2130</v>
      </c>
      <c r="F2297" s="8" t="s">
        <v>2132</v>
      </c>
      <c r="G2297" s="8" t="s">
        <v>2133</v>
      </c>
      <c r="H2297" s="8" t="s">
        <v>784</v>
      </c>
      <c r="I2297" s="8" t="s">
        <v>2135</v>
      </c>
      <c r="J2297" s="8" t="s">
        <v>2146</v>
      </c>
      <c r="K2297" s="8" t="s">
        <v>2147</v>
      </c>
      <c r="L2297" s="8" t="s">
        <v>786</v>
      </c>
      <c r="M2297" s="8" t="s">
        <v>2134</v>
      </c>
      <c r="N2297" s="8" t="s">
        <v>2136</v>
      </c>
      <c r="O2297" s="8" t="s">
        <v>2139</v>
      </c>
      <c r="P2297" s="8" t="s">
        <v>1946</v>
      </c>
    </row>
    <row r="2298" spans="1:16" ht="25" customHeight="1">
      <c r="A2298" s="12">
        <v>4</v>
      </c>
      <c r="B2298" s="8" t="s">
        <v>60</v>
      </c>
      <c r="C2298" s="8">
        <v>3</v>
      </c>
      <c r="D2298" s="11">
        <v>0.07692307692307693</v>
      </c>
      <c r="E2298" s="8">
        <v>2</v>
      </c>
      <c r="F2298" s="11">
        <v>0.6666666666666666</v>
      </c>
      <c r="G2298" s="8">
        <v>0</v>
      </c>
      <c r="H2298" s="8">
        <v>0</v>
      </c>
      <c r="I2298" s="11">
        <v>3.333333333333333</v>
      </c>
      <c r="J2298" s="11">
        <v>0.3333333333333333</v>
      </c>
      <c r="K2298" s="11">
        <v>0.6666666666666666</v>
      </c>
      <c r="L2298" s="8" t="s">
        <v>801</v>
      </c>
      <c r="M2298" s="11">
        <v>73.3</v>
      </c>
      <c r="N2298" s="8" t="s">
        <v>2179</v>
      </c>
      <c r="O2298" s="8" t="s">
        <v>2168</v>
      </c>
      <c r="P2298" s="8">
        <v>98</v>
      </c>
    </row>
    <row r="2299" spans="1:16" ht="25" customHeight="1">
      <c r="A2299" s="12">
        <v>5</v>
      </c>
      <c r="B2299" s="8" t="s">
        <v>63</v>
      </c>
      <c r="C2299" s="8">
        <v>3</v>
      </c>
      <c r="D2299" s="11">
        <v>0.07692307692307693</v>
      </c>
      <c r="E2299" s="8">
        <v>2</v>
      </c>
      <c r="F2299" s="11">
        <v>0.6666666666666666</v>
      </c>
      <c r="G2299" s="8">
        <v>0</v>
      </c>
      <c r="H2299" s="8">
        <v>0</v>
      </c>
      <c r="I2299" s="11">
        <v>3.333333333333333</v>
      </c>
      <c r="J2299" s="8">
        <v>0</v>
      </c>
      <c r="K2299" s="8">
        <v>1</v>
      </c>
      <c r="L2299" s="8" t="s">
        <v>801</v>
      </c>
      <c r="M2299" s="11">
        <v>73.3</v>
      </c>
      <c r="N2299" s="8" t="s">
        <v>2179</v>
      </c>
      <c r="O2299" s="8" t="s">
        <v>2168</v>
      </c>
      <c r="P2299" s="8">
        <v>106</v>
      </c>
    </row>
    <row r="2300" spans="1:16" ht="25" customHeight="1">
      <c r="A2300" s="12">
        <v>6</v>
      </c>
      <c r="B2300" s="8" t="s">
        <v>48</v>
      </c>
      <c r="C2300" s="8">
        <v>3</v>
      </c>
      <c r="D2300" s="11">
        <v>0.07692307692307693</v>
      </c>
      <c r="E2300" s="8">
        <v>1</v>
      </c>
      <c r="F2300" s="11">
        <v>0.3333333333333333</v>
      </c>
      <c r="G2300" s="8">
        <v>0</v>
      </c>
      <c r="H2300" s="8">
        <v>0</v>
      </c>
      <c r="I2300" s="8">
        <v>7</v>
      </c>
      <c r="J2300" s="11">
        <v>0.3333333333333333</v>
      </c>
      <c r="K2300" s="11">
        <v>0.6666666666666666</v>
      </c>
      <c r="L2300" s="8" t="s">
        <v>801</v>
      </c>
      <c r="M2300" s="11">
        <v>46.3</v>
      </c>
      <c r="N2300" s="8" t="s">
        <v>2167</v>
      </c>
      <c r="O2300" s="8" t="s">
        <v>2168</v>
      </c>
      <c r="P2300" s="8">
        <v>111</v>
      </c>
    </row>
    <row r="2301" spans="1:16" ht="25" customHeight="1">
      <c r="A2301" s="12">
        <v>7</v>
      </c>
      <c r="B2301" s="8" t="s">
        <v>68</v>
      </c>
      <c r="C2301" s="8">
        <v>2</v>
      </c>
      <c r="D2301" s="11">
        <v>0.05128205128205128</v>
      </c>
      <c r="E2301" s="8">
        <v>1</v>
      </c>
      <c r="F2301" s="11">
        <v>0.5</v>
      </c>
      <c r="G2301" s="8">
        <v>0</v>
      </c>
      <c r="H2301" s="8">
        <v>0</v>
      </c>
      <c r="I2301" s="8">
        <v>5</v>
      </c>
      <c r="J2301" s="11">
        <v>0.5</v>
      </c>
      <c r="K2301" s="11">
        <v>0.5</v>
      </c>
      <c r="L2301" s="8" t="s">
        <v>791</v>
      </c>
      <c r="M2301" s="8">
        <v>60</v>
      </c>
      <c r="N2301" s="8" t="s">
        <v>2165</v>
      </c>
      <c r="O2301" s="8" t="s">
        <v>2166</v>
      </c>
      <c r="P2301" s="8">
        <v>115</v>
      </c>
    </row>
    <row r="2302" spans="1:16" ht="25" customHeight="1">
      <c r="A2302" s="12">
        <v>8</v>
      </c>
      <c r="B2302" s="8" t="s">
        <v>34</v>
      </c>
      <c r="C2302" s="8">
        <v>2</v>
      </c>
      <c r="D2302" s="11">
        <v>0.05128205128205128</v>
      </c>
      <c r="E2302" s="8">
        <v>1</v>
      </c>
      <c r="F2302" s="11">
        <v>0.5</v>
      </c>
      <c r="G2302" s="8">
        <v>1</v>
      </c>
      <c r="H2302" s="11">
        <v>0.5</v>
      </c>
      <c r="I2302" s="8">
        <v>6</v>
      </c>
      <c r="J2302" s="11">
        <v>0.5</v>
      </c>
      <c r="K2302" s="11">
        <v>0.5</v>
      </c>
      <c r="L2302" s="8" t="s">
        <v>791</v>
      </c>
      <c r="M2302" s="8">
        <v>49</v>
      </c>
      <c r="N2302" s="8" t="s">
        <v>2161</v>
      </c>
      <c r="O2302" s="8" t="s">
        <v>2162</v>
      </c>
      <c r="P2302" s="8">
        <v>122</v>
      </c>
    </row>
    <row r="2303" spans="1:16" ht="25" customHeight="1">
      <c r="A2303" s="12">
        <v>9</v>
      </c>
      <c r="B2303" s="8" t="s">
        <v>56</v>
      </c>
      <c r="C2303" s="8">
        <v>1</v>
      </c>
      <c r="D2303" s="11">
        <v>0.02564102564102564</v>
      </c>
      <c r="E2303" s="8">
        <v>0</v>
      </c>
      <c r="F2303" s="8">
        <v>0</v>
      </c>
      <c r="G2303" s="8">
        <v>0</v>
      </c>
      <c r="H2303" s="8">
        <v>0</v>
      </c>
      <c r="I2303" s="8">
        <v>9</v>
      </c>
      <c r="J2303" s="8">
        <v>0</v>
      </c>
      <c r="K2303" s="8">
        <v>1</v>
      </c>
      <c r="L2303" s="8" t="s">
        <v>791</v>
      </c>
      <c r="M2303" s="8">
        <v>21</v>
      </c>
      <c r="N2303" s="8" t="s">
        <v>2165</v>
      </c>
      <c r="O2303" s="8" t="s">
        <v>2166</v>
      </c>
      <c r="P2303" s="8">
        <v>128</v>
      </c>
    </row>
    <row r="2304" spans="1:16" ht="25" customHeight="1">
      <c r="A2304" s="12">
        <v>10</v>
      </c>
      <c r="B2304" s="8" t="s">
        <v>69</v>
      </c>
      <c r="C2304" s="8">
        <v>3</v>
      </c>
      <c r="D2304" s="11">
        <v>0.07692307692307693</v>
      </c>
      <c r="E2304" s="8">
        <v>3</v>
      </c>
      <c r="F2304" s="8">
        <v>1</v>
      </c>
      <c r="G2304" s="8">
        <v>0</v>
      </c>
      <c r="H2304" s="8">
        <v>0</v>
      </c>
      <c r="I2304" s="8">
        <v>2</v>
      </c>
      <c r="J2304" s="11">
        <v>0.6666666666666666</v>
      </c>
      <c r="K2304" s="11">
        <v>0.3333333333333333</v>
      </c>
      <c r="L2304" s="8" t="s">
        <v>801</v>
      </c>
      <c r="M2304" s="8">
        <v>98</v>
      </c>
      <c r="N2304" s="8" t="s">
        <v>2169</v>
      </c>
      <c r="O2304" s="8" t="s">
        <v>2168</v>
      </c>
      <c r="P2304" s="8">
        <v>134</v>
      </c>
    </row>
    <row r="2305" spans="1:16" ht="25" customHeight="1">
      <c r="A2305" s="12">
        <v>11</v>
      </c>
      <c r="B2305" s="8" t="s">
        <v>27</v>
      </c>
      <c r="C2305" s="8">
        <v>2</v>
      </c>
      <c r="D2305" s="11">
        <v>0.05128205128205128</v>
      </c>
      <c r="E2305" s="8">
        <v>2</v>
      </c>
      <c r="F2305" s="8">
        <v>1</v>
      </c>
      <c r="G2305" s="8">
        <v>0</v>
      </c>
      <c r="H2305" s="8">
        <v>0</v>
      </c>
      <c r="I2305" s="11">
        <v>1.5</v>
      </c>
      <c r="J2305" s="11">
        <v>0.5</v>
      </c>
      <c r="K2305" s="11">
        <v>0.5</v>
      </c>
      <c r="L2305" s="8" t="s">
        <v>791</v>
      </c>
      <c r="M2305" s="11">
        <v>98.5</v>
      </c>
      <c r="N2305" s="8" t="s">
        <v>2165</v>
      </c>
      <c r="O2305" s="8" t="s">
        <v>2166</v>
      </c>
      <c r="P2305" s="8">
        <v>137</v>
      </c>
    </row>
    <row r="2306" spans="1:16" ht="25" customHeight="1">
      <c r="A2306" s="12">
        <v>12</v>
      </c>
      <c r="B2306" s="8" t="s">
        <v>49</v>
      </c>
      <c r="C2306" s="8">
        <v>1</v>
      </c>
      <c r="D2306" s="11">
        <v>0.02564102564102564</v>
      </c>
      <c r="E2306" s="8">
        <v>1</v>
      </c>
      <c r="F2306" s="8">
        <v>1</v>
      </c>
      <c r="G2306" s="8">
        <v>0</v>
      </c>
      <c r="H2306" s="8">
        <v>0</v>
      </c>
      <c r="I2306" s="8">
        <v>0</v>
      </c>
      <c r="J2306" s="8">
        <v>0</v>
      </c>
      <c r="K2306" s="8">
        <v>1</v>
      </c>
      <c r="L2306" s="8" t="s">
        <v>791</v>
      </c>
      <c r="M2306" s="8">
        <v>100</v>
      </c>
      <c r="N2306" s="8" t="s">
        <v>2165</v>
      </c>
      <c r="O2306" s="8" t="s">
        <v>2166</v>
      </c>
      <c r="P2306" s="8">
        <v>141</v>
      </c>
    </row>
    <row r="2307" spans="1:16" ht="25" customHeight="1">
      <c r="A2307" s="12">
        <v>13</v>
      </c>
      <c r="B2307" s="8" t="s">
        <v>53</v>
      </c>
      <c r="C2307" s="8">
        <v>1</v>
      </c>
      <c r="D2307" s="11">
        <v>0.02564102564102564</v>
      </c>
      <c r="E2307" s="8">
        <v>1</v>
      </c>
      <c r="F2307" s="8">
        <v>1</v>
      </c>
      <c r="G2307" s="8">
        <v>0</v>
      </c>
      <c r="H2307" s="8">
        <v>0</v>
      </c>
      <c r="I2307" s="8">
        <v>6</v>
      </c>
      <c r="J2307" s="8">
        <v>0</v>
      </c>
      <c r="K2307" s="8">
        <v>1</v>
      </c>
      <c r="L2307" s="8" t="s">
        <v>791</v>
      </c>
      <c r="M2307" s="8">
        <v>94</v>
      </c>
      <c r="N2307" s="8" t="s">
        <v>2165</v>
      </c>
      <c r="O2307" s="8" t="s">
        <v>2166</v>
      </c>
      <c r="P2307" s="8">
        <v>149</v>
      </c>
    </row>
    <row r="2308" spans="1:16" ht="25" customHeight="1">
      <c r="A2308" s="12">
        <v>14</v>
      </c>
      <c r="B2308" s="8" t="s">
        <v>35</v>
      </c>
      <c r="C2308" s="8">
        <v>2</v>
      </c>
      <c r="D2308" s="11">
        <v>0.05128205128205128</v>
      </c>
      <c r="E2308" s="8">
        <v>0</v>
      </c>
      <c r="F2308" s="8">
        <v>0</v>
      </c>
      <c r="G2308" s="8">
        <v>0</v>
      </c>
      <c r="H2308" s="8">
        <v>0</v>
      </c>
      <c r="I2308" s="11">
        <v>7.5</v>
      </c>
      <c r="J2308" s="11">
        <v>0.5</v>
      </c>
      <c r="K2308" s="8">
        <v>0</v>
      </c>
      <c r="L2308" s="8" t="s">
        <v>791</v>
      </c>
      <c r="M2308" s="11">
        <v>22.5</v>
      </c>
      <c r="N2308" s="8" t="s">
        <v>2165</v>
      </c>
      <c r="O2308" s="8" t="s">
        <v>2166</v>
      </c>
      <c r="P2308" s="8">
        <v>151</v>
      </c>
    </row>
    <row r="2309" spans="1:16" ht="25" customHeight="1">
      <c r="A2309" s="12">
        <v>15</v>
      </c>
      <c r="B2309" s="8" t="s">
        <v>84</v>
      </c>
      <c r="C2309" s="8">
        <v>1</v>
      </c>
      <c r="D2309" s="11">
        <v>0.02564102564102564</v>
      </c>
      <c r="E2309" s="8">
        <v>1</v>
      </c>
      <c r="F2309" s="8">
        <v>1</v>
      </c>
      <c r="G2309" s="8">
        <v>0</v>
      </c>
      <c r="H2309" s="8">
        <v>0</v>
      </c>
      <c r="I2309" s="8">
        <v>3</v>
      </c>
      <c r="J2309" s="8">
        <v>1</v>
      </c>
      <c r="K2309" s="8">
        <v>0</v>
      </c>
      <c r="L2309" s="8" t="s">
        <v>791</v>
      </c>
      <c r="M2309" s="8">
        <v>97</v>
      </c>
      <c r="N2309" s="8" t="s">
        <v>2165</v>
      </c>
      <c r="O2309" s="8" t="s">
        <v>2166</v>
      </c>
      <c r="P2309" s="8">
        <v>154</v>
      </c>
    </row>
    <row r="2310" spans="1:16" ht="25" customHeight="1">
      <c r="A2310" s="12">
        <v>16</v>
      </c>
      <c r="B2310" s="8" t="s">
        <v>65</v>
      </c>
      <c r="C2310" s="8">
        <v>2</v>
      </c>
      <c r="D2310" s="11">
        <v>0.05128205128205128</v>
      </c>
      <c r="E2310" s="8">
        <v>1</v>
      </c>
      <c r="F2310" s="11">
        <v>0.5</v>
      </c>
      <c r="G2310" s="8">
        <v>0</v>
      </c>
      <c r="H2310" s="8">
        <v>0</v>
      </c>
      <c r="I2310" s="8">
        <v>2</v>
      </c>
      <c r="J2310" s="8">
        <v>1</v>
      </c>
      <c r="K2310" s="8">
        <v>0</v>
      </c>
      <c r="L2310" s="8" t="s">
        <v>791</v>
      </c>
      <c r="M2310" s="8">
        <v>63</v>
      </c>
      <c r="N2310" s="8" t="s">
        <v>2165</v>
      </c>
      <c r="O2310" s="8" t="s">
        <v>2166</v>
      </c>
      <c r="P2310" s="8">
        <v>155</v>
      </c>
    </row>
    <row r="2311" spans="1:16" ht="25" customHeight="1">
      <c r="A2311" s="12">
        <v>17</v>
      </c>
      <c r="B2311" s="8" t="s">
        <v>87</v>
      </c>
      <c r="C2311" s="8">
        <v>1</v>
      </c>
      <c r="D2311" s="11">
        <v>0.02564102564102564</v>
      </c>
      <c r="E2311" s="8">
        <v>0</v>
      </c>
      <c r="F2311" s="8">
        <v>0</v>
      </c>
      <c r="G2311" s="8">
        <v>0</v>
      </c>
      <c r="H2311" s="8">
        <v>0</v>
      </c>
      <c r="I2311" s="8">
        <v>5</v>
      </c>
      <c r="J2311" s="8">
        <v>1</v>
      </c>
      <c r="K2311" s="8">
        <v>0</v>
      </c>
      <c r="L2311" s="8" t="s">
        <v>791</v>
      </c>
      <c r="M2311" s="8">
        <v>25</v>
      </c>
      <c r="N2311" s="8" t="s">
        <v>2165</v>
      </c>
      <c r="O2311" s="8" t="s">
        <v>2166</v>
      </c>
      <c r="P2311" s="8">
        <v>159</v>
      </c>
    </row>
    <row r="2312" spans="1:16" ht="25" customHeight="1">
      <c r="A2312" s="12">
        <v>18</v>
      </c>
      <c r="B2312" s="8" t="s">
        <v>88</v>
      </c>
      <c r="C2312" s="8">
        <v>1</v>
      </c>
      <c r="D2312" s="11">
        <v>0.02564102564102564</v>
      </c>
      <c r="E2312" s="8">
        <v>1</v>
      </c>
      <c r="F2312" s="8">
        <v>1</v>
      </c>
      <c r="G2312" s="8">
        <v>0</v>
      </c>
      <c r="H2312" s="8">
        <v>0</v>
      </c>
      <c r="I2312" s="8">
        <v>3</v>
      </c>
      <c r="J2312" s="8">
        <v>1</v>
      </c>
      <c r="K2312" s="8">
        <v>0</v>
      </c>
      <c r="L2312" s="8" t="s">
        <v>791</v>
      </c>
      <c r="M2312" s="8">
        <v>97</v>
      </c>
      <c r="N2312" s="8" t="s">
        <v>2165</v>
      </c>
      <c r="O2312" s="8" t="s">
        <v>2166</v>
      </c>
      <c r="P2312" s="8">
        <v>160</v>
      </c>
    </row>
    <row r="2313" spans="1:16" ht="25" customHeight="1">
      <c r="A2313" s="12">
        <v>19</v>
      </c>
      <c r="B2313" s="8" t="s">
        <v>89</v>
      </c>
      <c r="C2313" s="8">
        <v>1</v>
      </c>
      <c r="D2313" s="11">
        <v>0.02564102564102564</v>
      </c>
      <c r="E2313" s="8">
        <v>1</v>
      </c>
      <c r="F2313" s="8">
        <v>1</v>
      </c>
      <c r="G2313" s="8">
        <v>0</v>
      </c>
      <c r="H2313" s="8">
        <v>0</v>
      </c>
      <c r="I2313" s="8">
        <v>3</v>
      </c>
      <c r="J2313" s="8">
        <v>0</v>
      </c>
      <c r="K2313" s="8">
        <v>1</v>
      </c>
      <c r="L2313" s="8" t="s">
        <v>791</v>
      </c>
      <c r="M2313" s="8">
        <v>97</v>
      </c>
      <c r="N2313" s="8" t="s">
        <v>2165</v>
      </c>
      <c r="O2313" s="8" t="s">
        <v>2166</v>
      </c>
      <c r="P2313" s="8">
        <v>163</v>
      </c>
    </row>
    <row r="2314" spans="1:16" ht="25" customHeight="1">
      <c r="A2314" s="12">
        <v>20</v>
      </c>
      <c r="B2314" s="8" t="s">
        <v>90</v>
      </c>
      <c r="C2314" s="8">
        <v>1</v>
      </c>
      <c r="D2314" s="11">
        <v>0.02564102564102564</v>
      </c>
      <c r="E2314" s="8">
        <v>1</v>
      </c>
      <c r="F2314" s="8">
        <v>1</v>
      </c>
      <c r="G2314" s="8">
        <v>0</v>
      </c>
      <c r="H2314" s="8">
        <v>0</v>
      </c>
      <c r="I2314" s="8">
        <v>0</v>
      </c>
      <c r="J2314" s="8">
        <v>0</v>
      </c>
      <c r="K2314" s="8">
        <v>1</v>
      </c>
      <c r="L2314" s="8" t="s">
        <v>791</v>
      </c>
      <c r="M2314" s="8">
        <v>100</v>
      </c>
      <c r="N2314" s="8" t="s">
        <v>2165</v>
      </c>
      <c r="O2314" s="8" t="s">
        <v>2166</v>
      </c>
      <c r="P2314" s="8">
        <v>164</v>
      </c>
    </row>
    <row r="2315" spans="1:16" ht="25" customHeight="1">
      <c r="A2315" s="12">
        <v>21</v>
      </c>
      <c r="B2315" s="8" t="s">
        <v>40</v>
      </c>
      <c r="C2315" s="8">
        <v>1</v>
      </c>
      <c r="D2315" s="11">
        <v>0.02564102564102564</v>
      </c>
      <c r="E2315" s="8">
        <v>0</v>
      </c>
      <c r="F2315" s="8">
        <v>0</v>
      </c>
      <c r="G2315" s="8">
        <v>0</v>
      </c>
      <c r="H2315" s="8">
        <v>0</v>
      </c>
      <c r="I2315" s="8">
        <v>7</v>
      </c>
      <c r="J2315" s="8">
        <v>1</v>
      </c>
      <c r="K2315" s="8">
        <v>0</v>
      </c>
      <c r="L2315" s="8" t="s">
        <v>791</v>
      </c>
      <c r="M2315" s="8">
        <v>23</v>
      </c>
      <c r="N2315" s="8" t="s">
        <v>2165</v>
      </c>
      <c r="O2315" s="8" t="s">
        <v>2166</v>
      </c>
      <c r="P2315" s="8">
        <v>252</v>
      </c>
    </row>
    <row r="2316" spans="1:16" ht="25" customHeight="1">
      <c r="A2316" s="12">
        <v>22</v>
      </c>
      <c r="B2316" s="8" t="s">
        <v>61</v>
      </c>
      <c r="C2316" s="8">
        <v>1</v>
      </c>
      <c r="D2316" s="11">
        <v>0.02564102564102564</v>
      </c>
      <c r="E2316" s="8">
        <v>0</v>
      </c>
      <c r="F2316" s="8">
        <v>0</v>
      </c>
      <c r="G2316" s="8">
        <v>0</v>
      </c>
      <c r="H2316" s="8">
        <v>0</v>
      </c>
      <c r="I2316" s="8">
        <v>4</v>
      </c>
      <c r="J2316" s="8">
        <v>1</v>
      </c>
      <c r="K2316" s="8">
        <v>0</v>
      </c>
      <c r="L2316" s="8" t="s">
        <v>791</v>
      </c>
      <c r="M2316" s="8">
        <v>26</v>
      </c>
      <c r="N2316" s="8" t="s">
        <v>2165</v>
      </c>
      <c r="O2316" s="8" t="s">
        <v>2166</v>
      </c>
      <c r="P2316" s="8">
        <v>255</v>
      </c>
    </row>
    <row r="2317" spans="1:16" ht="25" customHeight="1">
      <c r="A2317" s="12">
        <v>23</v>
      </c>
      <c r="B2317" s="8" t="s">
        <v>73</v>
      </c>
      <c r="C2317" s="8">
        <v>1</v>
      </c>
      <c r="D2317" s="11">
        <v>0.02564102564102564</v>
      </c>
      <c r="E2317" s="8">
        <v>0</v>
      </c>
      <c r="F2317" s="8">
        <v>0</v>
      </c>
      <c r="G2317" s="8">
        <v>1</v>
      </c>
      <c r="H2317" s="8">
        <v>1</v>
      </c>
      <c r="I2317" s="8">
        <v>16</v>
      </c>
      <c r="J2317" s="8">
        <v>0</v>
      </c>
      <c r="K2317" s="8">
        <v>1</v>
      </c>
      <c r="L2317" s="8" t="s">
        <v>791</v>
      </c>
      <c r="M2317" s="8">
        <v>0</v>
      </c>
      <c r="N2317" s="8" t="s">
        <v>2161</v>
      </c>
      <c r="O2317" s="8" t="s">
        <v>2162</v>
      </c>
      <c r="P2317" s="8">
        <v>258</v>
      </c>
    </row>
    <row r="2318" spans="1:16" ht="25" customHeight="1">
      <c r="A2318" s="12">
        <v>24</v>
      </c>
      <c r="B2318" s="8" t="s">
        <v>75</v>
      </c>
      <c r="C2318" s="8">
        <v>1</v>
      </c>
      <c r="D2318" s="11">
        <v>0.02564102564102564</v>
      </c>
      <c r="E2318" s="8">
        <v>1</v>
      </c>
      <c r="F2318" s="8">
        <v>1</v>
      </c>
      <c r="G2318" s="8">
        <v>0</v>
      </c>
      <c r="H2318" s="8">
        <v>0</v>
      </c>
      <c r="I2318" s="8">
        <v>6</v>
      </c>
      <c r="J2318" s="8">
        <v>0</v>
      </c>
      <c r="K2318" s="8">
        <v>1</v>
      </c>
      <c r="L2318" s="8" t="s">
        <v>791</v>
      </c>
      <c r="M2318" s="8">
        <v>94</v>
      </c>
      <c r="N2318" s="8" t="s">
        <v>2165</v>
      </c>
      <c r="O2318" s="8" t="s">
        <v>2166</v>
      </c>
      <c r="P2318" s="8">
        <v>261</v>
      </c>
    </row>
    <row r="2319" spans="1:16" ht="25" customHeight="1">
      <c r="A2319" s="12">
        <v>25</v>
      </c>
      <c r="B2319" s="8" t="s">
        <v>79</v>
      </c>
      <c r="C2319" s="8">
        <v>1</v>
      </c>
      <c r="D2319" s="11">
        <v>0.02564102564102564</v>
      </c>
      <c r="E2319" s="8">
        <v>1</v>
      </c>
      <c r="F2319" s="8">
        <v>1</v>
      </c>
      <c r="G2319" s="8">
        <v>0</v>
      </c>
      <c r="H2319" s="8">
        <v>0</v>
      </c>
      <c r="I2319" s="8">
        <v>0</v>
      </c>
      <c r="J2319" s="8">
        <v>0</v>
      </c>
      <c r="K2319" s="8">
        <v>1</v>
      </c>
      <c r="L2319" s="8" t="s">
        <v>791</v>
      </c>
      <c r="M2319" s="8">
        <v>100</v>
      </c>
      <c r="N2319" s="8" t="s">
        <v>2165</v>
      </c>
      <c r="O2319" s="8" t="s">
        <v>2166</v>
      </c>
      <c r="P2319" s="8">
        <v>263</v>
      </c>
    </row>
    <row r="2320" spans="1:16" ht="25" customHeight="1">
      <c r="A2320" s="12">
        <v>26</v>
      </c>
      <c r="B2320" s="8" t="s">
        <v>51</v>
      </c>
      <c r="C2320" s="8">
        <v>1</v>
      </c>
      <c r="D2320" s="11">
        <v>0.02564102564102564</v>
      </c>
      <c r="E2320" s="8">
        <v>0</v>
      </c>
      <c r="F2320" s="8">
        <v>0</v>
      </c>
      <c r="G2320" s="8">
        <v>1</v>
      </c>
      <c r="H2320" s="8">
        <v>1</v>
      </c>
      <c r="I2320" s="8">
        <v>19</v>
      </c>
      <c r="J2320" s="8">
        <v>0</v>
      </c>
      <c r="K2320" s="8">
        <v>1</v>
      </c>
      <c r="L2320" s="8" t="s">
        <v>791</v>
      </c>
      <c r="M2320" s="8">
        <v>0</v>
      </c>
      <c r="N2320" s="8" t="s">
        <v>2161</v>
      </c>
      <c r="O2320" s="8" t="s">
        <v>2162</v>
      </c>
      <c r="P2320" s="8">
        <v>265</v>
      </c>
    </row>
    <row r="2321" spans="1:16" ht="25" customHeight="1">
      <c r="A2321" s="12">
        <v>27</v>
      </c>
      <c r="B2321" s="8" t="s">
        <v>66</v>
      </c>
      <c r="C2321" s="8">
        <v>1</v>
      </c>
      <c r="D2321" s="11">
        <v>0.02564102564102564</v>
      </c>
      <c r="E2321" s="8">
        <v>1</v>
      </c>
      <c r="F2321" s="8">
        <v>1</v>
      </c>
      <c r="G2321" s="8">
        <v>0</v>
      </c>
      <c r="H2321" s="8">
        <v>0</v>
      </c>
      <c r="I2321" s="8">
        <v>2</v>
      </c>
      <c r="J2321" s="8">
        <v>1</v>
      </c>
      <c r="K2321" s="8">
        <v>0</v>
      </c>
      <c r="L2321" s="8" t="s">
        <v>791</v>
      </c>
      <c r="M2321" s="8">
        <v>98</v>
      </c>
      <c r="N2321" s="8" t="s">
        <v>2165</v>
      </c>
      <c r="O2321" s="8" t="s">
        <v>2166</v>
      </c>
      <c r="P2321" s="8">
        <v>266</v>
      </c>
    </row>
    <row r="2322" spans="1:16" ht="25" customHeight="1">
      <c r="A2322" s="12">
        <v>28</v>
      </c>
      <c r="B2322" s="8" t="s">
        <v>43</v>
      </c>
      <c r="C2322" s="8">
        <v>1</v>
      </c>
      <c r="D2322" s="11">
        <v>0.02564102564102564</v>
      </c>
      <c r="E2322" s="8">
        <v>1</v>
      </c>
      <c r="F2322" s="8">
        <v>1</v>
      </c>
      <c r="G2322" s="8">
        <v>0</v>
      </c>
      <c r="H2322" s="8">
        <v>0</v>
      </c>
      <c r="I2322" s="8">
        <v>5</v>
      </c>
      <c r="J2322" s="8">
        <v>0</v>
      </c>
      <c r="K2322" s="8">
        <v>1</v>
      </c>
      <c r="L2322" s="8" t="s">
        <v>791</v>
      </c>
      <c r="M2322" s="8">
        <v>95</v>
      </c>
      <c r="N2322" s="8" t="s">
        <v>2165</v>
      </c>
      <c r="O2322" s="8" t="s">
        <v>2166</v>
      </c>
      <c r="P2322" s="8">
        <v>267</v>
      </c>
    </row>
    <row r="2323" spans="1:16" ht="25" customHeight="1">
      <c r="A2323" s="12">
        <v>29</v>
      </c>
      <c r="B2323" s="8" t="s">
        <v>91</v>
      </c>
      <c r="C2323" s="8">
        <v>1</v>
      </c>
      <c r="D2323" s="11">
        <v>0.02564102564102564</v>
      </c>
      <c r="E2323" s="8">
        <v>0</v>
      </c>
      <c r="F2323" s="8">
        <v>0</v>
      </c>
      <c r="G2323" s="8">
        <v>0</v>
      </c>
      <c r="H2323" s="8">
        <v>0</v>
      </c>
      <c r="I2323" s="8">
        <v>4</v>
      </c>
      <c r="J2323" s="8">
        <v>1</v>
      </c>
      <c r="K2323" s="8">
        <v>0</v>
      </c>
      <c r="L2323" s="8" t="s">
        <v>791</v>
      </c>
      <c r="M2323" s="8">
        <v>26</v>
      </c>
      <c r="N2323" s="8" t="s">
        <v>2165</v>
      </c>
      <c r="O2323" s="8" t="s">
        <v>2166</v>
      </c>
      <c r="P2323" s="8">
        <v>270</v>
      </c>
    </row>
    <row r="2329" spans="1:16" ht="27" customHeight="1">
      <c r="A2329" s="5" t="s">
        <v>2215</v>
      </c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</row>
    <row r="2330" spans="1:16" ht="36" customHeight="1">
      <c r="A2330" s="9" t="s">
        <v>683</v>
      </c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</row>
    <row r="2331" spans="1:16" ht="25" customHeight="1">
      <c r="A2331" s="6" t="s">
        <v>684</v>
      </c>
    </row>
    <row r="2332" spans="1:16" ht="25" customHeight="1">
      <c r="A2332" s="12">
        <v>1</v>
      </c>
      <c r="B2332" s="8" t="s">
        <v>2216</v>
      </c>
    </row>
    <row r="2333" spans="1:16" ht="25" customHeight="1">
      <c r="A2333" s="12">
        <v>2</v>
      </c>
      <c r="B2333" s="8" t="s">
        <v>2174</v>
      </c>
      <c r="E2333" s="8" t="s">
        <v>2121</v>
      </c>
      <c r="H2333" s="8" t="s">
        <v>2072</v>
      </c>
      <c r="K2333" s="8" t="s">
        <v>2122</v>
      </c>
      <c r="M2333" s="8" t="s">
        <v>2175</v>
      </c>
    </row>
    <row r="2334" spans="1:16" ht="25" customHeight="1">
      <c r="A2334" s="12">
        <v>3</v>
      </c>
      <c r="B2334" s="8" t="s">
        <v>2176</v>
      </c>
      <c r="C2334" s="8" t="s">
        <v>2091</v>
      </c>
      <c r="D2334" s="8" t="s">
        <v>690</v>
      </c>
      <c r="E2334" s="8" t="s">
        <v>2130</v>
      </c>
      <c r="F2334" s="8" t="s">
        <v>2132</v>
      </c>
      <c r="G2334" s="8" t="s">
        <v>2133</v>
      </c>
      <c r="H2334" s="8" t="s">
        <v>784</v>
      </c>
      <c r="I2334" s="8" t="s">
        <v>2135</v>
      </c>
      <c r="J2334" s="8" t="s">
        <v>2146</v>
      </c>
      <c r="K2334" s="8" t="s">
        <v>2147</v>
      </c>
      <c r="L2334" s="8" t="s">
        <v>786</v>
      </c>
      <c r="M2334" s="8" t="s">
        <v>2134</v>
      </c>
      <c r="N2334" s="8" t="s">
        <v>2136</v>
      </c>
      <c r="O2334" s="8" t="s">
        <v>2139</v>
      </c>
      <c r="P2334" s="8" t="s">
        <v>1946</v>
      </c>
    </row>
    <row r="2335" spans="1:16" ht="25" customHeight="1">
      <c r="A2335" s="12">
        <v>4</v>
      </c>
      <c r="B2335" s="8" t="s">
        <v>63</v>
      </c>
      <c r="C2335" s="8">
        <v>1</v>
      </c>
      <c r="D2335" s="11">
        <v>0.08333333333333333</v>
      </c>
      <c r="E2335" s="8">
        <v>0</v>
      </c>
      <c r="F2335" s="8">
        <v>0</v>
      </c>
      <c r="G2335" s="8">
        <v>0</v>
      </c>
      <c r="H2335" s="8">
        <v>0</v>
      </c>
      <c r="I2335" s="8">
        <v>13</v>
      </c>
      <c r="J2335" s="8">
        <v>0</v>
      </c>
      <c r="K2335" s="8">
        <v>1</v>
      </c>
      <c r="L2335" s="8" t="s">
        <v>791</v>
      </c>
      <c r="M2335" s="8">
        <v>20</v>
      </c>
      <c r="N2335" s="8" t="s">
        <v>2165</v>
      </c>
      <c r="O2335" s="8" t="s">
        <v>2166</v>
      </c>
      <c r="P2335" s="8">
        <v>110</v>
      </c>
    </row>
    <row r="2336" spans="1:16" ht="25" customHeight="1">
      <c r="A2336" s="12">
        <v>5</v>
      </c>
      <c r="B2336" s="8" t="s">
        <v>79</v>
      </c>
      <c r="C2336" s="8">
        <v>2</v>
      </c>
      <c r="D2336" s="11">
        <v>0.1666666666666667</v>
      </c>
      <c r="E2336" s="8">
        <v>0</v>
      </c>
      <c r="F2336" s="8">
        <v>0</v>
      </c>
      <c r="G2336" s="8">
        <v>1</v>
      </c>
      <c r="H2336" s="11">
        <v>0.5</v>
      </c>
      <c r="I2336" s="11">
        <v>10.5</v>
      </c>
      <c r="J2336" s="11">
        <v>0.5</v>
      </c>
      <c r="K2336" s="11">
        <v>0.5</v>
      </c>
      <c r="L2336" s="8" t="s">
        <v>791</v>
      </c>
      <c r="M2336" s="8">
        <v>10</v>
      </c>
      <c r="N2336" s="8" t="s">
        <v>2161</v>
      </c>
      <c r="O2336" s="8" t="s">
        <v>2162</v>
      </c>
      <c r="P2336" s="8">
        <v>126</v>
      </c>
    </row>
    <row r="2337" spans="1:16" ht="25" customHeight="1">
      <c r="A2337" s="12">
        <v>6</v>
      </c>
      <c r="B2337" s="8" t="s">
        <v>61</v>
      </c>
      <c r="C2337" s="8">
        <v>3</v>
      </c>
      <c r="D2337" s="11">
        <v>0.25</v>
      </c>
      <c r="E2337" s="8">
        <v>1</v>
      </c>
      <c r="F2337" s="11">
        <v>0.3333333333333333</v>
      </c>
      <c r="G2337" s="8">
        <v>0</v>
      </c>
      <c r="H2337" s="8">
        <v>0</v>
      </c>
      <c r="I2337" s="11">
        <v>4.333333333333333</v>
      </c>
      <c r="J2337" s="11">
        <v>0.6666666666666666</v>
      </c>
      <c r="K2337" s="11">
        <v>0.3333333333333333</v>
      </c>
      <c r="L2337" s="8" t="s">
        <v>801</v>
      </c>
      <c r="M2337" s="8">
        <v>49</v>
      </c>
      <c r="N2337" s="8" t="s">
        <v>2167</v>
      </c>
      <c r="O2337" s="8" t="s">
        <v>2168</v>
      </c>
      <c r="P2337" s="8">
        <v>132</v>
      </c>
    </row>
    <row r="2338" spans="1:16" ht="25" customHeight="1">
      <c r="A2338" s="12">
        <v>7</v>
      </c>
      <c r="B2338" s="8" t="s">
        <v>46</v>
      </c>
      <c r="C2338" s="8">
        <v>1</v>
      </c>
      <c r="D2338" s="11">
        <v>0.08333333333333333</v>
      </c>
      <c r="E2338" s="8">
        <v>1</v>
      </c>
      <c r="F2338" s="8">
        <v>1</v>
      </c>
      <c r="G2338" s="8">
        <v>0</v>
      </c>
      <c r="H2338" s="8">
        <v>0</v>
      </c>
      <c r="I2338" s="8">
        <v>-2</v>
      </c>
      <c r="J2338" s="8">
        <v>0</v>
      </c>
      <c r="K2338" s="8">
        <v>1</v>
      </c>
      <c r="L2338" s="8" t="s">
        <v>791</v>
      </c>
      <c r="M2338" s="8">
        <v>100</v>
      </c>
      <c r="N2338" s="8" t="s">
        <v>2165</v>
      </c>
      <c r="O2338" s="8" t="s">
        <v>2166</v>
      </c>
      <c r="P2338" s="8">
        <v>140</v>
      </c>
    </row>
    <row r="2339" spans="1:16" ht="25" customHeight="1">
      <c r="A2339" s="12">
        <v>8</v>
      </c>
      <c r="B2339" s="8" t="s">
        <v>80</v>
      </c>
      <c r="C2339" s="8">
        <v>1</v>
      </c>
      <c r="D2339" s="11">
        <v>0.08333333333333333</v>
      </c>
      <c r="E2339" s="8">
        <v>1</v>
      </c>
      <c r="F2339" s="8">
        <v>1</v>
      </c>
      <c r="G2339" s="8">
        <v>0</v>
      </c>
      <c r="H2339" s="8">
        <v>0</v>
      </c>
      <c r="I2339" s="8">
        <v>3</v>
      </c>
      <c r="J2339" s="8">
        <v>0</v>
      </c>
      <c r="K2339" s="8">
        <v>1</v>
      </c>
      <c r="L2339" s="8" t="s">
        <v>791</v>
      </c>
      <c r="M2339" s="8">
        <v>97</v>
      </c>
      <c r="N2339" s="8" t="s">
        <v>2165</v>
      </c>
      <c r="O2339" s="8" t="s">
        <v>2166</v>
      </c>
      <c r="P2339" s="8">
        <v>146</v>
      </c>
    </row>
    <row r="2340" spans="1:16" ht="25" customHeight="1">
      <c r="A2340" s="12">
        <v>9</v>
      </c>
      <c r="B2340" s="8" t="s">
        <v>77</v>
      </c>
      <c r="C2340" s="8">
        <v>1</v>
      </c>
      <c r="D2340" s="11">
        <v>0.08333333333333333</v>
      </c>
      <c r="E2340" s="8">
        <v>1</v>
      </c>
      <c r="F2340" s="8">
        <v>1</v>
      </c>
      <c r="G2340" s="8">
        <v>0</v>
      </c>
      <c r="H2340" s="8">
        <v>0</v>
      </c>
      <c r="I2340" s="8">
        <v>5</v>
      </c>
      <c r="J2340" s="8">
        <v>0</v>
      </c>
      <c r="K2340" s="8">
        <v>1</v>
      </c>
      <c r="L2340" s="8" t="s">
        <v>791</v>
      </c>
      <c r="M2340" s="8">
        <v>95</v>
      </c>
      <c r="N2340" s="8" t="s">
        <v>2165</v>
      </c>
      <c r="O2340" s="8" t="s">
        <v>2166</v>
      </c>
      <c r="P2340" s="8">
        <v>157</v>
      </c>
    </row>
    <row r="2341" spans="1:16" ht="25" customHeight="1">
      <c r="A2341" s="12">
        <v>10</v>
      </c>
      <c r="B2341" s="8" t="s">
        <v>55</v>
      </c>
      <c r="C2341" s="8">
        <v>1</v>
      </c>
      <c r="D2341" s="11">
        <v>0.08333333333333333</v>
      </c>
      <c r="E2341" s="8">
        <v>1</v>
      </c>
      <c r="F2341" s="8">
        <v>1</v>
      </c>
      <c r="G2341" s="8">
        <v>0</v>
      </c>
      <c r="H2341" s="8">
        <v>0</v>
      </c>
      <c r="I2341" s="8">
        <v>3</v>
      </c>
      <c r="J2341" s="8">
        <v>1</v>
      </c>
      <c r="K2341" s="8">
        <v>0</v>
      </c>
      <c r="L2341" s="8" t="s">
        <v>791</v>
      </c>
      <c r="M2341" s="8">
        <v>97</v>
      </c>
      <c r="N2341" s="8" t="s">
        <v>2165</v>
      </c>
      <c r="O2341" s="8" t="s">
        <v>2166</v>
      </c>
      <c r="P2341" s="8">
        <v>161</v>
      </c>
    </row>
    <row r="2342" spans="1:16" ht="25" customHeight="1">
      <c r="A2342" s="12">
        <v>11</v>
      </c>
      <c r="B2342" s="8" t="s">
        <v>64</v>
      </c>
      <c r="C2342" s="8">
        <v>1</v>
      </c>
      <c r="D2342" s="11">
        <v>0.08333333333333333</v>
      </c>
      <c r="E2342" s="8">
        <v>1</v>
      </c>
      <c r="F2342" s="8">
        <v>1</v>
      </c>
      <c r="G2342" s="8">
        <v>0</v>
      </c>
      <c r="H2342" s="8">
        <v>0</v>
      </c>
      <c r="I2342" s="8">
        <v>5</v>
      </c>
      <c r="J2342" s="8">
        <v>0</v>
      </c>
      <c r="K2342" s="8">
        <v>1</v>
      </c>
      <c r="L2342" s="8" t="s">
        <v>791</v>
      </c>
      <c r="M2342" s="8">
        <v>95</v>
      </c>
      <c r="N2342" s="8" t="s">
        <v>2165</v>
      </c>
      <c r="O2342" s="8" t="s">
        <v>2166</v>
      </c>
      <c r="P2342" s="8">
        <v>165</v>
      </c>
    </row>
    <row r="2343" spans="1:16" ht="25" customHeight="1">
      <c r="A2343" s="12">
        <v>12</v>
      </c>
      <c r="B2343" s="8" t="s">
        <v>81</v>
      </c>
      <c r="C2343" s="8">
        <v>1</v>
      </c>
      <c r="D2343" s="11">
        <v>0.08333333333333333</v>
      </c>
      <c r="E2343" s="8">
        <v>1</v>
      </c>
      <c r="F2343" s="8">
        <v>1</v>
      </c>
      <c r="G2343" s="8">
        <v>0</v>
      </c>
      <c r="H2343" s="8">
        <v>0</v>
      </c>
      <c r="I2343" s="8">
        <v>0</v>
      </c>
      <c r="J2343" s="8">
        <v>0</v>
      </c>
      <c r="K2343" s="8">
        <v>1</v>
      </c>
      <c r="L2343" s="8" t="s">
        <v>791</v>
      </c>
      <c r="M2343" s="8">
        <v>100</v>
      </c>
      <c r="N2343" s="8" t="s">
        <v>2165</v>
      </c>
      <c r="O2343" s="8" t="s">
        <v>2166</v>
      </c>
      <c r="P2343" s="8">
        <v>268</v>
      </c>
    </row>
    <row r="2349" spans="1:16" ht="27" customHeight="1">
      <c r="A2349" s="5" t="s">
        <v>2217</v>
      </c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</row>
    <row r="2350" spans="1:16" ht="36" customHeight="1">
      <c r="A2350" s="9" t="s">
        <v>683</v>
      </c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</row>
    <row r="2351" spans="1:16" ht="25" customHeight="1">
      <c r="A2351" s="6" t="s">
        <v>684</v>
      </c>
    </row>
    <row r="2352" spans="1:16" ht="25" customHeight="1">
      <c r="A2352" s="12">
        <v>1</v>
      </c>
      <c r="B2352" s="8" t="s">
        <v>2218</v>
      </c>
    </row>
    <row r="2353" spans="1:16" ht="25" customHeight="1">
      <c r="A2353" s="12">
        <v>2</v>
      </c>
      <c r="B2353" s="8" t="s">
        <v>2174</v>
      </c>
      <c r="E2353" s="8" t="s">
        <v>2121</v>
      </c>
      <c r="H2353" s="8" t="s">
        <v>2072</v>
      </c>
      <c r="K2353" s="8" t="s">
        <v>2122</v>
      </c>
      <c r="M2353" s="8" t="s">
        <v>2175</v>
      </c>
    </row>
    <row r="2354" spans="1:16" ht="25" customHeight="1">
      <c r="A2354" s="12">
        <v>3</v>
      </c>
      <c r="B2354" s="8" t="s">
        <v>2176</v>
      </c>
      <c r="C2354" s="8" t="s">
        <v>2091</v>
      </c>
      <c r="D2354" s="8" t="s">
        <v>690</v>
      </c>
      <c r="E2354" s="8" t="s">
        <v>2130</v>
      </c>
      <c r="F2354" s="8" t="s">
        <v>2132</v>
      </c>
      <c r="G2354" s="8" t="s">
        <v>2133</v>
      </c>
      <c r="H2354" s="8" t="s">
        <v>784</v>
      </c>
      <c r="I2354" s="8" t="s">
        <v>2135</v>
      </c>
      <c r="J2354" s="8" t="s">
        <v>2146</v>
      </c>
      <c r="K2354" s="8" t="s">
        <v>2147</v>
      </c>
      <c r="L2354" s="8" t="s">
        <v>786</v>
      </c>
      <c r="M2354" s="8" t="s">
        <v>2134</v>
      </c>
      <c r="N2354" s="8" t="s">
        <v>2136</v>
      </c>
      <c r="O2354" s="8" t="s">
        <v>2139</v>
      </c>
      <c r="P2354" s="8" t="s">
        <v>1946</v>
      </c>
    </row>
    <row r="2355" spans="1:16" ht="25" customHeight="1">
      <c r="A2355" s="12">
        <v>4</v>
      </c>
      <c r="B2355" s="8" t="s">
        <v>77</v>
      </c>
      <c r="C2355" s="8">
        <v>1</v>
      </c>
      <c r="D2355" s="11">
        <v>0.125</v>
      </c>
      <c r="E2355" s="8">
        <v>0</v>
      </c>
      <c r="F2355" s="8">
        <v>0</v>
      </c>
      <c r="G2355" s="8">
        <v>0</v>
      </c>
      <c r="H2355" s="8">
        <v>0</v>
      </c>
      <c r="I2355" s="8">
        <v>1</v>
      </c>
      <c r="J2355" s="8">
        <v>1</v>
      </c>
      <c r="K2355" s="8">
        <v>0</v>
      </c>
      <c r="L2355" s="8" t="s">
        <v>791</v>
      </c>
      <c r="M2355" s="8">
        <v>29</v>
      </c>
      <c r="N2355" s="8" t="s">
        <v>2165</v>
      </c>
      <c r="O2355" s="8" t="s">
        <v>2166</v>
      </c>
      <c r="P2355" s="8">
        <v>180</v>
      </c>
    </row>
    <row r="2356" spans="1:16" ht="25" customHeight="1">
      <c r="A2356" s="12">
        <v>5</v>
      </c>
      <c r="B2356" s="8" t="s">
        <v>35</v>
      </c>
      <c r="C2356" s="8">
        <v>1</v>
      </c>
      <c r="D2356" s="11">
        <v>0.125</v>
      </c>
      <c r="E2356" s="8">
        <v>0</v>
      </c>
      <c r="F2356" s="8">
        <v>0</v>
      </c>
      <c r="G2356" s="8">
        <v>0</v>
      </c>
      <c r="H2356" s="8">
        <v>0</v>
      </c>
      <c r="I2356" s="8">
        <v>5</v>
      </c>
      <c r="J2356" s="8">
        <v>1</v>
      </c>
      <c r="K2356" s="8">
        <v>0</v>
      </c>
      <c r="L2356" s="8" t="s">
        <v>791</v>
      </c>
      <c r="M2356" s="8">
        <v>25</v>
      </c>
      <c r="N2356" s="8" t="s">
        <v>2165</v>
      </c>
      <c r="O2356" s="8" t="s">
        <v>2166</v>
      </c>
      <c r="P2356" s="8">
        <v>186</v>
      </c>
    </row>
    <row r="2357" spans="1:16" ht="25" customHeight="1">
      <c r="A2357" s="12">
        <v>6</v>
      </c>
      <c r="B2357" s="8" t="s">
        <v>60</v>
      </c>
      <c r="C2357" s="8">
        <v>1</v>
      </c>
      <c r="D2357" s="11">
        <v>0.125</v>
      </c>
      <c r="E2357" s="8">
        <v>0</v>
      </c>
      <c r="F2357" s="8">
        <v>0</v>
      </c>
      <c r="G2357" s="8">
        <v>0</v>
      </c>
      <c r="H2357" s="8">
        <v>0</v>
      </c>
      <c r="I2357" s="8">
        <v>2</v>
      </c>
      <c r="J2357" s="8">
        <v>1</v>
      </c>
      <c r="K2357" s="8">
        <v>0</v>
      </c>
      <c r="L2357" s="8" t="s">
        <v>791</v>
      </c>
      <c r="M2357" s="8">
        <v>28</v>
      </c>
      <c r="N2357" s="8" t="s">
        <v>2165</v>
      </c>
      <c r="O2357" s="8" t="s">
        <v>2166</v>
      </c>
      <c r="P2357" s="8">
        <v>191</v>
      </c>
    </row>
    <row r="2358" spans="1:16" ht="25" customHeight="1">
      <c r="A2358" s="12">
        <v>7</v>
      </c>
      <c r="B2358" s="8" t="s">
        <v>66</v>
      </c>
      <c r="C2358" s="8">
        <v>1</v>
      </c>
      <c r="D2358" s="11">
        <v>0.125</v>
      </c>
      <c r="E2358" s="8">
        <v>0</v>
      </c>
      <c r="F2358" s="8">
        <v>0</v>
      </c>
      <c r="G2358" s="8">
        <v>0</v>
      </c>
      <c r="H2358" s="8">
        <v>0</v>
      </c>
      <c r="I2358" s="8">
        <v>1</v>
      </c>
      <c r="J2358" s="8">
        <v>1</v>
      </c>
      <c r="K2358" s="8">
        <v>0</v>
      </c>
      <c r="L2358" s="8" t="s">
        <v>791</v>
      </c>
      <c r="M2358" s="8">
        <v>29</v>
      </c>
      <c r="N2358" s="8" t="s">
        <v>2165</v>
      </c>
      <c r="O2358" s="8" t="s">
        <v>2166</v>
      </c>
      <c r="P2358" s="8">
        <v>193</v>
      </c>
    </row>
    <row r="2359" spans="1:16" ht="25" customHeight="1">
      <c r="A2359" s="12">
        <v>8</v>
      </c>
      <c r="B2359" s="8" t="s">
        <v>32</v>
      </c>
      <c r="C2359" s="8">
        <v>1</v>
      </c>
      <c r="D2359" s="11">
        <v>0.125</v>
      </c>
      <c r="E2359" s="8">
        <v>0</v>
      </c>
      <c r="F2359" s="8">
        <v>0</v>
      </c>
      <c r="G2359" s="8">
        <v>0</v>
      </c>
      <c r="H2359" s="8">
        <v>0</v>
      </c>
      <c r="I2359" s="8">
        <v>8</v>
      </c>
      <c r="J2359" s="8">
        <v>1</v>
      </c>
      <c r="K2359" s="8">
        <v>0</v>
      </c>
      <c r="L2359" s="8" t="s">
        <v>791</v>
      </c>
      <c r="M2359" s="8">
        <v>22</v>
      </c>
      <c r="N2359" s="8" t="s">
        <v>2165</v>
      </c>
      <c r="O2359" s="8" t="s">
        <v>2166</v>
      </c>
      <c r="P2359" s="8">
        <v>197</v>
      </c>
    </row>
    <row r="2360" spans="1:16" ht="25" customHeight="1">
      <c r="A2360" s="12">
        <v>9</v>
      </c>
      <c r="B2360" s="8" t="s">
        <v>53</v>
      </c>
      <c r="C2360" s="8">
        <v>1</v>
      </c>
      <c r="D2360" s="11">
        <v>0.125</v>
      </c>
      <c r="E2360" s="8">
        <v>0</v>
      </c>
      <c r="F2360" s="8">
        <v>0</v>
      </c>
      <c r="G2360" s="8">
        <v>0</v>
      </c>
      <c r="H2360" s="8">
        <v>0</v>
      </c>
      <c r="I2360" s="8">
        <v>11</v>
      </c>
      <c r="J2360" s="8">
        <v>1</v>
      </c>
      <c r="K2360" s="8">
        <v>0</v>
      </c>
      <c r="L2360" s="8" t="s">
        <v>791</v>
      </c>
      <c r="M2360" s="8">
        <v>20</v>
      </c>
      <c r="N2360" s="8" t="s">
        <v>2165</v>
      </c>
      <c r="O2360" s="8" t="s">
        <v>2166</v>
      </c>
      <c r="P2360" s="8">
        <v>202</v>
      </c>
    </row>
    <row r="2361" spans="1:16" ht="25" customHeight="1">
      <c r="A2361" s="12">
        <v>10</v>
      </c>
      <c r="B2361" s="8" t="s">
        <v>95</v>
      </c>
      <c r="C2361" s="8">
        <v>1</v>
      </c>
      <c r="D2361" s="11">
        <v>0.125</v>
      </c>
      <c r="E2361" s="8">
        <v>0</v>
      </c>
      <c r="F2361" s="8">
        <v>0</v>
      </c>
      <c r="G2361" s="8">
        <v>0</v>
      </c>
      <c r="H2361" s="8">
        <v>0</v>
      </c>
      <c r="I2361" s="8">
        <v>6</v>
      </c>
      <c r="J2361" s="8">
        <v>1</v>
      </c>
      <c r="K2361" s="8">
        <v>0</v>
      </c>
      <c r="L2361" s="8" t="s">
        <v>791</v>
      </c>
      <c r="M2361" s="8">
        <v>24</v>
      </c>
      <c r="N2361" s="8" t="s">
        <v>2165</v>
      </c>
      <c r="O2361" s="8" t="s">
        <v>2166</v>
      </c>
      <c r="P2361" s="8">
        <v>274</v>
      </c>
    </row>
    <row r="2362" spans="1:16" ht="25" customHeight="1">
      <c r="A2362" s="12">
        <v>11</v>
      </c>
      <c r="B2362" s="8" t="s">
        <v>93</v>
      </c>
      <c r="C2362" s="8">
        <v>1</v>
      </c>
      <c r="D2362" s="11">
        <v>0.125</v>
      </c>
      <c r="E2362" s="8">
        <v>1</v>
      </c>
      <c r="F2362" s="8">
        <v>1</v>
      </c>
      <c r="G2362" s="8">
        <v>0</v>
      </c>
      <c r="H2362" s="8">
        <v>0</v>
      </c>
      <c r="I2362" s="8">
        <v>0</v>
      </c>
      <c r="J2362" s="8">
        <v>0</v>
      </c>
      <c r="K2362" s="8">
        <v>1</v>
      </c>
      <c r="L2362" s="8" t="s">
        <v>791</v>
      </c>
      <c r="M2362" s="8">
        <v>100</v>
      </c>
      <c r="N2362" s="8" t="s">
        <v>2165</v>
      </c>
      <c r="O2362" s="8" t="s">
        <v>2166</v>
      </c>
      <c r="P2362" s="8">
        <v>277</v>
      </c>
    </row>
    <row r="2368" spans="1:16" ht="27" customHeight="1">
      <c r="A2368" s="5" t="s">
        <v>2219</v>
      </c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</row>
    <row r="2369" spans="1:16" ht="36" customHeight="1">
      <c r="A2369" s="9" t="s">
        <v>683</v>
      </c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</row>
    <row r="2370" spans="1:16" ht="25" customHeight="1">
      <c r="A2370" s="6" t="s">
        <v>684</v>
      </c>
    </row>
    <row r="2371" spans="1:16" ht="25" customHeight="1">
      <c r="A2371" s="12">
        <v>1</v>
      </c>
      <c r="B2371" s="8" t="s">
        <v>2220</v>
      </c>
    </row>
    <row r="2372" spans="1:16" ht="25" customHeight="1">
      <c r="A2372" s="12">
        <v>2</v>
      </c>
      <c r="B2372" s="8" t="s">
        <v>2174</v>
      </c>
      <c r="E2372" s="8" t="s">
        <v>2121</v>
      </c>
      <c r="H2372" s="8" t="s">
        <v>2072</v>
      </c>
      <c r="K2372" s="8" t="s">
        <v>2122</v>
      </c>
      <c r="M2372" s="8" t="s">
        <v>2175</v>
      </c>
    </row>
    <row r="2373" spans="1:16" ht="25" customHeight="1">
      <c r="A2373" s="12">
        <v>3</v>
      </c>
      <c r="B2373" s="8" t="s">
        <v>2176</v>
      </c>
      <c r="C2373" s="8" t="s">
        <v>2091</v>
      </c>
      <c r="D2373" s="8" t="s">
        <v>690</v>
      </c>
      <c r="E2373" s="8" t="s">
        <v>2130</v>
      </c>
      <c r="F2373" s="8" t="s">
        <v>2132</v>
      </c>
      <c r="G2373" s="8" t="s">
        <v>2133</v>
      </c>
      <c r="H2373" s="8" t="s">
        <v>784</v>
      </c>
      <c r="I2373" s="8" t="s">
        <v>2135</v>
      </c>
      <c r="J2373" s="8" t="s">
        <v>2146</v>
      </c>
      <c r="K2373" s="8" t="s">
        <v>2147</v>
      </c>
      <c r="L2373" s="8" t="s">
        <v>786</v>
      </c>
      <c r="M2373" s="8" t="s">
        <v>2134</v>
      </c>
      <c r="N2373" s="8" t="s">
        <v>2136</v>
      </c>
      <c r="O2373" s="8" t="s">
        <v>2139</v>
      </c>
      <c r="P2373" s="8" t="s">
        <v>1946</v>
      </c>
    </row>
    <row r="2374" spans="1:16" ht="25" customHeight="1">
      <c r="A2374" s="12">
        <v>4</v>
      </c>
      <c r="B2374" s="8" t="s">
        <v>102</v>
      </c>
      <c r="C2374" s="8">
        <v>1</v>
      </c>
      <c r="D2374" s="11">
        <v>0.04545454545454546</v>
      </c>
      <c r="E2374" s="8">
        <v>1</v>
      </c>
      <c r="F2374" s="8">
        <v>1</v>
      </c>
      <c r="G2374" s="8">
        <v>0</v>
      </c>
      <c r="H2374" s="8">
        <v>0</v>
      </c>
      <c r="I2374" s="8">
        <v>1</v>
      </c>
      <c r="J2374" s="8">
        <v>0</v>
      </c>
      <c r="K2374" s="8">
        <v>1</v>
      </c>
      <c r="L2374" s="8" t="s">
        <v>791</v>
      </c>
      <c r="M2374" s="8">
        <v>99</v>
      </c>
      <c r="N2374" s="8" t="s">
        <v>2165</v>
      </c>
      <c r="O2374" s="8" t="s">
        <v>2166</v>
      </c>
      <c r="P2374" s="8">
        <v>174</v>
      </c>
    </row>
    <row r="2375" spans="1:16" ht="25" customHeight="1">
      <c r="A2375" s="12">
        <v>5</v>
      </c>
      <c r="B2375" s="8" t="s">
        <v>42</v>
      </c>
      <c r="C2375" s="8">
        <v>2</v>
      </c>
      <c r="D2375" s="11">
        <v>0.09090909090909091</v>
      </c>
      <c r="E2375" s="8">
        <v>2</v>
      </c>
      <c r="F2375" s="8">
        <v>1</v>
      </c>
      <c r="G2375" s="8">
        <v>0</v>
      </c>
      <c r="H2375" s="8">
        <v>0</v>
      </c>
      <c r="I2375" s="8">
        <v>-2</v>
      </c>
      <c r="J2375" s="8">
        <v>0</v>
      </c>
      <c r="K2375" s="8">
        <v>1</v>
      </c>
      <c r="L2375" s="8" t="s">
        <v>791</v>
      </c>
      <c r="M2375" s="8">
        <v>100</v>
      </c>
      <c r="N2375" s="8" t="s">
        <v>2165</v>
      </c>
      <c r="O2375" s="8" t="s">
        <v>2166</v>
      </c>
      <c r="P2375" s="8">
        <v>177</v>
      </c>
    </row>
    <row r="2376" spans="1:16" ht="25" customHeight="1">
      <c r="A2376" s="12">
        <v>6</v>
      </c>
      <c r="B2376" s="8" t="s">
        <v>77</v>
      </c>
      <c r="C2376" s="8">
        <v>2</v>
      </c>
      <c r="D2376" s="11">
        <v>0.09090909090909091</v>
      </c>
      <c r="E2376" s="8">
        <v>2</v>
      </c>
      <c r="F2376" s="8">
        <v>1</v>
      </c>
      <c r="G2376" s="8">
        <v>0</v>
      </c>
      <c r="H2376" s="8">
        <v>0</v>
      </c>
      <c r="I2376" s="8">
        <v>2</v>
      </c>
      <c r="J2376" s="11">
        <v>0.5</v>
      </c>
      <c r="K2376" s="11">
        <v>0.5</v>
      </c>
      <c r="L2376" s="8" t="s">
        <v>791</v>
      </c>
      <c r="M2376" s="8">
        <v>98</v>
      </c>
      <c r="N2376" s="8" t="s">
        <v>2165</v>
      </c>
      <c r="O2376" s="8" t="s">
        <v>2166</v>
      </c>
      <c r="P2376" s="8">
        <v>181</v>
      </c>
    </row>
    <row r="2377" spans="1:16" ht="25" customHeight="1">
      <c r="A2377" s="12">
        <v>7</v>
      </c>
      <c r="B2377" s="8" t="s">
        <v>27</v>
      </c>
      <c r="C2377" s="8">
        <v>1</v>
      </c>
      <c r="D2377" s="11">
        <v>0.04545454545454546</v>
      </c>
      <c r="E2377" s="8">
        <v>1</v>
      </c>
      <c r="F2377" s="8">
        <v>1</v>
      </c>
      <c r="G2377" s="8">
        <v>0</v>
      </c>
      <c r="H2377" s="8">
        <v>0</v>
      </c>
      <c r="I2377" s="8">
        <v>0</v>
      </c>
      <c r="J2377" s="8">
        <v>0</v>
      </c>
      <c r="K2377" s="8">
        <v>1</v>
      </c>
      <c r="L2377" s="8" t="s">
        <v>791</v>
      </c>
      <c r="M2377" s="8">
        <v>100</v>
      </c>
      <c r="N2377" s="8" t="s">
        <v>2165</v>
      </c>
      <c r="O2377" s="8" t="s">
        <v>2166</v>
      </c>
      <c r="P2377" s="8">
        <v>189</v>
      </c>
    </row>
    <row r="2378" spans="1:16" ht="25" customHeight="1">
      <c r="A2378" s="12">
        <v>8</v>
      </c>
      <c r="B2378" s="8" t="s">
        <v>60</v>
      </c>
      <c r="C2378" s="8">
        <v>1</v>
      </c>
      <c r="D2378" s="11">
        <v>0.04545454545454546</v>
      </c>
      <c r="E2378" s="8">
        <v>1</v>
      </c>
      <c r="F2378" s="8">
        <v>1</v>
      </c>
      <c r="G2378" s="8">
        <v>0</v>
      </c>
      <c r="H2378" s="8">
        <v>0</v>
      </c>
      <c r="I2378" s="8">
        <v>0</v>
      </c>
      <c r="J2378" s="8">
        <v>0</v>
      </c>
      <c r="K2378" s="8">
        <v>1</v>
      </c>
      <c r="L2378" s="8" t="s">
        <v>791</v>
      </c>
      <c r="M2378" s="8">
        <v>100</v>
      </c>
      <c r="N2378" s="8" t="s">
        <v>2165</v>
      </c>
      <c r="O2378" s="8" t="s">
        <v>2166</v>
      </c>
      <c r="P2378" s="8">
        <v>192</v>
      </c>
    </row>
    <row r="2379" spans="1:16" ht="25" customHeight="1">
      <c r="A2379" s="12">
        <v>9</v>
      </c>
      <c r="B2379" s="8" t="s">
        <v>66</v>
      </c>
      <c r="C2379" s="8">
        <v>1</v>
      </c>
      <c r="D2379" s="11">
        <v>0.04545454545454546</v>
      </c>
      <c r="E2379" s="8">
        <v>1</v>
      </c>
      <c r="F2379" s="8">
        <v>1</v>
      </c>
      <c r="G2379" s="8">
        <v>0</v>
      </c>
      <c r="H2379" s="8">
        <v>0</v>
      </c>
      <c r="I2379" s="8">
        <v>0</v>
      </c>
      <c r="J2379" s="8">
        <v>1</v>
      </c>
      <c r="K2379" s="8">
        <v>0</v>
      </c>
      <c r="L2379" s="8" t="s">
        <v>791</v>
      </c>
      <c r="M2379" s="8">
        <v>100</v>
      </c>
      <c r="N2379" s="8" t="s">
        <v>2165</v>
      </c>
      <c r="O2379" s="8" t="s">
        <v>2166</v>
      </c>
      <c r="P2379" s="8">
        <v>194</v>
      </c>
    </row>
    <row r="2380" spans="1:16" ht="25" customHeight="1">
      <c r="A2380" s="12">
        <v>10</v>
      </c>
      <c r="B2380" s="8" t="s">
        <v>37</v>
      </c>
      <c r="C2380" s="8">
        <v>1</v>
      </c>
      <c r="D2380" s="11">
        <v>0.04545454545454546</v>
      </c>
      <c r="E2380" s="8">
        <v>0</v>
      </c>
      <c r="F2380" s="8">
        <v>0</v>
      </c>
      <c r="G2380" s="8">
        <v>0</v>
      </c>
      <c r="H2380" s="8">
        <v>0</v>
      </c>
      <c r="I2380" s="8">
        <v>6</v>
      </c>
      <c r="J2380" s="8">
        <v>0</v>
      </c>
      <c r="K2380" s="8">
        <v>1</v>
      </c>
      <c r="L2380" s="8" t="s">
        <v>791</v>
      </c>
      <c r="M2380" s="8">
        <v>24</v>
      </c>
      <c r="N2380" s="8" t="s">
        <v>2165</v>
      </c>
      <c r="O2380" s="8" t="s">
        <v>2166</v>
      </c>
      <c r="P2380" s="8">
        <v>196</v>
      </c>
    </row>
    <row r="2381" spans="1:16" ht="25" customHeight="1">
      <c r="A2381" s="12">
        <v>11</v>
      </c>
      <c r="B2381" s="8" t="s">
        <v>48</v>
      </c>
      <c r="C2381" s="8">
        <v>2</v>
      </c>
      <c r="D2381" s="11">
        <v>0.09090909090909091</v>
      </c>
      <c r="E2381" s="8">
        <v>0</v>
      </c>
      <c r="F2381" s="8">
        <v>0</v>
      </c>
      <c r="G2381" s="8">
        <v>0</v>
      </c>
      <c r="H2381" s="8">
        <v>0</v>
      </c>
      <c r="I2381" s="11">
        <v>10.5</v>
      </c>
      <c r="J2381" s="8">
        <v>0</v>
      </c>
      <c r="K2381" s="8">
        <v>1</v>
      </c>
      <c r="L2381" s="8" t="s">
        <v>791</v>
      </c>
      <c r="M2381" s="8">
        <v>20</v>
      </c>
      <c r="N2381" s="8" t="s">
        <v>2165</v>
      </c>
      <c r="O2381" s="8" t="s">
        <v>2166</v>
      </c>
      <c r="P2381" s="8">
        <v>200</v>
      </c>
    </row>
    <row r="2382" spans="1:16" ht="25" customHeight="1">
      <c r="A2382" s="12">
        <v>12</v>
      </c>
      <c r="B2382" s="8" t="s">
        <v>80</v>
      </c>
      <c r="C2382" s="8">
        <v>1</v>
      </c>
      <c r="D2382" s="11">
        <v>0.04545454545454546</v>
      </c>
      <c r="E2382" s="8">
        <v>1</v>
      </c>
      <c r="F2382" s="8">
        <v>1</v>
      </c>
      <c r="G2382" s="8">
        <v>0</v>
      </c>
      <c r="H2382" s="8">
        <v>0</v>
      </c>
      <c r="I2382" s="8">
        <v>2</v>
      </c>
      <c r="J2382" s="8">
        <v>1</v>
      </c>
      <c r="K2382" s="8">
        <v>0</v>
      </c>
      <c r="L2382" s="8" t="s">
        <v>791</v>
      </c>
      <c r="M2382" s="8">
        <v>98</v>
      </c>
      <c r="N2382" s="8" t="s">
        <v>2165</v>
      </c>
      <c r="O2382" s="8" t="s">
        <v>2166</v>
      </c>
      <c r="P2382" s="8">
        <v>201</v>
      </c>
    </row>
    <row r="2383" spans="1:16" ht="25" customHeight="1">
      <c r="A2383" s="12">
        <v>13</v>
      </c>
      <c r="B2383" s="8" t="s">
        <v>106</v>
      </c>
      <c r="C2383" s="8">
        <v>1</v>
      </c>
      <c r="D2383" s="11">
        <v>0.04545454545454546</v>
      </c>
      <c r="E2383" s="8">
        <v>0</v>
      </c>
      <c r="F2383" s="8">
        <v>0</v>
      </c>
      <c r="G2383" s="8">
        <v>1</v>
      </c>
      <c r="H2383" s="8">
        <v>1</v>
      </c>
      <c r="I2383" s="8">
        <v>22</v>
      </c>
      <c r="J2383" s="8">
        <v>0</v>
      </c>
      <c r="K2383" s="8">
        <v>1</v>
      </c>
      <c r="L2383" s="8" t="s">
        <v>791</v>
      </c>
      <c r="M2383" s="8">
        <v>0</v>
      </c>
      <c r="N2383" s="8" t="s">
        <v>2161</v>
      </c>
      <c r="O2383" s="8" t="s">
        <v>2162</v>
      </c>
      <c r="P2383" s="8">
        <v>205</v>
      </c>
    </row>
    <row r="2384" spans="1:16" ht="25" customHeight="1">
      <c r="A2384" s="12">
        <v>14</v>
      </c>
      <c r="B2384" s="8" t="s">
        <v>84</v>
      </c>
      <c r="C2384" s="8">
        <v>1</v>
      </c>
      <c r="D2384" s="11">
        <v>0.04545454545454546</v>
      </c>
      <c r="E2384" s="8">
        <v>1</v>
      </c>
      <c r="F2384" s="8">
        <v>1</v>
      </c>
      <c r="G2384" s="8">
        <v>0</v>
      </c>
      <c r="H2384" s="8">
        <v>0</v>
      </c>
      <c r="I2384" s="8">
        <v>0</v>
      </c>
      <c r="J2384" s="8">
        <v>0</v>
      </c>
      <c r="K2384" s="8">
        <v>1</v>
      </c>
      <c r="L2384" s="8" t="s">
        <v>791</v>
      </c>
      <c r="M2384" s="8">
        <v>100</v>
      </c>
      <c r="N2384" s="8" t="s">
        <v>2165</v>
      </c>
      <c r="O2384" s="8" t="s">
        <v>2166</v>
      </c>
      <c r="P2384" s="8">
        <v>206</v>
      </c>
    </row>
    <row r="2385" spans="1:16" ht="25" customHeight="1">
      <c r="A2385" s="12">
        <v>15</v>
      </c>
      <c r="B2385" s="8" t="s">
        <v>65</v>
      </c>
      <c r="C2385" s="8">
        <v>1</v>
      </c>
      <c r="D2385" s="11">
        <v>0.04545454545454546</v>
      </c>
      <c r="E2385" s="8">
        <v>0</v>
      </c>
      <c r="F2385" s="8">
        <v>0</v>
      </c>
      <c r="G2385" s="8">
        <v>0</v>
      </c>
      <c r="H2385" s="8">
        <v>0</v>
      </c>
      <c r="I2385" s="8">
        <v>5</v>
      </c>
      <c r="J2385" s="8">
        <v>0</v>
      </c>
      <c r="K2385" s="8">
        <v>1</v>
      </c>
      <c r="L2385" s="8" t="s">
        <v>791</v>
      </c>
      <c r="M2385" s="8">
        <v>25</v>
      </c>
      <c r="N2385" s="8" t="s">
        <v>2165</v>
      </c>
      <c r="O2385" s="8" t="s">
        <v>2166</v>
      </c>
      <c r="P2385" s="8">
        <v>207</v>
      </c>
    </row>
    <row r="2386" spans="1:16" ht="25" customHeight="1">
      <c r="A2386" s="12">
        <v>16</v>
      </c>
      <c r="B2386" s="8" t="s">
        <v>69</v>
      </c>
      <c r="C2386" s="8">
        <v>1</v>
      </c>
      <c r="D2386" s="11">
        <v>0.04545454545454546</v>
      </c>
      <c r="E2386" s="8">
        <v>0</v>
      </c>
      <c r="F2386" s="8">
        <v>0</v>
      </c>
      <c r="G2386" s="8">
        <v>1</v>
      </c>
      <c r="H2386" s="8">
        <v>1</v>
      </c>
      <c r="I2386" s="8">
        <v>19</v>
      </c>
      <c r="J2386" s="8">
        <v>1</v>
      </c>
      <c r="K2386" s="8">
        <v>0</v>
      </c>
      <c r="L2386" s="8" t="s">
        <v>791</v>
      </c>
      <c r="M2386" s="8">
        <v>0</v>
      </c>
      <c r="N2386" s="8" t="s">
        <v>2161</v>
      </c>
      <c r="O2386" s="8" t="s">
        <v>2162</v>
      </c>
      <c r="P2386" s="8">
        <v>208</v>
      </c>
    </row>
    <row r="2387" spans="1:16" ht="25" customHeight="1">
      <c r="A2387" s="12">
        <v>17</v>
      </c>
      <c r="B2387" s="8" t="s">
        <v>100</v>
      </c>
      <c r="C2387" s="8">
        <v>2</v>
      </c>
      <c r="D2387" s="11">
        <v>0.09090909090909091</v>
      </c>
      <c r="E2387" s="8">
        <v>1</v>
      </c>
      <c r="F2387" s="11">
        <v>0.5</v>
      </c>
      <c r="G2387" s="8">
        <v>0</v>
      </c>
      <c r="H2387" s="8">
        <v>0</v>
      </c>
      <c r="I2387" s="8">
        <v>6</v>
      </c>
      <c r="J2387" s="11">
        <v>0.5</v>
      </c>
      <c r="K2387" s="11">
        <v>0.5</v>
      </c>
      <c r="L2387" s="8" t="s">
        <v>791</v>
      </c>
      <c r="M2387" s="8">
        <v>59</v>
      </c>
      <c r="N2387" s="8" t="s">
        <v>2165</v>
      </c>
      <c r="O2387" s="8" t="s">
        <v>2166</v>
      </c>
      <c r="P2387" s="8">
        <v>271</v>
      </c>
    </row>
    <row r="2388" spans="1:16" ht="25" customHeight="1">
      <c r="A2388" s="12">
        <v>18</v>
      </c>
      <c r="B2388" s="8" t="s">
        <v>95</v>
      </c>
      <c r="C2388" s="8">
        <v>2</v>
      </c>
      <c r="D2388" s="11">
        <v>0.09090909090909091</v>
      </c>
      <c r="E2388" s="8">
        <v>1</v>
      </c>
      <c r="F2388" s="11">
        <v>0.5</v>
      </c>
      <c r="G2388" s="8">
        <v>0</v>
      </c>
      <c r="H2388" s="8">
        <v>0</v>
      </c>
      <c r="I2388" s="11">
        <v>4.5</v>
      </c>
      <c r="J2388" s="11">
        <v>0.5</v>
      </c>
      <c r="K2388" s="11">
        <v>0.5</v>
      </c>
      <c r="L2388" s="8" t="s">
        <v>791</v>
      </c>
      <c r="M2388" s="11">
        <v>60.5</v>
      </c>
      <c r="N2388" s="8" t="s">
        <v>2165</v>
      </c>
      <c r="O2388" s="8" t="s">
        <v>2166</v>
      </c>
      <c r="P2388" s="8">
        <v>275</v>
      </c>
    </row>
    <row r="2389" spans="1:16" ht="25" customHeight="1">
      <c r="A2389" s="12">
        <v>19</v>
      </c>
      <c r="B2389" s="8" t="s">
        <v>105</v>
      </c>
      <c r="C2389" s="8">
        <v>1</v>
      </c>
      <c r="D2389" s="11">
        <v>0.04545454545454546</v>
      </c>
      <c r="E2389" s="8">
        <v>1</v>
      </c>
      <c r="F2389" s="8">
        <v>1</v>
      </c>
      <c r="G2389" s="8">
        <v>0</v>
      </c>
      <c r="H2389" s="8">
        <v>0</v>
      </c>
      <c r="I2389" s="8">
        <v>0</v>
      </c>
      <c r="J2389" s="8">
        <v>0</v>
      </c>
      <c r="K2389" s="8">
        <v>1</v>
      </c>
      <c r="L2389" s="8" t="s">
        <v>791</v>
      </c>
      <c r="M2389" s="8">
        <v>100</v>
      </c>
      <c r="N2389" s="8" t="s">
        <v>2165</v>
      </c>
      <c r="O2389" s="8" t="s">
        <v>2166</v>
      </c>
      <c r="P2389" s="8">
        <v>282</v>
      </c>
    </row>
    <row r="2390" spans="1:16" ht="25" customHeight="1">
      <c r="A2390" s="12">
        <v>20</v>
      </c>
      <c r="B2390" s="8" t="s">
        <v>61</v>
      </c>
      <c r="C2390" s="8">
        <v>1</v>
      </c>
      <c r="D2390" s="11">
        <v>0.04545454545454546</v>
      </c>
      <c r="E2390" s="8">
        <v>0</v>
      </c>
      <c r="F2390" s="8">
        <v>0</v>
      </c>
      <c r="G2390" s="8">
        <v>1</v>
      </c>
      <c r="H2390" s="8">
        <v>1</v>
      </c>
      <c r="I2390" s="8">
        <v>21</v>
      </c>
      <c r="J2390" s="8">
        <v>0</v>
      </c>
      <c r="K2390" s="8">
        <v>1</v>
      </c>
      <c r="L2390" s="8" t="s">
        <v>791</v>
      </c>
      <c r="M2390" s="8">
        <v>0</v>
      </c>
      <c r="N2390" s="8" t="s">
        <v>2161</v>
      </c>
      <c r="O2390" s="8" t="s">
        <v>2162</v>
      </c>
      <c r="P2390" s="8">
        <v>284</v>
      </c>
    </row>
    <row r="2396" spans="1:16" ht="27" customHeight="1">
      <c r="A2396" s="5" t="s">
        <v>2221</v>
      </c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</row>
    <row r="2397" spans="1:16" ht="36" customHeight="1">
      <c r="A2397" s="9" t="s">
        <v>683</v>
      </c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</row>
    <row r="2398" spans="1:16" ht="25" customHeight="1">
      <c r="A2398" s="6" t="s">
        <v>684</v>
      </c>
    </row>
    <row r="2399" spans="1:16" ht="25" customHeight="1">
      <c r="A2399" s="12">
        <v>1</v>
      </c>
      <c r="B2399" s="8" t="s">
        <v>2222</v>
      </c>
    </row>
    <row r="2400" spans="1:16" ht="25" customHeight="1">
      <c r="A2400" s="12">
        <v>2</v>
      </c>
      <c r="B2400" s="8" t="s">
        <v>2174</v>
      </c>
      <c r="E2400" s="8" t="s">
        <v>2121</v>
      </c>
      <c r="H2400" s="8" t="s">
        <v>2072</v>
      </c>
      <c r="K2400" s="8" t="s">
        <v>2122</v>
      </c>
      <c r="M2400" s="8" t="s">
        <v>2175</v>
      </c>
    </row>
    <row r="2401" spans="1:16" ht="25" customHeight="1">
      <c r="A2401" s="12">
        <v>3</v>
      </c>
      <c r="B2401" s="8" t="s">
        <v>2176</v>
      </c>
      <c r="C2401" s="8" t="s">
        <v>2091</v>
      </c>
      <c r="D2401" s="8" t="s">
        <v>690</v>
      </c>
      <c r="E2401" s="8" t="s">
        <v>2130</v>
      </c>
      <c r="F2401" s="8" t="s">
        <v>2132</v>
      </c>
      <c r="G2401" s="8" t="s">
        <v>2133</v>
      </c>
      <c r="H2401" s="8" t="s">
        <v>784</v>
      </c>
      <c r="I2401" s="8" t="s">
        <v>2135</v>
      </c>
      <c r="J2401" s="8" t="s">
        <v>2146</v>
      </c>
      <c r="K2401" s="8" t="s">
        <v>2147</v>
      </c>
      <c r="L2401" s="8" t="s">
        <v>786</v>
      </c>
      <c r="M2401" s="8" t="s">
        <v>2134</v>
      </c>
      <c r="N2401" s="8" t="s">
        <v>2136</v>
      </c>
      <c r="O2401" s="8" t="s">
        <v>2139</v>
      </c>
      <c r="P2401" s="8" t="s">
        <v>1946</v>
      </c>
    </row>
    <row r="2402" spans="1:16" ht="25" customHeight="1">
      <c r="A2402" s="12">
        <v>4</v>
      </c>
      <c r="B2402" s="8" t="s">
        <v>102</v>
      </c>
      <c r="C2402" s="8">
        <v>2</v>
      </c>
      <c r="D2402" s="11">
        <v>0.1538461538461539</v>
      </c>
      <c r="E2402" s="8">
        <v>2</v>
      </c>
      <c r="F2402" s="8">
        <v>1</v>
      </c>
      <c r="G2402" s="8">
        <v>0</v>
      </c>
      <c r="H2402" s="8">
        <v>0</v>
      </c>
      <c r="I2402" s="8">
        <v>4</v>
      </c>
      <c r="J2402" s="11">
        <v>0.5</v>
      </c>
      <c r="K2402" s="11">
        <v>0.5</v>
      </c>
      <c r="L2402" s="8" t="s">
        <v>791</v>
      </c>
      <c r="M2402" s="8">
        <v>96</v>
      </c>
      <c r="N2402" s="8" t="s">
        <v>2165</v>
      </c>
      <c r="O2402" s="8" t="s">
        <v>2166</v>
      </c>
      <c r="P2402" s="8">
        <v>175</v>
      </c>
    </row>
    <row r="2403" spans="1:16" ht="25" customHeight="1">
      <c r="A2403" s="12">
        <v>5</v>
      </c>
      <c r="B2403" s="8" t="s">
        <v>42</v>
      </c>
      <c r="C2403" s="8">
        <v>1</v>
      </c>
      <c r="D2403" s="11">
        <v>0.07692307692307693</v>
      </c>
      <c r="E2403" s="8">
        <v>0</v>
      </c>
      <c r="F2403" s="8">
        <v>0</v>
      </c>
      <c r="G2403" s="8">
        <v>0</v>
      </c>
      <c r="H2403" s="8">
        <v>0</v>
      </c>
      <c r="I2403" s="8">
        <v>8</v>
      </c>
      <c r="J2403" s="8">
        <v>0</v>
      </c>
      <c r="K2403" s="8">
        <v>1</v>
      </c>
      <c r="L2403" s="8" t="s">
        <v>791</v>
      </c>
      <c r="M2403" s="8">
        <v>22</v>
      </c>
      <c r="N2403" s="8" t="s">
        <v>2165</v>
      </c>
      <c r="O2403" s="8" t="s">
        <v>2166</v>
      </c>
      <c r="P2403" s="8">
        <v>179</v>
      </c>
    </row>
    <row r="2404" spans="1:16" ht="25" customHeight="1">
      <c r="A2404" s="12">
        <v>6</v>
      </c>
      <c r="B2404" s="8" t="s">
        <v>99</v>
      </c>
      <c r="C2404" s="8">
        <v>1</v>
      </c>
      <c r="D2404" s="11">
        <v>0.07692307692307693</v>
      </c>
      <c r="E2404" s="8">
        <v>0</v>
      </c>
      <c r="F2404" s="8">
        <v>0</v>
      </c>
      <c r="G2404" s="8">
        <v>0</v>
      </c>
      <c r="H2404" s="8">
        <v>0</v>
      </c>
      <c r="I2404" s="8">
        <v>12</v>
      </c>
      <c r="J2404" s="8">
        <v>0</v>
      </c>
      <c r="K2404" s="8">
        <v>1</v>
      </c>
      <c r="L2404" s="8" t="s">
        <v>791</v>
      </c>
      <c r="M2404" s="8">
        <v>20</v>
      </c>
      <c r="N2404" s="8" t="s">
        <v>2165</v>
      </c>
      <c r="O2404" s="8" t="s">
        <v>2166</v>
      </c>
      <c r="P2404" s="8">
        <v>185</v>
      </c>
    </row>
    <row r="2405" spans="1:16" ht="25" customHeight="1">
      <c r="A2405" s="12">
        <v>7</v>
      </c>
      <c r="B2405" s="8" t="s">
        <v>35</v>
      </c>
      <c r="C2405" s="8">
        <v>1</v>
      </c>
      <c r="D2405" s="11">
        <v>0.07692307692307693</v>
      </c>
      <c r="E2405" s="8">
        <v>1</v>
      </c>
      <c r="F2405" s="8">
        <v>1</v>
      </c>
      <c r="G2405" s="8">
        <v>0</v>
      </c>
      <c r="H2405" s="8">
        <v>0</v>
      </c>
      <c r="I2405" s="8">
        <v>0</v>
      </c>
      <c r="J2405" s="8">
        <v>1</v>
      </c>
      <c r="K2405" s="8">
        <v>0</v>
      </c>
      <c r="L2405" s="8" t="s">
        <v>791</v>
      </c>
      <c r="M2405" s="8">
        <v>100</v>
      </c>
      <c r="N2405" s="8" t="s">
        <v>2165</v>
      </c>
      <c r="O2405" s="8" t="s">
        <v>2166</v>
      </c>
      <c r="P2405" s="8">
        <v>188</v>
      </c>
    </row>
    <row r="2406" spans="1:16" ht="25" customHeight="1">
      <c r="A2406" s="12">
        <v>8</v>
      </c>
      <c r="B2406" s="8" t="s">
        <v>27</v>
      </c>
      <c r="C2406" s="8">
        <v>1</v>
      </c>
      <c r="D2406" s="11">
        <v>0.07692307692307693</v>
      </c>
      <c r="E2406" s="8">
        <v>1</v>
      </c>
      <c r="F2406" s="8">
        <v>1</v>
      </c>
      <c r="G2406" s="8">
        <v>0</v>
      </c>
      <c r="H2406" s="8">
        <v>0</v>
      </c>
      <c r="I2406" s="8">
        <v>1</v>
      </c>
      <c r="J2406" s="8">
        <v>1</v>
      </c>
      <c r="K2406" s="8">
        <v>0</v>
      </c>
      <c r="L2406" s="8" t="s">
        <v>791</v>
      </c>
      <c r="M2406" s="8">
        <v>99</v>
      </c>
      <c r="N2406" s="8" t="s">
        <v>2165</v>
      </c>
      <c r="O2406" s="8" t="s">
        <v>2166</v>
      </c>
      <c r="P2406" s="8">
        <v>190</v>
      </c>
    </row>
    <row r="2407" spans="1:16" ht="25" customHeight="1">
      <c r="A2407" s="12">
        <v>9</v>
      </c>
      <c r="B2407" s="8" t="s">
        <v>46</v>
      </c>
      <c r="C2407" s="8">
        <v>1</v>
      </c>
      <c r="D2407" s="11">
        <v>0.07692307692307693</v>
      </c>
      <c r="E2407" s="8">
        <v>0</v>
      </c>
      <c r="F2407" s="8">
        <v>0</v>
      </c>
      <c r="G2407" s="8">
        <v>0</v>
      </c>
      <c r="H2407" s="8">
        <v>0</v>
      </c>
      <c r="I2407" s="8">
        <v>7</v>
      </c>
      <c r="J2407" s="8">
        <v>0</v>
      </c>
      <c r="K2407" s="8">
        <v>1</v>
      </c>
      <c r="L2407" s="8" t="s">
        <v>791</v>
      </c>
      <c r="M2407" s="8">
        <v>23</v>
      </c>
      <c r="N2407" s="8" t="s">
        <v>2165</v>
      </c>
      <c r="O2407" s="8" t="s">
        <v>2166</v>
      </c>
      <c r="P2407" s="8">
        <v>199</v>
      </c>
    </row>
    <row r="2408" spans="1:16" ht="25" customHeight="1">
      <c r="A2408" s="12">
        <v>10</v>
      </c>
      <c r="B2408" s="8" t="s">
        <v>109</v>
      </c>
      <c r="C2408" s="8">
        <v>1</v>
      </c>
      <c r="D2408" s="11">
        <v>0.07692307692307693</v>
      </c>
      <c r="E2408" s="8">
        <v>0</v>
      </c>
      <c r="F2408" s="8">
        <v>0</v>
      </c>
      <c r="G2408" s="8">
        <v>1</v>
      </c>
      <c r="H2408" s="8">
        <v>1</v>
      </c>
      <c r="I2408" s="8">
        <v>16</v>
      </c>
      <c r="J2408" s="8">
        <v>0</v>
      </c>
      <c r="K2408" s="8">
        <v>1</v>
      </c>
      <c r="L2408" s="8" t="s">
        <v>791</v>
      </c>
      <c r="M2408" s="8">
        <v>0</v>
      </c>
      <c r="N2408" s="8" t="s">
        <v>2161</v>
      </c>
      <c r="O2408" s="8" t="s">
        <v>2162</v>
      </c>
      <c r="P2408" s="8">
        <v>203</v>
      </c>
    </row>
    <row r="2409" spans="1:16" ht="25" customHeight="1">
      <c r="A2409" s="12">
        <v>11</v>
      </c>
      <c r="B2409" s="8" t="s">
        <v>61</v>
      </c>
      <c r="C2409" s="8">
        <v>1</v>
      </c>
      <c r="D2409" s="11">
        <v>0.07692307692307693</v>
      </c>
      <c r="E2409" s="8">
        <v>0</v>
      </c>
      <c r="F2409" s="8">
        <v>0</v>
      </c>
      <c r="G2409" s="8">
        <v>0</v>
      </c>
      <c r="H2409" s="8">
        <v>0</v>
      </c>
      <c r="I2409" s="8">
        <v>13</v>
      </c>
      <c r="J2409" s="8">
        <v>0</v>
      </c>
      <c r="K2409" s="8">
        <v>1</v>
      </c>
      <c r="L2409" s="8" t="s">
        <v>791</v>
      </c>
      <c r="M2409" s="8">
        <v>20</v>
      </c>
      <c r="N2409" s="8" t="s">
        <v>2165</v>
      </c>
      <c r="O2409" s="8" t="s">
        <v>2166</v>
      </c>
      <c r="P2409" s="8">
        <v>204</v>
      </c>
    </row>
    <row r="2410" spans="1:16" ht="25" customHeight="1">
      <c r="A2410" s="12">
        <v>12</v>
      </c>
      <c r="B2410" s="8" t="s">
        <v>91</v>
      </c>
      <c r="C2410" s="8">
        <v>1</v>
      </c>
      <c r="D2410" s="11">
        <v>0.07692307692307693</v>
      </c>
      <c r="E2410" s="8">
        <v>1</v>
      </c>
      <c r="F2410" s="8">
        <v>1</v>
      </c>
      <c r="G2410" s="8">
        <v>0</v>
      </c>
      <c r="H2410" s="8">
        <v>0</v>
      </c>
      <c r="I2410" s="8">
        <v>0</v>
      </c>
      <c r="J2410" s="8">
        <v>0</v>
      </c>
      <c r="K2410" s="8">
        <v>1</v>
      </c>
      <c r="L2410" s="8" t="s">
        <v>791</v>
      </c>
      <c r="M2410" s="8">
        <v>100</v>
      </c>
      <c r="N2410" s="8" t="s">
        <v>2165</v>
      </c>
      <c r="O2410" s="8" t="s">
        <v>2166</v>
      </c>
      <c r="P2410" s="8">
        <v>209</v>
      </c>
    </row>
    <row r="2411" spans="1:16" ht="25" customHeight="1">
      <c r="A2411" s="12">
        <v>13</v>
      </c>
      <c r="B2411" s="8" t="s">
        <v>93</v>
      </c>
      <c r="C2411" s="8">
        <v>1</v>
      </c>
      <c r="D2411" s="11">
        <v>0.07692307692307693</v>
      </c>
      <c r="E2411" s="8">
        <v>0</v>
      </c>
      <c r="F2411" s="8">
        <v>0</v>
      </c>
      <c r="G2411" s="8">
        <v>1</v>
      </c>
      <c r="H2411" s="8">
        <v>1</v>
      </c>
      <c r="I2411" s="8">
        <v>21</v>
      </c>
      <c r="J2411" s="8">
        <v>0</v>
      </c>
      <c r="K2411" s="8">
        <v>1</v>
      </c>
      <c r="L2411" s="8" t="s">
        <v>791</v>
      </c>
      <c r="M2411" s="8">
        <v>0</v>
      </c>
      <c r="N2411" s="8" t="s">
        <v>2161</v>
      </c>
      <c r="O2411" s="8" t="s">
        <v>2162</v>
      </c>
      <c r="P2411" s="8">
        <v>278</v>
      </c>
    </row>
    <row r="2412" spans="1:16" ht="25" customHeight="1">
      <c r="A2412" s="12">
        <v>14</v>
      </c>
      <c r="B2412" s="8" t="s">
        <v>97</v>
      </c>
      <c r="C2412" s="8">
        <v>1</v>
      </c>
      <c r="D2412" s="11">
        <v>0.07692307692307693</v>
      </c>
      <c r="E2412" s="8">
        <v>0</v>
      </c>
      <c r="F2412" s="8">
        <v>0</v>
      </c>
      <c r="G2412" s="8">
        <v>1</v>
      </c>
      <c r="H2412" s="8">
        <v>1</v>
      </c>
      <c r="I2412" s="8">
        <v>26</v>
      </c>
      <c r="J2412" s="8">
        <v>0</v>
      </c>
      <c r="K2412" s="8">
        <v>1</v>
      </c>
      <c r="L2412" s="8" t="s">
        <v>791</v>
      </c>
      <c r="M2412" s="8">
        <v>0</v>
      </c>
      <c r="N2412" s="8" t="s">
        <v>2161</v>
      </c>
      <c r="O2412" s="8" t="s">
        <v>2162</v>
      </c>
      <c r="P2412" s="8">
        <v>279</v>
      </c>
    </row>
    <row r="2413" spans="1:16" ht="25" customHeight="1">
      <c r="A2413" s="12">
        <v>15</v>
      </c>
      <c r="B2413" s="8" t="s">
        <v>110</v>
      </c>
      <c r="C2413" s="8">
        <v>1</v>
      </c>
      <c r="D2413" s="11">
        <v>0.07692307692307693</v>
      </c>
      <c r="E2413" s="8">
        <v>0</v>
      </c>
      <c r="F2413" s="8">
        <v>0</v>
      </c>
      <c r="G2413" s="8">
        <v>1</v>
      </c>
      <c r="H2413" s="8">
        <v>1</v>
      </c>
      <c r="I2413" s="8">
        <v>19</v>
      </c>
      <c r="J2413" s="8">
        <v>0</v>
      </c>
      <c r="K2413" s="8">
        <v>1</v>
      </c>
      <c r="L2413" s="8" t="s">
        <v>791</v>
      </c>
      <c r="M2413" s="8">
        <v>0</v>
      </c>
      <c r="N2413" s="8" t="s">
        <v>2161</v>
      </c>
      <c r="O2413" s="8" t="s">
        <v>2162</v>
      </c>
      <c r="P2413" s="8">
        <v>283</v>
      </c>
    </row>
    <row r="2419" spans="1:16" ht="27" customHeight="1">
      <c r="A2419" s="5" t="s">
        <v>2223</v>
      </c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</row>
    <row r="2420" spans="1:16" ht="36" customHeight="1">
      <c r="A2420" s="9" t="s">
        <v>683</v>
      </c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</row>
    <row r="2421" spans="1:16" ht="25" customHeight="1">
      <c r="A2421" s="6" t="s">
        <v>684</v>
      </c>
    </row>
    <row r="2422" spans="1:16" ht="25" customHeight="1">
      <c r="A2422" s="12">
        <v>1</v>
      </c>
      <c r="B2422" s="8" t="s">
        <v>2224</v>
      </c>
    </row>
    <row r="2423" spans="1:16" ht="25" customHeight="1">
      <c r="A2423" s="12">
        <v>2</v>
      </c>
      <c r="B2423" s="8" t="s">
        <v>2174</v>
      </c>
      <c r="E2423" s="8" t="s">
        <v>2121</v>
      </c>
      <c r="H2423" s="8" t="s">
        <v>2072</v>
      </c>
      <c r="K2423" s="8" t="s">
        <v>2122</v>
      </c>
      <c r="M2423" s="8" t="s">
        <v>2175</v>
      </c>
    </row>
    <row r="2424" spans="1:16" ht="25" customHeight="1">
      <c r="A2424" s="12">
        <v>3</v>
      </c>
      <c r="B2424" s="8" t="s">
        <v>2176</v>
      </c>
      <c r="C2424" s="8" t="s">
        <v>2091</v>
      </c>
      <c r="D2424" s="8" t="s">
        <v>690</v>
      </c>
      <c r="E2424" s="8" t="s">
        <v>2130</v>
      </c>
      <c r="F2424" s="8" t="s">
        <v>2132</v>
      </c>
      <c r="G2424" s="8" t="s">
        <v>2133</v>
      </c>
      <c r="H2424" s="8" t="s">
        <v>784</v>
      </c>
      <c r="I2424" s="8" t="s">
        <v>2135</v>
      </c>
      <c r="J2424" s="8" t="s">
        <v>2146</v>
      </c>
      <c r="K2424" s="8" t="s">
        <v>2147</v>
      </c>
      <c r="L2424" s="8" t="s">
        <v>786</v>
      </c>
      <c r="M2424" s="8" t="s">
        <v>2134</v>
      </c>
      <c r="N2424" s="8" t="s">
        <v>2136</v>
      </c>
      <c r="O2424" s="8" t="s">
        <v>2139</v>
      </c>
      <c r="P2424" s="8" t="s">
        <v>1946</v>
      </c>
    </row>
    <row r="2425" spans="1:16" ht="25" customHeight="1">
      <c r="A2425" s="12">
        <v>4</v>
      </c>
      <c r="B2425" s="8" t="s">
        <v>101</v>
      </c>
      <c r="C2425" s="8">
        <v>6</v>
      </c>
      <c r="D2425" s="11">
        <v>0.5454545454545454</v>
      </c>
      <c r="E2425" s="8">
        <v>4</v>
      </c>
      <c r="F2425" s="11">
        <v>0.6666666666666666</v>
      </c>
      <c r="G2425" s="8">
        <v>1</v>
      </c>
      <c r="H2425" s="11">
        <v>0.1666666666666667</v>
      </c>
      <c r="I2425" s="11">
        <v>12.16666666666667</v>
      </c>
      <c r="J2425" s="8">
        <v>0</v>
      </c>
      <c r="K2425" s="8">
        <v>1</v>
      </c>
      <c r="L2425" s="8" t="s">
        <v>795</v>
      </c>
      <c r="M2425" s="11">
        <v>63.3</v>
      </c>
      <c r="N2425" s="8" t="s">
        <v>2137</v>
      </c>
      <c r="O2425" s="8" t="s">
        <v>2151</v>
      </c>
      <c r="P2425" s="8">
        <v>167</v>
      </c>
    </row>
    <row r="2426" spans="1:16" ht="25" customHeight="1">
      <c r="A2426" s="12">
        <v>5</v>
      </c>
      <c r="B2426" s="8" t="s">
        <v>102</v>
      </c>
      <c r="C2426" s="8">
        <v>1</v>
      </c>
      <c r="D2426" s="11">
        <v>0.09090909090909091</v>
      </c>
      <c r="E2426" s="8">
        <v>1</v>
      </c>
      <c r="F2426" s="8">
        <v>1</v>
      </c>
      <c r="G2426" s="8">
        <v>0</v>
      </c>
      <c r="H2426" s="8">
        <v>0</v>
      </c>
      <c r="I2426" s="8">
        <v>-5</v>
      </c>
      <c r="J2426" s="8">
        <v>0</v>
      </c>
      <c r="K2426" s="8">
        <v>1</v>
      </c>
      <c r="L2426" s="8" t="s">
        <v>791</v>
      </c>
      <c r="M2426" s="8">
        <v>100</v>
      </c>
      <c r="N2426" s="8" t="s">
        <v>2165</v>
      </c>
      <c r="O2426" s="8" t="s">
        <v>2166</v>
      </c>
      <c r="P2426" s="8">
        <v>173</v>
      </c>
    </row>
    <row r="2427" spans="1:16" ht="25" customHeight="1">
      <c r="A2427" s="12">
        <v>6</v>
      </c>
      <c r="B2427" s="8" t="s">
        <v>99</v>
      </c>
      <c r="C2427" s="8">
        <v>2</v>
      </c>
      <c r="D2427" s="11">
        <v>0.1818181818181818</v>
      </c>
      <c r="E2427" s="8">
        <v>1</v>
      </c>
      <c r="F2427" s="11">
        <v>0.5</v>
      </c>
      <c r="G2427" s="8">
        <v>0</v>
      </c>
      <c r="H2427" s="8">
        <v>0</v>
      </c>
      <c r="I2427" s="8">
        <v>7</v>
      </c>
      <c r="J2427" s="8">
        <v>0</v>
      </c>
      <c r="K2427" s="8">
        <v>1</v>
      </c>
      <c r="L2427" s="8" t="s">
        <v>791</v>
      </c>
      <c r="M2427" s="8">
        <v>58</v>
      </c>
      <c r="N2427" s="8" t="s">
        <v>2165</v>
      </c>
      <c r="O2427" s="8" t="s">
        <v>2166</v>
      </c>
      <c r="P2427" s="8">
        <v>183</v>
      </c>
    </row>
    <row r="2428" spans="1:16" ht="25" customHeight="1">
      <c r="A2428" s="12">
        <v>7</v>
      </c>
      <c r="B2428" s="8" t="s">
        <v>100</v>
      </c>
      <c r="C2428" s="8">
        <v>1</v>
      </c>
      <c r="D2428" s="11">
        <v>0.09090909090909091</v>
      </c>
      <c r="E2428" s="8">
        <v>1</v>
      </c>
      <c r="F2428" s="8">
        <v>1</v>
      </c>
      <c r="G2428" s="8">
        <v>0</v>
      </c>
      <c r="H2428" s="8">
        <v>0</v>
      </c>
      <c r="I2428" s="8">
        <v>0</v>
      </c>
      <c r="J2428" s="8">
        <v>0</v>
      </c>
      <c r="K2428" s="8">
        <v>1</v>
      </c>
      <c r="L2428" s="8" t="s">
        <v>791</v>
      </c>
      <c r="M2428" s="8">
        <v>100</v>
      </c>
      <c r="N2428" s="8" t="s">
        <v>2165</v>
      </c>
      <c r="O2428" s="8" t="s">
        <v>2166</v>
      </c>
      <c r="P2428" s="8">
        <v>272</v>
      </c>
    </row>
    <row r="2429" spans="1:16" ht="25" customHeight="1">
      <c r="A2429" s="12">
        <v>8</v>
      </c>
      <c r="B2429" s="8" t="s">
        <v>97</v>
      </c>
      <c r="C2429" s="8">
        <v>1</v>
      </c>
      <c r="D2429" s="11">
        <v>0.09090909090909091</v>
      </c>
      <c r="E2429" s="8">
        <v>1</v>
      </c>
      <c r="F2429" s="8">
        <v>1</v>
      </c>
      <c r="G2429" s="8">
        <v>0</v>
      </c>
      <c r="H2429" s="8">
        <v>0</v>
      </c>
      <c r="I2429" s="8">
        <v>4</v>
      </c>
      <c r="J2429" s="8">
        <v>0</v>
      </c>
      <c r="K2429" s="8">
        <v>1</v>
      </c>
      <c r="L2429" s="8" t="s">
        <v>791</v>
      </c>
      <c r="M2429" s="8">
        <v>96</v>
      </c>
      <c r="N2429" s="8" t="s">
        <v>2165</v>
      </c>
      <c r="O2429" s="8" t="s">
        <v>2166</v>
      </c>
      <c r="P2429" s="8">
        <v>280</v>
      </c>
    </row>
    <row r="2435" spans="1:27" ht="27" customHeight="1">
      <c r="A2435" s="5" t="s">
        <v>2225</v>
      </c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</row>
    <row r="2436" spans="1:27" ht="36" customHeight="1">
      <c r="A2436" s="9" t="s">
        <v>683</v>
      </c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</row>
    <row r="2437" spans="1:27" ht="25" customHeight="1">
      <c r="A2437" s="6" t="s">
        <v>684</v>
      </c>
    </row>
    <row r="2438" spans="1:27" ht="25" customHeight="1">
      <c r="A2438" s="12">
        <v>1</v>
      </c>
      <c r="B2438" s="8" t="s">
        <v>2226</v>
      </c>
      <c r="S2438" s="8" t="s">
        <v>2227</v>
      </c>
    </row>
    <row r="2439" spans="1:27" ht="25" customHeight="1">
      <c r="A2439" s="12">
        <v>2</v>
      </c>
      <c r="B2439" s="8" t="s">
        <v>2121</v>
      </c>
      <c r="E2439" s="8" t="s">
        <v>2072</v>
      </c>
      <c r="H2439" s="8" t="s">
        <v>2122</v>
      </c>
      <c r="K2439" s="8" t="s">
        <v>2123</v>
      </c>
      <c r="S2439" s="8" t="s">
        <v>2228</v>
      </c>
      <c r="W2439" s="8" t="s">
        <v>2125</v>
      </c>
      <c r="AA2439" s="8" t="s">
        <v>2229</v>
      </c>
    </row>
    <row r="2440" spans="1:27" ht="25" customHeight="1">
      <c r="A2440" s="12">
        <v>3</v>
      </c>
      <c r="B2440" s="8" t="s">
        <v>1927</v>
      </c>
      <c r="C2440" s="8" t="s">
        <v>1928</v>
      </c>
      <c r="E2440" s="8" t="s">
        <v>2127</v>
      </c>
    </row>
    <row r="2441" spans="1:27" ht="25" customHeight="1">
      <c r="A2441" s="12">
        <v>4</v>
      </c>
      <c r="B2441" s="8" t="s">
        <v>2230</v>
      </c>
      <c r="C2441" s="8">
        <v>54</v>
      </c>
      <c r="E2441" s="8" t="s">
        <v>2129</v>
      </c>
      <c r="F2441" s="8">
        <v>0</v>
      </c>
    </row>
    <row r="2442" spans="1:27" ht="25" customHeight="1">
      <c r="A2442" s="12">
        <v>5</v>
      </c>
      <c r="B2442" s="8" t="s">
        <v>2130</v>
      </c>
      <c r="C2442" s="8">
        <v>27</v>
      </c>
      <c r="E2442" s="8" t="s">
        <v>2131</v>
      </c>
      <c r="F2442" s="8">
        <v>0</v>
      </c>
    </row>
    <row r="2443" spans="1:27" ht="25" customHeight="1">
      <c r="A2443" s="12">
        <v>6</v>
      </c>
      <c r="B2443" s="8" t="s">
        <v>2132</v>
      </c>
      <c r="C2443" s="11">
        <v>0.5</v>
      </c>
      <c r="E2443" s="8" t="s">
        <v>2092</v>
      </c>
      <c r="F2443" s="8">
        <v>13</v>
      </c>
    </row>
    <row r="2444" spans="1:27" ht="25" customHeight="1">
      <c r="A2444" s="12">
        <v>7</v>
      </c>
      <c r="B2444" s="8" t="s">
        <v>2133</v>
      </c>
      <c r="C2444" s="8">
        <v>8</v>
      </c>
      <c r="E2444" s="8" t="s">
        <v>786</v>
      </c>
      <c r="F2444" s="8" t="s">
        <v>799</v>
      </c>
    </row>
    <row r="2445" spans="1:27" ht="25" customHeight="1">
      <c r="A2445" s="12">
        <v>8</v>
      </c>
      <c r="B2445" s="8" t="s">
        <v>784</v>
      </c>
      <c r="C2445" s="11">
        <v>0.1481481481481481</v>
      </c>
      <c r="E2445" s="8" t="s">
        <v>2134</v>
      </c>
      <c r="F2445" s="11">
        <v>55.2</v>
      </c>
    </row>
    <row r="2446" spans="1:27" ht="25" customHeight="1">
      <c r="A2446" s="12">
        <v>9</v>
      </c>
      <c r="B2446" s="8" t="s">
        <v>2135</v>
      </c>
      <c r="C2446" s="11">
        <v>6.833333333333333</v>
      </c>
      <c r="E2446" s="8" t="s">
        <v>2136</v>
      </c>
      <c r="F2446" s="8" t="s">
        <v>2137</v>
      </c>
    </row>
    <row r="2447" spans="1:27" ht="25" customHeight="1">
      <c r="A2447" s="12">
        <v>10</v>
      </c>
      <c r="B2447" s="8" t="s">
        <v>2138</v>
      </c>
      <c r="C2447" s="8">
        <v>16</v>
      </c>
      <c r="E2447" s="8" t="s">
        <v>2139</v>
      </c>
      <c r="F2447" s="8" t="s">
        <v>2140</v>
      </c>
    </row>
    <row r="2448" spans="1:27" ht="25" customHeight="1">
      <c r="A2448" s="12">
        <v>11</v>
      </c>
      <c r="B2448" s="8" t="s">
        <v>2141</v>
      </c>
      <c r="C2448" s="8">
        <v>38</v>
      </c>
      <c r="E2448" s="8" t="s">
        <v>690</v>
      </c>
      <c r="F2448" s="8">
        <v>1</v>
      </c>
    </row>
    <row r="2449" spans="1:33" ht="25" customHeight="1">
      <c r="A2449" s="12">
        <v>12</v>
      </c>
      <c r="B2449" s="8" t="s">
        <v>2142</v>
      </c>
      <c r="C2449" s="8" t="s">
        <v>2231</v>
      </c>
      <c r="E2449" s="8" t="s">
        <v>2093</v>
      </c>
      <c r="F2449" s="8">
        <v>0</v>
      </c>
    </row>
    <row r="2450" spans="1:33" ht="25" customHeight="1">
      <c r="A2450" s="12">
        <v>14</v>
      </c>
      <c r="B2450" s="8" t="s">
        <v>2232</v>
      </c>
    </row>
    <row r="2451" spans="1:33" ht="25" customHeight="1">
      <c r="A2451" s="12">
        <v>15</v>
      </c>
      <c r="B2451" s="8" t="s">
        <v>688</v>
      </c>
      <c r="C2451" s="8" t="s">
        <v>2091</v>
      </c>
      <c r="D2451" s="8" t="s">
        <v>690</v>
      </c>
      <c r="E2451" s="8" t="s">
        <v>2130</v>
      </c>
      <c r="F2451" s="8" t="s">
        <v>2132</v>
      </c>
      <c r="G2451" s="8" t="s">
        <v>2133</v>
      </c>
      <c r="H2451" s="8" t="s">
        <v>784</v>
      </c>
      <c r="I2451" s="8" t="s">
        <v>2135</v>
      </c>
      <c r="J2451" s="8" t="s">
        <v>2146</v>
      </c>
      <c r="K2451" s="8" t="s">
        <v>2147</v>
      </c>
      <c r="L2451" s="8" t="s">
        <v>786</v>
      </c>
      <c r="M2451" s="8" t="s">
        <v>2134</v>
      </c>
      <c r="N2451" s="8" t="s">
        <v>2136</v>
      </c>
      <c r="O2451" s="8" t="s">
        <v>2139</v>
      </c>
    </row>
    <row r="2452" spans="1:33" ht="25" customHeight="1">
      <c r="A2452" s="12">
        <v>16</v>
      </c>
      <c r="B2452" s="8" t="s">
        <v>706</v>
      </c>
      <c r="C2452" s="8">
        <v>8</v>
      </c>
      <c r="D2452" s="11">
        <v>0.1481481481481481</v>
      </c>
      <c r="E2452" s="8">
        <v>1</v>
      </c>
      <c r="F2452" s="11">
        <v>0.125</v>
      </c>
      <c r="G2452" s="8">
        <v>0</v>
      </c>
      <c r="H2452" s="8">
        <v>0</v>
      </c>
      <c r="I2452" s="11">
        <v>4.25</v>
      </c>
      <c r="J2452" s="11">
        <v>0.875</v>
      </c>
      <c r="K2452" s="11">
        <v>0.125</v>
      </c>
      <c r="L2452" s="8" t="s">
        <v>799</v>
      </c>
      <c r="M2452" s="11">
        <v>34.5</v>
      </c>
      <c r="N2452" s="8" t="s">
        <v>2148</v>
      </c>
      <c r="O2452" s="8" t="s">
        <v>2233</v>
      </c>
    </row>
    <row r="2453" spans="1:33" ht="25" customHeight="1">
      <c r="A2453" s="12">
        <v>17</v>
      </c>
      <c r="B2453" s="8" t="s">
        <v>711</v>
      </c>
      <c r="C2453" s="8">
        <v>22</v>
      </c>
      <c r="D2453" s="11">
        <v>0.4074074074074074</v>
      </c>
      <c r="E2453" s="8">
        <v>13</v>
      </c>
      <c r="F2453" s="11">
        <v>0.5909090909090909</v>
      </c>
      <c r="G2453" s="8">
        <v>3</v>
      </c>
      <c r="H2453" s="11">
        <v>0.1363636363636364</v>
      </c>
      <c r="I2453" s="11">
        <v>5.363636363636363</v>
      </c>
      <c r="J2453" s="11">
        <v>0.2727272727272727</v>
      </c>
      <c r="K2453" s="11">
        <v>0.7272727272727273</v>
      </c>
      <c r="L2453" s="8" t="s">
        <v>799</v>
      </c>
      <c r="M2453" s="11">
        <v>63.3</v>
      </c>
      <c r="N2453" s="8" t="s">
        <v>2137</v>
      </c>
      <c r="O2453" s="8" t="s">
        <v>2151</v>
      </c>
    </row>
    <row r="2454" spans="1:33" ht="25" customHeight="1">
      <c r="A2454" s="12">
        <v>18</v>
      </c>
      <c r="B2454" s="8" t="s">
        <v>716</v>
      </c>
      <c r="C2454" s="8">
        <v>13</v>
      </c>
      <c r="D2454" s="11">
        <v>0.2407407407407407</v>
      </c>
      <c r="E2454" s="8">
        <v>5</v>
      </c>
      <c r="F2454" s="11">
        <v>0.3846153846153846</v>
      </c>
      <c r="G2454" s="8">
        <v>4</v>
      </c>
      <c r="H2454" s="11">
        <v>0.3076923076923077</v>
      </c>
      <c r="I2454" s="11">
        <v>10.07692307692308</v>
      </c>
      <c r="J2454" s="11">
        <v>0.2307692307692308</v>
      </c>
      <c r="K2454" s="11">
        <v>0.7692307692307693</v>
      </c>
      <c r="L2454" s="8" t="s">
        <v>799</v>
      </c>
      <c r="M2454" s="11">
        <v>40.8</v>
      </c>
      <c r="N2454" s="8" t="s">
        <v>2148</v>
      </c>
      <c r="O2454" s="8" t="s">
        <v>2233</v>
      </c>
    </row>
    <row r="2455" spans="1:33" ht="25" customHeight="1">
      <c r="A2455" s="12">
        <v>19</v>
      </c>
      <c r="B2455" s="8" t="s">
        <v>720</v>
      </c>
      <c r="C2455" s="8">
        <v>11</v>
      </c>
      <c r="D2455" s="11">
        <v>0.2037037037037037</v>
      </c>
      <c r="E2455" s="8">
        <v>8</v>
      </c>
      <c r="F2455" s="11">
        <v>0.7272727272727273</v>
      </c>
      <c r="G2455" s="8">
        <v>1</v>
      </c>
      <c r="H2455" s="11">
        <v>0.09090909090909091</v>
      </c>
      <c r="I2455" s="11">
        <v>7.818181818181818</v>
      </c>
      <c r="J2455" s="8">
        <v>0</v>
      </c>
      <c r="K2455" s="8">
        <v>1</v>
      </c>
      <c r="L2455" s="8" t="s">
        <v>799</v>
      </c>
      <c r="M2455" s="11">
        <v>71.3</v>
      </c>
      <c r="N2455" s="8" t="s">
        <v>2152</v>
      </c>
      <c r="O2455" s="8" t="s">
        <v>2153</v>
      </c>
    </row>
    <row r="2456" spans="1:33" ht="25" customHeight="1">
      <c r="A2456" s="12">
        <v>20</v>
      </c>
      <c r="B2456" s="8" t="s">
        <v>1986</v>
      </c>
      <c r="C2456" s="8">
        <v>0</v>
      </c>
      <c r="D2456" s="8">
        <v>0</v>
      </c>
      <c r="E2456" s="8">
        <v>0</v>
      </c>
      <c r="G2456" s="8">
        <v>0</v>
      </c>
      <c r="O2456" s="8" t="s">
        <v>2154</v>
      </c>
    </row>
    <row r="2457" spans="1:33" ht="25" customHeight="1">
      <c r="A2457" s="12">
        <v>30</v>
      </c>
      <c r="B2457" s="8" t="s">
        <v>2234</v>
      </c>
      <c r="S2457" s="8" t="s">
        <v>2235</v>
      </c>
    </row>
    <row r="2458" spans="1:33" ht="25" customHeight="1">
      <c r="A2458" s="12">
        <v>31</v>
      </c>
      <c r="B2458" s="8" t="s">
        <v>781</v>
      </c>
      <c r="C2458" s="8" t="s">
        <v>2091</v>
      </c>
      <c r="D2458" s="8" t="s">
        <v>690</v>
      </c>
      <c r="E2458" s="8" t="s">
        <v>2130</v>
      </c>
      <c r="F2458" s="8" t="s">
        <v>2132</v>
      </c>
      <c r="G2458" s="8" t="s">
        <v>2133</v>
      </c>
      <c r="H2458" s="8" t="s">
        <v>784</v>
      </c>
      <c r="I2458" s="8" t="s">
        <v>2135</v>
      </c>
      <c r="J2458" s="8" t="s">
        <v>2146</v>
      </c>
      <c r="K2458" s="8" t="s">
        <v>2147</v>
      </c>
      <c r="L2458" s="8" t="s">
        <v>786</v>
      </c>
      <c r="M2458" s="8" t="s">
        <v>2134</v>
      </c>
      <c r="N2458" s="8" t="s">
        <v>2136</v>
      </c>
      <c r="O2458" s="8" t="s">
        <v>2139</v>
      </c>
      <c r="P2458" s="8" t="s">
        <v>1946</v>
      </c>
      <c r="S2458" s="8" t="s">
        <v>2176</v>
      </c>
      <c r="T2458" s="8" t="s">
        <v>2091</v>
      </c>
      <c r="U2458" s="8" t="s">
        <v>690</v>
      </c>
      <c r="V2458" s="8" t="s">
        <v>2130</v>
      </c>
      <c r="W2458" s="8" t="s">
        <v>2132</v>
      </c>
      <c r="X2458" s="8" t="s">
        <v>2133</v>
      </c>
      <c r="Y2458" s="8" t="s">
        <v>784</v>
      </c>
      <c r="Z2458" s="8" t="s">
        <v>2135</v>
      </c>
      <c r="AA2458" s="8" t="s">
        <v>2146</v>
      </c>
      <c r="AB2458" s="8" t="s">
        <v>2147</v>
      </c>
      <c r="AC2458" s="8" t="s">
        <v>786</v>
      </c>
      <c r="AD2458" s="8" t="s">
        <v>2134</v>
      </c>
      <c r="AE2458" s="8" t="s">
        <v>2136</v>
      </c>
      <c r="AF2458" s="8" t="s">
        <v>2139</v>
      </c>
      <c r="AG2458" s="8" t="s">
        <v>1946</v>
      </c>
    </row>
    <row r="2459" spans="1:33" ht="25" customHeight="1">
      <c r="A2459" s="12">
        <v>32</v>
      </c>
      <c r="B2459" s="8" t="s">
        <v>446</v>
      </c>
      <c r="C2459" s="8">
        <v>4</v>
      </c>
      <c r="D2459" s="11">
        <v>0.07407407407407407</v>
      </c>
      <c r="E2459" s="8">
        <v>2</v>
      </c>
      <c r="F2459" s="11">
        <v>0.5</v>
      </c>
      <c r="G2459" s="8">
        <v>1</v>
      </c>
      <c r="H2459" s="11">
        <v>0.25</v>
      </c>
      <c r="I2459" s="11">
        <v>6.5</v>
      </c>
      <c r="J2459" s="8">
        <v>0</v>
      </c>
      <c r="K2459" s="8">
        <v>1</v>
      </c>
      <c r="L2459" s="8" t="s">
        <v>795</v>
      </c>
      <c r="M2459" s="11">
        <v>53.5</v>
      </c>
      <c r="N2459" s="8" t="s">
        <v>2137</v>
      </c>
      <c r="O2459" s="8" t="s">
        <v>2151</v>
      </c>
      <c r="P2459" s="8">
        <v>167</v>
      </c>
      <c r="S2459" s="8" t="s">
        <v>101</v>
      </c>
      <c r="T2459" s="8">
        <v>6</v>
      </c>
      <c r="U2459" s="11">
        <v>0.1111111111111111</v>
      </c>
      <c r="V2459" s="8">
        <v>4</v>
      </c>
      <c r="W2459" s="11">
        <v>0.6666666666666666</v>
      </c>
      <c r="X2459" s="8">
        <v>1</v>
      </c>
      <c r="Y2459" s="11">
        <v>0.1666666666666667</v>
      </c>
      <c r="Z2459" s="11">
        <v>12.16666666666667</v>
      </c>
      <c r="AA2459" s="8">
        <v>0</v>
      </c>
      <c r="AB2459" s="8">
        <v>1</v>
      </c>
      <c r="AC2459" s="8" t="s">
        <v>795</v>
      </c>
      <c r="AD2459" s="11">
        <v>63.3</v>
      </c>
      <c r="AE2459" s="8" t="s">
        <v>2137</v>
      </c>
      <c r="AF2459" s="8" t="s">
        <v>2151</v>
      </c>
      <c r="AG2459" s="8">
        <v>167</v>
      </c>
    </row>
    <row r="2460" spans="1:33" ht="25" customHeight="1">
      <c r="A2460" s="12">
        <v>33</v>
      </c>
      <c r="B2460" s="8" t="s">
        <v>449</v>
      </c>
      <c r="C2460" s="8">
        <v>30</v>
      </c>
      <c r="D2460" s="11">
        <v>0.5555555555555556</v>
      </c>
      <c r="E2460" s="8">
        <v>15</v>
      </c>
      <c r="F2460" s="11">
        <v>0.5</v>
      </c>
      <c r="G2460" s="8">
        <v>6</v>
      </c>
      <c r="H2460" s="11">
        <v>0.2</v>
      </c>
      <c r="I2460" s="11">
        <v>8.733333333333333</v>
      </c>
      <c r="J2460" s="8">
        <v>0</v>
      </c>
      <c r="K2460" s="8">
        <v>1</v>
      </c>
      <c r="L2460" s="8" t="s">
        <v>799</v>
      </c>
      <c r="M2460" s="11">
        <v>52.3</v>
      </c>
      <c r="N2460" s="8" t="s">
        <v>2137</v>
      </c>
      <c r="O2460" s="8" t="s">
        <v>2151</v>
      </c>
      <c r="P2460" s="8">
        <v>168</v>
      </c>
      <c r="S2460" s="8" t="s">
        <v>102</v>
      </c>
      <c r="T2460" s="8">
        <v>4</v>
      </c>
      <c r="U2460" s="11">
        <v>0.07407407407407407</v>
      </c>
      <c r="V2460" s="8">
        <v>4</v>
      </c>
      <c r="W2460" s="8">
        <v>1</v>
      </c>
      <c r="X2460" s="8">
        <v>0</v>
      </c>
      <c r="Y2460" s="8">
        <v>0</v>
      </c>
      <c r="Z2460" s="8">
        <v>1</v>
      </c>
      <c r="AA2460" s="11">
        <v>0.25</v>
      </c>
      <c r="AB2460" s="11">
        <v>0.75</v>
      </c>
      <c r="AC2460" s="8" t="s">
        <v>795</v>
      </c>
      <c r="AD2460" s="8">
        <v>99</v>
      </c>
      <c r="AE2460" s="8" t="s">
        <v>2170</v>
      </c>
      <c r="AF2460" s="8" t="s">
        <v>2151</v>
      </c>
      <c r="AG2460" s="8">
        <v>173</v>
      </c>
    </row>
    <row r="2461" spans="1:33" ht="25" customHeight="1">
      <c r="A2461" s="12">
        <v>34</v>
      </c>
      <c r="B2461" s="8" t="s">
        <v>561</v>
      </c>
      <c r="C2461" s="8">
        <v>1</v>
      </c>
      <c r="D2461" s="11">
        <v>0.01851851851851852</v>
      </c>
      <c r="E2461" s="8">
        <v>1</v>
      </c>
      <c r="F2461" s="8">
        <v>1</v>
      </c>
      <c r="G2461" s="8">
        <v>0</v>
      </c>
      <c r="H2461" s="8">
        <v>0</v>
      </c>
      <c r="I2461" s="8">
        <v>4</v>
      </c>
      <c r="J2461" s="8">
        <v>0</v>
      </c>
      <c r="K2461" s="8">
        <v>1</v>
      </c>
      <c r="L2461" s="8" t="s">
        <v>791</v>
      </c>
      <c r="M2461" s="8">
        <v>96</v>
      </c>
      <c r="N2461" s="8" t="s">
        <v>2165</v>
      </c>
      <c r="O2461" s="8" t="s">
        <v>2166</v>
      </c>
      <c r="P2461" s="8">
        <v>171</v>
      </c>
      <c r="S2461" s="8" t="s">
        <v>42</v>
      </c>
      <c r="T2461" s="8">
        <v>3</v>
      </c>
      <c r="U2461" s="11">
        <v>0.05555555555555555</v>
      </c>
      <c r="V2461" s="8">
        <v>2</v>
      </c>
      <c r="W2461" s="11">
        <v>0.6666666666666666</v>
      </c>
      <c r="X2461" s="8">
        <v>0</v>
      </c>
      <c r="Y2461" s="8">
        <v>0</v>
      </c>
      <c r="Z2461" s="11">
        <v>1.333333333333333</v>
      </c>
      <c r="AA2461" s="8">
        <v>0</v>
      </c>
      <c r="AB2461" s="8">
        <v>1</v>
      </c>
      <c r="AC2461" s="8" t="s">
        <v>801</v>
      </c>
      <c r="AD2461" s="11">
        <v>75.3</v>
      </c>
      <c r="AE2461" s="8" t="s">
        <v>2179</v>
      </c>
      <c r="AF2461" s="8" t="s">
        <v>2168</v>
      </c>
      <c r="AG2461" s="8">
        <v>177</v>
      </c>
    </row>
    <row r="2462" spans="1:33" ht="25" customHeight="1">
      <c r="A2462" s="12">
        <v>35</v>
      </c>
      <c r="B2462" s="8" t="s">
        <v>474</v>
      </c>
      <c r="C2462" s="8">
        <v>2</v>
      </c>
      <c r="D2462" s="11">
        <v>0.03703703703703703</v>
      </c>
      <c r="E2462" s="8">
        <v>2</v>
      </c>
      <c r="F2462" s="8">
        <v>1</v>
      </c>
      <c r="G2462" s="8">
        <v>0</v>
      </c>
      <c r="H2462" s="8">
        <v>0</v>
      </c>
      <c r="I2462" s="11">
        <v>2.5</v>
      </c>
      <c r="J2462" s="8">
        <v>0</v>
      </c>
      <c r="K2462" s="8">
        <v>1</v>
      </c>
      <c r="L2462" s="8" t="s">
        <v>791</v>
      </c>
      <c r="M2462" s="11">
        <v>97.5</v>
      </c>
      <c r="N2462" s="8" t="s">
        <v>2165</v>
      </c>
      <c r="O2462" s="8" t="s">
        <v>2166</v>
      </c>
      <c r="P2462" s="8">
        <v>174</v>
      </c>
      <c r="S2462" s="8" t="s">
        <v>77</v>
      </c>
      <c r="T2462" s="8">
        <v>3</v>
      </c>
      <c r="U2462" s="11">
        <v>0.05555555555555555</v>
      </c>
      <c r="V2462" s="8">
        <v>2</v>
      </c>
      <c r="W2462" s="11">
        <v>0.6666666666666666</v>
      </c>
      <c r="X2462" s="8">
        <v>0</v>
      </c>
      <c r="Y2462" s="8">
        <v>0</v>
      </c>
      <c r="Z2462" s="11">
        <v>1.666666666666667</v>
      </c>
      <c r="AA2462" s="11">
        <v>0.6666666666666666</v>
      </c>
      <c r="AB2462" s="11">
        <v>0.3333333333333333</v>
      </c>
      <c r="AC2462" s="8" t="s">
        <v>801</v>
      </c>
      <c r="AD2462" s="8">
        <v>75</v>
      </c>
      <c r="AE2462" s="8" t="s">
        <v>2179</v>
      </c>
      <c r="AF2462" s="8" t="s">
        <v>2168</v>
      </c>
      <c r="AG2462" s="8">
        <v>180</v>
      </c>
    </row>
    <row r="2463" spans="1:33" ht="25" customHeight="1">
      <c r="A2463" s="12">
        <v>36</v>
      </c>
      <c r="B2463" s="8" t="s">
        <v>428</v>
      </c>
      <c r="C2463" s="8">
        <v>11</v>
      </c>
      <c r="D2463" s="11">
        <v>0.2037037037037037</v>
      </c>
      <c r="E2463" s="8">
        <v>5</v>
      </c>
      <c r="F2463" s="11">
        <v>0.4545454545454545</v>
      </c>
      <c r="G2463" s="8">
        <v>1</v>
      </c>
      <c r="H2463" s="11">
        <v>0.09090909090909091</v>
      </c>
      <c r="I2463" s="11">
        <v>5.090909090909091</v>
      </c>
      <c r="J2463" s="8">
        <v>1</v>
      </c>
      <c r="K2463" s="8">
        <v>0</v>
      </c>
      <c r="L2463" s="8" t="s">
        <v>799</v>
      </c>
      <c r="M2463" s="11">
        <v>54.9</v>
      </c>
      <c r="N2463" s="8" t="s">
        <v>2137</v>
      </c>
      <c r="O2463" s="8" t="s">
        <v>2151</v>
      </c>
      <c r="P2463" s="8">
        <v>175</v>
      </c>
      <c r="S2463" s="8" t="s">
        <v>99</v>
      </c>
      <c r="T2463" s="8">
        <v>3</v>
      </c>
      <c r="U2463" s="11">
        <v>0.05555555555555555</v>
      </c>
      <c r="V2463" s="8">
        <v>1</v>
      </c>
      <c r="W2463" s="11">
        <v>0.3333333333333333</v>
      </c>
      <c r="X2463" s="8">
        <v>0</v>
      </c>
      <c r="Y2463" s="8">
        <v>0</v>
      </c>
      <c r="Z2463" s="11">
        <v>8.666666666666666</v>
      </c>
      <c r="AA2463" s="8">
        <v>0</v>
      </c>
      <c r="AB2463" s="8">
        <v>1</v>
      </c>
      <c r="AC2463" s="8" t="s">
        <v>801</v>
      </c>
      <c r="AD2463" s="11">
        <v>44.7</v>
      </c>
      <c r="AE2463" s="8" t="s">
        <v>2167</v>
      </c>
      <c r="AF2463" s="8" t="s">
        <v>2168</v>
      </c>
      <c r="AG2463" s="8">
        <v>183</v>
      </c>
    </row>
    <row r="2464" spans="1:33" ht="25" customHeight="1">
      <c r="A2464" s="12">
        <v>37</v>
      </c>
      <c r="B2464" s="8" t="s">
        <v>477</v>
      </c>
      <c r="C2464" s="8">
        <v>2</v>
      </c>
      <c r="D2464" s="11">
        <v>0.03703703703703703</v>
      </c>
      <c r="E2464" s="8">
        <v>0</v>
      </c>
      <c r="F2464" s="8">
        <v>0</v>
      </c>
      <c r="G2464" s="8">
        <v>0</v>
      </c>
      <c r="H2464" s="8">
        <v>0</v>
      </c>
      <c r="I2464" s="11">
        <v>1.5</v>
      </c>
      <c r="J2464" s="8">
        <v>1</v>
      </c>
      <c r="K2464" s="8">
        <v>0</v>
      </c>
      <c r="L2464" s="8" t="s">
        <v>791</v>
      </c>
      <c r="M2464" s="11">
        <v>28.5</v>
      </c>
      <c r="N2464" s="8" t="s">
        <v>2165</v>
      </c>
      <c r="O2464" s="8" t="s">
        <v>2166</v>
      </c>
      <c r="P2464" s="8">
        <v>180</v>
      </c>
      <c r="S2464" s="8" t="s">
        <v>35</v>
      </c>
      <c r="T2464" s="8">
        <v>2</v>
      </c>
      <c r="U2464" s="11">
        <v>0.03703703703703703</v>
      </c>
      <c r="V2464" s="8">
        <v>1</v>
      </c>
      <c r="W2464" s="11">
        <v>0.5</v>
      </c>
      <c r="X2464" s="8">
        <v>0</v>
      </c>
      <c r="Y2464" s="8">
        <v>0</v>
      </c>
      <c r="Z2464" s="11">
        <v>2.5</v>
      </c>
      <c r="AA2464" s="8">
        <v>1</v>
      </c>
      <c r="AB2464" s="8">
        <v>0</v>
      </c>
      <c r="AC2464" s="8" t="s">
        <v>791</v>
      </c>
      <c r="AD2464" s="11">
        <v>62.5</v>
      </c>
      <c r="AE2464" s="8" t="s">
        <v>2165</v>
      </c>
      <c r="AF2464" s="8" t="s">
        <v>2166</v>
      </c>
      <c r="AG2464" s="8">
        <v>186</v>
      </c>
    </row>
    <row r="2465" spans="1:33" ht="25" customHeight="1">
      <c r="A2465" s="12">
        <v>38</v>
      </c>
      <c r="B2465" s="8" t="s">
        <v>432</v>
      </c>
      <c r="C2465" s="8">
        <v>2</v>
      </c>
      <c r="D2465" s="11">
        <v>0.03703703703703703</v>
      </c>
      <c r="E2465" s="8">
        <v>1</v>
      </c>
      <c r="F2465" s="11">
        <v>0.5</v>
      </c>
      <c r="G2465" s="8">
        <v>0</v>
      </c>
      <c r="H2465" s="8">
        <v>0</v>
      </c>
      <c r="I2465" s="11">
        <v>3.5</v>
      </c>
      <c r="J2465" s="8">
        <v>1</v>
      </c>
      <c r="K2465" s="8">
        <v>0</v>
      </c>
      <c r="L2465" s="8" t="s">
        <v>791</v>
      </c>
      <c r="M2465" s="11">
        <v>61.5</v>
      </c>
      <c r="N2465" s="8" t="s">
        <v>2165</v>
      </c>
      <c r="O2465" s="8" t="s">
        <v>2166</v>
      </c>
      <c r="P2465" s="8">
        <v>182</v>
      </c>
      <c r="S2465" s="8" t="s">
        <v>27</v>
      </c>
      <c r="T2465" s="8">
        <v>2</v>
      </c>
      <c r="U2465" s="11">
        <v>0.03703703703703703</v>
      </c>
      <c r="V2465" s="8">
        <v>2</v>
      </c>
      <c r="W2465" s="8">
        <v>1</v>
      </c>
      <c r="X2465" s="8">
        <v>0</v>
      </c>
      <c r="Y2465" s="8">
        <v>0</v>
      </c>
      <c r="Z2465" s="11">
        <v>0.5</v>
      </c>
      <c r="AA2465" s="11">
        <v>0.5</v>
      </c>
      <c r="AB2465" s="11">
        <v>0.5</v>
      </c>
      <c r="AC2465" s="8" t="s">
        <v>791</v>
      </c>
      <c r="AD2465" s="11">
        <v>99.5</v>
      </c>
      <c r="AE2465" s="8" t="s">
        <v>2165</v>
      </c>
      <c r="AF2465" s="8" t="s">
        <v>2166</v>
      </c>
      <c r="AG2465" s="8">
        <v>189</v>
      </c>
    </row>
    <row r="2466" spans="1:33" ht="25" customHeight="1">
      <c r="A2466" s="12">
        <v>39</v>
      </c>
      <c r="B2466" s="8" t="s">
        <v>471</v>
      </c>
      <c r="C2466" s="8">
        <v>1</v>
      </c>
      <c r="D2466" s="11">
        <v>0.01851851851851852</v>
      </c>
      <c r="E2466" s="8">
        <v>0</v>
      </c>
      <c r="F2466" s="8">
        <v>0</v>
      </c>
      <c r="G2466" s="8">
        <v>0</v>
      </c>
      <c r="H2466" s="8">
        <v>0</v>
      </c>
      <c r="I2466" s="8">
        <v>7</v>
      </c>
      <c r="J2466" s="8">
        <v>0</v>
      </c>
      <c r="K2466" s="8">
        <v>1</v>
      </c>
      <c r="L2466" s="8" t="s">
        <v>791</v>
      </c>
      <c r="M2466" s="8">
        <v>23</v>
      </c>
      <c r="N2466" s="8" t="s">
        <v>2165</v>
      </c>
      <c r="O2466" s="8" t="s">
        <v>2166</v>
      </c>
      <c r="P2466" s="8">
        <v>199</v>
      </c>
      <c r="S2466" s="8" t="s">
        <v>60</v>
      </c>
      <c r="T2466" s="8">
        <v>2</v>
      </c>
      <c r="U2466" s="11">
        <v>0.03703703703703703</v>
      </c>
      <c r="V2466" s="8">
        <v>1</v>
      </c>
      <c r="W2466" s="11">
        <v>0.5</v>
      </c>
      <c r="X2466" s="8">
        <v>0</v>
      </c>
      <c r="Y2466" s="8">
        <v>0</v>
      </c>
      <c r="Z2466" s="8">
        <v>1</v>
      </c>
      <c r="AA2466" s="11">
        <v>0.5</v>
      </c>
      <c r="AB2466" s="11">
        <v>0.5</v>
      </c>
      <c r="AC2466" s="8" t="s">
        <v>791</v>
      </c>
      <c r="AD2466" s="8">
        <v>64</v>
      </c>
      <c r="AE2466" s="8" t="s">
        <v>2165</v>
      </c>
      <c r="AF2466" s="8" t="s">
        <v>2166</v>
      </c>
      <c r="AG2466" s="8">
        <v>191</v>
      </c>
    </row>
    <row r="2467" spans="1:33" ht="25" customHeight="1">
      <c r="A2467" s="12">
        <v>40</v>
      </c>
      <c r="B2467" s="8" t="s">
        <v>574</v>
      </c>
      <c r="C2467" s="8">
        <v>1</v>
      </c>
      <c r="D2467" s="11">
        <v>0.01851851851851852</v>
      </c>
      <c r="E2467" s="8">
        <v>1</v>
      </c>
      <c r="F2467" s="8">
        <v>1</v>
      </c>
      <c r="G2467" s="8">
        <v>0</v>
      </c>
      <c r="H2467" s="8">
        <v>0</v>
      </c>
      <c r="I2467" s="8">
        <v>-1</v>
      </c>
      <c r="J2467" s="8">
        <v>1</v>
      </c>
      <c r="K2467" s="8">
        <v>0</v>
      </c>
      <c r="L2467" s="8" t="s">
        <v>791</v>
      </c>
      <c r="M2467" s="8">
        <v>100</v>
      </c>
      <c r="N2467" s="8" t="s">
        <v>2165</v>
      </c>
      <c r="O2467" s="8" t="s">
        <v>2166</v>
      </c>
      <c r="P2467" s="8">
        <v>276</v>
      </c>
      <c r="S2467" s="8" t="s">
        <v>66</v>
      </c>
      <c r="T2467" s="8">
        <v>2</v>
      </c>
      <c r="U2467" s="11">
        <v>0.03703703703703703</v>
      </c>
      <c r="V2467" s="8">
        <v>1</v>
      </c>
      <c r="W2467" s="11">
        <v>0.5</v>
      </c>
      <c r="X2467" s="8">
        <v>0</v>
      </c>
      <c r="Y2467" s="8">
        <v>0</v>
      </c>
      <c r="Z2467" s="11">
        <v>0.5</v>
      </c>
      <c r="AA2467" s="8">
        <v>1</v>
      </c>
      <c r="AB2467" s="8">
        <v>0</v>
      </c>
      <c r="AC2467" s="8" t="s">
        <v>791</v>
      </c>
      <c r="AD2467" s="11">
        <v>64.5</v>
      </c>
      <c r="AE2467" s="8" t="s">
        <v>2165</v>
      </c>
      <c r="AF2467" s="8" t="s">
        <v>2166</v>
      </c>
      <c r="AG2467" s="8">
        <v>193</v>
      </c>
    </row>
    <row r="2468" spans="1:33" ht="25" customHeight="1">
      <c r="A2468" s="12">
        <v>41</v>
      </c>
      <c r="S2468" s="8" t="s">
        <v>37</v>
      </c>
      <c r="T2468" s="8">
        <v>1</v>
      </c>
      <c r="U2468" s="11">
        <v>0.01851851851851852</v>
      </c>
      <c r="V2468" s="8">
        <v>0</v>
      </c>
      <c r="W2468" s="8">
        <v>0</v>
      </c>
      <c r="X2468" s="8">
        <v>0</v>
      </c>
      <c r="Y2468" s="8">
        <v>0</v>
      </c>
      <c r="Z2468" s="8">
        <v>6</v>
      </c>
      <c r="AA2468" s="8">
        <v>0</v>
      </c>
      <c r="AB2468" s="8">
        <v>1</v>
      </c>
      <c r="AC2468" s="8" t="s">
        <v>791</v>
      </c>
      <c r="AD2468" s="8">
        <v>24</v>
      </c>
      <c r="AE2468" s="8" t="s">
        <v>2165</v>
      </c>
      <c r="AF2468" s="8" t="s">
        <v>2166</v>
      </c>
      <c r="AG2468" s="8">
        <v>196</v>
      </c>
    </row>
    <row r="2469" spans="1:33" ht="25" customHeight="1">
      <c r="A2469" s="12">
        <v>42</v>
      </c>
      <c r="S2469" s="8" t="s">
        <v>32</v>
      </c>
      <c r="T2469" s="8">
        <v>1</v>
      </c>
      <c r="U2469" s="11">
        <v>0.01851851851851852</v>
      </c>
      <c r="V2469" s="8">
        <v>0</v>
      </c>
      <c r="W2469" s="8">
        <v>0</v>
      </c>
      <c r="X2469" s="8">
        <v>0</v>
      </c>
      <c r="Y2469" s="8">
        <v>0</v>
      </c>
      <c r="Z2469" s="8">
        <v>8</v>
      </c>
      <c r="AA2469" s="8">
        <v>1</v>
      </c>
      <c r="AB2469" s="8">
        <v>0</v>
      </c>
      <c r="AC2469" s="8" t="s">
        <v>791</v>
      </c>
      <c r="AD2469" s="8">
        <v>22</v>
      </c>
      <c r="AE2469" s="8" t="s">
        <v>2165</v>
      </c>
      <c r="AF2469" s="8" t="s">
        <v>2166</v>
      </c>
      <c r="AG2469" s="8">
        <v>197</v>
      </c>
    </row>
    <row r="2470" spans="1:33" ht="25" customHeight="1">
      <c r="A2470" s="12">
        <v>43</v>
      </c>
      <c r="S2470" s="8" t="s">
        <v>46</v>
      </c>
      <c r="T2470" s="8">
        <v>1</v>
      </c>
      <c r="U2470" s="11">
        <v>0.01851851851851852</v>
      </c>
      <c r="V2470" s="8">
        <v>0</v>
      </c>
      <c r="W2470" s="8">
        <v>0</v>
      </c>
      <c r="X2470" s="8">
        <v>0</v>
      </c>
      <c r="Y2470" s="8">
        <v>0</v>
      </c>
      <c r="Z2470" s="8">
        <v>7</v>
      </c>
      <c r="AA2470" s="8">
        <v>0</v>
      </c>
      <c r="AB2470" s="8">
        <v>1</v>
      </c>
      <c r="AC2470" s="8" t="s">
        <v>791</v>
      </c>
      <c r="AD2470" s="8">
        <v>23</v>
      </c>
      <c r="AE2470" s="8" t="s">
        <v>2165</v>
      </c>
      <c r="AF2470" s="8" t="s">
        <v>2166</v>
      </c>
      <c r="AG2470" s="8">
        <v>199</v>
      </c>
    </row>
    <row r="2471" spans="1:33" ht="25" customHeight="1">
      <c r="A2471" s="12">
        <v>44</v>
      </c>
      <c r="S2471" s="8" t="s">
        <v>48</v>
      </c>
      <c r="T2471" s="8">
        <v>2</v>
      </c>
      <c r="U2471" s="11">
        <v>0.03703703703703703</v>
      </c>
      <c r="V2471" s="8">
        <v>0</v>
      </c>
      <c r="W2471" s="8">
        <v>0</v>
      </c>
      <c r="X2471" s="8">
        <v>0</v>
      </c>
      <c r="Y2471" s="8">
        <v>0</v>
      </c>
      <c r="Z2471" s="11">
        <v>10.5</v>
      </c>
      <c r="AA2471" s="8">
        <v>0</v>
      </c>
      <c r="AB2471" s="8">
        <v>1</v>
      </c>
      <c r="AC2471" s="8" t="s">
        <v>791</v>
      </c>
      <c r="AD2471" s="8">
        <v>20</v>
      </c>
      <c r="AE2471" s="8" t="s">
        <v>2165</v>
      </c>
      <c r="AF2471" s="8" t="s">
        <v>2166</v>
      </c>
      <c r="AG2471" s="8">
        <v>200</v>
      </c>
    </row>
    <row r="2472" spans="1:33" ht="25" customHeight="1">
      <c r="A2472" s="12">
        <v>45</v>
      </c>
      <c r="S2472" s="8" t="s">
        <v>80</v>
      </c>
      <c r="T2472" s="8">
        <v>1</v>
      </c>
      <c r="U2472" s="11">
        <v>0.01851851851851852</v>
      </c>
      <c r="V2472" s="8">
        <v>1</v>
      </c>
      <c r="W2472" s="8">
        <v>1</v>
      </c>
      <c r="X2472" s="8">
        <v>0</v>
      </c>
      <c r="Y2472" s="8">
        <v>0</v>
      </c>
      <c r="Z2472" s="8">
        <v>2</v>
      </c>
      <c r="AA2472" s="8">
        <v>1</v>
      </c>
      <c r="AB2472" s="8">
        <v>0</v>
      </c>
      <c r="AC2472" s="8" t="s">
        <v>791</v>
      </c>
      <c r="AD2472" s="8">
        <v>98</v>
      </c>
      <c r="AE2472" s="8" t="s">
        <v>2165</v>
      </c>
      <c r="AF2472" s="8" t="s">
        <v>2166</v>
      </c>
      <c r="AG2472" s="8">
        <v>201</v>
      </c>
    </row>
    <row r="2473" spans="1:33" ht="25" customHeight="1">
      <c r="A2473" s="12">
        <v>46</v>
      </c>
      <c r="S2473" s="8" t="s">
        <v>53</v>
      </c>
      <c r="T2473" s="8">
        <v>1</v>
      </c>
      <c r="U2473" s="11">
        <v>0.01851851851851852</v>
      </c>
      <c r="V2473" s="8">
        <v>0</v>
      </c>
      <c r="W2473" s="8">
        <v>0</v>
      </c>
      <c r="X2473" s="8">
        <v>0</v>
      </c>
      <c r="Y2473" s="8">
        <v>0</v>
      </c>
      <c r="Z2473" s="8">
        <v>11</v>
      </c>
      <c r="AA2473" s="8">
        <v>1</v>
      </c>
      <c r="AB2473" s="8">
        <v>0</v>
      </c>
      <c r="AC2473" s="8" t="s">
        <v>791</v>
      </c>
      <c r="AD2473" s="8">
        <v>20</v>
      </c>
      <c r="AE2473" s="8" t="s">
        <v>2165</v>
      </c>
      <c r="AF2473" s="8" t="s">
        <v>2166</v>
      </c>
      <c r="AG2473" s="8">
        <v>202</v>
      </c>
    </row>
    <row r="2474" spans="1:33" ht="25" customHeight="1">
      <c r="A2474" s="12">
        <v>47</v>
      </c>
      <c r="S2474" s="8" t="s">
        <v>109</v>
      </c>
      <c r="T2474" s="8">
        <v>1</v>
      </c>
      <c r="U2474" s="11">
        <v>0.01851851851851852</v>
      </c>
      <c r="V2474" s="8">
        <v>0</v>
      </c>
      <c r="W2474" s="8">
        <v>0</v>
      </c>
      <c r="X2474" s="8">
        <v>1</v>
      </c>
      <c r="Y2474" s="8">
        <v>1</v>
      </c>
      <c r="Z2474" s="8">
        <v>16</v>
      </c>
      <c r="AA2474" s="8">
        <v>0</v>
      </c>
      <c r="AB2474" s="8">
        <v>1</v>
      </c>
      <c r="AC2474" s="8" t="s">
        <v>791</v>
      </c>
      <c r="AD2474" s="8">
        <v>0</v>
      </c>
      <c r="AE2474" s="8" t="s">
        <v>2161</v>
      </c>
      <c r="AF2474" s="8" t="s">
        <v>2162</v>
      </c>
      <c r="AG2474" s="8">
        <v>203</v>
      </c>
    </row>
    <row r="2475" spans="1:33" ht="25" customHeight="1">
      <c r="A2475" s="12">
        <v>48</v>
      </c>
      <c r="S2475" s="8" t="s">
        <v>61</v>
      </c>
      <c r="T2475" s="8">
        <v>2</v>
      </c>
      <c r="U2475" s="11">
        <v>0.03703703703703703</v>
      </c>
      <c r="V2475" s="8">
        <v>0</v>
      </c>
      <c r="W2475" s="8">
        <v>0</v>
      </c>
      <c r="X2475" s="8">
        <v>1</v>
      </c>
      <c r="Y2475" s="11">
        <v>0.5</v>
      </c>
      <c r="Z2475" s="8">
        <v>17</v>
      </c>
      <c r="AA2475" s="8">
        <v>0</v>
      </c>
      <c r="AB2475" s="8">
        <v>1</v>
      </c>
      <c r="AC2475" s="8" t="s">
        <v>791</v>
      </c>
      <c r="AD2475" s="8">
        <v>10</v>
      </c>
      <c r="AE2475" s="8" t="s">
        <v>2161</v>
      </c>
      <c r="AF2475" s="8" t="s">
        <v>2162</v>
      </c>
      <c r="AG2475" s="8">
        <v>204</v>
      </c>
    </row>
    <row r="2476" spans="1:33" ht="25" customHeight="1">
      <c r="A2476" s="12">
        <v>49</v>
      </c>
      <c r="S2476" s="8" t="s">
        <v>106</v>
      </c>
      <c r="T2476" s="8">
        <v>1</v>
      </c>
      <c r="U2476" s="11">
        <v>0.01851851851851852</v>
      </c>
      <c r="V2476" s="8">
        <v>0</v>
      </c>
      <c r="W2476" s="8">
        <v>0</v>
      </c>
      <c r="X2476" s="8">
        <v>1</v>
      </c>
      <c r="Y2476" s="8">
        <v>1</v>
      </c>
      <c r="Z2476" s="8">
        <v>22</v>
      </c>
      <c r="AA2476" s="8">
        <v>0</v>
      </c>
      <c r="AB2476" s="8">
        <v>1</v>
      </c>
      <c r="AC2476" s="8" t="s">
        <v>791</v>
      </c>
      <c r="AD2476" s="8">
        <v>0</v>
      </c>
      <c r="AE2476" s="8" t="s">
        <v>2161</v>
      </c>
      <c r="AF2476" s="8" t="s">
        <v>2162</v>
      </c>
      <c r="AG2476" s="8">
        <v>205</v>
      </c>
    </row>
    <row r="2477" spans="1:33" ht="25" customHeight="1">
      <c r="A2477" s="12">
        <v>50</v>
      </c>
      <c r="S2477" s="8" t="s">
        <v>84</v>
      </c>
      <c r="T2477" s="8">
        <v>1</v>
      </c>
      <c r="U2477" s="11">
        <v>0.01851851851851852</v>
      </c>
      <c r="V2477" s="8">
        <v>1</v>
      </c>
      <c r="W2477" s="8">
        <v>1</v>
      </c>
      <c r="X2477" s="8">
        <v>0</v>
      </c>
      <c r="Y2477" s="8">
        <v>0</v>
      </c>
      <c r="Z2477" s="8">
        <v>0</v>
      </c>
      <c r="AA2477" s="8">
        <v>0</v>
      </c>
      <c r="AB2477" s="8">
        <v>1</v>
      </c>
      <c r="AC2477" s="8" t="s">
        <v>791</v>
      </c>
      <c r="AD2477" s="8">
        <v>100</v>
      </c>
      <c r="AE2477" s="8" t="s">
        <v>2165</v>
      </c>
      <c r="AF2477" s="8" t="s">
        <v>2166</v>
      </c>
      <c r="AG2477" s="8">
        <v>206</v>
      </c>
    </row>
    <row r="2478" spans="1:33" ht="25" customHeight="1">
      <c r="A2478" s="12">
        <v>51</v>
      </c>
      <c r="S2478" s="8" t="s">
        <v>65</v>
      </c>
      <c r="T2478" s="8">
        <v>1</v>
      </c>
      <c r="U2478" s="11">
        <v>0.01851851851851852</v>
      </c>
      <c r="V2478" s="8">
        <v>0</v>
      </c>
      <c r="W2478" s="8">
        <v>0</v>
      </c>
      <c r="X2478" s="8">
        <v>0</v>
      </c>
      <c r="Y2478" s="8">
        <v>0</v>
      </c>
      <c r="Z2478" s="8">
        <v>5</v>
      </c>
      <c r="AA2478" s="8">
        <v>0</v>
      </c>
      <c r="AB2478" s="8">
        <v>1</v>
      </c>
      <c r="AC2478" s="8" t="s">
        <v>791</v>
      </c>
      <c r="AD2478" s="8">
        <v>25</v>
      </c>
      <c r="AE2478" s="8" t="s">
        <v>2165</v>
      </c>
      <c r="AF2478" s="8" t="s">
        <v>2166</v>
      </c>
      <c r="AG2478" s="8">
        <v>207</v>
      </c>
    </row>
    <row r="2479" spans="1:33" ht="25" customHeight="1">
      <c r="A2479" s="12">
        <v>52</v>
      </c>
      <c r="S2479" s="8" t="s">
        <v>69</v>
      </c>
      <c r="T2479" s="8">
        <v>1</v>
      </c>
      <c r="U2479" s="11">
        <v>0.01851851851851852</v>
      </c>
      <c r="V2479" s="8">
        <v>0</v>
      </c>
      <c r="W2479" s="8">
        <v>0</v>
      </c>
      <c r="X2479" s="8">
        <v>1</v>
      </c>
      <c r="Y2479" s="8">
        <v>1</v>
      </c>
      <c r="Z2479" s="8">
        <v>19</v>
      </c>
      <c r="AA2479" s="8">
        <v>1</v>
      </c>
      <c r="AB2479" s="8">
        <v>0</v>
      </c>
      <c r="AC2479" s="8" t="s">
        <v>791</v>
      </c>
      <c r="AD2479" s="8">
        <v>0</v>
      </c>
      <c r="AE2479" s="8" t="s">
        <v>2161</v>
      </c>
      <c r="AF2479" s="8" t="s">
        <v>2162</v>
      </c>
      <c r="AG2479" s="8">
        <v>208</v>
      </c>
    </row>
    <row r="2480" spans="1:33" ht="25" customHeight="1">
      <c r="A2480" s="12">
        <v>53</v>
      </c>
      <c r="S2480" s="8" t="s">
        <v>91</v>
      </c>
      <c r="T2480" s="8">
        <v>1</v>
      </c>
      <c r="U2480" s="11">
        <v>0.01851851851851852</v>
      </c>
      <c r="V2480" s="8">
        <v>1</v>
      </c>
      <c r="W2480" s="8">
        <v>1</v>
      </c>
      <c r="X2480" s="8">
        <v>0</v>
      </c>
      <c r="Y2480" s="8">
        <v>0</v>
      </c>
      <c r="Z2480" s="8">
        <v>0</v>
      </c>
      <c r="AA2480" s="8">
        <v>0</v>
      </c>
      <c r="AB2480" s="8">
        <v>1</v>
      </c>
      <c r="AC2480" s="8" t="s">
        <v>791</v>
      </c>
      <c r="AD2480" s="8">
        <v>100</v>
      </c>
      <c r="AE2480" s="8" t="s">
        <v>2165</v>
      </c>
      <c r="AF2480" s="8" t="s">
        <v>2166</v>
      </c>
      <c r="AG2480" s="8">
        <v>209</v>
      </c>
    </row>
    <row r="2481" spans="1:33" ht="25" customHeight="1">
      <c r="A2481" s="12">
        <v>54</v>
      </c>
      <c r="S2481" s="8" t="s">
        <v>100</v>
      </c>
      <c r="T2481" s="8">
        <v>3</v>
      </c>
      <c r="U2481" s="11">
        <v>0.05555555555555555</v>
      </c>
      <c r="V2481" s="8">
        <v>2</v>
      </c>
      <c r="W2481" s="11">
        <v>0.6666666666666666</v>
      </c>
      <c r="X2481" s="8">
        <v>0</v>
      </c>
      <c r="Y2481" s="8">
        <v>0</v>
      </c>
      <c r="Z2481" s="8">
        <v>4</v>
      </c>
      <c r="AA2481" s="11">
        <v>0.3333333333333333</v>
      </c>
      <c r="AB2481" s="11">
        <v>0.6666666666666666</v>
      </c>
      <c r="AC2481" s="8" t="s">
        <v>801</v>
      </c>
      <c r="AD2481" s="11">
        <v>72.7</v>
      </c>
      <c r="AE2481" s="8" t="s">
        <v>2179</v>
      </c>
      <c r="AF2481" s="8" t="s">
        <v>2168</v>
      </c>
      <c r="AG2481" s="8">
        <v>271</v>
      </c>
    </row>
    <row r="2482" spans="1:33" ht="25" customHeight="1">
      <c r="A2482" s="12">
        <v>55</v>
      </c>
      <c r="S2482" s="8" t="s">
        <v>95</v>
      </c>
      <c r="T2482" s="8">
        <v>3</v>
      </c>
      <c r="U2482" s="11">
        <v>0.05555555555555555</v>
      </c>
      <c r="V2482" s="8">
        <v>1</v>
      </c>
      <c r="W2482" s="11">
        <v>0.3333333333333333</v>
      </c>
      <c r="X2482" s="8">
        <v>0</v>
      </c>
      <c r="Y2482" s="8">
        <v>0</v>
      </c>
      <c r="Z2482" s="8">
        <v>5</v>
      </c>
      <c r="AA2482" s="11">
        <v>0.6666666666666666</v>
      </c>
      <c r="AB2482" s="11">
        <v>0.3333333333333333</v>
      </c>
      <c r="AC2482" s="8" t="s">
        <v>801</v>
      </c>
      <c r="AD2482" s="11">
        <v>48.3</v>
      </c>
      <c r="AE2482" s="8" t="s">
        <v>2167</v>
      </c>
      <c r="AF2482" s="8" t="s">
        <v>2168</v>
      </c>
      <c r="AG2482" s="8">
        <v>274</v>
      </c>
    </row>
    <row r="2483" spans="1:33" ht="25" customHeight="1">
      <c r="A2483" s="12">
        <v>56</v>
      </c>
      <c r="S2483" s="8" t="s">
        <v>93</v>
      </c>
      <c r="T2483" s="8">
        <v>2</v>
      </c>
      <c r="U2483" s="11">
        <v>0.03703703703703703</v>
      </c>
      <c r="V2483" s="8">
        <v>1</v>
      </c>
      <c r="W2483" s="11">
        <v>0.5</v>
      </c>
      <c r="X2483" s="8">
        <v>1</v>
      </c>
      <c r="Y2483" s="11">
        <v>0.5</v>
      </c>
      <c r="Z2483" s="11">
        <v>10.5</v>
      </c>
      <c r="AA2483" s="8">
        <v>0</v>
      </c>
      <c r="AB2483" s="8">
        <v>1</v>
      </c>
      <c r="AC2483" s="8" t="s">
        <v>791</v>
      </c>
      <c r="AD2483" s="8">
        <v>45</v>
      </c>
      <c r="AE2483" s="8" t="s">
        <v>2161</v>
      </c>
      <c r="AF2483" s="8" t="s">
        <v>2162</v>
      </c>
      <c r="AG2483" s="8">
        <v>277</v>
      </c>
    </row>
    <row r="2484" spans="1:33" ht="25" customHeight="1">
      <c r="A2484" s="12">
        <v>57</v>
      </c>
      <c r="S2484" s="8" t="s">
        <v>97</v>
      </c>
      <c r="T2484" s="8">
        <v>2</v>
      </c>
      <c r="U2484" s="11">
        <v>0.03703703703703703</v>
      </c>
      <c r="V2484" s="8">
        <v>1</v>
      </c>
      <c r="W2484" s="11">
        <v>0.5</v>
      </c>
      <c r="X2484" s="8">
        <v>1</v>
      </c>
      <c r="Y2484" s="11">
        <v>0.5</v>
      </c>
      <c r="Z2484" s="8">
        <v>15</v>
      </c>
      <c r="AA2484" s="8">
        <v>0</v>
      </c>
      <c r="AB2484" s="8">
        <v>1</v>
      </c>
      <c r="AC2484" s="8" t="s">
        <v>791</v>
      </c>
      <c r="AD2484" s="8">
        <v>45</v>
      </c>
      <c r="AE2484" s="8" t="s">
        <v>2161</v>
      </c>
      <c r="AF2484" s="8" t="s">
        <v>2162</v>
      </c>
      <c r="AG2484" s="8">
        <v>279</v>
      </c>
    </row>
    <row r="2485" spans="1:33" ht="25" customHeight="1">
      <c r="A2485" s="12">
        <v>58</v>
      </c>
      <c r="S2485" s="8" t="s">
        <v>105</v>
      </c>
      <c r="T2485" s="8">
        <v>1</v>
      </c>
      <c r="U2485" s="11">
        <v>0.01851851851851852</v>
      </c>
      <c r="V2485" s="8">
        <v>1</v>
      </c>
      <c r="W2485" s="8">
        <v>1</v>
      </c>
      <c r="X2485" s="8">
        <v>0</v>
      </c>
      <c r="Y2485" s="8">
        <v>0</v>
      </c>
      <c r="Z2485" s="8">
        <v>0</v>
      </c>
      <c r="AA2485" s="8">
        <v>0</v>
      </c>
      <c r="AB2485" s="8">
        <v>1</v>
      </c>
      <c r="AC2485" s="8" t="s">
        <v>791</v>
      </c>
      <c r="AD2485" s="8">
        <v>100</v>
      </c>
      <c r="AE2485" s="8" t="s">
        <v>2165</v>
      </c>
      <c r="AF2485" s="8" t="s">
        <v>2166</v>
      </c>
      <c r="AG2485" s="8">
        <v>282</v>
      </c>
    </row>
    <row r="2486" spans="1:33" ht="25" customHeight="1">
      <c r="A2486" s="12">
        <v>59</v>
      </c>
      <c r="S2486" s="8" t="s">
        <v>110</v>
      </c>
      <c r="T2486" s="8">
        <v>1</v>
      </c>
      <c r="U2486" s="11">
        <v>0.01851851851851852</v>
      </c>
      <c r="V2486" s="8">
        <v>0</v>
      </c>
      <c r="W2486" s="8">
        <v>0</v>
      </c>
      <c r="X2486" s="8">
        <v>1</v>
      </c>
      <c r="Y2486" s="8">
        <v>1</v>
      </c>
      <c r="Z2486" s="8">
        <v>19</v>
      </c>
      <c r="AA2486" s="8">
        <v>0</v>
      </c>
      <c r="AB2486" s="8">
        <v>1</v>
      </c>
      <c r="AC2486" s="8" t="s">
        <v>791</v>
      </c>
      <c r="AD2486" s="8">
        <v>0</v>
      </c>
      <c r="AE2486" s="8" t="s">
        <v>2161</v>
      </c>
      <c r="AF2486" s="8" t="s">
        <v>2162</v>
      </c>
      <c r="AG2486" s="8">
        <v>283</v>
      </c>
    </row>
    <row r="2492" spans="1:33" ht="27" customHeight="1">
      <c r="A2492" s="5" t="s">
        <v>2236</v>
      </c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</row>
    <row r="2493" spans="1:33" ht="36" customHeight="1">
      <c r="A2493" s="9" t="s">
        <v>683</v>
      </c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</row>
    <row r="2494" spans="1:33" ht="25" customHeight="1">
      <c r="A2494" s="6" t="s">
        <v>684</v>
      </c>
    </row>
    <row r="2495" spans="1:33" ht="25" customHeight="1">
      <c r="A2495" s="12">
        <v>1</v>
      </c>
      <c r="B2495" s="8" t="s">
        <v>2237</v>
      </c>
    </row>
    <row r="2496" spans="1:33" ht="25" customHeight="1">
      <c r="A2496" s="12">
        <v>2</v>
      </c>
      <c r="B2496" s="8" t="s">
        <v>2174</v>
      </c>
      <c r="E2496" s="8" t="s">
        <v>2121</v>
      </c>
      <c r="H2496" s="8" t="s">
        <v>2072</v>
      </c>
      <c r="K2496" s="8" t="s">
        <v>2122</v>
      </c>
      <c r="M2496" s="8" t="s">
        <v>2175</v>
      </c>
    </row>
    <row r="2497" spans="1:16" ht="25" customHeight="1">
      <c r="A2497" s="12">
        <v>3</v>
      </c>
      <c r="B2497" s="8" t="s">
        <v>2176</v>
      </c>
      <c r="C2497" s="8" t="s">
        <v>2091</v>
      </c>
      <c r="D2497" s="8" t="s">
        <v>690</v>
      </c>
      <c r="E2497" s="8" t="s">
        <v>2130</v>
      </c>
      <c r="F2497" s="8" t="s">
        <v>2132</v>
      </c>
      <c r="G2497" s="8" t="s">
        <v>2133</v>
      </c>
      <c r="H2497" s="8" t="s">
        <v>784</v>
      </c>
      <c r="I2497" s="8" t="s">
        <v>2135</v>
      </c>
      <c r="J2497" s="8" t="s">
        <v>2146</v>
      </c>
      <c r="K2497" s="8" t="s">
        <v>2147</v>
      </c>
      <c r="L2497" s="8" t="s">
        <v>786</v>
      </c>
      <c r="M2497" s="8" t="s">
        <v>2134</v>
      </c>
      <c r="N2497" s="8" t="s">
        <v>2136</v>
      </c>
      <c r="O2497" s="8" t="s">
        <v>2139</v>
      </c>
      <c r="P2497" s="8" t="s">
        <v>1946</v>
      </c>
    </row>
    <row r="2498" spans="1:16" ht="25" customHeight="1">
      <c r="A2498" s="12">
        <v>4</v>
      </c>
      <c r="B2498" s="8" t="s">
        <v>60</v>
      </c>
      <c r="C2498" s="8">
        <v>1</v>
      </c>
      <c r="D2498" s="11">
        <v>0.1428571428571428</v>
      </c>
      <c r="E2498" s="8">
        <v>1</v>
      </c>
      <c r="F2498" s="8">
        <v>1</v>
      </c>
      <c r="G2498" s="8">
        <v>0</v>
      </c>
      <c r="H2498" s="8">
        <v>0</v>
      </c>
      <c r="I2498" s="8">
        <v>1</v>
      </c>
      <c r="J2498" s="8">
        <v>1</v>
      </c>
      <c r="K2498" s="8">
        <v>0</v>
      </c>
      <c r="L2498" s="8" t="s">
        <v>791</v>
      </c>
      <c r="M2498" s="8">
        <v>99</v>
      </c>
      <c r="N2498" s="8" t="s">
        <v>2165</v>
      </c>
      <c r="O2498" s="8" t="s">
        <v>2166</v>
      </c>
      <c r="P2498" s="8">
        <v>210</v>
      </c>
    </row>
    <row r="2499" spans="1:16" ht="25" customHeight="1">
      <c r="A2499" s="12">
        <v>5</v>
      </c>
      <c r="B2499" s="8" t="s">
        <v>35</v>
      </c>
      <c r="C2499" s="8">
        <v>1</v>
      </c>
      <c r="D2499" s="11">
        <v>0.1428571428571428</v>
      </c>
      <c r="E2499" s="8">
        <v>0</v>
      </c>
      <c r="F2499" s="8">
        <v>0</v>
      </c>
      <c r="G2499" s="8">
        <v>0</v>
      </c>
      <c r="H2499" s="8">
        <v>0</v>
      </c>
      <c r="I2499" s="8">
        <v>5</v>
      </c>
      <c r="J2499" s="8">
        <v>1</v>
      </c>
      <c r="K2499" s="8">
        <v>0</v>
      </c>
      <c r="L2499" s="8" t="s">
        <v>791</v>
      </c>
      <c r="M2499" s="8">
        <v>25</v>
      </c>
      <c r="N2499" s="8" t="s">
        <v>2165</v>
      </c>
      <c r="O2499" s="8" t="s">
        <v>2166</v>
      </c>
      <c r="P2499" s="8">
        <v>211</v>
      </c>
    </row>
    <row r="2500" spans="1:16" ht="25" customHeight="1">
      <c r="A2500" s="12">
        <v>6</v>
      </c>
      <c r="B2500" s="8" t="s">
        <v>27</v>
      </c>
      <c r="C2500" s="8">
        <v>3</v>
      </c>
      <c r="D2500" s="11">
        <v>0.4285714285714285</v>
      </c>
      <c r="E2500" s="8">
        <v>1</v>
      </c>
      <c r="F2500" s="11">
        <v>0.3333333333333333</v>
      </c>
      <c r="G2500" s="8">
        <v>1</v>
      </c>
      <c r="H2500" s="11">
        <v>0.3333333333333333</v>
      </c>
      <c r="I2500" s="8">
        <v>9</v>
      </c>
      <c r="J2500" s="8">
        <v>0</v>
      </c>
      <c r="K2500" s="8">
        <v>1</v>
      </c>
      <c r="L2500" s="8" t="s">
        <v>801</v>
      </c>
      <c r="M2500" s="11">
        <v>37.7</v>
      </c>
      <c r="N2500" s="8" t="s">
        <v>2167</v>
      </c>
      <c r="O2500" s="8" t="s">
        <v>2168</v>
      </c>
      <c r="P2500" s="8">
        <v>212</v>
      </c>
    </row>
    <row r="2501" spans="1:16" ht="25" customHeight="1">
      <c r="A2501" s="12">
        <v>7</v>
      </c>
      <c r="B2501" s="8" t="s">
        <v>42</v>
      </c>
      <c r="C2501" s="8">
        <v>1</v>
      </c>
      <c r="D2501" s="11">
        <v>0.1428571428571428</v>
      </c>
      <c r="E2501" s="8">
        <v>0</v>
      </c>
      <c r="F2501" s="8">
        <v>0</v>
      </c>
      <c r="G2501" s="8">
        <v>1</v>
      </c>
      <c r="H2501" s="8">
        <v>1</v>
      </c>
      <c r="I2501" s="8">
        <v>29</v>
      </c>
      <c r="J2501" s="8">
        <v>0</v>
      </c>
      <c r="K2501" s="8">
        <v>1</v>
      </c>
      <c r="L2501" s="8" t="s">
        <v>791</v>
      </c>
      <c r="M2501" s="8">
        <v>0</v>
      </c>
      <c r="N2501" s="8" t="s">
        <v>2161</v>
      </c>
      <c r="O2501" s="8" t="s">
        <v>2162</v>
      </c>
      <c r="P2501" s="8">
        <v>214</v>
      </c>
    </row>
    <row r="2502" spans="1:16" ht="25" customHeight="1">
      <c r="A2502" s="12">
        <v>8</v>
      </c>
      <c r="B2502" s="8" t="s">
        <v>95</v>
      </c>
      <c r="C2502" s="8">
        <v>1</v>
      </c>
      <c r="D2502" s="11">
        <v>0.1428571428571428</v>
      </c>
      <c r="E2502" s="8">
        <v>0</v>
      </c>
      <c r="F2502" s="8">
        <v>0</v>
      </c>
      <c r="G2502" s="8">
        <v>0</v>
      </c>
      <c r="H2502" s="8">
        <v>0</v>
      </c>
      <c r="I2502" s="8">
        <v>3</v>
      </c>
      <c r="J2502" s="8">
        <v>1</v>
      </c>
      <c r="K2502" s="8">
        <v>0</v>
      </c>
      <c r="L2502" s="8" t="s">
        <v>791</v>
      </c>
      <c r="M2502" s="8">
        <v>27</v>
      </c>
      <c r="N2502" s="8" t="s">
        <v>2165</v>
      </c>
      <c r="O2502" s="8" t="s">
        <v>2166</v>
      </c>
      <c r="P2502" s="8">
        <v>286</v>
      </c>
    </row>
    <row r="2508" spans="1:16" ht="27" customHeight="1">
      <c r="A2508" s="5" t="s">
        <v>2238</v>
      </c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</row>
    <row r="2509" spans="1:16" ht="36" customHeight="1">
      <c r="A2509" s="9" t="s">
        <v>683</v>
      </c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</row>
    <row r="2510" spans="1:16" ht="25" customHeight="1">
      <c r="A2510" s="6" t="s">
        <v>684</v>
      </c>
    </row>
    <row r="2511" spans="1:16" ht="25" customHeight="1">
      <c r="A2511" s="12">
        <v>1</v>
      </c>
      <c r="B2511" s="8" t="s">
        <v>2239</v>
      </c>
    </row>
    <row r="2512" spans="1:16" ht="25" customHeight="1">
      <c r="A2512" s="12">
        <v>2</v>
      </c>
      <c r="B2512" s="8" t="s">
        <v>2240</v>
      </c>
    </row>
    <row r="2513" spans="1:4" ht="25" customHeight="1">
      <c r="A2513" s="12">
        <v>3</v>
      </c>
      <c r="B2513" s="8" t="s">
        <v>1986</v>
      </c>
      <c r="C2513" s="8" t="s">
        <v>1928</v>
      </c>
      <c r="D2513" s="8" t="s">
        <v>2241</v>
      </c>
    </row>
    <row r="2514" spans="1:4" ht="25" customHeight="1">
      <c r="A2514" s="12">
        <v>4</v>
      </c>
      <c r="B2514" s="8" t="s">
        <v>2242</v>
      </c>
      <c r="C2514" s="8" t="s">
        <v>1989</v>
      </c>
      <c r="D2514" s="8" t="s">
        <v>2243</v>
      </c>
    </row>
    <row r="2515" spans="1:4" ht="25" customHeight="1">
      <c r="A2515" s="12">
        <v>5</v>
      </c>
      <c r="B2515" s="8" t="s">
        <v>2244</v>
      </c>
      <c r="C2515" s="8" t="s">
        <v>1989</v>
      </c>
      <c r="D2515" s="8" t="s">
        <v>2243</v>
      </c>
    </row>
    <row r="2516" spans="1:4" ht="25" customHeight="1">
      <c r="A2516" s="12">
        <v>6</v>
      </c>
      <c r="B2516" s="8" t="s">
        <v>2245</v>
      </c>
      <c r="C2516" s="8" t="s">
        <v>1989</v>
      </c>
      <c r="D2516" s="8" t="s">
        <v>2243</v>
      </c>
    </row>
    <row r="2517" spans="1:4" ht="25" customHeight="1">
      <c r="A2517" s="12">
        <v>7</v>
      </c>
      <c r="B2517" s="8" t="s">
        <v>2246</v>
      </c>
      <c r="C2517" s="8" t="s">
        <v>1989</v>
      </c>
      <c r="D2517" s="8" t="s">
        <v>2243</v>
      </c>
    </row>
    <row r="2518" spans="1:4" ht="25" customHeight="1">
      <c r="A2518" s="12">
        <v>8</v>
      </c>
      <c r="B2518" s="8" t="s">
        <v>2247</v>
      </c>
      <c r="C2518" s="8" t="s">
        <v>1989</v>
      </c>
      <c r="D2518" s="8" t="s">
        <v>2243</v>
      </c>
    </row>
    <row r="2519" spans="1:4" ht="25" customHeight="1">
      <c r="A2519" s="12">
        <v>9</v>
      </c>
      <c r="B2519" s="8" t="s">
        <v>2248</v>
      </c>
      <c r="C2519" s="8" t="s">
        <v>1989</v>
      </c>
      <c r="D2519" s="8" t="s">
        <v>2243</v>
      </c>
    </row>
    <row r="2520" spans="1:4" ht="25" customHeight="1">
      <c r="A2520" s="12">
        <v>10</v>
      </c>
      <c r="B2520" s="8" t="s">
        <v>2249</v>
      </c>
      <c r="C2520" s="8" t="s">
        <v>1989</v>
      </c>
      <c r="D2520" s="8" t="s">
        <v>2243</v>
      </c>
    </row>
    <row r="2521" spans="1:4" ht="25" customHeight="1">
      <c r="A2521" s="12">
        <v>11</v>
      </c>
      <c r="B2521" s="8" t="s">
        <v>2250</v>
      </c>
      <c r="C2521" s="8" t="s">
        <v>1989</v>
      </c>
      <c r="D2521" s="8" t="s">
        <v>2251</v>
      </c>
    </row>
    <row r="2522" spans="1:4" ht="25" customHeight="1">
      <c r="A2522" s="12">
        <v>12</v>
      </c>
      <c r="B2522" s="8" t="s">
        <v>2252</v>
      </c>
      <c r="C2522" s="8" t="s">
        <v>1989</v>
      </c>
      <c r="D2522" s="8" t="s">
        <v>2253</v>
      </c>
    </row>
    <row r="2523" spans="1:4" ht="25" customHeight="1">
      <c r="A2523" s="12">
        <v>13</v>
      </c>
      <c r="B2523" s="8" t="s">
        <v>2254</v>
      </c>
      <c r="C2523" s="8" t="s">
        <v>2255</v>
      </c>
      <c r="D2523" s="8" t="s">
        <v>2256</v>
      </c>
    </row>
    <row r="2524" spans="1:4" ht="25" customHeight="1">
      <c r="A2524" s="12">
        <v>14</v>
      </c>
      <c r="B2524" s="8" t="s">
        <v>2257</v>
      </c>
      <c r="C2524" s="8" t="s">
        <v>1989</v>
      </c>
      <c r="D2524" s="8" t="s">
        <v>2258</v>
      </c>
    </row>
    <row r="2525" spans="1:4" ht="25" customHeight="1">
      <c r="A2525" s="12">
        <v>15</v>
      </c>
      <c r="B2525" s="8" t="s">
        <v>2259</v>
      </c>
      <c r="C2525" s="8" t="s">
        <v>1989</v>
      </c>
      <c r="D2525" s="8" t="s">
        <v>2260</v>
      </c>
    </row>
    <row r="2526" spans="1:4" ht="25" customHeight="1">
      <c r="A2526" s="12">
        <v>16</v>
      </c>
      <c r="B2526" s="8" t="s">
        <v>2261</v>
      </c>
      <c r="C2526" s="8" t="s">
        <v>1989</v>
      </c>
      <c r="D2526" s="8" t="s">
        <v>2262</v>
      </c>
    </row>
    <row r="2527" spans="1:4" ht="25" customHeight="1">
      <c r="A2527" s="12">
        <v>17</v>
      </c>
      <c r="B2527" s="8" t="s">
        <v>2263</v>
      </c>
      <c r="C2527" s="8">
        <v>13</v>
      </c>
      <c r="D2527" s="8" t="s">
        <v>2264</v>
      </c>
    </row>
    <row r="2528" spans="1:4" ht="25" customHeight="1">
      <c r="A2528" s="12">
        <v>18</v>
      </c>
      <c r="B2528" s="8" t="s">
        <v>2265</v>
      </c>
      <c r="C2528" s="8" t="s">
        <v>1989</v>
      </c>
      <c r="D2528" s="8" t="s">
        <v>2266</v>
      </c>
    </row>
    <row r="2529" spans="1:4" ht="25" customHeight="1">
      <c r="A2529" s="12">
        <v>19</v>
      </c>
      <c r="B2529" s="8" t="s">
        <v>2267</v>
      </c>
      <c r="C2529" s="8" t="s">
        <v>2268</v>
      </c>
      <c r="D2529" s="8" t="s">
        <v>2269</v>
      </c>
    </row>
    <row r="2530" spans="1:4" ht="25" customHeight="1">
      <c r="A2530" s="12">
        <v>20</v>
      </c>
      <c r="B2530" s="8" t="s">
        <v>2270</v>
      </c>
      <c r="C2530" s="8" t="s">
        <v>1989</v>
      </c>
      <c r="D2530" s="8" t="s">
        <v>2271</v>
      </c>
    </row>
    <row r="2531" spans="1:4" ht="25" customHeight="1">
      <c r="A2531" s="12">
        <v>21</v>
      </c>
      <c r="B2531" s="8" t="s">
        <v>2272</v>
      </c>
      <c r="C2531" s="8" t="s">
        <v>1989</v>
      </c>
      <c r="D2531" s="8" t="s">
        <v>2273</v>
      </c>
    </row>
    <row r="2532" spans="1:4" ht="25" customHeight="1">
      <c r="A2532" s="12">
        <v>22</v>
      </c>
      <c r="B2532" s="8" t="s">
        <v>2274</v>
      </c>
      <c r="C2532" s="8" t="s">
        <v>1989</v>
      </c>
      <c r="D2532" s="8" t="s">
        <v>2275</v>
      </c>
    </row>
    <row r="2533" spans="1:4" ht="25" customHeight="1">
      <c r="A2533" s="12">
        <v>23</v>
      </c>
      <c r="B2533" s="8" t="s">
        <v>2276</v>
      </c>
      <c r="C2533" s="8" t="s">
        <v>1989</v>
      </c>
      <c r="D2533" s="8" t="s">
        <v>2277</v>
      </c>
    </row>
    <row r="2534" spans="1:4" ht="25" customHeight="1">
      <c r="A2534" s="12">
        <v>24</v>
      </c>
      <c r="B2534" s="8" t="s">
        <v>2278</v>
      </c>
      <c r="C2534" s="8" t="s">
        <v>1989</v>
      </c>
      <c r="D2534" s="8" t="s">
        <v>2279</v>
      </c>
    </row>
    <row r="2535" spans="1:4" ht="25" customHeight="1">
      <c r="A2535" s="12">
        <v>25</v>
      </c>
      <c r="B2535" s="8" t="s">
        <v>2280</v>
      </c>
      <c r="C2535" s="8" t="s">
        <v>1989</v>
      </c>
      <c r="D2535" s="8" t="s">
        <v>2281</v>
      </c>
    </row>
    <row r="2536" spans="1:4" ht="25" customHeight="1">
      <c r="A2536" s="12">
        <v>26</v>
      </c>
      <c r="B2536" s="8" t="s">
        <v>2282</v>
      </c>
      <c r="C2536" s="8" t="s">
        <v>1989</v>
      </c>
      <c r="D2536" s="8" t="s">
        <v>2279</v>
      </c>
    </row>
    <row r="2537" spans="1:4" ht="25" customHeight="1">
      <c r="A2537" s="12">
        <v>27</v>
      </c>
      <c r="B2537" s="8" t="s">
        <v>2283</v>
      </c>
      <c r="C2537" s="8" t="s">
        <v>1989</v>
      </c>
      <c r="D2537" s="8" t="s">
        <v>2281</v>
      </c>
    </row>
    <row r="2538" spans="1:4" ht="25" customHeight="1">
      <c r="A2538" s="12">
        <v>28</v>
      </c>
      <c r="B2538" s="8" t="s">
        <v>2284</v>
      </c>
      <c r="C2538" s="8" t="s">
        <v>1989</v>
      </c>
      <c r="D2538" s="8" t="s">
        <v>2279</v>
      </c>
    </row>
    <row r="2539" spans="1:4" ht="25" customHeight="1">
      <c r="A2539" s="12">
        <v>29</v>
      </c>
      <c r="B2539" s="8" t="s">
        <v>2285</v>
      </c>
      <c r="C2539" s="8" t="s">
        <v>1989</v>
      </c>
      <c r="D2539" s="8" t="s">
        <v>2281</v>
      </c>
    </row>
    <row r="2540" spans="1:4" ht="25" customHeight="1">
      <c r="A2540" s="12">
        <v>30</v>
      </c>
      <c r="B2540" s="8" t="s">
        <v>2286</v>
      </c>
      <c r="C2540" s="8" t="s">
        <v>1989</v>
      </c>
      <c r="D2540" s="8" t="s">
        <v>2279</v>
      </c>
    </row>
    <row r="2541" spans="1:4" ht="25" customHeight="1">
      <c r="A2541" s="12">
        <v>31</v>
      </c>
      <c r="B2541" s="8" t="s">
        <v>2287</v>
      </c>
      <c r="C2541" s="8" t="s">
        <v>1989</v>
      </c>
      <c r="D2541" s="8" t="s">
        <v>2281</v>
      </c>
    </row>
    <row r="2542" spans="1:4" ht="25" customHeight="1">
      <c r="A2542" s="12">
        <v>32</v>
      </c>
      <c r="B2542" s="8" t="s">
        <v>2288</v>
      </c>
      <c r="C2542" s="8" t="s">
        <v>1989</v>
      </c>
      <c r="D2542" s="8" t="s">
        <v>2279</v>
      </c>
    </row>
    <row r="2543" spans="1:4" ht="25" customHeight="1">
      <c r="A2543" s="12">
        <v>33</v>
      </c>
      <c r="B2543" s="8" t="s">
        <v>2289</v>
      </c>
      <c r="C2543" s="8" t="s">
        <v>1989</v>
      </c>
      <c r="D2543" s="8" t="s">
        <v>2281</v>
      </c>
    </row>
    <row r="2544" spans="1:4" ht="25" customHeight="1">
      <c r="A2544" s="12">
        <v>34</v>
      </c>
      <c r="B2544" s="8" t="s">
        <v>2290</v>
      </c>
      <c r="C2544" s="8" t="s">
        <v>1989</v>
      </c>
      <c r="D2544" s="8" t="s">
        <v>2279</v>
      </c>
    </row>
    <row r="2545" spans="1:4" ht="25" customHeight="1">
      <c r="A2545" s="12">
        <v>35</v>
      </c>
      <c r="B2545" s="8" t="s">
        <v>2291</v>
      </c>
      <c r="C2545" s="8" t="s">
        <v>1989</v>
      </c>
      <c r="D2545" s="8" t="s">
        <v>2281</v>
      </c>
    </row>
    <row r="2546" spans="1:4" ht="25" customHeight="1">
      <c r="A2546" s="12">
        <v>36</v>
      </c>
      <c r="B2546" s="8" t="s">
        <v>2292</v>
      </c>
      <c r="C2546" s="8" t="s">
        <v>1989</v>
      </c>
      <c r="D2546" s="8" t="s">
        <v>2279</v>
      </c>
    </row>
    <row r="2547" spans="1:4" ht="25" customHeight="1">
      <c r="A2547" s="12">
        <v>37</v>
      </c>
      <c r="B2547" s="8" t="s">
        <v>2293</v>
      </c>
      <c r="C2547" s="8" t="s">
        <v>1989</v>
      </c>
      <c r="D2547" s="8" t="s">
        <v>2281</v>
      </c>
    </row>
    <row r="2548" spans="1:4" ht="25" customHeight="1">
      <c r="A2548" s="12">
        <v>38</v>
      </c>
      <c r="B2548" s="8" t="s">
        <v>2294</v>
      </c>
      <c r="C2548" s="8" t="s">
        <v>1989</v>
      </c>
      <c r="D2548" s="8" t="s">
        <v>2279</v>
      </c>
    </row>
    <row r="2549" spans="1:4" ht="25" customHeight="1">
      <c r="A2549" s="12">
        <v>39</v>
      </c>
      <c r="B2549" s="8" t="s">
        <v>2295</v>
      </c>
      <c r="C2549" s="8" t="s">
        <v>1989</v>
      </c>
      <c r="D2549" s="8" t="s">
        <v>2281</v>
      </c>
    </row>
    <row r="2550" spans="1:4" ht="25" customHeight="1">
      <c r="A2550" s="12">
        <v>40</v>
      </c>
      <c r="B2550" s="8" t="s">
        <v>2296</v>
      </c>
      <c r="C2550" s="8" t="s">
        <v>1989</v>
      </c>
      <c r="D2550" s="8" t="s">
        <v>2279</v>
      </c>
    </row>
    <row r="2551" spans="1:4" ht="25" customHeight="1">
      <c r="A2551" s="12">
        <v>41</v>
      </c>
      <c r="B2551" s="8" t="s">
        <v>2297</v>
      </c>
      <c r="C2551" s="8" t="s">
        <v>1989</v>
      </c>
      <c r="D2551" s="8" t="s">
        <v>2281</v>
      </c>
    </row>
    <row r="2552" spans="1:4" ht="25" customHeight="1">
      <c r="A2552" s="12">
        <v>42</v>
      </c>
      <c r="B2552" s="8" t="s">
        <v>2298</v>
      </c>
      <c r="C2552" s="8" t="s">
        <v>1989</v>
      </c>
      <c r="D2552" s="8" t="s">
        <v>2279</v>
      </c>
    </row>
    <row r="2553" spans="1:4" ht="25" customHeight="1">
      <c r="A2553" s="12">
        <v>43</v>
      </c>
      <c r="B2553" s="8" t="s">
        <v>2299</v>
      </c>
      <c r="C2553" s="8" t="s">
        <v>1989</v>
      </c>
      <c r="D2553" s="8" t="s">
        <v>2281</v>
      </c>
    </row>
    <row r="2554" spans="1:4" ht="25" customHeight="1">
      <c r="A2554" s="12">
        <v>44</v>
      </c>
      <c r="B2554" s="8" t="s">
        <v>2300</v>
      </c>
      <c r="C2554" s="8" t="s">
        <v>1989</v>
      </c>
      <c r="D2554" s="8" t="s">
        <v>2279</v>
      </c>
    </row>
    <row r="2555" spans="1:4" ht="25" customHeight="1">
      <c r="A2555" s="12">
        <v>45</v>
      </c>
      <c r="B2555" s="8" t="s">
        <v>2301</v>
      </c>
      <c r="C2555" s="8" t="s">
        <v>1989</v>
      </c>
      <c r="D2555" s="8" t="s">
        <v>2281</v>
      </c>
    </row>
    <row r="2556" spans="1:4" ht="25" customHeight="1">
      <c r="A2556" s="12">
        <v>46</v>
      </c>
      <c r="B2556" s="8" t="s">
        <v>2302</v>
      </c>
      <c r="C2556" s="8" t="s">
        <v>1989</v>
      </c>
      <c r="D2556" s="8" t="s">
        <v>2279</v>
      </c>
    </row>
    <row r="2557" spans="1:4" ht="25" customHeight="1">
      <c r="A2557" s="12">
        <v>47</v>
      </c>
      <c r="B2557" s="8" t="s">
        <v>2303</v>
      </c>
      <c r="C2557" s="8" t="s">
        <v>1989</v>
      </c>
      <c r="D2557" s="8" t="s">
        <v>2281</v>
      </c>
    </row>
    <row r="2558" spans="1:4" ht="25" customHeight="1">
      <c r="A2558" s="12">
        <v>48</v>
      </c>
      <c r="B2558" s="8" t="s">
        <v>2304</v>
      </c>
      <c r="C2558" s="8" t="s">
        <v>1989</v>
      </c>
      <c r="D2558" s="8" t="s">
        <v>2279</v>
      </c>
    </row>
    <row r="2559" spans="1:4" ht="25" customHeight="1">
      <c r="A2559" s="12">
        <v>49</v>
      </c>
      <c r="B2559" s="8" t="s">
        <v>2305</v>
      </c>
      <c r="C2559" s="8" t="s">
        <v>1989</v>
      </c>
      <c r="D2559" s="8" t="s">
        <v>2281</v>
      </c>
    </row>
    <row r="2560" spans="1:4" ht="25" customHeight="1">
      <c r="A2560" s="12">
        <v>50</v>
      </c>
      <c r="B2560" s="8" t="s">
        <v>2306</v>
      </c>
      <c r="C2560" s="8" t="s">
        <v>1989</v>
      </c>
      <c r="D2560" s="8" t="s">
        <v>2279</v>
      </c>
    </row>
    <row r="2561" spans="1:4" ht="25" customHeight="1">
      <c r="A2561" s="12">
        <v>51</v>
      </c>
      <c r="B2561" s="8" t="s">
        <v>2307</v>
      </c>
      <c r="C2561" s="8" t="s">
        <v>1989</v>
      </c>
      <c r="D2561" s="8" t="s">
        <v>2281</v>
      </c>
    </row>
    <row r="2562" spans="1:4" ht="25" customHeight="1">
      <c r="A2562" s="12">
        <v>52</v>
      </c>
      <c r="B2562" s="8" t="s">
        <v>2308</v>
      </c>
      <c r="C2562" s="8" t="s">
        <v>1989</v>
      </c>
      <c r="D2562" s="8" t="s">
        <v>2279</v>
      </c>
    </row>
    <row r="2563" spans="1:4" ht="25" customHeight="1">
      <c r="A2563" s="12">
        <v>53</v>
      </c>
      <c r="B2563" s="8" t="s">
        <v>2309</v>
      </c>
      <c r="C2563" s="8" t="s">
        <v>1989</v>
      </c>
      <c r="D2563" s="8" t="s">
        <v>2281</v>
      </c>
    </row>
    <row r="2564" spans="1:4" ht="25" customHeight="1">
      <c r="A2564" s="12">
        <v>54</v>
      </c>
      <c r="B2564" s="8" t="s">
        <v>2310</v>
      </c>
      <c r="C2564" s="8" t="s">
        <v>1989</v>
      </c>
      <c r="D2564" s="8" t="s">
        <v>2279</v>
      </c>
    </row>
    <row r="2565" spans="1:4" ht="25" customHeight="1">
      <c r="A2565" s="12">
        <v>55</v>
      </c>
      <c r="B2565" s="8" t="s">
        <v>2311</v>
      </c>
      <c r="C2565" s="8" t="s">
        <v>1989</v>
      </c>
      <c r="D2565" s="8" t="s">
        <v>2281</v>
      </c>
    </row>
    <row r="2566" spans="1:4" ht="25" customHeight="1">
      <c r="A2566" s="12">
        <v>56</v>
      </c>
      <c r="B2566" s="8" t="s">
        <v>2312</v>
      </c>
      <c r="C2566" s="8" t="s">
        <v>1989</v>
      </c>
      <c r="D2566" s="8" t="s">
        <v>2279</v>
      </c>
    </row>
    <row r="2567" spans="1:4" ht="25" customHeight="1">
      <c r="A2567" s="12">
        <v>57</v>
      </c>
      <c r="B2567" s="8" t="s">
        <v>2313</v>
      </c>
      <c r="C2567" s="8" t="s">
        <v>1989</v>
      </c>
      <c r="D2567" s="8" t="s">
        <v>2281</v>
      </c>
    </row>
    <row r="2568" spans="1:4" ht="25" customHeight="1">
      <c r="A2568" s="12">
        <v>58</v>
      </c>
      <c r="B2568" s="8" t="s">
        <v>2314</v>
      </c>
      <c r="C2568" s="8" t="s">
        <v>1989</v>
      </c>
      <c r="D2568" s="8" t="s">
        <v>2279</v>
      </c>
    </row>
    <row r="2569" spans="1:4" ht="25" customHeight="1">
      <c r="A2569" s="12">
        <v>59</v>
      </c>
      <c r="B2569" s="8" t="s">
        <v>2315</v>
      </c>
      <c r="C2569" s="8" t="s">
        <v>1989</v>
      </c>
      <c r="D2569" s="8" t="s">
        <v>2281</v>
      </c>
    </row>
    <row r="2570" spans="1:4" ht="25" customHeight="1">
      <c r="A2570" s="12">
        <v>60</v>
      </c>
      <c r="B2570" s="8" t="s">
        <v>2316</v>
      </c>
      <c r="C2570" s="8" t="s">
        <v>1989</v>
      </c>
      <c r="D2570" s="8" t="s">
        <v>2279</v>
      </c>
    </row>
    <row r="2571" spans="1:4" ht="25" customHeight="1">
      <c r="A2571" s="12">
        <v>61</v>
      </c>
      <c r="B2571" s="8" t="s">
        <v>2317</v>
      </c>
      <c r="C2571" s="8" t="s">
        <v>1989</v>
      </c>
      <c r="D2571" s="8" t="s">
        <v>2281</v>
      </c>
    </row>
    <row r="2572" spans="1:4" ht="25" customHeight="1">
      <c r="A2572" s="12">
        <v>62</v>
      </c>
      <c r="B2572" s="8" t="s">
        <v>2318</v>
      </c>
      <c r="C2572" s="8" t="s">
        <v>1989</v>
      </c>
      <c r="D2572" s="8" t="s">
        <v>2279</v>
      </c>
    </row>
    <row r="2573" spans="1:4" ht="25" customHeight="1">
      <c r="A2573" s="12">
        <v>63</v>
      </c>
      <c r="B2573" s="8" t="s">
        <v>2319</v>
      </c>
      <c r="C2573" s="8" t="s">
        <v>1989</v>
      </c>
      <c r="D2573" s="8" t="s">
        <v>2281</v>
      </c>
    </row>
    <row r="2574" spans="1:4" ht="25" customHeight="1">
      <c r="A2574" s="12">
        <v>64</v>
      </c>
      <c r="B2574" s="8" t="s">
        <v>2320</v>
      </c>
      <c r="C2574" s="8" t="s">
        <v>1989</v>
      </c>
      <c r="D2574" s="8" t="s">
        <v>2279</v>
      </c>
    </row>
    <row r="2575" spans="1:4" ht="25" customHeight="1">
      <c r="A2575" s="12">
        <v>65</v>
      </c>
      <c r="B2575" s="8" t="s">
        <v>2321</v>
      </c>
      <c r="C2575" s="8" t="s">
        <v>1989</v>
      </c>
      <c r="D2575" s="8" t="s">
        <v>2281</v>
      </c>
    </row>
    <row r="2576" spans="1:4" ht="25" customHeight="1">
      <c r="A2576" s="12">
        <v>66</v>
      </c>
      <c r="B2576" s="8" t="s">
        <v>2036</v>
      </c>
      <c r="C2576" s="8">
        <v>0</v>
      </c>
      <c r="D2576" s="8" t="s">
        <v>2322</v>
      </c>
    </row>
    <row r="2577" spans="1:4" ht="25" customHeight="1">
      <c r="A2577" s="12">
        <v>67</v>
      </c>
      <c r="B2577" s="8" t="s">
        <v>2323</v>
      </c>
      <c r="C2577" s="8">
        <v>0</v>
      </c>
      <c r="D2577" s="8" t="s">
        <v>2324</v>
      </c>
    </row>
    <row r="2578" spans="1:4" ht="25" customHeight="1">
      <c r="A2578" s="12">
        <v>68</v>
      </c>
      <c r="B2578" s="8" t="s">
        <v>2325</v>
      </c>
      <c r="C2578" s="8">
        <v>0</v>
      </c>
      <c r="D2578" s="8" t="s">
        <v>2322</v>
      </c>
    </row>
    <row r="2579" spans="1:4" ht="25" customHeight="1">
      <c r="A2579" s="12">
        <v>69</v>
      </c>
      <c r="B2579" s="8" t="s">
        <v>2326</v>
      </c>
      <c r="C2579" s="8">
        <v>0</v>
      </c>
      <c r="D2579" s="8" t="s">
        <v>2324</v>
      </c>
    </row>
    <row r="2580" spans="1:4" ht="25" customHeight="1">
      <c r="A2580" s="12">
        <v>70</v>
      </c>
      <c r="B2580" s="8" t="s">
        <v>2327</v>
      </c>
      <c r="C2580" s="8">
        <v>0</v>
      </c>
      <c r="D2580" s="8" t="s">
        <v>2322</v>
      </c>
    </row>
    <row r="2581" spans="1:4" ht="25" customHeight="1">
      <c r="A2581" s="12">
        <v>71</v>
      </c>
      <c r="B2581" s="8" t="s">
        <v>2328</v>
      </c>
      <c r="C2581" s="8">
        <v>0</v>
      </c>
      <c r="D2581" s="8" t="s">
        <v>2324</v>
      </c>
    </row>
    <row r="2582" spans="1:4" ht="25" customHeight="1">
      <c r="A2582" s="12">
        <v>72</v>
      </c>
      <c r="B2582" s="8" t="s">
        <v>2329</v>
      </c>
      <c r="C2582" s="8">
        <v>0</v>
      </c>
      <c r="D2582" s="8" t="s">
        <v>2322</v>
      </c>
    </row>
    <row r="2583" spans="1:4" ht="25" customHeight="1">
      <c r="A2583" s="12">
        <v>73</v>
      </c>
      <c r="B2583" s="8" t="s">
        <v>2330</v>
      </c>
      <c r="C2583" s="8">
        <v>0</v>
      </c>
      <c r="D2583" s="8" t="s">
        <v>2324</v>
      </c>
    </row>
    <row r="2584" spans="1:4" ht="25" customHeight="1">
      <c r="A2584" s="12">
        <v>74</v>
      </c>
      <c r="B2584" s="8" t="s">
        <v>2331</v>
      </c>
      <c r="C2584" s="8">
        <v>0</v>
      </c>
      <c r="D2584" s="8" t="s">
        <v>2322</v>
      </c>
    </row>
    <row r="2585" spans="1:4" ht="25" customHeight="1">
      <c r="A2585" s="12">
        <v>75</v>
      </c>
      <c r="B2585" s="8" t="s">
        <v>2332</v>
      </c>
      <c r="C2585" s="8">
        <v>0</v>
      </c>
      <c r="D2585" s="8" t="s">
        <v>2324</v>
      </c>
    </row>
    <row r="2586" spans="1:4" ht="25" customHeight="1">
      <c r="A2586" s="12">
        <v>76</v>
      </c>
      <c r="B2586" s="8" t="s">
        <v>2333</v>
      </c>
      <c r="C2586" s="8">
        <v>0</v>
      </c>
      <c r="D2586" s="8" t="s">
        <v>2322</v>
      </c>
    </row>
    <row r="2587" spans="1:4" ht="25" customHeight="1">
      <c r="A2587" s="12">
        <v>77</v>
      </c>
      <c r="B2587" s="8" t="s">
        <v>2334</v>
      </c>
      <c r="C2587" s="8">
        <v>0</v>
      </c>
      <c r="D2587" s="8" t="s">
        <v>2324</v>
      </c>
    </row>
    <row r="2588" spans="1:4" ht="25" customHeight="1">
      <c r="A2588" s="12">
        <v>78</v>
      </c>
      <c r="B2588" s="8" t="s">
        <v>2335</v>
      </c>
      <c r="C2588" s="8">
        <v>0</v>
      </c>
      <c r="D2588" s="8" t="s">
        <v>2322</v>
      </c>
    </row>
    <row r="2589" spans="1:4" ht="25" customHeight="1">
      <c r="A2589" s="12">
        <v>79</v>
      </c>
      <c r="B2589" s="8" t="s">
        <v>2336</v>
      </c>
      <c r="C2589" s="8">
        <v>0</v>
      </c>
      <c r="D2589" s="8" t="s">
        <v>2324</v>
      </c>
    </row>
    <row r="2590" spans="1:4" ht="25" customHeight="1">
      <c r="A2590" s="12">
        <v>80</v>
      </c>
      <c r="B2590" s="8" t="s">
        <v>2337</v>
      </c>
      <c r="C2590" s="8">
        <v>0</v>
      </c>
      <c r="D2590" s="8" t="s">
        <v>2322</v>
      </c>
    </row>
    <row r="2591" spans="1:4" ht="25" customHeight="1">
      <c r="A2591" s="12">
        <v>81</v>
      </c>
      <c r="B2591" s="8" t="s">
        <v>2338</v>
      </c>
      <c r="C2591" s="8">
        <v>0</v>
      </c>
      <c r="D2591" s="8" t="s">
        <v>2324</v>
      </c>
    </row>
    <row r="2592" spans="1:4" ht="25" customHeight="1">
      <c r="A2592" s="12">
        <v>82</v>
      </c>
      <c r="B2592" s="8" t="s">
        <v>2339</v>
      </c>
      <c r="C2592" s="8">
        <v>0</v>
      </c>
      <c r="D2592" s="8" t="s">
        <v>2322</v>
      </c>
    </row>
    <row r="2593" spans="1:4" ht="25" customHeight="1">
      <c r="A2593" s="12">
        <v>83</v>
      </c>
      <c r="B2593" s="8" t="s">
        <v>2340</v>
      </c>
      <c r="C2593" s="8">
        <v>0</v>
      </c>
      <c r="D2593" s="8" t="s">
        <v>2324</v>
      </c>
    </row>
    <row r="2594" spans="1:4" ht="25" customHeight="1">
      <c r="A2594" s="12">
        <v>84</v>
      </c>
      <c r="B2594" s="8" t="s">
        <v>2341</v>
      </c>
      <c r="C2594" s="8">
        <v>0</v>
      </c>
      <c r="D2594" s="8" t="s">
        <v>2322</v>
      </c>
    </row>
    <row r="2595" spans="1:4" ht="25" customHeight="1">
      <c r="A2595" s="12">
        <v>85</v>
      </c>
      <c r="B2595" s="8" t="s">
        <v>2342</v>
      </c>
      <c r="C2595" s="8">
        <v>0</v>
      </c>
      <c r="D2595" s="8" t="s">
        <v>2324</v>
      </c>
    </row>
    <row r="2596" spans="1:4" ht="25" customHeight="1">
      <c r="A2596" s="12">
        <v>86</v>
      </c>
      <c r="B2596" s="8" t="s">
        <v>2343</v>
      </c>
      <c r="C2596" s="8">
        <v>0</v>
      </c>
      <c r="D2596" s="8" t="s">
        <v>2322</v>
      </c>
    </row>
    <row r="2597" spans="1:4" ht="25" customHeight="1">
      <c r="A2597" s="12">
        <v>87</v>
      </c>
      <c r="B2597" s="8" t="s">
        <v>2344</v>
      </c>
      <c r="C2597" s="8">
        <v>0</v>
      </c>
      <c r="D2597" s="8" t="s">
        <v>2324</v>
      </c>
    </row>
    <row r="2598" spans="1:4" ht="25" customHeight="1">
      <c r="A2598" s="12">
        <v>88</v>
      </c>
      <c r="B2598" s="8" t="s">
        <v>2345</v>
      </c>
      <c r="C2598" s="8">
        <v>0</v>
      </c>
      <c r="D2598" s="8" t="s">
        <v>2322</v>
      </c>
    </row>
    <row r="2599" spans="1:4" ht="25" customHeight="1">
      <c r="A2599" s="12">
        <v>89</v>
      </c>
      <c r="B2599" s="8" t="s">
        <v>2346</v>
      </c>
      <c r="C2599" s="8">
        <v>0</v>
      </c>
      <c r="D2599" s="8" t="s">
        <v>2324</v>
      </c>
    </row>
    <row r="2600" spans="1:4" ht="25" customHeight="1">
      <c r="A2600" s="12">
        <v>90</v>
      </c>
      <c r="B2600" s="8" t="s">
        <v>2347</v>
      </c>
      <c r="C2600" s="8">
        <v>0</v>
      </c>
      <c r="D2600" s="8" t="s">
        <v>2322</v>
      </c>
    </row>
    <row r="2601" spans="1:4" ht="25" customHeight="1">
      <c r="A2601" s="12">
        <v>91</v>
      </c>
      <c r="B2601" s="8" t="s">
        <v>2348</v>
      </c>
      <c r="C2601" s="8">
        <v>0</v>
      </c>
      <c r="D2601" s="8" t="s">
        <v>2324</v>
      </c>
    </row>
    <row r="2602" spans="1:4" ht="25" customHeight="1">
      <c r="A2602" s="12">
        <v>92</v>
      </c>
      <c r="B2602" s="8" t="s">
        <v>2349</v>
      </c>
      <c r="C2602" s="8">
        <v>0</v>
      </c>
      <c r="D2602" s="8" t="s">
        <v>2322</v>
      </c>
    </row>
    <row r="2603" spans="1:4" ht="25" customHeight="1">
      <c r="A2603" s="12">
        <v>93</v>
      </c>
      <c r="B2603" s="8" t="s">
        <v>2350</v>
      </c>
      <c r="C2603" s="8">
        <v>0</v>
      </c>
      <c r="D2603" s="8" t="s">
        <v>2324</v>
      </c>
    </row>
    <row r="2604" spans="1:4" ht="25" customHeight="1">
      <c r="A2604" s="12">
        <v>94</v>
      </c>
      <c r="B2604" s="8" t="s">
        <v>2351</v>
      </c>
      <c r="C2604" s="8">
        <v>0</v>
      </c>
      <c r="D2604" s="8" t="s">
        <v>2322</v>
      </c>
    </row>
    <row r="2605" spans="1:4" ht="25" customHeight="1">
      <c r="A2605" s="12">
        <v>95</v>
      </c>
      <c r="B2605" s="8" t="s">
        <v>2352</v>
      </c>
      <c r="C2605" s="8">
        <v>0</v>
      </c>
      <c r="D2605" s="8" t="s">
        <v>2324</v>
      </c>
    </row>
    <row r="2606" spans="1:4" ht="25" customHeight="1">
      <c r="A2606" s="12">
        <v>96</v>
      </c>
      <c r="B2606" s="8" t="s">
        <v>2353</v>
      </c>
      <c r="C2606" s="8">
        <v>0</v>
      </c>
      <c r="D2606" s="8" t="s">
        <v>2322</v>
      </c>
    </row>
    <row r="2607" spans="1:4" ht="25" customHeight="1">
      <c r="A2607" s="12">
        <v>97</v>
      </c>
      <c r="B2607" s="8" t="s">
        <v>2354</v>
      </c>
      <c r="C2607" s="8">
        <v>0</v>
      </c>
      <c r="D2607" s="8" t="s">
        <v>2324</v>
      </c>
    </row>
    <row r="2608" spans="1:4" ht="25" customHeight="1">
      <c r="A2608" s="12">
        <v>98</v>
      </c>
      <c r="B2608" s="8" t="s">
        <v>2355</v>
      </c>
      <c r="C2608" s="8">
        <v>0</v>
      </c>
      <c r="D2608" s="8" t="s">
        <v>2322</v>
      </c>
    </row>
    <row r="2609" spans="1:4" ht="25" customHeight="1">
      <c r="A2609" s="12">
        <v>99</v>
      </c>
      <c r="B2609" s="8" t="s">
        <v>2356</v>
      </c>
      <c r="C2609" s="8">
        <v>0</v>
      </c>
      <c r="D2609" s="8" t="s">
        <v>2324</v>
      </c>
    </row>
    <row r="2610" spans="1:4" ht="25" customHeight="1">
      <c r="A2610" s="12">
        <v>100</v>
      </c>
      <c r="B2610" s="8" t="s">
        <v>2357</v>
      </c>
      <c r="C2610" s="8">
        <v>0</v>
      </c>
      <c r="D2610" s="8" t="s">
        <v>2322</v>
      </c>
    </row>
    <row r="2611" spans="1:4" ht="25" customHeight="1">
      <c r="A2611" s="12">
        <v>101</v>
      </c>
      <c r="B2611" s="8" t="s">
        <v>2358</v>
      </c>
      <c r="C2611" s="8">
        <v>0</v>
      </c>
      <c r="D2611" s="8" t="s">
        <v>2324</v>
      </c>
    </row>
    <row r="2612" spans="1:4" ht="25" customHeight="1">
      <c r="A2612" s="12">
        <v>102</v>
      </c>
      <c r="B2612" s="8" t="s">
        <v>2359</v>
      </c>
      <c r="C2612" s="8">
        <v>0</v>
      </c>
      <c r="D2612" s="8" t="s">
        <v>2322</v>
      </c>
    </row>
    <row r="2613" spans="1:4" ht="25" customHeight="1">
      <c r="A2613" s="12">
        <v>103</v>
      </c>
      <c r="B2613" s="8" t="s">
        <v>2360</v>
      </c>
      <c r="C2613" s="8">
        <v>0</v>
      </c>
      <c r="D2613" s="8" t="s">
        <v>2324</v>
      </c>
    </row>
    <row r="2614" spans="1:4" ht="25" customHeight="1">
      <c r="A2614" s="12">
        <v>104</v>
      </c>
      <c r="B2614" s="8" t="s">
        <v>2361</v>
      </c>
      <c r="C2614" s="8">
        <v>0</v>
      </c>
      <c r="D2614" s="8" t="s">
        <v>2322</v>
      </c>
    </row>
    <row r="2615" spans="1:4" ht="25" customHeight="1">
      <c r="A2615" s="12">
        <v>105</v>
      </c>
      <c r="B2615" s="8" t="s">
        <v>2362</v>
      </c>
      <c r="C2615" s="8">
        <v>0</v>
      </c>
      <c r="D2615" s="8" t="s">
        <v>2324</v>
      </c>
    </row>
    <row r="2616" spans="1:4" ht="25" customHeight="1">
      <c r="A2616" s="12">
        <v>106</v>
      </c>
      <c r="B2616" s="8" t="s">
        <v>2363</v>
      </c>
      <c r="C2616" s="8">
        <v>0</v>
      </c>
      <c r="D2616" s="8" t="s">
        <v>2322</v>
      </c>
    </row>
    <row r="2617" spans="1:4" ht="25" customHeight="1">
      <c r="A2617" s="12">
        <v>107</v>
      </c>
      <c r="B2617" s="8" t="s">
        <v>2364</v>
      </c>
      <c r="C2617" s="8">
        <v>0</v>
      </c>
      <c r="D2617" s="8" t="s">
        <v>2324</v>
      </c>
    </row>
    <row r="2618" spans="1:4" ht="25" customHeight="1">
      <c r="A2618" s="12">
        <v>108</v>
      </c>
      <c r="B2618" s="8" t="s">
        <v>2365</v>
      </c>
      <c r="C2618" s="8">
        <v>0</v>
      </c>
      <c r="D2618" s="8" t="s">
        <v>2322</v>
      </c>
    </row>
    <row r="2619" spans="1:4" ht="25" customHeight="1">
      <c r="A2619" s="12">
        <v>109</v>
      </c>
      <c r="B2619" s="8" t="s">
        <v>2366</v>
      </c>
      <c r="C2619" s="8">
        <v>0</v>
      </c>
      <c r="D2619" s="8" t="s">
        <v>2324</v>
      </c>
    </row>
    <row r="2620" spans="1:4" ht="25" customHeight="1">
      <c r="A2620" s="12">
        <v>110</v>
      </c>
      <c r="B2620" s="8" t="s">
        <v>2367</v>
      </c>
      <c r="C2620" s="8">
        <v>0</v>
      </c>
      <c r="D2620" s="8" t="s">
        <v>2322</v>
      </c>
    </row>
    <row r="2621" spans="1:4" ht="25" customHeight="1">
      <c r="A2621" s="12">
        <v>111</v>
      </c>
      <c r="B2621" s="8" t="s">
        <v>2368</v>
      </c>
      <c r="C2621" s="8">
        <v>0</v>
      </c>
      <c r="D2621" s="8" t="s">
        <v>2324</v>
      </c>
    </row>
    <row r="2622" spans="1:4" ht="25" customHeight="1">
      <c r="A2622" s="12">
        <v>112</v>
      </c>
      <c r="B2622" s="8" t="s">
        <v>2369</v>
      </c>
      <c r="C2622" s="8">
        <v>0</v>
      </c>
      <c r="D2622" s="8" t="s">
        <v>2322</v>
      </c>
    </row>
    <row r="2623" spans="1:4" ht="25" customHeight="1">
      <c r="A2623" s="12">
        <v>113</v>
      </c>
      <c r="B2623" s="8" t="s">
        <v>2370</v>
      </c>
      <c r="C2623" s="8">
        <v>0</v>
      </c>
      <c r="D2623" s="8" t="s">
        <v>2324</v>
      </c>
    </row>
    <row r="2624" spans="1:4" ht="25" customHeight="1">
      <c r="A2624" s="12">
        <v>114</v>
      </c>
      <c r="B2624" s="8" t="s">
        <v>2371</v>
      </c>
      <c r="C2624" s="8">
        <v>0</v>
      </c>
      <c r="D2624" s="8" t="s">
        <v>2322</v>
      </c>
    </row>
    <row r="2625" spans="1:4" ht="25" customHeight="1">
      <c r="A2625" s="12">
        <v>115</v>
      </c>
      <c r="B2625" s="8" t="s">
        <v>2372</v>
      </c>
      <c r="C2625" s="8">
        <v>0</v>
      </c>
      <c r="D2625" s="8" t="s">
        <v>2324</v>
      </c>
    </row>
    <row r="2626" spans="1:4" ht="25" customHeight="1">
      <c r="A2626" s="12">
        <v>116</v>
      </c>
      <c r="B2626" s="8" t="s">
        <v>2373</v>
      </c>
      <c r="C2626" s="8">
        <v>0</v>
      </c>
      <c r="D2626" s="8" t="s">
        <v>2322</v>
      </c>
    </row>
    <row r="2627" spans="1:4" ht="25" customHeight="1">
      <c r="A2627" s="12">
        <v>117</v>
      </c>
      <c r="B2627" s="8" t="s">
        <v>2374</v>
      </c>
      <c r="C2627" s="8">
        <v>0</v>
      </c>
      <c r="D2627" s="8" t="s">
        <v>2324</v>
      </c>
    </row>
    <row r="2628" spans="1:4" ht="25" customHeight="1">
      <c r="A2628" s="12">
        <v>119</v>
      </c>
      <c r="B2628" s="8" t="s">
        <v>2375</v>
      </c>
      <c r="C2628" s="8">
        <v>0</v>
      </c>
      <c r="D2628" s="8" t="s">
        <v>2376</v>
      </c>
    </row>
    <row r="2629" spans="1:4" ht="25" customHeight="1">
      <c r="A2629" s="12">
        <v>120</v>
      </c>
      <c r="B2629" s="8" t="s">
        <v>2377</v>
      </c>
      <c r="C2629" s="8">
        <v>0</v>
      </c>
      <c r="D2629" s="8" t="s">
        <v>2376</v>
      </c>
    </row>
    <row r="2630" spans="1:4" ht="25" customHeight="1">
      <c r="A2630" s="12">
        <v>123</v>
      </c>
      <c r="B2630" s="8" t="s">
        <v>2121</v>
      </c>
      <c r="C2630" s="8" t="s">
        <v>2072</v>
      </c>
      <c r="D2630" s="8" t="s">
        <v>2378</v>
      </c>
    </row>
  </sheetData>
  <sheetProtection sheet="1" objects="1" scenarios="1" autoFilter="0"/>
  <mergeCells count="54">
    <mergeCell ref="A1:M1"/>
    <mergeCell ref="A3:M3"/>
    <mergeCell ref="A1048:M1048"/>
    <mergeCell ref="A1049:M1049"/>
    <mergeCell ref="A1344:M1344"/>
    <mergeCell ref="A1345:M1345"/>
    <mergeCell ref="A1404:M1404"/>
    <mergeCell ref="A1405:M1405"/>
    <mergeCell ref="A1475:M1475"/>
    <mergeCell ref="A1476:M1476"/>
    <mergeCell ref="A1655:M1655"/>
    <mergeCell ref="A1656:M1656"/>
    <mergeCell ref="A1911:M1911"/>
    <mergeCell ref="A1912:M1912"/>
    <mergeCell ref="A1976:M1976"/>
    <mergeCell ref="A1977:M1977"/>
    <mergeCell ref="A2031:M2031"/>
    <mergeCell ref="A2032:M2032"/>
    <mergeCell ref="A2078:M2078"/>
    <mergeCell ref="A2079:M2079"/>
    <mergeCell ref="A2096:M2096"/>
    <mergeCell ref="A2097:M2097"/>
    <mergeCell ref="A2119:M2119"/>
    <mergeCell ref="A2120:M2120"/>
    <mergeCell ref="A2138:M2138"/>
    <mergeCell ref="A2139:M2139"/>
    <mergeCell ref="A2169:M2169"/>
    <mergeCell ref="A2170:M2170"/>
    <mergeCell ref="A2199:M2199"/>
    <mergeCell ref="A2200:M2200"/>
    <mergeCell ref="A2240:M2240"/>
    <mergeCell ref="A2241:M2241"/>
    <mergeCell ref="A2263:M2263"/>
    <mergeCell ref="A2264:M2264"/>
    <mergeCell ref="A2292:M2292"/>
    <mergeCell ref="A2293:M2293"/>
    <mergeCell ref="A2329:M2329"/>
    <mergeCell ref="A2330:M2330"/>
    <mergeCell ref="A2349:M2349"/>
    <mergeCell ref="A2350:M2350"/>
    <mergeCell ref="A2368:M2368"/>
    <mergeCell ref="A2369:M2369"/>
    <mergeCell ref="A2396:M2396"/>
    <mergeCell ref="A2397:M2397"/>
    <mergeCell ref="A2419:M2419"/>
    <mergeCell ref="A2420:M2420"/>
    <mergeCell ref="A2435:M2435"/>
    <mergeCell ref="A2436:M2436"/>
    <mergeCell ref="A2492:M2492"/>
    <mergeCell ref="A2493:M2493"/>
    <mergeCell ref="A2508:M2508"/>
    <mergeCell ref="A2509:M2509"/>
    <mergeCell ref="A39:R39"/>
    <mergeCell ref="A40:R40"/>
  </mergeCells>
  <hyperlinks>
    <hyperlink ref="A2" location="'START_HERE'!A1" display="START"/>
    <hyperlink ref="C2" location="'CALL_LOOKUP_BOARD'!A1" display="FIND A CALL"/>
    <hyperlink ref="F2" location="'HOT_CALL_RESPONSE_CARD'!A1" display="OPPONENT ALERTS"/>
    <hyperlink ref="I2" location="'PRACTICE_SCRIPT_BOARD'!A1" display="PRACTICE"/>
    <hyperlink ref="D8" location="'DEF_SELF_SCOUT_IMPORT'!A1048" display="View source output"/>
    <hyperlink ref="D9" location="'DEF_SELF_SCOUT_IMPORT'!A1344" display="View source output"/>
    <hyperlink ref="D10" location="'DEF_SELF_SCOUT_IMPORT'!A1404" display="View source output"/>
    <hyperlink ref="D11" location="'DEF_SELF_SCOUT_IMPORT'!A1475" display="View source output"/>
    <hyperlink ref="D12" location="'DEF_SELF_SCOUT_IMPORT'!A1655" display="View source output"/>
    <hyperlink ref="D13" location="'DEF_SELF_SCOUT_IMPORT'!A1911" display="View source output"/>
    <hyperlink ref="D14" location="'DEF_SELF_SCOUT_IMPORT'!A1976" display="View source output"/>
    <hyperlink ref="D15" location="'DEF_SELF_SCOUT_IMPORT'!A2031" display="View source output"/>
    <hyperlink ref="D16" location="'DEF_SELF_SCOUT_IMPORT'!A2078" display="View source output"/>
    <hyperlink ref="D17" location="'DEF_SELF_SCOUT_IMPORT'!A2096" display="View source output"/>
    <hyperlink ref="D18" location="'DEF_SELF_SCOUT_IMPORT'!A2119" display="View source output"/>
    <hyperlink ref="D19" location="'DEF_SELF_SCOUT_IMPORT'!A2138" display="View source output"/>
    <hyperlink ref="D20" location="'DEF_SELF_SCOUT_IMPORT'!A2169" display="View source output"/>
    <hyperlink ref="D21" location="'DEF_SELF_SCOUT_IMPORT'!A2199" display="View source output"/>
    <hyperlink ref="D22" location="'DEF_SELF_SCOUT_IMPORT'!A2240" display="View source output"/>
    <hyperlink ref="D23" location="'DEF_SELF_SCOUT_IMPORT'!A2263" display="View source output"/>
    <hyperlink ref="D24" location="'DEF_SELF_SCOUT_IMPORT'!A2292" display="View source output"/>
    <hyperlink ref="D25" location="'DEF_SELF_SCOUT_IMPORT'!A2329" display="View source output"/>
    <hyperlink ref="D26" location="'DEF_SELF_SCOUT_IMPORT'!A2349" display="View source output"/>
    <hyperlink ref="D27" location="'DEF_SELF_SCOUT_IMPORT'!A2368" display="View source output"/>
    <hyperlink ref="D28" location="'DEF_SELF_SCOUT_IMPORT'!A2396" display="View source output"/>
    <hyperlink ref="D29" location="'DEF_SELF_SCOUT_IMPORT'!A2419" display="View source output"/>
    <hyperlink ref="D30" location="'DEF_SELF_SCOUT_IMPORT'!A2435" display="View source output"/>
    <hyperlink ref="D31" location="'DEF_SELF_SCOUT_IMPORT'!A2492" display="View source output"/>
    <hyperlink ref="D32" location="'DEF_SELF_SCOUT_IMPORT'!A2508" display="View source output"/>
  </hyperlinks>
  <pageMargins left="0.25" right="0.25" top="0.35" bottom="0.35" header="0.3" footer="0.3"/>
  <pageSetup paperSize="1" fitToHeight="0" orientation="landscape"/>
  <headerFooter>
    <oddHeader>&amp;LWeekly Gameplan&amp;RFilm confirms the numbers</oddHeader>
    <oddFooter>&amp;LConcept call-fit candidates, not automatic calls&amp;RPage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78568"/>
    <pageSetUpPr fitToPage="1"/>
  </sheetPr>
  <dimension ref="A1:AE730"/>
  <sheetViews>
    <sheetView workbookViewId="0"/>
  </sheetViews>
  <sheetFormatPr defaultRowHeight="25" customHeight="1"/>
  <cols>
    <col min="1" max="1" width="28.7109375" customWidth="1"/>
    <col min="2" max="2" width="29.7109375" customWidth="1"/>
    <col min="3" max="3" width="11.7109375" customWidth="1"/>
    <col min="4" max="7" width="15.7109375" customWidth="1"/>
    <col min="8" max="10" width="22.7109375" customWidth="1"/>
    <col min="11" max="11" width="60.7109375" customWidth="1"/>
    <col min="12" max="12" width="29.7109375" customWidth="1"/>
    <col min="13" max="31" width="20.7109375" hidden="1" customWidth="1"/>
  </cols>
  <sheetData>
    <row r="1" spans="1:26" ht="36" customHeight="1">
      <c r="A1" s="1" t="s">
        <v>2431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26" ht="25" customHeight="1">
      <c r="A2" s="3" t="s">
        <v>1</v>
      </c>
      <c r="C2" s="3" t="s">
        <v>2</v>
      </c>
      <c r="F2" s="3" t="s">
        <v>3</v>
      </c>
      <c r="I2" s="3" t="s">
        <v>4</v>
      </c>
    </row>
    <row r="3" spans="1:26" ht="34" customHeight="1">
      <c r="A3" s="4" t="s">
        <v>2432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26" ht="25" customHeight="1">
      <c r="A4" s="3" t="s">
        <v>2717</v>
      </c>
      <c r="C4" s="3" t="s">
        <v>2718</v>
      </c>
      <c r="E4" s="3" t="s">
        <v>2719</v>
      </c>
    </row>
    <row r="5" spans="1:26" ht="25" customHeight="1">
      <c r="A5" s="3" t="s">
        <v>2720</v>
      </c>
      <c r="C5" s="3" t="s">
        <v>2721</v>
      </c>
      <c r="E5" s="3" t="s">
        <v>2722</v>
      </c>
    </row>
    <row r="6" spans="1:26" ht="30" customHeight="1">
      <c r="A6" s="6" t="s">
        <v>20</v>
      </c>
      <c r="B6" s="7" t="s">
        <v>2430</v>
      </c>
      <c r="D6" s="6" t="s">
        <v>23</v>
      </c>
      <c r="E6" s="7" t="s">
        <v>428</v>
      </c>
    </row>
    <row r="7" spans="1:26" ht="30" customHeight="1">
      <c r="A7" s="6" t="s">
        <v>2433</v>
      </c>
      <c r="B7" s="7">
        <v>4</v>
      </c>
      <c r="D7" s="6" t="s">
        <v>2434</v>
      </c>
      <c r="E7" s="7" t="s">
        <v>815</v>
      </c>
    </row>
    <row r="8" spans="1:26" ht="27" customHeight="1">
      <c r="A8" s="5" t="s">
        <v>2435</v>
      </c>
      <c r="B8" s="5"/>
      <c r="C8" s="5"/>
      <c r="D8" s="5"/>
      <c r="E8" s="5"/>
      <c r="F8" s="5"/>
    </row>
    <row r="9" spans="1:26" ht="28" customHeight="1">
      <c r="A9" s="6" t="str">
        <f>"Concept: "&amp;E6&amp;" | "&amp;B6</f>
        <v>Concept: INSIDE ZONE | All situations</v>
      </c>
      <c r="B9" s="6"/>
      <c r="C9" s="6"/>
      <c r="D9" s="6"/>
      <c r="E9" s="6"/>
      <c r="F9" s="6"/>
      <c r="W9" s="2">
        <f>IF($X$9="",0,IF($B$6="All situations",IFERROR(MATCH(LEN($X$9)&amp;":"&amp;$X$9&amp;"|",'DEF_CALL_DECISION_SUPPORT'!$U$1264:$U$1440,0)+1264-1,0),IFERROR(MATCH(LEN($B$6)&amp;":"&amp;$B$6&amp;"|"&amp;LEN($X$9)&amp;":"&amp;$X$9&amp;"|",'DEF_CALL_DECISION_SUPPORT'!$U$811:$U$1055,0)+811-1,0)))</f>
        <v>1380</v>
      </c>
      <c r="X9" s="2" t="str">
        <f>IF(Y9=0,"",IF(COUNTBLANK(INDEX($L$1:$L$730,Y9))=1,"",INDEX($L$1:$L$730,Y9)))</f>
        <v>OUTSIDE ZONE</v>
      </c>
      <c r="Y9" s="2">
        <f>IFERROR(MATCH($E$7,$A$67:$A$137,0)+67-1,0)</f>
        <v>96</v>
      </c>
      <c r="Z9" s="2">
        <f>IF($B$6="All situations",IFERROR(MATCH(LEN($E$6)&amp;":"&amp;$E$6&amp;"|",'DEF_CALL_DECISION_SUPPORT'!$U$1264:$U$1440,0)+1264-1,0),IFERROR(MATCH(LEN($B$6)&amp;":"&amp;$B$6&amp;"|"&amp;LEN($E$6)&amp;":"&amp;$E$6&amp;"|",'DEF_CALL_DECISION_SUPPORT'!$U$811:$U$1055,0)+811-1,0))</f>
        <v>1370</v>
      </c>
    </row>
    <row r="10" spans="1:26" ht="36" customHeight="1">
      <c r="A10" s="13" t="str">
        <f>"Concept candidate: "&amp;IF($Z$9=0,"No matching defensive reps",INDEX('DEF_CALL_DECISION_SUPPORT'!$A$1:$U$1496,$Z$9,2))</f>
        <v>Concept candidate: STUD</v>
      </c>
      <c r="B10" s="13"/>
      <c r="C10" s="13"/>
      <c r="D10" s="13"/>
      <c r="E10" s="13"/>
      <c r="F10" s="13"/>
    </row>
    <row r="11" spans="1:26" ht="25" customHeight="1">
      <c r="A11" s="6" t="s">
        <v>10</v>
      </c>
      <c r="B11" s="12">
        <f>IF($Z$9=0,"",INDEX('DEF_CALL_DECISION_SUPPORT'!$A$1:$U$1496,$Z$9,3))</f>
        <v>4</v>
      </c>
      <c r="C11" s="6" t="s">
        <v>16</v>
      </c>
      <c r="D11" s="14" t="str">
        <f>IF($Z$9=0,"",INDEX('DEF_CALL_DECISION_SUPPORT'!$A$1:$U$1496,$Z$9,9))</f>
        <v>MEDIUM</v>
      </c>
      <c r="E11" s="6" t="s">
        <v>2437</v>
      </c>
      <c r="F11" s="11">
        <f>IF($Z$9=0,"",INDEX('DEF_CALL_DECISION_SUPPORT'!$A$1:$U$1496,$Z$9,10))</f>
        <v>81.0</v>
      </c>
    </row>
    <row r="12" spans="1:26" ht="25" customHeight="1">
      <c r="A12" s="6" t="s">
        <v>2438</v>
      </c>
      <c r="B12" s="10">
        <f>IF($Z$9=0,"",INDEX('DEF_CALL_DECISION_SUPPORT'!$A$1:$U$1496,$Z$9,4))</f>
        <v>0.75</v>
      </c>
      <c r="C12" s="6" t="s">
        <v>2439</v>
      </c>
      <c r="D12" s="10">
        <f>IF($Z$9=0,"",INDEX('DEF_CALL_DECISION_SUPPORT'!$A$1:$U$1496,$Z$9,5))</f>
        <v>0.0</v>
      </c>
      <c r="E12" s="6" t="s">
        <v>2440</v>
      </c>
      <c r="F12" s="11">
        <f>IF($Z$9=0,"",INDEX('DEF_CALL_DECISION_SUPPORT'!$A$1:$U$1496,$Z$9,6))</f>
        <v>1.5</v>
      </c>
    </row>
    <row r="13" spans="1:26" ht="25" customHeight="1">
      <c r="A13" s="6" t="s">
        <v>2441</v>
      </c>
      <c r="B13" s="14" t="str">
        <f>IF($Z$9=0,"",INDEX('DEF_CALL_DECISION_SUPPORT'!$A$1:$U$1496,$Z$9,11))</f>
        <v>Strong Candidate</v>
      </c>
    </row>
    <row r="14" spans="1:26" ht="48" customHeight="1">
      <c r="A14" s="9" t="str">
        <f>IF($Z$9=0,"No matching defensive concept sample; film review required.",INDEX('DEF_CALL_DECISION_SUPPORT'!$A$1:$U$1496,$Z$9,12))</f>
        <v>Strong call-fit candidate; confirm on film.</v>
      </c>
      <c r="B14" s="9"/>
      <c r="C14" s="9"/>
      <c r="D14" s="9"/>
      <c r="E14" s="9"/>
      <c r="F14" s="9"/>
    </row>
    <row r="15" spans="1:26" ht="28" customHeight="1">
      <c r="A15" s="14" t="str">
        <f>"MATCHING SCOPE: "&amp;IF(Z9=0,"Film Review Required",IF(IF($Z$9=0,"",INDEX('DEF_CALL_DECISION_SUPPORT'!$A$1:$U$1496,$Z$9,3))&lt;4,"Sample Watch • ","")&amp;IF(B6="All situations","Broad Concept Proxy","D&amp;D + Concept Match"))</f>
        <v>MATCHING SCOPE: Broad Concept Proxy</v>
      </c>
      <c r="B15" s="14"/>
      <c r="C15" s="14"/>
      <c r="D15" s="14"/>
      <c r="E15" s="14"/>
      <c r="F15" s="14"/>
    </row>
    <row r="16" spans="1:26" ht="28" customHeight="1">
      <c r="A16" s="5" t="s">
        <v>2436</v>
      </c>
      <c r="B16" s="5"/>
      <c r="C16" s="5"/>
      <c r="D16" s="5"/>
      <c r="E16" s="5"/>
      <c r="F16" s="5"/>
    </row>
    <row r="17" spans="1:12" ht="28" customHeight="1">
      <c r="A17" s="6" t="str">
        <f>"Opponent Exact-Play Watch: "&amp;E7</f>
        <v>Opponent Exact-Play Watch: OZ STG READ</v>
      </c>
      <c r="B17" s="6"/>
      <c r="C17" s="6"/>
      <c r="D17" s="6"/>
      <c r="E17" s="6"/>
      <c r="F17" s="6"/>
    </row>
    <row r="18" spans="1:12" ht="36" customHeight="1">
      <c r="A18" s="13" t="str">
        <f>"Concept proxy candidate: "&amp;IF($W$9=0,"Film Review Required",INDEX('DEF_CALL_DECISION_SUPPORT'!$A$1:$U$1496,$W$9,2))</f>
        <v>Concept proxy candidate: BOURBON</v>
      </c>
      <c r="B18" s="13"/>
      <c r="C18" s="13"/>
      <c r="D18" s="13"/>
      <c r="E18" s="13"/>
      <c r="F18" s="13"/>
    </row>
    <row r="19" spans="1:12" ht="25" customHeight="1">
      <c r="A19" s="6" t="s">
        <v>2723</v>
      </c>
      <c r="B19" s="12">
        <f>IF($W$9=0,"",INDEX('DEF_CALL_DECISION_SUPPORT'!$A$1:$U$1496,$W$9,3))</f>
        <v>3</v>
      </c>
      <c r="C19" s="6" t="s">
        <v>16</v>
      </c>
      <c r="D19" s="14" t="str">
        <f>IF($W$9=0,"",INDEX('DEF_CALL_DECISION_SUPPORT'!$A$1:$U$1496,$W$9,9))</f>
        <v>LOW</v>
      </c>
      <c r="E19" s="6" t="s">
        <v>2724</v>
      </c>
      <c r="F19" s="11">
        <f>IF($W$9=0,"",INDEX('DEF_CALL_DECISION_SUPPORT'!$A$1:$U$1496,$W$9,10))</f>
        <v>48.0</v>
      </c>
    </row>
    <row r="20" spans="1:12" ht="25" customHeight="1">
      <c r="A20" s="6" t="s">
        <v>2725</v>
      </c>
      <c r="B20" s="10">
        <f>IF($W$9=0,"",INDEX('DEF_CALL_DECISION_SUPPORT'!$A$1:$U$1496,$W$9,4))</f>
        <v>0.3333333333333333</v>
      </c>
      <c r="C20" s="6" t="s">
        <v>2726</v>
      </c>
      <c r="D20" s="10">
        <f>IF($W$9=0,"",INDEX('DEF_CALL_DECISION_SUPPORT'!$A$1:$U$1496,$W$9,5))</f>
        <v>0.0</v>
      </c>
      <c r="E20" s="6" t="s">
        <v>2727</v>
      </c>
      <c r="F20" s="11">
        <f>IF($W$9=0,"",INDEX('DEF_CALL_DECISION_SUPPORT'!$A$1:$U$1496,$W$9,6))</f>
        <v>5.333333333333333</v>
      </c>
    </row>
    <row r="21" spans="1:12" ht="28" customHeight="1">
      <c r="A21" s="14" t="str">
        <f>"MATCHING SCOPE: No Defensive Exact-Play Sample • "&amp;IF(W9=0,"Film Review Required",IF(IF($W$9=0,"",INDEX('DEF_CALL_DECISION_SUPPORT'!$A$1:$U$1496,$W$9,3))&lt;4,"Sample Watch • ","")&amp;IF(B6="All situations","Broad Concept Proxy","D&amp;D + Concept Match • Concept Proxy"))</f>
        <v>MATCHING SCOPE: No Defensive Exact-Play Sample • Sample Watch • Broad Concept Proxy</v>
      </c>
      <c r="B21" s="14"/>
      <c r="C21" s="14"/>
      <c r="D21" s="14"/>
      <c r="E21" s="14"/>
      <c r="F21" s="14"/>
    </row>
    <row r="22" spans="1:12" ht="48" customHeight="1">
      <c r="A22" s="9" t="str">
        <f>"Opponent-only exact-play watch. "&amp;IF(X9="","Confirm the concept in the exact-play section; film review required.","Proxy concept: "&amp;X9&amp;". These metrics are not proof against the named play.")</f>
        <v>Opponent-only exact-play watch. Proxy concept: OUTSIDE ZONE. These metrics are not proof against the named play.</v>
      </c>
      <c r="B22" s="9"/>
      <c r="C22" s="9"/>
      <c r="D22" s="9"/>
      <c r="E22" s="9"/>
      <c r="F22" s="9"/>
    </row>
    <row r="30" spans="1:12" ht="27" customHeight="1">
      <c r="A30" s="5" t="s">
        <v>2442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6" customHeight="1">
      <c r="A31" s="9" t="s">
        <v>2443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46" customHeight="1">
      <c r="A32" s="6" t="s">
        <v>23</v>
      </c>
      <c r="B32" s="6" t="s">
        <v>2444</v>
      </c>
      <c r="C32" s="6" t="s">
        <v>10</v>
      </c>
      <c r="D32" s="6" t="s">
        <v>11</v>
      </c>
      <c r="E32" s="6" t="s">
        <v>12</v>
      </c>
      <c r="F32" s="6" t="s">
        <v>13</v>
      </c>
      <c r="G32" s="6" t="s">
        <v>17</v>
      </c>
      <c r="H32" s="6" t="s">
        <v>16</v>
      </c>
      <c r="I32" s="6" t="s">
        <v>18</v>
      </c>
      <c r="J32" s="6" t="s">
        <v>2445</v>
      </c>
      <c r="K32" s="6" t="s">
        <v>19</v>
      </c>
      <c r="L32" s="6" t="s">
        <v>2446</v>
      </c>
    </row>
    <row r="33" spans="1:26" ht="50" customHeight="1">
      <c r="A33" s="8" t="s">
        <v>446</v>
      </c>
      <c r="B33" s="8" t="str">
        <f>IF($Z33=0,"Film Review Required",INDEX('DEF_CALL_DECISION_SUPPORT'!$A$1:$U$1496,$Z33,2))</f>
        <v>REBEL</v>
      </c>
      <c r="C33" s="12">
        <f>IF($Z33=0,"",INDEX('DEF_CALL_DECISION_SUPPORT'!$A$1:$U$1496,$Z33,3))</f>
        <v>4</v>
      </c>
      <c r="D33" s="10">
        <f>IF($Z33=0,"",INDEX('DEF_CALL_DECISION_SUPPORT'!$A$1:$U$1496,$Z33,4))</f>
        <v>0.75</v>
      </c>
      <c r="E33" s="10">
        <f>IF($Z33=0,"",INDEX('DEF_CALL_DECISION_SUPPORT'!$A$1:$U$1496,$Z33,5))</f>
        <v>0.0</v>
      </c>
      <c r="F33" s="11">
        <f>IF($Z33=0,"",INDEX('DEF_CALL_DECISION_SUPPORT'!$A$1:$U$1496,$Z33,6))</f>
        <v>3.75</v>
      </c>
      <c r="G33" s="11">
        <f>IF($Z33=0,"",INDEX('DEF_CALL_DECISION_SUPPORT'!$A$1:$U$1496,$Z33,10))</f>
        <v>78.8</v>
      </c>
      <c r="H33" s="14" t="str">
        <f>IF($Z33=0,"",INDEX('DEF_CALL_DECISION_SUPPORT'!$A$1:$U$1496,$Z33,9))</f>
        <v>MEDIUM</v>
      </c>
      <c r="I33" s="14" t="str">
        <f>IF($Z33=0,"",INDEX('DEF_CALL_DECISION_SUPPORT'!$A$1:$U$1496,$Z33,11))</f>
        <v>Good Candidate</v>
      </c>
      <c r="J33" s="14" t="str">
        <f>IF(Z33=0,"Film Review Required",IF(C33&lt;4,"Sample Watch • ","")&amp;"Broad Concept Proxy")</f>
        <v>Broad Concept Proxy</v>
      </c>
      <c r="K33" s="9" t="str">
        <f>IF($Z33=0,"No matching defensive reps; film confirmation needed.",INDEX('DEF_CALL_DECISION_SUPPORT'!$A$1:$U$1496,$Z33,12))</f>
        <v>Good call-fit signal; confirm on film.</v>
      </c>
      <c r="Z33" s="2">
        <f>IFERROR(MATCH(LEN($A33)&amp;":"&amp;$A33&amp;"|",'DEF_CALL_DECISION_SUPPORT'!$U$1264:$U$1440,0)+1264-1,0)</f>
        <v>1275</v>
      </c>
    </row>
    <row r="34" spans="1:26" ht="50" customHeight="1">
      <c r="A34" s="8" t="s">
        <v>449</v>
      </c>
      <c r="B34" s="8" t="str">
        <f>IF($Z34=0,"Film Review Required",INDEX('DEF_CALL_DECISION_SUPPORT'!$A$1:$U$1496,$Z34,2))</f>
        <v>RAMBO</v>
      </c>
      <c r="C34" s="12">
        <f>IF($Z34=0,"",INDEX('DEF_CALL_DECISION_SUPPORT'!$A$1:$U$1496,$Z34,3))</f>
        <v>4</v>
      </c>
      <c r="D34" s="10">
        <f>IF($Z34=0,"",INDEX('DEF_CALL_DECISION_SUPPORT'!$A$1:$U$1496,$Z34,4))</f>
        <v>1.0</v>
      </c>
      <c r="E34" s="10">
        <f>IF($Z34=0,"",INDEX('DEF_CALL_DECISION_SUPPORT'!$A$1:$U$1496,$Z34,5))</f>
        <v>0.0</v>
      </c>
      <c r="F34" s="11">
        <f>IF($Z34=0,"",INDEX('DEF_CALL_DECISION_SUPPORT'!$A$1:$U$1496,$Z34,6))</f>
        <v>1.0</v>
      </c>
      <c r="G34" s="11">
        <f>IF($Z34=0,"",INDEX('DEF_CALL_DECISION_SUPPORT'!$A$1:$U$1496,$Z34,10))</f>
        <v>99.0</v>
      </c>
      <c r="H34" s="14" t="str">
        <f>IF($Z34=0,"",INDEX('DEF_CALL_DECISION_SUPPORT'!$A$1:$U$1496,$Z34,9))</f>
        <v>MEDIUM</v>
      </c>
      <c r="I34" s="14" t="str">
        <f>IF($Z34=0,"",INDEX('DEF_CALL_DECISION_SUPPORT'!$A$1:$U$1496,$Z34,11))</f>
        <v>Strong Candidate</v>
      </c>
      <c r="J34" s="14" t="str">
        <f>IF(Z34=0,"Film Review Required",IF(C34&lt;4,"Sample Watch • ","")&amp;"Broad Concept Proxy")</f>
        <v>Broad Concept Proxy</v>
      </c>
      <c r="K34" s="9" t="str">
        <f>IF($Z34=0,"No matching defensive reps; film confirmation needed.",INDEX('DEF_CALL_DECISION_SUPPORT'!$A$1:$U$1496,$Z34,12))</f>
        <v>Strong call-fit candidate; confirm on film.</v>
      </c>
      <c r="Z34" s="2">
        <f>IFERROR(MATCH(LEN($A34)&amp;":"&amp;$A34&amp;"|",'DEF_CALL_DECISION_SUPPORT'!$U$1264:$U$1440,0)+1264-1,0)</f>
        <v>1306</v>
      </c>
    </row>
    <row r="35" spans="1:26" ht="50" customHeight="1">
      <c r="A35" s="8" t="s">
        <v>487</v>
      </c>
      <c r="B35" s="8" t="str">
        <f>IF($Z35=0,"Film Review Required",INDEX('DEF_CALL_DECISION_SUPPORT'!$A$1:$U$1496,$Z35,2))</f>
        <v>GOLD</v>
      </c>
      <c r="C35" s="12">
        <f>IF($Z35=0,"",INDEX('DEF_CALL_DECISION_SUPPORT'!$A$1:$U$1496,$Z35,3))</f>
        <v>1</v>
      </c>
      <c r="D35" s="10">
        <f>IF($Z35=0,"",INDEX('DEF_CALL_DECISION_SUPPORT'!$A$1:$U$1496,$Z35,4))</f>
        <v>0.0</v>
      </c>
      <c r="E35" s="10">
        <f>IF($Z35=0,"",INDEX('DEF_CALL_DECISION_SUPPORT'!$A$1:$U$1496,$Z35,5))</f>
        <v>0.0</v>
      </c>
      <c r="F35" s="11">
        <f>IF($Z35=0,"",INDEX('DEF_CALL_DECISION_SUPPORT'!$A$1:$U$1496,$Z35,6))</f>
        <v>1.0</v>
      </c>
      <c r="G35" s="11">
        <f>IF($Z35=0,"",INDEX('DEF_CALL_DECISION_SUPPORT'!$A$1:$U$1496,$Z35,10))</f>
        <v>29.0</v>
      </c>
      <c r="H35" s="14" t="str">
        <f>IF($Z35=0,"",INDEX('DEF_CALL_DECISION_SUPPORT'!$A$1:$U$1496,$Z35,9))</f>
        <v>TRACK</v>
      </c>
      <c r="I35" s="14" t="str">
        <f>IF($Z35=0,"",INDEX('DEF_CALL_DECISION_SUPPORT'!$A$1:$U$1496,$Z35,11))</f>
        <v>Track Only</v>
      </c>
      <c r="J35" s="14" t="str">
        <f>IF(Z35=0,"Film Review Required",IF(C35&lt;4,"Sample Watch • ","")&amp;"Broad Concept Proxy")</f>
        <v>Sample Watch • Broad Concept Proxy</v>
      </c>
      <c r="K35" s="9" t="str">
        <f>IF($Z35=0,"No matching defensive reps; film confirmation needed.",INDEX('DEF_CALL_DECISION_SUPPORT'!$A$1:$U$1496,$Z35,12))</f>
        <v>Track only; not enough sample.</v>
      </c>
      <c r="Z35" s="2">
        <f>IFERROR(MATCH(LEN($A35)&amp;":"&amp;$A35&amp;"|",'DEF_CALL_DECISION_SUPPORT'!$U$1264:$U$1440,0)+1264-1,0)</f>
        <v>1321</v>
      </c>
    </row>
    <row r="36" spans="1:26" ht="50" customHeight="1">
      <c r="A36" s="8" t="s">
        <v>452</v>
      </c>
      <c r="B36" s="8" t="str">
        <f>IF($Z36=0,"Film Review Required",INDEX('DEF_CALL_DECISION_SUPPORT'!$A$1:$U$1496,$Z36,2))</f>
        <v>KEY CAPTAIN</v>
      </c>
      <c r="C36" s="12">
        <f>IF($Z36=0,"",INDEX('DEF_CALL_DECISION_SUPPORT'!$A$1:$U$1496,$Z36,3))</f>
        <v>1</v>
      </c>
      <c r="D36" s="10">
        <f>IF($Z36=0,"",INDEX('DEF_CALL_DECISION_SUPPORT'!$A$1:$U$1496,$Z36,4))</f>
        <v>1.0</v>
      </c>
      <c r="E36" s="10">
        <f>IF($Z36=0,"",INDEX('DEF_CALL_DECISION_SUPPORT'!$A$1:$U$1496,$Z36,5))</f>
        <v>0.0</v>
      </c>
      <c r="F36" s="11">
        <f>IF($Z36=0,"",INDEX('DEF_CALL_DECISION_SUPPORT'!$A$1:$U$1496,$Z36,6))</f>
        <v>0.0</v>
      </c>
      <c r="G36" s="11">
        <f>IF($Z36=0,"",INDEX('DEF_CALL_DECISION_SUPPORT'!$A$1:$U$1496,$Z36,10))</f>
        <v>100.0</v>
      </c>
      <c r="H36" s="14" t="str">
        <f>IF($Z36=0,"",INDEX('DEF_CALL_DECISION_SUPPORT'!$A$1:$U$1496,$Z36,9))</f>
        <v>TRACK</v>
      </c>
      <c r="I36" s="14" t="str">
        <f>IF($Z36=0,"",INDEX('DEF_CALL_DECISION_SUPPORT'!$A$1:$U$1496,$Z36,11))</f>
        <v>Track Only</v>
      </c>
      <c r="J36" s="14" t="str">
        <f>IF(Z36=0,"Film Review Required",IF(C36&lt;4,"Sample Watch • ","")&amp;"Broad Concept Proxy")</f>
        <v>Sample Watch • Broad Concept Proxy</v>
      </c>
      <c r="K36" s="9" t="str">
        <f>IF($Z36=0,"No matching defensive reps; film confirmation needed.",INDEX('DEF_CALL_DECISION_SUPPORT'!$A$1:$U$1496,$Z36,12))</f>
        <v>Track only; not enough sample.</v>
      </c>
      <c r="Z36" s="2">
        <f>IFERROR(MATCH(LEN($A36)&amp;":"&amp;$A36&amp;"|",'DEF_CALL_DECISION_SUPPORT'!$U$1264:$U$1440,0)+1264-1,0)</f>
        <v>1322</v>
      </c>
    </row>
    <row r="37" spans="1:26" ht="50" customHeight="1">
      <c r="A37" s="8" t="s">
        <v>432</v>
      </c>
      <c r="B37" s="8" t="str">
        <f>IF($Z37=0,"Film Review Required",INDEX('DEF_CALL_DECISION_SUPPORT'!$A$1:$U$1496,$Z37,2))</f>
        <v>BOOGIE</v>
      </c>
      <c r="C37" s="12">
        <f>IF($Z37=0,"",INDEX('DEF_CALL_DECISION_SUPPORT'!$A$1:$U$1496,$Z37,3))</f>
        <v>2</v>
      </c>
      <c r="D37" s="10">
        <f>IF($Z37=0,"",INDEX('DEF_CALL_DECISION_SUPPORT'!$A$1:$U$1496,$Z37,4))</f>
        <v>0.5</v>
      </c>
      <c r="E37" s="10">
        <f>IF($Z37=0,"",INDEX('DEF_CALL_DECISION_SUPPORT'!$A$1:$U$1496,$Z37,5))</f>
        <v>0.0</v>
      </c>
      <c r="F37" s="11">
        <f>IF($Z37=0,"",INDEX('DEF_CALL_DECISION_SUPPORT'!$A$1:$U$1496,$Z37,6))</f>
        <v>5.0</v>
      </c>
      <c r="G37" s="11">
        <f>IF($Z37=0,"",INDEX('DEF_CALL_DECISION_SUPPORT'!$A$1:$U$1496,$Z37,10))</f>
        <v>60.0</v>
      </c>
      <c r="H37" s="14" t="str">
        <f>IF($Z37=0,"",INDEX('DEF_CALL_DECISION_SUPPORT'!$A$1:$U$1496,$Z37,9))</f>
        <v>TRACK</v>
      </c>
      <c r="I37" s="14" t="str">
        <f>IF($Z37=0,"",INDEX('DEF_CALL_DECISION_SUPPORT'!$A$1:$U$1496,$Z37,11))</f>
        <v>Track Only</v>
      </c>
      <c r="J37" s="14" t="str">
        <f>IF(Z37=0,"Film Review Required",IF(C37&lt;4,"Sample Watch • ","")&amp;"Broad Concept Proxy")</f>
        <v>Sample Watch • Broad Concept Proxy</v>
      </c>
      <c r="K37" s="9" t="str">
        <f>IF($Z37=0,"No matching defensive reps; film confirmation needed.",INDEX('DEF_CALL_DECISION_SUPPORT'!$A$1:$U$1496,$Z37,12))</f>
        <v>Track only; not enough sample.</v>
      </c>
      <c r="Z37" s="2">
        <f>IFERROR(MATCH(LEN($A37)&amp;":"&amp;$A37&amp;"|",'DEF_CALL_DECISION_SUPPORT'!$U$1264:$U$1440,0)+1264-1,0)</f>
        <v>1325</v>
      </c>
    </row>
    <row r="38" spans="1:26" ht="50" customHeight="1">
      <c r="A38" s="8" t="s">
        <v>605</v>
      </c>
      <c r="B38" s="8" t="str">
        <f>IF($Z38=0,"Film Review Required",INDEX('DEF_CALL_DECISION_SUPPORT'!$A$1:$U$1496,$Z38,2))</f>
        <v>RAMBO</v>
      </c>
      <c r="C38" s="12">
        <f>IF($Z38=0,"",INDEX('DEF_CALL_DECISION_SUPPORT'!$A$1:$U$1496,$Z38,3))</f>
        <v>1</v>
      </c>
      <c r="D38" s="10">
        <f>IF($Z38=0,"",INDEX('DEF_CALL_DECISION_SUPPORT'!$A$1:$U$1496,$Z38,4))</f>
        <v>1.0</v>
      </c>
      <c r="E38" s="10">
        <f>IF($Z38=0,"",INDEX('DEF_CALL_DECISION_SUPPORT'!$A$1:$U$1496,$Z38,5))</f>
        <v>0.0</v>
      </c>
      <c r="F38" s="11">
        <f>IF($Z38=0,"",INDEX('DEF_CALL_DECISION_SUPPORT'!$A$1:$U$1496,$Z38,6))</f>
        <v>0.0</v>
      </c>
      <c r="G38" s="11">
        <f>IF($Z38=0,"",INDEX('DEF_CALL_DECISION_SUPPORT'!$A$1:$U$1496,$Z38,10))</f>
        <v>100.0</v>
      </c>
      <c r="H38" s="14" t="str">
        <f>IF($Z38=0,"",INDEX('DEF_CALL_DECISION_SUPPORT'!$A$1:$U$1496,$Z38,9))</f>
        <v>TRACK</v>
      </c>
      <c r="I38" s="14" t="str">
        <f>IF($Z38=0,"",INDEX('DEF_CALL_DECISION_SUPPORT'!$A$1:$U$1496,$Z38,11))</f>
        <v>Track Only</v>
      </c>
      <c r="J38" s="14" t="str">
        <f>IF(Z38=0,"Film Review Required",IF(C38&lt;4,"Sample Watch • ","")&amp;"Broad Concept Proxy")</f>
        <v>Sample Watch • Broad Concept Proxy</v>
      </c>
      <c r="K38" s="9" t="str">
        <f>IF($Z38=0,"No matching defensive reps; film confirmation needed.",INDEX('DEF_CALL_DECISION_SUPPORT'!$A$1:$U$1496,$Z38,12))</f>
        <v>Track only; not enough sample.</v>
      </c>
      <c r="Z38" s="2">
        <f>IFERROR(MATCH(LEN($A38)&amp;":"&amp;$A38&amp;"|",'DEF_CALL_DECISION_SUPPORT'!$U$1264:$U$1440,0)+1264-1,0)</f>
        <v>1337</v>
      </c>
    </row>
    <row r="39" spans="1:26" ht="50" customHeight="1">
      <c r="A39" s="8" t="s">
        <v>608</v>
      </c>
      <c r="B39" s="8" t="str">
        <f>IF($Z39=0,"Film Review Required",INDEX('DEF_CALL_DECISION_SUPPORT'!$A$1:$U$1496,$Z39,2))</f>
        <v>BOURBON</v>
      </c>
      <c r="C39" s="12">
        <f>IF($Z39=0,"",INDEX('DEF_CALL_DECISION_SUPPORT'!$A$1:$U$1496,$Z39,3))</f>
        <v>1</v>
      </c>
      <c r="D39" s="10">
        <f>IF($Z39=0,"",INDEX('DEF_CALL_DECISION_SUPPORT'!$A$1:$U$1496,$Z39,4))</f>
        <v>0.0</v>
      </c>
      <c r="E39" s="10">
        <f>IF($Z39=0,"",INDEX('DEF_CALL_DECISION_SUPPORT'!$A$1:$U$1496,$Z39,5))</f>
        <v>1.0</v>
      </c>
      <c r="F39" s="11">
        <f>IF($Z39=0,"",INDEX('DEF_CALL_DECISION_SUPPORT'!$A$1:$U$1496,$Z39,6))</f>
        <v>14.0</v>
      </c>
      <c r="G39" s="11">
        <f>IF($Z39=0,"",INDEX('DEF_CALL_DECISION_SUPPORT'!$A$1:$U$1496,$Z39,10))</f>
        <v>0.0</v>
      </c>
      <c r="H39" s="14" t="str">
        <f>IF($Z39=0,"",INDEX('DEF_CALL_DECISION_SUPPORT'!$A$1:$U$1496,$Z39,9))</f>
        <v>TRACK</v>
      </c>
      <c r="I39" s="14" t="str">
        <f>IF($Z39=0,"",INDEX('DEF_CALL_DECISION_SUPPORT'!$A$1:$U$1496,$Z39,11))</f>
        <v>Explosive Alert</v>
      </c>
      <c r="J39" s="14" t="str">
        <f>IF(Z39=0,"Film Review Required",IF(C39&lt;4,"Sample Watch • ","")&amp;"Broad Concept Proxy")</f>
        <v>Sample Watch • Broad Concept Proxy</v>
      </c>
      <c r="K39" s="9" t="str">
        <f>IF($Z39=0,"No matching defensive reps; film confirmation needed.",INDEX('DEF_CALL_DECISION_SUPPORT'!$A$1:$U$1496,$Z39,12))</f>
        <v>Explosive risk; review clips before using as answer.</v>
      </c>
      <c r="Z39" s="2">
        <f>IFERROR(MATCH(LEN($A39)&amp;":"&amp;$A39&amp;"|",'DEF_CALL_DECISION_SUPPORT'!$U$1264:$U$1440,0)+1264-1,0)</f>
        <v>1338</v>
      </c>
    </row>
    <row r="40" spans="1:26" ht="50" customHeight="1">
      <c r="A40" s="8" t="s">
        <v>457</v>
      </c>
      <c r="B40" s="8" t="str">
        <f>IF($Z40=0,"Film Review Required",INDEX('DEF_CALL_DECISION_SUPPORT'!$A$1:$U$1496,$Z40,2))</f>
        <v>SHINE BUC</v>
      </c>
      <c r="C40" s="12">
        <f>IF($Z40=0,"",INDEX('DEF_CALL_DECISION_SUPPORT'!$A$1:$U$1496,$Z40,3))</f>
        <v>1</v>
      </c>
      <c r="D40" s="10">
        <f>IF($Z40=0,"",INDEX('DEF_CALL_DECISION_SUPPORT'!$A$1:$U$1496,$Z40,4))</f>
        <v>1.0</v>
      </c>
      <c r="E40" s="10">
        <f>IF($Z40=0,"",INDEX('DEF_CALL_DECISION_SUPPORT'!$A$1:$U$1496,$Z40,5))</f>
        <v>0.0</v>
      </c>
      <c r="F40" s="11">
        <f>IF($Z40=0,"",INDEX('DEF_CALL_DECISION_SUPPORT'!$A$1:$U$1496,$Z40,6))</f>
        <v>3.0</v>
      </c>
      <c r="G40" s="11">
        <f>IF($Z40=0,"",INDEX('DEF_CALL_DECISION_SUPPORT'!$A$1:$U$1496,$Z40,10))</f>
        <v>97.0</v>
      </c>
      <c r="H40" s="14" t="str">
        <f>IF($Z40=0,"",INDEX('DEF_CALL_DECISION_SUPPORT'!$A$1:$U$1496,$Z40,9))</f>
        <v>TRACK</v>
      </c>
      <c r="I40" s="14" t="str">
        <f>IF($Z40=0,"",INDEX('DEF_CALL_DECISION_SUPPORT'!$A$1:$U$1496,$Z40,11))</f>
        <v>Track Only</v>
      </c>
      <c r="J40" s="14" t="str">
        <f>IF(Z40=0,"Film Review Required",IF(C40&lt;4,"Sample Watch • ","")&amp;"Broad Concept Proxy")</f>
        <v>Sample Watch • Broad Concept Proxy</v>
      </c>
      <c r="K40" s="9" t="str">
        <f>IF($Z40=0,"No matching defensive reps; film confirmation needed.",INDEX('DEF_CALL_DECISION_SUPPORT'!$A$1:$U$1496,$Z40,12))</f>
        <v>Track only; not enough sample.</v>
      </c>
      <c r="Z40" s="2">
        <f>IFERROR(MATCH(LEN($A40)&amp;":"&amp;$A40&amp;"|",'DEF_CALL_DECISION_SUPPORT'!$U$1264:$U$1440,0)+1264-1,0)</f>
        <v>1339</v>
      </c>
    </row>
    <row r="41" spans="1:26" ht="50" customHeight="1">
      <c r="A41" s="8" t="s">
        <v>611</v>
      </c>
      <c r="B41" s="8" t="str">
        <f>IF($Z41=0,"Film Review Required",INDEX('DEF_CALL_DECISION_SUPPORT'!$A$1:$U$1496,$Z41,2))</f>
        <v>SWAP</v>
      </c>
      <c r="C41" s="12">
        <f>IF($Z41=0,"",INDEX('DEF_CALL_DECISION_SUPPORT'!$A$1:$U$1496,$Z41,3))</f>
        <v>1</v>
      </c>
      <c r="D41" s="10">
        <f>IF($Z41=0,"",INDEX('DEF_CALL_DECISION_SUPPORT'!$A$1:$U$1496,$Z41,4))</f>
        <v>1.0</v>
      </c>
      <c r="E41" s="10">
        <f>IF($Z41=0,"",INDEX('DEF_CALL_DECISION_SUPPORT'!$A$1:$U$1496,$Z41,5))</f>
        <v>0.0</v>
      </c>
      <c r="F41" s="11">
        <f>IF($Z41=0,"",INDEX('DEF_CALL_DECISION_SUPPORT'!$A$1:$U$1496,$Z41,6))</f>
        <v>3.0</v>
      </c>
      <c r="G41" s="11">
        <f>IF($Z41=0,"",INDEX('DEF_CALL_DECISION_SUPPORT'!$A$1:$U$1496,$Z41,10))</f>
        <v>97.0</v>
      </c>
      <c r="H41" s="14" t="str">
        <f>IF($Z41=0,"",INDEX('DEF_CALL_DECISION_SUPPORT'!$A$1:$U$1496,$Z41,9))</f>
        <v>TRACK</v>
      </c>
      <c r="I41" s="14" t="str">
        <f>IF($Z41=0,"",INDEX('DEF_CALL_DECISION_SUPPORT'!$A$1:$U$1496,$Z41,11))</f>
        <v>Track Only</v>
      </c>
      <c r="J41" s="14" t="str">
        <f>IF(Z41=0,"Film Review Required",IF(C41&lt;4,"Sample Watch • ","")&amp;"Broad Concept Proxy")</f>
        <v>Sample Watch • Broad Concept Proxy</v>
      </c>
      <c r="K41" s="9" t="str">
        <f>IF($Z41=0,"No matching defensive reps; film confirmation needed.",INDEX('DEF_CALL_DECISION_SUPPORT'!$A$1:$U$1496,$Z41,12))</f>
        <v>Track only; not enough sample.</v>
      </c>
      <c r="Z41" s="2">
        <f>IFERROR(MATCH(LEN($A41)&amp;":"&amp;$A41&amp;"|",'DEF_CALL_DECISION_SUPPORT'!$U$1264:$U$1440,0)+1264-1,0)</f>
        <v>1340</v>
      </c>
    </row>
    <row r="42" spans="1:26" ht="50" customHeight="1">
      <c r="A42" s="8" t="s">
        <v>460</v>
      </c>
      <c r="B42" s="8" t="str">
        <f>IF($Z42=0,"Film Review Required",INDEX('DEF_CALL_DECISION_SUPPORT'!$A$1:$U$1496,$Z42,2))</f>
        <v>KEY CAPTAIN</v>
      </c>
      <c r="C42" s="12">
        <f>IF($Z42=0,"",INDEX('DEF_CALL_DECISION_SUPPORT'!$A$1:$U$1496,$Z42,3))</f>
        <v>1</v>
      </c>
      <c r="D42" s="10">
        <f>IF($Z42=0,"",INDEX('DEF_CALL_DECISION_SUPPORT'!$A$1:$U$1496,$Z42,4))</f>
        <v>1.0</v>
      </c>
      <c r="E42" s="10">
        <f>IF($Z42=0,"",INDEX('DEF_CALL_DECISION_SUPPORT'!$A$1:$U$1496,$Z42,5))</f>
        <v>0.0</v>
      </c>
      <c r="F42" s="11">
        <f>IF($Z42=0,"",INDEX('DEF_CALL_DECISION_SUPPORT'!$A$1:$U$1496,$Z42,6))</f>
        <v>2.0</v>
      </c>
      <c r="G42" s="11">
        <f>IF($Z42=0,"",INDEX('DEF_CALL_DECISION_SUPPORT'!$A$1:$U$1496,$Z42,10))</f>
        <v>98.0</v>
      </c>
      <c r="H42" s="14" t="str">
        <f>IF($Z42=0,"",INDEX('DEF_CALL_DECISION_SUPPORT'!$A$1:$U$1496,$Z42,9))</f>
        <v>TRACK</v>
      </c>
      <c r="I42" s="14" t="str">
        <f>IF($Z42=0,"",INDEX('DEF_CALL_DECISION_SUPPORT'!$A$1:$U$1496,$Z42,11))</f>
        <v>Track Only</v>
      </c>
      <c r="J42" s="14" t="str">
        <f>IF(Z42=0,"Film Review Required",IF(C42&lt;4,"Sample Watch • ","")&amp;"Broad Concept Proxy")</f>
        <v>Sample Watch • Broad Concept Proxy</v>
      </c>
      <c r="K42" s="9" t="str">
        <f>IF($Z42=0,"No matching defensive reps; film confirmation needed.",INDEX('DEF_CALL_DECISION_SUPPORT'!$A$1:$U$1496,$Z42,12))</f>
        <v>Track only; not enough sample.</v>
      </c>
      <c r="Z42" s="2">
        <f>IFERROR(MATCH(LEN($A42)&amp;":"&amp;$A42&amp;"|",'DEF_CALL_DECISION_SUPPORT'!$U$1264:$U$1440,0)+1264-1,0)</f>
        <v>1341</v>
      </c>
    </row>
    <row r="43" spans="1:26" ht="50" customHeight="1">
      <c r="A43" s="8" t="s">
        <v>561</v>
      </c>
      <c r="B43" s="8" t="str">
        <f>IF($Z43=0,"Film Review Required",INDEX('DEF_CALL_DECISION_SUPPORT'!$A$1:$U$1496,$Z43,2))</f>
        <v>SMOKE BUC</v>
      </c>
      <c r="C43" s="12">
        <f>IF($Z43=0,"",INDEX('DEF_CALL_DECISION_SUPPORT'!$A$1:$U$1496,$Z43,3))</f>
        <v>1</v>
      </c>
      <c r="D43" s="10">
        <f>IF($Z43=0,"",INDEX('DEF_CALL_DECISION_SUPPORT'!$A$1:$U$1496,$Z43,4))</f>
        <v>1.0</v>
      </c>
      <c r="E43" s="10">
        <f>IF($Z43=0,"",INDEX('DEF_CALL_DECISION_SUPPORT'!$A$1:$U$1496,$Z43,5))</f>
        <v>0.0</v>
      </c>
      <c r="F43" s="11">
        <f>IF($Z43=0,"",INDEX('DEF_CALL_DECISION_SUPPORT'!$A$1:$U$1496,$Z43,6))</f>
        <v>4.0</v>
      </c>
      <c r="G43" s="11">
        <f>IF($Z43=0,"",INDEX('DEF_CALL_DECISION_SUPPORT'!$A$1:$U$1496,$Z43,10))</f>
        <v>96.0</v>
      </c>
      <c r="H43" s="14" t="str">
        <f>IF($Z43=0,"",INDEX('DEF_CALL_DECISION_SUPPORT'!$A$1:$U$1496,$Z43,9))</f>
        <v>TRACK</v>
      </c>
      <c r="I43" s="14" t="str">
        <f>IF($Z43=0,"",INDEX('DEF_CALL_DECISION_SUPPORT'!$A$1:$U$1496,$Z43,11))</f>
        <v>Track Only</v>
      </c>
      <c r="J43" s="14" t="str">
        <f>IF(Z43=0,"Film Review Required",IF(C43&lt;4,"Sample Watch • ","")&amp;"Broad Concept Proxy")</f>
        <v>Sample Watch • Broad Concept Proxy</v>
      </c>
      <c r="K43" s="9" t="str">
        <f>IF($Z43=0,"No matching defensive reps; film confirmation needed.",INDEX('DEF_CALL_DECISION_SUPPORT'!$A$1:$U$1496,$Z43,12))</f>
        <v>Track only; not enough sample.</v>
      </c>
      <c r="Z43" s="2">
        <f>IFERROR(MATCH(LEN($A43)&amp;":"&amp;$A43&amp;"|",'DEF_CALL_DECISION_SUPPORT'!$U$1264:$U$1440,0)+1264-1,0)</f>
        <v>1344</v>
      </c>
    </row>
    <row r="44" spans="1:26" ht="50" customHeight="1">
      <c r="A44" s="8" t="s">
        <v>878</v>
      </c>
      <c r="B44" s="8" t="str">
        <f>IF($Z44=0,"Film Review Required",INDEX('DEF_CALL_DECISION_SUPPORT'!$A$1:$U$1496,$Z44,2))</f>
        <v>Film Review Required</v>
      </c>
      <c r="C44" s="12">
        <f>IF($Z44=0,"",INDEX('DEF_CALL_DECISION_SUPPORT'!$A$1:$U$1496,$Z44,3))</f>
        <v/>
      </c>
      <c r="D44" s="10">
        <f>IF($Z44=0,"",INDEX('DEF_CALL_DECISION_SUPPORT'!$A$1:$U$1496,$Z44,4))</f>
        <v/>
      </c>
      <c r="E44" s="10">
        <f>IF($Z44=0,"",INDEX('DEF_CALL_DECISION_SUPPORT'!$A$1:$U$1496,$Z44,5))</f>
        <v/>
      </c>
      <c r="F44" s="11">
        <f>IF($Z44=0,"",INDEX('DEF_CALL_DECISION_SUPPORT'!$A$1:$U$1496,$Z44,6))</f>
        <v/>
      </c>
      <c r="G44" s="11">
        <f>IF($Z44=0,"",INDEX('DEF_CALL_DECISION_SUPPORT'!$A$1:$U$1496,$Z44,10))</f>
        <v/>
      </c>
      <c r="H44" s="14">
        <f>IF($Z44=0,"",INDEX('DEF_CALL_DECISION_SUPPORT'!$A$1:$U$1496,$Z44,9))</f>
        <v/>
      </c>
      <c r="I44" s="14">
        <f>IF($Z44=0,"",INDEX('DEF_CALL_DECISION_SUPPORT'!$A$1:$U$1496,$Z44,11))</f>
        <v/>
      </c>
      <c r="J44" s="14" t="str">
        <f>IF(Z44=0,"Film Review Required",IF(C44&lt;4,"Sample Watch • ","")&amp;"Broad Concept Proxy")</f>
        <v>Film Review Required</v>
      </c>
      <c r="K44" s="9" t="str">
        <f>IF($Z44=0,"No matching defensive reps; film confirmation needed.",INDEX('DEF_CALL_DECISION_SUPPORT'!$A$1:$U$1496,$Z44,12))</f>
        <v>No matching defensive reps; film confirmation needed.</v>
      </c>
      <c r="Z44" s="2">
        <f>IFERROR(MATCH(LEN($A44)&amp;":"&amp;$A44&amp;"|",'DEF_CALL_DECISION_SUPPORT'!$U$1264:$U$1440,0)+1264-1,0)</f>
        <v>0</v>
      </c>
    </row>
    <row r="45" spans="1:26" ht="50" customHeight="1">
      <c r="A45" s="8" t="s">
        <v>428</v>
      </c>
      <c r="B45" s="8" t="str">
        <f>IF($Z45=0,"Film Review Required",INDEX('DEF_CALL_DECISION_SUPPORT'!$A$1:$U$1496,$Z45,2))</f>
        <v>STUD</v>
      </c>
      <c r="C45" s="12">
        <f>IF($Z45=0,"",INDEX('DEF_CALL_DECISION_SUPPORT'!$A$1:$U$1496,$Z45,3))</f>
        <v>4</v>
      </c>
      <c r="D45" s="10">
        <f>IF($Z45=0,"",INDEX('DEF_CALL_DECISION_SUPPORT'!$A$1:$U$1496,$Z45,4))</f>
        <v>0.75</v>
      </c>
      <c r="E45" s="10">
        <f>IF($Z45=0,"",INDEX('DEF_CALL_DECISION_SUPPORT'!$A$1:$U$1496,$Z45,5))</f>
        <v>0.0</v>
      </c>
      <c r="F45" s="11">
        <f>IF($Z45=0,"",INDEX('DEF_CALL_DECISION_SUPPORT'!$A$1:$U$1496,$Z45,6))</f>
        <v>1.5</v>
      </c>
      <c r="G45" s="11">
        <f>IF($Z45=0,"",INDEX('DEF_CALL_DECISION_SUPPORT'!$A$1:$U$1496,$Z45,10))</f>
        <v>81.0</v>
      </c>
      <c r="H45" s="14" t="str">
        <f>IF($Z45=0,"",INDEX('DEF_CALL_DECISION_SUPPORT'!$A$1:$U$1496,$Z45,9))</f>
        <v>MEDIUM</v>
      </c>
      <c r="I45" s="14" t="str">
        <f>IF($Z45=0,"",INDEX('DEF_CALL_DECISION_SUPPORT'!$A$1:$U$1496,$Z45,11))</f>
        <v>Strong Candidate</v>
      </c>
      <c r="J45" s="14" t="str">
        <f>IF(Z45=0,"Film Review Required",IF(C45&lt;4,"Sample Watch • ","")&amp;"Broad Concept Proxy")</f>
        <v>Broad Concept Proxy</v>
      </c>
      <c r="K45" s="9" t="str">
        <f>IF($Z45=0,"No matching defensive reps; film confirmation needed.",INDEX('DEF_CALL_DECISION_SUPPORT'!$A$1:$U$1496,$Z45,12))</f>
        <v>Strong call-fit candidate; confirm on film.</v>
      </c>
      <c r="Z45" s="2">
        <f>IFERROR(MATCH(LEN($A45)&amp;":"&amp;$A45&amp;"|",'DEF_CALL_DECISION_SUPPORT'!$U$1264:$U$1440,0)+1264-1,0)</f>
        <v>1370</v>
      </c>
    </row>
    <row r="46" spans="1:26" ht="50" customHeight="1">
      <c r="A46" s="8" t="s">
        <v>435</v>
      </c>
      <c r="B46" s="8" t="str">
        <f>IF($Z46=0,"Film Review Required",INDEX('DEF_CALL_DECISION_SUPPORT'!$A$1:$U$1496,$Z46,2))</f>
        <v>RAMBO</v>
      </c>
      <c r="C46" s="12">
        <f>IF($Z46=0,"",INDEX('DEF_CALL_DECISION_SUPPORT'!$A$1:$U$1496,$Z46,3))</f>
        <v>1</v>
      </c>
      <c r="D46" s="10">
        <f>IF($Z46=0,"",INDEX('DEF_CALL_DECISION_SUPPORT'!$A$1:$U$1496,$Z46,4))</f>
        <v>0.0</v>
      </c>
      <c r="E46" s="10">
        <f>IF($Z46=0,"",INDEX('DEF_CALL_DECISION_SUPPORT'!$A$1:$U$1496,$Z46,5))</f>
        <v>0.0</v>
      </c>
      <c r="F46" s="11">
        <f>IF($Z46=0,"",INDEX('DEF_CALL_DECISION_SUPPORT'!$A$1:$U$1496,$Z46,6))</f>
        <v>9.0</v>
      </c>
      <c r="G46" s="11">
        <f>IF($Z46=0,"",INDEX('DEF_CALL_DECISION_SUPPORT'!$A$1:$U$1496,$Z46,10))</f>
        <v>21.0</v>
      </c>
      <c r="H46" s="14" t="str">
        <f>IF($Z46=0,"",INDEX('DEF_CALL_DECISION_SUPPORT'!$A$1:$U$1496,$Z46,9))</f>
        <v>TRACK</v>
      </c>
      <c r="I46" s="14" t="str">
        <f>IF($Z46=0,"",INDEX('DEF_CALL_DECISION_SUPPORT'!$A$1:$U$1496,$Z46,11))</f>
        <v>Track Only</v>
      </c>
      <c r="J46" s="14" t="str">
        <f>IF(Z46=0,"Film Review Required",IF(C46&lt;4,"Sample Watch • ","")&amp;"Broad Concept Proxy")</f>
        <v>Sample Watch • Broad Concept Proxy</v>
      </c>
      <c r="K46" s="9" t="str">
        <f>IF($Z46=0,"No matching defensive reps; film confirmation needed.",INDEX('DEF_CALL_DECISION_SUPPORT'!$A$1:$U$1496,$Z46,12))</f>
        <v>Track only; not enough sample.</v>
      </c>
      <c r="Z46" s="2">
        <f>IFERROR(MATCH(LEN($A46)&amp;":"&amp;$A46&amp;"|",'DEF_CALL_DECISION_SUPPORT'!$U$1264:$U$1440,0)+1264-1,0)</f>
        <v>1376</v>
      </c>
    </row>
    <row r="47" spans="1:26" ht="50" customHeight="1">
      <c r="A47" s="8" t="s">
        <v>574</v>
      </c>
      <c r="B47" s="8" t="str">
        <f>IF($Z47=0,"Film Review Required",INDEX('DEF_CALL_DECISION_SUPPORT'!$A$1:$U$1496,$Z47,2))</f>
        <v>Q RAMBO</v>
      </c>
      <c r="C47" s="12">
        <f>IF($Z47=0,"",INDEX('DEF_CALL_DECISION_SUPPORT'!$A$1:$U$1496,$Z47,3))</f>
        <v>1</v>
      </c>
      <c r="D47" s="10">
        <f>IF($Z47=0,"",INDEX('DEF_CALL_DECISION_SUPPORT'!$A$1:$U$1496,$Z47,4))</f>
        <v>1.0</v>
      </c>
      <c r="E47" s="10">
        <f>IF($Z47=0,"",INDEX('DEF_CALL_DECISION_SUPPORT'!$A$1:$U$1496,$Z47,5))</f>
        <v>0.0</v>
      </c>
      <c r="F47" s="11">
        <f>IF($Z47=0,"",INDEX('DEF_CALL_DECISION_SUPPORT'!$A$1:$U$1496,$Z47,6))</f>
        <v>-1.0</v>
      </c>
      <c r="G47" s="11">
        <f>IF($Z47=0,"",INDEX('DEF_CALL_DECISION_SUPPORT'!$A$1:$U$1496,$Z47,10))</f>
        <v>100.0</v>
      </c>
      <c r="H47" s="14" t="str">
        <f>IF($Z47=0,"",INDEX('DEF_CALL_DECISION_SUPPORT'!$A$1:$U$1496,$Z47,9))</f>
        <v>TRACK</v>
      </c>
      <c r="I47" s="14" t="str">
        <f>IF($Z47=0,"",INDEX('DEF_CALL_DECISION_SUPPORT'!$A$1:$U$1496,$Z47,11))</f>
        <v>Track Only</v>
      </c>
      <c r="J47" s="14" t="str">
        <f>IF(Z47=0,"Film Review Required",IF(C47&lt;4,"Sample Watch • ","")&amp;"Broad Concept Proxy")</f>
        <v>Sample Watch • Broad Concept Proxy</v>
      </c>
      <c r="K47" s="9" t="str">
        <f>IF($Z47=0,"No matching defensive reps; film confirmation needed.",INDEX('DEF_CALL_DECISION_SUPPORT'!$A$1:$U$1496,$Z47,12))</f>
        <v>Track only; not enough sample.</v>
      </c>
      <c r="Z47" s="2">
        <f>IFERROR(MATCH(LEN($A47)&amp;":"&amp;$A47&amp;"|",'DEF_CALL_DECISION_SUPPORT'!$U$1264:$U$1440,0)+1264-1,0)</f>
        <v>1377</v>
      </c>
    </row>
    <row r="48" spans="1:26" ht="50" customHeight="1">
      <c r="A48" s="8" t="s">
        <v>465</v>
      </c>
      <c r="B48" s="8" t="str">
        <f>IF($Z48=0,"Film Review Required",INDEX('DEF_CALL_DECISION_SUPPORT'!$A$1:$U$1496,$Z48,2))</f>
        <v>BOURBON</v>
      </c>
      <c r="C48" s="12">
        <f>IF($Z48=0,"",INDEX('DEF_CALL_DECISION_SUPPORT'!$A$1:$U$1496,$Z48,3))</f>
        <v>3</v>
      </c>
      <c r="D48" s="10">
        <f>IF($Z48=0,"",INDEX('DEF_CALL_DECISION_SUPPORT'!$A$1:$U$1496,$Z48,4))</f>
        <v>0.3333333333333333</v>
      </c>
      <c r="E48" s="10">
        <f>IF($Z48=0,"",INDEX('DEF_CALL_DECISION_SUPPORT'!$A$1:$U$1496,$Z48,5))</f>
        <v>0.0</v>
      </c>
      <c r="F48" s="11">
        <f>IF($Z48=0,"",INDEX('DEF_CALL_DECISION_SUPPORT'!$A$1:$U$1496,$Z48,6))</f>
        <v>5.333333333333333</v>
      </c>
      <c r="G48" s="11">
        <f>IF($Z48=0,"",INDEX('DEF_CALL_DECISION_SUPPORT'!$A$1:$U$1496,$Z48,10))</f>
        <v>48.0</v>
      </c>
      <c r="H48" s="14" t="str">
        <f>IF($Z48=0,"",INDEX('DEF_CALL_DECISION_SUPPORT'!$A$1:$U$1496,$Z48,9))</f>
        <v>LOW</v>
      </c>
      <c r="I48" s="14" t="str">
        <f>IF($Z48=0,"",INDEX('DEF_CALL_DECISION_SUPPORT'!$A$1:$U$1496,$Z48,11))</f>
        <v>Sample Watch</v>
      </c>
      <c r="J48" s="14" t="str">
        <f>IF(Z48=0,"Film Review Required",IF(C48&lt;4,"Sample Watch • ","")&amp;"Broad Concept Proxy")</f>
        <v>Sample Watch • Broad Concept Proxy</v>
      </c>
      <c r="K48" s="9" t="str">
        <f>IF($Z48=0,"No matching defensive reps; film confirmation needed.",INDEX('DEF_CALL_DECISION_SUPPORT'!$A$1:$U$1496,$Z48,12))</f>
        <v>Sample watch; review clips and build the sample.</v>
      </c>
      <c r="Z48" s="2">
        <f>IFERROR(MATCH(LEN($A48)&amp;":"&amp;$A48&amp;"|",'DEF_CALL_DECISION_SUPPORT'!$U$1264:$U$1440,0)+1264-1,0)</f>
        <v>1380</v>
      </c>
    </row>
    <row r="49" spans="1:26" ht="50" customHeight="1">
      <c r="A49" s="8" t="s">
        <v>468</v>
      </c>
      <c r="B49" s="8" t="str">
        <f>IF($Z49=0,"Film Review Required",INDEX('DEF_CALL_DECISION_SUPPORT'!$A$1:$U$1496,$Z49,2))</f>
        <v>KEY CAPTAIN</v>
      </c>
      <c r="C49" s="12">
        <f>IF($Z49=0,"",INDEX('DEF_CALL_DECISION_SUPPORT'!$A$1:$U$1496,$Z49,3))</f>
        <v>3</v>
      </c>
      <c r="D49" s="10">
        <f>IF($Z49=0,"",INDEX('DEF_CALL_DECISION_SUPPORT'!$A$1:$U$1496,$Z49,4))</f>
        <v>1.0</v>
      </c>
      <c r="E49" s="10">
        <f>IF($Z49=0,"",INDEX('DEF_CALL_DECISION_SUPPORT'!$A$1:$U$1496,$Z49,5))</f>
        <v>0.0</v>
      </c>
      <c r="F49" s="11">
        <f>IF($Z49=0,"",INDEX('DEF_CALL_DECISION_SUPPORT'!$A$1:$U$1496,$Z49,6))</f>
        <v>-2.3333333333333335</v>
      </c>
      <c r="G49" s="11">
        <f>IF($Z49=0,"",INDEX('DEF_CALL_DECISION_SUPPORT'!$A$1:$U$1496,$Z49,10))</f>
        <v>100.0</v>
      </c>
      <c r="H49" s="14" t="str">
        <f>IF($Z49=0,"",INDEX('DEF_CALL_DECISION_SUPPORT'!$A$1:$U$1496,$Z49,9))</f>
        <v>LOW</v>
      </c>
      <c r="I49" s="14" t="str">
        <f>IF($Z49=0,"",INDEX('DEF_CALL_DECISION_SUPPORT'!$A$1:$U$1496,$Z49,11))</f>
        <v>Sample Watch</v>
      </c>
      <c r="J49" s="14" t="str">
        <f>IF(Z49=0,"Film Review Required",IF(C49&lt;4,"Sample Watch • ","")&amp;"Broad Concept Proxy")</f>
        <v>Sample Watch • Broad Concept Proxy</v>
      </c>
      <c r="K49" s="9" t="str">
        <f>IF($Z49=0,"No matching defensive reps; film confirmation needed.",INDEX('DEF_CALL_DECISION_SUPPORT'!$A$1:$U$1496,$Z49,12))</f>
        <v>Good signal, but sample is limited.</v>
      </c>
      <c r="Z49" s="2">
        <f>IFERROR(MATCH(LEN($A49)&amp;":"&amp;$A49&amp;"|",'DEF_CALL_DECISION_SUPPORT'!$U$1264:$U$1440,0)+1264-1,0)</f>
        <v>1400</v>
      </c>
    </row>
    <row r="50" spans="1:26" ht="50" customHeight="1">
      <c r="A50" s="8" t="s">
        <v>438</v>
      </c>
      <c r="B50" s="8" t="str">
        <f>IF($Z50=0,"Film Review Required",INDEX('DEF_CALL_DECISION_SUPPORT'!$A$1:$U$1496,$Z50,2))</f>
        <v>FALCON</v>
      </c>
      <c r="C50" s="12">
        <f>IF($Z50=0,"",INDEX('DEF_CALL_DECISION_SUPPORT'!$A$1:$U$1496,$Z50,3))</f>
        <v>1</v>
      </c>
      <c r="D50" s="10">
        <f>IF($Z50=0,"",INDEX('DEF_CALL_DECISION_SUPPORT'!$A$1:$U$1496,$Z50,4))</f>
        <v>1.0</v>
      </c>
      <c r="E50" s="10">
        <f>IF($Z50=0,"",INDEX('DEF_CALL_DECISION_SUPPORT'!$A$1:$U$1496,$Z50,5))</f>
        <v>0.0</v>
      </c>
      <c r="F50" s="11">
        <f>IF($Z50=0,"",INDEX('DEF_CALL_DECISION_SUPPORT'!$A$1:$U$1496,$Z50,6))</f>
        <v>3.0</v>
      </c>
      <c r="G50" s="11">
        <f>IF($Z50=0,"",INDEX('DEF_CALL_DECISION_SUPPORT'!$A$1:$U$1496,$Z50,10))</f>
        <v>97.0</v>
      </c>
      <c r="H50" s="14" t="str">
        <f>IF($Z50=0,"",INDEX('DEF_CALL_DECISION_SUPPORT'!$A$1:$U$1496,$Z50,9))</f>
        <v>TRACK</v>
      </c>
      <c r="I50" s="14" t="str">
        <f>IF($Z50=0,"",INDEX('DEF_CALL_DECISION_SUPPORT'!$A$1:$U$1496,$Z50,11))</f>
        <v>Track Only</v>
      </c>
      <c r="J50" s="14" t="str">
        <f>IF(Z50=0,"Film Review Required",IF(C50&lt;4,"Sample Watch • ","")&amp;"Broad Concept Proxy")</f>
        <v>Sample Watch • Broad Concept Proxy</v>
      </c>
      <c r="K50" s="9" t="str">
        <f>IF($Z50=0,"No matching defensive reps; film confirmation needed.",INDEX('DEF_CALL_DECISION_SUPPORT'!$A$1:$U$1496,$Z50,12))</f>
        <v>Track only; not enough sample.</v>
      </c>
      <c r="Z50" s="2">
        <f>IFERROR(MATCH(LEN($A50)&amp;":"&amp;$A50&amp;"|",'DEF_CALL_DECISION_SUPPORT'!$U$1264:$U$1440,0)+1264-1,0)</f>
        <v>1408</v>
      </c>
    </row>
    <row r="51" spans="1:26" ht="50" customHeight="1">
      <c r="A51" s="8" t="s">
        <v>541</v>
      </c>
      <c r="B51" s="8" t="str">
        <f>IF($Z51=0,"Film Review Required",INDEX('DEF_CALL_DECISION_SUPPORT'!$A$1:$U$1496,$Z51,2))</f>
        <v>REBEL</v>
      </c>
      <c r="C51" s="12">
        <f>IF($Z51=0,"",INDEX('DEF_CALL_DECISION_SUPPORT'!$A$1:$U$1496,$Z51,3))</f>
        <v>1</v>
      </c>
      <c r="D51" s="10">
        <f>IF($Z51=0,"",INDEX('DEF_CALL_DECISION_SUPPORT'!$A$1:$U$1496,$Z51,4))</f>
        <v>1.0</v>
      </c>
      <c r="E51" s="10">
        <f>IF($Z51=0,"",INDEX('DEF_CALL_DECISION_SUPPORT'!$A$1:$U$1496,$Z51,5))</f>
        <v>0.0</v>
      </c>
      <c r="F51" s="11">
        <f>IF($Z51=0,"",INDEX('DEF_CALL_DECISION_SUPPORT'!$A$1:$U$1496,$Z51,6))</f>
        <v>0.0</v>
      </c>
      <c r="G51" s="11">
        <f>IF($Z51=0,"",INDEX('DEF_CALL_DECISION_SUPPORT'!$A$1:$U$1496,$Z51,10))</f>
        <v>100.0</v>
      </c>
      <c r="H51" s="14" t="str">
        <f>IF($Z51=0,"",INDEX('DEF_CALL_DECISION_SUPPORT'!$A$1:$U$1496,$Z51,9))</f>
        <v>TRACK</v>
      </c>
      <c r="I51" s="14" t="str">
        <f>IF($Z51=0,"",INDEX('DEF_CALL_DECISION_SUPPORT'!$A$1:$U$1496,$Z51,11))</f>
        <v>Track Only</v>
      </c>
      <c r="J51" s="14" t="str">
        <f>IF(Z51=0,"Film Review Required",IF(C51&lt;4,"Sample Watch • ","")&amp;"Broad Concept Proxy")</f>
        <v>Sample Watch • Broad Concept Proxy</v>
      </c>
      <c r="K51" s="9" t="str">
        <f>IF($Z51=0,"No matching defensive reps; film confirmation needed.",INDEX('DEF_CALL_DECISION_SUPPORT'!$A$1:$U$1496,$Z51,12))</f>
        <v>Track only; not enough sample.</v>
      </c>
      <c r="Z51" s="2">
        <f>IFERROR(MATCH(LEN($A51)&amp;":"&amp;$A51&amp;"|",'DEF_CALL_DECISION_SUPPORT'!$U$1264:$U$1440,0)+1264-1,0)</f>
        <v>1409</v>
      </c>
    </row>
    <row r="52" spans="1:26" ht="50" customHeight="1">
      <c r="A52" s="8" t="s">
        <v>800</v>
      </c>
      <c r="B52" s="8" t="str">
        <f>IF($Z52=0,"Film Review Required",INDEX('DEF_CALL_DECISION_SUPPORT'!$A$1:$U$1496,$Z52,2))</f>
        <v>Film Review Required</v>
      </c>
      <c r="C52" s="12">
        <f>IF($Z52=0,"",INDEX('DEF_CALL_DECISION_SUPPORT'!$A$1:$U$1496,$Z52,3))</f>
        <v/>
      </c>
      <c r="D52" s="10">
        <f>IF($Z52=0,"",INDEX('DEF_CALL_DECISION_SUPPORT'!$A$1:$U$1496,$Z52,4))</f>
        <v/>
      </c>
      <c r="E52" s="10">
        <f>IF($Z52=0,"",INDEX('DEF_CALL_DECISION_SUPPORT'!$A$1:$U$1496,$Z52,5))</f>
        <v/>
      </c>
      <c r="F52" s="11">
        <f>IF($Z52=0,"",INDEX('DEF_CALL_DECISION_SUPPORT'!$A$1:$U$1496,$Z52,6))</f>
        <v/>
      </c>
      <c r="G52" s="11">
        <f>IF($Z52=0,"",INDEX('DEF_CALL_DECISION_SUPPORT'!$A$1:$U$1496,$Z52,10))</f>
        <v/>
      </c>
      <c r="H52" s="14">
        <f>IF($Z52=0,"",INDEX('DEF_CALL_DECISION_SUPPORT'!$A$1:$U$1496,$Z52,9))</f>
        <v/>
      </c>
      <c r="I52" s="14">
        <f>IF($Z52=0,"",INDEX('DEF_CALL_DECISION_SUPPORT'!$A$1:$U$1496,$Z52,11))</f>
        <v/>
      </c>
      <c r="J52" s="14" t="str">
        <f>IF(Z52=0,"Film Review Required",IF(C52&lt;4,"Sample Watch • ","")&amp;"Broad Concept Proxy")</f>
        <v>Film Review Required</v>
      </c>
      <c r="K52" s="9" t="str">
        <f>IF($Z52=0,"No matching defensive reps; film confirmation needed.",INDEX('DEF_CALL_DECISION_SUPPORT'!$A$1:$U$1496,$Z52,12))</f>
        <v>No matching defensive reps; film confirmation needed.</v>
      </c>
      <c r="Z52" s="2">
        <f>IFERROR(MATCH(LEN($A52)&amp;":"&amp;$A52&amp;"|",'DEF_CALL_DECISION_SUPPORT'!$U$1264:$U$1440,0)+1264-1,0)</f>
        <v>0</v>
      </c>
    </row>
    <row r="53" spans="1:26" ht="50" customHeight="1">
      <c r="A53" s="8" t="s">
        <v>471</v>
      </c>
      <c r="B53" s="8" t="str">
        <f>IF($Z53=0,"Film Review Required",INDEX('DEF_CALL_DECISION_SUPPORT'!$A$1:$U$1496,$Z53,2))</f>
        <v>TEX</v>
      </c>
      <c r="C53" s="12">
        <f>IF($Z53=0,"",INDEX('DEF_CALL_DECISION_SUPPORT'!$A$1:$U$1496,$Z53,3))</f>
        <v>2</v>
      </c>
      <c r="D53" s="10">
        <f>IF($Z53=0,"",INDEX('DEF_CALL_DECISION_SUPPORT'!$A$1:$U$1496,$Z53,4))</f>
        <v>1.0</v>
      </c>
      <c r="E53" s="10">
        <f>IF($Z53=0,"",INDEX('DEF_CALL_DECISION_SUPPORT'!$A$1:$U$1496,$Z53,5))</f>
        <v>0.0</v>
      </c>
      <c r="F53" s="11">
        <f>IF($Z53=0,"",INDEX('DEF_CALL_DECISION_SUPPORT'!$A$1:$U$1496,$Z53,6))</f>
        <v>0.0</v>
      </c>
      <c r="G53" s="11">
        <f>IF($Z53=0,"",INDEX('DEF_CALL_DECISION_SUPPORT'!$A$1:$U$1496,$Z53,10))</f>
        <v>100.0</v>
      </c>
      <c r="H53" s="14" t="str">
        <f>IF($Z53=0,"",INDEX('DEF_CALL_DECISION_SUPPORT'!$A$1:$U$1496,$Z53,9))</f>
        <v>TRACK</v>
      </c>
      <c r="I53" s="14" t="str">
        <f>IF($Z53=0,"",INDEX('DEF_CALL_DECISION_SUPPORT'!$A$1:$U$1496,$Z53,11))</f>
        <v>Track Only</v>
      </c>
      <c r="J53" s="14" t="str">
        <f>IF(Z53=0,"Film Review Required",IF(C53&lt;4,"Sample Watch • ","")&amp;"Broad Concept Proxy")</f>
        <v>Sample Watch • Broad Concept Proxy</v>
      </c>
      <c r="K53" s="9" t="str">
        <f>IF($Z53=0,"No matching defensive reps; film confirmation needed.",INDEX('DEF_CALL_DECISION_SUPPORT'!$A$1:$U$1496,$Z53,12))</f>
        <v>Track only; not enough sample.</v>
      </c>
      <c r="Z53" s="2">
        <f>IFERROR(MATCH(LEN($A53)&amp;":"&amp;$A53&amp;"|",'DEF_CALL_DECISION_SUPPORT'!$U$1264:$U$1440,0)+1264-1,0)</f>
        <v>1425</v>
      </c>
    </row>
    <row r="54" spans="1:26" ht="50" customHeight="1">
      <c r="A54" s="8" t="s">
        <v>474</v>
      </c>
      <c r="B54" s="8" t="str">
        <f>IF($Z54=0,"Film Review Required",INDEX('DEF_CALL_DECISION_SUPPORT'!$A$1:$U$1496,$Z54,2))</f>
        <v>BOURBON</v>
      </c>
      <c r="C54" s="12">
        <f>IF($Z54=0,"",INDEX('DEF_CALL_DECISION_SUPPORT'!$A$1:$U$1496,$Z54,3))</f>
        <v>1</v>
      </c>
      <c r="D54" s="10">
        <f>IF($Z54=0,"",INDEX('DEF_CALL_DECISION_SUPPORT'!$A$1:$U$1496,$Z54,4))</f>
        <v>1.0</v>
      </c>
      <c r="E54" s="10">
        <f>IF($Z54=0,"",INDEX('DEF_CALL_DECISION_SUPPORT'!$A$1:$U$1496,$Z54,5))</f>
        <v>0.0</v>
      </c>
      <c r="F54" s="11">
        <f>IF($Z54=0,"",INDEX('DEF_CALL_DECISION_SUPPORT'!$A$1:$U$1496,$Z54,6))</f>
        <v>0.0</v>
      </c>
      <c r="G54" s="11">
        <f>IF($Z54=0,"",INDEX('DEF_CALL_DECISION_SUPPORT'!$A$1:$U$1496,$Z54,10))</f>
        <v>100.0</v>
      </c>
      <c r="H54" s="14" t="str">
        <f>IF($Z54=0,"",INDEX('DEF_CALL_DECISION_SUPPORT'!$A$1:$U$1496,$Z54,9))</f>
        <v>TRACK</v>
      </c>
      <c r="I54" s="14" t="str">
        <f>IF($Z54=0,"",INDEX('DEF_CALL_DECISION_SUPPORT'!$A$1:$U$1496,$Z54,11))</f>
        <v>Track Only</v>
      </c>
      <c r="J54" s="14" t="str">
        <f>IF(Z54=0,"Film Review Required",IF(C54&lt;4,"Sample Watch • ","")&amp;"Broad Concept Proxy")</f>
        <v>Sample Watch • Broad Concept Proxy</v>
      </c>
      <c r="K54" s="9" t="str">
        <f>IF($Z54=0,"No matching defensive reps; film confirmation needed.",INDEX('DEF_CALL_DECISION_SUPPORT'!$A$1:$U$1496,$Z54,12))</f>
        <v>Track only; not enough sample.</v>
      </c>
      <c r="Z54" s="2">
        <f>IFERROR(MATCH(LEN($A54)&amp;":"&amp;$A54&amp;"|",'DEF_CALL_DECISION_SUPPORT'!$U$1264:$U$1440,0)+1264-1,0)</f>
        <v>1426</v>
      </c>
    </row>
    <row r="55" spans="1:26" ht="50" customHeight="1">
      <c r="A55" s="8" t="s">
        <v>443</v>
      </c>
      <c r="B55" s="8" t="str">
        <f>IF($Z55=0,"Film Review Required",INDEX('DEF_CALL_DECISION_SUPPORT'!$A$1:$U$1496,$Z55,2))</f>
        <v>RAMBO</v>
      </c>
      <c r="C55" s="12">
        <f>IF($Z55=0,"",INDEX('DEF_CALL_DECISION_SUPPORT'!$A$1:$U$1496,$Z55,3))</f>
        <v>1</v>
      </c>
      <c r="D55" s="10">
        <f>IF($Z55=0,"",INDEX('DEF_CALL_DECISION_SUPPORT'!$A$1:$U$1496,$Z55,4))</f>
        <v>1.0</v>
      </c>
      <c r="E55" s="10">
        <f>IF($Z55=0,"",INDEX('DEF_CALL_DECISION_SUPPORT'!$A$1:$U$1496,$Z55,5))</f>
        <v>0.0</v>
      </c>
      <c r="F55" s="11">
        <f>IF($Z55=0,"",INDEX('DEF_CALL_DECISION_SUPPORT'!$A$1:$U$1496,$Z55,6))</f>
        <v>5.0</v>
      </c>
      <c r="G55" s="11">
        <f>IF($Z55=0,"",INDEX('DEF_CALL_DECISION_SUPPORT'!$A$1:$U$1496,$Z55,10))</f>
        <v>95.0</v>
      </c>
      <c r="H55" s="14" t="str">
        <f>IF($Z55=0,"",INDEX('DEF_CALL_DECISION_SUPPORT'!$A$1:$U$1496,$Z55,9))</f>
        <v>TRACK</v>
      </c>
      <c r="I55" s="14" t="str">
        <f>IF($Z55=0,"",INDEX('DEF_CALL_DECISION_SUPPORT'!$A$1:$U$1496,$Z55,11))</f>
        <v>Track Only</v>
      </c>
      <c r="J55" s="14" t="str">
        <f>IF(Z55=0,"Film Review Required",IF(C55&lt;4,"Sample Watch • ","")&amp;"Broad Concept Proxy")</f>
        <v>Sample Watch • Broad Concept Proxy</v>
      </c>
      <c r="K55" s="9" t="str">
        <f>IF($Z55=0,"No matching defensive reps; film confirmation needed.",INDEX('DEF_CALL_DECISION_SUPPORT'!$A$1:$U$1496,$Z55,12))</f>
        <v>Track only; not enough sample.</v>
      </c>
      <c r="Z55" s="2">
        <f>IFERROR(MATCH(LEN($A55)&amp;":"&amp;$A55&amp;"|",'DEF_CALL_DECISION_SUPPORT'!$U$1264:$U$1440,0)+1264-1,0)</f>
        <v>1430</v>
      </c>
    </row>
    <row r="56" spans="1:26" ht="50" customHeight="1">
      <c r="A56" s="8" t="s">
        <v>477</v>
      </c>
      <c r="B56" s="8" t="str">
        <f>IF($Z56=0,"Film Review Required",INDEX('DEF_CALL_DECISION_SUPPORT'!$A$1:$U$1496,$Z56,2))</f>
        <v>KEY CAPTAIN</v>
      </c>
      <c r="C56" s="12">
        <f>IF($Z56=0,"",INDEX('DEF_CALL_DECISION_SUPPORT'!$A$1:$U$1496,$Z56,3))</f>
        <v>2</v>
      </c>
      <c r="D56" s="10">
        <f>IF($Z56=0,"",INDEX('DEF_CALL_DECISION_SUPPORT'!$A$1:$U$1496,$Z56,4))</f>
        <v>0.5</v>
      </c>
      <c r="E56" s="10">
        <f>IF($Z56=0,"",INDEX('DEF_CALL_DECISION_SUPPORT'!$A$1:$U$1496,$Z56,5))</f>
        <v>0.0</v>
      </c>
      <c r="F56" s="11">
        <f>IF($Z56=0,"",INDEX('DEF_CALL_DECISION_SUPPORT'!$A$1:$U$1496,$Z56,6))</f>
        <v>3.0</v>
      </c>
      <c r="G56" s="11">
        <f>IF($Z56=0,"",INDEX('DEF_CALL_DECISION_SUPPORT'!$A$1:$U$1496,$Z56,10))</f>
        <v>62.0</v>
      </c>
      <c r="H56" s="14" t="str">
        <f>IF($Z56=0,"",INDEX('DEF_CALL_DECISION_SUPPORT'!$A$1:$U$1496,$Z56,9))</f>
        <v>TRACK</v>
      </c>
      <c r="I56" s="14" t="str">
        <f>IF($Z56=0,"",INDEX('DEF_CALL_DECISION_SUPPORT'!$A$1:$U$1496,$Z56,11))</f>
        <v>Track Only</v>
      </c>
      <c r="J56" s="14" t="str">
        <f>IF(Z56=0,"Film Review Required",IF(C56&lt;4,"Sample Watch • ","")&amp;"Broad Concept Proxy")</f>
        <v>Sample Watch • Broad Concept Proxy</v>
      </c>
      <c r="K56" s="9" t="str">
        <f>IF($Z56=0,"No matching defensive reps; film confirmation needed.",INDEX('DEF_CALL_DECISION_SUPPORT'!$A$1:$U$1496,$Z56,12))</f>
        <v>Track only; not enough sample.</v>
      </c>
      <c r="Z56" s="2">
        <f>IFERROR(MATCH(LEN($A56)&amp;":"&amp;$A56&amp;"|",'DEF_CALL_DECISION_SUPPORT'!$U$1264:$U$1440,0)+1264-1,0)</f>
        <v>1432</v>
      </c>
    </row>
    <row r="57" spans="1:26" ht="50" customHeight="1">
      <c r="A57" s="8" t="s">
        <v>480</v>
      </c>
      <c r="B57" s="8" t="str">
        <f>IF($Z57=0,"Film Review Required",INDEX('DEF_CALL_DECISION_SUPPORT'!$A$1:$U$1496,$Z57,2))</f>
        <v>KEY BOURBON</v>
      </c>
      <c r="C57" s="12">
        <f>IF($Z57=0,"",INDEX('DEF_CALL_DECISION_SUPPORT'!$A$1:$U$1496,$Z57,3))</f>
        <v>1</v>
      </c>
      <c r="D57" s="10">
        <f>IF($Z57=0,"",INDEX('DEF_CALL_DECISION_SUPPORT'!$A$1:$U$1496,$Z57,4))</f>
        <v>1.0</v>
      </c>
      <c r="E57" s="10">
        <f>IF($Z57=0,"",INDEX('DEF_CALL_DECISION_SUPPORT'!$A$1:$U$1496,$Z57,5))</f>
        <v>0.0</v>
      </c>
      <c r="F57" s="11">
        <f>IF($Z57=0,"",INDEX('DEF_CALL_DECISION_SUPPORT'!$A$1:$U$1496,$Z57,6))</f>
        <v>0.0</v>
      </c>
      <c r="G57" s="11">
        <f>IF($Z57=0,"",INDEX('DEF_CALL_DECISION_SUPPORT'!$A$1:$U$1496,$Z57,10))</f>
        <v>100.0</v>
      </c>
      <c r="H57" s="14" t="str">
        <f>IF($Z57=0,"",INDEX('DEF_CALL_DECISION_SUPPORT'!$A$1:$U$1496,$Z57,9))</f>
        <v>TRACK</v>
      </c>
      <c r="I57" s="14" t="str">
        <f>IF($Z57=0,"",INDEX('DEF_CALL_DECISION_SUPPORT'!$A$1:$U$1496,$Z57,11))</f>
        <v>Track Only</v>
      </c>
      <c r="J57" s="14" t="str">
        <f>IF(Z57=0,"Film Review Required",IF(C57&lt;4,"Sample Watch • ","")&amp;"Broad Concept Proxy")</f>
        <v>Sample Watch • Broad Concept Proxy</v>
      </c>
      <c r="K57" s="9" t="str">
        <f>IF($Z57=0,"No matching defensive reps; film confirmation needed.",INDEX('DEF_CALL_DECISION_SUPPORT'!$A$1:$U$1496,$Z57,12))</f>
        <v>Track only; not enough sample.</v>
      </c>
      <c r="Z57" s="2">
        <f>IFERROR(MATCH(LEN($A57)&amp;":"&amp;$A57&amp;"|",'DEF_CALL_DECISION_SUPPORT'!$U$1264:$U$1440,0)+1264-1,0)</f>
        <v>1438</v>
      </c>
    </row>
    <row r="58" spans="1:26" ht="50" customHeight="1">
      <c r="A58" s="8" t="s">
        <v>957</v>
      </c>
      <c r="B58" s="8" t="str">
        <f>IF($Z58=0,"Film Review Required",INDEX('DEF_CALL_DECISION_SUPPORT'!$A$1:$U$1496,$Z58,2))</f>
        <v>Film Review Required</v>
      </c>
      <c r="C58" s="12">
        <f>IF($Z58=0,"",INDEX('DEF_CALL_DECISION_SUPPORT'!$A$1:$U$1496,$Z58,3))</f>
        <v/>
      </c>
      <c r="D58" s="10">
        <f>IF($Z58=0,"",INDEX('DEF_CALL_DECISION_SUPPORT'!$A$1:$U$1496,$Z58,4))</f>
        <v/>
      </c>
      <c r="E58" s="10">
        <f>IF($Z58=0,"",INDEX('DEF_CALL_DECISION_SUPPORT'!$A$1:$U$1496,$Z58,5))</f>
        <v/>
      </c>
      <c r="F58" s="11">
        <f>IF($Z58=0,"",INDEX('DEF_CALL_DECISION_SUPPORT'!$A$1:$U$1496,$Z58,6))</f>
        <v/>
      </c>
      <c r="G58" s="11">
        <f>IF($Z58=0,"",INDEX('DEF_CALL_DECISION_SUPPORT'!$A$1:$U$1496,$Z58,10))</f>
        <v/>
      </c>
      <c r="H58" s="14">
        <f>IF($Z58=0,"",INDEX('DEF_CALL_DECISION_SUPPORT'!$A$1:$U$1496,$Z58,9))</f>
        <v/>
      </c>
      <c r="I58" s="14">
        <f>IF($Z58=0,"",INDEX('DEF_CALL_DECISION_SUPPORT'!$A$1:$U$1496,$Z58,11))</f>
        <v/>
      </c>
      <c r="J58" s="14" t="str">
        <f>IF(Z58=0,"Film Review Required",IF(C58&lt;4,"Sample Watch • ","")&amp;"Broad Concept Proxy")</f>
        <v>Film Review Required</v>
      </c>
      <c r="K58" s="9" t="str">
        <f>IF($Z58=0,"No matching defensive reps; film confirmation needed.",INDEX('DEF_CALL_DECISION_SUPPORT'!$A$1:$U$1496,$Z58,12))</f>
        <v>No matching defensive reps; film confirmation needed.</v>
      </c>
      <c r="Z58" s="2">
        <f>IFERROR(MATCH(LEN($A58)&amp;":"&amp;$A58&amp;"|",'DEF_CALL_DECISION_SUPPORT'!$U$1264:$U$1440,0)+1264-1,0)</f>
        <v>0</v>
      </c>
    </row>
    <row r="59" spans="1:26" ht="50" customHeight="1">
      <c r="A59" s="8" t="s">
        <v>1038</v>
      </c>
      <c r="B59" s="8" t="str">
        <f>IF($Z59=0,"Film Review Required",INDEX('DEF_CALL_DECISION_SUPPORT'!$A$1:$U$1496,$Z59,2))</f>
        <v>Film Review Required</v>
      </c>
      <c r="C59" s="12">
        <f>IF($Z59=0,"",INDEX('DEF_CALL_DECISION_SUPPORT'!$A$1:$U$1496,$Z59,3))</f>
        <v/>
      </c>
      <c r="D59" s="10">
        <f>IF($Z59=0,"",INDEX('DEF_CALL_DECISION_SUPPORT'!$A$1:$U$1496,$Z59,4))</f>
        <v/>
      </c>
      <c r="E59" s="10">
        <f>IF($Z59=0,"",INDEX('DEF_CALL_DECISION_SUPPORT'!$A$1:$U$1496,$Z59,5))</f>
        <v/>
      </c>
      <c r="F59" s="11">
        <f>IF($Z59=0,"",INDEX('DEF_CALL_DECISION_SUPPORT'!$A$1:$U$1496,$Z59,6))</f>
        <v/>
      </c>
      <c r="G59" s="11">
        <f>IF($Z59=0,"",INDEX('DEF_CALL_DECISION_SUPPORT'!$A$1:$U$1496,$Z59,10))</f>
        <v/>
      </c>
      <c r="H59" s="14">
        <f>IF($Z59=0,"",INDEX('DEF_CALL_DECISION_SUPPORT'!$A$1:$U$1496,$Z59,9))</f>
        <v/>
      </c>
      <c r="I59" s="14">
        <f>IF($Z59=0,"",INDEX('DEF_CALL_DECISION_SUPPORT'!$A$1:$U$1496,$Z59,11))</f>
        <v/>
      </c>
      <c r="J59" s="14" t="str">
        <f>IF(Z59=0,"Film Review Required",IF(C59&lt;4,"Sample Watch • ","")&amp;"Broad Concept Proxy")</f>
        <v>Film Review Required</v>
      </c>
      <c r="K59" s="9" t="str">
        <f>IF($Z59=0,"No matching defensive reps; film confirmation needed.",INDEX('DEF_CALL_DECISION_SUPPORT'!$A$1:$U$1496,$Z59,12))</f>
        <v>No matching defensive reps; film confirmation needed.</v>
      </c>
      <c r="Z59" s="2">
        <f>IFERROR(MATCH(LEN($A59)&amp;":"&amp;$A59&amp;"|",'DEF_CALL_DECISION_SUPPORT'!$U$1264:$U$1440,0)+1264-1,0)</f>
        <v>0</v>
      </c>
    </row>
    <row r="64" spans="1:26" ht="27" customHeight="1">
      <c r="A64" s="5" t="s">
        <v>2447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26" ht="36" customHeight="1">
      <c r="A65" s="9" t="s">
        <v>2448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26" ht="46" customHeight="1">
      <c r="A66" s="6" t="s">
        <v>24</v>
      </c>
      <c r="B66" s="6" t="s">
        <v>2449</v>
      </c>
      <c r="C66" s="6" t="s">
        <v>2450</v>
      </c>
      <c r="D66" s="6" t="s">
        <v>2451</v>
      </c>
      <c r="E66" s="6" t="s">
        <v>2452</v>
      </c>
      <c r="F66" s="6" t="s">
        <v>2453</v>
      </c>
      <c r="G66" s="6" t="s">
        <v>2454</v>
      </c>
      <c r="H66" s="6" t="s">
        <v>2455</v>
      </c>
      <c r="I66" s="6" t="s">
        <v>2456</v>
      </c>
      <c r="J66" s="6" t="s">
        <v>2445</v>
      </c>
      <c r="K66" s="6" t="s">
        <v>2457</v>
      </c>
      <c r="L66" s="6" t="s">
        <v>2458</v>
      </c>
    </row>
    <row r="67" spans="1:26" ht="50" customHeight="1">
      <c r="A67" s="8" t="s">
        <v>1406</v>
      </c>
      <c r="B67" s="8" t="str">
        <f>IF($Z67=0,"Film Review Required",INDEX('DEF_CALL_DECISION_SUPPORT'!$A$1:$U$1496,$Z67,2))</f>
        <v>TEX</v>
      </c>
      <c r="C67" s="12">
        <f>IF($Z67=0,"",INDEX('DEF_CALL_DECISION_SUPPORT'!$A$1:$U$1496,$Z67,3))</f>
        <v>2</v>
      </c>
      <c r="D67" s="10">
        <f>IF($Z67=0,"",INDEX('DEF_CALL_DECISION_SUPPORT'!$A$1:$U$1496,$Z67,4))</f>
        <v>1.0</v>
      </c>
      <c r="E67" s="10">
        <f>IF($Z67=0,"",INDEX('DEF_CALL_DECISION_SUPPORT'!$A$1:$U$1496,$Z67,5))</f>
        <v>0.0</v>
      </c>
      <c r="F67" s="11">
        <f>IF($Z67=0,"",INDEX('DEF_CALL_DECISION_SUPPORT'!$A$1:$U$1496,$Z67,6))</f>
        <v>0.0</v>
      </c>
      <c r="G67" s="11">
        <f>IF($Z67=0,"",INDEX('DEF_CALL_DECISION_SUPPORT'!$A$1:$U$1496,$Z67,10))</f>
        <v>100.0</v>
      </c>
      <c r="H67" s="14" t="str">
        <f>IF($Z67=0,"",INDEX('DEF_CALL_DECISION_SUPPORT'!$A$1:$U$1496,$Z67,9))</f>
        <v>TRACK</v>
      </c>
      <c r="I67" s="14" t="str">
        <f>IF($Z67=0,"",INDEX('DEF_CALL_DECISION_SUPPORT'!$A$1:$U$1496,$Z67,11))</f>
        <v>Track Only</v>
      </c>
      <c r="J67" s="14" t="str">
        <f>IF(Z67=0,"Film Review Required",IF(C67&lt;4,"Sample Watch • ","")&amp;"Broad Concept Proxy")</f>
        <v>Sample Watch • Broad Concept Proxy</v>
      </c>
      <c r="K67" s="9" t="str">
        <f>"Opponent exact-play alert only. No Defensive Exact-Play Sample. "&amp;IF(Z67=0,"Confirm concept mapping and review film before treating this as a defensive candidate.","Metrics describe the confirmed concept; "&amp;IF($Z67=0,"",INDEX('DEF_CALL_DECISION_SUPPORT'!$A$1:$U$1496,$Z67,12)))</f>
        <v>Opponent exact-play alert only. No Defensive Exact-Play Sample. Metrics describe the confirmed concept; Track only; not enough sample.</v>
      </c>
      <c r="L67" s="7" t="s">
        <v>471</v>
      </c>
      <c r="Y67" s="2" t="s">
        <v>2459</v>
      </c>
      <c r="Z67" s="2">
        <f>IF($L67="",0,IFERROR(MATCH(LEN($L67)&amp;":"&amp;$L67&amp;"|",'DEF_CALL_DECISION_SUPPORT'!$U$1264:$U$1440,0)+1264-1,0))</f>
        <v>1425</v>
      </c>
    </row>
    <row r="68" spans="1:26" ht="50" customHeight="1">
      <c r="A68" s="8" t="s">
        <v>1579</v>
      </c>
      <c r="B68" s="8" t="str">
        <f>IF($Z68=0,"Film Review Required",INDEX('DEF_CALL_DECISION_SUPPORT'!$A$1:$U$1496,$Z68,2))</f>
        <v>TEX</v>
      </c>
      <c r="C68" s="12">
        <f>IF($Z68=0,"",INDEX('DEF_CALL_DECISION_SUPPORT'!$A$1:$U$1496,$Z68,3))</f>
        <v>2</v>
      </c>
      <c r="D68" s="10">
        <f>IF($Z68=0,"",INDEX('DEF_CALL_DECISION_SUPPORT'!$A$1:$U$1496,$Z68,4))</f>
        <v>1.0</v>
      </c>
      <c r="E68" s="10">
        <f>IF($Z68=0,"",INDEX('DEF_CALL_DECISION_SUPPORT'!$A$1:$U$1496,$Z68,5))</f>
        <v>0.0</v>
      </c>
      <c r="F68" s="11">
        <f>IF($Z68=0,"",INDEX('DEF_CALL_DECISION_SUPPORT'!$A$1:$U$1496,$Z68,6))</f>
        <v>0.0</v>
      </c>
      <c r="G68" s="11">
        <f>IF($Z68=0,"",INDEX('DEF_CALL_DECISION_SUPPORT'!$A$1:$U$1496,$Z68,10))</f>
        <v>100.0</v>
      </c>
      <c r="H68" s="14" t="str">
        <f>IF($Z68=0,"",INDEX('DEF_CALL_DECISION_SUPPORT'!$A$1:$U$1496,$Z68,9))</f>
        <v>TRACK</v>
      </c>
      <c r="I68" s="14" t="str">
        <f>IF($Z68=0,"",INDEX('DEF_CALL_DECISION_SUPPORT'!$A$1:$U$1496,$Z68,11))</f>
        <v>Track Only</v>
      </c>
      <c r="J68" s="14" t="str">
        <f>IF(Z68=0,"Film Review Required",IF(C68&lt;4,"Sample Watch • ","")&amp;"Broad Concept Proxy")</f>
        <v>Sample Watch • Broad Concept Proxy</v>
      </c>
      <c r="K68" s="9" t="str">
        <f>"Opponent exact-play alert only. No Defensive Exact-Play Sample. "&amp;IF(Z68=0,"Confirm concept mapping and review film before treating this as a defensive candidate.","Metrics describe the confirmed concept; "&amp;IF($Z68=0,"",INDEX('DEF_CALL_DECISION_SUPPORT'!$A$1:$U$1496,$Z68,12)))</f>
        <v>Opponent exact-play alert only. No Defensive Exact-Play Sample. Metrics describe the confirmed concept; Track only; not enough sample.</v>
      </c>
      <c r="L68" s="7" t="s">
        <v>471</v>
      </c>
      <c r="Y68" s="2" t="s">
        <v>2460</v>
      </c>
      <c r="Z68" s="2">
        <f>IF($L68="",0,IFERROR(MATCH(LEN($L68)&amp;":"&amp;$L68&amp;"|",'DEF_CALL_DECISION_SUPPORT'!$U$1264:$U$1440,0)+1264-1,0))</f>
        <v>1425</v>
      </c>
    </row>
    <row r="69" spans="1:26" ht="50" customHeight="1">
      <c r="A69" s="8" t="s">
        <v>1496</v>
      </c>
      <c r="B69" s="8" t="str">
        <f>IF($Z69=0,"Film Review Required",INDEX('DEF_CALL_DECISION_SUPPORT'!$A$1:$U$1496,$Z69,2))</f>
        <v>KEY CAPTAIN</v>
      </c>
      <c r="C69" s="12">
        <f>IF($Z69=0,"",INDEX('DEF_CALL_DECISION_SUPPORT'!$A$1:$U$1496,$Z69,3))</f>
        <v>1</v>
      </c>
      <c r="D69" s="10">
        <f>IF($Z69=0,"",INDEX('DEF_CALL_DECISION_SUPPORT'!$A$1:$U$1496,$Z69,4))</f>
        <v>1.0</v>
      </c>
      <c r="E69" s="10">
        <f>IF($Z69=0,"",INDEX('DEF_CALL_DECISION_SUPPORT'!$A$1:$U$1496,$Z69,5))</f>
        <v>0.0</v>
      </c>
      <c r="F69" s="11">
        <f>IF($Z69=0,"",INDEX('DEF_CALL_DECISION_SUPPORT'!$A$1:$U$1496,$Z69,6))</f>
        <v>0.0</v>
      </c>
      <c r="G69" s="11">
        <f>IF($Z69=0,"",INDEX('DEF_CALL_DECISION_SUPPORT'!$A$1:$U$1496,$Z69,10))</f>
        <v>100.0</v>
      </c>
      <c r="H69" s="14" t="str">
        <f>IF($Z69=0,"",INDEX('DEF_CALL_DECISION_SUPPORT'!$A$1:$U$1496,$Z69,9))</f>
        <v>TRACK</v>
      </c>
      <c r="I69" s="14" t="str">
        <f>IF($Z69=0,"",INDEX('DEF_CALL_DECISION_SUPPORT'!$A$1:$U$1496,$Z69,11))</f>
        <v>Track Only</v>
      </c>
      <c r="J69" s="14" t="str">
        <f>IF(Z69=0,"Film Review Required",IF(C69&lt;4,"Sample Watch • ","")&amp;"Broad Concept Proxy")</f>
        <v>Sample Watch • Broad Concept Proxy</v>
      </c>
      <c r="K69" s="9" t="str">
        <f>"Opponent exact-play alert only. No Defensive Exact-Play Sample. "&amp;IF(Z69=0,"Confirm concept mapping and review film before treating this as a defensive candidate.","Metrics describe the confirmed concept; "&amp;IF($Z69=0,"",INDEX('DEF_CALL_DECISION_SUPPORT'!$A$1:$U$1496,$Z69,12)))</f>
        <v>Opponent exact-play alert only. No Defensive Exact-Play Sample. Metrics describe the confirmed concept; Track only; not enough sample.</v>
      </c>
      <c r="L69" s="7" t="s">
        <v>452</v>
      </c>
      <c r="Y69" s="2" t="s">
        <v>2461</v>
      </c>
      <c r="Z69" s="2">
        <f>IF($L69="",0,IFERROR(MATCH(LEN($L69)&amp;":"&amp;$L69&amp;"|",'DEF_CALL_DECISION_SUPPORT'!$U$1264:$U$1440,0)+1264-1,0))</f>
        <v>1322</v>
      </c>
    </row>
    <row r="70" spans="1:26" ht="50" customHeight="1">
      <c r="A70" s="8" t="s">
        <v>1546</v>
      </c>
      <c r="B70" s="8" t="str">
        <f>IF($Z70=0,"Film Review Required",INDEX('DEF_CALL_DECISION_SUPPORT'!$A$1:$U$1496,$Z70,2))</f>
        <v>RAMBO</v>
      </c>
      <c r="C70" s="12">
        <f>IF($Z70=0,"",INDEX('DEF_CALL_DECISION_SUPPORT'!$A$1:$U$1496,$Z70,3))</f>
        <v>4</v>
      </c>
      <c r="D70" s="10">
        <f>IF($Z70=0,"",INDEX('DEF_CALL_DECISION_SUPPORT'!$A$1:$U$1496,$Z70,4))</f>
        <v>1.0</v>
      </c>
      <c r="E70" s="10">
        <f>IF($Z70=0,"",INDEX('DEF_CALL_DECISION_SUPPORT'!$A$1:$U$1496,$Z70,5))</f>
        <v>0.0</v>
      </c>
      <c r="F70" s="11">
        <f>IF($Z70=0,"",INDEX('DEF_CALL_DECISION_SUPPORT'!$A$1:$U$1496,$Z70,6))</f>
        <v>1.0</v>
      </c>
      <c r="G70" s="11">
        <f>IF($Z70=0,"",INDEX('DEF_CALL_DECISION_SUPPORT'!$A$1:$U$1496,$Z70,10))</f>
        <v>99.0</v>
      </c>
      <c r="H70" s="14" t="str">
        <f>IF($Z70=0,"",INDEX('DEF_CALL_DECISION_SUPPORT'!$A$1:$U$1496,$Z70,9))</f>
        <v>MEDIUM</v>
      </c>
      <c r="I70" s="14" t="str">
        <f>IF($Z70=0,"",INDEX('DEF_CALL_DECISION_SUPPORT'!$A$1:$U$1496,$Z70,11))</f>
        <v>Strong Candidate</v>
      </c>
      <c r="J70" s="14" t="str">
        <f>IF(Z70=0,"Film Review Required",IF(C70&lt;4,"Sample Watch • ","")&amp;"Broad Concept Proxy")</f>
        <v>Broad Concept Proxy</v>
      </c>
      <c r="K70" s="9" t="str">
        <f>"Opponent exact-play alert only. No Defensive Exact-Play Sample. "&amp;IF(Z70=0,"Confirm concept mapping and review film before treating this as a defensive candidate.","Metrics describe the confirmed concept; "&amp;IF($Z70=0,"",INDEX('DEF_CALL_DECISION_SUPPORT'!$A$1:$U$1496,$Z70,12)))</f>
        <v>Opponent exact-play alert only. No Defensive Exact-Play Sample. Metrics describe the confirmed concept; Strong call-fit candidate; confirm on film.</v>
      </c>
      <c r="L70" s="7" t="s">
        <v>449</v>
      </c>
      <c r="Y70" s="2" t="s">
        <v>2462</v>
      </c>
      <c r="Z70" s="2">
        <f>IF($L70="",0,IFERROR(MATCH(LEN($L70)&amp;":"&amp;$L70&amp;"|",'DEF_CALL_DECISION_SUPPORT'!$U$1264:$U$1440,0)+1264-1,0))</f>
        <v>1306</v>
      </c>
    </row>
    <row r="71" spans="1:26" ht="50" customHeight="1">
      <c r="A71" s="8" t="s">
        <v>1655</v>
      </c>
      <c r="B71" s="8" t="str">
        <f>IF($Z71=0,"Film Review Required",INDEX('DEF_CALL_DECISION_SUPPORT'!$A$1:$U$1496,$Z71,2))</f>
        <v>RAMBO</v>
      </c>
      <c r="C71" s="12">
        <f>IF($Z71=0,"",INDEX('DEF_CALL_DECISION_SUPPORT'!$A$1:$U$1496,$Z71,3))</f>
        <v>4</v>
      </c>
      <c r="D71" s="10">
        <f>IF($Z71=0,"",INDEX('DEF_CALL_DECISION_SUPPORT'!$A$1:$U$1496,$Z71,4))</f>
        <v>1.0</v>
      </c>
      <c r="E71" s="10">
        <f>IF($Z71=0,"",INDEX('DEF_CALL_DECISION_SUPPORT'!$A$1:$U$1496,$Z71,5))</f>
        <v>0.0</v>
      </c>
      <c r="F71" s="11">
        <f>IF($Z71=0,"",INDEX('DEF_CALL_DECISION_SUPPORT'!$A$1:$U$1496,$Z71,6))</f>
        <v>1.0</v>
      </c>
      <c r="G71" s="11">
        <f>IF($Z71=0,"",INDEX('DEF_CALL_DECISION_SUPPORT'!$A$1:$U$1496,$Z71,10))</f>
        <v>99.0</v>
      </c>
      <c r="H71" s="14" t="str">
        <f>IF($Z71=0,"",INDEX('DEF_CALL_DECISION_SUPPORT'!$A$1:$U$1496,$Z71,9))</f>
        <v>MEDIUM</v>
      </c>
      <c r="I71" s="14" t="str">
        <f>IF($Z71=0,"",INDEX('DEF_CALL_DECISION_SUPPORT'!$A$1:$U$1496,$Z71,11))</f>
        <v>Strong Candidate</v>
      </c>
      <c r="J71" s="14" t="str">
        <f>IF(Z71=0,"Film Review Required",IF(C71&lt;4,"Sample Watch • ","")&amp;"Broad Concept Proxy")</f>
        <v>Broad Concept Proxy</v>
      </c>
      <c r="K71" s="9" t="str">
        <f>"Opponent exact-play alert only. No Defensive Exact-Play Sample. "&amp;IF(Z71=0,"Confirm concept mapping and review film before treating this as a defensive candidate.","Metrics describe the confirmed concept; "&amp;IF($Z71=0,"",INDEX('DEF_CALL_DECISION_SUPPORT'!$A$1:$U$1496,$Z71,12)))</f>
        <v>Opponent exact-play alert only. No Defensive Exact-Play Sample. Metrics describe the confirmed concept; Strong call-fit candidate; confirm on film.</v>
      </c>
      <c r="L71" s="7" t="s">
        <v>449</v>
      </c>
      <c r="Y71" s="2" t="s">
        <v>2463</v>
      </c>
      <c r="Z71" s="2">
        <f>IF($L71="",0,IFERROR(MATCH(LEN($L71)&amp;":"&amp;$L71&amp;"|",'DEF_CALL_DECISION_SUPPORT'!$U$1264:$U$1440,0)+1264-1,0))</f>
        <v>1306</v>
      </c>
    </row>
    <row r="72" spans="1:26" ht="50" customHeight="1">
      <c r="A72" s="8" t="s">
        <v>1413</v>
      </c>
      <c r="B72" s="8" t="str">
        <f>IF($Z72=0,"Film Review Required",INDEX('DEF_CALL_DECISION_SUPPORT'!$A$1:$U$1496,$Z72,2))</f>
        <v>REBEL</v>
      </c>
      <c r="C72" s="12">
        <f>IF($Z72=0,"",INDEX('DEF_CALL_DECISION_SUPPORT'!$A$1:$U$1496,$Z72,3))</f>
        <v>1</v>
      </c>
      <c r="D72" s="10">
        <f>IF($Z72=0,"",INDEX('DEF_CALL_DECISION_SUPPORT'!$A$1:$U$1496,$Z72,4))</f>
        <v>1.0</v>
      </c>
      <c r="E72" s="10">
        <f>IF($Z72=0,"",INDEX('DEF_CALL_DECISION_SUPPORT'!$A$1:$U$1496,$Z72,5))</f>
        <v>0.0</v>
      </c>
      <c r="F72" s="11">
        <f>IF($Z72=0,"",INDEX('DEF_CALL_DECISION_SUPPORT'!$A$1:$U$1496,$Z72,6))</f>
        <v>0.0</v>
      </c>
      <c r="G72" s="11">
        <f>IF($Z72=0,"",INDEX('DEF_CALL_DECISION_SUPPORT'!$A$1:$U$1496,$Z72,10))</f>
        <v>100.0</v>
      </c>
      <c r="H72" s="14" t="str">
        <f>IF($Z72=0,"",INDEX('DEF_CALL_DECISION_SUPPORT'!$A$1:$U$1496,$Z72,9))</f>
        <v>TRACK</v>
      </c>
      <c r="I72" s="14" t="str">
        <f>IF($Z72=0,"",INDEX('DEF_CALL_DECISION_SUPPORT'!$A$1:$U$1496,$Z72,11))</f>
        <v>Track Only</v>
      </c>
      <c r="J72" s="14" t="str">
        <f>IF(Z72=0,"Film Review Required",IF(C72&lt;4,"Sample Watch • ","")&amp;"Broad Concept Proxy")</f>
        <v>Sample Watch • Broad Concept Proxy</v>
      </c>
      <c r="K72" s="9" t="str">
        <f>"Opponent exact-play alert only. No Defensive Exact-Play Sample. "&amp;IF(Z72=0,"Confirm concept mapping and review film before treating this as a defensive candidate.","Metrics describe the confirmed concept; "&amp;IF($Z72=0,"",INDEX('DEF_CALL_DECISION_SUPPORT'!$A$1:$U$1496,$Z72,12)))</f>
        <v>Opponent exact-play alert only. No Defensive Exact-Play Sample. Metrics describe the confirmed concept; Track only; not enough sample.</v>
      </c>
      <c r="L72" s="7" t="s">
        <v>541</v>
      </c>
      <c r="Y72" s="2" t="s">
        <v>2464</v>
      </c>
      <c r="Z72" s="2">
        <f>IF($L72="",0,IFERROR(MATCH(LEN($L72)&amp;":"&amp;$L72&amp;"|",'DEF_CALL_DECISION_SUPPORT'!$U$1264:$U$1440,0)+1264-1,0))</f>
        <v>1409</v>
      </c>
    </row>
    <row r="73" spans="1:26" ht="50" customHeight="1">
      <c r="A73" s="8" t="s">
        <v>1541</v>
      </c>
      <c r="B73" s="8" t="str">
        <f>IF($Z73=0,"Film Review Required",INDEX('DEF_CALL_DECISION_SUPPORT'!$A$1:$U$1496,$Z73,2))</f>
        <v>RAMBO</v>
      </c>
      <c r="C73" s="12">
        <f>IF($Z73=0,"",INDEX('DEF_CALL_DECISION_SUPPORT'!$A$1:$U$1496,$Z73,3))</f>
        <v>4</v>
      </c>
      <c r="D73" s="10">
        <f>IF($Z73=0,"",INDEX('DEF_CALL_DECISION_SUPPORT'!$A$1:$U$1496,$Z73,4))</f>
        <v>1.0</v>
      </c>
      <c r="E73" s="10">
        <f>IF($Z73=0,"",INDEX('DEF_CALL_DECISION_SUPPORT'!$A$1:$U$1496,$Z73,5))</f>
        <v>0.0</v>
      </c>
      <c r="F73" s="11">
        <f>IF($Z73=0,"",INDEX('DEF_CALL_DECISION_SUPPORT'!$A$1:$U$1496,$Z73,6))</f>
        <v>1.0</v>
      </c>
      <c r="G73" s="11">
        <f>IF($Z73=0,"",INDEX('DEF_CALL_DECISION_SUPPORT'!$A$1:$U$1496,$Z73,10))</f>
        <v>99.0</v>
      </c>
      <c r="H73" s="14" t="str">
        <f>IF($Z73=0,"",INDEX('DEF_CALL_DECISION_SUPPORT'!$A$1:$U$1496,$Z73,9))</f>
        <v>MEDIUM</v>
      </c>
      <c r="I73" s="14" t="str">
        <f>IF($Z73=0,"",INDEX('DEF_CALL_DECISION_SUPPORT'!$A$1:$U$1496,$Z73,11))</f>
        <v>Strong Candidate</v>
      </c>
      <c r="J73" s="14" t="str">
        <f>IF(Z73=0,"Film Review Required",IF(C73&lt;4,"Sample Watch • ","")&amp;"Broad Concept Proxy")</f>
        <v>Broad Concept Proxy</v>
      </c>
      <c r="K73" s="9" t="str">
        <f>"Opponent exact-play alert only. No Defensive Exact-Play Sample. "&amp;IF(Z73=0,"Confirm concept mapping and review film before treating this as a defensive candidate.","Metrics describe the confirmed concept; "&amp;IF($Z73=0,"",INDEX('DEF_CALL_DECISION_SUPPORT'!$A$1:$U$1496,$Z73,12)))</f>
        <v>Opponent exact-play alert only. No Defensive Exact-Play Sample. Metrics describe the confirmed concept; Strong call-fit candidate; confirm on film.</v>
      </c>
      <c r="L73" s="7" t="s">
        <v>449</v>
      </c>
      <c r="Y73" s="2" t="s">
        <v>2465</v>
      </c>
      <c r="Z73" s="2">
        <f>IF($L73="",0,IFERROR(MATCH(LEN($L73)&amp;":"&amp;$L73&amp;"|",'DEF_CALL_DECISION_SUPPORT'!$U$1264:$U$1440,0)+1264-1,0))</f>
        <v>1306</v>
      </c>
    </row>
    <row r="74" spans="1:26" ht="50" customHeight="1">
      <c r="A74" s="8" t="s">
        <v>1544</v>
      </c>
      <c r="B74" s="8" t="str">
        <f>IF($Z74=0,"Film Review Required",INDEX('DEF_CALL_DECISION_SUPPORT'!$A$1:$U$1496,$Z74,2))</f>
        <v>RAMBO</v>
      </c>
      <c r="C74" s="12">
        <f>IF($Z74=0,"",INDEX('DEF_CALL_DECISION_SUPPORT'!$A$1:$U$1496,$Z74,3))</f>
        <v>4</v>
      </c>
      <c r="D74" s="10">
        <f>IF($Z74=0,"",INDEX('DEF_CALL_DECISION_SUPPORT'!$A$1:$U$1496,$Z74,4))</f>
        <v>1.0</v>
      </c>
      <c r="E74" s="10">
        <f>IF($Z74=0,"",INDEX('DEF_CALL_DECISION_SUPPORT'!$A$1:$U$1496,$Z74,5))</f>
        <v>0.0</v>
      </c>
      <c r="F74" s="11">
        <f>IF($Z74=0,"",INDEX('DEF_CALL_DECISION_SUPPORT'!$A$1:$U$1496,$Z74,6))</f>
        <v>1.0</v>
      </c>
      <c r="G74" s="11">
        <f>IF($Z74=0,"",INDEX('DEF_CALL_DECISION_SUPPORT'!$A$1:$U$1496,$Z74,10))</f>
        <v>99.0</v>
      </c>
      <c r="H74" s="14" t="str">
        <f>IF($Z74=0,"",INDEX('DEF_CALL_DECISION_SUPPORT'!$A$1:$U$1496,$Z74,9))</f>
        <v>MEDIUM</v>
      </c>
      <c r="I74" s="14" t="str">
        <f>IF($Z74=0,"",INDEX('DEF_CALL_DECISION_SUPPORT'!$A$1:$U$1496,$Z74,11))</f>
        <v>Strong Candidate</v>
      </c>
      <c r="J74" s="14" t="str">
        <f>IF(Z74=0,"Film Review Required",IF(C74&lt;4,"Sample Watch • ","")&amp;"Broad Concept Proxy")</f>
        <v>Broad Concept Proxy</v>
      </c>
      <c r="K74" s="9" t="str">
        <f>"Opponent exact-play alert only. No Defensive Exact-Play Sample. "&amp;IF(Z74=0,"Confirm concept mapping and review film before treating this as a defensive candidate.","Metrics describe the confirmed concept; "&amp;IF($Z74=0,"",INDEX('DEF_CALL_DECISION_SUPPORT'!$A$1:$U$1496,$Z74,12)))</f>
        <v>Opponent exact-play alert only. No Defensive Exact-Play Sample. Metrics describe the confirmed concept; Strong call-fit candidate; confirm on film.</v>
      </c>
      <c r="L74" s="7" t="s">
        <v>449</v>
      </c>
      <c r="Y74" s="2" t="s">
        <v>2466</v>
      </c>
      <c r="Z74" s="2">
        <f>IF($L74="",0,IFERROR(MATCH(LEN($L74)&amp;":"&amp;$L74&amp;"|",'DEF_CALL_DECISION_SUPPORT'!$U$1264:$U$1440,0)+1264-1,0))</f>
        <v>1306</v>
      </c>
    </row>
    <row r="75" spans="1:26" ht="50" customHeight="1">
      <c r="A75" s="8" t="s">
        <v>1572</v>
      </c>
      <c r="B75" s="8" t="str">
        <f>IF($Z75=0,"Film Review Required",INDEX('DEF_CALL_DECISION_SUPPORT'!$A$1:$U$1496,$Z75,2))</f>
        <v>KEY CAPTAIN</v>
      </c>
      <c r="C75" s="12">
        <f>IF($Z75=0,"",INDEX('DEF_CALL_DECISION_SUPPORT'!$A$1:$U$1496,$Z75,3))</f>
        <v>3</v>
      </c>
      <c r="D75" s="10">
        <f>IF($Z75=0,"",INDEX('DEF_CALL_DECISION_SUPPORT'!$A$1:$U$1496,$Z75,4))</f>
        <v>1.0</v>
      </c>
      <c r="E75" s="10">
        <f>IF($Z75=0,"",INDEX('DEF_CALL_DECISION_SUPPORT'!$A$1:$U$1496,$Z75,5))</f>
        <v>0.0</v>
      </c>
      <c r="F75" s="11">
        <f>IF($Z75=0,"",INDEX('DEF_CALL_DECISION_SUPPORT'!$A$1:$U$1496,$Z75,6))</f>
        <v>-2.3333333333333335</v>
      </c>
      <c r="G75" s="11">
        <f>IF($Z75=0,"",INDEX('DEF_CALL_DECISION_SUPPORT'!$A$1:$U$1496,$Z75,10))</f>
        <v>100.0</v>
      </c>
      <c r="H75" s="14" t="str">
        <f>IF($Z75=0,"",INDEX('DEF_CALL_DECISION_SUPPORT'!$A$1:$U$1496,$Z75,9))</f>
        <v>LOW</v>
      </c>
      <c r="I75" s="14" t="str">
        <f>IF($Z75=0,"",INDEX('DEF_CALL_DECISION_SUPPORT'!$A$1:$U$1496,$Z75,11))</f>
        <v>Sample Watch</v>
      </c>
      <c r="J75" s="14" t="str">
        <f>IF(Z75=0,"Film Review Required",IF(C75&lt;4,"Sample Watch • ","")&amp;"Broad Concept Proxy")</f>
        <v>Sample Watch • Broad Concept Proxy</v>
      </c>
      <c r="K75" s="9" t="str">
        <f>"Opponent exact-play alert only. No Defensive Exact-Play Sample. "&amp;IF(Z75=0,"Confirm concept mapping and review film before treating this as a defensive candidate.","Metrics describe the confirmed concept; "&amp;IF($Z75=0,"",INDEX('DEF_CALL_DECISION_SUPPORT'!$A$1:$U$1496,$Z75,12)))</f>
        <v>Opponent exact-play alert only. No Defensive Exact-Play Sample. Metrics describe the confirmed concept; Good signal, but sample is limited.</v>
      </c>
      <c r="L75" s="7" t="s">
        <v>468</v>
      </c>
      <c r="Y75" s="2" t="s">
        <v>2467</v>
      </c>
      <c r="Z75" s="2">
        <f>IF($L75="",0,IFERROR(MATCH(LEN($L75)&amp;":"&amp;$L75&amp;"|",'DEF_CALL_DECISION_SUPPORT'!$U$1264:$U$1440,0)+1264-1,0))</f>
        <v>1400</v>
      </c>
    </row>
    <row r="76" spans="1:26" ht="50" customHeight="1">
      <c r="A76" s="8" t="s">
        <v>1431</v>
      </c>
      <c r="B76" s="8" t="str">
        <f>IF($Z76=0,"Film Review Required",INDEX('DEF_CALL_DECISION_SUPPORT'!$A$1:$U$1496,$Z76,2))</f>
        <v>KEY CAPTAIN</v>
      </c>
      <c r="C76" s="12">
        <f>IF($Z76=0,"",INDEX('DEF_CALL_DECISION_SUPPORT'!$A$1:$U$1496,$Z76,3))</f>
        <v>3</v>
      </c>
      <c r="D76" s="10">
        <f>IF($Z76=0,"",INDEX('DEF_CALL_DECISION_SUPPORT'!$A$1:$U$1496,$Z76,4))</f>
        <v>1.0</v>
      </c>
      <c r="E76" s="10">
        <f>IF($Z76=0,"",INDEX('DEF_CALL_DECISION_SUPPORT'!$A$1:$U$1496,$Z76,5))</f>
        <v>0.0</v>
      </c>
      <c r="F76" s="11">
        <f>IF($Z76=0,"",INDEX('DEF_CALL_DECISION_SUPPORT'!$A$1:$U$1496,$Z76,6))</f>
        <v>-2.3333333333333335</v>
      </c>
      <c r="G76" s="11">
        <f>IF($Z76=0,"",INDEX('DEF_CALL_DECISION_SUPPORT'!$A$1:$U$1496,$Z76,10))</f>
        <v>100.0</v>
      </c>
      <c r="H76" s="14" t="str">
        <f>IF($Z76=0,"",INDEX('DEF_CALL_DECISION_SUPPORT'!$A$1:$U$1496,$Z76,9))</f>
        <v>LOW</v>
      </c>
      <c r="I76" s="14" t="str">
        <f>IF($Z76=0,"",INDEX('DEF_CALL_DECISION_SUPPORT'!$A$1:$U$1496,$Z76,11))</f>
        <v>Sample Watch</v>
      </c>
      <c r="J76" s="14" t="str">
        <f>IF(Z76=0,"Film Review Required",IF(C76&lt;4,"Sample Watch • ","")&amp;"Broad Concept Proxy")</f>
        <v>Sample Watch • Broad Concept Proxy</v>
      </c>
      <c r="K76" s="9" t="str">
        <f>"Opponent exact-play alert only. No Defensive Exact-Play Sample. "&amp;IF(Z76=0,"Confirm concept mapping and review film before treating this as a defensive candidate.","Metrics describe the confirmed concept; "&amp;IF($Z76=0,"",INDEX('DEF_CALL_DECISION_SUPPORT'!$A$1:$U$1496,$Z76,12)))</f>
        <v>Opponent exact-play alert only. No Defensive Exact-Play Sample. Metrics describe the confirmed concept; Good signal, but sample is limited.</v>
      </c>
      <c r="L76" s="7" t="s">
        <v>468</v>
      </c>
      <c r="Y76" s="2" t="s">
        <v>2468</v>
      </c>
      <c r="Z76" s="2">
        <f>IF($L76="",0,IFERROR(MATCH(LEN($L76)&amp;":"&amp;$L76&amp;"|",'DEF_CALL_DECISION_SUPPORT'!$U$1264:$U$1440,0)+1264-1,0))</f>
        <v>1400</v>
      </c>
    </row>
    <row r="77" spans="1:26" ht="50" customHeight="1">
      <c r="A77" s="8" t="s">
        <v>1635</v>
      </c>
      <c r="B77" s="8" t="str">
        <f>IF($Z77=0,"Film Review Required",INDEX('DEF_CALL_DECISION_SUPPORT'!$A$1:$U$1496,$Z77,2))</f>
        <v>Film Review Required</v>
      </c>
      <c r="C77" s="12">
        <f>IF($Z77=0,"",INDEX('DEF_CALL_DECISION_SUPPORT'!$A$1:$U$1496,$Z77,3))</f>
        <v/>
      </c>
      <c r="D77" s="10">
        <f>IF($Z77=0,"",INDEX('DEF_CALL_DECISION_SUPPORT'!$A$1:$U$1496,$Z77,4))</f>
        <v/>
      </c>
      <c r="E77" s="10">
        <f>IF($Z77=0,"",INDEX('DEF_CALL_DECISION_SUPPORT'!$A$1:$U$1496,$Z77,5))</f>
        <v/>
      </c>
      <c r="F77" s="11">
        <f>IF($Z77=0,"",INDEX('DEF_CALL_DECISION_SUPPORT'!$A$1:$U$1496,$Z77,6))</f>
        <v/>
      </c>
      <c r="G77" s="11">
        <f>IF($Z77=0,"",INDEX('DEF_CALL_DECISION_SUPPORT'!$A$1:$U$1496,$Z77,10))</f>
        <v/>
      </c>
      <c r="H77" s="14">
        <f>IF($Z77=0,"",INDEX('DEF_CALL_DECISION_SUPPORT'!$A$1:$U$1496,$Z77,9))</f>
        <v/>
      </c>
      <c r="I77" s="14">
        <f>IF($Z77=0,"",INDEX('DEF_CALL_DECISION_SUPPORT'!$A$1:$U$1496,$Z77,11))</f>
        <v/>
      </c>
      <c r="J77" s="14" t="str">
        <f>IF(Z77=0,"Film Review Required",IF(C77&lt;4,"Sample Watch • ","")&amp;"Broad Concept Proxy")</f>
        <v>Film Review Required</v>
      </c>
      <c r="K77" s="9" t="str">
        <f>"Opponent exact-play alert only. No Defensive Exact-Play Sample. "&amp;IF(Z77=0,"Confirm concept mapping and review film before treating this as a defensive candidate.","Metrics describe the confirmed concept; "&amp;IF($Z77=0,"",INDEX('DEF_CALL_DECISION_SUPPORT'!$A$1:$U$1496,$Z77,12)))</f>
        <v>Opponent exact-play alert only. No Defensive Exact-Play Sample. Confirm concept mapping and review film before treating this as a defensive candidate.</v>
      </c>
      <c r="L77" s="7"/>
      <c r="Y77" s="2" t="s">
        <v>2469</v>
      </c>
      <c r="Z77" s="2">
        <f>IF($L77="",0,IFERROR(MATCH(LEN($L77)&amp;":"&amp;$L77&amp;"|",'DEF_CALL_DECISION_SUPPORT'!$U$1264:$U$1440,0)+1264-1,0))</f>
        <v>0</v>
      </c>
    </row>
    <row r="78" spans="1:26" ht="50" customHeight="1">
      <c r="A78" s="8" t="s">
        <v>49</v>
      </c>
      <c r="B78" s="8" t="str">
        <f>IF($Z78=0,"Film Review Required",INDEX('DEF_CALL_DECISION_SUPPORT'!$A$1:$U$1496,$Z78,2))</f>
        <v>Film Review Required</v>
      </c>
      <c r="C78" s="12">
        <f>IF($Z78=0,"",INDEX('DEF_CALL_DECISION_SUPPORT'!$A$1:$U$1496,$Z78,3))</f>
        <v/>
      </c>
      <c r="D78" s="10">
        <f>IF($Z78=0,"",INDEX('DEF_CALL_DECISION_SUPPORT'!$A$1:$U$1496,$Z78,4))</f>
        <v/>
      </c>
      <c r="E78" s="10">
        <f>IF($Z78=0,"",INDEX('DEF_CALL_DECISION_SUPPORT'!$A$1:$U$1496,$Z78,5))</f>
        <v/>
      </c>
      <c r="F78" s="11">
        <f>IF($Z78=0,"",INDEX('DEF_CALL_DECISION_SUPPORT'!$A$1:$U$1496,$Z78,6))</f>
        <v/>
      </c>
      <c r="G78" s="11">
        <f>IF($Z78=0,"",INDEX('DEF_CALL_DECISION_SUPPORT'!$A$1:$U$1496,$Z78,10))</f>
        <v/>
      </c>
      <c r="H78" s="14">
        <f>IF($Z78=0,"",INDEX('DEF_CALL_DECISION_SUPPORT'!$A$1:$U$1496,$Z78,9))</f>
        <v/>
      </c>
      <c r="I78" s="14">
        <f>IF($Z78=0,"",INDEX('DEF_CALL_DECISION_SUPPORT'!$A$1:$U$1496,$Z78,11))</f>
        <v/>
      </c>
      <c r="J78" s="14" t="str">
        <f>IF(Z78=0,"Film Review Required",IF(C78&lt;4,"Sample Watch • ","")&amp;"Broad Concept Proxy")</f>
        <v>Film Review Required</v>
      </c>
      <c r="K78" s="9" t="str">
        <f>"Opponent exact-play alert only. No Defensive Exact-Play Sample. "&amp;IF(Z78=0,"Confirm concept mapping and review film before treating this as a defensive candidate.","Metrics describe the confirmed concept; "&amp;IF($Z78=0,"",INDEX('DEF_CALL_DECISION_SUPPORT'!$A$1:$U$1496,$Z78,12)))</f>
        <v>Opponent exact-play alert only. No Defensive Exact-Play Sample. Confirm concept mapping and review film before treating this as a defensive candidate.</v>
      </c>
      <c r="L78" s="7"/>
      <c r="Y78" s="2" t="s">
        <v>2470</v>
      </c>
      <c r="Z78" s="2">
        <f>IF($L78="",0,IFERROR(MATCH(LEN($L78)&amp;":"&amp;$L78&amp;"|",'DEF_CALL_DECISION_SUPPORT'!$U$1264:$U$1440,0)+1264-1,0))</f>
        <v>0</v>
      </c>
    </row>
    <row r="79" spans="1:26" ht="50" customHeight="1">
      <c r="A79" s="8" t="s">
        <v>1476</v>
      </c>
      <c r="B79" s="8" t="str">
        <f>IF($Z79=0,"Film Review Required",INDEX('DEF_CALL_DECISION_SUPPORT'!$A$1:$U$1496,$Z79,2))</f>
        <v>SMOKE BUC</v>
      </c>
      <c r="C79" s="12">
        <f>IF($Z79=0,"",INDEX('DEF_CALL_DECISION_SUPPORT'!$A$1:$U$1496,$Z79,3))</f>
        <v>1</v>
      </c>
      <c r="D79" s="10">
        <f>IF($Z79=0,"",INDEX('DEF_CALL_DECISION_SUPPORT'!$A$1:$U$1496,$Z79,4))</f>
        <v>1.0</v>
      </c>
      <c r="E79" s="10">
        <f>IF($Z79=0,"",INDEX('DEF_CALL_DECISION_SUPPORT'!$A$1:$U$1496,$Z79,5))</f>
        <v>0.0</v>
      </c>
      <c r="F79" s="11">
        <f>IF($Z79=0,"",INDEX('DEF_CALL_DECISION_SUPPORT'!$A$1:$U$1496,$Z79,6))</f>
        <v>4.0</v>
      </c>
      <c r="G79" s="11">
        <f>IF($Z79=0,"",INDEX('DEF_CALL_DECISION_SUPPORT'!$A$1:$U$1496,$Z79,10))</f>
        <v>96.0</v>
      </c>
      <c r="H79" s="14" t="str">
        <f>IF($Z79=0,"",INDEX('DEF_CALL_DECISION_SUPPORT'!$A$1:$U$1496,$Z79,9))</f>
        <v>TRACK</v>
      </c>
      <c r="I79" s="14" t="str">
        <f>IF($Z79=0,"",INDEX('DEF_CALL_DECISION_SUPPORT'!$A$1:$U$1496,$Z79,11))</f>
        <v>Track Only</v>
      </c>
      <c r="J79" s="14" t="str">
        <f>IF(Z79=0,"Film Review Required",IF(C79&lt;4,"Sample Watch • ","")&amp;"Broad Concept Proxy")</f>
        <v>Sample Watch • Broad Concept Proxy</v>
      </c>
      <c r="K79" s="9" t="str">
        <f>"Opponent exact-play alert only. No Defensive Exact-Play Sample. "&amp;IF(Z79=0,"Confirm concept mapping and review film before treating this as a defensive candidate.","Metrics describe the confirmed concept; "&amp;IF($Z79=0,"",INDEX('DEF_CALL_DECISION_SUPPORT'!$A$1:$U$1496,$Z79,12)))</f>
        <v>Opponent exact-play alert only. No Defensive Exact-Play Sample. Metrics describe the confirmed concept; Track only; not enough sample.</v>
      </c>
      <c r="L79" s="7" t="s">
        <v>561</v>
      </c>
      <c r="Y79" s="2" t="s">
        <v>2471</v>
      </c>
      <c r="Z79" s="2">
        <f>IF($L79="",0,IFERROR(MATCH(LEN($L79)&amp;":"&amp;$L79&amp;"|",'DEF_CALL_DECISION_SUPPORT'!$U$1264:$U$1440,0)+1264-1,0))</f>
        <v>1344</v>
      </c>
    </row>
    <row r="80" spans="1:26" ht="50" customHeight="1">
      <c r="A80" s="8" t="s">
        <v>1435</v>
      </c>
      <c r="B80" s="8" t="str">
        <f>IF($Z80=0,"Film Review Required",INDEX('DEF_CALL_DECISION_SUPPORT'!$A$1:$U$1496,$Z80,2))</f>
        <v>Film Review Required</v>
      </c>
      <c r="C80" s="12">
        <f>IF($Z80=0,"",INDEX('DEF_CALL_DECISION_SUPPORT'!$A$1:$U$1496,$Z80,3))</f>
        <v/>
      </c>
      <c r="D80" s="10">
        <f>IF($Z80=0,"",INDEX('DEF_CALL_DECISION_SUPPORT'!$A$1:$U$1496,$Z80,4))</f>
        <v/>
      </c>
      <c r="E80" s="10">
        <f>IF($Z80=0,"",INDEX('DEF_CALL_DECISION_SUPPORT'!$A$1:$U$1496,$Z80,5))</f>
        <v/>
      </c>
      <c r="F80" s="11">
        <f>IF($Z80=0,"",INDEX('DEF_CALL_DECISION_SUPPORT'!$A$1:$U$1496,$Z80,6))</f>
        <v/>
      </c>
      <c r="G80" s="11">
        <f>IF($Z80=0,"",INDEX('DEF_CALL_DECISION_SUPPORT'!$A$1:$U$1496,$Z80,10))</f>
        <v/>
      </c>
      <c r="H80" s="14">
        <f>IF($Z80=0,"",INDEX('DEF_CALL_DECISION_SUPPORT'!$A$1:$U$1496,$Z80,9))</f>
        <v/>
      </c>
      <c r="I80" s="14">
        <f>IF($Z80=0,"",INDEX('DEF_CALL_DECISION_SUPPORT'!$A$1:$U$1496,$Z80,11))</f>
        <v/>
      </c>
      <c r="J80" s="14" t="str">
        <f>IF(Z80=0,"Film Review Required",IF(C80&lt;4,"Sample Watch • ","")&amp;"Broad Concept Proxy")</f>
        <v>Film Review Required</v>
      </c>
      <c r="K80" s="9" t="str">
        <f>"Opponent exact-play alert only. No Defensive Exact-Play Sample. "&amp;IF(Z80=0,"Confirm concept mapping and review film before treating this as a defensive candidate.","Metrics describe the confirmed concept; "&amp;IF($Z80=0,"",INDEX('DEF_CALL_DECISION_SUPPORT'!$A$1:$U$1496,$Z80,12)))</f>
        <v>Opponent exact-play alert only. No Defensive Exact-Play Sample. Confirm concept mapping and review film before treating this as a defensive candidate.</v>
      </c>
      <c r="L80" s="7" t="s">
        <v>800</v>
      </c>
      <c r="Y80" s="2" t="s">
        <v>2472</v>
      </c>
      <c r="Z80" s="2">
        <f>IF($L80="",0,IFERROR(MATCH(LEN($L80)&amp;":"&amp;$L80&amp;"|",'DEF_CALL_DECISION_SUPPORT'!$U$1264:$U$1440,0)+1264-1,0))</f>
        <v>0</v>
      </c>
    </row>
    <row r="81" spans="1:26" ht="50" customHeight="1">
      <c r="A81" s="8" t="s">
        <v>1488</v>
      </c>
      <c r="B81" s="8" t="str">
        <f>IF($Z81=0,"Film Review Required",INDEX('DEF_CALL_DECISION_SUPPORT'!$A$1:$U$1496,$Z81,2))</f>
        <v>Film Review Required</v>
      </c>
      <c r="C81" s="12">
        <f>IF($Z81=0,"",INDEX('DEF_CALL_DECISION_SUPPORT'!$A$1:$U$1496,$Z81,3))</f>
        <v/>
      </c>
      <c r="D81" s="10">
        <f>IF($Z81=0,"",INDEX('DEF_CALL_DECISION_SUPPORT'!$A$1:$U$1496,$Z81,4))</f>
        <v/>
      </c>
      <c r="E81" s="10">
        <f>IF($Z81=0,"",INDEX('DEF_CALL_DECISION_SUPPORT'!$A$1:$U$1496,$Z81,5))</f>
        <v/>
      </c>
      <c r="F81" s="11">
        <f>IF($Z81=0,"",INDEX('DEF_CALL_DECISION_SUPPORT'!$A$1:$U$1496,$Z81,6))</f>
        <v/>
      </c>
      <c r="G81" s="11">
        <f>IF($Z81=0,"",INDEX('DEF_CALL_DECISION_SUPPORT'!$A$1:$U$1496,$Z81,10))</f>
        <v/>
      </c>
      <c r="H81" s="14">
        <f>IF($Z81=0,"",INDEX('DEF_CALL_DECISION_SUPPORT'!$A$1:$U$1496,$Z81,9))</f>
        <v/>
      </c>
      <c r="I81" s="14">
        <f>IF($Z81=0,"",INDEX('DEF_CALL_DECISION_SUPPORT'!$A$1:$U$1496,$Z81,11))</f>
        <v/>
      </c>
      <c r="J81" s="14" t="str">
        <f>IF(Z81=0,"Film Review Required",IF(C81&lt;4,"Sample Watch • ","")&amp;"Broad Concept Proxy")</f>
        <v>Film Review Required</v>
      </c>
      <c r="K81" s="9" t="str">
        <f>"Opponent exact-play alert only. No Defensive Exact-Play Sample. "&amp;IF(Z81=0,"Confirm concept mapping and review film before treating this as a defensive candidate.","Metrics describe the confirmed concept; "&amp;IF($Z81=0,"",INDEX('DEF_CALL_DECISION_SUPPORT'!$A$1:$U$1496,$Z81,12)))</f>
        <v>Opponent exact-play alert only. No Defensive Exact-Play Sample. Confirm concept mapping and review film before treating this as a defensive candidate.</v>
      </c>
      <c r="L81" s="7" t="s">
        <v>800</v>
      </c>
      <c r="Y81" s="2" t="s">
        <v>2473</v>
      </c>
      <c r="Z81" s="2">
        <f>IF($L81="",0,IFERROR(MATCH(LEN($L81)&amp;":"&amp;$L81&amp;"|",'DEF_CALL_DECISION_SUPPORT'!$U$1264:$U$1440,0)+1264-1,0))</f>
        <v>0</v>
      </c>
    </row>
    <row r="82" spans="1:26" ht="50" customHeight="1">
      <c r="A82" s="8" t="s">
        <v>1483</v>
      </c>
      <c r="B82" s="8" t="str">
        <f>IF($Z82=0,"Film Review Required",INDEX('DEF_CALL_DECISION_SUPPORT'!$A$1:$U$1496,$Z82,2))</f>
        <v>Film Review Required</v>
      </c>
      <c r="C82" s="12">
        <f>IF($Z82=0,"",INDEX('DEF_CALL_DECISION_SUPPORT'!$A$1:$U$1496,$Z82,3))</f>
        <v/>
      </c>
      <c r="D82" s="10">
        <f>IF($Z82=0,"",INDEX('DEF_CALL_DECISION_SUPPORT'!$A$1:$U$1496,$Z82,4))</f>
        <v/>
      </c>
      <c r="E82" s="10">
        <f>IF($Z82=0,"",INDEX('DEF_CALL_DECISION_SUPPORT'!$A$1:$U$1496,$Z82,5))</f>
        <v/>
      </c>
      <c r="F82" s="11">
        <f>IF($Z82=0,"",INDEX('DEF_CALL_DECISION_SUPPORT'!$A$1:$U$1496,$Z82,6))</f>
        <v/>
      </c>
      <c r="G82" s="11">
        <f>IF($Z82=0,"",INDEX('DEF_CALL_DECISION_SUPPORT'!$A$1:$U$1496,$Z82,10))</f>
        <v/>
      </c>
      <c r="H82" s="14">
        <f>IF($Z82=0,"",INDEX('DEF_CALL_DECISION_SUPPORT'!$A$1:$U$1496,$Z82,9))</f>
        <v/>
      </c>
      <c r="I82" s="14">
        <f>IF($Z82=0,"",INDEX('DEF_CALL_DECISION_SUPPORT'!$A$1:$U$1496,$Z82,11))</f>
        <v/>
      </c>
      <c r="J82" s="14" t="str">
        <f>IF(Z82=0,"Film Review Required",IF(C82&lt;4,"Sample Watch • ","")&amp;"Broad Concept Proxy")</f>
        <v>Film Review Required</v>
      </c>
      <c r="K82" s="9" t="str">
        <f>"Opponent exact-play alert only. No Defensive Exact-Play Sample. "&amp;IF(Z82=0,"Confirm concept mapping and review film before treating this as a defensive candidate.","Metrics describe the confirmed concept; "&amp;IF($Z82=0,"",INDEX('DEF_CALL_DECISION_SUPPORT'!$A$1:$U$1496,$Z82,12)))</f>
        <v>Opponent exact-play alert only. No Defensive Exact-Play Sample. Confirm concept mapping and review film before treating this as a defensive candidate.</v>
      </c>
      <c r="L82" s="7" t="s">
        <v>878</v>
      </c>
      <c r="Y82" s="2" t="s">
        <v>2474</v>
      </c>
      <c r="Z82" s="2">
        <f>IF($L82="",0,IFERROR(MATCH(LEN($L82)&amp;":"&amp;$L82&amp;"|",'DEF_CALL_DECISION_SUPPORT'!$U$1264:$U$1440,0)+1264-1,0))</f>
        <v>0</v>
      </c>
    </row>
    <row r="83" spans="1:26" ht="50" customHeight="1">
      <c r="A83" s="8" t="s">
        <v>1503</v>
      </c>
      <c r="B83" s="8" t="str">
        <f>IF($Z83=0,"Film Review Required",INDEX('DEF_CALL_DECISION_SUPPORT'!$A$1:$U$1496,$Z83,2))</f>
        <v>Film Review Required</v>
      </c>
      <c r="C83" s="12">
        <f>IF($Z83=0,"",INDEX('DEF_CALL_DECISION_SUPPORT'!$A$1:$U$1496,$Z83,3))</f>
        <v/>
      </c>
      <c r="D83" s="10">
        <f>IF($Z83=0,"",INDEX('DEF_CALL_DECISION_SUPPORT'!$A$1:$U$1496,$Z83,4))</f>
        <v/>
      </c>
      <c r="E83" s="10">
        <f>IF($Z83=0,"",INDEX('DEF_CALL_DECISION_SUPPORT'!$A$1:$U$1496,$Z83,5))</f>
        <v/>
      </c>
      <c r="F83" s="11">
        <f>IF($Z83=0,"",INDEX('DEF_CALL_DECISION_SUPPORT'!$A$1:$U$1496,$Z83,6))</f>
        <v/>
      </c>
      <c r="G83" s="11">
        <f>IF($Z83=0,"",INDEX('DEF_CALL_DECISION_SUPPORT'!$A$1:$U$1496,$Z83,10))</f>
        <v/>
      </c>
      <c r="H83" s="14">
        <f>IF($Z83=0,"",INDEX('DEF_CALL_DECISION_SUPPORT'!$A$1:$U$1496,$Z83,9))</f>
        <v/>
      </c>
      <c r="I83" s="14">
        <f>IF($Z83=0,"",INDEX('DEF_CALL_DECISION_SUPPORT'!$A$1:$U$1496,$Z83,11))</f>
        <v/>
      </c>
      <c r="J83" s="14" t="str">
        <f>IF(Z83=0,"Film Review Required",IF(C83&lt;4,"Sample Watch • ","")&amp;"Broad Concept Proxy")</f>
        <v>Film Review Required</v>
      </c>
      <c r="K83" s="9" t="str">
        <f>"Opponent exact-play alert only. No Defensive Exact-Play Sample. "&amp;IF(Z83=0,"Confirm concept mapping and review film before treating this as a defensive candidate.","Metrics describe the confirmed concept; "&amp;IF($Z83=0,"",INDEX('DEF_CALL_DECISION_SUPPORT'!$A$1:$U$1496,$Z83,12)))</f>
        <v>Opponent exact-play alert only. No Defensive Exact-Play Sample. Confirm concept mapping and review film before treating this as a defensive candidate.</v>
      </c>
      <c r="L83" s="7" t="s">
        <v>878</v>
      </c>
      <c r="Y83" s="2" t="s">
        <v>2475</v>
      </c>
      <c r="Z83" s="2">
        <f>IF($L83="",0,IFERROR(MATCH(LEN($L83)&amp;":"&amp;$L83&amp;"|",'DEF_CALL_DECISION_SUPPORT'!$U$1264:$U$1440,0)+1264-1,0))</f>
        <v>0</v>
      </c>
    </row>
    <row r="84" spans="1:26" ht="50" customHeight="1">
      <c r="A84" s="8" t="s">
        <v>1619</v>
      </c>
      <c r="B84" s="8" t="str">
        <f>IF($Z84=0,"Film Review Required",INDEX('DEF_CALL_DECISION_SUPPORT'!$A$1:$U$1496,$Z84,2))</f>
        <v>Film Review Required</v>
      </c>
      <c r="C84" s="12">
        <f>IF($Z84=0,"",INDEX('DEF_CALL_DECISION_SUPPORT'!$A$1:$U$1496,$Z84,3))</f>
        <v/>
      </c>
      <c r="D84" s="10">
        <f>IF($Z84=0,"",INDEX('DEF_CALL_DECISION_SUPPORT'!$A$1:$U$1496,$Z84,4))</f>
        <v/>
      </c>
      <c r="E84" s="10">
        <f>IF($Z84=0,"",INDEX('DEF_CALL_DECISION_SUPPORT'!$A$1:$U$1496,$Z84,5))</f>
        <v/>
      </c>
      <c r="F84" s="11">
        <f>IF($Z84=0,"",INDEX('DEF_CALL_DECISION_SUPPORT'!$A$1:$U$1496,$Z84,6))</f>
        <v/>
      </c>
      <c r="G84" s="11">
        <f>IF($Z84=0,"",INDEX('DEF_CALL_DECISION_SUPPORT'!$A$1:$U$1496,$Z84,10))</f>
        <v/>
      </c>
      <c r="H84" s="14">
        <f>IF($Z84=0,"",INDEX('DEF_CALL_DECISION_SUPPORT'!$A$1:$U$1496,$Z84,9))</f>
        <v/>
      </c>
      <c r="I84" s="14">
        <f>IF($Z84=0,"",INDEX('DEF_CALL_DECISION_SUPPORT'!$A$1:$U$1496,$Z84,11))</f>
        <v/>
      </c>
      <c r="J84" s="14" t="str">
        <f>IF(Z84=0,"Film Review Required",IF(C84&lt;4,"Sample Watch • ","")&amp;"Broad Concept Proxy")</f>
        <v>Film Review Required</v>
      </c>
      <c r="K84" s="9" t="str">
        <f>"Opponent exact-play alert only. No Defensive Exact-Play Sample. "&amp;IF(Z84=0,"Confirm concept mapping and review film before treating this as a defensive candidate.","Metrics describe the confirmed concept; "&amp;IF($Z84=0,"",INDEX('DEF_CALL_DECISION_SUPPORT'!$A$1:$U$1496,$Z84,12)))</f>
        <v>Opponent exact-play alert only. No Defensive Exact-Play Sample. Confirm concept mapping and review film before treating this as a defensive candidate.</v>
      </c>
      <c r="L84" s="7" t="s">
        <v>878</v>
      </c>
      <c r="Y84" s="2" t="s">
        <v>2476</v>
      </c>
      <c r="Z84" s="2">
        <f>IF($L84="",0,IFERROR(MATCH(LEN($L84)&amp;":"&amp;$L84&amp;"|",'DEF_CALL_DECISION_SUPPORT'!$U$1264:$U$1440,0)+1264-1,0))</f>
        <v>0</v>
      </c>
    </row>
    <row r="85" spans="1:26" ht="50" customHeight="1">
      <c r="A85" s="8" t="s">
        <v>1410</v>
      </c>
      <c r="B85" s="8" t="str">
        <f>IF($Z85=0,"Film Review Required",INDEX('DEF_CALL_DECISION_SUPPORT'!$A$1:$U$1496,$Z85,2))</f>
        <v>SWAP</v>
      </c>
      <c r="C85" s="12">
        <f>IF($Z85=0,"",INDEX('DEF_CALL_DECISION_SUPPORT'!$A$1:$U$1496,$Z85,3))</f>
        <v>1</v>
      </c>
      <c r="D85" s="10">
        <f>IF($Z85=0,"",INDEX('DEF_CALL_DECISION_SUPPORT'!$A$1:$U$1496,$Z85,4))</f>
        <v>1.0</v>
      </c>
      <c r="E85" s="10">
        <f>IF($Z85=0,"",INDEX('DEF_CALL_DECISION_SUPPORT'!$A$1:$U$1496,$Z85,5))</f>
        <v>0.0</v>
      </c>
      <c r="F85" s="11">
        <f>IF($Z85=0,"",INDEX('DEF_CALL_DECISION_SUPPORT'!$A$1:$U$1496,$Z85,6))</f>
        <v>3.0</v>
      </c>
      <c r="G85" s="11">
        <f>IF($Z85=0,"",INDEX('DEF_CALL_DECISION_SUPPORT'!$A$1:$U$1496,$Z85,10))</f>
        <v>97.0</v>
      </c>
      <c r="H85" s="14" t="str">
        <f>IF($Z85=0,"",INDEX('DEF_CALL_DECISION_SUPPORT'!$A$1:$U$1496,$Z85,9))</f>
        <v>TRACK</v>
      </c>
      <c r="I85" s="14" t="str">
        <f>IF($Z85=0,"",INDEX('DEF_CALL_DECISION_SUPPORT'!$A$1:$U$1496,$Z85,11))</f>
        <v>Track Only</v>
      </c>
      <c r="J85" s="14" t="str">
        <f>IF(Z85=0,"Film Review Required",IF(C85&lt;4,"Sample Watch • ","")&amp;"Broad Concept Proxy")</f>
        <v>Sample Watch • Broad Concept Proxy</v>
      </c>
      <c r="K85" s="9" t="str">
        <f>"Opponent exact-play alert only. No Defensive Exact-Play Sample. "&amp;IF(Z85=0,"Confirm concept mapping and review film before treating this as a defensive candidate.","Metrics describe the confirmed concept; "&amp;IF($Z85=0,"",INDEX('DEF_CALL_DECISION_SUPPORT'!$A$1:$U$1496,$Z85,12)))</f>
        <v>Opponent exact-play alert only. No Defensive Exact-Play Sample. Metrics describe the confirmed concept; Track only; not enough sample.</v>
      </c>
      <c r="L85" s="7" t="s">
        <v>611</v>
      </c>
      <c r="Y85" s="2" t="s">
        <v>2477</v>
      </c>
      <c r="Z85" s="2">
        <f>IF($L85="",0,IFERROR(MATCH(LEN($L85)&amp;":"&amp;$L85&amp;"|",'DEF_CALL_DECISION_SUPPORT'!$U$1264:$U$1440,0)+1264-1,0))</f>
        <v>1340</v>
      </c>
    </row>
    <row r="86" spans="1:26" ht="50" customHeight="1">
      <c r="A86" s="8" t="s">
        <v>1429</v>
      </c>
      <c r="B86" s="8" t="str">
        <f>IF($Z86=0,"Film Review Required",INDEX('DEF_CALL_DECISION_SUPPORT'!$A$1:$U$1496,$Z86,2))</f>
        <v>Q RAMBO</v>
      </c>
      <c r="C86" s="12">
        <f>IF($Z86=0,"",INDEX('DEF_CALL_DECISION_SUPPORT'!$A$1:$U$1496,$Z86,3))</f>
        <v>1</v>
      </c>
      <c r="D86" s="10">
        <f>IF($Z86=0,"",INDEX('DEF_CALL_DECISION_SUPPORT'!$A$1:$U$1496,$Z86,4))</f>
        <v>1.0</v>
      </c>
      <c r="E86" s="10">
        <f>IF($Z86=0,"",INDEX('DEF_CALL_DECISION_SUPPORT'!$A$1:$U$1496,$Z86,5))</f>
        <v>0.0</v>
      </c>
      <c r="F86" s="11">
        <f>IF($Z86=0,"",INDEX('DEF_CALL_DECISION_SUPPORT'!$A$1:$U$1496,$Z86,6))</f>
        <v>-1.0</v>
      </c>
      <c r="G86" s="11">
        <f>IF($Z86=0,"",INDEX('DEF_CALL_DECISION_SUPPORT'!$A$1:$U$1496,$Z86,10))</f>
        <v>100.0</v>
      </c>
      <c r="H86" s="14" t="str">
        <f>IF($Z86=0,"",INDEX('DEF_CALL_DECISION_SUPPORT'!$A$1:$U$1496,$Z86,9))</f>
        <v>TRACK</v>
      </c>
      <c r="I86" s="14" t="str">
        <f>IF($Z86=0,"",INDEX('DEF_CALL_DECISION_SUPPORT'!$A$1:$U$1496,$Z86,11))</f>
        <v>Track Only</v>
      </c>
      <c r="J86" s="14" t="str">
        <f>IF(Z86=0,"Film Review Required",IF(C86&lt;4,"Sample Watch • ","")&amp;"Broad Concept Proxy")</f>
        <v>Sample Watch • Broad Concept Proxy</v>
      </c>
      <c r="K86" s="9" t="str">
        <f>"Opponent exact-play alert only. No Defensive Exact-Play Sample. "&amp;IF(Z86=0,"Confirm concept mapping and review film before treating this as a defensive candidate.","Metrics describe the confirmed concept; "&amp;IF($Z86=0,"",INDEX('DEF_CALL_DECISION_SUPPORT'!$A$1:$U$1496,$Z86,12)))</f>
        <v>Opponent exact-play alert only. No Defensive Exact-Play Sample. Metrics describe the confirmed concept; Track only; not enough sample.</v>
      </c>
      <c r="L86" s="7" t="s">
        <v>574</v>
      </c>
      <c r="Y86" s="2" t="s">
        <v>2478</v>
      </c>
      <c r="Z86" s="2">
        <f>IF($L86="",0,IFERROR(MATCH(LEN($L86)&amp;":"&amp;$L86&amp;"|",'DEF_CALL_DECISION_SUPPORT'!$U$1264:$U$1440,0)+1264-1,0))</f>
        <v>1377</v>
      </c>
    </row>
    <row r="87" spans="1:26" ht="50" customHeight="1">
      <c r="A87" s="8" t="s">
        <v>1455</v>
      </c>
      <c r="B87" s="8" t="str">
        <f>IF($Z87=0,"Film Review Required",INDEX('DEF_CALL_DECISION_SUPPORT'!$A$1:$U$1496,$Z87,2))</f>
        <v>KEY BOURBON</v>
      </c>
      <c r="C87" s="12">
        <f>IF($Z87=0,"",INDEX('DEF_CALL_DECISION_SUPPORT'!$A$1:$U$1496,$Z87,3))</f>
        <v>1</v>
      </c>
      <c r="D87" s="10">
        <f>IF($Z87=0,"",INDEX('DEF_CALL_DECISION_SUPPORT'!$A$1:$U$1496,$Z87,4))</f>
        <v>1.0</v>
      </c>
      <c r="E87" s="10">
        <f>IF($Z87=0,"",INDEX('DEF_CALL_DECISION_SUPPORT'!$A$1:$U$1496,$Z87,5))</f>
        <v>0.0</v>
      </c>
      <c r="F87" s="11">
        <f>IF($Z87=0,"",INDEX('DEF_CALL_DECISION_SUPPORT'!$A$1:$U$1496,$Z87,6))</f>
        <v>0.0</v>
      </c>
      <c r="G87" s="11">
        <f>IF($Z87=0,"",INDEX('DEF_CALL_DECISION_SUPPORT'!$A$1:$U$1496,$Z87,10))</f>
        <v>100.0</v>
      </c>
      <c r="H87" s="14" t="str">
        <f>IF($Z87=0,"",INDEX('DEF_CALL_DECISION_SUPPORT'!$A$1:$U$1496,$Z87,9))</f>
        <v>TRACK</v>
      </c>
      <c r="I87" s="14" t="str">
        <f>IF($Z87=0,"",INDEX('DEF_CALL_DECISION_SUPPORT'!$A$1:$U$1496,$Z87,11))</f>
        <v>Track Only</v>
      </c>
      <c r="J87" s="14" t="str">
        <f>IF(Z87=0,"Film Review Required",IF(C87&lt;4,"Sample Watch • ","")&amp;"Broad Concept Proxy")</f>
        <v>Sample Watch • Broad Concept Proxy</v>
      </c>
      <c r="K87" s="9" t="str">
        <f>"Opponent exact-play alert only. No Defensive Exact-Play Sample. "&amp;IF(Z87=0,"Confirm concept mapping and review film before treating this as a defensive candidate.","Metrics describe the confirmed concept; "&amp;IF($Z87=0,"",INDEX('DEF_CALL_DECISION_SUPPORT'!$A$1:$U$1496,$Z87,12)))</f>
        <v>Opponent exact-play alert only. No Defensive Exact-Play Sample. Metrics describe the confirmed concept; Track only; not enough sample.</v>
      </c>
      <c r="L87" s="7" t="s">
        <v>480</v>
      </c>
      <c r="Y87" s="2" t="s">
        <v>2479</v>
      </c>
      <c r="Z87" s="2">
        <f>IF($L87="",0,IFERROR(MATCH(LEN($L87)&amp;":"&amp;$L87&amp;"|",'DEF_CALL_DECISION_SUPPORT'!$U$1264:$U$1440,0)+1264-1,0))</f>
        <v>1438</v>
      </c>
    </row>
    <row r="88" spans="1:26" ht="50" customHeight="1">
      <c r="A88" s="8" t="s">
        <v>1395</v>
      </c>
      <c r="B88" s="8" t="str">
        <f>IF($Z88=0,"Film Review Required",INDEX('DEF_CALL_DECISION_SUPPORT'!$A$1:$U$1496,$Z88,2))</f>
        <v>RAMBO</v>
      </c>
      <c r="C88" s="12">
        <f>IF($Z88=0,"",INDEX('DEF_CALL_DECISION_SUPPORT'!$A$1:$U$1496,$Z88,3))</f>
        <v>4</v>
      </c>
      <c r="D88" s="10">
        <f>IF($Z88=0,"",INDEX('DEF_CALL_DECISION_SUPPORT'!$A$1:$U$1496,$Z88,4))</f>
        <v>1.0</v>
      </c>
      <c r="E88" s="10">
        <f>IF($Z88=0,"",INDEX('DEF_CALL_DECISION_SUPPORT'!$A$1:$U$1496,$Z88,5))</f>
        <v>0.0</v>
      </c>
      <c r="F88" s="11">
        <f>IF($Z88=0,"",INDEX('DEF_CALL_DECISION_SUPPORT'!$A$1:$U$1496,$Z88,6))</f>
        <v>1.0</v>
      </c>
      <c r="G88" s="11">
        <f>IF($Z88=0,"",INDEX('DEF_CALL_DECISION_SUPPORT'!$A$1:$U$1496,$Z88,10))</f>
        <v>99.0</v>
      </c>
      <c r="H88" s="14" t="str">
        <f>IF($Z88=0,"",INDEX('DEF_CALL_DECISION_SUPPORT'!$A$1:$U$1496,$Z88,9))</f>
        <v>MEDIUM</v>
      </c>
      <c r="I88" s="14" t="str">
        <f>IF($Z88=0,"",INDEX('DEF_CALL_DECISION_SUPPORT'!$A$1:$U$1496,$Z88,11))</f>
        <v>Strong Candidate</v>
      </c>
      <c r="J88" s="14" t="str">
        <f>IF(Z88=0,"Film Review Required",IF(C88&lt;4,"Sample Watch • ","")&amp;"Broad Concept Proxy")</f>
        <v>Broad Concept Proxy</v>
      </c>
      <c r="K88" s="9" t="str">
        <f>"Opponent exact-play alert only. No Defensive Exact-Play Sample. "&amp;IF(Z88=0,"Confirm concept mapping and review film before treating this as a defensive candidate.","Metrics describe the confirmed concept; "&amp;IF($Z88=0,"",INDEX('DEF_CALL_DECISION_SUPPORT'!$A$1:$U$1496,$Z88,12)))</f>
        <v>Opponent exact-play alert only. No Defensive Exact-Play Sample. Metrics describe the confirmed concept; Strong call-fit candidate; confirm on film.</v>
      </c>
      <c r="L88" s="7" t="s">
        <v>449</v>
      </c>
      <c r="Y88" s="2" t="s">
        <v>2480</v>
      </c>
      <c r="Z88" s="2">
        <f>IF($L88="",0,IFERROR(MATCH(LEN($L88)&amp;":"&amp;$L88&amp;"|",'DEF_CALL_DECISION_SUPPORT'!$U$1264:$U$1440,0)+1264-1,0))</f>
        <v>1306</v>
      </c>
    </row>
    <row r="89" spans="1:26" ht="50" customHeight="1">
      <c r="A89" s="8" t="s">
        <v>1401</v>
      </c>
      <c r="B89" s="8" t="str">
        <f>IF($Z89=0,"Film Review Required",INDEX('DEF_CALL_DECISION_SUPPORT'!$A$1:$U$1496,$Z89,2))</f>
        <v>RAMBO</v>
      </c>
      <c r="C89" s="12">
        <f>IF($Z89=0,"",INDEX('DEF_CALL_DECISION_SUPPORT'!$A$1:$U$1496,$Z89,3))</f>
        <v>4</v>
      </c>
      <c r="D89" s="10">
        <f>IF($Z89=0,"",INDEX('DEF_CALL_DECISION_SUPPORT'!$A$1:$U$1496,$Z89,4))</f>
        <v>1.0</v>
      </c>
      <c r="E89" s="10">
        <f>IF($Z89=0,"",INDEX('DEF_CALL_DECISION_SUPPORT'!$A$1:$U$1496,$Z89,5))</f>
        <v>0.0</v>
      </c>
      <c r="F89" s="11">
        <f>IF($Z89=0,"",INDEX('DEF_CALL_DECISION_SUPPORT'!$A$1:$U$1496,$Z89,6))</f>
        <v>1.0</v>
      </c>
      <c r="G89" s="11">
        <f>IF($Z89=0,"",INDEX('DEF_CALL_DECISION_SUPPORT'!$A$1:$U$1496,$Z89,10))</f>
        <v>99.0</v>
      </c>
      <c r="H89" s="14" t="str">
        <f>IF($Z89=0,"",INDEX('DEF_CALL_DECISION_SUPPORT'!$A$1:$U$1496,$Z89,9))</f>
        <v>MEDIUM</v>
      </c>
      <c r="I89" s="14" t="str">
        <f>IF($Z89=0,"",INDEX('DEF_CALL_DECISION_SUPPORT'!$A$1:$U$1496,$Z89,11))</f>
        <v>Strong Candidate</v>
      </c>
      <c r="J89" s="14" t="str">
        <f>IF(Z89=0,"Film Review Required",IF(C89&lt;4,"Sample Watch • ","")&amp;"Broad Concept Proxy")</f>
        <v>Broad Concept Proxy</v>
      </c>
      <c r="K89" s="9" t="str">
        <f>"Opponent exact-play alert only. No Defensive Exact-Play Sample. "&amp;IF(Z89=0,"Confirm concept mapping and review film before treating this as a defensive candidate.","Metrics describe the confirmed concept; "&amp;IF($Z89=0,"",INDEX('DEF_CALL_DECISION_SUPPORT'!$A$1:$U$1496,$Z89,12)))</f>
        <v>Opponent exact-play alert only. No Defensive Exact-Play Sample. Metrics describe the confirmed concept; Strong call-fit candidate; confirm on film.</v>
      </c>
      <c r="L89" s="7" t="s">
        <v>449</v>
      </c>
      <c r="Y89" s="2" t="s">
        <v>2481</v>
      </c>
      <c r="Z89" s="2">
        <f>IF($L89="",0,IFERROR(MATCH(LEN($L89)&amp;":"&amp;$L89&amp;"|",'DEF_CALL_DECISION_SUPPORT'!$U$1264:$U$1440,0)+1264-1,0))</f>
        <v>1306</v>
      </c>
    </row>
    <row r="90" spans="1:26" ht="50" customHeight="1">
      <c r="A90" s="8" t="s">
        <v>1624</v>
      </c>
      <c r="B90" s="8" t="str">
        <f>IF($Z90=0,"Film Review Required",INDEX('DEF_CALL_DECISION_SUPPORT'!$A$1:$U$1496,$Z90,2))</f>
        <v>RAMBO</v>
      </c>
      <c r="C90" s="12">
        <f>IF($Z90=0,"",INDEX('DEF_CALL_DECISION_SUPPORT'!$A$1:$U$1496,$Z90,3))</f>
        <v>4</v>
      </c>
      <c r="D90" s="10">
        <f>IF($Z90=0,"",INDEX('DEF_CALL_DECISION_SUPPORT'!$A$1:$U$1496,$Z90,4))</f>
        <v>1.0</v>
      </c>
      <c r="E90" s="10">
        <f>IF($Z90=0,"",INDEX('DEF_CALL_DECISION_SUPPORT'!$A$1:$U$1496,$Z90,5))</f>
        <v>0.0</v>
      </c>
      <c r="F90" s="11">
        <f>IF($Z90=0,"",INDEX('DEF_CALL_DECISION_SUPPORT'!$A$1:$U$1496,$Z90,6))</f>
        <v>1.0</v>
      </c>
      <c r="G90" s="11">
        <f>IF($Z90=0,"",INDEX('DEF_CALL_DECISION_SUPPORT'!$A$1:$U$1496,$Z90,10))</f>
        <v>99.0</v>
      </c>
      <c r="H90" s="14" t="str">
        <f>IF($Z90=0,"",INDEX('DEF_CALL_DECISION_SUPPORT'!$A$1:$U$1496,$Z90,9))</f>
        <v>MEDIUM</v>
      </c>
      <c r="I90" s="14" t="str">
        <f>IF($Z90=0,"",INDEX('DEF_CALL_DECISION_SUPPORT'!$A$1:$U$1496,$Z90,11))</f>
        <v>Strong Candidate</v>
      </c>
      <c r="J90" s="14" t="str">
        <f>IF(Z90=0,"Film Review Required",IF(C90&lt;4,"Sample Watch • ","")&amp;"Broad Concept Proxy")</f>
        <v>Broad Concept Proxy</v>
      </c>
      <c r="K90" s="9" t="str">
        <f>"Opponent exact-play alert only. No Defensive Exact-Play Sample. "&amp;IF(Z90=0,"Confirm concept mapping and review film before treating this as a defensive candidate.","Metrics describe the confirmed concept; "&amp;IF($Z90=0,"",INDEX('DEF_CALL_DECISION_SUPPORT'!$A$1:$U$1496,$Z90,12)))</f>
        <v>Opponent exact-play alert only. No Defensive Exact-Play Sample. Metrics describe the confirmed concept; Strong call-fit candidate; confirm on film.</v>
      </c>
      <c r="L90" s="7" t="s">
        <v>449</v>
      </c>
      <c r="Y90" s="2" t="s">
        <v>2482</v>
      </c>
      <c r="Z90" s="2">
        <f>IF($L90="",0,IFERROR(MATCH(LEN($L90)&amp;":"&amp;$L90&amp;"|",'DEF_CALL_DECISION_SUPPORT'!$U$1264:$U$1440,0)+1264-1,0))</f>
        <v>1306</v>
      </c>
    </row>
    <row r="91" spans="1:26" ht="50" customHeight="1">
      <c r="A91" s="8" t="s">
        <v>1533</v>
      </c>
      <c r="B91" s="8" t="str">
        <f>IF($Z91=0,"Film Review Required",INDEX('DEF_CALL_DECISION_SUPPORT'!$A$1:$U$1496,$Z91,2))</f>
        <v>Q RAMBO</v>
      </c>
      <c r="C91" s="12">
        <f>IF($Z91=0,"",INDEX('DEF_CALL_DECISION_SUPPORT'!$A$1:$U$1496,$Z91,3))</f>
        <v>1</v>
      </c>
      <c r="D91" s="10">
        <f>IF($Z91=0,"",INDEX('DEF_CALL_DECISION_SUPPORT'!$A$1:$U$1496,$Z91,4))</f>
        <v>1.0</v>
      </c>
      <c r="E91" s="10">
        <f>IF($Z91=0,"",INDEX('DEF_CALL_DECISION_SUPPORT'!$A$1:$U$1496,$Z91,5))</f>
        <v>0.0</v>
      </c>
      <c r="F91" s="11">
        <f>IF($Z91=0,"",INDEX('DEF_CALL_DECISION_SUPPORT'!$A$1:$U$1496,$Z91,6))</f>
        <v>-1.0</v>
      </c>
      <c r="G91" s="11">
        <f>IF($Z91=0,"",INDEX('DEF_CALL_DECISION_SUPPORT'!$A$1:$U$1496,$Z91,10))</f>
        <v>100.0</v>
      </c>
      <c r="H91" s="14" t="str">
        <f>IF($Z91=0,"",INDEX('DEF_CALL_DECISION_SUPPORT'!$A$1:$U$1496,$Z91,9))</f>
        <v>TRACK</v>
      </c>
      <c r="I91" s="14" t="str">
        <f>IF($Z91=0,"",INDEX('DEF_CALL_DECISION_SUPPORT'!$A$1:$U$1496,$Z91,11))</f>
        <v>Track Only</v>
      </c>
      <c r="J91" s="14" t="str">
        <f>IF(Z91=0,"Film Review Required",IF(C91&lt;4,"Sample Watch • ","")&amp;"Broad Concept Proxy")</f>
        <v>Sample Watch • Broad Concept Proxy</v>
      </c>
      <c r="K91" s="9" t="str">
        <f>"Opponent exact-play alert only. No Defensive Exact-Play Sample. "&amp;IF(Z91=0,"Confirm concept mapping and review film before treating this as a defensive candidate.","Metrics describe the confirmed concept; "&amp;IF($Z91=0,"",INDEX('DEF_CALL_DECISION_SUPPORT'!$A$1:$U$1496,$Z91,12)))</f>
        <v>Opponent exact-play alert only. No Defensive Exact-Play Sample. Metrics describe the confirmed concept; Track only; not enough sample.</v>
      </c>
      <c r="L91" s="7" t="s">
        <v>574</v>
      </c>
      <c r="Y91" s="2" t="s">
        <v>2483</v>
      </c>
      <c r="Z91" s="2">
        <f>IF($L91="",0,IFERROR(MATCH(LEN($L91)&amp;":"&amp;$L91&amp;"|",'DEF_CALL_DECISION_SUPPORT'!$U$1264:$U$1440,0)+1264-1,0))</f>
        <v>1377</v>
      </c>
    </row>
    <row r="92" spans="1:26" ht="50" customHeight="1">
      <c r="A92" s="8" t="s">
        <v>1523</v>
      </c>
      <c r="B92" s="8" t="str">
        <f>IF($Z92=0,"Film Review Required",INDEX('DEF_CALL_DECISION_SUPPORT'!$A$1:$U$1496,$Z92,2))</f>
        <v>RAMBO</v>
      </c>
      <c r="C92" s="12">
        <f>IF($Z92=0,"",INDEX('DEF_CALL_DECISION_SUPPORT'!$A$1:$U$1496,$Z92,3))</f>
        <v>4</v>
      </c>
      <c r="D92" s="10">
        <f>IF($Z92=0,"",INDEX('DEF_CALL_DECISION_SUPPORT'!$A$1:$U$1496,$Z92,4))</f>
        <v>1.0</v>
      </c>
      <c r="E92" s="10">
        <f>IF($Z92=0,"",INDEX('DEF_CALL_DECISION_SUPPORT'!$A$1:$U$1496,$Z92,5))</f>
        <v>0.0</v>
      </c>
      <c r="F92" s="11">
        <f>IF($Z92=0,"",INDEX('DEF_CALL_DECISION_SUPPORT'!$A$1:$U$1496,$Z92,6))</f>
        <v>1.0</v>
      </c>
      <c r="G92" s="11">
        <f>IF($Z92=0,"",INDEX('DEF_CALL_DECISION_SUPPORT'!$A$1:$U$1496,$Z92,10))</f>
        <v>99.0</v>
      </c>
      <c r="H92" s="14" t="str">
        <f>IF($Z92=0,"",INDEX('DEF_CALL_DECISION_SUPPORT'!$A$1:$U$1496,$Z92,9))</f>
        <v>MEDIUM</v>
      </c>
      <c r="I92" s="14" t="str">
        <f>IF($Z92=0,"",INDEX('DEF_CALL_DECISION_SUPPORT'!$A$1:$U$1496,$Z92,11))</f>
        <v>Strong Candidate</v>
      </c>
      <c r="J92" s="14" t="str">
        <f>IF(Z92=0,"Film Review Required",IF(C92&lt;4,"Sample Watch • ","")&amp;"Broad Concept Proxy")</f>
        <v>Broad Concept Proxy</v>
      </c>
      <c r="K92" s="9" t="str">
        <f>"Opponent exact-play alert only. No Defensive Exact-Play Sample. "&amp;IF(Z92=0,"Confirm concept mapping and review film before treating this as a defensive candidate.","Metrics describe the confirmed concept; "&amp;IF($Z92=0,"",INDEX('DEF_CALL_DECISION_SUPPORT'!$A$1:$U$1496,$Z92,12)))</f>
        <v>Opponent exact-play alert only. No Defensive Exact-Play Sample. Metrics describe the confirmed concept; Strong call-fit candidate; confirm on film.</v>
      </c>
      <c r="L92" s="7" t="s">
        <v>449</v>
      </c>
      <c r="Y92" s="2" t="s">
        <v>2484</v>
      </c>
      <c r="Z92" s="2">
        <f>IF($L92="",0,IFERROR(MATCH(LEN($L92)&amp;":"&amp;$L92&amp;"|",'DEF_CALL_DECISION_SUPPORT'!$U$1264:$U$1440,0)+1264-1,0))</f>
        <v>1306</v>
      </c>
    </row>
    <row r="93" spans="1:26" ht="50" customHeight="1">
      <c r="A93" s="8" t="s">
        <v>1416</v>
      </c>
      <c r="B93" s="8" t="str">
        <f>IF($Z93=0,"Film Review Required",INDEX('DEF_CALL_DECISION_SUPPORT'!$A$1:$U$1496,$Z93,2))</f>
        <v>RAMBO</v>
      </c>
      <c r="C93" s="12">
        <f>IF($Z93=0,"",INDEX('DEF_CALL_DECISION_SUPPORT'!$A$1:$U$1496,$Z93,3))</f>
        <v>4</v>
      </c>
      <c r="D93" s="10">
        <f>IF($Z93=0,"",INDEX('DEF_CALL_DECISION_SUPPORT'!$A$1:$U$1496,$Z93,4))</f>
        <v>1.0</v>
      </c>
      <c r="E93" s="10">
        <f>IF($Z93=0,"",INDEX('DEF_CALL_DECISION_SUPPORT'!$A$1:$U$1496,$Z93,5))</f>
        <v>0.0</v>
      </c>
      <c r="F93" s="11">
        <f>IF($Z93=0,"",INDEX('DEF_CALL_DECISION_SUPPORT'!$A$1:$U$1496,$Z93,6))</f>
        <v>1.0</v>
      </c>
      <c r="G93" s="11">
        <f>IF($Z93=0,"",INDEX('DEF_CALL_DECISION_SUPPORT'!$A$1:$U$1496,$Z93,10))</f>
        <v>99.0</v>
      </c>
      <c r="H93" s="14" t="str">
        <f>IF($Z93=0,"",INDEX('DEF_CALL_DECISION_SUPPORT'!$A$1:$U$1496,$Z93,9))</f>
        <v>MEDIUM</v>
      </c>
      <c r="I93" s="14" t="str">
        <f>IF($Z93=0,"",INDEX('DEF_CALL_DECISION_SUPPORT'!$A$1:$U$1496,$Z93,11))</f>
        <v>Strong Candidate</v>
      </c>
      <c r="J93" s="14" t="str">
        <f>IF(Z93=0,"Film Review Required",IF(C93&lt;4,"Sample Watch • ","")&amp;"Broad Concept Proxy")</f>
        <v>Broad Concept Proxy</v>
      </c>
      <c r="K93" s="9" t="str">
        <f>"Opponent exact-play alert only. No Defensive Exact-Play Sample. "&amp;IF(Z93=0,"Confirm concept mapping and review film before treating this as a defensive candidate.","Metrics describe the confirmed concept; "&amp;IF($Z93=0,"",INDEX('DEF_CALL_DECISION_SUPPORT'!$A$1:$U$1496,$Z93,12)))</f>
        <v>Opponent exact-play alert only. No Defensive Exact-Play Sample. Metrics describe the confirmed concept; Strong call-fit candidate; confirm on film.</v>
      </c>
      <c r="L93" s="7" t="s">
        <v>449</v>
      </c>
      <c r="Y93" s="2" t="s">
        <v>2485</v>
      </c>
      <c r="Z93" s="2">
        <f>IF($L93="",0,IFERROR(MATCH(LEN($L93)&amp;":"&amp;$L93&amp;"|",'DEF_CALL_DECISION_SUPPORT'!$U$1264:$U$1440,0)+1264-1,0))</f>
        <v>1306</v>
      </c>
    </row>
    <row r="94" spans="1:26" ht="50" customHeight="1">
      <c r="A94" s="8" t="s">
        <v>1439</v>
      </c>
      <c r="B94" s="8" t="str">
        <f>IF($Z94=0,"Film Review Required",INDEX('DEF_CALL_DECISION_SUPPORT'!$A$1:$U$1496,$Z94,2))</f>
        <v>BOURBON</v>
      </c>
      <c r="C94" s="12">
        <f>IF($Z94=0,"",INDEX('DEF_CALL_DECISION_SUPPORT'!$A$1:$U$1496,$Z94,3))</f>
        <v>3</v>
      </c>
      <c r="D94" s="10">
        <f>IF($Z94=0,"",INDEX('DEF_CALL_DECISION_SUPPORT'!$A$1:$U$1496,$Z94,4))</f>
        <v>0.3333333333333333</v>
      </c>
      <c r="E94" s="10">
        <f>IF($Z94=0,"",INDEX('DEF_CALL_DECISION_SUPPORT'!$A$1:$U$1496,$Z94,5))</f>
        <v>0.0</v>
      </c>
      <c r="F94" s="11">
        <f>IF($Z94=0,"",INDEX('DEF_CALL_DECISION_SUPPORT'!$A$1:$U$1496,$Z94,6))</f>
        <v>5.333333333333333</v>
      </c>
      <c r="G94" s="11">
        <f>IF($Z94=0,"",INDEX('DEF_CALL_DECISION_SUPPORT'!$A$1:$U$1496,$Z94,10))</f>
        <v>48.0</v>
      </c>
      <c r="H94" s="14" t="str">
        <f>IF($Z94=0,"",INDEX('DEF_CALL_DECISION_SUPPORT'!$A$1:$U$1496,$Z94,9))</f>
        <v>LOW</v>
      </c>
      <c r="I94" s="14" t="str">
        <f>IF($Z94=0,"",INDEX('DEF_CALL_DECISION_SUPPORT'!$A$1:$U$1496,$Z94,11))</f>
        <v>Sample Watch</v>
      </c>
      <c r="J94" s="14" t="str">
        <f>IF(Z94=0,"Film Review Required",IF(C94&lt;4,"Sample Watch • ","")&amp;"Broad Concept Proxy")</f>
        <v>Sample Watch • Broad Concept Proxy</v>
      </c>
      <c r="K94" s="9" t="str">
        <f>"Opponent exact-play alert only. No Defensive Exact-Play Sample. "&amp;IF(Z94=0,"Confirm concept mapping and review film before treating this as a defensive candidate.","Metrics describe the confirmed concept; "&amp;IF($Z94=0,"",INDEX('DEF_CALL_DECISION_SUPPORT'!$A$1:$U$1496,$Z94,12)))</f>
        <v>Opponent exact-play alert only. No Defensive Exact-Play Sample. Metrics describe the confirmed concept; Sample watch; review clips and build the sample.</v>
      </c>
      <c r="L94" s="7" t="s">
        <v>465</v>
      </c>
      <c r="Y94" s="2" t="s">
        <v>2486</v>
      </c>
      <c r="Z94" s="2">
        <f>IF($L94="",0,IFERROR(MATCH(LEN($L94)&amp;":"&amp;$L94&amp;"|",'DEF_CALL_DECISION_SUPPORT'!$U$1264:$U$1440,0)+1264-1,0))</f>
        <v>1380</v>
      </c>
    </row>
    <row r="95" spans="1:26" ht="50" customHeight="1">
      <c r="A95" s="8" t="s">
        <v>1600</v>
      </c>
      <c r="B95" s="8" t="str">
        <f>IF($Z95=0,"Film Review Required",INDEX('DEF_CALL_DECISION_SUPPORT'!$A$1:$U$1496,$Z95,2))</f>
        <v>BOURBON</v>
      </c>
      <c r="C95" s="12">
        <f>IF($Z95=0,"",INDEX('DEF_CALL_DECISION_SUPPORT'!$A$1:$U$1496,$Z95,3))</f>
        <v>3</v>
      </c>
      <c r="D95" s="10">
        <f>IF($Z95=0,"",INDEX('DEF_CALL_DECISION_SUPPORT'!$A$1:$U$1496,$Z95,4))</f>
        <v>0.3333333333333333</v>
      </c>
      <c r="E95" s="10">
        <f>IF($Z95=0,"",INDEX('DEF_CALL_DECISION_SUPPORT'!$A$1:$U$1496,$Z95,5))</f>
        <v>0.0</v>
      </c>
      <c r="F95" s="11">
        <f>IF($Z95=0,"",INDEX('DEF_CALL_DECISION_SUPPORT'!$A$1:$U$1496,$Z95,6))</f>
        <v>5.333333333333333</v>
      </c>
      <c r="G95" s="11">
        <f>IF($Z95=0,"",INDEX('DEF_CALL_DECISION_SUPPORT'!$A$1:$U$1496,$Z95,10))</f>
        <v>48.0</v>
      </c>
      <c r="H95" s="14" t="str">
        <f>IF($Z95=0,"",INDEX('DEF_CALL_DECISION_SUPPORT'!$A$1:$U$1496,$Z95,9))</f>
        <v>LOW</v>
      </c>
      <c r="I95" s="14" t="str">
        <f>IF($Z95=0,"",INDEX('DEF_CALL_DECISION_SUPPORT'!$A$1:$U$1496,$Z95,11))</f>
        <v>Sample Watch</v>
      </c>
      <c r="J95" s="14" t="str">
        <f>IF(Z95=0,"Film Review Required",IF(C95&lt;4,"Sample Watch • ","")&amp;"Broad Concept Proxy")</f>
        <v>Sample Watch • Broad Concept Proxy</v>
      </c>
      <c r="K95" s="9" t="str">
        <f>"Opponent exact-play alert only. No Defensive Exact-Play Sample. "&amp;IF(Z95=0,"Confirm concept mapping and review film before treating this as a defensive candidate.","Metrics describe the confirmed concept; "&amp;IF($Z95=0,"",INDEX('DEF_CALL_DECISION_SUPPORT'!$A$1:$U$1496,$Z95,12)))</f>
        <v>Opponent exact-play alert only. No Defensive Exact-Play Sample. Metrics describe the confirmed concept; Sample watch; review clips and build the sample.</v>
      </c>
      <c r="L95" s="7" t="s">
        <v>465</v>
      </c>
      <c r="Y95" s="2" t="s">
        <v>2487</v>
      </c>
      <c r="Z95" s="2">
        <f>IF($L95="",0,IFERROR(MATCH(LEN($L95)&amp;":"&amp;$L95&amp;"|",'DEF_CALL_DECISION_SUPPORT'!$U$1264:$U$1440,0)+1264-1,0))</f>
        <v>1380</v>
      </c>
    </row>
    <row r="96" spans="1:26" ht="50" customHeight="1">
      <c r="A96" s="8" t="s">
        <v>815</v>
      </c>
      <c r="B96" s="8" t="str">
        <f>IF($Z96=0,"Film Review Required",INDEX('DEF_CALL_DECISION_SUPPORT'!$A$1:$U$1496,$Z96,2))</f>
        <v>BOURBON</v>
      </c>
      <c r="C96" s="12">
        <f>IF($Z96=0,"",INDEX('DEF_CALL_DECISION_SUPPORT'!$A$1:$U$1496,$Z96,3))</f>
        <v>3</v>
      </c>
      <c r="D96" s="10">
        <f>IF($Z96=0,"",INDEX('DEF_CALL_DECISION_SUPPORT'!$A$1:$U$1496,$Z96,4))</f>
        <v>0.3333333333333333</v>
      </c>
      <c r="E96" s="10">
        <f>IF($Z96=0,"",INDEX('DEF_CALL_DECISION_SUPPORT'!$A$1:$U$1496,$Z96,5))</f>
        <v>0.0</v>
      </c>
      <c r="F96" s="11">
        <f>IF($Z96=0,"",INDEX('DEF_CALL_DECISION_SUPPORT'!$A$1:$U$1496,$Z96,6))</f>
        <v>5.333333333333333</v>
      </c>
      <c r="G96" s="11">
        <f>IF($Z96=0,"",INDEX('DEF_CALL_DECISION_SUPPORT'!$A$1:$U$1496,$Z96,10))</f>
        <v>48.0</v>
      </c>
      <c r="H96" s="14" t="str">
        <f>IF($Z96=0,"",INDEX('DEF_CALL_DECISION_SUPPORT'!$A$1:$U$1496,$Z96,9))</f>
        <v>LOW</v>
      </c>
      <c r="I96" s="14" t="str">
        <f>IF($Z96=0,"",INDEX('DEF_CALL_DECISION_SUPPORT'!$A$1:$U$1496,$Z96,11))</f>
        <v>Sample Watch</v>
      </c>
      <c r="J96" s="14" t="str">
        <f>IF(Z96=0,"Film Review Required",IF(C96&lt;4,"Sample Watch • ","")&amp;"Broad Concept Proxy")</f>
        <v>Sample Watch • Broad Concept Proxy</v>
      </c>
      <c r="K96" s="9" t="str">
        <f>"Opponent exact-play alert only. No Defensive Exact-Play Sample. "&amp;IF(Z96=0,"Confirm concept mapping and review film before treating this as a defensive candidate.","Metrics describe the confirmed concept; "&amp;IF($Z96=0,"",INDEX('DEF_CALL_DECISION_SUPPORT'!$A$1:$U$1496,$Z96,12)))</f>
        <v>Opponent exact-play alert only. No Defensive Exact-Play Sample. Metrics describe the confirmed concept; Sample watch; review clips and build the sample.</v>
      </c>
      <c r="L96" s="7" t="s">
        <v>465</v>
      </c>
      <c r="Y96" s="2" t="s">
        <v>2488</v>
      </c>
      <c r="Z96" s="2">
        <f>IF($L96="",0,IFERROR(MATCH(LEN($L96)&amp;":"&amp;$L96&amp;"|",'DEF_CALL_DECISION_SUPPORT'!$U$1264:$U$1440,0)+1264-1,0))</f>
        <v>1380</v>
      </c>
    </row>
    <row r="97" spans="1:26" ht="50" customHeight="1">
      <c r="A97" s="8" t="s">
        <v>1398</v>
      </c>
      <c r="B97" s="8" t="str">
        <f>IF($Z97=0,"Film Review Required",INDEX('DEF_CALL_DECISION_SUPPORT'!$A$1:$U$1496,$Z97,2))</f>
        <v>BOURBON</v>
      </c>
      <c r="C97" s="12">
        <f>IF($Z97=0,"",INDEX('DEF_CALL_DECISION_SUPPORT'!$A$1:$U$1496,$Z97,3))</f>
        <v>3</v>
      </c>
      <c r="D97" s="10">
        <f>IF($Z97=0,"",INDEX('DEF_CALL_DECISION_SUPPORT'!$A$1:$U$1496,$Z97,4))</f>
        <v>0.3333333333333333</v>
      </c>
      <c r="E97" s="10">
        <f>IF($Z97=0,"",INDEX('DEF_CALL_DECISION_SUPPORT'!$A$1:$U$1496,$Z97,5))</f>
        <v>0.0</v>
      </c>
      <c r="F97" s="11">
        <f>IF($Z97=0,"",INDEX('DEF_CALL_DECISION_SUPPORT'!$A$1:$U$1496,$Z97,6))</f>
        <v>5.333333333333333</v>
      </c>
      <c r="G97" s="11">
        <f>IF($Z97=0,"",INDEX('DEF_CALL_DECISION_SUPPORT'!$A$1:$U$1496,$Z97,10))</f>
        <v>48.0</v>
      </c>
      <c r="H97" s="14" t="str">
        <f>IF($Z97=0,"",INDEX('DEF_CALL_DECISION_SUPPORT'!$A$1:$U$1496,$Z97,9))</f>
        <v>LOW</v>
      </c>
      <c r="I97" s="14" t="str">
        <f>IF($Z97=0,"",INDEX('DEF_CALL_DECISION_SUPPORT'!$A$1:$U$1496,$Z97,11))</f>
        <v>Sample Watch</v>
      </c>
      <c r="J97" s="14" t="str">
        <f>IF(Z97=0,"Film Review Required",IF(C97&lt;4,"Sample Watch • ","")&amp;"Broad Concept Proxy")</f>
        <v>Sample Watch • Broad Concept Proxy</v>
      </c>
      <c r="K97" s="9" t="str">
        <f>"Opponent exact-play alert only. No Defensive Exact-Play Sample. "&amp;IF(Z97=0,"Confirm concept mapping and review film before treating this as a defensive candidate.","Metrics describe the confirmed concept; "&amp;IF($Z97=0,"",INDEX('DEF_CALL_DECISION_SUPPORT'!$A$1:$U$1496,$Z97,12)))</f>
        <v>Opponent exact-play alert only. No Defensive Exact-Play Sample. Metrics describe the confirmed concept; Sample watch; review clips and build the sample.</v>
      </c>
      <c r="L97" s="7" t="s">
        <v>465</v>
      </c>
      <c r="Y97" s="2" t="s">
        <v>2489</v>
      </c>
      <c r="Z97" s="2">
        <f>IF($L97="",0,IFERROR(MATCH(LEN($L97)&amp;":"&amp;$L97&amp;"|",'DEF_CALL_DECISION_SUPPORT'!$U$1264:$U$1440,0)+1264-1,0))</f>
        <v>1380</v>
      </c>
    </row>
    <row r="98" spans="1:26" ht="50" customHeight="1">
      <c r="A98" s="8" t="s">
        <v>1447</v>
      </c>
      <c r="B98" s="8" t="str">
        <f>IF($Z98=0,"Film Review Required",INDEX('DEF_CALL_DECISION_SUPPORT'!$A$1:$U$1496,$Z98,2))</f>
        <v>BOURBON</v>
      </c>
      <c r="C98" s="12">
        <f>IF($Z98=0,"",INDEX('DEF_CALL_DECISION_SUPPORT'!$A$1:$U$1496,$Z98,3))</f>
        <v>3</v>
      </c>
      <c r="D98" s="10">
        <f>IF($Z98=0,"",INDEX('DEF_CALL_DECISION_SUPPORT'!$A$1:$U$1496,$Z98,4))</f>
        <v>0.3333333333333333</v>
      </c>
      <c r="E98" s="10">
        <f>IF($Z98=0,"",INDEX('DEF_CALL_DECISION_SUPPORT'!$A$1:$U$1496,$Z98,5))</f>
        <v>0.0</v>
      </c>
      <c r="F98" s="11">
        <f>IF($Z98=0,"",INDEX('DEF_CALL_DECISION_SUPPORT'!$A$1:$U$1496,$Z98,6))</f>
        <v>5.333333333333333</v>
      </c>
      <c r="G98" s="11">
        <f>IF($Z98=0,"",INDEX('DEF_CALL_DECISION_SUPPORT'!$A$1:$U$1496,$Z98,10))</f>
        <v>48.0</v>
      </c>
      <c r="H98" s="14" t="str">
        <f>IF($Z98=0,"",INDEX('DEF_CALL_DECISION_SUPPORT'!$A$1:$U$1496,$Z98,9))</f>
        <v>LOW</v>
      </c>
      <c r="I98" s="14" t="str">
        <f>IF($Z98=0,"",INDEX('DEF_CALL_DECISION_SUPPORT'!$A$1:$U$1496,$Z98,11))</f>
        <v>Sample Watch</v>
      </c>
      <c r="J98" s="14" t="str">
        <f>IF(Z98=0,"Film Review Required",IF(C98&lt;4,"Sample Watch • ","")&amp;"Broad Concept Proxy")</f>
        <v>Sample Watch • Broad Concept Proxy</v>
      </c>
      <c r="K98" s="9" t="str">
        <f>"Opponent exact-play alert only. No Defensive Exact-Play Sample. "&amp;IF(Z98=0,"Confirm concept mapping and review film before treating this as a defensive candidate.","Metrics describe the confirmed concept; "&amp;IF($Z98=0,"",INDEX('DEF_CALL_DECISION_SUPPORT'!$A$1:$U$1496,$Z98,12)))</f>
        <v>Opponent exact-play alert only. No Defensive Exact-Play Sample. Metrics describe the confirmed concept; Sample watch; review clips and build the sample.</v>
      </c>
      <c r="L98" s="7" t="s">
        <v>465</v>
      </c>
      <c r="Y98" s="2" t="s">
        <v>2490</v>
      </c>
      <c r="Z98" s="2">
        <f>IF($L98="",0,IFERROR(MATCH(LEN($L98)&amp;":"&amp;$L98&amp;"|",'DEF_CALL_DECISION_SUPPORT'!$U$1264:$U$1440,0)+1264-1,0))</f>
        <v>1380</v>
      </c>
    </row>
    <row r="99" spans="1:26" ht="50" customHeight="1">
      <c r="A99" s="8" t="s">
        <v>1506</v>
      </c>
      <c r="B99" s="8" t="str">
        <f>IF($Z99=0,"Film Review Required",INDEX('DEF_CALL_DECISION_SUPPORT'!$A$1:$U$1496,$Z99,2))</f>
        <v>BOURBON</v>
      </c>
      <c r="C99" s="12">
        <f>IF($Z99=0,"",INDEX('DEF_CALL_DECISION_SUPPORT'!$A$1:$U$1496,$Z99,3))</f>
        <v>3</v>
      </c>
      <c r="D99" s="10">
        <f>IF($Z99=0,"",INDEX('DEF_CALL_DECISION_SUPPORT'!$A$1:$U$1496,$Z99,4))</f>
        <v>0.3333333333333333</v>
      </c>
      <c r="E99" s="10">
        <f>IF($Z99=0,"",INDEX('DEF_CALL_DECISION_SUPPORT'!$A$1:$U$1496,$Z99,5))</f>
        <v>0.0</v>
      </c>
      <c r="F99" s="11">
        <f>IF($Z99=0,"",INDEX('DEF_CALL_DECISION_SUPPORT'!$A$1:$U$1496,$Z99,6))</f>
        <v>5.333333333333333</v>
      </c>
      <c r="G99" s="11">
        <f>IF($Z99=0,"",INDEX('DEF_CALL_DECISION_SUPPORT'!$A$1:$U$1496,$Z99,10))</f>
        <v>48.0</v>
      </c>
      <c r="H99" s="14" t="str">
        <f>IF($Z99=0,"",INDEX('DEF_CALL_DECISION_SUPPORT'!$A$1:$U$1496,$Z99,9))</f>
        <v>LOW</v>
      </c>
      <c r="I99" s="14" t="str">
        <f>IF($Z99=0,"",INDEX('DEF_CALL_DECISION_SUPPORT'!$A$1:$U$1496,$Z99,11))</f>
        <v>Sample Watch</v>
      </c>
      <c r="J99" s="14" t="str">
        <f>IF(Z99=0,"Film Review Required",IF(C99&lt;4,"Sample Watch • ","")&amp;"Broad Concept Proxy")</f>
        <v>Sample Watch • Broad Concept Proxy</v>
      </c>
      <c r="K99" s="9" t="str">
        <f>"Opponent exact-play alert only. No Defensive Exact-Play Sample. "&amp;IF(Z99=0,"Confirm concept mapping and review film before treating this as a defensive candidate.","Metrics describe the confirmed concept; "&amp;IF($Z99=0,"",INDEX('DEF_CALL_DECISION_SUPPORT'!$A$1:$U$1496,$Z99,12)))</f>
        <v>Opponent exact-play alert only. No Defensive Exact-Play Sample. Metrics describe the confirmed concept; Sample watch; review clips and build the sample.</v>
      </c>
      <c r="L99" s="7" t="s">
        <v>465</v>
      </c>
      <c r="Y99" s="2" t="s">
        <v>2491</v>
      </c>
      <c r="Z99" s="2">
        <f>IF($L99="",0,IFERROR(MATCH(LEN($L99)&amp;":"&amp;$L99&amp;"|",'DEF_CALL_DECISION_SUPPORT'!$U$1264:$U$1440,0)+1264-1,0))</f>
        <v>1380</v>
      </c>
    </row>
    <row r="100" spans="1:26" ht="50" customHeight="1">
      <c r="A100" s="8" t="s">
        <v>1491</v>
      </c>
      <c r="B100" s="8" t="str">
        <f>IF($Z100=0,"Film Review Required",INDEX('DEF_CALL_DECISION_SUPPORT'!$A$1:$U$1496,$Z100,2))</f>
        <v>BOURBON</v>
      </c>
      <c r="C100" s="12">
        <f>IF($Z100=0,"",INDEX('DEF_CALL_DECISION_SUPPORT'!$A$1:$U$1496,$Z100,3))</f>
        <v>3</v>
      </c>
      <c r="D100" s="10">
        <f>IF($Z100=0,"",INDEX('DEF_CALL_DECISION_SUPPORT'!$A$1:$U$1496,$Z100,4))</f>
        <v>0.3333333333333333</v>
      </c>
      <c r="E100" s="10">
        <f>IF($Z100=0,"",INDEX('DEF_CALL_DECISION_SUPPORT'!$A$1:$U$1496,$Z100,5))</f>
        <v>0.0</v>
      </c>
      <c r="F100" s="11">
        <f>IF($Z100=0,"",INDEX('DEF_CALL_DECISION_SUPPORT'!$A$1:$U$1496,$Z100,6))</f>
        <v>5.333333333333333</v>
      </c>
      <c r="G100" s="11">
        <f>IF($Z100=0,"",INDEX('DEF_CALL_DECISION_SUPPORT'!$A$1:$U$1496,$Z100,10))</f>
        <v>48.0</v>
      </c>
      <c r="H100" s="14" t="str">
        <f>IF($Z100=0,"",INDEX('DEF_CALL_DECISION_SUPPORT'!$A$1:$U$1496,$Z100,9))</f>
        <v>LOW</v>
      </c>
      <c r="I100" s="14" t="str">
        <f>IF($Z100=0,"",INDEX('DEF_CALL_DECISION_SUPPORT'!$A$1:$U$1496,$Z100,11))</f>
        <v>Sample Watch</v>
      </c>
      <c r="J100" s="14" t="str">
        <f>IF(Z100=0,"Film Review Required",IF(C100&lt;4,"Sample Watch • ","")&amp;"Broad Concept Proxy")</f>
        <v>Sample Watch • Broad Concept Proxy</v>
      </c>
      <c r="K100" s="9" t="str">
        <f>"Opponent exact-play alert only. No Defensive Exact-Play Sample. "&amp;IF(Z100=0,"Confirm concept mapping and review film before treating this as a defensive candidate.","Metrics describe the confirmed concept; "&amp;IF($Z100=0,"",INDEX('DEF_CALL_DECISION_SUPPORT'!$A$1:$U$1496,$Z100,12)))</f>
        <v>Opponent exact-play alert only. No Defensive Exact-Play Sample. Metrics describe the confirmed concept; Sample watch; review clips and build the sample.</v>
      </c>
      <c r="L100" s="7" t="s">
        <v>465</v>
      </c>
      <c r="Y100" s="2" t="s">
        <v>2492</v>
      </c>
      <c r="Z100" s="2">
        <f>IF($L100="",0,IFERROR(MATCH(LEN($L100)&amp;":"&amp;$L100&amp;"|",'DEF_CALL_DECISION_SUPPORT'!$U$1264:$U$1440,0)+1264-1,0))</f>
        <v>1380</v>
      </c>
    </row>
    <row r="101" spans="1:26" ht="50" customHeight="1">
      <c r="A101" s="8" t="s">
        <v>1660</v>
      </c>
      <c r="B101" s="8" t="str">
        <f>IF($Z101=0,"Film Review Required",INDEX('DEF_CALL_DECISION_SUPPORT'!$A$1:$U$1496,$Z101,2))</f>
        <v>RAMBO</v>
      </c>
      <c r="C101" s="12">
        <f>IF($Z101=0,"",INDEX('DEF_CALL_DECISION_SUPPORT'!$A$1:$U$1496,$Z101,3))</f>
        <v>4</v>
      </c>
      <c r="D101" s="10">
        <f>IF($Z101=0,"",INDEX('DEF_CALL_DECISION_SUPPORT'!$A$1:$U$1496,$Z101,4))</f>
        <v>1.0</v>
      </c>
      <c r="E101" s="10">
        <f>IF($Z101=0,"",INDEX('DEF_CALL_DECISION_SUPPORT'!$A$1:$U$1496,$Z101,5))</f>
        <v>0.0</v>
      </c>
      <c r="F101" s="11">
        <f>IF($Z101=0,"",INDEX('DEF_CALL_DECISION_SUPPORT'!$A$1:$U$1496,$Z101,6))</f>
        <v>1.0</v>
      </c>
      <c r="G101" s="11">
        <f>IF($Z101=0,"",INDEX('DEF_CALL_DECISION_SUPPORT'!$A$1:$U$1496,$Z101,10))</f>
        <v>99.0</v>
      </c>
      <c r="H101" s="14" t="str">
        <f>IF($Z101=0,"",INDEX('DEF_CALL_DECISION_SUPPORT'!$A$1:$U$1496,$Z101,9))</f>
        <v>MEDIUM</v>
      </c>
      <c r="I101" s="14" t="str">
        <f>IF($Z101=0,"",INDEX('DEF_CALL_DECISION_SUPPORT'!$A$1:$U$1496,$Z101,11))</f>
        <v>Strong Candidate</v>
      </c>
      <c r="J101" s="14" t="str">
        <f>IF(Z101=0,"Film Review Required",IF(C101&lt;4,"Sample Watch • ","")&amp;"Broad Concept Proxy")</f>
        <v>Broad Concept Proxy</v>
      </c>
      <c r="K101" s="9" t="str">
        <f>"Opponent exact-play alert only. No Defensive Exact-Play Sample. "&amp;IF(Z101=0,"Confirm concept mapping and review film before treating this as a defensive candidate.","Metrics describe the confirmed concept; "&amp;IF($Z101=0,"",INDEX('DEF_CALL_DECISION_SUPPORT'!$A$1:$U$1496,$Z101,12)))</f>
        <v>Opponent exact-play alert only. No Defensive Exact-Play Sample. Metrics describe the confirmed concept; Strong call-fit candidate; confirm on film.</v>
      </c>
      <c r="L101" s="7" t="s">
        <v>449</v>
      </c>
      <c r="Y101" s="2" t="s">
        <v>2493</v>
      </c>
      <c r="Z101" s="2">
        <f>IF($L101="",0,IFERROR(MATCH(LEN($L101)&amp;":"&amp;$L101&amp;"|",'DEF_CALL_DECISION_SUPPORT'!$U$1264:$U$1440,0)+1264-1,0))</f>
        <v>1306</v>
      </c>
    </row>
    <row r="102" spans="1:26" ht="50" customHeight="1">
      <c r="A102" s="8" t="s">
        <v>1478</v>
      </c>
      <c r="B102" s="8" t="str">
        <f>IF($Z102=0,"Film Review Required",INDEX('DEF_CALL_DECISION_SUPPORT'!$A$1:$U$1496,$Z102,2))</f>
        <v>KEY CAPTAIN</v>
      </c>
      <c r="C102" s="12">
        <f>IF($Z102=0,"",INDEX('DEF_CALL_DECISION_SUPPORT'!$A$1:$U$1496,$Z102,3))</f>
        <v>3</v>
      </c>
      <c r="D102" s="10">
        <f>IF($Z102=0,"",INDEX('DEF_CALL_DECISION_SUPPORT'!$A$1:$U$1496,$Z102,4))</f>
        <v>1.0</v>
      </c>
      <c r="E102" s="10">
        <f>IF($Z102=0,"",INDEX('DEF_CALL_DECISION_SUPPORT'!$A$1:$U$1496,$Z102,5))</f>
        <v>0.0</v>
      </c>
      <c r="F102" s="11">
        <f>IF($Z102=0,"",INDEX('DEF_CALL_DECISION_SUPPORT'!$A$1:$U$1496,$Z102,6))</f>
        <v>-2.3333333333333335</v>
      </c>
      <c r="G102" s="11">
        <f>IF($Z102=0,"",INDEX('DEF_CALL_DECISION_SUPPORT'!$A$1:$U$1496,$Z102,10))</f>
        <v>100.0</v>
      </c>
      <c r="H102" s="14" t="str">
        <f>IF($Z102=0,"",INDEX('DEF_CALL_DECISION_SUPPORT'!$A$1:$U$1496,$Z102,9))</f>
        <v>LOW</v>
      </c>
      <c r="I102" s="14" t="str">
        <f>IF($Z102=0,"",INDEX('DEF_CALL_DECISION_SUPPORT'!$A$1:$U$1496,$Z102,11))</f>
        <v>Sample Watch</v>
      </c>
      <c r="J102" s="14" t="str">
        <f>IF(Z102=0,"Film Review Required",IF(C102&lt;4,"Sample Watch • ","")&amp;"Broad Concept Proxy")</f>
        <v>Sample Watch • Broad Concept Proxy</v>
      </c>
      <c r="K102" s="9" t="str">
        <f>"Opponent exact-play alert only. No Defensive Exact-Play Sample. "&amp;IF(Z102=0,"Confirm concept mapping and review film before treating this as a defensive candidate.","Metrics describe the confirmed concept; "&amp;IF($Z102=0,"",INDEX('DEF_CALL_DECISION_SUPPORT'!$A$1:$U$1496,$Z102,12)))</f>
        <v>Opponent exact-play alert only. No Defensive Exact-Play Sample. Metrics describe the confirmed concept; Good signal, but sample is limited.</v>
      </c>
      <c r="L102" s="7" t="s">
        <v>468</v>
      </c>
      <c r="Y102" s="2" t="s">
        <v>2494</v>
      </c>
      <c r="Z102" s="2">
        <f>IF($L102="",0,IFERROR(MATCH(LEN($L102)&amp;":"&amp;$L102&amp;"|",'DEF_CALL_DECISION_SUPPORT'!$U$1264:$U$1440,0)+1264-1,0))</f>
        <v>1400</v>
      </c>
    </row>
    <row r="103" spans="1:26" ht="50" customHeight="1">
      <c r="A103" s="8" t="s">
        <v>1536</v>
      </c>
      <c r="B103" s="8" t="str">
        <f>IF($Z103=0,"Film Review Required",INDEX('DEF_CALL_DECISION_SUPPORT'!$A$1:$U$1496,$Z103,2))</f>
        <v>RAMBO</v>
      </c>
      <c r="C103" s="12">
        <f>IF($Z103=0,"",INDEX('DEF_CALL_DECISION_SUPPORT'!$A$1:$U$1496,$Z103,3))</f>
        <v>4</v>
      </c>
      <c r="D103" s="10">
        <f>IF($Z103=0,"",INDEX('DEF_CALL_DECISION_SUPPORT'!$A$1:$U$1496,$Z103,4))</f>
        <v>1.0</v>
      </c>
      <c r="E103" s="10">
        <f>IF($Z103=0,"",INDEX('DEF_CALL_DECISION_SUPPORT'!$A$1:$U$1496,$Z103,5))</f>
        <v>0.0</v>
      </c>
      <c r="F103" s="11">
        <f>IF($Z103=0,"",INDEX('DEF_CALL_DECISION_SUPPORT'!$A$1:$U$1496,$Z103,6))</f>
        <v>1.0</v>
      </c>
      <c r="G103" s="11">
        <f>IF($Z103=0,"",INDEX('DEF_CALL_DECISION_SUPPORT'!$A$1:$U$1496,$Z103,10))</f>
        <v>99.0</v>
      </c>
      <c r="H103" s="14" t="str">
        <f>IF($Z103=0,"",INDEX('DEF_CALL_DECISION_SUPPORT'!$A$1:$U$1496,$Z103,9))</f>
        <v>MEDIUM</v>
      </c>
      <c r="I103" s="14" t="str">
        <f>IF($Z103=0,"",INDEX('DEF_CALL_DECISION_SUPPORT'!$A$1:$U$1496,$Z103,11))</f>
        <v>Strong Candidate</v>
      </c>
      <c r="J103" s="14" t="str">
        <f>IF(Z103=0,"Film Review Required",IF(C103&lt;4,"Sample Watch • ","")&amp;"Broad Concept Proxy")</f>
        <v>Broad Concept Proxy</v>
      </c>
      <c r="K103" s="9" t="str">
        <f>"Opponent exact-play alert only. No Defensive Exact-Play Sample. "&amp;IF(Z103=0,"Confirm concept mapping and review film before treating this as a defensive candidate.","Metrics describe the confirmed concept; "&amp;IF($Z103=0,"",INDEX('DEF_CALL_DECISION_SUPPORT'!$A$1:$U$1496,$Z103,12)))</f>
        <v>Opponent exact-play alert only. No Defensive Exact-Play Sample. Metrics describe the confirmed concept; Strong call-fit candidate; confirm on film.</v>
      </c>
      <c r="L103" s="7" t="s">
        <v>449</v>
      </c>
      <c r="Y103" s="2" t="s">
        <v>2495</v>
      </c>
      <c r="Z103" s="2">
        <f>IF($L103="",0,IFERROR(MATCH(LEN($L103)&amp;":"&amp;$L103&amp;"|",'DEF_CALL_DECISION_SUPPORT'!$U$1264:$U$1440,0)+1264-1,0))</f>
        <v>1306</v>
      </c>
    </row>
    <row r="104" spans="1:26" ht="50" customHeight="1">
      <c r="A104" s="8" t="s">
        <v>817</v>
      </c>
      <c r="B104" s="8" t="str">
        <f>IF($Z104=0,"Film Review Required",INDEX('DEF_CALL_DECISION_SUPPORT'!$A$1:$U$1496,$Z104,2))</f>
        <v>Film Review Required</v>
      </c>
      <c r="C104" s="12">
        <f>IF($Z104=0,"",INDEX('DEF_CALL_DECISION_SUPPORT'!$A$1:$U$1496,$Z104,3))</f>
        <v/>
      </c>
      <c r="D104" s="10">
        <f>IF($Z104=0,"",INDEX('DEF_CALL_DECISION_SUPPORT'!$A$1:$U$1496,$Z104,4))</f>
        <v/>
      </c>
      <c r="E104" s="10">
        <f>IF($Z104=0,"",INDEX('DEF_CALL_DECISION_SUPPORT'!$A$1:$U$1496,$Z104,5))</f>
        <v/>
      </c>
      <c r="F104" s="11">
        <f>IF($Z104=0,"",INDEX('DEF_CALL_DECISION_SUPPORT'!$A$1:$U$1496,$Z104,6))</f>
        <v/>
      </c>
      <c r="G104" s="11">
        <f>IF($Z104=0,"",INDEX('DEF_CALL_DECISION_SUPPORT'!$A$1:$U$1496,$Z104,10))</f>
        <v/>
      </c>
      <c r="H104" s="14">
        <f>IF($Z104=0,"",INDEX('DEF_CALL_DECISION_SUPPORT'!$A$1:$U$1496,$Z104,9))</f>
        <v/>
      </c>
      <c r="I104" s="14">
        <f>IF($Z104=0,"",INDEX('DEF_CALL_DECISION_SUPPORT'!$A$1:$U$1496,$Z104,11))</f>
        <v/>
      </c>
      <c r="J104" s="14" t="str">
        <f>IF(Z104=0,"Film Review Required",IF(C104&lt;4,"Sample Watch • ","")&amp;"Broad Concept Proxy")</f>
        <v>Film Review Required</v>
      </c>
      <c r="K104" s="9" t="str">
        <f>"Opponent exact-play alert only. No Defensive Exact-Play Sample. "&amp;IF(Z104=0,"Confirm concept mapping and review film before treating this as a defensive candidate.","Metrics describe the confirmed concept; "&amp;IF($Z104=0,"",INDEX('DEF_CALL_DECISION_SUPPORT'!$A$1:$U$1496,$Z104,12)))</f>
        <v>Opponent exact-play alert only. No Defensive Exact-Play Sample. Confirm concept mapping and review film before treating this as a defensive candidate.</v>
      </c>
      <c r="L104" s="7" t="s">
        <v>800</v>
      </c>
      <c r="Y104" s="2" t="s">
        <v>2496</v>
      </c>
      <c r="Z104" s="2">
        <f>IF($L104="",0,IFERROR(MATCH(LEN($L104)&amp;":"&amp;$L104&amp;"|",'DEF_CALL_DECISION_SUPPORT'!$U$1264:$U$1440,0)+1264-1,0))</f>
        <v>0</v>
      </c>
    </row>
    <row r="105" spans="1:26" ht="50" customHeight="1">
      <c r="A105" s="8" t="s">
        <v>1687</v>
      </c>
      <c r="B105" s="8" t="str">
        <f>IF($Z105=0,"Film Review Required",INDEX('DEF_CALL_DECISION_SUPPORT'!$A$1:$U$1496,$Z105,2))</f>
        <v>Film Review Required</v>
      </c>
      <c r="C105" s="12">
        <f>IF($Z105=0,"",INDEX('DEF_CALL_DECISION_SUPPORT'!$A$1:$U$1496,$Z105,3))</f>
        <v/>
      </c>
      <c r="D105" s="10">
        <f>IF($Z105=0,"",INDEX('DEF_CALL_DECISION_SUPPORT'!$A$1:$U$1496,$Z105,4))</f>
        <v/>
      </c>
      <c r="E105" s="10">
        <f>IF($Z105=0,"",INDEX('DEF_CALL_DECISION_SUPPORT'!$A$1:$U$1496,$Z105,5))</f>
        <v/>
      </c>
      <c r="F105" s="11">
        <f>IF($Z105=0,"",INDEX('DEF_CALL_DECISION_SUPPORT'!$A$1:$U$1496,$Z105,6))</f>
        <v/>
      </c>
      <c r="G105" s="11">
        <f>IF($Z105=0,"",INDEX('DEF_CALL_DECISION_SUPPORT'!$A$1:$U$1496,$Z105,10))</f>
        <v/>
      </c>
      <c r="H105" s="14">
        <f>IF($Z105=0,"",INDEX('DEF_CALL_DECISION_SUPPORT'!$A$1:$U$1496,$Z105,9))</f>
        <v/>
      </c>
      <c r="I105" s="14">
        <f>IF($Z105=0,"",INDEX('DEF_CALL_DECISION_SUPPORT'!$A$1:$U$1496,$Z105,11))</f>
        <v/>
      </c>
      <c r="J105" s="14" t="str">
        <f>IF(Z105=0,"Film Review Required",IF(C105&lt;4,"Sample Watch • ","")&amp;"Broad Concept Proxy")</f>
        <v>Film Review Required</v>
      </c>
      <c r="K105" s="9" t="str">
        <f>"Opponent exact-play alert only. No Defensive Exact-Play Sample. "&amp;IF(Z105=0,"Confirm concept mapping and review film before treating this as a defensive candidate.","Metrics describe the confirmed concept; "&amp;IF($Z105=0,"",INDEX('DEF_CALL_DECISION_SUPPORT'!$A$1:$U$1496,$Z105,12)))</f>
        <v>Opponent exact-play alert only. No Defensive Exact-Play Sample. Confirm concept mapping and review film before treating this as a defensive candidate.</v>
      </c>
      <c r="L105" s="7" t="s">
        <v>878</v>
      </c>
      <c r="Y105" s="2" t="s">
        <v>2497</v>
      </c>
      <c r="Z105" s="2">
        <f>IF($L105="",0,IFERROR(MATCH(LEN($L105)&amp;":"&amp;$L105&amp;"|",'DEF_CALL_DECISION_SUPPORT'!$U$1264:$U$1440,0)+1264-1,0))</f>
        <v>0</v>
      </c>
    </row>
    <row r="106" spans="1:26" ht="50" customHeight="1">
      <c r="A106" s="8" t="s">
        <v>1451</v>
      </c>
      <c r="B106" s="8" t="str">
        <f>IF($Z106=0,"Film Review Required",INDEX('DEF_CALL_DECISION_SUPPORT'!$A$1:$U$1496,$Z106,2))</f>
        <v>Film Review Required</v>
      </c>
      <c r="C106" s="12">
        <f>IF($Z106=0,"",INDEX('DEF_CALL_DECISION_SUPPORT'!$A$1:$U$1496,$Z106,3))</f>
        <v/>
      </c>
      <c r="D106" s="10">
        <f>IF($Z106=0,"",INDEX('DEF_CALL_DECISION_SUPPORT'!$A$1:$U$1496,$Z106,4))</f>
        <v/>
      </c>
      <c r="E106" s="10">
        <f>IF($Z106=0,"",INDEX('DEF_CALL_DECISION_SUPPORT'!$A$1:$U$1496,$Z106,5))</f>
        <v/>
      </c>
      <c r="F106" s="11">
        <f>IF($Z106=0,"",INDEX('DEF_CALL_DECISION_SUPPORT'!$A$1:$U$1496,$Z106,6))</f>
        <v/>
      </c>
      <c r="G106" s="11">
        <f>IF($Z106=0,"",INDEX('DEF_CALL_DECISION_SUPPORT'!$A$1:$U$1496,$Z106,10))</f>
        <v/>
      </c>
      <c r="H106" s="14">
        <f>IF($Z106=0,"",INDEX('DEF_CALL_DECISION_SUPPORT'!$A$1:$U$1496,$Z106,9))</f>
        <v/>
      </c>
      <c r="I106" s="14">
        <f>IF($Z106=0,"",INDEX('DEF_CALL_DECISION_SUPPORT'!$A$1:$U$1496,$Z106,11))</f>
        <v/>
      </c>
      <c r="J106" s="14" t="str">
        <f>IF(Z106=0,"Film Review Required",IF(C106&lt;4,"Sample Watch • ","")&amp;"Broad Concept Proxy")</f>
        <v>Film Review Required</v>
      </c>
      <c r="K106" s="9" t="str">
        <f>"Opponent exact-play alert only. No Defensive Exact-Play Sample. "&amp;IF(Z106=0,"Confirm concept mapping and review film before treating this as a defensive candidate.","Metrics describe the confirmed concept; "&amp;IF($Z106=0,"",INDEX('DEF_CALL_DECISION_SUPPORT'!$A$1:$U$1496,$Z106,12)))</f>
        <v>Opponent exact-play alert only. No Defensive Exact-Play Sample. Confirm concept mapping and review film before treating this as a defensive candidate.</v>
      </c>
      <c r="L106" s="7" t="s">
        <v>878</v>
      </c>
      <c r="Y106" s="2" t="s">
        <v>2498</v>
      </c>
      <c r="Z106" s="2">
        <f>IF($L106="",0,IFERROR(MATCH(LEN($L106)&amp;":"&amp;$L106&amp;"|",'DEF_CALL_DECISION_SUPPORT'!$U$1264:$U$1440,0)+1264-1,0))</f>
        <v>0</v>
      </c>
    </row>
    <row r="107" spans="1:26" ht="50" customHeight="1">
      <c r="A107" s="8" t="s">
        <v>1509</v>
      </c>
      <c r="B107" s="8" t="str">
        <f>IF($Z107=0,"Film Review Required",INDEX('DEF_CALL_DECISION_SUPPORT'!$A$1:$U$1496,$Z107,2))</f>
        <v>REBEL</v>
      </c>
      <c r="C107" s="12">
        <f>IF($Z107=0,"",INDEX('DEF_CALL_DECISION_SUPPORT'!$A$1:$U$1496,$Z107,3))</f>
        <v>1</v>
      </c>
      <c r="D107" s="10">
        <f>IF($Z107=0,"",INDEX('DEF_CALL_DECISION_SUPPORT'!$A$1:$U$1496,$Z107,4))</f>
        <v>1.0</v>
      </c>
      <c r="E107" s="10">
        <f>IF($Z107=0,"",INDEX('DEF_CALL_DECISION_SUPPORT'!$A$1:$U$1496,$Z107,5))</f>
        <v>0.0</v>
      </c>
      <c r="F107" s="11">
        <f>IF($Z107=0,"",INDEX('DEF_CALL_DECISION_SUPPORT'!$A$1:$U$1496,$Z107,6))</f>
        <v>0.0</v>
      </c>
      <c r="G107" s="11">
        <f>IF($Z107=0,"",INDEX('DEF_CALL_DECISION_SUPPORT'!$A$1:$U$1496,$Z107,10))</f>
        <v>100.0</v>
      </c>
      <c r="H107" s="14" t="str">
        <f>IF($Z107=0,"",INDEX('DEF_CALL_DECISION_SUPPORT'!$A$1:$U$1496,$Z107,9))</f>
        <v>TRACK</v>
      </c>
      <c r="I107" s="14" t="str">
        <f>IF($Z107=0,"",INDEX('DEF_CALL_DECISION_SUPPORT'!$A$1:$U$1496,$Z107,11))</f>
        <v>Track Only</v>
      </c>
      <c r="J107" s="14" t="str">
        <f>IF(Z107=0,"Film Review Required",IF(C107&lt;4,"Sample Watch • ","")&amp;"Broad Concept Proxy")</f>
        <v>Sample Watch • Broad Concept Proxy</v>
      </c>
      <c r="K107" s="9" t="str">
        <f>"Opponent exact-play alert only. No Defensive Exact-Play Sample. "&amp;IF(Z107=0,"Confirm concept mapping and review film before treating this as a defensive candidate.","Metrics describe the confirmed concept; "&amp;IF($Z107=0,"",INDEX('DEF_CALL_DECISION_SUPPORT'!$A$1:$U$1496,$Z107,12)))</f>
        <v>Opponent exact-play alert only. No Defensive Exact-Play Sample. Metrics describe the confirmed concept; Track only; not enough sample.</v>
      </c>
      <c r="L107" s="7" t="s">
        <v>541</v>
      </c>
      <c r="Y107" s="2" t="s">
        <v>2499</v>
      </c>
      <c r="Z107" s="2">
        <f>IF($L107="",0,IFERROR(MATCH(LEN($L107)&amp;":"&amp;$L107&amp;"|",'DEF_CALL_DECISION_SUPPORT'!$U$1264:$U$1440,0)+1264-1,0))</f>
        <v>1409</v>
      </c>
    </row>
    <row r="108" spans="1:26" ht="50" customHeight="1">
      <c r="A108" s="8" t="s">
        <v>1558</v>
      </c>
      <c r="B108" s="8" t="str">
        <f>IF($Z108=0,"Film Review Required",INDEX('DEF_CALL_DECISION_SUPPORT'!$A$1:$U$1496,$Z108,2))</f>
        <v>STUD</v>
      </c>
      <c r="C108" s="12">
        <f>IF($Z108=0,"",INDEX('DEF_CALL_DECISION_SUPPORT'!$A$1:$U$1496,$Z108,3))</f>
        <v>4</v>
      </c>
      <c r="D108" s="10">
        <f>IF($Z108=0,"",INDEX('DEF_CALL_DECISION_SUPPORT'!$A$1:$U$1496,$Z108,4))</f>
        <v>0.75</v>
      </c>
      <c r="E108" s="10">
        <f>IF($Z108=0,"",INDEX('DEF_CALL_DECISION_SUPPORT'!$A$1:$U$1496,$Z108,5))</f>
        <v>0.0</v>
      </c>
      <c r="F108" s="11">
        <f>IF($Z108=0,"",INDEX('DEF_CALL_DECISION_SUPPORT'!$A$1:$U$1496,$Z108,6))</f>
        <v>1.5</v>
      </c>
      <c r="G108" s="11">
        <f>IF($Z108=0,"",INDEX('DEF_CALL_DECISION_SUPPORT'!$A$1:$U$1496,$Z108,10))</f>
        <v>81.0</v>
      </c>
      <c r="H108" s="14" t="str">
        <f>IF($Z108=0,"",INDEX('DEF_CALL_DECISION_SUPPORT'!$A$1:$U$1496,$Z108,9))</f>
        <v>MEDIUM</v>
      </c>
      <c r="I108" s="14" t="str">
        <f>IF($Z108=0,"",INDEX('DEF_CALL_DECISION_SUPPORT'!$A$1:$U$1496,$Z108,11))</f>
        <v>Strong Candidate</v>
      </c>
      <c r="J108" s="14" t="str">
        <f>IF(Z108=0,"Film Review Required",IF(C108&lt;4,"Sample Watch • ","")&amp;"Broad Concept Proxy")</f>
        <v>Broad Concept Proxy</v>
      </c>
      <c r="K108" s="9" t="str">
        <f>"Opponent exact-play alert only. No Defensive Exact-Play Sample. "&amp;IF(Z108=0,"Confirm concept mapping and review film before treating this as a defensive candidate.","Metrics describe the confirmed concept; "&amp;IF($Z108=0,"",INDEX('DEF_CALL_DECISION_SUPPORT'!$A$1:$U$1496,$Z108,12)))</f>
        <v>Opponent exact-play alert only. No Defensive Exact-Play Sample. Metrics describe the confirmed concept; Strong call-fit candidate; confirm on film.</v>
      </c>
      <c r="L108" s="7" t="s">
        <v>428</v>
      </c>
      <c r="Y108" s="2" t="s">
        <v>2500</v>
      </c>
      <c r="Z108" s="2">
        <f>IF($L108="",0,IFERROR(MATCH(LEN($L108)&amp;":"&amp;$L108&amp;"|",'DEF_CALL_DECISION_SUPPORT'!$U$1264:$U$1440,0)+1264-1,0))</f>
        <v>1370</v>
      </c>
    </row>
    <row r="109" spans="1:26" ht="50" customHeight="1">
      <c r="A109" s="8" t="s">
        <v>1474</v>
      </c>
      <c r="B109" s="8" t="str">
        <f>IF($Z109=0,"Film Review Required",INDEX('DEF_CALL_DECISION_SUPPORT'!$A$1:$U$1496,$Z109,2))</f>
        <v>STUD</v>
      </c>
      <c r="C109" s="12">
        <f>IF($Z109=0,"",INDEX('DEF_CALL_DECISION_SUPPORT'!$A$1:$U$1496,$Z109,3))</f>
        <v>4</v>
      </c>
      <c r="D109" s="10">
        <f>IF($Z109=0,"",INDEX('DEF_CALL_DECISION_SUPPORT'!$A$1:$U$1496,$Z109,4))</f>
        <v>0.75</v>
      </c>
      <c r="E109" s="10">
        <f>IF($Z109=0,"",INDEX('DEF_CALL_DECISION_SUPPORT'!$A$1:$U$1496,$Z109,5))</f>
        <v>0.0</v>
      </c>
      <c r="F109" s="11">
        <f>IF($Z109=0,"",INDEX('DEF_CALL_DECISION_SUPPORT'!$A$1:$U$1496,$Z109,6))</f>
        <v>1.5</v>
      </c>
      <c r="G109" s="11">
        <f>IF($Z109=0,"",INDEX('DEF_CALL_DECISION_SUPPORT'!$A$1:$U$1496,$Z109,10))</f>
        <v>81.0</v>
      </c>
      <c r="H109" s="14" t="str">
        <f>IF($Z109=0,"",INDEX('DEF_CALL_DECISION_SUPPORT'!$A$1:$U$1496,$Z109,9))</f>
        <v>MEDIUM</v>
      </c>
      <c r="I109" s="14" t="str">
        <f>IF($Z109=0,"",INDEX('DEF_CALL_DECISION_SUPPORT'!$A$1:$U$1496,$Z109,11))</f>
        <v>Strong Candidate</v>
      </c>
      <c r="J109" s="14" t="str">
        <f>IF(Z109=0,"Film Review Required",IF(C109&lt;4,"Sample Watch • ","")&amp;"Broad Concept Proxy")</f>
        <v>Broad Concept Proxy</v>
      </c>
      <c r="K109" s="9" t="str">
        <f>"Opponent exact-play alert only. No Defensive Exact-Play Sample. "&amp;IF(Z109=0,"Confirm concept mapping and review film before treating this as a defensive candidate.","Metrics describe the confirmed concept; "&amp;IF($Z109=0,"",INDEX('DEF_CALL_DECISION_SUPPORT'!$A$1:$U$1496,$Z109,12)))</f>
        <v>Opponent exact-play alert only. No Defensive Exact-Play Sample. Metrics describe the confirmed concept; Strong call-fit candidate; confirm on film.</v>
      </c>
      <c r="L109" s="7" t="s">
        <v>428</v>
      </c>
      <c r="Y109" s="2" t="s">
        <v>2501</v>
      </c>
      <c r="Z109" s="2">
        <f>IF($L109="",0,IFERROR(MATCH(LEN($L109)&amp;":"&amp;$L109&amp;"|",'DEF_CALL_DECISION_SUPPORT'!$U$1264:$U$1440,0)+1264-1,0))</f>
        <v>1370</v>
      </c>
    </row>
    <row r="110" spans="1:26" ht="50" customHeight="1">
      <c r="A110" s="8" t="s">
        <v>1528</v>
      </c>
      <c r="B110" s="8" t="str">
        <f>IF($Z110=0,"Film Review Required",INDEX('DEF_CALL_DECISION_SUPPORT'!$A$1:$U$1496,$Z110,2))</f>
        <v>RAMBO</v>
      </c>
      <c r="C110" s="12">
        <f>IF($Z110=0,"",INDEX('DEF_CALL_DECISION_SUPPORT'!$A$1:$U$1496,$Z110,3))</f>
        <v>4</v>
      </c>
      <c r="D110" s="10">
        <f>IF($Z110=0,"",INDEX('DEF_CALL_DECISION_SUPPORT'!$A$1:$U$1496,$Z110,4))</f>
        <v>1.0</v>
      </c>
      <c r="E110" s="10">
        <f>IF($Z110=0,"",INDEX('DEF_CALL_DECISION_SUPPORT'!$A$1:$U$1496,$Z110,5))</f>
        <v>0.0</v>
      </c>
      <c r="F110" s="11">
        <f>IF($Z110=0,"",INDEX('DEF_CALL_DECISION_SUPPORT'!$A$1:$U$1496,$Z110,6))</f>
        <v>1.0</v>
      </c>
      <c r="G110" s="11">
        <f>IF($Z110=0,"",INDEX('DEF_CALL_DECISION_SUPPORT'!$A$1:$U$1496,$Z110,10))</f>
        <v>99.0</v>
      </c>
      <c r="H110" s="14" t="str">
        <f>IF($Z110=0,"",INDEX('DEF_CALL_DECISION_SUPPORT'!$A$1:$U$1496,$Z110,9))</f>
        <v>MEDIUM</v>
      </c>
      <c r="I110" s="14" t="str">
        <f>IF($Z110=0,"",INDEX('DEF_CALL_DECISION_SUPPORT'!$A$1:$U$1496,$Z110,11))</f>
        <v>Strong Candidate</v>
      </c>
      <c r="J110" s="14" t="str">
        <f>IF(Z110=0,"Film Review Required",IF(C110&lt;4,"Sample Watch • ","")&amp;"Broad Concept Proxy")</f>
        <v>Broad Concept Proxy</v>
      </c>
      <c r="K110" s="9" t="str">
        <f>"Opponent exact-play alert only. No Defensive Exact-Play Sample. "&amp;IF(Z110=0,"Confirm concept mapping and review film before treating this as a defensive candidate.","Metrics describe the confirmed concept; "&amp;IF($Z110=0,"",INDEX('DEF_CALL_DECISION_SUPPORT'!$A$1:$U$1496,$Z110,12)))</f>
        <v>Opponent exact-play alert only. No Defensive Exact-Play Sample. Metrics describe the confirmed concept; Strong call-fit candidate; confirm on film.</v>
      </c>
      <c r="L110" s="7" t="s">
        <v>449</v>
      </c>
      <c r="Y110" s="2" t="s">
        <v>2502</v>
      </c>
      <c r="Z110" s="2">
        <f>IF($L110="",0,IFERROR(MATCH(LEN($L110)&amp;":"&amp;$L110&amp;"|",'DEF_CALL_DECISION_SUPPORT'!$U$1264:$U$1440,0)+1264-1,0))</f>
        <v>1306</v>
      </c>
    </row>
    <row r="111" spans="1:26" ht="50" customHeight="1">
      <c r="A111" s="8" t="s">
        <v>1499</v>
      </c>
      <c r="B111" s="8" t="str">
        <f>IF($Z111=0,"Film Review Required",INDEX('DEF_CALL_DECISION_SUPPORT'!$A$1:$U$1496,$Z111,2))</f>
        <v>RAMBO</v>
      </c>
      <c r="C111" s="12">
        <f>IF($Z111=0,"",INDEX('DEF_CALL_DECISION_SUPPORT'!$A$1:$U$1496,$Z111,3))</f>
        <v>4</v>
      </c>
      <c r="D111" s="10">
        <f>IF($Z111=0,"",INDEX('DEF_CALL_DECISION_SUPPORT'!$A$1:$U$1496,$Z111,4))</f>
        <v>1.0</v>
      </c>
      <c r="E111" s="10">
        <f>IF($Z111=0,"",INDEX('DEF_CALL_DECISION_SUPPORT'!$A$1:$U$1496,$Z111,5))</f>
        <v>0.0</v>
      </c>
      <c r="F111" s="11">
        <f>IF($Z111=0,"",INDEX('DEF_CALL_DECISION_SUPPORT'!$A$1:$U$1496,$Z111,6))</f>
        <v>1.0</v>
      </c>
      <c r="G111" s="11">
        <f>IF($Z111=0,"",INDEX('DEF_CALL_DECISION_SUPPORT'!$A$1:$U$1496,$Z111,10))</f>
        <v>99.0</v>
      </c>
      <c r="H111" s="14" t="str">
        <f>IF($Z111=0,"",INDEX('DEF_CALL_DECISION_SUPPORT'!$A$1:$U$1496,$Z111,9))</f>
        <v>MEDIUM</v>
      </c>
      <c r="I111" s="14" t="str">
        <f>IF($Z111=0,"",INDEX('DEF_CALL_DECISION_SUPPORT'!$A$1:$U$1496,$Z111,11))</f>
        <v>Strong Candidate</v>
      </c>
      <c r="J111" s="14" t="str">
        <f>IF(Z111=0,"Film Review Required",IF(C111&lt;4,"Sample Watch • ","")&amp;"Broad Concept Proxy")</f>
        <v>Broad Concept Proxy</v>
      </c>
      <c r="K111" s="9" t="str">
        <f>"Opponent exact-play alert only. No Defensive Exact-Play Sample. "&amp;IF(Z111=0,"Confirm concept mapping and review film before treating this as a defensive candidate.","Metrics describe the confirmed concept; "&amp;IF($Z111=0,"",INDEX('DEF_CALL_DECISION_SUPPORT'!$A$1:$U$1496,$Z111,12)))</f>
        <v>Opponent exact-play alert only. No Defensive Exact-Play Sample. Metrics describe the confirmed concept; Strong call-fit candidate; confirm on film.</v>
      </c>
      <c r="L111" s="7" t="s">
        <v>449</v>
      </c>
      <c r="Y111" s="2" t="s">
        <v>2503</v>
      </c>
      <c r="Z111" s="2">
        <f>IF($L111="",0,IFERROR(MATCH(LEN($L111)&amp;":"&amp;$L111&amp;"|",'DEF_CALL_DECISION_SUPPORT'!$U$1264:$U$1440,0)+1264-1,0))</f>
        <v>1306</v>
      </c>
    </row>
    <row r="112" spans="1:26" ht="50" customHeight="1">
      <c r="A112" s="8" t="s">
        <v>1481</v>
      </c>
      <c r="B112" s="8" t="str">
        <f>IF($Z112=0,"Film Review Required",INDEX('DEF_CALL_DECISION_SUPPORT'!$A$1:$U$1496,$Z112,2))</f>
        <v>RAMBO</v>
      </c>
      <c r="C112" s="12">
        <f>IF($Z112=0,"",INDEX('DEF_CALL_DECISION_SUPPORT'!$A$1:$U$1496,$Z112,3))</f>
        <v>4</v>
      </c>
      <c r="D112" s="10">
        <f>IF($Z112=0,"",INDEX('DEF_CALL_DECISION_SUPPORT'!$A$1:$U$1496,$Z112,4))</f>
        <v>1.0</v>
      </c>
      <c r="E112" s="10">
        <f>IF($Z112=0,"",INDEX('DEF_CALL_DECISION_SUPPORT'!$A$1:$U$1496,$Z112,5))</f>
        <v>0.0</v>
      </c>
      <c r="F112" s="11">
        <f>IF($Z112=0,"",INDEX('DEF_CALL_DECISION_SUPPORT'!$A$1:$U$1496,$Z112,6))</f>
        <v>1.0</v>
      </c>
      <c r="G112" s="11">
        <f>IF($Z112=0,"",INDEX('DEF_CALL_DECISION_SUPPORT'!$A$1:$U$1496,$Z112,10))</f>
        <v>99.0</v>
      </c>
      <c r="H112" s="14" t="str">
        <f>IF($Z112=0,"",INDEX('DEF_CALL_DECISION_SUPPORT'!$A$1:$U$1496,$Z112,9))</f>
        <v>MEDIUM</v>
      </c>
      <c r="I112" s="14" t="str">
        <f>IF($Z112=0,"",INDEX('DEF_CALL_DECISION_SUPPORT'!$A$1:$U$1496,$Z112,11))</f>
        <v>Strong Candidate</v>
      </c>
      <c r="J112" s="14" t="str">
        <f>IF(Z112=0,"Film Review Required",IF(C112&lt;4,"Sample Watch • ","")&amp;"Broad Concept Proxy")</f>
        <v>Broad Concept Proxy</v>
      </c>
      <c r="K112" s="9" t="str">
        <f>"Opponent exact-play alert only. No Defensive Exact-Play Sample. "&amp;IF(Z112=0,"Confirm concept mapping and review film before treating this as a defensive candidate.","Metrics describe the confirmed concept; "&amp;IF($Z112=0,"",INDEX('DEF_CALL_DECISION_SUPPORT'!$A$1:$U$1496,$Z112,12)))</f>
        <v>Opponent exact-play alert only. No Defensive Exact-Play Sample. Metrics describe the confirmed concept; Strong call-fit candidate; confirm on film.</v>
      </c>
      <c r="L112" s="7" t="s">
        <v>449</v>
      </c>
      <c r="Y112" s="2" t="s">
        <v>2504</v>
      </c>
      <c r="Z112" s="2">
        <f>IF($L112="",0,IFERROR(MATCH(LEN($L112)&amp;":"&amp;$L112&amp;"|",'DEF_CALL_DECISION_SUPPORT'!$U$1264:$U$1440,0)+1264-1,0))</f>
        <v>1306</v>
      </c>
    </row>
    <row r="113" spans="1:26" ht="50" customHeight="1">
      <c r="A113" s="8" t="s">
        <v>1469</v>
      </c>
      <c r="B113" s="8" t="str">
        <f>IF($Z113=0,"Film Review Required",INDEX('DEF_CALL_DECISION_SUPPORT'!$A$1:$U$1496,$Z113,2))</f>
        <v>RAMBO</v>
      </c>
      <c r="C113" s="12">
        <f>IF($Z113=0,"",INDEX('DEF_CALL_DECISION_SUPPORT'!$A$1:$U$1496,$Z113,3))</f>
        <v>1</v>
      </c>
      <c r="D113" s="10">
        <f>IF($Z113=0,"",INDEX('DEF_CALL_DECISION_SUPPORT'!$A$1:$U$1496,$Z113,4))</f>
        <v>1.0</v>
      </c>
      <c r="E113" s="10">
        <f>IF($Z113=0,"",INDEX('DEF_CALL_DECISION_SUPPORT'!$A$1:$U$1496,$Z113,5))</f>
        <v>0.0</v>
      </c>
      <c r="F113" s="11">
        <f>IF($Z113=0,"",INDEX('DEF_CALL_DECISION_SUPPORT'!$A$1:$U$1496,$Z113,6))</f>
        <v>5.0</v>
      </c>
      <c r="G113" s="11">
        <f>IF($Z113=0,"",INDEX('DEF_CALL_DECISION_SUPPORT'!$A$1:$U$1496,$Z113,10))</f>
        <v>95.0</v>
      </c>
      <c r="H113" s="14" t="str">
        <f>IF($Z113=0,"",INDEX('DEF_CALL_DECISION_SUPPORT'!$A$1:$U$1496,$Z113,9))</f>
        <v>TRACK</v>
      </c>
      <c r="I113" s="14" t="str">
        <f>IF($Z113=0,"",INDEX('DEF_CALL_DECISION_SUPPORT'!$A$1:$U$1496,$Z113,11))</f>
        <v>Track Only</v>
      </c>
      <c r="J113" s="14" t="str">
        <f>IF(Z113=0,"Film Review Required",IF(C113&lt;4,"Sample Watch • ","")&amp;"Broad Concept Proxy")</f>
        <v>Sample Watch • Broad Concept Proxy</v>
      </c>
      <c r="K113" s="9" t="str">
        <f>"Opponent exact-play alert only. No Defensive Exact-Play Sample. "&amp;IF(Z113=0,"Confirm concept mapping and review film before treating this as a defensive candidate.","Metrics describe the confirmed concept; "&amp;IF($Z113=0,"",INDEX('DEF_CALL_DECISION_SUPPORT'!$A$1:$U$1496,$Z113,12)))</f>
        <v>Opponent exact-play alert only. No Defensive Exact-Play Sample. Metrics describe the confirmed concept; Track only; not enough sample.</v>
      </c>
      <c r="L113" s="7" t="s">
        <v>443</v>
      </c>
      <c r="Y113" s="2" t="s">
        <v>2505</v>
      </c>
      <c r="Z113" s="2">
        <f>IF($L113="",0,IFERROR(MATCH(LEN($L113)&amp;":"&amp;$L113&amp;"|",'DEF_CALL_DECISION_SUPPORT'!$U$1264:$U$1440,0)+1264-1,0))</f>
        <v>1430</v>
      </c>
    </row>
    <row r="114" spans="1:26" ht="50" customHeight="1">
      <c r="A114" s="8" t="s">
        <v>820</v>
      </c>
      <c r="B114" s="8" t="str">
        <f>IF($Z114=0,"Film Review Required",INDEX('DEF_CALL_DECISION_SUPPORT'!$A$1:$U$1496,$Z114,2))</f>
        <v>Film Review Required</v>
      </c>
      <c r="C114" s="12">
        <f>IF($Z114=0,"",INDEX('DEF_CALL_DECISION_SUPPORT'!$A$1:$U$1496,$Z114,3))</f>
        <v/>
      </c>
      <c r="D114" s="10">
        <f>IF($Z114=0,"",INDEX('DEF_CALL_DECISION_SUPPORT'!$A$1:$U$1496,$Z114,4))</f>
        <v/>
      </c>
      <c r="E114" s="10">
        <f>IF($Z114=0,"",INDEX('DEF_CALL_DECISION_SUPPORT'!$A$1:$U$1496,$Z114,5))</f>
        <v/>
      </c>
      <c r="F114" s="11">
        <f>IF($Z114=0,"",INDEX('DEF_CALL_DECISION_SUPPORT'!$A$1:$U$1496,$Z114,6))</f>
        <v/>
      </c>
      <c r="G114" s="11">
        <f>IF($Z114=0,"",INDEX('DEF_CALL_DECISION_SUPPORT'!$A$1:$U$1496,$Z114,10))</f>
        <v/>
      </c>
      <c r="H114" s="14">
        <f>IF($Z114=0,"",INDEX('DEF_CALL_DECISION_SUPPORT'!$A$1:$U$1496,$Z114,9))</f>
        <v/>
      </c>
      <c r="I114" s="14">
        <f>IF($Z114=0,"",INDEX('DEF_CALL_DECISION_SUPPORT'!$A$1:$U$1496,$Z114,11))</f>
        <v/>
      </c>
      <c r="J114" s="14" t="str">
        <f>IF(Z114=0,"Film Review Required",IF(C114&lt;4,"Sample Watch • ","")&amp;"Broad Concept Proxy")</f>
        <v>Film Review Required</v>
      </c>
      <c r="K114" s="9" t="str">
        <f>"Opponent exact-play alert only. No Defensive Exact-Play Sample. "&amp;IF(Z114=0,"Confirm concept mapping and review film before treating this as a defensive candidate.","Metrics describe the confirmed concept; "&amp;IF($Z114=0,"",INDEX('DEF_CALL_DECISION_SUPPORT'!$A$1:$U$1496,$Z114,12)))</f>
        <v>Opponent exact-play alert only. No Defensive Exact-Play Sample. Confirm concept mapping and review film before treating this as a defensive candidate.</v>
      </c>
      <c r="L114" s="7"/>
      <c r="Y114" s="2" t="s">
        <v>2506</v>
      </c>
      <c r="Z114" s="2">
        <f>IF($L114="",0,IFERROR(MATCH(LEN($L114)&amp;":"&amp;$L114&amp;"|",'DEF_CALL_DECISION_SUPPORT'!$U$1264:$U$1440,0)+1264-1,0))</f>
        <v>0</v>
      </c>
    </row>
    <row r="115" spans="1:26" ht="50" customHeight="1">
      <c r="A115" s="8" t="s">
        <v>1629</v>
      </c>
      <c r="B115" s="8" t="str">
        <f>IF($Z115=0,"Film Review Required",INDEX('DEF_CALL_DECISION_SUPPORT'!$A$1:$U$1496,$Z115,2))</f>
        <v>RAMBO</v>
      </c>
      <c r="C115" s="12">
        <f>IF($Z115=0,"",INDEX('DEF_CALL_DECISION_SUPPORT'!$A$1:$U$1496,$Z115,3))</f>
        <v>4</v>
      </c>
      <c r="D115" s="10">
        <f>IF($Z115=0,"",INDEX('DEF_CALL_DECISION_SUPPORT'!$A$1:$U$1496,$Z115,4))</f>
        <v>1.0</v>
      </c>
      <c r="E115" s="10">
        <f>IF($Z115=0,"",INDEX('DEF_CALL_DECISION_SUPPORT'!$A$1:$U$1496,$Z115,5))</f>
        <v>0.0</v>
      </c>
      <c r="F115" s="11">
        <f>IF($Z115=0,"",INDEX('DEF_CALL_DECISION_SUPPORT'!$A$1:$U$1496,$Z115,6))</f>
        <v>1.0</v>
      </c>
      <c r="G115" s="11">
        <f>IF($Z115=0,"",INDEX('DEF_CALL_DECISION_SUPPORT'!$A$1:$U$1496,$Z115,10))</f>
        <v>99.0</v>
      </c>
      <c r="H115" s="14" t="str">
        <f>IF($Z115=0,"",INDEX('DEF_CALL_DECISION_SUPPORT'!$A$1:$U$1496,$Z115,9))</f>
        <v>MEDIUM</v>
      </c>
      <c r="I115" s="14" t="str">
        <f>IF($Z115=0,"",INDEX('DEF_CALL_DECISION_SUPPORT'!$A$1:$U$1496,$Z115,11))</f>
        <v>Strong Candidate</v>
      </c>
      <c r="J115" s="14" t="str">
        <f>IF(Z115=0,"Film Review Required",IF(C115&lt;4,"Sample Watch • ","")&amp;"Broad Concept Proxy")</f>
        <v>Broad Concept Proxy</v>
      </c>
      <c r="K115" s="9" t="str">
        <f>"Opponent exact-play alert only. No Defensive Exact-Play Sample. "&amp;IF(Z115=0,"Confirm concept mapping and review film before treating this as a defensive candidate.","Metrics describe the confirmed concept; "&amp;IF($Z115=0,"",INDEX('DEF_CALL_DECISION_SUPPORT'!$A$1:$U$1496,$Z115,12)))</f>
        <v>Opponent exact-play alert only. No Defensive Exact-Play Sample. Metrics describe the confirmed concept; Strong call-fit candidate; confirm on film.</v>
      </c>
      <c r="L115" s="7" t="s">
        <v>449</v>
      </c>
      <c r="Y115" s="2" t="s">
        <v>2507</v>
      </c>
      <c r="Z115" s="2">
        <f>IF($L115="",0,IFERROR(MATCH(LEN($L115)&amp;":"&amp;$L115&amp;"|",'DEF_CALL_DECISION_SUPPORT'!$U$1264:$U$1440,0)+1264-1,0))</f>
        <v>1306</v>
      </c>
    </row>
    <row r="116" spans="1:26" ht="50" customHeight="1">
      <c r="A116" s="8" t="s">
        <v>1638</v>
      </c>
      <c r="B116" s="8" t="str">
        <f>IF($Z116=0,"Film Review Required",INDEX('DEF_CALL_DECISION_SUPPORT'!$A$1:$U$1496,$Z116,2))</f>
        <v>BOURBON</v>
      </c>
      <c r="C116" s="12">
        <f>IF($Z116=0,"",INDEX('DEF_CALL_DECISION_SUPPORT'!$A$1:$U$1496,$Z116,3))</f>
        <v>1</v>
      </c>
      <c r="D116" s="10">
        <f>IF($Z116=0,"",INDEX('DEF_CALL_DECISION_SUPPORT'!$A$1:$U$1496,$Z116,4))</f>
        <v>1.0</v>
      </c>
      <c r="E116" s="10">
        <f>IF($Z116=0,"",INDEX('DEF_CALL_DECISION_SUPPORT'!$A$1:$U$1496,$Z116,5))</f>
        <v>0.0</v>
      </c>
      <c r="F116" s="11">
        <f>IF($Z116=0,"",INDEX('DEF_CALL_DECISION_SUPPORT'!$A$1:$U$1496,$Z116,6))</f>
        <v>0.0</v>
      </c>
      <c r="G116" s="11">
        <f>IF($Z116=0,"",INDEX('DEF_CALL_DECISION_SUPPORT'!$A$1:$U$1496,$Z116,10))</f>
        <v>100.0</v>
      </c>
      <c r="H116" s="14" t="str">
        <f>IF($Z116=0,"",INDEX('DEF_CALL_DECISION_SUPPORT'!$A$1:$U$1496,$Z116,9))</f>
        <v>TRACK</v>
      </c>
      <c r="I116" s="14" t="str">
        <f>IF($Z116=0,"",INDEX('DEF_CALL_DECISION_SUPPORT'!$A$1:$U$1496,$Z116,11))</f>
        <v>Track Only</v>
      </c>
      <c r="J116" s="14" t="str">
        <f>IF(Z116=0,"Film Review Required",IF(C116&lt;4,"Sample Watch • ","")&amp;"Broad Concept Proxy")</f>
        <v>Sample Watch • Broad Concept Proxy</v>
      </c>
      <c r="K116" s="9" t="str">
        <f>"Opponent exact-play alert only. No Defensive Exact-Play Sample. "&amp;IF(Z116=0,"Confirm concept mapping and review film before treating this as a defensive candidate.","Metrics describe the confirmed concept; "&amp;IF($Z116=0,"",INDEX('DEF_CALL_DECISION_SUPPORT'!$A$1:$U$1496,$Z116,12)))</f>
        <v>Opponent exact-play alert only. No Defensive Exact-Play Sample. Metrics describe the confirmed concept; Track only; not enough sample.</v>
      </c>
      <c r="L116" s="7" t="s">
        <v>474</v>
      </c>
      <c r="Y116" s="2" t="s">
        <v>2508</v>
      </c>
      <c r="Z116" s="2">
        <f>IF($L116="",0,IFERROR(MATCH(LEN($L116)&amp;":"&amp;$L116&amp;"|",'DEF_CALL_DECISION_SUPPORT'!$U$1264:$U$1440,0)+1264-1,0))</f>
        <v>1426</v>
      </c>
    </row>
    <row r="117" spans="1:26" ht="50" customHeight="1">
      <c r="A117" s="8" t="s">
        <v>819</v>
      </c>
      <c r="B117" s="8" t="str">
        <f>IF($Z117=0,"Film Review Required",INDEX('DEF_CALL_DECISION_SUPPORT'!$A$1:$U$1496,$Z117,2))</f>
        <v>BOURBON</v>
      </c>
      <c r="C117" s="12">
        <f>IF($Z117=0,"",INDEX('DEF_CALL_DECISION_SUPPORT'!$A$1:$U$1496,$Z117,3))</f>
        <v>1</v>
      </c>
      <c r="D117" s="10">
        <f>IF($Z117=0,"",INDEX('DEF_CALL_DECISION_SUPPORT'!$A$1:$U$1496,$Z117,4))</f>
        <v>1.0</v>
      </c>
      <c r="E117" s="10">
        <f>IF($Z117=0,"",INDEX('DEF_CALL_DECISION_SUPPORT'!$A$1:$U$1496,$Z117,5))</f>
        <v>0.0</v>
      </c>
      <c r="F117" s="11">
        <f>IF($Z117=0,"",INDEX('DEF_CALL_DECISION_SUPPORT'!$A$1:$U$1496,$Z117,6))</f>
        <v>0.0</v>
      </c>
      <c r="G117" s="11">
        <f>IF($Z117=0,"",INDEX('DEF_CALL_DECISION_SUPPORT'!$A$1:$U$1496,$Z117,10))</f>
        <v>100.0</v>
      </c>
      <c r="H117" s="14" t="str">
        <f>IF($Z117=0,"",INDEX('DEF_CALL_DECISION_SUPPORT'!$A$1:$U$1496,$Z117,9))</f>
        <v>TRACK</v>
      </c>
      <c r="I117" s="14" t="str">
        <f>IF($Z117=0,"",INDEX('DEF_CALL_DECISION_SUPPORT'!$A$1:$U$1496,$Z117,11))</f>
        <v>Track Only</v>
      </c>
      <c r="J117" s="14" t="str">
        <f>IF(Z117=0,"Film Review Required",IF(C117&lt;4,"Sample Watch • ","")&amp;"Broad Concept Proxy")</f>
        <v>Sample Watch • Broad Concept Proxy</v>
      </c>
      <c r="K117" s="9" t="str">
        <f>"Opponent exact-play alert only. No Defensive Exact-Play Sample. "&amp;IF(Z117=0,"Confirm concept mapping and review film before treating this as a defensive candidate.","Metrics describe the confirmed concept; "&amp;IF($Z117=0,"",INDEX('DEF_CALL_DECISION_SUPPORT'!$A$1:$U$1496,$Z117,12)))</f>
        <v>Opponent exact-play alert only. No Defensive Exact-Play Sample. Metrics describe the confirmed concept; Track only; not enough sample.</v>
      </c>
      <c r="L117" s="7" t="s">
        <v>474</v>
      </c>
      <c r="Y117" s="2" t="s">
        <v>2509</v>
      </c>
      <c r="Z117" s="2">
        <f>IF($L117="",0,IFERROR(MATCH(LEN($L117)&amp;":"&amp;$L117&amp;"|",'DEF_CALL_DECISION_SUPPORT'!$U$1264:$U$1440,0)+1264-1,0))</f>
        <v>1426</v>
      </c>
    </row>
    <row r="118" spans="1:26" ht="50" customHeight="1">
      <c r="A118" s="8" t="s">
        <v>1566</v>
      </c>
      <c r="B118" s="8" t="str">
        <f>IF($Z118=0,"Film Review Required",INDEX('DEF_CALL_DECISION_SUPPORT'!$A$1:$U$1496,$Z118,2))</f>
        <v>Film Review Required</v>
      </c>
      <c r="C118" s="12">
        <f>IF($Z118=0,"",INDEX('DEF_CALL_DECISION_SUPPORT'!$A$1:$U$1496,$Z118,3))</f>
        <v/>
      </c>
      <c r="D118" s="10">
        <f>IF($Z118=0,"",INDEX('DEF_CALL_DECISION_SUPPORT'!$A$1:$U$1496,$Z118,4))</f>
        <v/>
      </c>
      <c r="E118" s="10">
        <f>IF($Z118=0,"",INDEX('DEF_CALL_DECISION_SUPPORT'!$A$1:$U$1496,$Z118,5))</f>
        <v/>
      </c>
      <c r="F118" s="11">
        <f>IF($Z118=0,"",INDEX('DEF_CALL_DECISION_SUPPORT'!$A$1:$U$1496,$Z118,6))</f>
        <v/>
      </c>
      <c r="G118" s="11">
        <f>IF($Z118=0,"",INDEX('DEF_CALL_DECISION_SUPPORT'!$A$1:$U$1496,$Z118,10))</f>
        <v/>
      </c>
      <c r="H118" s="14">
        <f>IF($Z118=0,"",INDEX('DEF_CALL_DECISION_SUPPORT'!$A$1:$U$1496,$Z118,9))</f>
        <v/>
      </c>
      <c r="I118" s="14">
        <f>IF($Z118=0,"",INDEX('DEF_CALL_DECISION_SUPPORT'!$A$1:$U$1496,$Z118,11))</f>
        <v/>
      </c>
      <c r="J118" s="14" t="str">
        <f>IF(Z118=0,"Film Review Required",IF(C118&lt;4,"Sample Watch • ","")&amp;"Broad Concept Proxy")</f>
        <v>Film Review Required</v>
      </c>
      <c r="K118" s="9" t="str">
        <f>"Opponent exact-play alert only. No Defensive Exact-Play Sample. "&amp;IF(Z118=0,"Confirm concept mapping and review film before treating this as a defensive candidate.","Metrics describe the confirmed concept; "&amp;IF($Z118=0,"",INDEX('DEF_CALL_DECISION_SUPPORT'!$A$1:$U$1496,$Z118,12)))</f>
        <v>Opponent exact-play alert only. No Defensive Exact-Play Sample. Confirm concept mapping and review film before treating this as a defensive candidate.</v>
      </c>
      <c r="L118" s="7" t="s">
        <v>957</v>
      </c>
      <c r="Y118" s="2" t="s">
        <v>2510</v>
      </c>
      <c r="Z118" s="2">
        <f>IF($L118="",0,IFERROR(MATCH(LEN($L118)&amp;":"&amp;$L118&amp;"|",'DEF_CALL_DECISION_SUPPORT'!$U$1264:$U$1440,0)+1264-1,0))</f>
        <v>0</v>
      </c>
    </row>
    <row r="119" spans="1:26" ht="50" customHeight="1">
      <c r="A119" s="8" t="s">
        <v>1662</v>
      </c>
      <c r="B119" s="8" t="str">
        <f>IF($Z119=0,"Film Review Required",INDEX('DEF_CALL_DECISION_SUPPORT'!$A$1:$U$1496,$Z119,2))</f>
        <v>RAMBO</v>
      </c>
      <c r="C119" s="12">
        <f>IF($Z119=0,"",INDEX('DEF_CALL_DECISION_SUPPORT'!$A$1:$U$1496,$Z119,3))</f>
        <v>4</v>
      </c>
      <c r="D119" s="10">
        <f>IF($Z119=0,"",INDEX('DEF_CALL_DECISION_SUPPORT'!$A$1:$U$1496,$Z119,4))</f>
        <v>1.0</v>
      </c>
      <c r="E119" s="10">
        <f>IF($Z119=0,"",INDEX('DEF_CALL_DECISION_SUPPORT'!$A$1:$U$1496,$Z119,5))</f>
        <v>0.0</v>
      </c>
      <c r="F119" s="11">
        <f>IF($Z119=0,"",INDEX('DEF_CALL_DECISION_SUPPORT'!$A$1:$U$1496,$Z119,6))</f>
        <v>1.0</v>
      </c>
      <c r="G119" s="11">
        <f>IF($Z119=0,"",INDEX('DEF_CALL_DECISION_SUPPORT'!$A$1:$U$1496,$Z119,10))</f>
        <v>99.0</v>
      </c>
      <c r="H119" s="14" t="str">
        <f>IF($Z119=0,"",INDEX('DEF_CALL_DECISION_SUPPORT'!$A$1:$U$1496,$Z119,9))</f>
        <v>MEDIUM</v>
      </c>
      <c r="I119" s="14" t="str">
        <f>IF($Z119=0,"",INDEX('DEF_CALL_DECISION_SUPPORT'!$A$1:$U$1496,$Z119,11))</f>
        <v>Strong Candidate</v>
      </c>
      <c r="J119" s="14" t="str">
        <f>IF(Z119=0,"Film Review Required",IF(C119&lt;4,"Sample Watch • ","")&amp;"Broad Concept Proxy")</f>
        <v>Broad Concept Proxy</v>
      </c>
      <c r="K119" s="9" t="str">
        <f>"Opponent exact-play alert only. No Defensive Exact-Play Sample. "&amp;IF(Z119=0,"Confirm concept mapping and review film before treating this as a defensive candidate.","Metrics describe the confirmed concept; "&amp;IF($Z119=0,"",INDEX('DEF_CALL_DECISION_SUPPORT'!$A$1:$U$1496,$Z119,12)))</f>
        <v>Opponent exact-play alert only. No Defensive Exact-Play Sample. Metrics describe the confirmed concept; Strong call-fit candidate; confirm on film.</v>
      </c>
      <c r="L119" s="7" t="s">
        <v>449</v>
      </c>
      <c r="Y119" s="2" t="s">
        <v>2511</v>
      </c>
      <c r="Z119" s="2">
        <f>IF($L119="",0,IFERROR(MATCH(LEN($L119)&amp;":"&amp;$L119&amp;"|",'DEF_CALL_DECISION_SUPPORT'!$U$1264:$U$1440,0)+1264-1,0))</f>
        <v>1306</v>
      </c>
    </row>
    <row r="120" spans="1:26" ht="50" customHeight="1">
      <c r="A120" s="8" t="s">
        <v>1645</v>
      </c>
      <c r="B120" s="8" t="str">
        <f>IF($Z120=0,"Film Review Required",INDEX('DEF_CALL_DECISION_SUPPORT'!$A$1:$U$1496,$Z120,2))</f>
        <v>RAMBO</v>
      </c>
      <c r="C120" s="12">
        <f>IF($Z120=0,"",INDEX('DEF_CALL_DECISION_SUPPORT'!$A$1:$U$1496,$Z120,3))</f>
        <v>4</v>
      </c>
      <c r="D120" s="10">
        <f>IF($Z120=0,"",INDEX('DEF_CALL_DECISION_SUPPORT'!$A$1:$U$1496,$Z120,4))</f>
        <v>1.0</v>
      </c>
      <c r="E120" s="10">
        <f>IF($Z120=0,"",INDEX('DEF_CALL_DECISION_SUPPORT'!$A$1:$U$1496,$Z120,5))</f>
        <v>0.0</v>
      </c>
      <c r="F120" s="11">
        <f>IF($Z120=0,"",INDEX('DEF_CALL_DECISION_SUPPORT'!$A$1:$U$1496,$Z120,6))</f>
        <v>1.0</v>
      </c>
      <c r="G120" s="11">
        <f>IF($Z120=0,"",INDEX('DEF_CALL_DECISION_SUPPORT'!$A$1:$U$1496,$Z120,10))</f>
        <v>99.0</v>
      </c>
      <c r="H120" s="14" t="str">
        <f>IF($Z120=0,"",INDEX('DEF_CALL_DECISION_SUPPORT'!$A$1:$U$1496,$Z120,9))</f>
        <v>MEDIUM</v>
      </c>
      <c r="I120" s="14" t="str">
        <f>IF($Z120=0,"",INDEX('DEF_CALL_DECISION_SUPPORT'!$A$1:$U$1496,$Z120,11))</f>
        <v>Strong Candidate</v>
      </c>
      <c r="J120" s="14" t="str">
        <f>IF(Z120=0,"Film Review Required",IF(C120&lt;4,"Sample Watch • ","")&amp;"Broad Concept Proxy")</f>
        <v>Broad Concept Proxy</v>
      </c>
      <c r="K120" s="9" t="str">
        <f>"Opponent exact-play alert only. No Defensive Exact-Play Sample. "&amp;IF(Z120=0,"Confirm concept mapping and review film before treating this as a defensive candidate.","Metrics describe the confirmed concept; "&amp;IF($Z120=0,"",INDEX('DEF_CALL_DECISION_SUPPORT'!$A$1:$U$1496,$Z120,12)))</f>
        <v>Opponent exact-play alert only. No Defensive Exact-Play Sample. Metrics describe the confirmed concept; Strong call-fit candidate; confirm on film.</v>
      </c>
      <c r="L120" s="7" t="s">
        <v>449</v>
      </c>
      <c r="Y120" s="2" t="s">
        <v>2512</v>
      </c>
      <c r="Z120" s="2">
        <f>IF($L120="",0,IFERROR(MATCH(LEN($L120)&amp;":"&amp;$L120&amp;"|",'DEF_CALL_DECISION_SUPPORT'!$U$1264:$U$1440,0)+1264-1,0))</f>
        <v>1306</v>
      </c>
    </row>
    <row r="121" spans="1:26" ht="50" customHeight="1">
      <c r="A121" s="8" t="s">
        <v>1530</v>
      </c>
      <c r="B121" s="8" t="str">
        <f>IF($Z121=0,"Film Review Required",INDEX('DEF_CALL_DECISION_SUPPORT'!$A$1:$U$1496,$Z121,2))</f>
        <v>REBEL</v>
      </c>
      <c r="C121" s="12">
        <f>IF($Z121=0,"",INDEX('DEF_CALL_DECISION_SUPPORT'!$A$1:$U$1496,$Z121,3))</f>
        <v>4</v>
      </c>
      <c r="D121" s="10">
        <f>IF($Z121=0,"",INDEX('DEF_CALL_DECISION_SUPPORT'!$A$1:$U$1496,$Z121,4))</f>
        <v>0.75</v>
      </c>
      <c r="E121" s="10">
        <f>IF($Z121=0,"",INDEX('DEF_CALL_DECISION_SUPPORT'!$A$1:$U$1496,$Z121,5))</f>
        <v>0.0</v>
      </c>
      <c r="F121" s="11">
        <f>IF($Z121=0,"",INDEX('DEF_CALL_DECISION_SUPPORT'!$A$1:$U$1496,$Z121,6))</f>
        <v>3.75</v>
      </c>
      <c r="G121" s="11">
        <f>IF($Z121=0,"",INDEX('DEF_CALL_DECISION_SUPPORT'!$A$1:$U$1496,$Z121,10))</f>
        <v>78.8</v>
      </c>
      <c r="H121" s="14" t="str">
        <f>IF($Z121=0,"",INDEX('DEF_CALL_DECISION_SUPPORT'!$A$1:$U$1496,$Z121,9))</f>
        <v>MEDIUM</v>
      </c>
      <c r="I121" s="14" t="str">
        <f>IF($Z121=0,"",INDEX('DEF_CALL_DECISION_SUPPORT'!$A$1:$U$1496,$Z121,11))</f>
        <v>Good Candidate</v>
      </c>
      <c r="J121" s="14" t="str">
        <f>IF(Z121=0,"Film Review Required",IF(C121&lt;4,"Sample Watch • ","")&amp;"Broad Concept Proxy")</f>
        <v>Broad Concept Proxy</v>
      </c>
      <c r="K121" s="9" t="str">
        <f>"Opponent exact-play alert only. No Defensive Exact-Play Sample. "&amp;IF(Z121=0,"Confirm concept mapping and review film before treating this as a defensive candidate.","Metrics describe the confirmed concept; "&amp;IF($Z121=0,"",INDEX('DEF_CALL_DECISION_SUPPORT'!$A$1:$U$1496,$Z121,12)))</f>
        <v>Opponent exact-play alert only. No Defensive Exact-Play Sample. Metrics describe the confirmed concept; Good call-fit signal; confirm on film.</v>
      </c>
      <c r="L121" s="7" t="s">
        <v>446</v>
      </c>
      <c r="Y121" s="2" t="s">
        <v>2513</v>
      </c>
      <c r="Z121" s="2">
        <f>IF($L121="",0,IFERROR(MATCH(LEN($L121)&amp;":"&amp;$L121&amp;"|",'DEF_CALL_DECISION_SUPPORT'!$U$1264:$U$1440,0)+1264-1,0))</f>
        <v>1275</v>
      </c>
    </row>
    <row r="122" spans="1:26" ht="50" customHeight="1">
      <c r="A122" s="8" t="s">
        <v>1516</v>
      </c>
      <c r="B122" s="8" t="str">
        <f>IF($Z122=0,"Film Review Required",INDEX('DEF_CALL_DECISION_SUPPORT'!$A$1:$U$1496,$Z122,2))</f>
        <v>REBEL</v>
      </c>
      <c r="C122" s="12">
        <f>IF($Z122=0,"",INDEX('DEF_CALL_DECISION_SUPPORT'!$A$1:$U$1496,$Z122,3))</f>
        <v>4</v>
      </c>
      <c r="D122" s="10">
        <f>IF($Z122=0,"",INDEX('DEF_CALL_DECISION_SUPPORT'!$A$1:$U$1496,$Z122,4))</f>
        <v>0.75</v>
      </c>
      <c r="E122" s="10">
        <f>IF($Z122=0,"",INDEX('DEF_CALL_DECISION_SUPPORT'!$A$1:$U$1496,$Z122,5))</f>
        <v>0.0</v>
      </c>
      <c r="F122" s="11">
        <f>IF($Z122=0,"",INDEX('DEF_CALL_DECISION_SUPPORT'!$A$1:$U$1496,$Z122,6))</f>
        <v>3.75</v>
      </c>
      <c r="G122" s="11">
        <f>IF($Z122=0,"",INDEX('DEF_CALL_DECISION_SUPPORT'!$A$1:$U$1496,$Z122,10))</f>
        <v>78.8</v>
      </c>
      <c r="H122" s="14" t="str">
        <f>IF($Z122=0,"",INDEX('DEF_CALL_DECISION_SUPPORT'!$A$1:$U$1496,$Z122,9))</f>
        <v>MEDIUM</v>
      </c>
      <c r="I122" s="14" t="str">
        <f>IF($Z122=0,"",INDEX('DEF_CALL_DECISION_SUPPORT'!$A$1:$U$1496,$Z122,11))</f>
        <v>Good Candidate</v>
      </c>
      <c r="J122" s="14" t="str">
        <f>IF(Z122=0,"Film Review Required",IF(C122&lt;4,"Sample Watch • ","")&amp;"Broad Concept Proxy")</f>
        <v>Broad Concept Proxy</v>
      </c>
      <c r="K122" s="9" t="str">
        <f>"Opponent exact-play alert only. No Defensive Exact-Play Sample. "&amp;IF(Z122=0,"Confirm concept mapping and review film before treating this as a defensive candidate.","Metrics describe the confirmed concept; "&amp;IF($Z122=0,"",INDEX('DEF_CALL_DECISION_SUPPORT'!$A$1:$U$1496,$Z122,12)))</f>
        <v>Opponent exact-play alert only. No Defensive Exact-Play Sample. Metrics describe the confirmed concept; Good call-fit signal; confirm on film.</v>
      </c>
      <c r="L122" s="7" t="s">
        <v>446</v>
      </c>
      <c r="Y122" s="2" t="s">
        <v>2514</v>
      </c>
      <c r="Z122" s="2">
        <f>IF($L122="",0,IFERROR(MATCH(LEN($L122)&amp;":"&amp;$L122&amp;"|",'DEF_CALL_DECISION_SUPPORT'!$U$1264:$U$1440,0)+1264-1,0))</f>
        <v>1275</v>
      </c>
    </row>
    <row r="123" spans="1:26" ht="50" customHeight="1">
      <c r="A123" s="8" t="s">
        <v>1550</v>
      </c>
      <c r="B123" s="8" t="str">
        <f>IF($Z123=0,"Film Review Required",INDEX('DEF_CALL_DECISION_SUPPORT'!$A$1:$U$1496,$Z123,2))</f>
        <v>RAMBO</v>
      </c>
      <c r="C123" s="12">
        <f>IF($Z123=0,"",INDEX('DEF_CALL_DECISION_SUPPORT'!$A$1:$U$1496,$Z123,3))</f>
        <v>4</v>
      </c>
      <c r="D123" s="10">
        <f>IF($Z123=0,"",INDEX('DEF_CALL_DECISION_SUPPORT'!$A$1:$U$1496,$Z123,4))</f>
        <v>1.0</v>
      </c>
      <c r="E123" s="10">
        <f>IF($Z123=0,"",INDEX('DEF_CALL_DECISION_SUPPORT'!$A$1:$U$1496,$Z123,5))</f>
        <v>0.0</v>
      </c>
      <c r="F123" s="11">
        <f>IF($Z123=0,"",INDEX('DEF_CALL_DECISION_SUPPORT'!$A$1:$U$1496,$Z123,6))</f>
        <v>1.0</v>
      </c>
      <c r="G123" s="11">
        <f>IF($Z123=0,"",INDEX('DEF_CALL_DECISION_SUPPORT'!$A$1:$U$1496,$Z123,10))</f>
        <v>99.0</v>
      </c>
      <c r="H123" s="14" t="str">
        <f>IF($Z123=0,"",INDEX('DEF_CALL_DECISION_SUPPORT'!$A$1:$U$1496,$Z123,9))</f>
        <v>MEDIUM</v>
      </c>
      <c r="I123" s="14" t="str">
        <f>IF($Z123=0,"",INDEX('DEF_CALL_DECISION_SUPPORT'!$A$1:$U$1496,$Z123,11))</f>
        <v>Strong Candidate</v>
      </c>
      <c r="J123" s="14" t="str">
        <f>IF(Z123=0,"Film Review Required",IF(C123&lt;4,"Sample Watch • ","")&amp;"Broad Concept Proxy")</f>
        <v>Broad Concept Proxy</v>
      </c>
      <c r="K123" s="9" t="str">
        <f>"Opponent exact-play alert only. No Defensive Exact-Play Sample. "&amp;IF(Z123=0,"Confirm concept mapping and review film before treating this as a defensive candidate.","Metrics describe the confirmed concept; "&amp;IF($Z123=0,"",INDEX('DEF_CALL_DECISION_SUPPORT'!$A$1:$U$1496,$Z123,12)))</f>
        <v>Opponent exact-play alert only. No Defensive Exact-Play Sample. Metrics describe the confirmed concept; Strong call-fit candidate; confirm on film.</v>
      </c>
      <c r="L123" s="7" t="s">
        <v>449</v>
      </c>
      <c r="Y123" s="2" t="s">
        <v>2515</v>
      </c>
      <c r="Z123" s="2">
        <f>IF($L123="",0,IFERROR(MATCH(LEN($L123)&amp;":"&amp;$L123&amp;"|",'DEF_CALL_DECISION_SUPPORT'!$U$1264:$U$1440,0)+1264-1,0))</f>
        <v>1306</v>
      </c>
    </row>
    <row r="124" spans="1:26" ht="50" customHeight="1">
      <c r="A124" s="8" t="s">
        <v>1648</v>
      </c>
      <c r="B124" s="8" t="str">
        <f>IF($Z124=0,"Film Review Required",INDEX('DEF_CALL_DECISION_SUPPORT'!$A$1:$U$1496,$Z124,2))</f>
        <v>RAMBO</v>
      </c>
      <c r="C124" s="12">
        <f>IF($Z124=0,"",INDEX('DEF_CALL_DECISION_SUPPORT'!$A$1:$U$1496,$Z124,3))</f>
        <v>4</v>
      </c>
      <c r="D124" s="10">
        <f>IF($Z124=0,"",INDEX('DEF_CALL_DECISION_SUPPORT'!$A$1:$U$1496,$Z124,4))</f>
        <v>1.0</v>
      </c>
      <c r="E124" s="10">
        <f>IF($Z124=0,"",INDEX('DEF_CALL_DECISION_SUPPORT'!$A$1:$U$1496,$Z124,5))</f>
        <v>0.0</v>
      </c>
      <c r="F124" s="11">
        <f>IF($Z124=0,"",INDEX('DEF_CALL_DECISION_SUPPORT'!$A$1:$U$1496,$Z124,6))</f>
        <v>1.0</v>
      </c>
      <c r="G124" s="11">
        <f>IF($Z124=0,"",INDEX('DEF_CALL_DECISION_SUPPORT'!$A$1:$U$1496,$Z124,10))</f>
        <v>99.0</v>
      </c>
      <c r="H124" s="14" t="str">
        <f>IF($Z124=0,"",INDEX('DEF_CALL_DECISION_SUPPORT'!$A$1:$U$1496,$Z124,9))</f>
        <v>MEDIUM</v>
      </c>
      <c r="I124" s="14" t="str">
        <f>IF($Z124=0,"",INDEX('DEF_CALL_DECISION_SUPPORT'!$A$1:$U$1496,$Z124,11))</f>
        <v>Strong Candidate</v>
      </c>
      <c r="J124" s="14" t="str">
        <f>IF(Z124=0,"Film Review Required",IF(C124&lt;4,"Sample Watch • ","")&amp;"Broad Concept Proxy")</f>
        <v>Broad Concept Proxy</v>
      </c>
      <c r="K124" s="9" t="str">
        <f>"Opponent exact-play alert only. No Defensive Exact-Play Sample. "&amp;IF(Z124=0,"Confirm concept mapping and review film before treating this as a defensive candidate.","Metrics describe the confirmed concept; "&amp;IF($Z124=0,"",INDEX('DEF_CALL_DECISION_SUPPORT'!$A$1:$U$1496,$Z124,12)))</f>
        <v>Opponent exact-play alert only. No Defensive Exact-Play Sample. Metrics describe the confirmed concept; Strong call-fit candidate; confirm on film.</v>
      </c>
      <c r="L124" s="7" t="s">
        <v>449</v>
      </c>
      <c r="Y124" s="2" t="s">
        <v>2516</v>
      </c>
      <c r="Z124" s="2">
        <f>IF($L124="",0,IFERROR(MATCH(LEN($L124)&amp;":"&amp;$L124&amp;"|",'DEF_CALL_DECISION_SUPPORT'!$U$1264:$U$1440,0)+1264-1,0))</f>
        <v>1306</v>
      </c>
    </row>
    <row r="125" spans="1:26" ht="50" customHeight="1">
      <c r="A125" s="8" t="s">
        <v>821</v>
      </c>
      <c r="B125" s="8" t="str">
        <f>IF($Z125=0,"Film Review Required",INDEX('DEF_CALL_DECISION_SUPPORT'!$A$1:$U$1496,$Z125,2))</f>
        <v>Film Review Required</v>
      </c>
      <c r="C125" s="12">
        <f>IF($Z125=0,"",INDEX('DEF_CALL_DECISION_SUPPORT'!$A$1:$U$1496,$Z125,3))</f>
        <v/>
      </c>
      <c r="D125" s="10">
        <f>IF($Z125=0,"",INDEX('DEF_CALL_DECISION_SUPPORT'!$A$1:$U$1496,$Z125,4))</f>
        <v/>
      </c>
      <c r="E125" s="10">
        <f>IF($Z125=0,"",INDEX('DEF_CALL_DECISION_SUPPORT'!$A$1:$U$1496,$Z125,5))</f>
        <v/>
      </c>
      <c r="F125" s="11">
        <f>IF($Z125=0,"",INDEX('DEF_CALL_DECISION_SUPPORT'!$A$1:$U$1496,$Z125,6))</f>
        <v/>
      </c>
      <c r="G125" s="11">
        <f>IF($Z125=0,"",INDEX('DEF_CALL_DECISION_SUPPORT'!$A$1:$U$1496,$Z125,10))</f>
        <v/>
      </c>
      <c r="H125" s="14">
        <f>IF($Z125=0,"",INDEX('DEF_CALL_DECISION_SUPPORT'!$A$1:$U$1496,$Z125,9))</f>
        <v/>
      </c>
      <c r="I125" s="14">
        <f>IF($Z125=0,"",INDEX('DEF_CALL_DECISION_SUPPORT'!$A$1:$U$1496,$Z125,11))</f>
        <v/>
      </c>
      <c r="J125" s="14" t="str">
        <f>IF(Z125=0,"Film Review Required",IF(C125&lt;4,"Sample Watch • ","")&amp;"Broad Concept Proxy")</f>
        <v>Film Review Required</v>
      </c>
      <c r="K125" s="9" t="str">
        <f>"Opponent exact-play alert only. No Defensive Exact-Play Sample. "&amp;IF(Z125=0,"Confirm concept mapping and review film before treating this as a defensive candidate.","Metrics describe the confirmed concept; "&amp;IF($Z125=0,"",INDEX('DEF_CALL_DECISION_SUPPORT'!$A$1:$U$1496,$Z125,12)))</f>
        <v>Opponent exact-play alert only. No Defensive Exact-Play Sample. Confirm concept mapping and review film before treating this as a defensive candidate.</v>
      </c>
      <c r="L125" s="7"/>
      <c r="Y125" s="2" t="s">
        <v>2517</v>
      </c>
      <c r="Z125" s="2">
        <f>IF($L125="",0,IFERROR(MATCH(LEN($L125)&amp;":"&amp;$L125&amp;"|",'DEF_CALL_DECISION_SUPPORT'!$U$1264:$U$1440,0)+1264-1,0))</f>
        <v>0</v>
      </c>
    </row>
    <row r="126" spans="1:26" ht="50" customHeight="1">
      <c r="A126" s="8" t="s">
        <v>1494</v>
      </c>
      <c r="B126" s="8" t="str">
        <f>IF($Z126=0,"Film Review Required",INDEX('DEF_CALL_DECISION_SUPPORT'!$A$1:$U$1496,$Z126,2))</f>
        <v>Film Review Required</v>
      </c>
      <c r="C126" s="12">
        <f>IF($Z126=0,"",INDEX('DEF_CALL_DECISION_SUPPORT'!$A$1:$U$1496,$Z126,3))</f>
        <v/>
      </c>
      <c r="D126" s="10">
        <f>IF($Z126=0,"",INDEX('DEF_CALL_DECISION_SUPPORT'!$A$1:$U$1496,$Z126,4))</f>
        <v/>
      </c>
      <c r="E126" s="10">
        <f>IF($Z126=0,"",INDEX('DEF_CALL_DECISION_SUPPORT'!$A$1:$U$1496,$Z126,5))</f>
        <v/>
      </c>
      <c r="F126" s="11">
        <f>IF($Z126=0,"",INDEX('DEF_CALL_DECISION_SUPPORT'!$A$1:$U$1496,$Z126,6))</f>
        <v/>
      </c>
      <c r="G126" s="11">
        <f>IF($Z126=0,"",INDEX('DEF_CALL_DECISION_SUPPORT'!$A$1:$U$1496,$Z126,10))</f>
        <v/>
      </c>
      <c r="H126" s="14">
        <f>IF($Z126=0,"",INDEX('DEF_CALL_DECISION_SUPPORT'!$A$1:$U$1496,$Z126,9))</f>
        <v/>
      </c>
      <c r="I126" s="14">
        <f>IF($Z126=0,"",INDEX('DEF_CALL_DECISION_SUPPORT'!$A$1:$U$1496,$Z126,11))</f>
        <v/>
      </c>
      <c r="J126" s="14" t="str">
        <f>IF(Z126=0,"Film Review Required",IF(C126&lt;4,"Sample Watch • ","")&amp;"Broad Concept Proxy")</f>
        <v>Film Review Required</v>
      </c>
      <c r="K126" s="9" t="str">
        <f>"Opponent exact-play alert only. No Defensive Exact-Play Sample. "&amp;IF(Z126=0,"Confirm concept mapping and review film before treating this as a defensive candidate.","Metrics describe the confirmed concept; "&amp;IF($Z126=0,"",INDEX('DEF_CALL_DECISION_SUPPORT'!$A$1:$U$1496,$Z126,12)))</f>
        <v>Opponent exact-play alert only. No Defensive Exact-Play Sample. Confirm concept mapping and review film before treating this as a defensive candidate.</v>
      </c>
      <c r="L126" s="7"/>
      <c r="Y126" s="2" t="s">
        <v>2518</v>
      </c>
      <c r="Z126" s="2">
        <f>IF($L126="",0,IFERROR(MATCH(LEN($L126)&amp;":"&amp;$L126&amp;"|",'DEF_CALL_DECISION_SUPPORT'!$U$1264:$U$1440,0)+1264-1,0))</f>
        <v>0</v>
      </c>
    </row>
    <row r="127" spans="1:26" ht="50" customHeight="1">
      <c r="A127" s="8" t="s">
        <v>1684</v>
      </c>
      <c r="B127" s="8" t="str">
        <f>IF($Z127=0,"Film Review Required",INDEX('DEF_CALL_DECISION_SUPPORT'!$A$1:$U$1496,$Z127,2))</f>
        <v>Film Review Required</v>
      </c>
      <c r="C127" s="12">
        <f>IF($Z127=0,"",INDEX('DEF_CALL_DECISION_SUPPORT'!$A$1:$U$1496,$Z127,3))</f>
        <v/>
      </c>
      <c r="D127" s="10">
        <f>IF($Z127=0,"",INDEX('DEF_CALL_DECISION_SUPPORT'!$A$1:$U$1496,$Z127,4))</f>
        <v/>
      </c>
      <c r="E127" s="10">
        <f>IF($Z127=0,"",INDEX('DEF_CALL_DECISION_SUPPORT'!$A$1:$U$1496,$Z127,5))</f>
        <v/>
      </c>
      <c r="F127" s="11">
        <f>IF($Z127=0,"",INDEX('DEF_CALL_DECISION_SUPPORT'!$A$1:$U$1496,$Z127,6))</f>
        <v/>
      </c>
      <c r="G127" s="11">
        <f>IF($Z127=0,"",INDEX('DEF_CALL_DECISION_SUPPORT'!$A$1:$U$1496,$Z127,10))</f>
        <v/>
      </c>
      <c r="H127" s="14">
        <f>IF($Z127=0,"",INDEX('DEF_CALL_DECISION_SUPPORT'!$A$1:$U$1496,$Z127,9))</f>
        <v/>
      </c>
      <c r="I127" s="14">
        <f>IF($Z127=0,"",INDEX('DEF_CALL_DECISION_SUPPORT'!$A$1:$U$1496,$Z127,11))</f>
        <v/>
      </c>
      <c r="J127" s="14" t="str">
        <f>IF(Z127=0,"Film Review Required",IF(C127&lt;4,"Sample Watch • ","")&amp;"Broad Concept Proxy")</f>
        <v>Film Review Required</v>
      </c>
      <c r="K127" s="9" t="str">
        <f>"Opponent exact-play alert only. No Defensive Exact-Play Sample. "&amp;IF(Z127=0,"Confirm concept mapping and review film before treating this as a defensive candidate.","Metrics describe the confirmed concept; "&amp;IF($Z127=0,"",INDEX('DEF_CALL_DECISION_SUPPORT'!$A$1:$U$1496,$Z127,12)))</f>
        <v>Opponent exact-play alert only. No Defensive Exact-Play Sample. Confirm concept mapping and review film before treating this as a defensive candidate.</v>
      </c>
      <c r="L127" s="7" t="s">
        <v>1038</v>
      </c>
      <c r="Y127" s="2" t="s">
        <v>2519</v>
      </c>
      <c r="Z127" s="2">
        <f>IF($L127="",0,IFERROR(MATCH(LEN($L127)&amp;":"&amp;$L127&amp;"|",'DEF_CALL_DECISION_SUPPORT'!$U$1264:$U$1440,0)+1264-1,0))</f>
        <v>0</v>
      </c>
    </row>
    <row r="128" spans="1:26" ht="50" customHeight="1">
      <c r="A128" s="8" t="s">
        <v>1650</v>
      </c>
      <c r="B128" s="8" t="str">
        <f>IF($Z128=0,"Film Review Required",INDEX('DEF_CALL_DECISION_SUPPORT'!$A$1:$U$1496,$Z128,2))</f>
        <v>BOURBON</v>
      </c>
      <c r="C128" s="12">
        <f>IF($Z128=0,"",INDEX('DEF_CALL_DECISION_SUPPORT'!$A$1:$U$1496,$Z128,3))</f>
        <v>1</v>
      </c>
      <c r="D128" s="10">
        <f>IF($Z128=0,"",INDEX('DEF_CALL_DECISION_SUPPORT'!$A$1:$U$1496,$Z128,4))</f>
        <v>1.0</v>
      </c>
      <c r="E128" s="10">
        <f>IF($Z128=0,"",INDEX('DEF_CALL_DECISION_SUPPORT'!$A$1:$U$1496,$Z128,5))</f>
        <v>0.0</v>
      </c>
      <c r="F128" s="11">
        <f>IF($Z128=0,"",INDEX('DEF_CALL_DECISION_SUPPORT'!$A$1:$U$1496,$Z128,6))</f>
        <v>0.0</v>
      </c>
      <c r="G128" s="11">
        <f>IF($Z128=0,"",INDEX('DEF_CALL_DECISION_SUPPORT'!$A$1:$U$1496,$Z128,10))</f>
        <v>100.0</v>
      </c>
      <c r="H128" s="14" t="str">
        <f>IF($Z128=0,"",INDEX('DEF_CALL_DECISION_SUPPORT'!$A$1:$U$1496,$Z128,9))</f>
        <v>TRACK</v>
      </c>
      <c r="I128" s="14" t="str">
        <f>IF($Z128=0,"",INDEX('DEF_CALL_DECISION_SUPPORT'!$A$1:$U$1496,$Z128,11))</f>
        <v>Track Only</v>
      </c>
      <c r="J128" s="14" t="str">
        <f>IF(Z128=0,"Film Review Required",IF(C128&lt;4,"Sample Watch • ","")&amp;"Broad Concept Proxy")</f>
        <v>Sample Watch • Broad Concept Proxy</v>
      </c>
      <c r="K128" s="9" t="str">
        <f>"Opponent exact-play alert only. No Defensive Exact-Play Sample. "&amp;IF(Z128=0,"Confirm concept mapping and review film before treating this as a defensive candidate.","Metrics describe the confirmed concept; "&amp;IF($Z128=0,"",INDEX('DEF_CALL_DECISION_SUPPORT'!$A$1:$U$1496,$Z128,12)))</f>
        <v>Opponent exact-play alert only. No Defensive Exact-Play Sample. Metrics describe the confirmed concept; Track only; not enough sample.</v>
      </c>
      <c r="L128" s="7" t="s">
        <v>474</v>
      </c>
      <c r="Y128" s="2" t="s">
        <v>2520</v>
      </c>
      <c r="Z128" s="2">
        <f>IF($L128="",0,IFERROR(MATCH(LEN($L128)&amp;":"&amp;$L128&amp;"|",'DEF_CALL_DECISION_SUPPORT'!$U$1264:$U$1440,0)+1264-1,0))</f>
        <v>1426</v>
      </c>
    </row>
    <row r="129" spans="1:26" ht="50" customHeight="1">
      <c r="A129" s="8" t="s">
        <v>1420</v>
      </c>
      <c r="B129" s="8" t="str">
        <f>IF($Z129=0,"Film Review Required",INDEX('DEF_CALL_DECISION_SUPPORT'!$A$1:$U$1496,$Z129,2))</f>
        <v>STUD</v>
      </c>
      <c r="C129" s="12">
        <f>IF($Z129=0,"",INDEX('DEF_CALL_DECISION_SUPPORT'!$A$1:$U$1496,$Z129,3))</f>
        <v>4</v>
      </c>
      <c r="D129" s="10">
        <f>IF($Z129=0,"",INDEX('DEF_CALL_DECISION_SUPPORT'!$A$1:$U$1496,$Z129,4))</f>
        <v>0.75</v>
      </c>
      <c r="E129" s="10">
        <f>IF($Z129=0,"",INDEX('DEF_CALL_DECISION_SUPPORT'!$A$1:$U$1496,$Z129,5))</f>
        <v>0.0</v>
      </c>
      <c r="F129" s="11">
        <f>IF($Z129=0,"",INDEX('DEF_CALL_DECISION_SUPPORT'!$A$1:$U$1496,$Z129,6))</f>
        <v>1.5</v>
      </c>
      <c r="G129" s="11">
        <f>IF($Z129=0,"",INDEX('DEF_CALL_DECISION_SUPPORT'!$A$1:$U$1496,$Z129,10))</f>
        <v>81.0</v>
      </c>
      <c r="H129" s="14" t="str">
        <f>IF($Z129=0,"",INDEX('DEF_CALL_DECISION_SUPPORT'!$A$1:$U$1496,$Z129,9))</f>
        <v>MEDIUM</v>
      </c>
      <c r="I129" s="14" t="str">
        <f>IF($Z129=0,"",INDEX('DEF_CALL_DECISION_SUPPORT'!$A$1:$U$1496,$Z129,11))</f>
        <v>Strong Candidate</v>
      </c>
      <c r="J129" s="14" t="str">
        <f>IF(Z129=0,"Film Review Required",IF(C129&lt;4,"Sample Watch • ","")&amp;"Broad Concept Proxy")</f>
        <v>Broad Concept Proxy</v>
      </c>
      <c r="K129" s="9" t="str">
        <f>"Opponent exact-play alert only. No Defensive Exact-Play Sample. "&amp;IF(Z129=0,"Confirm concept mapping and review film before treating this as a defensive candidate.","Metrics describe the confirmed concept; "&amp;IF($Z129=0,"",INDEX('DEF_CALL_DECISION_SUPPORT'!$A$1:$U$1496,$Z129,12)))</f>
        <v>Opponent exact-play alert only. No Defensive Exact-Play Sample. Metrics describe the confirmed concept; Strong call-fit candidate; confirm on film.</v>
      </c>
      <c r="L129" s="7" t="s">
        <v>428</v>
      </c>
      <c r="Y129" s="2" t="s">
        <v>2521</v>
      </c>
      <c r="Z129" s="2">
        <f>IF($L129="",0,IFERROR(MATCH(LEN($L129)&amp;":"&amp;$L129&amp;"|",'DEF_CALL_DECISION_SUPPORT'!$U$1264:$U$1440,0)+1264-1,0))</f>
        <v>1370</v>
      </c>
    </row>
    <row r="130" spans="1:26" ht="50" customHeight="1">
      <c r="A130" s="8" t="s">
        <v>818</v>
      </c>
      <c r="B130" s="8" t="str">
        <f>IF($Z130=0,"Film Review Required",INDEX('DEF_CALL_DECISION_SUPPORT'!$A$1:$U$1496,$Z130,2))</f>
        <v>STUD</v>
      </c>
      <c r="C130" s="12">
        <f>IF($Z130=0,"",INDEX('DEF_CALL_DECISION_SUPPORT'!$A$1:$U$1496,$Z130,3))</f>
        <v>4</v>
      </c>
      <c r="D130" s="10">
        <f>IF($Z130=0,"",INDEX('DEF_CALL_DECISION_SUPPORT'!$A$1:$U$1496,$Z130,4))</f>
        <v>0.75</v>
      </c>
      <c r="E130" s="10">
        <f>IF($Z130=0,"",INDEX('DEF_CALL_DECISION_SUPPORT'!$A$1:$U$1496,$Z130,5))</f>
        <v>0.0</v>
      </c>
      <c r="F130" s="11">
        <f>IF($Z130=0,"",INDEX('DEF_CALL_DECISION_SUPPORT'!$A$1:$U$1496,$Z130,6))</f>
        <v>1.5</v>
      </c>
      <c r="G130" s="11">
        <f>IF($Z130=0,"",INDEX('DEF_CALL_DECISION_SUPPORT'!$A$1:$U$1496,$Z130,10))</f>
        <v>81.0</v>
      </c>
      <c r="H130" s="14" t="str">
        <f>IF($Z130=0,"",INDEX('DEF_CALL_DECISION_SUPPORT'!$A$1:$U$1496,$Z130,9))</f>
        <v>MEDIUM</v>
      </c>
      <c r="I130" s="14" t="str">
        <f>IF($Z130=0,"",INDEX('DEF_CALL_DECISION_SUPPORT'!$A$1:$U$1496,$Z130,11))</f>
        <v>Strong Candidate</v>
      </c>
      <c r="J130" s="14" t="str">
        <f>IF(Z130=0,"Film Review Required",IF(C130&lt;4,"Sample Watch • ","")&amp;"Broad Concept Proxy")</f>
        <v>Broad Concept Proxy</v>
      </c>
      <c r="K130" s="9" t="str">
        <f>"Opponent exact-play alert only. No Defensive Exact-Play Sample. "&amp;IF(Z130=0,"Confirm concept mapping and review film before treating this as a defensive candidate.","Metrics describe the confirmed concept; "&amp;IF($Z130=0,"",INDEX('DEF_CALL_DECISION_SUPPORT'!$A$1:$U$1496,$Z130,12)))</f>
        <v>Opponent exact-play alert only. No Defensive Exact-Play Sample. Metrics describe the confirmed concept; Strong call-fit candidate; confirm on film.</v>
      </c>
      <c r="L130" s="7" t="s">
        <v>428</v>
      </c>
      <c r="Y130" s="2" t="s">
        <v>2522</v>
      </c>
      <c r="Z130" s="2">
        <f>IF($L130="",0,IFERROR(MATCH(LEN($L130)&amp;":"&amp;$L130&amp;"|",'DEF_CALL_DECISION_SUPPORT'!$U$1264:$U$1440,0)+1264-1,0))</f>
        <v>1370</v>
      </c>
    </row>
    <row r="131" spans="1:26" ht="50" customHeight="1">
      <c r="A131" s="8" t="s">
        <v>823</v>
      </c>
      <c r="B131" s="8" t="str">
        <f>IF($Z131=0,"Film Review Required",INDEX('DEF_CALL_DECISION_SUPPORT'!$A$1:$U$1496,$Z131,2))</f>
        <v>STUD</v>
      </c>
      <c r="C131" s="12">
        <f>IF($Z131=0,"",INDEX('DEF_CALL_DECISION_SUPPORT'!$A$1:$U$1496,$Z131,3))</f>
        <v>4</v>
      </c>
      <c r="D131" s="10">
        <f>IF($Z131=0,"",INDEX('DEF_CALL_DECISION_SUPPORT'!$A$1:$U$1496,$Z131,4))</f>
        <v>0.75</v>
      </c>
      <c r="E131" s="10">
        <f>IF($Z131=0,"",INDEX('DEF_CALL_DECISION_SUPPORT'!$A$1:$U$1496,$Z131,5))</f>
        <v>0.0</v>
      </c>
      <c r="F131" s="11">
        <f>IF($Z131=0,"",INDEX('DEF_CALL_DECISION_SUPPORT'!$A$1:$U$1496,$Z131,6))</f>
        <v>1.5</v>
      </c>
      <c r="G131" s="11">
        <f>IF($Z131=0,"",INDEX('DEF_CALL_DECISION_SUPPORT'!$A$1:$U$1496,$Z131,10))</f>
        <v>81.0</v>
      </c>
      <c r="H131" s="14" t="str">
        <f>IF($Z131=0,"",INDEX('DEF_CALL_DECISION_SUPPORT'!$A$1:$U$1496,$Z131,9))</f>
        <v>MEDIUM</v>
      </c>
      <c r="I131" s="14" t="str">
        <f>IF($Z131=0,"",INDEX('DEF_CALL_DECISION_SUPPORT'!$A$1:$U$1496,$Z131,11))</f>
        <v>Strong Candidate</v>
      </c>
      <c r="J131" s="14" t="str">
        <f>IF(Z131=0,"Film Review Required",IF(C131&lt;4,"Sample Watch • ","")&amp;"Broad Concept Proxy")</f>
        <v>Broad Concept Proxy</v>
      </c>
      <c r="K131" s="9" t="str">
        <f>"Opponent exact-play alert only. No Defensive Exact-Play Sample. "&amp;IF(Z131=0,"Confirm concept mapping and review film before treating this as a defensive candidate.","Metrics describe the confirmed concept; "&amp;IF($Z131=0,"",INDEX('DEF_CALL_DECISION_SUPPORT'!$A$1:$U$1496,$Z131,12)))</f>
        <v>Opponent exact-play alert only. No Defensive Exact-Play Sample. Metrics describe the confirmed concept; Strong call-fit candidate; confirm on film.</v>
      </c>
      <c r="L131" s="7" t="s">
        <v>428</v>
      </c>
      <c r="Y131" s="2" t="s">
        <v>2523</v>
      </c>
      <c r="Z131" s="2">
        <f>IF($L131="",0,IFERROR(MATCH(LEN($L131)&amp;":"&amp;$L131&amp;"|",'DEF_CALL_DECISION_SUPPORT'!$U$1264:$U$1440,0)+1264-1,0))</f>
        <v>1370</v>
      </c>
    </row>
    <row r="132" spans="1:26" ht="50" customHeight="1">
      <c r="A132" s="8" t="s">
        <v>1583</v>
      </c>
      <c r="B132" s="8" t="str">
        <f>IF($Z132=0,"Film Review Required",INDEX('DEF_CALL_DECISION_SUPPORT'!$A$1:$U$1496,$Z132,2))</f>
        <v>STUD</v>
      </c>
      <c r="C132" s="12">
        <f>IF($Z132=0,"",INDEX('DEF_CALL_DECISION_SUPPORT'!$A$1:$U$1496,$Z132,3))</f>
        <v>4</v>
      </c>
      <c r="D132" s="10">
        <f>IF($Z132=0,"",INDEX('DEF_CALL_DECISION_SUPPORT'!$A$1:$U$1496,$Z132,4))</f>
        <v>0.75</v>
      </c>
      <c r="E132" s="10">
        <f>IF($Z132=0,"",INDEX('DEF_CALL_DECISION_SUPPORT'!$A$1:$U$1496,$Z132,5))</f>
        <v>0.0</v>
      </c>
      <c r="F132" s="11">
        <f>IF($Z132=0,"",INDEX('DEF_CALL_DECISION_SUPPORT'!$A$1:$U$1496,$Z132,6))</f>
        <v>1.5</v>
      </c>
      <c r="G132" s="11">
        <f>IF($Z132=0,"",INDEX('DEF_CALL_DECISION_SUPPORT'!$A$1:$U$1496,$Z132,10))</f>
        <v>81.0</v>
      </c>
      <c r="H132" s="14" t="str">
        <f>IF($Z132=0,"",INDEX('DEF_CALL_DECISION_SUPPORT'!$A$1:$U$1496,$Z132,9))</f>
        <v>MEDIUM</v>
      </c>
      <c r="I132" s="14" t="str">
        <f>IF($Z132=0,"",INDEX('DEF_CALL_DECISION_SUPPORT'!$A$1:$U$1496,$Z132,11))</f>
        <v>Strong Candidate</v>
      </c>
      <c r="J132" s="14" t="str">
        <f>IF(Z132=0,"Film Review Required",IF(C132&lt;4,"Sample Watch • ","")&amp;"Broad Concept Proxy")</f>
        <v>Broad Concept Proxy</v>
      </c>
      <c r="K132" s="9" t="str">
        <f>"Opponent exact-play alert only. No Defensive Exact-Play Sample. "&amp;IF(Z132=0,"Confirm concept mapping and review film before treating this as a defensive candidate.","Metrics describe the confirmed concept; "&amp;IF($Z132=0,"",INDEX('DEF_CALL_DECISION_SUPPORT'!$A$1:$U$1496,$Z132,12)))</f>
        <v>Opponent exact-play alert only. No Defensive Exact-Play Sample. Metrics describe the confirmed concept; Strong call-fit candidate; confirm on film.</v>
      </c>
      <c r="L132" s="7" t="s">
        <v>428</v>
      </c>
      <c r="Y132" s="2" t="s">
        <v>2524</v>
      </c>
      <c r="Z132" s="2">
        <f>IF($L132="",0,IFERROR(MATCH(LEN($L132)&amp;":"&amp;$L132&amp;"|",'DEF_CALL_DECISION_SUPPORT'!$U$1264:$U$1440,0)+1264-1,0))</f>
        <v>1370</v>
      </c>
    </row>
    <row r="133" spans="1:26" ht="50" customHeight="1">
      <c r="A133" s="8" t="s">
        <v>1433</v>
      </c>
      <c r="B133" s="8" t="str">
        <f>IF($Z133=0,"Film Review Required",INDEX('DEF_CALL_DECISION_SUPPORT'!$A$1:$U$1496,$Z133,2))</f>
        <v>STUD</v>
      </c>
      <c r="C133" s="12">
        <f>IF($Z133=0,"",INDEX('DEF_CALL_DECISION_SUPPORT'!$A$1:$U$1496,$Z133,3))</f>
        <v>4</v>
      </c>
      <c r="D133" s="10">
        <f>IF($Z133=0,"",INDEX('DEF_CALL_DECISION_SUPPORT'!$A$1:$U$1496,$Z133,4))</f>
        <v>0.75</v>
      </c>
      <c r="E133" s="10">
        <f>IF($Z133=0,"",INDEX('DEF_CALL_DECISION_SUPPORT'!$A$1:$U$1496,$Z133,5))</f>
        <v>0.0</v>
      </c>
      <c r="F133" s="11">
        <f>IF($Z133=0,"",INDEX('DEF_CALL_DECISION_SUPPORT'!$A$1:$U$1496,$Z133,6))</f>
        <v>1.5</v>
      </c>
      <c r="G133" s="11">
        <f>IF($Z133=0,"",INDEX('DEF_CALL_DECISION_SUPPORT'!$A$1:$U$1496,$Z133,10))</f>
        <v>81.0</v>
      </c>
      <c r="H133" s="14" t="str">
        <f>IF($Z133=0,"",INDEX('DEF_CALL_DECISION_SUPPORT'!$A$1:$U$1496,$Z133,9))</f>
        <v>MEDIUM</v>
      </c>
      <c r="I133" s="14" t="str">
        <f>IF($Z133=0,"",INDEX('DEF_CALL_DECISION_SUPPORT'!$A$1:$U$1496,$Z133,11))</f>
        <v>Strong Candidate</v>
      </c>
      <c r="J133" s="14" t="str">
        <f>IF(Z133=0,"Film Review Required",IF(C133&lt;4,"Sample Watch • ","")&amp;"Broad Concept Proxy")</f>
        <v>Broad Concept Proxy</v>
      </c>
      <c r="K133" s="9" t="str">
        <f>"Opponent exact-play alert only. No Defensive Exact-Play Sample. "&amp;IF(Z133=0,"Confirm concept mapping and review film before treating this as a defensive candidate.","Metrics describe the confirmed concept; "&amp;IF($Z133=0,"",INDEX('DEF_CALL_DECISION_SUPPORT'!$A$1:$U$1496,$Z133,12)))</f>
        <v>Opponent exact-play alert only. No Defensive Exact-Play Sample. Metrics describe the confirmed concept; Strong call-fit candidate; confirm on film.</v>
      </c>
      <c r="L133" s="7" t="s">
        <v>428</v>
      </c>
      <c r="Y133" s="2" t="s">
        <v>2525</v>
      </c>
      <c r="Z133" s="2">
        <f>IF($L133="",0,IFERROR(MATCH(LEN($L133)&amp;":"&amp;$L133&amp;"|",'DEF_CALL_DECISION_SUPPORT'!$U$1264:$U$1440,0)+1264-1,0))</f>
        <v>1370</v>
      </c>
    </row>
    <row r="134" spans="1:26" ht="50" customHeight="1">
      <c r="A134" s="8" t="s">
        <v>816</v>
      </c>
      <c r="B134" s="8" t="str">
        <f>IF($Z134=0,"Film Review Required",INDEX('DEF_CALL_DECISION_SUPPORT'!$A$1:$U$1496,$Z134,2))</f>
        <v>Film Review Required</v>
      </c>
      <c r="C134" s="12">
        <f>IF($Z134=0,"",INDEX('DEF_CALL_DECISION_SUPPORT'!$A$1:$U$1496,$Z134,3))</f>
        <v/>
      </c>
      <c r="D134" s="10">
        <f>IF($Z134=0,"",INDEX('DEF_CALL_DECISION_SUPPORT'!$A$1:$U$1496,$Z134,4))</f>
        <v/>
      </c>
      <c r="E134" s="10">
        <f>IF($Z134=0,"",INDEX('DEF_CALL_DECISION_SUPPORT'!$A$1:$U$1496,$Z134,5))</f>
        <v/>
      </c>
      <c r="F134" s="11">
        <f>IF($Z134=0,"",INDEX('DEF_CALL_DECISION_SUPPORT'!$A$1:$U$1496,$Z134,6))</f>
        <v/>
      </c>
      <c r="G134" s="11">
        <f>IF($Z134=0,"",INDEX('DEF_CALL_DECISION_SUPPORT'!$A$1:$U$1496,$Z134,10))</f>
        <v/>
      </c>
      <c r="H134" s="14">
        <f>IF($Z134=0,"",INDEX('DEF_CALL_DECISION_SUPPORT'!$A$1:$U$1496,$Z134,9))</f>
        <v/>
      </c>
      <c r="I134" s="14">
        <f>IF($Z134=0,"",INDEX('DEF_CALL_DECISION_SUPPORT'!$A$1:$U$1496,$Z134,11))</f>
        <v/>
      </c>
      <c r="J134" s="14" t="str">
        <f>IF(Z134=0,"Film Review Required",IF(C134&lt;4,"Sample Watch • ","")&amp;"Broad Concept Proxy")</f>
        <v>Film Review Required</v>
      </c>
      <c r="K134" s="9" t="str">
        <f>"Opponent exact-play alert only. No Defensive Exact-Play Sample. "&amp;IF(Z134=0,"Confirm concept mapping and review film before treating this as a defensive candidate.","Metrics describe the confirmed concept; "&amp;IF($Z134=0,"",INDEX('DEF_CALL_DECISION_SUPPORT'!$A$1:$U$1496,$Z134,12)))</f>
        <v>Opponent exact-play alert only. No Defensive Exact-Play Sample. Confirm concept mapping and review film before treating this as a defensive candidate.</v>
      </c>
      <c r="L134" s="7"/>
      <c r="Y134" s="2" t="s">
        <v>2526</v>
      </c>
      <c r="Z134" s="2">
        <f>IF($L134="",0,IFERROR(MATCH(LEN($L134)&amp;":"&amp;$L134&amp;"|",'DEF_CALL_DECISION_SUPPORT'!$U$1264:$U$1440,0)+1264-1,0))</f>
        <v>0</v>
      </c>
    </row>
    <row r="135" spans="1:26" ht="50" customHeight="1">
      <c r="A135" s="8" t="s">
        <v>1422</v>
      </c>
      <c r="B135" s="8" t="str">
        <f>IF($Z135=0,"Film Review Required",INDEX('DEF_CALL_DECISION_SUPPORT'!$A$1:$U$1496,$Z135,2))</f>
        <v>Q RAMBO</v>
      </c>
      <c r="C135" s="12">
        <f>IF($Z135=0,"",INDEX('DEF_CALL_DECISION_SUPPORT'!$A$1:$U$1496,$Z135,3))</f>
        <v>1</v>
      </c>
      <c r="D135" s="10">
        <f>IF($Z135=0,"",INDEX('DEF_CALL_DECISION_SUPPORT'!$A$1:$U$1496,$Z135,4))</f>
        <v>1.0</v>
      </c>
      <c r="E135" s="10">
        <f>IF($Z135=0,"",INDEX('DEF_CALL_DECISION_SUPPORT'!$A$1:$U$1496,$Z135,5))</f>
        <v>0.0</v>
      </c>
      <c r="F135" s="11">
        <f>IF($Z135=0,"",INDEX('DEF_CALL_DECISION_SUPPORT'!$A$1:$U$1496,$Z135,6))</f>
        <v>-1.0</v>
      </c>
      <c r="G135" s="11">
        <f>IF($Z135=0,"",INDEX('DEF_CALL_DECISION_SUPPORT'!$A$1:$U$1496,$Z135,10))</f>
        <v>100.0</v>
      </c>
      <c r="H135" s="14" t="str">
        <f>IF($Z135=0,"",INDEX('DEF_CALL_DECISION_SUPPORT'!$A$1:$U$1496,$Z135,9))</f>
        <v>TRACK</v>
      </c>
      <c r="I135" s="14" t="str">
        <f>IF($Z135=0,"",INDEX('DEF_CALL_DECISION_SUPPORT'!$A$1:$U$1496,$Z135,11))</f>
        <v>Track Only</v>
      </c>
      <c r="J135" s="14" t="str">
        <f>IF(Z135=0,"Film Review Required",IF(C135&lt;4,"Sample Watch • ","")&amp;"Broad Concept Proxy")</f>
        <v>Sample Watch • Broad Concept Proxy</v>
      </c>
      <c r="K135" s="9" t="str">
        <f>"Opponent exact-play alert only. No Defensive Exact-Play Sample. "&amp;IF(Z135=0,"Confirm concept mapping and review film before treating this as a defensive candidate.","Metrics describe the confirmed concept; "&amp;IF($Z135=0,"",INDEX('DEF_CALL_DECISION_SUPPORT'!$A$1:$U$1496,$Z135,12)))</f>
        <v>Opponent exact-play alert only. No Defensive Exact-Play Sample. Metrics describe the confirmed concept; Track only; not enough sample.</v>
      </c>
      <c r="L135" s="7" t="s">
        <v>574</v>
      </c>
      <c r="Y135" s="2" t="s">
        <v>2527</v>
      </c>
      <c r="Z135" s="2">
        <f>IF($L135="",0,IFERROR(MATCH(LEN($L135)&amp;":"&amp;$L135&amp;"|",'DEF_CALL_DECISION_SUPPORT'!$U$1264:$U$1440,0)+1264-1,0))</f>
        <v>1377</v>
      </c>
    </row>
    <row r="136" spans="1:26" ht="50" customHeight="1">
      <c r="A136" s="8" t="s">
        <v>1424</v>
      </c>
      <c r="B136" s="8" t="str">
        <f>IF($Z136=0,"Film Review Required",INDEX('DEF_CALL_DECISION_SUPPORT'!$A$1:$U$1496,$Z136,2))</f>
        <v>STUD</v>
      </c>
      <c r="C136" s="12">
        <f>IF($Z136=0,"",INDEX('DEF_CALL_DECISION_SUPPORT'!$A$1:$U$1496,$Z136,3))</f>
        <v>4</v>
      </c>
      <c r="D136" s="10">
        <f>IF($Z136=0,"",INDEX('DEF_CALL_DECISION_SUPPORT'!$A$1:$U$1496,$Z136,4))</f>
        <v>0.75</v>
      </c>
      <c r="E136" s="10">
        <f>IF($Z136=0,"",INDEX('DEF_CALL_DECISION_SUPPORT'!$A$1:$U$1496,$Z136,5))</f>
        <v>0.0</v>
      </c>
      <c r="F136" s="11">
        <f>IF($Z136=0,"",INDEX('DEF_CALL_DECISION_SUPPORT'!$A$1:$U$1496,$Z136,6))</f>
        <v>1.5</v>
      </c>
      <c r="G136" s="11">
        <f>IF($Z136=0,"",INDEX('DEF_CALL_DECISION_SUPPORT'!$A$1:$U$1496,$Z136,10))</f>
        <v>81.0</v>
      </c>
      <c r="H136" s="14" t="str">
        <f>IF($Z136=0,"",INDEX('DEF_CALL_DECISION_SUPPORT'!$A$1:$U$1496,$Z136,9))</f>
        <v>MEDIUM</v>
      </c>
      <c r="I136" s="14" t="str">
        <f>IF($Z136=0,"",INDEX('DEF_CALL_DECISION_SUPPORT'!$A$1:$U$1496,$Z136,11))</f>
        <v>Strong Candidate</v>
      </c>
      <c r="J136" s="14" t="str">
        <f>IF(Z136=0,"Film Review Required",IF(C136&lt;4,"Sample Watch • ","")&amp;"Broad Concept Proxy")</f>
        <v>Broad Concept Proxy</v>
      </c>
      <c r="K136" s="9" t="str">
        <f>"Opponent exact-play alert only. No Defensive Exact-Play Sample. "&amp;IF(Z136=0,"Confirm concept mapping and review film before treating this as a defensive candidate.","Metrics describe the confirmed concept; "&amp;IF($Z136=0,"",INDEX('DEF_CALL_DECISION_SUPPORT'!$A$1:$U$1496,$Z136,12)))</f>
        <v>Opponent exact-play alert only. No Defensive Exact-Play Sample. Metrics describe the confirmed concept; Strong call-fit candidate; confirm on film.</v>
      </c>
      <c r="L136" s="7" t="s">
        <v>428</v>
      </c>
      <c r="Y136" s="2" t="s">
        <v>2528</v>
      </c>
      <c r="Z136" s="2">
        <f>IF($L136="",0,IFERROR(MATCH(LEN($L136)&amp;":"&amp;$L136&amp;"|",'DEF_CALL_DECISION_SUPPORT'!$U$1264:$U$1440,0)+1264-1,0))</f>
        <v>1370</v>
      </c>
    </row>
    <row r="137" spans="1:26" ht="50" customHeight="1">
      <c r="A137" s="8" t="s">
        <v>824</v>
      </c>
      <c r="B137" s="8" t="str">
        <f>IF($Z137=0,"Film Review Required",INDEX('DEF_CALL_DECISION_SUPPORT'!$A$1:$U$1496,$Z137,2))</f>
        <v>STUD</v>
      </c>
      <c r="C137" s="12">
        <f>IF($Z137=0,"",INDEX('DEF_CALL_DECISION_SUPPORT'!$A$1:$U$1496,$Z137,3))</f>
        <v>4</v>
      </c>
      <c r="D137" s="10">
        <f>IF($Z137=0,"",INDEX('DEF_CALL_DECISION_SUPPORT'!$A$1:$U$1496,$Z137,4))</f>
        <v>0.75</v>
      </c>
      <c r="E137" s="10">
        <f>IF($Z137=0,"",INDEX('DEF_CALL_DECISION_SUPPORT'!$A$1:$U$1496,$Z137,5))</f>
        <v>0.0</v>
      </c>
      <c r="F137" s="11">
        <f>IF($Z137=0,"",INDEX('DEF_CALL_DECISION_SUPPORT'!$A$1:$U$1496,$Z137,6))</f>
        <v>1.5</v>
      </c>
      <c r="G137" s="11">
        <f>IF($Z137=0,"",INDEX('DEF_CALL_DECISION_SUPPORT'!$A$1:$U$1496,$Z137,10))</f>
        <v>81.0</v>
      </c>
      <c r="H137" s="14" t="str">
        <f>IF($Z137=0,"",INDEX('DEF_CALL_DECISION_SUPPORT'!$A$1:$U$1496,$Z137,9))</f>
        <v>MEDIUM</v>
      </c>
      <c r="I137" s="14" t="str">
        <f>IF($Z137=0,"",INDEX('DEF_CALL_DECISION_SUPPORT'!$A$1:$U$1496,$Z137,11))</f>
        <v>Strong Candidate</v>
      </c>
      <c r="J137" s="14" t="str">
        <f>IF(Z137=0,"Film Review Required",IF(C137&lt;4,"Sample Watch • ","")&amp;"Broad Concept Proxy")</f>
        <v>Broad Concept Proxy</v>
      </c>
      <c r="K137" s="9" t="str">
        <f>"Opponent exact-play alert only. No Defensive Exact-Play Sample. "&amp;IF(Z137=0,"Confirm concept mapping and review film before treating this as a defensive candidate.","Metrics describe the confirmed concept; "&amp;IF($Z137=0,"",INDEX('DEF_CALL_DECISION_SUPPORT'!$A$1:$U$1496,$Z137,12)))</f>
        <v>Opponent exact-play alert only. No Defensive Exact-Play Sample. Metrics describe the confirmed concept; Strong call-fit candidate; confirm on film.</v>
      </c>
      <c r="L137" s="7" t="s">
        <v>428</v>
      </c>
      <c r="Y137" s="2" t="s">
        <v>2529</v>
      </c>
      <c r="Z137" s="2">
        <f>IF($L137="",0,IFERROR(MATCH(LEN($L137)&amp;":"&amp;$L137&amp;"|",'DEF_CALL_DECISION_SUPPORT'!$U$1264:$U$1440,0)+1264-1,0))</f>
        <v>1370</v>
      </c>
    </row>
    <row r="142" spans="1:26" ht="27" customHeight="1">
      <c r="A142" s="5" t="s">
        <v>2530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26" ht="36" customHeight="1">
      <c r="A143" s="9" t="s">
        <v>2531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26" ht="46" customHeight="1">
      <c r="A144" s="6" t="s">
        <v>20</v>
      </c>
      <c r="B144" s="6" t="s">
        <v>23</v>
      </c>
      <c r="C144" s="6" t="s">
        <v>2444</v>
      </c>
      <c r="D144" s="6" t="s">
        <v>10</v>
      </c>
      <c r="E144" s="6" t="s">
        <v>11</v>
      </c>
      <c r="F144" s="6" t="s">
        <v>12</v>
      </c>
      <c r="G144" s="6" t="s">
        <v>13</v>
      </c>
      <c r="H144" s="6" t="s">
        <v>17</v>
      </c>
      <c r="I144" s="6" t="s">
        <v>16</v>
      </c>
      <c r="J144" s="6" t="s">
        <v>2445</v>
      </c>
      <c r="K144" s="6" t="s">
        <v>19</v>
      </c>
      <c r="L144" s="6" t="s">
        <v>18</v>
      </c>
    </row>
    <row r="145" spans="1:26" ht="50" customHeight="1">
      <c r="A145" s="8" t="s">
        <v>26</v>
      </c>
      <c r="B145" s="8" t="s">
        <v>428</v>
      </c>
      <c r="C145" s="8" t="str">
        <f>IF($Z145=0,"Film Review Required",INDEX('DEF_CALL_DECISION_SUPPORT'!$A$1:$U$1496,$Z145,2))</f>
        <v>GOLD</v>
      </c>
      <c r="D145" s="12">
        <f>IF($Z145=0,"",INDEX('DEF_CALL_DECISION_SUPPORT'!$A$1:$U$1496,$Z145,3))</f>
        <v>2</v>
      </c>
      <c r="E145" s="10">
        <f>IF($Z145=0,"",INDEX('DEF_CALL_DECISION_SUPPORT'!$A$1:$U$1496,$Z145,4))</f>
        <v>1.0</v>
      </c>
      <c r="F145" s="10">
        <f>IF($Z145=0,"",INDEX('DEF_CALL_DECISION_SUPPORT'!$A$1:$U$1496,$Z145,5))</f>
        <v>0.0</v>
      </c>
      <c r="G145" s="11">
        <f>IF($Z145=0,"",INDEX('DEF_CALL_DECISION_SUPPORT'!$A$1:$U$1496,$Z145,6))</f>
        <v>1.5</v>
      </c>
      <c r="H145" s="11">
        <f>IF($Z145=0,"",INDEX('DEF_CALL_DECISION_SUPPORT'!$A$1:$U$1496,$Z145,10))</f>
        <v>98.5</v>
      </c>
      <c r="I145" s="14" t="str">
        <f>IF($Z145=0,"",INDEX('DEF_CALL_DECISION_SUPPORT'!$A$1:$U$1496,$Z145,9))</f>
        <v>TRACK</v>
      </c>
      <c r="J145" s="14" t="str">
        <f>IF(Z145=0,"Film Review Required",IF(D145&lt;4,"Sample Watch • ","")&amp;"D&amp;D + Concept Match")</f>
        <v>Sample Watch • D&amp;D + Concept Match</v>
      </c>
      <c r="K145" s="9" t="str">
        <f>IF($Z145=0,"No matching defensive reps; film confirmation needed.",INDEX('DEF_CALL_DECISION_SUPPORT'!$A$1:$U$1496,$Z145,12))</f>
        <v>Track only; not enough sample.</v>
      </c>
      <c r="L145" s="14" t="str">
        <f>IF($Z145=0,"",INDEX('DEF_CALL_DECISION_SUPPORT'!$A$1:$U$1496,$Z145,11))</f>
        <v>Track Only</v>
      </c>
      <c r="Y145" s="2" t="s">
        <v>430</v>
      </c>
      <c r="Z145" s="2">
        <f>IFERROR(MATCH(LEN($A145)&amp;":"&amp;$A145&amp;"|"&amp;LEN($B145)&amp;":"&amp;$B145&amp;"|",'DEF_CALL_DECISION_SUPPORT'!$U$811:$U$1055,0)+811-1,0)</f>
        <v>812</v>
      </c>
    </row>
    <row r="146" spans="1:26" ht="50" customHeight="1">
      <c r="A146" s="8" t="s">
        <v>26</v>
      </c>
      <c r="B146" s="8" t="s">
        <v>465</v>
      </c>
      <c r="C146" s="8" t="str">
        <f>IF($Z146=0,"Film Review Required",INDEX('DEF_CALL_DECISION_SUPPORT'!$A$1:$U$1496,$Z146,2))</f>
        <v>Film Review Required</v>
      </c>
      <c r="D146" s="12">
        <f>IF($Z146=0,"",INDEX('DEF_CALL_DECISION_SUPPORT'!$A$1:$U$1496,$Z146,3))</f>
        <v/>
      </c>
      <c r="E146" s="10">
        <f>IF($Z146=0,"",INDEX('DEF_CALL_DECISION_SUPPORT'!$A$1:$U$1496,$Z146,4))</f>
        <v/>
      </c>
      <c r="F146" s="10">
        <f>IF($Z146=0,"",INDEX('DEF_CALL_DECISION_SUPPORT'!$A$1:$U$1496,$Z146,5))</f>
        <v/>
      </c>
      <c r="G146" s="11">
        <f>IF($Z146=0,"",INDEX('DEF_CALL_DECISION_SUPPORT'!$A$1:$U$1496,$Z146,6))</f>
        <v/>
      </c>
      <c r="H146" s="11">
        <f>IF($Z146=0,"",INDEX('DEF_CALL_DECISION_SUPPORT'!$A$1:$U$1496,$Z146,10))</f>
        <v/>
      </c>
      <c r="I146" s="14">
        <f>IF($Z146=0,"",INDEX('DEF_CALL_DECISION_SUPPORT'!$A$1:$U$1496,$Z146,9))</f>
        <v/>
      </c>
      <c r="J146" s="14" t="str">
        <f>IF(Z146=0,"Film Review Required",IF(D146&lt;4,"Sample Watch • ","")&amp;"D&amp;D + Concept Match")</f>
        <v>Film Review Required</v>
      </c>
      <c r="K146" s="9" t="str">
        <f>IF($Z146=0,"No matching defensive reps; film confirmation needed.",INDEX('DEF_CALL_DECISION_SUPPORT'!$A$1:$U$1496,$Z146,12))</f>
        <v>No matching defensive reps; film confirmation needed.</v>
      </c>
      <c r="L146" s="14">
        <f>IF($Z146=0,"",INDEX('DEF_CALL_DECISION_SUPPORT'!$A$1:$U$1496,$Z146,11))</f>
        <v/>
      </c>
      <c r="Y146" s="2" t="s">
        <v>2532</v>
      </c>
      <c r="Z146" s="2">
        <f>IFERROR(MATCH(LEN($A146)&amp;":"&amp;$A146&amp;"|"&amp;LEN($B146)&amp;":"&amp;$B146&amp;"|",'DEF_CALL_DECISION_SUPPORT'!$U$811:$U$1055,0)+811-1,0)</f>
        <v>0</v>
      </c>
    </row>
    <row r="147" spans="1:26" ht="50" customHeight="1">
      <c r="A147" s="8" t="s">
        <v>31</v>
      </c>
      <c r="B147" s="8" t="s">
        <v>432</v>
      </c>
      <c r="C147" s="8" t="str">
        <f>IF($Z147=0,"Film Review Required",INDEX('DEF_CALL_DECISION_SUPPORT'!$A$1:$U$1496,$Z147,2))</f>
        <v>BOOGIE</v>
      </c>
      <c r="D147" s="12">
        <f>IF($Z147=0,"",INDEX('DEF_CALL_DECISION_SUPPORT'!$A$1:$U$1496,$Z147,3))</f>
        <v>1</v>
      </c>
      <c r="E147" s="10">
        <f>IF($Z147=0,"",INDEX('DEF_CALL_DECISION_SUPPORT'!$A$1:$U$1496,$Z147,4))</f>
        <v>1.0</v>
      </c>
      <c r="F147" s="10">
        <f>IF($Z147=0,"",INDEX('DEF_CALL_DECISION_SUPPORT'!$A$1:$U$1496,$Z147,5))</f>
        <v>0.0</v>
      </c>
      <c r="G147" s="11">
        <f>IF($Z147=0,"",INDEX('DEF_CALL_DECISION_SUPPORT'!$A$1:$U$1496,$Z147,6))</f>
        <v>2.0</v>
      </c>
      <c r="H147" s="11">
        <f>IF($Z147=0,"",INDEX('DEF_CALL_DECISION_SUPPORT'!$A$1:$U$1496,$Z147,10))</f>
        <v>98.0</v>
      </c>
      <c r="I147" s="14" t="str">
        <f>IF($Z147=0,"",INDEX('DEF_CALL_DECISION_SUPPORT'!$A$1:$U$1496,$Z147,9))</f>
        <v>TRACK</v>
      </c>
      <c r="J147" s="14" t="str">
        <f>IF(Z147=0,"Film Review Required",IF(D147&lt;4,"Sample Watch • ","")&amp;"D&amp;D + Concept Match")</f>
        <v>Sample Watch • D&amp;D + Concept Match</v>
      </c>
      <c r="K147" s="9" t="str">
        <f>IF($Z147=0,"No matching defensive reps; film confirmation needed.",INDEX('DEF_CALL_DECISION_SUPPORT'!$A$1:$U$1496,$Z147,12))</f>
        <v>Track only; not enough sample.</v>
      </c>
      <c r="L147" s="14" t="str">
        <f>IF($Z147=0,"",INDEX('DEF_CALL_DECISION_SUPPORT'!$A$1:$U$1496,$Z147,11))</f>
        <v>Track Only</v>
      </c>
      <c r="Y147" s="2" t="s">
        <v>433</v>
      </c>
      <c r="Z147" s="2">
        <f>IFERROR(MATCH(LEN($A147)&amp;":"&amp;$A147&amp;"|"&amp;LEN($B147)&amp;":"&amp;$B147&amp;"|",'DEF_CALL_DECISION_SUPPORT'!$U$811:$U$1055,0)+811-1,0)</f>
        <v>813</v>
      </c>
    </row>
    <row r="148" spans="1:26" ht="50" customHeight="1">
      <c r="A148" s="8" t="s">
        <v>31</v>
      </c>
      <c r="B148" s="8" t="s">
        <v>428</v>
      </c>
      <c r="C148" s="8" t="str">
        <f>IF($Z148=0,"Film Review Required",INDEX('DEF_CALL_DECISION_SUPPORT'!$A$1:$U$1496,$Z148,2))</f>
        <v>Film Review Required</v>
      </c>
      <c r="D148" s="12">
        <f>IF($Z148=0,"",INDEX('DEF_CALL_DECISION_SUPPORT'!$A$1:$U$1496,$Z148,3))</f>
        <v/>
      </c>
      <c r="E148" s="10">
        <f>IF($Z148=0,"",INDEX('DEF_CALL_DECISION_SUPPORT'!$A$1:$U$1496,$Z148,4))</f>
        <v/>
      </c>
      <c r="F148" s="10">
        <f>IF($Z148=0,"",INDEX('DEF_CALL_DECISION_SUPPORT'!$A$1:$U$1496,$Z148,5))</f>
        <v/>
      </c>
      <c r="G148" s="11">
        <f>IF($Z148=0,"",INDEX('DEF_CALL_DECISION_SUPPORT'!$A$1:$U$1496,$Z148,6))</f>
        <v/>
      </c>
      <c r="H148" s="11">
        <f>IF($Z148=0,"",INDEX('DEF_CALL_DECISION_SUPPORT'!$A$1:$U$1496,$Z148,10))</f>
        <v/>
      </c>
      <c r="I148" s="14">
        <f>IF($Z148=0,"",INDEX('DEF_CALL_DECISION_SUPPORT'!$A$1:$U$1496,$Z148,9))</f>
        <v/>
      </c>
      <c r="J148" s="14" t="str">
        <f>IF(Z148=0,"Film Review Required",IF(D148&lt;4,"Sample Watch • ","")&amp;"D&amp;D + Concept Match")</f>
        <v>Film Review Required</v>
      </c>
      <c r="K148" s="9" t="str">
        <f>IF($Z148=0,"No matching defensive reps; film confirmation needed.",INDEX('DEF_CALL_DECISION_SUPPORT'!$A$1:$U$1496,$Z148,12))</f>
        <v>No matching defensive reps; film confirmation needed.</v>
      </c>
      <c r="L148" s="14">
        <f>IF($Z148=0,"",INDEX('DEF_CALL_DECISION_SUPPORT'!$A$1:$U$1496,$Z148,11))</f>
        <v/>
      </c>
      <c r="Y148" s="2" t="s">
        <v>2533</v>
      </c>
      <c r="Z148" s="2">
        <f>IFERROR(MATCH(LEN($A148)&amp;":"&amp;$A148&amp;"|"&amp;LEN($B148)&amp;":"&amp;$B148&amp;"|",'DEF_CALL_DECISION_SUPPORT'!$U$811:$U$1055,0)+811-1,0)</f>
        <v>0</v>
      </c>
    </row>
    <row r="149" spans="1:26" ht="50" customHeight="1">
      <c r="A149" s="8" t="s">
        <v>31</v>
      </c>
      <c r="B149" s="8" t="s">
        <v>435</v>
      </c>
      <c r="C149" s="8" t="str">
        <f>IF($Z149=0,"Film Review Required",INDEX('DEF_CALL_DECISION_SUPPORT'!$A$1:$U$1496,$Z149,2))</f>
        <v>RAMBO</v>
      </c>
      <c r="D149" s="12">
        <f>IF($Z149=0,"",INDEX('DEF_CALL_DECISION_SUPPORT'!$A$1:$U$1496,$Z149,3))</f>
        <v>1</v>
      </c>
      <c r="E149" s="10">
        <f>IF($Z149=0,"",INDEX('DEF_CALL_DECISION_SUPPORT'!$A$1:$U$1496,$Z149,4))</f>
        <v>0.0</v>
      </c>
      <c r="F149" s="10">
        <f>IF($Z149=0,"",INDEX('DEF_CALL_DECISION_SUPPORT'!$A$1:$U$1496,$Z149,5))</f>
        <v>0.0</v>
      </c>
      <c r="G149" s="11">
        <f>IF($Z149=0,"",INDEX('DEF_CALL_DECISION_SUPPORT'!$A$1:$U$1496,$Z149,6))</f>
        <v>9.0</v>
      </c>
      <c r="H149" s="11">
        <f>IF($Z149=0,"",INDEX('DEF_CALL_DECISION_SUPPORT'!$A$1:$U$1496,$Z149,10))</f>
        <v>21.0</v>
      </c>
      <c r="I149" s="14" t="str">
        <f>IF($Z149=0,"",INDEX('DEF_CALL_DECISION_SUPPORT'!$A$1:$U$1496,$Z149,9))</f>
        <v>TRACK</v>
      </c>
      <c r="J149" s="14" t="str">
        <f>IF(Z149=0,"Film Review Required",IF(D149&lt;4,"Sample Watch • ","")&amp;"D&amp;D + Concept Match")</f>
        <v>Sample Watch • D&amp;D + Concept Match</v>
      </c>
      <c r="K149" s="9" t="str">
        <f>IF($Z149=0,"No matching defensive reps; film confirmation needed.",INDEX('DEF_CALL_DECISION_SUPPORT'!$A$1:$U$1496,$Z149,12))</f>
        <v>Track only; not enough sample.</v>
      </c>
      <c r="L149" s="14" t="str">
        <f>IF($Z149=0,"",INDEX('DEF_CALL_DECISION_SUPPORT'!$A$1:$U$1496,$Z149,11))</f>
        <v>Track Only</v>
      </c>
      <c r="Y149" s="2" t="s">
        <v>436</v>
      </c>
      <c r="Z149" s="2">
        <f>IFERROR(MATCH(LEN($A149)&amp;":"&amp;$A149&amp;"|"&amp;LEN($B149)&amp;":"&amp;$B149&amp;"|",'DEF_CALL_DECISION_SUPPORT'!$U$811:$U$1055,0)+811-1,0)</f>
        <v>814</v>
      </c>
    </row>
    <row r="150" spans="1:26" ht="50" customHeight="1">
      <c r="A150" s="8" t="s">
        <v>31</v>
      </c>
      <c r="B150" s="8" t="s">
        <v>438</v>
      </c>
      <c r="C150" s="8" t="str">
        <f>IF($Z150=0,"Film Review Required",INDEX('DEF_CALL_DECISION_SUPPORT'!$A$1:$U$1496,$Z150,2))</f>
        <v>FALCON</v>
      </c>
      <c r="D150" s="12">
        <f>IF($Z150=0,"",INDEX('DEF_CALL_DECISION_SUPPORT'!$A$1:$U$1496,$Z150,3))</f>
        <v>1</v>
      </c>
      <c r="E150" s="10">
        <f>IF($Z150=0,"",INDEX('DEF_CALL_DECISION_SUPPORT'!$A$1:$U$1496,$Z150,4))</f>
        <v>1.0</v>
      </c>
      <c r="F150" s="10">
        <f>IF($Z150=0,"",INDEX('DEF_CALL_DECISION_SUPPORT'!$A$1:$U$1496,$Z150,5))</f>
        <v>0.0</v>
      </c>
      <c r="G150" s="11">
        <f>IF($Z150=0,"",INDEX('DEF_CALL_DECISION_SUPPORT'!$A$1:$U$1496,$Z150,6))</f>
        <v>3.0</v>
      </c>
      <c r="H150" s="11">
        <f>IF($Z150=0,"",INDEX('DEF_CALL_DECISION_SUPPORT'!$A$1:$U$1496,$Z150,10))</f>
        <v>97.0</v>
      </c>
      <c r="I150" s="14" t="str">
        <f>IF($Z150=0,"",INDEX('DEF_CALL_DECISION_SUPPORT'!$A$1:$U$1496,$Z150,9))</f>
        <v>TRACK</v>
      </c>
      <c r="J150" s="14" t="str">
        <f>IF(Z150=0,"Film Review Required",IF(D150&lt;4,"Sample Watch • ","")&amp;"D&amp;D + Concept Match")</f>
        <v>Sample Watch • D&amp;D + Concept Match</v>
      </c>
      <c r="K150" s="9" t="str">
        <f>IF($Z150=0,"No matching defensive reps; film confirmation needed.",INDEX('DEF_CALL_DECISION_SUPPORT'!$A$1:$U$1496,$Z150,12))</f>
        <v>Track only; not enough sample.</v>
      </c>
      <c r="L150" s="14" t="str">
        <f>IF($Z150=0,"",INDEX('DEF_CALL_DECISION_SUPPORT'!$A$1:$U$1496,$Z150,11))</f>
        <v>Track Only</v>
      </c>
      <c r="Y150" s="2" t="s">
        <v>439</v>
      </c>
      <c r="Z150" s="2">
        <f>IFERROR(MATCH(LEN($A150)&amp;":"&amp;$A150&amp;"|"&amp;LEN($B150)&amp;":"&amp;$B150&amp;"|",'DEF_CALL_DECISION_SUPPORT'!$U$811:$U$1055,0)+811-1,0)</f>
        <v>815</v>
      </c>
    </row>
    <row r="151" spans="1:26" ht="50" customHeight="1">
      <c r="A151" s="8" t="s">
        <v>36</v>
      </c>
      <c r="B151" s="8" t="s">
        <v>878</v>
      </c>
      <c r="C151" s="8" t="str">
        <f>IF($Z151=0,"Film Review Required",INDEX('DEF_CALL_DECISION_SUPPORT'!$A$1:$U$1496,$Z151,2))</f>
        <v>Film Review Required</v>
      </c>
      <c r="D151" s="12">
        <f>IF($Z151=0,"",INDEX('DEF_CALL_DECISION_SUPPORT'!$A$1:$U$1496,$Z151,3))</f>
        <v/>
      </c>
      <c r="E151" s="10">
        <f>IF($Z151=0,"",INDEX('DEF_CALL_DECISION_SUPPORT'!$A$1:$U$1496,$Z151,4))</f>
        <v/>
      </c>
      <c r="F151" s="10">
        <f>IF($Z151=0,"",INDEX('DEF_CALL_DECISION_SUPPORT'!$A$1:$U$1496,$Z151,5))</f>
        <v/>
      </c>
      <c r="G151" s="11">
        <f>IF($Z151=0,"",INDEX('DEF_CALL_DECISION_SUPPORT'!$A$1:$U$1496,$Z151,6))</f>
        <v/>
      </c>
      <c r="H151" s="11">
        <f>IF($Z151=0,"",INDEX('DEF_CALL_DECISION_SUPPORT'!$A$1:$U$1496,$Z151,10))</f>
        <v/>
      </c>
      <c r="I151" s="14">
        <f>IF($Z151=0,"",INDEX('DEF_CALL_DECISION_SUPPORT'!$A$1:$U$1496,$Z151,9))</f>
        <v/>
      </c>
      <c r="J151" s="14" t="str">
        <f>IF(Z151=0,"Film Review Required",IF(D151&lt;4,"Sample Watch • ","")&amp;"D&amp;D + Concept Match")</f>
        <v>Film Review Required</v>
      </c>
      <c r="K151" s="9" t="str">
        <f>IF($Z151=0,"No matching defensive reps; film confirmation needed.",INDEX('DEF_CALL_DECISION_SUPPORT'!$A$1:$U$1496,$Z151,12))</f>
        <v>No matching defensive reps; film confirmation needed.</v>
      </c>
      <c r="L151" s="14">
        <f>IF($Z151=0,"",INDEX('DEF_CALL_DECISION_SUPPORT'!$A$1:$U$1496,$Z151,11))</f>
        <v/>
      </c>
      <c r="Y151" s="2" t="s">
        <v>2534</v>
      </c>
      <c r="Z151" s="2">
        <f>IFERROR(MATCH(LEN($A151)&amp;":"&amp;$A151&amp;"|"&amp;LEN($B151)&amp;":"&amp;$B151&amp;"|",'DEF_CALL_DECISION_SUPPORT'!$U$811:$U$1055,0)+811-1,0)</f>
        <v>0</v>
      </c>
    </row>
    <row r="152" spans="1:26" ht="50" customHeight="1">
      <c r="A152" s="8" t="s">
        <v>36</v>
      </c>
      <c r="B152" s="8" t="s">
        <v>428</v>
      </c>
      <c r="C152" s="8" t="str">
        <f>IF($Z152=0,"Film Review Required",INDEX('DEF_CALL_DECISION_SUPPORT'!$A$1:$U$1496,$Z152,2))</f>
        <v>9 LEBO MIKE</v>
      </c>
      <c r="D152" s="12">
        <f>IF($Z152=0,"",INDEX('DEF_CALL_DECISION_SUPPORT'!$A$1:$U$1496,$Z152,3))</f>
        <v>1</v>
      </c>
      <c r="E152" s="10">
        <f>IF($Z152=0,"",INDEX('DEF_CALL_DECISION_SUPPORT'!$A$1:$U$1496,$Z152,4))</f>
        <v>0.0</v>
      </c>
      <c r="F152" s="10">
        <f>IF($Z152=0,"",INDEX('DEF_CALL_DECISION_SUPPORT'!$A$1:$U$1496,$Z152,5))</f>
        <v>0.0</v>
      </c>
      <c r="G152" s="11">
        <f>IF($Z152=0,"",INDEX('DEF_CALL_DECISION_SUPPORT'!$A$1:$U$1496,$Z152,6))</f>
        <v>5.0</v>
      </c>
      <c r="H152" s="11">
        <f>IF($Z152=0,"",INDEX('DEF_CALL_DECISION_SUPPORT'!$A$1:$U$1496,$Z152,10))</f>
        <v>25.0</v>
      </c>
      <c r="I152" s="14" t="str">
        <f>IF($Z152=0,"",INDEX('DEF_CALL_DECISION_SUPPORT'!$A$1:$U$1496,$Z152,9))</f>
        <v>TRACK</v>
      </c>
      <c r="J152" s="14" t="str">
        <f>IF(Z152=0,"Film Review Required",IF(D152&lt;4,"Sample Watch • ","")&amp;"D&amp;D + Concept Match")</f>
        <v>Sample Watch • D&amp;D + Concept Match</v>
      </c>
      <c r="K152" s="9" t="str">
        <f>IF($Z152=0,"No matching defensive reps; film confirmation needed.",INDEX('DEF_CALL_DECISION_SUPPORT'!$A$1:$U$1496,$Z152,12))</f>
        <v>Track only; not enough sample.</v>
      </c>
      <c r="L152" s="14" t="str">
        <f>IF($Z152=0,"",INDEX('DEF_CALL_DECISION_SUPPORT'!$A$1:$U$1496,$Z152,11))</f>
        <v>Track Only</v>
      </c>
      <c r="Y152" s="2" t="s">
        <v>441</v>
      </c>
      <c r="Z152" s="2">
        <f>IFERROR(MATCH(LEN($A152)&amp;":"&amp;$A152&amp;"|"&amp;LEN($B152)&amp;":"&amp;$B152&amp;"|",'DEF_CALL_DECISION_SUPPORT'!$U$811:$U$1055,0)+811-1,0)</f>
        <v>816</v>
      </c>
    </row>
    <row r="153" spans="1:26" ht="50" customHeight="1">
      <c r="A153" s="8" t="s">
        <v>36</v>
      </c>
      <c r="B153" s="8" t="s">
        <v>465</v>
      </c>
      <c r="C153" s="8" t="str">
        <f>IF($Z153=0,"Film Review Required",INDEX('DEF_CALL_DECISION_SUPPORT'!$A$1:$U$1496,$Z153,2))</f>
        <v>Film Review Required</v>
      </c>
      <c r="D153" s="12">
        <f>IF($Z153=0,"",INDEX('DEF_CALL_DECISION_SUPPORT'!$A$1:$U$1496,$Z153,3))</f>
        <v/>
      </c>
      <c r="E153" s="10">
        <f>IF($Z153=0,"",INDEX('DEF_CALL_DECISION_SUPPORT'!$A$1:$U$1496,$Z153,4))</f>
        <v/>
      </c>
      <c r="F153" s="10">
        <f>IF($Z153=0,"",INDEX('DEF_CALL_DECISION_SUPPORT'!$A$1:$U$1496,$Z153,5))</f>
        <v/>
      </c>
      <c r="G153" s="11">
        <f>IF($Z153=0,"",INDEX('DEF_CALL_DECISION_SUPPORT'!$A$1:$U$1496,$Z153,6))</f>
        <v/>
      </c>
      <c r="H153" s="11">
        <f>IF($Z153=0,"",INDEX('DEF_CALL_DECISION_SUPPORT'!$A$1:$U$1496,$Z153,10))</f>
        <v/>
      </c>
      <c r="I153" s="14">
        <f>IF($Z153=0,"",INDEX('DEF_CALL_DECISION_SUPPORT'!$A$1:$U$1496,$Z153,9))</f>
        <v/>
      </c>
      <c r="J153" s="14" t="str">
        <f>IF(Z153=0,"Film Review Required",IF(D153&lt;4,"Sample Watch • ","")&amp;"D&amp;D + Concept Match")</f>
        <v>Film Review Required</v>
      </c>
      <c r="K153" s="9" t="str">
        <f>IF($Z153=0,"No matching defensive reps; film confirmation needed.",INDEX('DEF_CALL_DECISION_SUPPORT'!$A$1:$U$1496,$Z153,12))</f>
        <v>No matching defensive reps; film confirmation needed.</v>
      </c>
      <c r="L153" s="14">
        <f>IF($Z153=0,"",INDEX('DEF_CALL_DECISION_SUPPORT'!$A$1:$U$1496,$Z153,11))</f>
        <v/>
      </c>
      <c r="Y153" s="2" t="s">
        <v>2535</v>
      </c>
      <c r="Z153" s="2">
        <f>IFERROR(MATCH(LEN($A153)&amp;":"&amp;$A153&amp;"|"&amp;LEN($B153)&amp;":"&amp;$B153&amp;"|",'DEF_CALL_DECISION_SUPPORT'!$U$811:$U$1055,0)+811-1,0)</f>
        <v>0</v>
      </c>
    </row>
    <row r="154" spans="1:26" ht="50" customHeight="1">
      <c r="A154" s="8" t="s">
        <v>36</v>
      </c>
      <c r="B154" s="8" t="s">
        <v>541</v>
      </c>
      <c r="C154" s="8" t="str">
        <f>IF($Z154=0,"Film Review Required",INDEX('DEF_CALL_DECISION_SUPPORT'!$A$1:$U$1496,$Z154,2))</f>
        <v>Film Review Required</v>
      </c>
      <c r="D154" s="12">
        <f>IF($Z154=0,"",INDEX('DEF_CALL_DECISION_SUPPORT'!$A$1:$U$1496,$Z154,3))</f>
        <v/>
      </c>
      <c r="E154" s="10">
        <f>IF($Z154=0,"",INDEX('DEF_CALL_DECISION_SUPPORT'!$A$1:$U$1496,$Z154,4))</f>
        <v/>
      </c>
      <c r="F154" s="10">
        <f>IF($Z154=0,"",INDEX('DEF_CALL_DECISION_SUPPORT'!$A$1:$U$1496,$Z154,5))</f>
        <v/>
      </c>
      <c r="G154" s="11">
        <f>IF($Z154=0,"",INDEX('DEF_CALL_DECISION_SUPPORT'!$A$1:$U$1496,$Z154,6))</f>
        <v/>
      </c>
      <c r="H154" s="11">
        <f>IF($Z154=0,"",INDEX('DEF_CALL_DECISION_SUPPORT'!$A$1:$U$1496,$Z154,10))</f>
        <v/>
      </c>
      <c r="I154" s="14">
        <f>IF($Z154=0,"",INDEX('DEF_CALL_DECISION_SUPPORT'!$A$1:$U$1496,$Z154,9))</f>
        <v/>
      </c>
      <c r="J154" s="14" t="str">
        <f>IF(Z154=0,"Film Review Required",IF(D154&lt;4,"Sample Watch • ","")&amp;"D&amp;D + Concept Match")</f>
        <v>Film Review Required</v>
      </c>
      <c r="K154" s="9" t="str">
        <f>IF($Z154=0,"No matching defensive reps; film confirmation needed.",INDEX('DEF_CALL_DECISION_SUPPORT'!$A$1:$U$1496,$Z154,12))</f>
        <v>No matching defensive reps; film confirmation needed.</v>
      </c>
      <c r="L154" s="14">
        <f>IF($Z154=0,"",INDEX('DEF_CALL_DECISION_SUPPORT'!$A$1:$U$1496,$Z154,11))</f>
        <v/>
      </c>
      <c r="Y154" s="2" t="s">
        <v>2536</v>
      </c>
      <c r="Z154" s="2">
        <f>IFERROR(MATCH(LEN($A154)&amp;":"&amp;$A154&amp;"|"&amp;LEN($B154)&amp;":"&amp;$B154&amp;"|",'DEF_CALL_DECISION_SUPPORT'!$U$811:$U$1055,0)+811-1,0)</f>
        <v>0</v>
      </c>
    </row>
    <row r="155" spans="1:26" ht="50" customHeight="1">
      <c r="A155" s="8" t="s">
        <v>36</v>
      </c>
      <c r="B155" s="8" t="s">
        <v>443</v>
      </c>
      <c r="C155" s="8" t="str">
        <f>IF($Z155=0,"Film Review Required",INDEX('DEF_CALL_DECISION_SUPPORT'!$A$1:$U$1496,$Z155,2))</f>
        <v>RAMBO</v>
      </c>
      <c r="D155" s="12">
        <f>IF($Z155=0,"",INDEX('DEF_CALL_DECISION_SUPPORT'!$A$1:$U$1496,$Z155,3))</f>
        <v>1</v>
      </c>
      <c r="E155" s="10">
        <f>IF($Z155=0,"",INDEX('DEF_CALL_DECISION_SUPPORT'!$A$1:$U$1496,$Z155,4))</f>
        <v>1.0</v>
      </c>
      <c r="F155" s="10">
        <f>IF($Z155=0,"",INDEX('DEF_CALL_DECISION_SUPPORT'!$A$1:$U$1496,$Z155,5))</f>
        <v>0.0</v>
      </c>
      <c r="G155" s="11">
        <f>IF($Z155=0,"",INDEX('DEF_CALL_DECISION_SUPPORT'!$A$1:$U$1496,$Z155,6))</f>
        <v>5.0</v>
      </c>
      <c r="H155" s="11">
        <f>IF($Z155=0,"",INDEX('DEF_CALL_DECISION_SUPPORT'!$A$1:$U$1496,$Z155,10))</f>
        <v>95.0</v>
      </c>
      <c r="I155" s="14" t="str">
        <f>IF($Z155=0,"",INDEX('DEF_CALL_DECISION_SUPPORT'!$A$1:$U$1496,$Z155,9))</f>
        <v>TRACK</v>
      </c>
      <c r="J155" s="14" t="str">
        <f>IF(Z155=0,"Film Review Required",IF(D155&lt;4,"Sample Watch • ","")&amp;"D&amp;D + Concept Match")</f>
        <v>Sample Watch • D&amp;D + Concept Match</v>
      </c>
      <c r="K155" s="9" t="str">
        <f>IF($Z155=0,"No matching defensive reps; film confirmation needed.",INDEX('DEF_CALL_DECISION_SUPPORT'!$A$1:$U$1496,$Z155,12))</f>
        <v>Track only; not enough sample.</v>
      </c>
      <c r="L155" s="14" t="str">
        <f>IF($Z155=0,"",INDEX('DEF_CALL_DECISION_SUPPORT'!$A$1:$U$1496,$Z155,11))</f>
        <v>Track Only</v>
      </c>
      <c r="Y155" s="2" t="s">
        <v>444</v>
      </c>
      <c r="Z155" s="2">
        <f>IFERROR(MATCH(LEN($A155)&amp;":"&amp;$A155&amp;"|"&amp;LEN($B155)&amp;":"&amp;$B155&amp;"|",'DEF_CALL_DECISION_SUPPORT'!$U$811:$U$1055,0)+811-1,0)</f>
        <v>817</v>
      </c>
    </row>
    <row r="156" spans="1:26" ht="50" customHeight="1">
      <c r="A156" s="8" t="s">
        <v>39</v>
      </c>
      <c r="B156" s="8" t="s">
        <v>446</v>
      </c>
      <c r="C156" s="8" t="str">
        <f>IF($Z156=0,"Film Review Required",INDEX('DEF_CALL_DECISION_SUPPORT'!$A$1:$U$1496,$Z156,2))</f>
        <v>STICK TEX</v>
      </c>
      <c r="D156" s="12">
        <f>IF($Z156=0,"",INDEX('DEF_CALL_DECISION_SUPPORT'!$A$1:$U$1496,$Z156,3))</f>
        <v>1</v>
      </c>
      <c r="E156" s="10">
        <f>IF($Z156=0,"",INDEX('DEF_CALL_DECISION_SUPPORT'!$A$1:$U$1496,$Z156,4))</f>
        <v>1.0</v>
      </c>
      <c r="F156" s="10">
        <f>IF($Z156=0,"",INDEX('DEF_CALL_DECISION_SUPPORT'!$A$1:$U$1496,$Z156,5))</f>
        <v>0.0</v>
      </c>
      <c r="G156" s="11">
        <f>IF($Z156=0,"",INDEX('DEF_CALL_DECISION_SUPPORT'!$A$1:$U$1496,$Z156,6))</f>
        <v>0.0</v>
      </c>
      <c r="H156" s="11">
        <f>IF($Z156=0,"",INDEX('DEF_CALL_DECISION_SUPPORT'!$A$1:$U$1496,$Z156,10))</f>
        <v>100.0</v>
      </c>
      <c r="I156" s="14" t="str">
        <f>IF($Z156=0,"",INDEX('DEF_CALL_DECISION_SUPPORT'!$A$1:$U$1496,$Z156,9))</f>
        <v>TRACK</v>
      </c>
      <c r="J156" s="14" t="str">
        <f>IF(Z156=0,"Film Review Required",IF(D156&lt;4,"Sample Watch • ","")&amp;"D&amp;D + Concept Match")</f>
        <v>Sample Watch • D&amp;D + Concept Match</v>
      </c>
      <c r="K156" s="9" t="str">
        <f>IF($Z156=0,"No matching defensive reps; film confirmation needed.",INDEX('DEF_CALL_DECISION_SUPPORT'!$A$1:$U$1496,$Z156,12))</f>
        <v>Track only; not enough sample.</v>
      </c>
      <c r="L156" s="14" t="str">
        <f>IF($Z156=0,"",INDEX('DEF_CALL_DECISION_SUPPORT'!$A$1:$U$1496,$Z156,11))</f>
        <v>Track Only</v>
      </c>
      <c r="Y156" s="2" t="s">
        <v>447</v>
      </c>
      <c r="Z156" s="2">
        <f>IFERROR(MATCH(LEN($A156)&amp;":"&amp;$A156&amp;"|"&amp;LEN($B156)&amp;":"&amp;$B156&amp;"|",'DEF_CALL_DECISION_SUPPORT'!$U$811:$U$1055,0)+811-1,0)</f>
        <v>823</v>
      </c>
    </row>
    <row r="157" spans="1:26" ht="50" customHeight="1">
      <c r="A157" s="8" t="s">
        <v>39</v>
      </c>
      <c r="B157" s="8" t="s">
        <v>449</v>
      </c>
      <c r="C157" s="8" t="str">
        <f>IF($Z157=0,"Film Review Required",INDEX('DEF_CALL_DECISION_SUPPORT'!$A$1:$U$1496,$Z157,2))</f>
        <v>RAMBO</v>
      </c>
      <c r="D157" s="12">
        <f>IF($Z157=0,"",INDEX('DEF_CALL_DECISION_SUPPORT'!$A$1:$U$1496,$Z157,3))</f>
        <v>3</v>
      </c>
      <c r="E157" s="10">
        <f>IF($Z157=0,"",INDEX('DEF_CALL_DECISION_SUPPORT'!$A$1:$U$1496,$Z157,4))</f>
        <v>1.0</v>
      </c>
      <c r="F157" s="10">
        <f>IF($Z157=0,"",INDEX('DEF_CALL_DECISION_SUPPORT'!$A$1:$U$1496,$Z157,5))</f>
        <v>0.0</v>
      </c>
      <c r="G157" s="11">
        <f>IF($Z157=0,"",INDEX('DEF_CALL_DECISION_SUPPORT'!$A$1:$U$1496,$Z157,6))</f>
        <v>0.6666666666666666</v>
      </c>
      <c r="H157" s="11">
        <f>IF($Z157=0,"",INDEX('DEF_CALL_DECISION_SUPPORT'!$A$1:$U$1496,$Z157,10))</f>
        <v>99.3</v>
      </c>
      <c r="I157" s="14" t="str">
        <f>IF($Z157=0,"",INDEX('DEF_CALL_DECISION_SUPPORT'!$A$1:$U$1496,$Z157,9))</f>
        <v>LOW</v>
      </c>
      <c r="J157" s="14" t="str">
        <f>IF(Z157=0,"Film Review Required",IF(D157&lt;4,"Sample Watch • ","")&amp;"D&amp;D + Concept Match")</f>
        <v>Sample Watch • D&amp;D + Concept Match</v>
      </c>
      <c r="K157" s="9" t="str">
        <f>IF($Z157=0,"No matching defensive reps; film confirmation needed.",INDEX('DEF_CALL_DECISION_SUPPORT'!$A$1:$U$1496,$Z157,12))</f>
        <v>Good signal, but sample is limited.</v>
      </c>
      <c r="L157" s="14" t="str">
        <f>IF($Z157=0,"",INDEX('DEF_CALL_DECISION_SUPPORT'!$A$1:$U$1496,$Z157,11))</f>
        <v>Sample Watch</v>
      </c>
      <c r="Y157" s="2" t="s">
        <v>450</v>
      </c>
      <c r="Z157" s="2">
        <f>IFERROR(MATCH(LEN($A157)&amp;":"&amp;$A157&amp;"|"&amp;LEN($B157)&amp;":"&amp;$B157&amp;"|",'DEF_CALL_DECISION_SUPPORT'!$U$811:$U$1055,0)+811-1,0)</f>
        <v>831</v>
      </c>
    </row>
    <row r="158" spans="1:26" ht="50" customHeight="1">
      <c r="A158" s="8" t="s">
        <v>39</v>
      </c>
      <c r="B158" s="8" t="s">
        <v>452</v>
      </c>
      <c r="C158" s="8" t="str">
        <f>IF($Z158=0,"Film Review Required",INDEX('DEF_CALL_DECISION_SUPPORT'!$A$1:$U$1496,$Z158,2))</f>
        <v>KEY CAPTAIN</v>
      </c>
      <c r="D158" s="12">
        <f>IF($Z158=0,"",INDEX('DEF_CALL_DECISION_SUPPORT'!$A$1:$U$1496,$Z158,3))</f>
        <v>1</v>
      </c>
      <c r="E158" s="10">
        <f>IF($Z158=0,"",INDEX('DEF_CALL_DECISION_SUPPORT'!$A$1:$U$1496,$Z158,4))</f>
        <v>1.0</v>
      </c>
      <c r="F158" s="10">
        <f>IF($Z158=0,"",INDEX('DEF_CALL_DECISION_SUPPORT'!$A$1:$U$1496,$Z158,5))</f>
        <v>0.0</v>
      </c>
      <c r="G158" s="11">
        <f>IF($Z158=0,"",INDEX('DEF_CALL_DECISION_SUPPORT'!$A$1:$U$1496,$Z158,6))</f>
        <v>0.0</v>
      </c>
      <c r="H158" s="11">
        <f>IF($Z158=0,"",INDEX('DEF_CALL_DECISION_SUPPORT'!$A$1:$U$1496,$Z158,10))</f>
        <v>100.0</v>
      </c>
      <c r="I158" s="14" t="str">
        <f>IF($Z158=0,"",INDEX('DEF_CALL_DECISION_SUPPORT'!$A$1:$U$1496,$Z158,9))</f>
        <v>TRACK</v>
      </c>
      <c r="J158" s="14" t="str">
        <f>IF(Z158=0,"Film Review Required",IF(D158&lt;4,"Sample Watch • ","")&amp;"D&amp;D + Concept Match")</f>
        <v>Sample Watch • D&amp;D + Concept Match</v>
      </c>
      <c r="K158" s="9" t="str">
        <f>IF($Z158=0,"No matching defensive reps; film confirmation needed.",INDEX('DEF_CALL_DECISION_SUPPORT'!$A$1:$U$1496,$Z158,12))</f>
        <v>Track only; not enough sample.</v>
      </c>
      <c r="L158" s="14" t="str">
        <f>IF($Z158=0,"",INDEX('DEF_CALL_DECISION_SUPPORT'!$A$1:$U$1496,$Z158,11))</f>
        <v>Track Only</v>
      </c>
      <c r="Y158" s="2" t="s">
        <v>453</v>
      </c>
      <c r="Z158" s="2">
        <f>IFERROR(MATCH(LEN($A158)&amp;":"&amp;$A158&amp;"|"&amp;LEN($B158)&amp;":"&amp;$B158&amp;"|",'DEF_CALL_DECISION_SUPPORT'!$U$811:$U$1055,0)+811-1,0)</f>
        <v>837</v>
      </c>
    </row>
    <row r="159" spans="1:26" ht="50" customHeight="1">
      <c r="A159" s="8" t="s">
        <v>39</v>
      </c>
      <c r="B159" s="8" t="s">
        <v>432</v>
      </c>
      <c r="C159" s="8" t="str">
        <f>IF($Z159=0,"Film Review Required",INDEX('DEF_CALL_DECISION_SUPPORT'!$A$1:$U$1496,$Z159,2))</f>
        <v>SWAP</v>
      </c>
      <c r="D159" s="12">
        <f>IF($Z159=0,"",INDEX('DEF_CALL_DECISION_SUPPORT'!$A$1:$U$1496,$Z159,3))</f>
        <v>1</v>
      </c>
      <c r="E159" s="10">
        <f>IF($Z159=0,"",INDEX('DEF_CALL_DECISION_SUPPORT'!$A$1:$U$1496,$Z159,4))</f>
        <v>0.0</v>
      </c>
      <c r="F159" s="10">
        <f>IF($Z159=0,"",INDEX('DEF_CALL_DECISION_SUPPORT'!$A$1:$U$1496,$Z159,5))</f>
        <v>0.0</v>
      </c>
      <c r="G159" s="11">
        <f>IF($Z159=0,"",INDEX('DEF_CALL_DECISION_SUPPORT'!$A$1:$U$1496,$Z159,6))</f>
        <v>6.0</v>
      </c>
      <c r="H159" s="11">
        <f>IF($Z159=0,"",INDEX('DEF_CALL_DECISION_SUPPORT'!$A$1:$U$1496,$Z159,10))</f>
        <v>24.0</v>
      </c>
      <c r="I159" s="14" t="str">
        <f>IF($Z159=0,"",INDEX('DEF_CALL_DECISION_SUPPORT'!$A$1:$U$1496,$Z159,9))</f>
        <v>TRACK</v>
      </c>
      <c r="J159" s="14" t="str">
        <f>IF(Z159=0,"Film Review Required",IF(D159&lt;4,"Sample Watch • ","")&amp;"D&amp;D + Concept Match")</f>
        <v>Sample Watch • D&amp;D + Concept Match</v>
      </c>
      <c r="K159" s="9" t="str">
        <f>IF($Z159=0,"No matching defensive reps; film confirmation needed.",INDEX('DEF_CALL_DECISION_SUPPORT'!$A$1:$U$1496,$Z159,12))</f>
        <v>Track only; not enough sample.</v>
      </c>
      <c r="L159" s="14" t="str">
        <f>IF($Z159=0,"",INDEX('DEF_CALL_DECISION_SUPPORT'!$A$1:$U$1496,$Z159,11))</f>
        <v>Track Only</v>
      </c>
      <c r="Y159" s="2" t="s">
        <v>455</v>
      </c>
      <c r="Z159" s="2">
        <f>IFERROR(MATCH(LEN($A159)&amp;":"&amp;$A159&amp;"|"&amp;LEN($B159)&amp;":"&amp;$B159&amp;"|",'DEF_CALL_DECISION_SUPPORT'!$U$811:$U$1055,0)+811-1,0)</f>
        <v>841</v>
      </c>
    </row>
    <row r="160" spans="1:26" ht="50" customHeight="1">
      <c r="A160" s="8" t="s">
        <v>39</v>
      </c>
      <c r="B160" s="8" t="s">
        <v>457</v>
      </c>
      <c r="C160" s="8" t="str">
        <f>IF($Z160=0,"Film Review Required",INDEX('DEF_CALL_DECISION_SUPPORT'!$A$1:$U$1496,$Z160,2))</f>
        <v>SHINE BUC</v>
      </c>
      <c r="D160" s="12">
        <f>IF($Z160=0,"",INDEX('DEF_CALL_DECISION_SUPPORT'!$A$1:$U$1496,$Z160,3))</f>
        <v>1</v>
      </c>
      <c r="E160" s="10">
        <f>IF($Z160=0,"",INDEX('DEF_CALL_DECISION_SUPPORT'!$A$1:$U$1496,$Z160,4))</f>
        <v>1.0</v>
      </c>
      <c r="F160" s="10">
        <f>IF($Z160=0,"",INDEX('DEF_CALL_DECISION_SUPPORT'!$A$1:$U$1496,$Z160,5))</f>
        <v>0.0</v>
      </c>
      <c r="G160" s="11">
        <f>IF($Z160=0,"",INDEX('DEF_CALL_DECISION_SUPPORT'!$A$1:$U$1496,$Z160,6))</f>
        <v>3.0</v>
      </c>
      <c r="H160" s="11">
        <f>IF($Z160=0,"",INDEX('DEF_CALL_DECISION_SUPPORT'!$A$1:$U$1496,$Z160,10))</f>
        <v>97.0</v>
      </c>
      <c r="I160" s="14" t="str">
        <f>IF($Z160=0,"",INDEX('DEF_CALL_DECISION_SUPPORT'!$A$1:$U$1496,$Z160,9))</f>
        <v>TRACK</v>
      </c>
      <c r="J160" s="14" t="str">
        <f>IF(Z160=0,"Film Review Required",IF(D160&lt;4,"Sample Watch • ","")&amp;"D&amp;D + Concept Match")</f>
        <v>Sample Watch • D&amp;D + Concept Match</v>
      </c>
      <c r="K160" s="9" t="str">
        <f>IF($Z160=0,"No matching defensive reps; film confirmation needed.",INDEX('DEF_CALL_DECISION_SUPPORT'!$A$1:$U$1496,$Z160,12))</f>
        <v>Track only; not enough sample.</v>
      </c>
      <c r="L160" s="14" t="str">
        <f>IF($Z160=0,"",INDEX('DEF_CALL_DECISION_SUPPORT'!$A$1:$U$1496,$Z160,11))</f>
        <v>Track Only</v>
      </c>
      <c r="Y160" s="2" t="s">
        <v>458</v>
      </c>
      <c r="Z160" s="2">
        <f>IFERROR(MATCH(LEN($A160)&amp;":"&amp;$A160&amp;"|"&amp;LEN($B160)&amp;":"&amp;$B160&amp;"|",'DEF_CALL_DECISION_SUPPORT'!$U$811:$U$1055,0)+811-1,0)</f>
        <v>842</v>
      </c>
    </row>
    <row r="161" spans="1:26" ht="50" customHeight="1">
      <c r="A161" s="8" t="s">
        <v>39</v>
      </c>
      <c r="B161" s="8" t="s">
        <v>611</v>
      </c>
      <c r="C161" s="8" t="str">
        <f>IF($Z161=0,"Film Review Required",INDEX('DEF_CALL_DECISION_SUPPORT'!$A$1:$U$1496,$Z161,2))</f>
        <v>Film Review Required</v>
      </c>
      <c r="D161" s="12">
        <f>IF($Z161=0,"",INDEX('DEF_CALL_DECISION_SUPPORT'!$A$1:$U$1496,$Z161,3))</f>
        <v/>
      </c>
      <c r="E161" s="10">
        <f>IF($Z161=0,"",INDEX('DEF_CALL_DECISION_SUPPORT'!$A$1:$U$1496,$Z161,4))</f>
        <v/>
      </c>
      <c r="F161" s="10">
        <f>IF($Z161=0,"",INDEX('DEF_CALL_DECISION_SUPPORT'!$A$1:$U$1496,$Z161,5))</f>
        <v/>
      </c>
      <c r="G161" s="11">
        <f>IF($Z161=0,"",INDEX('DEF_CALL_DECISION_SUPPORT'!$A$1:$U$1496,$Z161,6))</f>
        <v/>
      </c>
      <c r="H161" s="11">
        <f>IF($Z161=0,"",INDEX('DEF_CALL_DECISION_SUPPORT'!$A$1:$U$1496,$Z161,10))</f>
        <v/>
      </c>
      <c r="I161" s="14">
        <f>IF($Z161=0,"",INDEX('DEF_CALL_DECISION_SUPPORT'!$A$1:$U$1496,$Z161,9))</f>
        <v/>
      </c>
      <c r="J161" s="14" t="str">
        <f>IF(Z161=0,"Film Review Required",IF(D161&lt;4,"Sample Watch • ","")&amp;"D&amp;D + Concept Match")</f>
        <v>Film Review Required</v>
      </c>
      <c r="K161" s="9" t="str">
        <f>IF($Z161=0,"No matching defensive reps; film confirmation needed.",INDEX('DEF_CALL_DECISION_SUPPORT'!$A$1:$U$1496,$Z161,12))</f>
        <v>No matching defensive reps; film confirmation needed.</v>
      </c>
      <c r="L161" s="14">
        <f>IF($Z161=0,"",INDEX('DEF_CALL_DECISION_SUPPORT'!$A$1:$U$1496,$Z161,11))</f>
        <v/>
      </c>
      <c r="Y161" s="2" t="s">
        <v>2537</v>
      </c>
      <c r="Z161" s="2">
        <f>IFERROR(MATCH(LEN($A161)&amp;":"&amp;$A161&amp;"|"&amp;LEN($B161)&amp;":"&amp;$B161&amp;"|",'DEF_CALL_DECISION_SUPPORT'!$U$811:$U$1055,0)+811-1,0)</f>
        <v>0</v>
      </c>
    </row>
    <row r="162" spans="1:26" ht="50" customHeight="1">
      <c r="A162" s="8" t="s">
        <v>39</v>
      </c>
      <c r="B162" s="8" t="s">
        <v>460</v>
      </c>
      <c r="C162" s="8" t="str">
        <f>IF($Z162=0,"Film Review Required",INDEX('DEF_CALL_DECISION_SUPPORT'!$A$1:$U$1496,$Z162,2))</f>
        <v>KEY CAPTAIN</v>
      </c>
      <c r="D162" s="12">
        <f>IF($Z162=0,"",INDEX('DEF_CALL_DECISION_SUPPORT'!$A$1:$U$1496,$Z162,3))</f>
        <v>1</v>
      </c>
      <c r="E162" s="10">
        <f>IF($Z162=0,"",INDEX('DEF_CALL_DECISION_SUPPORT'!$A$1:$U$1496,$Z162,4))</f>
        <v>1.0</v>
      </c>
      <c r="F162" s="10">
        <f>IF($Z162=0,"",INDEX('DEF_CALL_DECISION_SUPPORT'!$A$1:$U$1496,$Z162,5))</f>
        <v>0.0</v>
      </c>
      <c r="G162" s="11">
        <f>IF($Z162=0,"",INDEX('DEF_CALL_DECISION_SUPPORT'!$A$1:$U$1496,$Z162,6))</f>
        <v>2.0</v>
      </c>
      <c r="H162" s="11">
        <f>IF($Z162=0,"",INDEX('DEF_CALL_DECISION_SUPPORT'!$A$1:$U$1496,$Z162,10))</f>
        <v>98.0</v>
      </c>
      <c r="I162" s="14" t="str">
        <f>IF($Z162=0,"",INDEX('DEF_CALL_DECISION_SUPPORT'!$A$1:$U$1496,$Z162,9))</f>
        <v>TRACK</v>
      </c>
      <c r="J162" s="14" t="str">
        <f>IF(Z162=0,"Film Review Required",IF(D162&lt;4,"Sample Watch • ","")&amp;"D&amp;D + Concept Match")</f>
        <v>Sample Watch • D&amp;D + Concept Match</v>
      </c>
      <c r="K162" s="9" t="str">
        <f>IF($Z162=0,"No matching defensive reps; film confirmation needed.",INDEX('DEF_CALL_DECISION_SUPPORT'!$A$1:$U$1496,$Z162,12))</f>
        <v>Track only; not enough sample.</v>
      </c>
      <c r="L162" s="14" t="str">
        <f>IF($Z162=0,"",INDEX('DEF_CALL_DECISION_SUPPORT'!$A$1:$U$1496,$Z162,11))</f>
        <v>Track Only</v>
      </c>
      <c r="Y162" s="2" t="s">
        <v>461</v>
      </c>
      <c r="Z162" s="2">
        <f>IFERROR(MATCH(LEN($A162)&amp;":"&amp;$A162&amp;"|"&amp;LEN($B162)&amp;":"&amp;$B162&amp;"|",'DEF_CALL_DECISION_SUPPORT'!$U$811:$U$1055,0)+811-1,0)</f>
        <v>843</v>
      </c>
    </row>
    <row r="163" spans="1:26" ht="50" customHeight="1">
      <c r="A163" s="8" t="s">
        <v>39</v>
      </c>
      <c r="B163" s="8" t="s">
        <v>561</v>
      </c>
      <c r="C163" s="8" t="str">
        <f>IF($Z163=0,"Film Review Required",INDEX('DEF_CALL_DECISION_SUPPORT'!$A$1:$U$1496,$Z163,2))</f>
        <v>Film Review Required</v>
      </c>
      <c r="D163" s="12">
        <f>IF($Z163=0,"",INDEX('DEF_CALL_DECISION_SUPPORT'!$A$1:$U$1496,$Z163,3))</f>
        <v/>
      </c>
      <c r="E163" s="10">
        <f>IF($Z163=0,"",INDEX('DEF_CALL_DECISION_SUPPORT'!$A$1:$U$1496,$Z163,4))</f>
        <v/>
      </c>
      <c r="F163" s="10">
        <f>IF($Z163=0,"",INDEX('DEF_CALL_DECISION_SUPPORT'!$A$1:$U$1496,$Z163,5))</f>
        <v/>
      </c>
      <c r="G163" s="11">
        <f>IF($Z163=0,"",INDEX('DEF_CALL_DECISION_SUPPORT'!$A$1:$U$1496,$Z163,6))</f>
        <v/>
      </c>
      <c r="H163" s="11">
        <f>IF($Z163=0,"",INDEX('DEF_CALL_DECISION_SUPPORT'!$A$1:$U$1496,$Z163,10))</f>
        <v/>
      </c>
      <c r="I163" s="14">
        <f>IF($Z163=0,"",INDEX('DEF_CALL_DECISION_SUPPORT'!$A$1:$U$1496,$Z163,9))</f>
        <v/>
      </c>
      <c r="J163" s="14" t="str">
        <f>IF(Z163=0,"Film Review Required",IF(D163&lt;4,"Sample Watch • ","")&amp;"D&amp;D + Concept Match")</f>
        <v>Film Review Required</v>
      </c>
      <c r="K163" s="9" t="str">
        <f>IF($Z163=0,"No matching defensive reps; film confirmation needed.",INDEX('DEF_CALL_DECISION_SUPPORT'!$A$1:$U$1496,$Z163,12))</f>
        <v>No matching defensive reps; film confirmation needed.</v>
      </c>
      <c r="L163" s="14">
        <f>IF($Z163=0,"",INDEX('DEF_CALL_DECISION_SUPPORT'!$A$1:$U$1496,$Z163,11))</f>
        <v/>
      </c>
      <c r="Y163" s="2" t="s">
        <v>2538</v>
      </c>
      <c r="Z163" s="2">
        <f>IFERROR(MATCH(LEN($A163)&amp;":"&amp;$A163&amp;"|"&amp;LEN($B163)&amp;":"&amp;$B163&amp;"|",'DEF_CALL_DECISION_SUPPORT'!$U$811:$U$1055,0)+811-1,0)</f>
        <v>0</v>
      </c>
    </row>
    <row r="164" spans="1:26" ht="50" customHeight="1">
      <c r="A164" s="8" t="s">
        <v>39</v>
      </c>
      <c r="B164" s="8" t="s">
        <v>878</v>
      </c>
      <c r="C164" s="8" t="str">
        <f>IF($Z164=0,"Film Review Required",INDEX('DEF_CALL_DECISION_SUPPORT'!$A$1:$U$1496,$Z164,2))</f>
        <v>Film Review Required</v>
      </c>
      <c r="D164" s="12">
        <f>IF($Z164=0,"",INDEX('DEF_CALL_DECISION_SUPPORT'!$A$1:$U$1496,$Z164,3))</f>
        <v/>
      </c>
      <c r="E164" s="10">
        <f>IF($Z164=0,"",INDEX('DEF_CALL_DECISION_SUPPORT'!$A$1:$U$1496,$Z164,4))</f>
        <v/>
      </c>
      <c r="F164" s="10">
        <f>IF($Z164=0,"",INDEX('DEF_CALL_DECISION_SUPPORT'!$A$1:$U$1496,$Z164,5))</f>
        <v/>
      </c>
      <c r="G164" s="11">
        <f>IF($Z164=0,"",INDEX('DEF_CALL_DECISION_SUPPORT'!$A$1:$U$1496,$Z164,6))</f>
        <v/>
      </c>
      <c r="H164" s="11">
        <f>IF($Z164=0,"",INDEX('DEF_CALL_DECISION_SUPPORT'!$A$1:$U$1496,$Z164,10))</f>
        <v/>
      </c>
      <c r="I164" s="14">
        <f>IF($Z164=0,"",INDEX('DEF_CALL_DECISION_SUPPORT'!$A$1:$U$1496,$Z164,9))</f>
        <v/>
      </c>
      <c r="J164" s="14" t="str">
        <f>IF(Z164=0,"Film Review Required",IF(D164&lt;4,"Sample Watch • ","")&amp;"D&amp;D + Concept Match")</f>
        <v>Film Review Required</v>
      </c>
      <c r="K164" s="9" t="str">
        <f>IF($Z164=0,"No matching defensive reps; film confirmation needed.",INDEX('DEF_CALL_DECISION_SUPPORT'!$A$1:$U$1496,$Z164,12))</f>
        <v>No matching defensive reps; film confirmation needed.</v>
      </c>
      <c r="L164" s="14">
        <f>IF($Z164=0,"",INDEX('DEF_CALL_DECISION_SUPPORT'!$A$1:$U$1496,$Z164,11))</f>
        <v/>
      </c>
      <c r="Y164" s="2" t="s">
        <v>2539</v>
      </c>
      <c r="Z164" s="2">
        <f>IFERROR(MATCH(LEN($A164)&amp;":"&amp;$A164&amp;"|"&amp;LEN($B164)&amp;":"&amp;$B164&amp;"|",'DEF_CALL_DECISION_SUPPORT'!$U$811:$U$1055,0)+811-1,0)</f>
        <v>0</v>
      </c>
    </row>
    <row r="165" spans="1:26" ht="50" customHeight="1">
      <c r="A165" s="8" t="s">
        <v>39</v>
      </c>
      <c r="B165" s="8" t="s">
        <v>428</v>
      </c>
      <c r="C165" s="8" t="str">
        <f>IF($Z165=0,"Film Review Required",INDEX('DEF_CALL_DECISION_SUPPORT'!$A$1:$U$1496,$Z165,2))</f>
        <v>KNIFE</v>
      </c>
      <c r="D165" s="12">
        <f>IF($Z165=0,"",INDEX('DEF_CALL_DECISION_SUPPORT'!$A$1:$U$1496,$Z165,3))</f>
        <v>3</v>
      </c>
      <c r="E165" s="10">
        <f>IF($Z165=0,"",INDEX('DEF_CALL_DECISION_SUPPORT'!$A$1:$U$1496,$Z165,4))</f>
        <v>0.3333333333333333</v>
      </c>
      <c r="F165" s="10">
        <f>IF($Z165=0,"",INDEX('DEF_CALL_DECISION_SUPPORT'!$A$1:$U$1496,$Z165,5))</f>
        <v>0.0</v>
      </c>
      <c r="G165" s="11">
        <f>IF($Z165=0,"",INDEX('DEF_CALL_DECISION_SUPPORT'!$A$1:$U$1496,$Z165,6))</f>
        <v>5.0</v>
      </c>
      <c r="H165" s="11">
        <f>IF($Z165=0,"",INDEX('DEF_CALL_DECISION_SUPPORT'!$A$1:$U$1496,$Z165,10))</f>
        <v>48.3</v>
      </c>
      <c r="I165" s="14" t="str">
        <f>IF($Z165=0,"",INDEX('DEF_CALL_DECISION_SUPPORT'!$A$1:$U$1496,$Z165,9))</f>
        <v>LOW</v>
      </c>
      <c r="J165" s="14" t="str">
        <f>IF(Z165=0,"Film Review Required",IF(D165&lt;4,"Sample Watch • ","")&amp;"D&amp;D + Concept Match")</f>
        <v>Sample Watch • D&amp;D + Concept Match</v>
      </c>
      <c r="K165" s="9" t="str">
        <f>IF($Z165=0,"No matching defensive reps; film confirmation needed.",INDEX('DEF_CALL_DECISION_SUPPORT'!$A$1:$U$1496,$Z165,12))</f>
        <v>Sample watch; review clips and build the sample.</v>
      </c>
      <c r="L165" s="14" t="str">
        <f>IF($Z165=0,"",INDEX('DEF_CALL_DECISION_SUPPORT'!$A$1:$U$1496,$Z165,11))</f>
        <v>Sample Watch</v>
      </c>
      <c r="Y165" s="2" t="s">
        <v>463</v>
      </c>
      <c r="Z165" s="2">
        <f>IFERROR(MATCH(LEN($A165)&amp;":"&amp;$A165&amp;"|"&amp;LEN($B165)&amp;":"&amp;$B165&amp;"|",'DEF_CALL_DECISION_SUPPORT'!$U$811:$U$1055,0)+811-1,0)</f>
        <v>851</v>
      </c>
    </row>
    <row r="166" spans="1:26" ht="50" customHeight="1">
      <c r="A166" s="8" t="s">
        <v>39</v>
      </c>
      <c r="B166" s="8" t="s">
        <v>574</v>
      </c>
      <c r="C166" s="8" t="str">
        <f>IF($Z166=0,"Film Review Required",INDEX('DEF_CALL_DECISION_SUPPORT'!$A$1:$U$1496,$Z166,2))</f>
        <v>Film Review Required</v>
      </c>
      <c r="D166" s="12">
        <f>IF($Z166=0,"",INDEX('DEF_CALL_DECISION_SUPPORT'!$A$1:$U$1496,$Z166,3))</f>
        <v/>
      </c>
      <c r="E166" s="10">
        <f>IF($Z166=0,"",INDEX('DEF_CALL_DECISION_SUPPORT'!$A$1:$U$1496,$Z166,4))</f>
        <v/>
      </c>
      <c r="F166" s="10">
        <f>IF($Z166=0,"",INDEX('DEF_CALL_DECISION_SUPPORT'!$A$1:$U$1496,$Z166,5))</f>
        <v/>
      </c>
      <c r="G166" s="11">
        <f>IF($Z166=0,"",INDEX('DEF_CALL_DECISION_SUPPORT'!$A$1:$U$1496,$Z166,6))</f>
        <v/>
      </c>
      <c r="H166" s="11">
        <f>IF($Z166=0,"",INDEX('DEF_CALL_DECISION_SUPPORT'!$A$1:$U$1496,$Z166,10))</f>
        <v/>
      </c>
      <c r="I166" s="14">
        <f>IF($Z166=0,"",INDEX('DEF_CALL_DECISION_SUPPORT'!$A$1:$U$1496,$Z166,9))</f>
        <v/>
      </c>
      <c r="J166" s="14" t="str">
        <f>IF(Z166=0,"Film Review Required",IF(D166&lt;4,"Sample Watch • ","")&amp;"D&amp;D + Concept Match")</f>
        <v>Film Review Required</v>
      </c>
      <c r="K166" s="9" t="str">
        <f>IF($Z166=0,"No matching defensive reps; film confirmation needed.",INDEX('DEF_CALL_DECISION_SUPPORT'!$A$1:$U$1496,$Z166,12))</f>
        <v>No matching defensive reps; film confirmation needed.</v>
      </c>
      <c r="L166" s="14">
        <f>IF($Z166=0,"",INDEX('DEF_CALL_DECISION_SUPPORT'!$A$1:$U$1496,$Z166,11))</f>
        <v/>
      </c>
      <c r="Y166" s="2" t="s">
        <v>2540</v>
      </c>
      <c r="Z166" s="2">
        <f>IFERROR(MATCH(LEN($A166)&amp;":"&amp;$A166&amp;"|"&amp;LEN($B166)&amp;":"&amp;$B166&amp;"|",'DEF_CALL_DECISION_SUPPORT'!$U$811:$U$1055,0)+811-1,0)</f>
        <v>0</v>
      </c>
    </row>
    <row r="167" spans="1:26" ht="50" customHeight="1">
      <c r="A167" s="8" t="s">
        <v>39</v>
      </c>
      <c r="B167" s="8" t="s">
        <v>465</v>
      </c>
      <c r="C167" s="8" t="str">
        <f>IF($Z167=0,"Film Review Required",INDEX('DEF_CALL_DECISION_SUPPORT'!$A$1:$U$1496,$Z167,2))</f>
        <v>BOURBON</v>
      </c>
      <c r="D167" s="12">
        <f>IF($Z167=0,"",INDEX('DEF_CALL_DECISION_SUPPORT'!$A$1:$U$1496,$Z167,3))</f>
        <v>3</v>
      </c>
      <c r="E167" s="10">
        <f>IF($Z167=0,"",INDEX('DEF_CALL_DECISION_SUPPORT'!$A$1:$U$1496,$Z167,4))</f>
        <v>0.3333333333333333</v>
      </c>
      <c r="F167" s="10">
        <f>IF($Z167=0,"",INDEX('DEF_CALL_DECISION_SUPPORT'!$A$1:$U$1496,$Z167,5))</f>
        <v>0.0</v>
      </c>
      <c r="G167" s="11">
        <f>IF($Z167=0,"",INDEX('DEF_CALL_DECISION_SUPPORT'!$A$1:$U$1496,$Z167,6))</f>
        <v>5.333333333333333</v>
      </c>
      <c r="H167" s="11">
        <f>IF($Z167=0,"",INDEX('DEF_CALL_DECISION_SUPPORT'!$A$1:$U$1496,$Z167,10))</f>
        <v>48.0</v>
      </c>
      <c r="I167" s="14" t="str">
        <f>IF($Z167=0,"",INDEX('DEF_CALL_DECISION_SUPPORT'!$A$1:$U$1496,$Z167,9))</f>
        <v>LOW</v>
      </c>
      <c r="J167" s="14" t="str">
        <f>IF(Z167=0,"Film Review Required",IF(D167&lt;4,"Sample Watch • ","")&amp;"D&amp;D + Concept Match")</f>
        <v>Sample Watch • D&amp;D + Concept Match</v>
      </c>
      <c r="K167" s="9" t="str">
        <f>IF($Z167=0,"No matching defensive reps; film confirmation needed.",INDEX('DEF_CALL_DECISION_SUPPORT'!$A$1:$U$1496,$Z167,12))</f>
        <v>Sample watch; review clips and build the sample.</v>
      </c>
      <c r="L167" s="14" t="str">
        <f>IF($Z167=0,"",INDEX('DEF_CALL_DECISION_SUPPORT'!$A$1:$U$1496,$Z167,11))</f>
        <v>Sample Watch</v>
      </c>
      <c r="Y167" s="2" t="s">
        <v>466</v>
      </c>
      <c r="Z167" s="2">
        <f>IFERROR(MATCH(LEN($A167)&amp;":"&amp;$A167&amp;"|"&amp;LEN($B167)&amp;":"&amp;$B167&amp;"|",'DEF_CALL_DECISION_SUPPORT'!$U$811:$U$1055,0)+811-1,0)</f>
        <v>860</v>
      </c>
    </row>
    <row r="168" spans="1:26" ht="50" customHeight="1">
      <c r="A168" s="8" t="s">
        <v>39</v>
      </c>
      <c r="B168" s="8" t="s">
        <v>468</v>
      </c>
      <c r="C168" s="8" t="str">
        <f>IF($Z168=0,"Film Review Required",INDEX('DEF_CALL_DECISION_SUPPORT'!$A$1:$U$1496,$Z168,2))</f>
        <v>KEY CAPTAIN</v>
      </c>
      <c r="D168" s="12">
        <f>IF($Z168=0,"",INDEX('DEF_CALL_DECISION_SUPPORT'!$A$1:$U$1496,$Z168,3))</f>
        <v>2</v>
      </c>
      <c r="E168" s="10">
        <f>IF($Z168=0,"",INDEX('DEF_CALL_DECISION_SUPPORT'!$A$1:$U$1496,$Z168,4))</f>
        <v>1.0</v>
      </c>
      <c r="F168" s="10">
        <f>IF($Z168=0,"",INDEX('DEF_CALL_DECISION_SUPPORT'!$A$1:$U$1496,$Z168,5))</f>
        <v>0.0</v>
      </c>
      <c r="G168" s="11">
        <f>IF($Z168=0,"",INDEX('DEF_CALL_DECISION_SUPPORT'!$A$1:$U$1496,$Z168,6))</f>
        <v>0.0</v>
      </c>
      <c r="H168" s="11">
        <f>IF($Z168=0,"",INDEX('DEF_CALL_DECISION_SUPPORT'!$A$1:$U$1496,$Z168,10))</f>
        <v>100.0</v>
      </c>
      <c r="I168" s="14" t="str">
        <f>IF($Z168=0,"",INDEX('DEF_CALL_DECISION_SUPPORT'!$A$1:$U$1496,$Z168,9))</f>
        <v>TRACK</v>
      </c>
      <c r="J168" s="14" t="str">
        <f>IF(Z168=0,"Film Review Required",IF(D168&lt;4,"Sample Watch • ","")&amp;"D&amp;D + Concept Match")</f>
        <v>Sample Watch • D&amp;D + Concept Match</v>
      </c>
      <c r="K168" s="9" t="str">
        <f>IF($Z168=0,"No matching defensive reps; film confirmation needed.",INDEX('DEF_CALL_DECISION_SUPPORT'!$A$1:$U$1496,$Z168,12))</f>
        <v>Track only; not enough sample.</v>
      </c>
      <c r="L168" s="14" t="str">
        <f>IF($Z168=0,"",INDEX('DEF_CALL_DECISION_SUPPORT'!$A$1:$U$1496,$Z168,11))</f>
        <v>Track Only</v>
      </c>
      <c r="Y168" s="2" t="s">
        <v>469</v>
      </c>
      <c r="Z168" s="2">
        <f>IFERROR(MATCH(LEN($A168)&amp;":"&amp;$A168&amp;"|"&amp;LEN($B168)&amp;":"&amp;$B168&amp;"|",'DEF_CALL_DECISION_SUPPORT'!$U$811:$U$1055,0)+811-1,0)</f>
        <v>867</v>
      </c>
    </row>
    <row r="169" spans="1:26" ht="50" customHeight="1">
      <c r="A169" s="8" t="s">
        <v>39</v>
      </c>
      <c r="B169" s="8" t="s">
        <v>800</v>
      </c>
      <c r="C169" s="8" t="str">
        <f>IF($Z169=0,"Film Review Required",INDEX('DEF_CALL_DECISION_SUPPORT'!$A$1:$U$1496,$Z169,2))</f>
        <v>Film Review Required</v>
      </c>
      <c r="D169" s="12">
        <f>IF($Z169=0,"",INDEX('DEF_CALL_DECISION_SUPPORT'!$A$1:$U$1496,$Z169,3))</f>
        <v/>
      </c>
      <c r="E169" s="10">
        <f>IF($Z169=0,"",INDEX('DEF_CALL_DECISION_SUPPORT'!$A$1:$U$1496,$Z169,4))</f>
        <v/>
      </c>
      <c r="F169" s="10">
        <f>IF($Z169=0,"",INDEX('DEF_CALL_DECISION_SUPPORT'!$A$1:$U$1496,$Z169,5))</f>
        <v/>
      </c>
      <c r="G169" s="11">
        <f>IF($Z169=0,"",INDEX('DEF_CALL_DECISION_SUPPORT'!$A$1:$U$1496,$Z169,6))</f>
        <v/>
      </c>
      <c r="H169" s="11">
        <f>IF($Z169=0,"",INDEX('DEF_CALL_DECISION_SUPPORT'!$A$1:$U$1496,$Z169,10))</f>
        <v/>
      </c>
      <c r="I169" s="14">
        <f>IF($Z169=0,"",INDEX('DEF_CALL_DECISION_SUPPORT'!$A$1:$U$1496,$Z169,9))</f>
        <v/>
      </c>
      <c r="J169" s="14" t="str">
        <f>IF(Z169=0,"Film Review Required",IF(D169&lt;4,"Sample Watch • ","")&amp;"D&amp;D + Concept Match")</f>
        <v>Film Review Required</v>
      </c>
      <c r="K169" s="9" t="str">
        <f>IF($Z169=0,"No matching defensive reps; film confirmation needed.",INDEX('DEF_CALL_DECISION_SUPPORT'!$A$1:$U$1496,$Z169,12))</f>
        <v>No matching defensive reps; film confirmation needed.</v>
      </c>
      <c r="L169" s="14">
        <f>IF($Z169=0,"",INDEX('DEF_CALL_DECISION_SUPPORT'!$A$1:$U$1496,$Z169,11))</f>
        <v/>
      </c>
      <c r="Y169" s="2" t="s">
        <v>2541</v>
      </c>
      <c r="Z169" s="2">
        <f>IFERROR(MATCH(LEN($A169)&amp;":"&amp;$A169&amp;"|"&amp;LEN($B169)&amp;":"&amp;$B169&amp;"|",'DEF_CALL_DECISION_SUPPORT'!$U$811:$U$1055,0)+811-1,0)</f>
        <v>0</v>
      </c>
    </row>
    <row r="170" spans="1:26" ht="50" customHeight="1">
      <c r="A170" s="8" t="s">
        <v>39</v>
      </c>
      <c r="B170" s="8" t="s">
        <v>471</v>
      </c>
      <c r="C170" s="8" t="str">
        <f>IF($Z170=0,"Film Review Required",INDEX('DEF_CALL_DECISION_SUPPORT'!$A$1:$U$1496,$Z170,2))</f>
        <v>SILVER KNIFE</v>
      </c>
      <c r="D170" s="12">
        <f>IF($Z170=0,"",INDEX('DEF_CALL_DECISION_SUPPORT'!$A$1:$U$1496,$Z170,3))</f>
        <v>2</v>
      </c>
      <c r="E170" s="10">
        <f>IF($Z170=0,"",INDEX('DEF_CALL_DECISION_SUPPORT'!$A$1:$U$1496,$Z170,4))</f>
        <v>0.0</v>
      </c>
      <c r="F170" s="10">
        <f>IF($Z170=0,"",INDEX('DEF_CALL_DECISION_SUPPORT'!$A$1:$U$1496,$Z170,5))</f>
        <v>0.5</v>
      </c>
      <c r="G170" s="11">
        <f>IF($Z170=0,"",INDEX('DEF_CALL_DECISION_SUPPORT'!$A$1:$U$1496,$Z170,6))</f>
        <v>18.5</v>
      </c>
      <c r="H170" s="11">
        <f>IF($Z170=0,"",INDEX('DEF_CALL_DECISION_SUPPORT'!$A$1:$U$1496,$Z170,10))</f>
        <v>10.0</v>
      </c>
      <c r="I170" s="14" t="str">
        <f>IF($Z170=0,"",INDEX('DEF_CALL_DECISION_SUPPORT'!$A$1:$U$1496,$Z170,9))</f>
        <v>TRACK</v>
      </c>
      <c r="J170" s="14" t="str">
        <f>IF(Z170=0,"Film Review Required",IF(D170&lt;4,"Sample Watch • ","")&amp;"D&amp;D + Concept Match")</f>
        <v>Sample Watch • D&amp;D + Concept Match</v>
      </c>
      <c r="K170" s="9" t="str">
        <f>IF($Z170=0,"No matching defensive reps; film confirmation needed.",INDEX('DEF_CALL_DECISION_SUPPORT'!$A$1:$U$1496,$Z170,12))</f>
        <v>Explosive risk; review clips before using as answer.</v>
      </c>
      <c r="L170" s="14" t="str">
        <f>IF($Z170=0,"",INDEX('DEF_CALL_DECISION_SUPPORT'!$A$1:$U$1496,$Z170,11))</f>
        <v>Explosive Alert</v>
      </c>
      <c r="Y170" s="2" t="s">
        <v>472</v>
      </c>
      <c r="Z170" s="2">
        <f>IFERROR(MATCH(LEN($A170)&amp;":"&amp;$A170&amp;"|"&amp;LEN($B170)&amp;":"&amp;$B170&amp;"|",'DEF_CALL_DECISION_SUPPORT'!$U$811:$U$1055,0)+811-1,0)</f>
        <v>874</v>
      </c>
    </row>
    <row r="171" spans="1:26" ht="50" customHeight="1">
      <c r="A171" s="8" t="s">
        <v>39</v>
      </c>
      <c r="B171" s="8" t="s">
        <v>474</v>
      </c>
      <c r="C171" s="8" t="str">
        <f>IF($Z171=0,"Film Review Required",INDEX('DEF_CALL_DECISION_SUPPORT'!$A$1:$U$1496,$Z171,2))</f>
        <v>BOURBON</v>
      </c>
      <c r="D171" s="12">
        <f>IF($Z171=0,"",INDEX('DEF_CALL_DECISION_SUPPORT'!$A$1:$U$1496,$Z171,3))</f>
        <v>1</v>
      </c>
      <c r="E171" s="10">
        <f>IF($Z171=0,"",INDEX('DEF_CALL_DECISION_SUPPORT'!$A$1:$U$1496,$Z171,4))</f>
        <v>1.0</v>
      </c>
      <c r="F171" s="10">
        <f>IF($Z171=0,"",INDEX('DEF_CALL_DECISION_SUPPORT'!$A$1:$U$1496,$Z171,5))</f>
        <v>0.0</v>
      </c>
      <c r="G171" s="11">
        <f>IF($Z171=0,"",INDEX('DEF_CALL_DECISION_SUPPORT'!$A$1:$U$1496,$Z171,6))</f>
        <v>0.0</v>
      </c>
      <c r="H171" s="11">
        <f>IF($Z171=0,"",INDEX('DEF_CALL_DECISION_SUPPORT'!$A$1:$U$1496,$Z171,10))</f>
        <v>100.0</v>
      </c>
      <c r="I171" s="14" t="str">
        <f>IF($Z171=0,"",INDEX('DEF_CALL_DECISION_SUPPORT'!$A$1:$U$1496,$Z171,9))</f>
        <v>TRACK</v>
      </c>
      <c r="J171" s="14" t="str">
        <f>IF(Z171=0,"Film Review Required",IF(D171&lt;4,"Sample Watch • ","")&amp;"D&amp;D + Concept Match")</f>
        <v>Sample Watch • D&amp;D + Concept Match</v>
      </c>
      <c r="K171" s="9" t="str">
        <f>IF($Z171=0,"No matching defensive reps; film confirmation needed.",INDEX('DEF_CALL_DECISION_SUPPORT'!$A$1:$U$1496,$Z171,12))</f>
        <v>Track only; not enough sample.</v>
      </c>
      <c r="L171" s="14" t="str">
        <f>IF($Z171=0,"",INDEX('DEF_CALL_DECISION_SUPPORT'!$A$1:$U$1496,$Z171,11))</f>
        <v>Track Only</v>
      </c>
      <c r="Y171" s="2" t="s">
        <v>475</v>
      </c>
      <c r="Z171" s="2">
        <f>IFERROR(MATCH(LEN($A171)&amp;":"&amp;$A171&amp;"|"&amp;LEN($B171)&amp;":"&amp;$B171&amp;"|",'DEF_CALL_DECISION_SUPPORT'!$U$811:$U$1055,0)+811-1,0)</f>
        <v>876</v>
      </c>
    </row>
    <row r="172" spans="1:26" ht="50" customHeight="1">
      <c r="A172" s="8" t="s">
        <v>39</v>
      </c>
      <c r="B172" s="8" t="s">
        <v>443</v>
      </c>
      <c r="C172" s="8" t="str">
        <f>IF($Z172=0,"Film Review Required",INDEX('DEF_CALL_DECISION_SUPPORT'!$A$1:$U$1496,$Z172,2))</f>
        <v>Film Review Required</v>
      </c>
      <c r="D172" s="12">
        <f>IF($Z172=0,"",INDEX('DEF_CALL_DECISION_SUPPORT'!$A$1:$U$1496,$Z172,3))</f>
        <v/>
      </c>
      <c r="E172" s="10">
        <f>IF($Z172=0,"",INDEX('DEF_CALL_DECISION_SUPPORT'!$A$1:$U$1496,$Z172,4))</f>
        <v/>
      </c>
      <c r="F172" s="10">
        <f>IF($Z172=0,"",INDEX('DEF_CALL_DECISION_SUPPORT'!$A$1:$U$1496,$Z172,5))</f>
        <v/>
      </c>
      <c r="G172" s="11">
        <f>IF($Z172=0,"",INDEX('DEF_CALL_DECISION_SUPPORT'!$A$1:$U$1496,$Z172,6))</f>
        <v/>
      </c>
      <c r="H172" s="11">
        <f>IF($Z172=0,"",INDEX('DEF_CALL_DECISION_SUPPORT'!$A$1:$U$1496,$Z172,10))</f>
        <v/>
      </c>
      <c r="I172" s="14">
        <f>IF($Z172=0,"",INDEX('DEF_CALL_DECISION_SUPPORT'!$A$1:$U$1496,$Z172,9))</f>
        <v/>
      </c>
      <c r="J172" s="14" t="str">
        <f>IF(Z172=0,"Film Review Required",IF(D172&lt;4,"Sample Watch • ","")&amp;"D&amp;D + Concept Match")</f>
        <v>Film Review Required</v>
      </c>
      <c r="K172" s="9" t="str">
        <f>IF($Z172=0,"No matching defensive reps; film confirmation needed.",INDEX('DEF_CALL_DECISION_SUPPORT'!$A$1:$U$1496,$Z172,12))</f>
        <v>No matching defensive reps; film confirmation needed.</v>
      </c>
      <c r="L172" s="14">
        <f>IF($Z172=0,"",INDEX('DEF_CALL_DECISION_SUPPORT'!$A$1:$U$1496,$Z172,11))</f>
        <v/>
      </c>
      <c r="Y172" s="2" t="s">
        <v>2542</v>
      </c>
      <c r="Z172" s="2">
        <f>IFERROR(MATCH(LEN($A172)&amp;":"&amp;$A172&amp;"|"&amp;LEN($B172)&amp;":"&amp;$B172&amp;"|",'DEF_CALL_DECISION_SUPPORT'!$U$811:$U$1055,0)+811-1,0)</f>
        <v>0</v>
      </c>
    </row>
    <row r="173" spans="1:26" ht="50" customHeight="1">
      <c r="A173" s="8" t="s">
        <v>39</v>
      </c>
      <c r="B173" s="8" t="s">
        <v>477</v>
      </c>
      <c r="C173" s="8" t="str">
        <f>IF($Z173=0,"Film Review Required",INDEX('DEF_CALL_DECISION_SUPPORT'!$A$1:$U$1496,$Z173,2))</f>
        <v>TSUNAMI</v>
      </c>
      <c r="D173" s="12">
        <f>IF($Z173=0,"",INDEX('DEF_CALL_DECISION_SUPPORT'!$A$1:$U$1496,$Z173,3))</f>
        <v>1</v>
      </c>
      <c r="E173" s="10">
        <f>IF($Z173=0,"",INDEX('DEF_CALL_DECISION_SUPPORT'!$A$1:$U$1496,$Z173,4))</f>
        <v>1.0</v>
      </c>
      <c r="F173" s="10">
        <f>IF($Z173=0,"",INDEX('DEF_CALL_DECISION_SUPPORT'!$A$1:$U$1496,$Z173,5))</f>
        <v>0.0</v>
      </c>
      <c r="G173" s="11">
        <f>IF($Z173=0,"",INDEX('DEF_CALL_DECISION_SUPPORT'!$A$1:$U$1496,$Z173,6))</f>
        <v>2.0</v>
      </c>
      <c r="H173" s="11">
        <f>IF($Z173=0,"",INDEX('DEF_CALL_DECISION_SUPPORT'!$A$1:$U$1496,$Z173,10))</f>
        <v>98.0</v>
      </c>
      <c r="I173" s="14" t="str">
        <f>IF($Z173=0,"",INDEX('DEF_CALL_DECISION_SUPPORT'!$A$1:$U$1496,$Z173,9))</f>
        <v>TRACK</v>
      </c>
      <c r="J173" s="14" t="str">
        <f>IF(Z173=0,"Film Review Required",IF(D173&lt;4,"Sample Watch • ","")&amp;"D&amp;D + Concept Match")</f>
        <v>Sample Watch • D&amp;D + Concept Match</v>
      </c>
      <c r="K173" s="9" t="str">
        <f>IF($Z173=0,"No matching defensive reps; film confirmation needed.",INDEX('DEF_CALL_DECISION_SUPPORT'!$A$1:$U$1496,$Z173,12))</f>
        <v>Track only; not enough sample.</v>
      </c>
      <c r="L173" s="14" t="str">
        <f>IF($Z173=0,"",INDEX('DEF_CALL_DECISION_SUPPORT'!$A$1:$U$1496,$Z173,11))</f>
        <v>Track Only</v>
      </c>
      <c r="Y173" s="2" t="s">
        <v>478</v>
      </c>
      <c r="Z173" s="2">
        <f>IFERROR(MATCH(LEN($A173)&amp;":"&amp;$A173&amp;"|"&amp;LEN($B173)&amp;":"&amp;$B173&amp;"|",'DEF_CALL_DECISION_SUPPORT'!$U$811:$U$1055,0)+811-1,0)</f>
        <v>878</v>
      </c>
    </row>
    <row r="174" spans="1:26" ht="50" customHeight="1">
      <c r="A174" s="8" t="s">
        <v>39</v>
      </c>
      <c r="B174" s="8" t="s">
        <v>480</v>
      </c>
      <c r="C174" s="8" t="str">
        <f>IF($Z174=0,"Film Review Required",INDEX('DEF_CALL_DECISION_SUPPORT'!$A$1:$U$1496,$Z174,2))</f>
        <v>KEY BOURBON</v>
      </c>
      <c r="D174" s="12">
        <f>IF($Z174=0,"",INDEX('DEF_CALL_DECISION_SUPPORT'!$A$1:$U$1496,$Z174,3))</f>
        <v>1</v>
      </c>
      <c r="E174" s="10">
        <f>IF($Z174=0,"",INDEX('DEF_CALL_DECISION_SUPPORT'!$A$1:$U$1496,$Z174,4))</f>
        <v>1.0</v>
      </c>
      <c r="F174" s="10">
        <f>IF($Z174=0,"",INDEX('DEF_CALL_DECISION_SUPPORT'!$A$1:$U$1496,$Z174,5))</f>
        <v>0.0</v>
      </c>
      <c r="G174" s="11">
        <f>IF($Z174=0,"",INDEX('DEF_CALL_DECISION_SUPPORT'!$A$1:$U$1496,$Z174,6))</f>
        <v>0.0</v>
      </c>
      <c r="H174" s="11">
        <f>IF($Z174=0,"",INDEX('DEF_CALL_DECISION_SUPPORT'!$A$1:$U$1496,$Z174,10))</f>
        <v>100.0</v>
      </c>
      <c r="I174" s="14" t="str">
        <f>IF($Z174=0,"",INDEX('DEF_CALL_DECISION_SUPPORT'!$A$1:$U$1496,$Z174,9))</f>
        <v>TRACK</v>
      </c>
      <c r="J174" s="14" t="str">
        <f>IF(Z174=0,"Film Review Required",IF(D174&lt;4,"Sample Watch • ","")&amp;"D&amp;D + Concept Match")</f>
        <v>Sample Watch • D&amp;D + Concept Match</v>
      </c>
      <c r="K174" s="9" t="str">
        <f>IF($Z174=0,"No matching defensive reps; film confirmation needed.",INDEX('DEF_CALL_DECISION_SUPPORT'!$A$1:$U$1496,$Z174,12))</f>
        <v>Track only; not enough sample.</v>
      </c>
      <c r="L174" s="14" t="str">
        <f>IF($Z174=0,"",INDEX('DEF_CALL_DECISION_SUPPORT'!$A$1:$U$1496,$Z174,11))</f>
        <v>Track Only</v>
      </c>
      <c r="Y174" s="2" t="s">
        <v>481</v>
      </c>
      <c r="Z174" s="2">
        <f>IFERROR(MATCH(LEN($A174)&amp;":"&amp;$A174&amp;"|"&amp;LEN($B174)&amp;":"&amp;$B174&amp;"|",'DEF_CALL_DECISION_SUPPORT'!$U$811:$U$1055,0)+811-1,0)</f>
        <v>879</v>
      </c>
    </row>
    <row r="175" spans="1:26" ht="50" customHeight="1">
      <c r="A175" s="8" t="s">
        <v>70</v>
      </c>
      <c r="B175" s="8" t="s">
        <v>446</v>
      </c>
      <c r="C175" s="8" t="str">
        <f>IF($Z175=0,"Film Review Required",INDEX('DEF_CALL_DECISION_SUPPORT'!$A$1:$U$1496,$Z175,2))</f>
        <v>SMOKE WHITE</v>
      </c>
      <c r="D175" s="12">
        <f>IF($Z175=0,"",INDEX('DEF_CALL_DECISION_SUPPORT'!$A$1:$U$1496,$Z175,3))</f>
        <v>1</v>
      </c>
      <c r="E175" s="10">
        <f>IF($Z175=0,"",INDEX('DEF_CALL_DECISION_SUPPORT'!$A$1:$U$1496,$Z175,4))</f>
        <v>0.0</v>
      </c>
      <c r="F175" s="10">
        <f>IF($Z175=0,"",INDEX('DEF_CALL_DECISION_SUPPORT'!$A$1:$U$1496,$Z175,5))</f>
        <v>0.0</v>
      </c>
      <c r="G175" s="11">
        <f>IF($Z175=0,"",INDEX('DEF_CALL_DECISION_SUPPORT'!$A$1:$U$1496,$Z175,6))</f>
        <v>9.0</v>
      </c>
      <c r="H175" s="11">
        <f>IF($Z175=0,"",INDEX('DEF_CALL_DECISION_SUPPORT'!$A$1:$U$1496,$Z175,10))</f>
        <v>21.0</v>
      </c>
      <c r="I175" s="14" t="str">
        <f>IF($Z175=0,"",INDEX('DEF_CALL_DECISION_SUPPORT'!$A$1:$U$1496,$Z175,9))</f>
        <v>TRACK</v>
      </c>
      <c r="J175" s="14" t="str">
        <f>IF(Z175=0,"Film Review Required",IF(D175&lt;4,"Sample Watch • ","")&amp;"D&amp;D + Concept Match")</f>
        <v>Sample Watch • D&amp;D + Concept Match</v>
      </c>
      <c r="K175" s="9" t="str">
        <f>IF($Z175=0,"No matching defensive reps; film confirmation needed.",INDEX('DEF_CALL_DECISION_SUPPORT'!$A$1:$U$1496,$Z175,12))</f>
        <v>Track only; not enough sample.</v>
      </c>
      <c r="L175" s="14" t="str">
        <f>IF($Z175=0,"",INDEX('DEF_CALL_DECISION_SUPPORT'!$A$1:$U$1496,$Z175,11))</f>
        <v>Track Only</v>
      </c>
      <c r="Y175" s="2" t="s">
        <v>483</v>
      </c>
      <c r="Z175" s="2">
        <f>IFERROR(MATCH(LEN($A175)&amp;":"&amp;$A175&amp;"|"&amp;LEN($B175)&amp;":"&amp;$B175&amp;"|",'DEF_CALL_DECISION_SUPPORT'!$U$811:$U$1055,0)+811-1,0)</f>
        <v>880</v>
      </c>
    </row>
    <row r="176" spans="1:26" ht="50" customHeight="1">
      <c r="A176" s="8" t="s">
        <v>70</v>
      </c>
      <c r="B176" s="8" t="s">
        <v>449</v>
      </c>
      <c r="C176" s="8" t="str">
        <f>IF($Z176=0,"Film Review Required",INDEX('DEF_CALL_DECISION_SUPPORT'!$A$1:$U$1496,$Z176,2))</f>
        <v>MIX TEX</v>
      </c>
      <c r="D176" s="12">
        <f>IF($Z176=0,"",INDEX('DEF_CALL_DECISION_SUPPORT'!$A$1:$U$1496,$Z176,3))</f>
        <v>1</v>
      </c>
      <c r="E176" s="10">
        <f>IF($Z176=0,"",INDEX('DEF_CALL_DECISION_SUPPORT'!$A$1:$U$1496,$Z176,4))</f>
        <v>0.0</v>
      </c>
      <c r="F176" s="10">
        <f>IF($Z176=0,"",INDEX('DEF_CALL_DECISION_SUPPORT'!$A$1:$U$1496,$Z176,5))</f>
        <v>0.0</v>
      </c>
      <c r="G176" s="11">
        <f>IF($Z176=0,"",INDEX('DEF_CALL_DECISION_SUPPORT'!$A$1:$U$1496,$Z176,6))</f>
        <v>9.0</v>
      </c>
      <c r="H176" s="11">
        <f>IF($Z176=0,"",INDEX('DEF_CALL_DECISION_SUPPORT'!$A$1:$U$1496,$Z176,10))</f>
        <v>21.0</v>
      </c>
      <c r="I176" s="14" t="str">
        <f>IF($Z176=0,"",INDEX('DEF_CALL_DECISION_SUPPORT'!$A$1:$U$1496,$Z176,9))</f>
        <v>TRACK</v>
      </c>
      <c r="J176" s="14" t="str">
        <f>IF(Z176=0,"Film Review Required",IF(D176&lt;4,"Sample Watch • ","")&amp;"D&amp;D + Concept Match")</f>
        <v>Sample Watch • D&amp;D + Concept Match</v>
      </c>
      <c r="K176" s="9" t="str">
        <f>IF($Z176=0,"No matching defensive reps; film confirmation needed.",INDEX('DEF_CALL_DECISION_SUPPORT'!$A$1:$U$1496,$Z176,12))</f>
        <v>Track only; not enough sample.</v>
      </c>
      <c r="L176" s="14" t="str">
        <f>IF($Z176=0,"",INDEX('DEF_CALL_DECISION_SUPPORT'!$A$1:$U$1496,$Z176,11))</f>
        <v>Track Only</v>
      </c>
      <c r="Y176" s="2" t="s">
        <v>485</v>
      </c>
      <c r="Z176" s="2">
        <f>IFERROR(MATCH(LEN($A176)&amp;":"&amp;$A176&amp;"|"&amp;LEN($B176)&amp;":"&amp;$B176&amp;"|",'DEF_CALL_DECISION_SUPPORT'!$U$811:$U$1055,0)+811-1,0)</f>
        <v>881</v>
      </c>
    </row>
    <row r="177" spans="1:26" ht="50" customHeight="1">
      <c r="A177" s="8" t="s">
        <v>70</v>
      </c>
      <c r="B177" s="8" t="s">
        <v>487</v>
      </c>
      <c r="C177" s="8" t="str">
        <f>IF($Z177=0,"Film Review Required",INDEX('DEF_CALL_DECISION_SUPPORT'!$A$1:$U$1496,$Z177,2))</f>
        <v>GOLD</v>
      </c>
      <c r="D177" s="12">
        <f>IF($Z177=0,"",INDEX('DEF_CALL_DECISION_SUPPORT'!$A$1:$U$1496,$Z177,3))</f>
        <v>1</v>
      </c>
      <c r="E177" s="10">
        <f>IF($Z177=0,"",INDEX('DEF_CALL_DECISION_SUPPORT'!$A$1:$U$1496,$Z177,4))</f>
        <v>0.0</v>
      </c>
      <c r="F177" s="10">
        <f>IF($Z177=0,"",INDEX('DEF_CALL_DECISION_SUPPORT'!$A$1:$U$1496,$Z177,5))</f>
        <v>0.0</v>
      </c>
      <c r="G177" s="11">
        <f>IF($Z177=0,"",INDEX('DEF_CALL_DECISION_SUPPORT'!$A$1:$U$1496,$Z177,6))</f>
        <v>1.0</v>
      </c>
      <c r="H177" s="11">
        <f>IF($Z177=0,"",INDEX('DEF_CALL_DECISION_SUPPORT'!$A$1:$U$1496,$Z177,10))</f>
        <v>29.0</v>
      </c>
      <c r="I177" s="14" t="str">
        <f>IF($Z177=0,"",INDEX('DEF_CALL_DECISION_SUPPORT'!$A$1:$U$1496,$Z177,9))</f>
        <v>TRACK</v>
      </c>
      <c r="J177" s="14" t="str">
        <f>IF(Z177=0,"Film Review Required",IF(D177&lt;4,"Sample Watch • ","")&amp;"D&amp;D + Concept Match")</f>
        <v>Sample Watch • D&amp;D + Concept Match</v>
      </c>
      <c r="K177" s="9" t="str">
        <f>IF($Z177=0,"No matching defensive reps; film confirmation needed.",INDEX('DEF_CALL_DECISION_SUPPORT'!$A$1:$U$1496,$Z177,12))</f>
        <v>Track only; not enough sample.</v>
      </c>
      <c r="L177" s="14" t="str">
        <f>IF($Z177=0,"",INDEX('DEF_CALL_DECISION_SUPPORT'!$A$1:$U$1496,$Z177,11))</f>
        <v>Track Only</v>
      </c>
      <c r="Y177" s="2" t="s">
        <v>488</v>
      </c>
      <c r="Z177" s="2">
        <f>IFERROR(MATCH(LEN($A177)&amp;":"&amp;$A177&amp;"|"&amp;LEN($B177)&amp;":"&amp;$B177&amp;"|",'DEF_CALL_DECISION_SUPPORT'!$U$811:$U$1055,0)+811-1,0)</f>
        <v>882</v>
      </c>
    </row>
    <row r="178" spans="1:26" ht="50" customHeight="1">
      <c r="A178" s="8" t="s">
        <v>70</v>
      </c>
      <c r="B178" s="8" t="s">
        <v>432</v>
      </c>
      <c r="C178" s="8" t="str">
        <f>IF($Z178=0,"Film Review Required",INDEX('DEF_CALL_DECISION_SUPPORT'!$A$1:$U$1496,$Z178,2))</f>
        <v>TEX</v>
      </c>
      <c r="D178" s="12">
        <f>IF($Z178=0,"",INDEX('DEF_CALL_DECISION_SUPPORT'!$A$1:$U$1496,$Z178,3))</f>
        <v>1</v>
      </c>
      <c r="E178" s="10">
        <f>IF($Z178=0,"",INDEX('DEF_CALL_DECISION_SUPPORT'!$A$1:$U$1496,$Z178,4))</f>
        <v>0.0</v>
      </c>
      <c r="F178" s="10">
        <f>IF($Z178=0,"",INDEX('DEF_CALL_DECISION_SUPPORT'!$A$1:$U$1496,$Z178,5))</f>
        <v>0.0</v>
      </c>
      <c r="G178" s="11">
        <f>IF($Z178=0,"",INDEX('DEF_CALL_DECISION_SUPPORT'!$A$1:$U$1496,$Z178,6))</f>
        <v>5.0</v>
      </c>
      <c r="H178" s="11">
        <f>IF($Z178=0,"",INDEX('DEF_CALL_DECISION_SUPPORT'!$A$1:$U$1496,$Z178,10))</f>
        <v>25.0</v>
      </c>
      <c r="I178" s="14" t="str">
        <f>IF($Z178=0,"",INDEX('DEF_CALL_DECISION_SUPPORT'!$A$1:$U$1496,$Z178,9))</f>
        <v>TRACK</v>
      </c>
      <c r="J178" s="14" t="str">
        <f>IF(Z178=0,"Film Review Required",IF(D178&lt;4,"Sample Watch • ","")&amp;"D&amp;D + Concept Match")</f>
        <v>Sample Watch • D&amp;D + Concept Match</v>
      </c>
      <c r="K178" s="9" t="str">
        <f>IF($Z178=0,"No matching defensive reps; film confirmation needed.",INDEX('DEF_CALL_DECISION_SUPPORT'!$A$1:$U$1496,$Z178,12))</f>
        <v>Track only; not enough sample.</v>
      </c>
      <c r="L178" s="14" t="str">
        <f>IF($Z178=0,"",INDEX('DEF_CALL_DECISION_SUPPORT'!$A$1:$U$1496,$Z178,11))</f>
        <v>Track Only</v>
      </c>
      <c r="Y178" s="2" t="s">
        <v>490</v>
      </c>
      <c r="Z178" s="2">
        <f>IFERROR(MATCH(LEN($A178)&amp;":"&amp;$A178&amp;"|"&amp;LEN($B178)&amp;":"&amp;$B178&amp;"|",'DEF_CALL_DECISION_SUPPORT'!$U$811:$U$1055,0)+811-1,0)</f>
        <v>883</v>
      </c>
    </row>
    <row r="179" spans="1:26" ht="50" customHeight="1">
      <c r="A179" s="8" t="s">
        <v>70</v>
      </c>
      <c r="B179" s="8" t="s">
        <v>428</v>
      </c>
      <c r="C179" s="8" t="str">
        <f>IF($Z179=0,"Film Review Required",INDEX('DEF_CALL_DECISION_SUPPORT'!$A$1:$U$1496,$Z179,2))</f>
        <v>OX</v>
      </c>
      <c r="D179" s="12">
        <f>IF($Z179=0,"",INDEX('DEF_CALL_DECISION_SUPPORT'!$A$1:$U$1496,$Z179,3))</f>
        <v>1</v>
      </c>
      <c r="E179" s="10">
        <f>IF($Z179=0,"",INDEX('DEF_CALL_DECISION_SUPPORT'!$A$1:$U$1496,$Z179,4))</f>
        <v>1.0</v>
      </c>
      <c r="F179" s="10">
        <f>IF($Z179=0,"",INDEX('DEF_CALL_DECISION_SUPPORT'!$A$1:$U$1496,$Z179,5))</f>
        <v>0.0</v>
      </c>
      <c r="G179" s="11">
        <f>IF($Z179=0,"",INDEX('DEF_CALL_DECISION_SUPPORT'!$A$1:$U$1496,$Z179,6))</f>
        <v>-2.0</v>
      </c>
      <c r="H179" s="11">
        <f>IF($Z179=0,"",INDEX('DEF_CALL_DECISION_SUPPORT'!$A$1:$U$1496,$Z179,10))</f>
        <v>100.0</v>
      </c>
      <c r="I179" s="14" t="str">
        <f>IF($Z179=0,"",INDEX('DEF_CALL_DECISION_SUPPORT'!$A$1:$U$1496,$Z179,9))</f>
        <v>TRACK</v>
      </c>
      <c r="J179" s="14" t="str">
        <f>IF(Z179=0,"Film Review Required",IF(D179&lt;4,"Sample Watch • ","")&amp;"D&amp;D + Concept Match")</f>
        <v>Sample Watch • D&amp;D + Concept Match</v>
      </c>
      <c r="K179" s="9" t="str">
        <f>IF($Z179=0,"No matching defensive reps; film confirmation needed.",INDEX('DEF_CALL_DECISION_SUPPORT'!$A$1:$U$1496,$Z179,12))</f>
        <v>Track only; not enough sample.</v>
      </c>
      <c r="L179" s="14" t="str">
        <f>IF($Z179=0,"",INDEX('DEF_CALL_DECISION_SUPPORT'!$A$1:$U$1496,$Z179,11))</f>
        <v>Track Only</v>
      </c>
      <c r="Y179" s="2" t="s">
        <v>492</v>
      </c>
      <c r="Z179" s="2">
        <f>IFERROR(MATCH(LEN($A179)&amp;":"&amp;$A179&amp;"|"&amp;LEN($B179)&amp;":"&amp;$B179&amp;"|",'DEF_CALL_DECISION_SUPPORT'!$U$811:$U$1055,0)+811-1,0)</f>
        <v>886</v>
      </c>
    </row>
    <row r="180" spans="1:26" ht="50" customHeight="1">
      <c r="A180" s="8" t="s">
        <v>70</v>
      </c>
      <c r="B180" s="8" t="s">
        <v>574</v>
      </c>
      <c r="C180" s="8" t="str">
        <f>IF($Z180=0,"Film Review Required",INDEX('DEF_CALL_DECISION_SUPPORT'!$A$1:$U$1496,$Z180,2))</f>
        <v>Film Review Required</v>
      </c>
      <c r="D180" s="12">
        <f>IF($Z180=0,"",INDEX('DEF_CALL_DECISION_SUPPORT'!$A$1:$U$1496,$Z180,3))</f>
        <v/>
      </c>
      <c r="E180" s="10">
        <f>IF($Z180=0,"",INDEX('DEF_CALL_DECISION_SUPPORT'!$A$1:$U$1496,$Z180,4))</f>
        <v/>
      </c>
      <c r="F180" s="10">
        <f>IF($Z180=0,"",INDEX('DEF_CALL_DECISION_SUPPORT'!$A$1:$U$1496,$Z180,5))</f>
        <v/>
      </c>
      <c r="G180" s="11">
        <f>IF($Z180=0,"",INDEX('DEF_CALL_DECISION_SUPPORT'!$A$1:$U$1496,$Z180,6))</f>
        <v/>
      </c>
      <c r="H180" s="11">
        <f>IF($Z180=0,"",INDEX('DEF_CALL_DECISION_SUPPORT'!$A$1:$U$1496,$Z180,10))</f>
        <v/>
      </c>
      <c r="I180" s="14">
        <f>IF($Z180=0,"",INDEX('DEF_CALL_DECISION_SUPPORT'!$A$1:$U$1496,$Z180,9))</f>
        <v/>
      </c>
      <c r="J180" s="14" t="str">
        <f>IF(Z180=0,"Film Review Required",IF(D180&lt;4,"Sample Watch • ","")&amp;"D&amp;D + Concept Match")</f>
        <v>Film Review Required</v>
      </c>
      <c r="K180" s="9" t="str">
        <f>IF($Z180=0,"No matching defensive reps; film confirmation needed.",INDEX('DEF_CALL_DECISION_SUPPORT'!$A$1:$U$1496,$Z180,12))</f>
        <v>No matching defensive reps; film confirmation needed.</v>
      </c>
      <c r="L180" s="14">
        <f>IF($Z180=0,"",INDEX('DEF_CALL_DECISION_SUPPORT'!$A$1:$U$1496,$Z180,11))</f>
        <v/>
      </c>
      <c r="Y180" s="2" t="s">
        <v>2543</v>
      </c>
      <c r="Z180" s="2">
        <f>IFERROR(MATCH(LEN($A180)&amp;":"&amp;$A180&amp;"|"&amp;LEN($B180)&amp;":"&amp;$B180&amp;"|",'DEF_CALL_DECISION_SUPPORT'!$U$811:$U$1055,0)+811-1,0)</f>
        <v>0</v>
      </c>
    </row>
    <row r="181" spans="1:26" ht="50" customHeight="1">
      <c r="A181" s="8" t="s">
        <v>70</v>
      </c>
      <c r="B181" s="8" t="s">
        <v>468</v>
      </c>
      <c r="C181" s="8" t="str">
        <f>IF($Z181=0,"Film Review Required",INDEX('DEF_CALL_DECISION_SUPPORT'!$A$1:$U$1496,$Z181,2))</f>
        <v>CAPTAIN</v>
      </c>
      <c r="D181" s="12">
        <f>IF($Z181=0,"",INDEX('DEF_CALL_DECISION_SUPPORT'!$A$1:$U$1496,$Z181,3))</f>
        <v>1</v>
      </c>
      <c r="E181" s="10">
        <f>IF($Z181=0,"",INDEX('DEF_CALL_DECISION_SUPPORT'!$A$1:$U$1496,$Z181,4))</f>
        <v>1.0</v>
      </c>
      <c r="F181" s="10">
        <f>IF($Z181=0,"",INDEX('DEF_CALL_DECISION_SUPPORT'!$A$1:$U$1496,$Z181,5))</f>
        <v>0.0</v>
      </c>
      <c r="G181" s="11">
        <f>IF($Z181=0,"",INDEX('DEF_CALL_DECISION_SUPPORT'!$A$1:$U$1496,$Z181,6))</f>
        <v>0.0</v>
      </c>
      <c r="H181" s="11">
        <f>IF($Z181=0,"",INDEX('DEF_CALL_DECISION_SUPPORT'!$A$1:$U$1496,$Z181,10))</f>
        <v>100.0</v>
      </c>
      <c r="I181" s="14" t="str">
        <f>IF($Z181=0,"",INDEX('DEF_CALL_DECISION_SUPPORT'!$A$1:$U$1496,$Z181,9))</f>
        <v>TRACK</v>
      </c>
      <c r="J181" s="14" t="str">
        <f>IF(Z181=0,"Film Review Required",IF(D181&lt;4,"Sample Watch • ","")&amp;"D&amp;D + Concept Match")</f>
        <v>Sample Watch • D&amp;D + Concept Match</v>
      </c>
      <c r="K181" s="9" t="str">
        <f>IF($Z181=0,"No matching defensive reps; film confirmation needed.",INDEX('DEF_CALL_DECISION_SUPPORT'!$A$1:$U$1496,$Z181,12))</f>
        <v>Track only; not enough sample.</v>
      </c>
      <c r="L181" s="14" t="str">
        <f>IF($Z181=0,"",INDEX('DEF_CALL_DECISION_SUPPORT'!$A$1:$U$1496,$Z181,11))</f>
        <v>Track Only</v>
      </c>
      <c r="Y181" s="2" t="s">
        <v>494</v>
      </c>
      <c r="Z181" s="2">
        <f>IFERROR(MATCH(LEN($A181)&amp;":"&amp;$A181&amp;"|"&amp;LEN($B181)&amp;":"&amp;$B181&amp;"|",'DEF_CALL_DECISION_SUPPORT'!$U$811:$U$1055,0)+811-1,0)</f>
        <v>890</v>
      </c>
    </row>
    <row r="182" spans="1:26" ht="50" customHeight="1">
      <c r="A182" s="8" t="s">
        <v>70</v>
      </c>
      <c r="B182" s="8" t="s">
        <v>471</v>
      </c>
      <c r="C182" s="8" t="str">
        <f>IF($Z182=0,"Film Review Required",INDEX('DEF_CALL_DECISION_SUPPORT'!$A$1:$U$1496,$Z182,2))</f>
        <v>ROLEX KNIFE</v>
      </c>
      <c r="D182" s="12">
        <f>IF($Z182=0,"",INDEX('DEF_CALL_DECISION_SUPPORT'!$A$1:$U$1496,$Z182,3))</f>
        <v>1</v>
      </c>
      <c r="E182" s="10">
        <f>IF($Z182=0,"",INDEX('DEF_CALL_DECISION_SUPPORT'!$A$1:$U$1496,$Z182,4))</f>
        <v>1.0</v>
      </c>
      <c r="F182" s="10">
        <f>IF($Z182=0,"",INDEX('DEF_CALL_DECISION_SUPPORT'!$A$1:$U$1496,$Z182,5))</f>
        <v>0.0</v>
      </c>
      <c r="G182" s="11">
        <f>IF($Z182=0,"",INDEX('DEF_CALL_DECISION_SUPPORT'!$A$1:$U$1496,$Z182,6))</f>
        <v>6.0</v>
      </c>
      <c r="H182" s="11">
        <f>IF($Z182=0,"",INDEX('DEF_CALL_DECISION_SUPPORT'!$A$1:$U$1496,$Z182,10))</f>
        <v>94.0</v>
      </c>
      <c r="I182" s="14" t="str">
        <f>IF($Z182=0,"",INDEX('DEF_CALL_DECISION_SUPPORT'!$A$1:$U$1496,$Z182,9))</f>
        <v>TRACK</v>
      </c>
      <c r="J182" s="14" t="str">
        <f>IF(Z182=0,"Film Review Required",IF(D182&lt;4,"Sample Watch • ","")&amp;"D&amp;D + Concept Match")</f>
        <v>Sample Watch • D&amp;D + Concept Match</v>
      </c>
      <c r="K182" s="9" t="str">
        <f>IF($Z182=0,"No matching defensive reps; film confirmation needed.",INDEX('DEF_CALL_DECISION_SUPPORT'!$A$1:$U$1496,$Z182,12))</f>
        <v>Track only; not enough sample.</v>
      </c>
      <c r="L182" s="14" t="str">
        <f>IF($Z182=0,"",INDEX('DEF_CALL_DECISION_SUPPORT'!$A$1:$U$1496,$Z182,11))</f>
        <v>Track Only</v>
      </c>
      <c r="Y182" s="2" t="s">
        <v>496</v>
      </c>
      <c r="Z182" s="2">
        <f>IFERROR(MATCH(LEN($A182)&amp;":"&amp;$A182&amp;"|"&amp;LEN($B182)&amp;":"&amp;$B182&amp;"|",'DEF_CALL_DECISION_SUPPORT'!$U$811:$U$1055,0)+811-1,0)</f>
        <v>894</v>
      </c>
    </row>
    <row r="183" spans="1:26" ht="50" customHeight="1">
      <c r="A183" s="8" t="s">
        <v>76</v>
      </c>
      <c r="B183" s="8" t="s">
        <v>446</v>
      </c>
      <c r="C183" s="8" t="str">
        <f>IF($Z183=0,"Film Review Required",INDEX('DEF_CALL_DECISION_SUPPORT'!$A$1:$U$1496,$Z183,2))</f>
        <v>HOUND KNIFE</v>
      </c>
      <c r="D183" s="12">
        <f>IF($Z183=0,"",INDEX('DEF_CALL_DECISION_SUPPORT'!$A$1:$U$1496,$Z183,3))</f>
        <v>1</v>
      </c>
      <c r="E183" s="10">
        <f>IF($Z183=0,"",INDEX('DEF_CALL_DECISION_SUPPORT'!$A$1:$U$1496,$Z183,4))</f>
        <v>0.0</v>
      </c>
      <c r="F183" s="10">
        <f>IF($Z183=0,"",INDEX('DEF_CALL_DECISION_SUPPORT'!$A$1:$U$1496,$Z183,5))</f>
        <v>1.0</v>
      </c>
      <c r="G183" s="11">
        <f>IF($Z183=0,"",INDEX('DEF_CALL_DECISION_SUPPORT'!$A$1:$U$1496,$Z183,6))</f>
        <v>15.0</v>
      </c>
      <c r="H183" s="11">
        <f>IF($Z183=0,"",INDEX('DEF_CALL_DECISION_SUPPORT'!$A$1:$U$1496,$Z183,10))</f>
        <v>0.0</v>
      </c>
      <c r="I183" s="14" t="str">
        <f>IF($Z183=0,"",INDEX('DEF_CALL_DECISION_SUPPORT'!$A$1:$U$1496,$Z183,9))</f>
        <v>TRACK</v>
      </c>
      <c r="J183" s="14" t="str">
        <f>IF(Z183=0,"Film Review Required",IF(D183&lt;4,"Sample Watch • ","")&amp;"D&amp;D + Concept Match")</f>
        <v>Sample Watch • D&amp;D + Concept Match</v>
      </c>
      <c r="K183" s="9" t="str">
        <f>IF($Z183=0,"No matching defensive reps; film confirmation needed.",INDEX('DEF_CALL_DECISION_SUPPORT'!$A$1:$U$1496,$Z183,12))</f>
        <v>Explosive risk; review clips before using as answer.</v>
      </c>
      <c r="L183" s="14" t="str">
        <f>IF($Z183=0,"",INDEX('DEF_CALL_DECISION_SUPPORT'!$A$1:$U$1496,$Z183,11))</f>
        <v>Explosive Alert</v>
      </c>
      <c r="Y183" s="2" t="s">
        <v>501</v>
      </c>
      <c r="Z183" s="2">
        <f>IFERROR(MATCH(LEN($A183)&amp;":"&amp;$A183&amp;"|"&amp;LEN($B183)&amp;":"&amp;$B183&amp;"|",'DEF_CALL_DECISION_SUPPORT'!$U$811:$U$1055,0)+811-1,0)</f>
        <v>896</v>
      </c>
    </row>
    <row r="184" spans="1:26" ht="50" customHeight="1">
      <c r="A184" s="8" t="s">
        <v>76</v>
      </c>
      <c r="B184" s="8" t="s">
        <v>449</v>
      </c>
      <c r="C184" s="8" t="str">
        <f>IF($Z184=0,"Film Review Required",INDEX('DEF_CALL_DECISION_SUPPORT'!$A$1:$U$1496,$Z184,2))</f>
        <v>CAPTAIN</v>
      </c>
      <c r="D184" s="12">
        <f>IF($Z184=0,"",INDEX('DEF_CALL_DECISION_SUPPORT'!$A$1:$U$1496,$Z184,3))</f>
        <v>1</v>
      </c>
      <c r="E184" s="10">
        <f>IF($Z184=0,"",INDEX('DEF_CALL_DECISION_SUPPORT'!$A$1:$U$1496,$Z184,4))</f>
        <v>1.0</v>
      </c>
      <c r="F184" s="10">
        <f>IF($Z184=0,"",INDEX('DEF_CALL_DECISION_SUPPORT'!$A$1:$U$1496,$Z184,5))</f>
        <v>0.0</v>
      </c>
      <c r="G184" s="11">
        <f>IF($Z184=0,"",INDEX('DEF_CALL_DECISION_SUPPORT'!$A$1:$U$1496,$Z184,6))</f>
        <v>-2.0</v>
      </c>
      <c r="H184" s="11">
        <f>IF($Z184=0,"",INDEX('DEF_CALL_DECISION_SUPPORT'!$A$1:$U$1496,$Z184,10))</f>
        <v>100.0</v>
      </c>
      <c r="I184" s="14" t="str">
        <f>IF($Z184=0,"",INDEX('DEF_CALL_DECISION_SUPPORT'!$A$1:$U$1496,$Z184,9))</f>
        <v>TRACK</v>
      </c>
      <c r="J184" s="14" t="str">
        <f>IF(Z184=0,"Film Review Required",IF(D184&lt;4,"Sample Watch • ","")&amp;"D&amp;D + Concept Match")</f>
        <v>Sample Watch • D&amp;D + Concept Match</v>
      </c>
      <c r="K184" s="9" t="str">
        <f>IF($Z184=0,"No matching defensive reps; film confirmation needed.",INDEX('DEF_CALL_DECISION_SUPPORT'!$A$1:$U$1496,$Z184,12))</f>
        <v>Track only; not enough sample.</v>
      </c>
      <c r="L184" s="14" t="str">
        <f>IF($Z184=0,"",INDEX('DEF_CALL_DECISION_SUPPORT'!$A$1:$U$1496,$Z184,11))</f>
        <v>Track Only</v>
      </c>
      <c r="Y184" s="2" t="s">
        <v>503</v>
      </c>
      <c r="Z184" s="2">
        <f>IFERROR(MATCH(LEN($A184)&amp;":"&amp;$A184&amp;"|"&amp;LEN($B184)&amp;":"&amp;$B184&amp;"|",'DEF_CALL_DECISION_SUPPORT'!$U$811:$U$1055,0)+811-1,0)</f>
        <v>897</v>
      </c>
    </row>
    <row r="185" spans="1:26" ht="50" customHeight="1">
      <c r="A185" s="8" t="s">
        <v>76</v>
      </c>
      <c r="B185" s="8" t="s">
        <v>432</v>
      </c>
      <c r="C185" s="8" t="str">
        <f>IF($Z185=0,"Film Review Required",INDEX('DEF_CALL_DECISION_SUPPORT'!$A$1:$U$1496,$Z185,2))</f>
        <v>HOUND KNIFE</v>
      </c>
      <c r="D185" s="12">
        <f>IF($Z185=0,"",INDEX('DEF_CALL_DECISION_SUPPORT'!$A$1:$U$1496,$Z185,3))</f>
        <v>1</v>
      </c>
      <c r="E185" s="10">
        <f>IF($Z185=0,"",INDEX('DEF_CALL_DECISION_SUPPORT'!$A$1:$U$1496,$Z185,4))</f>
        <v>0.0</v>
      </c>
      <c r="F185" s="10">
        <f>IF($Z185=0,"",INDEX('DEF_CALL_DECISION_SUPPORT'!$A$1:$U$1496,$Z185,5))</f>
        <v>0.0</v>
      </c>
      <c r="G185" s="11">
        <f>IF($Z185=0,"",INDEX('DEF_CALL_DECISION_SUPPORT'!$A$1:$U$1496,$Z185,6))</f>
        <v>6.0</v>
      </c>
      <c r="H185" s="11">
        <f>IF($Z185=0,"",INDEX('DEF_CALL_DECISION_SUPPORT'!$A$1:$U$1496,$Z185,10))</f>
        <v>24.0</v>
      </c>
      <c r="I185" s="14" t="str">
        <f>IF($Z185=0,"",INDEX('DEF_CALL_DECISION_SUPPORT'!$A$1:$U$1496,$Z185,9))</f>
        <v>TRACK</v>
      </c>
      <c r="J185" s="14" t="str">
        <f>IF(Z185=0,"Film Review Required",IF(D185&lt;4,"Sample Watch • ","")&amp;"D&amp;D + Concept Match")</f>
        <v>Sample Watch • D&amp;D + Concept Match</v>
      </c>
      <c r="K185" s="9" t="str">
        <f>IF($Z185=0,"No matching defensive reps; film confirmation needed.",INDEX('DEF_CALL_DECISION_SUPPORT'!$A$1:$U$1496,$Z185,12))</f>
        <v>Track only; not enough sample.</v>
      </c>
      <c r="L185" s="14" t="str">
        <f>IF($Z185=0,"",INDEX('DEF_CALL_DECISION_SUPPORT'!$A$1:$U$1496,$Z185,11))</f>
        <v>Track Only</v>
      </c>
      <c r="Y185" s="2" t="s">
        <v>505</v>
      </c>
      <c r="Z185" s="2">
        <f>IFERROR(MATCH(LEN($A185)&amp;":"&amp;$A185&amp;"|"&amp;LEN($B185)&amp;":"&amp;$B185&amp;"|",'DEF_CALL_DECISION_SUPPORT'!$U$811:$U$1055,0)+811-1,0)</f>
        <v>901</v>
      </c>
    </row>
    <row r="186" spans="1:26" ht="50" customHeight="1">
      <c r="A186" s="8" t="s">
        <v>76</v>
      </c>
      <c r="B186" s="8" t="s">
        <v>878</v>
      </c>
      <c r="C186" s="8" t="str">
        <f>IF($Z186=0,"Film Review Required",INDEX('DEF_CALL_DECISION_SUPPORT'!$A$1:$U$1496,$Z186,2))</f>
        <v>Film Review Required</v>
      </c>
      <c r="D186" s="12">
        <f>IF($Z186=0,"",INDEX('DEF_CALL_DECISION_SUPPORT'!$A$1:$U$1496,$Z186,3))</f>
        <v/>
      </c>
      <c r="E186" s="10">
        <f>IF($Z186=0,"",INDEX('DEF_CALL_DECISION_SUPPORT'!$A$1:$U$1496,$Z186,4))</f>
        <v/>
      </c>
      <c r="F186" s="10">
        <f>IF($Z186=0,"",INDEX('DEF_CALL_DECISION_SUPPORT'!$A$1:$U$1496,$Z186,5))</f>
        <v/>
      </c>
      <c r="G186" s="11">
        <f>IF($Z186=0,"",INDEX('DEF_CALL_DECISION_SUPPORT'!$A$1:$U$1496,$Z186,6))</f>
        <v/>
      </c>
      <c r="H186" s="11">
        <f>IF($Z186=0,"",INDEX('DEF_CALL_DECISION_SUPPORT'!$A$1:$U$1496,$Z186,10))</f>
        <v/>
      </c>
      <c r="I186" s="14">
        <f>IF($Z186=0,"",INDEX('DEF_CALL_DECISION_SUPPORT'!$A$1:$U$1496,$Z186,9))</f>
        <v/>
      </c>
      <c r="J186" s="14" t="str">
        <f>IF(Z186=0,"Film Review Required",IF(D186&lt;4,"Sample Watch • ","")&amp;"D&amp;D + Concept Match")</f>
        <v>Film Review Required</v>
      </c>
      <c r="K186" s="9" t="str">
        <f>IF($Z186=0,"No matching defensive reps; film confirmation needed.",INDEX('DEF_CALL_DECISION_SUPPORT'!$A$1:$U$1496,$Z186,12))</f>
        <v>No matching defensive reps; film confirmation needed.</v>
      </c>
      <c r="L186" s="14">
        <f>IF($Z186=0,"",INDEX('DEF_CALL_DECISION_SUPPORT'!$A$1:$U$1496,$Z186,11))</f>
        <v/>
      </c>
      <c r="Y186" s="2" t="s">
        <v>2544</v>
      </c>
      <c r="Z186" s="2">
        <f>IFERROR(MATCH(LEN($A186)&amp;":"&amp;$A186&amp;"|"&amp;LEN($B186)&amp;":"&amp;$B186&amp;"|",'DEF_CALL_DECISION_SUPPORT'!$U$811:$U$1055,0)+811-1,0)</f>
        <v>0</v>
      </c>
    </row>
    <row r="187" spans="1:26" ht="50" customHeight="1">
      <c r="A187" s="8" t="s">
        <v>76</v>
      </c>
      <c r="B187" s="8" t="s">
        <v>428</v>
      </c>
      <c r="C187" s="8" t="str">
        <f>IF($Z187=0,"Film Review Required",INDEX('DEF_CALL_DECISION_SUPPORT'!$A$1:$U$1496,$Z187,2))</f>
        <v>SHINE BUC</v>
      </c>
      <c r="D187" s="12">
        <f>IF($Z187=0,"",INDEX('DEF_CALL_DECISION_SUPPORT'!$A$1:$U$1496,$Z187,3))</f>
        <v>2</v>
      </c>
      <c r="E187" s="10">
        <f>IF($Z187=0,"",INDEX('DEF_CALL_DECISION_SUPPORT'!$A$1:$U$1496,$Z187,4))</f>
        <v>0.0</v>
      </c>
      <c r="F187" s="10">
        <f>IF($Z187=0,"",INDEX('DEF_CALL_DECISION_SUPPORT'!$A$1:$U$1496,$Z187,5))</f>
        <v>0.0</v>
      </c>
      <c r="G187" s="11">
        <f>IF($Z187=0,"",INDEX('DEF_CALL_DECISION_SUPPORT'!$A$1:$U$1496,$Z187,6))</f>
        <v>6.5</v>
      </c>
      <c r="H187" s="11">
        <f>IF($Z187=0,"",INDEX('DEF_CALL_DECISION_SUPPORT'!$A$1:$U$1496,$Z187,10))</f>
        <v>23.5</v>
      </c>
      <c r="I187" s="14" t="str">
        <f>IF($Z187=0,"",INDEX('DEF_CALL_DECISION_SUPPORT'!$A$1:$U$1496,$Z187,9))</f>
        <v>TRACK</v>
      </c>
      <c r="J187" s="14" t="str">
        <f>IF(Z187=0,"Film Review Required",IF(D187&lt;4,"Sample Watch • ","")&amp;"D&amp;D + Concept Match")</f>
        <v>Sample Watch • D&amp;D + Concept Match</v>
      </c>
      <c r="K187" s="9" t="str">
        <f>IF($Z187=0,"No matching defensive reps; film confirmation needed.",INDEX('DEF_CALL_DECISION_SUPPORT'!$A$1:$U$1496,$Z187,12))</f>
        <v>Track only; not enough sample.</v>
      </c>
      <c r="L187" s="14" t="str">
        <f>IF($Z187=0,"",INDEX('DEF_CALL_DECISION_SUPPORT'!$A$1:$U$1496,$Z187,11))</f>
        <v>Track Only</v>
      </c>
      <c r="Y187" s="2" t="s">
        <v>507</v>
      </c>
      <c r="Z187" s="2">
        <f>IFERROR(MATCH(LEN($A187)&amp;":"&amp;$A187&amp;"|"&amp;LEN($B187)&amp;":"&amp;$B187&amp;"|",'DEF_CALL_DECISION_SUPPORT'!$U$811:$U$1055,0)+811-1,0)</f>
        <v>902</v>
      </c>
    </row>
    <row r="188" spans="1:26" ht="50" customHeight="1">
      <c r="A188" s="8" t="s">
        <v>76</v>
      </c>
      <c r="B188" s="8" t="s">
        <v>465</v>
      </c>
      <c r="C188" s="8" t="str">
        <f>IF($Z188=0,"Film Review Required",INDEX('DEF_CALL_DECISION_SUPPORT'!$A$1:$U$1496,$Z188,2))</f>
        <v>MIX CAPTAIN</v>
      </c>
      <c r="D188" s="12">
        <f>IF($Z188=0,"",INDEX('DEF_CALL_DECISION_SUPPORT'!$A$1:$U$1496,$Z188,3))</f>
        <v>1</v>
      </c>
      <c r="E188" s="10">
        <f>IF($Z188=0,"",INDEX('DEF_CALL_DECISION_SUPPORT'!$A$1:$U$1496,$Z188,4))</f>
        <v>1.0</v>
      </c>
      <c r="F188" s="10">
        <f>IF($Z188=0,"",INDEX('DEF_CALL_DECISION_SUPPORT'!$A$1:$U$1496,$Z188,5))</f>
        <v>0.0</v>
      </c>
      <c r="G188" s="11">
        <f>IF($Z188=0,"",INDEX('DEF_CALL_DECISION_SUPPORT'!$A$1:$U$1496,$Z188,6))</f>
        <v>3.0</v>
      </c>
      <c r="H188" s="11">
        <f>IF($Z188=0,"",INDEX('DEF_CALL_DECISION_SUPPORT'!$A$1:$U$1496,$Z188,10))</f>
        <v>97.0</v>
      </c>
      <c r="I188" s="14" t="str">
        <f>IF($Z188=0,"",INDEX('DEF_CALL_DECISION_SUPPORT'!$A$1:$U$1496,$Z188,9))</f>
        <v>TRACK</v>
      </c>
      <c r="J188" s="14" t="str">
        <f>IF(Z188=0,"Film Review Required",IF(D188&lt;4,"Sample Watch • ","")&amp;"D&amp;D + Concept Match")</f>
        <v>Sample Watch • D&amp;D + Concept Match</v>
      </c>
      <c r="K188" s="9" t="str">
        <f>IF($Z188=0,"No matching defensive reps; film confirmation needed.",INDEX('DEF_CALL_DECISION_SUPPORT'!$A$1:$U$1496,$Z188,12))</f>
        <v>Track only; not enough sample.</v>
      </c>
      <c r="L188" s="14" t="str">
        <f>IF($Z188=0,"",INDEX('DEF_CALL_DECISION_SUPPORT'!$A$1:$U$1496,$Z188,11))</f>
        <v>Track Only</v>
      </c>
      <c r="Y188" s="2" t="s">
        <v>509</v>
      </c>
      <c r="Z188" s="2">
        <f>IFERROR(MATCH(LEN($A188)&amp;":"&amp;$A188&amp;"|"&amp;LEN($B188)&amp;":"&amp;$B188&amp;"|",'DEF_CALL_DECISION_SUPPORT'!$U$811:$U$1055,0)+811-1,0)</f>
        <v>903</v>
      </c>
    </row>
    <row r="189" spans="1:26" ht="50" customHeight="1">
      <c r="A189" s="8" t="s">
        <v>76</v>
      </c>
      <c r="B189" s="8" t="s">
        <v>541</v>
      </c>
      <c r="C189" s="8" t="str">
        <f>IF($Z189=0,"Film Review Required",INDEX('DEF_CALL_DECISION_SUPPORT'!$A$1:$U$1496,$Z189,2))</f>
        <v>Film Review Required</v>
      </c>
      <c r="D189" s="12">
        <f>IF($Z189=0,"",INDEX('DEF_CALL_DECISION_SUPPORT'!$A$1:$U$1496,$Z189,3))</f>
        <v/>
      </c>
      <c r="E189" s="10">
        <f>IF($Z189=0,"",INDEX('DEF_CALL_DECISION_SUPPORT'!$A$1:$U$1496,$Z189,4))</f>
        <v/>
      </c>
      <c r="F189" s="10">
        <f>IF($Z189=0,"",INDEX('DEF_CALL_DECISION_SUPPORT'!$A$1:$U$1496,$Z189,5))</f>
        <v/>
      </c>
      <c r="G189" s="11">
        <f>IF($Z189=0,"",INDEX('DEF_CALL_DECISION_SUPPORT'!$A$1:$U$1496,$Z189,6))</f>
        <v/>
      </c>
      <c r="H189" s="11">
        <f>IF($Z189=0,"",INDEX('DEF_CALL_DECISION_SUPPORT'!$A$1:$U$1496,$Z189,10))</f>
        <v/>
      </c>
      <c r="I189" s="14">
        <f>IF($Z189=0,"",INDEX('DEF_CALL_DECISION_SUPPORT'!$A$1:$U$1496,$Z189,9))</f>
        <v/>
      </c>
      <c r="J189" s="14" t="str">
        <f>IF(Z189=0,"Film Review Required",IF(D189&lt;4,"Sample Watch • ","")&amp;"D&amp;D + Concept Match")</f>
        <v>Film Review Required</v>
      </c>
      <c r="K189" s="9" t="str">
        <f>IF($Z189=0,"No matching defensive reps; film confirmation needed.",INDEX('DEF_CALL_DECISION_SUPPORT'!$A$1:$U$1496,$Z189,12))</f>
        <v>No matching defensive reps; film confirmation needed.</v>
      </c>
      <c r="L189" s="14">
        <f>IF($Z189=0,"",INDEX('DEF_CALL_DECISION_SUPPORT'!$A$1:$U$1496,$Z189,11))</f>
        <v/>
      </c>
      <c r="Y189" s="2" t="s">
        <v>2545</v>
      </c>
      <c r="Z189" s="2">
        <f>IFERROR(MATCH(LEN($A189)&amp;":"&amp;$A189&amp;"|"&amp;LEN($B189)&amp;":"&amp;$B189&amp;"|",'DEF_CALL_DECISION_SUPPORT'!$U$811:$U$1055,0)+811-1,0)</f>
        <v>0</v>
      </c>
    </row>
    <row r="190" spans="1:26" ht="50" customHeight="1">
      <c r="A190" s="8" t="s">
        <v>76</v>
      </c>
      <c r="B190" s="8" t="s">
        <v>471</v>
      </c>
      <c r="C190" s="8" t="str">
        <f>IF($Z190=0,"Film Review Required",INDEX('DEF_CALL_DECISION_SUPPORT'!$A$1:$U$1496,$Z190,2))</f>
        <v>9 STUD</v>
      </c>
      <c r="D190" s="12">
        <f>IF($Z190=0,"",INDEX('DEF_CALL_DECISION_SUPPORT'!$A$1:$U$1496,$Z190,3))</f>
        <v>1</v>
      </c>
      <c r="E190" s="10">
        <f>IF($Z190=0,"",INDEX('DEF_CALL_DECISION_SUPPORT'!$A$1:$U$1496,$Z190,4))</f>
        <v>1.0</v>
      </c>
      <c r="F190" s="10">
        <f>IF($Z190=0,"",INDEX('DEF_CALL_DECISION_SUPPORT'!$A$1:$U$1496,$Z190,5))</f>
        <v>0.0</v>
      </c>
      <c r="G190" s="11">
        <f>IF($Z190=0,"",INDEX('DEF_CALL_DECISION_SUPPORT'!$A$1:$U$1496,$Z190,6))</f>
        <v>5.0</v>
      </c>
      <c r="H190" s="11">
        <f>IF($Z190=0,"",INDEX('DEF_CALL_DECISION_SUPPORT'!$A$1:$U$1496,$Z190,10))</f>
        <v>95.0</v>
      </c>
      <c r="I190" s="14" t="str">
        <f>IF($Z190=0,"",INDEX('DEF_CALL_DECISION_SUPPORT'!$A$1:$U$1496,$Z190,9))</f>
        <v>TRACK</v>
      </c>
      <c r="J190" s="14" t="str">
        <f>IF(Z190=0,"Film Review Required",IF(D190&lt;4,"Sample Watch • ","")&amp;"D&amp;D + Concept Match")</f>
        <v>Sample Watch • D&amp;D + Concept Match</v>
      </c>
      <c r="K190" s="9" t="str">
        <f>IF($Z190=0,"No matching defensive reps; film confirmation needed.",INDEX('DEF_CALL_DECISION_SUPPORT'!$A$1:$U$1496,$Z190,12))</f>
        <v>Track only; not enough sample.</v>
      </c>
      <c r="L190" s="14" t="str">
        <f>IF($Z190=0,"",INDEX('DEF_CALL_DECISION_SUPPORT'!$A$1:$U$1496,$Z190,11))</f>
        <v>Track Only</v>
      </c>
      <c r="Y190" s="2" t="s">
        <v>511</v>
      </c>
      <c r="Z190" s="2">
        <f>IFERROR(MATCH(LEN($A190)&amp;":"&amp;$A190&amp;"|"&amp;LEN($B190)&amp;":"&amp;$B190&amp;"|",'DEF_CALL_DECISION_SUPPORT'!$U$811:$U$1055,0)+811-1,0)</f>
        <v>904</v>
      </c>
    </row>
    <row r="191" spans="1:26" ht="50" customHeight="1">
      <c r="A191" s="8" t="s">
        <v>76</v>
      </c>
      <c r="B191" s="8" t="s">
        <v>474</v>
      </c>
      <c r="C191" s="8" t="str">
        <f>IF($Z191=0,"Film Review Required",INDEX('DEF_CALL_DECISION_SUPPORT'!$A$1:$U$1496,$Z191,2))</f>
        <v>Film Review Required</v>
      </c>
      <c r="D191" s="12">
        <f>IF($Z191=0,"",INDEX('DEF_CALL_DECISION_SUPPORT'!$A$1:$U$1496,$Z191,3))</f>
        <v/>
      </c>
      <c r="E191" s="10">
        <f>IF($Z191=0,"",INDEX('DEF_CALL_DECISION_SUPPORT'!$A$1:$U$1496,$Z191,4))</f>
        <v/>
      </c>
      <c r="F191" s="10">
        <f>IF($Z191=0,"",INDEX('DEF_CALL_DECISION_SUPPORT'!$A$1:$U$1496,$Z191,5))</f>
        <v/>
      </c>
      <c r="G191" s="11">
        <f>IF($Z191=0,"",INDEX('DEF_CALL_DECISION_SUPPORT'!$A$1:$U$1496,$Z191,6))</f>
        <v/>
      </c>
      <c r="H191" s="11">
        <f>IF($Z191=0,"",INDEX('DEF_CALL_DECISION_SUPPORT'!$A$1:$U$1496,$Z191,10))</f>
        <v/>
      </c>
      <c r="I191" s="14">
        <f>IF($Z191=0,"",INDEX('DEF_CALL_DECISION_SUPPORT'!$A$1:$U$1496,$Z191,9))</f>
        <v/>
      </c>
      <c r="J191" s="14" t="str">
        <f>IF(Z191=0,"Film Review Required",IF(D191&lt;4,"Sample Watch • ","")&amp;"D&amp;D + Concept Match")</f>
        <v>Film Review Required</v>
      </c>
      <c r="K191" s="9" t="str">
        <f>IF($Z191=0,"No matching defensive reps; film confirmation needed.",INDEX('DEF_CALL_DECISION_SUPPORT'!$A$1:$U$1496,$Z191,12))</f>
        <v>No matching defensive reps; film confirmation needed.</v>
      </c>
      <c r="L191" s="14">
        <f>IF($Z191=0,"",INDEX('DEF_CALL_DECISION_SUPPORT'!$A$1:$U$1496,$Z191,11))</f>
        <v/>
      </c>
      <c r="Y191" s="2" t="s">
        <v>2546</v>
      </c>
      <c r="Z191" s="2">
        <f>IFERROR(MATCH(LEN($A191)&amp;":"&amp;$A191&amp;"|"&amp;LEN($B191)&amp;":"&amp;$B191&amp;"|",'DEF_CALL_DECISION_SUPPORT'!$U$811:$U$1055,0)+811-1,0)</f>
        <v>0</v>
      </c>
    </row>
    <row r="192" spans="1:26" ht="50" customHeight="1">
      <c r="A192" s="8" t="s">
        <v>76</v>
      </c>
      <c r="B192" s="8" t="s">
        <v>443</v>
      </c>
      <c r="C192" s="8" t="str">
        <f>IF($Z192=0,"Film Review Required",INDEX('DEF_CALL_DECISION_SUPPORT'!$A$1:$U$1496,$Z192,2))</f>
        <v>Film Review Required</v>
      </c>
      <c r="D192" s="12">
        <f>IF($Z192=0,"",INDEX('DEF_CALL_DECISION_SUPPORT'!$A$1:$U$1496,$Z192,3))</f>
        <v/>
      </c>
      <c r="E192" s="10">
        <f>IF($Z192=0,"",INDEX('DEF_CALL_DECISION_SUPPORT'!$A$1:$U$1496,$Z192,4))</f>
        <v/>
      </c>
      <c r="F192" s="10">
        <f>IF($Z192=0,"",INDEX('DEF_CALL_DECISION_SUPPORT'!$A$1:$U$1496,$Z192,5))</f>
        <v/>
      </c>
      <c r="G192" s="11">
        <f>IF($Z192=0,"",INDEX('DEF_CALL_DECISION_SUPPORT'!$A$1:$U$1496,$Z192,6))</f>
        <v/>
      </c>
      <c r="H192" s="11">
        <f>IF($Z192=0,"",INDEX('DEF_CALL_DECISION_SUPPORT'!$A$1:$U$1496,$Z192,10))</f>
        <v/>
      </c>
      <c r="I192" s="14">
        <f>IF($Z192=0,"",INDEX('DEF_CALL_DECISION_SUPPORT'!$A$1:$U$1496,$Z192,9))</f>
        <v/>
      </c>
      <c r="J192" s="14" t="str">
        <f>IF(Z192=0,"Film Review Required",IF(D192&lt;4,"Sample Watch • ","")&amp;"D&amp;D + Concept Match")</f>
        <v>Film Review Required</v>
      </c>
      <c r="K192" s="9" t="str">
        <f>IF($Z192=0,"No matching defensive reps; film confirmation needed.",INDEX('DEF_CALL_DECISION_SUPPORT'!$A$1:$U$1496,$Z192,12))</f>
        <v>No matching defensive reps; film confirmation needed.</v>
      </c>
      <c r="L192" s="14">
        <f>IF($Z192=0,"",INDEX('DEF_CALL_DECISION_SUPPORT'!$A$1:$U$1496,$Z192,11))</f>
        <v/>
      </c>
      <c r="Y192" s="2" t="s">
        <v>2547</v>
      </c>
      <c r="Z192" s="2">
        <f>IFERROR(MATCH(LEN($A192)&amp;":"&amp;$A192&amp;"|"&amp;LEN($B192)&amp;":"&amp;$B192&amp;"|",'DEF_CALL_DECISION_SUPPORT'!$U$811:$U$1055,0)+811-1,0)</f>
        <v>0</v>
      </c>
    </row>
    <row r="193" spans="1:26" ht="50" customHeight="1">
      <c r="A193" s="8" t="s">
        <v>82</v>
      </c>
      <c r="B193" s="8" t="s">
        <v>446</v>
      </c>
      <c r="C193" s="8" t="str">
        <f>IF($Z193=0,"Film Review Required",INDEX('DEF_CALL_DECISION_SUPPORT'!$A$1:$U$1496,$Z193,2))</f>
        <v>RAMBO</v>
      </c>
      <c r="D193" s="12">
        <f>IF($Z193=0,"",INDEX('DEF_CALL_DECISION_SUPPORT'!$A$1:$U$1496,$Z193,3))</f>
        <v>1</v>
      </c>
      <c r="E193" s="10">
        <f>IF($Z193=0,"",INDEX('DEF_CALL_DECISION_SUPPORT'!$A$1:$U$1496,$Z193,4))</f>
        <v>1.0</v>
      </c>
      <c r="F193" s="10">
        <f>IF($Z193=0,"",INDEX('DEF_CALL_DECISION_SUPPORT'!$A$1:$U$1496,$Z193,5))</f>
        <v>0.0</v>
      </c>
      <c r="G193" s="11">
        <f>IF($Z193=0,"",INDEX('DEF_CALL_DECISION_SUPPORT'!$A$1:$U$1496,$Z193,6))</f>
        <v>0.0</v>
      </c>
      <c r="H193" s="11">
        <f>IF($Z193=0,"",INDEX('DEF_CALL_DECISION_SUPPORT'!$A$1:$U$1496,$Z193,10))</f>
        <v>100.0</v>
      </c>
      <c r="I193" s="14" t="str">
        <f>IF($Z193=0,"",INDEX('DEF_CALL_DECISION_SUPPORT'!$A$1:$U$1496,$Z193,9))</f>
        <v>TRACK</v>
      </c>
      <c r="J193" s="14" t="str">
        <f>IF(Z193=0,"Film Review Required",IF(D193&lt;4,"Sample Watch • ","")&amp;"D&amp;D + Concept Match")</f>
        <v>Sample Watch • D&amp;D + Concept Match</v>
      </c>
      <c r="K193" s="9" t="str">
        <f>IF($Z193=0,"No matching defensive reps; film confirmation needed.",INDEX('DEF_CALL_DECISION_SUPPORT'!$A$1:$U$1496,$Z193,12))</f>
        <v>Track only; not enough sample.</v>
      </c>
      <c r="L193" s="14" t="str">
        <f>IF($Z193=0,"",INDEX('DEF_CALL_DECISION_SUPPORT'!$A$1:$U$1496,$Z193,11))</f>
        <v>Track Only</v>
      </c>
      <c r="Y193" s="2" t="s">
        <v>513</v>
      </c>
      <c r="Z193" s="2">
        <f>IFERROR(MATCH(LEN($A193)&amp;":"&amp;$A193&amp;"|"&amp;LEN($B193)&amp;":"&amp;$B193&amp;"|",'DEF_CALL_DECISION_SUPPORT'!$U$811:$U$1055,0)+811-1,0)</f>
        <v>906</v>
      </c>
    </row>
    <row r="194" spans="1:26" ht="50" customHeight="1">
      <c r="A194" s="8" t="s">
        <v>82</v>
      </c>
      <c r="B194" s="8" t="s">
        <v>449</v>
      </c>
      <c r="C194" s="8" t="str">
        <f>IF($Z194=0,"Film Review Required",INDEX('DEF_CALL_DECISION_SUPPORT'!$A$1:$U$1496,$Z194,2))</f>
        <v>HOUND KNIFE</v>
      </c>
      <c r="D194" s="12">
        <f>IF($Z194=0,"",INDEX('DEF_CALL_DECISION_SUPPORT'!$A$1:$U$1496,$Z194,3))</f>
        <v>1</v>
      </c>
      <c r="E194" s="10">
        <f>IF($Z194=0,"",INDEX('DEF_CALL_DECISION_SUPPORT'!$A$1:$U$1496,$Z194,4))</f>
        <v>1.0</v>
      </c>
      <c r="F194" s="10">
        <f>IF($Z194=0,"",INDEX('DEF_CALL_DECISION_SUPPORT'!$A$1:$U$1496,$Z194,5))</f>
        <v>0.0</v>
      </c>
      <c r="G194" s="11">
        <f>IF($Z194=0,"",INDEX('DEF_CALL_DECISION_SUPPORT'!$A$1:$U$1496,$Z194,6))</f>
        <v>-1.0</v>
      </c>
      <c r="H194" s="11">
        <f>IF($Z194=0,"",INDEX('DEF_CALL_DECISION_SUPPORT'!$A$1:$U$1496,$Z194,10))</f>
        <v>100.0</v>
      </c>
      <c r="I194" s="14" t="str">
        <f>IF($Z194=0,"",INDEX('DEF_CALL_DECISION_SUPPORT'!$A$1:$U$1496,$Z194,9))</f>
        <v>TRACK</v>
      </c>
      <c r="J194" s="14" t="str">
        <f>IF(Z194=0,"Film Review Required",IF(D194&lt;4,"Sample Watch • ","")&amp;"D&amp;D + Concept Match")</f>
        <v>Sample Watch • D&amp;D + Concept Match</v>
      </c>
      <c r="K194" s="9" t="str">
        <f>IF($Z194=0,"No matching defensive reps; film confirmation needed.",INDEX('DEF_CALL_DECISION_SUPPORT'!$A$1:$U$1496,$Z194,12))</f>
        <v>Track only; not enough sample.</v>
      </c>
      <c r="L194" s="14" t="str">
        <f>IF($Z194=0,"",INDEX('DEF_CALL_DECISION_SUPPORT'!$A$1:$U$1496,$Z194,11))</f>
        <v>Track Only</v>
      </c>
      <c r="Y194" s="2" t="s">
        <v>515</v>
      </c>
      <c r="Z194" s="2">
        <f>IFERROR(MATCH(LEN($A194)&amp;":"&amp;$A194&amp;"|"&amp;LEN($B194)&amp;":"&amp;$B194&amp;"|",'DEF_CALL_DECISION_SUPPORT'!$U$811:$U$1055,0)+811-1,0)</f>
        <v>909</v>
      </c>
    </row>
    <row r="195" spans="1:26" ht="50" customHeight="1">
      <c r="A195" s="8" t="s">
        <v>82</v>
      </c>
      <c r="B195" s="8" t="s">
        <v>452</v>
      </c>
      <c r="C195" s="8" t="str">
        <f>IF($Z195=0,"Film Review Required",INDEX('DEF_CALL_DECISION_SUPPORT'!$A$1:$U$1496,$Z195,2))</f>
        <v>Film Review Required</v>
      </c>
      <c r="D195" s="12">
        <f>IF($Z195=0,"",INDEX('DEF_CALL_DECISION_SUPPORT'!$A$1:$U$1496,$Z195,3))</f>
        <v/>
      </c>
      <c r="E195" s="10">
        <f>IF($Z195=0,"",INDEX('DEF_CALL_DECISION_SUPPORT'!$A$1:$U$1496,$Z195,4))</f>
        <v/>
      </c>
      <c r="F195" s="10">
        <f>IF($Z195=0,"",INDEX('DEF_CALL_DECISION_SUPPORT'!$A$1:$U$1496,$Z195,5))</f>
        <v/>
      </c>
      <c r="G195" s="11">
        <f>IF($Z195=0,"",INDEX('DEF_CALL_DECISION_SUPPORT'!$A$1:$U$1496,$Z195,6))</f>
        <v/>
      </c>
      <c r="H195" s="11">
        <f>IF($Z195=0,"",INDEX('DEF_CALL_DECISION_SUPPORT'!$A$1:$U$1496,$Z195,10))</f>
        <v/>
      </c>
      <c r="I195" s="14">
        <f>IF($Z195=0,"",INDEX('DEF_CALL_DECISION_SUPPORT'!$A$1:$U$1496,$Z195,9))</f>
        <v/>
      </c>
      <c r="J195" s="14" t="str">
        <f>IF(Z195=0,"Film Review Required",IF(D195&lt;4,"Sample Watch • ","")&amp;"D&amp;D + Concept Match")</f>
        <v>Film Review Required</v>
      </c>
      <c r="K195" s="9" t="str">
        <f>IF($Z195=0,"No matching defensive reps; film confirmation needed.",INDEX('DEF_CALL_DECISION_SUPPORT'!$A$1:$U$1496,$Z195,12))</f>
        <v>No matching defensive reps; film confirmation needed.</v>
      </c>
      <c r="L195" s="14">
        <f>IF($Z195=0,"",INDEX('DEF_CALL_DECISION_SUPPORT'!$A$1:$U$1496,$Z195,11))</f>
        <v/>
      </c>
      <c r="Y195" s="2" t="s">
        <v>2548</v>
      </c>
      <c r="Z195" s="2">
        <f>IFERROR(MATCH(LEN($A195)&amp;":"&amp;$A195&amp;"|"&amp;LEN($B195)&amp;":"&amp;$B195&amp;"|",'DEF_CALL_DECISION_SUPPORT'!$U$811:$U$1055,0)+811-1,0)</f>
        <v>0</v>
      </c>
    </row>
    <row r="196" spans="1:26" ht="50" customHeight="1">
      <c r="A196" s="8" t="s">
        <v>82</v>
      </c>
      <c r="B196" s="8" t="s">
        <v>432</v>
      </c>
      <c r="C196" s="8" t="str">
        <f>IF($Z196=0,"Film Review Required",INDEX('DEF_CALL_DECISION_SUPPORT'!$A$1:$U$1496,$Z196,2))</f>
        <v>OX</v>
      </c>
      <c r="D196" s="12">
        <f>IF($Z196=0,"",INDEX('DEF_CALL_DECISION_SUPPORT'!$A$1:$U$1496,$Z196,3))</f>
        <v>1</v>
      </c>
      <c r="E196" s="10">
        <f>IF($Z196=0,"",INDEX('DEF_CALL_DECISION_SUPPORT'!$A$1:$U$1496,$Z196,4))</f>
        <v>0.0</v>
      </c>
      <c r="F196" s="10">
        <f>IF($Z196=0,"",INDEX('DEF_CALL_DECISION_SUPPORT'!$A$1:$U$1496,$Z196,5))</f>
        <v>0.0</v>
      </c>
      <c r="G196" s="11">
        <f>IF($Z196=0,"",INDEX('DEF_CALL_DECISION_SUPPORT'!$A$1:$U$1496,$Z196,6))</f>
        <v>5.0</v>
      </c>
      <c r="H196" s="11">
        <f>IF($Z196=0,"",INDEX('DEF_CALL_DECISION_SUPPORT'!$A$1:$U$1496,$Z196,10))</f>
        <v>25.0</v>
      </c>
      <c r="I196" s="14" t="str">
        <f>IF($Z196=0,"",INDEX('DEF_CALL_DECISION_SUPPORT'!$A$1:$U$1496,$Z196,9))</f>
        <v>TRACK</v>
      </c>
      <c r="J196" s="14" t="str">
        <f>IF(Z196=0,"Film Review Required",IF(D196&lt;4,"Sample Watch • ","")&amp;"D&amp;D + Concept Match")</f>
        <v>Sample Watch • D&amp;D + Concept Match</v>
      </c>
      <c r="K196" s="9" t="str">
        <f>IF($Z196=0,"No matching defensive reps; film confirmation needed.",INDEX('DEF_CALL_DECISION_SUPPORT'!$A$1:$U$1496,$Z196,12))</f>
        <v>Track only; not enough sample.</v>
      </c>
      <c r="L196" s="14" t="str">
        <f>IF($Z196=0,"",INDEX('DEF_CALL_DECISION_SUPPORT'!$A$1:$U$1496,$Z196,11))</f>
        <v>Track Only</v>
      </c>
      <c r="Y196" s="2" t="s">
        <v>517</v>
      </c>
      <c r="Z196" s="2">
        <f>IFERROR(MATCH(LEN($A196)&amp;":"&amp;$A196&amp;"|"&amp;LEN($B196)&amp;":"&amp;$B196&amp;"|",'DEF_CALL_DECISION_SUPPORT'!$U$811:$U$1055,0)+811-1,0)</f>
        <v>913</v>
      </c>
    </row>
    <row r="197" spans="1:26" ht="50" customHeight="1">
      <c r="A197" s="8" t="s">
        <v>82</v>
      </c>
      <c r="B197" s="8" t="s">
        <v>428</v>
      </c>
      <c r="C197" s="8" t="str">
        <f>IF($Z197=0,"Film Review Required",INDEX('DEF_CALL_DECISION_SUPPORT'!$A$1:$U$1496,$Z197,2))</f>
        <v>KNIFE</v>
      </c>
      <c r="D197" s="12">
        <f>IF($Z197=0,"",INDEX('DEF_CALL_DECISION_SUPPORT'!$A$1:$U$1496,$Z197,3))</f>
        <v>1</v>
      </c>
      <c r="E197" s="10">
        <f>IF($Z197=0,"",INDEX('DEF_CALL_DECISION_SUPPORT'!$A$1:$U$1496,$Z197,4))</f>
        <v>1.0</v>
      </c>
      <c r="F197" s="10">
        <f>IF($Z197=0,"",INDEX('DEF_CALL_DECISION_SUPPORT'!$A$1:$U$1496,$Z197,5))</f>
        <v>0.0</v>
      </c>
      <c r="G197" s="11">
        <f>IF($Z197=0,"",INDEX('DEF_CALL_DECISION_SUPPORT'!$A$1:$U$1496,$Z197,6))</f>
        <v>2.0</v>
      </c>
      <c r="H197" s="11">
        <f>IF($Z197=0,"",INDEX('DEF_CALL_DECISION_SUPPORT'!$A$1:$U$1496,$Z197,10))</f>
        <v>98.0</v>
      </c>
      <c r="I197" s="14" t="str">
        <f>IF($Z197=0,"",INDEX('DEF_CALL_DECISION_SUPPORT'!$A$1:$U$1496,$Z197,9))</f>
        <v>TRACK</v>
      </c>
      <c r="J197" s="14" t="str">
        <f>IF(Z197=0,"Film Review Required",IF(D197&lt;4,"Sample Watch • ","")&amp;"D&amp;D + Concept Match")</f>
        <v>Sample Watch • D&amp;D + Concept Match</v>
      </c>
      <c r="K197" s="9" t="str">
        <f>IF($Z197=0,"No matching defensive reps; film confirmation needed.",INDEX('DEF_CALL_DECISION_SUPPORT'!$A$1:$U$1496,$Z197,12))</f>
        <v>Track only; not enough sample.</v>
      </c>
      <c r="L197" s="14" t="str">
        <f>IF($Z197=0,"",INDEX('DEF_CALL_DECISION_SUPPORT'!$A$1:$U$1496,$Z197,11))</f>
        <v>Track Only</v>
      </c>
      <c r="Y197" s="2" t="s">
        <v>519</v>
      </c>
      <c r="Z197" s="2">
        <f>IFERROR(MATCH(LEN($A197)&amp;":"&amp;$A197&amp;"|"&amp;LEN($B197)&amp;":"&amp;$B197&amp;"|",'DEF_CALL_DECISION_SUPPORT'!$U$811:$U$1055,0)+811-1,0)</f>
        <v>915</v>
      </c>
    </row>
    <row r="198" spans="1:26" ht="50" customHeight="1">
      <c r="A198" s="8" t="s">
        <v>82</v>
      </c>
      <c r="B198" s="8" t="s">
        <v>465</v>
      </c>
      <c r="C198" s="8" t="str">
        <f>IF($Z198=0,"Film Review Required",INDEX('DEF_CALL_DECISION_SUPPORT'!$A$1:$U$1496,$Z198,2))</f>
        <v>9 DICE</v>
      </c>
      <c r="D198" s="12">
        <f>IF($Z198=0,"",INDEX('DEF_CALL_DECISION_SUPPORT'!$A$1:$U$1496,$Z198,3))</f>
        <v>1</v>
      </c>
      <c r="E198" s="10">
        <f>IF($Z198=0,"",INDEX('DEF_CALL_DECISION_SUPPORT'!$A$1:$U$1496,$Z198,4))</f>
        <v>1.0</v>
      </c>
      <c r="F198" s="10">
        <f>IF($Z198=0,"",INDEX('DEF_CALL_DECISION_SUPPORT'!$A$1:$U$1496,$Z198,5))</f>
        <v>0.0</v>
      </c>
      <c r="G198" s="11">
        <f>IF($Z198=0,"",INDEX('DEF_CALL_DECISION_SUPPORT'!$A$1:$U$1496,$Z198,6))</f>
        <v>0.0</v>
      </c>
      <c r="H198" s="11">
        <f>IF($Z198=0,"",INDEX('DEF_CALL_DECISION_SUPPORT'!$A$1:$U$1496,$Z198,10))</f>
        <v>100.0</v>
      </c>
      <c r="I198" s="14" t="str">
        <f>IF($Z198=0,"",INDEX('DEF_CALL_DECISION_SUPPORT'!$A$1:$U$1496,$Z198,9))</f>
        <v>TRACK</v>
      </c>
      <c r="J198" s="14" t="str">
        <f>IF(Z198=0,"Film Review Required",IF(D198&lt;4,"Sample Watch • ","")&amp;"D&amp;D + Concept Match")</f>
        <v>Sample Watch • D&amp;D + Concept Match</v>
      </c>
      <c r="K198" s="9" t="str">
        <f>IF($Z198=0,"No matching defensive reps; film confirmation needed.",INDEX('DEF_CALL_DECISION_SUPPORT'!$A$1:$U$1496,$Z198,12))</f>
        <v>Track only; not enough sample.</v>
      </c>
      <c r="L198" s="14" t="str">
        <f>IF($Z198=0,"",INDEX('DEF_CALL_DECISION_SUPPORT'!$A$1:$U$1496,$Z198,11))</f>
        <v>Track Only</v>
      </c>
      <c r="Y198" s="2" t="s">
        <v>521</v>
      </c>
      <c r="Z198" s="2">
        <f>IFERROR(MATCH(LEN($A198)&amp;":"&amp;$A198&amp;"|"&amp;LEN($B198)&amp;":"&amp;$B198&amp;"|",'DEF_CALL_DECISION_SUPPORT'!$U$811:$U$1055,0)+811-1,0)</f>
        <v>918</v>
      </c>
    </row>
    <row r="199" spans="1:26" ht="50" customHeight="1">
      <c r="A199" s="8" t="s">
        <v>82</v>
      </c>
      <c r="B199" s="8" t="s">
        <v>468</v>
      </c>
      <c r="C199" s="8" t="str">
        <f>IF($Z199=0,"Film Review Required",INDEX('DEF_CALL_DECISION_SUPPORT'!$A$1:$U$1496,$Z199,2))</f>
        <v>EAGLE</v>
      </c>
      <c r="D199" s="12">
        <f>IF($Z199=0,"",INDEX('DEF_CALL_DECISION_SUPPORT'!$A$1:$U$1496,$Z199,3))</f>
        <v>1</v>
      </c>
      <c r="E199" s="10">
        <f>IF($Z199=0,"",INDEX('DEF_CALL_DECISION_SUPPORT'!$A$1:$U$1496,$Z199,4))</f>
        <v>1.0</v>
      </c>
      <c r="F199" s="10">
        <f>IF($Z199=0,"",INDEX('DEF_CALL_DECISION_SUPPORT'!$A$1:$U$1496,$Z199,5))</f>
        <v>0.0</v>
      </c>
      <c r="G199" s="11">
        <f>IF($Z199=0,"",INDEX('DEF_CALL_DECISION_SUPPORT'!$A$1:$U$1496,$Z199,6))</f>
        <v>-8.0</v>
      </c>
      <c r="H199" s="11">
        <f>IF($Z199=0,"",INDEX('DEF_CALL_DECISION_SUPPORT'!$A$1:$U$1496,$Z199,10))</f>
        <v>100.0</v>
      </c>
      <c r="I199" s="14" t="str">
        <f>IF($Z199=0,"",INDEX('DEF_CALL_DECISION_SUPPORT'!$A$1:$U$1496,$Z199,9))</f>
        <v>TRACK</v>
      </c>
      <c r="J199" s="14" t="str">
        <f>IF(Z199=0,"Film Review Required",IF(D199&lt;4,"Sample Watch • ","")&amp;"D&amp;D + Concept Match")</f>
        <v>Sample Watch • D&amp;D + Concept Match</v>
      </c>
      <c r="K199" s="9" t="str">
        <f>IF($Z199=0,"No matching defensive reps; film confirmation needed.",INDEX('DEF_CALL_DECISION_SUPPORT'!$A$1:$U$1496,$Z199,12))</f>
        <v>Track only; not enough sample.</v>
      </c>
      <c r="L199" s="14" t="str">
        <f>IF($Z199=0,"",INDEX('DEF_CALL_DECISION_SUPPORT'!$A$1:$U$1496,$Z199,11))</f>
        <v>Track Only</v>
      </c>
      <c r="Y199" s="2" t="s">
        <v>523</v>
      </c>
      <c r="Z199" s="2">
        <f>IFERROR(MATCH(LEN($A199)&amp;":"&amp;$A199&amp;"|"&amp;LEN($B199)&amp;":"&amp;$B199&amp;"|",'DEF_CALL_DECISION_SUPPORT'!$U$811:$U$1055,0)+811-1,0)</f>
        <v>924</v>
      </c>
    </row>
    <row r="200" spans="1:26" ht="50" customHeight="1">
      <c r="A200" s="8" t="s">
        <v>82</v>
      </c>
      <c r="B200" s="8" t="s">
        <v>800</v>
      </c>
      <c r="C200" s="8" t="str">
        <f>IF($Z200=0,"Film Review Required",INDEX('DEF_CALL_DECISION_SUPPORT'!$A$1:$U$1496,$Z200,2))</f>
        <v>Film Review Required</v>
      </c>
      <c r="D200" s="12">
        <f>IF($Z200=0,"",INDEX('DEF_CALL_DECISION_SUPPORT'!$A$1:$U$1496,$Z200,3))</f>
        <v/>
      </c>
      <c r="E200" s="10">
        <f>IF($Z200=0,"",INDEX('DEF_CALL_DECISION_SUPPORT'!$A$1:$U$1496,$Z200,4))</f>
        <v/>
      </c>
      <c r="F200" s="10">
        <f>IF($Z200=0,"",INDEX('DEF_CALL_DECISION_SUPPORT'!$A$1:$U$1496,$Z200,5))</f>
        <v/>
      </c>
      <c r="G200" s="11">
        <f>IF($Z200=0,"",INDEX('DEF_CALL_DECISION_SUPPORT'!$A$1:$U$1496,$Z200,6))</f>
        <v/>
      </c>
      <c r="H200" s="11">
        <f>IF($Z200=0,"",INDEX('DEF_CALL_DECISION_SUPPORT'!$A$1:$U$1496,$Z200,10))</f>
        <v/>
      </c>
      <c r="I200" s="14">
        <f>IF($Z200=0,"",INDEX('DEF_CALL_DECISION_SUPPORT'!$A$1:$U$1496,$Z200,9))</f>
        <v/>
      </c>
      <c r="J200" s="14" t="str">
        <f>IF(Z200=0,"Film Review Required",IF(D200&lt;4,"Sample Watch • ","")&amp;"D&amp;D + Concept Match")</f>
        <v>Film Review Required</v>
      </c>
      <c r="K200" s="9" t="str">
        <f>IF($Z200=0,"No matching defensive reps; film confirmation needed.",INDEX('DEF_CALL_DECISION_SUPPORT'!$A$1:$U$1496,$Z200,12))</f>
        <v>No matching defensive reps; film confirmation needed.</v>
      </c>
      <c r="L200" s="14">
        <f>IF($Z200=0,"",INDEX('DEF_CALL_DECISION_SUPPORT'!$A$1:$U$1496,$Z200,11))</f>
        <v/>
      </c>
      <c r="Y200" s="2" t="s">
        <v>2549</v>
      </c>
      <c r="Z200" s="2">
        <f>IFERROR(MATCH(LEN($A200)&amp;":"&amp;$A200&amp;"|"&amp;LEN($B200)&amp;":"&amp;$B200&amp;"|",'DEF_CALL_DECISION_SUPPORT'!$U$811:$U$1055,0)+811-1,0)</f>
        <v>0</v>
      </c>
    </row>
    <row r="201" spans="1:26" ht="50" customHeight="1">
      <c r="A201" s="8" t="s">
        <v>82</v>
      </c>
      <c r="B201" s="8" t="s">
        <v>471</v>
      </c>
      <c r="C201" s="8" t="str">
        <f>IF($Z201=0,"Film Review Required",INDEX('DEF_CALL_DECISION_SUPPORT'!$A$1:$U$1496,$Z201,2))</f>
        <v>BOURBON</v>
      </c>
      <c r="D201" s="12">
        <f>IF($Z201=0,"",INDEX('DEF_CALL_DECISION_SUPPORT'!$A$1:$U$1496,$Z201,3))</f>
        <v>1</v>
      </c>
      <c r="E201" s="10">
        <f>IF($Z201=0,"",INDEX('DEF_CALL_DECISION_SUPPORT'!$A$1:$U$1496,$Z201,4))</f>
        <v>1.0</v>
      </c>
      <c r="F201" s="10">
        <f>IF($Z201=0,"",INDEX('DEF_CALL_DECISION_SUPPORT'!$A$1:$U$1496,$Z201,5))</f>
        <v>0.0</v>
      </c>
      <c r="G201" s="11">
        <f>IF($Z201=0,"",INDEX('DEF_CALL_DECISION_SUPPORT'!$A$1:$U$1496,$Z201,6))</f>
        <v>0.0</v>
      </c>
      <c r="H201" s="11">
        <f>IF($Z201=0,"",INDEX('DEF_CALL_DECISION_SUPPORT'!$A$1:$U$1496,$Z201,10))</f>
        <v>100.0</v>
      </c>
      <c r="I201" s="14" t="str">
        <f>IF($Z201=0,"",INDEX('DEF_CALL_DECISION_SUPPORT'!$A$1:$U$1496,$Z201,9))</f>
        <v>TRACK</v>
      </c>
      <c r="J201" s="14" t="str">
        <f>IF(Z201=0,"Film Review Required",IF(D201&lt;4,"Sample Watch • ","")&amp;"D&amp;D + Concept Match")</f>
        <v>Sample Watch • D&amp;D + Concept Match</v>
      </c>
      <c r="K201" s="9" t="str">
        <f>IF($Z201=0,"No matching defensive reps; film confirmation needed.",INDEX('DEF_CALL_DECISION_SUPPORT'!$A$1:$U$1496,$Z201,12))</f>
        <v>Track only; not enough sample.</v>
      </c>
      <c r="L201" s="14" t="str">
        <f>IF($Z201=0,"",INDEX('DEF_CALL_DECISION_SUPPORT'!$A$1:$U$1496,$Z201,11))</f>
        <v>Track Only</v>
      </c>
      <c r="Y201" s="2" t="s">
        <v>525</v>
      </c>
      <c r="Z201" s="2">
        <f>IFERROR(MATCH(LEN($A201)&amp;":"&amp;$A201&amp;"|"&amp;LEN($B201)&amp;":"&amp;$B201&amp;"|",'DEF_CALL_DECISION_SUPPORT'!$U$811:$U$1055,0)+811-1,0)</f>
        <v>926</v>
      </c>
    </row>
    <row r="202" spans="1:26" ht="50" customHeight="1">
      <c r="A202" s="8" t="s">
        <v>82</v>
      </c>
      <c r="B202" s="8" t="s">
        <v>477</v>
      </c>
      <c r="C202" s="8" t="str">
        <f>IF($Z202=0,"Film Review Required",INDEX('DEF_CALL_DECISION_SUPPORT'!$A$1:$U$1496,$Z202,2))</f>
        <v>KEY CAPTAIN</v>
      </c>
      <c r="D202" s="12">
        <f>IF($Z202=0,"",INDEX('DEF_CALL_DECISION_SUPPORT'!$A$1:$U$1496,$Z202,3))</f>
        <v>2</v>
      </c>
      <c r="E202" s="10">
        <f>IF($Z202=0,"",INDEX('DEF_CALL_DECISION_SUPPORT'!$A$1:$U$1496,$Z202,4))</f>
        <v>0.5</v>
      </c>
      <c r="F202" s="10">
        <f>IF($Z202=0,"",INDEX('DEF_CALL_DECISION_SUPPORT'!$A$1:$U$1496,$Z202,5))</f>
        <v>0.0</v>
      </c>
      <c r="G202" s="11">
        <f>IF($Z202=0,"",INDEX('DEF_CALL_DECISION_SUPPORT'!$A$1:$U$1496,$Z202,6))</f>
        <v>3.0</v>
      </c>
      <c r="H202" s="11">
        <f>IF($Z202=0,"",INDEX('DEF_CALL_DECISION_SUPPORT'!$A$1:$U$1496,$Z202,10))</f>
        <v>62.0</v>
      </c>
      <c r="I202" s="14" t="str">
        <f>IF($Z202=0,"",INDEX('DEF_CALL_DECISION_SUPPORT'!$A$1:$U$1496,$Z202,9))</f>
        <v>TRACK</v>
      </c>
      <c r="J202" s="14" t="str">
        <f>IF(Z202=0,"Film Review Required",IF(D202&lt;4,"Sample Watch • ","")&amp;"D&amp;D + Concept Match")</f>
        <v>Sample Watch • D&amp;D + Concept Match</v>
      </c>
      <c r="K202" s="9" t="str">
        <f>IF($Z202=0,"No matching defensive reps; film confirmation needed.",INDEX('DEF_CALL_DECISION_SUPPORT'!$A$1:$U$1496,$Z202,12))</f>
        <v>Track only; not enough sample.</v>
      </c>
      <c r="L202" s="14" t="str">
        <f>IF($Z202=0,"",INDEX('DEF_CALL_DECISION_SUPPORT'!$A$1:$U$1496,$Z202,11))</f>
        <v>Track Only</v>
      </c>
      <c r="Y202" s="2" t="s">
        <v>527</v>
      </c>
      <c r="Z202" s="2">
        <f>IFERROR(MATCH(LEN($A202)&amp;":"&amp;$A202&amp;"|"&amp;LEN($B202)&amp;":"&amp;$B202&amp;"|",'DEF_CALL_DECISION_SUPPORT'!$U$811:$U$1055,0)+811-1,0)</f>
        <v>928</v>
      </c>
    </row>
    <row r="203" spans="1:26" ht="50" customHeight="1">
      <c r="A203" s="8" t="s">
        <v>85</v>
      </c>
      <c r="B203" s="8" t="s">
        <v>446</v>
      </c>
      <c r="C203" s="8" t="str">
        <f>IF($Z203=0,"Film Review Required",INDEX('DEF_CALL_DECISION_SUPPORT'!$A$1:$U$1496,$Z203,2))</f>
        <v>FALCON</v>
      </c>
      <c r="D203" s="12">
        <f>IF($Z203=0,"",INDEX('DEF_CALL_DECISION_SUPPORT'!$A$1:$U$1496,$Z203,3))</f>
        <v>1</v>
      </c>
      <c r="E203" s="10">
        <f>IF($Z203=0,"",INDEX('DEF_CALL_DECISION_SUPPORT'!$A$1:$U$1496,$Z203,4))</f>
        <v>1.0</v>
      </c>
      <c r="F203" s="10">
        <f>IF($Z203=0,"",INDEX('DEF_CALL_DECISION_SUPPORT'!$A$1:$U$1496,$Z203,5))</f>
        <v>0.0</v>
      </c>
      <c r="G203" s="11">
        <f>IF($Z203=0,"",INDEX('DEF_CALL_DECISION_SUPPORT'!$A$1:$U$1496,$Z203,6))</f>
        <v>0.0</v>
      </c>
      <c r="H203" s="11">
        <f>IF($Z203=0,"",INDEX('DEF_CALL_DECISION_SUPPORT'!$A$1:$U$1496,$Z203,10))</f>
        <v>100.0</v>
      </c>
      <c r="I203" s="14" t="str">
        <f>IF($Z203=0,"",INDEX('DEF_CALL_DECISION_SUPPORT'!$A$1:$U$1496,$Z203,9))</f>
        <v>TRACK</v>
      </c>
      <c r="J203" s="14" t="str">
        <f>IF(Z203=0,"Film Review Required",IF(D203&lt;4,"Sample Watch • ","")&amp;"D&amp;D + Concept Match")</f>
        <v>Sample Watch • D&amp;D + Concept Match</v>
      </c>
      <c r="K203" s="9" t="str">
        <f>IF($Z203=0,"No matching defensive reps; film confirmation needed.",INDEX('DEF_CALL_DECISION_SUPPORT'!$A$1:$U$1496,$Z203,12))</f>
        <v>Track only; not enough sample.</v>
      </c>
      <c r="L203" s="14" t="str">
        <f>IF($Z203=0,"",INDEX('DEF_CALL_DECISION_SUPPORT'!$A$1:$U$1496,$Z203,11))</f>
        <v>Track Only</v>
      </c>
      <c r="Y203" s="2" t="s">
        <v>529</v>
      </c>
      <c r="Z203" s="2">
        <f>IFERROR(MATCH(LEN($A203)&amp;":"&amp;$A203&amp;"|"&amp;LEN($B203)&amp;":"&amp;$B203&amp;"|",'DEF_CALL_DECISION_SUPPORT'!$U$811:$U$1055,0)+811-1,0)</f>
        <v>929</v>
      </c>
    </row>
    <row r="204" spans="1:26" ht="50" customHeight="1">
      <c r="A204" s="8" t="s">
        <v>85</v>
      </c>
      <c r="B204" s="8" t="s">
        <v>449</v>
      </c>
      <c r="C204" s="8" t="str">
        <f>IF($Z204=0,"Film Review Required",INDEX('DEF_CALL_DECISION_SUPPORT'!$A$1:$U$1496,$Z204,2))</f>
        <v>SMOKE WHITE</v>
      </c>
      <c r="D204" s="12">
        <f>IF($Z204=0,"",INDEX('DEF_CALL_DECISION_SUPPORT'!$A$1:$U$1496,$Z204,3))</f>
        <v>3</v>
      </c>
      <c r="E204" s="10">
        <f>IF($Z204=0,"",INDEX('DEF_CALL_DECISION_SUPPORT'!$A$1:$U$1496,$Z204,4))</f>
        <v>0.6666666666666666</v>
      </c>
      <c r="F204" s="10">
        <f>IF($Z204=0,"",INDEX('DEF_CALL_DECISION_SUPPORT'!$A$1:$U$1496,$Z204,5))</f>
        <v>0.0</v>
      </c>
      <c r="G204" s="11">
        <f>IF($Z204=0,"",INDEX('DEF_CALL_DECISION_SUPPORT'!$A$1:$U$1496,$Z204,6))</f>
        <v>3.3333333333333335</v>
      </c>
      <c r="H204" s="11">
        <f>IF($Z204=0,"",INDEX('DEF_CALL_DECISION_SUPPORT'!$A$1:$U$1496,$Z204,10))</f>
        <v>73.3</v>
      </c>
      <c r="I204" s="14" t="str">
        <f>IF($Z204=0,"",INDEX('DEF_CALL_DECISION_SUPPORT'!$A$1:$U$1496,$Z204,9))</f>
        <v>LOW</v>
      </c>
      <c r="J204" s="14" t="str">
        <f>IF(Z204=0,"Film Review Required",IF(D204&lt;4,"Sample Watch • ","")&amp;"D&amp;D + Concept Match")</f>
        <v>Sample Watch • D&amp;D + Concept Match</v>
      </c>
      <c r="K204" s="9" t="str">
        <f>IF($Z204=0,"No matching defensive reps; film confirmation needed.",INDEX('DEF_CALL_DECISION_SUPPORT'!$A$1:$U$1496,$Z204,12))</f>
        <v>Good signal, but sample is limited.</v>
      </c>
      <c r="L204" s="14" t="str">
        <f>IF($Z204=0,"",INDEX('DEF_CALL_DECISION_SUPPORT'!$A$1:$U$1496,$Z204,11))</f>
        <v>Sample Watch</v>
      </c>
      <c r="Y204" s="2" t="s">
        <v>531</v>
      </c>
      <c r="Z204" s="2">
        <f>IFERROR(MATCH(LEN($A204)&amp;":"&amp;$A204&amp;"|"&amp;LEN($B204)&amp;":"&amp;$B204&amp;"|",'DEF_CALL_DECISION_SUPPORT'!$U$811:$U$1055,0)+811-1,0)</f>
        <v>937</v>
      </c>
    </row>
    <row r="205" spans="1:26" ht="50" customHeight="1">
      <c r="A205" s="8" t="s">
        <v>85</v>
      </c>
      <c r="B205" s="8" t="s">
        <v>452</v>
      </c>
      <c r="C205" s="8" t="str">
        <f>IF($Z205=0,"Film Review Required",INDEX('DEF_CALL_DECISION_SUPPORT'!$A$1:$U$1496,$Z205,2))</f>
        <v>Film Review Required</v>
      </c>
      <c r="D205" s="12">
        <f>IF($Z205=0,"",INDEX('DEF_CALL_DECISION_SUPPORT'!$A$1:$U$1496,$Z205,3))</f>
        <v/>
      </c>
      <c r="E205" s="10">
        <f>IF($Z205=0,"",INDEX('DEF_CALL_DECISION_SUPPORT'!$A$1:$U$1496,$Z205,4))</f>
        <v/>
      </c>
      <c r="F205" s="10">
        <f>IF($Z205=0,"",INDEX('DEF_CALL_DECISION_SUPPORT'!$A$1:$U$1496,$Z205,5))</f>
        <v/>
      </c>
      <c r="G205" s="11">
        <f>IF($Z205=0,"",INDEX('DEF_CALL_DECISION_SUPPORT'!$A$1:$U$1496,$Z205,6))</f>
        <v/>
      </c>
      <c r="H205" s="11">
        <f>IF($Z205=0,"",INDEX('DEF_CALL_DECISION_SUPPORT'!$A$1:$U$1496,$Z205,10))</f>
        <v/>
      </c>
      <c r="I205" s="14">
        <f>IF($Z205=0,"",INDEX('DEF_CALL_DECISION_SUPPORT'!$A$1:$U$1496,$Z205,9))</f>
        <v/>
      </c>
      <c r="J205" s="14" t="str">
        <f>IF(Z205=0,"Film Review Required",IF(D205&lt;4,"Sample Watch • ","")&amp;"D&amp;D + Concept Match")</f>
        <v>Film Review Required</v>
      </c>
      <c r="K205" s="9" t="str">
        <f>IF($Z205=0,"No matching defensive reps; film confirmation needed.",INDEX('DEF_CALL_DECISION_SUPPORT'!$A$1:$U$1496,$Z205,12))</f>
        <v>No matching defensive reps; film confirmation needed.</v>
      </c>
      <c r="L205" s="14">
        <f>IF($Z205=0,"",INDEX('DEF_CALL_DECISION_SUPPORT'!$A$1:$U$1496,$Z205,11))</f>
        <v/>
      </c>
      <c r="Y205" s="2" t="s">
        <v>2550</v>
      </c>
      <c r="Z205" s="2">
        <f>IFERROR(MATCH(LEN($A205)&amp;":"&amp;$A205&amp;"|"&amp;LEN($B205)&amp;":"&amp;$B205&amp;"|",'DEF_CALL_DECISION_SUPPORT'!$U$811:$U$1055,0)+811-1,0)</f>
        <v>0</v>
      </c>
    </row>
    <row r="206" spans="1:26" ht="50" customHeight="1">
      <c r="A206" s="8" t="s">
        <v>85</v>
      </c>
      <c r="B206" s="8" t="s">
        <v>432</v>
      </c>
      <c r="C206" s="8" t="str">
        <f>IF($Z206=0,"Film Review Required",INDEX('DEF_CALL_DECISION_SUPPORT'!$A$1:$U$1496,$Z206,2))</f>
        <v>RAMBO</v>
      </c>
      <c r="D206" s="12">
        <f>IF($Z206=0,"",INDEX('DEF_CALL_DECISION_SUPPORT'!$A$1:$U$1496,$Z206,3))</f>
        <v>2</v>
      </c>
      <c r="E206" s="10">
        <f>IF($Z206=0,"",INDEX('DEF_CALL_DECISION_SUPPORT'!$A$1:$U$1496,$Z206,4))</f>
        <v>0.0</v>
      </c>
      <c r="F206" s="10">
        <f>IF($Z206=0,"",INDEX('DEF_CALL_DECISION_SUPPORT'!$A$1:$U$1496,$Z206,5))</f>
        <v>0.0</v>
      </c>
      <c r="G206" s="11">
        <f>IF($Z206=0,"",INDEX('DEF_CALL_DECISION_SUPPORT'!$A$1:$U$1496,$Z206,6))</f>
        <v>7.5</v>
      </c>
      <c r="H206" s="11">
        <f>IF($Z206=0,"",INDEX('DEF_CALL_DECISION_SUPPORT'!$A$1:$U$1496,$Z206,10))</f>
        <v>22.5</v>
      </c>
      <c r="I206" s="14" t="str">
        <f>IF($Z206=0,"",INDEX('DEF_CALL_DECISION_SUPPORT'!$A$1:$U$1496,$Z206,9))</f>
        <v>TRACK</v>
      </c>
      <c r="J206" s="14" t="str">
        <f>IF(Z206=0,"Film Review Required",IF(D206&lt;4,"Sample Watch • ","")&amp;"D&amp;D + Concept Match")</f>
        <v>Sample Watch • D&amp;D + Concept Match</v>
      </c>
      <c r="K206" s="9" t="str">
        <f>IF($Z206=0,"No matching defensive reps; film confirmation needed.",INDEX('DEF_CALL_DECISION_SUPPORT'!$A$1:$U$1496,$Z206,12))</f>
        <v>Track only; not enough sample.</v>
      </c>
      <c r="L206" s="14" t="str">
        <f>IF($Z206=0,"",INDEX('DEF_CALL_DECISION_SUPPORT'!$A$1:$U$1496,$Z206,11))</f>
        <v>Track Only</v>
      </c>
      <c r="Y206" s="2" t="s">
        <v>533</v>
      </c>
      <c r="Z206" s="2">
        <f>IFERROR(MATCH(LEN($A206)&amp;":"&amp;$A206&amp;"|"&amp;LEN($B206)&amp;":"&amp;$B206&amp;"|",'DEF_CALL_DECISION_SUPPORT'!$U$811:$U$1055,0)+811-1,0)</f>
        <v>941</v>
      </c>
    </row>
    <row r="207" spans="1:26" ht="50" customHeight="1">
      <c r="A207" s="8" t="s">
        <v>85</v>
      </c>
      <c r="B207" s="8" t="s">
        <v>611</v>
      </c>
      <c r="C207" s="8" t="str">
        <f>IF($Z207=0,"Film Review Required",INDEX('DEF_CALL_DECISION_SUPPORT'!$A$1:$U$1496,$Z207,2))</f>
        <v>Film Review Required</v>
      </c>
      <c r="D207" s="12">
        <f>IF($Z207=0,"",INDEX('DEF_CALL_DECISION_SUPPORT'!$A$1:$U$1496,$Z207,3))</f>
        <v/>
      </c>
      <c r="E207" s="10">
        <f>IF($Z207=0,"",INDEX('DEF_CALL_DECISION_SUPPORT'!$A$1:$U$1496,$Z207,4))</f>
        <v/>
      </c>
      <c r="F207" s="10">
        <f>IF($Z207=0,"",INDEX('DEF_CALL_DECISION_SUPPORT'!$A$1:$U$1496,$Z207,5))</f>
        <v/>
      </c>
      <c r="G207" s="11">
        <f>IF($Z207=0,"",INDEX('DEF_CALL_DECISION_SUPPORT'!$A$1:$U$1496,$Z207,6))</f>
        <v/>
      </c>
      <c r="H207" s="11">
        <f>IF($Z207=0,"",INDEX('DEF_CALL_DECISION_SUPPORT'!$A$1:$U$1496,$Z207,10))</f>
        <v/>
      </c>
      <c r="I207" s="14">
        <f>IF($Z207=0,"",INDEX('DEF_CALL_DECISION_SUPPORT'!$A$1:$U$1496,$Z207,9))</f>
        <v/>
      </c>
      <c r="J207" s="14" t="str">
        <f>IF(Z207=0,"Film Review Required",IF(D207&lt;4,"Sample Watch • ","")&amp;"D&amp;D + Concept Match")</f>
        <v>Film Review Required</v>
      </c>
      <c r="K207" s="9" t="str">
        <f>IF($Z207=0,"No matching defensive reps; film confirmation needed.",INDEX('DEF_CALL_DECISION_SUPPORT'!$A$1:$U$1496,$Z207,12))</f>
        <v>No matching defensive reps; film confirmation needed.</v>
      </c>
      <c r="L207" s="14">
        <f>IF($Z207=0,"",INDEX('DEF_CALL_DECISION_SUPPORT'!$A$1:$U$1496,$Z207,11))</f>
        <v/>
      </c>
      <c r="Y207" s="2" t="s">
        <v>2551</v>
      </c>
      <c r="Z207" s="2">
        <f>IFERROR(MATCH(LEN($A207)&amp;":"&amp;$A207&amp;"|"&amp;LEN($B207)&amp;":"&amp;$B207&amp;"|",'DEF_CALL_DECISION_SUPPORT'!$U$811:$U$1055,0)+811-1,0)</f>
        <v>0</v>
      </c>
    </row>
    <row r="208" spans="1:26" ht="50" customHeight="1">
      <c r="A208" s="8" t="s">
        <v>85</v>
      </c>
      <c r="B208" s="8" t="s">
        <v>428</v>
      </c>
      <c r="C208" s="8" t="str">
        <f>IF($Z208=0,"Film Review Required",INDEX('DEF_CALL_DECISION_SUPPORT'!$A$1:$U$1496,$Z208,2))</f>
        <v>STICK TEX</v>
      </c>
      <c r="D208" s="12">
        <f>IF($Z208=0,"",INDEX('DEF_CALL_DECISION_SUPPORT'!$A$1:$U$1496,$Z208,3))</f>
        <v>2</v>
      </c>
      <c r="E208" s="10">
        <f>IF($Z208=0,"",INDEX('DEF_CALL_DECISION_SUPPORT'!$A$1:$U$1496,$Z208,4))</f>
        <v>0.5</v>
      </c>
      <c r="F208" s="10">
        <f>IF($Z208=0,"",INDEX('DEF_CALL_DECISION_SUPPORT'!$A$1:$U$1496,$Z208,5))</f>
        <v>0.0</v>
      </c>
      <c r="G208" s="11">
        <f>IF($Z208=0,"",INDEX('DEF_CALL_DECISION_SUPPORT'!$A$1:$U$1496,$Z208,6))</f>
        <v>2.0</v>
      </c>
      <c r="H208" s="11">
        <f>IF($Z208=0,"",INDEX('DEF_CALL_DECISION_SUPPORT'!$A$1:$U$1496,$Z208,10))</f>
        <v>63.0</v>
      </c>
      <c r="I208" s="14" t="str">
        <f>IF($Z208=0,"",INDEX('DEF_CALL_DECISION_SUPPORT'!$A$1:$U$1496,$Z208,9))</f>
        <v>TRACK</v>
      </c>
      <c r="J208" s="14" t="str">
        <f>IF(Z208=0,"Film Review Required",IF(D208&lt;4,"Sample Watch • ","")&amp;"D&amp;D + Concept Match")</f>
        <v>Sample Watch • D&amp;D + Concept Match</v>
      </c>
      <c r="K208" s="9" t="str">
        <f>IF($Z208=0,"No matching defensive reps; film confirmation needed.",INDEX('DEF_CALL_DECISION_SUPPORT'!$A$1:$U$1496,$Z208,12))</f>
        <v>Track only; not enough sample.</v>
      </c>
      <c r="L208" s="14" t="str">
        <f>IF($Z208=0,"",INDEX('DEF_CALL_DECISION_SUPPORT'!$A$1:$U$1496,$Z208,11))</f>
        <v>Track Only</v>
      </c>
      <c r="Y208" s="2" t="s">
        <v>535</v>
      </c>
      <c r="Z208" s="2">
        <f>IFERROR(MATCH(LEN($A208)&amp;":"&amp;$A208&amp;"|"&amp;LEN($B208)&amp;":"&amp;$B208&amp;"|",'DEF_CALL_DECISION_SUPPORT'!$U$811:$U$1055,0)+811-1,0)</f>
        <v>947</v>
      </c>
    </row>
    <row r="209" spans="1:26" ht="50" customHeight="1">
      <c r="A209" s="8" t="s">
        <v>85</v>
      </c>
      <c r="B209" s="8" t="s">
        <v>574</v>
      </c>
      <c r="C209" s="8" t="str">
        <f>IF($Z209=0,"Film Review Required",INDEX('DEF_CALL_DECISION_SUPPORT'!$A$1:$U$1496,$Z209,2))</f>
        <v>Film Review Required</v>
      </c>
      <c r="D209" s="12">
        <f>IF($Z209=0,"",INDEX('DEF_CALL_DECISION_SUPPORT'!$A$1:$U$1496,$Z209,3))</f>
        <v/>
      </c>
      <c r="E209" s="10">
        <f>IF($Z209=0,"",INDEX('DEF_CALL_DECISION_SUPPORT'!$A$1:$U$1496,$Z209,4))</f>
        <v/>
      </c>
      <c r="F209" s="10">
        <f>IF($Z209=0,"",INDEX('DEF_CALL_DECISION_SUPPORT'!$A$1:$U$1496,$Z209,5))</f>
        <v/>
      </c>
      <c r="G209" s="11">
        <f>IF($Z209=0,"",INDEX('DEF_CALL_DECISION_SUPPORT'!$A$1:$U$1496,$Z209,6))</f>
        <v/>
      </c>
      <c r="H209" s="11">
        <f>IF($Z209=0,"",INDEX('DEF_CALL_DECISION_SUPPORT'!$A$1:$U$1496,$Z209,10))</f>
        <v/>
      </c>
      <c r="I209" s="14">
        <f>IF($Z209=0,"",INDEX('DEF_CALL_DECISION_SUPPORT'!$A$1:$U$1496,$Z209,9))</f>
        <v/>
      </c>
      <c r="J209" s="14" t="str">
        <f>IF(Z209=0,"Film Review Required",IF(D209&lt;4,"Sample Watch • ","")&amp;"D&amp;D + Concept Match")</f>
        <v>Film Review Required</v>
      </c>
      <c r="K209" s="9" t="str">
        <f>IF($Z209=0,"No matching defensive reps; film confirmation needed.",INDEX('DEF_CALL_DECISION_SUPPORT'!$A$1:$U$1496,$Z209,12))</f>
        <v>No matching defensive reps; film confirmation needed.</v>
      </c>
      <c r="L209" s="14">
        <f>IF($Z209=0,"",INDEX('DEF_CALL_DECISION_SUPPORT'!$A$1:$U$1496,$Z209,11))</f>
        <v/>
      </c>
      <c r="Y209" s="2" t="s">
        <v>2552</v>
      </c>
      <c r="Z209" s="2">
        <f>IFERROR(MATCH(LEN($A209)&amp;":"&amp;$A209&amp;"|"&amp;LEN($B209)&amp;":"&amp;$B209&amp;"|",'DEF_CALL_DECISION_SUPPORT'!$U$811:$U$1055,0)+811-1,0)</f>
        <v>0</v>
      </c>
    </row>
    <row r="210" spans="1:26" ht="50" customHeight="1">
      <c r="A210" s="8" t="s">
        <v>85</v>
      </c>
      <c r="B210" s="8" t="s">
        <v>465</v>
      </c>
      <c r="C210" s="8" t="str">
        <f>IF($Z210=0,"Film Review Required",INDEX('DEF_CALL_DECISION_SUPPORT'!$A$1:$U$1496,$Z210,2))</f>
        <v>TSUNAMI</v>
      </c>
      <c r="D210" s="12">
        <f>IF($Z210=0,"",INDEX('DEF_CALL_DECISION_SUPPORT'!$A$1:$U$1496,$Z210,3))</f>
        <v>1</v>
      </c>
      <c r="E210" s="10">
        <f>IF($Z210=0,"",INDEX('DEF_CALL_DECISION_SUPPORT'!$A$1:$U$1496,$Z210,4))</f>
        <v>1.0</v>
      </c>
      <c r="F210" s="10">
        <f>IF($Z210=0,"",INDEX('DEF_CALL_DECISION_SUPPORT'!$A$1:$U$1496,$Z210,5))</f>
        <v>0.0</v>
      </c>
      <c r="G210" s="11">
        <f>IF($Z210=0,"",INDEX('DEF_CALL_DECISION_SUPPORT'!$A$1:$U$1496,$Z210,6))</f>
        <v>1.0</v>
      </c>
      <c r="H210" s="11">
        <f>IF($Z210=0,"",INDEX('DEF_CALL_DECISION_SUPPORT'!$A$1:$U$1496,$Z210,10))</f>
        <v>99.0</v>
      </c>
      <c r="I210" s="14" t="str">
        <f>IF($Z210=0,"",INDEX('DEF_CALL_DECISION_SUPPORT'!$A$1:$U$1496,$Z210,9))</f>
        <v>TRACK</v>
      </c>
      <c r="J210" s="14" t="str">
        <f>IF(Z210=0,"Film Review Required",IF(D210&lt;4,"Sample Watch • ","")&amp;"D&amp;D + Concept Match")</f>
        <v>Sample Watch • D&amp;D + Concept Match</v>
      </c>
      <c r="K210" s="9" t="str">
        <f>IF($Z210=0,"No matching defensive reps; film confirmation needed.",INDEX('DEF_CALL_DECISION_SUPPORT'!$A$1:$U$1496,$Z210,12))</f>
        <v>Track only; not enough sample.</v>
      </c>
      <c r="L210" s="14" t="str">
        <f>IF($Z210=0,"",INDEX('DEF_CALL_DECISION_SUPPORT'!$A$1:$U$1496,$Z210,11))</f>
        <v>Track Only</v>
      </c>
      <c r="Y210" s="2" t="s">
        <v>537</v>
      </c>
      <c r="Z210" s="2">
        <f>IFERROR(MATCH(LEN($A210)&amp;":"&amp;$A210&amp;"|"&amp;LEN($B210)&amp;":"&amp;$B210&amp;"|",'DEF_CALL_DECISION_SUPPORT'!$U$811:$U$1055,0)+811-1,0)</f>
        <v>955</v>
      </c>
    </row>
    <row r="211" spans="1:26" ht="50" customHeight="1">
      <c r="A211" s="8" t="s">
        <v>85</v>
      </c>
      <c r="B211" s="8" t="s">
        <v>468</v>
      </c>
      <c r="C211" s="8" t="str">
        <f>IF($Z211=0,"Film Review Required",INDEX('DEF_CALL_DECISION_SUPPORT'!$A$1:$U$1496,$Z211,2))</f>
        <v>REBEL</v>
      </c>
      <c r="D211" s="12">
        <f>IF($Z211=0,"",INDEX('DEF_CALL_DECISION_SUPPORT'!$A$1:$U$1496,$Z211,3))</f>
        <v>1</v>
      </c>
      <c r="E211" s="10">
        <f>IF($Z211=0,"",INDEX('DEF_CALL_DECISION_SUPPORT'!$A$1:$U$1496,$Z211,4))</f>
        <v>1.0</v>
      </c>
      <c r="F211" s="10">
        <f>IF($Z211=0,"",INDEX('DEF_CALL_DECISION_SUPPORT'!$A$1:$U$1496,$Z211,5))</f>
        <v>0.0</v>
      </c>
      <c r="G211" s="11">
        <f>IF($Z211=0,"",INDEX('DEF_CALL_DECISION_SUPPORT'!$A$1:$U$1496,$Z211,6))</f>
        <v>0.0</v>
      </c>
      <c r="H211" s="11">
        <f>IF($Z211=0,"",INDEX('DEF_CALL_DECISION_SUPPORT'!$A$1:$U$1496,$Z211,10))</f>
        <v>100.0</v>
      </c>
      <c r="I211" s="14" t="str">
        <f>IF($Z211=0,"",INDEX('DEF_CALL_DECISION_SUPPORT'!$A$1:$U$1496,$Z211,9))</f>
        <v>TRACK</v>
      </c>
      <c r="J211" s="14" t="str">
        <f>IF(Z211=0,"Film Review Required",IF(D211&lt;4,"Sample Watch • ","")&amp;"D&amp;D + Concept Match")</f>
        <v>Sample Watch • D&amp;D + Concept Match</v>
      </c>
      <c r="K211" s="9" t="str">
        <f>IF($Z211=0,"No matching defensive reps; film confirmation needed.",INDEX('DEF_CALL_DECISION_SUPPORT'!$A$1:$U$1496,$Z211,12))</f>
        <v>Track only; not enough sample.</v>
      </c>
      <c r="L211" s="14" t="str">
        <f>IF($Z211=0,"",INDEX('DEF_CALL_DECISION_SUPPORT'!$A$1:$U$1496,$Z211,11))</f>
        <v>Track Only</v>
      </c>
      <c r="Y211" s="2" t="s">
        <v>539</v>
      </c>
      <c r="Z211" s="2">
        <f>IFERROR(MATCH(LEN($A211)&amp;":"&amp;$A211&amp;"|"&amp;LEN($B211)&amp;":"&amp;$B211&amp;"|",'DEF_CALL_DECISION_SUPPORT'!$U$811:$U$1055,0)+811-1,0)</f>
        <v>957</v>
      </c>
    </row>
    <row r="212" spans="1:26" ht="50" customHeight="1">
      <c r="A212" s="8" t="s">
        <v>85</v>
      </c>
      <c r="B212" s="8" t="s">
        <v>541</v>
      </c>
      <c r="C212" s="8" t="str">
        <f>IF($Z212=0,"Film Review Required",INDEX('DEF_CALL_DECISION_SUPPORT'!$A$1:$U$1496,$Z212,2))</f>
        <v>REBEL</v>
      </c>
      <c r="D212" s="12">
        <f>IF($Z212=0,"",INDEX('DEF_CALL_DECISION_SUPPORT'!$A$1:$U$1496,$Z212,3))</f>
        <v>1</v>
      </c>
      <c r="E212" s="10">
        <f>IF($Z212=0,"",INDEX('DEF_CALL_DECISION_SUPPORT'!$A$1:$U$1496,$Z212,4))</f>
        <v>1.0</v>
      </c>
      <c r="F212" s="10">
        <f>IF($Z212=0,"",INDEX('DEF_CALL_DECISION_SUPPORT'!$A$1:$U$1496,$Z212,5))</f>
        <v>0.0</v>
      </c>
      <c r="G212" s="11">
        <f>IF($Z212=0,"",INDEX('DEF_CALL_DECISION_SUPPORT'!$A$1:$U$1496,$Z212,6))</f>
        <v>0.0</v>
      </c>
      <c r="H212" s="11">
        <f>IF($Z212=0,"",INDEX('DEF_CALL_DECISION_SUPPORT'!$A$1:$U$1496,$Z212,10))</f>
        <v>100.0</v>
      </c>
      <c r="I212" s="14" t="str">
        <f>IF($Z212=0,"",INDEX('DEF_CALL_DECISION_SUPPORT'!$A$1:$U$1496,$Z212,9))</f>
        <v>TRACK</v>
      </c>
      <c r="J212" s="14" t="str">
        <f>IF(Z212=0,"Film Review Required",IF(D212&lt;4,"Sample Watch • ","")&amp;"D&amp;D + Concept Match")</f>
        <v>Sample Watch • D&amp;D + Concept Match</v>
      </c>
      <c r="K212" s="9" t="str">
        <f>IF($Z212=0,"No matching defensive reps; film confirmation needed.",INDEX('DEF_CALL_DECISION_SUPPORT'!$A$1:$U$1496,$Z212,12))</f>
        <v>Track only; not enough sample.</v>
      </c>
      <c r="L212" s="14" t="str">
        <f>IF($Z212=0,"",INDEX('DEF_CALL_DECISION_SUPPORT'!$A$1:$U$1496,$Z212,11))</f>
        <v>Track Only</v>
      </c>
      <c r="Y212" s="2" t="s">
        <v>542</v>
      </c>
      <c r="Z212" s="2">
        <f>IFERROR(MATCH(LEN($A212)&amp;":"&amp;$A212&amp;"|"&amp;LEN($B212)&amp;":"&amp;$B212&amp;"|",'DEF_CALL_DECISION_SUPPORT'!$U$811:$U$1055,0)+811-1,0)</f>
        <v>958</v>
      </c>
    </row>
    <row r="213" spans="1:26" ht="50" customHeight="1">
      <c r="A213" s="8" t="s">
        <v>85</v>
      </c>
      <c r="B213" s="8" t="s">
        <v>471</v>
      </c>
      <c r="C213" s="8" t="str">
        <f>IF($Z213=0,"Film Review Required",INDEX('DEF_CALL_DECISION_SUPPORT'!$A$1:$U$1496,$Z213,2))</f>
        <v>HOUND KNIFE</v>
      </c>
      <c r="D213" s="12">
        <f>IF($Z213=0,"",INDEX('DEF_CALL_DECISION_SUPPORT'!$A$1:$U$1496,$Z213,3))</f>
        <v>1</v>
      </c>
      <c r="E213" s="10">
        <f>IF($Z213=0,"",INDEX('DEF_CALL_DECISION_SUPPORT'!$A$1:$U$1496,$Z213,4))</f>
        <v>1.0</v>
      </c>
      <c r="F213" s="10">
        <f>IF($Z213=0,"",INDEX('DEF_CALL_DECISION_SUPPORT'!$A$1:$U$1496,$Z213,5))</f>
        <v>0.0</v>
      </c>
      <c r="G213" s="11">
        <f>IF($Z213=0,"",INDEX('DEF_CALL_DECISION_SUPPORT'!$A$1:$U$1496,$Z213,6))</f>
        <v>0.0</v>
      </c>
      <c r="H213" s="11">
        <f>IF($Z213=0,"",INDEX('DEF_CALL_DECISION_SUPPORT'!$A$1:$U$1496,$Z213,10))</f>
        <v>100.0</v>
      </c>
      <c r="I213" s="14" t="str">
        <f>IF($Z213=0,"",INDEX('DEF_CALL_DECISION_SUPPORT'!$A$1:$U$1496,$Z213,9))</f>
        <v>TRACK</v>
      </c>
      <c r="J213" s="14" t="str">
        <f>IF(Z213=0,"Film Review Required",IF(D213&lt;4,"Sample Watch • ","")&amp;"D&amp;D + Concept Match")</f>
        <v>Sample Watch • D&amp;D + Concept Match</v>
      </c>
      <c r="K213" s="9" t="str">
        <f>IF($Z213=0,"No matching defensive reps; film confirmation needed.",INDEX('DEF_CALL_DECISION_SUPPORT'!$A$1:$U$1496,$Z213,12))</f>
        <v>Track only; not enough sample.</v>
      </c>
      <c r="L213" s="14" t="str">
        <f>IF($Z213=0,"",INDEX('DEF_CALL_DECISION_SUPPORT'!$A$1:$U$1496,$Z213,11))</f>
        <v>Track Only</v>
      </c>
      <c r="Y213" s="2" t="s">
        <v>544</v>
      </c>
      <c r="Z213" s="2">
        <f>IFERROR(MATCH(LEN($A213)&amp;":"&amp;$A213&amp;"|"&amp;LEN($B213)&amp;":"&amp;$B213&amp;"|",'DEF_CALL_DECISION_SUPPORT'!$U$811:$U$1055,0)+811-1,0)</f>
        <v>960</v>
      </c>
    </row>
    <row r="214" spans="1:26" ht="50" customHeight="1">
      <c r="A214" s="8" t="s">
        <v>85</v>
      </c>
      <c r="B214" s="8" t="s">
        <v>474</v>
      </c>
      <c r="C214" s="8" t="str">
        <f>IF($Z214=0,"Film Review Required",INDEX('DEF_CALL_DECISION_SUPPORT'!$A$1:$U$1496,$Z214,2))</f>
        <v>Film Review Required</v>
      </c>
      <c r="D214" s="12">
        <f>IF($Z214=0,"",INDEX('DEF_CALL_DECISION_SUPPORT'!$A$1:$U$1496,$Z214,3))</f>
        <v/>
      </c>
      <c r="E214" s="10">
        <f>IF($Z214=0,"",INDEX('DEF_CALL_DECISION_SUPPORT'!$A$1:$U$1496,$Z214,4))</f>
        <v/>
      </c>
      <c r="F214" s="10">
        <f>IF($Z214=0,"",INDEX('DEF_CALL_DECISION_SUPPORT'!$A$1:$U$1496,$Z214,5))</f>
        <v/>
      </c>
      <c r="G214" s="11">
        <f>IF($Z214=0,"",INDEX('DEF_CALL_DECISION_SUPPORT'!$A$1:$U$1496,$Z214,6))</f>
        <v/>
      </c>
      <c r="H214" s="11">
        <f>IF($Z214=0,"",INDEX('DEF_CALL_DECISION_SUPPORT'!$A$1:$U$1496,$Z214,10))</f>
        <v/>
      </c>
      <c r="I214" s="14">
        <f>IF($Z214=0,"",INDEX('DEF_CALL_DECISION_SUPPORT'!$A$1:$U$1496,$Z214,9))</f>
        <v/>
      </c>
      <c r="J214" s="14" t="str">
        <f>IF(Z214=0,"Film Review Required",IF(D214&lt;4,"Sample Watch • ","")&amp;"D&amp;D + Concept Match")</f>
        <v>Film Review Required</v>
      </c>
      <c r="K214" s="9" t="str">
        <f>IF($Z214=0,"No matching defensive reps; film confirmation needed.",INDEX('DEF_CALL_DECISION_SUPPORT'!$A$1:$U$1496,$Z214,12))</f>
        <v>No matching defensive reps; film confirmation needed.</v>
      </c>
      <c r="L214" s="14">
        <f>IF($Z214=0,"",INDEX('DEF_CALL_DECISION_SUPPORT'!$A$1:$U$1496,$Z214,11))</f>
        <v/>
      </c>
      <c r="Y214" s="2" t="s">
        <v>2553</v>
      </c>
      <c r="Z214" s="2">
        <f>IFERROR(MATCH(LEN($A214)&amp;":"&amp;$A214&amp;"|"&amp;LEN($B214)&amp;":"&amp;$B214&amp;"|",'DEF_CALL_DECISION_SUPPORT'!$U$811:$U$1055,0)+811-1,0)</f>
        <v>0</v>
      </c>
    </row>
    <row r="215" spans="1:26" ht="50" customHeight="1">
      <c r="A215" s="8" t="s">
        <v>85</v>
      </c>
      <c r="B215" s="8" t="s">
        <v>480</v>
      </c>
      <c r="C215" s="8" t="str">
        <f>IF($Z215=0,"Film Review Required",INDEX('DEF_CALL_DECISION_SUPPORT'!$A$1:$U$1496,$Z215,2))</f>
        <v>SHINE</v>
      </c>
      <c r="D215" s="12">
        <f>IF($Z215=0,"",INDEX('DEF_CALL_DECISION_SUPPORT'!$A$1:$U$1496,$Z215,3))</f>
        <v>1</v>
      </c>
      <c r="E215" s="10">
        <f>IF($Z215=0,"",INDEX('DEF_CALL_DECISION_SUPPORT'!$A$1:$U$1496,$Z215,4))</f>
        <v>1.0</v>
      </c>
      <c r="F215" s="10">
        <f>IF($Z215=0,"",INDEX('DEF_CALL_DECISION_SUPPORT'!$A$1:$U$1496,$Z215,5))</f>
        <v>0.0</v>
      </c>
      <c r="G215" s="11">
        <f>IF($Z215=0,"",INDEX('DEF_CALL_DECISION_SUPPORT'!$A$1:$U$1496,$Z215,6))</f>
        <v>3.0</v>
      </c>
      <c r="H215" s="11">
        <f>IF($Z215=0,"",INDEX('DEF_CALL_DECISION_SUPPORT'!$A$1:$U$1496,$Z215,10))</f>
        <v>97.0</v>
      </c>
      <c r="I215" s="14" t="str">
        <f>IF($Z215=0,"",INDEX('DEF_CALL_DECISION_SUPPORT'!$A$1:$U$1496,$Z215,9))</f>
        <v>TRACK</v>
      </c>
      <c r="J215" s="14" t="str">
        <f>IF(Z215=0,"Film Review Required",IF(D215&lt;4,"Sample Watch • ","")&amp;"D&amp;D + Concept Match")</f>
        <v>Sample Watch • D&amp;D + Concept Match</v>
      </c>
      <c r="K215" s="9" t="str">
        <f>IF($Z215=0,"No matching defensive reps; film confirmation needed.",INDEX('DEF_CALL_DECISION_SUPPORT'!$A$1:$U$1496,$Z215,12))</f>
        <v>Track only; not enough sample.</v>
      </c>
      <c r="L215" s="14" t="str">
        <f>IF($Z215=0,"",INDEX('DEF_CALL_DECISION_SUPPORT'!$A$1:$U$1496,$Z215,11))</f>
        <v>Track Only</v>
      </c>
      <c r="Y215" s="2" t="s">
        <v>546</v>
      </c>
      <c r="Z215" s="2">
        <f>IFERROR(MATCH(LEN($A215)&amp;":"&amp;$A215&amp;"|"&amp;LEN($B215)&amp;":"&amp;$B215&amp;"|",'DEF_CALL_DECISION_SUPPORT'!$U$811:$U$1055,0)+811-1,0)</f>
        <v>963</v>
      </c>
    </row>
    <row r="216" spans="1:26" ht="50" customHeight="1">
      <c r="A216" s="8" t="s">
        <v>85</v>
      </c>
      <c r="B216" s="8" t="s">
        <v>957</v>
      </c>
      <c r="C216" s="8" t="str">
        <f>IF($Z216=0,"Film Review Required",INDEX('DEF_CALL_DECISION_SUPPORT'!$A$1:$U$1496,$Z216,2))</f>
        <v>Film Review Required</v>
      </c>
      <c r="D216" s="12">
        <f>IF($Z216=0,"",INDEX('DEF_CALL_DECISION_SUPPORT'!$A$1:$U$1496,$Z216,3))</f>
        <v/>
      </c>
      <c r="E216" s="10">
        <f>IF($Z216=0,"",INDEX('DEF_CALL_DECISION_SUPPORT'!$A$1:$U$1496,$Z216,4))</f>
        <v/>
      </c>
      <c r="F216" s="10">
        <f>IF($Z216=0,"",INDEX('DEF_CALL_DECISION_SUPPORT'!$A$1:$U$1496,$Z216,5))</f>
        <v/>
      </c>
      <c r="G216" s="11">
        <f>IF($Z216=0,"",INDEX('DEF_CALL_DECISION_SUPPORT'!$A$1:$U$1496,$Z216,6))</f>
        <v/>
      </c>
      <c r="H216" s="11">
        <f>IF($Z216=0,"",INDEX('DEF_CALL_DECISION_SUPPORT'!$A$1:$U$1496,$Z216,10))</f>
        <v/>
      </c>
      <c r="I216" s="14">
        <f>IF($Z216=0,"",INDEX('DEF_CALL_DECISION_SUPPORT'!$A$1:$U$1496,$Z216,9))</f>
        <v/>
      </c>
      <c r="J216" s="14" t="str">
        <f>IF(Z216=0,"Film Review Required",IF(D216&lt;4,"Sample Watch • ","")&amp;"D&amp;D + Concept Match")</f>
        <v>Film Review Required</v>
      </c>
      <c r="K216" s="9" t="str">
        <f>IF($Z216=0,"No matching defensive reps; film confirmation needed.",INDEX('DEF_CALL_DECISION_SUPPORT'!$A$1:$U$1496,$Z216,12))</f>
        <v>No matching defensive reps; film confirmation needed.</v>
      </c>
      <c r="L216" s="14">
        <f>IF($Z216=0,"",INDEX('DEF_CALL_DECISION_SUPPORT'!$A$1:$U$1496,$Z216,11))</f>
        <v/>
      </c>
      <c r="Y216" s="2" t="s">
        <v>2554</v>
      </c>
      <c r="Z216" s="2">
        <f>IFERROR(MATCH(LEN($A216)&amp;":"&amp;$A216&amp;"|"&amp;LEN($B216)&amp;":"&amp;$B216&amp;"|",'DEF_CALL_DECISION_SUPPORT'!$U$811:$U$1055,0)+811-1,0)</f>
        <v>0</v>
      </c>
    </row>
    <row r="217" spans="1:26" ht="50" customHeight="1">
      <c r="A217" s="8" t="s">
        <v>92</v>
      </c>
      <c r="B217" s="8" t="s">
        <v>446</v>
      </c>
      <c r="C217" s="8" t="str">
        <f>IF($Z217=0,"Film Review Required",INDEX('DEF_CALL_DECISION_SUPPORT'!$A$1:$U$1496,$Z217,2))</f>
        <v>Film Review Required</v>
      </c>
      <c r="D217" s="12">
        <f>IF($Z217=0,"",INDEX('DEF_CALL_DECISION_SUPPORT'!$A$1:$U$1496,$Z217,3))</f>
        <v/>
      </c>
      <c r="E217" s="10">
        <f>IF($Z217=0,"",INDEX('DEF_CALL_DECISION_SUPPORT'!$A$1:$U$1496,$Z217,4))</f>
        <v/>
      </c>
      <c r="F217" s="10">
        <f>IF($Z217=0,"",INDEX('DEF_CALL_DECISION_SUPPORT'!$A$1:$U$1496,$Z217,5))</f>
        <v/>
      </c>
      <c r="G217" s="11">
        <f>IF($Z217=0,"",INDEX('DEF_CALL_DECISION_SUPPORT'!$A$1:$U$1496,$Z217,6))</f>
        <v/>
      </c>
      <c r="H217" s="11">
        <f>IF($Z217=0,"",INDEX('DEF_CALL_DECISION_SUPPORT'!$A$1:$U$1496,$Z217,10))</f>
        <v/>
      </c>
      <c r="I217" s="14">
        <f>IF($Z217=0,"",INDEX('DEF_CALL_DECISION_SUPPORT'!$A$1:$U$1496,$Z217,9))</f>
        <v/>
      </c>
      <c r="J217" s="14" t="str">
        <f>IF(Z217=0,"Film Review Required",IF(D217&lt;4,"Sample Watch • ","")&amp;"D&amp;D + Concept Match")</f>
        <v>Film Review Required</v>
      </c>
      <c r="K217" s="9" t="str">
        <f>IF($Z217=0,"No matching defensive reps; film confirmation needed.",INDEX('DEF_CALL_DECISION_SUPPORT'!$A$1:$U$1496,$Z217,12))</f>
        <v>No matching defensive reps; film confirmation needed.</v>
      </c>
      <c r="L217" s="14">
        <f>IF($Z217=0,"",INDEX('DEF_CALL_DECISION_SUPPORT'!$A$1:$U$1496,$Z217,11))</f>
        <v/>
      </c>
      <c r="Y217" s="2" t="s">
        <v>2555</v>
      </c>
      <c r="Z217" s="2">
        <f>IFERROR(MATCH(LEN($A217)&amp;":"&amp;$A217&amp;"|"&amp;LEN($B217)&amp;":"&amp;$B217&amp;"|",'DEF_CALL_DECISION_SUPPORT'!$U$811:$U$1055,0)+811-1,0)</f>
        <v>0</v>
      </c>
    </row>
    <row r="218" spans="1:26" ht="50" customHeight="1">
      <c r="A218" s="8" t="s">
        <v>92</v>
      </c>
      <c r="B218" s="8" t="s">
        <v>449</v>
      </c>
      <c r="C218" s="8" t="str">
        <f>IF($Z218=0,"Film Review Required",INDEX('DEF_CALL_DECISION_SUPPORT'!$A$1:$U$1496,$Z218,2))</f>
        <v>$ BANJO POP POP</v>
      </c>
      <c r="D218" s="12">
        <f>IF($Z218=0,"",INDEX('DEF_CALL_DECISION_SUPPORT'!$A$1:$U$1496,$Z218,3))</f>
        <v>1</v>
      </c>
      <c r="E218" s="10">
        <f>IF($Z218=0,"",INDEX('DEF_CALL_DECISION_SUPPORT'!$A$1:$U$1496,$Z218,4))</f>
        <v>1.0</v>
      </c>
      <c r="F218" s="10">
        <f>IF($Z218=0,"",INDEX('DEF_CALL_DECISION_SUPPORT'!$A$1:$U$1496,$Z218,5))</f>
        <v>0.0</v>
      </c>
      <c r="G218" s="11">
        <f>IF($Z218=0,"",INDEX('DEF_CALL_DECISION_SUPPORT'!$A$1:$U$1496,$Z218,6))</f>
        <v>0.0</v>
      </c>
      <c r="H218" s="11">
        <f>IF($Z218=0,"",INDEX('DEF_CALL_DECISION_SUPPORT'!$A$1:$U$1496,$Z218,10))</f>
        <v>100.0</v>
      </c>
      <c r="I218" s="14" t="str">
        <f>IF($Z218=0,"",INDEX('DEF_CALL_DECISION_SUPPORT'!$A$1:$U$1496,$Z218,9))</f>
        <v>TRACK</v>
      </c>
      <c r="J218" s="14" t="str">
        <f>IF(Z218=0,"Film Review Required",IF(D218&lt;4,"Sample Watch • ","")&amp;"D&amp;D + Concept Match")</f>
        <v>Sample Watch • D&amp;D + Concept Match</v>
      </c>
      <c r="K218" s="9" t="str">
        <f>IF($Z218=0,"No matching defensive reps; film confirmation needed.",INDEX('DEF_CALL_DECISION_SUPPORT'!$A$1:$U$1496,$Z218,12))</f>
        <v>Track only; not enough sample.</v>
      </c>
      <c r="L218" s="14" t="str">
        <f>IF($Z218=0,"",INDEX('DEF_CALL_DECISION_SUPPORT'!$A$1:$U$1496,$Z218,11))</f>
        <v>Track Only</v>
      </c>
      <c r="Y218" s="2" t="s">
        <v>548</v>
      </c>
      <c r="Z218" s="2">
        <f>IFERROR(MATCH(LEN($A218)&amp;":"&amp;$A218&amp;"|"&amp;LEN($B218)&amp;":"&amp;$B218&amp;"|",'DEF_CALL_DECISION_SUPPORT'!$U$811:$U$1055,0)+811-1,0)</f>
        <v>964</v>
      </c>
    </row>
    <row r="219" spans="1:26" ht="50" customHeight="1">
      <c r="A219" s="8" t="s">
        <v>92</v>
      </c>
      <c r="B219" s="8" t="s">
        <v>432</v>
      </c>
      <c r="C219" s="8" t="str">
        <f>IF($Z219=0,"Film Review Required",INDEX('DEF_CALL_DECISION_SUPPORT'!$A$1:$U$1496,$Z219,2))</f>
        <v>BOOGIE</v>
      </c>
      <c r="D219" s="12">
        <f>IF($Z219=0,"",INDEX('DEF_CALL_DECISION_SUPPORT'!$A$1:$U$1496,$Z219,3))</f>
        <v>1</v>
      </c>
      <c r="E219" s="10">
        <f>IF($Z219=0,"",INDEX('DEF_CALL_DECISION_SUPPORT'!$A$1:$U$1496,$Z219,4))</f>
        <v>0.0</v>
      </c>
      <c r="F219" s="10">
        <f>IF($Z219=0,"",INDEX('DEF_CALL_DECISION_SUPPORT'!$A$1:$U$1496,$Z219,5))</f>
        <v>0.0</v>
      </c>
      <c r="G219" s="11">
        <f>IF($Z219=0,"",INDEX('DEF_CALL_DECISION_SUPPORT'!$A$1:$U$1496,$Z219,6))</f>
        <v>8.0</v>
      </c>
      <c r="H219" s="11">
        <f>IF($Z219=0,"",INDEX('DEF_CALL_DECISION_SUPPORT'!$A$1:$U$1496,$Z219,10))</f>
        <v>22.0</v>
      </c>
      <c r="I219" s="14" t="str">
        <f>IF($Z219=0,"",INDEX('DEF_CALL_DECISION_SUPPORT'!$A$1:$U$1496,$Z219,9))</f>
        <v>TRACK</v>
      </c>
      <c r="J219" s="14" t="str">
        <f>IF(Z219=0,"Film Review Required",IF(D219&lt;4,"Sample Watch • ","")&amp;"D&amp;D + Concept Match")</f>
        <v>Sample Watch • D&amp;D + Concept Match</v>
      </c>
      <c r="K219" s="9" t="str">
        <f>IF($Z219=0,"No matching defensive reps; film confirmation needed.",INDEX('DEF_CALL_DECISION_SUPPORT'!$A$1:$U$1496,$Z219,12))</f>
        <v>Track only; not enough sample.</v>
      </c>
      <c r="L219" s="14" t="str">
        <f>IF($Z219=0,"",INDEX('DEF_CALL_DECISION_SUPPORT'!$A$1:$U$1496,$Z219,11))</f>
        <v>Track Only</v>
      </c>
      <c r="Y219" s="2" t="s">
        <v>550</v>
      </c>
      <c r="Z219" s="2">
        <f>IFERROR(MATCH(LEN($A219)&amp;":"&amp;$A219&amp;"|"&amp;LEN($B219)&amp;":"&amp;$B219&amp;"|",'DEF_CALL_DECISION_SUPPORT'!$U$811:$U$1055,0)+811-1,0)</f>
        <v>965</v>
      </c>
    </row>
    <row r="220" spans="1:26" ht="50" customHeight="1">
      <c r="A220" s="8" t="s">
        <v>92</v>
      </c>
      <c r="B220" s="8" t="s">
        <v>878</v>
      </c>
      <c r="C220" s="8" t="str">
        <f>IF($Z220=0,"Film Review Required",INDEX('DEF_CALL_DECISION_SUPPORT'!$A$1:$U$1496,$Z220,2))</f>
        <v>Film Review Required</v>
      </c>
      <c r="D220" s="12">
        <f>IF($Z220=0,"",INDEX('DEF_CALL_DECISION_SUPPORT'!$A$1:$U$1496,$Z220,3))</f>
        <v/>
      </c>
      <c r="E220" s="10">
        <f>IF($Z220=0,"",INDEX('DEF_CALL_DECISION_SUPPORT'!$A$1:$U$1496,$Z220,4))</f>
        <v/>
      </c>
      <c r="F220" s="10">
        <f>IF($Z220=0,"",INDEX('DEF_CALL_DECISION_SUPPORT'!$A$1:$U$1496,$Z220,5))</f>
        <v/>
      </c>
      <c r="G220" s="11">
        <f>IF($Z220=0,"",INDEX('DEF_CALL_DECISION_SUPPORT'!$A$1:$U$1496,$Z220,6))</f>
        <v/>
      </c>
      <c r="H220" s="11">
        <f>IF($Z220=0,"",INDEX('DEF_CALL_DECISION_SUPPORT'!$A$1:$U$1496,$Z220,10))</f>
        <v/>
      </c>
      <c r="I220" s="14">
        <f>IF($Z220=0,"",INDEX('DEF_CALL_DECISION_SUPPORT'!$A$1:$U$1496,$Z220,9))</f>
        <v/>
      </c>
      <c r="J220" s="14" t="str">
        <f>IF(Z220=0,"Film Review Required",IF(D220&lt;4,"Sample Watch • ","")&amp;"D&amp;D + Concept Match")</f>
        <v>Film Review Required</v>
      </c>
      <c r="K220" s="9" t="str">
        <f>IF($Z220=0,"No matching defensive reps; film confirmation needed.",INDEX('DEF_CALL_DECISION_SUPPORT'!$A$1:$U$1496,$Z220,12))</f>
        <v>No matching defensive reps; film confirmation needed.</v>
      </c>
      <c r="L220" s="14">
        <f>IF($Z220=0,"",INDEX('DEF_CALL_DECISION_SUPPORT'!$A$1:$U$1496,$Z220,11))</f>
        <v/>
      </c>
      <c r="Y220" s="2" t="s">
        <v>2556</v>
      </c>
      <c r="Z220" s="2">
        <f>IFERROR(MATCH(LEN($A220)&amp;":"&amp;$A220&amp;"|"&amp;LEN($B220)&amp;":"&amp;$B220&amp;"|",'DEF_CALL_DECISION_SUPPORT'!$U$811:$U$1055,0)+811-1,0)</f>
        <v>0</v>
      </c>
    </row>
    <row r="221" spans="1:26" ht="50" customHeight="1">
      <c r="A221" s="8" t="s">
        <v>92</v>
      </c>
      <c r="B221" s="8" t="s">
        <v>428</v>
      </c>
      <c r="C221" s="8" t="str">
        <f>IF($Z221=0,"Film Review Required",INDEX('DEF_CALL_DECISION_SUPPORT'!$A$1:$U$1496,$Z221,2))</f>
        <v>STUD</v>
      </c>
      <c r="D221" s="12">
        <f>IF($Z221=0,"",INDEX('DEF_CALL_DECISION_SUPPORT'!$A$1:$U$1496,$Z221,3))</f>
        <v>1</v>
      </c>
      <c r="E221" s="10">
        <f>IF($Z221=0,"",INDEX('DEF_CALL_DECISION_SUPPORT'!$A$1:$U$1496,$Z221,4))</f>
        <v>0.0</v>
      </c>
      <c r="F221" s="10">
        <f>IF($Z221=0,"",INDEX('DEF_CALL_DECISION_SUPPORT'!$A$1:$U$1496,$Z221,5))</f>
        <v>0.0</v>
      </c>
      <c r="G221" s="11">
        <f>IF($Z221=0,"",INDEX('DEF_CALL_DECISION_SUPPORT'!$A$1:$U$1496,$Z221,6))</f>
        <v>1.0</v>
      </c>
      <c r="H221" s="11">
        <f>IF($Z221=0,"",INDEX('DEF_CALL_DECISION_SUPPORT'!$A$1:$U$1496,$Z221,10))</f>
        <v>29.0</v>
      </c>
      <c r="I221" s="14" t="str">
        <f>IF($Z221=0,"",INDEX('DEF_CALL_DECISION_SUPPORT'!$A$1:$U$1496,$Z221,9))</f>
        <v>TRACK</v>
      </c>
      <c r="J221" s="14" t="str">
        <f>IF(Z221=0,"Film Review Required",IF(D221&lt;4,"Sample Watch • ","")&amp;"D&amp;D + Concept Match")</f>
        <v>Sample Watch • D&amp;D + Concept Match</v>
      </c>
      <c r="K221" s="9" t="str">
        <f>IF($Z221=0,"No matching defensive reps; film confirmation needed.",INDEX('DEF_CALL_DECISION_SUPPORT'!$A$1:$U$1496,$Z221,12))</f>
        <v>Track only; not enough sample.</v>
      </c>
      <c r="L221" s="14" t="str">
        <f>IF($Z221=0,"",INDEX('DEF_CALL_DECISION_SUPPORT'!$A$1:$U$1496,$Z221,11))</f>
        <v>Track Only</v>
      </c>
      <c r="Y221" s="2" t="s">
        <v>552</v>
      </c>
      <c r="Z221" s="2">
        <f>IFERROR(MATCH(LEN($A221)&amp;":"&amp;$A221&amp;"|"&amp;LEN($B221)&amp;":"&amp;$B221&amp;"|",'DEF_CALL_DECISION_SUPPORT'!$U$811:$U$1055,0)+811-1,0)</f>
        <v>969</v>
      </c>
    </row>
    <row r="222" spans="1:26" ht="50" customHeight="1">
      <c r="A222" s="8" t="s">
        <v>92</v>
      </c>
      <c r="B222" s="8" t="s">
        <v>465</v>
      </c>
      <c r="C222" s="8" t="str">
        <f>IF($Z222=0,"Film Review Required",INDEX('DEF_CALL_DECISION_SUPPORT'!$A$1:$U$1496,$Z222,2))</f>
        <v>Film Review Required</v>
      </c>
      <c r="D222" s="12">
        <f>IF($Z222=0,"",INDEX('DEF_CALL_DECISION_SUPPORT'!$A$1:$U$1496,$Z222,3))</f>
        <v/>
      </c>
      <c r="E222" s="10">
        <f>IF($Z222=0,"",INDEX('DEF_CALL_DECISION_SUPPORT'!$A$1:$U$1496,$Z222,4))</f>
        <v/>
      </c>
      <c r="F222" s="10">
        <f>IF($Z222=0,"",INDEX('DEF_CALL_DECISION_SUPPORT'!$A$1:$U$1496,$Z222,5))</f>
        <v/>
      </c>
      <c r="G222" s="11">
        <f>IF($Z222=0,"",INDEX('DEF_CALL_DECISION_SUPPORT'!$A$1:$U$1496,$Z222,6))</f>
        <v/>
      </c>
      <c r="H222" s="11">
        <f>IF($Z222=0,"",INDEX('DEF_CALL_DECISION_SUPPORT'!$A$1:$U$1496,$Z222,10))</f>
        <v/>
      </c>
      <c r="I222" s="14">
        <f>IF($Z222=0,"",INDEX('DEF_CALL_DECISION_SUPPORT'!$A$1:$U$1496,$Z222,9))</f>
        <v/>
      </c>
      <c r="J222" s="14" t="str">
        <f>IF(Z222=0,"Film Review Required",IF(D222&lt;4,"Sample Watch • ","")&amp;"D&amp;D + Concept Match")</f>
        <v>Film Review Required</v>
      </c>
      <c r="K222" s="9" t="str">
        <f>IF($Z222=0,"No matching defensive reps; film confirmation needed.",INDEX('DEF_CALL_DECISION_SUPPORT'!$A$1:$U$1496,$Z222,12))</f>
        <v>No matching defensive reps; film confirmation needed.</v>
      </c>
      <c r="L222" s="14">
        <f>IF($Z222=0,"",INDEX('DEF_CALL_DECISION_SUPPORT'!$A$1:$U$1496,$Z222,11))</f>
        <v/>
      </c>
      <c r="Y222" s="2" t="s">
        <v>2557</v>
      </c>
      <c r="Z222" s="2">
        <f>IFERROR(MATCH(LEN($A222)&amp;":"&amp;$A222&amp;"|"&amp;LEN($B222)&amp;":"&amp;$B222&amp;"|",'DEF_CALL_DECISION_SUPPORT'!$U$811:$U$1055,0)+811-1,0)</f>
        <v>0</v>
      </c>
    </row>
    <row r="223" spans="1:26" ht="50" customHeight="1">
      <c r="A223" s="8" t="s">
        <v>92</v>
      </c>
      <c r="B223" s="8" t="s">
        <v>474</v>
      </c>
      <c r="C223" s="8" t="str">
        <f>IF($Z223=0,"Film Review Required",INDEX('DEF_CALL_DECISION_SUPPORT'!$A$1:$U$1496,$Z223,2))</f>
        <v>Film Review Required</v>
      </c>
      <c r="D223" s="12">
        <f>IF($Z223=0,"",INDEX('DEF_CALL_DECISION_SUPPORT'!$A$1:$U$1496,$Z223,3))</f>
        <v/>
      </c>
      <c r="E223" s="10">
        <f>IF($Z223=0,"",INDEX('DEF_CALL_DECISION_SUPPORT'!$A$1:$U$1496,$Z223,4))</f>
        <v/>
      </c>
      <c r="F223" s="10">
        <f>IF($Z223=0,"",INDEX('DEF_CALL_DECISION_SUPPORT'!$A$1:$U$1496,$Z223,5))</f>
        <v/>
      </c>
      <c r="G223" s="11">
        <f>IF($Z223=0,"",INDEX('DEF_CALL_DECISION_SUPPORT'!$A$1:$U$1496,$Z223,6))</f>
        <v/>
      </c>
      <c r="H223" s="11">
        <f>IF($Z223=0,"",INDEX('DEF_CALL_DECISION_SUPPORT'!$A$1:$U$1496,$Z223,10))</f>
        <v/>
      </c>
      <c r="I223" s="14">
        <f>IF($Z223=0,"",INDEX('DEF_CALL_DECISION_SUPPORT'!$A$1:$U$1496,$Z223,9))</f>
        <v/>
      </c>
      <c r="J223" s="14" t="str">
        <f>IF(Z223=0,"Film Review Required",IF(D223&lt;4,"Sample Watch • ","")&amp;"D&amp;D + Concept Match")</f>
        <v>Film Review Required</v>
      </c>
      <c r="K223" s="9" t="str">
        <f>IF($Z223=0,"No matching defensive reps; film confirmation needed.",INDEX('DEF_CALL_DECISION_SUPPORT'!$A$1:$U$1496,$Z223,12))</f>
        <v>No matching defensive reps; film confirmation needed.</v>
      </c>
      <c r="L223" s="14">
        <f>IF($Z223=0,"",INDEX('DEF_CALL_DECISION_SUPPORT'!$A$1:$U$1496,$Z223,11))</f>
        <v/>
      </c>
      <c r="Y223" s="2" t="s">
        <v>2558</v>
      </c>
      <c r="Z223" s="2">
        <f>IFERROR(MATCH(LEN($A223)&amp;":"&amp;$A223&amp;"|"&amp;LEN($B223)&amp;":"&amp;$B223&amp;"|",'DEF_CALL_DECISION_SUPPORT'!$U$811:$U$1055,0)+811-1,0)</f>
        <v>0</v>
      </c>
    </row>
    <row r="224" spans="1:26" ht="50" customHeight="1">
      <c r="A224" s="8" t="s">
        <v>92</v>
      </c>
      <c r="B224" s="8" t="s">
        <v>477</v>
      </c>
      <c r="C224" s="8" t="str">
        <f>IF($Z224=0,"Film Review Required",INDEX('DEF_CALL_DECISION_SUPPORT'!$A$1:$U$1496,$Z224,2))</f>
        <v>9 STUD</v>
      </c>
      <c r="D224" s="12">
        <f>IF($Z224=0,"",INDEX('DEF_CALL_DECISION_SUPPORT'!$A$1:$U$1496,$Z224,3))</f>
        <v>1</v>
      </c>
      <c r="E224" s="10">
        <f>IF($Z224=0,"",INDEX('DEF_CALL_DECISION_SUPPORT'!$A$1:$U$1496,$Z224,4))</f>
        <v>0.0</v>
      </c>
      <c r="F224" s="10">
        <f>IF($Z224=0,"",INDEX('DEF_CALL_DECISION_SUPPORT'!$A$1:$U$1496,$Z224,5))</f>
        <v>0.0</v>
      </c>
      <c r="G224" s="11">
        <f>IF($Z224=0,"",INDEX('DEF_CALL_DECISION_SUPPORT'!$A$1:$U$1496,$Z224,6))</f>
        <v>1.0</v>
      </c>
      <c r="H224" s="11">
        <f>IF($Z224=0,"",INDEX('DEF_CALL_DECISION_SUPPORT'!$A$1:$U$1496,$Z224,10))</f>
        <v>29.0</v>
      </c>
      <c r="I224" s="14" t="str">
        <f>IF($Z224=0,"",INDEX('DEF_CALL_DECISION_SUPPORT'!$A$1:$U$1496,$Z224,9))</f>
        <v>TRACK</v>
      </c>
      <c r="J224" s="14" t="str">
        <f>IF(Z224=0,"Film Review Required",IF(D224&lt;4,"Sample Watch • ","")&amp;"D&amp;D + Concept Match")</f>
        <v>Sample Watch • D&amp;D + Concept Match</v>
      </c>
      <c r="K224" s="9" t="str">
        <f>IF($Z224=0,"No matching defensive reps; film confirmation needed.",INDEX('DEF_CALL_DECISION_SUPPORT'!$A$1:$U$1496,$Z224,12))</f>
        <v>Track only; not enough sample.</v>
      </c>
      <c r="L224" s="14" t="str">
        <f>IF($Z224=0,"",INDEX('DEF_CALL_DECISION_SUPPORT'!$A$1:$U$1496,$Z224,11))</f>
        <v>Track Only</v>
      </c>
      <c r="Y224" s="2" t="s">
        <v>554</v>
      </c>
      <c r="Z224" s="2">
        <f>IFERROR(MATCH(LEN($A224)&amp;":"&amp;$A224&amp;"|"&amp;LEN($B224)&amp;":"&amp;$B224&amp;"|",'DEF_CALL_DECISION_SUPPORT'!$U$811:$U$1055,0)+811-1,0)</f>
        <v>970</v>
      </c>
    </row>
    <row r="225" spans="1:26" ht="50" customHeight="1">
      <c r="A225" s="8" t="s">
        <v>96</v>
      </c>
      <c r="B225" s="8" t="s">
        <v>446</v>
      </c>
      <c r="C225" s="8" t="str">
        <f>IF($Z225=0,"Film Review Required",INDEX('DEF_CALL_DECISION_SUPPORT'!$A$1:$U$1496,$Z225,2))</f>
        <v>SMOKE BUC</v>
      </c>
      <c r="D225" s="12">
        <f>IF($Z225=0,"",INDEX('DEF_CALL_DECISION_SUPPORT'!$A$1:$U$1496,$Z225,3))</f>
        <v>1</v>
      </c>
      <c r="E225" s="10">
        <f>IF($Z225=0,"",INDEX('DEF_CALL_DECISION_SUPPORT'!$A$1:$U$1496,$Z225,4))</f>
        <v>1.0</v>
      </c>
      <c r="F225" s="10">
        <f>IF($Z225=0,"",INDEX('DEF_CALL_DECISION_SUPPORT'!$A$1:$U$1496,$Z225,5))</f>
        <v>0.0</v>
      </c>
      <c r="G225" s="11">
        <f>IF($Z225=0,"",INDEX('DEF_CALL_DECISION_SUPPORT'!$A$1:$U$1496,$Z225,6))</f>
        <v>5.0</v>
      </c>
      <c r="H225" s="11">
        <f>IF($Z225=0,"",INDEX('DEF_CALL_DECISION_SUPPORT'!$A$1:$U$1496,$Z225,10))</f>
        <v>95.0</v>
      </c>
      <c r="I225" s="14" t="str">
        <f>IF($Z225=0,"",INDEX('DEF_CALL_DECISION_SUPPORT'!$A$1:$U$1496,$Z225,9))</f>
        <v>TRACK</v>
      </c>
      <c r="J225" s="14" t="str">
        <f>IF(Z225=0,"Film Review Required",IF(D225&lt;4,"Sample Watch • ","")&amp;"D&amp;D + Concept Match")</f>
        <v>Sample Watch • D&amp;D + Concept Match</v>
      </c>
      <c r="K225" s="9" t="str">
        <f>IF($Z225=0,"No matching defensive reps; film confirmation needed.",INDEX('DEF_CALL_DECISION_SUPPORT'!$A$1:$U$1496,$Z225,12))</f>
        <v>Track only; not enough sample.</v>
      </c>
      <c r="L225" s="14" t="str">
        <f>IF($Z225=0,"",INDEX('DEF_CALL_DECISION_SUPPORT'!$A$1:$U$1496,$Z225,11))</f>
        <v>Track Only</v>
      </c>
      <c r="Y225" s="2" t="s">
        <v>556</v>
      </c>
      <c r="Z225" s="2">
        <f>IFERROR(MATCH(LEN($A225)&amp;":"&amp;$A225&amp;"|"&amp;LEN($B225)&amp;":"&amp;$B225&amp;"|",'DEF_CALL_DECISION_SUPPORT'!$U$811:$U$1055,0)+811-1,0)</f>
        <v>972</v>
      </c>
    </row>
    <row r="226" spans="1:26" ht="50" customHeight="1">
      <c r="A226" s="8" t="s">
        <v>96</v>
      </c>
      <c r="B226" s="8" t="s">
        <v>449</v>
      </c>
      <c r="C226" s="8" t="str">
        <f>IF($Z226=0,"Film Review Required",INDEX('DEF_CALL_DECISION_SUPPORT'!$A$1:$U$1496,$Z226,2))</f>
        <v>SMOKE BUC</v>
      </c>
      <c r="D226" s="12">
        <f>IF($Z226=0,"",INDEX('DEF_CALL_DECISION_SUPPORT'!$A$1:$U$1496,$Z226,3))</f>
        <v>4</v>
      </c>
      <c r="E226" s="10">
        <f>IF($Z226=0,"",INDEX('DEF_CALL_DECISION_SUPPORT'!$A$1:$U$1496,$Z226,4))</f>
        <v>0.5</v>
      </c>
      <c r="F226" s="10">
        <f>IF($Z226=0,"",INDEX('DEF_CALL_DECISION_SUPPORT'!$A$1:$U$1496,$Z226,5))</f>
        <v>0.25</v>
      </c>
      <c r="G226" s="11">
        <f>IF($Z226=0,"",INDEX('DEF_CALL_DECISION_SUPPORT'!$A$1:$U$1496,$Z226,6))</f>
        <v>16.0</v>
      </c>
      <c r="H226" s="11">
        <f>IF($Z226=0,"",INDEX('DEF_CALL_DECISION_SUPPORT'!$A$1:$U$1496,$Z226,10))</f>
        <v>50.0</v>
      </c>
      <c r="I226" s="14" t="str">
        <f>IF($Z226=0,"",INDEX('DEF_CALL_DECISION_SUPPORT'!$A$1:$U$1496,$Z226,9))</f>
        <v>MEDIUM</v>
      </c>
      <c r="J226" s="14" t="str">
        <f>IF(Z226=0,"Film Review Required",IF(D226&lt;4,"Sample Watch • ","")&amp;"D&amp;D + Concept Match")</f>
        <v>D&amp;D + Concept Match</v>
      </c>
      <c r="K226" s="9" t="str">
        <f>IF($Z226=0,"No matching defensive reps; film confirmation needed.",INDEX('DEF_CALL_DECISION_SUPPORT'!$A$1:$U$1496,$Z226,12))</f>
        <v>Explosive risk; review clips before using as answer.</v>
      </c>
      <c r="L226" s="14" t="str">
        <f>IF($Z226=0,"",INDEX('DEF_CALL_DECISION_SUPPORT'!$A$1:$U$1496,$Z226,11))</f>
        <v>Explosive Alert</v>
      </c>
      <c r="Y226" s="2" t="s">
        <v>558</v>
      </c>
      <c r="Z226" s="2">
        <f>IFERROR(MATCH(LEN($A226)&amp;":"&amp;$A226&amp;"|"&amp;LEN($B226)&amp;":"&amp;$B226&amp;"|",'DEF_CALL_DECISION_SUPPORT'!$U$811:$U$1055,0)+811-1,0)</f>
        <v>975</v>
      </c>
    </row>
    <row r="227" spans="1:26" ht="50" customHeight="1">
      <c r="A227" s="8" t="s">
        <v>96</v>
      </c>
      <c r="B227" s="8" t="s">
        <v>561</v>
      </c>
      <c r="C227" s="8" t="str">
        <f>IF($Z227=0,"Film Review Required",INDEX('DEF_CALL_DECISION_SUPPORT'!$A$1:$U$1496,$Z227,2))</f>
        <v>SMOKE BUC</v>
      </c>
      <c r="D227" s="12">
        <f>IF($Z227=0,"",INDEX('DEF_CALL_DECISION_SUPPORT'!$A$1:$U$1496,$Z227,3))</f>
        <v>1</v>
      </c>
      <c r="E227" s="10">
        <f>IF($Z227=0,"",INDEX('DEF_CALL_DECISION_SUPPORT'!$A$1:$U$1496,$Z227,4))</f>
        <v>1.0</v>
      </c>
      <c r="F227" s="10">
        <f>IF($Z227=0,"",INDEX('DEF_CALL_DECISION_SUPPORT'!$A$1:$U$1496,$Z227,5))</f>
        <v>0.0</v>
      </c>
      <c r="G227" s="11">
        <f>IF($Z227=0,"",INDEX('DEF_CALL_DECISION_SUPPORT'!$A$1:$U$1496,$Z227,6))</f>
        <v>4.0</v>
      </c>
      <c r="H227" s="11">
        <f>IF($Z227=0,"",INDEX('DEF_CALL_DECISION_SUPPORT'!$A$1:$U$1496,$Z227,10))</f>
        <v>96.0</v>
      </c>
      <c r="I227" s="14" t="str">
        <f>IF($Z227=0,"",INDEX('DEF_CALL_DECISION_SUPPORT'!$A$1:$U$1496,$Z227,9))</f>
        <v>TRACK</v>
      </c>
      <c r="J227" s="14" t="str">
        <f>IF(Z227=0,"Film Review Required",IF(D227&lt;4,"Sample Watch • ","")&amp;"D&amp;D + Concept Match")</f>
        <v>Sample Watch • D&amp;D + Concept Match</v>
      </c>
      <c r="K227" s="9" t="str">
        <f>IF($Z227=0,"No matching defensive reps; film confirmation needed.",INDEX('DEF_CALL_DECISION_SUPPORT'!$A$1:$U$1496,$Z227,12))</f>
        <v>Track only; not enough sample.</v>
      </c>
      <c r="L227" s="14" t="str">
        <f>IF($Z227=0,"",INDEX('DEF_CALL_DECISION_SUPPORT'!$A$1:$U$1496,$Z227,11))</f>
        <v>Track Only</v>
      </c>
      <c r="Y227" s="2" t="s">
        <v>562</v>
      </c>
      <c r="Z227" s="2">
        <f>IFERROR(MATCH(LEN($A227)&amp;":"&amp;$A227&amp;"|"&amp;LEN($B227)&amp;":"&amp;$B227&amp;"|",'DEF_CALL_DECISION_SUPPORT'!$U$811:$U$1055,0)+811-1,0)</f>
        <v>977</v>
      </c>
    </row>
    <row r="228" spans="1:26" ht="50" customHeight="1">
      <c r="A228" s="8" t="s">
        <v>96</v>
      </c>
      <c r="B228" s="8" t="s">
        <v>428</v>
      </c>
      <c r="C228" s="8" t="str">
        <f>IF($Z228=0,"Film Review Required",INDEX('DEF_CALL_DECISION_SUPPORT'!$A$1:$U$1496,$Z228,2))</f>
        <v>Film Review Required</v>
      </c>
      <c r="D228" s="12">
        <f>IF($Z228=0,"",INDEX('DEF_CALL_DECISION_SUPPORT'!$A$1:$U$1496,$Z228,3))</f>
        <v/>
      </c>
      <c r="E228" s="10">
        <f>IF($Z228=0,"",INDEX('DEF_CALL_DECISION_SUPPORT'!$A$1:$U$1496,$Z228,4))</f>
        <v/>
      </c>
      <c r="F228" s="10">
        <f>IF($Z228=0,"",INDEX('DEF_CALL_DECISION_SUPPORT'!$A$1:$U$1496,$Z228,5))</f>
        <v/>
      </c>
      <c r="G228" s="11">
        <f>IF($Z228=0,"",INDEX('DEF_CALL_DECISION_SUPPORT'!$A$1:$U$1496,$Z228,6))</f>
        <v/>
      </c>
      <c r="H228" s="11">
        <f>IF($Z228=0,"",INDEX('DEF_CALL_DECISION_SUPPORT'!$A$1:$U$1496,$Z228,10))</f>
        <v/>
      </c>
      <c r="I228" s="14">
        <f>IF($Z228=0,"",INDEX('DEF_CALL_DECISION_SUPPORT'!$A$1:$U$1496,$Z228,9))</f>
        <v/>
      </c>
      <c r="J228" s="14" t="str">
        <f>IF(Z228=0,"Film Review Required",IF(D228&lt;4,"Sample Watch • ","")&amp;"D&amp;D + Concept Match")</f>
        <v>Film Review Required</v>
      </c>
      <c r="K228" s="9" t="str">
        <f>IF($Z228=0,"No matching defensive reps; film confirmation needed.",INDEX('DEF_CALL_DECISION_SUPPORT'!$A$1:$U$1496,$Z228,12))</f>
        <v>No matching defensive reps; film confirmation needed.</v>
      </c>
      <c r="L228" s="14">
        <f>IF($Z228=0,"",INDEX('DEF_CALL_DECISION_SUPPORT'!$A$1:$U$1496,$Z228,11))</f>
        <v/>
      </c>
      <c r="Y228" s="2" t="s">
        <v>2559</v>
      </c>
      <c r="Z228" s="2">
        <f>IFERROR(MATCH(LEN($A228)&amp;":"&amp;$A228&amp;"|"&amp;LEN($B228)&amp;":"&amp;$B228&amp;"|",'DEF_CALL_DECISION_SUPPORT'!$U$811:$U$1055,0)+811-1,0)</f>
        <v>0</v>
      </c>
    </row>
    <row r="229" spans="1:26" ht="50" customHeight="1">
      <c r="A229" s="8" t="s">
        <v>96</v>
      </c>
      <c r="B229" s="8" t="s">
        <v>465</v>
      </c>
      <c r="C229" s="8" t="str">
        <f>IF($Z229=0,"Film Review Required",INDEX('DEF_CALL_DECISION_SUPPORT'!$A$1:$U$1496,$Z229,2))</f>
        <v>Film Review Required</v>
      </c>
      <c r="D229" s="12">
        <f>IF($Z229=0,"",INDEX('DEF_CALL_DECISION_SUPPORT'!$A$1:$U$1496,$Z229,3))</f>
        <v/>
      </c>
      <c r="E229" s="10">
        <f>IF($Z229=0,"",INDEX('DEF_CALL_DECISION_SUPPORT'!$A$1:$U$1496,$Z229,4))</f>
        <v/>
      </c>
      <c r="F229" s="10">
        <f>IF($Z229=0,"",INDEX('DEF_CALL_DECISION_SUPPORT'!$A$1:$U$1496,$Z229,5))</f>
        <v/>
      </c>
      <c r="G229" s="11">
        <f>IF($Z229=0,"",INDEX('DEF_CALL_DECISION_SUPPORT'!$A$1:$U$1496,$Z229,6))</f>
        <v/>
      </c>
      <c r="H229" s="11">
        <f>IF($Z229=0,"",INDEX('DEF_CALL_DECISION_SUPPORT'!$A$1:$U$1496,$Z229,10))</f>
        <v/>
      </c>
      <c r="I229" s="14">
        <f>IF($Z229=0,"",INDEX('DEF_CALL_DECISION_SUPPORT'!$A$1:$U$1496,$Z229,9))</f>
        <v/>
      </c>
      <c r="J229" s="14" t="str">
        <f>IF(Z229=0,"Film Review Required",IF(D229&lt;4,"Sample Watch • ","")&amp;"D&amp;D + Concept Match")</f>
        <v>Film Review Required</v>
      </c>
      <c r="K229" s="9" t="str">
        <f>IF($Z229=0,"No matching defensive reps; film confirmation needed.",INDEX('DEF_CALL_DECISION_SUPPORT'!$A$1:$U$1496,$Z229,12))</f>
        <v>No matching defensive reps; film confirmation needed.</v>
      </c>
      <c r="L229" s="14">
        <f>IF($Z229=0,"",INDEX('DEF_CALL_DECISION_SUPPORT'!$A$1:$U$1496,$Z229,11))</f>
        <v/>
      </c>
      <c r="Y229" s="2" t="s">
        <v>2560</v>
      </c>
      <c r="Z229" s="2">
        <f>IFERROR(MATCH(LEN($A229)&amp;":"&amp;$A229&amp;"|"&amp;LEN($B229)&amp;":"&amp;$B229&amp;"|",'DEF_CALL_DECISION_SUPPORT'!$U$811:$U$1055,0)+811-1,0)</f>
        <v>0</v>
      </c>
    </row>
    <row r="230" spans="1:26" ht="50" customHeight="1">
      <c r="A230" s="8" t="s">
        <v>96</v>
      </c>
      <c r="B230" s="8" t="s">
        <v>474</v>
      </c>
      <c r="C230" s="8" t="str">
        <f>IF($Z230=0,"Film Review Required",INDEX('DEF_CALL_DECISION_SUPPORT'!$A$1:$U$1496,$Z230,2))</f>
        <v>GAMES</v>
      </c>
      <c r="D230" s="12">
        <f>IF($Z230=0,"",INDEX('DEF_CALL_DECISION_SUPPORT'!$A$1:$U$1496,$Z230,3))</f>
        <v>1</v>
      </c>
      <c r="E230" s="10">
        <f>IF($Z230=0,"",INDEX('DEF_CALL_DECISION_SUPPORT'!$A$1:$U$1496,$Z230,4))</f>
        <v>1.0</v>
      </c>
      <c r="F230" s="10">
        <f>IF($Z230=0,"",INDEX('DEF_CALL_DECISION_SUPPORT'!$A$1:$U$1496,$Z230,5))</f>
        <v>0.0</v>
      </c>
      <c r="G230" s="11">
        <f>IF($Z230=0,"",INDEX('DEF_CALL_DECISION_SUPPORT'!$A$1:$U$1496,$Z230,6))</f>
        <v>4.0</v>
      </c>
      <c r="H230" s="11">
        <f>IF($Z230=0,"",INDEX('DEF_CALL_DECISION_SUPPORT'!$A$1:$U$1496,$Z230,10))</f>
        <v>96.0</v>
      </c>
      <c r="I230" s="14" t="str">
        <f>IF($Z230=0,"",INDEX('DEF_CALL_DECISION_SUPPORT'!$A$1:$U$1496,$Z230,9))</f>
        <v>TRACK</v>
      </c>
      <c r="J230" s="14" t="str">
        <f>IF(Z230=0,"Film Review Required",IF(D230&lt;4,"Sample Watch • ","")&amp;"D&amp;D + Concept Match")</f>
        <v>Sample Watch • D&amp;D + Concept Match</v>
      </c>
      <c r="K230" s="9" t="str">
        <f>IF($Z230=0,"No matching defensive reps; film confirmation needed.",INDEX('DEF_CALL_DECISION_SUPPORT'!$A$1:$U$1496,$Z230,12))</f>
        <v>Track only; not enough sample.</v>
      </c>
      <c r="L230" s="14" t="str">
        <f>IF($Z230=0,"",INDEX('DEF_CALL_DECISION_SUPPORT'!$A$1:$U$1496,$Z230,11))</f>
        <v>Track Only</v>
      </c>
      <c r="Y230" s="2" t="s">
        <v>564</v>
      </c>
      <c r="Z230" s="2">
        <f>IFERROR(MATCH(LEN($A230)&amp;":"&amp;$A230&amp;"|"&amp;LEN($B230)&amp;":"&amp;$B230&amp;"|",'DEF_CALL_DECISION_SUPPORT'!$U$811:$U$1055,0)+811-1,0)</f>
        <v>978</v>
      </c>
    </row>
    <row r="231" spans="1:26" ht="50" customHeight="1">
      <c r="A231" s="8" t="s">
        <v>103</v>
      </c>
      <c r="B231" s="8" t="s">
        <v>446</v>
      </c>
      <c r="C231" s="8" t="str">
        <f>IF($Z231=0,"Film Review Required",INDEX('DEF_CALL_DECISION_SUPPORT'!$A$1:$U$1496,$Z231,2))</f>
        <v>REBEL</v>
      </c>
      <c r="D231" s="12">
        <f>IF($Z231=0,"",INDEX('DEF_CALL_DECISION_SUPPORT'!$A$1:$U$1496,$Z231,3))</f>
        <v>1</v>
      </c>
      <c r="E231" s="10">
        <f>IF($Z231=0,"",INDEX('DEF_CALL_DECISION_SUPPORT'!$A$1:$U$1496,$Z231,4))</f>
        <v>1.0</v>
      </c>
      <c r="F231" s="10">
        <f>IF($Z231=0,"",INDEX('DEF_CALL_DECISION_SUPPORT'!$A$1:$U$1496,$Z231,5))</f>
        <v>0.0</v>
      </c>
      <c r="G231" s="11">
        <f>IF($Z231=0,"",INDEX('DEF_CALL_DECISION_SUPPORT'!$A$1:$U$1496,$Z231,6))</f>
        <v>0.0</v>
      </c>
      <c r="H231" s="11">
        <f>IF($Z231=0,"",INDEX('DEF_CALL_DECISION_SUPPORT'!$A$1:$U$1496,$Z231,10))</f>
        <v>100.0</v>
      </c>
      <c r="I231" s="14" t="str">
        <f>IF($Z231=0,"",INDEX('DEF_CALL_DECISION_SUPPORT'!$A$1:$U$1496,$Z231,9))</f>
        <v>TRACK</v>
      </c>
      <c r="J231" s="14" t="str">
        <f>IF(Z231=0,"Film Review Required",IF(D231&lt;4,"Sample Watch • ","")&amp;"D&amp;D + Concept Match")</f>
        <v>Sample Watch • D&amp;D + Concept Match</v>
      </c>
      <c r="K231" s="9" t="str">
        <f>IF($Z231=0,"No matching defensive reps; film confirmation needed.",INDEX('DEF_CALL_DECISION_SUPPORT'!$A$1:$U$1496,$Z231,12))</f>
        <v>Track only; not enough sample.</v>
      </c>
      <c r="L231" s="14" t="str">
        <f>IF($Z231=0,"",INDEX('DEF_CALL_DECISION_SUPPORT'!$A$1:$U$1496,$Z231,11))</f>
        <v>Track Only</v>
      </c>
      <c r="Y231" s="2" t="s">
        <v>566</v>
      </c>
      <c r="Z231" s="2">
        <f>IFERROR(MATCH(LEN($A231)&amp;":"&amp;$A231&amp;"|"&amp;LEN($B231)&amp;":"&amp;$B231&amp;"|",'DEF_CALL_DECISION_SUPPORT'!$U$811:$U$1055,0)+811-1,0)</f>
        <v>979</v>
      </c>
    </row>
    <row r="232" spans="1:26" ht="50" customHeight="1">
      <c r="A232" s="8" t="s">
        <v>103</v>
      </c>
      <c r="B232" s="8" t="s">
        <v>449</v>
      </c>
      <c r="C232" s="8" t="str">
        <f>IF($Z232=0,"Film Review Required",INDEX('DEF_CALL_DECISION_SUPPORT'!$A$1:$U$1496,$Z232,2))</f>
        <v>9 MOW</v>
      </c>
      <c r="D232" s="12">
        <f>IF($Z232=0,"",INDEX('DEF_CALL_DECISION_SUPPORT'!$A$1:$U$1496,$Z232,3))</f>
        <v>2</v>
      </c>
      <c r="E232" s="10">
        <f>IF($Z232=0,"",INDEX('DEF_CALL_DECISION_SUPPORT'!$A$1:$U$1496,$Z232,4))</f>
        <v>1.0</v>
      </c>
      <c r="F232" s="10">
        <f>IF($Z232=0,"",INDEX('DEF_CALL_DECISION_SUPPORT'!$A$1:$U$1496,$Z232,5))</f>
        <v>0.0</v>
      </c>
      <c r="G232" s="11">
        <f>IF($Z232=0,"",INDEX('DEF_CALL_DECISION_SUPPORT'!$A$1:$U$1496,$Z232,6))</f>
        <v>-2.0</v>
      </c>
      <c r="H232" s="11">
        <f>IF($Z232=0,"",INDEX('DEF_CALL_DECISION_SUPPORT'!$A$1:$U$1496,$Z232,10))</f>
        <v>100.0</v>
      </c>
      <c r="I232" s="14" t="str">
        <f>IF($Z232=0,"",INDEX('DEF_CALL_DECISION_SUPPORT'!$A$1:$U$1496,$Z232,9))</f>
        <v>TRACK</v>
      </c>
      <c r="J232" s="14" t="str">
        <f>IF(Z232=0,"Film Review Required",IF(D232&lt;4,"Sample Watch • ","")&amp;"D&amp;D + Concept Match")</f>
        <v>Sample Watch • D&amp;D + Concept Match</v>
      </c>
      <c r="K232" s="9" t="str">
        <f>IF($Z232=0,"No matching defensive reps; film confirmation needed.",INDEX('DEF_CALL_DECISION_SUPPORT'!$A$1:$U$1496,$Z232,12))</f>
        <v>Track only; not enough sample.</v>
      </c>
      <c r="L232" s="14" t="str">
        <f>IF($Z232=0,"",INDEX('DEF_CALL_DECISION_SUPPORT'!$A$1:$U$1496,$Z232,11))</f>
        <v>Track Only</v>
      </c>
      <c r="Y232" s="2" t="s">
        <v>568</v>
      </c>
      <c r="Z232" s="2">
        <f>IFERROR(MATCH(LEN($A232)&amp;":"&amp;$A232&amp;"|"&amp;LEN($B232)&amp;":"&amp;$B232&amp;"|",'DEF_CALL_DECISION_SUPPORT'!$U$811:$U$1055,0)+811-1,0)</f>
        <v>983</v>
      </c>
    </row>
    <row r="233" spans="1:26" ht="50" customHeight="1">
      <c r="A233" s="8" t="s">
        <v>103</v>
      </c>
      <c r="B233" s="8" t="s">
        <v>432</v>
      </c>
      <c r="C233" s="8" t="str">
        <f>IF($Z233=0,"Film Review Required",INDEX('DEF_CALL_DECISION_SUPPORT'!$A$1:$U$1496,$Z233,2))</f>
        <v>9 STUD</v>
      </c>
      <c r="D233" s="12">
        <f>IF($Z233=0,"",INDEX('DEF_CALL_DECISION_SUPPORT'!$A$1:$U$1496,$Z233,3))</f>
        <v>1</v>
      </c>
      <c r="E233" s="10">
        <f>IF($Z233=0,"",INDEX('DEF_CALL_DECISION_SUPPORT'!$A$1:$U$1496,$Z233,4))</f>
        <v>1.0</v>
      </c>
      <c r="F233" s="10">
        <f>IF($Z233=0,"",INDEX('DEF_CALL_DECISION_SUPPORT'!$A$1:$U$1496,$Z233,5))</f>
        <v>0.0</v>
      </c>
      <c r="G233" s="11">
        <f>IF($Z233=0,"",INDEX('DEF_CALL_DECISION_SUPPORT'!$A$1:$U$1496,$Z233,6))</f>
        <v>-1.0</v>
      </c>
      <c r="H233" s="11">
        <f>IF($Z233=0,"",INDEX('DEF_CALL_DECISION_SUPPORT'!$A$1:$U$1496,$Z233,10))</f>
        <v>100.0</v>
      </c>
      <c r="I233" s="14" t="str">
        <f>IF($Z233=0,"",INDEX('DEF_CALL_DECISION_SUPPORT'!$A$1:$U$1496,$Z233,9))</f>
        <v>TRACK</v>
      </c>
      <c r="J233" s="14" t="str">
        <f>IF(Z233=0,"Film Review Required",IF(D233&lt;4,"Sample Watch • ","")&amp;"D&amp;D + Concept Match")</f>
        <v>Sample Watch • D&amp;D + Concept Match</v>
      </c>
      <c r="K233" s="9" t="str">
        <f>IF($Z233=0,"No matching defensive reps; film confirmation needed.",INDEX('DEF_CALL_DECISION_SUPPORT'!$A$1:$U$1496,$Z233,12))</f>
        <v>Track only; not enough sample.</v>
      </c>
      <c r="L233" s="14" t="str">
        <f>IF($Z233=0,"",INDEX('DEF_CALL_DECISION_SUPPORT'!$A$1:$U$1496,$Z233,11))</f>
        <v>Track Only</v>
      </c>
      <c r="Y233" s="2" t="s">
        <v>570</v>
      </c>
      <c r="Z233" s="2">
        <f>IFERROR(MATCH(LEN($A233)&amp;":"&amp;$A233&amp;"|"&amp;LEN($B233)&amp;":"&amp;$B233&amp;"|",'DEF_CALL_DECISION_SUPPORT'!$U$811:$U$1055,0)+811-1,0)</f>
        <v>992</v>
      </c>
    </row>
    <row r="234" spans="1:26" ht="50" customHeight="1">
      <c r="A234" s="8" t="s">
        <v>103</v>
      </c>
      <c r="B234" s="8" t="s">
        <v>605</v>
      </c>
      <c r="C234" s="8" t="str">
        <f>IF($Z234=0,"Film Review Required",INDEX('DEF_CALL_DECISION_SUPPORT'!$A$1:$U$1496,$Z234,2))</f>
        <v>Film Review Required</v>
      </c>
      <c r="D234" s="12">
        <f>IF($Z234=0,"",INDEX('DEF_CALL_DECISION_SUPPORT'!$A$1:$U$1496,$Z234,3))</f>
        <v/>
      </c>
      <c r="E234" s="10">
        <f>IF($Z234=0,"",INDEX('DEF_CALL_DECISION_SUPPORT'!$A$1:$U$1496,$Z234,4))</f>
        <v/>
      </c>
      <c r="F234" s="10">
        <f>IF($Z234=0,"",INDEX('DEF_CALL_DECISION_SUPPORT'!$A$1:$U$1496,$Z234,5))</f>
        <v/>
      </c>
      <c r="G234" s="11">
        <f>IF($Z234=0,"",INDEX('DEF_CALL_DECISION_SUPPORT'!$A$1:$U$1496,$Z234,6))</f>
        <v/>
      </c>
      <c r="H234" s="11">
        <f>IF($Z234=0,"",INDEX('DEF_CALL_DECISION_SUPPORT'!$A$1:$U$1496,$Z234,10))</f>
        <v/>
      </c>
      <c r="I234" s="14">
        <f>IF($Z234=0,"",INDEX('DEF_CALL_DECISION_SUPPORT'!$A$1:$U$1496,$Z234,9))</f>
        <v/>
      </c>
      <c r="J234" s="14" t="str">
        <f>IF(Z234=0,"Film Review Required",IF(D234&lt;4,"Sample Watch • ","")&amp;"D&amp;D + Concept Match")</f>
        <v>Film Review Required</v>
      </c>
      <c r="K234" s="9" t="str">
        <f>IF($Z234=0,"No matching defensive reps; film confirmation needed.",INDEX('DEF_CALL_DECISION_SUPPORT'!$A$1:$U$1496,$Z234,12))</f>
        <v>No matching defensive reps; film confirmation needed.</v>
      </c>
      <c r="L234" s="14">
        <f>IF($Z234=0,"",INDEX('DEF_CALL_DECISION_SUPPORT'!$A$1:$U$1496,$Z234,11))</f>
        <v/>
      </c>
      <c r="Y234" s="2" t="s">
        <v>2561</v>
      </c>
      <c r="Z234" s="2">
        <f>IFERROR(MATCH(LEN($A234)&amp;":"&amp;$A234&amp;"|"&amp;LEN($B234)&amp;":"&amp;$B234&amp;"|",'DEF_CALL_DECISION_SUPPORT'!$U$811:$U$1055,0)+811-1,0)</f>
        <v>0</v>
      </c>
    </row>
    <row r="235" spans="1:26" ht="50" customHeight="1">
      <c r="A235" s="8" t="s">
        <v>103</v>
      </c>
      <c r="B235" s="8" t="s">
        <v>878</v>
      </c>
      <c r="C235" s="8" t="str">
        <f>IF($Z235=0,"Film Review Required",INDEX('DEF_CALL_DECISION_SUPPORT'!$A$1:$U$1496,$Z235,2))</f>
        <v>Film Review Required</v>
      </c>
      <c r="D235" s="12">
        <f>IF($Z235=0,"",INDEX('DEF_CALL_DECISION_SUPPORT'!$A$1:$U$1496,$Z235,3))</f>
        <v/>
      </c>
      <c r="E235" s="10">
        <f>IF($Z235=0,"",INDEX('DEF_CALL_DECISION_SUPPORT'!$A$1:$U$1496,$Z235,4))</f>
        <v/>
      </c>
      <c r="F235" s="10">
        <f>IF($Z235=0,"",INDEX('DEF_CALL_DECISION_SUPPORT'!$A$1:$U$1496,$Z235,5))</f>
        <v/>
      </c>
      <c r="G235" s="11">
        <f>IF($Z235=0,"",INDEX('DEF_CALL_DECISION_SUPPORT'!$A$1:$U$1496,$Z235,6))</f>
        <v/>
      </c>
      <c r="H235" s="11">
        <f>IF($Z235=0,"",INDEX('DEF_CALL_DECISION_SUPPORT'!$A$1:$U$1496,$Z235,10))</f>
        <v/>
      </c>
      <c r="I235" s="14">
        <f>IF($Z235=0,"",INDEX('DEF_CALL_DECISION_SUPPORT'!$A$1:$U$1496,$Z235,9))</f>
        <v/>
      </c>
      <c r="J235" s="14" t="str">
        <f>IF(Z235=0,"Film Review Required",IF(D235&lt;4,"Sample Watch • ","")&amp;"D&amp;D + Concept Match")</f>
        <v>Film Review Required</v>
      </c>
      <c r="K235" s="9" t="str">
        <f>IF($Z235=0,"No matching defensive reps; film confirmation needed.",INDEX('DEF_CALL_DECISION_SUPPORT'!$A$1:$U$1496,$Z235,12))</f>
        <v>No matching defensive reps; film confirmation needed.</v>
      </c>
      <c r="L235" s="14">
        <f>IF($Z235=0,"",INDEX('DEF_CALL_DECISION_SUPPORT'!$A$1:$U$1496,$Z235,11))</f>
        <v/>
      </c>
      <c r="Y235" s="2" t="s">
        <v>2562</v>
      </c>
      <c r="Z235" s="2">
        <f>IFERROR(MATCH(LEN($A235)&amp;":"&amp;$A235&amp;"|"&amp;LEN($B235)&amp;":"&amp;$B235&amp;"|",'DEF_CALL_DECISION_SUPPORT'!$U$811:$U$1055,0)+811-1,0)</f>
        <v>0</v>
      </c>
    </row>
    <row r="236" spans="1:26" ht="50" customHeight="1">
      <c r="A236" s="8" t="s">
        <v>103</v>
      </c>
      <c r="B236" s="8" t="s">
        <v>428</v>
      </c>
      <c r="C236" s="8" t="str">
        <f>IF($Z236=0,"Film Review Required",INDEX('DEF_CALL_DECISION_SUPPORT'!$A$1:$U$1496,$Z236,2))</f>
        <v>STUD</v>
      </c>
      <c r="D236" s="12">
        <f>IF($Z236=0,"",INDEX('DEF_CALL_DECISION_SUPPORT'!$A$1:$U$1496,$Z236,3))</f>
        <v>1</v>
      </c>
      <c r="E236" s="10">
        <f>IF($Z236=0,"",INDEX('DEF_CALL_DECISION_SUPPORT'!$A$1:$U$1496,$Z236,4))</f>
        <v>1.0</v>
      </c>
      <c r="F236" s="10">
        <f>IF($Z236=0,"",INDEX('DEF_CALL_DECISION_SUPPORT'!$A$1:$U$1496,$Z236,5))</f>
        <v>0.0</v>
      </c>
      <c r="G236" s="11">
        <f>IF($Z236=0,"",INDEX('DEF_CALL_DECISION_SUPPORT'!$A$1:$U$1496,$Z236,6))</f>
        <v>0.0</v>
      </c>
      <c r="H236" s="11">
        <f>IF($Z236=0,"",INDEX('DEF_CALL_DECISION_SUPPORT'!$A$1:$U$1496,$Z236,10))</f>
        <v>100.0</v>
      </c>
      <c r="I236" s="14" t="str">
        <f>IF($Z236=0,"",INDEX('DEF_CALL_DECISION_SUPPORT'!$A$1:$U$1496,$Z236,9))</f>
        <v>TRACK</v>
      </c>
      <c r="J236" s="14" t="str">
        <f>IF(Z236=0,"Film Review Required",IF(D236&lt;4,"Sample Watch • ","")&amp;"D&amp;D + Concept Match")</f>
        <v>Sample Watch • D&amp;D + Concept Match</v>
      </c>
      <c r="K236" s="9" t="str">
        <f>IF($Z236=0,"No matching defensive reps; film confirmation needed.",INDEX('DEF_CALL_DECISION_SUPPORT'!$A$1:$U$1496,$Z236,12))</f>
        <v>Track only; not enough sample.</v>
      </c>
      <c r="L236" s="14" t="str">
        <f>IF($Z236=0,"",INDEX('DEF_CALL_DECISION_SUPPORT'!$A$1:$U$1496,$Z236,11))</f>
        <v>Track Only</v>
      </c>
      <c r="Y236" s="2" t="s">
        <v>572</v>
      </c>
      <c r="Z236" s="2">
        <f>IFERROR(MATCH(LEN($A236)&amp;":"&amp;$A236&amp;"|"&amp;LEN($B236)&amp;":"&amp;$B236&amp;"|",'DEF_CALL_DECISION_SUPPORT'!$U$811:$U$1055,0)+811-1,0)</f>
        <v>995</v>
      </c>
    </row>
    <row r="237" spans="1:26" ht="50" customHeight="1">
      <c r="A237" s="8" t="s">
        <v>103</v>
      </c>
      <c r="B237" s="8" t="s">
        <v>574</v>
      </c>
      <c r="C237" s="8" t="str">
        <f>IF($Z237=0,"Film Review Required",INDEX('DEF_CALL_DECISION_SUPPORT'!$A$1:$U$1496,$Z237,2))</f>
        <v>Q RAMBO</v>
      </c>
      <c r="D237" s="12">
        <f>IF($Z237=0,"",INDEX('DEF_CALL_DECISION_SUPPORT'!$A$1:$U$1496,$Z237,3))</f>
        <v>1</v>
      </c>
      <c r="E237" s="10">
        <f>IF($Z237=0,"",INDEX('DEF_CALL_DECISION_SUPPORT'!$A$1:$U$1496,$Z237,4))</f>
        <v>1.0</v>
      </c>
      <c r="F237" s="10">
        <f>IF($Z237=0,"",INDEX('DEF_CALL_DECISION_SUPPORT'!$A$1:$U$1496,$Z237,5))</f>
        <v>0.0</v>
      </c>
      <c r="G237" s="11">
        <f>IF($Z237=0,"",INDEX('DEF_CALL_DECISION_SUPPORT'!$A$1:$U$1496,$Z237,6))</f>
        <v>-1.0</v>
      </c>
      <c r="H237" s="11">
        <f>IF($Z237=0,"",INDEX('DEF_CALL_DECISION_SUPPORT'!$A$1:$U$1496,$Z237,10))</f>
        <v>100.0</v>
      </c>
      <c r="I237" s="14" t="str">
        <f>IF($Z237=0,"",INDEX('DEF_CALL_DECISION_SUPPORT'!$A$1:$U$1496,$Z237,9))</f>
        <v>TRACK</v>
      </c>
      <c r="J237" s="14" t="str">
        <f>IF(Z237=0,"Film Review Required",IF(D237&lt;4,"Sample Watch • ","")&amp;"D&amp;D + Concept Match")</f>
        <v>Sample Watch • D&amp;D + Concept Match</v>
      </c>
      <c r="K237" s="9" t="str">
        <f>IF($Z237=0,"No matching defensive reps; film confirmation needed.",INDEX('DEF_CALL_DECISION_SUPPORT'!$A$1:$U$1496,$Z237,12))</f>
        <v>Track only; not enough sample.</v>
      </c>
      <c r="L237" s="14" t="str">
        <f>IF($Z237=0,"",INDEX('DEF_CALL_DECISION_SUPPORT'!$A$1:$U$1496,$Z237,11))</f>
        <v>Track Only</v>
      </c>
      <c r="Y237" s="2" t="s">
        <v>575</v>
      </c>
      <c r="Z237" s="2">
        <f>IFERROR(MATCH(LEN($A237)&amp;":"&amp;$A237&amp;"|"&amp;LEN($B237)&amp;":"&amp;$B237&amp;"|",'DEF_CALL_DECISION_SUPPORT'!$U$811:$U$1055,0)+811-1,0)</f>
        <v>997</v>
      </c>
    </row>
    <row r="238" spans="1:26" ht="50" customHeight="1">
      <c r="A238" s="8" t="s">
        <v>103</v>
      </c>
      <c r="B238" s="8" t="s">
        <v>474</v>
      </c>
      <c r="C238" s="8" t="str">
        <f>IF($Z238=0,"Film Review Required",INDEX('DEF_CALL_DECISION_SUPPORT'!$A$1:$U$1496,$Z238,2))</f>
        <v>STICK GAMES</v>
      </c>
      <c r="D238" s="12">
        <f>IF($Z238=0,"",INDEX('DEF_CALL_DECISION_SUPPORT'!$A$1:$U$1496,$Z238,3))</f>
        <v>1</v>
      </c>
      <c r="E238" s="10">
        <f>IF($Z238=0,"",INDEX('DEF_CALL_DECISION_SUPPORT'!$A$1:$U$1496,$Z238,4))</f>
        <v>1.0</v>
      </c>
      <c r="F238" s="10">
        <f>IF($Z238=0,"",INDEX('DEF_CALL_DECISION_SUPPORT'!$A$1:$U$1496,$Z238,5))</f>
        <v>0.0</v>
      </c>
      <c r="G238" s="11">
        <f>IF($Z238=0,"",INDEX('DEF_CALL_DECISION_SUPPORT'!$A$1:$U$1496,$Z238,6))</f>
        <v>1.0</v>
      </c>
      <c r="H238" s="11">
        <f>IF($Z238=0,"",INDEX('DEF_CALL_DECISION_SUPPORT'!$A$1:$U$1496,$Z238,10))</f>
        <v>99.0</v>
      </c>
      <c r="I238" s="14" t="str">
        <f>IF($Z238=0,"",INDEX('DEF_CALL_DECISION_SUPPORT'!$A$1:$U$1496,$Z238,9))</f>
        <v>TRACK</v>
      </c>
      <c r="J238" s="14" t="str">
        <f>IF(Z238=0,"Film Review Required",IF(D238&lt;4,"Sample Watch • ","")&amp;"D&amp;D + Concept Match")</f>
        <v>Sample Watch • D&amp;D + Concept Match</v>
      </c>
      <c r="K238" s="9" t="str">
        <f>IF($Z238=0,"No matching defensive reps; film confirmation needed.",INDEX('DEF_CALL_DECISION_SUPPORT'!$A$1:$U$1496,$Z238,12))</f>
        <v>Track only; not enough sample.</v>
      </c>
      <c r="L238" s="14" t="str">
        <f>IF($Z238=0,"",INDEX('DEF_CALL_DECISION_SUPPORT'!$A$1:$U$1496,$Z238,11))</f>
        <v>Track Only</v>
      </c>
      <c r="Y238" s="2" t="s">
        <v>577</v>
      </c>
      <c r="Z238" s="2">
        <f>IFERROR(MATCH(LEN($A238)&amp;":"&amp;$A238&amp;"|"&amp;LEN($B238)&amp;":"&amp;$B238&amp;"|",'DEF_CALL_DECISION_SUPPORT'!$U$811:$U$1055,0)+811-1,0)</f>
        <v>998</v>
      </c>
    </row>
    <row r="239" spans="1:26" ht="50" customHeight="1">
      <c r="A239" s="8" t="s">
        <v>107</v>
      </c>
      <c r="B239" s="8" t="s">
        <v>446</v>
      </c>
      <c r="C239" s="8" t="str">
        <f>IF($Z239=0,"Film Review Required",INDEX('DEF_CALL_DECISION_SUPPORT'!$A$1:$U$1496,$Z239,2))</f>
        <v>MIX 9 DICE</v>
      </c>
      <c r="D239" s="12">
        <f>IF($Z239=0,"",INDEX('DEF_CALL_DECISION_SUPPORT'!$A$1:$U$1496,$Z239,3))</f>
        <v>1</v>
      </c>
      <c r="E239" s="10">
        <f>IF($Z239=0,"",INDEX('DEF_CALL_DECISION_SUPPORT'!$A$1:$U$1496,$Z239,4))</f>
        <v>0.0</v>
      </c>
      <c r="F239" s="10">
        <f>IF($Z239=0,"",INDEX('DEF_CALL_DECISION_SUPPORT'!$A$1:$U$1496,$Z239,5))</f>
        <v>1.0</v>
      </c>
      <c r="G239" s="11">
        <f>IF($Z239=0,"",INDEX('DEF_CALL_DECISION_SUPPORT'!$A$1:$U$1496,$Z239,6))</f>
        <v>16.0</v>
      </c>
      <c r="H239" s="11">
        <f>IF($Z239=0,"",INDEX('DEF_CALL_DECISION_SUPPORT'!$A$1:$U$1496,$Z239,10))</f>
        <v>0.0</v>
      </c>
      <c r="I239" s="14" t="str">
        <f>IF($Z239=0,"",INDEX('DEF_CALL_DECISION_SUPPORT'!$A$1:$U$1496,$Z239,9))</f>
        <v>TRACK</v>
      </c>
      <c r="J239" s="14" t="str">
        <f>IF(Z239=0,"Film Review Required",IF(D239&lt;4,"Sample Watch • ","")&amp;"D&amp;D + Concept Match")</f>
        <v>Sample Watch • D&amp;D + Concept Match</v>
      </c>
      <c r="K239" s="9" t="str">
        <f>IF($Z239=0,"No matching defensive reps; film confirmation needed.",INDEX('DEF_CALL_DECISION_SUPPORT'!$A$1:$U$1496,$Z239,12))</f>
        <v>Explosive risk; review clips before using as answer.</v>
      </c>
      <c r="L239" s="14" t="str">
        <f>IF($Z239=0,"",INDEX('DEF_CALL_DECISION_SUPPORT'!$A$1:$U$1496,$Z239,11))</f>
        <v>Explosive Alert</v>
      </c>
      <c r="Y239" s="2" t="s">
        <v>579</v>
      </c>
      <c r="Z239" s="2">
        <f>IFERROR(MATCH(LEN($A239)&amp;":"&amp;$A239&amp;"|"&amp;LEN($B239)&amp;":"&amp;$B239&amp;"|",'DEF_CALL_DECISION_SUPPORT'!$U$811:$U$1055,0)+811-1,0)</f>
        <v>999</v>
      </c>
    </row>
    <row r="240" spans="1:26" ht="50" customHeight="1">
      <c r="A240" s="8" t="s">
        <v>107</v>
      </c>
      <c r="B240" s="8" t="s">
        <v>449</v>
      </c>
      <c r="C240" s="8" t="str">
        <f>IF($Z240=0,"Film Review Required",INDEX('DEF_CALL_DECISION_SUPPORT'!$A$1:$U$1496,$Z240,2))</f>
        <v>WALL</v>
      </c>
      <c r="D240" s="12">
        <f>IF($Z240=0,"",INDEX('DEF_CALL_DECISION_SUPPORT'!$A$1:$U$1496,$Z240,3))</f>
        <v>1</v>
      </c>
      <c r="E240" s="10">
        <f>IF($Z240=0,"",INDEX('DEF_CALL_DECISION_SUPPORT'!$A$1:$U$1496,$Z240,4))</f>
        <v>1.0</v>
      </c>
      <c r="F240" s="10">
        <f>IF($Z240=0,"",INDEX('DEF_CALL_DECISION_SUPPORT'!$A$1:$U$1496,$Z240,5))</f>
        <v>0.0</v>
      </c>
      <c r="G240" s="11">
        <f>IF($Z240=0,"",INDEX('DEF_CALL_DECISION_SUPPORT'!$A$1:$U$1496,$Z240,6))</f>
        <v>0.0</v>
      </c>
      <c r="H240" s="11">
        <f>IF($Z240=0,"",INDEX('DEF_CALL_DECISION_SUPPORT'!$A$1:$U$1496,$Z240,10))</f>
        <v>100.0</v>
      </c>
      <c r="I240" s="14" t="str">
        <f>IF($Z240=0,"",INDEX('DEF_CALL_DECISION_SUPPORT'!$A$1:$U$1496,$Z240,9))</f>
        <v>TRACK</v>
      </c>
      <c r="J240" s="14" t="str">
        <f>IF(Z240=0,"Film Review Required",IF(D240&lt;4,"Sample Watch • ","")&amp;"D&amp;D + Concept Match")</f>
        <v>Sample Watch • D&amp;D + Concept Match</v>
      </c>
      <c r="K240" s="9" t="str">
        <f>IF($Z240=0,"No matching defensive reps; film confirmation needed.",INDEX('DEF_CALL_DECISION_SUPPORT'!$A$1:$U$1496,$Z240,12))</f>
        <v>Track only; not enough sample.</v>
      </c>
      <c r="L240" s="14" t="str">
        <f>IF($Z240=0,"",INDEX('DEF_CALL_DECISION_SUPPORT'!$A$1:$U$1496,$Z240,11))</f>
        <v>Track Only</v>
      </c>
      <c r="Y240" s="2" t="s">
        <v>581</v>
      </c>
      <c r="Z240" s="2">
        <f>IFERROR(MATCH(LEN($A240)&amp;":"&amp;$A240&amp;"|"&amp;LEN($B240)&amp;":"&amp;$B240&amp;"|",'DEF_CALL_DECISION_SUPPORT'!$U$811:$U$1055,0)+811-1,0)</f>
        <v>1007</v>
      </c>
    </row>
    <row r="241" spans="1:26" ht="50" customHeight="1">
      <c r="A241" s="8" t="s">
        <v>107</v>
      </c>
      <c r="B241" s="8" t="s">
        <v>428</v>
      </c>
      <c r="C241" s="8" t="str">
        <f>IF($Z241=0,"Film Review Required",INDEX('DEF_CALL_DECISION_SUPPORT'!$A$1:$U$1496,$Z241,2))</f>
        <v>RAMBO</v>
      </c>
      <c r="D241" s="12">
        <f>IF($Z241=0,"",INDEX('DEF_CALL_DECISION_SUPPORT'!$A$1:$U$1496,$Z241,3))</f>
        <v>1</v>
      </c>
      <c r="E241" s="10">
        <f>IF($Z241=0,"",INDEX('DEF_CALL_DECISION_SUPPORT'!$A$1:$U$1496,$Z241,4))</f>
        <v>1.0</v>
      </c>
      <c r="F241" s="10">
        <f>IF($Z241=0,"",INDEX('DEF_CALL_DECISION_SUPPORT'!$A$1:$U$1496,$Z241,5))</f>
        <v>0.0</v>
      </c>
      <c r="G241" s="11">
        <f>IF($Z241=0,"",INDEX('DEF_CALL_DECISION_SUPPORT'!$A$1:$U$1496,$Z241,6))</f>
        <v>0.0</v>
      </c>
      <c r="H241" s="11">
        <f>IF($Z241=0,"",INDEX('DEF_CALL_DECISION_SUPPORT'!$A$1:$U$1496,$Z241,10))</f>
        <v>100.0</v>
      </c>
      <c r="I241" s="14" t="str">
        <f>IF($Z241=0,"",INDEX('DEF_CALL_DECISION_SUPPORT'!$A$1:$U$1496,$Z241,9))</f>
        <v>TRACK</v>
      </c>
      <c r="J241" s="14" t="str">
        <f>IF(Z241=0,"Film Review Required",IF(D241&lt;4,"Sample Watch • ","")&amp;"D&amp;D + Concept Match")</f>
        <v>Sample Watch • D&amp;D + Concept Match</v>
      </c>
      <c r="K241" s="9" t="str">
        <f>IF($Z241=0,"No matching defensive reps; film confirmation needed.",INDEX('DEF_CALL_DECISION_SUPPORT'!$A$1:$U$1496,$Z241,12))</f>
        <v>Track only; not enough sample.</v>
      </c>
      <c r="L241" s="14" t="str">
        <f>IF($Z241=0,"",INDEX('DEF_CALL_DECISION_SUPPORT'!$A$1:$U$1496,$Z241,11))</f>
        <v>Track Only</v>
      </c>
      <c r="Y241" s="2" t="s">
        <v>583</v>
      </c>
      <c r="Z241" s="2">
        <f>IFERROR(MATCH(LEN($A241)&amp;":"&amp;$A241&amp;"|"&amp;LEN($B241)&amp;":"&amp;$B241&amp;"|",'DEF_CALL_DECISION_SUPPORT'!$U$811:$U$1055,0)+811-1,0)</f>
        <v>1009</v>
      </c>
    </row>
    <row r="242" spans="1:26" ht="50" customHeight="1">
      <c r="A242" s="8" t="s">
        <v>107</v>
      </c>
      <c r="B242" s="8" t="s">
        <v>465</v>
      </c>
      <c r="C242" s="8" t="str">
        <f>IF($Z242=0,"Film Review Required",INDEX('DEF_CALL_DECISION_SUPPORT'!$A$1:$U$1496,$Z242,2))</f>
        <v>Film Review Required</v>
      </c>
      <c r="D242" s="12">
        <f>IF($Z242=0,"",INDEX('DEF_CALL_DECISION_SUPPORT'!$A$1:$U$1496,$Z242,3))</f>
        <v/>
      </c>
      <c r="E242" s="10">
        <f>IF($Z242=0,"",INDEX('DEF_CALL_DECISION_SUPPORT'!$A$1:$U$1496,$Z242,4))</f>
        <v/>
      </c>
      <c r="F242" s="10">
        <f>IF($Z242=0,"",INDEX('DEF_CALL_DECISION_SUPPORT'!$A$1:$U$1496,$Z242,5))</f>
        <v/>
      </c>
      <c r="G242" s="11">
        <f>IF($Z242=0,"",INDEX('DEF_CALL_DECISION_SUPPORT'!$A$1:$U$1496,$Z242,6))</f>
        <v/>
      </c>
      <c r="H242" s="11">
        <f>IF($Z242=0,"",INDEX('DEF_CALL_DECISION_SUPPORT'!$A$1:$U$1496,$Z242,10))</f>
        <v/>
      </c>
      <c r="I242" s="14">
        <f>IF($Z242=0,"",INDEX('DEF_CALL_DECISION_SUPPORT'!$A$1:$U$1496,$Z242,9))</f>
        <v/>
      </c>
      <c r="J242" s="14" t="str">
        <f>IF(Z242=0,"Film Review Required",IF(D242&lt;4,"Sample Watch • ","")&amp;"D&amp;D + Concept Match")</f>
        <v>Film Review Required</v>
      </c>
      <c r="K242" s="9" t="str">
        <f>IF($Z242=0,"No matching defensive reps; film confirmation needed.",INDEX('DEF_CALL_DECISION_SUPPORT'!$A$1:$U$1496,$Z242,12))</f>
        <v>No matching defensive reps; film confirmation needed.</v>
      </c>
      <c r="L242" s="14">
        <f>IF($Z242=0,"",INDEX('DEF_CALL_DECISION_SUPPORT'!$A$1:$U$1496,$Z242,11))</f>
        <v/>
      </c>
      <c r="Y242" s="2" t="s">
        <v>2563</v>
      </c>
      <c r="Z242" s="2">
        <f>IFERROR(MATCH(LEN($A242)&amp;":"&amp;$A242&amp;"|"&amp;LEN($B242)&amp;":"&amp;$B242&amp;"|",'DEF_CALL_DECISION_SUPPORT'!$U$811:$U$1055,0)+811-1,0)</f>
        <v>0</v>
      </c>
    </row>
    <row r="243" spans="1:26" ht="50" customHeight="1">
      <c r="A243" s="8" t="s">
        <v>107</v>
      </c>
      <c r="B243" s="8" t="s">
        <v>468</v>
      </c>
      <c r="C243" s="8" t="str">
        <f>IF($Z243=0,"Film Review Required",INDEX('DEF_CALL_DECISION_SUPPORT'!$A$1:$U$1496,$Z243,2))</f>
        <v>Film Review Required</v>
      </c>
      <c r="D243" s="12">
        <f>IF($Z243=0,"",INDEX('DEF_CALL_DECISION_SUPPORT'!$A$1:$U$1496,$Z243,3))</f>
        <v/>
      </c>
      <c r="E243" s="10">
        <f>IF($Z243=0,"",INDEX('DEF_CALL_DECISION_SUPPORT'!$A$1:$U$1496,$Z243,4))</f>
        <v/>
      </c>
      <c r="F243" s="10">
        <f>IF($Z243=0,"",INDEX('DEF_CALL_DECISION_SUPPORT'!$A$1:$U$1496,$Z243,5))</f>
        <v/>
      </c>
      <c r="G243" s="11">
        <f>IF($Z243=0,"",INDEX('DEF_CALL_DECISION_SUPPORT'!$A$1:$U$1496,$Z243,6))</f>
        <v/>
      </c>
      <c r="H243" s="11">
        <f>IF($Z243=0,"",INDEX('DEF_CALL_DECISION_SUPPORT'!$A$1:$U$1496,$Z243,10))</f>
        <v/>
      </c>
      <c r="I243" s="14">
        <f>IF($Z243=0,"",INDEX('DEF_CALL_DECISION_SUPPORT'!$A$1:$U$1496,$Z243,9))</f>
        <v/>
      </c>
      <c r="J243" s="14" t="str">
        <f>IF(Z243=0,"Film Review Required",IF(D243&lt;4,"Sample Watch • ","")&amp;"D&amp;D + Concept Match")</f>
        <v>Film Review Required</v>
      </c>
      <c r="K243" s="9" t="str">
        <f>IF($Z243=0,"No matching defensive reps; film confirmation needed.",INDEX('DEF_CALL_DECISION_SUPPORT'!$A$1:$U$1496,$Z243,12))</f>
        <v>No matching defensive reps; film confirmation needed.</v>
      </c>
      <c r="L243" s="14">
        <f>IF($Z243=0,"",INDEX('DEF_CALL_DECISION_SUPPORT'!$A$1:$U$1496,$Z243,11))</f>
        <v/>
      </c>
      <c r="Y243" s="2" t="s">
        <v>2564</v>
      </c>
      <c r="Z243" s="2">
        <f>IFERROR(MATCH(LEN($A243)&amp;":"&amp;$A243&amp;"|"&amp;LEN($B243)&amp;":"&amp;$B243&amp;"|",'DEF_CALL_DECISION_SUPPORT'!$U$811:$U$1055,0)+811-1,0)</f>
        <v>0</v>
      </c>
    </row>
    <row r="244" spans="1:26" ht="50" customHeight="1">
      <c r="A244" s="8" t="s">
        <v>107</v>
      </c>
      <c r="B244" s="8" t="s">
        <v>471</v>
      </c>
      <c r="C244" s="8" t="str">
        <f>IF($Z244=0,"Film Review Required",INDEX('DEF_CALL_DECISION_SUPPORT'!$A$1:$U$1496,$Z244,2))</f>
        <v>CAPTAIN</v>
      </c>
      <c r="D244" s="12">
        <f>IF($Z244=0,"",INDEX('DEF_CALL_DECISION_SUPPORT'!$A$1:$U$1496,$Z244,3))</f>
        <v>1</v>
      </c>
      <c r="E244" s="10">
        <f>IF($Z244=0,"",INDEX('DEF_CALL_DECISION_SUPPORT'!$A$1:$U$1496,$Z244,4))</f>
        <v>0.0</v>
      </c>
      <c r="F244" s="10">
        <f>IF($Z244=0,"",INDEX('DEF_CALL_DECISION_SUPPORT'!$A$1:$U$1496,$Z244,5))</f>
        <v>0.0</v>
      </c>
      <c r="G244" s="11">
        <f>IF($Z244=0,"",INDEX('DEF_CALL_DECISION_SUPPORT'!$A$1:$U$1496,$Z244,6))</f>
        <v>7.0</v>
      </c>
      <c r="H244" s="11">
        <f>IF($Z244=0,"",INDEX('DEF_CALL_DECISION_SUPPORT'!$A$1:$U$1496,$Z244,10))</f>
        <v>23.0</v>
      </c>
      <c r="I244" s="14" t="str">
        <f>IF($Z244=0,"",INDEX('DEF_CALL_DECISION_SUPPORT'!$A$1:$U$1496,$Z244,9))</f>
        <v>TRACK</v>
      </c>
      <c r="J244" s="14" t="str">
        <f>IF(Z244=0,"Film Review Required",IF(D244&lt;4,"Sample Watch • ","")&amp;"D&amp;D + Concept Match")</f>
        <v>Sample Watch • D&amp;D + Concept Match</v>
      </c>
      <c r="K244" s="9" t="str">
        <f>IF($Z244=0,"No matching defensive reps; film confirmation needed.",INDEX('DEF_CALL_DECISION_SUPPORT'!$A$1:$U$1496,$Z244,12))</f>
        <v>Track only; not enough sample.</v>
      </c>
      <c r="L244" s="14" t="str">
        <f>IF($Z244=0,"",INDEX('DEF_CALL_DECISION_SUPPORT'!$A$1:$U$1496,$Z244,11))</f>
        <v>Track Only</v>
      </c>
      <c r="Y244" s="2" t="s">
        <v>585</v>
      </c>
      <c r="Z244" s="2">
        <f>IFERROR(MATCH(LEN($A244)&amp;":"&amp;$A244&amp;"|"&amp;LEN($B244)&amp;":"&amp;$B244&amp;"|",'DEF_CALL_DECISION_SUPPORT'!$U$811:$U$1055,0)+811-1,0)</f>
        <v>1011</v>
      </c>
    </row>
    <row r="245" spans="1:26" ht="50" customHeight="1">
      <c r="A245" s="8" t="s">
        <v>107</v>
      </c>
      <c r="B245" s="8" t="s">
        <v>474</v>
      </c>
      <c r="C245" s="8" t="str">
        <f>IF($Z245=0,"Film Review Required",INDEX('DEF_CALL_DECISION_SUPPORT'!$A$1:$U$1496,$Z245,2))</f>
        <v>Film Review Required</v>
      </c>
      <c r="D245" s="12">
        <f>IF($Z245=0,"",INDEX('DEF_CALL_DECISION_SUPPORT'!$A$1:$U$1496,$Z245,3))</f>
        <v/>
      </c>
      <c r="E245" s="10">
        <f>IF($Z245=0,"",INDEX('DEF_CALL_DECISION_SUPPORT'!$A$1:$U$1496,$Z245,4))</f>
        <v/>
      </c>
      <c r="F245" s="10">
        <f>IF($Z245=0,"",INDEX('DEF_CALL_DECISION_SUPPORT'!$A$1:$U$1496,$Z245,5))</f>
        <v/>
      </c>
      <c r="G245" s="11">
        <f>IF($Z245=0,"",INDEX('DEF_CALL_DECISION_SUPPORT'!$A$1:$U$1496,$Z245,6))</f>
        <v/>
      </c>
      <c r="H245" s="11">
        <f>IF($Z245=0,"",INDEX('DEF_CALL_DECISION_SUPPORT'!$A$1:$U$1496,$Z245,10))</f>
        <v/>
      </c>
      <c r="I245" s="14">
        <f>IF($Z245=0,"",INDEX('DEF_CALL_DECISION_SUPPORT'!$A$1:$U$1496,$Z245,9))</f>
        <v/>
      </c>
      <c r="J245" s="14" t="str">
        <f>IF(Z245=0,"Film Review Required",IF(D245&lt;4,"Sample Watch • ","")&amp;"D&amp;D + Concept Match")</f>
        <v>Film Review Required</v>
      </c>
      <c r="K245" s="9" t="str">
        <f>IF($Z245=0,"No matching defensive reps; film confirmation needed.",INDEX('DEF_CALL_DECISION_SUPPORT'!$A$1:$U$1496,$Z245,12))</f>
        <v>No matching defensive reps; film confirmation needed.</v>
      </c>
      <c r="L245" s="14">
        <f>IF($Z245=0,"",INDEX('DEF_CALL_DECISION_SUPPORT'!$A$1:$U$1496,$Z245,11))</f>
        <v/>
      </c>
      <c r="Y245" s="2" t="s">
        <v>2565</v>
      </c>
      <c r="Z245" s="2">
        <f>IFERROR(MATCH(LEN($A245)&amp;":"&amp;$A245&amp;"|"&amp;LEN($B245)&amp;":"&amp;$B245&amp;"|",'DEF_CALL_DECISION_SUPPORT'!$U$811:$U$1055,0)+811-1,0)</f>
        <v>0</v>
      </c>
    </row>
    <row r="246" spans="1:26" ht="50" customHeight="1">
      <c r="A246" s="8" t="s">
        <v>111</v>
      </c>
      <c r="B246" s="8" t="s">
        <v>449</v>
      </c>
      <c r="C246" s="8" t="str">
        <f>IF($Z246=0,"Film Review Required",INDEX('DEF_CALL_DECISION_SUPPORT'!$A$1:$U$1496,$Z246,2))</f>
        <v>9 DICE</v>
      </c>
      <c r="D246" s="12">
        <f>IF($Z246=0,"",INDEX('DEF_CALL_DECISION_SUPPORT'!$A$1:$U$1496,$Z246,3))</f>
        <v>1</v>
      </c>
      <c r="E246" s="10">
        <f>IF($Z246=0,"",INDEX('DEF_CALL_DECISION_SUPPORT'!$A$1:$U$1496,$Z246,4))</f>
        <v>0.0</v>
      </c>
      <c r="F246" s="10">
        <f>IF($Z246=0,"",INDEX('DEF_CALL_DECISION_SUPPORT'!$A$1:$U$1496,$Z246,5))</f>
        <v>0.0</v>
      </c>
      <c r="G246" s="11">
        <f>IF($Z246=0,"",INDEX('DEF_CALL_DECISION_SUPPORT'!$A$1:$U$1496,$Z246,6))</f>
        <v>4.0</v>
      </c>
      <c r="H246" s="11">
        <f>IF($Z246=0,"",INDEX('DEF_CALL_DECISION_SUPPORT'!$A$1:$U$1496,$Z246,10))</f>
        <v>26.0</v>
      </c>
      <c r="I246" s="14" t="str">
        <f>IF($Z246=0,"",INDEX('DEF_CALL_DECISION_SUPPORT'!$A$1:$U$1496,$Z246,9))</f>
        <v>TRACK</v>
      </c>
      <c r="J246" s="14" t="str">
        <f>IF(Z246=0,"Film Review Required",IF(D246&lt;4,"Sample Watch • ","")&amp;"D&amp;D + Concept Match")</f>
        <v>Sample Watch • D&amp;D + Concept Match</v>
      </c>
      <c r="K246" s="9" t="str">
        <f>IF($Z246=0,"No matching defensive reps; film confirmation needed.",INDEX('DEF_CALL_DECISION_SUPPORT'!$A$1:$U$1496,$Z246,12))</f>
        <v>Track only; not enough sample.</v>
      </c>
      <c r="L246" s="14" t="str">
        <f>IF($Z246=0,"",INDEX('DEF_CALL_DECISION_SUPPORT'!$A$1:$U$1496,$Z246,11))</f>
        <v>Track Only</v>
      </c>
      <c r="Y246" s="2" t="s">
        <v>587</v>
      </c>
      <c r="Z246" s="2">
        <f>IFERROR(MATCH(LEN($A246)&amp;":"&amp;$A246&amp;"|"&amp;LEN($B246)&amp;":"&amp;$B246&amp;"|",'DEF_CALL_DECISION_SUPPORT'!$U$811:$U$1055,0)+811-1,0)</f>
        <v>1012</v>
      </c>
    </row>
    <row r="247" spans="1:26" ht="50" customHeight="1">
      <c r="A247" s="8" t="s">
        <v>111</v>
      </c>
      <c r="B247" s="8" t="s">
        <v>878</v>
      </c>
      <c r="C247" s="8" t="str">
        <f>IF($Z247=0,"Film Review Required",INDEX('DEF_CALL_DECISION_SUPPORT'!$A$1:$U$1496,$Z247,2))</f>
        <v>Film Review Required</v>
      </c>
      <c r="D247" s="12">
        <f>IF($Z247=0,"",INDEX('DEF_CALL_DECISION_SUPPORT'!$A$1:$U$1496,$Z247,3))</f>
        <v/>
      </c>
      <c r="E247" s="10">
        <f>IF($Z247=0,"",INDEX('DEF_CALL_DECISION_SUPPORT'!$A$1:$U$1496,$Z247,4))</f>
        <v/>
      </c>
      <c r="F247" s="10">
        <f>IF($Z247=0,"",INDEX('DEF_CALL_DECISION_SUPPORT'!$A$1:$U$1496,$Z247,5))</f>
        <v/>
      </c>
      <c r="G247" s="11">
        <f>IF($Z247=0,"",INDEX('DEF_CALL_DECISION_SUPPORT'!$A$1:$U$1496,$Z247,6))</f>
        <v/>
      </c>
      <c r="H247" s="11">
        <f>IF($Z247=0,"",INDEX('DEF_CALL_DECISION_SUPPORT'!$A$1:$U$1496,$Z247,10))</f>
        <v/>
      </c>
      <c r="I247" s="14">
        <f>IF($Z247=0,"",INDEX('DEF_CALL_DECISION_SUPPORT'!$A$1:$U$1496,$Z247,9))</f>
        <v/>
      </c>
      <c r="J247" s="14" t="str">
        <f>IF(Z247=0,"Film Review Required",IF(D247&lt;4,"Sample Watch • ","")&amp;"D&amp;D + Concept Match")</f>
        <v>Film Review Required</v>
      </c>
      <c r="K247" s="9" t="str">
        <f>IF($Z247=0,"No matching defensive reps; film confirmation needed.",INDEX('DEF_CALL_DECISION_SUPPORT'!$A$1:$U$1496,$Z247,12))</f>
        <v>No matching defensive reps; film confirmation needed.</v>
      </c>
      <c r="L247" s="14">
        <f>IF($Z247=0,"",INDEX('DEF_CALL_DECISION_SUPPORT'!$A$1:$U$1496,$Z247,11))</f>
        <v/>
      </c>
      <c r="Y247" s="2" t="s">
        <v>2566</v>
      </c>
      <c r="Z247" s="2">
        <f>IFERROR(MATCH(LEN($A247)&amp;":"&amp;$A247&amp;"|"&amp;LEN($B247)&amp;":"&amp;$B247&amp;"|",'DEF_CALL_DECISION_SUPPORT'!$U$811:$U$1055,0)+811-1,0)</f>
        <v>0</v>
      </c>
    </row>
    <row r="248" spans="1:26" ht="50" customHeight="1">
      <c r="A248" s="8" t="s">
        <v>111</v>
      </c>
      <c r="B248" s="8" t="s">
        <v>428</v>
      </c>
      <c r="C248" s="8" t="str">
        <f>IF($Z248=0,"Film Review Required",INDEX('DEF_CALL_DECISION_SUPPORT'!$A$1:$U$1496,$Z248,2))</f>
        <v>REBEL</v>
      </c>
      <c r="D248" s="12">
        <f>IF($Z248=0,"",INDEX('DEF_CALL_DECISION_SUPPORT'!$A$1:$U$1496,$Z248,3))</f>
        <v>1</v>
      </c>
      <c r="E248" s="10">
        <f>IF($Z248=0,"",INDEX('DEF_CALL_DECISION_SUPPORT'!$A$1:$U$1496,$Z248,4))</f>
        <v>1.0</v>
      </c>
      <c r="F248" s="10">
        <f>IF($Z248=0,"",INDEX('DEF_CALL_DECISION_SUPPORT'!$A$1:$U$1496,$Z248,5))</f>
        <v>0.0</v>
      </c>
      <c r="G248" s="11">
        <f>IF($Z248=0,"",INDEX('DEF_CALL_DECISION_SUPPORT'!$A$1:$U$1496,$Z248,6))</f>
        <v>1.0</v>
      </c>
      <c r="H248" s="11">
        <f>IF($Z248=0,"",INDEX('DEF_CALL_DECISION_SUPPORT'!$A$1:$U$1496,$Z248,10))</f>
        <v>99.0</v>
      </c>
      <c r="I248" s="14" t="str">
        <f>IF($Z248=0,"",INDEX('DEF_CALL_DECISION_SUPPORT'!$A$1:$U$1496,$Z248,9))</f>
        <v>TRACK</v>
      </c>
      <c r="J248" s="14" t="str">
        <f>IF(Z248=0,"Film Review Required",IF(D248&lt;4,"Sample Watch • ","")&amp;"D&amp;D + Concept Match")</f>
        <v>Sample Watch • D&amp;D + Concept Match</v>
      </c>
      <c r="K248" s="9" t="str">
        <f>IF($Z248=0,"No matching defensive reps; film confirmation needed.",INDEX('DEF_CALL_DECISION_SUPPORT'!$A$1:$U$1496,$Z248,12))</f>
        <v>Track only; not enough sample.</v>
      </c>
      <c r="L248" s="14" t="str">
        <f>IF($Z248=0,"",INDEX('DEF_CALL_DECISION_SUPPORT'!$A$1:$U$1496,$Z248,11))</f>
        <v>Track Only</v>
      </c>
      <c r="Y248" s="2" t="s">
        <v>589</v>
      </c>
      <c r="Z248" s="2">
        <f>IFERROR(MATCH(LEN($A248)&amp;":"&amp;$A248&amp;"|"&amp;LEN($B248)&amp;":"&amp;$B248&amp;"|",'DEF_CALL_DECISION_SUPPORT'!$U$811:$U$1055,0)+811-1,0)</f>
        <v>1014</v>
      </c>
    </row>
    <row r="249" spans="1:26" ht="50" customHeight="1">
      <c r="A249" s="8" t="s">
        <v>111</v>
      </c>
      <c r="B249" s="8" t="s">
        <v>468</v>
      </c>
      <c r="C249" s="8" t="str">
        <f>IF($Z249=0,"Film Review Required",INDEX('DEF_CALL_DECISION_SUPPORT'!$A$1:$U$1496,$Z249,2))</f>
        <v>9 DICE</v>
      </c>
      <c r="D249" s="12">
        <f>IF($Z249=0,"",INDEX('DEF_CALL_DECISION_SUPPORT'!$A$1:$U$1496,$Z249,3))</f>
        <v>1</v>
      </c>
      <c r="E249" s="10">
        <f>IF($Z249=0,"",INDEX('DEF_CALL_DECISION_SUPPORT'!$A$1:$U$1496,$Z249,4))</f>
        <v>0.0</v>
      </c>
      <c r="F249" s="10">
        <f>IF($Z249=0,"",INDEX('DEF_CALL_DECISION_SUPPORT'!$A$1:$U$1496,$Z249,5))</f>
        <v>1.0</v>
      </c>
      <c r="G249" s="11">
        <f>IF($Z249=0,"",INDEX('DEF_CALL_DECISION_SUPPORT'!$A$1:$U$1496,$Z249,6))</f>
        <v>23.0</v>
      </c>
      <c r="H249" s="11">
        <f>IF($Z249=0,"",INDEX('DEF_CALL_DECISION_SUPPORT'!$A$1:$U$1496,$Z249,10))</f>
        <v>0.0</v>
      </c>
      <c r="I249" s="14" t="str">
        <f>IF($Z249=0,"",INDEX('DEF_CALL_DECISION_SUPPORT'!$A$1:$U$1496,$Z249,9))</f>
        <v>TRACK</v>
      </c>
      <c r="J249" s="14" t="str">
        <f>IF(Z249=0,"Film Review Required",IF(D249&lt;4,"Sample Watch • ","")&amp;"D&amp;D + Concept Match")</f>
        <v>Sample Watch • D&amp;D + Concept Match</v>
      </c>
      <c r="K249" s="9" t="str">
        <f>IF($Z249=0,"No matching defensive reps; film confirmation needed.",INDEX('DEF_CALL_DECISION_SUPPORT'!$A$1:$U$1496,$Z249,12))</f>
        <v>Explosive risk; review clips before using as answer.</v>
      </c>
      <c r="L249" s="14" t="str">
        <f>IF($Z249=0,"",INDEX('DEF_CALL_DECISION_SUPPORT'!$A$1:$U$1496,$Z249,11))</f>
        <v>Explosive Alert</v>
      </c>
      <c r="Y249" s="2" t="s">
        <v>591</v>
      </c>
      <c r="Z249" s="2">
        <f>IFERROR(MATCH(LEN($A249)&amp;":"&amp;$A249&amp;"|"&amp;LEN($B249)&amp;":"&amp;$B249&amp;"|",'DEF_CALL_DECISION_SUPPORT'!$U$811:$U$1055,0)+811-1,0)</f>
        <v>1015</v>
      </c>
    </row>
    <row r="250" spans="1:26" ht="50" customHeight="1">
      <c r="A250" s="8" t="s">
        <v>111</v>
      </c>
      <c r="B250" s="8" t="s">
        <v>477</v>
      </c>
      <c r="C250" s="8" t="str">
        <f>IF($Z250=0,"Film Review Required",INDEX('DEF_CALL_DECISION_SUPPORT'!$A$1:$U$1496,$Z250,2))</f>
        <v>RAMBO</v>
      </c>
      <c r="D250" s="12">
        <f>IF($Z250=0,"",INDEX('DEF_CALL_DECISION_SUPPORT'!$A$1:$U$1496,$Z250,3))</f>
        <v>1</v>
      </c>
      <c r="E250" s="10">
        <f>IF($Z250=0,"",INDEX('DEF_CALL_DECISION_SUPPORT'!$A$1:$U$1496,$Z250,4))</f>
        <v>0.0</v>
      </c>
      <c r="F250" s="10">
        <f>IF($Z250=0,"",INDEX('DEF_CALL_DECISION_SUPPORT'!$A$1:$U$1496,$Z250,5))</f>
        <v>0.0</v>
      </c>
      <c r="G250" s="11">
        <f>IF($Z250=0,"",INDEX('DEF_CALL_DECISION_SUPPORT'!$A$1:$U$1496,$Z250,6))</f>
        <v>5.0</v>
      </c>
      <c r="H250" s="11">
        <f>IF($Z250=0,"",INDEX('DEF_CALL_DECISION_SUPPORT'!$A$1:$U$1496,$Z250,10))</f>
        <v>25.0</v>
      </c>
      <c r="I250" s="14" t="str">
        <f>IF($Z250=0,"",INDEX('DEF_CALL_DECISION_SUPPORT'!$A$1:$U$1496,$Z250,9))</f>
        <v>TRACK</v>
      </c>
      <c r="J250" s="14" t="str">
        <f>IF(Z250=0,"Film Review Required",IF(D250&lt;4,"Sample Watch • ","")&amp;"D&amp;D + Concept Match")</f>
        <v>Sample Watch • D&amp;D + Concept Match</v>
      </c>
      <c r="K250" s="9" t="str">
        <f>IF($Z250=0,"No matching defensive reps; film confirmation needed.",INDEX('DEF_CALL_DECISION_SUPPORT'!$A$1:$U$1496,$Z250,12))</f>
        <v>Track only; not enough sample.</v>
      </c>
      <c r="L250" s="14" t="str">
        <f>IF($Z250=0,"",INDEX('DEF_CALL_DECISION_SUPPORT'!$A$1:$U$1496,$Z250,11))</f>
        <v>Track Only</v>
      </c>
      <c r="Y250" s="2" t="s">
        <v>593</v>
      </c>
      <c r="Z250" s="2">
        <f>IFERROR(MATCH(LEN($A250)&amp;":"&amp;$A250&amp;"|"&amp;LEN($B250)&amp;":"&amp;$B250&amp;"|",'DEF_CALL_DECISION_SUPPORT'!$U$811:$U$1055,0)+811-1,0)</f>
        <v>1016</v>
      </c>
    </row>
    <row r="251" spans="1:26" ht="50" customHeight="1">
      <c r="A251" s="8" t="s">
        <v>111</v>
      </c>
      <c r="B251" s="8" t="s">
        <v>1038</v>
      </c>
      <c r="C251" s="8" t="str">
        <f>IF($Z251=0,"Film Review Required",INDEX('DEF_CALL_DECISION_SUPPORT'!$A$1:$U$1496,$Z251,2))</f>
        <v>Film Review Required</v>
      </c>
      <c r="D251" s="12">
        <f>IF($Z251=0,"",INDEX('DEF_CALL_DECISION_SUPPORT'!$A$1:$U$1496,$Z251,3))</f>
        <v/>
      </c>
      <c r="E251" s="10">
        <f>IF($Z251=0,"",INDEX('DEF_CALL_DECISION_SUPPORT'!$A$1:$U$1496,$Z251,4))</f>
        <v/>
      </c>
      <c r="F251" s="10">
        <f>IF($Z251=0,"",INDEX('DEF_CALL_DECISION_SUPPORT'!$A$1:$U$1496,$Z251,5))</f>
        <v/>
      </c>
      <c r="G251" s="11">
        <f>IF($Z251=0,"",INDEX('DEF_CALL_DECISION_SUPPORT'!$A$1:$U$1496,$Z251,6))</f>
        <v/>
      </c>
      <c r="H251" s="11">
        <f>IF($Z251=0,"",INDEX('DEF_CALL_DECISION_SUPPORT'!$A$1:$U$1496,$Z251,10))</f>
        <v/>
      </c>
      <c r="I251" s="14">
        <f>IF($Z251=0,"",INDEX('DEF_CALL_DECISION_SUPPORT'!$A$1:$U$1496,$Z251,9))</f>
        <v/>
      </c>
      <c r="J251" s="14" t="str">
        <f>IF(Z251=0,"Film Review Required",IF(D251&lt;4,"Sample Watch • ","")&amp;"D&amp;D + Concept Match")</f>
        <v>Film Review Required</v>
      </c>
      <c r="K251" s="9" t="str">
        <f>IF($Z251=0,"No matching defensive reps; film confirmation needed.",INDEX('DEF_CALL_DECISION_SUPPORT'!$A$1:$U$1496,$Z251,12))</f>
        <v>No matching defensive reps; film confirmation needed.</v>
      </c>
      <c r="L251" s="14">
        <f>IF($Z251=0,"",INDEX('DEF_CALL_DECISION_SUPPORT'!$A$1:$U$1496,$Z251,11))</f>
        <v/>
      </c>
      <c r="Y251" s="2" t="s">
        <v>2567</v>
      </c>
      <c r="Z251" s="2">
        <f>IFERROR(MATCH(LEN($A251)&amp;":"&amp;$A251&amp;"|"&amp;LEN($B251)&amp;":"&amp;$B251&amp;"|",'DEF_CALL_DECISION_SUPPORT'!$U$811:$U$1055,0)+811-1,0)</f>
        <v>0</v>
      </c>
    </row>
    <row r="252" spans="1:26" ht="50" customHeight="1">
      <c r="A252" s="8" t="s">
        <v>113</v>
      </c>
      <c r="B252" s="8" t="s">
        <v>449</v>
      </c>
      <c r="C252" s="8" t="str">
        <f>IF($Z252=0,"Film Review Required",INDEX('DEF_CALL_DECISION_SUPPORT'!$A$1:$U$1496,$Z252,2))</f>
        <v>9 DICE</v>
      </c>
      <c r="D252" s="12">
        <f>IF($Z252=0,"",INDEX('DEF_CALL_DECISION_SUPPORT'!$A$1:$U$1496,$Z252,3))</f>
        <v>1</v>
      </c>
      <c r="E252" s="10">
        <f>IF($Z252=0,"",INDEX('DEF_CALL_DECISION_SUPPORT'!$A$1:$U$1496,$Z252,4))</f>
        <v>1.0</v>
      </c>
      <c r="F252" s="10">
        <f>IF($Z252=0,"",INDEX('DEF_CALL_DECISION_SUPPORT'!$A$1:$U$1496,$Z252,5))</f>
        <v>0.0</v>
      </c>
      <c r="G252" s="11">
        <f>IF($Z252=0,"",INDEX('DEF_CALL_DECISION_SUPPORT'!$A$1:$U$1496,$Z252,6))</f>
        <v>0.0</v>
      </c>
      <c r="H252" s="11">
        <f>IF($Z252=0,"",INDEX('DEF_CALL_DECISION_SUPPORT'!$A$1:$U$1496,$Z252,10))</f>
        <v>100.0</v>
      </c>
      <c r="I252" s="14" t="str">
        <f>IF($Z252=0,"",INDEX('DEF_CALL_DECISION_SUPPORT'!$A$1:$U$1496,$Z252,9))</f>
        <v>TRACK</v>
      </c>
      <c r="J252" s="14" t="str">
        <f>IF(Z252=0,"Film Review Required",IF(D252&lt;4,"Sample Watch • ","")&amp;"D&amp;D + Concept Match")</f>
        <v>Sample Watch • D&amp;D + Concept Match</v>
      </c>
      <c r="K252" s="9" t="str">
        <f>IF($Z252=0,"No matching defensive reps; film confirmation needed.",INDEX('DEF_CALL_DECISION_SUPPORT'!$A$1:$U$1496,$Z252,12))</f>
        <v>Track only; not enough sample.</v>
      </c>
      <c r="L252" s="14" t="str">
        <f>IF($Z252=0,"",INDEX('DEF_CALL_DECISION_SUPPORT'!$A$1:$U$1496,$Z252,11))</f>
        <v>Track Only</v>
      </c>
      <c r="Y252" s="2" t="s">
        <v>595</v>
      </c>
      <c r="Z252" s="2">
        <f>IFERROR(MATCH(LEN($A252)&amp;":"&amp;$A252&amp;"|"&amp;LEN($B252)&amp;":"&amp;$B252&amp;"|",'DEF_CALL_DECISION_SUPPORT'!$U$811:$U$1055,0)+811-1,0)</f>
        <v>1017</v>
      </c>
    </row>
    <row r="253" spans="1:26" ht="50" customHeight="1">
      <c r="A253" s="8" t="s">
        <v>115</v>
      </c>
      <c r="B253" s="8" t="s">
        <v>446</v>
      </c>
      <c r="C253" s="8" t="str">
        <f>IF($Z253=0,"Film Review Required",INDEX('DEF_CALL_DECISION_SUPPORT'!$A$1:$U$1496,$Z253,2))</f>
        <v>REBEL</v>
      </c>
      <c r="D253" s="12">
        <f>IF($Z253=0,"",INDEX('DEF_CALL_DECISION_SUPPORT'!$A$1:$U$1496,$Z253,3))</f>
        <v>1</v>
      </c>
      <c r="E253" s="10">
        <f>IF($Z253=0,"",INDEX('DEF_CALL_DECISION_SUPPORT'!$A$1:$U$1496,$Z253,4))</f>
        <v>1.0</v>
      </c>
      <c r="F253" s="10">
        <f>IF($Z253=0,"",INDEX('DEF_CALL_DECISION_SUPPORT'!$A$1:$U$1496,$Z253,5))</f>
        <v>0.0</v>
      </c>
      <c r="G253" s="11">
        <f>IF($Z253=0,"",INDEX('DEF_CALL_DECISION_SUPPORT'!$A$1:$U$1496,$Z253,6))</f>
        <v>0.0</v>
      </c>
      <c r="H253" s="11">
        <f>IF($Z253=0,"",INDEX('DEF_CALL_DECISION_SUPPORT'!$A$1:$U$1496,$Z253,10))</f>
        <v>100.0</v>
      </c>
      <c r="I253" s="14" t="str">
        <f>IF($Z253=0,"",INDEX('DEF_CALL_DECISION_SUPPORT'!$A$1:$U$1496,$Z253,9))</f>
        <v>TRACK</v>
      </c>
      <c r="J253" s="14" t="str">
        <f>IF(Z253=0,"Film Review Required",IF(D253&lt;4,"Sample Watch • ","")&amp;"D&amp;D + Concept Match")</f>
        <v>Sample Watch • D&amp;D + Concept Match</v>
      </c>
      <c r="K253" s="9" t="str">
        <f>IF($Z253=0,"No matching defensive reps; film confirmation needed.",INDEX('DEF_CALL_DECISION_SUPPORT'!$A$1:$U$1496,$Z253,12))</f>
        <v>Track only; not enough sample.</v>
      </c>
      <c r="L253" s="14" t="str">
        <f>IF($Z253=0,"",INDEX('DEF_CALL_DECISION_SUPPORT'!$A$1:$U$1496,$Z253,11))</f>
        <v>Track Only</v>
      </c>
      <c r="Y253" s="2" t="s">
        <v>597</v>
      </c>
      <c r="Z253" s="2">
        <f>IFERROR(MATCH(LEN($A253)&amp;":"&amp;$A253&amp;"|"&amp;LEN($B253)&amp;":"&amp;$B253&amp;"|",'DEF_CALL_DECISION_SUPPORT'!$U$811:$U$1055,0)+811-1,0)</f>
        <v>1021</v>
      </c>
    </row>
    <row r="254" spans="1:26" ht="50" customHeight="1">
      <c r="A254" s="8" t="s">
        <v>115</v>
      </c>
      <c r="B254" s="8" t="s">
        <v>449</v>
      </c>
      <c r="C254" s="8" t="str">
        <f>IF($Z254=0,"Film Review Required",INDEX('DEF_CALL_DECISION_SUPPORT'!$A$1:$U$1496,$Z254,2))</f>
        <v>RAMBO</v>
      </c>
      <c r="D254" s="12">
        <f>IF($Z254=0,"",INDEX('DEF_CALL_DECISION_SUPPORT'!$A$1:$U$1496,$Z254,3))</f>
        <v>1</v>
      </c>
      <c r="E254" s="10">
        <f>IF($Z254=0,"",INDEX('DEF_CALL_DECISION_SUPPORT'!$A$1:$U$1496,$Z254,4))</f>
        <v>1.0</v>
      </c>
      <c r="F254" s="10">
        <f>IF($Z254=0,"",INDEX('DEF_CALL_DECISION_SUPPORT'!$A$1:$U$1496,$Z254,5))</f>
        <v>0.0</v>
      </c>
      <c r="G254" s="11">
        <f>IF($Z254=0,"",INDEX('DEF_CALL_DECISION_SUPPORT'!$A$1:$U$1496,$Z254,6))</f>
        <v>2.0</v>
      </c>
      <c r="H254" s="11">
        <f>IF($Z254=0,"",INDEX('DEF_CALL_DECISION_SUPPORT'!$A$1:$U$1496,$Z254,10))</f>
        <v>98.0</v>
      </c>
      <c r="I254" s="14" t="str">
        <f>IF($Z254=0,"",INDEX('DEF_CALL_DECISION_SUPPORT'!$A$1:$U$1496,$Z254,9))</f>
        <v>TRACK</v>
      </c>
      <c r="J254" s="14" t="str">
        <f>IF(Z254=0,"Film Review Required",IF(D254&lt;4,"Sample Watch • ","")&amp;"D&amp;D + Concept Match")</f>
        <v>Sample Watch • D&amp;D + Concept Match</v>
      </c>
      <c r="K254" s="9" t="str">
        <f>IF($Z254=0,"No matching defensive reps; film confirmation needed.",INDEX('DEF_CALL_DECISION_SUPPORT'!$A$1:$U$1496,$Z254,12))</f>
        <v>Track only; not enough sample.</v>
      </c>
      <c r="L254" s="14" t="str">
        <f>IF($Z254=0,"",INDEX('DEF_CALL_DECISION_SUPPORT'!$A$1:$U$1496,$Z254,11))</f>
        <v>Track Only</v>
      </c>
      <c r="Y254" s="2" t="s">
        <v>599</v>
      </c>
      <c r="Z254" s="2">
        <f>IFERROR(MATCH(LEN($A254)&amp;":"&amp;$A254&amp;"|"&amp;LEN($B254)&amp;":"&amp;$B254&amp;"|",'DEF_CALL_DECISION_SUPPORT'!$U$811:$U$1055,0)+811-1,0)</f>
        <v>1025</v>
      </c>
    </row>
    <row r="255" spans="1:26" ht="50" customHeight="1">
      <c r="A255" s="8" t="s">
        <v>115</v>
      </c>
      <c r="B255" s="8" t="s">
        <v>452</v>
      </c>
      <c r="C255" s="8" t="str">
        <f>IF($Z255=0,"Film Review Required",INDEX('DEF_CALL_DECISION_SUPPORT'!$A$1:$U$1496,$Z255,2))</f>
        <v>TEX</v>
      </c>
      <c r="D255" s="12">
        <f>IF($Z255=0,"",INDEX('DEF_CALL_DECISION_SUPPORT'!$A$1:$U$1496,$Z255,3))</f>
        <v>1</v>
      </c>
      <c r="E255" s="10">
        <f>IF($Z255=0,"",INDEX('DEF_CALL_DECISION_SUPPORT'!$A$1:$U$1496,$Z255,4))</f>
        <v>1.0</v>
      </c>
      <c r="F255" s="10">
        <f>IF($Z255=0,"",INDEX('DEF_CALL_DECISION_SUPPORT'!$A$1:$U$1496,$Z255,5))</f>
        <v>0.0</v>
      </c>
      <c r="G255" s="11">
        <f>IF($Z255=0,"",INDEX('DEF_CALL_DECISION_SUPPORT'!$A$1:$U$1496,$Z255,6))</f>
        <v>-10.0</v>
      </c>
      <c r="H255" s="11">
        <f>IF($Z255=0,"",INDEX('DEF_CALL_DECISION_SUPPORT'!$A$1:$U$1496,$Z255,10))</f>
        <v>100.0</v>
      </c>
      <c r="I255" s="14" t="str">
        <f>IF($Z255=0,"",INDEX('DEF_CALL_DECISION_SUPPORT'!$A$1:$U$1496,$Z255,9))</f>
        <v>TRACK</v>
      </c>
      <c r="J255" s="14" t="str">
        <f>IF(Z255=0,"Film Review Required",IF(D255&lt;4,"Sample Watch • ","")&amp;"D&amp;D + Concept Match")</f>
        <v>Sample Watch • D&amp;D + Concept Match</v>
      </c>
      <c r="K255" s="9" t="str">
        <f>IF($Z255=0,"No matching defensive reps; film confirmation needed.",INDEX('DEF_CALL_DECISION_SUPPORT'!$A$1:$U$1496,$Z255,12))</f>
        <v>Track only; not enough sample.</v>
      </c>
      <c r="L255" s="14" t="str">
        <f>IF($Z255=0,"",INDEX('DEF_CALL_DECISION_SUPPORT'!$A$1:$U$1496,$Z255,11))</f>
        <v>Track Only</v>
      </c>
      <c r="Y255" s="2" t="s">
        <v>601</v>
      </c>
      <c r="Z255" s="2">
        <f>IFERROR(MATCH(LEN($A255)&amp;":"&amp;$A255&amp;"|"&amp;LEN($B255)&amp;":"&amp;$B255&amp;"|",'DEF_CALL_DECISION_SUPPORT'!$U$811:$U$1055,0)+811-1,0)</f>
        <v>1027</v>
      </c>
    </row>
    <row r="256" spans="1:26" ht="50" customHeight="1">
      <c r="A256" s="8" t="s">
        <v>115</v>
      </c>
      <c r="B256" s="8" t="s">
        <v>432</v>
      </c>
      <c r="C256" s="8" t="str">
        <f>IF($Z256=0,"Film Review Required",INDEX('DEF_CALL_DECISION_SUPPORT'!$A$1:$U$1496,$Z256,2))</f>
        <v>BOURBON</v>
      </c>
      <c r="D256" s="12">
        <f>IF($Z256=0,"",INDEX('DEF_CALL_DECISION_SUPPORT'!$A$1:$U$1496,$Z256,3))</f>
        <v>1</v>
      </c>
      <c r="E256" s="10">
        <f>IF($Z256=0,"",INDEX('DEF_CALL_DECISION_SUPPORT'!$A$1:$U$1496,$Z256,4))</f>
        <v>0.0</v>
      </c>
      <c r="F256" s="10">
        <f>IF($Z256=0,"",INDEX('DEF_CALL_DECISION_SUPPORT'!$A$1:$U$1496,$Z256,5))</f>
        <v>0.0</v>
      </c>
      <c r="G256" s="11">
        <f>IF($Z256=0,"",INDEX('DEF_CALL_DECISION_SUPPORT'!$A$1:$U$1496,$Z256,6))</f>
        <v>4.0</v>
      </c>
      <c r="H256" s="11">
        <f>IF($Z256=0,"",INDEX('DEF_CALL_DECISION_SUPPORT'!$A$1:$U$1496,$Z256,10))</f>
        <v>26.0</v>
      </c>
      <c r="I256" s="14" t="str">
        <f>IF($Z256=0,"",INDEX('DEF_CALL_DECISION_SUPPORT'!$A$1:$U$1496,$Z256,9))</f>
        <v>TRACK</v>
      </c>
      <c r="J256" s="14" t="str">
        <f>IF(Z256=0,"Film Review Required",IF(D256&lt;4,"Sample Watch • ","")&amp;"D&amp;D + Concept Match")</f>
        <v>Sample Watch • D&amp;D + Concept Match</v>
      </c>
      <c r="K256" s="9" t="str">
        <f>IF($Z256=0,"No matching defensive reps; film confirmation needed.",INDEX('DEF_CALL_DECISION_SUPPORT'!$A$1:$U$1496,$Z256,12))</f>
        <v>Track only; not enough sample.</v>
      </c>
      <c r="L256" s="14" t="str">
        <f>IF($Z256=0,"",INDEX('DEF_CALL_DECISION_SUPPORT'!$A$1:$U$1496,$Z256,11))</f>
        <v>Track Only</v>
      </c>
      <c r="Y256" s="2" t="s">
        <v>603</v>
      </c>
      <c r="Z256" s="2">
        <f>IFERROR(MATCH(LEN($A256)&amp;":"&amp;$A256&amp;"|"&amp;LEN($B256)&amp;":"&amp;$B256&amp;"|",'DEF_CALL_DECISION_SUPPORT'!$U$811:$U$1055,0)+811-1,0)</f>
        <v>1028</v>
      </c>
    </row>
    <row r="257" spans="1:26" ht="50" customHeight="1">
      <c r="A257" s="8" t="s">
        <v>115</v>
      </c>
      <c r="B257" s="8" t="s">
        <v>605</v>
      </c>
      <c r="C257" s="8" t="str">
        <f>IF($Z257=0,"Film Review Required",INDEX('DEF_CALL_DECISION_SUPPORT'!$A$1:$U$1496,$Z257,2))</f>
        <v>RAMBO</v>
      </c>
      <c r="D257" s="12">
        <f>IF($Z257=0,"",INDEX('DEF_CALL_DECISION_SUPPORT'!$A$1:$U$1496,$Z257,3))</f>
        <v>1</v>
      </c>
      <c r="E257" s="10">
        <f>IF($Z257=0,"",INDEX('DEF_CALL_DECISION_SUPPORT'!$A$1:$U$1496,$Z257,4))</f>
        <v>1.0</v>
      </c>
      <c r="F257" s="10">
        <f>IF($Z257=0,"",INDEX('DEF_CALL_DECISION_SUPPORT'!$A$1:$U$1496,$Z257,5))</f>
        <v>0.0</v>
      </c>
      <c r="G257" s="11">
        <f>IF($Z257=0,"",INDEX('DEF_CALL_DECISION_SUPPORT'!$A$1:$U$1496,$Z257,6))</f>
        <v>0.0</v>
      </c>
      <c r="H257" s="11">
        <f>IF($Z257=0,"",INDEX('DEF_CALL_DECISION_SUPPORT'!$A$1:$U$1496,$Z257,10))</f>
        <v>100.0</v>
      </c>
      <c r="I257" s="14" t="str">
        <f>IF($Z257=0,"",INDEX('DEF_CALL_DECISION_SUPPORT'!$A$1:$U$1496,$Z257,9))</f>
        <v>TRACK</v>
      </c>
      <c r="J257" s="14" t="str">
        <f>IF(Z257=0,"Film Review Required",IF(D257&lt;4,"Sample Watch • ","")&amp;"D&amp;D + Concept Match")</f>
        <v>Sample Watch • D&amp;D + Concept Match</v>
      </c>
      <c r="K257" s="9" t="str">
        <f>IF($Z257=0,"No matching defensive reps; film confirmation needed.",INDEX('DEF_CALL_DECISION_SUPPORT'!$A$1:$U$1496,$Z257,12))</f>
        <v>Track only; not enough sample.</v>
      </c>
      <c r="L257" s="14" t="str">
        <f>IF($Z257=0,"",INDEX('DEF_CALL_DECISION_SUPPORT'!$A$1:$U$1496,$Z257,11))</f>
        <v>Track Only</v>
      </c>
      <c r="Y257" s="2" t="s">
        <v>606</v>
      </c>
      <c r="Z257" s="2">
        <f>IFERROR(MATCH(LEN($A257)&amp;":"&amp;$A257&amp;"|"&amp;LEN($B257)&amp;":"&amp;$B257&amp;"|",'DEF_CALL_DECISION_SUPPORT'!$U$811:$U$1055,0)+811-1,0)</f>
        <v>1031</v>
      </c>
    </row>
    <row r="258" spans="1:26" ht="50" customHeight="1">
      <c r="A258" s="8" t="s">
        <v>115</v>
      </c>
      <c r="B258" s="8" t="s">
        <v>608</v>
      </c>
      <c r="C258" s="8" t="str">
        <f>IF($Z258=0,"Film Review Required",INDEX('DEF_CALL_DECISION_SUPPORT'!$A$1:$U$1496,$Z258,2))</f>
        <v>BOURBON</v>
      </c>
      <c r="D258" s="12">
        <f>IF($Z258=0,"",INDEX('DEF_CALL_DECISION_SUPPORT'!$A$1:$U$1496,$Z258,3))</f>
        <v>1</v>
      </c>
      <c r="E258" s="10">
        <f>IF($Z258=0,"",INDEX('DEF_CALL_DECISION_SUPPORT'!$A$1:$U$1496,$Z258,4))</f>
        <v>0.0</v>
      </c>
      <c r="F258" s="10">
        <f>IF($Z258=0,"",INDEX('DEF_CALL_DECISION_SUPPORT'!$A$1:$U$1496,$Z258,5))</f>
        <v>1.0</v>
      </c>
      <c r="G258" s="11">
        <f>IF($Z258=0,"",INDEX('DEF_CALL_DECISION_SUPPORT'!$A$1:$U$1496,$Z258,6))</f>
        <v>14.0</v>
      </c>
      <c r="H258" s="11">
        <f>IF($Z258=0,"",INDEX('DEF_CALL_DECISION_SUPPORT'!$A$1:$U$1496,$Z258,10))</f>
        <v>0.0</v>
      </c>
      <c r="I258" s="14" t="str">
        <f>IF($Z258=0,"",INDEX('DEF_CALL_DECISION_SUPPORT'!$A$1:$U$1496,$Z258,9))</f>
        <v>TRACK</v>
      </c>
      <c r="J258" s="14" t="str">
        <f>IF(Z258=0,"Film Review Required",IF(D258&lt;4,"Sample Watch • ","")&amp;"D&amp;D + Concept Match")</f>
        <v>Sample Watch • D&amp;D + Concept Match</v>
      </c>
      <c r="K258" s="9" t="str">
        <f>IF($Z258=0,"No matching defensive reps; film confirmation needed.",INDEX('DEF_CALL_DECISION_SUPPORT'!$A$1:$U$1496,$Z258,12))</f>
        <v>Explosive risk; review clips before using as answer.</v>
      </c>
      <c r="L258" s="14" t="str">
        <f>IF($Z258=0,"",INDEX('DEF_CALL_DECISION_SUPPORT'!$A$1:$U$1496,$Z258,11))</f>
        <v>Explosive Alert</v>
      </c>
      <c r="Y258" s="2" t="s">
        <v>609</v>
      </c>
      <c r="Z258" s="2">
        <f>IFERROR(MATCH(LEN($A258)&amp;":"&amp;$A258&amp;"|"&amp;LEN($B258)&amp;":"&amp;$B258&amp;"|",'DEF_CALL_DECISION_SUPPORT'!$U$811:$U$1055,0)+811-1,0)</f>
        <v>1032</v>
      </c>
    </row>
    <row r="259" spans="1:26" ht="50" customHeight="1">
      <c r="A259" s="8" t="s">
        <v>115</v>
      </c>
      <c r="B259" s="8" t="s">
        <v>611</v>
      </c>
      <c r="C259" s="8" t="str">
        <f>IF($Z259=0,"Film Review Required",INDEX('DEF_CALL_DECISION_SUPPORT'!$A$1:$U$1496,$Z259,2))</f>
        <v>SWAP</v>
      </c>
      <c r="D259" s="12">
        <f>IF($Z259=0,"",INDEX('DEF_CALL_DECISION_SUPPORT'!$A$1:$U$1496,$Z259,3))</f>
        <v>1</v>
      </c>
      <c r="E259" s="10">
        <f>IF($Z259=0,"",INDEX('DEF_CALL_DECISION_SUPPORT'!$A$1:$U$1496,$Z259,4))</f>
        <v>1.0</v>
      </c>
      <c r="F259" s="10">
        <f>IF($Z259=0,"",INDEX('DEF_CALL_DECISION_SUPPORT'!$A$1:$U$1496,$Z259,5))</f>
        <v>0.0</v>
      </c>
      <c r="G259" s="11">
        <f>IF($Z259=0,"",INDEX('DEF_CALL_DECISION_SUPPORT'!$A$1:$U$1496,$Z259,6))</f>
        <v>3.0</v>
      </c>
      <c r="H259" s="11">
        <f>IF($Z259=0,"",INDEX('DEF_CALL_DECISION_SUPPORT'!$A$1:$U$1496,$Z259,10))</f>
        <v>97.0</v>
      </c>
      <c r="I259" s="14" t="str">
        <f>IF($Z259=0,"",INDEX('DEF_CALL_DECISION_SUPPORT'!$A$1:$U$1496,$Z259,9))</f>
        <v>TRACK</v>
      </c>
      <c r="J259" s="14" t="str">
        <f>IF(Z259=0,"Film Review Required",IF(D259&lt;4,"Sample Watch • ","")&amp;"D&amp;D + Concept Match")</f>
        <v>Sample Watch • D&amp;D + Concept Match</v>
      </c>
      <c r="K259" s="9" t="str">
        <f>IF($Z259=0,"No matching defensive reps; film confirmation needed.",INDEX('DEF_CALL_DECISION_SUPPORT'!$A$1:$U$1496,$Z259,12))</f>
        <v>Track only; not enough sample.</v>
      </c>
      <c r="L259" s="14" t="str">
        <f>IF($Z259=0,"",INDEX('DEF_CALL_DECISION_SUPPORT'!$A$1:$U$1496,$Z259,11))</f>
        <v>Track Only</v>
      </c>
      <c r="Y259" s="2" t="s">
        <v>612</v>
      </c>
      <c r="Z259" s="2">
        <f>IFERROR(MATCH(LEN($A259)&amp;":"&amp;$A259&amp;"|"&amp;LEN($B259)&amp;":"&amp;$B259&amp;"|",'DEF_CALL_DECISION_SUPPORT'!$U$811:$U$1055,0)+811-1,0)</f>
        <v>1033</v>
      </c>
    </row>
    <row r="260" spans="1:26" ht="50" customHeight="1">
      <c r="A260" s="8" t="s">
        <v>115</v>
      </c>
      <c r="B260" s="8" t="s">
        <v>561</v>
      </c>
      <c r="C260" s="8" t="str">
        <f>IF($Z260=0,"Film Review Required",INDEX('DEF_CALL_DECISION_SUPPORT'!$A$1:$U$1496,$Z260,2))</f>
        <v>BOOGIE</v>
      </c>
      <c r="D260" s="12">
        <f>IF($Z260=0,"",INDEX('DEF_CALL_DECISION_SUPPORT'!$A$1:$U$1496,$Z260,3))</f>
        <v>1</v>
      </c>
      <c r="E260" s="10">
        <f>IF($Z260=0,"",INDEX('DEF_CALL_DECISION_SUPPORT'!$A$1:$U$1496,$Z260,4))</f>
        <v>0.0</v>
      </c>
      <c r="F260" s="10">
        <f>IF($Z260=0,"",INDEX('DEF_CALL_DECISION_SUPPORT'!$A$1:$U$1496,$Z260,5))</f>
        <v>1.0</v>
      </c>
      <c r="G260" s="11">
        <f>IF($Z260=0,"",INDEX('DEF_CALL_DECISION_SUPPORT'!$A$1:$U$1496,$Z260,6))</f>
        <v>72.0</v>
      </c>
      <c r="H260" s="11">
        <f>IF($Z260=0,"",INDEX('DEF_CALL_DECISION_SUPPORT'!$A$1:$U$1496,$Z260,10))</f>
        <v>0.0</v>
      </c>
      <c r="I260" s="14" t="str">
        <f>IF($Z260=0,"",INDEX('DEF_CALL_DECISION_SUPPORT'!$A$1:$U$1496,$Z260,9))</f>
        <v>TRACK</v>
      </c>
      <c r="J260" s="14" t="str">
        <f>IF(Z260=0,"Film Review Required",IF(D260&lt;4,"Sample Watch • ","")&amp;"D&amp;D + Concept Match")</f>
        <v>Sample Watch • D&amp;D + Concept Match</v>
      </c>
      <c r="K260" s="9" t="str">
        <f>IF($Z260=0,"No matching defensive reps; film confirmation needed.",INDEX('DEF_CALL_DECISION_SUPPORT'!$A$1:$U$1496,$Z260,12))</f>
        <v>Explosive risk; review clips before using as answer.</v>
      </c>
      <c r="L260" s="14" t="str">
        <f>IF($Z260=0,"",INDEX('DEF_CALL_DECISION_SUPPORT'!$A$1:$U$1496,$Z260,11))</f>
        <v>Explosive Alert</v>
      </c>
      <c r="Y260" s="2" t="s">
        <v>614</v>
      </c>
      <c r="Z260" s="2">
        <f>IFERROR(MATCH(LEN($A260)&amp;":"&amp;$A260&amp;"|"&amp;LEN($B260)&amp;":"&amp;$B260&amp;"|",'DEF_CALL_DECISION_SUPPORT'!$U$811:$U$1055,0)+811-1,0)</f>
        <v>1034</v>
      </c>
    </row>
    <row r="261" spans="1:26" ht="50" customHeight="1">
      <c r="A261" s="8" t="s">
        <v>115</v>
      </c>
      <c r="B261" s="8" t="s">
        <v>878</v>
      </c>
      <c r="C261" s="8" t="str">
        <f>IF($Z261=0,"Film Review Required",INDEX('DEF_CALL_DECISION_SUPPORT'!$A$1:$U$1496,$Z261,2))</f>
        <v>Film Review Required</v>
      </c>
      <c r="D261" s="12">
        <f>IF($Z261=0,"",INDEX('DEF_CALL_DECISION_SUPPORT'!$A$1:$U$1496,$Z261,3))</f>
        <v/>
      </c>
      <c r="E261" s="10">
        <f>IF($Z261=0,"",INDEX('DEF_CALL_DECISION_SUPPORT'!$A$1:$U$1496,$Z261,4))</f>
        <v/>
      </c>
      <c r="F261" s="10">
        <f>IF($Z261=0,"",INDEX('DEF_CALL_DECISION_SUPPORT'!$A$1:$U$1496,$Z261,5))</f>
        <v/>
      </c>
      <c r="G261" s="11">
        <f>IF($Z261=0,"",INDEX('DEF_CALL_DECISION_SUPPORT'!$A$1:$U$1496,$Z261,6))</f>
        <v/>
      </c>
      <c r="H261" s="11">
        <f>IF($Z261=0,"",INDEX('DEF_CALL_DECISION_SUPPORT'!$A$1:$U$1496,$Z261,10))</f>
        <v/>
      </c>
      <c r="I261" s="14">
        <f>IF($Z261=0,"",INDEX('DEF_CALL_DECISION_SUPPORT'!$A$1:$U$1496,$Z261,9))</f>
        <v/>
      </c>
      <c r="J261" s="14" t="str">
        <f>IF(Z261=0,"Film Review Required",IF(D261&lt;4,"Sample Watch • ","")&amp;"D&amp;D + Concept Match")</f>
        <v>Film Review Required</v>
      </c>
      <c r="K261" s="9" t="str">
        <f>IF($Z261=0,"No matching defensive reps; film confirmation needed.",INDEX('DEF_CALL_DECISION_SUPPORT'!$A$1:$U$1496,$Z261,12))</f>
        <v>No matching defensive reps; film confirmation needed.</v>
      </c>
      <c r="L261" s="14">
        <f>IF($Z261=0,"",INDEX('DEF_CALL_DECISION_SUPPORT'!$A$1:$U$1496,$Z261,11))</f>
        <v/>
      </c>
      <c r="Y261" s="2" t="s">
        <v>2568</v>
      </c>
      <c r="Z261" s="2">
        <f>IFERROR(MATCH(LEN($A261)&amp;":"&amp;$A261&amp;"|"&amp;LEN($B261)&amp;":"&amp;$B261&amp;"|",'DEF_CALL_DECISION_SUPPORT'!$U$811:$U$1055,0)+811-1,0)</f>
        <v>0</v>
      </c>
    </row>
    <row r="262" spans="1:26" ht="50" customHeight="1">
      <c r="A262" s="8" t="s">
        <v>115</v>
      </c>
      <c r="B262" s="8" t="s">
        <v>428</v>
      </c>
      <c r="C262" s="8" t="str">
        <f>IF($Z262=0,"Film Review Required",INDEX('DEF_CALL_DECISION_SUPPORT'!$A$1:$U$1496,$Z262,2))</f>
        <v>KEY CAPTAIN</v>
      </c>
      <c r="D262" s="12">
        <f>IF($Z262=0,"",INDEX('DEF_CALL_DECISION_SUPPORT'!$A$1:$U$1496,$Z262,3))</f>
        <v>3</v>
      </c>
      <c r="E262" s="10">
        <f>IF($Z262=0,"",INDEX('DEF_CALL_DECISION_SUPPORT'!$A$1:$U$1496,$Z262,4))</f>
        <v>0.3333333333333333</v>
      </c>
      <c r="F262" s="10">
        <f>IF($Z262=0,"",INDEX('DEF_CALL_DECISION_SUPPORT'!$A$1:$U$1496,$Z262,5))</f>
        <v>0.0</v>
      </c>
      <c r="G262" s="11">
        <f>IF($Z262=0,"",INDEX('DEF_CALL_DECISION_SUPPORT'!$A$1:$U$1496,$Z262,6))</f>
        <v>4.333333333333333</v>
      </c>
      <c r="H262" s="11">
        <f>IF($Z262=0,"",INDEX('DEF_CALL_DECISION_SUPPORT'!$A$1:$U$1496,$Z262,10))</f>
        <v>49.0</v>
      </c>
      <c r="I262" s="14" t="str">
        <f>IF($Z262=0,"",INDEX('DEF_CALL_DECISION_SUPPORT'!$A$1:$U$1496,$Z262,9))</f>
        <v>LOW</v>
      </c>
      <c r="J262" s="14" t="str">
        <f>IF(Z262=0,"Film Review Required",IF(D262&lt;4,"Sample Watch • ","")&amp;"D&amp;D + Concept Match")</f>
        <v>Sample Watch • D&amp;D + Concept Match</v>
      </c>
      <c r="K262" s="9" t="str">
        <f>IF($Z262=0,"No matching defensive reps; film confirmation needed.",INDEX('DEF_CALL_DECISION_SUPPORT'!$A$1:$U$1496,$Z262,12))</f>
        <v>Sample watch; review clips and build the sample.</v>
      </c>
      <c r="L262" s="14" t="str">
        <f>IF($Z262=0,"",INDEX('DEF_CALL_DECISION_SUPPORT'!$A$1:$U$1496,$Z262,11))</f>
        <v>Sample Watch</v>
      </c>
      <c r="Y262" s="2" t="s">
        <v>616</v>
      </c>
      <c r="Z262" s="2">
        <f>IFERROR(MATCH(LEN($A262)&amp;":"&amp;$A262&amp;"|"&amp;LEN($B262)&amp;":"&amp;$B262&amp;"|",'DEF_CALL_DECISION_SUPPORT'!$U$811:$U$1055,0)+811-1,0)</f>
        <v>1036</v>
      </c>
    </row>
    <row r="263" spans="1:26" ht="50" customHeight="1">
      <c r="A263" s="8" t="s">
        <v>115</v>
      </c>
      <c r="B263" s="8" t="s">
        <v>574</v>
      </c>
      <c r="C263" s="8" t="str">
        <f>IF($Z263=0,"Film Review Required",INDEX('DEF_CALL_DECISION_SUPPORT'!$A$1:$U$1496,$Z263,2))</f>
        <v>Film Review Required</v>
      </c>
      <c r="D263" s="12">
        <f>IF($Z263=0,"",INDEX('DEF_CALL_DECISION_SUPPORT'!$A$1:$U$1496,$Z263,3))</f>
        <v/>
      </c>
      <c r="E263" s="10">
        <f>IF($Z263=0,"",INDEX('DEF_CALL_DECISION_SUPPORT'!$A$1:$U$1496,$Z263,4))</f>
        <v/>
      </c>
      <c r="F263" s="10">
        <f>IF($Z263=0,"",INDEX('DEF_CALL_DECISION_SUPPORT'!$A$1:$U$1496,$Z263,5))</f>
        <v/>
      </c>
      <c r="G263" s="11">
        <f>IF($Z263=0,"",INDEX('DEF_CALL_DECISION_SUPPORT'!$A$1:$U$1496,$Z263,6))</f>
        <v/>
      </c>
      <c r="H263" s="11">
        <f>IF($Z263=0,"",INDEX('DEF_CALL_DECISION_SUPPORT'!$A$1:$U$1496,$Z263,10))</f>
        <v/>
      </c>
      <c r="I263" s="14">
        <f>IF($Z263=0,"",INDEX('DEF_CALL_DECISION_SUPPORT'!$A$1:$U$1496,$Z263,9))</f>
        <v/>
      </c>
      <c r="J263" s="14" t="str">
        <f>IF(Z263=0,"Film Review Required",IF(D263&lt;4,"Sample Watch • ","")&amp;"D&amp;D + Concept Match")</f>
        <v>Film Review Required</v>
      </c>
      <c r="K263" s="9" t="str">
        <f>IF($Z263=0,"No matching defensive reps; film confirmation needed.",INDEX('DEF_CALL_DECISION_SUPPORT'!$A$1:$U$1496,$Z263,12))</f>
        <v>No matching defensive reps; film confirmation needed.</v>
      </c>
      <c r="L263" s="14">
        <f>IF($Z263=0,"",INDEX('DEF_CALL_DECISION_SUPPORT'!$A$1:$U$1496,$Z263,11))</f>
        <v/>
      </c>
      <c r="Y263" s="2" t="s">
        <v>2569</v>
      </c>
      <c r="Z263" s="2">
        <f>IFERROR(MATCH(LEN($A263)&amp;":"&amp;$A263&amp;"|"&amp;LEN($B263)&amp;":"&amp;$B263&amp;"|",'DEF_CALL_DECISION_SUPPORT'!$U$811:$U$1055,0)+811-1,0)</f>
        <v>0</v>
      </c>
    </row>
    <row r="264" spans="1:26" ht="50" customHeight="1">
      <c r="A264" s="8" t="s">
        <v>115</v>
      </c>
      <c r="B264" s="8" t="s">
        <v>465</v>
      </c>
      <c r="C264" s="8" t="str">
        <f>IF($Z264=0,"Film Review Required",INDEX('DEF_CALL_DECISION_SUPPORT'!$A$1:$U$1496,$Z264,2))</f>
        <v>RAMBO</v>
      </c>
      <c r="D264" s="12">
        <f>IF($Z264=0,"",INDEX('DEF_CALL_DECISION_SUPPORT'!$A$1:$U$1496,$Z264,3))</f>
        <v>1</v>
      </c>
      <c r="E264" s="10">
        <f>IF($Z264=0,"",INDEX('DEF_CALL_DECISION_SUPPORT'!$A$1:$U$1496,$Z264,4))</f>
        <v>1.0</v>
      </c>
      <c r="F264" s="10">
        <f>IF($Z264=0,"",INDEX('DEF_CALL_DECISION_SUPPORT'!$A$1:$U$1496,$Z264,5))</f>
        <v>0.0</v>
      </c>
      <c r="G264" s="11">
        <f>IF($Z264=0,"",INDEX('DEF_CALL_DECISION_SUPPORT'!$A$1:$U$1496,$Z264,6))</f>
        <v>-1.0</v>
      </c>
      <c r="H264" s="11">
        <f>IF($Z264=0,"",INDEX('DEF_CALL_DECISION_SUPPORT'!$A$1:$U$1496,$Z264,10))</f>
        <v>100.0</v>
      </c>
      <c r="I264" s="14" t="str">
        <f>IF($Z264=0,"",INDEX('DEF_CALL_DECISION_SUPPORT'!$A$1:$U$1496,$Z264,9))</f>
        <v>TRACK</v>
      </c>
      <c r="J264" s="14" t="str">
        <f>IF(Z264=0,"Film Review Required",IF(D264&lt;4,"Sample Watch • ","")&amp;"D&amp;D + Concept Match")</f>
        <v>Sample Watch • D&amp;D + Concept Match</v>
      </c>
      <c r="K264" s="9" t="str">
        <f>IF($Z264=0,"No matching defensive reps; film confirmation needed.",INDEX('DEF_CALL_DECISION_SUPPORT'!$A$1:$U$1496,$Z264,12))</f>
        <v>Track only; not enough sample.</v>
      </c>
      <c r="L264" s="14" t="str">
        <f>IF($Z264=0,"",INDEX('DEF_CALL_DECISION_SUPPORT'!$A$1:$U$1496,$Z264,11))</f>
        <v>Track Only</v>
      </c>
      <c r="Y264" s="2" t="s">
        <v>618</v>
      </c>
      <c r="Z264" s="2">
        <f>IFERROR(MATCH(LEN($A264)&amp;":"&amp;$A264&amp;"|"&amp;LEN($B264)&amp;":"&amp;$B264&amp;"|",'DEF_CALL_DECISION_SUPPORT'!$U$811:$U$1055,0)+811-1,0)</f>
        <v>1044</v>
      </c>
    </row>
    <row r="265" spans="1:26" ht="50" customHeight="1">
      <c r="A265" s="8" t="s">
        <v>115</v>
      </c>
      <c r="B265" s="8" t="s">
        <v>468</v>
      </c>
      <c r="C265" s="8" t="str">
        <f>IF($Z265=0,"Film Review Required",INDEX('DEF_CALL_DECISION_SUPPORT'!$A$1:$U$1496,$Z265,2))</f>
        <v>KEY CAPTAIN</v>
      </c>
      <c r="D265" s="12">
        <f>IF($Z265=0,"",INDEX('DEF_CALL_DECISION_SUPPORT'!$A$1:$U$1496,$Z265,3))</f>
        <v>1</v>
      </c>
      <c r="E265" s="10">
        <f>IF($Z265=0,"",INDEX('DEF_CALL_DECISION_SUPPORT'!$A$1:$U$1496,$Z265,4))</f>
        <v>1.0</v>
      </c>
      <c r="F265" s="10">
        <f>IF($Z265=0,"",INDEX('DEF_CALL_DECISION_SUPPORT'!$A$1:$U$1496,$Z265,5))</f>
        <v>0.0</v>
      </c>
      <c r="G265" s="11">
        <f>IF($Z265=0,"",INDEX('DEF_CALL_DECISION_SUPPORT'!$A$1:$U$1496,$Z265,6))</f>
        <v>-7.0</v>
      </c>
      <c r="H265" s="11">
        <f>IF($Z265=0,"",INDEX('DEF_CALL_DECISION_SUPPORT'!$A$1:$U$1496,$Z265,10))</f>
        <v>100.0</v>
      </c>
      <c r="I265" s="14" t="str">
        <f>IF($Z265=0,"",INDEX('DEF_CALL_DECISION_SUPPORT'!$A$1:$U$1496,$Z265,9))</f>
        <v>TRACK</v>
      </c>
      <c r="J265" s="14" t="str">
        <f>IF(Z265=0,"Film Review Required",IF(D265&lt;4,"Sample Watch • ","")&amp;"D&amp;D + Concept Match")</f>
        <v>Sample Watch • D&amp;D + Concept Match</v>
      </c>
      <c r="K265" s="9" t="str">
        <f>IF($Z265=0,"No matching defensive reps; film confirmation needed.",INDEX('DEF_CALL_DECISION_SUPPORT'!$A$1:$U$1496,$Z265,12))</f>
        <v>Track only; not enough sample.</v>
      </c>
      <c r="L265" s="14" t="str">
        <f>IF($Z265=0,"",INDEX('DEF_CALL_DECISION_SUPPORT'!$A$1:$U$1496,$Z265,11))</f>
        <v>Track Only</v>
      </c>
      <c r="Y265" s="2" t="s">
        <v>620</v>
      </c>
      <c r="Z265" s="2">
        <f>IFERROR(MATCH(LEN($A265)&amp;":"&amp;$A265&amp;"|"&amp;LEN($B265)&amp;":"&amp;$B265&amp;"|",'DEF_CALL_DECISION_SUPPORT'!$U$811:$U$1055,0)+811-1,0)</f>
        <v>1047</v>
      </c>
    </row>
    <row r="266" spans="1:26" ht="50" customHeight="1">
      <c r="A266" s="8" t="s">
        <v>115</v>
      </c>
      <c r="B266" s="8" t="s">
        <v>541</v>
      </c>
      <c r="C266" s="8" t="str">
        <f>IF($Z266=0,"Film Review Required",INDEX('DEF_CALL_DECISION_SUPPORT'!$A$1:$U$1496,$Z266,2))</f>
        <v>TEX</v>
      </c>
      <c r="D266" s="12">
        <f>IF($Z266=0,"",INDEX('DEF_CALL_DECISION_SUPPORT'!$A$1:$U$1496,$Z266,3))</f>
        <v>1</v>
      </c>
      <c r="E266" s="10">
        <f>IF($Z266=0,"",INDEX('DEF_CALL_DECISION_SUPPORT'!$A$1:$U$1496,$Z266,4))</f>
        <v>1.0</v>
      </c>
      <c r="F266" s="10">
        <f>IF($Z266=0,"",INDEX('DEF_CALL_DECISION_SUPPORT'!$A$1:$U$1496,$Z266,5))</f>
        <v>0.0</v>
      </c>
      <c r="G266" s="11">
        <f>IF($Z266=0,"",INDEX('DEF_CALL_DECISION_SUPPORT'!$A$1:$U$1496,$Z266,6))</f>
        <v>3.0</v>
      </c>
      <c r="H266" s="11">
        <f>IF($Z266=0,"",INDEX('DEF_CALL_DECISION_SUPPORT'!$A$1:$U$1496,$Z266,10))</f>
        <v>97.0</v>
      </c>
      <c r="I266" s="14" t="str">
        <f>IF($Z266=0,"",INDEX('DEF_CALL_DECISION_SUPPORT'!$A$1:$U$1496,$Z266,9))</f>
        <v>TRACK</v>
      </c>
      <c r="J266" s="14" t="str">
        <f>IF(Z266=0,"Film Review Required",IF(D266&lt;4,"Sample Watch • ","")&amp;"D&amp;D + Concept Match")</f>
        <v>Sample Watch • D&amp;D + Concept Match</v>
      </c>
      <c r="K266" s="9" t="str">
        <f>IF($Z266=0,"No matching defensive reps; film confirmation needed.",INDEX('DEF_CALL_DECISION_SUPPORT'!$A$1:$U$1496,$Z266,12))</f>
        <v>Track only; not enough sample.</v>
      </c>
      <c r="L266" s="14" t="str">
        <f>IF($Z266=0,"",INDEX('DEF_CALL_DECISION_SUPPORT'!$A$1:$U$1496,$Z266,11))</f>
        <v>Track Only</v>
      </c>
      <c r="Y266" s="2" t="s">
        <v>622</v>
      </c>
      <c r="Z266" s="2">
        <f>IFERROR(MATCH(LEN($A266)&amp;":"&amp;$A266&amp;"|"&amp;LEN($B266)&amp;":"&amp;$B266&amp;"|",'DEF_CALL_DECISION_SUPPORT'!$U$811:$U$1055,0)+811-1,0)</f>
        <v>1048</v>
      </c>
    </row>
    <row r="267" spans="1:26" ht="50" customHeight="1">
      <c r="A267" s="8" t="s">
        <v>115</v>
      </c>
      <c r="B267" s="8" t="s">
        <v>800</v>
      </c>
      <c r="C267" s="8" t="str">
        <f>IF($Z267=0,"Film Review Required",INDEX('DEF_CALL_DECISION_SUPPORT'!$A$1:$U$1496,$Z267,2))</f>
        <v>Film Review Required</v>
      </c>
      <c r="D267" s="12">
        <f>IF($Z267=0,"",INDEX('DEF_CALL_DECISION_SUPPORT'!$A$1:$U$1496,$Z267,3))</f>
        <v/>
      </c>
      <c r="E267" s="10">
        <f>IF($Z267=0,"",INDEX('DEF_CALL_DECISION_SUPPORT'!$A$1:$U$1496,$Z267,4))</f>
        <v/>
      </c>
      <c r="F267" s="10">
        <f>IF($Z267=0,"",INDEX('DEF_CALL_DECISION_SUPPORT'!$A$1:$U$1496,$Z267,5))</f>
        <v/>
      </c>
      <c r="G267" s="11">
        <f>IF($Z267=0,"",INDEX('DEF_CALL_DECISION_SUPPORT'!$A$1:$U$1496,$Z267,6))</f>
        <v/>
      </c>
      <c r="H267" s="11">
        <f>IF($Z267=0,"",INDEX('DEF_CALL_DECISION_SUPPORT'!$A$1:$U$1496,$Z267,10))</f>
        <v/>
      </c>
      <c r="I267" s="14">
        <f>IF($Z267=0,"",INDEX('DEF_CALL_DECISION_SUPPORT'!$A$1:$U$1496,$Z267,9))</f>
        <v/>
      </c>
      <c r="J267" s="14" t="str">
        <f>IF(Z267=0,"Film Review Required",IF(D267&lt;4,"Sample Watch • ","")&amp;"D&amp;D + Concept Match")</f>
        <v>Film Review Required</v>
      </c>
      <c r="K267" s="9" t="str">
        <f>IF($Z267=0,"No matching defensive reps; film confirmation needed.",INDEX('DEF_CALL_DECISION_SUPPORT'!$A$1:$U$1496,$Z267,12))</f>
        <v>No matching defensive reps; film confirmation needed.</v>
      </c>
      <c r="L267" s="14">
        <f>IF($Z267=0,"",INDEX('DEF_CALL_DECISION_SUPPORT'!$A$1:$U$1496,$Z267,11))</f>
        <v/>
      </c>
      <c r="Y267" s="2" t="s">
        <v>2570</v>
      </c>
      <c r="Z267" s="2">
        <f>IFERROR(MATCH(LEN($A267)&amp;":"&amp;$A267&amp;"|"&amp;LEN($B267)&amp;":"&amp;$B267&amp;"|",'DEF_CALL_DECISION_SUPPORT'!$U$811:$U$1055,0)+811-1,0)</f>
        <v>0</v>
      </c>
    </row>
    <row r="268" spans="1:26" ht="50" customHeight="1">
      <c r="A268" s="8" t="s">
        <v>115</v>
      </c>
      <c r="B268" s="8" t="s">
        <v>471</v>
      </c>
      <c r="C268" s="8" t="str">
        <f>IF($Z268=0,"Film Review Required",INDEX('DEF_CALL_DECISION_SUPPORT'!$A$1:$U$1496,$Z268,2))</f>
        <v>TEX</v>
      </c>
      <c r="D268" s="12">
        <f>IF($Z268=0,"",INDEX('DEF_CALL_DECISION_SUPPORT'!$A$1:$U$1496,$Z268,3))</f>
        <v>1</v>
      </c>
      <c r="E268" s="10">
        <f>IF($Z268=0,"",INDEX('DEF_CALL_DECISION_SUPPORT'!$A$1:$U$1496,$Z268,4))</f>
        <v>1.0</v>
      </c>
      <c r="F268" s="10">
        <f>IF($Z268=0,"",INDEX('DEF_CALL_DECISION_SUPPORT'!$A$1:$U$1496,$Z268,5))</f>
        <v>0.0</v>
      </c>
      <c r="G268" s="11">
        <f>IF($Z268=0,"",INDEX('DEF_CALL_DECISION_SUPPORT'!$A$1:$U$1496,$Z268,6))</f>
        <v>0.0</v>
      </c>
      <c r="H268" s="11">
        <f>IF($Z268=0,"",INDEX('DEF_CALL_DECISION_SUPPORT'!$A$1:$U$1496,$Z268,10))</f>
        <v>100.0</v>
      </c>
      <c r="I268" s="14" t="str">
        <f>IF($Z268=0,"",INDEX('DEF_CALL_DECISION_SUPPORT'!$A$1:$U$1496,$Z268,9))</f>
        <v>TRACK</v>
      </c>
      <c r="J268" s="14" t="str">
        <f>IF(Z268=0,"Film Review Required",IF(D268&lt;4,"Sample Watch • ","")&amp;"D&amp;D + Concept Match")</f>
        <v>Sample Watch • D&amp;D + Concept Match</v>
      </c>
      <c r="K268" s="9" t="str">
        <f>IF($Z268=0,"No matching defensive reps; film confirmation needed.",INDEX('DEF_CALL_DECISION_SUPPORT'!$A$1:$U$1496,$Z268,12))</f>
        <v>Track only; not enough sample.</v>
      </c>
      <c r="L268" s="14" t="str">
        <f>IF($Z268=0,"",INDEX('DEF_CALL_DECISION_SUPPORT'!$A$1:$U$1496,$Z268,11))</f>
        <v>Track Only</v>
      </c>
      <c r="Y268" s="2" t="s">
        <v>624</v>
      </c>
      <c r="Z268" s="2">
        <f>IFERROR(MATCH(LEN($A268)&amp;":"&amp;$A268&amp;"|"&amp;LEN($B268)&amp;":"&amp;$B268&amp;"|",'DEF_CALL_DECISION_SUPPORT'!$U$811:$U$1055,0)+811-1,0)</f>
        <v>1052</v>
      </c>
    </row>
    <row r="269" spans="1:26" ht="50" customHeight="1">
      <c r="A269" s="8" t="s">
        <v>115</v>
      </c>
      <c r="B269" s="8" t="s">
        <v>474</v>
      </c>
      <c r="C269" s="8" t="str">
        <f>IF($Z269=0,"Film Review Required",INDEX('DEF_CALL_DECISION_SUPPORT'!$A$1:$U$1496,$Z269,2))</f>
        <v>Film Review Required</v>
      </c>
      <c r="D269" s="12">
        <f>IF($Z269=0,"",INDEX('DEF_CALL_DECISION_SUPPORT'!$A$1:$U$1496,$Z269,3))</f>
        <v/>
      </c>
      <c r="E269" s="10">
        <f>IF($Z269=0,"",INDEX('DEF_CALL_DECISION_SUPPORT'!$A$1:$U$1496,$Z269,4))</f>
        <v/>
      </c>
      <c r="F269" s="10">
        <f>IF($Z269=0,"",INDEX('DEF_CALL_DECISION_SUPPORT'!$A$1:$U$1496,$Z269,5))</f>
        <v/>
      </c>
      <c r="G269" s="11">
        <f>IF($Z269=0,"",INDEX('DEF_CALL_DECISION_SUPPORT'!$A$1:$U$1496,$Z269,6))</f>
        <v/>
      </c>
      <c r="H269" s="11">
        <f>IF($Z269=0,"",INDEX('DEF_CALL_DECISION_SUPPORT'!$A$1:$U$1496,$Z269,10))</f>
        <v/>
      </c>
      <c r="I269" s="14">
        <f>IF($Z269=0,"",INDEX('DEF_CALL_DECISION_SUPPORT'!$A$1:$U$1496,$Z269,9))</f>
        <v/>
      </c>
      <c r="J269" s="14" t="str">
        <f>IF(Z269=0,"Film Review Required",IF(D269&lt;4,"Sample Watch • ","")&amp;"D&amp;D + Concept Match")</f>
        <v>Film Review Required</v>
      </c>
      <c r="K269" s="9" t="str">
        <f>IF($Z269=0,"No matching defensive reps; film confirmation needed.",INDEX('DEF_CALL_DECISION_SUPPORT'!$A$1:$U$1496,$Z269,12))</f>
        <v>No matching defensive reps; film confirmation needed.</v>
      </c>
      <c r="L269" s="14">
        <f>IF($Z269=0,"",INDEX('DEF_CALL_DECISION_SUPPORT'!$A$1:$U$1496,$Z269,11))</f>
        <v/>
      </c>
      <c r="Y269" s="2" t="s">
        <v>2571</v>
      </c>
      <c r="Z269" s="2">
        <f>IFERROR(MATCH(LEN($A269)&amp;":"&amp;$A269&amp;"|"&amp;LEN($B269)&amp;":"&amp;$B269&amp;"|",'DEF_CALL_DECISION_SUPPORT'!$U$811:$U$1055,0)+811-1,0)</f>
        <v>0</v>
      </c>
    </row>
    <row r="270" spans="1:26" ht="50" customHeight="1">
      <c r="A270" s="8" t="s">
        <v>115</v>
      </c>
      <c r="B270" s="8" t="s">
        <v>477</v>
      </c>
      <c r="C270" s="8" t="str">
        <f>IF($Z270=0,"Film Review Required",INDEX('DEF_CALL_DECISION_SUPPORT'!$A$1:$U$1496,$Z270,2))</f>
        <v>MIX BOURBON</v>
      </c>
      <c r="D270" s="12">
        <f>IF($Z270=0,"",INDEX('DEF_CALL_DECISION_SUPPORT'!$A$1:$U$1496,$Z270,3))</f>
        <v>1</v>
      </c>
      <c r="E270" s="10">
        <f>IF($Z270=0,"",INDEX('DEF_CALL_DECISION_SUPPORT'!$A$1:$U$1496,$Z270,4))</f>
        <v>0.0</v>
      </c>
      <c r="F270" s="10">
        <f>IF($Z270=0,"",INDEX('DEF_CALL_DECISION_SUPPORT'!$A$1:$U$1496,$Z270,5))</f>
        <v>0.0</v>
      </c>
      <c r="G270" s="11">
        <f>IF($Z270=0,"",INDEX('DEF_CALL_DECISION_SUPPORT'!$A$1:$U$1496,$Z270,6))</f>
        <v>6.0</v>
      </c>
      <c r="H270" s="11">
        <f>IF($Z270=0,"",INDEX('DEF_CALL_DECISION_SUPPORT'!$A$1:$U$1496,$Z270,10))</f>
        <v>24.0</v>
      </c>
      <c r="I270" s="14" t="str">
        <f>IF($Z270=0,"",INDEX('DEF_CALL_DECISION_SUPPORT'!$A$1:$U$1496,$Z270,9))</f>
        <v>TRACK</v>
      </c>
      <c r="J270" s="14" t="str">
        <f>IF(Z270=0,"Film Review Required",IF(D270&lt;4,"Sample Watch • ","")&amp;"D&amp;D + Concept Match")</f>
        <v>Sample Watch • D&amp;D + Concept Match</v>
      </c>
      <c r="K270" s="9" t="str">
        <f>IF($Z270=0,"No matching defensive reps; film confirmation needed.",INDEX('DEF_CALL_DECISION_SUPPORT'!$A$1:$U$1496,$Z270,12))</f>
        <v>Track only; not enough sample.</v>
      </c>
      <c r="L270" s="14" t="str">
        <f>IF($Z270=0,"",INDEX('DEF_CALL_DECISION_SUPPORT'!$A$1:$U$1496,$Z270,11))</f>
        <v>Track Only</v>
      </c>
      <c r="Y270" s="2" t="s">
        <v>626</v>
      </c>
      <c r="Z270" s="2">
        <f>IFERROR(MATCH(LEN($A270)&amp;":"&amp;$A270&amp;"|"&amp;LEN($B270)&amp;":"&amp;$B270&amp;"|",'DEF_CALL_DECISION_SUPPORT'!$U$811:$U$1055,0)+811-1,0)</f>
        <v>1053</v>
      </c>
    </row>
    <row r="271" spans="1:26" ht="50" customHeight="1">
      <c r="A271" s="8" t="s">
        <v>115</v>
      </c>
      <c r="B271" s="8" t="s">
        <v>480</v>
      </c>
      <c r="C271" s="8" t="str">
        <f>IF($Z271=0,"Film Review Required",INDEX('DEF_CALL_DECISION_SUPPORT'!$A$1:$U$1496,$Z271,2))</f>
        <v>RAMBO</v>
      </c>
      <c r="D271" s="12">
        <f>IF($Z271=0,"",INDEX('DEF_CALL_DECISION_SUPPORT'!$A$1:$U$1496,$Z271,3))</f>
        <v>1</v>
      </c>
      <c r="E271" s="10">
        <f>IF($Z271=0,"",INDEX('DEF_CALL_DECISION_SUPPORT'!$A$1:$U$1496,$Z271,4))</f>
        <v>1.0</v>
      </c>
      <c r="F271" s="10">
        <f>IF($Z271=0,"",INDEX('DEF_CALL_DECISION_SUPPORT'!$A$1:$U$1496,$Z271,5))</f>
        <v>0.0</v>
      </c>
      <c r="G271" s="11">
        <f>IF($Z271=0,"",INDEX('DEF_CALL_DECISION_SUPPORT'!$A$1:$U$1496,$Z271,6))</f>
        <v>3.0</v>
      </c>
      <c r="H271" s="11">
        <f>IF($Z271=0,"",INDEX('DEF_CALL_DECISION_SUPPORT'!$A$1:$U$1496,$Z271,10))</f>
        <v>97.0</v>
      </c>
      <c r="I271" s="14" t="str">
        <f>IF($Z271=0,"",INDEX('DEF_CALL_DECISION_SUPPORT'!$A$1:$U$1496,$Z271,9))</f>
        <v>TRACK</v>
      </c>
      <c r="J271" s="14" t="str">
        <f>IF(Z271=0,"Film Review Required",IF(D271&lt;4,"Sample Watch • ","")&amp;"D&amp;D + Concept Match")</f>
        <v>Sample Watch • D&amp;D + Concept Match</v>
      </c>
      <c r="K271" s="9" t="str">
        <f>IF($Z271=0,"No matching defensive reps; film confirmation needed.",INDEX('DEF_CALL_DECISION_SUPPORT'!$A$1:$U$1496,$Z271,12))</f>
        <v>Track only; not enough sample.</v>
      </c>
      <c r="L271" s="14" t="str">
        <f>IF($Z271=0,"",INDEX('DEF_CALL_DECISION_SUPPORT'!$A$1:$U$1496,$Z271,11))</f>
        <v>Track Only</v>
      </c>
      <c r="Y271" s="2" t="s">
        <v>628</v>
      </c>
      <c r="Z271" s="2">
        <f>IFERROR(MATCH(LEN($A271)&amp;":"&amp;$A271&amp;"|"&amp;LEN($B271)&amp;":"&amp;$B271&amp;"|",'DEF_CALL_DECISION_SUPPORT'!$U$811:$U$1055,0)+811-1,0)</f>
        <v>1055</v>
      </c>
    </row>
    <row r="276" spans="1:26" ht="27" customHeight="1">
      <c r="A276" s="5" t="s">
        <v>2572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26" ht="36" customHeight="1">
      <c r="A277" s="9" t="s">
        <v>2573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spans="1:26" ht="46" customHeight="1">
      <c r="A278" s="6" t="s">
        <v>20</v>
      </c>
      <c r="B278" s="6" t="s">
        <v>24</v>
      </c>
      <c r="C278" s="6" t="s">
        <v>2449</v>
      </c>
      <c r="D278" s="6" t="s">
        <v>2450</v>
      </c>
      <c r="E278" s="6" t="s">
        <v>2451</v>
      </c>
      <c r="F278" s="6" t="s">
        <v>2452</v>
      </c>
      <c r="G278" s="6" t="s">
        <v>2453</v>
      </c>
      <c r="H278" s="6" t="s">
        <v>2454</v>
      </c>
      <c r="I278" s="6" t="s">
        <v>2455</v>
      </c>
      <c r="J278" s="6" t="s">
        <v>2445</v>
      </c>
      <c r="K278" s="6" t="s">
        <v>2457</v>
      </c>
      <c r="L278" s="6" t="s">
        <v>2458</v>
      </c>
    </row>
    <row r="279" spans="1:26" ht="50" customHeight="1">
      <c r="A279" s="8" t="s">
        <v>26</v>
      </c>
      <c r="B279" s="8" t="s">
        <v>1447</v>
      </c>
      <c r="C279" s="8" t="str">
        <f>IF($Z279=0,"Film Review Required",INDEX('DEF_CALL_DECISION_SUPPORT'!$A$1:$U$1496,$Z279,2))</f>
        <v>Film Review Required</v>
      </c>
      <c r="D279" s="12">
        <f>IF($Z279=0,"",INDEX('DEF_CALL_DECISION_SUPPORT'!$A$1:$U$1496,$Z279,3))</f>
        <v/>
      </c>
      <c r="E279" s="10">
        <f>IF($Z279=0,"",INDEX('DEF_CALL_DECISION_SUPPORT'!$A$1:$U$1496,$Z279,4))</f>
        <v/>
      </c>
      <c r="F279" s="10">
        <f>IF($Z279=0,"",INDEX('DEF_CALL_DECISION_SUPPORT'!$A$1:$U$1496,$Z279,5))</f>
        <v/>
      </c>
      <c r="G279" s="11">
        <f>IF($Z279=0,"",INDEX('DEF_CALL_DECISION_SUPPORT'!$A$1:$U$1496,$Z279,6))</f>
        <v/>
      </c>
      <c r="H279" s="11">
        <f>IF($Z279=0,"",INDEX('DEF_CALL_DECISION_SUPPORT'!$A$1:$U$1496,$Z279,10))</f>
        <v/>
      </c>
      <c r="I279" s="14">
        <f>IF($Z279=0,"",INDEX('DEF_CALL_DECISION_SUPPORT'!$A$1:$U$1496,$Z279,9))</f>
        <v/>
      </c>
      <c r="J279" s="14" t="str">
        <f>IF(Z279=0,"Film Review Required",IF(D279&lt;4,"Sample Watch • ","")&amp;"D&amp;D + Concept Match • Concept Proxy")</f>
        <v>Film Review Required</v>
      </c>
      <c r="K279" s="9" t="str">
        <f>"Opponent exact-play alert only. No Defensive Exact-Play Sample. "&amp;IF(Z279=0,"Confirm concept mapping and review film before treating this as a defensive candidate.","Metrics describe the confirmed concept; "&amp;IF($Z279=0,"",INDEX('DEF_CALL_DECISION_SUPPORT'!$A$1:$U$1496,$Z279,12)))</f>
        <v>Opponent exact-play alert only. No Defensive Exact-Play Sample. Confirm concept mapping and review film before treating this as a defensive candidate.</v>
      </c>
      <c r="L279" s="7" t="s">
        <v>465</v>
      </c>
      <c r="Y279" s="2" t="s">
        <v>2574</v>
      </c>
      <c r="Z279" s="2">
        <f>IF($L279="",0,IFERROR(MATCH(LEN($A279)&amp;":"&amp;$A279&amp;"|"&amp;LEN($L279)&amp;":"&amp;$L279&amp;"|",'DEF_CALL_DECISION_SUPPORT'!$U$811:$U$1055,0)+811-1,0))</f>
        <v>0</v>
      </c>
    </row>
    <row r="280" spans="1:26" ht="50" customHeight="1">
      <c r="A280" s="8" t="s">
        <v>31</v>
      </c>
      <c r="B280" s="8" t="s">
        <v>816</v>
      </c>
      <c r="C280" s="8" t="str">
        <f>IF($Z280=0,"Film Review Required",INDEX('DEF_CALL_DECISION_SUPPORT'!$A$1:$U$1496,$Z280,2))</f>
        <v>Film Review Required</v>
      </c>
      <c r="D280" s="12">
        <f>IF($Z280=0,"",INDEX('DEF_CALL_DECISION_SUPPORT'!$A$1:$U$1496,$Z280,3))</f>
        <v/>
      </c>
      <c r="E280" s="10">
        <f>IF($Z280=0,"",INDEX('DEF_CALL_DECISION_SUPPORT'!$A$1:$U$1496,$Z280,4))</f>
        <v/>
      </c>
      <c r="F280" s="10">
        <f>IF($Z280=0,"",INDEX('DEF_CALL_DECISION_SUPPORT'!$A$1:$U$1496,$Z280,5))</f>
        <v/>
      </c>
      <c r="G280" s="11">
        <f>IF($Z280=0,"",INDEX('DEF_CALL_DECISION_SUPPORT'!$A$1:$U$1496,$Z280,6))</f>
        <v/>
      </c>
      <c r="H280" s="11">
        <f>IF($Z280=0,"",INDEX('DEF_CALL_DECISION_SUPPORT'!$A$1:$U$1496,$Z280,10))</f>
        <v/>
      </c>
      <c r="I280" s="14">
        <f>IF($Z280=0,"",INDEX('DEF_CALL_DECISION_SUPPORT'!$A$1:$U$1496,$Z280,9))</f>
        <v/>
      </c>
      <c r="J280" s="14" t="str">
        <f>IF(Z280=0,"Film Review Required",IF(D280&lt;4,"Sample Watch • ","")&amp;"D&amp;D + Concept Match • Concept Proxy")</f>
        <v>Film Review Required</v>
      </c>
      <c r="K280" s="9" t="str">
        <f>"Opponent exact-play alert only. No Defensive Exact-Play Sample. "&amp;IF(Z280=0,"Confirm concept mapping and review film before treating this as a defensive candidate.","Metrics describe the confirmed concept; "&amp;IF($Z280=0,"",INDEX('DEF_CALL_DECISION_SUPPORT'!$A$1:$U$1496,$Z280,12)))</f>
        <v>Opponent exact-play alert only. No Defensive Exact-Play Sample. Confirm concept mapping and review film before treating this as a defensive candidate.</v>
      </c>
      <c r="L280" s="7"/>
      <c r="Y280" s="2" t="s">
        <v>2575</v>
      </c>
      <c r="Z280" s="2">
        <f>IF($L280="",0,IFERROR(MATCH(LEN($A280)&amp;":"&amp;$A280&amp;"|"&amp;LEN($L280)&amp;":"&amp;$L280&amp;"|",'DEF_CALL_DECISION_SUPPORT'!$U$811:$U$1055,0)+811-1,0))</f>
        <v>0</v>
      </c>
    </row>
    <row r="281" spans="1:26" ht="50" customHeight="1">
      <c r="A281" s="8" t="s">
        <v>36</v>
      </c>
      <c r="B281" s="8" t="s">
        <v>1483</v>
      </c>
      <c r="C281" s="8" t="str">
        <f>IF($Z281=0,"Film Review Required",INDEX('DEF_CALL_DECISION_SUPPORT'!$A$1:$U$1496,$Z281,2))</f>
        <v>Film Review Required</v>
      </c>
      <c r="D281" s="12">
        <f>IF($Z281=0,"",INDEX('DEF_CALL_DECISION_SUPPORT'!$A$1:$U$1496,$Z281,3))</f>
        <v/>
      </c>
      <c r="E281" s="10">
        <f>IF($Z281=0,"",INDEX('DEF_CALL_DECISION_SUPPORT'!$A$1:$U$1496,$Z281,4))</f>
        <v/>
      </c>
      <c r="F281" s="10">
        <f>IF($Z281=0,"",INDEX('DEF_CALL_DECISION_SUPPORT'!$A$1:$U$1496,$Z281,5))</f>
        <v/>
      </c>
      <c r="G281" s="11">
        <f>IF($Z281=0,"",INDEX('DEF_CALL_DECISION_SUPPORT'!$A$1:$U$1496,$Z281,6))</f>
        <v/>
      </c>
      <c r="H281" s="11">
        <f>IF($Z281=0,"",INDEX('DEF_CALL_DECISION_SUPPORT'!$A$1:$U$1496,$Z281,10))</f>
        <v/>
      </c>
      <c r="I281" s="14">
        <f>IF($Z281=0,"",INDEX('DEF_CALL_DECISION_SUPPORT'!$A$1:$U$1496,$Z281,9))</f>
        <v/>
      </c>
      <c r="J281" s="14" t="str">
        <f>IF(Z281=0,"Film Review Required",IF(D281&lt;4,"Sample Watch • ","")&amp;"D&amp;D + Concept Match • Concept Proxy")</f>
        <v>Film Review Required</v>
      </c>
      <c r="K281" s="9" t="str">
        <f>"Opponent exact-play alert only. No Defensive Exact-Play Sample. "&amp;IF(Z281=0,"Confirm concept mapping and review film before treating this as a defensive candidate.","Metrics describe the confirmed concept; "&amp;IF($Z281=0,"",INDEX('DEF_CALL_DECISION_SUPPORT'!$A$1:$U$1496,$Z281,12)))</f>
        <v>Opponent exact-play alert only. No Defensive Exact-Play Sample. Confirm concept mapping and review film before treating this as a defensive candidate.</v>
      </c>
      <c r="L281" s="7" t="s">
        <v>878</v>
      </c>
      <c r="Y281" s="2" t="s">
        <v>2576</v>
      </c>
      <c r="Z281" s="2">
        <f>IF($L281="",0,IFERROR(MATCH(LEN($A281)&amp;":"&amp;$A281&amp;"|"&amp;LEN($L281)&amp;":"&amp;$L281&amp;"|",'DEF_CALL_DECISION_SUPPORT'!$U$811:$U$1055,0)+811-1,0))</f>
        <v>0</v>
      </c>
    </row>
    <row r="282" spans="1:26" ht="50" customHeight="1">
      <c r="A282" s="8" t="s">
        <v>36</v>
      </c>
      <c r="B282" s="8" t="s">
        <v>815</v>
      </c>
      <c r="C282" s="8" t="str">
        <f>IF($Z282=0,"Film Review Required",INDEX('DEF_CALL_DECISION_SUPPORT'!$A$1:$U$1496,$Z282,2))</f>
        <v>Film Review Required</v>
      </c>
      <c r="D282" s="12">
        <f>IF($Z282=0,"",INDEX('DEF_CALL_DECISION_SUPPORT'!$A$1:$U$1496,$Z282,3))</f>
        <v/>
      </c>
      <c r="E282" s="10">
        <f>IF($Z282=0,"",INDEX('DEF_CALL_DECISION_SUPPORT'!$A$1:$U$1496,$Z282,4))</f>
        <v/>
      </c>
      <c r="F282" s="10">
        <f>IF($Z282=0,"",INDEX('DEF_CALL_DECISION_SUPPORT'!$A$1:$U$1496,$Z282,5))</f>
        <v/>
      </c>
      <c r="G282" s="11">
        <f>IF($Z282=0,"",INDEX('DEF_CALL_DECISION_SUPPORT'!$A$1:$U$1496,$Z282,6))</f>
        <v/>
      </c>
      <c r="H282" s="11">
        <f>IF($Z282=0,"",INDEX('DEF_CALL_DECISION_SUPPORT'!$A$1:$U$1496,$Z282,10))</f>
        <v/>
      </c>
      <c r="I282" s="14">
        <f>IF($Z282=0,"",INDEX('DEF_CALL_DECISION_SUPPORT'!$A$1:$U$1496,$Z282,9))</f>
        <v/>
      </c>
      <c r="J282" s="14" t="str">
        <f>IF(Z282=0,"Film Review Required",IF(D282&lt;4,"Sample Watch • ","")&amp;"D&amp;D + Concept Match • Concept Proxy")</f>
        <v>Film Review Required</v>
      </c>
      <c r="K282" s="9" t="str">
        <f>"Opponent exact-play alert only. No Defensive Exact-Play Sample. "&amp;IF(Z282=0,"Confirm concept mapping and review film before treating this as a defensive candidate.","Metrics describe the confirmed concept; "&amp;IF($Z282=0,"",INDEX('DEF_CALL_DECISION_SUPPORT'!$A$1:$U$1496,$Z282,12)))</f>
        <v>Opponent exact-play alert only. No Defensive Exact-Play Sample. Confirm concept mapping and review film before treating this as a defensive candidate.</v>
      </c>
      <c r="L282" s="7" t="s">
        <v>465</v>
      </c>
      <c r="Y282" s="2" t="s">
        <v>2577</v>
      </c>
      <c r="Z282" s="2">
        <f>IF($L282="",0,IFERROR(MATCH(LEN($A282)&amp;":"&amp;$A282&amp;"|"&amp;LEN($L282)&amp;":"&amp;$L282&amp;"|",'DEF_CALL_DECISION_SUPPORT'!$U$811:$U$1055,0)+811-1,0))</f>
        <v>0</v>
      </c>
    </row>
    <row r="283" spans="1:26" ht="50" customHeight="1">
      <c r="A283" s="8" t="s">
        <v>36</v>
      </c>
      <c r="B283" s="8" t="s">
        <v>1509</v>
      </c>
      <c r="C283" s="8" t="str">
        <f>IF($Z283=0,"Film Review Required",INDEX('DEF_CALL_DECISION_SUPPORT'!$A$1:$U$1496,$Z283,2))</f>
        <v>Film Review Required</v>
      </c>
      <c r="D283" s="12">
        <f>IF($Z283=0,"",INDEX('DEF_CALL_DECISION_SUPPORT'!$A$1:$U$1496,$Z283,3))</f>
        <v/>
      </c>
      <c r="E283" s="10">
        <f>IF($Z283=0,"",INDEX('DEF_CALL_DECISION_SUPPORT'!$A$1:$U$1496,$Z283,4))</f>
        <v/>
      </c>
      <c r="F283" s="10">
        <f>IF($Z283=0,"",INDEX('DEF_CALL_DECISION_SUPPORT'!$A$1:$U$1496,$Z283,5))</f>
        <v/>
      </c>
      <c r="G283" s="11">
        <f>IF($Z283=0,"",INDEX('DEF_CALL_DECISION_SUPPORT'!$A$1:$U$1496,$Z283,6))</f>
        <v/>
      </c>
      <c r="H283" s="11">
        <f>IF($Z283=0,"",INDEX('DEF_CALL_DECISION_SUPPORT'!$A$1:$U$1496,$Z283,10))</f>
        <v/>
      </c>
      <c r="I283" s="14">
        <f>IF($Z283=0,"",INDEX('DEF_CALL_DECISION_SUPPORT'!$A$1:$U$1496,$Z283,9))</f>
        <v/>
      </c>
      <c r="J283" s="14" t="str">
        <f>IF(Z283=0,"Film Review Required",IF(D283&lt;4,"Sample Watch • ","")&amp;"D&amp;D + Concept Match • Concept Proxy")</f>
        <v>Film Review Required</v>
      </c>
      <c r="K283" s="9" t="str">
        <f>"Opponent exact-play alert only. No Defensive Exact-Play Sample. "&amp;IF(Z283=0,"Confirm concept mapping and review film before treating this as a defensive candidate.","Metrics describe the confirmed concept; "&amp;IF($Z283=0,"",INDEX('DEF_CALL_DECISION_SUPPORT'!$A$1:$U$1496,$Z283,12)))</f>
        <v>Opponent exact-play alert only. No Defensive Exact-Play Sample. Confirm concept mapping and review film before treating this as a defensive candidate.</v>
      </c>
      <c r="L283" s="7" t="s">
        <v>541</v>
      </c>
      <c r="Y283" s="2" t="s">
        <v>2578</v>
      </c>
      <c r="Z283" s="2">
        <f>IF($L283="",0,IFERROR(MATCH(LEN($A283)&amp;":"&amp;$A283&amp;"|"&amp;LEN($L283)&amp;":"&amp;$L283&amp;"|",'DEF_CALL_DECISION_SUPPORT'!$U$811:$U$1055,0)+811-1,0))</f>
        <v>0</v>
      </c>
    </row>
    <row r="284" spans="1:26" ht="50" customHeight="1">
      <c r="A284" s="8" t="s">
        <v>39</v>
      </c>
      <c r="B284" s="8" t="s">
        <v>1496</v>
      </c>
      <c r="C284" s="8" t="str">
        <f>IF($Z284=0,"Film Review Required",INDEX('DEF_CALL_DECISION_SUPPORT'!$A$1:$U$1496,$Z284,2))</f>
        <v>KEY CAPTAIN</v>
      </c>
      <c r="D284" s="12">
        <f>IF($Z284=0,"",INDEX('DEF_CALL_DECISION_SUPPORT'!$A$1:$U$1496,$Z284,3))</f>
        <v>1</v>
      </c>
      <c r="E284" s="10">
        <f>IF($Z284=0,"",INDEX('DEF_CALL_DECISION_SUPPORT'!$A$1:$U$1496,$Z284,4))</f>
        <v>1.0</v>
      </c>
      <c r="F284" s="10">
        <f>IF($Z284=0,"",INDEX('DEF_CALL_DECISION_SUPPORT'!$A$1:$U$1496,$Z284,5))</f>
        <v>0.0</v>
      </c>
      <c r="G284" s="11">
        <f>IF($Z284=0,"",INDEX('DEF_CALL_DECISION_SUPPORT'!$A$1:$U$1496,$Z284,6))</f>
        <v>0.0</v>
      </c>
      <c r="H284" s="11">
        <f>IF($Z284=0,"",INDEX('DEF_CALL_DECISION_SUPPORT'!$A$1:$U$1496,$Z284,10))</f>
        <v>100.0</v>
      </c>
      <c r="I284" s="14" t="str">
        <f>IF($Z284=0,"",INDEX('DEF_CALL_DECISION_SUPPORT'!$A$1:$U$1496,$Z284,9))</f>
        <v>TRACK</v>
      </c>
      <c r="J284" s="14" t="str">
        <f>IF(Z284=0,"Film Review Required",IF(D284&lt;4,"Sample Watch • ","")&amp;"D&amp;D + Concept Match • Concept Proxy")</f>
        <v>Sample Watch • D&amp;D + Concept Match • Concept Proxy</v>
      </c>
      <c r="K284" s="9" t="str">
        <f>"Opponent exact-play alert only. No Defensive Exact-Play Sample. "&amp;IF(Z284=0,"Confirm concept mapping and review film before treating this as a defensive candidate.","Metrics describe the confirmed concept; "&amp;IF($Z284=0,"",INDEX('DEF_CALL_DECISION_SUPPORT'!$A$1:$U$1496,$Z284,12)))</f>
        <v>Opponent exact-play alert only. No Defensive Exact-Play Sample. Metrics describe the confirmed concept; Track only; not enough sample.</v>
      </c>
      <c r="L284" s="7" t="s">
        <v>452</v>
      </c>
      <c r="Y284" s="2" t="s">
        <v>2579</v>
      </c>
      <c r="Z284" s="2">
        <f>IF($L284="",0,IFERROR(MATCH(LEN($A284)&amp;":"&amp;$A284&amp;"|"&amp;LEN($L284)&amp;":"&amp;$L284&amp;"|",'DEF_CALL_DECISION_SUPPORT'!$U$811:$U$1055,0)+811-1,0))</f>
        <v>837</v>
      </c>
    </row>
    <row r="285" spans="1:26" ht="50" customHeight="1">
      <c r="A285" s="8" t="s">
        <v>39</v>
      </c>
      <c r="B285" s="8" t="s">
        <v>49</v>
      </c>
      <c r="C285" s="8" t="str">
        <f>IF($Z285=0,"Film Review Required",INDEX('DEF_CALL_DECISION_SUPPORT'!$A$1:$U$1496,$Z285,2))</f>
        <v>Film Review Required</v>
      </c>
      <c r="D285" s="12">
        <f>IF($Z285=0,"",INDEX('DEF_CALL_DECISION_SUPPORT'!$A$1:$U$1496,$Z285,3))</f>
        <v/>
      </c>
      <c r="E285" s="10">
        <f>IF($Z285=0,"",INDEX('DEF_CALL_DECISION_SUPPORT'!$A$1:$U$1496,$Z285,4))</f>
        <v/>
      </c>
      <c r="F285" s="10">
        <f>IF($Z285=0,"",INDEX('DEF_CALL_DECISION_SUPPORT'!$A$1:$U$1496,$Z285,5))</f>
        <v/>
      </c>
      <c r="G285" s="11">
        <f>IF($Z285=0,"",INDEX('DEF_CALL_DECISION_SUPPORT'!$A$1:$U$1496,$Z285,6))</f>
        <v/>
      </c>
      <c r="H285" s="11">
        <f>IF($Z285=0,"",INDEX('DEF_CALL_DECISION_SUPPORT'!$A$1:$U$1496,$Z285,10))</f>
        <v/>
      </c>
      <c r="I285" s="14">
        <f>IF($Z285=0,"",INDEX('DEF_CALL_DECISION_SUPPORT'!$A$1:$U$1496,$Z285,9))</f>
        <v/>
      </c>
      <c r="J285" s="14" t="str">
        <f>IF(Z285=0,"Film Review Required",IF(D285&lt;4,"Sample Watch • ","")&amp;"D&amp;D + Concept Match • Concept Proxy")</f>
        <v>Film Review Required</v>
      </c>
      <c r="K285" s="9" t="str">
        <f>"Opponent exact-play alert only. No Defensive Exact-Play Sample. "&amp;IF(Z285=0,"Confirm concept mapping and review film before treating this as a defensive candidate.","Metrics describe the confirmed concept; "&amp;IF($Z285=0,"",INDEX('DEF_CALL_DECISION_SUPPORT'!$A$1:$U$1496,$Z285,12)))</f>
        <v>Opponent exact-play alert only. No Defensive Exact-Play Sample. Confirm concept mapping and review film before treating this as a defensive candidate.</v>
      </c>
      <c r="L285" s="7"/>
      <c r="Y285" s="2" t="s">
        <v>2580</v>
      </c>
      <c r="Z285" s="2">
        <f>IF($L285="",0,IFERROR(MATCH(LEN($A285)&amp;":"&amp;$A285&amp;"|"&amp;LEN($L285)&amp;":"&amp;$L285&amp;"|",'DEF_CALL_DECISION_SUPPORT'!$U$811:$U$1055,0)+811-1,0))</f>
        <v>0</v>
      </c>
    </row>
    <row r="286" spans="1:26" ht="50" customHeight="1">
      <c r="A286" s="8" t="s">
        <v>39</v>
      </c>
      <c r="B286" s="8" t="s">
        <v>1476</v>
      </c>
      <c r="C286" s="8" t="str">
        <f>IF($Z286=0,"Film Review Required",INDEX('DEF_CALL_DECISION_SUPPORT'!$A$1:$U$1496,$Z286,2))</f>
        <v>Film Review Required</v>
      </c>
      <c r="D286" s="12">
        <f>IF($Z286=0,"",INDEX('DEF_CALL_DECISION_SUPPORT'!$A$1:$U$1496,$Z286,3))</f>
        <v/>
      </c>
      <c r="E286" s="10">
        <f>IF($Z286=0,"",INDEX('DEF_CALL_DECISION_SUPPORT'!$A$1:$U$1496,$Z286,4))</f>
        <v/>
      </c>
      <c r="F286" s="10">
        <f>IF($Z286=0,"",INDEX('DEF_CALL_DECISION_SUPPORT'!$A$1:$U$1496,$Z286,5))</f>
        <v/>
      </c>
      <c r="G286" s="11">
        <f>IF($Z286=0,"",INDEX('DEF_CALL_DECISION_SUPPORT'!$A$1:$U$1496,$Z286,6))</f>
        <v/>
      </c>
      <c r="H286" s="11">
        <f>IF($Z286=0,"",INDEX('DEF_CALL_DECISION_SUPPORT'!$A$1:$U$1496,$Z286,10))</f>
        <v/>
      </c>
      <c r="I286" s="14">
        <f>IF($Z286=0,"",INDEX('DEF_CALL_DECISION_SUPPORT'!$A$1:$U$1496,$Z286,9))</f>
        <v/>
      </c>
      <c r="J286" s="14" t="str">
        <f>IF(Z286=0,"Film Review Required",IF(D286&lt;4,"Sample Watch • ","")&amp;"D&amp;D + Concept Match • Concept Proxy")</f>
        <v>Film Review Required</v>
      </c>
      <c r="K286" s="9" t="str">
        <f>"Opponent exact-play alert only. No Defensive Exact-Play Sample. "&amp;IF(Z286=0,"Confirm concept mapping and review film before treating this as a defensive candidate.","Metrics describe the confirmed concept; "&amp;IF($Z286=0,"",INDEX('DEF_CALL_DECISION_SUPPORT'!$A$1:$U$1496,$Z286,12)))</f>
        <v>Opponent exact-play alert only. No Defensive Exact-Play Sample. Confirm concept mapping and review film before treating this as a defensive candidate.</v>
      </c>
      <c r="L286" s="7" t="s">
        <v>561</v>
      </c>
      <c r="Y286" s="2" t="s">
        <v>2581</v>
      </c>
      <c r="Z286" s="2">
        <f>IF($L286="",0,IFERROR(MATCH(LEN($A286)&amp;":"&amp;$A286&amp;"|"&amp;LEN($L286)&amp;":"&amp;$L286&amp;"|",'DEF_CALL_DECISION_SUPPORT'!$U$811:$U$1055,0)+811-1,0))</f>
        <v>0</v>
      </c>
    </row>
    <row r="287" spans="1:26" ht="50" customHeight="1">
      <c r="A287" s="8" t="s">
        <v>39</v>
      </c>
      <c r="B287" s="8" t="s">
        <v>1488</v>
      </c>
      <c r="C287" s="8" t="str">
        <f>IF($Z287=0,"Film Review Required",INDEX('DEF_CALL_DECISION_SUPPORT'!$A$1:$U$1496,$Z287,2))</f>
        <v>Film Review Required</v>
      </c>
      <c r="D287" s="12">
        <f>IF($Z287=0,"",INDEX('DEF_CALL_DECISION_SUPPORT'!$A$1:$U$1496,$Z287,3))</f>
        <v/>
      </c>
      <c r="E287" s="10">
        <f>IF($Z287=0,"",INDEX('DEF_CALL_DECISION_SUPPORT'!$A$1:$U$1496,$Z287,4))</f>
        <v/>
      </c>
      <c r="F287" s="10">
        <f>IF($Z287=0,"",INDEX('DEF_CALL_DECISION_SUPPORT'!$A$1:$U$1496,$Z287,5))</f>
        <v/>
      </c>
      <c r="G287" s="11">
        <f>IF($Z287=0,"",INDEX('DEF_CALL_DECISION_SUPPORT'!$A$1:$U$1496,$Z287,6))</f>
        <v/>
      </c>
      <c r="H287" s="11">
        <f>IF($Z287=0,"",INDEX('DEF_CALL_DECISION_SUPPORT'!$A$1:$U$1496,$Z287,10))</f>
        <v/>
      </c>
      <c r="I287" s="14">
        <f>IF($Z287=0,"",INDEX('DEF_CALL_DECISION_SUPPORT'!$A$1:$U$1496,$Z287,9))</f>
        <v/>
      </c>
      <c r="J287" s="14" t="str">
        <f>IF(Z287=0,"Film Review Required",IF(D287&lt;4,"Sample Watch • ","")&amp;"D&amp;D + Concept Match • Concept Proxy")</f>
        <v>Film Review Required</v>
      </c>
      <c r="K287" s="9" t="str">
        <f>"Opponent exact-play alert only. No Defensive Exact-Play Sample. "&amp;IF(Z287=0,"Confirm concept mapping and review film before treating this as a defensive candidate.","Metrics describe the confirmed concept; "&amp;IF($Z287=0,"",INDEX('DEF_CALL_DECISION_SUPPORT'!$A$1:$U$1496,$Z287,12)))</f>
        <v>Opponent exact-play alert only. No Defensive Exact-Play Sample. Confirm concept mapping and review film before treating this as a defensive candidate.</v>
      </c>
      <c r="L287" s="7" t="s">
        <v>800</v>
      </c>
      <c r="Y287" s="2" t="s">
        <v>2582</v>
      </c>
      <c r="Z287" s="2">
        <f>IF($L287="",0,IFERROR(MATCH(LEN($A287)&amp;":"&amp;$A287&amp;"|"&amp;LEN($L287)&amp;":"&amp;$L287&amp;"|",'DEF_CALL_DECISION_SUPPORT'!$U$811:$U$1055,0)+811-1,0))</f>
        <v>0</v>
      </c>
    </row>
    <row r="288" spans="1:26" ht="50" customHeight="1">
      <c r="A288" s="8" t="s">
        <v>39</v>
      </c>
      <c r="B288" s="8" t="s">
        <v>1503</v>
      </c>
      <c r="C288" s="8" t="str">
        <f>IF($Z288=0,"Film Review Required",INDEX('DEF_CALL_DECISION_SUPPORT'!$A$1:$U$1496,$Z288,2))</f>
        <v>Film Review Required</v>
      </c>
      <c r="D288" s="12">
        <f>IF($Z288=0,"",INDEX('DEF_CALL_DECISION_SUPPORT'!$A$1:$U$1496,$Z288,3))</f>
        <v/>
      </c>
      <c r="E288" s="10">
        <f>IF($Z288=0,"",INDEX('DEF_CALL_DECISION_SUPPORT'!$A$1:$U$1496,$Z288,4))</f>
        <v/>
      </c>
      <c r="F288" s="10">
        <f>IF($Z288=0,"",INDEX('DEF_CALL_DECISION_SUPPORT'!$A$1:$U$1496,$Z288,5))</f>
        <v/>
      </c>
      <c r="G288" s="11">
        <f>IF($Z288=0,"",INDEX('DEF_CALL_DECISION_SUPPORT'!$A$1:$U$1496,$Z288,6))</f>
        <v/>
      </c>
      <c r="H288" s="11">
        <f>IF($Z288=0,"",INDEX('DEF_CALL_DECISION_SUPPORT'!$A$1:$U$1496,$Z288,10))</f>
        <v/>
      </c>
      <c r="I288" s="14">
        <f>IF($Z288=0,"",INDEX('DEF_CALL_DECISION_SUPPORT'!$A$1:$U$1496,$Z288,9))</f>
        <v/>
      </c>
      <c r="J288" s="14" t="str">
        <f>IF(Z288=0,"Film Review Required",IF(D288&lt;4,"Sample Watch • ","")&amp;"D&amp;D + Concept Match • Concept Proxy")</f>
        <v>Film Review Required</v>
      </c>
      <c r="K288" s="9" t="str">
        <f>"Opponent exact-play alert only. No Defensive Exact-Play Sample. "&amp;IF(Z288=0,"Confirm concept mapping and review film before treating this as a defensive candidate.","Metrics describe the confirmed concept; "&amp;IF($Z288=0,"",INDEX('DEF_CALL_DECISION_SUPPORT'!$A$1:$U$1496,$Z288,12)))</f>
        <v>Opponent exact-play alert only. No Defensive Exact-Play Sample. Confirm concept mapping and review film before treating this as a defensive candidate.</v>
      </c>
      <c r="L288" s="7" t="s">
        <v>878</v>
      </c>
      <c r="Y288" s="2" t="s">
        <v>2583</v>
      </c>
      <c r="Z288" s="2">
        <f>IF($L288="",0,IFERROR(MATCH(LEN($A288)&amp;":"&amp;$A288&amp;"|"&amp;LEN($L288)&amp;":"&amp;$L288&amp;"|",'DEF_CALL_DECISION_SUPPORT'!$U$811:$U$1055,0)+811-1,0))</f>
        <v>0</v>
      </c>
    </row>
    <row r="289" spans="1:26" ht="50" customHeight="1">
      <c r="A289" s="8" t="s">
        <v>39</v>
      </c>
      <c r="B289" s="8" t="s">
        <v>1410</v>
      </c>
      <c r="C289" s="8" t="str">
        <f>IF($Z289=0,"Film Review Required",INDEX('DEF_CALL_DECISION_SUPPORT'!$A$1:$U$1496,$Z289,2))</f>
        <v>Film Review Required</v>
      </c>
      <c r="D289" s="12">
        <f>IF($Z289=0,"",INDEX('DEF_CALL_DECISION_SUPPORT'!$A$1:$U$1496,$Z289,3))</f>
        <v/>
      </c>
      <c r="E289" s="10">
        <f>IF($Z289=0,"",INDEX('DEF_CALL_DECISION_SUPPORT'!$A$1:$U$1496,$Z289,4))</f>
        <v/>
      </c>
      <c r="F289" s="10">
        <f>IF($Z289=0,"",INDEX('DEF_CALL_DECISION_SUPPORT'!$A$1:$U$1496,$Z289,5))</f>
        <v/>
      </c>
      <c r="G289" s="11">
        <f>IF($Z289=0,"",INDEX('DEF_CALL_DECISION_SUPPORT'!$A$1:$U$1496,$Z289,6))</f>
        <v/>
      </c>
      <c r="H289" s="11">
        <f>IF($Z289=0,"",INDEX('DEF_CALL_DECISION_SUPPORT'!$A$1:$U$1496,$Z289,10))</f>
        <v/>
      </c>
      <c r="I289" s="14">
        <f>IF($Z289=0,"",INDEX('DEF_CALL_DECISION_SUPPORT'!$A$1:$U$1496,$Z289,9))</f>
        <v/>
      </c>
      <c r="J289" s="14" t="str">
        <f>IF(Z289=0,"Film Review Required",IF(D289&lt;4,"Sample Watch • ","")&amp;"D&amp;D + Concept Match • Concept Proxy")</f>
        <v>Film Review Required</v>
      </c>
      <c r="K289" s="9" t="str">
        <f>"Opponent exact-play alert only. No Defensive Exact-Play Sample. "&amp;IF(Z289=0,"Confirm concept mapping and review film before treating this as a defensive candidate.","Metrics describe the confirmed concept; "&amp;IF($Z289=0,"",INDEX('DEF_CALL_DECISION_SUPPORT'!$A$1:$U$1496,$Z289,12)))</f>
        <v>Opponent exact-play alert only. No Defensive Exact-Play Sample. Confirm concept mapping and review film before treating this as a defensive candidate.</v>
      </c>
      <c r="L289" s="7" t="s">
        <v>611</v>
      </c>
      <c r="Y289" s="2" t="s">
        <v>2584</v>
      </c>
      <c r="Z289" s="2">
        <f>IF($L289="",0,IFERROR(MATCH(LEN($A289)&amp;":"&amp;$A289&amp;"|"&amp;LEN($L289)&amp;":"&amp;$L289&amp;"|",'DEF_CALL_DECISION_SUPPORT'!$U$811:$U$1055,0)+811-1,0))</f>
        <v>0</v>
      </c>
    </row>
    <row r="290" spans="1:26" ht="50" customHeight="1">
      <c r="A290" s="8" t="s">
        <v>39</v>
      </c>
      <c r="B290" s="8" t="s">
        <v>815</v>
      </c>
      <c r="C290" s="8" t="str">
        <f>IF($Z290=0,"Film Review Required",INDEX('DEF_CALL_DECISION_SUPPORT'!$A$1:$U$1496,$Z290,2))</f>
        <v>BOURBON</v>
      </c>
      <c r="D290" s="12">
        <f>IF($Z290=0,"",INDEX('DEF_CALL_DECISION_SUPPORT'!$A$1:$U$1496,$Z290,3))</f>
        <v>3</v>
      </c>
      <c r="E290" s="10">
        <f>IF($Z290=0,"",INDEX('DEF_CALL_DECISION_SUPPORT'!$A$1:$U$1496,$Z290,4))</f>
        <v>0.3333333333333333</v>
      </c>
      <c r="F290" s="10">
        <f>IF($Z290=0,"",INDEX('DEF_CALL_DECISION_SUPPORT'!$A$1:$U$1496,$Z290,5))</f>
        <v>0.0</v>
      </c>
      <c r="G290" s="11">
        <f>IF($Z290=0,"",INDEX('DEF_CALL_DECISION_SUPPORT'!$A$1:$U$1496,$Z290,6))</f>
        <v>5.333333333333333</v>
      </c>
      <c r="H290" s="11">
        <f>IF($Z290=0,"",INDEX('DEF_CALL_DECISION_SUPPORT'!$A$1:$U$1496,$Z290,10))</f>
        <v>48.0</v>
      </c>
      <c r="I290" s="14" t="str">
        <f>IF($Z290=0,"",INDEX('DEF_CALL_DECISION_SUPPORT'!$A$1:$U$1496,$Z290,9))</f>
        <v>LOW</v>
      </c>
      <c r="J290" s="14" t="str">
        <f>IF(Z290=0,"Film Review Required",IF(D290&lt;4,"Sample Watch • ","")&amp;"D&amp;D + Concept Match • Concept Proxy")</f>
        <v>Sample Watch • D&amp;D + Concept Match • Concept Proxy</v>
      </c>
      <c r="K290" s="9" t="str">
        <f>"Opponent exact-play alert only. No Defensive Exact-Play Sample. "&amp;IF(Z290=0,"Confirm concept mapping and review film before treating this as a defensive candidate.","Metrics describe the confirmed concept; "&amp;IF($Z290=0,"",INDEX('DEF_CALL_DECISION_SUPPORT'!$A$1:$U$1496,$Z290,12)))</f>
        <v>Opponent exact-play alert only. No Defensive Exact-Play Sample. Metrics describe the confirmed concept; Sample watch; review clips and build the sample.</v>
      </c>
      <c r="L290" s="7" t="s">
        <v>465</v>
      </c>
      <c r="Y290" s="2" t="s">
        <v>2585</v>
      </c>
      <c r="Z290" s="2">
        <f>IF($L290="",0,IFERROR(MATCH(LEN($A290)&amp;":"&amp;$A290&amp;"|"&amp;LEN($L290)&amp;":"&amp;$L290&amp;"|",'DEF_CALL_DECISION_SUPPORT'!$U$811:$U$1055,0)+811-1,0))</f>
        <v>860</v>
      </c>
    </row>
    <row r="291" spans="1:26" ht="50" customHeight="1">
      <c r="A291" s="8" t="s">
        <v>39</v>
      </c>
      <c r="B291" s="8" t="s">
        <v>1506</v>
      </c>
      <c r="C291" s="8" t="str">
        <f>IF($Z291=0,"Film Review Required",INDEX('DEF_CALL_DECISION_SUPPORT'!$A$1:$U$1496,$Z291,2))</f>
        <v>BOURBON</v>
      </c>
      <c r="D291" s="12">
        <f>IF($Z291=0,"",INDEX('DEF_CALL_DECISION_SUPPORT'!$A$1:$U$1496,$Z291,3))</f>
        <v>3</v>
      </c>
      <c r="E291" s="10">
        <f>IF($Z291=0,"",INDEX('DEF_CALL_DECISION_SUPPORT'!$A$1:$U$1496,$Z291,4))</f>
        <v>0.3333333333333333</v>
      </c>
      <c r="F291" s="10">
        <f>IF($Z291=0,"",INDEX('DEF_CALL_DECISION_SUPPORT'!$A$1:$U$1496,$Z291,5))</f>
        <v>0.0</v>
      </c>
      <c r="G291" s="11">
        <f>IF($Z291=0,"",INDEX('DEF_CALL_DECISION_SUPPORT'!$A$1:$U$1496,$Z291,6))</f>
        <v>5.333333333333333</v>
      </c>
      <c r="H291" s="11">
        <f>IF($Z291=0,"",INDEX('DEF_CALL_DECISION_SUPPORT'!$A$1:$U$1496,$Z291,10))</f>
        <v>48.0</v>
      </c>
      <c r="I291" s="14" t="str">
        <f>IF($Z291=0,"",INDEX('DEF_CALL_DECISION_SUPPORT'!$A$1:$U$1496,$Z291,9))</f>
        <v>LOW</v>
      </c>
      <c r="J291" s="14" t="str">
        <f>IF(Z291=0,"Film Review Required",IF(D291&lt;4,"Sample Watch • ","")&amp;"D&amp;D + Concept Match • Concept Proxy")</f>
        <v>Sample Watch • D&amp;D + Concept Match • Concept Proxy</v>
      </c>
      <c r="K291" s="9" t="str">
        <f>"Opponent exact-play alert only. No Defensive Exact-Play Sample. "&amp;IF(Z291=0,"Confirm concept mapping and review film before treating this as a defensive candidate.","Metrics describe the confirmed concept; "&amp;IF($Z291=0,"",INDEX('DEF_CALL_DECISION_SUPPORT'!$A$1:$U$1496,$Z291,12)))</f>
        <v>Opponent exact-play alert only. No Defensive Exact-Play Sample. Metrics describe the confirmed concept; Sample watch; review clips and build the sample.</v>
      </c>
      <c r="L291" s="7" t="s">
        <v>465</v>
      </c>
      <c r="Y291" s="2" t="s">
        <v>2586</v>
      </c>
      <c r="Z291" s="2">
        <f>IF($L291="",0,IFERROR(MATCH(LEN($A291)&amp;":"&amp;$A291&amp;"|"&amp;LEN($L291)&amp;":"&amp;$L291&amp;"|",'DEF_CALL_DECISION_SUPPORT'!$U$811:$U$1055,0)+811-1,0))</f>
        <v>860</v>
      </c>
    </row>
    <row r="292" spans="1:26" ht="50" customHeight="1">
      <c r="A292" s="8" t="s">
        <v>39</v>
      </c>
      <c r="B292" s="8" t="s">
        <v>1491</v>
      </c>
      <c r="C292" s="8" t="str">
        <f>IF($Z292=0,"Film Review Required",INDEX('DEF_CALL_DECISION_SUPPORT'!$A$1:$U$1496,$Z292,2))</f>
        <v>BOURBON</v>
      </c>
      <c r="D292" s="12">
        <f>IF($Z292=0,"",INDEX('DEF_CALL_DECISION_SUPPORT'!$A$1:$U$1496,$Z292,3))</f>
        <v>3</v>
      </c>
      <c r="E292" s="10">
        <f>IF($Z292=0,"",INDEX('DEF_CALL_DECISION_SUPPORT'!$A$1:$U$1496,$Z292,4))</f>
        <v>0.3333333333333333</v>
      </c>
      <c r="F292" s="10">
        <f>IF($Z292=0,"",INDEX('DEF_CALL_DECISION_SUPPORT'!$A$1:$U$1496,$Z292,5))</f>
        <v>0.0</v>
      </c>
      <c r="G292" s="11">
        <f>IF($Z292=0,"",INDEX('DEF_CALL_DECISION_SUPPORT'!$A$1:$U$1496,$Z292,6))</f>
        <v>5.333333333333333</v>
      </c>
      <c r="H292" s="11">
        <f>IF($Z292=0,"",INDEX('DEF_CALL_DECISION_SUPPORT'!$A$1:$U$1496,$Z292,10))</f>
        <v>48.0</v>
      </c>
      <c r="I292" s="14" t="str">
        <f>IF($Z292=0,"",INDEX('DEF_CALL_DECISION_SUPPORT'!$A$1:$U$1496,$Z292,9))</f>
        <v>LOW</v>
      </c>
      <c r="J292" s="14" t="str">
        <f>IF(Z292=0,"Film Review Required",IF(D292&lt;4,"Sample Watch • ","")&amp;"D&amp;D + Concept Match • Concept Proxy")</f>
        <v>Sample Watch • D&amp;D + Concept Match • Concept Proxy</v>
      </c>
      <c r="K292" s="9" t="str">
        <f>"Opponent exact-play alert only. No Defensive Exact-Play Sample. "&amp;IF(Z292=0,"Confirm concept mapping and review film before treating this as a defensive candidate.","Metrics describe the confirmed concept; "&amp;IF($Z292=0,"",INDEX('DEF_CALL_DECISION_SUPPORT'!$A$1:$U$1496,$Z292,12)))</f>
        <v>Opponent exact-play alert only. No Defensive Exact-Play Sample. Metrics describe the confirmed concept; Sample watch; review clips and build the sample.</v>
      </c>
      <c r="L292" s="7" t="s">
        <v>465</v>
      </c>
      <c r="Y292" s="2" t="s">
        <v>2587</v>
      </c>
      <c r="Z292" s="2">
        <f>IF($L292="",0,IFERROR(MATCH(LEN($A292)&amp;":"&amp;$A292&amp;"|"&amp;LEN($L292)&amp;":"&amp;$L292&amp;"|",'DEF_CALL_DECISION_SUPPORT'!$U$811:$U$1055,0)+811-1,0))</f>
        <v>860</v>
      </c>
    </row>
    <row r="293" spans="1:26" ht="50" customHeight="1">
      <c r="A293" s="8" t="s">
        <v>39</v>
      </c>
      <c r="B293" s="8" t="s">
        <v>1478</v>
      </c>
      <c r="C293" s="8" t="str">
        <f>IF($Z293=0,"Film Review Required",INDEX('DEF_CALL_DECISION_SUPPORT'!$A$1:$U$1496,$Z293,2))</f>
        <v>KEY CAPTAIN</v>
      </c>
      <c r="D293" s="12">
        <f>IF($Z293=0,"",INDEX('DEF_CALL_DECISION_SUPPORT'!$A$1:$U$1496,$Z293,3))</f>
        <v>2</v>
      </c>
      <c r="E293" s="10">
        <f>IF($Z293=0,"",INDEX('DEF_CALL_DECISION_SUPPORT'!$A$1:$U$1496,$Z293,4))</f>
        <v>1.0</v>
      </c>
      <c r="F293" s="10">
        <f>IF($Z293=0,"",INDEX('DEF_CALL_DECISION_SUPPORT'!$A$1:$U$1496,$Z293,5))</f>
        <v>0.0</v>
      </c>
      <c r="G293" s="11">
        <f>IF($Z293=0,"",INDEX('DEF_CALL_DECISION_SUPPORT'!$A$1:$U$1496,$Z293,6))</f>
        <v>0.0</v>
      </c>
      <c r="H293" s="11">
        <f>IF($Z293=0,"",INDEX('DEF_CALL_DECISION_SUPPORT'!$A$1:$U$1496,$Z293,10))</f>
        <v>100.0</v>
      </c>
      <c r="I293" s="14" t="str">
        <f>IF($Z293=0,"",INDEX('DEF_CALL_DECISION_SUPPORT'!$A$1:$U$1496,$Z293,9))</f>
        <v>TRACK</v>
      </c>
      <c r="J293" s="14" t="str">
        <f>IF(Z293=0,"Film Review Required",IF(D293&lt;4,"Sample Watch • ","")&amp;"D&amp;D + Concept Match • Concept Proxy")</f>
        <v>Sample Watch • D&amp;D + Concept Match • Concept Proxy</v>
      </c>
      <c r="K293" s="9" t="str">
        <f>"Opponent exact-play alert only. No Defensive Exact-Play Sample. "&amp;IF(Z293=0,"Confirm concept mapping and review film before treating this as a defensive candidate.","Metrics describe the confirmed concept; "&amp;IF($Z293=0,"",INDEX('DEF_CALL_DECISION_SUPPORT'!$A$1:$U$1496,$Z293,12)))</f>
        <v>Opponent exact-play alert only. No Defensive Exact-Play Sample. Metrics describe the confirmed concept; Track only; not enough sample.</v>
      </c>
      <c r="L293" s="7" t="s">
        <v>468</v>
      </c>
      <c r="Y293" s="2" t="s">
        <v>2588</v>
      </c>
      <c r="Z293" s="2">
        <f>IF($L293="",0,IFERROR(MATCH(LEN($A293)&amp;":"&amp;$A293&amp;"|"&amp;LEN($L293)&amp;":"&amp;$L293&amp;"|",'DEF_CALL_DECISION_SUPPORT'!$U$811:$U$1055,0)+811-1,0))</f>
        <v>867</v>
      </c>
    </row>
    <row r="294" spans="1:26" ht="50" customHeight="1">
      <c r="A294" s="8" t="s">
        <v>39</v>
      </c>
      <c r="B294" s="8" t="s">
        <v>1474</v>
      </c>
      <c r="C294" s="8" t="str">
        <f>IF($Z294=0,"Film Review Required",INDEX('DEF_CALL_DECISION_SUPPORT'!$A$1:$U$1496,$Z294,2))</f>
        <v>KNIFE</v>
      </c>
      <c r="D294" s="12">
        <f>IF($Z294=0,"",INDEX('DEF_CALL_DECISION_SUPPORT'!$A$1:$U$1496,$Z294,3))</f>
        <v>3</v>
      </c>
      <c r="E294" s="10">
        <f>IF($Z294=0,"",INDEX('DEF_CALL_DECISION_SUPPORT'!$A$1:$U$1496,$Z294,4))</f>
        <v>0.3333333333333333</v>
      </c>
      <c r="F294" s="10">
        <f>IF($Z294=0,"",INDEX('DEF_CALL_DECISION_SUPPORT'!$A$1:$U$1496,$Z294,5))</f>
        <v>0.0</v>
      </c>
      <c r="G294" s="11">
        <f>IF($Z294=0,"",INDEX('DEF_CALL_DECISION_SUPPORT'!$A$1:$U$1496,$Z294,6))</f>
        <v>5.0</v>
      </c>
      <c r="H294" s="11">
        <f>IF($Z294=0,"",INDEX('DEF_CALL_DECISION_SUPPORT'!$A$1:$U$1496,$Z294,10))</f>
        <v>48.3</v>
      </c>
      <c r="I294" s="14" t="str">
        <f>IF($Z294=0,"",INDEX('DEF_CALL_DECISION_SUPPORT'!$A$1:$U$1496,$Z294,9))</f>
        <v>LOW</v>
      </c>
      <c r="J294" s="14" t="str">
        <f>IF(Z294=0,"Film Review Required",IF(D294&lt;4,"Sample Watch • ","")&amp;"D&amp;D + Concept Match • Concept Proxy")</f>
        <v>Sample Watch • D&amp;D + Concept Match • Concept Proxy</v>
      </c>
      <c r="K294" s="9" t="str">
        <f>"Opponent exact-play alert only. No Defensive Exact-Play Sample. "&amp;IF(Z294=0,"Confirm concept mapping and review film before treating this as a defensive candidate.","Metrics describe the confirmed concept; "&amp;IF($Z294=0,"",INDEX('DEF_CALL_DECISION_SUPPORT'!$A$1:$U$1496,$Z294,12)))</f>
        <v>Opponent exact-play alert only. No Defensive Exact-Play Sample. Metrics describe the confirmed concept; Sample watch; review clips and build the sample.</v>
      </c>
      <c r="L294" s="7" t="s">
        <v>428</v>
      </c>
      <c r="Y294" s="2" t="s">
        <v>2589</v>
      </c>
      <c r="Z294" s="2">
        <f>IF($L294="",0,IFERROR(MATCH(LEN($A294)&amp;":"&amp;$A294&amp;"|"&amp;LEN($L294)&amp;":"&amp;$L294&amp;"|",'DEF_CALL_DECISION_SUPPORT'!$U$811:$U$1055,0)+811-1,0))</f>
        <v>851</v>
      </c>
    </row>
    <row r="295" spans="1:26" ht="50" customHeight="1">
      <c r="A295" s="8" t="s">
        <v>39</v>
      </c>
      <c r="B295" s="8" t="s">
        <v>1499</v>
      </c>
      <c r="C295" s="8" t="str">
        <f>IF($Z295=0,"Film Review Required",INDEX('DEF_CALL_DECISION_SUPPORT'!$A$1:$U$1496,$Z295,2))</f>
        <v>RAMBO</v>
      </c>
      <c r="D295" s="12">
        <f>IF($Z295=0,"",INDEX('DEF_CALL_DECISION_SUPPORT'!$A$1:$U$1496,$Z295,3))</f>
        <v>3</v>
      </c>
      <c r="E295" s="10">
        <f>IF($Z295=0,"",INDEX('DEF_CALL_DECISION_SUPPORT'!$A$1:$U$1496,$Z295,4))</f>
        <v>1.0</v>
      </c>
      <c r="F295" s="10">
        <f>IF($Z295=0,"",INDEX('DEF_CALL_DECISION_SUPPORT'!$A$1:$U$1496,$Z295,5))</f>
        <v>0.0</v>
      </c>
      <c r="G295" s="11">
        <f>IF($Z295=0,"",INDEX('DEF_CALL_DECISION_SUPPORT'!$A$1:$U$1496,$Z295,6))</f>
        <v>0.6666666666666666</v>
      </c>
      <c r="H295" s="11">
        <f>IF($Z295=0,"",INDEX('DEF_CALL_DECISION_SUPPORT'!$A$1:$U$1496,$Z295,10))</f>
        <v>99.3</v>
      </c>
      <c r="I295" s="14" t="str">
        <f>IF($Z295=0,"",INDEX('DEF_CALL_DECISION_SUPPORT'!$A$1:$U$1496,$Z295,9))</f>
        <v>LOW</v>
      </c>
      <c r="J295" s="14" t="str">
        <f>IF(Z295=0,"Film Review Required",IF(D295&lt;4,"Sample Watch • ","")&amp;"D&amp;D + Concept Match • Concept Proxy")</f>
        <v>Sample Watch • D&amp;D + Concept Match • Concept Proxy</v>
      </c>
      <c r="K295" s="9" t="str">
        <f>"Opponent exact-play alert only. No Defensive Exact-Play Sample. "&amp;IF(Z295=0,"Confirm concept mapping and review film before treating this as a defensive candidate.","Metrics describe the confirmed concept; "&amp;IF($Z295=0,"",INDEX('DEF_CALL_DECISION_SUPPORT'!$A$1:$U$1496,$Z295,12)))</f>
        <v>Opponent exact-play alert only. No Defensive Exact-Play Sample. Metrics describe the confirmed concept; Good signal, but sample is limited.</v>
      </c>
      <c r="L295" s="7" t="s">
        <v>449</v>
      </c>
      <c r="Y295" s="2" t="s">
        <v>2590</v>
      </c>
      <c r="Z295" s="2">
        <f>IF($L295="",0,IFERROR(MATCH(LEN($A295)&amp;":"&amp;$A295&amp;"|"&amp;LEN($L295)&amp;":"&amp;$L295&amp;"|",'DEF_CALL_DECISION_SUPPORT'!$U$811:$U$1055,0)+811-1,0))</f>
        <v>831</v>
      </c>
    </row>
    <row r="296" spans="1:26" ht="50" customHeight="1">
      <c r="A296" s="8" t="s">
        <v>39</v>
      </c>
      <c r="B296" s="8" t="s">
        <v>1481</v>
      </c>
      <c r="C296" s="8" t="str">
        <f>IF($Z296=0,"Film Review Required",INDEX('DEF_CALL_DECISION_SUPPORT'!$A$1:$U$1496,$Z296,2))</f>
        <v>RAMBO</v>
      </c>
      <c r="D296" s="12">
        <f>IF($Z296=0,"",INDEX('DEF_CALL_DECISION_SUPPORT'!$A$1:$U$1496,$Z296,3))</f>
        <v>3</v>
      </c>
      <c r="E296" s="10">
        <f>IF($Z296=0,"",INDEX('DEF_CALL_DECISION_SUPPORT'!$A$1:$U$1496,$Z296,4))</f>
        <v>1.0</v>
      </c>
      <c r="F296" s="10">
        <f>IF($Z296=0,"",INDEX('DEF_CALL_DECISION_SUPPORT'!$A$1:$U$1496,$Z296,5))</f>
        <v>0.0</v>
      </c>
      <c r="G296" s="11">
        <f>IF($Z296=0,"",INDEX('DEF_CALL_DECISION_SUPPORT'!$A$1:$U$1496,$Z296,6))</f>
        <v>0.6666666666666666</v>
      </c>
      <c r="H296" s="11">
        <f>IF($Z296=0,"",INDEX('DEF_CALL_DECISION_SUPPORT'!$A$1:$U$1496,$Z296,10))</f>
        <v>99.3</v>
      </c>
      <c r="I296" s="14" t="str">
        <f>IF($Z296=0,"",INDEX('DEF_CALL_DECISION_SUPPORT'!$A$1:$U$1496,$Z296,9))</f>
        <v>LOW</v>
      </c>
      <c r="J296" s="14" t="str">
        <f>IF(Z296=0,"Film Review Required",IF(D296&lt;4,"Sample Watch • ","")&amp;"D&amp;D + Concept Match • Concept Proxy")</f>
        <v>Sample Watch • D&amp;D + Concept Match • Concept Proxy</v>
      </c>
      <c r="K296" s="9" t="str">
        <f>"Opponent exact-play alert only. No Defensive Exact-Play Sample. "&amp;IF(Z296=0,"Confirm concept mapping and review film before treating this as a defensive candidate.","Metrics describe the confirmed concept; "&amp;IF($Z296=0,"",INDEX('DEF_CALL_DECISION_SUPPORT'!$A$1:$U$1496,$Z296,12)))</f>
        <v>Opponent exact-play alert only. No Defensive Exact-Play Sample. Metrics describe the confirmed concept; Good signal, but sample is limited.</v>
      </c>
      <c r="L296" s="7" t="s">
        <v>449</v>
      </c>
      <c r="Y296" s="2" t="s">
        <v>2591</v>
      </c>
      <c r="Z296" s="2">
        <f>IF($L296="",0,IFERROR(MATCH(LEN($A296)&amp;":"&amp;$A296&amp;"|"&amp;LEN($L296)&amp;":"&amp;$L296&amp;"|",'DEF_CALL_DECISION_SUPPORT'!$U$811:$U$1055,0)+811-1,0))</f>
        <v>831</v>
      </c>
    </row>
    <row r="297" spans="1:26" ht="50" customHeight="1">
      <c r="A297" s="8" t="s">
        <v>39</v>
      </c>
      <c r="B297" s="8" t="s">
        <v>1469</v>
      </c>
      <c r="C297" s="8" t="str">
        <f>IF($Z297=0,"Film Review Required",INDEX('DEF_CALL_DECISION_SUPPORT'!$A$1:$U$1496,$Z297,2))</f>
        <v>Film Review Required</v>
      </c>
      <c r="D297" s="12">
        <f>IF($Z297=0,"",INDEX('DEF_CALL_DECISION_SUPPORT'!$A$1:$U$1496,$Z297,3))</f>
        <v/>
      </c>
      <c r="E297" s="10">
        <f>IF($Z297=0,"",INDEX('DEF_CALL_DECISION_SUPPORT'!$A$1:$U$1496,$Z297,4))</f>
        <v/>
      </c>
      <c r="F297" s="10">
        <f>IF($Z297=0,"",INDEX('DEF_CALL_DECISION_SUPPORT'!$A$1:$U$1496,$Z297,5))</f>
        <v/>
      </c>
      <c r="G297" s="11">
        <f>IF($Z297=0,"",INDEX('DEF_CALL_DECISION_SUPPORT'!$A$1:$U$1496,$Z297,6))</f>
        <v/>
      </c>
      <c r="H297" s="11">
        <f>IF($Z297=0,"",INDEX('DEF_CALL_DECISION_SUPPORT'!$A$1:$U$1496,$Z297,10))</f>
        <v/>
      </c>
      <c r="I297" s="14">
        <f>IF($Z297=0,"",INDEX('DEF_CALL_DECISION_SUPPORT'!$A$1:$U$1496,$Z297,9))</f>
        <v/>
      </c>
      <c r="J297" s="14" t="str">
        <f>IF(Z297=0,"Film Review Required",IF(D297&lt;4,"Sample Watch • ","")&amp;"D&amp;D + Concept Match • Concept Proxy")</f>
        <v>Film Review Required</v>
      </c>
      <c r="K297" s="9" t="str">
        <f>"Opponent exact-play alert only. No Defensive Exact-Play Sample. "&amp;IF(Z297=0,"Confirm concept mapping and review film before treating this as a defensive candidate.","Metrics describe the confirmed concept; "&amp;IF($Z297=0,"",INDEX('DEF_CALL_DECISION_SUPPORT'!$A$1:$U$1496,$Z297,12)))</f>
        <v>Opponent exact-play alert only. No Defensive Exact-Play Sample. Confirm concept mapping and review film before treating this as a defensive candidate.</v>
      </c>
      <c r="L297" s="7" t="s">
        <v>443</v>
      </c>
      <c r="Y297" s="2" t="s">
        <v>2592</v>
      </c>
      <c r="Z297" s="2">
        <f>IF($L297="",0,IFERROR(MATCH(LEN($A297)&amp;":"&amp;$A297&amp;"|"&amp;LEN($L297)&amp;":"&amp;$L297&amp;"|",'DEF_CALL_DECISION_SUPPORT'!$U$811:$U$1055,0)+811-1,0))</f>
        <v>0</v>
      </c>
    </row>
    <row r="298" spans="1:26" ht="50" customHeight="1">
      <c r="A298" s="8" t="s">
        <v>39</v>
      </c>
      <c r="B298" s="8" t="s">
        <v>819</v>
      </c>
      <c r="C298" s="8" t="str">
        <f>IF($Z298=0,"Film Review Required",INDEX('DEF_CALL_DECISION_SUPPORT'!$A$1:$U$1496,$Z298,2))</f>
        <v>BOURBON</v>
      </c>
      <c r="D298" s="12">
        <f>IF($Z298=0,"",INDEX('DEF_CALL_DECISION_SUPPORT'!$A$1:$U$1496,$Z298,3))</f>
        <v>1</v>
      </c>
      <c r="E298" s="10">
        <f>IF($Z298=0,"",INDEX('DEF_CALL_DECISION_SUPPORT'!$A$1:$U$1496,$Z298,4))</f>
        <v>1.0</v>
      </c>
      <c r="F298" s="10">
        <f>IF($Z298=0,"",INDEX('DEF_CALL_DECISION_SUPPORT'!$A$1:$U$1496,$Z298,5))</f>
        <v>0.0</v>
      </c>
      <c r="G298" s="11">
        <f>IF($Z298=0,"",INDEX('DEF_CALL_DECISION_SUPPORT'!$A$1:$U$1496,$Z298,6))</f>
        <v>0.0</v>
      </c>
      <c r="H298" s="11">
        <f>IF($Z298=0,"",INDEX('DEF_CALL_DECISION_SUPPORT'!$A$1:$U$1496,$Z298,10))</f>
        <v>100.0</v>
      </c>
      <c r="I298" s="14" t="str">
        <f>IF($Z298=0,"",INDEX('DEF_CALL_DECISION_SUPPORT'!$A$1:$U$1496,$Z298,9))</f>
        <v>TRACK</v>
      </c>
      <c r="J298" s="14" t="str">
        <f>IF(Z298=0,"Film Review Required",IF(D298&lt;4,"Sample Watch • ","")&amp;"D&amp;D + Concept Match • Concept Proxy")</f>
        <v>Sample Watch • D&amp;D + Concept Match • Concept Proxy</v>
      </c>
      <c r="K298" s="9" t="str">
        <f>"Opponent exact-play alert only. No Defensive Exact-Play Sample. "&amp;IF(Z298=0,"Confirm concept mapping and review film before treating this as a defensive candidate.","Metrics describe the confirmed concept; "&amp;IF($Z298=0,"",INDEX('DEF_CALL_DECISION_SUPPORT'!$A$1:$U$1496,$Z298,12)))</f>
        <v>Opponent exact-play alert only. No Defensive Exact-Play Sample. Metrics describe the confirmed concept; Track only; not enough sample.</v>
      </c>
      <c r="L298" s="7" t="s">
        <v>474</v>
      </c>
      <c r="Y298" s="2" t="s">
        <v>2593</v>
      </c>
      <c r="Z298" s="2">
        <f>IF($L298="",0,IFERROR(MATCH(LEN($A298)&amp;":"&amp;$A298&amp;"|"&amp;LEN($L298)&amp;":"&amp;$L298&amp;"|",'DEF_CALL_DECISION_SUPPORT'!$U$811:$U$1055,0)+811-1,0))</f>
        <v>876</v>
      </c>
    </row>
    <row r="299" spans="1:26" ht="50" customHeight="1">
      <c r="A299" s="8" t="s">
        <v>39</v>
      </c>
      <c r="B299" s="8" t="s">
        <v>1494</v>
      </c>
      <c r="C299" s="8" t="str">
        <f>IF($Z299=0,"Film Review Required",INDEX('DEF_CALL_DECISION_SUPPORT'!$A$1:$U$1496,$Z299,2))</f>
        <v>Film Review Required</v>
      </c>
      <c r="D299" s="12">
        <f>IF($Z299=0,"",INDEX('DEF_CALL_DECISION_SUPPORT'!$A$1:$U$1496,$Z299,3))</f>
        <v/>
      </c>
      <c r="E299" s="10">
        <f>IF($Z299=0,"",INDEX('DEF_CALL_DECISION_SUPPORT'!$A$1:$U$1496,$Z299,4))</f>
        <v/>
      </c>
      <c r="F299" s="10">
        <f>IF($Z299=0,"",INDEX('DEF_CALL_DECISION_SUPPORT'!$A$1:$U$1496,$Z299,5))</f>
        <v/>
      </c>
      <c r="G299" s="11">
        <f>IF($Z299=0,"",INDEX('DEF_CALL_DECISION_SUPPORT'!$A$1:$U$1496,$Z299,6))</f>
        <v/>
      </c>
      <c r="H299" s="11">
        <f>IF($Z299=0,"",INDEX('DEF_CALL_DECISION_SUPPORT'!$A$1:$U$1496,$Z299,10))</f>
        <v/>
      </c>
      <c r="I299" s="14">
        <f>IF($Z299=0,"",INDEX('DEF_CALL_DECISION_SUPPORT'!$A$1:$U$1496,$Z299,9))</f>
        <v/>
      </c>
      <c r="J299" s="14" t="str">
        <f>IF(Z299=0,"Film Review Required",IF(D299&lt;4,"Sample Watch • ","")&amp;"D&amp;D + Concept Match • Concept Proxy")</f>
        <v>Film Review Required</v>
      </c>
      <c r="K299" s="9" t="str">
        <f>"Opponent exact-play alert only. No Defensive Exact-Play Sample. "&amp;IF(Z299=0,"Confirm concept mapping and review film before treating this as a defensive candidate.","Metrics describe the confirmed concept; "&amp;IF($Z299=0,"",INDEX('DEF_CALL_DECISION_SUPPORT'!$A$1:$U$1496,$Z299,12)))</f>
        <v>Opponent exact-play alert only. No Defensive Exact-Play Sample. Confirm concept mapping and review film before treating this as a defensive candidate.</v>
      </c>
      <c r="L299" s="7"/>
      <c r="Y299" s="2" t="s">
        <v>2594</v>
      </c>
      <c r="Z299" s="2">
        <f>IF($L299="",0,IFERROR(MATCH(LEN($A299)&amp;":"&amp;$A299&amp;"|"&amp;LEN($L299)&amp;":"&amp;$L299&amp;"|",'DEF_CALL_DECISION_SUPPORT'!$U$811:$U$1055,0)+811-1,0))</f>
        <v>0</v>
      </c>
    </row>
    <row r="300" spans="1:26" ht="50" customHeight="1">
      <c r="A300" s="8" t="s">
        <v>39</v>
      </c>
      <c r="B300" s="8" t="s">
        <v>1420</v>
      </c>
      <c r="C300" s="8" t="str">
        <f>IF($Z300=0,"Film Review Required",INDEX('DEF_CALL_DECISION_SUPPORT'!$A$1:$U$1496,$Z300,2))</f>
        <v>KNIFE</v>
      </c>
      <c r="D300" s="12">
        <f>IF($Z300=0,"",INDEX('DEF_CALL_DECISION_SUPPORT'!$A$1:$U$1496,$Z300,3))</f>
        <v>3</v>
      </c>
      <c r="E300" s="10">
        <f>IF($Z300=0,"",INDEX('DEF_CALL_DECISION_SUPPORT'!$A$1:$U$1496,$Z300,4))</f>
        <v>0.3333333333333333</v>
      </c>
      <c r="F300" s="10">
        <f>IF($Z300=0,"",INDEX('DEF_CALL_DECISION_SUPPORT'!$A$1:$U$1496,$Z300,5))</f>
        <v>0.0</v>
      </c>
      <c r="G300" s="11">
        <f>IF($Z300=0,"",INDEX('DEF_CALL_DECISION_SUPPORT'!$A$1:$U$1496,$Z300,6))</f>
        <v>5.0</v>
      </c>
      <c r="H300" s="11">
        <f>IF($Z300=0,"",INDEX('DEF_CALL_DECISION_SUPPORT'!$A$1:$U$1496,$Z300,10))</f>
        <v>48.3</v>
      </c>
      <c r="I300" s="14" t="str">
        <f>IF($Z300=0,"",INDEX('DEF_CALL_DECISION_SUPPORT'!$A$1:$U$1496,$Z300,9))</f>
        <v>LOW</v>
      </c>
      <c r="J300" s="14" t="str">
        <f>IF(Z300=0,"Film Review Required",IF(D300&lt;4,"Sample Watch • ","")&amp;"D&amp;D + Concept Match • Concept Proxy")</f>
        <v>Sample Watch • D&amp;D + Concept Match • Concept Proxy</v>
      </c>
      <c r="K300" s="9" t="str">
        <f>"Opponent exact-play alert only. No Defensive Exact-Play Sample. "&amp;IF(Z300=0,"Confirm concept mapping and review film before treating this as a defensive candidate.","Metrics describe the confirmed concept; "&amp;IF($Z300=0,"",INDEX('DEF_CALL_DECISION_SUPPORT'!$A$1:$U$1496,$Z300,12)))</f>
        <v>Opponent exact-play alert only. No Defensive Exact-Play Sample. Metrics describe the confirmed concept; Sample watch; review clips and build the sample.</v>
      </c>
      <c r="L300" s="7" t="s">
        <v>428</v>
      </c>
      <c r="Y300" s="2" t="s">
        <v>2595</v>
      </c>
      <c r="Z300" s="2">
        <f>IF($L300="",0,IFERROR(MATCH(LEN($A300)&amp;":"&amp;$A300&amp;"|"&amp;LEN($L300)&amp;":"&amp;$L300&amp;"|",'DEF_CALL_DECISION_SUPPORT'!$U$811:$U$1055,0)+811-1,0))</f>
        <v>851</v>
      </c>
    </row>
    <row r="301" spans="1:26" ht="50" customHeight="1">
      <c r="A301" s="8" t="s">
        <v>39</v>
      </c>
      <c r="B301" s="8" t="s">
        <v>823</v>
      </c>
      <c r="C301" s="8" t="str">
        <f>IF($Z301=0,"Film Review Required",INDEX('DEF_CALL_DECISION_SUPPORT'!$A$1:$U$1496,$Z301,2))</f>
        <v>KNIFE</v>
      </c>
      <c r="D301" s="12">
        <f>IF($Z301=0,"",INDEX('DEF_CALL_DECISION_SUPPORT'!$A$1:$U$1496,$Z301,3))</f>
        <v>3</v>
      </c>
      <c r="E301" s="10">
        <f>IF($Z301=0,"",INDEX('DEF_CALL_DECISION_SUPPORT'!$A$1:$U$1496,$Z301,4))</f>
        <v>0.3333333333333333</v>
      </c>
      <c r="F301" s="10">
        <f>IF($Z301=0,"",INDEX('DEF_CALL_DECISION_SUPPORT'!$A$1:$U$1496,$Z301,5))</f>
        <v>0.0</v>
      </c>
      <c r="G301" s="11">
        <f>IF($Z301=0,"",INDEX('DEF_CALL_DECISION_SUPPORT'!$A$1:$U$1496,$Z301,6))</f>
        <v>5.0</v>
      </c>
      <c r="H301" s="11">
        <f>IF($Z301=0,"",INDEX('DEF_CALL_DECISION_SUPPORT'!$A$1:$U$1496,$Z301,10))</f>
        <v>48.3</v>
      </c>
      <c r="I301" s="14" t="str">
        <f>IF($Z301=0,"",INDEX('DEF_CALL_DECISION_SUPPORT'!$A$1:$U$1496,$Z301,9))</f>
        <v>LOW</v>
      </c>
      <c r="J301" s="14" t="str">
        <f>IF(Z301=0,"Film Review Required",IF(D301&lt;4,"Sample Watch • ","")&amp;"D&amp;D + Concept Match • Concept Proxy")</f>
        <v>Sample Watch • D&amp;D + Concept Match • Concept Proxy</v>
      </c>
      <c r="K301" s="9" t="str">
        <f>"Opponent exact-play alert only. No Defensive Exact-Play Sample. "&amp;IF(Z301=0,"Confirm concept mapping and review film before treating this as a defensive candidate.","Metrics describe the confirmed concept; "&amp;IF($Z301=0,"",INDEX('DEF_CALL_DECISION_SUPPORT'!$A$1:$U$1496,$Z301,12)))</f>
        <v>Opponent exact-play alert only. No Defensive Exact-Play Sample. Metrics describe the confirmed concept; Sample watch; review clips and build the sample.</v>
      </c>
      <c r="L301" s="7" t="s">
        <v>428</v>
      </c>
      <c r="Y301" s="2" t="s">
        <v>2596</v>
      </c>
      <c r="Z301" s="2">
        <f>IF($L301="",0,IFERROR(MATCH(LEN($A301)&amp;":"&amp;$A301&amp;"|"&amp;LEN($L301)&amp;":"&amp;$L301&amp;"|",'DEF_CALL_DECISION_SUPPORT'!$U$811:$U$1055,0)+811-1,0))</f>
        <v>851</v>
      </c>
    </row>
    <row r="302" spans="1:26" ht="50" customHeight="1">
      <c r="A302" s="8" t="s">
        <v>39</v>
      </c>
      <c r="B302" s="8" t="s">
        <v>816</v>
      </c>
      <c r="C302" s="8" t="str">
        <f>IF($Z302=0,"Film Review Required",INDEX('DEF_CALL_DECISION_SUPPORT'!$A$1:$U$1496,$Z302,2))</f>
        <v>Film Review Required</v>
      </c>
      <c r="D302" s="12">
        <f>IF($Z302=0,"",INDEX('DEF_CALL_DECISION_SUPPORT'!$A$1:$U$1496,$Z302,3))</f>
        <v/>
      </c>
      <c r="E302" s="10">
        <f>IF($Z302=0,"",INDEX('DEF_CALL_DECISION_SUPPORT'!$A$1:$U$1496,$Z302,4))</f>
        <v/>
      </c>
      <c r="F302" s="10">
        <f>IF($Z302=0,"",INDEX('DEF_CALL_DECISION_SUPPORT'!$A$1:$U$1496,$Z302,5))</f>
        <v/>
      </c>
      <c r="G302" s="11">
        <f>IF($Z302=0,"",INDEX('DEF_CALL_DECISION_SUPPORT'!$A$1:$U$1496,$Z302,6))</f>
        <v/>
      </c>
      <c r="H302" s="11">
        <f>IF($Z302=0,"",INDEX('DEF_CALL_DECISION_SUPPORT'!$A$1:$U$1496,$Z302,10))</f>
        <v/>
      </c>
      <c r="I302" s="14">
        <f>IF($Z302=0,"",INDEX('DEF_CALL_DECISION_SUPPORT'!$A$1:$U$1496,$Z302,9))</f>
        <v/>
      </c>
      <c r="J302" s="14" t="str">
        <f>IF(Z302=0,"Film Review Required",IF(D302&lt;4,"Sample Watch • ","")&amp;"D&amp;D + Concept Match • Concept Proxy")</f>
        <v>Film Review Required</v>
      </c>
      <c r="K302" s="9" t="str">
        <f>"Opponent exact-play alert only. No Defensive Exact-Play Sample. "&amp;IF(Z302=0,"Confirm concept mapping and review film before treating this as a defensive candidate.","Metrics describe the confirmed concept; "&amp;IF($Z302=0,"",INDEX('DEF_CALL_DECISION_SUPPORT'!$A$1:$U$1496,$Z302,12)))</f>
        <v>Opponent exact-play alert only. No Defensive Exact-Play Sample. Confirm concept mapping and review film before treating this as a defensive candidate.</v>
      </c>
      <c r="L302" s="7"/>
      <c r="Y302" s="2" t="s">
        <v>2597</v>
      </c>
      <c r="Z302" s="2">
        <f>IF($L302="",0,IFERROR(MATCH(LEN($A302)&amp;":"&amp;$A302&amp;"|"&amp;LEN($L302)&amp;":"&amp;$L302&amp;"|",'DEF_CALL_DECISION_SUPPORT'!$U$811:$U$1055,0)+811-1,0))</f>
        <v>0</v>
      </c>
    </row>
    <row r="303" spans="1:26" ht="50" customHeight="1">
      <c r="A303" s="8" t="s">
        <v>39</v>
      </c>
      <c r="B303" s="8" t="s">
        <v>1422</v>
      </c>
      <c r="C303" s="8" t="str">
        <f>IF($Z303=0,"Film Review Required",INDEX('DEF_CALL_DECISION_SUPPORT'!$A$1:$U$1496,$Z303,2))</f>
        <v>Film Review Required</v>
      </c>
      <c r="D303" s="12">
        <f>IF($Z303=0,"",INDEX('DEF_CALL_DECISION_SUPPORT'!$A$1:$U$1496,$Z303,3))</f>
        <v/>
      </c>
      <c r="E303" s="10">
        <f>IF($Z303=0,"",INDEX('DEF_CALL_DECISION_SUPPORT'!$A$1:$U$1496,$Z303,4))</f>
        <v/>
      </c>
      <c r="F303" s="10">
        <f>IF($Z303=0,"",INDEX('DEF_CALL_DECISION_SUPPORT'!$A$1:$U$1496,$Z303,5))</f>
        <v/>
      </c>
      <c r="G303" s="11">
        <f>IF($Z303=0,"",INDEX('DEF_CALL_DECISION_SUPPORT'!$A$1:$U$1496,$Z303,6))</f>
        <v/>
      </c>
      <c r="H303" s="11">
        <f>IF($Z303=0,"",INDEX('DEF_CALL_DECISION_SUPPORT'!$A$1:$U$1496,$Z303,10))</f>
        <v/>
      </c>
      <c r="I303" s="14">
        <f>IF($Z303=0,"",INDEX('DEF_CALL_DECISION_SUPPORT'!$A$1:$U$1496,$Z303,9))</f>
        <v/>
      </c>
      <c r="J303" s="14" t="str">
        <f>IF(Z303=0,"Film Review Required",IF(D303&lt;4,"Sample Watch • ","")&amp;"D&amp;D + Concept Match • Concept Proxy")</f>
        <v>Film Review Required</v>
      </c>
      <c r="K303" s="9" t="str">
        <f>"Opponent exact-play alert only. No Defensive Exact-Play Sample. "&amp;IF(Z303=0,"Confirm concept mapping and review film before treating this as a defensive candidate.","Metrics describe the confirmed concept; "&amp;IF($Z303=0,"",INDEX('DEF_CALL_DECISION_SUPPORT'!$A$1:$U$1496,$Z303,12)))</f>
        <v>Opponent exact-play alert only. No Defensive Exact-Play Sample. Confirm concept mapping and review film before treating this as a defensive candidate.</v>
      </c>
      <c r="L303" s="7" t="s">
        <v>574</v>
      </c>
      <c r="Y303" s="2" t="s">
        <v>2598</v>
      </c>
      <c r="Z303" s="2">
        <f>IF($L303="",0,IFERROR(MATCH(LEN($A303)&amp;":"&amp;$A303&amp;"|"&amp;LEN($L303)&amp;":"&amp;$L303&amp;"|",'DEF_CALL_DECISION_SUPPORT'!$U$811:$U$1055,0)+811-1,0))</f>
        <v>0</v>
      </c>
    </row>
    <row r="304" spans="1:26" ht="50" customHeight="1">
      <c r="A304" s="8" t="s">
        <v>70</v>
      </c>
      <c r="B304" s="8" t="s">
        <v>1431</v>
      </c>
      <c r="C304" s="8" t="str">
        <f>IF($Z304=0,"Film Review Required",INDEX('DEF_CALL_DECISION_SUPPORT'!$A$1:$U$1496,$Z304,2))</f>
        <v>CAPTAIN</v>
      </c>
      <c r="D304" s="12">
        <f>IF($Z304=0,"",INDEX('DEF_CALL_DECISION_SUPPORT'!$A$1:$U$1496,$Z304,3))</f>
        <v>1</v>
      </c>
      <c r="E304" s="10">
        <f>IF($Z304=0,"",INDEX('DEF_CALL_DECISION_SUPPORT'!$A$1:$U$1496,$Z304,4))</f>
        <v>1.0</v>
      </c>
      <c r="F304" s="10">
        <f>IF($Z304=0,"",INDEX('DEF_CALL_DECISION_SUPPORT'!$A$1:$U$1496,$Z304,5))</f>
        <v>0.0</v>
      </c>
      <c r="G304" s="11">
        <f>IF($Z304=0,"",INDEX('DEF_CALL_DECISION_SUPPORT'!$A$1:$U$1496,$Z304,6))</f>
        <v>0.0</v>
      </c>
      <c r="H304" s="11">
        <f>IF($Z304=0,"",INDEX('DEF_CALL_DECISION_SUPPORT'!$A$1:$U$1496,$Z304,10))</f>
        <v>100.0</v>
      </c>
      <c r="I304" s="14" t="str">
        <f>IF($Z304=0,"",INDEX('DEF_CALL_DECISION_SUPPORT'!$A$1:$U$1496,$Z304,9))</f>
        <v>TRACK</v>
      </c>
      <c r="J304" s="14" t="str">
        <f>IF(Z304=0,"Film Review Required",IF(D304&lt;4,"Sample Watch • ","")&amp;"D&amp;D + Concept Match • Concept Proxy")</f>
        <v>Sample Watch • D&amp;D + Concept Match • Concept Proxy</v>
      </c>
      <c r="K304" s="9" t="str">
        <f>"Opponent exact-play alert only. No Defensive Exact-Play Sample. "&amp;IF(Z304=0,"Confirm concept mapping and review film before treating this as a defensive candidate.","Metrics describe the confirmed concept; "&amp;IF($Z304=0,"",INDEX('DEF_CALL_DECISION_SUPPORT'!$A$1:$U$1496,$Z304,12)))</f>
        <v>Opponent exact-play alert only. No Defensive Exact-Play Sample. Metrics describe the confirmed concept; Track only; not enough sample.</v>
      </c>
      <c r="L304" s="7" t="s">
        <v>468</v>
      </c>
      <c r="Y304" s="2" t="s">
        <v>2599</v>
      </c>
      <c r="Z304" s="2">
        <f>IF($L304="",0,IFERROR(MATCH(LEN($A304)&amp;":"&amp;$A304&amp;"|"&amp;LEN($L304)&amp;":"&amp;$L304&amp;"|",'DEF_CALL_DECISION_SUPPORT'!$U$811:$U$1055,0)+811-1,0))</f>
        <v>890</v>
      </c>
    </row>
    <row r="305" spans="1:26" ht="50" customHeight="1">
      <c r="A305" s="8" t="s">
        <v>70</v>
      </c>
      <c r="B305" s="8" t="s">
        <v>1533</v>
      </c>
      <c r="C305" s="8" t="str">
        <f>IF($Z305=0,"Film Review Required",INDEX('DEF_CALL_DECISION_SUPPORT'!$A$1:$U$1496,$Z305,2))</f>
        <v>Film Review Required</v>
      </c>
      <c r="D305" s="12">
        <f>IF($Z305=0,"",INDEX('DEF_CALL_DECISION_SUPPORT'!$A$1:$U$1496,$Z305,3))</f>
        <v/>
      </c>
      <c r="E305" s="10">
        <f>IF($Z305=0,"",INDEX('DEF_CALL_DECISION_SUPPORT'!$A$1:$U$1496,$Z305,4))</f>
        <v/>
      </c>
      <c r="F305" s="10">
        <f>IF($Z305=0,"",INDEX('DEF_CALL_DECISION_SUPPORT'!$A$1:$U$1496,$Z305,5))</f>
        <v/>
      </c>
      <c r="G305" s="11">
        <f>IF($Z305=0,"",INDEX('DEF_CALL_DECISION_SUPPORT'!$A$1:$U$1496,$Z305,6))</f>
        <v/>
      </c>
      <c r="H305" s="11">
        <f>IF($Z305=0,"",INDEX('DEF_CALL_DECISION_SUPPORT'!$A$1:$U$1496,$Z305,10))</f>
        <v/>
      </c>
      <c r="I305" s="14">
        <f>IF($Z305=0,"",INDEX('DEF_CALL_DECISION_SUPPORT'!$A$1:$U$1496,$Z305,9))</f>
        <v/>
      </c>
      <c r="J305" s="14" t="str">
        <f>IF(Z305=0,"Film Review Required",IF(D305&lt;4,"Sample Watch • ","")&amp;"D&amp;D + Concept Match • Concept Proxy")</f>
        <v>Film Review Required</v>
      </c>
      <c r="K305" s="9" t="str">
        <f>"Opponent exact-play alert only. No Defensive Exact-Play Sample. "&amp;IF(Z305=0,"Confirm concept mapping and review film before treating this as a defensive candidate.","Metrics describe the confirmed concept; "&amp;IF($Z305=0,"",INDEX('DEF_CALL_DECISION_SUPPORT'!$A$1:$U$1496,$Z305,12)))</f>
        <v>Opponent exact-play alert only. No Defensive Exact-Play Sample. Confirm concept mapping and review film before treating this as a defensive candidate.</v>
      </c>
      <c r="L305" s="7" t="s">
        <v>574</v>
      </c>
      <c r="Y305" s="2" t="s">
        <v>2600</v>
      </c>
      <c r="Z305" s="2">
        <f>IF($L305="",0,IFERROR(MATCH(LEN($A305)&amp;":"&amp;$A305&amp;"|"&amp;LEN($L305)&amp;":"&amp;$L305&amp;"|",'DEF_CALL_DECISION_SUPPORT'!$U$811:$U$1055,0)+811-1,0))</f>
        <v>0</v>
      </c>
    </row>
    <row r="306" spans="1:26" ht="50" customHeight="1">
      <c r="A306" s="8" t="s">
        <v>70</v>
      </c>
      <c r="B306" s="8" t="s">
        <v>1416</v>
      </c>
      <c r="C306" s="8" t="str">
        <f>IF($Z306=0,"Film Review Required",INDEX('DEF_CALL_DECISION_SUPPORT'!$A$1:$U$1496,$Z306,2))</f>
        <v>MIX TEX</v>
      </c>
      <c r="D306" s="12">
        <f>IF($Z306=0,"",INDEX('DEF_CALL_DECISION_SUPPORT'!$A$1:$U$1496,$Z306,3))</f>
        <v>1</v>
      </c>
      <c r="E306" s="10">
        <f>IF($Z306=0,"",INDEX('DEF_CALL_DECISION_SUPPORT'!$A$1:$U$1496,$Z306,4))</f>
        <v>0.0</v>
      </c>
      <c r="F306" s="10">
        <f>IF($Z306=0,"",INDEX('DEF_CALL_DECISION_SUPPORT'!$A$1:$U$1496,$Z306,5))</f>
        <v>0.0</v>
      </c>
      <c r="G306" s="11">
        <f>IF($Z306=0,"",INDEX('DEF_CALL_DECISION_SUPPORT'!$A$1:$U$1496,$Z306,6))</f>
        <v>9.0</v>
      </c>
      <c r="H306" s="11">
        <f>IF($Z306=0,"",INDEX('DEF_CALL_DECISION_SUPPORT'!$A$1:$U$1496,$Z306,10))</f>
        <v>21.0</v>
      </c>
      <c r="I306" s="14" t="str">
        <f>IF($Z306=0,"",INDEX('DEF_CALL_DECISION_SUPPORT'!$A$1:$U$1496,$Z306,9))</f>
        <v>TRACK</v>
      </c>
      <c r="J306" s="14" t="str">
        <f>IF(Z306=0,"Film Review Required",IF(D306&lt;4,"Sample Watch • ","")&amp;"D&amp;D + Concept Match • Concept Proxy")</f>
        <v>Sample Watch • D&amp;D + Concept Match • Concept Proxy</v>
      </c>
      <c r="K306" s="9" t="str">
        <f>"Opponent exact-play alert only. No Defensive Exact-Play Sample. "&amp;IF(Z306=0,"Confirm concept mapping and review film before treating this as a defensive candidate.","Metrics describe the confirmed concept; "&amp;IF($Z306=0,"",INDEX('DEF_CALL_DECISION_SUPPORT'!$A$1:$U$1496,$Z306,12)))</f>
        <v>Opponent exact-play alert only. No Defensive Exact-Play Sample. Metrics describe the confirmed concept; Track only; not enough sample.</v>
      </c>
      <c r="L306" s="7" t="s">
        <v>449</v>
      </c>
      <c r="Y306" s="2" t="s">
        <v>2601</v>
      </c>
      <c r="Z306" s="2">
        <f>IF($L306="",0,IFERROR(MATCH(LEN($A306)&amp;":"&amp;$A306&amp;"|"&amp;LEN($L306)&amp;":"&amp;$L306&amp;"|",'DEF_CALL_DECISION_SUPPORT'!$U$811:$U$1055,0)+811-1,0))</f>
        <v>881</v>
      </c>
    </row>
    <row r="307" spans="1:26" ht="50" customHeight="1">
      <c r="A307" s="8" t="s">
        <v>70</v>
      </c>
      <c r="B307" s="8" t="s">
        <v>1536</v>
      </c>
      <c r="C307" s="8" t="str">
        <f>IF($Z307=0,"Film Review Required",INDEX('DEF_CALL_DECISION_SUPPORT'!$A$1:$U$1496,$Z307,2))</f>
        <v>MIX TEX</v>
      </c>
      <c r="D307" s="12">
        <f>IF($Z307=0,"",INDEX('DEF_CALL_DECISION_SUPPORT'!$A$1:$U$1496,$Z307,3))</f>
        <v>1</v>
      </c>
      <c r="E307" s="10">
        <f>IF($Z307=0,"",INDEX('DEF_CALL_DECISION_SUPPORT'!$A$1:$U$1496,$Z307,4))</f>
        <v>0.0</v>
      </c>
      <c r="F307" s="10">
        <f>IF($Z307=0,"",INDEX('DEF_CALL_DECISION_SUPPORT'!$A$1:$U$1496,$Z307,5))</f>
        <v>0.0</v>
      </c>
      <c r="G307" s="11">
        <f>IF($Z307=0,"",INDEX('DEF_CALL_DECISION_SUPPORT'!$A$1:$U$1496,$Z307,6))</f>
        <v>9.0</v>
      </c>
      <c r="H307" s="11">
        <f>IF($Z307=0,"",INDEX('DEF_CALL_DECISION_SUPPORT'!$A$1:$U$1496,$Z307,10))</f>
        <v>21.0</v>
      </c>
      <c r="I307" s="14" t="str">
        <f>IF($Z307=0,"",INDEX('DEF_CALL_DECISION_SUPPORT'!$A$1:$U$1496,$Z307,9))</f>
        <v>TRACK</v>
      </c>
      <c r="J307" s="14" t="str">
        <f>IF(Z307=0,"Film Review Required",IF(D307&lt;4,"Sample Watch • ","")&amp;"D&amp;D + Concept Match • Concept Proxy")</f>
        <v>Sample Watch • D&amp;D + Concept Match • Concept Proxy</v>
      </c>
      <c r="K307" s="9" t="str">
        <f>"Opponent exact-play alert only. No Defensive Exact-Play Sample. "&amp;IF(Z307=0,"Confirm concept mapping and review film before treating this as a defensive candidate.","Metrics describe the confirmed concept; "&amp;IF($Z307=0,"",INDEX('DEF_CALL_DECISION_SUPPORT'!$A$1:$U$1496,$Z307,12)))</f>
        <v>Opponent exact-play alert only. No Defensive Exact-Play Sample. Metrics describe the confirmed concept; Track only; not enough sample.</v>
      </c>
      <c r="L307" s="7" t="s">
        <v>449</v>
      </c>
      <c r="Y307" s="2" t="s">
        <v>2602</v>
      </c>
      <c r="Z307" s="2">
        <f>IF($L307="",0,IFERROR(MATCH(LEN($A307)&amp;":"&amp;$A307&amp;"|"&amp;LEN($L307)&amp;":"&amp;$L307&amp;"|",'DEF_CALL_DECISION_SUPPORT'!$U$811:$U$1055,0)+811-1,0))</f>
        <v>881</v>
      </c>
    </row>
    <row r="308" spans="1:26" ht="50" customHeight="1">
      <c r="A308" s="8" t="s">
        <v>70</v>
      </c>
      <c r="B308" s="8" t="s">
        <v>1558</v>
      </c>
      <c r="C308" s="8" t="str">
        <f>IF($Z308=0,"Film Review Required",INDEX('DEF_CALL_DECISION_SUPPORT'!$A$1:$U$1496,$Z308,2))</f>
        <v>OX</v>
      </c>
      <c r="D308" s="12">
        <f>IF($Z308=0,"",INDEX('DEF_CALL_DECISION_SUPPORT'!$A$1:$U$1496,$Z308,3))</f>
        <v>1</v>
      </c>
      <c r="E308" s="10">
        <f>IF($Z308=0,"",INDEX('DEF_CALL_DECISION_SUPPORT'!$A$1:$U$1496,$Z308,4))</f>
        <v>1.0</v>
      </c>
      <c r="F308" s="10">
        <f>IF($Z308=0,"",INDEX('DEF_CALL_DECISION_SUPPORT'!$A$1:$U$1496,$Z308,5))</f>
        <v>0.0</v>
      </c>
      <c r="G308" s="11">
        <f>IF($Z308=0,"",INDEX('DEF_CALL_DECISION_SUPPORT'!$A$1:$U$1496,$Z308,6))</f>
        <v>-2.0</v>
      </c>
      <c r="H308" s="11">
        <f>IF($Z308=0,"",INDEX('DEF_CALL_DECISION_SUPPORT'!$A$1:$U$1496,$Z308,10))</f>
        <v>100.0</v>
      </c>
      <c r="I308" s="14" t="str">
        <f>IF($Z308=0,"",INDEX('DEF_CALL_DECISION_SUPPORT'!$A$1:$U$1496,$Z308,9))</f>
        <v>TRACK</v>
      </c>
      <c r="J308" s="14" t="str">
        <f>IF(Z308=0,"Film Review Required",IF(D308&lt;4,"Sample Watch • ","")&amp;"D&amp;D + Concept Match • Concept Proxy")</f>
        <v>Sample Watch • D&amp;D + Concept Match • Concept Proxy</v>
      </c>
      <c r="K308" s="9" t="str">
        <f>"Opponent exact-play alert only. No Defensive Exact-Play Sample. "&amp;IF(Z308=0,"Confirm concept mapping and review film before treating this as a defensive candidate.","Metrics describe the confirmed concept; "&amp;IF($Z308=0,"",INDEX('DEF_CALL_DECISION_SUPPORT'!$A$1:$U$1496,$Z308,12)))</f>
        <v>Opponent exact-play alert only. No Defensive Exact-Play Sample. Metrics describe the confirmed concept; Track only; not enough sample.</v>
      </c>
      <c r="L308" s="7" t="s">
        <v>428</v>
      </c>
      <c r="Y308" s="2" t="s">
        <v>2603</v>
      </c>
      <c r="Z308" s="2">
        <f>IF($L308="",0,IFERROR(MATCH(LEN($A308)&amp;":"&amp;$A308&amp;"|"&amp;LEN($L308)&amp;":"&amp;$L308&amp;"|",'DEF_CALL_DECISION_SUPPORT'!$U$811:$U$1055,0)+811-1,0))</f>
        <v>886</v>
      </c>
    </row>
    <row r="309" spans="1:26" ht="50" customHeight="1">
      <c r="A309" s="8" t="s">
        <v>70</v>
      </c>
      <c r="B309" s="8" t="s">
        <v>820</v>
      </c>
      <c r="C309" s="8" t="str">
        <f>IF($Z309=0,"Film Review Required",INDEX('DEF_CALL_DECISION_SUPPORT'!$A$1:$U$1496,$Z309,2))</f>
        <v>Film Review Required</v>
      </c>
      <c r="D309" s="12">
        <f>IF($Z309=0,"",INDEX('DEF_CALL_DECISION_SUPPORT'!$A$1:$U$1496,$Z309,3))</f>
        <v/>
      </c>
      <c r="E309" s="10">
        <f>IF($Z309=0,"",INDEX('DEF_CALL_DECISION_SUPPORT'!$A$1:$U$1496,$Z309,4))</f>
        <v/>
      </c>
      <c r="F309" s="10">
        <f>IF($Z309=0,"",INDEX('DEF_CALL_DECISION_SUPPORT'!$A$1:$U$1496,$Z309,5))</f>
        <v/>
      </c>
      <c r="G309" s="11">
        <f>IF($Z309=0,"",INDEX('DEF_CALL_DECISION_SUPPORT'!$A$1:$U$1496,$Z309,6))</f>
        <v/>
      </c>
      <c r="H309" s="11">
        <f>IF($Z309=0,"",INDEX('DEF_CALL_DECISION_SUPPORT'!$A$1:$U$1496,$Z309,10))</f>
        <v/>
      </c>
      <c r="I309" s="14">
        <f>IF($Z309=0,"",INDEX('DEF_CALL_DECISION_SUPPORT'!$A$1:$U$1496,$Z309,9))</f>
        <v/>
      </c>
      <c r="J309" s="14" t="str">
        <f>IF(Z309=0,"Film Review Required",IF(D309&lt;4,"Sample Watch • ","")&amp;"D&amp;D + Concept Match • Concept Proxy")</f>
        <v>Film Review Required</v>
      </c>
      <c r="K309" s="9" t="str">
        <f>"Opponent exact-play alert only. No Defensive Exact-Play Sample. "&amp;IF(Z309=0,"Confirm concept mapping and review film before treating this as a defensive candidate.","Metrics describe the confirmed concept; "&amp;IF($Z309=0,"",INDEX('DEF_CALL_DECISION_SUPPORT'!$A$1:$U$1496,$Z309,12)))</f>
        <v>Opponent exact-play alert only. No Defensive Exact-Play Sample. Confirm concept mapping and review film before treating this as a defensive candidate.</v>
      </c>
      <c r="L309" s="7"/>
      <c r="Y309" s="2" t="s">
        <v>2604</v>
      </c>
      <c r="Z309" s="2">
        <f>IF($L309="",0,IFERROR(MATCH(LEN($A309)&amp;":"&amp;$A309&amp;"|"&amp;LEN($L309)&amp;":"&amp;$L309&amp;"|",'DEF_CALL_DECISION_SUPPORT'!$U$811:$U$1055,0)+811-1,0))</f>
        <v>0</v>
      </c>
    </row>
    <row r="310" spans="1:26" ht="50" customHeight="1">
      <c r="A310" s="8" t="s">
        <v>70</v>
      </c>
      <c r="B310" s="8" t="s">
        <v>823</v>
      </c>
      <c r="C310" s="8" t="str">
        <f>IF($Z310=0,"Film Review Required",INDEX('DEF_CALL_DECISION_SUPPORT'!$A$1:$U$1496,$Z310,2))</f>
        <v>OX</v>
      </c>
      <c r="D310" s="12">
        <f>IF($Z310=0,"",INDEX('DEF_CALL_DECISION_SUPPORT'!$A$1:$U$1496,$Z310,3))</f>
        <v>1</v>
      </c>
      <c r="E310" s="10">
        <f>IF($Z310=0,"",INDEX('DEF_CALL_DECISION_SUPPORT'!$A$1:$U$1496,$Z310,4))</f>
        <v>1.0</v>
      </c>
      <c r="F310" s="10">
        <f>IF($Z310=0,"",INDEX('DEF_CALL_DECISION_SUPPORT'!$A$1:$U$1496,$Z310,5))</f>
        <v>0.0</v>
      </c>
      <c r="G310" s="11">
        <f>IF($Z310=0,"",INDEX('DEF_CALL_DECISION_SUPPORT'!$A$1:$U$1496,$Z310,6))</f>
        <v>-2.0</v>
      </c>
      <c r="H310" s="11">
        <f>IF($Z310=0,"",INDEX('DEF_CALL_DECISION_SUPPORT'!$A$1:$U$1496,$Z310,10))</f>
        <v>100.0</v>
      </c>
      <c r="I310" s="14" t="str">
        <f>IF($Z310=0,"",INDEX('DEF_CALL_DECISION_SUPPORT'!$A$1:$U$1496,$Z310,9))</f>
        <v>TRACK</v>
      </c>
      <c r="J310" s="14" t="str">
        <f>IF(Z310=0,"Film Review Required",IF(D310&lt;4,"Sample Watch • ","")&amp;"D&amp;D + Concept Match • Concept Proxy")</f>
        <v>Sample Watch • D&amp;D + Concept Match • Concept Proxy</v>
      </c>
      <c r="K310" s="9" t="str">
        <f>"Opponent exact-play alert only. No Defensive Exact-Play Sample. "&amp;IF(Z310=0,"Confirm concept mapping and review film before treating this as a defensive candidate.","Metrics describe the confirmed concept; "&amp;IF($Z310=0,"",INDEX('DEF_CALL_DECISION_SUPPORT'!$A$1:$U$1496,$Z310,12)))</f>
        <v>Opponent exact-play alert only. No Defensive Exact-Play Sample. Metrics describe the confirmed concept; Track only; not enough sample.</v>
      </c>
      <c r="L310" s="7" t="s">
        <v>428</v>
      </c>
      <c r="Y310" s="2" t="s">
        <v>2605</v>
      </c>
      <c r="Z310" s="2">
        <f>IF($L310="",0,IFERROR(MATCH(LEN($A310)&amp;":"&amp;$A310&amp;"|"&amp;LEN($L310)&amp;":"&amp;$L310&amp;"|",'DEF_CALL_DECISION_SUPPORT'!$U$811:$U$1055,0)+811-1,0))</f>
        <v>886</v>
      </c>
    </row>
    <row r="311" spans="1:26" ht="50" customHeight="1">
      <c r="A311" s="8" t="s">
        <v>76</v>
      </c>
      <c r="B311" s="8" t="s">
        <v>1503</v>
      </c>
      <c r="C311" s="8" t="str">
        <f>IF($Z311=0,"Film Review Required",INDEX('DEF_CALL_DECISION_SUPPORT'!$A$1:$U$1496,$Z311,2))</f>
        <v>Film Review Required</v>
      </c>
      <c r="D311" s="12">
        <f>IF($Z311=0,"",INDEX('DEF_CALL_DECISION_SUPPORT'!$A$1:$U$1496,$Z311,3))</f>
        <v/>
      </c>
      <c r="E311" s="10">
        <f>IF($Z311=0,"",INDEX('DEF_CALL_DECISION_SUPPORT'!$A$1:$U$1496,$Z311,4))</f>
        <v/>
      </c>
      <c r="F311" s="10">
        <f>IF($Z311=0,"",INDEX('DEF_CALL_DECISION_SUPPORT'!$A$1:$U$1496,$Z311,5))</f>
        <v/>
      </c>
      <c r="G311" s="11">
        <f>IF($Z311=0,"",INDEX('DEF_CALL_DECISION_SUPPORT'!$A$1:$U$1496,$Z311,6))</f>
        <v/>
      </c>
      <c r="H311" s="11">
        <f>IF($Z311=0,"",INDEX('DEF_CALL_DECISION_SUPPORT'!$A$1:$U$1496,$Z311,10))</f>
        <v/>
      </c>
      <c r="I311" s="14">
        <f>IF($Z311=0,"",INDEX('DEF_CALL_DECISION_SUPPORT'!$A$1:$U$1496,$Z311,9))</f>
        <v/>
      </c>
      <c r="J311" s="14" t="str">
        <f>IF(Z311=0,"Film Review Required",IF(D311&lt;4,"Sample Watch • ","")&amp;"D&amp;D + Concept Match • Concept Proxy")</f>
        <v>Film Review Required</v>
      </c>
      <c r="K311" s="9" t="str">
        <f>"Opponent exact-play alert only. No Defensive Exact-Play Sample. "&amp;IF(Z311=0,"Confirm concept mapping and review film before treating this as a defensive candidate.","Metrics describe the confirmed concept; "&amp;IF($Z311=0,"",INDEX('DEF_CALL_DECISION_SUPPORT'!$A$1:$U$1496,$Z311,12)))</f>
        <v>Opponent exact-play alert only. No Defensive Exact-Play Sample. Confirm concept mapping and review film before treating this as a defensive candidate.</v>
      </c>
      <c r="L311" s="7" t="s">
        <v>878</v>
      </c>
      <c r="Y311" s="2" t="s">
        <v>2606</v>
      </c>
      <c r="Z311" s="2">
        <f>IF($L311="",0,IFERROR(MATCH(LEN($A311)&amp;":"&amp;$A311&amp;"|"&amp;LEN($L311)&amp;":"&amp;$L311&amp;"|",'DEF_CALL_DECISION_SUPPORT'!$U$811:$U$1055,0)+811-1,0))</f>
        <v>0</v>
      </c>
    </row>
    <row r="312" spans="1:26" ht="50" customHeight="1">
      <c r="A312" s="8" t="s">
        <v>76</v>
      </c>
      <c r="B312" s="8" t="s">
        <v>1509</v>
      </c>
      <c r="C312" s="8" t="str">
        <f>IF($Z312=0,"Film Review Required",INDEX('DEF_CALL_DECISION_SUPPORT'!$A$1:$U$1496,$Z312,2))</f>
        <v>Film Review Required</v>
      </c>
      <c r="D312" s="12">
        <f>IF($Z312=0,"",INDEX('DEF_CALL_DECISION_SUPPORT'!$A$1:$U$1496,$Z312,3))</f>
        <v/>
      </c>
      <c r="E312" s="10">
        <f>IF($Z312=0,"",INDEX('DEF_CALL_DECISION_SUPPORT'!$A$1:$U$1496,$Z312,4))</f>
        <v/>
      </c>
      <c r="F312" s="10">
        <f>IF($Z312=0,"",INDEX('DEF_CALL_DECISION_SUPPORT'!$A$1:$U$1496,$Z312,5))</f>
        <v/>
      </c>
      <c r="G312" s="11">
        <f>IF($Z312=0,"",INDEX('DEF_CALL_DECISION_SUPPORT'!$A$1:$U$1496,$Z312,6))</f>
        <v/>
      </c>
      <c r="H312" s="11">
        <f>IF($Z312=0,"",INDEX('DEF_CALL_DECISION_SUPPORT'!$A$1:$U$1496,$Z312,10))</f>
        <v/>
      </c>
      <c r="I312" s="14">
        <f>IF($Z312=0,"",INDEX('DEF_CALL_DECISION_SUPPORT'!$A$1:$U$1496,$Z312,9))</f>
        <v/>
      </c>
      <c r="J312" s="14" t="str">
        <f>IF(Z312=0,"Film Review Required",IF(D312&lt;4,"Sample Watch • ","")&amp;"D&amp;D + Concept Match • Concept Proxy")</f>
        <v>Film Review Required</v>
      </c>
      <c r="K312" s="9" t="str">
        <f>"Opponent exact-play alert only. No Defensive Exact-Play Sample. "&amp;IF(Z312=0,"Confirm concept mapping and review film before treating this as a defensive candidate.","Metrics describe the confirmed concept; "&amp;IF($Z312=0,"",INDEX('DEF_CALL_DECISION_SUPPORT'!$A$1:$U$1496,$Z312,12)))</f>
        <v>Opponent exact-play alert only. No Defensive Exact-Play Sample. Confirm concept mapping and review film before treating this as a defensive candidate.</v>
      </c>
      <c r="L312" s="7" t="s">
        <v>541</v>
      </c>
      <c r="Y312" s="2" t="s">
        <v>2607</v>
      </c>
      <c r="Z312" s="2">
        <f>IF($L312="",0,IFERROR(MATCH(LEN($A312)&amp;":"&amp;$A312&amp;"|"&amp;LEN($L312)&amp;":"&amp;$L312&amp;"|",'DEF_CALL_DECISION_SUPPORT'!$U$811:$U$1055,0)+811-1,0))</f>
        <v>0</v>
      </c>
    </row>
    <row r="313" spans="1:26" ht="50" customHeight="1">
      <c r="A313" s="8" t="s">
        <v>76</v>
      </c>
      <c r="B313" s="8" t="s">
        <v>819</v>
      </c>
      <c r="C313" s="8" t="str">
        <f>IF($Z313=0,"Film Review Required",INDEX('DEF_CALL_DECISION_SUPPORT'!$A$1:$U$1496,$Z313,2))</f>
        <v>Film Review Required</v>
      </c>
      <c r="D313" s="12">
        <f>IF($Z313=0,"",INDEX('DEF_CALL_DECISION_SUPPORT'!$A$1:$U$1496,$Z313,3))</f>
        <v/>
      </c>
      <c r="E313" s="10">
        <f>IF($Z313=0,"",INDEX('DEF_CALL_DECISION_SUPPORT'!$A$1:$U$1496,$Z313,4))</f>
        <v/>
      </c>
      <c r="F313" s="10">
        <f>IF($Z313=0,"",INDEX('DEF_CALL_DECISION_SUPPORT'!$A$1:$U$1496,$Z313,5))</f>
        <v/>
      </c>
      <c r="G313" s="11">
        <f>IF($Z313=0,"",INDEX('DEF_CALL_DECISION_SUPPORT'!$A$1:$U$1496,$Z313,6))</f>
        <v/>
      </c>
      <c r="H313" s="11">
        <f>IF($Z313=0,"",INDEX('DEF_CALL_DECISION_SUPPORT'!$A$1:$U$1496,$Z313,10))</f>
        <v/>
      </c>
      <c r="I313" s="14">
        <f>IF($Z313=0,"",INDEX('DEF_CALL_DECISION_SUPPORT'!$A$1:$U$1496,$Z313,9))</f>
        <v/>
      </c>
      <c r="J313" s="14" t="str">
        <f>IF(Z313=0,"Film Review Required",IF(D313&lt;4,"Sample Watch • ","")&amp;"D&amp;D + Concept Match • Concept Proxy")</f>
        <v>Film Review Required</v>
      </c>
      <c r="K313" s="9" t="str">
        <f>"Opponent exact-play alert only. No Defensive Exact-Play Sample. "&amp;IF(Z313=0,"Confirm concept mapping and review film before treating this as a defensive candidate.","Metrics describe the confirmed concept; "&amp;IF($Z313=0,"",INDEX('DEF_CALL_DECISION_SUPPORT'!$A$1:$U$1496,$Z313,12)))</f>
        <v>Opponent exact-play alert only. No Defensive Exact-Play Sample. Confirm concept mapping and review film before treating this as a defensive candidate.</v>
      </c>
      <c r="L313" s="7" t="s">
        <v>474</v>
      </c>
      <c r="Y313" s="2" t="s">
        <v>2608</v>
      </c>
      <c r="Z313" s="2">
        <f>IF($L313="",0,IFERROR(MATCH(LEN($A313)&amp;":"&amp;$A313&amp;"|"&amp;LEN($L313)&amp;":"&amp;$L313&amp;"|",'DEF_CALL_DECISION_SUPPORT'!$U$811:$U$1055,0)+811-1,0))</f>
        <v>0</v>
      </c>
    </row>
    <row r="314" spans="1:26" ht="50" customHeight="1">
      <c r="A314" s="8" t="s">
        <v>76</v>
      </c>
      <c r="B314" s="8" t="s">
        <v>1530</v>
      </c>
      <c r="C314" s="8" t="str">
        <f>IF($Z314=0,"Film Review Required",INDEX('DEF_CALL_DECISION_SUPPORT'!$A$1:$U$1496,$Z314,2))</f>
        <v>HOUND KNIFE</v>
      </c>
      <c r="D314" s="12">
        <f>IF($Z314=0,"",INDEX('DEF_CALL_DECISION_SUPPORT'!$A$1:$U$1496,$Z314,3))</f>
        <v>1</v>
      </c>
      <c r="E314" s="10">
        <f>IF($Z314=0,"",INDEX('DEF_CALL_DECISION_SUPPORT'!$A$1:$U$1496,$Z314,4))</f>
        <v>0.0</v>
      </c>
      <c r="F314" s="10">
        <f>IF($Z314=0,"",INDEX('DEF_CALL_DECISION_SUPPORT'!$A$1:$U$1496,$Z314,5))</f>
        <v>1.0</v>
      </c>
      <c r="G314" s="11">
        <f>IF($Z314=0,"",INDEX('DEF_CALL_DECISION_SUPPORT'!$A$1:$U$1496,$Z314,6))</f>
        <v>15.0</v>
      </c>
      <c r="H314" s="11">
        <f>IF($Z314=0,"",INDEX('DEF_CALL_DECISION_SUPPORT'!$A$1:$U$1496,$Z314,10))</f>
        <v>0.0</v>
      </c>
      <c r="I314" s="14" t="str">
        <f>IF($Z314=0,"",INDEX('DEF_CALL_DECISION_SUPPORT'!$A$1:$U$1496,$Z314,9))</f>
        <v>TRACK</v>
      </c>
      <c r="J314" s="14" t="str">
        <f>IF(Z314=0,"Film Review Required",IF(D314&lt;4,"Sample Watch • ","")&amp;"D&amp;D + Concept Match • Concept Proxy")</f>
        <v>Sample Watch • D&amp;D + Concept Match • Concept Proxy</v>
      </c>
      <c r="K314" s="9" t="str">
        <f>"Opponent exact-play alert only. No Defensive Exact-Play Sample. "&amp;IF(Z314=0,"Confirm concept mapping and review film before treating this as a defensive candidate.","Metrics describe the confirmed concept; "&amp;IF($Z314=0,"",INDEX('DEF_CALL_DECISION_SUPPORT'!$A$1:$U$1496,$Z314,12)))</f>
        <v>Opponent exact-play alert only. No Defensive Exact-Play Sample. Metrics describe the confirmed concept; Explosive risk; review clips before using as answer.</v>
      </c>
      <c r="L314" s="7" t="s">
        <v>446</v>
      </c>
      <c r="Y314" s="2" t="s">
        <v>2609</v>
      </c>
      <c r="Z314" s="2">
        <f>IF($L314="",0,IFERROR(MATCH(LEN($A314)&amp;":"&amp;$A314&amp;"|"&amp;LEN($L314)&amp;":"&amp;$L314&amp;"|",'DEF_CALL_DECISION_SUPPORT'!$U$811:$U$1055,0)+811-1,0))</f>
        <v>896</v>
      </c>
    </row>
    <row r="315" spans="1:26" ht="50" customHeight="1">
      <c r="A315" s="8" t="s">
        <v>76</v>
      </c>
      <c r="B315" s="8" t="s">
        <v>821</v>
      </c>
      <c r="C315" s="8" t="str">
        <f>IF($Z315=0,"Film Review Required",INDEX('DEF_CALL_DECISION_SUPPORT'!$A$1:$U$1496,$Z315,2))</f>
        <v>Film Review Required</v>
      </c>
      <c r="D315" s="12">
        <f>IF($Z315=0,"",INDEX('DEF_CALL_DECISION_SUPPORT'!$A$1:$U$1496,$Z315,3))</f>
        <v/>
      </c>
      <c r="E315" s="10">
        <f>IF($Z315=0,"",INDEX('DEF_CALL_DECISION_SUPPORT'!$A$1:$U$1496,$Z315,4))</f>
        <v/>
      </c>
      <c r="F315" s="10">
        <f>IF($Z315=0,"",INDEX('DEF_CALL_DECISION_SUPPORT'!$A$1:$U$1496,$Z315,5))</f>
        <v/>
      </c>
      <c r="G315" s="11">
        <f>IF($Z315=0,"",INDEX('DEF_CALL_DECISION_SUPPORT'!$A$1:$U$1496,$Z315,6))</f>
        <v/>
      </c>
      <c r="H315" s="11">
        <f>IF($Z315=0,"",INDEX('DEF_CALL_DECISION_SUPPORT'!$A$1:$U$1496,$Z315,10))</f>
        <v/>
      </c>
      <c r="I315" s="14">
        <f>IF($Z315=0,"",INDEX('DEF_CALL_DECISION_SUPPORT'!$A$1:$U$1496,$Z315,9))</f>
        <v/>
      </c>
      <c r="J315" s="14" t="str">
        <f>IF(Z315=0,"Film Review Required",IF(D315&lt;4,"Sample Watch • ","")&amp;"D&amp;D + Concept Match • Concept Proxy")</f>
        <v>Film Review Required</v>
      </c>
      <c r="K315" s="9" t="str">
        <f>"Opponent exact-play alert only. No Defensive Exact-Play Sample. "&amp;IF(Z315=0,"Confirm concept mapping and review film before treating this as a defensive candidate.","Metrics describe the confirmed concept; "&amp;IF($Z315=0,"",INDEX('DEF_CALL_DECISION_SUPPORT'!$A$1:$U$1496,$Z315,12)))</f>
        <v>Opponent exact-play alert only. No Defensive Exact-Play Sample. Confirm concept mapping and review film before treating this as a defensive candidate.</v>
      </c>
      <c r="L315" s="7"/>
      <c r="Y315" s="2" t="s">
        <v>2610</v>
      </c>
      <c r="Z315" s="2">
        <f>IF($L315="",0,IFERROR(MATCH(LEN($A315)&amp;":"&amp;$A315&amp;"|"&amp;LEN($L315)&amp;":"&amp;$L315&amp;"|",'DEF_CALL_DECISION_SUPPORT'!$U$811:$U$1055,0)+811-1,0))</f>
        <v>0</v>
      </c>
    </row>
    <row r="316" spans="1:26" ht="50" customHeight="1">
      <c r="A316" s="8" t="s">
        <v>76</v>
      </c>
      <c r="B316" s="8" t="s">
        <v>818</v>
      </c>
      <c r="C316" s="8" t="str">
        <f>IF($Z316=0,"Film Review Required",INDEX('DEF_CALL_DECISION_SUPPORT'!$A$1:$U$1496,$Z316,2))</f>
        <v>SHINE BUC</v>
      </c>
      <c r="D316" s="12">
        <f>IF($Z316=0,"",INDEX('DEF_CALL_DECISION_SUPPORT'!$A$1:$U$1496,$Z316,3))</f>
        <v>2</v>
      </c>
      <c r="E316" s="10">
        <f>IF($Z316=0,"",INDEX('DEF_CALL_DECISION_SUPPORT'!$A$1:$U$1496,$Z316,4))</f>
        <v>0.0</v>
      </c>
      <c r="F316" s="10">
        <f>IF($Z316=0,"",INDEX('DEF_CALL_DECISION_SUPPORT'!$A$1:$U$1496,$Z316,5))</f>
        <v>0.0</v>
      </c>
      <c r="G316" s="11">
        <f>IF($Z316=0,"",INDEX('DEF_CALL_DECISION_SUPPORT'!$A$1:$U$1496,$Z316,6))</f>
        <v>6.5</v>
      </c>
      <c r="H316" s="11">
        <f>IF($Z316=0,"",INDEX('DEF_CALL_DECISION_SUPPORT'!$A$1:$U$1496,$Z316,10))</f>
        <v>23.5</v>
      </c>
      <c r="I316" s="14" t="str">
        <f>IF($Z316=0,"",INDEX('DEF_CALL_DECISION_SUPPORT'!$A$1:$U$1496,$Z316,9))</f>
        <v>TRACK</v>
      </c>
      <c r="J316" s="14" t="str">
        <f>IF(Z316=0,"Film Review Required",IF(D316&lt;4,"Sample Watch • ","")&amp;"D&amp;D + Concept Match • Concept Proxy")</f>
        <v>Sample Watch • D&amp;D + Concept Match • Concept Proxy</v>
      </c>
      <c r="K316" s="9" t="str">
        <f>"Opponent exact-play alert only. No Defensive Exact-Play Sample. "&amp;IF(Z316=0,"Confirm concept mapping and review film before treating this as a defensive candidate.","Metrics describe the confirmed concept; "&amp;IF($Z316=0,"",INDEX('DEF_CALL_DECISION_SUPPORT'!$A$1:$U$1496,$Z316,12)))</f>
        <v>Opponent exact-play alert only. No Defensive Exact-Play Sample. Metrics describe the confirmed concept; Track only; not enough sample.</v>
      </c>
      <c r="L316" s="7" t="s">
        <v>428</v>
      </c>
      <c r="Y316" s="2" t="s">
        <v>2611</v>
      </c>
      <c r="Z316" s="2">
        <f>IF($L316="",0,IFERROR(MATCH(LEN($A316)&amp;":"&amp;$A316&amp;"|"&amp;LEN($L316)&amp;":"&amp;$L316&amp;"|",'DEF_CALL_DECISION_SUPPORT'!$U$811:$U$1055,0)+811-1,0))</f>
        <v>902</v>
      </c>
    </row>
    <row r="317" spans="1:26" ht="50" customHeight="1">
      <c r="A317" s="8" t="s">
        <v>76</v>
      </c>
      <c r="B317" s="8" t="s">
        <v>823</v>
      </c>
      <c r="C317" s="8" t="str">
        <f>IF($Z317=0,"Film Review Required",INDEX('DEF_CALL_DECISION_SUPPORT'!$A$1:$U$1496,$Z317,2))</f>
        <v>SHINE BUC</v>
      </c>
      <c r="D317" s="12">
        <f>IF($Z317=0,"",INDEX('DEF_CALL_DECISION_SUPPORT'!$A$1:$U$1496,$Z317,3))</f>
        <v>2</v>
      </c>
      <c r="E317" s="10">
        <f>IF($Z317=0,"",INDEX('DEF_CALL_DECISION_SUPPORT'!$A$1:$U$1496,$Z317,4))</f>
        <v>0.0</v>
      </c>
      <c r="F317" s="10">
        <f>IF($Z317=0,"",INDEX('DEF_CALL_DECISION_SUPPORT'!$A$1:$U$1496,$Z317,5))</f>
        <v>0.0</v>
      </c>
      <c r="G317" s="11">
        <f>IF($Z317=0,"",INDEX('DEF_CALL_DECISION_SUPPORT'!$A$1:$U$1496,$Z317,6))</f>
        <v>6.5</v>
      </c>
      <c r="H317" s="11">
        <f>IF($Z317=0,"",INDEX('DEF_CALL_DECISION_SUPPORT'!$A$1:$U$1496,$Z317,10))</f>
        <v>23.5</v>
      </c>
      <c r="I317" s="14" t="str">
        <f>IF($Z317=0,"",INDEX('DEF_CALL_DECISION_SUPPORT'!$A$1:$U$1496,$Z317,9))</f>
        <v>TRACK</v>
      </c>
      <c r="J317" s="14" t="str">
        <f>IF(Z317=0,"Film Review Required",IF(D317&lt;4,"Sample Watch • ","")&amp;"D&amp;D + Concept Match • Concept Proxy")</f>
        <v>Sample Watch • D&amp;D + Concept Match • Concept Proxy</v>
      </c>
      <c r="K317" s="9" t="str">
        <f>"Opponent exact-play alert only. No Defensive Exact-Play Sample. "&amp;IF(Z317=0,"Confirm concept mapping and review film before treating this as a defensive candidate.","Metrics describe the confirmed concept; "&amp;IF($Z317=0,"",INDEX('DEF_CALL_DECISION_SUPPORT'!$A$1:$U$1496,$Z317,12)))</f>
        <v>Opponent exact-play alert only. No Defensive Exact-Play Sample. Metrics describe the confirmed concept; Track only; not enough sample.</v>
      </c>
      <c r="L317" s="7" t="s">
        <v>428</v>
      </c>
      <c r="Y317" s="2" t="s">
        <v>2612</v>
      </c>
      <c r="Z317" s="2">
        <f>IF($L317="",0,IFERROR(MATCH(LEN($A317)&amp;":"&amp;$A317&amp;"|"&amp;LEN($L317)&amp;":"&amp;$L317&amp;"|",'DEF_CALL_DECISION_SUPPORT'!$U$811:$U$1055,0)+811-1,0))</f>
        <v>902</v>
      </c>
    </row>
    <row r="318" spans="1:26" ht="50" customHeight="1">
      <c r="A318" s="8" t="s">
        <v>76</v>
      </c>
      <c r="B318" s="8" t="s">
        <v>816</v>
      </c>
      <c r="C318" s="8" t="str">
        <f>IF($Z318=0,"Film Review Required",INDEX('DEF_CALL_DECISION_SUPPORT'!$A$1:$U$1496,$Z318,2))</f>
        <v>Film Review Required</v>
      </c>
      <c r="D318" s="12">
        <f>IF($Z318=0,"",INDEX('DEF_CALL_DECISION_SUPPORT'!$A$1:$U$1496,$Z318,3))</f>
        <v/>
      </c>
      <c r="E318" s="10">
        <f>IF($Z318=0,"",INDEX('DEF_CALL_DECISION_SUPPORT'!$A$1:$U$1496,$Z318,4))</f>
        <v/>
      </c>
      <c r="F318" s="10">
        <f>IF($Z318=0,"",INDEX('DEF_CALL_DECISION_SUPPORT'!$A$1:$U$1496,$Z318,5))</f>
        <v/>
      </c>
      <c r="G318" s="11">
        <f>IF($Z318=0,"",INDEX('DEF_CALL_DECISION_SUPPORT'!$A$1:$U$1496,$Z318,6))</f>
        <v/>
      </c>
      <c r="H318" s="11">
        <f>IF($Z318=0,"",INDEX('DEF_CALL_DECISION_SUPPORT'!$A$1:$U$1496,$Z318,10))</f>
        <v/>
      </c>
      <c r="I318" s="14">
        <f>IF($Z318=0,"",INDEX('DEF_CALL_DECISION_SUPPORT'!$A$1:$U$1496,$Z318,9))</f>
        <v/>
      </c>
      <c r="J318" s="14" t="str">
        <f>IF(Z318=0,"Film Review Required",IF(D318&lt;4,"Sample Watch • ","")&amp;"D&amp;D + Concept Match • Concept Proxy")</f>
        <v>Film Review Required</v>
      </c>
      <c r="K318" s="9" t="str">
        <f>"Opponent exact-play alert only. No Defensive Exact-Play Sample. "&amp;IF(Z318=0,"Confirm concept mapping and review film before treating this as a defensive candidate.","Metrics describe the confirmed concept; "&amp;IF($Z318=0,"",INDEX('DEF_CALL_DECISION_SUPPORT'!$A$1:$U$1496,$Z318,12)))</f>
        <v>Opponent exact-play alert only. No Defensive Exact-Play Sample. Confirm concept mapping and review film before treating this as a defensive candidate.</v>
      </c>
      <c r="L318" s="7"/>
      <c r="Y318" s="2" t="s">
        <v>2613</v>
      </c>
      <c r="Z318" s="2">
        <f>IF($L318="",0,IFERROR(MATCH(LEN($A318)&amp;":"&amp;$A318&amp;"|"&amp;LEN($L318)&amp;":"&amp;$L318&amp;"|",'DEF_CALL_DECISION_SUPPORT'!$U$811:$U$1055,0)+811-1,0))</f>
        <v>0</v>
      </c>
    </row>
    <row r="319" spans="1:26" ht="50" customHeight="1">
      <c r="A319" s="8" t="s">
        <v>76</v>
      </c>
      <c r="B319" s="8" t="s">
        <v>824</v>
      </c>
      <c r="C319" s="8" t="str">
        <f>IF($Z319=0,"Film Review Required",INDEX('DEF_CALL_DECISION_SUPPORT'!$A$1:$U$1496,$Z319,2))</f>
        <v>SHINE BUC</v>
      </c>
      <c r="D319" s="12">
        <f>IF($Z319=0,"",INDEX('DEF_CALL_DECISION_SUPPORT'!$A$1:$U$1496,$Z319,3))</f>
        <v>2</v>
      </c>
      <c r="E319" s="10">
        <f>IF($Z319=0,"",INDEX('DEF_CALL_DECISION_SUPPORT'!$A$1:$U$1496,$Z319,4))</f>
        <v>0.0</v>
      </c>
      <c r="F319" s="10">
        <f>IF($Z319=0,"",INDEX('DEF_CALL_DECISION_SUPPORT'!$A$1:$U$1496,$Z319,5))</f>
        <v>0.0</v>
      </c>
      <c r="G319" s="11">
        <f>IF($Z319=0,"",INDEX('DEF_CALL_DECISION_SUPPORT'!$A$1:$U$1496,$Z319,6))</f>
        <v>6.5</v>
      </c>
      <c r="H319" s="11">
        <f>IF($Z319=0,"",INDEX('DEF_CALL_DECISION_SUPPORT'!$A$1:$U$1496,$Z319,10))</f>
        <v>23.5</v>
      </c>
      <c r="I319" s="14" t="str">
        <f>IF($Z319=0,"",INDEX('DEF_CALL_DECISION_SUPPORT'!$A$1:$U$1496,$Z319,9))</f>
        <v>TRACK</v>
      </c>
      <c r="J319" s="14" t="str">
        <f>IF(Z319=0,"Film Review Required",IF(D319&lt;4,"Sample Watch • ","")&amp;"D&amp;D + Concept Match • Concept Proxy")</f>
        <v>Sample Watch • D&amp;D + Concept Match • Concept Proxy</v>
      </c>
      <c r="K319" s="9" t="str">
        <f>"Opponent exact-play alert only. No Defensive Exact-Play Sample. "&amp;IF(Z319=0,"Confirm concept mapping and review film before treating this as a defensive candidate.","Metrics describe the confirmed concept; "&amp;IF($Z319=0,"",INDEX('DEF_CALL_DECISION_SUPPORT'!$A$1:$U$1496,$Z319,12)))</f>
        <v>Opponent exact-play alert only. No Defensive Exact-Play Sample. Metrics describe the confirmed concept; Track only; not enough sample.</v>
      </c>
      <c r="L319" s="7" t="s">
        <v>428</v>
      </c>
      <c r="Y319" s="2" t="s">
        <v>2614</v>
      </c>
      <c r="Z319" s="2">
        <f>IF($L319="",0,IFERROR(MATCH(LEN($A319)&amp;":"&amp;$A319&amp;"|"&amp;LEN($L319)&amp;":"&amp;$L319&amp;"|",'DEF_CALL_DECISION_SUPPORT'!$U$811:$U$1055,0)+811-1,0))</f>
        <v>902</v>
      </c>
    </row>
    <row r="320" spans="1:26" ht="50" customHeight="1">
      <c r="A320" s="8" t="s">
        <v>82</v>
      </c>
      <c r="B320" s="8" t="s">
        <v>1541</v>
      </c>
      <c r="C320" s="8" t="str">
        <f>IF($Z320=0,"Film Review Required",INDEX('DEF_CALL_DECISION_SUPPORT'!$A$1:$U$1496,$Z320,2))</f>
        <v>HOUND KNIFE</v>
      </c>
      <c r="D320" s="12">
        <f>IF($Z320=0,"",INDEX('DEF_CALL_DECISION_SUPPORT'!$A$1:$U$1496,$Z320,3))</f>
        <v>1</v>
      </c>
      <c r="E320" s="10">
        <f>IF($Z320=0,"",INDEX('DEF_CALL_DECISION_SUPPORT'!$A$1:$U$1496,$Z320,4))</f>
        <v>1.0</v>
      </c>
      <c r="F320" s="10">
        <f>IF($Z320=0,"",INDEX('DEF_CALL_DECISION_SUPPORT'!$A$1:$U$1496,$Z320,5))</f>
        <v>0.0</v>
      </c>
      <c r="G320" s="11">
        <f>IF($Z320=0,"",INDEX('DEF_CALL_DECISION_SUPPORT'!$A$1:$U$1496,$Z320,6))</f>
        <v>-1.0</v>
      </c>
      <c r="H320" s="11">
        <f>IF($Z320=0,"",INDEX('DEF_CALL_DECISION_SUPPORT'!$A$1:$U$1496,$Z320,10))</f>
        <v>100.0</v>
      </c>
      <c r="I320" s="14" t="str">
        <f>IF($Z320=0,"",INDEX('DEF_CALL_DECISION_SUPPORT'!$A$1:$U$1496,$Z320,9))</f>
        <v>TRACK</v>
      </c>
      <c r="J320" s="14" t="str">
        <f>IF(Z320=0,"Film Review Required",IF(D320&lt;4,"Sample Watch • ","")&amp;"D&amp;D + Concept Match • Concept Proxy")</f>
        <v>Sample Watch • D&amp;D + Concept Match • Concept Proxy</v>
      </c>
      <c r="K320" s="9" t="str">
        <f>"Opponent exact-play alert only. No Defensive Exact-Play Sample. "&amp;IF(Z320=0,"Confirm concept mapping and review film before treating this as a defensive candidate.","Metrics describe the confirmed concept; "&amp;IF($Z320=0,"",INDEX('DEF_CALL_DECISION_SUPPORT'!$A$1:$U$1496,$Z320,12)))</f>
        <v>Opponent exact-play alert only. No Defensive Exact-Play Sample. Metrics describe the confirmed concept; Track only; not enough sample.</v>
      </c>
      <c r="L320" s="7" t="s">
        <v>449</v>
      </c>
      <c r="Y320" s="2" t="s">
        <v>2615</v>
      </c>
      <c r="Z320" s="2">
        <f>IF($L320="",0,IFERROR(MATCH(LEN($A320)&amp;":"&amp;$A320&amp;"|"&amp;LEN($L320)&amp;":"&amp;$L320&amp;"|",'DEF_CALL_DECISION_SUPPORT'!$U$811:$U$1055,0)+811-1,0))</f>
        <v>909</v>
      </c>
    </row>
    <row r="321" spans="1:26" ht="50" customHeight="1">
      <c r="A321" s="8" t="s">
        <v>82</v>
      </c>
      <c r="B321" s="8" t="s">
        <v>49</v>
      </c>
      <c r="C321" s="8" t="str">
        <f>IF($Z321=0,"Film Review Required",INDEX('DEF_CALL_DECISION_SUPPORT'!$A$1:$U$1496,$Z321,2))</f>
        <v>Film Review Required</v>
      </c>
      <c r="D321" s="12">
        <f>IF($Z321=0,"",INDEX('DEF_CALL_DECISION_SUPPORT'!$A$1:$U$1496,$Z321,3))</f>
        <v/>
      </c>
      <c r="E321" s="10">
        <f>IF($Z321=0,"",INDEX('DEF_CALL_DECISION_SUPPORT'!$A$1:$U$1496,$Z321,4))</f>
        <v/>
      </c>
      <c r="F321" s="10">
        <f>IF($Z321=0,"",INDEX('DEF_CALL_DECISION_SUPPORT'!$A$1:$U$1496,$Z321,5))</f>
        <v/>
      </c>
      <c r="G321" s="11">
        <f>IF($Z321=0,"",INDEX('DEF_CALL_DECISION_SUPPORT'!$A$1:$U$1496,$Z321,6))</f>
        <v/>
      </c>
      <c r="H321" s="11">
        <f>IF($Z321=0,"",INDEX('DEF_CALL_DECISION_SUPPORT'!$A$1:$U$1496,$Z321,10))</f>
        <v/>
      </c>
      <c r="I321" s="14">
        <f>IF($Z321=0,"",INDEX('DEF_CALL_DECISION_SUPPORT'!$A$1:$U$1496,$Z321,9))</f>
        <v/>
      </c>
      <c r="J321" s="14" t="str">
        <f>IF(Z321=0,"Film Review Required",IF(D321&lt;4,"Sample Watch • ","")&amp;"D&amp;D + Concept Match • Concept Proxy")</f>
        <v>Film Review Required</v>
      </c>
      <c r="K321" s="9" t="str">
        <f>"Opponent exact-play alert only. No Defensive Exact-Play Sample. "&amp;IF(Z321=0,"Confirm concept mapping and review film before treating this as a defensive candidate.","Metrics describe the confirmed concept; "&amp;IF($Z321=0,"",INDEX('DEF_CALL_DECISION_SUPPORT'!$A$1:$U$1496,$Z321,12)))</f>
        <v>Opponent exact-play alert only. No Defensive Exact-Play Sample. Confirm concept mapping and review film before treating this as a defensive candidate.</v>
      </c>
      <c r="L321" s="7"/>
      <c r="Y321" s="2" t="s">
        <v>2616</v>
      </c>
      <c r="Z321" s="2">
        <f>IF($L321="",0,IFERROR(MATCH(LEN($A321)&amp;":"&amp;$A321&amp;"|"&amp;LEN($L321)&amp;":"&amp;$L321&amp;"|",'DEF_CALL_DECISION_SUPPORT'!$U$811:$U$1055,0)+811-1,0))</f>
        <v>0</v>
      </c>
    </row>
    <row r="322" spans="1:26" ht="50" customHeight="1">
      <c r="A322" s="8" t="s">
        <v>82</v>
      </c>
      <c r="B322" s="8" t="s">
        <v>1488</v>
      </c>
      <c r="C322" s="8" t="str">
        <f>IF($Z322=0,"Film Review Required",INDEX('DEF_CALL_DECISION_SUPPORT'!$A$1:$U$1496,$Z322,2))</f>
        <v>Film Review Required</v>
      </c>
      <c r="D322" s="12">
        <f>IF($Z322=0,"",INDEX('DEF_CALL_DECISION_SUPPORT'!$A$1:$U$1496,$Z322,3))</f>
        <v/>
      </c>
      <c r="E322" s="10">
        <f>IF($Z322=0,"",INDEX('DEF_CALL_DECISION_SUPPORT'!$A$1:$U$1496,$Z322,4))</f>
        <v/>
      </c>
      <c r="F322" s="10">
        <f>IF($Z322=0,"",INDEX('DEF_CALL_DECISION_SUPPORT'!$A$1:$U$1496,$Z322,5))</f>
        <v/>
      </c>
      <c r="G322" s="11">
        <f>IF($Z322=0,"",INDEX('DEF_CALL_DECISION_SUPPORT'!$A$1:$U$1496,$Z322,6))</f>
        <v/>
      </c>
      <c r="H322" s="11">
        <f>IF($Z322=0,"",INDEX('DEF_CALL_DECISION_SUPPORT'!$A$1:$U$1496,$Z322,10))</f>
        <v/>
      </c>
      <c r="I322" s="14">
        <f>IF($Z322=0,"",INDEX('DEF_CALL_DECISION_SUPPORT'!$A$1:$U$1496,$Z322,9))</f>
        <v/>
      </c>
      <c r="J322" s="14" t="str">
        <f>IF(Z322=0,"Film Review Required",IF(D322&lt;4,"Sample Watch • ","")&amp;"D&amp;D + Concept Match • Concept Proxy")</f>
        <v>Film Review Required</v>
      </c>
      <c r="K322" s="9" t="str">
        <f>"Opponent exact-play alert only. No Defensive Exact-Play Sample. "&amp;IF(Z322=0,"Confirm concept mapping and review film before treating this as a defensive candidate.","Metrics describe the confirmed concept; "&amp;IF($Z322=0,"",INDEX('DEF_CALL_DECISION_SUPPORT'!$A$1:$U$1496,$Z322,12)))</f>
        <v>Opponent exact-play alert only. No Defensive Exact-Play Sample. Confirm concept mapping and review film before treating this as a defensive candidate.</v>
      </c>
      <c r="L322" s="7" t="s">
        <v>800</v>
      </c>
      <c r="Y322" s="2" t="s">
        <v>2617</v>
      </c>
      <c r="Z322" s="2">
        <f>IF($L322="",0,IFERROR(MATCH(LEN($A322)&amp;":"&amp;$A322&amp;"|"&amp;LEN($L322)&amp;":"&amp;$L322&amp;"|",'DEF_CALL_DECISION_SUPPORT'!$U$811:$U$1055,0)+811-1,0))</f>
        <v>0</v>
      </c>
    </row>
    <row r="323" spans="1:26" ht="50" customHeight="1">
      <c r="A323" s="8" t="s">
        <v>82</v>
      </c>
      <c r="B323" s="8" t="s">
        <v>1398</v>
      </c>
      <c r="C323" s="8" t="str">
        <f>IF($Z323=0,"Film Review Required",INDEX('DEF_CALL_DECISION_SUPPORT'!$A$1:$U$1496,$Z323,2))</f>
        <v>9 DICE</v>
      </c>
      <c r="D323" s="12">
        <f>IF($Z323=0,"",INDEX('DEF_CALL_DECISION_SUPPORT'!$A$1:$U$1496,$Z323,3))</f>
        <v>1</v>
      </c>
      <c r="E323" s="10">
        <f>IF($Z323=0,"",INDEX('DEF_CALL_DECISION_SUPPORT'!$A$1:$U$1496,$Z323,4))</f>
        <v>1.0</v>
      </c>
      <c r="F323" s="10">
        <f>IF($Z323=0,"",INDEX('DEF_CALL_DECISION_SUPPORT'!$A$1:$U$1496,$Z323,5))</f>
        <v>0.0</v>
      </c>
      <c r="G323" s="11">
        <f>IF($Z323=0,"",INDEX('DEF_CALL_DECISION_SUPPORT'!$A$1:$U$1496,$Z323,6))</f>
        <v>0.0</v>
      </c>
      <c r="H323" s="11">
        <f>IF($Z323=0,"",INDEX('DEF_CALL_DECISION_SUPPORT'!$A$1:$U$1496,$Z323,10))</f>
        <v>100.0</v>
      </c>
      <c r="I323" s="14" t="str">
        <f>IF($Z323=0,"",INDEX('DEF_CALL_DECISION_SUPPORT'!$A$1:$U$1496,$Z323,9))</f>
        <v>TRACK</v>
      </c>
      <c r="J323" s="14" t="str">
        <f>IF(Z323=0,"Film Review Required",IF(D323&lt;4,"Sample Watch • ","")&amp;"D&amp;D + Concept Match • Concept Proxy")</f>
        <v>Sample Watch • D&amp;D + Concept Match • Concept Proxy</v>
      </c>
      <c r="K323" s="9" t="str">
        <f>"Opponent exact-play alert only. No Defensive Exact-Play Sample. "&amp;IF(Z323=0,"Confirm concept mapping and review film before treating this as a defensive candidate.","Metrics describe the confirmed concept; "&amp;IF($Z323=0,"",INDEX('DEF_CALL_DECISION_SUPPORT'!$A$1:$U$1496,$Z323,12)))</f>
        <v>Opponent exact-play alert only. No Defensive Exact-Play Sample. Metrics describe the confirmed concept; Track only; not enough sample.</v>
      </c>
      <c r="L323" s="7" t="s">
        <v>465</v>
      </c>
      <c r="Y323" s="2" t="s">
        <v>2618</v>
      </c>
      <c r="Z323" s="2">
        <f>IF($L323="",0,IFERROR(MATCH(LEN($A323)&amp;":"&amp;$A323&amp;"|"&amp;LEN($L323)&amp;":"&amp;$L323&amp;"|",'DEF_CALL_DECISION_SUPPORT'!$U$811:$U$1055,0)+811-1,0))</f>
        <v>918</v>
      </c>
    </row>
    <row r="324" spans="1:26" ht="50" customHeight="1">
      <c r="A324" s="8" t="s">
        <v>82</v>
      </c>
      <c r="B324" s="8" t="s">
        <v>1491</v>
      </c>
      <c r="C324" s="8" t="str">
        <f>IF($Z324=0,"Film Review Required",INDEX('DEF_CALL_DECISION_SUPPORT'!$A$1:$U$1496,$Z324,2))</f>
        <v>9 DICE</v>
      </c>
      <c r="D324" s="12">
        <f>IF($Z324=0,"",INDEX('DEF_CALL_DECISION_SUPPORT'!$A$1:$U$1496,$Z324,3))</f>
        <v>1</v>
      </c>
      <c r="E324" s="10">
        <f>IF($Z324=0,"",INDEX('DEF_CALL_DECISION_SUPPORT'!$A$1:$U$1496,$Z324,4))</f>
        <v>1.0</v>
      </c>
      <c r="F324" s="10">
        <f>IF($Z324=0,"",INDEX('DEF_CALL_DECISION_SUPPORT'!$A$1:$U$1496,$Z324,5))</f>
        <v>0.0</v>
      </c>
      <c r="G324" s="11">
        <f>IF($Z324=0,"",INDEX('DEF_CALL_DECISION_SUPPORT'!$A$1:$U$1496,$Z324,6))</f>
        <v>0.0</v>
      </c>
      <c r="H324" s="11">
        <f>IF($Z324=0,"",INDEX('DEF_CALL_DECISION_SUPPORT'!$A$1:$U$1496,$Z324,10))</f>
        <v>100.0</v>
      </c>
      <c r="I324" s="14" t="str">
        <f>IF($Z324=0,"",INDEX('DEF_CALL_DECISION_SUPPORT'!$A$1:$U$1496,$Z324,9))</f>
        <v>TRACK</v>
      </c>
      <c r="J324" s="14" t="str">
        <f>IF(Z324=0,"Film Review Required",IF(D324&lt;4,"Sample Watch • ","")&amp;"D&amp;D + Concept Match • Concept Proxy")</f>
        <v>Sample Watch • D&amp;D + Concept Match • Concept Proxy</v>
      </c>
      <c r="K324" s="9" t="str">
        <f>"Opponent exact-play alert only. No Defensive Exact-Play Sample. "&amp;IF(Z324=0,"Confirm concept mapping and review film before treating this as a defensive candidate.","Metrics describe the confirmed concept; "&amp;IF($Z324=0,"",INDEX('DEF_CALL_DECISION_SUPPORT'!$A$1:$U$1496,$Z324,12)))</f>
        <v>Opponent exact-play alert only. No Defensive Exact-Play Sample. Metrics describe the confirmed concept; Track only; not enough sample.</v>
      </c>
      <c r="L324" s="7" t="s">
        <v>465</v>
      </c>
      <c r="Y324" s="2" t="s">
        <v>2619</v>
      </c>
      <c r="Z324" s="2">
        <f>IF($L324="",0,IFERROR(MATCH(LEN($A324)&amp;":"&amp;$A324&amp;"|"&amp;LEN($L324)&amp;":"&amp;$L324&amp;"|",'DEF_CALL_DECISION_SUPPORT'!$U$811:$U$1055,0)+811-1,0))</f>
        <v>918</v>
      </c>
    </row>
    <row r="325" spans="1:26" ht="50" customHeight="1">
      <c r="A325" s="8" t="s">
        <v>82</v>
      </c>
      <c r="B325" s="8" t="s">
        <v>816</v>
      </c>
      <c r="C325" s="8" t="str">
        <f>IF($Z325=0,"Film Review Required",INDEX('DEF_CALL_DECISION_SUPPORT'!$A$1:$U$1496,$Z325,2))</f>
        <v>Film Review Required</v>
      </c>
      <c r="D325" s="12">
        <f>IF($Z325=0,"",INDEX('DEF_CALL_DECISION_SUPPORT'!$A$1:$U$1496,$Z325,3))</f>
        <v/>
      </c>
      <c r="E325" s="10">
        <f>IF($Z325=0,"",INDEX('DEF_CALL_DECISION_SUPPORT'!$A$1:$U$1496,$Z325,4))</f>
        <v/>
      </c>
      <c r="F325" s="10">
        <f>IF($Z325=0,"",INDEX('DEF_CALL_DECISION_SUPPORT'!$A$1:$U$1496,$Z325,5))</f>
        <v/>
      </c>
      <c r="G325" s="11">
        <f>IF($Z325=0,"",INDEX('DEF_CALL_DECISION_SUPPORT'!$A$1:$U$1496,$Z325,6))</f>
        <v/>
      </c>
      <c r="H325" s="11">
        <f>IF($Z325=0,"",INDEX('DEF_CALL_DECISION_SUPPORT'!$A$1:$U$1496,$Z325,10))</f>
        <v/>
      </c>
      <c r="I325" s="14">
        <f>IF($Z325=0,"",INDEX('DEF_CALL_DECISION_SUPPORT'!$A$1:$U$1496,$Z325,9))</f>
        <v/>
      </c>
      <c r="J325" s="14" t="str">
        <f>IF(Z325=0,"Film Review Required",IF(D325&lt;4,"Sample Watch • ","")&amp;"D&amp;D + Concept Match • Concept Proxy")</f>
        <v>Film Review Required</v>
      </c>
      <c r="K325" s="9" t="str">
        <f>"Opponent exact-play alert only. No Defensive Exact-Play Sample. "&amp;IF(Z325=0,"Confirm concept mapping and review film before treating this as a defensive candidate.","Metrics describe the confirmed concept; "&amp;IF($Z325=0,"",INDEX('DEF_CALL_DECISION_SUPPORT'!$A$1:$U$1496,$Z325,12)))</f>
        <v>Opponent exact-play alert only. No Defensive Exact-Play Sample. Confirm concept mapping and review film before treating this as a defensive candidate.</v>
      </c>
      <c r="L325" s="7"/>
      <c r="Y325" s="2" t="s">
        <v>2620</v>
      </c>
      <c r="Z325" s="2">
        <f>IF($L325="",0,IFERROR(MATCH(LEN($A325)&amp;":"&amp;$A325&amp;"|"&amp;LEN($L325)&amp;":"&amp;$L325&amp;"|",'DEF_CALL_DECISION_SUPPORT'!$U$811:$U$1055,0)+811-1,0))</f>
        <v>0</v>
      </c>
    </row>
    <row r="326" spans="1:26" ht="50" customHeight="1">
      <c r="A326" s="8" t="s">
        <v>85</v>
      </c>
      <c r="B326" s="8" t="s">
        <v>1579</v>
      </c>
      <c r="C326" s="8" t="str">
        <f>IF($Z326=0,"Film Review Required",INDEX('DEF_CALL_DECISION_SUPPORT'!$A$1:$U$1496,$Z326,2))</f>
        <v>HOUND KNIFE</v>
      </c>
      <c r="D326" s="12">
        <f>IF($Z326=0,"",INDEX('DEF_CALL_DECISION_SUPPORT'!$A$1:$U$1496,$Z326,3))</f>
        <v>1</v>
      </c>
      <c r="E326" s="10">
        <f>IF($Z326=0,"",INDEX('DEF_CALL_DECISION_SUPPORT'!$A$1:$U$1496,$Z326,4))</f>
        <v>1.0</v>
      </c>
      <c r="F326" s="10">
        <f>IF($Z326=0,"",INDEX('DEF_CALL_DECISION_SUPPORT'!$A$1:$U$1496,$Z326,5))</f>
        <v>0.0</v>
      </c>
      <c r="G326" s="11">
        <f>IF($Z326=0,"",INDEX('DEF_CALL_DECISION_SUPPORT'!$A$1:$U$1496,$Z326,6))</f>
        <v>0.0</v>
      </c>
      <c r="H326" s="11">
        <f>IF($Z326=0,"",INDEX('DEF_CALL_DECISION_SUPPORT'!$A$1:$U$1496,$Z326,10))</f>
        <v>100.0</v>
      </c>
      <c r="I326" s="14" t="str">
        <f>IF($Z326=0,"",INDEX('DEF_CALL_DECISION_SUPPORT'!$A$1:$U$1496,$Z326,9))</f>
        <v>TRACK</v>
      </c>
      <c r="J326" s="14" t="str">
        <f>IF(Z326=0,"Film Review Required",IF(D326&lt;4,"Sample Watch • ","")&amp;"D&amp;D + Concept Match • Concept Proxy")</f>
        <v>Sample Watch • D&amp;D + Concept Match • Concept Proxy</v>
      </c>
      <c r="K326" s="9" t="str">
        <f>"Opponent exact-play alert only. No Defensive Exact-Play Sample. "&amp;IF(Z326=0,"Confirm concept mapping and review film before treating this as a defensive candidate.","Metrics describe the confirmed concept; "&amp;IF($Z326=0,"",INDEX('DEF_CALL_DECISION_SUPPORT'!$A$1:$U$1496,$Z326,12)))</f>
        <v>Opponent exact-play alert only. No Defensive Exact-Play Sample. Metrics describe the confirmed concept; Track only; not enough sample.</v>
      </c>
      <c r="L326" s="7" t="s">
        <v>471</v>
      </c>
      <c r="Y326" s="2" t="s">
        <v>2621</v>
      </c>
      <c r="Z326" s="2">
        <f>IF($L326="",0,IFERROR(MATCH(LEN($A326)&amp;":"&amp;$A326&amp;"|"&amp;LEN($L326)&amp;":"&amp;$L326&amp;"|",'DEF_CALL_DECISION_SUPPORT'!$U$811:$U$1055,0)+811-1,0))</f>
        <v>960</v>
      </c>
    </row>
    <row r="327" spans="1:26" ht="50" customHeight="1">
      <c r="A327" s="8" t="s">
        <v>85</v>
      </c>
      <c r="B327" s="8" t="s">
        <v>1546</v>
      </c>
      <c r="C327" s="8" t="str">
        <f>IF($Z327=0,"Film Review Required",INDEX('DEF_CALL_DECISION_SUPPORT'!$A$1:$U$1496,$Z327,2))</f>
        <v>SMOKE WHITE</v>
      </c>
      <c r="D327" s="12">
        <f>IF($Z327=0,"",INDEX('DEF_CALL_DECISION_SUPPORT'!$A$1:$U$1496,$Z327,3))</f>
        <v>3</v>
      </c>
      <c r="E327" s="10">
        <f>IF($Z327=0,"",INDEX('DEF_CALL_DECISION_SUPPORT'!$A$1:$U$1496,$Z327,4))</f>
        <v>0.6666666666666666</v>
      </c>
      <c r="F327" s="10">
        <f>IF($Z327=0,"",INDEX('DEF_CALL_DECISION_SUPPORT'!$A$1:$U$1496,$Z327,5))</f>
        <v>0.0</v>
      </c>
      <c r="G327" s="11">
        <f>IF($Z327=0,"",INDEX('DEF_CALL_DECISION_SUPPORT'!$A$1:$U$1496,$Z327,6))</f>
        <v>3.3333333333333335</v>
      </c>
      <c r="H327" s="11">
        <f>IF($Z327=0,"",INDEX('DEF_CALL_DECISION_SUPPORT'!$A$1:$U$1496,$Z327,10))</f>
        <v>73.3</v>
      </c>
      <c r="I327" s="14" t="str">
        <f>IF($Z327=0,"",INDEX('DEF_CALL_DECISION_SUPPORT'!$A$1:$U$1496,$Z327,9))</f>
        <v>LOW</v>
      </c>
      <c r="J327" s="14" t="str">
        <f>IF(Z327=0,"Film Review Required",IF(D327&lt;4,"Sample Watch • ","")&amp;"D&amp;D + Concept Match • Concept Proxy")</f>
        <v>Sample Watch • D&amp;D + Concept Match • Concept Proxy</v>
      </c>
      <c r="K327" s="9" t="str">
        <f>"Opponent exact-play alert only. No Defensive Exact-Play Sample. "&amp;IF(Z327=0,"Confirm concept mapping and review film before treating this as a defensive candidate.","Metrics describe the confirmed concept; "&amp;IF($Z327=0,"",INDEX('DEF_CALL_DECISION_SUPPORT'!$A$1:$U$1496,$Z327,12)))</f>
        <v>Opponent exact-play alert only. No Defensive Exact-Play Sample. Metrics describe the confirmed concept; Good signal, but sample is limited.</v>
      </c>
      <c r="L327" s="7" t="s">
        <v>449</v>
      </c>
      <c r="Y327" s="2" t="s">
        <v>2622</v>
      </c>
      <c r="Z327" s="2">
        <f>IF($L327="",0,IFERROR(MATCH(LEN($A327)&amp;":"&amp;$A327&amp;"|"&amp;LEN($L327)&amp;":"&amp;$L327&amp;"|",'DEF_CALL_DECISION_SUPPORT'!$U$811:$U$1055,0)+811-1,0))</f>
        <v>937</v>
      </c>
    </row>
    <row r="328" spans="1:26" ht="50" customHeight="1">
      <c r="A328" s="8" t="s">
        <v>85</v>
      </c>
      <c r="B328" s="8" t="s">
        <v>1413</v>
      </c>
      <c r="C328" s="8" t="str">
        <f>IF($Z328=0,"Film Review Required",INDEX('DEF_CALL_DECISION_SUPPORT'!$A$1:$U$1496,$Z328,2))</f>
        <v>REBEL</v>
      </c>
      <c r="D328" s="12">
        <f>IF($Z328=0,"",INDEX('DEF_CALL_DECISION_SUPPORT'!$A$1:$U$1496,$Z328,3))</f>
        <v>1</v>
      </c>
      <c r="E328" s="10">
        <f>IF($Z328=0,"",INDEX('DEF_CALL_DECISION_SUPPORT'!$A$1:$U$1496,$Z328,4))</f>
        <v>1.0</v>
      </c>
      <c r="F328" s="10">
        <f>IF($Z328=0,"",INDEX('DEF_CALL_DECISION_SUPPORT'!$A$1:$U$1496,$Z328,5))</f>
        <v>0.0</v>
      </c>
      <c r="G328" s="11">
        <f>IF($Z328=0,"",INDEX('DEF_CALL_DECISION_SUPPORT'!$A$1:$U$1496,$Z328,6))</f>
        <v>0.0</v>
      </c>
      <c r="H328" s="11">
        <f>IF($Z328=0,"",INDEX('DEF_CALL_DECISION_SUPPORT'!$A$1:$U$1496,$Z328,10))</f>
        <v>100.0</v>
      </c>
      <c r="I328" s="14" t="str">
        <f>IF($Z328=0,"",INDEX('DEF_CALL_DECISION_SUPPORT'!$A$1:$U$1496,$Z328,9))</f>
        <v>TRACK</v>
      </c>
      <c r="J328" s="14" t="str">
        <f>IF(Z328=0,"Film Review Required",IF(D328&lt;4,"Sample Watch • ","")&amp;"D&amp;D + Concept Match • Concept Proxy")</f>
        <v>Sample Watch • D&amp;D + Concept Match • Concept Proxy</v>
      </c>
      <c r="K328" s="9" t="str">
        <f>"Opponent exact-play alert only. No Defensive Exact-Play Sample. "&amp;IF(Z328=0,"Confirm concept mapping and review film before treating this as a defensive candidate.","Metrics describe the confirmed concept; "&amp;IF($Z328=0,"",INDEX('DEF_CALL_DECISION_SUPPORT'!$A$1:$U$1496,$Z328,12)))</f>
        <v>Opponent exact-play alert only. No Defensive Exact-Play Sample. Metrics describe the confirmed concept; Track only; not enough sample.</v>
      </c>
      <c r="L328" s="7" t="s">
        <v>541</v>
      </c>
      <c r="Y328" s="2" t="s">
        <v>2623</v>
      </c>
      <c r="Z328" s="2">
        <f>IF($L328="",0,IFERROR(MATCH(LEN($A328)&amp;":"&amp;$A328&amp;"|"&amp;LEN($L328)&amp;":"&amp;$L328&amp;"|",'DEF_CALL_DECISION_SUPPORT'!$U$811:$U$1055,0)+811-1,0))</f>
        <v>958</v>
      </c>
    </row>
    <row r="329" spans="1:26" ht="50" customHeight="1">
      <c r="A329" s="8" t="s">
        <v>85</v>
      </c>
      <c r="B329" s="8" t="s">
        <v>1544</v>
      </c>
      <c r="C329" s="8" t="str">
        <f>IF($Z329=0,"Film Review Required",INDEX('DEF_CALL_DECISION_SUPPORT'!$A$1:$U$1496,$Z329,2))</f>
        <v>SMOKE WHITE</v>
      </c>
      <c r="D329" s="12">
        <f>IF($Z329=0,"",INDEX('DEF_CALL_DECISION_SUPPORT'!$A$1:$U$1496,$Z329,3))</f>
        <v>3</v>
      </c>
      <c r="E329" s="10">
        <f>IF($Z329=0,"",INDEX('DEF_CALL_DECISION_SUPPORT'!$A$1:$U$1496,$Z329,4))</f>
        <v>0.6666666666666666</v>
      </c>
      <c r="F329" s="10">
        <f>IF($Z329=0,"",INDEX('DEF_CALL_DECISION_SUPPORT'!$A$1:$U$1496,$Z329,5))</f>
        <v>0.0</v>
      </c>
      <c r="G329" s="11">
        <f>IF($Z329=0,"",INDEX('DEF_CALL_DECISION_SUPPORT'!$A$1:$U$1496,$Z329,6))</f>
        <v>3.3333333333333335</v>
      </c>
      <c r="H329" s="11">
        <f>IF($Z329=0,"",INDEX('DEF_CALL_DECISION_SUPPORT'!$A$1:$U$1496,$Z329,10))</f>
        <v>73.3</v>
      </c>
      <c r="I329" s="14" t="str">
        <f>IF($Z329=0,"",INDEX('DEF_CALL_DECISION_SUPPORT'!$A$1:$U$1496,$Z329,9))</f>
        <v>LOW</v>
      </c>
      <c r="J329" s="14" t="str">
        <f>IF(Z329=0,"Film Review Required",IF(D329&lt;4,"Sample Watch • ","")&amp;"D&amp;D + Concept Match • Concept Proxy")</f>
        <v>Sample Watch • D&amp;D + Concept Match • Concept Proxy</v>
      </c>
      <c r="K329" s="9" t="str">
        <f>"Opponent exact-play alert only. No Defensive Exact-Play Sample. "&amp;IF(Z329=0,"Confirm concept mapping and review film before treating this as a defensive candidate.","Metrics describe the confirmed concept; "&amp;IF($Z329=0,"",INDEX('DEF_CALL_DECISION_SUPPORT'!$A$1:$U$1496,$Z329,12)))</f>
        <v>Opponent exact-play alert only. No Defensive Exact-Play Sample. Metrics describe the confirmed concept; Good signal, but sample is limited.</v>
      </c>
      <c r="L329" s="7" t="s">
        <v>449</v>
      </c>
      <c r="Y329" s="2" t="s">
        <v>2624</v>
      </c>
      <c r="Z329" s="2">
        <f>IF($L329="",0,IFERROR(MATCH(LEN($A329)&amp;":"&amp;$A329&amp;"|"&amp;LEN($L329)&amp;":"&amp;$L329&amp;"|",'DEF_CALL_DECISION_SUPPORT'!$U$811:$U$1055,0)+811-1,0))</f>
        <v>937</v>
      </c>
    </row>
    <row r="330" spans="1:26" ht="50" customHeight="1">
      <c r="A330" s="8" t="s">
        <v>85</v>
      </c>
      <c r="B330" s="8" t="s">
        <v>1572</v>
      </c>
      <c r="C330" s="8" t="str">
        <f>IF($Z330=0,"Film Review Required",INDEX('DEF_CALL_DECISION_SUPPORT'!$A$1:$U$1496,$Z330,2))</f>
        <v>REBEL</v>
      </c>
      <c r="D330" s="12">
        <f>IF($Z330=0,"",INDEX('DEF_CALL_DECISION_SUPPORT'!$A$1:$U$1496,$Z330,3))</f>
        <v>1</v>
      </c>
      <c r="E330" s="10">
        <f>IF($Z330=0,"",INDEX('DEF_CALL_DECISION_SUPPORT'!$A$1:$U$1496,$Z330,4))</f>
        <v>1.0</v>
      </c>
      <c r="F330" s="10">
        <f>IF($Z330=0,"",INDEX('DEF_CALL_DECISION_SUPPORT'!$A$1:$U$1496,$Z330,5))</f>
        <v>0.0</v>
      </c>
      <c r="G330" s="11">
        <f>IF($Z330=0,"",INDEX('DEF_CALL_DECISION_SUPPORT'!$A$1:$U$1496,$Z330,6))</f>
        <v>0.0</v>
      </c>
      <c r="H330" s="11">
        <f>IF($Z330=0,"",INDEX('DEF_CALL_DECISION_SUPPORT'!$A$1:$U$1496,$Z330,10))</f>
        <v>100.0</v>
      </c>
      <c r="I330" s="14" t="str">
        <f>IF($Z330=0,"",INDEX('DEF_CALL_DECISION_SUPPORT'!$A$1:$U$1496,$Z330,9))</f>
        <v>TRACK</v>
      </c>
      <c r="J330" s="14" t="str">
        <f>IF(Z330=0,"Film Review Required",IF(D330&lt;4,"Sample Watch • ","")&amp;"D&amp;D + Concept Match • Concept Proxy")</f>
        <v>Sample Watch • D&amp;D + Concept Match • Concept Proxy</v>
      </c>
      <c r="K330" s="9" t="str">
        <f>"Opponent exact-play alert only. No Defensive Exact-Play Sample. "&amp;IF(Z330=0,"Confirm concept mapping and review film before treating this as a defensive candidate.","Metrics describe the confirmed concept; "&amp;IF($Z330=0,"",INDEX('DEF_CALL_DECISION_SUPPORT'!$A$1:$U$1496,$Z330,12)))</f>
        <v>Opponent exact-play alert only. No Defensive Exact-Play Sample. Metrics describe the confirmed concept; Track only; not enough sample.</v>
      </c>
      <c r="L330" s="7" t="s">
        <v>468</v>
      </c>
      <c r="Y330" s="2" t="s">
        <v>2625</v>
      </c>
      <c r="Z330" s="2">
        <f>IF($L330="",0,IFERROR(MATCH(LEN($A330)&amp;":"&amp;$A330&amp;"|"&amp;LEN($L330)&amp;":"&amp;$L330&amp;"|",'DEF_CALL_DECISION_SUPPORT'!$U$811:$U$1055,0)+811-1,0))</f>
        <v>957</v>
      </c>
    </row>
    <row r="331" spans="1:26" ht="50" customHeight="1">
      <c r="A331" s="8" t="s">
        <v>85</v>
      </c>
      <c r="B331" s="8" t="s">
        <v>49</v>
      </c>
      <c r="C331" s="8" t="str">
        <f>IF($Z331=0,"Film Review Required",INDEX('DEF_CALL_DECISION_SUPPORT'!$A$1:$U$1496,$Z331,2))</f>
        <v>Film Review Required</v>
      </c>
      <c r="D331" s="12">
        <f>IF($Z331=0,"",INDEX('DEF_CALL_DECISION_SUPPORT'!$A$1:$U$1496,$Z331,3))</f>
        <v/>
      </c>
      <c r="E331" s="10">
        <f>IF($Z331=0,"",INDEX('DEF_CALL_DECISION_SUPPORT'!$A$1:$U$1496,$Z331,4))</f>
        <v/>
      </c>
      <c r="F331" s="10">
        <f>IF($Z331=0,"",INDEX('DEF_CALL_DECISION_SUPPORT'!$A$1:$U$1496,$Z331,5))</f>
        <v/>
      </c>
      <c r="G331" s="11">
        <f>IF($Z331=0,"",INDEX('DEF_CALL_DECISION_SUPPORT'!$A$1:$U$1496,$Z331,6))</f>
        <v/>
      </c>
      <c r="H331" s="11">
        <f>IF($Z331=0,"",INDEX('DEF_CALL_DECISION_SUPPORT'!$A$1:$U$1496,$Z331,10))</f>
        <v/>
      </c>
      <c r="I331" s="14">
        <f>IF($Z331=0,"",INDEX('DEF_CALL_DECISION_SUPPORT'!$A$1:$U$1496,$Z331,9))</f>
        <v/>
      </c>
      <c r="J331" s="14" t="str">
        <f>IF(Z331=0,"Film Review Required",IF(D331&lt;4,"Sample Watch • ","")&amp;"D&amp;D + Concept Match • Concept Proxy")</f>
        <v>Film Review Required</v>
      </c>
      <c r="K331" s="9" t="str">
        <f>"Opponent exact-play alert only. No Defensive Exact-Play Sample. "&amp;IF(Z331=0,"Confirm concept mapping and review film before treating this as a defensive candidate.","Metrics describe the confirmed concept; "&amp;IF($Z331=0,"",INDEX('DEF_CALL_DECISION_SUPPORT'!$A$1:$U$1496,$Z331,12)))</f>
        <v>Opponent exact-play alert only. No Defensive Exact-Play Sample. Confirm concept mapping and review film before treating this as a defensive candidate.</v>
      </c>
      <c r="L331" s="7"/>
      <c r="Y331" s="2" t="s">
        <v>2626</v>
      </c>
      <c r="Z331" s="2">
        <f>IF($L331="",0,IFERROR(MATCH(LEN($A331)&amp;":"&amp;$A331&amp;"|"&amp;LEN($L331)&amp;":"&amp;$L331&amp;"|",'DEF_CALL_DECISION_SUPPORT'!$U$811:$U$1055,0)+811-1,0))</f>
        <v>0</v>
      </c>
    </row>
    <row r="332" spans="1:26" ht="50" customHeight="1">
      <c r="A332" s="8" t="s">
        <v>85</v>
      </c>
      <c r="B332" s="8" t="s">
        <v>1410</v>
      </c>
      <c r="C332" s="8" t="str">
        <f>IF($Z332=0,"Film Review Required",INDEX('DEF_CALL_DECISION_SUPPORT'!$A$1:$U$1496,$Z332,2))</f>
        <v>Film Review Required</v>
      </c>
      <c r="D332" s="12">
        <f>IF($Z332=0,"",INDEX('DEF_CALL_DECISION_SUPPORT'!$A$1:$U$1496,$Z332,3))</f>
        <v/>
      </c>
      <c r="E332" s="10">
        <f>IF($Z332=0,"",INDEX('DEF_CALL_DECISION_SUPPORT'!$A$1:$U$1496,$Z332,4))</f>
        <v/>
      </c>
      <c r="F332" s="10">
        <f>IF($Z332=0,"",INDEX('DEF_CALL_DECISION_SUPPORT'!$A$1:$U$1496,$Z332,5))</f>
        <v/>
      </c>
      <c r="G332" s="11">
        <f>IF($Z332=0,"",INDEX('DEF_CALL_DECISION_SUPPORT'!$A$1:$U$1496,$Z332,6))</f>
        <v/>
      </c>
      <c r="H332" s="11">
        <f>IF($Z332=0,"",INDEX('DEF_CALL_DECISION_SUPPORT'!$A$1:$U$1496,$Z332,10))</f>
        <v/>
      </c>
      <c r="I332" s="14">
        <f>IF($Z332=0,"",INDEX('DEF_CALL_DECISION_SUPPORT'!$A$1:$U$1496,$Z332,9))</f>
        <v/>
      </c>
      <c r="J332" s="14" t="str">
        <f>IF(Z332=0,"Film Review Required",IF(D332&lt;4,"Sample Watch • ","")&amp;"D&amp;D + Concept Match • Concept Proxy")</f>
        <v>Film Review Required</v>
      </c>
      <c r="K332" s="9" t="str">
        <f>"Opponent exact-play alert only. No Defensive Exact-Play Sample. "&amp;IF(Z332=0,"Confirm concept mapping and review film before treating this as a defensive candidate.","Metrics describe the confirmed concept; "&amp;IF($Z332=0,"",INDEX('DEF_CALL_DECISION_SUPPORT'!$A$1:$U$1496,$Z332,12)))</f>
        <v>Opponent exact-play alert only. No Defensive Exact-Play Sample. Confirm concept mapping and review film before treating this as a defensive candidate.</v>
      </c>
      <c r="L332" s="7" t="s">
        <v>611</v>
      </c>
      <c r="Y332" s="2" t="s">
        <v>2627</v>
      </c>
      <c r="Z332" s="2">
        <f>IF($L332="",0,IFERROR(MATCH(LEN($A332)&amp;":"&amp;$A332&amp;"|"&amp;LEN($L332)&amp;":"&amp;$L332&amp;"|",'DEF_CALL_DECISION_SUPPORT'!$U$811:$U$1055,0)+811-1,0))</f>
        <v>0</v>
      </c>
    </row>
    <row r="333" spans="1:26" ht="50" customHeight="1">
      <c r="A333" s="8" t="s">
        <v>85</v>
      </c>
      <c r="B333" s="8" t="s">
        <v>1523</v>
      </c>
      <c r="C333" s="8" t="str">
        <f>IF($Z333=0,"Film Review Required",INDEX('DEF_CALL_DECISION_SUPPORT'!$A$1:$U$1496,$Z333,2))</f>
        <v>SMOKE WHITE</v>
      </c>
      <c r="D333" s="12">
        <f>IF($Z333=0,"",INDEX('DEF_CALL_DECISION_SUPPORT'!$A$1:$U$1496,$Z333,3))</f>
        <v>3</v>
      </c>
      <c r="E333" s="10">
        <f>IF($Z333=0,"",INDEX('DEF_CALL_DECISION_SUPPORT'!$A$1:$U$1496,$Z333,4))</f>
        <v>0.6666666666666666</v>
      </c>
      <c r="F333" s="10">
        <f>IF($Z333=0,"",INDEX('DEF_CALL_DECISION_SUPPORT'!$A$1:$U$1496,$Z333,5))</f>
        <v>0.0</v>
      </c>
      <c r="G333" s="11">
        <f>IF($Z333=0,"",INDEX('DEF_CALL_DECISION_SUPPORT'!$A$1:$U$1496,$Z333,6))</f>
        <v>3.3333333333333335</v>
      </c>
      <c r="H333" s="11">
        <f>IF($Z333=0,"",INDEX('DEF_CALL_DECISION_SUPPORT'!$A$1:$U$1496,$Z333,10))</f>
        <v>73.3</v>
      </c>
      <c r="I333" s="14" t="str">
        <f>IF($Z333=0,"",INDEX('DEF_CALL_DECISION_SUPPORT'!$A$1:$U$1496,$Z333,9))</f>
        <v>LOW</v>
      </c>
      <c r="J333" s="14" t="str">
        <f>IF(Z333=0,"Film Review Required",IF(D333&lt;4,"Sample Watch • ","")&amp;"D&amp;D + Concept Match • Concept Proxy")</f>
        <v>Sample Watch • D&amp;D + Concept Match • Concept Proxy</v>
      </c>
      <c r="K333" s="9" t="str">
        <f>"Opponent exact-play alert only. No Defensive Exact-Play Sample. "&amp;IF(Z333=0,"Confirm concept mapping and review film before treating this as a defensive candidate.","Metrics describe the confirmed concept; "&amp;IF($Z333=0,"",INDEX('DEF_CALL_DECISION_SUPPORT'!$A$1:$U$1496,$Z333,12)))</f>
        <v>Opponent exact-play alert only. No Defensive Exact-Play Sample. Metrics describe the confirmed concept; Good signal, but sample is limited.</v>
      </c>
      <c r="L333" s="7" t="s">
        <v>449</v>
      </c>
      <c r="Y333" s="2" t="s">
        <v>2628</v>
      </c>
      <c r="Z333" s="2">
        <f>IF($L333="",0,IFERROR(MATCH(LEN($A333)&amp;":"&amp;$A333&amp;"|"&amp;LEN($L333)&amp;":"&amp;$L333&amp;"|",'DEF_CALL_DECISION_SUPPORT'!$U$811:$U$1055,0)+811-1,0))</f>
        <v>937</v>
      </c>
    </row>
    <row r="334" spans="1:26" ht="50" customHeight="1">
      <c r="A334" s="8" t="s">
        <v>85</v>
      </c>
      <c r="B334" s="8" t="s">
        <v>1600</v>
      </c>
      <c r="C334" s="8" t="str">
        <f>IF($Z334=0,"Film Review Required",INDEX('DEF_CALL_DECISION_SUPPORT'!$A$1:$U$1496,$Z334,2))</f>
        <v>TSUNAMI</v>
      </c>
      <c r="D334" s="12">
        <f>IF($Z334=0,"",INDEX('DEF_CALL_DECISION_SUPPORT'!$A$1:$U$1496,$Z334,3))</f>
        <v>1</v>
      </c>
      <c r="E334" s="10">
        <f>IF($Z334=0,"",INDEX('DEF_CALL_DECISION_SUPPORT'!$A$1:$U$1496,$Z334,4))</f>
        <v>1.0</v>
      </c>
      <c r="F334" s="10">
        <f>IF($Z334=0,"",INDEX('DEF_CALL_DECISION_SUPPORT'!$A$1:$U$1496,$Z334,5))</f>
        <v>0.0</v>
      </c>
      <c r="G334" s="11">
        <f>IF($Z334=0,"",INDEX('DEF_CALL_DECISION_SUPPORT'!$A$1:$U$1496,$Z334,6))</f>
        <v>1.0</v>
      </c>
      <c r="H334" s="11">
        <f>IF($Z334=0,"",INDEX('DEF_CALL_DECISION_SUPPORT'!$A$1:$U$1496,$Z334,10))</f>
        <v>99.0</v>
      </c>
      <c r="I334" s="14" t="str">
        <f>IF($Z334=0,"",INDEX('DEF_CALL_DECISION_SUPPORT'!$A$1:$U$1496,$Z334,9))</f>
        <v>TRACK</v>
      </c>
      <c r="J334" s="14" t="str">
        <f>IF(Z334=0,"Film Review Required",IF(D334&lt;4,"Sample Watch • ","")&amp;"D&amp;D + Concept Match • Concept Proxy")</f>
        <v>Sample Watch • D&amp;D + Concept Match • Concept Proxy</v>
      </c>
      <c r="K334" s="9" t="str">
        <f>"Opponent exact-play alert only. No Defensive Exact-Play Sample. "&amp;IF(Z334=0,"Confirm concept mapping and review film before treating this as a defensive candidate.","Metrics describe the confirmed concept; "&amp;IF($Z334=0,"",INDEX('DEF_CALL_DECISION_SUPPORT'!$A$1:$U$1496,$Z334,12)))</f>
        <v>Opponent exact-play alert only. No Defensive Exact-Play Sample. Metrics describe the confirmed concept; Track only; not enough sample.</v>
      </c>
      <c r="L334" s="7" t="s">
        <v>465</v>
      </c>
      <c r="Y334" s="2" t="s">
        <v>2629</v>
      </c>
      <c r="Z334" s="2">
        <f>IF($L334="",0,IFERROR(MATCH(LEN($A334)&amp;":"&amp;$A334&amp;"|"&amp;LEN($L334)&amp;":"&amp;$L334&amp;"|",'DEF_CALL_DECISION_SUPPORT'!$U$811:$U$1055,0)+811-1,0))</f>
        <v>955</v>
      </c>
    </row>
    <row r="335" spans="1:26" ht="50" customHeight="1">
      <c r="A335" s="8" t="s">
        <v>85</v>
      </c>
      <c r="B335" s="8" t="s">
        <v>815</v>
      </c>
      <c r="C335" s="8" t="str">
        <f>IF($Z335=0,"Film Review Required",INDEX('DEF_CALL_DECISION_SUPPORT'!$A$1:$U$1496,$Z335,2))</f>
        <v>TSUNAMI</v>
      </c>
      <c r="D335" s="12">
        <f>IF($Z335=0,"",INDEX('DEF_CALL_DECISION_SUPPORT'!$A$1:$U$1496,$Z335,3))</f>
        <v>1</v>
      </c>
      <c r="E335" s="10">
        <f>IF($Z335=0,"",INDEX('DEF_CALL_DECISION_SUPPORT'!$A$1:$U$1496,$Z335,4))</f>
        <v>1.0</v>
      </c>
      <c r="F335" s="10">
        <f>IF($Z335=0,"",INDEX('DEF_CALL_DECISION_SUPPORT'!$A$1:$U$1496,$Z335,5))</f>
        <v>0.0</v>
      </c>
      <c r="G335" s="11">
        <f>IF($Z335=0,"",INDEX('DEF_CALL_DECISION_SUPPORT'!$A$1:$U$1496,$Z335,6))</f>
        <v>1.0</v>
      </c>
      <c r="H335" s="11">
        <f>IF($Z335=0,"",INDEX('DEF_CALL_DECISION_SUPPORT'!$A$1:$U$1496,$Z335,10))</f>
        <v>99.0</v>
      </c>
      <c r="I335" s="14" t="str">
        <f>IF($Z335=0,"",INDEX('DEF_CALL_DECISION_SUPPORT'!$A$1:$U$1496,$Z335,9))</f>
        <v>TRACK</v>
      </c>
      <c r="J335" s="14" t="str">
        <f>IF(Z335=0,"Film Review Required",IF(D335&lt;4,"Sample Watch • ","")&amp;"D&amp;D + Concept Match • Concept Proxy")</f>
        <v>Sample Watch • D&amp;D + Concept Match • Concept Proxy</v>
      </c>
      <c r="K335" s="9" t="str">
        <f>"Opponent exact-play alert only. No Defensive Exact-Play Sample. "&amp;IF(Z335=0,"Confirm concept mapping and review film before treating this as a defensive candidate.","Metrics describe the confirmed concept; "&amp;IF($Z335=0,"",INDEX('DEF_CALL_DECISION_SUPPORT'!$A$1:$U$1496,$Z335,12)))</f>
        <v>Opponent exact-play alert only. No Defensive Exact-Play Sample. Metrics describe the confirmed concept; Track only; not enough sample.</v>
      </c>
      <c r="L335" s="7" t="s">
        <v>465</v>
      </c>
      <c r="Y335" s="2" t="s">
        <v>2630</v>
      </c>
      <c r="Z335" s="2">
        <f>IF($L335="",0,IFERROR(MATCH(LEN($A335)&amp;":"&amp;$A335&amp;"|"&amp;LEN($L335)&amp;":"&amp;$L335&amp;"|",'DEF_CALL_DECISION_SUPPORT'!$U$811:$U$1055,0)+811-1,0))</f>
        <v>955</v>
      </c>
    </row>
    <row r="336" spans="1:26" ht="50" customHeight="1">
      <c r="A336" s="8" t="s">
        <v>85</v>
      </c>
      <c r="B336" s="8" t="s">
        <v>1398</v>
      </c>
      <c r="C336" s="8" t="str">
        <f>IF($Z336=0,"Film Review Required",INDEX('DEF_CALL_DECISION_SUPPORT'!$A$1:$U$1496,$Z336,2))</f>
        <v>TSUNAMI</v>
      </c>
      <c r="D336" s="12">
        <f>IF($Z336=0,"",INDEX('DEF_CALL_DECISION_SUPPORT'!$A$1:$U$1496,$Z336,3))</f>
        <v>1</v>
      </c>
      <c r="E336" s="10">
        <f>IF($Z336=0,"",INDEX('DEF_CALL_DECISION_SUPPORT'!$A$1:$U$1496,$Z336,4))</f>
        <v>1.0</v>
      </c>
      <c r="F336" s="10">
        <f>IF($Z336=0,"",INDEX('DEF_CALL_DECISION_SUPPORT'!$A$1:$U$1496,$Z336,5))</f>
        <v>0.0</v>
      </c>
      <c r="G336" s="11">
        <f>IF($Z336=0,"",INDEX('DEF_CALL_DECISION_SUPPORT'!$A$1:$U$1496,$Z336,6))</f>
        <v>1.0</v>
      </c>
      <c r="H336" s="11">
        <f>IF($Z336=0,"",INDEX('DEF_CALL_DECISION_SUPPORT'!$A$1:$U$1496,$Z336,10))</f>
        <v>99.0</v>
      </c>
      <c r="I336" s="14" t="str">
        <f>IF($Z336=0,"",INDEX('DEF_CALL_DECISION_SUPPORT'!$A$1:$U$1496,$Z336,9))</f>
        <v>TRACK</v>
      </c>
      <c r="J336" s="14" t="str">
        <f>IF(Z336=0,"Film Review Required",IF(D336&lt;4,"Sample Watch • ","")&amp;"D&amp;D + Concept Match • Concept Proxy")</f>
        <v>Sample Watch • D&amp;D + Concept Match • Concept Proxy</v>
      </c>
      <c r="K336" s="9" t="str">
        <f>"Opponent exact-play alert only. No Defensive Exact-Play Sample. "&amp;IF(Z336=0,"Confirm concept mapping and review film before treating this as a defensive candidate.","Metrics describe the confirmed concept; "&amp;IF($Z336=0,"",INDEX('DEF_CALL_DECISION_SUPPORT'!$A$1:$U$1496,$Z336,12)))</f>
        <v>Opponent exact-play alert only. No Defensive Exact-Play Sample. Metrics describe the confirmed concept; Track only; not enough sample.</v>
      </c>
      <c r="L336" s="7" t="s">
        <v>465</v>
      </c>
      <c r="Y336" s="2" t="s">
        <v>2631</v>
      </c>
      <c r="Z336" s="2">
        <f>IF($L336="",0,IFERROR(MATCH(LEN($A336)&amp;":"&amp;$A336&amp;"|"&amp;LEN($L336)&amp;":"&amp;$L336&amp;"|",'DEF_CALL_DECISION_SUPPORT'!$U$811:$U$1055,0)+811-1,0))</f>
        <v>955</v>
      </c>
    </row>
    <row r="337" spans="1:26" ht="50" customHeight="1">
      <c r="A337" s="8" t="s">
        <v>85</v>
      </c>
      <c r="B337" s="8" t="s">
        <v>1528</v>
      </c>
      <c r="C337" s="8" t="str">
        <f>IF($Z337=0,"Film Review Required",INDEX('DEF_CALL_DECISION_SUPPORT'!$A$1:$U$1496,$Z337,2))</f>
        <v>SMOKE WHITE</v>
      </c>
      <c r="D337" s="12">
        <f>IF($Z337=0,"",INDEX('DEF_CALL_DECISION_SUPPORT'!$A$1:$U$1496,$Z337,3))</f>
        <v>3</v>
      </c>
      <c r="E337" s="10">
        <f>IF($Z337=0,"",INDEX('DEF_CALL_DECISION_SUPPORT'!$A$1:$U$1496,$Z337,4))</f>
        <v>0.6666666666666666</v>
      </c>
      <c r="F337" s="10">
        <f>IF($Z337=0,"",INDEX('DEF_CALL_DECISION_SUPPORT'!$A$1:$U$1496,$Z337,5))</f>
        <v>0.0</v>
      </c>
      <c r="G337" s="11">
        <f>IF($Z337=0,"",INDEX('DEF_CALL_DECISION_SUPPORT'!$A$1:$U$1496,$Z337,6))</f>
        <v>3.3333333333333335</v>
      </c>
      <c r="H337" s="11">
        <f>IF($Z337=0,"",INDEX('DEF_CALL_DECISION_SUPPORT'!$A$1:$U$1496,$Z337,10))</f>
        <v>73.3</v>
      </c>
      <c r="I337" s="14" t="str">
        <f>IF($Z337=0,"",INDEX('DEF_CALL_DECISION_SUPPORT'!$A$1:$U$1496,$Z337,9))</f>
        <v>LOW</v>
      </c>
      <c r="J337" s="14" t="str">
        <f>IF(Z337=0,"Film Review Required",IF(D337&lt;4,"Sample Watch • ","")&amp;"D&amp;D + Concept Match • Concept Proxy")</f>
        <v>Sample Watch • D&amp;D + Concept Match • Concept Proxy</v>
      </c>
      <c r="K337" s="9" t="str">
        <f>"Opponent exact-play alert only. No Defensive Exact-Play Sample. "&amp;IF(Z337=0,"Confirm concept mapping and review film before treating this as a defensive candidate.","Metrics describe the confirmed concept; "&amp;IF($Z337=0,"",INDEX('DEF_CALL_DECISION_SUPPORT'!$A$1:$U$1496,$Z337,12)))</f>
        <v>Opponent exact-play alert only. No Defensive Exact-Play Sample. Metrics describe the confirmed concept; Good signal, but sample is limited.</v>
      </c>
      <c r="L337" s="7" t="s">
        <v>449</v>
      </c>
      <c r="Y337" s="2" t="s">
        <v>2632</v>
      </c>
      <c r="Z337" s="2">
        <f>IF($L337="",0,IFERROR(MATCH(LEN($A337)&amp;":"&amp;$A337&amp;"|"&amp;LEN($L337)&amp;":"&amp;$L337&amp;"|",'DEF_CALL_DECISION_SUPPORT'!$U$811:$U$1055,0)+811-1,0))</f>
        <v>937</v>
      </c>
    </row>
    <row r="338" spans="1:26" ht="50" customHeight="1">
      <c r="A338" s="8" t="s">
        <v>85</v>
      </c>
      <c r="B338" s="8" t="s">
        <v>819</v>
      </c>
      <c r="C338" s="8" t="str">
        <f>IF($Z338=0,"Film Review Required",INDEX('DEF_CALL_DECISION_SUPPORT'!$A$1:$U$1496,$Z338,2))</f>
        <v>Film Review Required</v>
      </c>
      <c r="D338" s="12">
        <f>IF($Z338=0,"",INDEX('DEF_CALL_DECISION_SUPPORT'!$A$1:$U$1496,$Z338,3))</f>
        <v/>
      </c>
      <c r="E338" s="10">
        <f>IF($Z338=0,"",INDEX('DEF_CALL_DECISION_SUPPORT'!$A$1:$U$1496,$Z338,4))</f>
        <v/>
      </c>
      <c r="F338" s="10">
        <f>IF($Z338=0,"",INDEX('DEF_CALL_DECISION_SUPPORT'!$A$1:$U$1496,$Z338,5))</f>
        <v/>
      </c>
      <c r="G338" s="11">
        <f>IF($Z338=0,"",INDEX('DEF_CALL_DECISION_SUPPORT'!$A$1:$U$1496,$Z338,6))</f>
        <v/>
      </c>
      <c r="H338" s="11">
        <f>IF($Z338=0,"",INDEX('DEF_CALL_DECISION_SUPPORT'!$A$1:$U$1496,$Z338,10))</f>
        <v/>
      </c>
      <c r="I338" s="14">
        <f>IF($Z338=0,"",INDEX('DEF_CALL_DECISION_SUPPORT'!$A$1:$U$1496,$Z338,9))</f>
        <v/>
      </c>
      <c r="J338" s="14" t="str">
        <f>IF(Z338=0,"Film Review Required",IF(D338&lt;4,"Sample Watch • ","")&amp;"D&amp;D + Concept Match • Concept Proxy")</f>
        <v>Film Review Required</v>
      </c>
      <c r="K338" s="9" t="str">
        <f>"Opponent exact-play alert only. No Defensive Exact-Play Sample. "&amp;IF(Z338=0,"Confirm concept mapping and review film before treating this as a defensive candidate.","Metrics describe the confirmed concept; "&amp;IF($Z338=0,"",INDEX('DEF_CALL_DECISION_SUPPORT'!$A$1:$U$1496,$Z338,12)))</f>
        <v>Opponent exact-play alert only. No Defensive Exact-Play Sample. Confirm concept mapping and review film before treating this as a defensive candidate.</v>
      </c>
      <c r="L338" s="7" t="s">
        <v>474</v>
      </c>
      <c r="Y338" s="2" t="s">
        <v>2633</v>
      </c>
      <c r="Z338" s="2">
        <f>IF($L338="",0,IFERROR(MATCH(LEN($A338)&amp;":"&amp;$A338&amp;"|"&amp;LEN($L338)&amp;":"&amp;$L338&amp;"|",'DEF_CALL_DECISION_SUPPORT'!$U$811:$U$1055,0)+811-1,0))</f>
        <v>0</v>
      </c>
    </row>
    <row r="339" spans="1:26" ht="50" customHeight="1">
      <c r="A339" s="8" t="s">
        <v>85</v>
      </c>
      <c r="B339" s="8" t="s">
        <v>1566</v>
      </c>
      <c r="C339" s="8" t="str">
        <f>IF($Z339=0,"Film Review Required",INDEX('DEF_CALL_DECISION_SUPPORT'!$A$1:$U$1496,$Z339,2))</f>
        <v>Film Review Required</v>
      </c>
      <c r="D339" s="12">
        <f>IF($Z339=0,"",INDEX('DEF_CALL_DECISION_SUPPORT'!$A$1:$U$1496,$Z339,3))</f>
        <v/>
      </c>
      <c r="E339" s="10">
        <f>IF($Z339=0,"",INDEX('DEF_CALL_DECISION_SUPPORT'!$A$1:$U$1496,$Z339,4))</f>
        <v/>
      </c>
      <c r="F339" s="10">
        <f>IF($Z339=0,"",INDEX('DEF_CALL_DECISION_SUPPORT'!$A$1:$U$1496,$Z339,5))</f>
        <v/>
      </c>
      <c r="G339" s="11">
        <f>IF($Z339=0,"",INDEX('DEF_CALL_DECISION_SUPPORT'!$A$1:$U$1496,$Z339,6))</f>
        <v/>
      </c>
      <c r="H339" s="11">
        <f>IF($Z339=0,"",INDEX('DEF_CALL_DECISION_SUPPORT'!$A$1:$U$1496,$Z339,10))</f>
        <v/>
      </c>
      <c r="I339" s="14">
        <f>IF($Z339=0,"",INDEX('DEF_CALL_DECISION_SUPPORT'!$A$1:$U$1496,$Z339,9))</f>
        <v/>
      </c>
      <c r="J339" s="14" t="str">
        <f>IF(Z339=0,"Film Review Required",IF(D339&lt;4,"Sample Watch • ","")&amp;"D&amp;D + Concept Match • Concept Proxy")</f>
        <v>Film Review Required</v>
      </c>
      <c r="K339" s="9" t="str">
        <f>"Opponent exact-play alert only. No Defensive Exact-Play Sample. "&amp;IF(Z339=0,"Confirm concept mapping and review film before treating this as a defensive candidate.","Metrics describe the confirmed concept; "&amp;IF($Z339=0,"",INDEX('DEF_CALL_DECISION_SUPPORT'!$A$1:$U$1496,$Z339,12)))</f>
        <v>Opponent exact-play alert only. No Defensive Exact-Play Sample. Confirm concept mapping and review film before treating this as a defensive candidate.</v>
      </c>
      <c r="L339" s="7" t="s">
        <v>957</v>
      </c>
      <c r="Y339" s="2" t="s">
        <v>2634</v>
      </c>
      <c r="Z339" s="2">
        <f>IF($L339="",0,IFERROR(MATCH(LEN($A339)&amp;":"&amp;$A339&amp;"|"&amp;LEN($L339)&amp;":"&amp;$L339&amp;"|",'DEF_CALL_DECISION_SUPPORT'!$U$811:$U$1055,0)+811-1,0))</f>
        <v>0</v>
      </c>
    </row>
    <row r="340" spans="1:26" ht="50" customHeight="1">
      <c r="A340" s="8" t="s">
        <v>85</v>
      </c>
      <c r="B340" s="8" t="s">
        <v>1516</v>
      </c>
      <c r="C340" s="8" t="str">
        <f>IF($Z340=0,"Film Review Required",INDEX('DEF_CALL_DECISION_SUPPORT'!$A$1:$U$1496,$Z340,2))</f>
        <v>FALCON</v>
      </c>
      <c r="D340" s="12">
        <f>IF($Z340=0,"",INDEX('DEF_CALL_DECISION_SUPPORT'!$A$1:$U$1496,$Z340,3))</f>
        <v>1</v>
      </c>
      <c r="E340" s="10">
        <f>IF($Z340=0,"",INDEX('DEF_CALL_DECISION_SUPPORT'!$A$1:$U$1496,$Z340,4))</f>
        <v>1.0</v>
      </c>
      <c r="F340" s="10">
        <f>IF($Z340=0,"",INDEX('DEF_CALL_DECISION_SUPPORT'!$A$1:$U$1496,$Z340,5))</f>
        <v>0.0</v>
      </c>
      <c r="G340" s="11">
        <f>IF($Z340=0,"",INDEX('DEF_CALL_DECISION_SUPPORT'!$A$1:$U$1496,$Z340,6))</f>
        <v>0.0</v>
      </c>
      <c r="H340" s="11">
        <f>IF($Z340=0,"",INDEX('DEF_CALL_DECISION_SUPPORT'!$A$1:$U$1496,$Z340,10))</f>
        <v>100.0</v>
      </c>
      <c r="I340" s="14" t="str">
        <f>IF($Z340=0,"",INDEX('DEF_CALL_DECISION_SUPPORT'!$A$1:$U$1496,$Z340,9))</f>
        <v>TRACK</v>
      </c>
      <c r="J340" s="14" t="str">
        <f>IF(Z340=0,"Film Review Required",IF(D340&lt;4,"Sample Watch • ","")&amp;"D&amp;D + Concept Match • Concept Proxy")</f>
        <v>Sample Watch • D&amp;D + Concept Match • Concept Proxy</v>
      </c>
      <c r="K340" s="9" t="str">
        <f>"Opponent exact-play alert only. No Defensive Exact-Play Sample. "&amp;IF(Z340=0,"Confirm concept mapping and review film before treating this as a defensive candidate.","Metrics describe the confirmed concept; "&amp;IF($Z340=0,"",INDEX('DEF_CALL_DECISION_SUPPORT'!$A$1:$U$1496,$Z340,12)))</f>
        <v>Opponent exact-play alert only. No Defensive Exact-Play Sample. Metrics describe the confirmed concept; Track only; not enough sample.</v>
      </c>
      <c r="L340" s="7" t="s">
        <v>446</v>
      </c>
      <c r="Y340" s="2" t="s">
        <v>2635</v>
      </c>
      <c r="Z340" s="2">
        <f>IF($L340="",0,IFERROR(MATCH(LEN($A340)&amp;":"&amp;$A340&amp;"|"&amp;LEN($L340)&amp;":"&amp;$L340&amp;"|",'DEF_CALL_DECISION_SUPPORT'!$U$811:$U$1055,0)+811-1,0))</f>
        <v>929</v>
      </c>
    </row>
    <row r="341" spans="1:26" ht="50" customHeight="1">
      <c r="A341" s="8" t="s">
        <v>85</v>
      </c>
      <c r="B341" s="8" t="s">
        <v>1550</v>
      </c>
      <c r="C341" s="8" t="str">
        <f>IF($Z341=0,"Film Review Required",INDEX('DEF_CALL_DECISION_SUPPORT'!$A$1:$U$1496,$Z341,2))</f>
        <v>SMOKE WHITE</v>
      </c>
      <c r="D341" s="12">
        <f>IF($Z341=0,"",INDEX('DEF_CALL_DECISION_SUPPORT'!$A$1:$U$1496,$Z341,3))</f>
        <v>3</v>
      </c>
      <c r="E341" s="10">
        <f>IF($Z341=0,"",INDEX('DEF_CALL_DECISION_SUPPORT'!$A$1:$U$1496,$Z341,4))</f>
        <v>0.6666666666666666</v>
      </c>
      <c r="F341" s="10">
        <f>IF($Z341=0,"",INDEX('DEF_CALL_DECISION_SUPPORT'!$A$1:$U$1496,$Z341,5))</f>
        <v>0.0</v>
      </c>
      <c r="G341" s="11">
        <f>IF($Z341=0,"",INDEX('DEF_CALL_DECISION_SUPPORT'!$A$1:$U$1496,$Z341,6))</f>
        <v>3.3333333333333335</v>
      </c>
      <c r="H341" s="11">
        <f>IF($Z341=0,"",INDEX('DEF_CALL_DECISION_SUPPORT'!$A$1:$U$1496,$Z341,10))</f>
        <v>73.3</v>
      </c>
      <c r="I341" s="14" t="str">
        <f>IF($Z341=0,"",INDEX('DEF_CALL_DECISION_SUPPORT'!$A$1:$U$1496,$Z341,9))</f>
        <v>LOW</v>
      </c>
      <c r="J341" s="14" t="str">
        <f>IF(Z341=0,"Film Review Required",IF(D341&lt;4,"Sample Watch • ","")&amp;"D&amp;D + Concept Match • Concept Proxy")</f>
        <v>Sample Watch • D&amp;D + Concept Match • Concept Proxy</v>
      </c>
      <c r="K341" s="9" t="str">
        <f>"Opponent exact-play alert only. No Defensive Exact-Play Sample. "&amp;IF(Z341=0,"Confirm concept mapping and review film before treating this as a defensive candidate.","Metrics describe the confirmed concept; "&amp;IF($Z341=0,"",INDEX('DEF_CALL_DECISION_SUPPORT'!$A$1:$U$1496,$Z341,12)))</f>
        <v>Opponent exact-play alert only. No Defensive Exact-Play Sample. Metrics describe the confirmed concept; Good signal, but sample is limited.</v>
      </c>
      <c r="L341" s="7" t="s">
        <v>449</v>
      </c>
      <c r="Y341" s="2" t="s">
        <v>2636</v>
      </c>
      <c r="Z341" s="2">
        <f>IF($L341="",0,IFERROR(MATCH(LEN($A341)&amp;":"&amp;$A341&amp;"|"&amp;LEN($L341)&amp;":"&amp;$L341&amp;"|",'DEF_CALL_DECISION_SUPPORT'!$U$811:$U$1055,0)+811-1,0))</f>
        <v>937</v>
      </c>
    </row>
    <row r="342" spans="1:26" ht="50" customHeight="1">
      <c r="A342" s="8" t="s">
        <v>85</v>
      </c>
      <c r="B342" s="8" t="s">
        <v>818</v>
      </c>
      <c r="C342" s="8" t="str">
        <f>IF($Z342=0,"Film Review Required",INDEX('DEF_CALL_DECISION_SUPPORT'!$A$1:$U$1496,$Z342,2))</f>
        <v>STICK TEX</v>
      </c>
      <c r="D342" s="12">
        <f>IF($Z342=0,"",INDEX('DEF_CALL_DECISION_SUPPORT'!$A$1:$U$1496,$Z342,3))</f>
        <v>2</v>
      </c>
      <c r="E342" s="10">
        <f>IF($Z342=0,"",INDEX('DEF_CALL_DECISION_SUPPORT'!$A$1:$U$1496,$Z342,4))</f>
        <v>0.5</v>
      </c>
      <c r="F342" s="10">
        <f>IF($Z342=0,"",INDEX('DEF_CALL_DECISION_SUPPORT'!$A$1:$U$1496,$Z342,5))</f>
        <v>0.0</v>
      </c>
      <c r="G342" s="11">
        <f>IF($Z342=0,"",INDEX('DEF_CALL_DECISION_SUPPORT'!$A$1:$U$1496,$Z342,6))</f>
        <v>2.0</v>
      </c>
      <c r="H342" s="11">
        <f>IF($Z342=0,"",INDEX('DEF_CALL_DECISION_SUPPORT'!$A$1:$U$1496,$Z342,10))</f>
        <v>63.0</v>
      </c>
      <c r="I342" s="14" t="str">
        <f>IF($Z342=0,"",INDEX('DEF_CALL_DECISION_SUPPORT'!$A$1:$U$1496,$Z342,9))</f>
        <v>TRACK</v>
      </c>
      <c r="J342" s="14" t="str">
        <f>IF(Z342=0,"Film Review Required",IF(D342&lt;4,"Sample Watch • ","")&amp;"D&amp;D + Concept Match • Concept Proxy")</f>
        <v>Sample Watch • D&amp;D + Concept Match • Concept Proxy</v>
      </c>
      <c r="K342" s="9" t="str">
        <f>"Opponent exact-play alert only. No Defensive Exact-Play Sample. "&amp;IF(Z342=0,"Confirm concept mapping and review film before treating this as a defensive candidate.","Metrics describe the confirmed concept; "&amp;IF($Z342=0,"",INDEX('DEF_CALL_DECISION_SUPPORT'!$A$1:$U$1496,$Z342,12)))</f>
        <v>Opponent exact-play alert only. No Defensive Exact-Play Sample. Metrics describe the confirmed concept; Track only; not enough sample.</v>
      </c>
      <c r="L342" s="7" t="s">
        <v>428</v>
      </c>
      <c r="Y342" s="2" t="s">
        <v>2637</v>
      </c>
      <c r="Z342" s="2">
        <f>IF($L342="",0,IFERROR(MATCH(LEN($A342)&amp;":"&amp;$A342&amp;"|"&amp;LEN($L342)&amp;":"&amp;$L342&amp;"|",'DEF_CALL_DECISION_SUPPORT'!$U$811:$U$1055,0)+811-1,0))</f>
        <v>947</v>
      </c>
    </row>
    <row r="343" spans="1:26" ht="50" customHeight="1">
      <c r="A343" s="8" t="s">
        <v>85</v>
      </c>
      <c r="B343" s="8" t="s">
        <v>1583</v>
      </c>
      <c r="C343" s="8" t="str">
        <f>IF($Z343=0,"Film Review Required",INDEX('DEF_CALL_DECISION_SUPPORT'!$A$1:$U$1496,$Z343,2))</f>
        <v>STICK TEX</v>
      </c>
      <c r="D343" s="12">
        <f>IF($Z343=0,"",INDEX('DEF_CALL_DECISION_SUPPORT'!$A$1:$U$1496,$Z343,3))</f>
        <v>2</v>
      </c>
      <c r="E343" s="10">
        <f>IF($Z343=0,"",INDEX('DEF_CALL_DECISION_SUPPORT'!$A$1:$U$1496,$Z343,4))</f>
        <v>0.5</v>
      </c>
      <c r="F343" s="10">
        <f>IF($Z343=0,"",INDEX('DEF_CALL_DECISION_SUPPORT'!$A$1:$U$1496,$Z343,5))</f>
        <v>0.0</v>
      </c>
      <c r="G343" s="11">
        <f>IF($Z343=0,"",INDEX('DEF_CALL_DECISION_SUPPORT'!$A$1:$U$1496,$Z343,6))</f>
        <v>2.0</v>
      </c>
      <c r="H343" s="11">
        <f>IF($Z343=0,"",INDEX('DEF_CALL_DECISION_SUPPORT'!$A$1:$U$1496,$Z343,10))</f>
        <v>63.0</v>
      </c>
      <c r="I343" s="14" t="str">
        <f>IF($Z343=0,"",INDEX('DEF_CALL_DECISION_SUPPORT'!$A$1:$U$1496,$Z343,9))</f>
        <v>TRACK</v>
      </c>
      <c r="J343" s="14" t="str">
        <f>IF(Z343=0,"Film Review Required",IF(D343&lt;4,"Sample Watch • ","")&amp;"D&amp;D + Concept Match • Concept Proxy")</f>
        <v>Sample Watch • D&amp;D + Concept Match • Concept Proxy</v>
      </c>
      <c r="K343" s="9" t="str">
        <f>"Opponent exact-play alert only. No Defensive Exact-Play Sample. "&amp;IF(Z343=0,"Confirm concept mapping and review film before treating this as a defensive candidate.","Metrics describe the confirmed concept; "&amp;IF($Z343=0,"",INDEX('DEF_CALL_DECISION_SUPPORT'!$A$1:$U$1496,$Z343,12)))</f>
        <v>Opponent exact-play alert only. No Defensive Exact-Play Sample. Metrics describe the confirmed concept; Track only; not enough sample.</v>
      </c>
      <c r="L343" s="7" t="s">
        <v>428</v>
      </c>
      <c r="Y343" s="2" t="s">
        <v>2638</v>
      </c>
      <c r="Z343" s="2">
        <f>IF($L343="",0,IFERROR(MATCH(LEN($A343)&amp;":"&amp;$A343&amp;"|"&amp;LEN($L343)&amp;":"&amp;$L343&amp;"|",'DEF_CALL_DECISION_SUPPORT'!$U$811:$U$1055,0)+811-1,0))</f>
        <v>947</v>
      </c>
    </row>
    <row r="344" spans="1:26" ht="50" customHeight="1">
      <c r="A344" s="8" t="s">
        <v>85</v>
      </c>
      <c r="B344" s="8" t="s">
        <v>816</v>
      </c>
      <c r="C344" s="8" t="str">
        <f>IF($Z344=0,"Film Review Required",INDEX('DEF_CALL_DECISION_SUPPORT'!$A$1:$U$1496,$Z344,2))</f>
        <v>Film Review Required</v>
      </c>
      <c r="D344" s="12">
        <f>IF($Z344=0,"",INDEX('DEF_CALL_DECISION_SUPPORT'!$A$1:$U$1496,$Z344,3))</f>
        <v/>
      </c>
      <c r="E344" s="10">
        <f>IF($Z344=0,"",INDEX('DEF_CALL_DECISION_SUPPORT'!$A$1:$U$1496,$Z344,4))</f>
        <v/>
      </c>
      <c r="F344" s="10">
        <f>IF($Z344=0,"",INDEX('DEF_CALL_DECISION_SUPPORT'!$A$1:$U$1496,$Z344,5))</f>
        <v/>
      </c>
      <c r="G344" s="11">
        <f>IF($Z344=0,"",INDEX('DEF_CALL_DECISION_SUPPORT'!$A$1:$U$1496,$Z344,6))</f>
        <v/>
      </c>
      <c r="H344" s="11">
        <f>IF($Z344=0,"",INDEX('DEF_CALL_DECISION_SUPPORT'!$A$1:$U$1496,$Z344,10))</f>
        <v/>
      </c>
      <c r="I344" s="14">
        <f>IF($Z344=0,"",INDEX('DEF_CALL_DECISION_SUPPORT'!$A$1:$U$1496,$Z344,9))</f>
        <v/>
      </c>
      <c r="J344" s="14" t="str">
        <f>IF(Z344=0,"Film Review Required",IF(D344&lt;4,"Sample Watch • ","")&amp;"D&amp;D + Concept Match • Concept Proxy")</f>
        <v>Film Review Required</v>
      </c>
      <c r="K344" s="9" t="str">
        <f>"Opponent exact-play alert only. No Defensive Exact-Play Sample. "&amp;IF(Z344=0,"Confirm concept mapping and review film before treating this as a defensive candidate.","Metrics describe the confirmed concept; "&amp;IF($Z344=0,"",INDEX('DEF_CALL_DECISION_SUPPORT'!$A$1:$U$1496,$Z344,12)))</f>
        <v>Opponent exact-play alert only. No Defensive Exact-Play Sample. Confirm concept mapping and review film before treating this as a defensive candidate.</v>
      </c>
      <c r="L344" s="7"/>
      <c r="Y344" s="2" t="s">
        <v>2639</v>
      </c>
      <c r="Z344" s="2">
        <f>IF($L344="",0,IFERROR(MATCH(LEN($A344)&amp;":"&amp;$A344&amp;"|"&amp;LEN($L344)&amp;":"&amp;$L344&amp;"|",'DEF_CALL_DECISION_SUPPORT'!$U$811:$U$1055,0)+811-1,0))</f>
        <v>0</v>
      </c>
    </row>
    <row r="345" spans="1:26" ht="50" customHeight="1">
      <c r="A345" s="8" t="s">
        <v>85</v>
      </c>
      <c r="B345" s="8" t="s">
        <v>1422</v>
      </c>
      <c r="C345" s="8" t="str">
        <f>IF($Z345=0,"Film Review Required",INDEX('DEF_CALL_DECISION_SUPPORT'!$A$1:$U$1496,$Z345,2))</f>
        <v>Film Review Required</v>
      </c>
      <c r="D345" s="12">
        <f>IF($Z345=0,"",INDEX('DEF_CALL_DECISION_SUPPORT'!$A$1:$U$1496,$Z345,3))</f>
        <v/>
      </c>
      <c r="E345" s="10">
        <f>IF($Z345=0,"",INDEX('DEF_CALL_DECISION_SUPPORT'!$A$1:$U$1496,$Z345,4))</f>
        <v/>
      </c>
      <c r="F345" s="10">
        <f>IF($Z345=0,"",INDEX('DEF_CALL_DECISION_SUPPORT'!$A$1:$U$1496,$Z345,5))</f>
        <v/>
      </c>
      <c r="G345" s="11">
        <f>IF($Z345=0,"",INDEX('DEF_CALL_DECISION_SUPPORT'!$A$1:$U$1496,$Z345,6))</f>
        <v/>
      </c>
      <c r="H345" s="11">
        <f>IF($Z345=0,"",INDEX('DEF_CALL_DECISION_SUPPORT'!$A$1:$U$1496,$Z345,10))</f>
        <v/>
      </c>
      <c r="I345" s="14">
        <f>IF($Z345=0,"",INDEX('DEF_CALL_DECISION_SUPPORT'!$A$1:$U$1496,$Z345,9))</f>
        <v/>
      </c>
      <c r="J345" s="14" t="str">
        <f>IF(Z345=0,"Film Review Required",IF(D345&lt;4,"Sample Watch • ","")&amp;"D&amp;D + Concept Match • Concept Proxy")</f>
        <v>Film Review Required</v>
      </c>
      <c r="K345" s="9" t="str">
        <f>"Opponent exact-play alert only. No Defensive Exact-Play Sample. "&amp;IF(Z345=0,"Confirm concept mapping and review film before treating this as a defensive candidate.","Metrics describe the confirmed concept; "&amp;IF($Z345=0,"",INDEX('DEF_CALL_DECISION_SUPPORT'!$A$1:$U$1496,$Z345,12)))</f>
        <v>Opponent exact-play alert only. No Defensive Exact-Play Sample. Confirm concept mapping and review film before treating this as a defensive candidate.</v>
      </c>
      <c r="L345" s="7" t="s">
        <v>574</v>
      </c>
      <c r="Y345" s="2" t="s">
        <v>2640</v>
      </c>
      <c r="Z345" s="2">
        <f>IF($L345="",0,IFERROR(MATCH(LEN($A345)&amp;":"&amp;$A345&amp;"|"&amp;LEN($L345)&amp;":"&amp;$L345&amp;"|",'DEF_CALL_DECISION_SUPPORT'!$U$811:$U$1055,0)+811-1,0))</f>
        <v>0</v>
      </c>
    </row>
    <row r="346" spans="1:26" ht="50" customHeight="1">
      <c r="A346" s="8" t="s">
        <v>92</v>
      </c>
      <c r="B346" s="8" t="s">
        <v>815</v>
      </c>
      <c r="C346" s="8" t="str">
        <f>IF($Z346=0,"Film Review Required",INDEX('DEF_CALL_DECISION_SUPPORT'!$A$1:$U$1496,$Z346,2))</f>
        <v>Film Review Required</v>
      </c>
      <c r="D346" s="12">
        <f>IF($Z346=0,"",INDEX('DEF_CALL_DECISION_SUPPORT'!$A$1:$U$1496,$Z346,3))</f>
        <v/>
      </c>
      <c r="E346" s="10">
        <f>IF($Z346=0,"",INDEX('DEF_CALL_DECISION_SUPPORT'!$A$1:$U$1496,$Z346,4))</f>
        <v/>
      </c>
      <c r="F346" s="10">
        <f>IF($Z346=0,"",INDEX('DEF_CALL_DECISION_SUPPORT'!$A$1:$U$1496,$Z346,5))</f>
        <v/>
      </c>
      <c r="G346" s="11">
        <f>IF($Z346=0,"",INDEX('DEF_CALL_DECISION_SUPPORT'!$A$1:$U$1496,$Z346,6))</f>
        <v/>
      </c>
      <c r="H346" s="11">
        <f>IF($Z346=0,"",INDEX('DEF_CALL_DECISION_SUPPORT'!$A$1:$U$1496,$Z346,10))</f>
        <v/>
      </c>
      <c r="I346" s="14">
        <f>IF($Z346=0,"",INDEX('DEF_CALL_DECISION_SUPPORT'!$A$1:$U$1496,$Z346,9))</f>
        <v/>
      </c>
      <c r="J346" s="14" t="str">
        <f>IF(Z346=0,"Film Review Required",IF(D346&lt;4,"Sample Watch • ","")&amp;"D&amp;D + Concept Match • Concept Proxy")</f>
        <v>Film Review Required</v>
      </c>
      <c r="K346" s="9" t="str">
        <f>"Opponent exact-play alert only. No Defensive Exact-Play Sample. "&amp;IF(Z346=0,"Confirm concept mapping and review film before treating this as a defensive candidate.","Metrics describe the confirmed concept; "&amp;IF($Z346=0,"",INDEX('DEF_CALL_DECISION_SUPPORT'!$A$1:$U$1496,$Z346,12)))</f>
        <v>Opponent exact-play alert only. No Defensive Exact-Play Sample. Confirm concept mapping and review film before treating this as a defensive candidate.</v>
      </c>
      <c r="L346" s="7" t="s">
        <v>465</v>
      </c>
      <c r="Y346" s="2" t="s">
        <v>2641</v>
      </c>
      <c r="Z346" s="2">
        <f>IF($L346="",0,IFERROR(MATCH(LEN($A346)&amp;":"&amp;$A346&amp;"|"&amp;LEN($L346)&amp;":"&amp;$L346&amp;"|",'DEF_CALL_DECISION_SUPPORT'!$U$811:$U$1055,0)+811-1,0))</f>
        <v>0</v>
      </c>
    </row>
    <row r="347" spans="1:26" ht="50" customHeight="1">
      <c r="A347" s="8" t="s">
        <v>92</v>
      </c>
      <c r="B347" s="8" t="s">
        <v>1451</v>
      </c>
      <c r="C347" s="8" t="str">
        <f>IF($Z347=0,"Film Review Required",INDEX('DEF_CALL_DECISION_SUPPORT'!$A$1:$U$1496,$Z347,2))</f>
        <v>Film Review Required</v>
      </c>
      <c r="D347" s="12">
        <f>IF($Z347=0,"",INDEX('DEF_CALL_DECISION_SUPPORT'!$A$1:$U$1496,$Z347,3))</f>
        <v/>
      </c>
      <c r="E347" s="10">
        <f>IF($Z347=0,"",INDEX('DEF_CALL_DECISION_SUPPORT'!$A$1:$U$1496,$Z347,4))</f>
        <v/>
      </c>
      <c r="F347" s="10">
        <f>IF($Z347=0,"",INDEX('DEF_CALL_DECISION_SUPPORT'!$A$1:$U$1496,$Z347,5))</f>
        <v/>
      </c>
      <c r="G347" s="11">
        <f>IF($Z347=0,"",INDEX('DEF_CALL_DECISION_SUPPORT'!$A$1:$U$1496,$Z347,6))</f>
        <v/>
      </c>
      <c r="H347" s="11">
        <f>IF($Z347=0,"",INDEX('DEF_CALL_DECISION_SUPPORT'!$A$1:$U$1496,$Z347,10))</f>
        <v/>
      </c>
      <c r="I347" s="14">
        <f>IF($Z347=0,"",INDEX('DEF_CALL_DECISION_SUPPORT'!$A$1:$U$1496,$Z347,9))</f>
        <v/>
      </c>
      <c r="J347" s="14" t="str">
        <f>IF(Z347=0,"Film Review Required",IF(D347&lt;4,"Sample Watch • ","")&amp;"D&amp;D + Concept Match • Concept Proxy")</f>
        <v>Film Review Required</v>
      </c>
      <c r="K347" s="9" t="str">
        <f>"Opponent exact-play alert only. No Defensive Exact-Play Sample. "&amp;IF(Z347=0,"Confirm concept mapping and review film before treating this as a defensive candidate.","Metrics describe the confirmed concept; "&amp;IF($Z347=0,"",INDEX('DEF_CALL_DECISION_SUPPORT'!$A$1:$U$1496,$Z347,12)))</f>
        <v>Opponent exact-play alert only. No Defensive Exact-Play Sample. Confirm concept mapping and review film before treating this as a defensive candidate.</v>
      </c>
      <c r="L347" s="7" t="s">
        <v>878</v>
      </c>
      <c r="Y347" s="2" t="s">
        <v>2642</v>
      </c>
      <c r="Z347" s="2">
        <f>IF($L347="",0,IFERROR(MATCH(LEN($A347)&amp;":"&amp;$A347&amp;"|"&amp;LEN($L347)&amp;":"&amp;$L347&amp;"|",'DEF_CALL_DECISION_SUPPORT'!$U$811:$U$1055,0)+811-1,0))</f>
        <v>0</v>
      </c>
    </row>
    <row r="348" spans="1:26" ht="50" customHeight="1">
      <c r="A348" s="8" t="s">
        <v>92</v>
      </c>
      <c r="B348" s="8" t="s">
        <v>820</v>
      </c>
      <c r="C348" s="8" t="str">
        <f>IF($Z348=0,"Film Review Required",INDEX('DEF_CALL_DECISION_SUPPORT'!$A$1:$U$1496,$Z348,2))</f>
        <v>Film Review Required</v>
      </c>
      <c r="D348" s="12">
        <f>IF($Z348=0,"",INDEX('DEF_CALL_DECISION_SUPPORT'!$A$1:$U$1496,$Z348,3))</f>
        <v/>
      </c>
      <c r="E348" s="10">
        <f>IF($Z348=0,"",INDEX('DEF_CALL_DECISION_SUPPORT'!$A$1:$U$1496,$Z348,4))</f>
        <v/>
      </c>
      <c r="F348" s="10">
        <f>IF($Z348=0,"",INDEX('DEF_CALL_DECISION_SUPPORT'!$A$1:$U$1496,$Z348,5))</f>
        <v/>
      </c>
      <c r="G348" s="11">
        <f>IF($Z348=0,"",INDEX('DEF_CALL_DECISION_SUPPORT'!$A$1:$U$1496,$Z348,6))</f>
        <v/>
      </c>
      <c r="H348" s="11">
        <f>IF($Z348=0,"",INDEX('DEF_CALL_DECISION_SUPPORT'!$A$1:$U$1496,$Z348,10))</f>
        <v/>
      </c>
      <c r="I348" s="14">
        <f>IF($Z348=0,"",INDEX('DEF_CALL_DECISION_SUPPORT'!$A$1:$U$1496,$Z348,9))</f>
        <v/>
      </c>
      <c r="J348" s="14" t="str">
        <f>IF(Z348=0,"Film Review Required",IF(D348&lt;4,"Sample Watch • ","")&amp;"D&amp;D + Concept Match • Concept Proxy")</f>
        <v>Film Review Required</v>
      </c>
      <c r="K348" s="9" t="str">
        <f>"Opponent exact-play alert only. No Defensive Exact-Play Sample. "&amp;IF(Z348=0,"Confirm concept mapping and review film before treating this as a defensive candidate.","Metrics describe the confirmed concept; "&amp;IF($Z348=0,"",INDEX('DEF_CALL_DECISION_SUPPORT'!$A$1:$U$1496,$Z348,12)))</f>
        <v>Opponent exact-play alert only. No Defensive Exact-Play Sample. Confirm concept mapping and review film before treating this as a defensive candidate.</v>
      </c>
      <c r="L348" s="7"/>
      <c r="Y348" s="2" t="s">
        <v>2643</v>
      </c>
      <c r="Z348" s="2">
        <f>IF($L348="",0,IFERROR(MATCH(LEN($A348)&amp;":"&amp;$A348&amp;"|"&amp;LEN($L348)&amp;":"&amp;$L348&amp;"|",'DEF_CALL_DECISION_SUPPORT'!$U$811:$U$1055,0)+811-1,0))</f>
        <v>0</v>
      </c>
    </row>
    <row r="349" spans="1:26" ht="50" customHeight="1">
      <c r="A349" s="8" t="s">
        <v>92</v>
      </c>
      <c r="B349" s="8" t="s">
        <v>1662</v>
      </c>
      <c r="C349" s="8" t="str">
        <f>IF($Z349=0,"Film Review Required",INDEX('DEF_CALL_DECISION_SUPPORT'!$A$1:$U$1496,$Z349,2))</f>
        <v>$ BANJO POP POP</v>
      </c>
      <c r="D349" s="12">
        <f>IF($Z349=0,"",INDEX('DEF_CALL_DECISION_SUPPORT'!$A$1:$U$1496,$Z349,3))</f>
        <v>1</v>
      </c>
      <c r="E349" s="10">
        <f>IF($Z349=0,"",INDEX('DEF_CALL_DECISION_SUPPORT'!$A$1:$U$1496,$Z349,4))</f>
        <v>1.0</v>
      </c>
      <c r="F349" s="10">
        <f>IF($Z349=0,"",INDEX('DEF_CALL_DECISION_SUPPORT'!$A$1:$U$1496,$Z349,5))</f>
        <v>0.0</v>
      </c>
      <c r="G349" s="11">
        <f>IF($Z349=0,"",INDEX('DEF_CALL_DECISION_SUPPORT'!$A$1:$U$1496,$Z349,6))</f>
        <v>0.0</v>
      </c>
      <c r="H349" s="11">
        <f>IF($Z349=0,"",INDEX('DEF_CALL_DECISION_SUPPORT'!$A$1:$U$1496,$Z349,10))</f>
        <v>100.0</v>
      </c>
      <c r="I349" s="14" t="str">
        <f>IF($Z349=0,"",INDEX('DEF_CALL_DECISION_SUPPORT'!$A$1:$U$1496,$Z349,9))</f>
        <v>TRACK</v>
      </c>
      <c r="J349" s="14" t="str">
        <f>IF(Z349=0,"Film Review Required",IF(D349&lt;4,"Sample Watch • ","")&amp;"D&amp;D + Concept Match • Concept Proxy")</f>
        <v>Sample Watch • D&amp;D + Concept Match • Concept Proxy</v>
      </c>
      <c r="K349" s="9" t="str">
        <f>"Opponent exact-play alert only. No Defensive Exact-Play Sample. "&amp;IF(Z349=0,"Confirm concept mapping and review film before treating this as a defensive candidate.","Metrics describe the confirmed concept; "&amp;IF($Z349=0,"",INDEX('DEF_CALL_DECISION_SUPPORT'!$A$1:$U$1496,$Z349,12)))</f>
        <v>Opponent exact-play alert only. No Defensive Exact-Play Sample. Metrics describe the confirmed concept; Track only; not enough sample.</v>
      </c>
      <c r="L349" s="7" t="s">
        <v>449</v>
      </c>
      <c r="Y349" s="2" t="s">
        <v>2644</v>
      </c>
      <c r="Z349" s="2">
        <f>IF($L349="",0,IFERROR(MATCH(LEN($A349)&amp;":"&amp;$A349&amp;"|"&amp;LEN($L349)&amp;":"&amp;$L349&amp;"|",'DEF_CALL_DECISION_SUPPORT'!$U$811:$U$1055,0)+811-1,0))</f>
        <v>964</v>
      </c>
    </row>
    <row r="350" spans="1:26" ht="50" customHeight="1">
      <c r="A350" s="8" t="s">
        <v>92</v>
      </c>
      <c r="B350" s="8" t="s">
        <v>1650</v>
      </c>
      <c r="C350" s="8" t="str">
        <f>IF($Z350=0,"Film Review Required",INDEX('DEF_CALL_DECISION_SUPPORT'!$A$1:$U$1496,$Z350,2))</f>
        <v>Film Review Required</v>
      </c>
      <c r="D350" s="12">
        <f>IF($Z350=0,"",INDEX('DEF_CALL_DECISION_SUPPORT'!$A$1:$U$1496,$Z350,3))</f>
        <v/>
      </c>
      <c r="E350" s="10">
        <f>IF($Z350=0,"",INDEX('DEF_CALL_DECISION_SUPPORT'!$A$1:$U$1496,$Z350,4))</f>
        <v/>
      </c>
      <c r="F350" s="10">
        <f>IF($Z350=0,"",INDEX('DEF_CALL_DECISION_SUPPORT'!$A$1:$U$1496,$Z350,5))</f>
        <v/>
      </c>
      <c r="G350" s="11">
        <f>IF($Z350=0,"",INDEX('DEF_CALL_DECISION_SUPPORT'!$A$1:$U$1496,$Z350,6))</f>
        <v/>
      </c>
      <c r="H350" s="11">
        <f>IF($Z350=0,"",INDEX('DEF_CALL_DECISION_SUPPORT'!$A$1:$U$1496,$Z350,10))</f>
        <v/>
      </c>
      <c r="I350" s="14">
        <f>IF($Z350=0,"",INDEX('DEF_CALL_DECISION_SUPPORT'!$A$1:$U$1496,$Z350,9))</f>
        <v/>
      </c>
      <c r="J350" s="14" t="str">
        <f>IF(Z350=0,"Film Review Required",IF(D350&lt;4,"Sample Watch • ","")&amp;"D&amp;D + Concept Match • Concept Proxy")</f>
        <v>Film Review Required</v>
      </c>
      <c r="K350" s="9" t="str">
        <f>"Opponent exact-play alert only. No Defensive Exact-Play Sample. "&amp;IF(Z350=0,"Confirm concept mapping and review film before treating this as a defensive candidate.","Metrics describe the confirmed concept; "&amp;IF($Z350=0,"",INDEX('DEF_CALL_DECISION_SUPPORT'!$A$1:$U$1496,$Z350,12)))</f>
        <v>Opponent exact-play alert only. No Defensive Exact-Play Sample. Confirm concept mapping and review film before treating this as a defensive candidate.</v>
      </c>
      <c r="L350" s="7" t="s">
        <v>474</v>
      </c>
      <c r="Y350" s="2" t="s">
        <v>2645</v>
      </c>
      <c r="Z350" s="2">
        <f>IF($L350="",0,IFERROR(MATCH(LEN($A350)&amp;":"&amp;$A350&amp;"|"&amp;LEN($L350)&amp;":"&amp;$L350&amp;"|",'DEF_CALL_DECISION_SUPPORT'!$U$811:$U$1055,0)+811-1,0))</f>
        <v>0</v>
      </c>
    </row>
    <row r="351" spans="1:26" ht="50" customHeight="1">
      <c r="A351" s="8" t="s">
        <v>92</v>
      </c>
      <c r="B351" s="8" t="s">
        <v>824</v>
      </c>
      <c r="C351" s="8" t="str">
        <f>IF($Z351=0,"Film Review Required",INDEX('DEF_CALL_DECISION_SUPPORT'!$A$1:$U$1496,$Z351,2))</f>
        <v>STUD</v>
      </c>
      <c r="D351" s="12">
        <f>IF($Z351=0,"",INDEX('DEF_CALL_DECISION_SUPPORT'!$A$1:$U$1496,$Z351,3))</f>
        <v>1</v>
      </c>
      <c r="E351" s="10">
        <f>IF($Z351=0,"",INDEX('DEF_CALL_DECISION_SUPPORT'!$A$1:$U$1496,$Z351,4))</f>
        <v>0.0</v>
      </c>
      <c r="F351" s="10">
        <f>IF($Z351=0,"",INDEX('DEF_CALL_DECISION_SUPPORT'!$A$1:$U$1496,$Z351,5))</f>
        <v>0.0</v>
      </c>
      <c r="G351" s="11">
        <f>IF($Z351=0,"",INDEX('DEF_CALL_DECISION_SUPPORT'!$A$1:$U$1496,$Z351,6))</f>
        <v>1.0</v>
      </c>
      <c r="H351" s="11">
        <f>IF($Z351=0,"",INDEX('DEF_CALL_DECISION_SUPPORT'!$A$1:$U$1496,$Z351,10))</f>
        <v>29.0</v>
      </c>
      <c r="I351" s="14" t="str">
        <f>IF($Z351=0,"",INDEX('DEF_CALL_DECISION_SUPPORT'!$A$1:$U$1496,$Z351,9))</f>
        <v>TRACK</v>
      </c>
      <c r="J351" s="14" t="str">
        <f>IF(Z351=0,"Film Review Required",IF(D351&lt;4,"Sample Watch • ","")&amp;"D&amp;D + Concept Match • Concept Proxy")</f>
        <v>Sample Watch • D&amp;D + Concept Match • Concept Proxy</v>
      </c>
      <c r="K351" s="9" t="str">
        <f>"Opponent exact-play alert only. No Defensive Exact-Play Sample. "&amp;IF(Z351=0,"Confirm concept mapping and review film before treating this as a defensive candidate.","Metrics describe the confirmed concept; "&amp;IF($Z351=0,"",INDEX('DEF_CALL_DECISION_SUPPORT'!$A$1:$U$1496,$Z351,12)))</f>
        <v>Opponent exact-play alert only. No Defensive Exact-Play Sample. Metrics describe the confirmed concept; Track only; not enough sample.</v>
      </c>
      <c r="L351" s="7" t="s">
        <v>428</v>
      </c>
      <c r="Y351" s="2" t="s">
        <v>2646</v>
      </c>
      <c r="Z351" s="2">
        <f>IF($L351="",0,IFERROR(MATCH(LEN($A351)&amp;":"&amp;$A351&amp;"|"&amp;LEN($L351)&amp;":"&amp;$L351&amp;"|",'DEF_CALL_DECISION_SUPPORT'!$U$811:$U$1055,0)+811-1,0))</f>
        <v>969</v>
      </c>
    </row>
    <row r="352" spans="1:26" ht="50" customHeight="1">
      <c r="A352" s="8" t="s">
        <v>96</v>
      </c>
      <c r="B352" s="8" t="s">
        <v>1439</v>
      </c>
      <c r="C352" s="8" t="str">
        <f>IF($Z352=0,"Film Review Required",INDEX('DEF_CALL_DECISION_SUPPORT'!$A$1:$U$1496,$Z352,2))</f>
        <v>Film Review Required</v>
      </c>
      <c r="D352" s="12">
        <f>IF($Z352=0,"",INDEX('DEF_CALL_DECISION_SUPPORT'!$A$1:$U$1496,$Z352,3))</f>
        <v/>
      </c>
      <c r="E352" s="10">
        <f>IF($Z352=0,"",INDEX('DEF_CALL_DECISION_SUPPORT'!$A$1:$U$1496,$Z352,4))</f>
        <v/>
      </c>
      <c r="F352" s="10">
        <f>IF($Z352=0,"",INDEX('DEF_CALL_DECISION_SUPPORT'!$A$1:$U$1496,$Z352,5))</f>
        <v/>
      </c>
      <c r="G352" s="11">
        <f>IF($Z352=0,"",INDEX('DEF_CALL_DECISION_SUPPORT'!$A$1:$U$1496,$Z352,6))</f>
        <v/>
      </c>
      <c r="H352" s="11">
        <f>IF($Z352=0,"",INDEX('DEF_CALL_DECISION_SUPPORT'!$A$1:$U$1496,$Z352,10))</f>
        <v/>
      </c>
      <c r="I352" s="14">
        <f>IF($Z352=0,"",INDEX('DEF_CALL_DECISION_SUPPORT'!$A$1:$U$1496,$Z352,9))</f>
        <v/>
      </c>
      <c r="J352" s="14" t="str">
        <f>IF(Z352=0,"Film Review Required",IF(D352&lt;4,"Sample Watch • ","")&amp;"D&amp;D + Concept Match • Concept Proxy")</f>
        <v>Film Review Required</v>
      </c>
      <c r="K352" s="9" t="str">
        <f>"Opponent exact-play alert only. No Defensive Exact-Play Sample. "&amp;IF(Z352=0,"Confirm concept mapping and review film before treating this as a defensive candidate.","Metrics describe the confirmed concept; "&amp;IF($Z352=0,"",INDEX('DEF_CALL_DECISION_SUPPORT'!$A$1:$U$1496,$Z352,12)))</f>
        <v>Opponent exact-play alert only. No Defensive Exact-Play Sample. Confirm concept mapping and review film before treating this as a defensive candidate.</v>
      </c>
      <c r="L352" s="7" t="s">
        <v>465</v>
      </c>
      <c r="Y352" s="2" t="s">
        <v>2647</v>
      </c>
      <c r="Z352" s="2">
        <f>IF($L352="",0,IFERROR(MATCH(LEN($A352)&amp;":"&amp;$A352&amp;"|"&amp;LEN($L352)&amp;":"&amp;$L352&amp;"|",'DEF_CALL_DECISION_SUPPORT'!$U$811:$U$1055,0)+811-1,0))</f>
        <v>0</v>
      </c>
    </row>
    <row r="353" spans="1:26" ht="50" customHeight="1">
      <c r="A353" s="8" t="s">
        <v>96</v>
      </c>
      <c r="B353" s="8" t="s">
        <v>815</v>
      </c>
      <c r="C353" s="8" t="str">
        <f>IF($Z353=0,"Film Review Required",INDEX('DEF_CALL_DECISION_SUPPORT'!$A$1:$U$1496,$Z353,2))</f>
        <v>Film Review Required</v>
      </c>
      <c r="D353" s="12">
        <f>IF($Z353=0,"",INDEX('DEF_CALL_DECISION_SUPPORT'!$A$1:$U$1496,$Z353,3))</f>
        <v/>
      </c>
      <c r="E353" s="10">
        <f>IF($Z353=0,"",INDEX('DEF_CALL_DECISION_SUPPORT'!$A$1:$U$1496,$Z353,4))</f>
        <v/>
      </c>
      <c r="F353" s="10">
        <f>IF($Z353=0,"",INDEX('DEF_CALL_DECISION_SUPPORT'!$A$1:$U$1496,$Z353,5))</f>
        <v/>
      </c>
      <c r="G353" s="11">
        <f>IF($Z353=0,"",INDEX('DEF_CALL_DECISION_SUPPORT'!$A$1:$U$1496,$Z353,6))</f>
        <v/>
      </c>
      <c r="H353" s="11">
        <f>IF($Z353=0,"",INDEX('DEF_CALL_DECISION_SUPPORT'!$A$1:$U$1496,$Z353,10))</f>
        <v/>
      </c>
      <c r="I353" s="14">
        <f>IF($Z353=0,"",INDEX('DEF_CALL_DECISION_SUPPORT'!$A$1:$U$1496,$Z353,9))</f>
        <v/>
      </c>
      <c r="J353" s="14" t="str">
        <f>IF(Z353=0,"Film Review Required",IF(D353&lt;4,"Sample Watch • ","")&amp;"D&amp;D + Concept Match • Concept Proxy")</f>
        <v>Film Review Required</v>
      </c>
      <c r="K353" s="9" t="str">
        <f>"Opponent exact-play alert only. No Defensive Exact-Play Sample. "&amp;IF(Z353=0,"Confirm concept mapping and review film before treating this as a defensive candidate.","Metrics describe the confirmed concept; "&amp;IF($Z353=0,"",INDEX('DEF_CALL_DECISION_SUPPORT'!$A$1:$U$1496,$Z353,12)))</f>
        <v>Opponent exact-play alert only. No Defensive Exact-Play Sample. Confirm concept mapping and review film before treating this as a defensive candidate.</v>
      </c>
      <c r="L353" s="7" t="s">
        <v>465</v>
      </c>
      <c r="Y353" s="2" t="s">
        <v>2648</v>
      </c>
      <c r="Z353" s="2">
        <f>IF($L353="",0,IFERROR(MATCH(LEN($A353)&amp;":"&amp;$A353&amp;"|"&amp;LEN($L353)&amp;":"&amp;$L353&amp;"|",'DEF_CALL_DECISION_SUPPORT'!$U$811:$U$1055,0)+811-1,0))</f>
        <v>0</v>
      </c>
    </row>
    <row r="354" spans="1:26" ht="50" customHeight="1">
      <c r="A354" s="8" t="s">
        <v>96</v>
      </c>
      <c r="B354" s="8" t="s">
        <v>819</v>
      </c>
      <c r="C354" s="8" t="str">
        <f>IF($Z354=0,"Film Review Required",INDEX('DEF_CALL_DECISION_SUPPORT'!$A$1:$U$1496,$Z354,2))</f>
        <v>GAMES</v>
      </c>
      <c r="D354" s="12">
        <f>IF($Z354=0,"",INDEX('DEF_CALL_DECISION_SUPPORT'!$A$1:$U$1496,$Z354,3))</f>
        <v>1</v>
      </c>
      <c r="E354" s="10">
        <f>IF($Z354=0,"",INDEX('DEF_CALL_DECISION_SUPPORT'!$A$1:$U$1496,$Z354,4))</f>
        <v>1.0</v>
      </c>
      <c r="F354" s="10">
        <f>IF($Z354=0,"",INDEX('DEF_CALL_DECISION_SUPPORT'!$A$1:$U$1496,$Z354,5))</f>
        <v>0.0</v>
      </c>
      <c r="G354" s="11">
        <f>IF($Z354=0,"",INDEX('DEF_CALL_DECISION_SUPPORT'!$A$1:$U$1496,$Z354,6))</f>
        <v>4.0</v>
      </c>
      <c r="H354" s="11">
        <f>IF($Z354=0,"",INDEX('DEF_CALL_DECISION_SUPPORT'!$A$1:$U$1496,$Z354,10))</f>
        <v>96.0</v>
      </c>
      <c r="I354" s="14" t="str">
        <f>IF($Z354=0,"",INDEX('DEF_CALL_DECISION_SUPPORT'!$A$1:$U$1496,$Z354,9))</f>
        <v>TRACK</v>
      </c>
      <c r="J354" s="14" t="str">
        <f>IF(Z354=0,"Film Review Required",IF(D354&lt;4,"Sample Watch • ","")&amp;"D&amp;D + Concept Match • Concept Proxy")</f>
        <v>Sample Watch • D&amp;D + Concept Match • Concept Proxy</v>
      </c>
      <c r="K354" s="9" t="str">
        <f>"Opponent exact-play alert only. No Defensive Exact-Play Sample. "&amp;IF(Z354=0,"Confirm concept mapping and review film before treating this as a defensive candidate.","Metrics describe the confirmed concept; "&amp;IF($Z354=0,"",INDEX('DEF_CALL_DECISION_SUPPORT'!$A$1:$U$1496,$Z354,12)))</f>
        <v>Opponent exact-play alert only. No Defensive Exact-Play Sample. Metrics describe the confirmed concept; Track only; not enough sample.</v>
      </c>
      <c r="L354" s="7" t="s">
        <v>474</v>
      </c>
      <c r="Y354" s="2" t="s">
        <v>2649</v>
      </c>
      <c r="Z354" s="2">
        <f>IF($L354="",0,IFERROR(MATCH(LEN($A354)&amp;":"&amp;$A354&amp;"|"&amp;LEN($L354)&amp;":"&amp;$L354&amp;"|",'DEF_CALL_DECISION_SUPPORT'!$U$811:$U$1055,0)+811-1,0))</f>
        <v>978</v>
      </c>
    </row>
    <row r="355" spans="1:26" ht="50" customHeight="1">
      <c r="A355" s="8" t="s">
        <v>96</v>
      </c>
      <c r="B355" s="8" t="s">
        <v>1645</v>
      </c>
      <c r="C355" s="8" t="str">
        <f>IF($Z355=0,"Film Review Required",INDEX('DEF_CALL_DECISION_SUPPORT'!$A$1:$U$1496,$Z355,2))</f>
        <v>SMOKE BUC</v>
      </c>
      <c r="D355" s="12">
        <f>IF($Z355=0,"",INDEX('DEF_CALL_DECISION_SUPPORT'!$A$1:$U$1496,$Z355,3))</f>
        <v>4</v>
      </c>
      <c r="E355" s="10">
        <f>IF($Z355=0,"",INDEX('DEF_CALL_DECISION_SUPPORT'!$A$1:$U$1496,$Z355,4))</f>
        <v>0.5</v>
      </c>
      <c r="F355" s="10">
        <f>IF($Z355=0,"",INDEX('DEF_CALL_DECISION_SUPPORT'!$A$1:$U$1496,$Z355,5))</f>
        <v>0.25</v>
      </c>
      <c r="G355" s="11">
        <f>IF($Z355=0,"",INDEX('DEF_CALL_DECISION_SUPPORT'!$A$1:$U$1496,$Z355,6))</f>
        <v>16.0</v>
      </c>
      <c r="H355" s="11">
        <f>IF($Z355=0,"",INDEX('DEF_CALL_DECISION_SUPPORT'!$A$1:$U$1496,$Z355,10))</f>
        <v>50.0</v>
      </c>
      <c r="I355" s="14" t="str">
        <f>IF($Z355=0,"",INDEX('DEF_CALL_DECISION_SUPPORT'!$A$1:$U$1496,$Z355,9))</f>
        <v>MEDIUM</v>
      </c>
      <c r="J355" s="14" t="str">
        <f>IF(Z355=0,"Film Review Required",IF(D355&lt;4,"Sample Watch • ","")&amp;"D&amp;D + Concept Match • Concept Proxy")</f>
        <v>D&amp;D + Concept Match • Concept Proxy</v>
      </c>
      <c r="K355" s="9" t="str">
        <f>"Opponent exact-play alert only. No Defensive Exact-Play Sample. "&amp;IF(Z355=0,"Confirm concept mapping and review film before treating this as a defensive candidate.","Metrics describe the confirmed concept; "&amp;IF($Z355=0,"",INDEX('DEF_CALL_DECISION_SUPPORT'!$A$1:$U$1496,$Z355,12)))</f>
        <v>Opponent exact-play alert only. No Defensive Exact-Play Sample. Metrics describe the confirmed concept; Explosive risk; review clips before using as answer.</v>
      </c>
      <c r="L355" s="7" t="s">
        <v>449</v>
      </c>
      <c r="Y355" s="2" t="s">
        <v>2650</v>
      </c>
      <c r="Z355" s="2">
        <f>IF($L355="",0,IFERROR(MATCH(LEN($A355)&amp;":"&amp;$A355&amp;"|"&amp;LEN($L355)&amp;":"&amp;$L355&amp;"|",'DEF_CALL_DECISION_SUPPORT'!$U$811:$U$1055,0)+811-1,0))</f>
        <v>975</v>
      </c>
    </row>
    <row r="356" spans="1:26" ht="50" customHeight="1">
      <c r="A356" s="8" t="s">
        <v>96</v>
      </c>
      <c r="B356" s="8" t="s">
        <v>823</v>
      </c>
      <c r="C356" s="8" t="str">
        <f>IF($Z356=0,"Film Review Required",INDEX('DEF_CALL_DECISION_SUPPORT'!$A$1:$U$1496,$Z356,2))</f>
        <v>Film Review Required</v>
      </c>
      <c r="D356" s="12">
        <f>IF($Z356=0,"",INDEX('DEF_CALL_DECISION_SUPPORT'!$A$1:$U$1496,$Z356,3))</f>
        <v/>
      </c>
      <c r="E356" s="10">
        <f>IF($Z356=0,"",INDEX('DEF_CALL_DECISION_SUPPORT'!$A$1:$U$1496,$Z356,4))</f>
        <v/>
      </c>
      <c r="F356" s="10">
        <f>IF($Z356=0,"",INDEX('DEF_CALL_DECISION_SUPPORT'!$A$1:$U$1496,$Z356,5))</f>
        <v/>
      </c>
      <c r="G356" s="11">
        <f>IF($Z356=0,"",INDEX('DEF_CALL_DECISION_SUPPORT'!$A$1:$U$1496,$Z356,6))</f>
        <v/>
      </c>
      <c r="H356" s="11">
        <f>IF($Z356=0,"",INDEX('DEF_CALL_DECISION_SUPPORT'!$A$1:$U$1496,$Z356,10))</f>
        <v/>
      </c>
      <c r="I356" s="14">
        <f>IF($Z356=0,"",INDEX('DEF_CALL_DECISION_SUPPORT'!$A$1:$U$1496,$Z356,9))</f>
        <v/>
      </c>
      <c r="J356" s="14" t="str">
        <f>IF(Z356=0,"Film Review Required",IF(D356&lt;4,"Sample Watch • ","")&amp;"D&amp;D + Concept Match • Concept Proxy")</f>
        <v>Film Review Required</v>
      </c>
      <c r="K356" s="9" t="str">
        <f>"Opponent exact-play alert only. No Defensive Exact-Play Sample. "&amp;IF(Z356=0,"Confirm concept mapping and review film before treating this as a defensive candidate.","Metrics describe the confirmed concept; "&amp;IF($Z356=0,"",INDEX('DEF_CALL_DECISION_SUPPORT'!$A$1:$U$1496,$Z356,12)))</f>
        <v>Opponent exact-play alert only. No Defensive Exact-Play Sample. Confirm concept mapping and review film before treating this as a defensive candidate.</v>
      </c>
      <c r="L356" s="7" t="s">
        <v>428</v>
      </c>
      <c r="Y356" s="2" t="s">
        <v>2651</v>
      </c>
      <c r="Z356" s="2">
        <f>IF($L356="",0,IFERROR(MATCH(LEN($A356)&amp;":"&amp;$A356&amp;"|"&amp;LEN($L356)&amp;":"&amp;$L356&amp;"|",'DEF_CALL_DECISION_SUPPORT'!$U$811:$U$1055,0)+811-1,0))</f>
        <v>0</v>
      </c>
    </row>
    <row r="357" spans="1:26" ht="50" customHeight="1">
      <c r="A357" s="8" t="s">
        <v>96</v>
      </c>
      <c r="B357" s="8" t="s">
        <v>816</v>
      </c>
      <c r="C357" s="8" t="str">
        <f>IF($Z357=0,"Film Review Required",INDEX('DEF_CALL_DECISION_SUPPORT'!$A$1:$U$1496,$Z357,2))</f>
        <v>Film Review Required</v>
      </c>
      <c r="D357" s="12">
        <f>IF($Z357=0,"",INDEX('DEF_CALL_DECISION_SUPPORT'!$A$1:$U$1496,$Z357,3))</f>
        <v/>
      </c>
      <c r="E357" s="10">
        <f>IF($Z357=0,"",INDEX('DEF_CALL_DECISION_SUPPORT'!$A$1:$U$1496,$Z357,4))</f>
        <v/>
      </c>
      <c r="F357" s="10">
        <f>IF($Z357=0,"",INDEX('DEF_CALL_DECISION_SUPPORT'!$A$1:$U$1496,$Z357,5))</f>
        <v/>
      </c>
      <c r="G357" s="11">
        <f>IF($Z357=0,"",INDEX('DEF_CALL_DECISION_SUPPORT'!$A$1:$U$1496,$Z357,6))</f>
        <v/>
      </c>
      <c r="H357" s="11">
        <f>IF($Z357=0,"",INDEX('DEF_CALL_DECISION_SUPPORT'!$A$1:$U$1496,$Z357,10))</f>
        <v/>
      </c>
      <c r="I357" s="14">
        <f>IF($Z357=0,"",INDEX('DEF_CALL_DECISION_SUPPORT'!$A$1:$U$1496,$Z357,9))</f>
        <v/>
      </c>
      <c r="J357" s="14" t="str">
        <f>IF(Z357=0,"Film Review Required",IF(D357&lt;4,"Sample Watch • ","")&amp;"D&amp;D + Concept Match • Concept Proxy")</f>
        <v>Film Review Required</v>
      </c>
      <c r="K357" s="9" t="str">
        <f>"Opponent exact-play alert only. No Defensive Exact-Play Sample. "&amp;IF(Z357=0,"Confirm concept mapping and review film before treating this as a defensive candidate.","Metrics describe the confirmed concept; "&amp;IF($Z357=0,"",INDEX('DEF_CALL_DECISION_SUPPORT'!$A$1:$U$1496,$Z357,12)))</f>
        <v>Opponent exact-play alert only. No Defensive Exact-Play Sample. Confirm concept mapping and review film before treating this as a defensive candidate.</v>
      </c>
      <c r="L357" s="7"/>
      <c r="Y357" s="2" t="s">
        <v>2652</v>
      </c>
      <c r="Z357" s="2">
        <f>IF($L357="",0,IFERROR(MATCH(LEN($A357)&amp;":"&amp;$A357&amp;"|"&amp;LEN($L357)&amp;":"&amp;$L357&amp;"|",'DEF_CALL_DECISION_SUPPORT'!$U$811:$U$1055,0)+811-1,0))</f>
        <v>0</v>
      </c>
    </row>
    <row r="358" spans="1:26" ht="50" customHeight="1">
      <c r="A358" s="8" t="s">
        <v>103</v>
      </c>
      <c r="B358" s="8" t="s">
        <v>1635</v>
      </c>
      <c r="C358" s="8" t="str">
        <f>IF($Z358=0,"Film Review Required",INDEX('DEF_CALL_DECISION_SUPPORT'!$A$1:$U$1496,$Z358,2))</f>
        <v>Film Review Required</v>
      </c>
      <c r="D358" s="12">
        <f>IF($Z358=0,"",INDEX('DEF_CALL_DECISION_SUPPORT'!$A$1:$U$1496,$Z358,3))</f>
        <v/>
      </c>
      <c r="E358" s="10">
        <f>IF($Z358=0,"",INDEX('DEF_CALL_DECISION_SUPPORT'!$A$1:$U$1496,$Z358,4))</f>
        <v/>
      </c>
      <c r="F358" s="10">
        <f>IF($Z358=0,"",INDEX('DEF_CALL_DECISION_SUPPORT'!$A$1:$U$1496,$Z358,5))</f>
        <v/>
      </c>
      <c r="G358" s="11">
        <f>IF($Z358=0,"",INDEX('DEF_CALL_DECISION_SUPPORT'!$A$1:$U$1496,$Z358,6))</f>
        <v/>
      </c>
      <c r="H358" s="11">
        <f>IF($Z358=0,"",INDEX('DEF_CALL_DECISION_SUPPORT'!$A$1:$U$1496,$Z358,10))</f>
        <v/>
      </c>
      <c r="I358" s="14">
        <f>IF($Z358=0,"",INDEX('DEF_CALL_DECISION_SUPPORT'!$A$1:$U$1496,$Z358,9))</f>
        <v/>
      </c>
      <c r="J358" s="14" t="str">
        <f>IF(Z358=0,"Film Review Required",IF(D358&lt;4,"Sample Watch • ","")&amp;"D&amp;D + Concept Match • Concept Proxy")</f>
        <v>Film Review Required</v>
      </c>
      <c r="K358" s="9" t="str">
        <f>"Opponent exact-play alert only. No Defensive Exact-Play Sample. "&amp;IF(Z358=0,"Confirm concept mapping and review film before treating this as a defensive candidate.","Metrics describe the confirmed concept; "&amp;IF($Z358=0,"",INDEX('DEF_CALL_DECISION_SUPPORT'!$A$1:$U$1496,$Z358,12)))</f>
        <v>Opponent exact-play alert only. No Defensive Exact-Play Sample. Confirm concept mapping and review film before treating this as a defensive candidate.</v>
      </c>
      <c r="L358" s="7"/>
      <c r="Y358" s="2" t="s">
        <v>2653</v>
      </c>
      <c r="Z358" s="2">
        <f>IF($L358="",0,IFERROR(MATCH(LEN($A358)&amp;":"&amp;$A358&amp;"|"&amp;LEN($L358)&amp;":"&amp;$L358&amp;"|",'DEF_CALL_DECISION_SUPPORT'!$U$811:$U$1055,0)+811-1,0))</f>
        <v>0</v>
      </c>
    </row>
    <row r="359" spans="1:26" ht="50" customHeight="1">
      <c r="A359" s="8" t="s">
        <v>103</v>
      </c>
      <c r="B359" s="8" t="s">
        <v>49</v>
      </c>
      <c r="C359" s="8" t="str">
        <f>IF($Z359=0,"Film Review Required",INDEX('DEF_CALL_DECISION_SUPPORT'!$A$1:$U$1496,$Z359,2))</f>
        <v>Film Review Required</v>
      </c>
      <c r="D359" s="12">
        <f>IF($Z359=0,"",INDEX('DEF_CALL_DECISION_SUPPORT'!$A$1:$U$1496,$Z359,3))</f>
        <v/>
      </c>
      <c r="E359" s="10">
        <f>IF($Z359=0,"",INDEX('DEF_CALL_DECISION_SUPPORT'!$A$1:$U$1496,$Z359,4))</f>
        <v/>
      </c>
      <c r="F359" s="10">
        <f>IF($Z359=0,"",INDEX('DEF_CALL_DECISION_SUPPORT'!$A$1:$U$1496,$Z359,5))</f>
        <v/>
      </c>
      <c r="G359" s="11">
        <f>IF($Z359=0,"",INDEX('DEF_CALL_DECISION_SUPPORT'!$A$1:$U$1496,$Z359,6))</f>
        <v/>
      </c>
      <c r="H359" s="11">
        <f>IF($Z359=0,"",INDEX('DEF_CALL_DECISION_SUPPORT'!$A$1:$U$1496,$Z359,10))</f>
        <v/>
      </c>
      <c r="I359" s="14">
        <f>IF($Z359=0,"",INDEX('DEF_CALL_DECISION_SUPPORT'!$A$1:$U$1496,$Z359,9))</f>
        <v/>
      </c>
      <c r="J359" s="14" t="str">
        <f>IF(Z359=0,"Film Review Required",IF(D359&lt;4,"Sample Watch • ","")&amp;"D&amp;D + Concept Match • Concept Proxy")</f>
        <v>Film Review Required</v>
      </c>
      <c r="K359" s="9" t="str">
        <f>"Opponent exact-play alert only. No Defensive Exact-Play Sample. "&amp;IF(Z359=0,"Confirm concept mapping and review film before treating this as a defensive candidate.","Metrics describe the confirmed concept; "&amp;IF($Z359=0,"",INDEX('DEF_CALL_DECISION_SUPPORT'!$A$1:$U$1496,$Z359,12)))</f>
        <v>Opponent exact-play alert only. No Defensive Exact-Play Sample. Confirm concept mapping and review film before treating this as a defensive candidate.</v>
      </c>
      <c r="L359" s="7"/>
      <c r="Y359" s="2" t="s">
        <v>2654</v>
      </c>
      <c r="Z359" s="2">
        <f>IF($L359="",0,IFERROR(MATCH(LEN($A359)&amp;":"&amp;$A359&amp;"|"&amp;LEN($L359)&amp;":"&amp;$L359&amp;"|",'DEF_CALL_DECISION_SUPPORT'!$U$811:$U$1055,0)+811-1,0))</f>
        <v>0</v>
      </c>
    </row>
    <row r="360" spans="1:26" ht="50" customHeight="1">
      <c r="A360" s="8" t="s">
        <v>103</v>
      </c>
      <c r="B360" s="8" t="s">
        <v>1619</v>
      </c>
      <c r="C360" s="8" t="str">
        <f>IF($Z360=0,"Film Review Required",INDEX('DEF_CALL_DECISION_SUPPORT'!$A$1:$U$1496,$Z360,2))</f>
        <v>Film Review Required</v>
      </c>
      <c r="D360" s="12">
        <f>IF($Z360=0,"",INDEX('DEF_CALL_DECISION_SUPPORT'!$A$1:$U$1496,$Z360,3))</f>
        <v/>
      </c>
      <c r="E360" s="10">
        <f>IF($Z360=0,"",INDEX('DEF_CALL_DECISION_SUPPORT'!$A$1:$U$1496,$Z360,4))</f>
        <v/>
      </c>
      <c r="F360" s="10">
        <f>IF($Z360=0,"",INDEX('DEF_CALL_DECISION_SUPPORT'!$A$1:$U$1496,$Z360,5))</f>
        <v/>
      </c>
      <c r="G360" s="11">
        <f>IF($Z360=0,"",INDEX('DEF_CALL_DECISION_SUPPORT'!$A$1:$U$1496,$Z360,6))</f>
        <v/>
      </c>
      <c r="H360" s="11">
        <f>IF($Z360=0,"",INDEX('DEF_CALL_DECISION_SUPPORT'!$A$1:$U$1496,$Z360,10))</f>
        <v/>
      </c>
      <c r="I360" s="14">
        <f>IF($Z360=0,"",INDEX('DEF_CALL_DECISION_SUPPORT'!$A$1:$U$1496,$Z360,9))</f>
        <v/>
      </c>
      <c r="J360" s="14" t="str">
        <f>IF(Z360=0,"Film Review Required",IF(D360&lt;4,"Sample Watch • ","")&amp;"D&amp;D + Concept Match • Concept Proxy")</f>
        <v>Film Review Required</v>
      </c>
      <c r="K360" s="9" t="str">
        <f>"Opponent exact-play alert only. No Defensive Exact-Play Sample. "&amp;IF(Z360=0,"Confirm concept mapping and review film before treating this as a defensive candidate.","Metrics describe the confirmed concept; "&amp;IF($Z360=0,"",INDEX('DEF_CALL_DECISION_SUPPORT'!$A$1:$U$1496,$Z360,12)))</f>
        <v>Opponent exact-play alert only. No Defensive Exact-Play Sample. Confirm concept mapping and review film before treating this as a defensive candidate.</v>
      </c>
      <c r="L360" s="7" t="s">
        <v>878</v>
      </c>
      <c r="Y360" s="2" t="s">
        <v>2655</v>
      </c>
      <c r="Z360" s="2">
        <f>IF($L360="",0,IFERROR(MATCH(LEN($A360)&amp;":"&amp;$A360&amp;"|"&amp;LEN($L360)&amp;":"&amp;$L360&amp;"|",'DEF_CALL_DECISION_SUPPORT'!$U$811:$U$1055,0)+811-1,0))</f>
        <v>0</v>
      </c>
    </row>
    <row r="361" spans="1:26" ht="50" customHeight="1">
      <c r="A361" s="8" t="s">
        <v>103</v>
      </c>
      <c r="B361" s="8" t="s">
        <v>1624</v>
      </c>
      <c r="C361" s="8" t="str">
        <f>IF($Z361=0,"Film Review Required",INDEX('DEF_CALL_DECISION_SUPPORT'!$A$1:$U$1496,$Z361,2))</f>
        <v>9 MOW</v>
      </c>
      <c r="D361" s="12">
        <f>IF($Z361=0,"",INDEX('DEF_CALL_DECISION_SUPPORT'!$A$1:$U$1496,$Z361,3))</f>
        <v>2</v>
      </c>
      <c r="E361" s="10">
        <f>IF($Z361=0,"",INDEX('DEF_CALL_DECISION_SUPPORT'!$A$1:$U$1496,$Z361,4))</f>
        <v>1.0</v>
      </c>
      <c r="F361" s="10">
        <f>IF($Z361=0,"",INDEX('DEF_CALL_DECISION_SUPPORT'!$A$1:$U$1496,$Z361,5))</f>
        <v>0.0</v>
      </c>
      <c r="G361" s="11">
        <f>IF($Z361=0,"",INDEX('DEF_CALL_DECISION_SUPPORT'!$A$1:$U$1496,$Z361,6))</f>
        <v>-2.0</v>
      </c>
      <c r="H361" s="11">
        <f>IF($Z361=0,"",INDEX('DEF_CALL_DECISION_SUPPORT'!$A$1:$U$1496,$Z361,10))</f>
        <v>100.0</v>
      </c>
      <c r="I361" s="14" t="str">
        <f>IF($Z361=0,"",INDEX('DEF_CALL_DECISION_SUPPORT'!$A$1:$U$1496,$Z361,9))</f>
        <v>TRACK</v>
      </c>
      <c r="J361" s="14" t="str">
        <f>IF(Z361=0,"Film Review Required",IF(D361&lt;4,"Sample Watch • ","")&amp;"D&amp;D + Concept Match • Concept Proxy")</f>
        <v>Sample Watch • D&amp;D + Concept Match • Concept Proxy</v>
      </c>
      <c r="K361" s="9" t="str">
        <f>"Opponent exact-play alert only. No Defensive Exact-Play Sample. "&amp;IF(Z361=0,"Confirm concept mapping and review film before treating this as a defensive candidate.","Metrics describe the confirmed concept; "&amp;IF($Z361=0,"",INDEX('DEF_CALL_DECISION_SUPPORT'!$A$1:$U$1496,$Z361,12)))</f>
        <v>Opponent exact-play alert only. No Defensive Exact-Play Sample. Metrics describe the confirmed concept; Track only; not enough sample.</v>
      </c>
      <c r="L361" s="7" t="s">
        <v>449</v>
      </c>
      <c r="Y361" s="2" t="s">
        <v>2656</v>
      </c>
      <c r="Z361" s="2">
        <f>IF($L361="",0,IFERROR(MATCH(LEN($A361)&amp;":"&amp;$A361&amp;"|"&amp;LEN($L361)&amp;":"&amp;$L361&amp;"|",'DEF_CALL_DECISION_SUPPORT'!$U$811:$U$1055,0)+811-1,0))</f>
        <v>983</v>
      </c>
    </row>
    <row r="362" spans="1:26" ht="50" customHeight="1">
      <c r="A362" s="8" t="s">
        <v>103</v>
      </c>
      <c r="B362" s="8" t="s">
        <v>1523</v>
      </c>
      <c r="C362" s="8" t="str">
        <f>IF($Z362=0,"Film Review Required",INDEX('DEF_CALL_DECISION_SUPPORT'!$A$1:$U$1496,$Z362,2))</f>
        <v>9 MOW</v>
      </c>
      <c r="D362" s="12">
        <f>IF($Z362=0,"",INDEX('DEF_CALL_DECISION_SUPPORT'!$A$1:$U$1496,$Z362,3))</f>
        <v>2</v>
      </c>
      <c r="E362" s="10">
        <f>IF($Z362=0,"",INDEX('DEF_CALL_DECISION_SUPPORT'!$A$1:$U$1496,$Z362,4))</f>
        <v>1.0</v>
      </c>
      <c r="F362" s="10">
        <f>IF($Z362=0,"",INDEX('DEF_CALL_DECISION_SUPPORT'!$A$1:$U$1496,$Z362,5))</f>
        <v>0.0</v>
      </c>
      <c r="G362" s="11">
        <f>IF($Z362=0,"",INDEX('DEF_CALL_DECISION_SUPPORT'!$A$1:$U$1496,$Z362,6))</f>
        <v>-2.0</v>
      </c>
      <c r="H362" s="11">
        <f>IF($Z362=0,"",INDEX('DEF_CALL_DECISION_SUPPORT'!$A$1:$U$1496,$Z362,10))</f>
        <v>100.0</v>
      </c>
      <c r="I362" s="14" t="str">
        <f>IF($Z362=0,"",INDEX('DEF_CALL_DECISION_SUPPORT'!$A$1:$U$1496,$Z362,9))</f>
        <v>TRACK</v>
      </c>
      <c r="J362" s="14" t="str">
        <f>IF(Z362=0,"Film Review Required",IF(D362&lt;4,"Sample Watch • ","")&amp;"D&amp;D + Concept Match • Concept Proxy")</f>
        <v>Sample Watch • D&amp;D + Concept Match • Concept Proxy</v>
      </c>
      <c r="K362" s="9" t="str">
        <f>"Opponent exact-play alert only. No Defensive Exact-Play Sample. "&amp;IF(Z362=0,"Confirm concept mapping and review film before treating this as a defensive candidate.","Metrics describe the confirmed concept; "&amp;IF($Z362=0,"",INDEX('DEF_CALL_DECISION_SUPPORT'!$A$1:$U$1496,$Z362,12)))</f>
        <v>Opponent exact-play alert only. No Defensive Exact-Play Sample. Metrics describe the confirmed concept; Track only; not enough sample.</v>
      </c>
      <c r="L362" s="7" t="s">
        <v>449</v>
      </c>
      <c r="Y362" s="2" t="s">
        <v>2657</v>
      </c>
      <c r="Z362" s="2">
        <f>IF($L362="",0,IFERROR(MATCH(LEN($A362)&amp;":"&amp;$A362&amp;"|"&amp;LEN($L362)&amp;":"&amp;$L362&amp;"|",'DEF_CALL_DECISION_SUPPORT'!$U$811:$U$1055,0)+811-1,0))</f>
        <v>983</v>
      </c>
    </row>
    <row r="363" spans="1:26" ht="50" customHeight="1">
      <c r="A363" s="8" t="s">
        <v>103</v>
      </c>
      <c r="B363" s="8" t="s">
        <v>1629</v>
      </c>
      <c r="C363" s="8" t="str">
        <f>IF($Z363=0,"Film Review Required",INDEX('DEF_CALL_DECISION_SUPPORT'!$A$1:$U$1496,$Z363,2))</f>
        <v>9 MOW</v>
      </c>
      <c r="D363" s="12">
        <f>IF($Z363=0,"",INDEX('DEF_CALL_DECISION_SUPPORT'!$A$1:$U$1496,$Z363,3))</f>
        <v>2</v>
      </c>
      <c r="E363" s="10">
        <f>IF($Z363=0,"",INDEX('DEF_CALL_DECISION_SUPPORT'!$A$1:$U$1496,$Z363,4))</f>
        <v>1.0</v>
      </c>
      <c r="F363" s="10">
        <f>IF($Z363=0,"",INDEX('DEF_CALL_DECISION_SUPPORT'!$A$1:$U$1496,$Z363,5))</f>
        <v>0.0</v>
      </c>
      <c r="G363" s="11">
        <f>IF($Z363=0,"",INDEX('DEF_CALL_DECISION_SUPPORT'!$A$1:$U$1496,$Z363,6))</f>
        <v>-2.0</v>
      </c>
      <c r="H363" s="11">
        <f>IF($Z363=0,"",INDEX('DEF_CALL_DECISION_SUPPORT'!$A$1:$U$1496,$Z363,10))</f>
        <v>100.0</v>
      </c>
      <c r="I363" s="14" t="str">
        <f>IF($Z363=0,"",INDEX('DEF_CALL_DECISION_SUPPORT'!$A$1:$U$1496,$Z363,9))</f>
        <v>TRACK</v>
      </c>
      <c r="J363" s="14" t="str">
        <f>IF(Z363=0,"Film Review Required",IF(D363&lt;4,"Sample Watch • ","")&amp;"D&amp;D + Concept Match • Concept Proxy")</f>
        <v>Sample Watch • D&amp;D + Concept Match • Concept Proxy</v>
      </c>
      <c r="K363" s="9" t="str">
        <f>"Opponent exact-play alert only. No Defensive Exact-Play Sample. "&amp;IF(Z363=0,"Confirm concept mapping and review film before treating this as a defensive candidate.","Metrics describe the confirmed concept; "&amp;IF($Z363=0,"",INDEX('DEF_CALL_DECISION_SUPPORT'!$A$1:$U$1496,$Z363,12)))</f>
        <v>Opponent exact-play alert only. No Defensive Exact-Play Sample. Metrics describe the confirmed concept; Track only; not enough sample.</v>
      </c>
      <c r="L363" s="7" t="s">
        <v>449</v>
      </c>
      <c r="Y363" s="2" t="s">
        <v>2658</v>
      </c>
      <c r="Z363" s="2">
        <f>IF($L363="",0,IFERROR(MATCH(LEN($A363)&amp;":"&amp;$A363&amp;"|"&amp;LEN($L363)&amp;":"&amp;$L363&amp;"|",'DEF_CALL_DECISION_SUPPORT'!$U$811:$U$1055,0)+811-1,0))</f>
        <v>983</v>
      </c>
    </row>
    <row r="364" spans="1:26" ht="50" customHeight="1">
      <c r="A364" s="8" t="s">
        <v>103</v>
      </c>
      <c r="B364" s="8" t="s">
        <v>1638</v>
      </c>
      <c r="C364" s="8" t="str">
        <f>IF($Z364=0,"Film Review Required",INDEX('DEF_CALL_DECISION_SUPPORT'!$A$1:$U$1496,$Z364,2))</f>
        <v>STICK GAMES</v>
      </c>
      <c r="D364" s="12">
        <f>IF($Z364=0,"",INDEX('DEF_CALL_DECISION_SUPPORT'!$A$1:$U$1496,$Z364,3))</f>
        <v>1</v>
      </c>
      <c r="E364" s="10">
        <f>IF($Z364=0,"",INDEX('DEF_CALL_DECISION_SUPPORT'!$A$1:$U$1496,$Z364,4))</f>
        <v>1.0</v>
      </c>
      <c r="F364" s="10">
        <f>IF($Z364=0,"",INDEX('DEF_CALL_DECISION_SUPPORT'!$A$1:$U$1496,$Z364,5))</f>
        <v>0.0</v>
      </c>
      <c r="G364" s="11">
        <f>IF($Z364=0,"",INDEX('DEF_CALL_DECISION_SUPPORT'!$A$1:$U$1496,$Z364,6))</f>
        <v>1.0</v>
      </c>
      <c r="H364" s="11">
        <f>IF($Z364=0,"",INDEX('DEF_CALL_DECISION_SUPPORT'!$A$1:$U$1496,$Z364,10))</f>
        <v>99.0</v>
      </c>
      <c r="I364" s="14" t="str">
        <f>IF($Z364=0,"",INDEX('DEF_CALL_DECISION_SUPPORT'!$A$1:$U$1496,$Z364,9))</f>
        <v>TRACK</v>
      </c>
      <c r="J364" s="14" t="str">
        <f>IF(Z364=0,"Film Review Required",IF(D364&lt;4,"Sample Watch • ","")&amp;"D&amp;D + Concept Match • Concept Proxy")</f>
        <v>Sample Watch • D&amp;D + Concept Match • Concept Proxy</v>
      </c>
      <c r="K364" s="9" t="str">
        <f>"Opponent exact-play alert only. No Defensive Exact-Play Sample. "&amp;IF(Z364=0,"Confirm concept mapping and review film before treating this as a defensive candidate.","Metrics describe the confirmed concept; "&amp;IF($Z364=0,"",INDEX('DEF_CALL_DECISION_SUPPORT'!$A$1:$U$1496,$Z364,12)))</f>
        <v>Opponent exact-play alert only. No Defensive Exact-Play Sample. Metrics describe the confirmed concept; Track only; not enough sample.</v>
      </c>
      <c r="L364" s="7" t="s">
        <v>474</v>
      </c>
      <c r="Y364" s="2" t="s">
        <v>2659</v>
      </c>
      <c r="Z364" s="2">
        <f>IF($L364="",0,IFERROR(MATCH(LEN($A364)&amp;":"&amp;$A364&amp;"|"&amp;LEN($L364)&amp;":"&amp;$L364&amp;"|",'DEF_CALL_DECISION_SUPPORT'!$U$811:$U$1055,0)+811-1,0))</f>
        <v>998</v>
      </c>
    </row>
    <row r="365" spans="1:26" ht="50" customHeight="1">
      <c r="A365" s="8" t="s">
        <v>103</v>
      </c>
      <c r="B365" s="8" t="s">
        <v>1648</v>
      </c>
      <c r="C365" s="8" t="str">
        <f>IF($Z365=0,"Film Review Required",INDEX('DEF_CALL_DECISION_SUPPORT'!$A$1:$U$1496,$Z365,2))</f>
        <v>9 MOW</v>
      </c>
      <c r="D365" s="12">
        <f>IF($Z365=0,"",INDEX('DEF_CALL_DECISION_SUPPORT'!$A$1:$U$1496,$Z365,3))</f>
        <v>2</v>
      </c>
      <c r="E365" s="10">
        <f>IF($Z365=0,"",INDEX('DEF_CALL_DECISION_SUPPORT'!$A$1:$U$1496,$Z365,4))</f>
        <v>1.0</v>
      </c>
      <c r="F365" s="10">
        <f>IF($Z365=0,"",INDEX('DEF_CALL_DECISION_SUPPORT'!$A$1:$U$1496,$Z365,5))</f>
        <v>0.0</v>
      </c>
      <c r="G365" s="11">
        <f>IF($Z365=0,"",INDEX('DEF_CALL_DECISION_SUPPORT'!$A$1:$U$1496,$Z365,6))</f>
        <v>-2.0</v>
      </c>
      <c r="H365" s="11">
        <f>IF($Z365=0,"",INDEX('DEF_CALL_DECISION_SUPPORT'!$A$1:$U$1496,$Z365,10))</f>
        <v>100.0</v>
      </c>
      <c r="I365" s="14" t="str">
        <f>IF($Z365=0,"",INDEX('DEF_CALL_DECISION_SUPPORT'!$A$1:$U$1496,$Z365,9))</f>
        <v>TRACK</v>
      </c>
      <c r="J365" s="14" t="str">
        <f>IF(Z365=0,"Film Review Required",IF(D365&lt;4,"Sample Watch • ","")&amp;"D&amp;D + Concept Match • Concept Proxy")</f>
        <v>Sample Watch • D&amp;D + Concept Match • Concept Proxy</v>
      </c>
      <c r="K365" s="9" t="str">
        <f>"Opponent exact-play alert only. No Defensive Exact-Play Sample. "&amp;IF(Z365=0,"Confirm concept mapping and review film before treating this as a defensive candidate.","Metrics describe the confirmed concept; "&amp;IF($Z365=0,"",INDEX('DEF_CALL_DECISION_SUPPORT'!$A$1:$U$1496,$Z365,12)))</f>
        <v>Opponent exact-play alert only. No Defensive Exact-Play Sample. Metrics describe the confirmed concept; Track only; not enough sample.</v>
      </c>
      <c r="L365" s="7" t="s">
        <v>449</v>
      </c>
      <c r="Y365" s="2" t="s">
        <v>2660</v>
      </c>
      <c r="Z365" s="2">
        <f>IF($L365="",0,IFERROR(MATCH(LEN($A365)&amp;":"&amp;$A365&amp;"|"&amp;LEN($L365)&amp;":"&amp;$L365&amp;"|",'DEF_CALL_DECISION_SUPPORT'!$U$811:$U$1055,0)+811-1,0))</f>
        <v>983</v>
      </c>
    </row>
    <row r="366" spans="1:26" ht="50" customHeight="1">
      <c r="A366" s="8" t="s">
        <v>103</v>
      </c>
      <c r="B366" s="8" t="s">
        <v>821</v>
      </c>
      <c r="C366" s="8" t="str">
        <f>IF($Z366=0,"Film Review Required",INDEX('DEF_CALL_DECISION_SUPPORT'!$A$1:$U$1496,$Z366,2))</f>
        <v>Film Review Required</v>
      </c>
      <c r="D366" s="12">
        <f>IF($Z366=0,"",INDEX('DEF_CALL_DECISION_SUPPORT'!$A$1:$U$1496,$Z366,3))</f>
        <v/>
      </c>
      <c r="E366" s="10">
        <f>IF($Z366=0,"",INDEX('DEF_CALL_DECISION_SUPPORT'!$A$1:$U$1496,$Z366,4))</f>
        <v/>
      </c>
      <c r="F366" s="10">
        <f>IF($Z366=0,"",INDEX('DEF_CALL_DECISION_SUPPORT'!$A$1:$U$1496,$Z366,5))</f>
        <v/>
      </c>
      <c r="G366" s="11">
        <f>IF($Z366=0,"",INDEX('DEF_CALL_DECISION_SUPPORT'!$A$1:$U$1496,$Z366,6))</f>
        <v/>
      </c>
      <c r="H366" s="11">
        <f>IF($Z366=0,"",INDEX('DEF_CALL_DECISION_SUPPORT'!$A$1:$U$1496,$Z366,10))</f>
        <v/>
      </c>
      <c r="I366" s="14">
        <f>IF($Z366=0,"",INDEX('DEF_CALL_DECISION_SUPPORT'!$A$1:$U$1496,$Z366,9))</f>
        <v/>
      </c>
      <c r="J366" s="14" t="str">
        <f>IF(Z366=0,"Film Review Required",IF(D366&lt;4,"Sample Watch • ","")&amp;"D&amp;D + Concept Match • Concept Proxy")</f>
        <v>Film Review Required</v>
      </c>
      <c r="K366" s="9" t="str">
        <f>"Opponent exact-play alert only. No Defensive Exact-Play Sample. "&amp;IF(Z366=0,"Confirm concept mapping and review film before treating this as a defensive candidate.","Metrics describe the confirmed concept; "&amp;IF($Z366=0,"",INDEX('DEF_CALL_DECISION_SUPPORT'!$A$1:$U$1496,$Z366,12)))</f>
        <v>Opponent exact-play alert only. No Defensive Exact-Play Sample. Confirm concept mapping and review film before treating this as a defensive candidate.</v>
      </c>
      <c r="L366" s="7"/>
      <c r="Y366" s="2" t="s">
        <v>2661</v>
      </c>
      <c r="Z366" s="2">
        <f>IF($L366="",0,IFERROR(MATCH(LEN($A366)&amp;":"&amp;$A366&amp;"|"&amp;LEN($L366)&amp;":"&amp;$L366&amp;"|",'DEF_CALL_DECISION_SUPPORT'!$U$811:$U$1055,0)+811-1,0))</f>
        <v>0</v>
      </c>
    </row>
    <row r="367" spans="1:26" ht="50" customHeight="1">
      <c r="A367" s="8" t="s">
        <v>103</v>
      </c>
      <c r="B367" s="8" t="s">
        <v>816</v>
      </c>
      <c r="C367" s="8" t="str">
        <f>IF($Z367=0,"Film Review Required",INDEX('DEF_CALL_DECISION_SUPPORT'!$A$1:$U$1496,$Z367,2))</f>
        <v>Film Review Required</v>
      </c>
      <c r="D367" s="12">
        <f>IF($Z367=0,"",INDEX('DEF_CALL_DECISION_SUPPORT'!$A$1:$U$1496,$Z367,3))</f>
        <v/>
      </c>
      <c r="E367" s="10">
        <f>IF($Z367=0,"",INDEX('DEF_CALL_DECISION_SUPPORT'!$A$1:$U$1496,$Z367,4))</f>
        <v/>
      </c>
      <c r="F367" s="10">
        <f>IF($Z367=0,"",INDEX('DEF_CALL_DECISION_SUPPORT'!$A$1:$U$1496,$Z367,5))</f>
        <v/>
      </c>
      <c r="G367" s="11">
        <f>IF($Z367=0,"",INDEX('DEF_CALL_DECISION_SUPPORT'!$A$1:$U$1496,$Z367,6))</f>
        <v/>
      </c>
      <c r="H367" s="11">
        <f>IF($Z367=0,"",INDEX('DEF_CALL_DECISION_SUPPORT'!$A$1:$U$1496,$Z367,10))</f>
        <v/>
      </c>
      <c r="I367" s="14">
        <f>IF($Z367=0,"",INDEX('DEF_CALL_DECISION_SUPPORT'!$A$1:$U$1496,$Z367,9))</f>
        <v/>
      </c>
      <c r="J367" s="14" t="str">
        <f>IF(Z367=0,"Film Review Required",IF(D367&lt;4,"Sample Watch • ","")&amp;"D&amp;D + Concept Match • Concept Proxy")</f>
        <v>Film Review Required</v>
      </c>
      <c r="K367" s="9" t="str">
        <f>"Opponent exact-play alert only. No Defensive Exact-Play Sample. "&amp;IF(Z367=0,"Confirm concept mapping and review film before treating this as a defensive candidate.","Metrics describe the confirmed concept; "&amp;IF($Z367=0,"",INDEX('DEF_CALL_DECISION_SUPPORT'!$A$1:$U$1496,$Z367,12)))</f>
        <v>Opponent exact-play alert only. No Defensive Exact-Play Sample. Confirm concept mapping and review film before treating this as a defensive candidate.</v>
      </c>
      <c r="L367" s="7"/>
      <c r="Y367" s="2" t="s">
        <v>2662</v>
      </c>
      <c r="Z367" s="2">
        <f>IF($L367="",0,IFERROR(MATCH(LEN($A367)&amp;":"&amp;$A367&amp;"|"&amp;LEN($L367)&amp;":"&amp;$L367&amp;"|",'DEF_CALL_DECISION_SUPPORT'!$U$811:$U$1055,0)+811-1,0))</f>
        <v>0</v>
      </c>
    </row>
    <row r="368" spans="1:26" ht="50" customHeight="1">
      <c r="A368" s="8" t="s">
        <v>103</v>
      </c>
      <c r="B368" s="8" t="s">
        <v>824</v>
      </c>
      <c r="C368" s="8" t="str">
        <f>IF($Z368=0,"Film Review Required",INDEX('DEF_CALL_DECISION_SUPPORT'!$A$1:$U$1496,$Z368,2))</f>
        <v>STUD</v>
      </c>
      <c r="D368" s="12">
        <f>IF($Z368=0,"",INDEX('DEF_CALL_DECISION_SUPPORT'!$A$1:$U$1496,$Z368,3))</f>
        <v>1</v>
      </c>
      <c r="E368" s="10">
        <f>IF($Z368=0,"",INDEX('DEF_CALL_DECISION_SUPPORT'!$A$1:$U$1496,$Z368,4))</f>
        <v>1.0</v>
      </c>
      <c r="F368" s="10">
        <f>IF($Z368=0,"",INDEX('DEF_CALL_DECISION_SUPPORT'!$A$1:$U$1496,$Z368,5))</f>
        <v>0.0</v>
      </c>
      <c r="G368" s="11">
        <f>IF($Z368=0,"",INDEX('DEF_CALL_DECISION_SUPPORT'!$A$1:$U$1496,$Z368,6))</f>
        <v>0.0</v>
      </c>
      <c r="H368" s="11">
        <f>IF($Z368=0,"",INDEX('DEF_CALL_DECISION_SUPPORT'!$A$1:$U$1496,$Z368,10))</f>
        <v>100.0</v>
      </c>
      <c r="I368" s="14" t="str">
        <f>IF($Z368=0,"",INDEX('DEF_CALL_DECISION_SUPPORT'!$A$1:$U$1496,$Z368,9))</f>
        <v>TRACK</v>
      </c>
      <c r="J368" s="14" t="str">
        <f>IF(Z368=0,"Film Review Required",IF(D368&lt;4,"Sample Watch • ","")&amp;"D&amp;D + Concept Match • Concept Proxy")</f>
        <v>Sample Watch • D&amp;D + Concept Match • Concept Proxy</v>
      </c>
      <c r="K368" s="9" t="str">
        <f>"Opponent exact-play alert only. No Defensive Exact-Play Sample. "&amp;IF(Z368=0,"Confirm concept mapping and review film before treating this as a defensive candidate.","Metrics describe the confirmed concept; "&amp;IF($Z368=0,"",INDEX('DEF_CALL_DECISION_SUPPORT'!$A$1:$U$1496,$Z368,12)))</f>
        <v>Opponent exact-play alert only. No Defensive Exact-Play Sample. Metrics describe the confirmed concept; Track only; not enough sample.</v>
      </c>
      <c r="L368" s="7" t="s">
        <v>428</v>
      </c>
      <c r="Y368" s="2" t="s">
        <v>2663</v>
      </c>
      <c r="Z368" s="2">
        <f>IF($L368="",0,IFERROR(MATCH(LEN($A368)&amp;":"&amp;$A368&amp;"|"&amp;LEN($L368)&amp;":"&amp;$L368&amp;"|",'DEF_CALL_DECISION_SUPPORT'!$U$811:$U$1055,0)+811-1,0))</f>
        <v>995</v>
      </c>
    </row>
    <row r="369" spans="1:26" ht="50" customHeight="1">
      <c r="A369" s="8" t="s">
        <v>107</v>
      </c>
      <c r="B369" s="8" t="s">
        <v>1655</v>
      </c>
      <c r="C369" s="8" t="str">
        <f>IF($Z369=0,"Film Review Required",INDEX('DEF_CALL_DECISION_SUPPORT'!$A$1:$U$1496,$Z369,2))</f>
        <v>WALL</v>
      </c>
      <c r="D369" s="12">
        <f>IF($Z369=0,"",INDEX('DEF_CALL_DECISION_SUPPORT'!$A$1:$U$1496,$Z369,3))</f>
        <v>1</v>
      </c>
      <c r="E369" s="10">
        <f>IF($Z369=0,"",INDEX('DEF_CALL_DECISION_SUPPORT'!$A$1:$U$1496,$Z369,4))</f>
        <v>1.0</v>
      </c>
      <c r="F369" s="10">
        <f>IF($Z369=0,"",INDEX('DEF_CALL_DECISION_SUPPORT'!$A$1:$U$1496,$Z369,5))</f>
        <v>0.0</v>
      </c>
      <c r="G369" s="11">
        <f>IF($Z369=0,"",INDEX('DEF_CALL_DECISION_SUPPORT'!$A$1:$U$1496,$Z369,6))</f>
        <v>0.0</v>
      </c>
      <c r="H369" s="11">
        <f>IF($Z369=0,"",INDEX('DEF_CALL_DECISION_SUPPORT'!$A$1:$U$1496,$Z369,10))</f>
        <v>100.0</v>
      </c>
      <c r="I369" s="14" t="str">
        <f>IF($Z369=0,"",INDEX('DEF_CALL_DECISION_SUPPORT'!$A$1:$U$1496,$Z369,9))</f>
        <v>TRACK</v>
      </c>
      <c r="J369" s="14" t="str">
        <f>IF(Z369=0,"Film Review Required",IF(D369&lt;4,"Sample Watch • ","")&amp;"D&amp;D + Concept Match • Concept Proxy")</f>
        <v>Sample Watch • D&amp;D + Concept Match • Concept Proxy</v>
      </c>
      <c r="K369" s="9" t="str">
        <f>"Opponent exact-play alert only. No Defensive Exact-Play Sample. "&amp;IF(Z369=0,"Confirm concept mapping and review film before treating this as a defensive candidate.","Metrics describe the confirmed concept; "&amp;IF($Z369=0,"",INDEX('DEF_CALL_DECISION_SUPPORT'!$A$1:$U$1496,$Z369,12)))</f>
        <v>Opponent exact-play alert only. No Defensive Exact-Play Sample. Metrics describe the confirmed concept; Track only; not enough sample.</v>
      </c>
      <c r="L369" s="7" t="s">
        <v>449</v>
      </c>
      <c r="Y369" s="2" t="s">
        <v>2664</v>
      </c>
      <c r="Z369" s="2">
        <f>IF($L369="",0,IFERROR(MATCH(LEN($A369)&amp;":"&amp;$A369&amp;"|"&amp;LEN($L369)&amp;":"&amp;$L369&amp;"|",'DEF_CALL_DECISION_SUPPORT'!$U$811:$U$1055,0)+811-1,0))</f>
        <v>1007</v>
      </c>
    </row>
    <row r="370" spans="1:26" ht="50" customHeight="1">
      <c r="A370" s="8" t="s">
        <v>107</v>
      </c>
      <c r="B370" s="8" t="s">
        <v>1635</v>
      </c>
      <c r="C370" s="8" t="str">
        <f>IF($Z370=0,"Film Review Required",INDEX('DEF_CALL_DECISION_SUPPORT'!$A$1:$U$1496,$Z370,2))</f>
        <v>Film Review Required</v>
      </c>
      <c r="D370" s="12">
        <f>IF($Z370=0,"",INDEX('DEF_CALL_DECISION_SUPPORT'!$A$1:$U$1496,$Z370,3))</f>
        <v/>
      </c>
      <c r="E370" s="10">
        <f>IF($Z370=0,"",INDEX('DEF_CALL_DECISION_SUPPORT'!$A$1:$U$1496,$Z370,4))</f>
        <v/>
      </c>
      <c r="F370" s="10">
        <f>IF($Z370=0,"",INDEX('DEF_CALL_DECISION_SUPPORT'!$A$1:$U$1496,$Z370,5))</f>
        <v/>
      </c>
      <c r="G370" s="11">
        <f>IF($Z370=0,"",INDEX('DEF_CALL_DECISION_SUPPORT'!$A$1:$U$1496,$Z370,6))</f>
        <v/>
      </c>
      <c r="H370" s="11">
        <f>IF($Z370=0,"",INDEX('DEF_CALL_DECISION_SUPPORT'!$A$1:$U$1496,$Z370,10))</f>
        <v/>
      </c>
      <c r="I370" s="14">
        <f>IF($Z370=0,"",INDEX('DEF_CALL_DECISION_SUPPORT'!$A$1:$U$1496,$Z370,9))</f>
        <v/>
      </c>
      <c r="J370" s="14" t="str">
        <f>IF(Z370=0,"Film Review Required",IF(D370&lt;4,"Sample Watch • ","")&amp;"D&amp;D + Concept Match • Concept Proxy")</f>
        <v>Film Review Required</v>
      </c>
      <c r="K370" s="9" t="str">
        <f>"Opponent exact-play alert only. No Defensive Exact-Play Sample. "&amp;IF(Z370=0,"Confirm concept mapping and review film before treating this as a defensive candidate.","Metrics describe the confirmed concept; "&amp;IF($Z370=0,"",INDEX('DEF_CALL_DECISION_SUPPORT'!$A$1:$U$1496,$Z370,12)))</f>
        <v>Opponent exact-play alert only. No Defensive Exact-Play Sample. Confirm concept mapping and review film before treating this as a defensive candidate.</v>
      </c>
      <c r="L370" s="7"/>
      <c r="Y370" s="2" t="s">
        <v>2665</v>
      </c>
      <c r="Z370" s="2">
        <f>IF($L370="",0,IFERROR(MATCH(LEN($A370)&amp;":"&amp;$A370&amp;"|"&amp;LEN($L370)&amp;":"&amp;$L370&amp;"|",'DEF_CALL_DECISION_SUPPORT'!$U$811:$U$1055,0)+811-1,0))</f>
        <v>0</v>
      </c>
    </row>
    <row r="371" spans="1:26" ht="50" customHeight="1">
      <c r="A371" s="8" t="s">
        <v>107</v>
      </c>
      <c r="B371" s="8" t="s">
        <v>1523</v>
      </c>
      <c r="C371" s="8" t="str">
        <f>IF($Z371=0,"Film Review Required",INDEX('DEF_CALL_DECISION_SUPPORT'!$A$1:$U$1496,$Z371,2))</f>
        <v>WALL</v>
      </c>
      <c r="D371" s="12">
        <f>IF($Z371=0,"",INDEX('DEF_CALL_DECISION_SUPPORT'!$A$1:$U$1496,$Z371,3))</f>
        <v>1</v>
      </c>
      <c r="E371" s="10">
        <f>IF($Z371=0,"",INDEX('DEF_CALL_DECISION_SUPPORT'!$A$1:$U$1496,$Z371,4))</f>
        <v>1.0</v>
      </c>
      <c r="F371" s="10">
        <f>IF($Z371=0,"",INDEX('DEF_CALL_DECISION_SUPPORT'!$A$1:$U$1496,$Z371,5))</f>
        <v>0.0</v>
      </c>
      <c r="G371" s="11">
        <f>IF($Z371=0,"",INDEX('DEF_CALL_DECISION_SUPPORT'!$A$1:$U$1496,$Z371,6))</f>
        <v>0.0</v>
      </c>
      <c r="H371" s="11">
        <f>IF($Z371=0,"",INDEX('DEF_CALL_DECISION_SUPPORT'!$A$1:$U$1496,$Z371,10))</f>
        <v>100.0</v>
      </c>
      <c r="I371" s="14" t="str">
        <f>IF($Z371=0,"",INDEX('DEF_CALL_DECISION_SUPPORT'!$A$1:$U$1496,$Z371,9))</f>
        <v>TRACK</v>
      </c>
      <c r="J371" s="14" t="str">
        <f>IF(Z371=0,"Film Review Required",IF(D371&lt;4,"Sample Watch • ","")&amp;"D&amp;D + Concept Match • Concept Proxy")</f>
        <v>Sample Watch • D&amp;D + Concept Match • Concept Proxy</v>
      </c>
      <c r="K371" s="9" t="str">
        <f>"Opponent exact-play alert only. No Defensive Exact-Play Sample. "&amp;IF(Z371=0,"Confirm concept mapping and review film before treating this as a defensive candidate.","Metrics describe the confirmed concept; "&amp;IF($Z371=0,"",INDEX('DEF_CALL_DECISION_SUPPORT'!$A$1:$U$1496,$Z371,12)))</f>
        <v>Opponent exact-play alert only. No Defensive Exact-Play Sample. Metrics describe the confirmed concept; Track only; not enough sample.</v>
      </c>
      <c r="L371" s="7" t="s">
        <v>449</v>
      </c>
      <c r="Y371" s="2" t="s">
        <v>2666</v>
      </c>
      <c r="Z371" s="2">
        <f>IF($L371="",0,IFERROR(MATCH(LEN($A371)&amp;":"&amp;$A371&amp;"|"&amp;LEN($L371)&amp;":"&amp;$L371&amp;"|",'DEF_CALL_DECISION_SUPPORT'!$U$811:$U$1055,0)+811-1,0))</f>
        <v>1007</v>
      </c>
    </row>
    <row r="372" spans="1:26" ht="50" customHeight="1">
      <c r="A372" s="8" t="s">
        <v>107</v>
      </c>
      <c r="B372" s="8" t="s">
        <v>1416</v>
      </c>
      <c r="C372" s="8" t="str">
        <f>IF($Z372=0,"Film Review Required",INDEX('DEF_CALL_DECISION_SUPPORT'!$A$1:$U$1496,$Z372,2))</f>
        <v>WALL</v>
      </c>
      <c r="D372" s="12">
        <f>IF($Z372=0,"",INDEX('DEF_CALL_DECISION_SUPPORT'!$A$1:$U$1496,$Z372,3))</f>
        <v>1</v>
      </c>
      <c r="E372" s="10">
        <f>IF($Z372=0,"",INDEX('DEF_CALL_DECISION_SUPPORT'!$A$1:$U$1496,$Z372,4))</f>
        <v>1.0</v>
      </c>
      <c r="F372" s="10">
        <f>IF($Z372=0,"",INDEX('DEF_CALL_DECISION_SUPPORT'!$A$1:$U$1496,$Z372,5))</f>
        <v>0.0</v>
      </c>
      <c r="G372" s="11">
        <f>IF($Z372=0,"",INDEX('DEF_CALL_DECISION_SUPPORT'!$A$1:$U$1496,$Z372,6))</f>
        <v>0.0</v>
      </c>
      <c r="H372" s="11">
        <f>IF($Z372=0,"",INDEX('DEF_CALL_DECISION_SUPPORT'!$A$1:$U$1496,$Z372,10))</f>
        <v>100.0</v>
      </c>
      <c r="I372" s="14" t="str">
        <f>IF($Z372=0,"",INDEX('DEF_CALL_DECISION_SUPPORT'!$A$1:$U$1496,$Z372,9))</f>
        <v>TRACK</v>
      </c>
      <c r="J372" s="14" t="str">
        <f>IF(Z372=0,"Film Review Required",IF(D372&lt;4,"Sample Watch • ","")&amp;"D&amp;D + Concept Match • Concept Proxy")</f>
        <v>Sample Watch • D&amp;D + Concept Match • Concept Proxy</v>
      </c>
      <c r="K372" s="9" t="str">
        <f>"Opponent exact-play alert only. No Defensive Exact-Play Sample. "&amp;IF(Z372=0,"Confirm concept mapping and review film before treating this as a defensive candidate.","Metrics describe the confirmed concept; "&amp;IF($Z372=0,"",INDEX('DEF_CALL_DECISION_SUPPORT'!$A$1:$U$1496,$Z372,12)))</f>
        <v>Opponent exact-play alert only. No Defensive Exact-Play Sample. Metrics describe the confirmed concept; Track only; not enough sample.</v>
      </c>
      <c r="L372" s="7" t="s">
        <v>449</v>
      </c>
      <c r="Y372" s="2" t="s">
        <v>2667</v>
      </c>
      <c r="Z372" s="2">
        <f>IF($L372="",0,IFERROR(MATCH(LEN($A372)&amp;":"&amp;$A372&amp;"|"&amp;LEN($L372)&amp;":"&amp;$L372&amp;"|",'DEF_CALL_DECISION_SUPPORT'!$U$811:$U$1055,0)+811-1,0))</f>
        <v>1007</v>
      </c>
    </row>
    <row r="373" spans="1:26" ht="50" customHeight="1">
      <c r="A373" s="8" t="s">
        <v>107</v>
      </c>
      <c r="B373" s="8" t="s">
        <v>1439</v>
      </c>
      <c r="C373" s="8" t="str">
        <f>IF($Z373=0,"Film Review Required",INDEX('DEF_CALL_DECISION_SUPPORT'!$A$1:$U$1496,$Z373,2))</f>
        <v>Film Review Required</v>
      </c>
      <c r="D373" s="12">
        <f>IF($Z373=0,"",INDEX('DEF_CALL_DECISION_SUPPORT'!$A$1:$U$1496,$Z373,3))</f>
        <v/>
      </c>
      <c r="E373" s="10">
        <f>IF($Z373=0,"",INDEX('DEF_CALL_DECISION_SUPPORT'!$A$1:$U$1496,$Z373,4))</f>
        <v/>
      </c>
      <c r="F373" s="10">
        <f>IF($Z373=0,"",INDEX('DEF_CALL_DECISION_SUPPORT'!$A$1:$U$1496,$Z373,5))</f>
        <v/>
      </c>
      <c r="G373" s="11">
        <f>IF($Z373=0,"",INDEX('DEF_CALL_DECISION_SUPPORT'!$A$1:$U$1496,$Z373,6))</f>
        <v/>
      </c>
      <c r="H373" s="11">
        <f>IF($Z373=0,"",INDEX('DEF_CALL_DECISION_SUPPORT'!$A$1:$U$1496,$Z373,10))</f>
        <v/>
      </c>
      <c r="I373" s="14">
        <f>IF($Z373=0,"",INDEX('DEF_CALL_DECISION_SUPPORT'!$A$1:$U$1496,$Z373,9))</f>
        <v/>
      </c>
      <c r="J373" s="14" t="str">
        <f>IF(Z373=0,"Film Review Required",IF(D373&lt;4,"Sample Watch • ","")&amp;"D&amp;D + Concept Match • Concept Proxy")</f>
        <v>Film Review Required</v>
      </c>
      <c r="K373" s="9" t="str">
        <f>"Opponent exact-play alert only. No Defensive Exact-Play Sample. "&amp;IF(Z373=0,"Confirm concept mapping and review film before treating this as a defensive candidate.","Metrics describe the confirmed concept; "&amp;IF($Z373=0,"",INDEX('DEF_CALL_DECISION_SUPPORT'!$A$1:$U$1496,$Z373,12)))</f>
        <v>Opponent exact-play alert only. No Defensive Exact-Play Sample. Confirm concept mapping and review film before treating this as a defensive candidate.</v>
      </c>
      <c r="L373" s="7" t="s">
        <v>465</v>
      </c>
      <c r="Y373" s="2" t="s">
        <v>2668</v>
      </c>
      <c r="Z373" s="2">
        <f>IF($L373="",0,IFERROR(MATCH(LEN($A373)&amp;":"&amp;$A373&amp;"|"&amp;LEN($L373)&amp;":"&amp;$L373&amp;"|",'DEF_CALL_DECISION_SUPPORT'!$U$811:$U$1055,0)+811-1,0))</f>
        <v>0</v>
      </c>
    </row>
    <row r="374" spans="1:26" ht="50" customHeight="1">
      <c r="A374" s="8" t="s">
        <v>107</v>
      </c>
      <c r="B374" s="8" t="s">
        <v>1398</v>
      </c>
      <c r="C374" s="8" t="str">
        <f>IF($Z374=0,"Film Review Required",INDEX('DEF_CALL_DECISION_SUPPORT'!$A$1:$U$1496,$Z374,2))</f>
        <v>Film Review Required</v>
      </c>
      <c r="D374" s="12">
        <f>IF($Z374=0,"",INDEX('DEF_CALL_DECISION_SUPPORT'!$A$1:$U$1496,$Z374,3))</f>
        <v/>
      </c>
      <c r="E374" s="10">
        <f>IF($Z374=0,"",INDEX('DEF_CALL_DECISION_SUPPORT'!$A$1:$U$1496,$Z374,4))</f>
        <v/>
      </c>
      <c r="F374" s="10">
        <f>IF($Z374=0,"",INDEX('DEF_CALL_DECISION_SUPPORT'!$A$1:$U$1496,$Z374,5))</f>
        <v/>
      </c>
      <c r="G374" s="11">
        <f>IF($Z374=0,"",INDEX('DEF_CALL_DECISION_SUPPORT'!$A$1:$U$1496,$Z374,6))</f>
        <v/>
      </c>
      <c r="H374" s="11">
        <f>IF($Z374=0,"",INDEX('DEF_CALL_DECISION_SUPPORT'!$A$1:$U$1496,$Z374,10))</f>
        <v/>
      </c>
      <c r="I374" s="14">
        <f>IF($Z374=0,"",INDEX('DEF_CALL_DECISION_SUPPORT'!$A$1:$U$1496,$Z374,9))</f>
        <v/>
      </c>
      <c r="J374" s="14" t="str">
        <f>IF(Z374=0,"Film Review Required",IF(D374&lt;4,"Sample Watch • ","")&amp;"D&amp;D + Concept Match • Concept Proxy")</f>
        <v>Film Review Required</v>
      </c>
      <c r="K374" s="9" t="str">
        <f>"Opponent exact-play alert only. No Defensive Exact-Play Sample. "&amp;IF(Z374=0,"Confirm concept mapping and review film before treating this as a defensive candidate.","Metrics describe the confirmed concept; "&amp;IF($Z374=0,"",INDEX('DEF_CALL_DECISION_SUPPORT'!$A$1:$U$1496,$Z374,12)))</f>
        <v>Opponent exact-play alert only. No Defensive Exact-Play Sample. Confirm concept mapping and review film before treating this as a defensive candidate.</v>
      </c>
      <c r="L374" s="7" t="s">
        <v>465</v>
      </c>
      <c r="Y374" s="2" t="s">
        <v>2669</v>
      </c>
      <c r="Z374" s="2">
        <f>IF($L374="",0,IFERROR(MATCH(LEN($A374)&amp;":"&amp;$A374&amp;"|"&amp;LEN($L374)&amp;":"&amp;$L374&amp;"|",'DEF_CALL_DECISION_SUPPORT'!$U$811:$U$1055,0)+811-1,0))</f>
        <v>0</v>
      </c>
    </row>
    <row r="375" spans="1:26" ht="50" customHeight="1">
      <c r="A375" s="8" t="s">
        <v>107</v>
      </c>
      <c r="B375" s="8" t="s">
        <v>1660</v>
      </c>
      <c r="C375" s="8" t="str">
        <f>IF($Z375=0,"Film Review Required",INDEX('DEF_CALL_DECISION_SUPPORT'!$A$1:$U$1496,$Z375,2))</f>
        <v>WALL</v>
      </c>
      <c r="D375" s="12">
        <f>IF($Z375=0,"",INDEX('DEF_CALL_DECISION_SUPPORT'!$A$1:$U$1496,$Z375,3))</f>
        <v>1</v>
      </c>
      <c r="E375" s="10">
        <f>IF($Z375=0,"",INDEX('DEF_CALL_DECISION_SUPPORT'!$A$1:$U$1496,$Z375,4))</f>
        <v>1.0</v>
      </c>
      <c r="F375" s="10">
        <f>IF($Z375=0,"",INDEX('DEF_CALL_DECISION_SUPPORT'!$A$1:$U$1496,$Z375,5))</f>
        <v>0.0</v>
      </c>
      <c r="G375" s="11">
        <f>IF($Z375=0,"",INDEX('DEF_CALL_DECISION_SUPPORT'!$A$1:$U$1496,$Z375,6))</f>
        <v>0.0</v>
      </c>
      <c r="H375" s="11">
        <f>IF($Z375=0,"",INDEX('DEF_CALL_DECISION_SUPPORT'!$A$1:$U$1496,$Z375,10))</f>
        <v>100.0</v>
      </c>
      <c r="I375" s="14" t="str">
        <f>IF($Z375=0,"",INDEX('DEF_CALL_DECISION_SUPPORT'!$A$1:$U$1496,$Z375,9))</f>
        <v>TRACK</v>
      </c>
      <c r="J375" s="14" t="str">
        <f>IF(Z375=0,"Film Review Required",IF(D375&lt;4,"Sample Watch • ","")&amp;"D&amp;D + Concept Match • Concept Proxy")</f>
        <v>Sample Watch • D&amp;D + Concept Match • Concept Proxy</v>
      </c>
      <c r="K375" s="9" t="str">
        <f>"Opponent exact-play alert only. No Defensive Exact-Play Sample. "&amp;IF(Z375=0,"Confirm concept mapping and review film before treating this as a defensive candidate.","Metrics describe the confirmed concept; "&amp;IF($Z375=0,"",INDEX('DEF_CALL_DECISION_SUPPORT'!$A$1:$U$1496,$Z375,12)))</f>
        <v>Opponent exact-play alert only. No Defensive Exact-Play Sample. Metrics describe the confirmed concept; Track only; not enough sample.</v>
      </c>
      <c r="L375" s="7" t="s">
        <v>449</v>
      </c>
      <c r="Y375" s="2" t="s">
        <v>2670</v>
      </c>
      <c r="Z375" s="2">
        <f>IF($L375="",0,IFERROR(MATCH(LEN($A375)&amp;":"&amp;$A375&amp;"|"&amp;LEN($L375)&amp;":"&amp;$L375&amp;"|",'DEF_CALL_DECISION_SUPPORT'!$U$811:$U$1055,0)+811-1,0))</f>
        <v>1007</v>
      </c>
    </row>
    <row r="376" spans="1:26" ht="50" customHeight="1">
      <c r="A376" s="8" t="s">
        <v>107</v>
      </c>
      <c r="B376" s="8" t="s">
        <v>820</v>
      </c>
      <c r="C376" s="8" t="str">
        <f>IF($Z376=0,"Film Review Required",INDEX('DEF_CALL_DECISION_SUPPORT'!$A$1:$U$1496,$Z376,2))</f>
        <v>Film Review Required</v>
      </c>
      <c r="D376" s="12">
        <f>IF($Z376=0,"",INDEX('DEF_CALL_DECISION_SUPPORT'!$A$1:$U$1496,$Z376,3))</f>
        <v/>
      </c>
      <c r="E376" s="10">
        <f>IF($Z376=0,"",INDEX('DEF_CALL_DECISION_SUPPORT'!$A$1:$U$1496,$Z376,4))</f>
        <v/>
      </c>
      <c r="F376" s="10">
        <f>IF($Z376=0,"",INDEX('DEF_CALL_DECISION_SUPPORT'!$A$1:$U$1496,$Z376,5))</f>
        <v/>
      </c>
      <c r="G376" s="11">
        <f>IF($Z376=0,"",INDEX('DEF_CALL_DECISION_SUPPORT'!$A$1:$U$1496,$Z376,6))</f>
        <v/>
      </c>
      <c r="H376" s="11">
        <f>IF($Z376=0,"",INDEX('DEF_CALL_DECISION_SUPPORT'!$A$1:$U$1496,$Z376,10))</f>
        <v/>
      </c>
      <c r="I376" s="14">
        <f>IF($Z376=0,"",INDEX('DEF_CALL_DECISION_SUPPORT'!$A$1:$U$1496,$Z376,9))</f>
        <v/>
      </c>
      <c r="J376" s="14" t="str">
        <f>IF(Z376=0,"Film Review Required",IF(D376&lt;4,"Sample Watch • ","")&amp;"D&amp;D + Concept Match • Concept Proxy")</f>
        <v>Film Review Required</v>
      </c>
      <c r="K376" s="9" t="str">
        <f>"Opponent exact-play alert only. No Defensive Exact-Play Sample. "&amp;IF(Z376=0,"Confirm concept mapping and review film before treating this as a defensive candidate.","Metrics describe the confirmed concept; "&amp;IF($Z376=0,"",INDEX('DEF_CALL_DECISION_SUPPORT'!$A$1:$U$1496,$Z376,12)))</f>
        <v>Opponent exact-play alert only. No Defensive Exact-Play Sample. Confirm concept mapping and review film before treating this as a defensive candidate.</v>
      </c>
      <c r="L376" s="7"/>
      <c r="Y376" s="2" t="s">
        <v>2671</v>
      </c>
      <c r="Z376" s="2">
        <f>IF($L376="",0,IFERROR(MATCH(LEN($A376)&amp;":"&amp;$A376&amp;"|"&amp;LEN($L376)&amp;":"&amp;$L376&amp;"|",'DEF_CALL_DECISION_SUPPORT'!$U$811:$U$1055,0)+811-1,0))</f>
        <v>0</v>
      </c>
    </row>
    <row r="377" spans="1:26" ht="50" customHeight="1">
      <c r="A377" s="8" t="s">
        <v>107</v>
      </c>
      <c r="B377" s="8" t="s">
        <v>819</v>
      </c>
      <c r="C377" s="8" t="str">
        <f>IF($Z377=0,"Film Review Required",INDEX('DEF_CALL_DECISION_SUPPORT'!$A$1:$U$1496,$Z377,2))</f>
        <v>Film Review Required</v>
      </c>
      <c r="D377" s="12">
        <f>IF($Z377=0,"",INDEX('DEF_CALL_DECISION_SUPPORT'!$A$1:$U$1496,$Z377,3))</f>
        <v/>
      </c>
      <c r="E377" s="10">
        <f>IF($Z377=0,"",INDEX('DEF_CALL_DECISION_SUPPORT'!$A$1:$U$1496,$Z377,4))</f>
        <v/>
      </c>
      <c r="F377" s="10">
        <f>IF($Z377=0,"",INDEX('DEF_CALL_DECISION_SUPPORT'!$A$1:$U$1496,$Z377,5))</f>
        <v/>
      </c>
      <c r="G377" s="11">
        <f>IF($Z377=0,"",INDEX('DEF_CALL_DECISION_SUPPORT'!$A$1:$U$1496,$Z377,6))</f>
        <v/>
      </c>
      <c r="H377" s="11">
        <f>IF($Z377=0,"",INDEX('DEF_CALL_DECISION_SUPPORT'!$A$1:$U$1496,$Z377,10))</f>
        <v/>
      </c>
      <c r="I377" s="14">
        <f>IF($Z377=0,"",INDEX('DEF_CALL_DECISION_SUPPORT'!$A$1:$U$1496,$Z377,9))</f>
        <v/>
      </c>
      <c r="J377" s="14" t="str">
        <f>IF(Z377=0,"Film Review Required",IF(D377&lt;4,"Sample Watch • ","")&amp;"D&amp;D + Concept Match • Concept Proxy")</f>
        <v>Film Review Required</v>
      </c>
      <c r="K377" s="9" t="str">
        <f>"Opponent exact-play alert only. No Defensive Exact-Play Sample. "&amp;IF(Z377=0,"Confirm concept mapping and review film before treating this as a defensive candidate.","Metrics describe the confirmed concept; "&amp;IF($Z377=0,"",INDEX('DEF_CALL_DECISION_SUPPORT'!$A$1:$U$1496,$Z377,12)))</f>
        <v>Opponent exact-play alert only. No Defensive Exact-Play Sample. Confirm concept mapping and review film before treating this as a defensive candidate.</v>
      </c>
      <c r="L377" s="7" t="s">
        <v>474</v>
      </c>
      <c r="Y377" s="2" t="s">
        <v>2672</v>
      </c>
      <c r="Z377" s="2">
        <f>IF($L377="",0,IFERROR(MATCH(LEN($A377)&amp;":"&amp;$A377&amp;"|"&amp;LEN($L377)&amp;":"&amp;$L377&amp;"|",'DEF_CALL_DECISION_SUPPORT'!$U$811:$U$1055,0)+811-1,0))</f>
        <v>0</v>
      </c>
    </row>
    <row r="378" spans="1:26" ht="50" customHeight="1">
      <c r="A378" s="8" t="s">
        <v>107</v>
      </c>
      <c r="B378" s="8" t="s">
        <v>821</v>
      </c>
      <c r="C378" s="8" t="str">
        <f>IF($Z378=0,"Film Review Required",INDEX('DEF_CALL_DECISION_SUPPORT'!$A$1:$U$1496,$Z378,2))</f>
        <v>Film Review Required</v>
      </c>
      <c r="D378" s="12">
        <f>IF($Z378=0,"",INDEX('DEF_CALL_DECISION_SUPPORT'!$A$1:$U$1496,$Z378,3))</f>
        <v/>
      </c>
      <c r="E378" s="10">
        <f>IF($Z378=0,"",INDEX('DEF_CALL_DECISION_SUPPORT'!$A$1:$U$1496,$Z378,4))</f>
        <v/>
      </c>
      <c r="F378" s="10">
        <f>IF($Z378=0,"",INDEX('DEF_CALL_DECISION_SUPPORT'!$A$1:$U$1496,$Z378,5))</f>
        <v/>
      </c>
      <c r="G378" s="11">
        <f>IF($Z378=0,"",INDEX('DEF_CALL_DECISION_SUPPORT'!$A$1:$U$1496,$Z378,6))</f>
        <v/>
      </c>
      <c r="H378" s="11">
        <f>IF($Z378=0,"",INDEX('DEF_CALL_DECISION_SUPPORT'!$A$1:$U$1496,$Z378,10))</f>
        <v/>
      </c>
      <c r="I378" s="14">
        <f>IF($Z378=0,"",INDEX('DEF_CALL_DECISION_SUPPORT'!$A$1:$U$1496,$Z378,9))</f>
        <v/>
      </c>
      <c r="J378" s="14" t="str">
        <f>IF(Z378=0,"Film Review Required",IF(D378&lt;4,"Sample Watch • ","")&amp;"D&amp;D + Concept Match • Concept Proxy")</f>
        <v>Film Review Required</v>
      </c>
      <c r="K378" s="9" t="str">
        <f>"Opponent exact-play alert only. No Defensive Exact-Play Sample. "&amp;IF(Z378=0,"Confirm concept mapping and review film before treating this as a defensive candidate.","Metrics describe the confirmed concept; "&amp;IF($Z378=0,"",INDEX('DEF_CALL_DECISION_SUPPORT'!$A$1:$U$1496,$Z378,12)))</f>
        <v>Opponent exact-play alert only. No Defensive Exact-Play Sample. Confirm concept mapping and review film before treating this as a defensive candidate.</v>
      </c>
      <c r="L378" s="7"/>
      <c r="Y378" s="2" t="s">
        <v>2673</v>
      </c>
      <c r="Z378" s="2">
        <f>IF($L378="",0,IFERROR(MATCH(LEN($A378)&amp;":"&amp;$A378&amp;"|"&amp;LEN($L378)&amp;":"&amp;$L378&amp;"|",'DEF_CALL_DECISION_SUPPORT'!$U$811:$U$1055,0)+811-1,0))</f>
        <v>0</v>
      </c>
    </row>
    <row r="379" spans="1:26" ht="50" customHeight="1">
      <c r="A379" s="8" t="s">
        <v>107</v>
      </c>
      <c r="B379" s="8" t="s">
        <v>1494</v>
      </c>
      <c r="C379" s="8" t="str">
        <f>IF($Z379=0,"Film Review Required",INDEX('DEF_CALL_DECISION_SUPPORT'!$A$1:$U$1496,$Z379,2))</f>
        <v>Film Review Required</v>
      </c>
      <c r="D379" s="12">
        <f>IF($Z379=0,"",INDEX('DEF_CALL_DECISION_SUPPORT'!$A$1:$U$1496,$Z379,3))</f>
        <v/>
      </c>
      <c r="E379" s="10">
        <f>IF($Z379=0,"",INDEX('DEF_CALL_DECISION_SUPPORT'!$A$1:$U$1496,$Z379,4))</f>
        <v/>
      </c>
      <c r="F379" s="10">
        <f>IF($Z379=0,"",INDEX('DEF_CALL_DECISION_SUPPORT'!$A$1:$U$1496,$Z379,5))</f>
        <v/>
      </c>
      <c r="G379" s="11">
        <f>IF($Z379=0,"",INDEX('DEF_CALL_DECISION_SUPPORT'!$A$1:$U$1496,$Z379,6))</f>
        <v/>
      </c>
      <c r="H379" s="11">
        <f>IF($Z379=0,"",INDEX('DEF_CALL_DECISION_SUPPORT'!$A$1:$U$1496,$Z379,10))</f>
        <v/>
      </c>
      <c r="I379" s="14">
        <f>IF($Z379=0,"",INDEX('DEF_CALL_DECISION_SUPPORT'!$A$1:$U$1496,$Z379,9))</f>
        <v/>
      </c>
      <c r="J379" s="14" t="str">
        <f>IF(Z379=0,"Film Review Required",IF(D379&lt;4,"Sample Watch • ","")&amp;"D&amp;D + Concept Match • Concept Proxy")</f>
        <v>Film Review Required</v>
      </c>
      <c r="K379" s="9" t="str">
        <f>"Opponent exact-play alert only. No Defensive Exact-Play Sample. "&amp;IF(Z379=0,"Confirm concept mapping and review film before treating this as a defensive candidate.","Metrics describe the confirmed concept; "&amp;IF($Z379=0,"",INDEX('DEF_CALL_DECISION_SUPPORT'!$A$1:$U$1496,$Z379,12)))</f>
        <v>Opponent exact-play alert only. No Defensive Exact-Play Sample. Confirm concept mapping and review film before treating this as a defensive candidate.</v>
      </c>
      <c r="L379" s="7"/>
      <c r="Y379" s="2" t="s">
        <v>2674</v>
      </c>
      <c r="Z379" s="2">
        <f>IF($L379="",0,IFERROR(MATCH(LEN($A379)&amp;":"&amp;$A379&amp;"|"&amp;LEN($L379)&amp;":"&amp;$L379&amp;"|",'DEF_CALL_DECISION_SUPPORT'!$U$811:$U$1055,0)+811-1,0))</f>
        <v>0</v>
      </c>
    </row>
    <row r="380" spans="1:26" ht="50" customHeight="1">
      <c r="A380" s="8" t="s">
        <v>107</v>
      </c>
      <c r="B380" s="8" t="s">
        <v>823</v>
      </c>
      <c r="C380" s="8" t="str">
        <f>IF($Z380=0,"Film Review Required",INDEX('DEF_CALL_DECISION_SUPPORT'!$A$1:$U$1496,$Z380,2))</f>
        <v>RAMBO</v>
      </c>
      <c r="D380" s="12">
        <f>IF($Z380=0,"",INDEX('DEF_CALL_DECISION_SUPPORT'!$A$1:$U$1496,$Z380,3))</f>
        <v>1</v>
      </c>
      <c r="E380" s="10">
        <f>IF($Z380=0,"",INDEX('DEF_CALL_DECISION_SUPPORT'!$A$1:$U$1496,$Z380,4))</f>
        <v>1.0</v>
      </c>
      <c r="F380" s="10">
        <f>IF($Z380=0,"",INDEX('DEF_CALL_DECISION_SUPPORT'!$A$1:$U$1496,$Z380,5))</f>
        <v>0.0</v>
      </c>
      <c r="G380" s="11">
        <f>IF($Z380=0,"",INDEX('DEF_CALL_DECISION_SUPPORT'!$A$1:$U$1496,$Z380,6))</f>
        <v>0.0</v>
      </c>
      <c r="H380" s="11">
        <f>IF($Z380=0,"",INDEX('DEF_CALL_DECISION_SUPPORT'!$A$1:$U$1496,$Z380,10))</f>
        <v>100.0</v>
      </c>
      <c r="I380" s="14" t="str">
        <f>IF($Z380=0,"",INDEX('DEF_CALL_DECISION_SUPPORT'!$A$1:$U$1496,$Z380,9))</f>
        <v>TRACK</v>
      </c>
      <c r="J380" s="14" t="str">
        <f>IF(Z380=0,"Film Review Required",IF(D380&lt;4,"Sample Watch • ","")&amp;"D&amp;D + Concept Match • Concept Proxy")</f>
        <v>Sample Watch • D&amp;D + Concept Match • Concept Proxy</v>
      </c>
      <c r="K380" s="9" t="str">
        <f>"Opponent exact-play alert only. No Defensive Exact-Play Sample. "&amp;IF(Z380=0,"Confirm concept mapping and review film before treating this as a defensive candidate.","Metrics describe the confirmed concept; "&amp;IF($Z380=0,"",INDEX('DEF_CALL_DECISION_SUPPORT'!$A$1:$U$1496,$Z380,12)))</f>
        <v>Opponent exact-play alert only. No Defensive Exact-Play Sample. Metrics describe the confirmed concept; Track only; not enough sample.</v>
      </c>
      <c r="L380" s="7" t="s">
        <v>428</v>
      </c>
      <c r="Y380" s="2" t="s">
        <v>2675</v>
      </c>
      <c r="Z380" s="2">
        <f>IF($L380="",0,IFERROR(MATCH(LEN($A380)&amp;":"&amp;$A380&amp;"|"&amp;LEN($L380)&amp;":"&amp;$L380&amp;"|",'DEF_CALL_DECISION_SUPPORT'!$U$811:$U$1055,0)+811-1,0))</f>
        <v>1009</v>
      </c>
    </row>
    <row r="381" spans="1:26" ht="50" customHeight="1">
      <c r="A381" s="8" t="s">
        <v>111</v>
      </c>
      <c r="B381" s="8" t="s">
        <v>1687</v>
      </c>
      <c r="C381" s="8" t="str">
        <f>IF($Z381=0,"Film Review Required",INDEX('DEF_CALL_DECISION_SUPPORT'!$A$1:$U$1496,$Z381,2))</f>
        <v>Film Review Required</v>
      </c>
      <c r="D381" s="12">
        <f>IF($Z381=0,"",INDEX('DEF_CALL_DECISION_SUPPORT'!$A$1:$U$1496,$Z381,3))</f>
        <v/>
      </c>
      <c r="E381" s="10">
        <f>IF($Z381=0,"",INDEX('DEF_CALL_DECISION_SUPPORT'!$A$1:$U$1496,$Z381,4))</f>
        <v/>
      </c>
      <c r="F381" s="10">
        <f>IF($Z381=0,"",INDEX('DEF_CALL_DECISION_SUPPORT'!$A$1:$U$1496,$Z381,5))</f>
        <v/>
      </c>
      <c r="G381" s="11">
        <f>IF($Z381=0,"",INDEX('DEF_CALL_DECISION_SUPPORT'!$A$1:$U$1496,$Z381,6))</f>
        <v/>
      </c>
      <c r="H381" s="11">
        <f>IF($Z381=0,"",INDEX('DEF_CALL_DECISION_SUPPORT'!$A$1:$U$1496,$Z381,10))</f>
        <v/>
      </c>
      <c r="I381" s="14">
        <f>IF($Z381=0,"",INDEX('DEF_CALL_DECISION_SUPPORT'!$A$1:$U$1496,$Z381,9))</f>
        <v/>
      </c>
      <c r="J381" s="14" t="str">
        <f>IF(Z381=0,"Film Review Required",IF(D381&lt;4,"Sample Watch • ","")&amp;"D&amp;D + Concept Match • Concept Proxy")</f>
        <v>Film Review Required</v>
      </c>
      <c r="K381" s="9" t="str">
        <f>"Opponent exact-play alert only. No Defensive Exact-Play Sample. "&amp;IF(Z381=0,"Confirm concept mapping and review film before treating this as a defensive candidate.","Metrics describe the confirmed concept; "&amp;IF($Z381=0,"",INDEX('DEF_CALL_DECISION_SUPPORT'!$A$1:$U$1496,$Z381,12)))</f>
        <v>Opponent exact-play alert only. No Defensive Exact-Play Sample. Confirm concept mapping and review film before treating this as a defensive candidate.</v>
      </c>
      <c r="L381" s="7" t="s">
        <v>878</v>
      </c>
      <c r="Y381" s="2" t="s">
        <v>2676</v>
      </c>
      <c r="Z381" s="2">
        <f>IF($L381="",0,IFERROR(MATCH(LEN($A381)&amp;":"&amp;$A381&amp;"|"&amp;LEN($L381)&amp;":"&amp;$L381&amp;"|",'DEF_CALL_DECISION_SUPPORT'!$U$811:$U$1055,0)+811-1,0))</f>
        <v>0</v>
      </c>
    </row>
    <row r="382" spans="1:26" ht="50" customHeight="1">
      <c r="A382" s="8" t="s">
        <v>111</v>
      </c>
      <c r="B382" s="8" t="s">
        <v>1684</v>
      </c>
      <c r="C382" s="8" t="str">
        <f>IF($Z382=0,"Film Review Required",INDEX('DEF_CALL_DECISION_SUPPORT'!$A$1:$U$1496,$Z382,2))</f>
        <v>Film Review Required</v>
      </c>
      <c r="D382" s="12">
        <f>IF($Z382=0,"",INDEX('DEF_CALL_DECISION_SUPPORT'!$A$1:$U$1496,$Z382,3))</f>
        <v/>
      </c>
      <c r="E382" s="10">
        <f>IF($Z382=0,"",INDEX('DEF_CALL_DECISION_SUPPORT'!$A$1:$U$1496,$Z382,4))</f>
        <v/>
      </c>
      <c r="F382" s="10">
        <f>IF($Z382=0,"",INDEX('DEF_CALL_DECISION_SUPPORT'!$A$1:$U$1496,$Z382,5))</f>
        <v/>
      </c>
      <c r="G382" s="11">
        <f>IF($Z382=0,"",INDEX('DEF_CALL_DECISION_SUPPORT'!$A$1:$U$1496,$Z382,6))</f>
        <v/>
      </c>
      <c r="H382" s="11">
        <f>IF($Z382=0,"",INDEX('DEF_CALL_DECISION_SUPPORT'!$A$1:$U$1496,$Z382,10))</f>
        <v/>
      </c>
      <c r="I382" s="14">
        <f>IF($Z382=0,"",INDEX('DEF_CALL_DECISION_SUPPORT'!$A$1:$U$1496,$Z382,9))</f>
        <v/>
      </c>
      <c r="J382" s="14" t="str">
        <f>IF(Z382=0,"Film Review Required",IF(D382&lt;4,"Sample Watch • ","")&amp;"D&amp;D + Concept Match • Concept Proxy")</f>
        <v>Film Review Required</v>
      </c>
      <c r="K382" s="9" t="str">
        <f>"Opponent exact-play alert only. No Defensive Exact-Play Sample. "&amp;IF(Z382=0,"Confirm concept mapping and review film before treating this as a defensive candidate.","Metrics describe the confirmed concept; "&amp;IF($Z382=0,"",INDEX('DEF_CALL_DECISION_SUPPORT'!$A$1:$U$1496,$Z382,12)))</f>
        <v>Opponent exact-play alert only. No Defensive Exact-Play Sample. Confirm concept mapping and review film before treating this as a defensive candidate.</v>
      </c>
      <c r="L382" s="7" t="s">
        <v>1038</v>
      </c>
      <c r="Y382" s="2" t="s">
        <v>2677</v>
      </c>
      <c r="Z382" s="2">
        <f>IF($L382="",0,IFERROR(MATCH(LEN($A382)&amp;":"&amp;$A382&amp;"|"&amp;LEN($L382)&amp;":"&amp;$L382&amp;"|",'DEF_CALL_DECISION_SUPPORT'!$U$811:$U$1055,0)+811-1,0))</f>
        <v>0</v>
      </c>
    </row>
    <row r="383" spans="1:26" ht="50" customHeight="1">
      <c r="A383" s="8" t="s">
        <v>115</v>
      </c>
      <c r="B383" s="8" t="s">
        <v>1406</v>
      </c>
      <c r="C383" s="8" t="str">
        <f>IF($Z383=0,"Film Review Required",INDEX('DEF_CALL_DECISION_SUPPORT'!$A$1:$U$1496,$Z383,2))</f>
        <v>TEX</v>
      </c>
      <c r="D383" s="12">
        <f>IF($Z383=0,"",INDEX('DEF_CALL_DECISION_SUPPORT'!$A$1:$U$1496,$Z383,3))</f>
        <v>1</v>
      </c>
      <c r="E383" s="10">
        <f>IF($Z383=0,"",INDEX('DEF_CALL_DECISION_SUPPORT'!$A$1:$U$1496,$Z383,4))</f>
        <v>1.0</v>
      </c>
      <c r="F383" s="10">
        <f>IF($Z383=0,"",INDEX('DEF_CALL_DECISION_SUPPORT'!$A$1:$U$1496,$Z383,5))</f>
        <v>0.0</v>
      </c>
      <c r="G383" s="11">
        <f>IF($Z383=0,"",INDEX('DEF_CALL_DECISION_SUPPORT'!$A$1:$U$1496,$Z383,6))</f>
        <v>0.0</v>
      </c>
      <c r="H383" s="11">
        <f>IF($Z383=0,"",INDEX('DEF_CALL_DECISION_SUPPORT'!$A$1:$U$1496,$Z383,10))</f>
        <v>100.0</v>
      </c>
      <c r="I383" s="14" t="str">
        <f>IF($Z383=0,"",INDEX('DEF_CALL_DECISION_SUPPORT'!$A$1:$U$1496,$Z383,9))</f>
        <v>TRACK</v>
      </c>
      <c r="J383" s="14" t="str">
        <f>IF(Z383=0,"Film Review Required",IF(D383&lt;4,"Sample Watch • ","")&amp;"D&amp;D + Concept Match • Concept Proxy")</f>
        <v>Sample Watch • D&amp;D + Concept Match • Concept Proxy</v>
      </c>
      <c r="K383" s="9" t="str">
        <f>"Opponent exact-play alert only. No Defensive Exact-Play Sample. "&amp;IF(Z383=0,"Confirm concept mapping and review film before treating this as a defensive candidate.","Metrics describe the confirmed concept; "&amp;IF($Z383=0,"",INDEX('DEF_CALL_DECISION_SUPPORT'!$A$1:$U$1496,$Z383,12)))</f>
        <v>Opponent exact-play alert only. No Defensive Exact-Play Sample. Metrics describe the confirmed concept; Track only; not enough sample.</v>
      </c>
      <c r="L383" s="7" t="s">
        <v>471</v>
      </c>
      <c r="Y383" s="2" t="s">
        <v>2678</v>
      </c>
      <c r="Z383" s="2">
        <f>IF($L383="",0,IFERROR(MATCH(LEN($A383)&amp;":"&amp;$A383&amp;"|"&amp;LEN($L383)&amp;":"&amp;$L383&amp;"|",'DEF_CALL_DECISION_SUPPORT'!$U$811:$U$1055,0)+811-1,0))</f>
        <v>1052</v>
      </c>
    </row>
    <row r="384" spans="1:26" ht="50" customHeight="1">
      <c r="A384" s="8" t="s">
        <v>115</v>
      </c>
      <c r="B384" s="8" t="s">
        <v>1413</v>
      </c>
      <c r="C384" s="8" t="str">
        <f>IF($Z384=0,"Film Review Required",INDEX('DEF_CALL_DECISION_SUPPORT'!$A$1:$U$1496,$Z384,2))</f>
        <v>TEX</v>
      </c>
      <c r="D384" s="12">
        <f>IF($Z384=0,"",INDEX('DEF_CALL_DECISION_SUPPORT'!$A$1:$U$1496,$Z384,3))</f>
        <v>1</v>
      </c>
      <c r="E384" s="10">
        <f>IF($Z384=0,"",INDEX('DEF_CALL_DECISION_SUPPORT'!$A$1:$U$1496,$Z384,4))</f>
        <v>1.0</v>
      </c>
      <c r="F384" s="10">
        <f>IF($Z384=0,"",INDEX('DEF_CALL_DECISION_SUPPORT'!$A$1:$U$1496,$Z384,5))</f>
        <v>0.0</v>
      </c>
      <c r="G384" s="11">
        <f>IF($Z384=0,"",INDEX('DEF_CALL_DECISION_SUPPORT'!$A$1:$U$1496,$Z384,6))</f>
        <v>3.0</v>
      </c>
      <c r="H384" s="11">
        <f>IF($Z384=0,"",INDEX('DEF_CALL_DECISION_SUPPORT'!$A$1:$U$1496,$Z384,10))</f>
        <v>97.0</v>
      </c>
      <c r="I384" s="14" t="str">
        <f>IF($Z384=0,"",INDEX('DEF_CALL_DECISION_SUPPORT'!$A$1:$U$1496,$Z384,9))</f>
        <v>TRACK</v>
      </c>
      <c r="J384" s="14" t="str">
        <f>IF(Z384=0,"Film Review Required",IF(D384&lt;4,"Sample Watch • ","")&amp;"D&amp;D + Concept Match • Concept Proxy")</f>
        <v>Sample Watch • D&amp;D + Concept Match • Concept Proxy</v>
      </c>
      <c r="K384" s="9" t="str">
        <f>"Opponent exact-play alert only. No Defensive Exact-Play Sample. "&amp;IF(Z384=0,"Confirm concept mapping and review film before treating this as a defensive candidate.","Metrics describe the confirmed concept; "&amp;IF($Z384=0,"",INDEX('DEF_CALL_DECISION_SUPPORT'!$A$1:$U$1496,$Z384,12)))</f>
        <v>Opponent exact-play alert only. No Defensive Exact-Play Sample. Metrics describe the confirmed concept; Track only; not enough sample.</v>
      </c>
      <c r="L384" s="7" t="s">
        <v>541</v>
      </c>
      <c r="Y384" s="2" t="s">
        <v>2679</v>
      </c>
      <c r="Z384" s="2">
        <f>IF($L384="",0,IFERROR(MATCH(LEN($A384)&amp;":"&amp;$A384&amp;"|"&amp;LEN($L384)&amp;":"&amp;$L384&amp;"|",'DEF_CALL_DECISION_SUPPORT'!$U$811:$U$1055,0)+811-1,0))</f>
        <v>1048</v>
      </c>
    </row>
    <row r="385" spans="1:26" ht="50" customHeight="1">
      <c r="A385" s="8" t="s">
        <v>115</v>
      </c>
      <c r="B385" s="8" t="s">
        <v>1431</v>
      </c>
      <c r="C385" s="8" t="str">
        <f>IF($Z385=0,"Film Review Required",INDEX('DEF_CALL_DECISION_SUPPORT'!$A$1:$U$1496,$Z385,2))</f>
        <v>KEY CAPTAIN</v>
      </c>
      <c r="D385" s="12">
        <f>IF($Z385=0,"",INDEX('DEF_CALL_DECISION_SUPPORT'!$A$1:$U$1496,$Z385,3))</f>
        <v>1</v>
      </c>
      <c r="E385" s="10">
        <f>IF($Z385=0,"",INDEX('DEF_CALL_DECISION_SUPPORT'!$A$1:$U$1496,$Z385,4))</f>
        <v>1.0</v>
      </c>
      <c r="F385" s="10">
        <f>IF($Z385=0,"",INDEX('DEF_CALL_DECISION_SUPPORT'!$A$1:$U$1496,$Z385,5))</f>
        <v>0.0</v>
      </c>
      <c r="G385" s="11">
        <f>IF($Z385=0,"",INDEX('DEF_CALL_DECISION_SUPPORT'!$A$1:$U$1496,$Z385,6))</f>
        <v>-7.0</v>
      </c>
      <c r="H385" s="11">
        <f>IF($Z385=0,"",INDEX('DEF_CALL_DECISION_SUPPORT'!$A$1:$U$1496,$Z385,10))</f>
        <v>100.0</v>
      </c>
      <c r="I385" s="14" t="str">
        <f>IF($Z385=0,"",INDEX('DEF_CALL_DECISION_SUPPORT'!$A$1:$U$1496,$Z385,9))</f>
        <v>TRACK</v>
      </c>
      <c r="J385" s="14" t="str">
        <f>IF(Z385=0,"Film Review Required",IF(D385&lt;4,"Sample Watch • ","")&amp;"D&amp;D + Concept Match • Concept Proxy")</f>
        <v>Sample Watch • D&amp;D + Concept Match • Concept Proxy</v>
      </c>
      <c r="K385" s="9" t="str">
        <f>"Opponent exact-play alert only. No Defensive Exact-Play Sample. "&amp;IF(Z385=0,"Confirm concept mapping and review film before treating this as a defensive candidate.","Metrics describe the confirmed concept; "&amp;IF($Z385=0,"",INDEX('DEF_CALL_DECISION_SUPPORT'!$A$1:$U$1496,$Z385,12)))</f>
        <v>Opponent exact-play alert only. No Defensive Exact-Play Sample. Metrics describe the confirmed concept; Track only; not enough sample.</v>
      </c>
      <c r="L385" s="7" t="s">
        <v>468</v>
      </c>
      <c r="Y385" s="2" t="s">
        <v>2680</v>
      </c>
      <c r="Z385" s="2">
        <f>IF($L385="",0,IFERROR(MATCH(LEN($A385)&amp;":"&amp;$A385&amp;"|"&amp;LEN($L385)&amp;":"&amp;$L385&amp;"|",'DEF_CALL_DECISION_SUPPORT'!$U$811:$U$1055,0)+811-1,0))</f>
        <v>1047</v>
      </c>
    </row>
    <row r="386" spans="1:26" ht="50" customHeight="1">
      <c r="A386" s="8" t="s">
        <v>115</v>
      </c>
      <c r="B386" s="8" t="s">
        <v>49</v>
      </c>
      <c r="C386" s="8" t="str">
        <f>IF($Z386=0,"Film Review Required",INDEX('DEF_CALL_DECISION_SUPPORT'!$A$1:$U$1496,$Z386,2))</f>
        <v>Film Review Required</v>
      </c>
      <c r="D386" s="12">
        <f>IF($Z386=0,"",INDEX('DEF_CALL_DECISION_SUPPORT'!$A$1:$U$1496,$Z386,3))</f>
        <v/>
      </c>
      <c r="E386" s="10">
        <f>IF($Z386=0,"",INDEX('DEF_CALL_DECISION_SUPPORT'!$A$1:$U$1496,$Z386,4))</f>
        <v/>
      </c>
      <c r="F386" s="10">
        <f>IF($Z386=0,"",INDEX('DEF_CALL_DECISION_SUPPORT'!$A$1:$U$1496,$Z386,5))</f>
        <v/>
      </c>
      <c r="G386" s="11">
        <f>IF($Z386=0,"",INDEX('DEF_CALL_DECISION_SUPPORT'!$A$1:$U$1496,$Z386,6))</f>
        <v/>
      </c>
      <c r="H386" s="11">
        <f>IF($Z386=0,"",INDEX('DEF_CALL_DECISION_SUPPORT'!$A$1:$U$1496,$Z386,10))</f>
        <v/>
      </c>
      <c r="I386" s="14">
        <f>IF($Z386=0,"",INDEX('DEF_CALL_DECISION_SUPPORT'!$A$1:$U$1496,$Z386,9))</f>
        <v/>
      </c>
      <c r="J386" s="14" t="str">
        <f>IF(Z386=0,"Film Review Required",IF(D386&lt;4,"Sample Watch • ","")&amp;"D&amp;D + Concept Match • Concept Proxy")</f>
        <v>Film Review Required</v>
      </c>
      <c r="K386" s="9" t="str">
        <f>"Opponent exact-play alert only. No Defensive Exact-Play Sample. "&amp;IF(Z386=0,"Confirm concept mapping and review film before treating this as a defensive candidate.","Metrics describe the confirmed concept; "&amp;IF($Z386=0,"",INDEX('DEF_CALL_DECISION_SUPPORT'!$A$1:$U$1496,$Z386,12)))</f>
        <v>Opponent exact-play alert only. No Defensive Exact-Play Sample. Confirm concept mapping and review film before treating this as a defensive candidate.</v>
      </c>
      <c r="L386" s="7"/>
      <c r="Y386" s="2" t="s">
        <v>2681</v>
      </c>
      <c r="Z386" s="2">
        <f>IF($L386="",0,IFERROR(MATCH(LEN($A386)&amp;":"&amp;$A386&amp;"|"&amp;LEN($L386)&amp;":"&amp;$L386&amp;"|",'DEF_CALL_DECISION_SUPPORT'!$U$811:$U$1055,0)+811-1,0))</f>
        <v>0</v>
      </c>
    </row>
    <row r="387" spans="1:26" ht="50" customHeight="1">
      <c r="A387" s="8" t="s">
        <v>115</v>
      </c>
      <c r="B387" s="8" t="s">
        <v>1435</v>
      </c>
      <c r="C387" s="8" t="str">
        <f>IF($Z387=0,"Film Review Required",INDEX('DEF_CALL_DECISION_SUPPORT'!$A$1:$U$1496,$Z387,2))</f>
        <v>Film Review Required</v>
      </c>
      <c r="D387" s="12">
        <f>IF($Z387=0,"",INDEX('DEF_CALL_DECISION_SUPPORT'!$A$1:$U$1496,$Z387,3))</f>
        <v/>
      </c>
      <c r="E387" s="10">
        <f>IF($Z387=0,"",INDEX('DEF_CALL_DECISION_SUPPORT'!$A$1:$U$1496,$Z387,4))</f>
        <v/>
      </c>
      <c r="F387" s="10">
        <f>IF($Z387=0,"",INDEX('DEF_CALL_DECISION_SUPPORT'!$A$1:$U$1496,$Z387,5))</f>
        <v/>
      </c>
      <c r="G387" s="11">
        <f>IF($Z387=0,"",INDEX('DEF_CALL_DECISION_SUPPORT'!$A$1:$U$1496,$Z387,6))</f>
        <v/>
      </c>
      <c r="H387" s="11">
        <f>IF($Z387=0,"",INDEX('DEF_CALL_DECISION_SUPPORT'!$A$1:$U$1496,$Z387,10))</f>
        <v/>
      </c>
      <c r="I387" s="14">
        <f>IF($Z387=0,"",INDEX('DEF_CALL_DECISION_SUPPORT'!$A$1:$U$1496,$Z387,9))</f>
        <v/>
      </c>
      <c r="J387" s="14" t="str">
        <f>IF(Z387=0,"Film Review Required",IF(D387&lt;4,"Sample Watch • ","")&amp;"D&amp;D + Concept Match • Concept Proxy")</f>
        <v>Film Review Required</v>
      </c>
      <c r="K387" s="9" t="str">
        <f>"Opponent exact-play alert only. No Defensive Exact-Play Sample. "&amp;IF(Z387=0,"Confirm concept mapping and review film before treating this as a defensive candidate.","Metrics describe the confirmed concept; "&amp;IF($Z387=0,"",INDEX('DEF_CALL_DECISION_SUPPORT'!$A$1:$U$1496,$Z387,12)))</f>
        <v>Opponent exact-play alert only. No Defensive Exact-Play Sample. Confirm concept mapping and review film before treating this as a defensive candidate.</v>
      </c>
      <c r="L387" s="7" t="s">
        <v>800</v>
      </c>
      <c r="Y387" s="2" t="s">
        <v>2682</v>
      </c>
      <c r="Z387" s="2">
        <f>IF($L387="",0,IFERROR(MATCH(LEN($A387)&amp;":"&amp;$A387&amp;"|"&amp;LEN($L387)&amp;":"&amp;$L387&amp;"|",'DEF_CALL_DECISION_SUPPORT'!$U$811:$U$1055,0)+811-1,0))</f>
        <v>0</v>
      </c>
    </row>
    <row r="388" spans="1:26" ht="50" customHeight="1">
      <c r="A388" s="8" t="s">
        <v>115</v>
      </c>
      <c r="B388" s="8" t="s">
        <v>1410</v>
      </c>
      <c r="C388" s="8" t="str">
        <f>IF($Z388=0,"Film Review Required",INDEX('DEF_CALL_DECISION_SUPPORT'!$A$1:$U$1496,$Z388,2))</f>
        <v>SWAP</v>
      </c>
      <c r="D388" s="12">
        <f>IF($Z388=0,"",INDEX('DEF_CALL_DECISION_SUPPORT'!$A$1:$U$1496,$Z388,3))</f>
        <v>1</v>
      </c>
      <c r="E388" s="10">
        <f>IF($Z388=0,"",INDEX('DEF_CALL_DECISION_SUPPORT'!$A$1:$U$1496,$Z388,4))</f>
        <v>1.0</v>
      </c>
      <c r="F388" s="10">
        <f>IF($Z388=0,"",INDEX('DEF_CALL_DECISION_SUPPORT'!$A$1:$U$1496,$Z388,5))</f>
        <v>0.0</v>
      </c>
      <c r="G388" s="11">
        <f>IF($Z388=0,"",INDEX('DEF_CALL_DECISION_SUPPORT'!$A$1:$U$1496,$Z388,6))</f>
        <v>3.0</v>
      </c>
      <c r="H388" s="11">
        <f>IF($Z388=0,"",INDEX('DEF_CALL_DECISION_SUPPORT'!$A$1:$U$1496,$Z388,10))</f>
        <v>97.0</v>
      </c>
      <c r="I388" s="14" t="str">
        <f>IF($Z388=0,"",INDEX('DEF_CALL_DECISION_SUPPORT'!$A$1:$U$1496,$Z388,9))</f>
        <v>TRACK</v>
      </c>
      <c r="J388" s="14" t="str">
        <f>IF(Z388=0,"Film Review Required",IF(D388&lt;4,"Sample Watch • ","")&amp;"D&amp;D + Concept Match • Concept Proxy")</f>
        <v>Sample Watch • D&amp;D + Concept Match • Concept Proxy</v>
      </c>
      <c r="K388" s="9" t="str">
        <f>"Opponent exact-play alert only. No Defensive Exact-Play Sample. "&amp;IF(Z388=0,"Confirm concept mapping and review film before treating this as a defensive candidate.","Metrics describe the confirmed concept; "&amp;IF($Z388=0,"",INDEX('DEF_CALL_DECISION_SUPPORT'!$A$1:$U$1496,$Z388,12)))</f>
        <v>Opponent exact-play alert only. No Defensive Exact-Play Sample. Metrics describe the confirmed concept; Track only; not enough sample.</v>
      </c>
      <c r="L388" s="7" t="s">
        <v>611</v>
      </c>
      <c r="Y388" s="2" t="s">
        <v>2683</v>
      </c>
      <c r="Z388" s="2">
        <f>IF($L388="",0,IFERROR(MATCH(LEN($A388)&amp;":"&amp;$A388&amp;"|"&amp;LEN($L388)&amp;":"&amp;$L388&amp;"|",'DEF_CALL_DECISION_SUPPORT'!$U$811:$U$1055,0)+811-1,0))</f>
        <v>1033</v>
      </c>
    </row>
    <row r="389" spans="1:26" ht="50" customHeight="1">
      <c r="A389" s="8" t="s">
        <v>115</v>
      </c>
      <c r="B389" s="8" t="s">
        <v>1429</v>
      </c>
      <c r="C389" s="8" t="str">
        <f>IF($Z389=0,"Film Review Required",INDEX('DEF_CALL_DECISION_SUPPORT'!$A$1:$U$1496,$Z389,2))</f>
        <v>Film Review Required</v>
      </c>
      <c r="D389" s="12">
        <f>IF($Z389=0,"",INDEX('DEF_CALL_DECISION_SUPPORT'!$A$1:$U$1496,$Z389,3))</f>
        <v/>
      </c>
      <c r="E389" s="10">
        <f>IF($Z389=0,"",INDEX('DEF_CALL_DECISION_SUPPORT'!$A$1:$U$1496,$Z389,4))</f>
        <v/>
      </c>
      <c r="F389" s="10">
        <f>IF($Z389=0,"",INDEX('DEF_CALL_DECISION_SUPPORT'!$A$1:$U$1496,$Z389,5))</f>
        <v/>
      </c>
      <c r="G389" s="11">
        <f>IF($Z389=0,"",INDEX('DEF_CALL_DECISION_SUPPORT'!$A$1:$U$1496,$Z389,6))</f>
        <v/>
      </c>
      <c r="H389" s="11">
        <f>IF($Z389=0,"",INDEX('DEF_CALL_DECISION_SUPPORT'!$A$1:$U$1496,$Z389,10))</f>
        <v/>
      </c>
      <c r="I389" s="14">
        <f>IF($Z389=0,"",INDEX('DEF_CALL_DECISION_SUPPORT'!$A$1:$U$1496,$Z389,9))</f>
        <v/>
      </c>
      <c r="J389" s="14" t="str">
        <f>IF(Z389=0,"Film Review Required",IF(D389&lt;4,"Sample Watch • ","")&amp;"D&amp;D + Concept Match • Concept Proxy")</f>
        <v>Film Review Required</v>
      </c>
      <c r="K389" s="9" t="str">
        <f>"Opponent exact-play alert only. No Defensive Exact-Play Sample. "&amp;IF(Z389=0,"Confirm concept mapping and review film before treating this as a defensive candidate.","Metrics describe the confirmed concept; "&amp;IF($Z389=0,"",INDEX('DEF_CALL_DECISION_SUPPORT'!$A$1:$U$1496,$Z389,12)))</f>
        <v>Opponent exact-play alert only. No Defensive Exact-Play Sample. Confirm concept mapping and review film before treating this as a defensive candidate.</v>
      </c>
      <c r="L389" s="7" t="s">
        <v>574</v>
      </c>
      <c r="Y389" s="2" t="s">
        <v>2684</v>
      </c>
      <c r="Z389" s="2">
        <f>IF($L389="",0,IFERROR(MATCH(LEN($A389)&amp;":"&amp;$A389&amp;"|"&amp;LEN($L389)&amp;":"&amp;$L389&amp;"|",'DEF_CALL_DECISION_SUPPORT'!$U$811:$U$1055,0)+811-1,0))</f>
        <v>0</v>
      </c>
    </row>
    <row r="390" spans="1:26" ht="50" customHeight="1">
      <c r="A390" s="8" t="s">
        <v>115</v>
      </c>
      <c r="B390" s="8" t="s">
        <v>1455</v>
      </c>
      <c r="C390" s="8" t="str">
        <f>IF($Z390=0,"Film Review Required",INDEX('DEF_CALL_DECISION_SUPPORT'!$A$1:$U$1496,$Z390,2))</f>
        <v>RAMBO</v>
      </c>
      <c r="D390" s="12">
        <f>IF($Z390=0,"",INDEX('DEF_CALL_DECISION_SUPPORT'!$A$1:$U$1496,$Z390,3))</f>
        <v>1</v>
      </c>
      <c r="E390" s="10">
        <f>IF($Z390=0,"",INDEX('DEF_CALL_DECISION_SUPPORT'!$A$1:$U$1496,$Z390,4))</f>
        <v>1.0</v>
      </c>
      <c r="F390" s="10">
        <f>IF($Z390=0,"",INDEX('DEF_CALL_DECISION_SUPPORT'!$A$1:$U$1496,$Z390,5))</f>
        <v>0.0</v>
      </c>
      <c r="G390" s="11">
        <f>IF($Z390=0,"",INDEX('DEF_CALL_DECISION_SUPPORT'!$A$1:$U$1496,$Z390,6))</f>
        <v>3.0</v>
      </c>
      <c r="H390" s="11">
        <f>IF($Z390=0,"",INDEX('DEF_CALL_DECISION_SUPPORT'!$A$1:$U$1496,$Z390,10))</f>
        <v>97.0</v>
      </c>
      <c r="I390" s="14" t="str">
        <f>IF($Z390=0,"",INDEX('DEF_CALL_DECISION_SUPPORT'!$A$1:$U$1496,$Z390,9))</f>
        <v>TRACK</v>
      </c>
      <c r="J390" s="14" t="str">
        <f>IF(Z390=0,"Film Review Required",IF(D390&lt;4,"Sample Watch • ","")&amp;"D&amp;D + Concept Match • Concept Proxy")</f>
        <v>Sample Watch • D&amp;D + Concept Match • Concept Proxy</v>
      </c>
      <c r="K390" s="9" t="str">
        <f>"Opponent exact-play alert only. No Defensive Exact-Play Sample. "&amp;IF(Z390=0,"Confirm concept mapping and review film before treating this as a defensive candidate.","Metrics describe the confirmed concept; "&amp;IF($Z390=0,"",INDEX('DEF_CALL_DECISION_SUPPORT'!$A$1:$U$1496,$Z390,12)))</f>
        <v>Opponent exact-play alert only. No Defensive Exact-Play Sample. Metrics describe the confirmed concept; Track only; not enough sample.</v>
      </c>
      <c r="L390" s="7" t="s">
        <v>480</v>
      </c>
      <c r="Y390" s="2" t="s">
        <v>2685</v>
      </c>
      <c r="Z390" s="2">
        <f>IF($L390="",0,IFERROR(MATCH(LEN($A390)&amp;":"&amp;$A390&amp;"|"&amp;LEN($L390)&amp;":"&amp;$L390&amp;"|",'DEF_CALL_DECISION_SUPPORT'!$U$811:$U$1055,0)+811-1,0))</f>
        <v>1055</v>
      </c>
    </row>
    <row r="391" spans="1:26" ht="50" customHeight="1">
      <c r="A391" s="8" t="s">
        <v>115</v>
      </c>
      <c r="B391" s="8" t="s">
        <v>1395</v>
      </c>
      <c r="C391" s="8" t="str">
        <f>IF($Z391=0,"Film Review Required",INDEX('DEF_CALL_DECISION_SUPPORT'!$A$1:$U$1496,$Z391,2))</f>
        <v>RAMBO</v>
      </c>
      <c r="D391" s="12">
        <f>IF($Z391=0,"",INDEX('DEF_CALL_DECISION_SUPPORT'!$A$1:$U$1496,$Z391,3))</f>
        <v>1</v>
      </c>
      <c r="E391" s="10">
        <f>IF($Z391=0,"",INDEX('DEF_CALL_DECISION_SUPPORT'!$A$1:$U$1496,$Z391,4))</f>
        <v>1.0</v>
      </c>
      <c r="F391" s="10">
        <f>IF($Z391=0,"",INDEX('DEF_CALL_DECISION_SUPPORT'!$A$1:$U$1496,$Z391,5))</f>
        <v>0.0</v>
      </c>
      <c r="G391" s="11">
        <f>IF($Z391=0,"",INDEX('DEF_CALL_DECISION_SUPPORT'!$A$1:$U$1496,$Z391,6))</f>
        <v>2.0</v>
      </c>
      <c r="H391" s="11">
        <f>IF($Z391=0,"",INDEX('DEF_CALL_DECISION_SUPPORT'!$A$1:$U$1496,$Z391,10))</f>
        <v>98.0</v>
      </c>
      <c r="I391" s="14" t="str">
        <f>IF($Z391=0,"",INDEX('DEF_CALL_DECISION_SUPPORT'!$A$1:$U$1496,$Z391,9))</f>
        <v>TRACK</v>
      </c>
      <c r="J391" s="14" t="str">
        <f>IF(Z391=0,"Film Review Required",IF(D391&lt;4,"Sample Watch • ","")&amp;"D&amp;D + Concept Match • Concept Proxy")</f>
        <v>Sample Watch • D&amp;D + Concept Match • Concept Proxy</v>
      </c>
      <c r="K391" s="9" t="str">
        <f>"Opponent exact-play alert only. No Defensive Exact-Play Sample. "&amp;IF(Z391=0,"Confirm concept mapping and review film before treating this as a defensive candidate.","Metrics describe the confirmed concept; "&amp;IF($Z391=0,"",INDEX('DEF_CALL_DECISION_SUPPORT'!$A$1:$U$1496,$Z391,12)))</f>
        <v>Opponent exact-play alert only. No Defensive Exact-Play Sample. Metrics describe the confirmed concept; Track only; not enough sample.</v>
      </c>
      <c r="L391" s="7" t="s">
        <v>449</v>
      </c>
      <c r="Y391" s="2" t="s">
        <v>2686</v>
      </c>
      <c r="Z391" s="2">
        <f>IF($L391="",0,IFERROR(MATCH(LEN($A391)&amp;":"&amp;$A391&amp;"|"&amp;LEN($L391)&amp;":"&amp;$L391&amp;"|",'DEF_CALL_DECISION_SUPPORT'!$U$811:$U$1055,0)+811-1,0))</f>
        <v>1025</v>
      </c>
    </row>
    <row r="392" spans="1:26" ht="50" customHeight="1">
      <c r="A392" s="8" t="s">
        <v>115</v>
      </c>
      <c r="B392" s="8" t="s">
        <v>1401</v>
      </c>
      <c r="C392" s="8" t="str">
        <f>IF($Z392=0,"Film Review Required",INDEX('DEF_CALL_DECISION_SUPPORT'!$A$1:$U$1496,$Z392,2))</f>
        <v>RAMBO</v>
      </c>
      <c r="D392" s="12">
        <f>IF($Z392=0,"",INDEX('DEF_CALL_DECISION_SUPPORT'!$A$1:$U$1496,$Z392,3))</f>
        <v>1</v>
      </c>
      <c r="E392" s="10">
        <f>IF($Z392=0,"",INDEX('DEF_CALL_DECISION_SUPPORT'!$A$1:$U$1496,$Z392,4))</f>
        <v>1.0</v>
      </c>
      <c r="F392" s="10">
        <f>IF($Z392=0,"",INDEX('DEF_CALL_DECISION_SUPPORT'!$A$1:$U$1496,$Z392,5))</f>
        <v>0.0</v>
      </c>
      <c r="G392" s="11">
        <f>IF($Z392=0,"",INDEX('DEF_CALL_DECISION_SUPPORT'!$A$1:$U$1496,$Z392,6))</f>
        <v>2.0</v>
      </c>
      <c r="H392" s="11">
        <f>IF($Z392=0,"",INDEX('DEF_CALL_DECISION_SUPPORT'!$A$1:$U$1496,$Z392,10))</f>
        <v>98.0</v>
      </c>
      <c r="I392" s="14" t="str">
        <f>IF($Z392=0,"",INDEX('DEF_CALL_DECISION_SUPPORT'!$A$1:$U$1496,$Z392,9))</f>
        <v>TRACK</v>
      </c>
      <c r="J392" s="14" t="str">
        <f>IF(Z392=0,"Film Review Required",IF(D392&lt;4,"Sample Watch • ","")&amp;"D&amp;D + Concept Match • Concept Proxy")</f>
        <v>Sample Watch • D&amp;D + Concept Match • Concept Proxy</v>
      </c>
      <c r="K392" s="9" t="str">
        <f>"Opponent exact-play alert only. No Defensive Exact-Play Sample. "&amp;IF(Z392=0,"Confirm concept mapping and review film before treating this as a defensive candidate.","Metrics describe the confirmed concept; "&amp;IF($Z392=0,"",INDEX('DEF_CALL_DECISION_SUPPORT'!$A$1:$U$1496,$Z392,12)))</f>
        <v>Opponent exact-play alert only. No Defensive Exact-Play Sample. Metrics describe the confirmed concept; Track only; not enough sample.</v>
      </c>
      <c r="L392" s="7" t="s">
        <v>449</v>
      </c>
      <c r="Y392" s="2" t="s">
        <v>2687</v>
      </c>
      <c r="Z392" s="2">
        <f>IF($L392="",0,IFERROR(MATCH(LEN($A392)&amp;":"&amp;$A392&amp;"|"&amp;LEN($L392)&amp;":"&amp;$L392&amp;"|",'DEF_CALL_DECISION_SUPPORT'!$U$811:$U$1055,0)+811-1,0))</f>
        <v>1025</v>
      </c>
    </row>
    <row r="393" spans="1:26" ht="50" customHeight="1">
      <c r="A393" s="8" t="s">
        <v>115</v>
      </c>
      <c r="B393" s="8" t="s">
        <v>1416</v>
      </c>
      <c r="C393" s="8" t="str">
        <f>IF($Z393=0,"Film Review Required",INDEX('DEF_CALL_DECISION_SUPPORT'!$A$1:$U$1496,$Z393,2))</f>
        <v>RAMBO</v>
      </c>
      <c r="D393" s="12">
        <f>IF($Z393=0,"",INDEX('DEF_CALL_DECISION_SUPPORT'!$A$1:$U$1496,$Z393,3))</f>
        <v>1</v>
      </c>
      <c r="E393" s="10">
        <f>IF($Z393=0,"",INDEX('DEF_CALL_DECISION_SUPPORT'!$A$1:$U$1496,$Z393,4))</f>
        <v>1.0</v>
      </c>
      <c r="F393" s="10">
        <f>IF($Z393=0,"",INDEX('DEF_CALL_DECISION_SUPPORT'!$A$1:$U$1496,$Z393,5))</f>
        <v>0.0</v>
      </c>
      <c r="G393" s="11">
        <f>IF($Z393=0,"",INDEX('DEF_CALL_DECISION_SUPPORT'!$A$1:$U$1496,$Z393,6))</f>
        <v>2.0</v>
      </c>
      <c r="H393" s="11">
        <f>IF($Z393=0,"",INDEX('DEF_CALL_DECISION_SUPPORT'!$A$1:$U$1496,$Z393,10))</f>
        <v>98.0</v>
      </c>
      <c r="I393" s="14" t="str">
        <f>IF($Z393=0,"",INDEX('DEF_CALL_DECISION_SUPPORT'!$A$1:$U$1496,$Z393,9))</f>
        <v>TRACK</v>
      </c>
      <c r="J393" s="14" t="str">
        <f>IF(Z393=0,"Film Review Required",IF(D393&lt;4,"Sample Watch • ","")&amp;"D&amp;D + Concept Match • Concept Proxy")</f>
        <v>Sample Watch • D&amp;D + Concept Match • Concept Proxy</v>
      </c>
      <c r="K393" s="9" t="str">
        <f>"Opponent exact-play alert only. No Defensive Exact-Play Sample. "&amp;IF(Z393=0,"Confirm concept mapping and review film before treating this as a defensive candidate.","Metrics describe the confirmed concept; "&amp;IF($Z393=0,"",INDEX('DEF_CALL_DECISION_SUPPORT'!$A$1:$U$1496,$Z393,12)))</f>
        <v>Opponent exact-play alert only. No Defensive Exact-Play Sample. Metrics describe the confirmed concept; Track only; not enough sample.</v>
      </c>
      <c r="L393" s="7" t="s">
        <v>449</v>
      </c>
      <c r="Y393" s="2" t="s">
        <v>2688</v>
      </c>
      <c r="Z393" s="2">
        <f>IF($L393="",0,IFERROR(MATCH(LEN($A393)&amp;":"&amp;$A393&amp;"|"&amp;LEN($L393)&amp;":"&amp;$L393&amp;"|",'DEF_CALL_DECISION_SUPPORT'!$U$811:$U$1055,0)+811-1,0))</f>
        <v>1025</v>
      </c>
    </row>
    <row r="394" spans="1:26" ht="50" customHeight="1">
      <c r="A394" s="8" t="s">
        <v>115</v>
      </c>
      <c r="B394" s="8" t="s">
        <v>1439</v>
      </c>
      <c r="C394" s="8" t="str">
        <f>IF($Z394=0,"Film Review Required",INDEX('DEF_CALL_DECISION_SUPPORT'!$A$1:$U$1496,$Z394,2))</f>
        <v>RAMBO</v>
      </c>
      <c r="D394" s="12">
        <f>IF($Z394=0,"",INDEX('DEF_CALL_DECISION_SUPPORT'!$A$1:$U$1496,$Z394,3))</f>
        <v>1</v>
      </c>
      <c r="E394" s="10">
        <f>IF($Z394=0,"",INDEX('DEF_CALL_DECISION_SUPPORT'!$A$1:$U$1496,$Z394,4))</f>
        <v>1.0</v>
      </c>
      <c r="F394" s="10">
        <f>IF($Z394=0,"",INDEX('DEF_CALL_DECISION_SUPPORT'!$A$1:$U$1496,$Z394,5))</f>
        <v>0.0</v>
      </c>
      <c r="G394" s="11">
        <f>IF($Z394=0,"",INDEX('DEF_CALL_DECISION_SUPPORT'!$A$1:$U$1496,$Z394,6))</f>
        <v>-1.0</v>
      </c>
      <c r="H394" s="11">
        <f>IF($Z394=0,"",INDEX('DEF_CALL_DECISION_SUPPORT'!$A$1:$U$1496,$Z394,10))</f>
        <v>100.0</v>
      </c>
      <c r="I394" s="14" t="str">
        <f>IF($Z394=0,"",INDEX('DEF_CALL_DECISION_SUPPORT'!$A$1:$U$1496,$Z394,9))</f>
        <v>TRACK</v>
      </c>
      <c r="J394" s="14" t="str">
        <f>IF(Z394=0,"Film Review Required",IF(D394&lt;4,"Sample Watch • ","")&amp;"D&amp;D + Concept Match • Concept Proxy")</f>
        <v>Sample Watch • D&amp;D + Concept Match • Concept Proxy</v>
      </c>
      <c r="K394" s="9" t="str">
        <f>"Opponent exact-play alert only. No Defensive Exact-Play Sample. "&amp;IF(Z394=0,"Confirm concept mapping and review film before treating this as a defensive candidate.","Metrics describe the confirmed concept; "&amp;IF($Z394=0,"",INDEX('DEF_CALL_DECISION_SUPPORT'!$A$1:$U$1496,$Z394,12)))</f>
        <v>Opponent exact-play alert only. No Defensive Exact-Play Sample. Metrics describe the confirmed concept; Track only; not enough sample.</v>
      </c>
      <c r="L394" s="7" t="s">
        <v>465</v>
      </c>
      <c r="Y394" s="2" t="s">
        <v>2689</v>
      </c>
      <c r="Z394" s="2">
        <f>IF($L394="",0,IFERROR(MATCH(LEN($A394)&amp;":"&amp;$A394&amp;"|"&amp;LEN($L394)&amp;":"&amp;$L394&amp;"|",'DEF_CALL_DECISION_SUPPORT'!$U$811:$U$1055,0)+811-1,0))</f>
        <v>1044</v>
      </c>
    </row>
    <row r="395" spans="1:26" ht="50" customHeight="1">
      <c r="A395" s="8" t="s">
        <v>115</v>
      </c>
      <c r="B395" s="8" t="s">
        <v>815</v>
      </c>
      <c r="C395" s="8" t="str">
        <f>IF($Z395=0,"Film Review Required",INDEX('DEF_CALL_DECISION_SUPPORT'!$A$1:$U$1496,$Z395,2))</f>
        <v>RAMBO</v>
      </c>
      <c r="D395" s="12">
        <f>IF($Z395=0,"",INDEX('DEF_CALL_DECISION_SUPPORT'!$A$1:$U$1496,$Z395,3))</f>
        <v>1</v>
      </c>
      <c r="E395" s="10">
        <f>IF($Z395=0,"",INDEX('DEF_CALL_DECISION_SUPPORT'!$A$1:$U$1496,$Z395,4))</f>
        <v>1.0</v>
      </c>
      <c r="F395" s="10">
        <f>IF($Z395=0,"",INDEX('DEF_CALL_DECISION_SUPPORT'!$A$1:$U$1496,$Z395,5))</f>
        <v>0.0</v>
      </c>
      <c r="G395" s="11">
        <f>IF($Z395=0,"",INDEX('DEF_CALL_DECISION_SUPPORT'!$A$1:$U$1496,$Z395,6))</f>
        <v>-1.0</v>
      </c>
      <c r="H395" s="11">
        <f>IF($Z395=0,"",INDEX('DEF_CALL_DECISION_SUPPORT'!$A$1:$U$1496,$Z395,10))</f>
        <v>100.0</v>
      </c>
      <c r="I395" s="14" t="str">
        <f>IF($Z395=0,"",INDEX('DEF_CALL_DECISION_SUPPORT'!$A$1:$U$1496,$Z395,9))</f>
        <v>TRACK</v>
      </c>
      <c r="J395" s="14" t="str">
        <f>IF(Z395=0,"Film Review Required",IF(D395&lt;4,"Sample Watch • ","")&amp;"D&amp;D + Concept Match • Concept Proxy")</f>
        <v>Sample Watch • D&amp;D + Concept Match • Concept Proxy</v>
      </c>
      <c r="K395" s="9" t="str">
        <f>"Opponent exact-play alert only. No Defensive Exact-Play Sample. "&amp;IF(Z395=0,"Confirm concept mapping and review film before treating this as a defensive candidate.","Metrics describe the confirmed concept; "&amp;IF($Z395=0,"",INDEX('DEF_CALL_DECISION_SUPPORT'!$A$1:$U$1496,$Z395,12)))</f>
        <v>Opponent exact-play alert only. No Defensive Exact-Play Sample. Metrics describe the confirmed concept; Track only; not enough sample.</v>
      </c>
      <c r="L395" s="7" t="s">
        <v>465</v>
      </c>
      <c r="Y395" s="2" t="s">
        <v>2690</v>
      </c>
      <c r="Z395" s="2">
        <f>IF($L395="",0,IFERROR(MATCH(LEN($A395)&amp;":"&amp;$A395&amp;"|"&amp;LEN($L395)&amp;":"&amp;$L395&amp;"|",'DEF_CALL_DECISION_SUPPORT'!$U$811:$U$1055,0)+811-1,0))</f>
        <v>1044</v>
      </c>
    </row>
    <row r="396" spans="1:26" ht="50" customHeight="1">
      <c r="A396" s="8" t="s">
        <v>115</v>
      </c>
      <c r="B396" s="8" t="s">
        <v>1398</v>
      </c>
      <c r="C396" s="8" t="str">
        <f>IF($Z396=0,"Film Review Required",INDEX('DEF_CALL_DECISION_SUPPORT'!$A$1:$U$1496,$Z396,2))</f>
        <v>RAMBO</v>
      </c>
      <c r="D396" s="12">
        <f>IF($Z396=0,"",INDEX('DEF_CALL_DECISION_SUPPORT'!$A$1:$U$1496,$Z396,3))</f>
        <v>1</v>
      </c>
      <c r="E396" s="10">
        <f>IF($Z396=0,"",INDEX('DEF_CALL_DECISION_SUPPORT'!$A$1:$U$1496,$Z396,4))</f>
        <v>1.0</v>
      </c>
      <c r="F396" s="10">
        <f>IF($Z396=0,"",INDEX('DEF_CALL_DECISION_SUPPORT'!$A$1:$U$1496,$Z396,5))</f>
        <v>0.0</v>
      </c>
      <c r="G396" s="11">
        <f>IF($Z396=0,"",INDEX('DEF_CALL_DECISION_SUPPORT'!$A$1:$U$1496,$Z396,6))</f>
        <v>-1.0</v>
      </c>
      <c r="H396" s="11">
        <f>IF($Z396=0,"",INDEX('DEF_CALL_DECISION_SUPPORT'!$A$1:$U$1496,$Z396,10))</f>
        <v>100.0</v>
      </c>
      <c r="I396" s="14" t="str">
        <f>IF($Z396=0,"",INDEX('DEF_CALL_DECISION_SUPPORT'!$A$1:$U$1496,$Z396,9))</f>
        <v>TRACK</v>
      </c>
      <c r="J396" s="14" t="str">
        <f>IF(Z396=0,"Film Review Required",IF(D396&lt;4,"Sample Watch • ","")&amp;"D&amp;D + Concept Match • Concept Proxy")</f>
        <v>Sample Watch • D&amp;D + Concept Match • Concept Proxy</v>
      </c>
      <c r="K396" s="9" t="str">
        <f>"Opponent exact-play alert only. No Defensive Exact-Play Sample. "&amp;IF(Z396=0,"Confirm concept mapping and review film before treating this as a defensive candidate.","Metrics describe the confirmed concept; "&amp;IF($Z396=0,"",INDEX('DEF_CALL_DECISION_SUPPORT'!$A$1:$U$1496,$Z396,12)))</f>
        <v>Opponent exact-play alert only. No Defensive Exact-Play Sample. Metrics describe the confirmed concept; Track only; not enough sample.</v>
      </c>
      <c r="L396" s="7" t="s">
        <v>465</v>
      </c>
      <c r="Y396" s="2" t="s">
        <v>2691</v>
      </c>
      <c r="Z396" s="2">
        <f>IF($L396="",0,IFERROR(MATCH(LEN($A396)&amp;":"&amp;$A396&amp;"|"&amp;LEN($L396)&amp;":"&amp;$L396&amp;"|",'DEF_CALL_DECISION_SUPPORT'!$U$811:$U$1055,0)+811-1,0))</f>
        <v>1044</v>
      </c>
    </row>
    <row r="397" spans="1:26" ht="50" customHeight="1">
      <c r="A397" s="8" t="s">
        <v>115</v>
      </c>
      <c r="B397" s="8" t="s">
        <v>1447</v>
      </c>
      <c r="C397" s="8" t="str">
        <f>IF($Z397=0,"Film Review Required",INDEX('DEF_CALL_DECISION_SUPPORT'!$A$1:$U$1496,$Z397,2))</f>
        <v>RAMBO</v>
      </c>
      <c r="D397" s="12">
        <f>IF($Z397=0,"",INDEX('DEF_CALL_DECISION_SUPPORT'!$A$1:$U$1496,$Z397,3))</f>
        <v>1</v>
      </c>
      <c r="E397" s="10">
        <f>IF($Z397=0,"",INDEX('DEF_CALL_DECISION_SUPPORT'!$A$1:$U$1496,$Z397,4))</f>
        <v>1.0</v>
      </c>
      <c r="F397" s="10">
        <f>IF($Z397=0,"",INDEX('DEF_CALL_DECISION_SUPPORT'!$A$1:$U$1496,$Z397,5))</f>
        <v>0.0</v>
      </c>
      <c r="G397" s="11">
        <f>IF($Z397=0,"",INDEX('DEF_CALL_DECISION_SUPPORT'!$A$1:$U$1496,$Z397,6))</f>
        <v>-1.0</v>
      </c>
      <c r="H397" s="11">
        <f>IF($Z397=0,"",INDEX('DEF_CALL_DECISION_SUPPORT'!$A$1:$U$1496,$Z397,10))</f>
        <v>100.0</v>
      </c>
      <c r="I397" s="14" t="str">
        <f>IF($Z397=0,"",INDEX('DEF_CALL_DECISION_SUPPORT'!$A$1:$U$1496,$Z397,9))</f>
        <v>TRACK</v>
      </c>
      <c r="J397" s="14" t="str">
        <f>IF(Z397=0,"Film Review Required",IF(D397&lt;4,"Sample Watch • ","")&amp;"D&amp;D + Concept Match • Concept Proxy")</f>
        <v>Sample Watch • D&amp;D + Concept Match • Concept Proxy</v>
      </c>
      <c r="K397" s="9" t="str">
        <f>"Opponent exact-play alert only. No Defensive Exact-Play Sample. "&amp;IF(Z397=0,"Confirm concept mapping and review film before treating this as a defensive candidate.","Metrics describe the confirmed concept; "&amp;IF($Z397=0,"",INDEX('DEF_CALL_DECISION_SUPPORT'!$A$1:$U$1496,$Z397,12)))</f>
        <v>Opponent exact-play alert only. No Defensive Exact-Play Sample. Metrics describe the confirmed concept; Track only; not enough sample.</v>
      </c>
      <c r="L397" s="7" t="s">
        <v>465</v>
      </c>
      <c r="Y397" s="2" t="s">
        <v>2692</v>
      </c>
      <c r="Z397" s="2">
        <f>IF($L397="",0,IFERROR(MATCH(LEN($A397)&amp;":"&amp;$A397&amp;"|"&amp;LEN($L397)&amp;":"&amp;$L397&amp;"|",'DEF_CALL_DECISION_SUPPORT'!$U$811:$U$1055,0)+811-1,0))</f>
        <v>1044</v>
      </c>
    </row>
    <row r="398" spans="1:26" ht="50" customHeight="1">
      <c r="A398" s="8" t="s">
        <v>115</v>
      </c>
      <c r="B398" s="8" t="s">
        <v>817</v>
      </c>
      <c r="C398" s="8" t="str">
        <f>IF($Z398=0,"Film Review Required",INDEX('DEF_CALL_DECISION_SUPPORT'!$A$1:$U$1496,$Z398,2))</f>
        <v>Film Review Required</v>
      </c>
      <c r="D398" s="12">
        <f>IF($Z398=0,"",INDEX('DEF_CALL_DECISION_SUPPORT'!$A$1:$U$1496,$Z398,3))</f>
        <v/>
      </c>
      <c r="E398" s="10">
        <f>IF($Z398=0,"",INDEX('DEF_CALL_DECISION_SUPPORT'!$A$1:$U$1496,$Z398,4))</f>
        <v/>
      </c>
      <c r="F398" s="10">
        <f>IF($Z398=0,"",INDEX('DEF_CALL_DECISION_SUPPORT'!$A$1:$U$1496,$Z398,5))</f>
        <v/>
      </c>
      <c r="G398" s="11">
        <f>IF($Z398=0,"",INDEX('DEF_CALL_DECISION_SUPPORT'!$A$1:$U$1496,$Z398,6))</f>
        <v/>
      </c>
      <c r="H398" s="11">
        <f>IF($Z398=0,"",INDEX('DEF_CALL_DECISION_SUPPORT'!$A$1:$U$1496,$Z398,10))</f>
        <v/>
      </c>
      <c r="I398" s="14">
        <f>IF($Z398=0,"",INDEX('DEF_CALL_DECISION_SUPPORT'!$A$1:$U$1496,$Z398,9))</f>
        <v/>
      </c>
      <c r="J398" s="14" t="str">
        <f>IF(Z398=0,"Film Review Required",IF(D398&lt;4,"Sample Watch • ","")&amp;"D&amp;D + Concept Match • Concept Proxy")</f>
        <v>Film Review Required</v>
      </c>
      <c r="K398" s="9" t="str">
        <f>"Opponent exact-play alert only. No Defensive Exact-Play Sample. "&amp;IF(Z398=0,"Confirm concept mapping and review film before treating this as a defensive candidate.","Metrics describe the confirmed concept; "&amp;IF($Z398=0,"",INDEX('DEF_CALL_DECISION_SUPPORT'!$A$1:$U$1496,$Z398,12)))</f>
        <v>Opponent exact-play alert only. No Defensive Exact-Play Sample. Confirm concept mapping and review film before treating this as a defensive candidate.</v>
      </c>
      <c r="L398" s="7" t="s">
        <v>800</v>
      </c>
      <c r="Y398" s="2" t="s">
        <v>2693</v>
      </c>
      <c r="Z398" s="2">
        <f>IF($L398="",0,IFERROR(MATCH(LEN($A398)&amp;":"&amp;$A398&amp;"|"&amp;LEN($L398)&amp;":"&amp;$L398&amp;"|",'DEF_CALL_DECISION_SUPPORT'!$U$811:$U$1055,0)+811-1,0))</f>
        <v>0</v>
      </c>
    </row>
    <row r="399" spans="1:26" ht="50" customHeight="1">
      <c r="A399" s="8" t="s">
        <v>115</v>
      </c>
      <c r="B399" s="8" t="s">
        <v>1451</v>
      </c>
      <c r="C399" s="8" t="str">
        <f>IF($Z399=0,"Film Review Required",INDEX('DEF_CALL_DECISION_SUPPORT'!$A$1:$U$1496,$Z399,2))</f>
        <v>Film Review Required</v>
      </c>
      <c r="D399" s="12">
        <f>IF($Z399=0,"",INDEX('DEF_CALL_DECISION_SUPPORT'!$A$1:$U$1496,$Z399,3))</f>
        <v/>
      </c>
      <c r="E399" s="10">
        <f>IF($Z399=0,"",INDEX('DEF_CALL_DECISION_SUPPORT'!$A$1:$U$1496,$Z399,4))</f>
        <v/>
      </c>
      <c r="F399" s="10">
        <f>IF($Z399=0,"",INDEX('DEF_CALL_DECISION_SUPPORT'!$A$1:$U$1496,$Z399,5))</f>
        <v/>
      </c>
      <c r="G399" s="11">
        <f>IF($Z399=0,"",INDEX('DEF_CALL_DECISION_SUPPORT'!$A$1:$U$1496,$Z399,6))</f>
        <v/>
      </c>
      <c r="H399" s="11">
        <f>IF($Z399=0,"",INDEX('DEF_CALL_DECISION_SUPPORT'!$A$1:$U$1496,$Z399,10))</f>
        <v/>
      </c>
      <c r="I399" s="14">
        <f>IF($Z399=0,"",INDEX('DEF_CALL_DECISION_SUPPORT'!$A$1:$U$1496,$Z399,9))</f>
        <v/>
      </c>
      <c r="J399" s="14" t="str">
        <f>IF(Z399=0,"Film Review Required",IF(D399&lt;4,"Sample Watch • ","")&amp;"D&amp;D + Concept Match • Concept Proxy")</f>
        <v>Film Review Required</v>
      </c>
      <c r="K399" s="9" t="str">
        <f>"Opponent exact-play alert only. No Defensive Exact-Play Sample. "&amp;IF(Z399=0,"Confirm concept mapping and review film before treating this as a defensive candidate.","Metrics describe the confirmed concept; "&amp;IF($Z399=0,"",INDEX('DEF_CALL_DECISION_SUPPORT'!$A$1:$U$1496,$Z399,12)))</f>
        <v>Opponent exact-play alert only. No Defensive Exact-Play Sample. Confirm concept mapping and review film before treating this as a defensive candidate.</v>
      </c>
      <c r="L399" s="7" t="s">
        <v>878</v>
      </c>
      <c r="Y399" s="2" t="s">
        <v>2694</v>
      </c>
      <c r="Z399" s="2">
        <f>IF($L399="",0,IFERROR(MATCH(LEN($A399)&amp;":"&amp;$A399&amp;"|"&amp;LEN($L399)&amp;":"&amp;$L399&amp;"|",'DEF_CALL_DECISION_SUPPORT'!$U$811:$U$1055,0)+811-1,0))</f>
        <v>0</v>
      </c>
    </row>
    <row r="400" spans="1:26" ht="50" customHeight="1">
      <c r="A400" s="8" t="s">
        <v>115</v>
      </c>
      <c r="B400" s="8" t="s">
        <v>819</v>
      </c>
      <c r="C400" s="8" t="str">
        <f>IF($Z400=0,"Film Review Required",INDEX('DEF_CALL_DECISION_SUPPORT'!$A$1:$U$1496,$Z400,2))</f>
        <v>Film Review Required</v>
      </c>
      <c r="D400" s="12">
        <f>IF($Z400=0,"",INDEX('DEF_CALL_DECISION_SUPPORT'!$A$1:$U$1496,$Z400,3))</f>
        <v/>
      </c>
      <c r="E400" s="10">
        <f>IF($Z400=0,"",INDEX('DEF_CALL_DECISION_SUPPORT'!$A$1:$U$1496,$Z400,4))</f>
        <v/>
      </c>
      <c r="F400" s="10">
        <f>IF($Z400=0,"",INDEX('DEF_CALL_DECISION_SUPPORT'!$A$1:$U$1496,$Z400,5))</f>
        <v/>
      </c>
      <c r="G400" s="11">
        <f>IF($Z400=0,"",INDEX('DEF_CALL_DECISION_SUPPORT'!$A$1:$U$1496,$Z400,6))</f>
        <v/>
      </c>
      <c r="H400" s="11">
        <f>IF($Z400=0,"",INDEX('DEF_CALL_DECISION_SUPPORT'!$A$1:$U$1496,$Z400,10))</f>
        <v/>
      </c>
      <c r="I400" s="14">
        <f>IF($Z400=0,"",INDEX('DEF_CALL_DECISION_SUPPORT'!$A$1:$U$1496,$Z400,9))</f>
        <v/>
      </c>
      <c r="J400" s="14" t="str">
        <f>IF(Z400=0,"Film Review Required",IF(D400&lt;4,"Sample Watch • ","")&amp;"D&amp;D + Concept Match • Concept Proxy")</f>
        <v>Film Review Required</v>
      </c>
      <c r="K400" s="9" t="str">
        <f>"Opponent exact-play alert only. No Defensive Exact-Play Sample. "&amp;IF(Z400=0,"Confirm concept mapping and review film before treating this as a defensive candidate.","Metrics describe the confirmed concept; "&amp;IF($Z400=0,"",INDEX('DEF_CALL_DECISION_SUPPORT'!$A$1:$U$1496,$Z400,12)))</f>
        <v>Opponent exact-play alert only. No Defensive Exact-Play Sample. Confirm concept mapping and review film before treating this as a defensive candidate.</v>
      </c>
      <c r="L400" s="7" t="s">
        <v>474</v>
      </c>
      <c r="Y400" s="2" t="s">
        <v>2695</v>
      </c>
      <c r="Z400" s="2">
        <f>IF($L400="",0,IFERROR(MATCH(LEN($A400)&amp;":"&amp;$A400&amp;"|"&amp;LEN($L400)&amp;":"&amp;$L400&amp;"|",'DEF_CALL_DECISION_SUPPORT'!$U$811:$U$1055,0)+811-1,0))</f>
        <v>0</v>
      </c>
    </row>
    <row r="401" spans="1:26" ht="50" customHeight="1">
      <c r="A401" s="8" t="s">
        <v>115</v>
      </c>
      <c r="B401" s="8" t="s">
        <v>1420</v>
      </c>
      <c r="C401" s="8" t="str">
        <f>IF($Z401=0,"Film Review Required",INDEX('DEF_CALL_DECISION_SUPPORT'!$A$1:$U$1496,$Z401,2))</f>
        <v>KEY CAPTAIN</v>
      </c>
      <c r="D401" s="12">
        <f>IF($Z401=0,"",INDEX('DEF_CALL_DECISION_SUPPORT'!$A$1:$U$1496,$Z401,3))</f>
        <v>3</v>
      </c>
      <c r="E401" s="10">
        <f>IF($Z401=0,"",INDEX('DEF_CALL_DECISION_SUPPORT'!$A$1:$U$1496,$Z401,4))</f>
        <v>0.3333333333333333</v>
      </c>
      <c r="F401" s="10">
        <f>IF($Z401=0,"",INDEX('DEF_CALL_DECISION_SUPPORT'!$A$1:$U$1496,$Z401,5))</f>
        <v>0.0</v>
      </c>
      <c r="G401" s="11">
        <f>IF($Z401=0,"",INDEX('DEF_CALL_DECISION_SUPPORT'!$A$1:$U$1496,$Z401,6))</f>
        <v>4.333333333333333</v>
      </c>
      <c r="H401" s="11">
        <f>IF($Z401=0,"",INDEX('DEF_CALL_DECISION_SUPPORT'!$A$1:$U$1496,$Z401,10))</f>
        <v>49.0</v>
      </c>
      <c r="I401" s="14" t="str">
        <f>IF($Z401=0,"",INDEX('DEF_CALL_DECISION_SUPPORT'!$A$1:$U$1496,$Z401,9))</f>
        <v>LOW</v>
      </c>
      <c r="J401" s="14" t="str">
        <f>IF(Z401=0,"Film Review Required",IF(D401&lt;4,"Sample Watch • ","")&amp;"D&amp;D + Concept Match • Concept Proxy")</f>
        <v>Sample Watch • D&amp;D + Concept Match • Concept Proxy</v>
      </c>
      <c r="K401" s="9" t="str">
        <f>"Opponent exact-play alert only. No Defensive Exact-Play Sample. "&amp;IF(Z401=0,"Confirm concept mapping and review film before treating this as a defensive candidate.","Metrics describe the confirmed concept; "&amp;IF($Z401=0,"",INDEX('DEF_CALL_DECISION_SUPPORT'!$A$1:$U$1496,$Z401,12)))</f>
        <v>Opponent exact-play alert only. No Defensive Exact-Play Sample. Metrics describe the confirmed concept; Sample watch; review clips and build the sample.</v>
      </c>
      <c r="L401" s="7" t="s">
        <v>428</v>
      </c>
      <c r="Y401" s="2" t="s">
        <v>2696</v>
      </c>
      <c r="Z401" s="2">
        <f>IF($L401="",0,IFERROR(MATCH(LEN($A401)&amp;":"&amp;$A401&amp;"|"&amp;LEN($L401)&amp;":"&amp;$L401&amp;"|",'DEF_CALL_DECISION_SUPPORT'!$U$811:$U$1055,0)+811-1,0))</f>
        <v>1036</v>
      </c>
    </row>
    <row r="402" spans="1:26" ht="50" customHeight="1">
      <c r="A402" s="8" t="s">
        <v>115</v>
      </c>
      <c r="B402" s="8" t="s">
        <v>818</v>
      </c>
      <c r="C402" s="8" t="str">
        <f>IF($Z402=0,"Film Review Required",INDEX('DEF_CALL_DECISION_SUPPORT'!$A$1:$U$1496,$Z402,2))</f>
        <v>KEY CAPTAIN</v>
      </c>
      <c r="D402" s="12">
        <f>IF($Z402=0,"",INDEX('DEF_CALL_DECISION_SUPPORT'!$A$1:$U$1496,$Z402,3))</f>
        <v>3</v>
      </c>
      <c r="E402" s="10">
        <f>IF($Z402=0,"",INDEX('DEF_CALL_DECISION_SUPPORT'!$A$1:$U$1496,$Z402,4))</f>
        <v>0.3333333333333333</v>
      </c>
      <c r="F402" s="10">
        <f>IF($Z402=0,"",INDEX('DEF_CALL_DECISION_SUPPORT'!$A$1:$U$1496,$Z402,5))</f>
        <v>0.0</v>
      </c>
      <c r="G402" s="11">
        <f>IF($Z402=0,"",INDEX('DEF_CALL_DECISION_SUPPORT'!$A$1:$U$1496,$Z402,6))</f>
        <v>4.333333333333333</v>
      </c>
      <c r="H402" s="11">
        <f>IF($Z402=0,"",INDEX('DEF_CALL_DECISION_SUPPORT'!$A$1:$U$1496,$Z402,10))</f>
        <v>49.0</v>
      </c>
      <c r="I402" s="14" t="str">
        <f>IF($Z402=0,"",INDEX('DEF_CALL_DECISION_SUPPORT'!$A$1:$U$1496,$Z402,9))</f>
        <v>LOW</v>
      </c>
      <c r="J402" s="14" t="str">
        <f>IF(Z402=0,"Film Review Required",IF(D402&lt;4,"Sample Watch • ","")&amp;"D&amp;D + Concept Match • Concept Proxy")</f>
        <v>Sample Watch • D&amp;D + Concept Match • Concept Proxy</v>
      </c>
      <c r="K402" s="9" t="str">
        <f>"Opponent exact-play alert only. No Defensive Exact-Play Sample. "&amp;IF(Z402=0,"Confirm concept mapping and review film before treating this as a defensive candidate.","Metrics describe the confirmed concept; "&amp;IF($Z402=0,"",INDEX('DEF_CALL_DECISION_SUPPORT'!$A$1:$U$1496,$Z402,12)))</f>
        <v>Opponent exact-play alert only. No Defensive Exact-Play Sample. Metrics describe the confirmed concept; Sample watch; review clips and build the sample.</v>
      </c>
      <c r="L402" s="7" t="s">
        <v>428</v>
      </c>
      <c r="Y402" s="2" t="s">
        <v>2697</v>
      </c>
      <c r="Z402" s="2">
        <f>IF($L402="",0,IFERROR(MATCH(LEN($A402)&amp;":"&amp;$A402&amp;"|"&amp;LEN($L402)&amp;":"&amp;$L402&amp;"|",'DEF_CALL_DECISION_SUPPORT'!$U$811:$U$1055,0)+811-1,0))</f>
        <v>1036</v>
      </c>
    </row>
    <row r="403" spans="1:26" ht="50" customHeight="1">
      <c r="A403" s="8" t="s">
        <v>115</v>
      </c>
      <c r="B403" s="8" t="s">
        <v>823</v>
      </c>
      <c r="C403" s="8" t="str">
        <f>IF($Z403=0,"Film Review Required",INDEX('DEF_CALL_DECISION_SUPPORT'!$A$1:$U$1496,$Z403,2))</f>
        <v>KEY CAPTAIN</v>
      </c>
      <c r="D403" s="12">
        <f>IF($Z403=0,"",INDEX('DEF_CALL_DECISION_SUPPORT'!$A$1:$U$1496,$Z403,3))</f>
        <v>3</v>
      </c>
      <c r="E403" s="10">
        <f>IF($Z403=0,"",INDEX('DEF_CALL_DECISION_SUPPORT'!$A$1:$U$1496,$Z403,4))</f>
        <v>0.3333333333333333</v>
      </c>
      <c r="F403" s="10">
        <f>IF($Z403=0,"",INDEX('DEF_CALL_DECISION_SUPPORT'!$A$1:$U$1496,$Z403,5))</f>
        <v>0.0</v>
      </c>
      <c r="G403" s="11">
        <f>IF($Z403=0,"",INDEX('DEF_CALL_DECISION_SUPPORT'!$A$1:$U$1496,$Z403,6))</f>
        <v>4.333333333333333</v>
      </c>
      <c r="H403" s="11">
        <f>IF($Z403=0,"",INDEX('DEF_CALL_DECISION_SUPPORT'!$A$1:$U$1496,$Z403,10))</f>
        <v>49.0</v>
      </c>
      <c r="I403" s="14" t="str">
        <f>IF($Z403=0,"",INDEX('DEF_CALL_DECISION_SUPPORT'!$A$1:$U$1496,$Z403,9))</f>
        <v>LOW</v>
      </c>
      <c r="J403" s="14" t="str">
        <f>IF(Z403=0,"Film Review Required",IF(D403&lt;4,"Sample Watch • ","")&amp;"D&amp;D + Concept Match • Concept Proxy")</f>
        <v>Sample Watch • D&amp;D + Concept Match • Concept Proxy</v>
      </c>
      <c r="K403" s="9" t="str">
        <f>"Opponent exact-play alert only. No Defensive Exact-Play Sample. "&amp;IF(Z403=0,"Confirm concept mapping and review film before treating this as a defensive candidate.","Metrics describe the confirmed concept; "&amp;IF($Z403=0,"",INDEX('DEF_CALL_DECISION_SUPPORT'!$A$1:$U$1496,$Z403,12)))</f>
        <v>Opponent exact-play alert only. No Defensive Exact-Play Sample. Metrics describe the confirmed concept; Sample watch; review clips and build the sample.</v>
      </c>
      <c r="L403" s="7" t="s">
        <v>428</v>
      </c>
      <c r="Y403" s="2" t="s">
        <v>2698</v>
      </c>
      <c r="Z403" s="2">
        <f>IF($L403="",0,IFERROR(MATCH(LEN($A403)&amp;":"&amp;$A403&amp;"|"&amp;LEN($L403)&amp;":"&amp;$L403&amp;"|",'DEF_CALL_DECISION_SUPPORT'!$U$811:$U$1055,0)+811-1,0))</f>
        <v>1036</v>
      </c>
    </row>
    <row r="404" spans="1:26" ht="50" customHeight="1">
      <c r="A404" s="8" t="s">
        <v>115</v>
      </c>
      <c r="B404" s="8" t="s">
        <v>1433</v>
      </c>
      <c r="C404" s="8" t="str">
        <f>IF($Z404=0,"Film Review Required",INDEX('DEF_CALL_DECISION_SUPPORT'!$A$1:$U$1496,$Z404,2))</f>
        <v>KEY CAPTAIN</v>
      </c>
      <c r="D404" s="12">
        <f>IF($Z404=0,"",INDEX('DEF_CALL_DECISION_SUPPORT'!$A$1:$U$1496,$Z404,3))</f>
        <v>3</v>
      </c>
      <c r="E404" s="10">
        <f>IF($Z404=0,"",INDEX('DEF_CALL_DECISION_SUPPORT'!$A$1:$U$1496,$Z404,4))</f>
        <v>0.3333333333333333</v>
      </c>
      <c r="F404" s="10">
        <f>IF($Z404=0,"",INDEX('DEF_CALL_DECISION_SUPPORT'!$A$1:$U$1496,$Z404,5))</f>
        <v>0.0</v>
      </c>
      <c r="G404" s="11">
        <f>IF($Z404=0,"",INDEX('DEF_CALL_DECISION_SUPPORT'!$A$1:$U$1496,$Z404,6))</f>
        <v>4.333333333333333</v>
      </c>
      <c r="H404" s="11">
        <f>IF($Z404=0,"",INDEX('DEF_CALL_DECISION_SUPPORT'!$A$1:$U$1496,$Z404,10))</f>
        <v>49.0</v>
      </c>
      <c r="I404" s="14" t="str">
        <f>IF($Z404=0,"",INDEX('DEF_CALL_DECISION_SUPPORT'!$A$1:$U$1496,$Z404,9))</f>
        <v>LOW</v>
      </c>
      <c r="J404" s="14" t="str">
        <f>IF(Z404=0,"Film Review Required",IF(D404&lt;4,"Sample Watch • ","")&amp;"D&amp;D + Concept Match • Concept Proxy")</f>
        <v>Sample Watch • D&amp;D + Concept Match • Concept Proxy</v>
      </c>
      <c r="K404" s="9" t="str">
        <f>"Opponent exact-play alert only. No Defensive Exact-Play Sample. "&amp;IF(Z404=0,"Confirm concept mapping and review film before treating this as a defensive candidate.","Metrics describe the confirmed concept; "&amp;IF($Z404=0,"",INDEX('DEF_CALL_DECISION_SUPPORT'!$A$1:$U$1496,$Z404,12)))</f>
        <v>Opponent exact-play alert only. No Defensive Exact-Play Sample. Metrics describe the confirmed concept; Sample watch; review clips and build the sample.</v>
      </c>
      <c r="L404" s="7" t="s">
        <v>428</v>
      </c>
      <c r="Y404" s="2" t="s">
        <v>2699</v>
      </c>
      <c r="Z404" s="2">
        <f>IF($L404="",0,IFERROR(MATCH(LEN($A404)&amp;":"&amp;$A404&amp;"|"&amp;LEN($L404)&amp;":"&amp;$L404&amp;"|",'DEF_CALL_DECISION_SUPPORT'!$U$811:$U$1055,0)+811-1,0))</f>
        <v>1036</v>
      </c>
    </row>
    <row r="405" spans="1:26" ht="50" customHeight="1">
      <c r="A405" s="8" t="s">
        <v>115</v>
      </c>
      <c r="B405" s="8" t="s">
        <v>816</v>
      </c>
      <c r="C405" s="8" t="str">
        <f>IF($Z405=0,"Film Review Required",INDEX('DEF_CALL_DECISION_SUPPORT'!$A$1:$U$1496,$Z405,2))</f>
        <v>Film Review Required</v>
      </c>
      <c r="D405" s="12">
        <f>IF($Z405=0,"",INDEX('DEF_CALL_DECISION_SUPPORT'!$A$1:$U$1496,$Z405,3))</f>
        <v/>
      </c>
      <c r="E405" s="10">
        <f>IF($Z405=0,"",INDEX('DEF_CALL_DECISION_SUPPORT'!$A$1:$U$1496,$Z405,4))</f>
        <v/>
      </c>
      <c r="F405" s="10">
        <f>IF($Z405=0,"",INDEX('DEF_CALL_DECISION_SUPPORT'!$A$1:$U$1496,$Z405,5))</f>
        <v/>
      </c>
      <c r="G405" s="11">
        <f>IF($Z405=0,"",INDEX('DEF_CALL_DECISION_SUPPORT'!$A$1:$U$1496,$Z405,6))</f>
        <v/>
      </c>
      <c r="H405" s="11">
        <f>IF($Z405=0,"",INDEX('DEF_CALL_DECISION_SUPPORT'!$A$1:$U$1496,$Z405,10))</f>
        <v/>
      </c>
      <c r="I405" s="14">
        <f>IF($Z405=0,"",INDEX('DEF_CALL_DECISION_SUPPORT'!$A$1:$U$1496,$Z405,9))</f>
        <v/>
      </c>
      <c r="J405" s="14" t="str">
        <f>IF(Z405=0,"Film Review Required",IF(D405&lt;4,"Sample Watch • ","")&amp;"D&amp;D + Concept Match • Concept Proxy")</f>
        <v>Film Review Required</v>
      </c>
      <c r="K405" s="9" t="str">
        <f>"Opponent exact-play alert only. No Defensive Exact-Play Sample. "&amp;IF(Z405=0,"Confirm concept mapping and review film before treating this as a defensive candidate.","Metrics describe the confirmed concept; "&amp;IF($Z405=0,"",INDEX('DEF_CALL_DECISION_SUPPORT'!$A$1:$U$1496,$Z405,12)))</f>
        <v>Opponent exact-play alert only. No Defensive Exact-Play Sample. Confirm concept mapping and review film before treating this as a defensive candidate.</v>
      </c>
      <c r="L405" s="7"/>
      <c r="Y405" s="2" t="s">
        <v>2700</v>
      </c>
      <c r="Z405" s="2">
        <f>IF($L405="",0,IFERROR(MATCH(LEN($A405)&amp;":"&amp;$A405&amp;"|"&amp;LEN($L405)&amp;":"&amp;$L405&amp;"|",'DEF_CALL_DECISION_SUPPORT'!$U$811:$U$1055,0)+811-1,0))</f>
        <v>0</v>
      </c>
    </row>
    <row r="406" spans="1:26" ht="50" customHeight="1">
      <c r="A406" s="8" t="s">
        <v>115</v>
      </c>
      <c r="B406" s="8" t="s">
        <v>1422</v>
      </c>
      <c r="C406" s="8" t="str">
        <f>IF($Z406=0,"Film Review Required",INDEX('DEF_CALL_DECISION_SUPPORT'!$A$1:$U$1496,$Z406,2))</f>
        <v>Film Review Required</v>
      </c>
      <c r="D406" s="12">
        <f>IF($Z406=0,"",INDEX('DEF_CALL_DECISION_SUPPORT'!$A$1:$U$1496,$Z406,3))</f>
        <v/>
      </c>
      <c r="E406" s="10">
        <f>IF($Z406=0,"",INDEX('DEF_CALL_DECISION_SUPPORT'!$A$1:$U$1496,$Z406,4))</f>
        <v/>
      </c>
      <c r="F406" s="10">
        <f>IF($Z406=0,"",INDEX('DEF_CALL_DECISION_SUPPORT'!$A$1:$U$1496,$Z406,5))</f>
        <v/>
      </c>
      <c r="G406" s="11">
        <f>IF($Z406=0,"",INDEX('DEF_CALL_DECISION_SUPPORT'!$A$1:$U$1496,$Z406,6))</f>
        <v/>
      </c>
      <c r="H406" s="11">
        <f>IF($Z406=0,"",INDEX('DEF_CALL_DECISION_SUPPORT'!$A$1:$U$1496,$Z406,10))</f>
        <v/>
      </c>
      <c r="I406" s="14">
        <f>IF($Z406=0,"",INDEX('DEF_CALL_DECISION_SUPPORT'!$A$1:$U$1496,$Z406,9))</f>
        <v/>
      </c>
      <c r="J406" s="14" t="str">
        <f>IF(Z406=0,"Film Review Required",IF(D406&lt;4,"Sample Watch • ","")&amp;"D&amp;D + Concept Match • Concept Proxy")</f>
        <v>Film Review Required</v>
      </c>
      <c r="K406" s="9" t="str">
        <f>"Opponent exact-play alert only. No Defensive Exact-Play Sample. "&amp;IF(Z406=0,"Confirm concept mapping and review film before treating this as a defensive candidate.","Metrics describe the confirmed concept; "&amp;IF($Z406=0,"",INDEX('DEF_CALL_DECISION_SUPPORT'!$A$1:$U$1496,$Z406,12)))</f>
        <v>Opponent exact-play alert only. No Defensive Exact-Play Sample. Confirm concept mapping and review film before treating this as a defensive candidate.</v>
      </c>
      <c r="L406" s="7" t="s">
        <v>574</v>
      </c>
      <c r="Y406" s="2" t="s">
        <v>2701</v>
      </c>
      <c r="Z406" s="2">
        <f>IF($L406="",0,IFERROR(MATCH(LEN($A406)&amp;":"&amp;$A406&amp;"|"&amp;LEN($L406)&amp;":"&amp;$L406&amp;"|",'DEF_CALL_DECISION_SUPPORT'!$U$811:$U$1055,0)+811-1,0))</f>
        <v>0</v>
      </c>
    </row>
    <row r="407" spans="1:26" ht="50" customHeight="1">
      <c r="A407" s="8" t="s">
        <v>115</v>
      </c>
      <c r="B407" s="8" t="s">
        <v>1424</v>
      </c>
      <c r="C407" s="8" t="str">
        <f>IF($Z407=0,"Film Review Required",INDEX('DEF_CALL_DECISION_SUPPORT'!$A$1:$U$1496,$Z407,2))</f>
        <v>KEY CAPTAIN</v>
      </c>
      <c r="D407" s="12">
        <f>IF($Z407=0,"",INDEX('DEF_CALL_DECISION_SUPPORT'!$A$1:$U$1496,$Z407,3))</f>
        <v>3</v>
      </c>
      <c r="E407" s="10">
        <f>IF($Z407=0,"",INDEX('DEF_CALL_DECISION_SUPPORT'!$A$1:$U$1496,$Z407,4))</f>
        <v>0.3333333333333333</v>
      </c>
      <c r="F407" s="10">
        <f>IF($Z407=0,"",INDEX('DEF_CALL_DECISION_SUPPORT'!$A$1:$U$1496,$Z407,5))</f>
        <v>0.0</v>
      </c>
      <c r="G407" s="11">
        <f>IF($Z407=0,"",INDEX('DEF_CALL_DECISION_SUPPORT'!$A$1:$U$1496,$Z407,6))</f>
        <v>4.333333333333333</v>
      </c>
      <c r="H407" s="11">
        <f>IF($Z407=0,"",INDEX('DEF_CALL_DECISION_SUPPORT'!$A$1:$U$1496,$Z407,10))</f>
        <v>49.0</v>
      </c>
      <c r="I407" s="14" t="str">
        <f>IF($Z407=0,"",INDEX('DEF_CALL_DECISION_SUPPORT'!$A$1:$U$1496,$Z407,9))</f>
        <v>LOW</v>
      </c>
      <c r="J407" s="14" t="str">
        <f>IF(Z407=0,"Film Review Required",IF(D407&lt;4,"Sample Watch • ","")&amp;"D&amp;D + Concept Match • Concept Proxy")</f>
        <v>Sample Watch • D&amp;D + Concept Match • Concept Proxy</v>
      </c>
      <c r="K407" s="9" t="str">
        <f>"Opponent exact-play alert only. No Defensive Exact-Play Sample. "&amp;IF(Z407=0,"Confirm concept mapping and review film before treating this as a defensive candidate.","Metrics describe the confirmed concept; "&amp;IF($Z407=0,"",INDEX('DEF_CALL_DECISION_SUPPORT'!$A$1:$U$1496,$Z407,12)))</f>
        <v>Opponent exact-play alert only. No Defensive Exact-Play Sample. Metrics describe the confirmed concept; Sample watch; review clips and build the sample.</v>
      </c>
      <c r="L407" s="7" t="s">
        <v>428</v>
      </c>
      <c r="Y407" s="2" t="s">
        <v>2702</v>
      </c>
      <c r="Z407" s="2">
        <f>IF($L407="",0,IFERROR(MATCH(LEN($A407)&amp;":"&amp;$A407&amp;"|"&amp;LEN($L407)&amp;":"&amp;$L407&amp;"|",'DEF_CALL_DECISION_SUPPORT'!$U$811:$U$1055,0)+811-1,0))</f>
        <v>1036</v>
      </c>
    </row>
    <row r="412" spans="1:26" ht="27" customHeight="1">
      <c r="A412" s="5" t="s">
        <v>2703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26" ht="36" customHeight="1">
      <c r="A413" s="9" t="s">
        <v>2704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spans="1:26" ht="46" customHeight="1">
      <c r="A414" s="6" t="s">
        <v>2705</v>
      </c>
      <c r="B414" s="6" t="s">
        <v>9</v>
      </c>
      <c r="C414" s="6" t="s">
        <v>10</v>
      </c>
      <c r="D414" s="6" t="s">
        <v>2706</v>
      </c>
      <c r="E414" s="6" t="s">
        <v>2707</v>
      </c>
      <c r="F414" s="6" t="s">
        <v>2708</v>
      </c>
      <c r="G414" s="6" t="s">
        <v>17</v>
      </c>
      <c r="H414" s="6" t="s">
        <v>16</v>
      </c>
      <c r="I414" s="6" t="s">
        <v>18</v>
      </c>
      <c r="J414" s="6" t="s">
        <v>2709</v>
      </c>
      <c r="K414" s="6" t="s">
        <v>19</v>
      </c>
      <c r="L414" s="6" t="s">
        <v>2710</v>
      </c>
    </row>
    <row r="415" spans="1:26" ht="48" customHeight="1">
      <c r="A415" s="8" t="s">
        <v>630</v>
      </c>
      <c r="B415" s="8" t="str">
        <f>'DEF_CALL_DECISION_SUPPORT'!B1204</f>
        <v>BOOGIE</v>
      </c>
      <c r="C415" s="12">
        <f>'DEF_CALL_DECISION_SUPPORT'!C1204</f>
        <v>4</v>
      </c>
      <c r="D415" s="10">
        <f>'DEF_CALL_DECISION_SUPPORT'!D1204</f>
        <v>0.25</v>
      </c>
      <c r="E415" s="10">
        <f>'DEF_CALL_DECISION_SUPPORT'!E1204</f>
        <v>0.5</v>
      </c>
      <c r="F415" s="11">
        <f>'DEF_CALL_DECISION_SUPPORT'!F1204</f>
        <v>24.5</v>
      </c>
      <c r="G415" s="11">
        <f>'DEF_CALL_DECISION_SUPPORT'!J1204</f>
        <v>27.5</v>
      </c>
      <c r="H415" s="8" t="str">
        <f>'DEF_CALL_DECISION_SUPPORT'!I1204</f>
        <v>MEDIUM</v>
      </c>
      <c r="I415" s="8" t="str">
        <f>'DEF_CALL_DECISION_SUPPORT'!K1204</f>
        <v>Explosive Alert</v>
      </c>
      <c r="J415" s="14" t="s">
        <v>2711</v>
      </c>
      <c r="K415" s="9" t="str">
        <f>'DEF_CALL_DECISION_SUPPORT'!L1204</f>
        <v>Explosive risk; review clips before using as answer.</v>
      </c>
      <c r="L415" s="8" t="s">
        <v>631</v>
      </c>
    </row>
    <row r="416" spans="1:26" ht="48" customHeight="1">
      <c r="A416" s="8" t="s">
        <v>115</v>
      </c>
      <c r="B416" s="8" t="str">
        <f>'DEF_CALL_DECISION_SUPPORT'!B162</f>
        <v>BOURBON</v>
      </c>
      <c r="C416" s="12">
        <f>'DEF_CALL_DECISION_SUPPORT'!C162</f>
        <v>6</v>
      </c>
      <c r="D416" s="10">
        <f>'DEF_CALL_DECISION_SUPPORT'!D162</f>
        <v>0.0</v>
      </c>
      <c r="E416" s="10">
        <f>'DEF_CALL_DECISION_SUPPORT'!E162</f>
        <v>0.3333333333333333</v>
      </c>
      <c r="F416" s="11">
        <f>'DEF_CALL_DECISION_SUPPORT'!F162</f>
        <v>13.666666666666666</v>
      </c>
      <c r="G416" s="11">
        <f>'DEF_CALL_DECISION_SUPPORT'!J162</f>
        <v>13.3</v>
      </c>
      <c r="H416" s="8" t="str">
        <f>'DEF_CALL_DECISION_SUPPORT'!I162</f>
        <v>MEDIUM</v>
      </c>
      <c r="I416" s="8" t="str">
        <f>'DEF_CALL_DECISION_SUPPORT'!K162</f>
        <v>Explosive Alert</v>
      </c>
      <c r="J416" s="14" t="s">
        <v>2711</v>
      </c>
      <c r="K416" s="9" t="str">
        <f>'DEF_CALL_DECISION_SUPPORT'!L162</f>
        <v>Explosive risk; review clips before using as answer.</v>
      </c>
      <c r="L416" s="8" t="s">
        <v>2712</v>
      </c>
    </row>
    <row r="417" spans="1:12" ht="48" customHeight="1">
      <c r="A417" s="8" t="s">
        <v>630</v>
      </c>
      <c r="B417" s="8" t="str">
        <f>'DEF_CALL_DECISION_SUPPORT'!B1209</f>
        <v>FALCON</v>
      </c>
      <c r="C417" s="12">
        <f>'DEF_CALL_DECISION_SUPPORT'!C1209</f>
        <v>6</v>
      </c>
      <c r="D417" s="10">
        <f>'DEF_CALL_DECISION_SUPPORT'!D1209</f>
        <v>0.3333333333333333</v>
      </c>
      <c r="E417" s="10">
        <f>'DEF_CALL_DECISION_SUPPORT'!E1209</f>
        <v>0.3333333333333333</v>
      </c>
      <c r="F417" s="11">
        <f>'DEF_CALL_DECISION_SUPPORT'!F1209</f>
        <v>14.333333333333334</v>
      </c>
      <c r="G417" s="11">
        <f>'DEF_CALL_DECISION_SUPPORT'!J1209</f>
        <v>36.7</v>
      </c>
      <c r="H417" s="8" t="str">
        <f>'DEF_CALL_DECISION_SUPPORT'!I1209</f>
        <v>MEDIUM</v>
      </c>
      <c r="I417" s="8" t="str">
        <f>'DEF_CALL_DECISION_SUPPORT'!K1209</f>
        <v>Explosive Alert</v>
      </c>
      <c r="J417" s="14" t="s">
        <v>2711</v>
      </c>
      <c r="K417" s="9" t="str">
        <f>'DEF_CALL_DECISION_SUPPORT'!L1209</f>
        <v>Explosive risk; review clips before using as answer.</v>
      </c>
      <c r="L417" s="8" t="s">
        <v>631</v>
      </c>
    </row>
    <row r="418" spans="1:12" ht="48" customHeight="1">
      <c r="A418" s="8" t="s">
        <v>39</v>
      </c>
      <c r="B418" s="8" t="str">
        <f>'DEF_CALL_DECISION_SUPPORT'!B37</f>
        <v>REBEL</v>
      </c>
      <c r="C418" s="12">
        <f>'DEF_CALL_DECISION_SUPPORT'!C37</f>
        <v>4</v>
      </c>
      <c r="D418" s="10">
        <f>'DEF_CALL_DECISION_SUPPORT'!D37</f>
        <v>0.25</v>
      </c>
      <c r="E418" s="10">
        <f>'DEF_CALL_DECISION_SUPPORT'!E37</f>
        <v>0.25</v>
      </c>
      <c r="F418" s="11">
        <f>'DEF_CALL_DECISION_SUPPORT'!F37</f>
        <v>12.5</v>
      </c>
      <c r="G418" s="11">
        <f>'DEF_CALL_DECISION_SUPPORT'!J37</f>
        <v>32.5</v>
      </c>
      <c r="H418" s="8" t="str">
        <f>'DEF_CALL_DECISION_SUPPORT'!I37</f>
        <v>MEDIUM</v>
      </c>
      <c r="I418" s="8" t="str">
        <f>'DEF_CALL_DECISION_SUPPORT'!K37</f>
        <v>Explosive Alert</v>
      </c>
      <c r="J418" s="14" t="s">
        <v>2711</v>
      </c>
      <c r="K418" s="9" t="str">
        <f>'DEF_CALL_DECISION_SUPPORT'!L37</f>
        <v>Explosive risk; review clips before using as answer.</v>
      </c>
      <c r="L418" s="8" t="s">
        <v>2712</v>
      </c>
    </row>
    <row r="419" spans="1:12" ht="48" customHeight="1">
      <c r="A419" s="8" t="s">
        <v>557</v>
      </c>
      <c r="B419" s="8" t="str">
        <f>'DEF_CALL_DECISION_SUPPORT'!B975</f>
        <v>SMOKE BUC</v>
      </c>
      <c r="C419" s="12">
        <f>'DEF_CALL_DECISION_SUPPORT'!C975</f>
        <v>4</v>
      </c>
      <c r="D419" s="10">
        <f>'DEF_CALL_DECISION_SUPPORT'!D975</f>
        <v>0.5</v>
      </c>
      <c r="E419" s="10">
        <f>'DEF_CALL_DECISION_SUPPORT'!E975</f>
        <v>0.25</v>
      </c>
      <c r="F419" s="11">
        <f>'DEF_CALL_DECISION_SUPPORT'!F975</f>
        <v>16.0</v>
      </c>
      <c r="G419" s="11">
        <f>'DEF_CALL_DECISION_SUPPORT'!J975</f>
        <v>50.0</v>
      </c>
      <c r="H419" s="8" t="str">
        <f>'DEF_CALL_DECISION_SUPPORT'!I975</f>
        <v>MEDIUM</v>
      </c>
      <c r="I419" s="8" t="str">
        <f>'DEF_CALL_DECISION_SUPPORT'!K975</f>
        <v>Explosive Alert</v>
      </c>
      <c r="J419" s="14" t="s">
        <v>2711</v>
      </c>
      <c r="K419" s="9" t="str">
        <f>'DEF_CALL_DECISION_SUPPORT'!L975</f>
        <v>Explosive risk; review clips before using as answer.</v>
      </c>
      <c r="L419" s="8" t="s">
        <v>2713</v>
      </c>
    </row>
    <row r="420" spans="1:12" ht="48" customHeight="1">
      <c r="A420" s="8" t="s">
        <v>630</v>
      </c>
      <c r="B420" s="8" t="str">
        <f>'DEF_CALL_DECISION_SUPPORT'!B1245</f>
        <v>SMOKE WHITE</v>
      </c>
      <c r="C420" s="12">
        <f>'DEF_CALL_DECISION_SUPPORT'!C1245</f>
        <v>10</v>
      </c>
      <c r="D420" s="10">
        <f>'DEF_CALL_DECISION_SUPPORT'!D1245</f>
        <v>0.3</v>
      </c>
      <c r="E420" s="10">
        <f>'DEF_CALL_DECISION_SUPPORT'!E1245</f>
        <v>0.2</v>
      </c>
      <c r="F420" s="11">
        <f>'DEF_CALL_DECISION_SUPPORT'!F1245</f>
        <v>9.4</v>
      </c>
      <c r="G420" s="11">
        <f>'DEF_CALL_DECISION_SUPPORT'!J1245</f>
        <v>37.6</v>
      </c>
      <c r="H420" s="8" t="str">
        <f>'DEF_CALL_DECISION_SUPPORT'!I1245</f>
        <v>HIGH</v>
      </c>
      <c r="I420" s="8" t="str">
        <f>'DEF_CALL_DECISION_SUPPORT'!K1245</f>
        <v>Explosive Alert</v>
      </c>
      <c r="J420" s="14" t="s">
        <v>2711</v>
      </c>
      <c r="K420" s="9" t="str">
        <f>'DEF_CALL_DECISION_SUPPORT'!L1245</f>
        <v>Explosive risk; review clips before using as answer.</v>
      </c>
      <c r="L420" s="8" t="s">
        <v>631</v>
      </c>
    </row>
    <row r="421" spans="1:12" ht="48" customHeight="1">
      <c r="A421" s="8" t="s">
        <v>630</v>
      </c>
      <c r="B421" s="8" t="str">
        <f>'DEF_CALL_DECISION_SUPPORT'!B1201</f>
        <v>9 MOW</v>
      </c>
      <c r="C421" s="12">
        <f>'DEF_CALL_DECISION_SUPPORT'!C1201</f>
        <v>5</v>
      </c>
      <c r="D421" s="10">
        <f>'DEF_CALL_DECISION_SUPPORT'!D1201</f>
        <v>0.4</v>
      </c>
      <c r="E421" s="10">
        <f>'DEF_CALL_DECISION_SUPPORT'!E1201</f>
        <v>0.2</v>
      </c>
      <c r="F421" s="11">
        <f>'DEF_CALL_DECISION_SUPPORT'!F1201</f>
        <v>9.4</v>
      </c>
      <c r="G421" s="11">
        <f>'DEF_CALL_DECISION_SUPPORT'!J1201</f>
        <v>44.6</v>
      </c>
      <c r="H421" s="8" t="str">
        <f>'DEF_CALL_DECISION_SUPPORT'!I1201</f>
        <v>MEDIUM</v>
      </c>
      <c r="I421" s="8" t="str">
        <f>'DEF_CALL_DECISION_SUPPORT'!K1201</f>
        <v>Explosive Alert</v>
      </c>
      <c r="J421" s="14" t="s">
        <v>2711</v>
      </c>
      <c r="K421" s="9" t="str">
        <f>'DEF_CALL_DECISION_SUPPORT'!L1201</f>
        <v>Explosive risk; review clips before using as answer.</v>
      </c>
      <c r="L421" s="8" t="s">
        <v>631</v>
      </c>
    </row>
    <row r="422" spans="1:12" ht="48" customHeight="1">
      <c r="A422" s="8" t="s">
        <v>630</v>
      </c>
      <c r="B422" s="8" t="str">
        <f>'DEF_CALL_DECISION_SUPPORT'!B1217</f>
        <v>KEY BOURBON</v>
      </c>
      <c r="C422" s="12">
        <f>'DEF_CALL_DECISION_SUPPORT'!C1217</f>
        <v>5</v>
      </c>
      <c r="D422" s="10">
        <f>'DEF_CALL_DECISION_SUPPORT'!D1217</f>
        <v>0.4</v>
      </c>
      <c r="E422" s="10">
        <f>'DEF_CALL_DECISION_SUPPORT'!E1217</f>
        <v>0.2</v>
      </c>
      <c r="F422" s="11">
        <f>'DEF_CALL_DECISION_SUPPORT'!F1217</f>
        <v>7.4</v>
      </c>
      <c r="G422" s="11">
        <f>'DEF_CALL_DECISION_SUPPORT'!J1217</f>
        <v>46.6</v>
      </c>
      <c r="H422" s="8" t="str">
        <f>'DEF_CALL_DECISION_SUPPORT'!I1217</f>
        <v>MEDIUM</v>
      </c>
      <c r="I422" s="8" t="str">
        <f>'DEF_CALL_DECISION_SUPPORT'!K1217</f>
        <v>Explosive Alert</v>
      </c>
      <c r="J422" s="14" t="s">
        <v>2711</v>
      </c>
      <c r="K422" s="9" t="str">
        <f>'DEF_CALL_DECISION_SUPPORT'!L1217</f>
        <v>Explosive risk; review clips before using as answer.</v>
      </c>
      <c r="L422" s="8" t="s">
        <v>631</v>
      </c>
    </row>
    <row r="423" spans="1:12" ht="48" customHeight="1">
      <c r="A423" s="8" t="s">
        <v>630</v>
      </c>
      <c r="B423" s="8" t="str">
        <f>'DEF_CALL_DECISION_SUPPORT'!B1214</f>
        <v>HOUND KNIFE</v>
      </c>
      <c r="C423" s="12">
        <f>'DEF_CALL_DECISION_SUPPORT'!C1214</f>
        <v>5</v>
      </c>
      <c r="D423" s="10">
        <f>'DEF_CALL_DECISION_SUPPORT'!D1214</f>
        <v>0.6</v>
      </c>
      <c r="E423" s="10">
        <f>'DEF_CALL_DECISION_SUPPORT'!E1214</f>
        <v>0.2</v>
      </c>
      <c r="F423" s="11">
        <f>'DEF_CALL_DECISION_SUPPORT'!F1214</f>
        <v>5.0</v>
      </c>
      <c r="G423" s="11">
        <f>'DEF_CALL_DECISION_SUPPORT'!J1214</f>
        <v>63.0</v>
      </c>
      <c r="H423" s="8" t="str">
        <f>'DEF_CALL_DECISION_SUPPORT'!I1214</f>
        <v>MEDIUM</v>
      </c>
      <c r="I423" s="8" t="str">
        <f>'DEF_CALL_DECISION_SUPPORT'!K1214</f>
        <v>Explosive Alert</v>
      </c>
      <c r="J423" s="14" t="s">
        <v>2711</v>
      </c>
      <c r="K423" s="9" t="str">
        <f>'DEF_CALL_DECISION_SUPPORT'!L1214</f>
        <v>Explosive risk; review clips before using as answer.</v>
      </c>
      <c r="L423" s="8" t="s">
        <v>631</v>
      </c>
    </row>
    <row r="424" spans="1:12" ht="48" customHeight="1">
      <c r="A424" s="8" t="s">
        <v>630</v>
      </c>
      <c r="B424" s="8" t="str">
        <f>'DEF_CALL_DECISION_SUPPORT'!B1243</f>
        <v>SMOKE BUC</v>
      </c>
      <c r="C424" s="12">
        <f>'DEF_CALL_DECISION_SUPPORT'!C1243</f>
        <v>6</v>
      </c>
      <c r="D424" s="10">
        <f>'DEF_CALL_DECISION_SUPPORT'!D1243</f>
        <v>0.6666666666666666</v>
      </c>
      <c r="E424" s="10">
        <f>'DEF_CALL_DECISION_SUPPORT'!E1243</f>
        <v>0.16666666666666666</v>
      </c>
      <c r="F424" s="11">
        <f>'DEF_CALL_DECISION_SUPPORT'!F1243</f>
        <v>12.166666666666666</v>
      </c>
      <c r="G424" s="11">
        <f>'DEF_CALL_DECISION_SUPPORT'!J1243</f>
        <v>63.3</v>
      </c>
      <c r="H424" s="8" t="str">
        <f>'DEF_CALL_DECISION_SUPPORT'!I1243</f>
        <v>MEDIUM</v>
      </c>
      <c r="I424" s="8" t="str">
        <f>'DEF_CALL_DECISION_SUPPORT'!K1243</f>
        <v>Mixed / Review</v>
      </c>
      <c r="J424" s="14" t="s">
        <v>2711</v>
      </c>
      <c r="K424" s="9" t="str">
        <f>'DEF_CALL_DECISION_SUPPORT'!L1243</f>
        <v>Mixed signal; review fit and execution on film.</v>
      </c>
      <c r="L424" s="8" t="s">
        <v>631</v>
      </c>
    </row>
    <row r="425" spans="1:12" ht="48" customHeight="1">
      <c r="A425" s="8" t="s">
        <v>96</v>
      </c>
      <c r="B425" s="8" t="str">
        <f>'DEF_CALL_DECISION_SUPPORT'!B123</f>
        <v>SMOKE BUC</v>
      </c>
      <c r="C425" s="12">
        <f>'DEF_CALL_DECISION_SUPPORT'!C123</f>
        <v>6</v>
      </c>
      <c r="D425" s="10">
        <f>'DEF_CALL_DECISION_SUPPORT'!D123</f>
        <v>0.6666666666666666</v>
      </c>
      <c r="E425" s="10">
        <f>'DEF_CALL_DECISION_SUPPORT'!E123</f>
        <v>0.16666666666666666</v>
      </c>
      <c r="F425" s="11">
        <f>'DEF_CALL_DECISION_SUPPORT'!F123</f>
        <v>12.166666666666666</v>
      </c>
      <c r="G425" s="11">
        <f>'DEF_CALL_DECISION_SUPPORT'!J123</f>
        <v>63.3</v>
      </c>
      <c r="H425" s="8" t="str">
        <f>'DEF_CALL_DECISION_SUPPORT'!I123</f>
        <v>MEDIUM</v>
      </c>
      <c r="I425" s="8" t="str">
        <f>'DEF_CALL_DECISION_SUPPORT'!K123</f>
        <v>Mixed / Review</v>
      </c>
      <c r="J425" s="14" t="s">
        <v>2711</v>
      </c>
      <c r="K425" s="9" t="str">
        <f>'DEF_CALL_DECISION_SUPPORT'!L123</f>
        <v>Mixed signal; review fit and execution on film.</v>
      </c>
      <c r="L425" s="8" t="s">
        <v>2712</v>
      </c>
    </row>
    <row r="426" spans="1:12" ht="48" customHeight="1">
      <c r="A426" s="8" t="s">
        <v>115</v>
      </c>
      <c r="B426" s="8" t="str">
        <f>'DEF_CALL_DECISION_SUPPORT'!B171</f>
        <v>RAMBO</v>
      </c>
      <c r="C426" s="12">
        <f>'DEF_CALL_DECISION_SUPPORT'!C171</f>
        <v>6</v>
      </c>
      <c r="D426" s="10">
        <f>'DEF_CALL_DECISION_SUPPORT'!D171</f>
        <v>0.6666666666666666</v>
      </c>
      <c r="E426" s="10">
        <f>'DEF_CALL_DECISION_SUPPORT'!E171</f>
        <v>0.16666666666666666</v>
      </c>
      <c r="F426" s="11">
        <f>'DEF_CALL_DECISION_SUPPORT'!F171</f>
        <v>11.333333333333334</v>
      </c>
      <c r="G426" s="11">
        <f>'DEF_CALL_DECISION_SUPPORT'!J171</f>
        <v>63.3</v>
      </c>
      <c r="H426" s="8" t="str">
        <f>'DEF_CALL_DECISION_SUPPORT'!I171</f>
        <v>MEDIUM</v>
      </c>
      <c r="I426" s="8" t="str">
        <f>'DEF_CALL_DECISION_SUPPORT'!K171</f>
        <v>Mixed / Review</v>
      </c>
      <c r="J426" s="14" t="s">
        <v>2711</v>
      </c>
      <c r="K426" s="9" t="str">
        <f>'DEF_CALL_DECISION_SUPPORT'!L171</f>
        <v>Mixed signal; review fit and execution on film.</v>
      </c>
      <c r="L426" s="8" t="s">
        <v>2712</v>
      </c>
    </row>
    <row r="427" spans="1:12" ht="48" customHeight="1">
      <c r="A427" s="8" t="s">
        <v>630</v>
      </c>
      <c r="B427" s="8" t="str">
        <f>'DEF_CALL_DECISION_SUPPORT'!B1205</f>
        <v>BOURBON</v>
      </c>
      <c r="C427" s="12">
        <f>'DEF_CALL_DECISION_SUPPORT'!C1205</f>
        <v>15</v>
      </c>
      <c r="D427" s="10">
        <f>'DEF_CALL_DECISION_SUPPORT'!D1205</f>
        <v>0.26666666666666666</v>
      </c>
      <c r="E427" s="10">
        <f>'DEF_CALL_DECISION_SUPPORT'!E1205</f>
        <v>0.13333333333333333</v>
      </c>
      <c r="F427" s="11">
        <f>'DEF_CALL_DECISION_SUPPORT'!F1205</f>
        <v>8.333333333333334</v>
      </c>
      <c r="G427" s="11">
        <f>'DEF_CALL_DECISION_SUPPORT'!J1205</f>
        <v>37.7</v>
      </c>
      <c r="H427" s="8" t="str">
        <f>'DEF_CALL_DECISION_SUPPORT'!I1205</f>
        <v>HIGH</v>
      </c>
      <c r="I427" s="8" t="str">
        <f>'DEF_CALL_DECISION_SUPPORT'!K1205</f>
        <v>Problem Call</v>
      </c>
      <c r="J427" s="14" t="s">
        <v>2711</v>
      </c>
      <c r="K427" s="9" t="str">
        <f>'DEF_CALL_DECISION_SUPPORT'!L1205</f>
        <v>Problem area; practice or call-sheet review.</v>
      </c>
      <c r="L427" s="8" t="s">
        <v>631</v>
      </c>
    </row>
    <row r="428" spans="1:12" ht="48" customHeight="1">
      <c r="A428" s="8" t="s">
        <v>630</v>
      </c>
      <c r="B428" s="8" t="str">
        <f>'DEF_CALL_DECISION_SUPPORT'!B1240</f>
        <v>SHINE BUC</v>
      </c>
      <c r="C428" s="12">
        <f>'DEF_CALL_DECISION_SUPPORT'!C1240</f>
        <v>10</v>
      </c>
      <c r="D428" s="10">
        <f>'DEF_CALL_DECISION_SUPPORT'!D1240</f>
        <v>0.4</v>
      </c>
      <c r="E428" s="10">
        <f>'DEF_CALL_DECISION_SUPPORT'!E1240</f>
        <v>0.1</v>
      </c>
      <c r="F428" s="11">
        <f>'DEF_CALL_DECISION_SUPPORT'!F1240</f>
        <v>6.8</v>
      </c>
      <c r="G428" s="11">
        <f>'DEF_CALL_DECISION_SUPPORT'!J1240</f>
        <v>49.2</v>
      </c>
      <c r="H428" s="8" t="str">
        <f>'DEF_CALL_DECISION_SUPPORT'!I1240</f>
        <v>HIGH</v>
      </c>
      <c r="I428" s="8" t="str">
        <f>'DEF_CALL_DECISION_SUPPORT'!K1240</f>
        <v>Problem Call</v>
      </c>
      <c r="J428" s="14" t="s">
        <v>2711</v>
      </c>
      <c r="K428" s="9" t="str">
        <f>'DEF_CALL_DECISION_SUPPORT'!L1240</f>
        <v>Problem area; practice or call-sheet review.</v>
      </c>
      <c r="L428" s="8" t="s">
        <v>631</v>
      </c>
    </row>
    <row r="429" spans="1:12" ht="48" customHeight="1">
      <c r="A429" s="8" t="s">
        <v>630</v>
      </c>
      <c r="B429" s="8" t="str">
        <f>'DEF_CALL_DECISION_SUPPORT'!B1228</f>
        <v>OX</v>
      </c>
      <c r="C429" s="12">
        <f>'DEF_CALL_DECISION_SUPPORT'!C1228</f>
        <v>6</v>
      </c>
      <c r="D429" s="10">
        <f>'DEF_CALL_DECISION_SUPPORT'!D1228</f>
        <v>0.16666666666666666</v>
      </c>
      <c r="E429" s="10">
        <f>'DEF_CALL_DECISION_SUPPORT'!E1228</f>
        <v>0.0</v>
      </c>
      <c r="F429" s="11">
        <f>'DEF_CALL_DECISION_SUPPORT'!F1228</f>
        <v>5.5</v>
      </c>
      <c r="G429" s="11">
        <f>'DEF_CALL_DECISION_SUPPORT'!J1228</f>
        <v>36.2</v>
      </c>
      <c r="H429" s="8" t="str">
        <f>'DEF_CALL_DECISION_SUPPORT'!I1228</f>
        <v>MEDIUM</v>
      </c>
      <c r="I429" s="8" t="str">
        <f>'DEF_CALL_DECISION_SUPPORT'!K1228</f>
        <v>Problem Call</v>
      </c>
      <c r="J429" s="14" t="s">
        <v>2711</v>
      </c>
      <c r="K429" s="9" t="str">
        <f>'DEF_CALL_DECISION_SUPPORT'!L1228</f>
        <v>Problem area; practice or call-sheet review.</v>
      </c>
      <c r="L429" s="8" t="s">
        <v>631</v>
      </c>
    </row>
    <row r="430" spans="1:12" ht="48" customHeight="1">
      <c r="A430" s="8" t="s">
        <v>630</v>
      </c>
      <c r="B430" s="8" t="str">
        <f>'DEF_CALL_DECISION_SUPPORT'!B1233</f>
        <v>Q RAMBO</v>
      </c>
      <c r="C430" s="12">
        <f>'DEF_CALL_DECISION_SUPPORT'!C1233</f>
        <v>4</v>
      </c>
      <c r="D430" s="10">
        <f>'DEF_CALL_DECISION_SUPPORT'!D1233</f>
        <v>0.25</v>
      </c>
      <c r="E430" s="10">
        <f>'DEF_CALL_DECISION_SUPPORT'!E1233</f>
        <v>0.0</v>
      </c>
      <c r="F430" s="11">
        <f>'DEF_CALL_DECISION_SUPPORT'!F1233</f>
        <v>4.5</v>
      </c>
      <c r="G430" s="11">
        <f>'DEF_CALL_DECISION_SUPPORT'!J1233</f>
        <v>43.0</v>
      </c>
      <c r="H430" s="8" t="str">
        <f>'DEF_CALL_DECISION_SUPPORT'!I1233</f>
        <v>MEDIUM</v>
      </c>
      <c r="I430" s="8" t="str">
        <f>'DEF_CALL_DECISION_SUPPORT'!K1233</f>
        <v>Problem Call</v>
      </c>
      <c r="J430" s="14" t="s">
        <v>2711</v>
      </c>
      <c r="K430" s="9" t="str">
        <f>'DEF_CALL_DECISION_SUPPORT'!L1233</f>
        <v>Problem area; practice or call-sheet review.</v>
      </c>
      <c r="L430" s="8" t="s">
        <v>631</v>
      </c>
    </row>
    <row r="431" spans="1:12" ht="48" customHeight="1">
      <c r="A431" s="8" t="s">
        <v>630</v>
      </c>
      <c r="B431" s="8" t="str">
        <f>'DEF_CALL_DECISION_SUPPORT'!B1208</f>
        <v>EAGLE</v>
      </c>
      <c r="C431" s="12">
        <f>'DEF_CALL_DECISION_SUPPORT'!C1208</f>
        <v>7</v>
      </c>
      <c r="D431" s="10">
        <f>'DEF_CALL_DECISION_SUPPORT'!D1208</f>
        <v>0.42857142857142855</v>
      </c>
      <c r="E431" s="10">
        <f>'DEF_CALL_DECISION_SUPPORT'!E1208</f>
        <v>0.0</v>
      </c>
      <c r="F431" s="11">
        <f>'DEF_CALL_DECISION_SUPPORT'!F1208</f>
        <v>5.714285714285714</v>
      </c>
      <c r="G431" s="11">
        <f>'DEF_CALL_DECISION_SUPPORT'!J1208</f>
        <v>54.3</v>
      </c>
      <c r="H431" s="8" t="str">
        <f>'DEF_CALL_DECISION_SUPPORT'!I1208</f>
        <v>HIGH</v>
      </c>
      <c r="I431" s="8" t="str">
        <f>'DEF_CALL_DECISION_SUPPORT'!K1208</f>
        <v>Mixed / Review</v>
      </c>
      <c r="J431" s="14" t="s">
        <v>2711</v>
      </c>
      <c r="K431" s="9" t="str">
        <f>'DEF_CALL_DECISION_SUPPORT'!L1208</f>
        <v>Mixed signal; review fit and execution on film.</v>
      </c>
      <c r="L431" s="8" t="s">
        <v>631</v>
      </c>
    </row>
    <row r="432" spans="1:12" ht="48" customHeight="1">
      <c r="A432" s="8" t="s">
        <v>39</v>
      </c>
      <c r="B432" s="8" t="str">
        <f>'DEF_CALL_DECISION_SUPPORT'!B20</f>
        <v>BOURBON</v>
      </c>
      <c r="C432" s="12">
        <f>'DEF_CALL_DECISION_SUPPORT'!C20</f>
        <v>7</v>
      </c>
      <c r="D432" s="10">
        <f>'DEF_CALL_DECISION_SUPPORT'!D20</f>
        <v>0.42857142857142855</v>
      </c>
      <c r="E432" s="10">
        <f>'DEF_CALL_DECISION_SUPPORT'!E20</f>
        <v>0.0</v>
      </c>
      <c r="F432" s="11">
        <f>'DEF_CALL_DECISION_SUPPORT'!F20</f>
        <v>4.857142857142857</v>
      </c>
      <c r="G432" s="11">
        <f>'DEF_CALL_DECISION_SUPPORT'!J20</f>
        <v>55.1</v>
      </c>
      <c r="H432" s="8" t="str">
        <f>'DEF_CALL_DECISION_SUPPORT'!I20</f>
        <v>HIGH</v>
      </c>
      <c r="I432" s="8" t="str">
        <f>'DEF_CALL_DECISION_SUPPORT'!K20</f>
        <v>Mixed / Review</v>
      </c>
      <c r="J432" s="14" t="s">
        <v>2711</v>
      </c>
      <c r="K432" s="9" t="str">
        <f>'DEF_CALL_DECISION_SUPPORT'!L20</f>
        <v>Mixed signal; review fit and execution on film.</v>
      </c>
      <c r="L432" s="8" t="s">
        <v>2712</v>
      </c>
    </row>
    <row r="437" spans="1:12" ht="27" customHeight="1">
      <c r="A437" s="5" t="s">
        <v>2714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36" customHeight="1">
      <c r="A438" s="9" t="s">
        <v>2715</v>
      </c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spans="1:12" ht="46" customHeight="1">
      <c r="A439" s="6" t="s">
        <v>2705</v>
      </c>
      <c r="B439" s="6" t="s">
        <v>9</v>
      </c>
      <c r="C439" s="6" t="s">
        <v>10</v>
      </c>
      <c r="D439" s="6" t="s">
        <v>2706</v>
      </c>
      <c r="E439" s="6" t="s">
        <v>2707</v>
      </c>
      <c r="F439" s="6" t="s">
        <v>2708</v>
      </c>
      <c r="G439" s="6" t="s">
        <v>17</v>
      </c>
      <c r="H439" s="6" t="s">
        <v>16</v>
      </c>
      <c r="I439" s="6" t="s">
        <v>18</v>
      </c>
      <c r="J439" s="6" t="s">
        <v>2709</v>
      </c>
      <c r="K439" s="6" t="s">
        <v>19</v>
      </c>
      <c r="L439" s="6" t="s">
        <v>2710</v>
      </c>
    </row>
    <row r="440" spans="1:12" ht="48" customHeight="1">
      <c r="A440" s="8" t="s">
        <v>630</v>
      </c>
      <c r="B440" s="8" t="str">
        <f>'DEF_CALL_DECISION_SUPPORT'!B1221</f>
        <v>MIX 9 DICE</v>
      </c>
      <c r="C440" s="12">
        <f>'DEF_CALL_DECISION_SUPPORT'!C1221</f>
        <v>1</v>
      </c>
      <c r="D440" s="10">
        <f>'DEF_CALL_DECISION_SUPPORT'!D1221</f>
        <v>0.0</v>
      </c>
      <c r="E440" s="10">
        <f>'DEF_CALL_DECISION_SUPPORT'!E1221</f>
        <v>1.0</v>
      </c>
      <c r="F440" s="11">
        <f>'DEF_CALL_DECISION_SUPPORT'!F1221</f>
        <v>16.0</v>
      </c>
      <c r="G440" s="11">
        <f>'DEF_CALL_DECISION_SUPPORT'!J1221</f>
        <v>0.0</v>
      </c>
      <c r="H440" s="8" t="str">
        <f>'DEF_CALL_DECISION_SUPPORT'!I1221</f>
        <v>TRACK</v>
      </c>
      <c r="I440" s="8" t="str">
        <f>'DEF_CALL_DECISION_SUPPORT'!K1221</f>
        <v>Explosive Alert</v>
      </c>
      <c r="J440" s="14" t="s">
        <v>2716</v>
      </c>
      <c r="K440" s="9" t="str">
        <f>'DEF_CALL_DECISION_SUPPORT'!L1221</f>
        <v>Explosive risk; review clips before using as answer.</v>
      </c>
      <c r="L440" s="8" t="s">
        <v>631</v>
      </c>
    </row>
    <row r="441" spans="1:12" ht="48" customHeight="1">
      <c r="A441" s="8" t="s">
        <v>630</v>
      </c>
      <c r="B441" s="8" t="str">
        <f>'DEF_CALL_DECISION_SUPPORT'!B1224</f>
        <v>MIX KEY CAPTAIN</v>
      </c>
      <c r="C441" s="12">
        <f>'DEF_CALL_DECISION_SUPPORT'!C1224</f>
        <v>1</v>
      </c>
      <c r="D441" s="10">
        <f>'DEF_CALL_DECISION_SUPPORT'!D1224</f>
        <v>0.0</v>
      </c>
      <c r="E441" s="10">
        <f>'DEF_CALL_DECISION_SUPPORT'!E1224</f>
        <v>1.0</v>
      </c>
      <c r="F441" s="11">
        <f>'DEF_CALL_DECISION_SUPPORT'!F1224</f>
        <v>16.0</v>
      </c>
      <c r="G441" s="11">
        <f>'DEF_CALL_DECISION_SUPPORT'!J1224</f>
        <v>0.0</v>
      </c>
      <c r="H441" s="8" t="str">
        <f>'DEF_CALL_DECISION_SUPPORT'!I1224</f>
        <v>TRACK</v>
      </c>
      <c r="I441" s="8" t="str">
        <f>'DEF_CALL_DECISION_SUPPORT'!K1224</f>
        <v>Explosive Alert</v>
      </c>
      <c r="J441" s="14" t="s">
        <v>2716</v>
      </c>
      <c r="K441" s="9" t="str">
        <f>'DEF_CALL_DECISION_SUPPORT'!L1224</f>
        <v>Explosive risk; review clips before using as answer.</v>
      </c>
      <c r="L441" s="8" t="s">
        <v>631</v>
      </c>
    </row>
    <row r="442" spans="1:12" ht="48" customHeight="1">
      <c r="A442" s="8" t="s">
        <v>630</v>
      </c>
      <c r="B442" s="8" t="str">
        <f>'DEF_CALL_DECISION_SUPPORT'!B1235</f>
        <v>RAMBO SWAP</v>
      </c>
      <c r="C442" s="12">
        <f>'DEF_CALL_DECISION_SUPPORT'!C1235</f>
        <v>1</v>
      </c>
      <c r="D442" s="10">
        <f>'DEF_CALL_DECISION_SUPPORT'!D1235</f>
        <v>0.0</v>
      </c>
      <c r="E442" s="10">
        <f>'DEF_CALL_DECISION_SUPPORT'!E1235</f>
        <v>1.0</v>
      </c>
      <c r="F442" s="11">
        <f>'DEF_CALL_DECISION_SUPPORT'!F1235</f>
        <v>16.0</v>
      </c>
      <c r="G442" s="11">
        <f>'DEF_CALL_DECISION_SUPPORT'!J1235</f>
        <v>0.0</v>
      </c>
      <c r="H442" s="8" t="str">
        <f>'DEF_CALL_DECISION_SUPPORT'!I1235</f>
        <v>TRACK</v>
      </c>
      <c r="I442" s="8" t="str">
        <f>'DEF_CALL_DECISION_SUPPORT'!K1235</f>
        <v>Explosive Alert</v>
      </c>
      <c r="J442" s="14" t="s">
        <v>2716</v>
      </c>
      <c r="K442" s="9" t="str">
        <f>'DEF_CALL_DECISION_SUPPORT'!L1235</f>
        <v>Explosive risk; review clips before using as answer.</v>
      </c>
      <c r="L442" s="8" t="s">
        <v>631</v>
      </c>
    </row>
    <row r="443" spans="1:12" ht="48" customHeight="1">
      <c r="A443" s="8" t="s">
        <v>630</v>
      </c>
      <c r="B443" s="8" t="str">
        <f>'DEF_CALL_DECISION_SUPPORT'!B1237</f>
        <v>ROLEX GAMES</v>
      </c>
      <c r="C443" s="12">
        <f>'DEF_CALL_DECISION_SUPPORT'!C1237</f>
        <v>1</v>
      </c>
      <c r="D443" s="10">
        <f>'DEF_CALL_DECISION_SUPPORT'!D1237</f>
        <v>0.0</v>
      </c>
      <c r="E443" s="10">
        <f>'DEF_CALL_DECISION_SUPPORT'!E1237</f>
        <v>1.0</v>
      </c>
      <c r="F443" s="11">
        <f>'DEF_CALL_DECISION_SUPPORT'!F1237</f>
        <v>19.0</v>
      </c>
      <c r="G443" s="11">
        <f>'DEF_CALL_DECISION_SUPPORT'!J1237</f>
        <v>0.0</v>
      </c>
      <c r="H443" s="8" t="str">
        <f>'DEF_CALL_DECISION_SUPPORT'!I1237</f>
        <v>TRACK</v>
      </c>
      <c r="I443" s="8" t="str">
        <f>'DEF_CALL_DECISION_SUPPORT'!K1237</f>
        <v>Explosive Alert</v>
      </c>
      <c r="J443" s="14" t="s">
        <v>2716</v>
      </c>
      <c r="K443" s="9" t="str">
        <f>'DEF_CALL_DECISION_SUPPORT'!L1237</f>
        <v>Explosive risk; review clips before using as answer.</v>
      </c>
      <c r="L443" s="8" t="s">
        <v>631</v>
      </c>
    </row>
    <row r="444" spans="1:12" ht="48" customHeight="1">
      <c r="A444" s="8" t="s">
        <v>630</v>
      </c>
      <c r="B444" s="8" t="str">
        <f>'DEF_CALL_DECISION_SUPPORT'!B1241</f>
        <v>SHINE WALL</v>
      </c>
      <c r="C444" s="12">
        <f>'DEF_CALL_DECISION_SUPPORT'!C1241</f>
        <v>1</v>
      </c>
      <c r="D444" s="10">
        <f>'DEF_CALL_DECISION_SUPPORT'!D1241</f>
        <v>0.0</v>
      </c>
      <c r="E444" s="10">
        <f>'DEF_CALL_DECISION_SUPPORT'!E1241</f>
        <v>1.0</v>
      </c>
      <c r="F444" s="11">
        <f>'DEF_CALL_DECISION_SUPPORT'!F1241</f>
        <v>22.0</v>
      </c>
      <c r="G444" s="11">
        <f>'DEF_CALL_DECISION_SUPPORT'!J1241</f>
        <v>0.0</v>
      </c>
      <c r="H444" s="8" t="str">
        <f>'DEF_CALL_DECISION_SUPPORT'!I1241</f>
        <v>TRACK</v>
      </c>
      <c r="I444" s="8" t="str">
        <f>'DEF_CALL_DECISION_SUPPORT'!K1241</f>
        <v>Explosive Alert</v>
      </c>
      <c r="J444" s="14" t="s">
        <v>2716</v>
      </c>
      <c r="K444" s="9" t="str">
        <f>'DEF_CALL_DECISION_SUPPORT'!L1241</f>
        <v>Explosive risk; review clips before using as answer.</v>
      </c>
      <c r="L444" s="8" t="s">
        <v>631</v>
      </c>
    </row>
    <row r="445" spans="1:12" ht="48" customHeight="1">
      <c r="A445" s="8" t="s">
        <v>446</v>
      </c>
      <c r="B445" s="8" t="str">
        <f>'DEF_CALL_DECISION_SUPPORT'!B1271</f>
        <v>HOUND KNIFE</v>
      </c>
      <c r="C445" s="12">
        <f>'DEF_CALL_DECISION_SUPPORT'!C1271</f>
        <v>1</v>
      </c>
      <c r="D445" s="10">
        <f>'DEF_CALL_DECISION_SUPPORT'!D1271</f>
        <v>0.0</v>
      </c>
      <c r="E445" s="10">
        <f>'DEF_CALL_DECISION_SUPPORT'!E1271</f>
        <v>1.0</v>
      </c>
      <c r="F445" s="11">
        <f>'DEF_CALL_DECISION_SUPPORT'!F1271</f>
        <v>15.0</v>
      </c>
      <c r="G445" s="11">
        <f>'DEF_CALL_DECISION_SUPPORT'!J1271</f>
        <v>0.0</v>
      </c>
      <c r="H445" s="8" t="str">
        <f>'DEF_CALL_DECISION_SUPPORT'!I1271</f>
        <v>TRACK</v>
      </c>
      <c r="I445" s="8" t="str">
        <f>'DEF_CALL_DECISION_SUPPORT'!K1271</f>
        <v>Explosive Alert</v>
      </c>
      <c r="J445" s="14" t="s">
        <v>2716</v>
      </c>
      <c r="K445" s="9" t="str">
        <f>'DEF_CALL_DECISION_SUPPORT'!L1271</f>
        <v>Explosive risk; review clips before using as answer.</v>
      </c>
      <c r="L445" s="8" t="s">
        <v>781</v>
      </c>
    </row>
    <row r="446" spans="1:12" ht="48" customHeight="1">
      <c r="A446" s="8" t="s">
        <v>446</v>
      </c>
      <c r="B446" s="8" t="str">
        <f>'DEF_CALL_DECISION_SUPPORT'!B1273</f>
        <v>MIX 9 DICE</v>
      </c>
      <c r="C446" s="12">
        <f>'DEF_CALL_DECISION_SUPPORT'!C1273</f>
        <v>1</v>
      </c>
      <c r="D446" s="10">
        <f>'DEF_CALL_DECISION_SUPPORT'!D1273</f>
        <v>0.0</v>
      </c>
      <c r="E446" s="10">
        <f>'DEF_CALL_DECISION_SUPPORT'!E1273</f>
        <v>1.0</v>
      </c>
      <c r="F446" s="11">
        <f>'DEF_CALL_DECISION_SUPPORT'!F1273</f>
        <v>16.0</v>
      </c>
      <c r="G446" s="11">
        <f>'DEF_CALL_DECISION_SUPPORT'!J1273</f>
        <v>0.0</v>
      </c>
      <c r="H446" s="8" t="str">
        <f>'DEF_CALL_DECISION_SUPPORT'!I1273</f>
        <v>TRACK</v>
      </c>
      <c r="I446" s="8" t="str">
        <f>'DEF_CALL_DECISION_SUPPORT'!K1273</f>
        <v>Explosive Alert</v>
      </c>
      <c r="J446" s="14" t="s">
        <v>2716</v>
      </c>
      <c r="K446" s="9" t="str">
        <f>'DEF_CALL_DECISION_SUPPORT'!L1273</f>
        <v>Explosive risk; review clips before using as answer.</v>
      </c>
      <c r="L446" s="8" t="s">
        <v>781</v>
      </c>
    </row>
    <row r="447" spans="1:12" ht="48" customHeight="1">
      <c r="A447" s="8" t="s">
        <v>449</v>
      </c>
      <c r="B447" s="8" t="str">
        <f>'DEF_CALL_DECISION_SUPPORT'!B1293</f>
        <v>GAMES</v>
      </c>
      <c r="C447" s="12">
        <f>'DEF_CALL_DECISION_SUPPORT'!C1293</f>
        <v>1</v>
      </c>
      <c r="D447" s="10">
        <f>'DEF_CALL_DECISION_SUPPORT'!D1293</f>
        <v>0.0</v>
      </c>
      <c r="E447" s="10">
        <f>'DEF_CALL_DECISION_SUPPORT'!E1293</f>
        <v>1.0</v>
      </c>
      <c r="F447" s="11">
        <f>'DEF_CALL_DECISION_SUPPORT'!F1293</f>
        <v>26.0</v>
      </c>
      <c r="G447" s="11">
        <f>'DEF_CALL_DECISION_SUPPORT'!J1293</f>
        <v>0.0</v>
      </c>
      <c r="H447" s="8" t="str">
        <f>'DEF_CALL_DECISION_SUPPORT'!I1293</f>
        <v>TRACK</v>
      </c>
      <c r="I447" s="8" t="str">
        <f>'DEF_CALL_DECISION_SUPPORT'!K1293</f>
        <v>Explosive Alert</v>
      </c>
      <c r="J447" s="14" t="s">
        <v>2716</v>
      </c>
      <c r="K447" s="9" t="str">
        <f>'DEF_CALL_DECISION_SUPPORT'!L1293</f>
        <v>Explosive risk; review clips before using as answer.</v>
      </c>
      <c r="L447" s="8" t="s">
        <v>781</v>
      </c>
    </row>
    <row r="448" spans="1:12" ht="48" customHeight="1">
      <c r="A448" s="8" t="s">
        <v>449</v>
      </c>
      <c r="B448" s="8" t="str">
        <f>'DEF_CALL_DECISION_SUPPORT'!B1298</f>
        <v>MIX KEY CAPTAIN</v>
      </c>
      <c r="C448" s="12">
        <f>'DEF_CALL_DECISION_SUPPORT'!C1298</f>
        <v>1</v>
      </c>
      <c r="D448" s="10">
        <f>'DEF_CALL_DECISION_SUPPORT'!D1298</f>
        <v>0.0</v>
      </c>
      <c r="E448" s="10">
        <f>'DEF_CALL_DECISION_SUPPORT'!E1298</f>
        <v>1.0</v>
      </c>
      <c r="F448" s="11">
        <f>'DEF_CALL_DECISION_SUPPORT'!F1298</f>
        <v>16.0</v>
      </c>
      <c r="G448" s="11">
        <f>'DEF_CALL_DECISION_SUPPORT'!J1298</f>
        <v>0.0</v>
      </c>
      <c r="H448" s="8" t="str">
        <f>'DEF_CALL_DECISION_SUPPORT'!I1298</f>
        <v>TRACK</v>
      </c>
      <c r="I448" s="8" t="str">
        <f>'DEF_CALL_DECISION_SUPPORT'!K1298</f>
        <v>Explosive Alert</v>
      </c>
      <c r="J448" s="14" t="s">
        <v>2716</v>
      </c>
      <c r="K448" s="9" t="str">
        <f>'DEF_CALL_DECISION_SUPPORT'!L1298</f>
        <v>Explosive risk; review clips before using as answer.</v>
      </c>
      <c r="L448" s="8" t="s">
        <v>781</v>
      </c>
    </row>
    <row r="449" spans="1:12" ht="48" customHeight="1">
      <c r="A449" s="8" t="s">
        <v>449</v>
      </c>
      <c r="B449" s="8" t="str">
        <f>'DEF_CALL_DECISION_SUPPORT'!B1308</f>
        <v>ROLEX GAMES</v>
      </c>
      <c r="C449" s="12">
        <f>'DEF_CALL_DECISION_SUPPORT'!C1308</f>
        <v>1</v>
      </c>
      <c r="D449" s="10">
        <f>'DEF_CALL_DECISION_SUPPORT'!D1308</f>
        <v>0.0</v>
      </c>
      <c r="E449" s="10">
        <f>'DEF_CALL_DECISION_SUPPORT'!E1308</f>
        <v>1.0</v>
      </c>
      <c r="F449" s="11">
        <f>'DEF_CALL_DECISION_SUPPORT'!F1308</f>
        <v>19.0</v>
      </c>
      <c r="G449" s="11">
        <f>'DEF_CALL_DECISION_SUPPORT'!J1308</f>
        <v>0.0</v>
      </c>
      <c r="H449" s="8" t="str">
        <f>'DEF_CALL_DECISION_SUPPORT'!I1308</f>
        <v>TRACK</v>
      </c>
      <c r="I449" s="8" t="str">
        <f>'DEF_CALL_DECISION_SUPPORT'!K1308</f>
        <v>Explosive Alert</v>
      </c>
      <c r="J449" s="14" t="s">
        <v>2716</v>
      </c>
      <c r="K449" s="9" t="str">
        <f>'DEF_CALL_DECISION_SUPPORT'!L1308</f>
        <v>Explosive risk; review clips before using as answer.</v>
      </c>
      <c r="L449" s="8" t="s">
        <v>781</v>
      </c>
    </row>
    <row r="450" spans="1:12" ht="48" customHeight="1">
      <c r="A450" s="8" t="s">
        <v>449</v>
      </c>
      <c r="B450" s="8" t="str">
        <f>'DEF_CALL_DECISION_SUPPORT'!B1309</f>
        <v>ROLEX KNIFE</v>
      </c>
      <c r="C450" s="12">
        <f>'DEF_CALL_DECISION_SUPPORT'!C1309</f>
        <v>1</v>
      </c>
      <c r="D450" s="10">
        <f>'DEF_CALL_DECISION_SUPPORT'!D1309</f>
        <v>0.0</v>
      </c>
      <c r="E450" s="10">
        <f>'DEF_CALL_DECISION_SUPPORT'!E1309</f>
        <v>1.0</v>
      </c>
      <c r="F450" s="11">
        <f>'DEF_CALL_DECISION_SUPPORT'!F1309</f>
        <v>16.0</v>
      </c>
      <c r="G450" s="11">
        <f>'DEF_CALL_DECISION_SUPPORT'!J1309</f>
        <v>0.0</v>
      </c>
      <c r="H450" s="8" t="str">
        <f>'DEF_CALL_DECISION_SUPPORT'!I1309</f>
        <v>TRACK</v>
      </c>
      <c r="I450" s="8" t="str">
        <f>'DEF_CALL_DECISION_SUPPORT'!K1309</f>
        <v>Explosive Alert</v>
      </c>
      <c r="J450" s="14" t="s">
        <v>2716</v>
      </c>
      <c r="K450" s="9" t="str">
        <f>'DEF_CALL_DECISION_SUPPORT'!L1309</f>
        <v>Explosive risk; review clips before using as answer.</v>
      </c>
      <c r="L450" s="8" t="s">
        <v>781</v>
      </c>
    </row>
    <row r="451" spans="1:12" ht="48" customHeight="1">
      <c r="A451" s="8" t="s">
        <v>449</v>
      </c>
      <c r="B451" s="8" t="str">
        <f>'DEF_CALL_DECISION_SUPPORT'!B1311</f>
        <v>SHINE WALL</v>
      </c>
      <c r="C451" s="12">
        <f>'DEF_CALL_DECISION_SUPPORT'!C1311</f>
        <v>1</v>
      </c>
      <c r="D451" s="10">
        <f>'DEF_CALL_DECISION_SUPPORT'!D1311</f>
        <v>0.0</v>
      </c>
      <c r="E451" s="10">
        <f>'DEF_CALL_DECISION_SUPPORT'!E1311</f>
        <v>1.0</v>
      </c>
      <c r="F451" s="11">
        <f>'DEF_CALL_DECISION_SUPPORT'!F1311</f>
        <v>22.0</v>
      </c>
      <c r="G451" s="11">
        <f>'DEF_CALL_DECISION_SUPPORT'!J1311</f>
        <v>0.0</v>
      </c>
      <c r="H451" s="8" t="str">
        <f>'DEF_CALL_DECISION_SUPPORT'!I1311</f>
        <v>TRACK</v>
      </c>
      <c r="I451" s="8" t="str">
        <f>'DEF_CALL_DECISION_SUPPORT'!K1311</f>
        <v>Explosive Alert</v>
      </c>
      <c r="J451" s="14" t="s">
        <v>2716</v>
      </c>
      <c r="K451" s="9" t="str">
        <f>'DEF_CALL_DECISION_SUPPORT'!L1311</f>
        <v>Explosive risk; review clips before using as answer.</v>
      </c>
      <c r="L451" s="8" t="s">
        <v>781</v>
      </c>
    </row>
    <row r="452" spans="1:12" ht="48" customHeight="1">
      <c r="A452" s="8" t="s">
        <v>449</v>
      </c>
      <c r="B452" s="8" t="str">
        <f>'DEF_CALL_DECISION_SUPPORT'!B1316</f>
        <v>STUD</v>
      </c>
      <c r="C452" s="12">
        <f>'DEF_CALL_DECISION_SUPPORT'!C1316</f>
        <v>1</v>
      </c>
      <c r="D452" s="10">
        <f>'DEF_CALL_DECISION_SUPPORT'!D1316</f>
        <v>0.0</v>
      </c>
      <c r="E452" s="10">
        <f>'DEF_CALL_DECISION_SUPPORT'!E1316</f>
        <v>1.0</v>
      </c>
      <c r="F452" s="11">
        <f>'DEF_CALL_DECISION_SUPPORT'!F1316</f>
        <v>23.0</v>
      </c>
      <c r="G452" s="11">
        <f>'DEF_CALL_DECISION_SUPPORT'!J1316</f>
        <v>0.0</v>
      </c>
      <c r="H452" s="8" t="str">
        <f>'DEF_CALL_DECISION_SUPPORT'!I1316</f>
        <v>TRACK</v>
      </c>
      <c r="I452" s="8" t="str">
        <f>'DEF_CALL_DECISION_SUPPORT'!K1316</f>
        <v>Explosive Alert</v>
      </c>
      <c r="J452" s="14" t="s">
        <v>2716</v>
      </c>
      <c r="K452" s="9" t="str">
        <f>'DEF_CALL_DECISION_SUPPORT'!L1316</f>
        <v>Explosive risk; review clips before using as answer.</v>
      </c>
      <c r="L452" s="8" t="s">
        <v>781</v>
      </c>
    </row>
    <row r="453" spans="1:12" ht="48" customHeight="1">
      <c r="A453" s="8" t="s">
        <v>432</v>
      </c>
      <c r="B453" s="8" t="str">
        <f>'DEF_CALL_DECISION_SUPPORT'!B1331</f>
        <v>RAMBO SWAP</v>
      </c>
      <c r="C453" s="12">
        <f>'DEF_CALL_DECISION_SUPPORT'!C1331</f>
        <v>1</v>
      </c>
      <c r="D453" s="10">
        <f>'DEF_CALL_DECISION_SUPPORT'!D1331</f>
        <v>0.0</v>
      </c>
      <c r="E453" s="10">
        <f>'DEF_CALL_DECISION_SUPPORT'!E1331</f>
        <v>1.0</v>
      </c>
      <c r="F453" s="11">
        <f>'DEF_CALL_DECISION_SUPPORT'!F1331</f>
        <v>16.0</v>
      </c>
      <c r="G453" s="11">
        <f>'DEF_CALL_DECISION_SUPPORT'!J1331</f>
        <v>0.0</v>
      </c>
      <c r="H453" s="8" t="str">
        <f>'DEF_CALL_DECISION_SUPPORT'!I1331</f>
        <v>TRACK</v>
      </c>
      <c r="I453" s="8" t="str">
        <f>'DEF_CALL_DECISION_SUPPORT'!K1331</f>
        <v>Explosive Alert</v>
      </c>
      <c r="J453" s="14" t="s">
        <v>2716</v>
      </c>
      <c r="K453" s="9" t="str">
        <f>'DEF_CALL_DECISION_SUPPORT'!L1331</f>
        <v>Explosive risk; review clips before using as answer.</v>
      </c>
      <c r="L453" s="8" t="s">
        <v>781</v>
      </c>
    </row>
    <row r="454" spans="1:12" ht="48" customHeight="1">
      <c r="A454" s="8" t="s">
        <v>432</v>
      </c>
      <c r="B454" s="8" t="str">
        <f>'DEF_CALL_DECISION_SUPPORT'!B1332</f>
        <v>SILVER KNIFE</v>
      </c>
      <c r="C454" s="12">
        <f>'DEF_CALL_DECISION_SUPPORT'!C1332</f>
        <v>1</v>
      </c>
      <c r="D454" s="10">
        <f>'DEF_CALL_DECISION_SUPPORT'!D1332</f>
        <v>0.0</v>
      </c>
      <c r="E454" s="10">
        <f>'DEF_CALL_DECISION_SUPPORT'!E1332</f>
        <v>1.0</v>
      </c>
      <c r="F454" s="11">
        <f>'DEF_CALL_DECISION_SUPPORT'!F1332</f>
        <v>25.0</v>
      </c>
      <c r="G454" s="11">
        <f>'DEF_CALL_DECISION_SUPPORT'!J1332</f>
        <v>0.0</v>
      </c>
      <c r="H454" s="8" t="str">
        <f>'DEF_CALL_DECISION_SUPPORT'!I1332</f>
        <v>TRACK</v>
      </c>
      <c r="I454" s="8" t="str">
        <f>'DEF_CALL_DECISION_SUPPORT'!K1332</f>
        <v>Explosive Alert</v>
      </c>
      <c r="J454" s="14" t="s">
        <v>2716</v>
      </c>
      <c r="K454" s="9" t="str">
        <f>'DEF_CALL_DECISION_SUPPORT'!L1332</f>
        <v>Explosive risk; review clips before using as answer.</v>
      </c>
      <c r="L454" s="8" t="s">
        <v>781</v>
      </c>
    </row>
    <row r="455" spans="1:12" ht="48" customHeight="1">
      <c r="A455" s="8" t="s">
        <v>608</v>
      </c>
      <c r="B455" s="8" t="str">
        <f>'DEF_CALL_DECISION_SUPPORT'!B1338</f>
        <v>BOURBON</v>
      </c>
      <c r="C455" s="12">
        <f>'DEF_CALL_DECISION_SUPPORT'!C1338</f>
        <v>1</v>
      </c>
      <c r="D455" s="10">
        <f>'DEF_CALL_DECISION_SUPPORT'!D1338</f>
        <v>0.0</v>
      </c>
      <c r="E455" s="10">
        <f>'DEF_CALL_DECISION_SUPPORT'!E1338</f>
        <v>1.0</v>
      </c>
      <c r="F455" s="11">
        <f>'DEF_CALL_DECISION_SUPPORT'!F1338</f>
        <v>14.0</v>
      </c>
      <c r="G455" s="11">
        <f>'DEF_CALL_DECISION_SUPPORT'!J1338</f>
        <v>0.0</v>
      </c>
      <c r="H455" s="8" t="str">
        <f>'DEF_CALL_DECISION_SUPPORT'!I1338</f>
        <v>TRACK</v>
      </c>
      <c r="I455" s="8" t="str">
        <f>'DEF_CALL_DECISION_SUPPORT'!K1338</f>
        <v>Explosive Alert</v>
      </c>
      <c r="J455" s="14" t="s">
        <v>2716</v>
      </c>
      <c r="K455" s="9" t="str">
        <f>'DEF_CALL_DECISION_SUPPORT'!L1338</f>
        <v>Explosive risk; review clips before using as answer.</v>
      </c>
      <c r="L455" s="8" t="s">
        <v>781</v>
      </c>
    </row>
    <row r="456" spans="1:12" ht="48" customHeight="1">
      <c r="A456" s="8" t="s">
        <v>561</v>
      </c>
      <c r="B456" s="8" t="str">
        <f>'DEF_CALL_DECISION_SUPPORT'!B1343</f>
        <v>BOOGIE</v>
      </c>
      <c r="C456" s="12">
        <f>'DEF_CALL_DECISION_SUPPORT'!C1343</f>
        <v>1</v>
      </c>
      <c r="D456" s="10">
        <f>'DEF_CALL_DECISION_SUPPORT'!D1343</f>
        <v>0.0</v>
      </c>
      <c r="E456" s="10">
        <f>'DEF_CALL_DECISION_SUPPORT'!E1343</f>
        <v>1.0</v>
      </c>
      <c r="F456" s="11">
        <f>'DEF_CALL_DECISION_SUPPORT'!F1343</f>
        <v>72.0</v>
      </c>
      <c r="G456" s="11">
        <f>'DEF_CALL_DECISION_SUPPORT'!J1343</f>
        <v>0.0</v>
      </c>
      <c r="H456" s="8" t="str">
        <f>'DEF_CALL_DECISION_SUPPORT'!I1343</f>
        <v>TRACK</v>
      </c>
      <c r="I456" s="8" t="str">
        <f>'DEF_CALL_DECISION_SUPPORT'!K1343</f>
        <v>Explosive Alert</v>
      </c>
      <c r="J456" s="14" t="s">
        <v>2716</v>
      </c>
      <c r="K456" s="9" t="str">
        <f>'DEF_CALL_DECISION_SUPPORT'!L1343</f>
        <v>Explosive risk; review clips before using as answer.</v>
      </c>
      <c r="L456" s="8" t="s">
        <v>781</v>
      </c>
    </row>
    <row r="457" spans="1:12" ht="48" customHeight="1">
      <c r="A457" s="8" t="s">
        <v>428</v>
      </c>
      <c r="B457" s="8" t="str">
        <f>'DEF_CALL_DECISION_SUPPORT'!B1351</f>
        <v>FALCON</v>
      </c>
      <c r="C457" s="12">
        <f>'DEF_CALL_DECISION_SUPPORT'!C1351</f>
        <v>1</v>
      </c>
      <c r="D457" s="10">
        <f>'DEF_CALL_DECISION_SUPPORT'!D1351</f>
        <v>0.0</v>
      </c>
      <c r="E457" s="10">
        <f>'DEF_CALL_DECISION_SUPPORT'!E1351</f>
        <v>1.0</v>
      </c>
      <c r="F457" s="11">
        <f>'DEF_CALL_DECISION_SUPPORT'!F1351</f>
        <v>52.0</v>
      </c>
      <c r="G457" s="11">
        <f>'DEF_CALL_DECISION_SUPPORT'!J1351</f>
        <v>0.0</v>
      </c>
      <c r="H457" s="8" t="str">
        <f>'DEF_CALL_DECISION_SUPPORT'!I1351</f>
        <v>TRACK</v>
      </c>
      <c r="I457" s="8" t="str">
        <f>'DEF_CALL_DECISION_SUPPORT'!K1351</f>
        <v>Explosive Alert</v>
      </c>
      <c r="J457" s="14" t="s">
        <v>2716</v>
      </c>
      <c r="K457" s="9" t="str">
        <f>'DEF_CALL_DECISION_SUPPORT'!L1351</f>
        <v>Explosive risk; review clips before using as answer.</v>
      </c>
      <c r="L457" s="8" t="s">
        <v>781</v>
      </c>
    </row>
    <row r="458" spans="1:12" ht="48" customHeight="1">
      <c r="A458" s="8" t="s">
        <v>428</v>
      </c>
      <c r="B458" s="8" t="str">
        <f>'DEF_CALL_DECISION_SUPPORT'!B1359</f>
        <v>MIX BOURBON</v>
      </c>
      <c r="C458" s="12">
        <f>'DEF_CALL_DECISION_SUPPORT'!C1359</f>
        <v>1</v>
      </c>
      <c r="D458" s="10">
        <f>'DEF_CALL_DECISION_SUPPORT'!D1359</f>
        <v>0.0</v>
      </c>
      <c r="E458" s="10">
        <f>'DEF_CALL_DECISION_SUPPORT'!E1359</f>
        <v>1.0</v>
      </c>
      <c r="F458" s="11">
        <f>'DEF_CALL_DECISION_SUPPORT'!F1359</f>
        <v>17.0</v>
      </c>
      <c r="G458" s="11">
        <f>'DEF_CALL_DECISION_SUPPORT'!J1359</f>
        <v>0.0</v>
      </c>
      <c r="H458" s="8" t="str">
        <f>'DEF_CALL_DECISION_SUPPORT'!I1359</f>
        <v>TRACK</v>
      </c>
      <c r="I458" s="8" t="str">
        <f>'DEF_CALL_DECISION_SUPPORT'!K1359</f>
        <v>Explosive Alert</v>
      </c>
      <c r="J458" s="14" t="s">
        <v>2716</v>
      </c>
      <c r="K458" s="9" t="str">
        <f>'DEF_CALL_DECISION_SUPPORT'!L1359</f>
        <v>Explosive risk; review clips before using as answer.</v>
      </c>
      <c r="L458" s="8" t="s">
        <v>781</v>
      </c>
    </row>
    <row r="459" spans="1:12" ht="48" customHeight="1">
      <c r="A459" s="8" t="s">
        <v>465</v>
      </c>
      <c r="B459" s="8" t="str">
        <f>'DEF_CALL_DECISION_SUPPORT'!B1379</f>
        <v>BOOGIE</v>
      </c>
      <c r="C459" s="12">
        <f>'DEF_CALL_DECISION_SUPPORT'!C1379</f>
        <v>1</v>
      </c>
      <c r="D459" s="10">
        <f>'DEF_CALL_DECISION_SUPPORT'!D1379</f>
        <v>0.0</v>
      </c>
      <c r="E459" s="10">
        <f>'DEF_CALL_DECISION_SUPPORT'!E1379</f>
        <v>1.0</v>
      </c>
      <c r="F459" s="11">
        <f>'DEF_CALL_DECISION_SUPPORT'!F1379</f>
        <v>16.0</v>
      </c>
      <c r="G459" s="11">
        <f>'DEF_CALL_DECISION_SUPPORT'!J1379</f>
        <v>0.0</v>
      </c>
      <c r="H459" s="8" t="str">
        <f>'DEF_CALL_DECISION_SUPPORT'!I1379</f>
        <v>TRACK</v>
      </c>
      <c r="I459" s="8" t="str">
        <f>'DEF_CALL_DECISION_SUPPORT'!K1379</f>
        <v>Explosive Alert</v>
      </c>
      <c r="J459" s="14" t="s">
        <v>2716</v>
      </c>
      <c r="K459" s="9" t="str">
        <f>'DEF_CALL_DECISION_SUPPORT'!L1379</f>
        <v>Explosive risk; review clips before using as answer.</v>
      </c>
      <c r="L459" s="8" t="s">
        <v>781</v>
      </c>
    </row>
    <row r="460" spans="1:12" ht="48" customHeight="1">
      <c r="A460" s="8" t="s">
        <v>468</v>
      </c>
      <c r="B460" s="8" t="str">
        <f>'DEF_CALL_DECISION_SUPPORT'!B1392</f>
        <v>9 DICE</v>
      </c>
      <c r="C460" s="12">
        <f>'DEF_CALL_DECISION_SUPPORT'!C1392</f>
        <v>1</v>
      </c>
      <c r="D460" s="10">
        <f>'DEF_CALL_DECISION_SUPPORT'!D1392</f>
        <v>0.0</v>
      </c>
      <c r="E460" s="10">
        <f>'DEF_CALL_DECISION_SUPPORT'!E1392</f>
        <v>1.0</v>
      </c>
      <c r="F460" s="11">
        <f>'DEF_CALL_DECISION_SUPPORT'!F1392</f>
        <v>23.0</v>
      </c>
      <c r="G460" s="11">
        <f>'DEF_CALL_DECISION_SUPPORT'!J1392</f>
        <v>0.0</v>
      </c>
      <c r="H460" s="8" t="str">
        <f>'DEF_CALL_DECISION_SUPPORT'!I1392</f>
        <v>TRACK</v>
      </c>
      <c r="I460" s="8" t="str">
        <f>'DEF_CALL_DECISION_SUPPORT'!K1392</f>
        <v>Explosive Alert</v>
      </c>
      <c r="J460" s="14" t="s">
        <v>2716</v>
      </c>
      <c r="K460" s="9" t="str">
        <f>'DEF_CALL_DECISION_SUPPORT'!L1392</f>
        <v>Explosive risk; review clips before using as answer.</v>
      </c>
      <c r="L460" s="8" t="s">
        <v>781</v>
      </c>
    </row>
    <row r="461" spans="1:12" ht="48" customHeight="1">
      <c r="A461" s="8" t="s">
        <v>468</v>
      </c>
      <c r="B461" s="8" t="str">
        <f>'DEF_CALL_DECISION_SUPPORT'!B1399</f>
        <v>KEY BOURBON</v>
      </c>
      <c r="C461" s="12">
        <f>'DEF_CALL_DECISION_SUPPORT'!C1399</f>
        <v>1</v>
      </c>
      <c r="D461" s="10">
        <f>'DEF_CALL_DECISION_SUPPORT'!D1399</f>
        <v>0.0</v>
      </c>
      <c r="E461" s="10">
        <f>'DEF_CALL_DECISION_SUPPORT'!E1399</f>
        <v>1.0</v>
      </c>
      <c r="F461" s="11">
        <f>'DEF_CALL_DECISION_SUPPORT'!F1399</f>
        <v>19.0</v>
      </c>
      <c r="G461" s="11">
        <f>'DEF_CALL_DECISION_SUPPORT'!J1399</f>
        <v>0.0</v>
      </c>
      <c r="H461" s="8" t="str">
        <f>'DEF_CALL_DECISION_SUPPORT'!I1399</f>
        <v>TRACK</v>
      </c>
      <c r="I461" s="8" t="str">
        <f>'DEF_CALL_DECISION_SUPPORT'!K1399</f>
        <v>Explosive Alert</v>
      </c>
      <c r="J461" s="14" t="s">
        <v>2716</v>
      </c>
      <c r="K461" s="9" t="str">
        <f>'DEF_CALL_DECISION_SUPPORT'!L1399</f>
        <v>Explosive risk; review clips before using as answer.</v>
      </c>
      <c r="L461" s="8" t="s">
        <v>781</v>
      </c>
    </row>
    <row r="462" spans="1:12" ht="48" customHeight="1">
      <c r="A462" s="8" t="s">
        <v>468</v>
      </c>
      <c r="B462" s="8" t="str">
        <f>'DEF_CALL_DECISION_SUPPORT'!B1405</f>
        <v>SMOKE WHITE</v>
      </c>
      <c r="C462" s="12">
        <f>'DEF_CALL_DECISION_SUPPORT'!C1405</f>
        <v>1</v>
      </c>
      <c r="D462" s="10">
        <f>'DEF_CALL_DECISION_SUPPORT'!D1405</f>
        <v>0.0</v>
      </c>
      <c r="E462" s="10">
        <f>'DEF_CALL_DECISION_SUPPORT'!E1405</f>
        <v>1.0</v>
      </c>
      <c r="F462" s="11">
        <f>'DEF_CALL_DECISION_SUPPORT'!F1405</f>
        <v>28.0</v>
      </c>
      <c r="G462" s="11">
        <f>'DEF_CALL_DECISION_SUPPORT'!J1405</f>
        <v>0.0</v>
      </c>
      <c r="H462" s="8" t="str">
        <f>'DEF_CALL_DECISION_SUPPORT'!I1405</f>
        <v>TRACK</v>
      </c>
      <c r="I462" s="8" t="str">
        <f>'DEF_CALL_DECISION_SUPPORT'!K1405</f>
        <v>Explosive Alert</v>
      </c>
      <c r="J462" s="14" t="s">
        <v>2716</v>
      </c>
      <c r="K462" s="9" t="str">
        <f>'DEF_CALL_DECISION_SUPPORT'!L1405</f>
        <v>Explosive risk; review clips before using as answer.</v>
      </c>
      <c r="L462" s="8" t="s">
        <v>781</v>
      </c>
    </row>
    <row r="463" spans="1:12" ht="48" customHeight="1">
      <c r="A463" s="8" t="s">
        <v>471</v>
      </c>
      <c r="B463" s="8" t="str">
        <f>'DEF_CALL_DECISION_SUPPORT'!B1419</f>
        <v>RAMBO</v>
      </c>
      <c r="C463" s="12">
        <f>'DEF_CALL_DECISION_SUPPORT'!C1419</f>
        <v>1</v>
      </c>
      <c r="D463" s="10">
        <f>'DEF_CALL_DECISION_SUPPORT'!D1419</f>
        <v>0.0</v>
      </c>
      <c r="E463" s="10">
        <f>'DEF_CALL_DECISION_SUPPORT'!E1419</f>
        <v>1.0</v>
      </c>
      <c r="F463" s="11">
        <f>'DEF_CALL_DECISION_SUPPORT'!F1419</f>
        <v>55.0</v>
      </c>
      <c r="G463" s="11">
        <f>'DEF_CALL_DECISION_SUPPORT'!J1419</f>
        <v>0.0</v>
      </c>
      <c r="H463" s="8" t="str">
        <f>'DEF_CALL_DECISION_SUPPORT'!I1419</f>
        <v>TRACK</v>
      </c>
      <c r="I463" s="8" t="str">
        <f>'DEF_CALL_DECISION_SUPPORT'!K1419</f>
        <v>Explosive Alert</v>
      </c>
      <c r="J463" s="14" t="s">
        <v>2716</v>
      </c>
      <c r="K463" s="9" t="str">
        <f>'DEF_CALL_DECISION_SUPPORT'!L1419</f>
        <v>Explosive risk; review clips before using as answer.</v>
      </c>
      <c r="L463" s="8" t="s">
        <v>781</v>
      </c>
    </row>
    <row r="464" spans="1:12" ht="48" customHeight="1">
      <c r="A464" s="8" t="s">
        <v>448</v>
      </c>
      <c r="B464" s="8" t="str">
        <f>'DEF_CALL_DECISION_SUPPORT'!B828</f>
        <v>KEY CAPTAIN</v>
      </c>
      <c r="C464" s="12">
        <f>'DEF_CALL_DECISION_SUPPORT'!C828</f>
        <v>1</v>
      </c>
      <c r="D464" s="10">
        <f>'DEF_CALL_DECISION_SUPPORT'!D828</f>
        <v>0.0</v>
      </c>
      <c r="E464" s="10">
        <f>'DEF_CALL_DECISION_SUPPORT'!E828</f>
        <v>1.0</v>
      </c>
      <c r="F464" s="11">
        <f>'DEF_CALL_DECISION_SUPPORT'!F828</f>
        <v>15.0</v>
      </c>
      <c r="G464" s="11">
        <f>'DEF_CALL_DECISION_SUPPORT'!J828</f>
        <v>0.0</v>
      </c>
      <c r="H464" s="8" t="str">
        <f>'DEF_CALL_DECISION_SUPPORT'!I828</f>
        <v>TRACK</v>
      </c>
      <c r="I464" s="8" t="str">
        <f>'DEF_CALL_DECISION_SUPPORT'!K828</f>
        <v>Explosive Alert</v>
      </c>
      <c r="J464" s="14" t="s">
        <v>2716</v>
      </c>
      <c r="K464" s="9" t="str">
        <f>'DEF_CALL_DECISION_SUPPORT'!L828</f>
        <v>Explosive risk; review clips before using as answer.</v>
      </c>
      <c r="L464" s="8" t="s">
        <v>2713</v>
      </c>
    </row>
    <row r="465" spans="1:12" ht="48" customHeight="1">
      <c r="A465" s="8" t="s">
        <v>448</v>
      </c>
      <c r="B465" s="8" t="str">
        <f>'DEF_CALL_DECISION_SUPPORT'!B834</f>
        <v>STUD</v>
      </c>
      <c r="C465" s="12">
        <f>'DEF_CALL_DECISION_SUPPORT'!C834</f>
        <v>1</v>
      </c>
      <c r="D465" s="10">
        <f>'DEF_CALL_DECISION_SUPPORT'!D834</f>
        <v>0.0</v>
      </c>
      <c r="E465" s="10">
        <f>'DEF_CALL_DECISION_SUPPORT'!E834</f>
        <v>1.0</v>
      </c>
      <c r="F465" s="11">
        <f>'DEF_CALL_DECISION_SUPPORT'!F834</f>
        <v>23.0</v>
      </c>
      <c r="G465" s="11">
        <f>'DEF_CALL_DECISION_SUPPORT'!J834</f>
        <v>0.0</v>
      </c>
      <c r="H465" s="8" t="str">
        <f>'DEF_CALL_DECISION_SUPPORT'!I834</f>
        <v>TRACK</v>
      </c>
      <c r="I465" s="8" t="str">
        <f>'DEF_CALL_DECISION_SUPPORT'!K834</f>
        <v>Explosive Alert</v>
      </c>
      <c r="J465" s="14" t="s">
        <v>2716</v>
      </c>
      <c r="K465" s="9" t="str">
        <f>'DEF_CALL_DECISION_SUPPORT'!L834</f>
        <v>Explosive risk; review clips before using as answer.</v>
      </c>
      <c r="L465" s="8" t="s">
        <v>2713</v>
      </c>
    </row>
    <row r="466" spans="1:12" ht="48" customHeight="1">
      <c r="A466" s="8" t="s">
        <v>454</v>
      </c>
      <c r="B466" s="8" t="str">
        <f>'DEF_CALL_DECISION_SUPPORT'!B840</f>
        <v>RAMBO SWAP</v>
      </c>
      <c r="C466" s="12">
        <f>'DEF_CALL_DECISION_SUPPORT'!C840</f>
        <v>1</v>
      </c>
      <c r="D466" s="10">
        <f>'DEF_CALL_DECISION_SUPPORT'!D840</f>
        <v>0.0</v>
      </c>
      <c r="E466" s="10">
        <f>'DEF_CALL_DECISION_SUPPORT'!E840</f>
        <v>1.0</v>
      </c>
      <c r="F466" s="11">
        <f>'DEF_CALL_DECISION_SUPPORT'!F840</f>
        <v>16.0</v>
      </c>
      <c r="G466" s="11">
        <f>'DEF_CALL_DECISION_SUPPORT'!J840</f>
        <v>0.0</v>
      </c>
      <c r="H466" s="8" t="str">
        <f>'DEF_CALL_DECISION_SUPPORT'!I840</f>
        <v>TRACK</v>
      </c>
      <c r="I466" s="8" t="str">
        <f>'DEF_CALL_DECISION_SUPPORT'!K840</f>
        <v>Explosive Alert</v>
      </c>
      <c r="J466" s="14" t="s">
        <v>2716</v>
      </c>
      <c r="K466" s="9" t="str">
        <f>'DEF_CALL_DECISION_SUPPORT'!L840</f>
        <v>Explosive risk; review clips before using as answer.</v>
      </c>
      <c r="L466" s="8" t="s">
        <v>2713</v>
      </c>
    </row>
    <row r="467" spans="1:12" ht="48" customHeight="1">
      <c r="A467" s="8" t="s">
        <v>462</v>
      </c>
      <c r="B467" s="8" t="str">
        <f>'DEF_CALL_DECISION_SUPPORT'!B848</f>
        <v>FALCON</v>
      </c>
      <c r="C467" s="12">
        <f>'DEF_CALL_DECISION_SUPPORT'!C848</f>
        <v>1</v>
      </c>
      <c r="D467" s="10">
        <f>'DEF_CALL_DECISION_SUPPORT'!D848</f>
        <v>0.0</v>
      </c>
      <c r="E467" s="10">
        <f>'DEF_CALL_DECISION_SUPPORT'!E848</f>
        <v>1.0</v>
      </c>
      <c r="F467" s="11">
        <f>'DEF_CALL_DECISION_SUPPORT'!F848</f>
        <v>52.0</v>
      </c>
      <c r="G467" s="11">
        <f>'DEF_CALL_DECISION_SUPPORT'!J848</f>
        <v>0.0</v>
      </c>
      <c r="H467" s="8" t="str">
        <f>'DEF_CALL_DECISION_SUPPORT'!I848</f>
        <v>TRACK</v>
      </c>
      <c r="I467" s="8" t="str">
        <f>'DEF_CALL_DECISION_SUPPORT'!K848</f>
        <v>Explosive Alert</v>
      </c>
      <c r="J467" s="14" t="s">
        <v>2716</v>
      </c>
      <c r="K467" s="9" t="str">
        <f>'DEF_CALL_DECISION_SUPPORT'!L848</f>
        <v>Explosive risk; review clips before using as answer.</v>
      </c>
      <c r="L467" s="8" t="s">
        <v>2713</v>
      </c>
    </row>
    <row r="468" spans="1:12" ht="48" customHeight="1">
      <c r="A468" s="8" t="s">
        <v>470</v>
      </c>
      <c r="B468" s="8" t="str">
        <f>'DEF_CALL_DECISION_SUPPORT'!B872</f>
        <v>CAPTAIN</v>
      </c>
      <c r="C468" s="12">
        <f>'DEF_CALL_DECISION_SUPPORT'!C872</f>
        <v>1</v>
      </c>
      <c r="D468" s="10">
        <f>'DEF_CALL_DECISION_SUPPORT'!D872</f>
        <v>0.0</v>
      </c>
      <c r="E468" s="10">
        <f>'DEF_CALL_DECISION_SUPPORT'!E872</f>
        <v>1.0</v>
      </c>
      <c r="F468" s="11">
        <f>'DEF_CALL_DECISION_SUPPORT'!F872</f>
        <v>24.0</v>
      </c>
      <c r="G468" s="11">
        <f>'DEF_CALL_DECISION_SUPPORT'!J872</f>
        <v>0.0</v>
      </c>
      <c r="H468" s="8" t="str">
        <f>'DEF_CALL_DECISION_SUPPORT'!I872</f>
        <v>TRACK</v>
      </c>
      <c r="I468" s="8" t="str">
        <f>'DEF_CALL_DECISION_SUPPORT'!K872</f>
        <v>Explosive Alert</v>
      </c>
      <c r="J468" s="14" t="s">
        <v>2716</v>
      </c>
      <c r="K468" s="9" t="str">
        <f>'DEF_CALL_DECISION_SUPPORT'!L872</f>
        <v>Explosive risk; review clips before using as answer.</v>
      </c>
      <c r="L468" s="8" t="s">
        <v>2713</v>
      </c>
    </row>
    <row r="469" spans="1:12" ht="48" customHeight="1">
      <c r="A469" s="8" t="s">
        <v>491</v>
      </c>
      <c r="B469" s="8" t="str">
        <f>'DEF_CALL_DECISION_SUPPORT'!B887</f>
        <v>RAMBO</v>
      </c>
      <c r="C469" s="12">
        <f>'DEF_CALL_DECISION_SUPPORT'!C887</f>
        <v>1</v>
      </c>
      <c r="D469" s="10">
        <f>'DEF_CALL_DECISION_SUPPORT'!D887</f>
        <v>0.0</v>
      </c>
      <c r="E469" s="10">
        <f>'DEF_CALL_DECISION_SUPPORT'!E887</f>
        <v>1.0</v>
      </c>
      <c r="F469" s="11">
        <f>'DEF_CALL_DECISION_SUPPORT'!F887</f>
        <v>16.0</v>
      </c>
      <c r="G469" s="11">
        <f>'DEF_CALL_DECISION_SUPPORT'!J887</f>
        <v>0.0</v>
      </c>
      <c r="H469" s="8" t="str">
        <f>'DEF_CALL_DECISION_SUPPORT'!I887</f>
        <v>TRACK</v>
      </c>
      <c r="I469" s="8" t="str">
        <f>'DEF_CALL_DECISION_SUPPORT'!K887</f>
        <v>Explosive Alert</v>
      </c>
      <c r="J469" s="14" t="s">
        <v>2716</v>
      </c>
      <c r="K469" s="9" t="str">
        <f>'DEF_CALL_DECISION_SUPPORT'!L887</f>
        <v>Explosive risk; review clips before using as answer.</v>
      </c>
      <c r="L469" s="8" t="s">
        <v>2713</v>
      </c>
    </row>
    <row r="470" spans="1:12" ht="48" customHeight="1">
      <c r="A470" s="8" t="s">
        <v>493</v>
      </c>
      <c r="B470" s="8" t="str">
        <f>'DEF_CALL_DECISION_SUPPORT'!B891</f>
        <v>SMOKE WHITE</v>
      </c>
      <c r="C470" s="12">
        <f>'DEF_CALL_DECISION_SUPPORT'!C891</f>
        <v>1</v>
      </c>
      <c r="D470" s="10">
        <f>'DEF_CALL_DECISION_SUPPORT'!D891</f>
        <v>0.0</v>
      </c>
      <c r="E470" s="10">
        <f>'DEF_CALL_DECISION_SUPPORT'!E891</f>
        <v>1.0</v>
      </c>
      <c r="F470" s="11">
        <f>'DEF_CALL_DECISION_SUPPORT'!F891</f>
        <v>28.0</v>
      </c>
      <c r="G470" s="11">
        <f>'DEF_CALL_DECISION_SUPPORT'!J891</f>
        <v>0.0</v>
      </c>
      <c r="H470" s="8" t="str">
        <f>'DEF_CALL_DECISION_SUPPORT'!I891</f>
        <v>TRACK</v>
      </c>
      <c r="I470" s="8" t="str">
        <f>'DEF_CALL_DECISION_SUPPORT'!K891</f>
        <v>Explosive Alert</v>
      </c>
      <c r="J470" s="14" t="s">
        <v>2716</v>
      </c>
      <c r="K470" s="9" t="str">
        <f>'DEF_CALL_DECISION_SUPPORT'!L891</f>
        <v>Explosive risk; review clips before using as answer.</v>
      </c>
      <c r="L470" s="8" t="s">
        <v>2713</v>
      </c>
    </row>
    <row r="471" spans="1:12" ht="48" customHeight="1">
      <c r="A471" s="8" t="s">
        <v>500</v>
      </c>
      <c r="B471" s="8" t="str">
        <f>'DEF_CALL_DECISION_SUPPORT'!B896</f>
        <v>HOUND KNIFE</v>
      </c>
      <c r="C471" s="12">
        <f>'DEF_CALL_DECISION_SUPPORT'!C896</f>
        <v>1</v>
      </c>
      <c r="D471" s="10">
        <f>'DEF_CALL_DECISION_SUPPORT'!D896</f>
        <v>0.0</v>
      </c>
      <c r="E471" s="10">
        <f>'DEF_CALL_DECISION_SUPPORT'!E896</f>
        <v>1.0</v>
      </c>
      <c r="F471" s="11">
        <f>'DEF_CALL_DECISION_SUPPORT'!F896</f>
        <v>15.0</v>
      </c>
      <c r="G471" s="11">
        <f>'DEF_CALL_DECISION_SUPPORT'!J896</f>
        <v>0.0</v>
      </c>
      <c r="H471" s="8" t="str">
        <f>'DEF_CALL_DECISION_SUPPORT'!I896</f>
        <v>TRACK</v>
      </c>
      <c r="I471" s="8" t="str">
        <f>'DEF_CALL_DECISION_SUPPORT'!K896</f>
        <v>Explosive Alert</v>
      </c>
      <c r="J471" s="14" t="s">
        <v>2716</v>
      </c>
      <c r="K471" s="9" t="str">
        <f>'DEF_CALL_DECISION_SUPPORT'!L896</f>
        <v>Explosive risk; review clips before using as answer.</v>
      </c>
      <c r="L471" s="8" t="s">
        <v>2713</v>
      </c>
    </row>
    <row r="472" spans="1:12" ht="48" customHeight="1">
      <c r="A472" s="8" t="s">
        <v>514</v>
      </c>
      <c r="B472" s="8" t="str">
        <f>'DEF_CALL_DECISION_SUPPORT'!B912</f>
        <v>SPIN REBEL</v>
      </c>
      <c r="C472" s="12">
        <f>'DEF_CALL_DECISION_SUPPORT'!C912</f>
        <v>1</v>
      </c>
      <c r="D472" s="10">
        <f>'DEF_CALL_DECISION_SUPPORT'!D912</f>
        <v>0.0</v>
      </c>
      <c r="E472" s="10">
        <f>'DEF_CALL_DECISION_SUPPORT'!E912</f>
        <v>1.0</v>
      </c>
      <c r="F472" s="11">
        <f>'DEF_CALL_DECISION_SUPPORT'!F912</f>
        <v>42.0</v>
      </c>
      <c r="G472" s="11">
        <f>'DEF_CALL_DECISION_SUPPORT'!J912</f>
        <v>0.0</v>
      </c>
      <c r="H472" s="8" t="str">
        <f>'DEF_CALL_DECISION_SUPPORT'!I912</f>
        <v>TRACK</v>
      </c>
      <c r="I472" s="8" t="str">
        <f>'DEF_CALL_DECISION_SUPPORT'!K912</f>
        <v>Explosive Alert</v>
      </c>
      <c r="J472" s="14" t="s">
        <v>2716</v>
      </c>
      <c r="K472" s="9" t="str">
        <f>'DEF_CALL_DECISION_SUPPORT'!L912</f>
        <v>Explosive risk; review clips before using as answer.</v>
      </c>
      <c r="L472" s="8" t="s">
        <v>2713</v>
      </c>
    </row>
    <row r="473" spans="1:12" ht="48" customHeight="1">
      <c r="A473" s="8" t="s">
        <v>520</v>
      </c>
      <c r="B473" s="8" t="str">
        <f>'DEF_CALL_DECISION_SUPPORT'!B919</f>
        <v>BOOGIE</v>
      </c>
      <c r="C473" s="12">
        <f>'DEF_CALL_DECISION_SUPPORT'!C919</f>
        <v>1</v>
      </c>
      <c r="D473" s="10">
        <f>'DEF_CALL_DECISION_SUPPORT'!D919</f>
        <v>0.0</v>
      </c>
      <c r="E473" s="10">
        <f>'DEF_CALL_DECISION_SUPPORT'!E919</f>
        <v>1.0</v>
      </c>
      <c r="F473" s="11">
        <f>'DEF_CALL_DECISION_SUPPORT'!F919</f>
        <v>16.0</v>
      </c>
      <c r="G473" s="11">
        <f>'DEF_CALL_DECISION_SUPPORT'!J919</f>
        <v>0.0</v>
      </c>
      <c r="H473" s="8" t="str">
        <f>'DEF_CALL_DECISION_SUPPORT'!I919</f>
        <v>TRACK</v>
      </c>
      <c r="I473" s="8" t="str">
        <f>'DEF_CALL_DECISION_SUPPORT'!K919</f>
        <v>Explosive Alert</v>
      </c>
      <c r="J473" s="14" t="s">
        <v>2716</v>
      </c>
      <c r="K473" s="9" t="str">
        <f>'DEF_CALL_DECISION_SUPPORT'!L919</f>
        <v>Explosive risk; review clips before using as answer.</v>
      </c>
      <c r="L473" s="8" t="s">
        <v>2713</v>
      </c>
    </row>
    <row r="474" spans="1:12" ht="48" customHeight="1">
      <c r="A474" s="8" t="s">
        <v>520</v>
      </c>
      <c r="B474" s="8" t="str">
        <f>'DEF_CALL_DECISION_SUPPORT'!B922</f>
        <v>REBEL</v>
      </c>
      <c r="C474" s="12">
        <f>'DEF_CALL_DECISION_SUPPORT'!C922</f>
        <v>1</v>
      </c>
      <c r="D474" s="10">
        <f>'DEF_CALL_DECISION_SUPPORT'!D922</f>
        <v>0.0</v>
      </c>
      <c r="E474" s="10">
        <f>'DEF_CALL_DECISION_SUPPORT'!E922</f>
        <v>1.0</v>
      </c>
      <c r="F474" s="11">
        <f>'DEF_CALL_DECISION_SUPPORT'!F922</f>
        <v>16.0</v>
      </c>
      <c r="G474" s="11">
        <f>'DEF_CALL_DECISION_SUPPORT'!J922</f>
        <v>0.0</v>
      </c>
      <c r="H474" s="8" t="str">
        <f>'DEF_CALL_DECISION_SUPPORT'!I922</f>
        <v>TRACK</v>
      </c>
      <c r="I474" s="8" t="str">
        <f>'DEF_CALL_DECISION_SUPPORT'!K922</f>
        <v>Explosive Alert</v>
      </c>
      <c r="J474" s="14" t="s">
        <v>2716</v>
      </c>
      <c r="K474" s="9" t="str">
        <f>'DEF_CALL_DECISION_SUPPORT'!L922</f>
        <v>Explosive risk; review clips before using as answer.</v>
      </c>
      <c r="L474" s="8" t="s">
        <v>2713</v>
      </c>
    </row>
    <row r="475" spans="1:12" ht="48" customHeight="1">
      <c r="A475" s="8" t="s">
        <v>530</v>
      </c>
      <c r="B475" s="8" t="str">
        <f>'DEF_CALL_DECISION_SUPPORT'!B936</f>
        <v>ROLEX KNIFE</v>
      </c>
      <c r="C475" s="12">
        <f>'DEF_CALL_DECISION_SUPPORT'!C936</f>
        <v>1</v>
      </c>
      <c r="D475" s="10">
        <f>'DEF_CALL_DECISION_SUPPORT'!D936</f>
        <v>0.0</v>
      </c>
      <c r="E475" s="10">
        <f>'DEF_CALL_DECISION_SUPPORT'!E936</f>
        <v>1.0</v>
      </c>
      <c r="F475" s="11">
        <f>'DEF_CALL_DECISION_SUPPORT'!F936</f>
        <v>16.0</v>
      </c>
      <c r="G475" s="11">
        <f>'DEF_CALL_DECISION_SUPPORT'!J936</f>
        <v>0.0</v>
      </c>
      <c r="H475" s="8" t="str">
        <f>'DEF_CALL_DECISION_SUPPORT'!I936</f>
        <v>TRACK</v>
      </c>
      <c r="I475" s="8" t="str">
        <f>'DEF_CALL_DECISION_SUPPORT'!K936</f>
        <v>Explosive Alert</v>
      </c>
      <c r="J475" s="14" t="s">
        <v>2716</v>
      </c>
      <c r="K475" s="9" t="str">
        <f>'DEF_CALL_DECISION_SUPPORT'!L936</f>
        <v>Explosive risk; review clips before using as answer.</v>
      </c>
      <c r="L475" s="8" t="s">
        <v>2713</v>
      </c>
    </row>
    <row r="476" spans="1:12" ht="48" customHeight="1">
      <c r="A476" s="8" t="s">
        <v>536</v>
      </c>
      <c r="B476" s="8" t="str">
        <f>'DEF_CALL_DECISION_SUPPORT'!B953</f>
        <v>FALCON</v>
      </c>
      <c r="C476" s="12">
        <f>'DEF_CALL_DECISION_SUPPORT'!C953</f>
        <v>1</v>
      </c>
      <c r="D476" s="10">
        <f>'DEF_CALL_DECISION_SUPPORT'!D953</f>
        <v>0.0</v>
      </c>
      <c r="E476" s="10">
        <f>'DEF_CALL_DECISION_SUPPORT'!E953</f>
        <v>1.0</v>
      </c>
      <c r="F476" s="11">
        <f>'DEF_CALL_DECISION_SUPPORT'!F953</f>
        <v>12.0</v>
      </c>
      <c r="G476" s="11">
        <f>'DEF_CALL_DECISION_SUPPORT'!J953</f>
        <v>0.0</v>
      </c>
      <c r="H476" s="8" t="str">
        <f>'DEF_CALL_DECISION_SUPPORT'!I953</f>
        <v>TRACK</v>
      </c>
      <c r="I476" s="8" t="str">
        <f>'DEF_CALL_DECISION_SUPPORT'!K953</f>
        <v>Explosive Alert</v>
      </c>
      <c r="J476" s="14" t="s">
        <v>2716</v>
      </c>
      <c r="K476" s="9" t="str">
        <f>'DEF_CALL_DECISION_SUPPORT'!L953</f>
        <v>Explosive risk; review clips before using as answer.</v>
      </c>
      <c r="L476" s="8" t="s">
        <v>2713</v>
      </c>
    </row>
    <row r="477" spans="1:12" ht="48" customHeight="1">
      <c r="A477" s="8" t="s">
        <v>538</v>
      </c>
      <c r="B477" s="8" t="str">
        <f>'DEF_CALL_DECISION_SUPPORT'!B956</f>
        <v>KEY BOURBON</v>
      </c>
      <c r="C477" s="12">
        <f>'DEF_CALL_DECISION_SUPPORT'!C956</f>
        <v>1</v>
      </c>
      <c r="D477" s="10">
        <f>'DEF_CALL_DECISION_SUPPORT'!D956</f>
        <v>0.0</v>
      </c>
      <c r="E477" s="10">
        <f>'DEF_CALL_DECISION_SUPPORT'!E956</f>
        <v>1.0</v>
      </c>
      <c r="F477" s="11">
        <f>'DEF_CALL_DECISION_SUPPORT'!F956</f>
        <v>19.0</v>
      </c>
      <c r="G477" s="11">
        <f>'DEF_CALL_DECISION_SUPPORT'!J956</f>
        <v>0.0</v>
      </c>
      <c r="H477" s="8" t="str">
        <f>'DEF_CALL_DECISION_SUPPORT'!I956</f>
        <v>TRACK</v>
      </c>
      <c r="I477" s="8" t="str">
        <f>'DEF_CALL_DECISION_SUPPORT'!K956</f>
        <v>Explosive Alert</v>
      </c>
      <c r="J477" s="14" t="s">
        <v>2716</v>
      </c>
      <c r="K477" s="9" t="str">
        <f>'DEF_CALL_DECISION_SUPPORT'!L956</f>
        <v>Explosive risk; review clips before using as answer.</v>
      </c>
      <c r="L477" s="8" t="s">
        <v>2713</v>
      </c>
    </row>
    <row r="478" spans="1:12" ht="48" customHeight="1">
      <c r="A478" s="8" t="s">
        <v>567</v>
      </c>
      <c r="B478" s="8" t="str">
        <f>'DEF_CALL_DECISION_SUPPORT'!B989</f>
        <v>SHINE BUC</v>
      </c>
      <c r="C478" s="12">
        <f>'DEF_CALL_DECISION_SUPPORT'!C989</f>
        <v>1</v>
      </c>
      <c r="D478" s="10">
        <f>'DEF_CALL_DECISION_SUPPORT'!D989</f>
        <v>0.0</v>
      </c>
      <c r="E478" s="10">
        <f>'DEF_CALL_DECISION_SUPPORT'!E989</f>
        <v>1.0</v>
      </c>
      <c r="F478" s="11">
        <f>'DEF_CALL_DECISION_SUPPORT'!F989</f>
        <v>21.0</v>
      </c>
      <c r="G478" s="11">
        <f>'DEF_CALL_DECISION_SUPPORT'!J989</f>
        <v>0.0</v>
      </c>
      <c r="H478" s="8" t="str">
        <f>'DEF_CALL_DECISION_SUPPORT'!I989</f>
        <v>TRACK</v>
      </c>
      <c r="I478" s="8" t="str">
        <f>'DEF_CALL_DECISION_SUPPORT'!K989</f>
        <v>Explosive Alert</v>
      </c>
      <c r="J478" s="14" t="s">
        <v>2716</v>
      </c>
      <c r="K478" s="9" t="str">
        <f>'DEF_CALL_DECISION_SUPPORT'!L989</f>
        <v>Explosive risk; review clips before using as answer.</v>
      </c>
      <c r="L478" s="8" t="s">
        <v>2713</v>
      </c>
    </row>
    <row r="479" spans="1:12" ht="48" customHeight="1">
      <c r="A479" s="8" t="s">
        <v>567</v>
      </c>
      <c r="B479" s="8" t="str">
        <f>'DEF_CALL_DECISION_SUPPORT'!B990</f>
        <v>SHINE WALL</v>
      </c>
      <c r="C479" s="12">
        <f>'DEF_CALL_DECISION_SUPPORT'!C990</f>
        <v>1</v>
      </c>
      <c r="D479" s="10">
        <f>'DEF_CALL_DECISION_SUPPORT'!D990</f>
        <v>0.0</v>
      </c>
      <c r="E479" s="10">
        <f>'DEF_CALL_DECISION_SUPPORT'!E990</f>
        <v>1.0</v>
      </c>
      <c r="F479" s="11">
        <f>'DEF_CALL_DECISION_SUPPORT'!F990</f>
        <v>22.0</v>
      </c>
      <c r="G479" s="11">
        <f>'DEF_CALL_DECISION_SUPPORT'!J990</f>
        <v>0.0</v>
      </c>
      <c r="H479" s="8" t="str">
        <f>'DEF_CALL_DECISION_SUPPORT'!I990</f>
        <v>TRACK</v>
      </c>
      <c r="I479" s="8" t="str">
        <f>'DEF_CALL_DECISION_SUPPORT'!K990</f>
        <v>Explosive Alert</v>
      </c>
      <c r="J479" s="14" t="s">
        <v>2716</v>
      </c>
      <c r="K479" s="9" t="str">
        <f>'DEF_CALL_DECISION_SUPPORT'!L990</f>
        <v>Explosive risk; review clips before using as answer.</v>
      </c>
      <c r="L479" s="8" t="s">
        <v>2713</v>
      </c>
    </row>
    <row r="480" spans="1:12" ht="48" customHeight="1">
      <c r="A480" s="8" t="s">
        <v>571</v>
      </c>
      <c r="B480" s="8" t="str">
        <f>'DEF_CALL_DECISION_SUPPORT'!B996</f>
        <v>TSUNAMI</v>
      </c>
      <c r="C480" s="12">
        <f>'DEF_CALL_DECISION_SUPPORT'!C996</f>
        <v>1</v>
      </c>
      <c r="D480" s="10">
        <f>'DEF_CALL_DECISION_SUPPORT'!D996</f>
        <v>0.0</v>
      </c>
      <c r="E480" s="10">
        <f>'DEF_CALL_DECISION_SUPPORT'!E996</f>
        <v>1.0</v>
      </c>
      <c r="F480" s="11">
        <f>'DEF_CALL_DECISION_SUPPORT'!F996</f>
        <v>19.0</v>
      </c>
      <c r="G480" s="11">
        <f>'DEF_CALL_DECISION_SUPPORT'!J996</f>
        <v>0.0</v>
      </c>
      <c r="H480" s="8" t="str">
        <f>'DEF_CALL_DECISION_SUPPORT'!I996</f>
        <v>TRACK</v>
      </c>
      <c r="I480" s="8" t="str">
        <f>'DEF_CALL_DECISION_SUPPORT'!K996</f>
        <v>Explosive Alert</v>
      </c>
      <c r="J480" s="14" t="s">
        <v>2716</v>
      </c>
      <c r="K480" s="9" t="str">
        <f>'DEF_CALL_DECISION_SUPPORT'!L996</f>
        <v>Explosive risk; review clips before using as answer.</v>
      </c>
      <c r="L480" s="8" t="s">
        <v>2713</v>
      </c>
    </row>
    <row r="481" spans="1:12" ht="48" customHeight="1">
      <c r="A481" s="8" t="s">
        <v>578</v>
      </c>
      <c r="B481" s="8" t="str">
        <f>'DEF_CALL_DECISION_SUPPORT'!B999</f>
        <v>MIX 9 DICE</v>
      </c>
      <c r="C481" s="12">
        <f>'DEF_CALL_DECISION_SUPPORT'!C999</f>
        <v>1</v>
      </c>
      <c r="D481" s="10">
        <f>'DEF_CALL_DECISION_SUPPORT'!D999</f>
        <v>0.0</v>
      </c>
      <c r="E481" s="10">
        <f>'DEF_CALL_DECISION_SUPPORT'!E999</f>
        <v>1.0</v>
      </c>
      <c r="F481" s="11">
        <f>'DEF_CALL_DECISION_SUPPORT'!F999</f>
        <v>16.0</v>
      </c>
      <c r="G481" s="11">
        <f>'DEF_CALL_DECISION_SUPPORT'!J999</f>
        <v>0.0</v>
      </c>
      <c r="H481" s="8" t="str">
        <f>'DEF_CALL_DECISION_SUPPORT'!I999</f>
        <v>TRACK</v>
      </c>
      <c r="I481" s="8" t="str">
        <f>'DEF_CALL_DECISION_SUPPORT'!K999</f>
        <v>Explosive Alert</v>
      </c>
      <c r="J481" s="14" t="s">
        <v>2716</v>
      </c>
      <c r="K481" s="9" t="str">
        <f>'DEF_CALL_DECISION_SUPPORT'!L999</f>
        <v>Explosive risk; review clips before using as answer.</v>
      </c>
      <c r="L481" s="8" t="s">
        <v>2713</v>
      </c>
    </row>
    <row r="482" spans="1:12" ht="48" customHeight="1">
      <c r="A482" s="8" t="s">
        <v>580</v>
      </c>
      <c r="B482" s="8" t="str">
        <f>'DEF_CALL_DECISION_SUPPORT'!B1000</f>
        <v>$ BANJO POP POP</v>
      </c>
      <c r="C482" s="12">
        <f>'DEF_CALL_DECISION_SUPPORT'!C1000</f>
        <v>1</v>
      </c>
      <c r="D482" s="10">
        <f>'DEF_CALL_DECISION_SUPPORT'!D1000</f>
        <v>0.0</v>
      </c>
      <c r="E482" s="10">
        <f>'DEF_CALL_DECISION_SUPPORT'!E1000</f>
        <v>1.0</v>
      </c>
      <c r="F482" s="11">
        <f>'DEF_CALL_DECISION_SUPPORT'!F1000</f>
        <v>21.0</v>
      </c>
      <c r="G482" s="11">
        <f>'DEF_CALL_DECISION_SUPPORT'!J1000</f>
        <v>0.0</v>
      </c>
      <c r="H482" s="8" t="str">
        <f>'DEF_CALL_DECISION_SUPPORT'!I1000</f>
        <v>TRACK</v>
      </c>
      <c r="I482" s="8" t="str">
        <f>'DEF_CALL_DECISION_SUPPORT'!K1000</f>
        <v>Explosive Alert</v>
      </c>
      <c r="J482" s="14" t="s">
        <v>2716</v>
      </c>
      <c r="K482" s="9" t="str">
        <f>'DEF_CALL_DECISION_SUPPORT'!L1000</f>
        <v>Explosive risk; review clips before using as answer.</v>
      </c>
      <c r="L482" s="8" t="s">
        <v>2713</v>
      </c>
    </row>
    <row r="483" spans="1:12" ht="48" customHeight="1">
      <c r="A483" s="8" t="s">
        <v>580</v>
      </c>
      <c r="B483" s="8" t="str">
        <f>'DEF_CALL_DECISION_SUPPORT'!B1002</f>
        <v>GAMES</v>
      </c>
      <c r="C483" s="12">
        <f>'DEF_CALL_DECISION_SUPPORT'!C1002</f>
        <v>1</v>
      </c>
      <c r="D483" s="10">
        <f>'DEF_CALL_DECISION_SUPPORT'!D1002</f>
        <v>0.0</v>
      </c>
      <c r="E483" s="10">
        <f>'DEF_CALL_DECISION_SUPPORT'!E1002</f>
        <v>1.0</v>
      </c>
      <c r="F483" s="11">
        <f>'DEF_CALL_DECISION_SUPPORT'!F1002</f>
        <v>26.0</v>
      </c>
      <c r="G483" s="11">
        <f>'DEF_CALL_DECISION_SUPPORT'!J1002</f>
        <v>0.0</v>
      </c>
      <c r="H483" s="8" t="str">
        <f>'DEF_CALL_DECISION_SUPPORT'!I1002</f>
        <v>TRACK</v>
      </c>
      <c r="I483" s="8" t="str">
        <f>'DEF_CALL_DECISION_SUPPORT'!K1002</f>
        <v>Explosive Alert</v>
      </c>
      <c r="J483" s="14" t="s">
        <v>2716</v>
      </c>
      <c r="K483" s="9" t="str">
        <f>'DEF_CALL_DECISION_SUPPORT'!L1002</f>
        <v>Explosive risk; review clips before using as answer.</v>
      </c>
      <c r="L483" s="8" t="s">
        <v>2713</v>
      </c>
    </row>
    <row r="484" spans="1:12" ht="48" customHeight="1">
      <c r="A484" s="8" t="s">
        <v>580</v>
      </c>
      <c r="B484" s="8" t="str">
        <f>'DEF_CALL_DECISION_SUPPORT'!B1004</f>
        <v>ROLEX GAMES</v>
      </c>
      <c r="C484" s="12">
        <f>'DEF_CALL_DECISION_SUPPORT'!C1004</f>
        <v>1</v>
      </c>
      <c r="D484" s="10">
        <f>'DEF_CALL_DECISION_SUPPORT'!D1004</f>
        <v>0.0</v>
      </c>
      <c r="E484" s="10">
        <f>'DEF_CALL_DECISION_SUPPORT'!E1004</f>
        <v>1.0</v>
      </c>
      <c r="F484" s="11">
        <f>'DEF_CALL_DECISION_SUPPORT'!F1004</f>
        <v>19.0</v>
      </c>
      <c r="G484" s="11">
        <f>'DEF_CALL_DECISION_SUPPORT'!J1004</f>
        <v>0.0</v>
      </c>
      <c r="H484" s="8" t="str">
        <f>'DEF_CALL_DECISION_SUPPORT'!I1004</f>
        <v>TRACK</v>
      </c>
      <c r="I484" s="8" t="str">
        <f>'DEF_CALL_DECISION_SUPPORT'!K1004</f>
        <v>Explosive Alert</v>
      </c>
      <c r="J484" s="14" t="s">
        <v>2716</v>
      </c>
      <c r="K484" s="9" t="str">
        <f>'DEF_CALL_DECISION_SUPPORT'!L1004</f>
        <v>Explosive risk; review clips before using as answer.</v>
      </c>
      <c r="L484" s="8" t="s">
        <v>2713</v>
      </c>
    </row>
    <row r="485" spans="1:12" ht="48" customHeight="1">
      <c r="A485" s="8" t="s">
        <v>590</v>
      </c>
      <c r="B485" s="8" t="str">
        <f>'DEF_CALL_DECISION_SUPPORT'!B1015</f>
        <v>9 DICE</v>
      </c>
      <c r="C485" s="12">
        <f>'DEF_CALL_DECISION_SUPPORT'!C1015</f>
        <v>1</v>
      </c>
      <c r="D485" s="10">
        <f>'DEF_CALL_DECISION_SUPPORT'!D1015</f>
        <v>0.0</v>
      </c>
      <c r="E485" s="10">
        <f>'DEF_CALL_DECISION_SUPPORT'!E1015</f>
        <v>1.0</v>
      </c>
      <c r="F485" s="11">
        <f>'DEF_CALL_DECISION_SUPPORT'!F1015</f>
        <v>23.0</v>
      </c>
      <c r="G485" s="11">
        <f>'DEF_CALL_DECISION_SUPPORT'!J1015</f>
        <v>0.0</v>
      </c>
      <c r="H485" s="8" t="str">
        <f>'DEF_CALL_DECISION_SUPPORT'!I1015</f>
        <v>TRACK</v>
      </c>
      <c r="I485" s="8" t="str">
        <f>'DEF_CALL_DECISION_SUPPORT'!K1015</f>
        <v>Explosive Alert</v>
      </c>
      <c r="J485" s="14" t="s">
        <v>2716</v>
      </c>
      <c r="K485" s="9" t="str">
        <f>'DEF_CALL_DECISION_SUPPORT'!L1015</f>
        <v>Explosive risk; review clips before using as answer.</v>
      </c>
      <c r="L485" s="8" t="s">
        <v>2713</v>
      </c>
    </row>
    <row r="486" spans="1:12" ht="48" customHeight="1">
      <c r="A486" s="8" t="s">
        <v>594</v>
      </c>
      <c r="B486" s="8" t="str">
        <f>'DEF_CALL_DECISION_SUPPORT'!B1018</f>
        <v>9 MOW</v>
      </c>
      <c r="C486" s="12">
        <f>'DEF_CALL_DECISION_SUPPORT'!C1018</f>
        <v>1</v>
      </c>
      <c r="D486" s="10">
        <f>'DEF_CALL_DECISION_SUPPORT'!D1018</f>
        <v>0.0</v>
      </c>
      <c r="E486" s="10">
        <f>'DEF_CALL_DECISION_SUPPORT'!E1018</f>
        <v>1.0</v>
      </c>
      <c r="F486" s="11">
        <f>'DEF_CALL_DECISION_SUPPORT'!F1018</f>
        <v>29.0</v>
      </c>
      <c r="G486" s="11">
        <f>'DEF_CALL_DECISION_SUPPORT'!J1018</f>
        <v>0.0</v>
      </c>
      <c r="H486" s="8" t="str">
        <f>'DEF_CALL_DECISION_SUPPORT'!I1018</f>
        <v>TRACK</v>
      </c>
      <c r="I486" s="8" t="str">
        <f>'DEF_CALL_DECISION_SUPPORT'!K1018</f>
        <v>Explosive Alert</v>
      </c>
      <c r="J486" s="14" t="s">
        <v>2716</v>
      </c>
      <c r="K486" s="9" t="str">
        <f>'DEF_CALL_DECISION_SUPPORT'!L1018</f>
        <v>Explosive risk; review clips before using as answer.</v>
      </c>
      <c r="L486" s="8" t="s">
        <v>2713</v>
      </c>
    </row>
    <row r="487" spans="1:12" ht="48" customHeight="1">
      <c r="A487" s="8" t="s">
        <v>596</v>
      </c>
      <c r="B487" s="8" t="str">
        <f>'DEF_CALL_DECISION_SUPPORT'!B1023</f>
        <v>SMOKE WHITE</v>
      </c>
      <c r="C487" s="12">
        <f>'DEF_CALL_DECISION_SUPPORT'!C1023</f>
        <v>1</v>
      </c>
      <c r="D487" s="10">
        <f>'DEF_CALL_DECISION_SUPPORT'!D1023</f>
        <v>0.0</v>
      </c>
      <c r="E487" s="10">
        <f>'DEF_CALL_DECISION_SUPPORT'!E1023</f>
        <v>1.0</v>
      </c>
      <c r="F487" s="11">
        <f>'DEF_CALL_DECISION_SUPPORT'!F1023</f>
        <v>17.0</v>
      </c>
      <c r="G487" s="11">
        <f>'DEF_CALL_DECISION_SUPPORT'!J1023</f>
        <v>0.0</v>
      </c>
      <c r="H487" s="8" t="str">
        <f>'DEF_CALL_DECISION_SUPPORT'!I1023</f>
        <v>TRACK</v>
      </c>
      <c r="I487" s="8" t="str">
        <f>'DEF_CALL_DECISION_SUPPORT'!K1023</f>
        <v>Explosive Alert</v>
      </c>
      <c r="J487" s="14" t="s">
        <v>2716</v>
      </c>
      <c r="K487" s="9" t="str">
        <f>'DEF_CALL_DECISION_SUPPORT'!L1023</f>
        <v>Explosive risk; review clips before using as answer.</v>
      </c>
      <c r="L487" s="8" t="s">
        <v>2713</v>
      </c>
    </row>
    <row r="488" spans="1:12" ht="48" customHeight="1">
      <c r="A488" s="8" t="s">
        <v>598</v>
      </c>
      <c r="B488" s="8" t="str">
        <f>'DEF_CALL_DECISION_SUPPORT'!B1024</f>
        <v>MIX KEY CAPTAIN</v>
      </c>
      <c r="C488" s="12">
        <f>'DEF_CALL_DECISION_SUPPORT'!C1024</f>
        <v>1</v>
      </c>
      <c r="D488" s="10">
        <f>'DEF_CALL_DECISION_SUPPORT'!D1024</f>
        <v>0.0</v>
      </c>
      <c r="E488" s="10">
        <f>'DEF_CALL_DECISION_SUPPORT'!E1024</f>
        <v>1.0</v>
      </c>
      <c r="F488" s="11">
        <f>'DEF_CALL_DECISION_SUPPORT'!F1024</f>
        <v>16.0</v>
      </c>
      <c r="G488" s="11">
        <f>'DEF_CALL_DECISION_SUPPORT'!J1024</f>
        <v>0.0</v>
      </c>
      <c r="H488" s="8" t="str">
        <f>'DEF_CALL_DECISION_SUPPORT'!I1024</f>
        <v>TRACK</v>
      </c>
      <c r="I488" s="8" t="str">
        <f>'DEF_CALL_DECISION_SUPPORT'!K1024</f>
        <v>Explosive Alert</v>
      </c>
      <c r="J488" s="14" t="s">
        <v>2716</v>
      </c>
      <c r="K488" s="9" t="str">
        <f>'DEF_CALL_DECISION_SUPPORT'!L1024</f>
        <v>Explosive risk; review clips before using as answer.</v>
      </c>
      <c r="L488" s="8" t="s">
        <v>2713</v>
      </c>
    </row>
    <row r="489" spans="1:12" ht="48" customHeight="1">
      <c r="A489" s="8" t="s">
        <v>602</v>
      </c>
      <c r="B489" s="8" t="str">
        <f>'DEF_CALL_DECISION_SUPPORT'!B1029</f>
        <v>SILVER KNIFE</v>
      </c>
      <c r="C489" s="12">
        <f>'DEF_CALL_DECISION_SUPPORT'!C1029</f>
        <v>1</v>
      </c>
      <c r="D489" s="10">
        <f>'DEF_CALL_DECISION_SUPPORT'!D1029</f>
        <v>0.0</v>
      </c>
      <c r="E489" s="10">
        <f>'DEF_CALL_DECISION_SUPPORT'!E1029</f>
        <v>1.0</v>
      </c>
      <c r="F489" s="11">
        <f>'DEF_CALL_DECISION_SUPPORT'!F1029</f>
        <v>25.0</v>
      </c>
      <c r="G489" s="11">
        <f>'DEF_CALL_DECISION_SUPPORT'!J1029</f>
        <v>0.0</v>
      </c>
      <c r="H489" s="8" t="str">
        <f>'DEF_CALL_DECISION_SUPPORT'!I1029</f>
        <v>TRACK</v>
      </c>
      <c r="I489" s="8" t="str">
        <f>'DEF_CALL_DECISION_SUPPORT'!K1029</f>
        <v>Explosive Alert</v>
      </c>
      <c r="J489" s="14" t="s">
        <v>2716</v>
      </c>
      <c r="K489" s="9" t="str">
        <f>'DEF_CALL_DECISION_SUPPORT'!L1029</f>
        <v>Explosive risk; review clips before using as answer.</v>
      </c>
      <c r="L489" s="8" t="s">
        <v>2713</v>
      </c>
    </row>
    <row r="490" spans="1:12" ht="48" customHeight="1">
      <c r="A490" s="8" t="s">
        <v>607</v>
      </c>
      <c r="B490" s="8" t="str">
        <f>'DEF_CALL_DECISION_SUPPORT'!B1032</f>
        <v>BOURBON</v>
      </c>
      <c r="C490" s="12">
        <f>'DEF_CALL_DECISION_SUPPORT'!C1032</f>
        <v>1</v>
      </c>
      <c r="D490" s="10">
        <f>'DEF_CALL_DECISION_SUPPORT'!D1032</f>
        <v>0.0</v>
      </c>
      <c r="E490" s="10">
        <f>'DEF_CALL_DECISION_SUPPORT'!E1032</f>
        <v>1.0</v>
      </c>
      <c r="F490" s="11">
        <f>'DEF_CALL_DECISION_SUPPORT'!F1032</f>
        <v>14.0</v>
      </c>
      <c r="G490" s="11">
        <f>'DEF_CALL_DECISION_SUPPORT'!J1032</f>
        <v>0.0</v>
      </c>
      <c r="H490" s="8" t="str">
        <f>'DEF_CALL_DECISION_SUPPORT'!I1032</f>
        <v>TRACK</v>
      </c>
      <c r="I490" s="8" t="str">
        <f>'DEF_CALL_DECISION_SUPPORT'!K1032</f>
        <v>Explosive Alert</v>
      </c>
      <c r="J490" s="14" t="s">
        <v>2716</v>
      </c>
      <c r="K490" s="9" t="str">
        <f>'DEF_CALL_DECISION_SUPPORT'!L1032</f>
        <v>Explosive risk; review clips before using as answer.</v>
      </c>
      <c r="L490" s="8" t="s">
        <v>2713</v>
      </c>
    </row>
    <row r="491" spans="1:12" ht="48" customHeight="1">
      <c r="A491" s="8" t="s">
        <v>613</v>
      </c>
      <c r="B491" s="8" t="str">
        <f>'DEF_CALL_DECISION_SUPPORT'!B1034</f>
        <v>BOOGIE</v>
      </c>
      <c r="C491" s="12">
        <f>'DEF_CALL_DECISION_SUPPORT'!C1034</f>
        <v>1</v>
      </c>
      <c r="D491" s="10">
        <f>'DEF_CALL_DECISION_SUPPORT'!D1034</f>
        <v>0.0</v>
      </c>
      <c r="E491" s="10">
        <f>'DEF_CALL_DECISION_SUPPORT'!E1034</f>
        <v>1.0</v>
      </c>
      <c r="F491" s="11">
        <f>'DEF_CALL_DECISION_SUPPORT'!F1034</f>
        <v>72.0</v>
      </c>
      <c r="G491" s="11">
        <f>'DEF_CALL_DECISION_SUPPORT'!J1034</f>
        <v>0.0</v>
      </c>
      <c r="H491" s="8" t="str">
        <f>'DEF_CALL_DECISION_SUPPORT'!I1034</f>
        <v>TRACK</v>
      </c>
      <c r="I491" s="8" t="str">
        <f>'DEF_CALL_DECISION_SUPPORT'!K1034</f>
        <v>Explosive Alert</v>
      </c>
      <c r="J491" s="14" t="s">
        <v>2716</v>
      </c>
      <c r="K491" s="9" t="str">
        <f>'DEF_CALL_DECISION_SUPPORT'!L1034</f>
        <v>Explosive risk; review clips before using as answer.</v>
      </c>
      <c r="L491" s="8" t="s">
        <v>2713</v>
      </c>
    </row>
    <row r="492" spans="1:12" ht="48" customHeight="1">
      <c r="A492" s="8" t="s">
        <v>615</v>
      </c>
      <c r="B492" s="8" t="str">
        <f>'DEF_CALL_DECISION_SUPPORT'!B1038</f>
        <v>MIX BOURBON</v>
      </c>
      <c r="C492" s="12">
        <f>'DEF_CALL_DECISION_SUPPORT'!C1038</f>
        <v>1</v>
      </c>
      <c r="D492" s="10">
        <f>'DEF_CALL_DECISION_SUPPORT'!D1038</f>
        <v>0.0</v>
      </c>
      <c r="E492" s="10">
        <f>'DEF_CALL_DECISION_SUPPORT'!E1038</f>
        <v>1.0</v>
      </c>
      <c r="F492" s="11">
        <f>'DEF_CALL_DECISION_SUPPORT'!F1038</f>
        <v>17.0</v>
      </c>
      <c r="G492" s="11">
        <f>'DEF_CALL_DECISION_SUPPORT'!J1038</f>
        <v>0.0</v>
      </c>
      <c r="H492" s="8" t="str">
        <f>'DEF_CALL_DECISION_SUPPORT'!I1038</f>
        <v>TRACK</v>
      </c>
      <c r="I492" s="8" t="str">
        <f>'DEF_CALL_DECISION_SUPPORT'!K1038</f>
        <v>Explosive Alert</v>
      </c>
      <c r="J492" s="14" t="s">
        <v>2716</v>
      </c>
      <c r="K492" s="9" t="str">
        <f>'DEF_CALL_DECISION_SUPPORT'!L1038</f>
        <v>Explosive risk; review clips before using as answer.</v>
      </c>
      <c r="L492" s="8" t="s">
        <v>2713</v>
      </c>
    </row>
    <row r="493" spans="1:12" ht="48" customHeight="1">
      <c r="A493" s="8" t="s">
        <v>619</v>
      </c>
      <c r="B493" s="8" t="str">
        <f>'DEF_CALL_DECISION_SUPPORT'!B1046</f>
        <v>BOURBON</v>
      </c>
      <c r="C493" s="12">
        <f>'DEF_CALL_DECISION_SUPPORT'!C1046</f>
        <v>1</v>
      </c>
      <c r="D493" s="10">
        <f>'DEF_CALL_DECISION_SUPPORT'!D1046</f>
        <v>0.0</v>
      </c>
      <c r="E493" s="10">
        <f>'DEF_CALL_DECISION_SUPPORT'!E1046</f>
        <v>1.0</v>
      </c>
      <c r="F493" s="11">
        <f>'DEF_CALL_DECISION_SUPPORT'!F1046</f>
        <v>47.0</v>
      </c>
      <c r="G493" s="11">
        <f>'DEF_CALL_DECISION_SUPPORT'!J1046</f>
        <v>0.0</v>
      </c>
      <c r="H493" s="8" t="str">
        <f>'DEF_CALL_DECISION_SUPPORT'!I1046</f>
        <v>TRACK</v>
      </c>
      <c r="I493" s="8" t="str">
        <f>'DEF_CALL_DECISION_SUPPORT'!K1046</f>
        <v>Explosive Alert</v>
      </c>
      <c r="J493" s="14" t="s">
        <v>2716</v>
      </c>
      <c r="K493" s="9" t="str">
        <f>'DEF_CALL_DECISION_SUPPORT'!L1046</f>
        <v>Explosive risk; review clips before using as answer.</v>
      </c>
      <c r="L493" s="8" t="s">
        <v>2713</v>
      </c>
    </row>
    <row r="494" spans="1:12" ht="48" customHeight="1">
      <c r="A494" s="8" t="s">
        <v>623</v>
      </c>
      <c r="B494" s="8" t="str">
        <f>'DEF_CALL_DECISION_SUPPORT'!B1051</f>
        <v>RAMBO</v>
      </c>
      <c r="C494" s="12">
        <f>'DEF_CALL_DECISION_SUPPORT'!C1051</f>
        <v>1</v>
      </c>
      <c r="D494" s="10">
        <f>'DEF_CALL_DECISION_SUPPORT'!D1051</f>
        <v>0.0</v>
      </c>
      <c r="E494" s="10">
        <f>'DEF_CALL_DECISION_SUPPORT'!E1051</f>
        <v>1.0</v>
      </c>
      <c r="F494" s="11">
        <f>'DEF_CALL_DECISION_SUPPORT'!F1051</f>
        <v>55.0</v>
      </c>
      <c r="G494" s="11">
        <f>'DEF_CALL_DECISION_SUPPORT'!J1051</f>
        <v>0.0</v>
      </c>
      <c r="H494" s="8" t="str">
        <f>'DEF_CALL_DECISION_SUPPORT'!I1051</f>
        <v>TRACK</v>
      </c>
      <c r="I494" s="8" t="str">
        <f>'DEF_CALL_DECISION_SUPPORT'!K1051</f>
        <v>Explosive Alert</v>
      </c>
      <c r="J494" s="14" t="s">
        <v>2716</v>
      </c>
      <c r="K494" s="9" t="str">
        <f>'DEF_CALL_DECISION_SUPPORT'!L1051</f>
        <v>Explosive risk; review clips before using as answer.</v>
      </c>
      <c r="L494" s="8" t="s">
        <v>2713</v>
      </c>
    </row>
    <row r="495" spans="1:12" ht="48" customHeight="1">
      <c r="A495" s="8" t="s">
        <v>630</v>
      </c>
      <c r="B495" s="8" t="str">
        <f>'DEF_CALL_DECISION_SUPPORT'!B1242</f>
        <v>SILVER KNIFE</v>
      </c>
      <c r="C495" s="12">
        <f>'DEF_CALL_DECISION_SUPPORT'!C1242</f>
        <v>3</v>
      </c>
      <c r="D495" s="10">
        <f>'DEF_CALL_DECISION_SUPPORT'!D1242</f>
        <v>0.0</v>
      </c>
      <c r="E495" s="10">
        <f>'DEF_CALL_DECISION_SUPPORT'!E1242</f>
        <v>0.6666666666666666</v>
      </c>
      <c r="F495" s="11">
        <f>'DEF_CALL_DECISION_SUPPORT'!F1242</f>
        <v>20.666666666666668</v>
      </c>
      <c r="G495" s="11">
        <f>'DEF_CALL_DECISION_SUPPORT'!J1242</f>
        <v>6.7</v>
      </c>
      <c r="H495" s="8" t="str">
        <f>'DEF_CALL_DECISION_SUPPORT'!I1242</f>
        <v>LOW</v>
      </c>
      <c r="I495" s="8" t="str">
        <f>'DEF_CALL_DECISION_SUPPORT'!K1242</f>
        <v>Sample Watch</v>
      </c>
      <c r="J495" s="14" t="s">
        <v>2716</v>
      </c>
      <c r="K495" s="9" t="str">
        <f>'DEF_CALL_DECISION_SUPPORT'!L1242</f>
        <v>Sample watch with explosive exposure; review clips and build the sample.</v>
      </c>
      <c r="L495" s="8" t="s">
        <v>631</v>
      </c>
    </row>
    <row r="496" spans="1:12" ht="48" customHeight="1">
      <c r="A496" s="8" t="s">
        <v>449</v>
      </c>
      <c r="B496" s="8" t="str">
        <f>'DEF_CALL_DECISION_SUPPORT'!B1296</f>
        <v>KEY CAPTAIN</v>
      </c>
      <c r="C496" s="12">
        <f>'DEF_CALL_DECISION_SUPPORT'!C1296</f>
        <v>2</v>
      </c>
      <c r="D496" s="10">
        <f>'DEF_CALL_DECISION_SUPPORT'!D1296</f>
        <v>0.5</v>
      </c>
      <c r="E496" s="10">
        <f>'DEF_CALL_DECISION_SUPPORT'!E1296</f>
        <v>0.5</v>
      </c>
      <c r="F496" s="11">
        <f>'DEF_CALL_DECISION_SUPPORT'!F1296</f>
        <v>7.5</v>
      </c>
      <c r="G496" s="11">
        <f>'DEF_CALL_DECISION_SUPPORT'!J1296</f>
        <v>47.5</v>
      </c>
      <c r="H496" s="8" t="str">
        <f>'DEF_CALL_DECISION_SUPPORT'!I1296</f>
        <v>TRACK</v>
      </c>
      <c r="I496" s="8" t="str">
        <f>'DEF_CALL_DECISION_SUPPORT'!K1296</f>
        <v>Explosive Alert</v>
      </c>
      <c r="J496" s="14" t="s">
        <v>2716</v>
      </c>
      <c r="K496" s="9" t="str">
        <f>'DEF_CALL_DECISION_SUPPORT'!L1296</f>
        <v>Explosive risk; review clips before using as answer.</v>
      </c>
      <c r="L496" s="8" t="s">
        <v>781</v>
      </c>
    </row>
    <row r="497" spans="1:12" ht="48" customHeight="1">
      <c r="A497" s="8" t="s">
        <v>465</v>
      </c>
      <c r="B497" s="8" t="str">
        <f>'DEF_CALL_DECISION_SUPPORT'!B1388</f>
        <v>REBEL</v>
      </c>
      <c r="C497" s="12">
        <f>'DEF_CALL_DECISION_SUPPORT'!C1388</f>
        <v>2</v>
      </c>
      <c r="D497" s="10">
        <f>'DEF_CALL_DECISION_SUPPORT'!D1388</f>
        <v>0.5</v>
      </c>
      <c r="E497" s="10">
        <f>'DEF_CALL_DECISION_SUPPORT'!E1388</f>
        <v>0.5</v>
      </c>
      <c r="F497" s="11">
        <f>'DEF_CALL_DECISION_SUPPORT'!F1388</f>
        <v>8.5</v>
      </c>
      <c r="G497" s="11">
        <f>'DEF_CALL_DECISION_SUPPORT'!J1388</f>
        <v>46.5</v>
      </c>
      <c r="H497" s="8" t="str">
        <f>'DEF_CALL_DECISION_SUPPORT'!I1388</f>
        <v>TRACK</v>
      </c>
      <c r="I497" s="8" t="str">
        <f>'DEF_CALL_DECISION_SUPPORT'!K1388</f>
        <v>Explosive Alert</v>
      </c>
      <c r="J497" s="14" t="s">
        <v>2716</v>
      </c>
      <c r="K497" s="9" t="str">
        <f>'DEF_CALL_DECISION_SUPPORT'!L1388</f>
        <v>Explosive risk; review clips before using as answer.</v>
      </c>
      <c r="L497" s="8" t="s">
        <v>781</v>
      </c>
    </row>
    <row r="498" spans="1:12" ht="48" customHeight="1">
      <c r="A498" s="8" t="s">
        <v>630</v>
      </c>
      <c r="B498" s="8" t="str">
        <f>'DEF_CALL_DECISION_SUPPORT'!B1197</f>
        <v>$ BANJO POP POP</v>
      </c>
      <c r="C498" s="12">
        <f>'DEF_CALL_DECISION_SUPPORT'!C1197</f>
        <v>2</v>
      </c>
      <c r="D498" s="10">
        <f>'DEF_CALL_DECISION_SUPPORT'!D1197</f>
        <v>0.5</v>
      </c>
      <c r="E498" s="10">
        <f>'DEF_CALL_DECISION_SUPPORT'!E1197</f>
        <v>0.5</v>
      </c>
      <c r="F498" s="11">
        <f>'DEF_CALL_DECISION_SUPPORT'!F1197</f>
        <v>10.5</v>
      </c>
      <c r="G498" s="11">
        <f>'DEF_CALL_DECISION_SUPPORT'!J1197</f>
        <v>45.0</v>
      </c>
      <c r="H498" s="8" t="str">
        <f>'DEF_CALL_DECISION_SUPPORT'!I1197</f>
        <v>TRACK</v>
      </c>
      <c r="I498" s="8" t="str">
        <f>'DEF_CALL_DECISION_SUPPORT'!K1197</f>
        <v>Explosive Alert</v>
      </c>
      <c r="J498" s="14" t="s">
        <v>2716</v>
      </c>
      <c r="K498" s="9" t="str">
        <f>'DEF_CALL_DECISION_SUPPORT'!L1197</f>
        <v>Explosive risk; review clips before using as answer.</v>
      </c>
      <c r="L498" s="8" t="s">
        <v>631</v>
      </c>
    </row>
    <row r="499" spans="1:12" ht="48" customHeight="1">
      <c r="A499" s="8" t="s">
        <v>630</v>
      </c>
      <c r="B499" s="8" t="str">
        <f>'DEF_CALL_DECISION_SUPPORT'!B1207</f>
        <v>DOG SHINE</v>
      </c>
      <c r="C499" s="12">
        <f>'DEF_CALL_DECISION_SUPPORT'!C1207</f>
        <v>2</v>
      </c>
      <c r="D499" s="10">
        <f>'DEF_CALL_DECISION_SUPPORT'!D1207</f>
        <v>0.5</v>
      </c>
      <c r="E499" s="10">
        <f>'DEF_CALL_DECISION_SUPPORT'!E1207</f>
        <v>0.5</v>
      </c>
      <c r="F499" s="11">
        <f>'DEF_CALL_DECISION_SUPPORT'!F1207</f>
        <v>15.0</v>
      </c>
      <c r="G499" s="11">
        <f>'DEF_CALL_DECISION_SUPPORT'!J1207</f>
        <v>45.0</v>
      </c>
      <c r="H499" s="8" t="str">
        <f>'DEF_CALL_DECISION_SUPPORT'!I1207</f>
        <v>TRACK</v>
      </c>
      <c r="I499" s="8" t="str">
        <f>'DEF_CALL_DECISION_SUPPORT'!K1207</f>
        <v>Explosive Alert</v>
      </c>
      <c r="J499" s="14" t="s">
        <v>2716</v>
      </c>
      <c r="K499" s="9" t="str">
        <f>'DEF_CALL_DECISION_SUPPORT'!L1207</f>
        <v>Explosive risk; review clips before using as answer.</v>
      </c>
      <c r="L499" s="8" t="s">
        <v>631</v>
      </c>
    </row>
    <row r="500" spans="1:12" ht="48" customHeight="1">
      <c r="A500" s="8" t="s">
        <v>630</v>
      </c>
      <c r="B500" s="8" t="str">
        <f>'DEF_CALL_DECISION_SUPPORT'!B1211</f>
        <v>GAMES</v>
      </c>
      <c r="C500" s="12">
        <f>'DEF_CALL_DECISION_SUPPORT'!C1211</f>
        <v>2</v>
      </c>
      <c r="D500" s="10">
        <f>'DEF_CALL_DECISION_SUPPORT'!D1211</f>
        <v>0.5</v>
      </c>
      <c r="E500" s="10">
        <f>'DEF_CALL_DECISION_SUPPORT'!E1211</f>
        <v>0.5</v>
      </c>
      <c r="F500" s="11">
        <f>'DEF_CALL_DECISION_SUPPORT'!F1211</f>
        <v>15.0</v>
      </c>
      <c r="G500" s="11">
        <f>'DEF_CALL_DECISION_SUPPORT'!J1211</f>
        <v>45.0</v>
      </c>
      <c r="H500" s="8" t="str">
        <f>'DEF_CALL_DECISION_SUPPORT'!I1211</f>
        <v>TRACK</v>
      </c>
      <c r="I500" s="8" t="str">
        <f>'DEF_CALL_DECISION_SUPPORT'!K1211</f>
        <v>Explosive Alert</v>
      </c>
      <c r="J500" s="14" t="s">
        <v>2716</v>
      </c>
      <c r="K500" s="9" t="str">
        <f>'DEF_CALL_DECISION_SUPPORT'!L1211</f>
        <v>Explosive risk; review clips before using as answer.</v>
      </c>
      <c r="L500" s="8" t="s">
        <v>631</v>
      </c>
    </row>
    <row r="501" spans="1:12" ht="48" customHeight="1">
      <c r="A501" s="8" t="s">
        <v>449</v>
      </c>
      <c r="B501" s="8" t="str">
        <f>'DEF_CALL_DECISION_SUPPORT'!B1281</f>
        <v>$ BANJO POP POP</v>
      </c>
      <c r="C501" s="12">
        <f>'DEF_CALL_DECISION_SUPPORT'!C1281</f>
        <v>2</v>
      </c>
      <c r="D501" s="10">
        <f>'DEF_CALL_DECISION_SUPPORT'!D1281</f>
        <v>0.5</v>
      </c>
      <c r="E501" s="10">
        <f>'DEF_CALL_DECISION_SUPPORT'!E1281</f>
        <v>0.5</v>
      </c>
      <c r="F501" s="11">
        <f>'DEF_CALL_DECISION_SUPPORT'!F1281</f>
        <v>10.5</v>
      </c>
      <c r="G501" s="11">
        <f>'DEF_CALL_DECISION_SUPPORT'!J1281</f>
        <v>45.0</v>
      </c>
      <c r="H501" s="8" t="str">
        <f>'DEF_CALL_DECISION_SUPPORT'!I1281</f>
        <v>TRACK</v>
      </c>
      <c r="I501" s="8" t="str">
        <f>'DEF_CALL_DECISION_SUPPORT'!K1281</f>
        <v>Explosive Alert</v>
      </c>
      <c r="J501" s="14" t="s">
        <v>2716</v>
      </c>
      <c r="K501" s="9" t="str">
        <f>'DEF_CALL_DECISION_SUPPORT'!L1281</f>
        <v>Explosive risk; review clips before using as answer.</v>
      </c>
      <c r="L501" s="8" t="s">
        <v>781</v>
      </c>
    </row>
    <row r="502" spans="1:12" ht="48" customHeight="1">
      <c r="A502" s="8" t="s">
        <v>449</v>
      </c>
      <c r="B502" s="8" t="str">
        <f>'DEF_CALL_DECISION_SUPPORT'!B1289</f>
        <v>DOG SHINE</v>
      </c>
      <c r="C502" s="12">
        <f>'DEF_CALL_DECISION_SUPPORT'!C1289</f>
        <v>2</v>
      </c>
      <c r="D502" s="10">
        <f>'DEF_CALL_DECISION_SUPPORT'!D1289</f>
        <v>0.5</v>
      </c>
      <c r="E502" s="10">
        <f>'DEF_CALL_DECISION_SUPPORT'!E1289</f>
        <v>0.5</v>
      </c>
      <c r="F502" s="11">
        <f>'DEF_CALL_DECISION_SUPPORT'!F1289</f>
        <v>15.0</v>
      </c>
      <c r="G502" s="11">
        <f>'DEF_CALL_DECISION_SUPPORT'!J1289</f>
        <v>45.0</v>
      </c>
      <c r="H502" s="8" t="str">
        <f>'DEF_CALL_DECISION_SUPPORT'!I1289</f>
        <v>TRACK</v>
      </c>
      <c r="I502" s="8" t="str">
        <f>'DEF_CALL_DECISION_SUPPORT'!K1289</f>
        <v>Explosive Alert</v>
      </c>
      <c r="J502" s="14" t="s">
        <v>2716</v>
      </c>
      <c r="K502" s="9" t="str">
        <f>'DEF_CALL_DECISION_SUPPORT'!L1289</f>
        <v>Explosive risk; review clips before using as answer.</v>
      </c>
      <c r="L502" s="8" t="s">
        <v>781</v>
      </c>
    </row>
    <row r="503" spans="1:12" ht="48" customHeight="1">
      <c r="A503" s="8" t="s">
        <v>449</v>
      </c>
      <c r="B503" s="8" t="str">
        <f>'DEF_CALL_DECISION_SUPPORT'!B1314</f>
        <v>SPIN REBEL</v>
      </c>
      <c r="C503" s="12">
        <f>'DEF_CALL_DECISION_SUPPORT'!C1314</f>
        <v>2</v>
      </c>
      <c r="D503" s="10">
        <f>'DEF_CALL_DECISION_SUPPORT'!D1314</f>
        <v>0.5</v>
      </c>
      <c r="E503" s="10">
        <f>'DEF_CALL_DECISION_SUPPORT'!E1314</f>
        <v>0.5</v>
      </c>
      <c r="F503" s="11">
        <f>'DEF_CALL_DECISION_SUPPORT'!F1314</f>
        <v>21.0</v>
      </c>
      <c r="G503" s="11">
        <f>'DEF_CALL_DECISION_SUPPORT'!J1314</f>
        <v>45.0</v>
      </c>
      <c r="H503" s="8" t="str">
        <f>'DEF_CALL_DECISION_SUPPORT'!I1314</f>
        <v>TRACK</v>
      </c>
      <c r="I503" s="8" t="str">
        <f>'DEF_CALL_DECISION_SUPPORT'!K1314</f>
        <v>Explosive Alert</v>
      </c>
      <c r="J503" s="14" t="s">
        <v>2716</v>
      </c>
      <c r="K503" s="9" t="str">
        <f>'DEF_CALL_DECISION_SUPPORT'!L1314</f>
        <v>Explosive risk; review clips before using as answer.</v>
      </c>
      <c r="L503" s="8" t="s">
        <v>781</v>
      </c>
    </row>
    <row r="504" spans="1:12" ht="48" customHeight="1">
      <c r="A504" s="8" t="s">
        <v>448</v>
      </c>
      <c r="B504" s="8" t="str">
        <f>'DEF_CALL_DECISION_SUPPORT'!B826</f>
        <v>DOG SHINE</v>
      </c>
      <c r="C504" s="12">
        <f>'DEF_CALL_DECISION_SUPPORT'!C826</f>
        <v>2</v>
      </c>
      <c r="D504" s="10">
        <f>'DEF_CALL_DECISION_SUPPORT'!D826</f>
        <v>0.5</v>
      </c>
      <c r="E504" s="10">
        <f>'DEF_CALL_DECISION_SUPPORT'!E826</f>
        <v>0.5</v>
      </c>
      <c r="F504" s="11">
        <f>'DEF_CALL_DECISION_SUPPORT'!F826</f>
        <v>15.0</v>
      </c>
      <c r="G504" s="11">
        <f>'DEF_CALL_DECISION_SUPPORT'!J826</f>
        <v>45.0</v>
      </c>
      <c r="H504" s="8" t="str">
        <f>'DEF_CALL_DECISION_SUPPORT'!I826</f>
        <v>TRACK</v>
      </c>
      <c r="I504" s="8" t="str">
        <f>'DEF_CALL_DECISION_SUPPORT'!K826</f>
        <v>Explosive Alert</v>
      </c>
      <c r="J504" s="14" t="s">
        <v>2716</v>
      </c>
      <c r="K504" s="9" t="str">
        <f>'DEF_CALL_DECISION_SUPPORT'!L826</f>
        <v>Explosive risk; review clips before using as answer.</v>
      </c>
      <c r="L504" s="8" t="s">
        <v>2713</v>
      </c>
    </row>
    <row r="505" spans="1:12" ht="48" customHeight="1">
      <c r="A505" s="8" t="s">
        <v>446</v>
      </c>
      <c r="B505" s="8" t="str">
        <f>'DEF_CALL_DECISION_SUPPORT'!B1279</f>
        <v>SMOKE WHITE</v>
      </c>
      <c r="C505" s="12">
        <f>'DEF_CALL_DECISION_SUPPORT'!C1279</f>
        <v>2</v>
      </c>
      <c r="D505" s="10">
        <f>'DEF_CALL_DECISION_SUPPORT'!D1279</f>
        <v>0.0</v>
      </c>
      <c r="E505" s="10">
        <f>'DEF_CALL_DECISION_SUPPORT'!E1279</f>
        <v>0.5</v>
      </c>
      <c r="F505" s="11">
        <f>'DEF_CALL_DECISION_SUPPORT'!F1279</f>
        <v>13.0</v>
      </c>
      <c r="G505" s="11">
        <f>'DEF_CALL_DECISION_SUPPORT'!J1279</f>
        <v>10.0</v>
      </c>
      <c r="H505" s="8" t="str">
        <f>'DEF_CALL_DECISION_SUPPORT'!I1279</f>
        <v>TRACK</v>
      </c>
      <c r="I505" s="8" t="str">
        <f>'DEF_CALL_DECISION_SUPPORT'!K1279</f>
        <v>Explosive Alert</v>
      </c>
      <c r="J505" s="14" t="s">
        <v>2716</v>
      </c>
      <c r="K505" s="9" t="str">
        <f>'DEF_CALL_DECISION_SUPPORT'!L1279</f>
        <v>Explosive risk; review clips before using as answer.</v>
      </c>
      <c r="L505" s="8" t="s">
        <v>781</v>
      </c>
    </row>
    <row r="506" spans="1:12" ht="48" customHeight="1">
      <c r="A506" s="8" t="s">
        <v>465</v>
      </c>
      <c r="B506" s="8" t="str">
        <f>'DEF_CALL_DECISION_SUPPORT'!B1382</f>
        <v>FALCON</v>
      </c>
      <c r="C506" s="12">
        <f>'DEF_CALL_DECISION_SUPPORT'!C1382</f>
        <v>2</v>
      </c>
      <c r="D506" s="10">
        <f>'DEF_CALL_DECISION_SUPPORT'!D1382</f>
        <v>0.0</v>
      </c>
      <c r="E506" s="10">
        <f>'DEF_CALL_DECISION_SUPPORT'!E1382</f>
        <v>0.5</v>
      </c>
      <c r="F506" s="11">
        <f>'DEF_CALL_DECISION_SUPPORT'!F1382</f>
        <v>10.5</v>
      </c>
      <c r="G506" s="11">
        <f>'DEF_CALL_DECISION_SUPPORT'!J1382</f>
        <v>10.0</v>
      </c>
      <c r="H506" s="8" t="str">
        <f>'DEF_CALL_DECISION_SUPPORT'!I1382</f>
        <v>TRACK</v>
      </c>
      <c r="I506" s="8" t="str">
        <f>'DEF_CALL_DECISION_SUPPORT'!K1382</f>
        <v>Explosive Alert</v>
      </c>
      <c r="J506" s="14" t="s">
        <v>2716</v>
      </c>
      <c r="K506" s="9" t="str">
        <f>'DEF_CALL_DECISION_SUPPORT'!L1382</f>
        <v>Explosive risk; review clips before using as answer.</v>
      </c>
      <c r="L506" s="8" t="s">
        <v>781</v>
      </c>
    </row>
    <row r="507" spans="1:12" ht="48" customHeight="1">
      <c r="A507" s="8" t="s">
        <v>468</v>
      </c>
      <c r="B507" s="8" t="str">
        <f>'DEF_CALL_DECISION_SUPPORT'!B1394</f>
        <v>BOURBON</v>
      </c>
      <c r="C507" s="12">
        <f>'DEF_CALL_DECISION_SUPPORT'!C1394</f>
        <v>2</v>
      </c>
      <c r="D507" s="10">
        <f>'DEF_CALL_DECISION_SUPPORT'!D1394</f>
        <v>0.0</v>
      </c>
      <c r="E507" s="10">
        <f>'DEF_CALL_DECISION_SUPPORT'!E1394</f>
        <v>0.5</v>
      </c>
      <c r="F507" s="11">
        <f>'DEF_CALL_DECISION_SUPPORT'!F1394</f>
        <v>28.0</v>
      </c>
      <c r="G507" s="11">
        <f>'DEF_CALL_DECISION_SUPPORT'!J1394</f>
        <v>10.0</v>
      </c>
      <c r="H507" s="8" t="str">
        <f>'DEF_CALL_DECISION_SUPPORT'!I1394</f>
        <v>TRACK</v>
      </c>
      <c r="I507" s="8" t="str">
        <f>'DEF_CALL_DECISION_SUPPORT'!K1394</f>
        <v>Explosive Alert</v>
      </c>
      <c r="J507" s="14" t="s">
        <v>2716</v>
      </c>
      <c r="K507" s="9" t="str">
        <f>'DEF_CALL_DECISION_SUPPORT'!L1394</f>
        <v>Explosive risk; review clips before using as answer.</v>
      </c>
      <c r="L507" s="8" t="s">
        <v>781</v>
      </c>
    </row>
    <row r="508" spans="1:12" ht="48" customHeight="1">
      <c r="A508" s="8" t="s">
        <v>471</v>
      </c>
      <c r="B508" s="8" t="str">
        <f>'DEF_CALL_DECISION_SUPPORT'!B1413</f>
        <v>CAPTAIN</v>
      </c>
      <c r="C508" s="12">
        <f>'DEF_CALL_DECISION_SUPPORT'!C1413</f>
        <v>2</v>
      </c>
      <c r="D508" s="10">
        <f>'DEF_CALL_DECISION_SUPPORT'!D1413</f>
        <v>0.0</v>
      </c>
      <c r="E508" s="10">
        <f>'DEF_CALL_DECISION_SUPPORT'!E1413</f>
        <v>0.5</v>
      </c>
      <c r="F508" s="11">
        <f>'DEF_CALL_DECISION_SUPPORT'!F1413</f>
        <v>15.5</v>
      </c>
      <c r="G508" s="11">
        <f>'DEF_CALL_DECISION_SUPPORT'!J1413</f>
        <v>10.0</v>
      </c>
      <c r="H508" s="8" t="str">
        <f>'DEF_CALL_DECISION_SUPPORT'!I1413</f>
        <v>TRACK</v>
      </c>
      <c r="I508" s="8" t="str">
        <f>'DEF_CALL_DECISION_SUPPORT'!K1413</f>
        <v>Explosive Alert</v>
      </c>
      <c r="J508" s="14" t="s">
        <v>2716</v>
      </c>
      <c r="K508" s="9" t="str">
        <f>'DEF_CALL_DECISION_SUPPORT'!L1413</f>
        <v>Explosive risk; review clips before using as answer.</v>
      </c>
      <c r="L508" s="8" t="s">
        <v>781</v>
      </c>
    </row>
    <row r="509" spans="1:12" ht="48" customHeight="1">
      <c r="A509" s="8" t="s">
        <v>471</v>
      </c>
      <c r="B509" s="8" t="str">
        <f>'DEF_CALL_DECISION_SUPPORT'!B1422</f>
        <v>SILVER KNIFE</v>
      </c>
      <c r="C509" s="12">
        <f>'DEF_CALL_DECISION_SUPPORT'!C1422</f>
        <v>2</v>
      </c>
      <c r="D509" s="10">
        <f>'DEF_CALL_DECISION_SUPPORT'!D1422</f>
        <v>0.0</v>
      </c>
      <c r="E509" s="10">
        <f>'DEF_CALL_DECISION_SUPPORT'!E1422</f>
        <v>0.5</v>
      </c>
      <c r="F509" s="11">
        <f>'DEF_CALL_DECISION_SUPPORT'!F1422</f>
        <v>18.5</v>
      </c>
      <c r="G509" s="11">
        <f>'DEF_CALL_DECISION_SUPPORT'!J1422</f>
        <v>10.0</v>
      </c>
      <c r="H509" s="8" t="str">
        <f>'DEF_CALL_DECISION_SUPPORT'!I1422</f>
        <v>TRACK</v>
      </c>
      <c r="I509" s="8" t="str">
        <f>'DEF_CALL_DECISION_SUPPORT'!K1422</f>
        <v>Explosive Alert</v>
      </c>
      <c r="J509" s="14" t="s">
        <v>2716</v>
      </c>
      <c r="K509" s="9" t="str">
        <f>'DEF_CALL_DECISION_SUPPORT'!L1422</f>
        <v>Explosive risk; review clips before using as answer.</v>
      </c>
      <c r="L509" s="8" t="s">
        <v>781</v>
      </c>
    </row>
    <row r="510" spans="1:12" ht="48" customHeight="1">
      <c r="A510" s="8" t="s">
        <v>448</v>
      </c>
      <c r="B510" s="8" t="str">
        <f>'DEF_CALL_DECISION_SUPPORT'!B832</f>
        <v>REBEL</v>
      </c>
      <c r="C510" s="12">
        <f>'DEF_CALL_DECISION_SUPPORT'!C832</f>
        <v>2</v>
      </c>
      <c r="D510" s="10">
        <f>'DEF_CALL_DECISION_SUPPORT'!D832</f>
        <v>0.0</v>
      </c>
      <c r="E510" s="10">
        <f>'DEF_CALL_DECISION_SUPPORT'!E832</f>
        <v>0.5</v>
      </c>
      <c r="F510" s="11">
        <f>'DEF_CALL_DECISION_SUPPORT'!F832</f>
        <v>21.5</v>
      </c>
      <c r="G510" s="11">
        <f>'DEF_CALL_DECISION_SUPPORT'!J832</f>
        <v>10.0</v>
      </c>
      <c r="H510" s="8" t="str">
        <f>'DEF_CALL_DECISION_SUPPORT'!I832</f>
        <v>TRACK</v>
      </c>
      <c r="I510" s="8" t="str">
        <f>'DEF_CALL_DECISION_SUPPORT'!K832</f>
        <v>Explosive Alert</v>
      </c>
      <c r="J510" s="14" t="s">
        <v>2716</v>
      </c>
      <c r="K510" s="9" t="str">
        <f>'DEF_CALL_DECISION_SUPPORT'!L832</f>
        <v>Explosive risk; review clips before using as answer.</v>
      </c>
      <c r="L510" s="8" t="s">
        <v>2713</v>
      </c>
    </row>
    <row r="511" spans="1:12" ht="48" customHeight="1">
      <c r="A511" s="8" t="s">
        <v>470</v>
      </c>
      <c r="B511" s="8" t="str">
        <f>'DEF_CALL_DECISION_SUPPORT'!B874</f>
        <v>SILVER KNIFE</v>
      </c>
      <c r="C511" s="12">
        <f>'DEF_CALL_DECISION_SUPPORT'!C874</f>
        <v>2</v>
      </c>
      <c r="D511" s="10">
        <f>'DEF_CALL_DECISION_SUPPORT'!D874</f>
        <v>0.0</v>
      </c>
      <c r="E511" s="10">
        <f>'DEF_CALL_DECISION_SUPPORT'!E874</f>
        <v>0.5</v>
      </c>
      <c r="F511" s="11">
        <f>'DEF_CALL_DECISION_SUPPORT'!F874</f>
        <v>18.5</v>
      </c>
      <c r="G511" s="11">
        <f>'DEF_CALL_DECISION_SUPPORT'!J874</f>
        <v>10.0</v>
      </c>
      <c r="H511" s="8" t="str">
        <f>'DEF_CALL_DECISION_SUPPORT'!I874</f>
        <v>TRACK</v>
      </c>
      <c r="I511" s="8" t="str">
        <f>'DEF_CALL_DECISION_SUPPORT'!K874</f>
        <v>Explosive Alert</v>
      </c>
      <c r="J511" s="14" t="s">
        <v>2716</v>
      </c>
      <c r="K511" s="9" t="str">
        <f>'DEF_CALL_DECISION_SUPPORT'!L874</f>
        <v>Explosive risk; review clips before using as answer.</v>
      </c>
      <c r="L511" s="8" t="s">
        <v>2713</v>
      </c>
    </row>
    <row r="512" spans="1:12" ht="48" customHeight="1">
      <c r="A512" s="8" t="s">
        <v>630</v>
      </c>
      <c r="B512" s="8" t="str">
        <f>'DEF_CALL_DECISION_SUPPORT'!B1238</f>
        <v>ROLEX KNIFE</v>
      </c>
      <c r="C512" s="12">
        <f>'DEF_CALL_DECISION_SUPPORT'!C1238</f>
        <v>3</v>
      </c>
      <c r="D512" s="10">
        <f>'DEF_CALL_DECISION_SUPPORT'!D1238</f>
        <v>0.6666666666666666</v>
      </c>
      <c r="E512" s="10">
        <f>'DEF_CALL_DECISION_SUPPORT'!E1238</f>
        <v>0.3333333333333333</v>
      </c>
      <c r="F512" s="11">
        <f>'DEF_CALL_DECISION_SUPPORT'!F1238</f>
        <v>7.333333333333333</v>
      </c>
      <c r="G512" s="11">
        <f>'DEF_CALL_DECISION_SUPPORT'!J1238</f>
        <v>62.7</v>
      </c>
      <c r="H512" s="8" t="str">
        <f>'DEF_CALL_DECISION_SUPPORT'!I1238</f>
        <v>LOW</v>
      </c>
      <c r="I512" s="8" t="str">
        <f>'DEF_CALL_DECISION_SUPPORT'!K1238</f>
        <v>Sample Watch</v>
      </c>
      <c r="J512" s="14" t="s">
        <v>2716</v>
      </c>
      <c r="K512" s="9" t="str">
        <f>'DEF_CALL_DECISION_SUPPORT'!L1238</f>
        <v>Sample watch with explosive exposure; review clips and build the sample.</v>
      </c>
      <c r="L512" s="8" t="s">
        <v>631</v>
      </c>
    </row>
    <row r="513" spans="1:12" ht="48" customHeight="1">
      <c r="A513" s="8" t="s">
        <v>630</v>
      </c>
      <c r="B513" s="8" t="str">
        <f>'DEF_CALL_DECISION_SUPPORT'!B1246</f>
        <v>SPIN REBEL</v>
      </c>
      <c r="C513" s="12">
        <f>'DEF_CALL_DECISION_SUPPORT'!C1246</f>
        <v>3</v>
      </c>
      <c r="D513" s="10">
        <f>'DEF_CALL_DECISION_SUPPORT'!D1246</f>
        <v>0.6666666666666666</v>
      </c>
      <c r="E513" s="10">
        <f>'DEF_CALL_DECISION_SUPPORT'!E1246</f>
        <v>0.3333333333333333</v>
      </c>
      <c r="F513" s="11">
        <f>'DEF_CALL_DECISION_SUPPORT'!F1246</f>
        <v>15.0</v>
      </c>
      <c r="G513" s="11">
        <f>'DEF_CALL_DECISION_SUPPORT'!J1246</f>
        <v>60.0</v>
      </c>
      <c r="H513" s="8" t="str">
        <f>'DEF_CALL_DECISION_SUPPORT'!I1246</f>
        <v>LOW</v>
      </c>
      <c r="I513" s="8" t="str">
        <f>'DEF_CALL_DECISION_SUPPORT'!K1246</f>
        <v>Sample Watch</v>
      </c>
      <c r="J513" s="14" t="s">
        <v>2716</v>
      </c>
      <c r="K513" s="9" t="str">
        <f>'DEF_CALL_DECISION_SUPPORT'!L1246</f>
        <v>Sample watch with explosive exposure; review clips and build the sample.</v>
      </c>
      <c r="L513" s="8" t="s">
        <v>631</v>
      </c>
    </row>
    <row r="514" spans="1:12" ht="48" customHeight="1">
      <c r="A514" s="8" t="s">
        <v>630</v>
      </c>
      <c r="B514" s="8" t="str">
        <f>'DEF_CALL_DECISION_SUPPORT'!B1222</f>
        <v>MIX BOURBON</v>
      </c>
      <c r="C514" s="12">
        <f>'DEF_CALL_DECISION_SUPPORT'!C1222</f>
        <v>3</v>
      </c>
      <c r="D514" s="10">
        <f>'DEF_CALL_DECISION_SUPPORT'!D1222</f>
        <v>0.3333333333333333</v>
      </c>
      <c r="E514" s="10">
        <f>'DEF_CALL_DECISION_SUPPORT'!E1222</f>
        <v>0.3333333333333333</v>
      </c>
      <c r="F514" s="11">
        <f>'DEF_CALL_DECISION_SUPPORT'!F1222</f>
        <v>8.666666666666666</v>
      </c>
      <c r="G514" s="11">
        <f>'DEF_CALL_DECISION_SUPPORT'!J1222</f>
        <v>38.0</v>
      </c>
      <c r="H514" s="8" t="str">
        <f>'DEF_CALL_DECISION_SUPPORT'!I1222</f>
        <v>LOW</v>
      </c>
      <c r="I514" s="8" t="str">
        <f>'DEF_CALL_DECISION_SUPPORT'!K1222</f>
        <v>Sample Watch</v>
      </c>
      <c r="J514" s="14" t="s">
        <v>2716</v>
      </c>
      <c r="K514" s="9" t="str">
        <f>'DEF_CALL_DECISION_SUPPORT'!L1222</f>
        <v>Sample watch with explosive exposure; review clips and build the sample.</v>
      </c>
      <c r="L514" s="8" t="s">
        <v>631</v>
      </c>
    </row>
    <row r="515" spans="1:12" ht="48" customHeight="1">
      <c r="A515" s="8" t="s">
        <v>449</v>
      </c>
      <c r="B515" s="8" t="str">
        <f>'DEF_CALL_DECISION_SUPPORT'!B1307</f>
        <v>REBEL</v>
      </c>
      <c r="C515" s="12">
        <f>'DEF_CALL_DECISION_SUPPORT'!C1307</f>
        <v>3</v>
      </c>
      <c r="D515" s="10">
        <f>'DEF_CALL_DECISION_SUPPORT'!D1307</f>
        <v>0.0</v>
      </c>
      <c r="E515" s="10">
        <f>'DEF_CALL_DECISION_SUPPORT'!E1307</f>
        <v>0.3333333333333333</v>
      </c>
      <c r="F515" s="11">
        <f>'DEF_CALL_DECISION_SUPPORT'!F1307</f>
        <v>17.666666666666668</v>
      </c>
      <c r="G515" s="11">
        <f>'DEF_CALL_DECISION_SUPPORT'!J1307</f>
        <v>13.3</v>
      </c>
      <c r="H515" s="8" t="str">
        <f>'DEF_CALL_DECISION_SUPPORT'!I1307</f>
        <v>LOW</v>
      </c>
      <c r="I515" s="8" t="str">
        <f>'DEF_CALL_DECISION_SUPPORT'!K1307</f>
        <v>Sample Watch</v>
      </c>
      <c r="J515" s="14" t="s">
        <v>2716</v>
      </c>
      <c r="K515" s="9" t="str">
        <f>'DEF_CALL_DECISION_SUPPORT'!L1307</f>
        <v>Sample watch with explosive exposure; review clips and build the sample.</v>
      </c>
      <c r="L515" s="8" t="s">
        <v>781</v>
      </c>
    </row>
    <row r="516" spans="1:12" ht="48" customHeight="1">
      <c r="A516" s="8" t="s">
        <v>468</v>
      </c>
      <c r="B516" s="8" t="str">
        <f>'DEF_CALL_DECISION_SUPPORT'!B1400</f>
        <v>KEY CAPTAIN</v>
      </c>
      <c r="C516" s="12">
        <f>'DEF_CALL_DECISION_SUPPORT'!C1400</f>
        <v>3</v>
      </c>
      <c r="D516" s="10">
        <f>'DEF_CALL_DECISION_SUPPORT'!D1400</f>
        <v>1.0</v>
      </c>
      <c r="E516" s="10">
        <f>'DEF_CALL_DECISION_SUPPORT'!E1400</f>
        <v>0.0</v>
      </c>
      <c r="F516" s="11">
        <f>'DEF_CALL_DECISION_SUPPORT'!F1400</f>
        <v>-2.3333333333333335</v>
      </c>
      <c r="G516" s="11">
        <f>'DEF_CALL_DECISION_SUPPORT'!J1400</f>
        <v>100.0</v>
      </c>
      <c r="H516" s="8" t="str">
        <f>'DEF_CALL_DECISION_SUPPORT'!I1400</f>
        <v>LOW</v>
      </c>
      <c r="I516" s="8" t="str">
        <f>'DEF_CALL_DECISION_SUPPORT'!K1400</f>
        <v>Sample Watch</v>
      </c>
      <c r="J516" s="14" t="s">
        <v>2716</v>
      </c>
      <c r="K516" s="9" t="str">
        <f>'DEF_CALL_DECISION_SUPPORT'!L1400</f>
        <v>Good signal, but sample is limited.</v>
      </c>
      <c r="L516" s="8" t="s">
        <v>781</v>
      </c>
    </row>
    <row r="517" spans="1:12" ht="48" customHeight="1">
      <c r="A517" s="8" t="s">
        <v>630</v>
      </c>
      <c r="B517" s="8" t="str">
        <f>'DEF_CALL_DECISION_SUPPORT'!B1230</f>
        <v>PHILLY</v>
      </c>
      <c r="C517" s="12">
        <f>'DEF_CALL_DECISION_SUPPORT'!C1230</f>
        <v>3</v>
      </c>
      <c r="D517" s="10">
        <f>'DEF_CALL_DECISION_SUPPORT'!D1230</f>
        <v>1.0</v>
      </c>
      <c r="E517" s="10">
        <f>'DEF_CALL_DECISION_SUPPORT'!E1230</f>
        <v>0.0</v>
      </c>
      <c r="F517" s="11">
        <f>'DEF_CALL_DECISION_SUPPORT'!F1230</f>
        <v>0.3333333333333333</v>
      </c>
      <c r="G517" s="11">
        <f>'DEF_CALL_DECISION_SUPPORT'!J1230</f>
        <v>99.7</v>
      </c>
      <c r="H517" s="8" t="str">
        <f>'DEF_CALL_DECISION_SUPPORT'!I1230</f>
        <v>LOW</v>
      </c>
      <c r="I517" s="8" t="str">
        <f>'DEF_CALL_DECISION_SUPPORT'!K1230</f>
        <v>Sample Watch</v>
      </c>
      <c r="J517" s="14" t="s">
        <v>2716</v>
      </c>
      <c r="K517" s="9" t="str">
        <f>'DEF_CALL_DECISION_SUPPORT'!L1230</f>
        <v>Good signal, but sample is limited.</v>
      </c>
      <c r="L517" s="8" t="s">
        <v>631</v>
      </c>
    </row>
    <row r="518" spans="1:12" ht="48" customHeight="1">
      <c r="A518" s="8" t="s">
        <v>448</v>
      </c>
      <c r="B518" s="8" t="str">
        <f>'DEF_CALL_DECISION_SUPPORT'!B831</f>
        <v>RAMBO</v>
      </c>
      <c r="C518" s="12">
        <f>'DEF_CALL_DECISION_SUPPORT'!C831</f>
        <v>3</v>
      </c>
      <c r="D518" s="10">
        <f>'DEF_CALL_DECISION_SUPPORT'!D831</f>
        <v>1.0</v>
      </c>
      <c r="E518" s="10">
        <f>'DEF_CALL_DECISION_SUPPORT'!E831</f>
        <v>0.0</v>
      </c>
      <c r="F518" s="11">
        <f>'DEF_CALL_DECISION_SUPPORT'!F831</f>
        <v>0.6666666666666666</v>
      </c>
      <c r="G518" s="11">
        <f>'DEF_CALL_DECISION_SUPPORT'!J831</f>
        <v>99.3</v>
      </c>
      <c r="H518" s="8" t="str">
        <f>'DEF_CALL_DECISION_SUPPORT'!I831</f>
        <v>LOW</v>
      </c>
      <c r="I518" s="8" t="str">
        <f>'DEF_CALL_DECISION_SUPPORT'!K831</f>
        <v>Sample Watch</v>
      </c>
      <c r="J518" s="14" t="s">
        <v>2716</v>
      </c>
      <c r="K518" s="9" t="str">
        <f>'DEF_CALL_DECISION_SUPPORT'!L831</f>
        <v>Good signal, but sample is limited.</v>
      </c>
      <c r="L518" s="8" t="s">
        <v>2713</v>
      </c>
    </row>
    <row r="519" spans="1:12" ht="48" customHeight="1">
      <c r="A519" s="8" t="s">
        <v>428</v>
      </c>
      <c r="B519" s="8" t="str">
        <f>'DEF_CALL_DECISION_SUPPORT'!B1353</f>
        <v>GOLD</v>
      </c>
      <c r="C519" s="12">
        <f>'DEF_CALL_DECISION_SUPPORT'!C1353</f>
        <v>3</v>
      </c>
      <c r="D519" s="10">
        <f>'DEF_CALL_DECISION_SUPPORT'!D1353</f>
        <v>1.0</v>
      </c>
      <c r="E519" s="10">
        <f>'DEF_CALL_DECISION_SUPPORT'!E1353</f>
        <v>0.0</v>
      </c>
      <c r="F519" s="11">
        <f>'DEF_CALL_DECISION_SUPPORT'!F1353</f>
        <v>1.6666666666666667</v>
      </c>
      <c r="G519" s="11">
        <f>'DEF_CALL_DECISION_SUPPORT'!J1353</f>
        <v>98.3</v>
      </c>
      <c r="H519" s="8" t="str">
        <f>'DEF_CALL_DECISION_SUPPORT'!I1353</f>
        <v>LOW</v>
      </c>
      <c r="I519" s="8" t="str">
        <f>'DEF_CALL_DECISION_SUPPORT'!K1353</f>
        <v>Sample Watch</v>
      </c>
      <c r="J519" s="14" t="s">
        <v>2716</v>
      </c>
      <c r="K519" s="9" t="str">
        <f>'DEF_CALL_DECISION_SUPPORT'!L1353</f>
        <v>Good signal, but sample is limited.</v>
      </c>
      <c r="L519" s="8" t="s">
        <v>781</v>
      </c>
    </row>
    <row r="520" spans="1:12" ht="48" customHeight="1">
      <c r="A520" s="8" t="s">
        <v>530</v>
      </c>
      <c r="B520" s="8" t="str">
        <f>'DEF_CALL_DECISION_SUPPORT'!B937</f>
        <v>SMOKE WHITE</v>
      </c>
      <c r="C520" s="12">
        <f>'DEF_CALL_DECISION_SUPPORT'!C937</f>
        <v>3</v>
      </c>
      <c r="D520" s="10">
        <f>'DEF_CALL_DECISION_SUPPORT'!D937</f>
        <v>0.6666666666666666</v>
      </c>
      <c r="E520" s="10">
        <f>'DEF_CALL_DECISION_SUPPORT'!E937</f>
        <v>0.0</v>
      </c>
      <c r="F520" s="11">
        <f>'DEF_CALL_DECISION_SUPPORT'!F937</f>
        <v>3.3333333333333335</v>
      </c>
      <c r="G520" s="11">
        <f>'DEF_CALL_DECISION_SUPPORT'!J937</f>
        <v>73.3</v>
      </c>
      <c r="H520" s="8" t="str">
        <f>'DEF_CALL_DECISION_SUPPORT'!I937</f>
        <v>LOW</v>
      </c>
      <c r="I520" s="8" t="str">
        <f>'DEF_CALL_DECISION_SUPPORT'!K937</f>
        <v>Sample Watch</v>
      </c>
      <c r="J520" s="14" t="s">
        <v>2716</v>
      </c>
      <c r="K520" s="9" t="str">
        <f>'DEF_CALL_DECISION_SUPPORT'!L937</f>
        <v>Good signal, but sample is limited.</v>
      </c>
      <c r="L520" s="8" t="s">
        <v>2713</v>
      </c>
    </row>
    <row r="521" spans="1:12" ht="48" customHeight="1">
      <c r="A521" s="8" t="s">
        <v>630</v>
      </c>
      <c r="B521" s="8" t="str">
        <f>'DEF_CALL_DECISION_SUPPORT'!B1231</f>
        <v>PIT FALCON</v>
      </c>
      <c r="C521" s="12">
        <f>'DEF_CALL_DECISION_SUPPORT'!C1231</f>
        <v>3</v>
      </c>
      <c r="D521" s="10">
        <f>'DEF_CALL_DECISION_SUPPORT'!D1231</f>
        <v>0.6666666666666666</v>
      </c>
      <c r="E521" s="10">
        <f>'DEF_CALL_DECISION_SUPPORT'!E1231</f>
        <v>0.0</v>
      </c>
      <c r="F521" s="11">
        <f>'DEF_CALL_DECISION_SUPPORT'!F1231</f>
        <v>4.0</v>
      </c>
      <c r="G521" s="11">
        <f>'DEF_CALL_DECISION_SUPPORT'!J1231</f>
        <v>72.7</v>
      </c>
      <c r="H521" s="8" t="str">
        <f>'DEF_CALL_DECISION_SUPPORT'!I1231</f>
        <v>LOW</v>
      </c>
      <c r="I521" s="8" t="str">
        <f>'DEF_CALL_DECISION_SUPPORT'!K1231</f>
        <v>Sample Watch</v>
      </c>
      <c r="J521" s="14" t="s">
        <v>2716</v>
      </c>
      <c r="K521" s="9" t="str">
        <f>'DEF_CALL_DECISION_SUPPORT'!L1231</f>
        <v>Good signal, but sample is limited.</v>
      </c>
      <c r="L521" s="8" t="s">
        <v>631</v>
      </c>
    </row>
    <row r="522" spans="1:12" ht="48" customHeight="1">
      <c r="A522" s="8" t="s">
        <v>630</v>
      </c>
      <c r="B522" s="8" t="str">
        <f>'DEF_CALL_DECISION_SUPPORT'!B1215</f>
        <v>HOUND TEX</v>
      </c>
      <c r="C522" s="12">
        <f>'DEF_CALL_DECISION_SUPPORT'!C1215</f>
        <v>3</v>
      </c>
      <c r="D522" s="10">
        <f>'DEF_CALL_DECISION_SUPPORT'!D1215</f>
        <v>0.6666666666666666</v>
      </c>
      <c r="E522" s="10">
        <f>'DEF_CALL_DECISION_SUPPORT'!E1215</f>
        <v>0.0</v>
      </c>
      <c r="F522" s="11">
        <f>'DEF_CALL_DECISION_SUPPORT'!F1215</f>
        <v>4.333333333333333</v>
      </c>
      <c r="G522" s="11">
        <f>'DEF_CALL_DECISION_SUPPORT'!J1215</f>
        <v>72.3</v>
      </c>
      <c r="H522" s="8" t="str">
        <f>'DEF_CALL_DECISION_SUPPORT'!I1215</f>
        <v>LOW</v>
      </c>
      <c r="I522" s="8" t="str">
        <f>'DEF_CALL_DECISION_SUPPORT'!K1215</f>
        <v>Sample Watch</v>
      </c>
      <c r="J522" s="14" t="s">
        <v>2716</v>
      </c>
      <c r="K522" s="9" t="str">
        <f>'DEF_CALL_DECISION_SUPPORT'!L1215</f>
        <v>Good signal, but sample is limited.</v>
      </c>
      <c r="L522" s="8" t="s">
        <v>631</v>
      </c>
    </row>
    <row r="523" spans="1:12" ht="48" customHeight="1">
      <c r="A523" s="8" t="s">
        <v>630</v>
      </c>
      <c r="B523" s="8" t="str">
        <f>'DEF_CALL_DECISION_SUPPORT'!B1210</f>
        <v>FLOOD</v>
      </c>
      <c r="C523" s="12">
        <f>'DEF_CALL_DECISION_SUPPORT'!C1210</f>
        <v>2</v>
      </c>
      <c r="D523" s="10">
        <f>'DEF_CALL_DECISION_SUPPORT'!D1210</f>
        <v>1.0</v>
      </c>
      <c r="E523" s="10">
        <f>'DEF_CALL_DECISION_SUPPORT'!E1210</f>
        <v>0.0</v>
      </c>
      <c r="F523" s="11">
        <f>'DEF_CALL_DECISION_SUPPORT'!F1210</f>
        <v>0.0</v>
      </c>
      <c r="G523" s="11">
        <f>'DEF_CALL_DECISION_SUPPORT'!J1210</f>
        <v>100.0</v>
      </c>
      <c r="H523" s="8" t="str">
        <f>'DEF_CALL_DECISION_SUPPORT'!I1210</f>
        <v>TRACK</v>
      </c>
      <c r="I523" s="8" t="str">
        <f>'DEF_CALL_DECISION_SUPPORT'!K1210</f>
        <v>Track Only</v>
      </c>
      <c r="J523" s="14" t="s">
        <v>2716</v>
      </c>
      <c r="K523" s="9" t="str">
        <f>'DEF_CALL_DECISION_SUPPORT'!L1210</f>
        <v>Track only; not enough sample.</v>
      </c>
      <c r="L523" s="8" t="s">
        <v>631</v>
      </c>
    </row>
    <row r="524" spans="1:12" ht="48" customHeight="1">
      <c r="A524" s="8" t="s">
        <v>449</v>
      </c>
      <c r="B524" s="8" t="str">
        <f>'DEF_CALL_DECISION_SUPPORT'!B1288</f>
        <v>CAPTAIN</v>
      </c>
      <c r="C524" s="12">
        <f>'DEF_CALL_DECISION_SUPPORT'!C1288</f>
        <v>2</v>
      </c>
      <c r="D524" s="10">
        <f>'DEF_CALL_DECISION_SUPPORT'!D1288</f>
        <v>1.0</v>
      </c>
      <c r="E524" s="10">
        <f>'DEF_CALL_DECISION_SUPPORT'!E1288</f>
        <v>0.0</v>
      </c>
      <c r="F524" s="11">
        <f>'DEF_CALL_DECISION_SUPPORT'!F1288</f>
        <v>-3.0</v>
      </c>
      <c r="G524" s="11">
        <f>'DEF_CALL_DECISION_SUPPORT'!J1288</f>
        <v>100.0</v>
      </c>
      <c r="H524" s="8" t="str">
        <f>'DEF_CALL_DECISION_SUPPORT'!I1288</f>
        <v>TRACK</v>
      </c>
      <c r="I524" s="8" t="str">
        <f>'DEF_CALL_DECISION_SUPPORT'!K1288</f>
        <v>Track Only</v>
      </c>
      <c r="J524" s="14" t="s">
        <v>2716</v>
      </c>
      <c r="K524" s="9" t="str">
        <f>'DEF_CALL_DECISION_SUPPORT'!L1288</f>
        <v>Track only; not enough sample.</v>
      </c>
      <c r="L524" s="8" t="s">
        <v>781</v>
      </c>
    </row>
    <row r="525" spans="1:12" ht="48" customHeight="1">
      <c r="A525" s="8" t="s">
        <v>449</v>
      </c>
      <c r="B525" s="8" t="str">
        <f>'DEF_CALL_DECISION_SUPPORT'!B1302</f>
        <v>PHILLY</v>
      </c>
      <c r="C525" s="12">
        <f>'DEF_CALL_DECISION_SUPPORT'!C1302</f>
        <v>2</v>
      </c>
      <c r="D525" s="10">
        <f>'DEF_CALL_DECISION_SUPPORT'!D1302</f>
        <v>1.0</v>
      </c>
      <c r="E525" s="10">
        <f>'DEF_CALL_DECISION_SUPPORT'!E1302</f>
        <v>0.0</v>
      </c>
      <c r="F525" s="11">
        <f>'DEF_CALL_DECISION_SUPPORT'!F1302</f>
        <v>0.0</v>
      </c>
      <c r="G525" s="11">
        <f>'DEF_CALL_DECISION_SUPPORT'!J1302</f>
        <v>100.0</v>
      </c>
      <c r="H525" s="8" t="str">
        <f>'DEF_CALL_DECISION_SUPPORT'!I1302</f>
        <v>TRACK</v>
      </c>
      <c r="I525" s="8" t="str">
        <f>'DEF_CALL_DECISION_SUPPORT'!K1302</f>
        <v>Track Only</v>
      </c>
      <c r="J525" s="14" t="s">
        <v>2716</v>
      </c>
      <c r="K525" s="9" t="str">
        <f>'DEF_CALL_DECISION_SUPPORT'!L1302</f>
        <v>Track only; not enough sample.</v>
      </c>
      <c r="L525" s="8" t="s">
        <v>781</v>
      </c>
    </row>
    <row r="526" spans="1:12" ht="48" customHeight="1">
      <c r="A526" s="8" t="s">
        <v>449</v>
      </c>
      <c r="B526" s="8" t="str">
        <f>'DEF_CALL_DECISION_SUPPORT'!B1315</f>
        <v>STICK GAMES</v>
      </c>
      <c r="C526" s="12">
        <f>'DEF_CALL_DECISION_SUPPORT'!C1315</f>
        <v>2</v>
      </c>
      <c r="D526" s="10">
        <f>'DEF_CALL_DECISION_SUPPORT'!D1315</f>
        <v>1.0</v>
      </c>
      <c r="E526" s="10">
        <f>'DEF_CALL_DECISION_SUPPORT'!E1315</f>
        <v>0.0</v>
      </c>
      <c r="F526" s="11">
        <f>'DEF_CALL_DECISION_SUPPORT'!F1315</f>
        <v>0.0</v>
      </c>
      <c r="G526" s="11">
        <f>'DEF_CALL_DECISION_SUPPORT'!J1315</f>
        <v>100.0</v>
      </c>
      <c r="H526" s="8" t="str">
        <f>'DEF_CALL_DECISION_SUPPORT'!I1315</f>
        <v>TRACK</v>
      </c>
      <c r="I526" s="8" t="str">
        <f>'DEF_CALL_DECISION_SUPPORT'!K1315</f>
        <v>Track Only</v>
      </c>
      <c r="J526" s="14" t="s">
        <v>2716</v>
      </c>
      <c r="K526" s="9" t="str">
        <f>'DEF_CALL_DECISION_SUPPORT'!L1315</f>
        <v>Track only; not enough sample.</v>
      </c>
      <c r="L526" s="8" t="s">
        <v>781</v>
      </c>
    </row>
    <row r="527" spans="1:12" ht="48" customHeight="1">
      <c r="A527" s="8" t="s">
        <v>465</v>
      </c>
      <c r="B527" s="8" t="str">
        <f>'DEF_CALL_DECISION_SUPPORT'!B1387</f>
        <v>RAMBO</v>
      </c>
      <c r="C527" s="12">
        <f>'DEF_CALL_DECISION_SUPPORT'!C1387</f>
        <v>2</v>
      </c>
      <c r="D527" s="10">
        <f>'DEF_CALL_DECISION_SUPPORT'!D1387</f>
        <v>1.0</v>
      </c>
      <c r="E527" s="10">
        <f>'DEF_CALL_DECISION_SUPPORT'!E1387</f>
        <v>0.0</v>
      </c>
      <c r="F527" s="11">
        <f>'DEF_CALL_DECISION_SUPPORT'!F1387</f>
        <v>0.0</v>
      </c>
      <c r="G527" s="11">
        <f>'DEF_CALL_DECISION_SUPPORT'!J1387</f>
        <v>100.0</v>
      </c>
      <c r="H527" s="8" t="str">
        <f>'DEF_CALL_DECISION_SUPPORT'!I1387</f>
        <v>TRACK</v>
      </c>
      <c r="I527" s="8" t="str">
        <f>'DEF_CALL_DECISION_SUPPORT'!K1387</f>
        <v>Track Only</v>
      </c>
      <c r="J527" s="14" t="s">
        <v>2716</v>
      </c>
      <c r="K527" s="9" t="str">
        <f>'DEF_CALL_DECISION_SUPPORT'!L1387</f>
        <v>Track only; not enough sample.</v>
      </c>
      <c r="L527" s="8" t="s">
        <v>781</v>
      </c>
    </row>
    <row r="528" spans="1:12" ht="48" customHeight="1">
      <c r="A528" s="8" t="s">
        <v>471</v>
      </c>
      <c r="B528" s="8" t="str">
        <f>'DEF_CALL_DECISION_SUPPORT'!B1425</f>
        <v>TEX</v>
      </c>
      <c r="C528" s="12">
        <f>'DEF_CALL_DECISION_SUPPORT'!C1425</f>
        <v>2</v>
      </c>
      <c r="D528" s="10">
        <f>'DEF_CALL_DECISION_SUPPORT'!D1425</f>
        <v>1.0</v>
      </c>
      <c r="E528" s="10">
        <f>'DEF_CALL_DECISION_SUPPORT'!E1425</f>
        <v>0.0</v>
      </c>
      <c r="F528" s="11">
        <f>'DEF_CALL_DECISION_SUPPORT'!F1425</f>
        <v>0.0</v>
      </c>
      <c r="G528" s="11">
        <f>'DEF_CALL_DECISION_SUPPORT'!J1425</f>
        <v>100.0</v>
      </c>
      <c r="H528" s="8" t="str">
        <f>'DEF_CALL_DECISION_SUPPORT'!I1425</f>
        <v>TRACK</v>
      </c>
      <c r="I528" s="8" t="str">
        <f>'DEF_CALL_DECISION_SUPPORT'!K1425</f>
        <v>Track Only</v>
      </c>
      <c r="J528" s="14" t="s">
        <v>2716</v>
      </c>
      <c r="K528" s="9" t="str">
        <f>'DEF_CALL_DECISION_SUPPORT'!L1425</f>
        <v>Track only; not enough sample.</v>
      </c>
      <c r="L528" s="8" t="s">
        <v>781</v>
      </c>
    </row>
    <row r="529" spans="1:12" ht="48" customHeight="1">
      <c r="A529" s="8" t="s">
        <v>448</v>
      </c>
      <c r="B529" s="8" t="str">
        <f>'DEF_CALL_DECISION_SUPPORT'!B830</f>
        <v>PHILLY</v>
      </c>
      <c r="C529" s="12">
        <f>'DEF_CALL_DECISION_SUPPORT'!C830</f>
        <v>2</v>
      </c>
      <c r="D529" s="10">
        <f>'DEF_CALL_DECISION_SUPPORT'!D830</f>
        <v>1.0</v>
      </c>
      <c r="E529" s="10">
        <f>'DEF_CALL_DECISION_SUPPORT'!E830</f>
        <v>0.0</v>
      </c>
      <c r="F529" s="11">
        <f>'DEF_CALL_DECISION_SUPPORT'!F830</f>
        <v>0.0</v>
      </c>
      <c r="G529" s="11">
        <f>'DEF_CALL_DECISION_SUPPORT'!J830</f>
        <v>100.0</v>
      </c>
      <c r="H529" s="8" t="str">
        <f>'DEF_CALL_DECISION_SUPPORT'!I830</f>
        <v>TRACK</v>
      </c>
      <c r="I529" s="8" t="str">
        <f>'DEF_CALL_DECISION_SUPPORT'!K830</f>
        <v>Track Only</v>
      </c>
      <c r="J529" s="14" t="s">
        <v>2716</v>
      </c>
      <c r="K529" s="9" t="str">
        <f>'DEF_CALL_DECISION_SUPPORT'!L830</f>
        <v>Track only; not enough sample.</v>
      </c>
      <c r="L529" s="8" t="s">
        <v>2713</v>
      </c>
    </row>
    <row r="530" spans="1:12" ht="48" customHeight="1">
      <c r="A530" s="8" t="s">
        <v>467</v>
      </c>
      <c r="B530" s="8" t="str">
        <f>'DEF_CALL_DECISION_SUPPORT'!B867</f>
        <v>KEY CAPTAIN</v>
      </c>
      <c r="C530" s="12">
        <f>'DEF_CALL_DECISION_SUPPORT'!C867</f>
        <v>2</v>
      </c>
      <c r="D530" s="10">
        <f>'DEF_CALL_DECISION_SUPPORT'!D867</f>
        <v>1.0</v>
      </c>
      <c r="E530" s="10">
        <f>'DEF_CALL_DECISION_SUPPORT'!E867</f>
        <v>0.0</v>
      </c>
      <c r="F530" s="11">
        <f>'DEF_CALL_DECISION_SUPPORT'!F867</f>
        <v>0.0</v>
      </c>
      <c r="G530" s="11">
        <f>'DEF_CALL_DECISION_SUPPORT'!J867</f>
        <v>100.0</v>
      </c>
      <c r="H530" s="8" t="str">
        <f>'DEF_CALL_DECISION_SUPPORT'!I867</f>
        <v>TRACK</v>
      </c>
      <c r="I530" s="8" t="str">
        <f>'DEF_CALL_DECISION_SUPPORT'!K867</f>
        <v>Track Only</v>
      </c>
      <c r="J530" s="14" t="s">
        <v>2716</v>
      </c>
      <c r="K530" s="9" t="str">
        <f>'DEF_CALL_DECISION_SUPPORT'!L867</f>
        <v>Track only; not enough sample.</v>
      </c>
      <c r="L530" s="8" t="s">
        <v>2713</v>
      </c>
    </row>
    <row r="531" spans="1:12" ht="48" customHeight="1">
      <c r="A531" s="8" t="s">
        <v>567</v>
      </c>
      <c r="B531" s="8" t="str">
        <f>'DEF_CALL_DECISION_SUPPORT'!B983</f>
        <v>9 MOW</v>
      </c>
      <c r="C531" s="12">
        <f>'DEF_CALL_DECISION_SUPPORT'!C983</f>
        <v>2</v>
      </c>
      <c r="D531" s="10">
        <f>'DEF_CALL_DECISION_SUPPORT'!D983</f>
        <v>1.0</v>
      </c>
      <c r="E531" s="10">
        <f>'DEF_CALL_DECISION_SUPPORT'!E983</f>
        <v>0.0</v>
      </c>
      <c r="F531" s="11">
        <f>'DEF_CALL_DECISION_SUPPORT'!F983</f>
        <v>-2.0</v>
      </c>
      <c r="G531" s="11">
        <f>'DEF_CALL_DECISION_SUPPORT'!J983</f>
        <v>100.0</v>
      </c>
      <c r="H531" s="8" t="str">
        <f>'DEF_CALL_DECISION_SUPPORT'!I983</f>
        <v>TRACK</v>
      </c>
      <c r="I531" s="8" t="str">
        <f>'DEF_CALL_DECISION_SUPPORT'!K983</f>
        <v>Track Only</v>
      </c>
      <c r="J531" s="14" t="s">
        <v>2716</v>
      </c>
      <c r="K531" s="9" t="str">
        <f>'DEF_CALL_DECISION_SUPPORT'!L983</f>
        <v>Track only; not enough sample.</v>
      </c>
      <c r="L531" s="8" t="s">
        <v>2713</v>
      </c>
    </row>
    <row r="532" spans="1:12" ht="48" customHeight="1">
      <c r="A532" s="8" t="s">
        <v>465</v>
      </c>
      <c r="B532" s="8" t="str">
        <f>'DEF_CALL_DECISION_SUPPORT'!B1378</f>
        <v>9 DICE</v>
      </c>
      <c r="C532" s="12">
        <f>'DEF_CALL_DECISION_SUPPORT'!C1378</f>
        <v>2</v>
      </c>
      <c r="D532" s="10">
        <f>'DEF_CALL_DECISION_SUPPORT'!D1378</f>
        <v>1.0</v>
      </c>
      <c r="E532" s="10">
        <f>'DEF_CALL_DECISION_SUPPORT'!E1378</f>
        <v>0.0</v>
      </c>
      <c r="F532" s="11">
        <f>'DEF_CALL_DECISION_SUPPORT'!F1378</f>
        <v>1.5</v>
      </c>
      <c r="G532" s="11">
        <f>'DEF_CALL_DECISION_SUPPORT'!J1378</f>
        <v>98.5</v>
      </c>
      <c r="H532" s="8" t="str">
        <f>'DEF_CALL_DECISION_SUPPORT'!I1378</f>
        <v>TRACK</v>
      </c>
      <c r="I532" s="8" t="str">
        <f>'DEF_CALL_DECISION_SUPPORT'!K1378</f>
        <v>Track Only</v>
      </c>
      <c r="J532" s="14" t="s">
        <v>2716</v>
      </c>
      <c r="K532" s="9" t="str">
        <f>'DEF_CALL_DECISION_SUPPORT'!L1378</f>
        <v>Track only; not enough sample.</v>
      </c>
      <c r="L532" s="8" t="s">
        <v>781</v>
      </c>
    </row>
    <row r="533" spans="1:12" ht="48" customHeight="1">
      <c r="A533" s="8" t="s">
        <v>427</v>
      </c>
      <c r="B533" s="8" t="str">
        <f>'DEF_CALL_DECISION_SUPPORT'!B812</f>
        <v>GOLD</v>
      </c>
      <c r="C533" s="12">
        <f>'DEF_CALL_DECISION_SUPPORT'!C812</f>
        <v>2</v>
      </c>
      <c r="D533" s="10">
        <f>'DEF_CALL_DECISION_SUPPORT'!D812</f>
        <v>1.0</v>
      </c>
      <c r="E533" s="10">
        <f>'DEF_CALL_DECISION_SUPPORT'!E812</f>
        <v>0.0</v>
      </c>
      <c r="F533" s="11">
        <f>'DEF_CALL_DECISION_SUPPORT'!F812</f>
        <v>1.5</v>
      </c>
      <c r="G533" s="11">
        <f>'DEF_CALL_DECISION_SUPPORT'!J812</f>
        <v>98.5</v>
      </c>
      <c r="H533" s="8" t="str">
        <f>'DEF_CALL_DECISION_SUPPORT'!I812</f>
        <v>TRACK</v>
      </c>
      <c r="I533" s="8" t="str">
        <f>'DEF_CALL_DECISION_SUPPORT'!K812</f>
        <v>Track Only</v>
      </c>
      <c r="J533" s="14" t="s">
        <v>2716</v>
      </c>
      <c r="K533" s="9" t="str">
        <f>'DEF_CALL_DECISION_SUPPORT'!L812</f>
        <v>Track only; not enough sample.</v>
      </c>
      <c r="L533" s="8" t="s">
        <v>2713</v>
      </c>
    </row>
    <row r="534" spans="1:12" ht="48" customHeight="1">
      <c r="A534" s="8" t="s">
        <v>449</v>
      </c>
      <c r="B534" s="8" t="str">
        <f>'DEF_CALL_DECISION_SUPPORT'!B1303</f>
        <v>PIT FALCON</v>
      </c>
      <c r="C534" s="12">
        <f>'DEF_CALL_DECISION_SUPPORT'!C1303</f>
        <v>2</v>
      </c>
      <c r="D534" s="10">
        <f>'DEF_CALL_DECISION_SUPPORT'!D1303</f>
        <v>1.0</v>
      </c>
      <c r="E534" s="10">
        <f>'DEF_CALL_DECISION_SUPPORT'!E1303</f>
        <v>0.0</v>
      </c>
      <c r="F534" s="11">
        <f>'DEF_CALL_DECISION_SUPPORT'!F1303</f>
        <v>2.0</v>
      </c>
      <c r="G534" s="11">
        <f>'DEF_CALL_DECISION_SUPPORT'!J1303</f>
        <v>98.0</v>
      </c>
      <c r="H534" s="8" t="str">
        <f>'DEF_CALL_DECISION_SUPPORT'!I1303</f>
        <v>TRACK</v>
      </c>
      <c r="I534" s="8" t="str">
        <f>'DEF_CALL_DECISION_SUPPORT'!K1303</f>
        <v>Track Only</v>
      </c>
      <c r="J534" s="14" t="s">
        <v>2716</v>
      </c>
      <c r="K534" s="9" t="str">
        <f>'DEF_CALL_DECISION_SUPPORT'!L1303</f>
        <v>Track only; not enough sample.</v>
      </c>
      <c r="L534" s="8" t="s">
        <v>781</v>
      </c>
    </row>
    <row r="535" spans="1:12" ht="48" customHeight="1">
      <c r="A535" s="8" t="s">
        <v>449</v>
      </c>
      <c r="B535" s="8" t="str">
        <f>'DEF_CALL_DECISION_SUPPORT'!B1319</f>
        <v>TSUNAMI</v>
      </c>
      <c r="C535" s="12">
        <f>'DEF_CALL_DECISION_SUPPORT'!C1319</f>
        <v>2</v>
      </c>
      <c r="D535" s="10">
        <f>'DEF_CALL_DECISION_SUPPORT'!D1319</f>
        <v>1.0</v>
      </c>
      <c r="E535" s="10">
        <f>'DEF_CALL_DECISION_SUPPORT'!E1319</f>
        <v>0.0</v>
      </c>
      <c r="F535" s="11">
        <f>'DEF_CALL_DECISION_SUPPORT'!F1319</f>
        <v>2.5</v>
      </c>
      <c r="G535" s="11">
        <f>'DEF_CALL_DECISION_SUPPORT'!J1319</f>
        <v>97.5</v>
      </c>
      <c r="H535" s="8" t="str">
        <f>'DEF_CALL_DECISION_SUPPORT'!I1319</f>
        <v>TRACK</v>
      </c>
      <c r="I535" s="8" t="str">
        <f>'DEF_CALL_DECISION_SUPPORT'!K1319</f>
        <v>Track Only</v>
      </c>
      <c r="J535" s="14" t="s">
        <v>2716</v>
      </c>
      <c r="K535" s="9" t="str">
        <f>'DEF_CALL_DECISION_SUPPORT'!L1319</f>
        <v>Track only; not enough sample.</v>
      </c>
      <c r="L535" s="8" t="s">
        <v>781</v>
      </c>
    </row>
    <row r="536" spans="1:12" ht="48" customHeight="1">
      <c r="A536" s="8" t="s">
        <v>630</v>
      </c>
      <c r="B536" s="8" t="str">
        <f>'DEF_CALL_DECISION_SUPPORT'!B1248</f>
        <v>STICK KNIFE</v>
      </c>
      <c r="C536" s="12">
        <f>'DEF_CALL_DECISION_SUPPORT'!C1248</f>
        <v>2</v>
      </c>
      <c r="D536" s="10">
        <f>'DEF_CALL_DECISION_SUPPORT'!D1248</f>
        <v>1.0</v>
      </c>
      <c r="E536" s="10">
        <f>'DEF_CALL_DECISION_SUPPORT'!E1248</f>
        <v>0.0</v>
      </c>
      <c r="F536" s="11">
        <f>'DEF_CALL_DECISION_SUPPORT'!F1248</f>
        <v>3.0</v>
      </c>
      <c r="G536" s="11">
        <f>'DEF_CALL_DECISION_SUPPORT'!J1248</f>
        <v>97.0</v>
      </c>
      <c r="H536" s="8" t="str">
        <f>'DEF_CALL_DECISION_SUPPORT'!I1248</f>
        <v>TRACK</v>
      </c>
      <c r="I536" s="8" t="str">
        <f>'DEF_CALL_DECISION_SUPPORT'!K1248</f>
        <v>Track Only</v>
      </c>
      <c r="J536" s="14" t="s">
        <v>2716</v>
      </c>
      <c r="K536" s="9" t="str">
        <f>'DEF_CALL_DECISION_SUPPORT'!L1248</f>
        <v>Track only; not enough sample.</v>
      </c>
      <c r="L536" s="8" t="s">
        <v>631</v>
      </c>
    </row>
    <row r="537" spans="1:12" ht="48" customHeight="1">
      <c r="A537" s="8" t="s">
        <v>449</v>
      </c>
      <c r="B537" s="8" t="str">
        <f>'DEF_CALL_DECISION_SUPPORT'!B1317</f>
        <v>TEX</v>
      </c>
      <c r="C537" s="12">
        <f>'DEF_CALL_DECISION_SUPPORT'!C1317</f>
        <v>2</v>
      </c>
      <c r="D537" s="10">
        <f>'DEF_CALL_DECISION_SUPPORT'!D1317</f>
        <v>1.0</v>
      </c>
      <c r="E537" s="10">
        <f>'DEF_CALL_DECISION_SUPPORT'!E1317</f>
        <v>0.0</v>
      </c>
      <c r="F537" s="11">
        <f>'DEF_CALL_DECISION_SUPPORT'!F1317</f>
        <v>6.5</v>
      </c>
      <c r="G537" s="11">
        <f>'DEF_CALL_DECISION_SUPPORT'!J1317</f>
        <v>93.5</v>
      </c>
      <c r="H537" s="8" t="str">
        <f>'DEF_CALL_DECISION_SUPPORT'!I1317</f>
        <v>TRACK</v>
      </c>
      <c r="I537" s="8" t="str">
        <f>'DEF_CALL_DECISION_SUPPORT'!K1317</f>
        <v>Track Only</v>
      </c>
      <c r="J537" s="14" t="s">
        <v>2716</v>
      </c>
      <c r="K537" s="9" t="str">
        <f>'DEF_CALL_DECISION_SUPPORT'!L1317</f>
        <v>Track only; not enough sample.</v>
      </c>
      <c r="L537" s="8" t="s">
        <v>781</v>
      </c>
    </row>
    <row r="538" spans="1:12" ht="48" customHeight="1">
      <c r="A538" s="8" t="s">
        <v>630</v>
      </c>
      <c r="B538" s="8" t="str">
        <f>'DEF_CALL_DECISION_SUPPORT'!B1232</f>
        <v>POP POP</v>
      </c>
      <c r="C538" s="12">
        <f>'DEF_CALL_DECISION_SUPPORT'!C1232</f>
        <v>1</v>
      </c>
      <c r="D538" s="10">
        <f>'DEF_CALL_DECISION_SUPPORT'!D1232</f>
        <v>1.0</v>
      </c>
      <c r="E538" s="10">
        <f>'DEF_CALL_DECISION_SUPPORT'!E1232</f>
        <v>0.0</v>
      </c>
      <c r="F538" s="11">
        <f>'DEF_CALL_DECISION_SUPPORT'!F1232</f>
        <v>0.0</v>
      </c>
      <c r="G538" s="11">
        <f>'DEF_CALL_DECISION_SUPPORT'!J1232</f>
        <v>100.0</v>
      </c>
      <c r="H538" s="8" t="str">
        <f>'DEF_CALL_DECISION_SUPPORT'!I1232</f>
        <v>TRACK</v>
      </c>
      <c r="I538" s="8" t="str">
        <f>'DEF_CALL_DECISION_SUPPORT'!K1232</f>
        <v>Track Only</v>
      </c>
      <c r="J538" s="14" t="s">
        <v>2716</v>
      </c>
      <c r="K538" s="9" t="str">
        <f>'DEF_CALL_DECISION_SUPPORT'!L1232</f>
        <v>Track only; not enough sample.</v>
      </c>
      <c r="L538" s="8" t="s">
        <v>631</v>
      </c>
    </row>
    <row r="539" spans="1:12" ht="48" customHeight="1">
      <c r="A539" s="8" t="s">
        <v>630</v>
      </c>
      <c r="B539" s="8" t="str">
        <f>'DEF_CALL_DECISION_SUPPORT'!B1244</f>
        <v>SMOKE FLOOD</v>
      </c>
      <c r="C539" s="12">
        <f>'DEF_CALL_DECISION_SUPPORT'!C1244</f>
        <v>1</v>
      </c>
      <c r="D539" s="10">
        <f>'DEF_CALL_DECISION_SUPPORT'!D1244</f>
        <v>1.0</v>
      </c>
      <c r="E539" s="10">
        <f>'DEF_CALL_DECISION_SUPPORT'!E1244</f>
        <v>0.0</v>
      </c>
      <c r="F539" s="11">
        <f>'DEF_CALL_DECISION_SUPPORT'!F1244</f>
        <v>0.0</v>
      </c>
      <c r="G539" s="11">
        <f>'DEF_CALL_DECISION_SUPPORT'!J1244</f>
        <v>100.0</v>
      </c>
      <c r="H539" s="8" t="str">
        <f>'DEF_CALL_DECISION_SUPPORT'!I1244</f>
        <v>TRACK</v>
      </c>
      <c r="I539" s="8" t="str">
        <f>'DEF_CALL_DECISION_SUPPORT'!K1244</f>
        <v>Track Only</v>
      </c>
      <c r="J539" s="14" t="s">
        <v>2716</v>
      </c>
      <c r="K539" s="9" t="str">
        <f>'DEF_CALL_DECISION_SUPPORT'!L1244</f>
        <v>Track only; not enough sample.</v>
      </c>
      <c r="L539" s="8" t="s">
        <v>631</v>
      </c>
    </row>
    <row r="540" spans="1:12" ht="48" customHeight="1">
      <c r="A540" s="8" t="s">
        <v>630</v>
      </c>
      <c r="B540" s="8" t="str">
        <f>'DEF_CALL_DECISION_SUPPORT'!B1249</f>
        <v>STICK OX</v>
      </c>
      <c r="C540" s="12">
        <f>'DEF_CALL_DECISION_SUPPORT'!C1249</f>
        <v>1</v>
      </c>
      <c r="D540" s="10">
        <f>'DEF_CALL_DECISION_SUPPORT'!D1249</f>
        <v>1.0</v>
      </c>
      <c r="E540" s="10">
        <f>'DEF_CALL_DECISION_SUPPORT'!E1249</f>
        <v>0.0</v>
      </c>
      <c r="F540" s="11">
        <f>'DEF_CALL_DECISION_SUPPORT'!F1249</f>
        <v>-8.0</v>
      </c>
      <c r="G540" s="11">
        <f>'DEF_CALL_DECISION_SUPPORT'!J1249</f>
        <v>100.0</v>
      </c>
      <c r="H540" s="8" t="str">
        <f>'DEF_CALL_DECISION_SUPPORT'!I1249</f>
        <v>TRACK</v>
      </c>
      <c r="I540" s="8" t="str">
        <f>'DEF_CALL_DECISION_SUPPORT'!K1249</f>
        <v>Track Only</v>
      </c>
      <c r="J540" s="14" t="s">
        <v>2716</v>
      </c>
      <c r="K540" s="9" t="str">
        <f>'DEF_CALL_DECISION_SUPPORT'!L1249</f>
        <v>Track only; not enough sample.</v>
      </c>
      <c r="L540" s="8" t="s">
        <v>631</v>
      </c>
    </row>
    <row r="541" spans="1:12" ht="48" customHeight="1">
      <c r="A541" s="8" t="s">
        <v>498</v>
      </c>
      <c r="B541" s="8" t="str">
        <f>'DEF_CALL_DECISION_SUPPORT'!B1264</f>
        <v>SHINE BUC</v>
      </c>
      <c r="C541" s="12">
        <f>'DEF_CALL_DECISION_SUPPORT'!C1264</f>
        <v>1</v>
      </c>
      <c r="D541" s="10">
        <f>'DEF_CALL_DECISION_SUPPORT'!D1264</f>
        <v>1.0</v>
      </c>
      <c r="E541" s="10">
        <f>'DEF_CALL_DECISION_SUPPORT'!E1264</f>
        <v>0.0</v>
      </c>
      <c r="F541" s="11">
        <f>'DEF_CALL_DECISION_SUPPORT'!F1264</f>
        <v>0.0</v>
      </c>
      <c r="G541" s="11">
        <f>'DEF_CALL_DECISION_SUPPORT'!J1264</f>
        <v>100.0</v>
      </c>
      <c r="H541" s="8" t="str">
        <f>'DEF_CALL_DECISION_SUPPORT'!I1264</f>
        <v>TRACK</v>
      </c>
      <c r="I541" s="8" t="str">
        <f>'DEF_CALL_DECISION_SUPPORT'!K1264</f>
        <v>Track Only</v>
      </c>
      <c r="J541" s="14" t="s">
        <v>2716</v>
      </c>
      <c r="K541" s="9" t="str">
        <f>'DEF_CALL_DECISION_SUPPORT'!L1264</f>
        <v>Track only; not enough sample.</v>
      </c>
      <c r="L541" s="8" t="s">
        <v>781</v>
      </c>
    </row>
    <row r="542" spans="1:12" ht="48" customHeight="1">
      <c r="A542" s="8" t="s">
        <v>446</v>
      </c>
      <c r="B542" s="8" t="str">
        <f>'DEF_CALL_DECISION_SUPPORT'!B1269</f>
        <v>FALCON</v>
      </c>
      <c r="C542" s="12">
        <f>'DEF_CALL_DECISION_SUPPORT'!C1269</f>
        <v>1</v>
      </c>
      <c r="D542" s="10">
        <f>'DEF_CALL_DECISION_SUPPORT'!D1269</f>
        <v>1.0</v>
      </c>
      <c r="E542" s="10">
        <f>'DEF_CALL_DECISION_SUPPORT'!E1269</f>
        <v>0.0</v>
      </c>
      <c r="F542" s="11">
        <f>'DEF_CALL_DECISION_SUPPORT'!F1269</f>
        <v>0.0</v>
      </c>
      <c r="G542" s="11">
        <f>'DEF_CALL_DECISION_SUPPORT'!J1269</f>
        <v>100.0</v>
      </c>
      <c r="H542" s="8" t="str">
        <f>'DEF_CALL_DECISION_SUPPORT'!I1269</f>
        <v>TRACK</v>
      </c>
      <c r="I542" s="8" t="str">
        <f>'DEF_CALL_DECISION_SUPPORT'!K1269</f>
        <v>Track Only</v>
      </c>
      <c r="J542" s="14" t="s">
        <v>2716</v>
      </c>
      <c r="K542" s="9" t="str">
        <f>'DEF_CALL_DECISION_SUPPORT'!L1269</f>
        <v>Track only; not enough sample.</v>
      </c>
      <c r="L542" s="8" t="s">
        <v>781</v>
      </c>
    </row>
    <row r="543" spans="1:12" ht="48" customHeight="1">
      <c r="A543" s="8" t="s">
        <v>446</v>
      </c>
      <c r="B543" s="8" t="str">
        <f>'DEF_CALL_DECISION_SUPPORT'!B1270</f>
        <v>FLOOD</v>
      </c>
      <c r="C543" s="12">
        <f>'DEF_CALL_DECISION_SUPPORT'!C1270</f>
        <v>1</v>
      </c>
      <c r="D543" s="10">
        <f>'DEF_CALL_DECISION_SUPPORT'!D1270</f>
        <v>1.0</v>
      </c>
      <c r="E543" s="10">
        <f>'DEF_CALL_DECISION_SUPPORT'!E1270</f>
        <v>0.0</v>
      </c>
      <c r="F543" s="11">
        <f>'DEF_CALL_DECISION_SUPPORT'!F1270</f>
        <v>0.0</v>
      </c>
      <c r="G543" s="11">
        <f>'DEF_CALL_DECISION_SUPPORT'!J1270</f>
        <v>100.0</v>
      </c>
      <c r="H543" s="8" t="str">
        <f>'DEF_CALL_DECISION_SUPPORT'!I1270</f>
        <v>TRACK</v>
      </c>
      <c r="I543" s="8" t="str">
        <f>'DEF_CALL_DECISION_SUPPORT'!K1270</f>
        <v>Track Only</v>
      </c>
      <c r="J543" s="14" t="s">
        <v>2716</v>
      </c>
      <c r="K543" s="9" t="str">
        <f>'DEF_CALL_DECISION_SUPPORT'!L1270</f>
        <v>Track only; not enough sample.</v>
      </c>
      <c r="L543" s="8" t="s">
        <v>781</v>
      </c>
    </row>
    <row r="544" spans="1:12" ht="48" customHeight="1">
      <c r="A544" s="8" t="s">
        <v>446</v>
      </c>
      <c r="B544" s="8" t="str">
        <f>'DEF_CALL_DECISION_SUPPORT'!B1274</f>
        <v>RAMBO</v>
      </c>
      <c r="C544" s="12">
        <f>'DEF_CALL_DECISION_SUPPORT'!C1274</f>
        <v>1</v>
      </c>
      <c r="D544" s="10">
        <f>'DEF_CALL_DECISION_SUPPORT'!D1274</f>
        <v>1.0</v>
      </c>
      <c r="E544" s="10">
        <f>'DEF_CALL_DECISION_SUPPORT'!E1274</f>
        <v>0.0</v>
      </c>
      <c r="F544" s="11">
        <f>'DEF_CALL_DECISION_SUPPORT'!F1274</f>
        <v>0.0</v>
      </c>
      <c r="G544" s="11">
        <f>'DEF_CALL_DECISION_SUPPORT'!J1274</f>
        <v>100.0</v>
      </c>
      <c r="H544" s="8" t="str">
        <f>'DEF_CALL_DECISION_SUPPORT'!I1274</f>
        <v>TRACK</v>
      </c>
      <c r="I544" s="8" t="str">
        <f>'DEF_CALL_DECISION_SUPPORT'!K1274</f>
        <v>Track Only</v>
      </c>
      <c r="J544" s="14" t="s">
        <v>2716</v>
      </c>
      <c r="K544" s="9" t="str">
        <f>'DEF_CALL_DECISION_SUPPORT'!L1274</f>
        <v>Track only; not enough sample.</v>
      </c>
      <c r="L544" s="8" t="s">
        <v>781</v>
      </c>
    </row>
    <row r="545" spans="1:12" ht="48" customHeight="1">
      <c r="A545" s="8" t="s">
        <v>446</v>
      </c>
      <c r="B545" s="8" t="str">
        <f>'DEF_CALL_DECISION_SUPPORT'!B1276</f>
        <v>ROLEX KNIFE</v>
      </c>
      <c r="C545" s="12">
        <f>'DEF_CALL_DECISION_SUPPORT'!C1276</f>
        <v>1</v>
      </c>
      <c r="D545" s="10">
        <f>'DEF_CALL_DECISION_SUPPORT'!D1276</f>
        <v>1.0</v>
      </c>
      <c r="E545" s="10">
        <f>'DEF_CALL_DECISION_SUPPORT'!E1276</f>
        <v>0.0</v>
      </c>
      <c r="F545" s="11">
        <f>'DEF_CALL_DECISION_SUPPORT'!F1276</f>
        <v>0.0</v>
      </c>
      <c r="G545" s="11">
        <f>'DEF_CALL_DECISION_SUPPORT'!J1276</f>
        <v>100.0</v>
      </c>
      <c r="H545" s="8" t="str">
        <f>'DEF_CALL_DECISION_SUPPORT'!I1276</f>
        <v>TRACK</v>
      </c>
      <c r="I545" s="8" t="str">
        <f>'DEF_CALL_DECISION_SUPPORT'!K1276</f>
        <v>Track Only</v>
      </c>
      <c r="J545" s="14" t="s">
        <v>2716</v>
      </c>
      <c r="K545" s="9" t="str">
        <f>'DEF_CALL_DECISION_SUPPORT'!L1276</f>
        <v>Track only; not enough sample.</v>
      </c>
      <c r="L545" s="8" t="s">
        <v>781</v>
      </c>
    </row>
    <row r="546" spans="1:12" ht="48" customHeight="1">
      <c r="A546" s="8" t="s">
        <v>446</v>
      </c>
      <c r="B546" s="8" t="str">
        <f>'DEF_CALL_DECISION_SUPPORT'!B1278</f>
        <v>SMOKE FLOOD</v>
      </c>
      <c r="C546" s="12">
        <f>'DEF_CALL_DECISION_SUPPORT'!C1278</f>
        <v>1</v>
      </c>
      <c r="D546" s="10">
        <f>'DEF_CALL_DECISION_SUPPORT'!D1278</f>
        <v>1.0</v>
      </c>
      <c r="E546" s="10">
        <f>'DEF_CALL_DECISION_SUPPORT'!E1278</f>
        <v>0.0</v>
      </c>
      <c r="F546" s="11">
        <f>'DEF_CALL_DECISION_SUPPORT'!F1278</f>
        <v>0.0</v>
      </c>
      <c r="G546" s="11">
        <f>'DEF_CALL_DECISION_SUPPORT'!J1278</f>
        <v>100.0</v>
      </c>
      <c r="H546" s="8" t="str">
        <f>'DEF_CALL_DECISION_SUPPORT'!I1278</f>
        <v>TRACK</v>
      </c>
      <c r="I546" s="8" t="str">
        <f>'DEF_CALL_DECISION_SUPPORT'!K1278</f>
        <v>Track Only</v>
      </c>
      <c r="J546" s="14" t="s">
        <v>2716</v>
      </c>
      <c r="K546" s="9" t="str">
        <f>'DEF_CALL_DECISION_SUPPORT'!L1278</f>
        <v>Track only; not enough sample.</v>
      </c>
      <c r="L546" s="8" t="s">
        <v>781</v>
      </c>
    </row>
    <row r="547" spans="1:12" ht="48" customHeight="1">
      <c r="A547" s="8" t="s">
        <v>449</v>
      </c>
      <c r="B547" s="8" t="str">
        <f>'DEF_CALL_DECISION_SUPPORT'!B1287</f>
        <v>BOURBON</v>
      </c>
      <c r="C547" s="12">
        <f>'DEF_CALL_DECISION_SUPPORT'!C1287</f>
        <v>1</v>
      </c>
      <c r="D547" s="10">
        <f>'DEF_CALL_DECISION_SUPPORT'!D1287</f>
        <v>1.0</v>
      </c>
      <c r="E547" s="10">
        <f>'DEF_CALL_DECISION_SUPPORT'!E1287</f>
        <v>0.0</v>
      </c>
      <c r="F547" s="11">
        <f>'DEF_CALL_DECISION_SUPPORT'!F1287</f>
        <v>0.0</v>
      </c>
      <c r="G547" s="11">
        <f>'DEF_CALL_DECISION_SUPPORT'!J1287</f>
        <v>100.0</v>
      </c>
      <c r="H547" s="8" t="str">
        <f>'DEF_CALL_DECISION_SUPPORT'!I1287</f>
        <v>TRACK</v>
      </c>
      <c r="I547" s="8" t="str">
        <f>'DEF_CALL_DECISION_SUPPORT'!K1287</f>
        <v>Track Only</v>
      </c>
      <c r="J547" s="14" t="s">
        <v>2716</v>
      </c>
      <c r="K547" s="9" t="str">
        <f>'DEF_CALL_DECISION_SUPPORT'!L1287</f>
        <v>Track only; not enough sample.</v>
      </c>
      <c r="L547" s="8" t="s">
        <v>781</v>
      </c>
    </row>
    <row r="548" spans="1:12" ht="48" customHeight="1">
      <c r="A548" s="8" t="s">
        <v>449</v>
      </c>
      <c r="B548" s="8" t="str">
        <f>'DEF_CALL_DECISION_SUPPORT'!B1292</f>
        <v>FLOOD</v>
      </c>
      <c r="C548" s="12">
        <f>'DEF_CALL_DECISION_SUPPORT'!C1292</f>
        <v>1</v>
      </c>
      <c r="D548" s="10">
        <f>'DEF_CALL_DECISION_SUPPORT'!D1292</f>
        <v>1.0</v>
      </c>
      <c r="E548" s="10">
        <f>'DEF_CALL_DECISION_SUPPORT'!E1292</f>
        <v>0.0</v>
      </c>
      <c r="F548" s="11">
        <f>'DEF_CALL_DECISION_SUPPORT'!F1292</f>
        <v>0.0</v>
      </c>
      <c r="G548" s="11">
        <f>'DEF_CALL_DECISION_SUPPORT'!J1292</f>
        <v>100.0</v>
      </c>
      <c r="H548" s="8" t="str">
        <f>'DEF_CALL_DECISION_SUPPORT'!I1292</f>
        <v>TRACK</v>
      </c>
      <c r="I548" s="8" t="str">
        <f>'DEF_CALL_DECISION_SUPPORT'!K1292</f>
        <v>Track Only</v>
      </c>
      <c r="J548" s="14" t="s">
        <v>2716</v>
      </c>
      <c r="K548" s="9" t="str">
        <f>'DEF_CALL_DECISION_SUPPORT'!L1292</f>
        <v>Track only; not enough sample.</v>
      </c>
      <c r="L548" s="8" t="s">
        <v>781</v>
      </c>
    </row>
    <row r="549" spans="1:12" ht="48" customHeight="1">
      <c r="A549" s="8" t="s">
        <v>449</v>
      </c>
      <c r="B549" s="8" t="str">
        <f>'DEF_CALL_DECISION_SUPPORT'!B1294</f>
        <v>HOUND KNIFE</v>
      </c>
      <c r="C549" s="12">
        <f>'DEF_CALL_DECISION_SUPPORT'!C1294</f>
        <v>1</v>
      </c>
      <c r="D549" s="10">
        <f>'DEF_CALL_DECISION_SUPPORT'!D1294</f>
        <v>1.0</v>
      </c>
      <c r="E549" s="10">
        <f>'DEF_CALL_DECISION_SUPPORT'!E1294</f>
        <v>0.0</v>
      </c>
      <c r="F549" s="11">
        <f>'DEF_CALL_DECISION_SUPPORT'!F1294</f>
        <v>-1.0</v>
      </c>
      <c r="G549" s="11">
        <f>'DEF_CALL_DECISION_SUPPORT'!J1294</f>
        <v>100.0</v>
      </c>
      <c r="H549" s="8" t="str">
        <f>'DEF_CALL_DECISION_SUPPORT'!I1294</f>
        <v>TRACK</v>
      </c>
      <c r="I549" s="8" t="str">
        <f>'DEF_CALL_DECISION_SUPPORT'!K1294</f>
        <v>Track Only</v>
      </c>
      <c r="J549" s="14" t="s">
        <v>2716</v>
      </c>
      <c r="K549" s="9" t="str">
        <f>'DEF_CALL_DECISION_SUPPORT'!L1294</f>
        <v>Track only; not enough sample.</v>
      </c>
      <c r="L549" s="8" t="s">
        <v>781</v>
      </c>
    </row>
    <row r="550" spans="1:12" ht="48" customHeight="1">
      <c r="A550" s="8" t="s">
        <v>449</v>
      </c>
      <c r="B550" s="8" t="str">
        <f>'DEF_CALL_DECISION_SUPPORT'!B1299</f>
        <v>MIX SHINE</v>
      </c>
      <c r="C550" s="12">
        <f>'DEF_CALL_DECISION_SUPPORT'!C1299</f>
        <v>1</v>
      </c>
      <c r="D550" s="10">
        <f>'DEF_CALL_DECISION_SUPPORT'!D1299</f>
        <v>1.0</v>
      </c>
      <c r="E550" s="10">
        <f>'DEF_CALL_DECISION_SUPPORT'!E1299</f>
        <v>0.0</v>
      </c>
      <c r="F550" s="11">
        <f>'DEF_CALL_DECISION_SUPPORT'!F1299</f>
        <v>0.0</v>
      </c>
      <c r="G550" s="11">
        <f>'DEF_CALL_DECISION_SUPPORT'!J1299</f>
        <v>100.0</v>
      </c>
      <c r="H550" s="8" t="str">
        <f>'DEF_CALL_DECISION_SUPPORT'!I1299</f>
        <v>TRACK</v>
      </c>
      <c r="I550" s="8" t="str">
        <f>'DEF_CALL_DECISION_SUPPORT'!K1299</f>
        <v>Track Only</v>
      </c>
      <c r="J550" s="14" t="s">
        <v>2716</v>
      </c>
      <c r="K550" s="9" t="str">
        <f>'DEF_CALL_DECISION_SUPPORT'!L1299</f>
        <v>Track only; not enough sample.</v>
      </c>
      <c r="L550" s="8" t="s">
        <v>781</v>
      </c>
    </row>
    <row r="551" spans="1:12" ht="48" customHeight="1">
      <c r="A551" s="8" t="s">
        <v>449</v>
      </c>
      <c r="B551" s="8" t="str">
        <f>'DEF_CALL_DECISION_SUPPORT'!B1304</f>
        <v>POP POP</v>
      </c>
      <c r="C551" s="12">
        <f>'DEF_CALL_DECISION_SUPPORT'!C1304</f>
        <v>1</v>
      </c>
      <c r="D551" s="10">
        <f>'DEF_CALL_DECISION_SUPPORT'!D1304</f>
        <v>1.0</v>
      </c>
      <c r="E551" s="10">
        <f>'DEF_CALL_DECISION_SUPPORT'!E1304</f>
        <v>0.0</v>
      </c>
      <c r="F551" s="11">
        <f>'DEF_CALL_DECISION_SUPPORT'!F1304</f>
        <v>0.0</v>
      </c>
      <c r="G551" s="11">
        <f>'DEF_CALL_DECISION_SUPPORT'!J1304</f>
        <v>100.0</v>
      </c>
      <c r="H551" s="8" t="str">
        <f>'DEF_CALL_DECISION_SUPPORT'!I1304</f>
        <v>TRACK</v>
      </c>
      <c r="I551" s="8" t="str">
        <f>'DEF_CALL_DECISION_SUPPORT'!K1304</f>
        <v>Track Only</v>
      </c>
      <c r="J551" s="14" t="s">
        <v>2716</v>
      </c>
      <c r="K551" s="9" t="str">
        <f>'DEF_CALL_DECISION_SUPPORT'!L1304</f>
        <v>Track only; not enough sample.</v>
      </c>
      <c r="L551" s="8" t="s">
        <v>781</v>
      </c>
    </row>
    <row r="552" spans="1:12" ht="48" customHeight="1">
      <c r="A552" s="8" t="s">
        <v>449</v>
      </c>
      <c r="B552" s="8" t="str">
        <f>'DEF_CALL_DECISION_SUPPORT'!B1320</f>
        <v>WALL</v>
      </c>
      <c r="C552" s="12">
        <f>'DEF_CALL_DECISION_SUPPORT'!C1320</f>
        <v>1</v>
      </c>
      <c r="D552" s="10">
        <f>'DEF_CALL_DECISION_SUPPORT'!D1320</f>
        <v>1.0</v>
      </c>
      <c r="E552" s="10">
        <f>'DEF_CALL_DECISION_SUPPORT'!E1320</f>
        <v>0.0</v>
      </c>
      <c r="F552" s="11">
        <f>'DEF_CALL_DECISION_SUPPORT'!F1320</f>
        <v>0.0</v>
      </c>
      <c r="G552" s="11">
        <f>'DEF_CALL_DECISION_SUPPORT'!J1320</f>
        <v>100.0</v>
      </c>
      <c r="H552" s="8" t="str">
        <f>'DEF_CALL_DECISION_SUPPORT'!I1320</f>
        <v>TRACK</v>
      </c>
      <c r="I552" s="8" t="str">
        <f>'DEF_CALL_DECISION_SUPPORT'!K1320</f>
        <v>Track Only</v>
      </c>
      <c r="J552" s="14" t="s">
        <v>2716</v>
      </c>
      <c r="K552" s="9" t="str">
        <f>'DEF_CALL_DECISION_SUPPORT'!L1320</f>
        <v>Track only; not enough sample.</v>
      </c>
      <c r="L552" s="8" t="s">
        <v>781</v>
      </c>
    </row>
    <row r="553" spans="1:12" ht="48" customHeight="1">
      <c r="A553" s="8" t="s">
        <v>452</v>
      </c>
      <c r="B553" s="8" t="str">
        <f>'DEF_CALL_DECISION_SUPPORT'!B1322</f>
        <v>KEY CAPTAIN</v>
      </c>
      <c r="C553" s="12">
        <f>'DEF_CALL_DECISION_SUPPORT'!C1322</f>
        <v>1</v>
      </c>
      <c r="D553" s="10">
        <f>'DEF_CALL_DECISION_SUPPORT'!D1322</f>
        <v>1.0</v>
      </c>
      <c r="E553" s="10">
        <f>'DEF_CALL_DECISION_SUPPORT'!E1322</f>
        <v>0.0</v>
      </c>
      <c r="F553" s="11">
        <f>'DEF_CALL_DECISION_SUPPORT'!F1322</f>
        <v>0.0</v>
      </c>
      <c r="G553" s="11">
        <f>'DEF_CALL_DECISION_SUPPORT'!J1322</f>
        <v>100.0</v>
      </c>
      <c r="H553" s="8" t="str">
        <f>'DEF_CALL_DECISION_SUPPORT'!I1322</f>
        <v>TRACK</v>
      </c>
      <c r="I553" s="8" t="str">
        <f>'DEF_CALL_DECISION_SUPPORT'!K1322</f>
        <v>Track Only</v>
      </c>
      <c r="J553" s="14" t="s">
        <v>2716</v>
      </c>
      <c r="K553" s="9" t="str">
        <f>'DEF_CALL_DECISION_SUPPORT'!L1322</f>
        <v>Track only; not enough sample.</v>
      </c>
      <c r="L553" s="8" t="s">
        <v>781</v>
      </c>
    </row>
    <row r="554" spans="1:12" ht="48" customHeight="1">
      <c r="A554" s="8" t="s">
        <v>452</v>
      </c>
      <c r="B554" s="8" t="str">
        <f>'DEF_CALL_DECISION_SUPPORT'!B1323</f>
        <v>TEX</v>
      </c>
      <c r="C554" s="12">
        <f>'DEF_CALL_DECISION_SUPPORT'!C1323</f>
        <v>1</v>
      </c>
      <c r="D554" s="10">
        <f>'DEF_CALL_DECISION_SUPPORT'!D1323</f>
        <v>1.0</v>
      </c>
      <c r="E554" s="10">
        <f>'DEF_CALL_DECISION_SUPPORT'!E1323</f>
        <v>0.0</v>
      </c>
      <c r="F554" s="11">
        <f>'DEF_CALL_DECISION_SUPPORT'!F1323</f>
        <v>-10.0</v>
      </c>
      <c r="G554" s="11">
        <f>'DEF_CALL_DECISION_SUPPORT'!J1323</f>
        <v>100.0</v>
      </c>
      <c r="H554" s="8" t="str">
        <f>'DEF_CALL_DECISION_SUPPORT'!I1323</f>
        <v>TRACK</v>
      </c>
      <c r="I554" s="8" t="str">
        <f>'DEF_CALL_DECISION_SUPPORT'!K1323</f>
        <v>Track Only</v>
      </c>
      <c r="J554" s="14" t="s">
        <v>2716</v>
      </c>
      <c r="K554" s="9" t="str">
        <f>'DEF_CALL_DECISION_SUPPORT'!L1323</f>
        <v>Track only; not enough sample.</v>
      </c>
      <c r="L554" s="8" t="s">
        <v>781</v>
      </c>
    </row>
    <row r="555" spans="1:12" ht="48" customHeight="1">
      <c r="A555" s="8" t="s">
        <v>432</v>
      </c>
      <c r="B555" s="8" t="str">
        <f>'DEF_CALL_DECISION_SUPPORT'!B1324</f>
        <v>9 STUD</v>
      </c>
      <c r="C555" s="12">
        <f>'DEF_CALL_DECISION_SUPPORT'!C1324</f>
        <v>1</v>
      </c>
      <c r="D555" s="10">
        <f>'DEF_CALL_DECISION_SUPPORT'!D1324</f>
        <v>1.0</v>
      </c>
      <c r="E555" s="10">
        <f>'DEF_CALL_DECISION_SUPPORT'!E1324</f>
        <v>0.0</v>
      </c>
      <c r="F555" s="11">
        <f>'DEF_CALL_DECISION_SUPPORT'!F1324</f>
        <v>-1.0</v>
      </c>
      <c r="G555" s="11">
        <f>'DEF_CALL_DECISION_SUPPORT'!J1324</f>
        <v>100.0</v>
      </c>
      <c r="H555" s="8" t="str">
        <f>'DEF_CALL_DECISION_SUPPORT'!I1324</f>
        <v>TRACK</v>
      </c>
      <c r="I555" s="8" t="str">
        <f>'DEF_CALL_DECISION_SUPPORT'!K1324</f>
        <v>Track Only</v>
      </c>
      <c r="J555" s="14" t="s">
        <v>2716</v>
      </c>
      <c r="K555" s="9" t="str">
        <f>'DEF_CALL_DECISION_SUPPORT'!L1324</f>
        <v>Track only; not enough sample.</v>
      </c>
      <c r="L555" s="8" t="s">
        <v>781</v>
      </c>
    </row>
    <row r="556" spans="1:12" ht="48" customHeight="1">
      <c r="A556" s="8" t="s">
        <v>605</v>
      </c>
      <c r="B556" s="8" t="str">
        <f>'DEF_CALL_DECISION_SUPPORT'!B1337</f>
        <v>RAMBO</v>
      </c>
      <c r="C556" s="12">
        <f>'DEF_CALL_DECISION_SUPPORT'!C1337</f>
        <v>1</v>
      </c>
      <c r="D556" s="10">
        <f>'DEF_CALL_DECISION_SUPPORT'!D1337</f>
        <v>1.0</v>
      </c>
      <c r="E556" s="10">
        <f>'DEF_CALL_DECISION_SUPPORT'!E1337</f>
        <v>0.0</v>
      </c>
      <c r="F556" s="11">
        <f>'DEF_CALL_DECISION_SUPPORT'!F1337</f>
        <v>0.0</v>
      </c>
      <c r="G556" s="11">
        <f>'DEF_CALL_DECISION_SUPPORT'!J1337</f>
        <v>100.0</v>
      </c>
      <c r="H556" s="8" t="str">
        <f>'DEF_CALL_DECISION_SUPPORT'!I1337</f>
        <v>TRACK</v>
      </c>
      <c r="I556" s="8" t="str">
        <f>'DEF_CALL_DECISION_SUPPORT'!K1337</f>
        <v>Track Only</v>
      </c>
      <c r="J556" s="14" t="s">
        <v>2716</v>
      </c>
      <c r="K556" s="9" t="str">
        <f>'DEF_CALL_DECISION_SUPPORT'!L1337</f>
        <v>Track only; not enough sample.</v>
      </c>
      <c r="L556" s="8" t="s">
        <v>781</v>
      </c>
    </row>
    <row r="557" spans="1:12" ht="48" customHeight="1">
      <c r="A557" s="8" t="s">
        <v>428</v>
      </c>
      <c r="B557" s="8" t="str">
        <f>'DEF_CALL_DECISION_SUPPORT'!B1348</f>
        <v>BLIZZARD</v>
      </c>
      <c r="C557" s="12">
        <f>'DEF_CALL_DECISION_SUPPORT'!C1348</f>
        <v>1</v>
      </c>
      <c r="D557" s="10">
        <f>'DEF_CALL_DECISION_SUPPORT'!D1348</f>
        <v>1.0</v>
      </c>
      <c r="E557" s="10">
        <f>'DEF_CALL_DECISION_SUPPORT'!E1348</f>
        <v>0.0</v>
      </c>
      <c r="F557" s="11">
        <f>'DEF_CALL_DECISION_SUPPORT'!F1348</f>
        <v>-5.0</v>
      </c>
      <c r="G557" s="11">
        <f>'DEF_CALL_DECISION_SUPPORT'!J1348</f>
        <v>100.0</v>
      </c>
      <c r="H557" s="8" t="str">
        <f>'DEF_CALL_DECISION_SUPPORT'!I1348</f>
        <v>TRACK</v>
      </c>
      <c r="I557" s="8" t="str">
        <f>'DEF_CALL_DECISION_SUPPORT'!K1348</f>
        <v>Track Only</v>
      </c>
      <c r="J557" s="14" t="s">
        <v>2716</v>
      </c>
      <c r="K557" s="9" t="str">
        <f>'DEF_CALL_DECISION_SUPPORT'!L1348</f>
        <v>Track only; not enough sample.</v>
      </c>
      <c r="L557" s="8" t="s">
        <v>781</v>
      </c>
    </row>
    <row r="558" spans="1:12" ht="48" customHeight="1">
      <c r="A558" s="8" t="s">
        <v>428</v>
      </c>
      <c r="B558" s="8" t="str">
        <f>'DEF_CALL_DECISION_SUPPORT'!B1350</f>
        <v>CAPTAIN</v>
      </c>
      <c r="C558" s="12">
        <f>'DEF_CALL_DECISION_SUPPORT'!C1350</f>
        <v>1</v>
      </c>
      <c r="D558" s="10">
        <f>'DEF_CALL_DECISION_SUPPORT'!D1350</f>
        <v>1.0</v>
      </c>
      <c r="E558" s="10">
        <f>'DEF_CALL_DECISION_SUPPORT'!E1350</f>
        <v>0.0</v>
      </c>
      <c r="F558" s="11">
        <f>'DEF_CALL_DECISION_SUPPORT'!F1350</f>
        <v>0.0</v>
      </c>
      <c r="G558" s="11">
        <f>'DEF_CALL_DECISION_SUPPORT'!J1350</f>
        <v>100.0</v>
      </c>
      <c r="H558" s="8" t="str">
        <f>'DEF_CALL_DECISION_SUPPORT'!I1350</f>
        <v>TRACK</v>
      </c>
      <c r="I558" s="8" t="str">
        <f>'DEF_CALL_DECISION_SUPPORT'!K1350</f>
        <v>Track Only</v>
      </c>
      <c r="J558" s="14" t="s">
        <v>2716</v>
      </c>
      <c r="K558" s="9" t="str">
        <f>'DEF_CALL_DECISION_SUPPORT'!L1350</f>
        <v>Track only; not enough sample.</v>
      </c>
      <c r="L558" s="8" t="s">
        <v>781</v>
      </c>
    </row>
    <row r="559" spans="1:12" ht="48" customHeight="1">
      <c r="A559" s="8" t="s">
        <v>428</v>
      </c>
      <c r="B559" s="8" t="str">
        <f>'DEF_CALL_DECISION_SUPPORT'!B1371</f>
        <v>SWAP</v>
      </c>
      <c r="C559" s="12">
        <f>'DEF_CALL_DECISION_SUPPORT'!C1371</f>
        <v>1</v>
      </c>
      <c r="D559" s="10">
        <f>'DEF_CALL_DECISION_SUPPORT'!D1371</f>
        <v>1.0</v>
      </c>
      <c r="E559" s="10">
        <f>'DEF_CALL_DECISION_SUPPORT'!E1371</f>
        <v>0.0</v>
      </c>
      <c r="F559" s="11">
        <f>'DEF_CALL_DECISION_SUPPORT'!F1371</f>
        <v>-5.0</v>
      </c>
      <c r="G559" s="11">
        <f>'DEF_CALL_DECISION_SUPPORT'!J1371</f>
        <v>100.0</v>
      </c>
      <c r="H559" s="8" t="str">
        <f>'DEF_CALL_DECISION_SUPPORT'!I1371</f>
        <v>TRACK</v>
      </c>
      <c r="I559" s="8" t="str">
        <f>'DEF_CALL_DECISION_SUPPORT'!K1371</f>
        <v>Track Only</v>
      </c>
      <c r="J559" s="14" t="s">
        <v>2716</v>
      </c>
      <c r="K559" s="9" t="str">
        <f>'DEF_CALL_DECISION_SUPPORT'!L1371</f>
        <v>Track only; not enough sample.</v>
      </c>
      <c r="L559" s="8" t="s">
        <v>781</v>
      </c>
    </row>
    <row r="560" spans="1:12" ht="48" customHeight="1">
      <c r="A560" s="8" t="s">
        <v>574</v>
      </c>
      <c r="B560" s="8" t="str">
        <f>'DEF_CALL_DECISION_SUPPORT'!B1377</f>
        <v>Q RAMBO</v>
      </c>
      <c r="C560" s="12">
        <f>'DEF_CALL_DECISION_SUPPORT'!C1377</f>
        <v>1</v>
      </c>
      <c r="D560" s="10">
        <f>'DEF_CALL_DECISION_SUPPORT'!D1377</f>
        <v>1.0</v>
      </c>
      <c r="E560" s="10">
        <f>'DEF_CALL_DECISION_SUPPORT'!E1377</f>
        <v>0.0</v>
      </c>
      <c r="F560" s="11">
        <f>'DEF_CALL_DECISION_SUPPORT'!F1377</f>
        <v>-1.0</v>
      </c>
      <c r="G560" s="11">
        <f>'DEF_CALL_DECISION_SUPPORT'!J1377</f>
        <v>100.0</v>
      </c>
      <c r="H560" s="8" t="str">
        <f>'DEF_CALL_DECISION_SUPPORT'!I1377</f>
        <v>TRACK</v>
      </c>
      <c r="I560" s="8" t="str">
        <f>'DEF_CALL_DECISION_SUPPORT'!K1377</f>
        <v>Track Only</v>
      </c>
      <c r="J560" s="14" t="s">
        <v>2716</v>
      </c>
      <c r="K560" s="9" t="str">
        <f>'DEF_CALL_DECISION_SUPPORT'!L1377</f>
        <v>Track only; not enough sample.</v>
      </c>
      <c r="L560" s="8" t="s">
        <v>781</v>
      </c>
    </row>
    <row r="561" spans="1:12" ht="48" customHeight="1">
      <c r="A561" s="8" t="s">
        <v>465</v>
      </c>
      <c r="B561" s="8" t="str">
        <f>'DEF_CALL_DECISION_SUPPORT'!B1384</f>
        <v>KNIFE</v>
      </c>
      <c r="C561" s="12">
        <f>'DEF_CALL_DECISION_SUPPORT'!C1384</f>
        <v>1</v>
      </c>
      <c r="D561" s="10">
        <f>'DEF_CALL_DECISION_SUPPORT'!D1384</f>
        <v>1.0</v>
      </c>
      <c r="E561" s="10">
        <f>'DEF_CALL_DECISION_SUPPORT'!E1384</f>
        <v>0.0</v>
      </c>
      <c r="F561" s="11">
        <f>'DEF_CALL_DECISION_SUPPORT'!F1384</f>
        <v>-1.0</v>
      </c>
      <c r="G561" s="11">
        <f>'DEF_CALL_DECISION_SUPPORT'!J1384</f>
        <v>100.0</v>
      </c>
      <c r="H561" s="8" t="str">
        <f>'DEF_CALL_DECISION_SUPPORT'!I1384</f>
        <v>TRACK</v>
      </c>
      <c r="I561" s="8" t="str">
        <f>'DEF_CALL_DECISION_SUPPORT'!K1384</f>
        <v>Track Only</v>
      </c>
      <c r="J561" s="14" t="s">
        <v>2716</v>
      </c>
      <c r="K561" s="9" t="str">
        <f>'DEF_CALL_DECISION_SUPPORT'!L1384</f>
        <v>Track only; not enough sample.</v>
      </c>
      <c r="L561" s="8" t="s">
        <v>781</v>
      </c>
    </row>
    <row r="562" spans="1:12" ht="48" customHeight="1">
      <c r="A562" s="8" t="s">
        <v>468</v>
      </c>
      <c r="B562" s="8" t="str">
        <f>'DEF_CALL_DECISION_SUPPORT'!B1395</f>
        <v>CAPTAIN</v>
      </c>
      <c r="C562" s="12">
        <f>'DEF_CALL_DECISION_SUPPORT'!C1395</f>
        <v>1</v>
      </c>
      <c r="D562" s="10">
        <f>'DEF_CALL_DECISION_SUPPORT'!D1395</f>
        <v>1.0</v>
      </c>
      <c r="E562" s="10">
        <f>'DEF_CALL_DECISION_SUPPORT'!E1395</f>
        <v>0.0</v>
      </c>
      <c r="F562" s="11">
        <f>'DEF_CALL_DECISION_SUPPORT'!F1395</f>
        <v>0.0</v>
      </c>
      <c r="G562" s="11">
        <f>'DEF_CALL_DECISION_SUPPORT'!J1395</f>
        <v>100.0</v>
      </c>
      <c r="H562" s="8" t="str">
        <f>'DEF_CALL_DECISION_SUPPORT'!I1395</f>
        <v>TRACK</v>
      </c>
      <c r="I562" s="8" t="str">
        <f>'DEF_CALL_DECISION_SUPPORT'!K1395</f>
        <v>Track Only</v>
      </c>
      <c r="J562" s="14" t="s">
        <v>2716</v>
      </c>
      <c r="K562" s="9" t="str">
        <f>'DEF_CALL_DECISION_SUPPORT'!L1395</f>
        <v>Track only; not enough sample.</v>
      </c>
      <c r="L562" s="8" t="s">
        <v>781</v>
      </c>
    </row>
    <row r="563" spans="1:12" ht="48" customHeight="1">
      <c r="A563" s="8" t="s">
        <v>468</v>
      </c>
      <c r="B563" s="8" t="str">
        <f>'DEF_CALL_DECISION_SUPPORT'!B1396</f>
        <v>EAGLE</v>
      </c>
      <c r="C563" s="12">
        <f>'DEF_CALL_DECISION_SUPPORT'!C1396</f>
        <v>1</v>
      </c>
      <c r="D563" s="10">
        <f>'DEF_CALL_DECISION_SUPPORT'!D1396</f>
        <v>1.0</v>
      </c>
      <c r="E563" s="10">
        <f>'DEF_CALL_DECISION_SUPPORT'!E1396</f>
        <v>0.0</v>
      </c>
      <c r="F563" s="11">
        <f>'DEF_CALL_DECISION_SUPPORT'!F1396</f>
        <v>-8.0</v>
      </c>
      <c r="G563" s="11">
        <f>'DEF_CALL_DECISION_SUPPORT'!J1396</f>
        <v>100.0</v>
      </c>
      <c r="H563" s="8" t="str">
        <f>'DEF_CALL_DECISION_SUPPORT'!I1396</f>
        <v>TRACK</v>
      </c>
      <c r="I563" s="8" t="str">
        <f>'DEF_CALL_DECISION_SUPPORT'!K1396</f>
        <v>Track Only</v>
      </c>
      <c r="J563" s="14" t="s">
        <v>2716</v>
      </c>
      <c r="K563" s="9" t="str">
        <f>'DEF_CALL_DECISION_SUPPORT'!L1396</f>
        <v>Track only; not enough sample.</v>
      </c>
      <c r="L563" s="8" t="s">
        <v>781</v>
      </c>
    </row>
    <row r="564" spans="1:12" ht="48" customHeight="1">
      <c r="A564" s="8" t="s">
        <v>468</v>
      </c>
      <c r="B564" s="8" t="str">
        <f>'DEF_CALL_DECISION_SUPPORT'!B1402</f>
        <v>RAMBO</v>
      </c>
      <c r="C564" s="12">
        <f>'DEF_CALL_DECISION_SUPPORT'!C1402</f>
        <v>1</v>
      </c>
      <c r="D564" s="10">
        <f>'DEF_CALL_DECISION_SUPPORT'!D1402</f>
        <v>1.0</v>
      </c>
      <c r="E564" s="10">
        <f>'DEF_CALL_DECISION_SUPPORT'!E1402</f>
        <v>0.0</v>
      </c>
      <c r="F564" s="11">
        <f>'DEF_CALL_DECISION_SUPPORT'!F1402</f>
        <v>0.0</v>
      </c>
      <c r="G564" s="11">
        <f>'DEF_CALL_DECISION_SUPPORT'!J1402</f>
        <v>100.0</v>
      </c>
      <c r="H564" s="8" t="str">
        <f>'DEF_CALL_DECISION_SUPPORT'!I1402</f>
        <v>TRACK</v>
      </c>
      <c r="I564" s="8" t="str">
        <f>'DEF_CALL_DECISION_SUPPORT'!K1402</f>
        <v>Track Only</v>
      </c>
      <c r="J564" s="14" t="s">
        <v>2716</v>
      </c>
      <c r="K564" s="9" t="str">
        <f>'DEF_CALL_DECISION_SUPPORT'!L1402</f>
        <v>Track only; not enough sample.</v>
      </c>
      <c r="L564" s="8" t="s">
        <v>781</v>
      </c>
    </row>
    <row r="565" spans="1:12" ht="48" customHeight="1">
      <c r="A565" s="8" t="s">
        <v>468</v>
      </c>
      <c r="B565" s="8" t="str">
        <f>'DEF_CALL_DECISION_SUPPORT'!B1403</f>
        <v>REBEL</v>
      </c>
      <c r="C565" s="12">
        <f>'DEF_CALL_DECISION_SUPPORT'!C1403</f>
        <v>1</v>
      </c>
      <c r="D565" s="10">
        <f>'DEF_CALL_DECISION_SUPPORT'!D1403</f>
        <v>1.0</v>
      </c>
      <c r="E565" s="10">
        <f>'DEF_CALL_DECISION_SUPPORT'!E1403</f>
        <v>0.0</v>
      </c>
      <c r="F565" s="11">
        <f>'DEF_CALL_DECISION_SUPPORT'!F1403</f>
        <v>0.0</v>
      </c>
      <c r="G565" s="11">
        <f>'DEF_CALL_DECISION_SUPPORT'!J1403</f>
        <v>100.0</v>
      </c>
      <c r="H565" s="8" t="str">
        <f>'DEF_CALL_DECISION_SUPPORT'!I1403</f>
        <v>TRACK</v>
      </c>
      <c r="I565" s="8" t="str">
        <f>'DEF_CALL_DECISION_SUPPORT'!K1403</f>
        <v>Track Only</v>
      </c>
      <c r="J565" s="14" t="s">
        <v>2716</v>
      </c>
      <c r="K565" s="9" t="str">
        <f>'DEF_CALL_DECISION_SUPPORT'!L1403</f>
        <v>Track only; not enough sample.</v>
      </c>
      <c r="L565" s="8" t="s">
        <v>781</v>
      </c>
    </row>
    <row r="566" spans="1:12" ht="48" customHeight="1">
      <c r="A566" s="8" t="s">
        <v>468</v>
      </c>
      <c r="B566" s="8" t="str">
        <f>'DEF_CALL_DECISION_SUPPORT'!B1407</f>
        <v>STICK OX</v>
      </c>
      <c r="C566" s="12">
        <f>'DEF_CALL_DECISION_SUPPORT'!C1407</f>
        <v>1</v>
      </c>
      <c r="D566" s="10">
        <f>'DEF_CALL_DECISION_SUPPORT'!D1407</f>
        <v>1.0</v>
      </c>
      <c r="E566" s="10">
        <f>'DEF_CALL_DECISION_SUPPORT'!E1407</f>
        <v>0.0</v>
      </c>
      <c r="F566" s="11">
        <f>'DEF_CALL_DECISION_SUPPORT'!F1407</f>
        <v>-8.0</v>
      </c>
      <c r="G566" s="11">
        <f>'DEF_CALL_DECISION_SUPPORT'!J1407</f>
        <v>100.0</v>
      </c>
      <c r="H566" s="8" t="str">
        <f>'DEF_CALL_DECISION_SUPPORT'!I1407</f>
        <v>TRACK</v>
      </c>
      <c r="I566" s="8" t="str">
        <f>'DEF_CALL_DECISION_SUPPORT'!K1407</f>
        <v>Track Only</v>
      </c>
      <c r="J566" s="14" t="s">
        <v>2716</v>
      </c>
      <c r="K566" s="9" t="str">
        <f>'DEF_CALL_DECISION_SUPPORT'!L1407</f>
        <v>Track only; not enough sample.</v>
      </c>
      <c r="L566" s="8" t="s">
        <v>781</v>
      </c>
    </row>
    <row r="567" spans="1:12" ht="48" customHeight="1">
      <c r="A567" s="8" t="s">
        <v>541</v>
      </c>
      <c r="B567" s="8" t="str">
        <f>'DEF_CALL_DECISION_SUPPORT'!B1409</f>
        <v>REBEL</v>
      </c>
      <c r="C567" s="12">
        <f>'DEF_CALL_DECISION_SUPPORT'!C1409</f>
        <v>1</v>
      </c>
      <c r="D567" s="10">
        <f>'DEF_CALL_DECISION_SUPPORT'!D1409</f>
        <v>1.0</v>
      </c>
      <c r="E567" s="10">
        <f>'DEF_CALL_DECISION_SUPPORT'!E1409</f>
        <v>0.0</v>
      </c>
      <c r="F567" s="11">
        <f>'DEF_CALL_DECISION_SUPPORT'!F1409</f>
        <v>0.0</v>
      </c>
      <c r="G567" s="11">
        <f>'DEF_CALL_DECISION_SUPPORT'!J1409</f>
        <v>100.0</v>
      </c>
      <c r="H567" s="8" t="str">
        <f>'DEF_CALL_DECISION_SUPPORT'!I1409</f>
        <v>TRACK</v>
      </c>
      <c r="I567" s="8" t="str">
        <f>'DEF_CALL_DECISION_SUPPORT'!K1409</f>
        <v>Track Only</v>
      </c>
      <c r="J567" s="14" t="s">
        <v>2716</v>
      </c>
      <c r="K567" s="9" t="str">
        <f>'DEF_CALL_DECISION_SUPPORT'!L1409</f>
        <v>Track only; not enough sample.</v>
      </c>
      <c r="L567" s="8" t="s">
        <v>781</v>
      </c>
    </row>
    <row r="568" spans="1:12" ht="48" customHeight="1">
      <c r="A568" s="8" t="s">
        <v>471</v>
      </c>
      <c r="B568" s="8" t="str">
        <f>'DEF_CALL_DECISION_SUPPORT'!B1412</f>
        <v>BOURBON</v>
      </c>
      <c r="C568" s="12">
        <f>'DEF_CALL_DECISION_SUPPORT'!C1412</f>
        <v>1</v>
      </c>
      <c r="D568" s="10">
        <f>'DEF_CALL_DECISION_SUPPORT'!D1412</f>
        <v>1.0</v>
      </c>
      <c r="E568" s="10">
        <f>'DEF_CALL_DECISION_SUPPORT'!E1412</f>
        <v>0.0</v>
      </c>
      <c r="F568" s="11">
        <f>'DEF_CALL_DECISION_SUPPORT'!F1412</f>
        <v>0.0</v>
      </c>
      <c r="G568" s="11">
        <f>'DEF_CALL_DECISION_SUPPORT'!J1412</f>
        <v>100.0</v>
      </c>
      <c r="H568" s="8" t="str">
        <f>'DEF_CALL_DECISION_SUPPORT'!I1412</f>
        <v>TRACK</v>
      </c>
      <c r="I568" s="8" t="str">
        <f>'DEF_CALL_DECISION_SUPPORT'!K1412</f>
        <v>Track Only</v>
      </c>
      <c r="J568" s="14" t="s">
        <v>2716</v>
      </c>
      <c r="K568" s="9" t="str">
        <f>'DEF_CALL_DECISION_SUPPORT'!L1412</f>
        <v>Track only; not enough sample.</v>
      </c>
      <c r="L568" s="8" t="s">
        <v>781</v>
      </c>
    </row>
    <row r="569" spans="1:12" ht="48" customHeight="1">
      <c r="A569" s="8" t="s">
        <v>471</v>
      </c>
      <c r="B569" s="8" t="str">
        <f>'DEF_CALL_DECISION_SUPPORT'!B1415</f>
        <v>HOUND KNIFE</v>
      </c>
      <c r="C569" s="12">
        <f>'DEF_CALL_DECISION_SUPPORT'!C1415</f>
        <v>1</v>
      </c>
      <c r="D569" s="10">
        <f>'DEF_CALL_DECISION_SUPPORT'!D1415</f>
        <v>1.0</v>
      </c>
      <c r="E569" s="10">
        <f>'DEF_CALL_DECISION_SUPPORT'!E1415</f>
        <v>0.0</v>
      </c>
      <c r="F569" s="11">
        <f>'DEF_CALL_DECISION_SUPPORT'!F1415</f>
        <v>0.0</v>
      </c>
      <c r="G569" s="11">
        <f>'DEF_CALL_DECISION_SUPPORT'!J1415</f>
        <v>100.0</v>
      </c>
      <c r="H569" s="8" t="str">
        <f>'DEF_CALL_DECISION_SUPPORT'!I1415</f>
        <v>TRACK</v>
      </c>
      <c r="I569" s="8" t="str">
        <f>'DEF_CALL_DECISION_SUPPORT'!K1415</f>
        <v>Track Only</v>
      </c>
      <c r="J569" s="14" t="s">
        <v>2716</v>
      </c>
      <c r="K569" s="9" t="str">
        <f>'DEF_CALL_DECISION_SUPPORT'!L1415</f>
        <v>Track only; not enough sample.</v>
      </c>
      <c r="L569" s="8" t="s">
        <v>781</v>
      </c>
    </row>
    <row r="570" spans="1:12" ht="48" customHeight="1">
      <c r="A570" s="8" t="s">
        <v>474</v>
      </c>
      <c r="B570" s="8" t="str">
        <f>'DEF_CALL_DECISION_SUPPORT'!B1426</f>
        <v>BOURBON</v>
      </c>
      <c r="C570" s="12">
        <f>'DEF_CALL_DECISION_SUPPORT'!C1426</f>
        <v>1</v>
      </c>
      <c r="D570" s="10">
        <f>'DEF_CALL_DECISION_SUPPORT'!D1426</f>
        <v>1.0</v>
      </c>
      <c r="E570" s="10">
        <f>'DEF_CALL_DECISION_SUPPORT'!E1426</f>
        <v>0.0</v>
      </c>
      <c r="F570" s="11">
        <f>'DEF_CALL_DECISION_SUPPORT'!F1426</f>
        <v>0.0</v>
      </c>
      <c r="G570" s="11">
        <f>'DEF_CALL_DECISION_SUPPORT'!J1426</f>
        <v>100.0</v>
      </c>
      <c r="H570" s="8" t="str">
        <f>'DEF_CALL_DECISION_SUPPORT'!I1426</f>
        <v>TRACK</v>
      </c>
      <c r="I570" s="8" t="str">
        <f>'DEF_CALL_DECISION_SUPPORT'!K1426</f>
        <v>Track Only</v>
      </c>
      <c r="J570" s="14" t="s">
        <v>2716</v>
      </c>
      <c r="K570" s="9" t="str">
        <f>'DEF_CALL_DECISION_SUPPORT'!L1426</f>
        <v>Track only; not enough sample.</v>
      </c>
      <c r="L570" s="8" t="s">
        <v>781</v>
      </c>
    </row>
    <row r="571" spans="1:12" ht="48" customHeight="1">
      <c r="A571" s="8" t="s">
        <v>480</v>
      </c>
      <c r="B571" s="8" t="str">
        <f>'DEF_CALL_DECISION_SUPPORT'!B1438</f>
        <v>KEY BOURBON</v>
      </c>
      <c r="C571" s="12">
        <f>'DEF_CALL_DECISION_SUPPORT'!C1438</f>
        <v>1</v>
      </c>
      <c r="D571" s="10">
        <f>'DEF_CALL_DECISION_SUPPORT'!D1438</f>
        <v>1.0</v>
      </c>
      <c r="E571" s="10">
        <f>'DEF_CALL_DECISION_SUPPORT'!E1438</f>
        <v>0.0</v>
      </c>
      <c r="F571" s="11">
        <f>'DEF_CALL_DECISION_SUPPORT'!F1438</f>
        <v>0.0</v>
      </c>
      <c r="G571" s="11">
        <f>'DEF_CALL_DECISION_SUPPORT'!J1438</f>
        <v>100.0</v>
      </c>
      <c r="H571" s="8" t="str">
        <f>'DEF_CALL_DECISION_SUPPORT'!I1438</f>
        <v>TRACK</v>
      </c>
      <c r="I571" s="8" t="str">
        <f>'DEF_CALL_DECISION_SUPPORT'!K1438</f>
        <v>Track Only</v>
      </c>
      <c r="J571" s="14" t="s">
        <v>2716</v>
      </c>
      <c r="K571" s="9" t="str">
        <f>'DEF_CALL_DECISION_SUPPORT'!L1438</f>
        <v>Track only; not enough sample.</v>
      </c>
      <c r="L571" s="8" t="s">
        <v>781</v>
      </c>
    </row>
    <row r="572" spans="1:12" ht="48" customHeight="1">
      <c r="A572" s="8" t="s">
        <v>445</v>
      </c>
      <c r="B572" s="8" t="str">
        <f>'DEF_CALL_DECISION_SUPPORT'!B823</f>
        <v>STICK TEX</v>
      </c>
      <c r="C572" s="12">
        <f>'DEF_CALL_DECISION_SUPPORT'!C823</f>
        <v>1</v>
      </c>
      <c r="D572" s="10">
        <f>'DEF_CALL_DECISION_SUPPORT'!D823</f>
        <v>1.0</v>
      </c>
      <c r="E572" s="10">
        <f>'DEF_CALL_DECISION_SUPPORT'!E823</f>
        <v>0.0</v>
      </c>
      <c r="F572" s="11">
        <f>'DEF_CALL_DECISION_SUPPORT'!F823</f>
        <v>0.0</v>
      </c>
      <c r="G572" s="11">
        <f>'DEF_CALL_DECISION_SUPPORT'!J823</f>
        <v>100.0</v>
      </c>
      <c r="H572" s="8" t="str">
        <f>'DEF_CALL_DECISION_SUPPORT'!I823</f>
        <v>TRACK</v>
      </c>
      <c r="I572" s="8" t="str">
        <f>'DEF_CALL_DECISION_SUPPORT'!K823</f>
        <v>Track Only</v>
      </c>
      <c r="J572" s="14" t="s">
        <v>2716</v>
      </c>
      <c r="K572" s="9" t="str">
        <f>'DEF_CALL_DECISION_SUPPORT'!L823</f>
        <v>Track only; not enough sample.</v>
      </c>
      <c r="L572" s="8" t="s">
        <v>2713</v>
      </c>
    </row>
    <row r="573" spans="1:12" ht="48" customHeight="1">
      <c r="A573" s="8" t="s">
        <v>448</v>
      </c>
      <c r="B573" s="8" t="str">
        <f>'DEF_CALL_DECISION_SUPPORT'!B824</f>
        <v>BOURBON</v>
      </c>
      <c r="C573" s="12">
        <f>'DEF_CALL_DECISION_SUPPORT'!C824</f>
        <v>1</v>
      </c>
      <c r="D573" s="10">
        <f>'DEF_CALL_DECISION_SUPPORT'!D824</f>
        <v>1.0</v>
      </c>
      <c r="E573" s="10">
        <f>'DEF_CALL_DECISION_SUPPORT'!E824</f>
        <v>0.0</v>
      </c>
      <c r="F573" s="11">
        <f>'DEF_CALL_DECISION_SUPPORT'!F824</f>
        <v>0.0</v>
      </c>
      <c r="G573" s="11">
        <f>'DEF_CALL_DECISION_SUPPORT'!J824</f>
        <v>100.0</v>
      </c>
      <c r="H573" s="8" t="str">
        <f>'DEF_CALL_DECISION_SUPPORT'!I824</f>
        <v>TRACK</v>
      </c>
      <c r="I573" s="8" t="str">
        <f>'DEF_CALL_DECISION_SUPPORT'!K824</f>
        <v>Track Only</v>
      </c>
      <c r="J573" s="14" t="s">
        <v>2716</v>
      </c>
      <c r="K573" s="9" t="str">
        <f>'DEF_CALL_DECISION_SUPPORT'!L824</f>
        <v>Track only; not enough sample.</v>
      </c>
      <c r="L573" s="8" t="s">
        <v>2713</v>
      </c>
    </row>
    <row r="574" spans="1:12" ht="48" customHeight="1">
      <c r="A574" s="8" t="s">
        <v>448</v>
      </c>
      <c r="B574" s="8" t="str">
        <f>'DEF_CALL_DECISION_SUPPORT'!B825</f>
        <v>CAPTAIN</v>
      </c>
      <c r="C574" s="12">
        <f>'DEF_CALL_DECISION_SUPPORT'!C825</f>
        <v>1</v>
      </c>
      <c r="D574" s="10">
        <f>'DEF_CALL_DECISION_SUPPORT'!D825</f>
        <v>1.0</v>
      </c>
      <c r="E574" s="10">
        <f>'DEF_CALL_DECISION_SUPPORT'!E825</f>
        <v>0.0</v>
      </c>
      <c r="F574" s="11">
        <f>'DEF_CALL_DECISION_SUPPORT'!F825</f>
        <v>-4.0</v>
      </c>
      <c r="G574" s="11">
        <f>'DEF_CALL_DECISION_SUPPORT'!J825</f>
        <v>100.0</v>
      </c>
      <c r="H574" s="8" t="str">
        <f>'DEF_CALL_DECISION_SUPPORT'!I825</f>
        <v>TRACK</v>
      </c>
      <c r="I574" s="8" t="str">
        <f>'DEF_CALL_DECISION_SUPPORT'!K825</f>
        <v>Track Only</v>
      </c>
      <c r="J574" s="14" t="s">
        <v>2716</v>
      </c>
      <c r="K574" s="9" t="str">
        <f>'DEF_CALL_DECISION_SUPPORT'!L825</f>
        <v>Track only; not enough sample.</v>
      </c>
      <c r="L574" s="8" t="s">
        <v>2713</v>
      </c>
    </row>
    <row r="575" spans="1:12" ht="48" customHeight="1">
      <c r="A575" s="8" t="s">
        <v>448</v>
      </c>
      <c r="B575" s="8" t="str">
        <f>'DEF_CALL_DECISION_SUPPORT'!B827</f>
        <v>FLOOD</v>
      </c>
      <c r="C575" s="12">
        <f>'DEF_CALL_DECISION_SUPPORT'!C827</f>
        <v>1</v>
      </c>
      <c r="D575" s="10">
        <f>'DEF_CALL_DECISION_SUPPORT'!D827</f>
        <v>1.0</v>
      </c>
      <c r="E575" s="10">
        <f>'DEF_CALL_DECISION_SUPPORT'!E827</f>
        <v>0.0</v>
      </c>
      <c r="F575" s="11">
        <f>'DEF_CALL_DECISION_SUPPORT'!F827</f>
        <v>0.0</v>
      </c>
      <c r="G575" s="11">
        <f>'DEF_CALL_DECISION_SUPPORT'!J827</f>
        <v>100.0</v>
      </c>
      <c r="H575" s="8" t="str">
        <f>'DEF_CALL_DECISION_SUPPORT'!I827</f>
        <v>TRACK</v>
      </c>
      <c r="I575" s="8" t="str">
        <f>'DEF_CALL_DECISION_SUPPORT'!K827</f>
        <v>Track Only</v>
      </c>
      <c r="J575" s="14" t="s">
        <v>2716</v>
      </c>
      <c r="K575" s="9" t="str">
        <f>'DEF_CALL_DECISION_SUPPORT'!L827</f>
        <v>Track only; not enough sample.</v>
      </c>
      <c r="L575" s="8" t="s">
        <v>2713</v>
      </c>
    </row>
    <row r="576" spans="1:12" ht="48" customHeight="1">
      <c r="A576" s="8" t="s">
        <v>448</v>
      </c>
      <c r="B576" s="8" t="str">
        <f>'DEF_CALL_DECISION_SUPPORT'!B833</f>
        <v>SHINE BUC</v>
      </c>
      <c r="C576" s="12">
        <f>'DEF_CALL_DECISION_SUPPORT'!C833</f>
        <v>1</v>
      </c>
      <c r="D576" s="10">
        <f>'DEF_CALL_DECISION_SUPPORT'!D833</f>
        <v>1.0</v>
      </c>
      <c r="E576" s="10">
        <f>'DEF_CALL_DECISION_SUPPORT'!E833</f>
        <v>0.0</v>
      </c>
      <c r="F576" s="11">
        <f>'DEF_CALL_DECISION_SUPPORT'!F833</f>
        <v>0.0</v>
      </c>
      <c r="G576" s="11">
        <f>'DEF_CALL_DECISION_SUPPORT'!J833</f>
        <v>100.0</v>
      </c>
      <c r="H576" s="8" t="str">
        <f>'DEF_CALL_DECISION_SUPPORT'!I833</f>
        <v>TRACK</v>
      </c>
      <c r="I576" s="8" t="str">
        <f>'DEF_CALL_DECISION_SUPPORT'!K833</f>
        <v>Track Only</v>
      </c>
      <c r="J576" s="14" t="s">
        <v>2716</v>
      </c>
      <c r="K576" s="9" t="str">
        <f>'DEF_CALL_DECISION_SUPPORT'!L833</f>
        <v>Track only; not enough sample.</v>
      </c>
      <c r="L576" s="8" t="s">
        <v>2713</v>
      </c>
    </row>
    <row r="577" spans="1:12" ht="48" customHeight="1">
      <c r="A577" s="8" t="s">
        <v>448</v>
      </c>
      <c r="B577" s="8" t="str">
        <f>'DEF_CALL_DECISION_SUPPORT'!B836</f>
        <v>TSUNAMI</v>
      </c>
      <c r="C577" s="12">
        <f>'DEF_CALL_DECISION_SUPPORT'!C836</f>
        <v>1</v>
      </c>
      <c r="D577" s="10">
        <f>'DEF_CALL_DECISION_SUPPORT'!D836</f>
        <v>1.0</v>
      </c>
      <c r="E577" s="10">
        <f>'DEF_CALL_DECISION_SUPPORT'!E836</f>
        <v>0.0</v>
      </c>
      <c r="F577" s="11">
        <f>'DEF_CALL_DECISION_SUPPORT'!F836</f>
        <v>0.0</v>
      </c>
      <c r="G577" s="11">
        <f>'DEF_CALL_DECISION_SUPPORT'!J836</f>
        <v>100.0</v>
      </c>
      <c r="H577" s="8" t="str">
        <f>'DEF_CALL_DECISION_SUPPORT'!I836</f>
        <v>TRACK</v>
      </c>
      <c r="I577" s="8" t="str">
        <f>'DEF_CALL_DECISION_SUPPORT'!K836</f>
        <v>Track Only</v>
      </c>
      <c r="J577" s="14" t="s">
        <v>2716</v>
      </c>
      <c r="K577" s="9" t="str">
        <f>'DEF_CALL_DECISION_SUPPORT'!L836</f>
        <v>Track only; not enough sample.</v>
      </c>
      <c r="L577" s="8" t="s">
        <v>2713</v>
      </c>
    </row>
    <row r="578" spans="1:12" ht="48" customHeight="1">
      <c r="A578" s="8" t="s">
        <v>451</v>
      </c>
      <c r="B578" s="8" t="str">
        <f>'DEF_CALL_DECISION_SUPPORT'!B837</f>
        <v>KEY CAPTAIN</v>
      </c>
      <c r="C578" s="12">
        <f>'DEF_CALL_DECISION_SUPPORT'!C837</f>
        <v>1</v>
      </c>
      <c r="D578" s="10">
        <f>'DEF_CALL_DECISION_SUPPORT'!D837</f>
        <v>1.0</v>
      </c>
      <c r="E578" s="10">
        <f>'DEF_CALL_DECISION_SUPPORT'!E837</f>
        <v>0.0</v>
      </c>
      <c r="F578" s="11">
        <f>'DEF_CALL_DECISION_SUPPORT'!F837</f>
        <v>0.0</v>
      </c>
      <c r="G578" s="11">
        <f>'DEF_CALL_DECISION_SUPPORT'!J837</f>
        <v>100.0</v>
      </c>
      <c r="H578" s="8" t="str">
        <f>'DEF_CALL_DECISION_SUPPORT'!I837</f>
        <v>TRACK</v>
      </c>
      <c r="I578" s="8" t="str">
        <f>'DEF_CALL_DECISION_SUPPORT'!K837</f>
        <v>Track Only</v>
      </c>
      <c r="J578" s="14" t="s">
        <v>2716</v>
      </c>
      <c r="K578" s="9" t="str">
        <f>'DEF_CALL_DECISION_SUPPORT'!L837</f>
        <v>Track only; not enough sample.</v>
      </c>
      <c r="L578" s="8" t="s">
        <v>2713</v>
      </c>
    </row>
    <row r="579" spans="1:12" ht="48" customHeight="1">
      <c r="A579" s="8" t="s">
        <v>462</v>
      </c>
      <c r="B579" s="8" t="str">
        <f>'DEF_CALL_DECISION_SUPPORT'!B846</f>
        <v>BLIZZARD</v>
      </c>
      <c r="C579" s="12">
        <f>'DEF_CALL_DECISION_SUPPORT'!C846</f>
        <v>1</v>
      </c>
      <c r="D579" s="10">
        <f>'DEF_CALL_DECISION_SUPPORT'!D846</f>
        <v>1.0</v>
      </c>
      <c r="E579" s="10">
        <f>'DEF_CALL_DECISION_SUPPORT'!E846</f>
        <v>0.0</v>
      </c>
      <c r="F579" s="11">
        <f>'DEF_CALL_DECISION_SUPPORT'!F846</f>
        <v>-5.0</v>
      </c>
      <c r="G579" s="11">
        <f>'DEF_CALL_DECISION_SUPPORT'!J846</f>
        <v>100.0</v>
      </c>
      <c r="H579" s="8" t="str">
        <f>'DEF_CALL_DECISION_SUPPORT'!I846</f>
        <v>TRACK</v>
      </c>
      <c r="I579" s="8" t="str">
        <f>'DEF_CALL_DECISION_SUPPORT'!K846</f>
        <v>Track Only</v>
      </c>
      <c r="J579" s="14" t="s">
        <v>2716</v>
      </c>
      <c r="K579" s="9" t="str">
        <f>'DEF_CALL_DECISION_SUPPORT'!L846</f>
        <v>Track only; not enough sample.</v>
      </c>
      <c r="L579" s="8" t="s">
        <v>2713</v>
      </c>
    </row>
    <row r="580" spans="1:12" ht="48" customHeight="1">
      <c r="A580" s="8" t="s">
        <v>462</v>
      </c>
      <c r="B580" s="8" t="str">
        <f>'DEF_CALL_DECISION_SUPPORT'!B847</f>
        <v>CAPTAIN</v>
      </c>
      <c r="C580" s="12">
        <f>'DEF_CALL_DECISION_SUPPORT'!C847</f>
        <v>1</v>
      </c>
      <c r="D580" s="10">
        <f>'DEF_CALL_DECISION_SUPPORT'!D847</f>
        <v>1.0</v>
      </c>
      <c r="E580" s="10">
        <f>'DEF_CALL_DECISION_SUPPORT'!E847</f>
        <v>0.0</v>
      </c>
      <c r="F580" s="11">
        <f>'DEF_CALL_DECISION_SUPPORT'!F847</f>
        <v>0.0</v>
      </c>
      <c r="G580" s="11">
        <f>'DEF_CALL_DECISION_SUPPORT'!J847</f>
        <v>100.0</v>
      </c>
      <c r="H580" s="8" t="str">
        <f>'DEF_CALL_DECISION_SUPPORT'!I847</f>
        <v>TRACK</v>
      </c>
      <c r="I580" s="8" t="str">
        <f>'DEF_CALL_DECISION_SUPPORT'!K847</f>
        <v>Track Only</v>
      </c>
      <c r="J580" s="14" t="s">
        <v>2716</v>
      </c>
      <c r="K580" s="9" t="str">
        <f>'DEF_CALL_DECISION_SUPPORT'!L847</f>
        <v>Track only; not enough sample.</v>
      </c>
      <c r="L580" s="8" t="s">
        <v>2713</v>
      </c>
    </row>
    <row r="581" spans="1:12" ht="48" customHeight="1">
      <c r="A581" s="8" t="s">
        <v>462</v>
      </c>
      <c r="B581" s="8" t="str">
        <f>'DEF_CALL_DECISION_SUPPORT'!B857</f>
        <v>SWAP</v>
      </c>
      <c r="C581" s="12">
        <f>'DEF_CALL_DECISION_SUPPORT'!C857</f>
        <v>1</v>
      </c>
      <c r="D581" s="10">
        <f>'DEF_CALL_DECISION_SUPPORT'!D857</f>
        <v>1.0</v>
      </c>
      <c r="E581" s="10">
        <f>'DEF_CALL_DECISION_SUPPORT'!E857</f>
        <v>0.0</v>
      </c>
      <c r="F581" s="11">
        <f>'DEF_CALL_DECISION_SUPPORT'!F857</f>
        <v>-5.0</v>
      </c>
      <c r="G581" s="11">
        <f>'DEF_CALL_DECISION_SUPPORT'!J857</f>
        <v>100.0</v>
      </c>
      <c r="H581" s="8" t="str">
        <f>'DEF_CALL_DECISION_SUPPORT'!I857</f>
        <v>TRACK</v>
      </c>
      <c r="I581" s="8" t="str">
        <f>'DEF_CALL_DECISION_SUPPORT'!K857</f>
        <v>Track Only</v>
      </c>
      <c r="J581" s="14" t="s">
        <v>2716</v>
      </c>
      <c r="K581" s="9" t="str">
        <f>'DEF_CALL_DECISION_SUPPORT'!L857</f>
        <v>Track only; not enough sample.</v>
      </c>
      <c r="L581" s="8" t="s">
        <v>2713</v>
      </c>
    </row>
    <row r="582" spans="1:12" ht="48" customHeight="1">
      <c r="A582" s="8" t="s">
        <v>462</v>
      </c>
      <c r="B582" s="8" t="str">
        <f>'DEF_CALL_DECISION_SUPPORT'!B859</f>
        <v>TSUNAMI</v>
      </c>
      <c r="C582" s="12">
        <f>'DEF_CALL_DECISION_SUPPORT'!C859</f>
        <v>1</v>
      </c>
      <c r="D582" s="10">
        <f>'DEF_CALL_DECISION_SUPPORT'!D859</f>
        <v>1.0</v>
      </c>
      <c r="E582" s="10">
        <f>'DEF_CALL_DECISION_SUPPORT'!E859</f>
        <v>0.0</v>
      </c>
      <c r="F582" s="11">
        <f>'DEF_CALL_DECISION_SUPPORT'!F859</f>
        <v>0.0</v>
      </c>
      <c r="G582" s="11">
        <f>'DEF_CALL_DECISION_SUPPORT'!J859</f>
        <v>100.0</v>
      </c>
      <c r="H582" s="8" t="str">
        <f>'DEF_CALL_DECISION_SUPPORT'!I859</f>
        <v>TRACK</v>
      </c>
      <c r="I582" s="8" t="str">
        <f>'DEF_CALL_DECISION_SUPPORT'!K859</f>
        <v>Track Only</v>
      </c>
      <c r="J582" s="14" t="s">
        <v>2716</v>
      </c>
      <c r="K582" s="9" t="str">
        <f>'DEF_CALL_DECISION_SUPPORT'!L859</f>
        <v>Track only; not enough sample.</v>
      </c>
      <c r="L582" s="8" t="s">
        <v>2713</v>
      </c>
    </row>
    <row r="583" spans="1:12" ht="48" customHeight="1">
      <c r="A583" s="8" t="s">
        <v>464</v>
      </c>
      <c r="B583" s="8" t="str">
        <f>'DEF_CALL_DECISION_SUPPORT'!B862</f>
        <v>KNIFE</v>
      </c>
      <c r="C583" s="12">
        <f>'DEF_CALL_DECISION_SUPPORT'!C862</f>
        <v>1</v>
      </c>
      <c r="D583" s="10">
        <f>'DEF_CALL_DECISION_SUPPORT'!D862</f>
        <v>1.0</v>
      </c>
      <c r="E583" s="10">
        <f>'DEF_CALL_DECISION_SUPPORT'!E862</f>
        <v>0.0</v>
      </c>
      <c r="F583" s="11">
        <f>'DEF_CALL_DECISION_SUPPORT'!F862</f>
        <v>-1.0</v>
      </c>
      <c r="G583" s="11">
        <f>'DEF_CALL_DECISION_SUPPORT'!J862</f>
        <v>100.0</v>
      </c>
      <c r="H583" s="8" t="str">
        <f>'DEF_CALL_DECISION_SUPPORT'!I862</f>
        <v>TRACK</v>
      </c>
      <c r="I583" s="8" t="str">
        <f>'DEF_CALL_DECISION_SUPPORT'!K862</f>
        <v>Track Only</v>
      </c>
      <c r="J583" s="14" t="s">
        <v>2716</v>
      </c>
      <c r="K583" s="9" t="str">
        <f>'DEF_CALL_DECISION_SUPPORT'!L862</f>
        <v>Track only; not enough sample.</v>
      </c>
      <c r="L583" s="8" t="s">
        <v>2713</v>
      </c>
    </row>
    <row r="584" spans="1:12" ht="48" customHeight="1">
      <c r="A584" s="8" t="s">
        <v>467</v>
      </c>
      <c r="B584" s="8" t="str">
        <f>'DEF_CALL_DECISION_SUPPORT'!B869</f>
        <v>RAMBO</v>
      </c>
      <c r="C584" s="12">
        <f>'DEF_CALL_DECISION_SUPPORT'!C869</f>
        <v>1</v>
      </c>
      <c r="D584" s="10">
        <f>'DEF_CALL_DECISION_SUPPORT'!D869</f>
        <v>1.0</v>
      </c>
      <c r="E584" s="10">
        <f>'DEF_CALL_DECISION_SUPPORT'!E869</f>
        <v>0.0</v>
      </c>
      <c r="F584" s="11">
        <f>'DEF_CALL_DECISION_SUPPORT'!F869</f>
        <v>0.0</v>
      </c>
      <c r="G584" s="11">
        <f>'DEF_CALL_DECISION_SUPPORT'!J869</f>
        <v>100.0</v>
      </c>
      <c r="H584" s="8" t="str">
        <f>'DEF_CALL_DECISION_SUPPORT'!I869</f>
        <v>TRACK</v>
      </c>
      <c r="I584" s="8" t="str">
        <f>'DEF_CALL_DECISION_SUPPORT'!K869</f>
        <v>Track Only</v>
      </c>
      <c r="J584" s="14" t="s">
        <v>2716</v>
      </c>
      <c r="K584" s="9" t="str">
        <f>'DEF_CALL_DECISION_SUPPORT'!L869</f>
        <v>Track only; not enough sample.</v>
      </c>
      <c r="L584" s="8" t="s">
        <v>2713</v>
      </c>
    </row>
    <row r="585" spans="1:12" ht="48" customHeight="1">
      <c r="A585" s="8" t="s">
        <v>470</v>
      </c>
      <c r="B585" s="8" t="str">
        <f>'DEF_CALL_DECISION_SUPPORT'!B873</f>
        <v>KEY BOURBON</v>
      </c>
      <c r="C585" s="12">
        <f>'DEF_CALL_DECISION_SUPPORT'!C873</f>
        <v>1</v>
      </c>
      <c r="D585" s="10">
        <f>'DEF_CALL_DECISION_SUPPORT'!D873</f>
        <v>1.0</v>
      </c>
      <c r="E585" s="10">
        <f>'DEF_CALL_DECISION_SUPPORT'!E873</f>
        <v>0.0</v>
      </c>
      <c r="F585" s="11">
        <f>'DEF_CALL_DECISION_SUPPORT'!F873</f>
        <v>0.0</v>
      </c>
      <c r="G585" s="11">
        <f>'DEF_CALL_DECISION_SUPPORT'!J873</f>
        <v>100.0</v>
      </c>
      <c r="H585" s="8" t="str">
        <f>'DEF_CALL_DECISION_SUPPORT'!I873</f>
        <v>TRACK</v>
      </c>
      <c r="I585" s="8" t="str">
        <f>'DEF_CALL_DECISION_SUPPORT'!K873</f>
        <v>Track Only</v>
      </c>
      <c r="J585" s="14" t="s">
        <v>2716</v>
      </c>
      <c r="K585" s="9" t="str">
        <f>'DEF_CALL_DECISION_SUPPORT'!L873</f>
        <v>Track only; not enough sample.</v>
      </c>
      <c r="L585" s="8" t="s">
        <v>2713</v>
      </c>
    </row>
    <row r="586" spans="1:12" ht="48" customHeight="1">
      <c r="A586" s="8" t="s">
        <v>473</v>
      </c>
      <c r="B586" s="8" t="str">
        <f>'DEF_CALL_DECISION_SUPPORT'!B876</f>
        <v>BOURBON</v>
      </c>
      <c r="C586" s="12">
        <f>'DEF_CALL_DECISION_SUPPORT'!C876</f>
        <v>1</v>
      </c>
      <c r="D586" s="10">
        <f>'DEF_CALL_DECISION_SUPPORT'!D876</f>
        <v>1.0</v>
      </c>
      <c r="E586" s="10">
        <f>'DEF_CALL_DECISION_SUPPORT'!E876</f>
        <v>0.0</v>
      </c>
      <c r="F586" s="11">
        <f>'DEF_CALL_DECISION_SUPPORT'!F876</f>
        <v>0.0</v>
      </c>
      <c r="G586" s="11">
        <f>'DEF_CALL_DECISION_SUPPORT'!J876</f>
        <v>100.0</v>
      </c>
      <c r="H586" s="8" t="str">
        <f>'DEF_CALL_DECISION_SUPPORT'!I876</f>
        <v>TRACK</v>
      </c>
      <c r="I586" s="8" t="str">
        <f>'DEF_CALL_DECISION_SUPPORT'!K876</f>
        <v>Track Only</v>
      </c>
      <c r="J586" s="14" t="s">
        <v>2716</v>
      </c>
      <c r="K586" s="9" t="str">
        <f>'DEF_CALL_DECISION_SUPPORT'!L876</f>
        <v>Track only; not enough sample.</v>
      </c>
      <c r="L586" s="8" t="s">
        <v>2713</v>
      </c>
    </row>
    <row r="587" spans="1:12" ht="48" customHeight="1">
      <c r="A587" s="8" t="s">
        <v>479</v>
      </c>
      <c r="B587" s="8" t="str">
        <f>'DEF_CALL_DECISION_SUPPORT'!B879</f>
        <v>KEY BOURBON</v>
      </c>
      <c r="C587" s="12">
        <f>'DEF_CALL_DECISION_SUPPORT'!C879</f>
        <v>1</v>
      </c>
      <c r="D587" s="10">
        <f>'DEF_CALL_DECISION_SUPPORT'!D879</f>
        <v>1.0</v>
      </c>
      <c r="E587" s="10">
        <f>'DEF_CALL_DECISION_SUPPORT'!E879</f>
        <v>0.0</v>
      </c>
      <c r="F587" s="11">
        <f>'DEF_CALL_DECISION_SUPPORT'!F879</f>
        <v>0.0</v>
      </c>
      <c r="G587" s="11">
        <f>'DEF_CALL_DECISION_SUPPORT'!J879</f>
        <v>100.0</v>
      </c>
      <c r="H587" s="8" t="str">
        <f>'DEF_CALL_DECISION_SUPPORT'!I879</f>
        <v>TRACK</v>
      </c>
      <c r="I587" s="8" t="str">
        <f>'DEF_CALL_DECISION_SUPPORT'!K879</f>
        <v>Track Only</v>
      </c>
      <c r="J587" s="14" t="s">
        <v>2716</v>
      </c>
      <c r="K587" s="9" t="str">
        <f>'DEF_CALL_DECISION_SUPPORT'!L879</f>
        <v>Track only; not enough sample.</v>
      </c>
      <c r="L587" s="8" t="s">
        <v>2713</v>
      </c>
    </row>
    <row r="588" spans="1:12" ht="48" customHeight="1">
      <c r="A588" s="8" t="s">
        <v>491</v>
      </c>
      <c r="B588" s="8" t="str">
        <f>'DEF_CALL_DECISION_SUPPORT'!B886</f>
        <v>OX</v>
      </c>
      <c r="C588" s="12">
        <f>'DEF_CALL_DECISION_SUPPORT'!C886</f>
        <v>1</v>
      </c>
      <c r="D588" s="10">
        <f>'DEF_CALL_DECISION_SUPPORT'!D886</f>
        <v>1.0</v>
      </c>
      <c r="E588" s="10">
        <f>'DEF_CALL_DECISION_SUPPORT'!E886</f>
        <v>0.0</v>
      </c>
      <c r="F588" s="11">
        <f>'DEF_CALL_DECISION_SUPPORT'!F886</f>
        <v>-2.0</v>
      </c>
      <c r="G588" s="11">
        <f>'DEF_CALL_DECISION_SUPPORT'!J886</f>
        <v>100.0</v>
      </c>
      <c r="H588" s="8" t="str">
        <f>'DEF_CALL_DECISION_SUPPORT'!I886</f>
        <v>TRACK</v>
      </c>
      <c r="I588" s="8" t="str">
        <f>'DEF_CALL_DECISION_SUPPORT'!K886</f>
        <v>Track Only</v>
      </c>
      <c r="J588" s="14" t="s">
        <v>2716</v>
      </c>
      <c r="K588" s="9" t="str">
        <f>'DEF_CALL_DECISION_SUPPORT'!L886</f>
        <v>Track only; not enough sample.</v>
      </c>
      <c r="L588" s="8" t="s">
        <v>2713</v>
      </c>
    </row>
    <row r="589" spans="1:12" ht="48" customHeight="1">
      <c r="A589" s="8" t="s">
        <v>493</v>
      </c>
      <c r="B589" s="8" t="str">
        <f>'DEF_CALL_DECISION_SUPPORT'!B890</f>
        <v>CAPTAIN</v>
      </c>
      <c r="C589" s="12">
        <f>'DEF_CALL_DECISION_SUPPORT'!C890</f>
        <v>1</v>
      </c>
      <c r="D589" s="10">
        <f>'DEF_CALL_DECISION_SUPPORT'!D890</f>
        <v>1.0</v>
      </c>
      <c r="E589" s="10">
        <f>'DEF_CALL_DECISION_SUPPORT'!E890</f>
        <v>0.0</v>
      </c>
      <c r="F589" s="11">
        <f>'DEF_CALL_DECISION_SUPPORT'!F890</f>
        <v>0.0</v>
      </c>
      <c r="G589" s="11">
        <f>'DEF_CALL_DECISION_SUPPORT'!J890</f>
        <v>100.0</v>
      </c>
      <c r="H589" s="8" t="str">
        <f>'DEF_CALL_DECISION_SUPPORT'!I890</f>
        <v>TRACK</v>
      </c>
      <c r="I589" s="8" t="str">
        <f>'DEF_CALL_DECISION_SUPPORT'!K890</f>
        <v>Track Only</v>
      </c>
      <c r="J589" s="14" t="s">
        <v>2716</v>
      </c>
      <c r="K589" s="9" t="str">
        <f>'DEF_CALL_DECISION_SUPPORT'!L890</f>
        <v>Track only; not enough sample.</v>
      </c>
      <c r="L589" s="8" t="s">
        <v>2713</v>
      </c>
    </row>
    <row r="590" spans="1:12" ht="48" customHeight="1">
      <c r="A590" s="8" t="s">
        <v>493</v>
      </c>
      <c r="B590" s="8" t="str">
        <f>'DEF_CALL_DECISION_SUPPORT'!B892</f>
        <v>STICK OX</v>
      </c>
      <c r="C590" s="12">
        <f>'DEF_CALL_DECISION_SUPPORT'!C892</f>
        <v>1</v>
      </c>
      <c r="D590" s="10">
        <f>'DEF_CALL_DECISION_SUPPORT'!D892</f>
        <v>1.0</v>
      </c>
      <c r="E590" s="10">
        <f>'DEF_CALL_DECISION_SUPPORT'!E892</f>
        <v>0.0</v>
      </c>
      <c r="F590" s="11">
        <f>'DEF_CALL_DECISION_SUPPORT'!F892</f>
        <v>-8.0</v>
      </c>
      <c r="G590" s="11">
        <f>'DEF_CALL_DECISION_SUPPORT'!J892</f>
        <v>100.0</v>
      </c>
      <c r="H590" s="8" t="str">
        <f>'DEF_CALL_DECISION_SUPPORT'!I892</f>
        <v>TRACK</v>
      </c>
      <c r="I590" s="8" t="str">
        <f>'DEF_CALL_DECISION_SUPPORT'!K892</f>
        <v>Track Only</v>
      </c>
      <c r="J590" s="14" t="s">
        <v>2716</v>
      </c>
      <c r="K590" s="9" t="str">
        <f>'DEF_CALL_DECISION_SUPPORT'!L892</f>
        <v>Track only; not enough sample.</v>
      </c>
      <c r="L590" s="8" t="s">
        <v>2713</v>
      </c>
    </row>
    <row r="591" spans="1:12" ht="48" customHeight="1">
      <c r="A591" s="8" t="s">
        <v>497</v>
      </c>
      <c r="B591" s="8" t="str">
        <f>'DEF_CALL_DECISION_SUPPORT'!B895</f>
        <v>SHINE BUC</v>
      </c>
      <c r="C591" s="12">
        <f>'DEF_CALL_DECISION_SUPPORT'!C895</f>
        <v>1</v>
      </c>
      <c r="D591" s="10">
        <f>'DEF_CALL_DECISION_SUPPORT'!D895</f>
        <v>1.0</v>
      </c>
      <c r="E591" s="10">
        <f>'DEF_CALL_DECISION_SUPPORT'!E895</f>
        <v>0.0</v>
      </c>
      <c r="F591" s="11">
        <f>'DEF_CALL_DECISION_SUPPORT'!F895</f>
        <v>0.0</v>
      </c>
      <c r="G591" s="11">
        <f>'DEF_CALL_DECISION_SUPPORT'!J895</f>
        <v>100.0</v>
      </c>
      <c r="H591" s="8" t="str">
        <f>'DEF_CALL_DECISION_SUPPORT'!I895</f>
        <v>TRACK</v>
      </c>
      <c r="I591" s="8" t="str">
        <f>'DEF_CALL_DECISION_SUPPORT'!K895</f>
        <v>Track Only</v>
      </c>
      <c r="J591" s="14" t="s">
        <v>2716</v>
      </c>
      <c r="K591" s="9" t="str">
        <f>'DEF_CALL_DECISION_SUPPORT'!L895</f>
        <v>Track only; not enough sample.</v>
      </c>
      <c r="L591" s="8" t="s">
        <v>2713</v>
      </c>
    </row>
    <row r="592" spans="1:12" ht="48" customHeight="1">
      <c r="A592" s="8" t="s">
        <v>502</v>
      </c>
      <c r="B592" s="8" t="str">
        <f>'DEF_CALL_DECISION_SUPPORT'!B897</f>
        <v>CAPTAIN</v>
      </c>
      <c r="C592" s="12">
        <f>'DEF_CALL_DECISION_SUPPORT'!C897</f>
        <v>1</v>
      </c>
      <c r="D592" s="10">
        <f>'DEF_CALL_DECISION_SUPPORT'!D897</f>
        <v>1.0</v>
      </c>
      <c r="E592" s="10">
        <f>'DEF_CALL_DECISION_SUPPORT'!E897</f>
        <v>0.0</v>
      </c>
      <c r="F592" s="11">
        <f>'DEF_CALL_DECISION_SUPPORT'!F897</f>
        <v>-2.0</v>
      </c>
      <c r="G592" s="11">
        <f>'DEF_CALL_DECISION_SUPPORT'!J897</f>
        <v>100.0</v>
      </c>
      <c r="H592" s="8" t="str">
        <f>'DEF_CALL_DECISION_SUPPORT'!I897</f>
        <v>TRACK</v>
      </c>
      <c r="I592" s="8" t="str">
        <f>'DEF_CALL_DECISION_SUPPORT'!K897</f>
        <v>Track Only</v>
      </c>
      <c r="J592" s="14" t="s">
        <v>2716</v>
      </c>
      <c r="K592" s="9" t="str">
        <f>'DEF_CALL_DECISION_SUPPORT'!L897</f>
        <v>Track only; not enough sample.</v>
      </c>
      <c r="L592" s="8" t="s">
        <v>2713</v>
      </c>
    </row>
    <row r="593" spans="1:12" ht="48" customHeight="1">
      <c r="A593" s="8" t="s">
        <v>502</v>
      </c>
      <c r="B593" s="8" t="str">
        <f>'DEF_CALL_DECISION_SUPPORT'!B899</f>
        <v>MIX SHINE</v>
      </c>
      <c r="C593" s="12">
        <f>'DEF_CALL_DECISION_SUPPORT'!C899</f>
        <v>1</v>
      </c>
      <c r="D593" s="10">
        <f>'DEF_CALL_DECISION_SUPPORT'!D899</f>
        <v>1.0</v>
      </c>
      <c r="E593" s="10">
        <f>'DEF_CALL_DECISION_SUPPORT'!E899</f>
        <v>0.0</v>
      </c>
      <c r="F593" s="11">
        <f>'DEF_CALL_DECISION_SUPPORT'!F899</f>
        <v>0.0</v>
      </c>
      <c r="G593" s="11">
        <f>'DEF_CALL_DECISION_SUPPORT'!J899</f>
        <v>100.0</v>
      </c>
      <c r="H593" s="8" t="str">
        <f>'DEF_CALL_DECISION_SUPPORT'!I899</f>
        <v>TRACK</v>
      </c>
      <c r="I593" s="8" t="str">
        <f>'DEF_CALL_DECISION_SUPPORT'!K899</f>
        <v>Track Only</v>
      </c>
      <c r="J593" s="14" t="s">
        <v>2716</v>
      </c>
      <c r="K593" s="9" t="str">
        <f>'DEF_CALL_DECISION_SUPPORT'!L899</f>
        <v>Track only; not enough sample.</v>
      </c>
      <c r="L593" s="8" t="s">
        <v>2713</v>
      </c>
    </row>
    <row r="594" spans="1:12" ht="48" customHeight="1">
      <c r="A594" s="8" t="s">
        <v>512</v>
      </c>
      <c r="B594" s="8" t="str">
        <f>'DEF_CALL_DECISION_SUPPORT'!B906</f>
        <v>RAMBO</v>
      </c>
      <c r="C594" s="12">
        <f>'DEF_CALL_DECISION_SUPPORT'!C906</f>
        <v>1</v>
      </c>
      <c r="D594" s="10">
        <f>'DEF_CALL_DECISION_SUPPORT'!D906</f>
        <v>1.0</v>
      </c>
      <c r="E594" s="10">
        <f>'DEF_CALL_DECISION_SUPPORT'!E906</f>
        <v>0.0</v>
      </c>
      <c r="F594" s="11">
        <f>'DEF_CALL_DECISION_SUPPORT'!F906</f>
        <v>0.0</v>
      </c>
      <c r="G594" s="11">
        <f>'DEF_CALL_DECISION_SUPPORT'!J906</f>
        <v>100.0</v>
      </c>
      <c r="H594" s="8" t="str">
        <f>'DEF_CALL_DECISION_SUPPORT'!I906</f>
        <v>TRACK</v>
      </c>
      <c r="I594" s="8" t="str">
        <f>'DEF_CALL_DECISION_SUPPORT'!K906</f>
        <v>Track Only</v>
      </c>
      <c r="J594" s="14" t="s">
        <v>2716</v>
      </c>
      <c r="K594" s="9" t="str">
        <f>'DEF_CALL_DECISION_SUPPORT'!L906</f>
        <v>Track only; not enough sample.</v>
      </c>
      <c r="L594" s="8" t="s">
        <v>2713</v>
      </c>
    </row>
    <row r="595" spans="1:12" ht="48" customHeight="1">
      <c r="A595" s="8" t="s">
        <v>514</v>
      </c>
      <c r="B595" s="8" t="str">
        <f>'DEF_CALL_DECISION_SUPPORT'!B909</f>
        <v>HOUND KNIFE</v>
      </c>
      <c r="C595" s="12">
        <f>'DEF_CALL_DECISION_SUPPORT'!C909</f>
        <v>1</v>
      </c>
      <c r="D595" s="10">
        <f>'DEF_CALL_DECISION_SUPPORT'!D909</f>
        <v>1.0</v>
      </c>
      <c r="E595" s="10">
        <f>'DEF_CALL_DECISION_SUPPORT'!E909</f>
        <v>0.0</v>
      </c>
      <c r="F595" s="11">
        <f>'DEF_CALL_DECISION_SUPPORT'!F909</f>
        <v>-1.0</v>
      </c>
      <c r="G595" s="11">
        <f>'DEF_CALL_DECISION_SUPPORT'!J909</f>
        <v>100.0</v>
      </c>
      <c r="H595" s="8" t="str">
        <f>'DEF_CALL_DECISION_SUPPORT'!I909</f>
        <v>TRACK</v>
      </c>
      <c r="I595" s="8" t="str">
        <f>'DEF_CALL_DECISION_SUPPORT'!K909</f>
        <v>Track Only</v>
      </c>
      <c r="J595" s="14" t="s">
        <v>2716</v>
      </c>
      <c r="K595" s="9" t="str">
        <f>'DEF_CALL_DECISION_SUPPORT'!L909</f>
        <v>Track only; not enough sample.</v>
      </c>
      <c r="L595" s="8" t="s">
        <v>2713</v>
      </c>
    </row>
    <row r="596" spans="1:12" ht="48" customHeight="1">
      <c r="A596" s="8" t="s">
        <v>514</v>
      </c>
      <c r="B596" s="8" t="str">
        <f>'DEF_CALL_DECISION_SUPPORT'!B910</f>
        <v>KEY CAPTAIN</v>
      </c>
      <c r="C596" s="12">
        <f>'DEF_CALL_DECISION_SUPPORT'!C910</f>
        <v>1</v>
      </c>
      <c r="D596" s="10">
        <f>'DEF_CALL_DECISION_SUPPORT'!D910</f>
        <v>1.0</v>
      </c>
      <c r="E596" s="10">
        <f>'DEF_CALL_DECISION_SUPPORT'!E910</f>
        <v>0.0</v>
      </c>
      <c r="F596" s="11">
        <f>'DEF_CALL_DECISION_SUPPORT'!F910</f>
        <v>0.0</v>
      </c>
      <c r="G596" s="11">
        <f>'DEF_CALL_DECISION_SUPPORT'!J910</f>
        <v>100.0</v>
      </c>
      <c r="H596" s="8" t="str">
        <f>'DEF_CALL_DECISION_SUPPORT'!I910</f>
        <v>TRACK</v>
      </c>
      <c r="I596" s="8" t="str">
        <f>'DEF_CALL_DECISION_SUPPORT'!K910</f>
        <v>Track Only</v>
      </c>
      <c r="J596" s="14" t="s">
        <v>2716</v>
      </c>
      <c r="K596" s="9" t="str">
        <f>'DEF_CALL_DECISION_SUPPORT'!L910</f>
        <v>Track only; not enough sample.</v>
      </c>
      <c r="L596" s="8" t="s">
        <v>2713</v>
      </c>
    </row>
    <row r="597" spans="1:12" ht="48" customHeight="1">
      <c r="A597" s="8" t="s">
        <v>520</v>
      </c>
      <c r="B597" s="8" t="str">
        <f>'DEF_CALL_DECISION_SUPPORT'!B918</f>
        <v>9 DICE</v>
      </c>
      <c r="C597" s="12">
        <f>'DEF_CALL_DECISION_SUPPORT'!C918</f>
        <v>1</v>
      </c>
      <c r="D597" s="10">
        <f>'DEF_CALL_DECISION_SUPPORT'!D918</f>
        <v>1.0</v>
      </c>
      <c r="E597" s="10">
        <f>'DEF_CALL_DECISION_SUPPORT'!E918</f>
        <v>0.0</v>
      </c>
      <c r="F597" s="11">
        <f>'DEF_CALL_DECISION_SUPPORT'!F918</f>
        <v>0.0</v>
      </c>
      <c r="G597" s="11">
        <f>'DEF_CALL_DECISION_SUPPORT'!J918</f>
        <v>100.0</v>
      </c>
      <c r="H597" s="8" t="str">
        <f>'DEF_CALL_DECISION_SUPPORT'!I918</f>
        <v>TRACK</v>
      </c>
      <c r="I597" s="8" t="str">
        <f>'DEF_CALL_DECISION_SUPPORT'!K918</f>
        <v>Track Only</v>
      </c>
      <c r="J597" s="14" t="s">
        <v>2716</v>
      </c>
      <c r="K597" s="9" t="str">
        <f>'DEF_CALL_DECISION_SUPPORT'!L918</f>
        <v>Track only; not enough sample.</v>
      </c>
      <c r="L597" s="8" t="s">
        <v>2713</v>
      </c>
    </row>
    <row r="598" spans="1:12" ht="48" customHeight="1">
      <c r="A598" s="8" t="s">
        <v>522</v>
      </c>
      <c r="B598" s="8" t="str">
        <f>'DEF_CALL_DECISION_SUPPORT'!B924</f>
        <v>EAGLE</v>
      </c>
      <c r="C598" s="12">
        <f>'DEF_CALL_DECISION_SUPPORT'!C924</f>
        <v>1</v>
      </c>
      <c r="D598" s="10">
        <f>'DEF_CALL_DECISION_SUPPORT'!D924</f>
        <v>1.0</v>
      </c>
      <c r="E598" s="10">
        <f>'DEF_CALL_DECISION_SUPPORT'!E924</f>
        <v>0.0</v>
      </c>
      <c r="F598" s="11">
        <f>'DEF_CALL_DECISION_SUPPORT'!F924</f>
        <v>-8.0</v>
      </c>
      <c r="G598" s="11">
        <f>'DEF_CALL_DECISION_SUPPORT'!J924</f>
        <v>100.0</v>
      </c>
      <c r="H598" s="8" t="str">
        <f>'DEF_CALL_DECISION_SUPPORT'!I924</f>
        <v>TRACK</v>
      </c>
      <c r="I598" s="8" t="str">
        <f>'DEF_CALL_DECISION_SUPPORT'!K924</f>
        <v>Track Only</v>
      </c>
      <c r="J598" s="14" t="s">
        <v>2716</v>
      </c>
      <c r="K598" s="9" t="str">
        <f>'DEF_CALL_DECISION_SUPPORT'!L924</f>
        <v>Track only; not enough sample.</v>
      </c>
      <c r="L598" s="8" t="s">
        <v>2713</v>
      </c>
    </row>
    <row r="599" spans="1:12" ht="48" customHeight="1">
      <c r="A599" s="8" t="s">
        <v>524</v>
      </c>
      <c r="B599" s="8" t="str">
        <f>'DEF_CALL_DECISION_SUPPORT'!B926</f>
        <v>BOURBON</v>
      </c>
      <c r="C599" s="12">
        <f>'DEF_CALL_DECISION_SUPPORT'!C926</f>
        <v>1</v>
      </c>
      <c r="D599" s="10">
        <f>'DEF_CALL_DECISION_SUPPORT'!D926</f>
        <v>1.0</v>
      </c>
      <c r="E599" s="10">
        <f>'DEF_CALL_DECISION_SUPPORT'!E926</f>
        <v>0.0</v>
      </c>
      <c r="F599" s="11">
        <f>'DEF_CALL_DECISION_SUPPORT'!F926</f>
        <v>0.0</v>
      </c>
      <c r="G599" s="11">
        <f>'DEF_CALL_DECISION_SUPPORT'!J926</f>
        <v>100.0</v>
      </c>
      <c r="H599" s="8" t="str">
        <f>'DEF_CALL_DECISION_SUPPORT'!I926</f>
        <v>TRACK</v>
      </c>
      <c r="I599" s="8" t="str">
        <f>'DEF_CALL_DECISION_SUPPORT'!K926</f>
        <v>Track Only</v>
      </c>
      <c r="J599" s="14" t="s">
        <v>2716</v>
      </c>
      <c r="K599" s="9" t="str">
        <f>'DEF_CALL_DECISION_SUPPORT'!L926</f>
        <v>Track only; not enough sample.</v>
      </c>
      <c r="L599" s="8" t="s">
        <v>2713</v>
      </c>
    </row>
    <row r="600" spans="1:12" ht="48" customHeight="1">
      <c r="A600" s="8" t="s">
        <v>524</v>
      </c>
      <c r="B600" s="8" t="str">
        <f>'DEF_CALL_DECISION_SUPPORT'!B927</f>
        <v>TEX</v>
      </c>
      <c r="C600" s="12">
        <f>'DEF_CALL_DECISION_SUPPORT'!C927</f>
        <v>1</v>
      </c>
      <c r="D600" s="10">
        <f>'DEF_CALL_DECISION_SUPPORT'!D927</f>
        <v>1.0</v>
      </c>
      <c r="E600" s="10">
        <f>'DEF_CALL_DECISION_SUPPORT'!E927</f>
        <v>0.0</v>
      </c>
      <c r="F600" s="11">
        <f>'DEF_CALL_DECISION_SUPPORT'!F927</f>
        <v>0.0</v>
      </c>
      <c r="G600" s="11">
        <f>'DEF_CALL_DECISION_SUPPORT'!J927</f>
        <v>100.0</v>
      </c>
      <c r="H600" s="8" t="str">
        <f>'DEF_CALL_DECISION_SUPPORT'!I927</f>
        <v>TRACK</v>
      </c>
      <c r="I600" s="8" t="str">
        <f>'DEF_CALL_DECISION_SUPPORT'!K927</f>
        <v>Track Only</v>
      </c>
      <c r="J600" s="14" t="s">
        <v>2716</v>
      </c>
      <c r="K600" s="9" t="str">
        <f>'DEF_CALL_DECISION_SUPPORT'!L927</f>
        <v>Track only; not enough sample.</v>
      </c>
      <c r="L600" s="8" t="s">
        <v>2713</v>
      </c>
    </row>
    <row r="601" spans="1:12" ht="48" customHeight="1">
      <c r="A601" s="8" t="s">
        <v>528</v>
      </c>
      <c r="B601" s="8" t="str">
        <f>'DEF_CALL_DECISION_SUPPORT'!B929</f>
        <v>FALCON</v>
      </c>
      <c r="C601" s="12">
        <f>'DEF_CALL_DECISION_SUPPORT'!C929</f>
        <v>1</v>
      </c>
      <c r="D601" s="10">
        <f>'DEF_CALL_DECISION_SUPPORT'!D929</f>
        <v>1.0</v>
      </c>
      <c r="E601" s="10">
        <f>'DEF_CALL_DECISION_SUPPORT'!E929</f>
        <v>0.0</v>
      </c>
      <c r="F601" s="11">
        <f>'DEF_CALL_DECISION_SUPPORT'!F929</f>
        <v>0.0</v>
      </c>
      <c r="G601" s="11">
        <f>'DEF_CALL_DECISION_SUPPORT'!J929</f>
        <v>100.0</v>
      </c>
      <c r="H601" s="8" t="str">
        <f>'DEF_CALL_DECISION_SUPPORT'!I929</f>
        <v>TRACK</v>
      </c>
      <c r="I601" s="8" t="str">
        <f>'DEF_CALL_DECISION_SUPPORT'!K929</f>
        <v>Track Only</v>
      </c>
      <c r="J601" s="14" t="s">
        <v>2716</v>
      </c>
      <c r="K601" s="9" t="str">
        <f>'DEF_CALL_DECISION_SUPPORT'!L929</f>
        <v>Track only; not enough sample.</v>
      </c>
      <c r="L601" s="8" t="s">
        <v>2713</v>
      </c>
    </row>
    <row r="602" spans="1:12" ht="48" customHeight="1">
      <c r="A602" s="8" t="s">
        <v>528</v>
      </c>
      <c r="B602" s="8" t="str">
        <f>'DEF_CALL_DECISION_SUPPORT'!B930</f>
        <v>FLOOD</v>
      </c>
      <c r="C602" s="12">
        <f>'DEF_CALL_DECISION_SUPPORT'!C930</f>
        <v>1</v>
      </c>
      <c r="D602" s="10">
        <f>'DEF_CALL_DECISION_SUPPORT'!D930</f>
        <v>1.0</v>
      </c>
      <c r="E602" s="10">
        <f>'DEF_CALL_DECISION_SUPPORT'!E930</f>
        <v>0.0</v>
      </c>
      <c r="F602" s="11">
        <f>'DEF_CALL_DECISION_SUPPORT'!F930</f>
        <v>0.0</v>
      </c>
      <c r="G602" s="11">
        <f>'DEF_CALL_DECISION_SUPPORT'!J930</f>
        <v>100.0</v>
      </c>
      <c r="H602" s="8" t="str">
        <f>'DEF_CALL_DECISION_SUPPORT'!I930</f>
        <v>TRACK</v>
      </c>
      <c r="I602" s="8" t="str">
        <f>'DEF_CALL_DECISION_SUPPORT'!K930</f>
        <v>Track Only</v>
      </c>
      <c r="J602" s="14" t="s">
        <v>2716</v>
      </c>
      <c r="K602" s="9" t="str">
        <f>'DEF_CALL_DECISION_SUPPORT'!L930</f>
        <v>Track only; not enough sample.</v>
      </c>
      <c r="L602" s="8" t="s">
        <v>2713</v>
      </c>
    </row>
    <row r="603" spans="1:12" ht="48" customHeight="1">
      <c r="A603" s="8" t="s">
        <v>528</v>
      </c>
      <c r="B603" s="8" t="str">
        <f>'DEF_CALL_DECISION_SUPPORT'!B931</f>
        <v>SMOKE FLOOD</v>
      </c>
      <c r="C603" s="12">
        <f>'DEF_CALL_DECISION_SUPPORT'!C931</f>
        <v>1</v>
      </c>
      <c r="D603" s="10">
        <f>'DEF_CALL_DECISION_SUPPORT'!D931</f>
        <v>1.0</v>
      </c>
      <c r="E603" s="10">
        <f>'DEF_CALL_DECISION_SUPPORT'!E931</f>
        <v>0.0</v>
      </c>
      <c r="F603" s="11">
        <f>'DEF_CALL_DECISION_SUPPORT'!F931</f>
        <v>0.0</v>
      </c>
      <c r="G603" s="11">
        <f>'DEF_CALL_DECISION_SUPPORT'!J931</f>
        <v>100.0</v>
      </c>
      <c r="H603" s="8" t="str">
        <f>'DEF_CALL_DECISION_SUPPORT'!I931</f>
        <v>TRACK</v>
      </c>
      <c r="I603" s="8" t="str">
        <f>'DEF_CALL_DECISION_SUPPORT'!K931</f>
        <v>Track Only</v>
      </c>
      <c r="J603" s="14" t="s">
        <v>2716</v>
      </c>
      <c r="K603" s="9" t="str">
        <f>'DEF_CALL_DECISION_SUPPORT'!L931</f>
        <v>Track only; not enough sample.</v>
      </c>
      <c r="L603" s="8" t="s">
        <v>2713</v>
      </c>
    </row>
    <row r="604" spans="1:12" ht="48" customHeight="1">
      <c r="A604" s="8" t="s">
        <v>530</v>
      </c>
      <c r="B604" s="8" t="str">
        <f>'DEF_CALL_DECISION_SUPPORT'!B932</f>
        <v>9 DICE</v>
      </c>
      <c r="C604" s="12">
        <f>'DEF_CALL_DECISION_SUPPORT'!C932</f>
        <v>1</v>
      </c>
      <c r="D604" s="10">
        <f>'DEF_CALL_DECISION_SUPPORT'!D932</f>
        <v>1.0</v>
      </c>
      <c r="E604" s="10">
        <f>'DEF_CALL_DECISION_SUPPORT'!E932</f>
        <v>0.0</v>
      </c>
      <c r="F604" s="11">
        <f>'DEF_CALL_DECISION_SUPPORT'!F932</f>
        <v>0.0</v>
      </c>
      <c r="G604" s="11">
        <f>'DEF_CALL_DECISION_SUPPORT'!J932</f>
        <v>100.0</v>
      </c>
      <c r="H604" s="8" t="str">
        <f>'DEF_CALL_DECISION_SUPPORT'!I932</f>
        <v>TRACK</v>
      </c>
      <c r="I604" s="8" t="str">
        <f>'DEF_CALL_DECISION_SUPPORT'!K932</f>
        <v>Track Only</v>
      </c>
      <c r="J604" s="14" t="s">
        <v>2716</v>
      </c>
      <c r="K604" s="9" t="str">
        <f>'DEF_CALL_DECISION_SUPPORT'!L932</f>
        <v>Track only; not enough sample.</v>
      </c>
      <c r="L604" s="8" t="s">
        <v>2713</v>
      </c>
    </row>
    <row r="605" spans="1:12" ht="48" customHeight="1">
      <c r="A605" s="8" t="s">
        <v>530</v>
      </c>
      <c r="B605" s="8" t="str">
        <f>'DEF_CALL_DECISION_SUPPORT'!B934</f>
        <v>EAGLE</v>
      </c>
      <c r="C605" s="12">
        <f>'DEF_CALL_DECISION_SUPPORT'!C934</f>
        <v>1</v>
      </c>
      <c r="D605" s="10">
        <f>'DEF_CALL_DECISION_SUPPORT'!D934</f>
        <v>1.0</v>
      </c>
      <c r="E605" s="10">
        <f>'DEF_CALL_DECISION_SUPPORT'!E934</f>
        <v>0.0</v>
      </c>
      <c r="F605" s="11">
        <f>'DEF_CALL_DECISION_SUPPORT'!F934</f>
        <v>0.0</v>
      </c>
      <c r="G605" s="11">
        <f>'DEF_CALL_DECISION_SUPPORT'!J934</f>
        <v>100.0</v>
      </c>
      <c r="H605" s="8" t="str">
        <f>'DEF_CALL_DECISION_SUPPORT'!I934</f>
        <v>TRACK</v>
      </c>
      <c r="I605" s="8" t="str">
        <f>'DEF_CALL_DECISION_SUPPORT'!K934</f>
        <v>Track Only</v>
      </c>
      <c r="J605" s="14" t="s">
        <v>2716</v>
      </c>
      <c r="K605" s="9" t="str">
        <f>'DEF_CALL_DECISION_SUPPORT'!L934</f>
        <v>Track only; not enough sample.</v>
      </c>
      <c r="L605" s="8" t="s">
        <v>2713</v>
      </c>
    </row>
    <row r="606" spans="1:12" ht="48" customHeight="1">
      <c r="A606" s="8" t="s">
        <v>534</v>
      </c>
      <c r="B606" s="8" t="str">
        <f>'DEF_CALL_DECISION_SUPPORT'!B949</f>
        <v>TSUNAMI</v>
      </c>
      <c r="C606" s="12">
        <f>'DEF_CALL_DECISION_SUPPORT'!C949</f>
        <v>1</v>
      </c>
      <c r="D606" s="10">
        <f>'DEF_CALL_DECISION_SUPPORT'!D949</f>
        <v>1.0</v>
      </c>
      <c r="E606" s="10">
        <f>'DEF_CALL_DECISION_SUPPORT'!E949</f>
        <v>0.0</v>
      </c>
      <c r="F606" s="11">
        <f>'DEF_CALL_DECISION_SUPPORT'!F949</f>
        <v>0.0</v>
      </c>
      <c r="G606" s="11">
        <f>'DEF_CALL_DECISION_SUPPORT'!J949</f>
        <v>100.0</v>
      </c>
      <c r="H606" s="8" t="str">
        <f>'DEF_CALL_DECISION_SUPPORT'!I949</f>
        <v>TRACK</v>
      </c>
      <c r="I606" s="8" t="str">
        <f>'DEF_CALL_DECISION_SUPPORT'!K949</f>
        <v>Track Only</v>
      </c>
      <c r="J606" s="14" t="s">
        <v>2716</v>
      </c>
      <c r="K606" s="9" t="str">
        <f>'DEF_CALL_DECISION_SUPPORT'!L949</f>
        <v>Track only; not enough sample.</v>
      </c>
      <c r="L606" s="8" t="s">
        <v>2713</v>
      </c>
    </row>
    <row r="607" spans="1:12" ht="48" customHeight="1">
      <c r="A607" s="8" t="s">
        <v>538</v>
      </c>
      <c r="B607" s="8" t="str">
        <f>'DEF_CALL_DECISION_SUPPORT'!B957</f>
        <v>REBEL</v>
      </c>
      <c r="C607" s="12">
        <f>'DEF_CALL_DECISION_SUPPORT'!C957</f>
        <v>1</v>
      </c>
      <c r="D607" s="10">
        <f>'DEF_CALL_DECISION_SUPPORT'!D957</f>
        <v>1.0</v>
      </c>
      <c r="E607" s="10">
        <f>'DEF_CALL_DECISION_SUPPORT'!E957</f>
        <v>0.0</v>
      </c>
      <c r="F607" s="11">
        <f>'DEF_CALL_DECISION_SUPPORT'!F957</f>
        <v>0.0</v>
      </c>
      <c r="G607" s="11">
        <f>'DEF_CALL_DECISION_SUPPORT'!J957</f>
        <v>100.0</v>
      </c>
      <c r="H607" s="8" t="str">
        <f>'DEF_CALL_DECISION_SUPPORT'!I957</f>
        <v>TRACK</v>
      </c>
      <c r="I607" s="8" t="str">
        <f>'DEF_CALL_DECISION_SUPPORT'!K957</f>
        <v>Track Only</v>
      </c>
      <c r="J607" s="14" t="s">
        <v>2716</v>
      </c>
      <c r="K607" s="9" t="str">
        <f>'DEF_CALL_DECISION_SUPPORT'!L957</f>
        <v>Track only; not enough sample.</v>
      </c>
      <c r="L607" s="8" t="s">
        <v>2713</v>
      </c>
    </row>
    <row r="608" spans="1:12" ht="48" customHeight="1">
      <c r="A608" s="8" t="s">
        <v>540</v>
      </c>
      <c r="B608" s="8" t="str">
        <f>'DEF_CALL_DECISION_SUPPORT'!B958</f>
        <v>REBEL</v>
      </c>
      <c r="C608" s="12">
        <f>'DEF_CALL_DECISION_SUPPORT'!C958</f>
        <v>1</v>
      </c>
      <c r="D608" s="10">
        <f>'DEF_CALL_DECISION_SUPPORT'!D958</f>
        <v>1.0</v>
      </c>
      <c r="E608" s="10">
        <f>'DEF_CALL_DECISION_SUPPORT'!E958</f>
        <v>0.0</v>
      </c>
      <c r="F608" s="11">
        <f>'DEF_CALL_DECISION_SUPPORT'!F958</f>
        <v>0.0</v>
      </c>
      <c r="G608" s="11">
        <f>'DEF_CALL_DECISION_SUPPORT'!J958</f>
        <v>100.0</v>
      </c>
      <c r="H608" s="8" t="str">
        <f>'DEF_CALL_DECISION_SUPPORT'!I958</f>
        <v>TRACK</v>
      </c>
      <c r="I608" s="8" t="str">
        <f>'DEF_CALL_DECISION_SUPPORT'!K958</f>
        <v>Track Only</v>
      </c>
      <c r="J608" s="14" t="s">
        <v>2716</v>
      </c>
      <c r="K608" s="9" t="str">
        <f>'DEF_CALL_DECISION_SUPPORT'!L958</f>
        <v>Track only; not enough sample.</v>
      </c>
      <c r="L608" s="8" t="s">
        <v>2713</v>
      </c>
    </row>
    <row r="609" spans="1:12" ht="48" customHeight="1">
      <c r="A609" s="8" t="s">
        <v>543</v>
      </c>
      <c r="B609" s="8" t="str">
        <f>'DEF_CALL_DECISION_SUPPORT'!B960</f>
        <v>HOUND KNIFE</v>
      </c>
      <c r="C609" s="12">
        <f>'DEF_CALL_DECISION_SUPPORT'!C960</f>
        <v>1</v>
      </c>
      <c r="D609" s="10">
        <f>'DEF_CALL_DECISION_SUPPORT'!D960</f>
        <v>1.0</v>
      </c>
      <c r="E609" s="10">
        <f>'DEF_CALL_DECISION_SUPPORT'!E960</f>
        <v>0.0</v>
      </c>
      <c r="F609" s="11">
        <f>'DEF_CALL_DECISION_SUPPORT'!F960</f>
        <v>0.0</v>
      </c>
      <c r="G609" s="11">
        <f>'DEF_CALL_DECISION_SUPPORT'!J960</f>
        <v>100.0</v>
      </c>
      <c r="H609" s="8" t="str">
        <f>'DEF_CALL_DECISION_SUPPORT'!I960</f>
        <v>TRACK</v>
      </c>
      <c r="I609" s="8" t="str">
        <f>'DEF_CALL_DECISION_SUPPORT'!K960</f>
        <v>Track Only</v>
      </c>
      <c r="J609" s="14" t="s">
        <v>2716</v>
      </c>
      <c r="K609" s="9" t="str">
        <f>'DEF_CALL_DECISION_SUPPORT'!L960</f>
        <v>Track only; not enough sample.</v>
      </c>
      <c r="L609" s="8" t="s">
        <v>2713</v>
      </c>
    </row>
    <row r="610" spans="1:12" ht="48" customHeight="1">
      <c r="A610" s="8" t="s">
        <v>547</v>
      </c>
      <c r="B610" s="8" t="str">
        <f>'DEF_CALL_DECISION_SUPPORT'!B964</f>
        <v>$ BANJO POP POP</v>
      </c>
      <c r="C610" s="12">
        <f>'DEF_CALL_DECISION_SUPPORT'!C964</f>
        <v>1</v>
      </c>
      <c r="D610" s="10">
        <f>'DEF_CALL_DECISION_SUPPORT'!D964</f>
        <v>1.0</v>
      </c>
      <c r="E610" s="10">
        <f>'DEF_CALL_DECISION_SUPPORT'!E964</f>
        <v>0.0</v>
      </c>
      <c r="F610" s="11">
        <f>'DEF_CALL_DECISION_SUPPORT'!F964</f>
        <v>0.0</v>
      </c>
      <c r="G610" s="11">
        <f>'DEF_CALL_DECISION_SUPPORT'!J964</f>
        <v>100.0</v>
      </c>
      <c r="H610" s="8" t="str">
        <f>'DEF_CALL_DECISION_SUPPORT'!I964</f>
        <v>TRACK</v>
      </c>
      <c r="I610" s="8" t="str">
        <f>'DEF_CALL_DECISION_SUPPORT'!K964</f>
        <v>Track Only</v>
      </c>
      <c r="J610" s="14" t="s">
        <v>2716</v>
      </c>
      <c r="K610" s="9" t="str">
        <f>'DEF_CALL_DECISION_SUPPORT'!L964</f>
        <v>Track only; not enough sample.</v>
      </c>
      <c r="L610" s="8" t="s">
        <v>2713</v>
      </c>
    </row>
    <row r="611" spans="1:12" ht="48" customHeight="1">
      <c r="A611" s="8" t="s">
        <v>557</v>
      </c>
      <c r="B611" s="8" t="str">
        <f>'DEF_CALL_DECISION_SUPPORT'!B974</f>
        <v>PIT FALCON</v>
      </c>
      <c r="C611" s="12">
        <f>'DEF_CALL_DECISION_SUPPORT'!C974</f>
        <v>1</v>
      </c>
      <c r="D611" s="10">
        <f>'DEF_CALL_DECISION_SUPPORT'!D974</f>
        <v>1.0</v>
      </c>
      <c r="E611" s="10">
        <f>'DEF_CALL_DECISION_SUPPORT'!E974</f>
        <v>0.0</v>
      </c>
      <c r="F611" s="11">
        <f>'DEF_CALL_DECISION_SUPPORT'!F974</f>
        <v>0.0</v>
      </c>
      <c r="G611" s="11">
        <f>'DEF_CALL_DECISION_SUPPORT'!J974</f>
        <v>100.0</v>
      </c>
      <c r="H611" s="8" t="str">
        <f>'DEF_CALL_DECISION_SUPPORT'!I974</f>
        <v>TRACK</v>
      </c>
      <c r="I611" s="8" t="str">
        <f>'DEF_CALL_DECISION_SUPPORT'!K974</f>
        <v>Track Only</v>
      </c>
      <c r="J611" s="14" t="s">
        <v>2716</v>
      </c>
      <c r="K611" s="9" t="str">
        <f>'DEF_CALL_DECISION_SUPPORT'!L974</f>
        <v>Track only; not enough sample.</v>
      </c>
      <c r="L611" s="8" t="s">
        <v>2713</v>
      </c>
    </row>
    <row r="612" spans="1:12" ht="48" customHeight="1">
      <c r="A612" s="8" t="s">
        <v>557</v>
      </c>
      <c r="B612" s="8" t="str">
        <f>'DEF_CALL_DECISION_SUPPORT'!B976</f>
        <v>STICK GAMES</v>
      </c>
      <c r="C612" s="12">
        <f>'DEF_CALL_DECISION_SUPPORT'!C976</f>
        <v>1</v>
      </c>
      <c r="D612" s="10">
        <f>'DEF_CALL_DECISION_SUPPORT'!D976</f>
        <v>1.0</v>
      </c>
      <c r="E612" s="10">
        <f>'DEF_CALL_DECISION_SUPPORT'!E976</f>
        <v>0.0</v>
      </c>
      <c r="F612" s="11">
        <f>'DEF_CALL_DECISION_SUPPORT'!F976</f>
        <v>-5.0</v>
      </c>
      <c r="G612" s="11">
        <f>'DEF_CALL_DECISION_SUPPORT'!J976</f>
        <v>100.0</v>
      </c>
      <c r="H612" s="8" t="str">
        <f>'DEF_CALL_DECISION_SUPPORT'!I976</f>
        <v>TRACK</v>
      </c>
      <c r="I612" s="8" t="str">
        <f>'DEF_CALL_DECISION_SUPPORT'!K976</f>
        <v>Track Only</v>
      </c>
      <c r="J612" s="14" t="s">
        <v>2716</v>
      </c>
      <c r="K612" s="9" t="str">
        <f>'DEF_CALL_DECISION_SUPPORT'!L976</f>
        <v>Track only; not enough sample.</v>
      </c>
      <c r="L612" s="8" t="s">
        <v>2713</v>
      </c>
    </row>
    <row r="613" spans="1:12" ht="48" customHeight="1">
      <c r="A613" s="8" t="s">
        <v>565</v>
      </c>
      <c r="B613" s="8" t="str">
        <f>'DEF_CALL_DECISION_SUPPORT'!B979</f>
        <v>REBEL</v>
      </c>
      <c r="C613" s="12">
        <f>'DEF_CALL_DECISION_SUPPORT'!C979</f>
        <v>1</v>
      </c>
      <c r="D613" s="10">
        <f>'DEF_CALL_DECISION_SUPPORT'!D979</f>
        <v>1.0</v>
      </c>
      <c r="E613" s="10">
        <f>'DEF_CALL_DECISION_SUPPORT'!E979</f>
        <v>0.0</v>
      </c>
      <c r="F613" s="11">
        <f>'DEF_CALL_DECISION_SUPPORT'!F979</f>
        <v>0.0</v>
      </c>
      <c r="G613" s="11">
        <f>'DEF_CALL_DECISION_SUPPORT'!J979</f>
        <v>100.0</v>
      </c>
      <c r="H613" s="8" t="str">
        <f>'DEF_CALL_DECISION_SUPPORT'!I979</f>
        <v>TRACK</v>
      </c>
      <c r="I613" s="8" t="str">
        <f>'DEF_CALL_DECISION_SUPPORT'!K979</f>
        <v>Track Only</v>
      </c>
      <c r="J613" s="14" t="s">
        <v>2716</v>
      </c>
      <c r="K613" s="9" t="str">
        <f>'DEF_CALL_DECISION_SUPPORT'!L979</f>
        <v>Track only; not enough sample.</v>
      </c>
      <c r="L613" s="8" t="s">
        <v>2713</v>
      </c>
    </row>
    <row r="614" spans="1:12" ht="48" customHeight="1">
      <c r="A614" s="8" t="s">
        <v>567</v>
      </c>
      <c r="B614" s="8" t="str">
        <f>'DEF_CALL_DECISION_SUPPORT'!B981</f>
        <v>9 DICE</v>
      </c>
      <c r="C614" s="12">
        <f>'DEF_CALL_DECISION_SUPPORT'!C981</f>
        <v>1</v>
      </c>
      <c r="D614" s="10">
        <f>'DEF_CALL_DECISION_SUPPORT'!D981</f>
        <v>1.0</v>
      </c>
      <c r="E614" s="10">
        <f>'DEF_CALL_DECISION_SUPPORT'!E981</f>
        <v>0.0</v>
      </c>
      <c r="F614" s="11">
        <f>'DEF_CALL_DECISION_SUPPORT'!F981</f>
        <v>0.0</v>
      </c>
      <c r="G614" s="11">
        <f>'DEF_CALL_DECISION_SUPPORT'!J981</f>
        <v>100.0</v>
      </c>
      <c r="H614" s="8" t="str">
        <f>'DEF_CALL_DECISION_SUPPORT'!I981</f>
        <v>TRACK</v>
      </c>
      <c r="I614" s="8" t="str">
        <f>'DEF_CALL_DECISION_SUPPORT'!K981</f>
        <v>Track Only</v>
      </c>
      <c r="J614" s="14" t="s">
        <v>2716</v>
      </c>
      <c r="K614" s="9" t="str">
        <f>'DEF_CALL_DECISION_SUPPORT'!L981</f>
        <v>Track only; not enough sample.</v>
      </c>
      <c r="L614" s="8" t="s">
        <v>2713</v>
      </c>
    </row>
    <row r="615" spans="1:12" ht="48" customHeight="1">
      <c r="A615" s="8" t="s">
        <v>567</v>
      </c>
      <c r="B615" s="8" t="str">
        <f>'DEF_CALL_DECISION_SUPPORT'!B987</f>
        <v>POP POP</v>
      </c>
      <c r="C615" s="12">
        <f>'DEF_CALL_DECISION_SUPPORT'!C987</f>
        <v>1</v>
      </c>
      <c r="D615" s="10">
        <f>'DEF_CALL_DECISION_SUPPORT'!D987</f>
        <v>1.0</v>
      </c>
      <c r="E615" s="10">
        <f>'DEF_CALL_DECISION_SUPPORT'!E987</f>
        <v>0.0</v>
      </c>
      <c r="F615" s="11">
        <f>'DEF_CALL_DECISION_SUPPORT'!F987</f>
        <v>0.0</v>
      </c>
      <c r="G615" s="11">
        <f>'DEF_CALL_DECISION_SUPPORT'!J987</f>
        <v>100.0</v>
      </c>
      <c r="H615" s="8" t="str">
        <f>'DEF_CALL_DECISION_SUPPORT'!I987</f>
        <v>TRACK</v>
      </c>
      <c r="I615" s="8" t="str">
        <f>'DEF_CALL_DECISION_SUPPORT'!K987</f>
        <v>Track Only</v>
      </c>
      <c r="J615" s="14" t="s">
        <v>2716</v>
      </c>
      <c r="K615" s="9" t="str">
        <f>'DEF_CALL_DECISION_SUPPORT'!L987</f>
        <v>Track only; not enough sample.</v>
      </c>
      <c r="L615" s="8" t="s">
        <v>2713</v>
      </c>
    </row>
    <row r="616" spans="1:12" ht="48" customHeight="1">
      <c r="A616" s="8" t="s">
        <v>567</v>
      </c>
      <c r="B616" s="8" t="str">
        <f>'DEF_CALL_DECISION_SUPPORT'!B991</f>
        <v>SPIN REBEL</v>
      </c>
      <c r="C616" s="12">
        <f>'DEF_CALL_DECISION_SUPPORT'!C991</f>
        <v>1</v>
      </c>
      <c r="D616" s="10">
        <f>'DEF_CALL_DECISION_SUPPORT'!D991</f>
        <v>1.0</v>
      </c>
      <c r="E616" s="10">
        <f>'DEF_CALL_DECISION_SUPPORT'!E991</f>
        <v>0.0</v>
      </c>
      <c r="F616" s="11">
        <f>'DEF_CALL_DECISION_SUPPORT'!F991</f>
        <v>0.0</v>
      </c>
      <c r="G616" s="11">
        <f>'DEF_CALL_DECISION_SUPPORT'!J991</f>
        <v>100.0</v>
      </c>
      <c r="H616" s="8" t="str">
        <f>'DEF_CALL_DECISION_SUPPORT'!I991</f>
        <v>TRACK</v>
      </c>
      <c r="I616" s="8" t="str">
        <f>'DEF_CALL_DECISION_SUPPORT'!K991</f>
        <v>Track Only</v>
      </c>
      <c r="J616" s="14" t="s">
        <v>2716</v>
      </c>
      <c r="K616" s="9" t="str">
        <f>'DEF_CALL_DECISION_SUPPORT'!L991</f>
        <v>Track only; not enough sample.</v>
      </c>
      <c r="L616" s="8" t="s">
        <v>2713</v>
      </c>
    </row>
    <row r="617" spans="1:12" ht="48" customHeight="1">
      <c r="A617" s="8" t="s">
        <v>569</v>
      </c>
      <c r="B617" s="8" t="str">
        <f>'DEF_CALL_DECISION_SUPPORT'!B992</f>
        <v>9 STUD</v>
      </c>
      <c r="C617" s="12">
        <f>'DEF_CALL_DECISION_SUPPORT'!C992</f>
        <v>1</v>
      </c>
      <c r="D617" s="10">
        <f>'DEF_CALL_DECISION_SUPPORT'!D992</f>
        <v>1.0</v>
      </c>
      <c r="E617" s="10">
        <f>'DEF_CALL_DECISION_SUPPORT'!E992</f>
        <v>0.0</v>
      </c>
      <c r="F617" s="11">
        <f>'DEF_CALL_DECISION_SUPPORT'!F992</f>
        <v>-1.0</v>
      </c>
      <c r="G617" s="11">
        <f>'DEF_CALL_DECISION_SUPPORT'!J992</f>
        <v>100.0</v>
      </c>
      <c r="H617" s="8" t="str">
        <f>'DEF_CALL_DECISION_SUPPORT'!I992</f>
        <v>TRACK</v>
      </c>
      <c r="I617" s="8" t="str">
        <f>'DEF_CALL_DECISION_SUPPORT'!K992</f>
        <v>Track Only</v>
      </c>
      <c r="J617" s="14" t="s">
        <v>2716</v>
      </c>
      <c r="K617" s="9" t="str">
        <f>'DEF_CALL_DECISION_SUPPORT'!L992</f>
        <v>Track only; not enough sample.</v>
      </c>
      <c r="L617" s="8" t="s">
        <v>2713</v>
      </c>
    </row>
    <row r="618" spans="1:12" ht="48" customHeight="1">
      <c r="A618" s="8" t="s">
        <v>571</v>
      </c>
      <c r="B618" s="8" t="str">
        <f>'DEF_CALL_DECISION_SUPPORT'!B995</f>
        <v>STUD</v>
      </c>
      <c r="C618" s="12">
        <f>'DEF_CALL_DECISION_SUPPORT'!C995</f>
        <v>1</v>
      </c>
      <c r="D618" s="10">
        <f>'DEF_CALL_DECISION_SUPPORT'!D995</f>
        <v>1.0</v>
      </c>
      <c r="E618" s="10">
        <f>'DEF_CALL_DECISION_SUPPORT'!E995</f>
        <v>0.0</v>
      </c>
      <c r="F618" s="11">
        <f>'DEF_CALL_DECISION_SUPPORT'!F995</f>
        <v>0.0</v>
      </c>
      <c r="G618" s="11">
        <f>'DEF_CALL_DECISION_SUPPORT'!J995</f>
        <v>100.0</v>
      </c>
      <c r="H618" s="8" t="str">
        <f>'DEF_CALL_DECISION_SUPPORT'!I995</f>
        <v>TRACK</v>
      </c>
      <c r="I618" s="8" t="str">
        <f>'DEF_CALL_DECISION_SUPPORT'!K995</f>
        <v>Track Only</v>
      </c>
      <c r="J618" s="14" t="s">
        <v>2716</v>
      </c>
      <c r="K618" s="9" t="str">
        <f>'DEF_CALL_DECISION_SUPPORT'!L995</f>
        <v>Track only; not enough sample.</v>
      </c>
      <c r="L618" s="8" t="s">
        <v>2713</v>
      </c>
    </row>
    <row r="619" spans="1:12" ht="48" customHeight="1">
      <c r="A619" s="8" t="s">
        <v>573</v>
      </c>
      <c r="B619" s="8" t="str">
        <f>'DEF_CALL_DECISION_SUPPORT'!B997</f>
        <v>Q RAMBO</v>
      </c>
      <c r="C619" s="12">
        <f>'DEF_CALL_DECISION_SUPPORT'!C997</f>
        <v>1</v>
      </c>
      <c r="D619" s="10">
        <f>'DEF_CALL_DECISION_SUPPORT'!D997</f>
        <v>1.0</v>
      </c>
      <c r="E619" s="10">
        <f>'DEF_CALL_DECISION_SUPPORT'!E997</f>
        <v>0.0</v>
      </c>
      <c r="F619" s="11">
        <f>'DEF_CALL_DECISION_SUPPORT'!F997</f>
        <v>-1.0</v>
      </c>
      <c r="G619" s="11">
        <f>'DEF_CALL_DECISION_SUPPORT'!J997</f>
        <v>100.0</v>
      </c>
      <c r="H619" s="8" t="str">
        <f>'DEF_CALL_DECISION_SUPPORT'!I997</f>
        <v>TRACK</v>
      </c>
      <c r="I619" s="8" t="str">
        <f>'DEF_CALL_DECISION_SUPPORT'!K997</f>
        <v>Track Only</v>
      </c>
      <c r="J619" s="14" t="s">
        <v>2716</v>
      </c>
      <c r="K619" s="9" t="str">
        <f>'DEF_CALL_DECISION_SUPPORT'!L997</f>
        <v>Track only; not enough sample.</v>
      </c>
      <c r="L619" s="8" t="s">
        <v>2713</v>
      </c>
    </row>
    <row r="620" spans="1:12" ht="48" customHeight="1">
      <c r="A620" s="8" t="s">
        <v>580</v>
      </c>
      <c r="B620" s="8" t="str">
        <f>'DEF_CALL_DECISION_SUPPORT'!B1007</f>
        <v>WALL</v>
      </c>
      <c r="C620" s="12">
        <f>'DEF_CALL_DECISION_SUPPORT'!C1007</f>
        <v>1</v>
      </c>
      <c r="D620" s="10">
        <f>'DEF_CALL_DECISION_SUPPORT'!D1007</f>
        <v>1.0</v>
      </c>
      <c r="E620" s="10">
        <f>'DEF_CALL_DECISION_SUPPORT'!E1007</f>
        <v>0.0</v>
      </c>
      <c r="F620" s="11">
        <f>'DEF_CALL_DECISION_SUPPORT'!F1007</f>
        <v>0.0</v>
      </c>
      <c r="G620" s="11">
        <f>'DEF_CALL_DECISION_SUPPORT'!J1007</f>
        <v>100.0</v>
      </c>
      <c r="H620" s="8" t="str">
        <f>'DEF_CALL_DECISION_SUPPORT'!I1007</f>
        <v>TRACK</v>
      </c>
      <c r="I620" s="8" t="str">
        <f>'DEF_CALL_DECISION_SUPPORT'!K1007</f>
        <v>Track Only</v>
      </c>
      <c r="J620" s="14" t="s">
        <v>2716</v>
      </c>
      <c r="K620" s="9" t="str">
        <f>'DEF_CALL_DECISION_SUPPORT'!L1007</f>
        <v>Track only; not enough sample.</v>
      </c>
      <c r="L620" s="8" t="s">
        <v>2713</v>
      </c>
    </row>
    <row r="621" spans="1:12" ht="48" customHeight="1">
      <c r="A621" s="8" t="s">
        <v>582</v>
      </c>
      <c r="B621" s="8" t="str">
        <f>'DEF_CALL_DECISION_SUPPORT'!B1009</f>
        <v>RAMBO</v>
      </c>
      <c r="C621" s="12">
        <f>'DEF_CALL_DECISION_SUPPORT'!C1009</f>
        <v>1</v>
      </c>
      <c r="D621" s="10">
        <f>'DEF_CALL_DECISION_SUPPORT'!D1009</f>
        <v>1.0</v>
      </c>
      <c r="E621" s="10">
        <f>'DEF_CALL_DECISION_SUPPORT'!E1009</f>
        <v>0.0</v>
      </c>
      <c r="F621" s="11">
        <f>'DEF_CALL_DECISION_SUPPORT'!F1009</f>
        <v>0.0</v>
      </c>
      <c r="G621" s="11">
        <f>'DEF_CALL_DECISION_SUPPORT'!J1009</f>
        <v>100.0</v>
      </c>
      <c r="H621" s="8" t="str">
        <f>'DEF_CALL_DECISION_SUPPORT'!I1009</f>
        <v>TRACK</v>
      </c>
      <c r="I621" s="8" t="str">
        <f>'DEF_CALL_DECISION_SUPPORT'!K1009</f>
        <v>Track Only</v>
      </c>
      <c r="J621" s="14" t="s">
        <v>2716</v>
      </c>
      <c r="K621" s="9" t="str">
        <f>'DEF_CALL_DECISION_SUPPORT'!L1009</f>
        <v>Track only; not enough sample.</v>
      </c>
      <c r="L621" s="8" t="s">
        <v>2713</v>
      </c>
    </row>
    <row r="622" spans="1:12" ht="48" customHeight="1">
      <c r="A622" s="8" t="s">
        <v>594</v>
      </c>
      <c r="B622" s="8" t="str">
        <f>'DEF_CALL_DECISION_SUPPORT'!B1017</f>
        <v>9 DICE</v>
      </c>
      <c r="C622" s="12">
        <f>'DEF_CALL_DECISION_SUPPORT'!C1017</f>
        <v>1</v>
      </c>
      <c r="D622" s="10">
        <f>'DEF_CALL_DECISION_SUPPORT'!D1017</f>
        <v>1.0</v>
      </c>
      <c r="E622" s="10">
        <f>'DEF_CALL_DECISION_SUPPORT'!E1017</f>
        <v>0.0</v>
      </c>
      <c r="F622" s="11">
        <f>'DEF_CALL_DECISION_SUPPORT'!F1017</f>
        <v>0.0</v>
      </c>
      <c r="G622" s="11">
        <f>'DEF_CALL_DECISION_SUPPORT'!J1017</f>
        <v>100.0</v>
      </c>
      <c r="H622" s="8" t="str">
        <f>'DEF_CALL_DECISION_SUPPORT'!I1017</f>
        <v>TRACK</v>
      </c>
      <c r="I622" s="8" t="str">
        <f>'DEF_CALL_DECISION_SUPPORT'!K1017</f>
        <v>Track Only</v>
      </c>
      <c r="J622" s="14" t="s">
        <v>2716</v>
      </c>
      <c r="K622" s="9" t="str">
        <f>'DEF_CALL_DECISION_SUPPORT'!L1017</f>
        <v>Track only; not enough sample.</v>
      </c>
      <c r="L622" s="8" t="s">
        <v>2713</v>
      </c>
    </row>
    <row r="623" spans="1:12" ht="48" customHeight="1">
      <c r="A623" s="8" t="s">
        <v>596</v>
      </c>
      <c r="B623" s="8" t="str">
        <f>'DEF_CALL_DECISION_SUPPORT'!B1021</f>
        <v>REBEL</v>
      </c>
      <c r="C623" s="12">
        <f>'DEF_CALL_DECISION_SUPPORT'!C1021</f>
        <v>1</v>
      </c>
      <c r="D623" s="10">
        <f>'DEF_CALL_DECISION_SUPPORT'!D1021</f>
        <v>1.0</v>
      </c>
      <c r="E623" s="10">
        <f>'DEF_CALL_DECISION_SUPPORT'!E1021</f>
        <v>0.0</v>
      </c>
      <c r="F623" s="11">
        <f>'DEF_CALL_DECISION_SUPPORT'!F1021</f>
        <v>0.0</v>
      </c>
      <c r="G623" s="11">
        <f>'DEF_CALL_DECISION_SUPPORT'!J1021</f>
        <v>100.0</v>
      </c>
      <c r="H623" s="8" t="str">
        <f>'DEF_CALL_DECISION_SUPPORT'!I1021</f>
        <v>TRACK</v>
      </c>
      <c r="I623" s="8" t="str">
        <f>'DEF_CALL_DECISION_SUPPORT'!K1021</f>
        <v>Track Only</v>
      </c>
      <c r="J623" s="14" t="s">
        <v>2716</v>
      </c>
      <c r="K623" s="9" t="str">
        <f>'DEF_CALL_DECISION_SUPPORT'!L1021</f>
        <v>Track only; not enough sample.</v>
      </c>
      <c r="L623" s="8" t="s">
        <v>2713</v>
      </c>
    </row>
    <row r="624" spans="1:12" ht="48" customHeight="1">
      <c r="A624" s="8" t="s">
        <v>596</v>
      </c>
      <c r="B624" s="8" t="str">
        <f>'DEF_CALL_DECISION_SUPPORT'!B1022</f>
        <v>ROLEX KNIFE</v>
      </c>
      <c r="C624" s="12">
        <f>'DEF_CALL_DECISION_SUPPORT'!C1022</f>
        <v>1</v>
      </c>
      <c r="D624" s="10">
        <f>'DEF_CALL_DECISION_SUPPORT'!D1022</f>
        <v>1.0</v>
      </c>
      <c r="E624" s="10">
        <f>'DEF_CALL_DECISION_SUPPORT'!E1022</f>
        <v>0.0</v>
      </c>
      <c r="F624" s="11">
        <f>'DEF_CALL_DECISION_SUPPORT'!F1022</f>
        <v>0.0</v>
      </c>
      <c r="G624" s="11">
        <f>'DEF_CALL_DECISION_SUPPORT'!J1022</f>
        <v>100.0</v>
      </c>
      <c r="H624" s="8" t="str">
        <f>'DEF_CALL_DECISION_SUPPORT'!I1022</f>
        <v>TRACK</v>
      </c>
      <c r="I624" s="8" t="str">
        <f>'DEF_CALL_DECISION_SUPPORT'!K1022</f>
        <v>Track Only</v>
      </c>
      <c r="J624" s="14" t="s">
        <v>2716</v>
      </c>
      <c r="K624" s="9" t="str">
        <f>'DEF_CALL_DECISION_SUPPORT'!L1022</f>
        <v>Track only; not enough sample.</v>
      </c>
      <c r="L624" s="8" t="s">
        <v>2713</v>
      </c>
    </row>
    <row r="625" spans="1:12" ht="48" customHeight="1">
      <c r="A625" s="8" t="s">
        <v>600</v>
      </c>
      <c r="B625" s="8" t="str">
        <f>'DEF_CALL_DECISION_SUPPORT'!B1027</f>
        <v>TEX</v>
      </c>
      <c r="C625" s="12">
        <f>'DEF_CALL_DECISION_SUPPORT'!C1027</f>
        <v>1</v>
      </c>
      <c r="D625" s="10">
        <f>'DEF_CALL_DECISION_SUPPORT'!D1027</f>
        <v>1.0</v>
      </c>
      <c r="E625" s="10">
        <f>'DEF_CALL_DECISION_SUPPORT'!E1027</f>
        <v>0.0</v>
      </c>
      <c r="F625" s="11">
        <f>'DEF_CALL_DECISION_SUPPORT'!F1027</f>
        <v>-10.0</v>
      </c>
      <c r="G625" s="11">
        <f>'DEF_CALL_DECISION_SUPPORT'!J1027</f>
        <v>100.0</v>
      </c>
      <c r="H625" s="8" t="str">
        <f>'DEF_CALL_DECISION_SUPPORT'!I1027</f>
        <v>TRACK</v>
      </c>
      <c r="I625" s="8" t="str">
        <f>'DEF_CALL_DECISION_SUPPORT'!K1027</f>
        <v>Track Only</v>
      </c>
      <c r="J625" s="14" t="s">
        <v>2716</v>
      </c>
      <c r="K625" s="9" t="str">
        <f>'DEF_CALL_DECISION_SUPPORT'!L1027</f>
        <v>Track only; not enough sample.</v>
      </c>
      <c r="L625" s="8" t="s">
        <v>2713</v>
      </c>
    </row>
    <row r="626" spans="1:12" ht="48" customHeight="1">
      <c r="A626" s="8" t="s">
        <v>604</v>
      </c>
      <c r="B626" s="8" t="str">
        <f>'DEF_CALL_DECISION_SUPPORT'!B1031</f>
        <v>RAMBO</v>
      </c>
      <c r="C626" s="12">
        <f>'DEF_CALL_DECISION_SUPPORT'!C1031</f>
        <v>1</v>
      </c>
      <c r="D626" s="10">
        <f>'DEF_CALL_DECISION_SUPPORT'!D1031</f>
        <v>1.0</v>
      </c>
      <c r="E626" s="10">
        <f>'DEF_CALL_DECISION_SUPPORT'!E1031</f>
        <v>0.0</v>
      </c>
      <c r="F626" s="11">
        <f>'DEF_CALL_DECISION_SUPPORT'!F1031</f>
        <v>0.0</v>
      </c>
      <c r="G626" s="11">
        <f>'DEF_CALL_DECISION_SUPPORT'!J1031</f>
        <v>100.0</v>
      </c>
      <c r="H626" s="8" t="str">
        <f>'DEF_CALL_DECISION_SUPPORT'!I1031</f>
        <v>TRACK</v>
      </c>
      <c r="I626" s="8" t="str">
        <f>'DEF_CALL_DECISION_SUPPORT'!K1031</f>
        <v>Track Only</v>
      </c>
      <c r="J626" s="14" t="s">
        <v>2716</v>
      </c>
      <c r="K626" s="9" t="str">
        <f>'DEF_CALL_DECISION_SUPPORT'!L1031</f>
        <v>Track only; not enough sample.</v>
      </c>
      <c r="L626" s="8" t="s">
        <v>2713</v>
      </c>
    </row>
    <row r="627" spans="1:12" ht="48" customHeight="1">
      <c r="A627" s="8" t="s">
        <v>617</v>
      </c>
      <c r="B627" s="8" t="str">
        <f>'DEF_CALL_DECISION_SUPPORT'!B1044</f>
        <v>RAMBO</v>
      </c>
      <c r="C627" s="12">
        <f>'DEF_CALL_DECISION_SUPPORT'!C1044</f>
        <v>1</v>
      </c>
      <c r="D627" s="10">
        <f>'DEF_CALL_DECISION_SUPPORT'!D1044</f>
        <v>1.0</v>
      </c>
      <c r="E627" s="10">
        <f>'DEF_CALL_DECISION_SUPPORT'!E1044</f>
        <v>0.0</v>
      </c>
      <c r="F627" s="11">
        <f>'DEF_CALL_DECISION_SUPPORT'!F1044</f>
        <v>-1.0</v>
      </c>
      <c r="G627" s="11">
        <f>'DEF_CALL_DECISION_SUPPORT'!J1044</f>
        <v>100.0</v>
      </c>
      <c r="H627" s="8" t="str">
        <f>'DEF_CALL_DECISION_SUPPORT'!I1044</f>
        <v>TRACK</v>
      </c>
      <c r="I627" s="8" t="str">
        <f>'DEF_CALL_DECISION_SUPPORT'!K1044</f>
        <v>Track Only</v>
      </c>
      <c r="J627" s="14" t="s">
        <v>2716</v>
      </c>
      <c r="K627" s="9" t="str">
        <f>'DEF_CALL_DECISION_SUPPORT'!L1044</f>
        <v>Track only; not enough sample.</v>
      </c>
      <c r="L627" s="8" t="s">
        <v>2713</v>
      </c>
    </row>
    <row r="628" spans="1:12" ht="48" customHeight="1">
      <c r="A628" s="8" t="s">
        <v>619</v>
      </c>
      <c r="B628" s="8" t="str">
        <f>'DEF_CALL_DECISION_SUPPORT'!B1047</f>
        <v>KEY CAPTAIN</v>
      </c>
      <c r="C628" s="12">
        <f>'DEF_CALL_DECISION_SUPPORT'!C1047</f>
        <v>1</v>
      </c>
      <c r="D628" s="10">
        <f>'DEF_CALL_DECISION_SUPPORT'!D1047</f>
        <v>1.0</v>
      </c>
      <c r="E628" s="10">
        <f>'DEF_CALL_DECISION_SUPPORT'!E1047</f>
        <v>0.0</v>
      </c>
      <c r="F628" s="11">
        <f>'DEF_CALL_DECISION_SUPPORT'!F1047</f>
        <v>-7.0</v>
      </c>
      <c r="G628" s="11">
        <f>'DEF_CALL_DECISION_SUPPORT'!J1047</f>
        <v>100.0</v>
      </c>
      <c r="H628" s="8" t="str">
        <f>'DEF_CALL_DECISION_SUPPORT'!I1047</f>
        <v>TRACK</v>
      </c>
      <c r="I628" s="8" t="str">
        <f>'DEF_CALL_DECISION_SUPPORT'!K1047</f>
        <v>Track Only</v>
      </c>
      <c r="J628" s="14" t="s">
        <v>2716</v>
      </c>
      <c r="K628" s="9" t="str">
        <f>'DEF_CALL_DECISION_SUPPORT'!L1047</f>
        <v>Track only; not enough sample.</v>
      </c>
      <c r="L628" s="8" t="s">
        <v>2713</v>
      </c>
    </row>
    <row r="629" spans="1:12" ht="48" customHeight="1">
      <c r="A629" s="8" t="s">
        <v>623</v>
      </c>
      <c r="B629" s="8" t="str">
        <f>'DEF_CALL_DECISION_SUPPORT'!B1052</f>
        <v>TEX</v>
      </c>
      <c r="C629" s="12">
        <f>'DEF_CALL_DECISION_SUPPORT'!C1052</f>
        <v>1</v>
      </c>
      <c r="D629" s="10">
        <f>'DEF_CALL_DECISION_SUPPORT'!D1052</f>
        <v>1.0</v>
      </c>
      <c r="E629" s="10">
        <f>'DEF_CALL_DECISION_SUPPORT'!E1052</f>
        <v>0.0</v>
      </c>
      <c r="F629" s="11">
        <f>'DEF_CALL_DECISION_SUPPORT'!F1052</f>
        <v>0.0</v>
      </c>
      <c r="G629" s="11">
        <f>'DEF_CALL_DECISION_SUPPORT'!J1052</f>
        <v>100.0</v>
      </c>
      <c r="H629" s="8" t="str">
        <f>'DEF_CALL_DECISION_SUPPORT'!I1052</f>
        <v>TRACK</v>
      </c>
      <c r="I629" s="8" t="str">
        <f>'DEF_CALL_DECISION_SUPPORT'!K1052</f>
        <v>Track Only</v>
      </c>
      <c r="J629" s="14" t="s">
        <v>2716</v>
      </c>
      <c r="K629" s="9" t="str">
        <f>'DEF_CALL_DECISION_SUPPORT'!L1052</f>
        <v>Track only; not enough sample.</v>
      </c>
      <c r="L629" s="8" t="s">
        <v>2713</v>
      </c>
    </row>
    <row r="630" spans="1:12" ht="48" customHeight="1">
      <c r="A630" s="8" t="s">
        <v>428</v>
      </c>
      <c r="B630" s="8" t="str">
        <f>'DEF_CALL_DECISION_SUPPORT'!B1361</f>
        <v>PHILLY</v>
      </c>
      <c r="C630" s="12">
        <f>'DEF_CALL_DECISION_SUPPORT'!C1361</f>
        <v>1</v>
      </c>
      <c r="D630" s="10">
        <f>'DEF_CALL_DECISION_SUPPORT'!D1361</f>
        <v>1.0</v>
      </c>
      <c r="E630" s="10">
        <f>'DEF_CALL_DECISION_SUPPORT'!E1361</f>
        <v>0.0</v>
      </c>
      <c r="F630" s="11">
        <f>'DEF_CALL_DECISION_SUPPORT'!F1361</f>
        <v>1.0</v>
      </c>
      <c r="G630" s="11">
        <f>'DEF_CALL_DECISION_SUPPORT'!J1361</f>
        <v>99.0</v>
      </c>
      <c r="H630" s="8" t="str">
        <f>'DEF_CALL_DECISION_SUPPORT'!I1361</f>
        <v>TRACK</v>
      </c>
      <c r="I630" s="8" t="str">
        <f>'DEF_CALL_DECISION_SUPPORT'!K1361</f>
        <v>Track Only</v>
      </c>
      <c r="J630" s="14" t="s">
        <v>2716</v>
      </c>
      <c r="K630" s="9" t="str">
        <f>'DEF_CALL_DECISION_SUPPORT'!L1361</f>
        <v>Track only; not enough sample.</v>
      </c>
      <c r="L630" s="8" t="s">
        <v>781</v>
      </c>
    </row>
    <row r="631" spans="1:12" ht="48" customHeight="1">
      <c r="A631" s="8" t="s">
        <v>465</v>
      </c>
      <c r="B631" s="8" t="str">
        <f>'DEF_CALL_DECISION_SUPPORT'!B1391</f>
        <v>TSUNAMI</v>
      </c>
      <c r="C631" s="12">
        <f>'DEF_CALL_DECISION_SUPPORT'!C1391</f>
        <v>1</v>
      </c>
      <c r="D631" s="10">
        <f>'DEF_CALL_DECISION_SUPPORT'!D1391</f>
        <v>1.0</v>
      </c>
      <c r="E631" s="10">
        <f>'DEF_CALL_DECISION_SUPPORT'!E1391</f>
        <v>0.0</v>
      </c>
      <c r="F631" s="11">
        <f>'DEF_CALL_DECISION_SUPPORT'!F1391</f>
        <v>1.0</v>
      </c>
      <c r="G631" s="11">
        <f>'DEF_CALL_DECISION_SUPPORT'!J1391</f>
        <v>99.0</v>
      </c>
      <c r="H631" s="8" t="str">
        <f>'DEF_CALL_DECISION_SUPPORT'!I1391</f>
        <v>TRACK</v>
      </c>
      <c r="I631" s="8" t="str">
        <f>'DEF_CALL_DECISION_SUPPORT'!K1391</f>
        <v>Track Only</v>
      </c>
      <c r="J631" s="14" t="s">
        <v>2716</v>
      </c>
      <c r="K631" s="9" t="str">
        <f>'DEF_CALL_DECISION_SUPPORT'!L1391</f>
        <v>Track only; not enough sample.</v>
      </c>
      <c r="L631" s="8" t="s">
        <v>781</v>
      </c>
    </row>
    <row r="632" spans="1:12" ht="48" customHeight="1">
      <c r="A632" s="8" t="s">
        <v>468</v>
      </c>
      <c r="B632" s="8" t="str">
        <f>'DEF_CALL_DECISION_SUPPORT'!B1406</f>
        <v>STICK KNIFE</v>
      </c>
      <c r="C632" s="12">
        <f>'DEF_CALL_DECISION_SUPPORT'!C1406</f>
        <v>1</v>
      </c>
      <c r="D632" s="10">
        <f>'DEF_CALL_DECISION_SUPPORT'!D1406</f>
        <v>1.0</v>
      </c>
      <c r="E632" s="10">
        <f>'DEF_CALL_DECISION_SUPPORT'!E1406</f>
        <v>0.0</v>
      </c>
      <c r="F632" s="11">
        <f>'DEF_CALL_DECISION_SUPPORT'!F1406</f>
        <v>1.0</v>
      </c>
      <c r="G632" s="11">
        <f>'DEF_CALL_DECISION_SUPPORT'!J1406</f>
        <v>99.0</v>
      </c>
      <c r="H632" s="8" t="str">
        <f>'DEF_CALL_DECISION_SUPPORT'!I1406</f>
        <v>TRACK</v>
      </c>
      <c r="I632" s="8" t="str">
        <f>'DEF_CALL_DECISION_SUPPORT'!K1406</f>
        <v>Track Only</v>
      </c>
      <c r="J632" s="14" t="s">
        <v>2716</v>
      </c>
      <c r="K632" s="9" t="str">
        <f>'DEF_CALL_DECISION_SUPPORT'!L1406</f>
        <v>Track only; not enough sample.</v>
      </c>
      <c r="L632" s="8" t="s">
        <v>781</v>
      </c>
    </row>
    <row r="633" spans="1:12" ht="48" customHeight="1">
      <c r="A633" s="8" t="s">
        <v>474</v>
      </c>
      <c r="B633" s="8" t="str">
        <f>'DEF_CALL_DECISION_SUPPORT'!B1429</f>
        <v>STICK GAMES</v>
      </c>
      <c r="C633" s="12">
        <f>'DEF_CALL_DECISION_SUPPORT'!C1429</f>
        <v>1</v>
      </c>
      <c r="D633" s="10">
        <f>'DEF_CALL_DECISION_SUPPORT'!D1429</f>
        <v>1.0</v>
      </c>
      <c r="E633" s="10">
        <f>'DEF_CALL_DECISION_SUPPORT'!E1429</f>
        <v>0.0</v>
      </c>
      <c r="F633" s="11">
        <f>'DEF_CALL_DECISION_SUPPORT'!F1429</f>
        <v>1.0</v>
      </c>
      <c r="G633" s="11">
        <f>'DEF_CALL_DECISION_SUPPORT'!J1429</f>
        <v>99.0</v>
      </c>
      <c r="H633" s="8" t="str">
        <f>'DEF_CALL_DECISION_SUPPORT'!I1429</f>
        <v>TRACK</v>
      </c>
      <c r="I633" s="8" t="str">
        <f>'DEF_CALL_DECISION_SUPPORT'!K1429</f>
        <v>Track Only</v>
      </c>
      <c r="J633" s="14" t="s">
        <v>2716</v>
      </c>
      <c r="K633" s="9" t="str">
        <f>'DEF_CALL_DECISION_SUPPORT'!L1429</f>
        <v>Track only; not enough sample.</v>
      </c>
      <c r="L633" s="8" t="s">
        <v>781</v>
      </c>
    </row>
    <row r="634" spans="1:12" ht="48" customHeight="1">
      <c r="A634" s="8" t="s">
        <v>462</v>
      </c>
      <c r="B634" s="8" t="str">
        <f>'DEF_CALL_DECISION_SUPPORT'!B853</f>
        <v>PHILLY</v>
      </c>
      <c r="C634" s="12">
        <f>'DEF_CALL_DECISION_SUPPORT'!C853</f>
        <v>1</v>
      </c>
      <c r="D634" s="10">
        <f>'DEF_CALL_DECISION_SUPPORT'!D853</f>
        <v>1.0</v>
      </c>
      <c r="E634" s="10">
        <f>'DEF_CALL_DECISION_SUPPORT'!E853</f>
        <v>0.0</v>
      </c>
      <c r="F634" s="11">
        <f>'DEF_CALL_DECISION_SUPPORT'!F853</f>
        <v>1.0</v>
      </c>
      <c r="G634" s="11">
        <f>'DEF_CALL_DECISION_SUPPORT'!J853</f>
        <v>99.0</v>
      </c>
      <c r="H634" s="8" t="str">
        <f>'DEF_CALL_DECISION_SUPPORT'!I853</f>
        <v>TRACK</v>
      </c>
      <c r="I634" s="8" t="str">
        <f>'DEF_CALL_DECISION_SUPPORT'!K853</f>
        <v>Track Only</v>
      </c>
      <c r="J634" s="14" t="s">
        <v>2716</v>
      </c>
      <c r="K634" s="9" t="str">
        <f>'DEF_CALL_DECISION_SUPPORT'!L853</f>
        <v>Track only; not enough sample.</v>
      </c>
      <c r="L634" s="8" t="s">
        <v>2713</v>
      </c>
    </row>
    <row r="635" spans="1:12" ht="48" customHeight="1">
      <c r="A635" s="8" t="s">
        <v>467</v>
      </c>
      <c r="B635" s="8" t="str">
        <f>'DEF_CALL_DECISION_SUPPORT'!B871</f>
        <v>STICK KNIFE</v>
      </c>
      <c r="C635" s="12">
        <f>'DEF_CALL_DECISION_SUPPORT'!C871</f>
        <v>1</v>
      </c>
      <c r="D635" s="10">
        <f>'DEF_CALL_DECISION_SUPPORT'!D871</f>
        <v>1.0</v>
      </c>
      <c r="E635" s="10">
        <f>'DEF_CALL_DECISION_SUPPORT'!E871</f>
        <v>0.0</v>
      </c>
      <c r="F635" s="11">
        <f>'DEF_CALL_DECISION_SUPPORT'!F871</f>
        <v>1.0</v>
      </c>
      <c r="G635" s="11">
        <f>'DEF_CALL_DECISION_SUPPORT'!J871</f>
        <v>99.0</v>
      </c>
      <c r="H635" s="8" t="str">
        <f>'DEF_CALL_DECISION_SUPPORT'!I871</f>
        <v>TRACK</v>
      </c>
      <c r="I635" s="8" t="str">
        <f>'DEF_CALL_DECISION_SUPPORT'!K871</f>
        <v>Track Only</v>
      </c>
      <c r="J635" s="14" t="s">
        <v>2716</v>
      </c>
      <c r="K635" s="9" t="str">
        <f>'DEF_CALL_DECISION_SUPPORT'!L871</f>
        <v>Track only; not enough sample.</v>
      </c>
      <c r="L635" s="8" t="s">
        <v>2713</v>
      </c>
    </row>
    <row r="636" spans="1:12" ht="48" customHeight="1">
      <c r="A636" s="8" t="s">
        <v>491</v>
      </c>
      <c r="B636" s="8" t="str">
        <f>'DEF_CALL_DECISION_SUPPORT'!B889</f>
        <v>TORNADO</v>
      </c>
      <c r="C636" s="12">
        <f>'DEF_CALL_DECISION_SUPPORT'!C889</f>
        <v>1</v>
      </c>
      <c r="D636" s="10">
        <f>'DEF_CALL_DECISION_SUPPORT'!D889</f>
        <v>1.0</v>
      </c>
      <c r="E636" s="10">
        <f>'DEF_CALL_DECISION_SUPPORT'!E889</f>
        <v>0.0</v>
      </c>
      <c r="F636" s="11">
        <f>'DEF_CALL_DECISION_SUPPORT'!F889</f>
        <v>1.0</v>
      </c>
      <c r="G636" s="11">
        <f>'DEF_CALL_DECISION_SUPPORT'!J889</f>
        <v>99.0</v>
      </c>
      <c r="H636" s="8" t="str">
        <f>'DEF_CALL_DECISION_SUPPORT'!I889</f>
        <v>TRACK</v>
      </c>
      <c r="I636" s="8" t="str">
        <f>'DEF_CALL_DECISION_SUPPORT'!K889</f>
        <v>Track Only</v>
      </c>
      <c r="J636" s="14" t="s">
        <v>2716</v>
      </c>
      <c r="K636" s="9" t="str">
        <f>'DEF_CALL_DECISION_SUPPORT'!L889</f>
        <v>Track only; not enough sample.</v>
      </c>
      <c r="L636" s="8" t="s">
        <v>2713</v>
      </c>
    </row>
    <row r="637" spans="1:12" ht="48" customHeight="1">
      <c r="A637" s="8" t="s">
        <v>520</v>
      </c>
      <c r="B637" s="8" t="str">
        <f>'DEF_CALL_DECISION_SUPPORT'!B921</f>
        <v>RAMBO</v>
      </c>
      <c r="C637" s="12">
        <f>'DEF_CALL_DECISION_SUPPORT'!C921</f>
        <v>1</v>
      </c>
      <c r="D637" s="10">
        <f>'DEF_CALL_DECISION_SUPPORT'!D921</f>
        <v>1.0</v>
      </c>
      <c r="E637" s="10">
        <f>'DEF_CALL_DECISION_SUPPORT'!E921</f>
        <v>0.0</v>
      </c>
      <c r="F637" s="11">
        <f>'DEF_CALL_DECISION_SUPPORT'!F921</f>
        <v>1.0</v>
      </c>
      <c r="G637" s="11">
        <f>'DEF_CALL_DECISION_SUPPORT'!J921</f>
        <v>99.0</v>
      </c>
      <c r="H637" s="8" t="str">
        <f>'DEF_CALL_DECISION_SUPPORT'!I921</f>
        <v>TRACK</v>
      </c>
      <c r="I637" s="8" t="str">
        <f>'DEF_CALL_DECISION_SUPPORT'!K921</f>
        <v>Track Only</v>
      </c>
      <c r="J637" s="14" t="s">
        <v>2716</v>
      </c>
      <c r="K637" s="9" t="str">
        <f>'DEF_CALL_DECISION_SUPPORT'!L921</f>
        <v>Track only; not enough sample.</v>
      </c>
      <c r="L637" s="8" t="s">
        <v>2713</v>
      </c>
    </row>
    <row r="638" spans="1:12" ht="48" customHeight="1">
      <c r="A638" s="8" t="s">
        <v>536</v>
      </c>
      <c r="B638" s="8" t="str">
        <f>'DEF_CALL_DECISION_SUPPORT'!B955</f>
        <v>TSUNAMI</v>
      </c>
      <c r="C638" s="12">
        <f>'DEF_CALL_DECISION_SUPPORT'!C955</f>
        <v>1</v>
      </c>
      <c r="D638" s="10">
        <f>'DEF_CALL_DECISION_SUPPORT'!D955</f>
        <v>1.0</v>
      </c>
      <c r="E638" s="10">
        <f>'DEF_CALL_DECISION_SUPPORT'!E955</f>
        <v>0.0</v>
      </c>
      <c r="F638" s="11">
        <f>'DEF_CALL_DECISION_SUPPORT'!F955</f>
        <v>1.0</v>
      </c>
      <c r="G638" s="11">
        <f>'DEF_CALL_DECISION_SUPPORT'!J955</f>
        <v>99.0</v>
      </c>
      <c r="H638" s="8" t="str">
        <f>'DEF_CALL_DECISION_SUPPORT'!I955</f>
        <v>TRACK</v>
      </c>
      <c r="I638" s="8" t="str">
        <f>'DEF_CALL_DECISION_SUPPORT'!K955</f>
        <v>Track Only</v>
      </c>
      <c r="J638" s="14" t="s">
        <v>2716</v>
      </c>
      <c r="K638" s="9" t="str">
        <f>'DEF_CALL_DECISION_SUPPORT'!L955</f>
        <v>Track only; not enough sample.</v>
      </c>
      <c r="L638" s="8" t="s">
        <v>2713</v>
      </c>
    </row>
    <row r="639" spans="1:12" ht="48" customHeight="1">
      <c r="A639" s="8" t="s">
        <v>576</v>
      </c>
      <c r="B639" s="8" t="str">
        <f>'DEF_CALL_DECISION_SUPPORT'!B998</f>
        <v>STICK GAMES</v>
      </c>
      <c r="C639" s="12">
        <f>'DEF_CALL_DECISION_SUPPORT'!C998</f>
        <v>1</v>
      </c>
      <c r="D639" s="10">
        <f>'DEF_CALL_DECISION_SUPPORT'!D998</f>
        <v>1.0</v>
      </c>
      <c r="E639" s="10">
        <f>'DEF_CALL_DECISION_SUPPORT'!E998</f>
        <v>0.0</v>
      </c>
      <c r="F639" s="11">
        <f>'DEF_CALL_DECISION_SUPPORT'!F998</f>
        <v>1.0</v>
      </c>
      <c r="G639" s="11">
        <f>'DEF_CALL_DECISION_SUPPORT'!J998</f>
        <v>99.0</v>
      </c>
      <c r="H639" s="8" t="str">
        <f>'DEF_CALL_DECISION_SUPPORT'!I998</f>
        <v>TRACK</v>
      </c>
      <c r="I639" s="8" t="str">
        <f>'DEF_CALL_DECISION_SUPPORT'!K998</f>
        <v>Track Only</v>
      </c>
      <c r="J639" s="14" t="s">
        <v>2716</v>
      </c>
      <c r="K639" s="9" t="str">
        <f>'DEF_CALL_DECISION_SUPPORT'!L998</f>
        <v>Track only; not enough sample.</v>
      </c>
      <c r="L639" s="8" t="s">
        <v>2713</v>
      </c>
    </row>
    <row r="640" spans="1:12" ht="48" customHeight="1">
      <c r="A640" s="8" t="s">
        <v>582</v>
      </c>
      <c r="B640" s="8" t="str">
        <f>'DEF_CALL_DECISION_SUPPORT'!B1008</f>
        <v>9 DICE</v>
      </c>
      <c r="C640" s="12">
        <f>'DEF_CALL_DECISION_SUPPORT'!C1008</f>
        <v>1</v>
      </c>
      <c r="D640" s="10">
        <f>'DEF_CALL_DECISION_SUPPORT'!D1008</f>
        <v>1.0</v>
      </c>
      <c r="E640" s="10">
        <f>'DEF_CALL_DECISION_SUPPORT'!E1008</f>
        <v>0.0</v>
      </c>
      <c r="F640" s="11">
        <f>'DEF_CALL_DECISION_SUPPORT'!F1008</f>
        <v>1.0</v>
      </c>
      <c r="G640" s="11">
        <f>'DEF_CALL_DECISION_SUPPORT'!J1008</f>
        <v>99.0</v>
      </c>
      <c r="H640" s="8" t="str">
        <f>'DEF_CALL_DECISION_SUPPORT'!I1008</f>
        <v>TRACK</v>
      </c>
      <c r="I640" s="8" t="str">
        <f>'DEF_CALL_DECISION_SUPPORT'!K1008</f>
        <v>Track Only</v>
      </c>
      <c r="J640" s="14" t="s">
        <v>2716</v>
      </c>
      <c r="K640" s="9" t="str">
        <f>'DEF_CALL_DECISION_SUPPORT'!L1008</f>
        <v>Track only; not enough sample.</v>
      </c>
      <c r="L640" s="8" t="s">
        <v>2713</v>
      </c>
    </row>
    <row r="641" spans="1:12" ht="48" customHeight="1">
      <c r="A641" s="8" t="s">
        <v>588</v>
      </c>
      <c r="B641" s="8" t="str">
        <f>'DEF_CALL_DECISION_SUPPORT'!B1014</f>
        <v>REBEL</v>
      </c>
      <c r="C641" s="12">
        <f>'DEF_CALL_DECISION_SUPPORT'!C1014</f>
        <v>1</v>
      </c>
      <c r="D641" s="10">
        <f>'DEF_CALL_DECISION_SUPPORT'!D1014</f>
        <v>1.0</v>
      </c>
      <c r="E641" s="10">
        <f>'DEF_CALL_DECISION_SUPPORT'!E1014</f>
        <v>0.0</v>
      </c>
      <c r="F641" s="11">
        <f>'DEF_CALL_DECISION_SUPPORT'!F1014</f>
        <v>1.0</v>
      </c>
      <c r="G641" s="11">
        <f>'DEF_CALL_DECISION_SUPPORT'!J1014</f>
        <v>99.0</v>
      </c>
      <c r="H641" s="8" t="str">
        <f>'DEF_CALL_DECISION_SUPPORT'!I1014</f>
        <v>TRACK</v>
      </c>
      <c r="I641" s="8" t="str">
        <f>'DEF_CALL_DECISION_SUPPORT'!K1014</f>
        <v>Track Only</v>
      </c>
      <c r="J641" s="14" t="s">
        <v>2716</v>
      </c>
      <c r="K641" s="9" t="str">
        <f>'DEF_CALL_DECISION_SUPPORT'!L1014</f>
        <v>Track only; not enough sample.</v>
      </c>
      <c r="L641" s="8" t="s">
        <v>2713</v>
      </c>
    </row>
    <row r="642" spans="1:12" ht="48" customHeight="1">
      <c r="A642" s="8" t="s">
        <v>617</v>
      </c>
      <c r="B642" s="8" t="str">
        <f>'DEF_CALL_DECISION_SUPPORT'!B1045</f>
        <v>REBEL</v>
      </c>
      <c r="C642" s="12">
        <f>'DEF_CALL_DECISION_SUPPORT'!C1045</f>
        <v>1</v>
      </c>
      <c r="D642" s="10">
        <f>'DEF_CALL_DECISION_SUPPORT'!D1045</f>
        <v>1.0</v>
      </c>
      <c r="E642" s="10">
        <f>'DEF_CALL_DECISION_SUPPORT'!E1045</f>
        <v>0.0</v>
      </c>
      <c r="F642" s="11">
        <f>'DEF_CALL_DECISION_SUPPORT'!F1045</f>
        <v>1.0</v>
      </c>
      <c r="G642" s="11">
        <f>'DEF_CALL_DECISION_SUPPORT'!J1045</f>
        <v>99.0</v>
      </c>
      <c r="H642" s="8" t="str">
        <f>'DEF_CALL_DECISION_SUPPORT'!I1045</f>
        <v>TRACK</v>
      </c>
      <c r="I642" s="8" t="str">
        <f>'DEF_CALL_DECISION_SUPPORT'!K1045</f>
        <v>Track Only</v>
      </c>
      <c r="J642" s="14" t="s">
        <v>2716</v>
      </c>
      <c r="K642" s="9" t="str">
        <f>'DEF_CALL_DECISION_SUPPORT'!L1045</f>
        <v>Track only; not enough sample.</v>
      </c>
      <c r="L642" s="8" t="s">
        <v>2713</v>
      </c>
    </row>
    <row r="643" spans="1:12" ht="48" customHeight="1">
      <c r="A643" s="8" t="s">
        <v>460</v>
      </c>
      <c r="B643" s="8" t="str">
        <f>'DEF_CALL_DECISION_SUPPORT'!B1341</f>
        <v>KEY CAPTAIN</v>
      </c>
      <c r="C643" s="12">
        <f>'DEF_CALL_DECISION_SUPPORT'!C1341</f>
        <v>1</v>
      </c>
      <c r="D643" s="10">
        <f>'DEF_CALL_DECISION_SUPPORT'!D1341</f>
        <v>1.0</v>
      </c>
      <c r="E643" s="10">
        <f>'DEF_CALL_DECISION_SUPPORT'!E1341</f>
        <v>0.0</v>
      </c>
      <c r="F643" s="11">
        <f>'DEF_CALL_DECISION_SUPPORT'!F1341</f>
        <v>2.0</v>
      </c>
      <c r="G643" s="11">
        <f>'DEF_CALL_DECISION_SUPPORT'!J1341</f>
        <v>98.0</v>
      </c>
      <c r="H643" s="8" t="str">
        <f>'DEF_CALL_DECISION_SUPPORT'!I1341</f>
        <v>TRACK</v>
      </c>
      <c r="I643" s="8" t="str">
        <f>'DEF_CALL_DECISION_SUPPORT'!K1341</f>
        <v>Track Only</v>
      </c>
      <c r="J643" s="14" t="s">
        <v>2716</v>
      </c>
      <c r="K643" s="9" t="str">
        <f>'DEF_CALL_DECISION_SUPPORT'!L1341</f>
        <v>Track only; not enough sample.</v>
      </c>
      <c r="L643" s="8" t="s">
        <v>781</v>
      </c>
    </row>
    <row r="644" spans="1:12" ht="48" customHeight="1">
      <c r="A644" s="8" t="s">
        <v>428</v>
      </c>
      <c r="B644" s="8" t="str">
        <f>'DEF_CALL_DECISION_SUPPORT'!B1354</f>
        <v>HOUND TEX</v>
      </c>
      <c r="C644" s="12">
        <f>'DEF_CALL_DECISION_SUPPORT'!C1354</f>
        <v>1</v>
      </c>
      <c r="D644" s="10">
        <f>'DEF_CALL_DECISION_SUPPORT'!D1354</f>
        <v>1.0</v>
      </c>
      <c r="E644" s="10">
        <f>'DEF_CALL_DECISION_SUPPORT'!E1354</f>
        <v>0.0</v>
      </c>
      <c r="F644" s="11">
        <f>'DEF_CALL_DECISION_SUPPORT'!F1354</f>
        <v>2.0</v>
      </c>
      <c r="G644" s="11">
        <f>'DEF_CALL_DECISION_SUPPORT'!J1354</f>
        <v>98.0</v>
      </c>
      <c r="H644" s="8" t="str">
        <f>'DEF_CALL_DECISION_SUPPORT'!I1354</f>
        <v>TRACK</v>
      </c>
      <c r="I644" s="8" t="str">
        <f>'DEF_CALL_DECISION_SUPPORT'!K1354</f>
        <v>Track Only</v>
      </c>
      <c r="J644" s="14" t="s">
        <v>2716</v>
      </c>
      <c r="K644" s="9" t="str">
        <f>'DEF_CALL_DECISION_SUPPORT'!L1354</f>
        <v>Track only; not enough sample.</v>
      </c>
      <c r="L644" s="8" t="s">
        <v>781</v>
      </c>
    </row>
    <row r="645" spans="1:12" ht="48" customHeight="1">
      <c r="A645" s="8" t="s">
        <v>477</v>
      </c>
      <c r="B645" s="8" t="str">
        <f>'DEF_CALL_DECISION_SUPPORT'!B1437</f>
        <v>TSUNAMI</v>
      </c>
      <c r="C645" s="12">
        <f>'DEF_CALL_DECISION_SUPPORT'!C1437</f>
        <v>1</v>
      </c>
      <c r="D645" s="10">
        <f>'DEF_CALL_DECISION_SUPPORT'!D1437</f>
        <v>1.0</v>
      </c>
      <c r="E645" s="10">
        <f>'DEF_CALL_DECISION_SUPPORT'!E1437</f>
        <v>0.0</v>
      </c>
      <c r="F645" s="11">
        <f>'DEF_CALL_DECISION_SUPPORT'!F1437</f>
        <v>2.0</v>
      </c>
      <c r="G645" s="11">
        <f>'DEF_CALL_DECISION_SUPPORT'!J1437</f>
        <v>98.0</v>
      </c>
      <c r="H645" s="8" t="str">
        <f>'DEF_CALL_DECISION_SUPPORT'!I1437</f>
        <v>TRACK</v>
      </c>
      <c r="I645" s="8" t="str">
        <f>'DEF_CALL_DECISION_SUPPORT'!K1437</f>
        <v>Track Only</v>
      </c>
      <c r="J645" s="14" t="s">
        <v>2716</v>
      </c>
      <c r="K645" s="9" t="str">
        <f>'DEF_CALL_DECISION_SUPPORT'!L1437</f>
        <v>Track only; not enough sample.</v>
      </c>
      <c r="L645" s="8" t="s">
        <v>781</v>
      </c>
    </row>
    <row r="646" spans="1:12" ht="48" customHeight="1">
      <c r="A646" s="8" t="s">
        <v>431</v>
      </c>
      <c r="B646" s="8" t="str">
        <f>'DEF_CALL_DECISION_SUPPORT'!B813</f>
        <v>BOOGIE</v>
      </c>
      <c r="C646" s="12">
        <f>'DEF_CALL_DECISION_SUPPORT'!C813</f>
        <v>1</v>
      </c>
      <c r="D646" s="10">
        <f>'DEF_CALL_DECISION_SUPPORT'!D813</f>
        <v>1.0</v>
      </c>
      <c r="E646" s="10">
        <f>'DEF_CALL_DECISION_SUPPORT'!E813</f>
        <v>0.0</v>
      </c>
      <c r="F646" s="11">
        <f>'DEF_CALL_DECISION_SUPPORT'!F813</f>
        <v>2.0</v>
      </c>
      <c r="G646" s="11">
        <f>'DEF_CALL_DECISION_SUPPORT'!J813</f>
        <v>98.0</v>
      </c>
      <c r="H646" s="8" t="str">
        <f>'DEF_CALL_DECISION_SUPPORT'!I813</f>
        <v>TRACK</v>
      </c>
      <c r="I646" s="8" t="str">
        <f>'DEF_CALL_DECISION_SUPPORT'!K813</f>
        <v>Track Only</v>
      </c>
      <c r="J646" s="14" t="s">
        <v>2716</v>
      </c>
      <c r="K646" s="9" t="str">
        <f>'DEF_CALL_DECISION_SUPPORT'!L813</f>
        <v>Track only; not enough sample.</v>
      </c>
      <c r="L646" s="8" t="s">
        <v>2713</v>
      </c>
    </row>
    <row r="647" spans="1:12" ht="48" customHeight="1">
      <c r="A647" s="8" t="s">
        <v>459</v>
      </c>
      <c r="B647" s="8" t="str">
        <f>'DEF_CALL_DECISION_SUPPORT'!B843</f>
        <v>KEY CAPTAIN</v>
      </c>
      <c r="C647" s="12">
        <f>'DEF_CALL_DECISION_SUPPORT'!C843</f>
        <v>1</v>
      </c>
      <c r="D647" s="10">
        <f>'DEF_CALL_DECISION_SUPPORT'!D843</f>
        <v>1.0</v>
      </c>
      <c r="E647" s="10">
        <f>'DEF_CALL_DECISION_SUPPORT'!E843</f>
        <v>0.0</v>
      </c>
      <c r="F647" s="11">
        <f>'DEF_CALL_DECISION_SUPPORT'!F843</f>
        <v>2.0</v>
      </c>
      <c r="G647" s="11">
        <f>'DEF_CALL_DECISION_SUPPORT'!J843</f>
        <v>98.0</v>
      </c>
      <c r="H647" s="8" t="str">
        <f>'DEF_CALL_DECISION_SUPPORT'!I843</f>
        <v>TRACK</v>
      </c>
      <c r="I647" s="8" t="str">
        <f>'DEF_CALL_DECISION_SUPPORT'!K843</f>
        <v>Track Only</v>
      </c>
      <c r="J647" s="14" t="s">
        <v>2716</v>
      </c>
      <c r="K647" s="9" t="str">
        <f>'DEF_CALL_DECISION_SUPPORT'!L843</f>
        <v>Track only; not enough sample.</v>
      </c>
      <c r="L647" s="8" t="s">
        <v>2713</v>
      </c>
    </row>
    <row r="648" spans="1:12" ht="48" customHeight="1">
      <c r="A648" s="8" t="s">
        <v>476</v>
      </c>
      <c r="B648" s="8" t="str">
        <f>'DEF_CALL_DECISION_SUPPORT'!B878</f>
        <v>TSUNAMI</v>
      </c>
      <c r="C648" s="12">
        <f>'DEF_CALL_DECISION_SUPPORT'!C878</f>
        <v>1</v>
      </c>
      <c r="D648" s="10">
        <f>'DEF_CALL_DECISION_SUPPORT'!D878</f>
        <v>1.0</v>
      </c>
      <c r="E648" s="10">
        <f>'DEF_CALL_DECISION_SUPPORT'!E878</f>
        <v>0.0</v>
      </c>
      <c r="F648" s="11">
        <f>'DEF_CALL_DECISION_SUPPORT'!F878</f>
        <v>2.0</v>
      </c>
      <c r="G648" s="11">
        <f>'DEF_CALL_DECISION_SUPPORT'!J878</f>
        <v>98.0</v>
      </c>
      <c r="H648" s="8" t="str">
        <f>'DEF_CALL_DECISION_SUPPORT'!I878</f>
        <v>TRACK</v>
      </c>
      <c r="I648" s="8" t="str">
        <f>'DEF_CALL_DECISION_SUPPORT'!K878</f>
        <v>Track Only</v>
      </c>
      <c r="J648" s="14" t="s">
        <v>2716</v>
      </c>
      <c r="K648" s="9" t="str">
        <f>'DEF_CALL_DECISION_SUPPORT'!L878</f>
        <v>Track only; not enough sample.</v>
      </c>
      <c r="L648" s="8" t="s">
        <v>2713</v>
      </c>
    </row>
    <row r="649" spans="1:12" ht="48" customHeight="1">
      <c r="A649" s="8" t="s">
        <v>491</v>
      </c>
      <c r="B649" s="8" t="str">
        <f>'DEF_CALL_DECISION_SUPPORT'!B885</f>
        <v>GOLD</v>
      </c>
      <c r="C649" s="12">
        <f>'DEF_CALL_DECISION_SUPPORT'!C885</f>
        <v>1</v>
      </c>
      <c r="D649" s="10">
        <f>'DEF_CALL_DECISION_SUPPORT'!D885</f>
        <v>1.0</v>
      </c>
      <c r="E649" s="10">
        <f>'DEF_CALL_DECISION_SUPPORT'!E885</f>
        <v>0.0</v>
      </c>
      <c r="F649" s="11">
        <f>'DEF_CALL_DECISION_SUPPORT'!F885</f>
        <v>2.0</v>
      </c>
      <c r="G649" s="11">
        <f>'DEF_CALL_DECISION_SUPPORT'!J885</f>
        <v>98.0</v>
      </c>
      <c r="H649" s="8" t="str">
        <f>'DEF_CALL_DECISION_SUPPORT'!I885</f>
        <v>TRACK</v>
      </c>
      <c r="I649" s="8" t="str">
        <f>'DEF_CALL_DECISION_SUPPORT'!K885</f>
        <v>Track Only</v>
      </c>
      <c r="J649" s="14" t="s">
        <v>2716</v>
      </c>
      <c r="K649" s="9" t="str">
        <f>'DEF_CALL_DECISION_SUPPORT'!L885</f>
        <v>Track only; not enough sample.</v>
      </c>
      <c r="L649" s="8" t="s">
        <v>2713</v>
      </c>
    </row>
    <row r="650" spans="1:12" ht="48" customHeight="1">
      <c r="A650" s="8" t="s">
        <v>518</v>
      </c>
      <c r="B650" s="8" t="str">
        <f>'DEF_CALL_DECISION_SUPPORT'!B915</f>
        <v>KNIFE</v>
      </c>
      <c r="C650" s="12">
        <f>'DEF_CALL_DECISION_SUPPORT'!C915</f>
        <v>1</v>
      </c>
      <c r="D650" s="10">
        <f>'DEF_CALL_DECISION_SUPPORT'!D915</f>
        <v>1.0</v>
      </c>
      <c r="E650" s="10">
        <f>'DEF_CALL_DECISION_SUPPORT'!E915</f>
        <v>0.0</v>
      </c>
      <c r="F650" s="11">
        <f>'DEF_CALL_DECISION_SUPPORT'!F915</f>
        <v>2.0</v>
      </c>
      <c r="G650" s="11">
        <f>'DEF_CALL_DECISION_SUPPORT'!J915</f>
        <v>98.0</v>
      </c>
      <c r="H650" s="8" t="str">
        <f>'DEF_CALL_DECISION_SUPPORT'!I915</f>
        <v>TRACK</v>
      </c>
      <c r="I650" s="8" t="str">
        <f>'DEF_CALL_DECISION_SUPPORT'!K915</f>
        <v>Track Only</v>
      </c>
      <c r="J650" s="14" t="s">
        <v>2716</v>
      </c>
      <c r="K650" s="9" t="str">
        <f>'DEF_CALL_DECISION_SUPPORT'!L915</f>
        <v>Track only; not enough sample.</v>
      </c>
      <c r="L650" s="8" t="s">
        <v>2713</v>
      </c>
    </row>
    <row r="651" spans="1:12" ht="48" customHeight="1">
      <c r="A651" s="8" t="s">
        <v>518</v>
      </c>
      <c r="B651" s="8" t="str">
        <f>'DEF_CALL_DECISION_SUPPORT'!B917</f>
        <v>TSUNAMI</v>
      </c>
      <c r="C651" s="12">
        <f>'DEF_CALL_DECISION_SUPPORT'!C917</f>
        <v>1</v>
      </c>
      <c r="D651" s="10">
        <f>'DEF_CALL_DECISION_SUPPORT'!D917</f>
        <v>1.0</v>
      </c>
      <c r="E651" s="10">
        <f>'DEF_CALL_DECISION_SUPPORT'!E917</f>
        <v>0.0</v>
      </c>
      <c r="F651" s="11">
        <f>'DEF_CALL_DECISION_SUPPORT'!F917</f>
        <v>2.0</v>
      </c>
      <c r="G651" s="11">
        <f>'DEF_CALL_DECISION_SUPPORT'!J917</f>
        <v>98.0</v>
      </c>
      <c r="H651" s="8" t="str">
        <f>'DEF_CALL_DECISION_SUPPORT'!I917</f>
        <v>TRACK</v>
      </c>
      <c r="I651" s="8" t="str">
        <f>'DEF_CALL_DECISION_SUPPORT'!K917</f>
        <v>Track Only</v>
      </c>
      <c r="J651" s="14" t="s">
        <v>2716</v>
      </c>
      <c r="K651" s="9" t="str">
        <f>'DEF_CALL_DECISION_SUPPORT'!L917</f>
        <v>Track only; not enough sample.</v>
      </c>
      <c r="L651" s="8" t="s">
        <v>2713</v>
      </c>
    </row>
    <row r="652" spans="1:12" ht="48" customHeight="1">
      <c r="A652" s="8" t="s">
        <v>534</v>
      </c>
      <c r="B652" s="8" t="str">
        <f>'DEF_CALL_DECISION_SUPPORT'!B948</f>
        <v>STUD</v>
      </c>
      <c r="C652" s="12">
        <f>'DEF_CALL_DECISION_SUPPORT'!C948</f>
        <v>1</v>
      </c>
      <c r="D652" s="10">
        <f>'DEF_CALL_DECISION_SUPPORT'!D948</f>
        <v>1.0</v>
      </c>
      <c r="E652" s="10">
        <f>'DEF_CALL_DECISION_SUPPORT'!E948</f>
        <v>0.0</v>
      </c>
      <c r="F652" s="11">
        <f>'DEF_CALL_DECISION_SUPPORT'!F948</f>
        <v>2.0</v>
      </c>
      <c r="G652" s="11">
        <f>'DEF_CALL_DECISION_SUPPORT'!J948</f>
        <v>98.0</v>
      </c>
      <c r="H652" s="8" t="str">
        <f>'DEF_CALL_DECISION_SUPPORT'!I948</f>
        <v>TRACK</v>
      </c>
      <c r="I652" s="8" t="str">
        <f>'DEF_CALL_DECISION_SUPPORT'!K948</f>
        <v>Track Only</v>
      </c>
      <c r="J652" s="14" t="s">
        <v>2716</v>
      </c>
      <c r="K652" s="9" t="str">
        <f>'DEF_CALL_DECISION_SUPPORT'!L948</f>
        <v>Track only; not enough sample.</v>
      </c>
      <c r="L652" s="8" t="s">
        <v>2713</v>
      </c>
    </row>
    <row r="653" spans="1:12" ht="48" customHeight="1">
      <c r="A653" s="8" t="s">
        <v>571</v>
      </c>
      <c r="B653" s="8" t="str">
        <f>'DEF_CALL_DECISION_SUPPORT'!B993</f>
        <v>HOUND TEX</v>
      </c>
      <c r="C653" s="12">
        <f>'DEF_CALL_DECISION_SUPPORT'!C993</f>
        <v>1</v>
      </c>
      <c r="D653" s="10">
        <f>'DEF_CALL_DECISION_SUPPORT'!D993</f>
        <v>1.0</v>
      </c>
      <c r="E653" s="10">
        <f>'DEF_CALL_DECISION_SUPPORT'!E993</f>
        <v>0.0</v>
      </c>
      <c r="F653" s="11">
        <f>'DEF_CALL_DECISION_SUPPORT'!F993</f>
        <v>2.0</v>
      </c>
      <c r="G653" s="11">
        <f>'DEF_CALL_DECISION_SUPPORT'!J993</f>
        <v>98.0</v>
      </c>
      <c r="H653" s="8" t="str">
        <f>'DEF_CALL_DECISION_SUPPORT'!I993</f>
        <v>TRACK</v>
      </c>
      <c r="I653" s="8" t="str">
        <f>'DEF_CALL_DECISION_SUPPORT'!K993</f>
        <v>Track Only</v>
      </c>
      <c r="J653" s="14" t="s">
        <v>2716</v>
      </c>
      <c r="K653" s="9" t="str">
        <f>'DEF_CALL_DECISION_SUPPORT'!L993</f>
        <v>Track only; not enough sample.</v>
      </c>
      <c r="L653" s="8" t="s">
        <v>2713</v>
      </c>
    </row>
    <row r="654" spans="1:12" ht="48" customHeight="1">
      <c r="A654" s="8" t="s">
        <v>598</v>
      </c>
      <c r="B654" s="8" t="str">
        <f>'DEF_CALL_DECISION_SUPPORT'!B1025</f>
        <v>RAMBO</v>
      </c>
      <c r="C654" s="12">
        <f>'DEF_CALL_DECISION_SUPPORT'!C1025</f>
        <v>1</v>
      </c>
      <c r="D654" s="10">
        <f>'DEF_CALL_DECISION_SUPPORT'!D1025</f>
        <v>1.0</v>
      </c>
      <c r="E654" s="10">
        <f>'DEF_CALL_DECISION_SUPPORT'!E1025</f>
        <v>0.0</v>
      </c>
      <c r="F654" s="11">
        <f>'DEF_CALL_DECISION_SUPPORT'!F1025</f>
        <v>2.0</v>
      </c>
      <c r="G654" s="11">
        <f>'DEF_CALL_DECISION_SUPPORT'!J1025</f>
        <v>98.0</v>
      </c>
      <c r="H654" s="8" t="str">
        <f>'DEF_CALL_DECISION_SUPPORT'!I1025</f>
        <v>TRACK</v>
      </c>
      <c r="I654" s="8" t="str">
        <f>'DEF_CALL_DECISION_SUPPORT'!K1025</f>
        <v>Track Only</v>
      </c>
      <c r="J654" s="14" t="s">
        <v>2716</v>
      </c>
      <c r="K654" s="9" t="str">
        <f>'DEF_CALL_DECISION_SUPPORT'!L1025</f>
        <v>Track only; not enough sample.</v>
      </c>
      <c r="L654" s="8" t="s">
        <v>2713</v>
      </c>
    </row>
    <row r="655" spans="1:12" ht="48" customHeight="1">
      <c r="A655" s="8" t="s">
        <v>630</v>
      </c>
      <c r="B655" s="8" t="str">
        <f>'DEF_CALL_DECISION_SUPPORT'!B1216</f>
        <v>KEY BOOGIE</v>
      </c>
      <c r="C655" s="12">
        <f>'DEF_CALL_DECISION_SUPPORT'!C1216</f>
        <v>1</v>
      </c>
      <c r="D655" s="10">
        <f>'DEF_CALL_DECISION_SUPPORT'!D1216</f>
        <v>1.0</v>
      </c>
      <c r="E655" s="10">
        <f>'DEF_CALL_DECISION_SUPPORT'!E1216</f>
        <v>0.0</v>
      </c>
      <c r="F655" s="11">
        <f>'DEF_CALL_DECISION_SUPPORT'!F1216</f>
        <v>3.0</v>
      </c>
      <c r="G655" s="11">
        <f>'DEF_CALL_DECISION_SUPPORT'!J1216</f>
        <v>97.0</v>
      </c>
      <c r="H655" s="8" t="str">
        <f>'DEF_CALL_DECISION_SUPPORT'!I1216</f>
        <v>TRACK</v>
      </c>
      <c r="I655" s="8" t="str">
        <f>'DEF_CALL_DECISION_SUPPORT'!K1216</f>
        <v>Track Only</v>
      </c>
      <c r="J655" s="14" t="s">
        <v>2716</v>
      </c>
      <c r="K655" s="9" t="str">
        <f>'DEF_CALL_DECISION_SUPPORT'!L1216</f>
        <v>Track only; not enough sample.</v>
      </c>
      <c r="L655" s="8" t="s">
        <v>631</v>
      </c>
    </row>
    <row r="656" spans="1:12" ht="48" customHeight="1">
      <c r="A656" s="8" t="s">
        <v>630</v>
      </c>
      <c r="B656" s="8" t="str">
        <f>'DEF_CALL_DECISION_SUPPORT'!B1239</f>
        <v>SHINE</v>
      </c>
      <c r="C656" s="12">
        <f>'DEF_CALL_DECISION_SUPPORT'!C1239</f>
        <v>1</v>
      </c>
      <c r="D656" s="10">
        <f>'DEF_CALL_DECISION_SUPPORT'!D1239</f>
        <v>1.0</v>
      </c>
      <c r="E656" s="10">
        <f>'DEF_CALL_DECISION_SUPPORT'!E1239</f>
        <v>0.0</v>
      </c>
      <c r="F656" s="11">
        <f>'DEF_CALL_DECISION_SUPPORT'!F1239</f>
        <v>3.0</v>
      </c>
      <c r="G656" s="11">
        <f>'DEF_CALL_DECISION_SUPPORT'!J1239</f>
        <v>97.0</v>
      </c>
      <c r="H656" s="8" t="str">
        <f>'DEF_CALL_DECISION_SUPPORT'!I1239</f>
        <v>TRACK</v>
      </c>
      <c r="I656" s="8" t="str">
        <f>'DEF_CALL_DECISION_SUPPORT'!K1239</f>
        <v>Track Only</v>
      </c>
      <c r="J656" s="14" t="s">
        <v>2716</v>
      </c>
      <c r="K656" s="9" t="str">
        <f>'DEF_CALL_DECISION_SUPPORT'!L1239</f>
        <v>Track only; not enough sample.</v>
      </c>
      <c r="L656" s="8" t="s">
        <v>631</v>
      </c>
    </row>
    <row r="657" spans="1:12" ht="48" customHeight="1">
      <c r="A657" s="8" t="s">
        <v>446</v>
      </c>
      <c r="B657" s="8" t="str">
        <f>'DEF_CALL_DECISION_SUPPORT'!B1266</f>
        <v>BLIZZARD</v>
      </c>
      <c r="C657" s="12">
        <f>'DEF_CALL_DECISION_SUPPORT'!C1266</f>
        <v>1</v>
      </c>
      <c r="D657" s="10">
        <f>'DEF_CALL_DECISION_SUPPORT'!D1266</f>
        <v>1.0</v>
      </c>
      <c r="E657" s="10">
        <f>'DEF_CALL_DECISION_SUPPORT'!E1266</f>
        <v>0.0</v>
      </c>
      <c r="F657" s="11">
        <f>'DEF_CALL_DECISION_SUPPORT'!F1266</f>
        <v>3.0</v>
      </c>
      <c r="G657" s="11">
        <f>'DEF_CALL_DECISION_SUPPORT'!J1266</f>
        <v>97.0</v>
      </c>
      <c r="H657" s="8" t="str">
        <f>'DEF_CALL_DECISION_SUPPORT'!I1266</f>
        <v>TRACK</v>
      </c>
      <c r="I657" s="8" t="str">
        <f>'DEF_CALL_DECISION_SUPPORT'!K1266</f>
        <v>Track Only</v>
      </c>
      <c r="J657" s="14" t="s">
        <v>2716</v>
      </c>
      <c r="K657" s="9" t="str">
        <f>'DEF_CALL_DECISION_SUPPORT'!L1266</f>
        <v>Track only; not enough sample.</v>
      </c>
      <c r="L657" s="8" t="s">
        <v>781</v>
      </c>
    </row>
    <row r="658" spans="1:12" ht="48" customHeight="1">
      <c r="A658" s="8" t="s">
        <v>449</v>
      </c>
      <c r="B658" s="8" t="str">
        <f>'DEF_CALL_DECISION_SUPPORT'!B1295</f>
        <v>HOUND TEX</v>
      </c>
      <c r="C658" s="12">
        <f>'DEF_CALL_DECISION_SUPPORT'!C1295</f>
        <v>1</v>
      </c>
      <c r="D658" s="10">
        <f>'DEF_CALL_DECISION_SUPPORT'!D1295</f>
        <v>1.0</v>
      </c>
      <c r="E658" s="10">
        <f>'DEF_CALL_DECISION_SUPPORT'!E1295</f>
        <v>0.0</v>
      </c>
      <c r="F658" s="11">
        <f>'DEF_CALL_DECISION_SUPPORT'!F1295</f>
        <v>3.0</v>
      </c>
      <c r="G658" s="11">
        <f>'DEF_CALL_DECISION_SUPPORT'!J1295</f>
        <v>97.0</v>
      </c>
      <c r="H658" s="8" t="str">
        <f>'DEF_CALL_DECISION_SUPPORT'!I1295</f>
        <v>TRACK</v>
      </c>
      <c r="I658" s="8" t="str">
        <f>'DEF_CALL_DECISION_SUPPORT'!K1295</f>
        <v>Track Only</v>
      </c>
      <c r="J658" s="14" t="s">
        <v>2716</v>
      </c>
      <c r="K658" s="9" t="str">
        <f>'DEF_CALL_DECISION_SUPPORT'!L1295</f>
        <v>Track only; not enough sample.</v>
      </c>
      <c r="L658" s="8" t="s">
        <v>781</v>
      </c>
    </row>
    <row r="659" spans="1:12" ht="48" customHeight="1">
      <c r="A659" s="8" t="s">
        <v>432</v>
      </c>
      <c r="B659" s="8" t="str">
        <f>'DEF_CALL_DECISION_SUPPORT'!B1334</f>
        <v>SPIN REBEL</v>
      </c>
      <c r="C659" s="12">
        <f>'DEF_CALL_DECISION_SUPPORT'!C1334</f>
        <v>1</v>
      </c>
      <c r="D659" s="10">
        <f>'DEF_CALL_DECISION_SUPPORT'!D1334</f>
        <v>1.0</v>
      </c>
      <c r="E659" s="10">
        <f>'DEF_CALL_DECISION_SUPPORT'!E1334</f>
        <v>0.0</v>
      </c>
      <c r="F659" s="11">
        <f>'DEF_CALL_DECISION_SUPPORT'!F1334</f>
        <v>3.0</v>
      </c>
      <c r="G659" s="11">
        <f>'DEF_CALL_DECISION_SUPPORT'!J1334</f>
        <v>97.0</v>
      </c>
      <c r="H659" s="8" t="str">
        <f>'DEF_CALL_DECISION_SUPPORT'!I1334</f>
        <v>TRACK</v>
      </c>
      <c r="I659" s="8" t="str">
        <f>'DEF_CALL_DECISION_SUPPORT'!K1334</f>
        <v>Track Only</v>
      </c>
      <c r="J659" s="14" t="s">
        <v>2716</v>
      </c>
      <c r="K659" s="9" t="str">
        <f>'DEF_CALL_DECISION_SUPPORT'!L1334</f>
        <v>Track only; not enough sample.</v>
      </c>
      <c r="L659" s="8" t="s">
        <v>781</v>
      </c>
    </row>
    <row r="660" spans="1:12" ht="48" customHeight="1">
      <c r="A660" s="8" t="s">
        <v>457</v>
      </c>
      <c r="B660" s="8" t="str">
        <f>'DEF_CALL_DECISION_SUPPORT'!B1339</f>
        <v>SHINE BUC</v>
      </c>
      <c r="C660" s="12">
        <f>'DEF_CALL_DECISION_SUPPORT'!C1339</f>
        <v>1</v>
      </c>
      <c r="D660" s="10">
        <f>'DEF_CALL_DECISION_SUPPORT'!D1339</f>
        <v>1.0</v>
      </c>
      <c r="E660" s="10">
        <f>'DEF_CALL_DECISION_SUPPORT'!E1339</f>
        <v>0.0</v>
      </c>
      <c r="F660" s="11">
        <f>'DEF_CALL_DECISION_SUPPORT'!F1339</f>
        <v>3.0</v>
      </c>
      <c r="G660" s="11">
        <f>'DEF_CALL_DECISION_SUPPORT'!J1339</f>
        <v>97.0</v>
      </c>
      <c r="H660" s="8" t="str">
        <f>'DEF_CALL_DECISION_SUPPORT'!I1339</f>
        <v>TRACK</v>
      </c>
      <c r="I660" s="8" t="str">
        <f>'DEF_CALL_DECISION_SUPPORT'!K1339</f>
        <v>Track Only</v>
      </c>
      <c r="J660" s="14" t="s">
        <v>2716</v>
      </c>
      <c r="K660" s="9" t="str">
        <f>'DEF_CALL_DECISION_SUPPORT'!L1339</f>
        <v>Track only; not enough sample.</v>
      </c>
      <c r="L660" s="8" t="s">
        <v>781</v>
      </c>
    </row>
    <row r="661" spans="1:12" ht="48" customHeight="1">
      <c r="A661" s="8" t="s">
        <v>611</v>
      </c>
      <c r="B661" s="8" t="str">
        <f>'DEF_CALL_DECISION_SUPPORT'!B1340</f>
        <v>SWAP</v>
      </c>
      <c r="C661" s="12">
        <f>'DEF_CALL_DECISION_SUPPORT'!C1340</f>
        <v>1</v>
      </c>
      <c r="D661" s="10">
        <f>'DEF_CALL_DECISION_SUPPORT'!D1340</f>
        <v>1.0</v>
      </c>
      <c r="E661" s="10">
        <f>'DEF_CALL_DECISION_SUPPORT'!E1340</f>
        <v>0.0</v>
      </c>
      <c r="F661" s="11">
        <f>'DEF_CALL_DECISION_SUPPORT'!F1340</f>
        <v>3.0</v>
      </c>
      <c r="G661" s="11">
        <f>'DEF_CALL_DECISION_SUPPORT'!J1340</f>
        <v>97.0</v>
      </c>
      <c r="H661" s="8" t="str">
        <f>'DEF_CALL_DECISION_SUPPORT'!I1340</f>
        <v>TRACK</v>
      </c>
      <c r="I661" s="8" t="str">
        <f>'DEF_CALL_DECISION_SUPPORT'!K1340</f>
        <v>Track Only</v>
      </c>
      <c r="J661" s="14" t="s">
        <v>2716</v>
      </c>
      <c r="K661" s="9" t="str">
        <f>'DEF_CALL_DECISION_SUPPORT'!L1340</f>
        <v>Track only; not enough sample.</v>
      </c>
      <c r="L661" s="8" t="s">
        <v>781</v>
      </c>
    </row>
    <row r="662" spans="1:12" ht="48" customHeight="1">
      <c r="A662" s="8" t="s">
        <v>428</v>
      </c>
      <c r="B662" s="8" t="str">
        <f>'DEF_CALL_DECISION_SUPPORT'!B1368</f>
        <v>STICK GAMES</v>
      </c>
      <c r="C662" s="12">
        <f>'DEF_CALL_DECISION_SUPPORT'!C1368</f>
        <v>1</v>
      </c>
      <c r="D662" s="10">
        <f>'DEF_CALL_DECISION_SUPPORT'!D1368</f>
        <v>1.0</v>
      </c>
      <c r="E662" s="10">
        <f>'DEF_CALL_DECISION_SUPPORT'!E1368</f>
        <v>0.0</v>
      </c>
      <c r="F662" s="11">
        <f>'DEF_CALL_DECISION_SUPPORT'!F1368</f>
        <v>3.0</v>
      </c>
      <c r="G662" s="11">
        <f>'DEF_CALL_DECISION_SUPPORT'!J1368</f>
        <v>97.0</v>
      </c>
      <c r="H662" s="8" t="str">
        <f>'DEF_CALL_DECISION_SUPPORT'!I1368</f>
        <v>TRACK</v>
      </c>
      <c r="I662" s="8" t="str">
        <f>'DEF_CALL_DECISION_SUPPORT'!K1368</f>
        <v>Track Only</v>
      </c>
      <c r="J662" s="14" t="s">
        <v>2716</v>
      </c>
      <c r="K662" s="9" t="str">
        <f>'DEF_CALL_DECISION_SUPPORT'!L1368</f>
        <v>Track only; not enough sample.</v>
      </c>
      <c r="L662" s="8" t="s">
        <v>781</v>
      </c>
    </row>
    <row r="663" spans="1:12" ht="48" customHeight="1">
      <c r="A663" s="8" t="s">
        <v>468</v>
      </c>
      <c r="B663" s="8" t="str">
        <f>'DEF_CALL_DECISION_SUPPORT'!B1398</f>
        <v>KEY BOOGIE</v>
      </c>
      <c r="C663" s="12">
        <f>'DEF_CALL_DECISION_SUPPORT'!C1398</f>
        <v>1</v>
      </c>
      <c r="D663" s="10">
        <f>'DEF_CALL_DECISION_SUPPORT'!D1398</f>
        <v>1.0</v>
      </c>
      <c r="E663" s="10">
        <f>'DEF_CALL_DECISION_SUPPORT'!E1398</f>
        <v>0.0</v>
      </c>
      <c r="F663" s="11">
        <f>'DEF_CALL_DECISION_SUPPORT'!F1398</f>
        <v>3.0</v>
      </c>
      <c r="G663" s="11">
        <f>'DEF_CALL_DECISION_SUPPORT'!J1398</f>
        <v>97.0</v>
      </c>
      <c r="H663" s="8" t="str">
        <f>'DEF_CALL_DECISION_SUPPORT'!I1398</f>
        <v>TRACK</v>
      </c>
      <c r="I663" s="8" t="str">
        <f>'DEF_CALL_DECISION_SUPPORT'!K1398</f>
        <v>Track Only</v>
      </c>
      <c r="J663" s="14" t="s">
        <v>2716</v>
      </c>
      <c r="K663" s="9" t="str">
        <f>'DEF_CALL_DECISION_SUPPORT'!L1398</f>
        <v>Track only; not enough sample.</v>
      </c>
      <c r="L663" s="8" t="s">
        <v>781</v>
      </c>
    </row>
    <row r="664" spans="1:12" ht="48" customHeight="1">
      <c r="A664" s="8" t="s">
        <v>468</v>
      </c>
      <c r="B664" s="8" t="str">
        <f>'DEF_CALL_DECISION_SUPPORT'!B1404</f>
        <v>SHINE BUC</v>
      </c>
      <c r="C664" s="12">
        <f>'DEF_CALL_DECISION_SUPPORT'!C1404</f>
        <v>1</v>
      </c>
      <c r="D664" s="10">
        <f>'DEF_CALL_DECISION_SUPPORT'!D1404</f>
        <v>1.0</v>
      </c>
      <c r="E664" s="10">
        <f>'DEF_CALL_DECISION_SUPPORT'!E1404</f>
        <v>0.0</v>
      </c>
      <c r="F664" s="11">
        <f>'DEF_CALL_DECISION_SUPPORT'!F1404</f>
        <v>3.0</v>
      </c>
      <c r="G664" s="11">
        <f>'DEF_CALL_DECISION_SUPPORT'!J1404</f>
        <v>97.0</v>
      </c>
      <c r="H664" s="8" t="str">
        <f>'DEF_CALL_DECISION_SUPPORT'!I1404</f>
        <v>TRACK</v>
      </c>
      <c r="I664" s="8" t="str">
        <f>'DEF_CALL_DECISION_SUPPORT'!K1404</f>
        <v>Track Only</v>
      </c>
      <c r="J664" s="14" t="s">
        <v>2716</v>
      </c>
      <c r="K664" s="9" t="str">
        <f>'DEF_CALL_DECISION_SUPPORT'!L1404</f>
        <v>Track only; not enough sample.</v>
      </c>
      <c r="L664" s="8" t="s">
        <v>781</v>
      </c>
    </row>
    <row r="665" spans="1:12" ht="48" customHeight="1">
      <c r="A665" s="8" t="s">
        <v>438</v>
      </c>
      <c r="B665" s="8" t="str">
        <f>'DEF_CALL_DECISION_SUPPORT'!B1408</f>
        <v>FALCON</v>
      </c>
      <c r="C665" s="12">
        <f>'DEF_CALL_DECISION_SUPPORT'!C1408</f>
        <v>1</v>
      </c>
      <c r="D665" s="10">
        <f>'DEF_CALL_DECISION_SUPPORT'!D1408</f>
        <v>1.0</v>
      </c>
      <c r="E665" s="10">
        <f>'DEF_CALL_DECISION_SUPPORT'!E1408</f>
        <v>0.0</v>
      </c>
      <c r="F665" s="11">
        <f>'DEF_CALL_DECISION_SUPPORT'!F1408</f>
        <v>3.0</v>
      </c>
      <c r="G665" s="11">
        <f>'DEF_CALL_DECISION_SUPPORT'!J1408</f>
        <v>97.0</v>
      </c>
      <c r="H665" s="8" t="str">
        <f>'DEF_CALL_DECISION_SUPPORT'!I1408</f>
        <v>TRACK</v>
      </c>
      <c r="I665" s="8" t="str">
        <f>'DEF_CALL_DECISION_SUPPORT'!K1408</f>
        <v>Track Only</v>
      </c>
      <c r="J665" s="14" t="s">
        <v>2716</v>
      </c>
      <c r="K665" s="9" t="str">
        <f>'DEF_CALL_DECISION_SUPPORT'!L1408</f>
        <v>Track only; not enough sample.</v>
      </c>
      <c r="L665" s="8" t="s">
        <v>781</v>
      </c>
    </row>
    <row r="666" spans="1:12" ht="48" customHeight="1">
      <c r="A666" s="8" t="s">
        <v>541</v>
      </c>
      <c r="B666" s="8" t="str">
        <f>'DEF_CALL_DECISION_SUPPORT'!B1410</f>
        <v>TEX</v>
      </c>
      <c r="C666" s="12">
        <f>'DEF_CALL_DECISION_SUPPORT'!C1410</f>
        <v>1</v>
      </c>
      <c r="D666" s="10">
        <f>'DEF_CALL_DECISION_SUPPORT'!D1410</f>
        <v>1.0</v>
      </c>
      <c r="E666" s="10">
        <f>'DEF_CALL_DECISION_SUPPORT'!E1410</f>
        <v>0.0</v>
      </c>
      <c r="F666" s="11">
        <f>'DEF_CALL_DECISION_SUPPORT'!F1410</f>
        <v>3.0</v>
      </c>
      <c r="G666" s="11">
        <f>'DEF_CALL_DECISION_SUPPORT'!J1410</f>
        <v>97.0</v>
      </c>
      <c r="H666" s="8" t="str">
        <f>'DEF_CALL_DECISION_SUPPORT'!I1410</f>
        <v>TRACK</v>
      </c>
      <c r="I666" s="8" t="str">
        <f>'DEF_CALL_DECISION_SUPPORT'!K1410</f>
        <v>Track Only</v>
      </c>
      <c r="J666" s="14" t="s">
        <v>2716</v>
      </c>
      <c r="K666" s="9" t="str">
        <f>'DEF_CALL_DECISION_SUPPORT'!L1410</f>
        <v>Track only; not enough sample.</v>
      </c>
      <c r="L666" s="8" t="s">
        <v>781</v>
      </c>
    </row>
    <row r="667" spans="1:12" ht="48" customHeight="1">
      <c r="A667" s="8" t="s">
        <v>474</v>
      </c>
      <c r="B667" s="8" t="str">
        <f>'DEF_CALL_DECISION_SUPPORT'!B1428</f>
        <v>MIX BOURBON</v>
      </c>
      <c r="C667" s="12">
        <f>'DEF_CALL_DECISION_SUPPORT'!C1428</f>
        <v>1</v>
      </c>
      <c r="D667" s="10">
        <f>'DEF_CALL_DECISION_SUPPORT'!D1428</f>
        <v>1.0</v>
      </c>
      <c r="E667" s="10">
        <f>'DEF_CALL_DECISION_SUPPORT'!E1428</f>
        <v>0.0</v>
      </c>
      <c r="F667" s="11">
        <f>'DEF_CALL_DECISION_SUPPORT'!F1428</f>
        <v>3.0</v>
      </c>
      <c r="G667" s="11">
        <f>'DEF_CALL_DECISION_SUPPORT'!J1428</f>
        <v>97.0</v>
      </c>
      <c r="H667" s="8" t="str">
        <f>'DEF_CALL_DECISION_SUPPORT'!I1428</f>
        <v>TRACK</v>
      </c>
      <c r="I667" s="8" t="str">
        <f>'DEF_CALL_DECISION_SUPPORT'!K1428</f>
        <v>Track Only</v>
      </c>
      <c r="J667" s="14" t="s">
        <v>2716</v>
      </c>
      <c r="K667" s="9" t="str">
        <f>'DEF_CALL_DECISION_SUPPORT'!L1428</f>
        <v>Track only; not enough sample.</v>
      </c>
      <c r="L667" s="8" t="s">
        <v>781</v>
      </c>
    </row>
    <row r="668" spans="1:12" ht="48" customHeight="1">
      <c r="A668" s="8" t="s">
        <v>480</v>
      </c>
      <c r="B668" s="8" t="str">
        <f>'DEF_CALL_DECISION_SUPPORT'!B1439</f>
        <v>RAMBO</v>
      </c>
      <c r="C668" s="12">
        <f>'DEF_CALL_DECISION_SUPPORT'!C1439</f>
        <v>1</v>
      </c>
      <c r="D668" s="10">
        <f>'DEF_CALL_DECISION_SUPPORT'!D1439</f>
        <v>1.0</v>
      </c>
      <c r="E668" s="10">
        <f>'DEF_CALL_DECISION_SUPPORT'!E1439</f>
        <v>0.0</v>
      </c>
      <c r="F668" s="11">
        <f>'DEF_CALL_DECISION_SUPPORT'!F1439</f>
        <v>3.0</v>
      </c>
      <c r="G668" s="11">
        <f>'DEF_CALL_DECISION_SUPPORT'!J1439</f>
        <v>97.0</v>
      </c>
      <c r="H668" s="8" t="str">
        <f>'DEF_CALL_DECISION_SUPPORT'!I1439</f>
        <v>TRACK</v>
      </c>
      <c r="I668" s="8" t="str">
        <f>'DEF_CALL_DECISION_SUPPORT'!K1439</f>
        <v>Track Only</v>
      </c>
      <c r="J668" s="14" t="s">
        <v>2716</v>
      </c>
      <c r="K668" s="9" t="str">
        <f>'DEF_CALL_DECISION_SUPPORT'!L1439</f>
        <v>Track only; not enough sample.</v>
      </c>
      <c r="L668" s="8" t="s">
        <v>781</v>
      </c>
    </row>
    <row r="669" spans="1:12" ht="48" customHeight="1">
      <c r="A669" s="8" t="s">
        <v>480</v>
      </c>
      <c r="B669" s="8" t="str">
        <f>'DEF_CALL_DECISION_SUPPORT'!B1440</f>
        <v>SHINE</v>
      </c>
      <c r="C669" s="12">
        <f>'DEF_CALL_DECISION_SUPPORT'!C1440</f>
        <v>1</v>
      </c>
      <c r="D669" s="10">
        <f>'DEF_CALL_DECISION_SUPPORT'!D1440</f>
        <v>1.0</v>
      </c>
      <c r="E669" s="10">
        <f>'DEF_CALL_DECISION_SUPPORT'!E1440</f>
        <v>0.0</v>
      </c>
      <c r="F669" s="11">
        <f>'DEF_CALL_DECISION_SUPPORT'!F1440</f>
        <v>3.0</v>
      </c>
      <c r="G669" s="11">
        <f>'DEF_CALL_DECISION_SUPPORT'!J1440</f>
        <v>97.0</v>
      </c>
      <c r="H669" s="8" t="str">
        <f>'DEF_CALL_DECISION_SUPPORT'!I1440</f>
        <v>TRACK</v>
      </c>
      <c r="I669" s="8" t="str">
        <f>'DEF_CALL_DECISION_SUPPORT'!K1440</f>
        <v>Track Only</v>
      </c>
      <c r="J669" s="14" t="s">
        <v>2716</v>
      </c>
      <c r="K669" s="9" t="str">
        <f>'DEF_CALL_DECISION_SUPPORT'!L1440</f>
        <v>Track only; not enough sample.</v>
      </c>
      <c r="L669" s="8" t="s">
        <v>781</v>
      </c>
    </row>
    <row r="670" spans="1:12" ht="48" customHeight="1">
      <c r="A670" s="8" t="s">
        <v>437</v>
      </c>
      <c r="B670" s="8" t="str">
        <f>'DEF_CALL_DECISION_SUPPORT'!B815</f>
        <v>FALCON</v>
      </c>
      <c r="C670" s="12">
        <f>'DEF_CALL_DECISION_SUPPORT'!C815</f>
        <v>1</v>
      </c>
      <c r="D670" s="10">
        <f>'DEF_CALL_DECISION_SUPPORT'!D815</f>
        <v>1.0</v>
      </c>
      <c r="E670" s="10">
        <f>'DEF_CALL_DECISION_SUPPORT'!E815</f>
        <v>0.0</v>
      </c>
      <c r="F670" s="11">
        <f>'DEF_CALL_DECISION_SUPPORT'!F815</f>
        <v>3.0</v>
      </c>
      <c r="G670" s="11">
        <f>'DEF_CALL_DECISION_SUPPORT'!J815</f>
        <v>97.0</v>
      </c>
      <c r="H670" s="8" t="str">
        <f>'DEF_CALL_DECISION_SUPPORT'!I815</f>
        <v>TRACK</v>
      </c>
      <c r="I670" s="8" t="str">
        <f>'DEF_CALL_DECISION_SUPPORT'!K815</f>
        <v>Track Only</v>
      </c>
      <c r="J670" s="14" t="s">
        <v>2716</v>
      </c>
      <c r="K670" s="9" t="str">
        <f>'DEF_CALL_DECISION_SUPPORT'!L815</f>
        <v>Track only; not enough sample.</v>
      </c>
      <c r="L670" s="8" t="s">
        <v>2713</v>
      </c>
    </row>
    <row r="671" spans="1:12" ht="48" customHeight="1">
      <c r="A671" s="8" t="s">
        <v>445</v>
      </c>
      <c r="B671" s="8" t="str">
        <f>'DEF_CALL_DECISION_SUPPORT'!B822</f>
        <v>REBEL</v>
      </c>
      <c r="C671" s="12">
        <f>'DEF_CALL_DECISION_SUPPORT'!C822</f>
        <v>1</v>
      </c>
      <c r="D671" s="10">
        <f>'DEF_CALL_DECISION_SUPPORT'!D822</f>
        <v>1.0</v>
      </c>
      <c r="E671" s="10">
        <f>'DEF_CALL_DECISION_SUPPORT'!E822</f>
        <v>0.0</v>
      </c>
      <c r="F671" s="11">
        <f>'DEF_CALL_DECISION_SUPPORT'!F822</f>
        <v>3.0</v>
      </c>
      <c r="G671" s="11">
        <f>'DEF_CALL_DECISION_SUPPORT'!J822</f>
        <v>97.0</v>
      </c>
      <c r="H671" s="8" t="str">
        <f>'DEF_CALL_DECISION_SUPPORT'!I822</f>
        <v>TRACK</v>
      </c>
      <c r="I671" s="8" t="str">
        <f>'DEF_CALL_DECISION_SUPPORT'!K822</f>
        <v>Track Only</v>
      </c>
      <c r="J671" s="14" t="s">
        <v>2716</v>
      </c>
      <c r="K671" s="9" t="str">
        <f>'DEF_CALL_DECISION_SUPPORT'!L822</f>
        <v>Track only; not enough sample.</v>
      </c>
      <c r="L671" s="8" t="s">
        <v>2713</v>
      </c>
    </row>
    <row r="672" spans="1:12" ht="48" customHeight="1">
      <c r="A672" s="8" t="s">
        <v>456</v>
      </c>
      <c r="B672" s="8" t="str">
        <f>'DEF_CALL_DECISION_SUPPORT'!B842</f>
        <v>SHINE BUC</v>
      </c>
      <c r="C672" s="12">
        <f>'DEF_CALL_DECISION_SUPPORT'!C842</f>
        <v>1</v>
      </c>
      <c r="D672" s="10">
        <f>'DEF_CALL_DECISION_SUPPORT'!D842</f>
        <v>1.0</v>
      </c>
      <c r="E672" s="10">
        <f>'DEF_CALL_DECISION_SUPPORT'!E842</f>
        <v>0.0</v>
      </c>
      <c r="F672" s="11">
        <f>'DEF_CALL_DECISION_SUPPORT'!F842</f>
        <v>3.0</v>
      </c>
      <c r="G672" s="11">
        <f>'DEF_CALL_DECISION_SUPPORT'!J842</f>
        <v>97.0</v>
      </c>
      <c r="H672" s="8" t="str">
        <f>'DEF_CALL_DECISION_SUPPORT'!I842</f>
        <v>TRACK</v>
      </c>
      <c r="I672" s="8" t="str">
        <f>'DEF_CALL_DECISION_SUPPORT'!K842</f>
        <v>Track Only</v>
      </c>
      <c r="J672" s="14" t="s">
        <v>2716</v>
      </c>
      <c r="K672" s="9" t="str">
        <f>'DEF_CALL_DECISION_SUPPORT'!L842</f>
        <v>Track only; not enough sample.</v>
      </c>
      <c r="L672" s="8" t="s">
        <v>2713</v>
      </c>
    </row>
    <row r="673" spans="1:12" ht="48" customHeight="1">
      <c r="A673" s="8" t="s">
        <v>462</v>
      </c>
      <c r="B673" s="8" t="str">
        <f>'DEF_CALL_DECISION_SUPPORT'!B850</f>
        <v>KEY CAPTAIN</v>
      </c>
      <c r="C673" s="12">
        <f>'DEF_CALL_DECISION_SUPPORT'!C850</f>
        <v>1</v>
      </c>
      <c r="D673" s="10">
        <f>'DEF_CALL_DECISION_SUPPORT'!D850</f>
        <v>1.0</v>
      </c>
      <c r="E673" s="10">
        <f>'DEF_CALL_DECISION_SUPPORT'!E850</f>
        <v>0.0</v>
      </c>
      <c r="F673" s="11">
        <f>'DEF_CALL_DECISION_SUPPORT'!F850</f>
        <v>3.0</v>
      </c>
      <c r="G673" s="11">
        <f>'DEF_CALL_DECISION_SUPPORT'!J850</f>
        <v>97.0</v>
      </c>
      <c r="H673" s="8" t="str">
        <f>'DEF_CALL_DECISION_SUPPORT'!I850</f>
        <v>TRACK</v>
      </c>
      <c r="I673" s="8" t="str">
        <f>'DEF_CALL_DECISION_SUPPORT'!K850</f>
        <v>Track Only</v>
      </c>
      <c r="J673" s="14" t="s">
        <v>2716</v>
      </c>
      <c r="K673" s="9" t="str">
        <f>'DEF_CALL_DECISION_SUPPORT'!L850</f>
        <v>Track only; not enough sample.</v>
      </c>
      <c r="L673" s="8" t="s">
        <v>2713</v>
      </c>
    </row>
    <row r="674" spans="1:12" ht="48" customHeight="1">
      <c r="A674" s="8" t="s">
        <v>462</v>
      </c>
      <c r="B674" s="8" t="str">
        <f>'DEF_CALL_DECISION_SUPPORT'!B856</f>
        <v>STUD</v>
      </c>
      <c r="C674" s="12">
        <f>'DEF_CALL_DECISION_SUPPORT'!C856</f>
        <v>1</v>
      </c>
      <c r="D674" s="10">
        <f>'DEF_CALL_DECISION_SUPPORT'!D856</f>
        <v>1.0</v>
      </c>
      <c r="E674" s="10">
        <f>'DEF_CALL_DECISION_SUPPORT'!E856</f>
        <v>0.0</v>
      </c>
      <c r="F674" s="11">
        <f>'DEF_CALL_DECISION_SUPPORT'!F856</f>
        <v>3.0</v>
      </c>
      <c r="G674" s="11">
        <f>'DEF_CALL_DECISION_SUPPORT'!J856</f>
        <v>97.0</v>
      </c>
      <c r="H674" s="8" t="str">
        <f>'DEF_CALL_DECISION_SUPPORT'!I856</f>
        <v>TRACK</v>
      </c>
      <c r="I674" s="8" t="str">
        <f>'DEF_CALL_DECISION_SUPPORT'!K856</f>
        <v>Track Only</v>
      </c>
      <c r="J674" s="14" t="s">
        <v>2716</v>
      </c>
      <c r="K674" s="9" t="str">
        <f>'DEF_CALL_DECISION_SUPPORT'!L856</f>
        <v>Track only; not enough sample.</v>
      </c>
      <c r="L674" s="8" t="s">
        <v>2713</v>
      </c>
    </row>
    <row r="675" spans="1:12" ht="48" customHeight="1">
      <c r="A675" s="8" t="s">
        <v>467</v>
      </c>
      <c r="B675" s="8" t="str">
        <f>'DEF_CALL_DECISION_SUPPORT'!B866</f>
        <v>KEY BOOGIE</v>
      </c>
      <c r="C675" s="12">
        <f>'DEF_CALL_DECISION_SUPPORT'!C866</f>
        <v>1</v>
      </c>
      <c r="D675" s="10">
        <f>'DEF_CALL_DECISION_SUPPORT'!D866</f>
        <v>1.0</v>
      </c>
      <c r="E675" s="10">
        <f>'DEF_CALL_DECISION_SUPPORT'!E866</f>
        <v>0.0</v>
      </c>
      <c r="F675" s="11">
        <f>'DEF_CALL_DECISION_SUPPORT'!F866</f>
        <v>3.0</v>
      </c>
      <c r="G675" s="11">
        <f>'DEF_CALL_DECISION_SUPPORT'!J866</f>
        <v>97.0</v>
      </c>
      <c r="H675" s="8" t="str">
        <f>'DEF_CALL_DECISION_SUPPORT'!I866</f>
        <v>TRACK</v>
      </c>
      <c r="I675" s="8" t="str">
        <f>'DEF_CALL_DECISION_SUPPORT'!K866</f>
        <v>Track Only</v>
      </c>
      <c r="J675" s="14" t="s">
        <v>2716</v>
      </c>
      <c r="K675" s="9" t="str">
        <f>'DEF_CALL_DECISION_SUPPORT'!L866</f>
        <v>Track only; not enough sample.</v>
      </c>
      <c r="L675" s="8" t="s">
        <v>2713</v>
      </c>
    </row>
    <row r="676" spans="1:12" ht="48" customHeight="1">
      <c r="A676" s="8" t="s">
        <v>467</v>
      </c>
      <c r="B676" s="8" t="str">
        <f>'DEF_CALL_DECISION_SUPPORT'!B870</f>
        <v>SHINE BUC</v>
      </c>
      <c r="C676" s="12">
        <f>'DEF_CALL_DECISION_SUPPORT'!C870</f>
        <v>1</v>
      </c>
      <c r="D676" s="10">
        <f>'DEF_CALL_DECISION_SUPPORT'!D870</f>
        <v>1.0</v>
      </c>
      <c r="E676" s="10">
        <f>'DEF_CALL_DECISION_SUPPORT'!E870</f>
        <v>0.0</v>
      </c>
      <c r="F676" s="11">
        <f>'DEF_CALL_DECISION_SUPPORT'!F870</f>
        <v>3.0</v>
      </c>
      <c r="G676" s="11">
        <f>'DEF_CALL_DECISION_SUPPORT'!J870</f>
        <v>97.0</v>
      </c>
      <c r="H676" s="8" t="str">
        <f>'DEF_CALL_DECISION_SUPPORT'!I870</f>
        <v>TRACK</v>
      </c>
      <c r="I676" s="8" t="str">
        <f>'DEF_CALL_DECISION_SUPPORT'!K870</f>
        <v>Track Only</v>
      </c>
      <c r="J676" s="14" t="s">
        <v>2716</v>
      </c>
      <c r="K676" s="9" t="str">
        <f>'DEF_CALL_DECISION_SUPPORT'!L870</f>
        <v>Track only; not enough sample.</v>
      </c>
      <c r="L676" s="8" t="s">
        <v>2713</v>
      </c>
    </row>
    <row r="677" spans="1:12" ht="48" customHeight="1">
      <c r="A677" s="8" t="s">
        <v>473</v>
      </c>
      <c r="B677" s="8" t="str">
        <f>'DEF_CALL_DECISION_SUPPORT'!B877</f>
        <v>MIX BOURBON</v>
      </c>
      <c r="C677" s="12">
        <f>'DEF_CALL_DECISION_SUPPORT'!C877</f>
        <v>1</v>
      </c>
      <c r="D677" s="10">
        <f>'DEF_CALL_DECISION_SUPPORT'!D877</f>
        <v>1.0</v>
      </c>
      <c r="E677" s="10">
        <f>'DEF_CALL_DECISION_SUPPORT'!E877</f>
        <v>0.0</v>
      </c>
      <c r="F677" s="11">
        <f>'DEF_CALL_DECISION_SUPPORT'!F877</f>
        <v>3.0</v>
      </c>
      <c r="G677" s="11">
        <f>'DEF_CALL_DECISION_SUPPORT'!J877</f>
        <v>97.0</v>
      </c>
      <c r="H677" s="8" t="str">
        <f>'DEF_CALL_DECISION_SUPPORT'!I877</f>
        <v>TRACK</v>
      </c>
      <c r="I677" s="8" t="str">
        <f>'DEF_CALL_DECISION_SUPPORT'!K877</f>
        <v>Track Only</v>
      </c>
      <c r="J677" s="14" t="s">
        <v>2716</v>
      </c>
      <c r="K677" s="9" t="str">
        <f>'DEF_CALL_DECISION_SUPPORT'!L877</f>
        <v>Track only; not enough sample.</v>
      </c>
      <c r="L677" s="8" t="s">
        <v>2713</v>
      </c>
    </row>
    <row r="678" spans="1:12" ht="48" customHeight="1">
      <c r="A678" s="8" t="s">
        <v>502</v>
      </c>
      <c r="B678" s="8" t="str">
        <f>'DEF_CALL_DECISION_SUPPORT'!B898</f>
        <v>HOUND TEX</v>
      </c>
      <c r="C678" s="12">
        <f>'DEF_CALL_DECISION_SUPPORT'!C898</f>
        <v>1</v>
      </c>
      <c r="D678" s="10">
        <f>'DEF_CALL_DECISION_SUPPORT'!D898</f>
        <v>1.0</v>
      </c>
      <c r="E678" s="10">
        <f>'DEF_CALL_DECISION_SUPPORT'!E898</f>
        <v>0.0</v>
      </c>
      <c r="F678" s="11">
        <f>'DEF_CALL_DECISION_SUPPORT'!F898</f>
        <v>3.0</v>
      </c>
      <c r="G678" s="11">
        <f>'DEF_CALL_DECISION_SUPPORT'!J898</f>
        <v>97.0</v>
      </c>
      <c r="H678" s="8" t="str">
        <f>'DEF_CALL_DECISION_SUPPORT'!I898</f>
        <v>TRACK</v>
      </c>
      <c r="I678" s="8" t="str">
        <f>'DEF_CALL_DECISION_SUPPORT'!K898</f>
        <v>Track Only</v>
      </c>
      <c r="J678" s="14" t="s">
        <v>2716</v>
      </c>
      <c r="K678" s="9" t="str">
        <f>'DEF_CALL_DECISION_SUPPORT'!L898</f>
        <v>Track only; not enough sample.</v>
      </c>
      <c r="L678" s="8" t="s">
        <v>2713</v>
      </c>
    </row>
    <row r="679" spans="1:12" ht="48" customHeight="1">
      <c r="A679" s="8" t="s">
        <v>508</v>
      </c>
      <c r="B679" s="8" t="str">
        <f>'DEF_CALL_DECISION_SUPPORT'!B903</f>
        <v>MIX CAPTAIN</v>
      </c>
      <c r="C679" s="12">
        <f>'DEF_CALL_DECISION_SUPPORT'!C903</f>
        <v>1</v>
      </c>
      <c r="D679" s="10">
        <f>'DEF_CALL_DECISION_SUPPORT'!D903</f>
        <v>1.0</v>
      </c>
      <c r="E679" s="10">
        <f>'DEF_CALL_DECISION_SUPPORT'!E903</f>
        <v>0.0</v>
      </c>
      <c r="F679" s="11">
        <f>'DEF_CALL_DECISION_SUPPORT'!F903</f>
        <v>3.0</v>
      </c>
      <c r="G679" s="11">
        <f>'DEF_CALL_DECISION_SUPPORT'!J903</f>
        <v>97.0</v>
      </c>
      <c r="H679" s="8" t="str">
        <f>'DEF_CALL_DECISION_SUPPORT'!I903</f>
        <v>TRACK</v>
      </c>
      <c r="I679" s="8" t="str">
        <f>'DEF_CALL_DECISION_SUPPORT'!K903</f>
        <v>Track Only</v>
      </c>
      <c r="J679" s="14" t="s">
        <v>2716</v>
      </c>
      <c r="K679" s="9" t="str">
        <f>'DEF_CALL_DECISION_SUPPORT'!L903</f>
        <v>Track only; not enough sample.</v>
      </c>
      <c r="L679" s="8" t="s">
        <v>2713</v>
      </c>
    </row>
    <row r="680" spans="1:12" ht="48" customHeight="1">
      <c r="A680" s="8" t="s">
        <v>532</v>
      </c>
      <c r="B680" s="8" t="str">
        <f>'DEF_CALL_DECISION_SUPPORT'!B942</f>
        <v>SPIN REBEL</v>
      </c>
      <c r="C680" s="12">
        <f>'DEF_CALL_DECISION_SUPPORT'!C942</f>
        <v>1</v>
      </c>
      <c r="D680" s="10">
        <f>'DEF_CALL_DECISION_SUPPORT'!D942</f>
        <v>1.0</v>
      </c>
      <c r="E680" s="10">
        <f>'DEF_CALL_DECISION_SUPPORT'!E942</f>
        <v>0.0</v>
      </c>
      <c r="F680" s="11">
        <f>'DEF_CALL_DECISION_SUPPORT'!F942</f>
        <v>3.0</v>
      </c>
      <c r="G680" s="11">
        <f>'DEF_CALL_DECISION_SUPPORT'!J942</f>
        <v>97.0</v>
      </c>
      <c r="H680" s="8" t="str">
        <f>'DEF_CALL_DECISION_SUPPORT'!I942</f>
        <v>TRACK</v>
      </c>
      <c r="I680" s="8" t="str">
        <f>'DEF_CALL_DECISION_SUPPORT'!K942</f>
        <v>Track Only</v>
      </c>
      <c r="J680" s="14" t="s">
        <v>2716</v>
      </c>
      <c r="K680" s="9" t="str">
        <f>'DEF_CALL_DECISION_SUPPORT'!L942</f>
        <v>Track only; not enough sample.</v>
      </c>
      <c r="L680" s="8" t="s">
        <v>2713</v>
      </c>
    </row>
    <row r="681" spans="1:12" ht="48" customHeight="1">
      <c r="A681" s="8" t="s">
        <v>534</v>
      </c>
      <c r="B681" s="8" t="str">
        <f>'DEF_CALL_DECISION_SUPPORT'!B945</f>
        <v>KEY SHINE</v>
      </c>
      <c r="C681" s="12">
        <f>'DEF_CALL_DECISION_SUPPORT'!C945</f>
        <v>1</v>
      </c>
      <c r="D681" s="10">
        <f>'DEF_CALL_DECISION_SUPPORT'!D945</f>
        <v>1.0</v>
      </c>
      <c r="E681" s="10">
        <f>'DEF_CALL_DECISION_SUPPORT'!E945</f>
        <v>0.0</v>
      </c>
      <c r="F681" s="11">
        <f>'DEF_CALL_DECISION_SUPPORT'!F945</f>
        <v>3.0</v>
      </c>
      <c r="G681" s="11">
        <f>'DEF_CALL_DECISION_SUPPORT'!J945</f>
        <v>97.0</v>
      </c>
      <c r="H681" s="8" t="str">
        <f>'DEF_CALL_DECISION_SUPPORT'!I945</f>
        <v>TRACK</v>
      </c>
      <c r="I681" s="8" t="str">
        <f>'DEF_CALL_DECISION_SUPPORT'!K945</f>
        <v>Track Only</v>
      </c>
      <c r="J681" s="14" t="s">
        <v>2716</v>
      </c>
      <c r="K681" s="9" t="str">
        <f>'DEF_CALL_DECISION_SUPPORT'!L945</f>
        <v>Track only; not enough sample.</v>
      </c>
      <c r="L681" s="8" t="s">
        <v>2713</v>
      </c>
    </row>
    <row r="682" spans="1:12" ht="48" customHeight="1">
      <c r="A682" s="8" t="s">
        <v>536</v>
      </c>
      <c r="B682" s="8" t="str">
        <f>'DEF_CALL_DECISION_SUPPORT'!B951</f>
        <v>9 DICE</v>
      </c>
      <c r="C682" s="12">
        <f>'DEF_CALL_DECISION_SUPPORT'!C951</f>
        <v>1</v>
      </c>
      <c r="D682" s="10">
        <f>'DEF_CALL_DECISION_SUPPORT'!D951</f>
        <v>1.0</v>
      </c>
      <c r="E682" s="10">
        <f>'DEF_CALL_DECISION_SUPPORT'!E951</f>
        <v>0.0</v>
      </c>
      <c r="F682" s="11">
        <f>'DEF_CALL_DECISION_SUPPORT'!F951</f>
        <v>3.0</v>
      </c>
      <c r="G682" s="11">
        <f>'DEF_CALL_DECISION_SUPPORT'!J951</f>
        <v>97.0</v>
      </c>
      <c r="H682" s="8" t="str">
        <f>'DEF_CALL_DECISION_SUPPORT'!I951</f>
        <v>TRACK</v>
      </c>
      <c r="I682" s="8" t="str">
        <f>'DEF_CALL_DECISION_SUPPORT'!K951</f>
        <v>Track Only</v>
      </c>
      <c r="J682" s="14" t="s">
        <v>2716</v>
      </c>
      <c r="K682" s="9" t="str">
        <f>'DEF_CALL_DECISION_SUPPORT'!L951</f>
        <v>Track only; not enough sample.</v>
      </c>
      <c r="L682" s="8" t="s">
        <v>2713</v>
      </c>
    </row>
    <row r="683" spans="1:12" ht="48" customHeight="1">
      <c r="A683" s="8" t="s">
        <v>545</v>
      </c>
      <c r="B683" s="8" t="str">
        <f>'DEF_CALL_DECISION_SUPPORT'!B963</f>
        <v>SHINE</v>
      </c>
      <c r="C683" s="12">
        <f>'DEF_CALL_DECISION_SUPPORT'!C963</f>
        <v>1</v>
      </c>
      <c r="D683" s="10">
        <f>'DEF_CALL_DECISION_SUPPORT'!D963</f>
        <v>1.0</v>
      </c>
      <c r="E683" s="10">
        <f>'DEF_CALL_DECISION_SUPPORT'!E963</f>
        <v>0.0</v>
      </c>
      <c r="F683" s="11">
        <f>'DEF_CALL_DECISION_SUPPORT'!F963</f>
        <v>3.0</v>
      </c>
      <c r="G683" s="11">
        <f>'DEF_CALL_DECISION_SUPPORT'!J963</f>
        <v>97.0</v>
      </c>
      <c r="H683" s="8" t="str">
        <f>'DEF_CALL_DECISION_SUPPORT'!I963</f>
        <v>TRACK</v>
      </c>
      <c r="I683" s="8" t="str">
        <f>'DEF_CALL_DECISION_SUPPORT'!K963</f>
        <v>Track Only</v>
      </c>
      <c r="J683" s="14" t="s">
        <v>2716</v>
      </c>
      <c r="K683" s="9" t="str">
        <f>'DEF_CALL_DECISION_SUPPORT'!L963</f>
        <v>Track only; not enough sample.</v>
      </c>
      <c r="L683" s="8" t="s">
        <v>2713</v>
      </c>
    </row>
    <row r="684" spans="1:12" ht="48" customHeight="1">
      <c r="A684" s="8" t="s">
        <v>582</v>
      </c>
      <c r="B684" s="8" t="str">
        <f>'DEF_CALL_DECISION_SUPPORT'!B1010</f>
        <v>STICK GAMES</v>
      </c>
      <c r="C684" s="12">
        <f>'DEF_CALL_DECISION_SUPPORT'!C1010</f>
        <v>1</v>
      </c>
      <c r="D684" s="10">
        <f>'DEF_CALL_DECISION_SUPPORT'!D1010</f>
        <v>1.0</v>
      </c>
      <c r="E684" s="10">
        <f>'DEF_CALL_DECISION_SUPPORT'!E1010</f>
        <v>0.0</v>
      </c>
      <c r="F684" s="11">
        <f>'DEF_CALL_DECISION_SUPPORT'!F1010</f>
        <v>3.0</v>
      </c>
      <c r="G684" s="11">
        <f>'DEF_CALL_DECISION_SUPPORT'!J1010</f>
        <v>97.0</v>
      </c>
      <c r="H684" s="8" t="str">
        <f>'DEF_CALL_DECISION_SUPPORT'!I1010</f>
        <v>TRACK</v>
      </c>
      <c r="I684" s="8" t="str">
        <f>'DEF_CALL_DECISION_SUPPORT'!K1010</f>
        <v>Track Only</v>
      </c>
      <c r="J684" s="14" t="s">
        <v>2716</v>
      </c>
      <c r="K684" s="9" t="str">
        <f>'DEF_CALL_DECISION_SUPPORT'!L1010</f>
        <v>Track only; not enough sample.</v>
      </c>
      <c r="L684" s="8" t="s">
        <v>2713</v>
      </c>
    </row>
    <row r="685" spans="1:12" ht="48" customHeight="1">
      <c r="A685" s="8" t="s">
        <v>596</v>
      </c>
      <c r="B685" s="8" t="str">
        <f>'DEF_CALL_DECISION_SUPPORT'!B1019</f>
        <v>BLIZZARD</v>
      </c>
      <c r="C685" s="12">
        <f>'DEF_CALL_DECISION_SUPPORT'!C1019</f>
        <v>1</v>
      </c>
      <c r="D685" s="10">
        <f>'DEF_CALL_DECISION_SUPPORT'!D1019</f>
        <v>1.0</v>
      </c>
      <c r="E685" s="10">
        <f>'DEF_CALL_DECISION_SUPPORT'!E1019</f>
        <v>0.0</v>
      </c>
      <c r="F685" s="11">
        <f>'DEF_CALL_DECISION_SUPPORT'!F1019</f>
        <v>3.0</v>
      </c>
      <c r="G685" s="11">
        <f>'DEF_CALL_DECISION_SUPPORT'!J1019</f>
        <v>97.0</v>
      </c>
      <c r="H685" s="8" t="str">
        <f>'DEF_CALL_DECISION_SUPPORT'!I1019</f>
        <v>TRACK</v>
      </c>
      <c r="I685" s="8" t="str">
        <f>'DEF_CALL_DECISION_SUPPORT'!K1019</f>
        <v>Track Only</v>
      </c>
      <c r="J685" s="14" t="s">
        <v>2716</v>
      </c>
      <c r="K685" s="9" t="str">
        <f>'DEF_CALL_DECISION_SUPPORT'!L1019</f>
        <v>Track only; not enough sample.</v>
      </c>
      <c r="L685" s="8" t="s">
        <v>2713</v>
      </c>
    </row>
    <row r="686" spans="1:12" ht="48" customHeight="1">
      <c r="A686" s="8" t="s">
        <v>598</v>
      </c>
      <c r="B686" s="8" t="str">
        <f>'DEF_CALL_DECISION_SUPPORT'!B1026</f>
        <v>SMOKE WHITE</v>
      </c>
      <c r="C686" s="12">
        <f>'DEF_CALL_DECISION_SUPPORT'!C1026</f>
        <v>1</v>
      </c>
      <c r="D686" s="10">
        <f>'DEF_CALL_DECISION_SUPPORT'!D1026</f>
        <v>1.0</v>
      </c>
      <c r="E686" s="10">
        <f>'DEF_CALL_DECISION_SUPPORT'!E1026</f>
        <v>0.0</v>
      </c>
      <c r="F686" s="11">
        <f>'DEF_CALL_DECISION_SUPPORT'!F1026</f>
        <v>3.0</v>
      </c>
      <c r="G686" s="11">
        <f>'DEF_CALL_DECISION_SUPPORT'!J1026</f>
        <v>97.0</v>
      </c>
      <c r="H686" s="8" t="str">
        <f>'DEF_CALL_DECISION_SUPPORT'!I1026</f>
        <v>TRACK</v>
      </c>
      <c r="I686" s="8" t="str">
        <f>'DEF_CALL_DECISION_SUPPORT'!K1026</f>
        <v>Track Only</v>
      </c>
      <c r="J686" s="14" t="s">
        <v>2716</v>
      </c>
      <c r="K686" s="9" t="str">
        <f>'DEF_CALL_DECISION_SUPPORT'!L1026</f>
        <v>Track only; not enough sample.</v>
      </c>
      <c r="L686" s="8" t="s">
        <v>2713</v>
      </c>
    </row>
    <row r="687" spans="1:12" ht="48" customHeight="1">
      <c r="A687" s="8" t="s">
        <v>610</v>
      </c>
      <c r="B687" s="8" t="str">
        <f>'DEF_CALL_DECISION_SUPPORT'!B1033</f>
        <v>SWAP</v>
      </c>
      <c r="C687" s="12">
        <f>'DEF_CALL_DECISION_SUPPORT'!C1033</f>
        <v>1</v>
      </c>
      <c r="D687" s="10">
        <f>'DEF_CALL_DECISION_SUPPORT'!D1033</f>
        <v>1.0</v>
      </c>
      <c r="E687" s="10">
        <f>'DEF_CALL_DECISION_SUPPORT'!E1033</f>
        <v>0.0</v>
      </c>
      <c r="F687" s="11">
        <f>'DEF_CALL_DECISION_SUPPORT'!F1033</f>
        <v>3.0</v>
      </c>
      <c r="G687" s="11">
        <f>'DEF_CALL_DECISION_SUPPORT'!J1033</f>
        <v>97.0</v>
      </c>
      <c r="H687" s="8" t="str">
        <f>'DEF_CALL_DECISION_SUPPORT'!I1033</f>
        <v>TRACK</v>
      </c>
      <c r="I687" s="8" t="str">
        <f>'DEF_CALL_DECISION_SUPPORT'!K1033</f>
        <v>Track Only</v>
      </c>
      <c r="J687" s="14" t="s">
        <v>2716</v>
      </c>
      <c r="K687" s="9" t="str">
        <f>'DEF_CALL_DECISION_SUPPORT'!L1033</f>
        <v>Track only; not enough sample.</v>
      </c>
      <c r="L687" s="8" t="s">
        <v>2713</v>
      </c>
    </row>
    <row r="688" spans="1:12" ht="48" customHeight="1">
      <c r="A688" s="8" t="s">
        <v>615</v>
      </c>
      <c r="B688" s="8" t="str">
        <f>'DEF_CALL_DECISION_SUPPORT'!B1041</f>
        <v>REBEL</v>
      </c>
      <c r="C688" s="12">
        <f>'DEF_CALL_DECISION_SUPPORT'!C1041</f>
        <v>1</v>
      </c>
      <c r="D688" s="10">
        <f>'DEF_CALL_DECISION_SUPPORT'!D1041</f>
        <v>1.0</v>
      </c>
      <c r="E688" s="10">
        <f>'DEF_CALL_DECISION_SUPPORT'!E1041</f>
        <v>0.0</v>
      </c>
      <c r="F688" s="11">
        <f>'DEF_CALL_DECISION_SUPPORT'!F1041</f>
        <v>3.0</v>
      </c>
      <c r="G688" s="11">
        <f>'DEF_CALL_DECISION_SUPPORT'!J1041</f>
        <v>97.0</v>
      </c>
      <c r="H688" s="8" t="str">
        <f>'DEF_CALL_DECISION_SUPPORT'!I1041</f>
        <v>TRACK</v>
      </c>
      <c r="I688" s="8" t="str">
        <f>'DEF_CALL_DECISION_SUPPORT'!K1041</f>
        <v>Track Only</v>
      </c>
      <c r="J688" s="14" t="s">
        <v>2716</v>
      </c>
      <c r="K688" s="9" t="str">
        <f>'DEF_CALL_DECISION_SUPPORT'!L1041</f>
        <v>Track only; not enough sample.</v>
      </c>
      <c r="L688" s="8" t="s">
        <v>2713</v>
      </c>
    </row>
    <row r="689" spans="1:12" ht="48" customHeight="1">
      <c r="A689" s="8" t="s">
        <v>621</v>
      </c>
      <c r="B689" s="8" t="str">
        <f>'DEF_CALL_DECISION_SUPPORT'!B1048</f>
        <v>TEX</v>
      </c>
      <c r="C689" s="12">
        <f>'DEF_CALL_DECISION_SUPPORT'!C1048</f>
        <v>1</v>
      </c>
      <c r="D689" s="10">
        <f>'DEF_CALL_DECISION_SUPPORT'!D1048</f>
        <v>1.0</v>
      </c>
      <c r="E689" s="10">
        <f>'DEF_CALL_DECISION_SUPPORT'!E1048</f>
        <v>0.0</v>
      </c>
      <c r="F689" s="11">
        <f>'DEF_CALL_DECISION_SUPPORT'!F1048</f>
        <v>3.0</v>
      </c>
      <c r="G689" s="11">
        <f>'DEF_CALL_DECISION_SUPPORT'!J1048</f>
        <v>97.0</v>
      </c>
      <c r="H689" s="8" t="str">
        <f>'DEF_CALL_DECISION_SUPPORT'!I1048</f>
        <v>TRACK</v>
      </c>
      <c r="I689" s="8" t="str">
        <f>'DEF_CALL_DECISION_SUPPORT'!K1048</f>
        <v>Track Only</v>
      </c>
      <c r="J689" s="14" t="s">
        <v>2716</v>
      </c>
      <c r="K689" s="9" t="str">
        <f>'DEF_CALL_DECISION_SUPPORT'!L1048</f>
        <v>Track only; not enough sample.</v>
      </c>
      <c r="L689" s="8" t="s">
        <v>2713</v>
      </c>
    </row>
    <row r="690" spans="1:12" ht="48" customHeight="1">
      <c r="A690" s="8" t="s">
        <v>627</v>
      </c>
      <c r="B690" s="8" t="str">
        <f>'DEF_CALL_DECISION_SUPPORT'!B1055</f>
        <v>RAMBO</v>
      </c>
      <c r="C690" s="12">
        <f>'DEF_CALL_DECISION_SUPPORT'!C1055</f>
        <v>1</v>
      </c>
      <c r="D690" s="10">
        <f>'DEF_CALL_DECISION_SUPPORT'!D1055</f>
        <v>1.0</v>
      </c>
      <c r="E690" s="10">
        <f>'DEF_CALL_DECISION_SUPPORT'!E1055</f>
        <v>0.0</v>
      </c>
      <c r="F690" s="11">
        <f>'DEF_CALL_DECISION_SUPPORT'!F1055</f>
        <v>3.0</v>
      </c>
      <c r="G690" s="11">
        <f>'DEF_CALL_DECISION_SUPPORT'!J1055</f>
        <v>97.0</v>
      </c>
      <c r="H690" s="8" t="str">
        <f>'DEF_CALL_DECISION_SUPPORT'!I1055</f>
        <v>TRACK</v>
      </c>
      <c r="I690" s="8" t="str">
        <f>'DEF_CALL_DECISION_SUPPORT'!K1055</f>
        <v>Track Only</v>
      </c>
      <c r="J690" s="14" t="s">
        <v>2716</v>
      </c>
      <c r="K690" s="9" t="str">
        <f>'DEF_CALL_DECISION_SUPPORT'!L1055</f>
        <v>Track only; not enough sample.</v>
      </c>
      <c r="L690" s="8" t="s">
        <v>2713</v>
      </c>
    </row>
    <row r="691" spans="1:12" ht="48" customHeight="1">
      <c r="A691" s="8" t="s">
        <v>561</v>
      </c>
      <c r="B691" s="8" t="str">
        <f>'DEF_CALL_DECISION_SUPPORT'!B1344</f>
        <v>SMOKE BUC</v>
      </c>
      <c r="C691" s="12">
        <f>'DEF_CALL_DECISION_SUPPORT'!C1344</f>
        <v>1</v>
      </c>
      <c r="D691" s="10">
        <f>'DEF_CALL_DECISION_SUPPORT'!D1344</f>
        <v>1.0</v>
      </c>
      <c r="E691" s="10">
        <f>'DEF_CALL_DECISION_SUPPORT'!E1344</f>
        <v>0.0</v>
      </c>
      <c r="F691" s="11">
        <f>'DEF_CALL_DECISION_SUPPORT'!F1344</f>
        <v>4.0</v>
      </c>
      <c r="G691" s="11">
        <f>'DEF_CALL_DECISION_SUPPORT'!J1344</f>
        <v>96.0</v>
      </c>
      <c r="H691" s="8" t="str">
        <f>'DEF_CALL_DECISION_SUPPORT'!I1344</f>
        <v>TRACK</v>
      </c>
      <c r="I691" s="8" t="str">
        <f>'DEF_CALL_DECISION_SUPPORT'!K1344</f>
        <v>Track Only</v>
      </c>
      <c r="J691" s="14" t="s">
        <v>2716</v>
      </c>
      <c r="K691" s="9" t="str">
        <f>'DEF_CALL_DECISION_SUPPORT'!L1344</f>
        <v>Track only; not enough sample.</v>
      </c>
      <c r="L691" s="8" t="s">
        <v>781</v>
      </c>
    </row>
    <row r="692" spans="1:12" ht="48" customHeight="1">
      <c r="A692" s="8" t="s">
        <v>471</v>
      </c>
      <c r="B692" s="8" t="str">
        <f>'DEF_CALL_DECISION_SUPPORT'!B1424</f>
        <v>STUD</v>
      </c>
      <c r="C692" s="12">
        <f>'DEF_CALL_DECISION_SUPPORT'!C1424</f>
        <v>1</v>
      </c>
      <c r="D692" s="10">
        <f>'DEF_CALL_DECISION_SUPPORT'!D1424</f>
        <v>1.0</v>
      </c>
      <c r="E692" s="10">
        <f>'DEF_CALL_DECISION_SUPPORT'!E1424</f>
        <v>0.0</v>
      </c>
      <c r="F692" s="11">
        <f>'DEF_CALL_DECISION_SUPPORT'!F1424</f>
        <v>4.0</v>
      </c>
      <c r="G692" s="11">
        <f>'DEF_CALL_DECISION_SUPPORT'!J1424</f>
        <v>96.0</v>
      </c>
      <c r="H692" s="8" t="str">
        <f>'DEF_CALL_DECISION_SUPPORT'!I1424</f>
        <v>TRACK</v>
      </c>
      <c r="I692" s="8" t="str">
        <f>'DEF_CALL_DECISION_SUPPORT'!K1424</f>
        <v>Track Only</v>
      </c>
      <c r="J692" s="14" t="s">
        <v>2716</v>
      </c>
      <c r="K692" s="9" t="str">
        <f>'DEF_CALL_DECISION_SUPPORT'!L1424</f>
        <v>Track only; not enough sample.</v>
      </c>
      <c r="L692" s="8" t="s">
        <v>781</v>
      </c>
    </row>
    <row r="693" spans="1:12" ht="48" customHeight="1">
      <c r="A693" s="8" t="s">
        <v>474</v>
      </c>
      <c r="B693" s="8" t="str">
        <f>'DEF_CALL_DECISION_SUPPORT'!B1427</f>
        <v>GAMES</v>
      </c>
      <c r="C693" s="12">
        <f>'DEF_CALL_DECISION_SUPPORT'!C1427</f>
        <v>1</v>
      </c>
      <c r="D693" s="10">
        <f>'DEF_CALL_DECISION_SUPPORT'!D1427</f>
        <v>1.0</v>
      </c>
      <c r="E693" s="10">
        <f>'DEF_CALL_DECISION_SUPPORT'!E1427</f>
        <v>0.0</v>
      </c>
      <c r="F693" s="11">
        <f>'DEF_CALL_DECISION_SUPPORT'!F1427</f>
        <v>4.0</v>
      </c>
      <c r="G693" s="11">
        <f>'DEF_CALL_DECISION_SUPPORT'!J1427</f>
        <v>96.0</v>
      </c>
      <c r="H693" s="8" t="str">
        <f>'DEF_CALL_DECISION_SUPPORT'!I1427</f>
        <v>TRACK</v>
      </c>
      <c r="I693" s="8" t="str">
        <f>'DEF_CALL_DECISION_SUPPORT'!K1427</f>
        <v>Track Only</v>
      </c>
      <c r="J693" s="14" t="s">
        <v>2716</v>
      </c>
      <c r="K693" s="9" t="str">
        <f>'DEF_CALL_DECISION_SUPPORT'!L1427</f>
        <v>Track only; not enough sample.</v>
      </c>
      <c r="L693" s="8" t="s">
        <v>781</v>
      </c>
    </row>
    <row r="694" spans="1:12" ht="48" customHeight="1">
      <c r="A694" s="8" t="s">
        <v>470</v>
      </c>
      <c r="B694" s="8" t="str">
        <f>'DEF_CALL_DECISION_SUPPORT'!B875</f>
        <v>STUD</v>
      </c>
      <c r="C694" s="12">
        <f>'DEF_CALL_DECISION_SUPPORT'!C875</f>
        <v>1</v>
      </c>
      <c r="D694" s="10">
        <f>'DEF_CALL_DECISION_SUPPORT'!D875</f>
        <v>1.0</v>
      </c>
      <c r="E694" s="10">
        <f>'DEF_CALL_DECISION_SUPPORT'!E875</f>
        <v>0.0</v>
      </c>
      <c r="F694" s="11">
        <f>'DEF_CALL_DECISION_SUPPORT'!F875</f>
        <v>4.0</v>
      </c>
      <c r="G694" s="11">
        <f>'DEF_CALL_DECISION_SUPPORT'!J875</f>
        <v>96.0</v>
      </c>
      <c r="H694" s="8" t="str">
        <f>'DEF_CALL_DECISION_SUPPORT'!I875</f>
        <v>TRACK</v>
      </c>
      <c r="I694" s="8" t="str">
        <f>'DEF_CALL_DECISION_SUPPORT'!K875</f>
        <v>Track Only</v>
      </c>
      <c r="J694" s="14" t="s">
        <v>2716</v>
      </c>
      <c r="K694" s="9" t="str">
        <f>'DEF_CALL_DECISION_SUPPORT'!L875</f>
        <v>Track only; not enough sample.</v>
      </c>
      <c r="L694" s="8" t="s">
        <v>2713</v>
      </c>
    </row>
    <row r="695" spans="1:12" ht="48" customHeight="1">
      <c r="A695" s="8" t="s">
        <v>560</v>
      </c>
      <c r="B695" s="8" t="str">
        <f>'DEF_CALL_DECISION_SUPPORT'!B977</f>
        <v>SMOKE BUC</v>
      </c>
      <c r="C695" s="12">
        <f>'DEF_CALL_DECISION_SUPPORT'!C977</f>
        <v>1</v>
      </c>
      <c r="D695" s="10">
        <f>'DEF_CALL_DECISION_SUPPORT'!D977</f>
        <v>1.0</v>
      </c>
      <c r="E695" s="10">
        <f>'DEF_CALL_DECISION_SUPPORT'!E977</f>
        <v>0.0</v>
      </c>
      <c r="F695" s="11">
        <f>'DEF_CALL_DECISION_SUPPORT'!F977</f>
        <v>4.0</v>
      </c>
      <c r="G695" s="11">
        <f>'DEF_CALL_DECISION_SUPPORT'!J977</f>
        <v>96.0</v>
      </c>
      <c r="H695" s="8" t="str">
        <f>'DEF_CALL_DECISION_SUPPORT'!I977</f>
        <v>TRACK</v>
      </c>
      <c r="I695" s="8" t="str">
        <f>'DEF_CALL_DECISION_SUPPORT'!K977</f>
        <v>Track Only</v>
      </c>
      <c r="J695" s="14" t="s">
        <v>2716</v>
      </c>
      <c r="K695" s="9" t="str">
        <f>'DEF_CALL_DECISION_SUPPORT'!L977</f>
        <v>Track only; not enough sample.</v>
      </c>
      <c r="L695" s="8" t="s">
        <v>2713</v>
      </c>
    </row>
    <row r="696" spans="1:12" ht="48" customHeight="1">
      <c r="A696" s="8" t="s">
        <v>563</v>
      </c>
      <c r="B696" s="8" t="str">
        <f>'DEF_CALL_DECISION_SUPPORT'!B978</f>
        <v>GAMES</v>
      </c>
      <c r="C696" s="12">
        <f>'DEF_CALL_DECISION_SUPPORT'!C978</f>
        <v>1</v>
      </c>
      <c r="D696" s="10">
        <f>'DEF_CALL_DECISION_SUPPORT'!D978</f>
        <v>1.0</v>
      </c>
      <c r="E696" s="10">
        <f>'DEF_CALL_DECISION_SUPPORT'!E978</f>
        <v>0.0</v>
      </c>
      <c r="F696" s="11">
        <f>'DEF_CALL_DECISION_SUPPORT'!F978</f>
        <v>4.0</v>
      </c>
      <c r="G696" s="11">
        <f>'DEF_CALL_DECISION_SUPPORT'!J978</f>
        <v>96.0</v>
      </c>
      <c r="H696" s="8" t="str">
        <f>'DEF_CALL_DECISION_SUPPORT'!I978</f>
        <v>TRACK</v>
      </c>
      <c r="I696" s="8" t="str">
        <f>'DEF_CALL_DECISION_SUPPORT'!K978</f>
        <v>Track Only</v>
      </c>
      <c r="J696" s="14" t="s">
        <v>2716</v>
      </c>
      <c r="K696" s="9" t="str">
        <f>'DEF_CALL_DECISION_SUPPORT'!L978</f>
        <v>Track only; not enough sample.</v>
      </c>
      <c r="L696" s="8" t="s">
        <v>2713</v>
      </c>
    </row>
    <row r="697" spans="1:12" ht="48" customHeight="1">
      <c r="A697" s="8" t="s">
        <v>567</v>
      </c>
      <c r="B697" s="8" t="str">
        <f>'DEF_CALL_DECISION_SUPPORT'!B986</f>
        <v>PIT FALCON</v>
      </c>
      <c r="C697" s="12">
        <f>'DEF_CALL_DECISION_SUPPORT'!C986</f>
        <v>1</v>
      </c>
      <c r="D697" s="10">
        <f>'DEF_CALL_DECISION_SUPPORT'!D986</f>
        <v>1.0</v>
      </c>
      <c r="E697" s="10">
        <f>'DEF_CALL_DECISION_SUPPORT'!E986</f>
        <v>0.0</v>
      </c>
      <c r="F697" s="11">
        <f>'DEF_CALL_DECISION_SUPPORT'!F986</f>
        <v>4.0</v>
      </c>
      <c r="G697" s="11">
        <f>'DEF_CALL_DECISION_SUPPORT'!J986</f>
        <v>96.0</v>
      </c>
      <c r="H697" s="8" t="str">
        <f>'DEF_CALL_DECISION_SUPPORT'!I986</f>
        <v>TRACK</v>
      </c>
      <c r="I697" s="8" t="str">
        <f>'DEF_CALL_DECISION_SUPPORT'!K986</f>
        <v>Track Only</v>
      </c>
      <c r="J697" s="14" t="s">
        <v>2716</v>
      </c>
      <c r="K697" s="9" t="str">
        <f>'DEF_CALL_DECISION_SUPPORT'!L986</f>
        <v>Track only; not enough sample.</v>
      </c>
      <c r="L697" s="8" t="s">
        <v>2713</v>
      </c>
    </row>
    <row r="698" spans="1:12" ht="48" customHeight="1">
      <c r="A698" s="8" t="s">
        <v>446</v>
      </c>
      <c r="B698" s="8" t="str">
        <f>'DEF_CALL_DECISION_SUPPORT'!B1277</f>
        <v>SMOKE BUC</v>
      </c>
      <c r="C698" s="12">
        <f>'DEF_CALL_DECISION_SUPPORT'!C1277</f>
        <v>1</v>
      </c>
      <c r="D698" s="10">
        <f>'DEF_CALL_DECISION_SUPPORT'!D1277</f>
        <v>1.0</v>
      </c>
      <c r="E698" s="10">
        <f>'DEF_CALL_DECISION_SUPPORT'!E1277</f>
        <v>0.0</v>
      </c>
      <c r="F698" s="11">
        <f>'DEF_CALL_DECISION_SUPPORT'!F1277</f>
        <v>5.0</v>
      </c>
      <c r="G698" s="11">
        <f>'DEF_CALL_DECISION_SUPPORT'!J1277</f>
        <v>95.0</v>
      </c>
      <c r="H698" s="8" t="str">
        <f>'DEF_CALL_DECISION_SUPPORT'!I1277</f>
        <v>TRACK</v>
      </c>
      <c r="I698" s="8" t="str">
        <f>'DEF_CALL_DECISION_SUPPORT'!K1277</f>
        <v>Track Only</v>
      </c>
      <c r="J698" s="14" t="s">
        <v>2716</v>
      </c>
      <c r="K698" s="9" t="str">
        <f>'DEF_CALL_DECISION_SUPPORT'!L1277</f>
        <v>Track only; not enough sample.</v>
      </c>
      <c r="L698" s="8" t="s">
        <v>781</v>
      </c>
    </row>
    <row r="699" spans="1:12" ht="48" customHeight="1">
      <c r="A699" s="8" t="s">
        <v>449</v>
      </c>
      <c r="B699" s="8" t="str">
        <f>'DEF_CALL_DECISION_SUPPORT'!B1285</f>
        <v>9 STUD</v>
      </c>
      <c r="C699" s="12">
        <f>'DEF_CALL_DECISION_SUPPORT'!C1285</f>
        <v>1</v>
      </c>
      <c r="D699" s="10">
        <f>'DEF_CALL_DECISION_SUPPORT'!D1285</f>
        <v>1.0</v>
      </c>
      <c r="E699" s="10">
        <f>'DEF_CALL_DECISION_SUPPORT'!E1285</f>
        <v>0.0</v>
      </c>
      <c r="F699" s="11">
        <f>'DEF_CALL_DECISION_SUPPORT'!F1285</f>
        <v>5.0</v>
      </c>
      <c r="G699" s="11">
        <f>'DEF_CALL_DECISION_SUPPORT'!J1285</f>
        <v>95.0</v>
      </c>
      <c r="H699" s="8" t="str">
        <f>'DEF_CALL_DECISION_SUPPORT'!I1285</f>
        <v>TRACK</v>
      </c>
      <c r="I699" s="8" t="str">
        <f>'DEF_CALL_DECISION_SUPPORT'!K1285</f>
        <v>Track Only</v>
      </c>
      <c r="J699" s="14" t="s">
        <v>2716</v>
      </c>
      <c r="K699" s="9" t="str">
        <f>'DEF_CALL_DECISION_SUPPORT'!L1285</f>
        <v>Track only; not enough sample.</v>
      </c>
      <c r="L699" s="8" t="s">
        <v>781</v>
      </c>
    </row>
    <row r="700" spans="1:12" ht="48" customHeight="1">
      <c r="A700" s="8" t="s">
        <v>449</v>
      </c>
      <c r="B700" s="8" t="str">
        <f>'DEF_CALL_DECISION_SUPPORT'!B1286</f>
        <v>BLIZZARD</v>
      </c>
      <c r="C700" s="12">
        <f>'DEF_CALL_DECISION_SUPPORT'!C1286</f>
        <v>1</v>
      </c>
      <c r="D700" s="10">
        <f>'DEF_CALL_DECISION_SUPPORT'!D1286</f>
        <v>1.0</v>
      </c>
      <c r="E700" s="10">
        <f>'DEF_CALL_DECISION_SUPPORT'!E1286</f>
        <v>0.0</v>
      </c>
      <c r="F700" s="11">
        <f>'DEF_CALL_DECISION_SUPPORT'!F1286</f>
        <v>5.0</v>
      </c>
      <c r="G700" s="11">
        <f>'DEF_CALL_DECISION_SUPPORT'!J1286</f>
        <v>95.0</v>
      </c>
      <c r="H700" s="8" t="str">
        <f>'DEF_CALL_DECISION_SUPPORT'!I1286</f>
        <v>TRACK</v>
      </c>
      <c r="I700" s="8" t="str">
        <f>'DEF_CALL_DECISION_SUPPORT'!K1286</f>
        <v>Track Only</v>
      </c>
      <c r="J700" s="14" t="s">
        <v>2716</v>
      </c>
      <c r="K700" s="9" t="str">
        <f>'DEF_CALL_DECISION_SUPPORT'!L1286</f>
        <v>Track only; not enough sample.</v>
      </c>
      <c r="L700" s="8" t="s">
        <v>781</v>
      </c>
    </row>
    <row r="701" spans="1:12" ht="48" customHeight="1">
      <c r="A701" s="8" t="s">
        <v>468</v>
      </c>
      <c r="B701" s="8" t="str">
        <f>'DEF_CALL_DECISION_SUPPORT'!B1397</f>
        <v>HOUND KNIFE</v>
      </c>
      <c r="C701" s="12">
        <f>'DEF_CALL_DECISION_SUPPORT'!C1397</f>
        <v>1</v>
      </c>
      <c r="D701" s="10">
        <f>'DEF_CALL_DECISION_SUPPORT'!D1397</f>
        <v>1.0</v>
      </c>
      <c r="E701" s="10">
        <f>'DEF_CALL_DECISION_SUPPORT'!E1397</f>
        <v>0.0</v>
      </c>
      <c r="F701" s="11">
        <f>'DEF_CALL_DECISION_SUPPORT'!F1397</f>
        <v>5.0</v>
      </c>
      <c r="G701" s="11">
        <f>'DEF_CALL_DECISION_SUPPORT'!J1397</f>
        <v>95.0</v>
      </c>
      <c r="H701" s="8" t="str">
        <f>'DEF_CALL_DECISION_SUPPORT'!I1397</f>
        <v>TRACK</v>
      </c>
      <c r="I701" s="8" t="str">
        <f>'DEF_CALL_DECISION_SUPPORT'!K1397</f>
        <v>Track Only</v>
      </c>
      <c r="J701" s="14" t="s">
        <v>2716</v>
      </c>
      <c r="K701" s="9" t="str">
        <f>'DEF_CALL_DECISION_SUPPORT'!L1397</f>
        <v>Track only; not enough sample.</v>
      </c>
      <c r="L701" s="8" t="s">
        <v>781</v>
      </c>
    </row>
    <row r="702" spans="1:12" ht="48" customHeight="1">
      <c r="A702" s="8" t="s">
        <v>471</v>
      </c>
      <c r="B702" s="8" t="str">
        <f>'DEF_CALL_DECISION_SUPPORT'!B1411</f>
        <v>9 STUD</v>
      </c>
      <c r="C702" s="12">
        <f>'DEF_CALL_DECISION_SUPPORT'!C1411</f>
        <v>1</v>
      </c>
      <c r="D702" s="10">
        <f>'DEF_CALL_DECISION_SUPPORT'!D1411</f>
        <v>1.0</v>
      </c>
      <c r="E702" s="10">
        <f>'DEF_CALL_DECISION_SUPPORT'!E1411</f>
        <v>0.0</v>
      </c>
      <c r="F702" s="11">
        <f>'DEF_CALL_DECISION_SUPPORT'!F1411</f>
        <v>5.0</v>
      </c>
      <c r="G702" s="11">
        <f>'DEF_CALL_DECISION_SUPPORT'!J1411</f>
        <v>95.0</v>
      </c>
      <c r="H702" s="8" t="str">
        <f>'DEF_CALL_DECISION_SUPPORT'!I1411</f>
        <v>TRACK</v>
      </c>
      <c r="I702" s="8" t="str">
        <f>'DEF_CALL_DECISION_SUPPORT'!K1411</f>
        <v>Track Only</v>
      </c>
      <c r="J702" s="14" t="s">
        <v>2716</v>
      </c>
      <c r="K702" s="9" t="str">
        <f>'DEF_CALL_DECISION_SUPPORT'!L1411</f>
        <v>Track only; not enough sample.</v>
      </c>
      <c r="L702" s="8" t="s">
        <v>781</v>
      </c>
    </row>
    <row r="703" spans="1:12" ht="48" customHeight="1">
      <c r="A703" s="8" t="s">
        <v>471</v>
      </c>
      <c r="B703" s="8" t="str">
        <f>'DEF_CALL_DECISION_SUPPORT'!B1423</f>
        <v>STICK KNIFE</v>
      </c>
      <c r="C703" s="12">
        <f>'DEF_CALL_DECISION_SUPPORT'!C1423</f>
        <v>1</v>
      </c>
      <c r="D703" s="10">
        <f>'DEF_CALL_DECISION_SUPPORT'!D1423</f>
        <v>1.0</v>
      </c>
      <c r="E703" s="10">
        <f>'DEF_CALL_DECISION_SUPPORT'!E1423</f>
        <v>0.0</v>
      </c>
      <c r="F703" s="11">
        <f>'DEF_CALL_DECISION_SUPPORT'!F1423</f>
        <v>5.0</v>
      </c>
      <c r="G703" s="11">
        <f>'DEF_CALL_DECISION_SUPPORT'!J1423</f>
        <v>95.0</v>
      </c>
      <c r="H703" s="8" t="str">
        <f>'DEF_CALL_DECISION_SUPPORT'!I1423</f>
        <v>TRACK</v>
      </c>
      <c r="I703" s="8" t="str">
        <f>'DEF_CALL_DECISION_SUPPORT'!K1423</f>
        <v>Track Only</v>
      </c>
      <c r="J703" s="14" t="s">
        <v>2716</v>
      </c>
      <c r="K703" s="9" t="str">
        <f>'DEF_CALL_DECISION_SUPPORT'!L1423</f>
        <v>Track only; not enough sample.</v>
      </c>
      <c r="L703" s="8" t="s">
        <v>781</v>
      </c>
    </row>
    <row r="704" spans="1:12" ht="48" customHeight="1">
      <c r="A704" s="8" t="s">
        <v>443</v>
      </c>
      <c r="B704" s="8" t="str">
        <f>'DEF_CALL_DECISION_SUPPORT'!B1430</f>
        <v>RAMBO</v>
      </c>
      <c r="C704" s="12">
        <f>'DEF_CALL_DECISION_SUPPORT'!C1430</f>
        <v>1</v>
      </c>
      <c r="D704" s="10">
        <f>'DEF_CALL_DECISION_SUPPORT'!D1430</f>
        <v>1.0</v>
      </c>
      <c r="E704" s="10">
        <f>'DEF_CALL_DECISION_SUPPORT'!E1430</f>
        <v>0.0</v>
      </c>
      <c r="F704" s="11">
        <f>'DEF_CALL_DECISION_SUPPORT'!F1430</f>
        <v>5.0</v>
      </c>
      <c r="G704" s="11">
        <f>'DEF_CALL_DECISION_SUPPORT'!J1430</f>
        <v>95.0</v>
      </c>
      <c r="H704" s="8" t="str">
        <f>'DEF_CALL_DECISION_SUPPORT'!I1430</f>
        <v>TRACK</v>
      </c>
      <c r="I704" s="8" t="str">
        <f>'DEF_CALL_DECISION_SUPPORT'!K1430</f>
        <v>Track Only</v>
      </c>
      <c r="J704" s="14" t="s">
        <v>2716</v>
      </c>
      <c r="K704" s="9" t="str">
        <f>'DEF_CALL_DECISION_SUPPORT'!L1430</f>
        <v>Track only; not enough sample.</v>
      </c>
      <c r="L704" s="8" t="s">
        <v>781</v>
      </c>
    </row>
    <row r="705" spans="1:12" ht="48" customHeight="1">
      <c r="A705" s="8" t="s">
        <v>442</v>
      </c>
      <c r="B705" s="8" t="str">
        <f>'DEF_CALL_DECISION_SUPPORT'!B817</f>
        <v>RAMBO</v>
      </c>
      <c r="C705" s="12">
        <f>'DEF_CALL_DECISION_SUPPORT'!C817</f>
        <v>1</v>
      </c>
      <c r="D705" s="10">
        <f>'DEF_CALL_DECISION_SUPPORT'!D817</f>
        <v>1.0</v>
      </c>
      <c r="E705" s="10">
        <f>'DEF_CALL_DECISION_SUPPORT'!E817</f>
        <v>0.0</v>
      </c>
      <c r="F705" s="11">
        <f>'DEF_CALL_DECISION_SUPPORT'!F817</f>
        <v>5.0</v>
      </c>
      <c r="G705" s="11">
        <f>'DEF_CALL_DECISION_SUPPORT'!J817</f>
        <v>95.0</v>
      </c>
      <c r="H705" s="8" t="str">
        <f>'DEF_CALL_DECISION_SUPPORT'!I817</f>
        <v>TRACK</v>
      </c>
      <c r="I705" s="8" t="str">
        <f>'DEF_CALL_DECISION_SUPPORT'!K817</f>
        <v>Track Only</v>
      </c>
      <c r="J705" s="14" t="s">
        <v>2716</v>
      </c>
      <c r="K705" s="9" t="str">
        <f>'DEF_CALL_DECISION_SUPPORT'!L817</f>
        <v>Track only; not enough sample.</v>
      </c>
      <c r="L705" s="8" t="s">
        <v>2713</v>
      </c>
    </row>
    <row r="706" spans="1:12" ht="48" customHeight="1">
      <c r="A706" s="8" t="s">
        <v>510</v>
      </c>
      <c r="B706" s="8" t="str">
        <f>'DEF_CALL_DECISION_SUPPORT'!B904</f>
        <v>9 STUD</v>
      </c>
      <c r="C706" s="12">
        <f>'DEF_CALL_DECISION_SUPPORT'!C904</f>
        <v>1</v>
      </c>
      <c r="D706" s="10">
        <f>'DEF_CALL_DECISION_SUPPORT'!D904</f>
        <v>1.0</v>
      </c>
      <c r="E706" s="10">
        <f>'DEF_CALL_DECISION_SUPPORT'!E904</f>
        <v>0.0</v>
      </c>
      <c r="F706" s="11">
        <f>'DEF_CALL_DECISION_SUPPORT'!F904</f>
        <v>5.0</v>
      </c>
      <c r="G706" s="11">
        <f>'DEF_CALL_DECISION_SUPPORT'!J904</f>
        <v>95.0</v>
      </c>
      <c r="H706" s="8" t="str">
        <f>'DEF_CALL_DECISION_SUPPORT'!I904</f>
        <v>TRACK</v>
      </c>
      <c r="I706" s="8" t="str">
        <f>'DEF_CALL_DECISION_SUPPORT'!K904</f>
        <v>Track Only</v>
      </c>
      <c r="J706" s="14" t="s">
        <v>2716</v>
      </c>
      <c r="K706" s="9" t="str">
        <f>'DEF_CALL_DECISION_SUPPORT'!L904</f>
        <v>Track only; not enough sample.</v>
      </c>
      <c r="L706" s="8" t="s">
        <v>2713</v>
      </c>
    </row>
    <row r="707" spans="1:12" ht="48" customHeight="1">
      <c r="A707" s="8" t="s">
        <v>510</v>
      </c>
      <c r="B707" s="8" t="str">
        <f>'DEF_CALL_DECISION_SUPPORT'!B905</f>
        <v>STICK KNIFE</v>
      </c>
      <c r="C707" s="12">
        <f>'DEF_CALL_DECISION_SUPPORT'!C905</f>
        <v>1</v>
      </c>
      <c r="D707" s="10">
        <f>'DEF_CALL_DECISION_SUPPORT'!D905</f>
        <v>1.0</v>
      </c>
      <c r="E707" s="10">
        <f>'DEF_CALL_DECISION_SUPPORT'!E905</f>
        <v>0.0</v>
      </c>
      <c r="F707" s="11">
        <f>'DEF_CALL_DECISION_SUPPORT'!F905</f>
        <v>5.0</v>
      </c>
      <c r="G707" s="11">
        <f>'DEF_CALL_DECISION_SUPPORT'!J905</f>
        <v>95.0</v>
      </c>
      <c r="H707" s="8" t="str">
        <f>'DEF_CALL_DECISION_SUPPORT'!I905</f>
        <v>TRACK</v>
      </c>
      <c r="I707" s="8" t="str">
        <f>'DEF_CALL_DECISION_SUPPORT'!K905</f>
        <v>Track Only</v>
      </c>
      <c r="J707" s="14" t="s">
        <v>2716</v>
      </c>
      <c r="K707" s="9" t="str">
        <f>'DEF_CALL_DECISION_SUPPORT'!L905</f>
        <v>Track only; not enough sample.</v>
      </c>
      <c r="L707" s="8" t="s">
        <v>2713</v>
      </c>
    </row>
    <row r="708" spans="1:12" ht="48" customHeight="1">
      <c r="A708" s="8" t="s">
        <v>522</v>
      </c>
      <c r="B708" s="8" t="str">
        <f>'DEF_CALL_DECISION_SUPPORT'!B925</f>
        <v>HOUND KNIFE</v>
      </c>
      <c r="C708" s="12">
        <f>'DEF_CALL_DECISION_SUPPORT'!C925</f>
        <v>1</v>
      </c>
      <c r="D708" s="10">
        <f>'DEF_CALL_DECISION_SUPPORT'!D925</f>
        <v>1.0</v>
      </c>
      <c r="E708" s="10">
        <f>'DEF_CALL_DECISION_SUPPORT'!E925</f>
        <v>0.0</v>
      </c>
      <c r="F708" s="11">
        <f>'DEF_CALL_DECISION_SUPPORT'!F925</f>
        <v>5.0</v>
      </c>
      <c r="G708" s="11">
        <f>'DEF_CALL_DECISION_SUPPORT'!J925</f>
        <v>95.0</v>
      </c>
      <c r="H708" s="8" t="str">
        <f>'DEF_CALL_DECISION_SUPPORT'!I925</f>
        <v>TRACK</v>
      </c>
      <c r="I708" s="8" t="str">
        <f>'DEF_CALL_DECISION_SUPPORT'!K925</f>
        <v>Track Only</v>
      </c>
      <c r="J708" s="14" t="s">
        <v>2716</v>
      </c>
      <c r="K708" s="9" t="str">
        <f>'DEF_CALL_DECISION_SUPPORT'!L925</f>
        <v>Track only; not enough sample.</v>
      </c>
      <c r="L708" s="8" t="s">
        <v>2713</v>
      </c>
    </row>
    <row r="709" spans="1:12" ht="48" customHeight="1">
      <c r="A709" s="8" t="s">
        <v>530</v>
      </c>
      <c r="B709" s="8" t="str">
        <f>'DEF_CALL_DECISION_SUPPORT'!B933</f>
        <v>BLIZZARD</v>
      </c>
      <c r="C709" s="12">
        <f>'DEF_CALL_DECISION_SUPPORT'!C933</f>
        <v>1</v>
      </c>
      <c r="D709" s="10">
        <f>'DEF_CALL_DECISION_SUPPORT'!D933</f>
        <v>1.0</v>
      </c>
      <c r="E709" s="10">
        <f>'DEF_CALL_DECISION_SUPPORT'!E933</f>
        <v>0.0</v>
      </c>
      <c r="F709" s="11">
        <f>'DEF_CALL_DECISION_SUPPORT'!F933</f>
        <v>5.0</v>
      </c>
      <c r="G709" s="11">
        <f>'DEF_CALL_DECISION_SUPPORT'!J933</f>
        <v>95.0</v>
      </c>
      <c r="H709" s="8" t="str">
        <f>'DEF_CALL_DECISION_SUPPORT'!I933</f>
        <v>TRACK</v>
      </c>
      <c r="I709" s="8" t="str">
        <f>'DEF_CALL_DECISION_SUPPORT'!K933</f>
        <v>Track Only</v>
      </c>
      <c r="J709" s="14" t="s">
        <v>2716</v>
      </c>
      <c r="K709" s="9" t="str">
        <f>'DEF_CALL_DECISION_SUPPORT'!L933</f>
        <v>Track only; not enough sample.</v>
      </c>
      <c r="L709" s="8" t="s">
        <v>2713</v>
      </c>
    </row>
    <row r="710" spans="1:12" ht="48" customHeight="1">
      <c r="A710" s="8" t="s">
        <v>530</v>
      </c>
      <c r="B710" s="8" t="str">
        <f>'DEF_CALL_DECISION_SUPPORT'!B940</f>
        <v>TSUNAMI</v>
      </c>
      <c r="C710" s="12">
        <f>'DEF_CALL_DECISION_SUPPORT'!C940</f>
        <v>1</v>
      </c>
      <c r="D710" s="10">
        <f>'DEF_CALL_DECISION_SUPPORT'!D940</f>
        <v>1.0</v>
      </c>
      <c r="E710" s="10">
        <f>'DEF_CALL_DECISION_SUPPORT'!E940</f>
        <v>0.0</v>
      </c>
      <c r="F710" s="11">
        <f>'DEF_CALL_DECISION_SUPPORT'!F940</f>
        <v>5.0</v>
      </c>
      <c r="G710" s="11">
        <f>'DEF_CALL_DECISION_SUPPORT'!J940</f>
        <v>95.0</v>
      </c>
      <c r="H710" s="8" t="str">
        <f>'DEF_CALL_DECISION_SUPPORT'!I940</f>
        <v>TRACK</v>
      </c>
      <c r="I710" s="8" t="str">
        <f>'DEF_CALL_DECISION_SUPPORT'!K940</f>
        <v>Track Only</v>
      </c>
      <c r="J710" s="14" t="s">
        <v>2716</v>
      </c>
      <c r="K710" s="9" t="str">
        <f>'DEF_CALL_DECISION_SUPPORT'!L940</f>
        <v>Track only; not enough sample.</v>
      </c>
      <c r="L710" s="8" t="s">
        <v>2713</v>
      </c>
    </row>
    <row r="711" spans="1:12" ht="48" customHeight="1">
      <c r="A711" s="8" t="s">
        <v>555</v>
      </c>
      <c r="B711" s="8" t="str">
        <f>'DEF_CALL_DECISION_SUPPORT'!B972</f>
        <v>SMOKE BUC</v>
      </c>
      <c r="C711" s="12">
        <f>'DEF_CALL_DECISION_SUPPORT'!C972</f>
        <v>1</v>
      </c>
      <c r="D711" s="10">
        <f>'DEF_CALL_DECISION_SUPPORT'!D972</f>
        <v>1.0</v>
      </c>
      <c r="E711" s="10">
        <f>'DEF_CALL_DECISION_SUPPORT'!E972</f>
        <v>0.0</v>
      </c>
      <c r="F711" s="11">
        <f>'DEF_CALL_DECISION_SUPPORT'!F972</f>
        <v>5.0</v>
      </c>
      <c r="G711" s="11">
        <f>'DEF_CALL_DECISION_SUPPORT'!J972</f>
        <v>95.0</v>
      </c>
      <c r="H711" s="8" t="str">
        <f>'DEF_CALL_DECISION_SUPPORT'!I972</f>
        <v>TRACK</v>
      </c>
      <c r="I711" s="8" t="str">
        <f>'DEF_CALL_DECISION_SUPPORT'!K972</f>
        <v>Track Only</v>
      </c>
      <c r="J711" s="14" t="s">
        <v>2716</v>
      </c>
      <c r="K711" s="9" t="str">
        <f>'DEF_CALL_DECISION_SUPPORT'!L972</f>
        <v>Track only; not enough sample.</v>
      </c>
      <c r="L711" s="8" t="s">
        <v>2713</v>
      </c>
    </row>
    <row r="712" spans="1:12" ht="48" customHeight="1">
      <c r="A712" s="8" t="s">
        <v>567</v>
      </c>
      <c r="B712" s="8" t="str">
        <f>'DEF_CALL_DECISION_SUPPORT'!B984</f>
        <v>9 STUD</v>
      </c>
      <c r="C712" s="12">
        <f>'DEF_CALL_DECISION_SUPPORT'!C984</f>
        <v>1</v>
      </c>
      <c r="D712" s="10">
        <f>'DEF_CALL_DECISION_SUPPORT'!D984</f>
        <v>1.0</v>
      </c>
      <c r="E712" s="10">
        <f>'DEF_CALL_DECISION_SUPPORT'!E984</f>
        <v>0.0</v>
      </c>
      <c r="F712" s="11">
        <f>'DEF_CALL_DECISION_SUPPORT'!F984</f>
        <v>5.0</v>
      </c>
      <c r="G712" s="11">
        <f>'DEF_CALL_DECISION_SUPPORT'!J984</f>
        <v>95.0</v>
      </c>
      <c r="H712" s="8" t="str">
        <f>'DEF_CALL_DECISION_SUPPORT'!I984</f>
        <v>TRACK</v>
      </c>
      <c r="I712" s="8" t="str">
        <f>'DEF_CALL_DECISION_SUPPORT'!K984</f>
        <v>Track Only</v>
      </c>
      <c r="J712" s="14" t="s">
        <v>2716</v>
      </c>
      <c r="K712" s="9" t="str">
        <f>'DEF_CALL_DECISION_SUPPORT'!L984</f>
        <v>Track only; not enough sample.</v>
      </c>
      <c r="L712" s="8" t="s">
        <v>2713</v>
      </c>
    </row>
    <row r="713" spans="1:12" ht="48" customHeight="1">
      <c r="A713" s="8" t="s">
        <v>580</v>
      </c>
      <c r="B713" s="8" t="str">
        <f>'DEF_CALL_DECISION_SUPPORT'!B1006</f>
        <v>STICK GAMES</v>
      </c>
      <c r="C713" s="12">
        <f>'DEF_CALL_DECISION_SUPPORT'!C1006</f>
        <v>1</v>
      </c>
      <c r="D713" s="10">
        <f>'DEF_CALL_DECISION_SUPPORT'!D1006</f>
        <v>1.0</v>
      </c>
      <c r="E713" s="10">
        <f>'DEF_CALL_DECISION_SUPPORT'!E1006</f>
        <v>0.0</v>
      </c>
      <c r="F713" s="11">
        <f>'DEF_CALL_DECISION_SUPPORT'!F1006</f>
        <v>5.0</v>
      </c>
      <c r="G713" s="11">
        <f>'DEF_CALL_DECISION_SUPPORT'!J1006</f>
        <v>95.0</v>
      </c>
      <c r="H713" s="8" t="str">
        <f>'DEF_CALL_DECISION_SUPPORT'!I1006</f>
        <v>TRACK</v>
      </c>
      <c r="I713" s="8" t="str">
        <f>'DEF_CALL_DECISION_SUPPORT'!K1006</f>
        <v>Track Only</v>
      </c>
      <c r="J713" s="14" t="s">
        <v>2716</v>
      </c>
      <c r="K713" s="9" t="str">
        <f>'DEF_CALL_DECISION_SUPPORT'!L1006</f>
        <v>Track only; not enough sample.</v>
      </c>
      <c r="L713" s="8" t="s">
        <v>2713</v>
      </c>
    </row>
    <row r="714" spans="1:12" ht="48" customHeight="1">
      <c r="A714" s="8" t="s">
        <v>446</v>
      </c>
      <c r="B714" s="8" t="str">
        <f>'DEF_CALL_DECISION_SUPPORT'!B1268</f>
        <v>EAGLE</v>
      </c>
      <c r="C714" s="12">
        <f>'DEF_CALL_DECISION_SUPPORT'!C1268</f>
        <v>1</v>
      </c>
      <c r="D714" s="10">
        <f>'DEF_CALL_DECISION_SUPPORT'!D1268</f>
        <v>1.0</v>
      </c>
      <c r="E714" s="10">
        <f>'DEF_CALL_DECISION_SUPPORT'!E1268</f>
        <v>0.0</v>
      </c>
      <c r="F714" s="11">
        <f>'DEF_CALL_DECISION_SUPPORT'!F1268</f>
        <v>6.0</v>
      </c>
      <c r="G714" s="11">
        <f>'DEF_CALL_DECISION_SUPPORT'!J1268</f>
        <v>94.0</v>
      </c>
      <c r="H714" s="8" t="str">
        <f>'DEF_CALL_DECISION_SUPPORT'!I1268</f>
        <v>TRACK</v>
      </c>
      <c r="I714" s="8" t="str">
        <f>'DEF_CALL_DECISION_SUPPORT'!K1268</f>
        <v>Track Only</v>
      </c>
      <c r="J714" s="14" t="s">
        <v>2716</v>
      </c>
      <c r="K714" s="9" t="str">
        <f>'DEF_CALL_DECISION_SUPPORT'!L1268</f>
        <v>Track only; not enough sample.</v>
      </c>
      <c r="L714" s="8" t="s">
        <v>781</v>
      </c>
    </row>
    <row r="715" spans="1:12" ht="48" customHeight="1">
      <c r="A715" s="8" t="s">
        <v>449</v>
      </c>
      <c r="B715" s="8" t="str">
        <f>'DEF_CALL_DECISION_SUPPORT'!B1318</f>
        <v>TORNADO</v>
      </c>
      <c r="C715" s="12">
        <f>'DEF_CALL_DECISION_SUPPORT'!C1318</f>
        <v>1</v>
      </c>
      <c r="D715" s="10">
        <f>'DEF_CALL_DECISION_SUPPORT'!D1318</f>
        <v>1.0</v>
      </c>
      <c r="E715" s="10">
        <f>'DEF_CALL_DECISION_SUPPORT'!E1318</f>
        <v>0.0</v>
      </c>
      <c r="F715" s="11">
        <f>'DEF_CALL_DECISION_SUPPORT'!F1318</f>
        <v>6.0</v>
      </c>
      <c r="G715" s="11">
        <f>'DEF_CALL_DECISION_SUPPORT'!J1318</f>
        <v>94.0</v>
      </c>
      <c r="H715" s="8" t="str">
        <f>'DEF_CALL_DECISION_SUPPORT'!I1318</f>
        <v>TRACK</v>
      </c>
      <c r="I715" s="8" t="str">
        <f>'DEF_CALL_DECISION_SUPPORT'!K1318</f>
        <v>Track Only</v>
      </c>
      <c r="J715" s="14" t="s">
        <v>2716</v>
      </c>
      <c r="K715" s="9" t="str">
        <f>'DEF_CALL_DECISION_SUPPORT'!L1318</f>
        <v>Track only; not enough sample.</v>
      </c>
      <c r="L715" s="8" t="s">
        <v>781</v>
      </c>
    </row>
    <row r="716" spans="1:12" ht="48" customHeight="1">
      <c r="A716" s="8" t="s">
        <v>460</v>
      </c>
      <c r="B716" s="8" t="str">
        <f>'DEF_CALL_DECISION_SUPPORT'!B1342</f>
        <v>KNIFE</v>
      </c>
      <c r="C716" s="12">
        <f>'DEF_CALL_DECISION_SUPPORT'!C1342</f>
        <v>1</v>
      </c>
      <c r="D716" s="10">
        <f>'DEF_CALL_DECISION_SUPPORT'!D1342</f>
        <v>1.0</v>
      </c>
      <c r="E716" s="10">
        <f>'DEF_CALL_DECISION_SUPPORT'!E1342</f>
        <v>0.0</v>
      </c>
      <c r="F716" s="11">
        <f>'DEF_CALL_DECISION_SUPPORT'!F1342</f>
        <v>6.0</v>
      </c>
      <c r="G716" s="11">
        <f>'DEF_CALL_DECISION_SUPPORT'!J1342</f>
        <v>94.0</v>
      </c>
      <c r="H716" s="8" t="str">
        <f>'DEF_CALL_DECISION_SUPPORT'!I1342</f>
        <v>TRACK</v>
      </c>
      <c r="I716" s="8" t="str">
        <f>'DEF_CALL_DECISION_SUPPORT'!K1342</f>
        <v>Track Only</v>
      </c>
      <c r="J716" s="14" t="s">
        <v>2716</v>
      </c>
      <c r="K716" s="9" t="str">
        <f>'DEF_CALL_DECISION_SUPPORT'!L1342</f>
        <v>Track only; not enough sample.</v>
      </c>
      <c r="L716" s="8" t="s">
        <v>781</v>
      </c>
    </row>
    <row r="717" spans="1:12" ht="48" customHeight="1">
      <c r="A717" s="8" t="s">
        <v>468</v>
      </c>
      <c r="B717" s="8" t="str">
        <f>'DEF_CALL_DECISION_SUPPORT'!B1393</f>
        <v>BLIZZARD</v>
      </c>
      <c r="C717" s="12">
        <f>'DEF_CALL_DECISION_SUPPORT'!C1393</f>
        <v>1</v>
      </c>
      <c r="D717" s="10">
        <f>'DEF_CALL_DECISION_SUPPORT'!D1393</f>
        <v>1.0</v>
      </c>
      <c r="E717" s="10">
        <f>'DEF_CALL_DECISION_SUPPORT'!E1393</f>
        <v>0.0</v>
      </c>
      <c r="F717" s="11">
        <f>'DEF_CALL_DECISION_SUPPORT'!F1393</f>
        <v>6.0</v>
      </c>
      <c r="G717" s="11">
        <f>'DEF_CALL_DECISION_SUPPORT'!J1393</f>
        <v>94.0</v>
      </c>
      <c r="H717" s="8" t="str">
        <f>'DEF_CALL_DECISION_SUPPORT'!I1393</f>
        <v>TRACK</v>
      </c>
      <c r="I717" s="8" t="str">
        <f>'DEF_CALL_DECISION_SUPPORT'!K1393</f>
        <v>Track Only</v>
      </c>
      <c r="J717" s="14" t="s">
        <v>2716</v>
      </c>
      <c r="K717" s="9" t="str">
        <f>'DEF_CALL_DECISION_SUPPORT'!L1393</f>
        <v>Track only; not enough sample.</v>
      </c>
      <c r="L717" s="8" t="s">
        <v>781</v>
      </c>
    </row>
    <row r="718" spans="1:12" ht="48" customHeight="1">
      <c r="A718" s="8" t="s">
        <v>471</v>
      </c>
      <c r="B718" s="8" t="str">
        <f>'DEF_CALL_DECISION_SUPPORT'!B1417</f>
        <v>KNIFE</v>
      </c>
      <c r="C718" s="12">
        <f>'DEF_CALL_DECISION_SUPPORT'!C1417</f>
        <v>1</v>
      </c>
      <c r="D718" s="10">
        <f>'DEF_CALL_DECISION_SUPPORT'!D1417</f>
        <v>1.0</v>
      </c>
      <c r="E718" s="10">
        <f>'DEF_CALL_DECISION_SUPPORT'!E1417</f>
        <v>0.0</v>
      </c>
      <c r="F718" s="11">
        <f>'DEF_CALL_DECISION_SUPPORT'!F1417</f>
        <v>6.0</v>
      </c>
      <c r="G718" s="11">
        <f>'DEF_CALL_DECISION_SUPPORT'!J1417</f>
        <v>94.0</v>
      </c>
      <c r="H718" s="8" t="str">
        <f>'DEF_CALL_DECISION_SUPPORT'!I1417</f>
        <v>TRACK</v>
      </c>
      <c r="I718" s="8" t="str">
        <f>'DEF_CALL_DECISION_SUPPORT'!K1417</f>
        <v>Track Only</v>
      </c>
      <c r="J718" s="14" t="s">
        <v>2716</v>
      </c>
      <c r="K718" s="9" t="str">
        <f>'DEF_CALL_DECISION_SUPPORT'!L1417</f>
        <v>Track only; not enough sample.</v>
      </c>
      <c r="L718" s="8" t="s">
        <v>781</v>
      </c>
    </row>
    <row r="719" spans="1:12" ht="48" customHeight="1">
      <c r="A719" s="8" t="s">
        <v>471</v>
      </c>
      <c r="B719" s="8" t="str">
        <f>'DEF_CALL_DECISION_SUPPORT'!B1421</f>
        <v>ROLEX KNIFE</v>
      </c>
      <c r="C719" s="12">
        <f>'DEF_CALL_DECISION_SUPPORT'!C1421</f>
        <v>1</v>
      </c>
      <c r="D719" s="10">
        <f>'DEF_CALL_DECISION_SUPPORT'!D1421</f>
        <v>1.0</v>
      </c>
      <c r="E719" s="10">
        <f>'DEF_CALL_DECISION_SUPPORT'!E1421</f>
        <v>0.0</v>
      </c>
      <c r="F719" s="11">
        <f>'DEF_CALL_DECISION_SUPPORT'!F1421</f>
        <v>6.0</v>
      </c>
      <c r="G719" s="11">
        <f>'DEF_CALL_DECISION_SUPPORT'!J1421</f>
        <v>94.0</v>
      </c>
      <c r="H719" s="8" t="str">
        <f>'DEF_CALL_DECISION_SUPPORT'!I1421</f>
        <v>TRACK</v>
      </c>
      <c r="I719" s="8" t="str">
        <f>'DEF_CALL_DECISION_SUPPORT'!K1421</f>
        <v>Track Only</v>
      </c>
      <c r="J719" s="14" t="s">
        <v>2716</v>
      </c>
      <c r="K719" s="9" t="str">
        <f>'DEF_CALL_DECISION_SUPPORT'!L1421</f>
        <v>Track only; not enough sample.</v>
      </c>
      <c r="L719" s="8" t="s">
        <v>781</v>
      </c>
    </row>
    <row r="720" spans="1:12" ht="48" customHeight="1">
      <c r="A720" s="8" t="s">
        <v>445</v>
      </c>
      <c r="B720" s="8" t="str">
        <f>'DEF_CALL_DECISION_SUPPORT'!B820</f>
        <v>EAGLE</v>
      </c>
      <c r="C720" s="12">
        <f>'DEF_CALL_DECISION_SUPPORT'!C820</f>
        <v>1</v>
      </c>
      <c r="D720" s="10">
        <f>'DEF_CALL_DECISION_SUPPORT'!D820</f>
        <v>1.0</v>
      </c>
      <c r="E720" s="10">
        <f>'DEF_CALL_DECISION_SUPPORT'!E820</f>
        <v>0.0</v>
      </c>
      <c r="F720" s="11">
        <f>'DEF_CALL_DECISION_SUPPORT'!F820</f>
        <v>6.0</v>
      </c>
      <c r="G720" s="11">
        <f>'DEF_CALL_DECISION_SUPPORT'!J820</f>
        <v>94.0</v>
      </c>
      <c r="H720" s="8" t="str">
        <f>'DEF_CALL_DECISION_SUPPORT'!I820</f>
        <v>TRACK</v>
      </c>
      <c r="I720" s="8" t="str">
        <f>'DEF_CALL_DECISION_SUPPORT'!K820</f>
        <v>Track Only</v>
      </c>
      <c r="J720" s="14" t="s">
        <v>2716</v>
      </c>
      <c r="K720" s="9" t="str">
        <f>'DEF_CALL_DECISION_SUPPORT'!L820</f>
        <v>Track only; not enough sample.</v>
      </c>
      <c r="L720" s="8" t="s">
        <v>2713</v>
      </c>
    </row>
    <row r="721" spans="1:12" ht="48" customHeight="1">
      <c r="A721" s="8" t="s">
        <v>445</v>
      </c>
      <c r="B721" s="8" t="str">
        <f>'DEF_CALL_DECISION_SUPPORT'!B821</f>
        <v>KNIFE</v>
      </c>
      <c r="C721" s="12">
        <f>'DEF_CALL_DECISION_SUPPORT'!C821</f>
        <v>1</v>
      </c>
      <c r="D721" s="10">
        <f>'DEF_CALL_DECISION_SUPPORT'!D821</f>
        <v>1.0</v>
      </c>
      <c r="E721" s="10">
        <f>'DEF_CALL_DECISION_SUPPORT'!E821</f>
        <v>0.0</v>
      </c>
      <c r="F721" s="11">
        <f>'DEF_CALL_DECISION_SUPPORT'!F821</f>
        <v>6.0</v>
      </c>
      <c r="G721" s="11">
        <f>'DEF_CALL_DECISION_SUPPORT'!J821</f>
        <v>94.0</v>
      </c>
      <c r="H721" s="8" t="str">
        <f>'DEF_CALL_DECISION_SUPPORT'!I821</f>
        <v>TRACK</v>
      </c>
      <c r="I721" s="8" t="str">
        <f>'DEF_CALL_DECISION_SUPPORT'!K821</f>
        <v>Track Only</v>
      </c>
      <c r="J721" s="14" t="s">
        <v>2716</v>
      </c>
      <c r="K721" s="9" t="str">
        <f>'DEF_CALL_DECISION_SUPPORT'!L821</f>
        <v>Track only; not enough sample.</v>
      </c>
      <c r="L721" s="8" t="s">
        <v>2713</v>
      </c>
    </row>
    <row r="722" spans="1:12" ht="48" customHeight="1">
      <c r="A722" s="8" t="s">
        <v>459</v>
      </c>
      <c r="B722" s="8" t="str">
        <f>'DEF_CALL_DECISION_SUPPORT'!B844</f>
        <v>KNIFE</v>
      </c>
      <c r="C722" s="12">
        <f>'DEF_CALL_DECISION_SUPPORT'!C844</f>
        <v>1</v>
      </c>
      <c r="D722" s="10">
        <f>'DEF_CALL_DECISION_SUPPORT'!D844</f>
        <v>1.0</v>
      </c>
      <c r="E722" s="10">
        <f>'DEF_CALL_DECISION_SUPPORT'!E844</f>
        <v>0.0</v>
      </c>
      <c r="F722" s="11">
        <f>'DEF_CALL_DECISION_SUPPORT'!F844</f>
        <v>6.0</v>
      </c>
      <c r="G722" s="11">
        <f>'DEF_CALL_DECISION_SUPPORT'!J844</f>
        <v>94.0</v>
      </c>
      <c r="H722" s="8" t="str">
        <f>'DEF_CALL_DECISION_SUPPORT'!I844</f>
        <v>TRACK</v>
      </c>
      <c r="I722" s="8" t="str">
        <f>'DEF_CALL_DECISION_SUPPORT'!K844</f>
        <v>Track Only</v>
      </c>
      <c r="J722" s="14" t="s">
        <v>2716</v>
      </c>
      <c r="K722" s="9" t="str">
        <f>'DEF_CALL_DECISION_SUPPORT'!L844</f>
        <v>Track only; not enough sample.</v>
      </c>
      <c r="L722" s="8" t="s">
        <v>2713</v>
      </c>
    </row>
    <row r="723" spans="1:12" ht="48" customHeight="1">
      <c r="A723" s="8" t="s">
        <v>467</v>
      </c>
      <c r="B723" s="8" t="str">
        <f>'DEF_CALL_DECISION_SUPPORT'!B865</f>
        <v>BLIZZARD</v>
      </c>
      <c r="C723" s="12">
        <f>'DEF_CALL_DECISION_SUPPORT'!C865</f>
        <v>1</v>
      </c>
      <c r="D723" s="10">
        <f>'DEF_CALL_DECISION_SUPPORT'!D865</f>
        <v>1.0</v>
      </c>
      <c r="E723" s="10">
        <f>'DEF_CALL_DECISION_SUPPORT'!E865</f>
        <v>0.0</v>
      </c>
      <c r="F723" s="11">
        <f>'DEF_CALL_DECISION_SUPPORT'!F865</f>
        <v>6.0</v>
      </c>
      <c r="G723" s="11">
        <f>'DEF_CALL_DECISION_SUPPORT'!J865</f>
        <v>94.0</v>
      </c>
      <c r="H723" s="8" t="str">
        <f>'DEF_CALL_DECISION_SUPPORT'!I865</f>
        <v>TRACK</v>
      </c>
      <c r="I723" s="8" t="str">
        <f>'DEF_CALL_DECISION_SUPPORT'!K865</f>
        <v>Track Only</v>
      </c>
      <c r="J723" s="14" t="s">
        <v>2716</v>
      </c>
      <c r="K723" s="9" t="str">
        <f>'DEF_CALL_DECISION_SUPPORT'!L865</f>
        <v>Track only; not enough sample.</v>
      </c>
      <c r="L723" s="8" t="s">
        <v>2713</v>
      </c>
    </row>
    <row r="724" spans="1:12" ht="48" customHeight="1">
      <c r="A724" s="8" t="s">
        <v>495</v>
      </c>
      <c r="B724" s="8" t="str">
        <f>'DEF_CALL_DECISION_SUPPORT'!B894</f>
        <v>ROLEX KNIFE</v>
      </c>
      <c r="C724" s="12">
        <f>'DEF_CALL_DECISION_SUPPORT'!C894</f>
        <v>1</v>
      </c>
      <c r="D724" s="10">
        <f>'DEF_CALL_DECISION_SUPPORT'!D894</f>
        <v>1.0</v>
      </c>
      <c r="E724" s="10">
        <f>'DEF_CALL_DECISION_SUPPORT'!E894</f>
        <v>0.0</v>
      </c>
      <c r="F724" s="11">
        <f>'DEF_CALL_DECISION_SUPPORT'!F894</f>
        <v>6.0</v>
      </c>
      <c r="G724" s="11">
        <f>'DEF_CALL_DECISION_SUPPORT'!J894</f>
        <v>94.0</v>
      </c>
      <c r="H724" s="8" t="str">
        <f>'DEF_CALL_DECISION_SUPPORT'!I894</f>
        <v>TRACK</v>
      </c>
      <c r="I724" s="8" t="str">
        <f>'DEF_CALL_DECISION_SUPPORT'!K894</f>
        <v>Track Only</v>
      </c>
      <c r="J724" s="14" t="s">
        <v>2716</v>
      </c>
      <c r="K724" s="9" t="str">
        <f>'DEF_CALL_DECISION_SUPPORT'!L894</f>
        <v>Track only; not enough sample.</v>
      </c>
      <c r="L724" s="8" t="s">
        <v>2713</v>
      </c>
    </row>
    <row r="725" spans="1:12" ht="48" customHeight="1">
      <c r="A725" s="8" t="s">
        <v>530</v>
      </c>
      <c r="B725" s="8" t="str">
        <f>'DEF_CALL_DECISION_SUPPORT'!B938</f>
        <v>TEX</v>
      </c>
      <c r="C725" s="12">
        <f>'DEF_CALL_DECISION_SUPPORT'!C938</f>
        <v>1</v>
      </c>
      <c r="D725" s="10">
        <f>'DEF_CALL_DECISION_SUPPORT'!D938</f>
        <v>1.0</v>
      </c>
      <c r="E725" s="10">
        <f>'DEF_CALL_DECISION_SUPPORT'!E938</f>
        <v>0.0</v>
      </c>
      <c r="F725" s="11">
        <f>'DEF_CALL_DECISION_SUPPORT'!F938</f>
        <v>6.0</v>
      </c>
      <c r="G725" s="11">
        <f>'DEF_CALL_DECISION_SUPPORT'!J938</f>
        <v>94.0</v>
      </c>
      <c r="H725" s="8" t="str">
        <f>'DEF_CALL_DECISION_SUPPORT'!I938</f>
        <v>TRACK</v>
      </c>
      <c r="I725" s="8" t="str">
        <f>'DEF_CALL_DECISION_SUPPORT'!K938</f>
        <v>Track Only</v>
      </c>
      <c r="J725" s="14" t="s">
        <v>2716</v>
      </c>
      <c r="K725" s="9" t="str">
        <f>'DEF_CALL_DECISION_SUPPORT'!L938</f>
        <v>Track only; not enough sample.</v>
      </c>
      <c r="L725" s="8" t="s">
        <v>2713</v>
      </c>
    </row>
    <row r="726" spans="1:12" ht="48" customHeight="1">
      <c r="A726" s="8" t="s">
        <v>530</v>
      </c>
      <c r="B726" s="8" t="str">
        <f>'DEF_CALL_DECISION_SUPPORT'!B939</f>
        <v>TORNADO</v>
      </c>
      <c r="C726" s="12">
        <f>'DEF_CALL_DECISION_SUPPORT'!C939</f>
        <v>1</v>
      </c>
      <c r="D726" s="10">
        <f>'DEF_CALL_DECISION_SUPPORT'!D939</f>
        <v>1.0</v>
      </c>
      <c r="E726" s="10">
        <f>'DEF_CALL_DECISION_SUPPORT'!E939</f>
        <v>0.0</v>
      </c>
      <c r="F726" s="11">
        <f>'DEF_CALL_DECISION_SUPPORT'!F939</f>
        <v>6.0</v>
      </c>
      <c r="G726" s="11">
        <f>'DEF_CALL_DECISION_SUPPORT'!J939</f>
        <v>94.0</v>
      </c>
      <c r="H726" s="8" t="str">
        <f>'DEF_CALL_DECISION_SUPPORT'!I939</f>
        <v>TRACK</v>
      </c>
      <c r="I726" s="8" t="str">
        <f>'DEF_CALL_DECISION_SUPPORT'!K939</f>
        <v>Track Only</v>
      </c>
      <c r="J726" s="14" t="s">
        <v>2716</v>
      </c>
      <c r="K726" s="9" t="str">
        <f>'DEF_CALL_DECISION_SUPPORT'!L939</f>
        <v>Track only; not enough sample.</v>
      </c>
      <c r="L726" s="8" t="s">
        <v>2713</v>
      </c>
    </row>
    <row r="727" spans="1:12" ht="48" customHeight="1">
      <c r="A727" s="8" t="s">
        <v>543</v>
      </c>
      <c r="B727" s="8" t="str">
        <f>'DEF_CALL_DECISION_SUPPORT'!B961</f>
        <v>KNIFE</v>
      </c>
      <c r="C727" s="12">
        <f>'DEF_CALL_DECISION_SUPPORT'!C961</f>
        <v>1</v>
      </c>
      <c r="D727" s="10">
        <f>'DEF_CALL_DECISION_SUPPORT'!D961</f>
        <v>1.0</v>
      </c>
      <c r="E727" s="10">
        <f>'DEF_CALL_DECISION_SUPPORT'!E961</f>
        <v>0.0</v>
      </c>
      <c r="F727" s="11">
        <f>'DEF_CALL_DECISION_SUPPORT'!F961</f>
        <v>6.0</v>
      </c>
      <c r="G727" s="11">
        <f>'DEF_CALL_DECISION_SUPPORT'!J961</f>
        <v>94.0</v>
      </c>
      <c r="H727" s="8" t="str">
        <f>'DEF_CALL_DECISION_SUPPORT'!I961</f>
        <v>TRACK</v>
      </c>
      <c r="I727" s="8" t="str">
        <f>'DEF_CALL_DECISION_SUPPORT'!K961</f>
        <v>Track Only</v>
      </c>
      <c r="J727" s="14" t="s">
        <v>2716</v>
      </c>
      <c r="K727" s="9" t="str">
        <f>'DEF_CALL_DECISION_SUPPORT'!L961</f>
        <v>Track only; not enough sample.</v>
      </c>
      <c r="L727" s="8" t="s">
        <v>2713</v>
      </c>
    </row>
    <row r="728" spans="1:12" ht="48" customHeight="1">
      <c r="A728" s="8" t="s">
        <v>471</v>
      </c>
      <c r="B728" s="8" t="str">
        <f>'DEF_CALL_DECISION_SUPPORT'!B1420</f>
        <v>REBEL</v>
      </c>
      <c r="C728" s="12">
        <f>'DEF_CALL_DECISION_SUPPORT'!C1420</f>
        <v>1</v>
      </c>
      <c r="D728" s="10">
        <f>'DEF_CALL_DECISION_SUPPORT'!D1420</f>
        <v>1.0</v>
      </c>
      <c r="E728" s="10">
        <f>'DEF_CALL_DECISION_SUPPORT'!E1420</f>
        <v>0.0</v>
      </c>
      <c r="F728" s="11">
        <f>'DEF_CALL_DECISION_SUPPORT'!F1420</f>
        <v>7.0</v>
      </c>
      <c r="G728" s="11">
        <f>'DEF_CALL_DECISION_SUPPORT'!J1420</f>
        <v>93.0</v>
      </c>
      <c r="H728" s="8" t="str">
        <f>'DEF_CALL_DECISION_SUPPORT'!I1420</f>
        <v>TRACK</v>
      </c>
      <c r="I728" s="8" t="str">
        <f>'DEF_CALL_DECISION_SUPPORT'!K1420</f>
        <v>Track Only</v>
      </c>
      <c r="J728" s="14" t="s">
        <v>2716</v>
      </c>
      <c r="K728" s="9" t="str">
        <f>'DEF_CALL_DECISION_SUPPORT'!L1420</f>
        <v>Track only; not enough sample.</v>
      </c>
      <c r="L728" s="8" t="s">
        <v>781</v>
      </c>
    </row>
    <row r="729" spans="1:12" ht="48" customHeight="1">
      <c r="A729" s="8" t="s">
        <v>448</v>
      </c>
      <c r="B729" s="8" t="str">
        <f>'DEF_CALL_DECISION_SUPPORT'!B835</f>
        <v>TEX</v>
      </c>
      <c r="C729" s="12">
        <f>'DEF_CALL_DECISION_SUPPORT'!C835</f>
        <v>1</v>
      </c>
      <c r="D729" s="10">
        <f>'DEF_CALL_DECISION_SUPPORT'!D835</f>
        <v>1.0</v>
      </c>
      <c r="E729" s="10">
        <f>'DEF_CALL_DECISION_SUPPORT'!E835</f>
        <v>0.0</v>
      </c>
      <c r="F729" s="11">
        <f>'DEF_CALL_DECISION_SUPPORT'!F835</f>
        <v>7.0</v>
      </c>
      <c r="G729" s="11">
        <f>'DEF_CALL_DECISION_SUPPORT'!J835</f>
        <v>93.0</v>
      </c>
      <c r="H729" s="8" t="str">
        <f>'DEF_CALL_DECISION_SUPPORT'!I835</f>
        <v>TRACK</v>
      </c>
      <c r="I729" s="8" t="str">
        <f>'DEF_CALL_DECISION_SUPPORT'!K835</f>
        <v>Track Only</v>
      </c>
      <c r="J729" s="14" t="s">
        <v>2716</v>
      </c>
      <c r="K729" s="9" t="str">
        <f>'DEF_CALL_DECISION_SUPPORT'!L835</f>
        <v>Track only; not enough sample.</v>
      </c>
      <c r="L729" s="8" t="s">
        <v>2713</v>
      </c>
    </row>
    <row r="730" spans="1:12" ht="48" customHeight="1">
      <c r="A730" s="8" t="s">
        <v>495</v>
      </c>
      <c r="B730" s="8" t="str">
        <f>'DEF_CALL_DECISION_SUPPORT'!B893</f>
        <v>REBEL</v>
      </c>
      <c r="C730" s="12">
        <f>'DEF_CALL_DECISION_SUPPORT'!C893</f>
        <v>1</v>
      </c>
      <c r="D730" s="10">
        <f>'DEF_CALL_DECISION_SUPPORT'!D893</f>
        <v>1.0</v>
      </c>
      <c r="E730" s="10">
        <f>'DEF_CALL_DECISION_SUPPORT'!E893</f>
        <v>0.0</v>
      </c>
      <c r="F730" s="11">
        <f>'DEF_CALL_DECISION_SUPPORT'!F893</f>
        <v>7.0</v>
      </c>
      <c r="G730" s="11">
        <f>'DEF_CALL_DECISION_SUPPORT'!J893</f>
        <v>93.0</v>
      </c>
      <c r="H730" s="8" t="str">
        <f>'DEF_CALL_DECISION_SUPPORT'!I893</f>
        <v>TRACK</v>
      </c>
      <c r="I730" s="8" t="str">
        <f>'DEF_CALL_DECISION_SUPPORT'!K893</f>
        <v>Track Only</v>
      </c>
      <c r="J730" s="14" t="s">
        <v>2716</v>
      </c>
      <c r="K730" s="9" t="str">
        <f>'DEF_CALL_DECISION_SUPPORT'!L893</f>
        <v>Track only; not enough sample.</v>
      </c>
      <c r="L730" s="8" t="s">
        <v>2713</v>
      </c>
    </row>
  </sheetData>
  <sheetProtection sheet="1" objects="1" scenarios="1" autoFilter="0"/>
  <mergeCells count="24">
    <mergeCell ref="A1:L1"/>
    <mergeCell ref="A3:L3"/>
    <mergeCell ref="A8:F8"/>
    <mergeCell ref="A16:F16"/>
    <mergeCell ref="A9:F9"/>
    <mergeCell ref="A10:F10"/>
    <mergeCell ref="A14:F14"/>
    <mergeCell ref="A15:F15"/>
    <mergeCell ref="A17:F17"/>
    <mergeCell ref="A30:L30"/>
    <mergeCell ref="A31:L31"/>
    <mergeCell ref="A64:L64"/>
    <mergeCell ref="A65:L65"/>
    <mergeCell ref="A142:L142"/>
    <mergeCell ref="A143:L143"/>
    <mergeCell ref="A276:L276"/>
    <mergeCell ref="A277:L277"/>
    <mergeCell ref="A412:L412"/>
    <mergeCell ref="A413:L413"/>
    <mergeCell ref="A437:L437"/>
    <mergeCell ref="A438:L438"/>
    <mergeCell ref="A18:F18"/>
    <mergeCell ref="A21:F21"/>
    <mergeCell ref="A22:F22"/>
  </mergeCells>
  <conditionalFormatting sqref="A1:R730">
    <cfRule type="containsText" dxfId="0" priority="1" operator="containsText" text="PASS">
      <formula>NOT(ISERROR(SEARCH("PASS",A1)))</formula>
    </cfRule>
    <cfRule type="containsText" dxfId="0" priority="2" operator="containsText" text="Strong Candidate">
      <formula>NOT(ISERROR(SEARCH("Strong Candidate",A1)))</formula>
    </cfRule>
    <cfRule type="containsText" dxfId="0" priority="3" operator="containsText" text="Good Candidate">
      <formula>NOT(ISERROR(SEARCH("Good Candidate",A1)))</formula>
    </cfRule>
    <cfRule type="containsText" dxfId="0" priority="4" operator="containsText" text="HIGH">
      <formula>NOT(ISERROR(SEARCH("HIGH",A1)))</formula>
    </cfRule>
    <cfRule type="containsText" dxfId="1" priority="5" operator="containsText" text="REVIEW">
      <formula>NOT(ISERROR(SEARCH("REVIEW",A1)))</formula>
    </cfRule>
    <cfRule type="containsText" dxfId="1" priority="6" operator="containsText" text="Sample Watch">
      <formula>NOT(ISERROR(SEARCH("Sample Watch",A1)))</formula>
    </cfRule>
    <cfRule type="containsText" dxfId="1" priority="7" operator="containsText" text="LOW">
      <formula>NOT(ISERROR(SEARCH("LOW",A1)))</formula>
    </cfRule>
    <cfRule type="containsText" dxfId="2" priority="8" operator="containsText" text="TRACK">
      <formula>NOT(ISERROR(SEARCH("TRACK",A1)))</formula>
    </cfRule>
    <cfRule type="containsText" dxfId="2" priority="9" operator="containsText" text="Concept Proxy">
      <formula>NOT(ISERROR(SEARCH("Concept Proxy",A1)))</formula>
    </cfRule>
    <cfRule type="containsText" dxfId="3" priority="10" operator="containsText" text="FAIL">
      <formula>NOT(ISERROR(SEARCH("FAIL",A1)))</formula>
    </cfRule>
    <cfRule type="containsText" dxfId="3" priority="11" operator="containsText" text="Problem Call">
      <formula>NOT(ISERROR(SEARCH("Problem Call",A1)))</formula>
    </cfRule>
    <cfRule type="containsText" dxfId="3" priority="12" operator="containsText" text="Explosive Alert">
      <formula>NOT(ISERROR(SEARCH("Explosive Alert",A1)))</formula>
    </cfRule>
  </conditionalFormatting>
  <dataValidations count="204">
    <dataValidation type="list" errorStyle="warning" allowBlank="1" showInputMessage="1" showErrorMessage="1" promptTitle="Coach lookup" prompt="Select a value. Film confirmation is still required." sqref="B6">
      <formula1>SituationList</formula1>
    </dataValidation>
    <dataValidation type="list" errorStyle="warning" allowBlank="1" showInputMessage="1" showErrorMessage="1" promptTitle="Coach lookup" prompt="Select a value. Film confirmation is still required." sqref="E6">
      <formula1>ConceptList</formula1>
    </dataValidation>
    <dataValidation type="list" errorStyle="warning" allowBlank="1" showInputMessage="1" showErrorMessage="1" promptTitle="Coach lookup" prompt="Select a value. Film confirmation is still required." sqref="E7">
      <formula1>PlayWatchList</formula1>
    </dataValidation>
    <dataValidation type="whole" allowBlank="1" showInputMessage="1" showErrorMessage="1" promptTitle="Priority minimum" prompt="Default 4. Smaller samples retain TRACK / LOW labels." sqref="B7">
      <formula1>1</formula1>
      <formula2>999</formula2>
    </dataValidation>
    <dataValidation type="list" errorStyle="warning" allowBlank="1" showInputMessage="1" showErrorMessage="1" promptTitle="Confirm the concept" prompt="A confirmed concept supports a proxy, not exact-play defensive proof." sqref="L67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68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69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70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71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72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73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74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75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76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77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78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79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80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81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82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83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84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85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86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87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88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89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90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91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92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93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94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95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96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97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98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99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00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01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02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03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04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05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06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07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08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09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10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11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12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13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14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15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16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17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18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19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20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21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22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23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24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25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26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27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28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29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30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31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32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33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34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35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36">
      <formula1>ConceptList</formula1>
    </dataValidation>
    <dataValidation type="list" errorStyle="warning" allowBlank="1" showInputMessage="1" showErrorMessage="1" promptTitle="Confirm the concept" prompt="A confirmed concept supports a proxy, not exact-play defensive proof." sqref="L137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79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80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81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82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83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84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85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86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87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88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89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90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91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92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93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94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95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96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97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98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299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00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01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02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03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04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05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06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07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08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09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10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11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12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13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14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15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16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17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18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19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20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21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22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23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24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25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26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27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28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29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30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31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32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33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34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35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36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37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38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39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40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41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42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43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44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45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46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47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48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49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50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51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52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53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54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55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56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57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58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59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60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61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62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63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64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65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66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67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68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69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70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71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72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73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74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75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76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77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78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79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80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81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82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83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84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85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86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87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88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89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90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91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92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93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94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95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96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97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98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399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400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401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402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403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404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405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406">
      <formula1>ConceptList</formula1>
    </dataValidation>
    <dataValidation type="list" errorStyle="warning" allowBlank="1" showInputMessage="1" showErrorMessage="1" promptTitle="Confirm concept proxy" prompt="Use film to confirm ambiguous play-to-concept mapping." sqref="L407">
      <formula1>ConceptList</formula1>
    </dataValidation>
  </dataValidations>
  <hyperlinks>
    <hyperlink ref="A2" location="'START_HERE'!A1" display="START"/>
    <hyperlink ref="C2" location="'CALL_LOOKUP_BOARD'!A1" display="FIND A CALL"/>
    <hyperlink ref="F2" location="'HOT_CALL_RESPONSE_CARD'!A1" display="OPPONENT ALERTS"/>
    <hyperlink ref="I2" location="'PRACTICE_SCRIPT_BOARD'!A1" display="PRACTICE"/>
    <hyperlink ref="A4" location="'CALL_LOOKUP_BOARD'!A30" display="CONCEPTS"/>
    <hyperlink ref="C4" location="'CALL_LOOKUP_BOARD'!A64" display="EXACT-PLAY WATCH"/>
    <hyperlink ref="E4" location="'CALL_LOOKUP_BOARD'!A142" display="D&amp;D + CONCEPT"/>
    <hyperlink ref="A5" location="'CALL_LOOKUP_BOARD'!A276" display="D&amp;D PLAY WATCH"/>
    <hyperlink ref="C5" location="'CALL_LOOKUP_BOARD'!A412" display="CAUTIONS"/>
    <hyperlink ref="E5" location="'CALL_LOOKUP_BOARD'!A437" display="SMALL SAMPLES"/>
  </hyperlinks>
  <pageMargins left="0.25" right="0.25" top="0.35" bottom="0.35" header="0.3" footer="0.3"/>
  <pageSetup paperSize="1" fitToHeight="0" orientation="landscape"/>
  <headerFooter>
    <oddHeader>&amp;LWeekly Gameplan&amp;RFilm confirms the numbers</oddHeader>
    <oddFooter>&amp;LConcept call-fit candidates, not automatic calls&amp;RPage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776A1"/>
    <pageSetUpPr fitToPage="1"/>
  </sheetPr>
  <dimension ref="A1:U1491"/>
  <sheetViews>
    <sheetView workbookViewId="0"/>
  </sheetViews>
  <sheetFormatPr defaultRowHeight="25" customHeight="1"/>
  <cols>
    <col min="1" max="1" width="37.7109375" customWidth="1"/>
    <col min="2" max="2" width="27.7109375" customWidth="1"/>
    <col min="3" max="3" width="10.7109375" customWidth="1"/>
    <col min="4" max="8" width="14.7109375" customWidth="1"/>
    <col min="9" max="11" width="19.7109375" customWidth="1"/>
    <col min="12" max="12" width="55.7109375" customWidth="1"/>
    <col min="13" max="17" width="23.7109375" customWidth="1"/>
    <col min="18" max="18" width="37.7109375" customWidth="1"/>
    <col min="19" max="21" width="18.7109375" hidden="1" customWidth="1"/>
  </cols>
  <sheetData>
    <row r="1" spans="1:21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1" ht="25" customHeight="1">
      <c r="A2" s="3" t="s">
        <v>1</v>
      </c>
      <c r="C2" s="3" t="s">
        <v>2</v>
      </c>
      <c r="F2" s="3" t="s">
        <v>3</v>
      </c>
      <c r="I2" s="3" t="s">
        <v>4</v>
      </c>
    </row>
    <row r="3" spans="1:21" ht="34" customHeight="1">
      <c r="A3" s="4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7" spans="1:21" ht="27" customHeight="1">
      <c r="A7" s="5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21" ht="36" customHeight="1">
      <c r="A8" s="9" t="s">
        <v>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21" ht="46" customHeight="1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6" t="s">
        <v>14</v>
      </c>
      <c r="H9" s="6" t="s">
        <v>15</v>
      </c>
      <c r="I9" s="6" t="s">
        <v>16</v>
      </c>
      <c r="J9" s="6" t="s">
        <v>17</v>
      </c>
      <c r="K9" s="6" t="s">
        <v>18</v>
      </c>
      <c r="L9" s="6" t="s">
        <v>19</v>
      </c>
      <c r="M9" s="6" t="s">
        <v>20</v>
      </c>
      <c r="N9" s="6" t="s">
        <v>21</v>
      </c>
      <c r="O9" s="6" t="s">
        <v>22</v>
      </c>
      <c r="P9" s="6" t="s">
        <v>23</v>
      </c>
      <c r="Q9" s="6" t="s">
        <v>24</v>
      </c>
      <c r="R9" s="6" t="s">
        <v>25</v>
      </c>
    </row>
    <row r="10" spans="1:21" ht="38" customHeight="1">
      <c r="A10" s="8" t="s">
        <v>26</v>
      </c>
      <c r="B10" s="8" t="s">
        <v>27</v>
      </c>
      <c r="C10" s="12">
        <f>COUNTIFS('DEF_SELF_SCOUT_IMPORT'!$L$42:$L$1040,"Y",'DEF_SELF_SCOUT_IMPORT'!$E$42:$E$1040,SUBSTITUTE(SUBSTITUTE(SUBSTITUTE($B10,"~","~~"),"*","~*"),"?","~?"),'DEF_SELF_SCOUT_IMPORT'!$Q$42:$Q$1040,SUBSTITUTE(SUBSTITUTE(SUBSTITUTE($M10,"~","~~"),"*","~*"),"?","~?"))</f>
        <v>1</v>
      </c>
      <c r="D10" s="10">
        <f>IF($C10=0,"",SUMIFS('DEF_SELF_SCOUT_IMPORT'!$J$42:$J$1040,'DEF_SELF_SCOUT_IMPORT'!$L$42:$L$1040,"Y",'DEF_SELF_SCOUT_IMPORT'!$E$42:$E$1040,SUBSTITUTE(SUBSTITUTE(SUBSTITUTE($B10,"~","~~"),"*","~*"),"?","~?"),'DEF_SELF_SCOUT_IMPORT'!$Q$42:$Q$1040,SUBSTITUTE(SUBSTITUTE(SUBSTITUTE($M10,"~","~~"),"*","~*"),"?","~?"))/$C10)</f>
        <v>0.0</v>
      </c>
      <c r="E10" s="10">
        <f>IF($C10=0,"",SUMIFS('DEF_SELF_SCOUT_IMPORT'!$K$42:$K$1040,'DEF_SELF_SCOUT_IMPORT'!$L$42:$L$1040,"Y",'DEF_SELF_SCOUT_IMPORT'!$E$42:$E$1040,SUBSTITUTE(SUBSTITUTE(SUBSTITUTE($B10,"~","~~"),"*","~*"),"?","~?"),'DEF_SELF_SCOUT_IMPORT'!$Q$42:$Q$1040,SUBSTITUTE(SUBSTITUTE(SUBSTITUTE($M10,"~","~~"),"*","~*"),"?","~?"))/$C10)</f>
        <v>0.0</v>
      </c>
      <c r="F10" s="11">
        <f>IF($C10=0,"",AVERAGEIFS('DEF_SELF_SCOUT_IMPORT'!$I$42:$I$1040,'DEF_SELF_SCOUT_IMPORT'!$L$42:$L$1040,"Y",'DEF_SELF_SCOUT_IMPORT'!$E$42:$E$1040,SUBSTITUTE(SUBSTITUTE(SUBSTITUTE($B10,"~","~~"),"*","~*"),"?","~?"),'DEF_SELF_SCOUT_IMPORT'!$Q$42:$Q$1040,SUBSTITUTE(SUBSTITUTE(SUBSTITUTE($M10,"~","~~"),"*","~*"),"?","~?")))</f>
        <v>1.0</v>
      </c>
      <c r="G10" s="10">
        <f>IF($C10=0,"",COUNTIFS('DEF_SELF_SCOUT_IMPORT'!$L$42:$L$1040,"Y",'DEF_SELF_SCOUT_IMPORT'!$E$42:$E$1040,SUBSTITUTE(SUBSTITUTE(SUBSTITUTE($B10,"~","~~"),"*","~*"),"?","~?"),'DEF_SELF_SCOUT_IMPORT'!$Q$42:$Q$1040,SUBSTITUTE(SUBSTITUTE(SUBSTITUTE($M10,"~","~~"),"*","~*"),"?","~?"),'DEF_SELF_SCOUT_IMPORT'!$H$42:$H$1040,"RUSH")/$C10)</f>
        <v>0.0</v>
      </c>
      <c r="H10" s="10">
        <f>IF($C10=0,"",COUNTIFS('DEF_SELF_SCOUT_IMPORT'!$L$42:$L$1040,"Y",'DEF_SELF_SCOUT_IMPORT'!$E$42:$E$1040,SUBSTITUTE(SUBSTITUTE(SUBSTITUTE($B10,"~","~~"),"*","~*"),"?","~?"),'DEF_SELF_SCOUT_IMPORT'!$Q$42:$Q$1040,SUBSTITUTE(SUBSTITUTE(SUBSTITUTE($M10,"~","~~"),"*","~*"),"?","~?"),'DEF_SELF_SCOUT_IMPORT'!$H$42:$H$1040,"DROPBACK")/$C10)</f>
        <v>0.0</v>
      </c>
      <c r="I10" s="14" t="str">
        <f>IF(C10=0,"",IF(C10&lt;=2,"TRACK",IF(C10=3,"LOW",IF(C10&lt;=6,"MEDIUM","HIGH"))))</f>
        <v>TRACK</v>
      </c>
      <c r="J10" s="11">
        <f>IF(C10=0,"",ROUND(D10*70+(1-E10)*20+MAX(0,MIN(1,(10-F10)/10))*10,1))</f>
        <v>29.0</v>
      </c>
      <c r="K10" s="14" t="str">
        <f>IF(C10=0,"No Evidence",IF(C10&lt;=2,IF(E10&gt;0,"Explosive Alert","Track Only"),IF(C10=3,"Sample Watch",IF(E10&gt;=START_HERE!$B$31,"Explosive Alert",IF(J10&gt;=80,"Strong Candidate",IF(J10&gt;=65,"Good Candidate",IF(J10&gt;=50,"Mixed / Review","Problem Call")))))))</f>
        <v>Track Only</v>
      </c>
      <c r="L10" s="9" t="str">
        <f>IF(COUNTIFS('DEF_SELF_SCOUT_IMPORT'!$L$42:$L$1040,"Y",'DEF_SELF_SCOUT_IMPORT'!$E$42:$E$1040,SUBSTITUTE(SUBSTITUTE(SUBSTITUTE($B10,"~","~~"),"*","~*"),"?","~?"),'DEF_SELF_SCOUT_IMPORT'!$Q$42:$Q$1040,SUBSTITUTE(SUBSTITUTE(SUBSTITUTE($M10,"~","~~"),"*","~*"),"?","~?"),'DEF_SELF_SCOUT_IMPORT'!$J$42:$J$1040,"")&gt;0,"Unscored clean outcome; review result tags before using score.",IF(C10=0,"No matching defensive reps; film confirmation needed.",IF(K10="Explosive Alert","Explosive risk; review clips before using as answer.",IF(C10&lt;=2,"Track only; not enough sample.",IF(C10=3,IF(E10&gt;0,"Sample watch with explosive exposure; review clips and build the sample.",IF(J10&gt;=65,"Good signal, but sample is limited.","Sample watch; review clips and build the sample.")),IF(K10="Problem Call","Problem area; practice or call-sheet review.",IF(K10="Strong Candidate","Strong call-fit candidate; confirm on film.",IF(K10="Good Candidate","Good call-fit signal; confirm on film.","Mixed signal; review fit and execution on film."))))))))</f>
        <v>Track only; not enough sample.</v>
      </c>
      <c r="M10" s="8" t="s">
        <v>26</v>
      </c>
      <c r="N10" s="8"/>
      <c r="O10" s="8"/>
      <c r="P10" s="8"/>
      <c r="Q10" s="8"/>
      <c r="R10" s="8" t="s">
        <v>28</v>
      </c>
      <c r="S10" s="2" t="s">
        <v>29</v>
      </c>
      <c r="T10" s="2">
        <f>IF(C10=0,0,IF(C10&gt;=CALL_LOOKUP_BOARD!$B$7,IF(OR(K10="Problem Call",K10="Explosive Alert"),10000000,20000000),0)+IF(C10&gt;=CALL_LOOKUP_BOARD!$B$7,J10*1000+MIN(C10,999),C10*1000+J10)+0.00999900)</f>
        <v>1029.009999</v>
      </c>
      <c r="U10" s="2">
        <f>IF(C10=0,"",IF(COUNTIFS($S$10:$S$178,SUBSTITUTE(SUBSTITUTE(SUBSTITUTE(S10,"~","~~"),"*","~*"),"?","~?"),$T$10:$T$178,"&gt;"&amp;T10)=0,S10,""))</f>
        <v/>
      </c>
    </row>
    <row r="11" spans="1:21" ht="38" customHeight="1">
      <c r="A11" s="8" t="s">
        <v>26</v>
      </c>
      <c r="B11" s="8" t="s">
        <v>30</v>
      </c>
      <c r="C11" s="12">
        <f>COUNTIFS('DEF_SELF_SCOUT_IMPORT'!$L$42:$L$1040,"Y",'DEF_SELF_SCOUT_IMPORT'!$E$42:$E$1040,SUBSTITUTE(SUBSTITUTE(SUBSTITUTE($B11,"~","~~"),"*","~*"),"?","~?"),'DEF_SELF_SCOUT_IMPORT'!$Q$42:$Q$1040,SUBSTITUTE(SUBSTITUTE(SUBSTITUTE($M11,"~","~~"),"*","~*"),"?","~?"))</f>
        <v>2</v>
      </c>
      <c r="D11" s="10">
        <f>IF($C11=0,"",SUMIFS('DEF_SELF_SCOUT_IMPORT'!$J$42:$J$1040,'DEF_SELF_SCOUT_IMPORT'!$L$42:$L$1040,"Y",'DEF_SELF_SCOUT_IMPORT'!$E$42:$E$1040,SUBSTITUTE(SUBSTITUTE(SUBSTITUTE($B11,"~","~~"),"*","~*"),"?","~?"),'DEF_SELF_SCOUT_IMPORT'!$Q$42:$Q$1040,SUBSTITUTE(SUBSTITUTE(SUBSTITUTE($M11,"~","~~"),"*","~*"),"?","~?"))/$C11)</f>
        <v>1.0</v>
      </c>
      <c r="E11" s="10">
        <f>IF($C11=0,"",SUMIFS('DEF_SELF_SCOUT_IMPORT'!$K$42:$K$1040,'DEF_SELF_SCOUT_IMPORT'!$L$42:$L$1040,"Y",'DEF_SELF_SCOUT_IMPORT'!$E$42:$E$1040,SUBSTITUTE(SUBSTITUTE(SUBSTITUTE($B11,"~","~~"),"*","~*"),"?","~?"),'DEF_SELF_SCOUT_IMPORT'!$Q$42:$Q$1040,SUBSTITUTE(SUBSTITUTE(SUBSTITUTE($M11,"~","~~"),"*","~*"),"?","~?"))/$C11)</f>
        <v>0.0</v>
      </c>
      <c r="F11" s="11">
        <f>IF($C11=0,"",AVERAGEIFS('DEF_SELF_SCOUT_IMPORT'!$I$42:$I$1040,'DEF_SELF_SCOUT_IMPORT'!$L$42:$L$1040,"Y",'DEF_SELF_SCOUT_IMPORT'!$E$42:$E$1040,SUBSTITUTE(SUBSTITUTE(SUBSTITUTE($B11,"~","~~"),"*","~*"),"?","~?"),'DEF_SELF_SCOUT_IMPORT'!$Q$42:$Q$1040,SUBSTITUTE(SUBSTITUTE(SUBSTITUTE($M11,"~","~~"),"*","~*"),"?","~?")))</f>
        <v>1.5</v>
      </c>
      <c r="G11" s="10">
        <f>IF($C11=0,"",COUNTIFS('DEF_SELF_SCOUT_IMPORT'!$L$42:$L$1040,"Y",'DEF_SELF_SCOUT_IMPORT'!$E$42:$E$1040,SUBSTITUTE(SUBSTITUTE(SUBSTITUTE($B11,"~","~~"),"*","~*"),"?","~?"),'DEF_SELF_SCOUT_IMPORT'!$Q$42:$Q$1040,SUBSTITUTE(SUBSTITUTE(SUBSTITUTE($M11,"~","~~"),"*","~*"),"?","~?"),'DEF_SELF_SCOUT_IMPORT'!$H$42:$H$1040,"RUSH")/$C11)</f>
        <v>1.0</v>
      </c>
      <c r="H11" s="10">
        <f>IF($C11=0,"",COUNTIFS('DEF_SELF_SCOUT_IMPORT'!$L$42:$L$1040,"Y",'DEF_SELF_SCOUT_IMPORT'!$E$42:$E$1040,SUBSTITUTE(SUBSTITUTE(SUBSTITUTE($B11,"~","~~"),"*","~*"),"?","~?"),'DEF_SELF_SCOUT_IMPORT'!$Q$42:$Q$1040,SUBSTITUTE(SUBSTITUTE(SUBSTITUTE($M11,"~","~~"),"*","~*"),"?","~?"),'DEF_SELF_SCOUT_IMPORT'!$H$42:$H$1040,"DROPBACK")/$C11)</f>
        <v>0.0</v>
      </c>
      <c r="I11" s="14" t="str">
        <f>IF(C11=0,"",IF(C11&lt;=2,"TRACK",IF(C11=3,"LOW",IF(C11&lt;=6,"MEDIUM","HIGH"))))</f>
        <v>TRACK</v>
      </c>
      <c r="J11" s="11">
        <f>IF(C11=0,"",ROUND(D11*70+(1-E11)*20+MAX(0,MIN(1,(10-F11)/10))*10,1))</f>
        <v>98.5</v>
      </c>
      <c r="K11" s="14" t="str">
        <f>IF(C11=0,"No Evidence",IF(C11&lt;=2,IF(E11&gt;0,"Explosive Alert","Track Only"),IF(C11=3,"Sample Watch",IF(E11&gt;=START_HERE!$B$31,"Explosive Alert",IF(J11&gt;=80,"Strong Candidate",IF(J11&gt;=65,"Good Candidate",IF(J11&gt;=50,"Mixed / Review","Problem Call")))))))</f>
        <v>Track Only</v>
      </c>
      <c r="L11" s="9" t="str">
        <f>IF(COUNTIFS('DEF_SELF_SCOUT_IMPORT'!$L$42:$L$1040,"Y",'DEF_SELF_SCOUT_IMPORT'!$E$42:$E$1040,SUBSTITUTE(SUBSTITUTE(SUBSTITUTE($B11,"~","~~"),"*","~*"),"?","~?"),'DEF_SELF_SCOUT_IMPORT'!$Q$42:$Q$1040,SUBSTITUTE(SUBSTITUTE(SUBSTITUTE($M11,"~","~~"),"*","~*"),"?","~?"),'DEF_SELF_SCOUT_IMPORT'!$J$42:$J$1040,"")&gt;0,"Unscored clean outcome; review result tags before using score.",IF(C11=0,"No matching defensive reps; film confirmation needed.",IF(K11="Explosive Alert","Explosive risk; review clips before using as answer.",IF(C11&lt;=2,"Track only; not enough sample.",IF(C11=3,IF(E11&gt;0,"Sample watch with explosive exposure; review clips and build the sample.",IF(J11&gt;=65,"Good signal, but sample is limited.","Sample watch; review clips and build the sample.")),IF(K11="Problem Call","Problem area; practice or call-sheet review.",IF(K11="Strong Candidate","Strong call-fit candidate; confirm on film.",IF(K11="Good Candidate","Good call-fit signal; confirm on film.","Mixed signal; review fit and execution on film."))))))))</f>
        <v>Track only; not enough sample.</v>
      </c>
      <c r="M11" s="8" t="s">
        <v>26</v>
      </c>
      <c r="N11" s="8"/>
      <c r="O11" s="8"/>
      <c r="P11" s="8"/>
      <c r="Q11" s="8"/>
      <c r="R11" s="8" t="s">
        <v>28</v>
      </c>
      <c r="S11" s="2" t="s">
        <v>29</v>
      </c>
      <c r="T11" s="2">
        <f>IF(C11=0,0,IF(C11&gt;=CALL_LOOKUP_BOARD!$B$7,IF(OR(K11="Problem Call",K11="Explosive Alert"),10000000,20000000),0)+IF(C11&gt;=CALL_LOOKUP_BOARD!$B$7,J11*1000+MIN(C11,999),C11*1000+J11)+0.00999800)</f>
        <v>2098.509998</v>
      </c>
      <c r="U11" s="2" t="str">
        <f>IF(C11=0,"",IF(COUNTIFS($S$10:$S$178,SUBSTITUTE(SUBSTITUTE(SUBSTITUTE(S11,"~","~~"),"*","~*"),"?","~?"),$T$10:$T$178,"&gt;"&amp;T11)=0,S11,""))</f>
        <v>6:1D 1-3|</v>
      </c>
    </row>
    <row r="12" spans="1:21" ht="38" customHeight="1">
      <c r="A12" s="8" t="s">
        <v>31</v>
      </c>
      <c r="B12" s="8" t="s">
        <v>32</v>
      </c>
      <c r="C12" s="12">
        <f>COUNTIFS('DEF_SELF_SCOUT_IMPORT'!$L$42:$L$1040,"Y",'DEF_SELF_SCOUT_IMPORT'!$E$42:$E$1040,SUBSTITUTE(SUBSTITUTE(SUBSTITUTE($B12,"~","~~"),"*","~*"),"?","~?"),'DEF_SELF_SCOUT_IMPORT'!$Q$42:$Q$1040,SUBSTITUTE(SUBSTITUTE(SUBSTITUTE($M12,"~","~~"),"*","~*"),"?","~?"))</f>
        <v>1</v>
      </c>
      <c r="D12" s="10">
        <f>IF($C12=0,"",SUMIFS('DEF_SELF_SCOUT_IMPORT'!$J$42:$J$1040,'DEF_SELF_SCOUT_IMPORT'!$L$42:$L$1040,"Y",'DEF_SELF_SCOUT_IMPORT'!$E$42:$E$1040,SUBSTITUTE(SUBSTITUTE(SUBSTITUTE($B12,"~","~~"),"*","~*"),"?","~?"),'DEF_SELF_SCOUT_IMPORT'!$Q$42:$Q$1040,SUBSTITUTE(SUBSTITUTE(SUBSTITUTE($M12,"~","~~"),"*","~*"),"?","~?"))/$C12)</f>
        <v>1.0</v>
      </c>
      <c r="E12" s="10">
        <f>IF($C12=0,"",SUMIFS('DEF_SELF_SCOUT_IMPORT'!$K$42:$K$1040,'DEF_SELF_SCOUT_IMPORT'!$L$42:$L$1040,"Y",'DEF_SELF_SCOUT_IMPORT'!$E$42:$E$1040,SUBSTITUTE(SUBSTITUTE(SUBSTITUTE($B12,"~","~~"),"*","~*"),"?","~?"),'DEF_SELF_SCOUT_IMPORT'!$Q$42:$Q$1040,SUBSTITUTE(SUBSTITUTE(SUBSTITUTE($M12,"~","~~"),"*","~*"),"?","~?"))/$C12)</f>
        <v>0.0</v>
      </c>
      <c r="F12" s="11">
        <f>IF($C12=0,"",AVERAGEIFS('DEF_SELF_SCOUT_IMPORT'!$I$42:$I$1040,'DEF_SELF_SCOUT_IMPORT'!$L$42:$L$1040,"Y",'DEF_SELF_SCOUT_IMPORT'!$E$42:$E$1040,SUBSTITUTE(SUBSTITUTE(SUBSTITUTE($B12,"~","~~"),"*","~*"),"?","~?"),'DEF_SELF_SCOUT_IMPORT'!$Q$42:$Q$1040,SUBSTITUTE(SUBSTITUTE(SUBSTITUTE($M12,"~","~~"),"*","~*"),"?","~?")))</f>
        <v>2.0</v>
      </c>
      <c r="G12" s="10">
        <f>IF($C12=0,"",COUNTIFS('DEF_SELF_SCOUT_IMPORT'!$L$42:$L$1040,"Y",'DEF_SELF_SCOUT_IMPORT'!$E$42:$E$1040,SUBSTITUTE(SUBSTITUTE(SUBSTITUTE($B12,"~","~~"),"*","~*"),"?","~?"),'DEF_SELF_SCOUT_IMPORT'!$Q$42:$Q$1040,SUBSTITUTE(SUBSTITUTE(SUBSTITUTE($M12,"~","~~"),"*","~*"),"?","~?"),'DEF_SELF_SCOUT_IMPORT'!$H$42:$H$1040,"RUSH")/$C12)</f>
        <v>1.0</v>
      </c>
      <c r="H12" s="10">
        <f>IF($C12=0,"",COUNTIFS('DEF_SELF_SCOUT_IMPORT'!$L$42:$L$1040,"Y",'DEF_SELF_SCOUT_IMPORT'!$E$42:$E$1040,SUBSTITUTE(SUBSTITUTE(SUBSTITUTE($B12,"~","~~"),"*","~*"),"?","~?"),'DEF_SELF_SCOUT_IMPORT'!$Q$42:$Q$1040,SUBSTITUTE(SUBSTITUTE(SUBSTITUTE($M12,"~","~~"),"*","~*"),"?","~?"),'DEF_SELF_SCOUT_IMPORT'!$H$42:$H$1040,"DROPBACK")/$C12)</f>
        <v>0.0</v>
      </c>
      <c r="I12" s="14" t="str">
        <f>IF(C12=0,"",IF(C12&lt;=2,"TRACK",IF(C12=3,"LOW",IF(C12&lt;=6,"MEDIUM","HIGH"))))</f>
        <v>TRACK</v>
      </c>
      <c r="J12" s="11">
        <f>IF(C12=0,"",ROUND(D12*70+(1-E12)*20+MAX(0,MIN(1,(10-F12)/10))*10,1))</f>
        <v>98.0</v>
      </c>
      <c r="K12" s="14" t="str">
        <f>IF(C12=0,"No Evidence",IF(C12&lt;=2,IF(E12&gt;0,"Explosive Alert","Track Only"),IF(C12=3,"Sample Watch",IF(E12&gt;=START_HERE!$B$31,"Explosive Alert",IF(J12&gt;=80,"Strong Candidate",IF(J12&gt;=65,"Good Candidate",IF(J12&gt;=50,"Mixed / Review","Problem Call")))))))</f>
        <v>Track Only</v>
      </c>
      <c r="L12" s="9" t="str">
        <f>IF(COUNTIFS('DEF_SELF_SCOUT_IMPORT'!$L$42:$L$1040,"Y",'DEF_SELF_SCOUT_IMPORT'!$E$42:$E$1040,SUBSTITUTE(SUBSTITUTE(SUBSTITUTE($B12,"~","~~"),"*","~*"),"?","~?"),'DEF_SELF_SCOUT_IMPORT'!$Q$42:$Q$1040,SUBSTITUTE(SUBSTITUTE(SUBSTITUTE($M12,"~","~~"),"*","~*"),"?","~?"),'DEF_SELF_SCOUT_IMPORT'!$J$42:$J$1040,"")&gt;0,"Unscored clean outcome; review result tags before using score.",IF(C12=0,"No matching defensive reps; film confirmation needed.",IF(K12="Explosive Alert","Explosive risk; review clips before using as answer.",IF(C12&lt;=2,"Track only; not enough sample.",IF(C12=3,IF(E12&gt;0,"Sample watch with explosive exposure; review clips and build the sample.",IF(J12&gt;=65,"Good signal, but sample is limited.","Sample watch; review clips and build the sample.")),IF(K12="Problem Call","Problem area; practice or call-sheet review.",IF(K12="Strong Candidate","Strong call-fit candidate; confirm on film.",IF(K12="Good Candidate","Good call-fit signal; confirm on film.","Mixed signal; review fit and execution on film."))))))))</f>
        <v>Track only; not enough sample.</v>
      </c>
      <c r="M12" s="8" t="s">
        <v>31</v>
      </c>
      <c r="N12" s="8"/>
      <c r="O12" s="8"/>
      <c r="P12" s="8"/>
      <c r="Q12" s="8"/>
      <c r="R12" s="8" t="s">
        <v>28</v>
      </c>
      <c r="S12" s="2" t="s">
        <v>33</v>
      </c>
      <c r="T12" s="2">
        <f>IF(C12=0,0,IF(C12&gt;=CALL_LOOKUP_BOARD!$B$7,IF(OR(K12="Problem Call",K12="Explosive Alert"),10000000,20000000),0)+IF(C12&gt;=CALL_LOOKUP_BOARD!$B$7,J12*1000+MIN(C12,999),C12*1000+J12)+0.00999700)</f>
        <v>1098.009997</v>
      </c>
      <c r="U12" s="2" t="str">
        <f>IF(C12=0,"",IF(COUNTIFS($S$10:$S$178,SUBSTITUTE(SUBSTITUTE(SUBSTITUTE(S12,"~","~~"),"*","~*"),"?","~?"),$T$10:$T$178,"&gt;"&amp;T12)=0,S12,""))</f>
        <v>6:1D 11+|</v>
      </c>
    </row>
    <row r="13" spans="1:21" ht="38" customHeight="1">
      <c r="A13" s="8" t="s">
        <v>31</v>
      </c>
      <c r="B13" s="8" t="s">
        <v>34</v>
      </c>
      <c r="C13" s="12">
        <f>COUNTIFS('DEF_SELF_SCOUT_IMPORT'!$L$42:$L$1040,"Y",'DEF_SELF_SCOUT_IMPORT'!$E$42:$E$1040,SUBSTITUTE(SUBSTITUTE(SUBSTITUTE($B13,"~","~~"),"*","~*"),"?","~?"),'DEF_SELF_SCOUT_IMPORT'!$Q$42:$Q$1040,SUBSTITUTE(SUBSTITUTE(SUBSTITUTE($M13,"~","~~"),"*","~*"),"?","~?"))</f>
        <v>1</v>
      </c>
      <c r="D13" s="10">
        <f>IF($C13=0,"",SUMIFS('DEF_SELF_SCOUT_IMPORT'!$J$42:$J$1040,'DEF_SELF_SCOUT_IMPORT'!$L$42:$L$1040,"Y",'DEF_SELF_SCOUT_IMPORT'!$E$42:$E$1040,SUBSTITUTE(SUBSTITUTE(SUBSTITUTE($B13,"~","~~"),"*","~*"),"?","~?"),'DEF_SELF_SCOUT_IMPORT'!$Q$42:$Q$1040,SUBSTITUTE(SUBSTITUTE(SUBSTITUTE($M13,"~","~~"),"*","~*"),"?","~?"))/$C13)</f>
        <v>1.0</v>
      </c>
      <c r="E13" s="10">
        <f>IF($C13=0,"",SUMIFS('DEF_SELF_SCOUT_IMPORT'!$K$42:$K$1040,'DEF_SELF_SCOUT_IMPORT'!$L$42:$L$1040,"Y",'DEF_SELF_SCOUT_IMPORT'!$E$42:$E$1040,SUBSTITUTE(SUBSTITUTE(SUBSTITUTE($B13,"~","~~"),"*","~*"),"?","~?"),'DEF_SELF_SCOUT_IMPORT'!$Q$42:$Q$1040,SUBSTITUTE(SUBSTITUTE(SUBSTITUTE($M13,"~","~~"),"*","~*"),"?","~?"))/$C13)</f>
        <v>0.0</v>
      </c>
      <c r="F13" s="11">
        <f>IF($C13=0,"",AVERAGEIFS('DEF_SELF_SCOUT_IMPORT'!$I$42:$I$1040,'DEF_SELF_SCOUT_IMPORT'!$L$42:$L$1040,"Y",'DEF_SELF_SCOUT_IMPORT'!$E$42:$E$1040,SUBSTITUTE(SUBSTITUTE(SUBSTITUTE($B13,"~","~~"),"*","~*"),"?","~?"),'DEF_SELF_SCOUT_IMPORT'!$Q$42:$Q$1040,SUBSTITUTE(SUBSTITUTE(SUBSTITUTE($M13,"~","~~"),"*","~*"),"?","~?")))</f>
        <v>3.0</v>
      </c>
      <c r="G13" s="10">
        <f>IF($C13=0,"",COUNTIFS('DEF_SELF_SCOUT_IMPORT'!$L$42:$L$1040,"Y",'DEF_SELF_SCOUT_IMPORT'!$E$42:$E$1040,SUBSTITUTE(SUBSTITUTE(SUBSTITUTE($B13,"~","~~"),"*","~*"),"?","~?"),'DEF_SELF_SCOUT_IMPORT'!$Q$42:$Q$1040,SUBSTITUTE(SUBSTITUTE(SUBSTITUTE($M13,"~","~~"),"*","~*"),"?","~?"),'DEF_SELF_SCOUT_IMPORT'!$H$42:$H$1040,"RUSH")/$C13)</f>
        <v>1.0</v>
      </c>
      <c r="H13" s="10">
        <f>IF($C13=0,"",COUNTIFS('DEF_SELF_SCOUT_IMPORT'!$L$42:$L$1040,"Y",'DEF_SELF_SCOUT_IMPORT'!$E$42:$E$1040,SUBSTITUTE(SUBSTITUTE(SUBSTITUTE($B13,"~","~~"),"*","~*"),"?","~?"),'DEF_SELF_SCOUT_IMPORT'!$Q$42:$Q$1040,SUBSTITUTE(SUBSTITUTE(SUBSTITUTE($M13,"~","~~"),"*","~*"),"?","~?"),'DEF_SELF_SCOUT_IMPORT'!$H$42:$H$1040,"DROPBACK")/$C13)</f>
        <v>0.0</v>
      </c>
      <c r="I13" s="14" t="str">
        <f>IF(C13=0,"",IF(C13&lt;=2,"TRACK",IF(C13=3,"LOW",IF(C13&lt;=6,"MEDIUM","HIGH"))))</f>
        <v>TRACK</v>
      </c>
      <c r="J13" s="11">
        <f>IF(C13=0,"",ROUND(D13*70+(1-E13)*20+MAX(0,MIN(1,(10-F13)/10))*10,1))</f>
        <v>97.0</v>
      </c>
      <c r="K13" s="14" t="str">
        <f>IF(C13=0,"No Evidence",IF(C13&lt;=2,IF(E13&gt;0,"Explosive Alert","Track Only"),IF(C13=3,"Sample Watch",IF(E13&gt;=START_HERE!$B$31,"Explosive Alert",IF(J13&gt;=80,"Strong Candidate",IF(J13&gt;=65,"Good Candidate",IF(J13&gt;=50,"Mixed / Review","Problem Call")))))))</f>
        <v>Track Only</v>
      </c>
      <c r="L13" s="9" t="str">
        <f>IF(COUNTIFS('DEF_SELF_SCOUT_IMPORT'!$L$42:$L$1040,"Y",'DEF_SELF_SCOUT_IMPORT'!$E$42:$E$1040,SUBSTITUTE(SUBSTITUTE(SUBSTITUTE($B13,"~","~~"),"*","~*"),"?","~?"),'DEF_SELF_SCOUT_IMPORT'!$Q$42:$Q$1040,SUBSTITUTE(SUBSTITUTE(SUBSTITUTE($M13,"~","~~"),"*","~*"),"?","~?"),'DEF_SELF_SCOUT_IMPORT'!$J$42:$J$1040,"")&gt;0,"Unscored clean outcome; review result tags before using score.",IF(C13=0,"No matching defensive reps; film confirmation needed.",IF(K13="Explosive Alert","Explosive risk; review clips before using as answer.",IF(C13&lt;=2,"Track only; not enough sample.",IF(C13=3,IF(E13&gt;0,"Sample watch with explosive exposure; review clips and build the sample.",IF(J13&gt;=65,"Good signal, but sample is limited.","Sample watch; review clips and build the sample.")),IF(K13="Problem Call","Problem area; practice or call-sheet review.",IF(K13="Strong Candidate","Strong call-fit candidate; confirm on film.",IF(K13="Good Candidate","Good call-fit signal; confirm on film.","Mixed signal; review fit and execution on film."))))))))</f>
        <v>Track only; not enough sample.</v>
      </c>
      <c r="M13" s="8" t="s">
        <v>31</v>
      </c>
      <c r="N13" s="8"/>
      <c r="O13" s="8"/>
      <c r="P13" s="8"/>
      <c r="Q13" s="8"/>
      <c r="R13" s="8" t="s">
        <v>28</v>
      </c>
      <c r="S13" s="2" t="s">
        <v>33</v>
      </c>
      <c r="T13" s="2">
        <f>IF(C13=0,0,IF(C13&gt;=CALL_LOOKUP_BOARD!$B$7,IF(OR(K13="Problem Call",K13="Explosive Alert"),10000000,20000000),0)+IF(C13&gt;=CALL_LOOKUP_BOARD!$B$7,J13*1000+MIN(C13,999),C13*1000+J13)+0.00999600)</f>
        <v>1097.009996</v>
      </c>
      <c r="U13" s="2">
        <f>IF(C13=0,"",IF(COUNTIFS($S$10:$S$178,SUBSTITUTE(SUBSTITUTE(SUBSTITUTE(S13,"~","~~"),"*","~*"),"?","~?"),$T$10:$T$178,"&gt;"&amp;T13)=0,S13,""))</f>
        <v/>
      </c>
    </row>
    <row r="14" spans="1:21" ht="38" customHeight="1">
      <c r="A14" s="8" t="s">
        <v>31</v>
      </c>
      <c r="B14" s="8" t="s">
        <v>35</v>
      </c>
      <c r="C14" s="12">
        <f>COUNTIFS('DEF_SELF_SCOUT_IMPORT'!$L$42:$L$1040,"Y",'DEF_SELF_SCOUT_IMPORT'!$E$42:$E$1040,SUBSTITUTE(SUBSTITUTE(SUBSTITUTE($B14,"~","~~"),"*","~*"),"?","~?"),'DEF_SELF_SCOUT_IMPORT'!$Q$42:$Q$1040,SUBSTITUTE(SUBSTITUTE(SUBSTITUTE($M14,"~","~~"),"*","~*"),"?","~?"))</f>
        <v>1</v>
      </c>
      <c r="D14" s="10">
        <f>IF($C14=0,"",SUMIFS('DEF_SELF_SCOUT_IMPORT'!$J$42:$J$1040,'DEF_SELF_SCOUT_IMPORT'!$L$42:$L$1040,"Y",'DEF_SELF_SCOUT_IMPORT'!$E$42:$E$1040,SUBSTITUTE(SUBSTITUTE(SUBSTITUTE($B14,"~","~~"),"*","~*"),"?","~?"),'DEF_SELF_SCOUT_IMPORT'!$Q$42:$Q$1040,SUBSTITUTE(SUBSTITUTE(SUBSTITUTE($M14,"~","~~"),"*","~*"),"?","~?"))/$C14)</f>
        <v>0.0</v>
      </c>
      <c r="E14" s="10">
        <f>IF($C14=0,"",SUMIFS('DEF_SELF_SCOUT_IMPORT'!$K$42:$K$1040,'DEF_SELF_SCOUT_IMPORT'!$L$42:$L$1040,"Y",'DEF_SELF_SCOUT_IMPORT'!$E$42:$E$1040,SUBSTITUTE(SUBSTITUTE(SUBSTITUTE($B14,"~","~~"),"*","~*"),"?","~?"),'DEF_SELF_SCOUT_IMPORT'!$Q$42:$Q$1040,SUBSTITUTE(SUBSTITUTE(SUBSTITUTE($M14,"~","~~"),"*","~*"),"?","~?"))/$C14)</f>
        <v>0.0</v>
      </c>
      <c r="F14" s="11">
        <f>IF($C14=0,"",AVERAGEIFS('DEF_SELF_SCOUT_IMPORT'!$I$42:$I$1040,'DEF_SELF_SCOUT_IMPORT'!$L$42:$L$1040,"Y",'DEF_SELF_SCOUT_IMPORT'!$E$42:$E$1040,SUBSTITUTE(SUBSTITUTE(SUBSTITUTE($B14,"~","~~"),"*","~*"),"?","~?"),'DEF_SELF_SCOUT_IMPORT'!$Q$42:$Q$1040,SUBSTITUTE(SUBSTITUTE(SUBSTITUTE($M14,"~","~~"),"*","~*"),"?","~?")))</f>
        <v>9.0</v>
      </c>
      <c r="G14" s="10">
        <f>IF($C14=0,"",COUNTIFS('DEF_SELF_SCOUT_IMPORT'!$L$42:$L$1040,"Y",'DEF_SELF_SCOUT_IMPORT'!$E$42:$E$1040,SUBSTITUTE(SUBSTITUTE(SUBSTITUTE($B14,"~","~~"),"*","~*"),"?","~?"),'DEF_SELF_SCOUT_IMPORT'!$Q$42:$Q$1040,SUBSTITUTE(SUBSTITUTE(SUBSTITUTE($M14,"~","~~"),"*","~*"),"?","~?"),'DEF_SELF_SCOUT_IMPORT'!$H$42:$H$1040,"RUSH")/$C14)</f>
        <v>1.0</v>
      </c>
      <c r="H14" s="10">
        <f>IF($C14=0,"",COUNTIFS('DEF_SELF_SCOUT_IMPORT'!$L$42:$L$1040,"Y",'DEF_SELF_SCOUT_IMPORT'!$E$42:$E$1040,SUBSTITUTE(SUBSTITUTE(SUBSTITUTE($B14,"~","~~"),"*","~*"),"?","~?"),'DEF_SELF_SCOUT_IMPORT'!$Q$42:$Q$1040,SUBSTITUTE(SUBSTITUTE(SUBSTITUTE($M14,"~","~~"),"*","~*"),"?","~?"),'DEF_SELF_SCOUT_IMPORT'!$H$42:$H$1040,"DROPBACK")/$C14)</f>
        <v>0.0</v>
      </c>
      <c r="I14" s="14" t="str">
        <f>IF(C14=0,"",IF(C14&lt;=2,"TRACK",IF(C14=3,"LOW",IF(C14&lt;=6,"MEDIUM","HIGH"))))</f>
        <v>TRACK</v>
      </c>
      <c r="J14" s="11">
        <f>IF(C14=0,"",ROUND(D14*70+(1-E14)*20+MAX(0,MIN(1,(10-F14)/10))*10,1))</f>
        <v>21.0</v>
      </c>
      <c r="K14" s="14" t="str">
        <f>IF(C14=0,"No Evidence",IF(C14&lt;=2,IF(E14&gt;0,"Explosive Alert","Track Only"),IF(C14=3,"Sample Watch",IF(E14&gt;=START_HERE!$B$31,"Explosive Alert",IF(J14&gt;=80,"Strong Candidate",IF(J14&gt;=65,"Good Candidate",IF(J14&gt;=50,"Mixed / Review","Problem Call")))))))</f>
        <v>Track Only</v>
      </c>
      <c r="L14" s="9" t="str">
        <f>IF(COUNTIFS('DEF_SELF_SCOUT_IMPORT'!$L$42:$L$1040,"Y",'DEF_SELF_SCOUT_IMPORT'!$E$42:$E$1040,SUBSTITUTE(SUBSTITUTE(SUBSTITUTE($B14,"~","~~"),"*","~*"),"?","~?"),'DEF_SELF_SCOUT_IMPORT'!$Q$42:$Q$1040,SUBSTITUTE(SUBSTITUTE(SUBSTITUTE($M14,"~","~~"),"*","~*"),"?","~?"),'DEF_SELF_SCOUT_IMPORT'!$J$42:$J$1040,"")&gt;0,"Unscored clean outcome; review result tags before using score.",IF(C14=0,"No matching defensive reps; film confirmation needed.",IF(K14="Explosive Alert","Explosive risk; review clips before using as answer.",IF(C14&lt;=2,"Track only; not enough sample.",IF(C14=3,IF(E14&gt;0,"Sample watch with explosive exposure; review clips and build the sample.",IF(J14&gt;=65,"Good signal, but sample is limited.","Sample watch; review clips and build the sample.")),IF(K14="Problem Call","Problem area; practice or call-sheet review.",IF(K14="Strong Candidate","Strong call-fit candidate; confirm on film.",IF(K14="Good Candidate","Good call-fit signal; confirm on film.","Mixed signal; review fit and execution on film."))))))))</f>
        <v>Track only; not enough sample.</v>
      </c>
      <c r="M14" s="8" t="s">
        <v>31</v>
      </c>
      <c r="N14" s="8"/>
      <c r="O14" s="8"/>
      <c r="P14" s="8"/>
      <c r="Q14" s="8"/>
      <c r="R14" s="8" t="s">
        <v>28</v>
      </c>
      <c r="S14" s="2" t="s">
        <v>33</v>
      </c>
      <c r="T14" s="2">
        <f>IF(C14=0,0,IF(C14&gt;=CALL_LOOKUP_BOARD!$B$7,IF(OR(K14="Problem Call",K14="Explosive Alert"),10000000,20000000),0)+IF(C14&gt;=CALL_LOOKUP_BOARD!$B$7,J14*1000+MIN(C14,999),C14*1000+J14)+0.00999500)</f>
        <v>1021.009995</v>
      </c>
      <c r="U14" s="2">
        <f>IF(C14=0,"",IF(COUNTIFS($S$10:$S$178,SUBSTITUTE(SUBSTITUTE(SUBSTITUTE(S14,"~","~~"),"*","~*"),"?","~?"),$T$10:$T$178,"&gt;"&amp;T14)=0,S14,""))</f>
        <v/>
      </c>
    </row>
    <row r="15" spans="1:21" ht="38" customHeight="1">
      <c r="A15" s="8" t="s">
        <v>36</v>
      </c>
      <c r="B15" s="8" t="s">
        <v>37</v>
      </c>
      <c r="C15" s="12">
        <f>COUNTIFS('DEF_SELF_SCOUT_IMPORT'!$L$42:$L$1040,"Y",'DEF_SELF_SCOUT_IMPORT'!$E$42:$E$1040,SUBSTITUTE(SUBSTITUTE(SUBSTITUTE($B15,"~","~~"),"*","~*"),"?","~?"),'DEF_SELF_SCOUT_IMPORT'!$Q$42:$Q$1040,SUBSTITUTE(SUBSTITUTE(SUBSTITUTE($M15,"~","~~"),"*","~*"),"?","~?"))</f>
        <v>1</v>
      </c>
      <c r="D15" s="10">
        <f>IF($C15=0,"",SUMIFS('DEF_SELF_SCOUT_IMPORT'!$J$42:$J$1040,'DEF_SELF_SCOUT_IMPORT'!$L$42:$L$1040,"Y",'DEF_SELF_SCOUT_IMPORT'!$E$42:$E$1040,SUBSTITUTE(SUBSTITUTE(SUBSTITUTE($B15,"~","~~"),"*","~*"),"?","~?"),'DEF_SELF_SCOUT_IMPORT'!$Q$42:$Q$1040,SUBSTITUTE(SUBSTITUTE(SUBSTITUTE($M15,"~","~~"),"*","~*"),"?","~?"))/$C15)</f>
        <v>0.0</v>
      </c>
      <c r="E15" s="10">
        <f>IF($C15=0,"",SUMIFS('DEF_SELF_SCOUT_IMPORT'!$K$42:$K$1040,'DEF_SELF_SCOUT_IMPORT'!$L$42:$L$1040,"Y",'DEF_SELF_SCOUT_IMPORT'!$E$42:$E$1040,SUBSTITUTE(SUBSTITUTE(SUBSTITUTE($B15,"~","~~"),"*","~*"),"?","~?"),'DEF_SELF_SCOUT_IMPORT'!$Q$42:$Q$1040,SUBSTITUTE(SUBSTITUTE(SUBSTITUTE($M15,"~","~~"),"*","~*"),"?","~?"))/$C15)</f>
        <v>0.0</v>
      </c>
      <c r="F15" s="11">
        <f>IF($C15=0,"",AVERAGEIFS('DEF_SELF_SCOUT_IMPORT'!$I$42:$I$1040,'DEF_SELF_SCOUT_IMPORT'!$L$42:$L$1040,"Y",'DEF_SELF_SCOUT_IMPORT'!$E$42:$E$1040,SUBSTITUTE(SUBSTITUTE(SUBSTITUTE($B15,"~","~~"),"*","~*"),"?","~?"),'DEF_SELF_SCOUT_IMPORT'!$Q$42:$Q$1040,SUBSTITUTE(SUBSTITUTE(SUBSTITUTE($M15,"~","~~"),"*","~*"),"?","~?")))</f>
        <v>5.0</v>
      </c>
      <c r="G15" s="10">
        <f>IF($C15=0,"",COUNTIFS('DEF_SELF_SCOUT_IMPORT'!$L$42:$L$1040,"Y",'DEF_SELF_SCOUT_IMPORT'!$E$42:$E$1040,SUBSTITUTE(SUBSTITUTE(SUBSTITUTE($B15,"~","~~"),"*","~*"),"?","~?"),'DEF_SELF_SCOUT_IMPORT'!$Q$42:$Q$1040,SUBSTITUTE(SUBSTITUTE(SUBSTITUTE($M15,"~","~~"),"*","~*"),"?","~?"),'DEF_SELF_SCOUT_IMPORT'!$H$42:$H$1040,"RUSH")/$C15)</f>
        <v>0.0</v>
      </c>
      <c r="H15" s="10">
        <f>IF($C15=0,"",COUNTIFS('DEF_SELF_SCOUT_IMPORT'!$L$42:$L$1040,"Y",'DEF_SELF_SCOUT_IMPORT'!$E$42:$E$1040,SUBSTITUTE(SUBSTITUTE(SUBSTITUTE($B15,"~","~~"),"*","~*"),"?","~?"),'DEF_SELF_SCOUT_IMPORT'!$Q$42:$Q$1040,SUBSTITUTE(SUBSTITUTE(SUBSTITUTE($M15,"~","~~"),"*","~*"),"?","~?"),'DEF_SELF_SCOUT_IMPORT'!$H$42:$H$1040,"DROPBACK")/$C15)</f>
        <v>0.0</v>
      </c>
      <c r="I15" s="14" t="str">
        <f>IF(C15=0,"",IF(C15&lt;=2,"TRACK",IF(C15=3,"LOW",IF(C15&lt;=6,"MEDIUM","HIGH"))))</f>
        <v>TRACK</v>
      </c>
      <c r="J15" s="11">
        <f>IF(C15=0,"",ROUND(D15*70+(1-E15)*20+MAX(0,MIN(1,(10-F15)/10))*10,1))</f>
        <v>25.0</v>
      </c>
      <c r="K15" s="14" t="str">
        <f>IF(C15=0,"No Evidence",IF(C15&lt;=2,IF(E15&gt;0,"Explosive Alert","Track Only"),IF(C15=3,"Sample Watch",IF(E15&gt;=START_HERE!$B$31,"Explosive Alert",IF(J15&gt;=80,"Strong Candidate",IF(J15&gt;=65,"Good Candidate",IF(J15&gt;=50,"Mixed / Review","Problem Call")))))))</f>
        <v>Track Only</v>
      </c>
      <c r="L15" s="9" t="str">
        <f>IF(COUNTIFS('DEF_SELF_SCOUT_IMPORT'!$L$42:$L$1040,"Y",'DEF_SELF_SCOUT_IMPORT'!$E$42:$E$1040,SUBSTITUTE(SUBSTITUTE(SUBSTITUTE($B15,"~","~~"),"*","~*"),"?","~?"),'DEF_SELF_SCOUT_IMPORT'!$Q$42:$Q$1040,SUBSTITUTE(SUBSTITUTE(SUBSTITUTE($M15,"~","~~"),"*","~*"),"?","~?"),'DEF_SELF_SCOUT_IMPORT'!$J$42:$J$1040,"")&gt;0,"Unscored clean outcome; review result tags before using score.",IF(C15=0,"No matching defensive reps; film confirmation needed.",IF(K15="Explosive Alert","Explosive risk; review clips before using as answer.",IF(C15&lt;=2,"Track only; not enough sample.",IF(C15=3,IF(E15&gt;0,"Sample watch with explosive exposure; review clips and build the sample.",IF(J15&gt;=65,"Good signal, but sample is limited.","Sample watch; review clips and build the sample.")),IF(K15="Problem Call","Problem area; practice or call-sheet review.",IF(K15="Strong Candidate","Strong call-fit candidate; confirm on film.",IF(K15="Good Candidate","Good call-fit signal; confirm on film.","Mixed signal; review fit and execution on film."))))))))</f>
        <v>Track only; not enough sample.</v>
      </c>
      <c r="M15" s="8" t="s">
        <v>36</v>
      </c>
      <c r="N15" s="8"/>
      <c r="O15" s="8"/>
      <c r="P15" s="8"/>
      <c r="Q15" s="8"/>
      <c r="R15" s="8" t="s">
        <v>28</v>
      </c>
      <c r="S15" s="2" t="s">
        <v>38</v>
      </c>
      <c r="T15" s="2">
        <f>IF(C15=0,0,IF(C15&gt;=CALL_LOOKUP_BOARD!$B$7,IF(OR(K15="Problem Call",K15="Explosive Alert"),10000000,20000000),0)+IF(C15&gt;=CALL_LOOKUP_BOARD!$B$7,J15*1000+MIN(C15,999),C15*1000+J15)+0.00999400)</f>
        <v>1025.009994</v>
      </c>
      <c r="U15" s="2">
        <f>IF(C15=0,"",IF(COUNTIFS($S$10:$S$178,SUBSTITUTE(SUBSTITUTE(SUBSTITUTE(S15,"~","~~"),"*","~*"),"?","~?"),$T$10:$T$178,"&gt;"&amp;T15)=0,S15,""))</f>
        <v/>
      </c>
    </row>
    <row r="16" spans="1:21" ht="38" customHeight="1">
      <c r="A16" s="8" t="s">
        <v>36</v>
      </c>
      <c r="B16" s="8" t="s">
        <v>35</v>
      </c>
      <c r="C16" s="12">
        <f>COUNTIFS('DEF_SELF_SCOUT_IMPORT'!$L$42:$L$1040,"Y",'DEF_SELF_SCOUT_IMPORT'!$E$42:$E$1040,SUBSTITUTE(SUBSTITUTE(SUBSTITUTE($B16,"~","~~"),"*","~*"),"?","~?"),'DEF_SELF_SCOUT_IMPORT'!$Q$42:$Q$1040,SUBSTITUTE(SUBSTITUTE(SUBSTITUTE($M16,"~","~~"),"*","~*"),"?","~?"))</f>
        <v>1</v>
      </c>
      <c r="D16" s="10">
        <f>IF($C16=0,"",SUMIFS('DEF_SELF_SCOUT_IMPORT'!$J$42:$J$1040,'DEF_SELF_SCOUT_IMPORT'!$L$42:$L$1040,"Y",'DEF_SELF_SCOUT_IMPORT'!$E$42:$E$1040,SUBSTITUTE(SUBSTITUTE(SUBSTITUTE($B16,"~","~~"),"*","~*"),"?","~?"),'DEF_SELF_SCOUT_IMPORT'!$Q$42:$Q$1040,SUBSTITUTE(SUBSTITUTE(SUBSTITUTE($M16,"~","~~"),"*","~*"),"?","~?"))/$C16)</f>
        <v>1.0</v>
      </c>
      <c r="E16" s="10">
        <f>IF($C16=0,"",SUMIFS('DEF_SELF_SCOUT_IMPORT'!$K$42:$K$1040,'DEF_SELF_SCOUT_IMPORT'!$L$42:$L$1040,"Y",'DEF_SELF_SCOUT_IMPORT'!$E$42:$E$1040,SUBSTITUTE(SUBSTITUTE(SUBSTITUTE($B16,"~","~~"),"*","~*"),"?","~?"),'DEF_SELF_SCOUT_IMPORT'!$Q$42:$Q$1040,SUBSTITUTE(SUBSTITUTE(SUBSTITUTE($M16,"~","~~"),"*","~*"),"?","~?"))/$C16)</f>
        <v>0.0</v>
      </c>
      <c r="F16" s="11">
        <f>IF($C16=0,"",AVERAGEIFS('DEF_SELF_SCOUT_IMPORT'!$I$42:$I$1040,'DEF_SELF_SCOUT_IMPORT'!$L$42:$L$1040,"Y",'DEF_SELF_SCOUT_IMPORT'!$E$42:$E$1040,SUBSTITUTE(SUBSTITUTE(SUBSTITUTE($B16,"~","~~"),"*","~*"),"?","~?"),'DEF_SELF_SCOUT_IMPORT'!$Q$42:$Q$1040,SUBSTITUTE(SUBSTITUTE(SUBSTITUTE($M16,"~","~~"),"*","~*"),"?","~?")))</f>
        <v>5.0</v>
      </c>
      <c r="G16" s="10">
        <f>IF($C16=0,"",COUNTIFS('DEF_SELF_SCOUT_IMPORT'!$L$42:$L$1040,"Y",'DEF_SELF_SCOUT_IMPORT'!$E$42:$E$1040,SUBSTITUTE(SUBSTITUTE(SUBSTITUTE($B16,"~","~~"),"*","~*"),"?","~?"),'DEF_SELF_SCOUT_IMPORT'!$Q$42:$Q$1040,SUBSTITUTE(SUBSTITUTE(SUBSTITUTE($M16,"~","~~"),"*","~*"),"?","~?"),'DEF_SELF_SCOUT_IMPORT'!$H$42:$H$1040,"RUSH")/$C16)</f>
        <v>0.0</v>
      </c>
      <c r="H16" s="10">
        <f>IF($C16=0,"",COUNTIFS('DEF_SELF_SCOUT_IMPORT'!$L$42:$L$1040,"Y",'DEF_SELF_SCOUT_IMPORT'!$E$42:$E$1040,SUBSTITUTE(SUBSTITUTE(SUBSTITUTE($B16,"~","~~"),"*","~*"),"?","~?"),'DEF_SELF_SCOUT_IMPORT'!$Q$42:$Q$1040,SUBSTITUTE(SUBSTITUTE(SUBSTITUTE($M16,"~","~~"),"*","~*"),"?","~?"),'DEF_SELF_SCOUT_IMPORT'!$H$42:$H$1040,"DROPBACK")/$C16)</f>
        <v>1.0</v>
      </c>
      <c r="I16" s="14" t="str">
        <f>IF(C16=0,"",IF(C16&lt;=2,"TRACK",IF(C16=3,"LOW",IF(C16&lt;=6,"MEDIUM","HIGH"))))</f>
        <v>TRACK</v>
      </c>
      <c r="J16" s="11">
        <f>IF(C16=0,"",ROUND(D16*70+(1-E16)*20+MAX(0,MIN(1,(10-F16)/10))*10,1))</f>
        <v>95.0</v>
      </c>
      <c r="K16" s="14" t="str">
        <f>IF(C16=0,"No Evidence",IF(C16&lt;=2,IF(E16&gt;0,"Explosive Alert","Track Only"),IF(C16=3,"Sample Watch",IF(E16&gt;=START_HERE!$B$31,"Explosive Alert",IF(J16&gt;=80,"Strong Candidate",IF(J16&gt;=65,"Good Candidate",IF(J16&gt;=50,"Mixed / Review","Problem Call")))))))</f>
        <v>Track Only</v>
      </c>
      <c r="L16" s="9" t="str">
        <f>IF(COUNTIFS('DEF_SELF_SCOUT_IMPORT'!$L$42:$L$1040,"Y",'DEF_SELF_SCOUT_IMPORT'!$E$42:$E$1040,SUBSTITUTE(SUBSTITUTE(SUBSTITUTE($B16,"~","~~"),"*","~*"),"?","~?"),'DEF_SELF_SCOUT_IMPORT'!$Q$42:$Q$1040,SUBSTITUTE(SUBSTITUTE(SUBSTITUTE($M16,"~","~~"),"*","~*"),"?","~?"),'DEF_SELF_SCOUT_IMPORT'!$J$42:$J$1040,"")&gt;0,"Unscored clean outcome; review result tags before using score.",IF(C16=0,"No matching defensive reps; film confirmation needed.",IF(K16="Explosive Alert","Explosive risk; review clips before using as answer.",IF(C16&lt;=2,"Track only; not enough sample.",IF(C16=3,IF(E16&gt;0,"Sample watch with explosive exposure; review clips and build the sample.",IF(J16&gt;=65,"Good signal, but sample is limited.","Sample watch; review clips and build the sample.")),IF(K16="Problem Call","Problem area; practice or call-sheet review.",IF(K16="Strong Candidate","Strong call-fit candidate; confirm on film.",IF(K16="Good Candidate","Good call-fit signal; confirm on film.","Mixed signal; review fit and execution on film."))))))))</f>
        <v>Track only; not enough sample.</v>
      </c>
      <c r="M16" s="8" t="s">
        <v>36</v>
      </c>
      <c r="N16" s="8"/>
      <c r="O16" s="8"/>
      <c r="P16" s="8"/>
      <c r="Q16" s="8"/>
      <c r="R16" s="8" t="s">
        <v>28</v>
      </c>
      <c r="S16" s="2" t="s">
        <v>38</v>
      </c>
      <c r="T16" s="2">
        <f>IF(C16=0,0,IF(C16&gt;=CALL_LOOKUP_BOARD!$B$7,IF(OR(K16="Problem Call",K16="Explosive Alert"),10000000,20000000),0)+IF(C16&gt;=CALL_LOOKUP_BOARD!$B$7,J16*1000+MIN(C16,999),C16*1000+J16)+0.00999300)</f>
        <v>1095.009993</v>
      </c>
      <c r="U16" s="2" t="str">
        <f>IF(C16=0,"",IF(COUNTIFS($S$10:$S$178,SUBSTITUTE(SUBSTITUTE(SUBSTITUTE(S16,"~","~~"),"*","~*"),"?","~?"),$T$10:$T$178,"&gt;"&amp;T16)=0,S16,""))</f>
        <v>6:1D 4-6|</v>
      </c>
    </row>
    <row r="17" spans="1:21" ht="38" customHeight="1">
      <c r="A17" s="8" t="s">
        <v>39</v>
      </c>
      <c r="B17" s="8" t="s">
        <v>40</v>
      </c>
      <c r="C17" s="12">
        <f>COUNTIFS('DEF_SELF_SCOUT_IMPORT'!$L$42:$L$1040,"Y",'DEF_SELF_SCOUT_IMPORT'!$E$42:$E$1040,SUBSTITUTE(SUBSTITUTE(SUBSTITUTE($B17,"~","~~"),"*","~*"),"?","~?"),'DEF_SELF_SCOUT_IMPORT'!$Q$42:$Q$1040,SUBSTITUTE(SUBSTITUTE(SUBSTITUTE($M17,"~","~~"),"*","~*"),"?","~?"))</f>
        <v>1</v>
      </c>
      <c r="D17" s="10">
        <f>IF($C17=0,"",SUMIFS('DEF_SELF_SCOUT_IMPORT'!$J$42:$J$1040,'DEF_SELF_SCOUT_IMPORT'!$L$42:$L$1040,"Y",'DEF_SELF_SCOUT_IMPORT'!$E$42:$E$1040,SUBSTITUTE(SUBSTITUTE(SUBSTITUTE($B17,"~","~~"),"*","~*"),"?","~?"),'DEF_SELF_SCOUT_IMPORT'!$Q$42:$Q$1040,SUBSTITUTE(SUBSTITUTE(SUBSTITUTE($M17,"~","~~"),"*","~*"),"?","~?"))/$C17)</f>
        <v>0.0</v>
      </c>
      <c r="E17" s="10">
        <f>IF($C17=0,"",SUMIFS('DEF_SELF_SCOUT_IMPORT'!$K$42:$K$1040,'DEF_SELF_SCOUT_IMPORT'!$L$42:$L$1040,"Y",'DEF_SELF_SCOUT_IMPORT'!$E$42:$E$1040,SUBSTITUTE(SUBSTITUTE(SUBSTITUTE($B17,"~","~~"),"*","~*"),"?","~?"),'DEF_SELF_SCOUT_IMPORT'!$Q$42:$Q$1040,SUBSTITUTE(SUBSTITUTE(SUBSTITUTE($M17,"~","~~"),"*","~*"),"?","~?"))/$C17)</f>
        <v>0.0</v>
      </c>
      <c r="F17" s="11">
        <f>IF($C17=0,"",AVERAGEIFS('DEF_SELF_SCOUT_IMPORT'!$I$42:$I$1040,'DEF_SELF_SCOUT_IMPORT'!$L$42:$L$1040,"Y",'DEF_SELF_SCOUT_IMPORT'!$E$42:$E$1040,SUBSTITUTE(SUBSTITUTE(SUBSTITUTE($B17,"~","~~"),"*","~*"),"?","~?"),'DEF_SELF_SCOUT_IMPORT'!$Q$42:$Q$1040,SUBSTITUTE(SUBSTITUTE(SUBSTITUTE($M17,"~","~~"),"*","~*"),"?","~?")))</f>
        <v>5.0</v>
      </c>
      <c r="G17" s="10">
        <f>IF($C17=0,"",COUNTIFS('DEF_SELF_SCOUT_IMPORT'!$L$42:$L$1040,"Y",'DEF_SELF_SCOUT_IMPORT'!$E$42:$E$1040,SUBSTITUTE(SUBSTITUTE(SUBSTITUTE($B17,"~","~~"),"*","~*"),"?","~?"),'DEF_SELF_SCOUT_IMPORT'!$Q$42:$Q$1040,SUBSTITUTE(SUBSTITUTE(SUBSTITUTE($M17,"~","~~"),"*","~*"),"?","~?"),'DEF_SELF_SCOUT_IMPORT'!$H$42:$H$1040,"RUSH")/$C17)</f>
        <v>1.0</v>
      </c>
      <c r="H17" s="10">
        <f>IF($C17=0,"",COUNTIFS('DEF_SELF_SCOUT_IMPORT'!$L$42:$L$1040,"Y",'DEF_SELF_SCOUT_IMPORT'!$E$42:$E$1040,SUBSTITUTE(SUBSTITUTE(SUBSTITUTE($B17,"~","~~"),"*","~*"),"?","~?"),'DEF_SELF_SCOUT_IMPORT'!$Q$42:$Q$1040,SUBSTITUTE(SUBSTITUTE(SUBSTITUTE($M17,"~","~~"),"*","~*"),"?","~?"),'DEF_SELF_SCOUT_IMPORT'!$H$42:$H$1040,"DROPBACK")/$C17)</f>
        <v>0.0</v>
      </c>
      <c r="I17" s="14" t="str">
        <f>IF(C17=0,"",IF(C17&lt;=2,"TRACK",IF(C17=3,"LOW",IF(C17&lt;=6,"MEDIUM","HIGH"))))</f>
        <v>TRACK</v>
      </c>
      <c r="J17" s="11">
        <f>IF(C17=0,"",ROUND(D17*70+(1-E17)*20+MAX(0,MIN(1,(10-F17)/10))*10,1))</f>
        <v>25.0</v>
      </c>
      <c r="K17" s="14" t="str">
        <f>IF(C17=0,"No Evidence",IF(C17&lt;=2,IF(E17&gt;0,"Explosive Alert","Track Only"),IF(C17=3,"Sample Watch",IF(E17&gt;=START_HERE!$B$31,"Explosive Alert",IF(J17&gt;=80,"Strong Candidate",IF(J17&gt;=65,"Good Candidate",IF(J17&gt;=50,"Mixed / Review","Problem Call")))))))</f>
        <v>Track Only</v>
      </c>
      <c r="L17" s="9" t="str">
        <f>IF(COUNTIFS('DEF_SELF_SCOUT_IMPORT'!$L$42:$L$1040,"Y",'DEF_SELF_SCOUT_IMPORT'!$E$42:$E$1040,SUBSTITUTE(SUBSTITUTE(SUBSTITUTE($B17,"~","~~"),"*","~*"),"?","~?"),'DEF_SELF_SCOUT_IMPORT'!$Q$42:$Q$1040,SUBSTITUTE(SUBSTITUTE(SUBSTITUTE($M17,"~","~~"),"*","~*"),"?","~?"),'DEF_SELF_SCOUT_IMPORT'!$J$42:$J$1040,"")&gt;0,"Unscored clean outcome; review result tags before using score.",IF(C17=0,"No matching defensive reps; film confirmation needed.",IF(K17="Explosive Alert","Explosive risk; review clips before using as answer.",IF(C17&lt;=2,"Track only; not enough sample.",IF(C17=3,IF(E17&gt;0,"Sample watch with explosive exposure; review clips and build the sample.",IF(J17&gt;=65,"Good signal, but sample is limited.","Sample watch; review clips and build the sample.")),IF(K17="Problem Call","Problem area; practice or call-sheet review.",IF(K17="Strong Candidate","Strong call-fit candidate; confirm on film.",IF(K17="Good Candidate","Good call-fit signal; confirm on film.","Mixed signal; review fit and execution on film."))))))))</f>
        <v>Track only; not enough sample.</v>
      </c>
      <c r="M17" s="8" t="s">
        <v>39</v>
      </c>
      <c r="N17" s="8"/>
      <c r="O17" s="8"/>
      <c r="P17" s="8"/>
      <c r="Q17" s="8"/>
      <c r="R17" s="8" t="s">
        <v>28</v>
      </c>
      <c r="S17" s="2" t="s">
        <v>41</v>
      </c>
      <c r="T17" s="2">
        <f>IF(C17=0,0,IF(C17&gt;=CALL_LOOKUP_BOARD!$B$7,IF(OR(K17="Problem Call",K17="Explosive Alert"),10000000,20000000),0)+IF(C17&gt;=CALL_LOOKUP_BOARD!$B$7,J17*1000+MIN(C17,999),C17*1000+J17)+0.00999200)</f>
        <v>1025.009992</v>
      </c>
      <c r="U17" s="2">
        <f>IF(C17=0,"",IF(COUNTIFS($S$10:$S$178,SUBSTITUTE(SUBSTITUTE(SUBSTITUTE(S17,"~","~~"),"*","~*"),"?","~?"),$T$10:$T$178,"&gt;"&amp;T17)=0,S17,""))</f>
        <v/>
      </c>
    </row>
    <row r="18" spans="1:21" ht="38" customHeight="1">
      <c r="A18" s="8" t="s">
        <v>39</v>
      </c>
      <c r="B18" s="8" t="s">
        <v>42</v>
      </c>
      <c r="C18" s="12">
        <f>COUNTIFS('DEF_SELF_SCOUT_IMPORT'!$L$42:$L$1040,"Y",'DEF_SELF_SCOUT_IMPORT'!$E$42:$E$1040,SUBSTITUTE(SUBSTITUTE(SUBSTITUTE($B18,"~","~~"),"*","~*"),"?","~?"),'DEF_SELF_SCOUT_IMPORT'!$Q$42:$Q$1040,SUBSTITUTE(SUBSTITUTE(SUBSTITUTE($M18,"~","~~"),"*","~*"),"?","~?"))</f>
        <v>1</v>
      </c>
      <c r="D18" s="10">
        <f>IF($C18=0,"",SUMIFS('DEF_SELF_SCOUT_IMPORT'!$J$42:$J$1040,'DEF_SELF_SCOUT_IMPORT'!$L$42:$L$1040,"Y",'DEF_SELF_SCOUT_IMPORT'!$E$42:$E$1040,SUBSTITUTE(SUBSTITUTE(SUBSTITUTE($B18,"~","~~"),"*","~*"),"?","~?"),'DEF_SELF_SCOUT_IMPORT'!$Q$42:$Q$1040,SUBSTITUTE(SUBSTITUTE(SUBSTITUTE($M18,"~","~~"),"*","~*"),"?","~?"))/$C18)</f>
        <v>0.0</v>
      </c>
      <c r="E18" s="10">
        <f>IF($C18=0,"",SUMIFS('DEF_SELF_SCOUT_IMPORT'!$K$42:$K$1040,'DEF_SELF_SCOUT_IMPORT'!$L$42:$L$1040,"Y",'DEF_SELF_SCOUT_IMPORT'!$E$42:$E$1040,SUBSTITUTE(SUBSTITUTE(SUBSTITUTE($B18,"~","~~"),"*","~*"),"?","~?"),'DEF_SELF_SCOUT_IMPORT'!$Q$42:$Q$1040,SUBSTITUTE(SUBSTITUTE(SUBSTITUTE($M18,"~","~~"),"*","~*"),"?","~?"))/$C18)</f>
        <v>0.0</v>
      </c>
      <c r="F18" s="11">
        <f>IF($C18=0,"",AVERAGEIFS('DEF_SELF_SCOUT_IMPORT'!$I$42:$I$1040,'DEF_SELF_SCOUT_IMPORT'!$L$42:$L$1040,"Y",'DEF_SELF_SCOUT_IMPORT'!$E$42:$E$1040,SUBSTITUTE(SUBSTITUTE(SUBSTITUTE($B18,"~","~~"),"*","~*"),"?","~?"),'DEF_SELF_SCOUT_IMPORT'!$Q$42:$Q$1040,SUBSTITUTE(SUBSTITUTE(SUBSTITUTE($M18,"~","~~"),"*","~*"),"?","~?")))</f>
        <v>14.0</v>
      </c>
      <c r="G18" s="10">
        <f>IF($C18=0,"",COUNTIFS('DEF_SELF_SCOUT_IMPORT'!$L$42:$L$1040,"Y",'DEF_SELF_SCOUT_IMPORT'!$E$42:$E$1040,SUBSTITUTE(SUBSTITUTE(SUBSTITUTE($B18,"~","~~"),"*","~*"),"?","~?"),'DEF_SELF_SCOUT_IMPORT'!$Q$42:$Q$1040,SUBSTITUTE(SUBSTITUTE(SUBSTITUTE($M18,"~","~~"),"*","~*"),"?","~?"),'DEF_SELF_SCOUT_IMPORT'!$H$42:$H$1040,"RUSH")/$C18)</f>
        <v>0.0</v>
      </c>
      <c r="H18" s="10">
        <f>IF($C18=0,"",COUNTIFS('DEF_SELF_SCOUT_IMPORT'!$L$42:$L$1040,"Y",'DEF_SELF_SCOUT_IMPORT'!$E$42:$E$1040,SUBSTITUTE(SUBSTITUTE(SUBSTITUTE($B18,"~","~~"),"*","~*"),"?","~?"),'DEF_SELF_SCOUT_IMPORT'!$Q$42:$Q$1040,SUBSTITUTE(SUBSTITUTE(SUBSTITUTE($M18,"~","~~"),"*","~*"),"?","~?"),'DEF_SELF_SCOUT_IMPORT'!$H$42:$H$1040,"DROPBACK")/$C18)</f>
        <v>1.0</v>
      </c>
      <c r="I18" s="14" t="str">
        <f>IF(C18=0,"",IF(C18&lt;=2,"TRACK",IF(C18=3,"LOW",IF(C18&lt;=6,"MEDIUM","HIGH"))))</f>
        <v>TRACK</v>
      </c>
      <c r="J18" s="11">
        <f>IF(C18=0,"",ROUND(D18*70+(1-E18)*20+MAX(0,MIN(1,(10-F18)/10))*10,1))</f>
        <v>20.0</v>
      </c>
      <c r="K18" s="14" t="str">
        <f>IF(C18=0,"No Evidence",IF(C18&lt;=2,IF(E18&gt;0,"Explosive Alert","Track Only"),IF(C18=3,"Sample Watch",IF(E18&gt;=START_HERE!$B$31,"Explosive Alert",IF(J18&gt;=80,"Strong Candidate",IF(J18&gt;=65,"Good Candidate",IF(J18&gt;=50,"Mixed / Review","Problem Call")))))))</f>
        <v>Track Only</v>
      </c>
      <c r="L18" s="9" t="str">
        <f>IF(COUNTIFS('DEF_SELF_SCOUT_IMPORT'!$L$42:$L$1040,"Y",'DEF_SELF_SCOUT_IMPORT'!$E$42:$E$1040,SUBSTITUTE(SUBSTITUTE(SUBSTITUTE($B18,"~","~~"),"*","~*"),"?","~?"),'DEF_SELF_SCOUT_IMPORT'!$Q$42:$Q$1040,SUBSTITUTE(SUBSTITUTE(SUBSTITUTE($M18,"~","~~"),"*","~*"),"?","~?"),'DEF_SELF_SCOUT_IMPORT'!$J$42:$J$1040,"")&gt;0,"Unscored clean outcome; review result tags before using score.",IF(C18=0,"No matching defensive reps; film confirmation needed.",IF(K18="Explosive Alert","Explosive risk; review clips before using as answer.",IF(C18&lt;=2,"Track only; not enough sample.",IF(C18=3,IF(E18&gt;0,"Sample watch with explosive exposure; review clips and build the sample.",IF(J18&gt;=65,"Good signal, but sample is limited.","Sample watch; review clips and build the sample.")),IF(K18="Problem Call","Problem area; practice or call-sheet review.",IF(K18="Strong Candidate","Strong call-fit candidate; confirm on film.",IF(K18="Good Candidate","Good call-fit signal; confirm on film.","Mixed signal; review fit and execution on film."))))))))</f>
        <v>Track only; not enough sample.</v>
      </c>
      <c r="M18" s="8" t="s">
        <v>39</v>
      </c>
      <c r="N18" s="8"/>
      <c r="O18" s="8"/>
      <c r="P18" s="8"/>
      <c r="Q18" s="8"/>
      <c r="R18" s="8" t="s">
        <v>28</v>
      </c>
      <c r="S18" s="2" t="s">
        <v>41</v>
      </c>
      <c r="T18" s="2">
        <f>IF(C18=0,0,IF(C18&gt;=CALL_LOOKUP_BOARD!$B$7,IF(OR(K18="Problem Call",K18="Explosive Alert"),10000000,20000000),0)+IF(C18&gt;=CALL_LOOKUP_BOARD!$B$7,J18*1000+MIN(C18,999),C18*1000+J18)+0.00999100)</f>
        <v>1020.009991</v>
      </c>
      <c r="U18" s="2">
        <f>IF(C18=0,"",IF(COUNTIFS($S$10:$S$178,SUBSTITUTE(SUBSTITUTE(SUBSTITUTE(S18,"~","~~"),"*","~*"),"?","~?"),$T$10:$T$178,"&gt;"&amp;T18)=0,S18,""))</f>
        <v/>
      </c>
    </row>
    <row r="19" spans="1:21" ht="38" customHeight="1">
      <c r="A19" s="8" t="s">
        <v>39</v>
      </c>
      <c r="B19" s="8" t="s">
        <v>43</v>
      </c>
      <c r="C19" s="12">
        <f>COUNTIFS('DEF_SELF_SCOUT_IMPORT'!$L$42:$L$1040,"Y",'DEF_SELF_SCOUT_IMPORT'!$E$42:$E$1040,SUBSTITUTE(SUBSTITUTE(SUBSTITUTE($B19,"~","~~"),"*","~*"),"?","~?"),'DEF_SELF_SCOUT_IMPORT'!$Q$42:$Q$1040,SUBSTITUTE(SUBSTITUTE(SUBSTITUTE($M19,"~","~~"),"*","~*"),"?","~?"))</f>
        <v>2</v>
      </c>
      <c r="D19" s="10">
        <f>IF($C19=0,"",SUMIFS('DEF_SELF_SCOUT_IMPORT'!$J$42:$J$1040,'DEF_SELF_SCOUT_IMPORT'!$L$42:$L$1040,"Y",'DEF_SELF_SCOUT_IMPORT'!$E$42:$E$1040,SUBSTITUTE(SUBSTITUTE(SUBSTITUTE($B19,"~","~~"),"*","~*"),"?","~?"),'DEF_SELF_SCOUT_IMPORT'!$Q$42:$Q$1040,SUBSTITUTE(SUBSTITUTE(SUBSTITUTE($M19,"~","~~"),"*","~*"),"?","~?"))/$C19)</f>
        <v>1.0</v>
      </c>
      <c r="E19" s="10">
        <f>IF($C19=0,"",SUMIFS('DEF_SELF_SCOUT_IMPORT'!$K$42:$K$1040,'DEF_SELF_SCOUT_IMPORT'!$L$42:$L$1040,"Y",'DEF_SELF_SCOUT_IMPORT'!$E$42:$E$1040,SUBSTITUTE(SUBSTITUTE(SUBSTITUTE($B19,"~","~~"),"*","~*"),"?","~?"),'DEF_SELF_SCOUT_IMPORT'!$Q$42:$Q$1040,SUBSTITUTE(SUBSTITUTE(SUBSTITUTE($M19,"~","~~"),"*","~*"),"?","~?"))/$C19)</f>
        <v>0.0</v>
      </c>
      <c r="F19" s="11">
        <f>IF($C19=0,"",AVERAGEIFS('DEF_SELF_SCOUT_IMPORT'!$I$42:$I$1040,'DEF_SELF_SCOUT_IMPORT'!$L$42:$L$1040,"Y",'DEF_SELF_SCOUT_IMPORT'!$E$42:$E$1040,SUBSTITUTE(SUBSTITUTE(SUBSTITUTE($B19,"~","~~"),"*","~*"),"?","~?"),'DEF_SELF_SCOUT_IMPORT'!$Q$42:$Q$1040,SUBSTITUTE(SUBSTITUTE(SUBSTITUTE($M19,"~","~~"),"*","~*"),"?","~?")))</f>
        <v>0.5</v>
      </c>
      <c r="G19" s="10">
        <f>IF($C19=0,"",COUNTIFS('DEF_SELF_SCOUT_IMPORT'!$L$42:$L$1040,"Y",'DEF_SELF_SCOUT_IMPORT'!$E$42:$E$1040,SUBSTITUTE(SUBSTITUTE(SUBSTITUTE($B19,"~","~~"),"*","~*"),"?","~?"),'DEF_SELF_SCOUT_IMPORT'!$Q$42:$Q$1040,SUBSTITUTE(SUBSTITUTE(SUBSTITUTE($M19,"~","~~"),"*","~*"),"?","~?"),'DEF_SELF_SCOUT_IMPORT'!$H$42:$H$1040,"RUSH")/$C19)</f>
        <v>0.5</v>
      </c>
      <c r="H19" s="10">
        <f>IF($C19=0,"",COUNTIFS('DEF_SELF_SCOUT_IMPORT'!$L$42:$L$1040,"Y",'DEF_SELF_SCOUT_IMPORT'!$E$42:$E$1040,SUBSTITUTE(SUBSTITUTE(SUBSTITUTE($B19,"~","~~"),"*","~*"),"?","~?"),'DEF_SELF_SCOUT_IMPORT'!$Q$42:$Q$1040,SUBSTITUTE(SUBSTITUTE(SUBSTITUTE($M19,"~","~~"),"*","~*"),"?","~?"),'DEF_SELF_SCOUT_IMPORT'!$H$42:$H$1040,"DROPBACK")/$C19)</f>
        <v>0.5</v>
      </c>
      <c r="I19" s="14" t="str">
        <f>IF(C19=0,"",IF(C19&lt;=2,"TRACK",IF(C19=3,"LOW",IF(C19&lt;=6,"MEDIUM","HIGH"))))</f>
        <v>TRACK</v>
      </c>
      <c r="J19" s="11">
        <f>IF(C19=0,"",ROUND(D19*70+(1-E19)*20+MAX(0,MIN(1,(10-F19)/10))*10,1))</f>
        <v>99.5</v>
      </c>
      <c r="K19" s="14" t="str">
        <f>IF(C19=0,"No Evidence",IF(C19&lt;=2,IF(E19&gt;0,"Explosive Alert","Track Only"),IF(C19=3,"Sample Watch",IF(E19&gt;=START_HERE!$B$31,"Explosive Alert",IF(J19&gt;=80,"Strong Candidate",IF(J19&gt;=65,"Good Candidate",IF(J19&gt;=50,"Mixed / Review","Problem Call")))))))</f>
        <v>Track Only</v>
      </c>
      <c r="L19" s="9" t="str">
        <f>IF(COUNTIFS('DEF_SELF_SCOUT_IMPORT'!$L$42:$L$1040,"Y",'DEF_SELF_SCOUT_IMPORT'!$E$42:$E$1040,SUBSTITUTE(SUBSTITUTE(SUBSTITUTE($B19,"~","~~"),"*","~*"),"?","~?"),'DEF_SELF_SCOUT_IMPORT'!$Q$42:$Q$1040,SUBSTITUTE(SUBSTITUTE(SUBSTITUTE($M19,"~","~~"),"*","~*"),"?","~?"),'DEF_SELF_SCOUT_IMPORT'!$J$42:$J$1040,"")&gt;0,"Unscored clean outcome; review result tags before using score.",IF(C19=0,"No matching defensive reps; film confirmation needed.",IF(K19="Explosive Alert","Explosive risk; review clips before using as answer.",IF(C19&lt;=2,"Track only; not enough sample.",IF(C19=3,IF(E19&gt;0,"Sample watch with explosive exposure; review clips and build the sample.",IF(J19&gt;=65,"Good signal, but sample is limited.","Sample watch; review clips and build the sample.")),IF(K19="Problem Call","Problem area; practice or call-sheet review.",IF(K19="Strong Candidate","Strong call-fit candidate; confirm on film.",IF(K19="Good Candidate","Good call-fit signal; confirm on film.","Mixed signal; review fit and execution on film."))))))))</f>
        <v>Track only; not enough sample.</v>
      </c>
      <c r="M19" s="8" t="s">
        <v>39</v>
      </c>
      <c r="N19" s="8"/>
      <c r="O19" s="8"/>
      <c r="P19" s="8"/>
      <c r="Q19" s="8"/>
      <c r="R19" s="8" t="s">
        <v>28</v>
      </c>
      <c r="S19" s="2" t="s">
        <v>41</v>
      </c>
      <c r="T19" s="2">
        <f>IF(C19=0,0,IF(C19&gt;=CALL_LOOKUP_BOARD!$B$7,IF(OR(K19="Problem Call",K19="Explosive Alert"),10000000,20000000),0)+IF(C19&gt;=CALL_LOOKUP_BOARD!$B$7,J19*1000+MIN(C19,999),C19*1000+J19)+0.00999000)</f>
        <v>2099.50999</v>
      </c>
      <c r="U19" s="2">
        <f>IF(C19=0,"",IF(COUNTIFS($S$10:$S$178,SUBSTITUTE(SUBSTITUTE(SUBSTITUTE(S19,"~","~~"),"*","~*"),"?","~?"),$T$10:$T$178,"&gt;"&amp;T19)=0,S19,""))</f>
        <v/>
      </c>
    </row>
    <row r="20" spans="1:21" ht="38" customHeight="1">
      <c r="A20" s="8" t="s">
        <v>39</v>
      </c>
      <c r="B20" s="8" t="s">
        <v>44</v>
      </c>
      <c r="C20" s="12">
        <f>COUNTIFS('DEF_SELF_SCOUT_IMPORT'!$L$42:$L$1040,"Y",'DEF_SELF_SCOUT_IMPORT'!$E$42:$E$1040,SUBSTITUTE(SUBSTITUTE(SUBSTITUTE($B20,"~","~~"),"*","~*"),"?","~?"),'DEF_SELF_SCOUT_IMPORT'!$Q$42:$Q$1040,SUBSTITUTE(SUBSTITUTE(SUBSTITUTE($M20,"~","~~"),"*","~*"),"?","~?"))</f>
        <v>7</v>
      </c>
      <c r="D20" s="10">
        <f>IF($C20=0,"",SUMIFS('DEF_SELF_SCOUT_IMPORT'!$J$42:$J$1040,'DEF_SELF_SCOUT_IMPORT'!$L$42:$L$1040,"Y",'DEF_SELF_SCOUT_IMPORT'!$E$42:$E$1040,SUBSTITUTE(SUBSTITUTE(SUBSTITUTE($B20,"~","~~"),"*","~*"),"?","~?"),'DEF_SELF_SCOUT_IMPORT'!$Q$42:$Q$1040,SUBSTITUTE(SUBSTITUTE(SUBSTITUTE($M20,"~","~~"),"*","~*"),"?","~?"))/$C20)</f>
        <v>0.42857142857142855</v>
      </c>
      <c r="E20" s="10">
        <f>IF($C20=0,"",SUMIFS('DEF_SELF_SCOUT_IMPORT'!$K$42:$K$1040,'DEF_SELF_SCOUT_IMPORT'!$L$42:$L$1040,"Y",'DEF_SELF_SCOUT_IMPORT'!$E$42:$E$1040,SUBSTITUTE(SUBSTITUTE(SUBSTITUTE($B20,"~","~~"),"*","~*"),"?","~?"),'DEF_SELF_SCOUT_IMPORT'!$Q$42:$Q$1040,SUBSTITUTE(SUBSTITUTE(SUBSTITUTE($M20,"~","~~"),"*","~*"),"?","~?"))/$C20)</f>
        <v>0.0</v>
      </c>
      <c r="F20" s="11">
        <f>IF($C20=0,"",AVERAGEIFS('DEF_SELF_SCOUT_IMPORT'!$I$42:$I$1040,'DEF_SELF_SCOUT_IMPORT'!$L$42:$L$1040,"Y",'DEF_SELF_SCOUT_IMPORT'!$E$42:$E$1040,SUBSTITUTE(SUBSTITUTE(SUBSTITUTE($B20,"~","~~"),"*","~*"),"?","~?"),'DEF_SELF_SCOUT_IMPORT'!$Q$42:$Q$1040,SUBSTITUTE(SUBSTITUTE(SUBSTITUTE($M20,"~","~~"),"*","~*"),"?","~?")))</f>
        <v>4.857142857142857</v>
      </c>
      <c r="G20" s="10">
        <f>IF($C20=0,"",COUNTIFS('DEF_SELF_SCOUT_IMPORT'!$L$42:$L$1040,"Y",'DEF_SELF_SCOUT_IMPORT'!$E$42:$E$1040,SUBSTITUTE(SUBSTITUTE(SUBSTITUTE($B20,"~","~~"),"*","~*"),"?","~?"),'DEF_SELF_SCOUT_IMPORT'!$Q$42:$Q$1040,SUBSTITUTE(SUBSTITUTE(SUBSTITUTE($M20,"~","~~"),"*","~*"),"?","~?"),'DEF_SELF_SCOUT_IMPORT'!$H$42:$H$1040,"RUSH")/$C20)</f>
        <v>0.5714285714285714</v>
      </c>
      <c r="H20" s="10">
        <f>IF($C20=0,"",COUNTIFS('DEF_SELF_SCOUT_IMPORT'!$L$42:$L$1040,"Y",'DEF_SELF_SCOUT_IMPORT'!$E$42:$E$1040,SUBSTITUTE(SUBSTITUTE(SUBSTITUTE($B20,"~","~~"),"*","~*"),"?","~?"),'DEF_SELF_SCOUT_IMPORT'!$Q$42:$Q$1040,SUBSTITUTE(SUBSTITUTE(SUBSTITUTE($M20,"~","~~"),"*","~*"),"?","~?"),'DEF_SELF_SCOUT_IMPORT'!$H$42:$H$1040,"DROPBACK")/$C20)</f>
        <v>0.42857142857142855</v>
      </c>
      <c r="I20" s="14" t="str">
        <f>IF(C20=0,"",IF(C20&lt;=2,"TRACK",IF(C20=3,"LOW",IF(C20&lt;=6,"MEDIUM","HIGH"))))</f>
        <v>HIGH</v>
      </c>
      <c r="J20" s="11">
        <f>IF(C20=0,"",ROUND(D20*70+(1-E20)*20+MAX(0,MIN(1,(10-F20)/10))*10,1))</f>
        <v>55.1</v>
      </c>
      <c r="K20" s="14" t="str">
        <f>IF(C20=0,"No Evidence",IF(C20&lt;=2,IF(E20&gt;0,"Explosive Alert","Track Only"),IF(C20=3,"Sample Watch",IF(E20&gt;=START_HERE!$B$31,"Explosive Alert",IF(J20&gt;=80,"Strong Candidate",IF(J20&gt;=65,"Good Candidate",IF(J20&gt;=50,"Mixed / Review","Problem Call")))))))</f>
        <v>Mixed / Review</v>
      </c>
      <c r="L20" s="9" t="str">
        <f>IF(COUNTIFS('DEF_SELF_SCOUT_IMPORT'!$L$42:$L$1040,"Y",'DEF_SELF_SCOUT_IMPORT'!$E$42:$E$1040,SUBSTITUTE(SUBSTITUTE(SUBSTITUTE($B20,"~","~~"),"*","~*"),"?","~?"),'DEF_SELF_SCOUT_IMPORT'!$Q$42:$Q$1040,SUBSTITUTE(SUBSTITUTE(SUBSTITUTE($M20,"~","~~"),"*","~*"),"?","~?"),'DEF_SELF_SCOUT_IMPORT'!$J$42:$J$1040,"")&gt;0,"Unscored clean outcome; review result tags before using score.",IF(C20=0,"No matching defensive reps; film confirmation needed.",IF(K20="Explosive Alert","Explosive risk; review clips before using as answer.",IF(C20&lt;=2,"Track only; not enough sample.",IF(C20=3,IF(E20&gt;0,"Sample watch with explosive exposure; review clips and build the sample.",IF(J20&gt;=65,"Good signal, but sample is limited.","Sample watch; review clips and build the sample.")),IF(K20="Problem Call","Problem area; practice or call-sheet review.",IF(K20="Strong Candidate","Strong call-fit candidate; confirm on film.",IF(K20="Good Candidate","Good call-fit signal; confirm on film.","Mixed signal; review fit and execution on film."))))))))</f>
        <v>Mixed signal; review fit and execution on film.</v>
      </c>
      <c r="M20" s="8" t="s">
        <v>39</v>
      </c>
      <c r="N20" s="8"/>
      <c r="O20" s="8"/>
      <c r="P20" s="8"/>
      <c r="Q20" s="8"/>
      <c r="R20" s="8" t="s">
        <v>45</v>
      </c>
      <c r="S20" s="2" t="s">
        <v>41</v>
      </c>
      <c r="T20" s="2">
        <f>IF(C20=0,0,IF(C20&gt;=CALL_LOOKUP_BOARD!$B$7,IF(OR(K20="Problem Call",K20="Explosive Alert"),10000000,20000000),0)+IF(C20&gt;=CALL_LOOKUP_BOARD!$B$7,J20*1000+MIN(C20,999),C20*1000+J20)+0.00998900)</f>
        <v>20055107.009989</v>
      </c>
      <c r="U20" s="2">
        <f>IF(C20=0,"",IF(COUNTIFS($S$10:$S$178,SUBSTITUTE(SUBSTITUTE(SUBSTITUTE(S20,"~","~~"),"*","~*"),"?","~?"),$T$10:$T$178,"&gt;"&amp;T20)=0,S20,""))</f>
        <v/>
      </c>
    </row>
    <row r="21" spans="1:21" ht="38" customHeight="1">
      <c r="A21" s="8" t="s">
        <v>39</v>
      </c>
      <c r="B21" s="8" t="s">
        <v>46</v>
      </c>
      <c r="C21" s="12">
        <f>COUNTIFS('DEF_SELF_SCOUT_IMPORT'!$L$42:$L$1040,"Y",'DEF_SELF_SCOUT_IMPORT'!$E$42:$E$1040,SUBSTITUTE(SUBSTITUTE(SUBSTITUTE($B21,"~","~~"),"*","~*"),"?","~?"),'DEF_SELF_SCOUT_IMPORT'!$Q$42:$Q$1040,SUBSTITUTE(SUBSTITUTE(SUBSTITUTE($M21,"~","~~"),"*","~*"),"?","~?"))</f>
        <v>3</v>
      </c>
      <c r="D21" s="10">
        <f>IF($C21=0,"",SUMIFS('DEF_SELF_SCOUT_IMPORT'!$J$42:$J$1040,'DEF_SELF_SCOUT_IMPORT'!$L$42:$L$1040,"Y",'DEF_SELF_SCOUT_IMPORT'!$E$42:$E$1040,SUBSTITUTE(SUBSTITUTE(SUBSTITUTE($B21,"~","~~"),"*","~*"),"?","~?"),'DEF_SELF_SCOUT_IMPORT'!$Q$42:$Q$1040,SUBSTITUTE(SUBSTITUTE(SUBSTITUTE($M21,"~","~~"),"*","~*"),"?","~?"))/$C21)</f>
        <v>0.6666666666666666</v>
      </c>
      <c r="E21" s="10">
        <f>IF($C21=0,"",SUMIFS('DEF_SELF_SCOUT_IMPORT'!$K$42:$K$1040,'DEF_SELF_SCOUT_IMPORT'!$L$42:$L$1040,"Y",'DEF_SELF_SCOUT_IMPORT'!$E$42:$E$1040,SUBSTITUTE(SUBSTITUTE(SUBSTITUTE($B21,"~","~~"),"*","~*"),"?","~?"),'DEF_SELF_SCOUT_IMPORT'!$Q$42:$Q$1040,SUBSTITUTE(SUBSTITUTE(SUBSTITUTE($M21,"~","~~"),"*","~*"),"?","~?"))/$C21)</f>
        <v>0.3333333333333333</v>
      </c>
      <c r="F21" s="11">
        <f>IF($C21=0,"",AVERAGEIFS('DEF_SELF_SCOUT_IMPORT'!$I$42:$I$1040,'DEF_SELF_SCOUT_IMPORT'!$L$42:$L$1040,"Y",'DEF_SELF_SCOUT_IMPORT'!$E$42:$E$1040,SUBSTITUTE(SUBSTITUTE(SUBSTITUTE($B21,"~","~~"),"*","~*"),"?","~?"),'DEF_SELF_SCOUT_IMPORT'!$Q$42:$Q$1040,SUBSTITUTE(SUBSTITUTE(SUBSTITUTE($M21,"~","~~"),"*","~*"),"?","~?")))</f>
        <v>6.666666666666667</v>
      </c>
      <c r="G21" s="10">
        <f>IF($C21=0,"",COUNTIFS('DEF_SELF_SCOUT_IMPORT'!$L$42:$L$1040,"Y",'DEF_SELF_SCOUT_IMPORT'!$E$42:$E$1040,SUBSTITUTE(SUBSTITUTE(SUBSTITUTE($B21,"~","~~"),"*","~*"),"?","~?"),'DEF_SELF_SCOUT_IMPORT'!$Q$42:$Q$1040,SUBSTITUTE(SUBSTITUTE(SUBSTITUTE($M21,"~","~~"),"*","~*"),"?","~?"),'DEF_SELF_SCOUT_IMPORT'!$H$42:$H$1040,"RUSH")/$C21)</f>
        <v>0.3333333333333333</v>
      </c>
      <c r="H21" s="10">
        <f>IF($C21=0,"",COUNTIFS('DEF_SELF_SCOUT_IMPORT'!$L$42:$L$1040,"Y",'DEF_SELF_SCOUT_IMPORT'!$E$42:$E$1040,SUBSTITUTE(SUBSTITUTE(SUBSTITUTE($B21,"~","~~"),"*","~*"),"?","~?"),'DEF_SELF_SCOUT_IMPORT'!$Q$42:$Q$1040,SUBSTITUTE(SUBSTITUTE(SUBSTITUTE($M21,"~","~~"),"*","~*"),"?","~?"),'DEF_SELF_SCOUT_IMPORT'!$H$42:$H$1040,"DROPBACK")/$C21)</f>
        <v>0.6666666666666666</v>
      </c>
      <c r="I21" s="14" t="str">
        <f>IF(C21=0,"",IF(C21&lt;=2,"TRACK",IF(C21=3,"LOW",IF(C21&lt;=6,"MEDIUM","HIGH"))))</f>
        <v>LOW</v>
      </c>
      <c r="J21" s="11">
        <f>IF(C21=0,"",ROUND(D21*70+(1-E21)*20+MAX(0,MIN(1,(10-F21)/10))*10,1))</f>
        <v>63.3</v>
      </c>
      <c r="K21" s="14" t="str">
        <f>IF(C21=0,"No Evidence",IF(C21&lt;=2,IF(E21&gt;0,"Explosive Alert","Track Only"),IF(C21=3,"Sample Watch",IF(E21&gt;=START_HERE!$B$31,"Explosive Alert",IF(J21&gt;=80,"Strong Candidate",IF(J21&gt;=65,"Good Candidate",IF(J21&gt;=50,"Mixed / Review","Problem Call")))))))</f>
        <v>Sample Watch</v>
      </c>
      <c r="L21" s="9" t="str">
        <f>IF(COUNTIFS('DEF_SELF_SCOUT_IMPORT'!$L$42:$L$1040,"Y",'DEF_SELF_SCOUT_IMPORT'!$E$42:$E$1040,SUBSTITUTE(SUBSTITUTE(SUBSTITUTE($B21,"~","~~"),"*","~*"),"?","~?"),'DEF_SELF_SCOUT_IMPORT'!$Q$42:$Q$1040,SUBSTITUTE(SUBSTITUTE(SUBSTITUTE($M21,"~","~~"),"*","~*"),"?","~?"),'DEF_SELF_SCOUT_IMPORT'!$J$42:$J$1040,"")&gt;0,"Unscored clean outcome; review result tags before using score.",IF(C21=0,"No matching defensive reps; film confirmation needed.",IF(K21="Explosive Alert","Explosive risk; review clips before using as answer.",IF(C21&lt;=2,"Track only; not enough sample.",IF(C21=3,IF(E21&gt;0,"Sample watch with explosive exposure; review clips and build the sample.",IF(J21&gt;=65,"Good signal, but sample is limited.","Sample watch; review clips and build the sample.")),IF(K21="Problem Call","Problem area; practice or call-sheet review.",IF(K21="Strong Candidate","Strong call-fit candidate; confirm on film.",IF(K21="Good Candidate","Good call-fit signal; confirm on film.","Mixed signal; review fit and execution on film."))))))))</f>
        <v>Sample watch with explosive exposure; review clips and build the sample.</v>
      </c>
      <c r="M21" s="8" t="s">
        <v>39</v>
      </c>
      <c r="N21" s="8"/>
      <c r="O21" s="8"/>
      <c r="P21" s="8"/>
      <c r="Q21" s="8"/>
      <c r="R21" s="8" t="s">
        <v>28</v>
      </c>
      <c r="S21" s="2" t="s">
        <v>41</v>
      </c>
      <c r="T21" s="2">
        <f>IF(C21=0,0,IF(C21&gt;=CALL_LOOKUP_BOARD!$B$7,IF(OR(K21="Problem Call",K21="Explosive Alert"),10000000,20000000),0)+IF(C21&gt;=CALL_LOOKUP_BOARD!$B$7,J21*1000+MIN(C21,999),C21*1000+J21)+0.00998800)</f>
        <v>3063.309988</v>
      </c>
      <c r="U21" s="2">
        <f>IF(C21=0,"",IF(COUNTIFS($S$10:$S$178,SUBSTITUTE(SUBSTITUTE(SUBSTITUTE(S21,"~","~~"),"*","~*"),"?","~?"),$T$10:$T$178,"&gt;"&amp;T21)=0,S21,""))</f>
        <v/>
      </c>
    </row>
    <row r="22" spans="1:21" ht="38" customHeight="1">
      <c r="A22" s="8" t="s">
        <v>39</v>
      </c>
      <c r="B22" s="8" t="s">
        <v>47</v>
      </c>
      <c r="C22" s="12">
        <f>COUNTIFS('DEF_SELF_SCOUT_IMPORT'!$L$42:$L$1040,"Y",'DEF_SELF_SCOUT_IMPORT'!$E$42:$E$1040,SUBSTITUTE(SUBSTITUTE(SUBSTITUTE($B22,"~","~~"),"*","~*"),"?","~?"),'DEF_SELF_SCOUT_IMPORT'!$Q$42:$Q$1040,SUBSTITUTE(SUBSTITUTE(SUBSTITUTE($M22,"~","~~"),"*","~*"),"?","~?"))</f>
        <v>2</v>
      </c>
      <c r="D22" s="10">
        <f>IF($C22=0,"",SUMIFS('DEF_SELF_SCOUT_IMPORT'!$J$42:$J$1040,'DEF_SELF_SCOUT_IMPORT'!$L$42:$L$1040,"Y",'DEF_SELF_SCOUT_IMPORT'!$E$42:$E$1040,SUBSTITUTE(SUBSTITUTE(SUBSTITUTE($B22,"~","~~"),"*","~*"),"?","~?"),'DEF_SELF_SCOUT_IMPORT'!$Q$42:$Q$1040,SUBSTITUTE(SUBSTITUTE(SUBSTITUTE($M22,"~","~~"),"*","~*"),"?","~?"))/$C22)</f>
        <v>0.5</v>
      </c>
      <c r="E22" s="10">
        <f>IF($C22=0,"",SUMIFS('DEF_SELF_SCOUT_IMPORT'!$K$42:$K$1040,'DEF_SELF_SCOUT_IMPORT'!$L$42:$L$1040,"Y",'DEF_SELF_SCOUT_IMPORT'!$E$42:$E$1040,SUBSTITUTE(SUBSTITUTE(SUBSTITUTE($B22,"~","~~"),"*","~*"),"?","~?"),'DEF_SELF_SCOUT_IMPORT'!$Q$42:$Q$1040,SUBSTITUTE(SUBSTITUTE(SUBSTITUTE($M22,"~","~~"),"*","~*"),"?","~?"))/$C22)</f>
        <v>0.5</v>
      </c>
      <c r="F22" s="11">
        <f>IF($C22=0,"",AVERAGEIFS('DEF_SELF_SCOUT_IMPORT'!$I$42:$I$1040,'DEF_SELF_SCOUT_IMPORT'!$L$42:$L$1040,"Y",'DEF_SELF_SCOUT_IMPORT'!$E$42:$E$1040,SUBSTITUTE(SUBSTITUTE(SUBSTITUTE($B22,"~","~~"),"*","~*"),"?","~?"),'DEF_SELF_SCOUT_IMPORT'!$Q$42:$Q$1040,SUBSTITUTE(SUBSTITUTE(SUBSTITUTE($M22,"~","~~"),"*","~*"),"?","~?")))</f>
        <v>15.0</v>
      </c>
      <c r="G22" s="10">
        <f>IF($C22=0,"",COUNTIFS('DEF_SELF_SCOUT_IMPORT'!$L$42:$L$1040,"Y",'DEF_SELF_SCOUT_IMPORT'!$E$42:$E$1040,SUBSTITUTE(SUBSTITUTE(SUBSTITUTE($B22,"~","~~"),"*","~*"),"?","~?"),'DEF_SELF_SCOUT_IMPORT'!$Q$42:$Q$1040,SUBSTITUTE(SUBSTITUTE(SUBSTITUTE($M22,"~","~~"),"*","~*"),"?","~?"),'DEF_SELF_SCOUT_IMPORT'!$H$42:$H$1040,"RUSH")/$C22)</f>
        <v>0.0</v>
      </c>
      <c r="H22" s="10">
        <f>IF($C22=0,"",COUNTIFS('DEF_SELF_SCOUT_IMPORT'!$L$42:$L$1040,"Y",'DEF_SELF_SCOUT_IMPORT'!$E$42:$E$1040,SUBSTITUTE(SUBSTITUTE(SUBSTITUTE($B22,"~","~~"),"*","~*"),"?","~?"),'DEF_SELF_SCOUT_IMPORT'!$Q$42:$Q$1040,SUBSTITUTE(SUBSTITUTE(SUBSTITUTE($M22,"~","~~"),"*","~*"),"?","~?"),'DEF_SELF_SCOUT_IMPORT'!$H$42:$H$1040,"DROPBACK")/$C22)</f>
        <v>0.5</v>
      </c>
      <c r="I22" s="14" t="str">
        <f>IF(C22=0,"",IF(C22&lt;=2,"TRACK",IF(C22=3,"LOW",IF(C22&lt;=6,"MEDIUM","HIGH"))))</f>
        <v>TRACK</v>
      </c>
      <c r="J22" s="11">
        <f>IF(C22=0,"",ROUND(D22*70+(1-E22)*20+MAX(0,MIN(1,(10-F22)/10))*10,1))</f>
        <v>45.0</v>
      </c>
      <c r="K22" s="14" t="str">
        <f>IF(C22=0,"No Evidence",IF(C22&lt;=2,IF(E22&gt;0,"Explosive Alert","Track Only"),IF(C22=3,"Sample Watch",IF(E22&gt;=START_HERE!$B$31,"Explosive Alert",IF(J22&gt;=80,"Strong Candidate",IF(J22&gt;=65,"Good Candidate",IF(J22&gt;=50,"Mixed / Review","Problem Call")))))))</f>
        <v>Explosive Alert</v>
      </c>
      <c r="L22" s="9" t="str">
        <f>IF(COUNTIFS('DEF_SELF_SCOUT_IMPORT'!$L$42:$L$1040,"Y",'DEF_SELF_SCOUT_IMPORT'!$E$42:$E$1040,SUBSTITUTE(SUBSTITUTE(SUBSTITUTE($B22,"~","~~"),"*","~*"),"?","~?"),'DEF_SELF_SCOUT_IMPORT'!$Q$42:$Q$1040,SUBSTITUTE(SUBSTITUTE(SUBSTITUTE($M22,"~","~~"),"*","~*"),"?","~?"),'DEF_SELF_SCOUT_IMPORT'!$J$42:$J$1040,"")&gt;0,"Unscored clean outcome; review result tags before using score.",IF(C22=0,"No matching defensive reps; film confirmation needed.",IF(K22="Explosive Alert","Explosive risk; review clips before using as answer.",IF(C22&lt;=2,"Track only; not enough sample.",IF(C22=3,IF(E22&gt;0,"Sample watch with explosive exposure; review clips and build the sample.",IF(J22&gt;=65,"Good signal, but sample is limited.","Sample watch; review clips and build the sample.")),IF(K22="Problem Call","Problem area; practice or call-sheet review.",IF(K22="Strong Candidate","Strong call-fit candidate; confirm on film.",IF(K22="Good Candidate","Good call-fit signal; confirm on film.","Mixed signal; review fit and execution on film."))))))))</f>
        <v>Explosive risk; review clips before using as answer.</v>
      </c>
      <c r="M22" s="8" t="s">
        <v>39</v>
      </c>
      <c r="N22" s="8"/>
      <c r="O22" s="8"/>
      <c r="P22" s="8"/>
      <c r="Q22" s="8"/>
      <c r="R22" s="8" t="s">
        <v>28</v>
      </c>
      <c r="S22" s="2" t="s">
        <v>41</v>
      </c>
      <c r="T22" s="2">
        <f>IF(C22=0,0,IF(C22&gt;=CALL_LOOKUP_BOARD!$B$7,IF(OR(K22="Problem Call",K22="Explosive Alert"),10000000,20000000),0)+IF(C22&gt;=CALL_LOOKUP_BOARD!$B$7,J22*1000+MIN(C22,999),C22*1000+J22)+0.00998700)</f>
        <v>2045.009987</v>
      </c>
      <c r="U22" s="2">
        <f>IF(C22=0,"",IF(COUNTIFS($S$10:$S$178,SUBSTITUTE(SUBSTITUTE(SUBSTITUTE(S22,"~","~~"),"*","~*"),"?","~?"),$T$10:$T$178,"&gt;"&amp;T22)=0,S22,""))</f>
        <v/>
      </c>
    </row>
    <row r="23" spans="1:21" ht="38" customHeight="1">
      <c r="A23" s="8" t="s">
        <v>39</v>
      </c>
      <c r="B23" s="8" t="s">
        <v>48</v>
      </c>
      <c r="C23" s="12">
        <f>COUNTIFS('DEF_SELF_SCOUT_IMPORT'!$L$42:$L$1040,"Y",'DEF_SELF_SCOUT_IMPORT'!$E$42:$E$1040,SUBSTITUTE(SUBSTITUTE(SUBSTITUTE($B23,"~","~~"),"*","~*"),"?","~?"),'DEF_SELF_SCOUT_IMPORT'!$Q$42:$Q$1040,SUBSTITUTE(SUBSTITUTE(SUBSTITUTE($M23,"~","~~"),"*","~*"),"?","~?"))</f>
        <v>1</v>
      </c>
      <c r="D23" s="10">
        <f>IF($C23=0,"",SUMIFS('DEF_SELF_SCOUT_IMPORT'!$J$42:$J$1040,'DEF_SELF_SCOUT_IMPORT'!$L$42:$L$1040,"Y",'DEF_SELF_SCOUT_IMPORT'!$E$42:$E$1040,SUBSTITUTE(SUBSTITUTE(SUBSTITUTE($B23,"~","~~"),"*","~*"),"?","~?"),'DEF_SELF_SCOUT_IMPORT'!$Q$42:$Q$1040,SUBSTITUTE(SUBSTITUTE(SUBSTITUTE($M23,"~","~~"),"*","~*"),"?","~?"))/$C23)</f>
        <v>1.0</v>
      </c>
      <c r="E23" s="10">
        <f>IF($C23=0,"",SUMIFS('DEF_SELF_SCOUT_IMPORT'!$K$42:$K$1040,'DEF_SELF_SCOUT_IMPORT'!$L$42:$L$1040,"Y",'DEF_SELF_SCOUT_IMPORT'!$E$42:$E$1040,SUBSTITUTE(SUBSTITUTE(SUBSTITUTE($B23,"~","~~"),"*","~*"),"?","~?"),'DEF_SELF_SCOUT_IMPORT'!$Q$42:$Q$1040,SUBSTITUTE(SUBSTITUTE(SUBSTITUTE($M23,"~","~~"),"*","~*"),"?","~?"))/$C23)</f>
        <v>0.0</v>
      </c>
      <c r="F23" s="11">
        <f>IF($C23=0,"",AVERAGEIFS('DEF_SELF_SCOUT_IMPORT'!$I$42:$I$1040,'DEF_SELF_SCOUT_IMPORT'!$L$42:$L$1040,"Y",'DEF_SELF_SCOUT_IMPORT'!$E$42:$E$1040,SUBSTITUTE(SUBSTITUTE(SUBSTITUTE($B23,"~","~~"),"*","~*"),"?","~?"),'DEF_SELF_SCOUT_IMPORT'!$Q$42:$Q$1040,SUBSTITUTE(SUBSTITUTE(SUBSTITUTE($M23,"~","~~"),"*","~*"),"?","~?")))</f>
        <v>6.0</v>
      </c>
      <c r="G23" s="10">
        <f>IF($C23=0,"",COUNTIFS('DEF_SELF_SCOUT_IMPORT'!$L$42:$L$1040,"Y",'DEF_SELF_SCOUT_IMPORT'!$E$42:$E$1040,SUBSTITUTE(SUBSTITUTE(SUBSTITUTE($B23,"~","~~"),"*","~*"),"?","~?"),'DEF_SELF_SCOUT_IMPORT'!$Q$42:$Q$1040,SUBSTITUTE(SUBSTITUTE(SUBSTITUTE($M23,"~","~~"),"*","~*"),"?","~?"),'DEF_SELF_SCOUT_IMPORT'!$H$42:$H$1040,"RUSH")/$C23)</f>
        <v>0.0</v>
      </c>
      <c r="H23" s="10">
        <f>IF($C23=0,"",COUNTIFS('DEF_SELF_SCOUT_IMPORT'!$L$42:$L$1040,"Y",'DEF_SELF_SCOUT_IMPORT'!$E$42:$E$1040,SUBSTITUTE(SUBSTITUTE(SUBSTITUTE($B23,"~","~~"),"*","~*"),"?","~?"),'DEF_SELF_SCOUT_IMPORT'!$Q$42:$Q$1040,SUBSTITUTE(SUBSTITUTE(SUBSTITUTE($M23,"~","~~"),"*","~*"),"?","~?"),'DEF_SELF_SCOUT_IMPORT'!$H$42:$H$1040,"DROPBACK")/$C23)</f>
        <v>1.0</v>
      </c>
      <c r="I23" s="14" t="str">
        <f>IF(C23=0,"",IF(C23&lt;=2,"TRACK",IF(C23=3,"LOW",IF(C23&lt;=6,"MEDIUM","HIGH"))))</f>
        <v>TRACK</v>
      </c>
      <c r="J23" s="11">
        <f>IF(C23=0,"",ROUND(D23*70+(1-E23)*20+MAX(0,MIN(1,(10-F23)/10))*10,1))</f>
        <v>94.0</v>
      </c>
      <c r="K23" s="14" t="str">
        <f>IF(C23=0,"No Evidence",IF(C23&lt;=2,IF(E23&gt;0,"Explosive Alert","Track Only"),IF(C23=3,"Sample Watch",IF(E23&gt;=START_HERE!$B$31,"Explosive Alert",IF(J23&gt;=80,"Strong Candidate",IF(J23&gt;=65,"Good Candidate",IF(J23&gt;=50,"Mixed / Review","Problem Call")))))))</f>
        <v>Track Only</v>
      </c>
      <c r="L23" s="9" t="str">
        <f>IF(COUNTIFS('DEF_SELF_SCOUT_IMPORT'!$L$42:$L$1040,"Y",'DEF_SELF_SCOUT_IMPORT'!$E$42:$E$1040,SUBSTITUTE(SUBSTITUTE(SUBSTITUTE($B23,"~","~~"),"*","~*"),"?","~?"),'DEF_SELF_SCOUT_IMPORT'!$Q$42:$Q$1040,SUBSTITUTE(SUBSTITUTE(SUBSTITUTE($M23,"~","~~"),"*","~*"),"?","~?"),'DEF_SELF_SCOUT_IMPORT'!$J$42:$J$1040,"")&gt;0,"Unscored clean outcome; review result tags before using score.",IF(C23=0,"No matching defensive reps; film confirmation needed.",IF(K23="Explosive Alert","Explosive risk; review clips before using as answer.",IF(C23&lt;=2,"Track only; not enough sample.",IF(C23=3,IF(E23&gt;0,"Sample watch with explosive exposure; review clips and build the sample.",IF(J23&gt;=65,"Good signal, but sample is limited.","Sample watch; review clips and build the sample.")),IF(K23="Problem Call","Problem area; practice or call-sheet review.",IF(K23="Strong Candidate","Strong call-fit candidate; confirm on film.",IF(K23="Good Candidate","Good call-fit signal; confirm on film.","Mixed signal; review fit and execution on film."))))))))</f>
        <v>Track only; not enough sample.</v>
      </c>
      <c r="M23" s="8" t="s">
        <v>39</v>
      </c>
      <c r="N23" s="8"/>
      <c r="O23" s="8"/>
      <c r="P23" s="8"/>
      <c r="Q23" s="8"/>
      <c r="R23" s="8" t="s">
        <v>28</v>
      </c>
      <c r="S23" s="2" t="s">
        <v>41</v>
      </c>
      <c r="T23" s="2">
        <f>IF(C23=0,0,IF(C23&gt;=CALL_LOOKUP_BOARD!$B$7,IF(OR(K23="Problem Call",K23="Explosive Alert"),10000000,20000000),0)+IF(C23&gt;=CALL_LOOKUP_BOARD!$B$7,J23*1000+MIN(C23,999),C23*1000+J23)+0.00998600)</f>
        <v>1094.009986</v>
      </c>
      <c r="U23" s="2">
        <f>IF(C23=0,"",IF(COUNTIFS($S$10:$S$178,SUBSTITUTE(SUBSTITUTE(SUBSTITUTE(S23,"~","~~"),"*","~*"),"?","~?"),$T$10:$T$178,"&gt;"&amp;T23)=0,S23,""))</f>
        <v/>
      </c>
    </row>
    <row r="24" spans="1:21" ht="38" customHeight="1">
      <c r="A24" s="8" t="s">
        <v>39</v>
      </c>
      <c r="B24" s="8" t="s">
        <v>34</v>
      </c>
      <c r="C24" s="12">
        <f>COUNTIFS('DEF_SELF_SCOUT_IMPORT'!$L$42:$L$1040,"Y",'DEF_SELF_SCOUT_IMPORT'!$E$42:$E$1040,SUBSTITUTE(SUBSTITUTE(SUBSTITUTE($B24,"~","~~"),"*","~*"),"?","~?"),'DEF_SELF_SCOUT_IMPORT'!$Q$42:$Q$1040,SUBSTITUTE(SUBSTITUTE(SUBSTITUTE($M24,"~","~~"),"*","~*"),"?","~?"))</f>
        <v>2</v>
      </c>
      <c r="D24" s="10">
        <f>IF($C24=0,"",SUMIFS('DEF_SELF_SCOUT_IMPORT'!$J$42:$J$1040,'DEF_SELF_SCOUT_IMPORT'!$L$42:$L$1040,"Y",'DEF_SELF_SCOUT_IMPORT'!$E$42:$E$1040,SUBSTITUTE(SUBSTITUTE(SUBSTITUTE($B24,"~","~~"),"*","~*"),"?","~?"),'DEF_SELF_SCOUT_IMPORT'!$Q$42:$Q$1040,SUBSTITUTE(SUBSTITUTE(SUBSTITUTE($M24,"~","~~"),"*","~*"),"?","~?"))/$C24)</f>
        <v>0.0</v>
      </c>
      <c r="E24" s="10">
        <f>IF($C24=0,"",SUMIFS('DEF_SELF_SCOUT_IMPORT'!$K$42:$K$1040,'DEF_SELF_SCOUT_IMPORT'!$L$42:$L$1040,"Y",'DEF_SELF_SCOUT_IMPORT'!$E$42:$E$1040,SUBSTITUTE(SUBSTITUTE(SUBSTITUTE($B24,"~","~~"),"*","~*"),"?","~?"),'DEF_SELF_SCOUT_IMPORT'!$Q$42:$Q$1040,SUBSTITUTE(SUBSTITUTE(SUBSTITUTE($M24,"~","~~"),"*","~*"),"?","~?"))/$C24)</f>
        <v>0.5</v>
      </c>
      <c r="F24" s="11">
        <f>IF($C24=0,"",AVERAGEIFS('DEF_SELF_SCOUT_IMPORT'!$I$42:$I$1040,'DEF_SELF_SCOUT_IMPORT'!$L$42:$L$1040,"Y",'DEF_SELF_SCOUT_IMPORT'!$E$42:$E$1040,SUBSTITUTE(SUBSTITUTE(SUBSTITUTE($B24,"~","~~"),"*","~*"),"?","~?"),'DEF_SELF_SCOUT_IMPORT'!$Q$42:$Q$1040,SUBSTITUTE(SUBSTITUTE(SUBSTITUTE($M24,"~","~~"),"*","~*"),"?","~?")))</f>
        <v>30.5</v>
      </c>
      <c r="G24" s="10">
        <f>IF($C24=0,"",COUNTIFS('DEF_SELF_SCOUT_IMPORT'!$L$42:$L$1040,"Y",'DEF_SELF_SCOUT_IMPORT'!$E$42:$E$1040,SUBSTITUTE(SUBSTITUTE(SUBSTITUTE($B24,"~","~~"),"*","~*"),"?","~?"),'DEF_SELF_SCOUT_IMPORT'!$Q$42:$Q$1040,SUBSTITUTE(SUBSTITUTE(SUBSTITUTE($M24,"~","~~"),"*","~*"),"?","~?"),'DEF_SELF_SCOUT_IMPORT'!$H$42:$H$1040,"RUSH")/$C24)</f>
        <v>0.5</v>
      </c>
      <c r="H24" s="10">
        <f>IF($C24=0,"",COUNTIFS('DEF_SELF_SCOUT_IMPORT'!$L$42:$L$1040,"Y",'DEF_SELF_SCOUT_IMPORT'!$E$42:$E$1040,SUBSTITUTE(SUBSTITUTE(SUBSTITUTE($B24,"~","~~"),"*","~*"),"?","~?"),'DEF_SELF_SCOUT_IMPORT'!$Q$42:$Q$1040,SUBSTITUTE(SUBSTITUTE(SUBSTITUTE($M24,"~","~~"),"*","~*"),"?","~?"),'DEF_SELF_SCOUT_IMPORT'!$H$42:$H$1040,"DROPBACK")/$C24)</f>
        <v>0.0</v>
      </c>
      <c r="I24" s="14" t="str">
        <f>IF(C24=0,"",IF(C24&lt;=2,"TRACK",IF(C24=3,"LOW",IF(C24&lt;=6,"MEDIUM","HIGH"))))</f>
        <v>TRACK</v>
      </c>
      <c r="J24" s="11">
        <f>IF(C24=0,"",ROUND(D24*70+(1-E24)*20+MAX(0,MIN(1,(10-F24)/10))*10,1))</f>
        <v>10.0</v>
      </c>
      <c r="K24" s="14" t="str">
        <f>IF(C24=0,"No Evidence",IF(C24&lt;=2,IF(E24&gt;0,"Explosive Alert","Track Only"),IF(C24=3,"Sample Watch",IF(E24&gt;=START_HERE!$B$31,"Explosive Alert",IF(J24&gt;=80,"Strong Candidate",IF(J24&gt;=65,"Good Candidate",IF(J24&gt;=50,"Mixed / Review","Problem Call")))))))</f>
        <v>Explosive Alert</v>
      </c>
      <c r="L24" s="9" t="str">
        <f>IF(COUNTIFS('DEF_SELF_SCOUT_IMPORT'!$L$42:$L$1040,"Y",'DEF_SELF_SCOUT_IMPORT'!$E$42:$E$1040,SUBSTITUTE(SUBSTITUTE(SUBSTITUTE($B24,"~","~~"),"*","~*"),"?","~?"),'DEF_SELF_SCOUT_IMPORT'!$Q$42:$Q$1040,SUBSTITUTE(SUBSTITUTE(SUBSTITUTE($M24,"~","~~"),"*","~*"),"?","~?"),'DEF_SELF_SCOUT_IMPORT'!$J$42:$J$1040,"")&gt;0,"Unscored clean outcome; review result tags before using score.",IF(C24=0,"No matching defensive reps; film confirmation needed.",IF(K24="Explosive Alert","Explosive risk; review clips before using as answer.",IF(C24&lt;=2,"Track only; not enough sample.",IF(C24=3,IF(E24&gt;0,"Sample watch with explosive exposure; review clips and build the sample.",IF(J24&gt;=65,"Good signal, but sample is limited.","Sample watch; review clips and build the sample.")),IF(K24="Problem Call","Problem area; practice or call-sheet review.",IF(K24="Strong Candidate","Strong call-fit candidate; confirm on film.",IF(K24="Good Candidate","Good call-fit signal; confirm on film.","Mixed signal; review fit and execution on film."))))))))</f>
        <v>Explosive risk; review clips before using as answer.</v>
      </c>
      <c r="M24" s="8" t="s">
        <v>39</v>
      </c>
      <c r="N24" s="8"/>
      <c r="O24" s="8"/>
      <c r="P24" s="8"/>
      <c r="Q24" s="8"/>
      <c r="R24" s="8" t="s">
        <v>28</v>
      </c>
      <c r="S24" s="2" t="s">
        <v>41</v>
      </c>
      <c r="T24" s="2">
        <f>IF(C24=0,0,IF(C24&gt;=CALL_LOOKUP_BOARD!$B$7,IF(OR(K24="Problem Call",K24="Explosive Alert"),10000000,20000000),0)+IF(C24&gt;=CALL_LOOKUP_BOARD!$B$7,J24*1000+MIN(C24,999),C24*1000+J24)+0.00998500)</f>
        <v>2010.009985</v>
      </c>
      <c r="U24" s="2">
        <f>IF(C24=0,"",IF(COUNTIFS($S$10:$S$178,SUBSTITUTE(SUBSTITUTE(SUBSTITUTE(S24,"~","~~"),"*","~*"),"?","~?"),$T$10:$T$178,"&gt;"&amp;T24)=0,S24,""))</f>
        <v/>
      </c>
    </row>
    <row r="25" spans="1:21" ht="38" customHeight="1">
      <c r="A25" s="8" t="s">
        <v>39</v>
      </c>
      <c r="B25" s="8" t="s">
        <v>49</v>
      </c>
      <c r="C25" s="12">
        <f>COUNTIFS('DEF_SELF_SCOUT_IMPORT'!$L$42:$L$1040,"Y",'DEF_SELF_SCOUT_IMPORT'!$E$42:$E$1040,SUBSTITUTE(SUBSTITUTE(SUBSTITUTE($B25,"~","~~"),"*","~*"),"?","~?"),'DEF_SELF_SCOUT_IMPORT'!$Q$42:$Q$1040,SUBSTITUTE(SUBSTITUTE(SUBSTITUTE($M25,"~","~~"),"*","~*"),"?","~?"))</f>
        <v>1</v>
      </c>
      <c r="D25" s="10">
        <f>IF($C25=0,"",SUMIFS('DEF_SELF_SCOUT_IMPORT'!$J$42:$J$1040,'DEF_SELF_SCOUT_IMPORT'!$L$42:$L$1040,"Y",'DEF_SELF_SCOUT_IMPORT'!$E$42:$E$1040,SUBSTITUTE(SUBSTITUTE(SUBSTITUTE($B25,"~","~~"),"*","~*"),"?","~?"),'DEF_SELF_SCOUT_IMPORT'!$Q$42:$Q$1040,SUBSTITUTE(SUBSTITUTE(SUBSTITUTE($M25,"~","~~"),"*","~*"),"?","~?"))/$C25)</f>
        <v>1.0</v>
      </c>
      <c r="E25" s="10">
        <f>IF($C25=0,"",SUMIFS('DEF_SELF_SCOUT_IMPORT'!$K$42:$K$1040,'DEF_SELF_SCOUT_IMPORT'!$L$42:$L$1040,"Y",'DEF_SELF_SCOUT_IMPORT'!$E$42:$E$1040,SUBSTITUTE(SUBSTITUTE(SUBSTITUTE($B25,"~","~~"),"*","~*"),"?","~?"),'DEF_SELF_SCOUT_IMPORT'!$Q$42:$Q$1040,SUBSTITUTE(SUBSTITUTE(SUBSTITUTE($M25,"~","~~"),"*","~*"),"?","~?"))/$C25)</f>
        <v>0.0</v>
      </c>
      <c r="F25" s="11">
        <f>IF($C25=0,"",AVERAGEIFS('DEF_SELF_SCOUT_IMPORT'!$I$42:$I$1040,'DEF_SELF_SCOUT_IMPORT'!$L$42:$L$1040,"Y",'DEF_SELF_SCOUT_IMPORT'!$E$42:$E$1040,SUBSTITUTE(SUBSTITUTE(SUBSTITUTE($B25,"~","~~"),"*","~*"),"?","~?"),'DEF_SELF_SCOUT_IMPORT'!$Q$42:$Q$1040,SUBSTITUTE(SUBSTITUTE(SUBSTITUTE($M25,"~","~~"),"*","~*"),"?","~?")))</f>
        <v>0.0</v>
      </c>
      <c r="G25" s="10">
        <f>IF($C25=0,"",COUNTIFS('DEF_SELF_SCOUT_IMPORT'!$L$42:$L$1040,"Y",'DEF_SELF_SCOUT_IMPORT'!$E$42:$E$1040,SUBSTITUTE(SUBSTITUTE(SUBSTITUTE($B25,"~","~~"),"*","~*"),"?","~?"),'DEF_SELF_SCOUT_IMPORT'!$Q$42:$Q$1040,SUBSTITUTE(SUBSTITUTE(SUBSTITUTE($M25,"~","~~"),"*","~*"),"?","~?"),'DEF_SELF_SCOUT_IMPORT'!$H$42:$H$1040,"RUSH")/$C25)</f>
        <v>0.0</v>
      </c>
      <c r="H25" s="10">
        <f>IF($C25=0,"",COUNTIFS('DEF_SELF_SCOUT_IMPORT'!$L$42:$L$1040,"Y",'DEF_SELF_SCOUT_IMPORT'!$E$42:$E$1040,SUBSTITUTE(SUBSTITUTE(SUBSTITUTE($B25,"~","~~"),"*","~*"),"?","~?"),'DEF_SELF_SCOUT_IMPORT'!$Q$42:$Q$1040,SUBSTITUTE(SUBSTITUTE(SUBSTITUTE($M25,"~","~~"),"*","~*"),"?","~?"),'DEF_SELF_SCOUT_IMPORT'!$H$42:$H$1040,"DROPBACK")/$C25)</f>
        <v>1.0</v>
      </c>
      <c r="I25" s="14" t="str">
        <f>IF(C25=0,"",IF(C25&lt;=2,"TRACK",IF(C25=3,"LOW",IF(C25&lt;=6,"MEDIUM","HIGH"))))</f>
        <v>TRACK</v>
      </c>
      <c r="J25" s="11">
        <f>IF(C25=0,"",ROUND(D25*70+(1-E25)*20+MAX(0,MIN(1,(10-F25)/10))*10,1))</f>
        <v>100.0</v>
      </c>
      <c r="K25" s="14" t="str">
        <f>IF(C25=0,"No Evidence",IF(C25&lt;=2,IF(E25&gt;0,"Explosive Alert","Track Only"),IF(C25=3,"Sample Watch",IF(E25&gt;=START_HERE!$B$31,"Explosive Alert",IF(J25&gt;=80,"Strong Candidate",IF(J25&gt;=65,"Good Candidate",IF(J25&gt;=50,"Mixed / Review","Problem Call")))))))</f>
        <v>Track Only</v>
      </c>
      <c r="L25" s="9" t="str">
        <f>IF(COUNTIFS('DEF_SELF_SCOUT_IMPORT'!$L$42:$L$1040,"Y",'DEF_SELF_SCOUT_IMPORT'!$E$42:$E$1040,SUBSTITUTE(SUBSTITUTE(SUBSTITUTE($B25,"~","~~"),"*","~*"),"?","~?"),'DEF_SELF_SCOUT_IMPORT'!$Q$42:$Q$1040,SUBSTITUTE(SUBSTITUTE(SUBSTITUTE($M25,"~","~~"),"*","~*"),"?","~?"),'DEF_SELF_SCOUT_IMPORT'!$J$42:$J$1040,"")&gt;0,"Unscored clean outcome; review result tags before using score.",IF(C25=0,"No matching defensive reps; film confirmation needed.",IF(K25="Explosive Alert","Explosive risk; review clips before using as answer.",IF(C25&lt;=2,"Track only; not enough sample.",IF(C25=3,IF(E25&gt;0,"Sample watch with explosive exposure; review clips and build the sample.",IF(J25&gt;=65,"Good signal, but sample is limited.","Sample watch; review clips and build the sample.")),IF(K25="Problem Call","Problem area; practice or call-sheet review.",IF(K25="Strong Candidate","Strong call-fit candidate; confirm on film.",IF(K25="Good Candidate","Good call-fit signal; confirm on film.","Mixed signal; review fit and execution on film."))))))))</f>
        <v>Track only; not enough sample.</v>
      </c>
      <c r="M25" s="8" t="s">
        <v>39</v>
      </c>
      <c r="N25" s="8"/>
      <c r="O25" s="8"/>
      <c r="P25" s="8"/>
      <c r="Q25" s="8"/>
      <c r="R25" s="8" t="s">
        <v>28</v>
      </c>
      <c r="S25" s="2" t="s">
        <v>41</v>
      </c>
      <c r="T25" s="2">
        <f>IF(C25=0,0,IF(C25&gt;=CALL_LOOKUP_BOARD!$B$7,IF(OR(K25="Problem Call",K25="Explosive Alert"),10000000,20000000),0)+IF(C25&gt;=CALL_LOOKUP_BOARD!$B$7,J25*1000+MIN(C25,999),C25*1000+J25)+0.00998400)</f>
        <v>1100.009984</v>
      </c>
      <c r="U25" s="2">
        <f>IF(C25=0,"",IF(COUNTIFS($S$10:$S$178,SUBSTITUTE(SUBSTITUTE(SUBSTITUTE(S25,"~","~~"),"*","~*"),"?","~?"),$T$10:$T$178,"&gt;"&amp;T25)=0,S25,""))</f>
        <v/>
      </c>
    </row>
    <row r="26" spans="1:21" ht="38" customHeight="1">
      <c r="A26" s="8" t="s">
        <v>39</v>
      </c>
      <c r="B26" s="8" t="s">
        <v>50</v>
      </c>
      <c r="C26" s="12">
        <f>COUNTIFS('DEF_SELF_SCOUT_IMPORT'!$L$42:$L$1040,"Y",'DEF_SELF_SCOUT_IMPORT'!$E$42:$E$1040,SUBSTITUTE(SUBSTITUTE(SUBSTITUTE($B26,"~","~~"),"*","~*"),"?","~?"),'DEF_SELF_SCOUT_IMPORT'!$Q$42:$Q$1040,SUBSTITUTE(SUBSTITUTE(SUBSTITUTE($M26,"~","~~"),"*","~*"),"?","~?"))</f>
        <v>1</v>
      </c>
      <c r="D26" s="10">
        <f>IF($C26=0,"",SUMIFS('DEF_SELF_SCOUT_IMPORT'!$J$42:$J$1040,'DEF_SELF_SCOUT_IMPORT'!$L$42:$L$1040,"Y",'DEF_SELF_SCOUT_IMPORT'!$E$42:$E$1040,SUBSTITUTE(SUBSTITUTE(SUBSTITUTE($B26,"~","~~"),"*","~*"),"?","~?"),'DEF_SELF_SCOUT_IMPORT'!$Q$42:$Q$1040,SUBSTITUTE(SUBSTITUTE(SUBSTITUTE($M26,"~","~~"),"*","~*"),"?","~?"))/$C26)</f>
        <v>1.0</v>
      </c>
      <c r="E26" s="10">
        <f>IF($C26=0,"",SUMIFS('DEF_SELF_SCOUT_IMPORT'!$K$42:$K$1040,'DEF_SELF_SCOUT_IMPORT'!$L$42:$L$1040,"Y",'DEF_SELF_SCOUT_IMPORT'!$E$42:$E$1040,SUBSTITUTE(SUBSTITUTE(SUBSTITUTE($B26,"~","~~"),"*","~*"),"?","~?"),'DEF_SELF_SCOUT_IMPORT'!$Q$42:$Q$1040,SUBSTITUTE(SUBSTITUTE(SUBSTITUTE($M26,"~","~~"),"*","~*"),"?","~?"))/$C26)</f>
        <v>0.0</v>
      </c>
      <c r="F26" s="11">
        <f>IF($C26=0,"",AVERAGEIFS('DEF_SELF_SCOUT_IMPORT'!$I$42:$I$1040,'DEF_SELF_SCOUT_IMPORT'!$L$42:$L$1040,"Y",'DEF_SELF_SCOUT_IMPORT'!$E$42:$E$1040,SUBSTITUTE(SUBSTITUTE(SUBSTITUTE($B26,"~","~~"),"*","~*"),"?","~?"),'DEF_SELF_SCOUT_IMPORT'!$Q$42:$Q$1040,SUBSTITUTE(SUBSTITUTE(SUBSTITUTE($M26,"~","~~"),"*","~*"),"?","~?")))</f>
        <v>3.0</v>
      </c>
      <c r="G26" s="10">
        <f>IF($C26=0,"",COUNTIFS('DEF_SELF_SCOUT_IMPORT'!$L$42:$L$1040,"Y",'DEF_SELF_SCOUT_IMPORT'!$E$42:$E$1040,SUBSTITUTE(SUBSTITUTE(SUBSTITUTE($B26,"~","~~"),"*","~*"),"?","~?"),'DEF_SELF_SCOUT_IMPORT'!$Q$42:$Q$1040,SUBSTITUTE(SUBSTITUTE(SUBSTITUTE($M26,"~","~~"),"*","~*"),"?","~?"),'DEF_SELF_SCOUT_IMPORT'!$H$42:$H$1040,"RUSH")/$C26)</f>
        <v>0.0</v>
      </c>
      <c r="H26" s="10">
        <f>IF($C26=0,"",COUNTIFS('DEF_SELF_SCOUT_IMPORT'!$L$42:$L$1040,"Y",'DEF_SELF_SCOUT_IMPORT'!$E$42:$E$1040,SUBSTITUTE(SUBSTITUTE(SUBSTITUTE($B26,"~","~~"),"*","~*"),"?","~?"),'DEF_SELF_SCOUT_IMPORT'!$Q$42:$Q$1040,SUBSTITUTE(SUBSTITUTE(SUBSTITUTE($M26,"~","~~"),"*","~*"),"?","~?"),'DEF_SELF_SCOUT_IMPORT'!$H$42:$H$1040,"DROPBACK")/$C26)</f>
        <v>1.0</v>
      </c>
      <c r="I26" s="14" t="str">
        <f>IF(C26=0,"",IF(C26&lt;=2,"TRACK",IF(C26=3,"LOW",IF(C26&lt;=6,"MEDIUM","HIGH"))))</f>
        <v>TRACK</v>
      </c>
      <c r="J26" s="11">
        <f>IF(C26=0,"",ROUND(D26*70+(1-E26)*20+MAX(0,MIN(1,(10-F26)/10))*10,1))</f>
        <v>97.0</v>
      </c>
      <c r="K26" s="14" t="str">
        <f>IF(C26=0,"No Evidence",IF(C26&lt;=2,IF(E26&gt;0,"Explosive Alert","Track Only"),IF(C26=3,"Sample Watch",IF(E26&gt;=START_HERE!$B$31,"Explosive Alert",IF(J26&gt;=80,"Strong Candidate",IF(J26&gt;=65,"Good Candidate",IF(J26&gt;=50,"Mixed / Review","Problem Call")))))))</f>
        <v>Track Only</v>
      </c>
      <c r="L26" s="9" t="str">
        <f>IF(COUNTIFS('DEF_SELF_SCOUT_IMPORT'!$L$42:$L$1040,"Y",'DEF_SELF_SCOUT_IMPORT'!$E$42:$E$1040,SUBSTITUTE(SUBSTITUTE(SUBSTITUTE($B26,"~","~~"),"*","~*"),"?","~?"),'DEF_SELF_SCOUT_IMPORT'!$Q$42:$Q$1040,SUBSTITUTE(SUBSTITUTE(SUBSTITUTE($M26,"~","~~"),"*","~*"),"?","~?"),'DEF_SELF_SCOUT_IMPORT'!$J$42:$J$1040,"")&gt;0,"Unscored clean outcome; review result tags before using score.",IF(C26=0,"No matching defensive reps; film confirmation needed.",IF(K26="Explosive Alert","Explosive risk; review clips before using as answer.",IF(C26&lt;=2,"Track only; not enough sample.",IF(C26=3,IF(E26&gt;0,"Sample watch with explosive exposure; review clips and build the sample.",IF(J26&gt;=65,"Good signal, but sample is limited.","Sample watch; review clips and build the sample.")),IF(K26="Problem Call","Problem area; practice or call-sheet review.",IF(K26="Strong Candidate","Strong call-fit candidate; confirm on film.",IF(K26="Good Candidate","Good call-fit signal; confirm on film.","Mixed signal; review fit and execution on film."))))))))</f>
        <v>Track only; not enough sample.</v>
      </c>
      <c r="M26" s="8" t="s">
        <v>39</v>
      </c>
      <c r="N26" s="8"/>
      <c r="O26" s="8"/>
      <c r="P26" s="8"/>
      <c r="Q26" s="8"/>
      <c r="R26" s="8" t="s">
        <v>28</v>
      </c>
      <c r="S26" s="2" t="s">
        <v>41</v>
      </c>
      <c r="T26" s="2">
        <f>IF(C26=0,0,IF(C26&gt;=CALL_LOOKUP_BOARD!$B$7,IF(OR(K26="Problem Call",K26="Explosive Alert"),10000000,20000000),0)+IF(C26&gt;=CALL_LOOKUP_BOARD!$B$7,J26*1000+MIN(C26,999),C26*1000+J26)+0.00998300)</f>
        <v>1097.009983</v>
      </c>
      <c r="U26" s="2">
        <f>IF(C26=0,"",IF(COUNTIFS($S$10:$S$178,SUBSTITUTE(SUBSTITUTE(SUBSTITUTE(S26,"~","~~"),"*","~*"),"?","~?"),$T$10:$T$178,"&gt;"&amp;T26)=0,S26,""))</f>
        <v/>
      </c>
    </row>
    <row r="27" spans="1:21" ht="38" customHeight="1">
      <c r="A27" s="8" t="s">
        <v>39</v>
      </c>
      <c r="B27" s="8" t="s">
        <v>51</v>
      </c>
      <c r="C27" s="12">
        <f>COUNTIFS('DEF_SELF_SCOUT_IMPORT'!$L$42:$L$1040,"Y",'DEF_SELF_SCOUT_IMPORT'!$E$42:$E$1040,SUBSTITUTE(SUBSTITUTE(SUBSTITUTE($B27,"~","~~"),"*","~*"),"?","~?"),'DEF_SELF_SCOUT_IMPORT'!$Q$42:$Q$1040,SUBSTITUTE(SUBSTITUTE(SUBSTITUTE($M27,"~","~~"),"*","~*"),"?","~?"))</f>
        <v>3</v>
      </c>
      <c r="D27" s="10">
        <f>IF($C27=0,"",SUMIFS('DEF_SELF_SCOUT_IMPORT'!$J$42:$J$1040,'DEF_SELF_SCOUT_IMPORT'!$L$42:$L$1040,"Y",'DEF_SELF_SCOUT_IMPORT'!$E$42:$E$1040,SUBSTITUTE(SUBSTITUTE(SUBSTITUTE($B27,"~","~~"),"*","~*"),"?","~?"),'DEF_SELF_SCOUT_IMPORT'!$Q$42:$Q$1040,SUBSTITUTE(SUBSTITUTE(SUBSTITUTE($M27,"~","~~"),"*","~*"),"?","~?"))/$C27)</f>
        <v>0.6666666666666666</v>
      </c>
      <c r="E27" s="10">
        <f>IF($C27=0,"",SUMIFS('DEF_SELF_SCOUT_IMPORT'!$K$42:$K$1040,'DEF_SELF_SCOUT_IMPORT'!$L$42:$L$1040,"Y",'DEF_SELF_SCOUT_IMPORT'!$E$42:$E$1040,SUBSTITUTE(SUBSTITUTE(SUBSTITUTE($B27,"~","~~"),"*","~*"),"?","~?"),'DEF_SELF_SCOUT_IMPORT'!$Q$42:$Q$1040,SUBSTITUTE(SUBSTITUTE(SUBSTITUTE($M27,"~","~~"),"*","~*"),"?","~?"))/$C27)</f>
        <v>0.0</v>
      </c>
      <c r="F27" s="11">
        <f>IF($C27=0,"",AVERAGEIFS('DEF_SELF_SCOUT_IMPORT'!$I$42:$I$1040,'DEF_SELF_SCOUT_IMPORT'!$L$42:$L$1040,"Y",'DEF_SELF_SCOUT_IMPORT'!$E$42:$E$1040,SUBSTITUTE(SUBSTITUTE(SUBSTITUTE($B27,"~","~~"),"*","~*"),"?","~?"),'DEF_SELF_SCOUT_IMPORT'!$Q$42:$Q$1040,SUBSTITUTE(SUBSTITUTE(SUBSTITUTE($M27,"~","~~"),"*","~*"),"?","~?")))</f>
        <v>1.3333333333333333</v>
      </c>
      <c r="G27" s="10">
        <f>IF($C27=0,"",COUNTIFS('DEF_SELF_SCOUT_IMPORT'!$L$42:$L$1040,"Y",'DEF_SELF_SCOUT_IMPORT'!$E$42:$E$1040,SUBSTITUTE(SUBSTITUTE(SUBSTITUTE($B27,"~","~~"),"*","~*"),"?","~?"),'DEF_SELF_SCOUT_IMPORT'!$Q$42:$Q$1040,SUBSTITUTE(SUBSTITUTE(SUBSTITUTE($M27,"~","~~"),"*","~*"),"?","~?"),'DEF_SELF_SCOUT_IMPORT'!$H$42:$H$1040,"RUSH")/$C27)</f>
        <v>0.3333333333333333</v>
      </c>
      <c r="H27" s="10">
        <f>IF($C27=0,"",COUNTIFS('DEF_SELF_SCOUT_IMPORT'!$L$42:$L$1040,"Y",'DEF_SELF_SCOUT_IMPORT'!$E$42:$E$1040,SUBSTITUTE(SUBSTITUTE(SUBSTITUTE($B27,"~","~~"),"*","~*"),"?","~?"),'DEF_SELF_SCOUT_IMPORT'!$Q$42:$Q$1040,SUBSTITUTE(SUBSTITUTE(SUBSTITUTE($M27,"~","~~"),"*","~*"),"?","~?"),'DEF_SELF_SCOUT_IMPORT'!$H$42:$H$1040,"DROPBACK")/$C27)</f>
        <v>0.6666666666666666</v>
      </c>
      <c r="I27" s="14" t="str">
        <f>IF(C27=0,"",IF(C27&lt;=2,"TRACK",IF(C27=3,"LOW",IF(C27&lt;=6,"MEDIUM","HIGH"))))</f>
        <v>LOW</v>
      </c>
      <c r="J27" s="11">
        <f>IF(C27=0,"",ROUND(D27*70+(1-E27)*20+MAX(0,MIN(1,(10-F27)/10))*10,1))</f>
        <v>75.3</v>
      </c>
      <c r="K27" s="14" t="str">
        <f>IF(C27=0,"No Evidence",IF(C27&lt;=2,IF(E27&gt;0,"Explosive Alert","Track Only"),IF(C27=3,"Sample Watch",IF(E27&gt;=START_HERE!$B$31,"Explosive Alert",IF(J27&gt;=80,"Strong Candidate",IF(J27&gt;=65,"Good Candidate",IF(J27&gt;=50,"Mixed / Review","Problem Call")))))))</f>
        <v>Sample Watch</v>
      </c>
      <c r="L27" s="9" t="str">
        <f>IF(COUNTIFS('DEF_SELF_SCOUT_IMPORT'!$L$42:$L$1040,"Y",'DEF_SELF_SCOUT_IMPORT'!$E$42:$E$1040,SUBSTITUTE(SUBSTITUTE(SUBSTITUTE($B27,"~","~~"),"*","~*"),"?","~?"),'DEF_SELF_SCOUT_IMPORT'!$Q$42:$Q$1040,SUBSTITUTE(SUBSTITUTE(SUBSTITUTE($M27,"~","~~"),"*","~*"),"?","~?"),'DEF_SELF_SCOUT_IMPORT'!$J$42:$J$1040,"")&gt;0,"Unscored clean outcome; review result tags before using score.",IF(C27=0,"No matching defensive reps; film confirmation needed.",IF(K27="Explosive Alert","Explosive risk; review clips before using as answer.",IF(C27&lt;=2,"Track only; not enough sample.",IF(C27=3,IF(E27&gt;0,"Sample watch with explosive exposure; review clips and build the sample.",IF(J27&gt;=65,"Good signal, but sample is limited.","Sample watch; review clips and build the sample.")),IF(K27="Problem Call","Problem area; practice or call-sheet review.",IF(K27="Strong Candidate","Strong call-fit candidate; confirm on film.",IF(K27="Good Candidate","Good call-fit signal; confirm on film.","Mixed signal; review fit and execution on film."))))))))</f>
        <v>Good signal, but sample is limited.</v>
      </c>
      <c r="M27" s="8" t="s">
        <v>39</v>
      </c>
      <c r="N27" s="8"/>
      <c r="O27" s="8"/>
      <c r="P27" s="8"/>
      <c r="Q27" s="8"/>
      <c r="R27" s="8" t="s">
        <v>28</v>
      </c>
      <c r="S27" s="2" t="s">
        <v>41</v>
      </c>
      <c r="T27" s="2">
        <f>IF(C27=0,0,IF(C27&gt;=CALL_LOOKUP_BOARD!$B$7,IF(OR(K27="Problem Call",K27="Explosive Alert"),10000000,20000000),0)+IF(C27&gt;=CALL_LOOKUP_BOARD!$B$7,J27*1000+MIN(C27,999),C27*1000+J27)+0.00998200)</f>
        <v>3075.309982</v>
      </c>
      <c r="U27" s="2">
        <f>IF(C27=0,"",IF(COUNTIFS($S$10:$S$178,SUBSTITUTE(SUBSTITUTE(SUBSTITUTE(S27,"~","~~"),"*","~*"),"?","~?"),$T$10:$T$178,"&gt;"&amp;T27)=0,S27,""))</f>
        <v/>
      </c>
    </row>
    <row r="28" spans="1:21" ht="38" customHeight="1">
      <c r="A28" s="8" t="s">
        <v>39</v>
      </c>
      <c r="B28" s="8" t="s">
        <v>52</v>
      </c>
      <c r="C28" s="12">
        <f>COUNTIFS('DEF_SELF_SCOUT_IMPORT'!$L$42:$L$1040,"Y",'DEF_SELF_SCOUT_IMPORT'!$E$42:$E$1040,SUBSTITUTE(SUBSTITUTE(SUBSTITUTE($B28,"~","~~"),"*","~*"),"?","~?"),'DEF_SELF_SCOUT_IMPORT'!$Q$42:$Q$1040,SUBSTITUTE(SUBSTITUTE(SUBSTITUTE($M28,"~","~~"),"*","~*"),"?","~?"))</f>
        <v>6</v>
      </c>
      <c r="D28" s="10">
        <f>IF($C28=0,"",SUMIFS('DEF_SELF_SCOUT_IMPORT'!$J$42:$J$1040,'DEF_SELF_SCOUT_IMPORT'!$L$42:$L$1040,"Y",'DEF_SELF_SCOUT_IMPORT'!$E$42:$E$1040,SUBSTITUTE(SUBSTITUTE(SUBSTITUTE($B28,"~","~~"),"*","~*"),"?","~?"),'DEF_SELF_SCOUT_IMPORT'!$Q$42:$Q$1040,SUBSTITUTE(SUBSTITUTE(SUBSTITUTE($M28,"~","~~"),"*","~*"),"?","~?"))/$C28)</f>
        <v>0.8333333333333334</v>
      </c>
      <c r="E28" s="10">
        <f>IF($C28=0,"",SUMIFS('DEF_SELF_SCOUT_IMPORT'!$K$42:$K$1040,'DEF_SELF_SCOUT_IMPORT'!$L$42:$L$1040,"Y",'DEF_SELF_SCOUT_IMPORT'!$E$42:$E$1040,SUBSTITUTE(SUBSTITUTE(SUBSTITUTE($B28,"~","~~"),"*","~*"),"?","~?"),'DEF_SELF_SCOUT_IMPORT'!$Q$42:$Q$1040,SUBSTITUTE(SUBSTITUTE(SUBSTITUTE($M28,"~","~~"),"*","~*"),"?","~?"))/$C28)</f>
        <v>0.16666666666666666</v>
      </c>
      <c r="F28" s="11">
        <f>IF($C28=0,"",AVERAGEIFS('DEF_SELF_SCOUT_IMPORT'!$I$42:$I$1040,'DEF_SELF_SCOUT_IMPORT'!$L$42:$L$1040,"Y",'DEF_SELF_SCOUT_IMPORT'!$E$42:$E$1040,SUBSTITUTE(SUBSTITUTE(SUBSTITUTE($B28,"~","~~"),"*","~*"),"?","~?"),'DEF_SELF_SCOUT_IMPORT'!$Q$42:$Q$1040,SUBSTITUTE(SUBSTITUTE(SUBSTITUTE($M28,"~","~~"),"*","~*"),"?","~?")))</f>
        <v>3.3333333333333335</v>
      </c>
      <c r="G28" s="10">
        <f>IF($C28=0,"",COUNTIFS('DEF_SELF_SCOUT_IMPORT'!$L$42:$L$1040,"Y",'DEF_SELF_SCOUT_IMPORT'!$E$42:$E$1040,SUBSTITUTE(SUBSTITUTE(SUBSTITUTE($B28,"~","~~"),"*","~*"),"?","~?"),'DEF_SELF_SCOUT_IMPORT'!$Q$42:$Q$1040,SUBSTITUTE(SUBSTITUTE(SUBSTITUTE($M28,"~","~~"),"*","~*"),"?","~?"),'DEF_SELF_SCOUT_IMPORT'!$H$42:$H$1040,"RUSH")/$C28)</f>
        <v>0.16666666666666666</v>
      </c>
      <c r="H28" s="10">
        <f>IF($C28=0,"",COUNTIFS('DEF_SELF_SCOUT_IMPORT'!$L$42:$L$1040,"Y",'DEF_SELF_SCOUT_IMPORT'!$E$42:$E$1040,SUBSTITUTE(SUBSTITUTE(SUBSTITUTE($B28,"~","~~"),"*","~*"),"?","~?"),'DEF_SELF_SCOUT_IMPORT'!$Q$42:$Q$1040,SUBSTITUTE(SUBSTITUTE(SUBSTITUTE($M28,"~","~~"),"*","~*"),"?","~?"),'DEF_SELF_SCOUT_IMPORT'!$H$42:$H$1040,"DROPBACK")/$C28)</f>
        <v>0.8333333333333334</v>
      </c>
      <c r="I28" s="14" t="str">
        <f>IF(C28=0,"",IF(C28&lt;=2,"TRACK",IF(C28=3,"LOW",IF(C28&lt;=6,"MEDIUM","HIGH"))))</f>
        <v>MEDIUM</v>
      </c>
      <c r="J28" s="11">
        <f>IF(C28=0,"",ROUND(D28*70+(1-E28)*20+MAX(0,MIN(1,(10-F28)/10))*10,1))</f>
        <v>81.7</v>
      </c>
      <c r="K28" s="14" t="str">
        <f>IF(C28=0,"No Evidence",IF(C28&lt;=2,IF(E28&gt;0,"Explosive Alert","Track Only"),IF(C28=3,"Sample Watch",IF(E28&gt;=START_HERE!$B$31,"Explosive Alert",IF(J28&gt;=80,"Strong Candidate",IF(J28&gt;=65,"Good Candidate",IF(J28&gt;=50,"Mixed / Review","Problem Call")))))))</f>
        <v>Strong Candidate</v>
      </c>
      <c r="L28" s="9" t="str">
        <f>IF(COUNTIFS('DEF_SELF_SCOUT_IMPORT'!$L$42:$L$1040,"Y",'DEF_SELF_SCOUT_IMPORT'!$E$42:$E$1040,SUBSTITUTE(SUBSTITUTE(SUBSTITUTE($B28,"~","~~"),"*","~*"),"?","~?"),'DEF_SELF_SCOUT_IMPORT'!$Q$42:$Q$1040,SUBSTITUTE(SUBSTITUTE(SUBSTITUTE($M28,"~","~~"),"*","~*"),"?","~?"),'DEF_SELF_SCOUT_IMPORT'!$J$42:$J$1040,"")&gt;0,"Unscored clean outcome; review result tags before using score.",IF(C28=0,"No matching defensive reps; film confirmation needed.",IF(K28="Explosive Alert","Explosive risk; review clips before using as answer.",IF(C28&lt;=2,"Track only; not enough sample.",IF(C28=3,IF(E28&gt;0,"Sample watch with explosive exposure; review clips and build the sample.",IF(J28&gt;=65,"Good signal, but sample is limited.","Sample watch; review clips and build the sample.")),IF(K28="Problem Call","Problem area; practice or call-sheet review.",IF(K28="Strong Candidate","Strong call-fit candidate; confirm on film.",IF(K28="Good Candidate","Good call-fit signal; confirm on film.","Mixed signal; review fit and execution on film."))))))))</f>
        <v>Strong call-fit candidate; confirm on film.</v>
      </c>
      <c r="M28" s="8" t="s">
        <v>39</v>
      </c>
      <c r="N28" s="8"/>
      <c r="O28" s="8"/>
      <c r="P28" s="8"/>
      <c r="Q28" s="8"/>
      <c r="R28" s="8" t="s">
        <v>45</v>
      </c>
      <c r="S28" s="2" t="s">
        <v>41</v>
      </c>
      <c r="T28" s="2">
        <f>IF(C28=0,0,IF(C28&gt;=CALL_LOOKUP_BOARD!$B$7,IF(OR(K28="Problem Call",K28="Explosive Alert"),10000000,20000000),0)+IF(C28&gt;=CALL_LOOKUP_BOARD!$B$7,J28*1000+MIN(C28,999),C28*1000+J28)+0.00998100)</f>
        <v>20081706.009981</v>
      </c>
      <c r="U28" s="2">
        <f>IF(C28=0,"",IF(COUNTIFS($S$10:$S$178,SUBSTITUTE(SUBSTITUTE(SUBSTITUTE(S28,"~","~~"),"*","~*"),"?","~?"),$T$10:$T$178,"&gt;"&amp;T28)=0,S28,""))</f>
        <v/>
      </c>
    </row>
    <row r="29" spans="1:21" ht="38" customHeight="1">
      <c r="A29" s="8" t="s">
        <v>39</v>
      </c>
      <c r="B29" s="8" t="s">
        <v>53</v>
      </c>
      <c r="C29" s="12">
        <f>COUNTIFS('DEF_SELF_SCOUT_IMPORT'!$L$42:$L$1040,"Y",'DEF_SELF_SCOUT_IMPORT'!$E$42:$E$1040,SUBSTITUTE(SUBSTITUTE(SUBSTITUTE($B29,"~","~~"),"*","~*"),"?","~?"),'DEF_SELF_SCOUT_IMPORT'!$Q$42:$Q$1040,SUBSTITUTE(SUBSTITUTE(SUBSTITUTE($M29,"~","~~"),"*","~*"),"?","~?"))</f>
        <v>9</v>
      </c>
      <c r="D29" s="10">
        <f>IF($C29=0,"",SUMIFS('DEF_SELF_SCOUT_IMPORT'!$J$42:$J$1040,'DEF_SELF_SCOUT_IMPORT'!$L$42:$L$1040,"Y",'DEF_SELF_SCOUT_IMPORT'!$E$42:$E$1040,SUBSTITUTE(SUBSTITUTE(SUBSTITUTE($B29,"~","~~"),"*","~*"),"?","~?"),'DEF_SELF_SCOUT_IMPORT'!$Q$42:$Q$1040,SUBSTITUTE(SUBSTITUTE(SUBSTITUTE($M29,"~","~~"),"*","~*"),"?","~?"))/$C29)</f>
        <v>0.5555555555555556</v>
      </c>
      <c r="E29" s="10">
        <f>IF($C29=0,"",SUMIFS('DEF_SELF_SCOUT_IMPORT'!$K$42:$K$1040,'DEF_SELF_SCOUT_IMPORT'!$L$42:$L$1040,"Y",'DEF_SELF_SCOUT_IMPORT'!$E$42:$E$1040,SUBSTITUTE(SUBSTITUTE(SUBSTITUTE($B29,"~","~~"),"*","~*"),"?","~?"),'DEF_SELF_SCOUT_IMPORT'!$Q$42:$Q$1040,SUBSTITUTE(SUBSTITUTE(SUBSTITUTE($M29,"~","~~"),"*","~*"),"?","~?"))/$C29)</f>
        <v>0.0</v>
      </c>
      <c r="F29" s="11">
        <f>IF($C29=0,"",AVERAGEIFS('DEF_SELF_SCOUT_IMPORT'!$I$42:$I$1040,'DEF_SELF_SCOUT_IMPORT'!$L$42:$L$1040,"Y",'DEF_SELF_SCOUT_IMPORT'!$E$42:$E$1040,SUBSTITUTE(SUBSTITUTE(SUBSTITUTE($B29,"~","~~"),"*","~*"),"?","~?"),'DEF_SELF_SCOUT_IMPORT'!$Q$42:$Q$1040,SUBSTITUTE(SUBSTITUTE(SUBSTITUTE($M29,"~","~~"),"*","~*"),"?","~?")))</f>
        <v>5.222222222222222</v>
      </c>
      <c r="G29" s="10">
        <f>IF($C29=0,"",COUNTIFS('DEF_SELF_SCOUT_IMPORT'!$L$42:$L$1040,"Y",'DEF_SELF_SCOUT_IMPORT'!$E$42:$E$1040,SUBSTITUTE(SUBSTITUTE(SUBSTITUTE($B29,"~","~~"),"*","~*"),"?","~?"),'DEF_SELF_SCOUT_IMPORT'!$Q$42:$Q$1040,SUBSTITUTE(SUBSTITUTE(SUBSTITUTE($M29,"~","~~"),"*","~*"),"?","~?"),'DEF_SELF_SCOUT_IMPORT'!$H$42:$H$1040,"RUSH")/$C29)</f>
        <v>0.5555555555555556</v>
      </c>
      <c r="H29" s="10">
        <f>IF($C29=0,"",COUNTIFS('DEF_SELF_SCOUT_IMPORT'!$L$42:$L$1040,"Y",'DEF_SELF_SCOUT_IMPORT'!$E$42:$E$1040,SUBSTITUTE(SUBSTITUTE(SUBSTITUTE($B29,"~","~~"),"*","~*"),"?","~?"),'DEF_SELF_SCOUT_IMPORT'!$Q$42:$Q$1040,SUBSTITUTE(SUBSTITUTE(SUBSTITUTE($M29,"~","~~"),"*","~*"),"?","~?"),'DEF_SELF_SCOUT_IMPORT'!$H$42:$H$1040,"DROPBACK")/$C29)</f>
        <v>0.4444444444444444</v>
      </c>
      <c r="I29" s="14" t="str">
        <f>IF(C29=0,"",IF(C29&lt;=2,"TRACK",IF(C29=3,"LOW",IF(C29&lt;=6,"MEDIUM","HIGH"))))</f>
        <v>HIGH</v>
      </c>
      <c r="J29" s="11">
        <f>IF(C29=0,"",ROUND(D29*70+(1-E29)*20+MAX(0,MIN(1,(10-F29)/10))*10,1))</f>
        <v>63.7</v>
      </c>
      <c r="K29" s="14" t="str">
        <f>IF(C29=0,"No Evidence",IF(C29&lt;=2,IF(E29&gt;0,"Explosive Alert","Track Only"),IF(C29=3,"Sample Watch",IF(E29&gt;=START_HERE!$B$31,"Explosive Alert",IF(J29&gt;=80,"Strong Candidate",IF(J29&gt;=65,"Good Candidate",IF(J29&gt;=50,"Mixed / Review","Problem Call")))))))</f>
        <v>Mixed / Review</v>
      </c>
      <c r="L29" s="9" t="str">
        <f>IF(COUNTIFS('DEF_SELF_SCOUT_IMPORT'!$L$42:$L$1040,"Y",'DEF_SELF_SCOUT_IMPORT'!$E$42:$E$1040,SUBSTITUTE(SUBSTITUTE(SUBSTITUTE($B29,"~","~~"),"*","~*"),"?","~?"),'DEF_SELF_SCOUT_IMPORT'!$Q$42:$Q$1040,SUBSTITUTE(SUBSTITUTE(SUBSTITUTE($M29,"~","~~"),"*","~*"),"?","~?"),'DEF_SELF_SCOUT_IMPORT'!$J$42:$J$1040,"")&gt;0,"Unscored clean outcome; review result tags before using score.",IF(C29=0,"No matching defensive reps; film confirmation needed.",IF(K29="Explosive Alert","Explosive risk; review clips before using as answer.",IF(C29&lt;=2,"Track only; not enough sample.",IF(C29=3,IF(E29&gt;0,"Sample watch with explosive exposure; review clips and build the sample.",IF(J29&gt;=65,"Good signal, but sample is limited.","Sample watch; review clips and build the sample.")),IF(K29="Problem Call","Problem area; practice or call-sheet review.",IF(K29="Strong Candidate","Strong call-fit candidate; confirm on film.",IF(K29="Good Candidate","Good call-fit signal; confirm on film.","Mixed signal; review fit and execution on film."))))))))</f>
        <v>Mixed signal; review fit and execution on film.</v>
      </c>
      <c r="M29" s="8" t="s">
        <v>39</v>
      </c>
      <c r="N29" s="8"/>
      <c r="O29" s="8"/>
      <c r="P29" s="8"/>
      <c r="Q29" s="8"/>
      <c r="R29" s="8" t="s">
        <v>45</v>
      </c>
      <c r="S29" s="2" t="s">
        <v>41</v>
      </c>
      <c r="T29" s="2">
        <f>IF(C29=0,0,IF(C29&gt;=CALL_LOOKUP_BOARD!$B$7,IF(OR(K29="Problem Call",K29="Explosive Alert"),10000000,20000000),0)+IF(C29&gt;=CALL_LOOKUP_BOARD!$B$7,J29*1000+MIN(C29,999),C29*1000+J29)+0.00998000)</f>
        <v>20063709.00998</v>
      </c>
      <c r="U29" s="2">
        <f>IF(C29=0,"",IF(COUNTIFS($S$10:$S$178,SUBSTITUTE(SUBSTITUTE(SUBSTITUTE(S29,"~","~~"),"*","~*"),"?","~?"),$T$10:$T$178,"&gt;"&amp;T29)=0,S29,""))</f>
        <v/>
      </c>
    </row>
    <row r="30" spans="1:21" ht="38" customHeight="1">
      <c r="A30" s="8" t="s">
        <v>39</v>
      </c>
      <c r="B30" s="8" t="s">
        <v>54</v>
      </c>
      <c r="C30" s="12">
        <f>COUNTIFS('DEF_SELF_SCOUT_IMPORT'!$L$42:$L$1040,"Y",'DEF_SELF_SCOUT_IMPORT'!$E$42:$E$1040,SUBSTITUTE(SUBSTITUTE(SUBSTITUTE($B30,"~","~~"),"*","~*"),"?","~?"),'DEF_SELF_SCOUT_IMPORT'!$Q$42:$Q$1040,SUBSTITUTE(SUBSTITUTE(SUBSTITUTE($M30,"~","~~"),"*","~*"),"?","~?"))</f>
        <v>1</v>
      </c>
      <c r="D30" s="10">
        <f>IF($C30=0,"",SUMIFS('DEF_SELF_SCOUT_IMPORT'!$J$42:$J$1040,'DEF_SELF_SCOUT_IMPORT'!$L$42:$L$1040,"Y",'DEF_SELF_SCOUT_IMPORT'!$E$42:$E$1040,SUBSTITUTE(SUBSTITUTE(SUBSTITUTE($B30,"~","~~"),"*","~*"),"?","~?"),'DEF_SELF_SCOUT_IMPORT'!$Q$42:$Q$1040,SUBSTITUTE(SUBSTITUTE(SUBSTITUTE($M30,"~","~~"),"*","~*"),"?","~?"))/$C30)</f>
        <v>1.0</v>
      </c>
      <c r="E30" s="10">
        <f>IF($C30=0,"",SUMIFS('DEF_SELF_SCOUT_IMPORT'!$K$42:$K$1040,'DEF_SELF_SCOUT_IMPORT'!$L$42:$L$1040,"Y",'DEF_SELF_SCOUT_IMPORT'!$E$42:$E$1040,SUBSTITUTE(SUBSTITUTE(SUBSTITUTE($B30,"~","~~"),"*","~*"),"?","~?"),'DEF_SELF_SCOUT_IMPORT'!$Q$42:$Q$1040,SUBSTITUTE(SUBSTITUTE(SUBSTITUTE($M30,"~","~~"),"*","~*"),"?","~?"))/$C30)</f>
        <v>0.0</v>
      </c>
      <c r="F30" s="11">
        <f>IF($C30=0,"",AVERAGEIFS('DEF_SELF_SCOUT_IMPORT'!$I$42:$I$1040,'DEF_SELF_SCOUT_IMPORT'!$L$42:$L$1040,"Y",'DEF_SELF_SCOUT_IMPORT'!$E$42:$E$1040,SUBSTITUTE(SUBSTITUTE(SUBSTITUTE($B30,"~","~~"),"*","~*"),"?","~?"),'DEF_SELF_SCOUT_IMPORT'!$Q$42:$Q$1040,SUBSTITUTE(SUBSTITUTE(SUBSTITUTE($M30,"~","~~"),"*","~*"),"?","~?")))</f>
        <v>3.0</v>
      </c>
      <c r="G30" s="10">
        <f>IF($C30=0,"",COUNTIFS('DEF_SELF_SCOUT_IMPORT'!$L$42:$L$1040,"Y",'DEF_SELF_SCOUT_IMPORT'!$E$42:$E$1040,SUBSTITUTE(SUBSTITUTE(SUBSTITUTE($B30,"~","~~"),"*","~*"),"?","~?"),'DEF_SELF_SCOUT_IMPORT'!$Q$42:$Q$1040,SUBSTITUTE(SUBSTITUTE(SUBSTITUTE($M30,"~","~~"),"*","~*"),"?","~?"),'DEF_SELF_SCOUT_IMPORT'!$H$42:$H$1040,"RUSH")/$C30)</f>
        <v>0.0</v>
      </c>
      <c r="H30" s="10">
        <f>IF($C30=0,"",COUNTIFS('DEF_SELF_SCOUT_IMPORT'!$L$42:$L$1040,"Y",'DEF_SELF_SCOUT_IMPORT'!$E$42:$E$1040,SUBSTITUTE(SUBSTITUTE(SUBSTITUTE($B30,"~","~~"),"*","~*"),"?","~?"),'DEF_SELF_SCOUT_IMPORT'!$Q$42:$Q$1040,SUBSTITUTE(SUBSTITUTE(SUBSTITUTE($M30,"~","~~"),"*","~*"),"?","~?"),'DEF_SELF_SCOUT_IMPORT'!$H$42:$H$1040,"DROPBACK")/$C30)</f>
        <v>1.0</v>
      </c>
      <c r="I30" s="14" t="str">
        <f>IF(C30=0,"",IF(C30&lt;=2,"TRACK",IF(C30=3,"LOW",IF(C30&lt;=6,"MEDIUM","HIGH"))))</f>
        <v>TRACK</v>
      </c>
      <c r="J30" s="11">
        <f>IF(C30=0,"",ROUND(D30*70+(1-E30)*20+MAX(0,MIN(1,(10-F30)/10))*10,1))</f>
        <v>97.0</v>
      </c>
      <c r="K30" s="14" t="str">
        <f>IF(C30=0,"No Evidence",IF(C30&lt;=2,IF(E30&gt;0,"Explosive Alert","Track Only"),IF(C30=3,"Sample Watch",IF(E30&gt;=START_HERE!$B$31,"Explosive Alert",IF(J30&gt;=80,"Strong Candidate",IF(J30&gt;=65,"Good Candidate",IF(J30&gt;=50,"Mixed / Review","Problem Call")))))))</f>
        <v>Track Only</v>
      </c>
      <c r="L30" s="9" t="str">
        <f>IF(COUNTIFS('DEF_SELF_SCOUT_IMPORT'!$L$42:$L$1040,"Y",'DEF_SELF_SCOUT_IMPORT'!$E$42:$E$1040,SUBSTITUTE(SUBSTITUTE(SUBSTITUTE($B30,"~","~~"),"*","~*"),"?","~?"),'DEF_SELF_SCOUT_IMPORT'!$Q$42:$Q$1040,SUBSTITUTE(SUBSTITUTE(SUBSTITUTE($M30,"~","~~"),"*","~*"),"?","~?"),'DEF_SELF_SCOUT_IMPORT'!$J$42:$J$1040,"")&gt;0,"Unscored clean outcome; review result tags before using score.",IF(C30=0,"No matching defensive reps; film confirmation needed.",IF(K30="Explosive Alert","Explosive risk; review clips before using as answer.",IF(C30&lt;=2,"Track only; not enough sample.",IF(C30=3,IF(E30&gt;0,"Sample watch with explosive exposure; review clips and build the sample.",IF(J30&gt;=65,"Good signal, but sample is limited.","Sample watch; review clips and build the sample.")),IF(K30="Problem Call","Problem area; practice or call-sheet review.",IF(K30="Strong Candidate","Strong call-fit candidate; confirm on film.",IF(K30="Good Candidate","Good call-fit signal; confirm on film.","Mixed signal; review fit and execution on film."))))))))</f>
        <v>Track only; not enough sample.</v>
      </c>
      <c r="M30" s="8" t="s">
        <v>39</v>
      </c>
      <c r="N30" s="8"/>
      <c r="O30" s="8"/>
      <c r="P30" s="8"/>
      <c r="Q30" s="8"/>
      <c r="R30" s="8" t="s">
        <v>28</v>
      </c>
      <c r="S30" s="2" t="s">
        <v>41</v>
      </c>
      <c r="T30" s="2">
        <f>IF(C30=0,0,IF(C30&gt;=CALL_LOOKUP_BOARD!$B$7,IF(OR(K30="Problem Call",K30="Explosive Alert"),10000000,20000000),0)+IF(C30&gt;=CALL_LOOKUP_BOARD!$B$7,J30*1000+MIN(C30,999),C30*1000+J30)+0.00997900)</f>
        <v>1097.009979</v>
      </c>
      <c r="U30" s="2">
        <f>IF(C30=0,"",IF(COUNTIFS($S$10:$S$178,SUBSTITUTE(SUBSTITUTE(SUBSTITUTE(S30,"~","~~"),"*","~*"),"?","~?"),$T$10:$T$178,"&gt;"&amp;T30)=0,S30,""))</f>
        <v/>
      </c>
    </row>
    <row r="31" spans="1:21" ht="38" customHeight="1">
      <c r="A31" s="8" t="s">
        <v>39</v>
      </c>
      <c r="B31" s="8" t="s">
        <v>55</v>
      </c>
      <c r="C31" s="12">
        <f>COUNTIFS('DEF_SELF_SCOUT_IMPORT'!$L$42:$L$1040,"Y",'DEF_SELF_SCOUT_IMPORT'!$E$42:$E$1040,SUBSTITUTE(SUBSTITUTE(SUBSTITUTE($B31,"~","~~"),"*","~*"),"?","~?"),'DEF_SELF_SCOUT_IMPORT'!$Q$42:$Q$1040,SUBSTITUTE(SUBSTITUTE(SUBSTITUTE($M31,"~","~~"),"*","~*"),"?","~?"))</f>
        <v>1</v>
      </c>
      <c r="D31" s="10">
        <f>IF($C31=0,"",SUMIFS('DEF_SELF_SCOUT_IMPORT'!$J$42:$J$1040,'DEF_SELF_SCOUT_IMPORT'!$L$42:$L$1040,"Y",'DEF_SELF_SCOUT_IMPORT'!$E$42:$E$1040,SUBSTITUTE(SUBSTITUTE(SUBSTITUTE($B31,"~","~~"),"*","~*"),"?","~?"),'DEF_SELF_SCOUT_IMPORT'!$Q$42:$Q$1040,SUBSTITUTE(SUBSTITUTE(SUBSTITUTE($M31,"~","~~"),"*","~*"),"?","~?"))/$C31)</f>
        <v>0.0</v>
      </c>
      <c r="E31" s="10">
        <f>IF($C31=0,"",SUMIFS('DEF_SELF_SCOUT_IMPORT'!$K$42:$K$1040,'DEF_SELF_SCOUT_IMPORT'!$L$42:$L$1040,"Y",'DEF_SELF_SCOUT_IMPORT'!$E$42:$E$1040,SUBSTITUTE(SUBSTITUTE(SUBSTITUTE($B31,"~","~~"),"*","~*"),"?","~?"),'DEF_SELF_SCOUT_IMPORT'!$Q$42:$Q$1040,SUBSTITUTE(SUBSTITUTE(SUBSTITUTE($M31,"~","~~"),"*","~*"),"?","~?"))/$C31)</f>
        <v>0.0</v>
      </c>
      <c r="F31" s="11">
        <f>IF($C31=0,"",AVERAGEIFS('DEF_SELF_SCOUT_IMPORT'!$I$42:$I$1040,'DEF_SELF_SCOUT_IMPORT'!$L$42:$L$1040,"Y",'DEF_SELF_SCOUT_IMPORT'!$E$42:$E$1040,SUBSTITUTE(SUBSTITUTE(SUBSTITUTE($B31,"~","~~"),"*","~*"),"?","~?"),'DEF_SELF_SCOUT_IMPORT'!$Q$42:$Q$1040,SUBSTITUTE(SUBSTITUTE(SUBSTITUTE($M31,"~","~~"),"*","~*"),"?","~?")))</f>
        <v>9.0</v>
      </c>
      <c r="G31" s="10">
        <f>IF($C31=0,"",COUNTIFS('DEF_SELF_SCOUT_IMPORT'!$L$42:$L$1040,"Y",'DEF_SELF_SCOUT_IMPORT'!$E$42:$E$1040,SUBSTITUTE(SUBSTITUTE(SUBSTITUTE($B31,"~","~~"),"*","~*"),"?","~?"),'DEF_SELF_SCOUT_IMPORT'!$Q$42:$Q$1040,SUBSTITUTE(SUBSTITUTE(SUBSTITUTE($M31,"~","~~"),"*","~*"),"?","~?"),'DEF_SELF_SCOUT_IMPORT'!$H$42:$H$1040,"RUSH")/$C31)</f>
        <v>1.0</v>
      </c>
      <c r="H31" s="10">
        <f>IF($C31=0,"",COUNTIFS('DEF_SELF_SCOUT_IMPORT'!$L$42:$L$1040,"Y",'DEF_SELF_SCOUT_IMPORT'!$E$42:$E$1040,SUBSTITUTE(SUBSTITUTE(SUBSTITUTE($B31,"~","~~"),"*","~*"),"?","~?"),'DEF_SELF_SCOUT_IMPORT'!$Q$42:$Q$1040,SUBSTITUTE(SUBSTITUTE(SUBSTITUTE($M31,"~","~~"),"*","~*"),"?","~?"),'DEF_SELF_SCOUT_IMPORT'!$H$42:$H$1040,"DROPBACK")/$C31)</f>
        <v>0.0</v>
      </c>
      <c r="I31" s="14" t="str">
        <f>IF(C31=0,"",IF(C31&lt;=2,"TRACK",IF(C31=3,"LOW",IF(C31&lt;=6,"MEDIUM","HIGH"))))</f>
        <v>TRACK</v>
      </c>
      <c r="J31" s="11">
        <f>IF(C31=0,"",ROUND(D31*70+(1-E31)*20+MAX(0,MIN(1,(10-F31)/10))*10,1))</f>
        <v>21.0</v>
      </c>
      <c r="K31" s="14" t="str">
        <f>IF(C31=0,"No Evidence",IF(C31&lt;=2,IF(E31&gt;0,"Explosive Alert","Track Only"),IF(C31=3,"Sample Watch",IF(E31&gt;=START_HERE!$B$31,"Explosive Alert",IF(J31&gt;=80,"Strong Candidate",IF(J31&gt;=65,"Good Candidate",IF(J31&gt;=50,"Mixed / Review","Problem Call")))))))</f>
        <v>Track Only</v>
      </c>
      <c r="L31" s="9" t="str">
        <f>IF(COUNTIFS('DEF_SELF_SCOUT_IMPORT'!$L$42:$L$1040,"Y",'DEF_SELF_SCOUT_IMPORT'!$E$42:$E$1040,SUBSTITUTE(SUBSTITUTE(SUBSTITUTE($B31,"~","~~"),"*","~*"),"?","~?"),'DEF_SELF_SCOUT_IMPORT'!$Q$42:$Q$1040,SUBSTITUTE(SUBSTITUTE(SUBSTITUTE($M31,"~","~~"),"*","~*"),"?","~?"),'DEF_SELF_SCOUT_IMPORT'!$J$42:$J$1040,"")&gt;0,"Unscored clean outcome; review result tags before using score.",IF(C31=0,"No matching defensive reps; film confirmation needed.",IF(K31="Explosive Alert","Explosive risk; review clips before using as answer.",IF(C31&lt;=2,"Track only; not enough sample.",IF(C31=3,IF(E31&gt;0,"Sample watch with explosive exposure; review clips and build the sample.",IF(J31&gt;=65,"Good signal, but sample is limited.","Sample watch; review clips and build the sample.")),IF(K31="Problem Call","Problem area; practice or call-sheet review.",IF(K31="Strong Candidate","Strong call-fit candidate; confirm on film.",IF(K31="Good Candidate","Good call-fit signal; confirm on film.","Mixed signal; review fit and execution on film."))))))))</f>
        <v>Track only; not enough sample.</v>
      </c>
      <c r="M31" s="8" t="s">
        <v>39</v>
      </c>
      <c r="N31" s="8"/>
      <c r="O31" s="8"/>
      <c r="P31" s="8"/>
      <c r="Q31" s="8"/>
      <c r="R31" s="8" t="s">
        <v>28</v>
      </c>
      <c r="S31" s="2" t="s">
        <v>41</v>
      </c>
      <c r="T31" s="2">
        <f>IF(C31=0,0,IF(C31&gt;=CALL_LOOKUP_BOARD!$B$7,IF(OR(K31="Problem Call",K31="Explosive Alert"),10000000,20000000),0)+IF(C31&gt;=CALL_LOOKUP_BOARD!$B$7,J31*1000+MIN(C31,999),C31*1000+J31)+0.00997800)</f>
        <v>1021.009978</v>
      </c>
      <c r="U31" s="2">
        <f>IF(C31=0,"",IF(COUNTIFS($S$10:$S$178,SUBSTITUTE(SUBSTITUTE(SUBSTITUTE(S31,"~","~~"),"*","~*"),"?","~?"),$T$10:$T$178,"&gt;"&amp;T31)=0,S31,""))</f>
        <v/>
      </c>
    </row>
    <row r="32" spans="1:21" ht="38" customHeight="1">
      <c r="A32" s="8" t="s">
        <v>39</v>
      </c>
      <c r="B32" s="8" t="s">
        <v>56</v>
      </c>
      <c r="C32" s="12">
        <f>COUNTIFS('DEF_SELF_SCOUT_IMPORT'!$L$42:$L$1040,"Y",'DEF_SELF_SCOUT_IMPORT'!$E$42:$E$1040,SUBSTITUTE(SUBSTITUTE(SUBSTITUTE($B32,"~","~~"),"*","~*"),"?","~?"),'DEF_SELF_SCOUT_IMPORT'!$Q$42:$Q$1040,SUBSTITUTE(SUBSTITUTE(SUBSTITUTE($M32,"~","~~"),"*","~*"),"?","~?"))</f>
        <v>1</v>
      </c>
      <c r="D32" s="10">
        <f>IF($C32=0,"",SUMIFS('DEF_SELF_SCOUT_IMPORT'!$J$42:$J$1040,'DEF_SELF_SCOUT_IMPORT'!$L$42:$L$1040,"Y",'DEF_SELF_SCOUT_IMPORT'!$E$42:$E$1040,SUBSTITUTE(SUBSTITUTE(SUBSTITUTE($B32,"~","~~"),"*","~*"),"?","~?"),'DEF_SELF_SCOUT_IMPORT'!$Q$42:$Q$1040,SUBSTITUTE(SUBSTITUTE(SUBSTITUTE($M32,"~","~~"),"*","~*"),"?","~?"))/$C32)</f>
        <v>0.0</v>
      </c>
      <c r="E32" s="10">
        <f>IF($C32=0,"",SUMIFS('DEF_SELF_SCOUT_IMPORT'!$K$42:$K$1040,'DEF_SELF_SCOUT_IMPORT'!$L$42:$L$1040,"Y",'DEF_SELF_SCOUT_IMPORT'!$E$42:$E$1040,SUBSTITUTE(SUBSTITUTE(SUBSTITUTE($B32,"~","~~"),"*","~*"),"?","~?"),'DEF_SELF_SCOUT_IMPORT'!$Q$42:$Q$1040,SUBSTITUTE(SUBSTITUTE(SUBSTITUTE($M32,"~","~~"),"*","~*"),"?","~?"))/$C32)</f>
        <v>0.0</v>
      </c>
      <c r="F32" s="11">
        <f>IF($C32=0,"",AVERAGEIFS('DEF_SELF_SCOUT_IMPORT'!$I$42:$I$1040,'DEF_SELF_SCOUT_IMPORT'!$L$42:$L$1040,"Y",'DEF_SELF_SCOUT_IMPORT'!$E$42:$E$1040,SUBSTITUTE(SUBSTITUTE(SUBSTITUTE($B32,"~","~~"),"*","~*"),"?","~?"),'DEF_SELF_SCOUT_IMPORT'!$Q$42:$Q$1040,SUBSTITUTE(SUBSTITUTE(SUBSTITUTE($M32,"~","~~"),"*","~*"),"?","~?")))</f>
        <v>4.0</v>
      </c>
      <c r="G32" s="10">
        <f>IF($C32=0,"",COUNTIFS('DEF_SELF_SCOUT_IMPORT'!$L$42:$L$1040,"Y",'DEF_SELF_SCOUT_IMPORT'!$E$42:$E$1040,SUBSTITUTE(SUBSTITUTE(SUBSTITUTE($B32,"~","~~"),"*","~*"),"?","~?"),'DEF_SELF_SCOUT_IMPORT'!$Q$42:$Q$1040,SUBSTITUTE(SUBSTITUTE(SUBSTITUTE($M32,"~","~~"),"*","~*"),"?","~?"),'DEF_SELF_SCOUT_IMPORT'!$H$42:$H$1040,"RUSH")/$C32)</f>
        <v>1.0</v>
      </c>
      <c r="H32" s="10">
        <f>IF($C32=0,"",COUNTIFS('DEF_SELF_SCOUT_IMPORT'!$L$42:$L$1040,"Y",'DEF_SELF_SCOUT_IMPORT'!$E$42:$E$1040,SUBSTITUTE(SUBSTITUTE(SUBSTITUTE($B32,"~","~~"),"*","~*"),"?","~?"),'DEF_SELF_SCOUT_IMPORT'!$Q$42:$Q$1040,SUBSTITUTE(SUBSTITUTE(SUBSTITUTE($M32,"~","~~"),"*","~*"),"?","~?"),'DEF_SELF_SCOUT_IMPORT'!$H$42:$H$1040,"DROPBACK")/$C32)</f>
        <v>0.0</v>
      </c>
      <c r="I32" s="14" t="str">
        <f>IF(C32=0,"",IF(C32&lt;=2,"TRACK",IF(C32=3,"LOW",IF(C32&lt;=6,"MEDIUM","HIGH"))))</f>
        <v>TRACK</v>
      </c>
      <c r="J32" s="11">
        <f>IF(C32=0,"",ROUND(D32*70+(1-E32)*20+MAX(0,MIN(1,(10-F32)/10))*10,1))</f>
        <v>26.0</v>
      </c>
      <c r="K32" s="14" t="str">
        <f>IF(C32=0,"No Evidence",IF(C32&lt;=2,IF(E32&gt;0,"Explosive Alert","Track Only"),IF(C32=3,"Sample Watch",IF(E32&gt;=START_HERE!$B$31,"Explosive Alert",IF(J32&gt;=80,"Strong Candidate",IF(J32&gt;=65,"Good Candidate",IF(J32&gt;=50,"Mixed / Review","Problem Call")))))))</f>
        <v>Track Only</v>
      </c>
      <c r="L32" s="9" t="str">
        <f>IF(COUNTIFS('DEF_SELF_SCOUT_IMPORT'!$L$42:$L$1040,"Y",'DEF_SELF_SCOUT_IMPORT'!$E$42:$E$1040,SUBSTITUTE(SUBSTITUTE(SUBSTITUTE($B32,"~","~~"),"*","~*"),"?","~?"),'DEF_SELF_SCOUT_IMPORT'!$Q$42:$Q$1040,SUBSTITUTE(SUBSTITUTE(SUBSTITUTE($M32,"~","~~"),"*","~*"),"?","~?"),'DEF_SELF_SCOUT_IMPORT'!$J$42:$J$1040,"")&gt;0,"Unscored clean outcome; review result tags before using score.",IF(C32=0,"No matching defensive reps; film confirmation needed.",IF(K32="Explosive Alert","Explosive risk; review clips before using as answer.",IF(C32&lt;=2,"Track only; not enough sample.",IF(C32=3,IF(E32&gt;0,"Sample watch with explosive exposure; review clips and build the sample.",IF(J32&gt;=65,"Good signal, but sample is limited.","Sample watch; review clips and build the sample.")),IF(K32="Problem Call","Problem area; practice or call-sheet review.",IF(K32="Strong Candidate","Strong call-fit candidate; confirm on film.",IF(K32="Good Candidate","Good call-fit signal; confirm on film.","Mixed signal; review fit and execution on film."))))))))</f>
        <v>Track only; not enough sample.</v>
      </c>
      <c r="M32" s="8" t="s">
        <v>39</v>
      </c>
      <c r="N32" s="8"/>
      <c r="O32" s="8"/>
      <c r="P32" s="8"/>
      <c r="Q32" s="8"/>
      <c r="R32" s="8" t="s">
        <v>28</v>
      </c>
      <c r="S32" s="2" t="s">
        <v>41</v>
      </c>
      <c r="T32" s="2">
        <f>IF(C32=0,0,IF(C32&gt;=CALL_LOOKUP_BOARD!$B$7,IF(OR(K32="Problem Call",K32="Explosive Alert"),10000000,20000000),0)+IF(C32&gt;=CALL_LOOKUP_BOARD!$B$7,J32*1000+MIN(C32,999),C32*1000+J32)+0.00997700)</f>
        <v>1026.009977</v>
      </c>
      <c r="U32" s="2">
        <f>IF(C32=0,"",IF(COUNTIFS($S$10:$S$178,SUBSTITUTE(SUBSTITUTE(SUBSTITUTE(S32,"~","~~"),"*","~*"),"?","~?"),$T$10:$T$178,"&gt;"&amp;T32)=0,S32,""))</f>
        <v/>
      </c>
    </row>
    <row r="33" spans="1:21" ht="38" customHeight="1">
      <c r="A33" s="8" t="s">
        <v>39</v>
      </c>
      <c r="B33" s="8" t="s">
        <v>57</v>
      </c>
      <c r="C33" s="12">
        <f>COUNTIFS('DEF_SELF_SCOUT_IMPORT'!$L$42:$L$1040,"Y",'DEF_SELF_SCOUT_IMPORT'!$E$42:$E$1040,SUBSTITUTE(SUBSTITUTE(SUBSTITUTE($B33,"~","~~"),"*","~*"),"?","~?"),'DEF_SELF_SCOUT_IMPORT'!$Q$42:$Q$1040,SUBSTITUTE(SUBSTITUTE(SUBSTITUTE($M33,"~","~~"),"*","~*"),"?","~?"))</f>
        <v>1</v>
      </c>
      <c r="D33" s="10">
        <f>IF($C33=0,"",SUMIFS('DEF_SELF_SCOUT_IMPORT'!$J$42:$J$1040,'DEF_SELF_SCOUT_IMPORT'!$L$42:$L$1040,"Y",'DEF_SELF_SCOUT_IMPORT'!$E$42:$E$1040,SUBSTITUTE(SUBSTITUTE(SUBSTITUTE($B33,"~","~~"),"*","~*"),"?","~?"),'DEF_SELF_SCOUT_IMPORT'!$Q$42:$Q$1040,SUBSTITUTE(SUBSTITUTE(SUBSTITUTE($M33,"~","~~"),"*","~*"),"?","~?"))/$C33)</f>
        <v>0.0</v>
      </c>
      <c r="E33" s="10">
        <f>IF($C33=0,"",SUMIFS('DEF_SELF_SCOUT_IMPORT'!$K$42:$K$1040,'DEF_SELF_SCOUT_IMPORT'!$L$42:$L$1040,"Y",'DEF_SELF_SCOUT_IMPORT'!$E$42:$E$1040,SUBSTITUTE(SUBSTITUTE(SUBSTITUTE($B33,"~","~~"),"*","~*"),"?","~?"),'DEF_SELF_SCOUT_IMPORT'!$Q$42:$Q$1040,SUBSTITUTE(SUBSTITUTE(SUBSTITUTE($M33,"~","~~"),"*","~*"),"?","~?"))/$C33)</f>
        <v>0.0</v>
      </c>
      <c r="F33" s="11">
        <f>IF($C33=0,"",AVERAGEIFS('DEF_SELF_SCOUT_IMPORT'!$I$42:$I$1040,'DEF_SELF_SCOUT_IMPORT'!$L$42:$L$1040,"Y",'DEF_SELF_SCOUT_IMPORT'!$E$42:$E$1040,SUBSTITUTE(SUBSTITUTE(SUBSTITUTE($B33,"~","~~"),"*","~*"),"?","~?"),'DEF_SELF_SCOUT_IMPORT'!$Q$42:$Q$1040,SUBSTITUTE(SUBSTITUTE(SUBSTITUTE($M33,"~","~~"),"*","~*"),"?","~?")))</f>
        <v>13.0</v>
      </c>
      <c r="G33" s="10">
        <f>IF($C33=0,"",COUNTIFS('DEF_SELF_SCOUT_IMPORT'!$L$42:$L$1040,"Y",'DEF_SELF_SCOUT_IMPORT'!$E$42:$E$1040,SUBSTITUTE(SUBSTITUTE(SUBSTITUTE($B33,"~","~~"),"*","~*"),"?","~?"),'DEF_SELF_SCOUT_IMPORT'!$Q$42:$Q$1040,SUBSTITUTE(SUBSTITUTE(SUBSTITUTE($M33,"~","~~"),"*","~*"),"?","~?"),'DEF_SELF_SCOUT_IMPORT'!$H$42:$H$1040,"RUSH")/$C33)</f>
        <v>0.0</v>
      </c>
      <c r="H33" s="10">
        <f>IF($C33=0,"",COUNTIFS('DEF_SELF_SCOUT_IMPORT'!$L$42:$L$1040,"Y",'DEF_SELF_SCOUT_IMPORT'!$E$42:$E$1040,SUBSTITUTE(SUBSTITUTE(SUBSTITUTE($B33,"~","~~"),"*","~*"),"?","~?"),'DEF_SELF_SCOUT_IMPORT'!$Q$42:$Q$1040,SUBSTITUTE(SUBSTITUTE(SUBSTITUTE($M33,"~","~~"),"*","~*"),"?","~?"),'DEF_SELF_SCOUT_IMPORT'!$H$42:$H$1040,"DROPBACK")/$C33)</f>
        <v>1.0</v>
      </c>
      <c r="I33" s="14" t="str">
        <f>IF(C33=0,"",IF(C33&lt;=2,"TRACK",IF(C33=3,"LOW",IF(C33&lt;=6,"MEDIUM","HIGH"))))</f>
        <v>TRACK</v>
      </c>
      <c r="J33" s="11">
        <f>IF(C33=0,"",ROUND(D33*70+(1-E33)*20+MAX(0,MIN(1,(10-F33)/10))*10,1))</f>
        <v>20.0</v>
      </c>
      <c r="K33" s="14" t="str">
        <f>IF(C33=0,"No Evidence",IF(C33&lt;=2,IF(E33&gt;0,"Explosive Alert","Track Only"),IF(C33=3,"Sample Watch",IF(E33&gt;=START_HERE!$B$31,"Explosive Alert",IF(J33&gt;=80,"Strong Candidate",IF(J33&gt;=65,"Good Candidate",IF(J33&gt;=50,"Mixed / Review","Problem Call")))))))</f>
        <v>Track Only</v>
      </c>
      <c r="L33" s="9" t="str">
        <f>IF(COUNTIFS('DEF_SELF_SCOUT_IMPORT'!$L$42:$L$1040,"Y",'DEF_SELF_SCOUT_IMPORT'!$E$42:$E$1040,SUBSTITUTE(SUBSTITUTE(SUBSTITUTE($B33,"~","~~"),"*","~*"),"?","~?"),'DEF_SELF_SCOUT_IMPORT'!$Q$42:$Q$1040,SUBSTITUTE(SUBSTITUTE(SUBSTITUTE($M33,"~","~~"),"*","~*"),"?","~?"),'DEF_SELF_SCOUT_IMPORT'!$J$42:$J$1040,"")&gt;0,"Unscored clean outcome; review result tags before using score.",IF(C33=0,"No matching defensive reps; film confirmation needed.",IF(K33="Explosive Alert","Explosive risk; review clips before using as answer.",IF(C33&lt;=2,"Track only; not enough sample.",IF(C33=3,IF(E33&gt;0,"Sample watch with explosive exposure; review clips and build the sample.",IF(J33&gt;=65,"Good signal, but sample is limited.","Sample watch; review clips and build the sample.")),IF(K33="Problem Call","Problem area; practice or call-sheet review.",IF(K33="Strong Candidate","Strong call-fit candidate; confirm on film.",IF(K33="Good Candidate","Good call-fit signal; confirm on film.","Mixed signal; review fit and execution on film."))))))))</f>
        <v>Track only; not enough sample.</v>
      </c>
      <c r="M33" s="8" t="s">
        <v>39</v>
      </c>
      <c r="N33" s="8"/>
      <c r="O33" s="8"/>
      <c r="P33" s="8"/>
      <c r="Q33" s="8"/>
      <c r="R33" s="8" t="s">
        <v>28</v>
      </c>
      <c r="S33" s="2" t="s">
        <v>41</v>
      </c>
      <c r="T33" s="2">
        <f>IF(C33=0,0,IF(C33&gt;=CALL_LOOKUP_BOARD!$B$7,IF(OR(K33="Problem Call",K33="Explosive Alert"),10000000,20000000),0)+IF(C33&gt;=CALL_LOOKUP_BOARD!$B$7,J33*1000+MIN(C33,999),C33*1000+J33)+0.00997600)</f>
        <v>1020.009976</v>
      </c>
      <c r="U33" s="2">
        <f>IF(C33=0,"",IF(COUNTIFS($S$10:$S$178,SUBSTITUTE(SUBSTITUTE(SUBSTITUTE(S33,"~","~~"),"*","~*"),"?","~?"),$T$10:$T$178,"&gt;"&amp;T33)=0,S33,""))</f>
        <v/>
      </c>
    </row>
    <row r="34" spans="1:21" ht="38" customHeight="1">
      <c r="A34" s="8" t="s">
        <v>39</v>
      </c>
      <c r="B34" s="8" t="s">
        <v>58</v>
      </c>
      <c r="C34" s="12">
        <f>COUNTIFS('DEF_SELF_SCOUT_IMPORT'!$L$42:$L$1040,"Y",'DEF_SELF_SCOUT_IMPORT'!$E$42:$E$1040,SUBSTITUTE(SUBSTITUTE(SUBSTITUTE($B34,"~","~~"),"*","~*"),"?","~?"),'DEF_SELF_SCOUT_IMPORT'!$Q$42:$Q$1040,SUBSTITUTE(SUBSTITUTE(SUBSTITUTE($M34,"~","~~"),"*","~*"),"?","~?"))</f>
        <v>3</v>
      </c>
      <c r="D34" s="10">
        <f>IF($C34=0,"",SUMIFS('DEF_SELF_SCOUT_IMPORT'!$J$42:$J$1040,'DEF_SELF_SCOUT_IMPORT'!$L$42:$L$1040,"Y",'DEF_SELF_SCOUT_IMPORT'!$E$42:$E$1040,SUBSTITUTE(SUBSTITUTE(SUBSTITUTE($B34,"~","~~"),"*","~*"),"?","~?"),'DEF_SELF_SCOUT_IMPORT'!$Q$42:$Q$1040,SUBSTITUTE(SUBSTITUTE(SUBSTITUTE($M34,"~","~~"),"*","~*"),"?","~?"))/$C34)</f>
        <v>1.0</v>
      </c>
      <c r="E34" s="10">
        <f>IF($C34=0,"",SUMIFS('DEF_SELF_SCOUT_IMPORT'!$K$42:$K$1040,'DEF_SELF_SCOUT_IMPORT'!$L$42:$L$1040,"Y",'DEF_SELF_SCOUT_IMPORT'!$E$42:$E$1040,SUBSTITUTE(SUBSTITUTE(SUBSTITUTE($B34,"~","~~"),"*","~*"),"?","~?"),'DEF_SELF_SCOUT_IMPORT'!$Q$42:$Q$1040,SUBSTITUTE(SUBSTITUTE(SUBSTITUTE($M34,"~","~~"),"*","~*"),"?","~?"))/$C34)</f>
        <v>0.0</v>
      </c>
      <c r="F34" s="11">
        <f>IF($C34=0,"",AVERAGEIFS('DEF_SELF_SCOUT_IMPORT'!$I$42:$I$1040,'DEF_SELF_SCOUT_IMPORT'!$L$42:$L$1040,"Y",'DEF_SELF_SCOUT_IMPORT'!$E$42:$E$1040,SUBSTITUTE(SUBSTITUTE(SUBSTITUTE($B34,"~","~~"),"*","~*"),"?","~?"),'DEF_SELF_SCOUT_IMPORT'!$Q$42:$Q$1040,SUBSTITUTE(SUBSTITUTE(SUBSTITUTE($M34,"~","~~"),"*","~*"),"?","~?")))</f>
        <v>0.3333333333333333</v>
      </c>
      <c r="G34" s="10">
        <f>IF($C34=0,"",COUNTIFS('DEF_SELF_SCOUT_IMPORT'!$L$42:$L$1040,"Y",'DEF_SELF_SCOUT_IMPORT'!$E$42:$E$1040,SUBSTITUTE(SUBSTITUTE(SUBSTITUTE($B34,"~","~~"),"*","~*"),"?","~?"),'DEF_SELF_SCOUT_IMPORT'!$Q$42:$Q$1040,SUBSTITUTE(SUBSTITUTE(SUBSTITUTE($M34,"~","~~"),"*","~*"),"?","~?"),'DEF_SELF_SCOUT_IMPORT'!$H$42:$H$1040,"RUSH")/$C34)</f>
        <v>0.3333333333333333</v>
      </c>
      <c r="H34" s="10">
        <f>IF($C34=0,"",COUNTIFS('DEF_SELF_SCOUT_IMPORT'!$L$42:$L$1040,"Y",'DEF_SELF_SCOUT_IMPORT'!$E$42:$E$1040,SUBSTITUTE(SUBSTITUTE(SUBSTITUTE($B34,"~","~~"),"*","~*"),"?","~?"),'DEF_SELF_SCOUT_IMPORT'!$Q$42:$Q$1040,SUBSTITUTE(SUBSTITUTE(SUBSTITUTE($M34,"~","~~"),"*","~*"),"?","~?"),'DEF_SELF_SCOUT_IMPORT'!$H$42:$H$1040,"DROPBACK")/$C34)</f>
        <v>0.6666666666666666</v>
      </c>
      <c r="I34" s="14" t="str">
        <f>IF(C34=0,"",IF(C34&lt;=2,"TRACK",IF(C34=3,"LOW",IF(C34&lt;=6,"MEDIUM","HIGH"))))</f>
        <v>LOW</v>
      </c>
      <c r="J34" s="11">
        <f>IF(C34=0,"",ROUND(D34*70+(1-E34)*20+MAX(0,MIN(1,(10-F34)/10))*10,1))</f>
        <v>99.7</v>
      </c>
      <c r="K34" s="14" t="str">
        <f>IF(C34=0,"No Evidence",IF(C34&lt;=2,IF(E34&gt;0,"Explosive Alert","Track Only"),IF(C34=3,"Sample Watch",IF(E34&gt;=START_HERE!$B$31,"Explosive Alert",IF(J34&gt;=80,"Strong Candidate",IF(J34&gt;=65,"Good Candidate",IF(J34&gt;=50,"Mixed / Review","Problem Call")))))))</f>
        <v>Sample Watch</v>
      </c>
      <c r="L34" s="9" t="str">
        <f>IF(COUNTIFS('DEF_SELF_SCOUT_IMPORT'!$L$42:$L$1040,"Y",'DEF_SELF_SCOUT_IMPORT'!$E$42:$E$1040,SUBSTITUTE(SUBSTITUTE(SUBSTITUTE($B34,"~","~~"),"*","~*"),"?","~?"),'DEF_SELF_SCOUT_IMPORT'!$Q$42:$Q$1040,SUBSTITUTE(SUBSTITUTE(SUBSTITUTE($M34,"~","~~"),"*","~*"),"?","~?"),'DEF_SELF_SCOUT_IMPORT'!$J$42:$J$1040,"")&gt;0,"Unscored clean outcome; review result tags before using score.",IF(C34=0,"No matching defensive reps; film confirmation needed.",IF(K34="Explosive Alert","Explosive risk; review clips before using as answer.",IF(C34&lt;=2,"Track only; not enough sample.",IF(C34=3,IF(E34&gt;0,"Sample watch with explosive exposure; review clips and build the sample.",IF(J34&gt;=65,"Good signal, but sample is limited.","Sample watch; review clips and build the sample.")),IF(K34="Problem Call","Problem area; practice or call-sheet review.",IF(K34="Strong Candidate","Strong call-fit candidate; confirm on film.",IF(K34="Good Candidate","Good call-fit signal; confirm on film.","Mixed signal; review fit and execution on film."))))))))</f>
        <v>Good signal, but sample is limited.</v>
      </c>
      <c r="M34" s="8" t="s">
        <v>39</v>
      </c>
      <c r="N34" s="8"/>
      <c r="O34" s="8"/>
      <c r="P34" s="8"/>
      <c r="Q34" s="8"/>
      <c r="R34" s="8" t="s">
        <v>28</v>
      </c>
      <c r="S34" s="2" t="s">
        <v>41</v>
      </c>
      <c r="T34" s="2">
        <f>IF(C34=0,0,IF(C34&gt;=CALL_LOOKUP_BOARD!$B$7,IF(OR(K34="Problem Call",K34="Explosive Alert"),10000000,20000000),0)+IF(C34&gt;=CALL_LOOKUP_BOARD!$B$7,J34*1000+MIN(C34,999),C34*1000+J34)+0.00997500)</f>
        <v>3099.7099749999998</v>
      </c>
      <c r="U34" s="2">
        <f>IF(C34=0,"",IF(COUNTIFS($S$10:$S$178,SUBSTITUTE(SUBSTITUTE(SUBSTITUTE(S34,"~","~~"),"*","~*"),"?","~?"),$T$10:$T$178,"&gt;"&amp;T34)=0,S34,""))</f>
        <v/>
      </c>
    </row>
    <row r="35" spans="1:21" ht="38" customHeight="1">
      <c r="A35" s="8" t="s">
        <v>39</v>
      </c>
      <c r="B35" s="8" t="s">
        <v>35</v>
      </c>
      <c r="C35" s="12">
        <f>COUNTIFS('DEF_SELF_SCOUT_IMPORT'!$L$42:$L$1040,"Y",'DEF_SELF_SCOUT_IMPORT'!$E$42:$E$1040,SUBSTITUTE(SUBSTITUTE(SUBSTITUTE($B35,"~","~~"),"*","~*"),"?","~?"),'DEF_SELF_SCOUT_IMPORT'!$Q$42:$Q$1040,SUBSTITUTE(SUBSTITUTE(SUBSTITUTE($M35,"~","~~"),"*","~*"),"?","~?"))</f>
        <v>4</v>
      </c>
      <c r="D35" s="10">
        <f>IF($C35=0,"",SUMIFS('DEF_SELF_SCOUT_IMPORT'!$J$42:$J$1040,'DEF_SELF_SCOUT_IMPORT'!$L$42:$L$1040,"Y",'DEF_SELF_SCOUT_IMPORT'!$E$42:$E$1040,SUBSTITUTE(SUBSTITUTE(SUBSTITUTE($B35,"~","~~"),"*","~*"),"?","~?"),'DEF_SELF_SCOUT_IMPORT'!$Q$42:$Q$1040,SUBSTITUTE(SUBSTITUTE(SUBSTITUTE($M35,"~","~~"),"*","~*"),"?","~?"))/$C35)</f>
        <v>1.0</v>
      </c>
      <c r="E35" s="10">
        <f>IF($C35=0,"",SUMIFS('DEF_SELF_SCOUT_IMPORT'!$K$42:$K$1040,'DEF_SELF_SCOUT_IMPORT'!$L$42:$L$1040,"Y",'DEF_SELF_SCOUT_IMPORT'!$E$42:$E$1040,SUBSTITUTE(SUBSTITUTE(SUBSTITUTE($B35,"~","~~"),"*","~*"),"?","~?"),'DEF_SELF_SCOUT_IMPORT'!$Q$42:$Q$1040,SUBSTITUTE(SUBSTITUTE(SUBSTITUTE($M35,"~","~~"),"*","~*"),"?","~?"))/$C35)</f>
        <v>0.0</v>
      </c>
      <c r="F35" s="11">
        <f>IF($C35=0,"",AVERAGEIFS('DEF_SELF_SCOUT_IMPORT'!$I$42:$I$1040,'DEF_SELF_SCOUT_IMPORT'!$L$42:$L$1040,"Y",'DEF_SELF_SCOUT_IMPORT'!$E$42:$E$1040,SUBSTITUTE(SUBSTITUTE(SUBSTITUTE($B35,"~","~~"),"*","~*"),"?","~?"),'DEF_SELF_SCOUT_IMPORT'!$Q$42:$Q$1040,SUBSTITUTE(SUBSTITUTE(SUBSTITUTE($M35,"~","~~"),"*","~*"),"?","~?")))</f>
        <v>0.5</v>
      </c>
      <c r="G35" s="10">
        <f>IF($C35=0,"",COUNTIFS('DEF_SELF_SCOUT_IMPORT'!$L$42:$L$1040,"Y",'DEF_SELF_SCOUT_IMPORT'!$E$42:$E$1040,SUBSTITUTE(SUBSTITUTE(SUBSTITUTE($B35,"~","~~"),"*","~*"),"?","~?"),'DEF_SELF_SCOUT_IMPORT'!$Q$42:$Q$1040,SUBSTITUTE(SUBSTITUTE(SUBSTITUTE($M35,"~","~~"),"*","~*"),"?","~?"),'DEF_SELF_SCOUT_IMPORT'!$H$42:$H$1040,"RUSH")/$C35)</f>
        <v>0.0</v>
      </c>
      <c r="H35" s="10">
        <f>IF($C35=0,"",COUNTIFS('DEF_SELF_SCOUT_IMPORT'!$L$42:$L$1040,"Y",'DEF_SELF_SCOUT_IMPORT'!$E$42:$E$1040,SUBSTITUTE(SUBSTITUTE(SUBSTITUTE($B35,"~","~~"),"*","~*"),"?","~?"),'DEF_SELF_SCOUT_IMPORT'!$Q$42:$Q$1040,SUBSTITUTE(SUBSTITUTE(SUBSTITUTE($M35,"~","~~"),"*","~*"),"?","~?"),'DEF_SELF_SCOUT_IMPORT'!$H$42:$H$1040,"DROPBACK")/$C35)</f>
        <v>1.0</v>
      </c>
      <c r="I35" s="14" t="str">
        <f>IF(C35=0,"",IF(C35&lt;=2,"TRACK",IF(C35=3,"LOW",IF(C35&lt;=6,"MEDIUM","HIGH"))))</f>
        <v>MEDIUM</v>
      </c>
      <c r="J35" s="11">
        <f>IF(C35=0,"",ROUND(D35*70+(1-E35)*20+MAX(0,MIN(1,(10-F35)/10))*10,1))</f>
        <v>99.5</v>
      </c>
      <c r="K35" s="14" t="str">
        <f>IF(C35=0,"No Evidence",IF(C35&lt;=2,IF(E35&gt;0,"Explosive Alert","Track Only"),IF(C35=3,"Sample Watch",IF(E35&gt;=START_HERE!$B$31,"Explosive Alert",IF(J35&gt;=80,"Strong Candidate",IF(J35&gt;=65,"Good Candidate",IF(J35&gt;=50,"Mixed / Review","Problem Call")))))))</f>
        <v>Strong Candidate</v>
      </c>
      <c r="L35" s="9" t="str">
        <f>IF(COUNTIFS('DEF_SELF_SCOUT_IMPORT'!$L$42:$L$1040,"Y",'DEF_SELF_SCOUT_IMPORT'!$E$42:$E$1040,SUBSTITUTE(SUBSTITUTE(SUBSTITUTE($B35,"~","~~"),"*","~*"),"?","~?"),'DEF_SELF_SCOUT_IMPORT'!$Q$42:$Q$1040,SUBSTITUTE(SUBSTITUTE(SUBSTITUTE($M35,"~","~~"),"*","~*"),"?","~?"),'DEF_SELF_SCOUT_IMPORT'!$J$42:$J$1040,"")&gt;0,"Unscored clean outcome; review result tags before using score.",IF(C35=0,"No matching defensive reps; film confirmation needed.",IF(K35="Explosive Alert","Explosive risk; review clips before using as answer.",IF(C35&lt;=2,"Track only; not enough sample.",IF(C35=3,IF(E35&gt;0,"Sample watch with explosive exposure; review clips and build the sample.",IF(J35&gt;=65,"Good signal, but sample is limited.","Sample watch; review clips and build the sample.")),IF(K35="Problem Call","Problem area; practice or call-sheet review.",IF(K35="Strong Candidate","Strong call-fit candidate; confirm on film.",IF(K35="Good Candidate","Good call-fit signal; confirm on film.","Mixed signal; review fit and execution on film."))))))))</f>
        <v>Strong call-fit candidate; confirm on film.</v>
      </c>
      <c r="M35" s="8" t="s">
        <v>39</v>
      </c>
      <c r="N35" s="8"/>
      <c r="O35" s="8"/>
      <c r="P35" s="8"/>
      <c r="Q35" s="8"/>
      <c r="R35" s="8" t="s">
        <v>45</v>
      </c>
      <c r="S35" s="2" t="s">
        <v>41</v>
      </c>
      <c r="T35" s="2">
        <f>IF(C35=0,0,IF(C35&gt;=CALL_LOOKUP_BOARD!$B$7,IF(OR(K35="Problem Call",K35="Explosive Alert"),10000000,20000000),0)+IF(C35&gt;=CALL_LOOKUP_BOARD!$B$7,J35*1000+MIN(C35,999),C35*1000+J35)+0.00997400)</f>
        <v>20099504.009974</v>
      </c>
      <c r="U35" s="2" t="str">
        <f>IF(C35=0,"",IF(COUNTIFS($S$10:$S$178,SUBSTITUTE(SUBSTITUTE(SUBSTITUTE(S35,"~","~~"),"*","~*"),"?","~?"),$T$10:$T$178,"&gt;"&amp;T35)=0,S35,""))</f>
        <v>7:1D 7-10|</v>
      </c>
    </row>
    <row r="36" spans="1:21" ht="38" customHeight="1">
      <c r="A36" s="8" t="s">
        <v>39</v>
      </c>
      <c r="B36" s="8" t="s">
        <v>59</v>
      </c>
      <c r="C36" s="12">
        <f>COUNTIFS('DEF_SELF_SCOUT_IMPORT'!$L$42:$L$1040,"Y",'DEF_SELF_SCOUT_IMPORT'!$E$42:$E$1040,SUBSTITUTE(SUBSTITUTE(SUBSTITUTE($B36,"~","~~"),"*","~*"),"?","~?"),'DEF_SELF_SCOUT_IMPORT'!$Q$42:$Q$1040,SUBSTITUTE(SUBSTITUTE(SUBSTITUTE($M36,"~","~~"),"*","~*"),"?","~?"))</f>
        <v>1</v>
      </c>
      <c r="D36" s="10">
        <f>IF($C36=0,"",SUMIFS('DEF_SELF_SCOUT_IMPORT'!$J$42:$J$1040,'DEF_SELF_SCOUT_IMPORT'!$L$42:$L$1040,"Y",'DEF_SELF_SCOUT_IMPORT'!$E$42:$E$1040,SUBSTITUTE(SUBSTITUTE(SUBSTITUTE($B36,"~","~~"),"*","~*"),"?","~?"),'DEF_SELF_SCOUT_IMPORT'!$Q$42:$Q$1040,SUBSTITUTE(SUBSTITUTE(SUBSTITUTE($M36,"~","~~"),"*","~*"),"?","~?"))/$C36)</f>
        <v>0.0</v>
      </c>
      <c r="E36" s="10">
        <f>IF($C36=0,"",SUMIFS('DEF_SELF_SCOUT_IMPORT'!$K$42:$K$1040,'DEF_SELF_SCOUT_IMPORT'!$L$42:$L$1040,"Y",'DEF_SELF_SCOUT_IMPORT'!$E$42:$E$1040,SUBSTITUTE(SUBSTITUTE(SUBSTITUTE($B36,"~","~~"),"*","~*"),"?","~?"),'DEF_SELF_SCOUT_IMPORT'!$Q$42:$Q$1040,SUBSTITUTE(SUBSTITUTE(SUBSTITUTE($M36,"~","~~"),"*","~*"),"?","~?"))/$C36)</f>
        <v>1.0</v>
      </c>
      <c r="F36" s="11">
        <f>IF($C36=0,"",AVERAGEIFS('DEF_SELF_SCOUT_IMPORT'!$I$42:$I$1040,'DEF_SELF_SCOUT_IMPORT'!$L$42:$L$1040,"Y",'DEF_SELF_SCOUT_IMPORT'!$E$42:$E$1040,SUBSTITUTE(SUBSTITUTE(SUBSTITUTE($B36,"~","~~"),"*","~*"),"?","~?"),'DEF_SELF_SCOUT_IMPORT'!$Q$42:$Q$1040,SUBSTITUTE(SUBSTITUTE(SUBSTITUTE($M36,"~","~~"),"*","~*"),"?","~?")))</f>
        <v>16.0</v>
      </c>
      <c r="G36" s="10">
        <f>IF($C36=0,"",COUNTIFS('DEF_SELF_SCOUT_IMPORT'!$L$42:$L$1040,"Y",'DEF_SELF_SCOUT_IMPORT'!$E$42:$E$1040,SUBSTITUTE(SUBSTITUTE(SUBSTITUTE($B36,"~","~~"),"*","~*"),"?","~?"),'DEF_SELF_SCOUT_IMPORT'!$Q$42:$Q$1040,SUBSTITUTE(SUBSTITUTE(SUBSTITUTE($M36,"~","~~"),"*","~*"),"?","~?"),'DEF_SELF_SCOUT_IMPORT'!$H$42:$H$1040,"RUSH")/$C36)</f>
        <v>1.0</v>
      </c>
      <c r="H36" s="10">
        <f>IF($C36=0,"",COUNTIFS('DEF_SELF_SCOUT_IMPORT'!$L$42:$L$1040,"Y",'DEF_SELF_SCOUT_IMPORT'!$E$42:$E$1040,SUBSTITUTE(SUBSTITUTE(SUBSTITUTE($B36,"~","~~"),"*","~*"),"?","~?"),'DEF_SELF_SCOUT_IMPORT'!$Q$42:$Q$1040,SUBSTITUTE(SUBSTITUTE(SUBSTITUTE($M36,"~","~~"),"*","~*"),"?","~?"),'DEF_SELF_SCOUT_IMPORT'!$H$42:$H$1040,"DROPBACK")/$C36)</f>
        <v>0.0</v>
      </c>
      <c r="I36" s="14" t="str">
        <f>IF(C36=0,"",IF(C36&lt;=2,"TRACK",IF(C36=3,"LOW",IF(C36&lt;=6,"MEDIUM","HIGH"))))</f>
        <v>TRACK</v>
      </c>
      <c r="J36" s="11">
        <f>IF(C36=0,"",ROUND(D36*70+(1-E36)*20+MAX(0,MIN(1,(10-F36)/10))*10,1))</f>
        <v>0.0</v>
      </c>
      <c r="K36" s="14" t="str">
        <f>IF(C36=0,"No Evidence",IF(C36&lt;=2,IF(E36&gt;0,"Explosive Alert","Track Only"),IF(C36=3,"Sample Watch",IF(E36&gt;=START_HERE!$B$31,"Explosive Alert",IF(J36&gt;=80,"Strong Candidate",IF(J36&gt;=65,"Good Candidate",IF(J36&gt;=50,"Mixed / Review","Problem Call")))))))</f>
        <v>Explosive Alert</v>
      </c>
      <c r="L36" s="9" t="str">
        <f>IF(COUNTIFS('DEF_SELF_SCOUT_IMPORT'!$L$42:$L$1040,"Y",'DEF_SELF_SCOUT_IMPORT'!$E$42:$E$1040,SUBSTITUTE(SUBSTITUTE(SUBSTITUTE($B36,"~","~~"),"*","~*"),"?","~?"),'DEF_SELF_SCOUT_IMPORT'!$Q$42:$Q$1040,SUBSTITUTE(SUBSTITUTE(SUBSTITUTE($M36,"~","~~"),"*","~*"),"?","~?"),'DEF_SELF_SCOUT_IMPORT'!$J$42:$J$1040,"")&gt;0,"Unscored clean outcome; review result tags before using score.",IF(C36=0,"No matching defensive reps; film confirmation needed.",IF(K36="Explosive Alert","Explosive risk; review clips before using as answer.",IF(C36&lt;=2,"Track only; not enough sample.",IF(C36=3,IF(E36&gt;0,"Sample watch with explosive exposure; review clips and build the sample.",IF(J36&gt;=65,"Good signal, but sample is limited.","Sample watch; review clips and build the sample.")),IF(K36="Problem Call","Problem area; practice or call-sheet review.",IF(K36="Strong Candidate","Strong call-fit candidate; confirm on film.",IF(K36="Good Candidate","Good call-fit signal; confirm on film.","Mixed signal; review fit and execution on film."))))))))</f>
        <v>Explosive risk; review clips before using as answer.</v>
      </c>
      <c r="M36" s="8" t="s">
        <v>39</v>
      </c>
      <c r="N36" s="8"/>
      <c r="O36" s="8"/>
      <c r="P36" s="8"/>
      <c r="Q36" s="8"/>
      <c r="R36" s="8" t="s">
        <v>28</v>
      </c>
      <c r="S36" s="2" t="s">
        <v>41</v>
      </c>
      <c r="T36" s="2">
        <f>IF(C36=0,0,IF(C36&gt;=CALL_LOOKUP_BOARD!$B$7,IF(OR(K36="Problem Call",K36="Explosive Alert"),10000000,20000000),0)+IF(C36&gt;=CALL_LOOKUP_BOARD!$B$7,J36*1000+MIN(C36,999),C36*1000+J36)+0.00997300)</f>
        <v>1000.009973</v>
      </c>
      <c r="U36" s="2">
        <f>IF(C36=0,"",IF(COUNTIFS($S$10:$S$178,SUBSTITUTE(SUBSTITUTE(SUBSTITUTE(S36,"~","~~"),"*","~*"),"?","~?"),$T$10:$T$178,"&gt;"&amp;T36)=0,S36,""))</f>
        <v/>
      </c>
    </row>
    <row r="37" spans="1:21" ht="38" customHeight="1">
      <c r="A37" s="8" t="s">
        <v>39</v>
      </c>
      <c r="B37" s="8" t="s">
        <v>60</v>
      </c>
      <c r="C37" s="12">
        <f>COUNTIFS('DEF_SELF_SCOUT_IMPORT'!$L$42:$L$1040,"Y",'DEF_SELF_SCOUT_IMPORT'!$E$42:$E$1040,SUBSTITUTE(SUBSTITUTE(SUBSTITUTE($B37,"~","~~"),"*","~*"),"?","~?"),'DEF_SELF_SCOUT_IMPORT'!$Q$42:$Q$1040,SUBSTITUTE(SUBSTITUTE(SUBSTITUTE($M37,"~","~~"),"*","~*"),"?","~?"))</f>
        <v>4</v>
      </c>
      <c r="D37" s="10">
        <f>IF($C37=0,"",SUMIFS('DEF_SELF_SCOUT_IMPORT'!$J$42:$J$1040,'DEF_SELF_SCOUT_IMPORT'!$L$42:$L$1040,"Y",'DEF_SELF_SCOUT_IMPORT'!$E$42:$E$1040,SUBSTITUTE(SUBSTITUTE(SUBSTITUTE($B37,"~","~~"),"*","~*"),"?","~?"),'DEF_SELF_SCOUT_IMPORT'!$Q$42:$Q$1040,SUBSTITUTE(SUBSTITUTE(SUBSTITUTE($M37,"~","~~"),"*","~*"),"?","~?"))/$C37)</f>
        <v>0.25</v>
      </c>
      <c r="E37" s="10">
        <f>IF($C37=0,"",SUMIFS('DEF_SELF_SCOUT_IMPORT'!$K$42:$K$1040,'DEF_SELF_SCOUT_IMPORT'!$L$42:$L$1040,"Y",'DEF_SELF_SCOUT_IMPORT'!$E$42:$E$1040,SUBSTITUTE(SUBSTITUTE(SUBSTITUTE($B37,"~","~~"),"*","~*"),"?","~?"),'DEF_SELF_SCOUT_IMPORT'!$Q$42:$Q$1040,SUBSTITUTE(SUBSTITUTE(SUBSTITUTE($M37,"~","~~"),"*","~*"),"?","~?"))/$C37)</f>
        <v>0.25</v>
      </c>
      <c r="F37" s="11">
        <f>IF($C37=0,"",AVERAGEIFS('DEF_SELF_SCOUT_IMPORT'!$I$42:$I$1040,'DEF_SELF_SCOUT_IMPORT'!$L$42:$L$1040,"Y",'DEF_SELF_SCOUT_IMPORT'!$E$42:$E$1040,SUBSTITUTE(SUBSTITUTE(SUBSTITUTE($B37,"~","~~"),"*","~*"),"?","~?"),'DEF_SELF_SCOUT_IMPORT'!$Q$42:$Q$1040,SUBSTITUTE(SUBSTITUTE(SUBSTITUTE($M37,"~","~~"),"*","~*"),"?","~?")))</f>
        <v>12.5</v>
      </c>
      <c r="G37" s="10">
        <f>IF($C37=0,"",COUNTIFS('DEF_SELF_SCOUT_IMPORT'!$L$42:$L$1040,"Y",'DEF_SELF_SCOUT_IMPORT'!$E$42:$E$1040,SUBSTITUTE(SUBSTITUTE(SUBSTITUTE($B37,"~","~~"),"*","~*"),"?","~?"),'DEF_SELF_SCOUT_IMPORT'!$Q$42:$Q$1040,SUBSTITUTE(SUBSTITUTE(SUBSTITUTE($M37,"~","~~"),"*","~*"),"?","~?"),'DEF_SELF_SCOUT_IMPORT'!$H$42:$H$1040,"RUSH")/$C37)</f>
        <v>0.25</v>
      </c>
      <c r="H37" s="10">
        <f>IF($C37=0,"",COUNTIFS('DEF_SELF_SCOUT_IMPORT'!$L$42:$L$1040,"Y",'DEF_SELF_SCOUT_IMPORT'!$E$42:$E$1040,SUBSTITUTE(SUBSTITUTE(SUBSTITUTE($B37,"~","~~"),"*","~*"),"?","~?"),'DEF_SELF_SCOUT_IMPORT'!$Q$42:$Q$1040,SUBSTITUTE(SUBSTITUTE(SUBSTITUTE($M37,"~","~~"),"*","~*"),"?","~?"),'DEF_SELF_SCOUT_IMPORT'!$H$42:$H$1040,"DROPBACK")/$C37)</f>
        <v>0.5</v>
      </c>
      <c r="I37" s="14" t="str">
        <f>IF(C37=0,"",IF(C37&lt;=2,"TRACK",IF(C37=3,"LOW",IF(C37&lt;=6,"MEDIUM","HIGH"))))</f>
        <v>MEDIUM</v>
      </c>
      <c r="J37" s="11">
        <f>IF(C37=0,"",ROUND(D37*70+(1-E37)*20+MAX(0,MIN(1,(10-F37)/10))*10,1))</f>
        <v>32.5</v>
      </c>
      <c r="K37" s="14" t="str">
        <f>IF(C37=0,"No Evidence",IF(C37&lt;=2,IF(E37&gt;0,"Explosive Alert","Track Only"),IF(C37=3,"Sample Watch",IF(E37&gt;=START_HERE!$B$31,"Explosive Alert",IF(J37&gt;=80,"Strong Candidate",IF(J37&gt;=65,"Good Candidate",IF(J37&gt;=50,"Mixed / Review","Problem Call")))))))</f>
        <v>Explosive Alert</v>
      </c>
      <c r="L37" s="9" t="str">
        <f>IF(COUNTIFS('DEF_SELF_SCOUT_IMPORT'!$L$42:$L$1040,"Y",'DEF_SELF_SCOUT_IMPORT'!$E$42:$E$1040,SUBSTITUTE(SUBSTITUTE(SUBSTITUTE($B37,"~","~~"),"*","~*"),"?","~?"),'DEF_SELF_SCOUT_IMPORT'!$Q$42:$Q$1040,SUBSTITUTE(SUBSTITUTE(SUBSTITUTE($M37,"~","~~"),"*","~*"),"?","~?"),'DEF_SELF_SCOUT_IMPORT'!$J$42:$J$1040,"")&gt;0,"Unscored clean outcome; review result tags before using score.",IF(C37=0,"No matching defensive reps; film confirmation needed.",IF(K37="Explosive Alert","Explosive risk; review clips before using as answer.",IF(C37&lt;=2,"Track only; not enough sample.",IF(C37=3,IF(E37&gt;0,"Sample watch with explosive exposure; review clips and build the sample.",IF(J37&gt;=65,"Good signal, but sample is limited.","Sample watch; review clips and build the sample.")),IF(K37="Problem Call","Problem area; practice or call-sheet review.",IF(K37="Strong Candidate","Strong call-fit candidate; confirm on film.",IF(K37="Good Candidate","Good call-fit signal; confirm on film.","Mixed signal; review fit and execution on film."))))))))</f>
        <v>Explosive risk; review clips before using as answer.</v>
      </c>
      <c r="M37" s="8" t="s">
        <v>39</v>
      </c>
      <c r="N37" s="8"/>
      <c r="O37" s="8"/>
      <c r="P37" s="8"/>
      <c r="Q37" s="8"/>
      <c r="R37" s="8" t="s">
        <v>45</v>
      </c>
      <c r="S37" s="2" t="s">
        <v>41</v>
      </c>
      <c r="T37" s="2">
        <f>IF(C37=0,0,IF(C37&gt;=CALL_LOOKUP_BOARD!$B$7,IF(OR(K37="Problem Call",K37="Explosive Alert"),10000000,20000000),0)+IF(C37&gt;=CALL_LOOKUP_BOARD!$B$7,J37*1000+MIN(C37,999),C37*1000+J37)+0.00997200)</f>
        <v>10032504.009972</v>
      </c>
      <c r="U37" s="2">
        <f>IF(C37=0,"",IF(COUNTIFS($S$10:$S$178,SUBSTITUTE(SUBSTITUTE(SUBSTITUTE(S37,"~","~~"),"*","~*"),"?","~?"),$T$10:$T$178,"&gt;"&amp;T37)=0,S37,""))</f>
        <v/>
      </c>
    </row>
    <row r="38" spans="1:21" ht="38" customHeight="1">
      <c r="A38" s="8" t="s">
        <v>39</v>
      </c>
      <c r="B38" s="8" t="s">
        <v>61</v>
      </c>
      <c r="C38" s="12">
        <f>COUNTIFS('DEF_SELF_SCOUT_IMPORT'!$L$42:$L$1040,"Y",'DEF_SELF_SCOUT_IMPORT'!$E$42:$E$1040,SUBSTITUTE(SUBSTITUTE(SUBSTITUTE($B38,"~","~~"),"*","~*"),"?","~?"),'DEF_SELF_SCOUT_IMPORT'!$Q$42:$Q$1040,SUBSTITUTE(SUBSTITUTE(SUBSTITUTE($M38,"~","~~"),"*","~*"),"?","~?"))</f>
        <v>3</v>
      </c>
      <c r="D38" s="10">
        <f>IF($C38=0,"",SUMIFS('DEF_SELF_SCOUT_IMPORT'!$J$42:$J$1040,'DEF_SELF_SCOUT_IMPORT'!$L$42:$L$1040,"Y",'DEF_SELF_SCOUT_IMPORT'!$E$42:$E$1040,SUBSTITUTE(SUBSTITUTE(SUBSTITUTE($B38,"~","~~"),"*","~*"),"?","~?"),'DEF_SELF_SCOUT_IMPORT'!$Q$42:$Q$1040,SUBSTITUTE(SUBSTITUTE(SUBSTITUTE($M38,"~","~~"),"*","~*"),"?","~?"))/$C38)</f>
        <v>1.0</v>
      </c>
      <c r="E38" s="10">
        <f>IF($C38=0,"",SUMIFS('DEF_SELF_SCOUT_IMPORT'!$K$42:$K$1040,'DEF_SELF_SCOUT_IMPORT'!$L$42:$L$1040,"Y",'DEF_SELF_SCOUT_IMPORT'!$E$42:$E$1040,SUBSTITUTE(SUBSTITUTE(SUBSTITUTE($B38,"~","~~"),"*","~*"),"?","~?"),'DEF_SELF_SCOUT_IMPORT'!$Q$42:$Q$1040,SUBSTITUTE(SUBSTITUTE(SUBSTITUTE($M38,"~","~~"),"*","~*"),"?","~?"))/$C38)</f>
        <v>0.0</v>
      </c>
      <c r="F38" s="11">
        <f>IF($C38=0,"",AVERAGEIFS('DEF_SELF_SCOUT_IMPORT'!$I$42:$I$1040,'DEF_SELF_SCOUT_IMPORT'!$L$42:$L$1040,"Y",'DEF_SELF_SCOUT_IMPORT'!$E$42:$E$1040,SUBSTITUTE(SUBSTITUTE(SUBSTITUTE($B38,"~","~~"),"*","~*"),"?","~?"),'DEF_SELF_SCOUT_IMPORT'!$Q$42:$Q$1040,SUBSTITUTE(SUBSTITUTE(SUBSTITUTE($M38,"~","~~"),"*","~*"),"?","~?")))</f>
        <v>2.0</v>
      </c>
      <c r="G38" s="10">
        <f>IF($C38=0,"",COUNTIFS('DEF_SELF_SCOUT_IMPORT'!$L$42:$L$1040,"Y",'DEF_SELF_SCOUT_IMPORT'!$E$42:$E$1040,SUBSTITUTE(SUBSTITUTE(SUBSTITUTE($B38,"~","~~"),"*","~*"),"?","~?"),'DEF_SELF_SCOUT_IMPORT'!$Q$42:$Q$1040,SUBSTITUTE(SUBSTITUTE(SUBSTITUTE($M38,"~","~~"),"*","~*"),"?","~?"),'DEF_SELF_SCOUT_IMPORT'!$H$42:$H$1040,"RUSH")/$C38)</f>
        <v>0.3333333333333333</v>
      </c>
      <c r="H38" s="10">
        <f>IF($C38=0,"",COUNTIFS('DEF_SELF_SCOUT_IMPORT'!$L$42:$L$1040,"Y",'DEF_SELF_SCOUT_IMPORT'!$E$42:$E$1040,SUBSTITUTE(SUBSTITUTE(SUBSTITUTE($B38,"~","~~"),"*","~*"),"?","~?"),'DEF_SELF_SCOUT_IMPORT'!$Q$42:$Q$1040,SUBSTITUTE(SUBSTITUTE(SUBSTITUTE($M38,"~","~~"),"*","~*"),"?","~?"),'DEF_SELF_SCOUT_IMPORT'!$H$42:$H$1040,"DROPBACK")/$C38)</f>
        <v>0.6666666666666666</v>
      </c>
      <c r="I38" s="14" t="str">
        <f>IF(C38=0,"",IF(C38&lt;=2,"TRACK",IF(C38=3,"LOW",IF(C38&lt;=6,"MEDIUM","HIGH"))))</f>
        <v>LOW</v>
      </c>
      <c r="J38" s="11">
        <f>IF(C38=0,"",ROUND(D38*70+(1-E38)*20+MAX(0,MIN(1,(10-F38)/10))*10,1))</f>
        <v>98.0</v>
      </c>
      <c r="K38" s="14" t="str">
        <f>IF(C38=0,"No Evidence",IF(C38&lt;=2,IF(E38&gt;0,"Explosive Alert","Track Only"),IF(C38=3,"Sample Watch",IF(E38&gt;=START_HERE!$B$31,"Explosive Alert",IF(J38&gt;=80,"Strong Candidate",IF(J38&gt;=65,"Good Candidate",IF(J38&gt;=50,"Mixed / Review","Problem Call")))))))</f>
        <v>Sample Watch</v>
      </c>
      <c r="L38" s="9" t="str">
        <f>IF(COUNTIFS('DEF_SELF_SCOUT_IMPORT'!$L$42:$L$1040,"Y",'DEF_SELF_SCOUT_IMPORT'!$E$42:$E$1040,SUBSTITUTE(SUBSTITUTE(SUBSTITUTE($B38,"~","~~"),"*","~*"),"?","~?"),'DEF_SELF_SCOUT_IMPORT'!$Q$42:$Q$1040,SUBSTITUTE(SUBSTITUTE(SUBSTITUTE($M38,"~","~~"),"*","~*"),"?","~?"),'DEF_SELF_SCOUT_IMPORT'!$J$42:$J$1040,"")&gt;0,"Unscored clean outcome; review result tags before using score.",IF(C38=0,"No matching defensive reps; film confirmation needed.",IF(K38="Explosive Alert","Explosive risk; review clips before using as answer.",IF(C38&lt;=2,"Track only; not enough sample.",IF(C38=3,IF(E38&gt;0,"Sample watch with explosive exposure; review clips and build the sample.",IF(J38&gt;=65,"Good signal, but sample is limited.","Sample watch; review clips and build the sample.")),IF(K38="Problem Call","Problem area; practice or call-sheet review.",IF(K38="Strong Candidate","Strong call-fit candidate; confirm on film.",IF(K38="Good Candidate","Good call-fit signal; confirm on film.","Mixed signal; review fit and execution on film."))))))))</f>
        <v>Good signal, but sample is limited.</v>
      </c>
      <c r="M38" s="8" t="s">
        <v>39</v>
      </c>
      <c r="N38" s="8"/>
      <c r="O38" s="8"/>
      <c r="P38" s="8"/>
      <c r="Q38" s="8"/>
      <c r="R38" s="8" t="s">
        <v>28</v>
      </c>
      <c r="S38" s="2" t="s">
        <v>41</v>
      </c>
      <c r="T38" s="2">
        <f>IF(C38=0,0,IF(C38&gt;=CALL_LOOKUP_BOARD!$B$7,IF(OR(K38="Problem Call",K38="Explosive Alert"),10000000,20000000),0)+IF(C38&gt;=CALL_LOOKUP_BOARD!$B$7,J38*1000+MIN(C38,999),C38*1000+J38)+0.00997100)</f>
        <v>3098.009971</v>
      </c>
      <c r="U38" s="2">
        <f>IF(C38=0,"",IF(COUNTIFS($S$10:$S$178,SUBSTITUTE(SUBSTITUTE(SUBSTITUTE(S38,"~","~~"),"*","~*"),"?","~?"),$T$10:$T$178,"&gt;"&amp;T38)=0,S38,""))</f>
        <v/>
      </c>
    </row>
    <row r="39" spans="1:21" ht="38" customHeight="1">
      <c r="A39" s="8" t="s">
        <v>39</v>
      </c>
      <c r="B39" s="8" t="s">
        <v>62</v>
      </c>
      <c r="C39" s="12">
        <f>COUNTIFS('DEF_SELF_SCOUT_IMPORT'!$L$42:$L$1040,"Y",'DEF_SELF_SCOUT_IMPORT'!$E$42:$E$1040,SUBSTITUTE(SUBSTITUTE(SUBSTITUTE($B39,"~","~~"),"*","~*"),"?","~?"),'DEF_SELF_SCOUT_IMPORT'!$Q$42:$Q$1040,SUBSTITUTE(SUBSTITUTE(SUBSTITUTE($M39,"~","~~"),"*","~*"),"?","~?"))</f>
        <v>2</v>
      </c>
      <c r="D39" s="10">
        <f>IF($C39=0,"",SUMIFS('DEF_SELF_SCOUT_IMPORT'!$J$42:$J$1040,'DEF_SELF_SCOUT_IMPORT'!$L$42:$L$1040,"Y",'DEF_SELF_SCOUT_IMPORT'!$E$42:$E$1040,SUBSTITUTE(SUBSTITUTE(SUBSTITUTE($B39,"~","~~"),"*","~*"),"?","~?"),'DEF_SELF_SCOUT_IMPORT'!$Q$42:$Q$1040,SUBSTITUTE(SUBSTITUTE(SUBSTITUTE($M39,"~","~~"),"*","~*"),"?","~?"))/$C39)</f>
        <v>0.0</v>
      </c>
      <c r="E39" s="10">
        <f>IF($C39=0,"",SUMIFS('DEF_SELF_SCOUT_IMPORT'!$K$42:$K$1040,'DEF_SELF_SCOUT_IMPORT'!$L$42:$L$1040,"Y",'DEF_SELF_SCOUT_IMPORT'!$E$42:$E$1040,SUBSTITUTE(SUBSTITUTE(SUBSTITUTE($B39,"~","~~"),"*","~*"),"?","~?"),'DEF_SELF_SCOUT_IMPORT'!$Q$42:$Q$1040,SUBSTITUTE(SUBSTITUTE(SUBSTITUTE($M39,"~","~~"),"*","~*"),"?","~?"))/$C39)</f>
        <v>0.5</v>
      </c>
      <c r="F39" s="11">
        <f>IF($C39=0,"",AVERAGEIFS('DEF_SELF_SCOUT_IMPORT'!$I$42:$I$1040,'DEF_SELF_SCOUT_IMPORT'!$L$42:$L$1040,"Y",'DEF_SELF_SCOUT_IMPORT'!$E$42:$E$1040,SUBSTITUTE(SUBSTITUTE(SUBSTITUTE($B39,"~","~~"),"*","~*"),"?","~?"),'DEF_SELF_SCOUT_IMPORT'!$Q$42:$Q$1040,SUBSTITUTE(SUBSTITUTE(SUBSTITUTE($M39,"~","~~"),"*","~*"),"?","~?")))</f>
        <v>18.5</v>
      </c>
      <c r="G39" s="10">
        <f>IF($C39=0,"",COUNTIFS('DEF_SELF_SCOUT_IMPORT'!$L$42:$L$1040,"Y",'DEF_SELF_SCOUT_IMPORT'!$E$42:$E$1040,SUBSTITUTE(SUBSTITUTE(SUBSTITUTE($B39,"~","~~"),"*","~*"),"?","~?"),'DEF_SELF_SCOUT_IMPORT'!$Q$42:$Q$1040,SUBSTITUTE(SUBSTITUTE(SUBSTITUTE($M39,"~","~~"),"*","~*"),"?","~?"),'DEF_SELF_SCOUT_IMPORT'!$H$42:$H$1040,"RUSH")/$C39)</f>
        <v>0.0</v>
      </c>
      <c r="H39" s="10">
        <f>IF($C39=0,"",COUNTIFS('DEF_SELF_SCOUT_IMPORT'!$L$42:$L$1040,"Y",'DEF_SELF_SCOUT_IMPORT'!$E$42:$E$1040,SUBSTITUTE(SUBSTITUTE(SUBSTITUTE($B39,"~","~~"),"*","~*"),"?","~?"),'DEF_SELF_SCOUT_IMPORT'!$Q$42:$Q$1040,SUBSTITUTE(SUBSTITUTE(SUBSTITUTE($M39,"~","~~"),"*","~*"),"?","~?"),'DEF_SELF_SCOUT_IMPORT'!$H$42:$H$1040,"DROPBACK")/$C39)</f>
        <v>0.5</v>
      </c>
      <c r="I39" s="14" t="str">
        <f>IF(C39=0,"",IF(C39&lt;=2,"TRACK",IF(C39=3,"LOW",IF(C39&lt;=6,"MEDIUM","HIGH"))))</f>
        <v>TRACK</v>
      </c>
      <c r="J39" s="11">
        <f>IF(C39=0,"",ROUND(D39*70+(1-E39)*20+MAX(0,MIN(1,(10-F39)/10))*10,1))</f>
        <v>10.0</v>
      </c>
      <c r="K39" s="14" t="str">
        <f>IF(C39=0,"No Evidence",IF(C39&lt;=2,IF(E39&gt;0,"Explosive Alert","Track Only"),IF(C39=3,"Sample Watch",IF(E39&gt;=START_HERE!$B$31,"Explosive Alert",IF(J39&gt;=80,"Strong Candidate",IF(J39&gt;=65,"Good Candidate",IF(J39&gt;=50,"Mixed / Review","Problem Call")))))))</f>
        <v>Explosive Alert</v>
      </c>
      <c r="L39" s="9" t="str">
        <f>IF(COUNTIFS('DEF_SELF_SCOUT_IMPORT'!$L$42:$L$1040,"Y",'DEF_SELF_SCOUT_IMPORT'!$E$42:$E$1040,SUBSTITUTE(SUBSTITUTE(SUBSTITUTE($B39,"~","~~"),"*","~*"),"?","~?"),'DEF_SELF_SCOUT_IMPORT'!$Q$42:$Q$1040,SUBSTITUTE(SUBSTITUTE(SUBSTITUTE($M39,"~","~~"),"*","~*"),"?","~?"),'DEF_SELF_SCOUT_IMPORT'!$J$42:$J$1040,"")&gt;0,"Unscored clean outcome; review result tags before using score.",IF(C39=0,"No matching defensive reps; film confirmation needed.",IF(K39="Explosive Alert","Explosive risk; review clips before using as answer.",IF(C39&lt;=2,"Track only; not enough sample.",IF(C39=3,IF(E39&gt;0,"Sample watch with explosive exposure; review clips and build the sample.",IF(J39&gt;=65,"Good signal, but sample is limited.","Sample watch; review clips and build the sample.")),IF(K39="Problem Call","Problem area; practice or call-sheet review.",IF(K39="Strong Candidate","Strong call-fit candidate; confirm on film.",IF(K39="Good Candidate","Good call-fit signal; confirm on film.","Mixed signal; review fit and execution on film."))))))))</f>
        <v>Explosive risk; review clips before using as answer.</v>
      </c>
      <c r="M39" s="8" t="s">
        <v>39</v>
      </c>
      <c r="N39" s="8"/>
      <c r="O39" s="8"/>
      <c r="P39" s="8"/>
      <c r="Q39" s="8"/>
      <c r="R39" s="8" t="s">
        <v>28</v>
      </c>
      <c r="S39" s="2" t="s">
        <v>41</v>
      </c>
      <c r="T39" s="2">
        <f>IF(C39=0,0,IF(C39&gt;=CALL_LOOKUP_BOARD!$B$7,IF(OR(K39="Problem Call",K39="Explosive Alert"),10000000,20000000),0)+IF(C39&gt;=CALL_LOOKUP_BOARD!$B$7,J39*1000+MIN(C39,999),C39*1000+J39)+0.00997000)</f>
        <v>2010.00997</v>
      </c>
      <c r="U39" s="2">
        <f>IF(C39=0,"",IF(COUNTIFS($S$10:$S$178,SUBSTITUTE(SUBSTITUTE(SUBSTITUTE(S39,"~","~~"),"*","~*"),"?","~?"),$T$10:$T$178,"&gt;"&amp;T39)=0,S39,""))</f>
        <v/>
      </c>
    </row>
    <row r="40" spans="1:21" ht="38" customHeight="1">
      <c r="A40" s="8" t="s">
        <v>39</v>
      </c>
      <c r="B40" s="8" t="s">
        <v>63</v>
      </c>
      <c r="C40" s="12">
        <f>COUNTIFS('DEF_SELF_SCOUT_IMPORT'!$L$42:$L$1040,"Y",'DEF_SELF_SCOUT_IMPORT'!$E$42:$E$1040,SUBSTITUTE(SUBSTITUTE(SUBSTITUTE($B40,"~","~~"),"*","~*"),"?","~?"),'DEF_SELF_SCOUT_IMPORT'!$Q$42:$Q$1040,SUBSTITUTE(SUBSTITUTE(SUBSTITUTE($M40,"~","~~"),"*","~*"),"?","~?"))</f>
        <v>1</v>
      </c>
      <c r="D40" s="10">
        <f>IF($C40=0,"",SUMIFS('DEF_SELF_SCOUT_IMPORT'!$J$42:$J$1040,'DEF_SELF_SCOUT_IMPORT'!$L$42:$L$1040,"Y",'DEF_SELF_SCOUT_IMPORT'!$E$42:$E$1040,SUBSTITUTE(SUBSTITUTE(SUBSTITUTE($B40,"~","~~"),"*","~*"),"?","~?"),'DEF_SELF_SCOUT_IMPORT'!$Q$42:$Q$1040,SUBSTITUTE(SUBSTITUTE(SUBSTITUTE($M40,"~","~~"),"*","~*"),"?","~?"))/$C40)</f>
        <v>0.0</v>
      </c>
      <c r="E40" s="10">
        <f>IF($C40=0,"",SUMIFS('DEF_SELF_SCOUT_IMPORT'!$K$42:$K$1040,'DEF_SELF_SCOUT_IMPORT'!$L$42:$L$1040,"Y",'DEF_SELF_SCOUT_IMPORT'!$E$42:$E$1040,SUBSTITUTE(SUBSTITUTE(SUBSTITUTE($B40,"~","~~"),"*","~*"),"?","~?"),'DEF_SELF_SCOUT_IMPORT'!$Q$42:$Q$1040,SUBSTITUTE(SUBSTITUTE(SUBSTITUTE($M40,"~","~~"),"*","~*"),"?","~?"))/$C40)</f>
        <v>0.0</v>
      </c>
      <c r="F40" s="11">
        <f>IF($C40=0,"",AVERAGEIFS('DEF_SELF_SCOUT_IMPORT'!$I$42:$I$1040,'DEF_SELF_SCOUT_IMPORT'!$L$42:$L$1040,"Y",'DEF_SELF_SCOUT_IMPORT'!$E$42:$E$1040,SUBSTITUTE(SUBSTITUTE(SUBSTITUTE($B40,"~","~~"),"*","~*"),"?","~?"),'DEF_SELF_SCOUT_IMPORT'!$Q$42:$Q$1040,SUBSTITUTE(SUBSTITUTE(SUBSTITUTE($M40,"~","~~"),"*","~*"),"?","~?")))</f>
        <v>7.0</v>
      </c>
      <c r="G40" s="10">
        <f>IF($C40=0,"",COUNTIFS('DEF_SELF_SCOUT_IMPORT'!$L$42:$L$1040,"Y",'DEF_SELF_SCOUT_IMPORT'!$E$42:$E$1040,SUBSTITUTE(SUBSTITUTE(SUBSTITUTE($B40,"~","~~"),"*","~*"),"?","~?"),'DEF_SELF_SCOUT_IMPORT'!$Q$42:$Q$1040,SUBSTITUTE(SUBSTITUTE(SUBSTITUTE($M40,"~","~~"),"*","~*"),"?","~?"),'DEF_SELF_SCOUT_IMPORT'!$H$42:$H$1040,"RUSH")/$C40)</f>
        <v>1.0</v>
      </c>
      <c r="H40" s="10">
        <f>IF($C40=0,"",COUNTIFS('DEF_SELF_SCOUT_IMPORT'!$L$42:$L$1040,"Y",'DEF_SELF_SCOUT_IMPORT'!$E$42:$E$1040,SUBSTITUTE(SUBSTITUTE(SUBSTITUTE($B40,"~","~~"),"*","~*"),"?","~?"),'DEF_SELF_SCOUT_IMPORT'!$Q$42:$Q$1040,SUBSTITUTE(SUBSTITUTE(SUBSTITUTE($M40,"~","~~"),"*","~*"),"?","~?"),'DEF_SELF_SCOUT_IMPORT'!$H$42:$H$1040,"DROPBACK")/$C40)</f>
        <v>0.0</v>
      </c>
      <c r="I40" s="14" t="str">
        <f>IF(C40=0,"",IF(C40&lt;=2,"TRACK",IF(C40=3,"LOW",IF(C40&lt;=6,"MEDIUM","HIGH"))))</f>
        <v>TRACK</v>
      </c>
      <c r="J40" s="11">
        <f>IF(C40=0,"",ROUND(D40*70+(1-E40)*20+MAX(0,MIN(1,(10-F40)/10))*10,1))</f>
        <v>23.0</v>
      </c>
      <c r="K40" s="14" t="str">
        <f>IF(C40=0,"No Evidence",IF(C40&lt;=2,IF(E40&gt;0,"Explosive Alert","Track Only"),IF(C40=3,"Sample Watch",IF(E40&gt;=START_HERE!$B$31,"Explosive Alert",IF(J40&gt;=80,"Strong Candidate",IF(J40&gt;=65,"Good Candidate",IF(J40&gt;=50,"Mixed / Review","Problem Call")))))))</f>
        <v>Track Only</v>
      </c>
      <c r="L40" s="9" t="str">
        <f>IF(COUNTIFS('DEF_SELF_SCOUT_IMPORT'!$L$42:$L$1040,"Y",'DEF_SELF_SCOUT_IMPORT'!$E$42:$E$1040,SUBSTITUTE(SUBSTITUTE(SUBSTITUTE($B40,"~","~~"),"*","~*"),"?","~?"),'DEF_SELF_SCOUT_IMPORT'!$Q$42:$Q$1040,SUBSTITUTE(SUBSTITUTE(SUBSTITUTE($M40,"~","~~"),"*","~*"),"?","~?"),'DEF_SELF_SCOUT_IMPORT'!$J$42:$J$1040,"")&gt;0,"Unscored clean outcome; review result tags before using score.",IF(C40=0,"No matching defensive reps; film confirmation needed.",IF(K40="Explosive Alert","Explosive risk; review clips before using as answer.",IF(C40&lt;=2,"Track only; not enough sample.",IF(C40=3,IF(E40&gt;0,"Sample watch with explosive exposure; review clips and build the sample.",IF(J40&gt;=65,"Good signal, but sample is limited.","Sample watch; review clips and build the sample.")),IF(K40="Problem Call","Problem area; practice or call-sheet review.",IF(K40="Strong Candidate","Strong call-fit candidate; confirm on film.",IF(K40="Good Candidate","Good call-fit signal; confirm on film.","Mixed signal; review fit and execution on film."))))))))</f>
        <v>Track only; not enough sample.</v>
      </c>
      <c r="M40" s="8" t="s">
        <v>39</v>
      </c>
      <c r="N40" s="8"/>
      <c r="O40" s="8"/>
      <c r="P40" s="8"/>
      <c r="Q40" s="8"/>
      <c r="R40" s="8" t="s">
        <v>28</v>
      </c>
      <c r="S40" s="2" t="s">
        <v>41</v>
      </c>
      <c r="T40" s="2">
        <f>IF(C40=0,0,IF(C40&gt;=CALL_LOOKUP_BOARD!$B$7,IF(OR(K40="Problem Call",K40="Explosive Alert"),10000000,20000000),0)+IF(C40&gt;=CALL_LOOKUP_BOARD!$B$7,J40*1000+MIN(C40,999),C40*1000+J40)+0.00996900)</f>
        <v>1023.009969</v>
      </c>
      <c r="U40" s="2">
        <f>IF(C40=0,"",IF(COUNTIFS($S$10:$S$178,SUBSTITUTE(SUBSTITUTE(SUBSTITUTE(S40,"~","~~"),"*","~*"),"?","~?"),$T$10:$T$178,"&gt;"&amp;T40)=0,S40,""))</f>
        <v/>
      </c>
    </row>
    <row r="41" spans="1:21" ht="38" customHeight="1">
      <c r="A41" s="8" t="s">
        <v>39</v>
      </c>
      <c r="B41" s="8" t="s">
        <v>64</v>
      </c>
      <c r="C41" s="12">
        <f>COUNTIFS('DEF_SELF_SCOUT_IMPORT'!$L$42:$L$1040,"Y",'DEF_SELF_SCOUT_IMPORT'!$E$42:$E$1040,SUBSTITUTE(SUBSTITUTE(SUBSTITUTE($B41,"~","~~"),"*","~*"),"?","~?"),'DEF_SELF_SCOUT_IMPORT'!$Q$42:$Q$1040,SUBSTITUTE(SUBSTITUTE(SUBSTITUTE($M41,"~","~~"),"*","~*"),"?","~?"))</f>
        <v>1</v>
      </c>
      <c r="D41" s="10">
        <f>IF($C41=0,"",SUMIFS('DEF_SELF_SCOUT_IMPORT'!$J$42:$J$1040,'DEF_SELF_SCOUT_IMPORT'!$L$42:$L$1040,"Y",'DEF_SELF_SCOUT_IMPORT'!$E$42:$E$1040,SUBSTITUTE(SUBSTITUTE(SUBSTITUTE($B41,"~","~~"),"*","~*"),"?","~?"),'DEF_SELF_SCOUT_IMPORT'!$Q$42:$Q$1040,SUBSTITUTE(SUBSTITUTE(SUBSTITUTE($M41,"~","~~"),"*","~*"),"?","~?"))/$C41)</f>
        <v>1.0</v>
      </c>
      <c r="E41" s="10">
        <f>IF($C41=0,"",SUMIFS('DEF_SELF_SCOUT_IMPORT'!$K$42:$K$1040,'DEF_SELF_SCOUT_IMPORT'!$L$42:$L$1040,"Y",'DEF_SELF_SCOUT_IMPORT'!$E$42:$E$1040,SUBSTITUTE(SUBSTITUTE(SUBSTITUTE($B41,"~","~~"),"*","~*"),"?","~?"),'DEF_SELF_SCOUT_IMPORT'!$Q$42:$Q$1040,SUBSTITUTE(SUBSTITUTE(SUBSTITUTE($M41,"~","~~"),"*","~*"),"?","~?"))/$C41)</f>
        <v>0.0</v>
      </c>
      <c r="F41" s="11">
        <f>IF($C41=0,"",AVERAGEIFS('DEF_SELF_SCOUT_IMPORT'!$I$42:$I$1040,'DEF_SELF_SCOUT_IMPORT'!$L$42:$L$1040,"Y",'DEF_SELF_SCOUT_IMPORT'!$E$42:$E$1040,SUBSTITUTE(SUBSTITUTE(SUBSTITUTE($B41,"~","~~"),"*","~*"),"?","~?"),'DEF_SELF_SCOUT_IMPORT'!$Q$42:$Q$1040,SUBSTITUTE(SUBSTITUTE(SUBSTITUTE($M41,"~","~~"),"*","~*"),"?","~?")))</f>
        <v>1.0</v>
      </c>
      <c r="G41" s="10">
        <f>IF($C41=0,"",COUNTIFS('DEF_SELF_SCOUT_IMPORT'!$L$42:$L$1040,"Y",'DEF_SELF_SCOUT_IMPORT'!$E$42:$E$1040,SUBSTITUTE(SUBSTITUTE(SUBSTITUTE($B41,"~","~~"),"*","~*"),"?","~?"),'DEF_SELF_SCOUT_IMPORT'!$Q$42:$Q$1040,SUBSTITUTE(SUBSTITUTE(SUBSTITUTE($M41,"~","~~"),"*","~*"),"?","~?"),'DEF_SELF_SCOUT_IMPORT'!$H$42:$H$1040,"RUSH")/$C41)</f>
        <v>0.0</v>
      </c>
      <c r="H41" s="10">
        <f>IF($C41=0,"",COUNTIFS('DEF_SELF_SCOUT_IMPORT'!$L$42:$L$1040,"Y",'DEF_SELF_SCOUT_IMPORT'!$E$42:$E$1040,SUBSTITUTE(SUBSTITUTE(SUBSTITUTE($B41,"~","~~"),"*","~*"),"?","~?"),'DEF_SELF_SCOUT_IMPORT'!$Q$42:$Q$1040,SUBSTITUTE(SUBSTITUTE(SUBSTITUTE($M41,"~","~~"),"*","~*"),"?","~?"),'DEF_SELF_SCOUT_IMPORT'!$H$42:$H$1040,"DROPBACK")/$C41)</f>
        <v>1.0</v>
      </c>
      <c r="I41" s="14" t="str">
        <f>IF(C41=0,"",IF(C41&lt;=2,"TRACK",IF(C41=3,"LOW",IF(C41&lt;=6,"MEDIUM","HIGH"))))</f>
        <v>TRACK</v>
      </c>
      <c r="J41" s="11">
        <f>IF(C41=0,"",ROUND(D41*70+(1-E41)*20+MAX(0,MIN(1,(10-F41)/10))*10,1))</f>
        <v>99.0</v>
      </c>
      <c r="K41" s="14" t="str">
        <f>IF(C41=0,"No Evidence",IF(C41&lt;=2,IF(E41&gt;0,"Explosive Alert","Track Only"),IF(C41=3,"Sample Watch",IF(E41&gt;=START_HERE!$B$31,"Explosive Alert",IF(J41&gt;=80,"Strong Candidate",IF(J41&gt;=65,"Good Candidate",IF(J41&gt;=50,"Mixed / Review","Problem Call")))))))</f>
        <v>Track Only</v>
      </c>
      <c r="L41" s="9" t="str">
        <f>IF(COUNTIFS('DEF_SELF_SCOUT_IMPORT'!$L$42:$L$1040,"Y",'DEF_SELF_SCOUT_IMPORT'!$E$42:$E$1040,SUBSTITUTE(SUBSTITUTE(SUBSTITUTE($B41,"~","~~"),"*","~*"),"?","~?"),'DEF_SELF_SCOUT_IMPORT'!$Q$42:$Q$1040,SUBSTITUTE(SUBSTITUTE(SUBSTITUTE($M41,"~","~~"),"*","~*"),"?","~?"),'DEF_SELF_SCOUT_IMPORT'!$J$42:$J$1040,"")&gt;0,"Unscored clean outcome; review result tags before using score.",IF(C41=0,"No matching defensive reps; film confirmation needed.",IF(K41="Explosive Alert","Explosive risk; review clips before using as answer.",IF(C41&lt;=2,"Track only; not enough sample.",IF(C41=3,IF(E41&gt;0,"Sample watch with explosive exposure; review clips and build the sample.",IF(J41&gt;=65,"Good signal, but sample is limited.","Sample watch; review clips and build the sample.")),IF(K41="Problem Call","Problem area; practice or call-sheet review.",IF(K41="Strong Candidate","Strong call-fit candidate; confirm on film.",IF(K41="Good Candidate","Good call-fit signal; confirm on film.","Mixed signal; review fit and execution on film."))))))))</f>
        <v>Track only; not enough sample.</v>
      </c>
      <c r="M41" s="8" t="s">
        <v>39</v>
      </c>
      <c r="N41" s="8"/>
      <c r="O41" s="8"/>
      <c r="P41" s="8"/>
      <c r="Q41" s="8"/>
      <c r="R41" s="8" t="s">
        <v>28</v>
      </c>
      <c r="S41" s="2" t="s">
        <v>41</v>
      </c>
      <c r="T41" s="2">
        <f>IF(C41=0,0,IF(C41&gt;=CALL_LOOKUP_BOARD!$B$7,IF(OR(K41="Problem Call",K41="Explosive Alert"),10000000,20000000),0)+IF(C41&gt;=CALL_LOOKUP_BOARD!$B$7,J41*1000+MIN(C41,999),C41*1000+J41)+0.00996800)</f>
        <v>1099.009968</v>
      </c>
      <c r="U41" s="2">
        <f>IF(C41=0,"",IF(COUNTIFS($S$10:$S$178,SUBSTITUTE(SUBSTITUTE(SUBSTITUTE(S41,"~","~~"),"*","~*"),"?","~?"),$T$10:$T$178,"&gt;"&amp;T41)=0,S41,""))</f>
        <v/>
      </c>
    </row>
    <row r="42" spans="1:21" ht="38" customHeight="1">
      <c r="A42" s="8" t="s">
        <v>39</v>
      </c>
      <c r="B42" s="8" t="s">
        <v>65</v>
      </c>
      <c r="C42" s="12">
        <f>COUNTIFS('DEF_SELF_SCOUT_IMPORT'!$L$42:$L$1040,"Y",'DEF_SELF_SCOUT_IMPORT'!$E$42:$E$1040,SUBSTITUTE(SUBSTITUTE(SUBSTITUTE($B42,"~","~~"),"*","~*"),"?","~?"),'DEF_SELF_SCOUT_IMPORT'!$Q$42:$Q$1040,SUBSTITUTE(SUBSTITUTE(SUBSTITUTE($M42,"~","~~"),"*","~*"),"?","~?"))</f>
        <v>1</v>
      </c>
      <c r="D42" s="10">
        <f>IF($C42=0,"",SUMIFS('DEF_SELF_SCOUT_IMPORT'!$J$42:$J$1040,'DEF_SELF_SCOUT_IMPORT'!$L$42:$L$1040,"Y",'DEF_SELF_SCOUT_IMPORT'!$E$42:$E$1040,SUBSTITUTE(SUBSTITUTE(SUBSTITUTE($B42,"~","~~"),"*","~*"),"?","~?"),'DEF_SELF_SCOUT_IMPORT'!$Q$42:$Q$1040,SUBSTITUTE(SUBSTITUTE(SUBSTITUTE($M42,"~","~~"),"*","~*"),"?","~?"))/$C42)</f>
        <v>1.0</v>
      </c>
      <c r="E42" s="10">
        <f>IF($C42=0,"",SUMIFS('DEF_SELF_SCOUT_IMPORT'!$K$42:$K$1040,'DEF_SELF_SCOUT_IMPORT'!$L$42:$L$1040,"Y",'DEF_SELF_SCOUT_IMPORT'!$E$42:$E$1040,SUBSTITUTE(SUBSTITUTE(SUBSTITUTE($B42,"~","~~"),"*","~*"),"?","~?"),'DEF_SELF_SCOUT_IMPORT'!$Q$42:$Q$1040,SUBSTITUTE(SUBSTITUTE(SUBSTITUTE($M42,"~","~~"),"*","~*"),"?","~?"))/$C42)</f>
        <v>0.0</v>
      </c>
      <c r="F42" s="11">
        <f>IF($C42=0,"",AVERAGEIFS('DEF_SELF_SCOUT_IMPORT'!$I$42:$I$1040,'DEF_SELF_SCOUT_IMPORT'!$L$42:$L$1040,"Y",'DEF_SELF_SCOUT_IMPORT'!$E$42:$E$1040,SUBSTITUTE(SUBSTITUTE(SUBSTITUTE($B42,"~","~~"),"*","~*"),"?","~?"),'DEF_SELF_SCOUT_IMPORT'!$Q$42:$Q$1040,SUBSTITUTE(SUBSTITUTE(SUBSTITUTE($M42,"~","~~"),"*","~*"),"?","~?")))</f>
        <v>0.0</v>
      </c>
      <c r="G42" s="10">
        <f>IF($C42=0,"",COUNTIFS('DEF_SELF_SCOUT_IMPORT'!$L$42:$L$1040,"Y",'DEF_SELF_SCOUT_IMPORT'!$E$42:$E$1040,SUBSTITUTE(SUBSTITUTE(SUBSTITUTE($B42,"~","~~"),"*","~*"),"?","~?"),'DEF_SELF_SCOUT_IMPORT'!$Q$42:$Q$1040,SUBSTITUTE(SUBSTITUTE(SUBSTITUTE($M42,"~","~~"),"*","~*"),"?","~?"),'DEF_SELF_SCOUT_IMPORT'!$H$42:$H$1040,"RUSH")/$C42)</f>
        <v>0.0</v>
      </c>
      <c r="H42" s="10">
        <f>IF($C42=0,"",COUNTIFS('DEF_SELF_SCOUT_IMPORT'!$L$42:$L$1040,"Y",'DEF_SELF_SCOUT_IMPORT'!$E$42:$E$1040,SUBSTITUTE(SUBSTITUTE(SUBSTITUTE($B42,"~","~~"),"*","~*"),"?","~?"),'DEF_SELF_SCOUT_IMPORT'!$Q$42:$Q$1040,SUBSTITUTE(SUBSTITUTE(SUBSTITUTE($M42,"~","~~"),"*","~*"),"?","~?"),'DEF_SELF_SCOUT_IMPORT'!$H$42:$H$1040,"DROPBACK")/$C42)</f>
        <v>1.0</v>
      </c>
      <c r="I42" s="14" t="str">
        <f>IF(C42=0,"",IF(C42&lt;=2,"TRACK",IF(C42=3,"LOW",IF(C42&lt;=6,"MEDIUM","HIGH"))))</f>
        <v>TRACK</v>
      </c>
      <c r="J42" s="11">
        <f>IF(C42=0,"",ROUND(D42*70+(1-E42)*20+MAX(0,MIN(1,(10-F42)/10))*10,1))</f>
        <v>100.0</v>
      </c>
      <c r="K42" s="14" t="str">
        <f>IF(C42=0,"No Evidence",IF(C42&lt;=2,IF(E42&gt;0,"Explosive Alert","Track Only"),IF(C42=3,"Sample Watch",IF(E42&gt;=START_HERE!$B$31,"Explosive Alert",IF(J42&gt;=80,"Strong Candidate",IF(J42&gt;=65,"Good Candidate",IF(J42&gt;=50,"Mixed / Review","Problem Call")))))))</f>
        <v>Track Only</v>
      </c>
      <c r="L42" s="9" t="str">
        <f>IF(COUNTIFS('DEF_SELF_SCOUT_IMPORT'!$L$42:$L$1040,"Y",'DEF_SELF_SCOUT_IMPORT'!$E$42:$E$1040,SUBSTITUTE(SUBSTITUTE(SUBSTITUTE($B42,"~","~~"),"*","~*"),"?","~?"),'DEF_SELF_SCOUT_IMPORT'!$Q$42:$Q$1040,SUBSTITUTE(SUBSTITUTE(SUBSTITUTE($M42,"~","~~"),"*","~*"),"?","~?"),'DEF_SELF_SCOUT_IMPORT'!$J$42:$J$1040,"")&gt;0,"Unscored clean outcome; review result tags before using score.",IF(C42=0,"No matching defensive reps; film confirmation needed.",IF(K42="Explosive Alert","Explosive risk; review clips before using as answer.",IF(C42&lt;=2,"Track only; not enough sample.",IF(C42=3,IF(E42&gt;0,"Sample watch with explosive exposure; review clips and build the sample.",IF(J42&gt;=65,"Good signal, but sample is limited.","Sample watch; review clips and build the sample.")),IF(K42="Problem Call","Problem area; practice or call-sheet review.",IF(K42="Strong Candidate","Strong call-fit candidate; confirm on film.",IF(K42="Good Candidate","Good call-fit signal; confirm on film.","Mixed signal; review fit and execution on film."))))))))</f>
        <v>Track only; not enough sample.</v>
      </c>
      <c r="M42" s="8" t="s">
        <v>39</v>
      </c>
      <c r="N42" s="8"/>
      <c r="O42" s="8"/>
      <c r="P42" s="8"/>
      <c r="Q42" s="8"/>
      <c r="R42" s="8" t="s">
        <v>28</v>
      </c>
      <c r="S42" s="2" t="s">
        <v>41</v>
      </c>
      <c r="T42" s="2">
        <f>IF(C42=0,0,IF(C42&gt;=CALL_LOOKUP_BOARD!$B$7,IF(OR(K42="Problem Call",K42="Explosive Alert"),10000000,20000000),0)+IF(C42&gt;=CALL_LOOKUP_BOARD!$B$7,J42*1000+MIN(C42,999),C42*1000+J42)+0.00996700)</f>
        <v>1100.009967</v>
      </c>
      <c r="U42" s="2">
        <f>IF(C42=0,"",IF(COUNTIFS($S$10:$S$178,SUBSTITUTE(SUBSTITUTE(SUBSTITUTE(S42,"~","~~"),"*","~*"),"?","~?"),$T$10:$T$178,"&gt;"&amp;T42)=0,S42,""))</f>
        <v/>
      </c>
    </row>
    <row r="43" spans="1:21" ht="38" customHeight="1">
      <c r="A43" s="8" t="s">
        <v>39</v>
      </c>
      <c r="B43" s="8" t="s">
        <v>66</v>
      </c>
      <c r="C43" s="12">
        <f>COUNTIFS('DEF_SELF_SCOUT_IMPORT'!$L$42:$L$1040,"Y",'DEF_SELF_SCOUT_IMPORT'!$E$42:$E$1040,SUBSTITUTE(SUBSTITUTE(SUBSTITUTE($B43,"~","~~"),"*","~*"),"?","~?"),'DEF_SELF_SCOUT_IMPORT'!$Q$42:$Q$1040,SUBSTITUTE(SUBSTITUTE(SUBSTITUTE($M43,"~","~~"),"*","~*"),"?","~?"))</f>
        <v>3</v>
      </c>
      <c r="D43" s="10">
        <f>IF($C43=0,"",SUMIFS('DEF_SELF_SCOUT_IMPORT'!$J$42:$J$1040,'DEF_SELF_SCOUT_IMPORT'!$L$42:$L$1040,"Y",'DEF_SELF_SCOUT_IMPORT'!$E$42:$E$1040,SUBSTITUTE(SUBSTITUTE(SUBSTITUTE($B43,"~","~~"),"*","~*"),"?","~?"),'DEF_SELF_SCOUT_IMPORT'!$Q$42:$Q$1040,SUBSTITUTE(SUBSTITUTE(SUBSTITUTE($M43,"~","~~"),"*","~*"),"?","~?"))/$C43)</f>
        <v>0.6666666666666666</v>
      </c>
      <c r="E43" s="10">
        <f>IF($C43=0,"",SUMIFS('DEF_SELF_SCOUT_IMPORT'!$K$42:$K$1040,'DEF_SELF_SCOUT_IMPORT'!$L$42:$L$1040,"Y",'DEF_SELF_SCOUT_IMPORT'!$E$42:$E$1040,SUBSTITUTE(SUBSTITUTE(SUBSTITUTE($B43,"~","~~"),"*","~*"),"?","~?"),'DEF_SELF_SCOUT_IMPORT'!$Q$42:$Q$1040,SUBSTITUTE(SUBSTITUTE(SUBSTITUTE($M43,"~","~~"),"*","~*"),"?","~?"))/$C43)</f>
        <v>0.3333333333333333</v>
      </c>
      <c r="F43" s="11">
        <f>IF($C43=0,"",AVERAGEIFS('DEF_SELF_SCOUT_IMPORT'!$I$42:$I$1040,'DEF_SELF_SCOUT_IMPORT'!$L$42:$L$1040,"Y",'DEF_SELF_SCOUT_IMPORT'!$E$42:$E$1040,SUBSTITUTE(SUBSTITUTE(SUBSTITUTE($B43,"~","~~"),"*","~*"),"?","~?"),'DEF_SELF_SCOUT_IMPORT'!$Q$42:$Q$1040,SUBSTITUTE(SUBSTITUTE(SUBSTITUTE($M43,"~","~~"),"*","~*"),"?","~?")))</f>
        <v>10.0</v>
      </c>
      <c r="G43" s="10">
        <f>IF($C43=0,"",COUNTIFS('DEF_SELF_SCOUT_IMPORT'!$L$42:$L$1040,"Y",'DEF_SELF_SCOUT_IMPORT'!$E$42:$E$1040,SUBSTITUTE(SUBSTITUTE(SUBSTITUTE($B43,"~","~~"),"*","~*"),"?","~?"),'DEF_SELF_SCOUT_IMPORT'!$Q$42:$Q$1040,SUBSTITUTE(SUBSTITUTE(SUBSTITUTE($M43,"~","~~"),"*","~*"),"?","~?"),'DEF_SELF_SCOUT_IMPORT'!$H$42:$H$1040,"RUSH")/$C43)</f>
        <v>0.3333333333333333</v>
      </c>
      <c r="H43" s="10">
        <f>IF($C43=0,"",COUNTIFS('DEF_SELF_SCOUT_IMPORT'!$L$42:$L$1040,"Y",'DEF_SELF_SCOUT_IMPORT'!$E$42:$E$1040,SUBSTITUTE(SUBSTITUTE(SUBSTITUTE($B43,"~","~~"),"*","~*"),"?","~?"),'DEF_SELF_SCOUT_IMPORT'!$Q$42:$Q$1040,SUBSTITUTE(SUBSTITUTE(SUBSTITUTE($M43,"~","~~"),"*","~*"),"?","~?"),'DEF_SELF_SCOUT_IMPORT'!$H$42:$H$1040,"DROPBACK")/$C43)</f>
        <v>0.6666666666666666</v>
      </c>
      <c r="I43" s="14" t="str">
        <f>IF(C43=0,"",IF(C43&lt;=2,"TRACK",IF(C43=3,"LOW",IF(C43&lt;=6,"MEDIUM","HIGH"))))</f>
        <v>LOW</v>
      </c>
      <c r="J43" s="11">
        <f>IF(C43=0,"",ROUND(D43*70+(1-E43)*20+MAX(0,MIN(1,(10-F43)/10))*10,1))</f>
        <v>60.0</v>
      </c>
      <c r="K43" s="14" t="str">
        <f>IF(C43=0,"No Evidence",IF(C43&lt;=2,IF(E43&gt;0,"Explosive Alert","Track Only"),IF(C43=3,"Sample Watch",IF(E43&gt;=START_HERE!$B$31,"Explosive Alert",IF(J43&gt;=80,"Strong Candidate",IF(J43&gt;=65,"Good Candidate",IF(J43&gt;=50,"Mixed / Review","Problem Call")))))))</f>
        <v>Sample Watch</v>
      </c>
      <c r="L43" s="9" t="str">
        <f>IF(COUNTIFS('DEF_SELF_SCOUT_IMPORT'!$L$42:$L$1040,"Y",'DEF_SELF_SCOUT_IMPORT'!$E$42:$E$1040,SUBSTITUTE(SUBSTITUTE(SUBSTITUTE($B43,"~","~~"),"*","~*"),"?","~?"),'DEF_SELF_SCOUT_IMPORT'!$Q$42:$Q$1040,SUBSTITUTE(SUBSTITUTE(SUBSTITUTE($M43,"~","~~"),"*","~*"),"?","~?"),'DEF_SELF_SCOUT_IMPORT'!$J$42:$J$1040,"")&gt;0,"Unscored clean outcome; review result tags before using score.",IF(C43=0,"No matching defensive reps; film confirmation needed.",IF(K43="Explosive Alert","Explosive risk; review clips before using as answer.",IF(C43&lt;=2,"Track only; not enough sample.",IF(C43=3,IF(E43&gt;0,"Sample watch with explosive exposure; review clips and build the sample.",IF(J43&gt;=65,"Good signal, but sample is limited.","Sample watch; review clips and build the sample.")),IF(K43="Problem Call","Problem area; practice or call-sheet review.",IF(K43="Strong Candidate","Strong call-fit candidate; confirm on film.",IF(K43="Good Candidate","Good call-fit signal; confirm on film.","Mixed signal; review fit and execution on film."))))))))</f>
        <v>Sample watch with explosive exposure; review clips and build the sample.</v>
      </c>
      <c r="M43" s="8" t="s">
        <v>39</v>
      </c>
      <c r="N43" s="8"/>
      <c r="O43" s="8"/>
      <c r="P43" s="8"/>
      <c r="Q43" s="8"/>
      <c r="R43" s="8" t="s">
        <v>28</v>
      </c>
      <c r="S43" s="2" t="s">
        <v>41</v>
      </c>
      <c r="T43" s="2">
        <f>IF(C43=0,0,IF(C43&gt;=CALL_LOOKUP_BOARD!$B$7,IF(OR(K43="Problem Call",K43="Explosive Alert"),10000000,20000000),0)+IF(C43&gt;=CALL_LOOKUP_BOARD!$B$7,J43*1000+MIN(C43,999),C43*1000+J43)+0.00996600)</f>
        <v>3060.009966</v>
      </c>
      <c r="U43" s="2">
        <f>IF(C43=0,"",IF(COUNTIFS($S$10:$S$178,SUBSTITUTE(SUBSTITUTE(SUBSTITUTE(S43,"~","~~"),"*","~*"),"?","~?"),$T$10:$T$178,"&gt;"&amp;T43)=0,S43,""))</f>
        <v/>
      </c>
    </row>
    <row r="44" spans="1:21" ht="38" customHeight="1">
      <c r="A44" s="8" t="s">
        <v>39</v>
      </c>
      <c r="B44" s="8" t="s">
        <v>67</v>
      </c>
      <c r="C44" s="12">
        <f>COUNTIFS('DEF_SELF_SCOUT_IMPORT'!$L$42:$L$1040,"Y",'DEF_SELF_SCOUT_IMPORT'!$E$42:$E$1040,SUBSTITUTE(SUBSTITUTE(SUBSTITUTE($B44,"~","~~"),"*","~*"),"?","~?"),'DEF_SELF_SCOUT_IMPORT'!$Q$42:$Q$1040,SUBSTITUTE(SUBSTITUTE(SUBSTITUTE($M44,"~","~~"),"*","~*"),"?","~?"))</f>
        <v>3</v>
      </c>
      <c r="D44" s="10">
        <f>IF($C44=0,"",SUMIFS('DEF_SELF_SCOUT_IMPORT'!$J$42:$J$1040,'DEF_SELF_SCOUT_IMPORT'!$L$42:$L$1040,"Y",'DEF_SELF_SCOUT_IMPORT'!$E$42:$E$1040,SUBSTITUTE(SUBSTITUTE(SUBSTITUTE($B44,"~","~~"),"*","~*"),"?","~?"),'DEF_SELF_SCOUT_IMPORT'!$Q$42:$Q$1040,SUBSTITUTE(SUBSTITUTE(SUBSTITUTE($M44,"~","~~"),"*","~*"),"?","~?"))/$C44)</f>
        <v>0.3333333333333333</v>
      </c>
      <c r="E44" s="10">
        <f>IF($C44=0,"",SUMIFS('DEF_SELF_SCOUT_IMPORT'!$K$42:$K$1040,'DEF_SELF_SCOUT_IMPORT'!$L$42:$L$1040,"Y",'DEF_SELF_SCOUT_IMPORT'!$E$42:$E$1040,SUBSTITUTE(SUBSTITUTE(SUBSTITUTE($B44,"~","~~"),"*","~*"),"?","~?"),'DEF_SELF_SCOUT_IMPORT'!$Q$42:$Q$1040,SUBSTITUTE(SUBSTITUTE(SUBSTITUTE($M44,"~","~~"),"*","~*"),"?","~?"))/$C44)</f>
        <v>0.0</v>
      </c>
      <c r="F44" s="11">
        <f>IF($C44=0,"",AVERAGEIFS('DEF_SELF_SCOUT_IMPORT'!$I$42:$I$1040,'DEF_SELF_SCOUT_IMPORT'!$L$42:$L$1040,"Y",'DEF_SELF_SCOUT_IMPORT'!$E$42:$E$1040,SUBSTITUTE(SUBSTITUTE(SUBSTITUTE($B44,"~","~~"),"*","~*"),"?","~?"),'DEF_SELF_SCOUT_IMPORT'!$Q$42:$Q$1040,SUBSTITUTE(SUBSTITUTE(SUBSTITUTE($M44,"~","~~"),"*","~*"),"?","~?")))</f>
        <v>1.6666666666666667</v>
      </c>
      <c r="G44" s="10">
        <f>IF($C44=0,"",COUNTIFS('DEF_SELF_SCOUT_IMPORT'!$L$42:$L$1040,"Y",'DEF_SELF_SCOUT_IMPORT'!$E$42:$E$1040,SUBSTITUTE(SUBSTITUTE(SUBSTITUTE($B44,"~","~~"),"*","~*"),"?","~?"),'DEF_SELF_SCOUT_IMPORT'!$Q$42:$Q$1040,SUBSTITUTE(SUBSTITUTE(SUBSTITUTE($M44,"~","~~"),"*","~*"),"?","~?"),'DEF_SELF_SCOUT_IMPORT'!$H$42:$H$1040,"RUSH")/$C44)</f>
        <v>1.0</v>
      </c>
      <c r="H44" s="10">
        <f>IF($C44=0,"",COUNTIFS('DEF_SELF_SCOUT_IMPORT'!$L$42:$L$1040,"Y",'DEF_SELF_SCOUT_IMPORT'!$E$42:$E$1040,SUBSTITUTE(SUBSTITUTE(SUBSTITUTE($B44,"~","~~"),"*","~*"),"?","~?"),'DEF_SELF_SCOUT_IMPORT'!$Q$42:$Q$1040,SUBSTITUTE(SUBSTITUTE(SUBSTITUTE($M44,"~","~~"),"*","~*"),"?","~?"),'DEF_SELF_SCOUT_IMPORT'!$H$42:$H$1040,"DROPBACK")/$C44)</f>
        <v>0.0</v>
      </c>
      <c r="I44" s="14" t="str">
        <f>IF(C44=0,"",IF(C44&lt;=2,"TRACK",IF(C44=3,"LOW",IF(C44&lt;=6,"MEDIUM","HIGH"))))</f>
        <v>LOW</v>
      </c>
      <c r="J44" s="11">
        <f>IF(C44=0,"",ROUND(D44*70+(1-E44)*20+MAX(0,MIN(1,(10-F44)/10))*10,1))</f>
        <v>51.7</v>
      </c>
      <c r="K44" s="14" t="str">
        <f>IF(C44=0,"No Evidence",IF(C44&lt;=2,IF(E44&gt;0,"Explosive Alert","Track Only"),IF(C44=3,"Sample Watch",IF(E44&gt;=START_HERE!$B$31,"Explosive Alert",IF(J44&gt;=80,"Strong Candidate",IF(J44&gt;=65,"Good Candidate",IF(J44&gt;=50,"Mixed / Review","Problem Call")))))))</f>
        <v>Sample Watch</v>
      </c>
      <c r="L44" s="9" t="str">
        <f>IF(COUNTIFS('DEF_SELF_SCOUT_IMPORT'!$L$42:$L$1040,"Y",'DEF_SELF_SCOUT_IMPORT'!$E$42:$E$1040,SUBSTITUTE(SUBSTITUTE(SUBSTITUTE($B44,"~","~~"),"*","~*"),"?","~?"),'DEF_SELF_SCOUT_IMPORT'!$Q$42:$Q$1040,SUBSTITUTE(SUBSTITUTE(SUBSTITUTE($M44,"~","~~"),"*","~*"),"?","~?"),'DEF_SELF_SCOUT_IMPORT'!$J$42:$J$1040,"")&gt;0,"Unscored clean outcome; review result tags before using score.",IF(C44=0,"No matching defensive reps; film confirmation needed.",IF(K44="Explosive Alert","Explosive risk; review clips before using as answer.",IF(C44&lt;=2,"Track only; not enough sample.",IF(C44=3,IF(E44&gt;0,"Sample watch with explosive exposure; review clips and build the sample.",IF(J44&gt;=65,"Good signal, but sample is limited.","Sample watch; review clips and build the sample.")),IF(K44="Problem Call","Problem area; practice or call-sheet review.",IF(K44="Strong Candidate","Strong call-fit candidate; confirm on film.",IF(K44="Good Candidate","Good call-fit signal; confirm on film.","Mixed signal; review fit and execution on film."))))))))</f>
        <v>Sample watch; review clips and build the sample.</v>
      </c>
      <c r="M44" s="8" t="s">
        <v>39</v>
      </c>
      <c r="N44" s="8"/>
      <c r="O44" s="8"/>
      <c r="P44" s="8"/>
      <c r="Q44" s="8"/>
      <c r="R44" s="8" t="s">
        <v>28</v>
      </c>
      <c r="S44" s="2" t="s">
        <v>41</v>
      </c>
      <c r="T44" s="2">
        <f>IF(C44=0,0,IF(C44&gt;=CALL_LOOKUP_BOARD!$B$7,IF(OR(K44="Problem Call",K44="Explosive Alert"),10000000,20000000),0)+IF(C44&gt;=CALL_LOOKUP_BOARD!$B$7,J44*1000+MIN(C44,999),C44*1000+J44)+0.00996500)</f>
        <v>3051.709965</v>
      </c>
      <c r="U44" s="2">
        <f>IF(C44=0,"",IF(COUNTIFS($S$10:$S$178,SUBSTITUTE(SUBSTITUTE(SUBSTITUTE(S44,"~","~~"),"*","~*"),"?","~?"),$T$10:$T$178,"&gt;"&amp;T44)=0,S44,""))</f>
        <v/>
      </c>
    </row>
    <row r="45" spans="1:21" ht="38" customHeight="1">
      <c r="A45" s="8" t="s">
        <v>39</v>
      </c>
      <c r="B45" s="8" t="s">
        <v>68</v>
      </c>
      <c r="C45" s="12">
        <f>COUNTIFS('DEF_SELF_SCOUT_IMPORT'!$L$42:$L$1040,"Y",'DEF_SELF_SCOUT_IMPORT'!$E$42:$E$1040,SUBSTITUTE(SUBSTITUTE(SUBSTITUTE($B45,"~","~~"),"*","~*"),"?","~?"),'DEF_SELF_SCOUT_IMPORT'!$Q$42:$Q$1040,SUBSTITUTE(SUBSTITUTE(SUBSTITUTE($M45,"~","~~"),"*","~*"),"?","~?"))</f>
        <v>2</v>
      </c>
      <c r="D45" s="10">
        <f>IF($C45=0,"",SUMIFS('DEF_SELF_SCOUT_IMPORT'!$J$42:$J$1040,'DEF_SELF_SCOUT_IMPORT'!$L$42:$L$1040,"Y",'DEF_SELF_SCOUT_IMPORT'!$E$42:$E$1040,SUBSTITUTE(SUBSTITUTE(SUBSTITUTE($B45,"~","~~"),"*","~*"),"?","~?"),'DEF_SELF_SCOUT_IMPORT'!$Q$42:$Q$1040,SUBSTITUTE(SUBSTITUTE(SUBSTITUTE($M45,"~","~~"),"*","~*"),"?","~?"))/$C45)</f>
        <v>0.5</v>
      </c>
      <c r="E45" s="10">
        <f>IF($C45=0,"",SUMIFS('DEF_SELF_SCOUT_IMPORT'!$K$42:$K$1040,'DEF_SELF_SCOUT_IMPORT'!$L$42:$L$1040,"Y",'DEF_SELF_SCOUT_IMPORT'!$E$42:$E$1040,SUBSTITUTE(SUBSTITUTE(SUBSTITUTE($B45,"~","~~"),"*","~*"),"?","~?"),'DEF_SELF_SCOUT_IMPORT'!$Q$42:$Q$1040,SUBSTITUTE(SUBSTITUTE(SUBSTITUTE($M45,"~","~~"),"*","~*"),"?","~?"))/$C45)</f>
        <v>0.0</v>
      </c>
      <c r="F45" s="11">
        <f>IF($C45=0,"",AVERAGEIFS('DEF_SELF_SCOUT_IMPORT'!$I$42:$I$1040,'DEF_SELF_SCOUT_IMPORT'!$L$42:$L$1040,"Y",'DEF_SELF_SCOUT_IMPORT'!$E$42:$E$1040,SUBSTITUTE(SUBSTITUTE(SUBSTITUTE($B45,"~","~~"),"*","~*"),"?","~?"),'DEF_SELF_SCOUT_IMPORT'!$Q$42:$Q$1040,SUBSTITUTE(SUBSTITUTE(SUBSTITUTE($M45,"~","~~"),"*","~*"),"?","~?")))</f>
        <v>7.5</v>
      </c>
      <c r="G45" s="10">
        <f>IF($C45=0,"",COUNTIFS('DEF_SELF_SCOUT_IMPORT'!$L$42:$L$1040,"Y",'DEF_SELF_SCOUT_IMPORT'!$E$42:$E$1040,SUBSTITUTE(SUBSTITUTE(SUBSTITUTE($B45,"~","~~"),"*","~*"),"?","~?"),'DEF_SELF_SCOUT_IMPORT'!$Q$42:$Q$1040,SUBSTITUTE(SUBSTITUTE(SUBSTITUTE($M45,"~","~~"),"*","~*"),"?","~?"),'DEF_SELF_SCOUT_IMPORT'!$H$42:$H$1040,"RUSH")/$C45)</f>
        <v>0.0</v>
      </c>
      <c r="H45" s="10">
        <f>IF($C45=0,"",COUNTIFS('DEF_SELF_SCOUT_IMPORT'!$L$42:$L$1040,"Y",'DEF_SELF_SCOUT_IMPORT'!$E$42:$E$1040,SUBSTITUTE(SUBSTITUTE(SUBSTITUTE($B45,"~","~~"),"*","~*"),"?","~?"),'DEF_SELF_SCOUT_IMPORT'!$Q$42:$Q$1040,SUBSTITUTE(SUBSTITUTE(SUBSTITUTE($M45,"~","~~"),"*","~*"),"?","~?"),'DEF_SELF_SCOUT_IMPORT'!$H$42:$H$1040,"DROPBACK")/$C45)</f>
        <v>0.5</v>
      </c>
      <c r="I45" s="14" t="str">
        <f>IF(C45=0,"",IF(C45&lt;=2,"TRACK",IF(C45=3,"LOW",IF(C45&lt;=6,"MEDIUM","HIGH"))))</f>
        <v>TRACK</v>
      </c>
      <c r="J45" s="11">
        <f>IF(C45=0,"",ROUND(D45*70+(1-E45)*20+MAX(0,MIN(1,(10-F45)/10))*10,1))</f>
        <v>57.5</v>
      </c>
      <c r="K45" s="14" t="str">
        <f>IF(C45=0,"No Evidence",IF(C45&lt;=2,IF(E45&gt;0,"Explosive Alert","Track Only"),IF(C45=3,"Sample Watch",IF(E45&gt;=START_HERE!$B$31,"Explosive Alert",IF(J45&gt;=80,"Strong Candidate",IF(J45&gt;=65,"Good Candidate",IF(J45&gt;=50,"Mixed / Review","Problem Call")))))))</f>
        <v>Track Only</v>
      </c>
      <c r="L45" s="9" t="str">
        <f>IF(COUNTIFS('DEF_SELF_SCOUT_IMPORT'!$L$42:$L$1040,"Y",'DEF_SELF_SCOUT_IMPORT'!$E$42:$E$1040,SUBSTITUTE(SUBSTITUTE(SUBSTITUTE($B45,"~","~~"),"*","~*"),"?","~?"),'DEF_SELF_SCOUT_IMPORT'!$Q$42:$Q$1040,SUBSTITUTE(SUBSTITUTE(SUBSTITUTE($M45,"~","~~"),"*","~*"),"?","~?"),'DEF_SELF_SCOUT_IMPORT'!$J$42:$J$1040,"")&gt;0,"Unscored clean outcome; review result tags before using score.",IF(C45=0,"No matching defensive reps; film confirmation needed.",IF(K45="Explosive Alert","Explosive risk; review clips before using as answer.",IF(C45&lt;=2,"Track only; not enough sample.",IF(C45=3,IF(E45&gt;0,"Sample watch with explosive exposure; review clips and build the sample.",IF(J45&gt;=65,"Good signal, but sample is limited.","Sample watch; review clips and build the sample.")),IF(K45="Problem Call","Problem area; practice or call-sheet review.",IF(K45="Strong Candidate","Strong call-fit candidate; confirm on film.",IF(K45="Good Candidate","Good call-fit signal; confirm on film.","Mixed signal; review fit and execution on film."))))))))</f>
        <v>Track only; not enough sample.</v>
      </c>
      <c r="M45" s="8" t="s">
        <v>39</v>
      </c>
      <c r="N45" s="8"/>
      <c r="O45" s="8"/>
      <c r="P45" s="8"/>
      <c r="Q45" s="8"/>
      <c r="R45" s="8" t="s">
        <v>28</v>
      </c>
      <c r="S45" s="2" t="s">
        <v>41</v>
      </c>
      <c r="T45" s="2">
        <f>IF(C45=0,0,IF(C45&gt;=CALL_LOOKUP_BOARD!$B$7,IF(OR(K45="Problem Call",K45="Explosive Alert"),10000000,20000000),0)+IF(C45&gt;=CALL_LOOKUP_BOARD!$B$7,J45*1000+MIN(C45,999),C45*1000+J45)+0.00996400)</f>
        <v>2057.509964</v>
      </c>
      <c r="U45" s="2">
        <f>IF(C45=0,"",IF(COUNTIFS($S$10:$S$178,SUBSTITUTE(SUBSTITUTE(SUBSTITUTE(S45,"~","~~"),"*","~*"),"?","~?"),$T$10:$T$178,"&gt;"&amp;T45)=0,S45,""))</f>
        <v/>
      </c>
    </row>
    <row r="46" spans="1:21" ht="38" customHeight="1">
      <c r="A46" s="8" t="s">
        <v>39</v>
      </c>
      <c r="B46" s="8" t="s">
        <v>69</v>
      </c>
      <c r="C46" s="12">
        <f>COUNTIFS('DEF_SELF_SCOUT_IMPORT'!$L$42:$L$1040,"Y",'DEF_SELF_SCOUT_IMPORT'!$E$42:$E$1040,SUBSTITUTE(SUBSTITUTE(SUBSTITUTE($B46,"~","~~"),"*","~*"),"?","~?"),'DEF_SELF_SCOUT_IMPORT'!$Q$42:$Q$1040,SUBSTITUTE(SUBSTITUTE(SUBSTITUTE($M46,"~","~~"),"*","~*"),"?","~?"))</f>
        <v>3</v>
      </c>
      <c r="D46" s="10">
        <f>IF($C46=0,"",SUMIFS('DEF_SELF_SCOUT_IMPORT'!$J$42:$J$1040,'DEF_SELF_SCOUT_IMPORT'!$L$42:$L$1040,"Y",'DEF_SELF_SCOUT_IMPORT'!$E$42:$E$1040,SUBSTITUTE(SUBSTITUTE(SUBSTITUTE($B46,"~","~~"),"*","~*"),"?","~?"),'DEF_SELF_SCOUT_IMPORT'!$Q$42:$Q$1040,SUBSTITUTE(SUBSTITUTE(SUBSTITUTE($M46,"~","~~"),"*","~*"),"?","~?"))/$C46)</f>
        <v>1.0</v>
      </c>
      <c r="E46" s="10">
        <f>IF($C46=0,"",SUMIFS('DEF_SELF_SCOUT_IMPORT'!$K$42:$K$1040,'DEF_SELF_SCOUT_IMPORT'!$L$42:$L$1040,"Y",'DEF_SELF_SCOUT_IMPORT'!$E$42:$E$1040,SUBSTITUTE(SUBSTITUTE(SUBSTITUTE($B46,"~","~~"),"*","~*"),"?","~?"),'DEF_SELF_SCOUT_IMPORT'!$Q$42:$Q$1040,SUBSTITUTE(SUBSTITUTE(SUBSTITUTE($M46,"~","~~"),"*","~*"),"?","~?"))/$C46)</f>
        <v>0.0</v>
      </c>
      <c r="F46" s="11">
        <f>IF($C46=0,"",AVERAGEIFS('DEF_SELF_SCOUT_IMPORT'!$I$42:$I$1040,'DEF_SELF_SCOUT_IMPORT'!$L$42:$L$1040,"Y",'DEF_SELF_SCOUT_IMPORT'!$E$42:$E$1040,SUBSTITUTE(SUBSTITUTE(SUBSTITUTE($B46,"~","~~"),"*","~*"),"?","~?"),'DEF_SELF_SCOUT_IMPORT'!$Q$42:$Q$1040,SUBSTITUTE(SUBSTITUTE(SUBSTITUTE($M46,"~","~~"),"*","~*"),"?","~?")))</f>
        <v>0.6666666666666666</v>
      </c>
      <c r="G46" s="10">
        <f>IF($C46=0,"",COUNTIFS('DEF_SELF_SCOUT_IMPORT'!$L$42:$L$1040,"Y",'DEF_SELF_SCOUT_IMPORT'!$E$42:$E$1040,SUBSTITUTE(SUBSTITUTE(SUBSTITUTE($B46,"~","~~"),"*","~*"),"?","~?"),'DEF_SELF_SCOUT_IMPORT'!$Q$42:$Q$1040,SUBSTITUTE(SUBSTITUTE(SUBSTITUTE($M46,"~","~~"),"*","~*"),"?","~?"),'DEF_SELF_SCOUT_IMPORT'!$H$42:$H$1040,"RUSH")/$C46)</f>
        <v>0.6666666666666666</v>
      </c>
      <c r="H46" s="10">
        <f>IF($C46=0,"",COUNTIFS('DEF_SELF_SCOUT_IMPORT'!$L$42:$L$1040,"Y",'DEF_SELF_SCOUT_IMPORT'!$E$42:$E$1040,SUBSTITUTE(SUBSTITUTE(SUBSTITUTE($B46,"~","~~"),"*","~*"),"?","~?"),'DEF_SELF_SCOUT_IMPORT'!$Q$42:$Q$1040,SUBSTITUTE(SUBSTITUTE(SUBSTITUTE($M46,"~","~~"),"*","~*"),"?","~?"),'DEF_SELF_SCOUT_IMPORT'!$H$42:$H$1040,"DROPBACK")/$C46)</f>
        <v>0.3333333333333333</v>
      </c>
      <c r="I46" s="14" t="str">
        <f>IF(C46=0,"",IF(C46&lt;=2,"TRACK",IF(C46=3,"LOW",IF(C46&lt;=6,"MEDIUM","HIGH"))))</f>
        <v>LOW</v>
      </c>
      <c r="J46" s="11">
        <f>IF(C46=0,"",ROUND(D46*70+(1-E46)*20+MAX(0,MIN(1,(10-F46)/10))*10,1))</f>
        <v>99.3</v>
      </c>
      <c r="K46" s="14" t="str">
        <f>IF(C46=0,"No Evidence",IF(C46&lt;=2,IF(E46&gt;0,"Explosive Alert","Track Only"),IF(C46=3,"Sample Watch",IF(E46&gt;=START_HERE!$B$31,"Explosive Alert",IF(J46&gt;=80,"Strong Candidate",IF(J46&gt;=65,"Good Candidate",IF(J46&gt;=50,"Mixed / Review","Problem Call")))))))</f>
        <v>Sample Watch</v>
      </c>
      <c r="L46" s="9" t="str">
        <f>IF(COUNTIFS('DEF_SELF_SCOUT_IMPORT'!$L$42:$L$1040,"Y",'DEF_SELF_SCOUT_IMPORT'!$E$42:$E$1040,SUBSTITUTE(SUBSTITUTE(SUBSTITUTE($B46,"~","~~"),"*","~*"),"?","~?"),'DEF_SELF_SCOUT_IMPORT'!$Q$42:$Q$1040,SUBSTITUTE(SUBSTITUTE(SUBSTITUTE($M46,"~","~~"),"*","~*"),"?","~?"),'DEF_SELF_SCOUT_IMPORT'!$J$42:$J$1040,"")&gt;0,"Unscored clean outcome; review result tags before using score.",IF(C46=0,"No matching defensive reps; film confirmation needed.",IF(K46="Explosive Alert","Explosive risk; review clips before using as answer.",IF(C46&lt;=2,"Track only; not enough sample.",IF(C46=3,IF(E46&gt;0,"Sample watch with explosive exposure; review clips and build the sample.",IF(J46&gt;=65,"Good signal, but sample is limited.","Sample watch; review clips and build the sample.")),IF(K46="Problem Call","Problem area; practice or call-sheet review.",IF(K46="Strong Candidate","Strong call-fit candidate; confirm on film.",IF(K46="Good Candidate","Good call-fit signal; confirm on film.","Mixed signal; review fit and execution on film."))))))))</f>
        <v>Good signal, but sample is limited.</v>
      </c>
      <c r="M46" s="8" t="s">
        <v>39</v>
      </c>
      <c r="N46" s="8"/>
      <c r="O46" s="8"/>
      <c r="P46" s="8"/>
      <c r="Q46" s="8"/>
      <c r="R46" s="8" t="s">
        <v>28</v>
      </c>
      <c r="S46" s="2" t="s">
        <v>41</v>
      </c>
      <c r="T46" s="2">
        <f>IF(C46=0,0,IF(C46&gt;=CALL_LOOKUP_BOARD!$B$7,IF(OR(K46="Problem Call",K46="Explosive Alert"),10000000,20000000),0)+IF(C46&gt;=CALL_LOOKUP_BOARD!$B$7,J46*1000+MIN(C46,999),C46*1000+J46)+0.00996300)</f>
        <v>3099.309963</v>
      </c>
      <c r="U46" s="2">
        <f>IF(C46=0,"",IF(COUNTIFS($S$10:$S$178,SUBSTITUTE(SUBSTITUTE(SUBSTITUTE(S46,"~","~~"),"*","~*"),"?","~?"),$T$10:$T$178,"&gt;"&amp;T46)=0,S46,""))</f>
        <v/>
      </c>
    </row>
    <row r="47" spans="1:21" ht="38" customHeight="1">
      <c r="A47" s="8" t="s">
        <v>70</v>
      </c>
      <c r="B47" s="8" t="s">
        <v>27</v>
      </c>
      <c r="C47" s="12">
        <f>COUNTIFS('DEF_SELF_SCOUT_IMPORT'!$L$42:$L$1040,"Y",'DEF_SELF_SCOUT_IMPORT'!$E$42:$E$1040,SUBSTITUTE(SUBSTITUTE(SUBSTITUTE($B47,"~","~~"),"*","~*"),"?","~?"),'DEF_SELF_SCOUT_IMPORT'!$Q$42:$Q$1040,SUBSTITUTE(SUBSTITUTE(SUBSTITUTE($M47,"~","~~"),"*","~*"),"?","~?"))</f>
        <v>1</v>
      </c>
      <c r="D47" s="10">
        <f>IF($C47=0,"",SUMIFS('DEF_SELF_SCOUT_IMPORT'!$J$42:$J$1040,'DEF_SELF_SCOUT_IMPORT'!$L$42:$L$1040,"Y",'DEF_SELF_SCOUT_IMPORT'!$E$42:$E$1040,SUBSTITUTE(SUBSTITUTE(SUBSTITUTE($B47,"~","~~"),"*","~*"),"?","~?"),'DEF_SELF_SCOUT_IMPORT'!$Q$42:$Q$1040,SUBSTITUTE(SUBSTITUTE(SUBSTITUTE($M47,"~","~~"),"*","~*"),"?","~?"))/$C47)</f>
        <v>0.0</v>
      </c>
      <c r="E47" s="10">
        <f>IF($C47=0,"",SUMIFS('DEF_SELF_SCOUT_IMPORT'!$K$42:$K$1040,'DEF_SELF_SCOUT_IMPORT'!$L$42:$L$1040,"Y",'DEF_SELF_SCOUT_IMPORT'!$E$42:$E$1040,SUBSTITUTE(SUBSTITUTE(SUBSTITUTE($B47,"~","~~"),"*","~*"),"?","~?"),'DEF_SELF_SCOUT_IMPORT'!$Q$42:$Q$1040,SUBSTITUTE(SUBSTITUTE(SUBSTITUTE($M47,"~","~~"),"*","~*"),"?","~?"))/$C47)</f>
        <v>0.0</v>
      </c>
      <c r="F47" s="11">
        <f>IF($C47=0,"",AVERAGEIFS('DEF_SELF_SCOUT_IMPORT'!$I$42:$I$1040,'DEF_SELF_SCOUT_IMPORT'!$L$42:$L$1040,"Y",'DEF_SELF_SCOUT_IMPORT'!$E$42:$E$1040,SUBSTITUTE(SUBSTITUTE(SUBSTITUTE($B47,"~","~~"),"*","~*"),"?","~?"),'DEF_SELF_SCOUT_IMPORT'!$Q$42:$Q$1040,SUBSTITUTE(SUBSTITUTE(SUBSTITUTE($M47,"~","~~"),"*","~*"),"?","~?")))</f>
        <v>1.0</v>
      </c>
      <c r="G47" s="10">
        <f>IF($C47=0,"",COUNTIFS('DEF_SELF_SCOUT_IMPORT'!$L$42:$L$1040,"Y",'DEF_SELF_SCOUT_IMPORT'!$E$42:$E$1040,SUBSTITUTE(SUBSTITUTE(SUBSTITUTE($B47,"~","~~"),"*","~*"),"?","~?"),'DEF_SELF_SCOUT_IMPORT'!$Q$42:$Q$1040,SUBSTITUTE(SUBSTITUTE(SUBSTITUTE($M47,"~","~~"),"*","~*"),"?","~?"),'DEF_SELF_SCOUT_IMPORT'!$H$42:$H$1040,"RUSH")/$C47)</f>
        <v>0.0</v>
      </c>
      <c r="H47" s="10">
        <f>IF($C47=0,"",COUNTIFS('DEF_SELF_SCOUT_IMPORT'!$L$42:$L$1040,"Y",'DEF_SELF_SCOUT_IMPORT'!$E$42:$E$1040,SUBSTITUTE(SUBSTITUTE(SUBSTITUTE($B47,"~","~~"),"*","~*"),"?","~?"),'DEF_SELF_SCOUT_IMPORT'!$Q$42:$Q$1040,SUBSTITUTE(SUBSTITUTE(SUBSTITUTE($M47,"~","~~"),"*","~*"),"?","~?"),'DEF_SELF_SCOUT_IMPORT'!$H$42:$H$1040,"DROPBACK")/$C47)</f>
        <v>0.0</v>
      </c>
      <c r="I47" s="14" t="str">
        <f>IF(C47=0,"",IF(C47&lt;=2,"TRACK",IF(C47=3,"LOW",IF(C47&lt;=6,"MEDIUM","HIGH"))))</f>
        <v>TRACK</v>
      </c>
      <c r="J47" s="11">
        <f>IF(C47=0,"",ROUND(D47*70+(1-E47)*20+MAX(0,MIN(1,(10-F47)/10))*10,1))</f>
        <v>29.0</v>
      </c>
      <c r="K47" s="14" t="str">
        <f>IF(C47=0,"No Evidence",IF(C47&lt;=2,IF(E47&gt;0,"Explosive Alert","Track Only"),IF(C47=3,"Sample Watch",IF(E47&gt;=START_HERE!$B$31,"Explosive Alert",IF(J47&gt;=80,"Strong Candidate",IF(J47&gt;=65,"Good Candidate",IF(J47&gt;=50,"Mixed / Review","Problem Call")))))))</f>
        <v>Track Only</v>
      </c>
      <c r="L47" s="9" t="str">
        <f>IF(COUNTIFS('DEF_SELF_SCOUT_IMPORT'!$L$42:$L$1040,"Y",'DEF_SELF_SCOUT_IMPORT'!$E$42:$E$1040,SUBSTITUTE(SUBSTITUTE(SUBSTITUTE($B47,"~","~~"),"*","~*"),"?","~?"),'DEF_SELF_SCOUT_IMPORT'!$Q$42:$Q$1040,SUBSTITUTE(SUBSTITUTE(SUBSTITUTE($M47,"~","~~"),"*","~*"),"?","~?"),'DEF_SELF_SCOUT_IMPORT'!$J$42:$J$1040,"")&gt;0,"Unscored clean outcome; review result tags before using score.",IF(C47=0,"No matching defensive reps; film confirmation needed.",IF(K47="Explosive Alert","Explosive risk; review clips before using as answer.",IF(C47&lt;=2,"Track only; not enough sample.",IF(C47=3,IF(E47&gt;0,"Sample watch with explosive exposure; review clips and build the sample.",IF(J47&gt;=65,"Good signal, but sample is limited.","Sample watch; review clips and build the sample.")),IF(K47="Problem Call","Problem area; practice or call-sheet review.",IF(K47="Strong Candidate","Strong call-fit candidate; confirm on film.",IF(K47="Good Candidate","Good call-fit signal; confirm on film.","Mixed signal; review fit and execution on film."))))))))</f>
        <v>Track only; not enough sample.</v>
      </c>
      <c r="M47" s="8" t="s">
        <v>70</v>
      </c>
      <c r="N47" s="8"/>
      <c r="O47" s="8"/>
      <c r="P47" s="8"/>
      <c r="Q47" s="8"/>
      <c r="R47" s="8" t="s">
        <v>28</v>
      </c>
      <c r="S47" s="2" t="s">
        <v>71</v>
      </c>
      <c r="T47" s="2">
        <f>IF(C47=0,0,IF(C47&gt;=CALL_LOOKUP_BOARD!$B$7,IF(OR(K47="Problem Call",K47="Explosive Alert"),10000000,20000000),0)+IF(C47&gt;=CALL_LOOKUP_BOARD!$B$7,J47*1000+MIN(C47,999),C47*1000+J47)+0.00996200)</f>
        <v>1029.009962</v>
      </c>
      <c r="U47" s="2">
        <f>IF(C47=0,"",IF(COUNTIFS($S$10:$S$178,SUBSTITUTE(SUBSTITUTE(SUBSTITUTE(S47,"~","~~"),"*","~*"),"?","~?"),$T$10:$T$178,"&gt;"&amp;T47)=0,S47,""))</f>
        <v/>
      </c>
    </row>
    <row r="48" spans="1:21" ht="38" customHeight="1">
      <c r="A48" s="8" t="s">
        <v>70</v>
      </c>
      <c r="B48" s="8" t="s">
        <v>46</v>
      </c>
      <c r="C48" s="12">
        <f>COUNTIFS('DEF_SELF_SCOUT_IMPORT'!$L$42:$L$1040,"Y",'DEF_SELF_SCOUT_IMPORT'!$E$42:$E$1040,SUBSTITUTE(SUBSTITUTE(SUBSTITUTE($B48,"~","~~"),"*","~*"),"?","~?"),'DEF_SELF_SCOUT_IMPORT'!$Q$42:$Q$1040,SUBSTITUTE(SUBSTITUTE(SUBSTITUTE($M48,"~","~~"),"*","~*"),"?","~?"))</f>
        <v>1</v>
      </c>
      <c r="D48" s="10">
        <f>IF($C48=0,"",SUMIFS('DEF_SELF_SCOUT_IMPORT'!$J$42:$J$1040,'DEF_SELF_SCOUT_IMPORT'!$L$42:$L$1040,"Y",'DEF_SELF_SCOUT_IMPORT'!$E$42:$E$1040,SUBSTITUTE(SUBSTITUTE(SUBSTITUTE($B48,"~","~~"),"*","~*"),"?","~?"),'DEF_SELF_SCOUT_IMPORT'!$Q$42:$Q$1040,SUBSTITUTE(SUBSTITUTE(SUBSTITUTE($M48,"~","~~"),"*","~*"),"?","~?"))/$C48)</f>
        <v>1.0</v>
      </c>
      <c r="E48" s="10">
        <f>IF($C48=0,"",SUMIFS('DEF_SELF_SCOUT_IMPORT'!$K$42:$K$1040,'DEF_SELF_SCOUT_IMPORT'!$L$42:$L$1040,"Y",'DEF_SELF_SCOUT_IMPORT'!$E$42:$E$1040,SUBSTITUTE(SUBSTITUTE(SUBSTITUTE($B48,"~","~~"),"*","~*"),"?","~?"),'DEF_SELF_SCOUT_IMPORT'!$Q$42:$Q$1040,SUBSTITUTE(SUBSTITUTE(SUBSTITUTE($M48,"~","~~"),"*","~*"),"?","~?"))/$C48)</f>
        <v>0.0</v>
      </c>
      <c r="F48" s="11">
        <f>IF($C48=0,"",AVERAGEIFS('DEF_SELF_SCOUT_IMPORT'!$I$42:$I$1040,'DEF_SELF_SCOUT_IMPORT'!$L$42:$L$1040,"Y",'DEF_SELF_SCOUT_IMPORT'!$E$42:$E$1040,SUBSTITUTE(SUBSTITUTE(SUBSTITUTE($B48,"~","~~"),"*","~*"),"?","~?"),'DEF_SELF_SCOUT_IMPORT'!$Q$42:$Q$1040,SUBSTITUTE(SUBSTITUTE(SUBSTITUTE($M48,"~","~~"),"*","~*"),"?","~?")))</f>
        <v>0.0</v>
      </c>
      <c r="G48" s="10">
        <f>IF($C48=0,"",COUNTIFS('DEF_SELF_SCOUT_IMPORT'!$L$42:$L$1040,"Y",'DEF_SELF_SCOUT_IMPORT'!$E$42:$E$1040,SUBSTITUTE(SUBSTITUTE(SUBSTITUTE($B48,"~","~~"),"*","~*"),"?","~?"),'DEF_SELF_SCOUT_IMPORT'!$Q$42:$Q$1040,SUBSTITUTE(SUBSTITUTE(SUBSTITUTE($M48,"~","~~"),"*","~*"),"?","~?"),'DEF_SELF_SCOUT_IMPORT'!$H$42:$H$1040,"RUSH")/$C48)</f>
        <v>0.0</v>
      </c>
      <c r="H48" s="10">
        <f>IF($C48=0,"",COUNTIFS('DEF_SELF_SCOUT_IMPORT'!$L$42:$L$1040,"Y",'DEF_SELF_SCOUT_IMPORT'!$E$42:$E$1040,SUBSTITUTE(SUBSTITUTE(SUBSTITUTE($B48,"~","~~"),"*","~*"),"?","~?"),'DEF_SELF_SCOUT_IMPORT'!$Q$42:$Q$1040,SUBSTITUTE(SUBSTITUTE(SUBSTITUTE($M48,"~","~~"),"*","~*"),"?","~?"),'DEF_SELF_SCOUT_IMPORT'!$H$42:$H$1040,"DROPBACK")/$C48)</f>
        <v>1.0</v>
      </c>
      <c r="I48" s="14" t="str">
        <f>IF(C48=0,"",IF(C48&lt;=2,"TRACK",IF(C48=3,"LOW",IF(C48&lt;=6,"MEDIUM","HIGH"))))</f>
        <v>TRACK</v>
      </c>
      <c r="J48" s="11">
        <f>IF(C48=0,"",ROUND(D48*70+(1-E48)*20+MAX(0,MIN(1,(10-F48)/10))*10,1))</f>
        <v>100.0</v>
      </c>
      <c r="K48" s="14" t="str">
        <f>IF(C48=0,"No Evidence",IF(C48&lt;=2,IF(E48&gt;0,"Explosive Alert","Track Only"),IF(C48=3,"Sample Watch",IF(E48&gt;=START_HERE!$B$31,"Explosive Alert",IF(J48&gt;=80,"Strong Candidate",IF(J48&gt;=65,"Good Candidate",IF(J48&gt;=50,"Mixed / Review","Problem Call")))))))</f>
        <v>Track Only</v>
      </c>
      <c r="L48" s="9" t="str">
        <f>IF(COUNTIFS('DEF_SELF_SCOUT_IMPORT'!$L$42:$L$1040,"Y",'DEF_SELF_SCOUT_IMPORT'!$E$42:$E$1040,SUBSTITUTE(SUBSTITUTE(SUBSTITUTE($B48,"~","~~"),"*","~*"),"?","~?"),'DEF_SELF_SCOUT_IMPORT'!$Q$42:$Q$1040,SUBSTITUTE(SUBSTITUTE(SUBSTITUTE($M48,"~","~~"),"*","~*"),"?","~?"),'DEF_SELF_SCOUT_IMPORT'!$J$42:$J$1040,"")&gt;0,"Unscored clean outcome; review result tags before using score.",IF(C48=0,"No matching defensive reps; film confirmation needed.",IF(K48="Explosive Alert","Explosive risk; review clips before using as answer.",IF(C48&lt;=2,"Track only; not enough sample.",IF(C48=3,IF(E48&gt;0,"Sample watch with explosive exposure; review clips and build the sample.",IF(J48&gt;=65,"Good signal, but sample is limited.","Sample watch; review clips and build the sample.")),IF(K48="Problem Call","Problem area; practice or call-sheet review.",IF(K48="Strong Candidate","Strong call-fit candidate; confirm on film.",IF(K48="Good Candidate","Good call-fit signal; confirm on film.","Mixed signal; review fit and execution on film."))))))))</f>
        <v>Track only; not enough sample.</v>
      </c>
      <c r="M48" s="8" t="s">
        <v>70</v>
      </c>
      <c r="N48" s="8"/>
      <c r="O48" s="8"/>
      <c r="P48" s="8"/>
      <c r="Q48" s="8"/>
      <c r="R48" s="8" t="s">
        <v>28</v>
      </c>
      <c r="S48" s="2" t="s">
        <v>71</v>
      </c>
      <c r="T48" s="2">
        <f>IF(C48=0,0,IF(C48&gt;=CALL_LOOKUP_BOARD!$B$7,IF(OR(K48="Problem Call",K48="Explosive Alert"),10000000,20000000),0)+IF(C48&gt;=CALL_LOOKUP_BOARD!$B$7,J48*1000+MIN(C48,999),C48*1000+J48)+0.00996100)</f>
        <v>1100.009961</v>
      </c>
      <c r="U48" s="2">
        <f>IF(C48=0,"",IF(COUNTIFS($S$10:$S$178,SUBSTITUTE(SUBSTITUTE(SUBSTITUTE(S48,"~","~~"),"*","~*"),"?","~?"),$T$10:$T$178,"&gt;"&amp;T48)=0,S48,""))</f>
        <v/>
      </c>
    </row>
    <row r="49" spans="1:21" ht="38" customHeight="1">
      <c r="A49" s="8" t="s">
        <v>70</v>
      </c>
      <c r="B49" s="8" t="s">
        <v>30</v>
      </c>
      <c r="C49" s="12">
        <f>COUNTIFS('DEF_SELF_SCOUT_IMPORT'!$L$42:$L$1040,"Y",'DEF_SELF_SCOUT_IMPORT'!$E$42:$E$1040,SUBSTITUTE(SUBSTITUTE(SUBSTITUTE($B49,"~","~~"),"*","~*"),"?","~?"),'DEF_SELF_SCOUT_IMPORT'!$Q$42:$Q$1040,SUBSTITUTE(SUBSTITUTE(SUBSTITUTE($M49,"~","~~"),"*","~*"),"?","~?"))</f>
        <v>2</v>
      </c>
      <c r="D49" s="10">
        <f>IF($C49=0,"",SUMIFS('DEF_SELF_SCOUT_IMPORT'!$J$42:$J$1040,'DEF_SELF_SCOUT_IMPORT'!$L$42:$L$1040,"Y",'DEF_SELF_SCOUT_IMPORT'!$E$42:$E$1040,SUBSTITUTE(SUBSTITUTE(SUBSTITUTE($B49,"~","~~"),"*","~*"),"?","~?"),'DEF_SELF_SCOUT_IMPORT'!$Q$42:$Q$1040,SUBSTITUTE(SUBSTITUTE(SUBSTITUTE($M49,"~","~~"),"*","~*"),"?","~?"))/$C49)</f>
        <v>0.5</v>
      </c>
      <c r="E49" s="10">
        <f>IF($C49=0,"",SUMIFS('DEF_SELF_SCOUT_IMPORT'!$K$42:$K$1040,'DEF_SELF_SCOUT_IMPORT'!$L$42:$L$1040,"Y",'DEF_SELF_SCOUT_IMPORT'!$E$42:$E$1040,SUBSTITUTE(SUBSTITUTE(SUBSTITUTE($B49,"~","~~"),"*","~*"),"?","~?"),'DEF_SELF_SCOUT_IMPORT'!$Q$42:$Q$1040,SUBSTITUTE(SUBSTITUTE(SUBSTITUTE($M49,"~","~~"),"*","~*"),"?","~?"))/$C49)</f>
        <v>0.0</v>
      </c>
      <c r="F49" s="11">
        <f>IF($C49=0,"",AVERAGEIFS('DEF_SELF_SCOUT_IMPORT'!$I$42:$I$1040,'DEF_SELF_SCOUT_IMPORT'!$L$42:$L$1040,"Y",'DEF_SELF_SCOUT_IMPORT'!$E$42:$E$1040,SUBSTITUTE(SUBSTITUTE(SUBSTITUTE($B49,"~","~~"),"*","~*"),"?","~?"),'DEF_SELF_SCOUT_IMPORT'!$Q$42:$Q$1040,SUBSTITUTE(SUBSTITUTE(SUBSTITUTE($M49,"~","~~"),"*","~*"),"?","~?")))</f>
        <v>1.5</v>
      </c>
      <c r="G49" s="10">
        <f>IF($C49=0,"",COUNTIFS('DEF_SELF_SCOUT_IMPORT'!$L$42:$L$1040,"Y",'DEF_SELF_SCOUT_IMPORT'!$E$42:$E$1040,SUBSTITUTE(SUBSTITUTE(SUBSTITUTE($B49,"~","~~"),"*","~*"),"?","~?"),'DEF_SELF_SCOUT_IMPORT'!$Q$42:$Q$1040,SUBSTITUTE(SUBSTITUTE(SUBSTITUTE($M49,"~","~~"),"*","~*"),"?","~?"),'DEF_SELF_SCOUT_IMPORT'!$H$42:$H$1040,"RUSH")/$C49)</f>
        <v>0.5</v>
      </c>
      <c r="H49" s="10">
        <f>IF($C49=0,"",COUNTIFS('DEF_SELF_SCOUT_IMPORT'!$L$42:$L$1040,"Y",'DEF_SELF_SCOUT_IMPORT'!$E$42:$E$1040,SUBSTITUTE(SUBSTITUTE(SUBSTITUTE($B49,"~","~~"),"*","~*"),"?","~?"),'DEF_SELF_SCOUT_IMPORT'!$Q$42:$Q$1040,SUBSTITUTE(SUBSTITUTE(SUBSTITUTE($M49,"~","~~"),"*","~*"),"?","~?"),'DEF_SELF_SCOUT_IMPORT'!$H$42:$H$1040,"DROPBACK")/$C49)</f>
        <v>0.0</v>
      </c>
      <c r="I49" s="14" t="str">
        <f>IF(C49=0,"",IF(C49&lt;=2,"TRACK",IF(C49=3,"LOW",IF(C49&lt;=6,"MEDIUM","HIGH"))))</f>
        <v>TRACK</v>
      </c>
      <c r="J49" s="11">
        <f>IF(C49=0,"",ROUND(D49*70+(1-E49)*20+MAX(0,MIN(1,(10-F49)/10))*10,1))</f>
        <v>63.5</v>
      </c>
      <c r="K49" s="14" t="str">
        <f>IF(C49=0,"No Evidence",IF(C49&lt;=2,IF(E49&gt;0,"Explosive Alert","Track Only"),IF(C49=3,"Sample Watch",IF(E49&gt;=START_HERE!$B$31,"Explosive Alert",IF(J49&gt;=80,"Strong Candidate",IF(J49&gt;=65,"Good Candidate",IF(J49&gt;=50,"Mixed / Review","Problem Call")))))))</f>
        <v>Track Only</v>
      </c>
      <c r="L49" s="9" t="str">
        <f>IF(COUNTIFS('DEF_SELF_SCOUT_IMPORT'!$L$42:$L$1040,"Y",'DEF_SELF_SCOUT_IMPORT'!$E$42:$E$1040,SUBSTITUTE(SUBSTITUTE(SUBSTITUTE($B49,"~","~~"),"*","~*"),"?","~?"),'DEF_SELF_SCOUT_IMPORT'!$Q$42:$Q$1040,SUBSTITUTE(SUBSTITUTE(SUBSTITUTE($M49,"~","~~"),"*","~*"),"?","~?"),'DEF_SELF_SCOUT_IMPORT'!$J$42:$J$1040,"")&gt;0,"Unscored clean outcome; review result tags before using score.",IF(C49=0,"No matching defensive reps; film confirmation needed.",IF(K49="Explosive Alert","Explosive risk; review clips before using as answer.",IF(C49&lt;=2,"Track only; not enough sample.",IF(C49=3,IF(E49&gt;0,"Sample watch with explosive exposure; review clips and build the sample.",IF(J49&gt;=65,"Good signal, but sample is limited.","Sample watch; review clips and build the sample.")),IF(K49="Problem Call","Problem area; practice or call-sheet review.",IF(K49="Strong Candidate","Strong call-fit candidate; confirm on film.",IF(K49="Good Candidate","Good call-fit signal; confirm on film.","Mixed signal; review fit and execution on film."))))))))</f>
        <v>Track only; not enough sample.</v>
      </c>
      <c r="M49" s="8" t="s">
        <v>70</v>
      </c>
      <c r="N49" s="8"/>
      <c r="O49" s="8"/>
      <c r="P49" s="8"/>
      <c r="Q49" s="8"/>
      <c r="R49" s="8" t="s">
        <v>28</v>
      </c>
      <c r="S49" s="2" t="s">
        <v>71</v>
      </c>
      <c r="T49" s="2">
        <f>IF(C49=0,0,IF(C49&gt;=CALL_LOOKUP_BOARD!$B$7,IF(OR(K49="Problem Call",K49="Explosive Alert"),10000000,20000000),0)+IF(C49&gt;=CALL_LOOKUP_BOARD!$B$7,J49*1000+MIN(C49,999),C49*1000+J49)+0.00996000)</f>
        <v>2063.50996</v>
      </c>
      <c r="U49" s="2" t="str">
        <f>IF(C49=0,"",IF(COUNTIFS($S$10:$S$178,SUBSTITUTE(SUBSTITUTE(SUBSTITUTE(S49,"~","~~"),"*","~*"),"?","~?"),$T$10:$T$178,"&gt;"&amp;T49)=0,S49,""))</f>
        <v>6:2D 1-3|</v>
      </c>
    </row>
    <row r="50" spans="1:21" ht="38" customHeight="1">
      <c r="A50" s="8" t="s">
        <v>70</v>
      </c>
      <c r="B50" s="8" t="s">
        <v>72</v>
      </c>
      <c r="C50" s="12">
        <f>COUNTIFS('DEF_SELF_SCOUT_IMPORT'!$L$42:$L$1040,"Y",'DEF_SELF_SCOUT_IMPORT'!$E$42:$E$1040,SUBSTITUTE(SUBSTITUTE(SUBSTITUTE($B50,"~","~~"),"*","~*"),"?","~?"),'DEF_SELF_SCOUT_IMPORT'!$Q$42:$Q$1040,SUBSTITUTE(SUBSTITUTE(SUBSTITUTE($M50,"~","~~"),"*","~*"),"?","~?"))</f>
        <v>1</v>
      </c>
      <c r="D50" s="10">
        <f>IF($C50=0,"",SUMIFS('DEF_SELF_SCOUT_IMPORT'!$J$42:$J$1040,'DEF_SELF_SCOUT_IMPORT'!$L$42:$L$1040,"Y",'DEF_SELF_SCOUT_IMPORT'!$E$42:$E$1040,SUBSTITUTE(SUBSTITUTE(SUBSTITUTE($B50,"~","~~"),"*","~*"),"?","~?"),'DEF_SELF_SCOUT_IMPORT'!$Q$42:$Q$1040,SUBSTITUTE(SUBSTITUTE(SUBSTITUTE($M50,"~","~~"),"*","~*"),"?","~?"))/$C50)</f>
        <v>0.0</v>
      </c>
      <c r="E50" s="10">
        <f>IF($C50=0,"",SUMIFS('DEF_SELF_SCOUT_IMPORT'!$K$42:$K$1040,'DEF_SELF_SCOUT_IMPORT'!$L$42:$L$1040,"Y",'DEF_SELF_SCOUT_IMPORT'!$E$42:$E$1040,SUBSTITUTE(SUBSTITUTE(SUBSTITUTE($B50,"~","~~"),"*","~*"),"?","~?"),'DEF_SELF_SCOUT_IMPORT'!$Q$42:$Q$1040,SUBSTITUTE(SUBSTITUTE(SUBSTITUTE($M50,"~","~~"),"*","~*"),"?","~?"))/$C50)</f>
        <v>0.0</v>
      </c>
      <c r="F50" s="11">
        <f>IF($C50=0,"",AVERAGEIFS('DEF_SELF_SCOUT_IMPORT'!$I$42:$I$1040,'DEF_SELF_SCOUT_IMPORT'!$L$42:$L$1040,"Y",'DEF_SELF_SCOUT_IMPORT'!$E$42:$E$1040,SUBSTITUTE(SUBSTITUTE(SUBSTITUTE($B50,"~","~~"),"*","~*"),"?","~?"),'DEF_SELF_SCOUT_IMPORT'!$Q$42:$Q$1040,SUBSTITUTE(SUBSTITUTE(SUBSTITUTE($M50,"~","~~"),"*","~*"),"?","~?")))</f>
        <v>9.0</v>
      </c>
      <c r="G50" s="10">
        <f>IF($C50=0,"",COUNTIFS('DEF_SELF_SCOUT_IMPORT'!$L$42:$L$1040,"Y",'DEF_SELF_SCOUT_IMPORT'!$E$42:$E$1040,SUBSTITUTE(SUBSTITUTE(SUBSTITUTE($B50,"~","~~"),"*","~*"),"?","~?"),'DEF_SELF_SCOUT_IMPORT'!$Q$42:$Q$1040,SUBSTITUTE(SUBSTITUTE(SUBSTITUTE($M50,"~","~~"),"*","~*"),"?","~?"),'DEF_SELF_SCOUT_IMPORT'!$H$42:$H$1040,"RUSH")/$C50)</f>
        <v>0.0</v>
      </c>
      <c r="H50" s="10">
        <f>IF($C50=0,"",COUNTIFS('DEF_SELF_SCOUT_IMPORT'!$L$42:$L$1040,"Y",'DEF_SELF_SCOUT_IMPORT'!$E$42:$E$1040,SUBSTITUTE(SUBSTITUTE(SUBSTITUTE($B50,"~","~~"),"*","~*"),"?","~?"),'DEF_SELF_SCOUT_IMPORT'!$Q$42:$Q$1040,SUBSTITUTE(SUBSTITUTE(SUBSTITUTE($M50,"~","~~"),"*","~*"),"?","~?"),'DEF_SELF_SCOUT_IMPORT'!$H$42:$H$1040,"DROPBACK")/$C50)</f>
        <v>1.0</v>
      </c>
      <c r="I50" s="14" t="str">
        <f>IF(C50=0,"",IF(C50&lt;=2,"TRACK",IF(C50=3,"LOW",IF(C50&lt;=6,"MEDIUM","HIGH"))))</f>
        <v>TRACK</v>
      </c>
      <c r="J50" s="11">
        <f>IF(C50=0,"",ROUND(D50*70+(1-E50)*20+MAX(0,MIN(1,(10-F50)/10))*10,1))</f>
        <v>21.0</v>
      </c>
      <c r="K50" s="14" t="str">
        <f>IF(C50=0,"No Evidence",IF(C50&lt;=2,IF(E50&gt;0,"Explosive Alert","Track Only"),IF(C50=3,"Sample Watch",IF(E50&gt;=START_HERE!$B$31,"Explosive Alert",IF(J50&gt;=80,"Strong Candidate",IF(J50&gt;=65,"Good Candidate",IF(J50&gt;=50,"Mixed / Review","Problem Call")))))))</f>
        <v>Track Only</v>
      </c>
      <c r="L50" s="9" t="str">
        <f>IF(COUNTIFS('DEF_SELF_SCOUT_IMPORT'!$L$42:$L$1040,"Y",'DEF_SELF_SCOUT_IMPORT'!$E$42:$E$1040,SUBSTITUTE(SUBSTITUTE(SUBSTITUTE($B50,"~","~~"),"*","~*"),"?","~?"),'DEF_SELF_SCOUT_IMPORT'!$Q$42:$Q$1040,SUBSTITUTE(SUBSTITUTE(SUBSTITUTE($M50,"~","~~"),"*","~*"),"?","~?"),'DEF_SELF_SCOUT_IMPORT'!$J$42:$J$1040,"")&gt;0,"Unscored clean outcome; review result tags before using score.",IF(C50=0,"No matching defensive reps; film confirmation needed.",IF(K50="Explosive Alert","Explosive risk; review clips before using as answer.",IF(C50&lt;=2,"Track only; not enough sample.",IF(C50=3,IF(E50&gt;0,"Sample watch with explosive exposure; review clips and build the sample.",IF(J50&gt;=65,"Good signal, but sample is limited.","Sample watch; review clips and build the sample.")),IF(K50="Problem Call","Problem area; practice or call-sheet review.",IF(K50="Strong Candidate","Strong call-fit candidate; confirm on film.",IF(K50="Good Candidate","Good call-fit signal; confirm on film.","Mixed signal; review fit and execution on film."))))))))</f>
        <v>Track only; not enough sample.</v>
      </c>
      <c r="M50" s="8" t="s">
        <v>70</v>
      </c>
      <c r="N50" s="8"/>
      <c r="O50" s="8"/>
      <c r="P50" s="8"/>
      <c r="Q50" s="8"/>
      <c r="R50" s="8" t="s">
        <v>28</v>
      </c>
      <c r="S50" s="2" t="s">
        <v>71</v>
      </c>
      <c r="T50" s="2">
        <f>IF(C50=0,0,IF(C50&gt;=CALL_LOOKUP_BOARD!$B$7,IF(OR(K50="Problem Call",K50="Explosive Alert"),10000000,20000000),0)+IF(C50&gt;=CALL_LOOKUP_BOARD!$B$7,J50*1000+MIN(C50,999),C50*1000+J50)+0.00995900)</f>
        <v>1021.009959</v>
      </c>
      <c r="U50" s="2">
        <f>IF(C50=0,"",IF(COUNTIFS($S$10:$S$178,SUBSTITUTE(SUBSTITUTE(SUBSTITUTE(S50,"~","~~"),"*","~*"),"?","~?"),$T$10:$T$178,"&gt;"&amp;T50)=0,S50,""))</f>
        <v/>
      </c>
    </row>
    <row r="51" spans="1:21" ht="38" customHeight="1">
      <c r="A51" s="8" t="s">
        <v>70</v>
      </c>
      <c r="B51" s="8" t="s">
        <v>56</v>
      </c>
      <c r="C51" s="12">
        <f>COUNTIFS('DEF_SELF_SCOUT_IMPORT'!$L$42:$L$1040,"Y",'DEF_SELF_SCOUT_IMPORT'!$E$42:$E$1040,SUBSTITUTE(SUBSTITUTE(SUBSTITUTE($B51,"~","~~"),"*","~*"),"?","~?"),'DEF_SELF_SCOUT_IMPORT'!$Q$42:$Q$1040,SUBSTITUTE(SUBSTITUTE(SUBSTITUTE($M51,"~","~~"),"*","~*"),"?","~?"))</f>
        <v>1</v>
      </c>
      <c r="D51" s="10">
        <f>IF($C51=0,"",SUMIFS('DEF_SELF_SCOUT_IMPORT'!$J$42:$J$1040,'DEF_SELF_SCOUT_IMPORT'!$L$42:$L$1040,"Y",'DEF_SELF_SCOUT_IMPORT'!$E$42:$E$1040,SUBSTITUTE(SUBSTITUTE(SUBSTITUTE($B51,"~","~~"),"*","~*"),"?","~?"),'DEF_SELF_SCOUT_IMPORT'!$Q$42:$Q$1040,SUBSTITUTE(SUBSTITUTE(SUBSTITUTE($M51,"~","~~"),"*","~*"),"?","~?"))/$C51)</f>
        <v>1.0</v>
      </c>
      <c r="E51" s="10">
        <f>IF($C51=0,"",SUMIFS('DEF_SELF_SCOUT_IMPORT'!$K$42:$K$1040,'DEF_SELF_SCOUT_IMPORT'!$L$42:$L$1040,"Y",'DEF_SELF_SCOUT_IMPORT'!$E$42:$E$1040,SUBSTITUTE(SUBSTITUTE(SUBSTITUTE($B51,"~","~~"),"*","~*"),"?","~?"),'DEF_SELF_SCOUT_IMPORT'!$Q$42:$Q$1040,SUBSTITUTE(SUBSTITUTE(SUBSTITUTE($M51,"~","~~"),"*","~*"),"?","~?"))/$C51)</f>
        <v>0.0</v>
      </c>
      <c r="F51" s="11">
        <f>IF($C51=0,"",AVERAGEIFS('DEF_SELF_SCOUT_IMPORT'!$I$42:$I$1040,'DEF_SELF_SCOUT_IMPORT'!$L$42:$L$1040,"Y",'DEF_SELF_SCOUT_IMPORT'!$E$42:$E$1040,SUBSTITUTE(SUBSTITUTE(SUBSTITUTE($B51,"~","~~"),"*","~*"),"?","~?"),'DEF_SELF_SCOUT_IMPORT'!$Q$42:$Q$1040,SUBSTITUTE(SUBSTITUTE(SUBSTITUTE($M51,"~","~~"),"*","~*"),"?","~?")))</f>
        <v>-2.0</v>
      </c>
      <c r="G51" s="10">
        <f>IF($C51=0,"",COUNTIFS('DEF_SELF_SCOUT_IMPORT'!$L$42:$L$1040,"Y",'DEF_SELF_SCOUT_IMPORT'!$E$42:$E$1040,SUBSTITUTE(SUBSTITUTE(SUBSTITUTE($B51,"~","~~"),"*","~*"),"?","~?"),'DEF_SELF_SCOUT_IMPORT'!$Q$42:$Q$1040,SUBSTITUTE(SUBSTITUTE(SUBSTITUTE($M51,"~","~~"),"*","~*"),"?","~?"),'DEF_SELF_SCOUT_IMPORT'!$H$42:$H$1040,"RUSH")/$C51)</f>
        <v>1.0</v>
      </c>
      <c r="H51" s="10">
        <f>IF($C51=0,"",COUNTIFS('DEF_SELF_SCOUT_IMPORT'!$L$42:$L$1040,"Y",'DEF_SELF_SCOUT_IMPORT'!$E$42:$E$1040,SUBSTITUTE(SUBSTITUTE(SUBSTITUTE($B51,"~","~~"),"*","~*"),"?","~?"),'DEF_SELF_SCOUT_IMPORT'!$Q$42:$Q$1040,SUBSTITUTE(SUBSTITUTE(SUBSTITUTE($M51,"~","~~"),"*","~*"),"?","~?"),'DEF_SELF_SCOUT_IMPORT'!$H$42:$H$1040,"DROPBACK")/$C51)</f>
        <v>0.0</v>
      </c>
      <c r="I51" s="14" t="str">
        <f>IF(C51=0,"",IF(C51&lt;=2,"TRACK",IF(C51=3,"LOW",IF(C51&lt;=6,"MEDIUM","HIGH"))))</f>
        <v>TRACK</v>
      </c>
      <c r="J51" s="11">
        <f>IF(C51=0,"",ROUND(D51*70+(1-E51)*20+MAX(0,MIN(1,(10-F51)/10))*10,1))</f>
        <v>100.0</v>
      </c>
      <c r="K51" s="14" t="str">
        <f>IF(C51=0,"No Evidence",IF(C51&lt;=2,IF(E51&gt;0,"Explosive Alert","Track Only"),IF(C51=3,"Sample Watch",IF(E51&gt;=START_HERE!$B$31,"Explosive Alert",IF(J51&gt;=80,"Strong Candidate",IF(J51&gt;=65,"Good Candidate",IF(J51&gt;=50,"Mixed / Review","Problem Call")))))))</f>
        <v>Track Only</v>
      </c>
      <c r="L51" s="9" t="str">
        <f>IF(COUNTIFS('DEF_SELF_SCOUT_IMPORT'!$L$42:$L$1040,"Y",'DEF_SELF_SCOUT_IMPORT'!$E$42:$E$1040,SUBSTITUTE(SUBSTITUTE(SUBSTITUTE($B51,"~","~~"),"*","~*"),"?","~?"),'DEF_SELF_SCOUT_IMPORT'!$Q$42:$Q$1040,SUBSTITUTE(SUBSTITUTE(SUBSTITUTE($M51,"~","~~"),"*","~*"),"?","~?"),'DEF_SELF_SCOUT_IMPORT'!$J$42:$J$1040,"")&gt;0,"Unscored clean outcome; review result tags before using score.",IF(C51=0,"No matching defensive reps; film confirmation needed.",IF(K51="Explosive Alert","Explosive risk; review clips before using as answer.",IF(C51&lt;=2,"Track only; not enough sample.",IF(C51=3,IF(E51&gt;0,"Sample watch with explosive exposure; review clips and build the sample.",IF(J51&gt;=65,"Good signal, but sample is limited.","Sample watch; review clips and build the sample.")),IF(K51="Problem Call","Problem area; practice or call-sheet review.",IF(K51="Strong Candidate","Strong call-fit candidate; confirm on film.",IF(K51="Good Candidate","Good call-fit signal; confirm on film.","Mixed signal; review fit and execution on film."))))))))</f>
        <v>Track only; not enough sample.</v>
      </c>
      <c r="M51" s="8" t="s">
        <v>70</v>
      </c>
      <c r="N51" s="8"/>
      <c r="O51" s="8"/>
      <c r="P51" s="8"/>
      <c r="Q51" s="8"/>
      <c r="R51" s="8" t="s">
        <v>28</v>
      </c>
      <c r="S51" s="2" t="s">
        <v>71</v>
      </c>
      <c r="T51" s="2">
        <f>IF(C51=0,0,IF(C51&gt;=CALL_LOOKUP_BOARD!$B$7,IF(OR(K51="Problem Call",K51="Explosive Alert"),10000000,20000000),0)+IF(C51&gt;=CALL_LOOKUP_BOARD!$B$7,J51*1000+MIN(C51,999),C51*1000+J51)+0.00995800)</f>
        <v>1100.009958</v>
      </c>
      <c r="U51" s="2">
        <f>IF(C51=0,"",IF(COUNTIFS($S$10:$S$178,SUBSTITUTE(SUBSTITUTE(SUBSTITUTE(S51,"~","~~"),"*","~*"),"?","~?"),$T$10:$T$178,"&gt;"&amp;T51)=0,S51,""))</f>
        <v/>
      </c>
    </row>
    <row r="52" spans="1:21" ht="38" customHeight="1">
      <c r="A52" s="8" t="s">
        <v>70</v>
      </c>
      <c r="B52" s="8" t="s">
        <v>35</v>
      </c>
      <c r="C52" s="12">
        <f>COUNTIFS('DEF_SELF_SCOUT_IMPORT'!$L$42:$L$1040,"Y",'DEF_SELF_SCOUT_IMPORT'!$E$42:$E$1040,SUBSTITUTE(SUBSTITUTE(SUBSTITUTE($B52,"~","~~"),"*","~*"),"?","~?"),'DEF_SELF_SCOUT_IMPORT'!$Q$42:$Q$1040,SUBSTITUTE(SUBSTITUTE(SUBSTITUTE($M52,"~","~~"),"*","~*"),"?","~?"))</f>
        <v>1</v>
      </c>
      <c r="D52" s="10">
        <f>IF($C52=0,"",SUMIFS('DEF_SELF_SCOUT_IMPORT'!$J$42:$J$1040,'DEF_SELF_SCOUT_IMPORT'!$L$42:$L$1040,"Y",'DEF_SELF_SCOUT_IMPORT'!$E$42:$E$1040,SUBSTITUTE(SUBSTITUTE(SUBSTITUTE($B52,"~","~~"),"*","~*"),"?","~?"),'DEF_SELF_SCOUT_IMPORT'!$Q$42:$Q$1040,SUBSTITUTE(SUBSTITUTE(SUBSTITUTE($M52,"~","~~"),"*","~*"),"?","~?"))/$C52)</f>
        <v>0.0</v>
      </c>
      <c r="E52" s="10">
        <f>IF($C52=0,"",SUMIFS('DEF_SELF_SCOUT_IMPORT'!$K$42:$K$1040,'DEF_SELF_SCOUT_IMPORT'!$L$42:$L$1040,"Y",'DEF_SELF_SCOUT_IMPORT'!$E$42:$E$1040,SUBSTITUTE(SUBSTITUTE(SUBSTITUTE($B52,"~","~~"),"*","~*"),"?","~?"),'DEF_SELF_SCOUT_IMPORT'!$Q$42:$Q$1040,SUBSTITUTE(SUBSTITUTE(SUBSTITUTE($M52,"~","~~"),"*","~*"),"?","~?"))/$C52)</f>
        <v>1.0</v>
      </c>
      <c r="F52" s="11">
        <f>IF($C52=0,"",AVERAGEIFS('DEF_SELF_SCOUT_IMPORT'!$I$42:$I$1040,'DEF_SELF_SCOUT_IMPORT'!$L$42:$L$1040,"Y",'DEF_SELF_SCOUT_IMPORT'!$E$42:$E$1040,SUBSTITUTE(SUBSTITUTE(SUBSTITUTE($B52,"~","~~"),"*","~*"),"?","~?"),'DEF_SELF_SCOUT_IMPORT'!$Q$42:$Q$1040,SUBSTITUTE(SUBSTITUTE(SUBSTITUTE($M52,"~","~~"),"*","~*"),"?","~?")))</f>
        <v>16.0</v>
      </c>
      <c r="G52" s="10">
        <f>IF($C52=0,"",COUNTIFS('DEF_SELF_SCOUT_IMPORT'!$L$42:$L$1040,"Y",'DEF_SELF_SCOUT_IMPORT'!$E$42:$E$1040,SUBSTITUTE(SUBSTITUTE(SUBSTITUTE($B52,"~","~~"),"*","~*"),"?","~?"),'DEF_SELF_SCOUT_IMPORT'!$Q$42:$Q$1040,SUBSTITUTE(SUBSTITUTE(SUBSTITUTE($M52,"~","~~"),"*","~*"),"?","~?"),'DEF_SELF_SCOUT_IMPORT'!$H$42:$H$1040,"RUSH")/$C52)</f>
        <v>1.0</v>
      </c>
      <c r="H52" s="10">
        <f>IF($C52=0,"",COUNTIFS('DEF_SELF_SCOUT_IMPORT'!$L$42:$L$1040,"Y",'DEF_SELF_SCOUT_IMPORT'!$E$42:$E$1040,SUBSTITUTE(SUBSTITUTE(SUBSTITUTE($B52,"~","~~"),"*","~*"),"?","~?"),'DEF_SELF_SCOUT_IMPORT'!$Q$42:$Q$1040,SUBSTITUTE(SUBSTITUTE(SUBSTITUTE($M52,"~","~~"),"*","~*"),"?","~?"),'DEF_SELF_SCOUT_IMPORT'!$H$42:$H$1040,"DROPBACK")/$C52)</f>
        <v>0.0</v>
      </c>
      <c r="I52" s="14" t="str">
        <f>IF(C52=0,"",IF(C52&lt;=2,"TRACK",IF(C52=3,"LOW",IF(C52&lt;=6,"MEDIUM","HIGH"))))</f>
        <v>TRACK</v>
      </c>
      <c r="J52" s="11">
        <f>IF(C52=0,"",ROUND(D52*70+(1-E52)*20+MAX(0,MIN(1,(10-F52)/10))*10,1))</f>
        <v>0.0</v>
      </c>
      <c r="K52" s="14" t="str">
        <f>IF(C52=0,"No Evidence",IF(C52&lt;=2,IF(E52&gt;0,"Explosive Alert","Track Only"),IF(C52=3,"Sample Watch",IF(E52&gt;=START_HERE!$B$31,"Explosive Alert",IF(J52&gt;=80,"Strong Candidate",IF(J52&gt;=65,"Good Candidate",IF(J52&gt;=50,"Mixed / Review","Problem Call")))))))</f>
        <v>Explosive Alert</v>
      </c>
      <c r="L52" s="9" t="str">
        <f>IF(COUNTIFS('DEF_SELF_SCOUT_IMPORT'!$L$42:$L$1040,"Y",'DEF_SELF_SCOUT_IMPORT'!$E$42:$E$1040,SUBSTITUTE(SUBSTITUTE(SUBSTITUTE($B52,"~","~~"),"*","~*"),"?","~?"),'DEF_SELF_SCOUT_IMPORT'!$Q$42:$Q$1040,SUBSTITUTE(SUBSTITUTE(SUBSTITUTE($M52,"~","~~"),"*","~*"),"?","~?"),'DEF_SELF_SCOUT_IMPORT'!$J$42:$J$1040,"")&gt;0,"Unscored clean outcome; review result tags before using score.",IF(C52=0,"No matching defensive reps; film confirmation needed.",IF(K52="Explosive Alert","Explosive risk; review clips before using as answer.",IF(C52&lt;=2,"Track only; not enough sample.",IF(C52=3,IF(E52&gt;0,"Sample watch with explosive exposure; review clips and build the sample.",IF(J52&gt;=65,"Good signal, but sample is limited.","Sample watch; review clips and build the sample.")),IF(K52="Problem Call","Problem area; practice or call-sheet review.",IF(K52="Strong Candidate","Strong call-fit candidate; confirm on film.",IF(K52="Good Candidate","Good call-fit signal; confirm on film.","Mixed signal; review fit and execution on film."))))))))</f>
        <v>Explosive risk; review clips before using as answer.</v>
      </c>
      <c r="M52" s="8" t="s">
        <v>70</v>
      </c>
      <c r="N52" s="8"/>
      <c r="O52" s="8"/>
      <c r="P52" s="8"/>
      <c r="Q52" s="8"/>
      <c r="R52" s="8" t="s">
        <v>28</v>
      </c>
      <c r="S52" s="2" t="s">
        <v>71</v>
      </c>
      <c r="T52" s="2">
        <f>IF(C52=0,0,IF(C52&gt;=CALL_LOOKUP_BOARD!$B$7,IF(OR(K52="Problem Call",K52="Explosive Alert"),10000000,20000000),0)+IF(C52&gt;=CALL_LOOKUP_BOARD!$B$7,J52*1000+MIN(C52,999),C52*1000+J52)+0.00995700)</f>
        <v>1000.009957</v>
      </c>
      <c r="U52" s="2">
        <f>IF(C52=0,"",IF(COUNTIFS($S$10:$S$178,SUBSTITUTE(SUBSTITUTE(SUBSTITUTE(S52,"~","~~"),"*","~*"),"?","~?"),$T$10:$T$178,"&gt;"&amp;T52)=0,S52,""))</f>
        <v/>
      </c>
    </row>
    <row r="53" spans="1:21" ht="38" customHeight="1">
      <c r="A53" s="8" t="s">
        <v>70</v>
      </c>
      <c r="B53" s="8" t="s">
        <v>60</v>
      </c>
      <c r="C53" s="12">
        <f>COUNTIFS('DEF_SELF_SCOUT_IMPORT'!$L$42:$L$1040,"Y",'DEF_SELF_SCOUT_IMPORT'!$E$42:$E$1040,SUBSTITUTE(SUBSTITUTE(SUBSTITUTE($B53,"~","~~"),"*","~*"),"?","~?"),'DEF_SELF_SCOUT_IMPORT'!$Q$42:$Q$1040,SUBSTITUTE(SUBSTITUTE(SUBSTITUTE($M53,"~","~~"),"*","~*"),"?","~?"))</f>
        <v>2</v>
      </c>
      <c r="D53" s="10">
        <f>IF($C53=0,"",SUMIFS('DEF_SELF_SCOUT_IMPORT'!$J$42:$J$1040,'DEF_SELF_SCOUT_IMPORT'!$L$42:$L$1040,"Y",'DEF_SELF_SCOUT_IMPORT'!$E$42:$E$1040,SUBSTITUTE(SUBSTITUTE(SUBSTITUTE($B53,"~","~~"),"*","~*"),"?","~?"),'DEF_SELF_SCOUT_IMPORT'!$Q$42:$Q$1040,SUBSTITUTE(SUBSTITUTE(SUBSTITUTE($M53,"~","~~"),"*","~*"),"?","~?"))/$C53)</f>
        <v>0.5</v>
      </c>
      <c r="E53" s="10">
        <f>IF($C53=0,"",SUMIFS('DEF_SELF_SCOUT_IMPORT'!$K$42:$K$1040,'DEF_SELF_SCOUT_IMPORT'!$L$42:$L$1040,"Y",'DEF_SELF_SCOUT_IMPORT'!$E$42:$E$1040,SUBSTITUTE(SUBSTITUTE(SUBSTITUTE($B53,"~","~~"),"*","~*"),"?","~?"),'DEF_SELF_SCOUT_IMPORT'!$Q$42:$Q$1040,SUBSTITUTE(SUBSTITUTE(SUBSTITUTE($M53,"~","~~"),"*","~*"),"?","~?"))/$C53)</f>
        <v>0.0</v>
      </c>
      <c r="F53" s="11">
        <f>IF($C53=0,"",AVERAGEIFS('DEF_SELF_SCOUT_IMPORT'!$I$42:$I$1040,'DEF_SELF_SCOUT_IMPORT'!$L$42:$L$1040,"Y",'DEF_SELF_SCOUT_IMPORT'!$E$42:$E$1040,SUBSTITUTE(SUBSTITUTE(SUBSTITUTE($B53,"~","~~"),"*","~*"),"?","~?"),'DEF_SELF_SCOUT_IMPORT'!$Q$42:$Q$1040,SUBSTITUTE(SUBSTITUTE(SUBSTITUTE($M53,"~","~~"),"*","~*"),"?","~?")))</f>
        <v>6.0</v>
      </c>
      <c r="G53" s="10">
        <f>IF($C53=0,"",COUNTIFS('DEF_SELF_SCOUT_IMPORT'!$L$42:$L$1040,"Y",'DEF_SELF_SCOUT_IMPORT'!$E$42:$E$1040,SUBSTITUTE(SUBSTITUTE(SUBSTITUTE($B53,"~","~~"),"*","~*"),"?","~?"),'DEF_SELF_SCOUT_IMPORT'!$Q$42:$Q$1040,SUBSTITUTE(SUBSTITUTE(SUBSTITUTE($M53,"~","~~"),"*","~*"),"?","~?"),'DEF_SELF_SCOUT_IMPORT'!$H$42:$H$1040,"RUSH")/$C53)</f>
        <v>0.5</v>
      </c>
      <c r="H53" s="10">
        <f>IF($C53=0,"",COUNTIFS('DEF_SELF_SCOUT_IMPORT'!$L$42:$L$1040,"Y",'DEF_SELF_SCOUT_IMPORT'!$E$42:$E$1040,SUBSTITUTE(SUBSTITUTE(SUBSTITUTE($B53,"~","~~"),"*","~*"),"?","~?"),'DEF_SELF_SCOUT_IMPORT'!$Q$42:$Q$1040,SUBSTITUTE(SUBSTITUTE(SUBSTITUTE($M53,"~","~~"),"*","~*"),"?","~?"),'DEF_SELF_SCOUT_IMPORT'!$H$42:$H$1040,"DROPBACK")/$C53)</f>
        <v>0.5</v>
      </c>
      <c r="I53" s="14" t="str">
        <f>IF(C53=0,"",IF(C53&lt;=2,"TRACK",IF(C53=3,"LOW",IF(C53&lt;=6,"MEDIUM","HIGH"))))</f>
        <v>TRACK</v>
      </c>
      <c r="J53" s="11">
        <f>IF(C53=0,"",ROUND(D53*70+(1-E53)*20+MAX(0,MIN(1,(10-F53)/10))*10,1))</f>
        <v>59.0</v>
      </c>
      <c r="K53" s="14" t="str">
        <f>IF(C53=0,"No Evidence",IF(C53&lt;=2,IF(E53&gt;0,"Explosive Alert","Track Only"),IF(C53=3,"Sample Watch",IF(E53&gt;=START_HERE!$B$31,"Explosive Alert",IF(J53&gt;=80,"Strong Candidate",IF(J53&gt;=65,"Good Candidate",IF(J53&gt;=50,"Mixed / Review","Problem Call")))))))</f>
        <v>Track Only</v>
      </c>
      <c r="L53" s="9" t="str">
        <f>IF(COUNTIFS('DEF_SELF_SCOUT_IMPORT'!$L$42:$L$1040,"Y",'DEF_SELF_SCOUT_IMPORT'!$E$42:$E$1040,SUBSTITUTE(SUBSTITUTE(SUBSTITUTE($B53,"~","~~"),"*","~*"),"?","~?"),'DEF_SELF_SCOUT_IMPORT'!$Q$42:$Q$1040,SUBSTITUTE(SUBSTITUTE(SUBSTITUTE($M53,"~","~~"),"*","~*"),"?","~?"),'DEF_SELF_SCOUT_IMPORT'!$J$42:$J$1040,"")&gt;0,"Unscored clean outcome; review result tags before using score.",IF(C53=0,"No matching defensive reps; film confirmation needed.",IF(K53="Explosive Alert","Explosive risk; review clips before using as answer.",IF(C53&lt;=2,"Track only; not enough sample.",IF(C53=3,IF(E53&gt;0,"Sample watch with explosive exposure; review clips and build the sample.",IF(J53&gt;=65,"Good signal, but sample is limited.","Sample watch; review clips and build the sample.")),IF(K53="Problem Call","Problem area; practice or call-sheet review.",IF(K53="Strong Candidate","Strong call-fit candidate; confirm on film.",IF(K53="Good Candidate","Good call-fit signal; confirm on film.","Mixed signal; review fit and execution on film."))))))))</f>
        <v>Track only; not enough sample.</v>
      </c>
      <c r="M53" s="8" t="s">
        <v>70</v>
      </c>
      <c r="N53" s="8"/>
      <c r="O53" s="8"/>
      <c r="P53" s="8"/>
      <c r="Q53" s="8"/>
      <c r="R53" s="8" t="s">
        <v>28</v>
      </c>
      <c r="S53" s="2" t="s">
        <v>71</v>
      </c>
      <c r="T53" s="2">
        <f>IF(C53=0,0,IF(C53&gt;=CALL_LOOKUP_BOARD!$B$7,IF(OR(K53="Problem Call",K53="Explosive Alert"),10000000,20000000),0)+IF(C53&gt;=CALL_LOOKUP_BOARD!$B$7,J53*1000+MIN(C53,999),C53*1000+J53)+0.00995600)</f>
        <v>2059.009956</v>
      </c>
      <c r="U53" s="2">
        <f>IF(C53=0,"",IF(COUNTIFS($S$10:$S$178,SUBSTITUTE(SUBSTITUTE(SUBSTITUTE(S53,"~","~~"),"*","~*"),"?","~?"),$T$10:$T$178,"&gt;"&amp;T53)=0,S53,""))</f>
        <v/>
      </c>
    </row>
    <row r="54" spans="1:21" ht="38" customHeight="1">
      <c r="A54" s="8" t="s">
        <v>70</v>
      </c>
      <c r="B54" s="8" t="s">
        <v>73</v>
      </c>
      <c r="C54" s="12">
        <f>COUNTIFS('DEF_SELF_SCOUT_IMPORT'!$L$42:$L$1040,"Y",'DEF_SELF_SCOUT_IMPORT'!$E$42:$E$1040,SUBSTITUTE(SUBSTITUTE(SUBSTITUTE($B54,"~","~~"),"*","~*"),"?","~?"),'DEF_SELF_SCOUT_IMPORT'!$Q$42:$Q$1040,SUBSTITUTE(SUBSTITUTE(SUBSTITUTE($M54,"~","~~"),"*","~*"),"?","~?"))</f>
        <v>1</v>
      </c>
      <c r="D54" s="10">
        <f>IF($C54=0,"",SUMIFS('DEF_SELF_SCOUT_IMPORT'!$J$42:$J$1040,'DEF_SELF_SCOUT_IMPORT'!$L$42:$L$1040,"Y",'DEF_SELF_SCOUT_IMPORT'!$E$42:$E$1040,SUBSTITUTE(SUBSTITUTE(SUBSTITUTE($B54,"~","~~"),"*","~*"),"?","~?"),'DEF_SELF_SCOUT_IMPORT'!$Q$42:$Q$1040,SUBSTITUTE(SUBSTITUTE(SUBSTITUTE($M54,"~","~~"),"*","~*"),"?","~?"))/$C54)</f>
        <v>1.0</v>
      </c>
      <c r="E54" s="10">
        <f>IF($C54=0,"",SUMIFS('DEF_SELF_SCOUT_IMPORT'!$K$42:$K$1040,'DEF_SELF_SCOUT_IMPORT'!$L$42:$L$1040,"Y",'DEF_SELF_SCOUT_IMPORT'!$E$42:$E$1040,SUBSTITUTE(SUBSTITUTE(SUBSTITUTE($B54,"~","~~"),"*","~*"),"?","~?"),'DEF_SELF_SCOUT_IMPORT'!$Q$42:$Q$1040,SUBSTITUTE(SUBSTITUTE(SUBSTITUTE($M54,"~","~~"),"*","~*"),"?","~?"))/$C54)</f>
        <v>0.0</v>
      </c>
      <c r="F54" s="11">
        <f>IF($C54=0,"",AVERAGEIFS('DEF_SELF_SCOUT_IMPORT'!$I$42:$I$1040,'DEF_SELF_SCOUT_IMPORT'!$L$42:$L$1040,"Y",'DEF_SELF_SCOUT_IMPORT'!$E$42:$E$1040,SUBSTITUTE(SUBSTITUTE(SUBSTITUTE($B54,"~","~~"),"*","~*"),"?","~?"),'DEF_SELF_SCOUT_IMPORT'!$Q$42:$Q$1040,SUBSTITUTE(SUBSTITUTE(SUBSTITUTE($M54,"~","~~"),"*","~*"),"?","~?")))</f>
        <v>6.0</v>
      </c>
      <c r="G54" s="10">
        <f>IF($C54=0,"",COUNTIFS('DEF_SELF_SCOUT_IMPORT'!$L$42:$L$1040,"Y",'DEF_SELF_SCOUT_IMPORT'!$E$42:$E$1040,SUBSTITUTE(SUBSTITUTE(SUBSTITUTE($B54,"~","~~"),"*","~*"),"?","~?"),'DEF_SELF_SCOUT_IMPORT'!$Q$42:$Q$1040,SUBSTITUTE(SUBSTITUTE(SUBSTITUTE($M54,"~","~~"),"*","~*"),"?","~?"),'DEF_SELF_SCOUT_IMPORT'!$H$42:$H$1040,"RUSH")/$C54)</f>
        <v>0.0</v>
      </c>
      <c r="H54" s="10">
        <f>IF($C54=0,"",COUNTIFS('DEF_SELF_SCOUT_IMPORT'!$L$42:$L$1040,"Y",'DEF_SELF_SCOUT_IMPORT'!$E$42:$E$1040,SUBSTITUTE(SUBSTITUTE(SUBSTITUTE($B54,"~","~~"),"*","~*"),"?","~?"),'DEF_SELF_SCOUT_IMPORT'!$Q$42:$Q$1040,SUBSTITUTE(SUBSTITUTE(SUBSTITUTE($M54,"~","~~"),"*","~*"),"?","~?"),'DEF_SELF_SCOUT_IMPORT'!$H$42:$H$1040,"DROPBACK")/$C54)</f>
        <v>1.0</v>
      </c>
      <c r="I54" s="14" t="str">
        <f>IF(C54=0,"",IF(C54&lt;=2,"TRACK",IF(C54=3,"LOW",IF(C54&lt;=6,"MEDIUM","HIGH"))))</f>
        <v>TRACK</v>
      </c>
      <c r="J54" s="11">
        <f>IF(C54=0,"",ROUND(D54*70+(1-E54)*20+MAX(0,MIN(1,(10-F54)/10))*10,1))</f>
        <v>94.0</v>
      </c>
      <c r="K54" s="14" t="str">
        <f>IF(C54=0,"No Evidence",IF(C54&lt;=2,IF(E54&gt;0,"Explosive Alert","Track Only"),IF(C54=3,"Sample Watch",IF(E54&gt;=START_HERE!$B$31,"Explosive Alert",IF(J54&gt;=80,"Strong Candidate",IF(J54&gt;=65,"Good Candidate",IF(J54&gt;=50,"Mixed / Review","Problem Call")))))))</f>
        <v>Track Only</v>
      </c>
      <c r="L54" s="9" t="str">
        <f>IF(COUNTIFS('DEF_SELF_SCOUT_IMPORT'!$L$42:$L$1040,"Y",'DEF_SELF_SCOUT_IMPORT'!$E$42:$E$1040,SUBSTITUTE(SUBSTITUTE(SUBSTITUTE($B54,"~","~~"),"*","~*"),"?","~?"),'DEF_SELF_SCOUT_IMPORT'!$Q$42:$Q$1040,SUBSTITUTE(SUBSTITUTE(SUBSTITUTE($M54,"~","~~"),"*","~*"),"?","~?"),'DEF_SELF_SCOUT_IMPORT'!$J$42:$J$1040,"")&gt;0,"Unscored clean outcome; review result tags before using score.",IF(C54=0,"No matching defensive reps; film confirmation needed.",IF(K54="Explosive Alert","Explosive risk; review clips before using as answer.",IF(C54&lt;=2,"Track only; not enough sample.",IF(C54=3,IF(E54&gt;0,"Sample watch with explosive exposure; review clips and build the sample.",IF(J54&gt;=65,"Good signal, but sample is limited.","Sample watch; review clips and build the sample.")),IF(K54="Problem Call","Problem area; practice or call-sheet review.",IF(K54="Strong Candidate","Strong call-fit candidate; confirm on film.",IF(K54="Good Candidate","Good call-fit signal; confirm on film.","Mixed signal; review fit and execution on film."))))))))</f>
        <v>Track only; not enough sample.</v>
      </c>
      <c r="M54" s="8" t="s">
        <v>70</v>
      </c>
      <c r="N54" s="8"/>
      <c r="O54" s="8"/>
      <c r="P54" s="8"/>
      <c r="Q54" s="8"/>
      <c r="R54" s="8" t="s">
        <v>28</v>
      </c>
      <c r="S54" s="2" t="s">
        <v>71</v>
      </c>
      <c r="T54" s="2">
        <f>IF(C54=0,0,IF(C54&gt;=CALL_LOOKUP_BOARD!$B$7,IF(OR(K54="Problem Call",K54="Explosive Alert"),10000000,20000000),0)+IF(C54&gt;=CALL_LOOKUP_BOARD!$B$7,J54*1000+MIN(C54,999),C54*1000+J54)+0.00995500)</f>
        <v>1094.009955</v>
      </c>
      <c r="U54" s="2">
        <f>IF(C54=0,"",IF(COUNTIFS($S$10:$S$178,SUBSTITUTE(SUBSTITUTE(SUBSTITUTE(S54,"~","~~"),"*","~*"),"?","~?"),$T$10:$T$178,"&gt;"&amp;T54)=0,S54,""))</f>
        <v/>
      </c>
    </row>
    <row r="55" spans="1:21" ht="38" customHeight="1">
      <c r="A55" s="8" t="s">
        <v>70</v>
      </c>
      <c r="B55" s="8" t="s">
        <v>63</v>
      </c>
      <c r="C55" s="12">
        <f>COUNTIFS('DEF_SELF_SCOUT_IMPORT'!$L$42:$L$1040,"Y",'DEF_SELF_SCOUT_IMPORT'!$E$42:$E$1040,SUBSTITUTE(SUBSTITUTE(SUBSTITUTE($B55,"~","~~"),"*","~*"),"?","~?"),'DEF_SELF_SCOUT_IMPORT'!$Q$42:$Q$1040,SUBSTITUTE(SUBSTITUTE(SUBSTITUTE($M55,"~","~~"),"*","~*"),"?","~?"))</f>
        <v>2</v>
      </c>
      <c r="D55" s="10">
        <f>IF($C55=0,"",SUMIFS('DEF_SELF_SCOUT_IMPORT'!$J$42:$J$1040,'DEF_SELF_SCOUT_IMPORT'!$L$42:$L$1040,"Y",'DEF_SELF_SCOUT_IMPORT'!$E$42:$E$1040,SUBSTITUTE(SUBSTITUTE(SUBSTITUTE($B55,"~","~~"),"*","~*"),"?","~?"),'DEF_SELF_SCOUT_IMPORT'!$Q$42:$Q$1040,SUBSTITUTE(SUBSTITUTE(SUBSTITUTE($M55,"~","~~"),"*","~*"),"?","~?"))/$C55)</f>
        <v>0.0</v>
      </c>
      <c r="E55" s="10">
        <f>IF($C55=0,"",SUMIFS('DEF_SELF_SCOUT_IMPORT'!$K$42:$K$1040,'DEF_SELF_SCOUT_IMPORT'!$L$42:$L$1040,"Y",'DEF_SELF_SCOUT_IMPORT'!$E$42:$E$1040,SUBSTITUTE(SUBSTITUTE(SUBSTITUTE($B55,"~","~~"),"*","~*"),"?","~?"),'DEF_SELF_SCOUT_IMPORT'!$Q$42:$Q$1040,SUBSTITUTE(SUBSTITUTE(SUBSTITUTE($M55,"~","~~"),"*","~*"),"?","~?"))/$C55)</f>
        <v>0.5</v>
      </c>
      <c r="F55" s="11">
        <f>IF($C55=0,"",AVERAGEIFS('DEF_SELF_SCOUT_IMPORT'!$I$42:$I$1040,'DEF_SELF_SCOUT_IMPORT'!$L$42:$L$1040,"Y",'DEF_SELF_SCOUT_IMPORT'!$E$42:$E$1040,SUBSTITUTE(SUBSTITUTE(SUBSTITUTE($B55,"~","~~"),"*","~*"),"?","~?"),'DEF_SELF_SCOUT_IMPORT'!$Q$42:$Q$1040,SUBSTITUTE(SUBSTITUTE(SUBSTITUTE($M55,"~","~~"),"*","~*"),"?","~?")))</f>
        <v>18.5</v>
      </c>
      <c r="G55" s="10">
        <f>IF($C55=0,"",COUNTIFS('DEF_SELF_SCOUT_IMPORT'!$L$42:$L$1040,"Y",'DEF_SELF_SCOUT_IMPORT'!$E$42:$E$1040,SUBSTITUTE(SUBSTITUTE(SUBSTITUTE($B55,"~","~~"),"*","~*"),"?","~?"),'DEF_SELF_SCOUT_IMPORT'!$Q$42:$Q$1040,SUBSTITUTE(SUBSTITUTE(SUBSTITUTE($M55,"~","~~"),"*","~*"),"?","~?"),'DEF_SELF_SCOUT_IMPORT'!$H$42:$H$1040,"RUSH")/$C55)</f>
        <v>0.0</v>
      </c>
      <c r="H55" s="10">
        <f>IF($C55=0,"",COUNTIFS('DEF_SELF_SCOUT_IMPORT'!$L$42:$L$1040,"Y",'DEF_SELF_SCOUT_IMPORT'!$E$42:$E$1040,SUBSTITUTE(SUBSTITUTE(SUBSTITUTE($B55,"~","~~"),"*","~*"),"?","~?"),'DEF_SELF_SCOUT_IMPORT'!$Q$42:$Q$1040,SUBSTITUTE(SUBSTITUTE(SUBSTITUTE($M55,"~","~~"),"*","~*"),"?","~?"),'DEF_SELF_SCOUT_IMPORT'!$H$42:$H$1040,"DROPBACK")/$C55)</f>
        <v>1.0</v>
      </c>
      <c r="I55" s="14" t="str">
        <f>IF(C55=0,"",IF(C55&lt;=2,"TRACK",IF(C55=3,"LOW",IF(C55&lt;=6,"MEDIUM","HIGH"))))</f>
        <v>TRACK</v>
      </c>
      <c r="J55" s="11">
        <f>IF(C55=0,"",ROUND(D55*70+(1-E55)*20+MAX(0,MIN(1,(10-F55)/10))*10,1))</f>
        <v>10.0</v>
      </c>
      <c r="K55" s="14" t="str">
        <f>IF(C55=0,"No Evidence",IF(C55&lt;=2,IF(E55&gt;0,"Explosive Alert","Track Only"),IF(C55=3,"Sample Watch",IF(E55&gt;=START_HERE!$B$31,"Explosive Alert",IF(J55&gt;=80,"Strong Candidate",IF(J55&gt;=65,"Good Candidate",IF(J55&gt;=50,"Mixed / Review","Problem Call")))))))</f>
        <v>Explosive Alert</v>
      </c>
      <c r="L55" s="9" t="str">
        <f>IF(COUNTIFS('DEF_SELF_SCOUT_IMPORT'!$L$42:$L$1040,"Y",'DEF_SELF_SCOUT_IMPORT'!$E$42:$E$1040,SUBSTITUTE(SUBSTITUTE(SUBSTITUTE($B55,"~","~~"),"*","~*"),"?","~?"),'DEF_SELF_SCOUT_IMPORT'!$Q$42:$Q$1040,SUBSTITUTE(SUBSTITUTE(SUBSTITUTE($M55,"~","~~"),"*","~*"),"?","~?"),'DEF_SELF_SCOUT_IMPORT'!$J$42:$J$1040,"")&gt;0,"Unscored clean outcome; review result tags before using score.",IF(C55=0,"No matching defensive reps; film confirmation needed.",IF(K55="Explosive Alert","Explosive risk; review clips before using as answer.",IF(C55&lt;=2,"Track only; not enough sample.",IF(C55=3,IF(E55&gt;0,"Sample watch with explosive exposure; review clips and build the sample.",IF(J55&gt;=65,"Good signal, but sample is limited.","Sample watch; review clips and build the sample.")),IF(K55="Problem Call","Problem area; practice or call-sheet review.",IF(K55="Strong Candidate","Strong call-fit candidate; confirm on film.",IF(K55="Good Candidate","Good call-fit signal; confirm on film.","Mixed signal; review fit and execution on film."))))))))</f>
        <v>Explosive risk; review clips before using as answer.</v>
      </c>
      <c r="M55" s="8" t="s">
        <v>70</v>
      </c>
      <c r="N55" s="8"/>
      <c r="O55" s="8"/>
      <c r="P55" s="8"/>
      <c r="Q55" s="8"/>
      <c r="R55" s="8" t="s">
        <v>28</v>
      </c>
      <c r="S55" s="2" t="s">
        <v>71</v>
      </c>
      <c r="T55" s="2">
        <f>IF(C55=0,0,IF(C55&gt;=CALL_LOOKUP_BOARD!$B$7,IF(OR(K55="Problem Call",K55="Explosive Alert"),10000000,20000000),0)+IF(C55&gt;=CALL_LOOKUP_BOARD!$B$7,J55*1000+MIN(C55,999),C55*1000+J55)+0.00995400)</f>
        <v>2010.009954</v>
      </c>
      <c r="U55" s="2">
        <f>IF(C55=0,"",IF(COUNTIFS($S$10:$S$178,SUBSTITUTE(SUBSTITUTE(SUBSTITUTE(S55,"~","~~"),"*","~*"),"?","~?"),$T$10:$T$178,"&gt;"&amp;T55)=0,S55,""))</f>
        <v/>
      </c>
    </row>
    <row r="56" spans="1:21" ht="38" customHeight="1">
      <c r="A56" s="8" t="s">
        <v>70</v>
      </c>
      <c r="B56" s="8" t="s">
        <v>74</v>
      </c>
      <c r="C56" s="12">
        <f>COUNTIFS('DEF_SELF_SCOUT_IMPORT'!$L$42:$L$1040,"Y",'DEF_SELF_SCOUT_IMPORT'!$E$42:$E$1040,SUBSTITUTE(SUBSTITUTE(SUBSTITUTE($B56,"~","~~"),"*","~*"),"?","~?"),'DEF_SELF_SCOUT_IMPORT'!$Q$42:$Q$1040,SUBSTITUTE(SUBSTITUTE(SUBSTITUTE($M56,"~","~~"),"*","~*"),"?","~?"))</f>
        <v>1</v>
      </c>
      <c r="D56" s="10">
        <f>IF($C56=0,"",SUMIFS('DEF_SELF_SCOUT_IMPORT'!$J$42:$J$1040,'DEF_SELF_SCOUT_IMPORT'!$L$42:$L$1040,"Y",'DEF_SELF_SCOUT_IMPORT'!$E$42:$E$1040,SUBSTITUTE(SUBSTITUTE(SUBSTITUTE($B56,"~","~~"),"*","~*"),"?","~?"),'DEF_SELF_SCOUT_IMPORT'!$Q$42:$Q$1040,SUBSTITUTE(SUBSTITUTE(SUBSTITUTE($M56,"~","~~"),"*","~*"),"?","~?"))/$C56)</f>
        <v>1.0</v>
      </c>
      <c r="E56" s="10">
        <f>IF($C56=0,"",SUMIFS('DEF_SELF_SCOUT_IMPORT'!$K$42:$K$1040,'DEF_SELF_SCOUT_IMPORT'!$L$42:$L$1040,"Y",'DEF_SELF_SCOUT_IMPORT'!$E$42:$E$1040,SUBSTITUTE(SUBSTITUTE(SUBSTITUTE($B56,"~","~~"),"*","~*"),"?","~?"),'DEF_SELF_SCOUT_IMPORT'!$Q$42:$Q$1040,SUBSTITUTE(SUBSTITUTE(SUBSTITUTE($M56,"~","~~"),"*","~*"),"?","~?"))/$C56)</f>
        <v>0.0</v>
      </c>
      <c r="F56" s="11">
        <f>IF($C56=0,"",AVERAGEIFS('DEF_SELF_SCOUT_IMPORT'!$I$42:$I$1040,'DEF_SELF_SCOUT_IMPORT'!$L$42:$L$1040,"Y",'DEF_SELF_SCOUT_IMPORT'!$E$42:$E$1040,SUBSTITUTE(SUBSTITUTE(SUBSTITUTE($B56,"~","~~"),"*","~*"),"?","~?"),'DEF_SELF_SCOUT_IMPORT'!$Q$42:$Q$1040,SUBSTITUTE(SUBSTITUTE(SUBSTITUTE($M56,"~","~~"),"*","~*"),"?","~?")))</f>
        <v>-8.0</v>
      </c>
      <c r="G56" s="10">
        <f>IF($C56=0,"",COUNTIFS('DEF_SELF_SCOUT_IMPORT'!$L$42:$L$1040,"Y",'DEF_SELF_SCOUT_IMPORT'!$E$42:$E$1040,SUBSTITUTE(SUBSTITUTE(SUBSTITUTE($B56,"~","~~"),"*","~*"),"?","~?"),'DEF_SELF_SCOUT_IMPORT'!$Q$42:$Q$1040,SUBSTITUTE(SUBSTITUTE(SUBSTITUTE($M56,"~","~~"),"*","~*"),"?","~?"),'DEF_SELF_SCOUT_IMPORT'!$H$42:$H$1040,"RUSH")/$C56)</f>
        <v>0.0</v>
      </c>
      <c r="H56" s="10">
        <f>IF($C56=0,"",COUNTIFS('DEF_SELF_SCOUT_IMPORT'!$L$42:$L$1040,"Y",'DEF_SELF_SCOUT_IMPORT'!$E$42:$E$1040,SUBSTITUTE(SUBSTITUTE(SUBSTITUTE($B56,"~","~~"),"*","~*"),"?","~?"),'DEF_SELF_SCOUT_IMPORT'!$Q$42:$Q$1040,SUBSTITUTE(SUBSTITUTE(SUBSTITUTE($M56,"~","~~"),"*","~*"),"?","~?"),'DEF_SELF_SCOUT_IMPORT'!$H$42:$H$1040,"DROPBACK")/$C56)</f>
        <v>1.0</v>
      </c>
      <c r="I56" s="14" t="str">
        <f>IF(C56=0,"",IF(C56&lt;=2,"TRACK",IF(C56=3,"LOW",IF(C56&lt;=6,"MEDIUM","HIGH"))))</f>
        <v>TRACK</v>
      </c>
      <c r="J56" s="11">
        <f>IF(C56=0,"",ROUND(D56*70+(1-E56)*20+MAX(0,MIN(1,(10-F56)/10))*10,1))</f>
        <v>100.0</v>
      </c>
      <c r="K56" s="14" t="str">
        <f>IF(C56=0,"No Evidence",IF(C56&lt;=2,IF(E56&gt;0,"Explosive Alert","Track Only"),IF(C56=3,"Sample Watch",IF(E56&gt;=START_HERE!$B$31,"Explosive Alert",IF(J56&gt;=80,"Strong Candidate",IF(J56&gt;=65,"Good Candidate",IF(J56&gt;=50,"Mixed / Review","Problem Call")))))))</f>
        <v>Track Only</v>
      </c>
      <c r="L56" s="9" t="str">
        <f>IF(COUNTIFS('DEF_SELF_SCOUT_IMPORT'!$L$42:$L$1040,"Y",'DEF_SELF_SCOUT_IMPORT'!$E$42:$E$1040,SUBSTITUTE(SUBSTITUTE(SUBSTITUTE($B56,"~","~~"),"*","~*"),"?","~?"),'DEF_SELF_SCOUT_IMPORT'!$Q$42:$Q$1040,SUBSTITUTE(SUBSTITUTE(SUBSTITUTE($M56,"~","~~"),"*","~*"),"?","~?"),'DEF_SELF_SCOUT_IMPORT'!$J$42:$J$1040,"")&gt;0,"Unscored clean outcome; review result tags before using score.",IF(C56=0,"No matching defensive reps; film confirmation needed.",IF(K56="Explosive Alert","Explosive risk; review clips before using as answer.",IF(C56&lt;=2,"Track only; not enough sample.",IF(C56=3,IF(E56&gt;0,"Sample watch with explosive exposure; review clips and build the sample.",IF(J56&gt;=65,"Good signal, but sample is limited.","Sample watch; review clips and build the sample.")),IF(K56="Problem Call","Problem area; practice or call-sheet review.",IF(K56="Strong Candidate","Strong call-fit candidate; confirm on film.",IF(K56="Good Candidate","Good call-fit signal; confirm on film.","Mixed signal; review fit and execution on film."))))))))</f>
        <v>Track only; not enough sample.</v>
      </c>
      <c r="M56" s="8" t="s">
        <v>70</v>
      </c>
      <c r="N56" s="8"/>
      <c r="O56" s="8"/>
      <c r="P56" s="8"/>
      <c r="Q56" s="8"/>
      <c r="R56" s="8" t="s">
        <v>28</v>
      </c>
      <c r="S56" s="2" t="s">
        <v>71</v>
      </c>
      <c r="T56" s="2">
        <f>IF(C56=0,0,IF(C56&gt;=CALL_LOOKUP_BOARD!$B$7,IF(OR(K56="Problem Call",K56="Explosive Alert"),10000000,20000000),0)+IF(C56&gt;=CALL_LOOKUP_BOARD!$B$7,J56*1000+MIN(C56,999),C56*1000+J56)+0.00995300)</f>
        <v>1100.009953</v>
      </c>
      <c r="U56" s="2">
        <f>IF(C56=0,"",IF(COUNTIFS($S$10:$S$178,SUBSTITUTE(SUBSTITUTE(SUBSTITUTE(S56,"~","~~"),"*","~*"),"?","~?"),$T$10:$T$178,"&gt;"&amp;T56)=0,S56,""))</f>
        <v/>
      </c>
    </row>
    <row r="57" spans="1:21" ht="38" customHeight="1">
      <c r="A57" s="8" t="s">
        <v>70</v>
      </c>
      <c r="B57" s="8" t="s">
        <v>68</v>
      </c>
      <c r="C57" s="12">
        <f>COUNTIFS('DEF_SELF_SCOUT_IMPORT'!$L$42:$L$1040,"Y",'DEF_SELF_SCOUT_IMPORT'!$E$42:$E$1040,SUBSTITUTE(SUBSTITUTE(SUBSTITUTE($B57,"~","~~"),"*","~*"),"?","~?"),'DEF_SELF_SCOUT_IMPORT'!$Q$42:$Q$1040,SUBSTITUTE(SUBSTITUTE(SUBSTITUTE($M57,"~","~~"),"*","~*"),"?","~?"))</f>
        <v>1</v>
      </c>
      <c r="D57" s="10">
        <f>IF($C57=0,"",SUMIFS('DEF_SELF_SCOUT_IMPORT'!$J$42:$J$1040,'DEF_SELF_SCOUT_IMPORT'!$L$42:$L$1040,"Y",'DEF_SELF_SCOUT_IMPORT'!$E$42:$E$1040,SUBSTITUTE(SUBSTITUTE(SUBSTITUTE($B57,"~","~~"),"*","~*"),"?","~?"),'DEF_SELF_SCOUT_IMPORT'!$Q$42:$Q$1040,SUBSTITUTE(SUBSTITUTE(SUBSTITUTE($M57,"~","~~"),"*","~*"),"?","~?"))/$C57)</f>
        <v>0.0</v>
      </c>
      <c r="E57" s="10">
        <f>IF($C57=0,"",SUMIFS('DEF_SELF_SCOUT_IMPORT'!$K$42:$K$1040,'DEF_SELF_SCOUT_IMPORT'!$L$42:$L$1040,"Y",'DEF_SELF_SCOUT_IMPORT'!$E$42:$E$1040,SUBSTITUTE(SUBSTITUTE(SUBSTITUTE($B57,"~","~~"),"*","~*"),"?","~?"),'DEF_SELF_SCOUT_IMPORT'!$Q$42:$Q$1040,SUBSTITUTE(SUBSTITUTE(SUBSTITUTE($M57,"~","~~"),"*","~*"),"?","~?"))/$C57)</f>
        <v>0.0</v>
      </c>
      <c r="F57" s="11">
        <f>IF($C57=0,"",AVERAGEIFS('DEF_SELF_SCOUT_IMPORT'!$I$42:$I$1040,'DEF_SELF_SCOUT_IMPORT'!$L$42:$L$1040,"Y",'DEF_SELF_SCOUT_IMPORT'!$E$42:$E$1040,SUBSTITUTE(SUBSTITUTE(SUBSTITUTE($B57,"~","~~"),"*","~*"),"?","~?"),'DEF_SELF_SCOUT_IMPORT'!$Q$42:$Q$1040,SUBSTITUTE(SUBSTITUTE(SUBSTITUTE($M57,"~","~~"),"*","~*"),"?","~?")))</f>
        <v>5.0</v>
      </c>
      <c r="G57" s="10">
        <f>IF($C57=0,"",COUNTIFS('DEF_SELF_SCOUT_IMPORT'!$L$42:$L$1040,"Y",'DEF_SELF_SCOUT_IMPORT'!$E$42:$E$1040,SUBSTITUTE(SUBSTITUTE(SUBSTITUTE($B57,"~","~~"),"*","~*"),"?","~?"),'DEF_SELF_SCOUT_IMPORT'!$Q$42:$Q$1040,SUBSTITUTE(SUBSTITUTE(SUBSTITUTE($M57,"~","~~"),"*","~*"),"?","~?"),'DEF_SELF_SCOUT_IMPORT'!$H$42:$H$1040,"RUSH")/$C57)</f>
        <v>1.0</v>
      </c>
      <c r="H57" s="10">
        <f>IF($C57=0,"",COUNTIFS('DEF_SELF_SCOUT_IMPORT'!$L$42:$L$1040,"Y",'DEF_SELF_SCOUT_IMPORT'!$E$42:$E$1040,SUBSTITUTE(SUBSTITUTE(SUBSTITUTE($B57,"~","~~"),"*","~*"),"?","~?"),'DEF_SELF_SCOUT_IMPORT'!$Q$42:$Q$1040,SUBSTITUTE(SUBSTITUTE(SUBSTITUTE($M57,"~","~~"),"*","~*"),"?","~?"),'DEF_SELF_SCOUT_IMPORT'!$H$42:$H$1040,"DROPBACK")/$C57)</f>
        <v>0.0</v>
      </c>
      <c r="I57" s="14" t="str">
        <f>IF(C57=0,"",IF(C57&lt;=2,"TRACK",IF(C57=3,"LOW",IF(C57&lt;=6,"MEDIUM","HIGH"))))</f>
        <v>TRACK</v>
      </c>
      <c r="J57" s="11">
        <f>IF(C57=0,"",ROUND(D57*70+(1-E57)*20+MAX(0,MIN(1,(10-F57)/10))*10,1))</f>
        <v>25.0</v>
      </c>
      <c r="K57" s="14" t="str">
        <f>IF(C57=0,"No Evidence",IF(C57&lt;=2,IF(E57&gt;0,"Explosive Alert","Track Only"),IF(C57=3,"Sample Watch",IF(E57&gt;=START_HERE!$B$31,"Explosive Alert",IF(J57&gt;=80,"Strong Candidate",IF(J57&gt;=65,"Good Candidate",IF(J57&gt;=50,"Mixed / Review","Problem Call")))))))</f>
        <v>Track Only</v>
      </c>
      <c r="L57" s="9" t="str">
        <f>IF(COUNTIFS('DEF_SELF_SCOUT_IMPORT'!$L$42:$L$1040,"Y",'DEF_SELF_SCOUT_IMPORT'!$E$42:$E$1040,SUBSTITUTE(SUBSTITUTE(SUBSTITUTE($B57,"~","~~"),"*","~*"),"?","~?"),'DEF_SELF_SCOUT_IMPORT'!$Q$42:$Q$1040,SUBSTITUTE(SUBSTITUTE(SUBSTITUTE($M57,"~","~~"),"*","~*"),"?","~?"),'DEF_SELF_SCOUT_IMPORT'!$J$42:$J$1040,"")&gt;0,"Unscored clean outcome; review result tags before using score.",IF(C57=0,"No matching defensive reps; film confirmation needed.",IF(K57="Explosive Alert","Explosive risk; review clips before using as answer.",IF(C57&lt;=2,"Track only; not enough sample.",IF(C57=3,IF(E57&gt;0,"Sample watch with explosive exposure; review clips and build the sample.",IF(J57&gt;=65,"Good signal, but sample is limited.","Sample watch; review clips and build the sample.")),IF(K57="Problem Call","Problem area; practice or call-sheet review.",IF(K57="Strong Candidate","Strong call-fit candidate; confirm on film.",IF(K57="Good Candidate","Good call-fit signal; confirm on film.","Mixed signal; review fit and execution on film."))))))))</f>
        <v>Track only; not enough sample.</v>
      </c>
      <c r="M57" s="8" t="s">
        <v>70</v>
      </c>
      <c r="N57" s="8"/>
      <c r="O57" s="8"/>
      <c r="P57" s="8"/>
      <c r="Q57" s="8"/>
      <c r="R57" s="8" t="s">
        <v>28</v>
      </c>
      <c r="S57" s="2" t="s">
        <v>71</v>
      </c>
      <c r="T57" s="2">
        <f>IF(C57=0,0,IF(C57&gt;=CALL_LOOKUP_BOARD!$B$7,IF(OR(K57="Problem Call",K57="Explosive Alert"),10000000,20000000),0)+IF(C57&gt;=CALL_LOOKUP_BOARD!$B$7,J57*1000+MIN(C57,999),C57*1000+J57)+0.00995200)</f>
        <v>1025.009952</v>
      </c>
      <c r="U57" s="2">
        <f>IF(C57=0,"",IF(COUNTIFS($S$10:$S$178,SUBSTITUTE(SUBSTITUTE(SUBSTITUTE(S57,"~","~~"),"*","~*"),"?","~?"),$T$10:$T$178,"&gt;"&amp;T57)=0,S57,""))</f>
        <v/>
      </c>
    </row>
    <row r="58" spans="1:21" ht="38" customHeight="1">
      <c r="A58" s="8" t="s">
        <v>70</v>
      </c>
      <c r="B58" s="8" t="s">
        <v>75</v>
      </c>
      <c r="C58" s="12">
        <f>COUNTIFS('DEF_SELF_SCOUT_IMPORT'!$L$42:$L$1040,"Y",'DEF_SELF_SCOUT_IMPORT'!$E$42:$E$1040,SUBSTITUTE(SUBSTITUTE(SUBSTITUTE($B58,"~","~~"),"*","~*"),"?","~?"),'DEF_SELF_SCOUT_IMPORT'!$Q$42:$Q$1040,SUBSTITUTE(SUBSTITUTE(SUBSTITUTE($M58,"~","~~"),"*","~*"),"?","~?"))</f>
        <v>1</v>
      </c>
      <c r="D58" s="10">
        <f>IF($C58=0,"",SUMIFS('DEF_SELF_SCOUT_IMPORT'!$J$42:$J$1040,'DEF_SELF_SCOUT_IMPORT'!$L$42:$L$1040,"Y",'DEF_SELF_SCOUT_IMPORT'!$E$42:$E$1040,SUBSTITUTE(SUBSTITUTE(SUBSTITUTE($B58,"~","~~"),"*","~*"),"?","~?"),'DEF_SELF_SCOUT_IMPORT'!$Q$42:$Q$1040,SUBSTITUTE(SUBSTITUTE(SUBSTITUTE($M58,"~","~~"),"*","~*"),"?","~?"))/$C58)</f>
        <v>1.0</v>
      </c>
      <c r="E58" s="10">
        <f>IF($C58=0,"",SUMIFS('DEF_SELF_SCOUT_IMPORT'!$K$42:$K$1040,'DEF_SELF_SCOUT_IMPORT'!$L$42:$L$1040,"Y",'DEF_SELF_SCOUT_IMPORT'!$E$42:$E$1040,SUBSTITUTE(SUBSTITUTE(SUBSTITUTE($B58,"~","~~"),"*","~*"),"?","~?"),'DEF_SELF_SCOUT_IMPORT'!$Q$42:$Q$1040,SUBSTITUTE(SUBSTITUTE(SUBSTITUTE($M58,"~","~~"),"*","~*"),"?","~?"))/$C58)</f>
        <v>0.0</v>
      </c>
      <c r="F58" s="11">
        <f>IF($C58=0,"",AVERAGEIFS('DEF_SELF_SCOUT_IMPORT'!$I$42:$I$1040,'DEF_SELF_SCOUT_IMPORT'!$L$42:$L$1040,"Y",'DEF_SELF_SCOUT_IMPORT'!$E$42:$E$1040,SUBSTITUTE(SUBSTITUTE(SUBSTITUTE($B58,"~","~~"),"*","~*"),"?","~?"),'DEF_SELF_SCOUT_IMPORT'!$Q$42:$Q$1040,SUBSTITUTE(SUBSTITUTE(SUBSTITUTE($M58,"~","~~"),"*","~*"),"?","~?")))</f>
        <v>1.0</v>
      </c>
      <c r="G58" s="10">
        <f>IF($C58=0,"",COUNTIFS('DEF_SELF_SCOUT_IMPORT'!$L$42:$L$1040,"Y",'DEF_SELF_SCOUT_IMPORT'!$E$42:$E$1040,SUBSTITUTE(SUBSTITUTE(SUBSTITUTE($B58,"~","~~"),"*","~*"),"?","~?"),'DEF_SELF_SCOUT_IMPORT'!$Q$42:$Q$1040,SUBSTITUTE(SUBSTITUTE(SUBSTITUTE($M58,"~","~~"),"*","~*"),"?","~?"),'DEF_SELF_SCOUT_IMPORT'!$H$42:$H$1040,"RUSH")/$C58)</f>
        <v>1.0</v>
      </c>
      <c r="H58" s="10">
        <f>IF($C58=0,"",COUNTIFS('DEF_SELF_SCOUT_IMPORT'!$L$42:$L$1040,"Y",'DEF_SELF_SCOUT_IMPORT'!$E$42:$E$1040,SUBSTITUTE(SUBSTITUTE(SUBSTITUTE($B58,"~","~~"),"*","~*"),"?","~?"),'DEF_SELF_SCOUT_IMPORT'!$Q$42:$Q$1040,SUBSTITUTE(SUBSTITUTE(SUBSTITUTE($M58,"~","~~"),"*","~*"),"?","~?"),'DEF_SELF_SCOUT_IMPORT'!$H$42:$H$1040,"DROPBACK")/$C58)</f>
        <v>0.0</v>
      </c>
      <c r="I58" s="14" t="str">
        <f>IF(C58=0,"",IF(C58&lt;=2,"TRACK",IF(C58=3,"LOW",IF(C58&lt;=6,"MEDIUM","HIGH"))))</f>
        <v>TRACK</v>
      </c>
      <c r="J58" s="11">
        <f>IF(C58=0,"",ROUND(D58*70+(1-E58)*20+MAX(0,MIN(1,(10-F58)/10))*10,1))</f>
        <v>99.0</v>
      </c>
      <c r="K58" s="14" t="str">
        <f>IF(C58=0,"No Evidence",IF(C58&lt;=2,IF(E58&gt;0,"Explosive Alert","Track Only"),IF(C58=3,"Sample Watch",IF(E58&gt;=START_HERE!$B$31,"Explosive Alert",IF(J58&gt;=80,"Strong Candidate",IF(J58&gt;=65,"Good Candidate",IF(J58&gt;=50,"Mixed / Review","Problem Call")))))))</f>
        <v>Track Only</v>
      </c>
      <c r="L58" s="9" t="str">
        <f>IF(COUNTIFS('DEF_SELF_SCOUT_IMPORT'!$L$42:$L$1040,"Y",'DEF_SELF_SCOUT_IMPORT'!$E$42:$E$1040,SUBSTITUTE(SUBSTITUTE(SUBSTITUTE($B58,"~","~~"),"*","~*"),"?","~?"),'DEF_SELF_SCOUT_IMPORT'!$Q$42:$Q$1040,SUBSTITUTE(SUBSTITUTE(SUBSTITUTE($M58,"~","~~"),"*","~*"),"?","~?"),'DEF_SELF_SCOUT_IMPORT'!$J$42:$J$1040,"")&gt;0,"Unscored clean outcome; review result tags before using score.",IF(C58=0,"No matching defensive reps; film confirmation needed.",IF(K58="Explosive Alert","Explosive risk; review clips before using as answer.",IF(C58&lt;=2,"Track only; not enough sample.",IF(C58=3,IF(E58&gt;0,"Sample watch with explosive exposure; review clips and build the sample.",IF(J58&gt;=65,"Good signal, but sample is limited.","Sample watch; review clips and build the sample.")),IF(K58="Problem Call","Problem area; practice or call-sheet review.",IF(K58="Strong Candidate","Strong call-fit candidate; confirm on film.",IF(K58="Good Candidate","Good call-fit signal; confirm on film.","Mixed signal; review fit and execution on film."))))))))</f>
        <v>Track only; not enough sample.</v>
      </c>
      <c r="M58" s="8" t="s">
        <v>70</v>
      </c>
      <c r="N58" s="8"/>
      <c r="O58" s="8"/>
      <c r="P58" s="8"/>
      <c r="Q58" s="8"/>
      <c r="R58" s="8" t="s">
        <v>28</v>
      </c>
      <c r="S58" s="2" t="s">
        <v>71</v>
      </c>
      <c r="T58" s="2">
        <f>IF(C58=0,0,IF(C58&gt;=CALL_LOOKUP_BOARD!$B$7,IF(OR(K58="Problem Call",K58="Explosive Alert"),10000000,20000000),0)+IF(C58&gt;=CALL_LOOKUP_BOARD!$B$7,J58*1000+MIN(C58,999),C58*1000+J58)+0.00995100)</f>
        <v>1099.009951</v>
      </c>
      <c r="U58" s="2">
        <f>IF(C58=0,"",IF(COUNTIFS($S$10:$S$178,SUBSTITUTE(SUBSTITUTE(SUBSTITUTE(S58,"~","~~"),"*","~*"),"?","~?"),$T$10:$T$178,"&gt;"&amp;T58)=0,S58,""))</f>
        <v/>
      </c>
    </row>
    <row r="59" spans="1:21" ht="38" customHeight="1">
      <c r="A59" s="8" t="s">
        <v>76</v>
      </c>
      <c r="B59" s="8" t="s">
        <v>77</v>
      </c>
      <c r="C59" s="12">
        <f>COUNTIFS('DEF_SELF_SCOUT_IMPORT'!$L$42:$L$1040,"Y",'DEF_SELF_SCOUT_IMPORT'!$E$42:$E$1040,SUBSTITUTE(SUBSTITUTE(SUBSTITUTE($B59,"~","~~"),"*","~*"),"?","~?"),'DEF_SELF_SCOUT_IMPORT'!$Q$42:$Q$1040,SUBSTITUTE(SUBSTITUTE(SUBSTITUTE($M59,"~","~~"),"*","~*"),"?","~?"))</f>
        <v>1</v>
      </c>
      <c r="D59" s="10">
        <f>IF($C59=0,"",SUMIFS('DEF_SELF_SCOUT_IMPORT'!$J$42:$J$1040,'DEF_SELF_SCOUT_IMPORT'!$L$42:$L$1040,"Y",'DEF_SELF_SCOUT_IMPORT'!$E$42:$E$1040,SUBSTITUTE(SUBSTITUTE(SUBSTITUTE($B59,"~","~~"),"*","~*"),"?","~?"),'DEF_SELF_SCOUT_IMPORT'!$Q$42:$Q$1040,SUBSTITUTE(SUBSTITUTE(SUBSTITUTE($M59,"~","~~"),"*","~*"),"?","~?"))/$C59)</f>
        <v>1.0</v>
      </c>
      <c r="E59" s="10">
        <f>IF($C59=0,"",SUMIFS('DEF_SELF_SCOUT_IMPORT'!$K$42:$K$1040,'DEF_SELF_SCOUT_IMPORT'!$L$42:$L$1040,"Y",'DEF_SELF_SCOUT_IMPORT'!$E$42:$E$1040,SUBSTITUTE(SUBSTITUTE(SUBSTITUTE($B59,"~","~~"),"*","~*"),"?","~?"),'DEF_SELF_SCOUT_IMPORT'!$Q$42:$Q$1040,SUBSTITUTE(SUBSTITUTE(SUBSTITUTE($M59,"~","~~"),"*","~*"),"?","~?"))/$C59)</f>
        <v>0.0</v>
      </c>
      <c r="F59" s="11">
        <f>IF($C59=0,"",AVERAGEIFS('DEF_SELF_SCOUT_IMPORT'!$I$42:$I$1040,'DEF_SELF_SCOUT_IMPORT'!$L$42:$L$1040,"Y",'DEF_SELF_SCOUT_IMPORT'!$E$42:$E$1040,SUBSTITUTE(SUBSTITUTE(SUBSTITUTE($B59,"~","~~"),"*","~*"),"?","~?"),'DEF_SELF_SCOUT_IMPORT'!$Q$42:$Q$1040,SUBSTITUTE(SUBSTITUTE(SUBSTITUTE($M59,"~","~~"),"*","~*"),"?","~?")))</f>
        <v>5.0</v>
      </c>
      <c r="G59" s="10">
        <f>IF($C59=0,"",COUNTIFS('DEF_SELF_SCOUT_IMPORT'!$L$42:$L$1040,"Y",'DEF_SELF_SCOUT_IMPORT'!$E$42:$E$1040,SUBSTITUTE(SUBSTITUTE(SUBSTITUTE($B59,"~","~~"),"*","~*"),"?","~?"),'DEF_SELF_SCOUT_IMPORT'!$Q$42:$Q$1040,SUBSTITUTE(SUBSTITUTE(SUBSTITUTE($M59,"~","~~"),"*","~*"),"?","~?"),'DEF_SELF_SCOUT_IMPORT'!$H$42:$H$1040,"RUSH")/$C59)</f>
        <v>0.0</v>
      </c>
      <c r="H59" s="10">
        <f>IF($C59=0,"",COUNTIFS('DEF_SELF_SCOUT_IMPORT'!$L$42:$L$1040,"Y",'DEF_SELF_SCOUT_IMPORT'!$E$42:$E$1040,SUBSTITUTE(SUBSTITUTE(SUBSTITUTE($B59,"~","~~"),"*","~*"),"?","~?"),'DEF_SELF_SCOUT_IMPORT'!$Q$42:$Q$1040,SUBSTITUTE(SUBSTITUTE(SUBSTITUTE($M59,"~","~~"),"*","~*"),"?","~?"),'DEF_SELF_SCOUT_IMPORT'!$H$42:$H$1040,"DROPBACK")/$C59)</f>
        <v>1.0</v>
      </c>
      <c r="I59" s="14" t="str">
        <f>IF(C59=0,"",IF(C59&lt;=2,"TRACK",IF(C59=3,"LOW",IF(C59&lt;=6,"MEDIUM","HIGH"))))</f>
        <v>TRACK</v>
      </c>
      <c r="J59" s="11">
        <f>IF(C59=0,"",ROUND(D59*70+(1-E59)*20+MAX(0,MIN(1,(10-F59)/10))*10,1))</f>
        <v>95.0</v>
      </c>
      <c r="K59" s="14" t="str">
        <f>IF(C59=0,"No Evidence",IF(C59&lt;=2,IF(E59&gt;0,"Explosive Alert","Track Only"),IF(C59=3,"Sample Watch",IF(E59&gt;=START_HERE!$B$31,"Explosive Alert",IF(J59&gt;=80,"Strong Candidate",IF(J59&gt;=65,"Good Candidate",IF(J59&gt;=50,"Mixed / Review","Problem Call")))))))</f>
        <v>Track Only</v>
      </c>
      <c r="L59" s="9" t="str">
        <f>IF(COUNTIFS('DEF_SELF_SCOUT_IMPORT'!$L$42:$L$1040,"Y",'DEF_SELF_SCOUT_IMPORT'!$E$42:$E$1040,SUBSTITUTE(SUBSTITUTE(SUBSTITUTE($B59,"~","~~"),"*","~*"),"?","~?"),'DEF_SELF_SCOUT_IMPORT'!$Q$42:$Q$1040,SUBSTITUTE(SUBSTITUTE(SUBSTITUTE($M59,"~","~~"),"*","~*"),"?","~?"),'DEF_SELF_SCOUT_IMPORT'!$J$42:$J$1040,"")&gt;0,"Unscored clean outcome; review result tags before using score.",IF(C59=0,"No matching defensive reps; film confirmation needed.",IF(K59="Explosive Alert","Explosive risk; review clips before using as answer.",IF(C59&lt;=2,"Track only; not enough sample.",IF(C59=3,IF(E59&gt;0,"Sample watch with explosive exposure; review clips and build the sample.",IF(J59&gt;=65,"Good signal, but sample is limited.","Sample watch; review clips and build the sample.")),IF(K59="Problem Call","Problem area; practice or call-sheet review.",IF(K59="Strong Candidate","Strong call-fit candidate; confirm on film.",IF(K59="Good Candidate","Good call-fit signal; confirm on film.","Mixed signal; review fit and execution on film."))))))))</f>
        <v>Track only; not enough sample.</v>
      </c>
      <c r="M59" s="8" t="s">
        <v>76</v>
      </c>
      <c r="N59" s="8"/>
      <c r="O59" s="8"/>
      <c r="P59" s="8"/>
      <c r="Q59" s="8"/>
      <c r="R59" s="8" t="s">
        <v>28</v>
      </c>
      <c r="S59" s="2" t="s">
        <v>78</v>
      </c>
      <c r="T59" s="2">
        <f>IF(C59=0,0,IF(C59&gt;=CALL_LOOKUP_BOARD!$B$7,IF(OR(K59="Problem Call",K59="Explosive Alert"),10000000,20000000),0)+IF(C59&gt;=CALL_LOOKUP_BOARD!$B$7,J59*1000+MIN(C59,999),C59*1000+J59)+0.00995000)</f>
        <v>1095.00995</v>
      </c>
      <c r="U59" s="2">
        <f>IF(C59=0,"",IF(COUNTIFS($S$10:$S$178,SUBSTITUTE(SUBSTITUTE(SUBSTITUTE(S59,"~","~~"),"*","~*"),"?","~?"),$T$10:$T$178,"&gt;"&amp;T59)=0,S59,""))</f>
        <v/>
      </c>
    </row>
    <row r="60" spans="1:21" ht="38" customHeight="1">
      <c r="A60" s="8" t="s">
        <v>76</v>
      </c>
      <c r="B60" s="8" t="s">
        <v>46</v>
      </c>
      <c r="C60" s="12">
        <f>COUNTIFS('DEF_SELF_SCOUT_IMPORT'!$L$42:$L$1040,"Y",'DEF_SELF_SCOUT_IMPORT'!$E$42:$E$1040,SUBSTITUTE(SUBSTITUTE(SUBSTITUTE($B60,"~","~~"),"*","~*"),"?","~?"),'DEF_SELF_SCOUT_IMPORT'!$Q$42:$Q$1040,SUBSTITUTE(SUBSTITUTE(SUBSTITUTE($M60,"~","~~"),"*","~*"),"?","~?"))</f>
        <v>1</v>
      </c>
      <c r="D60" s="10">
        <f>IF($C60=0,"",SUMIFS('DEF_SELF_SCOUT_IMPORT'!$J$42:$J$1040,'DEF_SELF_SCOUT_IMPORT'!$L$42:$L$1040,"Y",'DEF_SELF_SCOUT_IMPORT'!$E$42:$E$1040,SUBSTITUTE(SUBSTITUTE(SUBSTITUTE($B60,"~","~~"),"*","~*"),"?","~?"),'DEF_SELF_SCOUT_IMPORT'!$Q$42:$Q$1040,SUBSTITUTE(SUBSTITUTE(SUBSTITUTE($M60,"~","~~"),"*","~*"),"?","~?"))/$C60)</f>
        <v>1.0</v>
      </c>
      <c r="E60" s="10">
        <f>IF($C60=0,"",SUMIFS('DEF_SELF_SCOUT_IMPORT'!$K$42:$K$1040,'DEF_SELF_SCOUT_IMPORT'!$L$42:$L$1040,"Y",'DEF_SELF_SCOUT_IMPORT'!$E$42:$E$1040,SUBSTITUTE(SUBSTITUTE(SUBSTITUTE($B60,"~","~~"),"*","~*"),"?","~?"),'DEF_SELF_SCOUT_IMPORT'!$Q$42:$Q$1040,SUBSTITUTE(SUBSTITUTE(SUBSTITUTE($M60,"~","~~"),"*","~*"),"?","~?"))/$C60)</f>
        <v>0.0</v>
      </c>
      <c r="F60" s="11">
        <f>IF($C60=0,"",AVERAGEIFS('DEF_SELF_SCOUT_IMPORT'!$I$42:$I$1040,'DEF_SELF_SCOUT_IMPORT'!$L$42:$L$1040,"Y",'DEF_SELF_SCOUT_IMPORT'!$E$42:$E$1040,SUBSTITUTE(SUBSTITUTE(SUBSTITUTE($B60,"~","~~"),"*","~*"),"?","~?"),'DEF_SELF_SCOUT_IMPORT'!$Q$42:$Q$1040,SUBSTITUTE(SUBSTITUTE(SUBSTITUTE($M60,"~","~~"),"*","~*"),"?","~?")))</f>
        <v>-2.0</v>
      </c>
      <c r="G60" s="10">
        <f>IF($C60=0,"",COUNTIFS('DEF_SELF_SCOUT_IMPORT'!$L$42:$L$1040,"Y",'DEF_SELF_SCOUT_IMPORT'!$E$42:$E$1040,SUBSTITUTE(SUBSTITUTE(SUBSTITUTE($B60,"~","~~"),"*","~*"),"?","~?"),'DEF_SELF_SCOUT_IMPORT'!$Q$42:$Q$1040,SUBSTITUTE(SUBSTITUTE(SUBSTITUTE($M60,"~","~~"),"*","~*"),"?","~?"),'DEF_SELF_SCOUT_IMPORT'!$H$42:$H$1040,"RUSH")/$C60)</f>
        <v>0.0</v>
      </c>
      <c r="H60" s="10">
        <f>IF($C60=0,"",COUNTIFS('DEF_SELF_SCOUT_IMPORT'!$L$42:$L$1040,"Y",'DEF_SELF_SCOUT_IMPORT'!$E$42:$E$1040,SUBSTITUTE(SUBSTITUTE(SUBSTITUTE($B60,"~","~~"),"*","~*"),"?","~?"),'DEF_SELF_SCOUT_IMPORT'!$Q$42:$Q$1040,SUBSTITUTE(SUBSTITUTE(SUBSTITUTE($M60,"~","~~"),"*","~*"),"?","~?"),'DEF_SELF_SCOUT_IMPORT'!$H$42:$H$1040,"DROPBACK")/$C60)</f>
        <v>1.0</v>
      </c>
      <c r="I60" s="14" t="str">
        <f>IF(C60=0,"",IF(C60&lt;=2,"TRACK",IF(C60=3,"LOW",IF(C60&lt;=6,"MEDIUM","HIGH"))))</f>
        <v>TRACK</v>
      </c>
      <c r="J60" s="11">
        <f>IF(C60=0,"",ROUND(D60*70+(1-E60)*20+MAX(0,MIN(1,(10-F60)/10))*10,1))</f>
        <v>100.0</v>
      </c>
      <c r="K60" s="14" t="str">
        <f>IF(C60=0,"No Evidence",IF(C60&lt;=2,IF(E60&gt;0,"Explosive Alert","Track Only"),IF(C60=3,"Sample Watch",IF(E60&gt;=START_HERE!$B$31,"Explosive Alert",IF(J60&gt;=80,"Strong Candidate",IF(J60&gt;=65,"Good Candidate",IF(J60&gt;=50,"Mixed / Review","Problem Call")))))))</f>
        <v>Track Only</v>
      </c>
      <c r="L60" s="9" t="str">
        <f>IF(COUNTIFS('DEF_SELF_SCOUT_IMPORT'!$L$42:$L$1040,"Y",'DEF_SELF_SCOUT_IMPORT'!$E$42:$E$1040,SUBSTITUTE(SUBSTITUTE(SUBSTITUTE($B60,"~","~~"),"*","~*"),"?","~?"),'DEF_SELF_SCOUT_IMPORT'!$Q$42:$Q$1040,SUBSTITUTE(SUBSTITUTE(SUBSTITUTE($M60,"~","~~"),"*","~*"),"?","~?"),'DEF_SELF_SCOUT_IMPORT'!$J$42:$J$1040,"")&gt;0,"Unscored clean outcome; review result tags before using score.",IF(C60=0,"No matching defensive reps; film confirmation needed.",IF(K60="Explosive Alert","Explosive risk; review clips before using as answer.",IF(C60&lt;=2,"Track only; not enough sample.",IF(C60=3,IF(E60&gt;0,"Sample watch with explosive exposure; review clips and build the sample.",IF(J60&gt;=65,"Good signal, but sample is limited.","Sample watch; review clips and build the sample.")),IF(K60="Problem Call","Problem area; practice or call-sheet review.",IF(K60="Strong Candidate","Strong call-fit candidate; confirm on film.",IF(K60="Good Candidate","Good call-fit signal; confirm on film.","Mixed signal; review fit and execution on film."))))))))</f>
        <v>Track only; not enough sample.</v>
      </c>
      <c r="M60" s="8" t="s">
        <v>76</v>
      </c>
      <c r="N60" s="8"/>
      <c r="O60" s="8"/>
      <c r="P60" s="8"/>
      <c r="Q60" s="8"/>
      <c r="R60" s="8" t="s">
        <v>28</v>
      </c>
      <c r="S60" s="2" t="s">
        <v>78</v>
      </c>
      <c r="T60" s="2">
        <f>IF(C60=0,0,IF(C60&gt;=CALL_LOOKUP_BOARD!$B$7,IF(OR(K60="Problem Call",K60="Explosive Alert"),10000000,20000000),0)+IF(C60&gt;=CALL_LOOKUP_BOARD!$B$7,J60*1000+MIN(C60,999),C60*1000+J60)+0.00994900)</f>
        <v>1100.009949</v>
      </c>
      <c r="U60" s="2">
        <f>IF(C60=0,"",IF(COUNTIFS($S$10:$S$178,SUBSTITUTE(SUBSTITUTE(SUBSTITUTE(S60,"~","~~"),"*","~*"),"?","~?"),$T$10:$T$178,"&gt;"&amp;T60)=0,S60,""))</f>
        <v/>
      </c>
    </row>
    <row r="61" spans="1:21" ht="38" customHeight="1">
      <c r="A61" s="8" t="s">
        <v>76</v>
      </c>
      <c r="B61" s="8" t="s">
        <v>79</v>
      </c>
      <c r="C61" s="12">
        <f>COUNTIFS('DEF_SELF_SCOUT_IMPORT'!$L$42:$L$1040,"Y",'DEF_SELF_SCOUT_IMPORT'!$E$42:$E$1040,SUBSTITUTE(SUBSTITUTE(SUBSTITUTE($B61,"~","~~"),"*","~*"),"?","~?"),'DEF_SELF_SCOUT_IMPORT'!$Q$42:$Q$1040,SUBSTITUTE(SUBSTITUTE(SUBSTITUTE($M61,"~","~~"),"*","~*"),"?","~?"))</f>
        <v>2</v>
      </c>
      <c r="D61" s="10">
        <f>IF($C61=0,"",SUMIFS('DEF_SELF_SCOUT_IMPORT'!$J$42:$J$1040,'DEF_SELF_SCOUT_IMPORT'!$L$42:$L$1040,"Y",'DEF_SELF_SCOUT_IMPORT'!$E$42:$E$1040,SUBSTITUTE(SUBSTITUTE(SUBSTITUTE($B61,"~","~~"),"*","~*"),"?","~?"),'DEF_SELF_SCOUT_IMPORT'!$Q$42:$Q$1040,SUBSTITUTE(SUBSTITUTE(SUBSTITUTE($M61,"~","~~"),"*","~*"),"?","~?"))/$C61)</f>
        <v>0.0</v>
      </c>
      <c r="E61" s="10">
        <f>IF($C61=0,"",SUMIFS('DEF_SELF_SCOUT_IMPORT'!$K$42:$K$1040,'DEF_SELF_SCOUT_IMPORT'!$L$42:$L$1040,"Y",'DEF_SELF_SCOUT_IMPORT'!$E$42:$E$1040,SUBSTITUTE(SUBSTITUTE(SUBSTITUTE($B61,"~","~~"),"*","~*"),"?","~?"),'DEF_SELF_SCOUT_IMPORT'!$Q$42:$Q$1040,SUBSTITUTE(SUBSTITUTE(SUBSTITUTE($M61,"~","~~"),"*","~*"),"?","~?"))/$C61)</f>
        <v>0.5</v>
      </c>
      <c r="F61" s="11">
        <f>IF($C61=0,"",AVERAGEIFS('DEF_SELF_SCOUT_IMPORT'!$I$42:$I$1040,'DEF_SELF_SCOUT_IMPORT'!$L$42:$L$1040,"Y",'DEF_SELF_SCOUT_IMPORT'!$E$42:$E$1040,SUBSTITUTE(SUBSTITUTE(SUBSTITUTE($B61,"~","~~"),"*","~*"),"?","~?"),'DEF_SELF_SCOUT_IMPORT'!$Q$42:$Q$1040,SUBSTITUTE(SUBSTITUTE(SUBSTITUTE($M61,"~","~~"),"*","~*"),"?","~?")))</f>
        <v>10.5</v>
      </c>
      <c r="G61" s="10">
        <f>IF($C61=0,"",COUNTIFS('DEF_SELF_SCOUT_IMPORT'!$L$42:$L$1040,"Y",'DEF_SELF_SCOUT_IMPORT'!$E$42:$E$1040,SUBSTITUTE(SUBSTITUTE(SUBSTITUTE($B61,"~","~~"),"*","~*"),"?","~?"),'DEF_SELF_SCOUT_IMPORT'!$Q$42:$Q$1040,SUBSTITUTE(SUBSTITUTE(SUBSTITUTE($M61,"~","~~"),"*","~*"),"?","~?"),'DEF_SELF_SCOUT_IMPORT'!$H$42:$H$1040,"RUSH")/$C61)</f>
        <v>0.5</v>
      </c>
      <c r="H61" s="10">
        <f>IF($C61=0,"",COUNTIFS('DEF_SELF_SCOUT_IMPORT'!$L$42:$L$1040,"Y",'DEF_SELF_SCOUT_IMPORT'!$E$42:$E$1040,SUBSTITUTE(SUBSTITUTE(SUBSTITUTE($B61,"~","~~"),"*","~*"),"?","~?"),'DEF_SELF_SCOUT_IMPORT'!$Q$42:$Q$1040,SUBSTITUTE(SUBSTITUTE(SUBSTITUTE($M61,"~","~~"),"*","~*"),"?","~?"),'DEF_SELF_SCOUT_IMPORT'!$H$42:$H$1040,"DROPBACK")/$C61)</f>
        <v>0.5</v>
      </c>
      <c r="I61" s="14" t="str">
        <f>IF(C61=0,"",IF(C61&lt;=2,"TRACK",IF(C61=3,"LOW",IF(C61&lt;=6,"MEDIUM","HIGH"))))</f>
        <v>TRACK</v>
      </c>
      <c r="J61" s="11">
        <f>IF(C61=0,"",ROUND(D61*70+(1-E61)*20+MAX(0,MIN(1,(10-F61)/10))*10,1))</f>
        <v>10.0</v>
      </c>
      <c r="K61" s="14" t="str">
        <f>IF(C61=0,"No Evidence",IF(C61&lt;=2,IF(E61&gt;0,"Explosive Alert","Track Only"),IF(C61=3,"Sample Watch",IF(E61&gt;=START_HERE!$B$31,"Explosive Alert",IF(J61&gt;=80,"Strong Candidate",IF(J61&gt;=65,"Good Candidate",IF(J61&gt;=50,"Mixed / Review","Problem Call")))))))</f>
        <v>Explosive Alert</v>
      </c>
      <c r="L61" s="9" t="str">
        <f>IF(COUNTIFS('DEF_SELF_SCOUT_IMPORT'!$L$42:$L$1040,"Y",'DEF_SELF_SCOUT_IMPORT'!$E$42:$E$1040,SUBSTITUTE(SUBSTITUTE(SUBSTITUTE($B61,"~","~~"),"*","~*"),"?","~?"),'DEF_SELF_SCOUT_IMPORT'!$Q$42:$Q$1040,SUBSTITUTE(SUBSTITUTE(SUBSTITUTE($M61,"~","~~"),"*","~*"),"?","~?"),'DEF_SELF_SCOUT_IMPORT'!$J$42:$J$1040,"")&gt;0,"Unscored clean outcome; review result tags before using score.",IF(C61=0,"No matching defensive reps; film confirmation needed.",IF(K61="Explosive Alert","Explosive risk; review clips before using as answer.",IF(C61&lt;=2,"Track only; not enough sample.",IF(C61=3,IF(E61&gt;0,"Sample watch with explosive exposure; review clips and build the sample.",IF(J61&gt;=65,"Good signal, but sample is limited.","Sample watch; review clips and build the sample.")),IF(K61="Problem Call","Problem area; practice or call-sheet review.",IF(K61="Strong Candidate","Strong call-fit candidate; confirm on film.",IF(K61="Good Candidate","Good call-fit signal; confirm on film.","Mixed signal; review fit and execution on film."))))))))</f>
        <v>Explosive risk; review clips before using as answer.</v>
      </c>
      <c r="M61" s="8" t="s">
        <v>76</v>
      </c>
      <c r="N61" s="8"/>
      <c r="O61" s="8"/>
      <c r="P61" s="8"/>
      <c r="Q61" s="8"/>
      <c r="R61" s="8" t="s">
        <v>28</v>
      </c>
      <c r="S61" s="2" t="s">
        <v>78</v>
      </c>
      <c r="T61" s="2">
        <f>IF(C61=0,0,IF(C61&gt;=CALL_LOOKUP_BOARD!$B$7,IF(OR(K61="Problem Call",K61="Explosive Alert"),10000000,20000000),0)+IF(C61&gt;=CALL_LOOKUP_BOARD!$B$7,J61*1000+MIN(C61,999),C61*1000+J61)+0.00994800)</f>
        <v>2010.009948</v>
      </c>
      <c r="U61" s="2">
        <f>IF(C61=0,"",IF(COUNTIFS($S$10:$S$178,SUBSTITUTE(SUBSTITUTE(SUBSTITUTE(S61,"~","~~"),"*","~*"),"?","~?"),$T$10:$T$178,"&gt;"&amp;T61)=0,S61,""))</f>
        <v/>
      </c>
    </row>
    <row r="62" spans="1:21" ht="38" customHeight="1">
      <c r="A62" s="8" t="s">
        <v>76</v>
      </c>
      <c r="B62" s="8" t="s">
        <v>80</v>
      </c>
      <c r="C62" s="12">
        <f>COUNTIFS('DEF_SELF_SCOUT_IMPORT'!$L$42:$L$1040,"Y",'DEF_SELF_SCOUT_IMPORT'!$E$42:$E$1040,SUBSTITUTE(SUBSTITUTE(SUBSTITUTE($B62,"~","~~"),"*","~*"),"?","~?"),'DEF_SELF_SCOUT_IMPORT'!$Q$42:$Q$1040,SUBSTITUTE(SUBSTITUTE(SUBSTITUTE($M62,"~","~~"),"*","~*"),"?","~?"))</f>
        <v>1</v>
      </c>
      <c r="D62" s="10">
        <f>IF($C62=0,"",SUMIFS('DEF_SELF_SCOUT_IMPORT'!$J$42:$J$1040,'DEF_SELF_SCOUT_IMPORT'!$L$42:$L$1040,"Y",'DEF_SELF_SCOUT_IMPORT'!$E$42:$E$1040,SUBSTITUTE(SUBSTITUTE(SUBSTITUTE($B62,"~","~~"),"*","~*"),"?","~?"),'DEF_SELF_SCOUT_IMPORT'!$Q$42:$Q$1040,SUBSTITUTE(SUBSTITUTE(SUBSTITUTE($M62,"~","~~"),"*","~*"),"?","~?"))/$C62)</f>
        <v>1.0</v>
      </c>
      <c r="E62" s="10">
        <f>IF($C62=0,"",SUMIFS('DEF_SELF_SCOUT_IMPORT'!$K$42:$K$1040,'DEF_SELF_SCOUT_IMPORT'!$L$42:$L$1040,"Y",'DEF_SELF_SCOUT_IMPORT'!$E$42:$E$1040,SUBSTITUTE(SUBSTITUTE(SUBSTITUTE($B62,"~","~~"),"*","~*"),"?","~?"),'DEF_SELF_SCOUT_IMPORT'!$Q$42:$Q$1040,SUBSTITUTE(SUBSTITUTE(SUBSTITUTE($M62,"~","~~"),"*","~*"),"?","~?"))/$C62)</f>
        <v>0.0</v>
      </c>
      <c r="F62" s="11">
        <f>IF($C62=0,"",AVERAGEIFS('DEF_SELF_SCOUT_IMPORT'!$I$42:$I$1040,'DEF_SELF_SCOUT_IMPORT'!$L$42:$L$1040,"Y",'DEF_SELF_SCOUT_IMPORT'!$E$42:$E$1040,SUBSTITUTE(SUBSTITUTE(SUBSTITUTE($B62,"~","~~"),"*","~*"),"?","~?"),'DEF_SELF_SCOUT_IMPORT'!$Q$42:$Q$1040,SUBSTITUTE(SUBSTITUTE(SUBSTITUTE($M62,"~","~~"),"*","~*"),"?","~?")))</f>
        <v>3.0</v>
      </c>
      <c r="G62" s="10">
        <f>IF($C62=0,"",COUNTIFS('DEF_SELF_SCOUT_IMPORT'!$L$42:$L$1040,"Y",'DEF_SELF_SCOUT_IMPORT'!$E$42:$E$1040,SUBSTITUTE(SUBSTITUTE(SUBSTITUTE($B62,"~","~~"),"*","~*"),"?","~?"),'DEF_SELF_SCOUT_IMPORT'!$Q$42:$Q$1040,SUBSTITUTE(SUBSTITUTE(SUBSTITUTE($M62,"~","~~"),"*","~*"),"?","~?"),'DEF_SELF_SCOUT_IMPORT'!$H$42:$H$1040,"RUSH")/$C62)</f>
        <v>0.0</v>
      </c>
      <c r="H62" s="10">
        <f>IF($C62=0,"",COUNTIFS('DEF_SELF_SCOUT_IMPORT'!$L$42:$L$1040,"Y",'DEF_SELF_SCOUT_IMPORT'!$E$42:$E$1040,SUBSTITUTE(SUBSTITUTE(SUBSTITUTE($B62,"~","~~"),"*","~*"),"?","~?"),'DEF_SELF_SCOUT_IMPORT'!$Q$42:$Q$1040,SUBSTITUTE(SUBSTITUTE(SUBSTITUTE($M62,"~","~~"),"*","~*"),"?","~?"),'DEF_SELF_SCOUT_IMPORT'!$H$42:$H$1040,"DROPBACK")/$C62)</f>
        <v>1.0</v>
      </c>
      <c r="I62" s="14" t="str">
        <f>IF(C62=0,"",IF(C62&lt;=2,"TRACK",IF(C62=3,"LOW",IF(C62&lt;=6,"MEDIUM","HIGH"))))</f>
        <v>TRACK</v>
      </c>
      <c r="J62" s="11">
        <f>IF(C62=0,"",ROUND(D62*70+(1-E62)*20+MAX(0,MIN(1,(10-F62)/10))*10,1))</f>
        <v>97.0</v>
      </c>
      <c r="K62" s="14" t="str">
        <f>IF(C62=0,"No Evidence",IF(C62&lt;=2,IF(E62&gt;0,"Explosive Alert","Track Only"),IF(C62=3,"Sample Watch",IF(E62&gt;=START_HERE!$B$31,"Explosive Alert",IF(J62&gt;=80,"Strong Candidate",IF(J62&gt;=65,"Good Candidate",IF(J62&gt;=50,"Mixed / Review","Problem Call")))))))</f>
        <v>Track Only</v>
      </c>
      <c r="L62" s="9" t="str">
        <f>IF(COUNTIFS('DEF_SELF_SCOUT_IMPORT'!$L$42:$L$1040,"Y",'DEF_SELF_SCOUT_IMPORT'!$E$42:$E$1040,SUBSTITUTE(SUBSTITUTE(SUBSTITUTE($B62,"~","~~"),"*","~*"),"?","~?"),'DEF_SELF_SCOUT_IMPORT'!$Q$42:$Q$1040,SUBSTITUTE(SUBSTITUTE(SUBSTITUTE($M62,"~","~~"),"*","~*"),"?","~?"),'DEF_SELF_SCOUT_IMPORT'!$J$42:$J$1040,"")&gt;0,"Unscored clean outcome; review result tags before using score.",IF(C62=0,"No matching defensive reps; film confirmation needed.",IF(K62="Explosive Alert","Explosive risk; review clips before using as answer.",IF(C62&lt;=2,"Track only; not enough sample.",IF(C62=3,IF(E62&gt;0,"Sample watch with explosive exposure; review clips and build the sample.",IF(J62&gt;=65,"Good signal, but sample is limited.","Sample watch; review clips and build the sample.")),IF(K62="Problem Call","Problem area; practice or call-sheet review.",IF(K62="Strong Candidate","Strong call-fit candidate; confirm on film.",IF(K62="Good Candidate","Good call-fit signal; confirm on film.","Mixed signal; review fit and execution on film."))))))))</f>
        <v>Track only; not enough sample.</v>
      </c>
      <c r="M62" s="8" t="s">
        <v>76</v>
      </c>
      <c r="N62" s="8"/>
      <c r="O62" s="8"/>
      <c r="P62" s="8"/>
      <c r="Q62" s="8"/>
      <c r="R62" s="8" t="s">
        <v>28</v>
      </c>
      <c r="S62" s="2" t="s">
        <v>78</v>
      </c>
      <c r="T62" s="2">
        <f>IF(C62=0,0,IF(C62&gt;=CALL_LOOKUP_BOARD!$B$7,IF(OR(K62="Problem Call",K62="Explosive Alert"),10000000,20000000),0)+IF(C62&gt;=CALL_LOOKUP_BOARD!$B$7,J62*1000+MIN(C62,999),C62*1000+J62)+0.00994700)</f>
        <v>1097.009947</v>
      </c>
      <c r="U62" s="2">
        <f>IF(C62=0,"",IF(COUNTIFS($S$10:$S$178,SUBSTITUTE(SUBSTITUTE(SUBSTITUTE(S62,"~","~~"),"*","~*"),"?","~?"),$T$10:$T$178,"&gt;"&amp;T62)=0,S62,""))</f>
        <v/>
      </c>
    </row>
    <row r="63" spans="1:21" ht="38" customHeight="1">
      <c r="A63" s="8" t="s">
        <v>76</v>
      </c>
      <c r="B63" s="8" t="s">
        <v>55</v>
      </c>
      <c r="C63" s="12">
        <f>COUNTIFS('DEF_SELF_SCOUT_IMPORT'!$L$42:$L$1040,"Y",'DEF_SELF_SCOUT_IMPORT'!$E$42:$E$1040,SUBSTITUTE(SUBSTITUTE(SUBSTITUTE($B63,"~","~~"),"*","~*"),"?","~?"),'DEF_SELF_SCOUT_IMPORT'!$Q$42:$Q$1040,SUBSTITUTE(SUBSTITUTE(SUBSTITUTE($M63,"~","~~"),"*","~*"),"?","~?"))</f>
        <v>1</v>
      </c>
      <c r="D63" s="10">
        <f>IF($C63=0,"",SUMIFS('DEF_SELF_SCOUT_IMPORT'!$J$42:$J$1040,'DEF_SELF_SCOUT_IMPORT'!$L$42:$L$1040,"Y",'DEF_SELF_SCOUT_IMPORT'!$E$42:$E$1040,SUBSTITUTE(SUBSTITUTE(SUBSTITUTE($B63,"~","~~"),"*","~*"),"?","~?"),'DEF_SELF_SCOUT_IMPORT'!$Q$42:$Q$1040,SUBSTITUTE(SUBSTITUTE(SUBSTITUTE($M63,"~","~~"),"*","~*"),"?","~?"))/$C63)</f>
        <v>1.0</v>
      </c>
      <c r="E63" s="10">
        <f>IF($C63=0,"",SUMIFS('DEF_SELF_SCOUT_IMPORT'!$K$42:$K$1040,'DEF_SELF_SCOUT_IMPORT'!$L$42:$L$1040,"Y",'DEF_SELF_SCOUT_IMPORT'!$E$42:$E$1040,SUBSTITUTE(SUBSTITUTE(SUBSTITUTE($B63,"~","~~"),"*","~*"),"?","~?"),'DEF_SELF_SCOUT_IMPORT'!$Q$42:$Q$1040,SUBSTITUTE(SUBSTITUTE(SUBSTITUTE($M63,"~","~~"),"*","~*"),"?","~?"))/$C63)</f>
        <v>0.0</v>
      </c>
      <c r="F63" s="11">
        <f>IF($C63=0,"",AVERAGEIFS('DEF_SELF_SCOUT_IMPORT'!$I$42:$I$1040,'DEF_SELF_SCOUT_IMPORT'!$L$42:$L$1040,"Y",'DEF_SELF_SCOUT_IMPORT'!$E$42:$E$1040,SUBSTITUTE(SUBSTITUTE(SUBSTITUTE($B63,"~","~~"),"*","~*"),"?","~?"),'DEF_SELF_SCOUT_IMPORT'!$Q$42:$Q$1040,SUBSTITUTE(SUBSTITUTE(SUBSTITUTE($M63,"~","~~"),"*","~*"),"?","~?")))</f>
        <v>3.0</v>
      </c>
      <c r="G63" s="10">
        <f>IF($C63=0,"",COUNTIFS('DEF_SELF_SCOUT_IMPORT'!$L$42:$L$1040,"Y",'DEF_SELF_SCOUT_IMPORT'!$E$42:$E$1040,SUBSTITUTE(SUBSTITUTE(SUBSTITUTE($B63,"~","~~"),"*","~*"),"?","~?"),'DEF_SELF_SCOUT_IMPORT'!$Q$42:$Q$1040,SUBSTITUTE(SUBSTITUTE(SUBSTITUTE($M63,"~","~~"),"*","~*"),"?","~?"),'DEF_SELF_SCOUT_IMPORT'!$H$42:$H$1040,"RUSH")/$C63)</f>
        <v>1.0</v>
      </c>
      <c r="H63" s="10">
        <f>IF($C63=0,"",COUNTIFS('DEF_SELF_SCOUT_IMPORT'!$L$42:$L$1040,"Y",'DEF_SELF_SCOUT_IMPORT'!$E$42:$E$1040,SUBSTITUTE(SUBSTITUTE(SUBSTITUTE($B63,"~","~~"),"*","~*"),"?","~?"),'DEF_SELF_SCOUT_IMPORT'!$Q$42:$Q$1040,SUBSTITUTE(SUBSTITUTE(SUBSTITUTE($M63,"~","~~"),"*","~*"),"?","~?"),'DEF_SELF_SCOUT_IMPORT'!$H$42:$H$1040,"DROPBACK")/$C63)</f>
        <v>0.0</v>
      </c>
      <c r="I63" s="14" t="str">
        <f>IF(C63=0,"",IF(C63&lt;=2,"TRACK",IF(C63=3,"LOW",IF(C63&lt;=6,"MEDIUM","HIGH"))))</f>
        <v>TRACK</v>
      </c>
      <c r="J63" s="11">
        <f>IF(C63=0,"",ROUND(D63*70+(1-E63)*20+MAX(0,MIN(1,(10-F63)/10))*10,1))</f>
        <v>97.0</v>
      </c>
      <c r="K63" s="14" t="str">
        <f>IF(C63=0,"No Evidence",IF(C63&lt;=2,IF(E63&gt;0,"Explosive Alert","Track Only"),IF(C63=3,"Sample Watch",IF(E63&gt;=START_HERE!$B$31,"Explosive Alert",IF(J63&gt;=80,"Strong Candidate",IF(J63&gt;=65,"Good Candidate",IF(J63&gt;=50,"Mixed / Review","Problem Call")))))))</f>
        <v>Track Only</v>
      </c>
      <c r="L63" s="9" t="str">
        <f>IF(COUNTIFS('DEF_SELF_SCOUT_IMPORT'!$L$42:$L$1040,"Y",'DEF_SELF_SCOUT_IMPORT'!$E$42:$E$1040,SUBSTITUTE(SUBSTITUTE(SUBSTITUTE($B63,"~","~~"),"*","~*"),"?","~?"),'DEF_SELF_SCOUT_IMPORT'!$Q$42:$Q$1040,SUBSTITUTE(SUBSTITUTE(SUBSTITUTE($M63,"~","~~"),"*","~*"),"?","~?"),'DEF_SELF_SCOUT_IMPORT'!$J$42:$J$1040,"")&gt;0,"Unscored clean outcome; review result tags before using score.",IF(C63=0,"No matching defensive reps; film confirmation needed.",IF(K63="Explosive Alert","Explosive risk; review clips before using as answer.",IF(C63&lt;=2,"Track only; not enough sample.",IF(C63=3,IF(E63&gt;0,"Sample watch with explosive exposure; review clips and build the sample.",IF(J63&gt;=65,"Good signal, but sample is limited.","Sample watch; review clips and build the sample.")),IF(K63="Problem Call","Problem area; practice or call-sheet review.",IF(K63="Strong Candidate","Strong call-fit candidate; confirm on film.",IF(K63="Good Candidate","Good call-fit signal; confirm on film.","Mixed signal; review fit and execution on film."))))))))</f>
        <v>Track only; not enough sample.</v>
      </c>
      <c r="M63" s="8" t="s">
        <v>76</v>
      </c>
      <c r="N63" s="8"/>
      <c r="O63" s="8"/>
      <c r="P63" s="8"/>
      <c r="Q63" s="8"/>
      <c r="R63" s="8" t="s">
        <v>28</v>
      </c>
      <c r="S63" s="2" t="s">
        <v>78</v>
      </c>
      <c r="T63" s="2">
        <f>IF(C63=0,0,IF(C63&gt;=CALL_LOOKUP_BOARD!$B$7,IF(OR(K63="Problem Call",K63="Explosive Alert"),10000000,20000000),0)+IF(C63&gt;=CALL_LOOKUP_BOARD!$B$7,J63*1000+MIN(C63,999),C63*1000+J63)+0.00994600)</f>
        <v>1097.009946</v>
      </c>
      <c r="U63" s="2">
        <f>IF(C63=0,"",IF(COUNTIFS($S$10:$S$178,SUBSTITUTE(SUBSTITUTE(SUBSTITUTE(S63,"~","~~"),"*","~*"),"?","~?"),$T$10:$T$178,"&gt;"&amp;T63)=0,S63,""))</f>
        <v/>
      </c>
    </row>
    <row r="64" spans="1:21" ht="38" customHeight="1">
      <c r="A64" s="8" t="s">
        <v>76</v>
      </c>
      <c r="B64" s="8" t="s">
        <v>81</v>
      </c>
      <c r="C64" s="12">
        <f>COUNTIFS('DEF_SELF_SCOUT_IMPORT'!$L$42:$L$1040,"Y",'DEF_SELF_SCOUT_IMPORT'!$E$42:$E$1040,SUBSTITUTE(SUBSTITUTE(SUBSTITUTE($B64,"~","~~"),"*","~*"),"?","~?"),'DEF_SELF_SCOUT_IMPORT'!$Q$42:$Q$1040,SUBSTITUTE(SUBSTITUTE(SUBSTITUTE($M64,"~","~~"),"*","~*"),"?","~?"))</f>
        <v>1</v>
      </c>
      <c r="D64" s="10">
        <f>IF($C64=0,"",SUMIFS('DEF_SELF_SCOUT_IMPORT'!$J$42:$J$1040,'DEF_SELF_SCOUT_IMPORT'!$L$42:$L$1040,"Y",'DEF_SELF_SCOUT_IMPORT'!$E$42:$E$1040,SUBSTITUTE(SUBSTITUTE(SUBSTITUTE($B64,"~","~~"),"*","~*"),"?","~?"),'DEF_SELF_SCOUT_IMPORT'!$Q$42:$Q$1040,SUBSTITUTE(SUBSTITUTE(SUBSTITUTE($M64,"~","~~"),"*","~*"),"?","~?"))/$C64)</f>
        <v>1.0</v>
      </c>
      <c r="E64" s="10">
        <f>IF($C64=0,"",SUMIFS('DEF_SELF_SCOUT_IMPORT'!$K$42:$K$1040,'DEF_SELF_SCOUT_IMPORT'!$L$42:$L$1040,"Y",'DEF_SELF_SCOUT_IMPORT'!$E$42:$E$1040,SUBSTITUTE(SUBSTITUTE(SUBSTITUTE($B64,"~","~~"),"*","~*"),"?","~?"),'DEF_SELF_SCOUT_IMPORT'!$Q$42:$Q$1040,SUBSTITUTE(SUBSTITUTE(SUBSTITUTE($M64,"~","~~"),"*","~*"),"?","~?"))/$C64)</f>
        <v>0.0</v>
      </c>
      <c r="F64" s="11">
        <f>IF($C64=0,"",AVERAGEIFS('DEF_SELF_SCOUT_IMPORT'!$I$42:$I$1040,'DEF_SELF_SCOUT_IMPORT'!$L$42:$L$1040,"Y",'DEF_SELF_SCOUT_IMPORT'!$E$42:$E$1040,SUBSTITUTE(SUBSTITUTE(SUBSTITUTE($B64,"~","~~"),"*","~*"),"?","~?"),'DEF_SELF_SCOUT_IMPORT'!$Q$42:$Q$1040,SUBSTITUTE(SUBSTITUTE(SUBSTITUTE($M64,"~","~~"),"*","~*"),"?","~?")))</f>
        <v>0.0</v>
      </c>
      <c r="G64" s="10">
        <f>IF($C64=0,"",COUNTIFS('DEF_SELF_SCOUT_IMPORT'!$L$42:$L$1040,"Y",'DEF_SELF_SCOUT_IMPORT'!$E$42:$E$1040,SUBSTITUTE(SUBSTITUTE(SUBSTITUTE($B64,"~","~~"),"*","~*"),"?","~?"),'DEF_SELF_SCOUT_IMPORT'!$Q$42:$Q$1040,SUBSTITUTE(SUBSTITUTE(SUBSTITUTE($M64,"~","~~"),"*","~*"),"?","~?"),'DEF_SELF_SCOUT_IMPORT'!$H$42:$H$1040,"RUSH")/$C64)</f>
        <v>0.0</v>
      </c>
      <c r="H64" s="10">
        <f>IF($C64=0,"",COUNTIFS('DEF_SELF_SCOUT_IMPORT'!$L$42:$L$1040,"Y",'DEF_SELF_SCOUT_IMPORT'!$E$42:$E$1040,SUBSTITUTE(SUBSTITUTE(SUBSTITUTE($B64,"~","~~"),"*","~*"),"?","~?"),'DEF_SELF_SCOUT_IMPORT'!$Q$42:$Q$1040,SUBSTITUTE(SUBSTITUTE(SUBSTITUTE($M64,"~","~~"),"*","~*"),"?","~?"),'DEF_SELF_SCOUT_IMPORT'!$H$42:$H$1040,"DROPBACK")/$C64)</f>
        <v>1.0</v>
      </c>
      <c r="I64" s="14" t="str">
        <f>IF(C64=0,"",IF(C64&lt;=2,"TRACK",IF(C64=3,"LOW",IF(C64&lt;=6,"MEDIUM","HIGH"))))</f>
        <v>TRACK</v>
      </c>
      <c r="J64" s="11">
        <f>IF(C64=0,"",ROUND(D64*70+(1-E64)*20+MAX(0,MIN(1,(10-F64)/10))*10,1))</f>
        <v>100.0</v>
      </c>
      <c r="K64" s="14" t="str">
        <f>IF(C64=0,"No Evidence",IF(C64&lt;=2,IF(E64&gt;0,"Explosive Alert","Track Only"),IF(C64=3,"Sample Watch",IF(E64&gt;=START_HERE!$B$31,"Explosive Alert",IF(J64&gt;=80,"Strong Candidate",IF(J64&gt;=65,"Good Candidate",IF(J64&gt;=50,"Mixed / Review","Problem Call")))))))</f>
        <v>Track Only</v>
      </c>
      <c r="L64" s="9" t="str">
        <f>IF(COUNTIFS('DEF_SELF_SCOUT_IMPORT'!$L$42:$L$1040,"Y",'DEF_SELF_SCOUT_IMPORT'!$E$42:$E$1040,SUBSTITUTE(SUBSTITUTE(SUBSTITUTE($B64,"~","~~"),"*","~*"),"?","~?"),'DEF_SELF_SCOUT_IMPORT'!$Q$42:$Q$1040,SUBSTITUTE(SUBSTITUTE(SUBSTITUTE($M64,"~","~~"),"*","~*"),"?","~?"),'DEF_SELF_SCOUT_IMPORT'!$J$42:$J$1040,"")&gt;0,"Unscored clean outcome; review result tags before using score.",IF(C64=0,"No matching defensive reps; film confirmation needed.",IF(K64="Explosive Alert","Explosive risk; review clips before using as answer.",IF(C64&lt;=2,"Track only; not enough sample.",IF(C64=3,IF(E64&gt;0,"Sample watch with explosive exposure; review clips and build the sample.",IF(J64&gt;=65,"Good signal, but sample is limited.","Sample watch; review clips and build the sample.")),IF(K64="Problem Call","Problem area; practice or call-sheet review.",IF(K64="Strong Candidate","Strong call-fit candidate; confirm on film.",IF(K64="Good Candidate","Good call-fit signal; confirm on film.","Mixed signal; review fit and execution on film."))))))))</f>
        <v>Track only; not enough sample.</v>
      </c>
      <c r="M64" s="8" t="s">
        <v>76</v>
      </c>
      <c r="N64" s="8"/>
      <c r="O64" s="8"/>
      <c r="P64" s="8"/>
      <c r="Q64" s="8"/>
      <c r="R64" s="8" t="s">
        <v>28</v>
      </c>
      <c r="S64" s="2" t="s">
        <v>78</v>
      </c>
      <c r="T64" s="2">
        <f>IF(C64=0,0,IF(C64&gt;=CALL_LOOKUP_BOARD!$B$7,IF(OR(K64="Problem Call",K64="Explosive Alert"),10000000,20000000),0)+IF(C64&gt;=CALL_LOOKUP_BOARD!$B$7,J64*1000+MIN(C64,999),C64*1000+J64)+0.00994500)</f>
        <v>1100.009945</v>
      </c>
      <c r="U64" s="2">
        <f>IF(C64=0,"",IF(COUNTIFS($S$10:$S$178,SUBSTITUTE(SUBSTITUTE(SUBSTITUTE(S64,"~","~~"),"*","~*"),"?","~?"),$T$10:$T$178,"&gt;"&amp;T64)=0,S64,""))</f>
        <v/>
      </c>
    </row>
    <row r="65" spans="1:21" ht="38" customHeight="1">
      <c r="A65" s="8" t="s">
        <v>76</v>
      </c>
      <c r="B65" s="8" t="s">
        <v>61</v>
      </c>
      <c r="C65" s="12">
        <f>COUNTIFS('DEF_SELF_SCOUT_IMPORT'!$L$42:$L$1040,"Y",'DEF_SELF_SCOUT_IMPORT'!$E$42:$E$1040,SUBSTITUTE(SUBSTITUTE(SUBSTITUTE($B65,"~","~~"),"*","~*"),"?","~?"),'DEF_SELF_SCOUT_IMPORT'!$Q$42:$Q$1040,SUBSTITUTE(SUBSTITUTE(SUBSTITUTE($M65,"~","~~"),"*","~*"),"?","~?"))</f>
        <v>3</v>
      </c>
      <c r="D65" s="10">
        <f>IF($C65=0,"",SUMIFS('DEF_SELF_SCOUT_IMPORT'!$J$42:$J$1040,'DEF_SELF_SCOUT_IMPORT'!$L$42:$L$1040,"Y",'DEF_SELF_SCOUT_IMPORT'!$E$42:$E$1040,SUBSTITUTE(SUBSTITUTE(SUBSTITUTE($B65,"~","~~"),"*","~*"),"?","~?"),'DEF_SELF_SCOUT_IMPORT'!$Q$42:$Q$1040,SUBSTITUTE(SUBSTITUTE(SUBSTITUTE($M65,"~","~~"),"*","~*"),"?","~?"))/$C65)</f>
        <v>0.3333333333333333</v>
      </c>
      <c r="E65" s="10">
        <f>IF($C65=0,"",SUMIFS('DEF_SELF_SCOUT_IMPORT'!$K$42:$K$1040,'DEF_SELF_SCOUT_IMPORT'!$L$42:$L$1040,"Y",'DEF_SELF_SCOUT_IMPORT'!$E$42:$E$1040,SUBSTITUTE(SUBSTITUTE(SUBSTITUTE($B65,"~","~~"),"*","~*"),"?","~?"),'DEF_SELF_SCOUT_IMPORT'!$Q$42:$Q$1040,SUBSTITUTE(SUBSTITUTE(SUBSTITUTE($M65,"~","~~"),"*","~*"),"?","~?"))/$C65)</f>
        <v>0.0</v>
      </c>
      <c r="F65" s="11">
        <f>IF($C65=0,"",AVERAGEIFS('DEF_SELF_SCOUT_IMPORT'!$I$42:$I$1040,'DEF_SELF_SCOUT_IMPORT'!$L$42:$L$1040,"Y",'DEF_SELF_SCOUT_IMPORT'!$E$42:$E$1040,SUBSTITUTE(SUBSTITUTE(SUBSTITUTE($B65,"~","~~"),"*","~*"),"?","~?"),'DEF_SELF_SCOUT_IMPORT'!$Q$42:$Q$1040,SUBSTITUTE(SUBSTITUTE(SUBSTITUTE($M65,"~","~~"),"*","~*"),"?","~?")))</f>
        <v>4.333333333333333</v>
      </c>
      <c r="G65" s="10">
        <f>IF($C65=0,"",COUNTIFS('DEF_SELF_SCOUT_IMPORT'!$L$42:$L$1040,"Y",'DEF_SELF_SCOUT_IMPORT'!$E$42:$E$1040,SUBSTITUTE(SUBSTITUTE(SUBSTITUTE($B65,"~","~~"),"*","~*"),"?","~?"),'DEF_SELF_SCOUT_IMPORT'!$Q$42:$Q$1040,SUBSTITUTE(SUBSTITUTE(SUBSTITUTE($M65,"~","~~"),"*","~*"),"?","~?"),'DEF_SELF_SCOUT_IMPORT'!$H$42:$H$1040,"RUSH")/$C65)</f>
        <v>0.6666666666666666</v>
      </c>
      <c r="H65" s="10">
        <f>IF($C65=0,"",COUNTIFS('DEF_SELF_SCOUT_IMPORT'!$L$42:$L$1040,"Y",'DEF_SELF_SCOUT_IMPORT'!$E$42:$E$1040,SUBSTITUTE(SUBSTITUTE(SUBSTITUTE($B65,"~","~~"),"*","~*"),"?","~?"),'DEF_SELF_SCOUT_IMPORT'!$Q$42:$Q$1040,SUBSTITUTE(SUBSTITUTE(SUBSTITUTE($M65,"~","~~"),"*","~*"),"?","~?"),'DEF_SELF_SCOUT_IMPORT'!$H$42:$H$1040,"DROPBACK")/$C65)</f>
        <v>0.3333333333333333</v>
      </c>
      <c r="I65" s="14" t="str">
        <f>IF(C65=0,"",IF(C65&lt;=2,"TRACK",IF(C65=3,"LOW",IF(C65&lt;=6,"MEDIUM","HIGH"))))</f>
        <v>LOW</v>
      </c>
      <c r="J65" s="11">
        <f>IF(C65=0,"",ROUND(D65*70+(1-E65)*20+MAX(0,MIN(1,(10-F65)/10))*10,1))</f>
        <v>49.0</v>
      </c>
      <c r="K65" s="14" t="str">
        <f>IF(C65=0,"No Evidence",IF(C65&lt;=2,IF(E65&gt;0,"Explosive Alert","Track Only"),IF(C65=3,"Sample Watch",IF(E65&gt;=START_HERE!$B$31,"Explosive Alert",IF(J65&gt;=80,"Strong Candidate",IF(J65&gt;=65,"Good Candidate",IF(J65&gt;=50,"Mixed / Review","Problem Call")))))))</f>
        <v>Sample Watch</v>
      </c>
      <c r="L65" s="9" t="str">
        <f>IF(COUNTIFS('DEF_SELF_SCOUT_IMPORT'!$L$42:$L$1040,"Y",'DEF_SELF_SCOUT_IMPORT'!$E$42:$E$1040,SUBSTITUTE(SUBSTITUTE(SUBSTITUTE($B65,"~","~~"),"*","~*"),"?","~?"),'DEF_SELF_SCOUT_IMPORT'!$Q$42:$Q$1040,SUBSTITUTE(SUBSTITUTE(SUBSTITUTE($M65,"~","~~"),"*","~*"),"?","~?"),'DEF_SELF_SCOUT_IMPORT'!$J$42:$J$1040,"")&gt;0,"Unscored clean outcome; review result tags before using score.",IF(C65=0,"No matching defensive reps; film confirmation needed.",IF(K65="Explosive Alert","Explosive risk; review clips before using as answer.",IF(C65&lt;=2,"Track only; not enough sample.",IF(C65=3,IF(E65&gt;0,"Sample watch with explosive exposure; review clips and build the sample.",IF(J65&gt;=65,"Good signal, but sample is limited.","Sample watch; review clips and build the sample.")),IF(K65="Problem Call","Problem area; practice or call-sheet review.",IF(K65="Strong Candidate","Strong call-fit candidate; confirm on film.",IF(K65="Good Candidate","Good call-fit signal; confirm on film.","Mixed signal; review fit and execution on film."))))))))</f>
        <v>Sample watch; review clips and build the sample.</v>
      </c>
      <c r="M65" s="8" t="s">
        <v>76</v>
      </c>
      <c r="N65" s="8"/>
      <c r="O65" s="8"/>
      <c r="P65" s="8"/>
      <c r="Q65" s="8"/>
      <c r="R65" s="8" t="s">
        <v>28</v>
      </c>
      <c r="S65" s="2" t="s">
        <v>78</v>
      </c>
      <c r="T65" s="2">
        <f>IF(C65=0,0,IF(C65&gt;=CALL_LOOKUP_BOARD!$B$7,IF(OR(K65="Problem Call",K65="Explosive Alert"),10000000,20000000),0)+IF(C65&gt;=CALL_LOOKUP_BOARD!$B$7,J65*1000+MIN(C65,999),C65*1000+J65)+0.00994400)</f>
        <v>3049.009944</v>
      </c>
      <c r="U65" s="2" t="str">
        <f>IF(C65=0,"",IF(COUNTIFS($S$10:$S$178,SUBSTITUTE(SUBSTITUTE(SUBSTITUTE(S65,"~","~~"),"*","~*"),"?","~?"),$T$10:$T$178,"&gt;"&amp;T65)=0,S65,""))</f>
        <v>6:2D 11+|</v>
      </c>
    </row>
    <row r="66" spans="1:21" ht="38" customHeight="1">
      <c r="A66" s="8" t="s">
        <v>76</v>
      </c>
      <c r="B66" s="8" t="s">
        <v>63</v>
      </c>
      <c r="C66" s="12">
        <f>COUNTIFS('DEF_SELF_SCOUT_IMPORT'!$L$42:$L$1040,"Y",'DEF_SELF_SCOUT_IMPORT'!$E$42:$E$1040,SUBSTITUTE(SUBSTITUTE(SUBSTITUTE($B66,"~","~~"),"*","~*"),"?","~?"),'DEF_SELF_SCOUT_IMPORT'!$Q$42:$Q$1040,SUBSTITUTE(SUBSTITUTE(SUBSTITUTE($M66,"~","~~"),"*","~*"),"?","~?"))</f>
        <v>1</v>
      </c>
      <c r="D66" s="10">
        <f>IF($C66=0,"",SUMIFS('DEF_SELF_SCOUT_IMPORT'!$J$42:$J$1040,'DEF_SELF_SCOUT_IMPORT'!$L$42:$L$1040,"Y",'DEF_SELF_SCOUT_IMPORT'!$E$42:$E$1040,SUBSTITUTE(SUBSTITUTE(SUBSTITUTE($B66,"~","~~"),"*","~*"),"?","~?"),'DEF_SELF_SCOUT_IMPORT'!$Q$42:$Q$1040,SUBSTITUTE(SUBSTITUTE(SUBSTITUTE($M66,"~","~~"),"*","~*"),"?","~?"))/$C66)</f>
        <v>0.0</v>
      </c>
      <c r="E66" s="10">
        <f>IF($C66=0,"",SUMIFS('DEF_SELF_SCOUT_IMPORT'!$K$42:$K$1040,'DEF_SELF_SCOUT_IMPORT'!$L$42:$L$1040,"Y",'DEF_SELF_SCOUT_IMPORT'!$E$42:$E$1040,SUBSTITUTE(SUBSTITUTE(SUBSTITUTE($B66,"~","~~"),"*","~*"),"?","~?"),'DEF_SELF_SCOUT_IMPORT'!$Q$42:$Q$1040,SUBSTITUTE(SUBSTITUTE(SUBSTITUTE($M66,"~","~~"),"*","~*"),"?","~?"))/$C66)</f>
        <v>0.0</v>
      </c>
      <c r="F66" s="11">
        <f>IF($C66=0,"",AVERAGEIFS('DEF_SELF_SCOUT_IMPORT'!$I$42:$I$1040,'DEF_SELF_SCOUT_IMPORT'!$L$42:$L$1040,"Y",'DEF_SELF_SCOUT_IMPORT'!$E$42:$E$1040,SUBSTITUTE(SUBSTITUTE(SUBSTITUTE($B66,"~","~~"),"*","~*"),"?","~?"),'DEF_SELF_SCOUT_IMPORT'!$Q$42:$Q$1040,SUBSTITUTE(SUBSTITUTE(SUBSTITUTE($M66,"~","~~"),"*","~*"),"?","~?")))</f>
        <v>13.0</v>
      </c>
      <c r="G66" s="10">
        <f>IF($C66=0,"",COUNTIFS('DEF_SELF_SCOUT_IMPORT'!$L$42:$L$1040,"Y",'DEF_SELF_SCOUT_IMPORT'!$E$42:$E$1040,SUBSTITUTE(SUBSTITUTE(SUBSTITUTE($B66,"~","~~"),"*","~*"),"?","~?"),'DEF_SELF_SCOUT_IMPORT'!$Q$42:$Q$1040,SUBSTITUTE(SUBSTITUTE(SUBSTITUTE($M66,"~","~~"),"*","~*"),"?","~?"),'DEF_SELF_SCOUT_IMPORT'!$H$42:$H$1040,"RUSH")/$C66)</f>
        <v>0.0</v>
      </c>
      <c r="H66" s="10">
        <f>IF($C66=0,"",COUNTIFS('DEF_SELF_SCOUT_IMPORT'!$L$42:$L$1040,"Y",'DEF_SELF_SCOUT_IMPORT'!$E$42:$E$1040,SUBSTITUTE(SUBSTITUTE(SUBSTITUTE($B66,"~","~~"),"*","~*"),"?","~?"),'DEF_SELF_SCOUT_IMPORT'!$Q$42:$Q$1040,SUBSTITUTE(SUBSTITUTE(SUBSTITUTE($M66,"~","~~"),"*","~*"),"?","~?"),'DEF_SELF_SCOUT_IMPORT'!$H$42:$H$1040,"DROPBACK")/$C66)</f>
        <v>1.0</v>
      </c>
      <c r="I66" s="14" t="str">
        <f>IF(C66=0,"",IF(C66&lt;=2,"TRACK",IF(C66=3,"LOW",IF(C66&lt;=6,"MEDIUM","HIGH"))))</f>
        <v>TRACK</v>
      </c>
      <c r="J66" s="11">
        <f>IF(C66=0,"",ROUND(D66*70+(1-E66)*20+MAX(0,MIN(1,(10-F66)/10))*10,1))</f>
        <v>20.0</v>
      </c>
      <c r="K66" s="14" t="str">
        <f>IF(C66=0,"No Evidence",IF(C66&lt;=2,IF(E66&gt;0,"Explosive Alert","Track Only"),IF(C66=3,"Sample Watch",IF(E66&gt;=START_HERE!$B$31,"Explosive Alert",IF(J66&gt;=80,"Strong Candidate",IF(J66&gt;=65,"Good Candidate",IF(J66&gt;=50,"Mixed / Review","Problem Call")))))))</f>
        <v>Track Only</v>
      </c>
      <c r="L66" s="9" t="str">
        <f>IF(COUNTIFS('DEF_SELF_SCOUT_IMPORT'!$L$42:$L$1040,"Y",'DEF_SELF_SCOUT_IMPORT'!$E$42:$E$1040,SUBSTITUTE(SUBSTITUTE(SUBSTITUTE($B66,"~","~~"),"*","~*"),"?","~?"),'DEF_SELF_SCOUT_IMPORT'!$Q$42:$Q$1040,SUBSTITUTE(SUBSTITUTE(SUBSTITUTE($M66,"~","~~"),"*","~*"),"?","~?"),'DEF_SELF_SCOUT_IMPORT'!$J$42:$J$1040,"")&gt;0,"Unscored clean outcome; review result tags before using score.",IF(C66=0,"No matching defensive reps; film confirmation needed.",IF(K66="Explosive Alert","Explosive risk; review clips before using as answer.",IF(C66&lt;=2,"Track only; not enough sample.",IF(C66=3,IF(E66&gt;0,"Sample watch with explosive exposure; review clips and build the sample.",IF(J66&gt;=65,"Good signal, but sample is limited.","Sample watch; review clips and build the sample.")),IF(K66="Problem Call","Problem area; practice or call-sheet review.",IF(K66="Strong Candidate","Strong call-fit candidate; confirm on film.",IF(K66="Good Candidate","Good call-fit signal; confirm on film.","Mixed signal; review fit and execution on film."))))))))</f>
        <v>Track only; not enough sample.</v>
      </c>
      <c r="M66" s="8" t="s">
        <v>76</v>
      </c>
      <c r="N66" s="8"/>
      <c r="O66" s="8"/>
      <c r="P66" s="8"/>
      <c r="Q66" s="8"/>
      <c r="R66" s="8" t="s">
        <v>28</v>
      </c>
      <c r="S66" s="2" t="s">
        <v>78</v>
      </c>
      <c r="T66" s="2">
        <f>IF(C66=0,0,IF(C66&gt;=CALL_LOOKUP_BOARD!$B$7,IF(OR(K66="Problem Call",K66="Explosive Alert"),10000000,20000000),0)+IF(C66&gt;=CALL_LOOKUP_BOARD!$B$7,J66*1000+MIN(C66,999),C66*1000+J66)+0.00994300)</f>
        <v>1020.009943</v>
      </c>
      <c r="U66" s="2">
        <f>IF(C66=0,"",IF(COUNTIFS($S$10:$S$178,SUBSTITUTE(SUBSTITUTE(SUBSTITUTE(S66,"~","~~"),"*","~*"),"?","~?"),$T$10:$T$178,"&gt;"&amp;T66)=0,S66,""))</f>
        <v/>
      </c>
    </row>
    <row r="67" spans="1:21" ht="38" customHeight="1">
      <c r="A67" s="8" t="s">
        <v>76</v>
      </c>
      <c r="B67" s="8" t="s">
        <v>64</v>
      </c>
      <c r="C67" s="12">
        <f>COUNTIFS('DEF_SELF_SCOUT_IMPORT'!$L$42:$L$1040,"Y",'DEF_SELF_SCOUT_IMPORT'!$E$42:$E$1040,SUBSTITUTE(SUBSTITUTE(SUBSTITUTE($B67,"~","~~"),"*","~*"),"?","~?"),'DEF_SELF_SCOUT_IMPORT'!$Q$42:$Q$1040,SUBSTITUTE(SUBSTITUTE(SUBSTITUTE($M67,"~","~~"),"*","~*"),"?","~?"))</f>
        <v>1</v>
      </c>
      <c r="D67" s="10">
        <f>IF($C67=0,"",SUMIFS('DEF_SELF_SCOUT_IMPORT'!$J$42:$J$1040,'DEF_SELF_SCOUT_IMPORT'!$L$42:$L$1040,"Y",'DEF_SELF_SCOUT_IMPORT'!$E$42:$E$1040,SUBSTITUTE(SUBSTITUTE(SUBSTITUTE($B67,"~","~~"),"*","~*"),"?","~?"),'DEF_SELF_SCOUT_IMPORT'!$Q$42:$Q$1040,SUBSTITUTE(SUBSTITUTE(SUBSTITUTE($M67,"~","~~"),"*","~*"),"?","~?"))/$C67)</f>
        <v>1.0</v>
      </c>
      <c r="E67" s="10">
        <f>IF($C67=0,"",SUMIFS('DEF_SELF_SCOUT_IMPORT'!$K$42:$K$1040,'DEF_SELF_SCOUT_IMPORT'!$L$42:$L$1040,"Y",'DEF_SELF_SCOUT_IMPORT'!$E$42:$E$1040,SUBSTITUTE(SUBSTITUTE(SUBSTITUTE($B67,"~","~~"),"*","~*"),"?","~?"),'DEF_SELF_SCOUT_IMPORT'!$Q$42:$Q$1040,SUBSTITUTE(SUBSTITUTE(SUBSTITUTE($M67,"~","~~"),"*","~*"),"?","~?"))/$C67)</f>
        <v>0.0</v>
      </c>
      <c r="F67" s="11">
        <f>IF($C67=0,"",AVERAGEIFS('DEF_SELF_SCOUT_IMPORT'!$I$42:$I$1040,'DEF_SELF_SCOUT_IMPORT'!$L$42:$L$1040,"Y",'DEF_SELF_SCOUT_IMPORT'!$E$42:$E$1040,SUBSTITUTE(SUBSTITUTE(SUBSTITUTE($B67,"~","~~"),"*","~*"),"?","~?"),'DEF_SELF_SCOUT_IMPORT'!$Q$42:$Q$1040,SUBSTITUTE(SUBSTITUTE(SUBSTITUTE($M67,"~","~~"),"*","~*"),"?","~?")))</f>
        <v>5.0</v>
      </c>
      <c r="G67" s="10">
        <f>IF($C67=0,"",COUNTIFS('DEF_SELF_SCOUT_IMPORT'!$L$42:$L$1040,"Y",'DEF_SELF_SCOUT_IMPORT'!$E$42:$E$1040,SUBSTITUTE(SUBSTITUTE(SUBSTITUTE($B67,"~","~~"),"*","~*"),"?","~?"),'DEF_SELF_SCOUT_IMPORT'!$Q$42:$Q$1040,SUBSTITUTE(SUBSTITUTE(SUBSTITUTE($M67,"~","~~"),"*","~*"),"?","~?"),'DEF_SELF_SCOUT_IMPORT'!$H$42:$H$1040,"RUSH")/$C67)</f>
        <v>0.0</v>
      </c>
      <c r="H67" s="10">
        <f>IF($C67=0,"",COUNTIFS('DEF_SELF_SCOUT_IMPORT'!$L$42:$L$1040,"Y",'DEF_SELF_SCOUT_IMPORT'!$E$42:$E$1040,SUBSTITUTE(SUBSTITUTE(SUBSTITUTE($B67,"~","~~"),"*","~*"),"?","~?"),'DEF_SELF_SCOUT_IMPORT'!$Q$42:$Q$1040,SUBSTITUTE(SUBSTITUTE(SUBSTITUTE($M67,"~","~~"),"*","~*"),"?","~?"),'DEF_SELF_SCOUT_IMPORT'!$H$42:$H$1040,"DROPBACK")/$C67)</f>
        <v>1.0</v>
      </c>
      <c r="I67" s="14" t="str">
        <f>IF(C67=0,"",IF(C67&lt;=2,"TRACK",IF(C67=3,"LOW",IF(C67&lt;=6,"MEDIUM","HIGH"))))</f>
        <v>TRACK</v>
      </c>
      <c r="J67" s="11">
        <f>IF(C67=0,"",ROUND(D67*70+(1-E67)*20+MAX(0,MIN(1,(10-F67)/10))*10,1))</f>
        <v>95.0</v>
      </c>
      <c r="K67" s="14" t="str">
        <f>IF(C67=0,"No Evidence",IF(C67&lt;=2,IF(E67&gt;0,"Explosive Alert","Track Only"),IF(C67=3,"Sample Watch",IF(E67&gt;=START_HERE!$B$31,"Explosive Alert",IF(J67&gt;=80,"Strong Candidate",IF(J67&gt;=65,"Good Candidate",IF(J67&gt;=50,"Mixed / Review","Problem Call")))))))</f>
        <v>Track Only</v>
      </c>
      <c r="L67" s="9" t="str">
        <f>IF(COUNTIFS('DEF_SELF_SCOUT_IMPORT'!$L$42:$L$1040,"Y",'DEF_SELF_SCOUT_IMPORT'!$E$42:$E$1040,SUBSTITUTE(SUBSTITUTE(SUBSTITUTE($B67,"~","~~"),"*","~*"),"?","~?"),'DEF_SELF_SCOUT_IMPORT'!$Q$42:$Q$1040,SUBSTITUTE(SUBSTITUTE(SUBSTITUTE($M67,"~","~~"),"*","~*"),"?","~?"),'DEF_SELF_SCOUT_IMPORT'!$J$42:$J$1040,"")&gt;0,"Unscored clean outcome; review result tags before using score.",IF(C67=0,"No matching defensive reps; film confirmation needed.",IF(K67="Explosive Alert","Explosive risk; review clips before using as answer.",IF(C67&lt;=2,"Track only; not enough sample.",IF(C67=3,IF(E67&gt;0,"Sample watch with explosive exposure; review clips and build the sample.",IF(J67&gt;=65,"Good signal, but sample is limited.","Sample watch; review clips and build the sample.")),IF(K67="Problem Call","Problem area; practice or call-sheet review.",IF(K67="Strong Candidate","Strong call-fit candidate; confirm on film.",IF(K67="Good Candidate","Good call-fit signal; confirm on film.","Mixed signal; review fit and execution on film."))))))))</f>
        <v>Track only; not enough sample.</v>
      </c>
      <c r="M67" s="8" t="s">
        <v>76</v>
      </c>
      <c r="N67" s="8"/>
      <c r="O67" s="8"/>
      <c r="P67" s="8"/>
      <c r="Q67" s="8"/>
      <c r="R67" s="8" t="s">
        <v>28</v>
      </c>
      <c r="S67" s="2" t="s">
        <v>78</v>
      </c>
      <c r="T67" s="2">
        <f>IF(C67=0,0,IF(C67&gt;=CALL_LOOKUP_BOARD!$B$7,IF(OR(K67="Problem Call",K67="Explosive Alert"),10000000,20000000),0)+IF(C67&gt;=CALL_LOOKUP_BOARD!$B$7,J67*1000+MIN(C67,999),C67*1000+J67)+0.00994200)</f>
        <v>1095.009942</v>
      </c>
      <c r="U67" s="2">
        <f>IF(C67=0,"",IF(COUNTIFS($S$10:$S$178,SUBSTITUTE(SUBSTITUTE(SUBSTITUTE(S67,"~","~~"),"*","~*"),"?","~?"),$T$10:$T$178,"&gt;"&amp;T67)=0,S67,""))</f>
        <v/>
      </c>
    </row>
    <row r="68" spans="1:21" ht="38" customHeight="1">
      <c r="A68" s="8" t="s">
        <v>82</v>
      </c>
      <c r="B68" s="8" t="s">
        <v>40</v>
      </c>
      <c r="C68" s="12">
        <f>COUNTIFS('DEF_SELF_SCOUT_IMPORT'!$L$42:$L$1040,"Y",'DEF_SELF_SCOUT_IMPORT'!$E$42:$E$1040,SUBSTITUTE(SUBSTITUTE(SUBSTITUTE($B68,"~","~~"),"*","~*"),"?","~?"),'DEF_SELF_SCOUT_IMPORT'!$Q$42:$Q$1040,SUBSTITUTE(SUBSTITUTE(SUBSTITUTE($M68,"~","~~"),"*","~*"),"?","~?"))</f>
        <v>1</v>
      </c>
      <c r="D68" s="10">
        <f>IF($C68=0,"",SUMIFS('DEF_SELF_SCOUT_IMPORT'!$J$42:$J$1040,'DEF_SELF_SCOUT_IMPORT'!$L$42:$L$1040,"Y",'DEF_SELF_SCOUT_IMPORT'!$E$42:$E$1040,SUBSTITUTE(SUBSTITUTE(SUBSTITUTE($B68,"~","~~"),"*","~*"),"?","~?"),'DEF_SELF_SCOUT_IMPORT'!$Q$42:$Q$1040,SUBSTITUTE(SUBSTITUTE(SUBSTITUTE($M68,"~","~~"),"*","~*"),"?","~?"))/$C68)</f>
        <v>0.0</v>
      </c>
      <c r="E68" s="10">
        <f>IF($C68=0,"",SUMIFS('DEF_SELF_SCOUT_IMPORT'!$K$42:$K$1040,'DEF_SELF_SCOUT_IMPORT'!$L$42:$L$1040,"Y",'DEF_SELF_SCOUT_IMPORT'!$E$42:$E$1040,SUBSTITUTE(SUBSTITUTE(SUBSTITUTE($B68,"~","~~"),"*","~*"),"?","~?"),'DEF_SELF_SCOUT_IMPORT'!$Q$42:$Q$1040,SUBSTITUTE(SUBSTITUTE(SUBSTITUTE($M68,"~","~~"),"*","~*"),"?","~?"))/$C68)</f>
        <v>0.0</v>
      </c>
      <c r="F68" s="11">
        <f>IF($C68=0,"",AVERAGEIFS('DEF_SELF_SCOUT_IMPORT'!$I$42:$I$1040,'DEF_SELF_SCOUT_IMPORT'!$L$42:$L$1040,"Y",'DEF_SELF_SCOUT_IMPORT'!$E$42:$E$1040,SUBSTITUTE(SUBSTITUTE(SUBSTITUTE($B68,"~","~~"),"*","~*"),"?","~?"),'DEF_SELF_SCOUT_IMPORT'!$Q$42:$Q$1040,SUBSTITUTE(SUBSTITUTE(SUBSTITUTE($M68,"~","~~"),"*","~*"),"?","~?")))</f>
        <v>7.0</v>
      </c>
      <c r="G68" s="10">
        <f>IF($C68=0,"",COUNTIFS('DEF_SELF_SCOUT_IMPORT'!$L$42:$L$1040,"Y",'DEF_SELF_SCOUT_IMPORT'!$E$42:$E$1040,SUBSTITUTE(SUBSTITUTE(SUBSTITUTE($B68,"~","~~"),"*","~*"),"?","~?"),'DEF_SELF_SCOUT_IMPORT'!$Q$42:$Q$1040,SUBSTITUTE(SUBSTITUTE(SUBSTITUTE($M68,"~","~~"),"*","~*"),"?","~?"),'DEF_SELF_SCOUT_IMPORT'!$H$42:$H$1040,"RUSH")/$C68)</f>
        <v>1.0</v>
      </c>
      <c r="H68" s="10">
        <f>IF($C68=0,"",COUNTIFS('DEF_SELF_SCOUT_IMPORT'!$L$42:$L$1040,"Y",'DEF_SELF_SCOUT_IMPORT'!$E$42:$E$1040,SUBSTITUTE(SUBSTITUTE(SUBSTITUTE($B68,"~","~~"),"*","~*"),"?","~?"),'DEF_SELF_SCOUT_IMPORT'!$Q$42:$Q$1040,SUBSTITUTE(SUBSTITUTE(SUBSTITUTE($M68,"~","~~"),"*","~*"),"?","~?"),'DEF_SELF_SCOUT_IMPORT'!$H$42:$H$1040,"DROPBACK")/$C68)</f>
        <v>0.0</v>
      </c>
      <c r="I68" s="14" t="str">
        <f>IF(C68=0,"",IF(C68&lt;=2,"TRACK",IF(C68=3,"LOW",IF(C68&lt;=6,"MEDIUM","HIGH"))))</f>
        <v>TRACK</v>
      </c>
      <c r="J68" s="11">
        <f>IF(C68=0,"",ROUND(D68*70+(1-E68)*20+MAX(0,MIN(1,(10-F68)/10))*10,1))</f>
        <v>23.0</v>
      </c>
      <c r="K68" s="14" t="str">
        <f>IF(C68=0,"No Evidence",IF(C68&lt;=2,IF(E68&gt;0,"Explosive Alert","Track Only"),IF(C68=3,"Sample Watch",IF(E68&gt;=START_HERE!$B$31,"Explosive Alert",IF(J68&gt;=80,"Strong Candidate",IF(J68&gt;=65,"Good Candidate",IF(J68&gt;=50,"Mixed / Review","Problem Call")))))))</f>
        <v>Track Only</v>
      </c>
      <c r="L68" s="9" t="str">
        <f>IF(COUNTIFS('DEF_SELF_SCOUT_IMPORT'!$L$42:$L$1040,"Y",'DEF_SELF_SCOUT_IMPORT'!$E$42:$E$1040,SUBSTITUTE(SUBSTITUTE(SUBSTITUTE($B68,"~","~~"),"*","~*"),"?","~?"),'DEF_SELF_SCOUT_IMPORT'!$Q$42:$Q$1040,SUBSTITUTE(SUBSTITUTE(SUBSTITUTE($M68,"~","~~"),"*","~*"),"?","~?"),'DEF_SELF_SCOUT_IMPORT'!$J$42:$J$1040,"")&gt;0,"Unscored clean outcome; review result tags before using score.",IF(C68=0,"No matching defensive reps; film confirmation needed.",IF(K68="Explosive Alert","Explosive risk; review clips before using as answer.",IF(C68&lt;=2,"Track only; not enough sample.",IF(C68=3,IF(E68&gt;0,"Sample watch with explosive exposure; review clips and build the sample.",IF(J68&gt;=65,"Good signal, but sample is limited.","Sample watch; review clips and build the sample.")),IF(K68="Problem Call","Problem area; practice or call-sheet review.",IF(K68="Strong Candidate","Strong call-fit candidate; confirm on film.",IF(K68="Good Candidate","Good call-fit signal; confirm on film.","Mixed signal; review fit and execution on film."))))))))</f>
        <v>Track only; not enough sample.</v>
      </c>
      <c r="M68" s="8" t="s">
        <v>82</v>
      </c>
      <c r="N68" s="8"/>
      <c r="O68" s="8"/>
      <c r="P68" s="8"/>
      <c r="Q68" s="8"/>
      <c r="R68" s="8" t="s">
        <v>28</v>
      </c>
      <c r="S68" s="2" t="s">
        <v>83</v>
      </c>
      <c r="T68" s="2">
        <f>IF(C68=0,0,IF(C68&gt;=CALL_LOOKUP_BOARD!$B$7,IF(OR(K68="Problem Call",K68="Explosive Alert"),10000000,20000000),0)+IF(C68&gt;=CALL_LOOKUP_BOARD!$B$7,J68*1000+MIN(C68,999),C68*1000+J68)+0.00994100)</f>
        <v>1023.009941</v>
      </c>
      <c r="U68" s="2">
        <f>IF(C68=0,"",IF(COUNTIFS($S$10:$S$178,SUBSTITUTE(SUBSTITUTE(SUBSTITUTE(S68,"~","~~"),"*","~*"),"?","~?"),$T$10:$T$178,"&gt;"&amp;T68)=0,S68,""))</f>
        <v/>
      </c>
    </row>
    <row r="69" spans="1:21" ht="38" customHeight="1">
      <c r="A69" s="8" t="s">
        <v>82</v>
      </c>
      <c r="B69" s="8" t="s">
        <v>27</v>
      </c>
      <c r="C69" s="12">
        <f>COUNTIFS('DEF_SELF_SCOUT_IMPORT'!$L$42:$L$1040,"Y",'DEF_SELF_SCOUT_IMPORT'!$E$42:$E$1040,SUBSTITUTE(SUBSTITUTE(SUBSTITUTE($B69,"~","~~"),"*","~*"),"?","~?"),'DEF_SELF_SCOUT_IMPORT'!$Q$42:$Q$1040,SUBSTITUTE(SUBSTITUTE(SUBSTITUTE($M69,"~","~~"),"*","~*"),"?","~?"))</f>
        <v>1</v>
      </c>
      <c r="D69" s="10">
        <f>IF($C69=0,"",SUMIFS('DEF_SELF_SCOUT_IMPORT'!$J$42:$J$1040,'DEF_SELF_SCOUT_IMPORT'!$L$42:$L$1040,"Y",'DEF_SELF_SCOUT_IMPORT'!$E$42:$E$1040,SUBSTITUTE(SUBSTITUTE(SUBSTITUTE($B69,"~","~~"),"*","~*"),"?","~?"),'DEF_SELF_SCOUT_IMPORT'!$Q$42:$Q$1040,SUBSTITUTE(SUBSTITUTE(SUBSTITUTE($M69,"~","~~"),"*","~*"),"?","~?"))/$C69)</f>
        <v>1.0</v>
      </c>
      <c r="E69" s="10">
        <f>IF($C69=0,"",SUMIFS('DEF_SELF_SCOUT_IMPORT'!$K$42:$K$1040,'DEF_SELF_SCOUT_IMPORT'!$L$42:$L$1040,"Y",'DEF_SELF_SCOUT_IMPORT'!$E$42:$E$1040,SUBSTITUTE(SUBSTITUTE(SUBSTITUTE($B69,"~","~~"),"*","~*"),"?","~?"),'DEF_SELF_SCOUT_IMPORT'!$Q$42:$Q$1040,SUBSTITUTE(SUBSTITUTE(SUBSTITUTE($M69,"~","~~"),"*","~*"),"?","~?"))/$C69)</f>
        <v>0.0</v>
      </c>
      <c r="F69" s="11">
        <f>IF($C69=0,"",AVERAGEIFS('DEF_SELF_SCOUT_IMPORT'!$I$42:$I$1040,'DEF_SELF_SCOUT_IMPORT'!$L$42:$L$1040,"Y",'DEF_SELF_SCOUT_IMPORT'!$E$42:$E$1040,SUBSTITUTE(SUBSTITUTE(SUBSTITUTE($B69,"~","~~"),"*","~*"),"?","~?"),'DEF_SELF_SCOUT_IMPORT'!$Q$42:$Q$1040,SUBSTITUTE(SUBSTITUTE(SUBSTITUTE($M69,"~","~~"),"*","~*"),"?","~?")))</f>
        <v>0.0</v>
      </c>
      <c r="G69" s="10">
        <f>IF($C69=0,"",COUNTIFS('DEF_SELF_SCOUT_IMPORT'!$L$42:$L$1040,"Y",'DEF_SELF_SCOUT_IMPORT'!$E$42:$E$1040,SUBSTITUTE(SUBSTITUTE(SUBSTITUTE($B69,"~","~~"),"*","~*"),"?","~?"),'DEF_SELF_SCOUT_IMPORT'!$Q$42:$Q$1040,SUBSTITUTE(SUBSTITUTE(SUBSTITUTE($M69,"~","~~"),"*","~*"),"?","~?"),'DEF_SELF_SCOUT_IMPORT'!$H$42:$H$1040,"RUSH")/$C69)</f>
        <v>1.0</v>
      </c>
      <c r="H69" s="10">
        <f>IF($C69=0,"",COUNTIFS('DEF_SELF_SCOUT_IMPORT'!$L$42:$L$1040,"Y",'DEF_SELF_SCOUT_IMPORT'!$E$42:$E$1040,SUBSTITUTE(SUBSTITUTE(SUBSTITUTE($B69,"~","~~"),"*","~*"),"?","~?"),'DEF_SELF_SCOUT_IMPORT'!$Q$42:$Q$1040,SUBSTITUTE(SUBSTITUTE(SUBSTITUTE($M69,"~","~~"),"*","~*"),"?","~?"),'DEF_SELF_SCOUT_IMPORT'!$H$42:$H$1040,"DROPBACK")/$C69)</f>
        <v>0.0</v>
      </c>
      <c r="I69" s="14" t="str">
        <f>IF(C69=0,"",IF(C69&lt;=2,"TRACK",IF(C69=3,"LOW",IF(C69&lt;=6,"MEDIUM","HIGH"))))</f>
        <v>TRACK</v>
      </c>
      <c r="J69" s="11">
        <f>IF(C69=0,"",ROUND(D69*70+(1-E69)*20+MAX(0,MIN(1,(10-F69)/10))*10,1))</f>
        <v>100.0</v>
      </c>
      <c r="K69" s="14" t="str">
        <f>IF(C69=0,"No Evidence",IF(C69&lt;=2,IF(E69&gt;0,"Explosive Alert","Track Only"),IF(C69=3,"Sample Watch",IF(E69&gt;=START_HERE!$B$31,"Explosive Alert",IF(J69&gt;=80,"Strong Candidate",IF(J69&gt;=65,"Good Candidate",IF(J69&gt;=50,"Mixed / Review","Problem Call")))))))</f>
        <v>Track Only</v>
      </c>
      <c r="L69" s="9" t="str">
        <f>IF(COUNTIFS('DEF_SELF_SCOUT_IMPORT'!$L$42:$L$1040,"Y",'DEF_SELF_SCOUT_IMPORT'!$E$42:$E$1040,SUBSTITUTE(SUBSTITUTE(SUBSTITUTE($B69,"~","~~"),"*","~*"),"?","~?"),'DEF_SELF_SCOUT_IMPORT'!$Q$42:$Q$1040,SUBSTITUTE(SUBSTITUTE(SUBSTITUTE($M69,"~","~~"),"*","~*"),"?","~?"),'DEF_SELF_SCOUT_IMPORT'!$J$42:$J$1040,"")&gt;0,"Unscored clean outcome; review result tags before using score.",IF(C69=0,"No matching defensive reps; film confirmation needed.",IF(K69="Explosive Alert","Explosive risk; review clips before using as answer.",IF(C69&lt;=2,"Track only; not enough sample.",IF(C69=3,IF(E69&gt;0,"Sample watch with explosive exposure; review clips and build the sample.",IF(J69&gt;=65,"Good signal, but sample is limited.","Sample watch; review clips and build the sample.")),IF(K69="Problem Call","Problem area; practice or call-sheet review.",IF(K69="Strong Candidate","Strong call-fit candidate; confirm on film.",IF(K69="Good Candidate","Good call-fit signal; confirm on film.","Mixed signal; review fit and execution on film."))))))))</f>
        <v>Track only; not enough sample.</v>
      </c>
      <c r="M69" s="8" t="s">
        <v>82</v>
      </c>
      <c r="N69" s="8"/>
      <c r="O69" s="8"/>
      <c r="P69" s="8"/>
      <c r="Q69" s="8"/>
      <c r="R69" s="8" t="s">
        <v>28</v>
      </c>
      <c r="S69" s="2" t="s">
        <v>83</v>
      </c>
      <c r="T69" s="2">
        <f>IF(C69=0,0,IF(C69&gt;=CALL_LOOKUP_BOARD!$B$7,IF(OR(K69="Problem Call",K69="Explosive Alert"),10000000,20000000),0)+IF(C69&gt;=CALL_LOOKUP_BOARD!$B$7,J69*1000+MIN(C69,999),C69*1000+J69)+0.00994000)</f>
        <v>1100.00994</v>
      </c>
      <c r="U69" s="2">
        <f>IF(C69=0,"",IF(COUNTIFS($S$10:$S$178,SUBSTITUTE(SUBSTITUTE(SUBSTITUTE(S69,"~","~~"),"*","~*"),"?","~?"),$T$10:$T$178,"&gt;"&amp;T69)=0,S69,""))</f>
        <v/>
      </c>
    </row>
    <row r="70" spans="1:21" ht="38" customHeight="1">
      <c r="A70" s="8" t="s">
        <v>82</v>
      </c>
      <c r="B70" s="8" t="s">
        <v>32</v>
      </c>
      <c r="C70" s="12">
        <f>COUNTIFS('DEF_SELF_SCOUT_IMPORT'!$L$42:$L$1040,"Y",'DEF_SELF_SCOUT_IMPORT'!$E$42:$E$1040,SUBSTITUTE(SUBSTITUTE(SUBSTITUTE($B70,"~","~~"),"*","~*"),"?","~?"),'DEF_SELF_SCOUT_IMPORT'!$Q$42:$Q$1040,SUBSTITUTE(SUBSTITUTE(SUBSTITUTE($M70,"~","~~"),"*","~*"),"?","~?"))</f>
        <v>1</v>
      </c>
      <c r="D70" s="10">
        <f>IF($C70=0,"",SUMIFS('DEF_SELF_SCOUT_IMPORT'!$J$42:$J$1040,'DEF_SELF_SCOUT_IMPORT'!$L$42:$L$1040,"Y",'DEF_SELF_SCOUT_IMPORT'!$E$42:$E$1040,SUBSTITUTE(SUBSTITUTE(SUBSTITUTE($B70,"~","~~"),"*","~*"),"?","~?"),'DEF_SELF_SCOUT_IMPORT'!$Q$42:$Q$1040,SUBSTITUTE(SUBSTITUTE(SUBSTITUTE($M70,"~","~~"),"*","~*"),"?","~?"))/$C70)</f>
        <v>0.0</v>
      </c>
      <c r="E70" s="10">
        <f>IF($C70=0,"",SUMIFS('DEF_SELF_SCOUT_IMPORT'!$K$42:$K$1040,'DEF_SELF_SCOUT_IMPORT'!$L$42:$L$1040,"Y",'DEF_SELF_SCOUT_IMPORT'!$E$42:$E$1040,SUBSTITUTE(SUBSTITUTE(SUBSTITUTE($B70,"~","~~"),"*","~*"),"?","~?"),'DEF_SELF_SCOUT_IMPORT'!$Q$42:$Q$1040,SUBSTITUTE(SUBSTITUTE(SUBSTITUTE($M70,"~","~~"),"*","~*"),"?","~?"))/$C70)</f>
        <v>1.0</v>
      </c>
      <c r="F70" s="11">
        <f>IF($C70=0,"",AVERAGEIFS('DEF_SELF_SCOUT_IMPORT'!$I$42:$I$1040,'DEF_SELF_SCOUT_IMPORT'!$L$42:$L$1040,"Y",'DEF_SELF_SCOUT_IMPORT'!$E$42:$E$1040,SUBSTITUTE(SUBSTITUTE(SUBSTITUTE($B70,"~","~~"),"*","~*"),"?","~?"),'DEF_SELF_SCOUT_IMPORT'!$Q$42:$Q$1040,SUBSTITUTE(SUBSTITUTE(SUBSTITUTE($M70,"~","~~"),"*","~*"),"?","~?")))</f>
        <v>16.0</v>
      </c>
      <c r="G70" s="10">
        <f>IF($C70=0,"",COUNTIFS('DEF_SELF_SCOUT_IMPORT'!$L$42:$L$1040,"Y",'DEF_SELF_SCOUT_IMPORT'!$E$42:$E$1040,SUBSTITUTE(SUBSTITUTE(SUBSTITUTE($B70,"~","~~"),"*","~*"),"?","~?"),'DEF_SELF_SCOUT_IMPORT'!$Q$42:$Q$1040,SUBSTITUTE(SUBSTITUTE(SUBSTITUTE($M70,"~","~~"),"*","~*"),"?","~?"),'DEF_SELF_SCOUT_IMPORT'!$H$42:$H$1040,"RUSH")/$C70)</f>
        <v>1.0</v>
      </c>
      <c r="H70" s="10">
        <f>IF($C70=0,"",COUNTIFS('DEF_SELF_SCOUT_IMPORT'!$L$42:$L$1040,"Y",'DEF_SELF_SCOUT_IMPORT'!$E$42:$E$1040,SUBSTITUTE(SUBSTITUTE(SUBSTITUTE($B70,"~","~~"),"*","~*"),"?","~?"),'DEF_SELF_SCOUT_IMPORT'!$Q$42:$Q$1040,SUBSTITUTE(SUBSTITUTE(SUBSTITUTE($M70,"~","~~"),"*","~*"),"?","~?"),'DEF_SELF_SCOUT_IMPORT'!$H$42:$H$1040,"DROPBACK")/$C70)</f>
        <v>0.0</v>
      </c>
      <c r="I70" s="14" t="str">
        <f>IF(C70=0,"",IF(C70&lt;=2,"TRACK",IF(C70=3,"LOW",IF(C70&lt;=6,"MEDIUM","HIGH"))))</f>
        <v>TRACK</v>
      </c>
      <c r="J70" s="11">
        <f>IF(C70=0,"",ROUND(D70*70+(1-E70)*20+MAX(0,MIN(1,(10-F70)/10))*10,1))</f>
        <v>0.0</v>
      </c>
      <c r="K70" s="14" t="str">
        <f>IF(C70=0,"No Evidence",IF(C70&lt;=2,IF(E70&gt;0,"Explosive Alert","Track Only"),IF(C70=3,"Sample Watch",IF(E70&gt;=START_HERE!$B$31,"Explosive Alert",IF(J70&gt;=80,"Strong Candidate",IF(J70&gt;=65,"Good Candidate",IF(J70&gt;=50,"Mixed / Review","Problem Call")))))))</f>
        <v>Explosive Alert</v>
      </c>
      <c r="L70" s="9" t="str">
        <f>IF(COUNTIFS('DEF_SELF_SCOUT_IMPORT'!$L$42:$L$1040,"Y",'DEF_SELF_SCOUT_IMPORT'!$E$42:$E$1040,SUBSTITUTE(SUBSTITUTE(SUBSTITUTE($B70,"~","~~"),"*","~*"),"?","~?"),'DEF_SELF_SCOUT_IMPORT'!$Q$42:$Q$1040,SUBSTITUTE(SUBSTITUTE(SUBSTITUTE($M70,"~","~~"),"*","~*"),"?","~?"),'DEF_SELF_SCOUT_IMPORT'!$J$42:$J$1040,"")&gt;0,"Unscored clean outcome; review result tags before using score.",IF(C70=0,"No matching defensive reps; film confirmation needed.",IF(K70="Explosive Alert","Explosive risk; review clips before using as answer.",IF(C70&lt;=2,"Track only; not enough sample.",IF(C70=3,IF(E70&gt;0,"Sample watch with explosive exposure; review clips and build the sample.",IF(J70&gt;=65,"Good signal, but sample is limited.","Sample watch; review clips and build the sample.")),IF(K70="Problem Call","Problem area; practice or call-sheet review.",IF(K70="Strong Candidate","Strong call-fit candidate; confirm on film.",IF(K70="Good Candidate","Good call-fit signal; confirm on film.","Mixed signal; review fit and execution on film."))))))))</f>
        <v>Explosive risk; review clips before using as answer.</v>
      </c>
      <c r="M70" s="8" t="s">
        <v>82</v>
      </c>
      <c r="N70" s="8"/>
      <c r="O70" s="8"/>
      <c r="P70" s="8"/>
      <c r="Q70" s="8"/>
      <c r="R70" s="8" t="s">
        <v>28</v>
      </c>
      <c r="S70" s="2" t="s">
        <v>83</v>
      </c>
      <c r="T70" s="2">
        <f>IF(C70=0,0,IF(C70&gt;=CALL_LOOKUP_BOARD!$B$7,IF(OR(K70="Problem Call",K70="Explosive Alert"),10000000,20000000),0)+IF(C70&gt;=CALL_LOOKUP_BOARD!$B$7,J70*1000+MIN(C70,999),C70*1000+J70)+0.00993900)</f>
        <v>1000.009939</v>
      </c>
      <c r="U70" s="2">
        <f>IF(C70=0,"",IF(COUNTIFS($S$10:$S$178,SUBSTITUTE(SUBSTITUTE(SUBSTITUTE(S70,"~","~~"),"*","~*"),"?","~?"),$T$10:$T$178,"&gt;"&amp;T70)=0,S70,""))</f>
        <v/>
      </c>
    </row>
    <row r="71" spans="1:21" ht="38" customHeight="1">
      <c r="A71" s="8" t="s">
        <v>82</v>
      </c>
      <c r="B71" s="8" t="s">
        <v>44</v>
      </c>
      <c r="C71" s="12">
        <f>COUNTIFS('DEF_SELF_SCOUT_IMPORT'!$L$42:$L$1040,"Y",'DEF_SELF_SCOUT_IMPORT'!$E$42:$E$1040,SUBSTITUTE(SUBSTITUTE(SUBSTITUTE($B71,"~","~~"),"*","~*"),"?","~?"),'DEF_SELF_SCOUT_IMPORT'!$Q$42:$Q$1040,SUBSTITUTE(SUBSTITUTE(SUBSTITUTE($M71,"~","~~"),"*","~*"),"?","~?"))</f>
        <v>2</v>
      </c>
      <c r="D71" s="10">
        <f>IF($C71=0,"",SUMIFS('DEF_SELF_SCOUT_IMPORT'!$J$42:$J$1040,'DEF_SELF_SCOUT_IMPORT'!$L$42:$L$1040,"Y",'DEF_SELF_SCOUT_IMPORT'!$E$42:$E$1040,SUBSTITUTE(SUBSTITUTE(SUBSTITUTE($B71,"~","~~"),"*","~*"),"?","~?"),'DEF_SELF_SCOUT_IMPORT'!$Q$42:$Q$1040,SUBSTITUTE(SUBSTITUTE(SUBSTITUTE($M71,"~","~~"),"*","~*"),"?","~?"))/$C71)</f>
        <v>0.5</v>
      </c>
      <c r="E71" s="10">
        <f>IF($C71=0,"",SUMIFS('DEF_SELF_SCOUT_IMPORT'!$K$42:$K$1040,'DEF_SELF_SCOUT_IMPORT'!$L$42:$L$1040,"Y",'DEF_SELF_SCOUT_IMPORT'!$E$42:$E$1040,SUBSTITUTE(SUBSTITUTE(SUBSTITUTE($B71,"~","~~"),"*","~*"),"?","~?"),'DEF_SELF_SCOUT_IMPORT'!$Q$42:$Q$1040,SUBSTITUTE(SUBSTITUTE(SUBSTITUTE($M71,"~","~~"),"*","~*"),"?","~?"))/$C71)</f>
        <v>0.0</v>
      </c>
      <c r="F71" s="11">
        <f>IF($C71=0,"",AVERAGEIFS('DEF_SELF_SCOUT_IMPORT'!$I$42:$I$1040,'DEF_SELF_SCOUT_IMPORT'!$L$42:$L$1040,"Y",'DEF_SELF_SCOUT_IMPORT'!$E$42:$E$1040,SUBSTITUTE(SUBSTITUTE(SUBSTITUTE($B71,"~","~~"),"*","~*"),"?","~?"),'DEF_SELF_SCOUT_IMPORT'!$Q$42:$Q$1040,SUBSTITUTE(SUBSTITUTE(SUBSTITUTE($M71,"~","~~"),"*","~*"),"?","~?")))</f>
        <v>4.5</v>
      </c>
      <c r="G71" s="10">
        <f>IF($C71=0,"",COUNTIFS('DEF_SELF_SCOUT_IMPORT'!$L$42:$L$1040,"Y",'DEF_SELF_SCOUT_IMPORT'!$E$42:$E$1040,SUBSTITUTE(SUBSTITUTE(SUBSTITUTE($B71,"~","~~"),"*","~*"),"?","~?"),'DEF_SELF_SCOUT_IMPORT'!$Q$42:$Q$1040,SUBSTITUTE(SUBSTITUTE(SUBSTITUTE($M71,"~","~~"),"*","~*"),"?","~?"),'DEF_SELF_SCOUT_IMPORT'!$H$42:$H$1040,"RUSH")/$C71)</f>
        <v>0.0</v>
      </c>
      <c r="H71" s="10">
        <f>IF($C71=0,"",COUNTIFS('DEF_SELF_SCOUT_IMPORT'!$L$42:$L$1040,"Y",'DEF_SELF_SCOUT_IMPORT'!$E$42:$E$1040,SUBSTITUTE(SUBSTITUTE(SUBSTITUTE($B71,"~","~~"),"*","~*"),"?","~?"),'DEF_SELF_SCOUT_IMPORT'!$Q$42:$Q$1040,SUBSTITUTE(SUBSTITUTE(SUBSTITUTE($M71,"~","~~"),"*","~*"),"?","~?"),'DEF_SELF_SCOUT_IMPORT'!$H$42:$H$1040,"DROPBACK")/$C71)</f>
        <v>1.0</v>
      </c>
      <c r="I71" s="14" t="str">
        <f>IF(C71=0,"",IF(C71&lt;=2,"TRACK",IF(C71=3,"LOW",IF(C71&lt;=6,"MEDIUM","HIGH"))))</f>
        <v>TRACK</v>
      </c>
      <c r="J71" s="11">
        <f>IF(C71=0,"",ROUND(D71*70+(1-E71)*20+MAX(0,MIN(1,(10-F71)/10))*10,1))</f>
        <v>60.5</v>
      </c>
      <c r="K71" s="14" t="str">
        <f>IF(C71=0,"No Evidence",IF(C71&lt;=2,IF(E71&gt;0,"Explosive Alert","Track Only"),IF(C71=3,"Sample Watch",IF(E71&gt;=START_HERE!$B$31,"Explosive Alert",IF(J71&gt;=80,"Strong Candidate",IF(J71&gt;=65,"Good Candidate",IF(J71&gt;=50,"Mixed / Review","Problem Call")))))))</f>
        <v>Track Only</v>
      </c>
      <c r="L71" s="9" t="str">
        <f>IF(COUNTIFS('DEF_SELF_SCOUT_IMPORT'!$L$42:$L$1040,"Y",'DEF_SELF_SCOUT_IMPORT'!$E$42:$E$1040,SUBSTITUTE(SUBSTITUTE(SUBSTITUTE($B71,"~","~~"),"*","~*"),"?","~?"),'DEF_SELF_SCOUT_IMPORT'!$Q$42:$Q$1040,SUBSTITUTE(SUBSTITUTE(SUBSTITUTE($M71,"~","~~"),"*","~*"),"?","~?"),'DEF_SELF_SCOUT_IMPORT'!$J$42:$J$1040,"")&gt;0,"Unscored clean outcome; review result tags before using score.",IF(C71=0,"No matching defensive reps; film confirmation needed.",IF(K71="Explosive Alert","Explosive risk; review clips before using as answer.",IF(C71&lt;=2,"Track only; not enough sample.",IF(C71=3,IF(E71&gt;0,"Sample watch with explosive exposure; review clips and build the sample.",IF(J71&gt;=65,"Good signal, but sample is limited.","Sample watch; review clips and build the sample.")),IF(K71="Problem Call","Problem area; practice or call-sheet review.",IF(K71="Strong Candidate","Strong call-fit candidate; confirm on film.",IF(K71="Good Candidate","Good call-fit signal; confirm on film.","Mixed signal; review fit and execution on film."))))))))</f>
        <v>Track only; not enough sample.</v>
      </c>
      <c r="M71" s="8" t="s">
        <v>82</v>
      </c>
      <c r="N71" s="8"/>
      <c r="O71" s="8"/>
      <c r="P71" s="8"/>
      <c r="Q71" s="8"/>
      <c r="R71" s="8" t="s">
        <v>28</v>
      </c>
      <c r="S71" s="2" t="s">
        <v>83</v>
      </c>
      <c r="T71" s="2">
        <f>IF(C71=0,0,IF(C71&gt;=CALL_LOOKUP_BOARD!$B$7,IF(OR(K71="Problem Call",K71="Explosive Alert"),10000000,20000000),0)+IF(C71&gt;=CALL_LOOKUP_BOARD!$B$7,J71*1000+MIN(C71,999),C71*1000+J71)+0.00993800)</f>
        <v>2060.509938</v>
      </c>
      <c r="U71" s="2">
        <f>IF(C71=0,"",IF(COUNTIFS($S$10:$S$178,SUBSTITUTE(SUBSTITUTE(SUBSTITUTE(S71,"~","~~"),"*","~*"),"?","~?"),$T$10:$T$178,"&gt;"&amp;T71)=0,S71,""))</f>
        <v/>
      </c>
    </row>
    <row r="72" spans="1:21" ht="38" customHeight="1">
      <c r="A72" s="8" t="s">
        <v>82</v>
      </c>
      <c r="B72" s="8" t="s">
        <v>48</v>
      </c>
      <c r="C72" s="12">
        <f>COUNTIFS('DEF_SELF_SCOUT_IMPORT'!$L$42:$L$1040,"Y",'DEF_SELF_SCOUT_IMPORT'!$E$42:$E$1040,SUBSTITUTE(SUBSTITUTE(SUBSTITUTE($B72,"~","~~"),"*","~*"),"?","~?"),'DEF_SELF_SCOUT_IMPORT'!$Q$42:$Q$1040,SUBSTITUTE(SUBSTITUTE(SUBSTITUTE($M72,"~","~~"),"*","~*"),"?","~?"))</f>
        <v>1</v>
      </c>
      <c r="D72" s="10">
        <f>IF($C72=0,"",SUMIFS('DEF_SELF_SCOUT_IMPORT'!$J$42:$J$1040,'DEF_SELF_SCOUT_IMPORT'!$L$42:$L$1040,"Y",'DEF_SELF_SCOUT_IMPORT'!$E$42:$E$1040,SUBSTITUTE(SUBSTITUTE(SUBSTITUTE($B72,"~","~~"),"*","~*"),"?","~?"),'DEF_SELF_SCOUT_IMPORT'!$Q$42:$Q$1040,SUBSTITUTE(SUBSTITUTE(SUBSTITUTE($M72,"~","~~"),"*","~*"),"?","~?"))/$C72)</f>
        <v>1.0</v>
      </c>
      <c r="E72" s="10">
        <f>IF($C72=0,"",SUMIFS('DEF_SELF_SCOUT_IMPORT'!$K$42:$K$1040,'DEF_SELF_SCOUT_IMPORT'!$L$42:$L$1040,"Y",'DEF_SELF_SCOUT_IMPORT'!$E$42:$E$1040,SUBSTITUTE(SUBSTITUTE(SUBSTITUTE($B72,"~","~~"),"*","~*"),"?","~?"),'DEF_SELF_SCOUT_IMPORT'!$Q$42:$Q$1040,SUBSTITUTE(SUBSTITUTE(SUBSTITUTE($M72,"~","~~"),"*","~*"),"?","~?"))/$C72)</f>
        <v>0.0</v>
      </c>
      <c r="F72" s="11">
        <f>IF($C72=0,"",AVERAGEIFS('DEF_SELF_SCOUT_IMPORT'!$I$42:$I$1040,'DEF_SELF_SCOUT_IMPORT'!$L$42:$L$1040,"Y",'DEF_SELF_SCOUT_IMPORT'!$E$42:$E$1040,SUBSTITUTE(SUBSTITUTE(SUBSTITUTE($B72,"~","~~"),"*","~*"),"?","~?"),'DEF_SELF_SCOUT_IMPORT'!$Q$42:$Q$1040,SUBSTITUTE(SUBSTITUTE(SUBSTITUTE($M72,"~","~~"),"*","~*"),"?","~?")))</f>
        <v>-8.0</v>
      </c>
      <c r="G72" s="10">
        <f>IF($C72=0,"",COUNTIFS('DEF_SELF_SCOUT_IMPORT'!$L$42:$L$1040,"Y",'DEF_SELF_SCOUT_IMPORT'!$E$42:$E$1040,SUBSTITUTE(SUBSTITUTE(SUBSTITUTE($B72,"~","~~"),"*","~*"),"?","~?"),'DEF_SELF_SCOUT_IMPORT'!$Q$42:$Q$1040,SUBSTITUTE(SUBSTITUTE(SUBSTITUTE($M72,"~","~~"),"*","~*"),"?","~?"),'DEF_SELF_SCOUT_IMPORT'!$H$42:$H$1040,"RUSH")/$C72)</f>
        <v>0.0</v>
      </c>
      <c r="H72" s="10">
        <f>IF($C72=0,"",COUNTIFS('DEF_SELF_SCOUT_IMPORT'!$L$42:$L$1040,"Y",'DEF_SELF_SCOUT_IMPORT'!$E$42:$E$1040,SUBSTITUTE(SUBSTITUTE(SUBSTITUTE($B72,"~","~~"),"*","~*"),"?","~?"),'DEF_SELF_SCOUT_IMPORT'!$Q$42:$Q$1040,SUBSTITUTE(SUBSTITUTE(SUBSTITUTE($M72,"~","~~"),"*","~*"),"?","~?"),'DEF_SELF_SCOUT_IMPORT'!$H$42:$H$1040,"DROPBACK")/$C72)</f>
        <v>1.0</v>
      </c>
      <c r="I72" s="14" t="str">
        <f>IF(C72=0,"",IF(C72&lt;=2,"TRACK",IF(C72=3,"LOW",IF(C72&lt;=6,"MEDIUM","HIGH"))))</f>
        <v>TRACK</v>
      </c>
      <c r="J72" s="11">
        <f>IF(C72=0,"",ROUND(D72*70+(1-E72)*20+MAX(0,MIN(1,(10-F72)/10))*10,1))</f>
        <v>100.0</v>
      </c>
      <c r="K72" s="14" t="str">
        <f>IF(C72=0,"No Evidence",IF(C72&lt;=2,IF(E72&gt;0,"Explosive Alert","Track Only"),IF(C72=3,"Sample Watch",IF(E72&gt;=START_HERE!$B$31,"Explosive Alert",IF(J72&gt;=80,"Strong Candidate",IF(J72&gt;=65,"Good Candidate",IF(J72&gt;=50,"Mixed / Review","Problem Call")))))))</f>
        <v>Track Only</v>
      </c>
      <c r="L72" s="9" t="str">
        <f>IF(COUNTIFS('DEF_SELF_SCOUT_IMPORT'!$L$42:$L$1040,"Y",'DEF_SELF_SCOUT_IMPORT'!$E$42:$E$1040,SUBSTITUTE(SUBSTITUTE(SUBSTITUTE($B72,"~","~~"),"*","~*"),"?","~?"),'DEF_SELF_SCOUT_IMPORT'!$Q$42:$Q$1040,SUBSTITUTE(SUBSTITUTE(SUBSTITUTE($M72,"~","~~"),"*","~*"),"?","~?"),'DEF_SELF_SCOUT_IMPORT'!$J$42:$J$1040,"")&gt;0,"Unscored clean outcome; review result tags before using score.",IF(C72=0,"No matching defensive reps; film confirmation needed.",IF(K72="Explosive Alert","Explosive risk; review clips before using as answer.",IF(C72&lt;=2,"Track only; not enough sample.",IF(C72=3,IF(E72&gt;0,"Sample watch with explosive exposure; review clips and build the sample.",IF(J72&gt;=65,"Good signal, but sample is limited.","Sample watch; review clips and build the sample.")),IF(K72="Problem Call","Problem area; practice or call-sheet review.",IF(K72="Strong Candidate","Strong call-fit candidate; confirm on film.",IF(K72="Good Candidate","Good call-fit signal; confirm on film.","Mixed signal; review fit and execution on film."))))))))</f>
        <v>Track only; not enough sample.</v>
      </c>
      <c r="M72" s="8" t="s">
        <v>82</v>
      </c>
      <c r="N72" s="8"/>
      <c r="O72" s="8"/>
      <c r="P72" s="8"/>
      <c r="Q72" s="8"/>
      <c r="R72" s="8" t="s">
        <v>28</v>
      </c>
      <c r="S72" s="2" t="s">
        <v>83</v>
      </c>
      <c r="T72" s="2">
        <f>IF(C72=0,0,IF(C72&gt;=CALL_LOOKUP_BOARD!$B$7,IF(OR(K72="Problem Call",K72="Explosive Alert"),10000000,20000000),0)+IF(C72&gt;=CALL_LOOKUP_BOARD!$B$7,J72*1000+MIN(C72,999),C72*1000+J72)+0.00993700)</f>
        <v>1100.009937</v>
      </c>
      <c r="U72" s="2">
        <f>IF(C72=0,"",IF(COUNTIFS($S$10:$S$178,SUBSTITUTE(SUBSTITUTE(SUBSTITUTE(S72,"~","~~"),"*","~*"),"?","~?"),$T$10:$T$178,"&gt;"&amp;T72)=0,S72,""))</f>
        <v/>
      </c>
    </row>
    <row r="73" spans="1:21" ht="38" customHeight="1">
      <c r="A73" s="8" t="s">
        <v>82</v>
      </c>
      <c r="B73" s="8" t="s">
        <v>34</v>
      </c>
      <c r="C73" s="12">
        <f>COUNTIFS('DEF_SELF_SCOUT_IMPORT'!$L$42:$L$1040,"Y",'DEF_SELF_SCOUT_IMPORT'!$E$42:$E$1040,SUBSTITUTE(SUBSTITUTE(SUBSTITUTE($B73,"~","~~"),"*","~*"),"?","~?"),'DEF_SELF_SCOUT_IMPORT'!$Q$42:$Q$1040,SUBSTITUTE(SUBSTITUTE(SUBSTITUTE($M73,"~","~~"),"*","~*"),"?","~?"))</f>
        <v>1</v>
      </c>
      <c r="D73" s="10">
        <f>IF($C73=0,"",SUMIFS('DEF_SELF_SCOUT_IMPORT'!$J$42:$J$1040,'DEF_SELF_SCOUT_IMPORT'!$L$42:$L$1040,"Y",'DEF_SELF_SCOUT_IMPORT'!$E$42:$E$1040,SUBSTITUTE(SUBSTITUTE(SUBSTITUTE($B73,"~","~~"),"*","~*"),"?","~?"),'DEF_SELF_SCOUT_IMPORT'!$Q$42:$Q$1040,SUBSTITUTE(SUBSTITUTE(SUBSTITUTE($M73,"~","~~"),"*","~*"),"?","~?"))/$C73)</f>
        <v>0.0</v>
      </c>
      <c r="E73" s="10">
        <f>IF($C73=0,"",SUMIFS('DEF_SELF_SCOUT_IMPORT'!$K$42:$K$1040,'DEF_SELF_SCOUT_IMPORT'!$L$42:$L$1040,"Y",'DEF_SELF_SCOUT_IMPORT'!$E$42:$E$1040,SUBSTITUTE(SUBSTITUTE(SUBSTITUTE($B73,"~","~~"),"*","~*"),"?","~?"),'DEF_SELF_SCOUT_IMPORT'!$Q$42:$Q$1040,SUBSTITUTE(SUBSTITUTE(SUBSTITUTE($M73,"~","~~"),"*","~*"),"?","~?"))/$C73)</f>
        <v>0.0</v>
      </c>
      <c r="F73" s="11">
        <f>IF($C73=0,"",AVERAGEIFS('DEF_SELF_SCOUT_IMPORT'!$I$42:$I$1040,'DEF_SELF_SCOUT_IMPORT'!$L$42:$L$1040,"Y",'DEF_SELF_SCOUT_IMPORT'!$E$42:$E$1040,SUBSTITUTE(SUBSTITUTE(SUBSTITUTE($B73,"~","~~"),"*","~*"),"?","~?"),'DEF_SELF_SCOUT_IMPORT'!$Q$42:$Q$1040,SUBSTITUTE(SUBSTITUTE(SUBSTITUTE($M73,"~","~~"),"*","~*"),"?","~?")))</f>
        <v>10.0</v>
      </c>
      <c r="G73" s="10">
        <f>IF($C73=0,"",COUNTIFS('DEF_SELF_SCOUT_IMPORT'!$L$42:$L$1040,"Y",'DEF_SELF_SCOUT_IMPORT'!$E$42:$E$1040,SUBSTITUTE(SUBSTITUTE(SUBSTITUTE($B73,"~","~~"),"*","~*"),"?","~?"),'DEF_SELF_SCOUT_IMPORT'!$Q$42:$Q$1040,SUBSTITUTE(SUBSTITUTE(SUBSTITUTE($M73,"~","~~"),"*","~*"),"?","~?"),'DEF_SELF_SCOUT_IMPORT'!$H$42:$H$1040,"RUSH")/$C73)</f>
        <v>0.0</v>
      </c>
      <c r="H73" s="10">
        <f>IF($C73=0,"",COUNTIFS('DEF_SELF_SCOUT_IMPORT'!$L$42:$L$1040,"Y",'DEF_SELF_SCOUT_IMPORT'!$E$42:$E$1040,SUBSTITUTE(SUBSTITUTE(SUBSTITUTE($B73,"~","~~"),"*","~*"),"?","~?"),'DEF_SELF_SCOUT_IMPORT'!$Q$42:$Q$1040,SUBSTITUTE(SUBSTITUTE(SUBSTITUTE($M73,"~","~~"),"*","~*"),"?","~?"),'DEF_SELF_SCOUT_IMPORT'!$H$42:$H$1040,"DROPBACK")/$C73)</f>
        <v>1.0</v>
      </c>
      <c r="I73" s="14" t="str">
        <f>IF(C73=0,"",IF(C73&lt;=2,"TRACK",IF(C73=3,"LOW",IF(C73&lt;=6,"MEDIUM","HIGH"))))</f>
        <v>TRACK</v>
      </c>
      <c r="J73" s="11">
        <f>IF(C73=0,"",ROUND(D73*70+(1-E73)*20+MAX(0,MIN(1,(10-F73)/10))*10,1))</f>
        <v>20.0</v>
      </c>
      <c r="K73" s="14" t="str">
        <f>IF(C73=0,"No Evidence",IF(C73&lt;=2,IF(E73&gt;0,"Explosive Alert","Track Only"),IF(C73=3,"Sample Watch",IF(E73&gt;=START_HERE!$B$31,"Explosive Alert",IF(J73&gt;=80,"Strong Candidate",IF(J73&gt;=65,"Good Candidate",IF(J73&gt;=50,"Mixed / Review","Problem Call")))))))</f>
        <v>Track Only</v>
      </c>
      <c r="L73" s="9" t="str">
        <f>IF(COUNTIFS('DEF_SELF_SCOUT_IMPORT'!$L$42:$L$1040,"Y",'DEF_SELF_SCOUT_IMPORT'!$E$42:$E$1040,SUBSTITUTE(SUBSTITUTE(SUBSTITUTE($B73,"~","~~"),"*","~*"),"?","~?"),'DEF_SELF_SCOUT_IMPORT'!$Q$42:$Q$1040,SUBSTITUTE(SUBSTITUTE(SUBSTITUTE($M73,"~","~~"),"*","~*"),"?","~?"),'DEF_SELF_SCOUT_IMPORT'!$J$42:$J$1040,"")&gt;0,"Unscored clean outcome; review result tags before using score.",IF(C73=0,"No matching defensive reps; film confirmation needed.",IF(K73="Explosive Alert","Explosive risk; review clips before using as answer.",IF(C73&lt;=2,"Track only; not enough sample.",IF(C73=3,IF(E73&gt;0,"Sample watch with explosive exposure; review clips and build the sample.",IF(J73&gt;=65,"Good signal, but sample is limited.","Sample watch; review clips and build the sample.")),IF(K73="Problem Call","Problem area; practice or call-sheet review.",IF(K73="Strong Candidate","Strong call-fit candidate; confirm on film.",IF(K73="Good Candidate","Good call-fit signal; confirm on film.","Mixed signal; review fit and execution on film."))))))))</f>
        <v>Track only; not enough sample.</v>
      </c>
      <c r="M73" s="8" t="s">
        <v>82</v>
      </c>
      <c r="N73" s="8"/>
      <c r="O73" s="8"/>
      <c r="P73" s="8"/>
      <c r="Q73" s="8"/>
      <c r="R73" s="8" t="s">
        <v>28</v>
      </c>
      <c r="S73" s="2" t="s">
        <v>83</v>
      </c>
      <c r="T73" s="2">
        <f>IF(C73=0,0,IF(C73&gt;=CALL_LOOKUP_BOARD!$B$7,IF(OR(K73="Problem Call",K73="Explosive Alert"),10000000,20000000),0)+IF(C73&gt;=CALL_LOOKUP_BOARD!$B$7,J73*1000+MIN(C73,999),C73*1000+J73)+0.00993600)</f>
        <v>1020.009936</v>
      </c>
      <c r="U73" s="2">
        <f>IF(C73=0,"",IF(COUNTIFS($S$10:$S$178,SUBSTITUTE(SUBSTITUTE(SUBSTITUTE(S73,"~","~~"),"*","~*"),"?","~?"),$T$10:$T$178,"&gt;"&amp;T73)=0,S73,""))</f>
        <v/>
      </c>
    </row>
    <row r="74" spans="1:21" ht="38" customHeight="1">
      <c r="A74" s="8" t="s">
        <v>82</v>
      </c>
      <c r="B74" s="8" t="s">
        <v>79</v>
      </c>
      <c r="C74" s="12">
        <f>COUNTIFS('DEF_SELF_SCOUT_IMPORT'!$L$42:$L$1040,"Y",'DEF_SELF_SCOUT_IMPORT'!$E$42:$E$1040,SUBSTITUTE(SUBSTITUTE(SUBSTITUTE($B74,"~","~~"),"*","~*"),"?","~?"),'DEF_SELF_SCOUT_IMPORT'!$Q$42:$Q$1040,SUBSTITUTE(SUBSTITUTE(SUBSTITUTE($M74,"~","~~"),"*","~*"),"?","~?"))</f>
        <v>2</v>
      </c>
      <c r="D74" s="10">
        <f>IF($C74=0,"",SUMIFS('DEF_SELF_SCOUT_IMPORT'!$J$42:$J$1040,'DEF_SELF_SCOUT_IMPORT'!$L$42:$L$1040,"Y",'DEF_SELF_SCOUT_IMPORT'!$E$42:$E$1040,SUBSTITUTE(SUBSTITUTE(SUBSTITUTE($B74,"~","~~"),"*","~*"),"?","~?"),'DEF_SELF_SCOUT_IMPORT'!$Q$42:$Q$1040,SUBSTITUTE(SUBSTITUTE(SUBSTITUTE($M74,"~","~~"),"*","~*"),"?","~?"))/$C74)</f>
        <v>1.0</v>
      </c>
      <c r="E74" s="10">
        <f>IF($C74=0,"",SUMIFS('DEF_SELF_SCOUT_IMPORT'!$K$42:$K$1040,'DEF_SELF_SCOUT_IMPORT'!$L$42:$L$1040,"Y",'DEF_SELF_SCOUT_IMPORT'!$E$42:$E$1040,SUBSTITUTE(SUBSTITUTE(SUBSTITUTE($B74,"~","~~"),"*","~*"),"?","~?"),'DEF_SELF_SCOUT_IMPORT'!$Q$42:$Q$1040,SUBSTITUTE(SUBSTITUTE(SUBSTITUTE($M74,"~","~~"),"*","~*"),"?","~?"))/$C74)</f>
        <v>0.0</v>
      </c>
      <c r="F74" s="11">
        <f>IF($C74=0,"",AVERAGEIFS('DEF_SELF_SCOUT_IMPORT'!$I$42:$I$1040,'DEF_SELF_SCOUT_IMPORT'!$L$42:$L$1040,"Y",'DEF_SELF_SCOUT_IMPORT'!$E$42:$E$1040,SUBSTITUTE(SUBSTITUTE(SUBSTITUTE($B74,"~","~~"),"*","~*"),"?","~?"),'DEF_SELF_SCOUT_IMPORT'!$Q$42:$Q$1040,SUBSTITUTE(SUBSTITUTE(SUBSTITUTE($M74,"~","~~"),"*","~*"),"?","~?")))</f>
        <v>2.0</v>
      </c>
      <c r="G74" s="10">
        <f>IF($C74=0,"",COUNTIFS('DEF_SELF_SCOUT_IMPORT'!$L$42:$L$1040,"Y",'DEF_SELF_SCOUT_IMPORT'!$E$42:$E$1040,SUBSTITUTE(SUBSTITUTE(SUBSTITUTE($B74,"~","~~"),"*","~*"),"?","~?"),'DEF_SELF_SCOUT_IMPORT'!$Q$42:$Q$1040,SUBSTITUTE(SUBSTITUTE(SUBSTITUTE($M74,"~","~~"),"*","~*"),"?","~?"),'DEF_SELF_SCOUT_IMPORT'!$H$42:$H$1040,"RUSH")/$C74)</f>
        <v>0.0</v>
      </c>
      <c r="H74" s="10">
        <f>IF($C74=0,"",COUNTIFS('DEF_SELF_SCOUT_IMPORT'!$L$42:$L$1040,"Y",'DEF_SELF_SCOUT_IMPORT'!$E$42:$E$1040,SUBSTITUTE(SUBSTITUTE(SUBSTITUTE($B74,"~","~~"),"*","~*"),"?","~?"),'DEF_SELF_SCOUT_IMPORT'!$Q$42:$Q$1040,SUBSTITUTE(SUBSTITUTE(SUBSTITUTE($M74,"~","~~"),"*","~*"),"?","~?"),'DEF_SELF_SCOUT_IMPORT'!$H$42:$H$1040,"DROPBACK")/$C74)</f>
        <v>1.0</v>
      </c>
      <c r="I74" s="14" t="str">
        <f>IF(C74=0,"",IF(C74&lt;=2,"TRACK",IF(C74=3,"LOW",IF(C74&lt;=6,"MEDIUM","HIGH"))))</f>
        <v>TRACK</v>
      </c>
      <c r="J74" s="11">
        <f>IF(C74=0,"",ROUND(D74*70+(1-E74)*20+MAX(0,MIN(1,(10-F74)/10))*10,1))</f>
        <v>98.0</v>
      </c>
      <c r="K74" s="14" t="str">
        <f>IF(C74=0,"No Evidence",IF(C74&lt;=2,IF(E74&gt;0,"Explosive Alert","Track Only"),IF(C74=3,"Sample Watch",IF(E74&gt;=START_HERE!$B$31,"Explosive Alert",IF(J74&gt;=80,"Strong Candidate",IF(J74&gt;=65,"Good Candidate",IF(J74&gt;=50,"Mixed / Review","Problem Call")))))))</f>
        <v>Track Only</v>
      </c>
      <c r="L74" s="9" t="str">
        <f>IF(COUNTIFS('DEF_SELF_SCOUT_IMPORT'!$L$42:$L$1040,"Y",'DEF_SELF_SCOUT_IMPORT'!$E$42:$E$1040,SUBSTITUTE(SUBSTITUTE(SUBSTITUTE($B74,"~","~~"),"*","~*"),"?","~?"),'DEF_SELF_SCOUT_IMPORT'!$Q$42:$Q$1040,SUBSTITUTE(SUBSTITUTE(SUBSTITUTE($M74,"~","~~"),"*","~*"),"?","~?"),'DEF_SELF_SCOUT_IMPORT'!$J$42:$J$1040,"")&gt;0,"Unscored clean outcome; review result tags before using score.",IF(C74=0,"No matching defensive reps; film confirmation needed.",IF(K74="Explosive Alert","Explosive risk; review clips before using as answer.",IF(C74&lt;=2,"Track only; not enough sample.",IF(C74=3,IF(E74&gt;0,"Sample watch with explosive exposure; review clips and build the sample.",IF(J74&gt;=65,"Good signal, but sample is limited.","Sample watch; review clips and build the sample.")),IF(K74="Problem Call","Problem area; practice or call-sheet review.",IF(K74="Strong Candidate","Strong call-fit candidate; confirm on film.",IF(K74="Good Candidate","Good call-fit signal; confirm on film.","Mixed signal; review fit and execution on film."))))))))</f>
        <v>Track only; not enough sample.</v>
      </c>
      <c r="M74" s="8" t="s">
        <v>82</v>
      </c>
      <c r="N74" s="8"/>
      <c r="O74" s="8"/>
      <c r="P74" s="8"/>
      <c r="Q74" s="8"/>
      <c r="R74" s="8" t="s">
        <v>28</v>
      </c>
      <c r="S74" s="2" t="s">
        <v>83</v>
      </c>
      <c r="T74" s="2">
        <f>IF(C74=0,0,IF(C74&gt;=CALL_LOOKUP_BOARD!$B$7,IF(OR(K74="Problem Call",K74="Explosive Alert"),10000000,20000000),0)+IF(C74&gt;=CALL_LOOKUP_BOARD!$B$7,J74*1000+MIN(C74,999),C74*1000+J74)+0.00993500)</f>
        <v>2098.009935</v>
      </c>
      <c r="U74" s="2">
        <f>IF(C74=0,"",IF(COUNTIFS($S$10:$S$178,SUBSTITUTE(SUBSTITUTE(SUBSTITUTE(S74,"~","~~"),"*","~*"),"?","~?"),$T$10:$T$178,"&gt;"&amp;T74)=0,S74,""))</f>
        <v/>
      </c>
    </row>
    <row r="75" spans="1:21" ht="38" customHeight="1">
      <c r="A75" s="8" t="s">
        <v>82</v>
      </c>
      <c r="B75" s="8" t="s">
        <v>80</v>
      </c>
      <c r="C75" s="12">
        <f>COUNTIFS('DEF_SELF_SCOUT_IMPORT'!$L$42:$L$1040,"Y",'DEF_SELF_SCOUT_IMPORT'!$E$42:$E$1040,SUBSTITUTE(SUBSTITUTE(SUBSTITUTE($B75,"~","~~"),"*","~*"),"?","~?"),'DEF_SELF_SCOUT_IMPORT'!$Q$42:$Q$1040,SUBSTITUTE(SUBSTITUTE(SUBSTITUTE($M75,"~","~~"),"*","~*"),"?","~?"))</f>
        <v>1</v>
      </c>
      <c r="D75" s="10">
        <f>IF($C75=0,"",SUMIFS('DEF_SELF_SCOUT_IMPORT'!$J$42:$J$1040,'DEF_SELF_SCOUT_IMPORT'!$L$42:$L$1040,"Y",'DEF_SELF_SCOUT_IMPORT'!$E$42:$E$1040,SUBSTITUTE(SUBSTITUTE(SUBSTITUTE($B75,"~","~~"),"*","~*"),"?","~?"),'DEF_SELF_SCOUT_IMPORT'!$Q$42:$Q$1040,SUBSTITUTE(SUBSTITUTE(SUBSTITUTE($M75,"~","~~"),"*","~*"),"?","~?"))/$C75)</f>
        <v>0.0</v>
      </c>
      <c r="E75" s="10">
        <f>IF($C75=0,"",SUMIFS('DEF_SELF_SCOUT_IMPORT'!$K$42:$K$1040,'DEF_SELF_SCOUT_IMPORT'!$L$42:$L$1040,"Y",'DEF_SELF_SCOUT_IMPORT'!$E$42:$E$1040,SUBSTITUTE(SUBSTITUTE(SUBSTITUTE($B75,"~","~~"),"*","~*"),"?","~?"),'DEF_SELF_SCOUT_IMPORT'!$Q$42:$Q$1040,SUBSTITUTE(SUBSTITUTE(SUBSTITUTE($M75,"~","~~"),"*","~*"),"?","~?"))/$C75)</f>
        <v>0.0</v>
      </c>
      <c r="F75" s="11">
        <f>IF($C75=0,"",AVERAGEIFS('DEF_SELF_SCOUT_IMPORT'!$I$42:$I$1040,'DEF_SELF_SCOUT_IMPORT'!$L$42:$L$1040,"Y",'DEF_SELF_SCOUT_IMPORT'!$E$42:$E$1040,SUBSTITUTE(SUBSTITUTE(SUBSTITUTE($B75,"~","~~"),"*","~*"),"?","~?"),'DEF_SELF_SCOUT_IMPORT'!$Q$42:$Q$1040,SUBSTITUTE(SUBSTITUTE(SUBSTITUTE($M75,"~","~~"),"*","~*"),"?","~?")))</f>
        <v>8.0</v>
      </c>
      <c r="G75" s="10">
        <f>IF($C75=0,"",COUNTIFS('DEF_SELF_SCOUT_IMPORT'!$L$42:$L$1040,"Y",'DEF_SELF_SCOUT_IMPORT'!$E$42:$E$1040,SUBSTITUTE(SUBSTITUTE(SUBSTITUTE($B75,"~","~~"),"*","~*"),"?","~?"),'DEF_SELF_SCOUT_IMPORT'!$Q$42:$Q$1040,SUBSTITUTE(SUBSTITUTE(SUBSTITUTE($M75,"~","~~"),"*","~*"),"?","~?"),'DEF_SELF_SCOUT_IMPORT'!$H$42:$H$1040,"RUSH")/$C75)</f>
        <v>1.0</v>
      </c>
      <c r="H75" s="10">
        <f>IF($C75=0,"",COUNTIFS('DEF_SELF_SCOUT_IMPORT'!$L$42:$L$1040,"Y",'DEF_SELF_SCOUT_IMPORT'!$E$42:$E$1040,SUBSTITUTE(SUBSTITUTE(SUBSTITUTE($B75,"~","~~"),"*","~*"),"?","~?"),'DEF_SELF_SCOUT_IMPORT'!$Q$42:$Q$1040,SUBSTITUTE(SUBSTITUTE(SUBSTITUTE($M75,"~","~~"),"*","~*"),"?","~?"),'DEF_SELF_SCOUT_IMPORT'!$H$42:$H$1040,"DROPBACK")/$C75)</f>
        <v>0.0</v>
      </c>
      <c r="I75" s="14" t="str">
        <f>IF(C75=0,"",IF(C75&lt;=2,"TRACK",IF(C75=3,"LOW",IF(C75&lt;=6,"MEDIUM","HIGH"))))</f>
        <v>TRACK</v>
      </c>
      <c r="J75" s="11">
        <f>IF(C75=0,"",ROUND(D75*70+(1-E75)*20+MAX(0,MIN(1,(10-F75)/10))*10,1))</f>
        <v>22.0</v>
      </c>
      <c r="K75" s="14" t="str">
        <f>IF(C75=0,"No Evidence",IF(C75&lt;=2,IF(E75&gt;0,"Explosive Alert","Track Only"),IF(C75=3,"Sample Watch",IF(E75&gt;=START_HERE!$B$31,"Explosive Alert",IF(J75&gt;=80,"Strong Candidate",IF(J75&gt;=65,"Good Candidate",IF(J75&gt;=50,"Mixed / Review","Problem Call")))))))</f>
        <v>Track Only</v>
      </c>
      <c r="L75" s="9" t="str">
        <f>IF(COUNTIFS('DEF_SELF_SCOUT_IMPORT'!$L$42:$L$1040,"Y",'DEF_SELF_SCOUT_IMPORT'!$E$42:$E$1040,SUBSTITUTE(SUBSTITUTE(SUBSTITUTE($B75,"~","~~"),"*","~*"),"?","~?"),'DEF_SELF_SCOUT_IMPORT'!$Q$42:$Q$1040,SUBSTITUTE(SUBSTITUTE(SUBSTITUTE($M75,"~","~~"),"*","~*"),"?","~?"),'DEF_SELF_SCOUT_IMPORT'!$J$42:$J$1040,"")&gt;0,"Unscored clean outcome; review result tags before using score.",IF(C75=0,"No matching defensive reps; film confirmation needed.",IF(K75="Explosive Alert","Explosive risk; review clips before using as answer.",IF(C75&lt;=2,"Track only; not enough sample.",IF(C75=3,IF(E75&gt;0,"Sample watch with explosive exposure; review clips and build the sample.",IF(J75&gt;=65,"Good signal, but sample is limited.","Sample watch; review clips and build the sample.")),IF(K75="Problem Call","Problem area; practice or call-sheet review.",IF(K75="Strong Candidate","Strong call-fit candidate; confirm on film.",IF(K75="Good Candidate","Good call-fit signal; confirm on film.","Mixed signal; review fit and execution on film."))))))))</f>
        <v>Track only; not enough sample.</v>
      </c>
      <c r="M75" s="8" t="s">
        <v>82</v>
      </c>
      <c r="N75" s="8"/>
      <c r="O75" s="8"/>
      <c r="P75" s="8"/>
      <c r="Q75" s="8"/>
      <c r="R75" s="8" t="s">
        <v>28</v>
      </c>
      <c r="S75" s="2" t="s">
        <v>83</v>
      </c>
      <c r="T75" s="2">
        <f>IF(C75=0,0,IF(C75&gt;=CALL_LOOKUP_BOARD!$B$7,IF(OR(K75="Problem Call",K75="Explosive Alert"),10000000,20000000),0)+IF(C75&gt;=CALL_LOOKUP_BOARD!$B$7,J75*1000+MIN(C75,999),C75*1000+J75)+0.00993400)</f>
        <v>1022.009934</v>
      </c>
      <c r="U75" s="2">
        <f>IF(C75=0,"",IF(COUNTIFS($S$10:$S$178,SUBSTITUTE(SUBSTITUTE(SUBSTITUTE(S75,"~","~~"),"*","~*"),"?","~?"),$T$10:$T$178,"&gt;"&amp;T75)=0,S75,""))</f>
        <v/>
      </c>
    </row>
    <row r="76" spans="1:21" ht="38" customHeight="1">
      <c r="A76" s="8" t="s">
        <v>82</v>
      </c>
      <c r="B76" s="8" t="s">
        <v>52</v>
      </c>
      <c r="C76" s="12">
        <f>COUNTIFS('DEF_SELF_SCOUT_IMPORT'!$L$42:$L$1040,"Y",'DEF_SELF_SCOUT_IMPORT'!$E$42:$E$1040,SUBSTITUTE(SUBSTITUTE(SUBSTITUTE($B76,"~","~~"),"*","~*"),"?","~?"),'DEF_SELF_SCOUT_IMPORT'!$Q$42:$Q$1040,SUBSTITUTE(SUBSTITUTE(SUBSTITUTE($M76,"~","~~"),"*","~*"),"?","~?"))</f>
        <v>3</v>
      </c>
      <c r="D76" s="10">
        <f>IF($C76=0,"",SUMIFS('DEF_SELF_SCOUT_IMPORT'!$J$42:$J$1040,'DEF_SELF_SCOUT_IMPORT'!$L$42:$L$1040,"Y",'DEF_SELF_SCOUT_IMPORT'!$E$42:$E$1040,SUBSTITUTE(SUBSTITUTE(SUBSTITUTE($B76,"~","~~"),"*","~*"),"?","~?"),'DEF_SELF_SCOUT_IMPORT'!$Q$42:$Q$1040,SUBSTITUTE(SUBSTITUTE(SUBSTITUTE($M76,"~","~~"),"*","~*"),"?","~?"))/$C76)</f>
        <v>0.6666666666666666</v>
      </c>
      <c r="E76" s="10">
        <f>IF($C76=0,"",SUMIFS('DEF_SELF_SCOUT_IMPORT'!$K$42:$K$1040,'DEF_SELF_SCOUT_IMPORT'!$L$42:$L$1040,"Y",'DEF_SELF_SCOUT_IMPORT'!$E$42:$E$1040,SUBSTITUTE(SUBSTITUTE(SUBSTITUTE($B76,"~","~~"),"*","~*"),"?","~?"),'DEF_SELF_SCOUT_IMPORT'!$Q$42:$Q$1040,SUBSTITUTE(SUBSTITUTE(SUBSTITUTE($M76,"~","~~"),"*","~*"),"?","~?"))/$C76)</f>
        <v>0.0</v>
      </c>
      <c r="F76" s="11">
        <f>IF($C76=0,"",AVERAGEIFS('DEF_SELF_SCOUT_IMPORT'!$I$42:$I$1040,'DEF_SELF_SCOUT_IMPORT'!$L$42:$L$1040,"Y",'DEF_SELF_SCOUT_IMPORT'!$E$42:$E$1040,SUBSTITUTE(SUBSTITUTE(SUBSTITUTE($B76,"~","~~"),"*","~*"),"?","~?"),'DEF_SELF_SCOUT_IMPORT'!$Q$42:$Q$1040,SUBSTITUTE(SUBSTITUTE(SUBSTITUTE($M76,"~","~~"),"*","~*"),"?","~?")))</f>
        <v>2.0</v>
      </c>
      <c r="G76" s="10">
        <f>IF($C76=0,"",COUNTIFS('DEF_SELF_SCOUT_IMPORT'!$L$42:$L$1040,"Y",'DEF_SELF_SCOUT_IMPORT'!$E$42:$E$1040,SUBSTITUTE(SUBSTITUTE(SUBSTITUTE($B76,"~","~~"),"*","~*"),"?","~?"),'DEF_SELF_SCOUT_IMPORT'!$Q$42:$Q$1040,SUBSTITUTE(SUBSTITUTE(SUBSTITUTE($M76,"~","~~"),"*","~*"),"?","~?"),'DEF_SELF_SCOUT_IMPORT'!$H$42:$H$1040,"RUSH")/$C76)</f>
        <v>0.6666666666666666</v>
      </c>
      <c r="H76" s="10">
        <f>IF($C76=0,"",COUNTIFS('DEF_SELF_SCOUT_IMPORT'!$L$42:$L$1040,"Y",'DEF_SELF_SCOUT_IMPORT'!$E$42:$E$1040,SUBSTITUTE(SUBSTITUTE(SUBSTITUTE($B76,"~","~~"),"*","~*"),"?","~?"),'DEF_SELF_SCOUT_IMPORT'!$Q$42:$Q$1040,SUBSTITUTE(SUBSTITUTE(SUBSTITUTE($M76,"~","~~"),"*","~*"),"?","~?"),'DEF_SELF_SCOUT_IMPORT'!$H$42:$H$1040,"DROPBACK")/$C76)</f>
        <v>0.3333333333333333</v>
      </c>
      <c r="I76" s="14" t="str">
        <f>IF(C76=0,"",IF(C76&lt;=2,"TRACK",IF(C76=3,"LOW",IF(C76&lt;=6,"MEDIUM","HIGH"))))</f>
        <v>LOW</v>
      </c>
      <c r="J76" s="11">
        <f>IF(C76=0,"",ROUND(D76*70+(1-E76)*20+MAX(0,MIN(1,(10-F76)/10))*10,1))</f>
        <v>74.7</v>
      </c>
      <c r="K76" s="14" t="str">
        <f>IF(C76=0,"No Evidence",IF(C76&lt;=2,IF(E76&gt;0,"Explosive Alert","Track Only"),IF(C76=3,"Sample Watch",IF(E76&gt;=START_HERE!$B$31,"Explosive Alert",IF(J76&gt;=80,"Strong Candidate",IF(J76&gt;=65,"Good Candidate",IF(J76&gt;=50,"Mixed / Review","Problem Call")))))))</f>
        <v>Sample Watch</v>
      </c>
      <c r="L76" s="9" t="str">
        <f>IF(COUNTIFS('DEF_SELF_SCOUT_IMPORT'!$L$42:$L$1040,"Y",'DEF_SELF_SCOUT_IMPORT'!$E$42:$E$1040,SUBSTITUTE(SUBSTITUTE(SUBSTITUTE($B76,"~","~~"),"*","~*"),"?","~?"),'DEF_SELF_SCOUT_IMPORT'!$Q$42:$Q$1040,SUBSTITUTE(SUBSTITUTE(SUBSTITUTE($M76,"~","~~"),"*","~*"),"?","~?"),'DEF_SELF_SCOUT_IMPORT'!$J$42:$J$1040,"")&gt;0,"Unscored clean outcome; review result tags before using score.",IF(C76=0,"No matching defensive reps; film confirmation needed.",IF(K76="Explosive Alert","Explosive risk; review clips before using as answer.",IF(C76&lt;=2,"Track only; not enough sample.",IF(C76=3,IF(E76&gt;0,"Sample watch with explosive exposure; review clips and build the sample.",IF(J76&gt;=65,"Good signal, but sample is limited.","Sample watch; review clips and build the sample.")),IF(K76="Problem Call","Problem area; practice or call-sheet review.",IF(K76="Strong Candidate","Strong call-fit candidate; confirm on film.",IF(K76="Good Candidate","Good call-fit signal; confirm on film.","Mixed signal; review fit and execution on film."))))))))</f>
        <v>Good signal, but sample is limited.</v>
      </c>
      <c r="M76" s="8" t="s">
        <v>82</v>
      </c>
      <c r="N76" s="8"/>
      <c r="O76" s="8"/>
      <c r="P76" s="8"/>
      <c r="Q76" s="8"/>
      <c r="R76" s="8" t="s">
        <v>28</v>
      </c>
      <c r="S76" s="2" t="s">
        <v>83</v>
      </c>
      <c r="T76" s="2">
        <f>IF(C76=0,0,IF(C76&gt;=CALL_LOOKUP_BOARD!$B$7,IF(OR(K76="Problem Call",K76="Explosive Alert"),10000000,20000000),0)+IF(C76&gt;=CALL_LOOKUP_BOARD!$B$7,J76*1000+MIN(C76,999),C76*1000+J76)+0.00993300)</f>
        <v>3074.7099329999996</v>
      </c>
      <c r="U76" s="2" t="str">
        <f>IF(C76=0,"",IF(COUNTIFS($S$10:$S$178,SUBSTITUTE(SUBSTITUTE(SUBSTITUTE(S76,"~","~~"),"*","~*"),"?","~?"),$T$10:$T$178,"&gt;"&amp;T76)=0,S76,""))</f>
        <v>6:2D 4-6|</v>
      </c>
    </row>
    <row r="77" spans="1:21" ht="38" customHeight="1">
      <c r="A77" s="8" t="s">
        <v>82</v>
      </c>
      <c r="B77" s="8" t="s">
        <v>53</v>
      </c>
      <c r="C77" s="12">
        <f>COUNTIFS('DEF_SELF_SCOUT_IMPORT'!$L$42:$L$1040,"Y",'DEF_SELF_SCOUT_IMPORT'!$E$42:$E$1040,SUBSTITUTE(SUBSTITUTE(SUBSTITUTE($B77,"~","~~"),"*","~*"),"?","~?"),'DEF_SELF_SCOUT_IMPORT'!$Q$42:$Q$1040,SUBSTITUTE(SUBSTITUTE(SUBSTITUTE($M77,"~","~~"),"*","~*"),"?","~?"))</f>
        <v>1</v>
      </c>
      <c r="D77" s="10">
        <f>IF($C77=0,"",SUMIFS('DEF_SELF_SCOUT_IMPORT'!$J$42:$J$1040,'DEF_SELF_SCOUT_IMPORT'!$L$42:$L$1040,"Y",'DEF_SELF_SCOUT_IMPORT'!$E$42:$E$1040,SUBSTITUTE(SUBSTITUTE(SUBSTITUTE($B77,"~","~~"),"*","~*"),"?","~?"),'DEF_SELF_SCOUT_IMPORT'!$Q$42:$Q$1040,SUBSTITUTE(SUBSTITUTE(SUBSTITUTE($M77,"~","~~"),"*","~*"),"?","~?"))/$C77)</f>
        <v>1.0</v>
      </c>
      <c r="E77" s="10">
        <f>IF($C77=0,"",SUMIFS('DEF_SELF_SCOUT_IMPORT'!$K$42:$K$1040,'DEF_SELF_SCOUT_IMPORT'!$L$42:$L$1040,"Y",'DEF_SELF_SCOUT_IMPORT'!$E$42:$E$1040,SUBSTITUTE(SUBSTITUTE(SUBSTITUTE($B77,"~","~~"),"*","~*"),"?","~?"),'DEF_SELF_SCOUT_IMPORT'!$Q$42:$Q$1040,SUBSTITUTE(SUBSTITUTE(SUBSTITUTE($M77,"~","~~"),"*","~*"),"?","~?"))/$C77)</f>
        <v>0.0</v>
      </c>
      <c r="F77" s="11">
        <f>IF($C77=0,"",AVERAGEIFS('DEF_SELF_SCOUT_IMPORT'!$I$42:$I$1040,'DEF_SELF_SCOUT_IMPORT'!$L$42:$L$1040,"Y",'DEF_SELF_SCOUT_IMPORT'!$E$42:$E$1040,SUBSTITUTE(SUBSTITUTE(SUBSTITUTE($B77,"~","~~"),"*","~*"),"?","~?"),'DEF_SELF_SCOUT_IMPORT'!$Q$42:$Q$1040,SUBSTITUTE(SUBSTITUTE(SUBSTITUTE($M77,"~","~~"),"*","~*"),"?","~?")))</f>
        <v>2.0</v>
      </c>
      <c r="G77" s="10">
        <f>IF($C77=0,"",COUNTIFS('DEF_SELF_SCOUT_IMPORT'!$L$42:$L$1040,"Y",'DEF_SELF_SCOUT_IMPORT'!$E$42:$E$1040,SUBSTITUTE(SUBSTITUTE(SUBSTITUTE($B77,"~","~~"),"*","~*"),"?","~?"),'DEF_SELF_SCOUT_IMPORT'!$Q$42:$Q$1040,SUBSTITUTE(SUBSTITUTE(SUBSTITUTE($M77,"~","~~"),"*","~*"),"?","~?"),'DEF_SELF_SCOUT_IMPORT'!$H$42:$H$1040,"RUSH")/$C77)</f>
        <v>1.0</v>
      </c>
      <c r="H77" s="10">
        <f>IF($C77=0,"",COUNTIFS('DEF_SELF_SCOUT_IMPORT'!$L$42:$L$1040,"Y",'DEF_SELF_SCOUT_IMPORT'!$E$42:$E$1040,SUBSTITUTE(SUBSTITUTE(SUBSTITUTE($B77,"~","~~"),"*","~*"),"?","~?"),'DEF_SELF_SCOUT_IMPORT'!$Q$42:$Q$1040,SUBSTITUTE(SUBSTITUTE(SUBSTITUTE($M77,"~","~~"),"*","~*"),"?","~?"),'DEF_SELF_SCOUT_IMPORT'!$H$42:$H$1040,"DROPBACK")/$C77)</f>
        <v>0.0</v>
      </c>
      <c r="I77" s="14" t="str">
        <f>IF(C77=0,"",IF(C77&lt;=2,"TRACK",IF(C77=3,"LOW",IF(C77&lt;=6,"MEDIUM","HIGH"))))</f>
        <v>TRACK</v>
      </c>
      <c r="J77" s="11">
        <f>IF(C77=0,"",ROUND(D77*70+(1-E77)*20+MAX(0,MIN(1,(10-F77)/10))*10,1))</f>
        <v>98.0</v>
      </c>
      <c r="K77" s="14" t="str">
        <f>IF(C77=0,"No Evidence",IF(C77&lt;=2,IF(E77&gt;0,"Explosive Alert","Track Only"),IF(C77=3,"Sample Watch",IF(E77&gt;=START_HERE!$B$31,"Explosive Alert",IF(J77&gt;=80,"Strong Candidate",IF(J77&gt;=65,"Good Candidate",IF(J77&gt;=50,"Mixed / Review","Problem Call")))))))</f>
        <v>Track Only</v>
      </c>
      <c r="L77" s="9" t="str">
        <f>IF(COUNTIFS('DEF_SELF_SCOUT_IMPORT'!$L$42:$L$1040,"Y",'DEF_SELF_SCOUT_IMPORT'!$E$42:$E$1040,SUBSTITUTE(SUBSTITUTE(SUBSTITUTE($B77,"~","~~"),"*","~*"),"?","~?"),'DEF_SELF_SCOUT_IMPORT'!$Q$42:$Q$1040,SUBSTITUTE(SUBSTITUTE(SUBSTITUTE($M77,"~","~~"),"*","~*"),"?","~?"),'DEF_SELF_SCOUT_IMPORT'!$J$42:$J$1040,"")&gt;0,"Unscored clean outcome; review result tags before using score.",IF(C77=0,"No matching defensive reps; film confirmation needed.",IF(K77="Explosive Alert","Explosive risk; review clips before using as answer.",IF(C77&lt;=2,"Track only; not enough sample.",IF(C77=3,IF(E77&gt;0,"Sample watch with explosive exposure; review clips and build the sample.",IF(J77&gt;=65,"Good signal, but sample is limited.","Sample watch; review clips and build the sample.")),IF(K77="Problem Call","Problem area; practice or call-sheet review.",IF(K77="Strong Candidate","Strong call-fit candidate; confirm on film.",IF(K77="Good Candidate","Good call-fit signal; confirm on film.","Mixed signal; review fit and execution on film."))))))))</f>
        <v>Track only; not enough sample.</v>
      </c>
      <c r="M77" s="8" t="s">
        <v>82</v>
      </c>
      <c r="N77" s="8"/>
      <c r="O77" s="8"/>
      <c r="P77" s="8"/>
      <c r="Q77" s="8"/>
      <c r="R77" s="8" t="s">
        <v>28</v>
      </c>
      <c r="S77" s="2" t="s">
        <v>83</v>
      </c>
      <c r="T77" s="2">
        <f>IF(C77=0,0,IF(C77&gt;=CALL_LOOKUP_BOARD!$B$7,IF(OR(K77="Problem Call",K77="Explosive Alert"),10000000,20000000),0)+IF(C77&gt;=CALL_LOOKUP_BOARD!$B$7,J77*1000+MIN(C77,999),C77*1000+J77)+0.00993200)</f>
        <v>1098.009932</v>
      </c>
      <c r="U77" s="2">
        <f>IF(C77=0,"",IF(COUNTIFS($S$10:$S$178,SUBSTITUTE(SUBSTITUTE(SUBSTITUTE(S77,"~","~~"),"*","~*"),"?","~?"),$T$10:$T$178,"&gt;"&amp;T77)=0,S77,""))</f>
        <v/>
      </c>
    </row>
    <row r="78" spans="1:21" ht="38" customHeight="1">
      <c r="A78" s="8" t="s">
        <v>82</v>
      </c>
      <c r="B78" s="8" t="s">
        <v>56</v>
      </c>
      <c r="C78" s="12">
        <f>COUNTIFS('DEF_SELF_SCOUT_IMPORT'!$L$42:$L$1040,"Y",'DEF_SELF_SCOUT_IMPORT'!$E$42:$E$1040,SUBSTITUTE(SUBSTITUTE(SUBSTITUTE($B78,"~","~~"),"*","~*"),"?","~?"),'DEF_SELF_SCOUT_IMPORT'!$Q$42:$Q$1040,SUBSTITUTE(SUBSTITUTE(SUBSTITUTE($M78,"~","~~"),"*","~*"),"?","~?"))</f>
        <v>1</v>
      </c>
      <c r="D78" s="10">
        <f>IF($C78=0,"",SUMIFS('DEF_SELF_SCOUT_IMPORT'!$J$42:$J$1040,'DEF_SELF_SCOUT_IMPORT'!$L$42:$L$1040,"Y",'DEF_SELF_SCOUT_IMPORT'!$E$42:$E$1040,SUBSTITUTE(SUBSTITUTE(SUBSTITUTE($B78,"~","~~"),"*","~*"),"?","~?"),'DEF_SELF_SCOUT_IMPORT'!$Q$42:$Q$1040,SUBSTITUTE(SUBSTITUTE(SUBSTITUTE($M78,"~","~~"),"*","~*"),"?","~?"))/$C78)</f>
        <v>0.0</v>
      </c>
      <c r="E78" s="10">
        <f>IF($C78=0,"",SUMIFS('DEF_SELF_SCOUT_IMPORT'!$K$42:$K$1040,'DEF_SELF_SCOUT_IMPORT'!$L$42:$L$1040,"Y",'DEF_SELF_SCOUT_IMPORT'!$E$42:$E$1040,SUBSTITUTE(SUBSTITUTE(SUBSTITUTE($B78,"~","~~"),"*","~*"),"?","~?"),'DEF_SELF_SCOUT_IMPORT'!$Q$42:$Q$1040,SUBSTITUTE(SUBSTITUTE(SUBSTITUTE($M78,"~","~~"),"*","~*"),"?","~?"))/$C78)</f>
        <v>0.0</v>
      </c>
      <c r="F78" s="11">
        <f>IF($C78=0,"",AVERAGEIFS('DEF_SELF_SCOUT_IMPORT'!$I$42:$I$1040,'DEF_SELF_SCOUT_IMPORT'!$L$42:$L$1040,"Y",'DEF_SELF_SCOUT_IMPORT'!$E$42:$E$1040,SUBSTITUTE(SUBSTITUTE(SUBSTITUTE($B78,"~","~~"),"*","~*"),"?","~?"),'DEF_SELF_SCOUT_IMPORT'!$Q$42:$Q$1040,SUBSTITUTE(SUBSTITUTE(SUBSTITUTE($M78,"~","~~"),"*","~*"),"?","~?")))</f>
        <v>5.0</v>
      </c>
      <c r="G78" s="10">
        <f>IF($C78=0,"",COUNTIFS('DEF_SELF_SCOUT_IMPORT'!$L$42:$L$1040,"Y",'DEF_SELF_SCOUT_IMPORT'!$E$42:$E$1040,SUBSTITUTE(SUBSTITUTE(SUBSTITUTE($B78,"~","~~"),"*","~*"),"?","~?"),'DEF_SELF_SCOUT_IMPORT'!$Q$42:$Q$1040,SUBSTITUTE(SUBSTITUTE(SUBSTITUTE($M78,"~","~~"),"*","~*"),"?","~?"),'DEF_SELF_SCOUT_IMPORT'!$H$42:$H$1040,"RUSH")/$C78)</f>
        <v>1.0</v>
      </c>
      <c r="H78" s="10">
        <f>IF($C78=0,"",COUNTIFS('DEF_SELF_SCOUT_IMPORT'!$L$42:$L$1040,"Y",'DEF_SELF_SCOUT_IMPORT'!$E$42:$E$1040,SUBSTITUTE(SUBSTITUTE(SUBSTITUTE($B78,"~","~~"),"*","~*"),"?","~?"),'DEF_SELF_SCOUT_IMPORT'!$Q$42:$Q$1040,SUBSTITUTE(SUBSTITUTE(SUBSTITUTE($M78,"~","~~"),"*","~*"),"?","~?"),'DEF_SELF_SCOUT_IMPORT'!$H$42:$H$1040,"DROPBACK")/$C78)</f>
        <v>0.0</v>
      </c>
      <c r="I78" s="14" t="str">
        <f>IF(C78=0,"",IF(C78&lt;=2,"TRACK",IF(C78=3,"LOW",IF(C78&lt;=6,"MEDIUM","HIGH"))))</f>
        <v>TRACK</v>
      </c>
      <c r="J78" s="11">
        <f>IF(C78=0,"",ROUND(D78*70+(1-E78)*20+MAX(0,MIN(1,(10-F78)/10))*10,1))</f>
        <v>25.0</v>
      </c>
      <c r="K78" s="14" t="str">
        <f>IF(C78=0,"No Evidence",IF(C78&lt;=2,IF(E78&gt;0,"Explosive Alert","Track Only"),IF(C78=3,"Sample Watch",IF(E78&gt;=START_HERE!$B$31,"Explosive Alert",IF(J78&gt;=80,"Strong Candidate",IF(J78&gt;=65,"Good Candidate",IF(J78&gt;=50,"Mixed / Review","Problem Call")))))))</f>
        <v>Track Only</v>
      </c>
      <c r="L78" s="9" t="str">
        <f>IF(COUNTIFS('DEF_SELF_SCOUT_IMPORT'!$L$42:$L$1040,"Y",'DEF_SELF_SCOUT_IMPORT'!$E$42:$E$1040,SUBSTITUTE(SUBSTITUTE(SUBSTITUTE($B78,"~","~~"),"*","~*"),"?","~?"),'DEF_SELF_SCOUT_IMPORT'!$Q$42:$Q$1040,SUBSTITUTE(SUBSTITUTE(SUBSTITUTE($M78,"~","~~"),"*","~*"),"?","~?"),'DEF_SELF_SCOUT_IMPORT'!$J$42:$J$1040,"")&gt;0,"Unscored clean outcome; review result tags before using score.",IF(C78=0,"No matching defensive reps; film confirmation needed.",IF(K78="Explosive Alert","Explosive risk; review clips before using as answer.",IF(C78&lt;=2,"Track only; not enough sample.",IF(C78=3,IF(E78&gt;0,"Sample watch with explosive exposure; review clips and build the sample.",IF(J78&gt;=65,"Good signal, but sample is limited.","Sample watch; review clips and build the sample.")),IF(K78="Problem Call","Problem area; practice or call-sheet review.",IF(K78="Strong Candidate","Strong call-fit candidate; confirm on film.",IF(K78="Good Candidate","Good call-fit signal; confirm on film.","Mixed signal; review fit and execution on film."))))))))</f>
        <v>Track only; not enough sample.</v>
      </c>
      <c r="M78" s="8" t="s">
        <v>82</v>
      </c>
      <c r="N78" s="8"/>
      <c r="O78" s="8"/>
      <c r="P78" s="8"/>
      <c r="Q78" s="8"/>
      <c r="R78" s="8" t="s">
        <v>28</v>
      </c>
      <c r="S78" s="2" t="s">
        <v>83</v>
      </c>
      <c r="T78" s="2">
        <f>IF(C78=0,0,IF(C78&gt;=CALL_LOOKUP_BOARD!$B$7,IF(OR(K78="Problem Call",K78="Explosive Alert"),10000000,20000000),0)+IF(C78&gt;=CALL_LOOKUP_BOARD!$B$7,J78*1000+MIN(C78,999),C78*1000+J78)+0.00993100)</f>
        <v>1025.009931</v>
      </c>
      <c r="U78" s="2">
        <f>IF(C78=0,"",IF(COUNTIFS($S$10:$S$178,SUBSTITUTE(SUBSTITUTE(SUBSTITUTE(S78,"~","~~"),"*","~*"),"?","~?"),$T$10:$T$178,"&gt;"&amp;T78)=0,S78,""))</f>
        <v/>
      </c>
    </row>
    <row r="79" spans="1:21" ht="38" customHeight="1">
      <c r="A79" s="8" t="s">
        <v>82</v>
      </c>
      <c r="B79" s="8" t="s">
        <v>35</v>
      </c>
      <c r="C79" s="12">
        <f>COUNTIFS('DEF_SELF_SCOUT_IMPORT'!$L$42:$L$1040,"Y",'DEF_SELF_SCOUT_IMPORT'!$E$42:$E$1040,SUBSTITUTE(SUBSTITUTE(SUBSTITUTE($B79,"~","~~"),"*","~*"),"?","~?"),'DEF_SELF_SCOUT_IMPORT'!$Q$42:$Q$1040,SUBSTITUTE(SUBSTITUTE(SUBSTITUTE($M79,"~","~~"),"*","~*"),"?","~?"))</f>
        <v>2</v>
      </c>
      <c r="D79" s="10">
        <f>IF($C79=0,"",SUMIFS('DEF_SELF_SCOUT_IMPORT'!$J$42:$J$1040,'DEF_SELF_SCOUT_IMPORT'!$L$42:$L$1040,"Y",'DEF_SELF_SCOUT_IMPORT'!$E$42:$E$1040,SUBSTITUTE(SUBSTITUTE(SUBSTITUTE($B79,"~","~~"),"*","~*"),"?","~?"),'DEF_SELF_SCOUT_IMPORT'!$Q$42:$Q$1040,SUBSTITUTE(SUBSTITUTE(SUBSTITUTE($M79,"~","~~"),"*","~*"),"?","~?"))/$C79)</f>
        <v>1.0</v>
      </c>
      <c r="E79" s="10">
        <f>IF($C79=0,"",SUMIFS('DEF_SELF_SCOUT_IMPORT'!$K$42:$K$1040,'DEF_SELF_SCOUT_IMPORT'!$L$42:$L$1040,"Y",'DEF_SELF_SCOUT_IMPORT'!$E$42:$E$1040,SUBSTITUTE(SUBSTITUTE(SUBSTITUTE($B79,"~","~~"),"*","~*"),"?","~?"),'DEF_SELF_SCOUT_IMPORT'!$Q$42:$Q$1040,SUBSTITUTE(SUBSTITUTE(SUBSTITUTE($M79,"~","~~"),"*","~*"),"?","~?"))/$C79)</f>
        <v>0.0</v>
      </c>
      <c r="F79" s="11">
        <f>IF($C79=0,"",AVERAGEIFS('DEF_SELF_SCOUT_IMPORT'!$I$42:$I$1040,'DEF_SELF_SCOUT_IMPORT'!$L$42:$L$1040,"Y",'DEF_SELF_SCOUT_IMPORT'!$E$42:$E$1040,SUBSTITUTE(SUBSTITUTE(SUBSTITUTE($B79,"~","~~"),"*","~*"),"?","~?"),'DEF_SELF_SCOUT_IMPORT'!$Q$42:$Q$1040,SUBSTITUTE(SUBSTITUTE(SUBSTITUTE($M79,"~","~~"),"*","~*"),"?","~?")))</f>
        <v>0.5</v>
      </c>
      <c r="G79" s="10">
        <f>IF($C79=0,"",COUNTIFS('DEF_SELF_SCOUT_IMPORT'!$L$42:$L$1040,"Y",'DEF_SELF_SCOUT_IMPORT'!$E$42:$E$1040,SUBSTITUTE(SUBSTITUTE(SUBSTITUTE($B79,"~","~~"),"*","~*"),"?","~?"),'DEF_SELF_SCOUT_IMPORT'!$Q$42:$Q$1040,SUBSTITUTE(SUBSTITUTE(SUBSTITUTE($M79,"~","~~"),"*","~*"),"?","~?"),'DEF_SELF_SCOUT_IMPORT'!$H$42:$H$1040,"RUSH")/$C79)</f>
        <v>0.5</v>
      </c>
      <c r="H79" s="10">
        <f>IF($C79=0,"",COUNTIFS('DEF_SELF_SCOUT_IMPORT'!$L$42:$L$1040,"Y",'DEF_SELF_SCOUT_IMPORT'!$E$42:$E$1040,SUBSTITUTE(SUBSTITUTE(SUBSTITUTE($B79,"~","~~"),"*","~*"),"?","~?"),'DEF_SELF_SCOUT_IMPORT'!$Q$42:$Q$1040,SUBSTITUTE(SUBSTITUTE(SUBSTITUTE($M79,"~","~~"),"*","~*"),"?","~?"),'DEF_SELF_SCOUT_IMPORT'!$H$42:$H$1040,"DROPBACK")/$C79)</f>
        <v>0.5</v>
      </c>
      <c r="I79" s="14" t="str">
        <f>IF(C79=0,"",IF(C79&lt;=2,"TRACK",IF(C79=3,"LOW",IF(C79&lt;=6,"MEDIUM","HIGH"))))</f>
        <v>TRACK</v>
      </c>
      <c r="J79" s="11">
        <f>IF(C79=0,"",ROUND(D79*70+(1-E79)*20+MAX(0,MIN(1,(10-F79)/10))*10,1))</f>
        <v>99.5</v>
      </c>
      <c r="K79" s="14" t="str">
        <f>IF(C79=0,"No Evidence",IF(C79&lt;=2,IF(E79&gt;0,"Explosive Alert","Track Only"),IF(C79=3,"Sample Watch",IF(E79&gt;=START_HERE!$B$31,"Explosive Alert",IF(J79&gt;=80,"Strong Candidate",IF(J79&gt;=65,"Good Candidate",IF(J79&gt;=50,"Mixed / Review","Problem Call")))))))</f>
        <v>Track Only</v>
      </c>
      <c r="L79" s="9" t="str">
        <f>IF(COUNTIFS('DEF_SELF_SCOUT_IMPORT'!$L$42:$L$1040,"Y",'DEF_SELF_SCOUT_IMPORT'!$E$42:$E$1040,SUBSTITUTE(SUBSTITUTE(SUBSTITUTE($B79,"~","~~"),"*","~*"),"?","~?"),'DEF_SELF_SCOUT_IMPORT'!$Q$42:$Q$1040,SUBSTITUTE(SUBSTITUTE(SUBSTITUTE($M79,"~","~~"),"*","~*"),"?","~?"),'DEF_SELF_SCOUT_IMPORT'!$J$42:$J$1040,"")&gt;0,"Unscored clean outcome; review result tags before using score.",IF(C79=0,"No matching defensive reps; film confirmation needed.",IF(K79="Explosive Alert","Explosive risk; review clips before using as answer.",IF(C79&lt;=2,"Track only; not enough sample.",IF(C79=3,IF(E79&gt;0,"Sample watch with explosive exposure; review clips and build the sample.",IF(J79&gt;=65,"Good signal, but sample is limited.","Sample watch; review clips and build the sample.")),IF(K79="Problem Call","Problem area; practice or call-sheet review.",IF(K79="Strong Candidate","Strong call-fit candidate; confirm on film.",IF(K79="Good Candidate","Good call-fit signal; confirm on film.","Mixed signal; review fit and execution on film."))))))))</f>
        <v>Track only; not enough sample.</v>
      </c>
      <c r="M79" s="8" t="s">
        <v>82</v>
      </c>
      <c r="N79" s="8"/>
      <c r="O79" s="8"/>
      <c r="P79" s="8"/>
      <c r="Q79" s="8"/>
      <c r="R79" s="8" t="s">
        <v>28</v>
      </c>
      <c r="S79" s="2" t="s">
        <v>83</v>
      </c>
      <c r="T79" s="2">
        <f>IF(C79=0,0,IF(C79&gt;=CALL_LOOKUP_BOARD!$B$7,IF(OR(K79="Problem Call",K79="Explosive Alert"),10000000,20000000),0)+IF(C79&gt;=CALL_LOOKUP_BOARD!$B$7,J79*1000+MIN(C79,999),C79*1000+J79)+0.00993000)</f>
        <v>2099.50993</v>
      </c>
      <c r="U79" s="2">
        <f>IF(C79=0,"",IF(COUNTIFS($S$10:$S$178,SUBSTITUTE(SUBSTITUTE(SUBSTITUTE(S79,"~","~~"),"*","~*"),"?","~?"),$T$10:$T$178,"&gt;"&amp;T79)=0,S79,""))</f>
        <v/>
      </c>
    </row>
    <row r="80" spans="1:21" ht="38" customHeight="1">
      <c r="A80" s="8" t="s">
        <v>82</v>
      </c>
      <c r="B80" s="8" t="s">
        <v>60</v>
      </c>
      <c r="C80" s="12">
        <f>COUNTIFS('DEF_SELF_SCOUT_IMPORT'!$L$42:$L$1040,"Y",'DEF_SELF_SCOUT_IMPORT'!$E$42:$E$1040,SUBSTITUTE(SUBSTITUTE(SUBSTITUTE($B80,"~","~~"),"*","~*"),"?","~?"),'DEF_SELF_SCOUT_IMPORT'!$Q$42:$Q$1040,SUBSTITUTE(SUBSTITUTE(SUBSTITUTE($M80,"~","~~"),"*","~*"),"?","~?"))</f>
        <v>2</v>
      </c>
      <c r="D80" s="10">
        <f>IF($C80=0,"",SUMIFS('DEF_SELF_SCOUT_IMPORT'!$J$42:$J$1040,'DEF_SELF_SCOUT_IMPORT'!$L$42:$L$1040,"Y",'DEF_SELF_SCOUT_IMPORT'!$E$42:$E$1040,SUBSTITUTE(SUBSTITUTE(SUBSTITUTE($B80,"~","~~"),"*","~*"),"?","~?"),'DEF_SELF_SCOUT_IMPORT'!$Q$42:$Q$1040,SUBSTITUTE(SUBSTITUTE(SUBSTITUTE($M80,"~","~~"),"*","~*"),"?","~?"))/$C80)</f>
        <v>0.0</v>
      </c>
      <c r="E80" s="10">
        <f>IF($C80=0,"",SUMIFS('DEF_SELF_SCOUT_IMPORT'!$K$42:$K$1040,'DEF_SELF_SCOUT_IMPORT'!$L$42:$L$1040,"Y",'DEF_SELF_SCOUT_IMPORT'!$E$42:$E$1040,SUBSTITUTE(SUBSTITUTE(SUBSTITUTE($B80,"~","~~"),"*","~*"),"?","~?"),'DEF_SELF_SCOUT_IMPORT'!$Q$42:$Q$1040,SUBSTITUTE(SUBSTITUTE(SUBSTITUTE($M80,"~","~~"),"*","~*"),"?","~?"))/$C80)</f>
        <v>0.5</v>
      </c>
      <c r="F80" s="11">
        <f>IF($C80=0,"",AVERAGEIFS('DEF_SELF_SCOUT_IMPORT'!$I$42:$I$1040,'DEF_SELF_SCOUT_IMPORT'!$L$42:$L$1040,"Y",'DEF_SELF_SCOUT_IMPORT'!$E$42:$E$1040,SUBSTITUTE(SUBSTITUTE(SUBSTITUTE($B80,"~","~~"),"*","~*"),"?","~?"),'DEF_SELF_SCOUT_IMPORT'!$Q$42:$Q$1040,SUBSTITUTE(SUBSTITUTE(SUBSTITUTE($M80,"~","~~"),"*","~*"),"?","~?")))</f>
        <v>14.0</v>
      </c>
      <c r="G80" s="10">
        <f>IF($C80=0,"",COUNTIFS('DEF_SELF_SCOUT_IMPORT'!$L$42:$L$1040,"Y",'DEF_SELF_SCOUT_IMPORT'!$E$42:$E$1040,SUBSTITUTE(SUBSTITUTE(SUBSTITUTE($B80,"~","~~"),"*","~*"),"?","~?"),'DEF_SELF_SCOUT_IMPORT'!$Q$42:$Q$1040,SUBSTITUTE(SUBSTITUTE(SUBSTITUTE($M80,"~","~~"),"*","~*"),"?","~?"),'DEF_SELF_SCOUT_IMPORT'!$H$42:$H$1040,"RUSH")/$C80)</f>
        <v>0.5</v>
      </c>
      <c r="H80" s="10">
        <f>IF($C80=0,"",COUNTIFS('DEF_SELF_SCOUT_IMPORT'!$L$42:$L$1040,"Y",'DEF_SELF_SCOUT_IMPORT'!$E$42:$E$1040,SUBSTITUTE(SUBSTITUTE(SUBSTITUTE($B80,"~","~~"),"*","~*"),"?","~?"),'DEF_SELF_SCOUT_IMPORT'!$Q$42:$Q$1040,SUBSTITUTE(SUBSTITUTE(SUBSTITUTE($M80,"~","~~"),"*","~*"),"?","~?"),'DEF_SELF_SCOUT_IMPORT'!$H$42:$H$1040,"DROPBACK")/$C80)</f>
        <v>0.5</v>
      </c>
      <c r="I80" s="14" t="str">
        <f>IF(C80=0,"",IF(C80&lt;=2,"TRACK",IF(C80=3,"LOW",IF(C80&lt;=6,"MEDIUM","HIGH"))))</f>
        <v>TRACK</v>
      </c>
      <c r="J80" s="11">
        <f>IF(C80=0,"",ROUND(D80*70+(1-E80)*20+MAX(0,MIN(1,(10-F80)/10))*10,1))</f>
        <v>10.0</v>
      </c>
      <c r="K80" s="14" t="str">
        <f>IF(C80=0,"No Evidence",IF(C80&lt;=2,IF(E80&gt;0,"Explosive Alert","Track Only"),IF(C80=3,"Sample Watch",IF(E80&gt;=START_HERE!$B$31,"Explosive Alert",IF(J80&gt;=80,"Strong Candidate",IF(J80&gt;=65,"Good Candidate",IF(J80&gt;=50,"Mixed / Review","Problem Call")))))))</f>
        <v>Explosive Alert</v>
      </c>
      <c r="L80" s="9" t="str">
        <f>IF(COUNTIFS('DEF_SELF_SCOUT_IMPORT'!$L$42:$L$1040,"Y",'DEF_SELF_SCOUT_IMPORT'!$E$42:$E$1040,SUBSTITUTE(SUBSTITUTE(SUBSTITUTE($B80,"~","~~"),"*","~*"),"?","~?"),'DEF_SELF_SCOUT_IMPORT'!$Q$42:$Q$1040,SUBSTITUTE(SUBSTITUTE(SUBSTITUTE($M80,"~","~~"),"*","~*"),"?","~?"),'DEF_SELF_SCOUT_IMPORT'!$J$42:$J$1040,"")&gt;0,"Unscored clean outcome; review result tags before using score.",IF(C80=0,"No matching defensive reps; film confirmation needed.",IF(K80="Explosive Alert","Explosive risk; review clips before using as answer.",IF(C80&lt;=2,"Track only; not enough sample.",IF(C80=3,IF(E80&gt;0,"Sample watch with explosive exposure; review clips and build the sample.",IF(J80&gt;=65,"Good signal, but sample is limited.","Sample watch; review clips and build the sample.")),IF(K80="Problem Call","Problem area; practice or call-sheet review.",IF(K80="Strong Candidate","Strong call-fit candidate; confirm on film.",IF(K80="Good Candidate","Good call-fit signal; confirm on film.","Mixed signal; review fit and execution on film."))))))))</f>
        <v>Explosive risk; review clips before using as answer.</v>
      </c>
      <c r="M80" s="8" t="s">
        <v>82</v>
      </c>
      <c r="N80" s="8"/>
      <c r="O80" s="8"/>
      <c r="P80" s="8"/>
      <c r="Q80" s="8"/>
      <c r="R80" s="8" t="s">
        <v>28</v>
      </c>
      <c r="S80" s="2" t="s">
        <v>83</v>
      </c>
      <c r="T80" s="2">
        <f>IF(C80=0,0,IF(C80&gt;=CALL_LOOKUP_BOARD!$B$7,IF(OR(K80="Problem Call",K80="Explosive Alert"),10000000,20000000),0)+IF(C80&gt;=CALL_LOOKUP_BOARD!$B$7,J80*1000+MIN(C80,999),C80*1000+J80)+0.00992900)</f>
        <v>2010.009929</v>
      </c>
      <c r="U80" s="2">
        <f>IF(C80=0,"",IF(COUNTIFS($S$10:$S$178,SUBSTITUTE(SUBSTITUTE(SUBSTITUTE(S80,"~","~~"),"*","~*"),"?","~?"),$T$10:$T$178,"&gt;"&amp;T80)=0,S80,""))</f>
        <v/>
      </c>
    </row>
    <row r="81" spans="1:21" ht="38" customHeight="1">
      <c r="A81" s="8" t="s">
        <v>82</v>
      </c>
      <c r="B81" s="8" t="s">
        <v>61</v>
      </c>
      <c r="C81" s="12">
        <f>COUNTIFS('DEF_SELF_SCOUT_IMPORT'!$L$42:$L$1040,"Y",'DEF_SELF_SCOUT_IMPORT'!$E$42:$E$1040,SUBSTITUTE(SUBSTITUTE(SUBSTITUTE($B81,"~","~~"),"*","~*"),"?","~?"),'DEF_SELF_SCOUT_IMPORT'!$Q$42:$Q$1040,SUBSTITUTE(SUBSTITUTE(SUBSTITUTE($M81,"~","~~"),"*","~*"),"?","~?"))</f>
        <v>1</v>
      </c>
      <c r="D81" s="10">
        <f>IF($C81=0,"",SUMIFS('DEF_SELF_SCOUT_IMPORT'!$J$42:$J$1040,'DEF_SELF_SCOUT_IMPORT'!$L$42:$L$1040,"Y",'DEF_SELF_SCOUT_IMPORT'!$E$42:$E$1040,SUBSTITUTE(SUBSTITUTE(SUBSTITUTE($B81,"~","~~"),"*","~*"),"?","~?"),'DEF_SELF_SCOUT_IMPORT'!$Q$42:$Q$1040,SUBSTITUTE(SUBSTITUTE(SUBSTITUTE($M81,"~","~~"),"*","~*"),"?","~?"))/$C81)</f>
        <v>0.0</v>
      </c>
      <c r="E81" s="10">
        <f>IF($C81=0,"",SUMIFS('DEF_SELF_SCOUT_IMPORT'!$K$42:$K$1040,'DEF_SELF_SCOUT_IMPORT'!$L$42:$L$1040,"Y",'DEF_SELF_SCOUT_IMPORT'!$E$42:$E$1040,SUBSTITUTE(SUBSTITUTE(SUBSTITUTE($B81,"~","~~"),"*","~*"),"?","~?"),'DEF_SELF_SCOUT_IMPORT'!$Q$42:$Q$1040,SUBSTITUTE(SUBSTITUTE(SUBSTITUTE($M81,"~","~~"),"*","~*"),"?","~?"))/$C81)</f>
        <v>0.0</v>
      </c>
      <c r="F81" s="11">
        <f>IF($C81=0,"",AVERAGEIFS('DEF_SELF_SCOUT_IMPORT'!$I$42:$I$1040,'DEF_SELF_SCOUT_IMPORT'!$L$42:$L$1040,"Y",'DEF_SELF_SCOUT_IMPORT'!$E$42:$E$1040,SUBSTITUTE(SUBSTITUTE(SUBSTITUTE($B81,"~","~~"),"*","~*"),"?","~?"),'DEF_SELF_SCOUT_IMPORT'!$Q$42:$Q$1040,SUBSTITUTE(SUBSTITUTE(SUBSTITUTE($M81,"~","~~"),"*","~*"),"?","~?")))</f>
        <v>11.0</v>
      </c>
      <c r="G81" s="10">
        <f>IF($C81=0,"",COUNTIFS('DEF_SELF_SCOUT_IMPORT'!$L$42:$L$1040,"Y",'DEF_SELF_SCOUT_IMPORT'!$E$42:$E$1040,SUBSTITUTE(SUBSTITUTE(SUBSTITUTE($B81,"~","~~"),"*","~*"),"?","~?"),'DEF_SELF_SCOUT_IMPORT'!$Q$42:$Q$1040,SUBSTITUTE(SUBSTITUTE(SUBSTITUTE($M81,"~","~~"),"*","~*"),"?","~?"),'DEF_SELF_SCOUT_IMPORT'!$H$42:$H$1040,"RUSH")/$C81)</f>
        <v>0.0</v>
      </c>
      <c r="H81" s="10">
        <f>IF($C81=0,"",COUNTIFS('DEF_SELF_SCOUT_IMPORT'!$L$42:$L$1040,"Y",'DEF_SELF_SCOUT_IMPORT'!$E$42:$E$1040,SUBSTITUTE(SUBSTITUTE(SUBSTITUTE($B81,"~","~~"),"*","~*"),"?","~?"),'DEF_SELF_SCOUT_IMPORT'!$Q$42:$Q$1040,SUBSTITUTE(SUBSTITUTE(SUBSTITUTE($M81,"~","~~"),"*","~*"),"?","~?"),'DEF_SELF_SCOUT_IMPORT'!$H$42:$H$1040,"DROPBACK")/$C81)</f>
        <v>1.0</v>
      </c>
      <c r="I81" s="14" t="str">
        <f>IF(C81=0,"",IF(C81&lt;=2,"TRACK",IF(C81=3,"LOW",IF(C81&lt;=6,"MEDIUM","HIGH"))))</f>
        <v>TRACK</v>
      </c>
      <c r="J81" s="11">
        <f>IF(C81=0,"",ROUND(D81*70+(1-E81)*20+MAX(0,MIN(1,(10-F81)/10))*10,1))</f>
        <v>20.0</v>
      </c>
      <c r="K81" s="14" t="str">
        <f>IF(C81=0,"No Evidence",IF(C81&lt;=2,IF(E81&gt;0,"Explosive Alert","Track Only"),IF(C81=3,"Sample Watch",IF(E81&gt;=START_HERE!$B$31,"Explosive Alert",IF(J81&gt;=80,"Strong Candidate",IF(J81&gt;=65,"Good Candidate",IF(J81&gt;=50,"Mixed / Review","Problem Call")))))))</f>
        <v>Track Only</v>
      </c>
      <c r="L81" s="9" t="str">
        <f>IF(COUNTIFS('DEF_SELF_SCOUT_IMPORT'!$L$42:$L$1040,"Y",'DEF_SELF_SCOUT_IMPORT'!$E$42:$E$1040,SUBSTITUTE(SUBSTITUTE(SUBSTITUTE($B81,"~","~~"),"*","~*"),"?","~?"),'DEF_SELF_SCOUT_IMPORT'!$Q$42:$Q$1040,SUBSTITUTE(SUBSTITUTE(SUBSTITUTE($M81,"~","~~"),"*","~*"),"?","~?"),'DEF_SELF_SCOUT_IMPORT'!$J$42:$J$1040,"")&gt;0,"Unscored clean outcome; review result tags before using score.",IF(C81=0,"No matching defensive reps; film confirmation needed.",IF(K81="Explosive Alert","Explosive risk; review clips before using as answer.",IF(C81&lt;=2,"Track only; not enough sample.",IF(C81=3,IF(E81&gt;0,"Sample watch with explosive exposure; review clips and build the sample.",IF(J81&gt;=65,"Good signal, but sample is limited.","Sample watch; review clips and build the sample.")),IF(K81="Problem Call","Problem area; practice or call-sheet review.",IF(K81="Strong Candidate","Strong call-fit candidate; confirm on film.",IF(K81="Good Candidate","Good call-fit signal; confirm on film.","Mixed signal; review fit and execution on film."))))))))</f>
        <v>Track only; not enough sample.</v>
      </c>
      <c r="M81" s="8" t="s">
        <v>82</v>
      </c>
      <c r="N81" s="8"/>
      <c r="O81" s="8"/>
      <c r="P81" s="8"/>
      <c r="Q81" s="8"/>
      <c r="R81" s="8" t="s">
        <v>28</v>
      </c>
      <c r="S81" s="2" t="s">
        <v>83</v>
      </c>
      <c r="T81" s="2">
        <f>IF(C81=0,0,IF(C81&gt;=CALL_LOOKUP_BOARD!$B$7,IF(OR(K81="Problem Call",K81="Explosive Alert"),10000000,20000000),0)+IF(C81&gt;=CALL_LOOKUP_BOARD!$B$7,J81*1000+MIN(C81,999),C81*1000+J81)+0.00992800)</f>
        <v>1020.009928</v>
      </c>
      <c r="U81" s="2">
        <f>IF(C81=0,"",IF(COUNTIFS($S$10:$S$178,SUBSTITUTE(SUBSTITUTE(SUBSTITUTE(S81,"~","~~"),"*","~*"),"?","~?"),$T$10:$T$178,"&gt;"&amp;T81)=0,S81,""))</f>
        <v/>
      </c>
    </row>
    <row r="82" spans="1:21" ht="38" customHeight="1">
      <c r="A82" s="8" t="s">
        <v>82</v>
      </c>
      <c r="B82" s="8" t="s">
        <v>84</v>
      </c>
      <c r="C82" s="12">
        <f>COUNTIFS('DEF_SELF_SCOUT_IMPORT'!$L$42:$L$1040,"Y",'DEF_SELF_SCOUT_IMPORT'!$E$42:$E$1040,SUBSTITUTE(SUBSTITUTE(SUBSTITUTE($B82,"~","~~"),"*","~*"),"?","~?"),'DEF_SELF_SCOUT_IMPORT'!$Q$42:$Q$1040,SUBSTITUTE(SUBSTITUTE(SUBSTITUTE($M82,"~","~~"),"*","~*"),"?","~?"))</f>
        <v>1</v>
      </c>
      <c r="D82" s="10">
        <f>IF($C82=0,"",SUMIFS('DEF_SELF_SCOUT_IMPORT'!$J$42:$J$1040,'DEF_SELF_SCOUT_IMPORT'!$L$42:$L$1040,"Y",'DEF_SELF_SCOUT_IMPORT'!$E$42:$E$1040,SUBSTITUTE(SUBSTITUTE(SUBSTITUTE($B82,"~","~~"),"*","~*"),"?","~?"),'DEF_SELF_SCOUT_IMPORT'!$Q$42:$Q$1040,SUBSTITUTE(SUBSTITUTE(SUBSTITUTE($M82,"~","~~"),"*","~*"),"?","~?"))/$C82)</f>
        <v>0.0</v>
      </c>
      <c r="E82" s="10">
        <f>IF($C82=0,"",SUMIFS('DEF_SELF_SCOUT_IMPORT'!$K$42:$K$1040,'DEF_SELF_SCOUT_IMPORT'!$L$42:$L$1040,"Y",'DEF_SELF_SCOUT_IMPORT'!$E$42:$E$1040,SUBSTITUTE(SUBSTITUTE(SUBSTITUTE($B82,"~","~~"),"*","~*"),"?","~?"),'DEF_SELF_SCOUT_IMPORT'!$Q$42:$Q$1040,SUBSTITUTE(SUBSTITUTE(SUBSTITUTE($M82,"~","~~"),"*","~*"),"?","~?"))/$C82)</f>
        <v>1.0</v>
      </c>
      <c r="F82" s="11">
        <f>IF($C82=0,"",AVERAGEIFS('DEF_SELF_SCOUT_IMPORT'!$I$42:$I$1040,'DEF_SELF_SCOUT_IMPORT'!$L$42:$L$1040,"Y",'DEF_SELF_SCOUT_IMPORT'!$E$42:$E$1040,SUBSTITUTE(SUBSTITUTE(SUBSTITUTE($B82,"~","~~"),"*","~*"),"?","~?"),'DEF_SELF_SCOUT_IMPORT'!$Q$42:$Q$1040,SUBSTITUTE(SUBSTITUTE(SUBSTITUTE($M82,"~","~~"),"*","~*"),"?","~?")))</f>
        <v>42.0</v>
      </c>
      <c r="G82" s="10">
        <f>IF($C82=0,"",COUNTIFS('DEF_SELF_SCOUT_IMPORT'!$L$42:$L$1040,"Y",'DEF_SELF_SCOUT_IMPORT'!$E$42:$E$1040,SUBSTITUTE(SUBSTITUTE(SUBSTITUTE($B82,"~","~~"),"*","~*"),"?","~?"),'DEF_SELF_SCOUT_IMPORT'!$Q$42:$Q$1040,SUBSTITUTE(SUBSTITUTE(SUBSTITUTE($M82,"~","~~"),"*","~*"),"?","~?"),'DEF_SELF_SCOUT_IMPORT'!$H$42:$H$1040,"RUSH")/$C82)</f>
        <v>0.0</v>
      </c>
      <c r="H82" s="10">
        <f>IF($C82=0,"",COUNTIFS('DEF_SELF_SCOUT_IMPORT'!$L$42:$L$1040,"Y",'DEF_SELF_SCOUT_IMPORT'!$E$42:$E$1040,SUBSTITUTE(SUBSTITUTE(SUBSTITUTE($B82,"~","~~"),"*","~*"),"?","~?"),'DEF_SELF_SCOUT_IMPORT'!$Q$42:$Q$1040,SUBSTITUTE(SUBSTITUTE(SUBSTITUTE($M82,"~","~~"),"*","~*"),"?","~?"),'DEF_SELF_SCOUT_IMPORT'!$H$42:$H$1040,"DROPBACK")/$C82)</f>
        <v>1.0</v>
      </c>
      <c r="I82" s="14" t="str">
        <f>IF(C82=0,"",IF(C82&lt;=2,"TRACK",IF(C82=3,"LOW",IF(C82&lt;=6,"MEDIUM","HIGH"))))</f>
        <v>TRACK</v>
      </c>
      <c r="J82" s="11">
        <f>IF(C82=0,"",ROUND(D82*70+(1-E82)*20+MAX(0,MIN(1,(10-F82)/10))*10,1))</f>
        <v>0.0</v>
      </c>
      <c r="K82" s="14" t="str">
        <f>IF(C82=0,"No Evidence",IF(C82&lt;=2,IF(E82&gt;0,"Explosive Alert","Track Only"),IF(C82=3,"Sample Watch",IF(E82&gt;=START_HERE!$B$31,"Explosive Alert",IF(J82&gt;=80,"Strong Candidate",IF(J82&gt;=65,"Good Candidate",IF(J82&gt;=50,"Mixed / Review","Problem Call")))))))</f>
        <v>Explosive Alert</v>
      </c>
      <c r="L82" s="9" t="str">
        <f>IF(COUNTIFS('DEF_SELF_SCOUT_IMPORT'!$L$42:$L$1040,"Y",'DEF_SELF_SCOUT_IMPORT'!$E$42:$E$1040,SUBSTITUTE(SUBSTITUTE(SUBSTITUTE($B82,"~","~~"),"*","~*"),"?","~?"),'DEF_SELF_SCOUT_IMPORT'!$Q$42:$Q$1040,SUBSTITUTE(SUBSTITUTE(SUBSTITUTE($M82,"~","~~"),"*","~*"),"?","~?"),'DEF_SELF_SCOUT_IMPORT'!$J$42:$J$1040,"")&gt;0,"Unscored clean outcome; review result tags before using score.",IF(C82=0,"No matching defensive reps; film confirmation needed.",IF(K82="Explosive Alert","Explosive risk; review clips before using as answer.",IF(C82&lt;=2,"Track only; not enough sample.",IF(C82=3,IF(E82&gt;0,"Sample watch with explosive exposure; review clips and build the sample.",IF(J82&gt;=65,"Good signal, but sample is limited.","Sample watch; review clips and build the sample.")),IF(K82="Problem Call","Problem area; practice or call-sheet review.",IF(K82="Strong Candidate","Strong call-fit candidate; confirm on film.",IF(K82="Good Candidate","Good call-fit signal; confirm on film.","Mixed signal; review fit and execution on film."))))))))</f>
        <v>Explosive risk; review clips before using as answer.</v>
      </c>
      <c r="M82" s="8" t="s">
        <v>82</v>
      </c>
      <c r="N82" s="8"/>
      <c r="O82" s="8"/>
      <c r="P82" s="8"/>
      <c r="Q82" s="8"/>
      <c r="R82" s="8" t="s">
        <v>28</v>
      </c>
      <c r="S82" s="2" t="s">
        <v>83</v>
      </c>
      <c r="T82" s="2">
        <f>IF(C82=0,0,IF(C82&gt;=CALL_LOOKUP_BOARD!$B$7,IF(OR(K82="Problem Call",K82="Explosive Alert"),10000000,20000000),0)+IF(C82&gt;=CALL_LOOKUP_BOARD!$B$7,J82*1000+MIN(C82,999),C82*1000+J82)+0.00992700)</f>
        <v>1000.009927</v>
      </c>
      <c r="U82" s="2">
        <f>IF(C82=0,"",IF(COUNTIFS($S$10:$S$178,SUBSTITUTE(SUBSTITUTE(SUBSTITUTE(S82,"~","~~"),"*","~*"),"?","~?"),$T$10:$T$178,"&gt;"&amp;T82)=0,S82,""))</f>
        <v/>
      </c>
    </row>
    <row r="83" spans="1:21" ht="38" customHeight="1">
      <c r="A83" s="8" t="s">
        <v>82</v>
      </c>
      <c r="B83" s="8" t="s">
        <v>68</v>
      </c>
      <c r="C83" s="12">
        <f>COUNTIFS('DEF_SELF_SCOUT_IMPORT'!$L$42:$L$1040,"Y",'DEF_SELF_SCOUT_IMPORT'!$E$42:$E$1040,SUBSTITUTE(SUBSTITUTE(SUBSTITUTE($B83,"~","~~"),"*","~*"),"?","~?"),'DEF_SELF_SCOUT_IMPORT'!$Q$42:$Q$1040,SUBSTITUTE(SUBSTITUTE(SUBSTITUTE($M83,"~","~~"),"*","~*"),"?","~?"))</f>
        <v>1</v>
      </c>
      <c r="D83" s="10">
        <f>IF($C83=0,"",SUMIFS('DEF_SELF_SCOUT_IMPORT'!$J$42:$J$1040,'DEF_SELF_SCOUT_IMPORT'!$L$42:$L$1040,"Y",'DEF_SELF_SCOUT_IMPORT'!$E$42:$E$1040,SUBSTITUTE(SUBSTITUTE(SUBSTITUTE($B83,"~","~~"),"*","~*"),"?","~?"),'DEF_SELF_SCOUT_IMPORT'!$Q$42:$Q$1040,SUBSTITUTE(SUBSTITUTE(SUBSTITUTE($M83,"~","~~"),"*","~*"),"?","~?"))/$C83)</f>
        <v>1.0</v>
      </c>
      <c r="E83" s="10">
        <f>IF($C83=0,"",SUMIFS('DEF_SELF_SCOUT_IMPORT'!$K$42:$K$1040,'DEF_SELF_SCOUT_IMPORT'!$L$42:$L$1040,"Y",'DEF_SELF_SCOUT_IMPORT'!$E$42:$E$1040,SUBSTITUTE(SUBSTITUTE(SUBSTITUTE($B83,"~","~~"),"*","~*"),"?","~?"),'DEF_SELF_SCOUT_IMPORT'!$Q$42:$Q$1040,SUBSTITUTE(SUBSTITUTE(SUBSTITUTE($M83,"~","~~"),"*","~*"),"?","~?"))/$C83)</f>
        <v>0.0</v>
      </c>
      <c r="F83" s="11">
        <f>IF($C83=0,"",AVERAGEIFS('DEF_SELF_SCOUT_IMPORT'!$I$42:$I$1040,'DEF_SELF_SCOUT_IMPORT'!$L$42:$L$1040,"Y",'DEF_SELF_SCOUT_IMPORT'!$E$42:$E$1040,SUBSTITUTE(SUBSTITUTE(SUBSTITUTE($B83,"~","~~"),"*","~*"),"?","~?"),'DEF_SELF_SCOUT_IMPORT'!$Q$42:$Q$1040,SUBSTITUTE(SUBSTITUTE(SUBSTITUTE($M83,"~","~~"),"*","~*"),"?","~?")))</f>
        <v>0.0</v>
      </c>
      <c r="G83" s="10">
        <f>IF($C83=0,"",COUNTIFS('DEF_SELF_SCOUT_IMPORT'!$L$42:$L$1040,"Y",'DEF_SELF_SCOUT_IMPORT'!$E$42:$E$1040,SUBSTITUTE(SUBSTITUTE(SUBSTITUTE($B83,"~","~~"),"*","~*"),"?","~?"),'DEF_SELF_SCOUT_IMPORT'!$Q$42:$Q$1040,SUBSTITUTE(SUBSTITUTE(SUBSTITUTE($M83,"~","~~"),"*","~*"),"?","~?"),'DEF_SELF_SCOUT_IMPORT'!$H$42:$H$1040,"RUSH")/$C83)</f>
        <v>0.0</v>
      </c>
      <c r="H83" s="10">
        <f>IF($C83=0,"",COUNTIFS('DEF_SELF_SCOUT_IMPORT'!$L$42:$L$1040,"Y",'DEF_SELF_SCOUT_IMPORT'!$E$42:$E$1040,SUBSTITUTE(SUBSTITUTE(SUBSTITUTE($B83,"~","~~"),"*","~*"),"?","~?"),'DEF_SELF_SCOUT_IMPORT'!$Q$42:$Q$1040,SUBSTITUTE(SUBSTITUTE(SUBSTITUTE($M83,"~","~~"),"*","~*"),"?","~?"),'DEF_SELF_SCOUT_IMPORT'!$H$42:$H$1040,"DROPBACK")/$C83)</f>
        <v>1.0</v>
      </c>
      <c r="I83" s="14" t="str">
        <f>IF(C83=0,"",IF(C83&lt;=2,"TRACK",IF(C83=3,"LOW",IF(C83&lt;=6,"MEDIUM","HIGH"))))</f>
        <v>TRACK</v>
      </c>
      <c r="J83" s="11">
        <f>IF(C83=0,"",ROUND(D83*70+(1-E83)*20+MAX(0,MIN(1,(10-F83)/10))*10,1))</f>
        <v>100.0</v>
      </c>
      <c r="K83" s="14" t="str">
        <f>IF(C83=0,"No Evidence",IF(C83&lt;=2,IF(E83&gt;0,"Explosive Alert","Track Only"),IF(C83=3,"Sample Watch",IF(E83&gt;=START_HERE!$B$31,"Explosive Alert",IF(J83&gt;=80,"Strong Candidate",IF(J83&gt;=65,"Good Candidate",IF(J83&gt;=50,"Mixed / Review","Problem Call")))))))</f>
        <v>Track Only</v>
      </c>
      <c r="L83" s="9" t="str">
        <f>IF(COUNTIFS('DEF_SELF_SCOUT_IMPORT'!$L$42:$L$1040,"Y",'DEF_SELF_SCOUT_IMPORT'!$E$42:$E$1040,SUBSTITUTE(SUBSTITUTE(SUBSTITUTE($B83,"~","~~"),"*","~*"),"?","~?"),'DEF_SELF_SCOUT_IMPORT'!$Q$42:$Q$1040,SUBSTITUTE(SUBSTITUTE(SUBSTITUTE($M83,"~","~~"),"*","~*"),"?","~?"),'DEF_SELF_SCOUT_IMPORT'!$J$42:$J$1040,"")&gt;0,"Unscored clean outcome; review result tags before using score.",IF(C83=0,"No matching defensive reps; film confirmation needed.",IF(K83="Explosive Alert","Explosive risk; review clips before using as answer.",IF(C83&lt;=2,"Track only; not enough sample.",IF(C83=3,IF(E83&gt;0,"Sample watch with explosive exposure; review clips and build the sample.",IF(J83&gt;=65,"Good signal, but sample is limited.","Sample watch; review clips and build the sample.")),IF(K83="Problem Call","Problem area; practice or call-sheet review.",IF(K83="Strong Candidate","Strong call-fit candidate; confirm on film.",IF(K83="Good Candidate","Good call-fit signal; confirm on film.","Mixed signal; review fit and execution on film."))))))))</f>
        <v>Track only; not enough sample.</v>
      </c>
      <c r="M83" s="8" t="s">
        <v>82</v>
      </c>
      <c r="N83" s="8"/>
      <c r="O83" s="8"/>
      <c r="P83" s="8"/>
      <c r="Q83" s="8"/>
      <c r="R83" s="8" t="s">
        <v>28</v>
      </c>
      <c r="S83" s="2" t="s">
        <v>83</v>
      </c>
      <c r="T83" s="2">
        <f>IF(C83=0,0,IF(C83&gt;=CALL_LOOKUP_BOARD!$B$7,IF(OR(K83="Problem Call",K83="Explosive Alert"),10000000,20000000),0)+IF(C83&gt;=CALL_LOOKUP_BOARD!$B$7,J83*1000+MIN(C83,999),C83*1000+J83)+0.00992600)</f>
        <v>1100.009926</v>
      </c>
      <c r="U83" s="2">
        <f>IF(C83=0,"",IF(COUNTIFS($S$10:$S$178,SUBSTITUTE(SUBSTITUTE(SUBSTITUTE(S83,"~","~~"),"*","~*"),"?","~?"),$T$10:$T$178,"&gt;"&amp;T83)=0,S83,""))</f>
        <v/>
      </c>
    </row>
    <row r="84" spans="1:21" ht="38" customHeight="1">
      <c r="A84" s="8" t="s">
        <v>82</v>
      </c>
      <c r="B84" s="8" t="s">
        <v>75</v>
      </c>
      <c r="C84" s="12">
        <f>COUNTIFS('DEF_SELF_SCOUT_IMPORT'!$L$42:$L$1040,"Y",'DEF_SELF_SCOUT_IMPORT'!$E$42:$E$1040,SUBSTITUTE(SUBSTITUTE(SUBSTITUTE($B84,"~","~~"),"*","~*"),"?","~?"),'DEF_SELF_SCOUT_IMPORT'!$Q$42:$Q$1040,SUBSTITUTE(SUBSTITUTE(SUBSTITUTE($M84,"~","~~"),"*","~*"),"?","~?"))</f>
        <v>1</v>
      </c>
      <c r="D84" s="10">
        <f>IF($C84=0,"",SUMIFS('DEF_SELF_SCOUT_IMPORT'!$J$42:$J$1040,'DEF_SELF_SCOUT_IMPORT'!$L$42:$L$1040,"Y",'DEF_SELF_SCOUT_IMPORT'!$E$42:$E$1040,SUBSTITUTE(SUBSTITUTE(SUBSTITUTE($B84,"~","~~"),"*","~*"),"?","~?"),'DEF_SELF_SCOUT_IMPORT'!$Q$42:$Q$1040,SUBSTITUTE(SUBSTITUTE(SUBSTITUTE($M84,"~","~~"),"*","~*"),"?","~?"))/$C84)</f>
        <v>0.0</v>
      </c>
      <c r="E84" s="10">
        <f>IF($C84=0,"",SUMIFS('DEF_SELF_SCOUT_IMPORT'!$K$42:$K$1040,'DEF_SELF_SCOUT_IMPORT'!$L$42:$L$1040,"Y",'DEF_SELF_SCOUT_IMPORT'!$E$42:$E$1040,SUBSTITUTE(SUBSTITUTE(SUBSTITUTE($B84,"~","~~"),"*","~*"),"?","~?"),'DEF_SELF_SCOUT_IMPORT'!$Q$42:$Q$1040,SUBSTITUTE(SUBSTITUTE(SUBSTITUTE($M84,"~","~~"),"*","~*"),"?","~?"))/$C84)</f>
        <v>0.0</v>
      </c>
      <c r="F84" s="11">
        <f>IF($C84=0,"",AVERAGEIFS('DEF_SELF_SCOUT_IMPORT'!$I$42:$I$1040,'DEF_SELF_SCOUT_IMPORT'!$L$42:$L$1040,"Y",'DEF_SELF_SCOUT_IMPORT'!$E$42:$E$1040,SUBSTITUTE(SUBSTITUTE(SUBSTITUTE($B84,"~","~~"),"*","~*"),"?","~?"),'DEF_SELF_SCOUT_IMPORT'!$Q$42:$Q$1040,SUBSTITUTE(SUBSTITUTE(SUBSTITUTE($M84,"~","~~"),"*","~*"),"?","~?")))</f>
        <v>7.0</v>
      </c>
      <c r="G84" s="10">
        <f>IF($C84=0,"",COUNTIFS('DEF_SELF_SCOUT_IMPORT'!$L$42:$L$1040,"Y",'DEF_SELF_SCOUT_IMPORT'!$E$42:$E$1040,SUBSTITUTE(SUBSTITUTE(SUBSTITUTE($B84,"~","~~"),"*","~*"),"?","~?"),'DEF_SELF_SCOUT_IMPORT'!$Q$42:$Q$1040,SUBSTITUTE(SUBSTITUTE(SUBSTITUTE($M84,"~","~~"),"*","~*"),"?","~?"),'DEF_SELF_SCOUT_IMPORT'!$H$42:$H$1040,"RUSH")/$C84)</f>
        <v>1.0</v>
      </c>
      <c r="H84" s="10">
        <f>IF($C84=0,"",COUNTIFS('DEF_SELF_SCOUT_IMPORT'!$L$42:$L$1040,"Y",'DEF_SELF_SCOUT_IMPORT'!$E$42:$E$1040,SUBSTITUTE(SUBSTITUTE(SUBSTITUTE($B84,"~","~~"),"*","~*"),"?","~?"),'DEF_SELF_SCOUT_IMPORT'!$Q$42:$Q$1040,SUBSTITUTE(SUBSTITUTE(SUBSTITUTE($M84,"~","~~"),"*","~*"),"?","~?"),'DEF_SELF_SCOUT_IMPORT'!$H$42:$H$1040,"DROPBACK")/$C84)</f>
        <v>0.0</v>
      </c>
      <c r="I84" s="14" t="str">
        <f>IF(C84=0,"",IF(C84&lt;=2,"TRACK",IF(C84=3,"LOW",IF(C84&lt;=6,"MEDIUM","HIGH"))))</f>
        <v>TRACK</v>
      </c>
      <c r="J84" s="11">
        <f>IF(C84=0,"",ROUND(D84*70+(1-E84)*20+MAX(0,MIN(1,(10-F84)/10))*10,1))</f>
        <v>23.0</v>
      </c>
      <c r="K84" s="14" t="str">
        <f>IF(C84=0,"No Evidence",IF(C84&lt;=2,IF(E84&gt;0,"Explosive Alert","Track Only"),IF(C84=3,"Sample Watch",IF(E84&gt;=START_HERE!$B$31,"Explosive Alert",IF(J84&gt;=80,"Strong Candidate",IF(J84&gt;=65,"Good Candidate",IF(J84&gt;=50,"Mixed / Review","Problem Call")))))))</f>
        <v>Track Only</v>
      </c>
      <c r="L84" s="9" t="str">
        <f>IF(COUNTIFS('DEF_SELF_SCOUT_IMPORT'!$L$42:$L$1040,"Y",'DEF_SELF_SCOUT_IMPORT'!$E$42:$E$1040,SUBSTITUTE(SUBSTITUTE(SUBSTITUTE($B84,"~","~~"),"*","~*"),"?","~?"),'DEF_SELF_SCOUT_IMPORT'!$Q$42:$Q$1040,SUBSTITUTE(SUBSTITUTE(SUBSTITUTE($M84,"~","~~"),"*","~*"),"?","~?"),'DEF_SELF_SCOUT_IMPORT'!$J$42:$J$1040,"")&gt;0,"Unscored clean outcome; review result tags before using score.",IF(C84=0,"No matching defensive reps; film confirmation needed.",IF(K84="Explosive Alert","Explosive risk; review clips before using as answer.",IF(C84&lt;=2,"Track only; not enough sample.",IF(C84=3,IF(E84&gt;0,"Sample watch with explosive exposure; review clips and build the sample.",IF(J84&gt;=65,"Good signal, but sample is limited.","Sample watch; review clips and build the sample.")),IF(K84="Problem Call","Problem area; practice or call-sheet review.",IF(K84="Strong Candidate","Strong call-fit candidate; confirm on film.",IF(K84="Good Candidate","Good call-fit signal; confirm on film.","Mixed signal; review fit and execution on film."))))))))</f>
        <v>Track only; not enough sample.</v>
      </c>
      <c r="M84" s="8" t="s">
        <v>82</v>
      </c>
      <c r="N84" s="8"/>
      <c r="O84" s="8"/>
      <c r="P84" s="8"/>
      <c r="Q84" s="8"/>
      <c r="R84" s="8" t="s">
        <v>28</v>
      </c>
      <c r="S84" s="2" t="s">
        <v>83</v>
      </c>
      <c r="T84" s="2">
        <f>IF(C84=0,0,IF(C84&gt;=CALL_LOOKUP_BOARD!$B$7,IF(OR(K84="Problem Call",K84="Explosive Alert"),10000000,20000000),0)+IF(C84&gt;=CALL_LOOKUP_BOARD!$B$7,J84*1000+MIN(C84,999),C84*1000+J84)+0.00992500)</f>
        <v>1023.009925</v>
      </c>
      <c r="U84" s="2">
        <f>IF(C84=0,"",IF(COUNTIFS($S$10:$S$178,SUBSTITUTE(SUBSTITUTE(SUBSTITUTE(S84,"~","~~"),"*","~*"),"?","~?"),$T$10:$T$178,"&gt;"&amp;T84)=0,S84,""))</f>
        <v/>
      </c>
    </row>
    <row r="85" spans="1:21" ht="38" customHeight="1">
      <c r="A85" s="8" t="s">
        <v>82</v>
      </c>
      <c r="B85" s="8" t="s">
        <v>69</v>
      </c>
      <c r="C85" s="12">
        <f>COUNTIFS('DEF_SELF_SCOUT_IMPORT'!$L$42:$L$1040,"Y",'DEF_SELF_SCOUT_IMPORT'!$E$42:$E$1040,SUBSTITUTE(SUBSTITUTE(SUBSTITUTE($B85,"~","~~"),"*","~*"),"?","~?"),'DEF_SELF_SCOUT_IMPORT'!$Q$42:$Q$1040,SUBSTITUTE(SUBSTITUTE(SUBSTITUTE($M85,"~","~~"),"*","~*"),"?","~?"))</f>
        <v>1</v>
      </c>
      <c r="D85" s="10">
        <f>IF($C85=0,"",SUMIFS('DEF_SELF_SCOUT_IMPORT'!$J$42:$J$1040,'DEF_SELF_SCOUT_IMPORT'!$L$42:$L$1040,"Y",'DEF_SELF_SCOUT_IMPORT'!$E$42:$E$1040,SUBSTITUTE(SUBSTITUTE(SUBSTITUTE($B85,"~","~~"),"*","~*"),"?","~?"),'DEF_SELF_SCOUT_IMPORT'!$Q$42:$Q$1040,SUBSTITUTE(SUBSTITUTE(SUBSTITUTE($M85,"~","~~"),"*","~*"),"?","~?"))/$C85)</f>
        <v>1.0</v>
      </c>
      <c r="E85" s="10">
        <f>IF($C85=0,"",SUMIFS('DEF_SELF_SCOUT_IMPORT'!$K$42:$K$1040,'DEF_SELF_SCOUT_IMPORT'!$L$42:$L$1040,"Y",'DEF_SELF_SCOUT_IMPORT'!$E$42:$E$1040,SUBSTITUTE(SUBSTITUTE(SUBSTITUTE($B85,"~","~~"),"*","~*"),"?","~?"),'DEF_SELF_SCOUT_IMPORT'!$Q$42:$Q$1040,SUBSTITUTE(SUBSTITUTE(SUBSTITUTE($M85,"~","~~"),"*","~*"),"?","~?"))/$C85)</f>
        <v>0.0</v>
      </c>
      <c r="F85" s="11">
        <f>IF($C85=0,"",AVERAGEIFS('DEF_SELF_SCOUT_IMPORT'!$I$42:$I$1040,'DEF_SELF_SCOUT_IMPORT'!$L$42:$L$1040,"Y",'DEF_SELF_SCOUT_IMPORT'!$E$42:$E$1040,SUBSTITUTE(SUBSTITUTE(SUBSTITUTE($B85,"~","~~"),"*","~*"),"?","~?"),'DEF_SELF_SCOUT_IMPORT'!$Q$42:$Q$1040,SUBSTITUTE(SUBSTITUTE(SUBSTITUTE($M85,"~","~~"),"*","~*"),"?","~?")))</f>
        <v>2.0</v>
      </c>
      <c r="G85" s="10">
        <f>IF($C85=0,"",COUNTIFS('DEF_SELF_SCOUT_IMPORT'!$L$42:$L$1040,"Y",'DEF_SELF_SCOUT_IMPORT'!$E$42:$E$1040,SUBSTITUTE(SUBSTITUTE(SUBSTITUTE($B85,"~","~~"),"*","~*"),"?","~?"),'DEF_SELF_SCOUT_IMPORT'!$Q$42:$Q$1040,SUBSTITUTE(SUBSTITUTE(SUBSTITUTE($M85,"~","~~"),"*","~*"),"?","~?"),'DEF_SELF_SCOUT_IMPORT'!$H$42:$H$1040,"RUSH")/$C85)</f>
        <v>1.0</v>
      </c>
      <c r="H85" s="10">
        <f>IF($C85=0,"",COUNTIFS('DEF_SELF_SCOUT_IMPORT'!$L$42:$L$1040,"Y",'DEF_SELF_SCOUT_IMPORT'!$E$42:$E$1040,SUBSTITUTE(SUBSTITUTE(SUBSTITUTE($B85,"~","~~"),"*","~*"),"?","~?"),'DEF_SELF_SCOUT_IMPORT'!$Q$42:$Q$1040,SUBSTITUTE(SUBSTITUTE(SUBSTITUTE($M85,"~","~~"),"*","~*"),"?","~?"),'DEF_SELF_SCOUT_IMPORT'!$H$42:$H$1040,"DROPBACK")/$C85)</f>
        <v>0.0</v>
      </c>
      <c r="I85" s="14" t="str">
        <f>IF(C85=0,"",IF(C85&lt;=2,"TRACK",IF(C85=3,"LOW",IF(C85&lt;=6,"MEDIUM","HIGH"))))</f>
        <v>TRACK</v>
      </c>
      <c r="J85" s="11">
        <f>IF(C85=0,"",ROUND(D85*70+(1-E85)*20+MAX(0,MIN(1,(10-F85)/10))*10,1))</f>
        <v>98.0</v>
      </c>
      <c r="K85" s="14" t="str">
        <f>IF(C85=0,"No Evidence",IF(C85&lt;=2,IF(E85&gt;0,"Explosive Alert","Track Only"),IF(C85=3,"Sample Watch",IF(E85&gt;=START_HERE!$B$31,"Explosive Alert",IF(J85&gt;=80,"Strong Candidate",IF(J85&gt;=65,"Good Candidate",IF(J85&gt;=50,"Mixed / Review","Problem Call")))))))</f>
        <v>Track Only</v>
      </c>
      <c r="L85" s="9" t="str">
        <f>IF(COUNTIFS('DEF_SELF_SCOUT_IMPORT'!$L$42:$L$1040,"Y",'DEF_SELF_SCOUT_IMPORT'!$E$42:$E$1040,SUBSTITUTE(SUBSTITUTE(SUBSTITUTE($B85,"~","~~"),"*","~*"),"?","~?"),'DEF_SELF_SCOUT_IMPORT'!$Q$42:$Q$1040,SUBSTITUTE(SUBSTITUTE(SUBSTITUTE($M85,"~","~~"),"*","~*"),"?","~?"),'DEF_SELF_SCOUT_IMPORT'!$J$42:$J$1040,"")&gt;0,"Unscored clean outcome; review result tags before using score.",IF(C85=0,"No matching defensive reps; film confirmation needed.",IF(K85="Explosive Alert","Explosive risk; review clips before using as answer.",IF(C85&lt;=2,"Track only; not enough sample.",IF(C85=3,IF(E85&gt;0,"Sample watch with explosive exposure; review clips and build the sample.",IF(J85&gt;=65,"Good signal, but sample is limited.","Sample watch; review clips and build the sample.")),IF(K85="Problem Call","Problem area; practice or call-sheet review.",IF(K85="Strong Candidate","Strong call-fit candidate; confirm on film.",IF(K85="Good Candidate","Good call-fit signal; confirm on film.","Mixed signal; review fit and execution on film."))))))))</f>
        <v>Track only; not enough sample.</v>
      </c>
      <c r="M85" s="8" t="s">
        <v>82</v>
      </c>
      <c r="N85" s="8"/>
      <c r="O85" s="8"/>
      <c r="P85" s="8"/>
      <c r="Q85" s="8"/>
      <c r="R85" s="8" t="s">
        <v>28</v>
      </c>
      <c r="S85" s="2" t="s">
        <v>83</v>
      </c>
      <c r="T85" s="2">
        <f>IF(C85=0,0,IF(C85&gt;=CALL_LOOKUP_BOARD!$B$7,IF(OR(K85="Problem Call",K85="Explosive Alert"),10000000,20000000),0)+IF(C85&gt;=CALL_LOOKUP_BOARD!$B$7,J85*1000+MIN(C85,999),C85*1000+J85)+0.00992400)</f>
        <v>1098.009924</v>
      </c>
      <c r="U85" s="2">
        <f>IF(C85=0,"",IF(COUNTIFS($S$10:$S$178,SUBSTITUTE(SUBSTITUTE(SUBSTITUTE(S85,"~","~~"),"*","~*"),"?","~?"),$T$10:$T$178,"&gt;"&amp;T85)=0,S85,""))</f>
        <v/>
      </c>
    </row>
    <row r="86" spans="1:21" ht="38" customHeight="1">
      <c r="A86" s="8" t="s">
        <v>85</v>
      </c>
      <c r="B86" s="8" t="s">
        <v>40</v>
      </c>
      <c r="C86" s="12">
        <f>COUNTIFS('DEF_SELF_SCOUT_IMPORT'!$L$42:$L$1040,"Y",'DEF_SELF_SCOUT_IMPORT'!$E$42:$E$1040,SUBSTITUTE(SUBSTITUTE(SUBSTITUTE($B86,"~","~~"),"*","~*"),"?","~?"),'DEF_SELF_SCOUT_IMPORT'!$Q$42:$Q$1040,SUBSTITUTE(SUBSTITUTE(SUBSTITUTE($M86,"~","~~"),"*","~*"),"?","~?"))</f>
        <v>1</v>
      </c>
      <c r="D86" s="10">
        <f>IF($C86=0,"",SUMIFS('DEF_SELF_SCOUT_IMPORT'!$J$42:$J$1040,'DEF_SELF_SCOUT_IMPORT'!$L$42:$L$1040,"Y",'DEF_SELF_SCOUT_IMPORT'!$E$42:$E$1040,SUBSTITUTE(SUBSTITUTE(SUBSTITUTE($B86,"~","~~"),"*","~*"),"?","~?"),'DEF_SELF_SCOUT_IMPORT'!$Q$42:$Q$1040,SUBSTITUTE(SUBSTITUTE(SUBSTITUTE($M86,"~","~~"),"*","~*"),"?","~?"))/$C86)</f>
        <v>0.0</v>
      </c>
      <c r="E86" s="10">
        <f>IF($C86=0,"",SUMIFS('DEF_SELF_SCOUT_IMPORT'!$K$42:$K$1040,'DEF_SELF_SCOUT_IMPORT'!$L$42:$L$1040,"Y",'DEF_SELF_SCOUT_IMPORT'!$E$42:$E$1040,SUBSTITUTE(SUBSTITUTE(SUBSTITUTE($B86,"~","~~"),"*","~*"),"?","~?"),'DEF_SELF_SCOUT_IMPORT'!$Q$42:$Q$1040,SUBSTITUTE(SUBSTITUTE(SUBSTITUTE($M86,"~","~~"),"*","~*"),"?","~?"))/$C86)</f>
        <v>0.0</v>
      </c>
      <c r="F86" s="11">
        <f>IF($C86=0,"",AVERAGEIFS('DEF_SELF_SCOUT_IMPORT'!$I$42:$I$1040,'DEF_SELF_SCOUT_IMPORT'!$L$42:$L$1040,"Y",'DEF_SELF_SCOUT_IMPORT'!$E$42:$E$1040,SUBSTITUTE(SUBSTITUTE(SUBSTITUTE($B86,"~","~~"),"*","~*"),"?","~?"),'DEF_SELF_SCOUT_IMPORT'!$Q$42:$Q$1040,SUBSTITUTE(SUBSTITUTE(SUBSTITUTE($M86,"~","~~"),"*","~*"),"?","~?")))</f>
        <v>7.0</v>
      </c>
      <c r="G86" s="10">
        <f>IF($C86=0,"",COUNTIFS('DEF_SELF_SCOUT_IMPORT'!$L$42:$L$1040,"Y",'DEF_SELF_SCOUT_IMPORT'!$E$42:$E$1040,SUBSTITUTE(SUBSTITUTE(SUBSTITUTE($B86,"~","~~"),"*","~*"),"?","~?"),'DEF_SELF_SCOUT_IMPORT'!$Q$42:$Q$1040,SUBSTITUTE(SUBSTITUTE(SUBSTITUTE($M86,"~","~~"),"*","~*"),"?","~?"),'DEF_SELF_SCOUT_IMPORT'!$H$42:$H$1040,"RUSH")/$C86)</f>
        <v>1.0</v>
      </c>
      <c r="H86" s="10">
        <f>IF($C86=0,"",COUNTIFS('DEF_SELF_SCOUT_IMPORT'!$L$42:$L$1040,"Y",'DEF_SELF_SCOUT_IMPORT'!$E$42:$E$1040,SUBSTITUTE(SUBSTITUTE(SUBSTITUTE($B86,"~","~~"),"*","~*"),"?","~?"),'DEF_SELF_SCOUT_IMPORT'!$Q$42:$Q$1040,SUBSTITUTE(SUBSTITUTE(SUBSTITUTE($M86,"~","~~"),"*","~*"),"?","~?"),'DEF_SELF_SCOUT_IMPORT'!$H$42:$H$1040,"DROPBACK")/$C86)</f>
        <v>0.0</v>
      </c>
      <c r="I86" s="14" t="str">
        <f>IF(C86=0,"",IF(C86&lt;=2,"TRACK",IF(C86=3,"LOW",IF(C86&lt;=6,"MEDIUM","HIGH"))))</f>
        <v>TRACK</v>
      </c>
      <c r="J86" s="11">
        <f>IF(C86=0,"",ROUND(D86*70+(1-E86)*20+MAX(0,MIN(1,(10-F86)/10))*10,1))</f>
        <v>23.0</v>
      </c>
      <c r="K86" s="14" t="str">
        <f>IF(C86=0,"No Evidence",IF(C86&lt;=2,IF(E86&gt;0,"Explosive Alert","Track Only"),IF(C86=3,"Sample Watch",IF(E86&gt;=START_HERE!$B$31,"Explosive Alert",IF(J86&gt;=80,"Strong Candidate",IF(J86&gt;=65,"Good Candidate",IF(J86&gt;=50,"Mixed / Review","Problem Call")))))))</f>
        <v>Track Only</v>
      </c>
      <c r="L86" s="9" t="str">
        <f>IF(COUNTIFS('DEF_SELF_SCOUT_IMPORT'!$L$42:$L$1040,"Y",'DEF_SELF_SCOUT_IMPORT'!$E$42:$E$1040,SUBSTITUTE(SUBSTITUTE(SUBSTITUTE($B86,"~","~~"),"*","~*"),"?","~?"),'DEF_SELF_SCOUT_IMPORT'!$Q$42:$Q$1040,SUBSTITUTE(SUBSTITUTE(SUBSTITUTE($M86,"~","~~"),"*","~*"),"?","~?"),'DEF_SELF_SCOUT_IMPORT'!$J$42:$J$1040,"")&gt;0,"Unscored clean outcome; review result tags before using score.",IF(C86=0,"No matching defensive reps; film confirmation needed.",IF(K86="Explosive Alert","Explosive risk; review clips before using as answer.",IF(C86&lt;=2,"Track only; not enough sample.",IF(C86=3,IF(E86&gt;0,"Sample watch with explosive exposure; review clips and build the sample.",IF(J86&gt;=65,"Good signal, but sample is limited.","Sample watch; review clips and build the sample.")),IF(K86="Problem Call","Problem area; practice or call-sheet review.",IF(K86="Strong Candidate","Strong call-fit candidate; confirm on film.",IF(K86="Good Candidate","Good call-fit signal; confirm on film.","Mixed signal; review fit and execution on film."))))))))</f>
        <v>Track only; not enough sample.</v>
      </c>
      <c r="M86" s="8" t="s">
        <v>85</v>
      </c>
      <c r="N86" s="8"/>
      <c r="O86" s="8"/>
      <c r="P86" s="8"/>
      <c r="Q86" s="8"/>
      <c r="R86" s="8" t="s">
        <v>28</v>
      </c>
      <c r="S86" s="2" t="s">
        <v>86</v>
      </c>
      <c r="T86" s="2">
        <f>IF(C86=0,0,IF(C86&gt;=CALL_LOOKUP_BOARD!$B$7,IF(OR(K86="Problem Call",K86="Explosive Alert"),10000000,20000000),0)+IF(C86&gt;=CALL_LOOKUP_BOARD!$B$7,J86*1000+MIN(C86,999),C86*1000+J86)+0.00992300)</f>
        <v>1023.009923</v>
      </c>
      <c r="U86" s="2">
        <f>IF(C86=0,"",IF(COUNTIFS($S$10:$S$178,SUBSTITUTE(SUBSTITUTE(SUBSTITUTE(S86,"~","~~"),"*","~*"),"?","~?"),$T$10:$T$178,"&gt;"&amp;T86)=0,S86,""))</f>
        <v/>
      </c>
    </row>
    <row r="87" spans="1:21" ht="38" customHeight="1">
      <c r="A87" s="8" t="s">
        <v>85</v>
      </c>
      <c r="B87" s="8" t="s">
        <v>27</v>
      </c>
      <c r="C87" s="12">
        <f>COUNTIFS('DEF_SELF_SCOUT_IMPORT'!$L$42:$L$1040,"Y",'DEF_SELF_SCOUT_IMPORT'!$E$42:$E$1040,SUBSTITUTE(SUBSTITUTE(SUBSTITUTE($B87,"~","~~"),"*","~*"),"?","~?"),'DEF_SELF_SCOUT_IMPORT'!$Q$42:$Q$1040,SUBSTITUTE(SUBSTITUTE(SUBSTITUTE($M87,"~","~~"),"*","~*"),"?","~?"))</f>
        <v>2</v>
      </c>
      <c r="D87" s="10">
        <f>IF($C87=0,"",SUMIFS('DEF_SELF_SCOUT_IMPORT'!$J$42:$J$1040,'DEF_SELF_SCOUT_IMPORT'!$L$42:$L$1040,"Y",'DEF_SELF_SCOUT_IMPORT'!$E$42:$E$1040,SUBSTITUTE(SUBSTITUTE(SUBSTITUTE($B87,"~","~~"),"*","~*"),"?","~?"),'DEF_SELF_SCOUT_IMPORT'!$Q$42:$Q$1040,SUBSTITUTE(SUBSTITUTE(SUBSTITUTE($M87,"~","~~"),"*","~*"),"?","~?"))/$C87)</f>
        <v>1.0</v>
      </c>
      <c r="E87" s="10">
        <f>IF($C87=0,"",SUMIFS('DEF_SELF_SCOUT_IMPORT'!$K$42:$K$1040,'DEF_SELF_SCOUT_IMPORT'!$L$42:$L$1040,"Y",'DEF_SELF_SCOUT_IMPORT'!$E$42:$E$1040,SUBSTITUTE(SUBSTITUTE(SUBSTITUTE($B87,"~","~~"),"*","~*"),"?","~?"),'DEF_SELF_SCOUT_IMPORT'!$Q$42:$Q$1040,SUBSTITUTE(SUBSTITUTE(SUBSTITUTE($M87,"~","~~"),"*","~*"),"?","~?"))/$C87)</f>
        <v>0.0</v>
      </c>
      <c r="F87" s="11">
        <f>IF($C87=0,"",AVERAGEIFS('DEF_SELF_SCOUT_IMPORT'!$I$42:$I$1040,'DEF_SELF_SCOUT_IMPORT'!$L$42:$L$1040,"Y",'DEF_SELF_SCOUT_IMPORT'!$E$42:$E$1040,SUBSTITUTE(SUBSTITUTE(SUBSTITUTE($B87,"~","~~"),"*","~*"),"?","~?"),'DEF_SELF_SCOUT_IMPORT'!$Q$42:$Q$1040,SUBSTITUTE(SUBSTITUTE(SUBSTITUTE($M87,"~","~~"),"*","~*"),"?","~?")))</f>
        <v>1.5</v>
      </c>
      <c r="G87" s="10">
        <f>IF($C87=0,"",COUNTIFS('DEF_SELF_SCOUT_IMPORT'!$L$42:$L$1040,"Y",'DEF_SELF_SCOUT_IMPORT'!$E$42:$E$1040,SUBSTITUTE(SUBSTITUTE(SUBSTITUTE($B87,"~","~~"),"*","~*"),"?","~?"),'DEF_SELF_SCOUT_IMPORT'!$Q$42:$Q$1040,SUBSTITUTE(SUBSTITUTE(SUBSTITUTE($M87,"~","~~"),"*","~*"),"?","~?"),'DEF_SELF_SCOUT_IMPORT'!$H$42:$H$1040,"RUSH")/$C87)</f>
        <v>0.5</v>
      </c>
      <c r="H87" s="10">
        <f>IF($C87=0,"",COUNTIFS('DEF_SELF_SCOUT_IMPORT'!$L$42:$L$1040,"Y",'DEF_SELF_SCOUT_IMPORT'!$E$42:$E$1040,SUBSTITUTE(SUBSTITUTE(SUBSTITUTE($B87,"~","~~"),"*","~*"),"?","~?"),'DEF_SELF_SCOUT_IMPORT'!$Q$42:$Q$1040,SUBSTITUTE(SUBSTITUTE(SUBSTITUTE($M87,"~","~~"),"*","~*"),"?","~?"),'DEF_SELF_SCOUT_IMPORT'!$H$42:$H$1040,"DROPBACK")/$C87)</f>
        <v>0.5</v>
      </c>
      <c r="I87" s="14" t="str">
        <f>IF(C87=0,"",IF(C87&lt;=2,"TRACK",IF(C87=3,"LOW",IF(C87&lt;=6,"MEDIUM","HIGH"))))</f>
        <v>TRACK</v>
      </c>
      <c r="J87" s="11">
        <f>IF(C87=0,"",ROUND(D87*70+(1-E87)*20+MAX(0,MIN(1,(10-F87)/10))*10,1))</f>
        <v>98.5</v>
      </c>
      <c r="K87" s="14" t="str">
        <f>IF(C87=0,"No Evidence",IF(C87&lt;=2,IF(E87&gt;0,"Explosive Alert","Track Only"),IF(C87=3,"Sample Watch",IF(E87&gt;=START_HERE!$B$31,"Explosive Alert",IF(J87&gt;=80,"Strong Candidate",IF(J87&gt;=65,"Good Candidate",IF(J87&gt;=50,"Mixed / Review","Problem Call")))))))</f>
        <v>Track Only</v>
      </c>
      <c r="L87" s="9" t="str">
        <f>IF(COUNTIFS('DEF_SELF_SCOUT_IMPORT'!$L$42:$L$1040,"Y",'DEF_SELF_SCOUT_IMPORT'!$E$42:$E$1040,SUBSTITUTE(SUBSTITUTE(SUBSTITUTE($B87,"~","~~"),"*","~*"),"?","~?"),'DEF_SELF_SCOUT_IMPORT'!$Q$42:$Q$1040,SUBSTITUTE(SUBSTITUTE(SUBSTITUTE($M87,"~","~~"),"*","~*"),"?","~?"),'DEF_SELF_SCOUT_IMPORT'!$J$42:$J$1040,"")&gt;0,"Unscored clean outcome; review result tags before using score.",IF(C87=0,"No matching defensive reps; film confirmation needed.",IF(K87="Explosive Alert","Explosive risk; review clips before using as answer.",IF(C87&lt;=2,"Track only; not enough sample.",IF(C87=3,IF(E87&gt;0,"Sample watch with explosive exposure; review clips and build the sample.",IF(J87&gt;=65,"Good signal, but sample is limited.","Sample watch; review clips and build the sample.")),IF(K87="Problem Call","Problem area; practice or call-sheet review.",IF(K87="Strong Candidate","Strong call-fit candidate; confirm on film.",IF(K87="Good Candidate","Good call-fit signal; confirm on film.","Mixed signal; review fit and execution on film."))))))))</f>
        <v>Track only; not enough sample.</v>
      </c>
      <c r="M87" s="8" t="s">
        <v>85</v>
      </c>
      <c r="N87" s="8"/>
      <c r="O87" s="8"/>
      <c r="P87" s="8"/>
      <c r="Q87" s="8"/>
      <c r="R87" s="8" t="s">
        <v>28</v>
      </c>
      <c r="S87" s="2" t="s">
        <v>86</v>
      </c>
      <c r="T87" s="2">
        <f>IF(C87=0,0,IF(C87&gt;=CALL_LOOKUP_BOARD!$B$7,IF(OR(K87="Problem Call",K87="Explosive Alert"),10000000,20000000),0)+IF(C87&gt;=CALL_LOOKUP_BOARD!$B$7,J87*1000+MIN(C87,999),C87*1000+J87)+0.00992200)</f>
        <v>2098.509922</v>
      </c>
      <c r="U87" s="2">
        <f>IF(C87=0,"",IF(COUNTIFS($S$10:$S$178,SUBSTITUTE(SUBSTITUTE(SUBSTITUTE(S87,"~","~~"),"*","~*"),"?","~?"),$T$10:$T$178,"&gt;"&amp;T87)=0,S87,""))</f>
        <v/>
      </c>
    </row>
    <row r="88" spans="1:21" ht="38" customHeight="1">
      <c r="A88" s="8" t="s">
        <v>85</v>
      </c>
      <c r="B88" s="8" t="s">
        <v>43</v>
      </c>
      <c r="C88" s="12">
        <f>COUNTIFS('DEF_SELF_SCOUT_IMPORT'!$L$42:$L$1040,"Y",'DEF_SELF_SCOUT_IMPORT'!$E$42:$E$1040,SUBSTITUTE(SUBSTITUTE(SUBSTITUTE($B88,"~","~~"),"*","~*"),"?","~?"),'DEF_SELF_SCOUT_IMPORT'!$Q$42:$Q$1040,SUBSTITUTE(SUBSTITUTE(SUBSTITUTE($M88,"~","~~"),"*","~*"),"?","~?"))</f>
        <v>1</v>
      </c>
      <c r="D88" s="10">
        <f>IF($C88=0,"",SUMIFS('DEF_SELF_SCOUT_IMPORT'!$J$42:$J$1040,'DEF_SELF_SCOUT_IMPORT'!$L$42:$L$1040,"Y",'DEF_SELF_SCOUT_IMPORT'!$E$42:$E$1040,SUBSTITUTE(SUBSTITUTE(SUBSTITUTE($B88,"~","~~"),"*","~*"),"?","~?"),'DEF_SELF_SCOUT_IMPORT'!$Q$42:$Q$1040,SUBSTITUTE(SUBSTITUTE(SUBSTITUTE($M88,"~","~~"),"*","~*"),"?","~?"))/$C88)</f>
        <v>1.0</v>
      </c>
      <c r="E88" s="10">
        <f>IF($C88=0,"",SUMIFS('DEF_SELF_SCOUT_IMPORT'!$K$42:$K$1040,'DEF_SELF_SCOUT_IMPORT'!$L$42:$L$1040,"Y",'DEF_SELF_SCOUT_IMPORT'!$E$42:$E$1040,SUBSTITUTE(SUBSTITUTE(SUBSTITUTE($B88,"~","~~"),"*","~*"),"?","~?"),'DEF_SELF_SCOUT_IMPORT'!$Q$42:$Q$1040,SUBSTITUTE(SUBSTITUTE(SUBSTITUTE($M88,"~","~~"),"*","~*"),"?","~?"))/$C88)</f>
        <v>0.0</v>
      </c>
      <c r="F88" s="11">
        <f>IF($C88=0,"",AVERAGEIFS('DEF_SELF_SCOUT_IMPORT'!$I$42:$I$1040,'DEF_SELF_SCOUT_IMPORT'!$L$42:$L$1040,"Y",'DEF_SELF_SCOUT_IMPORT'!$E$42:$E$1040,SUBSTITUTE(SUBSTITUTE(SUBSTITUTE($B88,"~","~~"),"*","~*"),"?","~?"),'DEF_SELF_SCOUT_IMPORT'!$Q$42:$Q$1040,SUBSTITUTE(SUBSTITUTE(SUBSTITUTE($M88,"~","~~"),"*","~*"),"?","~?")))</f>
        <v>5.0</v>
      </c>
      <c r="G88" s="10">
        <f>IF($C88=0,"",COUNTIFS('DEF_SELF_SCOUT_IMPORT'!$L$42:$L$1040,"Y",'DEF_SELF_SCOUT_IMPORT'!$E$42:$E$1040,SUBSTITUTE(SUBSTITUTE(SUBSTITUTE($B88,"~","~~"),"*","~*"),"?","~?"),'DEF_SELF_SCOUT_IMPORT'!$Q$42:$Q$1040,SUBSTITUTE(SUBSTITUTE(SUBSTITUTE($M88,"~","~~"),"*","~*"),"?","~?"),'DEF_SELF_SCOUT_IMPORT'!$H$42:$H$1040,"RUSH")/$C88)</f>
        <v>0.0</v>
      </c>
      <c r="H88" s="10">
        <f>IF($C88=0,"",COUNTIFS('DEF_SELF_SCOUT_IMPORT'!$L$42:$L$1040,"Y",'DEF_SELF_SCOUT_IMPORT'!$E$42:$E$1040,SUBSTITUTE(SUBSTITUTE(SUBSTITUTE($B88,"~","~~"),"*","~*"),"?","~?"),'DEF_SELF_SCOUT_IMPORT'!$Q$42:$Q$1040,SUBSTITUTE(SUBSTITUTE(SUBSTITUTE($M88,"~","~~"),"*","~*"),"?","~?"),'DEF_SELF_SCOUT_IMPORT'!$H$42:$H$1040,"DROPBACK")/$C88)</f>
        <v>1.0</v>
      </c>
      <c r="I88" s="14" t="str">
        <f>IF(C88=0,"",IF(C88&lt;=2,"TRACK",IF(C88=3,"LOW",IF(C88&lt;=6,"MEDIUM","HIGH"))))</f>
        <v>TRACK</v>
      </c>
      <c r="J88" s="11">
        <f>IF(C88=0,"",ROUND(D88*70+(1-E88)*20+MAX(0,MIN(1,(10-F88)/10))*10,1))</f>
        <v>95.0</v>
      </c>
      <c r="K88" s="14" t="str">
        <f>IF(C88=0,"No Evidence",IF(C88&lt;=2,IF(E88&gt;0,"Explosive Alert","Track Only"),IF(C88=3,"Sample Watch",IF(E88&gt;=START_HERE!$B$31,"Explosive Alert",IF(J88&gt;=80,"Strong Candidate",IF(J88&gt;=65,"Good Candidate",IF(J88&gt;=50,"Mixed / Review","Problem Call")))))))</f>
        <v>Track Only</v>
      </c>
      <c r="L88" s="9" t="str">
        <f>IF(COUNTIFS('DEF_SELF_SCOUT_IMPORT'!$L$42:$L$1040,"Y",'DEF_SELF_SCOUT_IMPORT'!$E$42:$E$1040,SUBSTITUTE(SUBSTITUTE(SUBSTITUTE($B88,"~","~~"),"*","~*"),"?","~?"),'DEF_SELF_SCOUT_IMPORT'!$Q$42:$Q$1040,SUBSTITUTE(SUBSTITUTE(SUBSTITUTE($M88,"~","~~"),"*","~*"),"?","~?"),'DEF_SELF_SCOUT_IMPORT'!$J$42:$J$1040,"")&gt;0,"Unscored clean outcome; review result tags before using score.",IF(C88=0,"No matching defensive reps; film confirmation needed.",IF(K88="Explosive Alert","Explosive risk; review clips before using as answer.",IF(C88&lt;=2,"Track only; not enough sample.",IF(C88=3,IF(E88&gt;0,"Sample watch with explosive exposure; review clips and build the sample.",IF(J88&gt;=65,"Good signal, but sample is limited.","Sample watch; review clips and build the sample.")),IF(K88="Problem Call","Problem area; practice or call-sheet review.",IF(K88="Strong Candidate","Strong call-fit candidate; confirm on film.",IF(K88="Good Candidate","Good call-fit signal; confirm on film.","Mixed signal; review fit and execution on film."))))))))</f>
        <v>Track only; not enough sample.</v>
      </c>
      <c r="M88" s="8" t="s">
        <v>85</v>
      </c>
      <c r="N88" s="8"/>
      <c r="O88" s="8"/>
      <c r="P88" s="8"/>
      <c r="Q88" s="8"/>
      <c r="R88" s="8" t="s">
        <v>28</v>
      </c>
      <c r="S88" s="2" t="s">
        <v>86</v>
      </c>
      <c r="T88" s="2">
        <f>IF(C88=0,0,IF(C88&gt;=CALL_LOOKUP_BOARD!$B$7,IF(OR(K88="Problem Call",K88="Explosive Alert"),10000000,20000000),0)+IF(C88&gt;=CALL_LOOKUP_BOARD!$B$7,J88*1000+MIN(C88,999),C88*1000+J88)+0.00992100)</f>
        <v>1095.009921</v>
      </c>
      <c r="U88" s="2">
        <f>IF(C88=0,"",IF(COUNTIFS($S$10:$S$178,SUBSTITUTE(SUBSTITUTE(SUBSTITUTE(S88,"~","~~"),"*","~*"),"?","~?"),$T$10:$T$178,"&gt;"&amp;T88)=0,S88,""))</f>
        <v/>
      </c>
    </row>
    <row r="89" spans="1:21" ht="38" customHeight="1">
      <c r="A89" s="8" t="s">
        <v>85</v>
      </c>
      <c r="B89" s="8" t="s">
        <v>48</v>
      </c>
      <c r="C89" s="12">
        <f>COUNTIFS('DEF_SELF_SCOUT_IMPORT'!$L$42:$L$1040,"Y",'DEF_SELF_SCOUT_IMPORT'!$E$42:$E$1040,SUBSTITUTE(SUBSTITUTE(SUBSTITUTE($B89,"~","~~"),"*","~*"),"?","~?"),'DEF_SELF_SCOUT_IMPORT'!$Q$42:$Q$1040,SUBSTITUTE(SUBSTITUTE(SUBSTITUTE($M89,"~","~~"),"*","~*"),"?","~?"))</f>
        <v>3</v>
      </c>
      <c r="D89" s="10">
        <f>IF($C89=0,"",SUMIFS('DEF_SELF_SCOUT_IMPORT'!$J$42:$J$1040,'DEF_SELF_SCOUT_IMPORT'!$L$42:$L$1040,"Y",'DEF_SELF_SCOUT_IMPORT'!$E$42:$E$1040,SUBSTITUTE(SUBSTITUTE(SUBSTITUTE($B89,"~","~~"),"*","~*"),"?","~?"),'DEF_SELF_SCOUT_IMPORT'!$Q$42:$Q$1040,SUBSTITUTE(SUBSTITUTE(SUBSTITUTE($M89,"~","~~"),"*","~*"),"?","~?"))/$C89)</f>
        <v>0.3333333333333333</v>
      </c>
      <c r="E89" s="10">
        <f>IF($C89=0,"",SUMIFS('DEF_SELF_SCOUT_IMPORT'!$K$42:$K$1040,'DEF_SELF_SCOUT_IMPORT'!$L$42:$L$1040,"Y",'DEF_SELF_SCOUT_IMPORT'!$E$42:$E$1040,SUBSTITUTE(SUBSTITUTE(SUBSTITUTE($B89,"~","~~"),"*","~*"),"?","~?"),'DEF_SELF_SCOUT_IMPORT'!$Q$42:$Q$1040,SUBSTITUTE(SUBSTITUTE(SUBSTITUTE($M89,"~","~~"),"*","~*"),"?","~?"))/$C89)</f>
        <v>0.0</v>
      </c>
      <c r="F89" s="11">
        <f>IF($C89=0,"",AVERAGEIFS('DEF_SELF_SCOUT_IMPORT'!$I$42:$I$1040,'DEF_SELF_SCOUT_IMPORT'!$L$42:$L$1040,"Y",'DEF_SELF_SCOUT_IMPORT'!$E$42:$E$1040,SUBSTITUTE(SUBSTITUTE(SUBSTITUTE($B89,"~","~~"),"*","~*"),"?","~?"),'DEF_SELF_SCOUT_IMPORT'!$Q$42:$Q$1040,SUBSTITUTE(SUBSTITUTE(SUBSTITUTE($M89,"~","~~"),"*","~*"),"?","~?")))</f>
        <v>7.0</v>
      </c>
      <c r="G89" s="10">
        <f>IF($C89=0,"",COUNTIFS('DEF_SELF_SCOUT_IMPORT'!$L$42:$L$1040,"Y",'DEF_SELF_SCOUT_IMPORT'!$E$42:$E$1040,SUBSTITUTE(SUBSTITUTE(SUBSTITUTE($B89,"~","~~"),"*","~*"),"?","~?"),'DEF_SELF_SCOUT_IMPORT'!$Q$42:$Q$1040,SUBSTITUTE(SUBSTITUTE(SUBSTITUTE($M89,"~","~~"),"*","~*"),"?","~?"),'DEF_SELF_SCOUT_IMPORT'!$H$42:$H$1040,"RUSH")/$C89)</f>
        <v>0.3333333333333333</v>
      </c>
      <c r="H89" s="10">
        <f>IF($C89=0,"",COUNTIFS('DEF_SELF_SCOUT_IMPORT'!$L$42:$L$1040,"Y",'DEF_SELF_SCOUT_IMPORT'!$E$42:$E$1040,SUBSTITUTE(SUBSTITUTE(SUBSTITUTE($B89,"~","~~"),"*","~*"),"?","~?"),'DEF_SELF_SCOUT_IMPORT'!$Q$42:$Q$1040,SUBSTITUTE(SUBSTITUTE(SUBSTITUTE($M89,"~","~~"),"*","~*"),"?","~?"),'DEF_SELF_SCOUT_IMPORT'!$H$42:$H$1040,"DROPBACK")/$C89)</f>
        <v>0.6666666666666666</v>
      </c>
      <c r="I89" s="14" t="str">
        <f>IF(C89=0,"",IF(C89&lt;=2,"TRACK",IF(C89=3,"LOW",IF(C89&lt;=6,"MEDIUM","HIGH"))))</f>
        <v>LOW</v>
      </c>
      <c r="J89" s="11">
        <f>IF(C89=0,"",ROUND(D89*70+(1-E89)*20+MAX(0,MIN(1,(10-F89)/10))*10,1))</f>
        <v>46.3</v>
      </c>
      <c r="K89" s="14" t="str">
        <f>IF(C89=0,"No Evidence",IF(C89&lt;=2,IF(E89&gt;0,"Explosive Alert","Track Only"),IF(C89=3,"Sample Watch",IF(E89&gt;=START_HERE!$B$31,"Explosive Alert",IF(J89&gt;=80,"Strong Candidate",IF(J89&gt;=65,"Good Candidate",IF(J89&gt;=50,"Mixed / Review","Problem Call")))))))</f>
        <v>Sample Watch</v>
      </c>
      <c r="L89" s="9" t="str">
        <f>IF(COUNTIFS('DEF_SELF_SCOUT_IMPORT'!$L$42:$L$1040,"Y",'DEF_SELF_SCOUT_IMPORT'!$E$42:$E$1040,SUBSTITUTE(SUBSTITUTE(SUBSTITUTE($B89,"~","~~"),"*","~*"),"?","~?"),'DEF_SELF_SCOUT_IMPORT'!$Q$42:$Q$1040,SUBSTITUTE(SUBSTITUTE(SUBSTITUTE($M89,"~","~~"),"*","~*"),"?","~?"),'DEF_SELF_SCOUT_IMPORT'!$J$42:$J$1040,"")&gt;0,"Unscored clean outcome; review result tags before using score.",IF(C89=0,"No matching defensive reps; film confirmation needed.",IF(K89="Explosive Alert","Explosive risk; review clips before using as answer.",IF(C89&lt;=2,"Track only; not enough sample.",IF(C89=3,IF(E89&gt;0,"Sample watch with explosive exposure; review clips and build the sample.",IF(J89&gt;=65,"Good signal, but sample is limited.","Sample watch; review clips and build the sample.")),IF(K89="Problem Call","Problem area; practice or call-sheet review.",IF(K89="Strong Candidate","Strong call-fit candidate; confirm on film.",IF(K89="Good Candidate","Good call-fit signal; confirm on film.","Mixed signal; review fit and execution on film."))))))))</f>
        <v>Sample watch; review clips and build the sample.</v>
      </c>
      <c r="M89" s="8" t="s">
        <v>85</v>
      </c>
      <c r="N89" s="8"/>
      <c r="O89" s="8"/>
      <c r="P89" s="8"/>
      <c r="Q89" s="8"/>
      <c r="R89" s="8" t="s">
        <v>28</v>
      </c>
      <c r="S89" s="2" t="s">
        <v>86</v>
      </c>
      <c r="T89" s="2">
        <f>IF(C89=0,0,IF(C89&gt;=CALL_LOOKUP_BOARD!$B$7,IF(OR(K89="Problem Call",K89="Explosive Alert"),10000000,20000000),0)+IF(C89&gt;=CALL_LOOKUP_BOARD!$B$7,J89*1000+MIN(C89,999),C89*1000+J89)+0.00992000)</f>
        <v>3046.30992</v>
      </c>
      <c r="U89" s="2">
        <f>IF(C89=0,"",IF(COUNTIFS($S$10:$S$178,SUBSTITUTE(SUBSTITUTE(SUBSTITUTE(S89,"~","~~"),"*","~*"),"?","~?"),$T$10:$T$178,"&gt;"&amp;T89)=0,S89,""))</f>
        <v/>
      </c>
    </row>
    <row r="90" spans="1:21" ht="38" customHeight="1">
      <c r="A90" s="8" t="s">
        <v>85</v>
      </c>
      <c r="B90" s="8" t="s">
        <v>34</v>
      </c>
      <c r="C90" s="12">
        <f>COUNTIFS('DEF_SELF_SCOUT_IMPORT'!$L$42:$L$1040,"Y",'DEF_SELF_SCOUT_IMPORT'!$E$42:$E$1040,SUBSTITUTE(SUBSTITUTE(SUBSTITUTE($B90,"~","~~"),"*","~*"),"?","~?"),'DEF_SELF_SCOUT_IMPORT'!$Q$42:$Q$1040,SUBSTITUTE(SUBSTITUTE(SUBSTITUTE($M90,"~","~~"),"*","~*"),"?","~?"))</f>
        <v>2</v>
      </c>
      <c r="D90" s="10">
        <f>IF($C90=0,"",SUMIFS('DEF_SELF_SCOUT_IMPORT'!$J$42:$J$1040,'DEF_SELF_SCOUT_IMPORT'!$L$42:$L$1040,"Y",'DEF_SELF_SCOUT_IMPORT'!$E$42:$E$1040,SUBSTITUTE(SUBSTITUTE(SUBSTITUTE($B90,"~","~~"),"*","~*"),"?","~?"),'DEF_SELF_SCOUT_IMPORT'!$Q$42:$Q$1040,SUBSTITUTE(SUBSTITUTE(SUBSTITUTE($M90,"~","~~"),"*","~*"),"?","~?"))/$C90)</f>
        <v>0.5</v>
      </c>
      <c r="E90" s="10">
        <f>IF($C90=0,"",SUMIFS('DEF_SELF_SCOUT_IMPORT'!$K$42:$K$1040,'DEF_SELF_SCOUT_IMPORT'!$L$42:$L$1040,"Y",'DEF_SELF_SCOUT_IMPORT'!$E$42:$E$1040,SUBSTITUTE(SUBSTITUTE(SUBSTITUTE($B90,"~","~~"),"*","~*"),"?","~?"),'DEF_SELF_SCOUT_IMPORT'!$Q$42:$Q$1040,SUBSTITUTE(SUBSTITUTE(SUBSTITUTE($M90,"~","~~"),"*","~*"),"?","~?"))/$C90)</f>
        <v>0.5</v>
      </c>
      <c r="F90" s="11">
        <f>IF($C90=0,"",AVERAGEIFS('DEF_SELF_SCOUT_IMPORT'!$I$42:$I$1040,'DEF_SELF_SCOUT_IMPORT'!$L$42:$L$1040,"Y",'DEF_SELF_SCOUT_IMPORT'!$E$42:$E$1040,SUBSTITUTE(SUBSTITUTE(SUBSTITUTE($B90,"~","~~"),"*","~*"),"?","~?"),'DEF_SELF_SCOUT_IMPORT'!$Q$42:$Q$1040,SUBSTITUTE(SUBSTITUTE(SUBSTITUTE($M90,"~","~~"),"*","~*"),"?","~?")))</f>
        <v>6.0</v>
      </c>
      <c r="G90" s="10">
        <f>IF($C90=0,"",COUNTIFS('DEF_SELF_SCOUT_IMPORT'!$L$42:$L$1040,"Y",'DEF_SELF_SCOUT_IMPORT'!$E$42:$E$1040,SUBSTITUTE(SUBSTITUTE(SUBSTITUTE($B90,"~","~~"),"*","~*"),"?","~?"),'DEF_SELF_SCOUT_IMPORT'!$Q$42:$Q$1040,SUBSTITUTE(SUBSTITUTE(SUBSTITUTE($M90,"~","~~"),"*","~*"),"?","~?"),'DEF_SELF_SCOUT_IMPORT'!$H$42:$H$1040,"RUSH")/$C90)</f>
        <v>0.5</v>
      </c>
      <c r="H90" s="10">
        <f>IF($C90=0,"",COUNTIFS('DEF_SELF_SCOUT_IMPORT'!$L$42:$L$1040,"Y",'DEF_SELF_SCOUT_IMPORT'!$E$42:$E$1040,SUBSTITUTE(SUBSTITUTE(SUBSTITUTE($B90,"~","~~"),"*","~*"),"?","~?"),'DEF_SELF_SCOUT_IMPORT'!$Q$42:$Q$1040,SUBSTITUTE(SUBSTITUTE(SUBSTITUTE($M90,"~","~~"),"*","~*"),"?","~?"),'DEF_SELF_SCOUT_IMPORT'!$H$42:$H$1040,"DROPBACK")/$C90)</f>
        <v>0.5</v>
      </c>
      <c r="I90" s="14" t="str">
        <f>IF(C90=0,"",IF(C90&lt;=2,"TRACK",IF(C90=3,"LOW",IF(C90&lt;=6,"MEDIUM","HIGH"))))</f>
        <v>TRACK</v>
      </c>
      <c r="J90" s="11">
        <f>IF(C90=0,"",ROUND(D90*70+(1-E90)*20+MAX(0,MIN(1,(10-F90)/10))*10,1))</f>
        <v>49.0</v>
      </c>
      <c r="K90" s="14" t="str">
        <f>IF(C90=0,"No Evidence",IF(C90&lt;=2,IF(E90&gt;0,"Explosive Alert","Track Only"),IF(C90=3,"Sample Watch",IF(E90&gt;=START_HERE!$B$31,"Explosive Alert",IF(J90&gt;=80,"Strong Candidate",IF(J90&gt;=65,"Good Candidate",IF(J90&gt;=50,"Mixed / Review","Problem Call")))))))</f>
        <v>Explosive Alert</v>
      </c>
      <c r="L90" s="9" t="str">
        <f>IF(COUNTIFS('DEF_SELF_SCOUT_IMPORT'!$L$42:$L$1040,"Y",'DEF_SELF_SCOUT_IMPORT'!$E$42:$E$1040,SUBSTITUTE(SUBSTITUTE(SUBSTITUTE($B90,"~","~~"),"*","~*"),"?","~?"),'DEF_SELF_SCOUT_IMPORT'!$Q$42:$Q$1040,SUBSTITUTE(SUBSTITUTE(SUBSTITUTE($M90,"~","~~"),"*","~*"),"?","~?"),'DEF_SELF_SCOUT_IMPORT'!$J$42:$J$1040,"")&gt;0,"Unscored clean outcome; review result tags before using score.",IF(C90=0,"No matching defensive reps; film confirmation needed.",IF(K90="Explosive Alert","Explosive risk; review clips before using as answer.",IF(C90&lt;=2,"Track only; not enough sample.",IF(C90=3,IF(E90&gt;0,"Sample watch with explosive exposure; review clips and build the sample.",IF(J90&gt;=65,"Good signal, but sample is limited.","Sample watch; review clips and build the sample.")),IF(K90="Problem Call","Problem area; practice or call-sheet review.",IF(K90="Strong Candidate","Strong call-fit candidate; confirm on film.",IF(K90="Good Candidate","Good call-fit signal; confirm on film.","Mixed signal; review fit and execution on film."))))))))</f>
        <v>Explosive risk; review clips before using as answer.</v>
      </c>
      <c r="M90" s="8" t="s">
        <v>85</v>
      </c>
      <c r="N90" s="8"/>
      <c r="O90" s="8"/>
      <c r="P90" s="8"/>
      <c r="Q90" s="8"/>
      <c r="R90" s="8" t="s">
        <v>28</v>
      </c>
      <c r="S90" s="2" t="s">
        <v>86</v>
      </c>
      <c r="T90" s="2">
        <f>IF(C90=0,0,IF(C90&gt;=CALL_LOOKUP_BOARD!$B$7,IF(OR(K90="Problem Call",K90="Explosive Alert"),10000000,20000000),0)+IF(C90&gt;=CALL_LOOKUP_BOARD!$B$7,J90*1000+MIN(C90,999),C90*1000+J90)+0.00991900)</f>
        <v>2049.009919</v>
      </c>
      <c r="U90" s="2">
        <f>IF(C90=0,"",IF(COUNTIFS($S$10:$S$178,SUBSTITUTE(SUBSTITUTE(SUBSTITUTE(S90,"~","~~"),"*","~*"),"?","~?"),$T$10:$T$178,"&gt;"&amp;T90)=0,S90,""))</f>
        <v/>
      </c>
    </row>
    <row r="91" spans="1:21" ht="38" customHeight="1">
      <c r="A91" s="8" t="s">
        <v>85</v>
      </c>
      <c r="B91" s="8" t="s">
        <v>49</v>
      </c>
      <c r="C91" s="12">
        <f>COUNTIFS('DEF_SELF_SCOUT_IMPORT'!$L$42:$L$1040,"Y",'DEF_SELF_SCOUT_IMPORT'!$E$42:$E$1040,SUBSTITUTE(SUBSTITUTE(SUBSTITUTE($B91,"~","~~"),"*","~*"),"?","~?"),'DEF_SELF_SCOUT_IMPORT'!$Q$42:$Q$1040,SUBSTITUTE(SUBSTITUTE(SUBSTITUTE($M91,"~","~~"),"*","~*"),"?","~?"))</f>
        <v>1</v>
      </c>
      <c r="D91" s="10">
        <f>IF($C91=0,"",SUMIFS('DEF_SELF_SCOUT_IMPORT'!$J$42:$J$1040,'DEF_SELF_SCOUT_IMPORT'!$L$42:$L$1040,"Y",'DEF_SELF_SCOUT_IMPORT'!$E$42:$E$1040,SUBSTITUTE(SUBSTITUTE(SUBSTITUTE($B91,"~","~~"),"*","~*"),"?","~?"),'DEF_SELF_SCOUT_IMPORT'!$Q$42:$Q$1040,SUBSTITUTE(SUBSTITUTE(SUBSTITUTE($M91,"~","~~"),"*","~*"),"?","~?"))/$C91)</f>
        <v>1.0</v>
      </c>
      <c r="E91" s="10">
        <f>IF($C91=0,"",SUMIFS('DEF_SELF_SCOUT_IMPORT'!$K$42:$K$1040,'DEF_SELF_SCOUT_IMPORT'!$L$42:$L$1040,"Y",'DEF_SELF_SCOUT_IMPORT'!$E$42:$E$1040,SUBSTITUTE(SUBSTITUTE(SUBSTITUTE($B91,"~","~~"),"*","~*"),"?","~?"),'DEF_SELF_SCOUT_IMPORT'!$Q$42:$Q$1040,SUBSTITUTE(SUBSTITUTE(SUBSTITUTE($M91,"~","~~"),"*","~*"),"?","~?"))/$C91)</f>
        <v>0.0</v>
      </c>
      <c r="F91" s="11">
        <f>IF($C91=0,"",AVERAGEIFS('DEF_SELF_SCOUT_IMPORT'!$I$42:$I$1040,'DEF_SELF_SCOUT_IMPORT'!$L$42:$L$1040,"Y",'DEF_SELF_SCOUT_IMPORT'!$E$42:$E$1040,SUBSTITUTE(SUBSTITUTE(SUBSTITUTE($B91,"~","~~"),"*","~*"),"?","~?"),'DEF_SELF_SCOUT_IMPORT'!$Q$42:$Q$1040,SUBSTITUTE(SUBSTITUTE(SUBSTITUTE($M91,"~","~~"),"*","~*"),"?","~?")))</f>
        <v>0.0</v>
      </c>
      <c r="G91" s="10">
        <f>IF($C91=0,"",COUNTIFS('DEF_SELF_SCOUT_IMPORT'!$L$42:$L$1040,"Y",'DEF_SELF_SCOUT_IMPORT'!$E$42:$E$1040,SUBSTITUTE(SUBSTITUTE(SUBSTITUTE($B91,"~","~~"),"*","~*"),"?","~?"),'DEF_SELF_SCOUT_IMPORT'!$Q$42:$Q$1040,SUBSTITUTE(SUBSTITUTE(SUBSTITUTE($M91,"~","~~"),"*","~*"),"?","~?"),'DEF_SELF_SCOUT_IMPORT'!$H$42:$H$1040,"RUSH")/$C91)</f>
        <v>0.0</v>
      </c>
      <c r="H91" s="10">
        <f>IF($C91=0,"",COUNTIFS('DEF_SELF_SCOUT_IMPORT'!$L$42:$L$1040,"Y",'DEF_SELF_SCOUT_IMPORT'!$E$42:$E$1040,SUBSTITUTE(SUBSTITUTE(SUBSTITUTE($B91,"~","~~"),"*","~*"),"?","~?"),'DEF_SELF_SCOUT_IMPORT'!$Q$42:$Q$1040,SUBSTITUTE(SUBSTITUTE(SUBSTITUTE($M91,"~","~~"),"*","~*"),"?","~?"),'DEF_SELF_SCOUT_IMPORT'!$H$42:$H$1040,"DROPBACK")/$C91)</f>
        <v>1.0</v>
      </c>
      <c r="I91" s="14" t="str">
        <f>IF(C91=0,"",IF(C91&lt;=2,"TRACK",IF(C91=3,"LOW",IF(C91&lt;=6,"MEDIUM","HIGH"))))</f>
        <v>TRACK</v>
      </c>
      <c r="J91" s="11">
        <f>IF(C91=0,"",ROUND(D91*70+(1-E91)*20+MAX(0,MIN(1,(10-F91)/10))*10,1))</f>
        <v>100.0</v>
      </c>
      <c r="K91" s="14" t="str">
        <f>IF(C91=0,"No Evidence",IF(C91&lt;=2,IF(E91&gt;0,"Explosive Alert","Track Only"),IF(C91=3,"Sample Watch",IF(E91&gt;=START_HERE!$B$31,"Explosive Alert",IF(J91&gt;=80,"Strong Candidate",IF(J91&gt;=65,"Good Candidate",IF(J91&gt;=50,"Mixed / Review","Problem Call")))))))</f>
        <v>Track Only</v>
      </c>
      <c r="L91" s="9" t="str">
        <f>IF(COUNTIFS('DEF_SELF_SCOUT_IMPORT'!$L$42:$L$1040,"Y",'DEF_SELF_SCOUT_IMPORT'!$E$42:$E$1040,SUBSTITUTE(SUBSTITUTE(SUBSTITUTE($B91,"~","~~"),"*","~*"),"?","~?"),'DEF_SELF_SCOUT_IMPORT'!$Q$42:$Q$1040,SUBSTITUTE(SUBSTITUTE(SUBSTITUTE($M91,"~","~~"),"*","~*"),"?","~?"),'DEF_SELF_SCOUT_IMPORT'!$J$42:$J$1040,"")&gt;0,"Unscored clean outcome; review result tags before using score.",IF(C91=0,"No matching defensive reps; film confirmation needed.",IF(K91="Explosive Alert","Explosive risk; review clips before using as answer.",IF(C91&lt;=2,"Track only; not enough sample.",IF(C91=3,IF(E91&gt;0,"Sample watch with explosive exposure; review clips and build the sample.",IF(J91&gt;=65,"Good signal, but sample is limited.","Sample watch; review clips and build the sample.")),IF(K91="Problem Call","Problem area; practice or call-sheet review.",IF(K91="Strong Candidate","Strong call-fit candidate; confirm on film.",IF(K91="Good Candidate","Good call-fit signal; confirm on film.","Mixed signal; review fit and execution on film."))))))))</f>
        <v>Track only; not enough sample.</v>
      </c>
      <c r="M91" s="8" t="s">
        <v>85</v>
      </c>
      <c r="N91" s="8"/>
      <c r="O91" s="8"/>
      <c r="P91" s="8"/>
      <c r="Q91" s="8"/>
      <c r="R91" s="8" t="s">
        <v>28</v>
      </c>
      <c r="S91" s="2" t="s">
        <v>86</v>
      </c>
      <c r="T91" s="2">
        <f>IF(C91=0,0,IF(C91&gt;=CALL_LOOKUP_BOARD!$B$7,IF(OR(K91="Problem Call",K91="Explosive Alert"),10000000,20000000),0)+IF(C91&gt;=CALL_LOOKUP_BOARD!$B$7,J91*1000+MIN(C91,999),C91*1000+J91)+0.00991800)</f>
        <v>1100.009918</v>
      </c>
      <c r="U91" s="2">
        <f>IF(C91=0,"",IF(COUNTIFS($S$10:$S$178,SUBSTITUTE(SUBSTITUTE(SUBSTITUTE(S91,"~","~~"),"*","~*"),"?","~?"),$T$10:$T$178,"&gt;"&amp;T91)=0,S91,""))</f>
        <v/>
      </c>
    </row>
    <row r="92" spans="1:21" ht="38" customHeight="1">
      <c r="A92" s="8" t="s">
        <v>85</v>
      </c>
      <c r="B92" s="8" t="s">
        <v>87</v>
      </c>
      <c r="C92" s="12">
        <f>COUNTIFS('DEF_SELF_SCOUT_IMPORT'!$L$42:$L$1040,"Y",'DEF_SELF_SCOUT_IMPORT'!$E$42:$E$1040,SUBSTITUTE(SUBSTITUTE(SUBSTITUTE($B92,"~","~~"),"*","~*"),"?","~?"),'DEF_SELF_SCOUT_IMPORT'!$Q$42:$Q$1040,SUBSTITUTE(SUBSTITUTE(SUBSTITUTE($M92,"~","~~"),"*","~*"),"?","~?"))</f>
        <v>1</v>
      </c>
      <c r="D92" s="10">
        <f>IF($C92=0,"",SUMIFS('DEF_SELF_SCOUT_IMPORT'!$J$42:$J$1040,'DEF_SELF_SCOUT_IMPORT'!$L$42:$L$1040,"Y",'DEF_SELF_SCOUT_IMPORT'!$E$42:$E$1040,SUBSTITUTE(SUBSTITUTE(SUBSTITUTE($B92,"~","~~"),"*","~*"),"?","~?"),'DEF_SELF_SCOUT_IMPORT'!$Q$42:$Q$1040,SUBSTITUTE(SUBSTITUTE(SUBSTITUTE($M92,"~","~~"),"*","~*"),"?","~?"))/$C92)</f>
        <v>0.0</v>
      </c>
      <c r="E92" s="10">
        <f>IF($C92=0,"",SUMIFS('DEF_SELF_SCOUT_IMPORT'!$K$42:$K$1040,'DEF_SELF_SCOUT_IMPORT'!$L$42:$L$1040,"Y",'DEF_SELF_SCOUT_IMPORT'!$E$42:$E$1040,SUBSTITUTE(SUBSTITUTE(SUBSTITUTE($B92,"~","~~"),"*","~*"),"?","~?"),'DEF_SELF_SCOUT_IMPORT'!$Q$42:$Q$1040,SUBSTITUTE(SUBSTITUTE(SUBSTITUTE($M92,"~","~~"),"*","~*"),"?","~?"))/$C92)</f>
        <v>0.0</v>
      </c>
      <c r="F92" s="11">
        <f>IF($C92=0,"",AVERAGEIFS('DEF_SELF_SCOUT_IMPORT'!$I$42:$I$1040,'DEF_SELF_SCOUT_IMPORT'!$L$42:$L$1040,"Y",'DEF_SELF_SCOUT_IMPORT'!$E$42:$E$1040,SUBSTITUTE(SUBSTITUTE(SUBSTITUTE($B92,"~","~~"),"*","~*"),"?","~?"),'DEF_SELF_SCOUT_IMPORT'!$Q$42:$Q$1040,SUBSTITUTE(SUBSTITUTE(SUBSTITUTE($M92,"~","~~"),"*","~*"),"?","~?")))</f>
        <v>5.0</v>
      </c>
      <c r="G92" s="10">
        <f>IF($C92=0,"",COUNTIFS('DEF_SELF_SCOUT_IMPORT'!$L$42:$L$1040,"Y",'DEF_SELF_SCOUT_IMPORT'!$E$42:$E$1040,SUBSTITUTE(SUBSTITUTE(SUBSTITUTE($B92,"~","~~"),"*","~*"),"?","~?"),'DEF_SELF_SCOUT_IMPORT'!$Q$42:$Q$1040,SUBSTITUTE(SUBSTITUTE(SUBSTITUTE($M92,"~","~~"),"*","~*"),"?","~?"),'DEF_SELF_SCOUT_IMPORT'!$H$42:$H$1040,"RUSH")/$C92)</f>
        <v>1.0</v>
      </c>
      <c r="H92" s="10">
        <f>IF($C92=0,"",COUNTIFS('DEF_SELF_SCOUT_IMPORT'!$L$42:$L$1040,"Y",'DEF_SELF_SCOUT_IMPORT'!$E$42:$E$1040,SUBSTITUTE(SUBSTITUTE(SUBSTITUTE($B92,"~","~~"),"*","~*"),"?","~?"),'DEF_SELF_SCOUT_IMPORT'!$Q$42:$Q$1040,SUBSTITUTE(SUBSTITUTE(SUBSTITUTE($M92,"~","~~"),"*","~*"),"?","~?"),'DEF_SELF_SCOUT_IMPORT'!$H$42:$H$1040,"DROPBACK")/$C92)</f>
        <v>0.0</v>
      </c>
      <c r="I92" s="14" t="str">
        <f>IF(C92=0,"",IF(C92&lt;=2,"TRACK",IF(C92=3,"LOW",IF(C92&lt;=6,"MEDIUM","HIGH"))))</f>
        <v>TRACK</v>
      </c>
      <c r="J92" s="11">
        <f>IF(C92=0,"",ROUND(D92*70+(1-E92)*20+MAX(0,MIN(1,(10-F92)/10))*10,1))</f>
        <v>25.0</v>
      </c>
      <c r="K92" s="14" t="str">
        <f>IF(C92=0,"No Evidence",IF(C92&lt;=2,IF(E92&gt;0,"Explosive Alert","Track Only"),IF(C92=3,"Sample Watch",IF(E92&gt;=START_HERE!$B$31,"Explosive Alert",IF(J92&gt;=80,"Strong Candidate",IF(J92&gt;=65,"Good Candidate",IF(J92&gt;=50,"Mixed / Review","Problem Call")))))))</f>
        <v>Track Only</v>
      </c>
      <c r="L92" s="9" t="str">
        <f>IF(COUNTIFS('DEF_SELF_SCOUT_IMPORT'!$L$42:$L$1040,"Y",'DEF_SELF_SCOUT_IMPORT'!$E$42:$E$1040,SUBSTITUTE(SUBSTITUTE(SUBSTITUTE($B92,"~","~~"),"*","~*"),"?","~?"),'DEF_SELF_SCOUT_IMPORT'!$Q$42:$Q$1040,SUBSTITUTE(SUBSTITUTE(SUBSTITUTE($M92,"~","~~"),"*","~*"),"?","~?"),'DEF_SELF_SCOUT_IMPORT'!$J$42:$J$1040,"")&gt;0,"Unscored clean outcome; review result tags before using score.",IF(C92=0,"No matching defensive reps; film confirmation needed.",IF(K92="Explosive Alert","Explosive risk; review clips before using as answer.",IF(C92&lt;=2,"Track only; not enough sample.",IF(C92=3,IF(E92&gt;0,"Sample watch with explosive exposure; review clips and build the sample.",IF(J92&gt;=65,"Good signal, but sample is limited.","Sample watch; review clips and build the sample.")),IF(K92="Problem Call","Problem area; practice or call-sheet review.",IF(K92="Strong Candidate","Strong call-fit candidate; confirm on film.",IF(K92="Good Candidate","Good call-fit signal; confirm on film.","Mixed signal; review fit and execution on film."))))))))</f>
        <v>Track only; not enough sample.</v>
      </c>
      <c r="M92" s="8" t="s">
        <v>85</v>
      </c>
      <c r="N92" s="8"/>
      <c r="O92" s="8"/>
      <c r="P92" s="8"/>
      <c r="Q92" s="8"/>
      <c r="R92" s="8" t="s">
        <v>28</v>
      </c>
      <c r="S92" s="2" t="s">
        <v>86</v>
      </c>
      <c r="T92" s="2">
        <f>IF(C92=0,0,IF(C92&gt;=CALL_LOOKUP_BOARD!$B$7,IF(OR(K92="Problem Call",K92="Explosive Alert"),10000000,20000000),0)+IF(C92&gt;=CALL_LOOKUP_BOARD!$B$7,J92*1000+MIN(C92,999),C92*1000+J92)+0.00991700)</f>
        <v>1025.009917</v>
      </c>
      <c r="U92" s="2">
        <f>IF(C92=0,"",IF(COUNTIFS($S$10:$S$178,SUBSTITUTE(SUBSTITUTE(SUBSTITUTE(S92,"~","~~"),"*","~*"),"?","~?"),$T$10:$T$178,"&gt;"&amp;T92)=0,S92,""))</f>
        <v/>
      </c>
    </row>
    <row r="93" spans="1:21" ht="38" customHeight="1">
      <c r="A93" s="8" t="s">
        <v>85</v>
      </c>
      <c r="B93" s="8" t="s">
        <v>79</v>
      </c>
      <c r="C93" s="12">
        <f>COUNTIFS('DEF_SELF_SCOUT_IMPORT'!$L$42:$L$1040,"Y",'DEF_SELF_SCOUT_IMPORT'!$E$42:$E$1040,SUBSTITUTE(SUBSTITUTE(SUBSTITUTE($B93,"~","~~"),"*","~*"),"?","~?"),'DEF_SELF_SCOUT_IMPORT'!$Q$42:$Q$1040,SUBSTITUTE(SUBSTITUTE(SUBSTITUTE($M93,"~","~~"),"*","~*"),"?","~?"))</f>
        <v>1</v>
      </c>
      <c r="D93" s="10">
        <f>IF($C93=0,"",SUMIFS('DEF_SELF_SCOUT_IMPORT'!$J$42:$J$1040,'DEF_SELF_SCOUT_IMPORT'!$L$42:$L$1040,"Y",'DEF_SELF_SCOUT_IMPORT'!$E$42:$E$1040,SUBSTITUTE(SUBSTITUTE(SUBSTITUTE($B93,"~","~~"),"*","~*"),"?","~?"),'DEF_SELF_SCOUT_IMPORT'!$Q$42:$Q$1040,SUBSTITUTE(SUBSTITUTE(SUBSTITUTE($M93,"~","~~"),"*","~*"),"?","~?"))/$C93)</f>
        <v>1.0</v>
      </c>
      <c r="E93" s="10">
        <f>IF($C93=0,"",SUMIFS('DEF_SELF_SCOUT_IMPORT'!$K$42:$K$1040,'DEF_SELF_SCOUT_IMPORT'!$L$42:$L$1040,"Y",'DEF_SELF_SCOUT_IMPORT'!$E$42:$E$1040,SUBSTITUTE(SUBSTITUTE(SUBSTITUTE($B93,"~","~~"),"*","~*"),"?","~?"),'DEF_SELF_SCOUT_IMPORT'!$Q$42:$Q$1040,SUBSTITUTE(SUBSTITUTE(SUBSTITUTE($M93,"~","~~"),"*","~*"),"?","~?"))/$C93)</f>
        <v>0.0</v>
      </c>
      <c r="F93" s="11">
        <f>IF($C93=0,"",AVERAGEIFS('DEF_SELF_SCOUT_IMPORT'!$I$42:$I$1040,'DEF_SELF_SCOUT_IMPORT'!$L$42:$L$1040,"Y",'DEF_SELF_SCOUT_IMPORT'!$E$42:$E$1040,SUBSTITUTE(SUBSTITUTE(SUBSTITUTE($B93,"~","~~"),"*","~*"),"?","~?"),'DEF_SELF_SCOUT_IMPORT'!$Q$42:$Q$1040,SUBSTITUTE(SUBSTITUTE(SUBSTITUTE($M93,"~","~~"),"*","~*"),"?","~?")))</f>
        <v>0.0</v>
      </c>
      <c r="G93" s="10">
        <f>IF($C93=0,"",COUNTIFS('DEF_SELF_SCOUT_IMPORT'!$L$42:$L$1040,"Y",'DEF_SELF_SCOUT_IMPORT'!$E$42:$E$1040,SUBSTITUTE(SUBSTITUTE(SUBSTITUTE($B93,"~","~~"),"*","~*"),"?","~?"),'DEF_SELF_SCOUT_IMPORT'!$Q$42:$Q$1040,SUBSTITUTE(SUBSTITUTE(SUBSTITUTE($M93,"~","~~"),"*","~*"),"?","~?"),'DEF_SELF_SCOUT_IMPORT'!$H$42:$H$1040,"RUSH")/$C93)</f>
        <v>0.0</v>
      </c>
      <c r="H93" s="10">
        <f>IF($C93=0,"",COUNTIFS('DEF_SELF_SCOUT_IMPORT'!$L$42:$L$1040,"Y",'DEF_SELF_SCOUT_IMPORT'!$E$42:$E$1040,SUBSTITUTE(SUBSTITUTE(SUBSTITUTE($B93,"~","~~"),"*","~*"),"?","~?"),'DEF_SELF_SCOUT_IMPORT'!$Q$42:$Q$1040,SUBSTITUTE(SUBSTITUTE(SUBSTITUTE($M93,"~","~~"),"*","~*"),"?","~?"),'DEF_SELF_SCOUT_IMPORT'!$H$42:$H$1040,"DROPBACK")/$C93)</f>
        <v>1.0</v>
      </c>
      <c r="I93" s="14" t="str">
        <f>IF(C93=0,"",IF(C93&lt;=2,"TRACK",IF(C93=3,"LOW",IF(C93&lt;=6,"MEDIUM","HIGH"))))</f>
        <v>TRACK</v>
      </c>
      <c r="J93" s="11">
        <f>IF(C93=0,"",ROUND(D93*70+(1-E93)*20+MAX(0,MIN(1,(10-F93)/10))*10,1))</f>
        <v>100.0</v>
      </c>
      <c r="K93" s="14" t="str">
        <f>IF(C93=0,"No Evidence",IF(C93&lt;=2,IF(E93&gt;0,"Explosive Alert","Track Only"),IF(C93=3,"Sample Watch",IF(E93&gt;=START_HERE!$B$31,"Explosive Alert",IF(J93&gt;=80,"Strong Candidate",IF(J93&gt;=65,"Good Candidate",IF(J93&gt;=50,"Mixed / Review","Problem Call")))))))</f>
        <v>Track Only</v>
      </c>
      <c r="L93" s="9" t="str">
        <f>IF(COUNTIFS('DEF_SELF_SCOUT_IMPORT'!$L$42:$L$1040,"Y",'DEF_SELF_SCOUT_IMPORT'!$E$42:$E$1040,SUBSTITUTE(SUBSTITUTE(SUBSTITUTE($B93,"~","~~"),"*","~*"),"?","~?"),'DEF_SELF_SCOUT_IMPORT'!$Q$42:$Q$1040,SUBSTITUTE(SUBSTITUTE(SUBSTITUTE($M93,"~","~~"),"*","~*"),"?","~?"),'DEF_SELF_SCOUT_IMPORT'!$J$42:$J$1040,"")&gt;0,"Unscored clean outcome; review result tags before using score.",IF(C93=0,"No matching defensive reps; film confirmation needed.",IF(K93="Explosive Alert","Explosive risk; review clips before using as answer.",IF(C93&lt;=2,"Track only; not enough sample.",IF(C93=3,IF(E93&gt;0,"Sample watch with explosive exposure; review clips and build the sample.",IF(J93&gt;=65,"Good signal, but sample is limited.","Sample watch; review clips and build the sample.")),IF(K93="Problem Call","Problem area; practice or call-sheet review.",IF(K93="Strong Candidate","Strong call-fit candidate; confirm on film.",IF(K93="Good Candidate","Good call-fit signal; confirm on film.","Mixed signal; review fit and execution on film."))))))))</f>
        <v>Track only; not enough sample.</v>
      </c>
      <c r="M93" s="8" t="s">
        <v>85</v>
      </c>
      <c r="N93" s="8"/>
      <c r="O93" s="8"/>
      <c r="P93" s="8"/>
      <c r="Q93" s="8"/>
      <c r="R93" s="8" t="s">
        <v>28</v>
      </c>
      <c r="S93" s="2" t="s">
        <v>86</v>
      </c>
      <c r="T93" s="2">
        <f>IF(C93=0,0,IF(C93&gt;=CALL_LOOKUP_BOARD!$B$7,IF(OR(K93="Problem Call",K93="Explosive Alert"),10000000,20000000),0)+IF(C93&gt;=CALL_LOOKUP_BOARD!$B$7,J93*1000+MIN(C93,999),C93*1000+J93)+0.00991600)</f>
        <v>1100.009916</v>
      </c>
      <c r="U93" s="2">
        <f>IF(C93=0,"",IF(COUNTIFS($S$10:$S$178,SUBSTITUTE(SUBSTITUTE(SUBSTITUTE(S93,"~","~~"),"*","~*"),"?","~?"),$T$10:$T$178,"&gt;"&amp;T93)=0,S93,""))</f>
        <v/>
      </c>
    </row>
    <row r="94" spans="1:21" ht="38" customHeight="1">
      <c r="A94" s="8" t="s">
        <v>85</v>
      </c>
      <c r="B94" s="8" t="s">
        <v>51</v>
      </c>
      <c r="C94" s="12">
        <f>COUNTIFS('DEF_SELF_SCOUT_IMPORT'!$L$42:$L$1040,"Y",'DEF_SELF_SCOUT_IMPORT'!$E$42:$E$1040,SUBSTITUTE(SUBSTITUTE(SUBSTITUTE($B94,"~","~~"),"*","~*"),"?","~?"),'DEF_SELF_SCOUT_IMPORT'!$Q$42:$Q$1040,SUBSTITUTE(SUBSTITUTE(SUBSTITUTE($M94,"~","~~"),"*","~*"),"?","~?"))</f>
        <v>1</v>
      </c>
      <c r="D94" s="10">
        <f>IF($C94=0,"",SUMIFS('DEF_SELF_SCOUT_IMPORT'!$J$42:$J$1040,'DEF_SELF_SCOUT_IMPORT'!$L$42:$L$1040,"Y",'DEF_SELF_SCOUT_IMPORT'!$E$42:$E$1040,SUBSTITUTE(SUBSTITUTE(SUBSTITUTE($B94,"~","~~"),"*","~*"),"?","~?"),'DEF_SELF_SCOUT_IMPORT'!$Q$42:$Q$1040,SUBSTITUTE(SUBSTITUTE(SUBSTITUTE($M94,"~","~~"),"*","~*"),"?","~?"))/$C94)</f>
        <v>0.0</v>
      </c>
      <c r="E94" s="10">
        <f>IF($C94=0,"",SUMIFS('DEF_SELF_SCOUT_IMPORT'!$K$42:$K$1040,'DEF_SELF_SCOUT_IMPORT'!$L$42:$L$1040,"Y",'DEF_SELF_SCOUT_IMPORT'!$E$42:$E$1040,SUBSTITUTE(SUBSTITUTE(SUBSTITUTE($B94,"~","~~"),"*","~*"),"?","~?"),'DEF_SELF_SCOUT_IMPORT'!$Q$42:$Q$1040,SUBSTITUTE(SUBSTITUTE(SUBSTITUTE($M94,"~","~~"),"*","~*"),"?","~?"))/$C94)</f>
        <v>1.0</v>
      </c>
      <c r="F94" s="11">
        <f>IF($C94=0,"",AVERAGEIFS('DEF_SELF_SCOUT_IMPORT'!$I$42:$I$1040,'DEF_SELF_SCOUT_IMPORT'!$L$42:$L$1040,"Y",'DEF_SELF_SCOUT_IMPORT'!$E$42:$E$1040,SUBSTITUTE(SUBSTITUTE(SUBSTITUTE($B94,"~","~~"),"*","~*"),"?","~?"),'DEF_SELF_SCOUT_IMPORT'!$Q$42:$Q$1040,SUBSTITUTE(SUBSTITUTE(SUBSTITUTE($M94,"~","~~"),"*","~*"),"?","~?")))</f>
        <v>19.0</v>
      </c>
      <c r="G94" s="10">
        <f>IF($C94=0,"",COUNTIFS('DEF_SELF_SCOUT_IMPORT'!$L$42:$L$1040,"Y",'DEF_SELF_SCOUT_IMPORT'!$E$42:$E$1040,SUBSTITUTE(SUBSTITUTE(SUBSTITUTE($B94,"~","~~"),"*","~*"),"?","~?"),'DEF_SELF_SCOUT_IMPORT'!$Q$42:$Q$1040,SUBSTITUTE(SUBSTITUTE(SUBSTITUTE($M94,"~","~~"),"*","~*"),"?","~?"),'DEF_SELF_SCOUT_IMPORT'!$H$42:$H$1040,"RUSH")/$C94)</f>
        <v>0.0</v>
      </c>
      <c r="H94" s="10">
        <f>IF($C94=0,"",COUNTIFS('DEF_SELF_SCOUT_IMPORT'!$L$42:$L$1040,"Y",'DEF_SELF_SCOUT_IMPORT'!$E$42:$E$1040,SUBSTITUTE(SUBSTITUTE(SUBSTITUTE($B94,"~","~~"),"*","~*"),"?","~?"),'DEF_SELF_SCOUT_IMPORT'!$Q$42:$Q$1040,SUBSTITUTE(SUBSTITUTE(SUBSTITUTE($M94,"~","~~"),"*","~*"),"?","~?"),'DEF_SELF_SCOUT_IMPORT'!$H$42:$H$1040,"DROPBACK")/$C94)</f>
        <v>1.0</v>
      </c>
      <c r="I94" s="14" t="str">
        <f>IF(C94=0,"",IF(C94&lt;=2,"TRACK",IF(C94=3,"LOW",IF(C94&lt;=6,"MEDIUM","HIGH"))))</f>
        <v>TRACK</v>
      </c>
      <c r="J94" s="11">
        <f>IF(C94=0,"",ROUND(D94*70+(1-E94)*20+MAX(0,MIN(1,(10-F94)/10))*10,1))</f>
        <v>0.0</v>
      </c>
      <c r="K94" s="14" t="str">
        <f>IF(C94=0,"No Evidence",IF(C94&lt;=2,IF(E94&gt;0,"Explosive Alert","Track Only"),IF(C94=3,"Sample Watch",IF(E94&gt;=START_HERE!$B$31,"Explosive Alert",IF(J94&gt;=80,"Strong Candidate",IF(J94&gt;=65,"Good Candidate",IF(J94&gt;=50,"Mixed / Review","Problem Call")))))))</f>
        <v>Explosive Alert</v>
      </c>
      <c r="L94" s="9" t="str">
        <f>IF(COUNTIFS('DEF_SELF_SCOUT_IMPORT'!$L$42:$L$1040,"Y",'DEF_SELF_SCOUT_IMPORT'!$E$42:$E$1040,SUBSTITUTE(SUBSTITUTE(SUBSTITUTE($B94,"~","~~"),"*","~*"),"?","~?"),'DEF_SELF_SCOUT_IMPORT'!$Q$42:$Q$1040,SUBSTITUTE(SUBSTITUTE(SUBSTITUTE($M94,"~","~~"),"*","~*"),"?","~?"),'DEF_SELF_SCOUT_IMPORT'!$J$42:$J$1040,"")&gt;0,"Unscored clean outcome; review result tags before using score.",IF(C94=0,"No matching defensive reps; film confirmation needed.",IF(K94="Explosive Alert","Explosive risk; review clips before using as answer.",IF(C94&lt;=2,"Track only; not enough sample.",IF(C94=3,IF(E94&gt;0,"Sample watch with explosive exposure; review clips and build the sample.",IF(J94&gt;=65,"Good signal, but sample is limited.","Sample watch; review clips and build the sample.")),IF(K94="Problem Call","Problem area; practice or call-sheet review.",IF(K94="Strong Candidate","Strong call-fit candidate; confirm on film.",IF(K94="Good Candidate","Good call-fit signal; confirm on film.","Mixed signal; review fit and execution on film."))))))))</f>
        <v>Explosive risk; review clips before using as answer.</v>
      </c>
      <c r="M94" s="8" t="s">
        <v>85</v>
      </c>
      <c r="N94" s="8"/>
      <c r="O94" s="8"/>
      <c r="P94" s="8"/>
      <c r="Q94" s="8"/>
      <c r="R94" s="8" t="s">
        <v>28</v>
      </c>
      <c r="S94" s="2" t="s">
        <v>86</v>
      </c>
      <c r="T94" s="2">
        <f>IF(C94=0,0,IF(C94&gt;=CALL_LOOKUP_BOARD!$B$7,IF(OR(K94="Problem Call",K94="Explosive Alert"),10000000,20000000),0)+IF(C94&gt;=CALL_LOOKUP_BOARD!$B$7,J94*1000+MIN(C94,999),C94*1000+J94)+0.00991500)</f>
        <v>1000.009915</v>
      </c>
      <c r="U94" s="2">
        <f>IF(C94=0,"",IF(COUNTIFS($S$10:$S$178,SUBSTITUTE(SUBSTITUTE(SUBSTITUTE(S94,"~","~~"),"*","~*"),"?","~?"),$T$10:$T$178,"&gt;"&amp;T94)=0,S94,""))</f>
        <v/>
      </c>
    </row>
    <row r="95" spans="1:21" ht="38" customHeight="1">
      <c r="A95" s="8" t="s">
        <v>85</v>
      </c>
      <c r="B95" s="8" t="s">
        <v>88</v>
      </c>
      <c r="C95" s="12">
        <f>COUNTIFS('DEF_SELF_SCOUT_IMPORT'!$L$42:$L$1040,"Y",'DEF_SELF_SCOUT_IMPORT'!$E$42:$E$1040,SUBSTITUTE(SUBSTITUTE(SUBSTITUTE($B95,"~","~~"),"*","~*"),"?","~?"),'DEF_SELF_SCOUT_IMPORT'!$Q$42:$Q$1040,SUBSTITUTE(SUBSTITUTE(SUBSTITUTE($M95,"~","~~"),"*","~*"),"?","~?"))</f>
        <v>1</v>
      </c>
      <c r="D95" s="10">
        <f>IF($C95=0,"",SUMIFS('DEF_SELF_SCOUT_IMPORT'!$J$42:$J$1040,'DEF_SELF_SCOUT_IMPORT'!$L$42:$L$1040,"Y",'DEF_SELF_SCOUT_IMPORT'!$E$42:$E$1040,SUBSTITUTE(SUBSTITUTE(SUBSTITUTE($B95,"~","~~"),"*","~*"),"?","~?"),'DEF_SELF_SCOUT_IMPORT'!$Q$42:$Q$1040,SUBSTITUTE(SUBSTITUTE(SUBSTITUTE($M95,"~","~~"),"*","~*"),"?","~?"))/$C95)</f>
        <v>1.0</v>
      </c>
      <c r="E95" s="10">
        <f>IF($C95=0,"",SUMIFS('DEF_SELF_SCOUT_IMPORT'!$K$42:$K$1040,'DEF_SELF_SCOUT_IMPORT'!$L$42:$L$1040,"Y",'DEF_SELF_SCOUT_IMPORT'!$E$42:$E$1040,SUBSTITUTE(SUBSTITUTE(SUBSTITUTE($B95,"~","~~"),"*","~*"),"?","~?"),'DEF_SELF_SCOUT_IMPORT'!$Q$42:$Q$1040,SUBSTITUTE(SUBSTITUTE(SUBSTITUTE($M95,"~","~~"),"*","~*"),"?","~?"))/$C95)</f>
        <v>0.0</v>
      </c>
      <c r="F95" s="11">
        <f>IF($C95=0,"",AVERAGEIFS('DEF_SELF_SCOUT_IMPORT'!$I$42:$I$1040,'DEF_SELF_SCOUT_IMPORT'!$L$42:$L$1040,"Y",'DEF_SELF_SCOUT_IMPORT'!$E$42:$E$1040,SUBSTITUTE(SUBSTITUTE(SUBSTITUTE($B95,"~","~~"),"*","~*"),"?","~?"),'DEF_SELF_SCOUT_IMPORT'!$Q$42:$Q$1040,SUBSTITUTE(SUBSTITUTE(SUBSTITUTE($M95,"~","~~"),"*","~*"),"?","~?")))</f>
        <v>3.0</v>
      </c>
      <c r="G95" s="10">
        <f>IF($C95=0,"",COUNTIFS('DEF_SELF_SCOUT_IMPORT'!$L$42:$L$1040,"Y",'DEF_SELF_SCOUT_IMPORT'!$E$42:$E$1040,SUBSTITUTE(SUBSTITUTE(SUBSTITUTE($B95,"~","~~"),"*","~*"),"?","~?"),'DEF_SELF_SCOUT_IMPORT'!$Q$42:$Q$1040,SUBSTITUTE(SUBSTITUTE(SUBSTITUTE($M95,"~","~~"),"*","~*"),"?","~?"),'DEF_SELF_SCOUT_IMPORT'!$H$42:$H$1040,"RUSH")/$C95)</f>
        <v>1.0</v>
      </c>
      <c r="H95" s="10">
        <f>IF($C95=0,"",COUNTIFS('DEF_SELF_SCOUT_IMPORT'!$L$42:$L$1040,"Y",'DEF_SELF_SCOUT_IMPORT'!$E$42:$E$1040,SUBSTITUTE(SUBSTITUTE(SUBSTITUTE($B95,"~","~~"),"*","~*"),"?","~?"),'DEF_SELF_SCOUT_IMPORT'!$Q$42:$Q$1040,SUBSTITUTE(SUBSTITUTE(SUBSTITUTE($M95,"~","~~"),"*","~*"),"?","~?"),'DEF_SELF_SCOUT_IMPORT'!$H$42:$H$1040,"DROPBACK")/$C95)</f>
        <v>0.0</v>
      </c>
      <c r="I95" s="14" t="str">
        <f>IF(C95=0,"",IF(C95&lt;=2,"TRACK",IF(C95=3,"LOW",IF(C95&lt;=6,"MEDIUM","HIGH"))))</f>
        <v>TRACK</v>
      </c>
      <c r="J95" s="11">
        <f>IF(C95=0,"",ROUND(D95*70+(1-E95)*20+MAX(0,MIN(1,(10-F95)/10))*10,1))</f>
        <v>97.0</v>
      </c>
      <c r="K95" s="14" t="str">
        <f>IF(C95=0,"No Evidence",IF(C95&lt;=2,IF(E95&gt;0,"Explosive Alert","Track Only"),IF(C95=3,"Sample Watch",IF(E95&gt;=START_HERE!$B$31,"Explosive Alert",IF(J95&gt;=80,"Strong Candidate",IF(J95&gt;=65,"Good Candidate",IF(J95&gt;=50,"Mixed / Review","Problem Call")))))))</f>
        <v>Track Only</v>
      </c>
      <c r="L95" s="9" t="str">
        <f>IF(COUNTIFS('DEF_SELF_SCOUT_IMPORT'!$L$42:$L$1040,"Y",'DEF_SELF_SCOUT_IMPORT'!$E$42:$E$1040,SUBSTITUTE(SUBSTITUTE(SUBSTITUTE($B95,"~","~~"),"*","~*"),"?","~?"),'DEF_SELF_SCOUT_IMPORT'!$Q$42:$Q$1040,SUBSTITUTE(SUBSTITUTE(SUBSTITUTE($M95,"~","~~"),"*","~*"),"?","~?"),'DEF_SELF_SCOUT_IMPORT'!$J$42:$J$1040,"")&gt;0,"Unscored clean outcome; review result tags before using score.",IF(C95=0,"No matching defensive reps; film confirmation needed.",IF(K95="Explosive Alert","Explosive risk; review clips before using as answer.",IF(C95&lt;=2,"Track only; not enough sample.",IF(C95=3,IF(E95&gt;0,"Sample watch with explosive exposure; review clips and build the sample.",IF(J95&gt;=65,"Good signal, but sample is limited.","Sample watch; review clips and build the sample.")),IF(K95="Problem Call","Problem area; practice or call-sheet review.",IF(K95="Strong Candidate","Strong call-fit candidate; confirm on film.",IF(K95="Good Candidate","Good call-fit signal; confirm on film.","Mixed signal; review fit and execution on film."))))))))</f>
        <v>Track only; not enough sample.</v>
      </c>
      <c r="M95" s="8" t="s">
        <v>85</v>
      </c>
      <c r="N95" s="8"/>
      <c r="O95" s="8"/>
      <c r="P95" s="8"/>
      <c r="Q95" s="8"/>
      <c r="R95" s="8" t="s">
        <v>28</v>
      </c>
      <c r="S95" s="2" t="s">
        <v>86</v>
      </c>
      <c r="T95" s="2">
        <f>IF(C95=0,0,IF(C95&gt;=CALL_LOOKUP_BOARD!$B$7,IF(OR(K95="Problem Call",K95="Explosive Alert"),10000000,20000000),0)+IF(C95&gt;=CALL_LOOKUP_BOARD!$B$7,J95*1000+MIN(C95,999),C95*1000+J95)+0.00991400)</f>
        <v>1097.009914</v>
      </c>
      <c r="U95" s="2">
        <f>IF(C95=0,"",IF(COUNTIFS($S$10:$S$178,SUBSTITUTE(SUBSTITUTE(SUBSTITUTE(S95,"~","~~"),"*","~*"),"?","~?"),$T$10:$T$178,"&gt;"&amp;T95)=0,S95,""))</f>
        <v/>
      </c>
    </row>
    <row r="96" spans="1:21" ht="38" customHeight="1">
      <c r="A96" s="8" t="s">
        <v>85</v>
      </c>
      <c r="B96" s="8" t="s">
        <v>53</v>
      </c>
      <c r="C96" s="12">
        <f>COUNTIFS('DEF_SELF_SCOUT_IMPORT'!$L$42:$L$1040,"Y",'DEF_SELF_SCOUT_IMPORT'!$E$42:$E$1040,SUBSTITUTE(SUBSTITUTE(SUBSTITUTE($B96,"~","~~"),"*","~*"),"?","~?"),'DEF_SELF_SCOUT_IMPORT'!$Q$42:$Q$1040,SUBSTITUTE(SUBSTITUTE(SUBSTITUTE($M96,"~","~~"),"*","~*"),"?","~?"))</f>
        <v>1</v>
      </c>
      <c r="D96" s="10">
        <f>IF($C96=0,"",SUMIFS('DEF_SELF_SCOUT_IMPORT'!$J$42:$J$1040,'DEF_SELF_SCOUT_IMPORT'!$L$42:$L$1040,"Y",'DEF_SELF_SCOUT_IMPORT'!$E$42:$E$1040,SUBSTITUTE(SUBSTITUTE(SUBSTITUTE($B96,"~","~~"),"*","~*"),"?","~?"),'DEF_SELF_SCOUT_IMPORT'!$Q$42:$Q$1040,SUBSTITUTE(SUBSTITUTE(SUBSTITUTE($M96,"~","~~"),"*","~*"),"?","~?"))/$C96)</f>
        <v>1.0</v>
      </c>
      <c r="E96" s="10">
        <f>IF($C96=0,"",SUMIFS('DEF_SELF_SCOUT_IMPORT'!$K$42:$K$1040,'DEF_SELF_SCOUT_IMPORT'!$L$42:$L$1040,"Y",'DEF_SELF_SCOUT_IMPORT'!$E$42:$E$1040,SUBSTITUTE(SUBSTITUTE(SUBSTITUTE($B96,"~","~~"),"*","~*"),"?","~?"),'DEF_SELF_SCOUT_IMPORT'!$Q$42:$Q$1040,SUBSTITUTE(SUBSTITUTE(SUBSTITUTE($M96,"~","~~"),"*","~*"),"?","~?"))/$C96)</f>
        <v>0.0</v>
      </c>
      <c r="F96" s="11">
        <f>IF($C96=0,"",AVERAGEIFS('DEF_SELF_SCOUT_IMPORT'!$I$42:$I$1040,'DEF_SELF_SCOUT_IMPORT'!$L$42:$L$1040,"Y",'DEF_SELF_SCOUT_IMPORT'!$E$42:$E$1040,SUBSTITUTE(SUBSTITUTE(SUBSTITUTE($B96,"~","~~"),"*","~*"),"?","~?"),'DEF_SELF_SCOUT_IMPORT'!$Q$42:$Q$1040,SUBSTITUTE(SUBSTITUTE(SUBSTITUTE($M96,"~","~~"),"*","~*"),"?","~?")))</f>
        <v>6.0</v>
      </c>
      <c r="G96" s="10">
        <f>IF($C96=0,"",COUNTIFS('DEF_SELF_SCOUT_IMPORT'!$L$42:$L$1040,"Y",'DEF_SELF_SCOUT_IMPORT'!$E$42:$E$1040,SUBSTITUTE(SUBSTITUTE(SUBSTITUTE($B96,"~","~~"),"*","~*"),"?","~?"),'DEF_SELF_SCOUT_IMPORT'!$Q$42:$Q$1040,SUBSTITUTE(SUBSTITUTE(SUBSTITUTE($M96,"~","~~"),"*","~*"),"?","~?"),'DEF_SELF_SCOUT_IMPORT'!$H$42:$H$1040,"RUSH")/$C96)</f>
        <v>0.0</v>
      </c>
      <c r="H96" s="10">
        <f>IF($C96=0,"",COUNTIFS('DEF_SELF_SCOUT_IMPORT'!$L$42:$L$1040,"Y",'DEF_SELF_SCOUT_IMPORT'!$E$42:$E$1040,SUBSTITUTE(SUBSTITUTE(SUBSTITUTE($B96,"~","~~"),"*","~*"),"?","~?"),'DEF_SELF_SCOUT_IMPORT'!$Q$42:$Q$1040,SUBSTITUTE(SUBSTITUTE(SUBSTITUTE($M96,"~","~~"),"*","~*"),"?","~?"),'DEF_SELF_SCOUT_IMPORT'!$H$42:$H$1040,"DROPBACK")/$C96)</f>
        <v>1.0</v>
      </c>
      <c r="I96" s="14" t="str">
        <f>IF(C96=0,"",IF(C96&lt;=2,"TRACK",IF(C96=3,"LOW",IF(C96&lt;=6,"MEDIUM","HIGH"))))</f>
        <v>TRACK</v>
      </c>
      <c r="J96" s="11">
        <f>IF(C96=0,"",ROUND(D96*70+(1-E96)*20+MAX(0,MIN(1,(10-F96)/10))*10,1))</f>
        <v>94.0</v>
      </c>
      <c r="K96" s="14" t="str">
        <f>IF(C96=0,"No Evidence",IF(C96&lt;=2,IF(E96&gt;0,"Explosive Alert","Track Only"),IF(C96=3,"Sample Watch",IF(E96&gt;=START_HERE!$B$31,"Explosive Alert",IF(J96&gt;=80,"Strong Candidate",IF(J96&gt;=65,"Good Candidate",IF(J96&gt;=50,"Mixed / Review","Problem Call")))))))</f>
        <v>Track Only</v>
      </c>
      <c r="L96" s="9" t="str">
        <f>IF(COUNTIFS('DEF_SELF_SCOUT_IMPORT'!$L$42:$L$1040,"Y",'DEF_SELF_SCOUT_IMPORT'!$E$42:$E$1040,SUBSTITUTE(SUBSTITUTE(SUBSTITUTE($B96,"~","~~"),"*","~*"),"?","~?"),'DEF_SELF_SCOUT_IMPORT'!$Q$42:$Q$1040,SUBSTITUTE(SUBSTITUTE(SUBSTITUTE($M96,"~","~~"),"*","~*"),"?","~?"),'DEF_SELF_SCOUT_IMPORT'!$J$42:$J$1040,"")&gt;0,"Unscored clean outcome; review result tags before using score.",IF(C96=0,"No matching defensive reps; film confirmation needed.",IF(K96="Explosive Alert","Explosive risk; review clips before using as answer.",IF(C96&lt;=2,"Track only; not enough sample.",IF(C96=3,IF(E96&gt;0,"Sample watch with explosive exposure; review clips and build the sample.",IF(J96&gt;=65,"Good signal, but sample is limited.","Sample watch; review clips and build the sample.")),IF(K96="Problem Call","Problem area; practice or call-sheet review.",IF(K96="Strong Candidate","Strong call-fit candidate; confirm on film.",IF(K96="Good Candidate","Good call-fit signal; confirm on film.","Mixed signal; review fit and execution on film."))))))))</f>
        <v>Track only; not enough sample.</v>
      </c>
      <c r="M96" s="8" t="s">
        <v>85</v>
      </c>
      <c r="N96" s="8"/>
      <c r="O96" s="8"/>
      <c r="P96" s="8"/>
      <c r="Q96" s="8"/>
      <c r="R96" s="8" t="s">
        <v>28</v>
      </c>
      <c r="S96" s="2" t="s">
        <v>86</v>
      </c>
      <c r="T96" s="2">
        <f>IF(C96=0,0,IF(C96&gt;=CALL_LOOKUP_BOARD!$B$7,IF(OR(K96="Problem Call",K96="Explosive Alert"),10000000,20000000),0)+IF(C96&gt;=CALL_LOOKUP_BOARD!$B$7,J96*1000+MIN(C96,999),C96*1000+J96)+0.00991300)</f>
        <v>1094.009913</v>
      </c>
      <c r="U96" s="2">
        <f>IF(C96=0,"",IF(COUNTIFS($S$10:$S$178,SUBSTITUTE(SUBSTITUTE(SUBSTITUTE(S96,"~","~~"),"*","~*"),"?","~?"),$T$10:$T$178,"&gt;"&amp;T96)=0,S96,""))</f>
        <v/>
      </c>
    </row>
    <row r="97" spans="1:21" ht="38" customHeight="1">
      <c r="A97" s="8" t="s">
        <v>85</v>
      </c>
      <c r="B97" s="8" t="s">
        <v>56</v>
      </c>
      <c r="C97" s="12">
        <f>COUNTIFS('DEF_SELF_SCOUT_IMPORT'!$L$42:$L$1040,"Y",'DEF_SELF_SCOUT_IMPORT'!$E$42:$E$1040,SUBSTITUTE(SUBSTITUTE(SUBSTITUTE($B97,"~","~~"),"*","~*"),"?","~?"),'DEF_SELF_SCOUT_IMPORT'!$Q$42:$Q$1040,SUBSTITUTE(SUBSTITUTE(SUBSTITUTE($M97,"~","~~"),"*","~*"),"?","~?"))</f>
        <v>1</v>
      </c>
      <c r="D97" s="10">
        <f>IF($C97=0,"",SUMIFS('DEF_SELF_SCOUT_IMPORT'!$J$42:$J$1040,'DEF_SELF_SCOUT_IMPORT'!$L$42:$L$1040,"Y",'DEF_SELF_SCOUT_IMPORT'!$E$42:$E$1040,SUBSTITUTE(SUBSTITUTE(SUBSTITUTE($B97,"~","~~"),"*","~*"),"?","~?"),'DEF_SELF_SCOUT_IMPORT'!$Q$42:$Q$1040,SUBSTITUTE(SUBSTITUTE(SUBSTITUTE($M97,"~","~~"),"*","~*"),"?","~?"))/$C97)</f>
        <v>0.0</v>
      </c>
      <c r="E97" s="10">
        <f>IF($C97=0,"",SUMIFS('DEF_SELF_SCOUT_IMPORT'!$K$42:$K$1040,'DEF_SELF_SCOUT_IMPORT'!$L$42:$L$1040,"Y",'DEF_SELF_SCOUT_IMPORT'!$E$42:$E$1040,SUBSTITUTE(SUBSTITUTE(SUBSTITUTE($B97,"~","~~"),"*","~*"),"?","~?"),'DEF_SELF_SCOUT_IMPORT'!$Q$42:$Q$1040,SUBSTITUTE(SUBSTITUTE(SUBSTITUTE($M97,"~","~~"),"*","~*"),"?","~?"))/$C97)</f>
        <v>0.0</v>
      </c>
      <c r="F97" s="11">
        <f>IF($C97=0,"",AVERAGEIFS('DEF_SELF_SCOUT_IMPORT'!$I$42:$I$1040,'DEF_SELF_SCOUT_IMPORT'!$L$42:$L$1040,"Y",'DEF_SELF_SCOUT_IMPORT'!$E$42:$E$1040,SUBSTITUTE(SUBSTITUTE(SUBSTITUTE($B97,"~","~~"),"*","~*"),"?","~?"),'DEF_SELF_SCOUT_IMPORT'!$Q$42:$Q$1040,SUBSTITUTE(SUBSTITUTE(SUBSTITUTE($M97,"~","~~"),"*","~*"),"?","~?")))</f>
        <v>9.0</v>
      </c>
      <c r="G97" s="10">
        <f>IF($C97=0,"",COUNTIFS('DEF_SELF_SCOUT_IMPORT'!$L$42:$L$1040,"Y",'DEF_SELF_SCOUT_IMPORT'!$E$42:$E$1040,SUBSTITUTE(SUBSTITUTE(SUBSTITUTE($B97,"~","~~"),"*","~*"),"?","~?"),'DEF_SELF_SCOUT_IMPORT'!$Q$42:$Q$1040,SUBSTITUTE(SUBSTITUTE(SUBSTITUTE($M97,"~","~~"),"*","~*"),"?","~?"),'DEF_SELF_SCOUT_IMPORT'!$H$42:$H$1040,"RUSH")/$C97)</f>
        <v>0.0</v>
      </c>
      <c r="H97" s="10">
        <f>IF($C97=0,"",COUNTIFS('DEF_SELF_SCOUT_IMPORT'!$L$42:$L$1040,"Y",'DEF_SELF_SCOUT_IMPORT'!$E$42:$E$1040,SUBSTITUTE(SUBSTITUTE(SUBSTITUTE($B97,"~","~~"),"*","~*"),"?","~?"),'DEF_SELF_SCOUT_IMPORT'!$Q$42:$Q$1040,SUBSTITUTE(SUBSTITUTE(SUBSTITUTE($M97,"~","~~"),"*","~*"),"?","~?"),'DEF_SELF_SCOUT_IMPORT'!$H$42:$H$1040,"DROPBACK")/$C97)</f>
        <v>1.0</v>
      </c>
      <c r="I97" s="14" t="str">
        <f>IF(C97=0,"",IF(C97&lt;=2,"TRACK",IF(C97=3,"LOW",IF(C97&lt;=6,"MEDIUM","HIGH"))))</f>
        <v>TRACK</v>
      </c>
      <c r="J97" s="11">
        <f>IF(C97=0,"",ROUND(D97*70+(1-E97)*20+MAX(0,MIN(1,(10-F97)/10))*10,1))</f>
        <v>21.0</v>
      </c>
      <c r="K97" s="14" t="str">
        <f>IF(C97=0,"No Evidence",IF(C97&lt;=2,IF(E97&gt;0,"Explosive Alert","Track Only"),IF(C97=3,"Sample Watch",IF(E97&gt;=START_HERE!$B$31,"Explosive Alert",IF(J97&gt;=80,"Strong Candidate",IF(J97&gt;=65,"Good Candidate",IF(J97&gt;=50,"Mixed / Review","Problem Call")))))))</f>
        <v>Track Only</v>
      </c>
      <c r="L97" s="9" t="str">
        <f>IF(COUNTIFS('DEF_SELF_SCOUT_IMPORT'!$L$42:$L$1040,"Y",'DEF_SELF_SCOUT_IMPORT'!$E$42:$E$1040,SUBSTITUTE(SUBSTITUTE(SUBSTITUTE($B97,"~","~~"),"*","~*"),"?","~?"),'DEF_SELF_SCOUT_IMPORT'!$Q$42:$Q$1040,SUBSTITUTE(SUBSTITUTE(SUBSTITUTE($M97,"~","~~"),"*","~*"),"?","~?"),'DEF_SELF_SCOUT_IMPORT'!$J$42:$J$1040,"")&gt;0,"Unscored clean outcome; review result tags before using score.",IF(C97=0,"No matching defensive reps; film confirmation needed.",IF(K97="Explosive Alert","Explosive risk; review clips before using as answer.",IF(C97&lt;=2,"Track only; not enough sample.",IF(C97=3,IF(E97&gt;0,"Sample watch with explosive exposure; review clips and build the sample.",IF(J97&gt;=65,"Good signal, but sample is limited.","Sample watch; review clips and build the sample.")),IF(K97="Problem Call","Problem area; practice or call-sheet review.",IF(K97="Strong Candidate","Strong call-fit candidate; confirm on film.",IF(K97="Good Candidate","Good call-fit signal; confirm on film.","Mixed signal; review fit and execution on film."))))))))</f>
        <v>Track only; not enough sample.</v>
      </c>
      <c r="M97" s="8" t="s">
        <v>85</v>
      </c>
      <c r="N97" s="8"/>
      <c r="O97" s="8"/>
      <c r="P97" s="8"/>
      <c r="Q97" s="8"/>
      <c r="R97" s="8" t="s">
        <v>28</v>
      </c>
      <c r="S97" s="2" t="s">
        <v>86</v>
      </c>
      <c r="T97" s="2">
        <f>IF(C97=0,0,IF(C97&gt;=CALL_LOOKUP_BOARD!$B$7,IF(OR(K97="Problem Call",K97="Explosive Alert"),10000000,20000000),0)+IF(C97&gt;=CALL_LOOKUP_BOARD!$B$7,J97*1000+MIN(C97,999),C97*1000+J97)+0.00991200)</f>
        <v>1021.009912</v>
      </c>
      <c r="U97" s="2">
        <f>IF(C97=0,"",IF(COUNTIFS($S$10:$S$178,SUBSTITUTE(SUBSTITUTE(SUBSTITUTE(S97,"~","~~"),"*","~*"),"?","~?"),$T$10:$T$178,"&gt;"&amp;T97)=0,S97,""))</f>
        <v/>
      </c>
    </row>
    <row r="98" spans="1:21" ht="38" customHeight="1">
      <c r="A98" s="8" t="s">
        <v>85</v>
      </c>
      <c r="B98" s="8" t="s">
        <v>35</v>
      </c>
      <c r="C98" s="12">
        <f>COUNTIFS('DEF_SELF_SCOUT_IMPORT'!$L$42:$L$1040,"Y",'DEF_SELF_SCOUT_IMPORT'!$E$42:$E$1040,SUBSTITUTE(SUBSTITUTE(SUBSTITUTE($B98,"~","~~"),"*","~*"),"?","~?"),'DEF_SELF_SCOUT_IMPORT'!$Q$42:$Q$1040,SUBSTITUTE(SUBSTITUTE(SUBSTITUTE($M98,"~","~~"),"*","~*"),"?","~?"))</f>
        <v>2</v>
      </c>
      <c r="D98" s="10">
        <f>IF($C98=0,"",SUMIFS('DEF_SELF_SCOUT_IMPORT'!$J$42:$J$1040,'DEF_SELF_SCOUT_IMPORT'!$L$42:$L$1040,"Y",'DEF_SELF_SCOUT_IMPORT'!$E$42:$E$1040,SUBSTITUTE(SUBSTITUTE(SUBSTITUTE($B98,"~","~~"),"*","~*"),"?","~?"),'DEF_SELF_SCOUT_IMPORT'!$Q$42:$Q$1040,SUBSTITUTE(SUBSTITUTE(SUBSTITUTE($M98,"~","~~"),"*","~*"),"?","~?"))/$C98)</f>
        <v>0.0</v>
      </c>
      <c r="E98" s="10">
        <f>IF($C98=0,"",SUMIFS('DEF_SELF_SCOUT_IMPORT'!$K$42:$K$1040,'DEF_SELF_SCOUT_IMPORT'!$L$42:$L$1040,"Y",'DEF_SELF_SCOUT_IMPORT'!$E$42:$E$1040,SUBSTITUTE(SUBSTITUTE(SUBSTITUTE($B98,"~","~~"),"*","~*"),"?","~?"),'DEF_SELF_SCOUT_IMPORT'!$Q$42:$Q$1040,SUBSTITUTE(SUBSTITUTE(SUBSTITUTE($M98,"~","~~"),"*","~*"),"?","~?"))/$C98)</f>
        <v>0.0</v>
      </c>
      <c r="F98" s="11">
        <f>IF($C98=0,"",AVERAGEIFS('DEF_SELF_SCOUT_IMPORT'!$I$42:$I$1040,'DEF_SELF_SCOUT_IMPORT'!$L$42:$L$1040,"Y",'DEF_SELF_SCOUT_IMPORT'!$E$42:$E$1040,SUBSTITUTE(SUBSTITUTE(SUBSTITUTE($B98,"~","~~"),"*","~*"),"?","~?"),'DEF_SELF_SCOUT_IMPORT'!$Q$42:$Q$1040,SUBSTITUTE(SUBSTITUTE(SUBSTITUTE($M98,"~","~~"),"*","~*"),"?","~?")))</f>
        <v>7.5</v>
      </c>
      <c r="G98" s="10">
        <f>IF($C98=0,"",COUNTIFS('DEF_SELF_SCOUT_IMPORT'!$L$42:$L$1040,"Y",'DEF_SELF_SCOUT_IMPORT'!$E$42:$E$1040,SUBSTITUTE(SUBSTITUTE(SUBSTITUTE($B98,"~","~~"),"*","~*"),"?","~?"),'DEF_SELF_SCOUT_IMPORT'!$Q$42:$Q$1040,SUBSTITUTE(SUBSTITUTE(SUBSTITUTE($M98,"~","~~"),"*","~*"),"?","~?"),'DEF_SELF_SCOUT_IMPORT'!$H$42:$H$1040,"RUSH")/$C98)</f>
        <v>0.5</v>
      </c>
      <c r="H98" s="10">
        <f>IF($C98=0,"",COUNTIFS('DEF_SELF_SCOUT_IMPORT'!$L$42:$L$1040,"Y",'DEF_SELF_SCOUT_IMPORT'!$E$42:$E$1040,SUBSTITUTE(SUBSTITUTE(SUBSTITUTE($B98,"~","~~"),"*","~*"),"?","~?"),'DEF_SELF_SCOUT_IMPORT'!$Q$42:$Q$1040,SUBSTITUTE(SUBSTITUTE(SUBSTITUTE($M98,"~","~~"),"*","~*"),"?","~?"),'DEF_SELF_SCOUT_IMPORT'!$H$42:$H$1040,"DROPBACK")/$C98)</f>
        <v>0.0</v>
      </c>
      <c r="I98" s="14" t="str">
        <f>IF(C98=0,"",IF(C98&lt;=2,"TRACK",IF(C98=3,"LOW",IF(C98&lt;=6,"MEDIUM","HIGH"))))</f>
        <v>TRACK</v>
      </c>
      <c r="J98" s="11">
        <f>IF(C98=0,"",ROUND(D98*70+(1-E98)*20+MAX(0,MIN(1,(10-F98)/10))*10,1))</f>
        <v>22.5</v>
      </c>
      <c r="K98" s="14" t="str">
        <f>IF(C98=0,"No Evidence",IF(C98&lt;=2,IF(E98&gt;0,"Explosive Alert","Track Only"),IF(C98=3,"Sample Watch",IF(E98&gt;=START_HERE!$B$31,"Explosive Alert",IF(J98&gt;=80,"Strong Candidate",IF(J98&gt;=65,"Good Candidate",IF(J98&gt;=50,"Mixed / Review","Problem Call")))))))</f>
        <v>Track Only</v>
      </c>
      <c r="L98" s="9" t="str">
        <f>IF(COUNTIFS('DEF_SELF_SCOUT_IMPORT'!$L$42:$L$1040,"Y",'DEF_SELF_SCOUT_IMPORT'!$E$42:$E$1040,SUBSTITUTE(SUBSTITUTE(SUBSTITUTE($B98,"~","~~"),"*","~*"),"?","~?"),'DEF_SELF_SCOUT_IMPORT'!$Q$42:$Q$1040,SUBSTITUTE(SUBSTITUTE(SUBSTITUTE($M98,"~","~~"),"*","~*"),"?","~?"),'DEF_SELF_SCOUT_IMPORT'!$J$42:$J$1040,"")&gt;0,"Unscored clean outcome; review result tags before using score.",IF(C98=0,"No matching defensive reps; film confirmation needed.",IF(K98="Explosive Alert","Explosive risk; review clips before using as answer.",IF(C98&lt;=2,"Track only; not enough sample.",IF(C98=3,IF(E98&gt;0,"Sample watch with explosive exposure; review clips and build the sample.",IF(J98&gt;=65,"Good signal, but sample is limited.","Sample watch; review clips and build the sample.")),IF(K98="Problem Call","Problem area; practice or call-sheet review.",IF(K98="Strong Candidate","Strong call-fit candidate; confirm on film.",IF(K98="Good Candidate","Good call-fit signal; confirm on film.","Mixed signal; review fit and execution on film."))))))))</f>
        <v>Track only; not enough sample.</v>
      </c>
      <c r="M98" s="8" t="s">
        <v>85</v>
      </c>
      <c r="N98" s="8"/>
      <c r="O98" s="8"/>
      <c r="P98" s="8"/>
      <c r="Q98" s="8"/>
      <c r="R98" s="8" t="s">
        <v>28</v>
      </c>
      <c r="S98" s="2" t="s">
        <v>86</v>
      </c>
      <c r="T98" s="2">
        <f>IF(C98=0,0,IF(C98&gt;=CALL_LOOKUP_BOARD!$B$7,IF(OR(K98="Problem Call",K98="Explosive Alert"),10000000,20000000),0)+IF(C98&gt;=CALL_LOOKUP_BOARD!$B$7,J98*1000+MIN(C98,999),C98*1000+J98)+0.00991100)</f>
        <v>2022.509911</v>
      </c>
      <c r="U98" s="2">
        <f>IF(C98=0,"",IF(COUNTIFS($S$10:$S$178,SUBSTITUTE(SUBSTITUTE(SUBSTITUTE(S98,"~","~~"),"*","~*"),"?","~?"),$T$10:$T$178,"&gt;"&amp;T98)=0,S98,""))</f>
        <v/>
      </c>
    </row>
    <row r="99" spans="1:21" ht="38" customHeight="1">
      <c r="A99" s="8" t="s">
        <v>85</v>
      </c>
      <c r="B99" s="8" t="s">
        <v>60</v>
      </c>
      <c r="C99" s="12">
        <f>COUNTIFS('DEF_SELF_SCOUT_IMPORT'!$L$42:$L$1040,"Y",'DEF_SELF_SCOUT_IMPORT'!$E$42:$E$1040,SUBSTITUTE(SUBSTITUTE(SUBSTITUTE($B99,"~","~~"),"*","~*"),"?","~?"),'DEF_SELF_SCOUT_IMPORT'!$Q$42:$Q$1040,SUBSTITUTE(SUBSTITUTE(SUBSTITUTE($M99,"~","~~"),"*","~*"),"?","~?"))</f>
        <v>3</v>
      </c>
      <c r="D99" s="10">
        <f>IF($C99=0,"",SUMIFS('DEF_SELF_SCOUT_IMPORT'!$J$42:$J$1040,'DEF_SELF_SCOUT_IMPORT'!$L$42:$L$1040,"Y",'DEF_SELF_SCOUT_IMPORT'!$E$42:$E$1040,SUBSTITUTE(SUBSTITUTE(SUBSTITUTE($B99,"~","~~"),"*","~*"),"?","~?"),'DEF_SELF_SCOUT_IMPORT'!$Q$42:$Q$1040,SUBSTITUTE(SUBSTITUTE(SUBSTITUTE($M99,"~","~~"),"*","~*"),"?","~?"))/$C99)</f>
        <v>0.6666666666666666</v>
      </c>
      <c r="E99" s="10">
        <f>IF($C99=0,"",SUMIFS('DEF_SELF_SCOUT_IMPORT'!$K$42:$K$1040,'DEF_SELF_SCOUT_IMPORT'!$L$42:$L$1040,"Y",'DEF_SELF_SCOUT_IMPORT'!$E$42:$E$1040,SUBSTITUTE(SUBSTITUTE(SUBSTITUTE($B99,"~","~~"),"*","~*"),"?","~?"),'DEF_SELF_SCOUT_IMPORT'!$Q$42:$Q$1040,SUBSTITUTE(SUBSTITUTE(SUBSTITUTE($M99,"~","~~"),"*","~*"),"?","~?"))/$C99)</f>
        <v>0.0</v>
      </c>
      <c r="F99" s="11">
        <f>IF($C99=0,"",AVERAGEIFS('DEF_SELF_SCOUT_IMPORT'!$I$42:$I$1040,'DEF_SELF_SCOUT_IMPORT'!$L$42:$L$1040,"Y",'DEF_SELF_SCOUT_IMPORT'!$E$42:$E$1040,SUBSTITUTE(SUBSTITUTE(SUBSTITUTE($B99,"~","~~"),"*","~*"),"?","~?"),'DEF_SELF_SCOUT_IMPORT'!$Q$42:$Q$1040,SUBSTITUTE(SUBSTITUTE(SUBSTITUTE($M99,"~","~~"),"*","~*"),"?","~?")))</f>
        <v>3.3333333333333335</v>
      </c>
      <c r="G99" s="10">
        <f>IF($C99=0,"",COUNTIFS('DEF_SELF_SCOUT_IMPORT'!$L$42:$L$1040,"Y",'DEF_SELF_SCOUT_IMPORT'!$E$42:$E$1040,SUBSTITUTE(SUBSTITUTE(SUBSTITUTE($B99,"~","~~"),"*","~*"),"?","~?"),'DEF_SELF_SCOUT_IMPORT'!$Q$42:$Q$1040,SUBSTITUTE(SUBSTITUTE(SUBSTITUTE($M99,"~","~~"),"*","~*"),"?","~?"),'DEF_SELF_SCOUT_IMPORT'!$H$42:$H$1040,"RUSH")/$C99)</f>
        <v>0.3333333333333333</v>
      </c>
      <c r="H99" s="10">
        <f>IF($C99=0,"",COUNTIFS('DEF_SELF_SCOUT_IMPORT'!$L$42:$L$1040,"Y",'DEF_SELF_SCOUT_IMPORT'!$E$42:$E$1040,SUBSTITUTE(SUBSTITUTE(SUBSTITUTE($B99,"~","~~"),"*","~*"),"?","~?"),'DEF_SELF_SCOUT_IMPORT'!$Q$42:$Q$1040,SUBSTITUTE(SUBSTITUTE(SUBSTITUTE($M99,"~","~~"),"*","~*"),"?","~?"),'DEF_SELF_SCOUT_IMPORT'!$H$42:$H$1040,"DROPBACK")/$C99)</f>
        <v>0.6666666666666666</v>
      </c>
      <c r="I99" s="14" t="str">
        <f>IF(C99=0,"",IF(C99&lt;=2,"TRACK",IF(C99=3,"LOW",IF(C99&lt;=6,"MEDIUM","HIGH"))))</f>
        <v>LOW</v>
      </c>
      <c r="J99" s="11">
        <f>IF(C99=0,"",ROUND(D99*70+(1-E99)*20+MAX(0,MIN(1,(10-F99)/10))*10,1))</f>
        <v>73.3</v>
      </c>
      <c r="K99" s="14" t="str">
        <f>IF(C99=0,"No Evidence",IF(C99&lt;=2,IF(E99&gt;0,"Explosive Alert","Track Only"),IF(C99=3,"Sample Watch",IF(E99&gt;=START_HERE!$B$31,"Explosive Alert",IF(J99&gt;=80,"Strong Candidate",IF(J99&gt;=65,"Good Candidate",IF(J99&gt;=50,"Mixed / Review","Problem Call")))))))</f>
        <v>Sample Watch</v>
      </c>
      <c r="L99" s="9" t="str">
        <f>IF(COUNTIFS('DEF_SELF_SCOUT_IMPORT'!$L$42:$L$1040,"Y",'DEF_SELF_SCOUT_IMPORT'!$E$42:$E$1040,SUBSTITUTE(SUBSTITUTE(SUBSTITUTE($B99,"~","~~"),"*","~*"),"?","~?"),'DEF_SELF_SCOUT_IMPORT'!$Q$42:$Q$1040,SUBSTITUTE(SUBSTITUTE(SUBSTITUTE($M99,"~","~~"),"*","~*"),"?","~?"),'DEF_SELF_SCOUT_IMPORT'!$J$42:$J$1040,"")&gt;0,"Unscored clean outcome; review result tags before using score.",IF(C99=0,"No matching defensive reps; film confirmation needed.",IF(K99="Explosive Alert","Explosive risk; review clips before using as answer.",IF(C99&lt;=2,"Track only; not enough sample.",IF(C99=3,IF(E99&gt;0,"Sample watch with explosive exposure; review clips and build the sample.",IF(J99&gt;=65,"Good signal, but sample is limited.","Sample watch; review clips and build the sample.")),IF(K99="Problem Call","Problem area; practice or call-sheet review.",IF(K99="Strong Candidate","Strong call-fit candidate; confirm on film.",IF(K99="Good Candidate","Good call-fit signal; confirm on film.","Mixed signal; review fit and execution on film."))))))))</f>
        <v>Good signal, but sample is limited.</v>
      </c>
      <c r="M99" s="8" t="s">
        <v>85</v>
      </c>
      <c r="N99" s="8"/>
      <c r="O99" s="8"/>
      <c r="P99" s="8"/>
      <c r="Q99" s="8"/>
      <c r="R99" s="8" t="s">
        <v>28</v>
      </c>
      <c r="S99" s="2" t="s">
        <v>86</v>
      </c>
      <c r="T99" s="2">
        <f>IF(C99=0,0,IF(C99&gt;=CALL_LOOKUP_BOARD!$B$7,IF(OR(K99="Problem Call",K99="Explosive Alert"),10000000,20000000),0)+IF(C99&gt;=CALL_LOOKUP_BOARD!$B$7,J99*1000+MIN(C99,999),C99*1000+J99)+0.00991000)</f>
        <v>3073.3099100000004</v>
      </c>
      <c r="U99" s="2">
        <f>IF(C99=0,"",IF(COUNTIFS($S$10:$S$178,SUBSTITUTE(SUBSTITUTE(SUBSTITUTE(S99,"~","~~"),"*","~*"),"?","~?"),$T$10:$T$178,"&gt;"&amp;T99)=0,S99,""))</f>
        <v/>
      </c>
    </row>
    <row r="100" spans="1:21" ht="38" customHeight="1">
      <c r="A100" s="8" t="s">
        <v>85</v>
      </c>
      <c r="B100" s="8" t="s">
        <v>73</v>
      </c>
      <c r="C100" s="12">
        <f>COUNTIFS('DEF_SELF_SCOUT_IMPORT'!$L$42:$L$1040,"Y",'DEF_SELF_SCOUT_IMPORT'!$E$42:$E$1040,SUBSTITUTE(SUBSTITUTE(SUBSTITUTE($B100,"~","~~"),"*","~*"),"?","~?"),'DEF_SELF_SCOUT_IMPORT'!$Q$42:$Q$1040,SUBSTITUTE(SUBSTITUTE(SUBSTITUTE($M100,"~","~~"),"*","~*"),"?","~?"))</f>
        <v>1</v>
      </c>
      <c r="D100" s="10">
        <f>IF($C100=0,"",SUMIFS('DEF_SELF_SCOUT_IMPORT'!$J$42:$J$1040,'DEF_SELF_SCOUT_IMPORT'!$L$42:$L$1040,"Y",'DEF_SELF_SCOUT_IMPORT'!$E$42:$E$1040,SUBSTITUTE(SUBSTITUTE(SUBSTITUTE($B100,"~","~~"),"*","~*"),"?","~?"),'DEF_SELF_SCOUT_IMPORT'!$Q$42:$Q$1040,SUBSTITUTE(SUBSTITUTE(SUBSTITUTE($M100,"~","~~"),"*","~*"),"?","~?"))/$C100)</f>
        <v>0.0</v>
      </c>
      <c r="E100" s="10">
        <f>IF($C100=0,"",SUMIFS('DEF_SELF_SCOUT_IMPORT'!$K$42:$K$1040,'DEF_SELF_SCOUT_IMPORT'!$L$42:$L$1040,"Y",'DEF_SELF_SCOUT_IMPORT'!$E$42:$E$1040,SUBSTITUTE(SUBSTITUTE(SUBSTITUTE($B100,"~","~~"),"*","~*"),"?","~?"),'DEF_SELF_SCOUT_IMPORT'!$Q$42:$Q$1040,SUBSTITUTE(SUBSTITUTE(SUBSTITUTE($M100,"~","~~"),"*","~*"),"?","~?"))/$C100)</f>
        <v>1.0</v>
      </c>
      <c r="F100" s="11">
        <f>IF($C100=0,"",AVERAGEIFS('DEF_SELF_SCOUT_IMPORT'!$I$42:$I$1040,'DEF_SELF_SCOUT_IMPORT'!$L$42:$L$1040,"Y",'DEF_SELF_SCOUT_IMPORT'!$E$42:$E$1040,SUBSTITUTE(SUBSTITUTE(SUBSTITUTE($B100,"~","~~"),"*","~*"),"?","~?"),'DEF_SELF_SCOUT_IMPORT'!$Q$42:$Q$1040,SUBSTITUTE(SUBSTITUTE(SUBSTITUTE($M100,"~","~~"),"*","~*"),"?","~?")))</f>
        <v>16.0</v>
      </c>
      <c r="G100" s="10">
        <f>IF($C100=0,"",COUNTIFS('DEF_SELF_SCOUT_IMPORT'!$L$42:$L$1040,"Y",'DEF_SELF_SCOUT_IMPORT'!$E$42:$E$1040,SUBSTITUTE(SUBSTITUTE(SUBSTITUTE($B100,"~","~~"),"*","~*"),"?","~?"),'DEF_SELF_SCOUT_IMPORT'!$Q$42:$Q$1040,SUBSTITUTE(SUBSTITUTE(SUBSTITUTE($M100,"~","~~"),"*","~*"),"?","~?"),'DEF_SELF_SCOUT_IMPORT'!$H$42:$H$1040,"RUSH")/$C100)</f>
        <v>0.0</v>
      </c>
      <c r="H100" s="10">
        <f>IF($C100=0,"",COUNTIFS('DEF_SELF_SCOUT_IMPORT'!$L$42:$L$1040,"Y",'DEF_SELF_SCOUT_IMPORT'!$E$42:$E$1040,SUBSTITUTE(SUBSTITUTE(SUBSTITUTE($B100,"~","~~"),"*","~*"),"?","~?"),'DEF_SELF_SCOUT_IMPORT'!$Q$42:$Q$1040,SUBSTITUTE(SUBSTITUTE(SUBSTITUTE($M100,"~","~~"),"*","~*"),"?","~?"),'DEF_SELF_SCOUT_IMPORT'!$H$42:$H$1040,"DROPBACK")/$C100)</f>
        <v>1.0</v>
      </c>
      <c r="I100" s="14" t="str">
        <f>IF(C100=0,"",IF(C100&lt;=2,"TRACK",IF(C100=3,"LOW",IF(C100&lt;=6,"MEDIUM","HIGH"))))</f>
        <v>TRACK</v>
      </c>
      <c r="J100" s="11">
        <f>IF(C100=0,"",ROUND(D100*70+(1-E100)*20+MAX(0,MIN(1,(10-F100)/10))*10,1))</f>
        <v>0.0</v>
      </c>
      <c r="K100" s="14" t="str">
        <f>IF(C100=0,"No Evidence",IF(C100&lt;=2,IF(E100&gt;0,"Explosive Alert","Track Only"),IF(C100=3,"Sample Watch",IF(E100&gt;=START_HERE!$B$31,"Explosive Alert",IF(J100&gt;=80,"Strong Candidate",IF(J100&gt;=65,"Good Candidate",IF(J100&gt;=50,"Mixed / Review","Problem Call")))))))</f>
        <v>Explosive Alert</v>
      </c>
      <c r="L100" s="9" t="str">
        <f>IF(COUNTIFS('DEF_SELF_SCOUT_IMPORT'!$L$42:$L$1040,"Y",'DEF_SELF_SCOUT_IMPORT'!$E$42:$E$1040,SUBSTITUTE(SUBSTITUTE(SUBSTITUTE($B100,"~","~~"),"*","~*"),"?","~?"),'DEF_SELF_SCOUT_IMPORT'!$Q$42:$Q$1040,SUBSTITUTE(SUBSTITUTE(SUBSTITUTE($M100,"~","~~"),"*","~*"),"?","~?"),'DEF_SELF_SCOUT_IMPORT'!$J$42:$J$1040,"")&gt;0,"Unscored clean outcome; review result tags before using score.",IF(C100=0,"No matching defensive reps; film confirmation needed.",IF(K100="Explosive Alert","Explosive risk; review clips before using as answer.",IF(C100&lt;=2,"Track only; not enough sample.",IF(C100=3,IF(E100&gt;0,"Sample watch with explosive exposure; review clips and build the sample.",IF(J100&gt;=65,"Good signal, but sample is limited.","Sample watch; review clips and build the sample.")),IF(K100="Problem Call","Problem area; practice or call-sheet review.",IF(K100="Strong Candidate","Strong call-fit candidate; confirm on film.",IF(K100="Good Candidate","Good call-fit signal; confirm on film.","Mixed signal; review fit and execution on film."))))))))</f>
        <v>Explosive risk; review clips before using as answer.</v>
      </c>
      <c r="M100" s="8" t="s">
        <v>85</v>
      </c>
      <c r="N100" s="8"/>
      <c r="O100" s="8"/>
      <c r="P100" s="8"/>
      <c r="Q100" s="8"/>
      <c r="R100" s="8" t="s">
        <v>28</v>
      </c>
      <c r="S100" s="2" t="s">
        <v>86</v>
      </c>
      <c r="T100" s="2">
        <f>IF(C100=0,0,IF(C100&gt;=CALL_LOOKUP_BOARD!$B$7,IF(OR(K100="Problem Call",K100="Explosive Alert"),10000000,20000000),0)+IF(C100&gt;=CALL_LOOKUP_BOARD!$B$7,J100*1000+MIN(C100,999),C100*1000+J100)+0.00990900)</f>
        <v>1000.009909</v>
      </c>
      <c r="U100" s="2">
        <f>IF(C100=0,"",IF(COUNTIFS($S$10:$S$178,SUBSTITUTE(SUBSTITUTE(SUBSTITUTE(S100,"~","~~"),"*","~*"),"?","~?"),$T$10:$T$178,"&gt;"&amp;T100)=0,S100,""))</f>
        <v/>
      </c>
    </row>
    <row r="101" spans="1:21" ht="38" customHeight="1">
      <c r="A101" s="8" t="s">
        <v>85</v>
      </c>
      <c r="B101" s="8" t="s">
        <v>89</v>
      </c>
      <c r="C101" s="12">
        <f>COUNTIFS('DEF_SELF_SCOUT_IMPORT'!$L$42:$L$1040,"Y",'DEF_SELF_SCOUT_IMPORT'!$E$42:$E$1040,SUBSTITUTE(SUBSTITUTE(SUBSTITUTE($B101,"~","~~"),"*","~*"),"?","~?"),'DEF_SELF_SCOUT_IMPORT'!$Q$42:$Q$1040,SUBSTITUTE(SUBSTITUTE(SUBSTITUTE($M101,"~","~~"),"*","~*"),"?","~?"))</f>
        <v>1</v>
      </c>
      <c r="D101" s="10">
        <f>IF($C101=0,"",SUMIFS('DEF_SELF_SCOUT_IMPORT'!$J$42:$J$1040,'DEF_SELF_SCOUT_IMPORT'!$L$42:$L$1040,"Y",'DEF_SELF_SCOUT_IMPORT'!$E$42:$E$1040,SUBSTITUTE(SUBSTITUTE(SUBSTITUTE($B101,"~","~~"),"*","~*"),"?","~?"),'DEF_SELF_SCOUT_IMPORT'!$Q$42:$Q$1040,SUBSTITUTE(SUBSTITUTE(SUBSTITUTE($M101,"~","~~"),"*","~*"),"?","~?"))/$C101)</f>
        <v>1.0</v>
      </c>
      <c r="E101" s="10">
        <f>IF($C101=0,"",SUMIFS('DEF_SELF_SCOUT_IMPORT'!$K$42:$K$1040,'DEF_SELF_SCOUT_IMPORT'!$L$42:$L$1040,"Y",'DEF_SELF_SCOUT_IMPORT'!$E$42:$E$1040,SUBSTITUTE(SUBSTITUTE(SUBSTITUTE($B101,"~","~~"),"*","~*"),"?","~?"),'DEF_SELF_SCOUT_IMPORT'!$Q$42:$Q$1040,SUBSTITUTE(SUBSTITUTE(SUBSTITUTE($M101,"~","~~"),"*","~*"),"?","~?"))/$C101)</f>
        <v>0.0</v>
      </c>
      <c r="F101" s="11">
        <f>IF($C101=0,"",AVERAGEIFS('DEF_SELF_SCOUT_IMPORT'!$I$42:$I$1040,'DEF_SELF_SCOUT_IMPORT'!$L$42:$L$1040,"Y",'DEF_SELF_SCOUT_IMPORT'!$E$42:$E$1040,SUBSTITUTE(SUBSTITUTE(SUBSTITUTE($B101,"~","~~"),"*","~*"),"?","~?"),'DEF_SELF_SCOUT_IMPORT'!$Q$42:$Q$1040,SUBSTITUTE(SUBSTITUTE(SUBSTITUTE($M101,"~","~~"),"*","~*"),"?","~?")))</f>
        <v>3.0</v>
      </c>
      <c r="G101" s="10">
        <f>IF($C101=0,"",COUNTIFS('DEF_SELF_SCOUT_IMPORT'!$L$42:$L$1040,"Y",'DEF_SELF_SCOUT_IMPORT'!$E$42:$E$1040,SUBSTITUTE(SUBSTITUTE(SUBSTITUTE($B101,"~","~~"),"*","~*"),"?","~?"),'DEF_SELF_SCOUT_IMPORT'!$Q$42:$Q$1040,SUBSTITUTE(SUBSTITUTE(SUBSTITUTE($M101,"~","~~"),"*","~*"),"?","~?"),'DEF_SELF_SCOUT_IMPORT'!$H$42:$H$1040,"RUSH")/$C101)</f>
        <v>0.0</v>
      </c>
      <c r="H101" s="10">
        <f>IF($C101=0,"",COUNTIFS('DEF_SELF_SCOUT_IMPORT'!$L$42:$L$1040,"Y",'DEF_SELF_SCOUT_IMPORT'!$E$42:$E$1040,SUBSTITUTE(SUBSTITUTE(SUBSTITUTE($B101,"~","~~"),"*","~*"),"?","~?"),'DEF_SELF_SCOUT_IMPORT'!$Q$42:$Q$1040,SUBSTITUTE(SUBSTITUTE(SUBSTITUTE($M101,"~","~~"),"*","~*"),"?","~?"),'DEF_SELF_SCOUT_IMPORT'!$H$42:$H$1040,"DROPBACK")/$C101)</f>
        <v>1.0</v>
      </c>
      <c r="I101" s="14" t="str">
        <f>IF(C101=0,"",IF(C101&lt;=2,"TRACK",IF(C101=3,"LOW",IF(C101&lt;=6,"MEDIUM","HIGH"))))</f>
        <v>TRACK</v>
      </c>
      <c r="J101" s="11">
        <f>IF(C101=0,"",ROUND(D101*70+(1-E101)*20+MAX(0,MIN(1,(10-F101)/10))*10,1))</f>
        <v>97.0</v>
      </c>
      <c r="K101" s="14" t="str">
        <f>IF(C101=0,"No Evidence",IF(C101&lt;=2,IF(E101&gt;0,"Explosive Alert","Track Only"),IF(C101=3,"Sample Watch",IF(E101&gt;=START_HERE!$B$31,"Explosive Alert",IF(J101&gt;=80,"Strong Candidate",IF(J101&gt;=65,"Good Candidate",IF(J101&gt;=50,"Mixed / Review","Problem Call")))))))</f>
        <v>Track Only</v>
      </c>
      <c r="L101" s="9" t="str">
        <f>IF(COUNTIFS('DEF_SELF_SCOUT_IMPORT'!$L$42:$L$1040,"Y",'DEF_SELF_SCOUT_IMPORT'!$E$42:$E$1040,SUBSTITUTE(SUBSTITUTE(SUBSTITUTE($B101,"~","~~"),"*","~*"),"?","~?"),'DEF_SELF_SCOUT_IMPORT'!$Q$42:$Q$1040,SUBSTITUTE(SUBSTITUTE(SUBSTITUTE($M101,"~","~~"),"*","~*"),"?","~?"),'DEF_SELF_SCOUT_IMPORT'!$J$42:$J$1040,"")&gt;0,"Unscored clean outcome; review result tags before using score.",IF(C101=0,"No matching defensive reps; film confirmation needed.",IF(K101="Explosive Alert","Explosive risk; review clips before using as answer.",IF(C101&lt;=2,"Track only; not enough sample.",IF(C101=3,IF(E101&gt;0,"Sample watch with explosive exposure; review clips and build the sample.",IF(J101&gt;=65,"Good signal, but sample is limited.","Sample watch; review clips and build the sample.")),IF(K101="Problem Call","Problem area; practice or call-sheet review.",IF(K101="Strong Candidate","Strong call-fit candidate; confirm on film.",IF(K101="Good Candidate","Good call-fit signal; confirm on film.","Mixed signal; review fit and execution on film."))))))))</f>
        <v>Track only; not enough sample.</v>
      </c>
      <c r="M101" s="8" t="s">
        <v>85</v>
      </c>
      <c r="N101" s="8"/>
      <c r="O101" s="8"/>
      <c r="P101" s="8"/>
      <c r="Q101" s="8"/>
      <c r="R101" s="8" t="s">
        <v>28</v>
      </c>
      <c r="S101" s="2" t="s">
        <v>86</v>
      </c>
      <c r="T101" s="2">
        <f>IF(C101=0,0,IF(C101&gt;=CALL_LOOKUP_BOARD!$B$7,IF(OR(K101="Problem Call",K101="Explosive Alert"),10000000,20000000),0)+IF(C101&gt;=CALL_LOOKUP_BOARD!$B$7,J101*1000+MIN(C101,999),C101*1000+J101)+0.00990800)</f>
        <v>1097.009908</v>
      </c>
      <c r="U101" s="2">
        <f>IF(C101=0,"",IF(COUNTIFS($S$10:$S$178,SUBSTITUTE(SUBSTITUTE(SUBSTITUTE(S101,"~","~~"),"*","~*"),"?","~?"),$T$10:$T$178,"&gt;"&amp;T101)=0,S101,""))</f>
        <v/>
      </c>
    </row>
    <row r="102" spans="1:21" ht="38" customHeight="1">
      <c r="A102" s="8" t="s">
        <v>85</v>
      </c>
      <c r="B102" s="8" t="s">
        <v>61</v>
      </c>
      <c r="C102" s="12">
        <f>COUNTIFS('DEF_SELF_SCOUT_IMPORT'!$L$42:$L$1040,"Y",'DEF_SELF_SCOUT_IMPORT'!$E$42:$E$1040,SUBSTITUTE(SUBSTITUTE(SUBSTITUTE($B102,"~","~~"),"*","~*"),"?","~?"),'DEF_SELF_SCOUT_IMPORT'!$Q$42:$Q$1040,SUBSTITUTE(SUBSTITUTE(SUBSTITUTE($M102,"~","~~"),"*","~*"),"?","~?"))</f>
        <v>1</v>
      </c>
      <c r="D102" s="10">
        <f>IF($C102=0,"",SUMIFS('DEF_SELF_SCOUT_IMPORT'!$J$42:$J$1040,'DEF_SELF_SCOUT_IMPORT'!$L$42:$L$1040,"Y",'DEF_SELF_SCOUT_IMPORT'!$E$42:$E$1040,SUBSTITUTE(SUBSTITUTE(SUBSTITUTE($B102,"~","~~"),"*","~*"),"?","~?"),'DEF_SELF_SCOUT_IMPORT'!$Q$42:$Q$1040,SUBSTITUTE(SUBSTITUTE(SUBSTITUTE($M102,"~","~~"),"*","~*"),"?","~?"))/$C102)</f>
        <v>0.0</v>
      </c>
      <c r="E102" s="10">
        <f>IF($C102=0,"",SUMIFS('DEF_SELF_SCOUT_IMPORT'!$K$42:$K$1040,'DEF_SELF_SCOUT_IMPORT'!$L$42:$L$1040,"Y",'DEF_SELF_SCOUT_IMPORT'!$E$42:$E$1040,SUBSTITUTE(SUBSTITUTE(SUBSTITUTE($B102,"~","~~"),"*","~*"),"?","~?"),'DEF_SELF_SCOUT_IMPORT'!$Q$42:$Q$1040,SUBSTITUTE(SUBSTITUTE(SUBSTITUTE($M102,"~","~~"),"*","~*"),"?","~?"))/$C102)</f>
        <v>0.0</v>
      </c>
      <c r="F102" s="11">
        <f>IF($C102=0,"",AVERAGEIFS('DEF_SELF_SCOUT_IMPORT'!$I$42:$I$1040,'DEF_SELF_SCOUT_IMPORT'!$L$42:$L$1040,"Y",'DEF_SELF_SCOUT_IMPORT'!$E$42:$E$1040,SUBSTITUTE(SUBSTITUTE(SUBSTITUTE($B102,"~","~~"),"*","~*"),"?","~?"),'DEF_SELF_SCOUT_IMPORT'!$Q$42:$Q$1040,SUBSTITUTE(SUBSTITUTE(SUBSTITUTE($M102,"~","~~"),"*","~*"),"?","~?")))</f>
        <v>4.0</v>
      </c>
      <c r="G102" s="10">
        <f>IF($C102=0,"",COUNTIFS('DEF_SELF_SCOUT_IMPORT'!$L$42:$L$1040,"Y",'DEF_SELF_SCOUT_IMPORT'!$E$42:$E$1040,SUBSTITUTE(SUBSTITUTE(SUBSTITUTE($B102,"~","~~"),"*","~*"),"?","~?"),'DEF_SELF_SCOUT_IMPORT'!$Q$42:$Q$1040,SUBSTITUTE(SUBSTITUTE(SUBSTITUTE($M102,"~","~~"),"*","~*"),"?","~?"),'DEF_SELF_SCOUT_IMPORT'!$H$42:$H$1040,"RUSH")/$C102)</f>
        <v>1.0</v>
      </c>
      <c r="H102" s="10">
        <f>IF($C102=0,"",COUNTIFS('DEF_SELF_SCOUT_IMPORT'!$L$42:$L$1040,"Y",'DEF_SELF_SCOUT_IMPORT'!$E$42:$E$1040,SUBSTITUTE(SUBSTITUTE(SUBSTITUTE($B102,"~","~~"),"*","~*"),"?","~?"),'DEF_SELF_SCOUT_IMPORT'!$Q$42:$Q$1040,SUBSTITUTE(SUBSTITUTE(SUBSTITUTE($M102,"~","~~"),"*","~*"),"?","~?"),'DEF_SELF_SCOUT_IMPORT'!$H$42:$H$1040,"DROPBACK")/$C102)</f>
        <v>0.0</v>
      </c>
      <c r="I102" s="14" t="str">
        <f>IF(C102=0,"",IF(C102&lt;=2,"TRACK",IF(C102=3,"LOW",IF(C102&lt;=6,"MEDIUM","HIGH"))))</f>
        <v>TRACK</v>
      </c>
      <c r="J102" s="11">
        <f>IF(C102=0,"",ROUND(D102*70+(1-E102)*20+MAX(0,MIN(1,(10-F102)/10))*10,1))</f>
        <v>26.0</v>
      </c>
      <c r="K102" s="14" t="str">
        <f>IF(C102=0,"No Evidence",IF(C102&lt;=2,IF(E102&gt;0,"Explosive Alert","Track Only"),IF(C102=3,"Sample Watch",IF(E102&gt;=START_HERE!$B$31,"Explosive Alert",IF(J102&gt;=80,"Strong Candidate",IF(J102&gt;=65,"Good Candidate",IF(J102&gt;=50,"Mixed / Review","Problem Call")))))))</f>
        <v>Track Only</v>
      </c>
      <c r="L102" s="9" t="str">
        <f>IF(COUNTIFS('DEF_SELF_SCOUT_IMPORT'!$L$42:$L$1040,"Y",'DEF_SELF_SCOUT_IMPORT'!$E$42:$E$1040,SUBSTITUTE(SUBSTITUTE(SUBSTITUTE($B102,"~","~~"),"*","~*"),"?","~?"),'DEF_SELF_SCOUT_IMPORT'!$Q$42:$Q$1040,SUBSTITUTE(SUBSTITUTE(SUBSTITUTE($M102,"~","~~"),"*","~*"),"?","~?"),'DEF_SELF_SCOUT_IMPORT'!$J$42:$J$1040,"")&gt;0,"Unscored clean outcome; review result tags before using score.",IF(C102=0,"No matching defensive reps; film confirmation needed.",IF(K102="Explosive Alert","Explosive risk; review clips before using as answer.",IF(C102&lt;=2,"Track only; not enough sample.",IF(C102=3,IF(E102&gt;0,"Sample watch with explosive exposure; review clips and build the sample.",IF(J102&gt;=65,"Good signal, but sample is limited.","Sample watch; review clips and build the sample.")),IF(K102="Problem Call","Problem area; practice or call-sheet review.",IF(K102="Strong Candidate","Strong call-fit candidate; confirm on film.",IF(K102="Good Candidate","Good call-fit signal; confirm on film.","Mixed signal; review fit and execution on film."))))))))</f>
        <v>Track only; not enough sample.</v>
      </c>
      <c r="M102" s="8" t="s">
        <v>85</v>
      </c>
      <c r="N102" s="8"/>
      <c r="O102" s="8"/>
      <c r="P102" s="8"/>
      <c r="Q102" s="8"/>
      <c r="R102" s="8" t="s">
        <v>28</v>
      </c>
      <c r="S102" s="2" t="s">
        <v>86</v>
      </c>
      <c r="T102" s="2">
        <f>IF(C102=0,0,IF(C102&gt;=CALL_LOOKUP_BOARD!$B$7,IF(OR(K102="Problem Call",K102="Explosive Alert"),10000000,20000000),0)+IF(C102&gt;=CALL_LOOKUP_BOARD!$B$7,J102*1000+MIN(C102,999),C102*1000+J102)+0.00990700)</f>
        <v>1026.009907</v>
      </c>
      <c r="U102" s="2">
        <f>IF(C102=0,"",IF(COUNTIFS($S$10:$S$178,SUBSTITUTE(SUBSTITUTE(SUBSTITUTE(S102,"~","~~"),"*","~*"),"?","~?"),$T$10:$T$178,"&gt;"&amp;T102)=0,S102,""))</f>
        <v/>
      </c>
    </row>
    <row r="103" spans="1:21" ht="38" customHeight="1">
      <c r="A103" s="8" t="s">
        <v>85</v>
      </c>
      <c r="B103" s="8" t="s">
        <v>90</v>
      </c>
      <c r="C103" s="12">
        <f>COUNTIFS('DEF_SELF_SCOUT_IMPORT'!$L$42:$L$1040,"Y",'DEF_SELF_SCOUT_IMPORT'!$E$42:$E$1040,SUBSTITUTE(SUBSTITUTE(SUBSTITUTE($B103,"~","~~"),"*","~*"),"?","~?"),'DEF_SELF_SCOUT_IMPORT'!$Q$42:$Q$1040,SUBSTITUTE(SUBSTITUTE(SUBSTITUTE($M103,"~","~~"),"*","~*"),"?","~?"))</f>
        <v>1</v>
      </c>
      <c r="D103" s="10">
        <f>IF($C103=0,"",SUMIFS('DEF_SELF_SCOUT_IMPORT'!$J$42:$J$1040,'DEF_SELF_SCOUT_IMPORT'!$L$42:$L$1040,"Y",'DEF_SELF_SCOUT_IMPORT'!$E$42:$E$1040,SUBSTITUTE(SUBSTITUTE(SUBSTITUTE($B103,"~","~~"),"*","~*"),"?","~?"),'DEF_SELF_SCOUT_IMPORT'!$Q$42:$Q$1040,SUBSTITUTE(SUBSTITUTE(SUBSTITUTE($M103,"~","~~"),"*","~*"),"?","~?"))/$C103)</f>
        <v>1.0</v>
      </c>
      <c r="E103" s="10">
        <f>IF($C103=0,"",SUMIFS('DEF_SELF_SCOUT_IMPORT'!$K$42:$K$1040,'DEF_SELF_SCOUT_IMPORT'!$L$42:$L$1040,"Y",'DEF_SELF_SCOUT_IMPORT'!$E$42:$E$1040,SUBSTITUTE(SUBSTITUTE(SUBSTITUTE($B103,"~","~~"),"*","~*"),"?","~?"),'DEF_SELF_SCOUT_IMPORT'!$Q$42:$Q$1040,SUBSTITUTE(SUBSTITUTE(SUBSTITUTE($M103,"~","~~"),"*","~*"),"?","~?"))/$C103)</f>
        <v>0.0</v>
      </c>
      <c r="F103" s="11">
        <f>IF($C103=0,"",AVERAGEIFS('DEF_SELF_SCOUT_IMPORT'!$I$42:$I$1040,'DEF_SELF_SCOUT_IMPORT'!$L$42:$L$1040,"Y",'DEF_SELF_SCOUT_IMPORT'!$E$42:$E$1040,SUBSTITUTE(SUBSTITUTE(SUBSTITUTE($B103,"~","~~"),"*","~*"),"?","~?"),'DEF_SELF_SCOUT_IMPORT'!$Q$42:$Q$1040,SUBSTITUTE(SUBSTITUTE(SUBSTITUTE($M103,"~","~~"),"*","~*"),"?","~?")))</f>
        <v>0.0</v>
      </c>
      <c r="G103" s="10">
        <f>IF($C103=0,"",COUNTIFS('DEF_SELF_SCOUT_IMPORT'!$L$42:$L$1040,"Y",'DEF_SELF_SCOUT_IMPORT'!$E$42:$E$1040,SUBSTITUTE(SUBSTITUTE(SUBSTITUTE($B103,"~","~~"),"*","~*"),"?","~?"),'DEF_SELF_SCOUT_IMPORT'!$Q$42:$Q$1040,SUBSTITUTE(SUBSTITUTE(SUBSTITUTE($M103,"~","~~"),"*","~*"),"?","~?"),'DEF_SELF_SCOUT_IMPORT'!$H$42:$H$1040,"RUSH")/$C103)</f>
        <v>0.0</v>
      </c>
      <c r="H103" s="10">
        <f>IF($C103=0,"",COUNTIFS('DEF_SELF_SCOUT_IMPORT'!$L$42:$L$1040,"Y",'DEF_SELF_SCOUT_IMPORT'!$E$42:$E$1040,SUBSTITUTE(SUBSTITUTE(SUBSTITUTE($B103,"~","~~"),"*","~*"),"?","~?"),'DEF_SELF_SCOUT_IMPORT'!$Q$42:$Q$1040,SUBSTITUTE(SUBSTITUTE(SUBSTITUTE($M103,"~","~~"),"*","~*"),"?","~?"),'DEF_SELF_SCOUT_IMPORT'!$H$42:$H$1040,"DROPBACK")/$C103)</f>
        <v>1.0</v>
      </c>
      <c r="I103" s="14" t="str">
        <f>IF(C103=0,"",IF(C103&lt;=2,"TRACK",IF(C103=3,"LOW",IF(C103&lt;=6,"MEDIUM","HIGH"))))</f>
        <v>TRACK</v>
      </c>
      <c r="J103" s="11">
        <f>IF(C103=0,"",ROUND(D103*70+(1-E103)*20+MAX(0,MIN(1,(10-F103)/10))*10,1))</f>
        <v>100.0</v>
      </c>
      <c r="K103" s="14" t="str">
        <f>IF(C103=0,"No Evidence",IF(C103&lt;=2,IF(E103&gt;0,"Explosive Alert","Track Only"),IF(C103=3,"Sample Watch",IF(E103&gt;=START_HERE!$B$31,"Explosive Alert",IF(J103&gt;=80,"Strong Candidate",IF(J103&gt;=65,"Good Candidate",IF(J103&gt;=50,"Mixed / Review","Problem Call")))))))</f>
        <v>Track Only</v>
      </c>
      <c r="L103" s="9" t="str">
        <f>IF(COUNTIFS('DEF_SELF_SCOUT_IMPORT'!$L$42:$L$1040,"Y",'DEF_SELF_SCOUT_IMPORT'!$E$42:$E$1040,SUBSTITUTE(SUBSTITUTE(SUBSTITUTE($B103,"~","~~"),"*","~*"),"?","~?"),'DEF_SELF_SCOUT_IMPORT'!$Q$42:$Q$1040,SUBSTITUTE(SUBSTITUTE(SUBSTITUTE($M103,"~","~~"),"*","~*"),"?","~?"),'DEF_SELF_SCOUT_IMPORT'!$J$42:$J$1040,"")&gt;0,"Unscored clean outcome; review result tags before using score.",IF(C103=0,"No matching defensive reps; film confirmation needed.",IF(K103="Explosive Alert","Explosive risk; review clips before using as answer.",IF(C103&lt;=2,"Track only; not enough sample.",IF(C103=3,IF(E103&gt;0,"Sample watch with explosive exposure; review clips and build the sample.",IF(J103&gt;=65,"Good signal, but sample is limited.","Sample watch; review clips and build the sample.")),IF(K103="Problem Call","Problem area; practice or call-sheet review.",IF(K103="Strong Candidate","Strong call-fit candidate; confirm on film.",IF(K103="Good Candidate","Good call-fit signal; confirm on film.","Mixed signal; review fit and execution on film."))))))))</f>
        <v>Track only; not enough sample.</v>
      </c>
      <c r="M103" s="8" t="s">
        <v>85</v>
      </c>
      <c r="N103" s="8"/>
      <c r="O103" s="8"/>
      <c r="P103" s="8"/>
      <c r="Q103" s="8"/>
      <c r="R103" s="8" t="s">
        <v>28</v>
      </c>
      <c r="S103" s="2" t="s">
        <v>86</v>
      </c>
      <c r="T103" s="2">
        <f>IF(C103=0,0,IF(C103&gt;=CALL_LOOKUP_BOARD!$B$7,IF(OR(K103="Problem Call",K103="Explosive Alert"),10000000,20000000),0)+IF(C103&gt;=CALL_LOOKUP_BOARD!$B$7,J103*1000+MIN(C103,999),C103*1000+J103)+0.00990600)</f>
        <v>1100.009906</v>
      </c>
      <c r="U103" s="2">
        <f>IF(C103=0,"",IF(COUNTIFS($S$10:$S$178,SUBSTITUTE(SUBSTITUTE(SUBSTITUTE(S103,"~","~~"),"*","~*"),"?","~?"),$T$10:$T$178,"&gt;"&amp;T103)=0,S103,""))</f>
        <v/>
      </c>
    </row>
    <row r="104" spans="1:21" ht="38" customHeight="1">
      <c r="A104" s="8" t="s">
        <v>85</v>
      </c>
      <c r="B104" s="8" t="s">
        <v>63</v>
      </c>
      <c r="C104" s="12">
        <f>COUNTIFS('DEF_SELF_SCOUT_IMPORT'!$L$42:$L$1040,"Y",'DEF_SELF_SCOUT_IMPORT'!$E$42:$E$1040,SUBSTITUTE(SUBSTITUTE(SUBSTITUTE($B104,"~","~~"),"*","~*"),"?","~?"),'DEF_SELF_SCOUT_IMPORT'!$Q$42:$Q$1040,SUBSTITUTE(SUBSTITUTE(SUBSTITUTE($M104,"~","~~"),"*","~*"),"?","~?"))</f>
        <v>3</v>
      </c>
      <c r="D104" s="10">
        <f>IF($C104=0,"",SUMIFS('DEF_SELF_SCOUT_IMPORT'!$J$42:$J$1040,'DEF_SELF_SCOUT_IMPORT'!$L$42:$L$1040,"Y",'DEF_SELF_SCOUT_IMPORT'!$E$42:$E$1040,SUBSTITUTE(SUBSTITUTE(SUBSTITUTE($B104,"~","~~"),"*","~*"),"?","~?"),'DEF_SELF_SCOUT_IMPORT'!$Q$42:$Q$1040,SUBSTITUTE(SUBSTITUTE(SUBSTITUTE($M104,"~","~~"),"*","~*"),"?","~?"))/$C104)</f>
        <v>0.6666666666666666</v>
      </c>
      <c r="E104" s="10">
        <f>IF($C104=0,"",SUMIFS('DEF_SELF_SCOUT_IMPORT'!$K$42:$K$1040,'DEF_SELF_SCOUT_IMPORT'!$L$42:$L$1040,"Y",'DEF_SELF_SCOUT_IMPORT'!$E$42:$E$1040,SUBSTITUTE(SUBSTITUTE(SUBSTITUTE($B104,"~","~~"),"*","~*"),"?","~?"),'DEF_SELF_SCOUT_IMPORT'!$Q$42:$Q$1040,SUBSTITUTE(SUBSTITUTE(SUBSTITUTE($M104,"~","~~"),"*","~*"),"?","~?"))/$C104)</f>
        <v>0.0</v>
      </c>
      <c r="F104" s="11">
        <f>IF($C104=0,"",AVERAGEIFS('DEF_SELF_SCOUT_IMPORT'!$I$42:$I$1040,'DEF_SELF_SCOUT_IMPORT'!$L$42:$L$1040,"Y",'DEF_SELF_SCOUT_IMPORT'!$E$42:$E$1040,SUBSTITUTE(SUBSTITUTE(SUBSTITUTE($B104,"~","~~"),"*","~*"),"?","~?"),'DEF_SELF_SCOUT_IMPORT'!$Q$42:$Q$1040,SUBSTITUTE(SUBSTITUTE(SUBSTITUTE($M104,"~","~~"),"*","~*"),"?","~?")))</f>
        <v>3.3333333333333335</v>
      </c>
      <c r="G104" s="10">
        <f>IF($C104=0,"",COUNTIFS('DEF_SELF_SCOUT_IMPORT'!$L$42:$L$1040,"Y",'DEF_SELF_SCOUT_IMPORT'!$E$42:$E$1040,SUBSTITUTE(SUBSTITUTE(SUBSTITUTE($B104,"~","~~"),"*","~*"),"?","~?"),'DEF_SELF_SCOUT_IMPORT'!$Q$42:$Q$1040,SUBSTITUTE(SUBSTITUTE(SUBSTITUTE($M104,"~","~~"),"*","~*"),"?","~?"),'DEF_SELF_SCOUT_IMPORT'!$H$42:$H$1040,"RUSH")/$C104)</f>
        <v>0.0</v>
      </c>
      <c r="H104" s="10">
        <f>IF($C104=0,"",COUNTIFS('DEF_SELF_SCOUT_IMPORT'!$L$42:$L$1040,"Y",'DEF_SELF_SCOUT_IMPORT'!$E$42:$E$1040,SUBSTITUTE(SUBSTITUTE(SUBSTITUTE($B104,"~","~~"),"*","~*"),"?","~?"),'DEF_SELF_SCOUT_IMPORT'!$Q$42:$Q$1040,SUBSTITUTE(SUBSTITUTE(SUBSTITUTE($M104,"~","~~"),"*","~*"),"?","~?"),'DEF_SELF_SCOUT_IMPORT'!$H$42:$H$1040,"DROPBACK")/$C104)</f>
        <v>1.0</v>
      </c>
      <c r="I104" s="14" t="str">
        <f>IF(C104=0,"",IF(C104&lt;=2,"TRACK",IF(C104=3,"LOW",IF(C104&lt;=6,"MEDIUM","HIGH"))))</f>
        <v>LOW</v>
      </c>
      <c r="J104" s="11">
        <f>IF(C104=0,"",ROUND(D104*70+(1-E104)*20+MAX(0,MIN(1,(10-F104)/10))*10,1))</f>
        <v>73.3</v>
      </c>
      <c r="K104" s="14" t="str">
        <f>IF(C104=0,"No Evidence",IF(C104&lt;=2,IF(E104&gt;0,"Explosive Alert","Track Only"),IF(C104=3,"Sample Watch",IF(E104&gt;=START_HERE!$B$31,"Explosive Alert",IF(J104&gt;=80,"Strong Candidate",IF(J104&gt;=65,"Good Candidate",IF(J104&gt;=50,"Mixed / Review","Problem Call")))))))</f>
        <v>Sample Watch</v>
      </c>
      <c r="L104" s="9" t="str">
        <f>IF(COUNTIFS('DEF_SELF_SCOUT_IMPORT'!$L$42:$L$1040,"Y",'DEF_SELF_SCOUT_IMPORT'!$E$42:$E$1040,SUBSTITUTE(SUBSTITUTE(SUBSTITUTE($B104,"~","~~"),"*","~*"),"?","~?"),'DEF_SELF_SCOUT_IMPORT'!$Q$42:$Q$1040,SUBSTITUTE(SUBSTITUTE(SUBSTITUTE($M104,"~","~~"),"*","~*"),"?","~?"),'DEF_SELF_SCOUT_IMPORT'!$J$42:$J$1040,"")&gt;0,"Unscored clean outcome; review result tags before using score.",IF(C104=0,"No matching defensive reps; film confirmation needed.",IF(K104="Explosive Alert","Explosive risk; review clips before using as answer.",IF(C104&lt;=2,"Track only; not enough sample.",IF(C104=3,IF(E104&gt;0,"Sample watch with explosive exposure; review clips and build the sample.",IF(J104&gt;=65,"Good signal, but sample is limited.","Sample watch; review clips and build the sample.")),IF(K104="Problem Call","Problem area; practice or call-sheet review.",IF(K104="Strong Candidate","Strong call-fit candidate; confirm on film.",IF(K104="Good Candidate","Good call-fit signal; confirm on film.","Mixed signal; review fit and execution on film."))))))))</f>
        <v>Good signal, but sample is limited.</v>
      </c>
      <c r="M104" s="8" t="s">
        <v>85</v>
      </c>
      <c r="N104" s="8"/>
      <c r="O104" s="8"/>
      <c r="P104" s="8"/>
      <c r="Q104" s="8"/>
      <c r="R104" s="8" t="s">
        <v>28</v>
      </c>
      <c r="S104" s="2" t="s">
        <v>86</v>
      </c>
      <c r="T104" s="2">
        <f>IF(C104=0,0,IF(C104&gt;=CALL_LOOKUP_BOARD!$B$7,IF(OR(K104="Problem Call",K104="Explosive Alert"),10000000,20000000),0)+IF(C104&gt;=CALL_LOOKUP_BOARD!$B$7,J104*1000+MIN(C104,999),C104*1000+J104)+0.00990500)</f>
        <v>3073.309905</v>
      </c>
      <c r="U104" s="2">
        <f>IF(C104=0,"",IF(COUNTIFS($S$10:$S$178,SUBSTITUTE(SUBSTITUTE(SUBSTITUTE(S104,"~","~~"),"*","~*"),"?","~?"),$T$10:$T$178,"&gt;"&amp;T104)=0,S104,""))</f>
        <v/>
      </c>
    </row>
    <row r="105" spans="1:21" ht="38" customHeight="1">
      <c r="A105" s="8" t="s">
        <v>85</v>
      </c>
      <c r="B105" s="8" t="s">
        <v>84</v>
      </c>
      <c r="C105" s="12">
        <f>COUNTIFS('DEF_SELF_SCOUT_IMPORT'!$L$42:$L$1040,"Y",'DEF_SELF_SCOUT_IMPORT'!$E$42:$E$1040,SUBSTITUTE(SUBSTITUTE(SUBSTITUTE($B105,"~","~~"),"*","~*"),"?","~?"),'DEF_SELF_SCOUT_IMPORT'!$Q$42:$Q$1040,SUBSTITUTE(SUBSTITUTE(SUBSTITUTE($M105,"~","~~"),"*","~*"),"?","~?"))</f>
        <v>1</v>
      </c>
      <c r="D105" s="10">
        <f>IF($C105=0,"",SUMIFS('DEF_SELF_SCOUT_IMPORT'!$J$42:$J$1040,'DEF_SELF_SCOUT_IMPORT'!$L$42:$L$1040,"Y",'DEF_SELF_SCOUT_IMPORT'!$E$42:$E$1040,SUBSTITUTE(SUBSTITUTE(SUBSTITUTE($B105,"~","~~"),"*","~*"),"?","~?"),'DEF_SELF_SCOUT_IMPORT'!$Q$42:$Q$1040,SUBSTITUTE(SUBSTITUTE(SUBSTITUTE($M105,"~","~~"),"*","~*"),"?","~?"))/$C105)</f>
        <v>1.0</v>
      </c>
      <c r="E105" s="10">
        <f>IF($C105=0,"",SUMIFS('DEF_SELF_SCOUT_IMPORT'!$K$42:$K$1040,'DEF_SELF_SCOUT_IMPORT'!$L$42:$L$1040,"Y",'DEF_SELF_SCOUT_IMPORT'!$E$42:$E$1040,SUBSTITUTE(SUBSTITUTE(SUBSTITUTE($B105,"~","~~"),"*","~*"),"?","~?"),'DEF_SELF_SCOUT_IMPORT'!$Q$42:$Q$1040,SUBSTITUTE(SUBSTITUTE(SUBSTITUTE($M105,"~","~~"),"*","~*"),"?","~?"))/$C105)</f>
        <v>0.0</v>
      </c>
      <c r="F105" s="11">
        <f>IF($C105=0,"",AVERAGEIFS('DEF_SELF_SCOUT_IMPORT'!$I$42:$I$1040,'DEF_SELF_SCOUT_IMPORT'!$L$42:$L$1040,"Y",'DEF_SELF_SCOUT_IMPORT'!$E$42:$E$1040,SUBSTITUTE(SUBSTITUTE(SUBSTITUTE($B105,"~","~~"),"*","~*"),"?","~?"),'DEF_SELF_SCOUT_IMPORT'!$Q$42:$Q$1040,SUBSTITUTE(SUBSTITUTE(SUBSTITUTE($M105,"~","~~"),"*","~*"),"?","~?")))</f>
        <v>3.0</v>
      </c>
      <c r="G105" s="10">
        <f>IF($C105=0,"",COUNTIFS('DEF_SELF_SCOUT_IMPORT'!$L$42:$L$1040,"Y",'DEF_SELF_SCOUT_IMPORT'!$E$42:$E$1040,SUBSTITUTE(SUBSTITUTE(SUBSTITUTE($B105,"~","~~"),"*","~*"),"?","~?"),'DEF_SELF_SCOUT_IMPORT'!$Q$42:$Q$1040,SUBSTITUTE(SUBSTITUTE(SUBSTITUTE($M105,"~","~~"),"*","~*"),"?","~?"),'DEF_SELF_SCOUT_IMPORT'!$H$42:$H$1040,"RUSH")/$C105)</f>
        <v>1.0</v>
      </c>
      <c r="H105" s="10">
        <f>IF($C105=0,"",COUNTIFS('DEF_SELF_SCOUT_IMPORT'!$L$42:$L$1040,"Y",'DEF_SELF_SCOUT_IMPORT'!$E$42:$E$1040,SUBSTITUTE(SUBSTITUTE(SUBSTITUTE($B105,"~","~~"),"*","~*"),"?","~?"),'DEF_SELF_SCOUT_IMPORT'!$Q$42:$Q$1040,SUBSTITUTE(SUBSTITUTE(SUBSTITUTE($M105,"~","~~"),"*","~*"),"?","~?"),'DEF_SELF_SCOUT_IMPORT'!$H$42:$H$1040,"DROPBACK")/$C105)</f>
        <v>0.0</v>
      </c>
      <c r="I105" s="14" t="str">
        <f>IF(C105=0,"",IF(C105&lt;=2,"TRACK",IF(C105=3,"LOW",IF(C105&lt;=6,"MEDIUM","HIGH"))))</f>
        <v>TRACK</v>
      </c>
      <c r="J105" s="11">
        <f>IF(C105=0,"",ROUND(D105*70+(1-E105)*20+MAX(0,MIN(1,(10-F105)/10))*10,1))</f>
        <v>97.0</v>
      </c>
      <c r="K105" s="14" t="str">
        <f>IF(C105=0,"No Evidence",IF(C105&lt;=2,IF(E105&gt;0,"Explosive Alert","Track Only"),IF(C105=3,"Sample Watch",IF(E105&gt;=START_HERE!$B$31,"Explosive Alert",IF(J105&gt;=80,"Strong Candidate",IF(J105&gt;=65,"Good Candidate",IF(J105&gt;=50,"Mixed / Review","Problem Call")))))))</f>
        <v>Track Only</v>
      </c>
      <c r="L105" s="9" t="str">
        <f>IF(COUNTIFS('DEF_SELF_SCOUT_IMPORT'!$L$42:$L$1040,"Y",'DEF_SELF_SCOUT_IMPORT'!$E$42:$E$1040,SUBSTITUTE(SUBSTITUTE(SUBSTITUTE($B105,"~","~~"),"*","~*"),"?","~?"),'DEF_SELF_SCOUT_IMPORT'!$Q$42:$Q$1040,SUBSTITUTE(SUBSTITUTE(SUBSTITUTE($M105,"~","~~"),"*","~*"),"?","~?"),'DEF_SELF_SCOUT_IMPORT'!$J$42:$J$1040,"")&gt;0,"Unscored clean outcome; review result tags before using score.",IF(C105=0,"No matching defensive reps; film confirmation needed.",IF(K105="Explosive Alert","Explosive risk; review clips before using as answer.",IF(C105&lt;=2,"Track only; not enough sample.",IF(C105=3,IF(E105&gt;0,"Sample watch with explosive exposure; review clips and build the sample.",IF(J105&gt;=65,"Good signal, but sample is limited.","Sample watch; review clips and build the sample.")),IF(K105="Problem Call","Problem area; practice or call-sheet review.",IF(K105="Strong Candidate","Strong call-fit candidate; confirm on film.",IF(K105="Good Candidate","Good call-fit signal; confirm on film.","Mixed signal; review fit and execution on film."))))))))</f>
        <v>Track only; not enough sample.</v>
      </c>
      <c r="M105" s="8" t="s">
        <v>85</v>
      </c>
      <c r="N105" s="8"/>
      <c r="O105" s="8"/>
      <c r="P105" s="8"/>
      <c r="Q105" s="8"/>
      <c r="R105" s="8" t="s">
        <v>28</v>
      </c>
      <c r="S105" s="2" t="s">
        <v>86</v>
      </c>
      <c r="T105" s="2">
        <f>IF(C105=0,0,IF(C105&gt;=CALL_LOOKUP_BOARD!$B$7,IF(OR(K105="Problem Call",K105="Explosive Alert"),10000000,20000000),0)+IF(C105&gt;=CALL_LOOKUP_BOARD!$B$7,J105*1000+MIN(C105,999),C105*1000+J105)+0.00990400)</f>
        <v>1097.009904</v>
      </c>
      <c r="U105" s="2">
        <f>IF(C105=0,"",IF(COUNTIFS($S$10:$S$178,SUBSTITUTE(SUBSTITUTE(SUBSTITUTE(S105,"~","~~"),"*","~*"),"?","~?"),$T$10:$T$178,"&gt;"&amp;T105)=0,S105,""))</f>
        <v/>
      </c>
    </row>
    <row r="106" spans="1:21" ht="38" customHeight="1">
      <c r="A106" s="8" t="s">
        <v>85</v>
      </c>
      <c r="B106" s="8" t="s">
        <v>65</v>
      </c>
      <c r="C106" s="12">
        <f>COUNTIFS('DEF_SELF_SCOUT_IMPORT'!$L$42:$L$1040,"Y",'DEF_SELF_SCOUT_IMPORT'!$E$42:$E$1040,SUBSTITUTE(SUBSTITUTE(SUBSTITUTE($B106,"~","~~"),"*","~*"),"?","~?"),'DEF_SELF_SCOUT_IMPORT'!$Q$42:$Q$1040,SUBSTITUTE(SUBSTITUTE(SUBSTITUTE($M106,"~","~~"),"*","~*"),"?","~?"))</f>
        <v>2</v>
      </c>
      <c r="D106" s="10">
        <f>IF($C106=0,"",SUMIFS('DEF_SELF_SCOUT_IMPORT'!$J$42:$J$1040,'DEF_SELF_SCOUT_IMPORT'!$L$42:$L$1040,"Y",'DEF_SELF_SCOUT_IMPORT'!$E$42:$E$1040,SUBSTITUTE(SUBSTITUTE(SUBSTITUTE($B106,"~","~~"),"*","~*"),"?","~?"),'DEF_SELF_SCOUT_IMPORT'!$Q$42:$Q$1040,SUBSTITUTE(SUBSTITUTE(SUBSTITUTE($M106,"~","~~"),"*","~*"),"?","~?"))/$C106)</f>
        <v>0.5</v>
      </c>
      <c r="E106" s="10">
        <f>IF($C106=0,"",SUMIFS('DEF_SELF_SCOUT_IMPORT'!$K$42:$K$1040,'DEF_SELF_SCOUT_IMPORT'!$L$42:$L$1040,"Y",'DEF_SELF_SCOUT_IMPORT'!$E$42:$E$1040,SUBSTITUTE(SUBSTITUTE(SUBSTITUTE($B106,"~","~~"),"*","~*"),"?","~?"),'DEF_SELF_SCOUT_IMPORT'!$Q$42:$Q$1040,SUBSTITUTE(SUBSTITUTE(SUBSTITUTE($M106,"~","~~"),"*","~*"),"?","~?"))/$C106)</f>
        <v>0.0</v>
      </c>
      <c r="F106" s="11">
        <f>IF($C106=0,"",AVERAGEIFS('DEF_SELF_SCOUT_IMPORT'!$I$42:$I$1040,'DEF_SELF_SCOUT_IMPORT'!$L$42:$L$1040,"Y",'DEF_SELF_SCOUT_IMPORT'!$E$42:$E$1040,SUBSTITUTE(SUBSTITUTE(SUBSTITUTE($B106,"~","~~"),"*","~*"),"?","~?"),'DEF_SELF_SCOUT_IMPORT'!$Q$42:$Q$1040,SUBSTITUTE(SUBSTITUTE(SUBSTITUTE($M106,"~","~~"),"*","~*"),"?","~?")))</f>
        <v>2.0</v>
      </c>
      <c r="G106" s="10">
        <f>IF($C106=0,"",COUNTIFS('DEF_SELF_SCOUT_IMPORT'!$L$42:$L$1040,"Y",'DEF_SELF_SCOUT_IMPORT'!$E$42:$E$1040,SUBSTITUTE(SUBSTITUTE(SUBSTITUTE($B106,"~","~~"),"*","~*"),"?","~?"),'DEF_SELF_SCOUT_IMPORT'!$Q$42:$Q$1040,SUBSTITUTE(SUBSTITUTE(SUBSTITUTE($M106,"~","~~"),"*","~*"),"?","~?"),'DEF_SELF_SCOUT_IMPORT'!$H$42:$H$1040,"RUSH")/$C106)</f>
        <v>1.0</v>
      </c>
      <c r="H106" s="10">
        <f>IF($C106=0,"",COUNTIFS('DEF_SELF_SCOUT_IMPORT'!$L$42:$L$1040,"Y",'DEF_SELF_SCOUT_IMPORT'!$E$42:$E$1040,SUBSTITUTE(SUBSTITUTE(SUBSTITUTE($B106,"~","~~"),"*","~*"),"?","~?"),'DEF_SELF_SCOUT_IMPORT'!$Q$42:$Q$1040,SUBSTITUTE(SUBSTITUTE(SUBSTITUTE($M106,"~","~~"),"*","~*"),"?","~?"),'DEF_SELF_SCOUT_IMPORT'!$H$42:$H$1040,"DROPBACK")/$C106)</f>
        <v>0.0</v>
      </c>
      <c r="I106" s="14" t="str">
        <f>IF(C106=0,"",IF(C106&lt;=2,"TRACK",IF(C106=3,"LOW",IF(C106&lt;=6,"MEDIUM","HIGH"))))</f>
        <v>TRACK</v>
      </c>
      <c r="J106" s="11">
        <f>IF(C106=0,"",ROUND(D106*70+(1-E106)*20+MAX(0,MIN(1,(10-F106)/10))*10,1))</f>
        <v>63.0</v>
      </c>
      <c r="K106" s="14" t="str">
        <f>IF(C106=0,"No Evidence",IF(C106&lt;=2,IF(E106&gt;0,"Explosive Alert","Track Only"),IF(C106=3,"Sample Watch",IF(E106&gt;=START_HERE!$B$31,"Explosive Alert",IF(J106&gt;=80,"Strong Candidate",IF(J106&gt;=65,"Good Candidate",IF(J106&gt;=50,"Mixed / Review","Problem Call")))))))</f>
        <v>Track Only</v>
      </c>
      <c r="L106" s="9" t="str">
        <f>IF(COUNTIFS('DEF_SELF_SCOUT_IMPORT'!$L$42:$L$1040,"Y",'DEF_SELF_SCOUT_IMPORT'!$E$42:$E$1040,SUBSTITUTE(SUBSTITUTE(SUBSTITUTE($B106,"~","~~"),"*","~*"),"?","~?"),'DEF_SELF_SCOUT_IMPORT'!$Q$42:$Q$1040,SUBSTITUTE(SUBSTITUTE(SUBSTITUTE($M106,"~","~~"),"*","~*"),"?","~?"),'DEF_SELF_SCOUT_IMPORT'!$J$42:$J$1040,"")&gt;0,"Unscored clean outcome; review result tags before using score.",IF(C106=0,"No matching defensive reps; film confirmation needed.",IF(K106="Explosive Alert","Explosive risk; review clips before using as answer.",IF(C106&lt;=2,"Track only; not enough sample.",IF(C106=3,IF(E106&gt;0,"Sample watch with explosive exposure; review clips and build the sample.",IF(J106&gt;=65,"Good signal, but sample is limited.","Sample watch; review clips and build the sample.")),IF(K106="Problem Call","Problem area; practice or call-sheet review.",IF(K106="Strong Candidate","Strong call-fit candidate; confirm on film.",IF(K106="Good Candidate","Good call-fit signal; confirm on film.","Mixed signal; review fit and execution on film."))))))))</f>
        <v>Track only; not enough sample.</v>
      </c>
      <c r="M106" s="8" t="s">
        <v>85</v>
      </c>
      <c r="N106" s="8"/>
      <c r="O106" s="8"/>
      <c r="P106" s="8"/>
      <c r="Q106" s="8"/>
      <c r="R106" s="8" t="s">
        <v>28</v>
      </c>
      <c r="S106" s="2" t="s">
        <v>86</v>
      </c>
      <c r="T106" s="2">
        <f>IF(C106=0,0,IF(C106&gt;=CALL_LOOKUP_BOARD!$B$7,IF(OR(K106="Problem Call",K106="Explosive Alert"),10000000,20000000),0)+IF(C106&gt;=CALL_LOOKUP_BOARD!$B$7,J106*1000+MIN(C106,999),C106*1000+J106)+0.00990300)</f>
        <v>2063.009903</v>
      </c>
      <c r="U106" s="2">
        <f>IF(C106=0,"",IF(COUNTIFS($S$10:$S$178,SUBSTITUTE(SUBSTITUTE(SUBSTITUTE(S106,"~","~~"),"*","~*"),"?","~?"),$T$10:$T$178,"&gt;"&amp;T106)=0,S106,""))</f>
        <v/>
      </c>
    </row>
    <row r="107" spans="1:21" ht="38" customHeight="1">
      <c r="A107" s="8" t="s">
        <v>85</v>
      </c>
      <c r="B107" s="8" t="s">
        <v>66</v>
      </c>
      <c r="C107" s="12">
        <f>COUNTIFS('DEF_SELF_SCOUT_IMPORT'!$L$42:$L$1040,"Y",'DEF_SELF_SCOUT_IMPORT'!$E$42:$E$1040,SUBSTITUTE(SUBSTITUTE(SUBSTITUTE($B107,"~","~~"),"*","~*"),"?","~?"),'DEF_SELF_SCOUT_IMPORT'!$Q$42:$Q$1040,SUBSTITUTE(SUBSTITUTE(SUBSTITUTE($M107,"~","~~"),"*","~*"),"?","~?"))</f>
        <v>1</v>
      </c>
      <c r="D107" s="10">
        <f>IF($C107=0,"",SUMIFS('DEF_SELF_SCOUT_IMPORT'!$J$42:$J$1040,'DEF_SELF_SCOUT_IMPORT'!$L$42:$L$1040,"Y",'DEF_SELF_SCOUT_IMPORT'!$E$42:$E$1040,SUBSTITUTE(SUBSTITUTE(SUBSTITUTE($B107,"~","~~"),"*","~*"),"?","~?"),'DEF_SELF_SCOUT_IMPORT'!$Q$42:$Q$1040,SUBSTITUTE(SUBSTITUTE(SUBSTITUTE($M107,"~","~~"),"*","~*"),"?","~?"))/$C107)</f>
        <v>1.0</v>
      </c>
      <c r="E107" s="10">
        <f>IF($C107=0,"",SUMIFS('DEF_SELF_SCOUT_IMPORT'!$K$42:$K$1040,'DEF_SELF_SCOUT_IMPORT'!$L$42:$L$1040,"Y",'DEF_SELF_SCOUT_IMPORT'!$E$42:$E$1040,SUBSTITUTE(SUBSTITUTE(SUBSTITUTE($B107,"~","~~"),"*","~*"),"?","~?"),'DEF_SELF_SCOUT_IMPORT'!$Q$42:$Q$1040,SUBSTITUTE(SUBSTITUTE(SUBSTITUTE($M107,"~","~~"),"*","~*"),"?","~?"))/$C107)</f>
        <v>0.0</v>
      </c>
      <c r="F107" s="11">
        <f>IF($C107=0,"",AVERAGEIFS('DEF_SELF_SCOUT_IMPORT'!$I$42:$I$1040,'DEF_SELF_SCOUT_IMPORT'!$L$42:$L$1040,"Y",'DEF_SELF_SCOUT_IMPORT'!$E$42:$E$1040,SUBSTITUTE(SUBSTITUTE(SUBSTITUTE($B107,"~","~~"),"*","~*"),"?","~?"),'DEF_SELF_SCOUT_IMPORT'!$Q$42:$Q$1040,SUBSTITUTE(SUBSTITUTE(SUBSTITUTE($M107,"~","~~"),"*","~*"),"?","~?")))</f>
        <v>2.0</v>
      </c>
      <c r="G107" s="10">
        <f>IF($C107=0,"",COUNTIFS('DEF_SELF_SCOUT_IMPORT'!$L$42:$L$1040,"Y",'DEF_SELF_SCOUT_IMPORT'!$E$42:$E$1040,SUBSTITUTE(SUBSTITUTE(SUBSTITUTE($B107,"~","~~"),"*","~*"),"?","~?"),'DEF_SELF_SCOUT_IMPORT'!$Q$42:$Q$1040,SUBSTITUTE(SUBSTITUTE(SUBSTITUTE($M107,"~","~~"),"*","~*"),"?","~?"),'DEF_SELF_SCOUT_IMPORT'!$H$42:$H$1040,"RUSH")/$C107)</f>
        <v>1.0</v>
      </c>
      <c r="H107" s="10">
        <f>IF($C107=0,"",COUNTIFS('DEF_SELF_SCOUT_IMPORT'!$L$42:$L$1040,"Y",'DEF_SELF_SCOUT_IMPORT'!$E$42:$E$1040,SUBSTITUTE(SUBSTITUTE(SUBSTITUTE($B107,"~","~~"),"*","~*"),"?","~?"),'DEF_SELF_SCOUT_IMPORT'!$Q$42:$Q$1040,SUBSTITUTE(SUBSTITUTE(SUBSTITUTE($M107,"~","~~"),"*","~*"),"?","~?"),'DEF_SELF_SCOUT_IMPORT'!$H$42:$H$1040,"DROPBACK")/$C107)</f>
        <v>0.0</v>
      </c>
      <c r="I107" s="14" t="str">
        <f>IF(C107=0,"",IF(C107&lt;=2,"TRACK",IF(C107=3,"LOW",IF(C107&lt;=6,"MEDIUM","HIGH"))))</f>
        <v>TRACK</v>
      </c>
      <c r="J107" s="11">
        <f>IF(C107=0,"",ROUND(D107*70+(1-E107)*20+MAX(0,MIN(1,(10-F107)/10))*10,1))</f>
        <v>98.0</v>
      </c>
      <c r="K107" s="14" t="str">
        <f>IF(C107=0,"No Evidence",IF(C107&lt;=2,IF(E107&gt;0,"Explosive Alert","Track Only"),IF(C107=3,"Sample Watch",IF(E107&gt;=START_HERE!$B$31,"Explosive Alert",IF(J107&gt;=80,"Strong Candidate",IF(J107&gt;=65,"Good Candidate",IF(J107&gt;=50,"Mixed / Review","Problem Call")))))))</f>
        <v>Track Only</v>
      </c>
      <c r="L107" s="9" t="str">
        <f>IF(COUNTIFS('DEF_SELF_SCOUT_IMPORT'!$L$42:$L$1040,"Y",'DEF_SELF_SCOUT_IMPORT'!$E$42:$E$1040,SUBSTITUTE(SUBSTITUTE(SUBSTITUTE($B107,"~","~~"),"*","~*"),"?","~?"),'DEF_SELF_SCOUT_IMPORT'!$Q$42:$Q$1040,SUBSTITUTE(SUBSTITUTE(SUBSTITUTE($M107,"~","~~"),"*","~*"),"?","~?"),'DEF_SELF_SCOUT_IMPORT'!$J$42:$J$1040,"")&gt;0,"Unscored clean outcome; review result tags before using score.",IF(C107=0,"No matching defensive reps; film confirmation needed.",IF(K107="Explosive Alert","Explosive risk; review clips before using as answer.",IF(C107&lt;=2,"Track only; not enough sample.",IF(C107=3,IF(E107&gt;0,"Sample watch with explosive exposure; review clips and build the sample.",IF(J107&gt;=65,"Good signal, but sample is limited.","Sample watch; review clips and build the sample.")),IF(K107="Problem Call","Problem area; practice or call-sheet review.",IF(K107="Strong Candidate","Strong call-fit candidate; confirm on film.",IF(K107="Good Candidate","Good call-fit signal; confirm on film.","Mixed signal; review fit and execution on film."))))))))</f>
        <v>Track only; not enough sample.</v>
      </c>
      <c r="M107" s="8" t="s">
        <v>85</v>
      </c>
      <c r="N107" s="8"/>
      <c r="O107" s="8"/>
      <c r="P107" s="8"/>
      <c r="Q107" s="8"/>
      <c r="R107" s="8" t="s">
        <v>28</v>
      </c>
      <c r="S107" s="2" t="s">
        <v>86</v>
      </c>
      <c r="T107" s="2">
        <f>IF(C107=0,0,IF(C107&gt;=CALL_LOOKUP_BOARD!$B$7,IF(OR(K107="Problem Call",K107="Explosive Alert"),10000000,20000000),0)+IF(C107&gt;=CALL_LOOKUP_BOARD!$B$7,J107*1000+MIN(C107,999),C107*1000+J107)+0.00990200)</f>
        <v>1098.009902</v>
      </c>
      <c r="U107" s="2">
        <f>IF(C107=0,"",IF(COUNTIFS($S$10:$S$178,SUBSTITUTE(SUBSTITUTE(SUBSTITUTE(S107,"~","~~"),"*","~*"),"?","~?"),$T$10:$T$178,"&gt;"&amp;T107)=0,S107,""))</f>
        <v/>
      </c>
    </row>
    <row r="108" spans="1:21" ht="38" customHeight="1">
      <c r="A108" s="8" t="s">
        <v>85</v>
      </c>
      <c r="B108" s="8" t="s">
        <v>68</v>
      </c>
      <c r="C108" s="12">
        <f>COUNTIFS('DEF_SELF_SCOUT_IMPORT'!$L$42:$L$1040,"Y",'DEF_SELF_SCOUT_IMPORT'!$E$42:$E$1040,SUBSTITUTE(SUBSTITUTE(SUBSTITUTE($B108,"~","~~"),"*","~*"),"?","~?"),'DEF_SELF_SCOUT_IMPORT'!$Q$42:$Q$1040,SUBSTITUTE(SUBSTITUTE(SUBSTITUTE($M108,"~","~~"),"*","~*"),"?","~?"))</f>
        <v>2</v>
      </c>
      <c r="D108" s="10">
        <f>IF($C108=0,"",SUMIFS('DEF_SELF_SCOUT_IMPORT'!$J$42:$J$1040,'DEF_SELF_SCOUT_IMPORT'!$L$42:$L$1040,"Y",'DEF_SELF_SCOUT_IMPORT'!$E$42:$E$1040,SUBSTITUTE(SUBSTITUTE(SUBSTITUTE($B108,"~","~~"),"*","~*"),"?","~?"),'DEF_SELF_SCOUT_IMPORT'!$Q$42:$Q$1040,SUBSTITUTE(SUBSTITUTE(SUBSTITUTE($M108,"~","~~"),"*","~*"),"?","~?"))/$C108)</f>
        <v>0.5</v>
      </c>
      <c r="E108" s="10">
        <f>IF($C108=0,"",SUMIFS('DEF_SELF_SCOUT_IMPORT'!$K$42:$K$1040,'DEF_SELF_SCOUT_IMPORT'!$L$42:$L$1040,"Y",'DEF_SELF_SCOUT_IMPORT'!$E$42:$E$1040,SUBSTITUTE(SUBSTITUTE(SUBSTITUTE($B108,"~","~~"),"*","~*"),"?","~?"),'DEF_SELF_SCOUT_IMPORT'!$Q$42:$Q$1040,SUBSTITUTE(SUBSTITUTE(SUBSTITUTE($M108,"~","~~"),"*","~*"),"?","~?"))/$C108)</f>
        <v>0.0</v>
      </c>
      <c r="F108" s="11">
        <f>IF($C108=0,"",AVERAGEIFS('DEF_SELF_SCOUT_IMPORT'!$I$42:$I$1040,'DEF_SELF_SCOUT_IMPORT'!$L$42:$L$1040,"Y",'DEF_SELF_SCOUT_IMPORT'!$E$42:$E$1040,SUBSTITUTE(SUBSTITUTE(SUBSTITUTE($B108,"~","~~"),"*","~*"),"?","~?"),'DEF_SELF_SCOUT_IMPORT'!$Q$42:$Q$1040,SUBSTITUTE(SUBSTITUTE(SUBSTITUTE($M108,"~","~~"),"*","~*"),"?","~?")))</f>
        <v>5.0</v>
      </c>
      <c r="G108" s="10">
        <f>IF($C108=0,"",COUNTIFS('DEF_SELF_SCOUT_IMPORT'!$L$42:$L$1040,"Y",'DEF_SELF_SCOUT_IMPORT'!$E$42:$E$1040,SUBSTITUTE(SUBSTITUTE(SUBSTITUTE($B108,"~","~~"),"*","~*"),"?","~?"),'DEF_SELF_SCOUT_IMPORT'!$Q$42:$Q$1040,SUBSTITUTE(SUBSTITUTE(SUBSTITUTE($M108,"~","~~"),"*","~*"),"?","~?"),'DEF_SELF_SCOUT_IMPORT'!$H$42:$H$1040,"RUSH")/$C108)</f>
        <v>0.5</v>
      </c>
      <c r="H108" s="10">
        <f>IF($C108=0,"",COUNTIFS('DEF_SELF_SCOUT_IMPORT'!$L$42:$L$1040,"Y",'DEF_SELF_SCOUT_IMPORT'!$E$42:$E$1040,SUBSTITUTE(SUBSTITUTE(SUBSTITUTE($B108,"~","~~"),"*","~*"),"?","~?"),'DEF_SELF_SCOUT_IMPORT'!$Q$42:$Q$1040,SUBSTITUTE(SUBSTITUTE(SUBSTITUTE($M108,"~","~~"),"*","~*"),"?","~?"),'DEF_SELF_SCOUT_IMPORT'!$H$42:$H$1040,"DROPBACK")/$C108)</f>
        <v>0.5</v>
      </c>
      <c r="I108" s="14" t="str">
        <f>IF(C108=0,"",IF(C108&lt;=2,"TRACK",IF(C108=3,"LOW",IF(C108&lt;=6,"MEDIUM","HIGH"))))</f>
        <v>TRACK</v>
      </c>
      <c r="J108" s="11">
        <f>IF(C108=0,"",ROUND(D108*70+(1-E108)*20+MAX(0,MIN(1,(10-F108)/10))*10,1))</f>
        <v>60.0</v>
      </c>
      <c r="K108" s="14" t="str">
        <f>IF(C108=0,"No Evidence",IF(C108&lt;=2,IF(E108&gt;0,"Explosive Alert","Track Only"),IF(C108=3,"Sample Watch",IF(E108&gt;=START_HERE!$B$31,"Explosive Alert",IF(J108&gt;=80,"Strong Candidate",IF(J108&gt;=65,"Good Candidate",IF(J108&gt;=50,"Mixed / Review","Problem Call")))))))</f>
        <v>Track Only</v>
      </c>
      <c r="L108" s="9" t="str">
        <f>IF(COUNTIFS('DEF_SELF_SCOUT_IMPORT'!$L$42:$L$1040,"Y",'DEF_SELF_SCOUT_IMPORT'!$E$42:$E$1040,SUBSTITUTE(SUBSTITUTE(SUBSTITUTE($B108,"~","~~"),"*","~*"),"?","~?"),'DEF_SELF_SCOUT_IMPORT'!$Q$42:$Q$1040,SUBSTITUTE(SUBSTITUTE(SUBSTITUTE($M108,"~","~~"),"*","~*"),"?","~?"),'DEF_SELF_SCOUT_IMPORT'!$J$42:$J$1040,"")&gt;0,"Unscored clean outcome; review result tags before using score.",IF(C108=0,"No matching defensive reps; film confirmation needed.",IF(K108="Explosive Alert","Explosive risk; review clips before using as answer.",IF(C108&lt;=2,"Track only; not enough sample.",IF(C108=3,IF(E108&gt;0,"Sample watch with explosive exposure; review clips and build the sample.",IF(J108&gt;=65,"Good signal, but sample is limited.","Sample watch; review clips and build the sample.")),IF(K108="Problem Call","Problem area; practice or call-sheet review.",IF(K108="Strong Candidate","Strong call-fit candidate; confirm on film.",IF(K108="Good Candidate","Good call-fit signal; confirm on film.","Mixed signal; review fit and execution on film."))))))))</f>
        <v>Track only; not enough sample.</v>
      </c>
      <c r="M108" s="8" t="s">
        <v>85</v>
      </c>
      <c r="N108" s="8"/>
      <c r="O108" s="8"/>
      <c r="P108" s="8"/>
      <c r="Q108" s="8"/>
      <c r="R108" s="8" t="s">
        <v>28</v>
      </c>
      <c r="S108" s="2" t="s">
        <v>86</v>
      </c>
      <c r="T108" s="2">
        <f>IF(C108=0,0,IF(C108&gt;=CALL_LOOKUP_BOARD!$B$7,IF(OR(K108="Problem Call",K108="Explosive Alert"),10000000,20000000),0)+IF(C108&gt;=CALL_LOOKUP_BOARD!$B$7,J108*1000+MIN(C108,999),C108*1000+J108)+0.00990100)</f>
        <v>2060.009901</v>
      </c>
      <c r="U108" s="2">
        <f>IF(C108=0,"",IF(COUNTIFS($S$10:$S$178,SUBSTITUTE(SUBSTITUTE(SUBSTITUTE(S108,"~","~~"),"*","~*"),"?","~?"),$T$10:$T$178,"&gt;"&amp;T108)=0,S108,""))</f>
        <v/>
      </c>
    </row>
    <row r="109" spans="1:21" ht="38" customHeight="1">
      <c r="A109" s="8" t="s">
        <v>85</v>
      </c>
      <c r="B109" s="8" t="s">
        <v>75</v>
      </c>
      <c r="C109" s="12">
        <f>COUNTIFS('DEF_SELF_SCOUT_IMPORT'!$L$42:$L$1040,"Y",'DEF_SELF_SCOUT_IMPORT'!$E$42:$E$1040,SUBSTITUTE(SUBSTITUTE(SUBSTITUTE($B109,"~","~~"),"*","~*"),"?","~?"),'DEF_SELF_SCOUT_IMPORT'!$Q$42:$Q$1040,SUBSTITUTE(SUBSTITUTE(SUBSTITUTE($M109,"~","~~"),"*","~*"),"?","~?"))</f>
        <v>1</v>
      </c>
      <c r="D109" s="10">
        <f>IF($C109=0,"",SUMIFS('DEF_SELF_SCOUT_IMPORT'!$J$42:$J$1040,'DEF_SELF_SCOUT_IMPORT'!$L$42:$L$1040,"Y",'DEF_SELF_SCOUT_IMPORT'!$E$42:$E$1040,SUBSTITUTE(SUBSTITUTE(SUBSTITUTE($B109,"~","~~"),"*","~*"),"?","~?"),'DEF_SELF_SCOUT_IMPORT'!$Q$42:$Q$1040,SUBSTITUTE(SUBSTITUTE(SUBSTITUTE($M109,"~","~~"),"*","~*"),"?","~?"))/$C109)</f>
        <v>1.0</v>
      </c>
      <c r="E109" s="10">
        <f>IF($C109=0,"",SUMIFS('DEF_SELF_SCOUT_IMPORT'!$K$42:$K$1040,'DEF_SELF_SCOUT_IMPORT'!$L$42:$L$1040,"Y",'DEF_SELF_SCOUT_IMPORT'!$E$42:$E$1040,SUBSTITUTE(SUBSTITUTE(SUBSTITUTE($B109,"~","~~"),"*","~*"),"?","~?"),'DEF_SELF_SCOUT_IMPORT'!$Q$42:$Q$1040,SUBSTITUTE(SUBSTITUTE(SUBSTITUTE($M109,"~","~~"),"*","~*"),"?","~?"))/$C109)</f>
        <v>0.0</v>
      </c>
      <c r="F109" s="11">
        <f>IF($C109=0,"",AVERAGEIFS('DEF_SELF_SCOUT_IMPORT'!$I$42:$I$1040,'DEF_SELF_SCOUT_IMPORT'!$L$42:$L$1040,"Y",'DEF_SELF_SCOUT_IMPORT'!$E$42:$E$1040,SUBSTITUTE(SUBSTITUTE(SUBSTITUTE($B109,"~","~~"),"*","~*"),"?","~?"),'DEF_SELF_SCOUT_IMPORT'!$Q$42:$Q$1040,SUBSTITUTE(SUBSTITUTE(SUBSTITUTE($M109,"~","~~"),"*","~*"),"?","~?")))</f>
        <v>6.0</v>
      </c>
      <c r="G109" s="10">
        <f>IF($C109=0,"",COUNTIFS('DEF_SELF_SCOUT_IMPORT'!$L$42:$L$1040,"Y",'DEF_SELF_SCOUT_IMPORT'!$E$42:$E$1040,SUBSTITUTE(SUBSTITUTE(SUBSTITUTE($B109,"~","~~"),"*","~*"),"?","~?"),'DEF_SELF_SCOUT_IMPORT'!$Q$42:$Q$1040,SUBSTITUTE(SUBSTITUTE(SUBSTITUTE($M109,"~","~~"),"*","~*"),"?","~?"),'DEF_SELF_SCOUT_IMPORT'!$H$42:$H$1040,"RUSH")/$C109)</f>
        <v>0.0</v>
      </c>
      <c r="H109" s="10">
        <f>IF($C109=0,"",COUNTIFS('DEF_SELF_SCOUT_IMPORT'!$L$42:$L$1040,"Y",'DEF_SELF_SCOUT_IMPORT'!$E$42:$E$1040,SUBSTITUTE(SUBSTITUTE(SUBSTITUTE($B109,"~","~~"),"*","~*"),"?","~?"),'DEF_SELF_SCOUT_IMPORT'!$Q$42:$Q$1040,SUBSTITUTE(SUBSTITUTE(SUBSTITUTE($M109,"~","~~"),"*","~*"),"?","~?"),'DEF_SELF_SCOUT_IMPORT'!$H$42:$H$1040,"DROPBACK")/$C109)</f>
        <v>1.0</v>
      </c>
      <c r="I109" s="14" t="str">
        <f>IF(C109=0,"",IF(C109&lt;=2,"TRACK",IF(C109=3,"LOW",IF(C109&lt;=6,"MEDIUM","HIGH"))))</f>
        <v>TRACK</v>
      </c>
      <c r="J109" s="11">
        <f>IF(C109=0,"",ROUND(D109*70+(1-E109)*20+MAX(0,MIN(1,(10-F109)/10))*10,1))</f>
        <v>94.0</v>
      </c>
      <c r="K109" s="14" t="str">
        <f>IF(C109=0,"No Evidence",IF(C109&lt;=2,IF(E109&gt;0,"Explosive Alert","Track Only"),IF(C109=3,"Sample Watch",IF(E109&gt;=START_HERE!$B$31,"Explosive Alert",IF(J109&gt;=80,"Strong Candidate",IF(J109&gt;=65,"Good Candidate",IF(J109&gt;=50,"Mixed / Review","Problem Call")))))))</f>
        <v>Track Only</v>
      </c>
      <c r="L109" s="9" t="str">
        <f>IF(COUNTIFS('DEF_SELF_SCOUT_IMPORT'!$L$42:$L$1040,"Y",'DEF_SELF_SCOUT_IMPORT'!$E$42:$E$1040,SUBSTITUTE(SUBSTITUTE(SUBSTITUTE($B109,"~","~~"),"*","~*"),"?","~?"),'DEF_SELF_SCOUT_IMPORT'!$Q$42:$Q$1040,SUBSTITUTE(SUBSTITUTE(SUBSTITUTE($M109,"~","~~"),"*","~*"),"?","~?"),'DEF_SELF_SCOUT_IMPORT'!$J$42:$J$1040,"")&gt;0,"Unscored clean outcome; review result tags before using score.",IF(C109=0,"No matching defensive reps; film confirmation needed.",IF(K109="Explosive Alert","Explosive risk; review clips before using as answer.",IF(C109&lt;=2,"Track only; not enough sample.",IF(C109=3,IF(E109&gt;0,"Sample watch with explosive exposure; review clips and build the sample.",IF(J109&gt;=65,"Good signal, but sample is limited.","Sample watch; review clips and build the sample.")),IF(K109="Problem Call","Problem area; practice or call-sheet review.",IF(K109="Strong Candidate","Strong call-fit candidate; confirm on film.",IF(K109="Good Candidate","Good call-fit signal; confirm on film.","Mixed signal; review fit and execution on film."))))))))</f>
        <v>Track only; not enough sample.</v>
      </c>
      <c r="M109" s="8" t="s">
        <v>85</v>
      </c>
      <c r="N109" s="8"/>
      <c r="O109" s="8"/>
      <c r="P109" s="8"/>
      <c r="Q109" s="8"/>
      <c r="R109" s="8" t="s">
        <v>28</v>
      </c>
      <c r="S109" s="2" t="s">
        <v>86</v>
      </c>
      <c r="T109" s="2">
        <f>IF(C109=0,0,IF(C109&gt;=CALL_LOOKUP_BOARD!$B$7,IF(OR(K109="Problem Call",K109="Explosive Alert"),10000000,20000000),0)+IF(C109&gt;=CALL_LOOKUP_BOARD!$B$7,J109*1000+MIN(C109,999),C109*1000+J109)+0.00990000)</f>
        <v>1094.0099</v>
      </c>
      <c r="U109" s="2">
        <f>IF(C109=0,"",IF(COUNTIFS($S$10:$S$178,SUBSTITUTE(SUBSTITUTE(SUBSTITUTE(S109,"~","~~"),"*","~*"),"?","~?"),$T$10:$T$178,"&gt;"&amp;T109)=0,S109,""))</f>
        <v/>
      </c>
    </row>
    <row r="110" spans="1:21" ht="38" customHeight="1">
      <c r="A110" s="8" t="s">
        <v>85</v>
      </c>
      <c r="B110" s="8" t="s">
        <v>69</v>
      </c>
      <c r="C110" s="12">
        <f>COUNTIFS('DEF_SELF_SCOUT_IMPORT'!$L$42:$L$1040,"Y",'DEF_SELF_SCOUT_IMPORT'!$E$42:$E$1040,SUBSTITUTE(SUBSTITUTE(SUBSTITUTE($B110,"~","~~"),"*","~*"),"?","~?"),'DEF_SELF_SCOUT_IMPORT'!$Q$42:$Q$1040,SUBSTITUTE(SUBSTITUTE(SUBSTITUTE($M110,"~","~~"),"*","~*"),"?","~?"))</f>
        <v>3</v>
      </c>
      <c r="D110" s="10">
        <f>IF($C110=0,"",SUMIFS('DEF_SELF_SCOUT_IMPORT'!$J$42:$J$1040,'DEF_SELF_SCOUT_IMPORT'!$L$42:$L$1040,"Y",'DEF_SELF_SCOUT_IMPORT'!$E$42:$E$1040,SUBSTITUTE(SUBSTITUTE(SUBSTITUTE($B110,"~","~~"),"*","~*"),"?","~?"),'DEF_SELF_SCOUT_IMPORT'!$Q$42:$Q$1040,SUBSTITUTE(SUBSTITUTE(SUBSTITUTE($M110,"~","~~"),"*","~*"),"?","~?"))/$C110)</f>
        <v>1.0</v>
      </c>
      <c r="E110" s="10">
        <f>IF($C110=0,"",SUMIFS('DEF_SELF_SCOUT_IMPORT'!$K$42:$K$1040,'DEF_SELF_SCOUT_IMPORT'!$L$42:$L$1040,"Y",'DEF_SELF_SCOUT_IMPORT'!$E$42:$E$1040,SUBSTITUTE(SUBSTITUTE(SUBSTITUTE($B110,"~","~~"),"*","~*"),"?","~?"),'DEF_SELF_SCOUT_IMPORT'!$Q$42:$Q$1040,SUBSTITUTE(SUBSTITUTE(SUBSTITUTE($M110,"~","~~"),"*","~*"),"?","~?"))/$C110)</f>
        <v>0.0</v>
      </c>
      <c r="F110" s="11">
        <f>IF($C110=0,"",AVERAGEIFS('DEF_SELF_SCOUT_IMPORT'!$I$42:$I$1040,'DEF_SELF_SCOUT_IMPORT'!$L$42:$L$1040,"Y",'DEF_SELF_SCOUT_IMPORT'!$E$42:$E$1040,SUBSTITUTE(SUBSTITUTE(SUBSTITUTE($B110,"~","~~"),"*","~*"),"?","~?"),'DEF_SELF_SCOUT_IMPORT'!$Q$42:$Q$1040,SUBSTITUTE(SUBSTITUTE(SUBSTITUTE($M110,"~","~~"),"*","~*"),"?","~?")))</f>
        <v>2.0</v>
      </c>
      <c r="G110" s="10">
        <f>IF($C110=0,"",COUNTIFS('DEF_SELF_SCOUT_IMPORT'!$L$42:$L$1040,"Y",'DEF_SELF_SCOUT_IMPORT'!$E$42:$E$1040,SUBSTITUTE(SUBSTITUTE(SUBSTITUTE($B110,"~","~~"),"*","~*"),"?","~?"),'DEF_SELF_SCOUT_IMPORT'!$Q$42:$Q$1040,SUBSTITUTE(SUBSTITUTE(SUBSTITUTE($M110,"~","~~"),"*","~*"),"?","~?"),'DEF_SELF_SCOUT_IMPORT'!$H$42:$H$1040,"RUSH")/$C110)</f>
        <v>0.6666666666666666</v>
      </c>
      <c r="H110" s="10">
        <f>IF($C110=0,"",COUNTIFS('DEF_SELF_SCOUT_IMPORT'!$L$42:$L$1040,"Y",'DEF_SELF_SCOUT_IMPORT'!$E$42:$E$1040,SUBSTITUTE(SUBSTITUTE(SUBSTITUTE($B110,"~","~~"),"*","~*"),"?","~?"),'DEF_SELF_SCOUT_IMPORT'!$Q$42:$Q$1040,SUBSTITUTE(SUBSTITUTE(SUBSTITUTE($M110,"~","~~"),"*","~*"),"?","~?"),'DEF_SELF_SCOUT_IMPORT'!$H$42:$H$1040,"DROPBACK")/$C110)</f>
        <v>0.3333333333333333</v>
      </c>
      <c r="I110" s="14" t="str">
        <f>IF(C110=0,"",IF(C110&lt;=2,"TRACK",IF(C110=3,"LOW",IF(C110&lt;=6,"MEDIUM","HIGH"))))</f>
        <v>LOW</v>
      </c>
      <c r="J110" s="11">
        <f>IF(C110=0,"",ROUND(D110*70+(1-E110)*20+MAX(0,MIN(1,(10-F110)/10))*10,1))</f>
        <v>98.0</v>
      </c>
      <c r="K110" s="14" t="str">
        <f>IF(C110=0,"No Evidence",IF(C110&lt;=2,IF(E110&gt;0,"Explosive Alert","Track Only"),IF(C110=3,"Sample Watch",IF(E110&gt;=START_HERE!$B$31,"Explosive Alert",IF(J110&gt;=80,"Strong Candidate",IF(J110&gt;=65,"Good Candidate",IF(J110&gt;=50,"Mixed / Review","Problem Call")))))))</f>
        <v>Sample Watch</v>
      </c>
      <c r="L110" s="9" t="str">
        <f>IF(COUNTIFS('DEF_SELF_SCOUT_IMPORT'!$L$42:$L$1040,"Y",'DEF_SELF_SCOUT_IMPORT'!$E$42:$E$1040,SUBSTITUTE(SUBSTITUTE(SUBSTITUTE($B110,"~","~~"),"*","~*"),"?","~?"),'DEF_SELF_SCOUT_IMPORT'!$Q$42:$Q$1040,SUBSTITUTE(SUBSTITUTE(SUBSTITUTE($M110,"~","~~"),"*","~*"),"?","~?"),'DEF_SELF_SCOUT_IMPORT'!$J$42:$J$1040,"")&gt;0,"Unscored clean outcome; review result tags before using score.",IF(C110=0,"No matching defensive reps; film confirmation needed.",IF(K110="Explosive Alert","Explosive risk; review clips before using as answer.",IF(C110&lt;=2,"Track only; not enough sample.",IF(C110=3,IF(E110&gt;0,"Sample watch with explosive exposure; review clips and build the sample.",IF(J110&gt;=65,"Good signal, but sample is limited.","Sample watch; review clips and build the sample.")),IF(K110="Problem Call","Problem area; practice or call-sheet review.",IF(K110="Strong Candidate","Strong call-fit candidate; confirm on film.",IF(K110="Good Candidate","Good call-fit signal; confirm on film.","Mixed signal; review fit and execution on film."))))))))</f>
        <v>Good signal, but sample is limited.</v>
      </c>
      <c r="M110" s="8" t="s">
        <v>85</v>
      </c>
      <c r="N110" s="8"/>
      <c r="O110" s="8"/>
      <c r="P110" s="8"/>
      <c r="Q110" s="8"/>
      <c r="R110" s="8" t="s">
        <v>28</v>
      </c>
      <c r="S110" s="2" t="s">
        <v>86</v>
      </c>
      <c r="T110" s="2">
        <f>IF(C110=0,0,IF(C110&gt;=CALL_LOOKUP_BOARD!$B$7,IF(OR(K110="Problem Call",K110="Explosive Alert"),10000000,20000000),0)+IF(C110&gt;=CALL_LOOKUP_BOARD!$B$7,J110*1000+MIN(C110,999),C110*1000+J110)+0.00989900)</f>
        <v>3098.009899</v>
      </c>
      <c r="U110" s="2" t="str">
        <f>IF(C110=0,"",IF(COUNTIFS($S$10:$S$178,SUBSTITUTE(SUBSTITUTE(SUBSTITUTE(S110,"~","~~"),"*","~*"),"?","~?"),$T$10:$T$178,"&gt;"&amp;T110)=0,S110,""))</f>
        <v>7:2D 7-10|</v>
      </c>
    </row>
    <row r="111" spans="1:21" ht="38" customHeight="1">
      <c r="A111" s="8" t="s">
        <v>85</v>
      </c>
      <c r="B111" s="8" t="s">
        <v>91</v>
      </c>
      <c r="C111" s="12">
        <f>COUNTIFS('DEF_SELF_SCOUT_IMPORT'!$L$42:$L$1040,"Y",'DEF_SELF_SCOUT_IMPORT'!$E$42:$E$1040,SUBSTITUTE(SUBSTITUTE(SUBSTITUTE($B111,"~","~~"),"*","~*"),"?","~?"),'DEF_SELF_SCOUT_IMPORT'!$Q$42:$Q$1040,SUBSTITUTE(SUBSTITUTE(SUBSTITUTE($M111,"~","~~"),"*","~*"),"?","~?"))</f>
        <v>1</v>
      </c>
      <c r="D111" s="10">
        <f>IF($C111=0,"",SUMIFS('DEF_SELF_SCOUT_IMPORT'!$J$42:$J$1040,'DEF_SELF_SCOUT_IMPORT'!$L$42:$L$1040,"Y",'DEF_SELF_SCOUT_IMPORT'!$E$42:$E$1040,SUBSTITUTE(SUBSTITUTE(SUBSTITUTE($B111,"~","~~"),"*","~*"),"?","~?"),'DEF_SELF_SCOUT_IMPORT'!$Q$42:$Q$1040,SUBSTITUTE(SUBSTITUTE(SUBSTITUTE($M111,"~","~~"),"*","~*"),"?","~?"))/$C111)</f>
        <v>0.0</v>
      </c>
      <c r="E111" s="10">
        <f>IF($C111=0,"",SUMIFS('DEF_SELF_SCOUT_IMPORT'!$K$42:$K$1040,'DEF_SELF_SCOUT_IMPORT'!$L$42:$L$1040,"Y",'DEF_SELF_SCOUT_IMPORT'!$E$42:$E$1040,SUBSTITUTE(SUBSTITUTE(SUBSTITUTE($B111,"~","~~"),"*","~*"),"?","~?"),'DEF_SELF_SCOUT_IMPORT'!$Q$42:$Q$1040,SUBSTITUTE(SUBSTITUTE(SUBSTITUTE($M111,"~","~~"),"*","~*"),"?","~?"))/$C111)</f>
        <v>0.0</v>
      </c>
      <c r="F111" s="11">
        <f>IF($C111=0,"",AVERAGEIFS('DEF_SELF_SCOUT_IMPORT'!$I$42:$I$1040,'DEF_SELF_SCOUT_IMPORT'!$L$42:$L$1040,"Y",'DEF_SELF_SCOUT_IMPORT'!$E$42:$E$1040,SUBSTITUTE(SUBSTITUTE(SUBSTITUTE($B111,"~","~~"),"*","~*"),"?","~?"),'DEF_SELF_SCOUT_IMPORT'!$Q$42:$Q$1040,SUBSTITUTE(SUBSTITUTE(SUBSTITUTE($M111,"~","~~"),"*","~*"),"?","~?")))</f>
        <v>4.0</v>
      </c>
      <c r="G111" s="10">
        <f>IF($C111=0,"",COUNTIFS('DEF_SELF_SCOUT_IMPORT'!$L$42:$L$1040,"Y",'DEF_SELF_SCOUT_IMPORT'!$E$42:$E$1040,SUBSTITUTE(SUBSTITUTE(SUBSTITUTE($B111,"~","~~"),"*","~*"),"?","~?"),'DEF_SELF_SCOUT_IMPORT'!$Q$42:$Q$1040,SUBSTITUTE(SUBSTITUTE(SUBSTITUTE($M111,"~","~~"),"*","~*"),"?","~?"),'DEF_SELF_SCOUT_IMPORT'!$H$42:$H$1040,"RUSH")/$C111)</f>
        <v>1.0</v>
      </c>
      <c r="H111" s="10">
        <f>IF($C111=0,"",COUNTIFS('DEF_SELF_SCOUT_IMPORT'!$L$42:$L$1040,"Y",'DEF_SELF_SCOUT_IMPORT'!$E$42:$E$1040,SUBSTITUTE(SUBSTITUTE(SUBSTITUTE($B111,"~","~~"),"*","~*"),"?","~?"),'DEF_SELF_SCOUT_IMPORT'!$Q$42:$Q$1040,SUBSTITUTE(SUBSTITUTE(SUBSTITUTE($M111,"~","~~"),"*","~*"),"?","~?"),'DEF_SELF_SCOUT_IMPORT'!$H$42:$H$1040,"DROPBACK")/$C111)</f>
        <v>0.0</v>
      </c>
      <c r="I111" s="14" t="str">
        <f>IF(C111=0,"",IF(C111&lt;=2,"TRACK",IF(C111=3,"LOW",IF(C111&lt;=6,"MEDIUM","HIGH"))))</f>
        <v>TRACK</v>
      </c>
      <c r="J111" s="11">
        <f>IF(C111=0,"",ROUND(D111*70+(1-E111)*20+MAX(0,MIN(1,(10-F111)/10))*10,1))</f>
        <v>26.0</v>
      </c>
      <c r="K111" s="14" t="str">
        <f>IF(C111=0,"No Evidence",IF(C111&lt;=2,IF(E111&gt;0,"Explosive Alert","Track Only"),IF(C111=3,"Sample Watch",IF(E111&gt;=START_HERE!$B$31,"Explosive Alert",IF(J111&gt;=80,"Strong Candidate",IF(J111&gt;=65,"Good Candidate",IF(J111&gt;=50,"Mixed / Review","Problem Call")))))))</f>
        <v>Track Only</v>
      </c>
      <c r="L111" s="9" t="str">
        <f>IF(COUNTIFS('DEF_SELF_SCOUT_IMPORT'!$L$42:$L$1040,"Y",'DEF_SELF_SCOUT_IMPORT'!$E$42:$E$1040,SUBSTITUTE(SUBSTITUTE(SUBSTITUTE($B111,"~","~~"),"*","~*"),"?","~?"),'DEF_SELF_SCOUT_IMPORT'!$Q$42:$Q$1040,SUBSTITUTE(SUBSTITUTE(SUBSTITUTE($M111,"~","~~"),"*","~*"),"?","~?"),'DEF_SELF_SCOUT_IMPORT'!$J$42:$J$1040,"")&gt;0,"Unscored clean outcome; review result tags before using score.",IF(C111=0,"No matching defensive reps; film confirmation needed.",IF(K111="Explosive Alert","Explosive risk; review clips before using as answer.",IF(C111&lt;=2,"Track only; not enough sample.",IF(C111=3,IF(E111&gt;0,"Sample watch with explosive exposure; review clips and build the sample.",IF(J111&gt;=65,"Good signal, but sample is limited.","Sample watch; review clips and build the sample.")),IF(K111="Problem Call","Problem area; practice or call-sheet review.",IF(K111="Strong Candidate","Strong call-fit candidate; confirm on film.",IF(K111="Good Candidate","Good call-fit signal; confirm on film.","Mixed signal; review fit and execution on film."))))))))</f>
        <v>Track only; not enough sample.</v>
      </c>
      <c r="M111" s="8" t="s">
        <v>85</v>
      </c>
      <c r="N111" s="8"/>
      <c r="O111" s="8"/>
      <c r="P111" s="8"/>
      <c r="Q111" s="8"/>
      <c r="R111" s="8" t="s">
        <v>28</v>
      </c>
      <c r="S111" s="2" t="s">
        <v>86</v>
      </c>
      <c r="T111" s="2">
        <f>IF(C111=0,0,IF(C111&gt;=CALL_LOOKUP_BOARD!$B$7,IF(OR(K111="Problem Call",K111="Explosive Alert"),10000000,20000000),0)+IF(C111&gt;=CALL_LOOKUP_BOARD!$B$7,J111*1000+MIN(C111,999),C111*1000+J111)+0.00989800)</f>
        <v>1026.009898</v>
      </c>
      <c r="U111" s="2">
        <f>IF(C111=0,"",IF(COUNTIFS($S$10:$S$178,SUBSTITUTE(SUBSTITUTE(SUBSTITUTE(S111,"~","~~"),"*","~*"),"?","~?"),$T$10:$T$178,"&gt;"&amp;T111)=0,S111,""))</f>
        <v/>
      </c>
    </row>
    <row r="112" spans="1:21" ht="38" customHeight="1">
      <c r="A112" s="8" t="s">
        <v>92</v>
      </c>
      <c r="B112" s="8" t="s">
        <v>93</v>
      </c>
      <c r="C112" s="12">
        <f>COUNTIFS('DEF_SELF_SCOUT_IMPORT'!$L$42:$L$1040,"Y",'DEF_SELF_SCOUT_IMPORT'!$E$42:$E$1040,SUBSTITUTE(SUBSTITUTE(SUBSTITUTE($B112,"~","~~"),"*","~*"),"?","~?"),'DEF_SELF_SCOUT_IMPORT'!$Q$42:$Q$1040,SUBSTITUTE(SUBSTITUTE(SUBSTITUTE($M112,"~","~~"),"*","~*"),"?","~?"))</f>
        <v>1</v>
      </c>
      <c r="D112" s="10">
        <f>IF($C112=0,"",SUMIFS('DEF_SELF_SCOUT_IMPORT'!$J$42:$J$1040,'DEF_SELF_SCOUT_IMPORT'!$L$42:$L$1040,"Y",'DEF_SELF_SCOUT_IMPORT'!$E$42:$E$1040,SUBSTITUTE(SUBSTITUTE(SUBSTITUTE($B112,"~","~~"),"*","~*"),"?","~?"),'DEF_SELF_SCOUT_IMPORT'!$Q$42:$Q$1040,SUBSTITUTE(SUBSTITUTE(SUBSTITUTE($M112,"~","~~"),"*","~*"),"?","~?"))/$C112)</f>
        <v>1.0</v>
      </c>
      <c r="E112" s="10">
        <f>IF($C112=0,"",SUMIFS('DEF_SELF_SCOUT_IMPORT'!$K$42:$K$1040,'DEF_SELF_SCOUT_IMPORT'!$L$42:$L$1040,"Y",'DEF_SELF_SCOUT_IMPORT'!$E$42:$E$1040,SUBSTITUTE(SUBSTITUTE(SUBSTITUTE($B112,"~","~~"),"*","~*"),"?","~?"),'DEF_SELF_SCOUT_IMPORT'!$Q$42:$Q$1040,SUBSTITUTE(SUBSTITUTE(SUBSTITUTE($M112,"~","~~"),"*","~*"),"?","~?"))/$C112)</f>
        <v>0.0</v>
      </c>
      <c r="F112" s="11">
        <f>IF($C112=0,"",AVERAGEIFS('DEF_SELF_SCOUT_IMPORT'!$I$42:$I$1040,'DEF_SELF_SCOUT_IMPORT'!$L$42:$L$1040,"Y",'DEF_SELF_SCOUT_IMPORT'!$E$42:$E$1040,SUBSTITUTE(SUBSTITUTE(SUBSTITUTE($B112,"~","~~"),"*","~*"),"?","~?"),'DEF_SELF_SCOUT_IMPORT'!$Q$42:$Q$1040,SUBSTITUTE(SUBSTITUTE(SUBSTITUTE($M112,"~","~~"),"*","~*"),"?","~?")))</f>
        <v>0.0</v>
      </c>
      <c r="G112" s="10">
        <f>IF($C112=0,"",COUNTIFS('DEF_SELF_SCOUT_IMPORT'!$L$42:$L$1040,"Y",'DEF_SELF_SCOUT_IMPORT'!$E$42:$E$1040,SUBSTITUTE(SUBSTITUTE(SUBSTITUTE($B112,"~","~~"),"*","~*"),"?","~?"),'DEF_SELF_SCOUT_IMPORT'!$Q$42:$Q$1040,SUBSTITUTE(SUBSTITUTE(SUBSTITUTE($M112,"~","~~"),"*","~*"),"?","~?"),'DEF_SELF_SCOUT_IMPORT'!$H$42:$H$1040,"RUSH")/$C112)</f>
        <v>0.0</v>
      </c>
      <c r="H112" s="10">
        <f>IF($C112=0,"",COUNTIFS('DEF_SELF_SCOUT_IMPORT'!$L$42:$L$1040,"Y",'DEF_SELF_SCOUT_IMPORT'!$E$42:$E$1040,SUBSTITUTE(SUBSTITUTE(SUBSTITUTE($B112,"~","~~"),"*","~*"),"?","~?"),'DEF_SELF_SCOUT_IMPORT'!$Q$42:$Q$1040,SUBSTITUTE(SUBSTITUTE(SUBSTITUTE($M112,"~","~~"),"*","~*"),"?","~?"),'DEF_SELF_SCOUT_IMPORT'!$H$42:$H$1040,"DROPBACK")/$C112)</f>
        <v>1.0</v>
      </c>
      <c r="I112" s="14" t="str">
        <f>IF(C112=0,"",IF(C112&lt;=2,"TRACK",IF(C112=3,"LOW",IF(C112&lt;=6,"MEDIUM","HIGH"))))</f>
        <v>TRACK</v>
      </c>
      <c r="J112" s="11">
        <f>IF(C112=0,"",ROUND(D112*70+(1-E112)*20+MAX(0,MIN(1,(10-F112)/10))*10,1))</f>
        <v>100.0</v>
      </c>
      <c r="K112" s="14" t="str">
        <f>IF(C112=0,"No Evidence",IF(C112&lt;=2,IF(E112&gt;0,"Explosive Alert","Track Only"),IF(C112=3,"Sample Watch",IF(E112&gt;=START_HERE!$B$31,"Explosive Alert",IF(J112&gt;=80,"Strong Candidate",IF(J112&gt;=65,"Good Candidate",IF(J112&gt;=50,"Mixed / Review","Problem Call")))))))</f>
        <v>Track Only</v>
      </c>
      <c r="L112" s="9" t="str">
        <f>IF(COUNTIFS('DEF_SELF_SCOUT_IMPORT'!$L$42:$L$1040,"Y",'DEF_SELF_SCOUT_IMPORT'!$E$42:$E$1040,SUBSTITUTE(SUBSTITUTE(SUBSTITUTE($B112,"~","~~"),"*","~*"),"?","~?"),'DEF_SELF_SCOUT_IMPORT'!$Q$42:$Q$1040,SUBSTITUTE(SUBSTITUTE(SUBSTITUTE($M112,"~","~~"),"*","~*"),"?","~?"),'DEF_SELF_SCOUT_IMPORT'!$J$42:$J$1040,"")&gt;0,"Unscored clean outcome; review result tags before using score.",IF(C112=0,"No matching defensive reps; film confirmation needed.",IF(K112="Explosive Alert","Explosive risk; review clips before using as answer.",IF(C112&lt;=2,"Track only; not enough sample.",IF(C112=3,IF(E112&gt;0,"Sample watch with explosive exposure; review clips and build the sample.",IF(J112&gt;=65,"Good signal, but sample is limited.","Sample watch; review clips and build the sample.")),IF(K112="Problem Call","Problem area; practice or call-sheet review.",IF(K112="Strong Candidate","Strong call-fit candidate; confirm on film.",IF(K112="Good Candidate","Good call-fit signal; confirm on film.","Mixed signal; review fit and execution on film."))))))))</f>
        <v>Track only; not enough sample.</v>
      </c>
      <c r="M112" s="8" t="s">
        <v>92</v>
      </c>
      <c r="N112" s="8"/>
      <c r="O112" s="8"/>
      <c r="P112" s="8"/>
      <c r="Q112" s="8"/>
      <c r="R112" s="8" t="s">
        <v>28</v>
      </c>
      <c r="S112" s="2" t="s">
        <v>94</v>
      </c>
      <c r="T112" s="2">
        <f>IF(C112=0,0,IF(C112&gt;=CALL_LOOKUP_BOARD!$B$7,IF(OR(K112="Problem Call",K112="Explosive Alert"),10000000,20000000),0)+IF(C112&gt;=CALL_LOOKUP_BOARD!$B$7,J112*1000+MIN(C112,999),C112*1000+J112)+0.00989700)</f>
        <v>1100.009897</v>
      </c>
      <c r="U112" s="2" t="str">
        <f>IF(C112=0,"",IF(COUNTIFS($S$10:$S$178,SUBSTITUTE(SUBSTITUTE(SUBSTITUTE(S112,"~","~~"),"*","~*"),"?","~?"),$T$10:$T$178,"&gt;"&amp;T112)=0,S112,""))</f>
        <v>6:3D 1-3|</v>
      </c>
    </row>
    <row r="113" spans="1:21" ht="38" customHeight="1">
      <c r="A113" s="8" t="s">
        <v>92</v>
      </c>
      <c r="B113" s="8" t="s">
        <v>77</v>
      </c>
      <c r="C113" s="12">
        <f>COUNTIFS('DEF_SELF_SCOUT_IMPORT'!$L$42:$L$1040,"Y",'DEF_SELF_SCOUT_IMPORT'!$E$42:$E$1040,SUBSTITUTE(SUBSTITUTE(SUBSTITUTE($B113,"~","~~"),"*","~*"),"?","~?"),'DEF_SELF_SCOUT_IMPORT'!$Q$42:$Q$1040,SUBSTITUTE(SUBSTITUTE(SUBSTITUTE($M113,"~","~~"),"*","~*"),"?","~?"))</f>
        <v>1</v>
      </c>
      <c r="D113" s="10">
        <f>IF($C113=0,"",SUMIFS('DEF_SELF_SCOUT_IMPORT'!$J$42:$J$1040,'DEF_SELF_SCOUT_IMPORT'!$L$42:$L$1040,"Y",'DEF_SELF_SCOUT_IMPORT'!$E$42:$E$1040,SUBSTITUTE(SUBSTITUTE(SUBSTITUTE($B113,"~","~~"),"*","~*"),"?","~?"),'DEF_SELF_SCOUT_IMPORT'!$Q$42:$Q$1040,SUBSTITUTE(SUBSTITUTE(SUBSTITUTE($M113,"~","~~"),"*","~*"),"?","~?"))/$C113)</f>
        <v>0.0</v>
      </c>
      <c r="E113" s="10">
        <f>IF($C113=0,"",SUMIFS('DEF_SELF_SCOUT_IMPORT'!$K$42:$K$1040,'DEF_SELF_SCOUT_IMPORT'!$L$42:$L$1040,"Y",'DEF_SELF_SCOUT_IMPORT'!$E$42:$E$1040,SUBSTITUTE(SUBSTITUTE(SUBSTITUTE($B113,"~","~~"),"*","~*"),"?","~?"),'DEF_SELF_SCOUT_IMPORT'!$Q$42:$Q$1040,SUBSTITUTE(SUBSTITUTE(SUBSTITUTE($M113,"~","~~"),"*","~*"),"?","~?"))/$C113)</f>
        <v>0.0</v>
      </c>
      <c r="F113" s="11">
        <f>IF($C113=0,"",AVERAGEIFS('DEF_SELF_SCOUT_IMPORT'!$I$42:$I$1040,'DEF_SELF_SCOUT_IMPORT'!$L$42:$L$1040,"Y",'DEF_SELF_SCOUT_IMPORT'!$E$42:$E$1040,SUBSTITUTE(SUBSTITUTE(SUBSTITUTE($B113,"~","~~"),"*","~*"),"?","~?"),'DEF_SELF_SCOUT_IMPORT'!$Q$42:$Q$1040,SUBSTITUTE(SUBSTITUTE(SUBSTITUTE($M113,"~","~~"),"*","~*"),"?","~?")))</f>
        <v>1.0</v>
      </c>
      <c r="G113" s="10">
        <f>IF($C113=0,"",COUNTIFS('DEF_SELF_SCOUT_IMPORT'!$L$42:$L$1040,"Y",'DEF_SELF_SCOUT_IMPORT'!$E$42:$E$1040,SUBSTITUTE(SUBSTITUTE(SUBSTITUTE($B113,"~","~~"),"*","~*"),"?","~?"),'DEF_SELF_SCOUT_IMPORT'!$Q$42:$Q$1040,SUBSTITUTE(SUBSTITUTE(SUBSTITUTE($M113,"~","~~"),"*","~*"),"?","~?"),'DEF_SELF_SCOUT_IMPORT'!$H$42:$H$1040,"RUSH")/$C113)</f>
        <v>1.0</v>
      </c>
      <c r="H113" s="10">
        <f>IF($C113=0,"",COUNTIFS('DEF_SELF_SCOUT_IMPORT'!$L$42:$L$1040,"Y",'DEF_SELF_SCOUT_IMPORT'!$E$42:$E$1040,SUBSTITUTE(SUBSTITUTE(SUBSTITUTE($B113,"~","~~"),"*","~*"),"?","~?"),'DEF_SELF_SCOUT_IMPORT'!$Q$42:$Q$1040,SUBSTITUTE(SUBSTITUTE(SUBSTITUTE($M113,"~","~~"),"*","~*"),"?","~?"),'DEF_SELF_SCOUT_IMPORT'!$H$42:$H$1040,"DROPBACK")/$C113)</f>
        <v>0.0</v>
      </c>
      <c r="I113" s="14" t="str">
        <f>IF(C113=0,"",IF(C113&lt;=2,"TRACK",IF(C113=3,"LOW",IF(C113&lt;=6,"MEDIUM","HIGH"))))</f>
        <v>TRACK</v>
      </c>
      <c r="J113" s="11">
        <f>IF(C113=0,"",ROUND(D113*70+(1-E113)*20+MAX(0,MIN(1,(10-F113)/10))*10,1))</f>
        <v>29.0</v>
      </c>
      <c r="K113" s="14" t="str">
        <f>IF(C113=0,"No Evidence",IF(C113&lt;=2,IF(E113&gt;0,"Explosive Alert","Track Only"),IF(C113=3,"Sample Watch",IF(E113&gt;=START_HERE!$B$31,"Explosive Alert",IF(J113&gt;=80,"Strong Candidate",IF(J113&gt;=65,"Good Candidate",IF(J113&gt;=50,"Mixed / Review","Problem Call")))))))</f>
        <v>Track Only</v>
      </c>
      <c r="L113" s="9" t="str">
        <f>IF(COUNTIFS('DEF_SELF_SCOUT_IMPORT'!$L$42:$L$1040,"Y",'DEF_SELF_SCOUT_IMPORT'!$E$42:$E$1040,SUBSTITUTE(SUBSTITUTE(SUBSTITUTE($B113,"~","~~"),"*","~*"),"?","~?"),'DEF_SELF_SCOUT_IMPORT'!$Q$42:$Q$1040,SUBSTITUTE(SUBSTITUTE(SUBSTITUTE($M113,"~","~~"),"*","~*"),"?","~?"),'DEF_SELF_SCOUT_IMPORT'!$J$42:$J$1040,"")&gt;0,"Unscored clean outcome; review result tags before using score.",IF(C113=0,"No matching defensive reps; film confirmation needed.",IF(K113="Explosive Alert","Explosive risk; review clips before using as answer.",IF(C113&lt;=2,"Track only; not enough sample.",IF(C113=3,IF(E113&gt;0,"Sample watch with explosive exposure; review clips and build the sample.",IF(J113&gt;=65,"Good signal, but sample is limited.","Sample watch; review clips and build the sample.")),IF(K113="Problem Call","Problem area; practice or call-sheet review.",IF(K113="Strong Candidate","Strong call-fit candidate; confirm on film.",IF(K113="Good Candidate","Good call-fit signal; confirm on film.","Mixed signal; review fit and execution on film."))))))))</f>
        <v>Track only; not enough sample.</v>
      </c>
      <c r="M113" s="8" t="s">
        <v>92</v>
      </c>
      <c r="N113" s="8"/>
      <c r="O113" s="8"/>
      <c r="P113" s="8"/>
      <c r="Q113" s="8"/>
      <c r="R113" s="8" t="s">
        <v>28</v>
      </c>
      <c r="S113" s="2" t="s">
        <v>94</v>
      </c>
      <c r="T113" s="2">
        <f>IF(C113=0,0,IF(C113&gt;=CALL_LOOKUP_BOARD!$B$7,IF(OR(K113="Problem Call",K113="Explosive Alert"),10000000,20000000),0)+IF(C113&gt;=CALL_LOOKUP_BOARD!$B$7,J113*1000+MIN(C113,999),C113*1000+J113)+0.00989600)</f>
        <v>1029.009896</v>
      </c>
      <c r="U113" s="2">
        <f>IF(C113=0,"",IF(COUNTIFS($S$10:$S$178,SUBSTITUTE(SUBSTITUTE(SUBSTITUTE(S113,"~","~~"),"*","~*"),"?","~?"),$T$10:$T$178,"&gt;"&amp;T113)=0,S113,""))</f>
        <v/>
      </c>
    </row>
    <row r="114" spans="1:21" ht="38" customHeight="1">
      <c r="A114" s="8" t="s">
        <v>92</v>
      </c>
      <c r="B114" s="8" t="s">
        <v>32</v>
      </c>
      <c r="C114" s="12">
        <f>COUNTIFS('DEF_SELF_SCOUT_IMPORT'!$L$42:$L$1040,"Y",'DEF_SELF_SCOUT_IMPORT'!$E$42:$E$1040,SUBSTITUTE(SUBSTITUTE(SUBSTITUTE($B114,"~","~~"),"*","~*"),"?","~?"),'DEF_SELF_SCOUT_IMPORT'!$Q$42:$Q$1040,SUBSTITUTE(SUBSTITUTE(SUBSTITUTE($M114,"~","~~"),"*","~*"),"?","~?"))</f>
        <v>1</v>
      </c>
      <c r="D114" s="10">
        <f>IF($C114=0,"",SUMIFS('DEF_SELF_SCOUT_IMPORT'!$J$42:$J$1040,'DEF_SELF_SCOUT_IMPORT'!$L$42:$L$1040,"Y",'DEF_SELF_SCOUT_IMPORT'!$E$42:$E$1040,SUBSTITUTE(SUBSTITUTE(SUBSTITUTE($B114,"~","~~"),"*","~*"),"?","~?"),'DEF_SELF_SCOUT_IMPORT'!$Q$42:$Q$1040,SUBSTITUTE(SUBSTITUTE(SUBSTITUTE($M114,"~","~~"),"*","~*"),"?","~?"))/$C114)</f>
        <v>0.0</v>
      </c>
      <c r="E114" s="10">
        <f>IF($C114=0,"",SUMIFS('DEF_SELF_SCOUT_IMPORT'!$K$42:$K$1040,'DEF_SELF_SCOUT_IMPORT'!$L$42:$L$1040,"Y",'DEF_SELF_SCOUT_IMPORT'!$E$42:$E$1040,SUBSTITUTE(SUBSTITUTE(SUBSTITUTE($B114,"~","~~"),"*","~*"),"?","~?"),'DEF_SELF_SCOUT_IMPORT'!$Q$42:$Q$1040,SUBSTITUTE(SUBSTITUTE(SUBSTITUTE($M114,"~","~~"),"*","~*"),"?","~?"))/$C114)</f>
        <v>0.0</v>
      </c>
      <c r="F114" s="11">
        <f>IF($C114=0,"",AVERAGEIFS('DEF_SELF_SCOUT_IMPORT'!$I$42:$I$1040,'DEF_SELF_SCOUT_IMPORT'!$L$42:$L$1040,"Y",'DEF_SELF_SCOUT_IMPORT'!$E$42:$E$1040,SUBSTITUTE(SUBSTITUTE(SUBSTITUTE($B114,"~","~~"),"*","~*"),"?","~?"),'DEF_SELF_SCOUT_IMPORT'!$Q$42:$Q$1040,SUBSTITUTE(SUBSTITUTE(SUBSTITUTE($M114,"~","~~"),"*","~*"),"?","~?")))</f>
        <v>8.0</v>
      </c>
      <c r="G114" s="10">
        <f>IF($C114=0,"",COUNTIFS('DEF_SELF_SCOUT_IMPORT'!$L$42:$L$1040,"Y",'DEF_SELF_SCOUT_IMPORT'!$E$42:$E$1040,SUBSTITUTE(SUBSTITUTE(SUBSTITUTE($B114,"~","~~"),"*","~*"),"?","~?"),'DEF_SELF_SCOUT_IMPORT'!$Q$42:$Q$1040,SUBSTITUTE(SUBSTITUTE(SUBSTITUTE($M114,"~","~~"),"*","~*"),"?","~?"),'DEF_SELF_SCOUT_IMPORT'!$H$42:$H$1040,"RUSH")/$C114)</f>
        <v>1.0</v>
      </c>
      <c r="H114" s="10">
        <f>IF($C114=0,"",COUNTIFS('DEF_SELF_SCOUT_IMPORT'!$L$42:$L$1040,"Y",'DEF_SELF_SCOUT_IMPORT'!$E$42:$E$1040,SUBSTITUTE(SUBSTITUTE(SUBSTITUTE($B114,"~","~~"),"*","~*"),"?","~?"),'DEF_SELF_SCOUT_IMPORT'!$Q$42:$Q$1040,SUBSTITUTE(SUBSTITUTE(SUBSTITUTE($M114,"~","~~"),"*","~*"),"?","~?"),'DEF_SELF_SCOUT_IMPORT'!$H$42:$H$1040,"DROPBACK")/$C114)</f>
        <v>0.0</v>
      </c>
      <c r="I114" s="14" t="str">
        <f>IF(C114=0,"",IF(C114&lt;=2,"TRACK",IF(C114=3,"LOW",IF(C114&lt;=6,"MEDIUM","HIGH"))))</f>
        <v>TRACK</v>
      </c>
      <c r="J114" s="11">
        <f>IF(C114=0,"",ROUND(D114*70+(1-E114)*20+MAX(0,MIN(1,(10-F114)/10))*10,1))</f>
        <v>22.0</v>
      </c>
      <c r="K114" s="14" t="str">
        <f>IF(C114=0,"No Evidence",IF(C114&lt;=2,IF(E114&gt;0,"Explosive Alert","Track Only"),IF(C114=3,"Sample Watch",IF(E114&gt;=START_HERE!$B$31,"Explosive Alert",IF(J114&gt;=80,"Strong Candidate",IF(J114&gt;=65,"Good Candidate",IF(J114&gt;=50,"Mixed / Review","Problem Call")))))))</f>
        <v>Track Only</v>
      </c>
      <c r="L114" s="9" t="str">
        <f>IF(COUNTIFS('DEF_SELF_SCOUT_IMPORT'!$L$42:$L$1040,"Y",'DEF_SELF_SCOUT_IMPORT'!$E$42:$E$1040,SUBSTITUTE(SUBSTITUTE(SUBSTITUTE($B114,"~","~~"),"*","~*"),"?","~?"),'DEF_SELF_SCOUT_IMPORT'!$Q$42:$Q$1040,SUBSTITUTE(SUBSTITUTE(SUBSTITUTE($M114,"~","~~"),"*","~*"),"?","~?"),'DEF_SELF_SCOUT_IMPORT'!$J$42:$J$1040,"")&gt;0,"Unscored clean outcome; review result tags before using score.",IF(C114=0,"No matching defensive reps; film confirmation needed.",IF(K114="Explosive Alert","Explosive risk; review clips before using as answer.",IF(C114&lt;=2,"Track only; not enough sample.",IF(C114=3,IF(E114&gt;0,"Sample watch with explosive exposure; review clips and build the sample.",IF(J114&gt;=65,"Good signal, but sample is limited.","Sample watch; review clips and build the sample.")),IF(K114="Problem Call","Problem area; practice or call-sheet review.",IF(K114="Strong Candidate","Strong call-fit candidate; confirm on film.",IF(K114="Good Candidate","Good call-fit signal; confirm on film.","Mixed signal; review fit and execution on film."))))))))</f>
        <v>Track only; not enough sample.</v>
      </c>
      <c r="M114" s="8" t="s">
        <v>92</v>
      </c>
      <c r="N114" s="8"/>
      <c r="O114" s="8"/>
      <c r="P114" s="8"/>
      <c r="Q114" s="8"/>
      <c r="R114" s="8" t="s">
        <v>28</v>
      </c>
      <c r="S114" s="2" t="s">
        <v>94</v>
      </c>
      <c r="T114" s="2">
        <f>IF(C114=0,0,IF(C114&gt;=CALL_LOOKUP_BOARD!$B$7,IF(OR(K114="Problem Call",K114="Explosive Alert"),10000000,20000000),0)+IF(C114&gt;=CALL_LOOKUP_BOARD!$B$7,J114*1000+MIN(C114,999),C114*1000+J114)+0.00989500)</f>
        <v>1022.009895</v>
      </c>
      <c r="U114" s="2">
        <f>IF(C114=0,"",IF(COUNTIFS($S$10:$S$178,SUBSTITUTE(SUBSTITUTE(SUBSTITUTE(S114,"~","~~"),"*","~*"),"?","~?"),$T$10:$T$178,"&gt;"&amp;T114)=0,S114,""))</f>
        <v/>
      </c>
    </row>
    <row r="115" spans="1:21" ht="38" customHeight="1">
      <c r="A115" s="8" t="s">
        <v>92</v>
      </c>
      <c r="B115" s="8" t="s">
        <v>53</v>
      </c>
      <c r="C115" s="12">
        <f>COUNTIFS('DEF_SELF_SCOUT_IMPORT'!$L$42:$L$1040,"Y",'DEF_SELF_SCOUT_IMPORT'!$E$42:$E$1040,SUBSTITUTE(SUBSTITUTE(SUBSTITUTE($B115,"~","~~"),"*","~*"),"?","~?"),'DEF_SELF_SCOUT_IMPORT'!$Q$42:$Q$1040,SUBSTITUTE(SUBSTITUTE(SUBSTITUTE($M115,"~","~~"),"*","~*"),"?","~?"))</f>
        <v>1</v>
      </c>
      <c r="D115" s="10">
        <f>IF($C115=0,"",SUMIFS('DEF_SELF_SCOUT_IMPORT'!$J$42:$J$1040,'DEF_SELF_SCOUT_IMPORT'!$L$42:$L$1040,"Y",'DEF_SELF_SCOUT_IMPORT'!$E$42:$E$1040,SUBSTITUTE(SUBSTITUTE(SUBSTITUTE($B115,"~","~~"),"*","~*"),"?","~?"),'DEF_SELF_SCOUT_IMPORT'!$Q$42:$Q$1040,SUBSTITUTE(SUBSTITUTE(SUBSTITUTE($M115,"~","~~"),"*","~*"),"?","~?"))/$C115)</f>
        <v>0.0</v>
      </c>
      <c r="E115" s="10">
        <f>IF($C115=0,"",SUMIFS('DEF_SELF_SCOUT_IMPORT'!$K$42:$K$1040,'DEF_SELF_SCOUT_IMPORT'!$L$42:$L$1040,"Y",'DEF_SELF_SCOUT_IMPORT'!$E$42:$E$1040,SUBSTITUTE(SUBSTITUTE(SUBSTITUTE($B115,"~","~~"),"*","~*"),"?","~?"),'DEF_SELF_SCOUT_IMPORT'!$Q$42:$Q$1040,SUBSTITUTE(SUBSTITUTE(SUBSTITUTE($M115,"~","~~"),"*","~*"),"?","~?"))/$C115)</f>
        <v>0.0</v>
      </c>
      <c r="F115" s="11">
        <f>IF($C115=0,"",AVERAGEIFS('DEF_SELF_SCOUT_IMPORT'!$I$42:$I$1040,'DEF_SELF_SCOUT_IMPORT'!$L$42:$L$1040,"Y",'DEF_SELF_SCOUT_IMPORT'!$E$42:$E$1040,SUBSTITUTE(SUBSTITUTE(SUBSTITUTE($B115,"~","~~"),"*","~*"),"?","~?"),'DEF_SELF_SCOUT_IMPORT'!$Q$42:$Q$1040,SUBSTITUTE(SUBSTITUTE(SUBSTITUTE($M115,"~","~~"),"*","~*"),"?","~?")))</f>
        <v>11.0</v>
      </c>
      <c r="G115" s="10">
        <f>IF($C115=0,"",COUNTIFS('DEF_SELF_SCOUT_IMPORT'!$L$42:$L$1040,"Y",'DEF_SELF_SCOUT_IMPORT'!$E$42:$E$1040,SUBSTITUTE(SUBSTITUTE(SUBSTITUTE($B115,"~","~~"),"*","~*"),"?","~?"),'DEF_SELF_SCOUT_IMPORT'!$Q$42:$Q$1040,SUBSTITUTE(SUBSTITUTE(SUBSTITUTE($M115,"~","~~"),"*","~*"),"?","~?"),'DEF_SELF_SCOUT_IMPORT'!$H$42:$H$1040,"RUSH")/$C115)</f>
        <v>1.0</v>
      </c>
      <c r="H115" s="10">
        <f>IF($C115=0,"",COUNTIFS('DEF_SELF_SCOUT_IMPORT'!$L$42:$L$1040,"Y",'DEF_SELF_SCOUT_IMPORT'!$E$42:$E$1040,SUBSTITUTE(SUBSTITUTE(SUBSTITUTE($B115,"~","~~"),"*","~*"),"?","~?"),'DEF_SELF_SCOUT_IMPORT'!$Q$42:$Q$1040,SUBSTITUTE(SUBSTITUTE(SUBSTITUTE($M115,"~","~~"),"*","~*"),"?","~?"),'DEF_SELF_SCOUT_IMPORT'!$H$42:$H$1040,"DROPBACK")/$C115)</f>
        <v>0.0</v>
      </c>
      <c r="I115" s="14" t="str">
        <f>IF(C115=0,"",IF(C115&lt;=2,"TRACK",IF(C115=3,"LOW",IF(C115&lt;=6,"MEDIUM","HIGH"))))</f>
        <v>TRACK</v>
      </c>
      <c r="J115" s="11">
        <f>IF(C115=0,"",ROUND(D115*70+(1-E115)*20+MAX(0,MIN(1,(10-F115)/10))*10,1))</f>
        <v>20.0</v>
      </c>
      <c r="K115" s="14" t="str">
        <f>IF(C115=0,"No Evidence",IF(C115&lt;=2,IF(E115&gt;0,"Explosive Alert","Track Only"),IF(C115=3,"Sample Watch",IF(E115&gt;=START_HERE!$B$31,"Explosive Alert",IF(J115&gt;=80,"Strong Candidate",IF(J115&gt;=65,"Good Candidate",IF(J115&gt;=50,"Mixed / Review","Problem Call")))))))</f>
        <v>Track Only</v>
      </c>
      <c r="L115" s="9" t="str">
        <f>IF(COUNTIFS('DEF_SELF_SCOUT_IMPORT'!$L$42:$L$1040,"Y",'DEF_SELF_SCOUT_IMPORT'!$E$42:$E$1040,SUBSTITUTE(SUBSTITUTE(SUBSTITUTE($B115,"~","~~"),"*","~*"),"?","~?"),'DEF_SELF_SCOUT_IMPORT'!$Q$42:$Q$1040,SUBSTITUTE(SUBSTITUTE(SUBSTITUTE($M115,"~","~~"),"*","~*"),"?","~?"),'DEF_SELF_SCOUT_IMPORT'!$J$42:$J$1040,"")&gt;0,"Unscored clean outcome; review result tags before using score.",IF(C115=0,"No matching defensive reps; film confirmation needed.",IF(K115="Explosive Alert","Explosive risk; review clips before using as answer.",IF(C115&lt;=2,"Track only; not enough sample.",IF(C115=3,IF(E115&gt;0,"Sample watch with explosive exposure; review clips and build the sample.",IF(J115&gt;=65,"Good signal, but sample is limited.","Sample watch; review clips and build the sample.")),IF(K115="Problem Call","Problem area; practice or call-sheet review.",IF(K115="Strong Candidate","Strong call-fit candidate; confirm on film.",IF(K115="Good Candidate","Good call-fit signal; confirm on film.","Mixed signal; review fit and execution on film."))))))))</f>
        <v>Track only; not enough sample.</v>
      </c>
      <c r="M115" s="8" t="s">
        <v>92</v>
      </c>
      <c r="N115" s="8"/>
      <c r="O115" s="8"/>
      <c r="P115" s="8"/>
      <c r="Q115" s="8"/>
      <c r="R115" s="8" t="s">
        <v>28</v>
      </c>
      <c r="S115" s="2" t="s">
        <v>94</v>
      </c>
      <c r="T115" s="2">
        <f>IF(C115=0,0,IF(C115&gt;=CALL_LOOKUP_BOARD!$B$7,IF(OR(K115="Problem Call",K115="Explosive Alert"),10000000,20000000),0)+IF(C115&gt;=CALL_LOOKUP_BOARD!$B$7,J115*1000+MIN(C115,999),C115*1000+J115)+0.00989400)</f>
        <v>1020.009894</v>
      </c>
      <c r="U115" s="2">
        <f>IF(C115=0,"",IF(COUNTIFS($S$10:$S$178,SUBSTITUTE(SUBSTITUTE(SUBSTITUTE(S115,"~","~~"),"*","~*"),"?","~?"),$T$10:$T$178,"&gt;"&amp;T115)=0,S115,""))</f>
        <v/>
      </c>
    </row>
    <row r="116" spans="1:21" ht="38" customHeight="1">
      <c r="A116" s="8" t="s">
        <v>92</v>
      </c>
      <c r="B116" s="8" t="s">
        <v>95</v>
      </c>
      <c r="C116" s="12">
        <f>COUNTIFS('DEF_SELF_SCOUT_IMPORT'!$L$42:$L$1040,"Y",'DEF_SELF_SCOUT_IMPORT'!$E$42:$E$1040,SUBSTITUTE(SUBSTITUTE(SUBSTITUTE($B116,"~","~~"),"*","~*"),"?","~?"),'DEF_SELF_SCOUT_IMPORT'!$Q$42:$Q$1040,SUBSTITUTE(SUBSTITUTE(SUBSTITUTE($M116,"~","~~"),"*","~*"),"?","~?"))</f>
        <v>1</v>
      </c>
      <c r="D116" s="10">
        <f>IF($C116=0,"",SUMIFS('DEF_SELF_SCOUT_IMPORT'!$J$42:$J$1040,'DEF_SELF_SCOUT_IMPORT'!$L$42:$L$1040,"Y",'DEF_SELF_SCOUT_IMPORT'!$E$42:$E$1040,SUBSTITUTE(SUBSTITUTE(SUBSTITUTE($B116,"~","~~"),"*","~*"),"?","~?"),'DEF_SELF_SCOUT_IMPORT'!$Q$42:$Q$1040,SUBSTITUTE(SUBSTITUTE(SUBSTITUTE($M116,"~","~~"),"*","~*"),"?","~?"))/$C116)</f>
        <v>0.0</v>
      </c>
      <c r="E116" s="10">
        <f>IF($C116=0,"",SUMIFS('DEF_SELF_SCOUT_IMPORT'!$K$42:$K$1040,'DEF_SELF_SCOUT_IMPORT'!$L$42:$L$1040,"Y",'DEF_SELF_SCOUT_IMPORT'!$E$42:$E$1040,SUBSTITUTE(SUBSTITUTE(SUBSTITUTE($B116,"~","~~"),"*","~*"),"?","~?"),'DEF_SELF_SCOUT_IMPORT'!$Q$42:$Q$1040,SUBSTITUTE(SUBSTITUTE(SUBSTITUTE($M116,"~","~~"),"*","~*"),"?","~?"))/$C116)</f>
        <v>0.0</v>
      </c>
      <c r="F116" s="11">
        <f>IF($C116=0,"",AVERAGEIFS('DEF_SELF_SCOUT_IMPORT'!$I$42:$I$1040,'DEF_SELF_SCOUT_IMPORT'!$L$42:$L$1040,"Y",'DEF_SELF_SCOUT_IMPORT'!$E$42:$E$1040,SUBSTITUTE(SUBSTITUTE(SUBSTITUTE($B116,"~","~~"),"*","~*"),"?","~?"),'DEF_SELF_SCOUT_IMPORT'!$Q$42:$Q$1040,SUBSTITUTE(SUBSTITUTE(SUBSTITUTE($M116,"~","~~"),"*","~*"),"?","~?")))</f>
        <v>6.0</v>
      </c>
      <c r="G116" s="10">
        <f>IF($C116=0,"",COUNTIFS('DEF_SELF_SCOUT_IMPORT'!$L$42:$L$1040,"Y",'DEF_SELF_SCOUT_IMPORT'!$E$42:$E$1040,SUBSTITUTE(SUBSTITUTE(SUBSTITUTE($B116,"~","~~"),"*","~*"),"?","~?"),'DEF_SELF_SCOUT_IMPORT'!$Q$42:$Q$1040,SUBSTITUTE(SUBSTITUTE(SUBSTITUTE($M116,"~","~~"),"*","~*"),"?","~?"),'DEF_SELF_SCOUT_IMPORT'!$H$42:$H$1040,"RUSH")/$C116)</f>
        <v>1.0</v>
      </c>
      <c r="H116" s="10">
        <f>IF($C116=0,"",COUNTIFS('DEF_SELF_SCOUT_IMPORT'!$L$42:$L$1040,"Y",'DEF_SELF_SCOUT_IMPORT'!$E$42:$E$1040,SUBSTITUTE(SUBSTITUTE(SUBSTITUTE($B116,"~","~~"),"*","~*"),"?","~?"),'DEF_SELF_SCOUT_IMPORT'!$Q$42:$Q$1040,SUBSTITUTE(SUBSTITUTE(SUBSTITUTE($M116,"~","~~"),"*","~*"),"?","~?"),'DEF_SELF_SCOUT_IMPORT'!$H$42:$H$1040,"DROPBACK")/$C116)</f>
        <v>0.0</v>
      </c>
      <c r="I116" s="14" t="str">
        <f>IF(C116=0,"",IF(C116&lt;=2,"TRACK",IF(C116=3,"LOW",IF(C116&lt;=6,"MEDIUM","HIGH"))))</f>
        <v>TRACK</v>
      </c>
      <c r="J116" s="11">
        <f>IF(C116=0,"",ROUND(D116*70+(1-E116)*20+MAX(0,MIN(1,(10-F116)/10))*10,1))</f>
        <v>24.0</v>
      </c>
      <c r="K116" s="14" t="str">
        <f>IF(C116=0,"No Evidence",IF(C116&lt;=2,IF(E116&gt;0,"Explosive Alert","Track Only"),IF(C116=3,"Sample Watch",IF(E116&gt;=START_HERE!$B$31,"Explosive Alert",IF(J116&gt;=80,"Strong Candidate",IF(J116&gt;=65,"Good Candidate",IF(J116&gt;=50,"Mixed / Review","Problem Call")))))))</f>
        <v>Track Only</v>
      </c>
      <c r="L116" s="9" t="str">
        <f>IF(COUNTIFS('DEF_SELF_SCOUT_IMPORT'!$L$42:$L$1040,"Y",'DEF_SELF_SCOUT_IMPORT'!$E$42:$E$1040,SUBSTITUTE(SUBSTITUTE(SUBSTITUTE($B116,"~","~~"),"*","~*"),"?","~?"),'DEF_SELF_SCOUT_IMPORT'!$Q$42:$Q$1040,SUBSTITUTE(SUBSTITUTE(SUBSTITUTE($M116,"~","~~"),"*","~*"),"?","~?"),'DEF_SELF_SCOUT_IMPORT'!$J$42:$J$1040,"")&gt;0,"Unscored clean outcome; review result tags before using score.",IF(C116=0,"No matching defensive reps; film confirmation needed.",IF(K116="Explosive Alert","Explosive risk; review clips before using as answer.",IF(C116&lt;=2,"Track only; not enough sample.",IF(C116=3,IF(E116&gt;0,"Sample watch with explosive exposure; review clips and build the sample.",IF(J116&gt;=65,"Good signal, but sample is limited.","Sample watch; review clips and build the sample.")),IF(K116="Problem Call","Problem area; practice or call-sheet review.",IF(K116="Strong Candidate","Strong call-fit candidate; confirm on film.",IF(K116="Good Candidate","Good call-fit signal; confirm on film.","Mixed signal; review fit and execution on film."))))))))</f>
        <v>Track only; not enough sample.</v>
      </c>
      <c r="M116" s="8" t="s">
        <v>92</v>
      </c>
      <c r="N116" s="8"/>
      <c r="O116" s="8"/>
      <c r="P116" s="8"/>
      <c r="Q116" s="8"/>
      <c r="R116" s="8" t="s">
        <v>28</v>
      </c>
      <c r="S116" s="2" t="s">
        <v>94</v>
      </c>
      <c r="T116" s="2">
        <f>IF(C116=0,0,IF(C116&gt;=CALL_LOOKUP_BOARD!$B$7,IF(OR(K116="Problem Call",K116="Explosive Alert"),10000000,20000000),0)+IF(C116&gt;=CALL_LOOKUP_BOARD!$B$7,J116*1000+MIN(C116,999),C116*1000+J116)+0.00989300)</f>
        <v>1024.009893</v>
      </c>
      <c r="U116" s="2">
        <f>IF(C116=0,"",IF(COUNTIFS($S$10:$S$178,SUBSTITUTE(SUBSTITUTE(SUBSTITUTE(S116,"~","~~"),"*","~*"),"?","~?"),$T$10:$T$178,"&gt;"&amp;T116)=0,S116,""))</f>
        <v/>
      </c>
    </row>
    <row r="117" spans="1:21" ht="38" customHeight="1">
      <c r="A117" s="8" t="s">
        <v>92</v>
      </c>
      <c r="B117" s="8" t="s">
        <v>35</v>
      </c>
      <c r="C117" s="12">
        <f>COUNTIFS('DEF_SELF_SCOUT_IMPORT'!$L$42:$L$1040,"Y",'DEF_SELF_SCOUT_IMPORT'!$E$42:$E$1040,SUBSTITUTE(SUBSTITUTE(SUBSTITUTE($B117,"~","~~"),"*","~*"),"?","~?"),'DEF_SELF_SCOUT_IMPORT'!$Q$42:$Q$1040,SUBSTITUTE(SUBSTITUTE(SUBSTITUTE($M117,"~","~~"),"*","~*"),"?","~?"))</f>
        <v>1</v>
      </c>
      <c r="D117" s="10">
        <f>IF($C117=0,"",SUMIFS('DEF_SELF_SCOUT_IMPORT'!$J$42:$J$1040,'DEF_SELF_SCOUT_IMPORT'!$L$42:$L$1040,"Y",'DEF_SELF_SCOUT_IMPORT'!$E$42:$E$1040,SUBSTITUTE(SUBSTITUTE(SUBSTITUTE($B117,"~","~~"),"*","~*"),"?","~?"),'DEF_SELF_SCOUT_IMPORT'!$Q$42:$Q$1040,SUBSTITUTE(SUBSTITUTE(SUBSTITUTE($M117,"~","~~"),"*","~*"),"?","~?"))/$C117)</f>
        <v>0.0</v>
      </c>
      <c r="E117" s="10">
        <f>IF($C117=0,"",SUMIFS('DEF_SELF_SCOUT_IMPORT'!$K$42:$K$1040,'DEF_SELF_SCOUT_IMPORT'!$L$42:$L$1040,"Y",'DEF_SELF_SCOUT_IMPORT'!$E$42:$E$1040,SUBSTITUTE(SUBSTITUTE(SUBSTITUTE($B117,"~","~~"),"*","~*"),"?","~?"),'DEF_SELF_SCOUT_IMPORT'!$Q$42:$Q$1040,SUBSTITUTE(SUBSTITUTE(SUBSTITUTE($M117,"~","~~"),"*","~*"),"?","~?"))/$C117)</f>
        <v>0.0</v>
      </c>
      <c r="F117" s="11">
        <f>IF($C117=0,"",AVERAGEIFS('DEF_SELF_SCOUT_IMPORT'!$I$42:$I$1040,'DEF_SELF_SCOUT_IMPORT'!$L$42:$L$1040,"Y",'DEF_SELF_SCOUT_IMPORT'!$E$42:$E$1040,SUBSTITUTE(SUBSTITUTE(SUBSTITUTE($B117,"~","~~"),"*","~*"),"?","~?"),'DEF_SELF_SCOUT_IMPORT'!$Q$42:$Q$1040,SUBSTITUTE(SUBSTITUTE(SUBSTITUTE($M117,"~","~~"),"*","~*"),"?","~?")))</f>
        <v>5.0</v>
      </c>
      <c r="G117" s="10">
        <f>IF($C117=0,"",COUNTIFS('DEF_SELF_SCOUT_IMPORT'!$L$42:$L$1040,"Y",'DEF_SELF_SCOUT_IMPORT'!$E$42:$E$1040,SUBSTITUTE(SUBSTITUTE(SUBSTITUTE($B117,"~","~~"),"*","~*"),"?","~?"),'DEF_SELF_SCOUT_IMPORT'!$Q$42:$Q$1040,SUBSTITUTE(SUBSTITUTE(SUBSTITUTE($M117,"~","~~"),"*","~*"),"?","~?"),'DEF_SELF_SCOUT_IMPORT'!$H$42:$H$1040,"RUSH")/$C117)</f>
        <v>1.0</v>
      </c>
      <c r="H117" s="10">
        <f>IF($C117=0,"",COUNTIFS('DEF_SELF_SCOUT_IMPORT'!$L$42:$L$1040,"Y",'DEF_SELF_SCOUT_IMPORT'!$E$42:$E$1040,SUBSTITUTE(SUBSTITUTE(SUBSTITUTE($B117,"~","~~"),"*","~*"),"?","~?"),'DEF_SELF_SCOUT_IMPORT'!$Q$42:$Q$1040,SUBSTITUTE(SUBSTITUTE(SUBSTITUTE($M117,"~","~~"),"*","~*"),"?","~?"),'DEF_SELF_SCOUT_IMPORT'!$H$42:$H$1040,"DROPBACK")/$C117)</f>
        <v>0.0</v>
      </c>
      <c r="I117" s="14" t="str">
        <f>IF(C117=0,"",IF(C117&lt;=2,"TRACK",IF(C117=3,"LOW",IF(C117&lt;=6,"MEDIUM","HIGH"))))</f>
        <v>TRACK</v>
      </c>
      <c r="J117" s="11">
        <f>IF(C117=0,"",ROUND(D117*70+(1-E117)*20+MAX(0,MIN(1,(10-F117)/10))*10,1))</f>
        <v>25.0</v>
      </c>
      <c r="K117" s="14" t="str">
        <f>IF(C117=0,"No Evidence",IF(C117&lt;=2,IF(E117&gt;0,"Explosive Alert","Track Only"),IF(C117=3,"Sample Watch",IF(E117&gt;=START_HERE!$B$31,"Explosive Alert",IF(J117&gt;=80,"Strong Candidate",IF(J117&gt;=65,"Good Candidate",IF(J117&gt;=50,"Mixed / Review","Problem Call")))))))</f>
        <v>Track Only</v>
      </c>
      <c r="L117" s="9" t="str">
        <f>IF(COUNTIFS('DEF_SELF_SCOUT_IMPORT'!$L$42:$L$1040,"Y",'DEF_SELF_SCOUT_IMPORT'!$E$42:$E$1040,SUBSTITUTE(SUBSTITUTE(SUBSTITUTE($B117,"~","~~"),"*","~*"),"?","~?"),'DEF_SELF_SCOUT_IMPORT'!$Q$42:$Q$1040,SUBSTITUTE(SUBSTITUTE(SUBSTITUTE($M117,"~","~~"),"*","~*"),"?","~?"),'DEF_SELF_SCOUT_IMPORT'!$J$42:$J$1040,"")&gt;0,"Unscored clean outcome; review result tags before using score.",IF(C117=0,"No matching defensive reps; film confirmation needed.",IF(K117="Explosive Alert","Explosive risk; review clips before using as answer.",IF(C117&lt;=2,"Track only; not enough sample.",IF(C117=3,IF(E117&gt;0,"Sample watch with explosive exposure; review clips and build the sample.",IF(J117&gt;=65,"Good signal, but sample is limited.","Sample watch; review clips and build the sample.")),IF(K117="Problem Call","Problem area; practice or call-sheet review.",IF(K117="Strong Candidate","Strong call-fit candidate; confirm on film.",IF(K117="Good Candidate","Good call-fit signal; confirm on film.","Mixed signal; review fit and execution on film."))))))))</f>
        <v>Track only; not enough sample.</v>
      </c>
      <c r="M117" s="8" t="s">
        <v>92</v>
      </c>
      <c r="N117" s="8"/>
      <c r="O117" s="8"/>
      <c r="P117" s="8"/>
      <c r="Q117" s="8"/>
      <c r="R117" s="8" t="s">
        <v>28</v>
      </c>
      <c r="S117" s="2" t="s">
        <v>94</v>
      </c>
      <c r="T117" s="2">
        <f>IF(C117=0,0,IF(C117&gt;=CALL_LOOKUP_BOARD!$B$7,IF(OR(K117="Problem Call",K117="Explosive Alert"),10000000,20000000),0)+IF(C117&gt;=CALL_LOOKUP_BOARD!$B$7,J117*1000+MIN(C117,999),C117*1000+J117)+0.00989200)</f>
        <v>1025.009892</v>
      </c>
      <c r="U117" s="2">
        <f>IF(C117=0,"",IF(COUNTIFS($S$10:$S$178,SUBSTITUTE(SUBSTITUTE(SUBSTITUTE(S117,"~","~~"),"*","~*"),"?","~?"),$T$10:$T$178,"&gt;"&amp;T117)=0,S117,""))</f>
        <v/>
      </c>
    </row>
    <row r="118" spans="1:21" ht="38" customHeight="1">
      <c r="A118" s="8" t="s">
        <v>92</v>
      </c>
      <c r="B118" s="8" t="s">
        <v>60</v>
      </c>
      <c r="C118" s="12">
        <f>COUNTIFS('DEF_SELF_SCOUT_IMPORT'!$L$42:$L$1040,"Y",'DEF_SELF_SCOUT_IMPORT'!$E$42:$E$1040,SUBSTITUTE(SUBSTITUTE(SUBSTITUTE($B118,"~","~~"),"*","~*"),"?","~?"),'DEF_SELF_SCOUT_IMPORT'!$Q$42:$Q$1040,SUBSTITUTE(SUBSTITUTE(SUBSTITUTE($M118,"~","~~"),"*","~*"),"?","~?"))</f>
        <v>1</v>
      </c>
      <c r="D118" s="10">
        <f>IF($C118=0,"",SUMIFS('DEF_SELF_SCOUT_IMPORT'!$J$42:$J$1040,'DEF_SELF_SCOUT_IMPORT'!$L$42:$L$1040,"Y",'DEF_SELF_SCOUT_IMPORT'!$E$42:$E$1040,SUBSTITUTE(SUBSTITUTE(SUBSTITUTE($B118,"~","~~"),"*","~*"),"?","~?"),'DEF_SELF_SCOUT_IMPORT'!$Q$42:$Q$1040,SUBSTITUTE(SUBSTITUTE(SUBSTITUTE($M118,"~","~~"),"*","~*"),"?","~?"))/$C118)</f>
        <v>0.0</v>
      </c>
      <c r="E118" s="10">
        <f>IF($C118=0,"",SUMIFS('DEF_SELF_SCOUT_IMPORT'!$K$42:$K$1040,'DEF_SELF_SCOUT_IMPORT'!$L$42:$L$1040,"Y",'DEF_SELF_SCOUT_IMPORT'!$E$42:$E$1040,SUBSTITUTE(SUBSTITUTE(SUBSTITUTE($B118,"~","~~"),"*","~*"),"?","~?"),'DEF_SELF_SCOUT_IMPORT'!$Q$42:$Q$1040,SUBSTITUTE(SUBSTITUTE(SUBSTITUTE($M118,"~","~~"),"*","~*"),"?","~?"))/$C118)</f>
        <v>0.0</v>
      </c>
      <c r="F118" s="11">
        <f>IF($C118=0,"",AVERAGEIFS('DEF_SELF_SCOUT_IMPORT'!$I$42:$I$1040,'DEF_SELF_SCOUT_IMPORT'!$L$42:$L$1040,"Y",'DEF_SELF_SCOUT_IMPORT'!$E$42:$E$1040,SUBSTITUTE(SUBSTITUTE(SUBSTITUTE($B118,"~","~~"),"*","~*"),"?","~?"),'DEF_SELF_SCOUT_IMPORT'!$Q$42:$Q$1040,SUBSTITUTE(SUBSTITUTE(SUBSTITUTE($M118,"~","~~"),"*","~*"),"?","~?")))</f>
        <v>2.0</v>
      </c>
      <c r="G118" s="10">
        <f>IF($C118=0,"",COUNTIFS('DEF_SELF_SCOUT_IMPORT'!$L$42:$L$1040,"Y",'DEF_SELF_SCOUT_IMPORT'!$E$42:$E$1040,SUBSTITUTE(SUBSTITUTE(SUBSTITUTE($B118,"~","~~"),"*","~*"),"?","~?"),'DEF_SELF_SCOUT_IMPORT'!$Q$42:$Q$1040,SUBSTITUTE(SUBSTITUTE(SUBSTITUTE($M118,"~","~~"),"*","~*"),"?","~?"),'DEF_SELF_SCOUT_IMPORT'!$H$42:$H$1040,"RUSH")/$C118)</f>
        <v>1.0</v>
      </c>
      <c r="H118" s="10">
        <f>IF($C118=0,"",COUNTIFS('DEF_SELF_SCOUT_IMPORT'!$L$42:$L$1040,"Y",'DEF_SELF_SCOUT_IMPORT'!$E$42:$E$1040,SUBSTITUTE(SUBSTITUTE(SUBSTITUTE($B118,"~","~~"),"*","~*"),"?","~?"),'DEF_SELF_SCOUT_IMPORT'!$Q$42:$Q$1040,SUBSTITUTE(SUBSTITUTE(SUBSTITUTE($M118,"~","~~"),"*","~*"),"?","~?"),'DEF_SELF_SCOUT_IMPORT'!$H$42:$H$1040,"DROPBACK")/$C118)</f>
        <v>0.0</v>
      </c>
      <c r="I118" s="14" t="str">
        <f>IF(C118=0,"",IF(C118&lt;=2,"TRACK",IF(C118=3,"LOW",IF(C118&lt;=6,"MEDIUM","HIGH"))))</f>
        <v>TRACK</v>
      </c>
      <c r="J118" s="11">
        <f>IF(C118=0,"",ROUND(D118*70+(1-E118)*20+MAX(0,MIN(1,(10-F118)/10))*10,1))</f>
        <v>28.0</v>
      </c>
      <c r="K118" s="14" t="str">
        <f>IF(C118=0,"No Evidence",IF(C118&lt;=2,IF(E118&gt;0,"Explosive Alert","Track Only"),IF(C118=3,"Sample Watch",IF(E118&gt;=START_HERE!$B$31,"Explosive Alert",IF(J118&gt;=80,"Strong Candidate",IF(J118&gt;=65,"Good Candidate",IF(J118&gt;=50,"Mixed / Review","Problem Call")))))))</f>
        <v>Track Only</v>
      </c>
      <c r="L118" s="9" t="str">
        <f>IF(COUNTIFS('DEF_SELF_SCOUT_IMPORT'!$L$42:$L$1040,"Y",'DEF_SELF_SCOUT_IMPORT'!$E$42:$E$1040,SUBSTITUTE(SUBSTITUTE(SUBSTITUTE($B118,"~","~~"),"*","~*"),"?","~?"),'DEF_SELF_SCOUT_IMPORT'!$Q$42:$Q$1040,SUBSTITUTE(SUBSTITUTE(SUBSTITUTE($M118,"~","~~"),"*","~*"),"?","~?"),'DEF_SELF_SCOUT_IMPORT'!$J$42:$J$1040,"")&gt;0,"Unscored clean outcome; review result tags before using score.",IF(C118=0,"No matching defensive reps; film confirmation needed.",IF(K118="Explosive Alert","Explosive risk; review clips before using as answer.",IF(C118&lt;=2,"Track only; not enough sample.",IF(C118=3,IF(E118&gt;0,"Sample watch with explosive exposure; review clips and build the sample.",IF(J118&gt;=65,"Good signal, but sample is limited.","Sample watch; review clips and build the sample.")),IF(K118="Problem Call","Problem area; practice or call-sheet review.",IF(K118="Strong Candidate","Strong call-fit candidate; confirm on film.",IF(K118="Good Candidate","Good call-fit signal; confirm on film.","Mixed signal; review fit and execution on film."))))))))</f>
        <v>Track only; not enough sample.</v>
      </c>
      <c r="M118" s="8" t="s">
        <v>92</v>
      </c>
      <c r="N118" s="8"/>
      <c r="O118" s="8"/>
      <c r="P118" s="8"/>
      <c r="Q118" s="8"/>
      <c r="R118" s="8" t="s">
        <v>28</v>
      </c>
      <c r="S118" s="2" t="s">
        <v>94</v>
      </c>
      <c r="T118" s="2">
        <f>IF(C118=0,0,IF(C118&gt;=CALL_LOOKUP_BOARD!$B$7,IF(OR(K118="Problem Call",K118="Explosive Alert"),10000000,20000000),0)+IF(C118&gt;=CALL_LOOKUP_BOARD!$B$7,J118*1000+MIN(C118,999),C118*1000+J118)+0.00989100)</f>
        <v>1028.009891</v>
      </c>
      <c r="U118" s="2">
        <f>IF(C118=0,"",IF(COUNTIFS($S$10:$S$178,SUBSTITUTE(SUBSTITUTE(SUBSTITUTE(S118,"~","~~"),"*","~*"),"?","~?"),$T$10:$T$178,"&gt;"&amp;T118)=0,S118,""))</f>
        <v/>
      </c>
    </row>
    <row r="119" spans="1:21" ht="38" customHeight="1">
      <c r="A119" s="8" t="s">
        <v>92</v>
      </c>
      <c r="B119" s="8" t="s">
        <v>66</v>
      </c>
      <c r="C119" s="12">
        <f>COUNTIFS('DEF_SELF_SCOUT_IMPORT'!$L$42:$L$1040,"Y",'DEF_SELF_SCOUT_IMPORT'!$E$42:$E$1040,SUBSTITUTE(SUBSTITUTE(SUBSTITUTE($B119,"~","~~"),"*","~*"),"?","~?"),'DEF_SELF_SCOUT_IMPORT'!$Q$42:$Q$1040,SUBSTITUTE(SUBSTITUTE(SUBSTITUTE($M119,"~","~~"),"*","~*"),"?","~?"))</f>
        <v>1</v>
      </c>
      <c r="D119" s="10">
        <f>IF($C119=0,"",SUMIFS('DEF_SELF_SCOUT_IMPORT'!$J$42:$J$1040,'DEF_SELF_SCOUT_IMPORT'!$L$42:$L$1040,"Y",'DEF_SELF_SCOUT_IMPORT'!$E$42:$E$1040,SUBSTITUTE(SUBSTITUTE(SUBSTITUTE($B119,"~","~~"),"*","~*"),"?","~?"),'DEF_SELF_SCOUT_IMPORT'!$Q$42:$Q$1040,SUBSTITUTE(SUBSTITUTE(SUBSTITUTE($M119,"~","~~"),"*","~*"),"?","~?"))/$C119)</f>
        <v>0.0</v>
      </c>
      <c r="E119" s="10">
        <f>IF($C119=0,"",SUMIFS('DEF_SELF_SCOUT_IMPORT'!$K$42:$K$1040,'DEF_SELF_SCOUT_IMPORT'!$L$42:$L$1040,"Y",'DEF_SELF_SCOUT_IMPORT'!$E$42:$E$1040,SUBSTITUTE(SUBSTITUTE(SUBSTITUTE($B119,"~","~~"),"*","~*"),"?","~?"),'DEF_SELF_SCOUT_IMPORT'!$Q$42:$Q$1040,SUBSTITUTE(SUBSTITUTE(SUBSTITUTE($M119,"~","~~"),"*","~*"),"?","~?"))/$C119)</f>
        <v>0.0</v>
      </c>
      <c r="F119" s="11">
        <f>IF($C119=0,"",AVERAGEIFS('DEF_SELF_SCOUT_IMPORT'!$I$42:$I$1040,'DEF_SELF_SCOUT_IMPORT'!$L$42:$L$1040,"Y",'DEF_SELF_SCOUT_IMPORT'!$E$42:$E$1040,SUBSTITUTE(SUBSTITUTE(SUBSTITUTE($B119,"~","~~"),"*","~*"),"?","~?"),'DEF_SELF_SCOUT_IMPORT'!$Q$42:$Q$1040,SUBSTITUTE(SUBSTITUTE(SUBSTITUTE($M119,"~","~~"),"*","~*"),"?","~?")))</f>
        <v>1.0</v>
      </c>
      <c r="G119" s="10">
        <f>IF($C119=0,"",COUNTIFS('DEF_SELF_SCOUT_IMPORT'!$L$42:$L$1040,"Y",'DEF_SELF_SCOUT_IMPORT'!$E$42:$E$1040,SUBSTITUTE(SUBSTITUTE(SUBSTITUTE($B119,"~","~~"),"*","~*"),"?","~?"),'DEF_SELF_SCOUT_IMPORT'!$Q$42:$Q$1040,SUBSTITUTE(SUBSTITUTE(SUBSTITUTE($M119,"~","~~"),"*","~*"),"?","~?"),'DEF_SELF_SCOUT_IMPORT'!$H$42:$H$1040,"RUSH")/$C119)</f>
        <v>1.0</v>
      </c>
      <c r="H119" s="10">
        <f>IF($C119=0,"",COUNTIFS('DEF_SELF_SCOUT_IMPORT'!$L$42:$L$1040,"Y",'DEF_SELF_SCOUT_IMPORT'!$E$42:$E$1040,SUBSTITUTE(SUBSTITUTE(SUBSTITUTE($B119,"~","~~"),"*","~*"),"?","~?"),'DEF_SELF_SCOUT_IMPORT'!$Q$42:$Q$1040,SUBSTITUTE(SUBSTITUTE(SUBSTITUTE($M119,"~","~~"),"*","~*"),"?","~?"),'DEF_SELF_SCOUT_IMPORT'!$H$42:$H$1040,"DROPBACK")/$C119)</f>
        <v>0.0</v>
      </c>
      <c r="I119" s="14" t="str">
        <f>IF(C119=0,"",IF(C119&lt;=2,"TRACK",IF(C119=3,"LOW",IF(C119&lt;=6,"MEDIUM","HIGH"))))</f>
        <v>TRACK</v>
      </c>
      <c r="J119" s="11">
        <f>IF(C119=0,"",ROUND(D119*70+(1-E119)*20+MAX(0,MIN(1,(10-F119)/10))*10,1))</f>
        <v>29.0</v>
      </c>
      <c r="K119" s="14" t="str">
        <f>IF(C119=0,"No Evidence",IF(C119&lt;=2,IF(E119&gt;0,"Explosive Alert","Track Only"),IF(C119=3,"Sample Watch",IF(E119&gt;=START_HERE!$B$31,"Explosive Alert",IF(J119&gt;=80,"Strong Candidate",IF(J119&gt;=65,"Good Candidate",IF(J119&gt;=50,"Mixed / Review","Problem Call")))))))</f>
        <v>Track Only</v>
      </c>
      <c r="L119" s="9" t="str">
        <f>IF(COUNTIFS('DEF_SELF_SCOUT_IMPORT'!$L$42:$L$1040,"Y",'DEF_SELF_SCOUT_IMPORT'!$E$42:$E$1040,SUBSTITUTE(SUBSTITUTE(SUBSTITUTE($B119,"~","~~"),"*","~*"),"?","~?"),'DEF_SELF_SCOUT_IMPORT'!$Q$42:$Q$1040,SUBSTITUTE(SUBSTITUTE(SUBSTITUTE($M119,"~","~~"),"*","~*"),"?","~?"),'DEF_SELF_SCOUT_IMPORT'!$J$42:$J$1040,"")&gt;0,"Unscored clean outcome; review result tags before using score.",IF(C119=0,"No matching defensive reps; film confirmation needed.",IF(K119="Explosive Alert","Explosive risk; review clips before using as answer.",IF(C119&lt;=2,"Track only; not enough sample.",IF(C119=3,IF(E119&gt;0,"Sample watch with explosive exposure; review clips and build the sample.",IF(J119&gt;=65,"Good signal, but sample is limited.","Sample watch; review clips and build the sample.")),IF(K119="Problem Call","Problem area; practice or call-sheet review.",IF(K119="Strong Candidate","Strong call-fit candidate; confirm on film.",IF(K119="Good Candidate","Good call-fit signal; confirm on film.","Mixed signal; review fit and execution on film."))))))))</f>
        <v>Track only; not enough sample.</v>
      </c>
      <c r="M119" s="8" t="s">
        <v>92</v>
      </c>
      <c r="N119" s="8"/>
      <c r="O119" s="8"/>
      <c r="P119" s="8"/>
      <c r="Q119" s="8"/>
      <c r="R119" s="8" t="s">
        <v>28</v>
      </c>
      <c r="S119" s="2" t="s">
        <v>94</v>
      </c>
      <c r="T119" s="2">
        <f>IF(C119=0,0,IF(C119&gt;=CALL_LOOKUP_BOARD!$B$7,IF(OR(K119="Problem Call",K119="Explosive Alert"),10000000,20000000),0)+IF(C119&gt;=CALL_LOOKUP_BOARD!$B$7,J119*1000+MIN(C119,999),C119*1000+J119)+0.00989000)</f>
        <v>1029.00989</v>
      </c>
      <c r="U119" s="2">
        <f>IF(C119=0,"",IF(COUNTIFS($S$10:$S$178,SUBSTITUTE(SUBSTITUTE(SUBSTITUTE(S119,"~","~~"),"*","~*"),"?","~?"),$T$10:$T$178,"&gt;"&amp;T119)=0,S119,""))</f>
        <v/>
      </c>
    </row>
    <row r="120" spans="1:21" ht="38" customHeight="1">
      <c r="A120" s="8" t="s">
        <v>96</v>
      </c>
      <c r="B120" s="8" t="s">
        <v>97</v>
      </c>
      <c r="C120" s="12">
        <f>COUNTIFS('DEF_SELF_SCOUT_IMPORT'!$L$42:$L$1040,"Y",'DEF_SELF_SCOUT_IMPORT'!$E$42:$E$1040,SUBSTITUTE(SUBSTITUTE(SUBSTITUTE($B120,"~","~~"),"*","~*"),"?","~?"),'DEF_SELF_SCOUT_IMPORT'!$Q$42:$Q$1040,SUBSTITUTE(SUBSTITUTE(SUBSTITUTE($M120,"~","~~"),"*","~*"),"?","~?"))</f>
        <v>1</v>
      </c>
      <c r="D120" s="10">
        <f>IF($C120=0,"",SUMIFS('DEF_SELF_SCOUT_IMPORT'!$J$42:$J$1040,'DEF_SELF_SCOUT_IMPORT'!$L$42:$L$1040,"Y",'DEF_SELF_SCOUT_IMPORT'!$E$42:$E$1040,SUBSTITUTE(SUBSTITUTE(SUBSTITUTE($B120,"~","~~"),"*","~*"),"?","~?"),'DEF_SELF_SCOUT_IMPORT'!$Q$42:$Q$1040,SUBSTITUTE(SUBSTITUTE(SUBSTITUTE($M120,"~","~~"),"*","~*"),"?","~?"))/$C120)</f>
        <v>1.0</v>
      </c>
      <c r="E120" s="10">
        <f>IF($C120=0,"",SUMIFS('DEF_SELF_SCOUT_IMPORT'!$K$42:$K$1040,'DEF_SELF_SCOUT_IMPORT'!$L$42:$L$1040,"Y",'DEF_SELF_SCOUT_IMPORT'!$E$42:$E$1040,SUBSTITUTE(SUBSTITUTE(SUBSTITUTE($B120,"~","~~"),"*","~*"),"?","~?"),'DEF_SELF_SCOUT_IMPORT'!$Q$42:$Q$1040,SUBSTITUTE(SUBSTITUTE(SUBSTITUTE($M120,"~","~~"),"*","~*"),"?","~?"))/$C120)</f>
        <v>0.0</v>
      </c>
      <c r="F120" s="11">
        <f>IF($C120=0,"",AVERAGEIFS('DEF_SELF_SCOUT_IMPORT'!$I$42:$I$1040,'DEF_SELF_SCOUT_IMPORT'!$L$42:$L$1040,"Y",'DEF_SELF_SCOUT_IMPORT'!$E$42:$E$1040,SUBSTITUTE(SUBSTITUTE(SUBSTITUTE($B120,"~","~~"),"*","~*"),"?","~?"),'DEF_SELF_SCOUT_IMPORT'!$Q$42:$Q$1040,SUBSTITUTE(SUBSTITUTE(SUBSTITUTE($M120,"~","~~"),"*","~*"),"?","~?")))</f>
        <v>4.0</v>
      </c>
      <c r="G120" s="10">
        <f>IF($C120=0,"",COUNTIFS('DEF_SELF_SCOUT_IMPORT'!$L$42:$L$1040,"Y",'DEF_SELF_SCOUT_IMPORT'!$E$42:$E$1040,SUBSTITUTE(SUBSTITUTE(SUBSTITUTE($B120,"~","~~"),"*","~*"),"?","~?"),'DEF_SELF_SCOUT_IMPORT'!$Q$42:$Q$1040,SUBSTITUTE(SUBSTITUTE(SUBSTITUTE($M120,"~","~~"),"*","~*"),"?","~?"),'DEF_SELF_SCOUT_IMPORT'!$H$42:$H$1040,"RUSH")/$C120)</f>
        <v>0.0</v>
      </c>
      <c r="H120" s="10">
        <f>IF($C120=0,"",COUNTIFS('DEF_SELF_SCOUT_IMPORT'!$L$42:$L$1040,"Y",'DEF_SELF_SCOUT_IMPORT'!$E$42:$E$1040,SUBSTITUTE(SUBSTITUTE(SUBSTITUTE($B120,"~","~~"),"*","~*"),"?","~?"),'DEF_SELF_SCOUT_IMPORT'!$Q$42:$Q$1040,SUBSTITUTE(SUBSTITUTE(SUBSTITUTE($M120,"~","~~"),"*","~*"),"?","~?"),'DEF_SELF_SCOUT_IMPORT'!$H$42:$H$1040,"DROPBACK")/$C120)</f>
        <v>1.0</v>
      </c>
      <c r="I120" s="14" t="str">
        <f>IF(C120=0,"",IF(C120&lt;=2,"TRACK",IF(C120=3,"LOW",IF(C120&lt;=6,"MEDIUM","HIGH"))))</f>
        <v>TRACK</v>
      </c>
      <c r="J120" s="11">
        <f>IF(C120=0,"",ROUND(D120*70+(1-E120)*20+MAX(0,MIN(1,(10-F120)/10))*10,1))</f>
        <v>96.0</v>
      </c>
      <c r="K120" s="14" t="str">
        <f>IF(C120=0,"No Evidence",IF(C120&lt;=2,IF(E120&gt;0,"Explosive Alert","Track Only"),IF(C120=3,"Sample Watch",IF(E120&gt;=START_HERE!$B$31,"Explosive Alert",IF(J120&gt;=80,"Strong Candidate",IF(J120&gt;=65,"Good Candidate",IF(J120&gt;=50,"Mixed / Review","Problem Call")))))))</f>
        <v>Track Only</v>
      </c>
      <c r="L120" s="9" t="str">
        <f>IF(COUNTIFS('DEF_SELF_SCOUT_IMPORT'!$L$42:$L$1040,"Y",'DEF_SELF_SCOUT_IMPORT'!$E$42:$E$1040,SUBSTITUTE(SUBSTITUTE(SUBSTITUTE($B120,"~","~~"),"*","~*"),"?","~?"),'DEF_SELF_SCOUT_IMPORT'!$Q$42:$Q$1040,SUBSTITUTE(SUBSTITUTE(SUBSTITUTE($M120,"~","~~"),"*","~*"),"?","~?"),'DEF_SELF_SCOUT_IMPORT'!$J$42:$J$1040,"")&gt;0,"Unscored clean outcome; review result tags before using score.",IF(C120=0,"No matching defensive reps; film confirmation needed.",IF(K120="Explosive Alert","Explosive risk; review clips before using as answer.",IF(C120&lt;=2,"Track only; not enough sample.",IF(C120=3,IF(E120&gt;0,"Sample watch with explosive exposure; review clips and build the sample.",IF(J120&gt;=65,"Good signal, but sample is limited.","Sample watch; review clips and build the sample.")),IF(K120="Problem Call","Problem area; practice or call-sheet review.",IF(K120="Strong Candidate","Strong call-fit candidate; confirm on film.",IF(K120="Good Candidate","Good call-fit signal; confirm on film.","Mixed signal; review fit and execution on film."))))))))</f>
        <v>Track only; not enough sample.</v>
      </c>
      <c r="M120" s="8" t="s">
        <v>96</v>
      </c>
      <c r="N120" s="8"/>
      <c r="O120" s="8"/>
      <c r="P120" s="8"/>
      <c r="Q120" s="8"/>
      <c r="R120" s="8" t="s">
        <v>28</v>
      </c>
      <c r="S120" s="2" t="s">
        <v>98</v>
      </c>
      <c r="T120" s="2">
        <f>IF(C120=0,0,IF(C120&gt;=CALL_LOOKUP_BOARD!$B$7,IF(OR(K120="Problem Call",K120="Explosive Alert"),10000000,20000000),0)+IF(C120&gt;=CALL_LOOKUP_BOARD!$B$7,J120*1000+MIN(C120,999),C120*1000+J120)+0.00988900)</f>
        <v>1096.009889</v>
      </c>
      <c r="U120" s="2">
        <f>IF(C120=0,"",IF(COUNTIFS($S$10:$S$178,SUBSTITUTE(SUBSTITUTE(SUBSTITUTE(S120,"~","~~"),"*","~*"),"?","~?"),$T$10:$T$178,"&gt;"&amp;T120)=0,S120,""))</f>
        <v/>
      </c>
    </row>
    <row r="121" spans="1:21" ht="38" customHeight="1">
      <c r="A121" s="8" t="s">
        <v>96</v>
      </c>
      <c r="B121" s="8" t="s">
        <v>99</v>
      </c>
      <c r="C121" s="12">
        <f>COUNTIFS('DEF_SELF_SCOUT_IMPORT'!$L$42:$L$1040,"Y",'DEF_SELF_SCOUT_IMPORT'!$E$42:$E$1040,SUBSTITUTE(SUBSTITUTE(SUBSTITUTE($B121,"~","~~"),"*","~*"),"?","~?"),'DEF_SELF_SCOUT_IMPORT'!$Q$42:$Q$1040,SUBSTITUTE(SUBSTITUTE(SUBSTITUTE($M121,"~","~~"),"*","~*"),"?","~?"))</f>
        <v>2</v>
      </c>
      <c r="D121" s="10">
        <f>IF($C121=0,"",SUMIFS('DEF_SELF_SCOUT_IMPORT'!$J$42:$J$1040,'DEF_SELF_SCOUT_IMPORT'!$L$42:$L$1040,"Y",'DEF_SELF_SCOUT_IMPORT'!$E$42:$E$1040,SUBSTITUTE(SUBSTITUTE(SUBSTITUTE($B121,"~","~~"),"*","~*"),"?","~?"),'DEF_SELF_SCOUT_IMPORT'!$Q$42:$Q$1040,SUBSTITUTE(SUBSTITUTE(SUBSTITUTE($M121,"~","~~"),"*","~*"),"?","~?"))/$C121)</f>
        <v>0.5</v>
      </c>
      <c r="E121" s="10">
        <f>IF($C121=0,"",SUMIFS('DEF_SELF_SCOUT_IMPORT'!$K$42:$K$1040,'DEF_SELF_SCOUT_IMPORT'!$L$42:$L$1040,"Y",'DEF_SELF_SCOUT_IMPORT'!$E$42:$E$1040,SUBSTITUTE(SUBSTITUTE(SUBSTITUTE($B121,"~","~~"),"*","~*"),"?","~?"),'DEF_SELF_SCOUT_IMPORT'!$Q$42:$Q$1040,SUBSTITUTE(SUBSTITUTE(SUBSTITUTE($M121,"~","~~"),"*","~*"),"?","~?"))/$C121)</f>
        <v>0.0</v>
      </c>
      <c r="F121" s="11">
        <f>IF($C121=0,"",AVERAGEIFS('DEF_SELF_SCOUT_IMPORT'!$I$42:$I$1040,'DEF_SELF_SCOUT_IMPORT'!$L$42:$L$1040,"Y",'DEF_SELF_SCOUT_IMPORT'!$E$42:$E$1040,SUBSTITUTE(SUBSTITUTE(SUBSTITUTE($B121,"~","~~"),"*","~*"),"?","~?"),'DEF_SELF_SCOUT_IMPORT'!$Q$42:$Q$1040,SUBSTITUTE(SUBSTITUTE(SUBSTITUTE($M121,"~","~~"),"*","~*"),"?","~?")))</f>
        <v>7.0</v>
      </c>
      <c r="G121" s="10">
        <f>IF($C121=0,"",COUNTIFS('DEF_SELF_SCOUT_IMPORT'!$L$42:$L$1040,"Y",'DEF_SELF_SCOUT_IMPORT'!$E$42:$E$1040,SUBSTITUTE(SUBSTITUTE(SUBSTITUTE($B121,"~","~~"),"*","~*"),"?","~?"),'DEF_SELF_SCOUT_IMPORT'!$Q$42:$Q$1040,SUBSTITUTE(SUBSTITUTE(SUBSTITUTE($M121,"~","~~"),"*","~*"),"?","~?"),'DEF_SELF_SCOUT_IMPORT'!$H$42:$H$1040,"RUSH")/$C121)</f>
        <v>0.0</v>
      </c>
      <c r="H121" s="10">
        <f>IF($C121=0,"",COUNTIFS('DEF_SELF_SCOUT_IMPORT'!$L$42:$L$1040,"Y",'DEF_SELF_SCOUT_IMPORT'!$E$42:$E$1040,SUBSTITUTE(SUBSTITUTE(SUBSTITUTE($B121,"~","~~"),"*","~*"),"?","~?"),'DEF_SELF_SCOUT_IMPORT'!$Q$42:$Q$1040,SUBSTITUTE(SUBSTITUTE(SUBSTITUTE($M121,"~","~~"),"*","~*"),"?","~?"),'DEF_SELF_SCOUT_IMPORT'!$H$42:$H$1040,"DROPBACK")/$C121)</f>
        <v>1.0</v>
      </c>
      <c r="I121" s="14" t="str">
        <f>IF(C121=0,"",IF(C121&lt;=2,"TRACK",IF(C121=3,"LOW",IF(C121&lt;=6,"MEDIUM","HIGH"))))</f>
        <v>TRACK</v>
      </c>
      <c r="J121" s="11">
        <f>IF(C121=0,"",ROUND(D121*70+(1-E121)*20+MAX(0,MIN(1,(10-F121)/10))*10,1))</f>
        <v>58.0</v>
      </c>
      <c r="K121" s="14" t="str">
        <f>IF(C121=0,"No Evidence",IF(C121&lt;=2,IF(E121&gt;0,"Explosive Alert","Track Only"),IF(C121=3,"Sample Watch",IF(E121&gt;=START_HERE!$B$31,"Explosive Alert",IF(J121&gt;=80,"Strong Candidate",IF(J121&gt;=65,"Good Candidate",IF(J121&gt;=50,"Mixed / Review","Problem Call")))))))</f>
        <v>Track Only</v>
      </c>
      <c r="L121" s="9" t="str">
        <f>IF(COUNTIFS('DEF_SELF_SCOUT_IMPORT'!$L$42:$L$1040,"Y",'DEF_SELF_SCOUT_IMPORT'!$E$42:$E$1040,SUBSTITUTE(SUBSTITUTE(SUBSTITUTE($B121,"~","~~"),"*","~*"),"?","~?"),'DEF_SELF_SCOUT_IMPORT'!$Q$42:$Q$1040,SUBSTITUTE(SUBSTITUTE(SUBSTITUTE($M121,"~","~~"),"*","~*"),"?","~?"),'DEF_SELF_SCOUT_IMPORT'!$J$42:$J$1040,"")&gt;0,"Unscored clean outcome; review result tags before using score.",IF(C121=0,"No matching defensive reps; film confirmation needed.",IF(K121="Explosive Alert","Explosive risk; review clips before using as answer.",IF(C121&lt;=2,"Track only; not enough sample.",IF(C121=3,IF(E121&gt;0,"Sample watch with explosive exposure; review clips and build the sample.",IF(J121&gt;=65,"Good signal, but sample is limited.","Sample watch; review clips and build the sample.")),IF(K121="Problem Call","Problem area; practice or call-sheet review.",IF(K121="Strong Candidate","Strong call-fit candidate; confirm on film.",IF(K121="Good Candidate","Good call-fit signal; confirm on film.","Mixed signal; review fit and execution on film."))))))))</f>
        <v>Track only; not enough sample.</v>
      </c>
      <c r="M121" s="8" t="s">
        <v>96</v>
      </c>
      <c r="N121" s="8"/>
      <c r="O121" s="8"/>
      <c r="P121" s="8"/>
      <c r="Q121" s="8"/>
      <c r="R121" s="8" t="s">
        <v>28</v>
      </c>
      <c r="S121" s="2" t="s">
        <v>98</v>
      </c>
      <c r="T121" s="2">
        <f>IF(C121=0,0,IF(C121&gt;=CALL_LOOKUP_BOARD!$B$7,IF(OR(K121="Problem Call",K121="Explosive Alert"),10000000,20000000),0)+IF(C121&gt;=CALL_LOOKUP_BOARD!$B$7,J121*1000+MIN(C121,999),C121*1000+J121)+0.00988800)</f>
        <v>2058.009888</v>
      </c>
      <c r="U121" s="2">
        <f>IF(C121=0,"",IF(COUNTIFS($S$10:$S$178,SUBSTITUTE(SUBSTITUTE(SUBSTITUTE(S121,"~","~~"),"*","~*"),"?","~?"),$T$10:$T$178,"&gt;"&amp;T121)=0,S121,""))</f>
        <v/>
      </c>
    </row>
    <row r="122" spans="1:21" ht="38" customHeight="1">
      <c r="A122" s="8" t="s">
        <v>96</v>
      </c>
      <c r="B122" s="8" t="s">
        <v>100</v>
      </c>
      <c r="C122" s="12">
        <f>COUNTIFS('DEF_SELF_SCOUT_IMPORT'!$L$42:$L$1040,"Y",'DEF_SELF_SCOUT_IMPORT'!$E$42:$E$1040,SUBSTITUTE(SUBSTITUTE(SUBSTITUTE($B122,"~","~~"),"*","~*"),"?","~?"),'DEF_SELF_SCOUT_IMPORT'!$Q$42:$Q$1040,SUBSTITUTE(SUBSTITUTE(SUBSTITUTE($M122,"~","~~"),"*","~*"),"?","~?"))</f>
        <v>1</v>
      </c>
      <c r="D122" s="10">
        <f>IF($C122=0,"",SUMIFS('DEF_SELF_SCOUT_IMPORT'!$J$42:$J$1040,'DEF_SELF_SCOUT_IMPORT'!$L$42:$L$1040,"Y",'DEF_SELF_SCOUT_IMPORT'!$E$42:$E$1040,SUBSTITUTE(SUBSTITUTE(SUBSTITUTE($B122,"~","~~"),"*","~*"),"?","~?"),'DEF_SELF_SCOUT_IMPORT'!$Q$42:$Q$1040,SUBSTITUTE(SUBSTITUTE(SUBSTITUTE($M122,"~","~~"),"*","~*"),"?","~?"))/$C122)</f>
        <v>1.0</v>
      </c>
      <c r="E122" s="10">
        <f>IF($C122=0,"",SUMIFS('DEF_SELF_SCOUT_IMPORT'!$K$42:$K$1040,'DEF_SELF_SCOUT_IMPORT'!$L$42:$L$1040,"Y",'DEF_SELF_SCOUT_IMPORT'!$E$42:$E$1040,SUBSTITUTE(SUBSTITUTE(SUBSTITUTE($B122,"~","~~"),"*","~*"),"?","~?"),'DEF_SELF_SCOUT_IMPORT'!$Q$42:$Q$1040,SUBSTITUTE(SUBSTITUTE(SUBSTITUTE($M122,"~","~~"),"*","~*"),"?","~?"))/$C122)</f>
        <v>0.0</v>
      </c>
      <c r="F122" s="11">
        <f>IF($C122=0,"",AVERAGEIFS('DEF_SELF_SCOUT_IMPORT'!$I$42:$I$1040,'DEF_SELF_SCOUT_IMPORT'!$L$42:$L$1040,"Y",'DEF_SELF_SCOUT_IMPORT'!$E$42:$E$1040,SUBSTITUTE(SUBSTITUTE(SUBSTITUTE($B122,"~","~~"),"*","~*"),"?","~?"),'DEF_SELF_SCOUT_IMPORT'!$Q$42:$Q$1040,SUBSTITUTE(SUBSTITUTE(SUBSTITUTE($M122,"~","~~"),"*","~*"),"?","~?")))</f>
        <v>0.0</v>
      </c>
      <c r="G122" s="10">
        <f>IF($C122=0,"",COUNTIFS('DEF_SELF_SCOUT_IMPORT'!$L$42:$L$1040,"Y",'DEF_SELF_SCOUT_IMPORT'!$E$42:$E$1040,SUBSTITUTE(SUBSTITUTE(SUBSTITUTE($B122,"~","~~"),"*","~*"),"?","~?"),'DEF_SELF_SCOUT_IMPORT'!$Q$42:$Q$1040,SUBSTITUTE(SUBSTITUTE(SUBSTITUTE($M122,"~","~~"),"*","~*"),"?","~?"),'DEF_SELF_SCOUT_IMPORT'!$H$42:$H$1040,"RUSH")/$C122)</f>
        <v>0.0</v>
      </c>
      <c r="H122" s="10">
        <f>IF($C122=0,"",COUNTIFS('DEF_SELF_SCOUT_IMPORT'!$L$42:$L$1040,"Y",'DEF_SELF_SCOUT_IMPORT'!$E$42:$E$1040,SUBSTITUTE(SUBSTITUTE(SUBSTITUTE($B122,"~","~~"),"*","~*"),"?","~?"),'DEF_SELF_SCOUT_IMPORT'!$Q$42:$Q$1040,SUBSTITUTE(SUBSTITUTE(SUBSTITUTE($M122,"~","~~"),"*","~*"),"?","~?"),'DEF_SELF_SCOUT_IMPORT'!$H$42:$H$1040,"DROPBACK")/$C122)</f>
        <v>1.0</v>
      </c>
      <c r="I122" s="14" t="str">
        <f>IF(C122=0,"",IF(C122&lt;=2,"TRACK",IF(C122=3,"LOW",IF(C122&lt;=6,"MEDIUM","HIGH"))))</f>
        <v>TRACK</v>
      </c>
      <c r="J122" s="11">
        <f>IF(C122=0,"",ROUND(D122*70+(1-E122)*20+MAX(0,MIN(1,(10-F122)/10))*10,1))</f>
        <v>100.0</v>
      </c>
      <c r="K122" s="14" t="str">
        <f>IF(C122=0,"No Evidence",IF(C122&lt;=2,IF(E122&gt;0,"Explosive Alert","Track Only"),IF(C122=3,"Sample Watch",IF(E122&gt;=START_HERE!$B$31,"Explosive Alert",IF(J122&gt;=80,"Strong Candidate",IF(J122&gt;=65,"Good Candidate",IF(J122&gt;=50,"Mixed / Review","Problem Call")))))))</f>
        <v>Track Only</v>
      </c>
      <c r="L122" s="9" t="str">
        <f>IF(COUNTIFS('DEF_SELF_SCOUT_IMPORT'!$L$42:$L$1040,"Y",'DEF_SELF_SCOUT_IMPORT'!$E$42:$E$1040,SUBSTITUTE(SUBSTITUTE(SUBSTITUTE($B122,"~","~~"),"*","~*"),"?","~?"),'DEF_SELF_SCOUT_IMPORT'!$Q$42:$Q$1040,SUBSTITUTE(SUBSTITUTE(SUBSTITUTE($M122,"~","~~"),"*","~*"),"?","~?"),'DEF_SELF_SCOUT_IMPORT'!$J$42:$J$1040,"")&gt;0,"Unscored clean outcome; review result tags before using score.",IF(C122=0,"No matching defensive reps; film confirmation needed.",IF(K122="Explosive Alert","Explosive risk; review clips before using as answer.",IF(C122&lt;=2,"Track only; not enough sample.",IF(C122=3,IF(E122&gt;0,"Sample watch with explosive exposure; review clips and build the sample.",IF(J122&gt;=65,"Good signal, but sample is limited.","Sample watch; review clips and build the sample.")),IF(K122="Problem Call","Problem area; practice or call-sheet review.",IF(K122="Strong Candidate","Strong call-fit candidate; confirm on film.",IF(K122="Good Candidate","Good call-fit signal; confirm on film.","Mixed signal; review fit and execution on film."))))))))</f>
        <v>Track only; not enough sample.</v>
      </c>
      <c r="M122" s="8" t="s">
        <v>96</v>
      </c>
      <c r="N122" s="8"/>
      <c r="O122" s="8"/>
      <c r="P122" s="8"/>
      <c r="Q122" s="8"/>
      <c r="R122" s="8" t="s">
        <v>28</v>
      </c>
      <c r="S122" s="2" t="s">
        <v>98</v>
      </c>
      <c r="T122" s="2">
        <f>IF(C122=0,0,IF(C122&gt;=CALL_LOOKUP_BOARD!$B$7,IF(OR(K122="Problem Call",K122="Explosive Alert"),10000000,20000000),0)+IF(C122&gt;=CALL_LOOKUP_BOARD!$B$7,J122*1000+MIN(C122,999),C122*1000+J122)+0.00988700)</f>
        <v>1100.009887</v>
      </c>
      <c r="U122" s="2">
        <f>IF(C122=0,"",IF(COUNTIFS($S$10:$S$178,SUBSTITUTE(SUBSTITUTE(SUBSTITUTE(S122,"~","~~"),"*","~*"),"?","~?"),$T$10:$T$178,"&gt;"&amp;T122)=0,S122,""))</f>
        <v/>
      </c>
    </row>
    <row r="123" spans="1:21" ht="38" customHeight="1">
      <c r="A123" s="8" t="s">
        <v>96</v>
      </c>
      <c r="B123" s="8" t="s">
        <v>101</v>
      </c>
      <c r="C123" s="12">
        <f>COUNTIFS('DEF_SELF_SCOUT_IMPORT'!$L$42:$L$1040,"Y",'DEF_SELF_SCOUT_IMPORT'!$E$42:$E$1040,SUBSTITUTE(SUBSTITUTE(SUBSTITUTE($B123,"~","~~"),"*","~*"),"?","~?"),'DEF_SELF_SCOUT_IMPORT'!$Q$42:$Q$1040,SUBSTITUTE(SUBSTITUTE(SUBSTITUTE($M123,"~","~~"),"*","~*"),"?","~?"))</f>
        <v>6</v>
      </c>
      <c r="D123" s="10">
        <f>IF($C123=0,"",SUMIFS('DEF_SELF_SCOUT_IMPORT'!$J$42:$J$1040,'DEF_SELF_SCOUT_IMPORT'!$L$42:$L$1040,"Y",'DEF_SELF_SCOUT_IMPORT'!$E$42:$E$1040,SUBSTITUTE(SUBSTITUTE(SUBSTITUTE($B123,"~","~~"),"*","~*"),"?","~?"),'DEF_SELF_SCOUT_IMPORT'!$Q$42:$Q$1040,SUBSTITUTE(SUBSTITUTE(SUBSTITUTE($M123,"~","~~"),"*","~*"),"?","~?"))/$C123)</f>
        <v>0.6666666666666666</v>
      </c>
      <c r="E123" s="10">
        <f>IF($C123=0,"",SUMIFS('DEF_SELF_SCOUT_IMPORT'!$K$42:$K$1040,'DEF_SELF_SCOUT_IMPORT'!$L$42:$L$1040,"Y",'DEF_SELF_SCOUT_IMPORT'!$E$42:$E$1040,SUBSTITUTE(SUBSTITUTE(SUBSTITUTE($B123,"~","~~"),"*","~*"),"?","~?"),'DEF_SELF_SCOUT_IMPORT'!$Q$42:$Q$1040,SUBSTITUTE(SUBSTITUTE(SUBSTITUTE($M123,"~","~~"),"*","~*"),"?","~?"))/$C123)</f>
        <v>0.16666666666666666</v>
      </c>
      <c r="F123" s="11">
        <f>IF($C123=0,"",AVERAGEIFS('DEF_SELF_SCOUT_IMPORT'!$I$42:$I$1040,'DEF_SELF_SCOUT_IMPORT'!$L$42:$L$1040,"Y",'DEF_SELF_SCOUT_IMPORT'!$E$42:$E$1040,SUBSTITUTE(SUBSTITUTE(SUBSTITUTE($B123,"~","~~"),"*","~*"),"?","~?"),'DEF_SELF_SCOUT_IMPORT'!$Q$42:$Q$1040,SUBSTITUTE(SUBSTITUTE(SUBSTITUTE($M123,"~","~~"),"*","~*"),"?","~?")))</f>
        <v>12.166666666666666</v>
      </c>
      <c r="G123" s="10">
        <f>IF($C123=0,"",COUNTIFS('DEF_SELF_SCOUT_IMPORT'!$L$42:$L$1040,"Y",'DEF_SELF_SCOUT_IMPORT'!$E$42:$E$1040,SUBSTITUTE(SUBSTITUTE(SUBSTITUTE($B123,"~","~~"),"*","~*"),"?","~?"),'DEF_SELF_SCOUT_IMPORT'!$Q$42:$Q$1040,SUBSTITUTE(SUBSTITUTE(SUBSTITUTE($M123,"~","~~"),"*","~*"),"?","~?"),'DEF_SELF_SCOUT_IMPORT'!$H$42:$H$1040,"RUSH")/$C123)</f>
        <v>0.0</v>
      </c>
      <c r="H123" s="10">
        <f>IF($C123=0,"",COUNTIFS('DEF_SELF_SCOUT_IMPORT'!$L$42:$L$1040,"Y",'DEF_SELF_SCOUT_IMPORT'!$E$42:$E$1040,SUBSTITUTE(SUBSTITUTE(SUBSTITUTE($B123,"~","~~"),"*","~*"),"?","~?"),'DEF_SELF_SCOUT_IMPORT'!$Q$42:$Q$1040,SUBSTITUTE(SUBSTITUTE(SUBSTITUTE($M123,"~","~~"),"*","~*"),"?","~?"),'DEF_SELF_SCOUT_IMPORT'!$H$42:$H$1040,"DROPBACK")/$C123)</f>
        <v>1.0</v>
      </c>
      <c r="I123" s="14" t="str">
        <f>IF(C123=0,"",IF(C123&lt;=2,"TRACK",IF(C123=3,"LOW",IF(C123&lt;=6,"MEDIUM","HIGH"))))</f>
        <v>MEDIUM</v>
      </c>
      <c r="J123" s="11">
        <f>IF(C123=0,"",ROUND(D123*70+(1-E123)*20+MAX(0,MIN(1,(10-F123)/10))*10,1))</f>
        <v>63.3</v>
      </c>
      <c r="K123" s="14" t="str">
        <f>IF(C123=0,"No Evidence",IF(C123&lt;=2,IF(E123&gt;0,"Explosive Alert","Track Only"),IF(C123=3,"Sample Watch",IF(E123&gt;=START_HERE!$B$31,"Explosive Alert",IF(J123&gt;=80,"Strong Candidate",IF(J123&gt;=65,"Good Candidate",IF(J123&gt;=50,"Mixed / Review","Problem Call")))))))</f>
        <v>Mixed / Review</v>
      </c>
      <c r="L123" s="9" t="str">
        <f>IF(COUNTIFS('DEF_SELF_SCOUT_IMPORT'!$L$42:$L$1040,"Y",'DEF_SELF_SCOUT_IMPORT'!$E$42:$E$1040,SUBSTITUTE(SUBSTITUTE(SUBSTITUTE($B123,"~","~~"),"*","~*"),"?","~?"),'DEF_SELF_SCOUT_IMPORT'!$Q$42:$Q$1040,SUBSTITUTE(SUBSTITUTE(SUBSTITUTE($M123,"~","~~"),"*","~*"),"?","~?"),'DEF_SELF_SCOUT_IMPORT'!$J$42:$J$1040,"")&gt;0,"Unscored clean outcome; review result tags before using score.",IF(C123=0,"No matching defensive reps; film confirmation needed.",IF(K123="Explosive Alert","Explosive risk; review clips before using as answer.",IF(C123&lt;=2,"Track only; not enough sample.",IF(C123=3,IF(E123&gt;0,"Sample watch with explosive exposure; review clips and build the sample.",IF(J123&gt;=65,"Good signal, but sample is limited.","Sample watch; review clips and build the sample.")),IF(K123="Problem Call","Problem area; practice or call-sheet review.",IF(K123="Strong Candidate","Strong call-fit candidate; confirm on film.",IF(K123="Good Candidate","Good call-fit signal; confirm on film.","Mixed signal; review fit and execution on film."))))))))</f>
        <v>Mixed signal; review fit and execution on film.</v>
      </c>
      <c r="M123" s="8" t="s">
        <v>96</v>
      </c>
      <c r="N123" s="8"/>
      <c r="O123" s="8"/>
      <c r="P123" s="8"/>
      <c r="Q123" s="8"/>
      <c r="R123" s="8" t="s">
        <v>45</v>
      </c>
      <c r="S123" s="2" t="s">
        <v>98</v>
      </c>
      <c r="T123" s="2">
        <f>IF(C123=0,0,IF(C123&gt;=CALL_LOOKUP_BOARD!$B$7,IF(OR(K123="Problem Call",K123="Explosive Alert"),10000000,20000000),0)+IF(C123&gt;=CALL_LOOKUP_BOARD!$B$7,J123*1000+MIN(C123,999),C123*1000+J123)+0.00988600)</f>
        <v>20063306.009886</v>
      </c>
      <c r="U123" s="2" t="str">
        <f>IF(C123=0,"",IF(COUNTIFS($S$10:$S$178,SUBSTITUTE(SUBSTITUTE(SUBSTITUTE(S123,"~","~~"),"*","~*"),"?","~?"),$T$10:$T$178,"&gt;"&amp;T123)=0,S123,""))</f>
        <v>6:3D 11+|</v>
      </c>
    </row>
    <row r="124" spans="1:21" ht="38" customHeight="1">
      <c r="A124" s="8" t="s">
        <v>96</v>
      </c>
      <c r="B124" s="8" t="s">
        <v>102</v>
      </c>
      <c r="C124" s="12">
        <f>COUNTIFS('DEF_SELF_SCOUT_IMPORT'!$L$42:$L$1040,"Y",'DEF_SELF_SCOUT_IMPORT'!$E$42:$E$1040,SUBSTITUTE(SUBSTITUTE(SUBSTITUTE($B124,"~","~~"),"*","~*"),"?","~?"),'DEF_SELF_SCOUT_IMPORT'!$Q$42:$Q$1040,SUBSTITUTE(SUBSTITUTE(SUBSTITUTE($M124,"~","~~"),"*","~*"),"?","~?"))</f>
        <v>1</v>
      </c>
      <c r="D124" s="10">
        <f>IF($C124=0,"",SUMIFS('DEF_SELF_SCOUT_IMPORT'!$J$42:$J$1040,'DEF_SELF_SCOUT_IMPORT'!$L$42:$L$1040,"Y",'DEF_SELF_SCOUT_IMPORT'!$E$42:$E$1040,SUBSTITUTE(SUBSTITUTE(SUBSTITUTE($B124,"~","~~"),"*","~*"),"?","~?"),'DEF_SELF_SCOUT_IMPORT'!$Q$42:$Q$1040,SUBSTITUTE(SUBSTITUTE(SUBSTITUTE($M124,"~","~~"),"*","~*"),"?","~?"))/$C124)</f>
        <v>1.0</v>
      </c>
      <c r="E124" s="10">
        <f>IF($C124=0,"",SUMIFS('DEF_SELF_SCOUT_IMPORT'!$K$42:$K$1040,'DEF_SELF_SCOUT_IMPORT'!$L$42:$L$1040,"Y",'DEF_SELF_SCOUT_IMPORT'!$E$42:$E$1040,SUBSTITUTE(SUBSTITUTE(SUBSTITUTE($B124,"~","~~"),"*","~*"),"?","~?"),'DEF_SELF_SCOUT_IMPORT'!$Q$42:$Q$1040,SUBSTITUTE(SUBSTITUTE(SUBSTITUTE($M124,"~","~~"),"*","~*"),"?","~?"))/$C124)</f>
        <v>0.0</v>
      </c>
      <c r="F124" s="11">
        <f>IF($C124=0,"",AVERAGEIFS('DEF_SELF_SCOUT_IMPORT'!$I$42:$I$1040,'DEF_SELF_SCOUT_IMPORT'!$L$42:$L$1040,"Y",'DEF_SELF_SCOUT_IMPORT'!$E$42:$E$1040,SUBSTITUTE(SUBSTITUTE(SUBSTITUTE($B124,"~","~~"),"*","~*"),"?","~?"),'DEF_SELF_SCOUT_IMPORT'!$Q$42:$Q$1040,SUBSTITUTE(SUBSTITUTE(SUBSTITUTE($M124,"~","~~"),"*","~*"),"?","~?")))</f>
        <v>-5.0</v>
      </c>
      <c r="G124" s="10">
        <f>IF($C124=0,"",COUNTIFS('DEF_SELF_SCOUT_IMPORT'!$L$42:$L$1040,"Y",'DEF_SELF_SCOUT_IMPORT'!$E$42:$E$1040,SUBSTITUTE(SUBSTITUTE(SUBSTITUTE($B124,"~","~~"),"*","~*"),"?","~?"),'DEF_SELF_SCOUT_IMPORT'!$Q$42:$Q$1040,SUBSTITUTE(SUBSTITUTE(SUBSTITUTE($M124,"~","~~"),"*","~*"),"?","~?"),'DEF_SELF_SCOUT_IMPORT'!$H$42:$H$1040,"RUSH")/$C124)</f>
        <v>0.0</v>
      </c>
      <c r="H124" s="10">
        <f>IF($C124=0,"",COUNTIFS('DEF_SELF_SCOUT_IMPORT'!$L$42:$L$1040,"Y",'DEF_SELF_SCOUT_IMPORT'!$E$42:$E$1040,SUBSTITUTE(SUBSTITUTE(SUBSTITUTE($B124,"~","~~"),"*","~*"),"?","~?"),'DEF_SELF_SCOUT_IMPORT'!$Q$42:$Q$1040,SUBSTITUTE(SUBSTITUTE(SUBSTITUTE($M124,"~","~~"),"*","~*"),"?","~?"),'DEF_SELF_SCOUT_IMPORT'!$H$42:$H$1040,"DROPBACK")/$C124)</f>
        <v>1.0</v>
      </c>
      <c r="I124" s="14" t="str">
        <f>IF(C124=0,"",IF(C124&lt;=2,"TRACK",IF(C124=3,"LOW",IF(C124&lt;=6,"MEDIUM","HIGH"))))</f>
        <v>TRACK</v>
      </c>
      <c r="J124" s="11">
        <f>IF(C124=0,"",ROUND(D124*70+(1-E124)*20+MAX(0,MIN(1,(10-F124)/10))*10,1))</f>
        <v>100.0</v>
      </c>
      <c r="K124" s="14" t="str">
        <f>IF(C124=0,"No Evidence",IF(C124&lt;=2,IF(E124&gt;0,"Explosive Alert","Track Only"),IF(C124=3,"Sample Watch",IF(E124&gt;=START_HERE!$B$31,"Explosive Alert",IF(J124&gt;=80,"Strong Candidate",IF(J124&gt;=65,"Good Candidate",IF(J124&gt;=50,"Mixed / Review","Problem Call")))))))</f>
        <v>Track Only</v>
      </c>
      <c r="L124" s="9" t="str">
        <f>IF(COUNTIFS('DEF_SELF_SCOUT_IMPORT'!$L$42:$L$1040,"Y",'DEF_SELF_SCOUT_IMPORT'!$E$42:$E$1040,SUBSTITUTE(SUBSTITUTE(SUBSTITUTE($B124,"~","~~"),"*","~*"),"?","~?"),'DEF_SELF_SCOUT_IMPORT'!$Q$42:$Q$1040,SUBSTITUTE(SUBSTITUTE(SUBSTITUTE($M124,"~","~~"),"*","~*"),"?","~?"),'DEF_SELF_SCOUT_IMPORT'!$J$42:$J$1040,"")&gt;0,"Unscored clean outcome; review result tags before using score.",IF(C124=0,"No matching defensive reps; film confirmation needed.",IF(K124="Explosive Alert","Explosive risk; review clips before using as answer.",IF(C124&lt;=2,"Track only; not enough sample.",IF(C124=3,IF(E124&gt;0,"Sample watch with explosive exposure; review clips and build the sample.",IF(J124&gt;=65,"Good signal, but sample is limited.","Sample watch; review clips and build the sample.")),IF(K124="Problem Call","Problem area; practice or call-sheet review.",IF(K124="Strong Candidate","Strong call-fit candidate; confirm on film.",IF(K124="Good Candidate","Good call-fit signal; confirm on film.","Mixed signal; review fit and execution on film."))))))))</f>
        <v>Track only; not enough sample.</v>
      </c>
      <c r="M124" s="8" t="s">
        <v>96</v>
      </c>
      <c r="N124" s="8"/>
      <c r="O124" s="8"/>
      <c r="P124" s="8"/>
      <c r="Q124" s="8"/>
      <c r="R124" s="8" t="s">
        <v>28</v>
      </c>
      <c r="S124" s="2" t="s">
        <v>98</v>
      </c>
      <c r="T124" s="2">
        <f>IF(C124=0,0,IF(C124&gt;=CALL_LOOKUP_BOARD!$B$7,IF(OR(K124="Problem Call",K124="Explosive Alert"),10000000,20000000),0)+IF(C124&gt;=CALL_LOOKUP_BOARD!$B$7,J124*1000+MIN(C124,999),C124*1000+J124)+0.00988500)</f>
        <v>1100.009885</v>
      </c>
      <c r="U124" s="2">
        <f>IF(C124=0,"",IF(COUNTIFS($S$10:$S$178,SUBSTITUTE(SUBSTITUTE(SUBSTITUTE(S124,"~","~~"),"*","~*"),"?","~?"),$T$10:$T$178,"&gt;"&amp;T124)=0,S124,""))</f>
        <v/>
      </c>
    </row>
    <row r="125" spans="1:21" ht="38" customHeight="1">
      <c r="A125" s="8" t="s">
        <v>103</v>
      </c>
      <c r="B125" s="8" t="s">
        <v>27</v>
      </c>
      <c r="C125" s="12">
        <f>COUNTIFS('DEF_SELF_SCOUT_IMPORT'!$L$42:$L$1040,"Y",'DEF_SELF_SCOUT_IMPORT'!$E$42:$E$1040,SUBSTITUTE(SUBSTITUTE(SUBSTITUTE($B125,"~","~~"),"*","~*"),"?","~?"),'DEF_SELF_SCOUT_IMPORT'!$Q$42:$Q$1040,SUBSTITUTE(SUBSTITUTE(SUBSTITUTE($M125,"~","~~"),"*","~*"),"?","~?"))</f>
        <v>1</v>
      </c>
      <c r="D125" s="10">
        <f>IF($C125=0,"",SUMIFS('DEF_SELF_SCOUT_IMPORT'!$J$42:$J$1040,'DEF_SELF_SCOUT_IMPORT'!$L$42:$L$1040,"Y",'DEF_SELF_SCOUT_IMPORT'!$E$42:$E$1040,SUBSTITUTE(SUBSTITUTE(SUBSTITUTE($B125,"~","~~"),"*","~*"),"?","~?"),'DEF_SELF_SCOUT_IMPORT'!$Q$42:$Q$1040,SUBSTITUTE(SUBSTITUTE(SUBSTITUTE($M125,"~","~~"),"*","~*"),"?","~?"))/$C125)</f>
        <v>1.0</v>
      </c>
      <c r="E125" s="10">
        <f>IF($C125=0,"",SUMIFS('DEF_SELF_SCOUT_IMPORT'!$K$42:$K$1040,'DEF_SELF_SCOUT_IMPORT'!$L$42:$L$1040,"Y",'DEF_SELF_SCOUT_IMPORT'!$E$42:$E$1040,SUBSTITUTE(SUBSTITUTE(SUBSTITUTE($B125,"~","~~"),"*","~*"),"?","~?"),'DEF_SELF_SCOUT_IMPORT'!$Q$42:$Q$1040,SUBSTITUTE(SUBSTITUTE(SUBSTITUTE($M125,"~","~~"),"*","~*"),"?","~?"))/$C125)</f>
        <v>0.0</v>
      </c>
      <c r="F125" s="11">
        <f>IF($C125=0,"",AVERAGEIFS('DEF_SELF_SCOUT_IMPORT'!$I$42:$I$1040,'DEF_SELF_SCOUT_IMPORT'!$L$42:$L$1040,"Y",'DEF_SELF_SCOUT_IMPORT'!$E$42:$E$1040,SUBSTITUTE(SUBSTITUTE(SUBSTITUTE($B125,"~","~~"),"*","~*"),"?","~?"),'DEF_SELF_SCOUT_IMPORT'!$Q$42:$Q$1040,SUBSTITUTE(SUBSTITUTE(SUBSTITUTE($M125,"~","~~"),"*","~*"),"?","~?")))</f>
        <v>0.0</v>
      </c>
      <c r="G125" s="10">
        <f>IF($C125=0,"",COUNTIFS('DEF_SELF_SCOUT_IMPORT'!$L$42:$L$1040,"Y",'DEF_SELF_SCOUT_IMPORT'!$E$42:$E$1040,SUBSTITUTE(SUBSTITUTE(SUBSTITUTE($B125,"~","~~"),"*","~*"),"?","~?"),'DEF_SELF_SCOUT_IMPORT'!$Q$42:$Q$1040,SUBSTITUTE(SUBSTITUTE(SUBSTITUTE($M125,"~","~~"),"*","~*"),"?","~?"),'DEF_SELF_SCOUT_IMPORT'!$H$42:$H$1040,"RUSH")/$C125)</f>
        <v>0.0</v>
      </c>
      <c r="H125" s="10">
        <f>IF($C125=0,"",COUNTIFS('DEF_SELF_SCOUT_IMPORT'!$L$42:$L$1040,"Y",'DEF_SELF_SCOUT_IMPORT'!$E$42:$E$1040,SUBSTITUTE(SUBSTITUTE(SUBSTITUTE($B125,"~","~~"),"*","~*"),"?","~?"),'DEF_SELF_SCOUT_IMPORT'!$Q$42:$Q$1040,SUBSTITUTE(SUBSTITUTE(SUBSTITUTE($M125,"~","~~"),"*","~*"),"?","~?"),'DEF_SELF_SCOUT_IMPORT'!$H$42:$H$1040,"DROPBACK")/$C125)</f>
        <v>1.0</v>
      </c>
      <c r="I125" s="14" t="str">
        <f>IF(C125=0,"",IF(C125&lt;=2,"TRACK",IF(C125=3,"LOW",IF(C125&lt;=6,"MEDIUM","HIGH"))))</f>
        <v>TRACK</v>
      </c>
      <c r="J125" s="11">
        <f>IF(C125=0,"",ROUND(D125*70+(1-E125)*20+MAX(0,MIN(1,(10-F125)/10))*10,1))</f>
        <v>100.0</v>
      </c>
      <c r="K125" s="14" t="str">
        <f>IF(C125=0,"No Evidence",IF(C125&lt;=2,IF(E125&gt;0,"Explosive Alert","Track Only"),IF(C125=3,"Sample Watch",IF(E125&gt;=START_HERE!$B$31,"Explosive Alert",IF(J125&gt;=80,"Strong Candidate",IF(J125&gt;=65,"Good Candidate",IF(J125&gt;=50,"Mixed / Review","Problem Call")))))))</f>
        <v>Track Only</v>
      </c>
      <c r="L125" s="9" t="str">
        <f>IF(COUNTIFS('DEF_SELF_SCOUT_IMPORT'!$L$42:$L$1040,"Y",'DEF_SELF_SCOUT_IMPORT'!$E$42:$E$1040,SUBSTITUTE(SUBSTITUTE(SUBSTITUTE($B125,"~","~~"),"*","~*"),"?","~?"),'DEF_SELF_SCOUT_IMPORT'!$Q$42:$Q$1040,SUBSTITUTE(SUBSTITUTE(SUBSTITUTE($M125,"~","~~"),"*","~*"),"?","~?"),'DEF_SELF_SCOUT_IMPORT'!$J$42:$J$1040,"")&gt;0,"Unscored clean outcome; review result tags before using score.",IF(C125=0,"No matching defensive reps; film confirmation needed.",IF(K125="Explosive Alert","Explosive risk; review clips before using as answer.",IF(C125&lt;=2,"Track only; not enough sample.",IF(C125=3,IF(E125&gt;0,"Sample watch with explosive exposure; review clips and build the sample.",IF(J125&gt;=65,"Good signal, but sample is limited.","Sample watch; review clips and build the sample.")),IF(K125="Problem Call","Problem area; practice or call-sheet review.",IF(K125="Strong Candidate","Strong call-fit candidate; confirm on film.",IF(K125="Good Candidate","Good call-fit signal; confirm on film.","Mixed signal; review fit and execution on film."))))))))</f>
        <v>Track only; not enough sample.</v>
      </c>
      <c r="M125" s="8" t="s">
        <v>103</v>
      </c>
      <c r="N125" s="8"/>
      <c r="O125" s="8"/>
      <c r="P125" s="8"/>
      <c r="Q125" s="8"/>
      <c r="R125" s="8" t="s">
        <v>28</v>
      </c>
      <c r="S125" s="2" t="s">
        <v>104</v>
      </c>
      <c r="T125" s="2">
        <f>IF(C125=0,0,IF(C125&gt;=CALL_LOOKUP_BOARD!$B$7,IF(OR(K125="Problem Call",K125="Explosive Alert"),10000000,20000000),0)+IF(C125&gt;=CALL_LOOKUP_BOARD!$B$7,J125*1000+MIN(C125,999),C125*1000+J125)+0.00988400)</f>
        <v>1100.009884</v>
      </c>
      <c r="U125" s="2">
        <f>IF(C125=0,"",IF(COUNTIFS($S$10:$S$178,SUBSTITUTE(SUBSTITUTE(SUBSTITUTE(S125,"~","~~"),"*","~*"),"?","~?"),$T$10:$T$178,"&gt;"&amp;T125)=0,S125,""))</f>
        <v/>
      </c>
    </row>
    <row r="126" spans="1:21" ht="38" customHeight="1">
      <c r="A126" s="8" t="s">
        <v>103</v>
      </c>
      <c r="B126" s="8" t="s">
        <v>37</v>
      </c>
      <c r="C126" s="12">
        <f>COUNTIFS('DEF_SELF_SCOUT_IMPORT'!$L$42:$L$1040,"Y",'DEF_SELF_SCOUT_IMPORT'!$E$42:$E$1040,SUBSTITUTE(SUBSTITUTE(SUBSTITUTE($B126,"~","~~"),"*","~*"),"?","~?"),'DEF_SELF_SCOUT_IMPORT'!$Q$42:$Q$1040,SUBSTITUTE(SUBSTITUTE(SUBSTITUTE($M126,"~","~~"),"*","~*"),"?","~?"))</f>
        <v>1</v>
      </c>
      <c r="D126" s="10">
        <f>IF($C126=0,"",SUMIFS('DEF_SELF_SCOUT_IMPORT'!$J$42:$J$1040,'DEF_SELF_SCOUT_IMPORT'!$L$42:$L$1040,"Y",'DEF_SELF_SCOUT_IMPORT'!$E$42:$E$1040,SUBSTITUTE(SUBSTITUTE(SUBSTITUTE($B126,"~","~~"),"*","~*"),"?","~?"),'DEF_SELF_SCOUT_IMPORT'!$Q$42:$Q$1040,SUBSTITUTE(SUBSTITUTE(SUBSTITUTE($M126,"~","~~"),"*","~*"),"?","~?"))/$C126)</f>
        <v>0.0</v>
      </c>
      <c r="E126" s="10">
        <f>IF($C126=0,"",SUMIFS('DEF_SELF_SCOUT_IMPORT'!$K$42:$K$1040,'DEF_SELF_SCOUT_IMPORT'!$L$42:$L$1040,"Y",'DEF_SELF_SCOUT_IMPORT'!$E$42:$E$1040,SUBSTITUTE(SUBSTITUTE(SUBSTITUTE($B126,"~","~~"),"*","~*"),"?","~?"),'DEF_SELF_SCOUT_IMPORT'!$Q$42:$Q$1040,SUBSTITUTE(SUBSTITUTE(SUBSTITUTE($M126,"~","~~"),"*","~*"),"?","~?"))/$C126)</f>
        <v>0.0</v>
      </c>
      <c r="F126" s="11">
        <f>IF($C126=0,"",AVERAGEIFS('DEF_SELF_SCOUT_IMPORT'!$I$42:$I$1040,'DEF_SELF_SCOUT_IMPORT'!$L$42:$L$1040,"Y",'DEF_SELF_SCOUT_IMPORT'!$E$42:$E$1040,SUBSTITUTE(SUBSTITUTE(SUBSTITUTE($B126,"~","~~"),"*","~*"),"?","~?"),'DEF_SELF_SCOUT_IMPORT'!$Q$42:$Q$1040,SUBSTITUTE(SUBSTITUTE(SUBSTITUTE($M126,"~","~~"),"*","~*"),"?","~?")))</f>
        <v>6.0</v>
      </c>
      <c r="G126" s="10">
        <f>IF($C126=0,"",COUNTIFS('DEF_SELF_SCOUT_IMPORT'!$L$42:$L$1040,"Y",'DEF_SELF_SCOUT_IMPORT'!$E$42:$E$1040,SUBSTITUTE(SUBSTITUTE(SUBSTITUTE($B126,"~","~~"),"*","~*"),"?","~?"),'DEF_SELF_SCOUT_IMPORT'!$Q$42:$Q$1040,SUBSTITUTE(SUBSTITUTE(SUBSTITUTE($M126,"~","~~"),"*","~*"),"?","~?"),'DEF_SELF_SCOUT_IMPORT'!$H$42:$H$1040,"RUSH")/$C126)</f>
        <v>0.0</v>
      </c>
      <c r="H126" s="10">
        <f>IF($C126=0,"",COUNTIFS('DEF_SELF_SCOUT_IMPORT'!$L$42:$L$1040,"Y",'DEF_SELF_SCOUT_IMPORT'!$E$42:$E$1040,SUBSTITUTE(SUBSTITUTE(SUBSTITUTE($B126,"~","~~"),"*","~*"),"?","~?"),'DEF_SELF_SCOUT_IMPORT'!$Q$42:$Q$1040,SUBSTITUTE(SUBSTITUTE(SUBSTITUTE($M126,"~","~~"),"*","~*"),"?","~?"),'DEF_SELF_SCOUT_IMPORT'!$H$42:$H$1040,"DROPBACK")/$C126)</f>
        <v>1.0</v>
      </c>
      <c r="I126" s="14" t="str">
        <f>IF(C126=0,"",IF(C126&lt;=2,"TRACK",IF(C126=3,"LOW",IF(C126&lt;=6,"MEDIUM","HIGH"))))</f>
        <v>TRACK</v>
      </c>
      <c r="J126" s="11">
        <f>IF(C126=0,"",ROUND(D126*70+(1-E126)*20+MAX(0,MIN(1,(10-F126)/10))*10,1))</f>
        <v>24.0</v>
      </c>
      <c r="K126" s="14" t="str">
        <f>IF(C126=0,"No Evidence",IF(C126&lt;=2,IF(E126&gt;0,"Explosive Alert","Track Only"),IF(C126=3,"Sample Watch",IF(E126&gt;=START_HERE!$B$31,"Explosive Alert",IF(J126&gt;=80,"Strong Candidate",IF(J126&gt;=65,"Good Candidate",IF(J126&gt;=50,"Mixed / Review","Problem Call")))))))</f>
        <v>Track Only</v>
      </c>
      <c r="L126" s="9" t="str">
        <f>IF(COUNTIFS('DEF_SELF_SCOUT_IMPORT'!$L$42:$L$1040,"Y",'DEF_SELF_SCOUT_IMPORT'!$E$42:$E$1040,SUBSTITUTE(SUBSTITUTE(SUBSTITUTE($B126,"~","~~"),"*","~*"),"?","~?"),'DEF_SELF_SCOUT_IMPORT'!$Q$42:$Q$1040,SUBSTITUTE(SUBSTITUTE(SUBSTITUTE($M126,"~","~~"),"*","~*"),"?","~?"),'DEF_SELF_SCOUT_IMPORT'!$J$42:$J$1040,"")&gt;0,"Unscored clean outcome; review result tags before using score.",IF(C126=0,"No matching defensive reps; film confirmation needed.",IF(K126="Explosive Alert","Explosive risk; review clips before using as answer.",IF(C126&lt;=2,"Track only; not enough sample.",IF(C126=3,IF(E126&gt;0,"Sample watch with explosive exposure; review clips and build the sample.",IF(J126&gt;=65,"Good signal, but sample is limited.","Sample watch; review clips and build the sample.")),IF(K126="Problem Call","Problem area; practice or call-sheet review.",IF(K126="Strong Candidate","Strong call-fit candidate; confirm on film.",IF(K126="Good Candidate","Good call-fit signal; confirm on film.","Mixed signal; review fit and execution on film."))))))))</f>
        <v>Track only; not enough sample.</v>
      </c>
      <c r="M126" s="8" t="s">
        <v>103</v>
      </c>
      <c r="N126" s="8"/>
      <c r="O126" s="8"/>
      <c r="P126" s="8"/>
      <c r="Q126" s="8"/>
      <c r="R126" s="8" t="s">
        <v>28</v>
      </c>
      <c r="S126" s="2" t="s">
        <v>104</v>
      </c>
      <c r="T126" s="2">
        <f>IF(C126=0,0,IF(C126&gt;=CALL_LOOKUP_BOARD!$B$7,IF(OR(K126="Problem Call",K126="Explosive Alert"),10000000,20000000),0)+IF(C126&gt;=CALL_LOOKUP_BOARD!$B$7,J126*1000+MIN(C126,999),C126*1000+J126)+0.00988300)</f>
        <v>1024.009883</v>
      </c>
      <c r="U126" s="2">
        <f>IF(C126=0,"",IF(COUNTIFS($S$10:$S$178,SUBSTITUTE(SUBSTITUTE(SUBSTITUTE(S126,"~","~~"),"*","~*"),"?","~?"),$T$10:$T$178,"&gt;"&amp;T126)=0,S126,""))</f>
        <v/>
      </c>
    </row>
    <row r="127" spans="1:21" ht="38" customHeight="1">
      <c r="A127" s="8" t="s">
        <v>103</v>
      </c>
      <c r="B127" s="8" t="s">
        <v>42</v>
      </c>
      <c r="C127" s="12">
        <f>COUNTIFS('DEF_SELF_SCOUT_IMPORT'!$L$42:$L$1040,"Y",'DEF_SELF_SCOUT_IMPORT'!$E$42:$E$1040,SUBSTITUTE(SUBSTITUTE(SUBSTITUTE($B127,"~","~~"),"*","~*"),"?","~?"),'DEF_SELF_SCOUT_IMPORT'!$Q$42:$Q$1040,SUBSTITUTE(SUBSTITUTE(SUBSTITUTE($M127,"~","~~"),"*","~*"),"?","~?"))</f>
        <v>2</v>
      </c>
      <c r="D127" s="10">
        <f>IF($C127=0,"",SUMIFS('DEF_SELF_SCOUT_IMPORT'!$J$42:$J$1040,'DEF_SELF_SCOUT_IMPORT'!$L$42:$L$1040,"Y",'DEF_SELF_SCOUT_IMPORT'!$E$42:$E$1040,SUBSTITUTE(SUBSTITUTE(SUBSTITUTE($B127,"~","~~"),"*","~*"),"?","~?"),'DEF_SELF_SCOUT_IMPORT'!$Q$42:$Q$1040,SUBSTITUTE(SUBSTITUTE(SUBSTITUTE($M127,"~","~~"),"*","~*"),"?","~?"))/$C127)</f>
        <v>1.0</v>
      </c>
      <c r="E127" s="10">
        <f>IF($C127=0,"",SUMIFS('DEF_SELF_SCOUT_IMPORT'!$K$42:$K$1040,'DEF_SELF_SCOUT_IMPORT'!$L$42:$L$1040,"Y",'DEF_SELF_SCOUT_IMPORT'!$E$42:$E$1040,SUBSTITUTE(SUBSTITUTE(SUBSTITUTE($B127,"~","~~"),"*","~*"),"?","~?"),'DEF_SELF_SCOUT_IMPORT'!$Q$42:$Q$1040,SUBSTITUTE(SUBSTITUTE(SUBSTITUTE($M127,"~","~~"),"*","~*"),"?","~?"))/$C127)</f>
        <v>0.0</v>
      </c>
      <c r="F127" s="11">
        <f>IF($C127=0,"",AVERAGEIFS('DEF_SELF_SCOUT_IMPORT'!$I$42:$I$1040,'DEF_SELF_SCOUT_IMPORT'!$L$42:$L$1040,"Y",'DEF_SELF_SCOUT_IMPORT'!$E$42:$E$1040,SUBSTITUTE(SUBSTITUTE(SUBSTITUTE($B127,"~","~~"),"*","~*"),"?","~?"),'DEF_SELF_SCOUT_IMPORT'!$Q$42:$Q$1040,SUBSTITUTE(SUBSTITUTE(SUBSTITUTE($M127,"~","~~"),"*","~*"),"?","~?")))</f>
        <v>-2.0</v>
      </c>
      <c r="G127" s="10">
        <f>IF($C127=0,"",COUNTIFS('DEF_SELF_SCOUT_IMPORT'!$L$42:$L$1040,"Y",'DEF_SELF_SCOUT_IMPORT'!$E$42:$E$1040,SUBSTITUTE(SUBSTITUTE(SUBSTITUTE($B127,"~","~~"),"*","~*"),"?","~?"),'DEF_SELF_SCOUT_IMPORT'!$Q$42:$Q$1040,SUBSTITUTE(SUBSTITUTE(SUBSTITUTE($M127,"~","~~"),"*","~*"),"?","~?"),'DEF_SELF_SCOUT_IMPORT'!$H$42:$H$1040,"RUSH")/$C127)</f>
        <v>0.0</v>
      </c>
      <c r="H127" s="10">
        <f>IF($C127=0,"",COUNTIFS('DEF_SELF_SCOUT_IMPORT'!$L$42:$L$1040,"Y",'DEF_SELF_SCOUT_IMPORT'!$E$42:$E$1040,SUBSTITUTE(SUBSTITUTE(SUBSTITUTE($B127,"~","~~"),"*","~*"),"?","~?"),'DEF_SELF_SCOUT_IMPORT'!$Q$42:$Q$1040,SUBSTITUTE(SUBSTITUTE(SUBSTITUTE($M127,"~","~~"),"*","~*"),"?","~?"),'DEF_SELF_SCOUT_IMPORT'!$H$42:$H$1040,"DROPBACK")/$C127)</f>
        <v>1.0</v>
      </c>
      <c r="I127" s="14" t="str">
        <f>IF(C127=0,"",IF(C127&lt;=2,"TRACK",IF(C127=3,"LOW",IF(C127&lt;=6,"MEDIUM","HIGH"))))</f>
        <v>TRACK</v>
      </c>
      <c r="J127" s="11">
        <f>IF(C127=0,"",ROUND(D127*70+(1-E127)*20+MAX(0,MIN(1,(10-F127)/10))*10,1))</f>
        <v>100.0</v>
      </c>
      <c r="K127" s="14" t="str">
        <f>IF(C127=0,"No Evidence",IF(C127&lt;=2,IF(E127&gt;0,"Explosive Alert","Track Only"),IF(C127=3,"Sample Watch",IF(E127&gt;=START_HERE!$B$31,"Explosive Alert",IF(J127&gt;=80,"Strong Candidate",IF(J127&gt;=65,"Good Candidate",IF(J127&gt;=50,"Mixed / Review","Problem Call")))))))</f>
        <v>Track Only</v>
      </c>
      <c r="L127" s="9" t="str">
        <f>IF(COUNTIFS('DEF_SELF_SCOUT_IMPORT'!$L$42:$L$1040,"Y",'DEF_SELF_SCOUT_IMPORT'!$E$42:$E$1040,SUBSTITUTE(SUBSTITUTE(SUBSTITUTE($B127,"~","~~"),"*","~*"),"?","~?"),'DEF_SELF_SCOUT_IMPORT'!$Q$42:$Q$1040,SUBSTITUTE(SUBSTITUTE(SUBSTITUTE($M127,"~","~~"),"*","~*"),"?","~?"),'DEF_SELF_SCOUT_IMPORT'!$J$42:$J$1040,"")&gt;0,"Unscored clean outcome; review result tags before using score.",IF(C127=0,"No matching defensive reps; film confirmation needed.",IF(K127="Explosive Alert","Explosive risk; review clips before using as answer.",IF(C127&lt;=2,"Track only; not enough sample.",IF(C127=3,IF(E127&gt;0,"Sample watch with explosive exposure; review clips and build the sample.",IF(J127&gt;=65,"Good signal, but sample is limited.","Sample watch; review clips and build the sample.")),IF(K127="Problem Call","Problem area; practice or call-sheet review.",IF(K127="Strong Candidate","Strong call-fit candidate; confirm on film.",IF(K127="Good Candidate","Good call-fit signal; confirm on film.","Mixed signal; review fit and execution on film."))))))))</f>
        <v>Track only; not enough sample.</v>
      </c>
      <c r="M127" s="8" t="s">
        <v>103</v>
      </c>
      <c r="N127" s="8"/>
      <c r="O127" s="8"/>
      <c r="P127" s="8"/>
      <c r="Q127" s="8"/>
      <c r="R127" s="8" t="s">
        <v>28</v>
      </c>
      <c r="S127" s="2" t="s">
        <v>104</v>
      </c>
      <c r="T127" s="2">
        <f>IF(C127=0,0,IF(C127&gt;=CALL_LOOKUP_BOARD!$B$7,IF(OR(K127="Problem Call",K127="Explosive Alert"),10000000,20000000),0)+IF(C127&gt;=CALL_LOOKUP_BOARD!$B$7,J127*1000+MIN(C127,999),C127*1000+J127)+0.00988200)</f>
        <v>2100.009882</v>
      </c>
      <c r="U127" s="2" t="str">
        <f>IF(C127=0,"",IF(COUNTIFS($S$10:$S$178,SUBSTITUTE(SUBSTITUTE(SUBSTITUTE(S127,"~","~~"),"*","~*"),"?","~?"),$T$10:$T$178,"&gt;"&amp;T127)=0,S127,""))</f>
        <v>6:3D 4-6|</v>
      </c>
    </row>
    <row r="128" spans="1:21" ht="38" customHeight="1">
      <c r="A128" s="8" t="s">
        <v>103</v>
      </c>
      <c r="B128" s="8" t="s">
        <v>77</v>
      </c>
      <c r="C128" s="12">
        <f>COUNTIFS('DEF_SELF_SCOUT_IMPORT'!$L$42:$L$1040,"Y",'DEF_SELF_SCOUT_IMPORT'!$E$42:$E$1040,SUBSTITUTE(SUBSTITUTE(SUBSTITUTE($B128,"~","~~"),"*","~*"),"?","~?"),'DEF_SELF_SCOUT_IMPORT'!$Q$42:$Q$1040,SUBSTITUTE(SUBSTITUTE(SUBSTITUTE($M128,"~","~~"),"*","~*"),"?","~?"))</f>
        <v>2</v>
      </c>
      <c r="D128" s="10">
        <f>IF($C128=0,"",SUMIFS('DEF_SELF_SCOUT_IMPORT'!$J$42:$J$1040,'DEF_SELF_SCOUT_IMPORT'!$L$42:$L$1040,"Y",'DEF_SELF_SCOUT_IMPORT'!$E$42:$E$1040,SUBSTITUTE(SUBSTITUTE(SUBSTITUTE($B128,"~","~~"),"*","~*"),"?","~?"),'DEF_SELF_SCOUT_IMPORT'!$Q$42:$Q$1040,SUBSTITUTE(SUBSTITUTE(SUBSTITUTE($M128,"~","~~"),"*","~*"),"?","~?"))/$C128)</f>
        <v>1.0</v>
      </c>
      <c r="E128" s="10">
        <f>IF($C128=0,"",SUMIFS('DEF_SELF_SCOUT_IMPORT'!$K$42:$K$1040,'DEF_SELF_SCOUT_IMPORT'!$L$42:$L$1040,"Y",'DEF_SELF_SCOUT_IMPORT'!$E$42:$E$1040,SUBSTITUTE(SUBSTITUTE(SUBSTITUTE($B128,"~","~~"),"*","~*"),"?","~?"),'DEF_SELF_SCOUT_IMPORT'!$Q$42:$Q$1040,SUBSTITUTE(SUBSTITUTE(SUBSTITUTE($M128,"~","~~"),"*","~*"),"?","~?"))/$C128)</f>
        <v>0.0</v>
      </c>
      <c r="F128" s="11">
        <f>IF($C128=0,"",AVERAGEIFS('DEF_SELF_SCOUT_IMPORT'!$I$42:$I$1040,'DEF_SELF_SCOUT_IMPORT'!$L$42:$L$1040,"Y",'DEF_SELF_SCOUT_IMPORT'!$E$42:$E$1040,SUBSTITUTE(SUBSTITUTE(SUBSTITUTE($B128,"~","~~"),"*","~*"),"?","~?"),'DEF_SELF_SCOUT_IMPORT'!$Q$42:$Q$1040,SUBSTITUTE(SUBSTITUTE(SUBSTITUTE($M128,"~","~~"),"*","~*"),"?","~?")))</f>
        <v>2.0</v>
      </c>
      <c r="G128" s="10">
        <f>IF($C128=0,"",COUNTIFS('DEF_SELF_SCOUT_IMPORT'!$L$42:$L$1040,"Y",'DEF_SELF_SCOUT_IMPORT'!$E$42:$E$1040,SUBSTITUTE(SUBSTITUTE(SUBSTITUTE($B128,"~","~~"),"*","~*"),"?","~?"),'DEF_SELF_SCOUT_IMPORT'!$Q$42:$Q$1040,SUBSTITUTE(SUBSTITUTE(SUBSTITUTE($M128,"~","~~"),"*","~*"),"?","~?"),'DEF_SELF_SCOUT_IMPORT'!$H$42:$H$1040,"RUSH")/$C128)</f>
        <v>0.5</v>
      </c>
      <c r="H128" s="10">
        <f>IF($C128=0,"",COUNTIFS('DEF_SELF_SCOUT_IMPORT'!$L$42:$L$1040,"Y",'DEF_SELF_SCOUT_IMPORT'!$E$42:$E$1040,SUBSTITUTE(SUBSTITUTE(SUBSTITUTE($B128,"~","~~"),"*","~*"),"?","~?"),'DEF_SELF_SCOUT_IMPORT'!$Q$42:$Q$1040,SUBSTITUTE(SUBSTITUTE(SUBSTITUTE($M128,"~","~~"),"*","~*"),"?","~?"),'DEF_SELF_SCOUT_IMPORT'!$H$42:$H$1040,"DROPBACK")/$C128)</f>
        <v>0.5</v>
      </c>
      <c r="I128" s="14" t="str">
        <f>IF(C128=0,"",IF(C128&lt;=2,"TRACK",IF(C128=3,"LOW",IF(C128&lt;=6,"MEDIUM","HIGH"))))</f>
        <v>TRACK</v>
      </c>
      <c r="J128" s="11">
        <f>IF(C128=0,"",ROUND(D128*70+(1-E128)*20+MAX(0,MIN(1,(10-F128)/10))*10,1))</f>
        <v>98.0</v>
      </c>
      <c r="K128" s="14" t="str">
        <f>IF(C128=0,"No Evidence",IF(C128&lt;=2,IF(E128&gt;0,"Explosive Alert","Track Only"),IF(C128=3,"Sample Watch",IF(E128&gt;=START_HERE!$B$31,"Explosive Alert",IF(J128&gt;=80,"Strong Candidate",IF(J128&gt;=65,"Good Candidate",IF(J128&gt;=50,"Mixed / Review","Problem Call")))))))</f>
        <v>Track Only</v>
      </c>
      <c r="L128" s="9" t="str">
        <f>IF(COUNTIFS('DEF_SELF_SCOUT_IMPORT'!$L$42:$L$1040,"Y",'DEF_SELF_SCOUT_IMPORT'!$E$42:$E$1040,SUBSTITUTE(SUBSTITUTE(SUBSTITUTE($B128,"~","~~"),"*","~*"),"?","~?"),'DEF_SELF_SCOUT_IMPORT'!$Q$42:$Q$1040,SUBSTITUTE(SUBSTITUTE(SUBSTITUTE($M128,"~","~~"),"*","~*"),"?","~?"),'DEF_SELF_SCOUT_IMPORT'!$J$42:$J$1040,"")&gt;0,"Unscored clean outcome; review result tags before using score.",IF(C128=0,"No matching defensive reps; film confirmation needed.",IF(K128="Explosive Alert","Explosive risk; review clips before using as answer.",IF(C128&lt;=2,"Track only; not enough sample.",IF(C128=3,IF(E128&gt;0,"Sample watch with explosive exposure; review clips and build the sample.",IF(J128&gt;=65,"Good signal, but sample is limited.","Sample watch; review clips and build the sample.")),IF(K128="Problem Call","Problem area; practice or call-sheet review.",IF(K128="Strong Candidate","Strong call-fit candidate; confirm on film.",IF(K128="Good Candidate","Good call-fit signal; confirm on film.","Mixed signal; review fit and execution on film."))))))))</f>
        <v>Track only; not enough sample.</v>
      </c>
      <c r="M128" s="8" t="s">
        <v>103</v>
      </c>
      <c r="N128" s="8"/>
      <c r="O128" s="8"/>
      <c r="P128" s="8"/>
      <c r="Q128" s="8"/>
      <c r="R128" s="8" t="s">
        <v>28</v>
      </c>
      <c r="S128" s="2" t="s">
        <v>104</v>
      </c>
      <c r="T128" s="2">
        <f>IF(C128=0,0,IF(C128&gt;=CALL_LOOKUP_BOARD!$B$7,IF(OR(K128="Problem Call",K128="Explosive Alert"),10000000,20000000),0)+IF(C128&gt;=CALL_LOOKUP_BOARD!$B$7,J128*1000+MIN(C128,999),C128*1000+J128)+0.00988100)</f>
        <v>2098.009881</v>
      </c>
      <c r="U128" s="2">
        <f>IF(C128=0,"",IF(COUNTIFS($S$10:$S$178,SUBSTITUTE(SUBSTITUTE(SUBSTITUTE(S128,"~","~~"),"*","~*"),"?","~?"),$T$10:$T$178,"&gt;"&amp;T128)=0,S128,""))</f>
        <v/>
      </c>
    </row>
    <row r="129" spans="1:21" ht="38" customHeight="1">
      <c r="A129" s="8" t="s">
        <v>103</v>
      </c>
      <c r="B129" s="8" t="s">
        <v>48</v>
      </c>
      <c r="C129" s="12">
        <f>COUNTIFS('DEF_SELF_SCOUT_IMPORT'!$L$42:$L$1040,"Y",'DEF_SELF_SCOUT_IMPORT'!$E$42:$E$1040,SUBSTITUTE(SUBSTITUTE(SUBSTITUTE($B129,"~","~~"),"*","~*"),"?","~?"),'DEF_SELF_SCOUT_IMPORT'!$Q$42:$Q$1040,SUBSTITUTE(SUBSTITUTE(SUBSTITUTE($M129,"~","~~"),"*","~*"),"?","~?"))</f>
        <v>2</v>
      </c>
      <c r="D129" s="10">
        <f>IF($C129=0,"",SUMIFS('DEF_SELF_SCOUT_IMPORT'!$J$42:$J$1040,'DEF_SELF_SCOUT_IMPORT'!$L$42:$L$1040,"Y",'DEF_SELF_SCOUT_IMPORT'!$E$42:$E$1040,SUBSTITUTE(SUBSTITUTE(SUBSTITUTE($B129,"~","~~"),"*","~*"),"?","~?"),'DEF_SELF_SCOUT_IMPORT'!$Q$42:$Q$1040,SUBSTITUTE(SUBSTITUTE(SUBSTITUTE($M129,"~","~~"),"*","~*"),"?","~?"))/$C129)</f>
        <v>0.0</v>
      </c>
      <c r="E129" s="10">
        <f>IF($C129=0,"",SUMIFS('DEF_SELF_SCOUT_IMPORT'!$K$42:$K$1040,'DEF_SELF_SCOUT_IMPORT'!$L$42:$L$1040,"Y",'DEF_SELF_SCOUT_IMPORT'!$E$42:$E$1040,SUBSTITUTE(SUBSTITUTE(SUBSTITUTE($B129,"~","~~"),"*","~*"),"?","~?"),'DEF_SELF_SCOUT_IMPORT'!$Q$42:$Q$1040,SUBSTITUTE(SUBSTITUTE(SUBSTITUTE($M129,"~","~~"),"*","~*"),"?","~?"))/$C129)</f>
        <v>0.0</v>
      </c>
      <c r="F129" s="11">
        <f>IF($C129=0,"",AVERAGEIFS('DEF_SELF_SCOUT_IMPORT'!$I$42:$I$1040,'DEF_SELF_SCOUT_IMPORT'!$L$42:$L$1040,"Y",'DEF_SELF_SCOUT_IMPORT'!$E$42:$E$1040,SUBSTITUTE(SUBSTITUTE(SUBSTITUTE($B129,"~","~~"),"*","~*"),"?","~?"),'DEF_SELF_SCOUT_IMPORT'!$Q$42:$Q$1040,SUBSTITUTE(SUBSTITUTE(SUBSTITUTE($M129,"~","~~"),"*","~*"),"?","~?")))</f>
        <v>10.5</v>
      </c>
      <c r="G129" s="10">
        <f>IF($C129=0,"",COUNTIFS('DEF_SELF_SCOUT_IMPORT'!$L$42:$L$1040,"Y",'DEF_SELF_SCOUT_IMPORT'!$E$42:$E$1040,SUBSTITUTE(SUBSTITUTE(SUBSTITUTE($B129,"~","~~"),"*","~*"),"?","~?"),'DEF_SELF_SCOUT_IMPORT'!$Q$42:$Q$1040,SUBSTITUTE(SUBSTITUTE(SUBSTITUTE($M129,"~","~~"),"*","~*"),"?","~?"),'DEF_SELF_SCOUT_IMPORT'!$H$42:$H$1040,"RUSH")/$C129)</f>
        <v>0.0</v>
      </c>
      <c r="H129" s="10">
        <f>IF($C129=0,"",COUNTIFS('DEF_SELF_SCOUT_IMPORT'!$L$42:$L$1040,"Y",'DEF_SELF_SCOUT_IMPORT'!$E$42:$E$1040,SUBSTITUTE(SUBSTITUTE(SUBSTITUTE($B129,"~","~~"),"*","~*"),"?","~?"),'DEF_SELF_SCOUT_IMPORT'!$Q$42:$Q$1040,SUBSTITUTE(SUBSTITUTE(SUBSTITUTE($M129,"~","~~"),"*","~*"),"?","~?"),'DEF_SELF_SCOUT_IMPORT'!$H$42:$H$1040,"DROPBACK")/$C129)</f>
        <v>1.0</v>
      </c>
      <c r="I129" s="14" t="str">
        <f>IF(C129=0,"",IF(C129&lt;=2,"TRACK",IF(C129=3,"LOW",IF(C129&lt;=6,"MEDIUM","HIGH"))))</f>
        <v>TRACK</v>
      </c>
      <c r="J129" s="11">
        <f>IF(C129=0,"",ROUND(D129*70+(1-E129)*20+MAX(0,MIN(1,(10-F129)/10))*10,1))</f>
        <v>20.0</v>
      </c>
      <c r="K129" s="14" t="str">
        <f>IF(C129=0,"No Evidence",IF(C129&lt;=2,IF(E129&gt;0,"Explosive Alert","Track Only"),IF(C129=3,"Sample Watch",IF(E129&gt;=START_HERE!$B$31,"Explosive Alert",IF(J129&gt;=80,"Strong Candidate",IF(J129&gt;=65,"Good Candidate",IF(J129&gt;=50,"Mixed / Review","Problem Call")))))))</f>
        <v>Track Only</v>
      </c>
      <c r="L129" s="9" t="str">
        <f>IF(COUNTIFS('DEF_SELF_SCOUT_IMPORT'!$L$42:$L$1040,"Y",'DEF_SELF_SCOUT_IMPORT'!$E$42:$E$1040,SUBSTITUTE(SUBSTITUTE(SUBSTITUTE($B129,"~","~~"),"*","~*"),"?","~?"),'DEF_SELF_SCOUT_IMPORT'!$Q$42:$Q$1040,SUBSTITUTE(SUBSTITUTE(SUBSTITUTE($M129,"~","~~"),"*","~*"),"?","~?"),'DEF_SELF_SCOUT_IMPORT'!$J$42:$J$1040,"")&gt;0,"Unscored clean outcome; review result tags before using score.",IF(C129=0,"No matching defensive reps; film confirmation needed.",IF(K129="Explosive Alert","Explosive risk; review clips before using as answer.",IF(C129&lt;=2,"Track only; not enough sample.",IF(C129=3,IF(E129&gt;0,"Sample watch with explosive exposure; review clips and build the sample.",IF(J129&gt;=65,"Good signal, but sample is limited.","Sample watch; review clips and build the sample.")),IF(K129="Problem Call","Problem area; practice or call-sheet review.",IF(K129="Strong Candidate","Strong call-fit candidate; confirm on film.",IF(K129="Good Candidate","Good call-fit signal; confirm on film.","Mixed signal; review fit and execution on film."))))))))</f>
        <v>Track only; not enough sample.</v>
      </c>
      <c r="M129" s="8" t="s">
        <v>103</v>
      </c>
      <c r="N129" s="8"/>
      <c r="O129" s="8"/>
      <c r="P129" s="8"/>
      <c r="Q129" s="8"/>
      <c r="R129" s="8" t="s">
        <v>28</v>
      </c>
      <c r="S129" s="2" t="s">
        <v>104</v>
      </c>
      <c r="T129" s="2">
        <f>IF(C129=0,0,IF(C129&gt;=CALL_LOOKUP_BOARD!$B$7,IF(OR(K129="Problem Call",K129="Explosive Alert"),10000000,20000000),0)+IF(C129&gt;=CALL_LOOKUP_BOARD!$B$7,J129*1000+MIN(C129,999),C129*1000+J129)+0.00988000)</f>
        <v>2020.00988</v>
      </c>
      <c r="U129" s="2">
        <f>IF(C129=0,"",IF(COUNTIFS($S$10:$S$178,SUBSTITUTE(SUBSTITUTE(SUBSTITUTE(S129,"~","~~"),"*","~*"),"?","~?"),$T$10:$T$178,"&gt;"&amp;T129)=0,S129,""))</f>
        <v/>
      </c>
    </row>
    <row r="130" spans="1:21" ht="38" customHeight="1">
      <c r="A130" s="8" t="s">
        <v>103</v>
      </c>
      <c r="B130" s="8" t="s">
        <v>80</v>
      </c>
      <c r="C130" s="12">
        <f>COUNTIFS('DEF_SELF_SCOUT_IMPORT'!$L$42:$L$1040,"Y",'DEF_SELF_SCOUT_IMPORT'!$E$42:$E$1040,SUBSTITUTE(SUBSTITUTE(SUBSTITUTE($B130,"~","~~"),"*","~*"),"?","~?"),'DEF_SELF_SCOUT_IMPORT'!$Q$42:$Q$1040,SUBSTITUTE(SUBSTITUTE(SUBSTITUTE($M130,"~","~~"),"*","~*"),"?","~?"))</f>
        <v>1</v>
      </c>
      <c r="D130" s="10">
        <f>IF($C130=0,"",SUMIFS('DEF_SELF_SCOUT_IMPORT'!$J$42:$J$1040,'DEF_SELF_SCOUT_IMPORT'!$L$42:$L$1040,"Y",'DEF_SELF_SCOUT_IMPORT'!$E$42:$E$1040,SUBSTITUTE(SUBSTITUTE(SUBSTITUTE($B130,"~","~~"),"*","~*"),"?","~?"),'DEF_SELF_SCOUT_IMPORT'!$Q$42:$Q$1040,SUBSTITUTE(SUBSTITUTE(SUBSTITUTE($M130,"~","~~"),"*","~*"),"?","~?"))/$C130)</f>
        <v>1.0</v>
      </c>
      <c r="E130" s="10">
        <f>IF($C130=0,"",SUMIFS('DEF_SELF_SCOUT_IMPORT'!$K$42:$K$1040,'DEF_SELF_SCOUT_IMPORT'!$L$42:$L$1040,"Y",'DEF_SELF_SCOUT_IMPORT'!$E$42:$E$1040,SUBSTITUTE(SUBSTITUTE(SUBSTITUTE($B130,"~","~~"),"*","~*"),"?","~?"),'DEF_SELF_SCOUT_IMPORT'!$Q$42:$Q$1040,SUBSTITUTE(SUBSTITUTE(SUBSTITUTE($M130,"~","~~"),"*","~*"),"?","~?"))/$C130)</f>
        <v>0.0</v>
      </c>
      <c r="F130" s="11">
        <f>IF($C130=0,"",AVERAGEIFS('DEF_SELF_SCOUT_IMPORT'!$I$42:$I$1040,'DEF_SELF_SCOUT_IMPORT'!$L$42:$L$1040,"Y",'DEF_SELF_SCOUT_IMPORT'!$E$42:$E$1040,SUBSTITUTE(SUBSTITUTE(SUBSTITUTE($B130,"~","~~"),"*","~*"),"?","~?"),'DEF_SELF_SCOUT_IMPORT'!$Q$42:$Q$1040,SUBSTITUTE(SUBSTITUTE(SUBSTITUTE($M130,"~","~~"),"*","~*"),"?","~?")))</f>
        <v>2.0</v>
      </c>
      <c r="G130" s="10">
        <f>IF($C130=0,"",COUNTIFS('DEF_SELF_SCOUT_IMPORT'!$L$42:$L$1040,"Y",'DEF_SELF_SCOUT_IMPORT'!$E$42:$E$1040,SUBSTITUTE(SUBSTITUTE(SUBSTITUTE($B130,"~","~~"),"*","~*"),"?","~?"),'DEF_SELF_SCOUT_IMPORT'!$Q$42:$Q$1040,SUBSTITUTE(SUBSTITUTE(SUBSTITUTE($M130,"~","~~"),"*","~*"),"?","~?"),'DEF_SELF_SCOUT_IMPORT'!$H$42:$H$1040,"RUSH")/$C130)</f>
        <v>1.0</v>
      </c>
      <c r="H130" s="10">
        <f>IF($C130=0,"",COUNTIFS('DEF_SELF_SCOUT_IMPORT'!$L$42:$L$1040,"Y",'DEF_SELF_SCOUT_IMPORT'!$E$42:$E$1040,SUBSTITUTE(SUBSTITUTE(SUBSTITUTE($B130,"~","~~"),"*","~*"),"?","~?"),'DEF_SELF_SCOUT_IMPORT'!$Q$42:$Q$1040,SUBSTITUTE(SUBSTITUTE(SUBSTITUTE($M130,"~","~~"),"*","~*"),"?","~?"),'DEF_SELF_SCOUT_IMPORT'!$H$42:$H$1040,"DROPBACK")/$C130)</f>
        <v>0.0</v>
      </c>
      <c r="I130" s="14" t="str">
        <f>IF(C130=0,"",IF(C130&lt;=2,"TRACK",IF(C130=3,"LOW",IF(C130&lt;=6,"MEDIUM","HIGH"))))</f>
        <v>TRACK</v>
      </c>
      <c r="J130" s="11">
        <f>IF(C130=0,"",ROUND(D130*70+(1-E130)*20+MAX(0,MIN(1,(10-F130)/10))*10,1))</f>
        <v>98.0</v>
      </c>
      <c r="K130" s="14" t="str">
        <f>IF(C130=0,"No Evidence",IF(C130&lt;=2,IF(E130&gt;0,"Explosive Alert","Track Only"),IF(C130=3,"Sample Watch",IF(E130&gt;=START_HERE!$B$31,"Explosive Alert",IF(J130&gt;=80,"Strong Candidate",IF(J130&gt;=65,"Good Candidate",IF(J130&gt;=50,"Mixed / Review","Problem Call")))))))</f>
        <v>Track Only</v>
      </c>
      <c r="L130" s="9" t="str">
        <f>IF(COUNTIFS('DEF_SELF_SCOUT_IMPORT'!$L$42:$L$1040,"Y",'DEF_SELF_SCOUT_IMPORT'!$E$42:$E$1040,SUBSTITUTE(SUBSTITUTE(SUBSTITUTE($B130,"~","~~"),"*","~*"),"?","~?"),'DEF_SELF_SCOUT_IMPORT'!$Q$42:$Q$1040,SUBSTITUTE(SUBSTITUTE(SUBSTITUTE($M130,"~","~~"),"*","~*"),"?","~?"),'DEF_SELF_SCOUT_IMPORT'!$J$42:$J$1040,"")&gt;0,"Unscored clean outcome; review result tags before using score.",IF(C130=0,"No matching defensive reps; film confirmation needed.",IF(K130="Explosive Alert","Explosive risk; review clips before using as answer.",IF(C130&lt;=2,"Track only; not enough sample.",IF(C130=3,IF(E130&gt;0,"Sample watch with explosive exposure; review clips and build the sample.",IF(J130&gt;=65,"Good signal, but sample is limited.","Sample watch; review clips and build the sample.")),IF(K130="Problem Call","Problem area; practice or call-sheet review.",IF(K130="Strong Candidate","Strong call-fit candidate; confirm on film.",IF(K130="Good Candidate","Good call-fit signal; confirm on film.","Mixed signal; review fit and execution on film."))))))))</f>
        <v>Track only; not enough sample.</v>
      </c>
      <c r="M130" s="8" t="s">
        <v>103</v>
      </c>
      <c r="N130" s="8"/>
      <c r="O130" s="8"/>
      <c r="P130" s="8"/>
      <c r="Q130" s="8"/>
      <c r="R130" s="8" t="s">
        <v>28</v>
      </c>
      <c r="S130" s="2" t="s">
        <v>104</v>
      </c>
      <c r="T130" s="2">
        <f>IF(C130=0,0,IF(C130&gt;=CALL_LOOKUP_BOARD!$B$7,IF(OR(K130="Problem Call",K130="Explosive Alert"),10000000,20000000),0)+IF(C130&gt;=CALL_LOOKUP_BOARD!$B$7,J130*1000+MIN(C130,999),C130*1000+J130)+0.00987900)</f>
        <v>1098.009879</v>
      </c>
      <c r="U130" s="2">
        <f>IF(C130=0,"",IF(COUNTIFS($S$10:$S$178,SUBSTITUTE(SUBSTITUTE(SUBSTITUTE(S130,"~","~~"),"*","~*"),"?","~?"),$T$10:$T$178,"&gt;"&amp;T130)=0,S130,""))</f>
        <v/>
      </c>
    </row>
    <row r="131" spans="1:21" ht="38" customHeight="1">
      <c r="A131" s="8" t="s">
        <v>103</v>
      </c>
      <c r="B131" s="8" t="s">
        <v>100</v>
      </c>
      <c r="C131" s="12">
        <f>COUNTIFS('DEF_SELF_SCOUT_IMPORT'!$L$42:$L$1040,"Y",'DEF_SELF_SCOUT_IMPORT'!$E$42:$E$1040,SUBSTITUTE(SUBSTITUTE(SUBSTITUTE($B131,"~","~~"),"*","~*"),"?","~?"),'DEF_SELF_SCOUT_IMPORT'!$Q$42:$Q$1040,SUBSTITUTE(SUBSTITUTE(SUBSTITUTE($M131,"~","~~"),"*","~*"),"?","~?"))</f>
        <v>2</v>
      </c>
      <c r="D131" s="10">
        <f>IF($C131=0,"",SUMIFS('DEF_SELF_SCOUT_IMPORT'!$J$42:$J$1040,'DEF_SELF_SCOUT_IMPORT'!$L$42:$L$1040,"Y",'DEF_SELF_SCOUT_IMPORT'!$E$42:$E$1040,SUBSTITUTE(SUBSTITUTE(SUBSTITUTE($B131,"~","~~"),"*","~*"),"?","~?"),'DEF_SELF_SCOUT_IMPORT'!$Q$42:$Q$1040,SUBSTITUTE(SUBSTITUTE(SUBSTITUTE($M131,"~","~~"),"*","~*"),"?","~?"))/$C131)</f>
        <v>0.5</v>
      </c>
      <c r="E131" s="10">
        <f>IF($C131=0,"",SUMIFS('DEF_SELF_SCOUT_IMPORT'!$K$42:$K$1040,'DEF_SELF_SCOUT_IMPORT'!$L$42:$L$1040,"Y",'DEF_SELF_SCOUT_IMPORT'!$E$42:$E$1040,SUBSTITUTE(SUBSTITUTE(SUBSTITUTE($B131,"~","~~"),"*","~*"),"?","~?"),'DEF_SELF_SCOUT_IMPORT'!$Q$42:$Q$1040,SUBSTITUTE(SUBSTITUTE(SUBSTITUTE($M131,"~","~~"),"*","~*"),"?","~?"))/$C131)</f>
        <v>0.0</v>
      </c>
      <c r="F131" s="11">
        <f>IF($C131=0,"",AVERAGEIFS('DEF_SELF_SCOUT_IMPORT'!$I$42:$I$1040,'DEF_SELF_SCOUT_IMPORT'!$L$42:$L$1040,"Y",'DEF_SELF_SCOUT_IMPORT'!$E$42:$E$1040,SUBSTITUTE(SUBSTITUTE(SUBSTITUTE($B131,"~","~~"),"*","~*"),"?","~?"),'DEF_SELF_SCOUT_IMPORT'!$Q$42:$Q$1040,SUBSTITUTE(SUBSTITUTE(SUBSTITUTE($M131,"~","~~"),"*","~*"),"?","~?")))</f>
        <v>6.0</v>
      </c>
      <c r="G131" s="10">
        <f>IF($C131=0,"",COUNTIFS('DEF_SELF_SCOUT_IMPORT'!$L$42:$L$1040,"Y",'DEF_SELF_SCOUT_IMPORT'!$E$42:$E$1040,SUBSTITUTE(SUBSTITUTE(SUBSTITUTE($B131,"~","~~"),"*","~*"),"?","~?"),'DEF_SELF_SCOUT_IMPORT'!$Q$42:$Q$1040,SUBSTITUTE(SUBSTITUTE(SUBSTITUTE($M131,"~","~~"),"*","~*"),"?","~?"),'DEF_SELF_SCOUT_IMPORT'!$H$42:$H$1040,"RUSH")/$C131)</f>
        <v>0.5</v>
      </c>
      <c r="H131" s="10">
        <f>IF($C131=0,"",COUNTIFS('DEF_SELF_SCOUT_IMPORT'!$L$42:$L$1040,"Y",'DEF_SELF_SCOUT_IMPORT'!$E$42:$E$1040,SUBSTITUTE(SUBSTITUTE(SUBSTITUTE($B131,"~","~~"),"*","~*"),"?","~?"),'DEF_SELF_SCOUT_IMPORT'!$Q$42:$Q$1040,SUBSTITUTE(SUBSTITUTE(SUBSTITUTE($M131,"~","~~"),"*","~*"),"?","~?"),'DEF_SELF_SCOUT_IMPORT'!$H$42:$H$1040,"DROPBACK")/$C131)</f>
        <v>0.5</v>
      </c>
      <c r="I131" s="14" t="str">
        <f>IF(C131=0,"",IF(C131&lt;=2,"TRACK",IF(C131=3,"LOW",IF(C131&lt;=6,"MEDIUM","HIGH"))))</f>
        <v>TRACK</v>
      </c>
      <c r="J131" s="11">
        <f>IF(C131=0,"",ROUND(D131*70+(1-E131)*20+MAX(0,MIN(1,(10-F131)/10))*10,1))</f>
        <v>59.0</v>
      </c>
      <c r="K131" s="14" t="str">
        <f>IF(C131=0,"No Evidence",IF(C131&lt;=2,IF(E131&gt;0,"Explosive Alert","Track Only"),IF(C131=3,"Sample Watch",IF(E131&gt;=START_HERE!$B$31,"Explosive Alert",IF(J131&gt;=80,"Strong Candidate",IF(J131&gt;=65,"Good Candidate",IF(J131&gt;=50,"Mixed / Review","Problem Call")))))))</f>
        <v>Track Only</v>
      </c>
      <c r="L131" s="9" t="str">
        <f>IF(COUNTIFS('DEF_SELF_SCOUT_IMPORT'!$L$42:$L$1040,"Y",'DEF_SELF_SCOUT_IMPORT'!$E$42:$E$1040,SUBSTITUTE(SUBSTITUTE(SUBSTITUTE($B131,"~","~~"),"*","~*"),"?","~?"),'DEF_SELF_SCOUT_IMPORT'!$Q$42:$Q$1040,SUBSTITUTE(SUBSTITUTE(SUBSTITUTE($M131,"~","~~"),"*","~*"),"?","~?"),'DEF_SELF_SCOUT_IMPORT'!$J$42:$J$1040,"")&gt;0,"Unscored clean outcome; review result tags before using score.",IF(C131=0,"No matching defensive reps; film confirmation needed.",IF(K131="Explosive Alert","Explosive risk; review clips before using as answer.",IF(C131&lt;=2,"Track only; not enough sample.",IF(C131=3,IF(E131&gt;0,"Sample watch with explosive exposure; review clips and build the sample.",IF(J131&gt;=65,"Good signal, but sample is limited.","Sample watch; review clips and build the sample.")),IF(K131="Problem Call","Problem area; practice or call-sheet review.",IF(K131="Strong Candidate","Strong call-fit candidate; confirm on film.",IF(K131="Good Candidate","Good call-fit signal; confirm on film.","Mixed signal; review fit and execution on film."))))))))</f>
        <v>Track only; not enough sample.</v>
      </c>
      <c r="M131" s="8" t="s">
        <v>103</v>
      </c>
      <c r="N131" s="8"/>
      <c r="O131" s="8"/>
      <c r="P131" s="8"/>
      <c r="Q131" s="8"/>
      <c r="R131" s="8" t="s">
        <v>28</v>
      </c>
      <c r="S131" s="2" t="s">
        <v>104</v>
      </c>
      <c r="T131" s="2">
        <f>IF(C131=0,0,IF(C131&gt;=CALL_LOOKUP_BOARD!$B$7,IF(OR(K131="Problem Call",K131="Explosive Alert"),10000000,20000000),0)+IF(C131&gt;=CALL_LOOKUP_BOARD!$B$7,J131*1000+MIN(C131,999),C131*1000+J131)+0.00987800)</f>
        <v>2059.009878</v>
      </c>
      <c r="U131" s="2">
        <f>IF(C131=0,"",IF(COUNTIFS($S$10:$S$178,SUBSTITUTE(SUBSTITUTE(SUBSTITUTE(S131,"~","~~"),"*","~*"),"?","~?"),$T$10:$T$178,"&gt;"&amp;T131)=0,S131,""))</f>
        <v/>
      </c>
    </row>
    <row r="132" spans="1:21" ht="38" customHeight="1">
      <c r="A132" s="8" t="s">
        <v>103</v>
      </c>
      <c r="B132" s="8" t="s">
        <v>105</v>
      </c>
      <c r="C132" s="12">
        <f>COUNTIFS('DEF_SELF_SCOUT_IMPORT'!$L$42:$L$1040,"Y",'DEF_SELF_SCOUT_IMPORT'!$E$42:$E$1040,SUBSTITUTE(SUBSTITUTE(SUBSTITUTE($B132,"~","~~"),"*","~*"),"?","~?"),'DEF_SELF_SCOUT_IMPORT'!$Q$42:$Q$1040,SUBSTITUTE(SUBSTITUTE(SUBSTITUTE($M132,"~","~~"),"*","~*"),"?","~?"))</f>
        <v>1</v>
      </c>
      <c r="D132" s="10">
        <f>IF($C132=0,"",SUMIFS('DEF_SELF_SCOUT_IMPORT'!$J$42:$J$1040,'DEF_SELF_SCOUT_IMPORT'!$L$42:$L$1040,"Y",'DEF_SELF_SCOUT_IMPORT'!$E$42:$E$1040,SUBSTITUTE(SUBSTITUTE(SUBSTITUTE($B132,"~","~~"),"*","~*"),"?","~?"),'DEF_SELF_SCOUT_IMPORT'!$Q$42:$Q$1040,SUBSTITUTE(SUBSTITUTE(SUBSTITUTE($M132,"~","~~"),"*","~*"),"?","~?"))/$C132)</f>
        <v>1.0</v>
      </c>
      <c r="E132" s="10">
        <f>IF($C132=0,"",SUMIFS('DEF_SELF_SCOUT_IMPORT'!$K$42:$K$1040,'DEF_SELF_SCOUT_IMPORT'!$L$42:$L$1040,"Y",'DEF_SELF_SCOUT_IMPORT'!$E$42:$E$1040,SUBSTITUTE(SUBSTITUTE(SUBSTITUTE($B132,"~","~~"),"*","~*"),"?","~?"),'DEF_SELF_SCOUT_IMPORT'!$Q$42:$Q$1040,SUBSTITUTE(SUBSTITUTE(SUBSTITUTE($M132,"~","~~"),"*","~*"),"?","~?"))/$C132)</f>
        <v>0.0</v>
      </c>
      <c r="F132" s="11">
        <f>IF($C132=0,"",AVERAGEIFS('DEF_SELF_SCOUT_IMPORT'!$I$42:$I$1040,'DEF_SELF_SCOUT_IMPORT'!$L$42:$L$1040,"Y",'DEF_SELF_SCOUT_IMPORT'!$E$42:$E$1040,SUBSTITUTE(SUBSTITUTE(SUBSTITUTE($B132,"~","~~"),"*","~*"),"?","~?"),'DEF_SELF_SCOUT_IMPORT'!$Q$42:$Q$1040,SUBSTITUTE(SUBSTITUTE(SUBSTITUTE($M132,"~","~~"),"*","~*"),"?","~?")))</f>
        <v>0.0</v>
      </c>
      <c r="G132" s="10">
        <f>IF($C132=0,"",COUNTIFS('DEF_SELF_SCOUT_IMPORT'!$L$42:$L$1040,"Y",'DEF_SELF_SCOUT_IMPORT'!$E$42:$E$1040,SUBSTITUTE(SUBSTITUTE(SUBSTITUTE($B132,"~","~~"),"*","~*"),"?","~?"),'DEF_SELF_SCOUT_IMPORT'!$Q$42:$Q$1040,SUBSTITUTE(SUBSTITUTE(SUBSTITUTE($M132,"~","~~"),"*","~*"),"?","~?"),'DEF_SELF_SCOUT_IMPORT'!$H$42:$H$1040,"RUSH")/$C132)</f>
        <v>0.0</v>
      </c>
      <c r="H132" s="10">
        <f>IF($C132=0,"",COUNTIFS('DEF_SELF_SCOUT_IMPORT'!$L$42:$L$1040,"Y",'DEF_SELF_SCOUT_IMPORT'!$E$42:$E$1040,SUBSTITUTE(SUBSTITUTE(SUBSTITUTE($B132,"~","~~"),"*","~*"),"?","~?"),'DEF_SELF_SCOUT_IMPORT'!$Q$42:$Q$1040,SUBSTITUTE(SUBSTITUTE(SUBSTITUTE($M132,"~","~~"),"*","~*"),"?","~?"),'DEF_SELF_SCOUT_IMPORT'!$H$42:$H$1040,"DROPBACK")/$C132)</f>
        <v>1.0</v>
      </c>
      <c r="I132" s="14" t="str">
        <f>IF(C132=0,"",IF(C132&lt;=2,"TRACK",IF(C132=3,"LOW",IF(C132&lt;=6,"MEDIUM","HIGH"))))</f>
        <v>TRACK</v>
      </c>
      <c r="J132" s="11">
        <f>IF(C132=0,"",ROUND(D132*70+(1-E132)*20+MAX(0,MIN(1,(10-F132)/10))*10,1))</f>
        <v>100.0</v>
      </c>
      <c r="K132" s="14" t="str">
        <f>IF(C132=0,"No Evidence",IF(C132&lt;=2,IF(E132&gt;0,"Explosive Alert","Track Only"),IF(C132=3,"Sample Watch",IF(E132&gt;=START_HERE!$B$31,"Explosive Alert",IF(J132&gt;=80,"Strong Candidate",IF(J132&gt;=65,"Good Candidate",IF(J132&gt;=50,"Mixed / Review","Problem Call")))))))</f>
        <v>Track Only</v>
      </c>
      <c r="L132" s="9" t="str">
        <f>IF(COUNTIFS('DEF_SELF_SCOUT_IMPORT'!$L$42:$L$1040,"Y",'DEF_SELF_SCOUT_IMPORT'!$E$42:$E$1040,SUBSTITUTE(SUBSTITUTE(SUBSTITUTE($B132,"~","~~"),"*","~*"),"?","~?"),'DEF_SELF_SCOUT_IMPORT'!$Q$42:$Q$1040,SUBSTITUTE(SUBSTITUTE(SUBSTITUTE($M132,"~","~~"),"*","~*"),"?","~?"),'DEF_SELF_SCOUT_IMPORT'!$J$42:$J$1040,"")&gt;0,"Unscored clean outcome; review result tags before using score.",IF(C132=0,"No matching defensive reps; film confirmation needed.",IF(K132="Explosive Alert","Explosive risk; review clips before using as answer.",IF(C132&lt;=2,"Track only; not enough sample.",IF(C132=3,IF(E132&gt;0,"Sample watch with explosive exposure; review clips and build the sample.",IF(J132&gt;=65,"Good signal, but sample is limited.","Sample watch; review clips and build the sample.")),IF(K132="Problem Call","Problem area; practice or call-sheet review.",IF(K132="Strong Candidate","Strong call-fit candidate; confirm on film.",IF(K132="Good Candidate","Good call-fit signal; confirm on film.","Mixed signal; review fit and execution on film."))))))))</f>
        <v>Track only; not enough sample.</v>
      </c>
      <c r="M132" s="8" t="s">
        <v>103</v>
      </c>
      <c r="N132" s="8"/>
      <c r="O132" s="8"/>
      <c r="P132" s="8"/>
      <c r="Q132" s="8"/>
      <c r="R132" s="8" t="s">
        <v>28</v>
      </c>
      <c r="S132" s="2" t="s">
        <v>104</v>
      </c>
      <c r="T132" s="2">
        <f>IF(C132=0,0,IF(C132&gt;=CALL_LOOKUP_BOARD!$B$7,IF(OR(K132="Problem Call",K132="Explosive Alert"),10000000,20000000),0)+IF(C132&gt;=CALL_LOOKUP_BOARD!$B$7,J132*1000+MIN(C132,999),C132*1000+J132)+0.00987700)</f>
        <v>1100.009877</v>
      </c>
      <c r="U132" s="2">
        <f>IF(C132=0,"",IF(COUNTIFS($S$10:$S$178,SUBSTITUTE(SUBSTITUTE(SUBSTITUTE(S132,"~","~~"),"*","~*"),"?","~?"),$T$10:$T$178,"&gt;"&amp;T132)=0,S132,""))</f>
        <v/>
      </c>
    </row>
    <row r="133" spans="1:21" ht="38" customHeight="1">
      <c r="A133" s="8" t="s">
        <v>103</v>
      </c>
      <c r="B133" s="8" t="s">
        <v>95</v>
      </c>
      <c r="C133" s="12">
        <f>COUNTIFS('DEF_SELF_SCOUT_IMPORT'!$L$42:$L$1040,"Y",'DEF_SELF_SCOUT_IMPORT'!$E$42:$E$1040,SUBSTITUTE(SUBSTITUTE(SUBSTITUTE($B133,"~","~~"),"*","~*"),"?","~?"),'DEF_SELF_SCOUT_IMPORT'!$Q$42:$Q$1040,SUBSTITUTE(SUBSTITUTE(SUBSTITUTE($M133,"~","~~"),"*","~*"),"?","~?"))</f>
        <v>2</v>
      </c>
      <c r="D133" s="10">
        <f>IF($C133=0,"",SUMIFS('DEF_SELF_SCOUT_IMPORT'!$J$42:$J$1040,'DEF_SELF_SCOUT_IMPORT'!$L$42:$L$1040,"Y",'DEF_SELF_SCOUT_IMPORT'!$E$42:$E$1040,SUBSTITUTE(SUBSTITUTE(SUBSTITUTE($B133,"~","~~"),"*","~*"),"?","~?"),'DEF_SELF_SCOUT_IMPORT'!$Q$42:$Q$1040,SUBSTITUTE(SUBSTITUTE(SUBSTITUTE($M133,"~","~~"),"*","~*"),"?","~?"))/$C133)</f>
        <v>0.5</v>
      </c>
      <c r="E133" s="10">
        <f>IF($C133=0,"",SUMIFS('DEF_SELF_SCOUT_IMPORT'!$K$42:$K$1040,'DEF_SELF_SCOUT_IMPORT'!$L$42:$L$1040,"Y",'DEF_SELF_SCOUT_IMPORT'!$E$42:$E$1040,SUBSTITUTE(SUBSTITUTE(SUBSTITUTE($B133,"~","~~"),"*","~*"),"?","~?"),'DEF_SELF_SCOUT_IMPORT'!$Q$42:$Q$1040,SUBSTITUTE(SUBSTITUTE(SUBSTITUTE($M133,"~","~~"),"*","~*"),"?","~?"))/$C133)</f>
        <v>0.0</v>
      </c>
      <c r="F133" s="11">
        <f>IF($C133=0,"",AVERAGEIFS('DEF_SELF_SCOUT_IMPORT'!$I$42:$I$1040,'DEF_SELF_SCOUT_IMPORT'!$L$42:$L$1040,"Y",'DEF_SELF_SCOUT_IMPORT'!$E$42:$E$1040,SUBSTITUTE(SUBSTITUTE(SUBSTITUTE($B133,"~","~~"),"*","~*"),"?","~?"),'DEF_SELF_SCOUT_IMPORT'!$Q$42:$Q$1040,SUBSTITUTE(SUBSTITUTE(SUBSTITUTE($M133,"~","~~"),"*","~*"),"?","~?")))</f>
        <v>4.5</v>
      </c>
      <c r="G133" s="10">
        <f>IF($C133=0,"",COUNTIFS('DEF_SELF_SCOUT_IMPORT'!$L$42:$L$1040,"Y",'DEF_SELF_SCOUT_IMPORT'!$E$42:$E$1040,SUBSTITUTE(SUBSTITUTE(SUBSTITUTE($B133,"~","~~"),"*","~*"),"?","~?"),'DEF_SELF_SCOUT_IMPORT'!$Q$42:$Q$1040,SUBSTITUTE(SUBSTITUTE(SUBSTITUTE($M133,"~","~~"),"*","~*"),"?","~?"),'DEF_SELF_SCOUT_IMPORT'!$H$42:$H$1040,"RUSH")/$C133)</f>
        <v>0.5</v>
      </c>
      <c r="H133" s="10">
        <f>IF($C133=0,"",COUNTIFS('DEF_SELF_SCOUT_IMPORT'!$L$42:$L$1040,"Y",'DEF_SELF_SCOUT_IMPORT'!$E$42:$E$1040,SUBSTITUTE(SUBSTITUTE(SUBSTITUTE($B133,"~","~~"),"*","~*"),"?","~?"),'DEF_SELF_SCOUT_IMPORT'!$Q$42:$Q$1040,SUBSTITUTE(SUBSTITUTE(SUBSTITUTE($M133,"~","~~"),"*","~*"),"?","~?"),'DEF_SELF_SCOUT_IMPORT'!$H$42:$H$1040,"DROPBACK")/$C133)</f>
        <v>0.5</v>
      </c>
      <c r="I133" s="14" t="str">
        <f>IF(C133=0,"",IF(C133&lt;=2,"TRACK",IF(C133=3,"LOW",IF(C133&lt;=6,"MEDIUM","HIGH"))))</f>
        <v>TRACK</v>
      </c>
      <c r="J133" s="11">
        <f>IF(C133=0,"",ROUND(D133*70+(1-E133)*20+MAX(0,MIN(1,(10-F133)/10))*10,1))</f>
        <v>60.5</v>
      </c>
      <c r="K133" s="14" t="str">
        <f>IF(C133=0,"No Evidence",IF(C133&lt;=2,IF(E133&gt;0,"Explosive Alert","Track Only"),IF(C133=3,"Sample Watch",IF(E133&gt;=START_HERE!$B$31,"Explosive Alert",IF(J133&gt;=80,"Strong Candidate",IF(J133&gt;=65,"Good Candidate",IF(J133&gt;=50,"Mixed / Review","Problem Call")))))))</f>
        <v>Track Only</v>
      </c>
      <c r="L133" s="9" t="str">
        <f>IF(COUNTIFS('DEF_SELF_SCOUT_IMPORT'!$L$42:$L$1040,"Y",'DEF_SELF_SCOUT_IMPORT'!$E$42:$E$1040,SUBSTITUTE(SUBSTITUTE(SUBSTITUTE($B133,"~","~~"),"*","~*"),"?","~?"),'DEF_SELF_SCOUT_IMPORT'!$Q$42:$Q$1040,SUBSTITUTE(SUBSTITUTE(SUBSTITUTE($M133,"~","~~"),"*","~*"),"?","~?"),'DEF_SELF_SCOUT_IMPORT'!$J$42:$J$1040,"")&gt;0,"Unscored clean outcome; review result tags before using score.",IF(C133=0,"No matching defensive reps; film confirmation needed.",IF(K133="Explosive Alert","Explosive risk; review clips before using as answer.",IF(C133&lt;=2,"Track only; not enough sample.",IF(C133=3,IF(E133&gt;0,"Sample watch with explosive exposure; review clips and build the sample.",IF(J133&gt;=65,"Good signal, but sample is limited.","Sample watch; review clips and build the sample.")),IF(K133="Problem Call","Problem area; practice or call-sheet review.",IF(K133="Strong Candidate","Strong call-fit candidate; confirm on film.",IF(K133="Good Candidate","Good call-fit signal; confirm on film.","Mixed signal; review fit and execution on film."))))))))</f>
        <v>Track only; not enough sample.</v>
      </c>
      <c r="M133" s="8" t="s">
        <v>103</v>
      </c>
      <c r="N133" s="8"/>
      <c r="O133" s="8"/>
      <c r="P133" s="8"/>
      <c r="Q133" s="8"/>
      <c r="R133" s="8" t="s">
        <v>28</v>
      </c>
      <c r="S133" s="2" t="s">
        <v>104</v>
      </c>
      <c r="T133" s="2">
        <f>IF(C133=0,0,IF(C133&gt;=CALL_LOOKUP_BOARD!$B$7,IF(OR(K133="Problem Call",K133="Explosive Alert"),10000000,20000000),0)+IF(C133&gt;=CALL_LOOKUP_BOARD!$B$7,J133*1000+MIN(C133,999),C133*1000+J133)+0.00987600)</f>
        <v>2060.509876</v>
      </c>
      <c r="U133" s="2">
        <f>IF(C133=0,"",IF(COUNTIFS($S$10:$S$178,SUBSTITUTE(SUBSTITUTE(SUBSTITUTE(S133,"~","~~"),"*","~*"),"?","~?"),$T$10:$T$178,"&gt;"&amp;T133)=0,S133,""))</f>
        <v/>
      </c>
    </row>
    <row r="134" spans="1:21" ht="38" customHeight="1">
      <c r="A134" s="8" t="s">
        <v>103</v>
      </c>
      <c r="B134" s="8" t="s">
        <v>60</v>
      </c>
      <c r="C134" s="12">
        <f>COUNTIFS('DEF_SELF_SCOUT_IMPORT'!$L$42:$L$1040,"Y",'DEF_SELF_SCOUT_IMPORT'!$E$42:$E$1040,SUBSTITUTE(SUBSTITUTE(SUBSTITUTE($B134,"~","~~"),"*","~*"),"?","~?"),'DEF_SELF_SCOUT_IMPORT'!$Q$42:$Q$1040,SUBSTITUTE(SUBSTITUTE(SUBSTITUTE($M134,"~","~~"),"*","~*"),"?","~?"))</f>
        <v>1</v>
      </c>
      <c r="D134" s="10">
        <f>IF($C134=0,"",SUMIFS('DEF_SELF_SCOUT_IMPORT'!$J$42:$J$1040,'DEF_SELF_SCOUT_IMPORT'!$L$42:$L$1040,"Y",'DEF_SELF_SCOUT_IMPORT'!$E$42:$E$1040,SUBSTITUTE(SUBSTITUTE(SUBSTITUTE($B134,"~","~~"),"*","~*"),"?","~?"),'DEF_SELF_SCOUT_IMPORT'!$Q$42:$Q$1040,SUBSTITUTE(SUBSTITUTE(SUBSTITUTE($M134,"~","~~"),"*","~*"),"?","~?"))/$C134)</f>
        <v>1.0</v>
      </c>
      <c r="E134" s="10">
        <f>IF($C134=0,"",SUMIFS('DEF_SELF_SCOUT_IMPORT'!$K$42:$K$1040,'DEF_SELF_SCOUT_IMPORT'!$L$42:$L$1040,"Y",'DEF_SELF_SCOUT_IMPORT'!$E$42:$E$1040,SUBSTITUTE(SUBSTITUTE(SUBSTITUTE($B134,"~","~~"),"*","~*"),"?","~?"),'DEF_SELF_SCOUT_IMPORT'!$Q$42:$Q$1040,SUBSTITUTE(SUBSTITUTE(SUBSTITUTE($M134,"~","~~"),"*","~*"),"?","~?"))/$C134)</f>
        <v>0.0</v>
      </c>
      <c r="F134" s="11">
        <f>IF($C134=0,"",AVERAGEIFS('DEF_SELF_SCOUT_IMPORT'!$I$42:$I$1040,'DEF_SELF_SCOUT_IMPORT'!$L$42:$L$1040,"Y",'DEF_SELF_SCOUT_IMPORT'!$E$42:$E$1040,SUBSTITUTE(SUBSTITUTE(SUBSTITUTE($B134,"~","~~"),"*","~*"),"?","~?"),'DEF_SELF_SCOUT_IMPORT'!$Q$42:$Q$1040,SUBSTITUTE(SUBSTITUTE(SUBSTITUTE($M134,"~","~~"),"*","~*"),"?","~?")))</f>
        <v>0.0</v>
      </c>
      <c r="G134" s="10">
        <f>IF($C134=0,"",COUNTIFS('DEF_SELF_SCOUT_IMPORT'!$L$42:$L$1040,"Y",'DEF_SELF_SCOUT_IMPORT'!$E$42:$E$1040,SUBSTITUTE(SUBSTITUTE(SUBSTITUTE($B134,"~","~~"),"*","~*"),"?","~?"),'DEF_SELF_SCOUT_IMPORT'!$Q$42:$Q$1040,SUBSTITUTE(SUBSTITUTE(SUBSTITUTE($M134,"~","~~"),"*","~*"),"?","~?"),'DEF_SELF_SCOUT_IMPORT'!$H$42:$H$1040,"RUSH")/$C134)</f>
        <v>0.0</v>
      </c>
      <c r="H134" s="10">
        <f>IF($C134=0,"",COUNTIFS('DEF_SELF_SCOUT_IMPORT'!$L$42:$L$1040,"Y",'DEF_SELF_SCOUT_IMPORT'!$E$42:$E$1040,SUBSTITUTE(SUBSTITUTE(SUBSTITUTE($B134,"~","~~"),"*","~*"),"?","~?"),'DEF_SELF_SCOUT_IMPORT'!$Q$42:$Q$1040,SUBSTITUTE(SUBSTITUTE(SUBSTITUTE($M134,"~","~~"),"*","~*"),"?","~?"),'DEF_SELF_SCOUT_IMPORT'!$H$42:$H$1040,"DROPBACK")/$C134)</f>
        <v>1.0</v>
      </c>
      <c r="I134" s="14" t="str">
        <f>IF(C134=0,"",IF(C134&lt;=2,"TRACK",IF(C134=3,"LOW",IF(C134&lt;=6,"MEDIUM","HIGH"))))</f>
        <v>TRACK</v>
      </c>
      <c r="J134" s="11">
        <f>IF(C134=0,"",ROUND(D134*70+(1-E134)*20+MAX(0,MIN(1,(10-F134)/10))*10,1))</f>
        <v>100.0</v>
      </c>
      <c r="K134" s="14" t="str">
        <f>IF(C134=0,"No Evidence",IF(C134&lt;=2,IF(E134&gt;0,"Explosive Alert","Track Only"),IF(C134=3,"Sample Watch",IF(E134&gt;=START_HERE!$B$31,"Explosive Alert",IF(J134&gt;=80,"Strong Candidate",IF(J134&gt;=65,"Good Candidate",IF(J134&gt;=50,"Mixed / Review","Problem Call")))))))</f>
        <v>Track Only</v>
      </c>
      <c r="L134" s="9" t="str">
        <f>IF(COUNTIFS('DEF_SELF_SCOUT_IMPORT'!$L$42:$L$1040,"Y",'DEF_SELF_SCOUT_IMPORT'!$E$42:$E$1040,SUBSTITUTE(SUBSTITUTE(SUBSTITUTE($B134,"~","~~"),"*","~*"),"?","~?"),'DEF_SELF_SCOUT_IMPORT'!$Q$42:$Q$1040,SUBSTITUTE(SUBSTITUTE(SUBSTITUTE($M134,"~","~~"),"*","~*"),"?","~?"),'DEF_SELF_SCOUT_IMPORT'!$J$42:$J$1040,"")&gt;0,"Unscored clean outcome; review result tags before using score.",IF(C134=0,"No matching defensive reps; film confirmation needed.",IF(K134="Explosive Alert","Explosive risk; review clips before using as answer.",IF(C134&lt;=2,"Track only; not enough sample.",IF(C134=3,IF(E134&gt;0,"Sample watch with explosive exposure; review clips and build the sample.",IF(J134&gt;=65,"Good signal, but sample is limited.","Sample watch; review clips and build the sample.")),IF(K134="Problem Call","Problem area; practice or call-sheet review.",IF(K134="Strong Candidate","Strong call-fit candidate; confirm on film.",IF(K134="Good Candidate","Good call-fit signal; confirm on film.","Mixed signal; review fit and execution on film."))))))))</f>
        <v>Track only; not enough sample.</v>
      </c>
      <c r="M134" s="8" t="s">
        <v>103</v>
      </c>
      <c r="N134" s="8"/>
      <c r="O134" s="8"/>
      <c r="P134" s="8"/>
      <c r="Q134" s="8"/>
      <c r="R134" s="8" t="s">
        <v>28</v>
      </c>
      <c r="S134" s="2" t="s">
        <v>104</v>
      </c>
      <c r="T134" s="2">
        <f>IF(C134=0,0,IF(C134&gt;=CALL_LOOKUP_BOARD!$B$7,IF(OR(K134="Problem Call",K134="Explosive Alert"),10000000,20000000),0)+IF(C134&gt;=CALL_LOOKUP_BOARD!$B$7,J134*1000+MIN(C134,999),C134*1000+J134)+0.00987500)</f>
        <v>1100.009875</v>
      </c>
      <c r="U134" s="2">
        <f>IF(C134=0,"",IF(COUNTIFS($S$10:$S$178,SUBSTITUTE(SUBSTITUTE(SUBSTITUTE(S134,"~","~~"),"*","~*"),"?","~?"),$T$10:$T$178,"&gt;"&amp;T134)=0,S134,""))</f>
        <v/>
      </c>
    </row>
    <row r="135" spans="1:21" ht="38" customHeight="1">
      <c r="A135" s="8" t="s">
        <v>103</v>
      </c>
      <c r="B135" s="8" t="s">
        <v>61</v>
      </c>
      <c r="C135" s="12">
        <f>COUNTIFS('DEF_SELF_SCOUT_IMPORT'!$L$42:$L$1040,"Y",'DEF_SELF_SCOUT_IMPORT'!$E$42:$E$1040,SUBSTITUTE(SUBSTITUTE(SUBSTITUTE($B135,"~","~~"),"*","~*"),"?","~?"),'DEF_SELF_SCOUT_IMPORT'!$Q$42:$Q$1040,SUBSTITUTE(SUBSTITUTE(SUBSTITUTE($M135,"~","~~"),"*","~*"),"?","~?"))</f>
        <v>1</v>
      </c>
      <c r="D135" s="10">
        <f>IF($C135=0,"",SUMIFS('DEF_SELF_SCOUT_IMPORT'!$J$42:$J$1040,'DEF_SELF_SCOUT_IMPORT'!$L$42:$L$1040,"Y",'DEF_SELF_SCOUT_IMPORT'!$E$42:$E$1040,SUBSTITUTE(SUBSTITUTE(SUBSTITUTE($B135,"~","~~"),"*","~*"),"?","~?"),'DEF_SELF_SCOUT_IMPORT'!$Q$42:$Q$1040,SUBSTITUTE(SUBSTITUTE(SUBSTITUTE($M135,"~","~~"),"*","~*"),"?","~?"))/$C135)</f>
        <v>0.0</v>
      </c>
      <c r="E135" s="10">
        <f>IF($C135=0,"",SUMIFS('DEF_SELF_SCOUT_IMPORT'!$K$42:$K$1040,'DEF_SELF_SCOUT_IMPORT'!$L$42:$L$1040,"Y",'DEF_SELF_SCOUT_IMPORT'!$E$42:$E$1040,SUBSTITUTE(SUBSTITUTE(SUBSTITUTE($B135,"~","~~"),"*","~*"),"?","~?"),'DEF_SELF_SCOUT_IMPORT'!$Q$42:$Q$1040,SUBSTITUTE(SUBSTITUTE(SUBSTITUTE($M135,"~","~~"),"*","~*"),"?","~?"))/$C135)</f>
        <v>1.0</v>
      </c>
      <c r="F135" s="11">
        <f>IF($C135=0,"",AVERAGEIFS('DEF_SELF_SCOUT_IMPORT'!$I$42:$I$1040,'DEF_SELF_SCOUT_IMPORT'!$L$42:$L$1040,"Y",'DEF_SELF_SCOUT_IMPORT'!$E$42:$E$1040,SUBSTITUTE(SUBSTITUTE(SUBSTITUTE($B135,"~","~~"),"*","~*"),"?","~?"),'DEF_SELF_SCOUT_IMPORT'!$Q$42:$Q$1040,SUBSTITUTE(SUBSTITUTE(SUBSTITUTE($M135,"~","~~"),"*","~*"),"?","~?")))</f>
        <v>21.0</v>
      </c>
      <c r="G135" s="10">
        <f>IF($C135=0,"",COUNTIFS('DEF_SELF_SCOUT_IMPORT'!$L$42:$L$1040,"Y",'DEF_SELF_SCOUT_IMPORT'!$E$42:$E$1040,SUBSTITUTE(SUBSTITUTE(SUBSTITUTE($B135,"~","~~"),"*","~*"),"?","~?"),'DEF_SELF_SCOUT_IMPORT'!$Q$42:$Q$1040,SUBSTITUTE(SUBSTITUTE(SUBSTITUTE($M135,"~","~~"),"*","~*"),"?","~?"),'DEF_SELF_SCOUT_IMPORT'!$H$42:$H$1040,"RUSH")/$C135)</f>
        <v>0.0</v>
      </c>
      <c r="H135" s="10">
        <f>IF($C135=0,"",COUNTIFS('DEF_SELF_SCOUT_IMPORT'!$L$42:$L$1040,"Y",'DEF_SELF_SCOUT_IMPORT'!$E$42:$E$1040,SUBSTITUTE(SUBSTITUTE(SUBSTITUTE($B135,"~","~~"),"*","~*"),"?","~?"),'DEF_SELF_SCOUT_IMPORT'!$Q$42:$Q$1040,SUBSTITUTE(SUBSTITUTE(SUBSTITUTE($M135,"~","~~"),"*","~*"),"?","~?"),'DEF_SELF_SCOUT_IMPORT'!$H$42:$H$1040,"DROPBACK")/$C135)</f>
        <v>1.0</v>
      </c>
      <c r="I135" s="14" t="str">
        <f>IF(C135=0,"",IF(C135&lt;=2,"TRACK",IF(C135=3,"LOW",IF(C135&lt;=6,"MEDIUM","HIGH"))))</f>
        <v>TRACK</v>
      </c>
      <c r="J135" s="11">
        <f>IF(C135=0,"",ROUND(D135*70+(1-E135)*20+MAX(0,MIN(1,(10-F135)/10))*10,1))</f>
        <v>0.0</v>
      </c>
      <c r="K135" s="14" t="str">
        <f>IF(C135=0,"No Evidence",IF(C135&lt;=2,IF(E135&gt;0,"Explosive Alert","Track Only"),IF(C135=3,"Sample Watch",IF(E135&gt;=START_HERE!$B$31,"Explosive Alert",IF(J135&gt;=80,"Strong Candidate",IF(J135&gt;=65,"Good Candidate",IF(J135&gt;=50,"Mixed / Review","Problem Call")))))))</f>
        <v>Explosive Alert</v>
      </c>
      <c r="L135" s="9" t="str">
        <f>IF(COUNTIFS('DEF_SELF_SCOUT_IMPORT'!$L$42:$L$1040,"Y",'DEF_SELF_SCOUT_IMPORT'!$E$42:$E$1040,SUBSTITUTE(SUBSTITUTE(SUBSTITUTE($B135,"~","~~"),"*","~*"),"?","~?"),'DEF_SELF_SCOUT_IMPORT'!$Q$42:$Q$1040,SUBSTITUTE(SUBSTITUTE(SUBSTITUTE($M135,"~","~~"),"*","~*"),"?","~?"),'DEF_SELF_SCOUT_IMPORT'!$J$42:$J$1040,"")&gt;0,"Unscored clean outcome; review result tags before using score.",IF(C135=0,"No matching defensive reps; film confirmation needed.",IF(K135="Explosive Alert","Explosive risk; review clips before using as answer.",IF(C135&lt;=2,"Track only; not enough sample.",IF(C135=3,IF(E135&gt;0,"Sample watch with explosive exposure; review clips and build the sample.",IF(J135&gt;=65,"Good signal, but sample is limited.","Sample watch; review clips and build the sample.")),IF(K135="Problem Call","Problem area; practice or call-sheet review.",IF(K135="Strong Candidate","Strong call-fit candidate; confirm on film.",IF(K135="Good Candidate","Good call-fit signal; confirm on film.","Mixed signal; review fit and execution on film."))))))))</f>
        <v>Explosive risk; review clips before using as answer.</v>
      </c>
      <c r="M135" s="8" t="s">
        <v>103</v>
      </c>
      <c r="N135" s="8"/>
      <c r="O135" s="8"/>
      <c r="P135" s="8"/>
      <c r="Q135" s="8"/>
      <c r="R135" s="8" t="s">
        <v>28</v>
      </c>
      <c r="S135" s="2" t="s">
        <v>104</v>
      </c>
      <c r="T135" s="2">
        <f>IF(C135=0,0,IF(C135&gt;=CALL_LOOKUP_BOARD!$B$7,IF(OR(K135="Problem Call",K135="Explosive Alert"),10000000,20000000),0)+IF(C135&gt;=CALL_LOOKUP_BOARD!$B$7,J135*1000+MIN(C135,999),C135*1000+J135)+0.00987400)</f>
        <v>1000.009874</v>
      </c>
      <c r="U135" s="2">
        <f>IF(C135=0,"",IF(COUNTIFS($S$10:$S$178,SUBSTITUTE(SUBSTITUTE(SUBSTITUTE(S135,"~","~~"),"*","~*"),"?","~?"),$T$10:$T$178,"&gt;"&amp;T135)=0,S135,""))</f>
        <v/>
      </c>
    </row>
    <row r="136" spans="1:21" ht="38" customHeight="1">
      <c r="A136" s="8" t="s">
        <v>103</v>
      </c>
      <c r="B136" s="8" t="s">
        <v>106</v>
      </c>
      <c r="C136" s="12">
        <f>COUNTIFS('DEF_SELF_SCOUT_IMPORT'!$L$42:$L$1040,"Y",'DEF_SELF_SCOUT_IMPORT'!$E$42:$E$1040,SUBSTITUTE(SUBSTITUTE(SUBSTITUTE($B136,"~","~~"),"*","~*"),"?","~?"),'DEF_SELF_SCOUT_IMPORT'!$Q$42:$Q$1040,SUBSTITUTE(SUBSTITUTE(SUBSTITUTE($M136,"~","~~"),"*","~*"),"?","~?"))</f>
        <v>1</v>
      </c>
      <c r="D136" s="10">
        <f>IF($C136=0,"",SUMIFS('DEF_SELF_SCOUT_IMPORT'!$J$42:$J$1040,'DEF_SELF_SCOUT_IMPORT'!$L$42:$L$1040,"Y",'DEF_SELF_SCOUT_IMPORT'!$E$42:$E$1040,SUBSTITUTE(SUBSTITUTE(SUBSTITUTE($B136,"~","~~"),"*","~*"),"?","~?"),'DEF_SELF_SCOUT_IMPORT'!$Q$42:$Q$1040,SUBSTITUTE(SUBSTITUTE(SUBSTITUTE($M136,"~","~~"),"*","~*"),"?","~?"))/$C136)</f>
        <v>0.0</v>
      </c>
      <c r="E136" s="10">
        <f>IF($C136=0,"",SUMIFS('DEF_SELF_SCOUT_IMPORT'!$K$42:$K$1040,'DEF_SELF_SCOUT_IMPORT'!$L$42:$L$1040,"Y",'DEF_SELF_SCOUT_IMPORT'!$E$42:$E$1040,SUBSTITUTE(SUBSTITUTE(SUBSTITUTE($B136,"~","~~"),"*","~*"),"?","~?"),'DEF_SELF_SCOUT_IMPORT'!$Q$42:$Q$1040,SUBSTITUTE(SUBSTITUTE(SUBSTITUTE($M136,"~","~~"),"*","~*"),"?","~?"))/$C136)</f>
        <v>1.0</v>
      </c>
      <c r="F136" s="11">
        <f>IF($C136=0,"",AVERAGEIFS('DEF_SELF_SCOUT_IMPORT'!$I$42:$I$1040,'DEF_SELF_SCOUT_IMPORT'!$L$42:$L$1040,"Y",'DEF_SELF_SCOUT_IMPORT'!$E$42:$E$1040,SUBSTITUTE(SUBSTITUTE(SUBSTITUTE($B136,"~","~~"),"*","~*"),"?","~?"),'DEF_SELF_SCOUT_IMPORT'!$Q$42:$Q$1040,SUBSTITUTE(SUBSTITUTE(SUBSTITUTE($M136,"~","~~"),"*","~*"),"?","~?")))</f>
        <v>22.0</v>
      </c>
      <c r="G136" s="10">
        <f>IF($C136=0,"",COUNTIFS('DEF_SELF_SCOUT_IMPORT'!$L$42:$L$1040,"Y",'DEF_SELF_SCOUT_IMPORT'!$E$42:$E$1040,SUBSTITUTE(SUBSTITUTE(SUBSTITUTE($B136,"~","~~"),"*","~*"),"?","~?"),'DEF_SELF_SCOUT_IMPORT'!$Q$42:$Q$1040,SUBSTITUTE(SUBSTITUTE(SUBSTITUTE($M136,"~","~~"),"*","~*"),"?","~?"),'DEF_SELF_SCOUT_IMPORT'!$H$42:$H$1040,"RUSH")/$C136)</f>
        <v>0.0</v>
      </c>
      <c r="H136" s="10">
        <f>IF($C136=0,"",COUNTIFS('DEF_SELF_SCOUT_IMPORT'!$L$42:$L$1040,"Y",'DEF_SELF_SCOUT_IMPORT'!$E$42:$E$1040,SUBSTITUTE(SUBSTITUTE(SUBSTITUTE($B136,"~","~~"),"*","~*"),"?","~?"),'DEF_SELF_SCOUT_IMPORT'!$Q$42:$Q$1040,SUBSTITUTE(SUBSTITUTE(SUBSTITUTE($M136,"~","~~"),"*","~*"),"?","~?"),'DEF_SELF_SCOUT_IMPORT'!$H$42:$H$1040,"DROPBACK")/$C136)</f>
        <v>1.0</v>
      </c>
      <c r="I136" s="14" t="str">
        <f>IF(C136=0,"",IF(C136&lt;=2,"TRACK",IF(C136=3,"LOW",IF(C136&lt;=6,"MEDIUM","HIGH"))))</f>
        <v>TRACK</v>
      </c>
      <c r="J136" s="11">
        <f>IF(C136=0,"",ROUND(D136*70+(1-E136)*20+MAX(0,MIN(1,(10-F136)/10))*10,1))</f>
        <v>0.0</v>
      </c>
      <c r="K136" s="14" t="str">
        <f>IF(C136=0,"No Evidence",IF(C136&lt;=2,IF(E136&gt;0,"Explosive Alert","Track Only"),IF(C136=3,"Sample Watch",IF(E136&gt;=START_HERE!$B$31,"Explosive Alert",IF(J136&gt;=80,"Strong Candidate",IF(J136&gt;=65,"Good Candidate",IF(J136&gt;=50,"Mixed / Review","Problem Call")))))))</f>
        <v>Explosive Alert</v>
      </c>
      <c r="L136" s="9" t="str">
        <f>IF(COUNTIFS('DEF_SELF_SCOUT_IMPORT'!$L$42:$L$1040,"Y",'DEF_SELF_SCOUT_IMPORT'!$E$42:$E$1040,SUBSTITUTE(SUBSTITUTE(SUBSTITUTE($B136,"~","~~"),"*","~*"),"?","~?"),'DEF_SELF_SCOUT_IMPORT'!$Q$42:$Q$1040,SUBSTITUTE(SUBSTITUTE(SUBSTITUTE($M136,"~","~~"),"*","~*"),"?","~?"),'DEF_SELF_SCOUT_IMPORT'!$J$42:$J$1040,"")&gt;0,"Unscored clean outcome; review result tags before using score.",IF(C136=0,"No matching defensive reps; film confirmation needed.",IF(K136="Explosive Alert","Explosive risk; review clips before using as answer.",IF(C136&lt;=2,"Track only; not enough sample.",IF(C136=3,IF(E136&gt;0,"Sample watch with explosive exposure; review clips and build the sample.",IF(J136&gt;=65,"Good signal, but sample is limited.","Sample watch; review clips and build the sample.")),IF(K136="Problem Call","Problem area; practice or call-sheet review.",IF(K136="Strong Candidate","Strong call-fit candidate; confirm on film.",IF(K136="Good Candidate","Good call-fit signal; confirm on film.","Mixed signal; review fit and execution on film."))))))))</f>
        <v>Explosive risk; review clips before using as answer.</v>
      </c>
      <c r="M136" s="8" t="s">
        <v>103</v>
      </c>
      <c r="N136" s="8"/>
      <c r="O136" s="8"/>
      <c r="P136" s="8"/>
      <c r="Q136" s="8"/>
      <c r="R136" s="8" t="s">
        <v>28</v>
      </c>
      <c r="S136" s="2" t="s">
        <v>104</v>
      </c>
      <c r="T136" s="2">
        <f>IF(C136=0,0,IF(C136&gt;=CALL_LOOKUP_BOARD!$B$7,IF(OR(K136="Problem Call",K136="Explosive Alert"),10000000,20000000),0)+IF(C136&gt;=CALL_LOOKUP_BOARD!$B$7,J136*1000+MIN(C136,999),C136*1000+J136)+0.00987300)</f>
        <v>1000.009873</v>
      </c>
      <c r="U136" s="2">
        <f>IF(C136=0,"",IF(COUNTIFS($S$10:$S$178,SUBSTITUTE(SUBSTITUTE(SUBSTITUTE(S136,"~","~~"),"*","~*"),"?","~?"),$T$10:$T$178,"&gt;"&amp;T136)=0,S136,""))</f>
        <v/>
      </c>
    </row>
    <row r="137" spans="1:21" ht="38" customHeight="1">
      <c r="A137" s="8" t="s">
        <v>103</v>
      </c>
      <c r="B137" s="8" t="s">
        <v>84</v>
      </c>
      <c r="C137" s="12">
        <f>COUNTIFS('DEF_SELF_SCOUT_IMPORT'!$L$42:$L$1040,"Y",'DEF_SELF_SCOUT_IMPORT'!$E$42:$E$1040,SUBSTITUTE(SUBSTITUTE(SUBSTITUTE($B137,"~","~~"),"*","~*"),"?","~?"),'DEF_SELF_SCOUT_IMPORT'!$Q$42:$Q$1040,SUBSTITUTE(SUBSTITUTE(SUBSTITUTE($M137,"~","~~"),"*","~*"),"?","~?"))</f>
        <v>1</v>
      </c>
      <c r="D137" s="10">
        <f>IF($C137=0,"",SUMIFS('DEF_SELF_SCOUT_IMPORT'!$J$42:$J$1040,'DEF_SELF_SCOUT_IMPORT'!$L$42:$L$1040,"Y",'DEF_SELF_SCOUT_IMPORT'!$E$42:$E$1040,SUBSTITUTE(SUBSTITUTE(SUBSTITUTE($B137,"~","~~"),"*","~*"),"?","~?"),'DEF_SELF_SCOUT_IMPORT'!$Q$42:$Q$1040,SUBSTITUTE(SUBSTITUTE(SUBSTITUTE($M137,"~","~~"),"*","~*"),"?","~?"))/$C137)</f>
        <v>1.0</v>
      </c>
      <c r="E137" s="10">
        <f>IF($C137=0,"",SUMIFS('DEF_SELF_SCOUT_IMPORT'!$K$42:$K$1040,'DEF_SELF_SCOUT_IMPORT'!$L$42:$L$1040,"Y",'DEF_SELF_SCOUT_IMPORT'!$E$42:$E$1040,SUBSTITUTE(SUBSTITUTE(SUBSTITUTE($B137,"~","~~"),"*","~*"),"?","~?"),'DEF_SELF_SCOUT_IMPORT'!$Q$42:$Q$1040,SUBSTITUTE(SUBSTITUTE(SUBSTITUTE($M137,"~","~~"),"*","~*"),"?","~?"))/$C137)</f>
        <v>0.0</v>
      </c>
      <c r="F137" s="11">
        <f>IF($C137=0,"",AVERAGEIFS('DEF_SELF_SCOUT_IMPORT'!$I$42:$I$1040,'DEF_SELF_SCOUT_IMPORT'!$L$42:$L$1040,"Y",'DEF_SELF_SCOUT_IMPORT'!$E$42:$E$1040,SUBSTITUTE(SUBSTITUTE(SUBSTITUTE($B137,"~","~~"),"*","~*"),"?","~?"),'DEF_SELF_SCOUT_IMPORT'!$Q$42:$Q$1040,SUBSTITUTE(SUBSTITUTE(SUBSTITUTE($M137,"~","~~"),"*","~*"),"?","~?")))</f>
        <v>0.0</v>
      </c>
      <c r="G137" s="10">
        <f>IF($C137=0,"",COUNTIFS('DEF_SELF_SCOUT_IMPORT'!$L$42:$L$1040,"Y",'DEF_SELF_SCOUT_IMPORT'!$E$42:$E$1040,SUBSTITUTE(SUBSTITUTE(SUBSTITUTE($B137,"~","~~"),"*","~*"),"?","~?"),'DEF_SELF_SCOUT_IMPORT'!$Q$42:$Q$1040,SUBSTITUTE(SUBSTITUTE(SUBSTITUTE($M137,"~","~~"),"*","~*"),"?","~?"),'DEF_SELF_SCOUT_IMPORT'!$H$42:$H$1040,"RUSH")/$C137)</f>
        <v>0.0</v>
      </c>
      <c r="H137" s="10">
        <f>IF($C137=0,"",COUNTIFS('DEF_SELF_SCOUT_IMPORT'!$L$42:$L$1040,"Y",'DEF_SELF_SCOUT_IMPORT'!$E$42:$E$1040,SUBSTITUTE(SUBSTITUTE(SUBSTITUTE($B137,"~","~~"),"*","~*"),"?","~?"),'DEF_SELF_SCOUT_IMPORT'!$Q$42:$Q$1040,SUBSTITUTE(SUBSTITUTE(SUBSTITUTE($M137,"~","~~"),"*","~*"),"?","~?"),'DEF_SELF_SCOUT_IMPORT'!$H$42:$H$1040,"DROPBACK")/$C137)</f>
        <v>1.0</v>
      </c>
      <c r="I137" s="14" t="str">
        <f>IF(C137=0,"",IF(C137&lt;=2,"TRACK",IF(C137=3,"LOW",IF(C137&lt;=6,"MEDIUM","HIGH"))))</f>
        <v>TRACK</v>
      </c>
      <c r="J137" s="11">
        <f>IF(C137=0,"",ROUND(D137*70+(1-E137)*20+MAX(0,MIN(1,(10-F137)/10))*10,1))</f>
        <v>100.0</v>
      </c>
      <c r="K137" s="14" t="str">
        <f>IF(C137=0,"No Evidence",IF(C137&lt;=2,IF(E137&gt;0,"Explosive Alert","Track Only"),IF(C137=3,"Sample Watch",IF(E137&gt;=START_HERE!$B$31,"Explosive Alert",IF(J137&gt;=80,"Strong Candidate",IF(J137&gt;=65,"Good Candidate",IF(J137&gt;=50,"Mixed / Review","Problem Call")))))))</f>
        <v>Track Only</v>
      </c>
      <c r="L137" s="9" t="str">
        <f>IF(COUNTIFS('DEF_SELF_SCOUT_IMPORT'!$L$42:$L$1040,"Y",'DEF_SELF_SCOUT_IMPORT'!$E$42:$E$1040,SUBSTITUTE(SUBSTITUTE(SUBSTITUTE($B137,"~","~~"),"*","~*"),"?","~?"),'DEF_SELF_SCOUT_IMPORT'!$Q$42:$Q$1040,SUBSTITUTE(SUBSTITUTE(SUBSTITUTE($M137,"~","~~"),"*","~*"),"?","~?"),'DEF_SELF_SCOUT_IMPORT'!$J$42:$J$1040,"")&gt;0,"Unscored clean outcome; review result tags before using score.",IF(C137=0,"No matching defensive reps; film confirmation needed.",IF(K137="Explosive Alert","Explosive risk; review clips before using as answer.",IF(C137&lt;=2,"Track only; not enough sample.",IF(C137=3,IF(E137&gt;0,"Sample watch with explosive exposure; review clips and build the sample.",IF(J137&gt;=65,"Good signal, but sample is limited.","Sample watch; review clips and build the sample.")),IF(K137="Problem Call","Problem area; practice or call-sheet review.",IF(K137="Strong Candidate","Strong call-fit candidate; confirm on film.",IF(K137="Good Candidate","Good call-fit signal; confirm on film.","Mixed signal; review fit and execution on film."))))))))</f>
        <v>Track only; not enough sample.</v>
      </c>
      <c r="M137" s="8" t="s">
        <v>103</v>
      </c>
      <c r="N137" s="8"/>
      <c r="O137" s="8"/>
      <c r="P137" s="8"/>
      <c r="Q137" s="8"/>
      <c r="R137" s="8" t="s">
        <v>28</v>
      </c>
      <c r="S137" s="2" t="s">
        <v>104</v>
      </c>
      <c r="T137" s="2">
        <f>IF(C137=0,0,IF(C137&gt;=CALL_LOOKUP_BOARD!$B$7,IF(OR(K137="Problem Call",K137="Explosive Alert"),10000000,20000000),0)+IF(C137&gt;=CALL_LOOKUP_BOARD!$B$7,J137*1000+MIN(C137,999),C137*1000+J137)+0.00987200)</f>
        <v>1100.009872</v>
      </c>
      <c r="U137" s="2">
        <f>IF(C137=0,"",IF(COUNTIFS($S$10:$S$178,SUBSTITUTE(SUBSTITUTE(SUBSTITUTE(S137,"~","~~"),"*","~*"),"?","~?"),$T$10:$T$178,"&gt;"&amp;T137)=0,S137,""))</f>
        <v/>
      </c>
    </row>
    <row r="138" spans="1:21" ht="38" customHeight="1">
      <c r="A138" s="8" t="s">
        <v>103</v>
      </c>
      <c r="B138" s="8" t="s">
        <v>102</v>
      </c>
      <c r="C138" s="12">
        <f>COUNTIFS('DEF_SELF_SCOUT_IMPORT'!$L$42:$L$1040,"Y",'DEF_SELF_SCOUT_IMPORT'!$E$42:$E$1040,SUBSTITUTE(SUBSTITUTE(SUBSTITUTE($B138,"~","~~"),"*","~*"),"?","~?"),'DEF_SELF_SCOUT_IMPORT'!$Q$42:$Q$1040,SUBSTITUTE(SUBSTITUTE(SUBSTITUTE($M138,"~","~~"),"*","~*"),"?","~?"))</f>
        <v>1</v>
      </c>
      <c r="D138" s="10">
        <f>IF($C138=0,"",SUMIFS('DEF_SELF_SCOUT_IMPORT'!$J$42:$J$1040,'DEF_SELF_SCOUT_IMPORT'!$L$42:$L$1040,"Y",'DEF_SELF_SCOUT_IMPORT'!$E$42:$E$1040,SUBSTITUTE(SUBSTITUTE(SUBSTITUTE($B138,"~","~~"),"*","~*"),"?","~?"),'DEF_SELF_SCOUT_IMPORT'!$Q$42:$Q$1040,SUBSTITUTE(SUBSTITUTE(SUBSTITUTE($M138,"~","~~"),"*","~*"),"?","~?"))/$C138)</f>
        <v>1.0</v>
      </c>
      <c r="E138" s="10">
        <f>IF($C138=0,"",SUMIFS('DEF_SELF_SCOUT_IMPORT'!$K$42:$K$1040,'DEF_SELF_SCOUT_IMPORT'!$L$42:$L$1040,"Y",'DEF_SELF_SCOUT_IMPORT'!$E$42:$E$1040,SUBSTITUTE(SUBSTITUTE(SUBSTITUTE($B138,"~","~~"),"*","~*"),"?","~?"),'DEF_SELF_SCOUT_IMPORT'!$Q$42:$Q$1040,SUBSTITUTE(SUBSTITUTE(SUBSTITUTE($M138,"~","~~"),"*","~*"),"?","~?"))/$C138)</f>
        <v>0.0</v>
      </c>
      <c r="F138" s="11">
        <f>IF($C138=0,"",AVERAGEIFS('DEF_SELF_SCOUT_IMPORT'!$I$42:$I$1040,'DEF_SELF_SCOUT_IMPORT'!$L$42:$L$1040,"Y",'DEF_SELF_SCOUT_IMPORT'!$E$42:$E$1040,SUBSTITUTE(SUBSTITUTE(SUBSTITUTE($B138,"~","~~"),"*","~*"),"?","~?"),'DEF_SELF_SCOUT_IMPORT'!$Q$42:$Q$1040,SUBSTITUTE(SUBSTITUTE(SUBSTITUTE($M138,"~","~~"),"*","~*"),"?","~?")))</f>
        <v>1.0</v>
      </c>
      <c r="G138" s="10">
        <f>IF($C138=0,"",COUNTIFS('DEF_SELF_SCOUT_IMPORT'!$L$42:$L$1040,"Y",'DEF_SELF_SCOUT_IMPORT'!$E$42:$E$1040,SUBSTITUTE(SUBSTITUTE(SUBSTITUTE($B138,"~","~~"),"*","~*"),"?","~?"),'DEF_SELF_SCOUT_IMPORT'!$Q$42:$Q$1040,SUBSTITUTE(SUBSTITUTE(SUBSTITUTE($M138,"~","~~"),"*","~*"),"?","~?"),'DEF_SELF_SCOUT_IMPORT'!$H$42:$H$1040,"RUSH")/$C138)</f>
        <v>0.0</v>
      </c>
      <c r="H138" s="10">
        <f>IF($C138=0,"",COUNTIFS('DEF_SELF_SCOUT_IMPORT'!$L$42:$L$1040,"Y",'DEF_SELF_SCOUT_IMPORT'!$E$42:$E$1040,SUBSTITUTE(SUBSTITUTE(SUBSTITUTE($B138,"~","~~"),"*","~*"),"?","~?"),'DEF_SELF_SCOUT_IMPORT'!$Q$42:$Q$1040,SUBSTITUTE(SUBSTITUTE(SUBSTITUTE($M138,"~","~~"),"*","~*"),"?","~?"),'DEF_SELF_SCOUT_IMPORT'!$H$42:$H$1040,"DROPBACK")/$C138)</f>
        <v>1.0</v>
      </c>
      <c r="I138" s="14" t="str">
        <f>IF(C138=0,"",IF(C138&lt;=2,"TRACK",IF(C138=3,"LOW",IF(C138&lt;=6,"MEDIUM","HIGH"))))</f>
        <v>TRACK</v>
      </c>
      <c r="J138" s="11">
        <f>IF(C138=0,"",ROUND(D138*70+(1-E138)*20+MAX(0,MIN(1,(10-F138)/10))*10,1))</f>
        <v>99.0</v>
      </c>
      <c r="K138" s="14" t="str">
        <f>IF(C138=0,"No Evidence",IF(C138&lt;=2,IF(E138&gt;0,"Explosive Alert","Track Only"),IF(C138=3,"Sample Watch",IF(E138&gt;=START_HERE!$B$31,"Explosive Alert",IF(J138&gt;=80,"Strong Candidate",IF(J138&gt;=65,"Good Candidate",IF(J138&gt;=50,"Mixed / Review","Problem Call")))))))</f>
        <v>Track Only</v>
      </c>
      <c r="L138" s="9" t="str">
        <f>IF(COUNTIFS('DEF_SELF_SCOUT_IMPORT'!$L$42:$L$1040,"Y",'DEF_SELF_SCOUT_IMPORT'!$E$42:$E$1040,SUBSTITUTE(SUBSTITUTE(SUBSTITUTE($B138,"~","~~"),"*","~*"),"?","~?"),'DEF_SELF_SCOUT_IMPORT'!$Q$42:$Q$1040,SUBSTITUTE(SUBSTITUTE(SUBSTITUTE($M138,"~","~~"),"*","~*"),"?","~?"),'DEF_SELF_SCOUT_IMPORT'!$J$42:$J$1040,"")&gt;0,"Unscored clean outcome; review result tags before using score.",IF(C138=0,"No matching defensive reps; film confirmation needed.",IF(K138="Explosive Alert","Explosive risk; review clips before using as answer.",IF(C138&lt;=2,"Track only; not enough sample.",IF(C138=3,IF(E138&gt;0,"Sample watch with explosive exposure; review clips and build the sample.",IF(J138&gt;=65,"Good signal, but sample is limited.","Sample watch; review clips and build the sample.")),IF(K138="Problem Call","Problem area; practice or call-sheet review.",IF(K138="Strong Candidate","Strong call-fit candidate; confirm on film.",IF(K138="Good Candidate","Good call-fit signal; confirm on film.","Mixed signal; review fit and execution on film."))))))))</f>
        <v>Track only; not enough sample.</v>
      </c>
      <c r="M138" s="8" t="s">
        <v>103</v>
      </c>
      <c r="N138" s="8"/>
      <c r="O138" s="8"/>
      <c r="P138" s="8"/>
      <c r="Q138" s="8"/>
      <c r="R138" s="8" t="s">
        <v>28</v>
      </c>
      <c r="S138" s="2" t="s">
        <v>104</v>
      </c>
      <c r="T138" s="2">
        <f>IF(C138=0,0,IF(C138&gt;=CALL_LOOKUP_BOARD!$B$7,IF(OR(K138="Problem Call",K138="Explosive Alert"),10000000,20000000),0)+IF(C138&gt;=CALL_LOOKUP_BOARD!$B$7,J138*1000+MIN(C138,999),C138*1000+J138)+0.00987100)</f>
        <v>1099.009871</v>
      </c>
      <c r="U138" s="2">
        <f>IF(C138=0,"",IF(COUNTIFS($S$10:$S$178,SUBSTITUTE(SUBSTITUTE(SUBSTITUTE(S138,"~","~~"),"*","~*"),"?","~?"),$T$10:$T$178,"&gt;"&amp;T138)=0,S138,""))</f>
        <v/>
      </c>
    </row>
    <row r="139" spans="1:21" ht="38" customHeight="1">
      <c r="A139" s="8" t="s">
        <v>103</v>
      </c>
      <c r="B139" s="8" t="s">
        <v>65</v>
      </c>
      <c r="C139" s="12">
        <f>COUNTIFS('DEF_SELF_SCOUT_IMPORT'!$L$42:$L$1040,"Y",'DEF_SELF_SCOUT_IMPORT'!$E$42:$E$1040,SUBSTITUTE(SUBSTITUTE(SUBSTITUTE($B139,"~","~~"),"*","~*"),"?","~?"),'DEF_SELF_SCOUT_IMPORT'!$Q$42:$Q$1040,SUBSTITUTE(SUBSTITUTE(SUBSTITUTE($M139,"~","~~"),"*","~*"),"?","~?"))</f>
        <v>1</v>
      </c>
      <c r="D139" s="10">
        <f>IF($C139=0,"",SUMIFS('DEF_SELF_SCOUT_IMPORT'!$J$42:$J$1040,'DEF_SELF_SCOUT_IMPORT'!$L$42:$L$1040,"Y",'DEF_SELF_SCOUT_IMPORT'!$E$42:$E$1040,SUBSTITUTE(SUBSTITUTE(SUBSTITUTE($B139,"~","~~"),"*","~*"),"?","~?"),'DEF_SELF_SCOUT_IMPORT'!$Q$42:$Q$1040,SUBSTITUTE(SUBSTITUTE(SUBSTITUTE($M139,"~","~~"),"*","~*"),"?","~?"))/$C139)</f>
        <v>0.0</v>
      </c>
      <c r="E139" s="10">
        <f>IF($C139=0,"",SUMIFS('DEF_SELF_SCOUT_IMPORT'!$K$42:$K$1040,'DEF_SELF_SCOUT_IMPORT'!$L$42:$L$1040,"Y",'DEF_SELF_SCOUT_IMPORT'!$E$42:$E$1040,SUBSTITUTE(SUBSTITUTE(SUBSTITUTE($B139,"~","~~"),"*","~*"),"?","~?"),'DEF_SELF_SCOUT_IMPORT'!$Q$42:$Q$1040,SUBSTITUTE(SUBSTITUTE(SUBSTITUTE($M139,"~","~~"),"*","~*"),"?","~?"))/$C139)</f>
        <v>0.0</v>
      </c>
      <c r="F139" s="11">
        <f>IF($C139=0,"",AVERAGEIFS('DEF_SELF_SCOUT_IMPORT'!$I$42:$I$1040,'DEF_SELF_SCOUT_IMPORT'!$L$42:$L$1040,"Y",'DEF_SELF_SCOUT_IMPORT'!$E$42:$E$1040,SUBSTITUTE(SUBSTITUTE(SUBSTITUTE($B139,"~","~~"),"*","~*"),"?","~?"),'DEF_SELF_SCOUT_IMPORT'!$Q$42:$Q$1040,SUBSTITUTE(SUBSTITUTE(SUBSTITUTE($M139,"~","~~"),"*","~*"),"?","~?")))</f>
        <v>5.0</v>
      </c>
      <c r="G139" s="10">
        <f>IF($C139=0,"",COUNTIFS('DEF_SELF_SCOUT_IMPORT'!$L$42:$L$1040,"Y",'DEF_SELF_SCOUT_IMPORT'!$E$42:$E$1040,SUBSTITUTE(SUBSTITUTE(SUBSTITUTE($B139,"~","~~"),"*","~*"),"?","~?"),'DEF_SELF_SCOUT_IMPORT'!$Q$42:$Q$1040,SUBSTITUTE(SUBSTITUTE(SUBSTITUTE($M139,"~","~~"),"*","~*"),"?","~?"),'DEF_SELF_SCOUT_IMPORT'!$H$42:$H$1040,"RUSH")/$C139)</f>
        <v>0.0</v>
      </c>
      <c r="H139" s="10">
        <f>IF($C139=0,"",COUNTIFS('DEF_SELF_SCOUT_IMPORT'!$L$42:$L$1040,"Y",'DEF_SELF_SCOUT_IMPORT'!$E$42:$E$1040,SUBSTITUTE(SUBSTITUTE(SUBSTITUTE($B139,"~","~~"),"*","~*"),"?","~?"),'DEF_SELF_SCOUT_IMPORT'!$Q$42:$Q$1040,SUBSTITUTE(SUBSTITUTE(SUBSTITUTE($M139,"~","~~"),"*","~*"),"?","~?"),'DEF_SELF_SCOUT_IMPORT'!$H$42:$H$1040,"DROPBACK")/$C139)</f>
        <v>1.0</v>
      </c>
      <c r="I139" s="14" t="str">
        <f>IF(C139=0,"",IF(C139&lt;=2,"TRACK",IF(C139=3,"LOW",IF(C139&lt;=6,"MEDIUM","HIGH"))))</f>
        <v>TRACK</v>
      </c>
      <c r="J139" s="11">
        <f>IF(C139=0,"",ROUND(D139*70+(1-E139)*20+MAX(0,MIN(1,(10-F139)/10))*10,1))</f>
        <v>25.0</v>
      </c>
      <c r="K139" s="14" t="str">
        <f>IF(C139=0,"No Evidence",IF(C139&lt;=2,IF(E139&gt;0,"Explosive Alert","Track Only"),IF(C139=3,"Sample Watch",IF(E139&gt;=START_HERE!$B$31,"Explosive Alert",IF(J139&gt;=80,"Strong Candidate",IF(J139&gt;=65,"Good Candidate",IF(J139&gt;=50,"Mixed / Review","Problem Call")))))))</f>
        <v>Track Only</v>
      </c>
      <c r="L139" s="9" t="str">
        <f>IF(COUNTIFS('DEF_SELF_SCOUT_IMPORT'!$L$42:$L$1040,"Y",'DEF_SELF_SCOUT_IMPORT'!$E$42:$E$1040,SUBSTITUTE(SUBSTITUTE(SUBSTITUTE($B139,"~","~~"),"*","~*"),"?","~?"),'DEF_SELF_SCOUT_IMPORT'!$Q$42:$Q$1040,SUBSTITUTE(SUBSTITUTE(SUBSTITUTE($M139,"~","~~"),"*","~*"),"?","~?"),'DEF_SELF_SCOUT_IMPORT'!$J$42:$J$1040,"")&gt;0,"Unscored clean outcome; review result tags before using score.",IF(C139=0,"No matching defensive reps; film confirmation needed.",IF(K139="Explosive Alert","Explosive risk; review clips before using as answer.",IF(C139&lt;=2,"Track only; not enough sample.",IF(C139=3,IF(E139&gt;0,"Sample watch with explosive exposure; review clips and build the sample.",IF(J139&gt;=65,"Good signal, but sample is limited.","Sample watch; review clips and build the sample.")),IF(K139="Problem Call","Problem area; practice or call-sheet review.",IF(K139="Strong Candidate","Strong call-fit candidate; confirm on film.",IF(K139="Good Candidate","Good call-fit signal; confirm on film.","Mixed signal; review fit and execution on film."))))))))</f>
        <v>Track only; not enough sample.</v>
      </c>
      <c r="M139" s="8" t="s">
        <v>103</v>
      </c>
      <c r="N139" s="8"/>
      <c r="O139" s="8"/>
      <c r="P139" s="8"/>
      <c r="Q139" s="8"/>
      <c r="R139" s="8" t="s">
        <v>28</v>
      </c>
      <c r="S139" s="2" t="s">
        <v>104</v>
      </c>
      <c r="T139" s="2">
        <f>IF(C139=0,0,IF(C139&gt;=CALL_LOOKUP_BOARD!$B$7,IF(OR(K139="Problem Call",K139="Explosive Alert"),10000000,20000000),0)+IF(C139&gt;=CALL_LOOKUP_BOARD!$B$7,J139*1000+MIN(C139,999),C139*1000+J139)+0.00987000)</f>
        <v>1025.00987</v>
      </c>
      <c r="U139" s="2">
        <f>IF(C139=0,"",IF(COUNTIFS($S$10:$S$178,SUBSTITUTE(SUBSTITUTE(SUBSTITUTE(S139,"~","~~"),"*","~*"),"?","~?"),$T$10:$T$178,"&gt;"&amp;T139)=0,S139,""))</f>
        <v/>
      </c>
    </row>
    <row r="140" spans="1:21" ht="38" customHeight="1">
      <c r="A140" s="8" t="s">
        <v>103</v>
      </c>
      <c r="B140" s="8" t="s">
        <v>66</v>
      </c>
      <c r="C140" s="12">
        <f>COUNTIFS('DEF_SELF_SCOUT_IMPORT'!$L$42:$L$1040,"Y",'DEF_SELF_SCOUT_IMPORT'!$E$42:$E$1040,SUBSTITUTE(SUBSTITUTE(SUBSTITUTE($B140,"~","~~"),"*","~*"),"?","~?"),'DEF_SELF_SCOUT_IMPORT'!$Q$42:$Q$1040,SUBSTITUTE(SUBSTITUTE(SUBSTITUTE($M140,"~","~~"),"*","~*"),"?","~?"))</f>
        <v>1</v>
      </c>
      <c r="D140" s="10">
        <f>IF($C140=0,"",SUMIFS('DEF_SELF_SCOUT_IMPORT'!$J$42:$J$1040,'DEF_SELF_SCOUT_IMPORT'!$L$42:$L$1040,"Y",'DEF_SELF_SCOUT_IMPORT'!$E$42:$E$1040,SUBSTITUTE(SUBSTITUTE(SUBSTITUTE($B140,"~","~~"),"*","~*"),"?","~?"),'DEF_SELF_SCOUT_IMPORT'!$Q$42:$Q$1040,SUBSTITUTE(SUBSTITUTE(SUBSTITUTE($M140,"~","~~"),"*","~*"),"?","~?"))/$C140)</f>
        <v>1.0</v>
      </c>
      <c r="E140" s="10">
        <f>IF($C140=0,"",SUMIFS('DEF_SELF_SCOUT_IMPORT'!$K$42:$K$1040,'DEF_SELF_SCOUT_IMPORT'!$L$42:$L$1040,"Y",'DEF_SELF_SCOUT_IMPORT'!$E$42:$E$1040,SUBSTITUTE(SUBSTITUTE(SUBSTITUTE($B140,"~","~~"),"*","~*"),"?","~?"),'DEF_SELF_SCOUT_IMPORT'!$Q$42:$Q$1040,SUBSTITUTE(SUBSTITUTE(SUBSTITUTE($M140,"~","~~"),"*","~*"),"?","~?"))/$C140)</f>
        <v>0.0</v>
      </c>
      <c r="F140" s="11">
        <f>IF($C140=0,"",AVERAGEIFS('DEF_SELF_SCOUT_IMPORT'!$I$42:$I$1040,'DEF_SELF_SCOUT_IMPORT'!$L$42:$L$1040,"Y",'DEF_SELF_SCOUT_IMPORT'!$E$42:$E$1040,SUBSTITUTE(SUBSTITUTE(SUBSTITUTE($B140,"~","~~"),"*","~*"),"?","~?"),'DEF_SELF_SCOUT_IMPORT'!$Q$42:$Q$1040,SUBSTITUTE(SUBSTITUTE(SUBSTITUTE($M140,"~","~~"),"*","~*"),"?","~?")))</f>
        <v>0.0</v>
      </c>
      <c r="G140" s="10">
        <f>IF($C140=0,"",COUNTIFS('DEF_SELF_SCOUT_IMPORT'!$L$42:$L$1040,"Y",'DEF_SELF_SCOUT_IMPORT'!$E$42:$E$1040,SUBSTITUTE(SUBSTITUTE(SUBSTITUTE($B140,"~","~~"),"*","~*"),"?","~?"),'DEF_SELF_SCOUT_IMPORT'!$Q$42:$Q$1040,SUBSTITUTE(SUBSTITUTE(SUBSTITUTE($M140,"~","~~"),"*","~*"),"?","~?"),'DEF_SELF_SCOUT_IMPORT'!$H$42:$H$1040,"RUSH")/$C140)</f>
        <v>1.0</v>
      </c>
      <c r="H140" s="10">
        <f>IF($C140=0,"",COUNTIFS('DEF_SELF_SCOUT_IMPORT'!$L$42:$L$1040,"Y",'DEF_SELF_SCOUT_IMPORT'!$E$42:$E$1040,SUBSTITUTE(SUBSTITUTE(SUBSTITUTE($B140,"~","~~"),"*","~*"),"?","~?"),'DEF_SELF_SCOUT_IMPORT'!$Q$42:$Q$1040,SUBSTITUTE(SUBSTITUTE(SUBSTITUTE($M140,"~","~~"),"*","~*"),"?","~?"),'DEF_SELF_SCOUT_IMPORT'!$H$42:$H$1040,"DROPBACK")/$C140)</f>
        <v>0.0</v>
      </c>
      <c r="I140" s="14" t="str">
        <f>IF(C140=0,"",IF(C140&lt;=2,"TRACK",IF(C140=3,"LOW",IF(C140&lt;=6,"MEDIUM","HIGH"))))</f>
        <v>TRACK</v>
      </c>
      <c r="J140" s="11">
        <f>IF(C140=0,"",ROUND(D140*70+(1-E140)*20+MAX(0,MIN(1,(10-F140)/10))*10,1))</f>
        <v>100.0</v>
      </c>
      <c r="K140" s="14" t="str">
        <f>IF(C140=0,"No Evidence",IF(C140&lt;=2,IF(E140&gt;0,"Explosive Alert","Track Only"),IF(C140=3,"Sample Watch",IF(E140&gt;=START_HERE!$B$31,"Explosive Alert",IF(J140&gt;=80,"Strong Candidate",IF(J140&gt;=65,"Good Candidate",IF(J140&gt;=50,"Mixed / Review","Problem Call")))))))</f>
        <v>Track Only</v>
      </c>
      <c r="L140" s="9" t="str">
        <f>IF(COUNTIFS('DEF_SELF_SCOUT_IMPORT'!$L$42:$L$1040,"Y",'DEF_SELF_SCOUT_IMPORT'!$E$42:$E$1040,SUBSTITUTE(SUBSTITUTE(SUBSTITUTE($B140,"~","~~"),"*","~*"),"?","~?"),'DEF_SELF_SCOUT_IMPORT'!$Q$42:$Q$1040,SUBSTITUTE(SUBSTITUTE(SUBSTITUTE($M140,"~","~~"),"*","~*"),"?","~?"),'DEF_SELF_SCOUT_IMPORT'!$J$42:$J$1040,"")&gt;0,"Unscored clean outcome; review result tags before using score.",IF(C140=0,"No matching defensive reps; film confirmation needed.",IF(K140="Explosive Alert","Explosive risk; review clips before using as answer.",IF(C140&lt;=2,"Track only; not enough sample.",IF(C140=3,IF(E140&gt;0,"Sample watch with explosive exposure; review clips and build the sample.",IF(J140&gt;=65,"Good signal, but sample is limited.","Sample watch; review clips and build the sample.")),IF(K140="Problem Call","Problem area; practice or call-sheet review.",IF(K140="Strong Candidate","Strong call-fit candidate; confirm on film.",IF(K140="Good Candidate","Good call-fit signal; confirm on film.","Mixed signal; review fit and execution on film."))))))))</f>
        <v>Track only; not enough sample.</v>
      </c>
      <c r="M140" s="8" t="s">
        <v>103</v>
      </c>
      <c r="N140" s="8"/>
      <c r="O140" s="8"/>
      <c r="P140" s="8"/>
      <c r="Q140" s="8"/>
      <c r="R140" s="8" t="s">
        <v>28</v>
      </c>
      <c r="S140" s="2" t="s">
        <v>104</v>
      </c>
      <c r="T140" s="2">
        <f>IF(C140=0,0,IF(C140&gt;=CALL_LOOKUP_BOARD!$B$7,IF(OR(K140="Problem Call",K140="Explosive Alert"),10000000,20000000),0)+IF(C140&gt;=CALL_LOOKUP_BOARD!$B$7,J140*1000+MIN(C140,999),C140*1000+J140)+0.00986900)</f>
        <v>1100.009869</v>
      </c>
      <c r="U140" s="2">
        <f>IF(C140=0,"",IF(COUNTIFS($S$10:$S$178,SUBSTITUTE(SUBSTITUTE(SUBSTITUTE(S140,"~","~~"),"*","~*"),"?","~?"),$T$10:$T$178,"&gt;"&amp;T140)=0,S140,""))</f>
        <v/>
      </c>
    </row>
    <row r="141" spans="1:21" ht="38" customHeight="1">
      <c r="A141" s="8" t="s">
        <v>103</v>
      </c>
      <c r="B141" s="8" t="s">
        <v>69</v>
      </c>
      <c r="C141" s="12">
        <f>COUNTIFS('DEF_SELF_SCOUT_IMPORT'!$L$42:$L$1040,"Y",'DEF_SELF_SCOUT_IMPORT'!$E$42:$E$1040,SUBSTITUTE(SUBSTITUTE(SUBSTITUTE($B141,"~","~~"),"*","~*"),"?","~?"),'DEF_SELF_SCOUT_IMPORT'!$Q$42:$Q$1040,SUBSTITUTE(SUBSTITUTE(SUBSTITUTE($M141,"~","~~"),"*","~*"),"?","~?"))</f>
        <v>1</v>
      </c>
      <c r="D141" s="10">
        <f>IF($C141=0,"",SUMIFS('DEF_SELF_SCOUT_IMPORT'!$J$42:$J$1040,'DEF_SELF_SCOUT_IMPORT'!$L$42:$L$1040,"Y",'DEF_SELF_SCOUT_IMPORT'!$E$42:$E$1040,SUBSTITUTE(SUBSTITUTE(SUBSTITUTE($B141,"~","~~"),"*","~*"),"?","~?"),'DEF_SELF_SCOUT_IMPORT'!$Q$42:$Q$1040,SUBSTITUTE(SUBSTITUTE(SUBSTITUTE($M141,"~","~~"),"*","~*"),"?","~?"))/$C141)</f>
        <v>0.0</v>
      </c>
      <c r="E141" s="10">
        <f>IF($C141=0,"",SUMIFS('DEF_SELF_SCOUT_IMPORT'!$K$42:$K$1040,'DEF_SELF_SCOUT_IMPORT'!$L$42:$L$1040,"Y",'DEF_SELF_SCOUT_IMPORT'!$E$42:$E$1040,SUBSTITUTE(SUBSTITUTE(SUBSTITUTE($B141,"~","~~"),"*","~*"),"?","~?"),'DEF_SELF_SCOUT_IMPORT'!$Q$42:$Q$1040,SUBSTITUTE(SUBSTITUTE(SUBSTITUTE($M141,"~","~~"),"*","~*"),"?","~?"))/$C141)</f>
        <v>1.0</v>
      </c>
      <c r="F141" s="11">
        <f>IF($C141=0,"",AVERAGEIFS('DEF_SELF_SCOUT_IMPORT'!$I$42:$I$1040,'DEF_SELF_SCOUT_IMPORT'!$L$42:$L$1040,"Y",'DEF_SELF_SCOUT_IMPORT'!$E$42:$E$1040,SUBSTITUTE(SUBSTITUTE(SUBSTITUTE($B141,"~","~~"),"*","~*"),"?","~?"),'DEF_SELF_SCOUT_IMPORT'!$Q$42:$Q$1040,SUBSTITUTE(SUBSTITUTE(SUBSTITUTE($M141,"~","~~"),"*","~*"),"?","~?")))</f>
        <v>19.0</v>
      </c>
      <c r="G141" s="10">
        <f>IF($C141=0,"",COUNTIFS('DEF_SELF_SCOUT_IMPORT'!$L$42:$L$1040,"Y",'DEF_SELF_SCOUT_IMPORT'!$E$42:$E$1040,SUBSTITUTE(SUBSTITUTE(SUBSTITUTE($B141,"~","~~"),"*","~*"),"?","~?"),'DEF_SELF_SCOUT_IMPORT'!$Q$42:$Q$1040,SUBSTITUTE(SUBSTITUTE(SUBSTITUTE($M141,"~","~~"),"*","~*"),"?","~?"),'DEF_SELF_SCOUT_IMPORT'!$H$42:$H$1040,"RUSH")/$C141)</f>
        <v>1.0</v>
      </c>
      <c r="H141" s="10">
        <f>IF($C141=0,"",COUNTIFS('DEF_SELF_SCOUT_IMPORT'!$L$42:$L$1040,"Y",'DEF_SELF_SCOUT_IMPORT'!$E$42:$E$1040,SUBSTITUTE(SUBSTITUTE(SUBSTITUTE($B141,"~","~~"),"*","~*"),"?","~?"),'DEF_SELF_SCOUT_IMPORT'!$Q$42:$Q$1040,SUBSTITUTE(SUBSTITUTE(SUBSTITUTE($M141,"~","~~"),"*","~*"),"?","~?"),'DEF_SELF_SCOUT_IMPORT'!$H$42:$H$1040,"DROPBACK")/$C141)</f>
        <v>0.0</v>
      </c>
      <c r="I141" s="14" t="str">
        <f>IF(C141=0,"",IF(C141&lt;=2,"TRACK",IF(C141=3,"LOW",IF(C141&lt;=6,"MEDIUM","HIGH"))))</f>
        <v>TRACK</v>
      </c>
      <c r="J141" s="11">
        <f>IF(C141=0,"",ROUND(D141*70+(1-E141)*20+MAX(0,MIN(1,(10-F141)/10))*10,1))</f>
        <v>0.0</v>
      </c>
      <c r="K141" s="14" t="str">
        <f>IF(C141=0,"No Evidence",IF(C141&lt;=2,IF(E141&gt;0,"Explosive Alert","Track Only"),IF(C141=3,"Sample Watch",IF(E141&gt;=START_HERE!$B$31,"Explosive Alert",IF(J141&gt;=80,"Strong Candidate",IF(J141&gt;=65,"Good Candidate",IF(J141&gt;=50,"Mixed / Review","Problem Call")))))))</f>
        <v>Explosive Alert</v>
      </c>
      <c r="L141" s="9" t="str">
        <f>IF(COUNTIFS('DEF_SELF_SCOUT_IMPORT'!$L$42:$L$1040,"Y",'DEF_SELF_SCOUT_IMPORT'!$E$42:$E$1040,SUBSTITUTE(SUBSTITUTE(SUBSTITUTE($B141,"~","~~"),"*","~*"),"?","~?"),'DEF_SELF_SCOUT_IMPORT'!$Q$42:$Q$1040,SUBSTITUTE(SUBSTITUTE(SUBSTITUTE($M141,"~","~~"),"*","~*"),"?","~?"),'DEF_SELF_SCOUT_IMPORT'!$J$42:$J$1040,"")&gt;0,"Unscored clean outcome; review result tags before using score.",IF(C141=0,"No matching defensive reps; film confirmation needed.",IF(K141="Explosive Alert","Explosive risk; review clips before using as answer.",IF(C141&lt;=2,"Track only; not enough sample.",IF(C141=3,IF(E141&gt;0,"Sample watch with explosive exposure; review clips and build the sample.",IF(J141&gt;=65,"Good signal, but sample is limited.","Sample watch; review clips and build the sample.")),IF(K141="Problem Call","Problem area; practice or call-sheet review.",IF(K141="Strong Candidate","Strong call-fit candidate; confirm on film.",IF(K141="Good Candidate","Good call-fit signal; confirm on film.","Mixed signal; review fit and execution on film."))))))))</f>
        <v>Explosive risk; review clips before using as answer.</v>
      </c>
      <c r="M141" s="8" t="s">
        <v>103</v>
      </c>
      <c r="N141" s="8"/>
      <c r="O141" s="8"/>
      <c r="P141" s="8"/>
      <c r="Q141" s="8"/>
      <c r="R141" s="8" t="s">
        <v>28</v>
      </c>
      <c r="S141" s="2" t="s">
        <v>104</v>
      </c>
      <c r="T141" s="2">
        <f>IF(C141=0,0,IF(C141&gt;=CALL_LOOKUP_BOARD!$B$7,IF(OR(K141="Problem Call",K141="Explosive Alert"),10000000,20000000),0)+IF(C141&gt;=CALL_LOOKUP_BOARD!$B$7,J141*1000+MIN(C141,999),C141*1000+J141)+0.00986800)</f>
        <v>1000.009868</v>
      </c>
      <c r="U141" s="2">
        <f>IF(C141=0,"",IF(COUNTIFS($S$10:$S$178,SUBSTITUTE(SUBSTITUTE(SUBSTITUTE(S141,"~","~~"),"*","~*"),"?","~?"),$T$10:$T$178,"&gt;"&amp;T141)=0,S141,""))</f>
        <v/>
      </c>
    </row>
    <row r="142" spans="1:21" ht="38" customHeight="1">
      <c r="A142" s="8" t="s">
        <v>107</v>
      </c>
      <c r="B142" s="8" t="s">
        <v>93</v>
      </c>
      <c r="C142" s="12">
        <f>COUNTIFS('DEF_SELF_SCOUT_IMPORT'!$L$42:$L$1040,"Y",'DEF_SELF_SCOUT_IMPORT'!$E$42:$E$1040,SUBSTITUTE(SUBSTITUTE(SUBSTITUTE($B142,"~","~~"),"*","~*"),"?","~?"),'DEF_SELF_SCOUT_IMPORT'!$Q$42:$Q$1040,SUBSTITUTE(SUBSTITUTE(SUBSTITUTE($M142,"~","~~"),"*","~*"),"?","~?"))</f>
        <v>1</v>
      </c>
      <c r="D142" s="10">
        <f>IF($C142=0,"",SUMIFS('DEF_SELF_SCOUT_IMPORT'!$J$42:$J$1040,'DEF_SELF_SCOUT_IMPORT'!$L$42:$L$1040,"Y",'DEF_SELF_SCOUT_IMPORT'!$E$42:$E$1040,SUBSTITUTE(SUBSTITUTE(SUBSTITUTE($B142,"~","~~"),"*","~*"),"?","~?"),'DEF_SELF_SCOUT_IMPORT'!$Q$42:$Q$1040,SUBSTITUTE(SUBSTITUTE(SUBSTITUTE($M142,"~","~~"),"*","~*"),"?","~?"))/$C142)</f>
        <v>0.0</v>
      </c>
      <c r="E142" s="10">
        <f>IF($C142=0,"",SUMIFS('DEF_SELF_SCOUT_IMPORT'!$K$42:$K$1040,'DEF_SELF_SCOUT_IMPORT'!$L$42:$L$1040,"Y",'DEF_SELF_SCOUT_IMPORT'!$E$42:$E$1040,SUBSTITUTE(SUBSTITUTE(SUBSTITUTE($B142,"~","~~"),"*","~*"),"?","~?"),'DEF_SELF_SCOUT_IMPORT'!$Q$42:$Q$1040,SUBSTITUTE(SUBSTITUTE(SUBSTITUTE($M142,"~","~~"),"*","~*"),"?","~?"))/$C142)</f>
        <v>1.0</v>
      </c>
      <c r="F142" s="11">
        <f>IF($C142=0,"",AVERAGEIFS('DEF_SELF_SCOUT_IMPORT'!$I$42:$I$1040,'DEF_SELF_SCOUT_IMPORT'!$L$42:$L$1040,"Y",'DEF_SELF_SCOUT_IMPORT'!$E$42:$E$1040,SUBSTITUTE(SUBSTITUTE(SUBSTITUTE($B142,"~","~~"),"*","~*"),"?","~?"),'DEF_SELF_SCOUT_IMPORT'!$Q$42:$Q$1040,SUBSTITUTE(SUBSTITUTE(SUBSTITUTE($M142,"~","~~"),"*","~*"),"?","~?")))</f>
        <v>21.0</v>
      </c>
      <c r="G142" s="10">
        <f>IF($C142=0,"",COUNTIFS('DEF_SELF_SCOUT_IMPORT'!$L$42:$L$1040,"Y",'DEF_SELF_SCOUT_IMPORT'!$E$42:$E$1040,SUBSTITUTE(SUBSTITUTE(SUBSTITUTE($B142,"~","~~"),"*","~*"),"?","~?"),'DEF_SELF_SCOUT_IMPORT'!$Q$42:$Q$1040,SUBSTITUTE(SUBSTITUTE(SUBSTITUTE($M142,"~","~~"),"*","~*"),"?","~?"),'DEF_SELF_SCOUT_IMPORT'!$H$42:$H$1040,"RUSH")/$C142)</f>
        <v>0.0</v>
      </c>
      <c r="H142" s="10">
        <f>IF($C142=0,"",COUNTIFS('DEF_SELF_SCOUT_IMPORT'!$L$42:$L$1040,"Y",'DEF_SELF_SCOUT_IMPORT'!$E$42:$E$1040,SUBSTITUTE(SUBSTITUTE(SUBSTITUTE($B142,"~","~~"),"*","~*"),"?","~?"),'DEF_SELF_SCOUT_IMPORT'!$Q$42:$Q$1040,SUBSTITUTE(SUBSTITUTE(SUBSTITUTE($M142,"~","~~"),"*","~*"),"?","~?"),'DEF_SELF_SCOUT_IMPORT'!$H$42:$H$1040,"DROPBACK")/$C142)</f>
        <v>1.0</v>
      </c>
      <c r="I142" s="14" t="str">
        <f>IF(C142=0,"",IF(C142&lt;=2,"TRACK",IF(C142=3,"LOW",IF(C142&lt;=6,"MEDIUM","HIGH"))))</f>
        <v>TRACK</v>
      </c>
      <c r="J142" s="11">
        <f>IF(C142=0,"",ROUND(D142*70+(1-E142)*20+MAX(0,MIN(1,(10-F142)/10))*10,1))</f>
        <v>0.0</v>
      </c>
      <c r="K142" s="14" t="str">
        <f>IF(C142=0,"No Evidence",IF(C142&lt;=2,IF(E142&gt;0,"Explosive Alert","Track Only"),IF(C142=3,"Sample Watch",IF(E142&gt;=START_HERE!$B$31,"Explosive Alert",IF(J142&gt;=80,"Strong Candidate",IF(J142&gt;=65,"Good Candidate",IF(J142&gt;=50,"Mixed / Review","Problem Call")))))))</f>
        <v>Explosive Alert</v>
      </c>
      <c r="L142" s="9" t="str">
        <f>IF(COUNTIFS('DEF_SELF_SCOUT_IMPORT'!$L$42:$L$1040,"Y",'DEF_SELF_SCOUT_IMPORT'!$E$42:$E$1040,SUBSTITUTE(SUBSTITUTE(SUBSTITUTE($B142,"~","~~"),"*","~*"),"?","~?"),'DEF_SELF_SCOUT_IMPORT'!$Q$42:$Q$1040,SUBSTITUTE(SUBSTITUTE(SUBSTITUTE($M142,"~","~~"),"*","~*"),"?","~?"),'DEF_SELF_SCOUT_IMPORT'!$J$42:$J$1040,"")&gt;0,"Unscored clean outcome; review result tags before using score.",IF(C142=0,"No matching defensive reps; film confirmation needed.",IF(K142="Explosive Alert","Explosive risk; review clips before using as answer.",IF(C142&lt;=2,"Track only; not enough sample.",IF(C142=3,IF(E142&gt;0,"Sample watch with explosive exposure; review clips and build the sample.",IF(J142&gt;=65,"Good signal, but sample is limited.","Sample watch; review clips and build the sample.")),IF(K142="Problem Call","Problem area; practice or call-sheet review.",IF(K142="Strong Candidate","Strong call-fit candidate; confirm on film.",IF(K142="Good Candidate","Good call-fit signal; confirm on film.","Mixed signal; review fit and execution on film."))))))))</f>
        <v>Explosive risk; review clips before using as answer.</v>
      </c>
      <c r="M142" s="8" t="s">
        <v>107</v>
      </c>
      <c r="N142" s="8"/>
      <c r="O142" s="8"/>
      <c r="P142" s="8"/>
      <c r="Q142" s="8"/>
      <c r="R142" s="8" t="s">
        <v>28</v>
      </c>
      <c r="S142" s="2" t="s">
        <v>108</v>
      </c>
      <c r="T142" s="2">
        <f>IF(C142=0,0,IF(C142&gt;=CALL_LOOKUP_BOARD!$B$7,IF(OR(K142="Problem Call",K142="Explosive Alert"),10000000,20000000),0)+IF(C142&gt;=CALL_LOOKUP_BOARD!$B$7,J142*1000+MIN(C142,999),C142*1000+J142)+0.00986700)</f>
        <v>1000.009867</v>
      </c>
      <c r="U142" s="2">
        <f>IF(C142=0,"",IF(COUNTIFS($S$10:$S$178,SUBSTITUTE(SUBSTITUTE(SUBSTITUTE(S142,"~","~~"),"*","~*"),"?","~?"),$T$10:$T$178,"&gt;"&amp;T142)=0,S142,""))</f>
        <v/>
      </c>
    </row>
    <row r="143" spans="1:21" ht="38" customHeight="1">
      <c r="A143" s="8" t="s">
        <v>107</v>
      </c>
      <c r="B143" s="8" t="s">
        <v>27</v>
      </c>
      <c r="C143" s="12">
        <f>COUNTIFS('DEF_SELF_SCOUT_IMPORT'!$L$42:$L$1040,"Y",'DEF_SELF_SCOUT_IMPORT'!$E$42:$E$1040,SUBSTITUTE(SUBSTITUTE(SUBSTITUTE($B143,"~","~~"),"*","~*"),"?","~?"),'DEF_SELF_SCOUT_IMPORT'!$Q$42:$Q$1040,SUBSTITUTE(SUBSTITUTE(SUBSTITUTE($M143,"~","~~"),"*","~*"),"?","~?"))</f>
        <v>1</v>
      </c>
      <c r="D143" s="10">
        <f>IF($C143=0,"",SUMIFS('DEF_SELF_SCOUT_IMPORT'!$J$42:$J$1040,'DEF_SELF_SCOUT_IMPORT'!$L$42:$L$1040,"Y",'DEF_SELF_SCOUT_IMPORT'!$E$42:$E$1040,SUBSTITUTE(SUBSTITUTE(SUBSTITUTE($B143,"~","~~"),"*","~*"),"?","~?"),'DEF_SELF_SCOUT_IMPORT'!$Q$42:$Q$1040,SUBSTITUTE(SUBSTITUTE(SUBSTITUTE($M143,"~","~~"),"*","~*"),"?","~?"))/$C143)</f>
        <v>1.0</v>
      </c>
      <c r="E143" s="10">
        <f>IF($C143=0,"",SUMIFS('DEF_SELF_SCOUT_IMPORT'!$K$42:$K$1040,'DEF_SELF_SCOUT_IMPORT'!$L$42:$L$1040,"Y",'DEF_SELF_SCOUT_IMPORT'!$E$42:$E$1040,SUBSTITUTE(SUBSTITUTE(SUBSTITUTE($B143,"~","~~"),"*","~*"),"?","~?"),'DEF_SELF_SCOUT_IMPORT'!$Q$42:$Q$1040,SUBSTITUTE(SUBSTITUTE(SUBSTITUTE($M143,"~","~~"),"*","~*"),"?","~?"))/$C143)</f>
        <v>0.0</v>
      </c>
      <c r="F143" s="11">
        <f>IF($C143=0,"",AVERAGEIFS('DEF_SELF_SCOUT_IMPORT'!$I$42:$I$1040,'DEF_SELF_SCOUT_IMPORT'!$L$42:$L$1040,"Y",'DEF_SELF_SCOUT_IMPORT'!$E$42:$E$1040,SUBSTITUTE(SUBSTITUTE(SUBSTITUTE($B143,"~","~~"),"*","~*"),"?","~?"),'DEF_SELF_SCOUT_IMPORT'!$Q$42:$Q$1040,SUBSTITUTE(SUBSTITUTE(SUBSTITUTE($M143,"~","~~"),"*","~*"),"?","~?")))</f>
        <v>1.0</v>
      </c>
      <c r="G143" s="10">
        <f>IF($C143=0,"",COUNTIFS('DEF_SELF_SCOUT_IMPORT'!$L$42:$L$1040,"Y",'DEF_SELF_SCOUT_IMPORT'!$E$42:$E$1040,SUBSTITUTE(SUBSTITUTE(SUBSTITUTE($B143,"~","~~"),"*","~*"),"?","~?"),'DEF_SELF_SCOUT_IMPORT'!$Q$42:$Q$1040,SUBSTITUTE(SUBSTITUTE(SUBSTITUTE($M143,"~","~~"),"*","~*"),"?","~?"),'DEF_SELF_SCOUT_IMPORT'!$H$42:$H$1040,"RUSH")/$C143)</f>
        <v>1.0</v>
      </c>
      <c r="H143" s="10">
        <f>IF($C143=0,"",COUNTIFS('DEF_SELF_SCOUT_IMPORT'!$L$42:$L$1040,"Y",'DEF_SELF_SCOUT_IMPORT'!$E$42:$E$1040,SUBSTITUTE(SUBSTITUTE(SUBSTITUTE($B143,"~","~~"),"*","~*"),"?","~?"),'DEF_SELF_SCOUT_IMPORT'!$Q$42:$Q$1040,SUBSTITUTE(SUBSTITUTE(SUBSTITUTE($M143,"~","~~"),"*","~*"),"?","~?"),'DEF_SELF_SCOUT_IMPORT'!$H$42:$H$1040,"DROPBACK")/$C143)</f>
        <v>0.0</v>
      </c>
      <c r="I143" s="14" t="str">
        <f>IF(C143=0,"",IF(C143&lt;=2,"TRACK",IF(C143=3,"LOW",IF(C143&lt;=6,"MEDIUM","HIGH"))))</f>
        <v>TRACK</v>
      </c>
      <c r="J143" s="11">
        <f>IF(C143=0,"",ROUND(D143*70+(1-E143)*20+MAX(0,MIN(1,(10-F143)/10))*10,1))</f>
        <v>99.0</v>
      </c>
      <c r="K143" s="14" t="str">
        <f>IF(C143=0,"No Evidence",IF(C143&lt;=2,IF(E143&gt;0,"Explosive Alert","Track Only"),IF(C143=3,"Sample Watch",IF(E143&gt;=START_HERE!$B$31,"Explosive Alert",IF(J143&gt;=80,"Strong Candidate",IF(J143&gt;=65,"Good Candidate",IF(J143&gt;=50,"Mixed / Review","Problem Call")))))))</f>
        <v>Track Only</v>
      </c>
      <c r="L143" s="9" t="str">
        <f>IF(COUNTIFS('DEF_SELF_SCOUT_IMPORT'!$L$42:$L$1040,"Y",'DEF_SELF_SCOUT_IMPORT'!$E$42:$E$1040,SUBSTITUTE(SUBSTITUTE(SUBSTITUTE($B143,"~","~~"),"*","~*"),"?","~?"),'DEF_SELF_SCOUT_IMPORT'!$Q$42:$Q$1040,SUBSTITUTE(SUBSTITUTE(SUBSTITUTE($M143,"~","~~"),"*","~*"),"?","~?"),'DEF_SELF_SCOUT_IMPORT'!$J$42:$J$1040,"")&gt;0,"Unscored clean outcome; review result tags before using score.",IF(C143=0,"No matching defensive reps; film confirmation needed.",IF(K143="Explosive Alert","Explosive risk; review clips before using as answer.",IF(C143&lt;=2,"Track only; not enough sample.",IF(C143=3,IF(E143&gt;0,"Sample watch with explosive exposure; review clips and build the sample.",IF(J143&gt;=65,"Good signal, but sample is limited.","Sample watch; review clips and build the sample.")),IF(K143="Problem Call","Problem area; practice or call-sheet review.",IF(K143="Strong Candidate","Strong call-fit candidate; confirm on film.",IF(K143="Good Candidate","Good call-fit signal; confirm on film.","Mixed signal; review fit and execution on film."))))))))</f>
        <v>Track only; not enough sample.</v>
      </c>
      <c r="M143" s="8" t="s">
        <v>107</v>
      </c>
      <c r="N143" s="8"/>
      <c r="O143" s="8"/>
      <c r="P143" s="8"/>
      <c r="Q143" s="8"/>
      <c r="R143" s="8" t="s">
        <v>28</v>
      </c>
      <c r="S143" s="2" t="s">
        <v>108</v>
      </c>
      <c r="T143" s="2">
        <f>IF(C143=0,0,IF(C143&gt;=CALL_LOOKUP_BOARD!$B$7,IF(OR(K143="Problem Call",K143="Explosive Alert"),10000000,20000000),0)+IF(C143&gt;=CALL_LOOKUP_BOARD!$B$7,J143*1000+MIN(C143,999),C143*1000+J143)+0.00986600)</f>
        <v>1099.009866</v>
      </c>
      <c r="U143" s="2">
        <f>IF(C143=0,"",IF(COUNTIFS($S$10:$S$178,SUBSTITUTE(SUBSTITUTE(SUBSTITUTE(S143,"~","~~"),"*","~*"),"?","~?"),$T$10:$T$178,"&gt;"&amp;T143)=0,S143,""))</f>
        <v/>
      </c>
    </row>
    <row r="144" spans="1:21" ht="38" customHeight="1">
      <c r="A144" s="8" t="s">
        <v>107</v>
      </c>
      <c r="B144" s="8" t="s">
        <v>42</v>
      </c>
      <c r="C144" s="12">
        <f>COUNTIFS('DEF_SELF_SCOUT_IMPORT'!$L$42:$L$1040,"Y",'DEF_SELF_SCOUT_IMPORT'!$E$42:$E$1040,SUBSTITUTE(SUBSTITUTE(SUBSTITUTE($B144,"~","~~"),"*","~*"),"?","~?"),'DEF_SELF_SCOUT_IMPORT'!$Q$42:$Q$1040,SUBSTITUTE(SUBSTITUTE(SUBSTITUTE($M144,"~","~~"),"*","~*"),"?","~?"))</f>
        <v>1</v>
      </c>
      <c r="D144" s="10">
        <f>IF($C144=0,"",SUMIFS('DEF_SELF_SCOUT_IMPORT'!$J$42:$J$1040,'DEF_SELF_SCOUT_IMPORT'!$L$42:$L$1040,"Y",'DEF_SELF_SCOUT_IMPORT'!$E$42:$E$1040,SUBSTITUTE(SUBSTITUTE(SUBSTITUTE($B144,"~","~~"),"*","~*"),"?","~?"),'DEF_SELF_SCOUT_IMPORT'!$Q$42:$Q$1040,SUBSTITUTE(SUBSTITUTE(SUBSTITUTE($M144,"~","~~"),"*","~*"),"?","~?"))/$C144)</f>
        <v>0.0</v>
      </c>
      <c r="E144" s="10">
        <f>IF($C144=0,"",SUMIFS('DEF_SELF_SCOUT_IMPORT'!$K$42:$K$1040,'DEF_SELF_SCOUT_IMPORT'!$L$42:$L$1040,"Y",'DEF_SELF_SCOUT_IMPORT'!$E$42:$E$1040,SUBSTITUTE(SUBSTITUTE(SUBSTITUTE($B144,"~","~~"),"*","~*"),"?","~?"),'DEF_SELF_SCOUT_IMPORT'!$Q$42:$Q$1040,SUBSTITUTE(SUBSTITUTE(SUBSTITUTE($M144,"~","~~"),"*","~*"),"?","~?"))/$C144)</f>
        <v>0.0</v>
      </c>
      <c r="F144" s="11">
        <f>IF($C144=0,"",AVERAGEIFS('DEF_SELF_SCOUT_IMPORT'!$I$42:$I$1040,'DEF_SELF_SCOUT_IMPORT'!$L$42:$L$1040,"Y",'DEF_SELF_SCOUT_IMPORT'!$E$42:$E$1040,SUBSTITUTE(SUBSTITUTE(SUBSTITUTE($B144,"~","~~"),"*","~*"),"?","~?"),'DEF_SELF_SCOUT_IMPORT'!$Q$42:$Q$1040,SUBSTITUTE(SUBSTITUTE(SUBSTITUTE($M144,"~","~~"),"*","~*"),"?","~?")))</f>
        <v>8.0</v>
      </c>
      <c r="G144" s="10">
        <f>IF($C144=0,"",COUNTIFS('DEF_SELF_SCOUT_IMPORT'!$L$42:$L$1040,"Y",'DEF_SELF_SCOUT_IMPORT'!$E$42:$E$1040,SUBSTITUTE(SUBSTITUTE(SUBSTITUTE($B144,"~","~~"),"*","~*"),"?","~?"),'DEF_SELF_SCOUT_IMPORT'!$Q$42:$Q$1040,SUBSTITUTE(SUBSTITUTE(SUBSTITUTE($M144,"~","~~"),"*","~*"),"?","~?"),'DEF_SELF_SCOUT_IMPORT'!$H$42:$H$1040,"RUSH")/$C144)</f>
        <v>0.0</v>
      </c>
      <c r="H144" s="10">
        <f>IF($C144=0,"",COUNTIFS('DEF_SELF_SCOUT_IMPORT'!$L$42:$L$1040,"Y",'DEF_SELF_SCOUT_IMPORT'!$E$42:$E$1040,SUBSTITUTE(SUBSTITUTE(SUBSTITUTE($B144,"~","~~"),"*","~*"),"?","~?"),'DEF_SELF_SCOUT_IMPORT'!$Q$42:$Q$1040,SUBSTITUTE(SUBSTITUTE(SUBSTITUTE($M144,"~","~~"),"*","~*"),"?","~?"),'DEF_SELF_SCOUT_IMPORT'!$H$42:$H$1040,"DROPBACK")/$C144)</f>
        <v>1.0</v>
      </c>
      <c r="I144" s="14" t="str">
        <f>IF(C144=0,"",IF(C144&lt;=2,"TRACK",IF(C144=3,"LOW",IF(C144&lt;=6,"MEDIUM","HIGH"))))</f>
        <v>TRACK</v>
      </c>
      <c r="J144" s="11">
        <f>IF(C144=0,"",ROUND(D144*70+(1-E144)*20+MAX(0,MIN(1,(10-F144)/10))*10,1))</f>
        <v>22.0</v>
      </c>
      <c r="K144" s="14" t="str">
        <f>IF(C144=0,"No Evidence",IF(C144&lt;=2,IF(E144&gt;0,"Explosive Alert","Track Only"),IF(C144=3,"Sample Watch",IF(E144&gt;=START_HERE!$B$31,"Explosive Alert",IF(J144&gt;=80,"Strong Candidate",IF(J144&gt;=65,"Good Candidate",IF(J144&gt;=50,"Mixed / Review","Problem Call")))))))</f>
        <v>Track Only</v>
      </c>
      <c r="L144" s="9" t="str">
        <f>IF(COUNTIFS('DEF_SELF_SCOUT_IMPORT'!$L$42:$L$1040,"Y",'DEF_SELF_SCOUT_IMPORT'!$E$42:$E$1040,SUBSTITUTE(SUBSTITUTE(SUBSTITUTE($B144,"~","~~"),"*","~*"),"?","~?"),'DEF_SELF_SCOUT_IMPORT'!$Q$42:$Q$1040,SUBSTITUTE(SUBSTITUTE(SUBSTITUTE($M144,"~","~~"),"*","~*"),"?","~?"),'DEF_SELF_SCOUT_IMPORT'!$J$42:$J$1040,"")&gt;0,"Unscored clean outcome; review result tags before using score.",IF(C144=0,"No matching defensive reps; film confirmation needed.",IF(K144="Explosive Alert","Explosive risk; review clips before using as answer.",IF(C144&lt;=2,"Track only; not enough sample.",IF(C144=3,IF(E144&gt;0,"Sample watch with explosive exposure; review clips and build the sample.",IF(J144&gt;=65,"Good signal, but sample is limited.","Sample watch; review clips and build the sample.")),IF(K144="Problem Call","Problem area; practice or call-sheet review.",IF(K144="Strong Candidate","Strong call-fit candidate; confirm on film.",IF(K144="Good Candidate","Good call-fit signal; confirm on film.","Mixed signal; review fit and execution on film."))))))))</f>
        <v>Track only; not enough sample.</v>
      </c>
      <c r="M144" s="8" t="s">
        <v>107</v>
      </c>
      <c r="N144" s="8"/>
      <c r="O144" s="8"/>
      <c r="P144" s="8"/>
      <c r="Q144" s="8"/>
      <c r="R144" s="8" t="s">
        <v>28</v>
      </c>
      <c r="S144" s="2" t="s">
        <v>108</v>
      </c>
      <c r="T144" s="2">
        <f>IF(C144=0,0,IF(C144&gt;=CALL_LOOKUP_BOARD!$B$7,IF(OR(K144="Problem Call",K144="Explosive Alert"),10000000,20000000),0)+IF(C144&gt;=CALL_LOOKUP_BOARD!$B$7,J144*1000+MIN(C144,999),C144*1000+J144)+0.00986500)</f>
        <v>1022.009865</v>
      </c>
      <c r="U144" s="2">
        <f>IF(C144=0,"",IF(COUNTIFS($S$10:$S$178,SUBSTITUTE(SUBSTITUTE(SUBSTITUTE(S144,"~","~~"),"*","~*"),"?","~?"),$T$10:$T$178,"&gt;"&amp;T144)=0,S144,""))</f>
        <v/>
      </c>
    </row>
    <row r="145" spans="1:21" ht="38" customHeight="1">
      <c r="A145" s="8" t="s">
        <v>107</v>
      </c>
      <c r="B145" s="8" t="s">
        <v>46</v>
      </c>
      <c r="C145" s="12">
        <f>COUNTIFS('DEF_SELF_SCOUT_IMPORT'!$L$42:$L$1040,"Y",'DEF_SELF_SCOUT_IMPORT'!$E$42:$E$1040,SUBSTITUTE(SUBSTITUTE(SUBSTITUTE($B145,"~","~~"),"*","~*"),"?","~?"),'DEF_SELF_SCOUT_IMPORT'!$Q$42:$Q$1040,SUBSTITUTE(SUBSTITUTE(SUBSTITUTE($M145,"~","~~"),"*","~*"),"?","~?"))</f>
        <v>1</v>
      </c>
      <c r="D145" s="10">
        <f>IF($C145=0,"",SUMIFS('DEF_SELF_SCOUT_IMPORT'!$J$42:$J$1040,'DEF_SELF_SCOUT_IMPORT'!$L$42:$L$1040,"Y",'DEF_SELF_SCOUT_IMPORT'!$E$42:$E$1040,SUBSTITUTE(SUBSTITUTE(SUBSTITUTE($B145,"~","~~"),"*","~*"),"?","~?"),'DEF_SELF_SCOUT_IMPORT'!$Q$42:$Q$1040,SUBSTITUTE(SUBSTITUTE(SUBSTITUTE($M145,"~","~~"),"*","~*"),"?","~?"))/$C145)</f>
        <v>0.0</v>
      </c>
      <c r="E145" s="10">
        <f>IF($C145=0,"",SUMIFS('DEF_SELF_SCOUT_IMPORT'!$K$42:$K$1040,'DEF_SELF_SCOUT_IMPORT'!$L$42:$L$1040,"Y",'DEF_SELF_SCOUT_IMPORT'!$E$42:$E$1040,SUBSTITUTE(SUBSTITUTE(SUBSTITUTE($B145,"~","~~"),"*","~*"),"?","~?"),'DEF_SELF_SCOUT_IMPORT'!$Q$42:$Q$1040,SUBSTITUTE(SUBSTITUTE(SUBSTITUTE($M145,"~","~~"),"*","~*"),"?","~?"))/$C145)</f>
        <v>0.0</v>
      </c>
      <c r="F145" s="11">
        <f>IF($C145=0,"",AVERAGEIFS('DEF_SELF_SCOUT_IMPORT'!$I$42:$I$1040,'DEF_SELF_SCOUT_IMPORT'!$L$42:$L$1040,"Y",'DEF_SELF_SCOUT_IMPORT'!$E$42:$E$1040,SUBSTITUTE(SUBSTITUTE(SUBSTITUTE($B145,"~","~~"),"*","~*"),"?","~?"),'DEF_SELF_SCOUT_IMPORT'!$Q$42:$Q$1040,SUBSTITUTE(SUBSTITUTE(SUBSTITUTE($M145,"~","~~"),"*","~*"),"?","~?")))</f>
        <v>7.0</v>
      </c>
      <c r="G145" s="10">
        <f>IF($C145=0,"",COUNTIFS('DEF_SELF_SCOUT_IMPORT'!$L$42:$L$1040,"Y",'DEF_SELF_SCOUT_IMPORT'!$E$42:$E$1040,SUBSTITUTE(SUBSTITUTE(SUBSTITUTE($B145,"~","~~"),"*","~*"),"?","~?"),'DEF_SELF_SCOUT_IMPORT'!$Q$42:$Q$1040,SUBSTITUTE(SUBSTITUTE(SUBSTITUTE($M145,"~","~~"),"*","~*"),"?","~?"),'DEF_SELF_SCOUT_IMPORT'!$H$42:$H$1040,"RUSH")/$C145)</f>
        <v>0.0</v>
      </c>
      <c r="H145" s="10">
        <f>IF($C145=0,"",COUNTIFS('DEF_SELF_SCOUT_IMPORT'!$L$42:$L$1040,"Y",'DEF_SELF_SCOUT_IMPORT'!$E$42:$E$1040,SUBSTITUTE(SUBSTITUTE(SUBSTITUTE($B145,"~","~~"),"*","~*"),"?","~?"),'DEF_SELF_SCOUT_IMPORT'!$Q$42:$Q$1040,SUBSTITUTE(SUBSTITUTE(SUBSTITUTE($M145,"~","~~"),"*","~*"),"?","~?"),'DEF_SELF_SCOUT_IMPORT'!$H$42:$H$1040,"DROPBACK")/$C145)</f>
        <v>1.0</v>
      </c>
      <c r="I145" s="14" t="str">
        <f>IF(C145=0,"",IF(C145&lt;=2,"TRACK",IF(C145=3,"LOW",IF(C145&lt;=6,"MEDIUM","HIGH"))))</f>
        <v>TRACK</v>
      </c>
      <c r="J145" s="11">
        <f>IF(C145=0,"",ROUND(D145*70+(1-E145)*20+MAX(0,MIN(1,(10-F145)/10))*10,1))</f>
        <v>23.0</v>
      </c>
      <c r="K145" s="14" t="str">
        <f>IF(C145=0,"No Evidence",IF(C145&lt;=2,IF(E145&gt;0,"Explosive Alert","Track Only"),IF(C145=3,"Sample Watch",IF(E145&gt;=START_HERE!$B$31,"Explosive Alert",IF(J145&gt;=80,"Strong Candidate",IF(J145&gt;=65,"Good Candidate",IF(J145&gt;=50,"Mixed / Review","Problem Call")))))))</f>
        <v>Track Only</v>
      </c>
      <c r="L145" s="9" t="str">
        <f>IF(COUNTIFS('DEF_SELF_SCOUT_IMPORT'!$L$42:$L$1040,"Y",'DEF_SELF_SCOUT_IMPORT'!$E$42:$E$1040,SUBSTITUTE(SUBSTITUTE(SUBSTITUTE($B145,"~","~~"),"*","~*"),"?","~?"),'DEF_SELF_SCOUT_IMPORT'!$Q$42:$Q$1040,SUBSTITUTE(SUBSTITUTE(SUBSTITUTE($M145,"~","~~"),"*","~*"),"?","~?"),'DEF_SELF_SCOUT_IMPORT'!$J$42:$J$1040,"")&gt;0,"Unscored clean outcome; review result tags before using score.",IF(C145=0,"No matching defensive reps; film confirmation needed.",IF(K145="Explosive Alert","Explosive risk; review clips before using as answer.",IF(C145&lt;=2,"Track only; not enough sample.",IF(C145=3,IF(E145&gt;0,"Sample watch with explosive exposure; review clips and build the sample.",IF(J145&gt;=65,"Good signal, but sample is limited.","Sample watch; review clips and build the sample.")),IF(K145="Problem Call","Problem area; practice or call-sheet review.",IF(K145="Strong Candidate","Strong call-fit candidate; confirm on film.",IF(K145="Good Candidate","Good call-fit signal; confirm on film.","Mixed signal; review fit and execution on film."))))))))</f>
        <v>Track only; not enough sample.</v>
      </c>
      <c r="M145" s="8" t="s">
        <v>107</v>
      </c>
      <c r="N145" s="8"/>
      <c r="O145" s="8"/>
      <c r="P145" s="8"/>
      <c r="Q145" s="8"/>
      <c r="R145" s="8" t="s">
        <v>28</v>
      </c>
      <c r="S145" s="2" t="s">
        <v>108</v>
      </c>
      <c r="T145" s="2">
        <f>IF(C145=0,0,IF(C145&gt;=CALL_LOOKUP_BOARD!$B$7,IF(OR(K145="Problem Call",K145="Explosive Alert"),10000000,20000000),0)+IF(C145&gt;=CALL_LOOKUP_BOARD!$B$7,J145*1000+MIN(C145,999),C145*1000+J145)+0.00986400)</f>
        <v>1023.009864</v>
      </c>
      <c r="U145" s="2">
        <f>IF(C145=0,"",IF(COUNTIFS($S$10:$S$178,SUBSTITUTE(SUBSTITUTE(SUBSTITUTE(S145,"~","~~"),"*","~*"),"?","~?"),$T$10:$T$178,"&gt;"&amp;T145)=0,S145,""))</f>
        <v/>
      </c>
    </row>
    <row r="146" spans="1:21" ht="38" customHeight="1">
      <c r="A146" s="8" t="s">
        <v>107</v>
      </c>
      <c r="B146" s="8" t="s">
        <v>97</v>
      </c>
      <c r="C146" s="12">
        <f>COUNTIFS('DEF_SELF_SCOUT_IMPORT'!$L$42:$L$1040,"Y",'DEF_SELF_SCOUT_IMPORT'!$E$42:$E$1040,SUBSTITUTE(SUBSTITUTE(SUBSTITUTE($B146,"~","~~"),"*","~*"),"?","~?"),'DEF_SELF_SCOUT_IMPORT'!$Q$42:$Q$1040,SUBSTITUTE(SUBSTITUTE(SUBSTITUTE($M146,"~","~~"),"*","~*"),"?","~?"))</f>
        <v>1</v>
      </c>
      <c r="D146" s="10">
        <f>IF($C146=0,"",SUMIFS('DEF_SELF_SCOUT_IMPORT'!$J$42:$J$1040,'DEF_SELF_SCOUT_IMPORT'!$L$42:$L$1040,"Y",'DEF_SELF_SCOUT_IMPORT'!$E$42:$E$1040,SUBSTITUTE(SUBSTITUTE(SUBSTITUTE($B146,"~","~~"),"*","~*"),"?","~?"),'DEF_SELF_SCOUT_IMPORT'!$Q$42:$Q$1040,SUBSTITUTE(SUBSTITUTE(SUBSTITUTE($M146,"~","~~"),"*","~*"),"?","~?"))/$C146)</f>
        <v>0.0</v>
      </c>
      <c r="E146" s="10">
        <f>IF($C146=0,"",SUMIFS('DEF_SELF_SCOUT_IMPORT'!$K$42:$K$1040,'DEF_SELF_SCOUT_IMPORT'!$L$42:$L$1040,"Y",'DEF_SELF_SCOUT_IMPORT'!$E$42:$E$1040,SUBSTITUTE(SUBSTITUTE(SUBSTITUTE($B146,"~","~~"),"*","~*"),"?","~?"),'DEF_SELF_SCOUT_IMPORT'!$Q$42:$Q$1040,SUBSTITUTE(SUBSTITUTE(SUBSTITUTE($M146,"~","~~"),"*","~*"),"?","~?"))/$C146)</f>
        <v>1.0</v>
      </c>
      <c r="F146" s="11">
        <f>IF($C146=0,"",AVERAGEIFS('DEF_SELF_SCOUT_IMPORT'!$I$42:$I$1040,'DEF_SELF_SCOUT_IMPORT'!$L$42:$L$1040,"Y",'DEF_SELF_SCOUT_IMPORT'!$E$42:$E$1040,SUBSTITUTE(SUBSTITUTE(SUBSTITUTE($B146,"~","~~"),"*","~*"),"?","~?"),'DEF_SELF_SCOUT_IMPORT'!$Q$42:$Q$1040,SUBSTITUTE(SUBSTITUTE(SUBSTITUTE($M146,"~","~~"),"*","~*"),"?","~?")))</f>
        <v>26.0</v>
      </c>
      <c r="G146" s="10">
        <f>IF($C146=0,"",COUNTIFS('DEF_SELF_SCOUT_IMPORT'!$L$42:$L$1040,"Y",'DEF_SELF_SCOUT_IMPORT'!$E$42:$E$1040,SUBSTITUTE(SUBSTITUTE(SUBSTITUTE($B146,"~","~~"),"*","~*"),"?","~?"),'DEF_SELF_SCOUT_IMPORT'!$Q$42:$Q$1040,SUBSTITUTE(SUBSTITUTE(SUBSTITUTE($M146,"~","~~"),"*","~*"),"?","~?"),'DEF_SELF_SCOUT_IMPORT'!$H$42:$H$1040,"RUSH")/$C146)</f>
        <v>0.0</v>
      </c>
      <c r="H146" s="10">
        <f>IF($C146=0,"",COUNTIFS('DEF_SELF_SCOUT_IMPORT'!$L$42:$L$1040,"Y",'DEF_SELF_SCOUT_IMPORT'!$E$42:$E$1040,SUBSTITUTE(SUBSTITUTE(SUBSTITUTE($B146,"~","~~"),"*","~*"),"?","~?"),'DEF_SELF_SCOUT_IMPORT'!$Q$42:$Q$1040,SUBSTITUTE(SUBSTITUTE(SUBSTITUTE($M146,"~","~~"),"*","~*"),"?","~?"),'DEF_SELF_SCOUT_IMPORT'!$H$42:$H$1040,"DROPBACK")/$C146)</f>
        <v>1.0</v>
      </c>
      <c r="I146" s="14" t="str">
        <f>IF(C146=0,"",IF(C146&lt;=2,"TRACK",IF(C146=3,"LOW",IF(C146&lt;=6,"MEDIUM","HIGH"))))</f>
        <v>TRACK</v>
      </c>
      <c r="J146" s="11">
        <f>IF(C146=0,"",ROUND(D146*70+(1-E146)*20+MAX(0,MIN(1,(10-F146)/10))*10,1))</f>
        <v>0.0</v>
      </c>
      <c r="K146" s="14" t="str">
        <f>IF(C146=0,"No Evidence",IF(C146&lt;=2,IF(E146&gt;0,"Explosive Alert","Track Only"),IF(C146=3,"Sample Watch",IF(E146&gt;=START_HERE!$B$31,"Explosive Alert",IF(J146&gt;=80,"Strong Candidate",IF(J146&gt;=65,"Good Candidate",IF(J146&gt;=50,"Mixed / Review","Problem Call")))))))</f>
        <v>Explosive Alert</v>
      </c>
      <c r="L146" s="9" t="str">
        <f>IF(COUNTIFS('DEF_SELF_SCOUT_IMPORT'!$L$42:$L$1040,"Y",'DEF_SELF_SCOUT_IMPORT'!$E$42:$E$1040,SUBSTITUTE(SUBSTITUTE(SUBSTITUTE($B146,"~","~~"),"*","~*"),"?","~?"),'DEF_SELF_SCOUT_IMPORT'!$Q$42:$Q$1040,SUBSTITUTE(SUBSTITUTE(SUBSTITUTE($M146,"~","~~"),"*","~*"),"?","~?"),'DEF_SELF_SCOUT_IMPORT'!$J$42:$J$1040,"")&gt;0,"Unscored clean outcome; review result tags before using score.",IF(C146=0,"No matching defensive reps; film confirmation needed.",IF(K146="Explosive Alert","Explosive risk; review clips before using as answer.",IF(C146&lt;=2,"Track only; not enough sample.",IF(C146=3,IF(E146&gt;0,"Sample watch with explosive exposure; review clips and build the sample.",IF(J146&gt;=65,"Good signal, but sample is limited.","Sample watch; review clips and build the sample.")),IF(K146="Problem Call","Problem area; practice or call-sheet review.",IF(K146="Strong Candidate","Strong call-fit candidate; confirm on film.",IF(K146="Good Candidate","Good call-fit signal; confirm on film.","Mixed signal; review fit and execution on film."))))))))</f>
        <v>Explosive risk; review clips before using as answer.</v>
      </c>
      <c r="M146" s="8" t="s">
        <v>107</v>
      </c>
      <c r="N146" s="8"/>
      <c r="O146" s="8"/>
      <c r="P146" s="8"/>
      <c r="Q146" s="8"/>
      <c r="R146" s="8" t="s">
        <v>28</v>
      </c>
      <c r="S146" s="2" t="s">
        <v>108</v>
      </c>
      <c r="T146" s="2">
        <f>IF(C146=0,0,IF(C146&gt;=CALL_LOOKUP_BOARD!$B$7,IF(OR(K146="Problem Call",K146="Explosive Alert"),10000000,20000000),0)+IF(C146&gt;=CALL_LOOKUP_BOARD!$B$7,J146*1000+MIN(C146,999),C146*1000+J146)+0.00986300)</f>
        <v>1000.009863</v>
      </c>
      <c r="U146" s="2">
        <f>IF(C146=0,"",IF(COUNTIFS($S$10:$S$178,SUBSTITUTE(SUBSTITUTE(SUBSTITUTE(S146,"~","~~"),"*","~*"),"?","~?"),$T$10:$T$178,"&gt;"&amp;T146)=0,S146,""))</f>
        <v/>
      </c>
    </row>
    <row r="147" spans="1:21" ht="38" customHeight="1">
      <c r="A147" s="8" t="s">
        <v>107</v>
      </c>
      <c r="B147" s="8" t="s">
        <v>109</v>
      </c>
      <c r="C147" s="12">
        <f>COUNTIFS('DEF_SELF_SCOUT_IMPORT'!$L$42:$L$1040,"Y",'DEF_SELF_SCOUT_IMPORT'!$E$42:$E$1040,SUBSTITUTE(SUBSTITUTE(SUBSTITUTE($B147,"~","~~"),"*","~*"),"?","~?"),'DEF_SELF_SCOUT_IMPORT'!$Q$42:$Q$1040,SUBSTITUTE(SUBSTITUTE(SUBSTITUTE($M147,"~","~~"),"*","~*"),"?","~?"))</f>
        <v>1</v>
      </c>
      <c r="D147" s="10">
        <f>IF($C147=0,"",SUMIFS('DEF_SELF_SCOUT_IMPORT'!$J$42:$J$1040,'DEF_SELF_SCOUT_IMPORT'!$L$42:$L$1040,"Y",'DEF_SELF_SCOUT_IMPORT'!$E$42:$E$1040,SUBSTITUTE(SUBSTITUTE(SUBSTITUTE($B147,"~","~~"),"*","~*"),"?","~?"),'DEF_SELF_SCOUT_IMPORT'!$Q$42:$Q$1040,SUBSTITUTE(SUBSTITUTE(SUBSTITUTE($M147,"~","~~"),"*","~*"),"?","~?"))/$C147)</f>
        <v>0.0</v>
      </c>
      <c r="E147" s="10">
        <f>IF($C147=0,"",SUMIFS('DEF_SELF_SCOUT_IMPORT'!$K$42:$K$1040,'DEF_SELF_SCOUT_IMPORT'!$L$42:$L$1040,"Y",'DEF_SELF_SCOUT_IMPORT'!$E$42:$E$1040,SUBSTITUTE(SUBSTITUTE(SUBSTITUTE($B147,"~","~~"),"*","~*"),"?","~?"),'DEF_SELF_SCOUT_IMPORT'!$Q$42:$Q$1040,SUBSTITUTE(SUBSTITUTE(SUBSTITUTE($M147,"~","~~"),"*","~*"),"?","~?"))/$C147)</f>
        <v>1.0</v>
      </c>
      <c r="F147" s="11">
        <f>IF($C147=0,"",AVERAGEIFS('DEF_SELF_SCOUT_IMPORT'!$I$42:$I$1040,'DEF_SELF_SCOUT_IMPORT'!$L$42:$L$1040,"Y",'DEF_SELF_SCOUT_IMPORT'!$E$42:$E$1040,SUBSTITUTE(SUBSTITUTE(SUBSTITUTE($B147,"~","~~"),"*","~*"),"?","~?"),'DEF_SELF_SCOUT_IMPORT'!$Q$42:$Q$1040,SUBSTITUTE(SUBSTITUTE(SUBSTITUTE($M147,"~","~~"),"*","~*"),"?","~?")))</f>
        <v>16.0</v>
      </c>
      <c r="G147" s="10">
        <f>IF($C147=0,"",COUNTIFS('DEF_SELF_SCOUT_IMPORT'!$L$42:$L$1040,"Y",'DEF_SELF_SCOUT_IMPORT'!$E$42:$E$1040,SUBSTITUTE(SUBSTITUTE(SUBSTITUTE($B147,"~","~~"),"*","~*"),"?","~?"),'DEF_SELF_SCOUT_IMPORT'!$Q$42:$Q$1040,SUBSTITUTE(SUBSTITUTE(SUBSTITUTE($M147,"~","~~"),"*","~*"),"?","~?"),'DEF_SELF_SCOUT_IMPORT'!$H$42:$H$1040,"RUSH")/$C147)</f>
        <v>0.0</v>
      </c>
      <c r="H147" s="10">
        <f>IF($C147=0,"",COUNTIFS('DEF_SELF_SCOUT_IMPORT'!$L$42:$L$1040,"Y",'DEF_SELF_SCOUT_IMPORT'!$E$42:$E$1040,SUBSTITUTE(SUBSTITUTE(SUBSTITUTE($B147,"~","~~"),"*","~*"),"?","~?"),'DEF_SELF_SCOUT_IMPORT'!$Q$42:$Q$1040,SUBSTITUTE(SUBSTITUTE(SUBSTITUTE($M147,"~","~~"),"*","~*"),"?","~?"),'DEF_SELF_SCOUT_IMPORT'!$H$42:$H$1040,"DROPBACK")/$C147)</f>
        <v>1.0</v>
      </c>
      <c r="I147" s="14" t="str">
        <f>IF(C147=0,"",IF(C147&lt;=2,"TRACK",IF(C147=3,"LOW",IF(C147&lt;=6,"MEDIUM","HIGH"))))</f>
        <v>TRACK</v>
      </c>
      <c r="J147" s="11">
        <f>IF(C147=0,"",ROUND(D147*70+(1-E147)*20+MAX(0,MIN(1,(10-F147)/10))*10,1))</f>
        <v>0.0</v>
      </c>
      <c r="K147" s="14" t="str">
        <f>IF(C147=0,"No Evidence",IF(C147&lt;=2,IF(E147&gt;0,"Explosive Alert","Track Only"),IF(C147=3,"Sample Watch",IF(E147&gt;=START_HERE!$B$31,"Explosive Alert",IF(J147&gt;=80,"Strong Candidate",IF(J147&gt;=65,"Good Candidate",IF(J147&gt;=50,"Mixed / Review","Problem Call")))))))</f>
        <v>Explosive Alert</v>
      </c>
      <c r="L147" s="9" t="str">
        <f>IF(COUNTIFS('DEF_SELF_SCOUT_IMPORT'!$L$42:$L$1040,"Y",'DEF_SELF_SCOUT_IMPORT'!$E$42:$E$1040,SUBSTITUTE(SUBSTITUTE(SUBSTITUTE($B147,"~","~~"),"*","~*"),"?","~?"),'DEF_SELF_SCOUT_IMPORT'!$Q$42:$Q$1040,SUBSTITUTE(SUBSTITUTE(SUBSTITUTE($M147,"~","~~"),"*","~*"),"?","~?"),'DEF_SELF_SCOUT_IMPORT'!$J$42:$J$1040,"")&gt;0,"Unscored clean outcome; review result tags before using score.",IF(C147=0,"No matching defensive reps; film confirmation needed.",IF(K147="Explosive Alert","Explosive risk; review clips before using as answer.",IF(C147&lt;=2,"Track only; not enough sample.",IF(C147=3,IF(E147&gt;0,"Sample watch with explosive exposure; review clips and build the sample.",IF(J147&gt;=65,"Good signal, but sample is limited.","Sample watch; review clips and build the sample.")),IF(K147="Problem Call","Problem area; practice or call-sheet review.",IF(K147="Strong Candidate","Strong call-fit candidate; confirm on film.",IF(K147="Good Candidate","Good call-fit signal; confirm on film.","Mixed signal; review fit and execution on film."))))))))</f>
        <v>Explosive risk; review clips before using as answer.</v>
      </c>
      <c r="M147" s="8" t="s">
        <v>107</v>
      </c>
      <c r="N147" s="8"/>
      <c r="O147" s="8"/>
      <c r="P147" s="8"/>
      <c r="Q147" s="8"/>
      <c r="R147" s="8" t="s">
        <v>28</v>
      </c>
      <c r="S147" s="2" t="s">
        <v>108</v>
      </c>
      <c r="T147" s="2">
        <f>IF(C147=0,0,IF(C147&gt;=CALL_LOOKUP_BOARD!$B$7,IF(OR(K147="Problem Call",K147="Explosive Alert"),10000000,20000000),0)+IF(C147&gt;=CALL_LOOKUP_BOARD!$B$7,J147*1000+MIN(C147,999),C147*1000+J147)+0.00986200)</f>
        <v>1000.009862</v>
      </c>
      <c r="U147" s="2">
        <f>IF(C147=0,"",IF(COUNTIFS($S$10:$S$178,SUBSTITUTE(SUBSTITUTE(SUBSTITUTE(S147,"~","~~"),"*","~*"),"?","~?"),$T$10:$T$178,"&gt;"&amp;T147)=0,S147,""))</f>
        <v/>
      </c>
    </row>
    <row r="148" spans="1:21" ht="38" customHeight="1">
      <c r="A148" s="8" t="s">
        <v>107</v>
      </c>
      <c r="B148" s="8" t="s">
        <v>99</v>
      </c>
      <c r="C148" s="12">
        <f>COUNTIFS('DEF_SELF_SCOUT_IMPORT'!$L$42:$L$1040,"Y",'DEF_SELF_SCOUT_IMPORT'!$E$42:$E$1040,SUBSTITUTE(SUBSTITUTE(SUBSTITUTE($B148,"~","~~"),"*","~*"),"?","~?"),'DEF_SELF_SCOUT_IMPORT'!$Q$42:$Q$1040,SUBSTITUTE(SUBSTITUTE(SUBSTITUTE($M148,"~","~~"),"*","~*"),"?","~?"))</f>
        <v>1</v>
      </c>
      <c r="D148" s="10">
        <f>IF($C148=0,"",SUMIFS('DEF_SELF_SCOUT_IMPORT'!$J$42:$J$1040,'DEF_SELF_SCOUT_IMPORT'!$L$42:$L$1040,"Y",'DEF_SELF_SCOUT_IMPORT'!$E$42:$E$1040,SUBSTITUTE(SUBSTITUTE(SUBSTITUTE($B148,"~","~~"),"*","~*"),"?","~?"),'DEF_SELF_SCOUT_IMPORT'!$Q$42:$Q$1040,SUBSTITUTE(SUBSTITUTE(SUBSTITUTE($M148,"~","~~"),"*","~*"),"?","~?"))/$C148)</f>
        <v>0.0</v>
      </c>
      <c r="E148" s="10">
        <f>IF($C148=0,"",SUMIFS('DEF_SELF_SCOUT_IMPORT'!$K$42:$K$1040,'DEF_SELF_SCOUT_IMPORT'!$L$42:$L$1040,"Y",'DEF_SELF_SCOUT_IMPORT'!$E$42:$E$1040,SUBSTITUTE(SUBSTITUTE(SUBSTITUTE($B148,"~","~~"),"*","~*"),"?","~?"),'DEF_SELF_SCOUT_IMPORT'!$Q$42:$Q$1040,SUBSTITUTE(SUBSTITUTE(SUBSTITUTE($M148,"~","~~"),"*","~*"),"?","~?"))/$C148)</f>
        <v>0.0</v>
      </c>
      <c r="F148" s="11">
        <f>IF($C148=0,"",AVERAGEIFS('DEF_SELF_SCOUT_IMPORT'!$I$42:$I$1040,'DEF_SELF_SCOUT_IMPORT'!$L$42:$L$1040,"Y",'DEF_SELF_SCOUT_IMPORT'!$E$42:$E$1040,SUBSTITUTE(SUBSTITUTE(SUBSTITUTE($B148,"~","~~"),"*","~*"),"?","~?"),'DEF_SELF_SCOUT_IMPORT'!$Q$42:$Q$1040,SUBSTITUTE(SUBSTITUTE(SUBSTITUTE($M148,"~","~~"),"*","~*"),"?","~?")))</f>
        <v>12.0</v>
      </c>
      <c r="G148" s="10">
        <f>IF($C148=0,"",COUNTIFS('DEF_SELF_SCOUT_IMPORT'!$L$42:$L$1040,"Y",'DEF_SELF_SCOUT_IMPORT'!$E$42:$E$1040,SUBSTITUTE(SUBSTITUTE(SUBSTITUTE($B148,"~","~~"),"*","~*"),"?","~?"),'DEF_SELF_SCOUT_IMPORT'!$Q$42:$Q$1040,SUBSTITUTE(SUBSTITUTE(SUBSTITUTE($M148,"~","~~"),"*","~*"),"?","~?"),'DEF_SELF_SCOUT_IMPORT'!$H$42:$H$1040,"RUSH")/$C148)</f>
        <v>0.0</v>
      </c>
      <c r="H148" s="10">
        <f>IF($C148=0,"",COUNTIFS('DEF_SELF_SCOUT_IMPORT'!$L$42:$L$1040,"Y",'DEF_SELF_SCOUT_IMPORT'!$E$42:$E$1040,SUBSTITUTE(SUBSTITUTE(SUBSTITUTE($B148,"~","~~"),"*","~*"),"?","~?"),'DEF_SELF_SCOUT_IMPORT'!$Q$42:$Q$1040,SUBSTITUTE(SUBSTITUTE(SUBSTITUTE($M148,"~","~~"),"*","~*"),"?","~?"),'DEF_SELF_SCOUT_IMPORT'!$H$42:$H$1040,"DROPBACK")/$C148)</f>
        <v>1.0</v>
      </c>
      <c r="I148" s="14" t="str">
        <f>IF(C148=0,"",IF(C148&lt;=2,"TRACK",IF(C148=3,"LOW",IF(C148&lt;=6,"MEDIUM","HIGH"))))</f>
        <v>TRACK</v>
      </c>
      <c r="J148" s="11">
        <f>IF(C148=0,"",ROUND(D148*70+(1-E148)*20+MAX(0,MIN(1,(10-F148)/10))*10,1))</f>
        <v>20.0</v>
      </c>
      <c r="K148" s="14" t="str">
        <f>IF(C148=0,"No Evidence",IF(C148&lt;=2,IF(E148&gt;0,"Explosive Alert","Track Only"),IF(C148=3,"Sample Watch",IF(E148&gt;=START_HERE!$B$31,"Explosive Alert",IF(J148&gt;=80,"Strong Candidate",IF(J148&gt;=65,"Good Candidate",IF(J148&gt;=50,"Mixed / Review","Problem Call")))))))</f>
        <v>Track Only</v>
      </c>
      <c r="L148" s="9" t="str">
        <f>IF(COUNTIFS('DEF_SELF_SCOUT_IMPORT'!$L$42:$L$1040,"Y",'DEF_SELF_SCOUT_IMPORT'!$E$42:$E$1040,SUBSTITUTE(SUBSTITUTE(SUBSTITUTE($B148,"~","~~"),"*","~*"),"?","~?"),'DEF_SELF_SCOUT_IMPORT'!$Q$42:$Q$1040,SUBSTITUTE(SUBSTITUTE(SUBSTITUTE($M148,"~","~~"),"*","~*"),"?","~?"),'DEF_SELF_SCOUT_IMPORT'!$J$42:$J$1040,"")&gt;0,"Unscored clean outcome; review result tags before using score.",IF(C148=0,"No matching defensive reps; film confirmation needed.",IF(K148="Explosive Alert","Explosive risk; review clips before using as answer.",IF(C148&lt;=2,"Track only; not enough sample.",IF(C148=3,IF(E148&gt;0,"Sample watch with explosive exposure; review clips and build the sample.",IF(J148&gt;=65,"Good signal, but sample is limited.","Sample watch; review clips and build the sample.")),IF(K148="Problem Call","Problem area; practice or call-sheet review.",IF(K148="Strong Candidate","Strong call-fit candidate; confirm on film.",IF(K148="Good Candidate","Good call-fit signal; confirm on film.","Mixed signal; review fit and execution on film."))))))))</f>
        <v>Track only; not enough sample.</v>
      </c>
      <c r="M148" s="8" t="s">
        <v>107</v>
      </c>
      <c r="N148" s="8"/>
      <c r="O148" s="8"/>
      <c r="P148" s="8"/>
      <c r="Q148" s="8"/>
      <c r="R148" s="8" t="s">
        <v>28</v>
      </c>
      <c r="S148" s="2" t="s">
        <v>108</v>
      </c>
      <c r="T148" s="2">
        <f>IF(C148=0,0,IF(C148&gt;=CALL_LOOKUP_BOARD!$B$7,IF(OR(K148="Problem Call",K148="Explosive Alert"),10000000,20000000),0)+IF(C148&gt;=CALL_LOOKUP_BOARD!$B$7,J148*1000+MIN(C148,999),C148*1000+J148)+0.00986100)</f>
        <v>1020.009861</v>
      </c>
      <c r="U148" s="2">
        <f>IF(C148=0,"",IF(COUNTIFS($S$10:$S$178,SUBSTITUTE(SUBSTITUTE(SUBSTITUTE(S148,"~","~~"),"*","~*"),"?","~?"),$T$10:$T$178,"&gt;"&amp;T148)=0,S148,""))</f>
        <v/>
      </c>
    </row>
    <row r="149" spans="1:21" ht="38" customHeight="1">
      <c r="A149" s="8" t="s">
        <v>107</v>
      </c>
      <c r="B149" s="8" t="s">
        <v>35</v>
      </c>
      <c r="C149" s="12">
        <f>COUNTIFS('DEF_SELF_SCOUT_IMPORT'!$L$42:$L$1040,"Y",'DEF_SELF_SCOUT_IMPORT'!$E$42:$E$1040,SUBSTITUTE(SUBSTITUTE(SUBSTITUTE($B149,"~","~~"),"*","~*"),"?","~?"),'DEF_SELF_SCOUT_IMPORT'!$Q$42:$Q$1040,SUBSTITUTE(SUBSTITUTE(SUBSTITUTE($M149,"~","~~"),"*","~*"),"?","~?"))</f>
        <v>1</v>
      </c>
      <c r="D149" s="10">
        <f>IF($C149=0,"",SUMIFS('DEF_SELF_SCOUT_IMPORT'!$J$42:$J$1040,'DEF_SELF_SCOUT_IMPORT'!$L$42:$L$1040,"Y",'DEF_SELF_SCOUT_IMPORT'!$E$42:$E$1040,SUBSTITUTE(SUBSTITUTE(SUBSTITUTE($B149,"~","~~"),"*","~*"),"?","~?"),'DEF_SELF_SCOUT_IMPORT'!$Q$42:$Q$1040,SUBSTITUTE(SUBSTITUTE(SUBSTITUTE($M149,"~","~~"),"*","~*"),"?","~?"))/$C149)</f>
        <v>1.0</v>
      </c>
      <c r="E149" s="10">
        <f>IF($C149=0,"",SUMIFS('DEF_SELF_SCOUT_IMPORT'!$K$42:$K$1040,'DEF_SELF_SCOUT_IMPORT'!$L$42:$L$1040,"Y",'DEF_SELF_SCOUT_IMPORT'!$E$42:$E$1040,SUBSTITUTE(SUBSTITUTE(SUBSTITUTE($B149,"~","~~"),"*","~*"),"?","~?"),'DEF_SELF_SCOUT_IMPORT'!$Q$42:$Q$1040,SUBSTITUTE(SUBSTITUTE(SUBSTITUTE($M149,"~","~~"),"*","~*"),"?","~?"))/$C149)</f>
        <v>0.0</v>
      </c>
      <c r="F149" s="11">
        <f>IF($C149=0,"",AVERAGEIFS('DEF_SELF_SCOUT_IMPORT'!$I$42:$I$1040,'DEF_SELF_SCOUT_IMPORT'!$L$42:$L$1040,"Y",'DEF_SELF_SCOUT_IMPORT'!$E$42:$E$1040,SUBSTITUTE(SUBSTITUTE(SUBSTITUTE($B149,"~","~~"),"*","~*"),"?","~?"),'DEF_SELF_SCOUT_IMPORT'!$Q$42:$Q$1040,SUBSTITUTE(SUBSTITUTE(SUBSTITUTE($M149,"~","~~"),"*","~*"),"?","~?")))</f>
        <v>0.0</v>
      </c>
      <c r="G149" s="10">
        <f>IF($C149=0,"",COUNTIFS('DEF_SELF_SCOUT_IMPORT'!$L$42:$L$1040,"Y",'DEF_SELF_SCOUT_IMPORT'!$E$42:$E$1040,SUBSTITUTE(SUBSTITUTE(SUBSTITUTE($B149,"~","~~"),"*","~*"),"?","~?"),'DEF_SELF_SCOUT_IMPORT'!$Q$42:$Q$1040,SUBSTITUTE(SUBSTITUTE(SUBSTITUTE($M149,"~","~~"),"*","~*"),"?","~?"),'DEF_SELF_SCOUT_IMPORT'!$H$42:$H$1040,"RUSH")/$C149)</f>
        <v>1.0</v>
      </c>
      <c r="H149" s="10">
        <f>IF($C149=0,"",COUNTIFS('DEF_SELF_SCOUT_IMPORT'!$L$42:$L$1040,"Y",'DEF_SELF_SCOUT_IMPORT'!$E$42:$E$1040,SUBSTITUTE(SUBSTITUTE(SUBSTITUTE($B149,"~","~~"),"*","~*"),"?","~?"),'DEF_SELF_SCOUT_IMPORT'!$Q$42:$Q$1040,SUBSTITUTE(SUBSTITUTE(SUBSTITUTE($M149,"~","~~"),"*","~*"),"?","~?"),'DEF_SELF_SCOUT_IMPORT'!$H$42:$H$1040,"DROPBACK")/$C149)</f>
        <v>0.0</v>
      </c>
      <c r="I149" s="14" t="str">
        <f>IF(C149=0,"",IF(C149&lt;=2,"TRACK",IF(C149=3,"LOW",IF(C149&lt;=6,"MEDIUM","HIGH"))))</f>
        <v>TRACK</v>
      </c>
      <c r="J149" s="11">
        <f>IF(C149=0,"",ROUND(D149*70+(1-E149)*20+MAX(0,MIN(1,(10-F149)/10))*10,1))</f>
        <v>100.0</v>
      </c>
      <c r="K149" s="14" t="str">
        <f>IF(C149=0,"No Evidence",IF(C149&lt;=2,IF(E149&gt;0,"Explosive Alert","Track Only"),IF(C149=3,"Sample Watch",IF(E149&gt;=START_HERE!$B$31,"Explosive Alert",IF(J149&gt;=80,"Strong Candidate",IF(J149&gt;=65,"Good Candidate",IF(J149&gt;=50,"Mixed / Review","Problem Call")))))))</f>
        <v>Track Only</v>
      </c>
      <c r="L149" s="9" t="str">
        <f>IF(COUNTIFS('DEF_SELF_SCOUT_IMPORT'!$L$42:$L$1040,"Y",'DEF_SELF_SCOUT_IMPORT'!$E$42:$E$1040,SUBSTITUTE(SUBSTITUTE(SUBSTITUTE($B149,"~","~~"),"*","~*"),"?","~?"),'DEF_SELF_SCOUT_IMPORT'!$Q$42:$Q$1040,SUBSTITUTE(SUBSTITUTE(SUBSTITUTE($M149,"~","~~"),"*","~*"),"?","~?"),'DEF_SELF_SCOUT_IMPORT'!$J$42:$J$1040,"")&gt;0,"Unscored clean outcome; review result tags before using score.",IF(C149=0,"No matching defensive reps; film confirmation needed.",IF(K149="Explosive Alert","Explosive risk; review clips before using as answer.",IF(C149&lt;=2,"Track only; not enough sample.",IF(C149=3,IF(E149&gt;0,"Sample watch with explosive exposure; review clips and build the sample.",IF(J149&gt;=65,"Good signal, but sample is limited.","Sample watch; review clips and build the sample.")),IF(K149="Problem Call","Problem area; practice or call-sheet review.",IF(K149="Strong Candidate","Strong call-fit candidate; confirm on film.",IF(K149="Good Candidate","Good call-fit signal; confirm on film.","Mixed signal; review fit and execution on film."))))))))</f>
        <v>Track only; not enough sample.</v>
      </c>
      <c r="M149" s="8" t="s">
        <v>107</v>
      </c>
      <c r="N149" s="8"/>
      <c r="O149" s="8"/>
      <c r="P149" s="8"/>
      <c r="Q149" s="8"/>
      <c r="R149" s="8" t="s">
        <v>28</v>
      </c>
      <c r="S149" s="2" t="s">
        <v>108</v>
      </c>
      <c r="T149" s="2">
        <f>IF(C149=0,0,IF(C149&gt;=CALL_LOOKUP_BOARD!$B$7,IF(OR(K149="Problem Call",K149="Explosive Alert"),10000000,20000000),0)+IF(C149&gt;=CALL_LOOKUP_BOARD!$B$7,J149*1000+MIN(C149,999),C149*1000+J149)+0.00986000)</f>
        <v>1100.00986</v>
      </c>
      <c r="U149" s="2">
        <f>IF(C149=0,"",IF(COUNTIFS($S$10:$S$178,SUBSTITUTE(SUBSTITUTE(SUBSTITUTE(S149,"~","~~"),"*","~*"),"?","~?"),$T$10:$T$178,"&gt;"&amp;T149)=0,S149,""))</f>
        <v/>
      </c>
    </row>
    <row r="150" spans="1:21" ht="38" customHeight="1">
      <c r="A150" s="8" t="s">
        <v>107</v>
      </c>
      <c r="B150" s="8" t="s">
        <v>110</v>
      </c>
      <c r="C150" s="12">
        <f>COUNTIFS('DEF_SELF_SCOUT_IMPORT'!$L$42:$L$1040,"Y",'DEF_SELF_SCOUT_IMPORT'!$E$42:$E$1040,SUBSTITUTE(SUBSTITUTE(SUBSTITUTE($B150,"~","~~"),"*","~*"),"?","~?"),'DEF_SELF_SCOUT_IMPORT'!$Q$42:$Q$1040,SUBSTITUTE(SUBSTITUTE(SUBSTITUTE($M150,"~","~~"),"*","~*"),"?","~?"))</f>
        <v>1</v>
      </c>
      <c r="D150" s="10">
        <f>IF($C150=0,"",SUMIFS('DEF_SELF_SCOUT_IMPORT'!$J$42:$J$1040,'DEF_SELF_SCOUT_IMPORT'!$L$42:$L$1040,"Y",'DEF_SELF_SCOUT_IMPORT'!$E$42:$E$1040,SUBSTITUTE(SUBSTITUTE(SUBSTITUTE($B150,"~","~~"),"*","~*"),"?","~?"),'DEF_SELF_SCOUT_IMPORT'!$Q$42:$Q$1040,SUBSTITUTE(SUBSTITUTE(SUBSTITUTE($M150,"~","~~"),"*","~*"),"?","~?"))/$C150)</f>
        <v>0.0</v>
      </c>
      <c r="E150" s="10">
        <f>IF($C150=0,"",SUMIFS('DEF_SELF_SCOUT_IMPORT'!$K$42:$K$1040,'DEF_SELF_SCOUT_IMPORT'!$L$42:$L$1040,"Y",'DEF_SELF_SCOUT_IMPORT'!$E$42:$E$1040,SUBSTITUTE(SUBSTITUTE(SUBSTITUTE($B150,"~","~~"),"*","~*"),"?","~?"),'DEF_SELF_SCOUT_IMPORT'!$Q$42:$Q$1040,SUBSTITUTE(SUBSTITUTE(SUBSTITUTE($M150,"~","~~"),"*","~*"),"?","~?"))/$C150)</f>
        <v>1.0</v>
      </c>
      <c r="F150" s="11">
        <f>IF($C150=0,"",AVERAGEIFS('DEF_SELF_SCOUT_IMPORT'!$I$42:$I$1040,'DEF_SELF_SCOUT_IMPORT'!$L$42:$L$1040,"Y",'DEF_SELF_SCOUT_IMPORT'!$E$42:$E$1040,SUBSTITUTE(SUBSTITUTE(SUBSTITUTE($B150,"~","~~"),"*","~*"),"?","~?"),'DEF_SELF_SCOUT_IMPORT'!$Q$42:$Q$1040,SUBSTITUTE(SUBSTITUTE(SUBSTITUTE($M150,"~","~~"),"*","~*"),"?","~?")))</f>
        <v>19.0</v>
      </c>
      <c r="G150" s="10">
        <f>IF($C150=0,"",COUNTIFS('DEF_SELF_SCOUT_IMPORT'!$L$42:$L$1040,"Y",'DEF_SELF_SCOUT_IMPORT'!$E$42:$E$1040,SUBSTITUTE(SUBSTITUTE(SUBSTITUTE($B150,"~","~~"),"*","~*"),"?","~?"),'DEF_SELF_SCOUT_IMPORT'!$Q$42:$Q$1040,SUBSTITUTE(SUBSTITUTE(SUBSTITUTE($M150,"~","~~"),"*","~*"),"?","~?"),'DEF_SELF_SCOUT_IMPORT'!$H$42:$H$1040,"RUSH")/$C150)</f>
        <v>0.0</v>
      </c>
      <c r="H150" s="10">
        <f>IF($C150=0,"",COUNTIFS('DEF_SELF_SCOUT_IMPORT'!$L$42:$L$1040,"Y",'DEF_SELF_SCOUT_IMPORT'!$E$42:$E$1040,SUBSTITUTE(SUBSTITUTE(SUBSTITUTE($B150,"~","~~"),"*","~*"),"?","~?"),'DEF_SELF_SCOUT_IMPORT'!$Q$42:$Q$1040,SUBSTITUTE(SUBSTITUTE(SUBSTITUTE($M150,"~","~~"),"*","~*"),"?","~?"),'DEF_SELF_SCOUT_IMPORT'!$H$42:$H$1040,"DROPBACK")/$C150)</f>
        <v>1.0</v>
      </c>
      <c r="I150" s="14" t="str">
        <f>IF(C150=0,"",IF(C150&lt;=2,"TRACK",IF(C150=3,"LOW",IF(C150&lt;=6,"MEDIUM","HIGH"))))</f>
        <v>TRACK</v>
      </c>
      <c r="J150" s="11">
        <f>IF(C150=0,"",ROUND(D150*70+(1-E150)*20+MAX(0,MIN(1,(10-F150)/10))*10,1))</f>
        <v>0.0</v>
      </c>
      <c r="K150" s="14" t="str">
        <f>IF(C150=0,"No Evidence",IF(C150&lt;=2,IF(E150&gt;0,"Explosive Alert","Track Only"),IF(C150=3,"Sample Watch",IF(E150&gt;=START_HERE!$B$31,"Explosive Alert",IF(J150&gt;=80,"Strong Candidate",IF(J150&gt;=65,"Good Candidate",IF(J150&gt;=50,"Mixed / Review","Problem Call")))))))</f>
        <v>Explosive Alert</v>
      </c>
      <c r="L150" s="9" t="str">
        <f>IF(COUNTIFS('DEF_SELF_SCOUT_IMPORT'!$L$42:$L$1040,"Y",'DEF_SELF_SCOUT_IMPORT'!$E$42:$E$1040,SUBSTITUTE(SUBSTITUTE(SUBSTITUTE($B150,"~","~~"),"*","~*"),"?","~?"),'DEF_SELF_SCOUT_IMPORT'!$Q$42:$Q$1040,SUBSTITUTE(SUBSTITUTE(SUBSTITUTE($M150,"~","~~"),"*","~*"),"?","~?"),'DEF_SELF_SCOUT_IMPORT'!$J$42:$J$1040,"")&gt;0,"Unscored clean outcome; review result tags before using score.",IF(C150=0,"No matching defensive reps; film confirmation needed.",IF(K150="Explosive Alert","Explosive risk; review clips before using as answer.",IF(C150&lt;=2,"Track only; not enough sample.",IF(C150=3,IF(E150&gt;0,"Sample watch with explosive exposure; review clips and build the sample.",IF(J150&gt;=65,"Good signal, but sample is limited.","Sample watch; review clips and build the sample.")),IF(K150="Problem Call","Problem area; practice or call-sheet review.",IF(K150="Strong Candidate","Strong call-fit candidate; confirm on film.",IF(K150="Good Candidate","Good call-fit signal; confirm on film.","Mixed signal; review fit and execution on film."))))))))</f>
        <v>Explosive risk; review clips before using as answer.</v>
      </c>
      <c r="M150" s="8" t="s">
        <v>107</v>
      </c>
      <c r="N150" s="8"/>
      <c r="O150" s="8"/>
      <c r="P150" s="8"/>
      <c r="Q150" s="8"/>
      <c r="R150" s="8" t="s">
        <v>28</v>
      </c>
      <c r="S150" s="2" t="s">
        <v>108</v>
      </c>
      <c r="T150" s="2">
        <f>IF(C150=0,0,IF(C150&gt;=CALL_LOOKUP_BOARD!$B$7,IF(OR(K150="Problem Call",K150="Explosive Alert"),10000000,20000000),0)+IF(C150&gt;=CALL_LOOKUP_BOARD!$B$7,J150*1000+MIN(C150,999),C150*1000+J150)+0.00985900)</f>
        <v>1000.009859</v>
      </c>
      <c r="U150" s="2">
        <f>IF(C150=0,"",IF(COUNTIFS($S$10:$S$178,SUBSTITUTE(SUBSTITUTE(SUBSTITUTE(S150,"~","~~"),"*","~*"),"?","~?"),$T$10:$T$178,"&gt;"&amp;T150)=0,S150,""))</f>
        <v/>
      </c>
    </row>
    <row r="151" spans="1:21" ht="38" customHeight="1">
      <c r="A151" s="8" t="s">
        <v>107</v>
      </c>
      <c r="B151" s="8" t="s">
        <v>61</v>
      </c>
      <c r="C151" s="12">
        <f>COUNTIFS('DEF_SELF_SCOUT_IMPORT'!$L$42:$L$1040,"Y",'DEF_SELF_SCOUT_IMPORT'!$E$42:$E$1040,SUBSTITUTE(SUBSTITUTE(SUBSTITUTE($B151,"~","~~"),"*","~*"),"?","~?"),'DEF_SELF_SCOUT_IMPORT'!$Q$42:$Q$1040,SUBSTITUTE(SUBSTITUTE(SUBSTITUTE($M151,"~","~~"),"*","~*"),"?","~?"))</f>
        <v>1</v>
      </c>
      <c r="D151" s="10">
        <f>IF($C151=0,"",SUMIFS('DEF_SELF_SCOUT_IMPORT'!$J$42:$J$1040,'DEF_SELF_SCOUT_IMPORT'!$L$42:$L$1040,"Y",'DEF_SELF_SCOUT_IMPORT'!$E$42:$E$1040,SUBSTITUTE(SUBSTITUTE(SUBSTITUTE($B151,"~","~~"),"*","~*"),"?","~?"),'DEF_SELF_SCOUT_IMPORT'!$Q$42:$Q$1040,SUBSTITUTE(SUBSTITUTE(SUBSTITUTE($M151,"~","~~"),"*","~*"),"?","~?"))/$C151)</f>
        <v>0.0</v>
      </c>
      <c r="E151" s="10">
        <f>IF($C151=0,"",SUMIFS('DEF_SELF_SCOUT_IMPORT'!$K$42:$K$1040,'DEF_SELF_SCOUT_IMPORT'!$L$42:$L$1040,"Y",'DEF_SELF_SCOUT_IMPORT'!$E$42:$E$1040,SUBSTITUTE(SUBSTITUTE(SUBSTITUTE($B151,"~","~~"),"*","~*"),"?","~?"),'DEF_SELF_SCOUT_IMPORT'!$Q$42:$Q$1040,SUBSTITUTE(SUBSTITUTE(SUBSTITUTE($M151,"~","~~"),"*","~*"),"?","~?"))/$C151)</f>
        <v>0.0</v>
      </c>
      <c r="F151" s="11">
        <f>IF($C151=0,"",AVERAGEIFS('DEF_SELF_SCOUT_IMPORT'!$I$42:$I$1040,'DEF_SELF_SCOUT_IMPORT'!$L$42:$L$1040,"Y",'DEF_SELF_SCOUT_IMPORT'!$E$42:$E$1040,SUBSTITUTE(SUBSTITUTE(SUBSTITUTE($B151,"~","~~"),"*","~*"),"?","~?"),'DEF_SELF_SCOUT_IMPORT'!$Q$42:$Q$1040,SUBSTITUTE(SUBSTITUTE(SUBSTITUTE($M151,"~","~~"),"*","~*"),"?","~?")))</f>
        <v>13.0</v>
      </c>
      <c r="G151" s="10">
        <f>IF($C151=0,"",COUNTIFS('DEF_SELF_SCOUT_IMPORT'!$L$42:$L$1040,"Y",'DEF_SELF_SCOUT_IMPORT'!$E$42:$E$1040,SUBSTITUTE(SUBSTITUTE(SUBSTITUTE($B151,"~","~~"),"*","~*"),"?","~?"),'DEF_SELF_SCOUT_IMPORT'!$Q$42:$Q$1040,SUBSTITUTE(SUBSTITUTE(SUBSTITUTE($M151,"~","~~"),"*","~*"),"?","~?"),'DEF_SELF_SCOUT_IMPORT'!$H$42:$H$1040,"RUSH")/$C151)</f>
        <v>0.0</v>
      </c>
      <c r="H151" s="10">
        <f>IF($C151=0,"",COUNTIFS('DEF_SELF_SCOUT_IMPORT'!$L$42:$L$1040,"Y",'DEF_SELF_SCOUT_IMPORT'!$E$42:$E$1040,SUBSTITUTE(SUBSTITUTE(SUBSTITUTE($B151,"~","~~"),"*","~*"),"?","~?"),'DEF_SELF_SCOUT_IMPORT'!$Q$42:$Q$1040,SUBSTITUTE(SUBSTITUTE(SUBSTITUTE($M151,"~","~~"),"*","~*"),"?","~?"),'DEF_SELF_SCOUT_IMPORT'!$H$42:$H$1040,"DROPBACK")/$C151)</f>
        <v>1.0</v>
      </c>
      <c r="I151" s="14" t="str">
        <f>IF(C151=0,"",IF(C151&lt;=2,"TRACK",IF(C151=3,"LOW",IF(C151&lt;=6,"MEDIUM","HIGH"))))</f>
        <v>TRACK</v>
      </c>
      <c r="J151" s="11">
        <f>IF(C151=0,"",ROUND(D151*70+(1-E151)*20+MAX(0,MIN(1,(10-F151)/10))*10,1))</f>
        <v>20.0</v>
      </c>
      <c r="K151" s="14" t="str">
        <f>IF(C151=0,"No Evidence",IF(C151&lt;=2,IF(E151&gt;0,"Explosive Alert","Track Only"),IF(C151=3,"Sample Watch",IF(E151&gt;=START_HERE!$B$31,"Explosive Alert",IF(J151&gt;=80,"Strong Candidate",IF(J151&gt;=65,"Good Candidate",IF(J151&gt;=50,"Mixed / Review","Problem Call")))))))</f>
        <v>Track Only</v>
      </c>
      <c r="L151" s="9" t="str">
        <f>IF(COUNTIFS('DEF_SELF_SCOUT_IMPORT'!$L$42:$L$1040,"Y",'DEF_SELF_SCOUT_IMPORT'!$E$42:$E$1040,SUBSTITUTE(SUBSTITUTE(SUBSTITUTE($B151,"~","~~"),"*","~*"),"?","~?"),'DEF_SELF_SCOUT_IMPORT'!$Q$42:$Q$1040,SUBSTITUTE(SUBSTITUTE(SUBSTITUTE($M151,"~","~~"),"*","~*"),"?","~?"),'DEF_SELF_SCOUT_IMPORT'!$J$42:$J$1040,"")&gt;0,"Unscored clean outcome; review result tags before using score.",IF(C151=0,"No matching defensive reps; film confirmation needed.",IF(K151="Explosive Alert","Explosive risk; review clips before using as answer.",IF(C151&lt;=2,"Track only; not enough sample.",IF(C151=3,IF(E151&gt;0,"Sample watch with explosive exposure; review clips and build the sample.",IF(J151&gt;=65,"Good signal, but sample is limited.","Sample watch; review clips and build the sample.")),IF(K151="Problem Call","Problem area; practice or call-sheet review.",IF(K151="Strong Candidate","Strong call-fit candidate; confirm on film.",IF(K151="Good Candidate","Good call-fit signal; confirm on film.","Mixed signal; review fit and execution on film."))))))))</f>
        <v>Track only; not enough sample.</v>
      </c>
      <c r="M151" s="8" t="s">
        <v>107</v>
      </c>
      <c r="N151" s="8"/>
      <c r="O151" s="8"/>
      <c r="P151" s="8"/>
      <c r="Q151" s="8"/>
      <c r="R151" s="8" t="s">
        <v>28</v>
      </c>
      <c r="S151" s="2" t="s">
        <v>108</v>
      </c>
      <c r="T151" s="2">
        <f>IF(C151=0,0,IF(C151&gt;=CALL_LOOKUP_BOARD!$B$7,IF(OR(K151="Problem Call",K151="Explosive Alert"),10000000,20000000),0)+IF(C151&gt;=CALL_LOOKUP_BOARD!$B$7,J151*1000+MIN(C151,999),C151*1000+J151)+0.00985800)</f>
        <v>1020.009858</v>
      </c>
      <c r="U151" s="2">
        <f>IF(C151=0,"",IF(COUNTIFS($S$10:$S$178,SUBSTITUTE(SUBSTITUTE(SUBSTITUTE(S151,"~","~~"),"*","~*"),"?","~?"),$T$10:$T$178,"&gt;"&amp;T151)=0,S151,""))</f>
        <v/>
      </c>
    </row>
    <row r="152" spans="1:21" ht="38" customHeight="1">
      <c r="A152" s="8" t="s">
        <v>107</v>
      </c>
      <c r="B152" s="8" t="s">
        <v>102</v>
      </c>
      <c r="C152" s="12">
        <f>COUNTIFS('DEF_SELF_SCOUT_IMPORT'!$L$42:$L$1040,"Y",'DEF_SELF_SCOUT_IMPORT'!$E$42:$E$1040,SUBSTITUTE(SUBSTITUTE(SUBSTITUTE($B152,"~","~~"),"*","~*"),"?","~?"),'DEF_SELF_SCOUT_IMPORT'!$Q$42:$Q$1040,SUBSTITUTE(SUBSTITUTE(SUBSTITUTE($M152,"~","~~"),"*","~*"),"?","~?"))</f>
        <v>2</v>
      </c>
      <c r="D152" s="10">
        <f>IF($C152=0,"",SUMIFS('DEF_SELF_SCOUT_IMPORT'!$J$42:$J$1040,'DEF_SELF_SCOUT_IMPORT'!$L$42:$L$1040,"Y",'DEF_SELF_SCOUT_IMPORT'!$E$42:$E$1040,SUBSTITUTE(SUBSTITUTE(SUBSTITUTE($B152,"~","~~"),"*","~*"),"?","~?"),'DEF_SELF_SCOUT_IMPORT'!$Q$42:$Q$1040,SUBSTITUTE(SUBSTITUTE(SUBSTITUTE($M152,"~","~~"),"*","~*"),"?","~?"))/$C152)</f>
        <v>1.0</v>
      </c>
      <c r="E152" s="10">
        <f>IF($C152=0,"",SUMIFS('DEF_SELF_SCOUT_IMPORT'!$K$42:$K$1040,'DEF_SELF_SCOUT_IMPORT'!$L$42:$L$1040,"Y",'DEF_SELF_SCOUT_IMPORT'!$E$42:$E$1040,SUBSTITUTE(SUBSTITUTE(SUBSTITUTE($B152,"~","~~"),"*","~*"),"?","~?"),'DEF_SELF_SCOUT_IMPORT'!$Q$42:$Q$1040,SUBSTITUTE(SUBSTITUTE(SUBSTITUTE($M152,"~","~~"),"*","~*"),"?","~?"))/$C152)</f>
        <v>0.0</v>
      </c>
      <c r="F152" s="11">
        <f>IF($C152=0,"",AVERAGEIFS('DEF_SELF_SCOUT_IMPORT'!$I$42:$I$1040,'DEF_SELF_SCOUT_IMPORT'!$L$42:$L$1040,"Y",'DEF_SELF_SCOUT_IMPORT'!$E$42:$E$1040,SUBSTITUTE(SUBSTITUTE(SUBSTITUTE($B152,"~","~~"),"*","~*"),"?","~?"),'DEF_SELF_SCOUT_IMPORT'!$Q$42:$Q$1040,SUBSTITUTE(SUBSTITUTE(SUBSTITUTE($M152,"~","~~"),"*","~*"),"?","~?")))</f>
        <v>4.0</v>
      </c>
      <c r="G152" s="10">
        <f>IF($C152=0,"",COUNTIFS('DEF_SELF_SCOUT_IMPORT'!$L$42:$L$1040,"Y",'DEF_SELF_SCOUT_IMPORT'!$E$42:$E$1040,SUBSTITUTE(SUBSTITUTE(SUBSTITUTE($B152,"~","~~"),"*","~*"),"?","~?"),'DEF_SELF_SCOUT_IMPORT'!$Q$42:$Q$1040,SUBSTITUTE(SUBSTITUTE(SUBSTITUTE($M152,"~","~~"),"*","~*"),"?","~?"),'DEF_SELF_SCOUT_IMPORT'!$H$42:$H$1040,"RUSH")/$C152)</f>
        <v>0.5</v>
      </c>
      <c r="H152" s="10">
        <f>IF($C152=0,"",COUNTIFS('DEF_SELF_SCOUT_IMPORT'!$L$42:$L$1040,"Y",'DEF_SELF_SCOUT_IMPORT'!$E$42:$E$1040,SUBSTITUTE(SUBSTITUTE(SUBSTITUTE($B152,"~","~~"),"*","~*"),"?","~?"),'DEF_SELF_SCOUT_IMPORT'!$Q$42:$Q$1040,SUBSTITUTE(SUBSTITUTE(SUBSTITUTE($M152,"~","~~"),"*","~*"),"?","~?"),'DEF_SELF_SCOUT_IMPORT'!$H$42:$H$1040,"DROPBACK")/$C152)</f>
        <v>0.5</v>
      </c>
      <c r="I152" s="14" t="str">
        <f>IF(C152=0,"",IF(C152&lt;=2,"TRACK",IF(C152=3,"LOW",IF(C152&lt;=6,"MEDIUM","HIGH"))))</f>
        <v>TRACK</v>
      </c>
      <c r="J152" s="11">
        <f>IF(C152=0,"",ROUND(D152*70+(1-E152)*20+MAX(0,MIN(1,(10-F152)/10))*10,1))</f>
        <v>96.0</v>
      </c>
      <c r="K152" s="14" t="str">
        <f>IF(C152=0,"No Evidence",IF(C152&lt;=2,IF(E152&gt;0,"Explosive Alert","Track Only"),IF(C152=3,"Sample Watch",IF(E152&gt;=START_HERE!$B$31,"Explosive Alert",IF(J152&gt;=80,"Strong Candidate",IF(J152&gt;=65,"Good Candidate",IF(J152&gt;=50,"Mixed / Review","Problem Call")))))))</f>
        <v>Track Only</v>
      </c>
      <c r="L152" s="9" t="str">
        <f>IF(COUNTIFS('DEF_SELF_SCOUT_IMPORT'!$L$42:$L$1040,"Y",'DEF_SELF_SCOUT_IMPORT'!$E$42:$E$1040,SUBSTITUTE(SUBSTITUTE(SUBSTITUTE($B152,"~","~~"),"*","~*"),"?","~?"),'DEF_SELF_SCOUT_IMPORT'!$Q$42:$Q$1040,SUBSTITUTE(SUBSTITUTE(SUBSTITUTE($M152,"~","~~"),"*","~*"),"?","~?"),'DEF_SELF_SCOUT_IMPORT'!$J$42:$J$1040,"")&gt;0,"Unscored clean outcome; review result tags before using score.",IF(C152=0,"No matching defensive reps; film confirmation needed.",IF(K152="Explosive Alert","Explosive risk; review clips before using as answer.",IF(C152&lt;=2,"Track only; not enough sample.",IF(C152=3,IF(E152&gt;0,"Sample watch with explosive exposure; review clips and build the sample.",IF(J152&gt;=65,"Good signal, but sample is limited.","Sample watch; review clips and build the sample.")),IF(K152="Problem Call","Problem area; practice or call-sheet review.",IF(K152="Strong Candidate","Strong call-fit candidate; confirm on film.",IF(K152="Good Candidate","Good call-fit signal; confirm on film.","Mixed signal; review fit and execution on film."))))))))</f>
        <v>Track only; not enough sample.</v>
      </c>
      <c r="M152" s="8" t="s">
        <v>107</v>
      </c>
      <c r="N152" s="8"/>
      <c r="O152" s="8"/>
      <c r="P152" s="8"/>
      <c r="Q152" s="8"/>
      <c r="R152" s="8" t="s">
        <v>28</v>
      </c>
      <c r="S152" s="2" t="s">
        <v>108</v>
      </c>
      <c r="T152" s="2">
        <f>IF(C152=0,0,IF(C152&gt;=CALL_LOOKUP_BOARD!$B$7,IF(OR(K152="Problem Call",K152="Explosive Alert"),10000000,20000000),0)+IF(C152&gt;=CALL_LOOKUP_BOARD!$B$7,J152*1000+MIN(C152,999),C152*1000+J152)+0.00985700)</f>
        <v>2096.009857</v>
      </c>
      <c r="U152" s="2" t="str">
        <f>IF(C152=0,"",IF(COUNTIFS($S$10:$S$178,SUBSTITUTE(SUBSTITUTE(SUBSTITUTE(S152,"~","~~"),"*","~*"),"?","~?"),$T$10:$T$178,"&gt;"&amp;T152)=0,S152,""))</f>
        <v>7:3D 7-10|</v>
      </c>
    </row>
    <row r="153" spans="1:21" ht="38" customHeight="1">
      <c r="A153" s="8" t="s">
        <v>107</v>
      </c>
      <c r="B153" s="8" t="s">
        <v>91</v>
      </c>
      <c r="C153" s="12">
        <f>COUNTIFS('DEF_SELF_SCOUT_IMPORT'!$L$42:$L$1040,"Y",'DEF_SELF_SCOUT_IMPORT'!$E$42:$E$1040,SUBSTITUTE(SUBSTITUTE(SUBSTITUTE($B153,"~","~~"),"*","~*"),"?","~?"),'DEF_SELF_SCOUT_IMPORT'!$Q$42:$Q$1040,SUBSTITUTE(SUBSTITUTE(SUBSTITUTE($M153,"~","~~"),"*","~*"),"?","~?"))</f>
        <v>1</v>
      </c>
      <c r="D153" s="10">
        <f>IF($C153=0,"",SUMIFS('DEF_SELF_SCOUT_IMPORT'!$J$42:$J$1040,'DEF_SELF_SCOUT_IMPORT'!$L$42:$L$1040,"Y",'DEF_SELF_SCOUT_IMPORT'!$E$42:$E$1040,SUBSTITUTE(SUBSTITUTE(SUBSTITUTE($B153,"~","~~"),"*","~*"),"?","~?"),'DEF_SELF_SCOUT_IMPORT'!$Q$42:$Q$1040,SUBSTITUTE(SUBSTITUTE(SUBSTITUTE($M153,"~","~~"),"*","~*"),"?","~?"))/$C153)</f>
        <v>1.0</v>
      </c>
      <c r="E153" s="10">
        <f>IF($C153=0,"",SUMIFS('DEF_SELF_SCOUT_IMPORT'!$K$42:$K$1040,'DEF_SELF_SCOUT_IMPORT'!$L$42:$L$1040,"Y",'DEF_SELF_SCOUT_IMPORT'!$E$42:$E$1040,SUBSTITUTE(SUBSTITUTE(SUBSTITUTE($B153,"~","~~"),"*","~*"),"?","~?"),'DEF_SELF_SCOUT_IMPORT'!$Q$42:$Q$1040,SUBSTITUTE(SUBSTITUTE(SUBSTITUTE($M153,"~","~~"),"*","~*"),"?","~?"))/$C153)</f>
        <v>0.0</v>
      </c>
      <c r="F153" s="11">
        <f>IF($C153=0,"",AVERAGEIFS('DEF_SELF_SCOUT_IMPORT'!$I$42:$I$1040,'DEF_SELF_SCOUT_IMPORT'!$L$42:$L$1040,"Y",'DEF_SELF_SCOUT_IMPORT'!$E$42:$E$1040,SUBSTITUTE(SUBSTITUTE(SUBSTITUTE($B153,"~","~~"),"*","~*"),"?","~?"),'DEF_SELF_SCOUT_IMPORT'!$Q$42:$Q$1040,SUBSTITUTE(SUBSTITUTE(SUBSTITUTE($M153,"~","~~"),"*","~*"),"?","~?")))</f>
        <v>0.0</v>
      </c>
      <c r="G153" s="10">
        <f>IF($C153=0,"",COUNTIFS('DEF_SELF_SCOUT_IMPORT'!$L$42:$L$1040,"Y",'DEF_SELF_SCOUT_IMPORT'!$E$42:$E$1040,SUBSTITUTE(SUBSTITUTE(SUBSTITUTE($B153,"~","~~"),"*","~*"),"?","~?"),'DEF_SELF_SCOUT_IMPORT'!$Q$42:$Q$1040,SUBSTITUTE(SUBSTITUTE(SUBSTITUTE($M153,"~","~~"),"*","~*"),"?","~?"),'DEF_SELF_SCOUT_IMPORT'!$H$42:$H$1040,"RUSH")/$C153)</f>
        <v>0.0</v>
      </c>
      <c r="H153" s="10">
        <f>IF($C153=0,"",COUNTIFS('DEF_SELF_SCOUT_IMPORT'!$L$42:$L$1040,"Y",'DEF_SELF_SCOUT_IMPORT'!$E$42:$E$1040,SUBSTITUTE(SUBSTITUTE(SUBSTITUTE($B153,"~","~~"),"*","~*"),"?","~?"),'DEF_SELF_SCOUT_IMPORT'!$Q$42:$Q$1040,SUBSTITUTE(SUBSTITUTE(SUBSTITUTE($M153,"~","~~"),"*","~*"),"?","~?"),'DEF_SELF_SCOUT_IMPORT'!$H$42:$H$1040,"DROPBACK")/$C153)</f>
        <v>1.0</v>
      </c>
      <c r="I153" s="14" t="str">
        <f>IF(C153=0,"",IF(C153&lt;=2,"TRACK",IF(C153=3,"LOW",IF(C153&lt;=6,"MEDIUM","HIGH"))))</f>
        <v>TRACK</v>
      </c>
      <c r="J153" s="11">
        <f>IF(C153=0,"",ROUND(D153*70+(1-E153)*20+MAX(0,MIN(1,(10-F153)/10))*10,1))</f>
        <v>100.0</v>
      </c>
      <c r="K153" s="14" t="str">
        <f>IF(C153=0,"No Evidence",IF(C153&lt;=2,IF(E153&gt;0,"Explosive Alert","Track Only"),IF(C153=3,"Sample Watch",IF(E153&gt;=START_HERE!$B$31,"Explosive Alert",IF(J153&gt;=80,"Strong Candidate",IF(J153&gt;=65,"Good Candidate",IF(J153&gt;=50,"Mixed / Review","Problem Call")))))))</f>
        <v>Track Only</v>
      </c>
      <c r="L153" s="9" t="str">
        <f>IF(COUNTIFS('DEF_SELF_SCOUT_IMPORT'!$L$42:$L$1040,"Y",'DEF_SELF_SCOUT_IMPORT'!$E$42:$E$1040,SUBSTITUTE(SUBSTITUTE(SUBSTITUTE($B153,"~","~~"),"*","~*"),"?","~?"),'DEF_SELF_SCOUT_IMPORT'!$Q$42:$Q$1040,SUBSTITUTE(SUBSTITUTE(SUBSTITUTE($M153,"~","~~"),"*","~*"),"?","~?"),'DEF_SELF_SCOUT_IMPORT'!$J$42:$J$1040,"")&gt;0,"Unscored clean outcome; review result tags before using score.",IF(C153=0,"No matching defensive reps; film confirmation needed.",IF(K153="Explosive Alert","Explosive risk; review clips before using as answer.",IF(C153&lt;=2,"Track only; not enough sample.",IF(C153=3,IF(E153&gt;0,"Sample watch with explosive exposure; review clips and build the sample.",IF(J153&gt;=65,"Good signal, but sample is limited.","Sample watch; review clips and build the sample.")),IF(K153="Problem Call","Problem area; practice or call-sheet review.",IF(K153="Strong Candidate","Strong call-fit candidate; confirm on film.",IF(K153="Good Candidate","Good call-fit signal; confirm on film.","Mixed signal; review fit and execution on film."))))))))</f>
        <v>Track only; not enough sample.</v>
      </c>
      <c r="M153" s="8" t="s">
        <v>107</v>
      </c>
      <c r="N153" s="8"/>
      <c r="O153" s="8"/>
      <c r="P153" s="8"/>
      <c r="Q153" s="8"/>
      <c r="R153" s="8" t="s">
        <v>28</v>
      </c>
      <c r="S153" s="2" t="s">
        <v>108</v>
      </c>
      <c r="T153" s="2">
        <f>IF(C153=0,0,IF(C153&gt;=CALL_LOOKUP_BOARD!$B$7,IF(OR(K153="Problem Call",K153="Explosive Alert"),10000000,20000000),0)+IF(C153&gt;=CALL_LOOKUP_BOARD!$B$7,J153*1000+MIN(C153,999),C153*1000+J153)+0.00985600)</f>
        <v>1100.009856</v>
      </c>
      <c r="U153" s="2">
        <f>IF(C153=0,"",IF(COUNTIFS($S$10:$S$178,SUBSTITUTE(SUBSTITUTE(SUBSTITUTE(S153,"~","~~"),"*","~*"),"?","~?"),$T$10:$T$178,"&gt;"&amp;T153)=0,S153,""))</f>
        <v/>
      </c>
    </row>
    <row r="154" spans="1:21" ht="38" customHeight="1">
      <c r="A154" s="8" t="s">
        <v>111</v>
      </c>
      <c r="B154" s="8" t="s">
        <v>27</v>
      </c>
      <c r="C154" s="12">
        <f>COUNTIFS('DEF_SELF_SCOUT_IMPORT'!$L$42:$L$1040,"Y",'DEF_SELF_SCOUT_IMPORT'!$E$42:$E$1040,SUBSTITUTE(SUBSTITUTE(SUBSTITUTE($B154,"~","~~"),"*","~*"),"?","~?"),'DEF_SELF_SCOUT_IMPORT'!$Q$42:$Q$1040,SUBSTITUTE(SUBSTITUTE(SUBSTITUTE($M154,"~","~~"),"*","~*"),"?","~?"))</f>
        <v>2</v>
      </c>
      <c r="D154" s="10">
        <f>IF($C154=0,"",SUMIFS('DEF_SELF_SCOUT_IMPORT'!$J$42:$J$1040,'DEF_SELF_SCOUT_IMPORT'!$L$42:$L$1040,"Y",'DEF_SELF_SCOUT_IMPORT'!$E$42:$E$1040,SUBSTITUTE(SUBSTITUTE(SUBSTITUTE($B154,"~","~~"),"*","~*"),"?","~?"),'DEF_SELF_SCOUT_IMPORT'!$Q$42:$Q$1040,SUBSTITUTE(SUBSTITUTE(SUBSTITUTE($M154,"~","~~"),"*","~*"),"?","~?"))/$C154)</f>
        <v>0.0</v>
      </c>
      <c r="E154" s="10">
        <f>IF($C154=0,"",SUMIFS('DEF_SELF_SCOUT_IMPORT'!$K$42:$K$1040,'DEF_SELF_SCOUT_IMPORT'!$L$42:$L$1040,"Y",'DEF_SELF_SCOUT_IMPORT'!$E$42:$E$1040,SUBSTITUTE(SUBSTITUTE(SUBSTITUTE($B154,"~","~~"),"*","~*"),"?","~?"),'DEF_SELF_SCOUT_IMPORT'!$Q$42:$Q$1040,SUBSTITUTE(SUBSTITUTE(SUBSTITUTE($M154,"~","~~"),"*","~*"),"?","~?"))/$C154)</f>
        <v>0.5</v>
      </c>
      <c r="F154" s="11">
        <f>IF($C154=0,"",AVERAGEIFS('DEF_SELF_SCOUT_IMPORT'!$I$42:$I$1040,'DEF_SELF_SCOUT_IMPORT'!$L$42:$L$1040,"Y",'DEF_SELF_SCOUT_IMPORT'!$E$42:$E$1040,SUBSTITUTE(SUBSTITUTE(SUBSTITUTE($B154,"~","~~"),"*","~*"),"?","~?"),'DEF_SELF_SCOUT_IMPORT'!$Q$42:$Q$1040,SUBSTITUTE(SUBSTITUTE(SUBSTITUTE($M154,"~","~~"),"*","~*"),"?","~?")))</f>
        <v>13.5</v>
      </c>
      <c r="G154" s="10">
        <f>IF($C154=0,"",COUNTIFS('DEF_SELF_SCOUT_IMPORT'!$L$42:$L$1040,"Y",'DEF_SELF_SCOUT_IMPORT'!$E$42:$E$1040,SUBSTITUTE(SUBSTITUTE(SUBSTITUTE($B154,"~","~~"),"*","~*"),"?","~?"),'DEF_SELF_SCOUT_IMPORT'!$Q$42:$Q$1040,SUBSTITUTE(SUBSTITUTE(SUBSTITUTE($M154,"~","~~"),"*","~*"),"?","~?"),'DEF_SELF_SCOUT_IMPORT'!$H$42:$H$1040,"RUSH")/$C154)</f>
        <v>0.0</v>
      </c>
      <c r="H154" s="10">
        <f>IF($C154=0,"",COUNTIFS('DEF_SELF_SCOUT_IMPORT'!$L$42:$L$1040,"Y",'DEF_SELF_SCOUT_IMPORT'!$E$42:$E$1040,SUBSTITUTE(SUBSTITUTE(SUBSTITUTE($B154,"~","~~"),"*","~*"),"?","~?"),'DEF_SELF_SCOUT_IMPORT'!$Q$42:$Q$1040,SUBSTITUTE(SUBSTITUTE(SUBSTITUTE($M154,"~","~~"),"*","~*"),"?","~?"),'DEF_SELF_SCOUT_IMPORT'!$H$42:$H$1040,"DROPBACK")/$C154)</f>
        <v>1.0</v>
      </c>
      <c r="I154" s="14" t="str">
        <f>IF(C154=0,"",IF(C154&lt;=2,"TRACK",IF(C154=3,"LOW",IF(C154&lt;=6,"MEDIUM","HIGH"))))</f>
        <v>TRACK</v>
      </c>
      <c r="J154" s="11">
        <f>IF(C154=0,"",ROUND(D154*70+(1-E154)*20+MAX(0,MIN(1,(10-F154)/10))*10,1))</f>
        <v>10.0</v>
      </c>
      <c r="K154" s="14" t="str">
        <f>IF(C154=0,"No Evidence",IF(C154&lt;=2,IF(E154&gt;0,"Explosive Alert","Track Only"),IF(C154=3,"Sample Watch",IF(E154&gt;=START_HERE!$B$31,"Explosive Alert",IF(J154&gt;=80,"Strong Candidate",IF(J154&gt;=65,"Good Candidate",IF(J154&gt;=50,"Mixed / Review","Problem Call")))))))</f>
        <v>Explosive Alert</v>
      </c>
      <c r="L154" s="9" t="str">
        <f>IF(COUNTIFS('DEF_SELF_SCOUT_IMPORT'!$L$42:$L$1040,"Y",'DEF_SELF_SCOUT_IMPORT'!$E$42:$E$1040,SUBSTITUTE(SUBSTITUTE(SUBSTITUTE($B154,"~","~~"),"*","~*"),"?","~?"),'DEF_SELF_SCOUT_IMPORT'!$Q$42:$Q$1040,SUBSTITUTE(SUBSTITUTE(SUBSTITUTE($M154,"~","~~"),"*","~*"),"?","~?"),'DEF_SELF_SCOUT_IMPORT'!$J$42:$J$1040,"")&gt;0,"Unscored clean outcome; review result tags before using score.",IF(C154=0,"No matching defensive reps; film confirmation needed.",IF(K154="Explosive Alert","Explosive risk; review clips before using as answer.",IF(C154&lt;=2,"Track only; not enough sample.",IF(C154=3,IF(E154&gt;0,"Sample watch with explosive exposure; review clips and build the sample.",IF(J154&gt;=65,"Good signal, but sample is limited.","Sample watch; review clips and build the sample.")),IF(K154="Problem Call","Problem area; practice or call-sheet review.",IF(K154="Strong Candidate","Strong call-fit candidate; confirm on film.",IF(K154="Good Candidate","Good call-fit signal; confirm on film.","Mixed signal; review fit and execution on film."))))))))</f>
        <v>Explosive risk; review clips before using as answer.</v>
      </c>
      <c r="M154" s="8" t="s">
        <v>111</v>
      </c>
      <c r="N154" s="8"/>
      <c r="O154" s="8"/>
      <c r="P154" s="8"/>
      <c r="Q154" s="8"/>
      <c r="R154" s="8" t="s">
        <v>28</v>
      </c>
      <c r="S154" s="2" t="s">
        <v>112</v>
      </c>
      <c r="T154" s="2">
        <f>IF(C154=0,0,IF(C154&gt;=CALL_LOOKUP_BOARD!$B$7,IF(OR(K154="Problem Call",K154="Explosive Alert"),10000000,20000000),0)+IF(C154&gt;=CALL_LOOKUP_BOARD!$B$7,J154*1000+MIN(C154,999),C154*1000+J154)+0.00985500)</f>
        <v>2010.009855</v>
      </c>
      <c r="U154" s="2" t="str">
        <f>IF(C154=0,"",IF(COUNTIFS($S$10:$S$178,SUBSTITUTE(SUBSTITUTE(SUBSTITUTE(S154,"~","~~"),"*","~*"),"?","~?"),$T$10:$T$178,"&gt;"&amp;T154)=0,S154,""))</f>
        <v>6:4D 1-3|</v>
      </c>
    </row>
    <row r="155" spans="1:21" ht="38" customHeight="1">
      <c r="A155" s="8" t="s">
        <v>111</v>
      </c>
      <c r="B155" s="8" t="s">
        <v>95</v>
      </c>
      <c r="C155" s="12">
        <f>COUNTIFS('DEF_SELF_SCOUT_IMPORT'!$L$42:$L$1040,"Y",'DEF_SELF_SCOUT_IMPORT'!$E$42:$E$1040,SUBSTITUTE(SUBSTITUTE(SUBSTITUTE($B155,"~","~~"),"*","~*"),"?","~?"),'DEF_SELF_SCOUT_IMPORT'!$Q$42:$Q$1040,SUBSTITUTE(SUBSTITUTE(SUBSTITUTE($M155,"~","~~"),"*","~*"),"?","~?"))</f>
        <v>1</v>
      </c>
      <c r="D155" s="10">
        <f>IF($C155=0,"",SUMIFS('DEF_SELF_SCOUT_IMPORT'!$J$42:$J$1040,'DEF_SELF_SCOUT_IMPORT'!$L$42:$L$1040,"Y",'DEF_SELF_SCOUT_IMPORT'!$E$42:$E$1040,SUBSTITUTE(SUBSTITUTE(SUBSTITUTE($B155,"~","~~"),"*","~*"),"?","~?"),'DEF_SELF_SCOUT_IMPORT'!$Q$42:$Q$1040,SUBSTITUTE(SUBSTITUTE(SUBSTITUTE($M155,"~","~~"),"*","~*"),"?","~?"))/$C155)</f>
        <v>0.0</v>
      </c>
      <c r="E155" s="10">
        <f>IF($C155=0,"",SUMIFS('DEF_SELF_SCOUT_IMPORT'!$K$42:$K$1040,'DEF_SELF_SCOUT_IMPORT'!$L$42:$L$1040,"Y",'DEF_SELF_SCOUT_IMPORT'!$E$42:$E$1040,SUBSTITUTE(SUBSTITUTE(SUBSTITUTE($B155,"~","~~"),"*","~*"),"?","~?"),'DEF_SELF_SCOUT_IMPORT'!$Q$42:$Q$1040,SUBSTITUTE(SUBSTITUTE(SUBSTITUTE($M155,"~","~~"),"*","~*"),"?","~?"))/$C155)</f>
        <v>0.0</v>
      </c>
      <c r="F155" s="11">
        <f>IF($C155=0,"",AVERAGEIFS('DEF_SELF_SCOUT_IMPORT'!$I$42:$I$1040,'DEF_SELF_SCOUT_IMPORT'!$L$42:$L$1040,"Y",'DEF_SELF_SCOUT_IMPORT'!$E$42:$E$1040,SUBSTITUTE(SUBSTITUTE(SUBSTITUTE($B155,"~","~~"),"*","~*"),"?","~?"),'DEF_SELF_SCOUT_IMPORT'!$Q$42:$Q$1040,SUBSTITUTE(SUBSTITUTE(SUBSTITUTE($M155,"~","~~"),"*","~*"),"?","~?")))</f>
        <v>3.0</v>
      </c>
      <c r="G155" s="10">
        <f>IF($C155=0,"",COUNTIFS('DEF_SELF_SCOUT_IMPORT'!$L$42:$L$1040,"Y",'DEF_SELF_SCOUT_IMPORT'!$E$42:$E$1040,SUBSTITUTE(SUBSTITUTE(SUBSTITUTE($B155,"~","~~"),"*","~*"),"?","~?"),'DEF_SELF_SCOUT_IMPORT'!$Q$42:$Q$1040,SUBSTITUTE(SUBSTITUTE(SUBSTITUTE($M155,"~","~~"),"*","~*"),"?","~?"),'DEF_SELF_SCOUT_IMPORT'!$H$42:$H$1040,"RUSH")/$C155)</f>
        <v>1.0</v>
      </c>
      <c r="H155" s="10">
        <f>IF($C155=0,"",COUNTIFS('DEF_SELF_SCOUT_IMPORT'!$L$42:$L$1040,"Y",'DEF_SELF_SCOUT_IMPORT'!$E$42:$E$1040,SUBSTITUTE(SUBSTITUTE(SUBSTITUTE($B155,"~","~~"),"*","~*"),"?","~?"),'DEF_SELF_SCOUT_IMPORT'!$Q$42:$Q$1040,SUBSTITUTE(SUBSTITUTE(SUBSTITUTE($M155,"~","~~"),"*","~*"),"?","~?"),'DEF_SELF_SCOUT_IMPORT'!$H$42:$H$1040,"DROPBACK")/$C155)</f>
        <v>0.0</v>
      </c>
      <c r="I155" s="14" t="str">
        <f>IF(C155=0,"",IF(C155&lt;=2,"TRACK",IF(C155=3,"LOW",IF(C155&lt;=6,"MEDIUM","HIGH"))))</f>
        <v>TRACK</v>
      </c>
      <c r="J155" s="11">
        <f>IF(C155=0,"",ROUND(D155*70+(1-E155)*20+MAX(0,MIN(1,(10-F155)/10))*10,1))</f>
        <v>27.0</v>
      </c>
      <c r="K155" s="14" t="str">
        <f>IF(C155=0,"No Evidence",IF(C155&lt;=2,IF(E155&gt;0,"Explosive Alert","Track Only"),IF(C155=3,"Sample Watch",IF(E155&gt;=START_HERE!$B$31,"Explosive Alert",IF(J155&gt;=80,"Strong Candidate",IF(J155&gt;=65,"Good Candidate",IF(J155&gt;=50,"Mixed / Review","Problem Call")))))))</f>
        <v>Track Only</v>
      </c>
      <c r="L155" s="9" t="str">
        <f>IF(COUNTIFS('DEF_SELF_SCOUT_IMPORT'!$L$42:$L$1040,"Y",'DEF_SELF_SCOUT_IMPORT'!$E$42:$E$1040,SUBSTITUTE(SUBSTITUTE(SUBSTITUTE($B155,"~","~~"),"*","~*"),"?","~?"),'DEF_SELF_SCOUT_IMPORT'!$Q$42:$Q$1040,SUBSTITUTE(SUBSTITUTE(SUBSTITUTE($M155,"~","~~"),"*","~*"),"?","~?"),'DEF_SELF_SCOUT_IMPORT'!$J$42:$J$1040,"")&gt;0,"Unscored clean outcome; review result tags before using score.",IF(C155=0,"No matching defensive reps; film confirmation needed.",IF(K155="Explosive Alert","Explosive risk; review clips before using as answer.",IF(C155&lt;=2,"Track only; not enough sample.",IF(C155=3,IF(E155&gt;0,"Sample watch with explosive exposure; review clips and build the sample.",IF(J155&gt;=65,"Good signal, but sample is limited.","Sample watch; review clips and build the sample.")),IF(K155="Problem Call","Problem area; practice or call-sheet review.",IF(K155="Strong Candidate","Strong call-fit candidate; confirm on film.",IF(K155="Good Candidate","Good call-fit signal; confirm on film.","Mixed signal; review fit and execution on film."))))))))</f>
        <v>Track only; not enough sample.</v>
      </c>
      <c r="M155" s="8" t="s">
        <v>111</v>
      </c>
      <c r="N155" s="8"/>
      <c r="O155" s="8"/>
      <c r="P155" s="8"/>
      <c r="Q155" s="8"/>
      <c r="R155" s="8" t="s">
        <v>28</v>
      </c>
      <c r="S155" s="2" t="s">
        <v>112</v>
      </c>
      <c r="T155" s="2">
        <f>IF(C155=0,0,IF(C155&gt;=CALL_LOOKUP_BOARD!$B$7,IF(OR(K155="Problem Call",K155="Explosive Alert"),10000000,20000000),0)+IF(C155&gt;=CALL_LOOKUP_BOARD!$B$7,J155*1000+MIN(C155,999),C155*1000+J155)+0.00985400)</f>
        <v>1027.009854</v>
      </c>
      <c r="U155" s="2">
        <f>IF(C155=0,"",IF(COUNTIFS($S$10:$S$178,SUBSTITUTE(SUBSTITUTE(SUBSTITUTE(S155,"~","~~"),"*","~*"),"?","~?"),$T$10:$T$178,"&gt;"&amp;T155)=0,S155,""))</f>
        <v/>
      </c>
    </row>
    <row r="156" spans="1:21" ht="38" customHeight="1">
      <c r="A156" s="8" t="s">
        <v>111</v>
      </c>
      <c r="B156" s="8" t="s">
        <v>35</v>
      </c>
      <c r="C156" s="12">
        <f>COUNTIFS('DEF_SELF_SCOUT_IMPORT'!$L$42:$L$1040,"Y",'DEF_SELF_SCOUT_IMPORT'!$E$42:$E$1040,SUBSTITUTE(SUBSTITUTE(SUBSTITUTE($B156,"~","~~"),"*","~*"),"?","~?"),'DEF_SELF_SCOUT_IMPORT'!$Q$42:$Q$1040,SUBSTITUTE(SUBSTITUTE(SUBSTITUTE($M156,"~","~~"),"*","~*"),"?","~?"))</f>
        <v>1</v>
      </c>
      <c r="D156" s="10">
        <f>IF($C156=0,"",SUMIFS('DEF_SELF_SCOUT_IMPORT'!$J$42:$J$1040,'DEF_SELF_SCOUT_IMPORT'!$L$42:$L$1040,"Y",'DEF_SELF_SCOUT_IMPORT'!$E$42:$E$1040,SUBSTITUTE(SUBSTITUTE(SUBSTITUTE($B156,"~","~~"),"*","~*"),"?","~?"),'DEF_SELF_SCOUT_IMPORT'!$Q$42:$Q$1040,SUBSTITUTE(SUBSTITUTE(SUBSTITUTE($M156,"~","~~"),"*","~*"),"?","~?"))/$C156)</f>
        <v>0.0</v>
      </c>
      <c r="E156" s="10">
        <f>IF($C156=0,"",SUMIFS('DEF_SELF_SCOUT_IMPORT'!$K$42:$K$1040,'DEF_SELF_SCOUT_IMPORT'!$L$42:$L$1040,"Y",'DEF_SELF_SCOUT_IMPORT'!$E$42:$E$1040,SUBSTITUTE(SUBSTITUTE(SUBSTITUTE($B156,"~","~~"),"*","~*"),"?","~?"),'DEF_SELF_SCOUT_IMPORT'!$Q$42:$Q$1040,SUBSTITUTE(SUBSTITUTE(SUBSTITUTE($M156,"~","~~"),"*","~*"),"?","~?"))/$C156)</f>
        <v>0.0</v>
      </c>
      <c r="F156" s="11">
        <f>IF($C156=0,"",AVERAGEIFS('DEF_SELF_SCOUT_IMPORT'!$I$42:$I$1040,'DEF_SELF_SCOUT_IMPORT'!$L$42:$L$1040,"Y",'DEF_SELF_SCOUT_IMPORT'!$E$42:$E$1040,SUBSTITUTE(SUBSTITUTE(SUBSTITUTE($B156,"~","~~"),"*","~*"),"?","~?"),'DEF_SELF_SCOUT_IMPORT'!$Q$42:$Q$1040,SUBSTITUTE(SUBSTITUTE(SUBSTITUTE($M156,"~","~~"),"*","~*"),"?","~?")))</f>
        <v>5.0</v>
      </c>
      <c r="G156" s="10">
        <f>IF($C156=0,"",COUNTIFS('DEF_SELF_SCOUT_IMPORT'!$L$42:$L$1040,"Y",'DEF_SELF_SCOUT_IMPORT'!$E$42:$E$1040,SUBSTITUTE(SUBSTITUTE(SUBSTITUTE($B156,"~","~~"),"*","~*"),"?","~?"),'DEF_SELF_SCOUT_IMPORT'!$Q$42:$Q$1040,SUBSTITUTE(SUBSTITUTE(SUBSTITUTE($M156,"~","~~"),"*","~*"),"?","~?"),'DEF_SELF_SCOUT_IMPORT'!$H$42:$H$1040,"RUSH")/$C156)</f>
        <v>1.0</v>
      </c>
      <c r="H156" s="10">
        <f>IF($C156=0,"",COUNTIFS('DEF_SELF_SCOUT_IMPORT'!$L$42:$L$1040,"Y",'DEF_SELF_SCOUT_IMPORT'!$E$42:$E$1040,SUBSTITUTE(SUBSTITUTE(SUBSTITUTE($B156,"~","~~"),"*","~*"),"?","~?"),'DEF_SELF_SCOUT_IMPORT'!$Q$42:$Q$1040,SUBSTITUTE(SUBSTITUTE(SUBSTITUTE($M156,"~","~~"),"*","~*"),"?","~?"),'DEF_SELF_SCOUT_IMPORT'!$H$42:$H$1040,"DROPBACK")/$C156)</f>
        <v>0.0</v>
      </c>
      <c r="I156" s="14" t="str">
        <f>IF(C156=0,"",IF(C156&lt;=2,"TRACK",IF(C156=3,"LOW",IF(C156&lt;=6,"MEDIUM","HIGH"))))</f>
        <v>TRACK</v>
      </c>
      <c r="J156" s="11">
        <f>IF(C156=0,"",ROUND(D156*70+(1-E156)*20+MAX(0,MIN(1,(10-F156)/10))*10,1))</f>
        <v>25.0</v>
      </c>
      <c r="K156" s="14" t="str">
        <f>IF(C156=0,"No Evidence",IF(C156&lt;=2,IF(E156&gt;0,"Explosive Alert","Track Only"),IF(C156=3,"Sample Watch",IF(E156&gt;=START_HERE!$B$31,"Explosive Alert",IF(J156&gt;=80,"Strong Candidate",IF(J156&gt;=65,"Good Candidate",IF(J156&gt;=50,"Mixed / Review","Problem Call")))))))</f>
        <v>Track Only</v>
      </c>
      <c r="L156" s="9" t="str">
        <f>IF(COUNTIFS('DEF_SELF_SCOUT_IMPORT'!$L$42:$L$1040,"Y",'DEF_SELF_SCOUT_IMPORT'!$E$42:$E$1040,SUBSTITUTE(SUBSTITUTE(SUBSTITUTE($B156,"~","~~"),"*","~*"),"?","~?"),'DEF_SELF_SCOUT_IMPORT'!$Q$42:$Q$1040,SUBSTITUTE(SUBSTITUTE(SUBSTITUTE($M156,"~","~~"),"*","~*"),"?","~?"),'DEF_SELF_SCOUT_IMPORT'!$J$42:$J$1040,"")&gt;0,"Unscored clean outcome; review result tags before using score.",IF(C156=0,"No matching defensive reps; film confirmation needed.",IF(K156="Explosive Alert","Explosive risk; review clips before using as answer.",IF(C156&lt;=2,"Track only; not enough sample.",IF(C156=3,IF(E156&gt;0,"Sample watch with explosive exposure; review clips and build the sample.",IF(J156&gt;=65,"Good signal, but sample is limited.","Sample watch; review clips and build the sample.")),IF(K156="Problem Call","Problem area; practice or call-sheet review.",IF(K156="Strong Candidate","Strong call-fit candidate; confirm on film.",IF(K156="Good Candidate","Good call-fit signal; confirm on film.","Mixed signal; review fit and execution on film."))))))))</f>
        <v>Track only; not enough sample.</v>
      </c>
      <c r="M156" s="8" t="s">
        <v>111</v>
      </c>
      <c r="N156" s="8"/>
      <c r="O156" s="8"/>
      <c r="P156" s="8"/>
      <c r="Q156" s="8"/>
      <c r="R156" s="8" t="s">
        <v>28</v>
      </c>
      <c r="S156" s="2" t="s">
        <v>112</v>
      </c>
      <c r="T156" s="2">
        <f>IF(C156=0,0,IF(C156&gt;=CALL_LOOKUP_BOARD!$B$7,IF(OR(K156="Problem Call",K156="Explosive Alert"),10000000,20000000),0)+IF(C156&gt;=CALL_LOOKUP_BOARD!$B$7,J156*1000+MIN(C156,999),C156*1000+J156)+0.00985300)</f>
        <v>1025.009853</v>
      </c>
      <c r="U156" s="2">
        <f>IF(C156=0,"",IF(COUNTIFS($S$10:$S$178,SUBSTITUTE(SUBSTITUTE(SUBSTITUTE(S156,"~","~~"),"*","~*"),"?","~?"),$T$10:$T$178,"&gt;"&amp;T156)=0,S156,""))</f>
        <v/>
      </c>
    </row>
    <row r="157" spans="1:21" ht="38" customHeight="1">
      <c r="A157" s="8" t="s">
        <v>111</v>
      </c>
      <c r="B157" s="8" t="s">
        <v>60</v>
      </c>
      <c r="C157" s="12">
        <f>COUNTIFS('DEF_SELF_SCOUT_IMPORT'!$L$42:$L$1040,"Y",'DEF_SELF_SCOUT_IMPORT'!$E$42:$E$1040,SUBSTITUTE(SUBSTITUTE(SUBSTITUTE($B157,"~","~~"),"*","~*"),"?","~?"),'DEF_SELF_SCOUT_IMPORT'!$Q$42:$Q$1040,SUBSTITUTE(SUBSTITUTE(SUBSTITUTE($M157,"~","~~"),"*","~*"),"?","~?"))</f>
        <v>1</v>
      </c>
      <c r="D157" s="10">
        <f>IF($C157=0,"",SUMIFS('DEF_SELF_SCOUT_IMPORT'!$J$42:$J$1040,'DEF_SELF_SCOUT_IMPORT'!$L$42:$L$1040,"Y",'DEF_SELF_SCOUT_IMPORT'!$E$42:$E$1040,SUBSTITUTE(SUBSTITUTE(SUBSTITUTE($B157,"~","~~"),"*","~*"),"?","~?"),'DEF_SELF_SCOUT_IMPORT'!$Q$42:$Q$1040,SUBSTITUTE(SUBSTITUTE(SUBSTITUTE($M157,"~","~~"),"*","~*"),"?","~?"))/$C157)</f>
        <v>1.0</v>
      </c>
      <c r="E157" s="10">
        <f>IF($C157=0,"",SUMIFS('DEF_SELF_SCOUT_IMPORT'!$K$42:$K$1040,'DEF_SELF_SCOUT_IMPORT'!$L$42:$L$1040,"Y",'DEF_SELF_SCOUT_IMPORT'!$E$42:$E$1040,SUBSTITUTE(SUBSTITUTE(SUBSTITUTE($B157,"~","~~"),"*","~*"),"?","~?"),'DEF_SELF_SCOUT_IMPORT'!$Q$42:$Q$1040,SUBSTITUTE(SUBSTITUTE(SUBSTITUTE($M157,"~","~~"),"*","~*"),"?","~?"))/$C157)</f>
        <v>0.0</v>
      </c>
      <c r="F157" s="11">
        <f>IF($C157=0,"",AVERAGEIFS('DEF_SELF_SCOUT_IMPORT'!$I$42:$I$1040,'DEF_SELF_SCOUT_IMPORT'!$L$42:$L$1040,"Y",'DEF_SELF_SCOUT_IMPORT'!$E$42:$E$1040,SUBSTITUTE(SUBSTITUTE(SUBSTITUTE($B157,"~","~~"),"*","~*"),"?","~?"),'DEF_SELF_SCOUT_IMPORT'!$Q$42:$Q$1040,SUBSTITUTE(SUBSTITUTE(SUBSTITUTE($M157,"~","~~"),"*","~*"),"?","~?")))</f>
        <v>1.0</v>
      </c>
      <c r="G157" s="10">
        <f>IF($C157=0,"",COUNTIFS('DEF_SELF_SCOUT_IMPORT'!$L$42:$L$1040,"Y",'DEF_SELF_SCOUT_IMPORT'!$E$42:$E$1040,SUBSTITUTE(SUBSTITUTE(SUBSTITUTE($B157,"~","~~"),"*","~*"),"?","~?"),'DEF_SELF_SCOUT_IMPORT'!$Q$42:$Q$1040,SUBSTITUTE(SUBSTITUTE(SUBSTITUTE($M157,"~","~~"),"*","~*"),"?","~?"),'DEF_SELF_SCOUT_IMPORT'!$H$42:$H$1040,"RUSH")/$C157)</f>
        <v>1.0</v>
      </c>
      <c r="H157" s="10">
        <f>IF($C157=0,"",COUNTIFS('DEF_SELF_SCOUT_IMPORT'!$L$42:$L$1040,"Y",'DEF_SELF_SCOUT_IMPORT'!$E$42:$E$1040,SUBSTITUTE(SUBSTITUTE(SUBSTITUTE($B157,"~","~~"),"*","~*"),"?","~?"),'DEF_SELF_SCOUT_IMPORT'!$Q$42:$Q$1040,SUBSTITUTE(SUBSTITUTE(SUBSTITUTE($M157,"~","~~"),"*","~*"),"?","~?"),'DEF_SELF_SCOUT_IMPORT'!$H$42:$H$1040,"DROPBACK")/$C157)</f>
        <v>0.0</v>
      </c>
      <c r="I157" s="14" t="str">
        <f>IF(C157=0,"",IF(C157&lt;=2,"TRACK",IF(C157=3,"LOW",IF(C157&lt;=6,"MEDIUM","HIGH"))))</f>
        <v>TRACK</v>
      </c>
      <c r="J157" s="11">
        <f>IF(C157=0,"",ROUND(D157*70+(1-E157)*20+MAX(0,MIN(1,(10-F157)/10))*10,1))</f>
        <v>99.0</v>
      </c>
      <c r="K157" s="14" t="str">
        <f>IF(C157=0,"No Evidence",IF(C157&lt;=2,IF(E157&gt;0,"Explosive Alert","Track Only"),IF(C157=3,"Sample Watch",IF(E157&gt;=START_HERE!$B$31,"Explosive Alert",IF(J157&gt;=80,"Strong Candidate",IF(J157&gt;=65,"Good Candidate",IF(J157&gt;=50,"Mixed / Review","Problem Call")))))))</f>
        <v>Track Only</v>
      </c>
      <c r="L157" s="9" t="str">
        <f>IF(COUNTIFS('DEF_SELF_SCOUT_IMPORT'!$L$42:$L$1040,"Y",'DEF_SELF_SCOUT_IMPORT'!$E$42:$E$1040,SUBSTITUTE(SUBSTITUTE(SUBSTITUTE($B157,"~","~~"),"*","~*"),"?","~?"),'DEF_SELF_SCOUT_IMPORT'!$Q$42:$Q$1040,SUBSTITUTE(SUBSTITUTE(SUBSTITUTE($M157,"~","~~"),"*","~*"),"?","~?"),'DEF_SELF_SCOUT_IMPORT'!$J$42:$J$1040,"")&gt;0,"Unscored clean outcome; review result tags before using score.",IF(C157=0,"No matching defensive reps; film confirmation needed.",IF(K157="Explosive Alert","Explosive risk; review clips before using as answer.",IF(C157&lt;=2,"Track only; not enough sample.",IF(C157=3,IF(E157&gt;0,"Sample watch with explosive exposure; review clips and build the sample.",IF(J157&gt;=65,"Good signal, but sample is limited.","Sample watch; review clips and build the sample.")),IF(K157="Problem Call","Problem area; practice or call-sheet review.",IF(K157="Strong Candidate","Strong call-fit candidate; confirm on film.",IF(K157="Good Candidate","Good call-fit signal; confirm on film.","Mixed signal; review fit and execution on film."))))))))</f>
        <v>Track only; not enough sample.</v>
      </c>
      <c r="M157" s="8" t="s">
        <v>111</v>
      </c>
      <c r="N157" s="8"/>
      <c r="O157" s="8"/>
      <c r="P157" s="8"/>
      <c r="Q157" s="8"/>
      <c r="R157" s="8" t="s">
        <v>28</v>
      </c>
      <c r="S157" s="2" t="s">
        <v>112</v>
      </c>
      <c r="T157" s="2">
        <f>IF(C157=0,0,IF(C157&gt;=CALL_LOOKUP_BOARD!$B$7,IF(OR(K157="Problem Call",K157="Explosive Alert"),10000000,20000000),0)+IF(C157&gt;=CALL_LOOKUP_BOARD!$B$7,J157*1000+MIN(C157,999),C157*1000+J157)+0.00985200)</f>
        <v>1099.009852</v>
      </c>
      <c r="U157" s="2">
        <f>IF(C157=0,"",IF(COUNTIFS($S$10:$S$178,SUBSTITUTE(SUBSTITUTE(SUBSTITUTE(S157,"~","~~"),"*","~*"),"?","~?"),$T$10:$T$178,"&gt;"&amp;T157)=0,S157,""))</f>
        <v/>
      </c>
    </row>
    <row r="158" spans="1:21" ht="38" customHeight="1">
      <c r="A158" s="8" t="s">
        <v>113</v>
      </c>
      <c r="B158" s="8" t="s">
        <v>27</v>
      </c>
      <c r="C158" s="12">
        <f>COUNTIFS('DEF_SELF_SCOUT_IMPORT'!$L$42:$L$1040,"Y",'DEF_SELF_SCOUT_IMPORT'!$E$42:$E$1040,SUBSTITUTE(SUBSTITUTE(SUBSTITUTE($B158,"~","~~"),"*","~*"),"?","~?"),'DEF_SELF_SCOUT_IMPORT'!$Q$42:$Q$1040,SUBSTITUTE(SUBSTITUTE(SUBSTITUTE($M158,"~","~~"),"*","~*"),"?","~?"))</f>
        <v>1</v>
      </c>
      <c r="D158" s="10">
        <f>IF($C158=0,"",SUMIFS('DEF_SELF_SCOUT_IMPORT'!$J$42:$J$1040,'DEF_SELF_SCOUT_IMPORT'!$L$42:$L$1040,"Y",'DEF_SELF_SCOUT_IMPORT'!$E$42:$E$1040,SUBSTITUTE(SUBSTITUTE(SUBSTITUTE($B158,"~","~~"),"*","~*"),"?","~?"),'DEF_SELF_SCOUT_IMPORT'!$Q$42:$Q$1040,SUBSTITUTE(SUBSTITUTE(SUBSTITUTE($M158,"~","~~"),"*","~*"),"?","~?"))/$C158)</f>
        <v>1.0</v>
      </c>
      <c r="E158" s="10">
        <f>IF($C158=0,"",SUMIFS('DEF_SELF_SCOUT_IMPORT'!$K$42:$K$1040,'DEF_SELF_SCOUT_IMPORT'!$L$42:$L$1040,"Y",'DEF_SELF_SCOUT_IMPORT'!$E$42:$E$1040,SUBSTITUTE(SUBSTITUTE(SUBSTITUTE($B158,"~","~~"),"*","~*"),"?","~?"),'DEF_SELF_SCOUT_IMPORT'!$Q$42:$Q$1040,SUBSTITUTE(SUBSTITUTE(SUBSTITUTE($M158,"~","~~"),"*","~*"),"?","~?"))/$C158)</f>
        <v>0.0</v>
      </c>
      <c r="F158" s="11">
        <f>IF($C158=0,"",AVERAGEIFS('DEF_SELF_SCOUT_IMPORT'!$I$42:$I$1040,'DEF_SELF_SCOUT_IMPORT'!$L$42:$L$1040,"Y",'DEF_SELF_SCOUT_IMPORT'!$E$42:$E$1040,SUBSTITUTE(SUBSTITUTE(SUBSTITUTE($B158,"~","~~"),"*","~*"),"?","~?"),'DEF_SELF_SCOUT_IMPORT'!$Q$42:$Q$1040,SUBSTITUTE(SUBSTITUTE(SUBSTITUTE($M158,"~","~~"),"*","~*"),"?","~?")))</f>
        <v>0.0</v>
      </c>
      <c r="G158" s="10">
        <f>IF($C158=0,"",COUNTIFS('DEF_SELF_SCOUT_IMPORT'!$L$42:$L$1040,"Y",'DEF_SELF_SCOUT_IMPORT'!$E$42:$E$1040,SUBSTITUTE(SUBSTITUTE(SUBSTITUTE($B158,"~","~~"),"*","~*"),"?","~?"),'DEF_SELF_SCOUT_IMPORT'!$Q$42:$Q$1040,SUBSTITUTE(SUBSTITUTE(SUBSTITUTE($M158,"~","~~"),"*","~*"),"?","~?"),'DEF_SELF_SCOUT_IMPORT'!$H$42:$H$1040,"RUSH")/$C158)</f>
        <v>0.0</v>
      </c>
      <c r="H158" s="10">
        <f>IF($C158=0,"",COUNTIFS('DEF_SELF_SCOUT_IMPORT'!$L$42:$L$1040,"Y",'DEF_SELF_SCOUT_IMPORT'!$E$42:$E$1040,SUBSTITUTE(SUBSTITUTE(SUBSTITUTE($B158,"~","~~"),"*","~*"),"?","~?"),'DEF_SELF_SCOUT_IMPORT'!$Q$42:$Q$1040,SUBSTITUTE(SUBSTITUTE(SUBSTITUTE($M158,"~","~~"),"*","~*"),"?","~?"),'DEF_SELF_SCOUT_IMPORT'!$H$42:$H$1040,"DROPBACK")/$C158)</f>
        <v>1.0</v>
      </c>
      <c r="I158" s="14" t="str">
        <f>IF(C158=0,"",IF(C158&lt;=2,"TRACK",IF(C158=3,"LOW",IF(C158&lt;=6,"MEDIUM","HIGH"))))</f>
        <v>TRACK</v>
      </c>
      <c r="J158" s="11">
        <f>IF(C158=0,"",ROUND(D158*70+(1-E158)*20+MAX(0,MIN(1,(10-F158)/10))*10,1))</f>
        <v>100.0</v>
      </c>
      <c r="K158" s="14" t="str">
        <f>IF(C158=0,"No Evidence",IF(C158&lt;=2,IF(E158&gt;0,"Explosive Alert","Track Only"),IF(C158=3,"Sample Watch",IF(E158&gt;=START_HERE!$B$31,"Explosive Alert",IF(J158&gt;=80,"Strong Candidate",IF(J158&gt;=65,"Good Candidate",IF(J158&gt;=50,"Mixed / Review","Problem Call")))))))</f>
        <v>Track Only</v>
      </c>
      <c r="L158" s="9" t="str">
        <f>IF(COUNTIFS('DEF_SELF_SCOUT_IMPORT'!$L$42:$L$1040,"Y",'DEF_SELF_SCOUT_IMPORT'!$E$42:$E$1040,SUBSTITUTE(SUBSTITUTE(SUBSTITUTE($B158,"~","~~"),"*","~*"),"?","~?"),'DEF_SELF_SCOUT_IMPORT'!$Q$42:$Q$1040,SUBSTITUTE(SUBSTITUTE(SUBSTITUTE($M158,"~","~~"),"*","~*"),"?","~?"),'DEF_SELF_SCOUT_IMPORT'!$J$42:$J$1040,"")&gt;0,"Unscored clean outcome; review result tags before using score.",IF(C158=0,"No matching defensive reps; film confirmation needed.",IF(K158="Explosive Alert","Explosive risk; review clips before using as answer.",IF(C158&lt;=2,"Track only; not enough sample.",IF(C158=3,IF(E158&gt;0,"Sample watch with explosive exposure; review clips and build the sample.",IF(J158&gt;=65,"Good signal, but sample is limited.","Sample watch; review clips and build the sample.")),IF(K158="Problem Call","Problem area; practice or call-sheet review.",IF(K158="Strong Candidate","Strong call-fit candidate; confirm on film.",IF(K158="Good Candidate","Good call-fit signal; confirm on film.","Mixed signal; review fit and execution on film."))))))))</f>
        <v>Track only; not enough sample.</v>
      </c>
      <c r="M158" s="8" t="s">
        <v>113</v>
      </c>
      <c r="N158" s="8"/>
      <c r="O158" s="8"/>
      <c r="P158" s="8"/>
      <c r="Q158" s="8"/>
      <c r="R158" s="8" t="s">
        <v>28</v>
      </c>
      <c r="S158" s="2" t="s">
        <v>114</v>
      </c>
      <c r="T158" s="2">
        <f>IF(C158=0,0,IF(C158&gt;=CALL_LOOKUP_BOARD!$B$7,IF(OR(K158="Problem Call",K158="Explosive Alert"),10000000,20000000),0)+IF(C158&gt;=CALL_LOOKUP_BOARD!$B$7,J158*1000+MIN(C158,999),C158*1000+J158)+0.00985100)</f>
        <v>1100.009851</v>
      </c>
      <c r="U158" s="2" t="str">
        <f>IF(C158=0,"",IF(COUNTIFS($S$10:$S$178,SUBSTITUTE(SUBSTITUTE(SUBSTITUTE(S158,"~","~~"),"*","~*"),"?","~?"),$T$10:$T$178,"&gt;"&amp;T158)=0,S158,""))</f>
        <v>6:4D 4-6|</v>
      </c>
    </row>
    <row r="159" spans="1:21" ht="38" customHeight="1">
      <c r="A159" s="8" t="s">
        <v>113</v>
      </c>
      <c r="B159" s="8" t="s">
        <v>42</v>
      </c>
      <c r="C159" s="12">
        <f>COUNTIFS('DEF_SELF_SCOUT_IMPORT'!$L$42:$L$1040,"Y",'DEF_SELF_SCOUT_IMPORT'!$E$42:$E$1040,SUBSTITUTE(SUBSTITUTE(SUBSTITUTE($B159,"~","~~"),"*","~*"),"?","~?"),'DEF_SELF_SCOUT_IMPORT'!$Q$42:$Q$1040,SUBSTITUTE(SUBSTITUTE(SUBSTITUTE($M159,"~","~~"),"*","~*"),"?","~?"))</f>
        <v>1</v>
      </c>
      <c r="D159" s="10">
        <f>IF($C159=0,"",SUMIFS('DEF_SELF_SCOUT_IMPORT'!$J$42:$J$1040,'DEF_SELF_SCOUT_IMPORT'!$L$42:$L$1040,"Y",'DEF_SELF_SCOUT_IMPORT'!$E$42:$E$1040,SUBSTITUTE(SUBSTITUTE(SUBSTITUTE($B159,"~","~~"),"*","~*"),"?","~?"),'DEF_SELF_SCOUT_IMPORT'!$Q$42:$Q$1040,SUBSTITUTE(SUBSTITUTE(SUBSTITUTE($M159,"~","~~"),"*","~*"),"?","~?"))/$C159)</f>
        <v>0.0</v>
      </c>
      <c r="E159" s="10">
        <f>IF($C159=0,"",SUMIFS('DEF_SELF_SCOUT_IMPORT'!$K$42:$K$1040,'DEF_SELF_SCOUT_IMPORT'!$L$42:$L$1040,"Y",'DEF_SELF_SCOUT_IMPORT'!$E$42:$E$1040,SUBSTITUTE(SUBSTITUTE(SUBSTITUTE($B159,"~","~~"),"*","~*"),"?","~?"),'DEF_SELF_SCOUT_IMPORT'!$Q$42:$Q$1040,SUBSTITUTE(SUBSTITUTE(SUBSTITUTE($M159,"~","~~"),"*","~*"),"?","~?"))/$C159)</f>
        <v>1.0</v>
      </c>
      <c r="F159" s="11">
        <f>IF($C159=0,"",AVERAGEIFS('DEF_SELF_SCOUT_IMPORT'!$I$42:$I$1040,'DEF_SELF_SCOUT_IMPORT'!$L$42:$L$1040,"Y",'DEF_SELF_SCOUT_IMPORT'!$E$42:$E$1040,SUBSTITUTE(SUBSTITUTE(SUBSTITUTE($B159,"~","~~"),"*","~*"),"?","~?"),'DEF_SELF_SCOUT_IMPORT'!$Q$42:$Q$1040,SUBSTITUTE(SUBSTITUTE(SUBSTITUTE($M159,"~","~~"),"*","~*"),"?","~?")))</f>
        <v>29.0</v>
      </c>
      <c r="G159" s="10">
        <f>IF($C159=0,"",COUNTIFS('DEF_SELF_SCOUT_IMPORT'!$L$42:$L$1040,"Y",'DEF_SELF_SCOUT_IMPORT'!$E$42:$E$1040,SUBSTITUTE(SUBSTITUTE(SUBSTITUTE($B159,"~","~~"),"*","~*"),"?","~?"),'DEF_SELF_SCOUT_IMPORT'!$Q$42:$Q$1040,SUBSTITUTE(SUBSTITUTE(SUBSTITUTE($M159,"~","~~"),"*","~*"),"?","~?"),'DEF_SELF_SCOUT_IMPORT'!$H$42:$H$1040,"RUSH")/$C159)</f>
        <v>0.0</v>
      </c>
      <c r="H159" s="10">
        <f>IF($C159=0,"",COUNTIFS('DEF_SELF_SCOUT_IMPORT'!$L$42:$L$1040,"Y",'DEF_SELF_SCOUT_IMPORT'!$E$42:$E$1040,SUBSTITUTE(SUBSTITUTE(SUBSTITUTE($B159,"~","~~"),"*","~*"),"?","~?"),'DEF_SELF_SCOUT_IMPORT'!$Q$42:$Q$1040,SUBSTITUTE(SUBSTITUTE(SUBSTITUTE($M159,"~","~~"),"*","~*"),"?","~?"),'DEF_SELF_SCOUT_IMPORT'!$H$42:$H$1040,"DROPBACK")/$C159)</f>
        <v>1.0</v>
      </c>
      <c r="I159" s="14" t="str">
        <f>IF(C159=0,"",IF(C159&lt;=2,"TRACK",IF(C159=3,"LOW",IF(C159&lt;=6,"MEDIUM","HIGH"))))</f>
        <v>TRACK</v>
      </c>
      <c r="J159" s="11">
        <f>IF(C159=0,"",ROUND(D159*70+(1-E159)*20+MAX(0,MIN(1,(10-F159)/10))*10,1))</f>
        <v>0.0</v>
      </c>
      <c r="K159" s="14" t="str">
        <f>IF(C159=0,"No Evidence",IF(C159&lt;=2,IF(E159&gt;0,"Explosive Alert","Track Only"),IF(C159=3,"Sample Watch",IF(E159&gt;=START_HERE!$B$31,"Explosive Alert",IF(J159&gt;=80,"Strong Candidate",IF(J159&gt;=65,"Good Candidate",IF(J159&gt;=50,"Mixed / Review","Problem Call")))))))</f>
        <v>Explosive Alert</v>
      </c>
      <c r="L159" s="9" t="str">
        <f>IF(COUNTIFS('DEF_SELF_SCOUT_IMPORT'!$L$42:$L$1040,"Y",'DEF_SELF_SCOUT_IMPORT'!$E$42:$E$1040,SUBSTITUTE(SUBSTITUTE(SUBSTITUTE($B159,"~","~~"),"*","~*"),"?","~?"),'DEF_SELF_SCOUT_IMPORT'!$Q$42:$Q$1040,SUBSTITUTE(SUBSTITUTE(SUBSTITUTE($M159,"~","~~"),"*","~*"),"?","~?"),'DEF_SELF_SCOUT_IMPORT'!$J$42:$J$1040,"")&gt;0,"Unscored clean outcome; review result tags before using score.",IF(C159=0,"No matching defensive reps; film confirmation needed.",IF(K159="Explosive Alert","Explosive risk; review clips before using as answer.",IF(C159&lt;=2,"Track only; not enough sample.",IF(C159=3,IF(E159&gt;0,"Sample watch with explosive exposure; review clips and build the sample.",IF(J159&gt;=65,"Good signal, but sample is limited.","Sample watch; review clips and build the sample.")),IF(K159="Problem Call","Problem area; practice or call-sheet review.",IF(K159="Strong Candidate","Strong call-fit candidate; confirm on film.",IF(K159="Good Candidate","Good call-fit signal; confirm on film.","Mixed signal; review fit and execution on film."))))))))</f>
        <v>Explosive risk; review clips before using as answer.</v>
      </c>
      <c r="M159" s="8" t="s">
        <v>113</v>
      </c>
      <c r="N159" s="8"/>
      <c r="O159" s="8"/>
      <c r="P159" s="8"/>
      <c r="Q159" s="8"/>
      <c r="R159" s="8" t="s">
        <v>28</v>
      </c>
      <c r="S159" s="2" t="s">
        <v>114</v>
      </c>
      <c r="T159" s="2">
        <f>IF(C159=0,0,IF(C159&gt;=CALL_LOOKUP_BOARD!$B$7,IF(OR(K159="Problem Call",K159="Explosive Alert"),10000000,20000000),0)+IF(C159&gt;=CALL_LOOKUP_BOARD!$B$7,J159*1000+MIN(C159,999),C159*1000+J159)+0.00985000)</f>
        <v>1000.00985</v>
      </c>
      <c r="U159" s="2">
        <f>IF(C159=0,"",IF(COUNTIFS($S$10:$S$178,SUBSTITUTE(SUBSTITUTE(SUBSTITUTE(S159,"~","~~"),"*","~*"),"?","~?"),$T$10:$T$178,"&gt;"&amp;T159)=0,S159,""))</f>
        <v/>
      </c>
    </row>
    <row r="160" spans="1:21" ht="38" customHeight="1">
      <c r="A160" s="8" t="s">
        <v>115</v>
      </c>
      <c r="B160" s="8" t="s">
        <v>43</v>
      </c>
      <c r="C160" s="12">
        <f>COUNTIFS('DEF_SELF_SCOUT_IMPORT'!$L$42:$L$1040,"Y",'DEF_SELF_SCOUT_IMPORT'!$E$42:$E$1040,SUBSTITUTE(SUBSTITUTE(SUBSTITUTE($B160,"~","~~"),"*","~*"),"?","~?"),'DEF_SELF_SCOUT_IMPORT'!$Q$42:$Q$1040,SUBSTITUTE(SUBSTITUTE(SUBSTITUTE($M160,"~","~~"),"*","~*"),"?","~?"))</f>
        <v>1</v>
      </c>
      <c r="D160" s="10">
        <f>IF($C160=0,"",SUMIFS('DEF_SELF_SCOUT_IMPORT'!$J$42:$J$1040,'DEF_SELF_SCOUT_IMPORT'!$L$42:$L$1040,"Y",'DEF_SELF_SCOUT_IMPORT'!$E$42:$E$1040,SUBSTITUTE(SUBSTITUTE(SUBSTITUTE($B160,"~","~~"),"*","~*"),"?","~?"),'DEF_SELF_SCOUT_IMPORT'!$Q$42:$Q$1040,SUBSTITUTE(SUBSTITUTE(SUBSTITUTE($M160,"~","~~"),"*","~*"),"?","~?"))/$C160)</f>
        <v>1.0</v>
      </c>
      <c r="E160" s="10">
        <f>IF($C160=0,"",SUMIFS('DEF_SELF_SCOUT_IMPORT'!$K$42:$K$1040,'DEF_SELF_SCOUT_IMPORT'!$L$42:$L$1040,"Y",'DEF_SELF_SCOUT_IMPORT'!$E$42:$E$1040,SUBSTITUTE(SUBSTITUTE(SUBSTITUTE($B160,"~","~~"),"*","~*"),"?","~?"),'DEF_SELF_SCOUT_IMPORT'!$Q$42:$Q$1040,SUBSTITUTE(SUBSTITUTE(SUBSTITUTE($M160,"~","~~"),"*","~*"),"?","~?"))/$C160)</f>
        <v>0.0</v>
      </c>
      <c r="F160" s="11">
        <f>IF($C160=0,"",AVERAGEIFS('DEF_SELF_SCOUT_IMPORT'!$I$42:$I$1040,'DEF_SELF_SCOUT_IMPORT'!$L$42:$L$1040,"Y",'DEF_SELF_SCOUT_IMPORT'!$E$42:$E$1040,SUBSTITUTE(SUBSTITUTE(SUBSTITUTE($B160,"~","~~"),"*","~*"),"?","~?"),'DEF_SELF_SCOUT_IMPORT'!$Q$42:$Q$1040,SUBSTITUTE(SUBSTITUTE(SUBSTITUTE($M160,"~","~~"),"*","~*"),"?","~?")))</f>
        <v>3.0</v>
      </c>
      <c r="G160" s="10">
        <f>IF($C160=0,"",COUNTIFS('DEF_SELF_SCOUT_IMPORT'!$L$42:$L$1040,"Y",'DEF_SELF_SCOUT_IMPORT'!$E$42:$E$1040,SUBSTITUTE(SUBSTITUTE(SUBSTITUTE($B160,"~","~~"),"*","~*"),"?","~?"),'DEF_SELF_SCOUT_IMPORT'!$Q$42:$Q$1040,SUBSTITUTE(SUBSTITUTE(SUBSTITUTE($M160,"~","~~"),"*","~*"),"?","~?"),'DEF_SELF_SCOUT_IMPORT'!$H$42:$H$1040,"RUSH")/$C160)</f>
        <v>0.0</v>
      </c>
      <c r="H160" s="10">
        <f>IF($C160=0,"",COUNTIFS('DEF_SELF_SCOUT_IMPORT'!$L$42:$L$1040,"Y",'DEF_SELF_SCOUT_IMPORT'!$E$42:$E$1040,SUBSTITUTE(SUBSTITUTE(SUBSTITUTE($B160,"~","~~"),"*","~*"),"?","~?"),'DEF_SELF_SCOUT_IMPORT'!$Q$42:$Q$1040,SUBSTITUTE(SUBSTITUTE(SUBSTITUTE($M160,"~","~~"),"*","~*"),"?","~?"),'DEF_SELF_SCOUT_IMPORT'!$H$42:$H$1040,"DROPBACK")/$C160)</f>
        <v>1.0</v>
      </c>
      <c r="I160" s="14" t="str">
        <f>IF(C160=0,"",IF(C160&lt;=2,"TRACK",IF(C160=3,"LOW",IF(C160&lt;=6,"MEDIUM","HIGH"))))</f>
        <v>TRACK</v>
      </c>
      <c r="J160" s="11">
        <f>IF(C160=0,"",ROUND(D160*70+(1-E160)*20+MAX(0,MIN(1,(10-F160)/10))*10,1))</f>
        <v>97.0</v>
      </c>
      <c r="K160" s="14" t="str">
        <f>IF(C160=0,"No Evidence",IF(C160&lt;=2,IF(E160&gt;0,"Explosive Alert","Track Only"),IF(C160=3,"Sample Watch",IF(E160&gt;=START_HERE!$B$31,"Explosive Alert",IF(J160&gt;=80,"Strong Candidate",IF(J160&gt;=65,"Good Candidate",IF(J160&gt;=50,"Mixed / Review","Problem Call")))))))</f>
        <v>Track Only</v>
      </c>
      <c r="L160" s="9" t="str">
        <f>IF(COUNTIFS('DEF_SELF_SCOUT_IMPORT'!$L$42:$L$1040,"Y",'DEF_SELF_SCOUT_IMPORT'!$E$42:$E$1040,SUBSTITUTE(SUBSTITUTE(SUBSTITUTE($B160,"~","~~"),"*","~*"),"?","~?"),'DEF_SELF_SCOUT_IMPORT'!$Q$42:$Q$1040,SUBSTITUTE(SUBSTITUTE(SUBSTITUTE($M160,"~","~~"),"*","~*"),"?","~?"),'DEF_SELF_SCOUT_IMPORT'!$J$42:$J$1040,"")&gt;0,"Unscored clean outcome; review result tags before using score.",IF(C160=0,"No matching defensive reps; film confirmation needed.",IF(K160="Explosive Alert","Explosive risk; review clips before using as answer.",IF(C160&lt;=2,"Track only; not enough sample.",IF(C160=3,IF(E160&gt;0,"Sample watch with explosive exposure; review clips and build the sample.",IF(J160&gt;=65,"Good signal, but sample is limited.","Sample watch; review clips and build the sample.")),IF(K160="Problem Call","Problem area; practice or call-sheet review.",IF(K160="Strong Candidate","Strong call-fit candidate; confirm on film.",IF(K160="Good Candidate","Good call-fit signal; confirm on film.","Mixed signal; review fit and execution on film."))))))))</f>
        <v>Track only; not enough sample.</v>
      </c>
      <c r="M160" s="8" t="s">
        <v>115</v>
      </c>
      <c r="N160" s="8"/>
      <c r="O160" s="8"/>
      <c r="P160" s="8"/>
      <c r="Q160" s="8"/>
      <c r="R160" s="8" t="s">
        <v>28</v>
      </c>
      <c r="S160" s="2" t="s">
        <v>116</v>
      </c>
      <c r="T160" s="2">
        <f>IF(C160=0,0,IF(C160&gt;=CALL_LOOKUP_BOARD!$B$7,IF(OR(K160="Problem Call",K160="Explosive Alert"),10000000,20000000),0)+IF(C160&gt;=CALL_LOOKUP_BOARD!$B$7,J160*1000+MIN(C160,999),C160*1000+J160)+0.00984900)</f>
        <v>1097.009849</v>
      </c>
      <c r="U160" s="2">
        <f>IF(C160=0,"",IF(COUNTIFS($S$10:$S$178,SUBSTITUTE(SUBSTITUTE(SUBSTITUTE(S160,"~","~~"),"*","~*"),"?","~?"),$T$10:$T$178,"&gt;"&amp;T160)=0,S160,""))</f>
        <v/>
      </c>
    </row>
    <row r="161" spans="1:21" ht="38" customHeight="1">
      <c r="A161" s="8" t="s">
        <v>115</v>
      </c>
      <c r="B161" s="8" t="s">
        <v>32</v>
      </c>
      <c r="C161" s="12">
        <f>COUNTIFS('DEF_SELF_SCOUT_IMPORT'!$L$42:$L$1040,"Y",'DEF_SELF_SCOUT_IMPORT'!$E$42:$E$1040,SUBSTITUTE(SUBSTITUTE(SUBSTITUTE($B161,"~","~~"),"*","~*"),"?","~?"),'DEF_SELF_SCOUT_IMPORT'!$Q$42:$Q$1040,SUBSTITUTE(SUBSTITUTE(SUBSTITUTE($M161,"~","~~"),"*","~*"),"?","~?"))</f>
        <v>1</v>
      </c>
      <c r="D161" s="10">
        <f>IF($C161=0,"",SUMIFS('DEF_SELF_SCOUT_IMPORT'!$J$42:$J$1040,'DEF_SELF_SCOUT_IMPORT'!$L$42:$L$1040,"Y",'DEF_SELF_SCOUT_IMPORT'!$E$42:$E$1040,SUBSTITUTE(SUBSTITUTE(SUBSTITUTE($B161,"~","~~"),"*","~*"),"?","~?"),'DEF_SELF_SCOUT_IMPORT'!$Q$42:$Q$1040,SUBSTITUTE(SUBSTITUTE(SUBSTITUTE($M161,"~","~~"),"*","~*"),"?","~?"))/$C161)</f>
        <v>0.0</v>
      </c>
      <c r="E161" s="10">
        <f>IF($C161=0,"",SUMIFS('DEF_SELF_SCOUT_IMPORT'!$K$42:$K$1040,'DEF_SELF_SCOUT_IMPORT'!$L$42:$L$1040,"Y",'DEF_SELF_SCOUT_IMPORT'!$E$42:$E$1040,SUBSTITUTE(SUBSTITUTE(SUBSTITUTE($B161,"~","~~"),"*","~*"),"?","~?"),'DEF_SELF_SCOUT_IMPORT'!$Q$42:$Q$1040,SUBSTITUTE(SUBSTITUTE(SUBSTITUTE($M161,"~","~~"),"*","~*"),"?","~?"))/$C161)</f>
        <v>1.0</v>
      </c>
      <c r="F161" s="11">
        <f>IF($C161=0,"",AVERAGEIFS('DEF_SELF_SCOUT_IMPORT'!$I$42:$I$1040,'DEF_SELF_SCOUT_IMPORT'!$L$42:$L$1040,"Y",'DEF_SELF_SCOUT_IMPORT'!$E$42:$E$1040,SUBSTITUTE(SUBSTITUTE(SUBSTITUTE($B161,"~","~~"),"*","~*"),"?","~?"),'DEF_SELF_SCOUT_IMPORT'!$Q$42:$Q$1040,SUBSTITUTE(SUBSTITUTE(SUBSTITUTE($M161,"~","~~"),"*","~*"),"?","~?")))</f>
        <v>72.0</v>
      </c>
      <c r="G161" s="10">
        <f>IF($C161=0,"",COUNTIFS('DEF_SELF_SCOUT_IMPORT'!$L$42:$L$1040,"Y",'DEF_SELF_SCOUT_IMPORT'!$E$42:$E$1040,SUBSTITUTE(SUBSTITUTE(SUBSTITUTE($B161,"~","~~"),"*","~*"),"?","~?"),'DEF_SELF_SCOUT_IMPORT'!$Q$42:$Q$1040,SUBSTITUTE(SUBSTITUTE(SUBSTITUTE($M161,"~","~~"),"*","~*"),"?","~?"),'DEF_SELF_SCOUT_IMPORT'!$H$42:$H$1040,"RUSH")/$C161)</f>
        <v>0.0</v>
      </c>
      <c r="H161" s="10">
        <f>IF($C161=0,"",COUNTIFS('DEF_SELF_SCOUT_IMPORT'!$L$42:$L$1040,"Y",'DEF_SELF_SCOUT_IMPORT'!$E$42:$E$1040,SUBSTITUTE(SUBSTITUTE(SUBSTITUTE($B161,"~","~~"),"*","~*"),"?","~?"),'DEF_SELF_SCOUT_IMPORT'!$Q$42:$Q$1040,SUBSTITUTE(SUBSTITUTE(SUBSTITUTE($M161,"~","~~"),"*","~*"),"?","~?"),'DEF_SELF_SCOUT_IMPORT'!$H$42:$H$1040,"DROPBACK")/$C161)</f>
        <v>1.0</v>
      </c>
      <c r="I161" s="14" t="str">
        <f>IF(C161=0,"",IF(C161&lt;=2,"TRACK",IF(C161=3,"LOW",IF(C161&lt;=6,"MEDIUM","HIGH"))))</f>
        <v>TRACK</v>
      </c>
      <c r="J161" s="11">
        <f>IF(C161=0,"",ROUND(D161*70+(1-E161)*20+MAX(0,MIN(1,(10-F161)/10))*10,1))</f>
        <v>0.0</v>
      </c>
      <c r="K161" s="14" t="str">
        <f>IF(C161=0,"No Evidence",IF(C161&lt;=2,IF(E161&gt;0,"Explosive Alert","Track Only"),IF(C161=3,"Sample Watch",IF(E161&gt;=START_HERE!$B$31,"Explosive Alert",IF(J161&gt;=80,"Strong Candidate",IF(J161&gt;=65,"Good Candidate",IF(J161&gt;=50,"Mixed / Review","Problem Call")))))))</f>
        <v>Explosive Alert</v>
      </c>
      <c r="L161" s="9" t="str">
        <f>IF(COUNTIFS('DEF_SELF_SCOUT_IMPORT'!$L$42:$L$1040,"Y",'DEF_SELF_SCOUT_IMPORT'!$E$42:$E$1040,SUBSTITUTE(SUBSTITUTE(SUBSTITUTE($B161,"~","~~"),"*","~*"),"?","~?"),'DEF_SELF_SCOUT_IMPORT'!$Q$42:$Q$1040,SUBSTITUTE(SUBSTITUTE(SUBSTITUTE($M161,"~","~~"),"*","~*"),"?","~?"),'DEF_SELF_SCOUT_IMPORT'!$J$42:$J$1040,"")&gt;0,"Unscored clean outcome; review result tags before using score.",IF(C161=0,"No matching defensive reps; film confirmation needed.",IF(K161="Explosive Alert","Explosive risk; review clips before using as answer.",IF(C161&lt;=2,"Track only; not enough sample.",IF(C161=3,IF(E161&gt;0,"Sample watch with explosive exposure; review clips and build the sample.",IF(J161&gt;=65,"Good signal, but sample is limited.","Sample watch; review clips and build the sample.")),IF(K161="Problem Call","Problem area; practice or call-sheet review.",IF(K161="Strong Candidate","Strong call-fit candidate; confirm on film.",IF(K161="Good Candidate","Good call-fit signal; confirm on film.","Mixed signal; review fit and execution on film."))))))))</f>
        <v>Explosive risk; review clips before using as answer.</v>
      </c>
      <c r="M161" s="8" t="s">
        <v>115</v>
      </c>
      <c r="N161" s="8"/>
      <c r="O161" s="8"/>
      <c r="P161" s="8"/>
      <c r="Q161" s="8"/>
      <c r="R161" s="8" t="s">
        <v>28</v>
      </c>
      <c r="S161" s="2" t="s">
        <v>116</v>
      </c>
      <c r="T161" s="2">
        <f>IF(C161=0,0,IF(C161&gt;=CALL_LOOKUP_BOARD!$B$7,IF(OR(K161="Problem Call",K161="Explosive Alert"),10000000,20000000),0)+IF(C161&gt;=CALL_LOOKUP_BOARD!$B$7,J161*1000+MIN(C161,999),C161*1000+J161)+0.00984800)</f>
        <v>1000.009848</v>
      </c>
      <c r="U161" s="2">
        <f>IF(C161=0,"",IF(COUNTIFS($S$10:$S$178,SUBSTITUTE(SUBSTITUTE(SUBSTITUTE(S161,"~","~~"),"*","~*"),"?","~?"),$T$10:$T$178,"&gt;"&amp;T161)=0,S161,""))</f>
        <v/>
      </c>
    </row>
    <row r="162" spans="1:21" ht="38" customHeight="1">
      <c r="A162" s="8" t="s">
        <v>115</v>
      </c>
      <c r="B162" s="8" t="s">
        <v>44</v>
      </c>
      <c r="C162" s="12">
        <f>COUNTIFS('DEF_SELF_SCOUT_IMPORT'!$L$42:$L$1040,"Y",'DEF_SELF_SCOUT_IMPORT'!$E$42:$E$1040,SUBSTITUTE(SUBSTITUTE(SUBSTITUTE($B162,"~","~~"),"*","~*"),"?","~?"),'DEF_SELF_SCOUT_IMPORT'!$Q$42:$Q$1040,SUBSTITUTE(SUBSTITUTE(SUBSTITUTE($M162,"~","~~"),"*","~*"),"?","~?"))</f>
        <v>6</v>
      </c>
      <c r="D162" s="10">
        <f>IF($C162=0,"",SUMIFS('DEF_SELF_SCOUT_IMPORT'!$J$42:$J$1040,'DEF_SELF_SCOUT_IMPORT'!$L$42:$L$1040,"Y",'DEF_SELF_SCOUT_IMPORT'!$E$42:$E$1040,SUBSTITUTE(SUBSTITUTE(SUBSTITUTE($B162,"~","~~"),"*","~*"),"?","~?"),'DEF_SELF_SCOUT_IMPORT'!$Q$42:$Q$1040,SUBSTITUTE(SUBSTITUTE(SUBSTITUTE($M162,"~","~~"),"*","~*"),"?","~?"))/$C162)</f>
        <v>0.0</v>
      </c>
      <c r="E162" s="10">
        <f>IF($C162=0,"",SUMIFS('DEF_SELF_SCOUT_IMPORT'!$K$42:$K$1040,'DEF_SELF_SCOUT_IMPORT'!$L$42:$L$1040,"Y",'DEF_SELF_SCOUT_IMPORT'!$E$42:$E$1040,SUBSTITUTE(SUBSTITUTE(SUBSTITUTE($B162,"~","~~"),"*","~*"),"?","~?"),'DEF_SELF_SCOUT_IMPORT'!$Q$42:$Q$1040,SUBSTITUTE(SUBSTITUTE(SUBSTITUTE($M162,"~","~~"),"*","~*"),"?","~?"))/$C162)</f>
        <v>0.3333333333333333</v>
      </c>
      <c r="F162" s="11">
        <f>IF($C162=0,"",AVERAGEIFS('DEF_SELF_SCOUT_IMPORT'!$I$42:$I$1040,'DEF_SELF_SCOUT_IMPORT'!$L$42:$L$1040,"Y",'DEF_SELF_SCOUT_IMPORT'!$E$42:$E$1040,SUBSTITUTE(SUBSTITUTE(SUBSTITUTE($B162,"~","~~"),"*","~*"),"?","~?"),'DEF_SELF_SCOUT_IMPORT'!$Q$42:$Q$1040,SUBSTITUTE(SUBSTITUTE(SUBSTITUTE($M162,"~","~~"),"*","~*"),"?","~?")))</f>
        <v>13.666666666666666</v>
      </c>
      <c r="G162" s="10">
        <f>IF($C162=0,"",COUNTIFS('DEF_SELF_SCOUT_IMPORT'!$L$42:$L$1040,"Y",'DEF_SELF_SCOUT_IMPORT'!$E$42:$E$1040,SUBSTITUTE(SUBSTITUTE(SUBSTITUTE($B162,"~","~~"),"*","~*"),"?","~?"),'DEF_SELF_SCOUT_IMPORT'!$Q$42:$Q$1040,SUBSTITUTE(SUBSTITUTE(SUBSTITUTE($M162,"~","~~"),"*","~*"),"?","~?"),'DEF_SELF_SCOUT_IMPORT'!$H$42:$H$1040,"RUSH")/$C162)</f>
        <v>0.8333333333333334</v>
      </c>
      <c r="H162" s="10">
        <f>IF($C162=0,"",COUNTIFS('DEF_SELF_SCOUT_IMPORT'!$L$42:$L$1040,"Y",'DEF_SELF_SCOUT_IMPORT'!$E$42:$E$1040,SUBSTITUTE(SUBSTITUTE(SUBSTITUTE($B162,"~","~~"),"*","~*"),"?","~?"),'DEF_SELF_SCOUT_IMPORT'!$Q$42:$Q$1040,SUBSTITUTE(SUBSTITUTE(SUBSTITUTE($M162,"~","~~"),"*","~*"),"?","~?"),'DEF_SELF_SCOUT_IMPORT'!$H$42:$H$1040,"DROPBACK")/$C162)</f>
        <v>0.16666666666666666</v>
      </c>
      <c r="I162" s="14" t="str">
        <f>IF(C162=0,"",IF(C162&lt;=2,"TRACK",IF(C162=3,"LOW",IF(C162&lt;=6,"MEDIUM","HIGH"))))</f>
        <v>MEDIUM</v>
      </c>
      <c r="J162" s="11">
        <f>IF(C162=0,"",ROUND(D162*70+(1-E162)*20+MAX(0,MIN(1,(10-F162)/10))*10,1))</f>
        <v>13.3</v>
      </c>
      <c r="K162" s="14" t="str">
        <f>IF(C162=0,"No Evidence",IF(C162&lt;=2,IF(E162&gt;0,"Explosive Alert","Track Only"),IF(C162=3,"Sample Watch",IF(E162&gt;=START_HERE!$B$31,"Explosive Alert",IF(J162&gt;=80,"Strong Candidate",IF(J162&gt;=65,"Good Candidate",IF(J162&gt;=50,"Mixed / Review","Problem Call")))))))</f>
        <v>Explosive Alert</v>
      </c>
      <c r="L162" s="9" t="str">
        <f>IF(COUNTIFS('DEF_SELF_SCOUT_IMPORT'!$L$42:$L$1040,"Y",'DEF_SELF_SCOUT_IMPORT'!$E$42:$E$1040,SUBSTITUTE(SUBSTITUTE(SUBSTITUTE($B162,"~","~~"),"*","~*"),"?","~?"),'DEF_SELF_SCOUT_IMPORT'!$Q$42:$Q$1040,SUBSTITUTE(SUBSTITUTE(SUBSTITUTE($M162,"~","~~"),"*","~*"),"?","~?"),'DEF_SELF_SCOUT_IMPORT'!$J$42:$J$1040,"")&gt;0,"Unscored clean outcome; review result tags before using score.",IF(C162=0,"No matching defensive reps; film confirmation needed.",IF(K162="Explosive Alert","Explosive risk; review clips before using as answer.",IF(C162&lt;=2,"Track only; not enough sample.",IF(C162=3,IF(E162&gt;0,"Sample watch with explosive exposure; review clips and build the sample.",IF(J162&gt;=65,"Good signal, but sample is limited.","Sample watch; review clips and build the sample.")),IF(K162="Problem Call","Problem area; practice or call-sheet review.",IF(K162="Strong Candidate","Strong call-fit candidate; confirm on film.",IF(K162="Good Candidate","Good call-fit signal; confirm on film.","Mixed signal; review fit and execution on film."))))))))</f>
        <v>Explosive risk; review clips before using as answer.</v>
      </c>
      <c r="M162" s="8" t="s">
        <v>115</v>
      </c>
      <c r="N162" s="8"/>
      <c r="O162" s="8"/>
      <c r="P162" s="8"/>
      <c r="Q162" s="8"/>
      <c r="R162" s="8" t="s">
        <v>45</v>
      </c>
      <c r="S162" s="2" t="s">
        <v>116</v>
      </c>
      <c r="T162" s="2">
        <f>IF(C162=0,0,IF(C162&gt;=CALL_LOOKUP_BOARD!$B$7,IF(OR(K162="Problem Call",K162="Explosive Alert"),10000000,20000000),0)+IF(C162&gt;=CALL_LOOKUP_BOARD!$B$7,J162*1000+MIN(C162,999),C162*1000+J162)+0.00984700)</f>
        <v>10013306.009847</v>
      </c>
      <c r="U162" s="2">
        <f>IF(C162=0,"",IF(COUNTIFS($S$10:$S$178,SUBSTITUTE(SUBSTITUTE(SUBSTITUTE(S162,"~","~~"),"*","~*"),"?","~?"),$T$10:$T$178,"&gt;"&amp;T162)=0,S162,""))</f>
        <v/>
      </c>
    </row>
    <row r="163" spans="1:21" ht="38" customHeight="1">
      <c r="A163" s="8" t="s">
        <v>115</v>
      </c>
      <c r="B163" s="8" t="s">
        <v>51</v>
      </c>
      <c r="C163" s="12">
        <f>COUNTIFS('DEF_SELF_SCOUT_IMPORT'!$L$42:$L$1040,"Y",'DEF_SELF_SCOUT_IMPORT'!$E$42:$E$1040,SUBSTITUTE(SUBSTITUTE(SUBSTITUTE($B163,"~","~~"),"*","~*"),"?","~?"),'DEF_SELF_SCOUT_IMPORT'!$Q$42:$Q$1040,SUBSTITUTE(SUBSTITUTE(SUBSTITUTE($M163,"~","~~"),"*","~*"),"?","~?"))</f>
        <v>1</v>
      </c>
      <c r="D163" s="10">
        <f>IF($C163=0,"",SUMIFS('DEF_SELF_SCOUT_IMPORT'!$J$42:$J$1040,'DEF_SELF_SCOUT_IMPORT'!$L$42:$L$1040,"Y",'DEF_SELF_SCOUT_IMPORT'!$E$42:$E$1040,SUBSTITUTE(SUBSTITUTE(SUBSTITUTE($B163,"~","~~"),"*","~*"),"?","~?"),'DEF_SELF_SCOUT_IMPORT'!$Q$42:$Q$1040,SUBSTITUTE(SUBSTITUTE(SUBSTITUTE($M163,"~","~~"),"*","~*"),"?","~?"))/$C163)</f>
        <v>0.0</v>
      </c>
      <c r="E163" s="10">
        <f>IF($C163=0,"",SUMIFS('DEF_SELF_SCOUT_IMPORT'!$K$42:$K$1040,'DEF_SELF_SCOUT_IMPORT'!$L$42:$L$1040,"Y",'DEF_SELF_SCOUT_IMPORT'!$E$42:$E$1040,SUBSTITUTE(SUBSTITUTE(SUBSTITUTE($B163,"~","~~"),"*","~*"),"?","~?"),'DEF_SELF_SCOUT_IMPORT'!$Q$42:$Q$1040,SUBSTITUTE(SUBSTITUTE(SUBSTITUTE($M163,"~","~~"),"*","~*"),"?","~?"))/$C163)</f>
        <v>0.0</v>
      </c>
      <c r="F163" s="11">
        <f>IF($C163=0,"",AVERAGEIFS('DEF_SELF_SCOUT_IMPORT'!$I$42:$I$1040,'DEF_SELF_SCOUT_IMPORT'!$L$42:$L$1040,"Y",'DEF_SELF_SCOUT_IMPORT'!$E$42:$E$1040,SUBSTITUTE(SUBSTITUTE(SUBSTITUTE($B163,"~","~~"),"*","~*"),"?","~?"),'DEF_SELF_SCOUT_IMPORT'!$Q$42:$Q$1040,SUBSTITUTE(SUBSTITUTE(SUBSTITUTE($M163,"~","~~"),"*","~*"),"?","~?")))</f>
        <v>14.0</v>
      </c>
      <c r="G163" s="10">
        <f>IF($C163=0,"",COUNTIFS('DEF_SELF_SCOUT_IMPORT'!$L$42:$L$1040,"Y",'DEF_SELF_SCOUT_IMPORT'!$E$42:$E$1040,SUBSTITUTE(SUBSTITUTE(SUBSTITUTE($B163,"~","~~"),"*","~*"),"?","~?"),'DEF_SELF_SCOUT_IMPORT'!$Q$42:$Q$1040,SUBSTITUTE(SUBSTITUTE(SUBSTITUTE($M163,"~","~~"),"*","~*"),"?","~?"),'DEF_SELF_SCOUT_IMPORT'!$H$42:$H$1040,"RUSH")/$C163)</f>
        <v>0.0</v>
      </c>
      <c r="H163" s="10">
        <f>IF($C163=0,"",COUNTIFS('DEF_SELF_SCOUT_IMPORT'!$L$42:$L$1040,"Y",'DEF_SELF_SCOUT_IMPORT'!$E$42:$E$1040,SUBSTITUTE(SUBSTITUTE(SUBSTITUTE($B163,"~","~~"),"*","~*"),"?","~?"),'DEF_SELF_SCOUT_IMPORT'!$Q$42:$Q$1040,SUBSTITUTE(SUBSTITUTE(SUBSTITUTE($M163,"~","~~"),"*","~*"),"?","~?"),'DEF_SELF_SCOUT_IMPORT'!$H$42:$H$1040,"DROPBACK")/$C163)</f>
        <v>1.0</v>
      </c>
      <c r="I163" s="14" t="str">
        <f>IF(C163=0,"",IF(C163&lt;=2,"TRACK",IF(C163=3,"LOW",IF(C163&lt;=6,"MEDIUM","HIGH"))))</f>
        <v>TRACK</v>
      </c>
      <c r="J163" s="11">
        <f>IF(C163=0,"",ROUND(D163*70+(1-E163)*20+MAX(0,MIN(1,(10-F163)/10))*10,1))</f>
        <v>20.0</v>
      </c>
      <c r="K163" s="14" t="str">
        <f>IF(C163=0,"No Evidence",IF(C163&lt;=2,IF(E163&gt;0,"Explosive Alert","Track Only"),IF(C163=3,"Sample Watch",IF(E163&gt;=START_HERE!$B$31,"Explosive Alert",IF(J163&gt;=80,"Strong Candidate",IF(J163&gt;=65,"Good Candidate",IF(J163&gt;=50,"Mixed / Review","Problem Call")))))))</f>
        <v>Track Only</v>
      </c>
      <c r="L163" s="9" t="str">
        <f>IF(COUNTIFS('DEF_SELF_SCOUT_IMPORT'!$L$42:$L$1040,"Y",'DEF_SELF_SCOUT_IMPORT'!$E$42:$E$1040,SUBSTITUTE(SUBSTITUTE(SUBSTITUTE($B163,"~","~~"),"*","~*"),"?","~?"),'DEF_SELF_SCOUT_IMPORT'!$Q$42:$Q$1040,SUBSTITUTE(SUBSTITUTE(SUBSTITUTE($M163,"~","~~"),"*","~*"),"?","~?"),'DEF_SELF_SCOUT_IMPORT'!$J$42:$J$1040,"")&gt;0,"Unscored clean outcome; review result tags before using score.",IF(C163=0,"No matching defensive reps; film confirmation needed.",IF(K163="Explosive Alert","Explosive risk; review clips before using as answer.",IF(C163&lt;=2,"Track only; not enough sample.",IF(C163=3,IF(E163&gt;0,"Sample watch with explosive exposure; review clips and build the sample.",IF(J163&gt;=65,"Good signal, but sample is limited.","Sample watch; review clips and build the sample.")),IF(K163="Problem Call","Problem area; practice or call-sheet review.",IF(K163="Strong Candidate","Strong call-fit candidate; confirm on film.",IF(K163="Good Candidate","Good call-fit signal; confirm on film.","Mixed signal; review fit and execution on film."))))))))</f>
        <v>Track only; not enough sample.</v>
      </c>
      <c r="M163" s="8" t="s">
        <v>115</v>
      </c>
      <c r="N163" s="8"/>
      <c r="O163" s="8"/>
      <c r="P163" s="8"/>
      <c r="Q163" s="8"/>
      <c r="R163" s="8" t="s">
        <v>28</v>
      </c>
      <c r="S163" s="2" t="s">
        <v>116</v>
      </c>
      <c r="T163" s="2">
        <f>IF(C163=0,0,IF(C163&gt;=CALL_LOOKUP_BOARD!$B$7,IF(OR(K163="Problem Call",K163="Explosive Alert"),10000000,20000000),0)+IF(C163&gt;=CALL_LOOKUP_BOARD!$B$7,J163*1000+MIN(C163,999),C163*1000+J163)+0.00984600)</f>
        <v>1020.009846</v>
      </c>
      <c r="U163" s="2">
        <f>IF(C163=0,"",IF(COUNTIFS($S$10:$S$178,SUBSTITUTE(SUBSTITUTE(SUBSTITUTE(S163,"~","~~"),"*","~*"),"?","~?"),$T$10:$T$178,"&gt;"&amp;T163)=0,S163,""))</f>
        <v/>
      </c>
    </row>
    <row r="164" spans="1:21" ht="38" customHeight="1">
      <c r="A164" s="8" t="s">
        <v>115</v>
      </c>
      <c r="B164" s="8" t="s">
        <v>52</v>
      </c>
      <c r="C164" s="12">
        <f>COUNTIFS('DEF_SELF_SCOUT_IMPORT'!$L$42:$L$1040,"Y",'DEF_SELF_SCOUT_IMPORT'!$E$42:$E$1040,SUBSTITUTE(SUBSTITUTE(SUBSTITUTE($B164,"~","~~"),"*","~*"),"?","~?"),'DEF_SELF_SCOUT_IMPORT'!$Q$42:$Q$1040,SUBSTITUTE(SUBSTITUTE(SUBSTITUTE($M164,"~","~~"),"*","~*"),"?","~?"))</f>
        <v>4</v>
      </c>
      <c r="D164" s="10">
        <f>IF($C164=0,"",SUMIFS('DEF_SELF_SCOUT_IMPORT'!$J$42:$J$1040,'DEF_SELF_SCOUT_IMPORT'!$L$42:$L$1040,"Y",'DEF_SELF_SCOUT_IMPORT'!$E$42:$E$1040,SUBSTITUTE(SUBSTITUTE(SUBSTITUTE($B164,"~","~~"),"*","~*"),"?","~?"),'DEF_SELF_SCOUT_IMPORT'!$Q$42:$Q$1040,SUBSTITUTE(SUBSTITUTE(SUBSTITUTE($M164,"~","~~"),"*","~*"),"?","~?"))/$C164)</f>
        <v>0.5</v>
      </c>
      <c r="E164" s="10">
        <f>IF($C164=0,"",SUMIFS('DEF_SELF_SCOUT_IMPORT'!$K$42:$K$1040,'DEF_SELF_SCOUT_IMPORT'!$L$42:$L$1040,"Y",'DEF_SELF_SCOUT_IMPORT'!$E$42:$E$1040,SUBSTITUTE(SUBSTITUTE(SUBSTITUTE($B164,"~","~~"),"*","~*"),"?","~?"),'DEF_SELF_SCOUT_IMPORT'!$Q$42:$Q$1040,SUBSTITUTE(SUBSTITUTE(SUBSTITUTE($M164,"~","~~"),"*","~*"),"?","~?"))/$C164)</f>
        <v>0.0</v>
      </c>
      <c r="F164" s="11">
        <f>IF($C164=0,"",AVERAGEIFS('DEF_SELF_SCOUT_IMPORT'!$I$42:$I$1040,'DEF_SELF_SCOUT_IMPORT'!$L$42:$L$1040,"Y",'DEF_SELF_SCOUT_IMPORT'!$E$42:$E$1040,SUBSTITUTE(SUBSTITUTE(SUBSTITUTE($B164,"~","~~"),"*","~*"),"?","~?"),'DEF_SELF_SCOUT_IMPORT'!$Q$42:$Q$1040,SUBSTITUTE(SUBSTITUTE(SUBSTITUTE($M164,"~","~~"),"*","~*"),"?","~?")))</f>
        <v>1.5</v>
      </c>
      <c r="G164" s="10">
        <f>IF($C164=0,"",COUNTIFS('DEF_SELF_SCOUT_IMPORT'!$L$42:$L$1040,"Y",'DEF_SELF_SCOUT_IMPORT'!$E$42:$E$1040,SUBSTITUTE(SUBSTITUTE(SUBSTITUTE($B164,"~","~~"),"*","~*"),"?","~?"),'DEF_SELF_SCOUT_IMPORT'!$Q$42:$Q$1040,SUBSTITUTE(SUBSTITUTE(SUBSTITUTE($M164,"~","~~"),"*","~*"),"?","~?"),'DEF_SELF_SCOUT_IMPORT'!$H$42:$H$1040,"RUSH")/$C164)</f>
        <v>0.75</v>
      </c>
      <c r="H164" s="10">
        <f>IF($C164=0,"",COUNTIFS('DEF_SELF_SCOUT_IMPORT'!$L$42:$L$1040,"Y",'DEF_SELF_SCOUT_IMPORT'!$E$42:$E$1040,SUBSTITUTE(SUBSTITUTE(SUBSTITUTE($B164,"~","~~"),"*","~*"),"?","~?"),'DEF_SELF_SCOUT_IMPORT'!$Q$42:$Q$1040,SUBSTITUTE(SUBSTITUTE(SUBSTITUTE($M164,"~","~~"),"*","~*"),"?","~?"),'DEF_SELF_SCOUT_IMPORT'!$H$42:$H$1040,"DROPBACK")/$C164)</f>
        <v>0.25</v>
      </c>
      <c r="I164" s="14" t="str">
        <f>IF(C164=0,"",IF(C164&lt;=2,"TRACK",IF(C164=3,"LOW",IF(C164&lt;=6,"MEDIUM","HIGH"))))</f>
        <v>MEDIUM</v>
      </c>
      <c r="J164" s="11">
        <f>IF(C164=0,"",ROUND(D164*70+(1-E164)*20+MAX(0,MIN(1,(10-F164)/10))*10,1))</f>
        <v>63.5</v>
      </c>
      <c r="K164" s="14" t="str">
        <f>IF(C164=0,"No Evidence",IF(C164&lt;=2,IF(E164&gt;0,"Explosive Alert","Track Only"),IF(C164=3,"Sample Watch",IF(E164&gt;=START_HERE!$B$31,"Explosive Alert",IF(J164&gt;=80,"Strong Candidate",IF(J164&gt;=65,"Good Candidate",IF(J164&gt;=50,"Mixed / Review","Problem Call")))))))</f>
        <v>Mixed / Review</v>
      </c>
      <c r="L164" s="9" t="str">
        <f>IF(COUNTIFS('DEF_SELF_SCOUT_IMPORT'!$L$42:$L$1040,"Y",'DEF_SELF_SCOUT_IMPORT'!$E$42:$E$1040,SUBSTITUTE(SUBSTITUTE(SUBSTITUTE($B164,"~","~~"),"*","~*"),"?","~?"),'DEF_SELF_SCOUT_IMPORT'!$Q$42:$Q$1040,SUBSTITUTE(SUBSTITUTE(SUBSTITUTE($M164,"~","~~"),"*","~*"),"?","~?"),'DEF_SELF_SCOUT_IMPORT'!$J$42:$J$1040,"")&gt;0,"Unscored clean outcome; review result tags before using score.",IF(C164=0,"No matching defensive reps; film confirmation needed.",IF(K164="Explosive Alert","Explosive risk; review clips before using as answer.",IF(C164&lt;=2,"Track only; not enough sample.",IF(C164=3,IF(E164&gt;0,"Sample watch with explosive exposure; review clips and build the sample.",IF(J164&gt;=65,"Good signal, but sample is limited.","Sample watch; review clips and build the sample.")),IF(K164="Problem Call","Problem area; practice or call-sheet review.",IF(K164="Strong Candidate","Strong call-fit candidate; confirm on film.",IF(K164="Good Candidate","Good call-fit signal; confirm on film.","Mixed signal; review fit and execution on film."))))))))</f>
        <v>Mixed signal; review fit and execution on film.</v>
      </c>
      <c r="M164" s="8" t="s">
        <v>115</v>
      </c>
      <c r="N164" s="8"/>
      <c r="O164" s="8"/>
      <c r="P164" s="8"/>
      <c r="Q164" s="8"/>
      <c r="R164" s="8" t="s">
        <v>45</v>
      </c>
      <c r="S164" s="2" t="s">
        <v>116</v>
      </c>
      <c r="T164" s="2">
        <f>IF(C164=0,0,IF(C164&gt;=CALL_LOOKUP_BOARD!$B$7,IF(OR(K164="Problem Call",K164="Explosive Alert"),10000000,20000000),0)+IF(C164&gt;=CALL_LOOKUP_BOARD!$B$7,J164*1000+MIN(C164,999),C164*1000+J164)+0.00984500)</f>
        <v>20063504.009845</v>
      </c>
      <c r="U164" s="2">
        <f>IF(C164=0,"",IF(COUNTIFS($S$10:$S$178,SUBSTITUTE(SUBSTITUTE(SUBSTITUTE(S164,"~","~~"),"*","~*"),"?","~?"),$T$10:$T$178,"&gt;"&amp;T164)=0,S164,""))</f>
        <v/>
      </c>
    </row>
    <row r="165" spans="1:21" ht="38" customHeight="1">
      <c r="A165" s="8" t="s">
        <v>115</v>
      </c>
      <c r="B165" s="8" t="s">
        <v>88</v>
      </c>
      <c r="C165" s="12">
        <f>COUNTIFS('DEF_SELF_SCOUT_IMPORT'!$L$42:$L$1040,"Y",'DEF_SELF_SCOUT_IMPORT'!$E$42:$E$1040,SUBSTITUTE(SUBSTITUTE(SUBSTITUTE($B165,"~","~~"),"*","~*"),"?","~?"),'DEF_SELF_SCOUT_IMPORT'!$Q$42:$Q$1040,SUBSTITUTE(SUBSTITUTE(SUBSTITUTE($M165,"~","~~"),"*","~*"),"?","~?"))</f>
        <v>1</v>
      </c>
      <c r="D165" s="10">
        <f>IF($C165=0,"",SUMIFS('DEF_SELF_SCOUT_IMPORT'!$J$42:$J$1040,'DEF_SELF_SCOUT_IMPORT'!$L$42:$L$1040,"Y",'DEF_SELF_SCOUT_IMPORT'!$E$42:$E$1040,SUBSTITUTE(SUBSTITUTE(SUBSTITUTE($B165,"~","~~"),"*","~*"),"?","~?"),'DEF_SELF_SCOUT_IMPORT'!$Q$42:$Q$1040,SUBSTITUTE(SUBSTITUTE(SUBSTITUTE($M165,"~","~~"),"*","~*"),"?","~?"))/$C165)</f>
        <v>0.0</v>
      </c>
      <c r="E165" s="10">
        <f>IF($C165=0,"",SUMIFS('DEF_SELF_SCOUT_IMPORT'!$K$42:$K$1040,'DEF_SELF_SCOUT_IMPORT'!$L$42:$L$1040,"Y",'DEF_SELF_SCOUT_IMPORT'!$E$42:$E$1040,SUBSTITUTE(SUBSTITUTE(SUBSTITUTE($B165,"~","~~"),"*","~*"),"?","~?"),'DEF_SELF_SCOUT_IMPORT'!$Q$42:$Q$1040,SUBSTITUTE(SUBSTITUTE(SUBSTITUTE($M165,"~","~~"),"*","~*"),"?","~?"))/$C165)</f>
        <v>0.0</v>
      </c>
      <c r="F165" s="11">
        <f>IF($C165=0,"",AVERAGEIFS('DEF_SELF_SCOUT_IMPORT'!$I$42:$I$1040,'DEF_SELF_SCOUT_IMPORT'!$L$42:$L$1040,"Y",'DEF_SELF_SCOUT_IMPORT'!$E$42:$E$1040,SUBSTITUTE(SUBSTITUTE(SUBSTITUTE($B165,"~","~~"),"*","~*"),"?","~?"),'DEF_SELF_SCOUT_IMPORT'!$Q$42:$Q$1040,SUBSTITUTE(SUBSTITUTE(SUBSTITUTE($M165,"~","~~"),"*","~*"),"?","~?")))</f>
        <v>4.0</v>
      </c>
      <c r="G165" s="10">
        <f>IF($C165=0,"",COUNTIFS('DEF_SELF_SCOUT_IMPORT'!$L$42:$L$1040,"Y",'DEF_SELF_SCOUT_IMPORT'!$E$42:$E$1040,SUBSTITUTE(SUBSTITUTE(SUBSTITUTE($B165,"~","~~"),"*","~*"),"?","~?"),'DEF_SELF_SCOUT_IMPORT'!$Q$42:$Q$1040,SUBSTITUTE(SUBSTITUTE(SUBSTITUTE($M165,"~","~~"),"*","~*"),"?","~?"),'DEF_SELF_SCOUT_IMPORT'!$H$42:$H$1040,"RUSH")/$C165)</f>
        <v>1.0</v>
      </c>
      <c r="H165" s="10">
        <f>IF($C165=0,"",COUNTIFS('DEF_SELF_SCOUT_IMPORT'!$L$42:$L$1040,"Y",'DEF_SELF_SCOUT_IMPORT'!$E$42:$E$1040,SUBSTITUTE(SUBSTITUTE(SUBSTITUTE($B165,"~","~~"),"*","~*"),"?","~?"),'DEF_SELF_SCOUT_IMPORT'!$Q$42:$Q$1040,SUBSTITUTE(SUBSTITUTE(SUBSTITUTE($M165,"~","~~"),"*","~*"),"?","~?"),'DEF_SELF_SCOUT_IMPORT'!$H$42:$H$1040,"DROPBACK")/$C165)</f>
        <v>0.0</v>
      </c>
      <c r="I165" s="14" t="str">
        <f>IF(C165=0,"",IF(C165&lt;=2,"TRACK",IF(C165=3,"LOW",IF(C165&lt;=6,"MEDIUM","HIGH"))))</f>
        <v>TRACK</v>
      </c>
      <c r="J165" s="11">
        <f>IF(C165=0,"",ROUND(D165*70+(1-E165)*20+MAX(0,MIN(1,(10-F165)/10))*10,1))</f>
        <v>26.0</v>
      </c>
      <c r="K165" s="14" t="str">
        <f>IF(C165=0,"No Evidence",IF(C165&lt;=2,IF(E165&gt;0,"Explosive Alert","Track Only"),IF(C165=3,"Sample Watch",IF(E165&gt;=START_HERE!$B$31,"Explosive Alert",IF(J165&gt;=80,"Strong Candidate",IF(J165&gt;=65,"Good Candidate",IF(J165&gt;=50,"Mixed / Review","Problem Call")))))))</f>
        <v>Track Only</v>
      </c>
      <c r="L165" s="9" t="str">
        <f>IF(COUNTIFS('DEF_SELF_SCOUT_IMPORT'!$L$42:$L$1040,"Y",'DEF_SELF_SCOUT_IMPORT'!$E$42:$E$1040,SUBSTITUTE(SUBSTITUTE(SUBSTITUTE($B165,"~","~~"),"*","~*"),"?","~?"),'DEF_SELF_SCOUT_IMPORT'!$Q$42:$Q$1040,SUBSTITUTE(SUBSTITUTE(SUBSTITUTE($M165,"~","~~"),"*","~*"),"?","~?"),'DEF_SELF_SCOUT_IMPORT'!$J$42:$J$1040,"")&gt;0,"Unscored clean outcome; review result tags before using score.",IF(C165=0,"No matching defensive reps; film confirmation needed.",IF(K165="Explosive Alert","Explosive risk; review clips before using as answer.",IF(C165&lt;=2,"Track only; not enough sample.",IF(C165=3,IF(E165&gt;0,"Sample watch with explosive exposure; review clips and build the sample.",IF(J165&gt;=65,"Good signal, but sample is limited.","Sample watch; review clips and build the sample.")),IF(K165="Problem Call","Problem area; practice or call-sheet review.",IF(K165="Strong Candidate","Strong call-fit candidate; confirm on film.",IF(K165="Good Candidate","Good call-fit signal; confirm on film.","Mixed signal; review fit and execution on film."))))))))</f>
        <v>Track only; not enough sample.</v>
      </c>
      <c r="M165" s="8" t="s">
        <v>115</v>
      </c>
      <c r="N165" s="8"/>
      <c r="O165" s="8"/>
      <c r="P165" s="8"/>
      <c r="Q165" s="8"/>
      <c r="R165" s="8" t="s">
        <v>28</v>
      </c>
      <c r="S165" s="2" t="s">
        <v>116</v>
      </c>
      <c r="T165" s="2">
        <f>IF(C165=0,0,IF(C165&gt;=CALL_LOOKUP_BOARD!$B$7,IF(OR(K165="Problem Call",K165="Explosive Alert"),10000000,20000000),0)+IF(C165&gt;=CALL_LOOKUP_BOARD!$B$7,J165*1000+MIN(C165,999),C165*1000+J165)+0.00984400)</f>
        <v>1026.009844</v>
      </c>
      <c r="U165" s="2">
        <f>IF(C165=0,"",IF(COUNTIFS($S$10:$S$178,SUBSTITUTE(SUBSTITUTE(SUBSTITUTE(S165,"~","~~"),"*","~*"),"?","~?"),$T$10:$T$178,"&gt;"&amp;T165)=0,S165,""))</f>
        <v/>
      </c>
    </row>
    <row r="166" spans="1:21" ht="38" customHeight="1">
      <c r="A166" s="8" t="s">
        <v>115</v>
      </c>
      <c r="B166" s="8" t="s">
        <v>53</v>
      </c>
      <c r="C166" s="12">
        <f>COUNTIFS('DEF_SELF_SCOUT_IMPORT'!$L$42:$L$1040,"Y",'DEF_SELF_SCOUT_IMPORT'!$E$42:$E$1040,SUBSTITUTE(SUBSTITUTE(SUBSTITUTE($B166,"~","~~"),"*","~*"),"?","~?"),'DEF_SELF_SCOUT_IMPORT'!$Q$42:$Q$1040,SUBSTITUTE(SUBSTITUTE(SUBSTITUTE($M166,"~","~~"),"*","~*"),"?","~?"))</f>
        <v>1</v>
      </c>
      <c r="D166" s="10">
        <f>IF($C166=0,"",SUMIFS('DEF_SELF_SCOUT_IMPORT'!$J$42:$J$1040,'DEF_SELF_SCOUT_IMPORT'!$L$42:$L$1040,"Y",'DEF_SELF_SCOUT_IMPORT'!$E$42:$E$1040,SUBSTITUTE(SUBSTITUTE(SUBSTITUTE($B166,"~","~~"),"*","~*"),"?","~?"),'DEF_SELF_SCOUT_IMPORT'!$Q$42:$Q$1040,SUBSTITUTE(SUBSTITUTE(SUBSTITUTE($M166,"~","~~"),"*","~*"),"?","~?"))/$C166)</f>
        <v>0.0</v>
      </c>
      <c r="E166" s="10">
        <f>IF($C166=0,"",SUMIFS('DEF_SELF_SCOUT_IMPORT'!$K$42:$K$1040,'DEF_SELF_SCOUT_IMPORT'!$L$42:$L$1040,"Y",'DEF_SELF_SCOUT_IMPORT'!$E$42:$E$1040,SUBSTITUTE(SUBSTITUTE(SUBSTITUTE($B166,"~","~~"),"*","~*"),"?","~?"),'DEF_SELF_SCOUT_IMPORT'!$Q$42:$Q$1040,SUBSTITUTE(SUBSTITUTE(SUBSTITUTE($M166,"~","~~"),"*","~*"),"?","~?"))/$C166)</f>
        <v>0.0</v>
      </c>
      <c r="F166" s="11">
        <f>IF($C166=0,"",AVERAGEIFS('DEF_SELF_SCOUT_IMPORT'!$I$42:$I$1040,'DEF_SELF_SCOUT_IMPORT'!$L$42:$L$1040,"Y",'DEF_SELF_SCOUT_IMPORT'!$E$42:$E$1040,SUBSTITUTE(SUBSTITUTE(SUBSTITUTE($B166,"~","~~"),"*","~*"),"?","~?"),'DEF_SELF_SCOUT_IMPORT'!$Q$42:$Q$1040,SUBSTITUTE(SUBSTITUTE(SUBSTITUTE($M166,"~","~~"),"*","~*"),"?","~?")))</f>
        <v>8.0</v>
      </c>
      <c r="G166" s="10">
        <f>IF($C166=0,"",COUNTIFS('DEF_SELF_SCOUT_IMPORT'!$L$42:$L$1040,"Y",'DEF_SELF_SCOUT_IMPORT'!$E$42:$E$1040,SUBSTITUTE(SUBSTITUTE(SUBSTITUTE($B166,"~","~~"),"*","~*"),"?","~?"),'DEF_SELF_SCOUT_IMPORT'!$Q$42:$Q$1040,SUBSTITUTE(SUBSTITUTE(SUBSTITUTE($M166,"~","~~"),"*","~*"),"?","~?"),'DEF_SELF_SCOUT_IMPORT'!$H$42:$H$1040,"RUSH")/$C166)</f>
        <v>0.0</v>
      </c>
      <c r="H166" s="10">
        <f>IF($C166=0,"",COUNTIFS('DEF_SELF_SCOUT_IMPORT'!$L$42:$L$1040,"Y",'DEF_SELF_SCOUT_IMPORT'!$E$42:$E$1040,SUBSTITUTE(SUBSTITUTE(SUBSTITUTE($B166,"~","~~"),"*","~*"),"?","~?"),'DEF_SELF_SCOUT_IMPORT'!$Q$42:$Q$1040,SUBSTITUTE(SUBSTITUTE(SUBSTITUTE($M166,"~","~~"),"*","~*"),"?","~?"),'DEF_SELF_SCOUT_IMPORT'!$H$42:$H$1040,"DROPBACK")/$C166)</f>
        <v>1.0</v>
      </c>
      <c r="I166" s="14" t="str">
        <f>IF(C166=0,"",IF(C166&lt;=2,"TRACK",IF(C166=3,"LOW",IF(C166&lt;=6,"MEDIUM","HIGH"))))</f>
        <v>TRACK</v>
      </c>
      <c r="J166" s="11">
        <f>IF(C166=0,"",ROUND(D166*70+(1-E166)*20+MAX(0,MIN(1,(10-F166)/10))*10,1))</f>
        <v>22.0</v>
      </c>
      <c r="K166" s="14" t="str">
        <f>IF(C166=0,"No Evidence",IF(C166&lt;=2,IF(E166&gt;0,"Explosive Alert","Track Only"),IF(C166=3,"Sample Watch",IF(E166&gt;=START_HERE!$B$31,"Explosive Alert",IF(J166&gt;=80,"Strong Candidate",IF(J166&gt;=65,"Good Candidate",IF(J166&gt;=50,"Mixed / Review","Problem Call")))))))</f>
        <v>Track Only</v>
      </c>
      <c r="L166" s="9" t="str">
        <f>IF(COUNTIFS('DEF_SELF_SCOUT_IMPORT'!$L$42:$L$1040,"Y",'DEF_SELF_SCOUT_IMPORT'!$E$42:$E$1040,SUBSTITUTE(SUBSTITUTE(SUBSTITUTE($B166,"~","~~"),"*","~*"),"?","~?"),'DEF_SELF_SCOUT_IMPORT'!$Q$42:$Q$1040,SUBSTITUTE(SUBSTITUTE(SUBSTITUTE($M166,"~","~~"),"*","~*"),"?","~?"),'DEF_SELF_SCOUT_IMPORT'!$J$42:$J$1040,"")&gt;0,"Unscored clean outcome; review result tags before using score.",IF(C166=0,"No matching defensive reps; film confirmation needed.",IF(K166="Explosive Alert","Explosive risk; review clips before using as answer.",IF(C166&lt;=2,"Track only; not enough sample.",IF(C166=3,IF(E166&gt;0,"Sample watch with explosive exposure; review clips and build the sample.",IF(J166&gt;=65,"Good signal, but sample is limited.","Sample watch; review clips and build the sample.")),IF(K166="Problem Call","Problem area; practice or call-sheet review.",IF(K166="Strong Candidate","Strong call-fit candidate; confirm on film.",IF(K166="Good Candidate","Good call-fit signal; confirm on film.","Mixed signal; review fit and execution on film."))))))))</f>
        <v>Track only; not enough sample.</v>
      </c>
      <c r="M166" s="8" t="s">
        <v>115</v>
      </c>
      <c r="N166" s="8"/>
      <c r="O166" s="8"/>
      <c r="P166" s="8"/>
      <c r="Q166" s="8"/>
      <c r="R166" s="8" t="s">
        <v>28</v>
      </c>
      <c r="S166" s="2" t="s">
        <v>116</v>
      </c>
      <c r="T166" s="2">
        <f>IF(C166=0,0,IF(C166&gt;=CALL_LOOKUP_BOARD!$B$7,IF(OR(K166="Problem Call",K166="Explosive Alert"),10000000,20000000),0)+IF(C166&gt;=CALL_LOOKUP_BOARD!$B$7,J166*1000+MIN(C166,999),C166*1000+J166)+0.00984300)</f>
        <v>1022.009843</v>
      </c>
      <c r="U166" s="2">
        <f>IF(C166=0,"",IF(COUNTIFS($S$10:$S$178,SUBSTITUTE(SUBSTITUTE(SUBSTITUTE(S166,"~","~~"),"*","~*"),"?","~?"),$T$10:$T$178,"&gt;"&amp;T166)=0,S166,""))</f>
        <v/>
      </c>
    </row>
    <row r="167" spans="1:21" ht="38" customHeight="1">
      <c r="A167" s="8" t="s">
        <v>115</v>
      </c>
      <c r="B167" s="8" t="s">
        <v>54</v>
      </c>
      <c r="C167" s="12">
        <f>COUNTIFS('DEF_SELF_SCOUT_IMPORT'!$L$42:$L$1040,"Y",'DEF_SELF_SCOUT_IMPORT'!$E$42:$E$1040,SUBSTITUTE(SUBSTITUTE(SUBSTITUTE($B167,"~","~~"),"*","~*"),"?","~?"),'DEF_SELF_SCOUT_IMPORT'!$Q$42:$Q$1040,SUBSTITUTE(SUBSTITUTE(SUBSTITUTE($M167,"~","~~"),"*","~*"),"?","~?"))</f>
        <v>2</v>
      </c>
      <c r="D167" s="10">
        <f>IF($C167=0,"",SUMIFS('DEF_SELF_SCOUT_IMPORT'!$J$42:$J$1040,'DEF_SELF_SCOUT_IMPORT'!$L$42:$L$1040,"Y",'DEF_SELF_SCOUT_IMPORT'!$E$42:$E$1040,SUBSTITUTE(SUBSTITUTE(SUBSTITUTE($B167,"~","~~"),"*","~*"),"?","~?"),'DEF_SELF_SCOUT_IMPORT'!$Q$42:$Q$1040,SUBSTITUTE(SUBSTITUTE(SUBSTITUTE($M167,"~","~~"),"*","~*"),"?","~?"))/$C167)</f>
        <v>0.0</v>
      </c>
      <c r="E167" s="10">
        <f>IF($C167=0,"",SUMIFS('DEF_SELF_SCOUT_IMPORT'!$K$42:$K$1040,'DEF_SELF_SCOUT_IMPORT'!$L$42:$L$1040,"Y",'DEF_SELF_SCOUT_IMPORT'!$E$42:$E$1040,SUBSTITUTE(SUBSTITUTE(SUBSTITUTE($B167,"~","~~"),"*","~*"),"?","~?"),'DEF_SELF_SCOUT_IMPORT'!$Q$42:$Q$1040,SUBSTITUTE(SUBSTITUTE(SUBSTITUTE($M167,"~","~~"),"*","~*"),"?","~?"))/$C167)</f>
        <v>0.5</v>
      </c>
      <c r="F167" s="11">
        <f>IF($C167=0,"",AVERAGEIFS('DEF_SELF_SCOUT_IMPORT'!$I$42:$I$1040,'DEF_SELF_SCOUT_IMPORT'!$L$42:$L$1040,"Y",'DEF_SELF_SCOUT_IMPORT'!$E$42:$E$1040,SUBSTITUTE(SUBSTITUTE(SUBSTITUTE($B167,"~","~~"),"*","~*"),"?","~?"),'DEF_SELF_SCOUT_IMPORT'!$Q$42:$Q$1040,SUBSTITUTE(SUBSTITUTE(SUBSTITUTE($M167,"~","~~"),"*","~*"),"?","~?")))</f>
        <v>11.5</v>
      </c>
      <c r="G167" s="10">
        <f>IF($C167=0,"",COUNTIFS('DEF_SELF_SCOUT_IMPORT'!$L$42:$L$1040,"Y",'DEF_SELF_SCOUT_IMPORT'!$E$42:$E$1040,SUBSTITUTE(SUBSTITUTE(SUBSTITUTE($B167,"~","~~"),"*","~*"),"?","~?"),'DEF_SELF_SCOUT_IMPORT'!$Q$42:$Q$1040,SUBSTITUTE(SUBSTITUTE(SUBSTITUTE($M167,"~","~~"),"*","~*"),"?","~?"),'DEF_SELF_SCOUT_IMPORT'!$H$42:$H$1040,"RUSH")/$C167)</f>
        <v>1.0</v>
      </c>
      <c r="H167" s="10">
        <f>IF($C167=0,"",COUNTIFS('DEF_SELF_SCOUT_IMPORT'!$L$42:$L$1040,"Y",'DEF_SELF_SCOUT_IMPORT'!$E$42:$E$1040,SUBSTITUTE(SUBSTITUTE(SUBSTITUTE($B167,"~","~~"),"*","~*"),"?","~?"),'DEF_SELF_SCOUT_IMPORT'!$Q$42:$Q$1040,SUBSTITUTE(SUBSTITUTE(SUBSTITUTE($M167,"~","~~"),"*","~*"),"?","~?"),'DEF_SELF_SCOUT_IMPORT'!$H$42:$H$1040,"DROPBACK")/$C167)</f>
        <v>0.0</v>
      </c>
      <c r="I167" s="14" t="str">
        <f>IF(C167=0,"",IF(C167&lt;=2,"TRACK",IF(C167=3,"LOW",IF(C167&lt;=6,"MEDIUM","HIGH"))))</f>
        <v>TRACK</v>
      </c>
      <c r="J167" s="11">
        <f>IF(C167=0,"",ROUND(D167*70+(1-E167)*20+MAX(0,MIN(1,(10-F167)/10))*10,1))</f>
        <v>10.0</v>
      </c>
      <c r="K167" s="14" t="str">
        <f>IF(C167=0,"No Evidence",IF(C167&lt;=2,IF(E167&gt;0,"Explosive Alert","Track Only"),IF(C167=3,"Sample Watch",IF(E167&gt;=START_HERE!$B$31,"Explosive Alert",IF(J167&gt;=80,"Strong Candidate",IF(J167&gt;=65,"Good Candidate",IF(J167&gt;=50,"Mixed / Review","Problem Call")))))))</f>
        <v>Explosive Alert</v>
      </c>
      <c r="L167" s="9" t="str">
        <f>IF(COUNTIFS('DEF_SELF_SCOUT_IMPORT'!$L$42:$L$1040,"Y",'DEF_SELF_SCOUT_IMPORT'!$E$42:$E$1040,SUBSTITUTE(SUBSTITUTE(SUBSTITUTE($B167,"~","~~"),"*","~*"),"?","~?"),'DEF_SELF_SCOUT_IMPORT'!$Q$42:$Q$1040,SUBSTITUTE(SUBSTITUTE(SUBSTITUTE($M167,"~","~~"),"*","~*"),"?","~?"),'DEF_SELF_SCOUT_IMPORT'!$J$42:$J$1040,"")&gt;0,"Unscored clean outcome; review result tags before using score.",IF(C167=0,"No matching defensive reps; film confirmation needed.",IF(K167="Explosive Alert","Explosive risk; review clips before using as answer.",IF(C167&lt;=2,"Track only; not enough sample.",IF(C167=3,IF(E167&gt;0,"Sample watch with explosive exposure; review clips and build the sample.",IF(J167&gt;=65,"Good signal, but sample is limited.","Sample watch; review clips and build the sample.")),IF(K167="Problem Call","Problem area; practice or call-sheet review.",IF(K167="Strong Candidate","Strong call-fit candidate; confirm on film.",IF(K167="Good Candidate","Good call-fit signal; confirm on film.","Mixed signal; review fit and execution on film."))))))))</f>
        <v>Explosive risk; review clips before using as answer.</v>
      </c>
      <c r="M167" s="8" t="s">
        <v>115</v>
      </c>
      <c r="N167" s="8"/>
      <c r="O167" s="8"/>
      <c r="P167" s="8"/>
      <c r="Q167" s="8"/>
      <c r="R167" s="8" t="s">
        <v>28</v>
      </c>
      <c r="S167" s="2" t="s">
        <v>116</v>
      </c>
      <c r="T167" s="2">
        <f>IF(C167=0,0,IF(C167&gt;=CALL_LOOKUP_BOARD!$B$7,IF(OR(K167="Problem Call",K167="Explosive Alert"),10000000,20000000),0)+IF(C167&gt;=CALL_LOOKUP_BOARD!$B$7,J167*1000+MIN(C167,999),C167*1000+J167)+0.00984200)</f>
        <v>2010.009842</v>
      </c>
      <c r="U167" s="2">
        <f>IF(C167=0,"",IF(COUNTIFS($S$10:$S$178,SUBSTITUTE(SUBSTITUTE(SUBSTITUTE(S167,"~","~~"),"*","~*"),"?","~?"),$T$10:$T$178,"&gt;"&amp;T167)=0,S167,""))</f>
        <v/>
      </c>
    </row>
    <row r="168" spans="1:21" ht="38" customHeight="1">
      <c r="A168" s="8" t="s">
        <v>115</v>
      </c>
      <c r="B168" s="8" t="s">
        <v>117</v>
      </c>
      <c r="C168" s="12">
        <f>COUNTIFS('DEF_SELF_SCOUT_IMPORT'!$L$42:$L$1040,"Y",'DEF_SELF_SCOUT_IMPORT'!$E$42:$E$1040,SUBSTITUTE(SUBSTITUTE(SUBSTITUTE($B168,"~","~~"),"*","~*"),"?","~?"),'DEF_SELF_SCOUT_IMPORT'!$Q$42:$Q$1040,SUBSTITUTE(SUBSTITUTE(SUBSTITUTE($M168,"~","~~"),"*","~*"),"?","~?"))</f>
        <v>1</v>
      </c>
      <c r="D168" s="10">
        <f>IF($C168=0,"",SUMIFS('DEF_SELF_SCOUT_IMPORT'!$J$42:$J$1040,'DEF_SELF_SCOUT_IMPORT'!$L$42:$L$1040,"Y",'DEF_SELF_SCOUT_IMPORT'!$E$42:$E$1040,SUBSTITUTE(SUBSTITUTE(SUBSTITUTE($B168,"~","~~"),"*","~*"),"?","~?"),'DEF_SELF_SCOUT_IMPORT'!$Q$42:$Q$1040,SUBSTITUTE(SUBSTITUTE(SUBSTITUTE($M168,"~","~~"),"*","~*"),"?","~?"))/$C168)</f>
        <v>0.0</v>
      </c>
      <c r="E168" s="10">
        <f>IF($C168=0,"",SUMIFS('DEF_SELF_SCOUT_IMPORT'!$K$42:$K$1040,'DEF_SELF_SCOUT_IMPORT'!$L$42:$L$1040,"Y",'DEF_SELF_SCOUT_IMPORT'!$E$42:$E$1040,SUBSTITUTE(SUBSTITUTE(SUBSTITUTE($B168,"~","~~"),"*","~*"),"?","~?"),'DEF_SELF_SCOUT_IMPORT'!$Q$42:$Q$1040,SUBSTITUTE(SUBSTITUTE(SUBSTITUTE($M168,"~","~~"),"*","~*"),"?","~?"))/$C168)</f>
        <v>1.0</v>
      </c>
      <c r="F168" s="11">
        <f>IF($C168=0,"",AVERAGEIFS('DEF_SELF_SCOUT_IMPORT'!$I$42:$I$1040,'DEF_SELF_SCOUT_IMPORT'!$L$42:$L$1040,"Y",'DEF_SELF_SCOUT_IMPORT'!$E$42:$E$1040,SUBSTITUTE(SUBSTITUTE(SUBSTITUTE($B168,"~","~~"),"*","~*"),"?","~?"),'DEF_SELF_SCOUT_IMPORT'!$Q$42:$Q$1040,SUBSTITUTE(SUBSTITUTE(SUBSTITUTE($M168,"~","~~"),"*","~*"),"?","~?")))</f>
        <v>16.0</v>
      </c>
      <c r="G168" s="10">
        <f>IF($C168=0,"",COUNTIFS('DEF_SELF_SCOUT_IMPORT'!$L$42:$L$1040,"Y",'DEF_SELF_SCOUT_IMPORT'!$E$42:$E$1040,SUBSTITUTE(SUBSTITUTE(SUBSTITUTE($B168,"~","~~"),"*","~*"),"?","~?"),'DEF_SELF_SCOUT_IMPORT'!$Q$42:$Q$1040,SUBSTITUTE(SUBSTITUTE(SUBSTITUTE($M168,"~","~~"),"*","~*"),"?","~?"),'DEF_SELF_SCOUT_IMPORT'!$H$42:$H$1040,"RUSH")/$C168)</f>
        <v>0.0</v>
      </c>
      <c r="H168" s="10">
        <f>IF($C168=0,"",COUNTIFS('DEF_SELF_SCOUT_IMPORT'!$L$42:$L$1040,"Y",'DEF_SELF_SCOUT_IMPORT'!$E$42:$E$1040,SUBSTITUTE(SUBSTITUTE(SUBSTITUTE($B168,"~","~~"),"*","~*"),"?","~?"),'DEF_SELF_SCOUT_IMPORT'!$Q$42:$Q$1040,SUBSTITUTE(SUBSTITUTE(SUBSTITUTE($M168,"~","~~"),"*","~*"),"?","~?"),'DEF_SELF_SCOUT_IMPORT'!$H$42:$H$1040,"DROPBACK")/$C168)</f>
        <v>1.0</v>
      </c>
      <c r="I168" s="14" t="str">
        <f>IF(C168=0,"",IF(C168&lt;=2,"TRACK",IF(C168=3,"LOW",IF(C168&lt;=6,"MEDIUM","HIGH"))))</f>
        <v>TRACK</v>
      </c>
      <c r="J168" s="11">
        <f>IF(C168=0,"",ROUND(D168*70+(1-E168)*20+MAX(0,MIN(1,(10-F168)/10))*10,1))</f>
        <v>0.0</v>
      </c>
      <c r="K168" s="14" t="str">
        <f>IF(C168=0,"No Evidence",IF(C168&lt;=2,IF(E168&gt;0,"Explosive Alert","Track Only"),IF(C168=3,"Sample Watch",IF(E168&gt;=START_HERE!$B$31,"Explosive Alert",IF(J168&gt;=80,"Strong Candidate",IF(J168&gt;=65,"Good Candidate",IF(J168&gt;=50,"Mixed / Review","Problem Call")))))))</f>
        <v>Explosive Alert</v>
      </c>
      <c r="L168" s="9" t="str">
        <f>IF(COUNTIFS('DEF_SELF_SCOUT_IMPORT'!$L$42:$L$1040,"Y",'DEF_SELF_SCOUT_IMPORT'!$E$42:$E$1040,SUBSTITUTE(SUBSTITUTE(SUBSTITUTE($B168,"~","~~"),"*","~*"),"?","~?"),'DEF_SELF_SCOUT_IMPORT'!$Q$42:$Q$1040,SUBSTITUTE(SUBSTITUTE(SUBSTITUTE($M168,"~","~~"),"*","~*"),"?","~?"),'DEF_SELF_SCOUT_IMPORT'!$J$42:$J$1040,"")&gt;0,"Unscored clean outcome; review result tags before using score.",IF(C168=0,"No matching defensive reps; film confirmation needed.",IF(K168="Explosive Alert","Explosive risk; review clips before using as answer.",IF(C168&lt;=2,"Track only; not enough sample.",IF(C168=3,IF(E168&gt;0,"Sample watch with explosive exposure; review clips and build the sample.",IF(J168&gt;=65,"Good signal, but sample is limited.","Sample watch; review clips and build the sample.")),IF(K168="Problem Call","Problem area; practice or call-sheet review.",IF(K168="Strong Candidate","Strong call-fit candidate; confirm on film.",IF(K168="Good Candidate","Good call-fit signal; confirm on film.","Mixed signal; review fit and execution on film."))))))))</f>
        <v>Explosive risk; review clips before using as answer.</v>
      </c>
      <c r="M168" s="8" t="s">
        <v>115</v>
      </c>
      <c r="N168" s="8"/>
      <c r="O168" s="8"/>
      <c r="P168" s="8"/>
      <c r="Q168" s="8"/>
      <c r="R168" s="8" t="s">
        <v>28</v>
      </c>
      <c r="S168" s="2" t="s">
        <v>116</v>
      </c>
      <c r="T168" s="2">
        <f>IF(C168=0,0,IF(C168&gt;=CALL_LOOKUP_BOARD!$B$7,IF(OR(K168="Problem Call",K168="Explosive Alert"),10000000,20000000),0)+IF(C168&gt;=CALL_LOOKUP_BOARD!$B$7,J168*1000+MIN(C168,999),C168*1000+J168)+0.00984100)</f>
        <v>1000.009841</v>
      </c>
      <c r="U168" s="2">
        <f>IF(C168=0,"",IF(COUNTIFS($S$10:$S$178,SUBSTITUTE(SUBSTITUTE(SUBSTITUTE(S168,"~","~~"),"*","~*"),"?","~?"),$T$10:$T$178,"&gt;"&amp;T168)=0,S168,""))</f>
        <v/>
      </c>
    </row>
    <row r="169" spans="1:21" ht="38" customHeight="1">
      <c r="A169" s="8" t="s">
        <v>115</v>
      </c>
      <c r="B169" s="8" t="s">
        <v>81</v>
      </c>
      <c r="C169" s="12">
        <f>COUNTIFS('DEF_SELF_SCOUT_IMPORT'!$L$42:$L$1040,"Y",'DEF_SELF_SCOUT_IMPORT'!$E$42:$E$1040,SUBSTITUTE(SUBSTITUTE(SUBSTITUTE($B169,"~","~~"),"*","~*"),"?","~?"),'DEF_SELF_SCOUT_IMPORT'!$Q$42:$Q$1040,SUBSTITUTE(SUBSTITUTE(SUBSTITUTE($M169,"~","~~"),"*","~*"),"?","~?"))</f>
        <v>1</v>
      </c>
      <c r="D169" s="10">
        <f>IF($C169=0,"",SUMIFS('DEF_SELF_SCOUT_IMPORT'!$J$42:$J$1040,'DEF_SELF_SCOUT_IMPORT'!$L$42:$L$1040,"Y",'DEF_SELF_SCOUT_IMPORT'!$E$42:$E$1040,SUBSTITUTE(SUBSTITUTE(SUBSTITUTE($B169,"~","~~"),"*","~*"),"?","~?"),'DEF_SELF_SCOUT_IMPORT'!$Q$42:$Q$1040,SUBSTITUTE(SUBSTITUTE(SUBSTITUTE($M169,"~","~~"),"*","~*"),"?","~?"))/$C169)</f>
        <v>0.0</v>
      </c>
      <c r="E169" s="10">
        <f>IF($C169=0,"",SUMIFS('DEF_SELF_SCOUT_IMPORT'!$K$42:$K$1040,'DEF_SELF_SCOUT_IMPORT'!$L$42:$L$1040,"Y",'DEF_SELF_SCOUT_IMPORT'!$E$42:$E$1040,SUBSTITUTE(SUBSTITUTE(SUBSTITUTE($B169,"~","~~"),"*","~*"),"?","~?"),'DEF_SELF_SCOUT_IMPORT'!$Q$42:$Q$1040,SUBSTITUTE(SUBSTITUTE(SUBSTITUTE($M169,"~","~~"),"*","~*"),"?","~?"))/$C169)</f>
        <v>0.0</v>
      </c>
      <c r="F169" s="11">
        <f>IF($C169=0,"",AVERAGEIFS('DEF_SELF_SCOUT_IMPORT'!$I$42:$I$1040,'DEF_SELF_SCOUT_IMPORT'!$L$42:$L$1040,"Y",'DEF_SELF_SCOUT_IMPORT'!$E$42:$E$1040,SUBSTITUTE(SUBSTITUTE(SUBSTITUTE($B169,"~","~~"),"*","~*"),"?","~?"),'DEF_SELF_SCOUT_IMPORT'!$Q$42:$Q$1040,SUBSTITUTE(SUBSTITUTE(SUBSTITUTE($M169,"~","~~"),"*","~*"),"?","~?")))</f>
        <v>4.0</v>
      </c>
      <c r="G169" s="10">
        <f>IF($C169=0,"",COUNTIFS('DEF_SELF_SCOUT_IMPORT'!$L$42:$L$1040,"Y",'DEF_SELF_SCOUT_IMPORT'!$E$42:$E$1040,SUBSTITUTE(SUBSTITUTE(SUBSTITUTE($B169,"~","~~"),"*","~*"),"?","~?"),'DEF_SELF_SCOUT_IMPORT'!$Q$42:$Q$1040,SUBSTITUTE(SUBSTITUTE(SUBSTITUTE($M169,"~","~~"),"*","~*"),"?","~?"),'DEF_SELF_SCOUT_IMPORT'!$H$42:$H$1040,"RUSH")/$C169)</f>
        <v>1.0</v>
      </c>
      <c r="H169" s="10">
        <f>IF($C169=0,"",COUNTIFS('DEF_SELF_SCOUT_IMPORT'!$L$42:$L$1040,"Y",'DEF_SELF_SCOUT_IMPORT'!$E$42:$E$1040,SUBSTITUTE(SUBSTITUTE(SUBSTITUTE($B169,"~","~~"),"*","~*"),"?","~?"),'DEF_SELF_SCOUT_IMPORT'!$Q$42:$Q$1040,SUBSTITUTE(SUBSTITUTE(SUBSTITUTE($M169,"~","~~"),"*","~*"),"?","~?"),'DEF_SELF_SCOUT_IMPORT'!$H$42:$H$1040,"DROPBACK")/$C169)</f>
        <v>0.0</v>
      </c>
      <c r="I169" s="14" t="str">
        <f>IF(C169=0,"",IF(C169&lt;=2,"TRACK",IF(C169=3,"LOW",IF(C169&lt;=6,"MEDIUM","HIGH"))))</f>
        <v>TRACK</v>
      </c>
      <c r="J169" s="11">
        <f>IF(C169=0,"",ROUND(D169*70+(1-E169)*20+MAX(0,MIN(1,(10-F169)/10))*10,1))</f>
        <v>26.0</v>
      </c>
      <c r="K169" s="14" t="str">
        <f>IF(C169=0,"No Evidence",IF(C169&lt;=2,IF(E169&gt;0,"Explosive Alert","Track Only"),IF(C169=3,"Sample Watch",IF(E169&gt;=START_HERE!$B$31,"Explosive Alert",IF(J169&gt;=80,"Strong Candidate",IF(J169&gt;=65,"Good Candidate",IF(J169&gt;=50,"Mixed / Review","Problem Call")))))))</f>
        <v>Track Only</v>
      </c>
      <c r="L169" s="9" t="str">
        <f>IF(COUNTIFS('DEF_SELF_SCOUT_IMPORT'!$L$42:$L$1040,"Y",'DEF_SELF_SCOUT_IMPORT'!$E$42:$E$1040,SUBSTITUTE(SUBSTITUTE(SUBSTITUTE($B169,"~","~~"),"*","~*"),"?","~?"),'DEF_SELF_SCOUT_IMPORT'!$Q$42:$Q$1040,SUBSTITUTE(SUBSTITUTE(SUBSTITUTE($M169,"~","~~"),"*","~*"),"?","~?"),'DEF_SELF_SCOUT_IMPORT'!$J$42:$J$1040,"")&gt;0,"Unscored clean outcome; review result tags before using score.",IF(C169=0,"No matching defensive reps; film confirmation needed.",IF(K169="Explosive Alert","Explosive risk; review clips before using as answer.",IF(C169&lt;=2,"Track only; not enough sample.",IF(C169=3,IF(E169&gt;0,"Sample watch with explosive exposure; review clips and build the sample.",IF(J169&gt;=65,"Good signal, but sample is limited.","Sample watch; review clips and build the sample.")),IF(K169="Problem Call","Problem area; practice or call-sheet review.",IF(K169="Strong Candidate","Strong call-fit candidate; confirm on film.",IF(K169="Good Candidate","Good call-fit signal; confirm on film.","Mixed signal; review fit and execution on film."))))))))</f>
        <v>Track only; not enough sample.</v>
      </c>
      <c r="M169" s="8" t="s">
        <v>115</v>
      </c>
      <c r="N169" s="8"/>
      <c r="O169" s="8"/>
      <c r="P169" s="8"/>
      <c r="Q169" s="8"/>
      <c r="R169" s="8" t="s">
        <v>28</v>
      </c>
      <c r="S169" s="2" t="s">
        <v>116</v>
      </c>
      <c r="T169" s="2">
        <f>IF(C169=0,0,IF(C169&gt;=CALL_LOOKUP_BOARD!$B$7,IF(OR(K169="Problem Call",K169="Explosive Alert"),10000000,20000000),0)+IF(C169&gt;=CALL_LOOKUP_BOARD!$B$7,J169*1000+MIN(C169,999),C169*1000+J169)+0.00984000)</f>
        <v>1026.00984</v>
      </c>
      <c r="U169" s="2">
        <f>IF(C169=0,"",IF(COUNTIFS($S$10:$S$178,SUBSTITUTE(SUBSTITUTE(SUBSTITUTE(S169,"~","~~"),"*","~*"),"?","~?"),$T$10:$T$178,"&gt;"&amp;T169)=0,S169,""))</f>
        <v/>
      </c>
    </row>
    <row r="170" spans="1:21" ht="38" customHeight="1">
      <c r="A170" s="8" t="s">
        <v>115</v>
      </c>
      <c r="B170" s="8" t="s">
        <v>56</v>
      </c>
      <c r="C170" s="12">
        <f>COUNTIFS('DEF_SELF_SCOUT_IMPORT'!$L$42:$L$1040,"Y",'DEF_SELF_SCOUT_IMPORT'!$E$42:$E$1040,SUBSTITUTE(SUBSTITUTE(SUBSTITUTE($B170,"~","~~"),"*","~*"),"?","~?"),'DEF_SELF_SCOUT_IMPORT'!$Q$42:$Q$1040,SUBSTITUTE(SUBSTITUTE(SUBSTITUTE($M170,"~","~~"),"*","~*"),"?","~?"))</f>
        <v>2</v>
      </c>
      <c r="D170" s="10">
        <f>IF($C170=0,"",SUMIFS('DEF_SELF_SCOUT_IMPORT'!$J$42:$J$1040,'DEF_SELF_SCOUT_IMPORT'!$L$42:$L$1040,"Y",'DEF_SELF_SCOUT_IMPORT'!$E$42:$E$1040,SUBSTITUTE(SUBSTITUTE(SUBSTITUTE($B170,"~","~~"),"*","~*"),"?","~?"),'DEF_SELF_SCOUT_IMPORT'!$Q$42:$Q$1040,SUBSTITUTE(SUBSTITUTE(SUBSTITUTE($M170,"~","~~"),"*","~*"),"?","~?"))/$C170)</f>
        <v>0.0</v>
      </c>
      <c r="E170" s="10">
        <f>IF($C170=0,"",SUMIFS('DEF_SELF_SCOUT_IMPORT'!$K$42:$K$1040,'DEF_SELF_SCOUT_IMPORT'!$L$42:$L$1040,"Y",'DEF_SELF_SCOUT_IMPORT'!$E$42:$E$1040,SUBSTITUTE(SUBSTITUTE(SUBSTITUTE($B170,"~","~~"),"*","~*"),"?","~?"),'DEF_SELF_SCOUT_IMPORT'!$Q$42:$Q$1040,SUBSTITUTE(SUBSTITUTE(SUBSTITUTE($M170,"~","~~"),"*","~*"),"?","~?"))/$C170)</f>
        <v>0.0</v>
      </c>
      <c r="F170" s="11">
        <f>IF($C170=0,"",AVERAGEIFS('DEF_SELF_SCOUT_IMPORT'!$I$42:$I$1040,'DEF_SELF_SCOUT_IMPORT'!$L$42:$L$1040,"Y",'DEF_SELF_SCOUT_IMPORT'!$E$42:$E$1040,SUBSTITUTE(SUBSTITUTE(SUBSTITUTE($B170,"~","~~"),"*","~*"),"?","~?"),'DEF_SELF_SCOUT_IMPORT'!$Q$42:$Q$1040,SUBSTITUTE(SUBSTITUTE(SUBSTITUTE($M170,"~","~~"),"*","~*"),"?","~?")))</f>
        <v>8.5</v>
      </c>
      <c r="G170" s="10">
        <f>IF($C170=0,"",COUNTIFS('DEF_SELF_SCOUT_IMPORT'!$L$42:$L$1040,"Y",'DEF_SELF_SCOUT_IMPORT'!$E$42:$E$1040,SUBSTITUTE(SUBSTITUTE(SUBSTITUTE($B170,"~","~~"),"*","~*"),"?","~?"),'DEF_SELF_SCOUT_IMPORT'!$Q$42:$Q$1040,SUBSTITUTE(SUBSTITUTE(SUBSTITUTE($M170,"~","~~"),"*","~*"),"?","~?"),'DEF_SELF_SCOUT_IMPORT'!$H$42:$H$1040,"RUSH")/$C170)</f>
        <v>0.5</v>
      </c>
      <c r="H170" s="10">
        <f>IF($C170=0,"",COUNTIFS('DEF_SELF_SCOUT_IMPORT'!$L$42:$L$1040,"Y",'DEF_SELF_SCOUT_IMPORT'!$E$42:$E$1040,SUBSTITUTE(SUBSTITUTE(SUBSTITUTE($B170,"~","~~"),"*","~*"),"?","~?"),'DEF_SELF_SCOUT_IMPORT'!$Q$42:$Q$1040,SUBSTITUTE(SUBSTITUTE(SUBSTITUTE($M170,"~","~~"),"*","~*"),"?","~?"),'DEF_SELF_SCOUT_IMPORT'!$H$42:$H$1040,"DROPBACK")/$C170)</f>
        <v>0.5</v>
      </c>
      <c r="I170" s="14" t="str">
        <f>IF(C170=0,"",IF(C170&lt;=2,"TRACK",IF(C170=3,"LOW",IF(C170&lt;=6,"MEDIUM","HIGH"))))</f>
        <v>TRACK</v>
      </c>
      <c r="J170" s="11">
        <f>IF(C170=0,"",ROUND(D170*70+(1-E170)*20+MAX(0,MIN(1,(10-F170)/10))*10,1))</f>
        <v>21.5</v>
      </c>
      <c r="K170" s="14" t="str">
        <f>IF(C170=0,"No Evidence",IF(C170&lt;=2,IF(E170&gt;0,"Explosive Alert","Track Only"),IF(C170=3,"Sample Watch",IF(E170&gt;=START_HERE!$B$31,"Explosive Alert",IF(J170&gt;=80,"Strong Candidate",IF(J170&gt;=65,"Good Candidate",IF(J170&gt;=50,"Mixed / Review","Problem Call")))))))</f>
        <v>Track Only</v>
      </c>
      <c r="L170" s="9" t="str">
        <f>IF(COUNTIFS('DEF_SELF_SCOUT_IMPORT'!$L$42:$L$1040,"Y",'DEF_SELF_SCOUT_IMPORT'!$E$42:$E$1040,SUBSTITUTE(SUBSTITUTE(SUBSTITUTE($B170,"~","~~"),"*","~*"),"?","~?"),'DEF_SELF_SCOUT_IMPORT'!$Q$42:$Q$1040,SUBSTITUTE(SUBSTITUTE(SUBSTITUTE($M170,"~","~~"),"*","~*"),"?","~?"),'DEF_SELF_SCOUT_IMPORT'!$J$42:$J$1040,"")&gt;0,"Unscored clean outcome; review result tags before using score.",IF(C170=0,"No matching defensive reps; film confirmation needed.",IF(K170="Explosive Alert","Explosive risk; review clips before using as answer.",IF(C170&lt;=2,"Track only; not enough sample.",IF(C170=3,IF(E170&gt;0,"Sample watch with explosive exposure; review clips and build the sample.",IF(J170&gt;=65,"Good signal, but sample is limited.","Sample watch; review clips and build the sample.")),IF(K170="Problem Call","Problem area; practice or call-sheet review.",IF(K170="Strong Candidate","Strong call-fit candidate; confirm on film.",IF(K170="Good Candidate","Good call-fit signal; confirm on film.","Mixed signal; review fit and execution on film."))))))))</f>
        <v>Track only; not enough sample.</v>
      </c>
      <c r="M170" s="8" t="s">
        <v>115</v>
      </c>
      <c r="N170" s="8"/>
      <c r="O170" s="8"/>
      <c r="P170" s="8"/>
      <c r="Q170" s="8"/>
      <c r="R170" s="8" t="s">
        <v>28</v>
      </c>
      <c r="S170" s="2" t="s">
        <v>116</v>
      </c>
      <c r="T170" s="2">
        <f>IF(C170=0,0,IF(C170&gt;=CALL_LOOKUP_BOARD!$B$7,IF(OR(K170="Problem Call",K170="Explosive Alert"),10000000,20000000),0)+IF(C170&gt;=CALL_LOOKUP_BOARD!$B$7,J170*1000+MIN(C170,999),C170*1000+J170)+0.00983900)</f>
        <v>2021.509839</v>
      </c>
      <c r="U170" s="2">
        <f>IF(C170=0,"",IF(COUNTIFS($S$10:$S$178,SUBSTITUTE(SUBSTITUTE(SUBSTITUTE(S170,"~","~~"),"*","~*"),"?","~?"),$T$10:$T$178,"&gt;"&amp;T170)=0,S170,""))</f>
        <v/>
      </c>
    </row>
    <row r="171" spans="1:21" ht="38" customHeight="1">
      <c r="A171" s="8" t="s">
        <v>115</v>
      </c>
      <c r="B171" s="8" t="s">
        <v>35</v>
      </c>
      <c r="C171" s="12">
        <f>COUNTIFS('DEF_SELF_SCOUT_IMPORT'!$L$42:$L$1040,"Y",'DEF_SELF_SCOUT_IMPORT'!$E$42:$E$1040,SUBSTITUTE(SUBSTITUTE(SUBSTITUTE($B171,"~","~~"),"*","~*"),"?","~?"),'DEF_SELF_SCOUT_IMPORT'!$Q$42:$Q$1040,SUBSTITUTE(SUBSTITUTE(SUBSTITUTE($M171,"~","~~"),"*","~*"),"?","~?"))</f>
        <v>6</v>
      </c>
      <c r="D171" s="10">
        <f>IF($C171=0,"",SUMIFS('DEF_SELF_SCOUT_IMPORT'!$J$42:$J$1040,'DEF_SELF_SCOUT_IMPORT'!$L$42:$L$1040,"Y",'DEF_SELF_SCOUT_IMPORT'!$E$42:$E$1040,SUBSTITUTE(SUBSTITUTE(SUBSTITUTE($B171,"~","~~"),"*","~*"),"?","~?"),'DEF_SELF_SCOUT_IMPORT'!$Q$42:$Q$1040,SUBSTITUTE(SUBSTITUTE(SUBSTITUTE($M171,"~","~~"),"*","~*"),"?","~?"))/$C171)</f>
        <v>0.6666666666666666</v>
      </c>
      <c r="E171" s="10">
        <f>IF($C171=0,"",SUMIFS('DEF_SELF_SCOUT_IMPORT'!$K$42:$K$1040,'DEF_SELF_SCOUT_IMPORT'!$L$42:$L$1040,"Y",'DEF_SELF_SCOUT_IMPORT'!$E$42:$E$1040,SUBSTITUTE(SUBSTITUTE(SUBSTITUTE($B171,"~","~~"),"*","~*"),"?","~?"),'DEF_SELF_SCOUT_IMPORT'!$Q$42:$Q$1040,SUBSTITUTE(SUBSTITUTE(SUBSTITUTE($M171,"~","~~"),"*","~*"),"?","~?"))/$C171)</f>
        <v>0.16666666666666666</v>
      </c>
      <c r="F171" s="11">
        <f>IF($C171=0,"",AVERAGEIFS('DEF_SELF_SCOUT_IMPORT'!$I$42:$I$1040,'DEF_SELF_SCOUT_IMPORT'!$L$42:$L$1040,"Y",'DEF_SELF_SCOUT_IMPORT'!$E$42:$E$1040,SUBSTITUTE(SUBSTITUTE(SUBSTITUTE($B171,"~","~~"),"*","~*"),"?","~?"),'DEF_SELF_SCOUT_IMPORT'!$Q$42:$Q$1040,SUBSTITUTE(SUBSTITUTE(SUBSTITUTE($M171,"~","~~"),"*","~*"),"?","~?")))</f>
        <v>11.333333333333334</v>
      </c>
      <c r="G171" s="10">
        <f>IF($C171=0,"",COUNTIFS('DEF_SELF_SCOUT_IMPORT'!$L$42:$L$1040,"Y",'DEF_SELF_SCOUT_IMPORT'!$E$42:$E$1040,SUBSTITUTE(SUBSTITUTE(SUBSTITUTE($B171,"~","~~"),"*","~*"),"?","~?"),'DEF_SELF_SCOUT_IMPORT'!$Q$42:$Q$1040,SUBSTITUTE(SUBSTITUTE(SUBSTITUTE($M171,"~","~~"),"*","~*"),"?","~?"),'DEF_SELF_SCOUT_IMPORT'!$H$42:$H$1040,"RUSH")/$C171)</f>
        <v>0.3333333333333333</v>
      </c>
      <c r="H171" s="10">
        <f>IF($C171=0,"",COUNTIFS('DEF_SELF_SCOUT_IMPORT'!$L$42:$L$1040,"Y",'DEF_SELF_SCOUT_IMPORT'!$E$42:$E$1040,SUBSTITUTE(SUBSTITUTE(SUBSTITUTE($B171,"~","~~"),"*","~*"),"?","~?"),'DEF_SELF_SCOUT_IMPORT'!$Q$42:$Q$1040,SUBSTITUTE(SUBSTITUTE(SUBSTITUTE($M171,"~","~~"),"*","~*"),"?","~?"),'DEF_SELF_SCOUT_IMPORT'!$H$42:$H$1040,"DROPBACK")/$C171)</f>
        <v>0.6666666666666666</v>
      </c>
      <c r="I171" s="14" t="str">
        <f>IF(C171=0,"",IF(C171&lt;=2,"TRACK",IF(C171=3,"LOW",IF(C171&lt;=6,"MEDIUM","HIGH"))))</f>
        <v>MEDIUM</v>
      </c>
      <c r="J171" s="11">
        <f>IF(C171=0,"",ROUND(D171*70+(1-E171)*20+MAX(0,MIN(1,(10-F171)/10))*10,1))</f>
        <v>63.3</v>
      </c>
      <c r="K171" s="14" t="str">
        <f>IF(C171=0,"No Evidence",IF(C171&lt;=2,IF(E171&gt;0,"Explosive Alert","Track Only"),IF(C171=3,"Sample Watch",IF(E171&gt;=START_HERE!$B$31,"Explosive Alert",IF(J171&gt;=80,"Strong Candidate",IF(J171&gt;=65,"Good Candidate",IF(J171&gt;=50,"Mixed / Review","Problem Call")))))))</f>
        <v>Mixed / Review</v>
      </c>
      <c r="L171" s="9" t="str">
        <f>IF(COUNTIFS('DEF_SELF_SCOUT_IMPORT'!$L$42:$L$1040,"Y",'DEF_SELF_SCOUT_IMPORT'!$E$42:$E$1040,SUBSTITUTE(SUBSTITUTE(SUBSTITUTE($B171,"~","~~"),"*","~*"),"?","~?"),'DEF_SELF_SCOUT_IMPORT'!$Q$42:$Q$1040,SUBSTITUTE(SUBSTITUTE(SUBSTITUTE($M171,"~","~~"),"*","~*"),"?","~?"),'DEF_SELF_SCOUT_IMPORT'!$J$42:$J$1040,"")&gt;0,"Unscored clean outcome; review result tags before using score.",IF(C171=0,"No matching defensive reps; film confirmation needed.",IF(K171="Explosive Alert","Explosive risk; review clips before using as answer.",IF(C171&lt;=2,"Track only; not enough sample.",IF(C171=3,IF(E171&gt;0,"Sample watch with explosive exposure; review clips and build the sample.",IF(J171&gt;=65,"Good signal, but sample is limited.","Sample watch; review clips and build the sample.")),IF(K171="Problem Call","Problem area; practice or call-sheet review.",IF(K171="Strong Candidate","Strong call-fit candidate; confirm on film.",IF(K171="Good Candidate","Good call-fit signal; confirm on film.","Mixed signal; review fit and execution on film."))))))))</f>
        <v>Mixed signal; review fit and execution on film.</v>
      </c>
      <c r="M171" s="8" t="s">
        <v>115</v>
      </c>
      <c r="N171" s="8"/>
      <c r="O171" s="8"/>
      <c r="P171" s="8"/>
      <c r="Q171" s="8"/>
      <c r="R171" s="8" t="s">
        <v>45</v>
      </c>
      <c r="S171" s="2" t="s">
        <v>116</v>
      </c>
      <c r="T171" s="2">
        <f>IF(C171=0,0,IF(C171&gt;=CALL_LOOKUP_BOARD!$B$7,IF(OR(K171="Problem Call",K171="Explosive Alert"),10000000,20000000),0)+IF(C171&gt;=CALL_LOOKUP_BOARD!$B$7,J171*1000+MIN(C171,999),C171*1000+J171)+0.00983800)</f>
        <v>20063306.009838</v>
      </c>
      <c r="U171" s="2">
        <f>IF(C171=0,"",IF(COUNTIFS($S$10:$S$178,SUBSTITUTE(SUBSTITUTE(SUBSTITUTE(S171,"~","~~"),"*","~*"),"?","~?"),$T$10:$T$178,"&gt;"&amp;T171)=0,S171,""))</f>
        <v/>
      </c>
    </row>
    <row r="172" spans="1:21" ht="38" customHeight="1">
      <c r="A172" s="8" t="s">
        <v>115</v>
      </c>
      <c r="B172" s="8" t="s">
        <v>60</v>
      </c>
      <c r="C172" s="12">
        <f>COUNTIFS('DEF_SELF_SCOUT_IMPORT'!$L$42:$L$1040,"Y",'DEF_SELF_SCOUT_IMPORT'!$E$42:$E$1040,SUBSTITUTE(SUBSTITUTE(SUBSTITUTE($B172,"~","~~"),"*","~*"),"?","~?"),'DEF_SELF_SCOUT_IMPORT'!$Q$42:$Q$1040,SUBSTITUTE(SUBSTITUTE(SUBSTITUTE($M172,"~","~~"),"*","~*"),"?","~?"))</f>
        <v>3</v>
      </c>
      <c r="D172" s="10">
        <f>IF($C172=0,"",SUMIFS('DEF_SELF_SCOUT_IMPORT'!$J$42:$J$1040,'DEF_SELF_SCOUT_IMPORT'!$L$42:$L$1040,"Y",'DEF_SELF_SCOUT_IMPORT'!$E$42:$E$1040,SUBSTITUTE(SUBSTITUTE(SUBSTITUTE($B172,"~","~~"),"*","~*"),"?","~?"),'DEF_SELF_SCOUT_IMPORT'!$Q$42:$Q$1040,SUBSTITUTE(SUBSTITUTE(SUBSTITUTE($M172,"~","~~"),"*","~*"),"?","~?"))/$C172)</f>
        <v>1.0</v>
      </c>
      <c r="E172" s="10">
        <f>IF($C172=0,"",SUMIFS('DEF_SELF_SCOUT_IMPORT'!$K$42:$K$1040,'DEF_SELF_SCOUT_IMPORT'!$L$42:$L$1040,"Y",'DEF_SELF_SCOUT_IMPORT'!$E$42:$E$1040,SUBSTITUTE(SUBSTITUTE(SUBSTITUTE($B172,"~","~~"),"*","~*"),"?","~?"),'DEF_SELF_SCOUT_IMPORT'!$Q$42:$Q$1040,SUBSTITUTE(SUBSTITUTE(SUBSTITUTE($M172,"~","~~"),"*","~*"),"?","~?"))/$C172)</f>
        <v>0.0</v>
      </c>
      <c r="F172" s="11">
        <f>IF($C172=0,"",AVERAGEIFS('DEF_SELF_SCOUT_IMPORT'!$I$42:$I$1040,'DEF_SELF_SCOUT_IMPORT'!$L$42:$L$1040,"Y",'DEF_SELF_SCOUT_IMPORT'!$E$42:$E$1040,SUBSTITUTE(SUBSTITUTE(SUBSTITUTE($B172,"~","~~"),"*","~*"),"?","~?"),'DEF_SELF_SCOUT_IMPORT'!$Q$42:$Q$1040,SUBSTITUTE(SUBSTITUTE(SUBSTITUTE($M172,"~","~~"),"*","~*"),"?","~?")))</f>
        <v>1.3333333333333333</v>
      </c>
      <c r="G172" s="10">
        <f>IF($C172=0,"",COUNTIFS('DEF_SELF_SCOUT_IMPORT'!$L$42:$L$1040,"Y",'DEF_SELF_SCOUT_IMPORT'!$E$42:$E$1040,SUBSTITUTE(SUBSTITUTE(SUBSTITUTE($B172,"~","~~"),"*","~*"),"?","~?"),'DEF_SELF_SCOUT_IMPORT'!$Q$42:$Q$1040,SUBSTITUTE(SUBSTITUTE(SUBSTITUTE($M172,"~","~~"),"*","~*"),"?","~?"),'DEF_SELF_SCOUT_IMPORT'!$H$42:$H$1040,"RUSH")/$C172)</f>
        <v>0.6666666666666666</v>
      </c>
      <c r="H172" s="10">
        <f>IF($C172=0,"",COUNTIFS('DEF_SELF_SCOUT_IMPORT'!$L$42:$L$1040,"Y",'DEF_SELF_SCOUT_IMPORT'!$E$42:$E$1040,SUBSTITUTE(SUBSTITUTE(SUBSTITUTE($B172,"~","~~"),"*","~*"),"?","~?"),'DEF_SELF_SCOUT_IMPORT'!$Q$42:$Q$1040,SUBSTITUTE(SUBSTITUTE(SUBSTITUTE($M172,"~","~~"),"*","~*"),"?","~?"),'DEF_SELF_SCOUT_IMPORT'!$H$42:$H$1040,"DROPBACK")/$C172)</f>
        <v>0.3333333333333333</v>
      </c>
      <c r="I172" s="14" t="str">
        <f>IF(C172=0,"",IF(C172&lt;=2,"TRACK",IF(C172=3,"LOW",IF(C172&lt;=6,"MEDIUM","HIGH"))))</f>
        <v>LOW</v>
      </c>
      <c r="J172" s="11">
        <f>IF(C172=0,"",ROUND(D172*70+(1-E172)*20+MAX(0,MIN(1,(10-F172)/10))*10,1))</f>
        <v>98.7</v>
      </c>
      <c r="K172" s="14" t="str">
        <f>IF(C172=0,"No Evidence",IF(C172&lt;=2,IF(E172&gt;0,"Explosive Alert","Track Only"),IF(C172=3,"Sample Watch",IF(E172&gt;=START_HERE!$B$31,"Explosive Alert",IF(J172&gt;=80,"Strong Candidate",IF(J172&gt;=65,"Good Candidate",IF(J172&gt;=50,"Mixed / Review","Problem Call")))))))</f>
        <v>Sample Watch</v>
      </c>
      <c r="L172" s="9" t="str">
        <f>IF(COUNTIFS('DEF_SELF_SCOUT_IMPORT'!$L$42:$L$1040,"Y",'DEF_SELF_SCOUT_IMPORT'!$E$42:$E$1040,SUBSTITUTE(SUBSTITUTE(SUBSTITUTE($B172,"~","~~"),"*","~*"),"?","~?"),'DEF_SELF_SCOUT_IMPORT'!$Q$42:$Q$1040,SUBSTITUTE(SUBSTITUTE(SUBSTITUTE($M172,"~","~~"),"*","~*"),"?","~?"),'DEF_SELF_SCOUT_IMPORT'!$J$42:$J$1040,"")&gt;0,"Unscored clean outcome; review result tags before using score.",IF(C172=0,"No matching defensive reps; film confirmation needed.",IF(K172="Explosive Alert","Explosive risk; review clips before using as answer.",IF(C172&lt;=2,"Track only; not enough sample.",IF(C172=3,IF(E172&gt;0,"Sample watch with explosive exposure; review clips and build the sample.",IF(J172&gt;=65,"Good signal, but sample is limited.","Sample watch; review clips and build the sample.")),IF(K172="Problem Call","Problem area; practice or call-sheet review.",IF(K172="Strong Candidate","Strong call-fit candidate; confirm on film.",IF(K172="Good Candidate","Good call-fit signal; confirm on film.","Mixed signal; review fit and execution on film."))))))))</f>
        <v>Good signal, but sample is limited.</v>
      </c>
      <c r="M172" s="8" t="s">
        <v>115</v>
      </c>
      <c r="N172" s="8"/>
      <c r="O172" s="8"/>
      <c r="P172" s="8"/>
      <c r="Q172" s="8"/>
      <c r="R172" s="8" t="s">
        <v>28</v>
      </c>
      <c r="S172" s="2" t="s">
        <v>116</v>
      </c>
      <c r="T172" s="2">
        <f>IF(C172=0,0,IF(C172&gt;=CALL_LOOKUP_BOARD!$B$7,IF(OR(K172="Problem Call",K172="Explosive Alert"),10000000,20000000),0)+IF(C172&gt;=CALL_LOOKUP_BOARD!$B$7,J172*1000+MIN(C172,999),C172*1000+J172)+0.00983700)</f>
        <v>3098.709837</v>
      </c>
      <c r="U172" s="2">
        <f>IF(C172=0,"",IF(COUNTIFS($S$10:$S$178,SUBSTITUTE(SUBSTITUTE(SUBSTITUTE(S172,"~","~~"),"*","~*"),"?","~?"),$T$10:$T$178,"&gt;"&amp;T172)=0,S172,""))</f>
        <v/>
      </c>
    </row>
    <row r="173" spans="1:21" ht="38" customHeight="1">
      <c r="A173" s="8" t="s">
        <v>115</v>
      </c>
      <c r="B173" s="8" t="s">
        <v>73</v>
      </c>
      <c r="C173" s="12">
        <f>COUNTIFS('DEF_SELF_SCOUT_IMPORT'!$L$42:$L$1040,"Y",'DEF_SELF_SCOUT_IMPORT'!$E$42:$E$1040,SUBSTITUTE(SUBSTITUTE(SUBSTITUTE($B173,"~","~~"),"*","~*"),"?","~?"),'DEF_SELF_SCOUT_IMPORT'!$Q$42:$Q$1040,SUBSTITUTE(SUBSTITUTE(SUBSTITUTE($M173,"~","~~"),"*","~*"),"?","~?"))</f>
        <v>1</v>
      </c>
      <c r="D173" s="10">
        <f>IF($C173=0,"",SUMIFS('DEF_SELF_SCOUT_IMPORT'!$J$42:$J$1040,'DEF_SELF_SCOUT_IMPORT'!$L$42:$L$1040,"Y",'DEF_SELF_SCOUT_IMPORT'!$E$42:$E$1040,SUBSTITUTE(SUBSTITUTE(SUBSTITUTE($B173,"~","~~"),"*","~*"),"?","~?"),'DEF_SELF_SCOUT_IMPORT'!$Q$42:$Q$1040,SUBSTITUTE(SUBSTITUTE(SUBSTITUTE($M173,"~","~~"),"*","~*"),"?","~?"))/$C173)</f>
        <v>1.0</v>
      </c>
      <c r="E173" s="10">
        <f>IF($C173=0,"",SUMIFS('DEF_SELF_SCOUT_IMPORT'!$K$42:$K$1040,'DEF_SELF_SCOUT_IMPORT'!$L$42:$L$1040,"Y",'DEF_SELF_SCOUT_IMPORT'!$E$42:$E$1040,SUBSTITUTE(SUBSTITUTE(SUBSTITUTE($B173,"~","~~"),"*","~*"),"?","~?"),'DEF_SELF_SCOUT_IMPORT'!$Q$42:$Q$1040,SUBSTITUTE(SUBSTITUTE(SUBSTITUTE($M173,"~","~~"),"*","~*"),"?","~?"))/$C173)</f>
        <v>0.0</v>
      </c>
      <c r="F173" s="11">
        <f>IF($C173=0,"",AVERAGEIFS('DEF_SELF_SCOUT_IMPORT'!$I$42:$I$1040,'DEF_SELF_SCOUT_IMPORT'!$L$42:$L$1040,"Y",'DEF_SELF_SCOUT_IMPORT'!$E$42:$E$1040,SUBSTITUTE(SUBSTITUTE(SUBSTITUTE($B173,"~","~~"),"*","~*"),"?","~?"),'DEF_SELF_SCOUT_IMPORT'!$Q$42:$Q$1040,SUBSTITUTE(SUBSTITUTE(SUBSTITUTE($M173,"~","~~"),"*","~*"),"?","~?")))</f>
        <v>0.0</v>
      </c>
      <c r="G173" s="10">
        <f>IF($C173=0,"",COUNTIFS('DEF_SELF_SCOUT_IMPORT'!$L$42:$L$1040,"Y",'DEF_SELF_SCOUT_IMPORT'!$E$42:$E$1040,SUBSTITUTE(SUBSTITUTE(SUBSTITUTE($B173,"~","~~"),"*","~*"),"?","~?"),'DEF_SELF_SCOUT_IMPORT'!$Q$42:$Q$1040,SUBSTITUTE(SUBSTITUTE(SUBSTITUTE($M173,"~","~~"),"*","~*"),"?","~?"),'DEF_SELF_SCOUT_IMPORT'!$H$42:$H$1040,"RUSH")/$C173)</f>
        <v>0.0</v>
      </c>
      <c r="H173" s="10">
        <f>IF($C173=0,"",COUNTIFS('DEF_SELF_SCOUT_IMPORT'!$L$42:$L$1040,"Y",'DEF_SELF_SCOUT_IMPORT'!$E$42:$E$1040,SUBSTITUTE(SUBSTITUTE(SUBSTITUTE($B173,"~","~~"),"*","~*"),"?","~?"),'DEF_SELF_SCOUT_IMPORT'!$Q$42:$Q$1040,SUBSTITUTE(SUBSTITUTE(SUBSTITUTE($M173,"~","~~"),"*","~*"),"?","~?"),'DEF_SELF_SCOUT_IMPORT'!$H$42:$H$1040,"DROPBACK")/$C173)</f>
        <v>1.0</v>
      </c>
      <c r="I173" s="14" t="str">
        <f>IF(C173=0,"",IF(C173&lt;=2,"TRACK",IF(C173=3,"LOW",IF(C173&lt;=6,"MEDIUM","HIGH"))))</f>
        <v>TRACK</v>
      </c>
      <c r="J173" s="11">
        <f>IF(C173=0,"",ROUND(D173*70+(1-E173)*20+MAX(0,MIN(1,(10-F173)/10))*10,1))</f>
        <v>100.0</v>
      </c>
      <c r="K173" s="14" t="str">
        <f>IF(C173=0,"No Evidence",IF(C173&lt;=2,IF(E173&gt;0,"Explosive Alert","Track Only"),IF(C173=3,"Sample Watch",IF(E173&gt;=START_HERE!$B$31,"Explosive Alert",IF(J173&gt;=80,"Strong Candidate",IF(J173&gt;=65,"Good Candidate",IF(J173&gt;=50,"Mixed / Review","Problem Call")))))))</f>
        <v>Track Only</v>
      </c>
      <c r="L173" s="9" t="str">
        <f>IF(COUNTIFS('DEF_SELF_SCOUT_IMPORT'!$L$42:$L$1040,"Y",'DEF_SELF_SCOUT_IMPORT'!$E$42:$E$1040,SUBSTITUTE(SUBSTITUTE(SUBSTITUTE($B173,"~","~~"),"*","~*"),"?","~?"),'DEF_SELF_SCOUT_IMPORT'!$Q$42:$Q$1040,SUBSTITUTE(SUBSTITUTE(SUBSTITUTE($M173,"~","~~"),"*","~*"),"?","~?"),'DEF_SELF_SCOUT_IMPORT'!$J$42:$J$1040,"")&gt;0,"Unscored clean outcome; review result tags before using score.",IF(C173=0,"No matching defensive reps; film confirmation needed.",IF(K173="Explosive Alert","Explosive risk; review clips before using as answer.",IF(C173&lt;=2,"Track only; not enough sample.",IF(C173=3,IF(E173&gt;0,"Sample watch with explosive exposure; review clips and build the sample.",IF(J173&gt;=65,"Good signal, but sample is limited.","Sample watch; review clips and build the sample.")),IF(K173="Problem Call","Problem area; practice or call-sheet review.",IF(K173="Strong Candidate","Strong call-fit candidate; confirm on film.",IF(K173="Good Candidate","Good call-fit signal; confirm on film.","Mixed signal; review fit and execution on film."))))))))</f>
        <v>Track only; not enough sample.</v>
      </c>
      <c r="M173" s="8" t="s">
        <v>115</v>
      </c>
      <c r="N173" s="8"/>
      <c r="O173" s="8"/>
      <c r="P173" s="8"/>
      <c r="Q173" s="8"/>
      <c r="R173" s="8" t="s">
        <v>28</v>
      </c>
      <c r="S173" s="2" t="s">
        <v>116</v>
      </c>
      <c r="T173" s="2">
        <f>IF(C173=0,0,IF(C173&gt;=CALL_LOOKUP_BOARD!$B$7,IF(OR(K173="Problem Call",K173="Explosive Alert"),10000000,20000000),0)+IF(C173&gt;=CALL_LOOKUP_BOARD!$B$7,J173*1000+MIN(C173,999),C173*1000+J173)+0.00983600)</f>
        <v>1100.009836</v>
      </c>
      <c r="U173" s="2">
        <f>IF(C173=0,"",IF(COUNTIFS($S$10:$S$178,SUBSTITUTE(SUBSTITUTE(SUBSTITUTE(S173,"~","~~"),"*","~*"),"?","~?"),$T$10:$T$178,"&gt;"&amp;T173)=0,S173,""))</f>
        <v/>
      </c>
    </row>
    <row r="174" spans="1:21" ht="38" customHeight="1">
      <c r="A174" s="8" t="s">
        <v>115</v>
      </c>
      <c r="B174" s="8" t="s">
        <v>62</v>
      </c>
      <c r="C174" s="12">
        <f>COUNTIFS('DEF_SELF_SCOUT_IMPORT'!$L$42:$L$1040,"Y",'DEF_SELF_SCOUT_IMPORT'!$E$42:$E$1040,SUBSTITUTE(SUBSTITUTE(SUBSTITUTE($B174,"~","~~"),"*","~*"),"?","~?"),'DEF_SELF_SCOUT_IMPORT'!$Q$42:$Q$1040,SUBSTITUTE(SUBSTITUTE(SUBSTITUTE($M174,"~","~~"),"*","~*"),"?","~?"))</f>
        <v>1</v>
      </c>
      <c r="D174" s="10">
        <f>IF($C174=0,"",SUMIFS('DEF_SELF_SCOUT_IMPORT'!$J$42:$J$1040,'DEF_SELF_SCOUT_IMPORT'!$L$42:$L$1040,"Y",'DEF_SELF_SCOUT_IMPORT'!$E$42:$E$1040,SUBSTITUTE(SUBSTITUTE(SUBSTITUTE($B174,"~","~~"),"*","~*"),"?","~?"),'DEF_SELF_SCOUT_IMPORT'!$Q$42:$Q$1040,SUBSTITUTE(SUBSTITUTE(SUBSTITUTE($M174,"~","~~"),"*","~*"),"?","~?"))/$C174)</f>
        <v>0.0</v>
      </c>
      <c r="E174" s="10">
        <f>IF($C174=0,"",SUMIFS('DEF_SELF_SCOUT_IMPORT'!$K$42:$K$1040,'DEF_SELF_SCOUT_IMPORT'!$L$42:$L$1040,"Y",'DEF_SELF_SCOUT_IMPORT'!$E$42:$E$1040,SUBSTITUTE(SUBSTITUTE(SUBSTITUTE($B174,"~","~~"),"*","~*"),"?","~?"),'DEF_SELF_SCOUT_IMPORT'!$Q$42:$Q$1040,SUBSTITUTE(SUBSTITUTE(SUBSTITUTE($M174,"~","~~"),"*","~*"),"?","~?"))/$C174)</f>
        <v>1.0</v>
      </c>
      <c r="F174" s="11">
        <f>IF($C174=0,"",AVERAGEIFS('DEF_SELF_SCOUT_IMPORT'!$I$42:$I$1040,'DEF_SELF_SCOUT_IMPORT'!$L$42:$L$1040,"Y",'DEF_SELF_SCOUT_IMPORT'!$E$42:$E$1040,SUBSTITUTE(SUBSTITUTE(SUBSTITUTE($B174,"~","~~"),"*","~*"),"?","~?"),'DEF_SELF_SCOUT_IMPORT'!$Q$42:$Q$1040,SUBSTITUTE(SUBSTITUTE(SUBSTITUTE($M174,"~","~~"),"*","~*"),"?","~?")))</f>
        <v>25.0</v>
      </c>
      <c r="G174" s="10">
        <f>IF($C174=0,"",COUNTIFS('DEF_SELF_SCOUT_IMPORT'!$L$42:$L$1040,"Y",'DEF_SELF_SCOUT_IMPORT'!$E$42:$E$1040,SUBSTITUTE(SUBSTITUTE(SUBSTITUTE($B174,"~","~~"),"*","~*"),"?","~?"),'DEF_SELF_SCOUT_IMPORT'!$Q$42:$Q$1040,SUBSTITUTE(SUBSTITUTE(SUBSTITUTE($M174,"~","~~"),"*","~*"),"?","~?"),'DEF_SELF_SCOUT_IMPORT'!$H$42:$H$1040,"RUSH")/$C174)</f>
        <v>1.0</v>
      </c>
      <c r="H174" s="10">
        <f>IF($C174=0,"",COUNTIFS('DEF_SELF_SCOUT_IMPORT'!$L$42:$L$1040,"Y",'DEF_SELF_SCOUT_IMPORT'!$E$42:$E$1040,SUBSTITUTE(SUBSTITUTE(SUBSTITUTE($B174,"~","~~"),"*","~*"),"?","~?"),'DEF_SELF_SCOUT_IMPORT'!$Q$42:$Q$1040,SUBSTITUTE(SUBSTITUTE(SUBSTITUTE($M174,"~","~~"),"*","~*"),"?","~?"),'DEF_SELF_SCOUT_IMPORT'!$H$42:$H$1040,"DROPBACK")/$C174)</f>
        <v>0.0</v>
      </c>
      <c r="I174" s="14" t="str">
        <f>IF(C174=0,"",IF(C174&lt;=2,"TRACK",IF(C174=3,"LOW",IF(C174&lt;=6,"MEDIUM","HIGH"))))</f>
        <v>TRACK</v>
      </c>
      <c r="J174" s="11">
        <f>IF(C174=0,"",ROUND(D174*70+(1-E174)*20+MAX(0,MIN(1,(10-F174)/10))*10,1))</f>
        <v>0.0</v>
      </c>
      <c r="K174" s="14" t="str">
        <f>IF(C174=0,"No Evidence",IF(C174&lt;=2,IF(E174&gt;0,"Explosive Alert","Track Only"),IF(C174=3,"Sample Watch",IF(E174&gt;=START_HERE!$B$31,"Explosive Alert",IF(J174&gt;=80,"Strong Candidate",IF(J174&gt;=65,"Good Candidate",IF(J174&gt;=50,"Mixed / Review","Problem Call")))))))</f>
        <v>Explosive Alert</v>
      </c>
      <c r="L174" s="9" t="str">
        <f>IF(COUNTIFS('DEF_SELF_SCOUT_IMPORT'!$L$42:$L$1040,"Y",'DEF_SELF_SCOUT_IMPORT'!$E$42:$E$1040,SUBSTITUTE(SUBSTITUTE(SUBSTITUTE($B174,"~","~~"),"*","~*"),"?","~?"),'DEF_SELF_SCOUT_IMPORT'!$Q$42:$Q$1040,SUBSTITUTE(SUBSTITUTE(SUBSTITUTE($M174,"~","~~"),"*","~*"),"?","~?"),'DEF_SELF_SCOUT_IMPORT'!$J$42:$J$1040,"")&gt;0,"Unscored clean outcome; review result tags before using score.",IF(C174=0,"No matching defensive reps; film confirmation needed.",IF(K174="Explosive Alert","Explosive risk; review clips before using as answer.",IF(C174&lt;=2,"Track only; not enough sample.",IF(C174=3,IF(E174&gt;0,"Sample watch with explosive exposure; review clips and build the sample.",IF(J174&gt;=65,"Good signal, but sample is limited.","Sample watch; review clips and build the sample.")),IF(K174="Problem Call","Problem area; practice or call-sheet review.",IF(K174="Strong Candidate","Strong call-fit candidate; confirm on film.",IF(K174="Good Candidate","Good call-fit signal; confirm on film.","Mixed signal; review fit and execution on film."))))))))</f>
        <v>Explosive risk; review clips before using as answer.</v>
      </c>
      <c r="M174" s="8" t="s">
        <v>115</v>
      </c>
      <c r="N174" s="8"/>
      <c r="O174" s="8"/>
      <c r="P174" s="8"/>
      <c r="Q174" s="8"/>
      <c r="R174" s="8" t="s">
        <v>28</v>
      </c>
      <c r="S174" s="2" t="s">
        <v>116</v>
      </c>
      <c r="T174" s="2">
        <f>IF(C174=0,0,IF(C174&gt;=CALL_LOOKUP_BOARD!$B$7,IF(OR(K174="Problem Call",K174="Explosive Alert"),10000000,20000000),0)+IF(C174&gt;=CALL_LOOKUP_BOARD!$B$7,J174*1000+MIN(C174,999),C174*1000+J174)+0.00983500)</f>
        <v>1000.009835</v>
      </c>
      <c r="U174" s="2">
        <f>IF(C174=0,"",IF(COUNTIFS($S$10:$S$178,SUBSTITUTE(SUBSTITUTE(SUBSTITUTE(S174,"~","~~"),"*","~*"),"?","~?"),$T$10:$T$178,"&gt;"&amp;T174)=0,S174,""))</f>
        <v/>
      </c>
    </row>
    <row r="175" spans="1:21" ht="38" customHeight="1">
      <c r="A175" s="8" t="s">
        <v>115</v>
      </c>
      <c r="B175" s="8" t="s">
        <v>63</v>
      </c>
      <c r="C175" s="12">
        <f>COUNTIFS('DEF_SELF_SCOUT_IMPORT'!$L$42:$L$1040,"Y",'DEF_SELF_SCOUT_IMPORT'!$E$42:$E$1040,SUBSTITUTE(SUBSTITUTE(SUBSTITUTE($B175,"~","~~"),"*","~*"),"?","~?"),'DEF_SELF_SCOUT_IMPORT'!$Q$42:$Q$1040,SUBSTITUTE(SUBSTITUTE(SUBSTITUTE($M175,"~","~~"),"*","~*"),"?","~?"))</f>
        <v>3</v>
      </c>
      <c r="D175" s="10">
        <f>IF($C175=0,"",SUMIFS('DEF_SELF_SCOUT_IMPORT'!$J$42:$J$1040,'DEF_SELF_SCOUT_IMPORT'!$L$42:$L$1040,"Y",'DEF_SELF_SCOUT_IMPORT'!$E$42:$E$1040,SUBSTITUTE(SUBSTITUTE(SUBSTITUTE($B175,"~","~~"),"*","~*"),"?","~?"),'DEF_SELF_SCOUT_IMPORT'!$Q$42:$Q$1040,SUBSTITUTE(SUBSTITUTE(SUBSTITUTE($M175,"~","~~"),"*","~*"),"?","~?"))/$C175)</f>
        <v>0.3333333333333333</v>
      </c>
      <c r="E175" s="10">
        <f>IF($C175=0,"",SUMIFS('DEF_SELF_SCOUT_IMPORT'!$K$42:$K$1040,'DEF_SELF_SCOUT_IMPORT'!$L$42:$L$1040,"Y",'DEF_SELF_SCOUT_IMPORT'!$E$42:$E$1040,SUBSTITUTE(SUBSTITUTE(SUBSTITUTE($B175,"~","~~"),"*","~*"),"?","~?"),'DEF_SELF_SCOUT_IMPORT'!$Q$42:$Q$1040,SUBSTITUTE(SUBSTITUTE(SUBSTITUTE($M175,"~","~~"),"*","~*"),"?","~?"))/$C175)</f>
        <v>0.3333333333333333</v>
      </c>
      <c r="F175" s="11">
        <f>IF($C175=0,"",AVERAGEIFS('DEF_SELF_SCOUT_IMPORT'!$I$42:$I$1040,'DEF_SELF_SCOUT_IMPORT'!$L$42:$L$1040,"Y",'DEF_SELF_SCOUT_IMPORT'!$E$42:$E$1040,SUBSTITUTE(SUBSTITUTE(SUBSTITUTE($B175,"~","~~"),"*","~*"),"?","~?"),'DEF_SELF_SCOUT_IMPORT'!$Q$42:$Q$1040,SUBSTITUTE(SUBSTITUTE(SUBSTITUTE($M175,"~","~~"),"*","~*"),"?","~?")))</f>
        <v>9.0</v>
      </c>
      <c r="G175" s="10">
        <f>IF($C175=0,"",COUNTIFS('DEF_SELF_SCOUT_IMPORT'!$L$42:$L$1040,"Y",'DEF_SELF_SCOUT_IMPORT'!$E$42:$E$1040,SUBSTITUTE(SUBSTITUTE(SUBSTITUTE($B175,"~","~~"),"*","~*"),"?","~?"),'DEF_SELF_SCOUT_IMPORT'!$Q$42:$Q$1040,SUBSTITUTE(SUBSTITUTE(SUBSTITUTE($M175,"~","~~"),"*","~*"),"?","~?"),'DEF_SELF_SCOUT_IMPORT'!$H$42:$H$1040,"RUSH")/$C175)</f>
        <v>0.3333333333333333</v>
      </c>
      <c r="H175" s="10">
        <f>IF($C175=0,"",COUNTIFS('DEF_SELF_SCOUT_IMPORT'!$L$42:$L$1040,"Y",'DEF_SELF_SCOUT_IMPORT'!$E$42:$E$1040,SUBSTITUTE(SUBSTITUTE(SUBSTITUTE($B175,"~","~~"),"*","~*"),"?","~?"),'DEF_SELF_SCOUT_IMPORT'!$Q$42:$Q$1040,SUBSTITUTE(SUBSTITUTE(SUBSTITUTE($M175,"~","~~"),"*","~*"),"?","~?"),'DEF_SELF_SCOUT_IMPORT'!$H$42:$H$1040,"DROPBACK")/$C175)</f>
        <v>0.6666666666666666</v>
      </c>
      <c r="I175" s="14" t="str">
        <f>IF(C175=0,"",IF(C175&lt;=2,"TRACK",IF(C175=3,"LOW",IF(C175&lt;=6,"MEDIUM","HIGH"))))</f>
        <v>LOW</v>
      </c>
      <c r="J175" s="11">
        <f>IF(C175=0,"",ROUND(D175*70+(1-E175)*20+MAX(0,MIN(1,(10-F175)/10))*10,1))</f>
        <v>37.7</v>
      </c>
      <c r="K175" s="14" t="str">
        <f>IF(C175=0,"No Evidence",IF(C175&lt;=2,IF(E175&gt;0,"Explosive Alert","Track Only"),IF(C175=3,"Sample Watch",IF(E175&gt;=START_HERE!$B$31,"Explosive Alert",IF(J175&gt;=80,"Strong Candidate",IF(J175&gt;=65,"Good Candidate",IF(J175&gt;=50,"Mixed / Review","Problem Call")))))))</f>
        <v>Sample Watch</v>
      </c>
      <c r="L175" s="9" t="str">
        <f>IF(COUNTIFS('DEF_SELF_SCOUT_IMPORT'!$L$42:$L$1040,"Y",'DEF_SELF_SCOUT_IMPORT'!$E$42:$E$1040,SUBSTITUTE(SUBSTITUTE(SUBSTITUTE($B175,"~","~~"),"*","~*"),"?","~?"),'DEF_SELF_SCOUT_IMPORT'!$Q$42:$Q$1040,SUBSTITUTE(SUBSTITUTE(SUBSTITUTE($M175,"~","~~"),"*","~*"),"?","~?"),'DEF_SELF_SCOUT_IMPORT'!$J$42:$J$1040,"")&gt;0,"Unscored clean outcome; review result tags before using score.",IF(C175=0,"No matching defensive reps; film confirmation needed.",IF(K175="Explosive Alert","Explosive risk; review clips before using as answer.",IF(C175&lt;=2,"Track only; not enough sample.",IF(C175=3,IF(E175&gt;0,"Sample watch with explosive exposure; review clips and build the sample.",IF(J175&gt;=65,"Good signal, but sample is limited.","Sample watch; review clips and build the sample.")),IF(K175="Problem Call","Problem area; practice or call-sheet review.",IF(K175="Strong Candidate","Strong call-fit candidate; confirm on film.",IF(K175="Good Candidate","Good call-fit signal; confirm on film.","Mixed signal; review fit and execution on film."))))))))</f>
        <v>Sample watch with explosive exposure; review clips and build the sample.</v>
      </c>
      <c r="M175" s="8" t="s">
        <v>115</v>
      </c>
      <c r="N175" s="8"/>
      <c r="O175" s="8"/>
      <c r="P175" s="8"/>
      <c r="Q175" s="8"/>
      <c r="R175" s="8" t="s">
        <v>28</v>
      </c>
      <c r="S175" s="2" t="s">
        <v>116</v>
      </c>
      <c r="T175" s="2">
        <f>IF(C175=0,0,IF(C175&gt;=CALL_LOOKUP_BOARD!$B$7,IF(OR(K175="Problem Call",K175="Explosive Alert"),10000000,20000000),0)+IF(C175&gt;=CALL_LOOKUP_BOARD!$B$7,J175*1000+MIN(C175,999),C175*1000+J175)+0.00983400)</f>
        <v>3037.709834</v>
      </c>
      <c r="U175" s="2">
        <f>IF(C175=0,"",IF(COUNTIFS($S$10:$S$178,SUBSTITUTE(SUBSTITUTE(SUBSTITUTE(S175,"~","~~"),"*","~*"),"?","~?"),$T$10:$T$178,"&gt;"&amp;T175)=0,S175,""))</f>
        <v/>
      </c>
    </row>
    <row r="176" spans="1:21" ht="38" customHeight="1">
      <c r="A176" s="8" t="s">
        <v>115</v>
      </c>
      <c r="B176" s="8" t="s">
        <v>67</v>
      </c>
      <c r="C176" s="12">
        <f>COUNTIFS('DEF_SELF_SCOUT_IMPORT'!$L$42:$L$1040,"Y",'DEF_SELF_SCOUT_IMPORT'!$E$42:$E$1040,SUBSTITUTE(SUBSTITUTE(SUBSTITUTE($B176,"~","~~"),"*","~*"),"?","~?"),'DEF_SELF_SCOUT_IMPORT'!$Q$42:$Q$1040,SUBSTITUTE(SUBSTITUTE(SUBSTITUTE($M176,"~","~~"),"*","~*"),"?","~?"))</f>
        <v>1</v>
      </c>
      <c r="D176" s="10">
        <f>IF($C176=0,"",SUMIFS('DEF_SELF_SCOUT_IMPORT'!$J$42:$J$1040,'DEF_SELF_SCOUT_IMPORT'!$L$42:$L$1040,"Y",'DEF_SELF_SCOUT_IMPORT'!$E$42:$E$1040,SUBSTITUTE(SUBSTITUTE(SUBSTITUTE($B176,"~","~~"),"*","~*"),"?","~?"),'DEF_SELF_SCOUT_IMPORT'!$Q$42:$Q$1040,SUBSTITUTE(SUBSTITUTE(SUBSTITUTE($M176,"~","~~"),"*","~*"),"?","~?"))/$C176)</f>
        <v>1.0</v>
      </c>
      <c r="E176" s="10">
        <f>IF($C176=0,"",SUMIFS('DEF_SELF_SCOUT_IMPORT'!$K$42:$K$1040,'DEF_SELF_SCOUT_IMPORT'!$L$42:$L$1040,"Y",'DEF_SELF_SCOUT_IMPORT'!$E$42:$E$1040,SUBSTITUTE(SUBSTITUTE(SUBSTITUTE($B176,"~","~~"),"*","~*"),"?","~?"),'DEF_SELF_SCOUT_IMPORT'!$Q$42:$Q$1040,SUBSTITUTE(SUBSTITUTE(SUBSTITUTE($M176,"~","~~"),"*","~*"),"?","~?"))/$C176)</f>
        <v>0.0</v>
      </c>
      <c r="F176" s="11">
        <f>IF($C176=0,"",AVERAGEIFS('DEF_SELF_SCOUT_IMPORT'!$I$42:$I$1040,'DEF_SELF_SCOUT_IMPORT'!$L$42:$L$1040,"Y",'DEF_SELF_SCOUT_IMPORT'!$E$42:$E$1040,SUBSTITUTE(SUBSTITUTE(SUBSTITUTE($B176,"~","~~"),"*","~*"),"?","~?"),'DEF_SELF_SCOUT_IMPORT'!$Q$42:$Q$1040,SUBSTITUTE(SUBSTITUTE(SUBSTITUTE($M176,"~","~~"),"*","~*"),"?","~?")))</f>
        <v>3.0</v>
      </c>
      <c r="G176" s="10">
        <f>IF($C176=0,"",COUNTIFS('DEF_SELF_SCOUT_IMPORT'!$L$42:$L$1040,"Y",'DEF_SELF_SCOUT_IMPORT'!$E$42:$E$1040,SUBSTITUTE(SUBSTITUTE(SUBSTITUTE($B176,"~","~~"),"*","~*"),"?","~?"),'DEF_SELF_SCOUT_IMPORT'!$Q$42:$Q$1040,SUBSTITUTE(SUBSTITUTE(SUBSTITUTE($M176,"~","~~"),"*","~*"),"?","~?"),'DEF_SELF_SCOUT_IMPORT'!$H$42:$H$1040,"RUSH")/$C176)</f>
        <v>1.0</v>
      </c>
      <c r="H176" s="10">
        <f>IF($C176=0,"",COUNTIFS('DEF_SELF_SCOUT_IMPORT'!$L$42:$L$1040,"Y",'DEF_SELF_SCOUT_IMPORT'!$E$42:$E$1040,SUBSTITUTE(SUBSTITUTE(SUBSTITUTE($B176,"~","~~"),"*","~*"),"?","~?"),'DEF_SELF_SCOUT_IMPORT'!$Q$42:$Q$1040,SUBSTITUTE(SUBSTITUTE(SUBSTITUTE($M176,"~","~~"),"*","~*"),"?","~?"),'DEF_SELF_SCOUT_IMPORT'!$H$42:$H$1040,"DROPBACK")/$C176)</f>
        <v>0.0</v>
      </c>
      <c r="I176" s="14" t="str">
        <f>IF(C176=0,"",IF(C176&lt;=2,"TRACK",IF(C176=3,"LOW",IF(C176&lt;=6,"MEDIUM","HIGH"))))</f>
        <v>TRACK</v>
      </c>
      <c r="J176" s="11">
        <f>IF(C176=0,"",ROUND(D176*70+(1-E176)*20+MAX(0,MIN(1,(10-F176)/10))*10,1))</f>
        <v>97.0</v>
      </c>
      <c r="K176" s="14" t="str">
        <f>IF(C176=0,"No Evidence",IF(C176&lt;=2,IF(E176&gt;0,"Explosive Alert","Track Only"),IF(C176=3,"Sample Watch",IF(E176&gt;=START_HERE!$B$31,"Explosive Alert",IF(J176&gt;=80,"Strong Candidate",IF(J176&gt;=65,"Good Candidate",IF(J176&gt;=50,"Mixed / Review","Problem Call")))))))</f>
        <v>Track Only</v>
      </c>
      <c r="L176" s="9" t="str">
        <f>IF(COUNTIFS('DEF_SELF_SCOUT_IMPORT'!$L$42:$L$1040,"Y",'DEF_SELF_SCOUT_IMPORT'!$E$42:$E$1040,SUBSTITUTE(SUBSTITUTE(SUBSTITUTE($B176,"~","~~"),"*","~*"),"?","~?"),'DEF_SELF_SCOUT_IMPORT'!$Q$42:$Q$1040,SUBSTITUTE(SUBSTITUTE(SUBSTITUTE($M176,"~","~~"),"*","~*"),"?","~?"),'DEF_SELF_SCOUT_IMPORT'!$J$42:$J$1040,"")&gt;0,"Unscored clean outcome; review result tags before using score.",IF(C176=0,"No matching defensive reps; film confirmation needed.",IF(K176="Explosive Alert","Explosive risk; review clips before using as answer.",IF(C176&lt;=2,"Track only; not enough sample.",IF(C176=3,IF(E176&gt;0,"Sample watch with explosive exposure; review clips and build the sample.",IF(J176&gt;=65,"Good signal, but sample is limited.","Sample watch; review clips and build the sample.")),IF(K176="Problem Call","Problem area; practice or call-sheet review.",IF(K176="Strong Candidate","Strong call-fit candidate; confirm on film.",IF(K176="Good Candidate","Good call-fit signal; confirm on film.","Mixed signal; review fit and execution on film."))))))))</f>
        <v>Track only; not enough sample.</v>
      </c>
      <c r="M176" s="8" t="s">
        <v>115</v>
      </c>
      <c r="N176" s="8"/>
      <c r="O176" s="8"/>
      <c r="P176" s="8"/>
      <c r="Q176" s="8"/>
      <c r="R176" s="8" t="s">
        <v>28</v>
      </c>
      <c r="S176" s="2" t="s">
        <v>116</v>
      </c>
      <c r="T176" s="2">
        <f>IF(C176=0,0,IF(C176&gt;=CALL_LOOKUP_BOARD!$B$7,IF(OR(K176="Problem Call",K176="Explosive Alert"),10000000,20000000),0)+IF(C176&gt;=CALL_LOOKUP_BOARD!$B$7,J176*1000+MIN(C176,999),C176*1000+J176)+0.00983300)</f>
        <v>1097.009833</v>
      </c>
      <c r="U176" s="2">
        <f>IF(C176=0,"",IF(COUNTIFS($S$10:$S$178,SUBSTITUTE(SUBSTITUTE(SUBSTITUTE(S176,"~","~~"),"*","~*"),"?","~?"),$T$10:$T$178,"&gt;"&amp;T176)=0,S176,""))</f>
        <v/>
      </c>
    </row>
    <row r="177" spans="1:21" ht="38" customHeight="1">
      <c r="A177" s="8" t="s">
        <v>115</v>
      </c>
      <c r="B177" s="8" t="s">
        <v>68</v>
      </c>
      <c r="C177" s="12">
        <f>COUNTIFS('DEF_SELF_SCOUT_IMPORT'!$L$42:$L$1040,"Y",'DEF_SELF_SCOUT_IMPORT'!$E$42:$E$1040,SUBSTITUTE(SUBSTITUTE(SUBSTITUTE($B177,"~","~~"),"*","~*"),"?","~?"),'DEF_SELF_SCOUT_IMPORT'!$Q$42:$Q$1040,SUBSTITUTE(SUBSTITUTE(SUBSTITUTE($M177,"~","~~"),"*","~*"),"?","~?"))</f>
        <v>4</v>
      </c>
      <c r="D177" s="10">
        <f>IF($C177=0,"",SUMIFS('DEF_SELF_SCOUT_IMPORT'!$J$42:$J$1040,'DEF_SELF_SCOUT_IMPORT'!$L$42:$L$1040,"Y",'DEF_SELF_SCOUT_IMPORT'!$E$42:$E$1040,SUBSTITUTE(SUBSTITUTE(SUBSTITUTE($B177,"~","~~"),"*","~*"),"?","~?"),'DEF_SELF_SCOUT_IMPORT'!$Q$42:$Q$1040,SUBSTITUTE(SUBSTITUTE(SUBSTITUTE($M177,"~","~~"),"*","~*"),"?","~?"))/$C177)</f>
        <v>0.75</v>
      </c>
      <c r="E177" s="10">
        <f>IF($C177=0,"",SUMIFS('DEF_SELF_SCOUT_IMPORT'!$K$42:$K$1040,'DEF_SELF_SCOUT_IMPORT'!$L$42:$L$1040,"Y",'DEF_SELF_SCOUT_IMPORT'!$E$42:$E$1040,SUBSTITUTE(SUBSTITUTE(SUBSTITUTE($B177,"~","~~"),"*","~*"),"?","~?"),'DEF_SELF_SCOUT_IMPORT'!$Q$42:$Q$1040,SUBSTITUTE(SUBSTITUTE(SUBSTITUTE($M177,"~","~~"),"*","~*"),"?","~?"))/$C177)</f>
        <v>0.0</v>
      </c>
      <c r="F177" s="11">
        <f>IF($C177=0,"",AVERAGEIFS('DEF_SELF_SCOUT_IMPORT'!$I$42:$I$1040,'DEF_SELF_SCOUT_IMPORT'!$L$42:$L$1040,"Y",'DEF_SELF_SCOUT_IMPORT'!$E$42:$E$1040,SUBSTITUTE(SUBSTITUTE(SUBSTITUTE($B177,"~","~~"),"*","~*"),"?","~?"),'DEF_SELF_SCOUT_IMPORT'!$Q$42:$Q$1040,SUBSTITUTE(SUBSTITUTE(SUBSTITUTE($M177,"~","~~"),"*","~*"),"?","~?")))</f>
        <v>-0.75</v>
      </c>
      <c r="G177" s="10">
        <f>IF($C177=0,"",COUNTIFS('DEF_SELF_SCOUT_IMPORT'!$L$42:$L$1040,"Y",'DEF_SELF_SCOUT_IMPORT'!$E$42:$E$1040,SUBSTITUTE(SUBSTITUTE(SUBSTITUTE($B177,"~","~~"),"*","~*"),"?","~?"),'DEF_SELF_SCOUT_IMPORT'!$Q$42:$Q$1040,SUBSTITUTE(SUBSTITUTE(SUBSTITUTE($M177,"~","~~"),"*","~*"),"?","~?"),'DEF_SELF_SCOUT_IMPORT'!$H$42:$H$1040,"RUSH")/$C177)</f>
        <v>0.5</v>
      </c>
      <c r="H177" s="10">
        <f>IF($C177=0,"",COUNTIFS('DEF_SELF_SCOUT_IMPORT'!$L$42:$L$1040,"Y",'DEF_SELF_SCOUT_IMPORT'!$E$42:$E$1040,SUBSTITUTE(SUBSTITUTE(SUBSTITUTE($B177,"~","~~"),"*","~*"),"?","~?"),'DEF_SELF_SCOUT_IMPORT'!$Q$42:$Q$1040,SUBSTITUTE(SUBSTITUTE(SUBSTITUTE($M177,"~","~~"),"*","~*"),"?","~?"),'DEF_SELF_SCOUT_IMPORT'!$H$42:$H$1040,"DROPBACK")/$C177)</f>
        <v>0.5</v>
      </c>
      <c r="I177" s="14" t="str">
        <f>IF(C177=0,"",IF(C177&lt;=2,"TRACK",IF(C177=3,"LOW",IF(C177&lt;=6,"MEDIUM","HIGH"))))</f>
        <v>MEDIUM</v>
      </c>
      <c r="J177" s="11">
        <f>IF(C177=0,"",ROUND(D177*70+(1-E177)*20+MAX(0,MIN(1,(10-F177)/10))*10,1))</f>
        <v>82.5</v>
      </c>
      <c r="K177" s="14" t="str">
        <f>IF(C177=0,"No Evidence",IF(C177&lt;=2,IF(E177&gt;0,"Explosive Alert","Track Only"),IF(C177=3,"Sample Watch",IF(E177&gt;=START_HERE!$B$31,"Explosive Alert",IF(J177&gt;=80,"Strong Candidate",IF(J177&gt;=65,"Good Candidate",IF(J177&gt;=50,"Mixed / Review","Problem Call")))))))</f>
        <v>Strong Candidate</v>
      </c>
      <c r="L177" s="9" t="str">
        <f>IF(COUNTIFS('DEF_SELF_SCOUT_IMPORT'!$L$42:$L$1040,"Y",'DEF_SELF_SCOUT_IMPORT'!$E$42:$E$1040,SUBSTITUTE(SUBSTITUTE(SUBSTITUTE($B177,"~","~~"),"*","~*"),"?","~?"),'DEF_SELF_SCOUT_IMPORT'!$Q$42:$Q$1040,SUBSTITUTE(SUBSTITUTE(SUBSTITUTE($M177,"~","~~"),"*","~*"),"?","~?"),'DEF_SELF_SCOUT_IMPORT'!$J$42:$J$1040,"")&gt;0,"Unscored clean outcome; review result tags before using score.",IF(C177=0,"No matching defensive reps; film confirmation needed.",IF(K177="Explosive Alert","Explosive risk; review clips before using as answer.",IF(C177&lt;=2,"Track only; not enough sample.",IF(C177=3,IF(E177&gt;0,"Sample watch with explosive exposure; review clips and build the sample.",IF(J177&gt;=65,"Good signal, but sample is limited.","Sample watch; review clips and build the sample.")),IF(K177="Problem Call","Problem area; practice or call-sheet review.",IF(K177="Strong Candidate","Strong call-fit candidate; confirm on film.",IF(K177="Good Candidate","Good call-fit signal; confirm on film.","Mixed signal; review fit and execution on film."))))))))</f>
        <v>Strong call-fit candidate; confirm on film.</v>
      </c>
      <c r="M177" s="8" t="s">
        <v>115</v>
      </c>
      <c r="N177" s="8"/>
      <c r="O177" s="8"/>
      <c r="P177" s="8"/>
      <c r="Q177" s="8"/>
      <c r="R177" s="8" t="s">
        <v>45</v>
      </c>
      <c r="S177" s="2" t="s">
        <v>116</v>
      </c>
      <c r="T177" s="2">
        <f>IF(C177=0,0,IF(C177&gt;=CALL_LOOKUP_BOARD!$B$7,IF(OR(K177="Problem Call",K177="Explosive Alert"),10000000,20000000),0)+IF(C177&gt;=CALL_LOOKUP_BOARD!$B$7,J177*1000+MIN(C177,999),C177*1000+J177)+0.00983200)</f>
        <v>20082504.009832</v>
      </c>
      <c r="U177" s="2" t="str">
        <f>IF(C177=0,"",IF(COUNTIFS($S$10:$S$178,SUBSTITUTE(SUBSTITUTE(SUBSTITUTE(S177,"~","~~"),"*","~*"),"?","~?"),$T$10:$T$178,"&gt;"&amp;T177)=0,S177,""))</f>
        <v>4:P&amp;10|</v>
      </c>
    </row>
    <row r="178" spans="1:21" ht="38" customHeight="1">
      <c r="A178" s="8" t="s">
        <v>115</v>
      </c>
      <c r="B178" s="8" t="s">
        <v>75</v>
      </c>
      <c r="C178" s="12">
        <f>COUNTIFS('DEF_SELF_SCOUT_IMPORT'!$L$42:$L$1040,"Y",'DEF_SELF_SCOUT_IMPORT'!$E$42:$E$1040,SUBSTITUTE(SUBSTITUTE(SUBSTITUTE($B178,"~","~~"),"*","~*"),"?","~?"),'DEF_SELF_SCOUT_IMPORT'!$Q$42:$Q$1040,SUBSTITUTE(SUBSTITUTE(SUBSTITUTE($M178,"~","~~"),"*","~*"),"?","~?"))</f>
        <v>1</v>
      </c>
      <c r="D178" s="10">
        <f>IF($C178=0,"",SUMIFS('DEF_SELF_SCOUT_IMPORT'!$J$42:$J$1040,'DEF_SELF_SCOUT_IMPORT'!$L$42:$L$1040,"Y",'DEF_SELF_SCOUT_IMPORT'!$E$42:$E$1040,SUBSTITUTE(SUBSTITUTE(SUBSTITUTE($B178,"~","~~"),"*","~*"),"?","~?"),'DEF_SELF_SCOUT_IMPORT'!$Q$42:$Q$1040,SUBSTITUTE(SUBSTITUTE(SUBSTITUTE($M178,"~","~~"),"*","~*"),"?","~?"))/$C178)</f>
        <v>0.0</v>
      </c>
      <c r="E178" s="10">
        <f>IF($C178=0,"",SUMIFS('DEF_SELF_SCOUT_IMPORT'!$K$42:$K$1040,'DEF_SELF_SCOUT_IMPORT'!$L$42:$L$1040,"Y",'DEF_SELF_SCOUT_IMPORT'!$E$42:$E$1040,SUBSTITUTE(SUBSTITUTE(SUBSTITUTE($B178,"~","~~"),"*","~*"),"?","~?"),'DEF_SELF_SCOUT_IMPORT'!$Q$42:$Q$1040,SUBSTITUTE(SUBSTITUTE(SUBSTITUTE($M178,"~","~~"),"*","~*"),"?","~?"))/$C178)</f>
        <v>0.0</v>
      </c>
      <c r="F178" s="11">
        <f>IF($C178=0,"",AVERAGEIFS('DEF_SELF_SCOUT_IMPORT'!$I$42:$I$1040,'DEF_SELF_SCOUT_IMPORT'!$L$42:$L$1040,"Y",'DEF_SELF_SCOUT_IMPORT'!$E$42:$E$1040,SUBSTITUTE(SUBSTITUTE(SUBSTITUTE($B178,"~","~~"),"*","~*"),"?","~?"),'DEF_SELF_SCOUT_IMPORT'!$Q$42:$Q$1040,SUBSTITUTE(SUBSTITUTE(SUBSTITUTE($M178,"~","~~"),"*","~*"),"?","~?")))</f>
        <v>9.0</v>
      </c>
      <c r="G178" s="10">
        <f>IF($C178=0,"",COUNTIFS('DEF_SELF_SCOUT_IMPORT'!$L$42:$L$1040,"Y",'DEF_SELF_SCOUT_IMPORT'!$E$42:$E$1040,SUBSTITUTE(SUBSTITUTE(SUBSTITUTE($B178,"~","~~"),"*","~*"),"?","~?"),'DEF_SELF_SCOUT_IMPORT'!$Q$42:$Q$1040,SUBSTITUTE(SUBSTITUTE(SUBSTITUTE($M178,"~","~~"),"*","~*"),"?","~?"),'DEF_SELF_SCOUT_IMPORT'!$H$42:$H$1040,"RUSH")/$C178)</f>
        <v>1.0</v>
      </c>
      <c r="H178" s="10">
        <f>IF($C178=0,"",COUNTIFS('DEF_SELF_SCOUT_IMPORT'!$L$42:$L$1040,"Y",'DEF_SELF_SCOUT_IMPORT'!$E$42:$E$1040,SUBSTITUTE(SUBSTITUTE(SUBSTITUTE($B178,"~","~~"),"*","~*"),"?","~?"),'DEF_SELF_SCOUT_IMPORT'!$Q$42:$Q$1040,SUBSTITUTE(SUBSTITUTE(SUBSTITUTE($M178,"~","~~"),"*","~*"),"?","~?"),'DEF_SELF_SCOUT_IMPORT'!$H$42:$H$1040,"DROPBACK")/$C178)</f>
        <v>0.0</v>
      </c>
      <c r="I178" s="14" t="str">
        <f>IF(C178=0,"",IF(C178&lt;=2,"TRACK",IF(C178=3,"LOW",IF(C178&lt;=6,"MEDIUM","HIGH"))))</f>
        <v>TRACK</v>
      </c>
      <c r="J178" s="11">
        <f>IF(C178=0,"",ROUND(D178*70+(1-E178)*20+MAX(0,MIN(1,(10-F178)/10))*10,1))</f>
        <v>21.0</v>
      </c>
      <c r="K178" s="14" t="str">
        <f>IF(C178=0,"No Evidence",IF(C178&lt;=2,IF(E178&gt;0,"Explosive Alert","Track Only"),IF(C178=3,"Sample Watch",IF(E178&gt;=START_HERE!$B$31,"Explosive Alert",IF(J178&gt;=80,"Strong Candidate",IF(J178&gt;=65,"Good Candidate",IF(J178&gt;=50,"Mixed / Review","Problem Call")))))))</f>
        <v>Track Only</v>
      </c>
      <c r="L178" s="9" t="str">
        <f>IF(COUNTIFS('DEF_SELF_SCOUT_IMPORT'!$L$42:$L$1040,"Y",'DEF_SELF_SCOUT_IMPORT'!$E$42:$E$1040,SUBSTITUTE(SUBSTITUTE(SUBSTITUTE($B178,"~","~~"),"*","~*"),"?","~?"),'DEF_SELF_SCOUT_IMPORT'!$Q$42:$Q$1040,SUBSTITUTE(SUBSTITUTE(SUBSTITUTE($M178,"~","~~"),"*","~*"),"?","~?"),'DEF_SELF_SCOUT_IMPORT'!$J$42:$J$1040,"")&gt;0,"Unscored clean outcome; review result tags before using score.",IF(C178=0,"No matching defensive reps; film confirmation needed.",IF(K178="Explosive Alert","Explosive risk; review clips before using as answer.",IF(C178&lt;=2,"Track only; not enough sample.",IF(C178=3,IF(E178&gt;0,"Sample watch with explosive exposure; review clips and build the sample.",IF(J178&gt;=65,"Good signal, but sample is limited.","Sample watch; review clips and build the sample.")),IF(K178="Problem Call","Problem area; practice or call-sheet review.",IF(K178="Strong Candidate","Strong call-fit candidate; confirm on film.",IF(K178="Good Candidate","Good call-fit signal; confirm on film.","Mixed signal; review fit and execution on film."))))))))</f>
        <v>Track only; not enough sample.</v>
      </c>
      <c r="M178" s="8" t="s">
        <v>115</v>
      </c>
      <c r="N178" s="8"/>
      <c r="O178" s="8"/>
      <c r="P178" s="8"/>
      <c r="Q178" s="8"/>
      <c r="R178" s="8" t="s">
        <v>28</v>
      </c>
      <c r="S178" s="2" t="s">
        <v>116</v>
      </c>
      <c r="T178" s="2">
        <f>IF(C178=0,0,IF(C178&gt;=CALL_LOOKUP_BOARD!$B$7,IF(OR(K178="Problem Call",K178="Explosive Alert"),10000000,20000000),0)+IF(C178&gt;=CALL_LOOKUP_BOARD!$B$7,J178*1000+MIN(C178,999),C178*1000+J178)+0.00983100)</f>
        <v>1021.009831</v>
      </c>
      <c r="U178" s="2">
        <f>IF(C178=0,"",IF(COUNTIFS($S$10:$S$178,SUBSTITUTE(SUBSTITUTE(SUBSTITUTE(S178,"~","~~"),"*","~*"),"?","~?"),$T$10:$T$178,"&gt;"&amp;T178)=0,S178,""))</f>
        <v/>
      </c>
    </row>
    <row r="183" spans="1:21" ht="27" customHeight="1">
      <c r="A183" s="5" t="s">
        <v>118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21" ht="36" customHeight="1">
      <c r="A184" s="9" t="s">
        <v>7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1:21" ht="46" customHeight="1">
      <c r="A185" s="6" t="s">
        <v>8</v>
      </c>
      <c r="B185" s="6" t="s">
        <v>9</v>
      </c>
      <c r="C185" s="6" t="s">
        <v>10</v>
      </c>
      <c r="D185" s="6" t="s">
        <v>11</v>
      </c>
      <c r="E185" s="6" t="s">
        <v>12</v>
      </c>
      <c r="F185" s="6" t="s">
        <v>13</v>
      </c>
      <c r="G185" s="6" t="s">
        <v>14</v>
      </c>
      <c r="H185" s="6" t="s">
        <v>15</v>
      </c>
      <c r="I185" s="6" t="s">
        <v>16</v>
      </c>
      <c r="J185" s="6" t="s">
        <v>17</v>
      </c>
      <c r="K185" s="6" t="s">
        <v>18</v>
      </c>
      <c r="L185" s="6" t="s">
        <v>19</v>
      </c>
      <c r="M185" s="6" t="s">
        <v>20</v>
      </c>
      <c r="N185" s="6" t="s">
        <v>21</v>
      </c>
      <c r="O185" s="6" t="s">
        <v>22</v>
      </c>
      <c r="P185" s="6" t="s">
        <v>23</v>
      </c>
      <c r="Q185" s="6" t="s">
        <v>24</v>
      </c>
      <c r="R185" s="6" t="s">
        <v>25</v>
      </c>
    </row>
    <row r="186" spans="1:21" ht="38" customHeight="1">
      <c r="A186" s="8" t="s">
        <v>119</v>
      </c>
      <c r="B186" s="8" t="s">
        <v>27</v>
      </c>
      <c r="C186" s="12">
        <f>COUNTIFS('DEF_SELF_SCOUT_IMPORT'!$L$42:$L$1040,"Y",'DEF_SELF_SCOUT_IMPORT'!$E$42:$E$1040,SUBSTITUTE(SUBSTITUTE(SUBSTITUTE($B186,"~","~~"),"*","~*"),"?","~?"),'DEF_SELF_SCOUT_IMPORT'!$Q$42:$Q$1040,SUBSTITUTE(SUBSTITUTE(SUBSTITUTE($M186,"~","~~"),"*","~*"),"?","~?"),'DEF_SELF_SCOUT_IMPORT'!$F$42:$F$1040,SUBSTITUTE(SUBSTITUTE(SUBSTITUTE($N186,"~","~~"),"*","~*"),"?","~?"))</f>
        <v>1</v>
      </c>
      <c r="D186" s="10">
        <f>IF($C186=0,"",SUMIFS('DEF_SELF_SCOUT_IMPORT'!$J$42:$J$1040,'DEF_SELF_SCOUT_IMPORT'!$L$42:$L$1040,"Y",'DEF_SELF_SCOUT_IMPORT'!$E$42:$E$1040,SUBSTITUTE(SUBSTITUTE(SUBSTITUTE($B186,"~","~~"),"*","~*"),"?","~?"),'DEF_SELF_SCOUT_IMPORT'!$Q$42:$Q$1040,SUBSTITUTE(SUBSTITUTE(SUBSTITUTE($M186,"~","~~"),"*","~*"),"?","~?"),'DEF_SELF_SCOUT_IMPORT'!$F$42:$F$1040,SUBSTITUTE(SUBSTITUTE(SUBSTITUTE($N186,"~","~~"),"*","~*"),"?","~?"))/$C186)</f>
        <v>0.0</v>
      </c>
      <c r="E186" s="10">
        <f>IF($C186=0,"",SUMIFS('DEF_SELF_SCOUT_IMPORT'!$K$42:$K$1040,'DEF_SELF_SCOUT_IMPORT'!$L$42:$L$1040,"Y",'DEF_SELF_SCOUT_IMPORT'!$E$42:$E$1040,SUBSTITUTE(SUBSTITUTE(SUBSTITUTE($B186,"~","~~"),"*","~*"),"?","~?"),'DEF_SELF_SCOUT_IMPORT'!$Q$42:$Q$1040,SUBSTITUTE(SUBSTITUTE(SUBSTITUTE($M186,"~","~~"),"*","~*"),"?","~?"),'DEF_SELF_SCOUT_IMPORT'!$F$42:$F$1040,SUBSTITUTE(SUBSTITUTE(SUBSTITUTE($N186,"~","~~"),"*","~*"),"?","~?"))/$C186)</f>
        <v>0.0</v>
      </c>
      <c r="F186" s="11">
        <f>IF($C186=0,"",AVERAGEIFS('DEF_SELF_SCOUT_IMPORT'!$I$42:$I$1040,'DEF_SELF_SCOUT_IMPORT'!$L$42:$L$1040,"Y",'DEF_SELF_SCOUT_IMPORT'!$E$42:$E$1040,SUBSTITUTE(SUBSTITUTE(SUBSTITUTE($B186,"~","~~"),"*","~*"),"?","~?"),'DEF_SELF_SCOUT_IMPORT'!$Q$42:$Q$1040,SUBSTITUTE(SUBSTITUTE(SUBSTITUTE($M186,"~","~~"),"*","~*"),"?","~?"),'DEF_SELF_SCOUT_IMPORT'!$F$42:$F$1040,SUBSTITUTE(SUBSTITUTE(SUBSTITUTE($N186,"~","~~"),"*","~*"),"?","~?")))</f>
        <v>1.0</v>
      </c>
      <c r="G186" s="10">
        <f>IF($C186=0,"",COUNTIFS('DEF_SELF_SCOUT_IMPORT'!$L$42:$L$1040,"Y",'DEF_SELF_SCOUT_IMPORT'!$E$42:$E$1040,SUBSTITUTE(SUBSTITUTE(SUBSTITUTE($B186,"~","~~"),"*","~*"),"?","~?"),'DEF_SELF_SCOUT_IMPORT'!$Q$42:$Q$1040,SUBSTITUTE(SUBSTITUTE(SUBSTITUTE($M186,"~","~~"),"*","~*"),"?","~?"),'DEF_SELF_SCOUT_IMPORT'!$F$42:$F$1040,SUBSTITUTE(SUBSTITUTE(SUBSTITUTE($N186,"~","~~"),"*","~*"),"?","~?"),'DEF_SELF_SCOUT_IMPORT'!$H$42:$H$1040,"RUSH")/$C186)</f>
        <v>0.0</v>
      </c>
      <c r="H186" s="10">
        <f>IF($C186=0,"",COUNTIFS('DEF_SELF_SCOUT_IMPORT'!$L$42:$L$1040,"Y",'DEF_SELF_SCOUT_IMPORT'!$E$42:$E$1040,SUBSTITUTE(SUBSTITUTE(SUBSTITUTE($B186,"~","~~"),"*","~*"),"?","~?"),'DEF_SELF_SCOUT_IMPORT'!$Q$42:$Q$1040,SUBSTITUTE(SUBSTITUTE(SUBSTITUTE($M186,"~","~~"),"*","~*"),"?","~?"),'DEF_SELF_SCOUT_IMPORT'!$F$42:$F$1040,SUBSTITUTE(SUBSTITUTE(SUBSTITUTE($N186,"~","~~"),"*","~*"),"?","~?"),'DEF_SELF_SCOUT_IMPORT'!$H$42:$H$1040,"DROPBACK")/$C186)</f>
        <v>0.0</v>
      </c>
      <c r="I186" s="14" t="str">
        <f>IF(C186=0,"",IF(C186&lt;=2,"TRACK",IF(C186=3,"LOW",IF(C186&lt;=6,"MEDIUM","HIGH"))))</f>
        <v>TRACK</v>
      </c>
      <c r="J186" s="11">
        <f>IF(C186=0,"",ROUND(D186*70+(1-E186)*20+MAX(0,MIN(1,(10-F186)/10))*10,1))</f>
        <v>29.0</v>
      </c>
      <c r="K186" s="14" t="str">
        <f>IF(C186=0,"No Evidence",IF(C186&lt;=2,IF(E186&gt;0,"Explosive Alert","Track Only"),IF(C186=3,"Sample Watch",IF(E186&gt;=START_HERE!$B$31,"Explosive Alert",IF(J186&gt;=80,"Strong Candidate",IF(J186&gt;=65,"Good Candidate",IF(J186&gt;=50,"Mixed / Review","Problem Call")))))))</f>
        <v>Track Only</v>
      </c>
      <c r="L186" s="9" t="str">
        <f>IF(COUNTIFS('DEF_SELF_SCOUT_IMPORT'!$L$42:$L$1040,"Y",'DEF_SELF_SCOUT_IMPORT'!$E$42:$E$1040,SUBSTITUTE(SUBSTITUTE(SUBSTITUTE($B186,"~","~~"),"*","~*"),"?","~?"),'DEF_SELF_SCOUT_IMPORT'!$Q$42:$Q$1040,SUBSTITUTE(SUBSTITUTE(SUBSTITUTE($M186,"~","~~"),"*","~*"),"?","~?"),'DEF_SELF_SCOUT_IMPORT'!$F$42:$F$1040,SUBSTITUTE(SUBSTITUTE(SUBSTITUTE($N186,"~","~~"),"*","~*"),"?","~?"),'DEF_SELF_SCOUT_IMPORT'!$J$42:$J$1040,"")&gt;0,"Unscored clean outcome; review result tags before using score.",IF(C186=0,"No matching defensive reps; film confirmation needed.",IF(K186="Explosive Alert","Explosive risk; review clips before using as answer.",IF(C186&lt;=2,"Track only; not enough sample.",IF(C186=3,IF(E186&gt;0,"Sample watch with explosive exposure; review clips and build the sample.",IF(J186&gt;=65,"Good signal, but sample is limited.","Sample watch; review clips and build the sample.")),IF(K186="Problem Call","Problem area; practice or call-sheet review.",IF(K186="Strong Candidate","Strong call-fit candidate; confirm on film.",IF(K186="Good Candidate","Good call-fit signal; confirm on film.","Mixed signal; review fit and execution on film."))))))))</f>
        <v>Track only; not enough sample.</v>
      </c>
      <c r="M186" s="8" t="s">
        <v>26</v>
      </c>
      <c r="N186" s="8" t="s">
        <v>120</v>
      </c>
      <c r="O186" s="8"/>
      <c r="P186" s="8"/>
      <c r="Q186" s="8"/>
      <c r="R186" s="8" t="s">
        <v>28</v>
      </c>
      <c r="S186" s="2" t="s">
        <v>121</v>
      </c>
      <c r="T186" s="2">
        <f>IF(C186=0,0,IF(C186&gt;=CALL_LOOKUP_BOARD!$B$7,IF(OR(K186="Problem Call",K186="Explosive Alert"),10000000,20000000),0)+IF(C186&gt;=CALL_LOOKUP_BOARD!$B$7,J186*1000+MIN(C186,999),C186*1000+J186)+0.00999900)</f>
        <v>1029.009999</v>
      </c>
      <c r="U186" s="2" t="str">
        <f>IF(C186=0,"",IF(COUNTIFS($S$186:$S$367,SUBSTITUTE(SUBSTITUTE(SUBSTITUTE(S186,"~","~~"),"*","~*"),"?","~?"),$T$186:$T$367,"&gt;"&amp;T186)=0,S186,""))</f>
        <v>6:1D 1-3|2:11|</v>
      </c>
    </row>
    <row r="187" spans="1:21" ht="38" customHeight="1">
      <c r="A187" s="8" t="s">
        <v>122</v>
      </c>
      <c r="B187" s="8" t="s">
        <v>30</v>
      </c>
      <c r="C187" s="12">
        <f>COUNTIFS('DEF_SELF_SCOUT_IMPORT'!$L$42:$L$1040,"Y",'DEF_SELF_SCOUT_IMPORT'!$E$42:$E$1040,SUBSTITUTE(SUBSTITUTE(SUBSTITUTE($B187,"~","~~"),"*","~*"),"?","~?"),'DEF_SELF_SCOUT_IMPORT'!$Q$42:$Q$1040,SUBSTITUTE(SUBSTITUTE(SUBSTITUTE($M187,"~","~~"),"*","~*"),"?","~?"),'DEF_SELF_SCOUT_IMPORT'!$F$42:$F$1040,SUBSTITUTE(SUBSTITUTE(SUBSTITUTE($N187,"~","~~"),"*","~*"),"?","~?"))</f>
        <v>2</v>
      </c>
      <c r="D187" s="10">
        <f>IF($C187=0,"",SUMIFS('DEF_SELF_SCOUT_IMPORT'!$J$42:$J$1040,'DEF_SELF_SCOUT_IMPORT'!$L$42:$L$1040,"Y",'DEF_SELF_SCOUT_IMPORT'!$E$42:$E$1040,SUBSTITUTE(SUBSTITUTE(SUBSTITUTE($B187,"~","~~"),"*","~*"),"?","~?"),'DEF_SELF_SCOUT_IMPORT'!$Q$42:$Q$1040,SUBSTITUTE(SUBSTITUTE(SUBSTITUTE($M187,"~","~~"),"*","~*"),"?","~?"),'DEF_SELF_SCOUT_IMPORT'!$F$42:$F$1040,SUBSTITUTE(SUBSTITUTE(SUBSTITUTE($N187,"~","~~"),"*","~*"),"?","~?"))/$C187)</f>
        <v>1.0</v>
      </c>
      <c r="E187" s="10">
        <f>IF($C187=0,"",SUMIFS('DEF_SELF_SCOUT_IMPORT'!$K$42:$K$1040,'DEF_SELF_SCOUT_IMPORT'!$L$42:$L$1040,"Y",'DEF_SELF_SCOUT_IMPORT'!$E$42:$E$1040,SUBSTITUTE(SUBSTITUTE(SUBSTITUTE($B187,"~","~~"),"*","~*"),"?","~?"),'DEF_SELF_SCOUT_IMPORT'!$Q$42:$Q$1040,SUBSTITUTE(SUBSTITUTE(SUBSTITUTE($M187,"~","~~"),"*","~*"),"?","~?"),'DEF_SELF_SCOUT_IMPORT'!$F$42:$F$1040,SUBSTITUTE(SUBSTITUTE(SUBSTITUTE($N187,"~","~~"),"*","~*"),"?","~?"))/$C187)</f>
        <v>0.0</v>
      </c>
      <c r="F187" s="11">
        <f>IF($C187=0,"",AVERAGEIFS('DEF_SELF_SCOUT_IMPORT'!$I$42:$I$1040,'DEF_SELF_SCOUT_IMPORT'!$L$42:$L$1040,"Y",'DEF_SELF_SCOUT_IMPORT'!$E$42:$E$1040,SUBSTITUTE(SUBSTITUTE(SUBSTITUTE($B187,"~","~~"),"*","~*"),"?","~?"),'DEF_SELF_SCOUT_IMPORT'!$Q$42:$Q$1040,SUBSTITUTE(SUBSTITUTE(SUBSTITUTE($M187,"~","~~"),"*","~*"),"?","~?"),'DEF_SELF_SCOUT_IMPORT'!$F$42:$F$1040,SUBSTITUTE(SUBSTITUTE(SUBSTITUTE($N187,"~","~~"),"*","~*"),"?","~?")))</f>
        <v>1.5</v>
      </c>
      <c r="G187" s="10">
        <f>IF($C187=0,"",COUNTIFS('DEF_SELF_SCOUT_IMPORT'!$L$42:$L$1040,"Y",'DEF_SELF_SCOUT_IMPORT'!$E$42:$E$1040,SUBSTITUTE(SUBSTITUTE(SUBSTITUTE($B187,"~","~~"),"*","~*"),"?","~?"),'DEF_SELF_SCOUT_IMPORT'!$Q$42:$Q$1040,SUBSTITUTE(SUBSTITUTE(SUBSTITUTE($M187,"~","~~"),"*","~*"),"?","~?"),'DEF_SELF_SCOUT_IMPORT'!$F$42:$F$1040,SUBSTITUTE(SUBSTITUTE(SUBSTITUTE($N187,"~","~~"),"*","~*"),"?","~?"),'DEF_SELF_SCOUT_IMPORT'!$H$42:$H$1040,"RUSH")/$C187)</f>
        <v>1.0</v>
      </c>
      <c r="H187" s="10">
        <f>IF($C187=0,"",COUNTIFS('DEF_SELF_SCOUT_IMPORT'!$L$42:$L$1040,"Y",'DEF_SELF_SCOUT_IMPORT'!$E$42:$E$1040,SUBSTITUTE(SUBSTITUTE(SUBSTITUTE($B187,"~","~~"),"*","~*"),"?","~?"),'DEF_SELF_SCOUT_IMPORT'!$Q$42:$Q$1040,SUBSTITUTE(SUBSTITUTE(SUBSTITUTE($M187,"~","~~"),"*","~*"),"?","~?"),'DEF_SELF_SCOUT_IMPORT'!$F$42:$F$1040,SUBSTITUTE(SUBSTITUTE(SUBSTITUTE($N187,"~","~~"),"*","~*"),"?","~?"),'DEF_SELF_SCOUT_IMPORT'!$H$42:$H$1040,"DROPBACK")/$C187)</f>
        <v>0.0</v>
      </c>
      <c r="I187" s="14" t="str">
        <f>IF(C187=0,"",IF(C187&lt;=2,"TRACK",IF(C187=3,"LOW",IF(C187&lt;=6,"MEDIUM","HIGH"))))</f>
        <v>TRACK</v>
      </c>
      <c r="J187" s="11">
        <f>IF(C187=0,"",ROUND(D187*70+(1-E187)*20+MAX(0,MIN(1,(10-F187)/10))*10,1))</f>
        <v>98.5</v>
      </c>
      <c r="K187" s="14" t="str">
        <f>IF(C187=0,"No Evidence",IF(C187&lt;=2,IF(E187&gt;0,"Explosive Alert","Track Only"),IF(C187=3,"Sample Watch",IF(E187&gt;=START_HERE!$B$31,"Explosive Alert",IF(J187&gt;=80,"Strong Candidate",IF(J187&gt;=65,"Good Candidate",IF(J187&gt;=50,"Mixed / Review","Problem Call")))))))</f>
        <v>Track Only</v>
      </c>
      <c r="L187" s="9" t="str">
        <f>IF(COUNTIFS('DEF_SELF_SCOUT_IMPORT'!$L$42:$L$1040,"Y",'DEF_SELF_SCOUT_IMPORT'!$E$42:$E$1040,SUBSTITUTE(SUBSTITUTE(SUBSTITUTE($B187,"~","~~"),"*","~*"),"?","~?"),'DEF_SELF_SCOUT_IMPORT'!$Q$42:$Q$1040,SUBSTITUTE(SUBSTITUTE(SUBSTITUTE($M187,"~","~~"),"*","~*"),"?","~?"),'DEF_SELF_SCOUT_IMPORT'!$F$42:$F$1040,SUBSTITUTE(SUBSTITUTE(SUBSTITUTE($N187,"~","~~"),"*","~*"),"?","~?"),'DEF_SELF_SCOUT_IMPORT'!$J$42:$J$1040,"")&gt;0,"Unscored clean outcome; review result tags before using score.",IF(C187=0,"No matching defensive reps; film confirmation needed.",IF(K187="Explosive Alert","Explosive risk; review clips before using as answer.",IF(C187&lt;=2,"Track only; not enough sample.",IF(C187=3,IF(E187&gt;0,"Sample watch with explosive exposure; review clips and build the sample.",IF(J187&gt;=65,"Good signal, but sample is limited.","Sample watch; review clips and build the sample.")),IF(K187="Problem Call","Problem area; practice or call-sheet review.",IF(K187="Strong Candidate","Strong call-fit candidate; confirm on film.",IF(K187="Good Candidate","Good call-fit signal; confirm on film.","Mixed signal; review fit and execution on film."))))))))</f>
        <v>Track only; not enough sample.</v>
      </c>
      <c r="M187" s="8" t="s">
        <v>26</v>
      </c>
      <c r="N187" s="8" t="s">
        <v>123</v>
      </c>
      <c r="O187" s="8"/>
      <c r="P187" s="8"/>
      <c r="Q187" s="8"/>
      <c r="R187" s="8" t="s">
        <v>28</v>
      </c>
      <c r="S187" s="2" t="s">
        <v>124</v>
      </c>
      <c r="T187" s="2">
        <f>IF(C187=0,0,IF(C187&gt;=CALL_LOOKUP_BOARD!$B$7,IF(OR(K187="Problem Call",K187="Explosive Alert"),10000000,20000000),0)+IF(C187&gt;=CALL_LOOKUP_BOARD!$B$7,J187*1000+MIN(C187,999),C187*1000+J187)+0.00999800)</f>
        <v>2098.509998</v>
      </c>
      <c r="U187" s="2" t="str">
        <f>IF(C187=0,"",IF(COUNTIFS($S$186:$S$367,SUBSTITUTE(SUBSTITUTE(SUBSTITUTE(S187,"~","~~"),"*","~*"),"?","~?"),$T$186:$T$367,"&gt;"&amp;T187)=0,S187,""))</f>
        <v>6:1D 1-3|2:12|</v>
      </c>
    </row>
    <row r="188" spans="1:21" ht="38" customHeight="1">
      <c r="A188" s="8" t="s">
        <v>125</v>
      </c>
      <c r="B188" s="8" t="s">
        <v>32</v>
      </c>
      <c r="C188" s="12">
        <f>COUNTIFS('DEF_SELF_SCOUT_IMPORT'!$L$42:$L$1040,"Y",'DEF_SELF_SCOUT_IMPORT'!$E$42:$E$1040,SUBSTITUTE(SUBSTITUTE(SUBSTITUTE($B188,"~","~~"),"*","~*"),"?","~?"),'DEF_SELF_SCOUT_IMPORT'!$Q$42:$Q$1040,SUBSTITUTE(SUBSTITUTE(SUBSTITUTE($M188,"~","~~"),"*","~*"),"?","~?"),'DEF_SELF_SCOUT_IMPORT'!$F$42:$F$1040,SUBSTITUTE(SUBSTITUTE(SUBSTITUTE($N188,"~","~~"),"*","~*"),"?","~?"))</f>
        <v>1</v>
      </c>
      <c r="D188" s="10">
        <f>IF($C188=0,"",SUMIFS('DEF_SELF_SCOUT_IMPORT'!$J$42:$J$1040,'DEF_SELF_SCOUT_IMPORT'!$L$42:$L$1040,"Y",'DEF_SELF_SCOUT_IMPORT'!$E$42:$E$1040,SUBSTITUTE(SUBSTITUTE(SUBSTITUTE($B188,"~","~~"),"*","~*"),"?","~?"),'DEF_SELF_SCOUT_IMPORT'!$Q$42:$Q$1040,SUBSTITUTE(SUBSTITUTE(SUBSTITUTE($M188,"~","~~"),"*","~*"),"?","~?"),'DEF_SELF_SCOUT_IMPORT'!$F$42:$F$1040,SUBSTITUTE(SUBSTITUTE(SUBSTITUTE($N188,"~","~~"),"*","~*"),"?","~?"))/$C188)</f>
        <v>1.0</v>
      </c>
      <c r="E188" s="10">
        <f>IF($C188=0,"",SUMIFS('DEF_SELF_SCOUT_IMPORT'!$K$42:$K$1040,'DEF_SELF_SCOUT_IMPORT'!$L$42:$L$1040,"Y",'DEF_SELF_SCOUT_IMPORT'!$E$42:$E$1040,SUBSTITUTE(SUBSTITUTE(SUBSTITUTE($B188,"~","~~"),"*","~*"),"?","~?"),'DEF_SELF_SCOUT_IMPORT'!$Q$42:$Q$1040,SUBSTITUTE(SUBSTITUTE(SUBSTITUTE($M188,"~","~~"),"*","~*"),"?","~?"),'DEF_SELF_SCOUT_IMPORT'!$F$42:$F$1040,SUBSTITUTE(SUBSTITUTE(SUBSTITUTE($N188,"~","~~"),"*","~*"),"?","~?"))/$C188)</f>
        <v>0.0</v>
      </c>
      <c r="F188" s="11">
        <f>IF($C188=0,"",AVERAGEIFS('DEF_SELF_SCOUT_IMPORT'!$I$42:$I$1040,'DEF_SELF_SCOUT_IMPORT'!$L$42:$L$1040,"Y",'DEF_SELF_SCOUT_IMPORT'!$E$42:$E$1040,SUBSTITUTE(SUBSTITUTE(SUBSTITUTE($B188,"~","~~"),"*","~*"),"?","~?"),'DEF_SELF_SCOUT_IMPORT'!$Q$42:$Q$1040,SUBSTITUTE(SUBSTITUTE(SUBSTITUTE($M188,"~","~~"),"*","~*"),"?","~?"),'DEF_SELF_SCOUT_IMPORT'!$F$42:$F$1040,SUBSTITUTE(SUBSTITUTE(SUBSTITUTE($N188,"~","~~"),"*","~*"),"?","~?")))</f>
        <v>2.0</v>
      </c>
      <c r="G188" s="10">
        <f>IF($C188=0,"",COUNTIFS('DEF_SELF_SCOUT_IMPORT'!$L$42:$L$1040,"Y",'DEF_SELF_SCOUT_IMPORT'!$E$42:$E$1040,SUBSTITUTE(SUBSTITUTE(SUBSTITUTE($B188,"~","~~"),"*","~*"),"?","~?"),'DEF_SELF_SCOUT_IMPORT'!$Q$42:$Q$1040,SUBSTITUTE(SUBSTITUTE(SUBSTITUTE($M188,"~","~~"),"*","~*"),"?","~?"),'DEF_SELF_SCOUT_IMPORT'!$F$42:$F$1040,SUBSTITUTE(SUBSTITUTE(SUBSTITUTE($N188,"~","~~"),"*","~*"),"?","~?"),'DEF_SELF_SCOUT_IMPORT'!$H$42:$H$1040,"RUSH")/$C188)</f>
        <v>1.0</v>
      </c>
      <c r="H188" s="10">
        <f>IF($C188=0,"",COUNTIFS('DEF_SELF_SCOUT_IMPORT'!$L$42:$L$1040,"Y",'DEF_SELF_SCOUT_IMPORT'!$E$42:$E$1040,SUBSTITUTE(SUBSTITUTE(SUBSTITUTE($B188,"~","~~"),"*","~*"),"?","~?"),'DEF_SELF_SCOUT_IMPORT'!$Q$42:$Q$1040,SUBSTITUTE(SUBSTITUTE(SUBSTITUTE($M188,"~","~~"),"*","~*"),"?","~?"),'DEF_SELF_SCOUT_IMPORT'!$F$42:$F$1040,SUBSTITUTE(SUBSTITUTE(SUBSTITUTE($N188,"~","~~"),"*","~*"),"?","~?"),'DEF_SELF_SCOUT_IMPORT'!$H$42:$H$1040,"DROPBACK")/$C188)</f>
        <v>0.0</v>
      </c>
      <c r="I188" s="14" t="str">
        <f>IF(C188=0,"",IF(C188&lt;=2,"TRACK",IF(C188=3,"LOW",IF(C188&lt;=6,"MEDIUM","HIGH"))))</f>
        <v>TRACK</v>
      </c>
      <c r="J188" s="11">
        <f>IF(C188=0,"",ROUND(D188*70+(1-E188)*20+MAX(0,MIN(1,(10-F188)/10))*10,1))</f>
        <v>98.0</v>
      </c>
      <c r="K188" s="14" t="str">
        <f>IF(C188=0,"No Evidence",IF(C188&lt;=2,IF(E188&gt;0,"Explosive Alert","Track Only"),IF(C188=3,"Sample Watch",IF(E188&gt;=START_HERE!$B$31,"Explosive Alert",IF(J188&gt;=80,"Strong Candidate",IF(J188&gt;=65,"Good Candidate",IF(J188&gt;=50,"Mixed / Review","Problem Call")))))))</f>
        <v>Track Only</v>
      </c>
      <c r="L188" s="9" t="str">
        <f>IF(COUNTIFS('DEF_SELF_SCOUT_IMPORT'!$L$42:$L$1040,"Y",'DEF_SELF_SCOUT_IMPORT'!$E$42:$E$1040,SUBSTITUTE(SUBSTITUTE(SUBSTITUTE($B188,"~","~~"),"*","~*"),"?","~?"),'DEF_SELF_SCOUT_IMPORT'!$Q$42:$Q$1040,SUBSTITUTE(SUBSTITUTE(SUBSTITUTE($M188,"~","~~"),"*","~*"),"?","~?"),'DEF_SELF_SCOUT_IMPORT'!$F$42:$F$1040,SUBSTITUTE(SUBSTITUTE(SUBSTITUTE($N188,"~","~~"),"*","~*"),"?","~?"),'DEF_SELF_SCOUT_IMPORT'!$J$42:$J$1040,"")&gt;0,"Unscored clean outcome; review result tags before using score.",IF(C188=0,"No matching defensive reps; film confirmation needed.",IF(K188="Explosive Alert","Explosive risk; review clips before using as answer.",IF(C188&lt;=2,"Track only; not enough sample.",IF(C188=3,IF(E188&gt;0,"Sample watch with explosive exposure; review clips and build the sample.",IF(J188&gt;=65,"Good signal, but sample is limited.","Sample watch; review clips and build the sample.")),IF(K188="Problem Call","Problem area; practice or call-sheet review.",IF(K188="Strong Candidate","Strong call-fit candidate; confirm on film.",IF(K188="Good Candidate","Good call-fit signal; confirm on film.","Mixed signal; review fit and execution on film."))))))))</f>
        <v>Track only; not enough sample.</v>
      </c>
      <c r="M188" s="8" t="s">
        <v>31</v>
      </c>
      <c r="N188" s="8" t="s">
        <v>120</v>
      </c>
      <c r="O188" s="8"/>
      <c r="P188" s="8"/>
      <c r="Q188" s="8"/>
      <c r="R188" s="8" t="s">
        <v>28</v>
      </c>
      <c r="S188" s="2" t="s">
        <v>126</v>
      </c>
      <c r="T188" s="2">
        <f>IF(C188=0,0,IF(C188&gt;=CALL_LOOKUP_BOARD!$B$7,IF(OR(K188="Problem Call",K188="Explosive Alert"),10000000,20000000),0)+IF(C188&gt;=CALL_LOOKUP_BOARD!$B$7,J188*1000+MIN(C188,999),C188*1000+J188)+0.00999700)</f>
        <v>1098.009997</v>
      </c>
      <c r="U188" s="2" t="str">
        <f>IF(C188=0,"",IF(COUNTIFS($S$186:$S$367,SUBSTITUTE(SUBSTITUTE(SUBSTITUTE(S188,"~","~~"),"*","~*"),"?","~?"),$T$186:$T$367,"&gt;"&amp;T188)=0,S188,""))</f>
        <v>6:1D 11+|2:11|</v>
      </c>
    </row>
    <row r="189" spans="1:21" ht="38" customHeight="1">
      <c r="A189" s="8" t="s">
        <v>125</v>
      </c>
      <c r="B189" s="8" t="s">
        <v>34</v>
      </c>
      <c r="C189" s="12">
        <f>COUNTIFS('DEF_SELF_SCOUT_IMPORT'!$L$42:$L$1040,"Y",'DEF_SELF_SCOUT_IMPORT'!$E$42:$E$1040,SUBSTITUTE(SUBSTITUTE(SUBSTITUTE($B189,"~","~~"),"*","~*"),"?","~?"),'DEF_SELF_SCOUT_IMPORT'!$Q$42:$Q$1040,SUBSTITUTE(SUBSTITUTE(SUBSTITUTE($M189,"~","~~"),"*","~*"),"?","~?"),'DEF_SELF_SCOUT_IMPORT'!$F$42:$F$1040,SUBSTITUTE(SUBSTITUTE(SUBSTITUTE($N189,"~","~~"),"*","~*"),"?","~?"))</f>
        <v>1</v>
      </c>
      <c r="D189" s="10">
        <f>IF($C189=0,"",SUMIFS('DEF_SELF_SCOUT_IMPORT'!$J$42:$J$1040,'DEF_SELF_SCOUT_IMPORT'!$L$42:$L$1040,"Y",'DEF_SELF_SCOUT_IMPORT'!$E$42:$E$1040,SUBSTITUTE(SUBSTITUTE(SUBSTITUTE($B189,"~","~~"),"*","~*"),"?","~?"),'DEF_SELF_SCOUT_IMPORT'!$Q$42:$Q$1040,SUBSTITUTE(SUBSTITUTE(SUBSTITUTE($M189,"~","~~"),"*","~*"),"?","~?"),'DEF_SELF_SCOUT_IMPORT'!$F$42:$F$1040,SUBSTITUTE(SUBSTITUTE(SUBSTITUTE($N189,"~","~~"),"*","~*"),"?","~?"))/$C189)</f>
        <v>1.0</v>
      </c>
      <c r="E189" s="10">
        <f>IF($C189=0,"",SUMIFS('DEF_SELF_SCOUT_IMPORT'!$K$42:$K$1040,'DEF_SELF_SCOUT_IMPORT'!$L$42:$L$1040,"Y",'DEF_SELF_SCOUT_IMPORT'!$E$42:$E$1040,SUBSTITUTE(SUBSTITUTE(SUBSTITUTE($B189,"~","~~"),"*","~*"),"?","~?"),'DEF_SELF_SCOUT_IMPORT'!$Q$42:$Q$1040,SUBSTITUTE(SUBSTITUTE(SUBSTITUTE($M189,"~","~~"),"*","~*"),"?","~?"),'DEF_SELF_SCOUT_IMPORT'!$F$42:$F$1040,SUBSTITUTE(SUBSTITUTE(SUBSTITUTE($N189,"~","~~"),"*","~*"),"?","~?"))/$C189)</f>
        <v>0.0</v>
      </c>
      <c r="F189" s="11">
        <f>IF($C189=0,"",AVERAGEIFS('DEF_SELF_SCOUT_IMPORT'!$I$42:$I$1040,'DEF_SELF_SCOUT_IMPORT'!$L$42:$L$1040,"Y",'DEF_SELF_SCOUT_IMPORT'!$E$42:$E$1040,SUBSTITUTE(SUBSTITUTE(SUBSTITUTE($B189,"~","~~"),"*","~*"),"?","~?"),'DEF_SELF_SCOUT_IMPORT'!$Q$42:$Q$1040,SUBSTITUTE(SUBSTITUTE(SUBSTITUTE($M189,"~","~~"),"*","~*"),"?","~?"),'DEF_SELF_SCOUT_IMPORT'!$F$42:$F$1040,SUBSTITUTE(SUBSTITUTE(SUBSTITUTE($N189,"~","~~"),"*","~*"),"?","~?")))</f>
        <v>3.0</v>
      </c>
      <c r="G189" s="10">
        <f>IF($C189=0,"",COUNTIFS('DEF_SELF_SCOUT_IMPORT'!$L$42:$L$1040,"Y",'DEF_SELF_SCOUT_IMPORT'!$E$42:$E$1040,SUBSTITUTE(SUBSTITUTE(SUBSTITUTE($B189,"~","~~"),"*","~*"),"?","~?"),'DEF_SELF_SCOUT_IMPORT'!$Q$42:$Q$1040,SUBSTITUTE(SUBSTITUTE(SUBSTITUTE($M189,"~","~~"),"*","~*"),"?","~?"),'DEF_SELF_SCOUT_IMPORT'!$F$42:$F$1040,SUBSTITUTE(SUBSTITUTE(SUBSTITUTE($N189,"~","~~"),"*","~*"),"?","~?"),'DEF_SELF_SCOUT_IMPORT'!$H$42:$H$1040,"RUSH")/$C189)</f>
        <v>1.0</v>
      </c>
      <c r="H189" s="10">
        <f>IF($C189=0,"",COUNTIFS('DEF_SELF_SCOUT_IMPORT'!$L$42:$L$1040,"Y",'DEF_SELF_SCOUT_IMPORT'!$E$42:$E$1040,SUBSTITUTE(SUBSTITUTE(SUBSTITUTE($B189,"~","~~"),"*","~*"),"?","~?"),'DEF_SELF_SCOUT_IMPORT'!$Q$42:$Q$1040,SUBSTITUTE(SUBSTITUTE(SUBSTITUTE($M189,"~","~~"),"*","~*"),"?","~?"),'DEF_SELF_SCOUT_IMPORT'!$F$42:$F$1040,SUBSTITUTE(SUBSTITUTE(SUBSTITUTE($N189,"~","~~"),"*","~*"),"?","~?"),'DEF_SELF_SCOUT_IMPORT'!$H$42:$H$1040,"DROPBACK")/$C189)</f>
        <v>0.0</v>
      </c>
      <c r="I189" s="14" t="str">
        <f>IF(C189=0,"",IF(C189&lt;=2,"TRACK",IF(C189=3,"LOW",IF(C189&lt;=6,"MEDIUM","HIGH"))))</f>
        <v>TRACK</v>
      </c>
      <c r="J189" s="11">
        <f>IF(C189=0,"",ROUND(D189*70+(1-E189)*20+MAX(0,MIN(1,(10-F189)/10))*10,1))</f>
        <v>97.0</v>
      </c>
      <c r="K189" s="14" t="str">
        <f>IF(C189=0,"No Evidence",IF(C189&lt;=2,IF(E189&gt;0,"Explosive Alert","Track Only"),IF(C189=3,"Sample Watch",IF(E189&gt;=START_HERE!$B$31,"Explosive Alert",IF(J189&gt;=80,"Strong Candidate",IF(J189&gt;=65,"Good Candidate",IF(J189&gt;=50,"Mixed / Review","Problem Call")))))))</f>
        <v>Track Only</v>
      </c>
      <c r="L189" s="9" t="str">
        <f>IF(COUNTIFS('DEF_SELF_SCOUT_IMPORT'!$L$42:$L$1040,"Y",'DEF_SELF_SCOUT_IMPORT'!$E$42:$E$1040,SUBSTITUTE(SUBSTITUTE(SUBSTITUTE($B189,"~","~~"),"*","~*"),"?","~?"),'DEF_SELF_SCOUT_IMPORT'!$Q$42:$Q$1040,SUBSTITUTE(SUBSTITUTE(SUBSTITUTE($M189,"~","~~"),"*","~*"),"?","~?"),'DEF_SELF_SCOUT_IMPORT'!$F$42:$F$1040,SUBSTITUTE(SUBSTITUTE(SUBSTITUTE($N189,"~","~~"),"*","~*"),"?","~?"),'DEF_SELF_SCOUT_IMPORT'!$J$42:$J$1040,"")&gt;0,"Unscored clean outcome; review result tags before using score.",IF(C189=0,"No matching defensive reps; film confirmation needed.",IF(K189="Explosive Alert","Explosive risk; review clips before using as answer.",IF(C189&lt;=2,"Track only; not enough sample.",IF(C189=3,IF(E189&gt;0,"Sample watch with explosive exposure; review clips and build the sample.",IF(J189&gt;=65,"Good signal, but sample is limited.","Sample watch; review clips and build the sample.")),IF(K189="Problem Call","Problem area; practice or call-sheet review.",IF(K189="Strong Candidate","Strong call-fit candidate; confirm on film.",IF(K189="Good Candidate","Good call-fit signal; confirm on film.","Mixed signal; review fit and execution on film."))))))))</f>
        <v>Track only; not enough sample.</v>
      </c>
      <c r="M189" s="8" t="s">
        <v>31</v>
      </c>
      <c r="N189" s="8" t="s">
        <v>120</v>
      </c>
      <c r="O189" s="8"/>
      <c r="P189" s="8"/>
      <c r="Q189" s="8"/>
      <c r="R189" s="8" t="s">
        <v>28</v>
      </c>
      <c r="S189" s="2" t="s">
        <v>126</v>
      </c>
      <c r="T189" s="2">
        <f>IF(C189=0,0,IF(C189&gt;=CALL_LOOKUP_BOARD!$B$7,IF(OR(K189="Problem Call",K189="Explosive Alert"),10000000,20000000),0)+IF(C189&gt;=CALL_LOOKUP_BOARD!$B$7,J189*1000+MIN(C189,999),C189*1000+J189)+0.00999600)</f>
        <v>1097.009996</v>
      </c>
      <c r="U189" s="2">
        <f>IF(C189=0,"",IF(COUNTIFS($S$186:$S$367,SUBSTITUTE(SUBSTITUTE(SUBSTITUTE(S189,"~","~~"),"*","~*"),"?","~?"),$T$186:$T$367,"&gt;"&amp;T189)=0,S189,""))</f>
        <v/>
      </c>
    </row>
    <row r="190" spans="1:21" ht="38" customHeight="1">
      <c r="A190" s="8" t="s">
        <v>127</v>
      </c>
      <c r="B190" s="8" t="s">
        <v>35</v>
      </c>
      <c r="C190" s="12">
        <f>COUNTIFS('DEF_SELF_SCOUT_IMPORT'!$L$42:$L$1040,"Y",'DEF_SELF_SCOUT_IMPORT'!$E$42:$E$1040,SUBSTITUTE(SUBSTITUTE(SUBSTITUTE($B190,"~","~~"),"*","~*"),"?","~?"),'DEF_SELF_SCOUT_IMPORT'!$Q$42:$Q$1040,SUBSTITUTE(SUBSTITUTE(SUBSTITUTE($M190,"~","~~"),"*","~*"),"?","~?"),'DEF_SELF_SCOUT_IMPORT'!$F$42:$F$1040,SUBSTITUTE(SUBSTITUTE(SUBSTITUTE($N190,"~","~~"),"*","~*"),"?","~?"))</f>
        <v>1</v>
      </c>
      <c r="D190" s="10">
        <f>IF($C190=0,"",SUMIFS('DEF_SELF_SCOUT_IMPORT'!$J$42:$J$1040,'DEF_SELF_SCOUT_IMPORT'!$L$42:$L$1040,"Y",'DEF_SELF_SCOUT_IMPORT'!$E$42:$E$1040,SUBSTITUTE(SUBSTITUTE(SUBSTITUTE($B190,"~","~~"),"*","~*"),"?","~?"),'DEF_SELF_SCOUT_IMPORT'!$Q$42:$Q$1040,SUBSTITUTE(SUBSTITUTE(SUBSTITUTE($M190,"~","~~"),"*","~*"),"?","~?"),'DEF_SELF_SCOUT_IMPORT'!$F$42:$F$1040,SUBSTITUTE(SUBSTITUTE(SUBSTITUTE($N190,"~","~~"),"*","~*"),"?","~?"))/$C190)</f>
        <v>0.0</v>
      </c>
      <c r="E190" s="10">
        <f>IF($C190=0,"",SUMIFS('DEF_SELF_SCOUT_IMPORT'!$K$42:$K$1040,'DEF_SELF_SCOUT_IMPORT'!$L$42:$L$1040,"Y",'DEF_SELF_SCOUT_IMPORT'!$E$42:$E$1040,SUBSTITUTE(SUBSTITUTE(SUBSTITUTE($B190,"~","~~"),"*","~*"),"?","~?"),'DEF_SELF_SCOUT_IMPORT'!$Q$42:$Q$1040,SUBSTITUTE(SUBSTITUTE(SUBSTITUTE($M190,"~","~~"),"*","~*"),"?","~?"),'DEF_SELF_SCOUT_IMPORT'!$F$42:$F$1040,SUBSTITUTE(SUBSTITUTE(SUBSTITUTE($N190,"~","~~"),"*","~*"),"?","~?"))/$C190)</f>
        <v>0.0</v>
      </c>
      <c r="F190" s="11">
        <f>IF($C190=0,"",AVERAGEIFS('DEF_SELF_SCOUT_IMPORT'!$I$42:$I$1040,'DEF_SELF_SCOUT_IMPORT'!$L$42:$L$1040,"Y",'DEF_SELF_SCOUT_IMPORT'!$E$42:$E$1040,SUBSTITUTE(SUBSTITUTE(SUBSTITUTE($B190,"~","~~"),"*","~*"),"?","~?"),'DEF_SELF_SCOUT_IMPORT'!$Q$42:$Q$1040,SUBSTITUTE(SUBSTITUTE(SUBSTITUTE($M190,"~","~~"),"*","~*"),"?","~?"),'DEF_SELF_SCOUT_IMPORT'!$F$42:$F$1040,SUBSTITUTE(SUBSTITUTE(SUBSTITUTE($N190,"~","~~"),"*","~*"),"?","~?")))</f>
        <v>9.0</v>
      </c>
      <c r="G190" s="10">
        <f>IF($C190=0,"",COUNTIFS('DEF_SELF_SCOUT_IMPORT'!$L$42:$L$1040,"Y",'DEF_SELF_SCOUT_IMPORT'!$E$42:$E$1040,SUBSTITUTE(SUBSTITUTE(SUBSTITUTE($B190,"~","~~"),"*","~*"),"?","~?"),'DEF_SELF_SCOUT_IMPORT'!$Q$42:$Q$1040,SUBSTITUTE(SUBSTITUTE(SUBSTITUTE($M190,"~","~~"),"*","~*"),"?","~?"),'DEF_SELF_SCOUT_IMPORT'!$F$42:$F$1040,SUBSTITUTE(SUBSTITUTE(SUBSTITUTE($N190,"~","~~"),"*","~*"),"?","~?"),'DEF_SELF_SCOUT_IMPORT'!$H$42:$H$1040,"RUSH")/$C190)</f>
        <v>1.0</v>
      </c>
      <c r="H190" s="10">
        <f>IF($C190=0,"",COUNTIFS('DEF_SELF_SCOUT_IMPORT'!$L$42:$L$1040,"Y",'DEF_SELF_SCOUT_IMPORT'!$E$42:$E$1040,SUBSTITUTE(SUBSTITUTE(SUBSTITUTE($B190,"~","~~"),"*","~*"),"?","~?"),'DEF_SELF_SCOUT_IMPORT'!$Q$42:$Q$1040,SUBSTITUTE(SUBSTITUTE(SUBSTITUTE($M190,"~","~~"),"*","~*"),"?","~?"),'DEF_SELF_SCOUT_IMPORT'!$F$42:$F$1040,SUBSTITUTE(SUBSTITUTE(SUBSTITUTE($N190,"~","~~"),"*","~*"),"?","~?"),'DEF_SELF_SCOUT_IMPORT'!$H$42:$H$1040,"DROPBACK")/$C190)</f>
        <v>0.0</v>
      </c>
      <c r="I190" s="14" t="str">
        <f>IF(C190=0,"",IF(C190&lt;=2,"TRACK",IF(C190=3,"LOW",IF(C190&lt;=6,"MEDIUM","HIGH"))))</f>
        <v>TRACK</v>
      </c>
      <c r="J190" s="11">
        <f>IF(C190=0,"",ROUND(D190*70+(1-E190)*20+MAX(0,MIN(1,(10-F190)/10))*10,1))</f>
        <v>21.0</v>
      </c>
      <c r="K190" s="14" t="str">
        <f>IF(C190=0,"No Evidence",IF(C190&lt;=2,IF(E190&gt;0,"Explosive Alert","Track Only"),IF(C190=3,"Sample Watch",IF(E190&gt;=START_HERE!$B$31,"Explosive Alert",IF(J190&gt;=80,"Strong Candidate",IF(J190&gt;=65,"Good Candidate",IF(J190&gt;=50,"Mixed / Review","Problem Call")))))))</f>
        <v>Track Only</v>
      </c>
      <c r="L190" s="9" t="str">
        <f>IF(COUNTIFS('DEF_SELF_SCOUT_IMPORT'!$L$42:$L$1040,"Y",'DEF_SELF_SCOUT_IMPORT'!$E$42:$E$1040,SUBSTITUTE(SUBSTITUTE(SUBSTITUTE($B190,"~","~~"),"*","~*"),"?","~?"),'DEF_SELF_SCOUT_IMPORT'!$Q$42:$Q$1040,SUBSTITUTE(SUBSTITUTE(SUBSTITUTE($M190,"~","~~"),"*","~*"),"?","~?"),'DEF_SELF_SCOUT_IMPORT'!$F$42:$F$1040,SUBSTITUTE(SUBSTITUTE(SUBSTITUTE($N190,"~","~~"),"*","~*"),"?","~?"),'DEF_SELF_SCOUT_IMPORT'!$J$42:$J$1040,"")&gt;0,"Unscored clean outcome; review result tags before using score.",IF(C190=0,"No matching defensive reps; film confirmation needed.",IF(K190="Explosive Alert","Explosive risk; review clips before using as answer.",IF(C190&lt;=2,"Track only; not enough sample.",IF(C190=3,IF(E190&gt;0,"Sample watch with explosive exposure; review clips and build the sample.",IF(J190&gt;=65,"Good signal, but sample is limited.","Sample watch; review clips and build the sample.")),IF(K190="Problem Call","Problem area; practice or call-sheet review.",IF(K190="Strong Candidate","Strong call-fit candidate; confirm on film.",IF(K190="Good Candidate","Good call-fit signal; confirm on film.","Mixed signal; review fit and execution on film."))))))))</f>
        <v>Track only; not enough sample.</v>
      </c>
      <c r="M190" s="8" t="s">
        <v>31</v>
      </c>
      <c r="N190" s="8" t="s">
        <v>123</v>
      </c>
      <c r="O190" s="8"/>
      <c r="P190" s="8"/>
      <c r="Q190" s="8"/>
      <c r="R190" s="8" t="s">
        <v>28</v>
      </c>
      <c r="S190" s="2" t="s">
        <v>128</v>
      </c>
      <c r="T190" s="2">
        <f>IF(C190=0,0,IF(C190&gt;=CALL_LOOKUP_BOARD!$B$7,IF(OR(K190="Problem Call",K190="Explosive Alert"),10000000,20000000),0)+IF(C190&gt;=CALL_LOOKUP_BOARD!$B$7,J190*1000+MIN(C190,999),C190*1000+J190)+0.00999500)</f>
        <v>1021.009995</v>
      </c>
      <c r="U190" s="2" t="str">
        <f>IF(C190=0,"",IF(COUNTIFS($S$186:$S$367,SUBSTITUTE(SUBSTITUTE(SUBSTITUTE(S190,"~","~~"),"*","~*"),"?","~?"),$T$186:$T$367,"&gt;"&amp;T190)=0,S190,""))</f>
        <v>6:1D 11+|2:12|</v>
      </c>
    </row>
    <row r="191" spans="1:21" ht="38" customHeight="1">
      <c r="A191" s="8" t="s">
        <v>129</v>
      </c>
      <c r="B191" s="8" t="s">
        <v>37</v>
      </c>
      <c r="C191" s="12">
        <f>COUNTIFS('DEF_SELF_SCOUT_IMPORT'!$L$42:$L$1040,"Y",'DEF_SELF_SCOUT_IMPORT'!$E$42:$E$1040,SUBSTITUTE(SUBSTITUTE(SUBSTITUTE($B191,"~","~~"),"*","~*"),"?","~?"),'DEF_SELF_SCOUT_IMPORT'!$Q$42:$Q$1040,SUBSTITUTE(SUBSTITUTE(SUBSTITUTE($M191,"~","~~"),"*","~*"),"?","~?"),'DEF_SELF_SCOUT_IMPORT'!$F$42:$F$1040,SUBSTITUTE(SUBSTITUTE(SUBSTITUTE($N191,"~","~~"),"*","~*"),"?","~?"))</f>
        <v>1</v>
      </c>
      <c r="D191" s="10">
        <f>IF($C191=0,"",SUMIFS('DEF_SELF_SCOUT_IMPORT'!$J$42:$J$1040,'DEF_SELF_SCOUT_IMPORT'!$L$42:$L$1040,"Y",'DEF_SELF_SCOUT_IMPORT'!$E$42:$E$1040,SUBSTITUTE(SUBSTITUTE(SUBSTITUTE($B191,"~","~~"),"*","~*"),"?","~?"),'DEF_SELF_SCOUT_IMPORT'!$Q$42:$Q$1040,SUBSTITUTE(SUBSTITUTE(SUBSTITUTE($M191,"~","~~"),"*","~*"),"?","~?"),'DEF_SELF_SCOUT_IMPORT'!$F$42:$F$1040,SUBSTITUTE(SUBSTITUTE(SUBSTITUTE($N191,"~","~~"),"*","~*"),"?","~?"))/$C191)</f>
        <v>0.0</v>
      </c>
      <c r="E191" s="10">
        <f>IF($C191=0,"",SUMIFS('DEF_SELF_SCOUT_IMPORT'!$K$42:$K$1040,'DEF_SELF_SCOUT_IMPORT'!$L$42:$L$1040,"Y",'DEF_SELF_SCOUT_IMPORT'!$E$42:$E$1040,SUBSTITUTE(SUBSTITUTE(SUBSTITUTE($B191,"~","~~"),"*","~*"),"?","~?"),'DEF_SELF_SCOUT_IMPORT'!$Q$42:$Q$1040,SUBSTITUTE(SUBSTITUTE(SUBSTITUTE($M191,"~","~~"),"*","~*"),"?","~?"),'DEF_SELF_SCOUT_IMPORT'!$F$42:$F$1040,SUBSTITUTE(SUBSTITUTE(SUBSTITUTE($N191,"~","~~"),"*","~*"),"?","~?"))/$C191)</f>
        <v>0.0</v>
      </c>
      <c r="F191" s="11">
        <f>IF($C191=0,"",AVERAGEIFS('DEF_SELF_SCOUT_IMPORT'!$I$42:$I$1040,'DEF_SELF_SCOUT_IMPORT'!$L$42:$L$1040,"Y",'DEF_SELF_SCOUT_IMPORT'!$E$42:$E$1040,SUBSTITUTE(SUBSTITUTE(SUBSTITUTE($B191,"~","~~"),"*","~*"),"?","~?"),'DEF_SELF_SCOUT_IMPORT'!$Q$42:$Q$1040,SUBSTITUTE(SUBSTITUTE(SUBSTITUTE($M191,"~","~~"),"*","~*"),"?","~?"),'DEF_SELF_SCOUT_IMPORT'!$F$42:$F$1040,SUBSTITUTE(SUBSTITUTE(SUBSTITUTE($N191,"~","~~"),"*","~*"),"?","~?")))</f>
        <v>5.0</v>
      </c>
      <c r="G191" s="10">
        <f>IF($C191=0,"",COUNTIFS('DEF_SELF_SCOUT_IMPORT'!$L$42:$L$1040,"Y",'DEF_SELF_SCOUT_IMPORT'!$E$42:$E$1040,SUBSTITUTE(SUBSTITUTE(SUBSTITUTE($B191,"~","~~"),"*","~*"),"?","~?"),'DEF_SELF_SCOUT_IMPORT'!$Q$42:$Q$1040,SUBSTITUTE(SUBSTITUTE(SUBSTITUTE($M191,"~","~~"),"*","~*"),"?","~?"),'DEF_SELF_SCOUT_IMPORT'!$F$42:$F$1040,SUBSTITUTE(SUBSTITUTE(SUBSTITUTE($N191,"~","~~"),"*","~*"),"?","~?"),'DEF_SELF_SCOUT_IMPORT'!$H$42:$H$1040,"RUSH")/$C191)</f>
        <v>0.0</v>
      </c>
      <c r="H191" s="10">
        <f>IF($C191=0,"",COUNTIFS('DEF_SELF_SCOUT_IMPORT'!$L$42:$L$1040,"Y",'DEF_SELF_SCOUT_IMPORT'!$E$42:$E$1040,SUBSTITUTE(SUBSTITUTE(SUBSTITUTE($B191,"~","~~"),"*","~*"),"?","~?"),'DEF_SELF_SCOUT_IMPORT'!$Q$42:$Q$1040,SUBSTITUTE(SUBSTITUTE(SUBSTITUTE($M191,"~","~~"),"*","~*"),"?","~?"),'DEF_SELF_SCOUT_IMPORT'!$F$42:$F$1040,SUBSTITUTE(SUBSTITUTE(SUBSTITUTE($N191,"~","~~"),"*","~*"),"?","~?"),'DEF_SELF_SCOUT_IMPORT'!$H$42:$H$1040,"DROPBACK")/$C191)</f>
        <v>0.0</v>
      </c>
      <c r="I191" s="14" t="str">
        <f>IF(C191=0,"",IF(C191&lt;=2,"TRACK",IF(C191=3,"LOW",IF(C191&lt;=6,"MEDIUM","HIGH"))))</f>
        <v>TRACK</v>
      </c>
      <c r="J191" s="11">
        <f>IF(C191=0,"",ROUND(D191*70+(1-E191)*20+MAX(0,MIN(1,(10-F191)/10))*10,1))</f>
        <v>25.0</v>
      </c>
      <c r="K191" s="14" t="str">
        <f>IF(C191=0,"No Evidence",IF(C191&lt;=2,IF(E191&gt;0,"Explosive Alert","Track Only"),IF(C191=3,"Sample Watch",IF(E191&gt;=START_HERE!$B$31,"Explosive Alert",IF(J191&gt;=80,"Strong Candidate",IF(J191&gt;=65,"Good Candidate",IF(J191&gt;=50,"Mixed / Review","Problem Call")))))))</f>
        <v>Track Only</v>
      </c>
      <c r="L191" s="9" t="str">
        <f>IF(COUNTIFS('DEF_SELF_SCOUT_IMPORT'!$L$42:$L$1040,"Y",'DEF_SELF_SCOUT_IMPORT'!$E$42:$E$1040,SUBSTITUTE(SUBSTITUTE(SUBSTITUTE($B191,"~","~~"),"*","~*"),"?","~?"),'DEF_SELF_SCOUT_IMPORT'!$Q$42:$Q$1040,SUBSTITUTE(SUBSTITUTE(SUBSTITUTE($M191,"~","~~"),"*","~*"),"?","~?"),'DEF_SELF_SCOUT_IMPORT'!$F$42:$F$1040,SUBSTITUTE(SUBSTITUTE(SUBSTITUTE($N191,"~","~~"),"*","~*"),"?","~?"),'DEF_SELF_SCOUT_IMPORT'!$J$42:$J$1040,"")&gt;0,"Unscored clean outcome; review result tags before using score.",IF(C191=0,"No matching defensive reps; film confirmation needed.",IF(K191="Explosive Alert","Explosive risk; review clips before using as answer.",IF(C191&lt;=2,"Track only; not enough sample.",IF(C191=3,IF(E191&gt;0,"Sample watch with explosive exposure; review clips and build the sample.",IF(J191&gt;=65,"Good signal, but sample is limited.","Sample watch; review clips and build the sample.")),IF(K191="Problem Call","Problem area; practice or call-sheet review.",IF(K191="Strong Candidate","Strong call-fit candidate; confirm on film.",IF(K191="Good Candidate","Good call-fit signal; confirm on film.","Mixed signal; review fit and execution on film."))))))))</f>
        <v>Track only; not enough sample.</v>
      </c>
      <c r="M191" s="8" t="s">
        <v>36</v>
      </c>
      <c r="N191" s="8" t="s">
        <v>123</v>
      </c>
      <c r="O191" s="8"/>
      <c r="P191" s="8"/>
      <c r="Q191" s="8"/>
      <c r="R191" s="8" t="s">
        <v>28</v>
      </c>
      <c r="S191" s="2" t="s">
        <v>130</v>
      </c>
      <c r="T191" s="2">
        <f>IF(C191=0,0,IF(C191&gt;=CALL_LOOKUP_BOARD!$B$7,IF(OR(K191="Problem Call",K191="Explosive Alert"),10000000,20000000),0)+IF(C191&gt;=CALL_LOOKUP_BOARD!$B$7,J191*1000+MIN(C191,999),C191*1000+J191)+0.00999400)</f>
        <v>1025.009994</v>
      </c>
      <c r="U191" s="2">
        <f>IF(C191=0,"",IF(COUNTIFS($S$186:$S$367,SUBSTITUTE(SUBSTITUTE(SUBSTITUTE(S191,"~","~~"),"*","~*"),"?","~?"),$T$186:$T$367,"&gt;"&amp;T191)=0,S191,""))</f>
        <v/>
      </c>
    </row>
    <row r="192" spans="1:21" ht="38" customHeight="1">
      <c r="A192" s="8" t="s">
        <v>129</v>
      </c>
      <c r="B192" s="8" t="s">
        <v>35</v>
      </c>
      <c r="C192" s="12">
        <f>COUNTIFS('DEF_SELF_SCOUT_IMPORT'!$L$42:$L$1040,"Y",'DEF_SELF_SCOUT_IMPORT'!$E$42:$E$1040,SUBSTITUTE(SUBSTITUTE(SUBSTITUTE($B192,"~","~~"),"*","~*"),"?","~?"),'DEF_SELF_SCOUT_IMPORT'!$Q$42:$Q$1040,SUBSTITUTE(SUBSTITUTE(SUBSTITUTE($M192,"~","~~"),"*","~*"),"?","~?"),'DEF_SELF_SCOUT_IMPORT'!$F$42:$F$1040,SUBSTITUTE(SUBSTITUTE(SUBSTITUTE($N192,"~","~~"),"*","~*"),"?","~?"))</f>
        <v>1</v>
      </c>
      <c r="D192" s="10">
        <f>IF($C192=0,"",SUMIFS('DEF_SELF_SCOUT_IMPORT'!$J$42:$J$1040,'DEF_SELF_SCOUT_IMPORT'!$L$42:$L$1040,"Y",'DEF_SELF_SCOUT_IMPORT'!$E$42:$E$1040,SUBSTITUTE(SUBSTITUTE(SUBSTITUTE($B192,"~","~~"),"*","~*"),"?","~?"),'DEF_SELF_SCOUT_IMPORT'!$Q$42:$Q$1040,SUBSTITUTE(SUBSTITUTE(SUBSTITUTE($M192,"~","~~"),"*","~*"),"?","~?"),'DEF_SELF_SCOUT_IMPORT'!$F$42:$F$1040,SUBSTITUTE(SUBSTITUTE(SUBSTITUTE($N192,"~","~~"),"*","~*"),"?","~?"))/$C192)</f>
        <v>1.0</v>
      </c>
      <c r="E192" s="10">
        <f>IF($C192=0,"",SUMIFS('DEF_SELF_SCOUT_IMPORT'!$K$42:$K$1040,'DEF_SELF_SCOUT_IMPORT'!$L$42:$L$1040,"Y",'DEF_SELF_SCOUT_IMPORT'!$E$42:$E$1040,SUBSTITUTE(SUBSTITUTE(SUBSTITUTE($B192,"~","~~"),"*","~*"),"?","~?"),'DEF_SELF_SCOUT_IMPORT'!$Q$42:$Q$1040,SUBSTITUTE(SUBSTITUTE(SUBSTITUTE($M192,"~","~~"),"*","~*"),"?","~?"),'DEF_SELF_SCOUT_IMPORT'!$F$42:$F$1040,SUBSTITUTE(SUBSTITUTE(SUBSTITUTE($N192,"~","~~"),"*","~*"),"?","~?"))/$C192)</f>
        <v>0.0</v>
      </c>
      <c r="F192" s="11">
        <f>IF($C192=0,"",AVERAGEIFS('DEF_SELF_SCOUT_IMPORT'!$I$42:$I$1040,'DEF_SELF_SCOUT_IMPORT'!$L$42:$L$1040,"Y",'DEF_SELF_SCOUT_IMPORT'!$E$42:$E$1040,SUBSTITUTE(SUBSTITUTE(SUBSTITUTE($B192,"~","~~"),"*","~*"),"?","~?"),'DEF_SELF_SCOUT_IMPORT'!$Q$42:$Q$1040,SUBSTITUTE(SUBSTITUTE(SUBSTITUTE($M192,"~","~~"),"*","~*"),"?","~?"),'DEF_SELF_SCOUT_IMPORT'!$F$42:$F$1040,SUBSTITUTE(SUBSTITUTE(SUBSTITUTE($N192,"~","~~"),"*","~*"),"?","~?")))</f>
        <v>5.0</v>
      </c>
      <c r="G192" s="10">
        <f>IF($C192=0,"",COUNTIFS('DEF_SELF_SCOUT_IMPORT'!$L$42:$L$1040,"Y",'DEF_SELF_SCOUT_IMPORT'!$E$42:$E$1040,SUBSTITUTE(SUBSTITUTE(SUBSTITUTE($B192,"~","~~"),"*","~*"),"?","~?"),'DEF_SELF_SCOUT_IMPORT'!$Q$42:$Q$1040,SUBSTITUTE(SUBSTITUTE(SUBSTITUTE($M192,"~","~~"),"*","~*"),"?","~?"),'DEF_SELF_SCOUT_IMPORT'!$F$42:$F$1040,SUBSTITUTE(SUBSTITUTE(SUBSTITUTE($N192,"~","~~"),"*","~*"),"?","~?"),'DEF_SELF_SCOUT_IMPORT'!$H$42:$H$1040,"RUSH")/$C192)</f>
        <v>0.0</v>
      </c>
      <c r="H192" s="10">
        <f>IF($C192=0,"",COUNTIFS('DEF_SELF_SCOUT_IMPORT'!$L$42:$L$1040,"Y",'DEF_SELF_SCOUT_IMPORT'!$E$42:$E$1040,SUBSTITUTE(SUBSTITUTE(SUBSTITUTE($B192,"~","~~"),"*","~*"),"?","~?"),'DEF_SELF_SCOUT_IMPORT'!$Q$42:$Q$1040,SUBSTITUTE(SUBSTITUTE(SUBSTITUTE($M192,"~","~~"),"*","~*"),"?","~?"),'DEF_SELF_SCOUT_IMPORT'!$F$42:$F$1040,SUBSTITUTE(SUBSTITUTE(SUBSTITUTE($N192,"~","~~"),"*","~*"),"?","~?"),'DEF_SELF_SCOUT_IMPORT'!$H$42:$H$1040,"DROPBACK")/$C192)</f>
        <v>1.0</v>
      </c>
      <c r="I192" s="14" t="str">
        <f>IF(C192=0,"",IF(C192&lt;=2,"TRACK",IF(C192=3,"LOW",IF(C192&lt;=6,"MEDIUM","HIGH"))))</f>
        <v>TRACK</v>
      </c>
      <c r="J192" s="11">
        <f>IF(C192=0,"",ROUND(D192*70+(1-E192)*20+MAX(0,MIN(1,(10-F192)/10))*10,1))</f>
        <v>95.0</v>
      </c>
      <c r="K192" s="14" t="str">
        <f>IF(C192=0,"No Evidence",IF(C192&lt;=2,IF(E192&gt;0,"Explosive Alert","Track Only"),IF(C192=3,"Sample Watch",IF(E192&gt;=START_HERE!$B$31,"Explosive Alert",IF(J192&gt;=80,"Strong Candidate",IF(J192&gt;=65,"Good Candidate",IF(J192&gt;=50,"Mixed / Review","Problem Call")))))))</f>
        <v>Track Only</v>
      </c>
      <c r="L192" s="9" t="str">
        <f>IF(COUNTIFS('DEF_SELF_SCOUT_IMPORT'!$L$42:$L$1040,"Y",'DEF_SELF_SCOUT_IMPORT'!$E$42:$E$1040,SUBSTITUTE(SUBSTITUTE(SUBSTITUTE($B192,"~","~~"),"*","~*"),"?","~?"),'DEF_SELF_SCOUT_IMPORT'!$Q$42:$Q$1040,SUBSTITUTE(SUBSTITUTE(SUBSTITUTE($M192,"~","~~"),"*","~*"),"?","~?"),'DEF_SELF_SCOUT_IMPORT'!$F$42:$F$1040,SUBSTITUTE(SUBSTITUTE(SUBSTITUTE($N192,"~","~~"),"*","~*"),"?","~?"),'DEF_SELF_SCOUT_IMPORT'!$J$42:$J$1040,"")&gt;0,"Unscored clean outcome; review result tags before using score.",IF(C192=0,"No matching defensive reps; film confirmation needed.",IF(K192="Explosive Alert","Explosive risk; review clips before using as answer.",IF(C192&lt;=2,"Track only; not enough sample.",IF(C192=3,IF(E192&gt;0,"Sample watch with explosive exposure; review clips and build the sample.",IF(J192&gt;=65,"Good signal, but sample is limited.","Sample watch; review clips and build the sample.")),IF(K192="Problem Call","Problem area; practice or call-sheet review.",IF(K192="Strong Candidate","Strong call-fit candidate; confirm on film.",IF(K192="Good Candidate","Good call-fit signal; confirm on film.","Mixed signal; review fit and execution on film."))))))))</f>
        <v>Track only; not enough sample.</v>
      </c>
      <c r="M192" s="8" t="s">
        <v>36</v>
      </c>
      <c r="N192" s="8" t="s">
        <v>123</v>
      </c>
      <c r="O192" s="8"/>
      <c r="P192" s="8"/>
      <c r="Q192" s="8"/>
      <c r="R192" s="8" t="s">
        <v>28</v>
      </c>
      <c r="S192" s="2" t="s">
        <v>130</v>
      </c>
      <c r="T192" s="2">
        <f>IF(C192=0,0,IF(C192&gt;=CALL_LOOKUP_BOARD!$B$7,IF(OR(K192="Problem Call",K192="Explosive Alert"),10000000,20000000),0)+IF(C192&gt;=CALL_LOOKUP_BOARD!$B$7,J192*1000+MIN(C192,999),C192*1000+J192)+0.00999300)</f>
        <v>1095.009993</v>
      </c>
      <c r="U192" s="2" t="str">
        <f>IF(C192=0,"",IF(COUNTIFS($S$186:$S$367,SUBSTITUTE(SUBSTITUTE(SUBSTITUTE(S192,"~","~~"),"*","~*"),"?","~?"),$T$186:$T$367,"&gt;"&amp;T192)=0,S192,""))</f>
        <v>6:1D 4-6|2:12|</v>
      </c>
    </row>
    <row r="193" spans="1:21" ht="38" customHeight="1">
      <c r="A193" s="8" t="s">
        <v>131</v>
      </c>
      <c r="B193" s="8" t="s">
        <v>44</v>
      </c>
      <c r="C193" s="12">
        <f>COUNTIFS('DEF_SELF_SCOUT_IMPORT'!$L$42:$L$1040,"Y",'DEF_SELF_SCOUT_IMPORT'!$E$42:$E$1040,SUBSTITUTE(SUBSTITUTE(SUBSTITUTE($B193,"~","~~"),"*","~*"),"?","~?"),'DEF_SELF_SCOUT_IMPORT'!$Q$42:$Q$1040,SUBSTITUTE(SUBSTITUTE(SUBSTITUTE($M193,"~","~~"),"*","~*"),"?","~?"),'DEF_SELF_SCOUT_IMPORT'!$F$42:$F$1040,SUBSTITUTE(SUBSTITUTE(SUBSTITUTE($N193,"~","~~"),"*","~*"),"?","~?"))</f>
        <v>2</v>
      </c>
      <c r="D193" s="10">
        <f>IF($C193=0,"",SUMIFS('DEF_SELF_SCOUT_IMPORT'!$J$42:$J$1040,'DEF_SELF_SCOUT_IMPORT'!$L$42:$L$1040,"Y",'DEF_SELF_SCOUT_IMPORT'!$E$42:$E$1040,SUBSTITUTE(SUBSTITUTE(SUBSTITUTE($B193,"~","~~"),"*","~*"),"?","~?"),'DEF_SELF_SCOUT_IMPORT'!$Q$42:$Q$1040,SUBSTITUTE(SUBSTITUTE(SUBSTITUTE($M193,"~","~~"),"*","~*"),"?","~?"),'DEF_SELF_SCOUT_IMPORT'!$F$42:$F$1040,SUBSTITUTE(SUBSTITUTE(SUBSTITUTE($N193,"~","~~"),"*","~*"),"?","~?"))/$C193)</f>
        <v>0.0</v>
      </c>
      <c r="E193" s="10">
        <f>IF($C193=0,"",SUMIFS('DEF_SELF_SCOUT_IMPORT'!$K$42:$K$1040,'DEF_SELF_SCOUT_IMPORT'!$L$42:$L$1040,"Y",'DEF_SELF_SCOUT_IMPORT'!$E$42:$E$1040,SUBSTITUTE(SUBSTITUTE(SUBSTITUTE($B193,"~","~~"),"*","~*"),"?","~?"),'DEF_SELF_SCOUT_IMPORT'!$Q$42:$Q$1040,SUBSTITUTE(SUBSTITUTE(SUBSTITUTE($M193,"~","~~"),"*","~*"),"?","~?"),'DEF_SELF_SCOUT_IMPORT'!$F$42:$F$1040,SUBSTITUTE(SUBSTITUTE(SUBSTITUTE($N193,"~","~~"),"*","~*"),"?","~?"))/$C193)</f>
        <v>0.0</v>
      </c>
      <c r="F193" s="11">
        <f>IF($C193=0,"",AVERAGEIFS('DEF_SELF_SCOUT_IMPORT'!$I$42:$I$1040,'DEF_SELF_SCOUT_IMPORT'!$L$42:$L$1040,"Y",'DEF_SELF_SCOUT_IMPORT'!$E$42:$E$1040,SUBSTITUTE(SUBSTITUTE(SUBSTITUTE($B193,"~","~~"),"*","~*"),"?","~?"),'DEF_SELF_SCOUT_IMPORT'!$Q$42:$Q$1040,SUBSTITUTE(SUBSTITUTE(SUBSTITUTE($M193,"~","~~"),"*","~*"),"?","~?"),'DEF_SELF_SCOUT_IMPORT'!$F$42:$F$1040,SUBSTITUTE(SUBSTITUTE(SUBSTITUTE($N193,"~","~~"),"*","~*"),"?","~?")))</f>
        <v>6.0</v>
      </c>
      <c r="G193" s="10">
        <f>IF($C193=0,"",COUNTIFS('DEF_SELF_SCOUT_IMPORT'!$L$42:$L$1040,"Y",'DEF_SELF_SCOUT_IMPORT'!$E$42:$E$1040,SUBSTITUTE(SUBSTITUTE(SUBSTITUTE($B193,"~","~~"),"*","~*"),"?","~?"),'DEF_SELF_SCOUT_IMPORT'!$Q$42:$Q$1040,SUBSTITUTE(SUBSTITUTE(SUBSTITUTE($M193,"~","~~"),"*","~*"),"?","~?"),'DEF_SELF_SCOUT_IMPORT'!$F$42:$F$1040,SUBSTITUTE(SUBSTITUTE(SUBSTITUTE($N193,"~","~~"),"*","~*"),"?","~?"),'DEF_SELF_SCOUT_IMPORT'!$H$42:$H$1040,"RUSH")/$C193)</f>
        <v>1.0</v>
      </c>
      <c r="H193" s="10">
        <f>IF($C193=0,"",COUNTIFS('DEF_SELF_SCOUT_IMPORT'!$L$42:$L$1040,"Y",'DEF_SELF_SCOUT_IMPORT'!$E$42:$E$1040,SUBSTITUTE(SUBSTITUTE(SUBSTITUTE($B193,"~","~~"),"*","~*"),"?","~?"),'DEF_SELF_SCOUT_IMPORT'!$Q$42:$Q$1040,SUBSTITUTE(SUBSTITUTE(SUBSTITUTE($M193,"~","~~"),"*","~*"),"?","~?"),'DEF_SELF_SCOUT_IMPORT'!$F$42:$F$1040,SUBSTITUTE(SUBSTITUTE(SUBSTITUTE($N193,"~","~~"),"*","~*"),"?","~?"),'DEF_SELF_SCOUT_IMPORT'!$H$42:$H$1040,"DROPBACK")/$C193)</f>
        <v>0.0</v>
      </c>
      <c r="I193" s="14" t="str">
        <f>IF(C193=0,"",IF(C193&lt;=2,"TRACK",IF(C193=3,"LOW",IF(C193&lt;=6,"MEDIUM","HIGH"))))</f>
        <v>TRACK</v>
      </c>
      <c r="J193" s="11">
        <f>IF(C193=0,"",ROUND(D193*70+(1-E193)*20+MAX(0,MIN(1,(10-F193)/10))*10,1))</f>
        <v>24.0</v>
      </c>
      <c r="K193" s="14" t="str">
        <f>IF(C193=0,"No Evidence",IF(C193&lt;=2,IF(E193&gt;0,"Explosive Alert","Track Only"),IF(C193=3,"Sample Watch",IF(E193&gt;=START_HERE!$B$31,"Explosive Alert",IF(J193&gt;=80,"Strong Candidate",IF(J193&gt;=65,"Good Candidate",IF(J193&gt;=50,"Mixed / Review","Problem Call")))))))</f>
        <v>Track Only</v>
      </c>
      <c r="L193" s="9" t="str">
        <f>IF(COUNTIFS('DEF_SELF_SCOUT_IMPORT'!$L$42:$L$1040,"Y",'DEF_SELF_SCOUT_IMPORT'!$E$42:$E$1040,SUBSTITUTE(SUBSTITUTE(SUBSTITUTE($B193,"~","~~"),"*","~*"),"?","~?"),'DEF_SELF_SCOUT_IMPORT'!$Q$42:$Q$1040,SUBSTITUTE(SUBSTITUTE(SUBSTITUTE($M193,"~","~~"),"*","~*"),"?","~?"),'DEF_SELF_SCOUT_IMPORT'!$F$42:$F$1040,SUBSTITUTE(SUBSTITUTE(SUBSTITUTE($N193,"~","~~"),"*","~*"),"?","~?"),'DEF_SELF_SCOUT_IMPORT'!$J$42:$J$1040,"")&gt;0,"Unscored clean outcome; review result tags before using score.",IF(C193=0,"No matching defensive reps; film confirmation needed.",IF(K193="Explosive Alert","Explosive risk; review clips before using as answer.",IF(C193&lt;=2,"Track only; not enough sample.",IF(C193=3,IF(E193&gt;0,"Sample watch with explosive exposure; review clips and build the sample.",IF(J193&gt;=65,"Good signal, but sample is limited.","Sample watch; review clips and build the sample.")),IF(K193="Problem Call","Problem area; practice or call-sheet review.",IF(K193="Strong Candidate","Strong call-fit candidate; confirm on film.",IF(K193="Good Candidate","Good call-fit signal; confirm on film.","Mixed signal; review fit and execution on film."))))))))</f>
        <v>Track only; not enough sample.</v>
      </c>
      <c r="M193" s="8" t="s">
        <v>39</v>
      </c>
      <c r="N193" s="8" t="s">
        <v>132</v>
      </c>
      <c r="O193" s="8"/>
      <c r="P193" s="8"/>
      <c r="Q193" s="8"/>
      <c r="R193" s="8" t="s">
        <v>28</v>
      </c>
      <c r="S193" s="2" t="s">
        <v>133</v>
      </c>
      <c r="T193" s="2">
        <f>IF(C193=0,0,IF(C193&gt;=CALL_LOOKUP_BOARD!$B$7,IF(OR(K193="Problem Call",K193="Explosive Alert"),10000000,20000000),0)+IF(C193&gt;=CALL_LOOKUP_BOARD!$B$7,J193*1000+MIN(C193,999),C193*1000+J193)+0.00999200)</f>
        <v>2024.009992</v>
      </c>
      <c r="U193" s="2" t="str">
        <f>IF(C193=0,"",IF(COUNTIFS($S$186:$S$367,SUBSTITUTE(SUBSTITUTE(SUBSTITUTE(S193,"~","~~"),"*","~*"),"?","~?"),$T$186:$T$367,"&gt;"&amp;T193)=0,S193,""))</f>
        <v>7:1D 7-10|2:00|</v>
      </c>
    </row>
    <row r="194" spans="1:21" ht="38" customHeight="1">
      <c r="A194" s="8" t="s">
        <v>131</v>
      </c>
      <c r="B194" s="8" t="s">
        <v>56</v>
      </c>
      <c r="C194" s="12">
        <f>COUNTIFS('DEF_SELF_SCOUT_IMPORT'!$L$42:$L$1040,"Y",'DEF_SELF_SCOUT_IMPORT'!$E$42:$E$1040,SUBSTITUTE(SUBSTITUTE(SUBSTITUTE($B194,"~","~~"),"*","~*"),"?","~?"),'DEF_SELF_SCOUT_IMPORT'!$Q$42:$Q$1040,SUBSTITUTE(SUBSTITUTE(SUBSTITUTE($M194,"~","~~"),"*","~*"),"?","~?"),'DEF_SELF_SCOUT_IMPORT'!$F$42:$F$1040,SUBSTITUTE(SUBSTITUTE(SUBSTITUTE($N194,"~","~~"),"*","~*"),"?","~?"))</f>
        <v>1</v>
      </c>
      <c r="D194" s="10">
        <f>IF($C194=0,"",SUMIFS('DEF_SELF_SCOUT_IMPORT'!$J$42:$J$1040,'DEF_SELF_SCOUT_IMPORT'!$L$42:$L$1040,"Y",'DEF_SELF_SCOUT_IMPORT'!$E$42:$E$1040,SUBSTITUTE(SUBSTITUTE(SUBSTITUTE($B194,"~","~~"),"*","~*"),"?","~?"),'DEF_SELF_SCOUT_IMPORT'!$Q$42:$Q$1040,SUBSTITUTE(SUBSTITUTE(SUBSTITUTE($M194,"~","~~"),"*","~*"),"?","~?"),'DEF_SELF_SCOUT_IMPORT'!$F$42:$F$1040,SUBSTITUTE(SUBSTITUTE(SUBSTITUTE($N194,"~","~~"),"*","~*"),"?","~?"))/$C194)</f>
        <v>0.0</v>
      </c>
      <c r="E194" s="10">
        <f>IF($C194=0,"",SUMIFS('DEF_SELF_SCOUT_IMPORT'!$K$42:$K$1040,'DEF_SELF_SCOUT_IMPORT'!$L$42:$L$1040,"Y",'DEF_SELF_SCOUT_IMPORT'!$E$42:$E$1040,SUBSTITUTE(SUBSTITUTE(SUBSTITUTE($B194,"~","~~"),"*","~*"),"?","~?"),'DEF_SELF_SCOUT_IMPORT'!$Q$42:$Q$1040,SUBSTITUTE(SUBSTITUTE(SUBSTITUTE($M194,"~","~~"),"*","~*"),"?","~?"),'DEF_SELF_SCOUT_IMPORT'!$F$42:$F$1040,SUBSTITUTE(SUBSTITUTE(SUBSTITUTE($N194,"~","~~"),"*","~*"),"?","~?"))/$C194)</f>
        <v>0.0</v>
      </c>
      <c r="F194" s="11">
        <f>IF($C194=0,"",AVERAGEIFS('DEF_SELF_SCOUT_IMPORT'!$I$42:$I$1040,'DEF_SELF_SCOUT_IMPORT'!$L$42:$L$1040,"Y",'DEF_SELF_SCOUT_IMPORT'!$E$42:$E$1040,SUBSTITUTE(SUBSTITUTE(SUBSTITUTE($B194,"~","~~"),"*","~*"),"?","~?"),'DEF_SELF_SCOUT_IMPORT'!$Q$42:$Q$1040,SUBSTITUTE(SUBSTITUTE(SUBSTITUTE($M194,"~","~~"),"*","~*"),"?","~?"),'DEF_SELF_SCOUT_IMPORT'!$F$42:$F$1040,SUBSTITUTE(SUBSTITUTE(SUBSTITUTE($N194,"~","~~"),"*","~*"),"?","~?")))</f>
        <v>4.0</v>
      </c>
      <c r="G194" s="10">
        <f>IF($C194=0,"",COUNTIFS('DEF_SELF_SCOUT_IMPORT'!$L$42:$L$1040,"Y",'DEF_SELF_SCOUT_IMPORT'!$E$42:$E$1040,SUBSTITUTE(SUBSTITUTE(SUBSTITUTE($B194,"~","~~"),"*","~*"),"?","~?"),'DEF_SELF_SCOUT_IMPORT'!$Q$42:$Q$1040,SUBSTITUTE(SUBSTITUTE(SUBSTITUTE($M194,"~","~~"),"*","~*"),"?","~?"),'DEF_SELF_SCOUT_IMPORT'!$F$42:$F$1040,SUBSTITUTE(SUBSTITUTE(SUBSTITUTE($N194,"~","~~"),"*","~*"),"?","~?"),'DEF_SELF_SCOUT_IMPORT'!$H$42:$H$1040,"RUSH")/$C194)</f>
        <v>1.0</v>
      </c>
      <c r="H194" s="10">
        <f>IF($C194=0,"",COUNTIFS('DEF_SELF_SCOUT_IMPORT'!$L$42:$L$1040,"Y",'DEF_SELF_SCOUT_IMPORT'!$E$42:$E$1040,SUBSTITUTE(SUBSTITUTE(SUBSTITUTE($B194,"~","~~"),"*","~*"),"?","~?"),'DEF_SELF_SCOUT_IMPORT'!$Q$42:$Q$1040,SUBSTITUTE(SUBSTITUTE(SUBSTITUTE($M194,"~","~~"),"*","~*"),"?","~?"),'DEF_SELF_SCOUT_IMPORT'!$F$42:$F$1040,SUBSTITUTE(SUBSTITUTE(SUBSTITUTE($N194,"~","~~"),"*","~*"),"?","~?"),'DEF_SELF_SCOUT_IMPORT'!$H$42:$H$1040,"DROPBACK")/$C194)</f>
        <v>0.0</v>
      </c>
      <c r="I194" s="14" t="str">
        <f>IF(C194=0,"",IF(C194&lt;=2,"TRACK",IF(C194=3,"LOW",IF(C194&lt;=6,"MEDIUM","HIGH"))))</f>
        <v>TRACK</v>
      </c>
      <c r="J194" s="11">
        <f>IF(C194=0,"",ROUND(D194*70+(1-E194)*20+MAX(0,MIN(1,(10-F194)/10))*10,1))</f>
        <v>26.0</v>
      </c>
      <c r="K194" s="14" t="str">
        <f>IF(C194=0,"No Evidence",IF(C194&lt;=2,IF(E194&gt;0,"Explosive Alert","Track Only"),IF(C194=3,"Sample Watch",IF(E194&gt;=START_HERE!$B$31,"Explosive Alert",IF(J194&gt;=80,"Strong Candidate",IF(J194&gt;=65,"Good Candidate",IF(J194&gt;=50,"Mixed / Review","Problem Call")))))))</f>
        <v>Track Only</v>
      </c>
      <c r="L194" s="9" t="str">
        <f>IF(COUNTIFS('DEF_SELF_SCOUT_IMPORT'!$L$42:$L$1040,"Y",'DEF_SELF_SCOUT_IMPORT'!$E$42:$E$1040,SUBSTITUTE(SUBSTITUTE(SUBSTITUTE($B194,"~","~~"),"*","~*"),"?","~?"),'DEF_SELF_SCOUT_IMPORT'!$Q$42:$Q$1040,SUBSTITUTE(SUBSTITUTE(SUBSTITUTE($M194,"~","~~"),"*","~*"),"?","~?"),'DEF_SELF_SCOUT_IMPORT'!$F$42:$F$1040,SUBSTITUTE(SUBSTITUTE(SUBSTITUTE($N194,"~","~~"),"*","~*"),"?","~?"),'DEF_SELF_SCOUT_IMPORT'!$J$42:$J$1040,"")&gt;0,"Unscored clean outcome; review result tags before using score.",IF(C194=0,"No matching defensive reps; film confirmation needed.",IF(K194="Explosive Alert","Explosive risk; review clips before using as answer.",IF(C194&lt;=2,"Track only; not enough sample.",IF(C194=3,IF(E194&gt;0,"Sample watch with explosive exposure; review clips and build the sample.",IF(J194&gt;=65,"Good signal, but sample is limited.","Sample watch; review clips and build the sample.")),IF(K194="Problem Call","Problem area; practice or call-sheet review.",IF(K194="Strong Candidate","Strong call-fit candidate; confirm on film.",IF(K194="Good Candidate","Good call-fit signal; confirm on film.","Mixed signal; review fit and execution on film."))))))))</f>
        <v>Track only; not enough sample.</v>
      </c>
      <c r="M194" s="8" t="s">
        <v>39</v>
      </c>
      <c r="N194" s="8" t="s">
        <v>132</v>
      </c>
      <c r="O194" s="8"/>
      <c r="P194" s="8"/>
      <c r="Q194" s="8"/>
      <c r="R194" s="8" t="s">
        <v>28</v>
      </c>
      <c r="S194" s="2" t="s">
        <v>133</v>
      </c>
      <c r="T194" s="2">
        <f>IF(C194=0,0,IF(C194&gt;=CALL_LOOKUP_BOARD!$B$7,IF(OR(K194="Problem Call",K194="Explosive Alert"),10000000,20000000),0)+IF(C194&gt;=CALL_LOOKUP_BOARD!$B$7,J194*1000+MIN(C194,999),C194*1000+J194)+0.00999100)</f>
        <v>1026.009991</v>
      </c>
      <c r="U194" s="2">
        <f>IF(C194=0,"",IF(COUNTIFS($S$186:$S$367,SUBSTITUTE(SUBSTITUTE(SUBSTITUTE(S194,"~","~~"),"*","~*"),"?","~?"),$T$186:$T$367,"&gt;"&amp;T194)=0,S194,""))</f>
        <v/>
      </c>
    </row>
    <row r="195" spans="1:21" ht="38" customHeight="1">
      <c r="A195" s="8" t="s">
        <v>131</v>
      </c>
      <c r="B195" s="8" t="s">
        <v>69</v>
      </c>
      <c r="C195" s="12">
        <f>COUNTIFS('DEF_SELF_SCOUT_IMPORT'!$L$42:$L$1040,"Y",'DEF_SELF_SCOUT_IMPORT'!$E$42:$E$1040,SUBSTITUTE(SUBSTITUTE(SUBSTITUTE($B195,"~","~~"),"*","~*"),"?","~?"),'DEF_SELF_SCOUT_IMPORT'!$Q$42:$Q$1040,SUBSTITUTE(SUBSTITUTE(SUBSTITUTE($M195,"~","~~"),"*","~*"),"?","~?"),'DEF_SELF_SCOUT_IMPORT'!$F$42:$F$1040,SUBSTITUTE(SUBSTITUTE(SUBSTITUTE($N195,"~","~~"),"*","~*"),"?","~?"))</f>
        <v>1</v>
      </c>
      <c r="D195" s="10">
        <f>IF($C195=0,"",SUMIFS('DEF_SELF_SCOUT_IMPORT'!$J$42:$J$1040,'DEF_SELF_SCOUT_IMPORT'!$L$42:$L$1040,"Y",'DEF_SELF_SCOUT_IMPORT'!$E$42:$E$1040,SUBSTITUTE(SUBSTITUTE(SUBSTITUTE($B195,"~","~~"),"*","~*"),"?","~?"),'DEF_SELF_SCOUT_IMPORT'!$Q$42:$Q$1040,SUBSTITUTE(SUBSTITUTE(SUBSTITUTE($M195,"~","~~"),"*","~*"),"?","~?"),'DEF_SELF_SCOUT_IMPORT'!$F$42:$F$1040,SUBSTITUTE(SUBSTITUTE(SUBSTITUTE($N195,"~","~~"),"*","~*"),"?","~?"))/$C195)</f>
        <v>1.0</v>
      </c>
      <c r="E195" s="10">
        <f>IF($C195=0,"",SUMIFS('DEF_SELF_SCOUT_IMPORT'!$K$42:$K$1040,'DEF_SELF_SCOUT_IMPORT'!$L$42:$L$1040,"Y",'DEF_SELF_SCOUT_IMPORT'!$E$42:$E$1040,SUBSTITUTE(SUBSTITUTE(SUBSTITUTE($B195,"~","~~"),"*","~*"),"?","~?"),'DEF_SELF_SCOUT_IMPORT'!$Q$42:$Q$1040,SUBSTITUTE(SUBSTITUTE(SUBSTITUTE($M195,"~","~~"),"*","~*"),"?","~?"),'DEF_SELF_SCOUT_IMPORT'!$F$42:$F$1040,SUBSTITUTE(SUBSTITUTE(SUBSTITUTE($N195,"~","~~"),"*","~*"),"?","~?"))/$C195)</f>
        <v>0.0</v>
      </c>
      <c r="F195" s="11">
        <f>IF($C195=0,"",AVERAGEIFS('DEF_SELF_SCOUT_IMPORT'!$I$42:$I$1040,'DEF_SELF_SCOUT_IMPORT'!$L$42:$L$1040,"Y",'DEF_SELF_SCOUT_IMPORT'!$E$42:$E$1040,SUBSTITUTE(SUBSTITUTE(SUBSTITUTE($B195,"~","~~"),"*","~*"),"?","~?"),'DEF_SELF_SCOUT_IMPORT'!$Q$42:$Q$1040,SUBSTITUTE(SUBSTITUTE(SUBSTITUTE($M195,"~","~~"),"*","~*"),"?","~?"),'DEF_SELF_SCOUT_IMPORT'!$F$42:$F$1040,SUBSTITUTE(SUBSTITUTE(SUBSTITUTE($N195,"~","~~"),"*","~*"),"?","~?")))</f>
        <v>0.0</v>
      </c>
      <c r="G195" s="10">
        <f>IF($C195=0,"",COUNTIFS('DEF_SELF_SCOUT_IMPORT'!$L$42:$L$1040,"Y",'DEF_SELF_SCOUT_IMPORT'!$E$42:$E$1040,SUBSTITUTE(SUBSTITUTE(SUBSTITUTE($B195,"~","~~"),"*","~*"),"?","~?"),'DEF_SELF_SCOUT_IMPORT'!$Q$42:$Q$1040,SUBSTITUTE(SUBSTITUTE(SUBSTITUTE($M195,"~","~~"),"*","~*"),"?","~?"),'DEF_SELF_SCOUT_IMPORT'!$F$42:$F$1040,SUBSTITUTE(SUBSTITUTE(SUBSTITUTE($N195,"~","~~"),"*","~*"),"?","~?"),'DEF_SELF_SCOUT_IMPORT'!$H$42:$H$1040,"RUSH")/$C195)</f>
        <v>1.0</v>
      </c>
      <c r="H195" s="10">
        <f>IF($C195=0,"",COUNTIFS('DEF_SELF_SCOUT_IMPORT'!$L$42:$L$1040,"Y",'DEF_SELF_SCOUT_IMPORT'!$E$42:$E$1040,SUBSTITUTE(SUBSTITUTE(SUBSTITUTE($B195,"~","~~"),"*","~*"),"?","~?"),'DEF_SELF_SCOUT_IMPORT'!$Q$42:$Q$1040,SUBSTITUTE(SUBSTITUTE(SUBSTITUTE($M195,"~","~~"),"*","~*"),"?","~?"),'DEF_SELF_SCOUT_IMPORT'!$F$42:$F$1040,SUBSTITUTE(SUBSTITUTE(SUBSTITUTE($N195,"~","~~"),"*","~*"),"?","~?"),'DEF_SELF_SCOUT_IMPORT'!$H$42:$H$1040,"DROPBACK")/$C195)</f>
        <v>0.0</v>
      </c>
      <c r="I195" s="14" t="str">
        <f>IF(C195=0,"",IF(C195&lt;=2,"TRACK",IF(C195=3,"LOW",IF(C195&lt;=6,"MEDIUM","HIGH"))))</f>
        <v>TRACK</v>
      </c>
      <c r="J195" s="11">
        <f>IF(C195=0,"",ROUND(D195*70+(1-E195)*20+MAX(0,MIN(1,(10-F195)/10))*10,1))</f>
        <v>100.0</v>
      </c>
      <c r="K195" s="14" t="str">
        <f>IF(C195=0,"No Evidence",IF(C195&lt;=2,IF(E195&gt;0,"Explosive Alert","Track Only"),IF(C195=3,"Sample Watch",IF(E195&gt;=START_HERE!$B$31,"Explosive Alert",IF(J195&gt;=80,"Strong Candidate",IF(J195&gt;=65,"Good Candidate",IF(J195&gt;=50,"Mixed / Review","Problem Call")))))))</f>
        <v>Track Only</v>
      </c>
      <c r="L195" s="9" t="str">
        <f>IF(COUNTIFS('DEF_SELF_SCOUT_IMPORT'!$L$42:$L$1040,"Y",'DEF_SELF_SCOUT_IMPORT'!$E$42:$E$1040,SUBSTITUTE(SUBSTITUTE(SUBSTITUTE($B195,"~","~~"),"*","~*"),"?","~?"),'DEF_SELF_SCOUT_IMPORT'!$Q$42:$Q$1040,SUBSTITUTE(SUBSTITUTE(SUBSTITUTE($M195,"~","~~"),"*","~*"),"?","~?"),'DEF_SELF_SCOUT_IMPORT'!$F$42:$F$1040,SUBSTITUTE(SUBSTITUTE(SUBSTITUTE($N195,"~","~~"),"*","~*"),"?","~?"),'DEF_SELF_SCOUT_IMPORT'!$J$42:$J$1040,"")&gt;0,"Unscored clean outcome; review result tags before using score.",IF(C195=0,"No matching defensive reps; film confirmation needed.",IF(K195="Explosive Alert","Explosive risk; review clips before using as answer.",IF(C195&lt;=2,"Track only; not enough sample.",IF(C195=3,IF(E195&gt;0,"Sample watch with explosive exposure; review clips and build the sample.",IF(J195&gt;=65,"Good signal, but sample is limited.","Sample watch; review clips and build the sample.")),IF(K195="Problem Call","Problem area; practice or call-sheet review.",IF(K195="Strong Candidate","Strong call-fit candidate; confirm on film.",IF(K195="Good Candidate","Good call-fit signal; confirm on film.","Mixed signal; review fit and execution on film."))))))))</f>
        <v>Track only; not enough sample.</v>
      </c>
      <c r="M195" s="8" t="s">
        <v>39</v>
      </c>
      <c r="N195" s="8" t="s">
        <v>132</v>
      </c>
      <c r="O195" s="8"/>
      <c r="P195" s="8"/>
      <c r="Q195" s="8"/>
      <c r="R195" s="8" t="s">
        <v>28</v>
      </c>
      <c r="S195" s="2" t="s">
        <v>133</v>
      </c>
      <c r="T195" s="2">
        <f>IF(C195=0,0,IF(C195&gt;=CALL_LOOKUP_BOARD!$B$7,IF(OR(K195="Problem Call",K195="Explosive Alert"),10000000,20000000),0)+IF(C195&gt;=CALL_LOOKUP_BOARD!$B$7,J195*1000+MIN(C195,999),C195*1000+J195)+0.00999000)</f>
        <v>1100.00999</v>
      </c>
      <c r="U195" s="2">
        <f>IF(C195=0,"",IF(COUNTIFS($S$186:$S$367,SUBSTITUTE(SUBSTITUTE(SUBSTITUTE(S195,"~","~~"),"*","~*"),"?","~?"),$T$186:$T$367,"&gt;"&amp;T195)=0,S195,""))</f>
        <v/>
      </c>
    </row>
    <row r="196" spans="1:21" ht="38" customHeight="1">
      <c r="A196" s="8" t="s">
        <v>134</v>
      </c>
      <c r="B196" s="8" t="s">
        <v>40</v>
      </c>
      <c r="C196" s="12">
        <f>COUNTIFS('DEF_SELF_SCOUT_IMPORT'!$L$42:$L$1040,"Y",'DEF_SELF_SCOUT_IMPORT'!$E$42:$E$1040,SUBSTITUTE(SUBSTITUTE(SUBSTITUTE($B196,"~","~~"),"*","~*"),"?","~?"),'DEF_SELF_SCOUT_IMPORT'!$Q$42:$Q$1040,SUBSTITUTE(SUBSTITUTE(SUBSTITUTE($M196,"~","~~"),"*","~*"),"?","~?"),'DEF_SELF_SCOUT_IMPORT'!$F$42:$F$1040,SUBSTITUTE(SUBSTITUTE(SUBSTITUTE($N196,"~","~~"),"*","~*"),"?","~?"))</f>
        <v>1</v>
      </c>
      <c r="D196" s="10">
        <f>IF($C196=0,"",SUMIFS('DEF_SELF_SCOUT_IMPORT'!$J$42:$J$1040,'DEF_SELF_SCOUT_IMPORT'!$L$42:$L$1040,"Y",'DEF_SELF_SCOUT_IMPORT'!$E$42:$E$1040,SUBSTITUTE(SUBSTITUTE(SUBSTITUTE($B196,"~","~~"),"*","~*"),"?","~?"),'DEF_SELF_SCOUT_IMPORT'!$Q$42:$Q$1040,SUBSTITUTE(SUBSTITUTE(SUBSTITUTE($M196,"~","~~"),"*","~*"),"?","~?"),'DEF_SELF_SCOUT_IMPORT'!$F$42:$F$1040,SUBSTITUTE(SUBSTITUTE(SUBSTITUTE($N196,"~","~~"),"*","~*"),"?","~?"))/$C196)</f>
        <v>0.0</v>
      </c>
      <c r="E196" s="10">
        <f>IF($C196=0,"",SUMIFS('DEF_SELF_SCOUT_IMPORT'!$K$42:$K$1040,'DEF_SELF_SCOUT_IMPORT'!$L$42:$L$1040,"Y",'DEF_SELF_SCOUT_IMPORT'!$E$42:$E$1040,SUBSTITUTE(SUBSTITUTE(SUBSTITUTE($B196,"~","~~"),"*","~*"),"?","~?"),'DEF_SELF_SCOUT_IMPORT'!$Q$42:$Q$1040,SUBSTITUTE(SUBSTITUTE(SUBSTITUTE($M196,"~","~~"),"*","~*"),"?","~?"),'DEF_SELF_SCOUT_IMPORT'!$F$42:$F$1040,SUBSTITUTE(SUBSTITUTE(SUBSTITUTE($N196,"~","~~"),"*","~*"),"?","~?"))/$C196)</f>
        <v>0.0</v>
      </c>
      <c r="F196" s="11">
        <f>IF($C196=0,"",AVERAGEIFS('DEF_SELF_SCOUT_IMPORT'!$I$42:$I$1040,'DEF_SELF_SCOUT_IMPORT'!$L$42:$L$1040,"Y",'DEF_SELF_SCOUT_IMPORT'!$E$42:$E$1040,SUBSTITUTE(SUBSTITUTE(SUBSTITUTE($B196,"~","~~"),"*","~*"),"?","~?"),'DEF_SELF_SCOUT_IMPORT'!$Q$42:$Q$1040,SUBSTITUTE(SUBSTITUTE(SUBSTITUTE($M196,"~","~~"),"*","~*"),"?","~?"),'DEF_SELF_SCOUT_IMPORT'!$F$42:$F$1040,SUBSTITUTE(SUBSTITUTE(SUBSTITUTE($N196,"~","~~"),"*","~*"),"?","~?")))</f>
        <v>5.0</v>
      </c>
      <c r="G196" s="10">
        <f>IF($C196=0,"",COUNTIFS('DEF_SELF_SCOUT_IMPORT'!$L$42:$L$1040,"Y",'DEF_SELF_SCOUT_IMPORT'!$E$42:$E$1040,SUBSTITUTE(SUBSTITUTE(SUBSTITUTE($B196,"~","~~"),"*","~*"),"?","~?"),'DEF_SELF_SCOUT_IMPORT'!$Q$42:$Q$1040,SUBSTITUTE(SUBSTITUTE(SUBSTITUTE($M196,"~","~~"),"*","~*"),"?","~?"),'DEF_SELF_SCOUT_IMPORT'!$F$42:$F$1040,SUBSTITUTE(SUBSTITUTE(SUBSTITUTE($N196,"~","~~"),"*","~*"),"?","~?"),'DEF_SELF_SCOUT_IMPORT'!$H$42:$H$1040,"RUSH")/$C196)</f>
        <v>1.0</v>
      </c>
      <c r="H196" s="10">
        <f>IF($C196=0,"",COUNTIFS('DEF_SELF_SCOUT_IMPORT'!$L$42:$L$1040,"Y",'DEF_SELF_SCOUT_IMPORT'!$E$42:$E$1040,SUBSTITUTE(SUBSTITUTE(SUBSTITUTE($B196,"~","~~"),"*","~*"),"?","~?"),'DEF_SELF_SCOUT_IMPORT'!$Q$42:$Q$1040,SUBSTITUTE(SUBSTITUTE(SUBSTITUTE($M196,"~","~~"),"*","~*"),"?","~?"),'DEF_SELF_SCOUT_IMPORT'!$F$42:$F$1040,SUBSTITUTE(SUBSTITUTE(SUBSTITUTE($N196,"~","~~"),"*","~*"),"?","~?"),'DEF_SELF_SCOUT_IMPORT'!$H$42:$H$1040,"DROPBACK")/$C196)</f>
        <v>0.0</v>
      </c>
      <c r="I196" s="14" t="str">
        <f>IF(C196=0,"",IF(C196&lt;=2,"TRACK",IF(C196=3,"LOW",IF(C196&lt;=6,"MEDIUM","HIGH"))))</f>
        <v>TRACK</v>
      </c>
      <c r="J196" s="11">
        <f>IF(C196=0,"",ROUND(D196*70+(1-E196)*20+MAX(0,MIN(1,(10-F196)/10))*10,1))</f>
        <v>25.0</v>
      </c>
      <c r="K196" s="14" t="str">
        <f>IF(C196=0,"No Evidence",IF(C196&lt;=2,IF(E196&gt;0,"Explosive Alert","Track Only"),IF(C196=3,"Sample Watch",IF(E196&gt;=START_HERE!$B$31,"Explosive Alert",IF(J196&gt;=80,"Strong Candidate",IF(J196&gt;=65,"Good Candidate",IF(J196&gt;=50,"Mixed / Review","Problem Call")))))))</f>
        <v>Track Only</v>
      </c>
      <c r="L196" s="9" t="str">
        <f>IF(COUNTIFS('DEF_SELF_SCOUT_IMPORT'!$L$42:$L$1040,"Y",'DEF_SELF_SCOUT_IMPORT'!$E$42:$E$1040,SUBSTITUTE(SUBSTITUTE(SUBSTITUTE($B196,"~","~~"),"*","~*"),"?","~?"),'DEF_SELF_SCOUT_IMPORT'!$Q$42:$Q$1040,SUBSTITUTE(SUBSTITUTE(SUBSTITUTE($M196,"~","~~"),"*","~*"),"?","~?"),'DEF_SELF_SCOUT_IMPORT'!$F$42:$F$1040,SUBSTITUTE(SUBSTITUTE(SUBSTITUTE($N196,"~","~~"),"*","~*"),"?","~?"),'DEF_SELF_SCOUT_IMPORT'!$J$42:$J$1040,"")&gt;0,"Unscored clean outcome; review result tags before using score.",IF(C196=0,"No matching defensive reps; film confirmation needed.",IF(K196="Explosive Alert","Explosive risk; review clips before using as answer.",IF(C196&lt;=2,"Track only; not enough sample.",IF(C196=3,IF(E196&gt;0,"Sample watch with explosive exposure; review clips and build the sample.",IF(J196&gt;=65,"Good signal, but sample is limited.","Sample watch; review clips and build the sample.")),IF(K196="Problem Call","Problem area; practice or call-sheet review.",IF(K196="Strong Candidate","Strong call-fit candidate; confirm on film.",IF(K196="Good Candidate","Good call-fit signal; confirm on film.","Mixed signal; review fit and execution on film."))))))))</f>
        <v>Track only; not enough sample.</v>
      </c>
      <c r="M196" s="8" t="s">
        <v>39</v>
      </c>
      <c r="N196" s="8" t="s">
        <v>120</v>
      </c>
      <c r="O196" s="8"/>
      <c r="P196" s="8"/>
      <c r="Q196" s="8"/>
      <c r="R196" s="8" t="s">
        <v>28</v>
      </c>
      <c r="S196" s="2" t="s">
        <v>135</v>
      </c>
      <c r="T196" s="2">
        <f>IF(C196=0,0,IF(C196&gt;=CALL_LOOKUP_BOARD!$B$7,IF(OR(K196="Problem Call",K196="Explosive Alert"),10000000,20000000),0)+IF(C196&gt;=CALL_LOOKUP_BOARD!$B$7,J196*1000+MIN(C196,999),C196*1000+J196)+0.00998900)</f>
        <v>1025.009989</v>
      </c>
      <c r="U196" s="2">
        <f>IF(C196=0,"",IF(COUNTIFS($S$186:$S$367,SUBSTITUTE(SUBSTITUTE(SUBSTITUTE(S196,"~","~~"),"*","~*"),"?","~?"),$T$186:$T$367,"&gt;"&amp;T196)=0,S196,""))</f>
        <v/>
      </c>
    </row>
    <row r="197" spans="1:21" ht="38" customHeight="1">
      <c r="A197" s="8" t="s">
        <v>134</v>
      </c>
      <c r="B197" s="8" t="s">
        <v>42</v>
      </c>
      <c r="C197" s="12">
        <f>COUNTIFS('DEF_SELF_SCOUT_IMPORT'!$L$42:$L$1040,"Y",'DEF_SELF_SCOUT_IMPORT'!$E$42:$E$1040,SUBSTITUTE(SUBSTITUTE(SUBSTITUTE($B197,"~","~~"),"*","~*"),"?","~?"),'DEF_SELF_SCOUT_IMPORT'!$Q$42:$Q$1040,SUBSTITUTE(SUBSTITUTE(SUBSTITUTE($M197,"~","~~"),"*","~*"),"?","~?"),'DEF_SELF_SCOUT_IMPORT'!$F$42:$F$1040,SUBSTITUTE(SUBSTITUTE(SUBSTITUTE($N197,"~","~~"),"*","~*"),"?","~?"))</f>
        <v>1</v>
      </c>
      <c r="D197" s="10">
        <f>IF($C197=0,"",SUMIFS('DEF_SELF_SCOUT_IMPORT'!$J$42:$J$1040,'DEF_SELF_SCOUT_IMPORT'!$L$42:$L$1040,"Y",'DEF_SELF_SCOUT_IMPORT'!$E$42:$E$1040,SUBSTITUTE(SUBSTITUTE(SUBSTITUTE($B197,"~","~~"),"*","~*"),"?","~?"),'DEF_SELF_SCOUT_IMPORT'!$Q$42:$Q$1040,SUBSTITUTE(SUBSTITUTE(SUBSTITUTE($M197,"~","~~"),"*","~*"),"?","~?"),'DEF_SELF_SCOUT_IMPORT'!$F$42:$F$1040,SUBSTITUTE(SUBSTITUTE(SUBSTITUTE($N197,"~","~~"),"*","~*"),"?","~?"))/$C197)</f>
        <v>0.0</v>
      </c>
      <c r="E197" s="10">
        <f>IF($C197=0,"",SUMIFS('DEF_SELF_SCOUT_IMPORT'!$K$42:$K$1040,'DEF_SELF_SCOUT_IMPORT'!$L$42:$L$1040,"Y",'DEF_SELF_SCOUT_IMPORT'!$E$42:$E$1040,SUBSTITUTE(SUBSTITUTE(SUBSTITUTE($B197,"~","~~"),"*","~*"),"?","~?"),'DEF_SELF_SCOUT_IMPORT'!$Q$42:$Q$1040,SUBSTITUTE(SUBSTITUTE(SUBSTITUTE($M197,"~","~~"),"*","~*"),"?","~?"),'DEF_SELF_SCOUT_IMPORT'!$F$42:$F$1040,SUBSTITUTE(SUBSTITUTE(SUBSTITUTE($N197,"~","~~"),"*","~*"),"?","~?"))/$C197)</f>
        <v>0.0</v>
      </c>
      <c r="F197" s="11">
        <f>IF($C197=0,"",AVERAGEIFS('DEF_SELF_SCOUT_IMPORT'!$I$42:$I$1040,'DEF_SELF_SCOUT_IMPORT'!$L$42:$L$1040,"Y",'DEF_SELF_SCOUT_IMPORT'!$E$42:$E$1040,SUBSTITUTE(SUBSTITUTE(SUBSTITUTE($B197,"~","~~"),"*","~*"),"?","~?"),'DEF_SELF_SCOUT_IMPORT'!$Q$42:$Q$1040,SUBSTITUTE(SUBSTITUTE(SUBSTITUTE($M197,"~","~~"),"*","~*"),"?","~?"),'DEF_SELF_SCOUT_IMPORT'!$F$42:$F$1040,SUBSTITUTE(SUBSTITUTE(SUBSTITUTE($N197,"~","~~"),"*","~*"),"?","~?")))</f>
        <v>14.0</v>
      </c>
      <c r="G197" s="10">
        <f>IF($C197=0,"",COUNTIFS('DEF_SELF_SCOUT_IMPORT'!$L$42:$L$1040,"Y",'DEF_SELF_SCOUT_IMPORT'!$E$42:$E$1040,SUBSTITUTE(SUBSTITUTE(SUBSTITUTE($B197,"~","~~"),"*","~*"),"?","~?"),'DEF_SELF_SCOUT_IMPORT'!$Q$42:$Q$1040,SUBSTITUTE(SUBSTITUTE(SUBSTITUTE($M197,"~","~~"),"*","~*"),"?","~?"),'DEF_SELF_SCOUT_IMPORT'!$F$42:$F$1040,SUBSTITUTE(SUBSTITUTE(SUBSTITUTE($N197,"~","~~"),"*","~*"),"?","~?"),'DEF_SELF_SCOUT_IMPORT'!$H$42:$H$1040,"RUSH")/$C197)</f>
        <v>0.0</v>
      </c>
      <c r="H197" s="10">
        <f>IF($C197=0,"",COUNTIFS('DEF_SELF_SCOUT_IMPORT'!$L$42:$L$1040,"Y",'DEF_SELF_SCOUT_IMPORT'!$E$42:$E$1040,SUBSTITUTE(SUBSTITUTE(SUBSTITUTE($B197,"~","~~"),"*","~*"),"?","~?"),'DEF_SELF_SCOUT_IMPORT'!$Q$42:$Q$1040,SUBSTITUTE(SUBSTITUTE(SUBSTITUTE($M197,"~","~~"),"*","~*"),"?","~?"),'DEF_SELF_SCOUT_IMPORT'!$F$42:$F$1040,SUBSTITUTE(SUBSTITUTE(SUBSTITUTE($N197,"~","~~"),"*","~*"),"?","~?"),'DEF_SELF_SCOUT_IMPORT'!$H$42:$H$1040,"DROPBACK")/$C197)</f>
        <v>1.0</v>
      </c>
      <c r="I197" s="14" t="str">
        <f>IF(C197=0,"",IF(C197&lt;=2,"TRACK",IF(C197=3,"LOW",IF(C197&lt;=6,"MEDIUM","HIGH"))))</f>
        <v>TRACK</v>
      </c>
      <c r="J197" s="11">
        <f>IF(C197=0,"",ROUND(D197*70+(1-E197)*20+MAX(0,MIN(1,(10-F197)/10))*10,1))</f>
        <v>20.0</v>
      </c>
      <c r="K197" s="14" t="str">
        <f>IF(C197=0,"No Evidence",IF(C197&lt;=2,IF(E197&gt;0,"Explosive Alert","Track Only"),IF(C197=3,"Sample Watch",IF(E197&gt;=START_HERE!$B$31,"Explosive Alert",IF(J197&gt;=80,"Strong Candidate",IF(J197&gt;=65,"Good Candidate",IF(J197&gt;=50,"Mixed / Review","Problem Call")))))))</f>
        <v>Track Only</v>
      </c>
      <c r="L197" s="9" t="str">
        <f>IF(COUNTIFS('DEF_SELF_SCOUT_IMPORT'!$L$42:$L$1040,"Y",'DEF_SELF_SCOUT_IMPORT'!$E$42:$E$1040,SUBSTITUTE(SUBSTITUTE(SUBSTITUTE($B197,"~","~~"),"*","~*"),"?","~?"),'DEF_SELF_SCOUT_IMPORT'!$Q$42:$Q$1040,SUBSTITUTE(SUBSTITUTE(SUBSTITUTE($M197,"~","~~"),"*","~*"),"?","~?"),'DEF_SELF_SCOUT_IMPORT'!$F$42:$F$1040,SUBSTITUTE(SUBSTITUTE(SUBSTITUTE($N197,"~","~~"),"*","~*"),"?","~?"),'DEF_SELF_SCOUT_IMPORT'!$J$42:$J$1040,"")&gt;0,"Unscored clean outcome; review result tags before using score.",IF(C197=0,"No matching defensive reps; film confirmation needed.",IF(K197="Explosive Alert","Explosive risk; review clips before using as answer.",IF(C197&lt;=2,"Track only; not enough sample.",IF(C197=3,IF(E197&gt;0,"Sample watch with explosive exposure; review clips and build the sample.",IF(J197&gt;=65,"Good signal, but sample is limited.","Sample watch; review clips and build the sample.")),IF(K197="Problem Call","Problem area; practice or call-sheet review.",IF(K197="Strong Candidate","Strong call-fit candidate; confirm on film.",IF(K197="Good Candidate","Good call-fit signal; confirm on film.","Mixed signal; review fit and execution on film."))))))))</f>
        <v>Track only; not enough sample.</v>
      </c>
      <c r="M197" s="8" t="s">
        <v>39</v>
      </c>
      <c r="N197" s="8" t="s">
        <v>120</v>
      </c>
      <c r="O197" s="8"/>
      <c r="P197" s="8"/>
      <c r="Q197" s="8"/>
      <c r="R197" s="8" t="s">
        <v>28</v>
      </c>
      <c r="S197" s="2" t="s">
        <v>135</v>
      </c>
      <c r="T197" s="2">
        <f>IF(C197=0,0,IF(C197&gt;=CALL_LOOKUP_BOARD!$B$7,IF(OR(K197="Problem Call",K197="Explosive Alert"),10000000,20000000),0)+IF(C197&gt;=CALL_LOOKUP_BOARD!$B$7,J197*1000+MIN(C197,999),C197*1000+J197)+0.00998800)</f>
        <v>1020.009988</v>
      </c>
      <c r="U197" s="2">
        <f>IF(C197=0,"",IF(COUNTIFS($S$186:$S$367,SUBSTITUTE(SUBSTITUTE(SUBSTITUTE(S197,"~","~~"),"*","~*"),"?","~?"),$T$186:$T$367,"&gt;"&amp;T197)=0,S197,""))</f>
        <v/>
      </c>
    </row>
    <row r="198" spans="1:21" ht="38" customHeight="1">
      <c r="A198" s="8" t="s">
        <v>134</v>
      </c>
      <c r="B198" s="8" t="s">
        <v>43</v>
      </c>
      <c r="C198" s="12">
        <f>COUNTIFS('DEF_SELF_SCOUT_IMPORT'!$L$42:$L$1040,"Y",'DEF_SELF_SCOUT_IMPORT'!$E$42:$E$1040,SUBSTITUTE(SUBSTITUTE(SUBSTITUTE($B198,"~","~~"),"*","~*"),"?","~?"),'DEF_SELF_SCOUT_IMPORT'!$Q$42:$Q$1040,SUBSTITUTE(SUBSTITUTE(SUBSTITUTE($M198,"~","~~"),"*","~*"),"?","~?"),'DEF_SELF_SCOUT_IMPORT'!$F$42:$F$1040,SUBSTITUTE(SUBSTITUTE(SUBSTITUTE($N198,"~","~~"),"*","~*"),"?","~?"))</f>
        <v>2</v>
      </c>
      <c r="D198" s="10">
        <f>IF($C198=0,"",SUMIFS('DEF_SELF_SCOUT_IMPORT'!$J$42:$J$1040,'DEF_SELF_SCOUT_IMPORT'!$L$42:$L$1040,"Y",'DEF_SELF_SCOUT_IMPORT'!$E$42:$E$1040,SUBSTITUTE(SUBSTITUTE(SUBSTITUTE($B198,"~","~~"),"*","~*"),"?","~?"),'DEF_SELF_SCOUT_IMPORT'!$Q$42:$Q$1040,SUBSTITUTE(SUBSTITUTE(SUBSTITUTE($M198,"~","~~"),"*","~*"),"?","~?"),'DEF_SELF_SCOUT_IMPORT'!$F$42:$F$1040,SUBSTITUTE(SUBSTITUTE(SUBSTITUTE($N198,"~","~~"),"*","~*"),"?","~?"))/$C198)</f>
        <v>1.0</v>
      </c>
      <c r="E198" s="10">
        <f>IF($C198=0,"",SUMIFS('DEF_SELF_SCOUT_IMPORT'!$K$42:$K$1040,'DEF_SELF_SCOUT_IMPORT'!$L$42:$L$1040,"Y",'DEF_SELF_SCOUT_IMPORT'!$E$42:$E$1040,SUBSTITUTE(SUBSTITUTE(SUBSTITUTE($B198,"~","~~"),"*","~*"),"?","~?"),'DEF_SELF_SCOUT_IMPORT'!$Q$42:$Q$1040,SUBSTITUTE(SUBSTITUTE(SUBSTITUTE($M198,"~","~~"),"*","~*"),"?","~?"),'DEF_SELF_SCOUT_IMPORT'!$F$42:$F$1040,SUBSTITUTE(SUBSTITUTE(SUBSTITUTE($N198,"~","~~"),"*","~*"),"?","~?"))/$C198)</f>
        <v>0.0</v>
      </c>
      <c r="F198" s="11">
        <f>IF($C198=0,"",AVERAGEIFS('DEF_SELF_SCOUT_IMPORT'!$I$42:$I$1040,'DEF_SELF_SCOUT_IMPORT'!$L$42:$L$1040,"Y",'DEF_SELF_SCOUT_IMPORT'!$E$42:$E$1040,SUBSTITUTE(SUBSTITUTE(SUBSTITUTE($B198,"~","~~"),"*","~*"),"?","~?"),'DEF_SELF_SCOUT_IMPORT'!$Q$42:$Q$1040,SUBSTITUTE(SUBSTITUTE(SUBSTITUTE($M198,"~","~~"),"*","~*"),"?","~?"),'DEF_SELF_SCOUT_IMPORT'!$F$42:$F$1040,SUBSTITUTE(SUBSTITUTE(SUBSTITUTE($N198,"~","~~"),"*","~*"),"?","~?")))</f>
        <v>0.5</v>
      </c>
      <c r="G198" s="10">
        <f>IF($C198=0,"",COUNTIFS('DEF_SELF_SCOUT_IMPORT'!$L$42:$L$1040,"Y",'DEF_SELF_SCOUT_IMPORT'!$E$42:$E$1040,SUBSTITUTE(SUBSTITUTE(SUBSTITUTE($B198,"~","~~"),"*","~*"),"?","~?"),'DEF_SELF_SCOUT_IMPORT'!$Q$42:$Q$1040,SUBSTITUTE(SUBSTITUTE(SUBSTITUTE($M198,"~","~~"),"*","~*"),"?","~?"),'DEF_SELF_SCOUT_IMPORT'!$F$42:$F$1040,SUBSTITUTE(SUBSTITUTE(SUBSTITUTE($N198,"~","~~"),"*","~*"),"?","~?"),'DEF_SELF_SCOUT_IMPORT'!$H$42:$H$1040,"RUSH")/$C198)</f>
        <v>0.5</v>
      </c>
      <c r="H198" s="10">
        <f>IF($C198=0,"",COUNTIFS('DEF_SELF_SCOUT_IMPORT'!$L$42:$L$1040,"Y",'DEF_SELF_SCOUT_IMPORT'!$E$42:$E$1040,SUBSTITUTE(SUBSTITUTE(SUBSTITUTE($B198,"~","~~"),"*","~*"),"?","~?"),'DEF_SELF_SCOUT_IMPORT'!$Q$42:$Q$1040,SUBSTITUTE(SUBSTITUTE(SUBSTITUTE($M198,"~","~~"),"*","~*"),"?","~?"),'DEF_SELF_SCOUT_IMPORT'!$F$42:$F$1040,SUBSTITUTE(SUBSTITUTE(SUBSTITUTE($N198,"~","~~"),"*","~*"),"?","~?"),'DEF_SELF_SCOUT_IMPORT'!$H$42:$H$1040,"DROPBACK")/$C198)</f>
        <v>0.5</v>
      </c>
      <c r="I198" s="14" t="str">
        <f>IF(C198=0,"",IF(C198&lt;=2,"TRACK",IF(C198=3,"LOW",IF(C198&lt;=6,"MEDIUM","HIGH"))))</f>
        <v>TRACK</v>
      </c>
      <c r="J198" s="11">
        <f>IF(C198=0,"",ROUND(D198*70+(1-E198)*20+MAX(0,MIN(1,(10-F198)/10))*10,1))</f>
        <v>99.5</v>
      </c>
      <c r="K198" s="14" t="str">
        <f>IF(C198=0,"No Evidence",IF(C198&lt;=2,IF(E198&gt;0,"Explosive Alert","Track Only"),IF(C198=3,"Sample Watch",IF(E198&gt;=START_HERE!$B$31,"Explosive Alert",IF(J198&gt;=80,"Strong Candidate",IF(J198&gt;=65,"Good Candidate",IF(J198&gt;=50,"Mixed / Review","Problem Call")))))))</f>
        <v>Track Only</v>
      </c>
      <c r="L198" s="9" t="str">
        <f>IF(COUNTIFS('DEF_SELF_SCOUT_IMPORT'!$L$42:$L$1040,"Y",'DEF_SELF_SCOUT_IMPORT'!$E$42:$E$1040,SUBSTITUTE(SUBSTITUTE(SUBSTITUTE($B198,"~","~~"),"*","~*"),"?","~?"),'DEF_SELF_SCOUT_IMPORT'!$Q$42:$Q$1040,SUBSTITUTE(SUBSTITUTE(SUBSTITUTE($M198,"~","~~"),"*","~*"),"?","~?"),'DEF_SELF_SCOUT_IMPORT'!$F$42:$F$1040,SUBSTITUTE(SUBSTITUTE(SUBSTITUTE($N198,"~","~~"),"*","~*"),"?","~?"),'DEF_SELF_SCOUT_IMPORT'!$J$42:$J$1040,"")&gt;0,"Unscored clean outcome; review result tags before using score.",IF(C198=0,"No matching defensive reps; film confirmation needed.",IF(K198="Explosive Alert","Explosive risk; review clips before using as answer.",IF(C198&lt;=2,"Track only; not enough sample.",IF(C198=3,IF(E198&gt;0,"Sample watch with explosive exposure; review clips and build the sample.",IF(J198&gt;=65,"Good signal, but sample is limited.","Sample watch; review clips and build the sample.")),IF(K198="Problem Call","Problem area; practice or call-sheet review.",IF(K198="Strong Candidate","Strong call-fit candidate; confirm on film.",IF(K198="Good Candidate","Good call-fit signal; confirm on film.","Mixed signal; review fit and execution on film."))))))))</f>
        <v>Track only; not enough sample.</v>
      </c>
      <c r="M198" s="8" t="s">
        <v>39</v>
      </c>
      <c r="N198" s="8" t="s">
        <v>120</v>
      </c>
      <c r="O198" s="8"/>
      <c r="P198" s="8"/>
      <c r="Q198" s="8"/>
      <c r="R198" s="8" t="s">
        <v>28</v>
      </c>
      <c r="S198" s="2" t="s">
        <v>135</v>
      </c>
      <c r="T198" s="2">
        <f>IF(C198=0,0,IF(C198&gt;=CALL_LOOKUP_BOARD!$B$7,IF(OR(K198="Problem Call",K198="Explosive Alert"),10000000,20000000),0)+IF(C198&gt;=CALL_LOOKUP_BOARD!$B$7,J198*1000+MIN(C198,999),C198*1000+J198)+0.00998700)</f>
        <v>2099.509987</v>
      </c>
      <c r="U198" s="2">
        <f>IF(C198=0,"",IF(COUNTIFS($S$186:$S$367,SUBSTITUTE(SUBSTITUTE(SUBSTITUTE(S198,"~","~~"),"*","~*"),"?","~?"),$T$186:$T$367,"&gt;"&amp;T198)=0,S198,""))</f>
        <v/>
      </c>
    </row>
    <row r="199" spans="1:21" ht="38" customHeight="1">
      <c r="A199" s="8" t="s">
        <v>134</v>
      </c>
      <c r="B199" s="8" t="s">
        <v>44</v>
      </c>
      <c r="C199" s="12">
        <f>COUNTIFS('DEF_SELF_SCOUT_IMPORT'!$L$42:$L$1040,"Y",'DEF_SELF_SCOUT_IMPORT'!$E$42:$E$1040,SUBSTITUTE(SUBSTITUTE(SUBSTITUTE($B199,"~","~~"),"*","~*"),"?","~?"),'DEF_SELF_SCOUT_IMPORT'!$Q$42:$Q$1040,SUBSTITUTE(SUBSTITUTE(SUBSTITUTE($M199,"~","~~"),"*","~*"),"?","~?"),'DEF_SELF_SCOUT_IMPORT'!$F$42:$F$1040,SUBSTITUTE(SUBSTITUTE(SUBSTITUTE($N199,"~","~~"),"*","~*"),"?","~?"))</f>
        <v>5</v>
      </c>
      <c r="D199" s="10">
        <f>IF($C199=0,"",SUMIFS('DEF_SELF_SCOUT_IMPORT'!$J$42:$J$1040,'DEF_SELF_SCOUT_IMPORT'!$L$42:$L$1040,"Y",'DEF_SELF_SCOUT_IMPORT'!$E$42:$E$1040,SUBSTITUTE(SUBSTITUTE(SUBSTITUTE($B199,"~","~~"),"*","~*"),"?","~?"),'DEF_SELF_SCOUT_IMPORT'!$Q$42:$Q$1040,SUBSTITUTE(SUBSTITUTE(SUBSTITUTE($M199,"~","~~"),"*","~*"),"?","~?"),'DEF_SELF_SCOUT_IMPORT'!$F$42:$F$1040,SUBSTITUTE(SUBSTITUTE(SUBSTITUTE($N199,"~","~~"),"*","~*"),"?","~?"))/$C199)</f>
        <v>0.6</v>
      </c>
      <c r="E199" s="10">
        <f>IF($C199=0,"",SUMIFS('DEF_SELF_SCOUT_IMPORT'!$K$42:$K$1040,'DEF_SELF_SCOUT_IMPORT'!$L$42:$L$1040,"Y",'DEF_SELF_SCOUT_IMPORT'!$E$42:$E$1040,SUBSTITUTE(SUBSTITUTE(SUBSTITUTE($B199,"~","~~"),"*","~*"),"?","~?"),'DEF_SELF_SCOUT_IMPORT'!$Q$42:$Q$1040,SUBSTITUTE(SUBSTITUTE(SUBSTITUTE($M199,"~","~~"),"*","~*"),"?","~?"),'DEF_SELF_SCOUT_IMPORT'!$F$42:$F$1040,SUBSTITUTE(SUBSTITUTE(SUBSTITUTE($N199,"~","~~"),"*","~*"),"?","~?"))/$C199)</f>
        <v>0.0</v>
      </c>
      <c r="F199" s="11">
        <f>IF($C199=0,"",AVERAGEIFS('DEF_SELF_SCOUT_IMPORT'!$I$42:$I$1040,'DEF_SELF_SCOUT_IMPORT'!$L$42:$L$1040,"Y",'DEF_SELF_SCOUT_IMPORT'!$E$42:$E$1040,SUBSTITUTE(SUBSTITUTE(SUBSTITUTE($B199,"~","~~"),"*","~*"),"?","~?"),'DEF_SELF_SCOUT_IMPORT'!$Q$42:$Q$1040,SUBSTITUTE(SUBSTITUTE(SUBSTITUTE($M199,"~","~~"),"*","~*"),"?","~?"),'DEF_SELF_SCOUT_IMPORT'!$F$42:$F$1040,SUBSTITUTE(SUBSTITUTE(SUBSTITUTE($N199,"~","~~"),"*","~*"),"?","~?")))</f>
        <v>4.4</v>
      </c>
      <c r="G199" s="10">
        <f>IF($C199=0,"",COUNTIFS('DEF_SELF_SCOUT_IMPORT'!$L$42:$L$1040,"Y",'DEF_SELF_SCOUT_IMPORT'!$E$42:$E$1040,SUBSTITUTE(SUBSTITUTE(SUBSTITUTE($B199,"~","~~"),"*","~*"),"?","~?"),'DEF_SELF_SCOUT_IMPORT'!$Q$42:$Q$1040,SUBSTITUTE(SUBSTITUTE(SUBSTITUTE($M199,"~","~~"),"*","~*"),"?","~?"),'DEF_SELF_SCOUT_IMPORT'!$F$42:$F$1040,SUBSTITUTE(SUBSTITUTE(SUBSTITUTE($N199,"~","~~"),"*","~*"),"?","~?"),'DEF_SELF_SCOUT_IMPORT'!$H$42:$H$1040,"RUSH")/$C199)</f>
        <v>0.4</v>
      </c>
      <c r="H199" s="10">
        <f>IF($C199=0,"",COUNTIFS('DEF_SELF_SCOUT_IMPORT'!$L$42:$L$1040,"Y",'DEF_SELF_SCOUT_IMPORT'!$E$42:$E$1040,SUBSTITUTE(SUBSTITUTE(SUBSTITUTE($B199,"~","~~"),"*","~*"),"?","~?"),'DEF_SELF_SCOUT_IMPORT'!$Q$42:$Q$1040,SUBSTITUTE(SUBSTITUTE(SUBSTITUTE($M199,"~","~~"),"*","~*"),"?","~?"),'DEF_SELF_SCOUT_IMPORT'!$F$42:$F$1040,SUBSTITUTE(SUBSTITUTE(SUBSTITUTE($N199,"~","~~"),"*","~*"),"?","~?"),'DEF_SELF_SCOUT_IMPORT'!$H$42:$H$1040,"DROPBACK")/$C199)</f>
        <v>0.6</v>
      </c>
      <c r="I199" s="14" t="str">
        <f>IF(C199=0,"",IF(C199&lt;=2,"TRACK",IF(C199=3,"LOW",IF(C199&lt;=6,"MEDIUM","HIGH"))))</f>
        <v>MEDIUM</v>
      </c>
      <c r="J199" s="11">
        <f>IF(C199=0,"",ROUND(D199*70+(1-E199)*20+MAX(0,MIN(1,(10-F199)/10))*10,1))</f>
        <v>67.6</v>
      </c>
      <c r="K199" s="14" t="str">
        <f>IF(C199=0,"No Evidence",IF(C199&lt;=2,IF(E199&gt;0,"Explosive Alert","Track Only"),IF(C199=3,"Sample Watch",IF(E199&gt;=START_HERE!$B$31,"Explosive Alert",IF(J199&gt;=80,"Strong Candidate",IF(J199&gt;=65,"Good Candidate",IF(J199&gt;=50,"Mixed / Review","Problem Call")))))))</f>
        <v>Good Candidate</v>
      </c>
      <c r="L199" s="9" t="str">
        <f>IF(COUNTIFS('DEF_SELF_SCOUT_IMPORT'!$L$42:$L$1040,"Y",'DEF_SELF_SCOUT_IMPORT'!$E$42:$E$1040,SUBSTITUTE(SUBSTITUTE(SUBSTITUTE($B199,"~","~~"),"*","~*"),"?","~?"),'DEF_SELF_SCOUT_IMPORT'!$Q$42:$Q$1040,SUBSTITUTE(SUBSTITUTE(SUBSTITUTE($M199,"~","~~"),"*","~*"),"?","~?"),'DEF_SELF_SCOUT_IMPORT'!$F$42:$F$1040,SUBSTITUTE(SUBSTITUTE(SUBSTITUTE($N199,"~","~~"),"*","~*"),"?","~?"),'DEF_SELF_SCOUT_IMPORT'!$J$42:$J$1040,"")&gt;0,"Unscored clean outcome; review result tags before using score.",IF(C199=0,"No matching defensive reps; film confirmation needed.",IF(K199="Explosive Alert","Explosive risk; review clips before using as answer.",IF(C199&lt;=2,"Track only; not enough sample.",IF(C199=3,IF(E199&gt;0,"Sample watch with explosive exposure; review clips and build the sample.",IF(J199&gt;=65,"Good signal, but sample is limited.","Sample watch; review clips and build the sample.")),IF(K199="Problem Call","Problem area; practice or call-sheet review.",IF(K199="Strong Candidate","Strong call-fit candidate; confirm on film.",IF(K199="Good Candidate","Good call-fit signal; confirm on film.","Mixed signal; review fit and execution on film."))))))))</f>
        <v>Good call-fit signal; confirm on film.</v>
      </c>
      <c r="M199" s="8" t="s">
        <v>39</v>
      </c>
      <c r="N199" s="8" t="s">
        <v>120</v>
      </c>
      <c r="O199" s="8"/>
      <c r="P199" s="8"/>
      <c r="Q199" s="8"/>
      <c r="R199" s="8" t="s">
        <v>45</v>
      </c>
      <c r="S199" s="2" t="s">
        <v>135</v>
      </c>
      <c r="T199" s="2">
        <f>IF(C199=0,0,IF(C199&gt;=CALL_LOOKUP_BOARD!$B$7,IF(OR(K199="Problem Call",K199="Explosive Alert"),10000000,20000000),0)+IF(C199&gt;=CALL_LOOKUP_BOARD!$B$7,J199*1000+MIN(C199,999),C199*1000+J199)+0.00998600)</f>
        <v>20067605.009986</v>
      </c>
      <c r="U199" s="2" t="str">
        <f>IF(C199=0,"",IF(COUNTIFS($S$186:$S$367,SUBSTITUTE(SUBSTITUTE(SUBSTITUTE(S199,"~","~~"),"*","~*"),"?","~?"),$T$186:$T$367,"&gt;"&amp;T199)=0,S199,""))</f>
        <v>7:1D 7-10|2:11|</v>
      </c>
    </row>
    <row r="200" spans="1:21" ht="38" customHeight="1">
      <c r="A200" s="8" t="s">
        <v>134</v>
      </c>
      <c r="B200" s="8" t="s">
        <v>46</v>
      </c>
      <c r="C200" s="12">
        <f>COUNTIFS('DEF_SELF_SCOUT_IMPORT'!$L$42:$L$1040,"Y",'DEF_SELF_SCOUT_IMPORT'!$E$42:$E$1040,SUBSTITUTE(SUBSTITUTE(SUBSTITUTE($B200,"~","~~"),"*","~*"),"?","~?"),'DEF_SELF_SCOUT_IMPORT'!$Q$42:$Q$1040,SUBSTITUTE(SUBSTITUTE(SUBSTITUTE($M200,"~","~~"),"*","~*"),"?","~?"),'DEF_SELF_SCOUT_IMPORT'!$F$42:$F$1040,SUBSTITUTE(SUBSTITUTE(SUBSTITUTE($N200,"~","~~"),"*","~*"),"?","~?"))</f>
        <v>3</v>
      </c>
      <c r="D200" s="10">
        <f>IF($C200=0,"",SUMIFS('DEF_SELF_SCOUT_IMPORT'!$J$42:$J$1040,'DEF_SELF_SCOUT_IMPORT'!$L$42:$L$1040,"Y",'DEF_SELF_SCOUT_IMPORT'!$E$42:$E$1040,SUBSTITUTE(SUBSTITUTE(SUBSTITUTE($B200,"~","~~"),"*","~*"),"?","~?"),'DEF_SELF_SCOUT_IMPORT'!$Q$42:$Q$1040,SUBSTITUTE(SUBSTITUTE(SUBSTITUTE($M200,"~","~~"),"*","~*"),"?","~?"),'DEF_SELF_SCOUT_IMPORT'!$F$42:$F$1040,SUBSTITUTE(SUBSTITUTE(SUBSTITUTE($N200,"~","~~"),"*","~*"),"?","~?"))/$C200)</f>
        <v>0.6666666666666666</v>
      </c>
      <c r="E200" s="10">
        <f>IF($C200=0,"",SUMIFS('DEF_SELF_SCOUT_IMPORT'!$K$42:$K$1040,'DEF_SELF_SCOUT_IMPORT'!$L$42:$L$1040,"Y",'DEF_SELF_SCOUT_IMPORT'!$E$42:$E$1040,SUBSTITUTE(SUBSTITUTE(SUBSTITUTE($B200,"~","~~"),"*","~*"),"?","~?"),'DEF_SELF_SCOUT_IMPORT'!$Q$42:$Q$1040,SUBSTITUTE(SUBSTITUTE(SUBSTITUTE($M200,"~","~~"),"*","~*"),"?","~?"),'DEF_SELF_SCOUT_IMPORT'!$F$42:$F$1040,SUBSTITUTE(SUBSTITUTE(SUBSTITUTE($N200,"~","~~"),"*","~*"),"?","~?"))/$C200)</f>
        <v>0.3333333333333333</v>
      </c>
      <c r="F200" s="11">
        <f>IF($C200=0,"",AVERAGEIFS('DEF_SELF_SCOUT_IMPORT'!$I$42:$I$1040,'DEF_SELF_SCOUT_IMPORT'!$L$42:$L$1040,"Y",'DEF_SELF_SCOUT_IMPORT'!$E$42:$E$1040,SUBSTITUTE(SUBSTITUTE(SUBSTITUTE($B200,"~","~~"),"*","~*"),"?","~?"),'DEF_SELF_SCOUT_IMPORT'!$Q$42:$Q$1040,SUBSTITUTE(SUBSTITUTE(SUBSTITUTE($M200,"~","~~"),"*","~*"),"?","~?"),'DEF_SELF_SCOUT_IMPORT'!$F$42:$F$1040,SUBSTITUTE(SUBSTITUTE(SUBSTITUTE($N200,"~","~~"),"*","~*"),"?","~?")))</f>
        <v>6.666666666666667</v>
      </c>
      <c r="G200" s="10">
        <f>IF($C200=0,"",COUNTIFS('DEF_SELF_SCOUT_IMPORT'!$L$42:$L$1040,"Y",'DEF_SELF_SCOUT_IMPORT'!$E$42:$E$1040,SUBSTITUTE(SUBSTITUTE(SUBSTITUTE($B200,"~","~~"),"*","~*"),"?","~?"),'DEF_SELF_SCOUT_IMPORT'!$Q$42:$Q$1040,SUBSTITUTE(SUBSTITUTE(SUBSTITUTE($M200,"~","~~"),"*","~*"),"?","~?"),'DEF_SELF_SCOUT_IMPORT'!$F$42:$F$1040,SUBSTITUTE(SUBSTITUTE(SUBSTITUTE($N200,"~","~~"),"*","~*"),"?","~?"),'DEF_SELF_SCOUT_IMPORT'!$H$42:$H$1040,"RUSH")/$C200)</f>
        <v>0.3333333333333333</v>
      </c>
      <c r="H200" s="10">
        <f>IF($C200=0,"",COUNTIFS('DEF_SELF_SCOUT_IMPORT'!$L$42:$L$1040,"Y",'DEF_SELF_SCOUT_IMPORT'!$E$42:$E$1040,SUBSTITUTE(SUBSTITUTE(SUBSTITUTE($B200,"~","~~"),"*","~*"),"?","~?"),'DEF_SELF_SCOUT_IMPORT'!$Q$42:$Q$1040,SUBSTITUTE(SUBSTITUTE(SUBSTITUTE($M200,"~","~~"),"*","~*"),"?","~?"),'DEF_SELF_SCOUT_IMPORT'!$F$42:$F$1040,SUBSTITUTE(SUBSTITUTE(SUBSTITUTE($N200,"~","~~"),"*","~*"),"?","~?"),'DEF_SELF_SCOUT_IMPORT'!$H$42:$H$1040,"DROPBACK")/$C200)</f>
        <v>0.6666666666666666</v>
      </c>
      <c r="I200" s="14" t="str">
        <f>IF(C200=0,"",IF(C200&lt;=2,"TRACK",IF(C200=3,"LOW",IF(C200&lt;=6,"MEDIUM","HIGH"))))</f>
        <v>LOW</v>
      </c>
      <c r="J200" s="11">
        <f>IF(C200=0,"",ROUND(D200*70+(1-E200)*20+MAX(0,MIN(1,(10-F200)/10))*10,1))</f>
        <v>63.3</v>
      </c>
      <c r="K200" s="14" t="str">
        <f>IF(C200=0,"No Evidence",IF(C200&lt;=2,IF(E200&gt;0,"Explosive Alert","Track Only"),IF(C200=3,"Sample Watch",IF(E200&gt;=START_HERE!$B$31,"Explosive Alert",IF(J200&gt;=80,"Strong Candidate",IF(J200&gt;=65,"Good Candidate",IF(J200&gt;=50,"Mixed / Review","Problem Call")))))))</f>
        <v>Sample Watch</v>
      </c>
      <c r="L200" s="9" t="str">
        <f>IF(COUNTIFS('DEF_SELF_SCOUT_IMPORT'!$L$42:$L$1040,"Y",'DEF_SELF_SCOUT_IMPORT'!$E$42:$E$1040,SUBSTITUTE(SUBSTITUTE(SUBSTITUTE($B200,"~","~~"),"*","~*"),"?","~?"),'DEF_SELF_SCOUT_IMPORT'!$Q$42:$Q$1040,SUBSTITUTE(SUBSTITUTE(SUBSTITUTE($M200,"~","~~"),"*","~*"),"?","~?"),'DEF_SELF_SCOUT_IMPORT'!$F$42:$F$1040,SUBSTITUTE(SUBSTITUTE(SUBSTITUTE($N200,"~","~~"),"*","~*"),"?","~?"),'DEF_SELF_SCOUT_IMPORT'!$J$42:$J$1040,"")&gt;0,"Unscored clean outcome; review result tags before using score.",IF(C200=0,"No matching defensive reps; film confirmation needed.",IF(K200="Explosive Alert","Explosive risk; review clips before using as answer.",IF(C200&lt;=2,"Track only; not enough sample.",IF(C200=3,IF(E200&gt;0,"Sample watch with explosive exposure; review clips and build the sample.",IF(J200&gt;=65,"Good signal, but sample is limited.","Sample watch; review clips and build the sample.")),IF(K200="Problem Call","Problem area; practice or call-sheet review.",IF(K200="Strong Candidate","Strong call-fit candidate; confirm on film.",IF(K200="Good Candidate","Good call-fit signal; confirm on film.","Mixed signal; review fit and execution on film."))))))))</f>
        <v>Sample watch with explosive exposure; review clips and build the sample.</v>
      </c>
      <c r="M200" s="8" t="s">
        <v>39</v>
      </c>
      <c r="N200" s="8" t="s">
        <v>120</v>
      </c>
      <c r="O200" s="8"/>
      <c r="P200" s="8"/>
      <c r="Q200" s="8"/>
      <c r="R200" s="8" t="s">
        <v>28</v>
      </c>
      <c r="S200" s="2" t="s">
        <v>135</v>
      </c>
      <c r="T200" s="2">
        <f>IF(C200=0,0,IF(C200&gt;=CALL_LOOKUP_BOARD!$B$7,IF(OR(K200="Problem Call",K200="Explosive Alert"),10000000,20000000),0)+IF(C200&gt;=CALL_LOOKUP_BOARD!$B$7,J200*1000+MIN(C200,999),C200*1000+J200)+0.00998500)</f>
        <v>3063.3099850000003</v>
      </c>
      <c r="U200" s="2">
        <f>IF(C200=0,"",IF(COUNTIFS($S$186:$S$367,SUBSTITUTE(SUBSTITUTE(SUBSTITUTE(S200,"~","~~"),"*","~*"),"?","~?"),$T$186:$T$367,"&gt;"&amp;T200)=0,S200,""))</f>
        <v/>
      </c>
    </row>
    <row r="201" spans="1:21" ht="38" customHeight="1">
      <c r="A201" s="8" t="s">
        <v>134</v>
      </c>
      <c r="B201" s="8" t="s">
        <v>47</v>
      </c>
      <c r="C201" s="12">
        <f>COUNTIFS('DEF_SELF_SCOUT_IMPORT'!$L$42:$L$1040,"Y",'DEF_SELF_SCOUT_IMPORT'!$E$42:$E$1040,SUBSTITUTE(SUBSTITUTE(SUBSTITUTE($B201,"~","~~"),"*","~*"),"?","~?"),'DEF_SELF_SCOUT_IMPORT'!$Q$42:$Q$1040,SUBSTITUTE(SUBSTITUTE(SUBSTITUTE($M201,"~","~~"),"*","~*"),"?","~?"),'DEF_SELF_SCOUT_IMPORT'!$F$42:$F$1040,SUBSTITUTE(SUBSTITUTE(SUBSTITUTE($N201,"~","~~"),"*","~*"),"?","~?"))</f>
        <v>2</v>
      </c>
      <c r="D201" s="10">
        <f>IF($C201=0,"",SUMIFS('DEF_SELF_SCOUT_IMPORT'!$J$42:$J$1040,'DEF_SELF_SCOUT_IMPORT'!$L$42:$L$1040,"Y",'DEF_SELF_SCOUT_IMPORT'!$E$42:$E$1040,SUBSTITUTE(SUBSTITUTE(SUBSTITUTE($B201,"~","~~"),"*","~*"),"?","~?"),'DEF_SELF_SCOUT_IMPORT'!$Q$42:$Q$1040,SUBSTITUTE(SUBSTITUTE(SUBSTITUTE($M201,"~","~~"),"*","~*"),"?","~?"),'DEF_SELF_SCOUT_IMPORT'!$F$42:$F$1040,SUBSTITUTE(SUBSTITUTE(SUBSTITUTE($N201,"~","~~"),"*","~*"),"?","~?"))/$C201)</f>
        <v>0.5</v>
      </c>
      <c r="E201" s="10">
        <f>IF($C201=0,"",SUMIFS('DEF_SELF_SCOUT_IMPORT'!$K$42:$K$1040,'DEF_SELF_SCOUT_IMPORT'!$L$42:$L$1040,"Y",'DEF_SELF_SCOUT_IMPORT'!$E$42:$E$1040,SUBSTITUTE(SUBSTITUTE(SUBSTITUTE($B201,"~","~~"),"*","~*"),"?","~?"),'DEF_SELF_SCOUT_IMPORT'!$Q$42:$Q$1040,SUBSTITUTE(SUBSTITUTE(SUBSTITUTE($M201,"~","~~"),"*","~*"),"?","~?"),'DEF_SELF_SCOUT_IMPORT'!$F$42:$F$1040,SUBSTITUTE(SUBSTITUTE(SUBSTITUTE($N201,"~","~~"),"*","~*"),"?","~?"))/$C201)</f>
        <v>0.5</v>
      </c>
      <c r="F201" s="11">
        <f>IF($C201=0,"",AVERAGEIFS('DEF_SELF_SCOUT_IMPORT'!$I$42:$I$1040,'DEF_SELF_SCOUT_IMPORT'!$L$42:$L$1040,"Y",'DEF_SELF_SCOUT_IMPORT'!$E$42:$E$1040,SUBSTITUTE(SUBSTITUTE(SUBSTITUTE($B201,"~","~~"),"*","~*"),"?","~?"),'DEF_SELF_SCOUT_IMPORT'!$Q$42:$Q$1040,SUBSTITUTE(SUBSTITUTE(SUBSTITUTE($M201,"~","~~"),"*","~*"),"?","~?"),'DEF_SELF_SCOUT_IMPORT'!$F$42:$F$1040,SUBSTITUTE(SUBSTITUTE(SUBSTITUTE($N201,"~","~~"),"*","~*"),"?","~?")))</f>
        <v>15.0</v>
      </c>
      <c r="G201" s="10">
        <f>IF($C201=0,"",COUNTIFS('DEF_SELF_SCOUT_IMPORT'!$L$42:$L$1040,"Y",'DEF_SELF_SCOUT_IMPORT'!$E$42:$E$1040,SUBSTITUTE(SUBSTITUTE(SUBSTITUTE($B201,"~","~~"),"*","~*"),"?","~?"),'DEF_SELF_SCOUT_IMPORT'!$Q$42:$Q$1040,SUBSTITUTE(SUBSTITUTE(SUBSTITUTE($M201,"~","~~"),"*","~*"),"?","~?"),'DEF_SELF_SCOUT_IMPORT'!$F$42:$F$1040,SUBSTITUTE(SUBSTITUTE(SUBSTITUTE($N201,"~","~~"),"*","~*"),"?","~?"),'DEF_SELF_SCOUT_IMPORT'!$H$42:$H$1040,"RUSH")/$C201)</f>
        <v>0.0</v>
      </c>
      <c r="H201" s="10">
        <f>IF($C201=0,"",COUNTIFS('DEF_SELF_SCOUT_IMPORT'!$L$42:$L$1040,"Y",'DEF_SELF_SCOUT_IMPORT'!$E$42:$E$1040,SUBSTITUTE(SUBSTITUTE(SUBSTITUTE($B201,"~","~~"),"*","~*"),"?","~?"),'DEF_SELF_SCOUT_IMPORT'!$Q$42:$Q$1040,SUBSTITUTE(SUBSTITUTE(SUBSTITUTE($M201,"~","~~"),"*","~*"),"?","~?"),'DEF_SELF_SCOUT_IMPORT'!$F$42:$F$1040,SUBSTITUTE(SUBSTITUTE(SUBSTITUTE($N201,"~","~~"),"*","~*"),"?","~?"),'DEF_SELF_SCOUT_IMPORT'!$H$42:$H$1040,"DROPBACK")/$C201)</f>
        <v>0.5</v>
      </c>
      <c r="I201" s="14" t="str">
        <f>IF(C201=0,"",IF(C201&lt;=2,"TRACK",IF(C201=3,"LOW",IF(C201&lt;=6,"MEDIUM","HIGH"))))</f>
        <v>TRACK</v>
      </c>
      <c r="J201" s="11">
        <f>IF(C201=0,"",ROUND(D201*70+(1-E201)*20+MAX(0,MIN(1,(10-F201)/10))*10,1))</f>
        <v>45.0</v>
      </c>
      <c r="K201" s="14" t="str">
        <f>IF(C201=0,"No Evidence",IF(C201&lt;=2,IF(E201&gt;0,"Explosive Alert","Track Only"),IF(C201=3,"Sample Watch",IF(E201&gt;=START_HERE!$B$31,"Explosive Alert",IF(J201&gt;=80,"Strong Candidate",IF(J201&gt;=65,"Good Candidate",IF(J201&gt;=50,"Mixed / Review","Problem Call")))))))</f>
        <v>Explosive Alert</v>
      </c>
      <c r="L201" s="9" t="str">
        <f>IF(COUNTIFS('DEF_SELF_SCOUT_IMPORT'!$L$42:$L$1040,"Y",'DEF_SELF_SCOUT_IMPORT'!$E$42:$E$1040,SUBSTITUTE(SUBSTITUTE(SUBSTITUTE($B201,"~","~~"),"*","~*"),"?","~?"),'DEF_SELF_SCOUT_IMPORT'!$Q$42:$Q$1040,SUBSTITUTE(SUBSTITUTE(SUBSTITUTE($M201,"~","~~"),"*","~*"),"?","~?"),'DEF_SELF_SCOUT_IMPORT'!$F$42:$F$1040,SUBSTITUTE(SUBSTITUTE(SUBSTITUTE($N201,"~","~~"),"*","~*"),"?","~?"),'DEF_SELF_SCOUT_IMPORT'!$J$42:$J$1040,"")&gt;0,"Unscored clean outcome; review result tags before using score.",IF(C201=0,"No matching defensive reps; film confirmation needed.",IF(K201="Explosive Alert","Explosive risk; review clips before using as answer.",IF(C201&lt;=2,"Track only; not enough sample.",IF(C201=3,IF(E201&gt;0,"Sample watch with explosive exposure; review clips and build the sample.",IF(J201&gt;=65,"Good signal, but sample is limited.","Sample watch; review clips and build the sample.")),IF(K201="Problem Call","Problem area; practice or call-sheet review.",IF(K201="Strong Candidate","Strong call-fit candidate; confirm on film.",IF(K201="Good Candidate","Good call-fit signal; confirm on film.","Mixed signal; review fit and execution on film."))))))))</f>
        <v>Explosive risk; review clips before using as answer.</v>
      </c>
      <c r="M201" s="8" t="s">
        <v>39</v>
      </c>
      <c r="N201" s="8" t="s">
        <v>120</v>
      </c>
      <c r="O201" s="8"/>
      <c r="P201" s="8"/>
      <c r="Q201" s="8"/>
      <c r="R201" s="8" t="s">
        <v>28</v>
      </c>
      <c r="S201" s="2" t="s">
        <v>135</v>
      </c>
      <c r="T201" s="2">
        <f>IF(C201=0,0,IF(C201&gt;=CALL_LOOKUP_BOARD!$B$7,IF(OR(K201="Problem Call",K201="Explosive Alert"),10000000,20000000),0)+IF(C201&gt;=CALL_LOOKUP_BOARD!$B$7,J201*1000+MIN(C201,999),C201*1000+J201)+0.00998400)</f>
        <v>2045.009984</v>
      </c>
      <c r="U201" s="2">
        <f>IF(C201=0,"",IF(COUNTIFS($S$186:$S$367,SUBSTITUTE(SUBSTITUTE(SUBSTITUTE(S201,"~","~~"),"*","~*"),"?","~?"),$T$186:$T$367,"&gt;"&amp;T201)=0,S201,""))</f>
        <v/>
      </c>
    </row>
    <row r="202" spans="1:21" ht="38" customHeight="1">
      <c r="A202" s="8" t="s">
        <v>134</v>
      </c>
      <c r="B202" s="8" t="s">
        <v>48</v>
      </c>
      <c r="C202" s="12">
        <f>COUNTIFS('DEF_SELF_SCOUT_IMPORT'!$L$42:$L$1040,"Y",'DEF_SELF_SCOUT_IMPORT'!$E$42:$E$1040,SUBSTITUTE(SUBSTITUTE(SUBSTITUTE($B202,"~","~~"),"*","~*"),"?","~?"),'DEF_SELF_SCOUT_IMPORT'!$Q$42:$Q$1040,SUBSTITUTE(SUBSTITUTE(SUBSTITUTE($M202,"~","~~"),"*","~*"),"?","~?"),'DEF_SELF_SCOUT_IMPORT'!$F$42:$F$1040,SUBSTITUTE(SUBSTITUTE(SUBSTITUTE($N202,"~","~~"),"*","~*"),"?","~?"))</f>
        <v>1</v>
      </c>
      <c r="D202" s="10">
        <f>IF($C202=0,"",SUMIFS('DEF_SELF_SCOUT_IMPORT'!$J$42:$J$1040,'DEF_SELF_SCOUT_IMPORT'!$L$42:$L$1040,"Y",'DEF_SELF_SCOUT_IMPORT'!$E$42:$E$1040,SUBSTITUTE(SUBSTITUTE(SUBSTITUTE($B202,"~","~~"),"*","~*"),"?","~?"),'DEF_SELF_SCOUT_IMPORT'!$Q$42:$Q$1040,SUBSTITUTE(SUBSTITUTE(SUBSTITUTE($M202,"~","~~"),"*","~*"),"?","~?"),'DEF_SELF_SCOUT_IMPORT'!$F$42:$F$1040,SUBSTITUTE(SUBSTITUTE(SUBSTITUTE($N202,"~","~~"),"*","~*"),"?","~?"))/$C202)</f>
        <v>1.0</v>
      </c>
      <c r="E202" s="10">
        <f>IF($C202=0,"",SUMIFS('DEF_SELF_SCOUT_IMPORT'!$K$42:$K$1040,'DEF_SELF_SCOUT_IMPORT'!$L$42:$L$1040,"Y",'DEF_SELF_SCOUT_IMPORT'!$E$42:$E$1040,SUBSTITUTE(SUBSTITUTE(SUBSTITUTE($B202,"~","~~"),"*","~*"),"?","~?"),'DEF_SELF_SCOUT_IMPORT'!$Q$42:$Q$1040,SUBSTITUTE(SUBSTITUTE(SUBSTITUTE($M202,"~","~~"),"*","~*"),"?","~?"),'DEF_SELF_SCOUT_IMPORT'!$F$42:$F$1040,SUBSTITUTE(SUBSTITUTE(SUBSTITUTE($N202,"~","~~"),"*","~*"),"?","~?"))/$C202)</f>
        <v>0.0</v>
      </c>
      <c r="F202" s="11">
        <f>IF($C202=0,"",AVERAGEIFS('DEF_SELF_SCOUT_IMPORT'!$I$42:$I$1040,'DEF_SELF_SCOUT_IMPORT'!$L$42:$L$1040,"Y",'DEF_SELF_SCOUT_IMPORT'!$E$42:$E$1040,SUBSTITUTE(SUBSTITUTE(SUBSTITUTE($B202,"~","~~"),"*","~*"),"?","~?"),'DEF_SELF_SCOUT_IMPORT'!$Q$42:$Q$1040,SUBSTITUTE(SUBSTITUTE(SUBSTITUTE($M202,"~","~~"),"*","~*"),"?","~?"),'DEF_SELF_SCOUT_IMPORT'!$F$42:$F$1040,SUBSTITUTE(SUBSTITUTE(SUBSTITUTE($N202,"~","~~"),"*","~*"),"?","~?")))</f>
        <v>6.0</v>
      </c>
      <c r="G202" s="10">
        <f>IF($C202=0,"",COUNTIFS('DEF_SELF_SCOUT_IMPORT'!$L$42:$L$1040,"Y",'DEF_SELF_SCOUT_IMPORT'!$E$42:$E$1040,SUBSTITUTE(SUBSTITUTE(SUBSTITUTE($B202,"~","~~"),"*","~*"),"?","~?"),'DEF_SELF_SCOUT_IMPORT'!$Q$42:$Q$1040,SUBSTITUTE(SUBSTITUTE(SUBSTITUTE($M202,"~","~~"),"*","~*"),"?","~?"),'DEF_SELF_SCOUT_IMPORT'!$F$42:$F$1040,SUBSTITUTE(SUBSTITUTE(SUBSTITUTE($N202,"~","~~"),"*","~*"),"?","~?"),'DEF_SELF_SCOUT_IMPORT'!$H$42:$H$1040,"RUSH")/$C202)</f>
        <v>0.0</v>
      </c>
      <c r="H202" s="10">
        <f>IF($C202=0,"",COUNTIFS('DEF_SELF_SCOUT_IMPORT'!$L$42:$L$1040,"Y",'DEF_SELF_SCOUT_IMPORT'!$E$42:$E$1040,SUBSTITUTE(SUBSTITUTE(SUBSTITUTE($B202,"~","~~"),"*","~*"),"?","~?"),'DEF_SELF_SCOUT_IMPORT'!$Q$42:$Q$1040,SUBSTITUTE(SUBSTITUTE(SUBSTITUTE($M202,"~","~~"),"*","~*"),"?","~?"),'DEF_SELF_SCOUT_IMPORT'!$F$42:$F$1040,SUBSTITUTE(SUBSTITUTE(SUBSTITUTE($N202,"~","~~"),"*","~*"),"?","~?"),'DEF_SELF_SCOUT_IMPORT'!$H$42:$H$1040,"DROPBACK")/$C202)</f>
        <v>1.0</v>
      </c>
      <c r="I202" s="14" t="str">
        <f>IF(C202=0,"",IF(C202&lt;=2,"TRACK",IF(C202=3,"LOW",IF(C202&lt;=6,"MEDIUM","HIGH"))))</f>
        <v>TRACK</v>
      </c>
      <c r="J202" s="11">
        <f>IF(C202=0,"",ROUND(D202*70+(1-E202)*20+MAX(0,MIN(1,(10-F202)/10))*10,1))</f>
        <v>94.0</v>
      </c>
      <c r="K202" s="14" t="str">
        <f>IF(C202=0,"No Evidence",IF(C202&lt;=2,IF(E202&gt;0,"Explosive Alert","Track Only"),IF(C202=3,"Sample Watch",IF(E202&gt;=START_HERE!$B$31,"Explosive Alert",IF(J202&gt;=80,"Strong Candidate",IF(J202&gt;=65,"Good Candidate",IF(J202&gt;=50,"Mixed / Review","Problem Call")))))))</f>
        <v>Track Only</v>
      </c>
      <c r="L202" s="9" t="str">
        <f>IF(COUNTIFS('DEF_SELF_SCOUT_IMPORT'!$L$42:$L$1040,"Y",'DEF_SELF_SCOUT_IMPORT'!$E$42:$E$1040,SUBSTITUTE(SUBSTITUTE(SUBSTITUTE($B202,"~","~~"),"*","~*"),"?","~?"),'DEF_SELF_SCOUT_IMPORT'!$Q$42:$Q$1040,SUBSTITUTE(SUBSTITUTE(SUBSTITUTE($M202,"~","~~"),"*","~*"),"?","~?"),'DEF_SELF_SCOUT_IMPORT'!$F$42:$F$1040,SUBSTITUTE(SUBSTITUTE(SUBSTITUTE($N202,"~","~~"),"*","~*"),"?","~?"),'DEF_SELF_SCOUT_IMPORT'!$J$42:$J$1040,"")&gt;0,"Unscored clean outcome; review result tags before using score.",IF(C202=0,"No matching defensive reps; film confirmation needed.",IF(K202="Explosive Alert","Explosive risk; review clips before using as answer.",IF(C202&lt;=2,"Track only; not enough sample.",IF(C202=3,IF(E202&gt;0,"Sample watch with explosive exposure; review clips and build the sample.",IF(J202&gt;=65,"Good signal, but sample is limited.","Sample watch; review clips and build the sample.")),IF(K202="Problem Call","Problem area; practice or call-sheet review.",IF(K202="Strong Candidate","Strong call-fit candidate; confirm on film.",IF(K202="Good Candidate","Good call-fit signal; confirm on film.","Mixed signal; review fit and execution on film."))))))))</f>
        <v>Track only; not enough sample.</v>
      </c>
      <c r="M202" s="8" t="s">
        <v>39</v>
      </c>
      <c r="N202" s="8" t="s">
        <v>120</v>
      </c>
      <c r="O202" s="8"/>
      <c r="P202" s="8"/>
      <c r="Q202" s="8"/>
      <c r="R202" s="8" t="s">
        <v>28</v>
      </c>
      <c r="S202" s="2" t="s">
        <v>135</v>
      </c>
      <c r="T202" s="2">
        <f>IF(C202=0,0,IF(C202&gt;=CALL_LOOKUP_BOARD!$B$7,IF(OR(K202="Problem Call",K202="Explosive Alert"),10000000,20000000),0)+IF(C202&gt;=CALL_LOOKUP_BOARD!$B$7,J202*1000+MIN(C202,999),C202*1000+J202)+0.00998300)</f>
        <v>1094.009983</v>
      </c>
      <c r="U202" s="2">
        <f>IF(C202=0,"",IF(COUNTIFS($S$186:$S$367,SUBSTITUTE(SUBSTITUTE(SUBSTITUTE(S202,"~","~~"),"*","~*"),"?","~?"),$T$186:$T$367,"&gt;"&amp;T202)=0,S202,""))</f>
        <v/>
      </c>
    </row>
    <row r="203" spans="1:21" ht="38" customHeight="1">
      <c r="A203" s="8" t="s">
        <v>134</v>
      </c>
      <c r="B203" s="8" t="s">
        <v>34</v>
      </c>
      <c r="C203" s="12">
        <f>COUNTIFS('DEF_SELF_SCOUT_IMPORT'!$L$42:$L$1040,"Y",'DEF_SELF_SCOUT_IMPORT'!$E$42:$E$1040,SUBSTITUTE(SUBSTITUTE(SUBSTITUTE($B203,"~","~~"),"*","~*"),"?","~?"),'DEF_SELF_SCOUT_IMPORT'!$Q$42:$Q$1040,SUBSTITUTE(SUBSTITUTE(SUBSTITUTE($M203,"~","~~"),"*","~*"),"?","~?"),'DEF_SELF_SCOUT_IMPORT'!$F$42:$F$1040,SUBSTITUTE(SUBSTITUTE(SUBSTITUTE($N203,"~","~~"),"*","~*"),"?","~?"))</f>
        <v>2</v>
      </c>
      <c r="D203" s="10">
        <f>IF($C203=0,"",SUMIFS('DEF_SELF_SCOUT_IMPORT'!$J$42:$J$1040,'DEF_SELF_SCOUT_IMPORT'!$L$42:$L$1040,"Y",'DEF_SELF_SCOUT_IMPORT'!$E$42:$E$1040,SUBSTITUTE(SUBSTITUTE(SUBSTITUTE($B203,"~","~~"),"*","~*"),"?","~?"),'DEF_SELF_SCOUT_IMPORT'!$Q$42:$Q$1040,SUBSTITUTE(SUBSTITUTE(SUBSTITUTE($M203,"~","~~"),"*","~*"),"?","~?"),'DEF_SELF_SCOUT_IMPORT'!$F$42:$F$1040,SUBSTITUTE(SUBSTITUTE(SUBSTITUTE($N203,"~","~~"),"*","~*"),"?","~?"))/$C203)</f>
        <v>0.0</v>
      </c>
      <c r="E203" s="10">
        <f>IF($C203=0,"",SUMIFS('DEF_SELF_SCOUT_IMPORT'!$K$42:$K$1040,'DEF_SELF_SCOUT_IMPORT'!$L$42:$L$1040,"Y",'DEF_SELF_SCOUT_IMPORT'!$E$42:$E$1040,SUBSTITUTE(SUBSTITUTE(SUBSTITUTE($B203,"~","~~"),"*","~*"),"?","~?"),'DEF_SELF_SCOUT_IMPORT'!$Q$42:$Q$1040,SUBSTITUTE(SUBSTITUTE(SUBSTITUTE($M203,"~","~~"),"*","~*"),"?","~?"),'DEF_SELF_SCOUT_IMPORT'!$F$42:$F$1040,SUBSTITUTE(SUBSTITUTE(SUBSTITUTE($N203,"~","~~"),"*","~*"),"?","~?"))/$C203)</f>
        <v>0.5</v>
      </c>
      <c r="F203" s="11">
        <f>IF($C203=0,"",AVERAGEIFS('DEF_SELF_SCOUT_IMPORT'!$I$42:$I$1040,'DEF_SELF_SCOUT_IMPORT'!$L$42:$L$1040,"Y",'DEF_SELF_SCOUT_IMPORT'!$E$42:$E$1040,SUBSTITUTE(SUBSTITUTE(SUBSTITUTE($B203,"~","~~"),"*","~*"),"?","~?"),'DEF_SELF_SCOUT_IMPORT'!$Q$42:$Q$1040,SUBSTITUTE(SUBSTITUTE(SUBSTITUTE($M203,"~","~~"),"*","~*"),"?","~?"),'DEF_SELF_SCOUT_IMPORT'!$F$42:$F$1040,SUBSTITUTE(SUBSTITUTE(SUBSTITUTE($N203,"~","~~"),"*","~*"),"?","~?")))</f>
        <v>30.5</v>
      </c>
      <c r="G203" s="10">
        <f>IF($C203=0,"",COUNTIFS('DEF_SELF_SCOUT_IMPORT'!$L$42:$L$1040,"Y",'DEF_SELF_SCOUT_IMPORT'!$E$42:$E$1040,SUBSTITUTE(SUBSTITUTE(SUBSTITUTE($B203,"~","~~"),"*","~*"),"?","~?"),'DEF_SELF_SCOUT_IMPORT'!$Q$42:$Q$1040,SUBSTITUTE(SUBSTITUTE(SUBSTITUTE($M203,"~","~~"),"*","~*"),"?","~?"),'DEF_SELF_SCOUT_IMPORT'!$F$42:$F$1040,SUBSTITUTE(SUBSTITUTE(SUBSTITUTE($N203,"~","~~"),"*","~*"),"?","~?"),'DEF_SELF_SCOUT_IMPORT'!$H$42:$H$1040,"RUSH")/$C203)</f>
        <v>0.5</v>
      </c>
      <c r="H203" s="10">
        <f>IF($C203=0,"",COUNTIFS('DEF_SELF_SCOUT_IMPORT'!$L$42:$L$1040,"Y",'DEF_SELF_SCOUT_IMPORT'!$E$42:$E$1040,SUBSTITUTE(SUBSTITUTE(SUBSTITUTE($B203,"~","~~"),"*","~*"),"?","~?"),'DEF_SELF_SCOUT_IMPORT'!$Q$42:$Q$1040,SUBSTITUTE(SUBSTITUTE(SUBSTITUTE($M203,"~","~~"),"*","~*"),"?","~?"),'DEF_SELF_SCOUT_IMPORT'!$F$42:$F$1040,SUBSTITUTE(SUBSTITUTE(SUBSTITUTE($N203,"~","~~"),"*","~*"),"?","~?"),'DEF_SELF_SCOUT_IMPORT'!$H$42:$H$1040,"DROPBACK")/$C203)</f>
        <v>0.0</v>
      </c>
      <c r="I203" s="14" t="str">
        <f>IF(C203=0,"",IF(C203&lt;=2,"TRACK",IF(C203=3,"LOW",IF(C203&lt;=6,"MEDIUM","HIGH"))))</f>
        <v>TRACK</v>
      </c>
      <c r="J203" s="11">
        <f>IF(C203=0,"",ROUND(D203*70+(1-E203)*20+MAX(0,MIN(1,(10-F203)/10))*10,1))</f>
        <v>10.0</v>
      </c>
      <c r="K203" s="14" t="str">
        <f>IF(C203=0,"No Evidence",IF(C203&lt;=2,IF(E203&gt;0,"Explosive Alert","Track Only"),IF(C203=3,"Sample Watch",IF(E203&gt;=START_HERE!$B$31,"Explosive Alert",IF(J203&gt;=80,"Strong Candidate",IF(J203&gt;=65,"Good Candidate",IF(J203&gt;=50,"Mixed / Review","Problem Call")))))))</f>
        <v>Explosive Alert</v>
      </c>
      <c r="L203" s="9" t="str">
        <f>IF(COUNTIFS('DEF_SELF_SCOUT_IMPORT'!$L$42:$L$1040,"Y",'DEF_SELF_SCOUT_IMPORT'!$E$42:$E$1040,SUBSTITUTE(SUBSTITUTE(SUBSTITUTE($B203,"~","~~"),"*","~*"),"?","~?"),'DEF_SELF_SCOUT_IMPORT'!$Q$42:$Q$1040,SUBSTITUTE(SUBSTITUTE(SUBSTITUTE($M203,"~","~~"),"*","~*"),"?","~?"),'DEF_SELF_SCOUT_IMPORT'!$F$42:$F$1040,SUBSTITUTE(SUBSTITUTE(SUBSTITUTE($N203,"~","~~"),"*","~*"),"?","~?"),'DEF_SELF_SCOUT_IMPORT'!$J$42:$J$1040,"")&gt;0,"Unscored clean outcome; review result tags before using score.",IF(C203=0,"No matching defensive reps; film confirmation needed.",IF(K203="Explosive Alert","Explosive risk; review clips before using as answer.",IF(C203&lt;=2,"Track only; not enough sample.",IF(C203=3,IF(E203&gt;0,"Sample watch with explosive exposure; review clips and build the sample.",IF(J203&gt;=65,"Good signal, but sample is limited.","Sample watch; review clips and build the sample.")),IF(K203="Problem Call","Problem area; practice or call-sheet review.",IF(K203="Strong Candidate","Strong call-fit candidate; confirm on film.",IF(K203="Good Candidate","Good call-fit signal; confirm on film.","Mixed signal; review fit and execution on film."))))))))</f>
        <v>Explosive risk; review clips before using as answer.</v>
      </c>
      <c r="M203" s="8" t="s">
        <v>39</v>
      </c>
      <c r="N203" s="8" t="s">
        <v>120</v>
      </c>
      <c r="O203" s="8"/>
      <c r="P203" s="8"/>
      <c r="Q203" s="8"/>
      <c r="R203" s="8" t="s">
        <v>28</v>
      </c>
      <c r="S203" s="2" t="s">
        <v>135</v>
      </c>
      <c r="T203" s="2">
        <f>IF(C203=0,0,IF(C203&gt;=CALL_LOOKUP_BOARD!$B$7,IF(OR(K203="Problem Call",K203="Explosive Alert"),10000000,20000000),0)+IF(C203&gt;=CALL_LOOKUP_BOARD!$B$7,J203*1000+MIN(C203,999),C203*1000+J203)+0.00998200)</f>
        <v>2010.009982</v>
      </c>
      <c r="U203" s="2">
        <f>IF(C203=0,"",IF(COUNTIFS($S$186:$S$367,SUBSTITUTE(SUBSTITUTE(SUBSTITUTE(S203,"~","~~"),"*","~*"),"?","~?"),$T$186:$T$367,"&gt;"&amp;T203)=0,S203,""))</f>
        <v/>
      </c>
    </row>
    <row r="204" spans="1:21" ht="38" customHeight="1">
      <c r="A204" s="8" t="s">
        <v>134</v>
      </c>
      <c r="B204" s="8" t="s">
        <v>49</v>
      </c>
      <c r="C204" s="12">
        <f>COUNTIFS('DEF_SELF_SCOUT_IMPORT'!$L$42:$L$1040,"Y",'DEF_SELF_SCOUT_IMPORT'!$E$42:$E$1040,SUBSTITUTE(SUBSTITUTE(SUBSTITUTE($B204,"~","~~"),"*","~*"),"?","~?"),'DEF_SELF_SCOUT_IMPORT'!$Q$42:$Q$1040,SUBSTITUTE(SUBSTITUTE(SUBSTITUTE($M204,"~","~~"),"*","~*"),"?","~?"),'DEF_SELF_SCOUT_IMPORT'!$F$42:$F$1040,SUBSTITUTE(SUBSTITUTE(SUBSTITUTE($N204,"~","~~"),"*","~*"),"?","~?"))</f>
        <v>1</v>
      </c>
      <c r="D204" s="10">
        <f>IF($C204=0,"",SUMIFS('DEF_SELF_SCOUT_IMPORT'!$J$42:$J$1040,'DEF_SELF_SCOUT_IMPORT'!$L$42:$L$1040,"Y",'DEF_SELF_SCOUT_IMPORT'!$E$42:$E$1040,SUBSTITUTE(SUBSTITUTE(SUBSTITUTE($B204,"~","~~"),"*","~*"),"?","~?"),'DEF_SELF_SCOUT_IMPORT'!$Q$42:$Q$1040,SUBSTITUTE(SUBSTITUTE(SUBSTITUTE($M204,"~","~~"),"*","~*"),"?","~?"),'DEF_SELF_SCOUT_IMPORT'!$F$42:$F$1040,SUBSTITUTE(SUBSTITUTE(SUBSTITUTE($N204,"~","~~"),"*","~*"),"?","~?"))/$C204)</f>
        <v>1.0</v>
      </c>
      <c r="E204" s="10">
        <f>IF($C204=0,"",SUMIFS('DEF_SELF_SCOUT_IMPORT'!$K$42:$K$1040,'DEF_SELF_SCOUT_IMPORT'!$L$42:$L$1040,"Y",'DEF_SELF_SCOUT_IMPORT'!$E$42:$E$1040,SUBSTITUTE(SUBSTITUTE(SUBSTITUTE($B204,"~","~~"),"*","~*"),"?","~?"),'DEF_SELF_SCOUT_IMPORT'!$Q$42:$Q$1040,SUBSTITUTE(SUBSTITUTE(SUBSTITUTE($M204,"~","~~"),"*","~*"),"?","~?"),'DEF_SELF_SCOUT_IMPORT'!$F$42:$F$1040,SUBSTITUTE(SUBSTITUTE(SUBSTITUTE($N204,"~","~~"),"*","~*"),"?","~?"))/$C204)</f>
        <v>0.0</v>
      </c>
      <c r="F204" s="11">
        <f>IF($C204=0,"",AVERAGEIFS('DEF_SELF_SCOUT_IMPORT'!$I$42:$I$1040,'DEF_SELF_SCOUT_IMPORT'!$L$42:$L$1040,"Y",'DEF_SELF_SCOUT_IMPORT'!$E$42:$E$1040,SUBSTITUTE(SUBSTITUTE(SUBSTITUTE($B204,"~","~~"),"*","~*"),"?","~?"),'DEF_SELF_SCOUT_IMPORT'!$Q$42:$Q$1040,SUBSTITUTE(SUBSTITUTE(SUBSTITUTE($M204,"~","~~"),"*","~*"),"?","~?"),'DEF_SELF_SCOUT_IMPORT'!$F$42:$F$1040,SUBSTITUTE(SUBSTITUTE(SUBSTITUTE($N204,"~","~~"),"*","~*"),"?","~?")))</f>
        <v>0.0</v>
      </c>
      <c r="G204" s="10">
        <f>IF($C204=0,"",COUNTIFS('DEF_SELF_SCOUT_IMPORT'!$L$42:$L$1040,"Y",'DEF_SELF_SCOUT_IMPORT'!$E$42:$E$1040,SUBSTITUTE(SUBSTITUTE(SUBSTITUTE($B204,"~","~~"),"*","~*"),"?","~?"),'DEF_SELF_SCOUT_IMPORT'!$Q$42:$Q$1040,SUBSTITUTE(SUBSTITUTE(SUBSTITUTE($M204,"~","~~"),"*","~*"),"?","~?"),'DEF_SELF_SCOUT_IMPORT'!$F$42:$F$1040,SUBSTITUTE(SUBSTITUTE(SUBSTITUTE($N204,"~","~~"),"*","~*"),"?","~?"),'DEF_SELF_SCOUT_IMPORT'!$H$42:$H$1040,"RUSH")/$C204)</f>
        <v>0.0</v>
      </c>
      <c r="H204" s="10">
        <f>IF($C204=0,"",COUNTIFS('DEF_SELF_SCOUT_IMPORT'!$L$42:$L$1040,"Y",'DEF_SELF_SCOUT_IMPORT'!$E$42:$E$1040,SUBSTITUTE(SUBSTITUTE(SUBSTITUTE($B204,"~","~~"),"*","~*"),"?","~?"),'DEF_SELF_SCOUT_IMPORT'!$Q$42:$Q$1040,SUBSTITUTE(SUBSTITUTE(SUBSTITUTE($M204,"~","~~"),"*","~*"),"?","~?"),'DEF_SELF_SCOUT_IMPORT'!$F$42:$F$1040,SUBSTITUTE(SUBSTITUTE(SUBSTITUTE($N204,"~","~~"),"*","~*"),"?","~?"),'DEF_SELF_SCOUT_IMPORT'!$H$42:$H$1040,"DROPBACK")/$C204)</f>
        <v>1.0</v>
      </c>
      <c r="I204" s="14" t="str">
        <f>IF(C204=0,"",IF(C204&lt;=2,"TRACK",IF(C204=3,"LOW",IF(C204&lt;=6,"MEDIUM","HIGH"))))</f>
        <v>TRACK</v>
      </c>
      <c r="J204" s="11">
        <f>IF(C204=0,"",ROUND(D204*70+(1-E204)*20+MAX(0,MIN(1,(10-F204)/10))*10,1))</f>
        <v>100.0</v>
      </c>
      <c r="K204" s="14" t="str">
        <f>IF(C204=0,"No Evidence",IF(C204&lt;=2,IF(E204&gt;0,"Explosive Alert","Track Only"),IF(C204=3,"Sample Watch",IF(E204&gt;=START_HERE!$B$31,"Explosive Alert",IF(J204&gt;=80,"Strong Candidate",IF(J204&gt;=65,"Good Candidate",IF(J204&gt;=50,"Mixed / Review","Problem Call")))))))</f>
        <v>Track Only</v>
      </c>
      <c r="L204" s="9" t="str">
        <f>IF(COUNTIFS('DEF_SELF_SCOUT_IMPORT'!$L$42:$L$1040,"Y",'DEF_SELF_SCOUT_IMPORT'!$E$42:$E$1040,SUBSTITUTE(SUBSTITUTE(SUBSTITUTE($B204,"~","~~"),"*","~*"),"?","~?"),'DEF_SELF_SCOUT_IMPORT'!$Q$42:$Q$1040,SUBSTITUTE(SUBSTITUTE(SUBSTITUTE($M204,"~","~~"),"*","~*"),"?","~?"),'DEF_SELF_SCOUT_IMPORT'!$F$42:$F$1040,SUBSTITUTE(SUBSTITUTE(SUBSTITUTE($N204,"~","~~"),"*","~*"),"?","~?"),'DEF_SELF_SCOUT_IMPORT'!$J$42:$J$1040,"")&gt;0,"Unscored clean outcome; review result tags before using score.",IF(C204=0,"No matching defensive reps; film confirmation needed.",IF(K204="Explosive Alert","Explosive risk; review clips before using as answer.",IF(C204&lt;=2,"Track only; not enough sample.",IF(C204=3,IF(E204&gt;0,"Sample watch with explosive exposure; review clips and build the sample.",IF(J204&gt;=65,"Good signal, but sample is limited.","Sample watch; review clips and build the sample.")),IF(K204="Problem Call","Problem area; practice or call-sheet review.",IF(K204="Strong Candidate","Strong call-fit candidate; confirm on film.",IF(K204="Good Candidate","Good call-fit signal; confirm on film.","Mixed signal; review fit and execution on film."))))))))</f>
        <v>Track only; not enough sample.</v>
      </c>
      <c r="M204" s="8" t="s">
        <v>39</v>
      </c>
      <c r="N204" s="8" t="s">
        <v>120</v>
      </c>
      <c r="O204" s="8"/>
      <c r="P204" s="8"/>
      <c r="Q204" s="8"/>
      <c r="R204" s="8" t="s">
        <v>28</v>
      </c>
      <c r="S204" s="2" t="s">
        <v>135</v>
      </c>
      <c r="T204" s="2">
        <f>IF(C204=0,0,IF(C204&gt;=CALL_LOOKUP_BOARD!$B$7,IF(OR(K204="Problem Call",K204="Explosive Alert"),10000000,20000000),0)+IF(C204&gt;=CALL_LOOKUP_BOARD!$B$7,J204*1000+MIN(C204,999),C204*1000+J204)+0.00998100)</f>
        <v>1100.009981</v>
      </c>
      <c r="U204" s="2">
        <f>IF(C204=0,"",IF(COUNTIFS($S$186:$S$367,SUBSTITUTE(SUBSTITUTE(SUBSTITUTE(S204,"~","~~"),"*","~*"),"?","~?"),$T$186:$T$367,"&gt;"&amp;T204)=0,S204,""))</f>
        <v/>
      </c>
    </row>
    <row r="205" spans="1:21" ht="38" customHeight="1">
      <c r="A205" s="8" t="s">
        <v>134</v>
      </c>
      <c r="B205" s="8" t="s">
        <v>53</v>
      </c>
      <c r="C205" s="12">
        <f>COUNTIFS('DEF_SELF_SCOUT_IMPORT'!$L$42:$L$1040,"Y",'DEF_SELF_SCOUT_IMPORT'!$E$42:$E$1040,SUBSTITUTE(SUBSTITUTE(SUBSTITUTE($B205,"~","~~"),"*","~*"),"?","~?"),'DEF_SELF_SCOUT_IMPORT'!$Q$42:$Q$1040,SUBSTITUTE(SUBSTITUTE(SUBSTITUTE($M205,"~","~~"),"*","~*"),"?","~?"),'DEF_SELF_SCOUT_IMPORT'!$F$42:$F$1040,SUBSTITUTE(SUBSTITUTE(SUBSTITUTE($N205,"~","~~"),"*","~*"),"?","~?"))</f>
        <v>9</v>
      </c>
      <c r="D205" s="10">
        <f>IF($C205=0,"",SUMIFS('DEF_SELF_SCOUT_IMPORT'!$J$42:$J$1040,'DEF_SELF_SCOUT_IMPORT'!$L$42:$L$1040,"Y",'DEF_SELF_SCOUT_IMPORT'!$E$42:$E$1040,SUBSTITUTE(SUBSTITUTE(SUBSTITUTE($B205,"~","~~"),"*","~*"),"?","~?"),'DEF_SELF_SCOUT_IMPORT'!$Q$42:$Q$1040,SUBSTITUTE(SUBSTITUTE(SUBSTITUTE($M205,"~","~~"),"*","~*"),"?","~?"),'DEF_SELF_SCOUT_IMPORT'!$F$42:$F$1040,SUBSTITUTE(SUBSTITUTE(SUBSTITUTE($N205,"~","~~"),"*","~*"),"?","~?"))/$C205)</f>
        <v>0.5555555555555556</v>
      </c>
      <c r="E205" s="10">
        <f>IF($C205=0,"",SUMIFS('DEF_SELF_SCOUT_IMPORT'!$K$42:$K$1040,'DEF_SELF_SCOUT_IMPORT'!$L$42:$L$1040,"Y",'DEF_SELF_SCOUT_IMPORT'!$E$42:$E$1040,SUBSTITUTE(SUBSTITUTE(SUBSTITUTE($B205,"~","~~"),"*","~*"),"?","~?"),'DEF_SELF_SCOUT_IMPORT'!$Q$42:$Q$1040,SUBSTITUTE(SUBSTITUTE(SUBSTITUTE($M205,"~","~~"),"*","~*"),"?","~?"),'DEF_SELF_SCOUT_IMPORT'!$F$42:$F$1040,SUBSTITUTE(SUBSTITUTE(SUBSTITUTE($N205,"~","~~"),"*","~*"),"?","~?"))/$C205)</f>
        <v>0.0</v>
      </c>
      <c r="F205" s="11">
        <f>IF($C205=0,"",AVERAGEIFS('DEF_SELF_SCOUT_IMPORT'!$I$42:$I$1040,'DEF_SELF_SCOUT_IMPORT'!$L$42:$L$1040,"Y",'DEF_SELF_SCOUT_IMPORT'!$E$42:$E$1040,SUBSTITUTE(SUBSTITUTE(SUBSTITUTE($B205,"~","~~"),"*","~*"),"?","~?"),'DEF_SELF_SCOUT_IMPORT'!$Q$42:$Q$1040,SUBSTITUTE(SUBSTITUTE(SUBSTITUTE($M205,"~","~~"),"*","~*"),"?","~?"),'DEF_SELF_SCOUT_IMPORT'!$F$42:$F$1040,SUBSTITUTE(SUBSTITUTE(SUBSTITUTE($N205,"~","~~"),"*","~*"),"?","~?")))</f>
        <v>5.222222222222222</v>
      </c>
      <c r="G205" s="10">
        <f>IF($C205=0,"",COUNTIFS('DEF_SELF_SCOUT_IMPORT'!$L$42:$L$1040,"Y",'DEF_SELF_SCOUT_IMPORT'!$E$42:$E$1040,SUBSTITUTE(SUBSTITUTE(SUBSTITUTE($B205,"~","~~"),"*","~*"),"?","~?"),'DEF_SELF_SCOUT_IMPORT'!$Q$42:$Q$1040,SUBSTITUTE(SUBSTITUTE(SUBSTITUTE($M205,"~","~~"),"*","~*"),"?","~?"),'DEF_SELF_SCOUT_IMPORT'!$F$42:$F$1040,SUBSTITUTE(SUBSTITUTE(SUBSTITUTE($N205,"~","~~"),"*","~*"),"?","~?"),'DEF_SELF_SCOUT_IMPORT'!$H$42:$H$1040,"RUSH")/$C205)</f>
        <v>0.5555555555555556</v>
      </c>
      <c r="H205" s="10">
        <f>IF($C205=0,"",COUNTIFS('DEF_SELF_SCOUT_IMPORT'!$L$42:$L$1040,"Y",'DEF_SELF_SCOUT_IMPORT'!$E$42:$E$1040,SUBSTITUTE(SUBSTITUTE(SUBSTITUTE($B205,"~","~~"),"*","~*"),"?","~?"),'DEF_SELF_SCOUT_IMPORT'!$Q$42:$Q$1040,SUBSTITUTE(SUBSTITUTE(SUBSTITUTE($M205,"~","~~"),"*","~*"),"?","~?"),'DEF_SELF_SCOUT_IMPORT'!$F$42:$F$1040,SUBSTITUTE(SUBSTITUTE(SUBSTITUTE($N205,"~","~~"),"*","~*"),"?","~?"),'DEF_SELF_SCOUT_IMPORT'!$H$42:$H$1040,"DROPBACK")/$C205)</f>
        <v>0.4444444444444444</v>
      </c>
      <c r="I205" s="14" t="str">
        <f>IF(C205=0,"",IF(C205&lt;=2,"TRACK",IF(C205=3,"LOW",IF(C205&lt;=6,"MEDIUM","HIGH"))))</f>
        <v>HIGH</v>
      </c>
      <c r="J205" s="11">
        <f>IF(C205=0,"",ROUND(D205*70+(1-E205)*20+MAX(0,MIN(1,(10-F205)/10))*10,1))</f>
        <v>63.7</v>
      </c>
      <c r="K205" s="14" t="str">
        <f>IF(C205=0,"No Evidence",IF(C205&lt;=2,IF(E205&gt;0,"Explosive Alert","Track Only"),IF(C205=3,"Sample Watch",IF(E205&gt;=START_HERE!$B$31,"Explosive Alert",IF(J205&gt;=80,"Strong Candidate",IF(J205&gt;=65,"Good Candidate",IF(J205&gt;=50,"Mixed / Review","Problem Call")))))))</f>
        <v>Mixed / Review</v>
      </c>
      <c r="L205" s="9" t="str">
        <f>IF(COUNTIFS('DEF_SELF_SCOUT_IMPORT'!$L$42:$L$1040,"Y",'DEF_SELF_SCOUT_IMPORT'!$E$42:$E$1040,SUBSTITUTE(SUBSTITUTE(SUBSTITUTE($B205,"~","~~"),"*","~*"),"?","~?"),'DEF_SELF_SCOUT_IMPORT'!$Q$42:$Q$1040,SUBSTITUTE(SUBSTITUTE(SUBSTITUTE($M205,"~","~~"),"*","~*"),"?","~?"),'DEF_SELF_SCOUT_IMPORT'!$F$42:$F$1040,SUBSTITUTE(SUBSTITUTE(SUBSTITUTE($N205,"~","~~"),"*","~*"),"?","~?"),'DEF_SELF_SCOUT_IMPORT'!$J$42:$J$1040,"")&gt;0,"Unscored clean outcome; review result tags before using score.",IF(C205=0,"No matching defensive reps; film confirmation needed.",IF(K205="Explosive Alert","Explosive risk; review clips before using as answer.",IF(C205&lt;=2,"Track only; not enough sample.",IF(C205=3,IF(E205&gt;0,"Sample watch with explosive exposure; review clips and build the sample.",IF(J205&gt;=65,"Good signal, but sample is limited.","Sample watch; review clips and build the sample.")),IF(K205="Problem Call","Problem area; practice or call-sheet review.",IF(K205="Strong Candidate","Strong call-fit candidate; confirm on film.",IF(K205="Good Candidate","Good call-fit signal; confirm on film.","Mixed signal; review fit and execution on film."))))))))</f>
        <v>Mixed signal; review fit and execution on film.</v>
      </c>
      <c r="M205" s="8" t="s">
        <v>39</v>
      </c>
      <c r="N205" s="8" t="s">
        <v>120</v>
      </c>
      <c r="O205" s="8"/>
      <c r="P205" s="8"/>
      <c r="Q205" s="8"/>
      <c r="R205" s="8" t="s">
        <v>45</v>
      </c>
      <c r="S205" s="2" t="s">
        <v>135</v>
      </c>
      <c r="T205" s="2">
        <f>IF(C205=0,0,IF(C205&gt;=CALL_LOOKUP_BOARD!$B$7,IF(OR(K205="Problem Call",K205="Explosive Alert"),10000000,20000000),0)+IF(C205&gt;=CALL_LOOKUP_BOARD!$B$7,J205*1000+MIN(C205,999),C205*1000+J205)+0.00998000)</f>
        <v>20063709.00998</v>
      </c>
      <c r="U205" s="2">
        <f>IF(C205=0,"",IF(COUNTIFS($S$186:$S$367,SUBSTITUTE(SUBSTITUTE(SUBSTITUTE(S205,"~","~~"),"*","~*"),"?","~?"),$T$186:$T$367,"&gt;"&amp;T205)=0,S205,""))</f>
        <v/>
      </c>
    </row>
    <row r="206" spans="1:21" ht="38" customHeight="1">
      <c r="A206" s="8" t="s">
        <v>134</v>
      </c>
      <c r="B206" s="8" t="s">
        <v>54</v>
      </c>
      <c r="C206" s="12">
        <f>COUNTIFS('DEF_SELF_SCOUT_IMPORT'!$L$42:$L$1040,"Y",'DEF_SELF_SCOUT_IMPORT'!$E$42:$E$1040,SUBSTITUTE(SUBSTITUTE(SUBSTITUTE($B206,"~","~~"),"*","~*"),"?","~?"),'DEF_SELF_SCOUT_IMPORT'!$Q$42:$Q$1040,SUBSTITUTE(SUBSTITUTE(SUBSTITUTE($M206,"~","~~"),"*","~*"),"?","~?"),'DEF_SELF_SCOUT_IMPORT'!$F$42:$F$1040,SUBSTITUTE(SUBSTITUTE(SUBSTITUTE($N206,"~","~~"),"*","~*"),"?","~?"))</f>
        <v>1</v>
      </c>
      <c r="D206" s="10">
        <f>IF($C206=0,"",SUMIFS('DEF_SELF_SCOUT_IMPORT'!$J$42:$J$1040,'DEF_SELF_SCOUT_IMPORT'!$L$42:$L$1040,"Y",'DEF_SELF_SCOUT_IMPORT'!$E$42:$E$1040,SUBSTITUTE(SUBSTITUTE(SUBSTITUTE($B206,"~","~~"),"*","~*"),"?","~?"),'DEF_SELF_SCOUT_IMPORT'!$Q$42:$Q$1040,SUBSTITUTE(SUBSTITUTE(SUBSTITUTE($M206,"~","~~"),"*","~*"),"?","~?"),'DEF_SELF_SCOUT_IMPORT'!$F$42:$F$1040,SUBSTITUTE(SUBSTITUTE(SUBSTITUTE($N206,"~","~~"),"*","~*"),"?","~?"))/$C206)</f>
        <v>1.0</v>
      </c>
      <c r="E206" s="10">
        <f>IF($C206=0,"",SUMIFS('DEF_SELF_SCOUT_IMPORT'!$K$42:$K$1040,'DEF_SELF_SCOUT_IMPORT'!$L$42:$L$1040,"Y",'DEF_SELF_SCOUT_IMPORT'!$E$42:$E$1040,SUBSTITUTE(SUBSTITUTE(SUBSTITUTE($B206,"~","~~"),"*","~*"),"?","~?"),'DEF_SELF_SCOUT_IMPORT'!$Q$42:$Q$1040,SUBSTITUTE(SUBSTITUTE(SUBSTITUTE($M206,"~","~~"),"*","~*"),"?","~?"),'DEF_SELF_SCOUT_IMPORT'!$F$42:$F$1040,SUBSTITUTE(SUBSTITUTE(SUBSTITUTE($N206,"~","~~"),"*","~*"),"?","~?"))/$C206)</f>
        <v>0.0</v>
      </c>
      <c r="F206" s="11">
        <f>IF($C206=0,"",AVERAGEIFS('DEF_SELF_SCOUT_IMPORT'!$I$42:$I$1040,'DEF_SELF_SCOUT_IMPORT'!$L$42:$L$1040,"Y",'DEF_SELF_SCOUT_IMPORT'!$E$42:$E$1040,SUBSTITUTE(SUBSTITUTE(SUBSTITUTE($B206,"~","~~"),"*","~*"),"?","~?"),'DEF_SELF_SCOUT_IMPORT'!$Q$42:$Q$1040,SUBSTITUTE(SUBSTITUTE(SUBSTITUTE($M206,"~","~~"),"*","~*"),"?","~?"),'DEF_SELF_SCOUT_IMPORT'!$F$42:$F$1040,SUBSTITUTE(SUBSTITUTE(SUBSTITUTE($N206,"~","~~"),"*","~*"),"?","~?")))</f>
        <v>3.0</v>
      </c>
      <c r="G206" s="10">
        <f>IF($C206=0,"",COUNTIFS('DEF_SELF_SCOUT_IMPORT'!$L$42:$L$1040,"Y",'DEF_SELF_SCOUT_IMPORT'!$E$42:$E$1040,SUBSTITUTE(SUBSTITUTE(SUBSTITUTE($B206,"~","~~"),"*","~*"),"?","~?"),'DEF_SELF_SCOUT_IMPORT'!$Q$42:$Q$1040,SUBSTITUTE(SUBSTITUTE(SUBSTITUTE($M206,"~","~~"),"*","~*"),"?","~?"),'DEF_SELF_SCOUT_IMPORT'!$F$42:$F$1040,SUBSTITUTE(SUBSTITUTE(SUBSTITUTE($N206,"~","~~"),"*","~*"),"?","~?"),'DEF_SELF_SCOUT_IMPORT'!$H$42:$H$1040,"RUSH")/$C206)</f>
        <v>0.0</v>
      </c>
      <c r="H206" s="10">
        <f>IF($C206=0,"",COUNTIFS('DEF_SELF_SCOUT_IMPORT'!$L$42:$L$1040,"Y",'DEF_SELF_SCOUT_IMPORT'!$E$42:$E$1040,SUBSTITUTE(SUBSTITUTE(SUBSTITUTE($B206,"~","~~"),"*","~*"),"?","~?"),'DEF_SELF_SCOUT_IMPORT'!$Q$42:$Q$1040,SUBSTITUTE(SUBSTITUTE(SUBSTITUTE($M206,"~","~~"),"*","~*"),"?","~?"),'DEF_SELF_SCOUT_IMPORT'!$F$42:$F$1040,SUBSTITUTE(SUBSTITUTE(SUBSTITUTE($N206,"~","~~"),"*","~*"),"?","~?"),'DEF_SELF_SCOUT_IMPORT'!$H$42:$H$1040,"DROPBACK")/$C206)</f>
        <v>1.0</v>
      </c>
      <c r="I206" s="14" t="str">
        <f>IF(C206=0,"",IF(C206&lt;=2,"TRACK",IF(C206=3,"LOW",IF(C206&lt;=6,"MEDIUM","HIGH"))))</f>
        <v>TRACK</v>
      </c>
      <c r="J206" s="11">
        <f>IF(C206=0,"",ROUND(D206*70+(1-E206)*20+MAX(0,MIN(1,(10-F206)/10))*10,1))</f>
        <v>97.0</v>
      </c>
      <c r="K206" s="14" t="str">
        <f>IF(C206=0,"No Evidence",IF(C206&lt;=2,IF(E206&gt;0,"Explosive Alert","Track Only"),IF(C206=3,"Sample Watch",IF(E206&gt;=START_HERE!$B$31,"Explosive Alert",IF(J206&gt;=80,"Strong Candidate",IF(J206&gt;=65,"Good Candidate",IF(J206&gt;=50,"Mixed / Review","Problem Call")))))))</f>
        <v>Track Only</v>
      </c>
      <c r="L206" s="9" t="str">
        <f>IF(COUNTIFS('DEF_SELF_SCOUT_IMPORT'!$L$42:$L$1040,"Y",'DEF_SELF_SCOUT_IMPORT'!$E$42:$E$1040,SUBSTITUTE(SUBSTITUTE(SUBSTITUTE($B206,"~","~~"),"*","~*"),"?","~?"),'DEF_SELF_SCOUT_IMPORT'!$Q$42:$Q$1040,SUBSTITUTE(SUBSTITUTE(SUBSTITUTE($M206,"~","~~"),"*","~*"),"?","~?"),'DEF_SELF_SCOUT_IMPORT'!$F$42:$F$1040,SUBSTITUTE(SUBSTITUTE(SUBSTITUTE($N206,"~","~~"),"*","~*"),"?","~?"),'DEF_SELF_SCOUT_IMPORT'!$J$42:$J$1040,"")&gt;0,"Unscored clean outcome; review result tags before using score.",IF(C206=0,"No matching defensive reps; film confirmation needed.",IF(K206="Explosive Alert","Explosive risk; review clips before using as answer.",IF(C206&lt;=2,"Track only; not enough sample.",IF(C206=3,IF(E206&gt;0,"Sample watch with explosive exposure; review clips and build the sample.",IF(J206&gt;=65,"Good signal, but sample is limited.","Sample watch; review clips and build the sample.")),IF(K206="Problem Call","Problem area; practice or call-sheet review.",IF(K206="Strong Candidate","Strong call-fit candidate; confirm on film.",IF(K206="Good Candidate","Good call-fit signal; confirm on film.","Mixed signal; review fit and execution on film."))))))))</f>
        <v>Track only; not enough sample.</v>
      </c>
      <c r="M206" s="8" t="s">
        <v>39</v>
      </c>
      <c r="N206" s="8" t="s">
        <v>120</v>
      </c>
      <c r="O206" s="8"/>
      <c r="P206" s="8"/>
      <c r="Q206" s="8"/>
      <c r="R206" s="8" t="s">
        <v>28</v>
      </c>
      <c r="S206" s="2" t="s">
        <v>135</v>
      </c>
      <c r="T206" s="2">
        <f>IF(C206=0,0,IF(C206&gt;=CALL_LOOKUP_BOARD!$B$7,IF(OR(K206="Problem Call",K206="Explosive Alert"),10000000,20000000),0)+IF(C206&gt;=CALL_LOOKUP_BOARD!$B$7,J206*1000+MIN(C206,999),C206*1000+J206)+0.00997900)</f>
        <v>1097.009979</v>
      </c>
      <c r="U206" s="2">
        <f>IF(C206=0,"",IF(COUNTIFS($S$186:$S$367,SUBSTITUTE(SUBSTITUTE(SUBSTITUTE(S206,"~","~~"),"*","~*"),"?","~?"),$T$186:$T$367,"&gt;"&amp;T206)=0,S206,""))</f>
        <v/>
      </c>
    </row>
    <row r="207" spans="1:21" ht="38" customHeight="1">
      <c r="A207" s="8" t="s">
        <v>134</v>
      </c>
      <c r="B207" s="8" t="s">
        <v>55</v>
      </c>
      <c r="C207" s="12">
        <f>COUNTIFS('DEF_SELF_SCOUT_IMPORT'!$L$42:$L$1040,"Y",'DEF_SELF_SCOUT_IMPORT'!$E$42:$E$1040,SUBSTITUTE(SUBSTITUTE(SUBSTITUTE($B207,"~","~~"),"*","~*"),"?","~?"),'DEF_SELF_SCOUT_IMPORT'!$Q$42:$Q$1040,SUBSTITUTE(SUBSTITUTE(SUBSTITUTE($M207,"~","~~"),"*","~*"),"?","~?"),'DEF_SELF_SCOUT_IMPORT'!$F$42:$F$1040,SUBSTITUTE(SUBSTITUTE(SUBSTITUTE($N207,"~","~~"),"*","~*"),"?","~?"))</f>
        <v>1</v>
      </c>
      <c r="D207" s="10">
        <f>IF($C207=0,"",SUMIFS('DEF_SELF_SCOUT_IMPORT'!$J$42:$J$1040,'DEF_SELF_SCOUT_IMPORT'!$L$42:$L$1040,"Y",'DEF_SELF_SCOUT_IMPORT'!$E$42:$E$1040,SUBSTITUTE(SUBSTITUTE(SUBSTITUTE($B207,"~","~~"),"*","~*"),"?","~?"),'DEF_SELF_SCOUT_IMPORT'!$Q$42:$Q$1040,SUBSTITUTE(SUBSTITUTE(SUBSTITUTE($M207,"~","~~"),"*","~*"),"?","~?"),'DEF_SELF_SCOUT_IMPORT'!$F$42:$F$1040,SUBSTITUTE(SUBSTITUTE(SUBSTITUTE($N207,"~","~~"),"*","~*"),"?","~?"))/$C207)</f>
        <v>0.0</v>
      </c>
      <c r="E207" s="10">
        <f>IF($C207=0,"",SUMIFS('DEF_SELF_SCOUT_IMPORT'!$K$42:$K$1040,'DEF_SELF_SCOUT_IMPORT'!$L$42:$L$1040,"Y",'DEF_SELF_SCOUT_IMPORT'!$E$42:$E$1040,SUBSTITUTE(SUBSTITUTE(SUBSTITUTE($B207,"~","~~"),"*","~*"),"?","~?"),'DEF_SELF_SCOUT_IMPORT'!$Q$42:$Q$1040,SUBSTITUTE(SUBSTITUTE(SUBSTITUTE($M207,"~","~~"),"*","~*"),"?","~?"),'DEF_SELF_SCOUT_IMPORT'!$F$42:$F$1040,SUBSTITUTE(SUBSTITUTE(SUBSTITUTE($N207,"~","~~"),"*","~*"),"?","~?"))/$C207)</f>
        <v>0.0</v>
      </c>
      <c r="F207" s="11">
        <f>IF($C207=0,"",AVERAGEIFS('DEF_SELF_SCOUT_IMPORT'!$I$42:$I$1040,'DEF_SELF_SCOUT_IMPORT'!$L$42:$L$1040,"Y",'DEF_SELF_SCOUT_IMPORT'!$E$42:$E$1040,SUBSTITUTE(SUBSTITUTE(SUBSTITUTE($B207,"~","~~"),"*","~*"),"?","~?"),'DEF_SELF_SCOUT_IMPORT'!$Q$42:$Q$1040,SUBSTITUTE(SUBSTITUTE(SUBSTITUTE($M207,"~","~~"),"*","~*"),"?","~?"),'DEF_SELF_SCOUT_IMPORT'!$F$42:$F$1040,SUBSTITUTE(SUBSTITUTE(SUBSTITUTE($N207,"~","~~"),"*","~*"),"?","~?")))</f>
        <v>9.0</v>
      </c>
      <c r="G207" s="10">
        <f>IF($C207=0,"",COUNTIFS('DEF_SELF_SCOUT_IMPORT'!$L$42:$L$1040,"Y",'DEF_SELF_SCOUT_IMPORT'!$E$42:$E$1040,SUBSTITUTE(SUBSTITUTE(SUBSTITUTE($B207,"~","~~"),"*","~*"),"?","~?"),'DEF_SELF_SCOUT_IMPORT'!$Q$42:$Q$1040,SUBSTITUTE(SUBSTITUTE(SUBSTITUTE($M207,"~","~~"),"*","~*"),"?","~?"),'DEF_SELF_SCOUT_IMPORT'!$F$42:$F$1040,SUBSTITUTE(SUBSTITUTE(SUBSTITUTE($N207,"~","~~"),"*","~*"),"?","~?"),'DEF_SELF_SCOUT_IMPORT'!$H$42:$H$1040,"RUSH")/$C207)</f>
        <v>1.0</v>
      </c>
      <c r="H207" s="10">
        <f>IF($C207=0,"",COUNTIFS('DEF_SELF_SCOUT_IMPORT'!$L$42:$L$1040,"Y",'DEF_SELF_SCOUT_IMPORT'!$E$42:$E$1040,SUBSTITUTE(SUBSTITUTE(SUBSTITUTE($B207,"~","~~"),"*","~*"),"?","~?"),'DEF_SELF_SCOUT_IMPORT'!$Q$42:$Q$1040,SUBSTITUTE(SUBSTITUTE(SUBSTITUTE($M207,"~","~~"),"*","~*"),"?","~?"),'DEF_SELF_SCOUT_IMPORT'!$F$42:$F$1040,SUBSTITUTE(SUBSTITUTE(SUBSTITUTE($N207,"~","~~"),"*","~*"),"?","~?"),'DEF_SELF_SCOUT_IMPORT'!$H$42:$H$1040,"DROPBACK")/$C207)</f>
        <v>0.0</v>
      </c>
      <c r="I207" s="14" t="str">
        <f>IF(C207=0,"",IF(C207&lt;=2,"TRACK",IF(C207=3,"LOW",IF(C207&lt;=6,"MEDIUM","HIGH"))))</f>
        <v>TRACK</v>
      </c>
      <c r="J207" s="11">
        <f>IF(C207=0,"",ROUND(D207*70+(1-E207)*20+MAX(0,MIN(1,(10-F207)/10))*10,1))</f>
        <v>21.0</v>
      </c>
      <c r="K207" s="14" t="str">
        <f>IF(C207=0,"No Evidence",IF(C207&lt;=2,IF(E207&gt;0,"Explosive Alert","Track Only"),IF(C207=3,"Sample Watch",IF(E207&gt;=START_HERE!$B$31,"Explosive Alert",IF(J207&gt;=80,"Strong Candidate",IF(J207&gt;=65,"Good Candidate",IF(J207&gt;=50,"Mixed / Review","Problem Call")))))))</f>
        <v>Track Only</v>
      </c>
      <c r="L207" s="9" t="str">
        <f>IF(COUNTIFS('DEF_SELF_SCOUT_IMPORT'!$L$42:$L$1040,"Y",'DEF_SELF_SCOUT_IMPORT'!$E$42:$E$1040,SUBSTITUTE(SUBSTITUTE(SUBSTITUTE($B207,"~","~~"),"*","~*"),"?","~?"),'DEF_SELF_SCOUT_IMPORT'!$Q$42:$Q$1040,SUBSTITUTE(SUBSTITUTE(SUBSTITUTE($M207,"~","~~"),"*","~*"),"?","~?"),'DEF_SELF_SCOUT_IMPORT'!$F$42:$F$1040,SUBSTITUTE(SUBSTITUTE(SUBSTITUTE($N207,"~","~~"),"*","~*"),"?","~?"),'DEF_SELF_SCOUT_IMPORT'!$J$42:$J$1040,"")&gt;0,"Unscored clean outcome; review result tags before using score.",IF(C207=0,"No matching defensive reps; film confirmation needed.",IF(K207="Explosive Alert","Explosive risk; review clips before using as answer.",IF(C207&lt;=2,"Track only; not enough sample.",IF(C207=3,IF(E207&gt;0,"Sample watch with explosive exposure; review clips and build the sample.",IF(J207&gt;=65,"Good signal, but sample is limited.","Sample watch; review clips and build the sample.")),IF(K207="Problem Call","Problem area; practice or call-sheet review.",IF(K207="Strong Candidate","Strong call-fit candidate; confirm on film.",IF(K207="Good Candidate","Good call-fit signal; confirm on film.","Mixed signal; review fit and execution on film."))))))))</f>
        <v>Track only; not enough sample.</v>
      </c>
      <c r="M207" s="8" t="s">
        <v>39</v>
      </c>
      <c r="N207" s="8" t="s">
        <v>120</v>
      </c>
      <c r="O207" s="8"/>
      <c r="P207" s="8"/>
      <c r="Q207" s="8"/>
      <c r="R207" s="8" t="s">
        <v>28</v>
      </c>
      <c r="S207" s="2" t="s">
        <v>135</v>
      </c>
      <c r="T207" s="2">
        <f>IF(C207=0,0,IF(C207&gt;=CALL_LOOKUP_BOARD!$B$7,IF(OR(K207="Problem Call",K207="Explosive Alert"),10000000,20000000),0)+IF(C207&gt;=CALL_LOOKUP_BOARD!$B$7,J207*1000+MIN(C207,999),C207*1000+J207)+0.00997800)</f>
        <v>1021.009978</v>
      </c>
      <c r="U207" s="2">
        <f>IF(C207=0,"",IF(COUNTIFS($S$186:$S$367,SUBSTITUTE(SUBSTITUTE(SUBSTITUTE(S207,"~","~~"),"*","~*"),"?","~?"),$T$186:$T$367,"&gt;"&amp;T207)=0,S207,""))</f>
        <v/>
      </c>
    </row>
    <row r="208" spans="1:21" ht="38" customHeight="1">
      <c r="A208" s="8" t="s">
        <v>134</v>
      </c>
      <c r="B208" s="8" t="s">
        <v>57</v>
      </c>
      <c r="C208" s="12">
        <f>COUNTIFS('DEF_SELF_SCOUT_IMPORT'!$L$42:$L$1040,"Y",'DEF_SELF_SCOUT_IMPORT'!$E$42:$E$1040,SUBSTITUTE(SUBSTITUTE(SUBSTITUTE($B208,"~","~~"),"*","~*"),"?","~?"),'DEF_SELF_SCOUT_IMPORT'!$Q$42:$Q$1040,SUBSTITUTE(SUBSTITUTE(SUBSTITUTE($M208,"~","~~"),"*","~*"),"?","~?"),'DEF_SELF_SCOUT_IMPORT'!$F$42:$F$1040,SUBSTITUTE(SUBSTITUTE(SUBSTITUTE($N208,"~","~~"),"*","~*"),"?","~?"))</f>
        <v>1</v>
      </c>
      <c r="D208" s="10">
        <f>IF($C208=0,"",SUMIFS('DEF_SELF_SCOUT_IMPORT'!$J$42:$J$1040,'DEF_SELF_SCOUT_IMPORT'!$L$42:$L$1040,"Y",'DEF_SELF_SCOUT_IMPORT'!$E$42:$E$1040,SUBSTITUTE(SUBSTITUTE(SUBSTITUTE($B208,"~","~~"),"*","~*"),"?","~?"),'DEF_SELF_SCOUT_IMPORT'!$Q$42:$Q$1040,SUBSTITUTE(SUBSTITUTE(SUBSTITUTE($M208,"~","~~"),"*","~*"),"?","~?"),'DEF_SELF_SCOUT_IMPORT'!$F$42:$F$1040,SUBSTITUTE(SUBSTITUTE(SUBSTITUTE($N208,"~","~~"),"*","~*"),"?","~?"))/$C208)</f>
        <v>0.0</v>
      </c>
      <c r="E208" s="10">
        <f>IF($C208=0,"",SUMIFS('DEF_SELF_SCOUT_IMPORT'!$K$42:$K$1040,'DEF_SELF_SCOUT_IMPORT'!$L$42:$L$1040,"Y",'DEF_SELF_SCOUT_IMPORT'!$E$42:$E$1040,SUBSTITUTE(SUBSTITUTE(SUBSTITUTE($B208,"~","~~"),"*","~*"),"?","~?"),'DEF_SELF_SCOUT_IMPORT'!$Q$42:$Q$1040,SUBSTITUTE(SUBSTITUTE(SUBSTITUTE($M208,"~","~~"),"*","~*"),"?","~?"),'DEF_SELF_SCOUT_IMPORT'!$F$42:$F$1040,SUBSTITUTE(SUBSTITUTE(SUBSTITUTE($N208,"~","~~"),"*","~*"),"?","~?"))/$C208)</f>
        <v>0.0</v>
      </c>
      <c r="F208" s="11">
        <f>IF($C208=0,"",AVERAGEIFS('DEF_SELF_SCOUT_IMPORT'!$I$42:$I$1040,'DEF_SELF_SCOUT_IMPORT'!$L$42:$L$1040,"Y",'DEF_SELF_SCOUT_IMPORT'!$E$42:$E$1040,SUBSTITUTE(SUBSTITUTE(SUBSTITUTE($B208,"~","~~"),"*","~*"),"?","~?"),'DEF_SELF_SCOUT_IMPORT'!$Q$42:$Q$1040,SUBSTITUTE(SUBSTITUTE(SUBSTITUTE($M208,"~","~~"),"*","~*"),"?","~?"),'DEF_SELF_SCOUT_IMPORT'!$F$42:$F$1040,SUBSTITUTE(SUBSTITUTE(SUBSTITUTE($N208,"~","~~"),"*","~*"),"?","~?")))</f>
        <v>13.0</v>
      </c>
      <c r="G208" s="10">
        <f>IF($C208=0,"",COUNTIFS('DEF_SELF_SCOUT_IMPORT'!$L$42:$L$1040,"Y",'DEF_SELF_SCOUT_IMPORT'!$E$42:$E$1040,SUBSTITUTE(SUBSTITUTE(SUBSTITUTE($B208,"~","~~"),"*","~*"),"?","~?"),'DEF_SELF_SCOUT_IMPORT'!$Q$42:$Q$1040,SUBSTITUTE(SUBSTITUTE(SUBSTITUTE($M208,"~","~~"),"*","~*"),"?","~?"),'DEF_SELF_SCOUT_IMPORT'!$F$42:$F$1040,SUBSTITUTE(SUBSTITUTE(SUBSTITUTE($N208,"~","~~"),"*","~*"),"?","~?"),'DEF_SELF_SCOUT_IMPORT'!$H$42:$H$1040,"RUSH")/$C208)</f>
        <v>0.0</v>
      </c>
      <c r="H208" s="10">
        <f>IF($C208=0,"",COUNTIFS('DEF_SELF_SCOUT_IMPORT'!$L$42:$L$1040,"Y",'DEF_SELF_SCOUT_IMPORT'!$E$42:$E$1040,SUBSTITUTE(SUBSTITUTE(SUBSTITUTE($B208,"~","~~"),"*","~*"),"?","~?"),'DEF_SELF_SCOUT_IMPORT'!$Q$42:$Q$1040,SUBSTITUTE(SUBSTITUTE(SUBSTITUTE($M208,"~","~~"),"*","~*"),"?","~?"),'DEF_SELF_SCOUT_IMPORT'!$F$42:$F$1040,SUBSTITUTE(SUBSTITUTE(SUBSTITUTE($N208,"~","~~"),"*","~*"),"?","~?"),'DEF_SELF_SCOUT_IMPORT'!$H$42:$H$1040,"DROPBACK")/$C208)</f>
        <v>1.0</v>
      </c>
      <c r="I208" s="14" t="str">
        <f>IF(C208=0,"",IF(C208&lt;=2,"TRACK",IF(C208=3,"LOW",IF(C208&lt;=6,"MEDIUM","HIGH"))))</f>
        <v>TRACK</v>
      </c>
      <c r="J208" s="11">
        <f>IF(C208=0,"",ROUND(D208*70+(1-E208)*20+MAX(0,MIN(1,(10-F208)/10))*10,1))</f>
        <v>20.0</v>
      </c>
      <c r="K208" s="14" t="str">
        <f>IF(C208=0,"No Evidence",IF(C208&lt;=2,IF(E208&gt;0,"Explosive Alert","Track Only"),IF(C208=3,"Sample Watch",IF(E208&gt;=START_HERE!$B$31,"Explosive Alert",IF(J208&gt;=80,"Strong Candidate",IF(J208&gt;=65,"Good Candidate",IF(J208&gt;=50,"Mixed / Review","Problem Call")))))))</f>
        <v>Track Only</v>
      </c>
      <c r="L208" s="9" t="str">
        <f>IF(COUNTIFS('DEF_SELF_SCOUT_IMPORT'!$L$42:$L$1040,"Y",'DEF_SELF_SCOUT_IMPORT'!$E$42:$E$1040,SUBSTITUTE(SUBSTITUTE(SUBSTITUTE($B208,"~","~~"),"*","~*"),"?","~?"),'DEF_SELF_SCOUT_IMPORT'!$Q$42:$Q$1040,SUBSTITUTE(SUBSTITUTE(SUBSTITUTE($M208,"~","~~"),"*","~*"),"?","~?"),'DEF_SELF_SCOUT_IMPORT'!$F$42:$F$1040,SUBSTITUTE(SUBSTITUTE(SUBSTITUTE($N208,"~","~~"),"*","~*"),"?","~?"),'DEF_SELF_SCOUT_IMPORT'!$J$42:$J$1040,"")&gt;0,"Unscored clean outcome; review result tags before using score.",IF(C208=0,"No matching defensive reps; film confirmation needed.",IF(K208="Explosive Alert","Explosive risk; review clips before using as answer.",IF(C208&lt;=2,"Track only; not enough sample.",IF(C208=3,IF(E208&gt;0,"Sample watch with explosive exposure; review clips and build the sample.",IF(J208&gt;=65,"Good signal, but sample is limited.","Sample watch; review clips and build the sample.")),IF(K208="Problem Call","Problem area; practice or call-sheet review.",IF(K208="Strong Candidate","Strong call-fit candidate; confirm on film.",IF(K208="Good Candidate","Good call-fit signal; confirm on film.","Mixed signal; review fit and execution on film."))))))))</f>
        <v>Track only; not enough sample.</v>
      </c>
      <c r="M208" s="8" t="s">
        <v>39</v>
      </c>
      <c r="N208" s="8" t="s">
        <v>120</v>
      </c>
      <c r="O208" s="8"/>
      <c r="P208" s="8"/>
      <c r="Q208" s="8"/>
      <c r="R208" s="8" t="s">
        <v>28</v>
      </c>
      <c r="S208" s="2" t="s">
        <v>135</v>
      </c>
      <c r="T208" s="2">
        <f>IF(C208=0,0,IF(C208&gt;=CALL_LOOKUP_BOARD!$B$7,IF(OR(K208="Problem Call",K208="Explosive Alert"),10000000,20000000),0)+IF(C208&gt;=CALL_LOOKUP_BOARD!$B$7,J208*1000+MIN(C208,999),C208*1000+J208)+0.00997700)</f>
        <v>1020.009977</v>
      </c>
      <c r="U208" s="2">
        <f>IF(C208=0,"",IF(COUNTIFS($S$186:$S$367,SUBSTITUTE(SUBSTITUTE(SUBSTITUTE(S208,"~","~~"),"*","~*"),"?","~?"),$T$186:$T$367,"&gt;"&amp;T208)=0,S208,""))</f>
        <v/>
      </c>
    </row>
    <row r="209" spans="1:21" ht="38" customHeight="1">
      <c r="A209" s="8" t="s">
        <v>134</v>
      </c>
      <c r="B209" s="8" t="s">
        <v>58</v>
      </c>
      <c r="C209" s="12">
        <f>COUNTIFS('DEF_SELF_SCOUT_IMPORT'!$L$42:$L$1040,"Y",'DEF_SELF_SCOUT_IMPORT'!$E$42:$E$1040,SUBSTITUTE(SUBSTITUTE(SUBSTITUTE($B209,"~","~~"),"*","~*"),"?","~?"),'DEF_SELF_SCOUT_IMPORT'!$Q$42:$Q$1040,SUBSTITUTE(SUBSTITUTE(SUBSTITUTE($M209,"~","~~"),"*","~*"),"?","~?"),'DEF_SELF_SCOUT_IMPORT'!$F$42:$F$1040,SUBSTITUTE(SUBSTITUTE(SUBSTITUTE($N209,"~","~~"),"*","~*"),"?","~?"))</f>
        <v>3</v>
      </c>
      <c r="D209" s="10">
        <f>IF($C209=0,"",SUMIFS('DEF_SELF_SCOUT_IMPORT'!$J$42:$J$1040,'DEF_SELF_SCOUT_IMPORT'!$L$42:$L$1040,"Y",'DEF_SELF_SCOUT_IMPORT'!$E$42:$E$1040,SUBSTITUTE(SUBSTITUTE(SUBSTITUTE($B209,"~","~~"),"*","~*"),"?","~?"),'DEF_SELF_SCOUT_IMPORT'!$Q$42:$Q$1040,SUBSTITUTE(SUBSTITUTE(SUBSTITUTE($M209,"~","~~"),"*","~*"),"?","~?"),'DEF_SELF_SCOUT_IMPORT'!$F$42:$F$1040,SUBSTITUTE(SUBSTITUTE(SUBSTITUTE($N209,"~","~~"),"*","~*"),"?","~?"))/$C209)</f>
        <v>1.0</v>
      </c>
      <c r="E209" s="10">
        <f>IF($C209=0,"",SUMIFS('DEF_SELF_SCOUT_IMPORT'!$K$42:$K$1040,'DEF_SELF_SCOUT_IMPORT'!$L$42:$L$1040,"Y",'DEF_SELF_SCOUT_IMPORT'!$E$42:$E$1040,SUBSTITUTE(SUBSTITUTE(SUBSTITUTE($B209,"~","~~"),"*","~*"),"?","~?"),'DEF_SELF_SCOUT_IMPORT'!$Q$42:$Q$1040,SUBSTITUTE(SUBSTITUTE(SUBSTITUTE($M209,"~","~~"),"*","~*"),"?","~?"),'DEF_SELF_SCOUT_IMPORT'!$F$42:$F$1040,SUBSTITUTE(SUBSTITUTE(SUBSTITUTE($N209,"~","~~"),"*","~*"),"?","~?"))/$C209)</f>
        <v>0.0</v>
      </c>
      <c r="F209" s="11">
        <f>IF($C209=0,"",AVERAGEIFS('DEF_SELF_SCOUT_IMPORT'!$I$42:$I$1040,'DEF_SELF_SCOUT_IMPORT'!$L$42:$L$1040,"Y",'DEF_SELF_SCOUT_IMPORT'!$E$42:$E$1040,SUBSTITUTE(SUBSTITUTE(SUBSTITUTE($B209,"~","~~"),"*","~*"),"?","~?"),'DEF_SELF_SCOUT_IMPORT'!$Q$42:$Q$1040,SUBSTITUTE(SUBSTITUTE(SUBSTITUTE($M209,"~","~~"),"*","~*"),"?","~?"),'DEF_SELF_SCOUT_IMPORT'!$F$42:$F$1040,SUBSTITUTE(SUBSTITUTE(SUBSTITUTE($N209,"~","~~"),"*","~*"),"?","~?")))</f>
        <v>0.3333333333333333</v>
      </c>
      <c r="G209" s="10">
        <f>IF($C209=0,"",COUNTIFS('DEF_SELF_SCOUT_IMPORT'!$L$42:$L$1040,"Y",'DEF_SELF_SCOUT_IMPORT'!$E$42:$E$1040,SUBSTITUTE(SUBSTITUTE(SUBSTITUTE($B209,"~","~~"),"*","~*"),"?","~?"),'DEF_SELF_SCOUT_IMPORT'!$Q$42:$Q$1040,SUBSTITUTE(SUBSTITUTE(SUBSTITUTE($M209,"~","~~"),"*","~*"),"?","~?"),'DEF_SELF_SCOUT_IMPORT'!$F$42:$F$1040,SUBSTITUTE(SUBSTITUTE(SUBSTITUTE($N209,"~","~~"),"*","~*"),"?","~?"),'DEF_SELF_SCOUT_IMPORT'!$H$42:$H$1040,"RUSH")/$C209)</f>
        <v>0.3333333333333333</v>
      </c>
      <c r="H209" s="10">
        <f>IF($C209=0,"",COUNTIFS('DEF_SELF_SCOUT_IMPORT'!$L$42:$L$1040,"Y",'DEF_SELF_SCOUT_IMPORT'!$E$42:$E$1040,SUBSTITUTE(SUBSTITUTE(SUBSTITUTE($B209,"~","~~"),"*","~*"),"?","~?"),'DEF_SELF_SCOUT_IMPORT'!$Q$42:$Q$1040,SUBSTITUTE(SUBSTITUTE(SUBSTITUTE($M209,"~","~~"),"*","~*"),"?","~?"),'DEF_SELF_SCOUT_IMPORT'!$F$42:$F$1040,SUBSTITUTE(SUBSTITUTE(SUBSTITUTE($N209,"~","~~"),"*","~*"),"?","~?"),'DEF_SELF_SCOUT_IMPORT'!$H$42:$H$1040,"DROPBACK")/$C209)</f>
        <v>0.6666666666666666</v>
      </c>
      <c r="I209" s="14" t="str">
        <f>IF(C209=0,"",IF(C209&lt;=2,"TRACK",IF(C209=3,"LOW",IF(C209&lt;=6,"MEDIUM","HIGH"))))</f>
        <v>LOW</v>
      </c>
      <c r="J209" s="11">
        <f>IF(C209=0,"",ROUND(D209*70+(1-E209)*20+MAX(0,MIN(1,(10-F209)/10))*10,1))</f>
        <v>99.7</v>
      </c>
      <c r="K209" s="14" t="str">
        <f>IF(C209=0,"No Evidence",IF(C209&lt;=2,IF(E209&gt;0,"Explosive Alert","Track Only"),IF(C209=3,"Sample Watch",IF(E209&gt;=START_HERE!$B$31,"Explosive Alert",IF(J209&gt;=80,"Strong Candidate",IF(J209&gt;=65,"Good Candidate",IF(J209&gt;=50,"Mixed / Review","Problem Call")))))))</f>
        <v>Sample Watch</v>
      </c>
      <c r="L209" s="9" t="str">
        <f>IF(COUNTIFS('DEF_SELF_SCOUT_IMPORT'!$L$42:$L$1040,"Y",'DEF_SELF_SCOUT_IMPORT'!$E$42:$E$1040,SUBSTITUTE(SUBSTITUTE(SUBSTITUTE($B209,"~","~~"),"*","~*"),"?","~?"),'DEF_SELF_SCOUT_IMPORT'!$Q$42:$Q$1040,SUBSTITUTE(SUBSTITUTE(SUBSTITUTE($M209,"~","~~"),"*","~*"),"?","~?"),'DEF_SELF_SCOUT_IMPORT'!$F$42:$F$1040,SUBSTITUTE(SUBSTITUTE(SUBSTITUTE($N209,"~","~~"),"*","~*"),"?","~?"),'DEF_SELF_SCOUT_IMPORT'!$J$42:$J$1040,"")&gt;0,"Unscored clean outcome; review result tags before using score.",IF(C209=0,"No matching defensive reps; film confirmation needed.",IF(K209="Explosive Alert","Explosive risk; review clips before using as answer.",IF(C209&lt;=2,"Track only; not enough sample.",IF(C209=3,IF(E209&gt;0,"Sample watch with explosive exposure; review clips and build the sample.",IF(J209&gt;=65,"Good signal, but sample is limited.","Sample watch; review clips and build the sample.")),IF(K209="Problem Call","Problem area; practice or call-sheet review.",IF(K209="Strong Candidate","Strong call-fit candidate; confirm on film.",IF(K209="Good Candidate","Good call-fit signal; confirm on film.","Mixed signal; review fit and execution on film."))))))))</f>
        <v>Good signal, but sample is limited.</v>
      </c>
      <c r="M209" s="8" t="s">
        <v>39</v>
      </c>
      <c r="N209" s="8" t="s">
        <v>120</v>
      </c>
      <c r="O209" s="8"/>
      <c r="P209" s="8"/>
      <c r="Q209" s="8"/>
      <c r="R209" s="8" t="s">
        <v>28</v>
      </c>
      <c r="S209" s="2" t="s">
        <v>135</v>
      </c>
      <c r="T209" s="2">
        <f>IF(C209=0,0,IF(C209&gt;=CALL_LOOKUP_BOARD!$B$7,IF(OR(K209="Problem Call",K209="Explosive Alert"),10000000,20000000),0)+IF(C209&gt;=CALL_LOOKUP_BOARD!$B$7,J209*1000+MIN(C209,999),C209*1000+J209)+0.00997600)</f>
        <v>3099.7099759999996</v>
      </c>
      <c r="U209" s="2">
        <f>IF(C209=0,"",IF(COUNTIFS($S$186:$S$367,SUBSTITUTE(SUBSTITUTE(SUBSTITUTE(S209,"~","~~"),"*","~*"),"?","~?"),$T$186:$T$367,"&gt;"&amp;T209)=0,S209,""))</f>
        <v/>
      </c>
    </row>
    <row r="210" spans="1:21" ht="38" customHeight="1">
      <c r="A210" s="8" t="s">
        <v>134</v>
      </c>
      <c r="B210" s="8" t="s">
        <v>35</v>
      </c>
      <c r="C210" s="12">
        <f>COUNTIFS('DEF_SELF_SCOUT_IMPORT'!$L$42:$L$1040,"Y",'DEF_SELF_SCOUT_IMPORT'!$E$42:$E$1040,SUBSTITUTE(SUBSTITUTE(SUBSTITUTE($B210,"~","~~"),"*","~*"),"?","~?"),'DEF_SELF_SCOUT_IMPORT'!$Q$42:$Q$1040,SUBSTITUTE(SUBSTITUTE(SUBSTITUTE($M210,"~","~~"),"*","~*"),"?","~?"),'DEF_SELF_SCOUT_IMPORT'!$F$42:$F$1040,SUBSTITUTE(SUBSTITUTE(SUBSTITUTE($N210,"~","~~"),"*","~*"),"?","~?"))</f>
        <v>2</v>
      </c>
      <c r="D210" s="10">
        <f>IF($C210=0,"",SUMIFS('DEF_SELF_SCOUT_IMPORT'!$J$42:$J$1040,'DEF_SELF_SCOUT_IMPORT'!$L$42:$L$1040,"Y",'DEF_SELF_SCOUT_IMPORT'!$E$42:$E$1040,SUBSTITUTE(SUBSTITUTE(SUBSTITUTE($B210,"~","~~"),"*","~*"),"?","~?"),'DEF_SELF_SCOUT_IMPORT'!$Q$42:$Q$1040,SUBSTITUTE(SUBSTITUTE(SUBSTITUTE($M210,"~","~~"),"*","~*"),"?","~?"),'DEF_SELF_SCOUT_IMPORT'!$F$42:$F$1040,SUBSTITUTE(SUBSTITUTE(SUBSTITUTE($N210,"~","~~"),"*","~*"),"?","~?"))/$C210)</f>
        <v>1.0</v>
      </c>
      <c r="E210" s="10">
        <f>IF($C210=0,"",SUMIFS('DEF_SELF_SCOUT_IMPORT'!$K$42:$K$1040,'DEF_SELF_SCOUT_IMPORT'!$L$42:$L$1040,"Y",'DEF_SELF_SCOUT_IMPORT'!$E$42:$E$1040,SUBSTITUTE(SUBSTITUTE(SUBSTITUTE($B210,"~","~~"),"*","~*"),"?","~?"),'DEF_SELF_SCOUT_IMPORT'!$Q$42:$Q$1040,SUBSTITUTE(SUBSTITUTE(SUBSTITUTE($M210,"~","~~"),"*","~*"),"?","~?"),'DEF_SELF_SCOUT_IMPORT'!$F$42:$F$1040,SUBSTITUTE(SUBSTITUTE(SUBSTITUTE($N210,"~","~~"),"*","~*"),"?","~?"))/$C210)</f>
        <v>0.0</v>
      </c>
      <c r="F210" s="11">
        <f>IF($C210=0,"",AVERAGEIFS('DEF_SELF_SCOUT_IMPORT'!$I$42:$I$1040,'DEF_SELF_SCOUT_IMPORT'!$L$42:$L$1040,"Y",'DEF_SELF_SCOUT_IMPORT'!$E$42:$E$1040,SUBSTITUTE(SUBSTITUTE(SUBSTITUTE($B210,"~","~~"),"*","~*"),"?","~?"),'DEF_SELF_SCOUT_IMPORT'!$Q$42:$Q$1040,SUBSTITUTE(SUBSTITUTE(SUBSTITUTE($M210,"~","~~"),"*","~*"),"?","~?"),'DEF_SELF_SCOUT_IMPORT'!$F$42:$F$1040,SUBSTITUTE(SUBSTITUTE(SUBSTITUTE($N210,"~","~~"),"*","~*"),"?","~?")))</f>
        <v>0.0</v>
      </c>
      <c r="G210" s="10">
        <f>IF($C210=0,"",COUNTIFS('DEF_SELF_SCOUT_IMPORT'!$L$42:$L$1040,"Y",'DEF_SELF_SCOUT_IMPORT'!$E$42:$E$1040,SUBSTITUTE(SUBSTITUTE(SUBSTITUTE($B210,"~","~~"),"*","~*"),"?","~?"),'DEF_SELF_SCOUT_IMPORT'!$Q$42:$Q$1040,SUBSTITUTE(SUBSTITUTE(SUBSTITUTE($M210,"~","~~"),"*","~*"),"?","~?"),'DEF_SELF_SCOUT_IMPORT'!$F$42:$F$1040,SUBSTITUTE(SUBSTITUTE(SUBSTITUTE($N210,"~","~~"),"*","~*"),"?","~?"),'DEF_SELF_SCOUT_IMPORT'!$H$42:$H$1040,"RUSH")/$C210)</f>
        <v>0.0</v>
      </c>
      <c r="H210" s="10">
        <f>IF($C210=0,"",COUNTIFS('DEF_SELF_SCOUT_IMPORT'!$L$42:$L$1040,"Y",'DEF_SELF_SCOUT_IMPORT'!$E$42:$E$1040,SUBSTITUTE(SUBSTITUTE(SUBSTITUTE($B210,"~","~~"),"*","~*"),"?","~?"),'DEF_SELF_SCOUT_IMPORT'!$Q$42:$Q$1040,SUBSTITUTE(SUBSTITUTE(SUBSTITUTE($M210,"~","~~"),"*","~*"),"?","~?"),'DEF_SELF_SCOUT_IMPORT'!$F$42:$F$1040,SUBSTITUTE(SUBSTITUTE(SUBSTITUTE($N210,"~","~~"),"*","~*"),"?","~?"),'DEF_SELF_SCOUT_IMPORT'!$H$42:$H$1040,"DROPBACK")/$C210)</f>
        <v>1.0</v>
      </c>
      <c r="I210" s="14" t="str">
        <f>IF(C210=0,"",IF(C210&lt;=2,"TRACK",IF(C210=3,"LOW",IF(C210&lt;=6,"MEDIUM","HIGH"))))</f>
        <v>TRACK</v>
      </c>
      <c r="J210" s="11">
        <f>IF(C210=0,"",ROUND(D210*70+(1-E210)*20+MAX(0,MIN(1,(10-F210)/10))*10,1))</f>
        <v>100.0</v>
      </c>
      <c r="K210" s="14" t="str">
        <f>IF(C210=0,"No Evidence",IF(C210&lt;=2,IF(E210&gt;0,"Explosive Alert","Track Only"),IF(C210=3,"Sample Watch",IF(E210&gt;=START_HERE!$B$31,"Explosive Alert",IF(J210&gt;=80,"Strong Candidate",IF(J210&gt;=65,"Good Candidate",IF(J210&gt;=50,"Mixed / Review","Problem Call")))))))</f>
        <v>Track Only</v>
      </c>
      <c r="L210" s="9" t="str">
        <f>IF(COUNTIFS('DEF_SELF_SCOUT_IMPORT'!$L$42:$L$1040,"Y",'DEF_SELF_SCOUT_IMPORT'!$E$42:$E$1040,SUBSTITUTE(SUBSTITUTE(SUBSTITUTE($B210,"~","~~"),"*","~*"),"?","~?"),'DEF_SELF_SCOUT_IMPORT'!$Q$42:$Q$1040,SUBSTITUTE(SUBSTITUTE(SUBSTITUTE($M210,"~","~~"),"*","~*"),"?","~?"),'DEF_SELF_SCOUT_IMPORT'!$F$42:$F$1040,SUBSTITUTE(SUBSTITUTE(SUBSTITUTE($N210,"~","~~"),"*","~*"),"?","~?"),'DEF_SELF_SCOUT_IMPORT'!$J$42:$J$1040,"")&gt;0,"Unscored clean outcome; review result tags before using score.",IF(C210=0,"No matching defensive reps; film confirmation needed.",IF(K210="Explosive Alert","Explosive risk; review clips before using as answer.",IF(C210&lt;=2,"Track only; not enough sample.",IF(C210=3,IF(E210&gt;0,"Sample watch with explosive exposure; review clips and build the sample.",IF(J210&gt;=65,"Good signal, but sample is limited.","Sample watch; review clips and build the sample.")),IF(K210="Problem Call","Problem area; practice or call-sheet review.",IF(K210="Strong Candidate","Strong call-fit candidate; confirm on film.",IF(K210="Good Candidate","Good call-fit signal; confirm on film.","Mixed signal; review fit and execution on film."))))))))</f>
        <v>Track only; not enough sample.</v>
      </c>
      <c r="M210" s="8" t="s">
        <v>39</v>
      </c>
      <c r="N210" s="8" t="s">
        <v>120</v>
      </c>
      <c r="O210" s="8"/>
      <c r="P210" s="8"/>
      <c r="Q210" s="8"/>
      <c r="R210" s="8" t="s">
        <v>28</v>
      </c>
      <c r="S210" s="2" t="s">
        <v>135</v>
      </c>
      <c r="T210" s="2">
        <f>IF(C210=0,0,IF(C210&gt;=CALL_LOOKUP_BOARD!$B$7,IF(OR(K210="Problem Call",K210="Explosive Alert"),10000000,20000000),0)+IF(C210&gt;=CALL_LOOKUP_BOARD!$B$7,J210*1000+MIN(C210,999),C210*1000+J210)+0.00997500)</f>
        <v>2100.009975</v>
      </c>
      <c r="U210" s="2">
        <f>IF(C210=0,"",IF(COUNTIFS($S$186:$S$367,SUBSTITUTE(SUBSTITUTE(SUBSTITUTE(S210,"~","~~"),"*","~*"),"?","~?"),$T$186:$T$367,"&gt;"&amp;T210)=0,S210,""))</f>
        <v/>
      </c>
    </row>
    <row r="211" spans="1:21" ht="38" customHeight="1">
      <c r="A211" s="8" t="s">
        <v>134</v>
      </c>
      <c r="B211" s="8" t="s">
        <v>60</v>
      </c>
      <c r="C211" s="12">
        <f>COUNTIFS('DEF_SELF_SCOUT_IMPORT'!$L$42:$L$1040,"Y",'DEF_SELF_SCOUT_IMPORT'!$E$42:$E$1040,SUBSTITUTE(SUBSTITUTE(SUBSTITUTE($B211,"~","~~"),"*","~*"),"?","~?"),'DEF_SELF_SCOUT_IMPORT'!$Q$42:$Q$1040,SUBSTITUTE(SUBSTITUTE(SUBSTITUTE($M211,"~","~~"),"*","~*"),"?","~?"),'DEF_SELF_SCOUT_IMPORT'!$F$42:$F$1040,SUBSTITUTE(SUBSTITUTE(SUBSTITUTE($N211,"~","~~"),"*","~*"),"?","~?"))</f>
        <v>4</v>
      </c>
      <c r="D211" s="10">
        <f>IF($C211=0,"",SUMIFS('DEF_SELF_SCOUT_IMPORT'!$J$42:$J$1040,'DEF_SELF_SCOUT_IMPORT'!$L$42:$L$1040,"Y",'DEF_SELF_SCOUT_IMPORT'!$E$42:$E$1040,SUBSTITUTE(SUBSTITUTE(SUBSTITUTE($B211,"~","~~"),"*","~*"),"?","~?"),'DEF_SELF_SCOUT_IMPORT'!$Q$42:$Q$1040,SUBSTITUTE(SUBSTITUTE(SUBSTITUTE($M211,"~","~~"),"*","~*"),"?","~?"),'DEF_SELF_SCOUT_IMPORT'!$F$42:$F$1040,SUBSTITUTE(SUBSTITUTE(SUBSTITUTE($N211,"~","~~"),"*","~*"),"?","~?"))/$C211)</f>
        <v>0.25</v>
      </c>
      <c r="E211" s="10">
        <f>IF($C211=0,"",SUMIFS('DEF_SELF_SCOUT_IMPORT'!$K$42:$K$1040,'DEF_SELF_SCOUT_IMPORT'!$L$42:$L$1040,"Y",'DEF_SELF_SCOUT_IMPORT'!$E$42:$E$1040,SUBSTITUTE(SUBSTITUTE(SUBSTITUTE($B211,"~","~~"),"*","~*"),"?","~?"),'DEF_SELF_SCOUT_IMPORT'!$Q$42:$Q$1040,SUBSTITUTE(SUBSTITUTE(SUBSTITUTE($M211,"~","~~"),"*","~*"),"?","~?"),'DEF_SELF_SCOUT_IMPORT'!$F$42:$F$1040,SUBSTITUTE(SUBSTITUTE(SUBSTITUTE($N211,"~","~~"),"*","~*"),"?","~?"))/$C211)</f>
        <v>0.25</v>
      </c>
      <c r="F211" s="11">
        <f>IF($C211=0,"",AVERAGEIFS('DEF_SELF_SCOUT_IMPORT'!$I$42:$I$1040,'DEF_SELF_SCOUT_IMPORT'!$L$42:$L$1040,"Y",'DEF_SELF_SCOUT_IMPORT'!$E$42:$E$1040,SUBSTITUTE(SUBSTITUTE(SUBSTITUTE($B211,"~","~~"),"*","~*"),"?","~?"),'DEF_SELF_SCOUT_IMPORT'!$Q$42:$Q$1040,SUBSTITUTE(SUBSTITUTE(SUBSTITUTE($M211,"~","~~"),"*","~*"),"?","~?"),'DEF_SELF_SCOUT_IMPORT'!$F$42:$F$1040,SUBSTITUTE(SUBSTITUTE(SUBSTITUTE($N211,"~","~~"),"*","~*"),"?","~?")))</f>
        <v>12.5</v>
      </c>
      <c r="G211" s="10">
        <f>IF($C211=0,"",COUNTIFS('DEF_SELF_SCOUT_IMPORT'!$L$42:$L$1040,"Y",'DEF_SELF_SCOUT_IMPORT'!$E$42:$E$1040,SUBSTITUTE(SUBSTITUTE(SUBSTITUTE($B211,"~","~~"),"*","~*"),"?","~?"),'DEF_SELF_SCOUT_IMPORT'!$Q$42:$Q$1040,SUBSTITUTE(SUBSTITUTE(SUBSTITUTE($M211,"~","~~"),"*","~*"),"?","~?"),'DEF_SELF_SCOUT_IMPORT'!$F$42:$F$1040,SUBSTITUTE(SUBSTITUTE(SUBSTITUTE($N211,"~","~~"),"*","~*"),"?","~?"),'DEF_SELF_SCOUT_IMPORT'!$H$42:$H$1040,"RUSH")/$C211)</f>
        <v>0.25</v>
      </c>
      <c r="H211" s="10">
        <f>IF($C211=0,"",COUNTIFS('DEF_SELF_SCOUT_IMPORT'!$L$42:$L$1040,"Y",'DEF_SELF_SCOUT_IMPORT'!$E$42:$E$1040,SUBSTITUTE(SUBSTITUTE(SUBSTITUTE($B211,"~","~~"),"*","~*"),"?","~?"),'DEF_SELF_SCOUT_IMPORT'!$Q$42:$Q$1040,SUBSTITUTE(SUBSTITUTE(SUBSTITUTE($M211,"~","~~"),"*","~*"),"?","~?"),'DEF_SELF_SCOUT_IMPORT'!$F$42:$F$1040,SUBSTITUTE(SUBSTITUTE(SUBSTITUTE($N211,"~","~~"),"*","~*"),"?","~?"),'DEF_SELF_SCOUT_IMPORT'!$H$42:$H$1040,"DROPBACK")/$C211)</f>
        <v>0.5</v>
      </c>
      <c r="I211" s="14" t="str">
        <f>IF(C211=0,"",IF(C211&lt;=2,"TRACK",IF(C211=3,"LOW",IF(C211&lt;=6,"MEDIUM","HIGH"))))</f>
        <v>MEDIUM</v>
      </c>
      <c r="J211" s="11">
        <f>IF(C211=0,"",ROUND(D211*70+(1-E211)*20+MAX(0,MIN(1,(10-F211)/10))*10,1))</f>
        <v>32.5</v>
      </c>
      <c r="K211" s="14" t="str">
        <f>IF(C211=0,"No Evidence",IF(C211&lt;=2,IF(E211&gt;0,"Explosive Alert","Track Only"),IF(C211=3,"Sample Watch",IF(E211&gt;=START_HERE!$B$31,"Explosive Alert",IF(J211&gt;=80,"Strong Candidate",IF(J211&gt;=65,"Good Candidate",IF(J211&gt;=50,"Mixed / Review","Problem Call")))))))</f>
        <v>Explosive Alert</v>
      </c>
      <c r="L211" s="9" t="str">
        <f>IF(COUNTIFS('DEF_SELF_SCOUT_IMPORT'!$L$42:$L$1040,"Y",'DEF_SELF_SCOUT_IMPORT'!$E$42:$E$1040,SUBSTITUTE(SUBSTITUTE(SUBSTITUTE($B211,"~","~~"),"*","~*"),"?","~?"),'DEF_SELF_SCOUT_IMPORT'!$Q$42:$Q$1040,SUBSTITUTE(SUBSTITUTE(SUBSTITUTE($M211,"~","~~"),"*","~*"),"?","~?"),'DEF_SELF_SCOUT_IMPORT'!$F$42:$F$1040,SUBSTITUTE(SUBSTITUTE(SUBSTITUTE($N211,"~","~~"),"*","~*"),"?","~?"),'DEF_SELF_SCOUT_IMPORT'!$J$42:$J$1040,"")&gt;0,"Unscored clean outcome; review result tags before using score.",IF(C211=0,"No matching defensive reps; film confirmation needed.",IF(K211="Explosive Alert","Explosive risk; review clips before using as answer.",IF(C211&lt;=2,"Track only; not enough sample.",IF(C211=3,IF(E211&gt;0,"Sample watch with explosive exposure; review clips and build the sample.",IF(J211&gt;=65,"Good signal, but sample is limited.","Sample watch; review clips and build the sample.")),IF(K211="Problem Call","Problem area; practice or call-sheet review.",IF(K211="Strong Candidate","Strong call-fit candidate; confirm on film.",IF(K211="Good Candidate","Good call-fit signal; confirm on film.","Mixed signal; review fit and execution on film."))))))))</f>
        <v>Explosive risk; review clips before using as answer.</v>
      </c>
      <c r="M211" s="8" t="s">
        <v>39</v>
      </c>
      <c r="N211" s="8" t="s">
        <v>120</v>
      </c>
      <c r="O211" s="8"/>
      <c r="P211" s="8"/>
      <c r="Q211" s="8"/>
      <c r="R211" s="8" t="s">
        <v>45</v>
      </c>
      <c r="S211" s="2" t="s">
        <v>135</v>
      </c>
      <c r="T211" s="2">
        <f>IF(C211=0,0,IF(C211&gt;=CALL_LOOKUP_BOARD!$B$7,IF(OR(K211="Problem Call",K211="Explosive Alert"),10000000,20000000),0)+IF(C211&gt;=CALL_LOOKUP_BOARD!$B$7,J211*1000+MIN(C211,999),C211*1000+J211)+0.00997400)</f>
        <v>10032504.009974</v>
      </c>
      <c r="U211" s="2">
        <f>IF(C211=0,"",IF(COUNTIFS($S$186:$S$367,SUBSTITUTE(SUBSTITUTE(SUBSTITUTE(S211,"~","~~"),"*","~*"),"?","~?"),$T$186:$T$367,"&gt;"&amp;T211)=0,S211,""))</f>
        <v/>
      </c>
    </row>
    <row r="212" spans="1:21" ht="38" customHeight="1">
      <c r="A212" s="8" t="s">
        <v>134</v>
      </c>
      <c r="B212" s="8" t="s">
        <v>61</v>
      </c>
      <c r="C212" s="12">
        <f>COUNTIFS('DEF_SELF_SCOUT_IMPORT'!$L$42:$L$1040,"Y",'DEF_SELF_SCOUT_IMPORT'!$E$42:$E$1040,SUBSTITUTE(SUBSTITUTE(SUBSTITUTE($B212,"~","~~"),"*","~*"),"?","~?"),'DEF_SELF_SCOUT_IMPORT'!$Q$42:$Q$1040,SUBSTITUTE(SUBSTITUTE(SUBSTITUTE($M212,"~","~~"),"*","~*"),"?","~?"),'DEF_SELF_SCOUT_IMPORT'!$F$42:$F$1040,SUBSTITUTE(SUBSTITUTE(SUBSTITUTE($N212,"~","~~"),"*","~*"),"?","~?"))</f>
        <v>3</v>
      </c>
      <c r="D212" s="10">
        <f>IF($C212=0,"",SUMIFS('DEF_SELF_SCOUT_IMPORT'!$J$42:$J$1040,'DEF_SELF_SCOUT_IMPORT'!$L$42:$L$1040,"Y",'DEF_SELF_SCOUT_IMPORT'!$E$42:$E$1040,SUBSTITUTE(SUBSTITUTE(SUBSTITUTE($B212,"~","~~"),"*","~*"),"?","~?"),'DEF_SELF_SCOUT_IMPORT'!$Q$42:$Q$1040,SUBSTITUTE(SUBSTITUTE(SUBSTITUTE($M212,"~","~~"),"*","~*"),"?","~?"),'DEF_SELF_SCOUT_IMPORT'!$F$42:$F$1040,SUBSTITUTE(SUBSTITUTE(SUBSTITUTE($N212,"~","~~"),"*","~*"),"?","~?"))/$C212)</f>
        <v>1.0</v>
      </c>
      <c r="E212" s="10">
        <f>IF($C212=0,"",SUMIFS('DEF_SELF_SCOUT_IMPORT'!$K$42:$K$1040,'DEF_SELF_SCOUT_IMPORT'!$L$42:$L$1040,"Y",'DEF_SELF_SCOUT_IMPORT'!$E$42:$E$1040,SUBSTITUTE(SUBSTITUTE(SUBSTITUTE($B212,"~","~~"),"*","~*"),"?","~?"),'DEF_SELF_SCOUT_IMPORT'!$Q$42:$Q$1040,SUBSTITUTE(SUBSTITUTE(SUBSTITUTE($M212,"~","~~"),"*","~*"),"?","~?"),'DEF_SELF_SCOUT_IMPORT'!$F$42:$F$1040,SUBSTITUTE(SUBSTITUTE(SUBSTITUTE($N212,"~","~~"),"*","~*"),"?","~?"))/$C212)</f>
        <v>0.0</v>
      </c>
      <c r="F212" s="11">
        <f>IF($C212=0,"",AVERAGEIFS('DEF_SELF_SCOUT_IMPORT'!$I$42:$I$1040,'DEF_SELF_SCOUT_IMPORT'!$L$42:$L$1040,"Y",'DEF_SELF_SCOUT_IMPORT'!$E$42:$E$1040,SUBSTITUTE(SUBSTITUTE(SUBSTITUTE($B212,"~","~~"),"*","~*"),"?","~?"),'DEF_SELF_SCOUT_IMPORT'!$Q$42:$Q$1040,SUBSTITUTE(SUBSTITUTE(SUBSTITUTE($M212,"~","~~"),"*","~*"),"?","~?"),'DEF_SELF_SCOUT_IMPORT'!$F$42:$F$1040,SUBSTITUTE(SUBSTITUTE(SUBSTITUTE($N212,"~","~~"),"*","~*"),"?","~?")))</f>
        <v>2.0</v>
      </c>
      <c r="G212" s="10">
        <f>IF($C212=0,"",COUNTIFS('DEF_SELF_SCOUT_IMPORT'!$L$42:$L$1040,"Y",'DEF_SELF_SCOUT_IMPORT'!$E$42:$E$1040,SUBSTITUTE(SUBSTITUTE(SUBSTITUTE($B212,"~","~~"),"*","~*"),"?","~?"),'DEF_SELF_SCOUT_IMPORT'!$Q$42:$Q$1040,SUBSTITUTE(SUBSTITUTE(SUBSTITUTE($M212,"~","~~"),"*","~*"),"?","~?"),'DEF_SELF_SCOUT_IMPORT'!$F$42:$F$1040,SUBSTITUTE(SUBSTITUTE(SUBSTITUTE($N212,"~","~~"),"*","~*"),"?","~?"),'DEF_SELF_SCOUT_IMPORT'!$H$42:$H$1040,"RUSH")/$C212)</f>
        <v>0.3333333333333333</v>
      </c>
      <c r="H212" s="10">
        <f>IF($C212=0,"",COUNTIFS('DEF_SELF_SCOUT_IMPORT'!$L$42:$L$1040,"Y",'DEF_SELF_SCOUT_IMPORT'!$E$42:$E$1040,SUBSTITUTE(SUBSTITUTE(SUBSTITUTE($B212,"~","~~"),"*","~*"),"?","~?"),'DEF_SELF_SCOUT_IMPORT'!$Q$42:$Q$1040,SUBSTITUTE(SUBSTITUTE(SUBSTITUTE($M212,"~","~~"),"*","~*"),"?","~?"),'DEF_SELF_SCOUT_IMPORT'!$F$42:$F$1040,SUBSTITUTE(SUBSTITUTE(SUBSTITUTE($N212,"~","~~"),"*","~*"),"?","~?"),'DEF_SELF_SCOUT_IMPORT'!$H$42:$H$1040,"DROPBACK")/$C212)</f>
        <v>0.6666666666666666</v>
      </c>
      <c r="I212" s="14" t="str">
        <f>IF(C212=0,"",IF(C212&lt;=2,"TRACK",IF(C212=3,"LOW",IF(C212&lt;=6,"MEDIUM","HIGH"))))</f>
        <v>LOW</v>
      </c>
      <c r="J212" s="11">
        <f>IF(C212=0,"",ROUND(D212*70+(1-E212)*20+MAX(0,MIN(1,(10-F212)/10))*10,1))</f>
        <v>98.0</v>
      </c>
      <c r="K212" s="14" t="str">
        <f>IF(C212=0,"No Evidence",IF(C212&lt;=2,IF(E212&gt;0,"Explosive Alert","Track Only"),IF(C212=3,"Sample Watch",IF(E212&gt;=START_HERE!$B$31,"Explosive Alert",IF(J212&gt;=80,"Strong Candidate",IF(J212&gt;=65,"Good Candidate",IF(J212&gt;=50,"Mixed / Review","Problem Call")))))))</f>
        <v>Sample Watch</v>
      </c>
      <c r="L212" s="9" t="str">
        <f>IF(COUNTIFS('DEF_SELF_SCOUT_IMPORT'!$L$42:$L$1040,"Y",'DEF_SELF_SCOUT_IMPORT'!$E$42:$E$1040,SUBSTITUTE(SUBSTITUTE(SUBSTITUTE($B212,"~","~~"),"*","~*"),"?","~?"),'DEF_SELF_SCOUT_IMPORT'!$Q$42:$Q$1040,SUBSTITUTE(SUBSTITUTE(SUBSTITUTE($M212,"~","~~"),"*","~*"),"?","~?"),'DEF_SELF_SCOUT_IMPORT'!$F$42:$F$1040,SUBSTITUTE(SUBSTITUTE(SUBSTITUTE($N212,"~","~~"),"*","~*"),"?","~?"),'DEF_SELF_SCOUT_IMPORT'!$J$42:$J$1040,"")&gt;0,"Unscored clean outcome; review result tags before using score.",IF(C212=0,"No matching defensive reps; film confirmation needed.",IF(K212="Explosive Alert","Explosive risk; review clips before using as answer.",IF(C212&lt;=2,"Track only; not enough sample.",IF(C212=3,IF(E212&gt;0,"Sample watch with explosive exposure; review clips and build the sample.",IF(J212&gt;=65,"Good signal, but sample is limited.","Sample watch; review clips and build the sample.")),IF(K212="Problem Call","Problem area; practice or call-sheet review.",IF(K212="Strong Candidate","Strong call-fit candidate; confirm on film.",IF(K212="Good Candidate","Good call-fit signal; confirm on film.","Mixed signal; review fit and execution on film."))))))))</f>
        <v>Good signal, but sample is limited.</v>
      </c>
      <c r="M212" s="8" t="s">
        <v>39</v>
      </c>
      <c r="N212" s="8" t="s">
        <v>120</v>
      </c>
      <c r="O212" s="8"/>
      <c r="P212" s="8"/>
      <c r="Q212" s="8"/>
      <c r="R212" s="8" t="s">
        <v>28</v>
      </c>
      <c r="S212" s="2" t="s">
        <v>135</v>
      </c>
      <c r="T212" s="2">
        <f>IF(C212=0,0,IF(C212&gt;=CALL_LOOKUP_BOARD!$B$7,IF(OR(K212="Problem Call",K212="Explosive Alert"),10000000,20000000),0)+IF(C212&gt;=CALL_LOOKUP_BOARD!$B$7,J212*1000+MIN(C212,999),C212*1000+J212)+0.00997300)</f>
        <v>3098.009973</v>
      </c>
      <c r="U212" s="2">
        <f>IF(C212=0,"",IF(COUNTIFS($S$186:$S$367,SUBSTITUTE(SUBSTITUTE(SUBSTITUTE(S212,"~","~~"),"*","~*"),"?","~?"),$T$186:$T$367,"&gt;"&amp;T212)=0,S212,""))</f>
        <v/>
      </c>
    </row>
    <row r="213" spans="1:21" ht="38" customHeight="1">
      <c r="A213" s="8" t="s">
        <v>134</v>
      </c>
      <c r="B213" s="8" t="s">
        <v>62</v>
      </c>
      <c r="C213" s="12">
        <f>COUNTIFS('DEF_SELF_SCOUT_IMPORT'!$L$42:$L$1040,"Y",'DEF_SELF_SCOUT_IMPORT'!$E$42:$E$1040,SUBSTITUTE(SUBSTITUTE(SUBSTITUTE($B213,"~","~~"),"*","~*"),"?","~?"),'DEF_SELF_SCOUT_IMPORT'!$Q$42:$Q$1040,SUBSTITUTE(SUBSTITUTE(SUBSTITUTE($M213,"~","~~"),"*","~*"),"?","~?"),'DEF_SELF_SCOUT_IMPORT'!$F$42:$F$1040,SUBSTITUTE(SUBSTITUTE(SUBSTITUTE($N213,"~","~~"),"*","~*"),"?","~?"))</f>
        <v>2</v>
      </c>
      <c r="D213" s="10">
        <f>IF($C213=0,"",SUMIFS('DEF_SELF_SCOUT_IMPORT'!$J$42:$J$1040,'DEF_SELF_SCOUT_IMPORT'!$L$42:$L$1040,"Y",'DEF_SELF_SCOUT_IMPORT'!$E$42:$E$1040,SUBSTITUTE(SUBSTITUTE(SUBSTITUTE($B213,"~","~~"),"*","~*"),"?","~?"),'DEF_SELF_SCOUT_IMPORT'!$Q$42:$Q$1040,SUBSTITUTE(SUBSTITUTE(SUBSTITUTE($M213,"~","~~"),"*","~*"),"?","~?"),'DEF_SELF_SCOUT_IMPORT'!$F$42:$F$1040,SUBSTITUTE(SUBSTITUTE(SUBSTITUTE($N213,"~","~~"),"*","~*"),"?","~?"))/$C213)</f>
        <v>0.0</v>
      </c>
      <c r="E213" s="10">
        <f>IF($C213=0,"",SUMIFS('DEF_SELF_SCOUT_IMPORT'!$K$42:$K$1040,'DEF_SELF_SCOUT_IMPORT'!$L$42:$L$1040,"Y",'DEF_SELF_SCOUT_IMPORT'!$E$42:$E$1040,SUBSTITUTE(SUBSTITUTE(SUBSTITUTE($B213,"~","~~"),"*","~*"),"?","~?"),'DEF_SELF_SCOUT_IMPORT'!$Q$42:$Q$1040,SUBSTITUTE(SUBSTITUTE(SUBSTITUTE($M213,"~","~~"),"*","~*"),"?","~?"),'DEF_SELF_SCOUT_IMPORT'!$F$42:$F$1040,SUBSTITUTE(SUBSTITUTE(SUBSTITUTE($N213,"~","~~"),"*","~*"),"?","~?"))/$C213)</f>
        <v>0.5</v>
      </c>
      <c r="F213" s="11">
        <f>IF($C213=0,"",AVERAGEIFS('DEF_SELF_SCOUT_IMPORT'!$I$42:$I$1040,'DEF_SELF_SCOUT_IMPORT'!$L$42:$L$1040,"Y",'DEF_SELF_SCOUT_IMPORT'!$E$42:$E$1040,SUBSTITUTE(SUBSTITUTE(SUBSTITUTE($B213,"~","~~"),"*","~*"),"?","~?"),'DEF_SELF_SCOUT_IMPORT'!$Q$42:$Q$1040,SUBSTITUTE(SUBSTITUTE(SUBSTITUTE($M213,"~","~~"),"*","~*"),"?","~?"),'DEF_SELF_SCOUT_IMPORT'!$F$42:$F$1040,SUBSTITUTE(SUBSTITUTE(SUBSTITUTE($N213,"~","~~"),"*","~*"),"?","~?")))</f>
        <v>18.5</v>
      </c>
      <c r="G213" s="10">
        <f>IF($C213=0,"",COUNTIFS('DEF_SELF_SCOUT_IMPORT'!$L$42:$L$1040,"Y",'DEF_SELF_SCOUT_IMPORT'!$E$42:$E$1040,SUBSTITUTE(SUBSTITUTE(SUBSTITUTE($B213,"~","~~"),"*","~*"),"?","~?"),'DEF_SELF_SCOUT_IMPORT'!$Q$42:$Q$1040,SUBSTITUTE(SUBSTITUTE(SUBSTITUTE($M213,"~","~~"),"*","~*"),"?","~?"),'DEF_SELF_SCOUT_IMPORT'!$F$42:$F$1040,SUBSTITUTE(SUBSTITUTE(SUBSTITUTE($N213,"~","~~"),"*","~*"),"?","~?"),'DEF_SELF_SCOUT_IMPORT'!$H$42:$H$1040,"RUSH")/$C213)</f>
        <v>0.0</v>
      </c>
      <c r="H213" s="10">
        <f>IF($C213=0,"",COUNTIFS('DEF_SELF_SCOUT_IMPORT'!$L$42:$L$1040,"Y",'DEF_SELF_SCOUT_IMPORT'!$E$42:$E$1040,SUBSTITUTE(SUBSTITUTE(SUBSTITUTE($B213,"~","~~"),"*","~*"),"?","~?"),'DEF_SELF_SCOUT_IMPORT'!$Q$42:$Q$1040,SUBSTITUTE(SUBSTITUTE(SUBSTITUTE($M213,"~","~~"),"*","~*"),"?","~?"),'DEF_SELF_SCOUT_IMPORT'!$F$42:$F$1040,SUBSTITUTE(SUBSTITUTE(SUBSTITUTE($N213,"~","~~"),"*","~*"),"?","~?"),'DEF_SELF_SCOUT_IMPORT'!$H$42:$H$1040,"DROPBACK")/$C213)</f>
        <v>0.5</v>
      </c>
      <c r="I213" s="14" t="str">
        <f>IF(C213=0,"",IF(C213&lt;=2,"TRACK",IF(C213=3,"LOW",IF(C213&lt;=6,"MEDIUM","HIGH"))))</f>
        <v>TRACK</v>
      </c>
      <c r="J213" s="11">
        <f>IF(C213=0,"",ROUND(D213*70+(1-E213)*20+MAX(0,MIN(1,(10-F213)/10))*10,1))</f>
        <v>10.0</v>
      </c>
      <c r="K213" s="14" t="str">
        <f>IF(C213=0,"No Evidence",IF(C213&lt;=2,IF(E213&gt;0,"Explosive Alert","Track Only"),IF(C213=3,"Sample Watch",IF(E213&gt;=START_HERE!$B$31,"Explosive Alert",IF(J213&gt;=80,"Strong Candidate",IF(J213&gt;=65,"Good Candidate",IF(J213&gt;=50,"Mixed / Review","Problem Call")))))))</f>
        <v>Explosive Alert</v>
      </c>
      <c r="L213" s="9" t="str">
        <f>IF(COUNTIFS('DEF_SELF_SCOUT_IMPORT'!$L$42:$L$1040,"Y",'DEF_SELF_SCOUT_IMPORT'!$E$42:$E$1040,SUBSTITUTE(SUBSTITUTE(SUBSTITUTE($B213,"~","~~"),"*","~*"),"?","~?"),'DEF_SELF_SCOUT_IMPORT'!$Q$42:$Q$1040,SUBSTITUTE(SUBSTITUTE(SUBSTITUTE($M213,"~","~~"),"*","~*"),"?","~?"),'DEF_SELF_SCOUT_IMPORT'!$F$42:$F$1040,SUBSTITUTE(SUBSTITUTE(SUBSTITUTE($N213,"~","~~"),"*","~*"),"?","~?"),'DEF_SELF_SCOUT_IMPORT'!$J$42:$J$1040,"")&gt;0,"Unscored clean outcome; review result tags before using score.",IF(C213=0,"No matching defensive reps; film confirmation needed.",IF(K213="Explosive Alert","Explosive risk; review clips before using as answer.",IF(C213&lt;=2,"Track only; not enough sample.",IF(C213=3,IF(E213&gt;0,"Sample watch with explosive exposure; review clips and build the sample.",IF(J213&gt;=65,"Good signal, but sample is limited.","Sample watch; review clips and build the sample.")),IF(K213="Problem Call","Problem area; practice or call-sheet review.",IF(K213="Strong Candidate","Strong call-fit candidate; confirm on film.",IF(K213="Good Candidate","Good call-fit signal; confirm on film.","Mixed signal; review fit and execution on film."))))))))</f>
        <v>Explosive risk; review clips before using as answer.</v>
      </c>
      <c r="M213" s="8" t="s">
        <v>39</v>
      </c>
      <c r="N213" s="8" t="s">
        <v>120</v>
      </c>
      <c r="O213" s="8"/>
      <c r="P213" s="8"/>
      <c r="Q213" s="8"/>
      <c r="R213" s="8" t="s">
        <v>28</v>
      </c>
      <c r="S213" s="2" t="s">
        <v>135</v>
      </c>
      <c r="T213" s="2">
        <f>IF(C213=0,0,IF(C213&gt;=CALL_LOOKUP_BOARD!$B$7,IF(OR(K213="Problem Call",K213="Explosive Alert"),10000000,20000000),0)+IF(C213&gt;=CALL_LOOKUP_BOARD!$B$7,J213*1000+MIN(C213,999),C213*1000+J213)+0.00997200)</f>
        <v>2010.009972</v>
      </c>
      <c r="U213" s="2">
        <f>IF(C213=0,"",IF(COUNTIFS($S$186:$S$367,SUBSTITUTE(SUBSTITUTE(SUBSTITUTE(S213,"~","~~"),"*","~*"),"?","~?"),$T$186:$T$367,"&gt;"&amp;T213)=0,S213,""))</f>
        <v/>
      </c>
    </row>
    <row r="214" spans="1:21" ht="38" customHeight="1">
      <c r="A214" s="8" t="s">
        <v>134</v>
      </c>
      <c r="B214" s="8" t="s">
        <v>63</v>
      </c>
      <c r="C214" s="12">
        <f>COUNTIFS('DEF_SELF_SCOUT_IMPORT'!$L$42:$L$1040,"Y",'DEF_SELF_SCOUT_IMPORT'!$E$42:$E$1040,SUBSTITUTE(SUBSTITUTE(SUBSTITUTE($B214,"~","~~"),"*","~*"),"?","~?"),'DEF_SELF_SCOUT_IMPORT'!$Q$42:$Q$1040,SUBSTITUTE(SUBSTITUTE(SUBSTITUTE($M214,"~","~~"),"*","~*"),"?","~?"),'DEF_SELF_SCOUT_IMPORT'!$F$42:$F$1040,SUBSTITUTE(SUBSTITUTE(SUBSTITUTE($N214,"~","~~"),"*","~*"),"?","~?"))</f>
        <v>1</v>
      </c>
      <c r="D214" s="10">
        <f>IF($C214=0,"",SUMIFS('DEF_SELF_SCOUT_IMPORT'!$J$42:$J$1040,'DEF_SELF_SCOUT_IMPORT'!$L$42:$L$1040,"Y",'DEF_SELF_SCOUT_IMPORT'!$E$42:$E$1040,SUBSTITUTE(SUBSTITUTE(SUBSTITUTE($B214,"~","~~"),"*","~*"),"?","~?"),'DEF_SELF_SCOUT_IMPORT'!$Q$42:$Q$1040,SUBSTITUTE(SUBSTITUTE(SUBSTITUTE($M214,"~","~~"),"*","~*"),"?","~?"),'DEF_SELF_SCOUT_IMPORT'!$F$42:$F$1040,SUBSTITUTE(SUBSTITUTE(SUBSTITUTE($N214,"~","~~"),"*","~*"),"?","~?"))/$C214)</f>
        <v>0.0</v>
      </c>
      <c r="E214" s="10">
        <f>IF($C214=0,"",SUMIFS('DEF_SELF_SCOUT_IMPORT'!$K$42:$K$1040,'DEF_SELF_SCOUT_IMPORT'!$L$42:$L$1040,"Y",'DEF_SELF_SCOUT_IMPORT'!$E$42:$E$1040,SUBSTITUTE(SUBSTITUTE(SUBSTITUTE($B214,"~","~~"),"*","~*"),"?","~?"),'DEF_SELF_SCOUT_IMPORT'!$Q$42:$Q$1040,SUBSTITUTE(SUBSTITUTE(SUBSTITUTE($M214,"~","~~"),"*","~*"),"?","~?"),'DEF_SELF_SCOUT_IMPORT'!$F$42:$F$1040,SUBSTITUTE(SUBSTITUTE(SUBSTITUTE($N214,"~","~~"),"*","~*"),"?","~?"))/$C214)</f>
        <v>0.0</v>
      </c>
      <c r="F214" s="11">
        <f>IF($C214=0,"",AVERAGEIFS('DEF_SELF_SCOUT_IMPORT'!$I$42:$I$1040,'DEF_SELF_SCOUT_IMPORT'!$L$42:$L$1040,"Y",'DEF_SELF_SCOUT_IMPORT'!$E$42:$E$1040,SUBSTITUTE(SUBSTITUTE(SUBSTITUTE($B214,"~","~~"),"*","~*"),"?","~?"),'DEF_SELF_SCOUT_IMPORT'!$Q$42:$Q$1040,SUBSTITUTE(SUBSTITUTE(SUBSTITUTE($M214,"~","~~"),"*","~*"),"?","~?"),'DEF_SELF_SCOUT_IMPORT'!$F$42:$F$1040,SUBSTITUTE(SUBSTITUTE(SUBSTITUTE($N214,"~","~~"),"*","~*"),"?","~?")))</f>
        <v>7.0</v>
      </c>
      <c r="G214" s="10">
        <f>IF($C214=0,"",COUNTIFS('DEF_SELF_SCOUT_IMPORT'!$L$42:$L$1040,"Y",'DEF_SELF_SCOUT_IMPORT'!$E$42:$E$1040,SUBSTITUTE(SUBSTITUTE(SUBSTITUTE($B214,"~","~~"),"*","~*"),"?","~?"),'DEF_SELF_SCOUT_IMPORT'!$Q$42:$Q$1040,SUBSTITUTE(SUBSTITUTE(SUBSTITUTE($M214,"~","~~"),"*","~*"),"?","~?"),'DEF_SELF_SCOUT_IMPORT'!$F$42:$F$1040,SUBSTITUTE(SUBSTITUTE(SUBSTITUTE($N214,"~","~~"),"*","~*"),"?","~?"),'DEF_SELF_SCOUT_IMPORT'!$H$42:$H$1040,"RUSH")/$C214)</f>
        <v>1.0</v>
      </c>
      <c r="H214" s="10">
        <f>IF($C214=0,"",COUNTIFS('DEF_SELF_SCOUT_IMPORT'!$L$42:$L$1040,"Y",'DEF_SELF_SCOUT_IMPORT'!$E$42:$E$1040,SUBSTITUTE(SUBSTITUTE(SUBSTITUTE($B214,"~","~~"),"*","~*"),"?","~?"),'DEF_SELF_SCOUT_IMPORT'!$Q$42:$Q$1040,SUBSTITUTE(SUBSTITUTE(SUBSTITUTE($M214,"~","~~"),"*","~*"),"?","~?"),'DEF_SELF_SCOUT_IMPORT'!$F$42:$F$1040,SUBSTITUTE(SUBSTITUTE(SUBSTITUTE($N214,"~","~~"),"*","~*"),"?","~?"),'DEF_SELF_SCOUT_IMPORT'!$H$42:$H$1040,"DROPBACK")/$C214)</f>
        <v>0.0</v>
      </c>
      <c r="I214" s="14" t="str">
        <f>IF(C214=0,"",IF(C214&lt;=2,"TRACK",IF(C214=3,"LOW",IF(C214&lt;=6,"MEDIUM","HIGH"))))</f>
        <v>TRACK</v>
      </c>
      <c r="J214" s="11">
        <f>IF(C214=0,"",ROUND(D214*70+(1-E214)*20+MAX(0,MIN(1,(10-F214)/10))*10,1))</f>
        <v>23.0</v>
      </c>
      <c r="K214" s="14" t="str">
        <f>IF(C214=0,"No Evidence",IF(C214&lt;=2,IF(E214&gt;0,"Explosive Alert","Track Only"),IF(C214=3,"Sample Watch",IF(E214&gt;=START_HERE!$B$31,"Explosive Alert",IF(J214&gt;=80,"Strong Candidate",IF(J214&gt;=65,"Good Candidate",IF(J214&gt;=50,"Mixed / Review","Problem Call")))))))</f>
        <v>Track Only</v>
      </c>
      <c r="L214" s="9" t="str">
        <f>IF(COUNTIFS('DEF_SELF_SCOUT_IMPORT'!$L$42:$L$1040,"Y",'DEF_SELF_SCOUT_IMPORT'!$E$42:$E$1040,SUBSTITUTE(SUBSTITUTE(SUBSTITUTE($B214,"~","~~"),"*","~*"),"?","~?"),'DEF_SELF_SCOUT_IMPORT'!$Q$42:$Q$1040,SUBSTITUTE(SUBSTITUTE(SUBSTITUTE($M214,"~","~~"),"*","~*"),"?","~?"),'DEF_SELF_SCOUT_IMPORT'!$F$42:$F$1040,SUBSTITUTE(SUBSTITUTE(SUBSTITUTE($N214,"~","~~"),"*","~*"),"?","~?"),'DEF_SELF_SCOUT_IMPORT'!$J$42:$J$1040,"")&gt;0,"Unscored clean outcome; review result tags before using score.",IF(C214=0,"No matching defensive reps; film confirmation needed.",IF(K214="Explosive Alert","Explosive risk; review clips before using as answer.",IF(C214&lt;=2,"Track only; not enough sample.",IF(C214=3,IF(E214&gt;0,"Sample watch with explosive exposure; review clips and build the sample.",IF(J214&gt;=65,"Good signal, but sample is limited.","Sample watch; review clips and build the sample.")),IF(K214="Problem Call","Problem area; practice or call-sheet review.",IF(K214="Strong Candidate","Strong call-fit candidate; confirm on film.",IF(K214="Good Candidate","Good call-fit signal; confirm on film.","Mixed signal; review fit and execution on film."))))))))</f>
        <v>Track only; not enough sample.</v>
      </c>
      <c r="M214" s="8" t="s">
        <v>39</v>
      </c>
      <c r="N214" s="8" t="s">
        <v>120</v>
      </c>
      <c r="O214" s="8"/>
      <c r="P214" s="8"/>
      <c r="Q214" s="8"/>
      <c r="R214" s="8" t="s">
        <v>28</v>
      </c>
      <c r="S214" s="2" t="s">
        <v>135</v>
      </c>
      <c r="T214" s="2">
        <f>IF(C214=0,0,IF(C214&gt;=CALL_LOOKUP_BOARD!$B$7,IF(OR(K214="Problem Call",K214="Explosive Alert"),10000000,20000000),0)+IF(C214&gt;=CALL_LOOKUP_BOARD!$B$7,J214*1000+MIN(C214,999),C214*1000+J214)+0.00997100)</f>
        <v>1023.009971</v>
      </c>
      <c r="U214" s="2">
        <f>IF(C214=0,"",IF(COUNTIFS($S$186:$S$367,SUBSTITUTE(SUBSTITUTE(SUBSTITUTE(S214,"~","~~"),"*","~*"),"?","~?"),$T$186:$T$367,"&gt;"&amp;T214)=0,S214,""))</f>
        <v/>
      </c>
    </row>
    <row r="215" spans="1:21" ht="38" customHeight="1">
      <c r="A215" s="8" t="s">
        <v>134</v>
      </c>
      <c r="B215" s="8" t="s">
        <v>64</v>
      </c>
      <c r="C215" s="12">
        <f>COUNTIFS('DEF_SELF_SCOUT_IMPORT'!$L$42:$L$1040,"Y",'DEF_SELF_SCOUT_IMPORT'!$E$42:$E$1040,SUBSTITUTE(SUBSTITUTE(SUBSTITUTE($B215,"~","~~"),"*","~*"),"?","~?"),'DEF_SELF_SCOUT_IMPORT'!$Q$42:$Q$1040,SUBSTITUTE(SUBSTITUTE(SUBSTITUTE($M215,"~","~~"),"*","~*"),"?","~?"),'DEF_SELF_SCOUT_IMPORT'!$F$42:$F$1040,SUBSTITUTE(SUBSTITUTE(SUBSTITUTE($N215,"~","~~"),"*","~*"),"?","~?"))</f>
        <v>1</v>
      </c>
      <c r="D215" s="10">
        <f>IF($C215=0,"",SUMIFS('DEF_SELF_SCOUT_IMPORT'!$J$42:$J$1040,'DEF_SELF_SCOUT_IMPORT'!$L$42:$L$1040,"Y",'DEF_SELF_SCOUT_IMPORT'!$E$42:$E$1040,SUBSTITUTE(SUBSTITUTE(SUBSTITUTE($B215,"~","~~"),"*","~*"),"?","~?"),'DEF_SELF_SCOUT_IMPORT'!$Q$42:$Q$1040,SUBSTITUTE(SUBSTITUTE(SUBSTITUTE($M215,"~","~~"),"*","~*"),"?","~?"),'DEF_SELF_SCOUT_IMPORT'!$F$42:$F$1040,SUBSTITUTE(SUBSTITUTE(SUBSTITUTE($N215,"~","~~"),"*","~*"),"?","~?"))/$C215)</f>
        <v>1.0</v>
      </c>
      <c r="E215" s="10">
        <f>IF($C215=0,"",SUMIFS('DEF_SELF_SCOUT_IMPORT'!$K$42:$K$1040,'DEF_SELF_SCOUT_IMPORT'!$L$42:$L$1040,"Y",'DEF_SELF_SCOUT_IMPORT'!$E$42:$E$1040,SUBSTITUTE(SUBSTITUTE(SUBSTITUTE($B215,"~","~~"),"*","~*"),"?","~?"),'DEF_SELF_SCOUT_IMPORT'!$Q$42:$Q$1040,SUBSTITUTE(SUBSTITUTE(SUBSTITUTE($M215,"~","~~"),"*","~*"),"?","~?"),'DEF_SELF_SCOUT_IMPORT'!$F$42:$F$1040,SUBSTITUTE(SUBSTITUTE(SUBSTITUTE($N215,"~","~~"),"*","~*"),"?","~?"))/$C215)</f>
        <v>0.0</v>
      </c>
      <c r="F215" s="11">
        <f>IF($C215=0,"",AVERAGEIFS('DEF_SELF_SCOUT_IMPORT'!$I$42:$I$1040,'DEF_SELF_SCOUT_IMPORT'!$L$42:$L$1040,"Y",'DEF_SELF_SCOUT_IMPORT'!$E$42:$E$1040,SUBSTITUTE(SUBSTITUTE(SUBSTITUTE($B215,"~","~~"),"*","~*"),"?","~?"),'DEF_SELF_SCOUT_IMPORT'!$Q$42:$Q$1040,SUBSTITUTE(SUBSTITUTE(SUBSTITUTE($M215,"~","~~"),"*","~*"),"?","~?"),'DEF_SELF_SCOUT_IMPORT'!$F$42:$F$1040,SUBSTITUTE(SUBSTITUTE(SUBSTITUTE($N215,"~","~~"),"*","~*"),"?","~?")))</f>
        <v>1.0</v>
      </c>
      <c r="G215" s="10">
        <f>IF($C215=0,"",COUNTIFS('DEF_SELF_SCOUT_IMPORT'!$L$42:$L$1040,"Y",'DEF_SELF_SCOUT_IMPORT'!$E$42:$E$1040,SUBSTITUTE(SUBSTITUTE(SUBSTITUTE($B215,"~","~~"),"*","~*"),"?","~?"),'DEF_SELF_SCOUT_IMPORT'!$Q$42:$Q$1040,SUBSTITUTE(SUBSTITUTE(SUBSTITUTE($M215,"~","~~"),"*","~*"),"?","~?"),'DEF_SELF_SCOUT_IMPORT'!$F$42:$F$1040,SUBSTITUTE(SUBSTITUTE(SUBSTITUTE($N215,"~","~~"),"*","~*"),"?","~?"),'DEF_SELF_SCOUT_IMPORT'!$H$42:$H$1040,"RUSH")/$C215)</f>
        <v>0.0</v>
      </c>
      <c r="H215" s="10">
        <f>IF($C215=0,"",COUNTIFS('DEF_SELF_SCOUT_IMPORT'!$L$42:$L$1040,"Y",'DEF_SELF_SCOUT_IMPORT'!$E$42:$E$1040,SUBSTITUTE(SUBSTITUTE(SUBSTITUTE($B215,"~","~~"),"*","~*"),"?","~?"),'DEF_SELF_SCOUT_IMPORT'!$Q$42:$Q$1040,SUBSTITUTE(SUBSTITUTE(SUBSTITUTE($M215,"~","~~"),"*","~*"),"?","~?"),'DEF_SELF_SCOUT_IMPORT'!$F$42:$F$1040,SUBSTITUTE(SUBSTITUTE(SUBSTITUTE($N215,"~","~~"),"*","~*"),"?","~?"),'DEF_SELF_SCOUT_IMPORT'!$H$42:$H$1040,"DROPBACK")/$C215)</f>
        <v>1.0</v>
      </c>
      <c r="I215" s="14" t="str">
        <f>IF(C215=0,"",IF(C215&lt;=2,"TRACK",IF(C215=3,"LOW",IF(C215&lt;=6,"MEDIUM","HIGH"))))</f>
        <v>TRACK</v>
      </c>
      <c r="J215" s="11">
        <f>IF(C215=0,"",ROUND(D215*70+(1-E215)*20+MAX(0,MIN(1,(10-F215)/10))*10,1))</f>
        <v>99.0</v>
      </c>
      <c r="K215" s="14" t="str">
        <f>IF(C215=0,"No Evidence",IF(C215&lt;=2,IF(E215&gt;0,"Explosive Alert","Track Only"),IF(C215=3,"Sample Watch",IF(E215&gt;=START_HERE!$B$31,"Explosive Alert",IF(J215&gt;=80,"Strong Candidate",IF(J215&gt;=65,"Good Candidate",IF(J215&gt;=50,"Mixed / Review","Problem Call")))))))</f>
        <v>Track Only</v>
      </c>
      <c r="L215" s="9" t="str">
        <f>IF(COUNTIFS('DEF_SELF_SCOUT_IMPORT'!$L$42:$L$1040,"Y",'DEF_SELF_SCOUT_IMPORT'!$E$42:$E$1040,SUBSTITUTE(SUBSTITUTE(SUBSTITUTE($B215,"~","~~"),"*","~*"),"?","~?"),'DEF_SELF_SCOUT_IMPORT'!$Q$42:$Q$1040,SUBSTITUTE(SUBSTITUTE(SUBSTITUTE($M215,"~","~~"),"*","~*"),"?","~?"),'DEF_SELF_SCOUT_IMPORT'!$F$42:$F$1040,SUBSTITUTE(SUBSTITUTE(SUBSTITUTE($N215,"~","~~"),"*","~*"),"?","~?"),'DEF_SELF_SCOUT_IMPORT'!$J$42:$J$1040,"")&gt;0,"Unscored clean outcome; review result tags before using score.",IF(C215=0,"No matching defensive reps; film confirmation needed.",IF(K215="Explosive Alert","Explosive risk; review clips before using as answer.",IF(C215&lt;=2,"Track only; not enough sample.",IF(C215=3,IF(E215&gt;0,"Sample watch with explosive exposure; review clips and build the sample.",IF(J215&gt;=65,"Good signal, but sample is limited.","Sample watch; review clips and build the sample.")),IF(K215="Problem Call","Problem area; practice or call-sheet review.",IF(K215="Strong Candidate","Strong call-fit candidate; confirm on film.",IF(K215="Good Candidate","Good call-fit signal; confirm on film.","Mixed signal; review fit and execution on film."))))))))</f>
        <v>Track only; not enough sample.</v>
      </c>
      <c r="M215" s="8" t="s">
        <v>39</v>
      </c>
      <c r="N215" s="8" t="s">
        <v>120</v>
      </c>
      <c r="O215" s="8"/>
      <c r="P215" s="8"/>
      <c r="Q215" s="8"/>
      <c r="R215" s="8" t="s">
        <v>28</v>
      </c>
      <c r="S215" s="2" t="s">
        <v>135</v>
      </c>
      <c r="T215" s="2">
        <f>IF(C215=0,0,IF(C215&gt;=CALL_LOOKUP_BOARD!$B$7,IF(OR(K215="Problem Call",K215="Explosive Alert"),10000000,20000000),0)+IF(C215&gt;=CALL_LOOKUP_BOARD!$B$7,J215*1000+MIN(C215,999),C215*1000+J215)+0.00997000)</f>
        <v>1099.00997</v>
      </c>
      <c r="U215" s="2">
        <f>IF(C215=0,"",IF(COUNTIFS($S$186:$S$367,SUBSTITUTE(SUBSTITUTE(SUBSTITUTE(S215,"~","~~"),"*","~*"),"?","~?"),$T$186:$T$367,"&gt;"&amp;T215)=0,S215,""))</f>
        <v/>
      </c>
    </row>
    <row r="216" spans="1:21" ht="38" customHeight="1">
      <c r="A216" s="8" t="s">
        <v>134</v>
      </c>
      <c r="B216" s="8" t="s">
        <v>65</v>
      </c>
      <c r="C216" s="12">
        <f>COUNTIFS('DEF_SELF_SCOUT_IMPORT'!$L$42:$L$1040,"Y",'DEF_SELF_SCOUT_IMPORT'!$E$42:$E$1040,SUBSTITUTE(SUBSTITUTE(SUBSTITUTE($B216,"~","~~"),"*","~*"),"?","~?"),'DEF_SELF_SCOUT_IMPORT'!$Q$42:$Q$1040,SUBSTITUTE(SUBSTITUTE(SUBSTITUTE($M216,"~","~~"),"*","~*"),"?","~?"),'DEF_SELF_SCOUT_IMPORT'!$F$42:$F$1040,SUBSTITUTE(SUBSTITUTE(SUBSTITUTE($N216,"~","~~"),"*","~*"),"?","~?"))</f>
        <v>1</v>
      </c>
      <c r="D216" s="10">
        <f>IF($C216=0,"",SUMIFS('DEF_SELF_SCOUT_IMPORT'!$J$42:$J$1040,'DEF_SELF_SCOUT_IMPORT'!$L$42:$L$1040,"Y",'DEF_SELF_SCOUT_IMPORT'!$E$42:$E$1040,SUBSTITUTE(SUBSTITUTE(SUBSTITUTE($B216,"~","~~"),"*","~*"),"?","~?"),'DEF_SELF_SCOUT_IMPORT'!$Q$42:$Q$1040,SUBSTITUTE(SUBSTITUTE(SUBSTITUTE($M216,"~","~~"),"*","~*"),"?","~?"),'DEF_SELF_SCOUT_IMPORT'!$F$42:$F$1040,SUBSTITUTE(SUBSTITUTE(SUBSTITUTE($N216,"~","~~"),"*","~*"),"?","~?"))/$C216)</f>
        <v>1.0</v>
      </c>
      <c r="E216" s="10">
        <f>IF($C216=0,"",SUMIFS('DEF_SELF_SCOUT_IMPORT'!$K$42:$K$1040,'DEF_SELF_SCOUT_IMPORT'!$L$42:$L$1040,"Y",'DEF_SELF_SCOUT_IMPORT'!$E$42:$E$1040,SUBSTITUTE(SUBSTITUTE(SUBSTITUTE($B216,"~","~~"),"*","~*"),"?","~?"),'DEF_SELF_SCOUT_IMPORT'!$Q$42:$Q$1040,SUBSTITUTE(SUBSTITUTE(SUBSTITUTE($M216,"~","~~"),"*","~*"),"?","~?"),'DEF_SELF_SCOUT_IMPORT'!$F$42:$F$1040,SUBSTITUTE(SUBSTITUTE(SUBSTITUTE($N216,"~","~~"),"*","~*"),"?","~?"))/$C216)</f>
        <v>0.0</v>
      </c>
      <c r="F216" s="11">
        <f>IF($C216=0,"",AVERAGEIFS('DEF_SELF_SCOUT_IMPORT'!$I$42:$I$1040,'DEF_SELF_SCOUT_IMPORT'!$L$42:$L$1040,"Y",'DEF_SELF_SCOUT_IMPORT'!$E$42:$E$1040,SUBSTITUTE(SUBSTITUTE(SUBSTITUTE($B216,"~","~~"),"*","~*"),"?","~?"),'DEF_SELF_SCOUT_IMPORT'!$Q$42:$Q$1040,SUBSTITUTE(SUBSTITUTE(SUBSTITUTE($M216,"~","~~"),"*","~*"),"?","~?"),'DEF_SELF_SCOUT_IMPORT'!$F$42:$F$1040,SUBSTITUTE(SUBSTITUTE(SUBSTITUTE($N216,"~","~~"),"*","~*"),"?","~?")))</f>
        <v>0.0</v>
      </c>
      <c r="G216" s="10">
        <f>IF($C216=0,"",COUNTIFS('DEF_SELF_SCOUT_IMPORT'!$L$42:$L$1040,"Y",'DEF_SELF_SCOUT_IMPORT'!$E$42:$E$1040,SUBSTITUTE(SUBSTITUTE(SUBSTITUTE($B216,"~","~~"),"*","~*"),"?","~?"),'DEF_SELF_SCOUT_IMPORT'!$Q$42:$Q$1040,SUBSTITUTE(SUBSTITUTE(SUBSTITUTE($M216,"~","~~"),"*","~*"),"?","~?"),'DEF_SELF_SCOUT_IMPORT'!$F$42:$F$1040,SUBSTITUTE(SUBSTITUTE(SUBSTITUTE($N216,"~","~~"),"*","~*"),"?","~?"),'DEF_SELF_SCOUT_IMPORT'!$H$42:$H$1040,"RUSH")/$C216)</f>
        <v>0.0</v>
      </c>
      <c r="H216" s="10">
        <f>IF($C216=0,"",COUNTIFS('DEF_SELF_SCOUT_IMPORT'!$L$42:$L$1040,"Y",'DEF_SELF_SCOUT_IMPORT'!$E$42:$E$1040,SUBSTITUTE(SUBSTITUTE(SUBSTITUTE($B216,"~","~~"),"*","~*"),"?","~?"),'DEF_SELF_SCOUT_IMPORT'!$Q$42:$Q$1040,SUBSTITUTE(SUBSTITUTE(SUBSTITUTE($M216,"~","~~"),"*","~*"),"?","~?"),'DEF_SELF_SCOUT_IMPORT'!$F$42:$F$1040,SUBSTITUTE(SUBSTITUTE(SUBSTITUTE($N216,"~","~~"),"*","~*"),"?","~?"),'DEF_SELF_SCOUT_IMPORT'!$H$42:$H$1040,"DROPBACK")/$C216)</f>
        <v>1.0</v>
      </c>
      <c r="I216" s="14" t="str">
        <f>IF(C216=0,"",IF(C216&lt;=2,"TRACK",IF(C216=3,"LOW",IF(C216&lt;=6,"MEDIUM","HIGH"))))</f>
        <v>TRACK</v>
      </c>
      <c r="J216" s="11">
        <f>IF(C216=0,"",ROUND(D216*70+(1-E216)*20+MAX(0,MIN(1,(10-F216)/10))*10,1))</f>
        <v>100.0</v>
      </c>
      <c r="K216" s="14" t="str">
        <f>IF(C216=0,"No Evidence",IF(C216&lt;=2,IF(E216&gt;0,"Explosive Alert","Track Only"),IF(C216=3,"Sample Watch",IF(E216&gt;=START_HERE!$B$31,"Explosive Alert",IF(J216&gt;=80,"Strong Candidate",IF(J216&gt;=65,"Good Candidate",IF(J216&gt;=50,"Mixed / Review","Problem Call")))))))</f>
        <v>Track Only</v>
      </c>
      <c r="L216" s="9" t="str">
        <f>IF(COUNTIFS('DEF_SELF_SCOUT_IMPORT'!$L$42:$L$1040,"Y",'DEF_SELF_SCOUT_IMPORT'!$E$42:$E$1040,SUBSTITUTE(SUBSTITUTE(SUBSTITUTE($B216,"~","~~"),"*","~*"),"?","~?"),'DEF_SELF_SCOUT_IMPORT'!$Q$42:$Q$1040,SUBSTITUTE(SUBSTITUTE(SUBSTITUTE($M216,"~","~~"),"*","~*"),"?","~?"),'DEF_SELF_SCOUT_IMPORT'!$F$42:$F$1040,SUBSTITUTE(SUBSTITUTE(SUBSTITUTE($N216,"~","~~"),"*","~*"),"?","~?"),'DEF_SELF_SCOUT_IMPORT'!$J$42:$J$1040,"")&gt;0,"Unscored clean outcome; review result tags before using score.",IF(C216=0,"No matching defensive reps; film confirmation needed.",IF(K216="Explosive Alert","Explosive risk; review clips before using as answer.",IF(C216&lt;=2,"Track only; not enough sample.",IF(C216=3,IF(E216&gt;0,"Sample watch with explosive exposure; review clips and build the sample.",IF(J216&gt;=65,"Good signal, but sample is limited.","Sample watch; review clips and build the sample.")),IF(K216="Problem Call","Problem area; practice or call-sheet review.",IF(K216="Strong Candidate","Strong call-fit candidate; confirm on film.",IF(K216="Good Candidate","Good call-fit signal; confirm on film.","Mixed signal; review fit and execution on film."))))))))</f>
        <v>Track only; not enough sample.</v>
      </c>
      <c r="M216" s="8" t="s">
        <v>39</v>
      </c>
      <c r="N216" s="8" t="s">
        <v>120</v>
      </c>
      <c r="O216" s="8"/>
      <c r="P216" s="8"/>
      <c r="Q216" s="8"/>
      <c r="R216" s="8" t="s">
        <v>28</v>
      </c>
      <c r="S216" s="2" t="s">
        <v>135</v>
      </c>
      <c r="T216" s="2">
        <f>IF(C216=0,0,IF(C216&gt;=CALL_LOOKUP_BOARD!$B$7,IF(OR(K216="Problem Call",K216="Explosive Alert"),10000000,20000000),0)+IF(C216&gt;=CALL_LOOKUP_BOARD!$B$7,J216*1000+MIN(C216,999),C216*1000+J216)+0.00996900)</f>
        <v>1100.009969</v>
      </c>
      <c r="U216" s="2">
        <f>IF(C216=0,"",IF(COUNTIFS($S$186:$S$367,SUBSTITUTE(SUBSTITUTE(SUBSTITUTE(S216,"~","~~"),"*","~*"),"?","~?"),$T$186:$T$367,"&gt;"&amp;T216)=0,S216,""))</f>
        <v/>
      </c>
    </row>
    <row r="217" spans="1:21" ht="38" customHeight="1">
      <c r="A217" s="8" t="s">
        <v>134</v>
      </c>
      <c r="B217" s="8" t="s">
        <v>66</v>
      </c>
      <c r="C217" s="12">
        <f>COUNTIFS('DEF_SELF_SCOUT_IMPORT'!$L$42:$L$1040,"Y",'DEF_SELF_SCOUT_IMPORT'!$E$42:$E$1040,SUBSTITUTE(SUBSTITUTE(SUBSTITUTE($B217,"~","~~"),"*","~*"),"?","~?"),'DEF_SELF_SCOUT_IMPORT'!$Q$42:$Q$1040,SUBSTITUTE(SUBSTITUTE(SUBSTITUTE($M217,"~","~~"),"*","~*"),"?","~?"),'DEF_SELF_SCOUT_IMPORT'!$F$42:$F$1040,SUBSTITUTE(SUBSTITUTE(SUBSTITUTE($N217,"~","~~"),"*","~*"),"?","~?"))</f>
        <v>3</v>
      </c>
      <c r="D217" s="10">
        <f>IF($C217=0,"",SUMIFS('DEF_SELF_SCOUT_IMPORT'!$J$42:$J$1040,'DEF_SELF_SCOUT_IMPORT'!$L$42:$L$1040,"Y",'DEF_SELF_SCOUT_IMPORT'!$E$42:$E$1040,SUBSTITUTE(SUBSTITUTE(SUBSTITUTE($B217,"~","~~"),"*","~*"),"?","~?"),'DEF_SELF_SCOUT_IMPORT'!$Q$42:$Q$1040,SUBSTITUTE(SUBSTITUTE(SUBSTITUTE($M217,"~","~~"),"*","~*"),"?","~?"),'DEF_SELF_SCOUT_IMPORT'!$F$42:$F$1040,SUBSTITUTE(SUBSTITUTE(SUBSTITUTE($N217,"~","~~"),"*","~*"),"?","~?"))/$C217)</f>
        <v>0.6666666666666666</v>
      </c>
      <c r="E217" s="10">
        <f>IF($C217=0,"",SUMIFS('DEF_SELF_SCOUT_IMPORT'!$K$42:$K$1040,'DEF_SELF_SCOUT_IMPORT'!$L$42:$L$1040,"Y",'DEF_SELF_SCOUT_IMPORT'!$E$42:$E$1040,SUBSTITUTE(SUBSTITUTE(SUBSTITUTE($B217,"~","~~"),"*","~*"),"?","~?"),'DEF_SELF_SCOUT_IMPORT'!$Q$42:$Q$1040,SUBSTITUTE(SUBSTITUTE(SUBSTITUTE($M217,"~","~~"),"*","~*"),"?","~?"),'DEF_SELF_SCOUT_IMPORT'!$F$42:$F$1040,SUBSTITUTE(SUBSTITUTE(SUBSTITUTE($N217,"~","~~"),"*","~*"),"?","~?"))/$C217)</f>
        <v>0.3333333333333333</v>
      </c>
      <c r="F217" s="11">
        <f>IF($C217=0,"",AVERAGEIFS('DEF_SELF_SCOUT_IMPORT'!$I$42:$I$1040,'DEF_SELF_SCOUT_IMPORT'!$L$42:$L$1040,"Y",'DEF_SELF_SCOUT_IMPORT'!$E$42:$E$1040,SUBSTITUTE(SUBSTITUTE(SUBSTITUTE($B217,"~","~~"),"*","~*"),"?","~?"),'DEF_SELF_SCOUT_IMPORT'!$Q$42:$Q$1040,SUBSTITUTE(SUBSTITUTE(SUBSTITUTE($M217,"~","~~"),"*","~*"),"?","~?"),'DEF_SELF_SCOUT_IMPORT'!$F$42:$F$1040,SUBSTITUTE(SUBSTITUTE(SUBSTITUTE($N217,"~","~~"),"*","~*"),"?","~?")))</f>
        <v>10.0</v>
      </c>
      <c r="G217" s="10">
        <f>IF($C217=0,"",COUNTIFS('DEF_SELF_SCOUT_IMPORT'!$L$42:$L$1040,"Y",'DEF_SELF_SCOUT_IMPORT'!$E$42:$E$1040,SUBSTITUTE(SUBSTITUTE(SUBSTITUTE($B217,"~","~~"),"*","~*"),"?","~?"),'DEF_SELF_SCOUT_IMPORT'!$Q$42:$Q$1040,SUBSTITUTE(SUBSTITUTE(SUBSTITUTE($M217,"~","~~"),"*","~*"),"?","~?"),'DEF_SELF_SCOUT_IMPORT'!$F$42:$F$1040,SUBSTITUTE(SUBSTITUTE(SUBSTITUTE($N217,"~","~~"),"*","~*"),"?","~?"),'DEF_SELF_SCOUT_IMPORT'!$H$42:$H$1040,"RUSH")/$C217)</f>
        <v>0.3333333333333333</v>
      </c>
      <c r="H217" s="10">
        <f>IF($C217=0,"",COUNTIFS('DEF_SELF_SCOUT_IMPORT'!$L$42:$L$1040,"Y",'DEF_SELF_SCOUT_IMPORT'!$E$42:$E$1040,SUBSTITUTE(SUBSTITUTE(SUBSTITUTE($B217,"~","~~"),"*","~*"),"?","~?"),'DEF_SELF_SCOUT_IMPORT'!$Q$42:$Q$1040,SUBSTITUTE(SUBSTITUTE(SUBSTITUTE($M217,"~","~~"),"*","~*"),"?","~?"),'DEF_SELF_SCOUT_IMPORT'!$F$42:$F$1040,SUBSTITUTE(SUBSTITUTE(SUBSTITUTE($N217,"~","~~"),"*","~*"),"?","~?"),'DEF_SELF_SCOUT_IMPORT'!$H$42:$H$1040,"DROPBACK")/$C217)</f>
        <v>0.6666666666666666</v>
      </c>
      <c r="I217" s="14" t="str">
        <f>IF(C217=0,"",IF(C217&lt;=2,"TRACK",IF(C217=3,"LOW",IF(C217&lt;=6,"MEDIUM","HIGH"))))</f>
        <v>LOW</v>
      </c>
      <c r="J217" s="11">
        <f>IF(C217=0,"",ROUND(D217*70+(1-E217)*20+MAX(0,MIN(1,(10-F217)/10))*10,1))</f>
        <v>60.0</v>
      </c>
      <c r="K217" s="14" t="str">
        <f>IF(C217=0,"No Evidence",IF(C217&lt;=2,IF(E217&gt;0,"Explosive Alert","Track Only"),IF(C217=3,"Sample Watch",IF(E217&gt;=START_HERE!$B$31,"Explosive Alert",IF(J217&gt;=80,"Strong Candidate",IF(J217&gt;=65,"Good Candidate",IF(J217&gt;=50,"Mixed / Review","Problem Call")))))))</f>
        <v>Sample Watch</v>
      </c>
      <c r="L217" s="9" t="str">
        <f>IF(COUNTIFS('DEF_SELF_SCOUT_IMPORT'!$L$42:$L$1040,"Y",'DEF_SELF_SCOUT_IMPORT'!$E$42:$E$1040,SUBSTITUTE(SUBSTITUTE(SUBSTITUTE($B217,"~","~~"),"*","~*"),"?","~?"),'DEF_SELF_SCOUT_IMPORT'!$Q$42:$Q$1040,SUBSTITUTE(SUBSTITUTE(SUBSTITUTE($M217,"~","~~"),"*","~*"),"?","~?"),'DEF_SELF_SCOUT_IMPORT'!$F$42:$F$1040,SUBSTITUTE(SUBSTITUTE(SUBSTITUTE($N217,"~","~~"),"*","~*"),"?","~?"),'DEF_SELF_SCOUT_IMPORT'!$J$42:$J$1040,"")&gt;0,"Unscored clean outcome; review result tags before using score.",IF(C217=0,"No matching defensive reps; film confirmation needed.",IF(K217="Explosive Alert","Explosive risk; review clips before using as answer.",IF(C217&lt;=2,"Track only; not enough sample.",IF(C217=3,IF(E217&gt;0,"Sample watch with explosive exposure; review clips and build the sample.",IF(J217&gt;=65,"Good signal, but sample is limited.","Sample watch; review clips and build the sample.")),IF(K217="Problem Call","Problem area; practice or call-sheet review.",IF(K217="Strong Candidate","Strong call-fit candidate; confirm on film.",IF(K217="Good Candidate","Good call-fit signal; confirm on film.","Mixed signal; review fit and execution on film."))))))))</f>
        <v>Sample watch with explosive exposure; review clips and build the sample.</v>
      </c>
      <c r="M217" s="8" t="s">
        <v>39</v>
      </c>
      <c r="N217" s="8" t="s">
        <v>120</v>
      </c>
      <c r="O217" s="8"/>
      <c r="P217" s="8"/>
      <c r="Q217" s="8"/>
      <c r="R217" s="8" t="s">
        <v>28</v>
      </c>
      <c r="S217" s="2" t="s">
        <v>135</v>
      </c>
      <c r="T217" s="2">
        <f>IF(C217=0,0,IF(C217&gt;=CALL_LOOKUP_BOARD!$B$7,IF(OR(K217="Problem Call",K217="Explosive Alert"),10000000,20000000),0)+IF(C217&gt;=CALL_LOOKUP_BOARD!$B$7,J217*1000+MIN(C217,999),C217*1000+J217)+0.00996800)</f>
        <v>3060.009968</v>
      </c>
      <c r="U217" s="2">
        <f>IF(C217=0,"",IF(COUNTIFS($S$186:$S$367,SUBSTITUTE(SUBSTITUTE(SUBSTITUTE(S217,"~","~~"),"*","~*"),"?","~?"),$T$186:$T$367,"&gt;"&amp;T217)=0,S217,""))</f>
        <v/>
      </c>
    </row>
    <row r="218" spans="1:21" ht="38" customHeight="1">
      <c r="A218" s="8" t="s">
        <v>134</v>
      </c>
      <c r="B218" s="8" t="s">
        <v>67</v>
      </c>
      <c r="C218" s="12">
        <f>COUNTIFS('DEF_SELF_SCOUT_IMPORT'!$L$42:$L$1040,"Y",'DEF_SELF_SCOUT_IMPORT'!$E$42:$E$1040,SUBSTITUTE(SUBSTITUTE(SUBSTITUTE($B218,"~","~~"),"*","~*"),"?","~?"),'DEF_SELF_SCOUT_IMPORT'!$Q$42:$Q$1040,SUBSTITUTE(SUBSTITUTE(SUBSTITUTE($M218,"~","~~"),"*","~*"),"?","~?"),'DEF_SELF_SCOUT_IMPORT'!$F$42:$F$1040,SUBSTITUTE(SUBSTITUTE(SUBSTITUTE($N218,"~","~~"),"*","~*"),"?","~?"))</f>
        <v>3</v>
      </c>
      <c r="D218" s="10">
        <f>IF($C218=0,"",SUMIFS('DEF_SELF_SCOUT_IMPORT'!$J$42:$J$1040,'DEF_SELF_SCOUT_IMPORT'!$L$42:$L$1040,"Y",'DEF_SELF_SCOUT_IMPORT'!$E$42:$E$1040,SUBSTITUTE(SUBSTITUTE(SUBSTITUTE($B218,"~","~~"),"*","~*"),"?","~?"),'DEF_SELF_SCOUT_IMPORT'!$Q$42:$Q$1040,SUBSTITUTE(SUBSTITUTE(SUBSTITUTE($M218,"~","~~"),"*","~*"),"?","~?"),'DEF_SELF_SCOUT_IMPORT'!$F$42:$F$1040,SUBSTITUTE(SUBSTITUTE(SUBSTITUTE($N218,"~","~~"),"*","~*"),"?","~?"))/$C218)</f>
        <v>0.3333333333333333</v>
      </c>
      <c r="E218" s="10">
        <f>IF($C218=0,"",SUMIFS('DEF_SELF_SCOUT_IMPORT'!$K$42:$K$1040,'DEF_SELF_SCOUT_IMPORT'!$L$42:$L$1040,"Y",'DEF_SELF_SCOUT_IMPORT'!$E$42:$E$1040,SUBSTITUTE(SUBSTITUTE(SUBSTITUTE($B218,"~","~~"),"*","~*"),"?","~?"),'DEF_SELF_SCOUT_IMPORT'!$Q$42:$Q$1040,SUBSTITUTE(SUBSTITUTE(SUBSTITUTE($M218,"~","~~"),"*","~*"),"?","~?"),'DEF_SELF_SCOUT_IMPORT'!$F$42:$F$1040,SUBSTITUTE(SUBSTITUTE(SUBSTITUTE($N218,"~","~~"),"*","~*"),"?","~?"))/$C218)</f>
        <v>0.0</v>
      </c>
      <c r="F218" s="11">
        <f>IF($C218=0,"",AVERAGEIFS('DEF_SELF_SCOUT_IMPORT'!$I$42:$I$1040,'DEF_SELF_SCOUT_IMPORT'!$L$42:$L$1040,"Y",'DEF_SELF_SCOUT_IMPORT'!$E$42:$E$1040,SUBSTITUTE(SUBSTITUTE(SUBSTITUTE($B218,"~","~~"),"*","~*"),"?","~?"),'DEF_SELF_SCOUT_IMPORT'!$Q$42:$Q$1040,SUBSTITUTE(SUBSTITUTE(SUBSTITUTE($M218,"~","~~"),"*","~*"),"?","~?"),'DEF_SELF_SCOUT_IMPORT'!$F$42:$F$1040,SUBSTITUTE(SUBSTITUTE(SUBSTITUTE($N218,"~","~~"),"*","~*"),"?","~?")))</f>
        <v>1.6666666666666667</v>
      </c>
      <c r="G218" s="10">
        <f>IF($C218=0,"",COUNTIFS('DEF_SELF_SCOUT_IMPORT'!$L$42:$L$1040,"Y",'DEF_SELF_SCOUT_IMPORT'!$E$42:$E$1040,SUBSTITUTE(SUBSTITUTE(SUBSTITUTE($B218,"~","~~"),"*","~*"),"?","~?"),'DEF_SELF_SCOUT_IMPORT'!$Q$42:$Q$1040,SUBSTITUTE(SUBSTITUTE(SUBSTITUTE($M218,"~","~~"),"*","~*"),"?","~?"),'DEF_SELF_SCOUT_IMPORT'!$F$42:$F$1040,SUBSTITUTE(SUBSTITUTE(SUBSTITUTE($N218,"~","~~"),"*","~*"),"?","~?"),'DEF_SELF_SCOUT_IMPORT'!$H$42:$H$1040,"RUSH")/$C218)</f>
        <v>1.0</v>
      </c>
      <c r="H218" s="10">
        <f>IF($C218=0,"",COUNTIFS('DEF_SELF_SCOUT_IMPORT'!$L$42:$L$1040,"Y",'DEF_SELF_SCOUT_IMPORT'!$E$42:$E$1040,SUBSTITUTE(SUBSTITUTE(SUBSTITUTE($B218,"~","~~"),"*","~*"),"?","~?"),'DEF_SELF_SCOUT_IMPORT'!$Q$42:$Q$1040,SUBSTITUTE(SUBSTITUTE(SUBSTITUTE($M218,"~","~~"),"*","~*"),"?","~?"),'DEF_SELF_SCOUT_IMPORT'!$F$42:$F$1040,SUBSTITUTE(SUBSTITUTE(SUBSTITUTE($N218,"~","~~"),"*","~*"),"?","~?"),'DEF_SELF_SCOUT_IMPORT'!$H$42:$H$1040,"DROPBACK")/$C218)</f>
        <v>0.0</v>
      </c>
      <c r="I218" s="14" t="str">
        <f>IF(C218=0,"",IF(C218&lt;=2,"TRACK",IF(C218=3,"LOW",IF(C218&lt;=6,"MEDIUM","HIGH"))))</f>
        <v>LOW</v>
      </c>
      <c r="J218" s="11">
        <f>IF(C218=0,"",ROUND(D218*70+(1-E218)*20+MAX(0,MIN(1,(10-F218)/10))*10,1))</f>
        <v>51.7</v>
      </c>
      <c r="K218" s="14" t="str">
        <f>IF(C218=0,"No Evidence",IF(C218&lt;=2,IF(E218&gt;0,"Explosive Alert","Track Only"),IF(C218=3,"Sample Watch",IF(E218&gt;=START_HERE!$B$31,"Explosive Alert",IF(J218&gt;=80,"Strong Candidate",IF(J218&gt;=65,"Good Candidate",IF(J218&gt;=50,"Mixed / Review","Problem Call")))))))</f>
        <v>Sample Watch</v>
      </c>
      <c r="L218" s="9" t="str">
        <f>IF(COUNTIFS('DEF_SELF_SCOUT_IMPORT'!$L$42:$L$1040,"Y",'DEF_SELF_SCOUT_IMPORT'!$E$42:$E$1040,SUBSTITUTE(SUBSTITUTE(SUBSTITUTE($B218,"~","~~"),"*","~*"),"?","~?"),'DEF_SELF_SCOUT_IMPORT'!$Q$42:$Q$1040,SUBSTITUTE(SUBSTITUTE(SUBSTITUTE($M218,"~","~~"),"*","~*"),"?","~?"),'DEF_SELF_SCOUT_IMPORT'!$F$42:$F$1040,SUBSTITUTE(SUBSTITUTE(SUBSTITUTE($N218,"~","~~"),"*","~*"),"?","~?"),'DEF_SELF_SCOUT_IMPORT'!$J$42:$J$1040,"")&gt;0,"Unscored clean outcome; review result tags before using score.",IF(C218=0,"No matching defensive reps; film confirmation needed.",IF(K218="Explosive Alert","Explosive risk; review clips before using as answer.",IF(C218&lt;=2,"Track only; not enough sample.",IF(C218=3,IF(E218&gt;0,"Sample watch with explosive exposure; review clips and build the sample.",IF(J218&gt;=65,"Good signal, but sample is limited.","Sample watch; review clips and build the sample.")),IF(K218="Problem Call","Problem area; practice or call-sheet review.",IF(K218="Strong Candidate","Strong call-fit candidate; confirm on film.",IF(K218="Good Candidate","Good call-fit signal; confirm on film.","Mixed signal; review fit and execution on film."))))))))</f>
        <v>Sample watch; review clips and build the sample.</v>
      </c>
      <c r="M218" s="8" t="s">
        <v>39</v>
      </c>
      <c r="N218" s="8" t="s">
        <v>120</v>
      </c>
      <c r="O218" s="8"/>
      <c r="P218" s="8"/>
      <c r="Q218" s="8"/>
      <c r="R218" s="8" t="s">
        <v>28</v>
      </c>
      <c r="S218" s="2" t="s">
        <v>135</v>
      </c>
      <c r="T218" s="2">
        <f>IF(C218=0,0,IF(C218&gt;=CALL_LOOKUP_BOARD!$B$7,IF(OR(K218="Problem Call",K218="Explosive Alert"),10000000,20000000),0)+IF(C218&gt;=CALL_LOOKUP_BOARD!$B$7,J218*1000+MIN(C218,999),C218*1000+J218)+0.00996700)</f>
        <v>3051.709967</v>
      </c>
      <c r="U218" s="2">
        <f>IF(C218=0,"",IF(COUNTIFS($S$186:$S$367,SUBSTITUTE(SUBSTITUTE(SUBSTITUTE(S218,"~","~~"),"*","~*"),"?","~?"),$T$186:$T$367,"&gt;"&amp;T218)=0,S218,""))</f>
        <v/>
      </c>
    </row>
    <row r="219" spans="1:21" ht="38" customHeight="1">
      <c r="A219" s="8" t="s">
        <v>134</v>
      </c>
      <c r="B219" s="8" t="s">
        <v>68</v>
      </c>
      <c r="C219" s="12">
        <f>COUNTIFS('DEF_SELF_SCOUT_IMPORT'!$L$42:$L$1040,"Y",'DEF_SELF_SCOUT_IMPORT'!$E$42:$E$1040,SUBSTITUTE(SUBSTITUTE(SUBSTITUTE($B219,"~","~~"),"*","~*"),"?","~?"),'DEF_SELF_SCOUT_IMPORT'!$Q$42:$Q$1040,SUBSTITUTE(SUBSTITUTE(SUBSTITUTE($M219,"~","~~"),"*","~*"),"?","~?"),'DEF_SELF_SCOUT_IMPORT'!$F$42:$F$1040,SUBSTITUTE(SUBSTITUTE(SUBSTITUTE($N219,"~","~~"),"*","~*"),"?","~?"))</f>
        <v>2</v>
      </c>
      <c r="D219" s="10">
        <f>IF($C219=0,"",SUMIFS('DEF_SELF_SCOUT_IMPORT'!$J$42:$J$1040,'DEF_SELF_SCOUT_IMPORT'!$L$42:$L$1040,"Y",'DEF_SELF_SCOUT_IMPORT'!$E$42:$E$1040,SUBSTITUTE(SUBSTITUTE(SUBSTITUTE($B219,"~","~~"),"*","~*"),"?","~?"),'DEF_SELF_SCOUT_IMPORT'!$Q$42:$Q$1040,SUBSTITUTE(SUBSTITUTE(SUBSTITUTE($M219,"~","~~"),"*","~*"),"?","~?"),'DEF_SELF_SCOUT_IMPORT'!$F$42:$F$1040,SUBSTITUTE(SUBSTITUTE(SUBSTITUTE($N219,"~","~~"),"*","~*"),"?","~?"))/$C219)</f>
        <v>0.5</v>
      </c>
      <c r="E219" s="10">
        <f>IF($C219=0,"",SUMIFS('DEF_SELF_SCOUT_IMPORT'!$K$42:$K$1040,'DEF_SELF_SCOUT_IMPORT'!$L$42:$L$1040,"Y",'DEF_SELF_SCOUT_IMPORT'!$E$42:$E$1040,SUBSTITUTE(SUBSTITUTE(SUBSTITUTE($B219,"~","~~"),"*","~*"),"?","~?"),'DEF_SELF_SCOUT_IMPORT'!$Q$42:$Q$1040,SUBSTITUTE(SUBSTITUTE(SUBSTITUTE($M219,"~","~~"),"*","~*"),"?","~?"),'DEF_SELF_SCOUT_IMPORT'!$F$42:$F$1040,SUBSTITUTE(SUBSTITUTE(SUBSTITUTE($N219,"~","~~"),"*","~*"),"?","~?"))/$C219)</f>
        <v>0.0</v>
      </c>
      <c r="F219" s="11">
        <f>IF($C219=0,"",AVERAGEIFS('DEF_SELF_SCOUT_IMPORT'!$I$42:$I$1040,'DEF_SELF_SCOUT_IMPORT'!$L$42:$L$1040,"Y",'DEF_SELF_SCOUT_IMPORT'!$E$42:$E$1040,SUBSTITUTE(SUBSTITUTE(SUBSTITUTE($B219,"~","~~"),"*","~*"),"?","~?"),'DEF_SELF_SCOUT_IMPORT'!$Q$42:$Q$1040,SUBSTITUTE(SUBSTITUTE(SUBSTITUTE($M219,"~","~~"),"*","~*"),"?","~?"),'DEF_SELF_SCOUT_IMPORT'!$F$42:$F$1040,SUBSTITUTE(SUBSTITUTE(SUBSTITUTE($N219,"~","~~"),"*","~*"),"?","~?")))</f>
        <v>7.5</v>
      </c>
      <c r="G219" s="10">
        <f>IF($C219=0,"",COUNTIFS('DEF_SELF_SCOUT_IMPORT'!$L$42:$L$1040,"Y",'DEF_SELF_SCOUT_IMPORT'!$E$42:$E$1040,SUBSTITUTE(SUBSTITUTE(SUBSTITUTE($B219,"~","~~"),"*","~*"),"?","~?"),'DEF_SELF_SCOUT_IMPORT'!$Q$42:$Q$1040,SUBSTITUTE(SUBSTITUTE(SUBSTITUTE($M219,"~","~~"),"*","~*"),"?","~?"),'DEF_SELF_SCOUT_IMPORT'!$F$42:$F$1040,SUBSTITUTE(SUBSTITUTE(SUBSTITUTE($N219,"~","~~"),"*","~*"),"?","~?"),'DEF_SELF_SCOUT_IMPORT'!$H$42:$H$1040,"RUSH")/$C219)</f>
        <v>0.0</v>
      </c>
      <c r="H219" s="10">
        <f>IF($C219=0,"",COUNTIFS('DEF_SELF_SCOUT_IMPORT'!$L$42:$L$1040,"Y",'DEF_SELF_SCOUT_IMPORT'!$E$42:$E$1040,SUBSTITUTE(SUBSTITUTE(SUBSTITUTE($B219,"~","~~"),"*","~*"),"?","~?"),'DEF_SELF_SCOUT_IMPORT'!$Q$42:$Q$1040,SUBSTITUTE(SUBSTITUTE(SUBSTITUTE($M219,"~","~~"),"*","~*"),"?","~?"),'DEF_SELF_SCOUT_IMPORT'!$F$42:$F$1040,SUBSTITUTE(SUBSTITUTE(SUBSTITUTE($N219,"~","~~"),"*","~*"),"?","~?"),'DEF_SELF_SCOUT_IMPORT'!$H$42:$H$1040,"DROPBACK")/$C219)</f>
        <v>0.5</v>
      </c>
      <c r="I219" s="14" t="str">
        <f>IF(C219=0,"",IF(C219&lt;=2,"TRACK",IF(C219=3,"LOW",IF(C219&lt;=6,"MEDIUM","HIGH"))))</f>
        <v>TRACK</v>
      </c>
      <c r="J219" s="11">
        <f>IF(C219=0,"",ROUND(D219*70+(1-E219)*20+MAX(0,MIN(1,(10-F219)/10))*10,1))</f>
        <v>57.5</v>
      </c>
      <c r="K219" s="14" t="str">
        <f>IF(C219=0,"No Evidence",IF(C219&lt;=2,IF(E219&gt;0,"Explosive Alert","Track Only"),IF(C219=3,"Sample Watch",IF(E219&gt;=START_HERE!$B$31,"Explosive Alert",IF(J219&gt;=80,"Strong Candidate",IF(J219&gt;=65,"Good Candidate",IF(J219&gt;=50,"Mixed / Review","Problem Call")))))))</f>
        <v>Track Only</v>
      </c>
      <c r="L219" s="9" t="str">
        <f>IF(COUNTIFS('DEF_SELF_SCOUT_IMPORT'!$L$42:$L$1040,"Y",'DEF_SELF_SCOUT_IMPORT'!$E$42:$E$1040,SUBSTITUTE(SUBSTITUTE(SUBSTITUTE($B219,"~","~~"),"*","~*"),"?","~?"),'DEF_SELF_SCOUT_IMPORT'!$Q$42:$Q$1040,SUBSTITUTE(SUBSTITUTE(SUBSTITUTE($M219,"~","~~"),"*","~*"),"?","~?"),'DEF_SELF_SCOUT_IMPORT'!$F$42:$F$1040,SUBSTITUTE(SUBSTITUTE(SUBSTITUTE($N219,"~","~~"),"*","~*"),"?","~?"),'DEF_SELF_SCOUT_IMPORT'!$J$42:$J$1040,"")&gt;0,"Unscored clean outcome; review result tags before using score.",IF(C219=0,"No matching defensive reps; film confirmation needed.",IF(K219="Explosive Alert","Explosive risk; review clips before using as answer.",IF(C219&lt;=2,"Track only; not enough sample.",IF(C219=3,IF(E219&gt;0,"Sample watch with explosive exposure; review clips and build the sample.",IF(J219&gt;=65,"Good signal, but sample is limited.","Sample watch; review clips and build the sample.")),IF(K219="Problem Call","Problem area; practice or call-sheet review.",IF(K219="Strong Candidate","Strong call-fit candidate; confirm on film.",IF(K219="Good Candidate","Good call-fit signal; confirm on film.","Mixed signal; review fit and execution on film."))))))))</f>
        <v>Track only; not enough sample.</v>
      </c>
      <c r="M219" s="8" t="s">
        <v>39</v>
      </c>
      <c r="N219" s="8" t="s">
        <v>120</v>
      </c>
      <c r="O219" s="8"/>
      <c r="P219" s="8"/>
      <c r="Q219" s="8"/>
      <c r="R219" s="8" t="s">
        <v>28</v>
      </c>
      <c r="S219" s="2" t="s">
        <v>135</v>
      </c>
      <c r="T219" s="2">
        <f>IF(C219=0,0,IF(C219&gt;=CALL_LOOKUP_BOARD!$B$7,IF(OR(K219="Problem Call",K219="Explosive Alert"),10000000,20000000),0)+IF(C219&gt;=CALL_LOOKUP_BOARD!$B$7,J219*1000+MIN(C219,999),C219*1000+J219)+0.00996600)</f>
        <v>2057.509966</v>
      </c>
      <c r="U219" s="2">
        <f>IF(C219=0,"",IF(COUNTIFS($S$186:$S$367,SUBSTITUTE(SUBSTITUTE(SUBSTITUTE(S219,"~","~~"),"*","~*"),"?","~?"),$T$186:$T$367,"&gt;"&amp;T219)=0,S219,""))</f>
        <v/>
      </c>
    </row>
    <row r="220" spans="1:21" ht="38" customHeight="1">
      <c r="A220" s="8" t="s">
        <v>134</v>
      </c>
      <c r="B220" s="8" t="s">
        <v>69</v>
      </c>
      <c r="C220" s="12">
        <f>COUNTIFS('DEF_SELF_SCOUT_IMPORT'!$L$42:$L$1040,"Y",'DEF_SELF_SCOUT_IMPORT'!$E$42:$E$1040,SUBSTITUTE(SUBSTITUTE(SUBSTITUTE($B220,"~","~~"),"*","~*"),"?","~?"),'DEF_SELF_SCOUT_IMPORT'!$Q$42:$Q$1040,SUBSTITUTE(SUBSTITUTE(SUBSTITUTE($M220,"~","~~"),"*","~*"),"?","~?"),'DEF_SELF_SCOUT_IMPORT'!$F$42:$F$1040,SUBSTITUTE(SUBSTITUTE(SUBSTITUTE($N220,"~","~~"),"*","~*"),"?","~?"))</f>
        <v>2</v>
      </c>
      <c r="D220" s="10">
        <f>IF($C220=0,"",SUMIFS('DEF_SELF_SCOUT_IMPORT'!$J$42:$J$1040,'DEF_SELF_SCOUT_IMPORT'!$L$42:$L$1040,"Y",'DEF_SELF_SCOUT_IMPORT'!$E$42:$E$1040,SUBSTITUTE(SUBSTITUTE(SUBSTITUTE($B220,"~","~~"),"*","~*"),"?","~?"),'DEF_SELF_SCOUT_IMPORT'!$Q$42:$Q$1040,SUBSTITUTE(SUBSTITUTE(SUBSTITUTE($M220,"~","~~"),"*","~*"),"?","~?"),'DEF_SELF_SCOUT_IMPORT'!$F$42:$F$1040,SUBSTITUTE(SUBSTITUTE(SUBSTITUTE($N220,"~","~~"),"*","~*"),"?","~?"))/$C220)</f>
        <v>1.0</v>
      </c>
      <c r="E220" s="10">
        <f>IF($C220=0,"",SUMIFS('DEF_SELF_SCOUT_IMPORT'!$K$42:$K$1040,'DEF_SELF_SCOUT_IMPORT'!$L$42:$L$1040,"Y",'DEF_SELF_SCOUT_IMPORT'!$E$42:$E$1040,SUBSTITUTE(SUBSTITUTE(SUBSTITUTE($B220,"~","~~"),"*","~*"),"?","~?"),'DEF_SELF_SCOUT_IMPORT'!$Q$42:$Q$1040,SUBSTITUTE(SUBSTITUTE(SUBSTITUTE($M220,"~","~~"),"*","~*"),"?","~?"),'DEF_SELF_SCOUT_IMPORT'!$F$42:$F$1040,SUBSTITUTE(SUBSTITUTE(SUBSTITUTE($N220,"~","~~"),"*","~*"),"?","~?"))/$C220)</f>
        <v>0.0</v>
      </c>
      <c r="F220" s="11">
        <f>IF($C220=0,"",AVERAGEIFS('DEF_SELF_SCOUT_IMPORT'!$I$42:$I$1040,'DEF_SELF_SCOUT_IMPORT'!$L$42:$L$1040,"Y",'DEF_SELF_SCOUT_IMPORT'!$E$42:$E$1040,SUBSTITUTE(SUBSTITUTE(SUBSTITUTE($B220,"~","~~"),"*","~*"),"?","~?"),'DEF_SELF_SCOUT_IMPORT'!$Q$42:$Q$1040,SUBSTITUTE(SUBSTITUTE(SUBSTITUTE($M220,"~","~~"),"*","~*"),"?","~?"),'DEF_SELF_SCOUT_IMPORT'!$F$42:$F$1040,SUBSTITUTE(SUBSTITUTE(SUBSTITUTE($N220,"~","~~"),"*","~*"),"?","~?")))</f>
        <v>1.0</v>
      </c>
      <c r="G220" s="10">
        <f>IF($C220=0,"",COUNTIFS('DEF_SELF_SCOUT_IMPORT'!$L$42:$L$1040,"Y",'DEF_SELF_SCOUT_IMPORT'!$E$42:$E$1040,SUBSTITUTE(SUBSTITUTE(SUBSTITUTE($B220,"~","~~"),"*","~*"),"?","~?"),'DEF_SELF_SCOUT_IMPORT'!$Q$42:$Q$1040,SUBSTITUTE(SUBSTITUTE(SUBSTITUTE($M220,"~","~~"),"*","~*"),"?","~?"),'DEF_SELF_SCOUT_IMPORT'!$F$42:$F$1040,SUBSTITUTE(SUBSTITUTE(SUBSTITUTE($N220,"~","~~"),"*","~*"),"?","~?"),'DEF_SELF_SCOUT_IMPORT'!$H$42:$H$1040,"RUSH")/$C220)</f>
        <v>0.5</v>
      </c>
      <c r="H220" s="10">
        <f>IF($C220=0,"",COUNTIFS('DEF_SELF_SCOUT_IMPORT'!$L$42:$L$1040,"Y",'DEF_SELF_SCOUT_IMPORT'!$E$42:$E$1040,SUBSTITUTE(SUBSTITUTE(SUBSTITUTE($B220,"~","~~"),"*","~*"),"?","~?"),'DEF_SELF_SCOUT_IMPORT'!$Q$42:$Q$1040,SUBSTITUTE(SUBSTITUTE(SUBSTITUTE($M220,"~","~~"),"*","~*"),"?","~?"),'DEF_SELF_SCOUT_IMPORT'!$F$42:$F$1040,SUBSTITUTE(SUBSTITUTE(SUBSTITUTE($N220,"~","~~"),"*","~*"),"?","~?"),'DEF_SELF_SCOUT_IMPORT'!$H$42:$H$1040,"DROPBACK")/$C220)</f>
        <v>0.5</v>
      </c>
      <c r="I220" s="14" t="str">
        <f>IF(C220=0,"",IF(C220&lt;=2,"TRACK",IF(C220=3,"LOW",IF(C220&lt;=6,"MEDIUM","HIGH"))))</f>
        <v>TRACK</v>
      </c>
      <c r="J220" s="11">
        <f>IF(C220=0,"",ROUND(D220*70+(1-E220)*20+MAX(0,MIN(1,(10-F220)/10))*10,1))</f>
        <v>99.0</v>
      </c>
      <c r="K220" s="14" t="str">
        <f>IF(C220=0,"No Evidence",IF(C220&lt;=2,IF(E220&gt;0,"Explosive Alert","Track Only"),IF(C220=3,"Sample Watch",IF(E220&gt;=START_HERE!$B$31,"Explosive Alert",IF(J220&gt;=80,"Strong Candidate",IF(J220&gt;=65,"Good Candidate",IF(J220&gt;=50,"Mixed / Review","Problem Call")))))))</f>
        <v>Track Only</v>
      </c>
      <c r="L220" s="9" t="str">
        <f>IF(COUNTIFS('DEF_SELF_SCOUT_IMPORT'!$L$42:$L$1040,"Y",'DEF_SELF_SCOUT_IMPORT'!$E$42:$E$1040,SUBSTITUTE(SUBSTITUTE(SUBSTITUTE($B220,"~","~~"),"*","~*"),"?","~?"),'DEF_SELF_SCOUT_IMPORT'!$Q$42:$Q$1040,SUBSTITUTE(SUBSTITUTE(SUBSTITUTE($M220,"~","~~"),"*","~*"),"?","~?"),'DEF_SELF_SCOUT_IMPORT'!$F$42:$F$1040,SUBSTITUTE(SUBSTITUTE(SUBSTITUTE($N220,"~","~~"),"*","~*"),"?","~?"),'DEF_SELF_SCOUT_IMPORT'!$J$42:$J$1040,"")&gt;0,"Unscored clean outcome; review result tags before using score.",IF(C220=0,"No matching defensive reps; film confirmation needed.",IF(K220="Explosive Alert","Explosive risk; review clips before using as answer.",IF(C220&lt;=2,"Track only; not enough sample.",IF(C220=3,IF(E220&gt;0,"Sample watch with explosive exposure; review clips and build the sample.",IF(J220&gt;=65,"Good signal, but sample is limited.","Sample watch; review clips and build the sample.")),IF(K220="Problem Call","Problem area; practice or call-sheet review.",IF(K220="Strong Candidate","Strong call-fit candidate; confirm on film.",IF(K220="Good Candidate","Good call-fit signal; confirm on film.","Mixed signal; review fit and execution on film."))))))))</f>
        <v>Track only; not enough sample.</v>
      </c>
      <c r="M220" s="8" t="s">
        <v>39</v>
      </c>
      <c r="N220" s="8" t="s">
        <v>120</v>
      </c>
      <c r="O220" s="8"/>
      <c r="P220" s="8"/>
      <c r="Q220" s="8"/>
      <c r="R220" s="8" t="s">
        <v>28</v>
      </c>
      <c r="S220" s="2" t="s">
        <v>135</v>
      </c>
      <c r="T220" s="2">
        <f>IF(C220=0,0,IF(C220&gt;=CALL_LOOKUP_BOARD!$B$7,IF(OR(K220="Problem Call",K220="Explosive Alert"),10000000,20000000),0)+IF(C220&gt;=CALL_LOOKUP_BOARD!$B$7,J220*1000+MIN(C220,999),C220*1000+J220)+0.00996500)</f>
        <v>2099.009965</v>
      </c>
      <c r="U220" s="2">
        <f>IF(C220=0,"",IF(COUNTIFS($S$186:$S$367,SUBSTITUTE(SUBSTITUTE(SUBSTITUTE(S220,"~","~~"),"*","~*"),"?","~?"),$T$186:$T$367,"&gt;"&amp;T220)=0,S220,""))</f>
        <v/>
      </c>
    </row>
    <row r="221" spans="1:21" ht="38" customHeight="1">
      <c r="A221" s="8" t="s">
        <v>136</v>
      </c>
      <c r="B221" s="8" t="s">
        <v>50</v>
      </c>
      <c r="C221" s="12">
        <f>COUNTIFS('DEF_SELF_SCOUT_IMPORT'!$L$42:$L$1040,"Y",'DEF_SELF_SCOUT_IMPORT'!$E$42:$E$1040,SUBSTITUTE(SUBSTITUTE(SUBSTITUTE($B221,"~","~~"),"*","~*"),"?","~?"),'DEF_SELF_SCOUT_IMPORT'!$Q$42:$Q$1040,SUBSTITUTE(SUBSTITUTE(SUBSTITUTE($M221,"~","~~"),"*","~*"),"?","~?"),'DEF_SELF_SCOUT_IMPORT'!$F$42:$F$1040,SUBSTITUTE(SUBSTITUTE(SUBSTITUTE($N221,"~","~~"),"*","~*"),"?","~?"))</f>
        <v>1</v>
      </c>
      <c r="D221" s="10">
        <f>IF($C221=0,"",SUMIFS('DEF_SELF_SCOUT_IMPORT'!$J$42:$J$1040,'DEF_SELF_SCOUT_IMPORT'!$L$42:$L$1040,"Y",'DEF_SELF_SCOUT_IMPORT'!$E$42:$E$1040,SUBSTITUTE(SUBSTITUTE(SUBSTITUTE($B221,"~","~~"),"*","~*"),"?","~?"),'DEF_SELF_SCOUT_IMPORT'!$Q$42:$Q$1040,SUBSTITUTE(SUBSTITUTE(SUBSTITUTE($M221,"~","~~"),"*","~*"),"?","~?"),'DEF_SELF_SCOUT_IMPORT'!$F$42:$F$1040,SUBSTITUTE(SUBSTITUTE(SUBSTITUTE($N221,"~","~~"),"*","~*"),"?","~?"))/$C221)</f>
        <v>1.0</v>
      </c>
      <c r="E221" s="10">
        <f>IF($C221=0,"",SUMIFS('DEF_SELF_SCOUT_IMPORT'!$K$42:$K$1040,'DEF_SELF_SCOUT_IMPORT'!$L$42:$L$1040,"Y",'DEF_SELF_SCOUT_IMPORT'!$E$42:$E$1040,SUBSTITUTE(SUBSTITUTE(SUBSTITUTE($B221,"~","~~"),"*","~*"),"?","~?"),'DEF_SELF_SCOUT_IMPORT'!$Q$42:$Q$1040,SUBSTITUTE(SUBSTITUTE(SUBSTITUTE($M221,"~","~~"),"*","~*"),"?","~?"),'DEF_SELF_SCOUT_IMPORT'!$F$42:$F$1040,SUBSTITUTE(SUBSTITUTE(SUBSTITUTE($N221,"~","~~"),"*","~*"),"?","~?"))/$C221)</f>
        <v>0.0</v>
      </c>
      <c r="F221" s="11">
        <f>IF($C221=0,"",AVERAGEIFS('DEF_SELF_SCOUT_IMPORT'!$I$42:$I$1040,'DEF_SELF_SCOUT_IMPORT'!$L$42:$L$1040,"Y",'DEF_SELF_SCOUT_IMPORT'!$E$42:$E$1040,SUBSTITUTE(SUBSTITUTE(SUBSTITUTE($B221,"~","~~"),"*","~*"),"?","~?"),'DEF_SELF_SCOUT_IMPORT'!$Q$42:$Q$1040,SUBSTITUTE(SUBSTITUTE(SUBSTITUTE($M221,"~","~~"),"*","~*"),"?","~?"),'DEF_SELF_SCOUT_IMPORT'!$F$42:$F$1040,SUBSTITUTE(SUBSTITUTE(SUBSTITUTE($N221,"~","~~"),"*","~*"),"?","~?")))</f>
        <v>3.0</v>
      </c>
      <c r="G221" s="10">
        <f>IF($C221=0,"",COUNTIFS('DEF_SELF_SCOUT_IMPORT'!$L$42:$L$1040,"Y",'DEF_SELF_SCOUT_IMPORT'!$E$42:$E$1040,SUBSTITUTE(SUBSTITUTE(SUBSTITUTE($B221,"~","~~"),"*","~*"),"?","~?"),'DEF_SELF_SCOUT_IMPORT'!$Q$42:$Q$1040,SUBSTITUTE(SUBSTITUTE(SUBSTITUTE($M221,"~","~~"),"*","~*"),"?","~?"),'DEF_SELF_SCOUT_IMPORT'!$F$42:$F$1040,SUBSTITUTE(SUBSTITUTE(SUBSTITUTE($N221,"~","~~"),"*","~*"),"?","~?"),'DEF_SELF_SCOUT_IMPORT'!$H$42:$H$1040,"RUSH")/$C221)</f>
        <v>0.0</v>
      </c>
      <c r="H221" s="10">
        <f>IF($C221=0,"",COUNTIFS('DEF_SELF_SCOUT_IMPORT'!$L$42:$L$1040,"Y",'DEF_SELF_SCOUT_IMPORT'!$E$42:$E$1040,SUBSTITUTE(SUBSTITUTE(SUBSTITUTE($B221,"~","~~"),"*","~*"),"?","~?"),'DEF_SELF_SCOUT_IMPORT'!$Q$42:$Q$1040,SUBSTITUTE(SUBSTITUTE(SUBSTITUTE($M221,"~","~~"),"*","~*"),"?","~?"),'DEF_SELF_SCOUT_IMPORT'!$F$42:$F$1040,SUBSTITUTE(SUBSTITUTE(SUBSTITUTE($N221,"~","~~"),"*","~*"),"?","~?"),'DEF_SELF_SCOUT_IMPORT'!$H$42:$H$1040,"DROPBACK")/$C221)</f>
        <v>1.0</v>
      </c>
      <c r="I221" s="14" t="str">
        <f>IF(C221=0,"",IF(C221&lt;=2,"TRACK",IF(C221=3,"LOW",IF(C221&lt;=6,"MEDIUM","HIGH"))))</f>
        <v>TRACK</v>
      </c>
      <c r="J221" s="11">
        <f>IF(C221=0,"",ROUND(D221*70+(1-E221)*20+MAX(0,MIN(1,(10-F221)/10))*10,1))</f>
        <v>97.0</v>
      </c>
      <c r="K221" s="14" t="str">
        <f>IF(C221=0,"No Evidence",IF(C221&lt;=2,IF(E221&gt;0,"Explosive Alert","Track Only"),IF(C221=3,"Sample Watch",IF(E221&gt;=START_HERE!$B$31,"Explosive Alert",IF(J221&gt;=80,"Strong Candidate",IF(J221&gt;=65,"Good Candidate",IF(J221&gt;=50,"Mixed / Review","Problem Call")))))))</f>
        <v>Track Only</v>
      </c>
      <c r="L221" s="9" t="str">
        <f>IF(COUNTIFS('DEF_SELF_SCOUT_IMPORT'!$L$42:$L$1040,"Y",'DEF_SELF_SCOUT_IMPORT'!$E$42:$E$1040,SUBSTITUTE(SUBSTITUTE(SUBSTITUTE($B221,"~","~~"),"*","~*"),"?","~?"),'DEF_SELF_SCOUT_IMPORT'!$Q$42:$Q$1040,SUBSTITUTE(SUBSTITUTE(SUBSTITUTE($M221,"~","~~"),"*","~*"),"?","~?"),'DEF_SELF_SCOUT_IMPORT'!$F$42:$F$1040,SUBSTITUTE(SUBSTITUTE(SUBSTITUTE($N221,"~","~~"),"*","~*"),"?","~?"),'DEF_SELF_SCOUT_IMPORT'!$J$42:$J$1040,"")&gt;0,"Unscored clean outcome; review result tags before using score.",IF(C221=0,"No matching defensive reps; film confirmation needed.",IF(K221="Explosive Alert","Explosive risk; review clips before using as answer.",IF(C221&lt;=2,"Track only; not enough sample.",IF(C221=3,IF(E221&gt;0,"Sample watch with explosive exposure; review clips and build the sample.",IF(J221&gt;=65,"Good signal, but sample is limited.","Sample watch; review clips and build the sample.")),IF(K221="Problem Call","Problem area; practice or call-sheet review.",IF(K221="Strong Candidate","Strong call-fit candidate; confirm on film.",IF(K221="Good Candidate","Good call-fit signal; confirm on film.","Mixed signal; review fit and execution on film."))))))))</f>
        <v>Track only; not enough sample.</v>
      </c>
      <c r="M221" s="8" t="s">
        <v>39</v>
      </c>
      <c r="N221" s="8" t="s">
        <v>123</v>
      </c>
      <c r="O221" s="8"/>
      <c r="P221" s="8"/>
      <c r="Q221" s="8"/>
      <c r="R221" s="8" t="s">
        <v>28</v>
      </c>
      <c r="S221" s="2" t="s">
        <v>137</v>
      </c>
      <c r="T221" s="2">
        <f>IF(C221=0,0,IF(C221&gt;=CALL_LOOKUP_BOARD!$B$7,IF(OR(K221="Problem Call",K221="Explosive Alert"),10000000,20000000),0)+IF(C221&gt;=CALL_LOOKUP_BOARD!$B$7,J221*1000+MIN(C221,999),C221*1000+J221)+0.00996400)</f>
        <v>1097.009964</v>
      </c>
      <c r="U221" s="2">
        <f>IF(C221=0,"",IF(COUNTIFS($S$186:$S$367,SUBSTITUTE(SUBSTITUTE(SUBSTITUTE(S221,"~","~~"),"*","~*"),"?","~?"),$T$186:$T$367,"&gt;"&amp;T221)=0,S221,""))</f>
        <v/>
      </c>
    </row>
    <row r="222" spans="1:21" ht="38" customHeight="1">
      <c r="A222" s="8" t="s">
        <v>136</v>
      </c>
      <c r="B222" s="8" t="s">
        <v>51</v>
      </c>
      <c r="C222" s="12">
        <f>COUNTIFS('DEF_SELF_SCOUT_IMPORT'!$L$42:$L$1040,"Y",'DEF_SELF_SCOUT_IMPORT'!$E$42:$E$1040,SUBSTITUTE(SUBSTITUTE(SUBSTITUTE($B222,"~","~~"),"*","~*"),"?","~?"),'DEF_SELF_SCOUT_IMPORT'!$Q$42:$Q$1040,SUBSTITUTE(SUBSTITUTE(SUBSTITUTE($M222,"~","~~"),"*","~*"),"?","~?"),'DEF_SELF_SCOUT_IMPORT'!$F$42:$F$1040,SUBSTITUTE(SUBSTITUTE(SUBSTITUTE($N222,"~","~~"),"*","~*"),"?","~?"))</f>
        <v>3</v>
      </c>
      <c r="D222" s="10">
        <f>IF($C222=0,"",SUMIFS('DEF_SELF_SCOUT_IMPORT'!$J$42:$J$1040,'DEF_SELF_SCOUT_IMPORT'!$L$42:$L$1040,"Y",'DEF_SELF_SCOUT_IMPORT'!$E$42:$E$1040,SUBSTITUTE(SUBSTITUTE(SUBSTITUTE($B222,"~","~~"),"*","~*"),"?","~?"),'DEF_SELF_SCOUT_IMPORT'!$Q$42:$Q$1040,SUBSTITUTE(SUBSTITUTE(SUBSTITUTE($M222,"~","~~"),"*","~*"),"?","~?"),'DEF_SELF_SCOUT_IMPORT'!$F$42:$F$1040,SUBSTITUTE(SUBSTITUTE(SUBSTITUTE($N222,"~","~~"),"*","~*"),"?","~?"))/$C222)</f>
        <v>0.6666666666666666</v>
      </c>
      <c r="E222" s="10">
        <f>IF($C222=0,"",SUMIFS('DEF_SELF_SCOUT_IMPORT'!$K$42:$K$1040,'DEF_SELF_SCOUT_IMPORT'!$L$42:$L$1040,"Y",'DEF_SELF_SCOUT_IMPORT'!$E$42:$E$1040,SUBSTITUTE(SUBSTITUTE(SUBSTITUTE($B222,"~","~~"),"*","~*"),"?","~?"),'DEF_SELF_SCOUT_IMPORT'!$Q$42:$Q$1040,SUBSTITUTE(SUBSTITUTE(SUBSTITUTE($M222,"~","~~"),"*","~*"),"?","~?"),'DEF_SELF_SCOUT_IMPORT'!$F$42:$F$1040,SUBSTITUTE(SUBSTITUTE(SUBSTITUTE($N222,"~","~~"),"*","~*"),"?","~?"))/$C222)</f>
        <v>0.0</v>
      </c>
      <c r="F222" s="11">
        <f>IF($C222=0,"",AVERAGEIFS('DEF_SELF_SCOUT_IMPORT'!$I$42:$I$1040,'DEF_SELF_SCOUT_IMPORT'!$L$42:$L$1040,"Y",'DEF_SELF_SCOUT_IMPORT'!$E$42:$E$1040,SUBSTITUTE(SUBSTITUTE(SUBSTITUTE($B222,"~","~~"),"*","~*"),"?","~?"),'DEF_SELF_SCOUT_IMPORT'!$Q$42:$Q$1040,SUBSTITUTE(SUBSTITUTE(SUBSTITUTE($M222,"~","~~"),"*","~*"),"?","~?"),'DEF_SELF_SCOUT_IMPORT'!$F$42:$F$1040,SUBSTITUTE(SUBSTITUTE(SUBSTITUTE($N222,"~","~~"),"*","~*"),"?","~?")))</f>
        <v>1.3333333333333333</v>
      </c>
      <c r="G222" s="10">
        <f>IF($C222=0,"",COUNTIFS('DEF_SELF_SCOUT_IMPORT'!$L$42:$L$1040,"Y",'DEF_SELF_SCOUT_IMPORT'!$E$42:$E$1040,SUBSTITUTE(SUBSTITUTE(SUBSTITUTE($B222,"~","~~"),"*","~*"),"?","~?"),'DEF_SELF_SCOUT_IMPORT'!$Q$42:$Q$1040,SUBSTITUTE(SUBSTITUTE(SUBSTITUTE($M222,"~","~~"),"*","~*"),"?","~?"),'DEF_SELF_SCOUT_IMPORT'!$F$42:$F$1040,SUBSTITUTE(SUBSTITUTE(SUBSTITUTE($N222,"~","~~"),"*","~*"),"?","~?"),'DEF_SELF_SCOUT_IMPORT'!$H$42:$H$1040,"RUSH")/$C222)</f>
        <v>0.3333333333333333</v>
      </c>
      <c r="H222" s="10">
        <f>IF($C222=0,"",COUNTIFS('DEF_SELF_SCOUT_IMPORT'!$L$42:$L$1040,"Y",'DEF_SELF_SCOUT_IMPORT'!$E$42:$E$1040,SUBSTITUTE(SUBSTITUTE(SUBSTITUTE($B222,"~","~~"),"*","~*"),"?","~?"),'DEF_SELF_SCOUT_IMPORT'!$Q$42:$Q$1040,SUBSTITUTE(SUBSTITUTE(SUBSTITUTE($M222,"~","~~"),"*","~*"),"?","~?"),'DEF_SELF_SCOUT_IMPORT'!$F$42:$F$1040,SUBSTITUTE(SUBSTITUTE(SUBSTITUTE($N222,"~","~~"),"*","~*"),"?","~?"),'DEF_SELF_SCOUT_IMPORT'!$H$42:$H$1040,"DROPBACK")/$C222)</f>
        <v>0.6666666666666666</v>
      </c>
      <c r="I222" s="14" t="str">
        <f>IF(C222=0,"",IF(C222&lt;=2,"TRACK",IF(C222=3,"LOW",IF(C222&lt;=6,"MEDIUM","HIGH"))))</f>
        <v>LOW</v>
      </c>
      <c r="J222" s="11">
        <f>IF(C222=0,"",ROUND(D222*70+(1-E222)*20+MAX(0,MIN(1,(10-F222)/10))*10,1))</f>
        <v>75.3</v>
      </c>
      <c r="K222" s="14" t="str">
        <f>IF(C222=0,"No Evidence",IF(C222&lt;=2,IF(E222&gt;0,"Explosive Alert","Track Only"),IF(C222=3,"Sample Watch",IF(E222&gt;=START_HERE!$B$31,"Explosive Alert",IF(J222&gt;=80,"Strong Candidate",IF(J222&gt;=65,"Good Candidate",IF(J222&gt;=50,"Mixed / Review","Problem Call")))))))</f>
        <v>Sample Watch</v>
      </c>
      <c r="L222" s="9" t="str">
        <f>IF(COUNTIFS('DEF_SELF_SCOUT_IMPORT'!$L$42:$L$1040,"Y",'DEF_SELF_SCOUT_IMPORT'!$E$42:$E$1040,SUBSTITUTE(SUBSTITUTE(SUBSTITUTE($B222,"~","~~"),"*","~*"),"?","~?"),'DEF_SELF_SCOUT_IMPORT'!$Q$42:$Q$1040,SUBSTITUTE(SUBSTITUTE(SUBSTITUTE($M222,"~","~~"),"*","~*"),"?","~?"),'DEF_SELF_SCOUT_IMPORT'!$F$42:$F$1040,SUBSTITUTE(SUBSTITUTE(SUBSTITUTE($N222,"~","~~"),"*","~*"),"?","~?"),'DEF_SELF_SCOUT_IMPORT'!$J$42:$J$1040,"")&gt;0,"Unscored clean outcome; review result tags before using score.",IF(C222=0,"No matching defensive reps; film confirmation needed.",IF(K222="Explosive Alert","Explosive risk; review clips before using as answer.",IF(C222&lt;=2,"Track only; not enough sample.",IF(C222=3,IF(E222&gt;0,"Sample watch with explosive exposure; review clips and build the sample.",IF(J222&gt;=65,"Good signal, but sample is limited.","Sample watch; review clips and build the sample.")),IF(K222="Problem Call","Problem area; practice or call-sheet review.",IF(K222="Strong Candidate","Strong call-fit candidate; confirm on film.",IF(K222="Good Candidate","Good call-fit signal; confirm on film.","Mixed signal; review fit and execution on film."))))))))</f>
        <v>Good signal, but sample is limited.</v>
      </c>
      <c r="M222" s="8" t="s">
        <v>39</v>
      </c>
      <c r="N222" s="8" t="s">
        <v>123</v>
      </c>
      <c r="O222" s="8"/>
      <c r="P222" s="8"/>
      <c r="Q222" s="8"/>
      <c r="R222" s="8" t="s">
        <v>28</v>
      </c>
      <c r="S222" s="2" t="s">
        <v>137</v>
      </c>
      <c r="T222" s="2">
        <f>IF(C222=0,0,IF(C222&gt;=CALL_LOOKUP_BOARD!$B$7,IF(OR(K222="Problem Call",K222="Explosive Alert"),10000000,20000000),0)+IF(C222&gt;=CALL_LOOKUP_BOARD!$B$7,J222*1000+MIN(C222,999),C222*1000+J222)+0.00996300)</f>
        <v>3075.309963</v>
      </c>
      <c r="U222" s="2">
        <f>IF(C222=0,"",IF(COUNTIFS($S$186:$S$367,SUBSTITUTE(SUBSTITUTE(SUBSTITUTE(S222,"~","~~"),"*","~*"),"?","~?"),$T$186:$T$367,"&gt;"&amp;T222)=0,S222,""))</f>
        <v/>
      </c>
    </row>
    <row r="223" spans="1:21" ht="38" customHeight="1">
      <c r="A223" s="8" t="s">
        <v>136</v>
      </c>
      <c r="B223" s="8" t="s">
        <v>52</v>
      </c>
      <c r="C223" s="12">
        <f>COUNTIFS('DEF_SELF_SCOUT_IMPORT'!$L$42:$L$1040,"Y",'DEF_SELF_SCOUT_IMPORT'!$E$42:$E$1040,SUBSTITUTE(SUBSTITUTE(SUBSTITUTE($B223,"~","~~"),"*","~*"),"?","~?"),'DEF_SELF_SCOUT_IMPORT'!$Q$42:$Q$1040,SUBSTITUTE(SUBSTITUTE(SUBSTITUTE($M223,"~","~~"),"*","~*"),"?","~?"),'DEF_SELF_SCOUT_IMPORT'!$F$42:$F$1040,SUBSTITUTE(SUBSTITUTE(SUBSTITUTE($N223,"~","~~"),"*","~*"),"?","~?"))</f>
        <v>6</v>
      </c>
      <c r="D223" s="10">
        <f>IF($C223=0,"",SUMIFS('DEF_SELF_SCOUT_IMPORT'!$J$42:$J$1040,'DEF_SELF_SCOUT_IMPORT'!$L$42:$L$1040,"Y",'DEF_SELF_SCOUT_IMPORT'!$E$42:$E$1040,SUBSTITUTE(SUBSTITUTE(SUBSTITUTE($B223,"~","~~"),"*","~*"),"?","~?"),'DEF_SELF_SCOUT_IMPORT'!$Q$42:$Q$1040,SUBSTITUTE(SUBSTITUTE(SUBSTITUTE($M223,"~","~~"),"*","~*"),"?","~?"),'DEF_SELF_SCOUT_IMPORT'!$F$42:$F$1040,SUBSTITUTE(SUBSTITUTE(SUBSTITUTE($N223,"~","~~"),"*","~*"),"?","~?"))/$C223)</f>
        <v>0.8333333333333334</v>
      </c>
      <c r="E223" s="10">
        <f>IF($C223=0,"",SUMIFS('DEF_SELF_SCOUT_IMPORT'!$K$42:$K$1040,'DEF_SELF_SCOUT_IMPORT'!$L$42:$L$1040,"Y",'DEF_SELF_SCOUT_IMPORT'!$E$42:$E$1040,SUBSTITUTE(SUBSTITUTE(SUBSTITUTE($B223,"~","~~"),"*","~*"),"?","~?"),'DEF_SELF_SCOUT_IMPORT'!$Q$42:$Q$1040,SUBSTITUTE(SUBSTITUTE(SUBSTITUTE($M223,"~","~~"),"*","~*"),"?","~?"),'DEF_SELF_SCOUT_IMPORT'!$F$42:$F$1040,SUBSTITUTE(SUBSTITUTE(SUBSTITUTE($N223,"~","~~"),"*","~*"),"?","~?"))/$C223)</f>
        <v>0.16666666666666666</v>
      </c>
      <c r="F223" s="11">
        <f>IF($C223=0,"",AVERAGEIFS('DEF_SELF_SCOUT_IMPORT'!$I$42:$I$1040,'DEF_SELF_SCOUT_IMPORT'!$L$42:$L$1040,"Y",'DEF_SELF_SCOUT_IMPORT'!$E$42:$E$1040,SUBSTITUTE(SUBSTITUTE(SUBSTITUTE($B223,"~","~~"),"*","~*"),"?","~?"),'DEF_SELF_SCOUT_IMPORT'!$Q$42:$Q$1040,SUBSTITUTE(SUBSTITUTE(SUBSTITUTE($M223,"~","~~"),"*","~*"),"?","~?"),'DEF_SELF_SCOUT_IMPORT'!$F$42:$F$1040,SUBSTITUTE(SUBSTITUTE(SUBSTITUTE($N223,"~","~~"),"*","~*"),"?","~?")))</f>
        <v>3.3333333333333335</v>
      </c>
      <c r="G223" s="10">
        <f>IF($C223=0,"",COUNTIFS('DEF_SELF_SCOUT_IMPORT'!$L$42:$L$1040,"Y",'DEF_SELF_SCOUT_IMPORT'!$E$42:$E$1040,SUBSTITUTE(SUBSTITUTE(SUBSTITUTE($B223,"~","~~"),"*","~*"),"?","~?"),'DEF_SELF_SCOUT_IMPORT'!$Q$42:$Q$1040,SUBSTITUTE(SUBSTITUTE(SUBSTITUTE($M223,"~","~~"),"*","~*"),"?","~?"),'DEF_SELF_SCOUT_IMPORT'!$F$42:$F$1040,SUBSTITUTE(SUBSTITUTE(SUBSTITUTE($N223,"~","~~"),"*","~*"),"?","~?"),'DEF_SELF_SCOUT_IMPORT'!$H$42:$H$1040,"RUSH")/$C223)</f>
        <v>0.16666666666666666</v>
      </c>
      <c r="H223" s="10">
        <f>IF($C223=0,"",COUNTIFS('DEF_SELF_SCOUT_IMPORT'!$L$42:$L$1040,"Y",'DEF_SELF_SCOUT_IMPORT'!$E$42:$E$1040,SUBSTITUTE(SUBSTITUTE(SUBSTITUTE($B223,"~","~~"),"*","~*"),"?","~?"),'DEF_SELF_SCOUT_IMPORT'!$Q$42:$Q$1040,SUBSTITUTE(SUBSTITUTE(SUBSTITUTE($M223,"~","~~"),"*","~*"),"?","~?"),'DEF_SELF_SCOUT_IMPORT'!$F$42:$F$1040,SUBSTITUTE(SUBSTITUTE(SUBSTITUTE($N223,"~","~~"),"*","~*"),"?","~?"),'DEF_SELF_SCOUT_IMPORT'!$H$42:$H$1040,"DROPBACK")/$C223)</f>
        <v>0.8333333333333334</v>
      </c>
      <c r="I223" s="14" t="str">
        <f>IF(C223=0,"",IF(C223&lt;=2,"TRACK",IF(C223=3,"LOW",IF(C223&lt;=6,"MEDIUM","HIGH"))))</f>
        <v>MEDIUM</v>
      </c>
      <c r="J223" s="11">
        <f>IF(C223=0,"",ROUND(D223*70+(1-E223)*20+MAX(0,MIN(1,(10-F223)/10))*10,1))</f>
        <v>81.7</v>
      </c>
      <c r="K223" s="14" t="str">
        <f>IF(C223=0,"No Evidence",IF(C223&lt;=2,IF(E223&gt;0,"Explosive Alert","Track Only"),IF(C223=3,"Sample Watch",IF(E223&gt;=START_HERE!$B$31,"Explosive Alert",IF(J223&gt;=80,"Strong Candidate",IF(J223&gt;=65,"Good Candidate",IF(J223&gt;=50,"Mixed / Review","Problem Call")))))))</f>
        <v>Strong Candidate</v>
      </c>
      <c r="L223" s="9" t="str">
        <f>IF(COUNTIFS('DEF_SELF_SCOUT_IMPORT'!$L$42:$L$1040,"Y",'DEF_SELF_SCOUT_IMPORT'!$E$42:$E$1040,SUBSTITUTE(SUBSTITUTE(SUBSTITUTE($B223,"~","~~"),"*","~*"),"?","~?"),'DEF_SELF_SCOUT_IMPORT'!$Q$42:$Q$1040,SUBSTITUTE(SUBSTITUTE(SUBSTITUTE($M223,"~","~~"),"*","~*"),"?","~?"),'DEF_SELF_SCOUT_IMPORT'!$F$42:$F$1040,SUBSTITUTE(SUBSTITUTE(SUBSTITUTE($N223,"~","~~"),"*","~*"),"?","~?"),'DEF_SELF_SCOUT_IMPORT'!$J$42:$J$1040,"")&gt;0,"Unscored clean outcome; review result tags before using score.",IF(C223=0,"No matching defensive reps; film confirmation needed.",IF(K223="Explosive Alert","Explosive risk; review clips before using as answer.",IF(C223&lt;=2,"Track only; not enough sample.",IF(C223=3,IF(E223&gt;0,"Sample watch with explosive exposure; review clips and build the sample.",IF(J223&gt;=65,"Good signal, but sample is limited.","Sample watch; review clips and build the sample.")),IF(K223="Problem Call","Problem area; practice or call-sheet review.",IF(K223="Strong Candidate","Strong call-fit candidate; confirm on film.",IF(K223="Good Candidate","Good call-fit signal; confirm on film.","Mixed signal; review fit and execution on film."))))))))</f>
        <v>Strong call-fit candidate; confirm on film.</v>
      </c>
      <c r="M223" s="8" t="s">
        <v>39</v>
      </c>
      <c r="N223" s="8" t="s">
        <v>123</v>
      </c>
      <c r="O223" s="8"/>
      <c r="P223" s="8"/>
      <c r="Q223" s="8"/>
      <c r="R223" s="8" t="s">
        <v>45</v>
      </c>
      <c r="S223" s="2" t="s">
        <v>137</v>
      </c>
      <c r="T223" s="2">
        <f>IF(C223=0,0,IF(C223&gt;=CALL_LOOKUP_BOARD!$B$7,IF(OR(K223="Problem Call",K223="Explosive Alert"),10000000,20000000),0)+IF(C223&gt;=CALL_LOOKUP_BOARD!$B$7,J223*1000+MIN(C223,999),C223*1000+J223)+0.00996200)</f>
        <v>20081706.009962</v>
      </c>
      <c r="U223" s="2" t="str">
        <f>IF(C223=0,"",IF(COUNTIFS($S$186:$S$367,SUBSTITUTE(SUBSTITUTE(SUBSTITUTE(S223,"~","~~"),"*","~*"),"?","~?"),$T$186:$T$367,"&gt;"&amp;T223)=0,S223,""))</f>
        <v>7:1D 7-10|2:12|</v>
      </c>
    </row>
    <row r="224" spans="1:21" ht="38" customHeight="1">
      <c r="A224" s="8" t="s">
        <v>136</v>
      </c>
      <c r="B224" s="8" t="s">
        <v>35</v>
      </c>
      <c r="C224" s="12">
        <f>COUNTIFS('DEF_SELF_SCOUT_IMPORT'!$L$42:$L$1040,"Y",'DEF_SELF_SCOUT_IMPORT'!$E$42:$E$1040,SUBSTITUTE(SUBSTITUTE(SUBSTITUTE($B224,"~","~~"),"*","~*"),"?","~?"),'DEF_SELF_SCOUT_IMPORT'!$Q$42:$Q$1040,SUBSTITUTE(SUBSTITUTE(SUBSTITUTE($M224,"~","~~"),"*","~*"),"?","~?"),'DEF_SELF_SCOUT_IMPORT'!$F$42:$F$1040,SUBSTITUTE(SUBSTITUTE(SUBSTITUTE($N224,"~","~~"),"*","~*"),"?","~?"))</f>
        <v>2</v>
      </c>
      <c r="D224" s="10">
        <f>IF($C224=0,"",SUMIFS('DEF_SELF_SCOUT_IMPORT'!$J$42:$J$1040,'DEF_SELF_SCOUT_IMPORT'!$L$42:$L$1040,"Y",'DEF_SELF_SCOUT_IMPORT'!$E$42:$E$1040,SUBSTITUTE(SUBSTITUTE(SUBSTITUTE($B224,"~","~~"),"*","~*"),"?","~?"),'DEF_SELF_SCOUT_IMPORT'!$Q$42:$Q$1040,SUBSTITUTE(SUBSTITUTE(SUBSTITUTE($M224,"~","~~"),"*","~*"),"?","~?"),'DEF_SELF_SCOUT_IMPORT'!$F$42:$F$1040,SUBSTITUTE(SUBSTITUTE(SUBSTITUTE($N224,"~","~~"),"*","~*"),"?","~?"))/$C224)</f>
        <v>1.0</v>
      </c>
      <c r="E224" s="10">
        <f>IF($C224=0,"",SUMIFS('DEF_SELF_SCOUT_IMPORT'!$K$42:$K$1040,'DEF_SELF_SCOUT_IMPORT'!$L$42:$L$1040,"Y",'DEF_SELF_SCOUT_IMPORT'!$E$42:$E$1040,SUBSTITUTE(SUBSTITUTE(SUBSTITUTE($B224,"~","~~"),"*","~*"),"?","~?"),'DEF_SELF_SCOUT_IMPORT'!$Q$42:$Q$1040,SUBSTITUTE(SUBSTITUTE(SUBSTITUTE($M224,"~","~~"),"*","~*"),"?","~?"),'DEF_SELF_SCOUT_IMPORT'!$F$42:$F$1040,SUBSTITUTE(SUBSTITUTE(SUBSTITUTE($N224,"~","~~"),"*","~*"),"?","~?"))/$C224)</f>
        <v>0.0</v>
      </c>
      <c r="F224" s="11">
        <f>IF($C224=0,"",AVERAGEIFS('DEF_SELF_SCOUT_IMPORT'!$I$42:$I$1040,'DEF_SELF_SCOUT_IMPORT'!$L$42:$L$1040,"Y",'DEF_SELF_SCOUT_IMPORT'!$E$42:$E$1040,SUBSTITUTE(SUBSTITUTE(SUBSTITUTE($B224,"~","~~"),"*","~*"),"?","~?"),'DEF_SELF_SCOUT_IMPORT'!$Q$42:$Q$1040,SUBSTITUTE(SUBSTITUTE(SUBSTITUTE($M224,"~","~~"),"*","~*"),"?","~?"),'DEF_SELF_SCOUT_IMPORT'!$F$42:$F$1040,SUBSTITUTE(SUBSTITUTE(SUBSTITUTE($N224,"~","~~"),"*","~*"),"?","~?")))</f>
        <v>1.0</v>
      </c>
      <c r="G224" s="10">
        <f>IF($C224=0,"",COUNTIFS('DEF_SELF_SCOUT_IMPORT'!$L$42:$L$1040,"Y",'DEF_SELF_SCOUT_IMPORT'!$E$42:$E$1040,SUBSTITUTE(SUBSTITUTE(SUBSTITUTE($B224,"~","~~"),"*","~*"),"?","~?"),'DEF_SELF_SCOUT_IMPORT'!$Q$42:$Q$1040,SUBSTITUTE(SUBSTITUTE(SUBSTITUTE($M224,"~","~~"),"*","~*"),"?","~?"),'DEF_SELF_SCOUT_IMPORT'!$F$42:$F$1040,SUBSTITUTE(SUBSTITUTE(SUBSTITUTE($N224,"~","~~"),"*","~*"),"?","~?"),'DEF_SELF_SCOUT_IMPORT'!$H$42:$H$1040,"RUSH")/$C224)</f>
        <v>0.0</v>
      </c>
      <c r="H224" s="10">
        <f>IF($C224=0,"",COUNTIFS('DEF_SELF_SCOUT_IMPORT'!$L$42:$L$1040,"Y",'DEF_SELF_SCOUT_IMPORT'!$E$42:$E$1040,SUBSTITUTE(SUBSTITUTE(SUBSTITUTE($B224,"~","~~"),"*","~*"),"?","~?"),'DEF_SELF_SCOUT_IMPORT'!$Q$42:$Q$1040,SUBSTITUTE(SUBSTITUTE(SUBSTITUTE($M224,"~","~~"),"*","~*"),"?","~?"),'DEF_SELF_SCOUT_IMPORT'!$F$42:$F$1040,SUBSTITUTE(SUBSTITUTE(SUBSTITUTE($N224,"~","~~"),"*","~*"),"?","~?"),'DEF_SELF_SCOUT_IMPORT'!$H$42:$H$1040,"DROPBACK")/$C224)</f>
        <v>1.0</v>
      </c>
      <c r="I224" s="14" t="str">
        <f>IF(C224=0,"",IF(C224&lt;=2,"TRACK",IF(C224=3,"LOW",IF(C224&lt;=6,"MEDIUM","HIGH"))))</f>
        <v>TRACK</v>
      </c>
      <c r="J224" s="11">
        <f>IF(C224=0,"",ROUND(D224*70+(1-E224)*20+MAX(0,MIN(1,(10-F224)/10))*10,1))</f>
        <v>99.0</v>
      </c>
      <c r="K224" s="14" t="str">
        <f>IF(C224=0,"No Evidence",IF(C224&lt;=2,IF(E224&gt;0,"Explosive Alert","Track Only"),IF(C224=3,"Sample Watch",IF(E224&gt;=START_HERE!$B$31,"Explosive Alert",IF(J224&gt;=80,"Strong Candidate",IF(J224&gt;=65,"Good Candidate",IF(J224&gt;=50,"Mixed / Review","Problem Call")))))))</f>
        <v>Track Only</v>
      </c>
      <c r="L224" s="9" t="str">
        <f>IF(COUNTIFS('DEF_SELF_SCOUT_IMPORT'!$L$42:$L$1040,"Y",'DEF_SELF_SCOUT_IMPORT'!$E$42:$E$1040,SUBSTITUTE(SUBSTITUTE(SUBSTITUTE($B224,"~","~~"),"*","~*"),"?","~?"),'DEF_SELF_SCOUT_IMPORT'!$Q$42:$Q$1040,SUBSTITUTE(SUBSTITUTE(SUBSTITUTE($M224,"~","~~"),"*","~*"),"?","~?"),'DEF_SELF_SCOUT_IMPORT'!$F$42:$F$1040,SUBSTITUTE(SUBSTITUTE(SUBSTITUTE($N224,"~","~~"),"*","~*"),"?","~?"),'DEF_SELF_SCOUT_IMPORT'!$J$42:$J$1040,"")&gt;0,"Unscored clean outcome; review result tags before using score.",IF(C224=0,"No matching defensive reps; film confirmation needed.",IF(K224="Explosive Alert","Explosive risk; review clips before using as answer.",IF(C224&lt;=2,"Track only; not enough sample.",IF(C224=3,IF(E224&gt;0,"Sample watch with explosive exposure; review clips and build the sample.",IF(J224&gt;=65,"Good signal, but sample is limited.","Sample watch; review clips and build the sample.")),IF(K224="Problem Call","Problem area; practice or call-sheet review.",IF(K224="Strong Candidate","Strong call-fit candidate; confirm on film.",IF(K224="Good Candidate","Good call-fit signal; confirm on film.","Mixed signal; review fit and execution on film."))))))))</f>
        <v>Track only; not enough sample.</v>
      </c>
      <c r="M224" s="8" t="s">
        <v>39</v>
      </c>
      <c r="N224" s="8" t="s">
        <v>123</v>
      </c>
      <c r="O224" s="8"/>
      <c r="P224" s="8"/>
      <c r="Q224" s="8"/>
      <c r="R224" s="8" t="s">
        <v>28</v>
      </c>
      <c r="S224" s="2" t="s">
        <v>137</v>
      </c>
      <c r="T224" s="2">
        <f>IF(C224=0,0,IF(C224&gt;=CALL_LOOKUP_BOARD!$B$7,IF(OR(K224="Problem Call",K224="Explosive Alert"),10000000,20000000),0)+IF(C224&gt;=CALL_LOOKUP_BOARD!$B$7,J224*1000+MIN(C224,999),C224*1000+J224)+0.00996100)</f>
        <v>2099.009961</v>
      </c>
      <c r="U224" s="2">
        <f>IF(C224=0,"",IF(COUNTIFS($S$186:$S$367,SUBSTITUTE(SUBSTITUTE(SUBSTITUTE(S224,"~","~~"),"*","~*"),"?","~?"),$T$186:$T$367,"&gt;"&amp;T224)=0,S224,""))</f>
        <v/>
      </c>
    </row>
    <row r="225" spans="1:21" ht="38" customHeight="1">
      <c r="A225" s="8" t="s">
        <v>136</v>
      </c>
      <c r="B225" s="8" t="s">
        <v>59</v>
      </c>
      <c r="C225" s="12">
        <f>COUNTIFS('DEF_SELF_SCOUT_IMPORT'!$L$42:$L$1040,"Y",'DEF_SELF_SCOUT_IMPORT'!$E$42:$E$1040,SUBSTITUTE(SUBSTITUTE(SUBSTITUTE($B225,"~","~~"),"*","~*"),"?","~?"),'DEF_SELF_SCOUT_IMPORT'!$Q$42:$Q$1040,SUBSTITUTE(SUBSTITUTE(SUBSTITUTE($M225,"~","~~"),"*","~*"),"?","~?"),'DEF_SELF_SCOUT_IMPORT'!$F$42:$F$1040,SUBSTITUTE(SUBSTITUTE(SUBSTITUTE($N225,"~","~~"),"*","~*"),"?","~?"))</f>
        <v>1</v>
      </c>
      <c r="D225" s="10">
        <f>IF($C225=0,"",SUMIFS('DEF_SELF_SCOUT_IMPORT'!$J$42:$J$1040,'DEF_SELF_SCOUT_IMPORT'!$L$42:$L$1040,"Y",'DEF_SELF_SCOUT_IMPORT'!$E$42:$E$1040,SUBSTITUTE(SUBSTITUTE(SUBSTITUTE($B225,"~","~~"),"*","~*"),"?","~?"),'DEF_SELF_SCOUT_IMPORT'!$Q$42:$Q$1040,SUBSTITUTE(SUBSTITUTE(SUBSTITUTE($M225,"~","~~"),"*","~*"),"?","~?"),'DEF_SELF_SCOUT_IMPORT'!$F$42:$F$1040,SUBSTITUTE(SUBSTITUTE(SUBSTITUTE($N225,"~","~~"),"*","~*"),"?","~?"))/$C225)</f>
        <v>0.0</v>
      </c>
      <c r="E225" s="10">
        <f>IF($C225=0,"",SUMIFS('DEF_SELF_SCOUT_IMPORT'!$K$42:$K$1040,'DEF_SELF_SCOUT_IMPORT'!$L$42:$L$1040,"Y",'DEF_SELF_SCOUT_IMPORT'!$E$42:$E$1040,SUBSTITUTE(SUBSTITUTE(SUBSTITUTE($B225,"~","~~"),"*","~*"),"?","~?"),'DEF_SELF_SCOUT_IMPORT'!$Q$42:$Q$1040,SUBSTITUTE(SUBSTITUTE(SUBSTITUTE($M225,"~","~~"),"*","~*"),"?","~?"),'DEF_SELF_SCOUT_IMPORT'!$F$42:$F$1040,SUBSTITUTE(SUBSTITUTE(SUBSTITUTE($N225,"~","~~"),"*","~*"),"?","~?"))/$C225)</f>
        <v>1.0</v>
      </c>
      <c r="F225" s="11">
        <f>IF($C225=0,"",AVERAGEIFS('DEF_SELF_SCOUT_IMPORT'!$I$42:$I$1040,'DEF_SELF_SCOUT_IMPORT'!$L$42:$L$1040,"Y",'DEF_SELF_SCOUT_IMPORT'!$E$42:$E$1040,SUBSTITUTE(SUBSTITUTE(SUBSTITUTE($B225,"~","~~"),"*","~*"),"?","~?"),'DEF_SELF_SCOUT_IMPORT'!$Q$42:$Q$1040,SUBSTITUTE(SUBSTITUTE(SUBSTITUTE($M225,"~","~~"),"*","~*"),"?","~?"),'DEF_SELF_SCOUT_IMPORT'!$F$42:$F$1040,SUBSTITUTE(SUBSTITUTE(SUBSTITUTE($N225,"~","~~"),"*","~*"),"?","~?")))</f>
        <v>16.0</v>
      </c>
      <c r="G225" s="10">
        <f>IF($C225=0,"",COUNTIFS('DEF_SELF_SCOUT_IMPORT'!$L$42:$L$1040,"Y",'DEF_SELF_SCOUT_IMPORT'!$E$42:$E$1040,SUBSTITUTE(SUBSTITUTE(SUBSTITUTE($B225,"~","~~"),"*","~*"),"?","~?"),'DEF_SELF_SCOUT_IMPORT'!$Q$42:$Q$1040,SUBSTITUTE(SUBSTITUTE(SUBSTITUTE($M225,"~","~~"),"*","~*"),"?","~?"),'DEF_SELF_SCOUT_IMPORT'!$F$42:$F$1040,SUBSTITUTE(SUBSTITUTE(SUBSTITUTE($N225,"~","~~"),"*","~*"),"?","~?"),'DEF_SELF_SCOUT_IMPORT'!$H$42:$H$1040,"RUSH")/$C225)</f>
        <v>1.0</v>
      </c>
      <c r="H225" s="10">
        <f>IF($C225=0,"",COUNTIFS('DEF_SELF_SCOUT_IMPORT'!$L$42:$L$1040,"Y",'DEF_SELF_SCOUT_IMPORT'!$E$42:$E$1040,SUBSTITUTE(SUBSTITUTE(SUBSTITUTE($B225,"~","~~"),"*","~*"),"?","~?"),'DEF_SELF_SCOUT_IMPORT'!$Q$42:$Q$1040,SUBSTITUTE(SUBSTITUTE(SUBSTITUTE($M225,"~","~~"),"*","~*"),"?","~?"),'DEF_SELF_SCOUT_IMPORT'!$F$42:$F$1040,SUBSTITUTE(SUBSTITUTE(SUBSTITUTE($N225,"~","~~"),"*","~*"),"?","~?"),'DEF_SELF_SCOUT_IMPORT'!$H$42:$H$1040,"DROPBACK")/$C225)</f>
        <v>0.0</v>
      </c>
      <c r="I225" s="14" t="str">
        <f>IF(C225=0,"",IF(C225&lt;=2,"TRACK",IF(C225=3,"LOW",IF(C225&lt;=6,"MEDIUM","HIGH"))))</f>
        <v>TRACK</v>
      </c>
      <c r="J225" s="11">
        <f>IF(C225=0,"",ROUND(D225*70+(1-E225)*20+MAX(0,MIN(1,(10-F225)/10))*10,1))</f>
        <v>0.0</v>
      </c>
      <c r="K225" s="14" t="str">
        <f>IF(C225=0,"No Evidence",IF(C225&lt;=2,IF(E225&gt;0,"Explosive Alert","Track Only"),IF(C225=3,"Sample Watch",IF(E225&gt;=START_HERE!$B$31,"Explosive Alert",IF(J225&gt;=80,"Strong Candidate",IF(J225&gt;=65,"Good Candidate",IF(J225&gt;=50,"Mixed / Review","Problem Call")))))))</f>
        <v>Explosive Alert</v>
      </c>
      <c r="L225" s="9" t="str">
        <f>IF(COUNTIFS('DEF_SELF_SCOUT_IMPORT'!$L$42:$L$1040,"Y",'DEF_SELF_SCOUT_IMPORT'!$E$42:$E$1040,SUBSTITUTE(SUBSTITUTE(SUBSTITUTE($B225,"~","~~"),"*","~*"),"?","~?"),'DEF_SELF_SCOUT_IMPORT'!$Q$42:$Q$1040,SUBSTITUTE(SUBSTITUTE(SUBSTITUTE($M225,"~","~~"),"*","~*"),"?","~?"),'DEF_SELF_SCOUT_IMPORT'!$F$42:$F$1040,SUBSTITUTE(SUBSTITUTE(SUBSTITUTE($N225,"~","~~"),"*","~*"),"?","~?"),'DEF_SELF_SCOUT_IMPORT'!$J$42:$J$1040,"")&gt;0,"Unscored clean outcome; review result tags before using score.",IF(C225=0,"No matching defensive reps; film confirmation needed.",IF(K225="Explosive Alert","Explosive risk; review clips before using as answer.",IF(C225&lt;=2,"Track only; not enough sample.",IF(C225=3,IF(E225&gt;0,"Sample watch with explosive exposure; review clips and build the sample.",IF(J225&gt;=65,"Good signal, but sample is limited.","Sample watch; review clips and build the sample.")),IF(K225="Problem Call","Problem area; practice or call-sheet review.",IF(K225="Strong Candidate","Strong call-fit candidate; confirm on film.",IF(K225="Good Candidate","Good call-fit signal; confirm on film.","Mixed signal; review fit and execution on film."))))))))</f>
        <v>Explosive risk; review clips before using as answer.</v>
      </c>
      <c r="M225" s="8" t="s">
        <v>39</v>
      </c>
      <c r="N225" s="8" t="s">
        <v>123</v>
      </c>
      <c r="O225" s="8"/>
      <c r="P225" s="8"/>
      <c r="Q225" s="8"/>
      <c r="R225" s="8" t="s">
        <v>28</v>
      </c>
      <c r="S225" s="2" t="s">
        <v>137</v>
      </c>
      <c r="T225" s="2">
        <f>IF(C225=0,0,IF(C225&gt;=CALL_LOOKUP_BOARD!$B$7,IF(OR(K225="Problem Call",K225="Explosive Alert"),10000000,20000000),0)+IF(C225&gt;=CALL_LOOKUP_BOARD!$B$7,J225*1000+MIN(C225,999),C225*1000+J225)+0.00996000)</f>
        <v>1000.00996</v>
      </c>
      <c r="U225" s="2">
        <f>IF(C225=0,"",IF(COUNTIFS($S$186:$S$367,SUBSTITUTE(SUBSTITUTE(SUBSTITUTE(S225,"~","~~"),"*","~*"),"?","~?"),$T$186:$T$367,"&gt;"&amp;T225)=0,S225,""))</f>
        <v/>
      </c>
    </row>
    <row r="226" spans="1:21" ht="38" customHeight="1">
      <c r="A226" s="8" t="s">
        <v>138</v>
      </c>
      <c r="B226" s="8" t="s">
        <v>56</v>
      </c>
      <c r="C226" s="12">
        <f>COUNTIFS('DEF_SELF_SCOUT_IMPORT'!$L$42:$L$1040,"Y",'DEF_SELF_SCOUT_IMPORT'!$E$42:$E$1040,SUBSTITUTE(SUBSTITUTE(SUBSTITUTE($B226,"~","~~"),"*","~*"),"?","~?"),'DEF_SELF_SCOUT_IMPORT'!$Q$42:$Q$1040,SUBSTITUTE(SUBSTITUTE(SUBSTITUTE($M226,"~","~~"),"*","~*"),"?","~?"),'DEF_SELF_SCOUT_IMPORT'!$F$42:$F$1040,SUBSTITUTE(SUBSTITUTE(SUBSTITUTE($N226,"~","~~"),"*","~*"),"?","~?"))</f>
        <v>1</v>
      </c>
      <c r="D226" s="10">
        <f>IF($C226=0,"",SUMIFS('DEF_SELF_SCOUT_IMPORT'!$J$42:$J$1040,'DEF_SELF_SCOUT_IMPORT'!$L$42:$L$1040,"Y",'DEF_SELF_SCOUT_IMPORT'!$E$42:$E$1040,SUBSTITUTE(SUBSTITUTE(SUBSTITUTE($B226,"~","~~"),"*","~*"),"?","~?"),'DEF_SELF_SCOUT_IMPORT'!$Q$42:$Q$1040,SUBSTITUTE(SUBSTITUTE(SUBSTITUTE($M226,"~","~~"),"*","~*"),"?","~?"),'DEF_SELF_SCOUT_IMPORT'!$F$42:$F$1040,SUBSTITUTE(SUBSTITUTE(SUBSTITUTE($N226,"~","~~"),"*","~*"),"?","~?"))/$C226)</f>
        <v>1.0</v>
      </c>
      <c r="E226" s="10">
        <f>IF($C226=0,"",SUMIFS('DEF_SELF_SCOUT_IMPORT'!$K$42:$K$1040,'DEF_SELF_SCOUT_IMPORT'!$L$42:$L$1040,"Y",'DEF_SELF_SCOUT_IMPORT'!$E$42:$E$1040,SUBSTITUTE(SUBSTITUTE(SUBSTITUTE($B226,"~","~~"),"*","~*"),"?","~?"),'DEF_SELF_SCOUT_IMPORT'!$Q$42:$Q$1040,SUBSTITUTE(SUBSTITUTE(SUBSTITUTE($M226,"~","~~"),"*","~*"),"?","~?"),'DEF_SELF_SCOUT_IMPORT'!$F$42:$F$1040,SUBSTITUTE(SUBSTITUTE(SUBSTITUTE($N226,"~","~~"),"*","~*"),"?","~?"))/$C226)</f>
        <v>0.0</v>
      </c>
      <c r="F226" s="11">
        <f>IF($C226=0,"",AVERAGEIFS('DEF_SELF_SCOUT_IMPORT'!$I$42:$I$1040,'DEF_SELF_SCOUT_IMPORT'!$L$42:$L$1040,"Y",'DEF_SELF_SCOUT_IMPORT'!$E$42:$E$1040,SUBSTITUTE(SUBSTITUTE(SUBSTITUTE($B226,"~","~~"),"*","~*"),"?","~?"),'DEF_SELF_SCOUT_IMPORT'!$Q$42:$Q$1040,SUBSTITUTE(SUBSTITUTE(SUBSTITUTE($M226,"~","~~"),"*","~*"),"?","~?"),'DEF_SELF_SCOUT_IMPORT'!$F$42:$F$1040,SUBSTITUTE(SUBSTITUTE(SUBSTITUTE($N226,"~","~~"),"*","~*"),"?","~?")))</f>
        <v>-2.0</v>
      </c>
      <c r="G226" s="10">
        <f>IF($C226=0,"",COUNTIFS('DEF_SELF_SCOUT_IMPORT'!$L$42:$L$1040,"Y",'DEF_SELF_SCOUT_IMPORT'!$E$42:$E$1040,SUBSTITUTE(SUBSTITUTE(SUBSTITUTE($B226,"~","~~"),"*","~*"),"?","~?"),'DEF_SELF_SCOUT_IMPORT'!$Q$42:$Q$1040,SUBSTITUTE(SUBSTITUTE(SUBSTITUTE($M226,"~","~~"),"*","~*"),"?","~?"),'DEF_SELF_SCOUT_IMPORT'!$F$42:$F$1040,SUBSTITUTE(SUBSTITUTE(SUBSTITUTE($N226,"~","~~"),"*","~*"),"?","~?"),'DEF_SELF_SCOUT_IMPORT'!$H$42:$H$1040,"RUSH")/$C226)</f>
        <v>1.0</v>
      </c>
      <c r="H226" s="10">
        <f>IF($C226=0,"",COUNTIFS('DEF_SELF_SCOUT_IMPORT'!$L$42:$L$1040,"Y",'DEF_SELF_SCOUT_IMPORT'!$E$42:$E$1040,SUBSTITUTE(SUBSTITUTE(SUBSTITUTE($B226,"~","~~"),"*","~*"),"?","~?"),'DEF_SELF_SCOUT_IMPORT'!$Q$42:$Q$1040,SUBSTITUTE(SUBSTITUTE(SUBSTITUTE($M226,"~","~~"),"*","~*"),"?","~?"),'DEF_SELF_SCOUT_IMPORT'!$F$42:$F$1040,SUBSTITUTE(SUBSTITUTE(SUBSTITUTE($N226,"~","~~"),"*","~*"),"?","~?"),'DEF_SELF_SCOUT_IMPORT'!$H$42:$H$1040,"DROPBACK")/$C226)</f>
        <v>0.0</v>
      </c>
      <c r="I226" s="14" t="str">
        <f>IF(C226=0,"",IF(C226&lt;=2,"TRACK",IF(C226=3,"LOW",IF(C226&lt;=6,"MEDIUM","HIGH"))))</f>
        <v>TRACK</v>
      </c>
      <c r="J226" s="11">
        <f>IF(C226=0,"",ROUND(D226*70+(1-E226)*20+MAX(0,MIN(1,(10-F226)/10))*10,1))</f>
        <v>100.0</v>
      </c>
      <c r="K226" s="14" t="str">
        <f>IF(C226=0,"No Evidence",IF(C226&lt;=2,IF(E226&gt;0,"Explosive Alert","Track Only"),IF(C226=3,"Sample Watch",IF(E226&gt;=START_HERE!$B$31,"Explosive Alert",IF(J226&gt;=80,"Strong Candidate",IF(J226&gt;=65,"Good Candidate",IF(J226&gt;=50,"Mixed / Review","Problem Call")))))))</f>
        <v>Track Only</v>
      </c>
      <c r="L226" s="9" t="str">
        <f>IF(COUNTIFS('DEF_SELF_SCOUT_IMPORT'!$L$42:$L$1040,"Y",'DEF_SELF_SCOUT_IMPORT'!$E$42:$E$1040,SUBSTITUTE(SUBSTITUTE(SUBSTITUTE($B226,"~","~~"),"*","~*"),"?","~?"),'DEF_SELF_SCOUT_IMPORT'!$Q$42:$Q$1040,SUBSTITUTE(SUBSTITUTE(SUBSTITUTE($M226,"~","~~"),"*","~*"),"?","~?"),'DEF_SELF_SCOUT_IMPORT'!$F$42:$F$1040,SUBSTITUTE(SUBSTITUTE(SUBSTITUTE($N226,"~","~~"),"*","~*"),"?","~?"),'DEF_SELF_SCOUT_IMPORT'!$J$42:$J$1040,"")&gt;0,"Unscored clean outcome; review result tags before using score.",IF(C226=0,"No matching defensive reps; film confirmation needed.",IF(K226="Explosive Alert","Explosive risk; review clips before using as answer.",IF(C226&lt;=2,"Track only; not enough sample.",IF(C226=3,IF(E226&gt;0,"Sample watch with explosive exposure; review clips and build the sample.",IF(J226&gt;=65,"Good signal, but sample is limited.","Sample watch; review clips and build the sample.")),IF(K226="Problem Call","Problem area; practice or call-sheet review.",IF(K226="Strong Candidate","Strong call-fit candidate; confirm on film.",IF(K226="Good Candidate","Good call-fit signal; confirm on film.","Mixed signal; review fit and execution on film."))))))))</f>
        <v>Track only; not enough sample.</v>
      </c>
      <c r="M226" s="8" t="s">
        <v>70</v>
      </c>
      <c r="N226" s="8" t="s">
        <v>132</v>
      </c>
      <c r="O226" s="8"/>
      <c r="P226" s="8"/>
      <c r="Q226" s="8"/>
      <c r="R226" s="8" t="s">
        <v>28</v>
      </c>
      <c r="S226" s="2" t="s">
        <v>139</v>
      </c>
      <c r="T226" s="2">
        <f>IF(C226=0,0,IF(C226&gt;=CALL_LOOKUP_BOARD!$B$7,IF(OR(K226="Problem Call",K226="Explosive Alert"),10000000,20000000),0)+IF(C226&gt;=CALL_LOOKUP_BOARD!$B$7,J226*1000+MIN(C226,999),C226*1000+J226)+0.00995900)</f>
        <v>1100.009959</v>
      </c>
      <c r="U226" s="2" t="str">
        <f>IF(C226=0,"",IF(COUNTIFS($S$186:$S$367,SUBSTITUTE(SUBSTITUTE(SUBSTITUTE(S226,"~","~~"),"*","~*"),"?","~?"),$T$186:$T$367,"&gt;"&amp;T226)=0,S226,""))</f>
        <v>6:2D 1-3|2:00|</v>
      </c>
    </row>
    <row r="227" spans="1:21" ht="38" customHeight="1">
      <c r="A227" s="8" t="s">
        <v>140</v>
      </c>
      <c r="B227" s="8" t="s">
        <v>46</v>
      </c>
      <c r="C227" s="12">
        <f>COUNTIFS('DEF_SELF_SCOUT_IMPORT'!$L$42:$L$1040,"Y",'DEF_SELF_SCOUT_IMPORT'!$E$42:$E$1040,SUBSTITUTE(SUBSTITUTE(SUBSTITUTE($B227,"~","~~"),"*","~*"),"?","~?"),'DEF_SELF_SCOUT_IMPORT'!$Q$42:$Q$1040,SUBSTITUTE(SUBSTITUTE(SUBSTITUTE($M227,"~","~~"),"*","~*"),"?","~?"),'DEF_SELF_SCOUT_IMPORT'!$F$42:$F$1040,SUBSTITUTE(SUBSTITUTE(SUBSTITUTE($N227,"~","~~"),"*","~*"),"?","~?"))</f>
        <v>1</v>
      </c>
      <c r="D227" s="10">
        <f>IF($C227=0,"",SUMIFS('DEF_SELF_SCOUT_IMPORT'!$J$42:$J$1040,'DEF_SELF_SCOUT_IMPORT'!$L$42:$L$1040,"Y",'DEF_SELF_SCOUT_IMPORT'!$E$42:$E$1040,SUBSTITUTE(SUBSTITUTE(SUBSTITUTE($B227,"~","~~"),"*","~*"),"?","~?"),'DEF_SELF_SCOUT_IMPORT'!$Q$42:$Q$1040,SUBSTITUTE(SUBSTITUTE(SUBSTITUTE($M227,"~","~~"),"*","~*"),"?","~?"),'DEF_SELF_SCOUT_IMPORT'!$F$42:$F$1040,SUBSTITUTE(SUBSTITUTE(SUBSTITUTE($N227,"~","~~"),"*","~*"),"?","~?"))/$C227)</f>
        <v>1.0</v>
      </c>
      <c r="E227" s="10">
        <f>IF($C227=0,"",SUMIFS('DEF_SELF_SCOUT_IMPORT'!$K$42:$K$1040,'DEF_SELF_SCOUT_IMPORT'!$L$42:$L$1040,"Y",'DEF_SELF_SCOUT_IMPORT'!$E$42:$E$1040,SUBSTITUTE(SUBSTITUTE(SUBSTITUTE($B227,"~","~~"),"*","~*"),"?","~?"),'DEF_SELF_SCOUT_IMPORT'!$Q$42:$Q$1040,SUBSTITUTE(SUBSTITUTE(SUBSTITUTE($M227,"~","~~"),"*","~*"),"?","~?"),'DEF_SELF_SCOUT_IMPORT'!$F$42:$F$1040,SUBSTITUTE(SUBSTITUTE(SUBSTITUTE($N227,"~","~~"),"*","~*"),"?","~?"))/$C227)</f>
        <v>0.0</v>
      </c>
      <c r="F227" s="11">
        <f>IF($C227=0,"",AVERAGEIFS('DEF_SELF_SCOUT_IMPORT'!$I$42:$I$1040,'DEF_SELF_SCOUT_IMPORT'!$L$42:$L$1040,"Y",'DEF_SELF_SCOUT_IMPORT'!$E$42:$E$1040,SUBSTITUTE(SUBSTITUTE(SUBSTITUTE($B227,"~","~~"),"*","~*"),"?","~?"),'DEF_SELF_SCOUT_IMPORT'!$Q$42:$Q$1040,SUBSTITUTE(SUBSTITUTE(SUBSTITUTE($M227,"~","~~"),"*","~*"),"?","~?"),'DEF_SELF_SCOUT_IMPORT'!$F$42:$F$1040,SUBSTITUTE(SUBSTITUTE(SUBSTITUTE($N227,"~","~~"),"*","~*"),"?","~?")))</f>
        <v>0.0</v>
      </c>
      <c r="G227" s="10">
        <f>IF($C227=0,"",COUNTIFS('DEF_SELF_SCOUT_IMPORT'!$L$42:$L$1040,"Y",'DEF_SELF_SCOUT_IMPORT'!$E$42:$E$1040,SUBSTITUTE(SUBSTITUTE(SUBSTITUTE($B227,"~","~~"),"*","~*"),"?","~?"),'DEF_SELF_SCOUT_IMPORT'!$Q$42:$Q$1040,SUBSTITUTE(SUBSTITUTE(SUBSTITUTE($M227,"~","~~"),"*","~*"),"?","~?"),'DEF_SELF_SCOUT_IMPORT'!$F$42:$F$1040,SUBSTITUTE(SUBSTITUTE(SUBSTITUTE($N227,"~","~~"),"*","~*"),"?","~?"),'DEF_SELF_SCOUT_IMPORT'!$H$42:$H$1040,"RUSH")/$C227)</f>
        <v>0.0</v>
      </c>
      <c r="H227" s="10">
        <f>IF($C227=0,"",COUNTIFS('DEF_SELF_SCOUT_IMPORT'!$L$42:$L$1040,"Y",'DEF_SELF_SCOUT_IMPORT'!$E$42:$E$1040,SUBSTITUTE(SUBSTITUTE(SUBSTITUTE($B227,"~","~~"),"*","~*"),"?","~?"),'DEF_SELF_SCOUT_IMPORT'!$Q$42:$Q$1040,SUBSTITUTE(SUBSTITUTE(SUBSTITUTE($M227,"~","~~"),"*","~*"),"?","~?"),'DEF_SELF_SCOUT_IMPORT'!$F$42:$F$1040,SUBSTITUTE(SUBSTITUTE(SUBSTITUTE($N227,"~","~~"),"*","~*"),"?","~?"),'DEF_SELF_SCOUT_IMPORT'!$H$42:$H$1040,"DROPBACK")/$C227)</f>
        <v>1.0</v>
      </c>
      <c r="I227" s="14" t="str">
        <f>IF(C227=0,"",IF(C227&lt;=2,"TRACK",IF(C227=3,"LOW",IF(C227&lt;=6,"MEDIUM","HIGH"))))</f>
        <v>TRACK</v>
      </c>
      <c r="J227" s="11">
        <f>IF(C227=0,"",ROUND(D227*70+(1-E227)*20+MAX(0,MIN(1,(10-F227)/10))*10,1))</f>
        <v>100.0</v>
      </c>
      <c r="K227" s="14" t="str">
        <f>IF(C227=0,"No Evidence",IF(C227&lt;=2,IF(E227&gt;0,"Explosive Alert","Track Only"),IF(C227=3,"Sample Watch",IF(E227&gt;=START_HERE!$B$31,"Explosive Alert",IF(J227&gt;=80,"Strong Candidate",IF(J227&gt;=65,"Good Candidate",IF(J227&gt;=50,"Mixed / Review","Problem Call")))))))</f>
        <v>Track Only</v>
      </c>
      <c r="L227" s="9" t="str">
        <f>IF(COUNTIFS('DEF_SELF_SCOUT_IMPORT'!$L$42:$L$1040,"Y",'DEF_SELF_SCOUT_IMPORT'!$E$42:$E$1040,SUBSTITUTE(SUBSTITUTE(SUBSTITUTE($B227,"~","~~"),"*","~*"),"?","~?"),'DEF_SELF_SCOUT_IMPORT'!$Q$42:$Q$1040,SUBSTITUTE(SUBSTITUTE(SUBSTITUTE($M227,"~","~~"),"*","~*"),"?","~?"),'DEF_SELF_SCOUT_IMPORT'!$F$42:$F$1040,SUBSTITUTE(SUBSTITUTE(SUBSTITUTE($N227,"~","~~"),"*","~*"),"?","~?"),'DEF_SELF_SCOUT_IMPORT'!$J$42:$J$1040,"")&gt;0,"Unscored clean outcome; review result tags before using score.",IF(C227=0,"No matching defensive reps; film confirmation needed.",IF(K227="Explosive Alert","Explosive risk; review clips before using as answer.",IF(C227&lt;=2,"Track only; not enough sample.",IF(C227=3,IF(E227&gt;0,"Sample watch with explosive exposure; review clips and build the sample.",IF(J227&gt;=65,"Good signal, but sample is limited.","Sample watch; review clips and build the sample.")),IF(K227="Problem Call","Problem area; practice or call-sheet review.",IF(K227="Strong Candidate","Strong call-fit candidate; confirm on film.",IF(K227="Good Candidate","Good call-fit signal; confirm on film.","Mixed signal; review fit and execution on film."))))))))</f>
        <v>Track only; not enough sample.</v>
      </c>
      <c r="M227" s="8" t="s">
        <v>70</v>
      </c>
      <c r="N227" s="8" t="s">
        <v>120</v>
      </c>
      <c r="O227" s="8"/>
      <c r="P227" s="8"/>
      <c r="Q227" s="8"/>
      <c r="R227" s="8" t="s">
        <v>28</v>
      </c>
      <c r="S227" s="2" t="s">
        <v>141</v>
      </c>
      <c r="T227" s="2">
        <f>IF(C227=0,0,IF(C227&gt;=CALL_LOOKUP_BOARD!$B$7,IF(OR(K227="Problem Call",K227="Explosive Alert"),10000000,20000000),0)+IF(C227&gt;=CALL_LOOKUP_BOARD!$B$7,J227*1000+MIN(C227,999),C227*1000+J227)+0.00995800)</f>
        <v>1100.009958</v>
      </c>
      <c r="U227" s="2">
        <f>IF(C227=0,"",IF(COUNTIFS($S$186:$S$367,SUBSTITUTE(SUBSTITUTE(SUBSTITUTE(S227,"~","~~"),"*","~*"),"?","~?"),$T$186:$T$367,"&gt;"&amp;T227)=0,S227,""))</f>
        <v/>
      </c>
    </row>
    <row r="228" spans="1:21" ht="38" customHeight="1">
      <c r="A228" s="8" t="s">
        <v>140</v>
      </c>
      <c r="B228" s="8" t="s">
        <v>30</v>
      </c>
      <c r="C228" s="12">
        <f>COUNTIFS('DEF_SELF_SCOUT_IMPORT'!$L$42:$L$1040,"Y",'DEF_SELF_SCOUT_IMPORT'!$E$42:$E$1040,SUBSTITUTE(SUBSTITUTE(SUBSTITUTE($B228,"~","~~"),"*","~*"),"?","~?"),'DEF_SELF_SCOUT_IMPORT'!$Q$42:$Q$1040,SUBSTITUTE(SUBSTITUTE(SUBSTITUTE($M228,"~","~~"),"*","~*"),"?","~?"),'DEF_SELF_SCOUT_IMPORT'!$F$42:$F$1040,SUBSTITUTE(SUBSTITUTE(SUBSTITUTE($N228,"~","~~"),"*","~*"),"?","~?"))</f>
        <v>1</v>
      </c>
      <c r="D228" s="10">
        <f>IF($C228=0,"",SUMIFS('DEF_SELF_SCOUT_IMPORT'!$J$42:$J$1040,'DEF_SELF_SCOUT_IMPORT'!$L$42:$L$1040,"Y",'DEF_SELF_SCOUT_IMPORT'!$E$42:$E$1040,SUBSTITUTE(SUBSTITUTE(SUBSTITUTE($B228,"~","~~"),"*","~*"),"?","~?"),'DEF_SELF_SCOUT_IMPORT'!$Q$42:$Q$1040,SUBSTITUTE(SUBSTITUTE(SUBSTITUTE($M228,"~","~~"),"*","~*"),"?","~?"),'DEF_SELF_SCOUT_IMPORT'!$F$42:$F$1040,SUBSTITUTE(SUBSTITUTE(SUBSTITUTE($N228,"~","~~"),"*","~*"),"?","~?"))/$C228)</f>
        <v>1.0</v>
      </c>
      <c r="E228" s="10">
        <f>IF($C228=0,"",SUMIFS('DEF_SELF_SCOUT_IMPORT'!$K$42:$K$1040,'DEF_SELF_SCOUT_IMPORT'!$L$42:$L$1040,"Y",'DEF_SELF_SCOUT_IMPORT'!$E$42:$E$1040,SUBSTITUTE(SUBSTITUTE(SUBSTITUTE($B228,"~","~~"),"*","~*"),"?","~?"),'DEF_SELF_SCOUT_IMPORT'!$Q$42:$Q$1040,SUBSTITUTE(SUBSTITUTE(SUBSTITUTE($M228,"~","~~"),"*","~*"),"?","~?"),'DEF_SELF_SCOUT_IMPORT'!$F$42:$F$1040,SUBSTITUTE(SUBSTITUTE(SUBSTITUTE($N228,"~","~~"),"*","~*"),"?","~?"))/$C228)</f>
        <v>0.0</v>
      </c>
      <c r="F228" s="11">
        <f>IF($C228=0,"",AVERAGEIFS('DEF_SELF_SCOUT_IMPORT'!$I$42:$I$1040,'DEF_SELF_SCOUT_IMPORT'!$L$42:$L$1040,"Y",'DEF_SELF_SCOUT_IMPORT'!$E$42:$E$1040,SUBSTITUTE(SUBSTITUTE(SUBSTITUTE($B228,"~","~~"),"*","~*"),"?","~?"),'DEF_SELF_SCOUT_IMPORT'!$Q$42:$Q$1040,SUBSTITUTE(SUBSTITUTE(SUBSTITUTE($M228,"~","~~"),"*","~*"),"?","~?"),'DEF_SELF_SCOUT_IMPORT'!$F$42:$F$1040,SUBSTITUTE(SUBSTITUTE(SUBSTITUTE($N228,"~","~~"),"*","~*"),"?","~?")))</f>
        <v>2.0</v>
      </c>
      <c r="G228" s="10">
        <f>IF($C228=0,"",COUNTIFS('DEF_SELF_SCOUT_IMPORT'!$L$42:$L$1040,"Y",'DEF_SELF_SCOUT_IMPORT'!$E$42:$E$1040,SUBSTITUTE(SUBSTITUTE(SUBSTITUTE($B228,"~","~~"),"*","~*"),"?","~?"),'DEF_SELF_SCOUT_IMPORT'!$Q$42:$Q$1040,SUBSTITUTE(SUBSTITUTE(SUBSTITUTE($M228,"~","~~"),"*","~*"),"?","~?"),'DEF_SELF_SCOUT_IMPORT'!$F$42:$F$1040,SUBSTITUTE(SUBSTITUTE(SUBSTITUTE($N228,"~","~~"),"*","~*"),"?","~?"),'DEF_SELF_SCOUT_IMPORT'!$H$42:$H$1040,"RUSH")/$C228)</f>
        <v>1.0</v>
      </c>
      <c r="H228" s="10">
        <f>IF($C228=0,"",COUNTIFS('DEF_SELF_SCOUT_IMPORT'!$L$42:$L$1040,"Y",'DEF_SELF_SCOUT_IMPORT'!$E$42:$E$1040,SUBSTITUTE(SUBSTITUTE(SUBSTITUTE($B228,"~","~~"),"*","~*"),"?","~?"),'DEF_SELF_SCOUT_IMPORT'!$Q$42:$Q$1040,SUBSTITUTE(SUBSTITUTE(SUBSTITUTE($M228,"~","~~"),"*","~*"),"?","~?"),'DEF_SELF_SCOUT_IMPORT'!$F$42:$F$1040,SUBSTITUTE(SUBSTITUTE(SUBSTITUTE($N228,"~","~~"),"*","~*"),"?","~?"),'DEF_SELF_SCOUT_IMPORT'!$H$42:$H$1040,"DROPBACK")/$C228)</f>
        <v>0.0</v>
      </c>
      <c r="I228" s="14" t="str">
        <f>IF(C228=0,"",IF(C228&lt;=2,"TRACK",IF(C228=3,"LOW",IF(C228&lt;=6,"MEDIUM","HIGH"))))</f>
        <v>TRACK</v>
      </c>
      <c r="J228" s="11">
        <f>IF(C228=0,"",ROUND(D228*70+(1-E228)*20+MAX(0,MIN(1,(10-F228)/10))*10,1))</f>
        <v>98.0</v>
      </c>
      <c r="K228" s="14" t="str">
        <f>IF(C228=0,"No Evidence",IF(C228&lt;=2,IF(E228&gt;0,"Explosive Alert","Track Only"),IF(C228=3,"Sample Watch",IF(E228&gt;=START_HERE!$B$31,"Explosive Alert",IF(J228&gt;=80,"Strong Candidate",IF(J228&gt;=65,"Good Candidate",IF(J228&gt;=50,"Mixed / Review","Problem Call")))))))</f>
        <v>Track Only</v>
      </c>
      <c r="L228" s="9" t="str">
        <f>IF(COUNTIFS('DEF_SELF_SCOUT_IMPORT'!$L$42:$L$1040,"Y",'DEF_SELF_SCOUT_IMPORT'!$E$42:$E$1040,SUBSTITUTE(SUBSTITUTE(SUBSTITUTE($B228,"~","~~"),"*","~*"),"?","~?"),'DEF_SELF_SCOUT_IMPORT'!$Q$42:$Q$1040,SUBSTITUTE(SUBSTITUTE(SUBSTITUTE($M228,"~","~~"),"*","~*"),"?","~?"),'DEF_SELF_SCOUT_IMPORT'!$F$42:$F$1040,SUBSTITUTE(SUBSTITUTE(SUBSTITUTE($N228,"~","~~"),"*","~*"),"?","~?"),'DEF_SELF_SCOUT_IMPORT'!$J$42:$J$1040,"")&gt;0,"Unscored clean outcome; review result tags before using score.",IF(C228=0,"No matching defensive reps; film confirmation needed.",IF(K228="Explosive Alert","Explosive risk; review clips before using as answer.",IF(C228&lt;=2,"Track only; not enough sample.",IF(C228=3,IF(E228&gt;0,"Sample watch with explosive exposure; review clips and build the sample.",IF(J228&gt;=65,"Good signal, but sample is limited.","Sample watch; review clips and build the sample.")),IF(K228="Problem Call","Problem area; practice or call-sheet review.",IF(K228="Strong Candidate","Strong call-fit candidate; confirm on film.",IF(K228="Good Candidate","Good call-fit signal; confirm on film.","Mixed signal; review fit and execution on film."))))))))</f>
        <v>Track only; not enough sample.</v>
      </c>
      <c r="M228" s="8" t="s">
        <v>70</v>
      </c>
      <c r="N228" s="8" t="s">
        <v>120</v>
      </c>
      <c r="O228" s="8"/>
      <c r="P228" s="8"/>
      <c r="Q228" s="8"/>
      <c r="R228" s="8" t="s">
        <v>28</v>
      </c>
      <c r="S228" s="2" t="s">
        <v>141</v>
      </c>
      <c r="T228" s="2">
        <f>IF(C228=0,0,IF(C228&gt;=CALL_LOOKUP_BOARD!$B$7,IF(OR(K228="Problem Call",K228="Explosive Alert"),10000000,20000000),0)+IF(C228&gt;=CALL_LOOKUP_BOARD!$B$7,J228*1000+MIN(C228,999),C228*1000+J228)+0.00995700)</f>
        <v>1098.009957</v>
      </c>
      <c r="U228" s="2">
        <f>IF(C228=0,"",IF(COUNTIFS($S$186:$S$367,SUBSTITUTE(SUBSTITUTE(SUBSTITUTE(S228,"~","~~"),"*","~*"),"?","~?"),$T$186:$T$367,"&gt;"&amp;T228)=0,S228,""))</f>
        <v/>
      </c>
    </row>
    <row r="229" spans="1:21" ht="38" customHeight="1">
      <c r="A229" s="8" t="s">
        <v>140</v>
      </c>
      <c r="B229" s="8" t="s">
        <v>72</v>
      </c>
      <c r="C229" s="12">
        <f>COUNTIFS('DEF_SELF_SCOUT_IMPORT'!$L$42:$L$1040,"Y",'DEF_SELF_SCOUT_IMPORT'!$E$42:$E$1040,SUBSTITUTE(SUBSTITUTE(SUBSTITUTE($B229,"~","~~"),"*","~*"),"?","~?"),'DEF_SELF_SCOUT_IMPORT'!$Q$42:$Q$1040,SUBSTITUTE(SUBSTITUTE(SUBSTITUTE($M229,"~","~~"),"*","~*"),"?","~?"),'DEF_SELF_SCOUT_IMPORT'!$F$42:$F$1040,SUBSTITUTE(SUBSTITUTE(SUBSTITUTE($N229,"~","~~"),"*","~*"),"?","~?"))</f>
        <v>1</v>
      </c>
      <c r="D229" s="10">
        <f>IF($C229=0,"",SUMIFS('DEF_SELF_SCOUT_IMPORT'!$J$42:$J$1040,'DEF_SELF_SCOUT_IMPORT'!$L$42:$L$1040,"Y",'DEF_SELF_SCOUT_IMPORT'!$E$42:$E$1040,SUBSTITUTE(SUBSTITUTE(SUBSTITUTE($B229,"~","~~"),"*","~*"),"?","~?"),'DEF_SELF_SCOUT_IMPORT'!$Q$42:$Q$1040,SUBSTITUTE(SUBSTITUTE(SUBSTITUTE($M229,"~","~~"),"*","~*"),"?","~?"),'DEF_SELF_SCOUT_IMPORT'!$F$42:$F$1040,SUBSTITUTE(SUBSTITUTE(SUBSTITUTE($N229,"~","~~"),"*","~*"),"?","~?"))/$C229)</f>
        <v>0.0</v>
      </c>
      <c r="E229" s="10">
        <f>IF($C229=0,"",SUMIFS('DEF_SELF_SCOUT_IMPORT'!$K$42:$K$1040,'DEF_SELF_SCOUT_IMPORT'!$L$42:$L$1040,"Y",'DEF_SELF_SCOUT_IMPORT'!$E$42:$E$1040,SUBSTITUTE(SUBSTITUTE(SUBSTITUTE($B229,"~","~~"),"*","~*"),"?","~?"),'DEF_SELF_SCOUT_IMPORT'!$Q$42:$Q$1040,SUBSTITUTE(SUBSTITUTE(SUBSTITUTE($M229,"~","~~"),"*","~*"),"?","~?"),'DEF_SELF_SCOUT_IMPORT'!$F$42:$F$1040,SUBSTITUTE(SUBSTITUTE(SUBSTITUTE($N229,"~","~~"),"*","~*"),"?","~?"))/$C229)</f>
        <v>0.0</v>
      </c>
      <c r="F229" s="11">
        <f>IF($C229=0,"",AVERAGEIFS('DEF_SELF_SCOUT_IMPORT'!$I$42:$I$1040,'DEF_SELF_SCOUT_IMPORT'!$L$42:$L$1040,"Y",'DEF_SELF_SCOUT_IMPORT'!$E$42:$E$1040,SUBSTITUTE(SUBSTITUTE(SUBSTITUTE($B229,"~","~~"),"*","~*"),"?","~?"),'DEF_SELF_SCOUT_IMPORT'!$Q$42:$Q$1040,SUBSTITUTE(SUBSTITUTE(SUBSTITUTE($M229,"~","~~"),"*","~*"),"?","~?"),'DEF_SELF_SCOUT_IMPORT'!$F$42:$F$1040,SUBSTITUTE(SUBSTITUTE(SUBSTITUTE($N229,"~","~~"),"*","~*"),"?","~?")))</f>
        <v>9.0</v>
      </c>
      <c r="G229" s="10">
        <f>IF($C229=0,"",COUNTIFS('DEF_SELF_SCOUT_IMPORT'!$L$42:$L$1040,"Y",'DEF_SELF_SCOUT_IMPORT'!$E$42:$E$1040,SUBSTITUTE(SUBSTITUTE(SUBSTITUTE($B229,"~","~~"),"*","~*"),"?","~?"),'DEF_SELF_SCOUT_IMPORT'!$Q$42:$Q$1040,SUBSTITUTE(SUBSTITUTE(SUBSTITUTE($M229,"~","~~"),"*","~*"),"?","~?"),'DEF_SELF_SCOUT_IMPORT'!$F$42:$F$1040,SUBSTITUTE(SUBSTITUTE(SUBSTITUTE($N229,"~","~~"),"*","~*"),"?","~?"),'DEF_SELF_SCOUT_IMPORT'!$H$42:$H$1040,"RUSH")/$C229)</f>
        <v>0.0</v>
      </c>
      <c r="H229" s="10">
        <f>IF($C229=0,"",COUNTIFS('DEF_SELF_SCOUT_IMPORT'!$L$42:$L$1040,"Y",'DEF_SELF_SCOUT_IMPORT'!$E$42:$E$1040,SUBSTITUTE(SUBSTITUTE(SUBSTITUTE($B229,"~","~~"),"*","~*"),"?","~?"),'DEF_SELF_SCOUT_IMPORT'!$Q$42:$Q$1040,SUBSTITUTE(SUBSTITUTE(SUBSTITUTE($M229,"~","~~"),"*","~*"),"?","~?"),'DEF_SELF_SCOUT_IMPORT'!$F$42:$F$1040,SUBSTITUTE(SUBSTITUTE(SUBSTITUTE($N229,"~","~~"),"*","~*"),"?","~?"),'DEF_SELF_SCOUT_IMPORT'!$H$42:$H$1040,"DROPBACK")/$C229)</f>
        <v>1.0</v>
      </c>
      <c r="I229" s="14" t="str">
        <f>IF(C229=0,"",IF(C229&lt;=2,"TRACK",IF(C229=3,"LOW",IF(C229&lt;=6,"MEDIUM","HIGH"))))</f>
        <v>TRACK</v>
      </c>
      <c r="J229" s="11">
        <f>IF(C229=0,"",ROUND(D229*70+(1-E229)*20+MAX(0,MIN(1,(10-F229)/10))*10,1))</f>
        <v>21.0</v>
      </c>
      <c r="K229" s="14" t="str">
        <f>IF(C229=0,"No Evidence",IF(C229&lt;=2,IF(E229&gt;0,"Explosive Alert","Track Only"),IF(C229=3,"Sample Watch",IF(E229&gt;=START_HERE!$B$31,"Explosive Alert",IF(J229&gt;=80,"Strong Candidate",IF(J229&gt;=65,"Good Candidate",IF(J229&gt;=50,"Mixed / Review","Problem Call")))))))</f>
        <v>Track Only</v>
      </c>
      <c r="L229" s="9" t="str">
        <f>IF(COUNTIFS('DEF_SELF_SCOUT_IMPORT'!$L$42:$L$1040,"Y",'DEF_SELF_SCOUT_IMPORT'!$E$42:$E$1040,SUBSTITUTE(SUBSTITUTE(SUBSTITUTE($B229,"~","~~"),"*","~*"),"?","~?"),'DEF_SELF_SCOUT_IMPORT'!$Q$42:$Q$1040,SUBSTITUTE(SUBSTITUTE(SUBSTITUTE($M229,"~","~~"),"*","~*"),"?","~?"),'DEF_SELF_SCOUT_IMPORT'!$F$42:$F$1040,SUBSTITUTE(SUBSTITUTE(SUBSTITUTE($N229,"~","~~"),"*","~*"),"?","~?"),'DEF_SELF_SCOUT_IMPORT'!$J$42:$J$1040,"")&gt;0,"Unscored clean outcome; review result tags before using score.",IF(C229=0,"No matching defensive reps; film confirmation needed.",IF(K229="Explosive Alert","Explosive risk; review clips before using as answer.",IF(C229&lt;=2,"Track only; not enough sample.",IF(C229=3,IF(E229&gt;0,"Sample watch with explosive exposure; review clips and build the sample.",IF(J229&gt;=65,"Good signal, but sample is limited.","Sample watch; review clips and build the sample.")),IF(K229="Problem Call","Problem area; practice or call-sheet review.",IF(K229="Strong Candidate","Strong call-fit candidate; confirm on film.",IF(K229="Good Candidate","Good call-fit signal; confirm on film.","Mixed signal; review fit and execution on film."))))))))</f>
        <v>Track only; not enough sample.</v>
      </c>
      <c r="M229" s="8" t="s">
        <v>70</v>
      </c>
      <c r="N229" s="8" t="s">
        <v>120</v>
      </c>
      <c r="O229" s="8"/>
      <c r="P229" s="8"/>
      <c r="Q229" s="8"/>
      <c r="R229" s="8" t="s">
        <v>28</v>
      </c>
      <c r="S229" s="2" t="s">
        <v>141</v>
      </c>
      <c r="T229" s="2">
        <f>IF(C229=0,0,IF(C229&gt;=CALL_LOOKUP_BOARD!$B$7,IF(OR(K229="Problem Call",K229="Explosive Alert"),10000000,20000000),0)+IF(C229&gt;=CALL_LOOKUP_BOARD!$B$7,J229*1000+MIN(C229,999),C229*1000+J229)+0.00995600)</f>
        <v>1021.009956</v>
      </c>
      <c r="U229" s="2">
        <f>IF(C229=0,"",IF(COUNTIFS($S$186:$S$367,SUBSTITUTE(SUBSTITUTE(SUBSTITUTE(S229,"~","~~"),"*","~*"),"?","~?"),$T$186:$T$367,"&gt;"&amp;T229)=0,S229,""))</f>
        <v/>
      </c>
    </row>
    <row r="230" spans="1:21" ht="38" customHeight="1">
      <c r="A230" s="8" t="s">
        <v>140</v>
      </c>
      <c r="B230" s="8" t="s">
        <v>60</v>
      </c>
      <c r="C230" s="12">
        <f>COUNTIFS('DEF_SELF_SCOUT_IMPORT'!$L$42:$L$1040,"Y",'DEF_SELF_SCOUT_IMPORT'!$E$42:$E$1040,SUBSTITUTE(SUBSTITUTE(SUBSTITUTE($B230,"~","~~"),"*","~*"),"?","~?"),'DEF_SELF_SCOUT_IMPORT'!$Q$42:$Q$1040,SUBSTITUTE(SUBSTITUTE(SUBSTITUTE($M230,"~","~~"),"*","~*"),"?","~?"),'DEF_SELF_SCOUT_IMPORT'!$F$42:$F$1040,SUBSTITUTE(SUBSTITUTE(SUBSTITUTE($N230,"~","~~"),"*","~*"),"?","~?"))</f>
        <v>2</v>
      </c>
      <c r="D230" s="10">
        <f>IF($C230=0,"",SUMIFS('DEF_SELF_SCOUT_IMPORT'!$J$42:$J$1040,'DEF_SELF_SCOUT_IMPORT'!$L$42:$L$1040,"Y",'DEF_SELF_SCOUT_IMPORT'!$E$42:$E$1040,SUBSTITUTE(SUBSTITUTE(SUBSTITUTE($B230,"~","~~"),"*","~*"),"?","~?"),'DEF_SELF_SCOUT_IMPORT'!$Q$42:$Q$1040,SUBSTITUTE(SUBSTITUTE(SUBSTITUTE($M230,"~","~~"),"*","~*"),"?","~?"),'DEF_SELF_SCOUT_IMPORT'!$F$42:$F$1040,SUBSTITUTE(SUBSTITUTE(SUBSTITUTE($N230,"~","~~"),"*","~*"),"?","~?"))/$C230)</f>
        <v>0.5</v>
      </c>
      <c r="E230" s="10">
        <f>IF($C230=0,"",SUMIFS('DEF_SELF_SCOUT_IMPORT'!$K$42:$K$1040,'DEF_SELF_SCOUT_IMPORT'!$L$42:$L$1040,"Y",'DEF_SELF_SCOUT_IMPORT'!$E$42:$E$1040,SUBSTITUTE(SUBSTITUTE(SUBSTITUTE($B230,"~","~~"),"*","~*"),"?","~?"),'DEF_SELF_SCOUT_IMPORT'!$Q$42:$Q$1040,SUBSTITUTE(SUBSTITUTE(SUBSTITUTE($M230,"~","~~"),"*","~*"),"?","~?"),'DEF_SELF_SCOUT_IMPORT'!$F$42:$F$1040,SUBSTITUTE(SUBSTITUTE(SUBSTITUTE($N230,"~","~~"),"*","~*"),"?","~?"))/$C230)</f>
        <v>0.0</v>
      </c>
      <c r="F230" s="11">
        <f>IF($C230=0,"",AVERAGEIFS('DEF_SELF_SCOUT_IMPORT'!$I$42:$I$1040,'DEF_SELF_SCOUT_IMPORT'!$L$42:$L$1040,"Y",'DEF_SELF_SCOUT_IMPORT'!$E$42:$E$1040,SUBSTITUTE(SUBSTITUTE(SUBSTITUTE($B230,"~","~~"),"*","~*"),"?","~?"),'DEF_SELF_SCOUT_IMPORT'!$Q$42:$Q$1040,SUBSTITUTE(SUBSTITUTE(SUBSTITUTE($M230,"~","~~"),"*","~*"),"?","~?"),'DEF_SELF_SCOUT_IMPORT'!$F$42:$F$1040,SUBSTITUTE(SUBSTITUTE(SUBSTITUTE($N230,"~","~~"),"*","~*"),"?","~?")))</f>
        <v>6.0</v>
      </c>
      <c r="G230" s="10">
        <f>IF($C230=0,"",COUNTIFS('DEF_SELF_SCOUT_IMPORT'!$L$42:$L$1040,"Y",'DEF_SELF_SCOUT_IMPORT'!$E$42:$E$1040,SUBSTITUTE(SUBSTITUTE(SUBSTITUTE($B230,"~","~~"),"*","~*"),"?","~?"),'DEF_SELF_SCOUT_IMPORT'!$Q$42:$Q$1040,SUBSTITUTE(SUBSTITUTE(SUBSTITUTE($M230,"~","~~"),"*","~*"),"?","~?"),'DEF_SELF_SCOUT_IMPORT'!$F$42:$F$1040,SUBSTITUTE(SUBSTITUTE(SUBSTITUTE($N230,"~","~~"),"*","~*"),"?","~?"),'DEF_SELF_SCOUT_IMPORT'!$H$42:$H$1040,"RUSH")/$C230)</f>
        <v>0.5</v>
      </c>
      <c r="H230" s="10">
        <f>IF($C230=0,"",COUNTIFS('DEF_SELF_SCOUT_IMPORT'!$L$42:$L$1040,"Y",'DEF_SELF_SCOUT_IMPORT'!$E$42:$E$1040,SUBSTITUTE(SUBSTITUTE(SUBSTITUTE($B230,"~","~~"),"*","~*"),"?","~?"),'DEF_SELF_SCOUT_IMPORT'!$Q$42:$Q$1040,SUBSTITUTE(SUBSTITUTE(SUBSTITUTE($M230,"~","~~"),"*","~*"),"?","~?"),'DEF_SELF_SCOUT_IMPORT'!$F$42:$F$1040,SUBSTITUTE(SUBSTITUTE(SUBSTITUTE($N230,"~","~~"),"*","~*"),"?","~?"),'DEF_SELF_SCOUT_IMPORT'!$H$42:$H$1040,"DROPBACK")/$C230)</f>
        <v>0.5</v>
      </c>
      <c r="I230" s="14" t="str">
        <f>IF(C230=0,"",IF(C230&lt;=2,"TRACK",IF(C230=3,"LOW",IF(C230&lt;=6,"MEDIUM","HIGH"))))</f>
        <v>TRACK</v>
      </c>
      <c r="J230" s="11">
        <f>IF(C230=0,"",ROUND(D230*70+(1-E230)*20+MAX(0,MIN(1,(10-F230)/10))*10,1))</f>
        <v>59.0</v>
      </c>
      <c r="K230" s="14" t="str">
        <f>IF(C230=0,"No Evidence",IF(C230&lt;=2,IF(E230&gt;0,"Explosive Alert","Track Only"),IF(C230=3,"Sample Watch",IF(E230&gt;=START_HERE!$B$31,"Explosive Alert",IF(J230&gt;=80,"Strong Candidate",IF(J230&gt;=65,"Good Candidate",IF(J230&gt;=50,"Mixed / Review","Problem Call")))))))</f>
        <v>Track Only</v>
      </c>
      <c r="L230" s="9" t="str">
        <f>IF(COUNTIFS('DEF_SELF_SCOUT_IMPORT'!$L$42:$L$1040,"Y",'DEF_SELF_SCOUT_IMPORT'!$E$42:$E$1040,SUBSTITUTE(SUBSTITUTE(SUBSTITUTE($B230,"~","~~"),"*","~*"),"?","~?"),'DEF_SELF_SCOUT_IMPORT'!$Q$42:$Q$1040,SUBSTITUTE(SUBSTITUTE(SUBSTITUTE($M230,"~","~~"),"*","~*"),"?","~?"),'DEF_SELF_SCOUT_IMPORT'!$F$42:$F$1040,SUBSTITUTE(SUBSTITUTE(SUBSTITUTE($N230,"~","~~"),"*","~*"),"?","~?"),'DEF_SELF_SCOUT_IMPORT'!$J$42:$J$1040,"")&gt;0,"Unscored clean outcome; review result tags before using score.",IF(C230=0,"No matching defensive reps; film confirmation needed.",IF(K230="Explosive Alert","Explosive risk; review clips before using as answer.",IF(C230&lt;=2,"Track only; not enough sample.",IF(C230=3,IF(E230&gt;0,"Sample watch with explosive exposure; review clips and build the sample.",IF(J230&gt;=65,"Good signal, but sample is limited.","Sample watch; review clips and build the sample.")),IF(K230="Problem Call","Problem area; practice or call-sheet review.",IF(K230="Strong Candidate","Strong call-fit candidate; confirm on film.",IF(K230="Good Candidate","Good call-fit signal; confirm on film.","Mixed signal; review fit and execution on film."))))))))</f>
        <v>Track only; not enough sample.</v>
      </c>
      <c r="M230" s="8" t="s">
        <v>70</v>
      </c>
      <c r="N230" s="8" t="s">
        <v>120</v>
      </c>
      <c r="O230" s="8"/>
      <c r="P230" s="8"/>
      <c r="Q230" s="8"/>
      <c r="R230" s="8" t="s">
        <v>28</v>
      </c>
      <c r="S230" s="2" t="s">
        <v>141</v>
      </c>
      <c r="T230" s="2">
        <f>IF(C230=0,0,IF(C230&gt;=CALL_LOOKUP_BOARD!$B$7,IF(OR(K230="Problem Call",K230="Explosive Alert"),10000000,20000000),0)+IF(C230&gt;=CALL_LOOKUP_BOARD!$B$7,J230*1000+MIN(C230,999),C230*1000+J230)+0.00995500)</f>
        <v>2059.009955</v>
      </c>
      <c r="U230" s="2" t="str">
        <f>IF(C230=0,"",IF(COUNTIFS($S$186:$S$367,SUBSTITUTE(SUBSTITUTE(SUBSTITUTE(S230,"~","~~"),"*","~*"),"?","~?"),$T$186:$T$367,"&gt;"&amp;T230)=0,S230,""))</f>
        <v>6:2D 1-3|2:11|</v>
      </c>
    </row>
    <row r="231" spans="1:21" ht="38" customHeight="1">
      <c r="A231" s="8" t="s">
        <v>140</v>
      </c>
      <c r="B231" s="8" t="s">
        <v>73</v>
      </c>
      <c r="C231" s="12">
        <f>COUNTIFS('DEF_SELF_SCOUT_IMPORT'!$L$42:$L$1040,"Y",'DEF_SELF_SCOUT_IMPORT'!$E$42:$E$1040,SUBSTITUTE(SUBSTITUTE(SUBSTITUTE($B231,"~","~~"),"*","~*"),"?","~?"),'DEF_SELF_SCOUT_IMPORT'!$Q$42:$Q$1040,SUBSTITUTE(SUBSTITUTE(SUBSTITUTE($M231,"~","~~"),"*","~*"),"?","~?"),'DEF_SELF_SCOUT_IMPORT'!$F$42:$F$1040,SUBSTITUTE(SUBSTITUTE(SUBSTITUTE($N231,"~","~~"),"*","~*"),"?","~?"))</f>
        <v>1</v>
      </c>
      <c r="D231" s="10">
        <f>IF($C231=0,"",SUMIFS('DEF_SELF_SCOUT_IMPORT'!$J$42:$J$1040,'DEF_SELF_SCOUT_IMPORT'!$L$42:$L$1040,"Y",'DEF_SELF_SCOUT_IMPORT'!$E$42:$E$1040,SUBSTITUTE(SUBSTITUTE(SUBSTITUTE($B231,"~","~~"),"*","~*"),"?","~?"),'DEF_SELF_SCOUT_IMPORT'!$Q$42:$Q$1040,SUBSTITUTE(SUBSTITUTE(SUBSTITUTE($M231,"~","~~"),"*","~*"),"?","~?"),'DEF_SELF_SCOUT_IMPORT'!$F$42:$F$1040,SUBSTITUTE(SUBSTITUTE(SUBSTITUTE($N231,"~","~~"),"*","~*"),"?","~?"))/$C231)</f>
        <v>1.0</v>
      </c>
      <c r="E231" s="10">
        <f>IF($C231=0,"",SUMIFS('DEF_SELF_SCOUT_IMPORT'!$K$42:$K$1040,'DEF_SELF_SCOUT_IMPORT'!$L$42:$L$1040,"Y",'DEF_SELF_SCOUT_IMPORT'!$E$42:$E$1040,SUBSTITUTE(SUBSTITUTE(SUBSTITUTE($B231,"~","~~"),"*","~*"),"?","~?"),'DEF_SELF_SCOUT_IMPORT'!$Q$42:$Q$1040,SUBSTITUTE(SUBSTITUTE(SUBSTITUTE($M231,"~","~~"),"*","~*"),"?","~?"),'DEF_SELF_SCOUT_IMPORT'!$F$42:$F$1040,SUBSTITUTE(SUBSTITUTE(SUBSTITUTE($N231,"~","~~"),"*","~*"),"?","~?"))/$C231)</f>
        <v>0.0</v>
      </c>
      <c r="F231" s="11">
        <f>IF($C231=0,"",AVERAGEIFS('DEF_SELF_SCOUT_IMPORT'!$I$42:$I$1040,'DEF_SELF_SCOUT_IMPORT'!$L$42:$L$1040,"Y",'DEF_SELF_SCOUT_IMPORT'!$E$42:$E$1040,SUBSTITUTE(SUBSTITUTE(SUBSTITUTE($B231,"~","~~"),"*","~*"),"?","~?"),'DEF_SELF_SCOUT_IMPORT'!$Q$42:$Q$1040,SUBSTITUTE(SUBSTITUTE(SUBSTITUTE($M231,"~","~~"),"*","~*"),"?","~?"),'DEF_SELF_SCOUT_IMPORT'!$F$42:$F$1040,SUBSTITUTE(SUBSTITUTE(SUBSTITUTE($N231,"~","~~"),"*","~*"),"?","~?")))</f>
        <v>6.0</v>
      </c>
      <c r="G231" s="10">
        <f>IF($C231=0,"",COUNTIFS('DEF_SELF_SCOUT_IMPORT'!$L$42:$L$1040,"Y",'DEF_SELF_SCOUT_IMPORT'!$E$42:$E$1040,SUBSTITUTE(SUBSTITUTE(SUBSTITUTE($B231,"~","~~"),"*","~*"),"?","~?"),'DEF_SELF_SCOUT_IMPORT'!$Q$42:$Q$1040,SUBSTITUTE(SUBSTITUTE(SUBSTITUTE($M231,"~","~~"),"*","~*"),"?","~?"),'DEF_SELF_SCOUT_IMPORT'!$F$42:$F$1040,SUBSTITUTE(SUBSTITUTE(SUBSTITUTE($N231,"~","~~"),"*","~*"),"?","~?"),'DEF_SELF_SCOUT_IMPORT'!$H$42:$H$1040,"RUSH")/$C231)</f>
        <v>0.0</v>
      </c>
      <c r="H231" s="10">
        <f>IF($C231=0,"",COUNTIFS('DEF_SELF_SCOUT_IMPORT'!$L$42:$L$1040,"Y",'DEF_SELF_SCOUT_IMPORT'!$E$42:$E$1040,SUBSTITUTE(SUBSTITUTE(SUBSTITUTE($B231,"~","~~"),"*","~*"),"?","~?"),'DEF_SELF_SCOUT_IMPORT'!$Q$42:$Q$1040,SUBSTITUTE(SUBSTITUTE(SUBSTITUTE($M231,"~","~~"),"*","~*"),"?","~?"),'DEF_SELF_SCOUT_IMPORT'!$F$42:$F$1040,SUBSTITUTE(SUBSTITUTE(SUBSTITUTE($N231,"~","~~"),"*","~*"),"?","~?"),'DEF_SELF_SCOUT_IMPORT'!$H$42:$H$1040,"DROPBACK")/$C231)</f>
        <v>1.0</v>
      </c>
      <c r="I231" s="14" t="str">
        <f>IF(C231=0,"",IF(C231&lt;=2,"TRACK",IF(C231=3,"LOW",IF(C231&lt;=6,"MEDIUM","HIGH"))))</f>
        <v>TRACK</v>
      </c>
      <c r="J231" s="11">
        <f>IF(C231=0,"",ROUND(D231*70+(1-E231)*20+MAX(0,MIN(1,(10-F231)/10))*10,1))</f>
        <v>94.0</v>
      </c>
      <c r="K231" s="14" t="str">
        <f>IF(C231=0,"No Evidence",IF(C231&lt;=2,IF(E231&gt;0,"Explosive Alert","Track Only"),IF(C231=3,"Sample Watch",IF(E231&gt;=START_HERE!$B$31,"Explosive Alert",IF(J231&gt;=80,"Strong Candidate",IF(J231&gt;=65,"Good Candidate",IF(J231&gt;=50,"Mixed / Review","Problem Call")))))))</f>
        <v>Track Only</v>
      </c>
      <c r="L231" s="9" t="str">
        <f>IF(COUNTIFS('DEF_SELF_SCOUT_IMPORT'!$L$42:$L$1040,"Y",'DEF_SELF_SCOUT_IMPORT'!$E$42:$E$1040,SUBSTITUTE(SUBSTITUTE(SUBSTITUTE($B231,"~","~~"),"*","~*"),"?","~?"),'DEF_SELF_SCOUT_IMPORT'!$Q$42:$Q$1040,SUBSTITUTE(SUBSTITUTE(SUBSTITUTE($M231,"~","~~"),"*","~*"),"?","~?"),'DEF_SELF_SCOUT_IMPORT'!$F$42:$F$1040,SUBSTITUTE(SUBSTITUTE(SUBSTITUTE($N231,"~","~~"),"*","~*"),"?","~?"),'DEF_SELF_SCOUT_IMPORT'!$J$42:$J$1040,"")&gt;0,"Unscored clean outcome; review result tags before using score.",IF(C231=0,"No matching defensive reps; film confirmation needed.",IF(K231="Explosive Alert","Explosive risk; review clips before using as answer.",IF(C231&lt;=2,"Track only; not enough sample.",IF(C231=3,IF(E231&gt;0,"Sample watch with explosive exposure; review clips and build the sample.",IF(J231&gt;=65,"Good signal, but sample is limited.","Sample watch; review clips and build the sample.")),IF(K231="Problem Call","Problem area; practice or call-sheet review.",IF(K231="Strong Candidate","Strong call-fit candidate; confirm on film.",IF(K231="Good Candidate","Good call-fit signal; confirm on film.","Mixed signal; review fit and execution on film."))))))))</f>
        <v>Track only; not enough sample.</v>
      </c>
      <c r="M231" s="8" t="s">
        <v>70</v>
      </c>
      <c r="N231" s="8" t="s">
        <v>120</v>
      </c>
      <c r="O231" s="8"/>
      <c r="P231" s="8"/>
      <c r="Q231" s="8"/>
      <c r="R231" s="8" t="s">
        <v>28</v>
      </c>
      <c r="S231" s="2" t="s">
        <v>141</v>
      </c>
      <c r="T231" s="2">
        <f>IF(C231=0,0,IF(C231&gt;=CALL_LOOKUP_BOARD!$B$7,IF(OR(K231="Problem Call",K231="Explosive Alert"),10000000,20000000),0)+IF(C231&gt;=CALL_LOOKUP_BOARD!$B$7,J231*1000+MIN(C231,999),C231*1000+J231)+0.00995400)</f>
        <v>1094.009954</v>
      </c>
      <c r="U231" s="2">
        <f>IF(C231=0,"",IF(COUNTIFS($S$186:$S$367,SUBSTITUTE(SUBSTITUTE(SUBSTITUTE(S231,"~","~~"),"*","~*"),"?","~?"),$T$186:$T$367,"&gt;"&amp;T231)=0,S231,""))</f>
        <v/>
      </c>
    </row>
    <row r="232" spans="1:21" ht="38" customHeight="1">
      <c r="A232" s="8" t="s">
        <v>140</v>
      </c>
      <c r="B232" s="8" t="s">
        <v>63</v>
      </c>
      <c r="C232" s="12">
        <f>COUNTIFS('DEF_SELF_SCOUT_IMPORT'!$L$42:$L$1040,"Y",'DEF_SELF_SCOUT_IMPORT'!$E$42:$E$1040,SUBSTITUTE(SUBSTITUTE(SUBSTITUTE($B232,"~","~~"),"*","~*"),"?","~?"),'DEF_SELF_SCOUT_IMPORT'!$Q$42:$Q$1040,SUBSTITUTE(SUBSTITUTE(SUBSTITUTE($M232,"~","~~"),"*","~*"),"?","~?"),'DEF_SELF_SCOUT_IMPORT'!$F$42:$F$1040,SUBSTITUTE(SUBSTITUTE(SUBSTITUTE($N232,"~","~~"),"*","~*"),"?","~?"))</f>
        <v>2</v>
      </c>
      <c r="D232" s="10">
        <f>IF($C232=0,"",SUMIFS('DEF_SELF_SCOUT_IMPORT'!$J$42:$J$1040,'DEF_SELF_SCOUT_IMPORT'!$L$42:$L$1040,"Y",'DEF_SELF_SCOUT_IMPORT'!$E$42:$E$1040,SUBSTITUTE(SUBSTITUTE(SUBSTITUTE($B232,"~","~~"),"*","~*"),"?","~?"),'DEF_SELF_SCOUT_IMPORT'!$Q$42:$Q$1040,SUBSTITUTE(SUBSTITUTE(SUBSTITUTE($M232,"~","~~"),"*","~*"),"?","~?"),'DEF_SELF_SCOUT_IMPORT'!$F$42:$F$1040,SUBSTITUTE(SUBSTITUTE(SUBSTITUTE($N232,"~","~~"),"*","~*"),"?","~?"))/$C232)</f>
        <v>0.0</v>
      </c>
      <c r="E232" s="10">
        <f>IF($C232=0,"",SUMIFS('DEF_SELF_SCOUT_IMPORT'!$K$42:$K$1040,'DEF_SELF_SCOUT_IMPORT'!$L$42:$L$1040,"Y",'DEF_SELF_SCOUT_IMPORT'!$E$42:$E$1040,SUBSTITUTE(SUBSTITUTE(SUBSTITUTE($B232,"~","~~"),"*","~*"),"?","~?"),'DEF_SELF_SCOUT_IMPORT'!$Q$42:$Q$1040,SUBSTITUTE(SUBSTITUTE(SUBSTITUTE($M232,"~","~~"),"*","~*"),"?","~?"),'DEF_SELF_SCOUT_IMPORT'!$F$42:$F$1040,SUBSTITUTE(SUBSTITUTE(SUBSTITUTE($N232,"~","~~"),"*","~*"),"?","~?"))/$C232)</f>
        <v>0.5</v>
      </c>
      <c r="F232" s="11">
        <f>IF($C232=0,"",AVERAGEIFS('DEF_SELF_SCOUT_IMPORT'!$I$42:$I$1040,'DEF_SELF_SCOUT_IMPORT'!$L$42:$L$1040,"Y",'DEF_SELF_SCOUT_IMPORT'!$E$42:$E$1040,SUBSTITUTE(SUBSTITUTE(SUBSTITUTE($B232,"~","~~"),"*","~*"),"?","~?"),'DEF_SELF_SCOUT_IMPORT'!$Q$42:$Q$1040,SUBSTITUTE(SUBSTITUTE(SUBSTITUTE($M232,"~","~~"),"*","~*"),"?","~?"),'DEF_SELF_SCOUT_IMPORT'!$F$42:$F$1040,SUBSTITUTE(SUBSTITUTE(SUBSTITUTE($N232,"~","~~"),"*","~*"),"?","~?")))</f>
        <v>18.5</v>
      </c>
      <c r="G232" s="10">
        <f>IF($C232=0,"",COUNTIFS('DEF_SELF_SCOUT_IMPORT'!$L$42:$L$1040,"Y",'DEF_SELF_SCOUT_IMPORT'!$E$42:$E$1040,SUBSTITUTE(SUBSTITUTE(SUBSTITUTE($B232,"~","~~"),"*","~*"),"?","~?"),'DEF_SELF_SCOUT_IMPORT'!$Q$42:$Q$1040,SUBSTITUTE(SUBSTITUTE(SUBSTITUTE($M232,"~","~~"),"*","~*"),"?","~?"),'DEF_SELF_SCOUT_IMPORT'!$F$42:$F$1040,SUBSTITUTE(SUBSTITUTE(SUBSTITUTE($N232,"~","~~"),"*","~*"),"?","~?"),'DEF_SELF_SCOUT_IMPORT'!$H$42:$H$1040,"RUSH")/$C232)</f>
        <v>0.0</v>
      </c>
      <c r="H232" s="10">
        <f>IF($C232=0,"",COUNTIFS('DEF_SELF_SCOUT_IMPORT'!$L$42:$L$1040,"Y",'DEF_SELF_SCOUT_IMPORT'!$E$42:$E$1040,SUBSTITUTE(SUBSTITUTE(SUBSTITUTE($B232,"~","~~"),"*","~*"),"?","~?"),'DEF_SELF_SCOUT_IMPORT'!$Q$42:$Q$1040,SUBSTITUTE(SUBSTITUTE(SUBSTITUTE($M232,"~","~~"),"*","~*"),"?","~?"),'DEF_SELF_SCOUT_IMPORT'!$F$42:$F$1040,SUBSTITUTE(SUBSTITUTE(SUBSTITUTE($N232,"~","~~"),"*","~*"),"?","~?"),'DEF_SELF_SCOUT_IMPORT'!$H$42:$H$1040,"DROPBACK")/$C232)</f>
        <v>1.0</v>
      </c>
      <c r="I232" s="14" t="str">
        <f>IF(C232=0,"",IF(C232&lt;=2,"TRACK",IF(C232=3,"LOW",IF(C232&lt;=6,"MEDIUM","HIGH"))))</f>
        <v>TRACK</v>
      </c>
      <c r="J232" s="11">
        <f>IF(C232=0,"",ROUND(D232*70+(1-E232)*20+MAX(0,MIN(1,(10-F232)/10))*10,1))</f>
        <v>10.0</v>
      </c>
      <c r="K232" s="14" t="str">
        <f>IF(C232=0,"No Evidence",IF(C232&lt;=2,IF(E232&gt;0,"Explosive Alert","Track Only"),IF(C232=3,"Sample Watch",IF(E232&gt;=START_HERE!$B$31,"Explosive Alert",IF(J232&gt;=80,"Strong Candidate",IF(J232&gt;=65,"Good Candidate",IF(J232&gt;=50,"Mixed / Review","Problem Call")))))))</f>
        <v>Explosive Alert</v>
      </c>
      <c r="L232" s="9" t="str">
        <f>IF(COUNTIFS('DEF_SELF_SCOUT_IMPORT'!$L$42:$L$1040,"Y",'DEF_SELF_SCOUT_IMPORT'!$E$42:$E$1040,SUBSTITUTE(SUBSTITUTE(SUBSTITUTE($B232,"~","~~"),"*","~*"),"?","~?"),'DEF_SELF_SCOUT_IMPORT'!$Q$42:$Q$1040,SUBSTITUTE(SUBSTITUTE(SUBSTITUTE($M232,"~","~~"),"*","~*"),"?","~?"),'DEF_SELF_SCOUT_IMPORT'!$F$42:$F$1040,SUBSTITUTE(SUBSTITUTE(SUBSTITUTE($N232,"~","~~"),"*","~*"),"?","~?"),'DEF_SELF_SCOUT_IMPORT'!$J$42:$J$1040,"")&gt;0,"Unscored clean outcome; review result tags before using score.",IF(C232=0,"No matching defensive reps; film confirmation needed.",IF(K232="Explosive Alert","Explosive risk; review clips before using as answer.",IF(C232&lt;=2,"Track only; not enough sample.",IF(C232=3,IF(E232&gt;0,"Sample watch with explosive exposure; review clips and build the sample.",IF(J232&gt;=65,"Good signal, but sample is limited.","Sample watch; review clips and build the sample.")),IF(K232="Problem Call","Problem area; practice or call-sheet review.",IF(K232="Strong Candidate","Strong call-fit candidate; confirm on film.",IF(K232="Good Candidate","Good call-fit signal; confirm on film.","Mixed signal; review fit and execution on film."))))))))</f>
        <v>Explosive risk; review clips before using as answer.</v>
      </c>
      <c r="M232" s="8" t="s">
        <v>70</v>
      </c>
      <c r="N232" s="8" t="s">
        <v>120</v>
      </c>
      <c r="O232" s="8"/>
      <c r="P232" s="8"/>
      <c r="Q232" s="8"/>
      <c r="R232" s="8" t="s">
        <v>28</v>
      </c>
      <c r="S232" s="2" t="s">
        <v>141</v>
      </c>
      <c r="T232" s="2">
        <f>IF(C232=0,0,IF(C232&gt;=CALL_LOOKUP_BOARD!$B$7,IF(OR(K232="Problem Call",K232="Explosive Alert"),10000000,20000000),0)+IF(C232&gt;=CALL_LOOKUP_BOARD!$B$7,J232*1000+MIN(C232,999),C232*1000+J232)+0.00995300)</f>
        <v>2010.009953</v>
      </c>
      <c r="U232" s="2">
        <f>IF(C232=0,"",IF(COUNTIFS($S$186:$S$367,SUBSTITUTE(SUBSTITUTE(SUBSTITUTE(S232,"~","~~"),"*","~*"),"?","~?"),$T$186:$T$367,"&gt;"&amp;T232)=0,S232,""))</f>
        <v/>
      </c>
    </row>
    <row r="233" spans="1:21" ht="38" customHeight="1">
      <c r="A233" s="8" t="s">
        <v>140</v>
      </c>
      <c r="B233" s="8" t="s">
        <v>74</v>
      </c>
      <c r="C233" s="12">
        <f>COUNTIFS('DEF_SELF_SCOUT_IMPORT'!$L$42:$L$1040,"Y",'DEF_SELF_SCOUT_IMPORT'!$E$42:$E$1040,SUBSTITUTE(SUBSTITUTE(SUBSTITUTE($B233,"~","~~"),"*","~*"),"?","~?"),'DEF_SELF_SCOUT_IMPORT'!$Q$42:$Q$1040,SUBSTITUTE(SUBSTITUTE(SUBSTITUTE($M233,"~","~~"),"*","~*"),"?","~?"),'DEF_SELF_SCOUT_IMPORT'!$F$42:$F$1040,SUBSTITUTE(SUBSTITUTE(SUBSTITUTE($N233,"~","~~"),"*","~*"),"?","~?"))</f>
        <v>1</v>
      </c>
      <c r="D233" s="10">
        <f>IF($C233=0,"",SUMIFS('DEF_SELF_SCOUT_IMPORT'!$J$42:$J$1040,'DEF_SELF_SCOUT_IMPORT'!$L$42:$L$1040,"Y",'DEF_SELF_SCOUT_IMPORT'!$E$42:$E$1040,SUBSTITUTE(SUBSTITUTE(SUBSTITUTE($B233,"~","~~"),"*","~*"),"?","~?"),'DEF_SELF_SCOUT_IMPORT'!$Q$42:$Q$1040,SUBSTITUTE(SUBSTITUTE(SUBSTITUTE($M233,"~","~~"),"*","~*"),"?","~?"),'DEF_SELF_SCOUT_IMPORT'!$F$42:$F$1040,SUBSTITUTE(SUBSTITUTE(SUBSTITUTE($N233,"~","~~"),"*","~*"),"?","~?"))/$C233)</f>
        <v>1.0</v>
      </c>
      <c r="E233" s="10">
        <f>IF($C233=0,"",SUMIFS('DEF_SELF_SCOUT_IMPORT'!$K$42:$K$1040,'DEF_SELF_SCOUT_IMPORT'!$L$42:$L$1040,"Y",'DEF_SELF_SCOUT_IMPORT'!$E$42:$E$1040,SUBSTITUTE(SUBSTITUTE(SUBSTITUTE($B233,"~","~~"),"*","~*"),"?","~?"),'DEF_SELF_SCOUT_IMPORT'!$Q$42:$Q$1040,SUBSTITUTE(SUBSTITUTE(SUBSTITUTE($M233,"~","~~"),"*","~*"),"?","~?"),'DEF_SELF_SCOUT_IMPORT'!$F$42:$F$1040,SUBSTITUTE(SUBSTITUTE(SUBSTITUTE($N233,"~","~~"),"*","~*"),"?","~?"))/$C233)</f>
        <v>0.0</v>
      </c>
      <c r="F233" s="11">
        <f>IF($C233=0,"",AVERAGEIFS('DEF_SELF_SCOUT_IMPORT'!$I$42:$I$1040,'DEF_SELF_SCOUT_IMPORT'!$L$42:$L$1040,"Y",'DEF_SELF_SCOUT_IMPORT'!$E$42:$E$1040,SUBSTITUTE(SUBSTITUTE(SUBSTITUTE($B233,"~","~~"),"*","~*"),"?","~?"),'DEF_SELF_SCOUT_IMPORT'!$Q$42:$Q$1040,SUBSTITUTE(SUBSTITUTE(SUBSTITUTE($M233,"~","~~"),"*","~*"),"?","~?"),'DEF_SELF_SCOUT_IMPORT'!$F$42:$F$1040,SUBSTITUTE(SUBSTITUTE(SUBSTITUTE($N233,"~","~~"),"*","~*"),"?","~?")))</f>
        <v>-8.0</v>
      </c>
      <c r="G233" s="10">
        <f>IF($C233=0,"",COUNTIFS('DEF_SELF_SCOUT_IMPORT'!$L$42:$L$1040,"Y",'DEF_SELF_SCOUT_IMPORT'!$E$42:$E$1040,SUBSTITUTE(SUBSTITUTE(SUBSTITUTE($B233,"~","~~"),"*","~*"),"?","~?"),'DEF_SELF_SCOUT_IMPORT'!$Q$42:$Q$1040,SUBSTITUTE(SUBSTITUTE(SUBSTITUTE($M233,"~","~~"),"*","~*"),"?","~?"),'DEF_SELF_SCOUT_IMPORT'!$F$42:$F$1040,SUBSTITUTE(SUBSTITUTE(SUBSTITUTE($N233,"~","~~"),"*","~*"),"?","~?"),'DEF_SELF_SCOUT_IMPORT'!$H$42:$H$1040,"RUSH")/$C233)</f>
        <v>0.0</v>
      </c>
      <c r="H233" s="10">
        <f>IF($C233=0,"",COUNTIFS('DEF_SELF_SCOUT_IMPORT'!$L$42:$L$1040,"Y",'DEF_SELF_SCOUT_IMPORT'!$E$42:$E$1040,SUBSTITUTE(SUBSTITUTE(SUBSTITUTE($B233,"~","~~"),"*","~*"),"?","~?"),'DEF_SELF_SCOUT_IMPORT'!$Q$42:$Q$1040,SUBSTITUTE(SUBSTITUTE(SUBSTITUTE($M233,"~","~~"),"*","~*"),"?","~?"),'DEF_SELF_SCOUT_IMPORT'!$F$42:$F$1040,SUBSTITUTE(SUBSTITUTE(SUBSTITUTE($N233,"~","~~"),"*","~*"),"?","~?"),'DEF_SELF_SCOUT_IMPORT'!$H$42:$H$1040,"DROPBACK")/$C233)</f>
        <v>1.0</v>
      </c>
      <c r="I233" s="14" t="str">
        <f>IF(C233=0,"",IF(C233&lt;=2,"TRACK",IF(C233=3,"LOW",IF(C233&lt;=6,"MEDIUM","HIGH"))))</f>
        <v>TRACK</v>
      </c>
      <c r="J233" s="11">
        <f>IF(C233=0,"",ROUND(D233*70+(1-E233)*20+MAX(0,MIN(1,(10-F233)/10))*10,1))</f>
        <v>100.0</v>
      </c>
      <c r="K233" s="14" t="str">
        <f>IF(C233=0,"No Evidence",IF(C233&lt;=2,IF(E233&gt;0,"Explosive Alert","Track Only"),IF(C233=3,"Sample Watch",IF(E233&gt;=START_HERE!$B$31,"Explosive Alert",IF(J233&gt;=80,"Strong Candidate",IF(J233&gt;=65,"Good Candidate",IF(J233&gt;=50,"Mixed / Review","Problem Call")))))))</f>
        <v>Track Only</v>
      </c>
      <c r="L233" s="9" t="str">
        <f>IF(COUNTIFS('DEF_SELF_SCOUT_IMPORT'!$L$42:$L$1040,"Y",'DEF_SELF_SCOUT_IMPORT'!$E$42:$E$1040,SUBSTITUTE(SUBSTITUTE(SUBSTITUTE($B233,"~","~~"),"*","~*"),"?","~?"),'DEF_SELF_SCOUT_IMPORT'!$Q$42:$Q$1040,SUBSTITUTE(SUBSTITUTE(SUBSTITUTE($M233,"~","~~"),"*","~*"),"?","~?"),'DEF_SELF_SCOUT_IMPORT'!$F$42:$F$1040,SUBSTITUTE(SUBSTITUTE(SUBSTITUTE($N233,"~","~~"),"*","~*"),"?","~?"),'DEF_SELF_SCOUT_IMPORT'!$J$42:$J$1040,"")&gt;0,"Unscored clean outcome; review result tags before using score.",IF(C233=0,"No matching defensive reps; film confirmation needed.",IF(K233="Explosive Alert","Explosive risk; review clips before using as answer.",IF(C233&lt;=2,"Track only; not enough sample.",IF(C233=3,IF(E233&gt;0,"Sample watch with explosive exposure; review clips and build the sample.",IF(J233&gt;=65,"Good signal, but sample is limited.","Sample watch; review clips and build the sample.")),IF(K233="Problem Call","Problem area; practice or call-sheet review.",IF(K233="Strong Candidate","Strong call-fit candidate; confirm on film.",IF(K233="Good Candidate","Good call-fit signal; confirm on film.","Mixed signal; review fit and execution on film."))))))))</f>
        <v>Track only; not enough sample.</v>
      </c>
      <c r="M233" s="8" t="s">
        <v>70</v>
      </c>
      <c r="N233" s="8" t="s">
        <v>120</v>
      </c>
      <c r="O233" s="8"/>
      <c r="P233" s="8"/>
      <c r="Q233" s="8"/>
      <c r="R233" s="8" t="s">
        <v>28</v>
      </c>
      <c r="S233" s="2" t="s">
        <v>141</v>
      </c>
      <c r="T233" s="2">
        <f>IF(C233=0,0,IF(C233&gt;=CALL_LOOKUP_BOARD!$B$7,IF(OR(K233="Problem Call",K233="Explosive Alert"),10000000,20000000),0)+IF(C233&gt;=CALL_LOOKUP_BOARD!$B$7,J233*1000+MIN(C233,999),C233*1000+J233)+0.00995200)</f>
        <v>1100.009952</v>
      </c>
      <c r="U233" s="2">
        <f>IF(C233=0,"",IF(COUNTIFS($S$186:$S$367,SUBSTITUTE(SUBSTITUTE(SUBSTITUTE(S233,"~","~~"),"*","~*"),"?","~?"),$T$186:$T$367,"&gt;"&amp;T233)=0,S233,""))</f>
        <v/>
      </c>
    </row>
    <row r="234" spans="1:21" ht="38" customHeight="1">
      <c r="A234" s="8" t="s">
        <v>140</v>
      </c>
      <c r="B234" s="8" t="s">
        <v>68</v>
      </c>
      <c r="C234" s="12">
        <f>COUNTIFS('DEF_SELF_SCOUT_IMPORT'!$L$42:$L$1040,"Y",'DEF_SELF_SCOUT_IMPORT'!$E$42:$E$1040,SUBSTITUTE(SUBSTITUTE(SUBSTITUTE($B234,"~","~~"),"*","~*"),"?","~?"),'DEF_SELF_SCOUT_IMPORT'!$Q$42:$Q$1040,SUBSTITUTE(SUBSTITUTE(SUBSTITUTE($M234,"~","~~"),"*","~*"),"?","~?"),'DEF_SELF_SCOUT_IMPORT'!$F$42:$F$1040,SUBSTITUTE(SUBSTITUTE(SUBSTITUTE($N234,"~","~~"),"*","~*"),"?","~?"))</f>
        <v>1</v>
      </c>
      <c r="D234" s="10">
        <f>IF($C234=0,"",SUMIFS('DEF_SELF_SCOUT_IMPORT'!$J$42:$J$1040,'DEF_SELF_SCOUT_IMPORT'!$L$42:$L$1040,"Y",'DEF_SELF_SCOUT_IMPORT'!$E$42:$E$1040,SUBSTITUTE(SUBSTITUTE(SUBSTITUTE($B234,"~","~~"),"*","~*"),"?","~?"),'DEF_SELF_SCOUT_IMPORT'!$Q$42:$Q$1040,SUBSTITUTE(SUBSTITUTE(SUBSTITUTE($M234,"~","~~"),"*","~*"),"?","~?"),'DEF_SELF_SCOUT_IMPORT'!$F$42:$F$1040,SUBSTITUTE(SUBSTITUTE(SUBSTITUTE($N234,"~","~~"),"*","~*"),"?","~?"))/$C234)</f>
        <v>0.0</v>
      </c>
      <c r="E234" s="10">
        <f>IF($C234=0,"",SUMIFS('DEF_SELF_SCOUT_IMPORT'!$K$42:$K$1040,'DEF_SELF_SCOUT_IMPORT'!$L$42:$L$1040,"Y",'DEF_SELF_SCOUT_IMPORT'!$E$42:$E$1040,SUBSTITUTE(SUBSTITUTE(SUBSTITUTE($B234,"~","~~"),"*","~*"),"?","~?"),'DEF_SELF_SCOUT_IMPORT'!$Q$42:$Q$1040,SUBSTITUTE(SUBSTITUTE(SUBSTITUTE($M234,"~","~~"),"*","~*"),"?","~?"),'DEF_SELF_SCOUT_IMPORT'!$F$42:$F$1040,SUBSTITUTE(SUBSTITUTE(SUBSTITUTE($N234,"~","~~"),"*","~*"),"?","~?"))/$C234)</f>
        <v>0.0</v>
      </c>
      <c r="F234" s="11">
        <f>IF($C234=0,"",AVERAGEIFS('DEF_SELF_SCOUT_IMPORT'!$I$42:$I$1040,'DEF_SELF_SCOUT_IMPORT'!$L$42:$L$1040,"Y",'DEF_SELF_SCOUT_IMPORT'!$E$42:$E$1040,SUBSTITUTE(SUBSTITUTE(SUBSTITUTE($B234,"~","~~"),"*","~*"),"?","~?"),'DEF_SELF_SCOUT_IMPORT'!$Q$42:$Q$1040,SUBSTITUTE(SUBSTITUTE(SUBSTITUTE($M234,"~","~~"),"*","~*"),"?","~?"),'DEF_SELF_SCOUT_IMPORT'!$F$42:$F$1040,SUBSTITUTE(SUBSTITUTE(SUBSTITUTE($N234,"~","~~"),"*","~*"),"?","~?")))</f>
        <v>5.0</v>
      </c>
      <c r="G234" s="10">
        <f>IF($C234=0,"",COUNTIFS('DEF_SELF_SCOUT_IMPORT'!$L$42:$L$1040,"Y",'DEF_SELF_SCOUT_IMPORT'!$E$42:$E$1040,SUBSTITUTE(SUBSTITUTE(SUBSTITUTE($B234,"~","~~"),"*","~*"),"?","~?"),'DEF_SELF_SCOUT_IMPORT'!$Q$42:$Q$1040,SUBSTITUTE(SUBSTITUTE(SUBSTITUTE($M234,"~","~~"),"*","~*"),"?","~?"),'DEF_SELF_SCOUT_IMPORT'!$F$42:$F$1040,SUBSTITUTE(SUBSTITUTE(SUBSTITUTE($N234,"~","~~"),"*","~*"),"?","~?"),'DEF_SELF_SCOUT_IMPORT'!$H$42:$H$1040,"RUSH")/$C234)</f>
        <v>1.0</v>
      </c>
      <c r="H234" s="10">
        <f>IF($C234=0,"",COUNTIFS('DEF_SELF_SCOUT_IMPORT'!$L$42:$L$1040,"Y",'DEF_SELF_SCOUT_IMPORT'!$E$42:$E$1040,SUBSTITUTE(SUBSTITUTE(SUBSTITUTE($B234,"~","~~"),"*","~*"),"?","~?"),'DEF_SELF_SCOUT_IMPORT'!$Q$42:$Q$1040,SUBSTITUTE(SUBSTITUTE(SUBSTITUTE($M234,"~","~~"),"*","~*"),"?","~?"),'DEF_SELF_SCOUT_IMPORT'!$F$42:$F$1040,SUBSTITUTE(SUBSTITUTE(SUBSTITUTE($N234,"~","~~"),"*","~*"),"?","~?"),'DEF_SELF_SCOUT_IMPORT'!$H$42:$H$1040,"DROPBACK")/$C234)</f>
        <v>0.0</v>
      </c>
      <c r="I234" s="14" t="str">
        <f>IF(C234=0,"",IF(C234&lt;=2,"TRACK",IF(C234=3,"LOW",IF(C234&lt;=6,"MEDIUM","HIGH"))))</f>
        <v>TRACK</v>
      </c>
      <c r="J234" s="11">
        <f>IF(C234=0,"",ROUND(D234*70+(1-E234)*20+MAX(0,MIN(1,(10-F234)/10))*10,1))</f>
        <v>25.0</v>
      </c>
      <c r="K234" s="14" t="str">
        <f>IF(C234=0,"No Evidence",IF(C234&lt;=2,IF(E234&gt;0,"Explosive Alert","Track Only"),IF(C234=3,"Sample Watch",IF(E234&gt;=START_HERE!$B$31,"Explosive Alert",IF(J234&gt;=80,"Strong Candidate",IF(J234&gt;=65,"Good Candidate",IF(J234&gt;=50,"Mixed / Review","Problem Call")))))))</f>
        <v>Track Only</v>
      </c>
      <c r="L234" s="9" t="str">
        <f>IF(COUNTIFS('DEF_SELF_SCOUT_IMPORT'!$L$42:$L$1040,"Y",'DEF_SELF_SCOUT_IMPORT'!$E$42:$E$1040,SUBSTITUTE(SUBSTITUTE(SUBSTITUTE($B234,"~","~~"),"*","~*"),"?","~?"),'DEF_SELF_SCOUT_IMPORT'!$Q$42:$Q$1040,SUBSTITUTE(SUBSTITUTE(SUBSTITUTE($M234,"~","~~"),"*","~*"),"?","~?"),'DEF_SELF_SCOUT_IMPORT'!$F$42:$F$1040,SUBSTITUTE(SUBSTITUTE(SUBSTITUTE($N234,"~","~~"),"*","~*"),"?","~?"),'DEF_SELF_SCOUT_IMPORT'!$J$42:$J$1040,"")&gt;0,"Unscored clean outcome; review result tags before using score.",IF(C234=0,"No matching defensive reps; film confirmation needed.",IF(K234="Explosive Alert","Explosive risk; review clips before using as answer.",IF(C234&lt;=2,"Track only; not enough sample.",IF(C234=3,IF(E234&gt;0,"Sample watch with explosive exposure; review clips and build the sample.",IF(J234&gt;=65,"Good signal, but sample is limited.","Sample watch; review clips and build the sample.")),IF(K234="Problem Call","Problem area; practice or call-sheet review.",IF(K234="Strong Candidate","Strong call-fit candidate; confirm on film.",IF(K234="Good Candidate","Good call-fit signal; confirm on film.","Mixed signal; review fit and execution on film."))))))))</f>
        <v>Track only; not enough sample.</v>
      </c>
      <c r="M234" s="8" t="s">
        <v>70</v>
      </c>
      <c r="N234" s="8" t="s">
        <v>120</v>
      </c>
      <c r="O234" s="8"/>
      <c r="P234" s="8"/>
      <c r="Q234" s="8"/>
      <c r="R234" s="8" t="s">
        <v>28</v>
      </c>
      <c r="S234" s="2" t="s">
        <v>141</v>
      </c>
      <c r="T234" s="2">
        <f>IF(C234=0,0,IF(C234&gt;=CALL_LOOKUP_BOARD!$B$7,IF(OR(K234="Problem Call",K234="Explosive Alert"),10000000,20000000),0)+IF(C234&gt;=CALL_LOOKUP_BOARD!$B$7,J234*1000+MIN(C234,999),C234*1000+J234)+0.00995100)</f>
        <v>1025.009951</v>
      </c>
      <c r="U234" s="2">
        <f>IF(C234=0,"",IF(COUNTIFS($S$186:$S$367,SUBSTITUTE(SUBSTITUTE(SUBSTITUTE(S234,"~","~~"),"*","~*"),"?","~?"),$T$186:$T$367,"&gt;"&amp;T234)=0,S234,""))</f>
        <v/>
      </c>
    </row>
    <row r="235" spans="1:21" ht="38" customHeight="1">
      <c r="A235" s="8" t="s">
        <v>140</v>
      </c>
      <c r="B235" s="8" t="s">
        <v>75</v>
      </c>
      <c r="C235" s="12">
        <f>COUNTIFS('DEF_SELF_SCOUT_IMPORT'!$L$42:$L$1040,"Y",'DEF_SELF_SCOUT_IMPORT'!$E$42:$E$1040,SUBSTITUTE(SUBSTITUTE(SUBSTITUTE($B235,"~","~~"),"*","~*"),"?","~?"),'DEF_SELF_SCOUT_IMPORT'!$Q$42:$Q$1040,SUBSTITUTE(SUBSTITUTE(SUBSTITUTE($M235,"~","~~"),"*","~*"),"?","~?"),'DEF_SELF_SCOUT_IMPORT'!$F$42:$F$1040,SUBSTITUTE(SUBSTITUTE(SUBSTITUTE($N235,"~","~~"),"*","~*"),"?","~?"))</f>
        <v>1</v>
      </c>
      <c r="D235" s="10">
        <f>IF($C235=0,"",SUMIFS('DEF_SELF_SCOUT_IMPORT'!$J$42:$J$1040,'DEF_SELF_SCOUT_IMPORT'!$L$42:$L$1040,"Y",'DEF_SELF_SCOUT_IMPORT'!$E$42:$E$1040,SUBSTITUTE(SUBSTITUTE(SUBSTITUTE($B235,"~","~~"),"*","~*"),"?","~?"),'DEF_SELF_SCOUT_IMPORT'!$Q$42:$Q$1040,SUBSTITUTE(SUBSTITUTE(SUBSTITUTE($M235,"~","~~"),"*","~*"),"?","~?"),'DEF_SELF_SCOUT_IMPORT'!$F$42:$F$1040,SUBSTITUTE(SUBSTITUTE(SUBSTITUTE($N235,"~","~~"),"*","~*"),"?","~?"))/$C235)</f>
        <v>1.0</v>
      </c>
      <c r="E235" s="10">
        <f>IF($C235=0,"",SUMIFS('DEF_SELF_SCOUT_IMPORT'!$K$42:$K$1040,'DEF_SELF_SCOUT_IMPORT'!$L$42:$L$1040,"Y",'DEF_SELF_SCOUT_IMPORT'!$E$42:$E$1040,SUBSTITUTE(SUBSTITUTE(SUBSTITUTE($B235,"~","~~"),"*","~*"),"?","~?"),'DEF_SELF_SCOUT_IMPORT'!$Q$42:$Q$1040,SUBSTITUTE(SUBSTITUTE(SUBSTITUTE($M235,"~","~~"),"*","~*"),"?","~?"),'DEF_SELF_SCOUT_IMPORT'!$F$42:$F$1040,SUBSTITUTE(SUBSTITUTE(SUBSTITUTE($N235,"~","~~"),"*","~*"),"?","~?"))/$C235)</f>
        <v>0.0</v>
      </c>
      <c r="F235" s="11">
        <f>IF($C235=0,"",AVERAGEIFS('DEF_SELF_SCOUT_IMPORT'!$I$42:$I$1040,'DEF_SELF_SCOUT_IMPORT'!$L$42:$L$1040,"Y",'DEF_SELF_SCOUT_IMPORT'!$E$42:$E$1040,SUBSTITUTE(SUBSTITUTE(SUBSTITUTE($B235,"~","~~"),"*","~*"),"?","~?"),'DEF_SELF_SCOUT_IMPORT'!$Q$42:$Q$1040,SUBSTITUTE(SUBSTITUTE(SUBSTITUTE($M235,"~","~~"),"*","~*"),"?","~?"),'DEF_SELF_SCOUT_IMPORT'!$F$42:$F$1040,SUBSTITUTE(SUBSTITUTE(SUBSTITUTE($N235,"~","~~"),"*","~*"),"?","~?")))</f>
        <v>1.0</v>
      </c>
      <c r="G235" s="10">
        <f>IF($C235=0,"",COUNTIFS('DEF_SELF_SCOUT_IMPORT'!$L$42:$L$1040,"Y",'DEF_SELF_SCOUT_IMPORT'!$E$42:$E$1040,SUBSTITUTE(SUBSTITUTE(SUBSTITUTE($B235,"~","~~"),"*","~*"),"?","~?"),'DEF_SELF_SCOUT_IMPORT'!$Q$42:$Q$1040,SUBSTITUTE(SUBSTITUTE(SUBSTITUTE($M235,"~","~~"),"*","~*"),"?","~?"),'DEF_SELF_SCOUT_IMPORT'!$F$42:$F$1040,SUBSTITUTE(SUBSTITUTE(SUBSTITUTE($N235,"~","~~"),"*","~*"),"?","~?"),'DEF_SELF_SCOUT_IMPORT'!$H$42:$H$1040,"RUSH")/$C235)</f>
        <v>1.0</v>
      </c>
      <c r="H235" s="10">
        <f>IF($C235=0,"",COUNTIFS('DEF_SELF_SCOUT_IMPORT'!$L$42:$L$1040,"Y",'DEF_SELF_SCOUT_IMPORT'!$E$42:$E$1040,SUBSTITUTE(SUBSTITUTE(SUBSTITUTE($B235,"~","~~"),"*","~*"),"?","~?"),'DEF_SELF_SCOUT_IMPORT'!$Q$42:$Q$1040,SUBSTITUTE(SUBSTITUTE(SUBSTITUTE($M235,"~","~~"),"*","~*"),"?","~?"),'DEF_SELF_SCOUT_IMPORT'!$F$42:$F$1040,SUBSTITUTE(SUBSTITUTE(SUBSTITUTE($N235,"~","~~"),"*","~*"),"?","~?"),'DEF_SELF_SCOUT_IMPORT'!$H$42:$H$1040,"DROPBACK")/$C235)</f>
        <v>0.0</v>
      </c>
      <c r="I235" s="14" t="str">
        <f>IF(C235=0,"",IF(C235&lt;=2,"TRACK",IF(C235=3,"LOW",IF(C235&lt;=6,"MEDIUM","HIGH"))))</f>
        <v>TRACK</v>
      </c>
      <c r="J235" s="11">
        <f>IF(C235=0,"",ROUND(D235*70+(1-E235)*20+MAX(0,MIN(1,(10-F235)/10))*10,1))</f>
        <v>99.0</v>
      </c>
      <c r="K235" s="14" t="str">
        <f>IF(C235=0,"No Evidence",IF(C235&lt;=2,IF(E235&gt;0,"Explosive Alert","Track Only"),IF(C235=3,"Sample Watch",IF(E235&gt;=START_HERE!$B$31,"Explosive Alert",IF(J235&gt;=80,"Strong Candidate",IF(J235&gt;=65,"Good Candidate",IF(J235&gt;=50,"Mixed / Review","Problem Call")))))))</f>
        <v>Track Only</v>
      </c>
      <c r="L235" s="9" t="str">
        <f>IF(COUNTIFS('DEF_SELF_SCOUT_IMPORT'!$L$42:$L$1040,"Y",'DEF_SELF_SCOUT_IMPORT'!$E$42:$E$1040,SUBSTITUTE(SUBSTITUTE(SUBSTITUTE($B235,"~","~~"),"*","~*"),"?","~?"),'DEF_SELF_SCOUT_IMPORT'!$Q$42:$Q$1040,SUBSTITUTE(SUBSTITUTE(SUBSTITUTE($M235,"~","~~"),"*","~*"),"?","~?"),'DEF_SELF_SCOUT_IMPORT'!$F$42:$F$1040,SUBSTITUTE(SUBSTITUTE(SUBSTITUTE($N235,"~","~~"),"*","~*"),"?","~?"),'DEF_SELF_SCOUT_IMPORT'!$J$42:$J$1040,"")&gt;0,"Unscored clean outcome; review result tags before using score.",IF(C235=0,"No matching defensive reps; film confirmation needed.",IF(K235="Explosive Alert","Explosive risk; review clips before using as answer.",IF(C235&lt;=2,"Track only; not enough sample.",IF(C235=3,IF(E235&gt;0,"Sample watch with explosive exposure; review clips and build the sample.",IF(J235&gt;=65,"Good signal, but sample is limited.","Sample watch; review clips and build the sample.")),IF(K235="Problem Call","Problem area; practice or call-sheet review.",IF(K235="Strong Candidate","Strong call-fit candidate; confirm on film.",IF(K235="Good Candidate","Good call-fit signal; confirm on film.","Mixed signal; review fit and execution on film."))))))))</f>
        <v>Track only; not enough sample.</v>
      </c>
      <c r="M235" s="8" t="s">
        <v>70</v>
      </c>
      <c r="N235" s="8" t="s">
        <v>120</v>
      </c>
      <c r="O235" s="8"/>
      <c r="P235" s="8"/>
      <c r="Q235" s="8"/>
      <c r="R235" s="8" t="s">
        <v>28</v>
      </c>
      <c r="S235" s="2" t="s">
        <v>141</v>
      </c>
      <c r="T235" s="2">
        <f>IF(C235=0,0,IF(C235&gt;=CALL_LOOKUP_BOARD!$B$7,IF(OR(K235="Problem Call",K235="Explosive Alert"),10000000,20000000),0)+IF(C235&gt;=CALL_LOOKUP_BOARD!$B$7,J235*1000+MIN(C235,999),C235*1000+J235)+0.00995000)</f>
        <v>1099.00995</v>
      </c>
      <c r="U235" s="2">
        <f>IF(C235=0,"",IF(COUNTIFS($S$186:$S$367,SUBSTITUTE(SUBSTITUTE(SUBSTITUTE(S235,"~","~~"),"*","~*"),"?","~?"),$T$186:$T$367,"&gt;"&amp;T235)=0,S235,""))</f>
        <v/>
      </c>
    </row>
    <row r="236" spans="1:21" ht="38" customHeight="1">
      <c r="A236" s="8" t="s">
        <v>142</v>
      </c>
      <c r="B236" s="8" t="s">
        <v>27</v>
      </c>
      <c r="C236" s="12">
        <f>COUNTIFS('DEF_SELF_SCOUT_IMPORT'!$L$42:$L$1040,"Y",'DEF_SELF_SCOUT_IMPORT'!$E$42:$E$1040,SUBSTITUTE(SUBSTITUTE(SUBSTITUTE($B236,"~","~~"),"*","~*"),"?","~?"),'DEF_SELF_SCOUT_IMPORT'!$Q$42:$Q$1040,SUBSTITUTE(SUBSTITUTE(SUBSTITUTE($M236,"~","~~"),"*","~*"),"?","~?"),'DEF_SELF_SCOUT_IMPORT'!$F$42:$F$1040,SUBSTITUTE(SUBSTITUTE(SUBSTITUTE($N236,"~","~~"),"*","~*"),"?","~?"))</f>
        <v>1</v>
      </c>
      <c r="D236" s="10">
        <f>IF($C236=0,"",SUMIFS('DEF_SELF_SCOUT_IMPORT'!$J$42:$J$1040,'DEF_SELF_SCOUT_IMPORT'!$L$42:$L$1040,"Y",'DEF_SELF_SCOUT_IMPORT'!$E$42:$E$1040,SUBSTITUTE(SUBSTITUTE(SUBSTITUTE($B236,"~","~~"),"*","~*"),"?","~?"),'DEF_SELF_SCOUT_IMPORT'!$Q$42:$Q$1040,SUBSTITUTE(SUBSTITUTE(SUBSTITUTE($M236,"~","~~"),"*","~*"),"?","~?"),'DEF_SELF_SCOUT_IMPORT'!$F$42:$F$1040,SUBSTITUTE(SUBSTITUTE(SUBSTITUTE($N236,"~","~~"),"*","~*"),"?","~?"))/$C236)</f>
        <v>0.0</v>
      </c>
      <c r="E236" s="10">
        <f>IF($C236=0,"",SUMIFS('DEF_SELF_SCOUT_IMPORT'!$K$42:$K$1040,'DEF_SELF_SCOUT_IMPORT'!$L$42:$L$1040,"Y",'DEF_SELF_SCOUT_IMPORT'!$E$42:$E$1040,SUBSTITUTE(SUBSTITUTE(SUBSTITUTE($B236,"~","~~"),"*","~*"),"?","~?"),'DEF_SELF_SCOUT_IMPORT'!$Q$42:$Q$1040,SUBSTITUTE(SUBSTITUTE(SUBSTITUTE($M236,"~","~~"),"*","~*"),"?","~?"),'DEF_SELF_SCOUT_IMPORT'!$F$42:$F$1040,SUBSTITUTE(SUBSTITUTE(SUBSTITUTE($N236,"~","~~"),"*","~*"),"?","~?"))/$C236)</f>
        <v>0.0</v>
      </c>
      <c r="F236" s="11">
        <f>IF($C236=0,"",AVERAGEIFS('DEF_SELF_SCOUT_IMPORT'!$I$42:$I$1040,'DEF_SELF_SCOUT_IMPORT'!$L$42:$L$1040,"Y",'DEF_SELF_SCOUT_IMPORT'!$E$42:$E$1040,SUBSTITUTE(SUBSTITUTE(SUBSTITUTE($B236,"~","~~"),"*","~*"),"?","~?"),'DEF_SELF_SCOUT_IMPORT'!$Q$42:$Q$1040,SUBSTITUTE(SUBSTITUTE(SUBSTITUTE($M236,"~","~~"),"*","~*"),"?","~?"),'DEF_SELF_SCOUT_IMPORT'!$F$42:$F$1040,SUBSTITUTE(SUBSTITUTE(SUBSTITUTE($N236,"~","~~"),"*","~*"),"?","~?")))</f>
        <v>1.0</v>
      </c>
      <c r="G236" s="10">
        <f>IF($C236=0,"",COUNTIFS('DEF_SELF_SCOUT_IMPORT'!$L$42:$L$1040,"Y",'DEF_SELF_SCOUT_IMPORT'!$E$42:$E$1040,SUBSTITUTE(SUBSTITUTE(SUBSTITUTE($B236,"~","~~"),"*","~*"),"?","~?"),'DEF_SELF_SCOUT_IMPORT'!$Q$42:$Q$1040,SUBSTITUTE(SUBSTITUTE(SUBSTITUTE($M236,"~","~~"),"*","~*"),"?","~?"),'DEF_SELF_SCOUT_IMPORT'!$F$42:$F$1040,SUBSTITUTE(SUBSTITUTE(SUBSTITUTE($N236,"~","~~"),"*","~*"),"?","~?"),'DEF_SELF_SCOUT_IMPORT'!$H$42:$H$1040,"RUSH")/$C236)</f>
        <v>0.0</v>
      </c>
      <c r="H236" s="10">
        <f>IF($C236=0,"",COUNTIFS('DEF_SELF_SCOUT_IMPORT'!$L$42:$L$1040,"Y",'DEF_SELF_SCOUT_IMPORT'!$E$42:$E$1040,SUBSTITUTE(SUBSTITUTE(SUBSTITUTE($B236,"~","~~"),"*","~*"),"?","~?"),'DEF_SELF_SCOUT_IMPORT'!$Q$42:$Q$1040,SUBSTITUTE(SUBSTITUTE(SUBSTITUTE($M236,"~","~~"),"*","~*"),"?","~?"),'DEF_SELF_SCOUT_IMPORT'!$F$42:$F$1040,SUBSTITUTE(SUBSTITUTE(SUBSTITUTE($N236,"~","~~"),"*","~*"),"?","~?"),'DEF_SELF_SCOUT_IMPORT'!$H$42:$H$1040,"DROPBACK")/$C236)</f>
        <v>0.0</v>
      </c>
      <c r="I236" s="14" t="str">
        <f>IF(C236=0,"",IF(C236&lt;=2,"TRACK",IF(C236=3,"LOW",IF(C236&lt;=6,"MEDIUM","HIGH"))))</f>
        <v>TRACK</v>
      </c>
      <c r="J236" s="11">
        <f>IF(C236=0,"",ROUND(D236*70+(1-E236)*20+MAX(0,MIN(1,(10-F236)/10))*10,1))</f>
        <v>29.0</v>
      </c>
      <c r="K236" s="14" t="str">
        <f>IF(C236=0,"No Evidence",IF(C236&lt;=2,IF(E236&gt;0,"Explosive Alert","Track Only"),IF(C236=3,"Sample Watch",IF(E236&gt;=START_HERE!$B$31,"Explosive Alert",IF(J236&gt;=80,"Strong Candidate",IF(J236&gt;=65,"Good Candidate",IF(J236&gt;=50,"Mixed / Review","Problem Call")))))))</f>
        <v>Track Only</v>
      </c>
      <c r="L236" s="9" t="str">
        <f>IF(COUNTIFS('DEF_SELF_SCOUT_IMPORT'!$L$42:$L$1040,"Y",'DEF_SELF_SCOUT_IMPORT'!$E$42:$E$1040,SUBSTITUTE(SUBSTITUTE(SUBSTITUTE($B236,"~","~~"),"*","~*"),"?","~?"),'DEF_SELF_SCOUT_IMPORT'!$Q$42:$Q$1040,SUBSTITUTE(SUBSTITUTE(SUBSTITUTE($M236,"~","~~"),"*","~*"),"?","~?"),'DEF_SELF_SCOUT_IMPORT'!$F$42:$F$1040,SUBSTITUTE(SUBSTITUTE(SUBSTITUTE($N236,"~","~~"),"*","~*"),"?","~?"),'DEF_SELF_SCOUT_IMPORT'!$J$42:$J$1040,"")&gt;0,"Unscored clean outcome; review result tags before using score.",IF(C236=0,"No matching defensive reps; film confirmation needed.",IF(K236="Explosive Alert","Explosive risk; review clips before using as answer.",IF(C236&lt;=2,"Track only; not enough sample.",IF(C236=3,IF(E236&gt;0,"Sample watch with explosive exposure; review clips and build the sample.",IF(J236&gt;=65,"Good signal, but sample is limited.","Sample watch; review clips and build the sample.")),IF(K236="Problem Call","Problem area; practice or call-sheet review.",IF(K236="Strong Candidate","Strong call-fit candidate; confirm on film.",IF(K236="Good Candidate","Good call-fit signal; confirm on film.","Mixed signal; review fit and execution on film."))))))))</f>
        <v>Track only; not enough sample.</v>
      </c>
      <c r="M236" s="8" t="s">
        <v>70</v>
      </c>
      <c r="N236" s="8" t="s">
        <v>123</v>
      </c>
      <c r="O236" s="8"/>
      <c r="P236" s="8"/>
      <c r="Q236" s="8"/>
      <c r="R236" s="8" t="s">
        <v>28</v>
      </c>
      <c r="S236" s="2" t="s">
        <v>143</v>
      </c>
      <c r="T236" s="2">
        <f>IF(C236=0,0,IF(C236&gt;=CALL_LOOKUP_BOARD!$B$7,IF(OR(K236="Problem Call",K236="Explosive Alert"),10000000,20000000),0)+IF(C236&gt;=CALL_LOOKUP_BOARD!$B$7,J236*1000+MIN(C236,999),C236*1000+J236)+0.00994900)</f>
        <v>1029.009949</v>
      </c>
      <c r="U236" s="2" t="str">
        <f>IF(C236=0,"",IF(COUNTIFS($S$186:$S$367,SUBSTITUTE(SUBSTITUTE(SUBSTITUTE(S236,"~","~~"),"*","~*"),"?","~?"),$T$186:$T$367,"&gt;"&amp;T236)=0,S236,""))</f>
        <v>6:2D 1-3|2:12|</v>
      </c>
    </row>
    <row r="237" spans="1:21" ht="38" customHeight="1">
      <c r="A237" s="8" t="s">
        <v>142</v>
      </c>
      <c r="B237" s="8" t="s">
        <v>35</v>
      </c>
      <c r="C237" s="12">
        <f>COUNTIFS('DEF_SELF_SCOUT_IMPORT'!$L$42:$L$1040,"Y",'DEF_SELF_SCOUT_IMPORT'!$E$42:$E$1040,SUBSTITUTE(SUBSTITUTE(SUBSTITUTE($B237,"~","~~"),"*","~*"),"?","~?"),'DEF_SELF_SCOUT_IMPORT'!$Q$42:$Q$1040,SUBSTITUTE(SUBSTITUTE(SUBSTITUTE($M237,"~","~~"),"*","~*"),"?","~?"),'DEF_SELF_SCOUT_IMPORT'!$F$42:$F$1040,SUBSTITUTE(SUBSTITUTE(SUBSTITUTE($N237,"~","~~"),"*","~*"),"?","~?"))</f>
        <v>1</v>
      </c>
      <c r="D237" s="10">
        <f>IF($C237=0,"",SUMIFS('DEF_SELF_SCOUT_IMPORT'!$J$42:$J$1040,'DEF_SELF_SCOUT_IMPORT'!$L$42:$L$1040,"Y",'DEF_SELF_SCOUT_IMPORT'!$E$42:$E$1040,SUBSTITUTE(SUBSTITUTE(SUBSTITUTE($B237,"~","~~"),"*","~*"),"?","~?"),'DEF_SELF_SCOUT_IMPORT'!$Q$42:$Q$1040,SUBSTITUTE(SUBSTITUTE(SUBSTITUTE($M237,"~","~~"),"*","~*"),"?","~?"),'DEF_SELF_SCOUT_IMPORT'!$F$42:$F$1040,SUBSTITUTE(SUBSTITUTE(SUBSTITUTE($N237,"~","~~"),"*","~*"),"?","~?"))/$C237)</f>
        <v>0.0</v>
      </c>
      <c r="E237" s="10">
        <f>IF($C237=0,"",SUMIFS('DEF_SELF_SCOUT_IMPORT'!$K$42:$K$1040,'DEF_SELF_SCOUT_IMPORT'!$L$42:$L$1040,"Y",'DEF_SELF_SCOUT_IMPORT'!$E$42:$E$1040,SUBSTITUTE(SUBSTITUTE(SUBSTITUTE($B237,"~","~~"),"*","~*"),"?","~?"),'DEF_SELF_SCOUT_IMPORT'!$Q$42:$Q$1040,SUBSTITUTE(SUBSTITUTE(SUBSTITUTE($M237,"~","~~"),"*","~*"),"?","~?"),'DEF_SELF_SCOUT_IMPORT'!$F$42:$F$1040,SUBSTITUTE(SUBSTITUTE(SUBSTITUTE($N237,"~","~~"),"*","~*"),"?","~?"))/$C237)</f>
        <v>1.0</v>
      </c>
      <c r="F237" s="11">
        <f>IF($C237=0,"",AVERAGEIFS('DEF_SELF_SCOUT_IMPORT'!$I$42:$I$1040,'DEF_SELF_SCOUT_IMPORT'!$L$42:$L$1040,"Y",'DEF_SELF_SCOUT_IMPORT'!$E$42:$E$1040,SUBSTITUTE(SUBSTITUTE(SUBSTITUTE($B237,"~","~~"),"*","~*"),"?","~?"),'DEF_SELF_SCOUT_IMPORT'!$Q$42:$Q$1040,SUBSTITUTE(SUBSTITUTE(SUBSTITUTE($M237,"~","~~"),"*","~*"),"?","~?"),'DEF_SELF_SCOUT_IMPORT'!$F$42:$F$1040,SUBSTITUTE(SUBSTITUTE(SUBSTITUTE($N237,"~","~~"),"*","~*"),"?","~?")))</f>
        <v>16.0</v>
      </c>
      <c r="G237" s="10">
        <f>IF($C237=0,"",COUNTIFS('DEF_SELF_SCOUT_IMPORT'!$L$42:$L$1040,"Y",'DEF_SELF_SCOUT_IMPORT'!$E$42:$E$1040,SUBSTITUTE(SUBSTITUTE(SUBSTITUTE($B237,"~","~~"),"*","~*"),"?","~?"),'DEF_SELF_SCOUT_IMPORT'!$Q$42:$Q$1040,SUBSTITUTE(SUBSTITUTE(SUBSTITUTE($M237,"~","~~"),"*","~*"),"?","~?"),'DEF_SELF_SCOUT_IMPORT'!$F$42:$F$1040,SUBSTITUTE(SUBSTITUTE(SUBSTITUTE($N237,"~","~~"),"*","~*"),"?","~?"),'DEF_SELF_SCOUT_IMPORT'!$H$42:$H$1040,"RUSH")/$C237)</f>
        <v>1.0</v>
      </c>
      <c r="H237" s="10">
        <f>IF($C237=0,"",COUNTIFS('DEF_SELF_SCOUT_IMPORT'!$L$42:$L$1040,"Y",'DEF_SELF_SCOUT_IMPORT'!$E$42:$E$1040,SUBSTITUTE(SUBSTITUTE(SUBSTITUTE($B237,"~","~~"),"*","~*"),"?","~?"),'DEF_SELF_SCOUT_IMPORT'!$Q$42:$Q$1040,SUBSTITUTE(SUBSTITUTE(SUBSTITUTE($M237,"~","~~"),"*","~*"),"?","~?"),'DEF_SELF_SCOUT_IMPORT'!$F$42:$F$1040,SUBSTITUTE(SUBSTITUTE(SUBSTITUTE($N237,"~","~~"),"*","~*"),"?","~?"),'DEF_SELF_SCOUT_IMPORT'!$H$42:$H$1040,"DROPBACK")/$C237)</f>
        <v>0.0</v>
      </c>
      <c r="I237" s="14" t="str">
        <f>IF(C237=0,"",IF(C237&lt;=2,"TRACK",IF(C237=3,"LOW",IF(C237&lt;=6,"MEDIUM","HIGH"))))</f>
        <v>TRACK</v>
      </c>
      <c r="J237" s="11">
        <f>IF(C237=0,"",ROUND(D237*70+(1-E237)*20+MAX(0,MIN(1,(10-F237)/10))*10,1))</f>
        <v>0.0</v>
      </c>
      <c r="K237" s="14" t="str">
        <f>IF(C237=0,"No Evidence",IF(C237&lt;=2,IF(E237&gt;0,"Explosive Alert","Track Only"),IF(C237=3,"Sample Watch",IF(E237&gt;=START_HERE!$B$31,"Explosive Alert",IF(J237&gt;=80,"Strong Candidate",IF(J237&gt;=65,"Good Candidate",IF(J237&gt;=50,"Mixed / Review","Problem Call")))))))</f>
        <v>Explosive Alert</v>
      </c>
      <c r="L237" s="9" t="str">
        <f>IF(COUNTIFS('DEF_SELF_SCOUT_IMPORT'!$L$42:$L$1040,"Y",'DEF_SELF_SCOUT_IMPORT'!$E$42:$E$1040,SUBSTITUTE(SUBSTITUTE(SUBSTITUTE($B237,"~","~~"),"*","~*"),"?","~?"),'DEF_SELF_SCOUT_IMPORT'!$Q$42:$Q$1040,SUBSTITUTE(SUBSTITUTE(SUBSTITUTE($M237,"~","~~"),"*","~*"),"?","~?"),'DEF_SELF_SCOUT_IMPORT'!$F$42:$F$1040,SUBSTITUTE(SUBSTITUTE(SUBSTITUTE($N237,"~","~~"),"*","~*"),"?","~?"),'DEF_SELF_SCOUT_IMPORT'!$J$42:$J$1040,"")&gt;0,"Unscored clean outcome; review result tags before using score.",IF(C237=0,"No matching defensive reps; film confirmation needed.",IF(K237="Explosive Alert","Explosive risk; review clips before using as answer.",IF(C237&lt;=2,"Track only; not enough sample.",IF(C237=3,IF(E237&gt;0,"Sample watch with explosive exposure; review clips and build the sample.",IF(J237&gt;=65,"Good signal, but sample is limited.","Sample watch; review clips and build the sample.")),IF(K237="Problem Call","Problem area; practice or call-sheet review.",IF(K237="Strong Candidate","Strong call-fit candidate; confirm on film.",IF(K237="Good Candidate","Good call-fit signal; confirm on film.","Mixed signal; review fit and execution on film."))))))))</f>
        <v>Explosive risk; review clips before using as answer.</v>
      </c>
      <c r="M237" s="8" t="s">
        <v>70</v>
      </c>
      <c r="N237" s="8" t="s">
        <v>123</v>
      </c>
      <c r="O237" s="8"/>
      <c r="P237" s="8"/>
      <c r="Q237" s="8"/>
      <c r="R237" s="8" t="s">
        <v>28</v>
      </c>
      <c r="S237" s="2" t="s">
        <v>143</v>
      </c>
      <c r="T237" s="2">
        <f>IF(C237=0,0,IF(C237&gt;=CALL_LOOKUP_BOARD!$B$7,IF(OR(K237="Problem Call",K237="Explosive Alert"),10000000,20000000),0)+IF(C237&gt;=CALL_LOOKUP_BOARD!$B$7,J237*1000+MIN(C237,999),C237*1000+J237)+0.00994800)</f>
        <v>1000.009948</v>
      </c>
      <c r="U237" s="2">
        <f>IF(C237=0,"",IF(COUNTIFS($S$186:$S$367,SUBSTITUTE(SUBSTITUTE(SUBSTITUTE(S237,"~","~~"),"*","~*"),"?","~?"),$T$186:$T$367,"&gt;"&amp;T237)=0,S237,""))</f>
        <v/>
      </c>
    </row>
    <row r="238" spans="1:21" ht="38" customHeight="1">
      <c r="A238" s="8" t="s">
        <v>144</v>
      </c>
      <c r="B238" s="8" t="s">
        <v>30</v>
      </c>
      <c r="C238" s="12">
        <f>COUNTIFS('DEF_SELF_SCOUT_IMPORT'!$L$42:$L$1040,"Y",'DEF_SELF_SCOUT_IMPORT'!$E$42:$E$1040,SUBSTITUTE(SUBSTITUTE(SUBSTITUTE($B238,"~","~~"),"*","~*"),"?","~?"),'DEF_SELF_SCOUT_IMPORT'!$Q$42:$Q$1040,SUBSTITUTE(SUBSTITUTE(SUBSTITUTE($M238,"~","~~"),"*","~*"),"?","~?"),'DEF_SELF_SCOUT_IMPORT'!$F$42:$F$1040,SUBSTITUTE(SUBSTITUTE(SUBSTITUTE($N238,"~","~~"),"*","~*"),"?","~?"))</f>
        <v>1</v>
      </c>
      <c r="D238" s="10">
        <f>IF($C238=0,"",SUMIFS('DEF_SELF_SCOUT_IMPORT'!$J$42:$J$1040,'DEF_SELF_SCOUT_IMPORT'!$L$42:$L$1040,"Y",'DEF_SELF_SCOUT_IMPORT'!$E$42:$E$1040,SUBSTITUTE(SUBSTITUTE(SUBSTITUTE($B238,"~","~~"),"*","~*"),"?","~?"),'DEF_SELF_SCOUT_IMPORT'!$Q$42:$Q$1040,SUBSTITUTE(SUBSTITUTE(SUBSTITUTE($M238,"~","~~"),"*","~*"),"?","~?"),'DEF_SELF_SCOUT_IMPORT'!$F$42:$F$1040,SUBSTITUTE(SUBSTITUTE(SUBSTITUTE($N238,"~","~~"),"*","~*"),"?","~?"))/$C238)</f>
        <v>0.0</v>
      </c>
      <c r="E238" s="10">
        <f>IF($C238=0,"",SUMIFS('DEF_SELF_SCOUT_IMPORT'!$K$42:$K$1040,'DEF_SELF_SCOUT_IMPORT'!$L$42:$L$1040,"Y",'DEF_SELF_SCOUT_IMPORT'!$E$42:$E$1040,SUBSTITUTE(SUBSTITUTE(SUBSTITUTE($B238,"~","~~"),"*","~*"),"?","~?"),'DEF_SELF_SCOUT_IMPORT'!$Q$42:$Q$1040,SUBSTITUTE(SUBSTITUTE(SUBSTITUTE($M238,"~","~~"),"*","~*"),"?","~?"),'DEF_SELF_SCOUT_IMPORT'!$F$42:$F$1040,SUBSTITUTE(SUBSTITUTE(SUBSTITUTE($N238,"~","~~"),"*","~*"),"?","~?"))/$C238)</f>
        <v>0.0</v>
      </c>
      <c r="F238" s="11">
        <f>IF($C238=0,"",AVERAGEIFS('DEF_SELF_SCOUT_IMPORT'!$I$42:$I$1040,'DEF_SELF_SCOUT_IMPORT'!$L$42:$L$1040,"Y",'DEF_SELF_SCOUT_IMPORT'!$E$42:$E$1040,SUBSTITUTE(SUBSTITUTE(SUBSTITUTE($B238,"~","~~"),"*","~*"),"?","~?"),'DEF_SELF_SCOUT_IMPORT'!$Q$42:$Q$1040,SUBSTITUTE(SUBSTITUTE(SUBSTITUTE($M238,"~","~~"),"*","~*"),"?","~?"),'DEF_SELF_SCOUT_IMPORT'!$F$42:$F$1040,SUBSTITUTE(SUBSTITUTE(SUBSTITUTE($N238,"~","~~"),"*","~*"),"?","~?")))</f>
        <v>1.0</v>
      </c>
      <c r="G238" s="10">
        <f>IF($C238=0,"",COUNTIFS('DEF_SELF_SCOUT_IMPORT'!$L$42:$L$1040,"Y",'DEF_SELF_SCOUT_IMPORT'!$E$42:$E$1040,SUBSTITUTE(SUBSTITUTE(SUBSTITUTE($B238,"~","~~"),"*","~*"),"?","~?"),'DEF_SELF_SCOUT_IMPORT'!$Q$42:$Q$1040,SUBSTITUTE(SUBSTITUTE(SUBSTITUTE($M238,"~","~~"),"*","~*"),"?","~?"),'DEF_SELF_SCOUT_IMPORT'!$F$42:$F$1040,SUBSTITUTE(SUBSTITUTE(SUBSTITUTE($N238,"~","~~"),"*","~*"),"?","~?"),'DEF_SELF_SCOUT_IMPORT'!$H$42:$H$1040,"RUSH")/$C238)</f>
        <v>0.0</v>
      </c>
      <c r="H238" s="10">
        <f>IF($C238=0,"",COUNTIFS('DEF_SELF_SCOUT_IMPORT'!$L$42:$L$1040,"Y",'DEF_SELF_SCOUT_IMPORT'!$E$42:$E$1040,SUBSTITUTE(SUBSTITUTE(SUBSTITUTE($B238,"~","~~"),"*","~*"),"?","~?"),'DEF_SELF_SCOUT_IMPORT'!$Q$42:$Q$1040,SUBSTITUTE(SUBSTITUTE(SUBSTITUTE($M238,"~","~~"),"*","~*"),"?","~?"),'DEF_SELF_SCOUT_IMPORT'!$F$42:$F$1040,SUBSTITUTE(SUBSTITUTE(SUBSTITUTE($N238,"~","~~"),"*","~*"),"?","~?"),'DEF_SELF_SCOUT_IMPORT'!$H$42:$H$1040,"DROPBACK")/$C238)</f>
        <v>0.0</v>
      </c>
      <c r="I238" s="14" t="str">
        <f>IF(C238=0,"",IF(C238&lt;=2,"TRACK",IF(C238=3,"LOW",IF(C238&lt;=6,"MEDIUM","HIGH"))))</f>
        <v>TRACK</v>
      </c>
      <c r="J238" s="11">
        <f>IF(C238=0,"",ROUND(D238*70+(1-E238)*20+MAX(0,MIN(1,(10-F238)/10))*10,1))</f>
        <v>29.0</v>
      </c>
      <c r="K238" s="14" t="str">
        <f>IF(C238=0,"No Evidence",IF(C238&lt;=2,IF(E238&gt;0,"Explosive Alert","Track Only"),IF(C238=3,"Sample Watch",IF(E238&gt;=START_HERE!$B$31,"Explosive Alert",IF(J238&gt;=80,"Strong Candidate",IF(J238&gt;=65,"Good Candidate",IF(J238&gt;=50,"Mixed / Review","Problem Call")))))))</f>
        <v>Track Only</v>
      </c>
      <c r="L238" s="9" t="str">
        <f>IF(COUNTIFS('DEF_SELF_SCOUT_IMPORT'!$L$42:$L$1040,"Y",'DEF_SELF_SCOUT_IMPORT'!$E$42:$E$1040,SUBSTITUTE(SUBSTITUTE(SUBSTITUTE($B238,"~","~~"),"*","~*"),"?","~?"),'DEF_SELF_SCOUT_IMPORT'!$Q$42:$Q$1040,SUBSTITUTE(SUBSTITUTE(SUBSTITUTE($M238,"~","~~"),"*","~*"),"?","~?"),'DEF_SELF_SCOUT_IMPORT'!$F$42:$F$1040,SUBSTITUTE(SUBSTITUTE(SUBSTITUTE($N238,"~","~~"),"*","~*"),"?","~?"),'DEF_SELF_SCOUT_IMPORT'!$J$42:$J$1040,"")&gt;0,"Unscored clean outcome; review result tags before using score.",IF(C238=0,"No matching defensive reps; film confirmation needed.",IF(K238="Explosive Alert","Explosive risk; review clips before using as answer.",IF(C238&lt;=2,"Track only; not enough sample.",IF(C238=3,IF(E238&gt;0,"Sample watch with explosive exposure; review clips and build the sample.",IF(J238&gt;=65,"Good signal, but sample is limited.","Sample watch; review clips and build the sample.")),IF(K238="Problem Call","Problem area; practice or call-sheet review.",IF(K238="Strong Candidate","Strong call-fit candidate; confirm on film.",IF(K238="Good Candidate","Good call-fit signal; confirm on film.","Mixed signal; review fit and execution on film."))))))))</f>
        <v>Track only; not enough sample.</v>
      </c>
      <c r="M238" s="8" t="s">
        <v>70</v>
      </c>
      <c r="N238" s="8" t="s">
        <v>145</v>
      </c>
      <c r="O238" s="8"/>
      <c r="P238" s="8"/>
      <c r="Q238" s="8"/>
      <c r="R238" s="8" t="s">
        <v>28</v>
      </c>
      <c r="S238" s="2" t="s">
        <v>146</v>
      </c>
      <c r="T238" s="2">
        <f>IF(C238=0,0,IF(C238&gt;=CALL_LOOKUP_BOARD!$B$7,IF(OR(K238="Problem Call",K238="Explosive Alert"),10000000,20000000),0)+IF(C238&gt;=CALL_LOOKUP_BOARD!$B$7,J238*1000+MIN(C238,999),C238*1000+J238)+0.00994700)</f>
        <v>1029.009947</v>
      </c>
      <c r="U238" s="2" t="str">
        <f>IF(C238=0,"",IF(COUNTIFS($S$186:$S$367,SUBSTITUTE(SUBSTITUTE(SUBSTITUTE(S238,"~","~~"),"*","~*"),"?","~?"),$T$186:$T$367,"&gt;"&amp;T238)=0,S238,""))</f>
        <v>6:2D 1-3|2:22|</v>
      </c>
    </row>
    <row r="239" spans="1:21" ht="38" customHeight="1">
      <c r="A239" s="8" t="s">
        <v>147</v>
      </c>
      <c r="B239" s="8" t="s">
        <v>77</v>
      </c>
      <c r="C239" s="12">
        <f>COUNTIFS('DEF_SELF_SCOUT_IMPORT'!$L$42:$L$1040,"Y",'DEF_SELF_SCOUT_IMPORT'!$E$42:$E$1040,SUBSTITUTE(SUBSTITUTE(SUBSTITUTE($B239,"~","~~"),"*","~*"),"?","~?"),'DEF_SELF_SCOUT_IMPORT'!$Q$42:$Q$1040,SUBSTITUTE(SUBSTITUTE(SUBSTITUTE($M239,"~","~~"),"*","~*"),"?","~?"),'DEF_SELF_SCOUT_IMPORT'!$F$42:$F$1040,SUBSTITUTE(SUBSTITUTE(SUBSTITUTE($N239,"~","~~"),"*","~*"),"?","~?"))</f>
        <v>1</v>
      </c>
      <c r="D239" s="10">
        <f>IF($C239=0,"",SUMIFS('DEF_SELF_SCOUT_IMPORT'!$J$42:$J$1040,'DEF_SELF_SCOUT_IMPORT'!$L$42:$L$1040,"Y",'DEF_SELF_SCOUT_IMPORT'!$E$42:$E$1040,SUBSTITUTE(SUBSTITUTE(SUBSTITUTE($B239,"~","~~"),"*","~*"),"?","~?"),'DEF_SELF_SCOUT_IMPORT'!$Q$42:$Q$1040,SUBSTITUTE(SUBSTITUTE(SUBSTITUTE($M239,"~","~~"),"*","~*"),"?","~?"),'DEF_SELF_SCOUT_IMPORT'!$F$42:$F$1040,SUBSTITUTE(SUBSTITUTE(SUBSTITUTE($N239,"~","~~"),"*","~*"),"?","~?"))/$C239)</f>
        <v>1.0</v>
      </c>
      <c r="E239" s="10">
        <f>IF($C239=0,"",SUMIFS('DEF_SELF_SCOUT_IMPORT'!$K$42:$K$1040,'DEF_SELF_SCOUT_IMPORT'!$L$42:$L$1040,"Y",'DEF_SELF_SCOUT_IMPORT'!$E$42:$E$1040,SUBSTITUTE(SUBSTITUTE(SUBSTITUTE($B239,"~","~~"),"*","~*"),"?","~?"),'DEF_SELF_SCOUT_IMPORT'!$Q$42:$Q$1040,SUBSTITUTE(SUBSTITUTE(SUBSTITUTE($M239,"~","~~"),"*","~*"),"?","~?"),'DEF_SELF_SCOUT_IMPORT'!$F$42:$F$1040,SUBSTITUTE(SUBSTITUTE(SUBSTITUTE($N239,"~","~~"),"*","~*"),"?","~?"))/$C239)</f>
        <v>0.0</v>
      </c>
      <c r="F239" s="11">
        <f>IF($C239=0,"",AVERAGEIFS('DEF_SELF_SCOUT_IMPORT'!$I$42:$I$1040,'DEF_SELF_SCOUT_IMPORT'!$L$42:$L$1040,"Y",'DEF_SELF_SCOUT_IMPORT'!$E$42:$E$1040,SUBSTITUTE(SUBSTITUTE(SUBSTITUTE($B239,"~","~~"),"*","~*"),"?","~?"),'DEF_SELF_SCOUT_IMPORT'!$Q$42:$Q$1040,SUBSTITUTE(SUBSTITUTE(SUBSTITUTE($M239,"~","~~"),"*","~*"),"?","~?"),'DEF_SELF_SCOUT_IMPORT'!$F$42:$F$1040,SUBSTITUTE(SUBSTITUTE(SUBSTITUTE($N239,"~","~~"),"*","~*"),"?","~?")))</f>
        <v>5.0</v>
      </c>
      <c r="G239" s="10">
        <f>IF($C239=0,"",COUNTIFS('DEF_SELF_SCOUT_IMPORT'!$L$42:$L$1040,"Y",'DEF_SELF_SCOUT_IMPORT'!$E$42:$E$1040,SUBSTITUTE(SUBSTITUTE(SUBSTITUTE($B239,"~","~~"),"*","~*"),"?","~?"),'DEF_SELF_SCOUT_IMPORT'!$Q$42:$Q$1040,SUBSTITUTE(SUBSTITUTE(SUBSTITUTE($M239,"~","~~"),"*","~*"),"?","~?"),'DEF_SELF_SCOUT_IMPORT'!$F$42:$F$1040,SUBSTITUTE(SUBSTITUTE(SUBSTITUTE($N239,"~","~~"),"*","~*"),"?","~?"),'DEF_SELF_SCOUT_IMPORT'!$H$42:$H$1040,"RUSH")/$C239)</f>
        <v>0.0</v>
      </c>
      <c r="H239" s="10">
        <f>IF($C239=0,"",COUNTIFS('DEF_SELF_SCOUT_IMPORT'!$L$42:$L$1040,"Y",'DEF_SELF_SCOUT_IMPORT'!$E$42:$E$1040,SUBSTITUTE(SUBSTITUTE(SUBSTITUTE($B239,"~","~~"),"*","~*"),"?","~?"),'DEF_SELF_SCOUT_IMPORT'!$Q$42:$Q$1040,SUBSTITUTE(SUBSTITUTE(SUBSTITUTE($M239,"~","~~"),"*","~*"),"?","~?"),'DEF_SELF_SCOUT_IMPORT'!$F$42:$F$1040,SUBSTITUTE(SUBSTITUTE(SUBSTITUTE($N239,"~","~~"),"*","~*"),"?","~?"),'DEF_SELF_SCOUT_IMPORT'!$H$42:$H$1040,"DROPBACK")/$C239)</f>
        <v>1.0</v>
      </c>
      <c r="I239" s="14" t="str">
        <f>IF(C239=0,"",IF(C239&lt;=2,"TRACK",IF(C239=3,"LOW",IF(C239&lt;=6,"MEDIUM","HIGH"))))</f>
        <v>TRACK</v>
      </c>
      <c r="J239" s="11">
        <f>IF(C239=0,"",ROUND(D239*70+(1-E239)*20+MAX(0,MIN(1,(10-F239)/10))*10,1))</f>
        <v>95.0</v>
      </c>
      <c r="K239" s="14" t="str">
        <f>IF(C239=0,"No Evidence",IF(C239&lt;=2,IF(E239&gt;0,"Explosive Alert","Track Only"),IF(C239=3,"Sample Watch",IF(E239&gt;=START_HERE!$B$31,"Explosive Alert",IF(J239&gt;=80,"Strong Candidate",IF(J239&gt;=65,"Good Candidate",IF(J239&gt;=50,"Mixed / Review","Problem Call")))))))</f>
        <v>Track Only</v>
      </c>
      <c r="L239" s="9" t="str">
        <f>IF(COUNTIFS('DEF_SELF_SCOUT_IMPORT'!$L$42:$L$1040,"Y",'DEF_SELF_SCOUT_IMPORT'!$E$42:$E$1040,SUBSTITUTE(SUBSTITUTE(SUBSTITUTE($B239,"~","~~"),"*","~*"),"?","~?"),'DEF_SELF_SCOUT_IMPORT'!$Q$42:$Q$1040,SUBSTITUTE(SUBSTITUTE(SUBSTITUTE($M239,"~","~~"),"*","~*"),"?","~?"),'DEF_SELF_SCOUT_IMPORT'!$F$42:$F$1040,SUBSTITUTE(SUBSTITUTE(SUBSTITUTE($N239,"~","~~"),"*","~*"),"?","~?"),'DEF_SELF_SCOUT_IMPORT'!$J$42:$J$1040,"")&gt;0,"Unscored clean outcome; review result tags before using score.",IF(C239=0,"No matching defensive reps; film confirmation needed.",IF(K239="Explosive Alert","Explosive risk; review clips before using as answer.",IF(C239&lt;=2,"Track only; not enough sample.",IF(C239=3,IF(E239&gt;0,"Sample watch with explosive exposure; review clips and build the sample.",IF(J239&gt;=65,"Good signal, but sample is limited.","Sample watch; review clips and build the sample.")),IF(K239="Problem Call","Problem area; practice or call-sheet review.",IF(K239="Strong Candidate","Strong call-fit candidate; confirm on film.",IF(K239="Good Candidate","Good call-fit signal; confirm on film.","Mixed signal; review fit and execution on film."))))))))</f>
        <v>Track only; not enough sample.</v>
      </c>
      <c r="M239" s="8" t="s">
        <v>76</v>
      </c>
      <c r="N239" s="8" t="s">
        <v>120</v>
      </c>
      <c r="O239" s="8"/>
      <c r="P239" s="8"/>
      <c r="Q239" s="8"/>
      <c r="R239" s="8" t="s">
        <v>28</v>
      </c>
      <c r="S239" s="2" t="s">
        <v>148</v>
      </c>
      <c r="T239" s="2">
        <f>IF(C239=0,0,IF(C239&gt;=CALL_LOOKUP_BOARD!$B$7,IF(OR(K239="Problem Call",K239="Explosive Alert"),10000000,20000000),0)+IF(C239&gt;=CALL_LOOKUP_BOARD!$B$7,J239*1000+MIN(C239,999),C239*1000+J239)+0.00994600)</f>
        <v>1095.009946</v>
      </c>
      <c r="U239" s="2">
        <f>IF(C239=0,"",IF(COUNTIFS($S$186:$S$367,SUBSTITUTE(SUBSTITUTE(SUBSTITUTE(S239,"~","~~"),"*","~*"),"?","~?"),$T$186:$T$367,"&gt;"&amp;T239)=0,S239,""))</f>
        <v/>
      </c>
    </row>
    <row r="240" spans="1:21" ht="38" customHeight="1">
      <c r="A240" s="8" t="s">
        <v>147</v>
      </c>
      <c r="B240" s="8" t="s">
        <v>46</v>
      </c>
      <c r="C240" s="12">
        <f>COUNTIFS('DEF_SELF_SCOUT_IMPORT'!$L$42:$L$1040,"Y",'DEF_SELF_SCOUT_IMPORT'!$E$42:$E$1040,SUBSTITUTE(SUBSTITUTE(SUBSTITUTE($B240,"~","~~"),"*","~*"),"?","~?"),'DEF_SELF_SCOUT_IMPORT'!$Q$42:$Q$1040,SUBSTITUTE(SUBSTITUTE(SUBSTITUTE($M240,"~","~~"),"*","~*"),"?","~?"),'DEF_SELF_SCOUT_IMPORT'!$F$42:$F$1040,SUBSTITUTE(SUBSTITUTE(SUBSTITUTE($N240,"~","~~"),"*","~*"),"?","~?"))</f>
        <v>1</v>
      </c>
      <c r="D240" s="10">
        <f>IF($C240=0,"",SUMIFS('DEF_SELF_SCOUT_IMPORT'!$J$42:$J$1040,'DEF_SELF_SCOUT_IMPORT'!$L$42:$L$1040,"Y",'DEF_SELF_SCOUT_IMPORT'!$E$42:$E$1040,SUBSTITUTE(SUBSTITUTE(SUBSTITUTE($B240,"~","~~"),"*","~*"),"?","~?"),'DEF_SELF_SCOUT_IMPORT'!$Q$42:$Q$1040,SUBSTITUTE(SUBSTITUTE(SUBSTITUTE($M240,"~","~~"),"*","~*"),"?","~?"),'DEF_SELF_SCOUT_IMPORT'!$F$42:$F$1040,SUBSTITUTE(SUBSTITUTE(SUBSTITUTE($N240,"~","~~"),"*","~*"),"?","~?"))/$C240)</f>
        <v>1.0</v>
      </c>
      <c r="E240" s="10">
        <f>IF($C240=0,"",SUMIFS('DEF_SELF_SCOUT_IMPORT'!$K$42:$K$1040,'DEF_SELF_SCOUT_IMPORT'!$L$42:$L$1040,"Y",'DEF_SELF_SCOUT_IMPORT'!$E$42:$E$1040,SUBSTITUTE(SUBSTITUTE(SUBSTITUTE($B240,"~","~~"),"*","~*"),"?","~?"),'DEF_SELF_SCOUT_IMPORT'!$Q$42:$Q$1040,SUBSTITUTE(SUBSTITUTE(SUBSTITUTE($M240,"~","~~"),"*","~*"),"?","~?"),'DEF_SELF_SCOUT_IMPORT'!$F$42:$F$1040,SUBSTITUTE(SUBSTITUTE(SUBSTITUTE($N240,"~","~~"),"*","~*"),"?","~?"))/$C240)</f>
        <v>0.0</v>
      </c>
      <c r="F240" s="11">
        <f>IF($C240=0,"",AVERAGEIFS('DEF_SELF_SCOUT_IMPORT'!$I$42:$I$1040,'DEF_SELF_SCOUT_IMPORT'!$L$42:$L$1040,"Y",'DEF_SELF_SCOUT_IMPORT'!$E$42:$E$1040,SUBSTITUTE(SUBSTITUTE(SUBSTITUTE($B240,"~","~~"),"*","~*"),"?","~?"),'DEF_SELF_SCOUT_IMPORT'!$Q$42:$Q$1040,SUBSTITUTE(SUBSTITUTE(SUBSTITUTE($M240,"~","~~"),"*","~*"),"?","~?"),'DEF_SELF_SCOUT_IMPORT'!$F$42:$F$1040,SUBSTITUTE(SUBSTITUTE(SUBSTITUTE($N240,"~","~~"),"*","~*"),"?","~?")))</f>
        <v>-2.0</v>
      </c>
      <c r="G240" s="10">
        <f>IF($C240=0,"",COUNTIFS('DEF_SELF_SCOUT_IMPORT'!$L$42:$L$1040,"Y",'DEF_SELF_SCOUT_IMPORT'!$E$42:$E$1040,SUBSTITUTE(SUBSTITUTE(SUBSTITUTE($B240,"~","~~"),"*","~*"),"?","~?"),'DEF_SELF_SCOUT_IMPORT'!$Q$42:$Q$1040,SUBSTITUTE(SUBSTITUTE(SUBSTITUTE($M240,"~","~~"),"*","~*"),"?","~?"),'DEF_SELF_SCOUT_IMPORT'!$F$42:$F$1040,SUBSTITUTE(SUBSTITUTE(SUBSTITUTE($N240,"~","~~"),"*","~*"),"?","~?"),'DEF_SELF_SCOUT_IMPORT'!$H$42:$H$1040,"RUSH")/$C240)</f>
        <v>0.0</v>
      </c>
      <c r="H240" s="10">
        <f>IF($C240=0,"",COUNTIFS('DEF_SELF_SCOUT_IMPORT'!$L$42:$L$1040,"Y",'DEF_SELF_SCOUT_IMPORT'!$E$42:$E$1040,SUBSTITUTE(SUBSTITUTE(SUBSTITUTE($B240,"~","~~"),"*","~*"),"?","~?"),'DEF_SELF_SCOUT_IMPORT'!$Q$42:$Q$1040,SUBSTITUTE(SUBSTITUTE(SUBSTITUTE($M240,"~","~~"),"*","~*"),"?","~?"),'DEF_SELF_SCOUT_IMPORT'!$F$42:$F$1040,SUBSTITUTE(SUBSTITUTE(SUBSTITUTE($N240,"~","~~"),"*","~*"),"?","~?"),'DEF_SELF_SCOUT_IMPORT'!$H$42:$H$1040,"DROPBACK")/$C240)</f>
        <v>1.0</v>
      </c>
      <c r="I240" s="14" t="str">
        <f>IF(C240=0,"",IF(C240&lt;=2,"TRACK",IF(C240=3,"LOW",IF(C240&lt;=6,"MEDIUM","HIGH"))))</f>
        <v>TRACK</v>
      </c>
      <c r="J240" s="11">
        <f>IF(C240=0,"",ROUND(D240*70+(1-E240)*20+MAX(0,MIN(1,(10-F240)/10))*10,1))</f>
        <v>100.0</v>
      </c>
      <c r="K240" s="14" t="str">
        <f>IF(C240=0,"No Evidence",IF(C240&lt;=2,IF(E240&gt;0,"Explosive Alert","Track Only"),IF(C240=3,"Sample Watch",IF(E240&gt;=START_HERE!$B$31,"Explosive Alert",IF(J240&gt;=80,"Strong Candidate",IF(J240&gt;=65,"Good Candidate",IF(J240&gt;=50,"Mixed / Review","Problem Call")))))))</f>
        <v>Track Only</v>
      </c>
      <c r="L240" s="9" t="str">
        <f>IF(COUNTIFS('DEF_SELF_SCOUT_IMPORT'!$L$42:$L$1040,"Y",'DEF_SELF_SCOUT_IMPORT'!$E$42:$E$1040,SUBSTITUTE(SUBSTITUTE(SUBSTITUTE($B240,"~","~~"),"*","~*"),"?","~?"),'DEF_SELF_SCOUT_IMPORT'!$Q$42:$Q$1040,SUBSTITUTE(SUBSTITUTE(SUBSTITUTE($M240,"~","~~"),"*","~*"),"?","~?"),'DEF_SELF_SCOUT_IMPORT'!$F$42:$F$1040,SUBSTITUTE(SUBSTITUTE(SUBSTITUTE($N240,"~","~~"),"*","~*"),"?","~?"),'DEF_SELF_SCOUT_IMPORT'!$J$42:$J$1040,"")&gt;0,"Unscored clean outcome; review result tags before using score.",IF(C240=0,"No matching defensive reps; film confirmation needed.",IF(K240="Explosive Alert","Explosive risk; review clips before using as answer.",IF(C240&lt;=2,"Track only; not enough sample.",IF(C240=3,IF(E240&gt;0,"Sample watch with explosive exposure; review clips and build the sample.",IF(J240&gt;=65,"Good signal, but sample is limited.","Sample watch; review clips and build the sample.")),IF(K240="Problem Call","Problem area; practice or call-sheet review.",IF(K240="Strong Candidate","Strong call-fit candidate; confirm on film.",IF(K240="Good Candidate","Good call-fit signal; confirm on film.","Mixed signal; review fit and execution on film."))))))))</f>
        <v>Track only; not enough sample.</v>
      </c>
      <c r="M240" s="8" t="s">
        <v>76</v>
      </c>
      <c r="N240" s="8" t="s">
        <v>120</v>
      </c>
      <c r="O240" s="8"/>
      <c r="P240" s="8"/>
      <c r="Q240" s="8"/>
      <c r="R240" s="8" t="s">
        <v>28</v>
      </c>
      <c r="S240" s="2" t="s">
        <v>148</v>
      </c>
      <c r="T240" s="2">
        <f>IF(C240=0,0,IF(C240&gt;=CALL_LOOKUP_BOARD!$B$7,IF(OR(K240="Problem Call",K240="Explosive Alert"),10000000,20000000),0)+IF(C240&gt;=CALL_LOOKUP_BOARD!$B$7,J240*1000+MIN(C240,999),C240*1000+J240)+0.00994500)</f>
        <v>1100.009945</v>
      </c>
      <c r="U240" s="2">
        <f>IF(C240=0,"",IF(COUNTIFS($S$186:$S$367,SUBSTITUTE(SUBSTITUTE(SUBSTITUTE(S240,"~","~~"),"*","~*"),"?","~?"),$T$186:$T$367,"&gt;"&amp;T240)=0,S240,""))</f>
        <v/>
      </c>
    </row>
    <row r="241" spans="1:21" ht="38" customHeight="1">
      <c r="A241" s="8" t="s">
        <v>147</v>
      </c>
      <c r="B241" s="8" t="s">
        <v>79</v>
      </c>
      <c r="C241" s="12">
        <f>COUNTIFS('DEF_SELF_SCOUT_IMPORT'!$L$42:$L$1040,"Y",'DEF_SELF_SCOUT_IMPORT'!$E$42:$E$1040,SUBSTITUTE(SUBSTITUTE(SUBSTITUTE($B241,"~","~~"),"*","~*"),"?","~?"),'DEF_SELF_SCOUT_IMPORT'!$Q$42:$Q$1040,SUBSTITUTE(SUBSTITUTE(SUBSTITUTE($M241,"~","~~"),"*","~*"),"?","~?"),'DEF_SELF_SCOUT_IMPORT'!$F$42:$F$1040,SUBSTITUTE(SUBSTITUTE(SUBSTITUTE($N241,"~","~~"),"*","~*"),"?","~?"))</f>
        <v>2</v>
      </c>
      <c r="D241" s="10">
        <f>IF($C241=0,"",SUMIFS('DEF_SELF_SCOUT_IMPORT'!$J$42:$J$1040,'DEF_SELF_SCOUT_IMPORT'!$L$42:$L$1040,"Y",'DEF_SELF_SCOUT_IMPORT'!$E$42:$E$1040,SUBSTITUTE(SUBSTITUTE(SUBSTITUTE($B241,"~","~~"),"*","~*"),"?","~?"),'DEF_SELF_SCOUT_IMPORT'!$Q$42:$Q$1040,SUBSTITUTE(SUBSTITUTE(SUBSTITUTE($M241,"~","~~"),"*","~*"),"?","~?"),'DEF_SELF_SCOUT_IMPORT'!$F$42:$F$1040,SUBSTITUTE(SUBSTITUTE(SUBSTITUTE($N241,"~","~~"),"*","~*"),"?","~?"))/$C241)</f>
        <v>0.0</v>
      </c>
      <c r="E241" s="10">
        <f>IF($C241=0,"",SUMIFS('DEF_SELF_SCOUT_IMPORT'!$K$42:$K$1040,'DEF_SELF_SCOUT_IMPORT'!$L$42:$L$1040,"Y",'DEF_SELF_SCOUT_IMPORT'!$E$42:$E$1040,SUBSTITUTE(SUBSTITUTE(SUBSTITUTE($B241,"~","~~"),"*","~*"),"?","~?"),'DEF_SELF_SCOUT_IMPORT'!$Q$42:$Q$1040,SUBSTITUTE(SUBSTITUTE(SUBSTITUTE($M241,"~","~~"),"*","~*"),"?","~?"),'DEF_SELF_SCOUT_IMPORT'!$F$42:$F$1040,SUBSTITUTE(SUBSTITUTE(SUBSTITUTE($N241,"~","~~"),"*","~*"),"?","~?"))/$C241)</f>
        <v>0.5</v>
      </c>
      <c r="F241" s="11">
        <f>IF($C241=0,"",AVERAGEIFS('DEF_SELF_SCOUT_IMPORT'!$I$42:$I$1040,'DEF_SELF_SCOUT_IMPORT'!$L$42:$L$1040,"Y",'DEF_SELF_SCOUT_IMPORT'!$E$42:$E$1040,SUBSTITUTE(SUBSTITUTE(SUBSTITUTE($B241,"~","~~"),"*","~*"),"?","~?"),'DEF_SELF_SCOUT_IMPORT'!$Q$42:$Q$1040,SUBSTITUTE(SUBSTITUTE(SUBSTITUTE($M241,"~","~~"),"*","~*"),"?","~?"),'DEF_SELF_SCOUT_IMPORT'!$F$42:$F$1040,SUBSTITUTE(SUBSTITUTE(SUBSTITUTE($N241,"~","~~"),"*","~*"),"?","~?")))</f>
        <v>10.5</v>
      </c>
      <c r="G241" s="10">
        <f>IF($C241=0,"",COUNTIFS('DEF_SELF_SCOUT_IMPORT'!$L$42:$L$1040,"Y",'DEF_SELF_SCOUT_IMPORT'!$E$42:$E$1040,SUBSTITUTE(SUBSTITUTE(SUBSTITUTE($B241,"~","~~"),"*","~*"),"?","~?"),'DEF_SELF_SCOUT_IMPORT'!$Q$42:$Q$1040,SUBSTITUTE(SUBSTITUTE(SUBSTITUTE($M241,"~","~~"),"*","~*"),"?","~?"),'DEF_SELF_SCOUT_IMPORT'!$F$42:$F$1040,SUBSTITUTE(SUBSTITUTE(SUBSTITUTE($N241,"~","~~"),"*","~*"),"?","~?"),'DEF_SELF_SCOUT_IMPORT'!$H$42:$H$1040,"RUSH")/$C241)</f>
        <v>0.5</v>
      </c>
      <c r="H241" s="10">
        <f>IF($C241=0,"",COUNTIFS('DEF_SELF_SCOUT_IMPORT'!$L$42:$L$1040,"Y",'DEF_SELF_SCOUT_IMPORT'!$E$42:$E$1040,SUBSTITUTE(SUBSTITUTE(SUBSTITUTE($B241,"~","~~"),"*","~*"),"?","~?"),'DEF_SELF_SCOUT_IMPORT'!$Q$42:$Q$1040,SUBSTITUTE(SUBSTITUTE(SUBSTITUTE($M241,"~","~~"),"*","~*"),"?","~?"),'DEF_SELF_SCOUT_IMPORT'!$F$42:$F$1040,SUBSTITUTE(SUBSTITUTE(SUBSTITUTE($N241,"~","~~"),"*","~*"),"?","~?"),'DEF_SELF_SCOUT_IMPORT'!$H$42:$H$1040,"DROPBACK")/$C241)</f>
        <v>0.5</v>
      </c>
      <c r="I241" s="14" t="str">
        <f>IF(C241=0,"",IF(C241&lt;=2,"TRACK",IF(C241=3,"LOW",IF(C241&lt;=6,"MEDIUM","HIGH"))))</f>
        <v>TRACK</v>
      </c>
      <c r="J241" s="11">
        <f>IF(C241=0,"",ROUND(D241*70+(1-E241)*20+MAX(0,MIN(1,(10-F241)/10))*10,1))</f>
        <v>10.0</v>
      </c>
      <c r="K241" s="14" t="str">
        <f>IF(C241=0,"No Evidence",IF(C241&lt;=2,IF(E241&gt;0,"Explosive Alert","Track Only"),IF(C241=3,"Sample Watch",IF(E241&gt;=START_HERE!$B$31,"Explosive Alert",IF(J241&gt;=80,"Strong Candidate",IF(J241&gt;=65,"Good Candidate",IF(J241&gt;=50,"Mixed / Review","Problem Call")))))))</f>
        <v>Explosive Alert</v>
      </c>
      <c r="L241" s="9" t="str">
        <f>IF(COUNTIFS('DEF_SELF_SCOUT_IMPORT'!$L$42:$L$1040,"Y",'DEF_SELF_SCOUT_IMPORT'!$E$42:$E$1040,SUBSTITUTE(SUBSTITUTE(SUBSTITUTE($B241,"~","~~"),"*","~*"),"?","~?"),'DEF_SELF_SCOUT_IMPORT'!$Q$42:$Q$1040,SUBSTITUTE(SUBSTITUTE(SUBSTITUTE($M241,"~","~~"),"*","~*"),"?","~?"),'DEF_SELF_SCOUT_IMPORT'!$F$42:$F$1040,SUBSTITUTE(SUBSTITUTE(SUBSTITUTE($N241,"~","~~"),"*","~*"),"?","~?"),'DEF_SELF_SCOUT_IMPORT'!$J$42:$J$1040,"")&gt;0,"Unscored clean outcome; review result tags before using score.",IF(C241=0,"No matching defensive reps; film confirmation needed.",IF(K241="Explosive Alert","Explosive risk; review clips before using as answer.",IF(C241&lt;=2,"Track only; not enough sample.",IF(C241=3,IF(E241&gt;0,"Sample watch with explosive exposure; review clips and build the sample.",IF(J241&gt;=65,"Good signal, but sample is limited.","Sample watch; review clips and build the sample.")),IF(K241="Problem Call","Problem area; practice or call-sheet review.",IF(K241="Strong Candidate","Strong call-fit candidate; confirm on film.",IF(K241="Good Candidate","Good call-fit signal; confirm on film.","Mixed signal; review fit and execution on film."))))))))</f>
        <v>Explosive risk; review clips before using as answer.</v>
      </c>
      <c r="M241" s="8" t="s">
        <v>76</v>
      </c>
      <c r="N241" s="8" t="s">
        <v>120</v>
      </c>
      <c r="O241" s="8"/>
      <c r="P241" s="8"/>
      <c r="Q241" s="8"/>
      <c r="R241" s="8" t="s">
        <v>28</v>
      </c>
      <c r="S241" s="2" t="s">
        <v>148</v>
      </c>
      <c r="T241" s="2">
        <f>IF(C241=0,0,IF(C241&gt;=CALL_LOOKUP_BOARD!$B$7,IF(OR(K241="Problem Call",K241="Explosive Alert"),10000000,20000000),0)+IF(C241&gt;=CALL_LOOKUP_BOARD!$B$7,J241*1000+MIN(C241,999),C241*1000+J241)+0.00994400)</f>
        <v>2010.009944</v>
      </c>
      <c r="U241" s="2">
        <f>IF(C241=0,"",IF(COUNTIFS($S$186:$S$367,SUBSTITUTE(SUBSTITUTE(SUBSTITUTE(S241,"~","~~"),"*","~*"),"?","~?"),$T$186:$T$367,"&gt;"&amp;T241)=0,S241,""))</f>
        <v/>
      </c>
    </row>
    <row r="242" spans="1:21" ht="38" customHeight="1">
      <c r="A242" s="8" t="s">
        <v>147</v>
      </c>
      <c r="B242" s="8" t="s">
        <v>80</v>
      </c>
      <c r="C242" s="12">
        <f>COUNTIFS('DEF_SELF_SCOUT_IMPORT'!$L$42:$L$1040,"Y",'DEF_SELF_SCOUT_IMPORT'!$E$42:$E$1040,SUBSTITUTE(SUBSTITUTE(SUBSTITUTE($B242,"~","~~"),"*","~*"),"?","~?"),'DEF_SELF_SCOUT_IMPORT'!$Q$42:$Q$1040,SUBSTITUTE(SUBSTITUTE(SUBSTITUTE($M242,"~","~~"),"*","~*"),"?","~?"),'DEF_SELF_SCOUT_IMPORT'!$F$42:$F$1040,SUBSTITUTE(SUBSTITUTE(SUBSTITUTE($N242,"~","~~"),"*","~*"),"?","~?"))</f>
        <v>1</v>
      </c>
      <c r="D242" s="10">
        <f>IF($C242=0,"",SUMIFS('DEF_SELF_SCOUT_IMPORT'!$J$42:$J$1040,'DEF_SELF_SCOUT_IMPORT'!$L$42:$L$1040,"Y",'DEF_SELF_SCOUT_IMPORT'!$E$42:$E$1040,SUBSTITUTE(SUBSTITUTE(SUBSTITUTE($B242,"~","~~"),"*","~*"),"?","~?"),'DEF_SELF_SCOUT_IMPORT'!$Q$42:$Q$1040,SUBSTITUTE(SUBSTITUTE(SUBSTITUTE($M242,"~","~~"),"*","~*"),"?","~?"),'DEF_SELF_SCOUT_IMPORT'!$F$42:$F$1040,SUBSTITUTE(SUBSTITUTE(SUBSTITUTE($N242,"~","~~"),"*","~*"),"?","~?"))/$C242)</f>
        <v>1.0</v>
      </c>
      <c r="E242" s="10">
        <f>IF($C242=0,"",SUMIFS('DEF_SELF_SCOUT_IMPORT'!$K$42:$K$1040,'DEF_SELF_SCOUT_IMPORT'!$L$42:$L$1040,"Y",'DEF_SELF_SCOUT_IMPORT'!$E$42:$E$1040,SUBSTITUTE(SUBSTITUTE(SUBSTITUTE($B242,"~","~~"),"*","~*"),"?","~?"),'DEF_SELF_SCOUT_IMPORT'!$Q$42:$Q$1040,SUBSTITUTE(SUBSTITUTE(SUBSTITUTE($M242,"~","~~"),"*","~*"),"?","~?"),'DEF_SELF_SCOUT_IMPORT'!$F$42:$F$1040,SUBSTITUTE(SUBSTITUTE(SUBSTITUTE($N242,"~","~~"),"*","~*"),"?","~?"))/$C242)</f>
        <v>0.0</v>
      </c>
      <c r="F242" s="11">
        <f>IF($C242=0,"",AVERAGEIFS('DEF_SELF_SCOUT_IMPORT'!$I$42:$I$1040,'DEF_SELF_SCOUT_IMPORT'!$L$42:$L$1040,"Y",'DEF_SELF_SCOUT_IMPORT'!$E$42:$E$1040,SUBSTITUTE(SUBSTITUTE(SUBSTITUTE($B242,"~","~~"),"*","~*"),"?","~?"),'DEF_SELF_SCOUT_IMPORT'!$Q$42:$Q$1040,SUBSTITUTE(SUBSTITUTE(SUBSTITUTE($M242,"~","~~"),"*","~*"),"?","~?"),'DEF_SELF_SCOUT_IMPORT'!$F$42:$F$1040,SUBSTITUTE(SUBSTITUTE(SUBSTITUTE($N242,"~","~~"),"*","~*"),"?","~?")))</f>
        <v>3.0</v>
      </c>
      <c r="G242" s="10">
        <f>IF($C242=0,"",COUNTIFS('DEF_SELF_SCOUT_IMPORT'!$L$42:$L$1040,"Y",'DEF_SELF_SCOUT_IMPORT'!$E$42:$E$1040,SUBSTITUTE(SUBSTITUTE(SUBSTITUTE($B242,"~","~~"),"*","~*"),"?","~?"),'DEF_SELF_SCOUT_IMPORT'!$Q$42:$Q$1040,SUBSTITUTE(SUBSTITUTE(SUBSTITUTE($M242,"~","~~"),"*","~*"),"?","~?"),'DEF_SELF_SCOUT_IMPORT'!$F$42:$F$1040,SUBSTITUTE(SUBSTITUTE(SUBSTITUTE($N242,"~","~~"),"*","~*"),"?","~?"),'DEF_SELF_SCOUT_IMPORT'!$H$42:$H$1040,"RUSH")/$C242)</f>
        <v>0.0</v>
      </c>
      <c r="H242" s="10">
        <f>IF($C242=0,"",COUNTIFS('DEF_SELF_SCOUT_IMPORT'!$L$42:$L$1040,"Y",'DEF_SELF_SCOUT_IMPORT'!$E$42:$E$1040,SUBSTITUTE(SUBSTITUTE(SUBSTITUTE($B242,"~","~~"),"*","~*"),"?","~?"),'DEF_SELF_SCOUT_IMPORT'!$Q$42:$Q$1040,SUBSTITUTE(SUBSTITUTE(SUBSTITUTE($M242,"~","~~"),"*","~*"),"?","~?"),'DEF_SELF_SCOUT_IMPORT'!$F$42:$F$1040,SUBSTITUTE(SUBSTITUTE(SUBSTITUTE($N242,"~","~~"),"*","~*"),"?","~?"),'DEF_SELF_SCOUT_IMPORT'!$H$42:$H$1040,"DROPBACK")/$C242)</f>
        <v>1.0</v>
      </c>
      <c r="I242" s="14" t="str">
        <f>IF(C242=0,"",IF(C242&lt;=2,"TRACK",IF(C242=3,"LOW",IF(C242&lt;=6,"MEDIUM","HIGH"))))</f>
        <v>TRACK</v>
      </c>
      <c r="J242" s="11">
        <f>IF(C242=0,"",ROUND(D242*70+(1-E242)*20+MAX(0,MIN(1,(10-F242)/10))*10,1))</f>
        <v>97.0</v>
      </c>
      <c r="K242" s="14" t="str">
        <f>IF(C242=0,"No Evidence",IF(C242&lt;=2,IF(E242&gt;0,"Explosive Alert","Track Only"),IF(C242=3,"Sample Watch",IF(E242&gt;=START_HERE!$B$31,"Explosive Alert",IF(J242&gt;=80,"Strong Candidate",IF(J242&gt;=65,"Good Candidate",IF(J242&gt;=50,"Mixed / Review","Problem Call")))))))</f>
        <v>Track Only</v>
      </c>
      <c r="L242" s="9" t="str">
        <f>IF(COUNTIFS('DEF_SELF_SCOUT_IMPORT'!$L$42:$L$1040,"Y",'DEF_SELF_SCOUT_IMPORT'!$E$42:$E$1040,SUBSTITUTE(SUBSTITUTE(SUBSTITUTE($B242,"~","~~"),"*","~*"),"?","~?"),'DEF_SELF_SCOUT_IMPORT'!$Q$42:$Q$1040,SUBSTITUTE(SUBSTITUTE(SUBSTITUTE($M242,"~","~~"),"*","~*"),"?","~?"),'DEF_SELF_SCOUT_IMPORT'!$F$42:$F$1040,SUBSTITUTE(SUBSTITUTE(SUBSTITUTE($N242,"~","~~"),"*","~*"),"?","~?"),'DEF_SELF_SCOUT_IMPORT'!$J$42:$J$1040,"")&gt;0,"Unscored clean outcome; review result tags before using score.",IF(C242=0,"No matching defensive reps; film confirmation needed.",IF(K242="Explosive Alert","Explosive risk; review clips before using as answer.",IF(C242&lt;=2,"Track only; not enough sample.",IF(C242=3,IF(E242&gt;0,"Sample watch with explosive exposure; review clips and build the sample.",IF(J242&gt;=65,"Good signal, but sample is limited.","Sample watch; review clips and build the sample.")),IF(K242="Problem Call","Problem area; practice or call-sheet review.",IF(K242="Strong Candidate","Strong call-fit candidate; confirm on film.",IF(K242="Good Candidate","Good call-fit signal; confirm on film.","Mixed signal; review fit and execution on film."))))))))</f>
        <v>Track only; not enough sample.</v>
      </c>
      <c r="M242" s="8" t="s">
        <v>76</v>
      </c>
      <c r="N242" s="8" t="s">
        <v>120</v>
      </c>
      <c r="O242" s="8"/>
      <c r="P242" s="8"/>
      <c r="Q242" s="8"/>
      <c r="R242" s="8" t="s">
        <v>28</v>
      </c>
      <c r="S242" s="2" t="s">
        <v>148</v>
      </c>
      <c r="T242" s="2">
        <f>IF(C242=0,0,IF(C242&gt;=CALL_LOOKUP_BOARD!$B$7,IF(OR(K242="Problem Call",K242="Explosive Alert"),10000000,20000000),0)+IF(C242&gt;=CALL_LOOKUP_BOARD!$B$7,J242*1000+MIN(C242,999),C242*1000+J242)+0.00994300)</f>
        <v>1097.009943</v>
      </c>
      <c r="U242" s="2">
        <f>IF(C242=0,"",IF(COUNTIFS($S$186:$S$367,SUBSTITUTE(SUBSTITUTE(SUBSTITUTE(S242,"~","~~"),"*","~*"),"?","~?"),$T$186:$T$367,"&gt;"&amp;T242)=0,S242,""))</f>
        <v/>
      </c>
    </row>
    <row r="243" spans="1:21" ht="38" customHeight="1">
      <c r="A243" s="8" t="s">
        <v>147</v>
      </c>
      <c r="B243" s="8" t="s">
        <v>55</v>
      </c>
      <c r="C243" s="12">
        <f>COUNTIFS('DEF_SELF_SCOUT_IMPORT'!$L$42:$L$1040,"Y",'DEF_SELF_SCOUT_IMPORT'!$E$42:$E$1040,SUBSTITUTE(SUBSTITUTE(SUBSTITUTE($B243,"~","~~"),"*","~*"),"?","~?"),'DEF_SELF_SCOUT_IMPORT'!$Q$42:$Q$1040,SUBSTITUTE(SUBSTITUTE(SUBSTITUTE($M243,"~","~~"),"*","~*"),"?","~?"),'DEF_SELF_SCOUT_IMPORT'!$F$42:$F$1040,SUBSTITUTE(SUBSTITUTE(SUBSTITUTE($N243,"~","~~"),"*","~*"),"?","~?"))</f>
        <v>1</v>
      </c>
      <c r="D243" s="10">
        <f>IF($C243=0,"",SUMIFS('DEF_SELF_SCOUT_IMPORT'!$J$42:$J$1040,'DEF_SELF_SCOUT_IMPORT'!$L$42:$L$1040,"Y",'DEF_SELF_SCOUT_IMPORT'!$E$42:$E$1040,SUBSTITUTE(SUBSTITUTE(SUBSTITUTE($B243,"~","~~"),"*","~*"),"?","~?"),'DEF_SELF_SCOUT_IMPORT'!$Q$42:$Q$1040,SUBSTITUTE(SUBSTITUTE(SUBSTITUTE($M243,"~","~~"),"*","~*"),"?","~?"),'DEF_SELF_SCOUT_IMPORT'!$F$42:$F$1040,SUBSTITUTE(SUBSTITUTE(SUBSTITUTE($N243,"~","~~"),"*","~*"),"?","~?"))/$C243)</f>
        <v>1.0</v>
      </c>
      <c r="E243" s="10">
        <f>IF($C243=0,"",SUMIFS('DEF_SELF_SCOUT_IMPORT'!$K$42:$K$1040,'DEF_SELF_SCOUT_IMPORT'!$L$42:$L$1040,"Y",'DEF_SELF_SCOUT_IMPORT'!$E$42:$E$1040,SUBSTITUTE(SUBSTITUTE(SUBSTITUTE($B243,"~","~~"),"*","~*"),"?","~?"),'DEF_SELF_SCOUT_IMPORT'!$Q$42:$Q$1040,SUBSTITUTE(SUBSTITUTE(SUBSTITUTE($M243,"~","~~"),"*","~*"),"?","~?"),'DEF_SELF_SCOUT_IMPORT'!$F$42:$F$1040,SUBSTITUTE(SUBSTITUTE(SUBSTITUTE($N243,"~","~~"),"*","~*"),"?","~?"))/$C243)</f>
        <v>0.0</v>
      </c>
      <c r="F243" s="11">
        <f>IF($C243=0,"",AVERAGEIFS('DEF_SELF_SCOUT_IMPORT'!$I$42:$I$1040,'DEF_SELF_SCOUT_IMPORT'!$L$42:$L$1040,"Y",'DEF_SELF_SCOUT_IMPORT'!$E$42:$E$1040,SUBSTITUTE(SUBSTITUTE(SUBSTITUTE($B243,"~","~~"),"*","~*"),"?","~?"),'DEF_SELF_SCOUT_IMPORT'!$Q$42:$Q$1040,SUBSTITUTE(SUBSTITUTE(SUBSTITUTE($M243,"~","~~"),"*","~*"),"?","~?"),'DEF_SELF_SCOUT_IMPORT'!$F$42:$F$1040,SUBSTITUTE(SUBSTITUTE(SUBSTITUTE($N243,"~","~~"),"*","~*"),"?","~?")))</f>
        <v>3.0</v>
      </c>
      <c r="G243" s="10">
        <f>IF($C243=0,"",COUNTIFS('DEF_SELF_SCOUT_IMPORT'!$L$42:$L$1040,"Y",'DEF_SELF_SCOUT_IMPORT'!$E$42:$E$1040,SUBSTITUTE(SUBSTITUTE(SUBSTITUTE($B243,"~","~~"),"*","~*"),"?","~?"),'DEF_SELF_SCOUT_IMPORT'!$Q$42:$Q$1040,SUBSTITUTE(SUBSTITUTE(SUBSTITUTE($M243,"~","~~"),"*","~*"),"?","~?"),'DEF_SELF_SCOUT_IMPORT'!$F$42:$F$1040,SUBSTITUTE(SUBSTITUTE(SUBSTITUTE($N243,"~","~~"),"*","~*"),"?","~?"),'DEF_SELF_SCOUT_IMPORT'!$H$42:$H$1040,"RUSH")/$C243)</f>
        <v>1.0</v>
      </c>
      <c r="H243" s="10">
        <f>IF($C243=0,"",COUNTIFS('DEF_SELF_SCOUT_IMPORT'!$L$42:$L$1040,"Y",'DEF_SELF_SCOUT_IMPORT'!$E$42:$E$1040,SUBSTITUTE(SUBSTITUTE(SUBSTITUTE($B243,"~","~~"),"*","~*"),"?","~?"),'DEF_SELF_SCOUT_IMPORT'!$Q$42:$Q$1040,SUBSTITUTE(SUBSTITUTE(SUBSTITUTE($M243,"~","~~"),"*","~*"),"?","~?"),'DEF_SELF_SCOUT_IMPORT'!$F$42:$F$1040,SUBSTITUTE(SUBSTITUTE(SUBSTITUTE($N243,"~","~~"),"*","~*"),"?","~?"),'DEF_SELF_SCOUT_IMPORT'!$H$42:$H$1040,"DROPBACK")/$C243)</f>
        <v>0.0</v>
      </c>
      <c r="I243" s="14" t="str">
        <f>IF(C243=0,"",IF(C243&lt;=2,"TRACK",IF(C243=3,"LOW",IF(C243&lt;=6,"MEDIUM","HIGH"))))</f>
        <v>TRACK</v>
      </c>
      <c r="J243" s="11">
        <f>IF(C243=0,"",ROUND(D243*70+(1-E243)*20+MAX(0,MIN(1,(10-F243)/10))*10,1))</f>
        <v>97.0</v>
      </c>
      <c r="K243" s="14" t="str">
        <f>IF(C243=0,"No Evidence",IF(C243&lt;=2,IF(E243&gt;0,"Explosive Alert","Track Only"),IF(C243=3,"Sample Watch",IF(E243&gt;=START_HERE!$B$31,"Explosive Alert",IF(J243&gt;=80,"Strong Candidate",IF(J243&gt;=65,"Good Candidate",IF(J243&gt;=50,"Mixed / Review","Problem Call")))))))</f>
        <v>Track Only</v>
      </c>
      <c r="L243" s="9" t="str">
        <f>IF(COUNTIFS('DEF_SELF_SCOUT_IMPORT'!$L$42:$L$1040,"Y",'DEF_SELF_SCOUT_IMPORT'!$E$42:$E$1040,SUBSTITUTE(SUBSTITUTE(SUBSTITUTE($B243,"~","~~"),"*","~*"),"?","~?"),'DEF_SELF_SCOUT_IMPORT'!$Q$42:$Q$1040,SUBSTITUTE(SUBSTITUTE(SUBSTITUTE($M243,"~","~~"),"*","~*"),"?","~?"),'DEF_SELF_SCOUT_IMPORT'!$F$42:$F$1040,SUBSTITUTE(SUBSTITUTE(SUBSTITUTE($N243,"~","~~"),"*","~*"),"?","~?"),'DEF_SELF_SCOUT_IMPORT'!$J$42:$J$1040,"")&gt;0,"Unscored clean outcome; review result tags before using score.",IF(C243=0,"No matching defensive reps; film confirmation needed.",IF(K243="Explosive Alert","Explosive risk; review clips before using as answer.",IF(C243&lt;=2,"Track only; not enough sample.",IF(C243=3,IF(E243&gt;0,"Sample watch with explosive exposure; review clips and build the sample.",IF(J243&gt;=65,"Good signal, but sample is limited.","Sample watch; review clips and build the sample.")),IF(K243="Problem Call","Problem area; practice or call-sheet review.",IF(K243="Strong Candidate","Strong call-fit candidate; confirm on film.",IF(K243="Good Candidate","Good call-fit signal; confirm on film.","Mixed signal; review fit and execution on film."))))))))</f>
        <v>Track only; not enough sample.</v>
      </c>
      <c r="M243" s="8" t="s">
        <v>76</v>
      </c>
      <c r="N243" s="8" t="s">
        <v>120</v>
      </c>
      <c r="O243" s="8"/>
      <c r="P243" s="8"/>
      <c r="Q243" s="8"/>
      <c r="R243" s="8" t="s">
        <v>28</v>
      </c>
      <c r="S243" s="2" t="s">
        <v>148</v>
      </c>
      <c r="T243" s="2">
        <f>IF(C243=0,0,IF(C243&gt;=CALL_LOOKUP_BOARD!$B$7,IF(OR(K243="Problem Call",K243="Explosive Alert"),10000000,20000000),0)+IF(C243&gt;=CALL_LOOKUP_BOARD!$B$7,J243*1000+MIN(C243,999),C243*1000+J243)+0.00994200)</f>
        <v>1097.009942</v>
      </c>
      <c r="U243" s="2">
        <f>IF(C243=0,"",IF(COUNTIFS($S$186:$S$367,SUBSTITUTE(SUBSTITUTE(SUBSTITUTE(S243,"~","~~"),"*","~*"),"?","~?"),$T$186:$T$367,"&gt;"&amp;T243)=0,S243,""))</f>
        <v/>
      </c>
    </row>
    <row r="244" spans="1:21" ht="38" customHeight="1">
      <c r="A244" s="8" t="s">
        <v>147</v>
      </c>
      <c r="B244" s="8" t="s">
        <v>81</v>
      </c>
      <c r="C244" s="12">
        <f>COUNTIFS('DEF_SELF_SCOUT_IMPORT'!$L$42:$L$1040,"Y",'DEF_SELF_SCOUT_IMPORT'!$E$42:$E$1040,SUBSTITUTE(SUBSTITUTE(SUBSTITUTE($B244,"~","~~"),"*","~*"),"?","~?"),'DEF_SELF_SCOUT_IMPORT'!$Q$42:$Q$1040,SUBSTITUTE(SUBSTITUTE(SUBSTITUTE($M244,"~","~~"),"*","~*"),"?","~?"),'DEF_SELF_SCOUT_IMPORT'!$F$42:$F$1040,SUBSTITUTE(SUBSTITUTE(SUBSTITUTE($N244,"~","~~"),"*","~*"),"?","~?"))</f>
        <v>1</v>
      </c>
      <c r="D244" s="10">
        <f>IF($C244=0,"",SUMIFS('DEF_SELF_SCOUT_IMPORT'!$J$42:$J$1040,'DEF_SELF_SCOUT_IMPORT'!$L$42:$L$1040,"Y",'DEF_SELF_SCOUT_IMPORT'!$E$42:$E$1040,SUBSTITUTE(SUBSTITUTE(SUBSTITUTE($B244,"~","~~"),"*","~*"),"?","~?"),'DEF_SELF_SCOUT_IMPORT'!$Q$42:$Q$1040,SUBSTITUTE(SUBSTITUTE(SUBSTITUTE($M244,"~","~~"),"*","~*"),"?","~?"),'DEF_SELF_SCOUT_IMPORT'!$F$42:$F$1040,SUBSTITUTE(SUBSTITUTE(SUBSTITUTE($N244,"~","~~"),"*","~*"),"?","~?"))/$C244)</f>
        <v>1.0</v>
      </c>
      <c r="E244" s="10">
        <f>IF($C244=0,"",SUMIFS('DEF_SELF_SCOUT_IMPORT'!$K$42:$K$1040,'DEF_SELF_SCOUT_IMPORT'!$L$42:$L$1040,"Y",'DEF_SELF_SCOUT_IMPORT'!$E$42:$E$1040,SUBSTITUTE(SUBSTITUTE(SUBSTITUTE($B244,"~","~~"),"*","~*"),"?","~?"),'DEF_SELF_SCOUT_IMPORT'!$Q$42:$Q$1040,SUBSTITUTE(SUBSTITUTE(SUBSTITUTE($M244,"~","~~"),"*","~*"),"?","~?"),'DEF_SELF_SCOUT_IMPORT'!$F$42:$F$1040,SUBSTITUTE(SUBSTITUTE(SUBSTITUTE($N244,"~","~~"),"*","~*"),"?","~?"))/$C244)</f>
        <v>0.0</v>
      </c>
      <c r="F244" s="11">
        <f>IF($C244=0,"",AVERAGEIFS('DEF_SELF_SCOUT_IMPORT'!$I$42:$I$1040,'DEF_SELF_SCOUT_IMPORT'!$L$42:$L$1040,"Y",'DEF_SELF_SCOUT_IMPORT'!$E$42:$E$1040,SUBSTITUTE(SUBSTITUTE(SUBSTITUTE($B244,"~","~~"),"*","~*"),"?","~?"),'DEF_SELF_SCOUT_IMPORT'!$Q$42:$Q$1040,SUBSTITUTE(SUBSTITUTE(SUBSTITUTE($M244,"~","~~"),"*","~*"),"?","~?"),'DEF_SELF_SCOUT_IMPORT'!$F$42:$F$1040,SUBSTITUTE(SUBSTITUTE(SUBSTITUTE($N244,"~","~~"),"*","~*"),"?","~?")))</f>
        <v>0.0</v>
      </c>
      <c r="G244" s="10">
        <f>IF($C244=0,"",COUNTIFS('DEF_SELF_SCOUT_IMPORT'!$L$42:$L$1040,"Y",'DEF_SELF_SCOUT_IMPORT'!$E$42:$E$1040,SUBSTITUTE(SUBSTITUTE(SUBSTITUTE($B244,"~","~~"),"*","~*"),"?","~?"),'DEF_SELF_SCOUT_IMPORT'!$Q$42:$Q$1040,SUBSTITUTE(SUBSTITUTE(SUBSTITUTE($M244,"~","~~"),"*","~*"),"?","~?"),'DEF_SELF_SCOUT_IMPORT'!$F$42:$F$1040,SUBSTITUTE(SUBSTITUTE(SUBSTITUTE($N244,"~","~~"),"*","~*"),"?","~?"),'DEF_SELF_SCOUT_IMPORT'!$H$42:$H$1040,"RUSH")/$C244)</f>
        <v>0.0</v>
      </c>
      <c r="H244" s="10">
        <f>IF($C244=0,"",COUNTIFS('DEF_SELF_SCOUT_IMPORT'!$L$42:$L$1040,"Y",'DEF_SELF_SCOUT_IMPORT'!$E$42:$E$1040,SUBSTITUTE(SUBSTITUTE(SUBSTITUTE($B244,"~","~~"),"*","~*"),"?","~?"),'DEF_SELF_SCOUT_IMPORT'!$Q$42:$Q$1040,SUBSTITUTE(SUBSTITUTE(SUBSTITUTE($M244,"~","~~"),"*","~*"),"?","~?"),'DEF_SELF_SCOUT_IMPORT'!$F$42:$F$1040,SUBSTITUTE(SUBSTITUTE(SUBSTITUTE($N244,"~","~~"),"*","~*"),"?","~?"),'DEF_SELF_SCOUT_IMPORT'!$H$42:$H$1040,"DROPBACK")/$C244)</f>
        <v>1.0</v>
      </c>
      <c r="I244" s="14" t="str">
        <f>IF(C244=0,"",IF(C244&lt;=2,"TRACK",IF(C244=3,"LOW",IF(C244&lt;=6,"MEDIUM","HIGH"))))</f>
        <v>TRACK</v>
      </c>
      <c r="J244" s="11">
        <f>IF(C244=0,"",ROUND(D244*70+(1-E244)*20+MAX(0,MIN(1,(10-F244)/10))*10,1))</f>
        <v>100.0</v>
      </c>
      <c r="K244" s="14" t="str">
        <f>IF(C244=0,"No Evidence",IF(C244&lt;=2,IF(E244&gt;0,"Explosive Alert","Track Only"),IF(C244=3,"Sample Watch",IF(E244&gt;=START_HERE!$B$31,"Explosive Alert",IF(J244&gt;=80,"Strong Candidate",IF(J244&gt;=65,"Good Candidate",IF(J244&gt;=50,"Mixed / Review","Problem Call")))))))</f>
        <v>Track Only</v>
      </c>
      <c r="L244" s="9" t="str">
        <f>IF(COUNTIFS('DEF_SELF_SCOUT_IMPORT'!$L$42:$L$1040,"Y",'DEF_SELF_SCOUT_IMPORT'!$E$42:$E$1040,SUBSTITUTE(SUBSTITUTE(SUBSTITUTE($B244,"~","~~"),"*","~*"),"?","~?"),'DEF_SELF_SCOUT_IMPORT'!$Q$42:$Q$1040,SUBSTITUTE(SUBSTITUTE(SUBSTITUTE($M244,"~","~~"),"*","~*"),"?","~?"),'DEF_SELF_SCOUT_IMPORT'!$F$42:$F$1040,SUBSTITUTE(SUBSTITUTE(SUBSTITUTE($N244,"~","~~"),"*","~*"),"?","~?"),'DEF_SELF_SCOUT_IMPORT'!$J$42:$J$1040,"")&gt;0,"Unscored clean outcome; review result tags before using score.",IF(C244=0,"No matching defensive reps; film confirmation needed.",IF(K244="Explosive Alert","Explosive risk; review clips before using as answer.",IF(C244&lt;=2,"Track only; not enough sample.",IF(C244=3,IF(E244&gt;0,"Sample watch with explosive exposure; review clips and build the sample.",IF(J244&gt;=65,"Good signal, but sample is limited.","Sample watch; review clips and build the sample.")),IF(K244="Problem Call","Problem area; practice or call-sheet review.",IF(K244="Strong Candidate","Strong call-fit candidate; confirm on film.",IF(K244="Good Candidate","Good call-fit signal; confirm on film.","Mixed signal; review fit and execution on film."))))))))</f>
        <v>Track only; not enough sample.</v>
      </c>
      <c r="M244" s="8" t="s">
        <v>76</v>
      </c>
      <c r="N244" s="8" t="s">
        <v>120</v>
      </c>
      <c r="O244" s="8"/>
      <c r="P244" s="8"/>
      <c r="Q244" s="8"/>
      <c r="R244" s="8" t="s">
        <v>28</v>
      </c>
      <c r="S244" s="2" t="s">
        <v>148</v>
      </c>
      <c r="T244" s="2">
        <f>IF(C244=0,0,IF(C244&gt;=CALL_LOOKUP_BOARD!$B$7,IF(OR(K244="Problem Call",K244="Explosive Alert"),10000000,20000000),0)+IF(C244&gt;=CALL_LOOKUP_BOARD!$B$7,J244*1000+MIN(C244,999),C244*1000+J244)+0.00994100)</f>
        <v>1100.009941</v>
      </c>
      <c r="U244" s="2">
        <f>IF(C244=0,"",IF(COUNTIFS($S$186:$S$367,SUBSTITUTE(SUBSTITUTE(SUBSTITUTE(S244,"~","~~"),"*","~*"),"?","~?"),$T$186:$T$367,"&gt;"&amp;T244)=0,S244,""))</f>
        <v/>
      </c>
    </row>
    <row r="245" spans="1:21" ht="38" customHeight="1">
      <c r="A245" s="8" t="s">
        <v>147</v>
      </c>
      <c r="B245" s="8" t="s">
        <v>61</v>
      </c>
      <c r="C245" s="12">
        <f>COUNTIFS('DEF_SELF_SCOUT_IMPORT'!$L$42:$L$1040,"Y",'DEF_SELF_SCOUT_IMPORT'!$E$42:$E$1040,SUBSTITUTE(SUBSTITUTE(SUBSTITUTE($B245,"~","~~"),"*","~*"),"?","~?"),'DEF_SELF_SCOUT_IMPORT'!$Q$42:$Q$1040,SUBSTITUTE(SUBSTITUTE(SUBSTITUTE($M245,"~","~~"),"*","~*"),"?","~?"),'DEF_SELF_SCOUT_IMPORT'!$F$42:$F$1040,SUBSTITUTE(SUBSTITUTE(SUBSTITUTE($N245,"~","~~"),"*","~*"),"?","~?"))</f>
        <v>3</v>
      </c>
      <c r="D245" s="10">
        <f>IF($C245=0,"",SUMIFS('DEF_SELF_SCOUT_IMPORT'!$J$42:$J$1040,'DEF_SELF_SCOUT_IMPORT'!$L$42:$L$1040,"Y",'DEF_SELF_SCOUT_IMPORT'!$E$42:$E$1040,SUBSTITUTE(SUBSTITUTE(SUBSTITUTE($B245,"~","~~"),"*","~*"),"?","~?"),'DEF_SELF_SCOUT_IMPORT'!$Q$42:$Q$1040,SUBSTITUTE(SUBSTITUTE(SUBSTITUTE($M245,"~","~~"),"*","~*"),"?","~?"),'DEF_SELF_SCOUT_IMPORT'!$F$42:$F$1040,SUBSTITUTE(SUBSTITUTE(SUBSTITUTE($N245,"~","~~"),"*","~*"),"?","~?"))/$C245)</f>
        <v>0.3333333333333333</v>
      </c>
      <c r="E245" s="10">
        <f>IF($C245=0,"",SUMIFS('DEF_SELF_SCOUT_IMPORT'!$K$42:$K$1040,'DEF_SELF_SCOUT_IMPORT'!$L$42:$L$1040,"Y",'DEF_SELF_SCOUT_IMPORT'!$E$42:$E$1040,SUBSTITUTE(SUBSTITUTE(SUBSTITUTE($B245,"~","~~"),"*","~*"),"?","~?"),'DEF_SELF_SCOUT_IMPORT'!$Q$42:$Q$1040,SUBSTITUTE(SUBSTITUTE(SUBSTITUTE($M245,"~","~~"),"*","~*"),"?","~?"),'DEF_SELF_SCOUT_IMPORT'!$F$42:$F$1040,SUBSTITUTE(SUBSTITUTE(SUBSTITUTE($N245,"~","~~"),"*","~*"),"?","~?"))/$C245)</f>
        <v>0.0</v>
      </c>
      <c r="F245" s="11">
        <f>IF($C245=0,"",AVERAGEIFS('DEF_SELF_SCOUT_IMPORT'!$I$42:$I$1040,'DEF_SELF_SCOUT_IMPORT'!$L$42:$L$1040,"Y",'DEF_SELF_SCOUT_IMPORT'!$E$42:$E$1040,SUBSTITUTE(SUBSTITUTE(SUBSTITUTE($B245,"~","~~"),"*","~*"),"?","~?"),'DEF_SELF_SCOUT_IMPORT'!$Q$42:$Q$1040,SUBSTITUTE(SUBSTITUTE(SUBSTITUTE($M245,"~","~~"),"*","~*"),"?","~?"),'DEF_SELF_SCOUT_IMPORT'!$F$42:$F$1040,SUBSTITUTE(SUBSTITUTE(SUBSTITUTE($N245,"~","~~"),"*","~*"),"?","~?")))</f>
        <v>4.333333333333333</v>
      </c>
      <c r="G245" s="10">
        <f>IF($C245=0,"",COUNTIFS('DEF_SELF_SCOUT_IMPORT'!$L$42:$L$1040,"Y",'DEF_SELF_SCOUT_IMPORT'!$E$42:$E$1040,SUBSTITUTE(SUBSTITUTE(SUBSTITUTE($B245,"~","~~"),"*","~*"),"?","~?"),'DEF_SELF_SCOUT_IMPORT'!$Q$42:$Q$1040,SUBSTITUTE(SUBSTITUTE(SUBSTITUTE($M245,"~","~~"),"*","~*"),"?","~?"),'DEF_SELF_SCOUT_IMPORT'!$F$42:$F$1040,SUBSTITUTE(SUBSTITUTE(SUBSTITUTE($N245,"~","~~"),"*","~*"),"?","~?"),'DEF_SELF_SCOUT_IMPORT'!$H$42:$H$1040,"RUSH")/$C245)</f>
        <v>0.6666666666666666</v>
      </c>
      <c r="H245" s="10">
        <f>IF($C245=0,"",COUNTIFS('DEF_SELF_SCOUT_IMPORT'!$L$42:$L$1040,"Y",'DEF_SELF_SCOUT_IMPORT'!$E$42:$E$1040,SUBSTITUTE(SUBSTITUTE(SUBSTITUTE($B245,"~","~~"),"*","~*"),"?","~?"),'DEF_SELF_SCOUT_IMPORT'!$Q$42:$Q$1040,SUBSTITUTE(SUBSTITUTE(SUBSTITUTE($M245,"~","~~"),"*","~*"),"?","~?"),'DEF_SELF_SCOUT_IMPORT'!$F$42:$F$1040,SUBSTITUTE(SUBSTITUTE(SUBSTITUTE($N245,"~","~~"),"*","~*"),"?","~?"),'DEF_SELF_SCOUT_IMPORT'!$H$42:$H$1040,"DROPBACK")/$C245)</f>
        <v>0.3333333333333333</v>
      </c>
      <c r="I245" s="14" t="str">
        <f>IF(C245=0,"",IF(C245&lt;=2,"TRACK",IF(C245=3,"LOW",IF(C245&lt;=6,"MEDIUM","HIGH"))))</f>
        <v>LOW</v>
      </c>
      <c r="J245" s="11">
        <f>IF(C245=0,"",ROUND(D245*70+(1-E245)*20+MAX(0,MIN(1,(10-F245)/10))*10,1))</f>
        <v>49.0</v>
      </c>
      <c r="K245" s="14" t="str">
        <f>IF(C245=0,"No Evidence",IF(C245&lt;=2,IF(E245&gt;0,"Explosive Alert","Track Only"),IF(C245=3,"Sample Watch",IF(E245&gt;=START_HERE!$B$31,"Explosive Alert",IF(J245&gt;=80,"Strong Candidate",IF(J245&gt;=65,"Good Candidate",IF(J245&gt;=50,"Mixed / Review","Problem Call")))))))</f>
        <v>Sample Watch</v>
      </c>
      <c r="L245" s="9" t="str">
        <f>IF(COUNTIFS('DEF_SELF_SCOUT_IMPORT'!$L$42:$L$1040,"Y",'DEF_SELF_SCOUT_IMPORT'!$E$42:$E$1040,SUBSTITUTE(SUBSTITUTE(SUBSTITUTE($B245,"~","~~"),"*","~*"),"?","~?"),'DEF_SELF_SCOUT_IMPORT'!$Q$42:$Q$1040,SUBSTITUTE(SUBSTITUTE(SUBSTITUTE($M245,"~","~~"),"*","~*"),"?","~?"),'DEF_SELF_SCOUT_IMPORT'!$F$42:$F$1040,SUBSTITUTE(SUBSTITUTE(SUBSTITUTE($N245,"~","~~"),"*","~*"),"?","~?"),'DEF_SELF_SCOUT_IMPORT'!$J$42:$J$1040,"")&gt;0,"Unscored clean outcome; review result tags before using score.",IF(C245=0,"No matching defensive reps; film confirmation needed.",IF(K245="Explosive Alert","Explosive risk; review clips before using as answer.",IF(C245&lt;=2,"Track only; not enough sample.",IF(C245=3,IF(E245&gt;0,"Sample watch with explosive exposure; review clips and build the sample.",IF(J245&gt;=65,"Good signal, but sample is limited.","Sample watch; review clips and build the sample.")),IF(K245="Problem Call","Problem area; practice or call-sheet review.",IF(K245="Strong Candidate","Strong call-fit candidate; confirm on film.",IF(K245="Good Candidate","Good call-fit signal; confirm on film.","Mixed signal; review fit and execution on film."))))))))</f>
        <v>Sample watch; review clips and build the sample.</v>
      </c>
      <c r="M245" s="8" t="s">
        <v>76</v>
      </c>
      <c r="N245" s="8" t="s">
        <v>120</v>
      </c>
      <c r="O245" s="8"/>
      <c r="P245" s="8"/>
      <c r="Q245" s="8"/>
      <c r="R245" s="8" t="s">
        <v>28</v>
      </c>
      <c r="S245" s="2" t="s">
        <v>148</v>
      </c>
      <c r="T245" s="2">
        <f>IF(C245=0,0,IF(C245&gt;=CALL_LOOKUP_BOARD!$B$7,IF(OR(K245="Problem Call",K245="Explosive Alert"),10000000,20000000),0)+IF(C245&gt;=CALL_LOOKUP_BOARD!$B$7,J245*1000+MIN(C245,999),C245*1000+J245)+0.00994000)</f>
        <v>3049.00994</v>
      </c>
      <c r="U245" s="2" t="str">
        <f>IF(C245=0,"",IF(COUNTIFS($S$186:$S$367,SUBSTITUTE(SUBSTITUTE(SUBSTITUTE(S245,"~","~~"),"*","~*"),"?","~?"),$T$186:$T$367,"&gt;"&amp;T245)=0,S245,""))</f>
        <v>6:2D 11+|2:11|</v>
      </c>
    </row>
    <row r="246" spans="1:21" ht="38" customHeight="1">
      <c r="A246" s="8" t="s">
        <v>147</v>
      </c>
      <c r="B246" s="8" t="s">
        <v>63</v>
      </c>
      <c r="C246" s="12">
        <f>COUNTIFS('DEF_SELF_SCOUT_IMPORT'!$L$42:$L$1040,"Y",'DEF_SELF_SCOUT_IMPORT'!$E$42:$E$1040,SUBSTITUTE(SUBSTITUTE(SUBSTITUTE($B246,"~","~~"),"*","~*"),"?","~?"),'DEF_SELF_SCOUT_IMPORT'!$Q$42:$Q$1040,SUBSTITUTE(SUBSTITUTE(SUBSTITUTE($M246,"~","~~"),"*","~*"),"?","~?"),'DEF_SELF_SCOUT_IMPORT'!$F$42:$F$1040,SUBSTITUTE(SUBSTITUTE(SUBSTITUTE($N246,"~","~~"),"*","~*"),"?","~?"))</f>
        <v>1</v>
      </c>
      <c r="D246" s="10">
        <f>IF($C246=0,"",SUMIFS('DEF_SELF_SCOUT_IMPORT'!$J$42:$J$1040,'DEF_SELF_SCOUT_IMPORT'!$L$42:$L$1040,"Y",'DEF_SELF_SCOUT_IMPORT'!$E$42:$E$1040,SUBSTITUTE(SUBSTITUTE(SUBSTITUTE($B246,"~","~~"),"*","~*"),"?","~?"),'DEF_SELF_SCOUT_IMPORT'!$Q$42:$Q$1040,SUBSTITUTE(SUBSTITUTE(SUBSTITUTE($M246,"~","~~"),"*","~*"),"?","~?"),'DEF_SELF_SCOUT_IMPORT'!$F$42:$F$1040,SUBSTITUTE(SUBSTITUTE(SUBSTITUTE($N246,"~","~~"),"*","~*"),"?","~?"))/$C246)</f>
        <v>0.0</v>
      </c>
      <c r="E246" s="10">
        <f>IF($C246=0,"",SUMIFS('DEF_SELF_SCOUT_IMPORT'!$K$42:$K$1040,'DEF_SELF_SCOUT_IMPORT'!$L$42:$L$1040,"Y",'DEF_SELF_SCOUT_IMPORT'!$E$42:$E$1040,SUBSTITUTE(SUBSTITUTE(SUBSTITUTE($B246,"~","~~"),"*","~*"),"?","~?"),'DEF_SELF_SCOUT_IMPORT'!$Q$42:$Q$1040,SUBSTITUTE(SUBSTITUTE(SUBSTITUTE($M246,"~","~~"),"*","~*"),"?","~?"),'DEF_SELF_SCOUT_IMPORT'!$F$42:$F$1040,SUBSTITUTE(SUBSTITUTE(SUBSTITUTE($N246,"~","~~"),"*","~*"),"?","~?"))/$C246)</f>
        <v>0.0</v>
      </c>
      <c r="F246" s="11">
        <f>IF($C246=0,"",AVERAGEIFS('DEF_SELF_SCOUT_IMPORT'!$I$42:$I$1040,'DEF_SELF_SCOUT_IMPORT'!$L$42:$L$1040,"Y",'DEF_SELF_SCOUT_IMPORT'!$E$42:$E$1040,SUBSTITUTE(SUBSTITUTE(SUBSTITUTE($B246,"~","~~"),"*","~*"),"?","~?"),'DEF_SELF_SCOUT_IMPORT'!$Q$42:$Q$1040,SUBSTITUTE(SUBSTITUTE(SUBSTITUTE($M246,"~","~~"),"*","~*"),"?","~?"),'DEF_SELF_SCOUT_IMPORT'!$F$42:$F$1040,SUBSTITUTE(SUBSTITUTE(SUBSTITUTE($N246,"~","~~"),"*","~*"),"?","~?")))</f>
        <v>13.0</v>
      </c>
      <c r="G246" s="10">
        <f>IF($C246=0,"",COUNTIFS('DEF_SELF_SCOUT_IMPORT'!$L$42:$L$1040,"Y",'DEF_SELF_SCOUT_IMPORT'!$E$42:$E$1040,SUBSTITUTE(SUBSTITUTE(SUBSTITUTE($B246,"~","~~"),"*","~*"),"?","~?"),'DEF_SELF_SCOUT_IMPORT'!$Q$42:$Q$1040,SUBSTITUTE(SUBSTITUTE(SUBSTITUTE($M246,"~","~~"),"*","~*"),"?","~?"),'DEF_SELF_SCOUT_IMPORT'!$F$42:$F$1040,SUBSTITUTE(SUBSTITUTE(SUBSTITUTE($N246,"~","~~"),"*","~*"),"?","~?"),'DEF_SELF_SCOUT_IMPORT'!$H$42:$H$1040,"RUSH")/$C246)</f>
        <v>0.0</v>
      </c>
      <c r="H246" s="10">
        <f>IF($C246=0,"",COUNTIFS('DEF_SELF_SCOUT_IMPORT'!$L$42:$L$1040,"Y",'DEF_SELF_SCOUT_IMPORT'!$E$42:$E$1040,SUBSTITUTE(SUBSTITUTE(SUBSTITUTE($B246,"~","~~"),"*","~*"),"?","~?"),'DEF_SELF_SCOUT_IMPORT'!$Q$42:$Q$1040,SUBSTITUTE(SUBSTITUTE(SUBSTITUTE($M246,"~","~~"),"*","~*"),"?","~?"),'DEF_SELF_SCOUT_IMPORT'!$F$42:$F$1040,SUBSTITUTE(SUBSTITUTE(SUBSTITUTE($N246,"~","~~"),"*","~*"),"?","~?"),'DEF_SELF_SCOUT_IMPORT'!$H$42:$H$1040,"DROPBACK")/$C246)</f>
        <v>1.0</v>
      </c>
      <c r="I246" s="14" t="str">
        <f>IF(C246=0,"",IF(C246&lt;=2,"TRACK",IF(C246=3,"LOW",IF(C246&lt;=6,"MEDIUM","HIGH"))))</f>
        <v>TRACK</v>
      </c>
      <c r="J246" s="11">
        <f>IF(C246=0,"",ROUND(D246*70+(1-E246)*20+MAX(0,MIN(1,(10-F246)/10))*10,1))</f>
        <v>20.0</v>
      </c>
      <c r="K246" s="14" t="str">
        <f>IF(C246=0,"No Evidence",IF(C246&lt;=2,IF(E246&gt;0,"Explosive Alert","Track Only"),IF(C246=3,"Sample Watch",IF(E246&gt;=START_HERE!$B$31,"Explosive Alert",IF(J246&gt;=80,"Strong Candidate",IF(J246&gt;=65,"Good Candidate",IF(J246&gt;=50,"Mixed / Review","Problem Call")))))))</f>
        <v>Track Only</v>
      </c>
      <c r="L246" s="9" t="str">
        <f>IF(COUNTIFS('DEF_SELF_SCOUT_IMPORT'!$L$42:$L$1040,"Y",'DEF_SELF_SCOUT_IMPORT'!$E$42:$E$1040,SUBSTITUTE(SUBSTITUTE(SUBSTITUTE($B246,"~","~~"),"*","~*"),"?","~?"),'DEF_SELF_SCOUT_IMPORT'!$Q$42:$Q$1040,SUBSTITUTE(SUBSTITUTE(SUBSTITUTE($M246,"~","~~"),"*","~*"),"?","~?"),'DEF_SELF_SCOUT_IMPORT'!$F$42:$F$1040,SUBSTITUTE(SUBSTITUTE(SUBSTITUTE($N246,"~","~~"),"*","~*"),"?","~?"),'DEF_SELF_SCOUT_IMPORT'!$J$42:$J$1040,"")&gt;0,"Unscored clean outcome; review result tags before using score.",IF(C246=0,"No matching defensive reps; film confirmation needed.",IF(K246="Explosive Alert","Explosive risk; review clips before using as answer.",IF(C246&lt;=2,"Track only; not enough sample.",IF(C246=3,IF(E246&gt;0,"Sample watch with explosive exposure; review clips and build the sample.",IF(J246&gt;=65,"Good signal, but sample is limited.","Sample watch; review clips and build the sample.")),IF(K246="Problem Call","Problem area; practice or call-sheet review.",IF(K246="Strong Candidate","Strong call-fit candidate; confirm on film.",IF(K246="Good Candidate","Good call-fit signal; confirm on film.","Mixed signal; review fit and execution on film."))))))))</f>
        <v>Track only; not enough sample.</v>
      </c>
      <c r="M246" s="8" t="s">
        <v>76</v>
      </c>
      <c r="N246" s="8" t="s">
        <v>120</v>
      </c>
      <c r="O246" s="8"/>
      <c r="P246" s="8"/>
      <c r="Q246" s="8"/>
      <c r="R246" s="8" t="s">
        <v>28</v>
      </c>
      <c r="S246" s="2" t="s">
        <v>148</v>
      </c>
      <c r="T246" s="2">
        <f>IF(C246=0,0,IF(C246&gt;=CALL_LOOKUP_BOARD!$B$7,IF(OR(K246="Problem Call",K246="Explosive Alert"),10000000,20000000),0)+IF(C246&gt;=CALL_LOOKUP_BOARD!$B$7,J246*1000+MIN(C246,999),C246*1000+J246)+0.00993900)</f>
        <v>1020.009939</v>
      </c>
      <c r="U246" s="2">
        <f>IF(C246=0,"",IF(COUNTIFS($S$186:$S$367,SUBSTITUTE(SUBSTITUTE(SUBSTITUTE(S246,"~","~~"),"*","~*"),"?","~?"),$T$186:$T$367,"&gt;"&amp;T246)=0,S246,""))</f>
        <v/>
      </c>
    </row>
    <row r="247" spans="1:21" ht="38" customHeight="1">
      <c r="A247" s="8" t="s">
        <v>147</v>
      </c>
      <c r="B247" s="8" t="s">
        <v>64</v>
      </c>
      <c r="C247" s="12">
        <f>COUNTIFS('DEF_SELF_SCOUT_IMPORT'!$L$42:$L$1040,"Y",'DEF_SELF_SCOUT_IMPORT'!$E$42:$E$1040,SUBSTITUTE(SUBSTITUTE(SUBSTITUTE($B247,"~","~~"),"*","~*"),"?","~?"),'DEF_SELF_SCOUT_IMPORT'!$Q$42:$Q$1040,SUBSTITUTE(SUBSTITUTE(SUBSTITUTE($M247,"~","~~"),"*","~*"),"?","~?"),'DEF_SELF_SCOUT_IMPORT'!$F$42:$F$1040,SUBSTITUTE(SUBSTITUTE(SUBSTITUTE($N247,"~","~~"),"*","~*"),"?","~?"))</f>
        <v>1</v>
      </c>
      <c r="D247" s="10">
        <f>IF($C247=0,"",SUMIFS('DEF_SELF_SCOUT_IMPORT'!$J$42:$J$1040,'DEF_SELF_SCOUT_IMPORT'!$L$42:$L$1040,"Y",'DEF_SELF_SCOUT_IMPORT'!$E$42:$E$1040,SUBSTITUTE(SUBSTITUTE(SUBSTITUTE($B247,"~","~~"),"*","~*"),"?","~?"),'DEF_SELF_SCOUT_IMPORT'!$Q$42:$Q$1040,SUBSTITUTE(SUBSTITUTE(SUBSTITUTE($M247,"~","~~"),"*","~*"),"?","~?"),'DEF_SELF_SCOUT_IMPORT'!$F$42:$F$1040,SUBSTITUTE(SUBSTITUTE(SUBSTITUTE($N247,"~","~~"),"*","~*"),"?","~?"))/$C247)</f>
        <v>1.0</v>
      </c>
      <c r="E247" s="10">
        <f>IF($C247=0,"",SUMIFS('DEF_SELF_SCOUT_IMPORT'!$K$42:$K$1040,'DEF_SELF_SCOUT_IMPORT'!$L$42:$L$1040,"Y",'DEF_SELF_SCOUT_IMPORT'!$E$42:$E$1040,SUBSTITUTE(SUBSTITUTE(SUBSTITUTE($B247,"~","~~"),"*","~*"),"?","~?"),'DEF_SELF_SCOUT_IMPORT'!$Q$42:$Q$1040,SUBSTITUTE(SUBSTITUTE(SUBSTITUTE($M247,"~","~~"),"*","~*"),"?","~?"),'DEF_SELF_SCOUT_IMPORT'!$F$42:$F$1040,SUBSTITUTE(SUBSTITUTE(SUBSTITUTE($N247,"~","~~"),"*","~*"),"?","~?"))/$C247)</f>
        <v>0.0</v>
      </c>
      <c r="F247" s="11">
        <f>IF($C247=0,"",AVERAGEIFS('DEF_SELF_SCOUT_IMPORT'!$I$42:$I$1040,'DEF_SELF_SCOUT_IMPORT'!$L$42:$L$1040,"Y",'DEF_SELF_SCOUT_IMPORT'!$E$42:$E$1040,SUBSTITUTE(SUBSTITUTE(SUBSTITUTE($B247,"~","~~"),"*","~*"),"?","~?"),'DEF_SELF_SCOUT_IMPORT'!$Q$42:$Q$1040,SUBSTITUTE(SUBSTITUTE(SUBSTITUTE($M247,"~","~~"),"*","~*"),"?","~?"),'DEF_SELF_SCOUT_IMPORT'!$F$42:$F$1040,SUBSTITUTE(SUBSTITUTE(SUBSTITUTE($N247,"~","~~"),"*","~*"),"?","~?")))</f>
        <v>5.0</v>
      </c>
      <c r="G247" s="10">
        <f>IF($C247=0,"",COUNTIFS('DEF_SELF_SCOUT_IMPORT'!$L$42:$L$1040,"Y",'DEF_SELF_SCOUT_IMPORT'!$E$42:$E$1040,SUBSTITUTE(SUBSTITUTE(SUBSTITUTE($B247,"~","~~"),"*","~*"),"?","~?"),'DEF_SELF_SCOUT_IMPORT'!$Q$42:$Q$1040,SUBSTITUTE(SUBSTITUTE(SUBSTITUTE($M247,"~","~~"),"*","~*"),"?","~?"),'DEF_SELF_SCOUT_IMPORT'!$F$42:$F$1040,SUBSTITUTE(SUBSTITUTE(SUBSTITUTE($N247,"~","~~"),"*","~*"),"?","~?"),'DEF_SELF_SCOUT_IMPORT'!$H$42:$H$1040,"RUSH")/$C247)</f>
        <v>0.0</v>
      </c>
      <c r="H247" s="10">
        <f>IF($C247=0,"",COUNTIFS('DEF_SELF_SCOUT_IMPORT'!$L$42:$L$1040,"Y",'DEF_SELF_SCOUT_IMPORT'!$E$42:$E$1040,SUBSTITUTE(SUBSTITUTE(SUBSTITUTE($B247,"~","~~"),"*","~*"),"?","~?"),'DEF_SELF_SCOUT_IMPORT'!$Q$42:$Q$1040,SUBSTITUTE(SUBSTITUTE(SUBSTITUTE($M247,"~","~~"),"*","~*"),"?","~?"),'DEF_SELF_SCOUT_IMPORT'!$F$42:$F$1040,SUBSTITUTE(SUBSTITUTE(SUBSTITUTE($N247,"~","~~"),"*","~*"),"?","~?"),'DEF_SELF_SCOUT_IMPORT'!$H$42:$H$1040,"DROPBACK")/$C247)</f>
        <v>1.0</v>
      </c>
      <c r="I247" s="14" t="str">
        <f>IF(C247=0,"",IF(C247&lt;=2,"TRACK",IF(C247=3,"LOW",IF(C247&lt;=6,"MEDIUM","HIGH"))))</f>
        <v>TRACK</v>
      </c>
      <c r="J247" s="11">
        <f>IF(C247=0,"",ROUND(D247*70+(1-E247)*20+MAX(0,MIN(1,(10-F247)/10))*10,1))</f>
        <v>95.0</v>
      </c>
      <c r="K247" s="14" t="str">
        <f>IF(C247=0,"No Evidence",IF(C247&lt;=2,IF(E247&gt;0,"Explosive Alert","Track Only"),IF(C247=3,"Sample Watch",IF(E247&gt;=START_HERE!$B$31,"Explosive Alert",IF(J247&gt;=80,"Strong Candidate",IF(J247&gt;=65,"Good Candidate",IF(J247&gt;=50,"Mixed / Review","Problem Call")))))))</f>
        <v>Track Only</v>
      </c>
      <c r="L247" s="9" t="str">
        <f>IF(COUNTIFS('DEF_SELF_SCOUT_IMPORT'!$L$42:$L$1040,"Y",'DEF_SELF_SCOUT_IMPORT'!$E$42:$E$1040,SUBSTITUTE(SUBSTITUTE(SUBSTITUTE($B247,"~","~~"),"*","~*"),"?","~?"),'DEF_SELF_SCOUT_IMPORT'!$Q$42:$Q$1040,SUBSTITUTE(SUBSTITUTE(SUBSTITUTE($M247,"~","~~"),"*","~*"),"?","~?"),'DEF_SELF_SCOUT_IMPORT'!$F$42:$F$1040,SUBSTITUTE(SUBSTITUTE(SUBSTITUTE($N247,"~","~~"),"*","~*"),"?","~?"),'DEF_SELF_SCOUT_IMPORT'!$J$42:$J$1040,"")&gt;0,"Unscored clean outcome; review result tags before using score.",IF(C247=0,"No matching defensive reps; film confirmation needed.",IF(K247="Explosive Alert","Explosive risk; review clips before using as answer.",IF(C247&lt;=2,"Track only; not enough sample.",IF(C247=3,IF(E247&gt;0,"Sample watch with explosive exposure; review clips and build the sample.",IF(J247&gt;=65,"Good signal, but sample is limited.","Sample watch; review clips and build the sample.")),IF(K247="Problem Call","Problem area; practice or call-sheet review.",IF(K247="Strong Candidate","Strong call-fit candidate; confirm on film.",IF(K247="Good Candidate","Good call-fit signal; confirm on film.","Mixed signal; review fit and execution on film."))))))))</f>
        <v>Track only; not enough sample.</v>
      </c>
      <c r="M247" s="8" t="s">
        <v>76</v>
      </c>
      <c r="N247" s="8" t="s">
        <v>120</v>
      </c>
      <c r="O247" s="8"/>
      <c r="P247" s="8"/>
      <c r="Q247" s="8"/>
      <c r="R247" s="8" t="s">
        <v>28</v>
      </c>
      <c r="S247" s="2" t="s">
        <v>148</v>
      </c>
      <c r="T247" s="2">
        <f>IF(C247=0,0,IF(C247&gt;=CALL_LOOKUP_BOARD!$B$7,IF(OR(K247="Problem Call",K247="Explosive Alert"),10000000,20000000),0)+IF(C247&gt;=CALL_LOOKUP_BOARD!$B$7,J247*1000+MIN(C247,999),C247*1000+J247)+0.00993800)</f>
        <v>1095.009938</v>
      </c>
      <c r="U247" s="2">
        <f>IF(C247=0,"",IF(COUNTIFS($S$186:$S$367,SUBSTITUTE(SUBSTITUTE(SUBSTITUTE(S247,"~","~~"),"*","~*"),"?","~?"),$T$186:$T$367,"&gt;"&amp;T247)=0,S247,""))</f>
        <v/>
      </c>
    </row>
    <row r="248" spans="1:21" ht="38" customHeight="1">
      <c r="A248" s="8" t="s">
        <v>149</v>
      </c>
      <c r="B248" s="8" t="s">
        <v>79</v>
      </c>
      <c r="C248" s="12">
        <f>COUNTIFS('DEF_SELF_SCOUT_IMPORT'!$L$42:$L$1040,"Y",'DEF_SELF_SCOUT_IMPORT'!$E$42:$E$1040,SUBSTITUTE(SUBSTITUTE(SUBSTITUTE($B248,"~","~~"),"*","~*"),"?","~?"),'DEF_SELF_SCOUT_IMPORT'!$Q$42:$Q$1040,SUBSTITUTE(SUBSTITUTE(SUBSTITUTE($M248,"~","~~"),"*","~*"),"?","~?"),'DEF_SELF_SCOUT_IMPORT'!$F$42:$F$1040,SUBSTITUTE(SUBSTITUTE(SUBSTITUTE($N248,"~","~~"),"*","~*"),"?","~?"))</f>
        <v>1</v>
      </c>
      <c r="D248" s="10">
        <f>IF($C248=0,"",SUMIFS('DEF_SELF_SCOUT_IMPORT'!$J$42:$J$1040,'DEF_SELF_SCOUT_IMPORT'!$L$42:$L$1040,"Y",'DEF_SELF_SCOUT_IMPORT'!$E$42:$E$1040,SUBSTITUTE(SUBSTITUTE(SUBSTITUTE($B248,"~","~~"),"*","~*"),"?","~?"),'DEF_SELF_SCOUT_IMPORT'!$Q$42:$Q$1040,SUBSTITUTE(SUBSTITUTE(SUBSTITUTE($M248,"~","~~"),"*","~*"),"?","~?"),'DEF_SELF_SCOUT_IMPORT'!$F$42:$F$1040,SUBSTITUTE(SUBSTITUTE(SUBSTITUTE($N248,"~","~~"),"*","~*"),"?","~?"))/$C248)</f>
        <v>1.0</v>
      </c>
      <c r="E248" s="10">
        <f>IF($C248=0,"",SUMIFS('DEF_SELF_SCOUT_IMPORT'!$K$42:$K$1040,'DEF_SELF_SCOUT_IMPORT'!$L$42:$L$1040,"Y",'DEF_SELF_SCOUT_IMPORT'!$E$42:$E$1040,SUBSTITUTE(SUBSTITUTE(SUBSTITUTE($B248,"~","~~"),"*","~*"),"?","~?"),'DEF_SELF_SCOUT_IMPORT'!$Q$42:$Q$1040,SUBSTITUTE(SUBSTITUTE(SUBSTITUTE($M248,"~","~~"),"*","~*"),"?","~?"),'DEF_SELF_SCOUT_IMPORT'!$F$42:$F$1040,SUBSTITUTE(SUBSTITUTE(SUBSTITUTE($N248,"~","~~"),"*","~*"),"?","~?"))/$C248)</f>
        <v>0.0</v>
      </c>
      <c r="F248" s="11">
        <f>IF($C248=0,"",AVERAGEIFS('DEF_SELF_SCOUT_IMPORT'!$I$42:$I$1040,'DEF_SELF_SCOUT_IMPORT'!$L$42:$L$1040,"Y",'DEF_SELF_SCOUT_IMPORT'!$E$42:$E$1040,SUBSTITUTE(SUBSTITUTE(SUBSTITUTE($B248,"~","~~"),"*","~*"),"?","~?"),'DEF_SELF_SCOUT_IMPORT'!$Q$42:$Q$1040,SUBSTITUTE(SUBSTITUTE(SUBSTITUTE($M248,"~","~~"),"*","~*"),"?","~?"),'DEF_SELF_SCOUT_IMPORT'!$F$42:$F$1040,SUBSTITUTE(SUBSTITUTE(SUBSTITUTE($N248,"~","~~"),"*","~*"),"?","~?")))</f>
        <v>5.0</v>
      </c>
      <c r="G248" s="10">
        <f>IF($C248=0,"",COUNTIFS('DEF_SELF_SCOUT_IMPORT'!$L$42:$L$1040,"Y",'DEF_SELF_SCOUT_IMPORT'!$E$42:$E$1040,SUBSTITUTE(SUBSTITUTE(SUBSTITUTE($B248,"~","~~"),"*","~*"),"?","~?"),'DEF_SELF_SCOUT_IMPORT'!$Q$42:$Q$1040,SUBSTITUTE(SUBSTITUTE(SUBSTITUTE($M248,"~","~~"),"*","~*"),"?","~?"),'DEF_SELF_SCOUT_IMPORT'!$F$42:$F$1040,SUBSTITUTE(SUBSTITUTE(SUBSTITUTE($N248,"~","~~"),"*","~*"),"?","~?"),'DEF_SELF_SCOUT_IMPORT'!$H$42:$H$1040,"RUSH")/$C248)</f>
        <v>0.0</v>
      </c>
      <c r="H248" s="10">
        <f>IF($C248=0,"",COUNTIFS('DEF_SELF_SCOUT_IMPORT'!$L$42:$L$1040,"Y",'DEF_SELF_SCOUT_IMPORT'!$E$42:$E$1040,SUBSTITUTE(SUBSTITUTE(SUBSTITUTE($B248,"~","~~"),"*","~*"),"?","~?"),'DEF_SELF_SCOUT_IMPORT'!$Q$42:$Q$1040,SUBSTITUTE(SUBSTITUTE(SUBSTITUTE($M248,"~","~~"),"*","~*"),"?","~?"),'DEF_SELF_SCOUT_IMPORT'!$F$42:$F$1040,SUBSTITUTE(SUBSTITUTE(SUBSTITUTE($N248,"~","~~"),"*","~*"),"?","~?"),'DEF_SELF_SCOUT_IMPORT'!$H$42:$H$1040,"DROPBACK")/$C248)</f>
        <v>1.0</v>
      </c>
      <c r="I248" s="14" t="str">
        <f>IF(C248=0,"",IF(C248&lt;=2,"TRACK",IF(C248=3,"LOW",IF(C248&lt;=6,"MEDIUM","HIGH"))))</f>
        <v>TRACK</v>
      </c>
      <c r="J248" s="11">
        <f>IF(C248=0,"",ROUND(D248*70+(1-E248)*20+MAX(0,MIN(1,(10-F248)/10))*10,1))</f>
        <v>95.0</v>
      </c>
      <c r="K248" s="14" t="str">
        <f>IF(C248=0,"No Evidence",IF(C248&lt;=2,IF(E248&gt;0,"Explosive Alert","Track Only"),IF(C248=3,"Sample Watch",IF(E248&gt;=START_HERE!$B$31,"Explosive Alert",IF(J248&gt;=80,"Strong Candidate",IF(J248&gt;=65,"Good Candidate",IF(J248&gt;=50,"Mixed / Review","Problem Call")))))))</f>
        <v>Track Only</v>
      </c>
      <c r="L248" s="9" t="str">
        <f>IF(COUNTIFS('DEF_SELF_SCOUT_IMPORT'!$L$42:$L$1040,"Y",'DEF_SELF_SCOUT_IMPORT'!$E$42:$E$1040,SUBSTITUTE(SUBSTITUTE(SUBSTITUTE($B248,"~","~~"),"*","~*"),"?","~?"),'DEF_SELF_SCOUT_IMPORT'!$Q$42:$Q$1040,SUBSTITUTE(SUBSTITUTE(SUBSTITUTE($M248,"~","~~"),"*","~*"),"?","~?"),'DEF_SELF_SCOUT_IMPORT'!$F$42:$F$1040,SUBSTITUTE(SUBSTITUTE(SUBSTITUTE($N248,"~","~~"),"*","~*"),"?","~?"),'DEF_SELF_SCOUT_IMPORT'!$J$42:$J$1040,"")&gt;0,"Unscored clean outcome; review result tags before using score.",IF(C248=0,"No matching defensive reps; film confirmation needed.",IF(K248="Explosive Alert","Explosive risk; review clips before using as answer.",IF(C248&lt;=2,"Track only; not enough sample.",IF(C248=3,IF(E248&gt;0,"Sample watch with explosive exposure; review clips and build the sample.",IF(J248&gt;=65,"Good signal, but sample is limited.","Sample watch; review clips and build the sample.")),IF(K248="Problem Call","Problem area; practice or call-sheet review.",IF(K248="Strong Candidate","Strong call-fit candidate; confirm on film.",IF(K248="Good Candidate","Good call-fit signal; confirm on film.","Mixed signal; review fit and execution on film."))))))))</f>
        <v>Track only; not enough sample.</v>
      </c>
      <c r="M248" s="8" t="s">
        <v>82</v>
      </c>
      <c r="N248" s="8" t="s">
        <v>132</v>
      </c>
      <c r="O248" s="8"/>
      <c r="P248" s="8"/>
      <c r="Q248" s="8"/>
      <c r="R248" s="8" t="s">
        <v>28</v>
      </c>
      <c r="S248" s="2" t="s">
        <v>150</v>
      </c>
      <c r="T248" s="2">
        <f>IF(C248=0,0,IF(C248&gt;=CALL_LOOKUP_BOARD!$B$7,IF(OR(K248="Problem Call",K248="Explosive Alert"),10000000,20000000),0)+IF(C248&gt;=CALL_LOOKUP_BOARD!$B$7,J248*1000+MIN(C248,999),C248*1000+J248)+0.00993700)</f>
        <v>1095.009937</v>
      </c>
      <c r="U248" s="2">
        <f>IF(C248=0,"",IF(COUNTIFS($S$186:$S$367,SUBSTITUTE(SUBSTITUTE(SUBSTITUTE(S248,"~","~~"),"*","~*"),"?","~?"),$T$186:$T$367,"&gt;"&amp;T248)=0,S248,""))</f>
        <v/>
      </c>
    </row>
    <row r="249" spans="1:21" ht="38" customHeight="1">
      <c r="A249" s="8" t="s">
        <v>149</v>
      </c>
      <c r="B249" s="8" t="s">
        <v>53</v>
      </c>
      <c r="C249" s="12">
        <f>COUNTIFS('DEF_SELF_SCOUT_IMPORT'!$L$42:$L$1040,"Y",'DEF_SELF_SCOUT_IMPORT'!$E$42:$E$1040,SUBSTITUTE(SUBSTITUTE(SUBSTITUTE($B249,"~","~~"),"*","~*"),"?","~?"),'DEF_SELF_SCOUT_IMPORT'!$Q$42:$Q$1040,SUBSTITUTE(SUBSTITUTE(SUBSTITUTE($M249,"~","~~"),"*","~*"),"?","~?"),'DEF_SELF_SCOUT_IMPORT'!$F$42:$F$1040,SUBSTITUTE(SUBSTITUTE(SUBSTITUTE($N249,"~","~~"),"*","~*"),"?","~?"))</f>
        <v>1</v>
      </c>
      <c r="D249" s="10">
        <f>IF($C249=0,"",SUMIFS('DEF_SELF_SCOUT_IMPORT'!$J$42:$J$1040,'DEF_SELF_SCOUT_IMPORT'!$L$42:$L$1040,"Y",'DEF_SELF_SCOUT_IMPORT'!$E$42:$E$1040,SUBSTITUTE(SUBSTITUTE(SUBSTITUTE($B249,"~","~~"),"*","~*"),"?","~?"),'DEF_SELF_SCOUT_IMPORT'!$Q$42:$Q$1040,SUBSTITUTE(SUBSTITUTE(SUBSTITUTE($M249,"~","~~"),"*","~*"),"?","~?"),'DEF_SELF_SCOUT_IMPORT'!$F$42:$F$1040,SUBSTITUTE(SUBSTITUTE(SUBSTITUTE($N249,"~","~~"),"*","~*"),"?","~?"))/$C249)</f>
        <v>1.0</v>
      </c>
      <c r="E249" s="10">
        <f>IF($C249=0,"",SUMIFS('DEF_SELF_SCOUT_IMPORT'!$K$42:$K$1040,'DEF_SELF_SCOUT_IMPORT'!$L$42:$L$1040,"Y",'DEF_SELF_SCOUT_IMPORT'!$E$42:$E$1040,SUBSTITUTE(SUBSTITUTE(SUBSTITUTE($B249,"~","~~"),"*","~*"),"?","~?"),'DEF_SELF_SCOUT_IMPORT'!$Q$42:$Q$1040,SUBSTITUTE(SUBSTITUTE(SUBSTITUTE($M249,"~","~~"),"*","~*"),"?","~?"),'DEF_SELF_SCOUT_IMPORT'!$F$42:$F$1040,SUBSTITUTE(SUBSTITUTE(SUBSTITUTE($N249,"~","~~"),"*","~*"),"?","~?"))/$C249)</f>
        <v>0.0</v>
      </c>
      <c r="F249" s="11">
        <f>IF($C249=0,"",AVERAGEIFS('DEF_SELF_SCOUT_IMPORT'!$I$42:$I$1040,'DEF_SELF_SCOUT_IMPORT'!$L$42:$L$1040,"Y",'DEF_SELF_SCOUT_IMPORT'!$E$42:$E$1040,SUBSTITUTE(SUBSTITUTE(SUBSTITUTE($B249,"~","~~"),"*","~*"),"?","~?"),'DEF_SELF_SCOUT_IMPORT'!$Q$42:$Q$1040,SUBSTITUTE(SUBSTITUTE(SUBSTITUTE($M249,"~","~~"),"*","~*"),"?","~?"),'DEF_SELF_SCOUT_IMPORT'!$F$42:$F$1040,SUBSTITUTE(SUBSTITUTE(SUBSTITUTE($N249,"~","~~"),"*","~*"),"?","~?")))</f>
        <v>2.0</v>
      </c>
      <c r="G249" s="10">
        <f>IF($C249=0,"",COUNTIFS('DEF_SELF_SCOUT_IMPORT'!$L$42:$L$1040,"Y",'DEF_SELF_SCOUT_IMPORT'!$E$42:$E$1040,SUBSTITUTE(SUBSTITUTE(SUBSTITUTE($B249,"~","~~"),"*","~*"),"?","~?"),'DEF_SELF_SCOUT_IMPORT'!$Q$42:$Q$1040,SUBSTITUTE(SUBSTITUTE(SUBSTITUTE($M249,"~","~~"),"*","~*"),"?","~?"),'DEF_SELF_SCOUT_IMPORT'!$F$42:$F$1040,SUBSTITUTE(SUBSTITUTE(SUBSTITUTE($N249,"~","~~"),"*","~*"),"?","~?"),'DEF_SELF_SCOUT_IMPORT'!$H$42:$H$1040,"RUSH")/$C249)</f>
        <v>1.0</v>
      </c>
      <c r="H249" s="10">
        <f>IF($C249=0,"",COUNTIFS('DEF_SELF_SCOUT_IMPORT'!$L$42:$L$1040,"Y",'DEF_SELF_SCOUT_IMPORT'!$E$42:$E$1040,SUBSTITUTE(SUBSTITUTE(SUBSTITUTE($B249,"~","~~"),"*","~*"),"?","~?"),'DEF_SELF_SCOUT_IMPORT'!$Q$42:$Q$1040,SUBSTITUTE(SUBSTITUTE(SUBSTITUTE($M249,"~","~~"),"*","~*"),"?","~?"),'DEF_SELF_SCOUT_IMPORT'!$F$42:$F$1040,SUBSTITUTE(SUBSTITUTE(SUBSTITUTE($N249,"~","~~"),"*","~*"),"?","~?"),'DEF_SELF_SCOUT_IMPORT'!$H$42:$H$1040,"DROPBACK")/$C249)</f>
        <v>0.0</v>
      </c>
      <c r="I249" s="14" t="str">
        <f>IF(C249=0,"",IF(C249&lt;=2,"TRACK",IF(C249=3,"LOW",IF(C249&lt;=6,"MEDIUM","HIGH"))))</f>
        <v>TRACK</v>
      </c>
      <c r="J249" s="11">
        <f>IF(C249=0,"",ROUND(D249*70+(1-E249)*20+MAX(0,MIN(1,(10-F249)/10))*10,1))</f>
        <v>98.0</v>
      </c>
      <c r="K249" s="14" t="str">
        <f>IF(C249=0,"No Evidence",IF(C249&lt;=2,IF(E249&gt;0,"Explosive Alert","Track Only"),IF(C249=3,"Sample Watch",IF(E249&gt;=START_HERE!$B$31,"Explosive Alert",IF(J249&gt;=80,"Strong Candidate",IF(J249&gt;=65,"Good Candidate",IF(J249&gt;=50,"Mixed / Review","Problem Call")))))))</f>
        <v>Track Only</v>
      </c>
      <c r="L249" s="9" t="str">
        <f>IF(COUNTIFS('DEF_SELF_SCOUT_IMPORT'!$L$42:$L$1040,"Y",'DEF_SELF_SCOUT_IMPORT'!$E$42:$E$1040,SUBSTITUTE(SUBSTITUTE(SUBSTITUTE($B249,"~","~~"),"*","~*"),"?","~?"),'DEF_SELF_SCOUT_IMPORT'!$Q$42:$Q$1040,SUBSTITUTE(SUBSTITUTE(SUBSTITUTE($M249,"~","~~"),"*","~*"),"?","~?"),'DEF_SELF_SCOUT_IMPORT'!$F$42:$F$1040,SUBSTITUTE(SUBSTITUTE(SUBSTITUTE($N249,"~","~~"),"*","~*"),"?","~?"),'DEF_SELF_SCOUT_IMPORT'!$J$42:$J$1040,"")&gt;0,"Unscored clean outcome; review result tags before using score.",IF(C249=0,"No matching defensive reps; film confirmation needed.",IF(K249="Explosive Alert","Explosive risk; review clips before using as answer.",IF(C249&lt;=2,"Track only; not enough sample.",IF(C249=3,IF(E249&gt;0,"Sample watch with explosive exposure; review clips and build the sample.",IF(J249&gt;=65,"Good signal, but sample is limited.","Sample watch; review clips and build the sample.")),IF(K249="Problem Call","Problem area; practice or call-sheet review.",IF(K249="Strong Candidate","Strong call-fit candidate; confirm on film.",IF(K249="Good Candidate","Good call-fit signal; confirm on film.","Mixed signal; review fit and execution on film."))))))))</f>
        <v>Track only; not enough sample.</v>
      </c>
      <c r="M249" s="8" t="s">
        <v>82</v>
      </c>
      <c r="N249" s="8" t="s">
        <v>132</v>
      </c>
      <c r="O249" s="8"/>
      <c r="P249" s="8"/>
      <c r="Q249" s="8"/>
      <c r="R249" s="8" t="s">
        <v>28</v>
      </c>
      <c r="S249" s="2" t="s">
        <v>150</v>
      </c>
      <c r="T249" s="2">
        <f>IF(C249=0,0,IF(C249&gt;=CALL_LOOKUP_BOARD!$B$7,IF(OR(K249="Problem Call",K249="Explosive Alert"),10000000,20000000),0)+IF(C249&gt;=CALL_LOOKUP_BOARD!$B$7,J249*1000+MIN(C249,999),C249*1000+J249)+0.00993600)</f>
        <v>1098.009936</v>
      </c>
      <c r="U249" s="2" t="str">
        <f>IF(C249=0,"",IF(COUNTIFS($S$186:$S$367,SUBSTITUTE(SUBSTITUTE(SUBSTITUTE(S249,"~","~~"),"*","~*"),"?","~?"),$T$186:$T$367,"&gt;"&amp;T249)=0,S249,""))</f>
        <v>6:2D 4-6|2:00|</v>
      </c>
    </row>
    <row r="250" spans="1:21" ht="38" customHeight="1">
      <c r="A250" s="8" t="s">
        <v>149</v>
      </c>
      <c r="B250" s="8" t="s">
        <v>56</v>
      </c>
      <c r="C250" s="12">
        <f>COUNTIFS('DEF_SELF_SCOUT_IMPORT'!$L$42:$L$1040,"Y",'DEF_SELF_SCOUT_IMPORT'!$E$42:$E$1040,SUBSTITUTE(SUBSTITUTE(SUBSTITUTE($B250,"~","~~"),"*","~*"),"?","~?"),'DEF_SELF_SCOUT_IMPORT'!$Q$42:$Q$1040,SUBSTITUTE(SUBSTITUTE(SUBSTITUTE($M250,"~","~~"),"*","~*"),"?","~?"),'DEF_SELF_SCOUT_IMPORT'!$F$42:$F$1040,SUBSTITUTE(SUBSTITUTE(SUBSTITUTE($N250,"~","~~"),"*","~*"),"?","~?"))</f>
        <v>1</v>
      </c>
      <c r="D250" s="10">
        <f>IF($C250=0,"",SUMIFS('DEF_SELF_SCOUT_IMPORT'!$J$42:$J$1040,'DEF_SELF_SCOUT_IMPORT'!$L$42:$L$1040,"Y",'DEF_SELF_SCOUT_IMPORT'!$E$42:$E$1040,SUBSTITUTE(SUBSTITUTE(SUBSTITUTE($B250,"~","~~"),"*","~*"),"?","~?"),'DEF_SELF_SCOUT_IMPORT'!$Q$42:$Q$1040,SUBSTITUTE(SUBSTITUTE(SUBSTITUTE($M250,"~","~~"),"*","~*"),"?","~?"),'DEF_SELF_SCOUT_IMPORT'!$F$42:$F$1040,SUBSTITUTE(SUBSTITUTE(SUBSTITUTE($N250,"~","~~"),"*","~*"),"?","~?"))/$C250)</f>
        <v>0.0</v>
      </c>
      <c r="E250" s="10">
        <f>IF($C250=0,"",SUMIFS('DEF_SELF_SCOUT_IMPORT'!$K$42:$K$1040,'DEF_SELF_SCOUT_IMPORT'!$L$42:$L$1040,"Y",'DEF_SELF_SCOUT_IMPORT'!$E$42:$E$1040,SUBSTITUTE(SUBSTITUTE(SUBSTITUTE($B250,"~","~~"),"*","~*"),"?","~?"),'DEF_SELF_SCOUT_IMPORT'!$Q$42:$Q$1040,SUBSTITUTE(SUBSTITUTE(SUBSTITUTE($M250,"~","~~"),"*","~*"),"?","~?"),'DEF_SELF_SCOUT_IMPORT'!$F$42:$F$1040,SUBSTITUTE(SUBSTITUTE(SUBSTITUTE($N250,"~","~~"),"*","~*"),"?","~?"))/$C250)</f>
        <v>0.0</v>
      </c>
      <c r="F250" s="11">
        <f>IF($C250=0,"",AVERAGEIFS('DEF_SELF_SCOUT_IMPORT'!$I$42:$I$1040,'DEF_SELF_SCOUT_IMPORT'!$L$42:$L$1040,"Y",'DEF_SELF_SCOUT_IMPORT'!$E$42:$E$1040,SUBSTITUTE(SUBSTITUTE(SUBSTITUTE($B250,"~","~~"),"*","~*"),"?","~?"),'DEF_SELF_SCOUT_IMPORT'!$Q$42:$Q$1040,SUBSTITUTE(SUBSTITUTE(SUBSTITUTE($M250,"~","~~"),"*","~*"),"?","~?"),'DEF_SELF_SCOUT_IMPORT'!$F$42:$F$1040,SUBSTITUTE(SUBSTITUTE(SUBSTITUTE($N250,"~","~~"),"*","~*"),"?","~?")))</f>
        <v>5.0</v>
      </c>
      <c r="G250" s="10">
        <f>IF($C250=0,"",COUNTIFS('DEF_SELF_SCOUT_IMPORT'!$L$42:$L$1040,"Y",'DEF_SELF_SCOUT_IMPORT'!$E$42:$E$1040,SUBSTITUTE(SUBSTITUTE(SUBSTITUTE($B250,"~","~~"),"*","~*"),"?","~?"),'DEF_SELF_SCOUT_IMPORT'!$Q$42:$Q$1040,SUBSTITUTE(SUBSTITUTE(SUBSTITUTE($M250,"~","~~"),"*","~*"),"?","~?"),'DEF_SELF_SCOUT_IMPORT'!$F$42:$F$1040,SUBSTITUTE(SUBSTITUTE(SUBSTITUTE($N250,"~","~~"),"*","~*"),"?","~?"),'DEF_SELF_SCOUT_IMPORT'!$H$42:$H$1040,"RUSH")/$C250)</f>
        <v>1.0</v>
      </c>
      <c r="H250" s="10">
        <f>IF($C250=0,"",COUNTIFS('DEF_SELF_SCOUT_IMPORT'!$L$42:$L$1040,"Y",'DEF_SELF_SCOUT_IMPORT'!$E$42:$E$1040,SUBSTITUTE(SUBSTITUTE(SUBSTITUTE($B250,"~","~~"),"*","~*"),"?","~?"),'DEF_SELF_SCOUT_IMPORT'!$Q$42:$Q$1040,SUBSTITUTE(SUBSTITUTE(SUBSTITUTE($M250,"~","~~"),"*","~*"),"?","~?"),'DEF_SELF_SCOUT_IMPORT'!$F$42:$F$1040,SUBSTITUTE(SUBSTITUTE(SUBSTITUTE($N250,"~","~~"),"*","~*"),"?","~?"),'DEF_SELF_SCOUT_IMPORT'!$H$42:$H$1040,"DROPBACK")/$C250)</f>
        <v>0.0</v>
      </c>
      <c r="I250" s="14" t="str">
        <f>IF(C250=0,"",IF(C250&lt;=2,"TRACK",IF(C250=3,"LOW",IF(C250&lt;=6,"MEDIUM","HIGH"))))</f>
        <v>TRACK</v>
      </c>
      <c r="J250" s="11">
        <f>IF(C250=0,"",ROUND(D250*70+(1-E250)*20+MAX(0,MIN(1,(10-F250)/10))*10,1))</f>
        <v>25.0</v>
      </c>
      <c r="K250" s="14" t="str">
        <f>IF(C250=0,"No Evidence",IF(C250&lt;=2,IF(E250&gt;0,"Explosive Alert","Track Only"),IF(C250=3,"Sample Watch",IF(E250&gt;=START_HERE!$B$31,"Explosive Alert",IF(J250&gt;=80,"Strong Candidate",IF(J250&gt;=65,"Good Candidate",IF(J250&gt;=50,"Mixed / Review","Problem Call")))))))</f>
        <v>Track Only</v>
      </c>
      <c r="L250" s="9" t="str">
        <f>IF(COUNTIFS('DEF_SELF_SCOUT_IMPORT'!$L$42:$L$1040,"Y",'DEF_SELF_SCOUT_IMPORT'!$E$42:$E$1040,SUBSTITUTE(SUBSTITUTE(SUBSTITUTE($B250,"~","~~"),"*","~*"),"?","~?"),'DEF_SELF_SCOUT_IMPORT'!$Q$42:$Q$1040,SUBSTITUTE(SUBSTITUTE(SUBSTITUTE($M250,"~","~~"),"*","~*"),"?","~?"),'DEF_SELF_SCOUT_IMPORT'!$F$42:$F$1040,SUBSTITUTE(SUBSTITUTE(SUBSTITUTE($N250,"~","~~"),"*","~*"),"?","~?"),'DEF_SELF_SCOUT_IMPORT'!$J$42:$J$1040,"")&gt;0,"Unscored clean outcome; review result tags before using score.",IF(C250=0,"No matching defensive reps; film confirmation needed.",IF(K250="Explosive Alert","Explosive risk; review clips before using as answer.",IF(C250&lt;=2,"Track only; not enough sample.",IF(C250=3,IF(E250&gt;0,"Sample watch with explosive exposure; review clips and build the sample.",IF(J250&gt;=65,"Good signal, but sample is limited.","Sample watch; review clips and build the sample.")),IF(K250="Problem Call","Problem area; practice or call-sheet review.",IF(K250="Strong Candidate","Strong call-fit candidate; confirm on film.",IF(K250="Good Candidate","Good call-fit signal; confirm on film.","Mixed signal; review fit and execution on film."))))))))</f>
        <v>Track only; not enough sample.</v>
      </c>
      <c r="M250" s="8" t="s">
        <v>82</v>
      </c>
      <c r="N250" s="8" t="s">
        <v>132</v>
      </c>
      <c r="O250" s="8"/>
      <c r="P250" s="8"/>
      <c r="Q250" s="8"/>
      <c r="R250" s="8" t="s">
        <v>28</v>
      </c>
      <c r="S250" s="2" t="s">
        <v>150</v>
      </c>
      <c r="T250" s="2">
        <f>IF(C250=0,0,IF(C250&gt;=CALL_LOOKUP_BOARD!$B$7,IF(OR(K250="Problem Call",K250="Explosive Alert"),10000000,20000000),0)+IF(C250&gt;=CALL_LOOKUP_BOARD!$B$7,J250*1000+MIN(C250,999),C250*1000+J250)+0.00993500)</f>
        <v>1025.009935</v>
      </c>
      <c r="U250" s="2">
        <f>IF(C250=0,"",IF(COUNTIFS($S$186:$S$367,SUBSTITUTE(SUBSTITUTE(SUBSTITUTE(S250,"~","~~"),"*","~*"),"?","~?"),$T$186:$T$367,"&gt;"&amp;T250)=0,S250,""))</f>
        <v/>
      </c>
    </row>
    <row r="251" spans="1:21" ht="38" customHeight="1">
      <c r="A251" s="8" t="s">
        <v>149</v>
      </c>
      <c r="B251" s="8" t="s">
        <v>60</v>
      </c>
      <c r="C251" s="12">
        <f>COUNTIFS('DEF_SELF_SCOUT_IMPORT'!$L$42:$L$1040,"Y",'DEF_SELF_SCOUT_IMPORT'!$E$42:$E$1040,SUBSTITUTE(SUBSTITUTE(SUBSTITUTE($B251,"~","~~"),"*","~*"),"?","~?"),'DEF_SELF_SCOUT_IMPORT'!$Q$42:$Q$1040,SUBSTITUTE(SUBSTITUTE(SUBSTITUTE($M251,"~","~~"),"*","~*"),"?","~?"),'DEF_SELF_SCOUT_IMPORT'!$F$42:$F$1040,SUBSTITUTE(SUBSTITUTE(SUBSTITUTE($N251,"~","~~"),"*","~*"),"?","~?"))</f>
        <v>1</v>
      </c>
      <c r="D251" s="10">
        <f>IF($C251=0,"",SUMIFS('DEF_SELF_SCOUT_IMPORT'!$J$42:$J$1040,'DEF_SELF_SCOUT_IMPORT'!$L$42:$L$1040,"Y",'DEF_SELF_SCOUT_IMPORT'!$E$42:$E$1040,SUBSTITUTE(SUBSTITUTE(SUBSTITUTE($B251,"~","~~"),"*","~*"),"?","~?"),'DEF_SELF_SCOUT_IMPORT'!$Q$42:$Q$1040,SUBSTITUTE(SUBSTITUTE(SUBSTITUTE($M251,"~","~~"),"*","~*"),"?","~?"),'DEF_SELF_SCOUT_IMPORT'!$F$42:$F$1040,SUBSTITUTE(SUBSTITUTE(SUBSTITUTE($N251,"~","~~"),"*","~*"),"?","~?"))/$C251)</f>
        <v>0.0</v>
      </c>
      <c r="E251" s="10">
        <f>IF($C251=0,"",SUMIFS('DEF_SELF_SCOUT_IMPORT'!$K$42:$K$1040,'DEF_SELF_SCOUT_IMPORT'!$L$42:$L$1040,"Y",'DEF_SELF_SCOUT_IMPORT'!$E$42:$E$1040,SUBSTITUTE(SUBSTITUTE(SUBSTITUTE($B251,"~","~~"),"*","~*"),"?","~?"),'DEF_SELF_SCOUT_IMPORT'!$Q$42:$Q$1040,SUBSTITUTE(SUBSTITUTE(SUBSTITUTE($M251,"~","~~"),"*","~*"),"?","~?"),'DEF_SELF_SCOUT_IMPORT'!$F$42:$F$1040,SUBSTITUTE(SUBSTITUTE(SUBSTITUTE($N251,"~","~~"),"*","~*"),"?","~?"))/$C251)</f>
        <v>1.0</v>
      </c>
      <c r="F251" s="11">
        <f>IF($C251=0,"",AVERAGEIFS('DEF_SELF_SCOUT_IMPORT'!$I$42:$I$1040,'DEF_SELF_SCOUT_IMPORT'!$L$42:$L$1040,"Y",'DEF_SELF_SCOUT_IMPORT'!$E$42:$E$1040,SUBSTITUTE(SUBSTITUTE(SUBSTITUTE($B251,"~","~~"),"*","~*"),"?","~?"),'DEF_SELF_SCOUT_IMPORT'!$Q$42:$Q$1040,SUBSTITUTE(SUBSTITUTE(SUBSTITUTE($M251,"~","~~"),"*","~*"),"?","~?"),'DEF_SELF_SCOUT_IMPORT'!$F$42:$F$1040,SUBSTITUTE(SUBSTITUTE(SUBSTITUTE($N251,"~","~~"),"*","~*"),"?","~?")))</f>
        <v>16.0</v>
      </c>
      <c r="G251" s="10">
        <f>IF($C251=0,"",COUNTIFS('DEF_SELF_SCOUT_IMPORT'!$L$42:$L$1040,"Y",'DEF_SELF_SCOUT_IMPORT'!$E$42:$E$1040,SUBSTITUTE(SUBSTITUTE(SUBSTITUTE($B251,"~","~~"),"*","~*"),"?","~?"),'DEF_SELF_SCOUT_IMPORT'!$Q$42:$Q$1040,SUBSTITUTE(SUBSTITUTE(SUBSTITUTE($M251,"~","~~"),"*","~*"),"?","~?"),'DEF_SELF_SCOUT_IMPORT'!$F$42:$F$1040,SUBSTITUTE(SUBSTITUTE(SUBSTITUTE($N251,"~","~~"),"*","~*"),"?","~?"),'DEF_SELF_SCOUT_IMPORT'!$H$42:$H$1040,"RUSH")/$C251)</f>
        <v>1.0</v>
      </c>
      <c r="H251" s="10">
        <f>IF($C251=0,"",COUNTIFS('DEF_SELF_SCOUT_IMPORT'!$L$42:$L$1040,"Y",'DEF_SELF_SCOUT_IMPORT'!$E$42:$E$1040,SUBSTITUTE(SUBSTITUTE(SUBSTITUTE($B251,"~","~~"),"*","~*"),"?","~?"),'DEF_SELF_SCOUT_IMPORT'!$Q$42:$Q$1040,SUBSTITUTE(SUBSTITUTE(SUBSTITUTE($M251,"~","~~"),"*","~*"),"?","~?"),'DEF_SELF_SCOUT_IMPORT'!$F$42:$F$1040,SUBSTITUTE(SUBSTITUTE(SUBSTITUTE($N251,"~","~~"),"*","~*"),"?","~?"),'DEF_SELF_SCOUT_IMPORT'!$H$42:$H$1040,"DROPBACK")/$C251)</f>
        <v>0.0</v>
      </c>
      <c r="I251" s="14" t="str">
        <f>IF(C251=0,"",IF(C251&lt;=2,"TRACK",IF(C251=3,"LOW",IF(C251&lt;=6,"MEDIUM","HIGH"))))</f>
        <v>TRACK</v>
      </c>
      <c r="J251" s="11">
        <f>IF(C251=0,"",ROUND(D251*70+(1-E251)*20+MAX(0,MIN(1,(10-F251)/10))*10,1))</f>
        <v>0.0</v>
      </c>
      <c r="K251" s="14" t="str">
        <f>IF(C251=0,"No Evidence",IF(C251&lt;=2,IF(E251&gt;0,"Explosive Alert","Track Only"),IF(C251=3,"Sample Watch",IF(E251&gt;=START_HERE!$B$31,"Explosive Alert",IF(J251&gt;=80,"Strong Candidate",IF(J251&gt;=65,"Good Candidate",IF(J251&gt;=50,"Mixed / Review","Problem Call")))))))</f>
        <v>Explosive Alert</v>
      </c>
      <c r="L251" s="9" t="str">
        <f>IF(COUNTIFS('DEF_SELF_SCOUT_IMPORT'!$L$42:$L$1040,"Y",'DEF_SELF_SCOUT_IMPORT'!$E$42:$E$1040,SUBSTITUTE(SUBSTITUTE(SUBSTITUTE($B251,"~","~~"),"*","~*"),"?","~?"),'DEF_SELF_SCOUT_IMPORT'!$Q$42:$Q$1040,SUBSTITUTE(SUBSTITUTE(SUBSTITUTE($M251,"~","~~"),"*","~*"),"?","~?"),'DEF_SELF_SCOUT_IMPORT'!$F$42:$F$1040,SUBSTITUTE(SUBSTITUTE(SUBSTITUTE($N251,"~","~~"),"*","~*"),"?","~?"),'DEF_SELF_SCOUT_IMPORT'!$J$42:$J$1040,"")&gt;0,"Unscored clean outcome; review result tags before using score.",IF(C251=0,"No matching defensive reps; film confirmation needed.",IF(K251="Explosive Alert","Explosive risk; review clips before using as answer.",IF(C251&lt;=2,"Track only; not enough sample.",IF(C251=3,IF(E251&gt;0,"Sample watch with explosive exposure; review clips and build the sample.",IF(J251&gt;=65,"Good signal, but sample is limited.","Sample watch; review clips and build the sample.")),IF(K251="Problem Call","Problem area; practice or call-sheet review.",IF(K251="Strong Candidate","Strong call-fit candidate; confirm on film.",IF(K251="Good Candidate","Good call-fit signal; confirm on film.","Mixed signal; review fit and execution on film."))))))))</f>
        <v>Explosive risk; review clips before using as answer.</v>
      </c>
      <c r="M251" s="8" t="s">
        <v>82</v>
      </c>
      <c r="N251" s="8" t="s">
        <v>132</v>
      </c>
      <c r="O251" s="8"/>
      <c r="P251" s="8"/>
      <c r="Q251" s="8"/>
      <c r="R251" s="8" t="s">
        <v>28</v>
      </c>
      <c r="S251" s="2" t="s">
        <v>150</v>
      </c>
      <c r="T251" s="2">
        <f>IF(C251=0,0,IF(C251&gt;=CALL_LOOKUP_BOARD!$B$7,IF(OR(K251="Problem Call",K251="Explosive Alert"),10000000,20000000),0)+IF(C251&gt;=CALL_LOOKUP_BOARD!$B$7,J251*1000+MIN(C251,999),C251*1000+J251)+0.00993400)</f>
        <v>1000.009934</v>
      </c>
      <c r="U251" s="2">
        <f>IF(C251=0,"",IF(COUNTIFS($S$186:$S$367,SUBSTITUTE(SUBSTITUTE(SUBSTITUTE(S251,"~","~~"),"*","~*"),"?","~?"),$T$186:$T$367,"&gt;"&amp;T251)=0,S251,""))</f>
        <v/>
      </c>
    </row>
    <row r="252" spans="1:21" ht="38" customHeight="1">
      <c r="A252" s="8" t="s">
        <v>151</v>
      </c>
      <c r="B252" s="8" t="s">
        <v>40</v>
      </c>
      <c r="C252" s="12">
        <f>COUNTIFS('DEF_SELF_SCOUT_IMPORT'!$L$42:$L$1040,"Y",'DEF_SELF_SCOUT_IMPORT'!$E$42:$E$1040,SUBSTITUTE(SUBSTITUTE(SUBSTITUTE($B252,"~","~~"),"*","~*"),"?","~?"),'DEF_SELF_SCOUT_IMPORT'!$Q$42:$Q$1040,SUBSTITUTE(SUBSTITUTE(SUBSTITUTE($M252,"~","~~"),"*","~*"),"?","~?"),'DEF_SELF_SCOUT_IMPORT'!$F$42:$F$1040,SUBSTITUTE(SUBSTITUTE(SUBSTITUTE($N252,"~","~~"),"*","~*"),"?","~?"))</f>
        <v>1</v>
      </c>
      <c r="D252" s="10">
        <f>IF($C252=0,"",SUMIFS('DEF_SELF_SCOUT_IMPORT'!$J$42:$J$1040,'DEF_SELF_SCOUT_IMPORT'!$L$42:$L$1040,"Y",'DEF_SELF_SCOUT_IMPORT'!$E$42:$E$1040,SUBSTITUTE(SUBSTITUTE(SUBSTITUTE($B252,"~","~~"),"*","~*"),"?","~?"),'DEF_SELF_SCOUT_IMPORT'!$Q$42:$Q$1040,SUBSTITUTE(SUBSTITUTE(SUBSTITUTE($M252,"~","~~"),"*","~*"),"?","~?"),'DEF_SELF_SCOUT_IMPORT'!$F$42:$F$1040,SUBSTITUTE(SUBSTITUTE(SUBSTITUTE($N252,"~","~~"),"*","~*"),"?","~?"))/$C252)</f>
        <v>0.0</v>
      </c>
      <c r="E252" s="10">
        <f>IF($C252=0,"",SUMIFS('DEF_SELF_SCOUT_IMPORT'!$K$42:$K$1040,'DEF_SELF_SCOUT_IMPORT'!$L$42:$L$1040,"Y",'DEF_SELF_SCOUT_IMPORT'!$E$42:$E$1040,SUBSTITUTE(SUBSTITUTE(SUBSTITUTE($B252,"~","~~"),"*","~*"),"?","~?"),'DEF_SELF_SCOUT_IMPORT'!$Q$42:$Q$1040,SUBSTITUTE(SUBSTITUTE(SUBSTITUTE($M252,"~","~~"),"*","~*"),"?","~?"),'DEF_SELF_SCOUT_IMPORT'!$F$42:$F$1040,SUBSTITUTE(SUBSTITUTE(SUBSTITUTE($N252,"~","~~"),"*","~*"),"?","~?"))/$C252)</f>
        <v>0.0</v>
      </c>
      <c r="F252" s="11">
        <f>IF($C252=0,"",AVERAGEIFS('DEF_SELF_SCOUT_IMPORT'!$I$42:$I$1040,'DEF_SELF_SCOUT_IMPORT'!$L$42:$L$1040,"Y",'DEF_SELF_SCOUT_IMPORT'!$E$42:$E$1040,SUBSTITUTE(SUBSTITUTE(SUBSTITUTE($B252,"~","~~"),"*","~*"),"?","~?"),'DEF_SELF_SCOUT_IMPORT'!$Q$42:$Q$1040,SUBSTITUTE(SUBSTITUTE(SUBSTITUTE($M252,"~","~~"),"*","~*"),"?","~?"),'DEF_SELF_SCOUT_IMPORT'!$F$42:$F$1040,SUBSTITUTE(SUBSTITUTE(SUBSTITUTE($N252,"~","~~"),"*","~*"),"?","~?")))</f>
        <v>7.0</v>
      </c>
      <c r="G252" s="10">
        <f>IF($C252=0,"",COUNTIFS('DEF_SELF_SCOUT_IMPORT'!$L$42:$L$1040,"Y",'DEF_SELF_SCOUT_IMPORT'!$E$42:$E$1040,SUBSTITUTE(SUBSTITUTE(SUBSTITUTE($B252,"~","~~"),"*","~*"),"?","~?"),'DEF_SELF_SCOUT_IMPORT'!$Q$42:$Q$1040,SUBSTITUTE(SUBSTITUTE(SUBSTITUTE($M252,"~","~~"),"*","~*"),"?","~?"),'DEF_SELF_SCOUT_IMPORT'!$F$42:$F$1040,SUBSTITUTE(SUBSTITUTE(SUBSTITUTE($N252,"~","~~"),"*","~*"),"?","~?"),'DEF_SELF_SCOUT_IMPORT'!$H$42:$H$1040,"RUSH")/$C252)</f>
        <v>1.0</v>
      </c>
      <c r="H252" s="10">
        <f>IF($C252=0,"",COUNTIFS('DEF_SELF_SCOUT_IMPORT'!$L$42:$L$1040,"Y",'DEF_SELF_SCOUT_IMPORT'!$E$42:$E$1040,SUBSTITUTE(SUBSTITUTE(SUBSTITUTE($B252,"~","~~"),"*","~*"),"?","~?"),'DEF_SELF_SCOUT_IMPORT'!$Q$42:$Q$1040,SUBSTITUTE(SUBSTITUTE(SUBSTITUTE($M252,"~","~~"),"*","~*"),"?","~?"),'DEF_SELF_SCOUT_IMPORT'!$F$42:$F$1040,SUBSTITUTE(SUBSTITUTE(SUBSTITUTE($N252,"~","~~"),"*","~*"),"?","~?"),'DEF_SELF_SCOUT_IMPORT'!$H$42:$H$1040,"DROPBACK")/$C252)</f>
        <v>0.0</v>
      </c>
      <c r="I252" s="14" t="str">
        <f>IF(C252=0,"",IF(C252&lt;=2,"TRACK",IF(C252=3,"LOW",IF(C252&lt;=6,"MEDIUM","HIGH"))))</f>
        <v>TRACK</v>
      </c>
      <c r="J252" s="11">
        <f>IF(C252=0,"",ROUND(D252*70+(1-E252)*20+MAX(0,MIN(1,(10-F252)/10))*10,1))</f>
        <v>23.0</v>
      </c>
      <c r="K252" s="14" t="str">
        <f>IF(C252=0,"No Evidence",IF(C252&lt;=2,IF(E252&gt;0,"Explosive Alert","Track Only"),IF(C252=3,"Sample Watch",IF(E252&gt;=START_HERE!$B$31,"Explosive Alert",IF(J252&gt;=80,"Strong Candidate",IF(J252&gt;=65,"Good Candidate",IF(J252&gt;=50,"Mixed / Review","Problem Call")))))))</f>
        <v>Track Only</v>
      </c>
      <c r="L252" s="9" t="str">
        <f>IF(COUNTIFS('DEF_SELF_SCOUT_IMPORT'!$L$42:$L$1040,"Y",'DEF_SELF_SCOUT_IMPORT'!$E$42:$E$1040,SUBSTITUTE(SUBSTITUTE(SUBSTITUTE($B252,"~","~~"),"*","~*"),"?","~?"),'DEF_SELF_SCOUT_IMPORT'!$Q$42:$Q$1040,SUBSTITUTE(SUBSTITUTE(SUBSTITUTE($M252,"~","~~"),"*","~*"),"?","~?"),'DEF_SELF_SCOUT_IMPORT'!$F$42:$F$1040,SUBSTITUTE(SUBSTITUTE(SUBSTITUTE($N252,"~","~~"),"*","~*"),"?","~?"),'DEF_SELF_SCOUT_IMPORT'!$J$42:$J$1040,"")&gt;0,"Unscored clean outcome; review result tags before using score.",IF(C252=0,"No matching defensive reps; film confirmation needed.",IF(K252="Explosive Alert","Explosive risk; review clips before using as answer.",IF(C252&lt;=2,"Track only; not enough sample.",IF(C252=3,IF(E252&gt;0,"Sample watch with explosive exposure; review clips and build the sample.",IF(J252&gt;=65,"Good signal, but sample is limited.","Sample watch; review clips and build the sample.")),IF(K252="Problem Call","Problem area; practice or call-sheet review.",IF(K252="Strong Candidate","Strong call-fit candidate; confirm on film.",IF(K252="Good Candidate","Good call-fit signal; confirm on film.","Mixed signal; review fit and execution on film."))))))))</f>
        <v>Track only; not enough sample.</v>
      </c>
      <c r="M252" s="8" t="s">
        <v>82</v>
      </c>
      <c r="N252" s="8" t="s">
        <v>120</v>
      </c>
      <c r="O252" s="8"/>
      <c r="P252" s="8"/>
      <c r="Q252" s="8"/>
      <c r="R252" s="8" t="s">
        <v>28</v>
      </c>
      <c r="S252" s="2" t="s">
        <v>152</v>
      </c>
      <c r="T252" s="2">
        <f>IF(C252=0,0,IF(C252&gt;=CALL_LOOKUP_BOARD!$B$7,IF(OR(K252="Problem Call",K252="Explosive Alert"),10000000,20000000),0)+IF(C252&gt;=CALL_LOOKUP_BOARD!$B$7,J252*1000+MIN(C252,999),C252*1000+J252)+0.00993300)</f>
        <v>1023.009933</v>
      </c>
      <c r="U252" s="2">
        <f>IF(C252=0,"",IF(COUNTIFS($S$186:$S$367,SUBSTITUTE(SUBSTITUTE(SUBSTITUTE(S252,"~","~~"),"*","~*"),"?","~?"),$T$186:$T$367,"&gt;"&amp;T252)=0,S252,""))</f>
        <v/>
      </c>
    </row>
    <row r="253" spans="1:21" ht="38" customHeight="1">
      <c r="A253" s="8" t="s">
        <v>151</v>
      </c>
      <c r="B253" s="8" t="s">
        <v>32</v>
      </c>
      <c r="C253" s="12">
        <f>COUNTIFS('DEF_SELF_SCOUT_IMPORT'!$L$42:$L$1040,"Y",'DEF_SELF_SCOUT_IMPORT'!$E$42:$E$1040,SUBSTITUTE(SUBSTITUTE(SUBSTITUTE($B253,"~","~~"),"*","~*"),"?","~?"),'DEF_SELF_SCOUT_IMPORT'!$Q$42:$Q$1040,SUBSTITUTE(SUBSTITUTE(SUBSTITUTE($M253,"~","~~"),"*","~*"),"?","~?"),'DEF_SELF_SCOUT_IMPORT'!$F$42:$F$1040,SUBSTITUTE(SUBSTITUTE(SUBSTITUTE($N253,"~","~~"),"*","~*"),"?","~?"))</f>
        <v>1</v>
      </c>
      <c r="D253" s="10">
        <f>IF($C253=0,"",SUMIFS('DEF_SELF_SCOUT_IMPORT'!$J$42:$J$1040,'DEF_SELF_SCOUT_IMPORT'!$L$42:$L$1040,"Y",'DEF_SELF_SCOUT_IMPORT'!$E$42:$E$1040,SUBSTITUTE(SUBSTITUTE(SUBSTITUTE($B253,"~","~~"),"*","~*"),"?","~?"),'DEF_SELF_SCOUT_IMPORT'!$Q$42:$Q$1040,SUBSTITUTE(SUBSTITUTE(SUBSTITUTE($M253,"~","~~"),"*","~*"),"?","~?"),'DEF_SELF_SCOUT_IMPORT'!$F$42:$F$1040,SUBSTITUTE(SUBSTITUTE(SUBSTITUTE($N253,"~","~~"),"*","~*"),"?","~?"))/$C253)</f>
        <v>0.0</v>
      </c>
      <c r="E253" s="10">
        <f>IF($C253=0,"",SUMIFS('DEF_SELF_SCOUT_IMPORT'!$K$42:$K$1040,'DEF_SELF_SCOUT_IMPORT'!$L$42:$L$1040,"Y",'DEF_SELF_SCOUT_IMPORT'!$E$42:$E$1040,SUBSTITUTE(SUBSTITUTE(SUBSTITUTE($B253,"~","~~"),"*","~*"),"?","~?"),'DEF_SELF_SCOUT_IMPORT'!$Q$42:$Q$1040,SUBSTITUTE(SUBSTITUTE(SUBSTITUTE($M253,"~","~~"),"*","~*"),"?","~?"),'DEF_SELF_SCOUT_IMPORT'!$F$42:$F$1040,SUBSTITUTE(SUBSTITUTE(SUBSTITUTE($N253,"~","~~"),"*","~*"),"?","~?"))/$C253)</f>
        <v>1.0</v>
      </c>
      <c r="F253" s="11">
        <f>IF($C253=0,"",AVERAGEIFS('DEF_SELF_SCOUT_IMPORT'!$I$42:$I$1040,'DEF_SELF_SCOUT_IMPORT'!$L$42:$L$1040,"Y",'DEF_SELF_SCOUT_IMPORT'!$E$42:$E$1040,SUBSTITUTE(SUBSTITUTE(SUBSTITUTE($B253,"~","~~"),"*","~*"),"?","~?"),'DEF_SELF_SCOUT_IMPORT'!$Q$42:$Q$1040,SUBSTITUTE(SUBSTITUTE(SUBSTITUTE($M253,"~","~~"),"*","~*"),"?","~?"),'DEF_SELF_SCOUT_IMPORT'!$F$42:$F$1040,SUBSTITUTE(SUBSTITUTE(SUBSTITUTE($N253,"~","~~"),"*","~*"),"?","~?")))</f>
        <v>16.0</v>
      </c>
      <c r="G253" s="10">
        <f>IF($C253=0,"",COUNTIFS('DEF_SELF_SCOUT_IMPORT'!$L$42:$L$1040,"Y",'DEF_SELF_SCOUT_IMPORT'!$E$42:$E$1040,SUBSTITUTE(SUBSTITUTE(SUBSTITUTE($B253,"~","~~"),"*","~*"),"?","~?"),'DEF_SELF_SCOUT_IMPORT'!$Q$42:$Q$1040,SUBSTITUTE(SUBSTITUTE(SUBSTITUTE($M253,"~","~~"),"*","~*"),"?","~?"),'DEF_SELF_SCOUT_IMPORT'!$F$42:$F$1040,SUBSTITUTE(SUBSTITUTE(SUBSTITUTE($N253,"~","~~"),"*","~*"),"?","~?"),'DEF_SELF_SCOUT_IMPORT'!$H$42:$H$1040,"RUSH")/$C253)</f>
        <v>1.0</v>
      </c>
      <c r="H253" s="10">
        <f>IF($C253=0,"",COUNTIFS('DEF_SELF_SCOUT_IMPORT'!$L$42:$L$1040,"Y",'DEF_SELF_SCOUT_IMPORT'!$E$42:$E$1040,SUBSTITUTE(SUBSTITUTE(SUBSTITUTE($B253,"~","~~"),"*","~*"),"?","~?"),'DEF_SELF_SCOUT_IMPORT'!$Q$42:$Q$1040,SUBSTITUTE(SUBSTITUTE(SUBSTITUTE($M253,"~","~~"),"*","~*"),"?","~?"),'DEF_SELF_SCOUT_IMPORT'!$F$42:$F$1040,SUBSTITUTE(SUBSTITUTE(SUBSTITUTE($N253,"~","~~"),"*","~*"),"?","~?"),'DEF_SELF_SCOUT_IMPORT'!$H$42:$H$1040,"DROPBACK")/$C253)</f>
        <v>0.0</v>
      </c>
      <c r="I253" s="14" t="str">
        <f>IF(C253=0,"",IF(C253&lt;=2,"TRACK",IF(C253=3,"LOW",IF(C253&lt;=6,"MEDIUM","HIGH"))))</f>
        <v>TRACK</v>
      </c>
      <c r="J253" s="11">
        <f>IF(C253=0,"",ROUND(D253*70+(1-E253)*20+MAX(0,MIN(1,(10-F253)/10))*10,1))</f>
        <v>0.0</v>
      </c>
      <c r="K253" s="14" t="str">
        <f>IF(C253=0,"No Evidence",IF(C253&lt;=2,IF(E253&gt;0,"Explosive Alert","Track Only"),IF(C253=3,"Sample Watch",IF(E253&gt;=START_HERE!$B$31,"Explosive Alert",IF(J253&gt;=80,"Strong Candidate",IF(J253&gt;=65,"Good Candidate",IF(J253&gt;=50,"Mixed / Review","Problem Call")))))))</f>
        <v>Explosive Alert</v>
      </c>
      <c r="L253" s="9" t="str">
        <f>IF(COUNTIFS('DEF_SELF_SCOUT_IMPORT'!$L$42:$L$1040,"Y",'DEF_SELF_SCOUT_IMPORT'!$E$42:$E$1040,SUBSTITUTE(SUBSTITUTE(SUBSTITUTE($B253,"~","~~"),"*","~*"),"?","~?"),'DEF_SELF_SCOUT_IMPORT'!$Q$42:$Q$1040,SUBSTITUTE(SUBSTITUTE(SUBSTITUTE($M253,"~","~~"),"*","~*"),"?","~?"),'DEF_SELF_SCOUT_IMPORT'!$F$42:$F$1040,SUBSTITUTE(SUBSTITUTE(SUBSTITUTE($N253,"~","~~"),"*","~*"),"?","~?"),'DEF_SELF_SCOUT_IMPORT'!$J$42:$J$1040,"")&gt;0,"Unscored clean outcome; review result tags before using score.",IF(C253=0,"No matching defensive reps; film confirmation needed.",IF(K253="Explosive Alert","Explosive risk; review clips before using as answer.",IF(C253&lt;=2,"Track only; not enough sample.",IF(C253=3,IF(E253&gt;0,"Sample watch with explosive exposure; review clips and build the sample.",IF(J253&gt;=65,"Good signal, but sample is limited.","Sample watch; review clips and build the sample.")),IF(K253="Problem Call","Problem area; practice or call-sheet review.",IF(K253="Strong Candidate","Strong call-fit candidate; confirm on film.",IF(K253="Good Candidate","Good call-fit signal; confirm on film.","Mixed signal; review fit and execution on film."))))))))</f>
        <v>Explosive risk; review clips before using as answer.</v>
      </c>
      <c r="M253" s="8" t="s">
        <v>82</v>
      </c>
      <c r="N253" s="8" t="s">
        <v>120</v>
      </c>
      <c r="O253" s="8"/>
      <c r="P253" s="8"/>
      <c r="Q253" s="8"/>
      <c r="R253" s="8" t="s">
        <v>28</v>
      </c>
      <c r="S253" s="2" t="s">
        <v>152</v>
      </c>
      <c r="T253" s="2">
        <f>IF(C253=0,0,IF(C253&gt;=CALL_LOOKUP_BOARD!$B$7,IF(OR(K253="Problem Call",K253="Explosive Alert"),10000000,20000000),0)+IF(C253&gt;=CALL_LOOKUP_BOARD!$B$7,J253*1000+MIN(C253,999),C253*1000+J253)+0.00993200)</f>
        <v>1000.009932</v>
      </c>
      <c r="U253" s="2">
        <f>IF(C253=0,"",IF(COUNTIFS($S$186:$S$367,SUBSTITUTE(SUBSTITUTE(SUBSTITUTE(S253,"~","~~"),"*","~*"),"?","~?"),$T$186:$T$367,"&gt;"&amp;T253)=0,S253,""))</f>
        <v/>
      </c>
    </row>
    <row r="254" spans="1:21" ht="38" customHeight="1">
      <c r="A254" s="8" t="s">
        <v>151</v>
      </c>
      <c r="B254" s="8" t="s">
        <v>44</v>
      </c>
      <c r="C254" s="12">
        <f>COUNTIFS('DEF_SELF_SCOUT_IMPORT'!$L$42:$L$1040,"Y",'DEF_SELF_SCOUT_IMPORT'!$E$42:$E$1040,SUBSTITUTE(SUBSTITUTE(SUBSTITUTE($B254,"~","~~"),"*","~*"),"?","~?"),'DEF_SELF_SCOUT_IMPORT'!$Q$42:$Q$1040,SUBSTITUTE(SUBSTITUTE(SUBSTITUTE($M254,"~","~~"),"*","~*"),"?","~?"),'DEF_SELF_SCOUT_IMPORT'!$F$42:$F$1040,SUBSTITUTE(SUBSTITUTE(SUBSTITUTE($N254,"~","~~"),"*","~*"),"?","~?"))</f>
        <v>2</v>
      </c>
      <c r="D254" s="10">
        <f>IF($C254=0,"",SUMIFS('DEF_SELF_SCOUT_IMPORT'!$J$42:$J$1040,'DEF_SELF_SCOUT_IMPORT'!$L$42:$L$1040,"Y",'DEF_SELF_SCOUT_IMPORT'!$E$42:$E$1040,SUBSTITUTE(SUBSTITUTE(SUBSTITUTE($B254,"~","~~"),"*","~*"),"?","~?"),'DEF_SELF_SCOUT_IMPORT'!$Q$42:$Q$1040,SUBSTITUTE(SUBSTITUTE(SUBSTITUTE($M254,"~","~~"),"*","~*"),"?","~?"),'DEF_SELF_SCOUT_IMPORT'!$F$42:$F$1040,SUBSTITUTE(SUBSTITUTE(SUBSTITUTE($N254,"~","~~"),"*","~*"),"?","~?"))/$C254)</f>
        <v>0.5</v>
      </c>
      <c r="E254" s="10">
        <f>IF($C254=0,"",SUMIFS('DEF_SELF_SCOUT_IMPORT'!$K$42:$K$1040,'DEF_SELF_SCOUT_IMPORT'!$L$42:$L$1040,"Y",'DEF_SELF_SCOUT_IMPORT'!$E$42:$E$1040,SUBSTITUTE(SUBSTITUTE(SUBSTITUTE($B254,"~","~~"),"*","~*"),"?","~?"),'DEF_SELF_SCOUT_IMPORT'!$Q$42:$Q$1040,SUBSTITUTE(SUBSTITUTE(SUBSTITUTE($M254,"~","~~"),"*","~*"),"?","~?"),'DEF_SELF_SCOUT_IMPORT'!$F$42:$F$1040,SUBSTITUTE(SUBSTITUTE(SUBSTITUTE($N254,"~","~~"),"*","~*"),"?","~?"))/$C254)</f>
        <v>0.0</v>
      </c>
      <c r="F254" s="11">
        <f>IF($C254=0,"",AVERAGEIFS('DEF_SELF_SCOUT_IMPORT'!$I$42:$I$1040,'DEF_SELF_SCOUT_IMPORT'!$L$42:$L$1040,"Y",'DEF_SELF_SCOUT_IMPORT'!$E$42:$E$1040,SUBSTITUTE(SUBSTITUTE(SUBSTITUTE($B254,"~","~~"),"*","~*"),"?","~?"),'DEF_SELF_SCOUT_IMPORT'!$Q$42:$Q$1040,SUBSTITUTE(SUBSTITUTE(SUBSTITUTE($M254,"~","~~"),"*","~*"),"?","~?"),'DEF_SELF_SCOUT_IMPORT'!$F$42:$F$1040,SUBSTITUTE(SUBSTITUTE(SUBSTITUTE($N254,"~","~~"),"*","~*"),"?","~?")))</f>
        <v>4.5</v>
      </c>
      <c r="G254" s="10">
        <f>IF($C254=0,"",COUNTIFS('DEF_SELF_SCOUT_IMPORT'!$L$42:$L$1040,"Y",'DEF_SELF_SCOUT_IMPORT'!$E$42:$E$1040,SUBSTITUTE(SUBSTITUTE(SUBSTITUTE($B254,"~","~~"),"*","~*"),"?","~?"),'DEF_SELF_SCOUT_IMPORT'!$Q$42:$Q$1040,SUBSTITUTE(SUBSTITUTE(SUBSTITUTE($M254,"~","~~"),"*","~*"),"?","~?"),'DEF_SELF_SCOUT_IMPORT'!$F$42:$F$1040,SUBSTITUTE(SUBSTITUTE(SUBSTITUTE($N254,"~","~~"),"*","~*"),"?","~?"),'DEF_SELF_SCOUT_IMPORT'!$H$42:$H$1040,"RUSH")/$C254)</f>
        <v>0.0</v>
      </c>
      <c r="H254" s="10">
        <f>IF($C254=0,"",COUNTIFS('DEF_SELF_SCOUT_IMPORT'!$L$42:$L$1040,"Y",'DEF_SELF_SCOUT_IMPORT'!$E$42:$E$1040,SUBSTITUTE(SUBSTITUTE(SUBSTITUTE($B254,"~","~~"),"*","~*"),"?","~?"),'DEF_SELF_SCOUT_IMPORT'!$Q$42:$Q$1040,SUBSTITUTE(SUBSTITUTE(SUBSTITUTE($M254,"~","~~"),"*","~*"),"?","~?"),'DEF_SELF_SCOUT_IMPORT'!$F$42:$F$1040,SUBSTITUTE(SUBSTITUTE(SUBSTITUTE($N254,"~","~~"),"*","~*"),"?","~?"),'DEF_SELF_SCOUT_IMPORT'!$H$42:$H$1040,"DROPBACK")/$C254)</f>
        <v>1.0</v>
      </c>
      <c r="I254" s="14" t="str">
        <f>IF(C254=0,"",IF(C254&lt;=2,"TRACK",IF(C254=3,"LOW",IF(C254&lt;=6,"MEDIUM","HIGH"))))</f>
        <v>TRACK</v>
      </c>
      <c r="J254" s="11">
        <f>IF(C254=0,"",ROUND(D254*70+(1-E254)*20+MAX(0,MIN(1,(10-F254)/10))*10,1))</f>
        <v>60.5</v>
      </c>
      <c r="K254" s="14" t="str">
        <f>IF(C254=0,"No Evidence",IF(C254&lt;=2,IF(E254&gt;0,"Explosive Alert","Track Only"),IF(C254=3,"Sample Watch",IF(E254&gt;=START_HERE!$B$31,"Explosive Alert",IF(J254&gt;=80,"Strong Candidate",IF(J254&gt;=65,"Good Candidate",IF(J254&gt;=50,"Mixed / Review","Problem Call")))))))</f>
        <v>Track Only</v>
      </c>
      <c r="L254" s="9" t="str">
        <f>IF(COUNTIFS('DEF_SELF_SCOUT_IMPORT'!$L$42:$L$1040,"Y",'DEF_SELF_SCOUT_IMPORT'!$E$42:$E$1040,SUBSTITUTE(SUBSTITUTE(SUBSTITUTE($B254,"~","~~"),"*","~*"),"?","~?"),'DEF_SELF_SCOUT_IMPORT'!$Q$42:$Q$1040,SUBSTITUTE(SUBSTITUTE(SUBSTITUTE($M254,"~","~~"),"*","~*"),"?","~?"),'DEF_SELF_SCOUT_IMPORT'!$F$42:$F$1040,SUBSTITUTE(SUBSTITUTE(SUBSTITUTE($N254,"~","~~"),"*","~*"),"?","~?"),'DEF_SELF_SCOUT_IMPORT'!$J$42:$J$1040,"")&gt;0,"Unscored clean outcome; review result tags before using score.",IF(C254=0,"No matching defensive reps; film confirmation needed.",IF(K254="Explosive Alert","Explosive risk; review clips before using as answer.",IF(C254&lt;=2,"Track only; not enough sample.",IF(C254=3,IF(E254&gt;0,"Sample watch with explosive exposure; review clips and build the sample.",IF(J254&gt;=65,"Good signal, but sample is limited.","Sample watch; review clips and build the sample.")),IF(K254="Problem Call","Problem area; practice or call-sheet review.",IF(K254="Strong Candidate","Strong call-fit candidate; confirm on film.",IF(K254="Good Candidate","Good call-fit signal; confirm on film.","Mixed signal; review fit and execution on film."))))))))</f>
        <v>Track only; not enough sample.</v>
      </c>
      <c r="M254" s="8" t="s">
        <v>82</v>
      </c>
      <c r="N254" s="8" t="s">
        <v>120</v>
      </c>
      <c r="O254" s="8"/>
      <c r="P254" s="8"/>
      <c r="Q254" s="8"/>
      <c r="R254" s="8" t="s">
        <v>28</v>
      </c>
      <c r="S254" s="2" t="s">
        <v>152</v>
      </c>
      <c r="T254" s="2">
        <f>IF(C254=0,0,IF(C254&gt;=CALL_LOOKUP_BOARD!$B$7,IF(OR(K254="Problem Call",K254="Explosive Alert"),10000000,20000000),0)+IF(C254&gt;=CALL_LOOKUP_BOARD!$B$7,J254*1000+MIN(C254,999),C254*1000+J254)+0.00993100)</f>
        <v>2060.509931</v>
      </c>
      <c r="U254" s="2" t="str">
        <f>IF(C254=0,"",IF(COUNTIFS($S$186:$S$367,SUBSTITUTE(SUBSTITUTE(SUBSTITUTE(S254,"~","~~"),"*","~*"),"?","~?"),$T$186:$T$367,"&gt;"&amp;T254)=0,S254,""))</f>
        <v>6:2D 4-6|2:11|</v>
      </c>
    </row>
    <row r="255" spans="1:21" ht="38" customHeight="1">
      <c r="A255" s="8" t="s">
        <v>151</v>
      </c>
      <c r="B255" s="8" t="s">
        <v>48</v>
      </c>
      <c r="C255" s="12">
        <f>COUNTIFS('DEF_SELF_SCOUT_IMPORT'!$L$42:$L$1040,"Y",'DEF_SELF_SCOUT_IMPORT'!$E$42:$E$1040,SUBSTITUTE(SUBSTITUTE(SUBSTITUTE($B255,"~","~~"),"*","~*"),"?","~?"),'DEF_SELF_SCOUT_IMPORT'!$Q$42:$Q$1040,SUBSTITUTE(SUBSTITUTE(SUBSTITUTE($M255,"~","~~"),"*","~*"),"?","~?"),'DEF_SELF_SCOUT_IMPORT'!$F$42:$F$1040,SUBSTITUTE(SUBSTITUTE(SUBSTITUTE($N255,"~","~~"),"*","~*"),"?","~?"))</f>
        <v>1</v>
      </c>
      <c r="D255" s="10">
        <f>IF($C255=0,"",SUMIFS('DEF_SELF_SCOUT_IMPORT'!$J$42:$J$1040,'DEF_SELF_SCOUT_IMPORT'!$L$42:$L$1040,"Y",'DEF_SELF_SCOUT_IMPORT'!$E$42:$E$1040,SUBSTITUTE(SUBSTITUTE(SUBSTITUTE($B255,"~","~~"),"*","~*"),"?","~?"),'DEF_SELF_SCOUT_IMPORT'!$Q$42:$Q$1040,SUBSTITUTE(SUBSTITUTE(SUBSTITUTE($M255,"~","~~"),"*","~*"),"?","~?"),'DEF_SELF_SCOUT_IMPORT'!$F$42:$F$1040,SUBSTITUTE(SUBSTITUTE(SUBSTITUTE($N255,"~","~~"),"*","~*"),"?","~?"))/$C255)</f>
        <v>1.0</v>
      </c>
      <c r="E255" s="10">
        <f>IF($C255=0,"",SUMIFS('DEF_SELF_SCOUT_IMPORT'!$K$42:$K$1040,'DEF_SELF_SCOUT_IMPORT'!$L$42:$L$1040,"Y",'DEF_SELF_SCOUT_IMPORT'!$E$42:$E$1040,SUBSTITUTE(SUBSTITUTE(SUBSTITUTE($B255,"~","~~"),"*","~*"),"?","~?"),'DEF_SELF_SCOUT_IMPORT'!$Q$42:$Q$1040,SUBSTITUTE(SUBSTITUTE(SUBSTITUTE($M255,"~","~~"),"*","~*"),"?","~?"),'DEF_SELF_SCOUT_IMPORT'!$F$42:$F$1040,SUBSTITUTE(SUBSTITUTE(SUBSTITUTE($N255,"~","~~"),"*","~*"),"?","~?"))/$C255)</f>
        <v>0.0</v>
      </c>
      <c r="F255" s="11">
        <f>IF($C255=0,"",AVERAGEIFS('DEF_SELF_SCOUT_IMPORT'!$I$42:$I$1040,'DEF_SELF_SCOUT_IMPORT'!$L$42:$L$1040,"Y",'DEF_SELF_SCOUT_IMPORT'!$E$42:$E$1040,SUBSTITUTE(SUBSTITUTE(SUBSTITUTE($B255,"~","~~"),"*","~*"),"?","~?"),'DEF_SELF_SCOUT_IMPORT'!$Q$42:$Q$1040,SUBSTITUTE(SUBSTITUTE(SUBSTITUTE($M255,"~","~~"),"*","~*"),"?","~?"),'DEF_SELF_SCOUT_IMPORT'!$F$42:$F$1040,SUBSTITUTE(SUBSTITUTE(SUBSTITUTE($N255,"~","~~"),"*","~*"),"?","~?")))</f>
        <v>-8.0</v>
      </c>
      <c r="G255" s="10">
        <f>IF($C255=0,"",COUNTIFS('DEF_SELF_SCOUT_IMPORT'!$L$42:$L$1040,"Y",'DEF_SELF_SCOUT_IMPORT'!$E$42:$E$1040,SUBSTITUTE(SUBSTITUTE(SUBSTITUTE($B255,"~","~~"),"*","~*"),"?","~?"),'DEF_SELF_SCOUT_IMPORT'!$Q$42:$Q$1040,SUBSTITUTE(SUBSTITUTE(SUBSTITUTE($M255,"~","~~"),"*","~*"),"?","~?"),'DEF_SELF_SCOUT_IMPORT'!$F$42:$F$1040,SUBSTITUTE(SUBSTITUTE(SUBSTITUTE($N255,"~","~~"),"*","~*"),"?","~?"),'DEF_SELF_SCOUT_IMPORT'!$H$42:$H$1040,"RUSH")/$C255)</f>
        <v>0.0</v>
      </c>
      <c r="H255" s="10">
        <f>IF($C255=0,"",COUNTIFS('DEF_SELF_SCOUT_IMPORT'!$L$42:$L$1040,"Y",'DEF_SELF_SCOUT_IMPORT'!$E$42:$E$1040,SUBSTITUTE(SUBSTITUTE(SUBSTITUTE($B255,"~","~~"),"*","~*"),"?","~?"),'DEF_SELF_SCOUT_IMPORT'!$Q$42:$Q$1040,SUBSTITUTE(SUBSTITUTE(SUBSTITUTE($M255,"~","~~"),"*","~*"),"?","~?"),'DEF_SELF_SCOUT_IMPORT'!$F$42:$F$1040,SUBSTITUTE(SUBSTITUTE(SUBSTITUTE($N255,"~","~~"),"*","~*"),"?","~?"),'DEF_SELF_SCOUT_IMPORT'!$H$42:$H$1040,"DROPBACK")/$C255)</f>
        <v>1.0</v>
      </c>
      <c r="I255" s="14" t="str">
        <f>IF(C255=0,"",IF(C255&lt;=2,"TRACK",IF(C255=3,"LOW",IF(C255&lt;=6,"MEDIUM","HIGH"))))</f>
        <v>TRACK</v>
      </c>
      <c r="J255" s="11">
        <f>IF(C255=0,"",ROUND(D255*70+(1-E255)*20+MAX(0,MIN(1,(10-F255)/10))*10,1))</f>
        <v>100.0</v>
      </c>
      <c r="K255" s="14" t="str">
        <f>IF(C255=0,"No Evidence",IF(C255&lt;=2,IF(E255&gt;0,"Explosive Alert","Track Only"),IF(C255=3,"Sample Watch",IF(E255&gt;=START_HERE!$B$31,"Explosive Alert",IF(J255&gt;=80,"Strong Candidate",IF(J255&gt;=65,"Good Candidate",IF(J255&gt;=50,"Mixed / Review","Problem Call")))))))</f>
        <v>Track Only</v>
      </c>
      <c r="L255" s="9" t="str">
        <f>IF(COUNTIFS('DEF_SELF_SCOUT_IMPORT'!$L$42:$L$1040,"Y",'DEF_SELF_SCOUT_IMPORT'!$E$42:$E$1040,SUBSTITUTE(SUBSTITUTE(SUBSTITUTE($B255,"~","~~"),"*","~*"),"?","~?"),'DEF_SELF_SCOUT_IMPORT'!$Q$42:$Q$1040,SUBSTITUTE(SUBSTITUTE(SUBSTITUTE($M255,"~","~~"),"*","~*"),"?","~?"),'DEF_SELF_SCOUT_IMPORT'!$F$42:$F$1040,SUBSTITUTE(SUBSTITUTE(SUBSTITUTE($N255,"~","~~"),"*","~*"),"?","~?"),'DEF_SELF_SCOUT_IMPORT'!$J$42:$J$1040,"")&gt;0,"Unscored clean outcome; review result tags before using score.",IF(C255=0,"No matching defensive reps; film confirmation needed.",IF(K255="Explosive Alert","Explosive risk; review clips before using as answer.",IF(C255&lt;=2,"Track only; not enough sample.",IF(C255=3,IF(E255&gt;0,"Sample watch with explosive exposure; review clips and build the sample.",IF(J255&gt;=65,"Good signal, but sample is limited.","Sample watch; review clips and build the sample.")),IF(K255="Problem Call","Problem area; practice or call-sheet review.",IF(K255="Strong Candidate","Strong call-fit candidate; confirm on film.",IF(K255="Good Candidate","Good call-fit signal; confirm on film.","Mixed signal; review fit and execution on film."))))))))</f>
        <v>Track only; not enough sample.</v>
      </c>
      <c r="M255" s="8" t="s">
        <v>82</v>
      </c>
      <c r="N255" s="8" t="s">
        <v>120</v>
      </c>
      <c r="O255" s="8"/>
      <c r="P255" s="8"/>
      <c r="Q255" s="8"/>
      <c r="R255" s="8" t="s">
        <v>28</v>
      </c>
      <c r="S255" s="2" t="s">
        <v>152</v>
      </c>
      <c r="T255" s="2">
        <f>IF(C255=0,0,IF(C255&gt;=CALL_LOOKUP_BOARD!$B$7,IF(OR(K255="Problem Call",K255="Explosive Alert"),10000000,20000000),0)+IF(C255&gt;=CALL_LOOKUP_BOARD!$B$7,J255*1000+MIN(C255,999),C255*1000+J255)+0.00993000)</f>
        <v>1100.00993</v>
      </c>
      <c r="U255" s="2">
        <f>IF(C255=0,"",IF(COUNTIFS($S$186:$S$367,SUBSTITUTE(SUBSTITUTE(SUBSTITUTE(S255,"~","~~"),"*","~*"),"?","~?"),$T$186:$T$367,"&gt;"&amp;T255)=0,S255,""))</f>
        <v/>
      </c>
    </row>
    <row r="256" spans="1:21" ht="38" customHeight="1">
      <c r="A256" s="8" t="s">
        <v>151</v>
      </c>
      <c r="B256" s="8" t="s">
        <v>34</v>
      </c>
      <c r="C256" s="12">
        <f>COUNTIFS('DEF_SELF_SCOUT_IMPORT'!$L$42:$L$1040,"Y",'DEF_SELF_SCOUT_IMPORT'!$E$42:$E$1040,SUBSTITUTE(SUBSTITUTE(SUBSTITUTE($B256,"~","~~"),"*","~*"),"?","~?"),'DEF_SELF_SCOUT_IMPORT'!$Q$42:$Q$1040,SUBSTITUTE(SUBSTITUTE(SUBSTITUTE($M256,"~","~~"),"*","~*"),"?","~?"),'DEF_SELF_SCOUT_IMPORT'!$F$42:$F$1040,SUBSTITUTE(SUBSTITUTE(SUBSTITUTE($N256,"~","~~"),"*","~*"),"?","~?"))</f>
        <v>1</v>
      </c>
      <c r="D256" s="10">
        <f>IF($C256=0,"",SUMIFS('DEF_SELF_SCOUT_IMPORT'!$J$42:$J$1040,'DEF_SELF_SCOUT_IMPORT'!$L$42:$L$1040,"Y",'DEF_SELF_SCOUT_IMPORT'!$E$42:$E$1040,SUBSTITUTE(SUBSTITUTE(SUBSTITUTE($B256,"~","~~"),"*","~*"),"?","~?"),'DEF_SELF_SCOUT_IMPORT'!$Q$42:$Q$1040,SUBSTITUTE(SUBSTITUTE(SUBSTITUTE($M256,"~","~~"),"*","~*"),"?","~?"),'DEF_SELF_SCOUT_IMPORT'!$F$42:$F$1040,SUBSTITUTE(SUBSTITUTE(SUBSTITUTE($N256,"~","~~"),"*","~*"),"?","~?"))/$C256)</f>
        <v>0.0</v>
      </c>
      <c r="E256" s="10">
        <f>IF($C256=0,"",SUMIFS('DEF_SELF_SCOUT_IMPORT'!$K$42:$K$1040,'DEF_SELF_SCOUT_IMPORT'!$L$42:$L$1040,"Y",'DEF_SELF_SCOUT_IMPORT'!$E$42:$E$1040,SUBSTITUTE(SUBSTITUTE(SUBSTITUTE($B256,"~","~~"),"*","~*"),"?","~?"),'DEF_SELF_SCOUT_IMPORT'!$Q$42:$Q$1040,SUBSTITUTE(SUBSTITUTE(SUBSTITUTE($M256,"~","~~"),"*","~*"),"?","~?"),'DEF_SELF_SCOUT_IMPORT'!$F$42:$F$1040,SUBSTITUTE(SUBSTITUTE(SUBSTITUTE($N256,"~","~~"),"*","~*"),"?","~?"))/$C256)</f>
        <v>0.0</v>
      </c>
      <c r="F256" s="11">
        <f>IF($C256=0,"",AVERAGEIFS('DEF_SELF_SCOUT_IMPORT'!$I$42:$I$1040,'DEF_SELF_SCOUT_IMPORT'!$L$42:$L$1040,"Y",'DEF_SELF_SCOUT_IMPORT'!$E$42:$E$1040,SUBSTITUTE(SUBSTITUTE(SUBSTITUTE($B256,"~","~~"),"*","~*"),"?","~?"),'DEF_SELF_SCOUT_IMPORT'!$Q$42:$Q$1040,SUBSTITUTE(SUBSTITUTE(SUBSTITUTE($M256,"~","~~"),"*","~*"),"?","~?"),'DEF_SELF_SCOUT_IMPORT'!$F$42:$F$1040,SUBSTITUTE(SUBSTITUTE(SUBSTITUTE($N256,"~","~~"),"*","~*"),"?","~?")))</f>
        <v>10.0</v>
      </c>
      <c r="G256" s="10">
        <f>IF($C256=0,"",COUNTIFS('DEF_SELF_SCOUT_IMPORT'!$L$42:$L$1040,"Y",'DEF_SELF_SCOUT_IMPORT'!$E$42:$E$1040,SUBSTITUTE(SUBSTITUTE(SUBSTITUTE($B256,"~","~~"),"*","~*"),"?","~?"),'DEF_SELF_SCOUT_IMPORT'!$Q$42:$Q$1040,SUBSTITUTE(SUBSTITUTE(SUBSTITUTE($M256,"~","~~"),"*","~*"),"?","~?"),'DEF_SELF_SCOUT_IMPORT'!$F$42:$F$1040,SUBSTITUTE(SUBSTITUTE(SUBSTITUTE($N256,"~","~~"),"*","~*"),"?","~?"),'DEF_SELF_SCOUT_IMPORT'!$H$42:$H$1040,"RUSH")/$C256)</f>
        <v>0.0</v>
      </c>
      <c r="H256" s="10">
        <f>IF($C256=0,"",COUNTIFS('DEF_SELF_SCOUT_IMPORT'!$L$42:$L$1040,"Y",'DEF_SELF_SCOUT_IMPORT'!$E$42:$E$1040,SUBSTITUTE(SUBSTITUTE(SUBSTITUTE($B256,"~","~~"),"*","~*"),"?","~?"),'DEF_SELF_SCOUT_IMPORT'!$Q$42:$Q$1040,SUBSTITUTE(SUBSTITUTE(SUBSTITUTE($M256,"~","~~"),"*","~*"),"?","~?"),'DEF_SELF_SCOUT_IMPORT'!$F$42:$F$1040,SUBSTITUTE(SUBSTITUTE(SUBSTITUTE($N256,"~","~~"),"*","~*"),"?","~?"),'DEF_SELF_SCOUT_IMPORT'!$H$42:$H$1040,"DROPBACK")/$C256)</f>
        <v>1.0</v>
      </c>
      <c r="I256" s="14" t="str">
        <f>IF(C256=0,"",IF(C256&lt;=2,"TRACK",IF(C256=3,"LOW",IF(C256&lt;=6,"MEDIUM","HIGH"))))</f>
        <v>TRACK</v>
      </c>
      <c r="J256" s="11">
        <f>IF(C256=0,"",ROUND(D256*70+(1-E256)*20+MAX(0,MIN(1,(10-F256)/10))*10,1))</f>
        <v>20.0</v>
      </c>
      <c r="K256" s="14" t="str">
        <f>IF(C256=0,"No Evidence",IF(C256&lt;=2,IF(E256&gt;0,"Explosive Alert","Track Only"),IF(C256=3,"Sample Watch",IF(E256&gt;=START_HERE!$B$31,"Explosive Alert",IF(J256&gt;=80,"Strong Candidate",IF(J256&gt;=65,"Good Candidate",IF(J256&gt;=50,"Mixed / Review","Problem Call")))))))</f>
        <v>Track Only</v>
      </c>
      <c r="L256" s="9" t="str">
        <f>IF(COUNTIFS('DEF_SELF_SCOUT_IMPORT'!$L$42:$L$1040,"Y",'DEF_SELF_SCOUT_IMPORT'!$E$42:$E$1040,SUBSTITUTE(SUBSTITUTE(SUBSTITUTE($B256,"~","~~"),"*","~*"),"?","~?"),'DEF_SELF_SCOUT_IMPORT'!$Q$42:$Q$1040,SUBSTITUTE(SUBSTITUTE(SUBSTITUTE($M256,"~","~~"),"*","~*"),"?","~?"),'DEF_SELF_SCOUT_IMPORT'!$F$42:$F$1040,SUBSTITUTE(SUBSTITUTE(SUBSTITUTE($N256,"~","~~"),"*","~*"),"?","~?"),'DEF_SELF_SCOUT_IMPORT'!$J$42:$J$1040,"")&gt;0,"Unscored clean outcome; review result tags before using score.",IF(C256=0,"No matching defensive reps; film confirmation needed.",IF(K256="Explosive Alert","Explosive risk; review clips before using as answer.",IF(C256&lt;=2,"Track only; not enough sample.",IF(C256=3,IF(E256&gt;0,"Sample watch with explosive exposure; review clips and build the sample.",IF(J256&gt;=65,"Good signal, but sample is limited.","Sample watch; review clips and build the sample.")),IF(K256="Problem Call","Problem area; practice or call-sheet review.",IF(K256="Strong Candidate","Strong call-fit candidate; confirm on film.",IF(K256="Good Candidate","Good call-fit signal; confirm on film.","Mixed signal; review fit and execution on film."))))))))</f>
        <v>Track only; not enough sample.</v>
      </c>
      <c r="M256" s="8" t="s">
        <v>82</v>
      </c>
      <c r="N256" s="8" t="s">
        <v>120</v>
      </c>
      <c r="O256" s="8"/>
      <c r="P256" s="8"/>
      <c r="Q256" s="8"/>
      <c r="R256" s="8" t="s">
        <v>28</v>
      </c>
      <c r="S256" s="2" t="s">
        <v>152</v>
      </c>
      <c r="T256" s="2">
        <f>IF(C256=0,0,IF(C256&gt;=CALL_LOOKUP_BOARD!$B$7,IF(OR(K256="Problem Call",K256="Explosive Alert"),10000000,20000000),0)+IF(C256&gt;=CALL_LOOKUP_BOARD!$B$7,J256*1000+MIN(C256,999),C256*1000+J256)+0.00992900)</f>
        <v>1020.009929</v>
      </c>
      <c r="U256" s="2">
        <f>IF(C256=0,"",IF(COUNTIFS($S$186:$S$367,SUBSTITUTE(SUBSTITUTE(SUBSTITUTE(S256,"~","~~"),"*","~*"),"?","~?"),$T$186:$T$367,"&gt;"&amp;T256)=0,S256,""))</f>
        <v/>
      </c>
    </row>
    <row r="257" spans="1:21" ht="38" customHeight="1">
      <c r="A257" s="8" t="s">
        <v>151</v>
      </c>
      <c r="B257" s="8" t="s">
        <v>79</v>
      </c>
      <c r="C257" s="12">
        <f>COUNTIFS('DEF_SELF_SCOUT_IMPORT'!$L$42:$L$1040,"Y",'DEF_SELF_SCOUT_IMPORT'!$E$42:$E$1040,SUBSTITUTE(SUBSTITUTE(SUBSTITUTE($B257,"~","~~"),"*","~*"),"?","~?"),'DEF_SELF_SCOUT_IMPORT'!$Q$42:$Q$1040,SUBSTITUTE(SUBSTITUTE(SUBSTITUTE($M257,"~","~~"),"*","~*"),"?","~?"),'DEF_SELF_SCOUT_IMPORT'!$F$42:$F$1040,SUBSTITUTE(SUBSTITUTE(SUBSTITUTE($N257,"~","~~"),"*","~*"),"?","~?"))</f>
        <v>1</v>
      </c>
      <c r="D257" s="10">
        <f>IF($C257=0,"",SUMIFS('DEF_SELF_SCOUT_IMPORT'!$J$42:$J$1040,'DEF_SELF_SCOUT_IMPORT'!$L$42:$L$1040,"Y",'DEF_SELF_SCOUT_IMPORT'!$E$42:$E$1040,SUBSTITUTE(SUBSTITUTE(SUBSTITUTE($B257,"~","~~"),"*","~*"),"?","~?"),'DEF_SELF_SCOUT_IMPORT'!$Q$42:$Q$1040,SUBSTITUTE(SUBSTITUTE(SUBSTITUTE($M257,"~","~~"),"*","~*"),"?","~?"),'DEF_SELF_SCOUT_IMPORT'!$F$42:$F$1040,SUBSTITUTE(SUBSTITUTE(SUBSTITUTE($N257,"~","~~"),"*","~*"),"?","~?"))/$C257)</f>
        <v>1.0</v>
      </c>
      <c r="E257" s="10">
        <f>IF($C257=0,"",SUMIFS('DEF_SELF_SCOUT_IMPORT'!$K$42:$K$1040,'DEF_SELF_SCOUT_IMPORT'!$L$42:$L$1040,"Y",'DEF_SELF_SCOUT_IMPORT'!$E$42:$E$1040,SUBSTITUTE(SUBSTITUTE(SUBSTITUTE($B257,"~","~~"),"*","~*"),"?","~?"),'DEF_SELF_SCOUT_IMPORT'!$Q$42:$Q$1040,SUBSTITUTE(SUBSTITUTE(SUBSTITUTE($M257,"~","~~"),"*","~*"),"?","~?"),'DEF_SELF_SCOUT_IMPORT'!$F$42:$F$1040,SUBSTITUTE(SUBSTITUTE(SUBSTITUTE($N257,"~","~~"),"*","~*"),"?","~?"))/$C257)</f>
        <v>0.0</v>
      </c>
      <c r="F257" s="11">
        <f>IF($C257=0,"",AVERAGEIFS('DEF_SELF_SCOUT_IMPORT'!$I$42:$I$1040,'DEF_SELF_SCOUT_IMPORT'!$L$42:$L$1040,"Y",'DEF_SELF_SCOUT_IMPORT'!$E$42:$E$1040,SUBSTITUTE(SUBSTITUTE(SUBSTITUTE($B257,"~","~~"),"*","~*"),"?","~?"),'DEF_SELF_SCOUT_IMPORT'!$Q$42:$Q$1040,SUBSTITUTE(SUBSTITUTE(SUBSTITUTE($M257,"~","~~"),"*","~*"),"?","~?"),'DEF_SELF_SCOUT_IMPORT'!$F$42:$F$1040,SUBSTITUTE(SUBSTITUTE(SUBSTITUTE($N257,"~","~~"),"*","~*"),"?","~?")))</f>
        <v>-1.0</v>
      </c>
      <c r="G257" s="10">
        <f>IF($C257=0,"",COUNTIFS('DEF_SELF_SCOUT_IMPORT'!$L$42:$L$1040,"Y",'DEF_SELF_SCOUT_IMPORT'!$E$42:$E$1040,SUBSTITUTE(SUBSTITUTE(SUBSTITUTE($B257,"~","~~"),"*","~*"),"?","~?"),'DEF_SELF_SCOUT_IMPORT'!$Q$42:$Q$1040,SUBSTITUTE(SUBSTITUTE(SUBSTITUTE($M257,"~","~~"),"*","~*"),"?","~?"),'DEF_SELF_SCOUT_IMPORT'!$F$42:$F$1040,SUBSTITUTE(SUBSTITUTE(SUBSTITUTE($N257,"~","~~"),"*","~*"),"?","~?"),'DEF_SELF_SCOUT_IMPORT'!$H$42:$H$1040,"RUSH")/$C257)</f>
        <v>0.0</v>
      </c>
      <c r="H257" s="10">
        <f>IF($C257=0,"",COUNTIFS('DEF_SELF_SCOUT_IMPORT'!$L$42:$L$1040,"Y",'DEF_SELF_SCOUT_IMPORT'!$E$42:$E$1040,SUBSTITUTE(SUBSTITUTE(SUBSTITUTE($B257,"~","~~"),"*","~*"),"?","~?"),'DEF_SELF_SCOUT_IMPORT'!$Q$42:$Q$1040,SUBSTITUTE(SUBSTITUTE(SUBSTITUTE($M257,"~","~~"),"*","~*"),"?","~?"),'DEF_SELF_SCOUT_IMPORT'!$F$42:$F$1040,SUBSTITUTE(SUBSTITUTE(SUBSTITUTE($N257,"~","~~"),"*","~*"),"?","~?"),'DEF_SELF_SCOUT_IMPORT'!$H$42:$H$1040,"DROPBACK")/$C257)</f>
        <v>1.0</v>
      </c>
      <c r="I257" s="14" t="str">
        <f>IF(C257=0,"",IF(C257&lt;=2,"TRACK",IF(C257=3,"LOW",IF(C257&lt;=6,"MEDIUM","HIGH"))))</f>
        <v>TRACK</v>
      </c>
      <c r="J257" s="11">
        <f>IF(C257=0,"",ROUND(D257*70+(1-E257)*20+MAX(0,MIN(1,(10-F257)/10))*10,1))</f>
        <v>100.0</v>
      </c>
      <c r="K257" s="14" t="str">
        <f>IF(C257=0,"No Evidence",IF(C257&lt;=2,IF(E257&gt;0,"Explosive Alert","Track Only"),IF(C257=3,"Sample Watch",IF(E257&gt;=START_HERE!$B$31,"Explosive Alert",IF(J257&gt;=80,"Strong Candidate",IF(J257&gt;=65,"Good Candidate",IF(J257&gt;=50,"Mixed / Review","Problem Call")))))))</f>
        <v>Track Only</v>
      </c>
      <c r="L257" s="9" t="str">
        <f>IF(COUNTIFS('DEF_SELF_SCOUT_IMPORT'!$L$42:$L$1040,"Y",'DEF_SELF_SCOUT_IMPORT'!$E$42:$E$1040,SUBSTITUTE(SUBSTITUTE(SUBSTITUTE($B257,"~","~~"),"*","~*"),"?","~?"),'DEF_SELF_SCOUT_IMPORT'!$Q$42:$Q$1040,SUBSTITUTE(SUBSTITUTE(SUBSTITUTE($M257,"~","~~"),"*","~*"),"?","~?"),'DEF_SELF_SCOUT_IMPORT'!$F$42:$F$1040,SUBSTITUTE(SUBSTITUTE(SUBSTITUTE($N257,"~","~~"),"*","~*"),"?","~?"),'DEF_SELF_SCOUT_IMPORT'!$J$42:$J$1040,"")&gt;0,"Unscored clean outcome; review result tags before using score.",IF(C257=0,"No matching defensive reps; film confirmation needed.",IF(K257="Explosive Alert","Explosive risk; review clips before using as answer.",IF(C257&lt;=2,"Track only; not enough sample.",IF(C257=3,IF(E257&gt;0,"Sample watch with explosive exposure; review clips and build the sample.",IF(J257&gt;=65,"Good signal, but sample is limited.","Sample watch; review clips and build the sample.")),IF(K257="Problem Call","Problem area; practice or call-sheet review.",IF(K257="Strong Candidate","Strong call-fit candidate; confirm on film.",IF(K257="Good Candidate","Good call-fit signal; confirm on film.","Mixed signal; review fit and execution on film."))))))))</f>
        <v>Track only; not enough sample.</v>
      </c>
      <c r="M257" s="8" t="s">
        <v>82</v>
      </c>
      <c r="N257" s="8" t="s">
        <v>120</v>
      </c>
      <c r="O257" s="8"/>
      <c r="P257" s="8"/>
      <c r="Q257" s="8"/>
      <c r="R257" s="8" t="s">
        <v>28</v>
      </c>
      <c r="S257" s="2" t="s">
        <v>152</v>
      </c>
      <c r="T257" s="2">
        <f>IF(C257=0,0,IF(C257&gt;=CALL_LOOKUP_BOARD!$B$7,IF(OR(K257="Problem Call",K257="Explosive Alert"),10000000,20000000),0)+IF(C257&gt;=CALL_LOOKUP_BOARD!$B$7,J257*1000+MIN(C257,999),C257*1000+J257)+0.00992800)</f>
        <v>1100.009928</v>
      </c>
      <c r="U257" s="2">
        <f>IF(C257=0,"",IF(COUNTIFS($S$186:$S$367,SUBSTITUTE(SUBSTITUTE(SUBSTITUTE(S257,"~","~~"),"*","~*"),"?","~?"),$T$186:$T$367,"&gt;"&amp;T257)=0,S257,""))</f>
        <v/>
      </c>
    </row>
    <row r="258" spans="1:21" ht="38" customHeight="1">
      <c r="A258" s="8" t="s">
        <v>151</v>
      </c>
      <c r="B258" s="8" t="s">
        <v>80</v>
      </c>
      <c r="C258" s="12">
        <f>COUNTIFS('DEF_SELF_SCOUT_IMPORT'!$L$42:$L$1040,"Y",'DEF_SELF_SCOUT_IMPORT'!$E$42:$E$1040,SUBSTITUTE(SUBSTITUTE(SUBSTITUTE($B258,"~","~~"),"*","~*"),"?","~?"),'DEF_SELF_SCOUT_IMPORT'!$Q$42:$Q$1040,SUBSTITUTE(SUBSTITUTE(SUBSTITUTE($M258,"~","~~"),"*","~*"),"?","~?"),'DEF_SELF_SCOUT_IMPORT'!$F$42:$F$1040,SUBSTITUTE(SUBSTITUTE(SUBSTITUTE($N258,"~","~~"),"*","~*"),"?","~?"))</f>
        <v>1</v>
      </c>
      <c r="D258" s="10">
        <f>IF($C258=0,"",SUMIFS('DEF_SELF_SCOUT_IMPORT'!$J$42:$J$1040,'DEF_SELF_SCOUT_IMPORT'!$L$42:$L$1040,"Y",'DEF_SELF_SCOUT_IMPORT'!$E$42:$E$1040,SUBSTITUTE(SUBSTITUTE(SUBSTITUTE($B258,"~","~~"),"*","~*"),"?","~?"),'DEF_SELF_SCOUT_IMPORT'!$Q$42:$Q$1040,SUBSTITUTE(SUBSTITUTE(SUBSTITUTE($M258,"~","~~"),"*","~*"),"?","~?"),'DEF_SELF_SCOUT_IMPORT'!$F$42:$F$1040,SUBSTITUTE(SUBSTITUTE(SUBSTITUTE($N258,"~","~~"),"*","~*"),"?","~?"))/$C258)</f>
        <v>0.0</v>
      </c>
      <c r="E258" s="10">
        <f>IF($C258=0,"",SUMIFS('DEF_SELF_SCOUT_IMPORT'!$K$42:$K$1040,'DEF_SELF_SCOUT_IMPORT'!$L$42:$L$1040,"Y",'DEF_SELF_SCOUT_IMPORT'!$E$42:$E$1040,SUBSTITUTE(SUBSTITUTE(SUBSTITUTE($B258,"~","~~"),"*","~*"),"?","~?"),'DEF_SELF_SCOUT_IMPORT'!$Q$42:$Q$1040,SUBSTITUTE(SUBSTITUTE(SUBSTITUTE($M258,"~","~~"),"*","~*"),"?","~?"),'DEF_SELF_SCOUT_IMPORT'!$F$42:$F$1040,SUBSTITUTE(SUBSTITUTE(SUBSTITUTE($N258,"~","~~"),"*","~*"),"?","~?"))/$C258)</f>
        <v>0.0</v>
      </c>
      <c r="F258" s="11">
        <f>IF($C258=0,"",AVERAGEIFS('DEF_SELF_SCOUT_IMPORT'!$I$42:$I$1040,'DEF_SELF_SCOUT_IMPORT'!$L$42:$L$1040,"Y",'DEF_SELF_SCOUT_IMPORT'!$E$42:$E$1040,SUBSTITUTE(SUBSTITUTE(SUBSTITUTE($B258,"~","~~"),"*","~*"),"?","~?"),'DEF_SELF_SCOUT_IMPORT'!$Q$42:$Q$1040,SUBSTITUTE(SUBSTITUTE(SUBSTITUTE($M258,"~","~~"),"*","~*"),"?","~?"),'DEF_SELF_SCOUT_IMPORT'!$F$42:$F$1040,SUBSTITUTE(SUBSTITUTE(SUBSTITUTE($N258,"~","~~"),"*","~*"),"?","~?")))</f>
        <v>8.0</v>
      </c>
      <c r="G258" s="10">
        <f>IF($C258=0,"",COUNTIFS('DEF_SELF_SCOUT_IMPORT'!$L$42:$L$1040,"Y",'DEF_SELF_SCOUT_IMPORT'!$E$42:$E$1040,SUBSTITUTE(SUBSTITUTE(SUBSTITUTE($B258,"~","~~"),"*","~*"),"?","~?"),'DEF_SELF_SCOUT_IMPORT'!$Q$42:$Q$1040,SUBSTITUTE(SUBSTITUTE(SUBSTITUTE($M258,"~","~~"),"*","~*"),"?","~?"),'DEF_SELF_SCOUT_IMPORT'!$F$42:$F$1040,SUBSTITUTE(SUBSTITUTE(SUBSTITUTE($N258,"~","~~"),"*","~*"),"?","~?"),'DEF_SELF_SCOUT_IMPORT'!$H$42:$H$1040,"RUSH")/$C258)</f>
        <v>1.0</v>
      </c>
      <c r="H258" s="10">
        <f>IF($C258=0,"",COUNTIFS('DEF_SELF_SCOUT_IMPORT'!$L$42:$L$1040,"Y",'DEF_SELF_SCOUT_IMPORT'!$E$42:$E$1040,SUBSTITUTE(SUBSTITUTE(SUBSTITUTE($B258,"~","~~"),"*","~*"),"?","~?"),'DEF_SELF_SCOUT_IMPORT'!$Q$42:$Q$1040,SUBSTITUTE(SUBSTITUTE(SUBSTITUTE($M258,"~","~~"),"*","~*"),"?","~?"),'DEF_SELF_SCOUT_IMPORT'!$F$42:$F$1040,SUBSTITUTE(SUBSTITUTE(SUBSTITUTE($N258,"~","~~"),"*","~*"),"?","~?"),'DEF_SELF_SCOUT_IMPORT'!$H$42:$H$1040,"DROPBACK")/$C258)</f>
        <v>0.0</v>
      </c>
      <c r="I258" s="14" t="str">
        <f>IF(C258=0,"",IF(C258&lt;=2,"TRACK",IF(C258=3,"LOW",IF(C258&lt;=6,"MEDIUM","HIGH"))))</f>
        <v>TRACK</v>
      </c>
      <c r="J258" s="11">
        <f>IF(C258=0,"",ROUND(D258*70+(1-E258)*20+MAX(0,MIN(1,(10-F258)/10))*10,1))</f>
        <v>22.0</v>
      </c>
      <c r="K258" s="14" t="str">
        <f>IF(C258=0,"No Evidence",IF(C258&lt;=2,IF(E258&gt;0,"Explosive Alert","Track Only"),IF(C258=3,"Sample Watch",IF(E258&gt;=START_HERE!$B$31,"Explosive Alert",IF(J258&gt;=80,"Strong Candidate",IF(J258&gt;=65,"Good Candidate",IF(J258&gt;=50,"Mixed / Review","Problem Call")))))))</f>
        <v>Track Only</v>
      </c>
      <c r="L258" s="9" t="str">
        <f>IF(COUNTIFS('DEF_SELF_SCOUT_IMPORT'!$L$42:$L$1040,"Y",'DEF_SELF_SCOUT_IMPORT'!$E$42:$E$1040,SUBSTITUTE(SUBSTITUTE(SUBSTITUTE($B258,"~","~~"),"*","~*"),"?","~?"),'DEF_SELF_SCOUT_IMPORT'!$Q$42:$Q$1040,SUBSTITUTE(SUBSTITUTE(SUBSTITUTE($M258,"~","~~"),"*","~*"),"?","~?"),'DEF_SELF_SCOUT_IMPORT'!$F$42:$F$1040,SUBSTITUTE(SUBSTITUTE(SUBSTITUTE($N258,"~","~~"),"*","~*"),"?","~?"),'DEF_SELF_SCOUT_IMPORT'!$J$42:$J$1040,"")&gt;0,"Unscored clean outcome; review result tags before using score.",IF(C258=0,"No matching defensive reps; film confirmation needed.",IF(K258="Explosive Alert","Explosive risk; review clips before using as answer.",IF(C258&lt;=2,"Track only; not enough sample.",IF(C258=3,IF(E258&gt;0,"Sample watch with explosive exposure; review clips and build the sample.",IF(J258&gt;=65,"Good signal, but sample is limited.","Sample watch; review clips and build the sample.")),IF(K258="Problem Call","Problem area; practice or call-sheet review.",IF(K258="Strong Candidate","Strong call-fit candidate; confirm on film.",IF(K258="Good Candidate","Good call-fit signal; confirm on film.","Mixed signal; review fit and execution on film."))))))))</f>
        <v>Track only; not enough sample.</v>
      </c>
      <c r="M258" s="8" t="s">
        <v>82</v>
      </c>
      <c r="N258" s="8" t="s">
        <v>120</v>
      </c>
      <c r="O258" s="8"/>
      <c r="P258" s="8"/>
      <c r="Q258" s="8"/>
      <c r="R258" s="8" t="s">
        <v>28</v>
      </c>
      <c r="S258" s="2" t="s">
        <v>152</v>
      </c>
      <c r="T258" s="2">
        <f>IF(C258=0,0,IF(C258&gt;=CALL_LOOKUP_BOARD!$B$7,IF(OR(K258="Problem Call",K258="Explosive Alert"),10000000,20000000),0)+IF(C258&gt;=CALL_LOOKUP_BOARD!$B$7,J258*1000+MIN(C258,999),C258*1000+J258)+0.00992700)</f>
        <v>1022.009927</v>
      </c>
      <c r="U258" s="2">
        <f>IF(C258=0,"",IF(COUNTIFS($S$186:$S$367,SUBSTITUTE(SUBSTITUTE(SUBSTITUTE(S258,"~","~~"),"*","~*"),"?","~?"),$T$186:$T$367,"&gt;"&amp;T258)=0,S258,""))</f>
        <v/>
      </c>
    </row>
    <row r="259" spans="1:21" ht="38" customHeight="1">
      <c r="A259" s="8" t="s">
        <v>151</v>
      </c>
      <c r="B259" s="8" t="s">
        <v>60</v>
      </c>
      <c r="C259" s="12">
        <f>COUNTIFS('DEF_SELF_SCOUT_IMPORT'!$L$42:$L$1040,"Y",'DEF_SELF_SCOUT_IMPORT'!$E$42:$E$1040,SUBSTITUTE(SUBSTITUTE(SUBSTITUTE($B259,"~","~~"),"*","~*"),"?","~?"),'DEF_SELF_SCOUT_IMPORT'!$Q$42:$Q$1040,SUBSTITUTE(SUBSTITUTE(SUBSTITUTE($M259,"~","~~"),"*","~*"),"?","~?"),'DEF_SELF_SCOUT_IMPORT'!$F$42:$F$1040,SUBSTITUTE(SUBSTITUTE(SUBSTITUTE($N259,"~","~~"),"*","~*"),"?","~?"))</f>
        <v>1</v>
      </c>
      <c r="D259" s="10">
        <f>IF($C259=0,"",SUMIFS('DEF_SELF_SCOUT_IMPORT'!$J$42:$J$1040,'DEF_SELF_SCOUT_IMPORT'!$L$42:$L$1040,"Y",'DEF_SELF_SCOUT_IMPORT'!$E$42:$E$1040,SUBSTITUTE(SUBSTITUTE(SUBSTITUTE($B259,"~","~~"),"*","~*"),"?","~?"),'DEF_SELF_SCOUT_IMPORT'!$Q$42:$Q$1040,SUBSTITUTE(SUBSTITUTE(SUBSTITUTE($M259,"~","~~"),"*","~*"),"?","~?"),'DEF_SELF_SCOUT_IMPORT'!$F$42:$F$1040,SUBSTITUTE(SUBSTITUTE(SUBSTITUTE($N259,"~","~~"),"*","~*"),"?","~?"))/$C259)</f>
        <v>0.0</v>
      </c>
      <c r="E259" s="10">
        <f>IF($C259=0,"",SUMIFS('DEF_SELF_SCOUT_IMPORT'!$K$42:$K$1040,'DEF_SELF_SCOUT_IMPORT'!$L$42:$L$1040,"Y",'DEF_SELF_SCOUT_IMPORT'!$E$42:$E$1040,SUBSTITUTE(SUBSTITUTE(SUBSTITUTE($B259,"~","~~"),"*","~*"),"?","~?"),'DEF_SELF_SCOUT_IMPORT'!$Q$42:$Q$1040,SUBSTITUTE(SUBSTITUTE(SUBSTITUTE($M259,"~","~~"),"*","~*"),"?","~?"),'DEF_SELF_SCOUT_IMPORT'!$F$42:$F$1040,SUBSTITUTE(SUBSTITUTE(SUBSTITUTE($N259,"~","~~"),"*","~*"),"?","~?"))/$C259)</f>
        <v>0.0</v>
      </c>
      <c r="F259" s="11">
        <f>IF($C259=0,"",AVERAGEIFS('DEF_SELF_SCOUT_IMPORT'!$I$42:$I$1040,'DEF_SELF_SCOUT_IMPORT'!$L$42:$L$1040,"Y",'DEF_SELF_SCOUT_IMPORT'!$E$42:$E$1040,SUBSTITUTE(SUBSTITUTE(SUBSTITUTE($B259,"~","~~"),"*","~*"),"?","~?"),'DEF_SELF_SCOUT_IMPORT'!$Q$42:$Q$1040,SUBSTITUTE(SUBSTITUTE(SUBSTITUTE($M259,"~","~~"),"*","~*"),"?","~?"),'DEF_SELF_SCOUT_IMPORT'!$F$42:$F$1040,SUBSTITUTE(SUBSTITUTE(SUBSTITUTE($N259,"~","~~"),"*","~*"),"?","~?")))</f>
        <v>12.0</v>
      </c>
      <c r="G259" s="10">
        <f>IF($C259=0,"",COUNTIFS('DEF_SELF_SCOUT_IMPORT'!$L$42:$L$1040,"Y",'DEF_SELF_SCOUT_IMPORT'!$E$42:$E$1040,SUBSTITUTE(SUBSTITUTE(SUBSTITUTE($B259,"~","~~"),"*","~*"),"?","~?"),'DEF_SELF_SCOUT_IMPORT'!$Q$42:$Q$1040,SUBSTITUTE(SUBSTITUTE(SUBSTITUTE($M259,"~","~~"),"*","~*"),"?","~?"),'DEF_SELF_SCOUT_IMPORT'!$F$42:$F$1040,SUBSTITUTE(SUBSTITUTE(SUBSTITUTE($N259,"~","~~"),"*","~*"),"?","~?"),'DEF_SELF_SCOUT_IMPORT'!$H$42:$H$1040,"RUSH")/$C259)</f>
        <v>0.0</v>
      </c>
      <c r="H259" s="10">
        <f>IF($C259=0,"",COUNTIFS('DEF_SELF_SCOUT_IMPORT'!$L$42:$L$1040,"Y",'DEF_SELF_SCOUT_IMPORT'!$E$42:$E$1040,SUBSTITUTE(SUBSTITUTE(SUBSTITUTE($B259,"~","~~"),"*","~*"),"?","~?"),'DEF_SELF_SCOUT_IMPORT'!$Q$42:$Q$1040,SUBSTITUTE(SUBSTITUTE(SUBSTITUTE($M259,"~","~~"),"*","~*"),"?","~?"),'DEF_SELF_SCOUT_IMPORT'!$F$42:$F$1040,SUBSTITUTE(SUBSTITUTE(SUBSTITUTE($N259,"~","~~"),"*","~*"),"?","~?"),'DEF_SELF_SCOUT_IMPORT'!$H$42:$H$1040,"DROPBACK")/$C259)</f>
        <v>1.0</v>
      </c>
      <c r="I259" s="14" t="str">
        <f>IF(C259=0,"",IF(C259&lt;=2,"TRACK",IF(C259=3,"LOW",IF(C259&lt;=6,"MEDIUM","HIGH"))))</f>
        <v>TRACK</v>
      </c>
      <c r="J259" s="11">
        <f>IF(C259=0,"",ROUND(D259*70+(1-E259)*20+MAX(0,MIN(1,(10-F259)/10))*10,1))</f>
        <v>20.0</v>
      </c>
      <c r="K259" s="14" t="str">
        <f>IF(C259=0,"No Evidence",IF(C259&lt;=2,IF(E259&gt;0,"Explosive Alert","Track Only"),IF(C259=3,"Sample Watch",IF(E259&gt;=START_HERE!$B$31,"Explosive Alert",IF(J259&gt;=80,"Strong Candidate",IF(J259&gt;=65,"Good Candidate",IF(J259&gt;=50,"Mixed / Review","Problem Call")))))))</f>
        <v>Track Only</v>
      </c>
      <c r="L259" s="9" t="str">
        <f>IF(COUNTIFS('DEF_SELF_SCOUT_IMPORT'!$L$42:$L$1040,"Y",'DEF_SELF_SCOUT_IMPORT'!$E$42:$E$1040,SUBSTITUTE(SUBSTITUTE(SUBSTITUTE($B259,"~","~~"),"*","~*"),"?","~?"),'DEF_SELF_SCOUT_IMPORT'!$Q$42:$Q$1040,SUBSTITUTE(SUBSTITUTE(SUBSTITUTE($M259,"~","~~"),"*","~*"),"?","~?"),'DEF_SELF_SCOUT_IMPORT'!$F$42:$F$1040,SUBSTITUTE(SUBSTITUTE(SUBSTITUTE($N259,"~","~~"),"*","~*"),"?","~?"),'DEF_SELF_SCOUT_IMPORT'!$J$42:$J$1040,"")&gt;0,"Unscored clean outcome; review result tags before using score.",IF(C259=0,"No matching defensive reps; film confirmation needed.",IF(K259="Explosive Alert","Explosive risk; review clips before using as answer.",IF(C259&lt;=2,"Track only; not enough sample.",IF(C259=3,IF(E259&gt;0,"Sample watch with explosive exposure; review clips and build the sample.",IF(J259&gt;=65,"Good signal, but sample is limited.","Sample watch; review clips and build the sample.")),IF(K259="Problem Call","Problem area; practice or call-sheet review.",IF(K259="Strong Candidate","Strong call-fit candidate; confirm on film.",IF(K259="Good Candidate","Good call-fit signal; confirm on film.","Mixed signal; review fit and execution on film."))))))))</f>
        <v>Track only; not enough sample.</v>
      </c>
      <c r="M259" s="8" t="s">
        <v>82</v>
      </c>
      <c r="N259" s="8" t="s">
        <v>120</v>
      </c>
      <c r="O259" s="8"/>
      <c r="P259" s="8"/>
      <c r="Q259" s="8"/>
      <c r="R259" s="8" t="s">
        <v>28</v>
      </c>
      <c r="S259" s="2" t="s">
        <v>152</v>
      </c>
      <c r="T259" s="2">
        <f>IF(C259=0,0,IF(C259&gt;=CALL_LOOKUP_BOARD!$B$7,IF(OR(K259="Problem Call",K259="Explosive Alert"),10000000,20000000),0)+IF(C259&gt;=CALL_LOOKUP_BOARD!$B$7,J259*1000+MIN(C259,999),C259*1000+J259)+0.00992600)</f>
        <v>1020.009926</v>
      </c>
      <c r="U259" s="2">
        <f>IF(C259=0,"",IF(COUNTIFS($S$186:$S$367,SUBSTITUTE(SUBSTITUTE(SUBSTITUTE(S259,"~","~~"),"*","~*"),"?","~?"),$T$186:$T$367,"&gt;"&amp;T259)=0,S259,""))</f>
        <v/>
      </c>
    </row>
    <row r="260" spans="1:21" ht="38" customHeight="1">
      <c r="A260" s="8" t="s">
        <v>151</v>
      </c>
      <c r="B260" s="8" t="s">
        <v>61</v>
      </c>
      <c r="C260" s="12">
        <f>COUNTIFS('DEF_SELF_SCOUT_IMPORT'!$L$42:$L$1040,"Y",'DEF_SELF_SCOUT_IMPORT'!$E$42:$E$1040,SUBSTITUTE(SUBSTITUTE(SUBSTITUTE($B260,"~","~~"),"*","~*"),"?","~?"),'DEF_SELF_SCOUT_IMPORT'!$Q$42:$Q$1040,SUBSTITUTE(SUBSTITUTE(SUBSTITUTE($M260,"~","~~"),"*","~*"),"?","~?"),'DEF_SELF_SCOUT_IMPORT'!$F$42:$F$1040,SUBSTITUTE(SUBSTITUTE(SUBSTITUTE($N260,"~","~~"),"*","~*"),"?","~?"))</f>
        <v>1</v>
      </c>
      <c r="D260" s="10">
        <f>IF($C260=0,"",SUMIFS('DEF_SELF_SCOUT_IMPORT'!$J$42:$J$1040,'DEF_SELF_SCOUT_IMPORT'!$L$42:$L$1040,"Y",'DEF_SELF_SCOUT_IMPORT'!$E$42:$E$1040,SUBSTITUTE(SUBSTITUTE(SUBSTITUTE($B260,"~","~~"),"*","~*"),"?","~?"),'DEF_SELF_SCOUT_IMPORT'!$Q$42:$Q$1040,SUBSTITUTE(SUBSTITUTE(SUBSTITUTE($M260,"~","~~"),"*","~*"),"?","~?"),'DEF_SELF_SCOUT_IMPORT'!$F$42:$F$1040,SUBSTITUTE(SUBSTITUTE(SUBSTITUTE($N260,"~","~~"),"*","~*"),"?","~?"))/$C260)</f>
        <v>0.0</v>
      </c>
      <c r="E260" s="10">
        <f>IF($C260=0,"",SUMIFS('DEF_SELF_SCOUT_IMPORT'!$K$42:$K$1040,'DEF_SELF_SCOUT_IMPORT'!$L$42:$L$1040,"Y",'DEF_SELF_SCOUT_IMPORT'!$E$42:$E$1040,SUBSTITUTE(SUBSTITUTE(SUBSTITUTE($B260,"~","~~"),"*","~*"),"?","~?"),'DEF_SELF_SCOUT_IMPORT'!$Q$42:$Q$1040,SUBSTITUTE(SUBSTITUTE(SUBSTITUTE($M260,"~","~~"),"*","~*"),"?","~?"),'DEF_SELF_SCOUT_IMPORT'!$F$42:$F$1040,SUBSTITUTE(SUBSTITUTE(SUBSTITUTE($N260,"~","~~"),"*","~*"),"?","~?"))/$C260)</f>
        <v>0.0</v>
      </c>
      <c r="F260" s="11">
        <f>IF($C260=0,"",AVERAGEIFS('DEF_SELF_SCOUT_IMPORT'!$I$42:$I$1040,'DEF_SELF_SCOUT_IMPORT'!$L$42:$L$1040,"Y",'DEF_SELF_SCOUT_IMPORT'!$E$42:$E$1040,SUBSTITUTE(SUBSTITUTE(SUBSTITUTE($B260,"~","~~"),"*","~*"),"?","~?"),'DEF_SELF_SCOUT_IMPORT'!$Q$42:$Q$1040,SUBSTITUTE(SUBSTITUTE(SUBSTITUTE($M260,"~","~~"),"*","~*"),"?","~?"),'DEF_SELF_SCOUT_IMPORT'!$F$42:$F$1040,SUBSTITUTE(SUBSTITUTE(SUBSTITUTE($N260,"~","~~"),"*","~*"),"?","~?")))</f>
        <v>11.0</v>
      </c>
      <c r="G260" s="10">
        <f>IF($C260=0,"",COUNTIFS('DEF_SELF_SCOUT_IMPORT'!$L$42:$L$1040,"Y",'DEF_SELF_SCOUT_IMPORT'!$E$42:$E$1040,SUBSTITUTE(SUBSTITUTE(SUBSTITUTE($B260,"~","~~"),"*","~*"),"?","~?"),'DEF_SELF_SCOUT_IMPORT'!$Q$42:$Q$1040,SUBSTITUTE(SUBSTITUTE(SUBSTITUTE($M260,"~","~~"),"*","~*"),"?","~?"),'DEF_SELF_SCOUT_IMPORT'!$F$42:$F$1040,SUBSTITUTE(SUBSTITUTE(SUBSTITUTE($N260,"~","~~"),"*","~*"),"?","~?"),'DEF_SELF_SCOUT_IMPORT'!$H$42:$H$1040,"RUSH")/$C260)</f>
        <v>0.0</v>
      </c>
      <c r="H260" s="10">
        <f>IF($C260=0,"",COUNTIFS('DEF_SELF_SCOUT_IMPORT'!$L$42:$L$1040,"Y",'DEF_SELF_SCOUT_IMPORT'!$E$42:$E$1040,SUBSTITUTE(SUBSTITUTE(SUBSTITUTE($B260,"~","~~"),"*","~*"),"?","~?"),'DEF_SELF_SCOUT_IMPORT'!$Q$42:$Q$1040,SUBSTITUTE(SUBSTITUTE(SUBSTITUTE($M260,"~","~~"),"*","~*"),"?","~?"),'DEF_SELF_SCOUT_IMPORT'!$F$42:$F$1040,SUBSTITUTE(SUBSTITUTE(SUBSTITUTE($N260,"~","~~"),"*","~*"),"?","~?"),'DEF_SELF_SCOUT_IMPORT'!$H$42:$H$1040,"DROPBACK")/$C260)</f>
        <v>1.0</v>
      </c>
      <c r="I260" s="14" t="str">
        <f>IF(C260=0,"",IF(C260&lt;=2,"TRACK",IF(C260=3,"LOW",IF(C260&lt;=6,"MEDIUM","HIGH"))))</f>
        <v>TRACK</v>
      </c>
      <c r="J260" s="11">
        <f>IF(C260=0,"",ROUND(D260*70+(1-E260)*20+MAX(0,MIN(1,(10-F260)/10))*10,1))</f>
        <v>20.0</v>
      </c>
      <c r="K260" s="14" t="str">
        <f>IF(C260=0,"No Evidence",IF(C260&lt;=2,IF(E260&gt;0,"Explosive Alert","Track Only"),IF(C260=3,"Sample Watch",IF(E260&gt;=START_HERE!$B$31,"Explosive Alert",IF(J260&gt;=80,"Strong Candidate",IF(J260&gt;=65,"Good Candidate",IF(J260&gt;=50,"Mixed / Review","Problem Call")))))))</f>
        <v>Track Only</v>
      </c>
      <c r="L260" s="9" t="str">
        <f>IF(COUNTIFS('DEF_SELF_SCOUT_IMPORT'!$L$42:$L$1040,"Y",'DEF_SELF_SCOUT_IMPORT'!$E$42:$E$1040,SUBSTITUTE(SUBSTITUTE(SUBSTITUTE($B260,"~","~~"),"*","~*"),"?","~?"),'DEF_SELF_SCOUT_IMPORT'!$Q$42:$Q$1040,SUBSTITUTE(SUBSTITUTE(SUBSTITUTE($M260,"~","~~"),"*","~*"),"?","~?"),'DEF_SELF_SCOUT_IMPORT'!$F$42:$F$1040,SUBSTITUTE(SUBSTITUTE(SUBSTITUTE($N260,"~","~~"),"*","~*"),"?","~?"),'DEF_SELF_SCOUT_IMPORT'!$J$42:$J$1040,"")&gt;0,"Unscored clean outcome; review result tags before using score.",IF(C260=0,"No matching defensive reps; film confirmation needed.",IF(K260="Explosive Alert","Explosive risk; review clips before using as answer.",IF(C260&lt;=2,"Track only; not enough sample.",IF(C260=3,IF(E260&gt;0,"Sample watch with explosive exposure; review clips and build the sample.",IF(J260&gt;=65,"Good signal, but sample is limited.","Sample watch; review clips and build the sample.")),IF(K260="Problem Call","Problem area; practice or call-sheet review.",IF(K260="Strong Candidate","Strong call-fit candidate; confirm on film.",IF(K260="Good Candidate","Good call-fit signal; confirm on film.","Mixed signal; review fit and execution on film."))))))))</f>
        <v>Track only; not enough sample.</v>
      </c>
      <c r="M260" s="8" t="s">
        <v>82</v>
      </c>
      <c r="N260" s="8" t="s">
        <v>120</v>
      </c>
      <c r="O260" s="8"/>
      <c r="P260" s="8"/>
      <c r="Q260" s="8"/>
      <c r="R260" s="8" t="s">
        <v>28</v>
      </c>
      <c r="S260" s="2" t="s">
        <v>152</v>
      </c>
      <c r="T260" s="2">
        <f>IF(C260=0,0,IF(C260&gt;=CALL_LOOKUP_BOARD!$B$7,IF(OR(K260="Problem Call",K260="Explosive Alert"),10000000,20000000),0)+IF(C260&gt;=CALL_LOOKUP_BOARD!$B$7,J260*1000+MIN(C260,999),C260*1000+J260)+0.00992500)</f>
        <v>1020.009925</v>
      </c>
      <c r="U260" s="2">
        <f>IF(C260=0,"",IF(COUNTIFS($S$186:$S$367,SUBSTITUTE(SUBSTITUTE(SUBSTITUTE(S260,"~","~~"),"*","~*"),"?","~?"),$T$186:$T$367,"&gt;"&amp;T260)=0,S260,""))</f>
        <v/>
      </c>
    </row>
    <row r="261" spans="1:21" ht="38" customHeight="1">
      <c r="A261" s="8" t="s">
        <v>151</v>
      </c>
      <c r="B261" s="8" t="s">
        <v>68</v>
      </c>
      <c r="C261" s="12">
        <f>COUNTIFS('DEF_SELF_SCOUT_IMPORT'!$L$42:$L$1040,"Y",'DEF_SELF_SCOUT_IMPORT'!$E$42:$E$1040,SUBSTITUTE(SUBSTITUTE(SUBSTITUTE($B261,"~","~~"),"*","~*"),"?","~?"),'DEF_SELF_SCOUT_IMPORT'!$Q$42:$Q$1040,SUBSTITUTE(SUBSTITUTE(SUBSTITUTE($M261,"~","~~"),"*","~*"),"?","~?"),'DEF_SELF_SCOUT_IMPORT'!$F$42:$F$1040,SUBSTITUTE(SUBSTITUTE(SUBSTITUTE($N261,"~","~~"),"*","~*"),"?","~?"))</f>
        <v>1</v>
      </c>
      <c r="D261" s="10">
        <f>IF($C261=0,"",SUMIFS('DEF_SELF_SCOUT_IMPORT'!$J$42:$J$1040,'DEF_SELF_SCOUT_IMPORT'!$L$42:$L$1040,"Y",'DEF_SELF_SCOUT_IMPORT'!$E$42:$E$1040,SUBSTITUTE(SUBSTITUTE(SUBSTITUTE($B261,"~","~~"),"*","~*"),"?","~?"),'DEF_SELF_SCOUT_IMPORT'!$Q$42:$Q$1040,SUBSTITUTE(SUBSTITUTE(SUBSTITUTE($M261,"~","~~"),"*","~*"),"?","~?"),'DEF_SELF_SCOUT_IMPORT'!$F$42:$F$1040,SUBSTITUTE(SUBSTITUTE(SUBSTITUTE($N261,"~","~~"),"*","~*"),"?","~?"))/$C261)</f>
        <v>1.0</v>
      </c>
      <c r="E261" s="10">
        <f>IF($C261=0,"",SUMIFS('DEF_SELF_SCOUT_IMPORT'!$K$42:$K$1040,'DEF_SELF_SCOUT_IMPORT'!$L$42:$L$1040,"Y",'DEF_SELF_SCOUT_IMPORT'!$E$42:$E$1040,SUBSTITUTE(SUBSTITUTE(SUBSTITUTE($B261,"~","~~"),"*","~*"),"?","~?"),'DEF_SELF_SCOUT_IMPORT'!$Q$42:$Q$1040,SUBSTITUTE(SUBSTITUTE(SUBSTITUTE($M261,"~","~~"),"*","~*"),"?","~?"),'DEF_SELF_SCOUT_IMPORT'!$F$42:$F$1040,SUBSTITUTE(SUBSTITUTE(SUBSTITUTE($N261,"~","~~"),"*","~*"),"?","~?"))/$C261)</f>
        <v>0.0</v>
      </c>
      <c r="F261" s="11">
        <f>IF($C261=0,"",AVERAGEIFS('DEF_SELF_SCOUT_IMPORT'!$I$42:$I$1040,'DEF_SELF_SCOUT_IMPORT'!$L$42:$L$1040,"Y",'DEF_SELF_SCOUT_IMPORT'!$E$42:$E$1040,SUBSTITUTE(SUBSTITUTE(SUBSTITUTE($B261,"~","~~"),"*","~*"),"?","~?"),'DEF_SELF_SCOUT_IMPORT'!$Q$42:$Q$1040,SUBSTITUTE(SUBSTITUTE(SUBSTITUTE($M261,"~","~~"),"*","~*"),"?","~?"),'DEF_SELF_SCOUT_IMPORT'!$F$42:$F$1040,SUBSTITUTE(SUBSTITUTE(SUBSTITUTE($N261,"~","~~"),"*","~*"),"?","~?")))</f>
        <v>0.0</v>
      </c>
      <c r="G261" s="10">
        <f>IF($C261=0,"",COUNTIFS('DEF_SELF_SCOUT_IMPORT'!$L$42:$L$1040,"Y",'DEF_SELF_SCOUT_IMPORT'!$E$42:$E$1040,SUBSTITUTE(SUBSTITUTE(SUBSTITUTE($B261,"~","~~"),"*","~*"),"?","~?"),'DEF_SELF_SCOUT_IMPORT'!$Q$42:$Q$1040,SUBSTITUTE(SUBSTITUTE(SUBSTITUTE($M261,"~","~~"),"*","~*"),"?","~?"),'DEF_SELF_SCOUT_IMPORT'!$F$42:$F$1040,SUBSTITUTE(SUBSTITUTE(SUBSTITUTE($N261,"~","~~"),"*","~*"),"?","~?"),'DEF_SELF_SCOUT_IMPORT'!$H$42:$H$1040,"RUSH")/$C261)</f>
        <v>0.0</v>
      </c>
      <c r="H261" s="10">
        <f>IF($C261=0,"",COUNTIFS('DEF_SELF_SCOUT_IMPORT'!$L$42:$L$1040,"Y",'DEF_SELF_SCOUT_IMPORT'!$E$42:$E$1040,SUBSTITUTE(SUBSTITUTE(SUBSTITUTE($B261,"~","~~"),"*","~*"),"?","~?"),'DEF_SELF_SCOUT_IMPORT'!$Q$42:$Q$1040,SUBSTITUTE(SUBSTITUTE(SUBSTITUTE($M261,"~","~~"),"*","~*"),"?","~?"),'DEF_SELF_SCOUT_IMPORT'!$F$42:$F$1040,SUBSTITUTE(SUBSTITUTE(SUBSTITUTE($N261,"~","~~"),"*","~*"),"?","~?"),'DEF_SELF_SCOUT_IMPORT'!$H$42:$H$1040,"DROPBACK")/$C261)</f>
        <v>1.0</v>
      </c>
      <c r="I261" s="14" t="str">
        <f>IF(C261=0,"",IF(C261&lt;=2,"TRACK",IF(C261=3,"LOW",IF(C261&lt;=6,"MEDIUM","HIGH"))))</f>
        <v>TRACK</v>
      </c>
      <c r="J261" s="11">
        <f>IF(C261=0,"",ROUND(D261*70+(1-E261)*20+MAX(0,MIN(1,(10-F261)/10))*10,1))</f>
        <v>100.0</v>
      </c>
      <c r="K261" s="14" t="str">
        <f>IF(C261=0,"No Evidence",IF(C261&lt;=2,IF(E261&gt;0,"Explosive Alert","Track Only"),IF(C261=3,"Sample Watch",IF(E261&gt;=START_HERE!$B$31,"Explosive Alert",IF(J261&gt;=80,"Strong Candidate",IF(J261&gt;=65,"Good Candidate",IF(J261&gt;=50,"Mixed / Review","Problem Call")))))))</f>
        <v>Track Only</v>
      </c>
      <c r="L261" s="9" t="str">
        <f>IF(COUNTIFS('DEF_SELF_SCOUT_IMPORT'!$L$42:$L$1040,"Y",'DEF_SELF_SCOUT_IMPORT'!$E$42:$E$1040,SUBSTITUTE(SUBSTITUTE(SUBSTITUTE($B261,"~","~~"),"*","~*"),"?","~?"),'DEF_SELF_SCOUT_IMPORT'!$Q$42:$Q$1040,SUBSTITUTE(SUBSTITUTE(SUBSTITUTE($M261,"~","~~"),"*","~*"),"?","~?"),'DEF_SELF_SCOUT_IMPORT'!$F$42:$F$1040,SUBSTITUTE(SUBSTITUTE(SUBSTITUTE($N261,"~","~~"),"*","~*"),"?","~?"),'DEF_SELF_SCOUT_IMPORT'!$J$42:$J$1040,"")&gt;0,"Unscored clean outcome; review result tags before using score.",IF(C261=0,"No matching defensive reps; film confirmation needed.",IF(K261="Explosive Alert","Explosive risk; review clips before using as answer.",IF(C261&lt;=2,"Track only; not enough sample.",IF(C261=3,IF(E261&gt;0,"Sample watch with explosive exposure; review clips and build the sample.",IF(J261&gt;=65,"Good signal, but sample is limited.","Sample watch; review clips and build the sample.")),IF(K261="Problem Call","Problem area; practice or call-sheet review.",IF(K261="Strong Candidate","Strong call-fit candidate; confirm on film.",IF(K261="Good Candidate","Good call-fit signal; confirm on film.","Mixed signal; review fit and execution on film."))))))))</f>
        <v>Track only; not enough sample.</v>
      </c>
      <c r="M261" s="8" t="s">
        <v>82</v>
      </c>
      <c r="N261" s="8" t="s">
        <v>120</v>
      </c>
      <c r="O261" s="8"/>
      <c r="P261" s="8"/>
      <c r="Q261" s="8"/>
      <c r="R261" s="8" t="s">
        <v>28</v>
      </c>
      <c r="S261" s="2" t="s">
        <v>152</v>
      </c>
      <c r="T261" s="2">
        <f>IF(C261=0,0,IF(C261&gt;=CALL_LOOKUP_BOARD!$B$7,IF(OR(K261="Problem Call",K261="Explosive Alert"),10000000,20000000),0)+IF(C261&gt;=CALL_LOOKUP_BOARD!$B$7,J261*1000+MIN(C261,999),C261*1000+J261)+0.00992400)</f>
        <v>1100.009924</v>
      </c>
      <c r="U261" s="2">
        <f>IF(C261=0,"",IF(COUNTIFS($S$186:$S$367,SUBSTITUTE(SUBSTITUTE(SUBSTITUTE(S261,"~","~~"),"*","~*"),"?","~?"),$T$186:$T$367,"&gt;"&amp;T261)=0,S261,""))</f>
        <v/>
      </c>
    </row>
    <row r="262" spans="1:21" ht="38" customHeight="1">
      <c r="A262" s="8" t="s">
        <v>151</v>
      </c>
      <c r="B262" s="8" t="s">
        <v>75</v>
      </c>
      <c r="C262" s="12">
        <f>COUNTIFS('DEF_SELF_SCOUT_IMPORT'!$L$42:$L$1040,"Y",'DEF_SELF_SCOUT_IMPORT'!$E$42:$E$1040,SUBSTITUTE(SUBSTITUTE(SUBSTITUTE($B262,"~","~~"),"*","~*"),"?","~?"),'DEF_SELF_SCOUT_IMPORT'!$Q$42:$Q$1040,SUBSTITUTE(SUBSTITUTE(SUBSTITUTE($M262,"~","~~"),"*","~*"),"?","~?"),'DEF_SELF_SCOUT_IMPORT'!$F$42:$F$1040,SUBSTITUTE(SUBSTITUTE(SUBSTITUTE($N262,"~","~~"),"*","~*"),"?","~?"))</f>
        <v>1</v>
      </c>
      <c r="D262" s="10">
        <f>IF($C262=0,"",SUMIFS('DEF_SELF_SCOUT_IMPORT'!$J$42:$J$1040,'DEF_SELF_SCOUT_IMPORT'!$L$42:$L$1040,"Y",'DEF_SELF_SCOUT_IMPORT'!$E$42:$E$1040,SUBSTITUTE(SUBSTITUTE(SUBSTITUTE($B262,"~","~~"),"*","~*"),"?","~?"),'DEF_SELF_SCOUT_IMPORT'!$Q$42:$Q$1040,SUBSTITUTE(SUBSTITUTE(SUBSTITUTE($M262,"~","~~"),"*","~*"),"?","~?"),'DEF_SELF_SCOUT_IMPORT'!$F$42:$F$1040,SUBSTITUTE(SUBSTITUTE(SUBSTITUTE($N262,"~","~~"),"*","~*"),"?","~?"))/$C262)</f>
        <v>0.0</v>
      </c>
      <c r="E262" s="10">
        <f>IF($C262=0,"",SUMIFS('DEF_SELF_SCOUT_IMPORT'!$K$42:$K$1040,'DEF_SELF_SCOUT_IMPORT'!$L$42:$L$1040,"Y",'DEF_SELF_SCOUT_IMPORT'!$E$42:$E$1040,SUBSTITUTE(SUBSTITUTE(SUBSTITUTE($B262,"~","~~"),"*","~*"),"?","~?"),'DEF_SELF_SCOUT_IMPORT'!$Q$42:$Q$1040,SUBSTITUTE(SUBSTITUTE(SUBSTITUTE($M262,"~","~~"),"*","~*"),"?","~?"),'DEF_SELF_SCOUT_IMPORT'!$F$42:$F$1040,SUBSTITUTE(SUBSTITUTE(SUBSTITUTE($N262,"~","~~"),"*","~*"),"?","~?"))/$C262)</f>
        <v>0.0</v>
      </c>
      <c r="F262" s="11">
        <f>IF($C262=0,"",AVERAGEIFS('DEF_SELF_SCOUT_IMPORT'!$I$42:$I$1040,'DEF_SELF_SCOUT_IMPORT'!$L$42:$L$1040,"Y",'DEF_SELF_SCOUT_IMPORT'!$E$42:$E$1040,SUBSTITUTE(SUBSTITUTE(SUBSTITUTE($B262,"~","~~"),"*","~*"),"?","~?"),'DEF_SELF_SCOUT_IMPORT'!$Q$42:$Q$1040,SUBSTITUTE(SUBSTITUTE(SUBSTITUTE($M262,"~","~~"),"*","~*"),"?","~?"),'DEF_SELF_SCOUT_IMPORT'!$F$42:$F$1040,SUBSTITUTE(SUBSTITUTE(SUBSTITUTE($N262,"~","~~"),"*","~*"),"?","~?")))</f>
        <v>7.0</v>
      </c>
      <c r="G262" s="10">
        <f>IF($C262=0,"",COUNTIFS('DEF_SELF_SCOUT_IMPORT'!$L$42:$L$1040,"Y",'DEF_SELF_SCOUT_IMPORT'!$E$42:$E$1040,SUBSTITUTE(SUBSTITUTE(SUBSTITUTE($B262,"~","~~"),"*","~*"),"?","~?"),'DEF_SELF_SCOUT_IMPORT'!$Q$42:$Q$1040,SUBSTITUTE(SUBSTITUTE(SUBSTITUTE($M262,"~","~~"),"*","~*"),"?","~?"),'DEF_SELF_SCOUT_IMPORT'!$F$42:$F$1040,SUBSTITUTE(SUBSTITUTE(SUBSTITUTE($N262,"~","~~"),"*","~*"),"?","~?"),'DEF_SELF_SCOUT_IMPORT'!$H$42:$H$1040,"RUSH")/$C262)</f>
        <v>1.0</v>
      </c>
      <c r="H262" s="10">
        <f>IF($C262=0,"",COUNTIFS('DEF_SELF_SCOUT_IMPORT'!$L$42:$L$1040,"Y",'DEF_SELF_SCOUT_IMPORT'!$E$42:$E$1040,SUBSTITUTE(SUBSTITUTE(SUBSTITUTE($B262,"~","~~"),"*","~*"),"?","~?"),'DEF_SELF_SCOUT_IMPORT'!$Q$42:$Q$1040,SUBSTITUTE(SUBSTITUTE(SUBSTITUTE($M262,"~","~~"),"*","~*"),"?","~?"),'DEF_SELF_SCOUT_IMPORT'!$F$42:$F$1040,SUBSTITUTE(SUBSTITUTE(SUBSTITUTE($N262,"~","~~"),"*","~*"),"?","~?"),'DEF_SELF_SCOUT_IMPORT'!$H$42:$H$1040,"DROPBACK")/$C262)</f>
        <v>0.0</v>
      </c>
      <c r="I262" s="14" t="str">
        <f>IF(C262=0,"",IF(C262&lt;=2,"TRACK",IF(C262=3,"LOW",IF(C262&lt;=6,"MEDIUM","HIGH"))))</f>
        <v>TRACK</v>
      </c>
      <c r="J262" s="11">
        <f>IF(C262=0,"",ROUND(D262*70+(1-E262)*20+MAX(0,MIN(1,(10-F262)/10))*10,1))</f>
        <v>23.0</v>
      </c>
      <c r="K262" s="14" t="str">
        <f>IF(C262=0,"No Evidence",IF(C262&lt;=2,IF(E262&gt;0,"Explosive Alert","Track Only"),IF(C262=3,"Sample Watch",IF(E262&gt;=START_HERE!$B$31,"Explosive Alert",IF(J262&gt;=80,"Strong Candidate",IF(J262&gt;=65,"Good Candidate",IF(J262&gt;=50,"Mixed / Review","Problem Call")))))))</f>
        <v>Track Only</v>
      </c>
      <c r="L262" s="9" t="str">
        <f>IF(COUNTIFS('DEF_SELF_SCOUT_IMPORT'!$L$42:$L$1040,"Y",'DEF_SELF_SCOUT_IMPORT'!$E$42:$E$1040,SUBSTITUTE(SUBSTITUTE(SUBSTITUTE($B262,"~","~~"),"*","~*"),"?","~?"),'DEF_SELF_SCOUT_IMPORT'!$Q$42:$Q$1040,SUBSTITUTE(SUBSTITUTE(SUBSTITUTE($M262,"~","~~"),"*","~*"),"?","~?"),'DEF_SELF_SCOUT_IMPORT'!$F$42:$F$1040,SUBSTITUTE(SUBSTITUTE(SUBSTITUTE($N262,"~","~~"),"*","~*"),"?","~?"),'DEF_SELF_SCOUT_IMPORT'!$J$42:$J$1040,"")&gt;0,"Unscored clean outcome; review result tags before using score.",IF(C262=0,"No matching defensive reps; film confirmation needed.",IF(K262="Explosive Alert","Explosive risk; review clips before using as answer.",IF(C262&lt;=2,"Track only; not enough sample.",IF(C262=3,IF(E262&gt;0,"Sample watch with explosive exposure; review clips and build the sample.",IF(J262&gt;=65,"Good signal, but sample is limited.","Sample watch; review clips and build the sample.")),IF(K262="Problem Call","Problem area; practice or call-sheet review.",IF(K262="Strong Candidate","Strong call-fit candidate; confirm on film.",IF(K262="Good Candidate","Good call-fit signal; confirm on film.","Mixed signal; review fit and execution on film."))))))))</f>
        <v>Track only; not enough sample.</v>
      </c>
      <c r="M262" s="8" t="s">
        <v>82</v>
      </c>
      <c r="N262" s="8" t="s">
        <v>120</v>
      </c>
      <c r="O262" s="8"/>
      <c r="P262" s="8"/>
      <c r="Q262" s="8"/>
      <c r="R262" s="8" t="s">
        <v>28</v>
      </c>
      <c r="S262" s="2" t="s">
        <v>152</v>
      </c>
      <c r="T262" s="2">
        <f>IF(C262=0,0,IF(C262&gt;=CALL_LOOKUP_BOARD!$B$7,IF(OR(K262="Problem Call",K262="Explosive Alert"),10000000,20000000),0)+IF(C262&gt;=CALL_LOOKUP_BOARD!$B$7,J262*1000+MIN(C262,999),C262*1000+J262)+0.00992300)</f>
        <v>1023.009923</v>
      </c>
      <c r="U262" s="2">
        <f>IF(C262=0,"",IF(COUNTIFS($S$186:$S$367,SUBSTITUTE(SUBSTITUTE(SUBSTITUTE(S262,"~","~~"),"*","~*"),"?","~?"),$T$186:$T$367,"&gt;"&amp;T262)=0,S262,""))</f>
        <v/>
      </c>
    </row>
    <row r="263" spans="1:21" ht="38" customHeight="1">
      <c r="A263" s="8" t="s">
        <v>151</v>
      </c>
      <c r="B263" s="8" t="s">
        <v>69</v>
      </c>
      <c r="C263" s="12">
        <f>COUNTIFS('DEF_SELF_SCOUT_IMPORT'!$L$42:$L$1040,"Y",'DEF_SELF_SCOUT_IMPORT'!$E$42:$E$1040,SUBSTITUTE(SUBSTITUTE(SUBSTITUTE($B263,"~","~~"),"*","~*"),"?","~?"),'DEF_SELF_SCOUT_IMPORT'!$Q$42:$Q$1040,SUBSTITUTE(SUBSTITUTE(SUBSTITUTE($M263,"~","~~"),"*","~*"),"?","~?"),'DEF_SELF_SCOUT_IMPORT'!$F$42:$F$1040,SUBSTITUTE(SUBSTITUTE(SUBSTITUTE($N263,"~","~~"),"*","~*"),"?","~?"))</f>
        <v>1</v>
      </c>
      <c r="D263" s="10">
        <f>IF($C263=0,"",SUMIFS('DEF_SELF_SCOUT_IMPORT'!$J$42:$J$1040,'DEF_SELF_SCOUT_IMPORT'!$L$42:$L$1040,"Y",'DEF_SELF_SCOUT_IMPORT'!$E$42:$E$1040,SUBSTITUTE(SUBSTITUTE(SUBSTITUTE($B263,"~","~~"),"*","~*"),"?","~?"),'DEF_SELF_SCOUT_IMPORT'!$Q$42:$Q$1040,SUBSTITUTE(SUBSTITUTE(SUBSTITUTE($M263,"~","~~"),"*","~*"),"?","~?"),'DEF_SELF_SCOUT_IMPORT'!$F$42:$F$1040,SUBSTITUTE(SUBSTITUTE(SUBSTITUTE($N263,"~","~~"),"*","~*"),"?","~?"))/$C263)</f>
        <v>1.0</v>
      </c>
      <c r="E263" s="10">
        <f>IF($C263=0,"",SUMIFS('DEF_SELF_SCOUT_IMPORT'!$K$42:$K$1040,'DEF_SELF_SCOUT_IMPORT'!$L$42:$L$1040,"Y",'DEF_SELF_SCOUT_IMPORT'!$E$42:$E$1040,SUBSTITUTE(SUBSTITUTE(SUBSTITUTE($B263,"~","~~"),"*","~*"),"?","~?"),'DEF_SELF_SCOUT_IMPORT'!$Q$42:$Q$1040,SUBSTITUTE(SUBSTITUTE(SUBSTITUTE($M263,"~","~~"),"*","~*"),"?","~?"),'DEF_SELF_SCOUT_IMPORT'!$F$42:$F$1040,SUBSTITUTE(SUBSTITUTE(SUBSTITUTE($N263,"~","~~"),"*","~*"),"?","~?"))/$C263)</f>
        <v>0.0</v>
      </c>
      <c r="F263" s="11">
        <f>IF($C263=0,"",AVERAGEIFS('DEF_SELF_SCOUT_IMPORT'!$I$42:$I$1040,'DEF_SELF_SCOUT_IMPORT'!$L$42:$L$1040,"Y",'DEF_SELF_SCOUT_IMPORT'!$E$42:$E$1040,SUBSTITUTE(SUBSTITUTE(SUBSTITUTE($B263,"~","~~"),"*","~*"),"?","~?"),'DEF_SELF_SCOUT_IMPORT'!$Q$42:$Q$1040,SUBSTITUTE(SUBSTITUTE(SUBSTITUTE($M263,"~","~~"),"*","~*"),"?","~?"),'DEF_SELF_SCOUT_IMPORT'!$F$42:$F$1040,SUBSTITUTE(SUBSTITUTE(SUBSTITUTE($N263,"~","~~"),"*","~*"),"?","~?")))</f>
        <v>2.0</v>
      </c>
      <c r="G263" s="10">
        <f>IF($C263=0,"",COUNTIFS('DEF_SELF_SCOUT_IMPORT'!$L$42:$L$1040,"Y",'DEF_SELF_SCOUT_IMPORT'!$E$42:$E$1040,SUBSTITUTE(SUBSTITUTE(SUBSTITUTE($B263,"~","~~"),"*","~*"),"?","~?"),'DEF_SELF_SCOUT_IMPORT'!$Q$42:$Q$1040,SUBSTITUTE(SUBSTITUTE(SUBSTITUTE($M263,"~","~~"),"*","~*"),"?","~?"),'DEF_SELF_SCOUT_IMPORT'!$F$42:$F$1040,SUBSTITUTE(SUBSTITUTE(SUBSTITUTE($N263,"~","~~"),"*","~*"),"?","~?"),'DEF_SELF_SCOUT_IMPORT'!$H$42:$H$1040,"RUSH")/$C263)</f>
        <v>1.0</v>
      </c>
      <c r="H263" s="10">
        <f>IF($C263=0,"",COUNTIFS('DEF_SELF_SCOUT_IMPORT'!$L$42:$L$1040,"Y",'DEF_SELF_SCOUT_IMPORT'!$E$42:$E$1040,SUBSTITUTE(SUBSTITUTE(SUBSTITUTE($B263,"~","~~"),"*","~*"),"?","~?"),'DEF_SELF_SCOUT_IMPORT'!$Q$42:$Q$1040,SUBSTITUTE(SUBSTITUTE(SUBSTITUTE($M263,"~","~~"),"*","~*"),"?","~?"),'DEF_SELF_SCOUT_IMPORT'!$F$42:$F$1040,SUBSTITUTE(SUBSTITUTE(SUBSTITUTE($N263,"~","~~"),"*","~*"),"?","~?"),'DEF_SELF_SCOUT_IMPORT'!$H$42:$H$1040,"DROPBACK")/$C263)</f>
        <v>0.0</v>
      </c>
      <c r="I263" s="14" t="str">
        <f>IF(C263=0,"",IF(C263&lt;=2,"TRACK",IF(C263=3,"LOW",IF(C263&lt;=6,"MEDIUM","HIGH"))))</f>
        <v>TRACK</v>
      </c>
      <c r="J263" s="11">
        <f>IF(C263=0,"",ROUND(D263*70+(1-E263)*20+MAX(0,MIN(1,(10-F263)/10))*10,1))</f>
        <v>98.0</v>
      </c>
      <c r="K263" s="14" t="str">
        <f>IF(C263=0,"No Evidence",IF(C263&lt;=2,IF(E263&gt;0,"Explosive Alert","Track Only"),IF(C263=3,"Sample Watch",IF(E263&gt;=START_HERE!$B$31,"Explosive Alert",IF(J263&gt;=80,"Strong Candidate",IF(J263&gt;=65,"Good Candidate",IF(J263&gt;=50,"Mixed / Review","Problem Call")))))))</f>
        <v>Track Only</v>
      </c>
      <c r="L263" s="9" t="str">
        <f>IF(COUNTIFS('DEF_SELF_SCOUT_IMPORT'!$L$42:$L$1040,"Y",'DEF_SELF_SCOUT_IMPORT'!$E$42:$E$1040,SUBSTITUTE(SUBSTITUTE(SUBSTITUTE($B263,"~","~~"),"*","~*"),"?","~?"),'DEF_SELF_SCOUT_IMPORT'!$Q$42:$Q$1040,SUBSTITUTE(SUBSTITUTE(SUBSTITUTE($M263,"~","~~"),"*","~*"),"?","~?"),'DEF_SELF_SCOUT_IMPORT'!$F$42:$F$1040,SUBSTITUTE(SUBSTITUTE(SUBSTITUTE($N263,"~","~~"),"*","~*"),"?","~?"),'DEF_SELF_SCOUT_IMPORT'!$J$42:$J$1040,"")&gt;0,"Unscored clean outcome; review result tags before using score.",IF(C263=0,"No matching defensive reps; film confirmation needed.",IF(K263="Explosive Alert","Explosive risk; review clips before using as answer.",IF(C263&lt;=2,"Track only; not enough sample.",IF(C263=3,IF(E263&gt;0,"Sample watch with explosive exposure; review clips and build the sample.",IF(J263&gt;=65,"Good signal, but sample is limited.","Sample watch; review clips and build the sample.")),IF(K263="Problem Call","Problem area; practice or call-sheet review.",IF(K263="Strong Candidate","Strong call-fit candidate; confirm on film.",IF(K263="Good Candidate","Good call-fit signal; confirm on film.","Mixed signal; review fit and execution on film."))))))))</f>
        <v>Track only; not enough sample.</v>
      </c>
      <c r="M263" s="8" t="s">
        <v>82</v>
      </c>
      <c r="N263" s="8" t="s">
        <v>120</v>
      </c>
      <c r="O263" s="8"/>
      <c r="P263" s="8"/>
      <c r="Q263" s="8"/>
      <c r="R263" s="8" t="s">
        <v>28</v>
      </c>
      <c r="S263" s="2" t="s">
        <v>152</v>
      </c>
      <c r="T263" s="2">
        <f>IF(C263=0,0,IF(C263&gt;=CALL_LOOKUP_BOARD!$B$7,IF(OR(K263="Problem Call",K263="Explosive Alert"),10000000,20000000),0)+IF(C263&gt;=CALL_LOOKUP_BOARD!$B$7,J263*1000+MIN(C263,999),C263*1000+J263)+0.00992200)</f>
        <v>1098.009922</v>
      </c>
      <c r="U263" s="2">
        <f>IF(C263=0,"",IF(COUNTIFS($S$186:$S$367,SUBSTITUTE(SUBSTITUTE(SUBSTITUTE(S263,"~","~~"),"*","~*"),"?","~?"),$T$186:$T$367,"&gt;"&amp;T263)=0,S263,""))</f>
        <v/>
      </c>
    </row>
    <row r="264" spans="1:21" ht="38" customHeight="1">
      <c r="A264" s="8" t="s">
        <v>153</v>
      </c>
      <c r="B264" s="8" t="s">
        <v>27</v>
      </c>
      <c r="C264" s="12">
        <f>COUNTIFS('DEF_SELF_SCOUT_IMPORT'!$L$42:$L$1040,"Y",'DEF_SELF_SCOUT_IMPORT'!$E$42:$E$1040,SUBSTITUTE(SUBSTITUTE(SUBSTITUTE($B264,"~","~~"),"*","~*"),"?","~?"),'DEF_SELF_SCOUT_IMPORT'!$Q$42:$Q$1040,SUBSTITUTE(SUBSTITUTE(SUBSTITUTE($M264,"~","~~"),"*","~*"),"?","~?"),'DEF_SELF_SCOUT_IMPORT'!$F$42:$F$1040,SUBSTITUTE(SUBSTITUTE(SUBSTITUTE($N264,"~","~~"),"*","~*"),"?","~?"))</f>
        <v>1</v>
      </c>
      <c r="D264" s="10">
        <f>IF($C264=0,"",SUMIFS('DEF_SELF_SCOUT_IMPORT'!$J$42:$J$1040,'DEF_SELF_SCOUT_IMPORT'!$L$42:$L$1040,"Y",'DEF_SELF_SCOUT_IMPORT'!$E$42:$E$1040,SUBSTITUTE(SUBSTITUTE(SUBSTITUTE($B264,"~","~~"),"*","~*"),"?","~?"),'DEF_SELF_SCOUT_IMPORT'!$Q$42:$Q$1040,SUBSTITUTE(SUBSTITUTE(SUBSTITUTE($M264,"~","~~"),"*","~*"),"?","~?"),'DEF_SELF_SCOUT_IMPORT'!$F$42:$F$1040,SUBSTITUTE(SUBSTITUTE(SUBSTITUTE($N264,"~","~~"),"*","~*"),"?","~?"))/$C264)</f>
        <v>1.0</v>
      </c>
      <c r="E264" s="10">
        <f>IF($C264=0,"",SUMIFS('DEF_SELF_SCOUT_IMPORT'!$K$42:$K$1040,'DEF_SELF_SCOUT_IMPORT'!$L$42:$L$1040,"Y",'DEF_SELF_SCOUT_IMPORT'!$E$42:$E$1040,SUBSTITUTE(SUBSTITUTE(SUBSTITUTE($B264,"~","~~"),"*","~*"),"?","~?"),'DEF_SELF_SCOUT_IMPORT'!$Q$42:$Q$1040,SUBSTITUTE(SUBSTITUTE(SUBSTITUTE($M264,"~","~~"),"*","~*"),"?","~?"),'DEF_SELF_SCOUT_IMPORT'!$F$42:$F$1040,SUBSTITUTE(SUBSTITUTE(SUBSTITUTE($N264,"~","~~"),"*","~*"),"?","~?"))/$C264)</f>
        <v>0.0</v>
      </c>
      <c r="F264" s="11">
        <f>IF($C264=0,"",AVERAGEIFS('DEF_SELF_SCOUT_IMPORT'!$I$42:$I$1040,'DEF_SELF_SCOUT_IMPORT'!$L$42:$L$1040,"Y",'DEF_SELF_SCOUT_IMPORT'!$E$42:$E$1040,SUBSTITUTE(SUBSTITUTE(SUBSTITUTE($B264,"~","~~"),"*","~*"),"?","~?"),'DEF_SELF_SCOUT_IMPORT'!$Q$42:$Q$1040,SUBSTITUTE(SUBSTITUTE(SUBSTITUTE($M264,"~","~~"),"*","~*"),"?","~?"),'DEF_SELF_SCOUT_IMPORT'!$F$42:$F$1040,SUBSTITUTE(SUBSTITUTE(SUBSTITUTE($N264,"~","~~"),"*","~*"),"?","~?")))</f>
        <v>0.0</v>
      </c>
      <c r="G264" s="10">
        <f>IF($C264=0,"",COUNTIFS('DEF_SELF_SCOUT_IMPORT'!$L$42:$L$1040,"Y",'DEF_SELF_SCOUT_IMPORT'!$E$42:$E$1040,SUBSTITUTE(SUBSTITUTE(SUBSTITUTE($B264,"~","~~"),"*","~*"),"?","~?"),'DEF_SELF_SCOUT_IMPORT'!$Q$42:$Q$1040,SUBSTITUTE(SUBSTITUTE(SUBSTITUTE($M264,"~","~~"),"*","~*"),"?","~?"),'DEF_SELF_SCOUT_IMPORT'!$F$42:$F$1040,SUBSTITUTE(SUBSTITUTE(SUBSTITUTE($N264,"~","~~"),"*","~*"),"?","~?"),'DEF_SELF_SCOUT_IMPORT'!$H$42:$H$1040,"RUSH")/$C264)</f>
        <v>1.0</v>
      </c>
      <c r="H264" s="10">
        <f>IF($C264=0,"",COUNTIFS('DEF_SELF_SCOUT_IMPORT'!$L$42:$L$1040,"Y",'DEF_SELF_SCOUT_IMPORT'!$E$42:$E$1040,SUBSTITUTE(SUBSTITUTE(SUBSTITUTE($B264,"~","~~"),"*","~*"),"?","~?"),'DEF_SELF_SCOUT_IMPORT'!$Q$42:$Q$1040,SUBSTITUTE(SUBSTITUTE(SUBSTITUTE($M264,"~","~~"),"*","~*"),"?","~?"),'DEF_SELF_SCOUT_IMPORT'!$F$42:$F$1040,SUBSTITUTE(SUBSTITUTE(SUBSTITUTE($N264,"~","~~"),"*","~*"),"?","~?"),'DEF_SELF_SCOUT_IMPORT'!$H$42:$H$1040,"DROPBACK")/$C264)</f>
        <v>0.0</v>
      </c>
      <c r="I264" s="14" t="str">
        <f>IF(C264=0,"",IF(C264&lt;=2,"TRACK",IF(C264=3,"LOW",IF(C264&lt;=6,"MEDIUM","HIGH"))))</f>
        <v>TRACK</v>
      </c>
      <c r="J264" s="11">
        <f>IF(C264=0,"",ROUND(D264*70+(1-E264)*20+MAX(0,MIN(1,(10-F264)/10))*10,1))</f>
        <v>100.0</v>
      </c>
      <c r="K264" s="14" t="str">
        <f>IF(C264=0,"No Evidence",IF(C264&lt;=2,IF(E264&gt;0,"Explosive Alert","Track Only"),IF(C264=3,"Sample Watch",IF(E264&gt;=START_HERE!$B$31,"Explosive Alert",IF(J264&gt;=80,"Strong Candidate",IF(J264&gt;=65,"Good Candidate",IF(J264&gt;=50,"Mixed / Review","Problem Call")))))))</f>
        <v>Track Only</v>
      </c>
      <c r="L264" s="9" t="str">
        <f>IF(COUNTIFS('DEF_SELF_SCOUT_IMPORT'!$L$42:$L$1040,"Y",'DEF_SELF_SCOUT_IMPORT'!$E$42:$E$1040,SUBSTITUTE(SUBSTITUTE(SUBSTITUTE($B264,"~","~~"),"*","~*"),"?","~?"),'DEF_SELF_SCOUT_IMPORT'!$Q$42:$Q$1040,SUBSTITUTE(SUBSTITUTE(SUBSTITUTE($M264,"~","~~"),"*","~*"),"?","~?"),'DEF_SELF_SCOUT_IMPORT'!$F$42:$F$1040,SUBSTITUTE(SUBSTITUTE(SUBSTITUTE($N264,"~","~~"),"*","~*"),"?","~?"),'DEF_SELF_SCOUT_IMPORT'!$J$42:$J$1040,"")&gt;0,"Unscored clean outcome; review result tags before using score.",IF(C264=0,"No matching defensive reps; film confirmation needed.",IF(K264="Explosive Alert","Explosive risk; review clips before using as answer.",IF(C264&lt;=2,"Track only; not enough sample.",IF(C264=3,IF(E264&gt;0,"Sample watch with explosive exposure; review clips and build the sample.",IF(J264&gt;=65,"Good signal, but sample is limited.","Sample watch; review clips and build the sample.")),IF(K264="Problem Call","Problem area; practice or call-sheet review.",IF(K264="Strong Candidate","Strong call-fit candidate; confirm on film.",IF(K264="Good Candidate","Good call-fit signal; confirm on film.","Mixed signal; review fit and execution on film."))))))))</f>
        <v>Track only; not enough sample.</v>
      </c>
      <c r="M264" s="8" t="s">
        <v>82</v>
      </c>
      <c r="N264" s="8" t="s">
        <v>123</v>
      </c>
      <c r="O264" s="8"/>
      <c r="P264" s="8"/>
      <c r="Q264" s="8"/>
      <c r="R264" s="8" t="s">
        <v>28</v>
      </c>
      <c r="S264" s="2" t="s">
        <v>154</v>
      </c>
      <c r="T264" s="2">
        <f>IF(C264=0,0,IF(C264&gt;=CALL_LOOKUP_BOARD!$B$7,IF(OR(K264="Problem Call",K264="Explosive Alert"),10000000,20000000),0)+IF(C264&gt;=CALL_LOOKUP_BOARD!$B$7,J264*1000+MIN(C264,999),C264*1000+J264)+0.00992100)</f>
        <v>1100.009921</v>
      </c>
      <c r="U264" s="2">
        <f>IF(C264=0,"",IF(COUNTIFS($S$186:$S$367,SUBSTITUTE(SUBSTITUTE(SUBSTITUTE(S264,"~","~~"),"*","~*"),"?","~?"),$T$186:$T$367,"&gt;"&amp;T264)=0,S264,""))</f>
        <v/>
      </c>
    </row>
    <row r="265" spans="1:21" ht="38" customHeight="1">
      <c r="A265" s="8" t="s">
        <v>153</v>
      </c>
      <c r="B265" s="8" t="s">
        <v>52</v>
      </c>
      <c r="C265" s="12">
        <f>COUNTIFS('DEF_SELF_SCOUT_IMPORT'!$L$42:$L$1040,"Y",'DEF_SELF_SCOUT_IMPORT'!$E$42:$E$1040,SUBSTITUTE(SUBSTITUTE(SUBSTITUTE($B265,"~","~~"),"*","~*"),"?","~?"),'DEF_SELF_SCOUT_IMPORT'!$Q$42:$Q$1040,SUBSTITUTE(SUBSTITUTE(SUBSTITUTE($M265,"~","~~"),"*","~*"),"?","~?"),'DEF_SELF_SCOUT_IMPORT'!$F$42:$F$1040,SUBSTITUTE(SUBSTITUTE(SUBSTITUTE($N265,"~","~~"),"*","~*"),"?","~?"))</f>
        <v>3</v>
      </c>
      <c r="D265" s="10">
        <f>IF($C265=0,"",SUMIFS('DEF_SELF_SCOUT_IMPORT'!$J$42:$J$1040,'DEF_SELF_SCOUT_IMPORT'!$L$42:$L$1040,"Y",'DEF_SELF_SCOUT_IMPORT'!$E$42:$E$1040,SUBSTITUTE(SUBSTITUTE(SUBSTITUTE($B265,"~","~~"),"*","~*"),"?","~?"),'DEF_SELF_SCOUT_IMPORT'!$Q$42:$Q$1040,SUBSTITUTE(SUBSTITUTE(SUBSTITUTE($M265,"~","~~"),"*","~*"),"?","~?"),'DEF_SELF_SCOUT_IMPORT'!$F$42:$F$1040,SUBSTITUTE(SUBSTITUTE(SUBSTITUTE($N265,"~","~~"),"*","~*"),"?","~?"))/$C265)</f>
        <v>0.6666666666666666</v>
      </c>
      <c r="E265" s="10">
        <f>IF($C265=0,"",SUMIFS('DEF_SELF_SCOUT_IMPORT'!$K$42:$K$1040,'DEF_SELF_SCOUT_IMPORT'!$L$42:$L$1040,"Y",'DEF_SELF_SCOUT_IMPORT'!$E$42:$E$1040,SUBSTITUTE(SUBSTITUTE(SUBSTITUTE($B265,"~","~~"),"*","~*"),"?","~?"),'DEF_SELF_SCOUT_IMPORT'!$Q$42:$Q$1040,SUBSTITUTE(SUBSTITUTE(SUBSTITUTE($M265,"~","~~"),"*","~*"),"?","~?"),'DEF_SELF_SCOUT_IMPORT'!$F$42:$F$1040,SUBSTITUTE(SUBSTITUTE(SUBSTITUTE($N265,"~","~~"),"*","~*"),"?","~?"))/$C265)</f>
        <v>0.0</v>
      </c>
      <c r="F265" s="11">
        <f>IF($C265=0,"",AVERAGEIFS('DEF_SELF_SCOUT_IMPORT'!$I$42:$I$1040,'DEF_SELF_SCOUT_IMPORT'!$L$42:$L$1040,"Y",'DEF_SELF_SCOUT_IMPORT'!$E$42:$E$1040,SUBSTITUTE(SUBSTITUTE(SUBSTITUTE($B265,"~","~~"),"*","~*"),"?","~?"),'DEF_SELF_SCOUT_IMPORT'!$Q$42:$Q$1040,SUBSTITUTE(SUBSTITUTE(SUBSTITUTE($M265,"~","~~"),"*","~*"),"?","~?"),'DEF_SELF_SCOUT_IMPORT'!$F$42:$F$1040,SUBSTITUTE(SUBSTITUTE(SUBSTITUTE($N265,"~","~~"),"*","~*"),"?","~?")))</f>
        <v>2.0</v>
      </c>
      <c r="G265" s="10">
        <f>IF($C265=0,"",COUNTIFS('DEF_SELF_SCOUT_IMPORT'!$L$42:$L$1040,"Y",'DEF_SELF_SCOUT_IMPORT'!$E$42:$E$1040,SUBSTITUTE(SUBSTITUTE(SUBSTITUTE($B265,"~","~~"),"*","~*"),"?","~?"),'DEF_SELF_SCOUT_IMPORT'!$Q$42:$Q$1040,SUBSTITUTE(SUBSTITUTE(SUBSTITUTE($M265,"~","~~"),"*","~*"),"?","~?"),'DEF_SELF_SCOUT_IMPORT'!$F$42:$F$1040,SUBSTITUTE(SUBSTITUTE(SUBSTITUTE($N265,"~","~~"),"*","~*"),"?","~?"),'DEF_SELF_SCOUT_IMPORT'!$H$42:$H$1040,"RUSH")/$C265)</f>
        <v>0.6666666666666666</v>
      </c>
      <c r="H265" s="10">
        <f>IF($C265=0,"",COUNTIFS('DEF_SELF_SCOUT_IMPORT'!$L$42:$L$1040,"Y",'DEF_SELF_SCOUT_IMPORT'!$E$42:$E$1040,SUBSTITUTE(SUBSTITUTE(SUBSTITUTE($B265,"~","~~"),"*","~*"),"?","~?"),'DEF_SELF_SCOUT_IMPORT'!$Q$42:$Q$1040,SUBSTITUTE(SUBSTITUTE(SUBSTITUTE($M265,"~","~~"),"*","~*"),"?","~?"),'DEF_SELF_SCOUT_IMPORT'!$F$42:$F$1040,SUBSTITUTE(SUBSTITUTE(SUBSTITUTE($N265,"~","~~"),"*","~*"),"?","~?"),'DEF_SELF_SCOUT_IMPORT'!$H$42:$H$1040,"DROPBACK")/$C265)</f>
        <v>0.3333333333333333</v>
      </c>
      <c r="I265" s="14" t="str">
        <f>IF(C265=0,"",IF(C265&lt;=2,"TRACK",IF(C265=3,"LOW",IF(C265&lt;=6,"MEDIUM","HIGH"))))</f>
        <v>LOW</v>
      </c>
      <c r="J265" s="11">
        <f>IF(C265=0,"",ROUND(D265*70+(1-E265)*20+MAX(0,MIN(1,(10-F265)/10))*10,1))</f>
        <v>74.7</v>
      </c>
      <c r="K265" s="14" t="str">
        <f>IF(C265=0,"No Evidence",IF(C265&lt;=2,IF(E265&gt;0,"Explosive Alert","Track Only"),IF(C265=3,"Sample Watch",IF(E265&gt;=START_HERE!$B$31,"Explosive Alert",IF(J265&gt;=80,"Strong Candidate",IF(J265&gt;=65,"Good Candidate",IF(J265&gt;=50,"Mixed / Review","Problem Call")))))))</f>
        <v>Sample Watch</v>
      </c>
      <c r="L265" s="9" t="str">
        <f>IF(COUNTIFS('DEF_SELF_SCOUT_IMPORT'!$L$42:$L$1040,"Y",'DEF_SELF_SCOUT_IMPORT'!$E$42:$E$1040,SUBSTITUTE(SUBSTITUTE(SUBSTITUTE($B265,"~","~~"),"*","~*"),"?","~?"),'DEF_SELF_SCOUT_IMPORT'!$Q$42:$Q$1040,SUBSTITUTE(SUBSTITUTE(SUBSTITUTE($M265,"~","~~"),"*","~*"),"?","~?"),'DEF_SELF_SCOUT_IMPORT'!$F$42:$F$1040,SUBSTITUTE(SUBSTITUTE(SUBSTITUTE($N265,"~","~~"),"*","~*"),"?","~?"),'DEF_SELF_SCOUT_IMPORT'!$J$42:$J$1040,"")&gt;0,"Unscored clean outcome; review result tags before using score.",IF(C265=0,"No matching defensive reps; film confirmation needed.",IF(K265="Explosive Alert","Explosive risk; review clips before using as answer.",IF(C265&lt;=2,"Track only; not enough sample.",IF(C265=3,IF(E265&gt;0,"Sample watch with explosive exposure; review clips and build the sample.",IF(J265&gt;=65,"Good signal, but sample is limited.","Sample watch; review clips and build the sample.")),IF(K265="Problem Call","Problem area; practice or call-sheet review.",IF(K265="Strong Candidate","Strong call-fit candidate; confirm on film.",IF(K265="Good Candidate","Good call-fit signal; confirm on film.","Mixed signal; review fit and execution on film."))))))))</f>
        <v>Good signal, but sample is limited.</v>
      </c>
      <c r="M265" s="8" t="s">
        <v>82</v>
      </c>
      <c r="N265" s="8" t="s">
        <v>123</v>
      </c>
      <c r="O265" s="8"/>
      <c r="P265" s="8"/>
      <c r="Q265" s="8"/>
      <c r="R265" s="8" t="s">
        <v>28</v>
      </c>
      <c r="S265" s="2" t="s">
        <v>154</v>
      </c>
      <c r="T265" s="2">
        <f>IF(C265=0,0,IF(C265&gt;=CALL_LOOKUP_BOARD!$B$7,IF(OR(K265="Problem Call",K265="Explosive Alert"),10000000,20000000),0)+IF(C265&gt;=CALL_LOOKUP_BOARD!$B$7,J265*1000+MIN(C265,999),C265*1000+J265)+0.00992000)</f>
        <v>3074.70992</v>
      </c>
      <c r="U265" s="2" t="str">
        <f>IF(C265=0,"",IF(COUNTIFS($S$186:$S$367,SUBSTITUTE(SUBSTITUTE(SUBSTITUTE(S265,"~","~~"),"*","~*"),"?","~?"),$T$186:$T$367,"&gt;"&amp;T265)=0,S265,""))</f>
        <v>6:2D 4-6|2:12|</v>
      </c>
    </row>
    <row r="266" spans="1:21" ht="38" customHeight="1">
      <c r="A266" s="8" t="s">
        <v>153</v>
      </c>
      <c r="B266" s="8" t="s">
        <v>35</v>
      </c>
      <c r="C266" s="12">
        <f>COUNTIFS('DEF_SELF_SCOUT_IMPORT'!$L$42:$L$1040,"Y",'DEF_SELF_SCOUT_IMPORT'!$E$42:$E$1040,SUBSTITUTE(SUBSTITUTE(SUBSTITUTE($B266,"~","~~"),"*","~*"),"?","~?"),'DEF_SELF_SCOUT_IMPORT'!$Q$42:$Q$1040,SUBSTITUTE(SUBSTITUTE(SUBSTITUTE($M266,"~","~~"),"*","~*"),"?","~?"),'DEF_SELF_SCOUT_IMPORT'!$F$42:$F$1040,SUBSTITUTE(SUBSTITUTE(SUBSTITUTE($N266,"~","~~"),"*","~*"),"?","~?"))</f>
        <v>1</v>
      </c>
      <c r="D266" s="10">
        <f>IF($C266=0,"",SUMIFS('DEF_SELF_SCOUT_IMPORT'!$J$42:$J$1040,'DEF_SELF_SCOUT_IMPORT'!$L$42:$L$1040,"Y",'DEF_SELF_SCOUT_IMPORT'!$E$42:$E$1040,SUBSTITUTE(SUBSTITUTE(SUBSTITUTE($B266,"~","~~"),"*","~*"),"?","~?"),'DEF_SELF_SCOUT_IMPORT'!$Q$42:$Q$1040,SUBSTITUTE(SUBSTITUTE(SUBSTITUTE($M266,"~","~~"),"*","~*"),"?","~?"),'DEF_SELF_SCOUT_IMPORT'!$F$42:$F$1040,SUBSTITUTE(SUBSTITUTE(SUBSTITUTE($N266,"~","~~"),"*","~*"),"?","~?"))/$C266)</f>
        <v>1.0</v>
      </c>
      <c r="E266" s="10">
        <f>IF($C266=0,"",SUMIFS('DEF_SELF_SCOUT_IMPORT'!$K$42:$K$1040,'DEF_SELF_SCOUT_IMPORT'!$L$42:$L$1040,"Y",'DEF_SELF_SCOUT_IMPORT'!$E$42:$E$1040,SUBSTITUTE(SUBSTITUTE(SUBSTITUTE($B266,"~","~~"),"*","~*"),"?","~?"),'DEF_SELF_SCOUT_IMPORT'!$Q$42:$Q$1040,SUBSTITUTE(SUBSTITUTE(SUBSTITUTE($M266,"~","~~"),"*","~*"),"?","~?"),'DEF_SELF_SCOUT_IMPORT'!$F$42:$F$1040,SUBSTITUTE(SUBSTITUTE(SUBSTITUTE($N266,"~","~~"),"*","~*"),"?","~?"))/$C266)</f>
        <v>0.0</v>
      </c>
      <c r="F266" s="11">
        <f>IF($C266=0,"",AVERAGEIFS('DEF_SELF_SCOUT_IMPORT'!$I$42:$I$1040,'DEF_SELF_SCOUT_IMPORT'!$L$42:$L$1040,"Y",'DEF_SELF_SCOUT_IMPORT'!$E$42:$E$1040,SUBSTITUTE(SUBSTITUTE(SUBSTITUTE($B266,"~","~~"),"*","~*"),"?","~?"),'DEF_SELF_SCOUT_IMPORT'!$Q$42:$Q$1040,SUBSTITUTE(SUBSTITUTE(SUBSTITUTE($M266,"~","~~"),"*","~*"),"?","~?"),'DEF_SELF_SCOUT_IMPORT'!$F$42:$F$1040,SUBSTITUTE(SUBSTITUTE(SUBSTITUTE($N266,"~","~~"),"*","~*"),"?","~?")))</f>
        <v>0.0</v>
      </c>
      <c r="G266" s="10">
        <f>IF($C266=0,"",COUNTIFS('DEF_SELF_SCOUT_IMPORT'!$L$42:$L$1040,"Y",'DEF_SELF_SCOUT_IMPORT'!$E$42:$E$1040,SUBSTITUTE(SUBSTITUTE(SUBSTITUTE($B266,"~","~~"),"*","~*"),"?","~?"),'DEF_SELF_SCOUT_IMPORT'!$Q$42:$Q$1040,SUBSTITUTE(SUBSTITUTE(SUBSTITUTE($M266,"~","~~"),"*","~*"),"?","~?"),'DEF_SELF_SCOUT_IMPORT'!$F$42:$F$1040,SUBSTITUTE(SUBSTITUTE(SUBSTITUTE($N266,"~","~~"),"*","~*"),"?","~?"),'DEF_SELF_SCOUT_IMPORT'!$H$42:$H$1040,"RUSH")/$C266)</f>
        <v>0.0</v>
      </c>
      <c r="H266" s="10">
        <f>IF($C266=0,"",COUNTIFS('DEF_SELF_SCOUT_IMPORT'!$L$42:$L$1040,"Y",'DEF_SELF_SCOUT_IMPORT'!$E$42:$E$1040,SUBSTITUTE(SUBSTITUTE(SUBSTITUTE($B266,"~","~~"),"*","~*"),"?","~?"),'DEF_SELF_SCOUT_IMPORT'!$Q$42:$Q$1040,SUBSTITUTE(SUBSTITUTE(SUBSTITUTE($M266,"~","~~"),"*","~*"),"?","~?"),'DEF_SELF_SCOUT_IMPORT'!$F$42:$F$1040,SUBSTITUTE(SUBSTITUTE(SUBSTITUTE($N266,"~","~~"),"*","~*"),"?","~?"),'DEF_SELF_SCOUT_IMPORT'!$H$42:$H$1040,"DROPBACK")/$C266)</f>
        <v>1.0</v>
      </c>
      <c r="I266" s="14" t="str">
        <f>IF(C266=0,"",IF(C266&lt;=2,"TRACK",IF(C266=3,"LOW",IF(C266&lt;=6,"MEDIUM","HIGH"))))</f>
        <v>TRACK</v>
      </c>
      <c r="J266" s="11">
        <f>IF(C266=0,"",ROUND(D266*70+(1-E266)*20+MAX(0,MIN(1,(10-F266)/10))*10,1))</f>
        <v>100.0</v>
      </c>
      <c r="K266" s="14" t="str">
        <f>IF(C266=0,"No Evidence",IF(C266&lt;=2,IF(E266&gt;0,"Explosive Alert","Track Only"),IF(C266=3,"Sample Watch",IF(E266&gt;=START_HERE!$B$31,"Explosive Alert",IF(J266&gt;=80,"Strong Candidate",IF(J266&gt;=65,"Good Candidate",IF(J266&gt;=50,"Mixed / Review","Problem Call")))))))</f>
        <v>Track Only</v>
      </c>
      <c r="L266" s="9" t="str">
        <f>IF(COUNTIFS('DEF_SELF_SCOUT_IMPORT'!$L$42:$L$1040,"Y",'DEF_SELF_SCOUT_IMPORT'!$E$42:$E$1040,SUBSTITUTE(SUBSTITUTE(SUBSTITUTE($B266,"~","~~"),"*","~*"),"?","~?"),'DEF_SELF_SCOUT_IMPORT'!$Q$42:$Q$1040,SUBSTITUTE(SUBSTITUTE(SUBSTITUTE($M266,"~","~~"),"*","~*"),"?","~?"),'DEF_SELF_SCOUT_IMPORT'!$F$42:$F$1040,SUBSTITUTE(SUBSTITUTE(SUBSTITUTE($N266,"~","~~"),"*","~*"),"?","~?"),'DEF_SELF_SCOUT_IMPORT'!$J$42:$J$1040,"")&gt;0,"Unscored clean outcome; review result tags before using score.",IF(C266=0,"No matching defensive reps; film confirmation needed.",IF(K266="Explosive Alert","Explosive risk; review clips before using as answer.",IF(C266&lt;=2,"Track only; not enough sample.",IF(C266=3,IF(E266&gt;0,"Sample watch with explosive exposure; review clips and build the sample.",IF(J266&gt;=65,"Good signal, but sample is limited.","Sample watch; review clips and build the sample.")),IF(K266="Problem Call","Problem area; practice or call-sheet review.",IF(K266="Strong Candidate","Strong call-fit candidate; confirm on film.",IF(K266="Good Candidate","Good call-fit signal; confirm on film.","Mixed signal; review fit and execution on film."))))))))</f>
        <v>Track only; not enough sample.</v>
      </c>
      <c r="M266" s="8" t="s">
        <v>82</v>
      </c>
      <c r="N266" s="8" t="s">
        <v>123</v>
      </c>
      <c r="O266" s="8"/>
      <c r="P266" s="8"/>
      <c r="Q266" s="8"/>
      <c r="R266" s="8" t="s">
        <v>28</v>
      </c>
      <c r="S266" s="2" t="s">
        <v>154</v>
      </c>
      <c r="T266" s="2">
        <f>IF(C266=0,0,IF(C266&gt;=CALL_LOOKUP_BOARD!$B$7,IF(OR(K266="Problem Call",K266="Explosive Alert"),10000000,20000000),0)+IF(C266&gt;=CALL_LOOKUP_BOARD!$B$7,J266*1000+MIN(C266,999),C266*1000+J266)+0.00991900)</f>
        <v>1100.009919</v>
      </c>
      <c r="U266" s="2">
        <f>IF(C266=0,"",IF(COUNTIFS($S$186:$S$367,SUBSTITUTE(SUBSTITUTE(SUBSTITUTE(S266,"~","~~"),"*","~*"),"?","~?"),$T$186:$T$367,"&gt;"&amp;T266)=0,S266,""))</f>
        <v/>
      </c>
    </row>
    <row r="267" spans="1:21" ht="38" customHeight="1">
      <c r="A267" s="8" t="s">
        <v>153</v>
      </c>
      <c r="B267" s="8" t="s">
        <v>84</v>
      </c>
      <c r="C267" s="12">
        <f>COUNTIFS('DEF_SELF_SCOUT_IMPORT'!$L$42:$L$1040,"Y",'DEF_SELF_SCOUT_IMPORT'!$E$42:$E$1040,SUBSTITUTE(SUBSTITUTE(SUBSTITUTE($B267,"~","~~"),"*","~*"),"?","~?"),'DEF_SELF_SCOUT_IMPORT'!$Q$42:$Q$1040,SUBSTITUTE(SUBSTITUTE(SUBSTITUTE($M267,"~","~~"),"*","~*"),"?","~?"),'DEF_SELF_SCOUT_IMPORT'!$F$42:$F$1040,SUBSTITUTE(SUBSTITUTE(SUBSTITUTE($N267,"~","~~"),"*","~*"),"?","~?"))</f>
        <v>1</v>
      </c>
      <c r="D267" s="10">
        <f>IF($C267=0,"",SUMIFS('DEF_SELF_SCOUT_IMPORT'!$J$42:$J$1040,'DEF_SELF_SCOUT_IMPORT'!$L$42:$L$1040,"Y",'DEF_SELF_SCOUT_IMPORT'!$E$42:$E$1040,SUBSTITUTE(SUBSTITUTE(SUBSTITUTE($B267,"~","~~"),"*","~*"),"?","~?"),'DEF_SELF_SCOUT_IMPORT'!$Q$42:$Q$1040,SUBSTITUTE(SUBSTITUTE(SUBSTITUTE($M267,"~","~~"),"*","~*"),"?","~?"),'DEF_SELF_SCOUT_IMPORT'!$F$42:$F$1040,SUBSTITUTE(SUBSTITUTE(SUBSTITUTE($N267,"~","~~"),"*","~*"),"?","~?"))/$C267)</f>
        <v>0.0</v>
      </c>
      <c r="E267" s="10">
        <f>IF($C267=0,"",SUMIFS('DEF_SELF_SCOUT_IMPORT'!$K$42:$K$1040,'DEF_SELF_SCOUT_IMPORT'!$L$42:$L$1040,"Y",'DEF_SELF_SCOUT_IMPORT'!$E$42:$E$1040,SUBSTITUTE(SUBSTITUTE(SUBSTITUTE($B267,"~","~~"),"*","~*"),"?","~?"),'DEF_SELF_SCOUT_IMPORT'!$Q$42:$Q$1040,SUBSTITUTE(SUBSTITUTE(SUBSTITUTE($M267,"~","~~"),"*","~*"),"?","~?"),'DEF_SELF_SCOUT_IMPORT'!$F$42:$F$1040,SUBSTITUTE(SUBSTITUTE(SUBSTITUTE($N267,"~","~~"),"*","~*"),"?","~?"))/$C267)</f>
        <v>1.0</v>
      </c>
      <c r="F267" s="11">
        <f>IF($C267=0,"",AVERAGEIFS('DEF_SELF_SCOUT_IMPORT'!$I$42:$I$1040,'DEF_SELF_SCOUT_IMPORT'!$L$42:$L$1040,"Y",'DEF_SELF_SCOUT_IMPORT'!$E$42:$E$1040,SUBSTITUTE(SUBSTITUTE(SUBSTITUTE($B267,"~","~~"),"*","~*"),"?","~?"),'DEF_SELF_SCOUT_IMPORT'!$Q$42:$Q$1040,SUBSTITUTE(SUBSTITUTE(SUBSTITUTE($M267,"~","~~"),"*","~*"),"?","~?"),'DEF_SELF_SCOUT_IMPORT'!$F$42:$F$1040,SUBSTITUTE(SUBSTITUTE(SUBSTITUTE($N267,"~","~~"),"*","~*"),"?","~?")))</f>
        <v>42.0</v>
      </c>
      <c r="G267" s="10">
        <f>IF($C267=0,"",COUNTIFS('DEF_SELF_SCOUT_IMPORT'!$L$42:$L$1040,"Y",'DEF_SELF_SCOUT_IMPORT'!$E$42:$E$1040,SUBSTITUTE(SUBSTITUTE(SUBSTITUTE($B267,"~","~~"),"*","~*"),"?","~?"),'DEF_SELF_SCOUT_IMPORT'!$Q$42:$Q$1040,SUBSTITUTE(SUBSTITUTE(SUBSTITUTE($M267,"~","~~"),"*","~*"),"?","~?"),'DEF_SELF_SCOUT_IMPORT'!$F$42:$F$1040,SUBSTITUTE(SUBSTITUTE(SUBSTITUTE($N267,"~","~~"),"*","~*"),"?","~?"),'DEF_SELF_SCOUT_IMPORT'!$H$42:$H$1040,"RUSH")/$C267)</f>
        <v>0.0</v>
      </c>
      <c r="H267" s="10">
        <f>IF($C267=0,"",COUNTIFS('DEF_SELF_SCOUT_IMPORT'!$L$42:$L$1040,"Y",'DEF_SELF_SCOUT_IMPORT'!$E$42:$E$1040,SUBSTITUTE(SUBSTITUTE(SUBSTITUTE($B267,"~","~~"),"*","~*"),"?","~?"),'DEF_SELF_SCOUT_IMPORT'!$Q$42:$Q$1040,SUBSTITUTE(SUBSTITUTE(SUBSTITUTE($M267,"~","~~"),"*","~*"),"?","~?"),'DEF_SELF_SCOUT_IMPORT'!$F$42:$F$1040,SUBSTITUTE(SUBSTITUTE(SUBSTITUTE($N267,"~","~~"),"*","~*"),"?","~?"),'DEF_SELF_SCOUT_IMPORT'!$H$42:$H$1040,"DROPBACK")/$C267)</f>
        <v>1.0</v>
      </c>
      <c r="I267" s="14" t="str">
        <f>IF(C267=0,"",IF(C267&lt;=2,"TRACK",IF(C267=3,"LOW",IF(C267&lt;=6,"MEDIUM","HIGH"))))</f>
        <v>TRACK</v>
      </c>
      <c r="J267" s="11">
        <f>IF(C267=0,"",ROUND(D267*70+(1-E267)*20+MAX(0,MIN(1,(10-F267)/10))*10,1))</f>
        <v>0.0</v>
      </c>
      <c r="K267" s="14" t="str">
        <f>IF(C267=0,"No Evidence",IF(C267&lt;=2,IF(E267&gt;0,"Explosive Alert","Track Only"),IF(C267=3,"Sample Watch",IF(E267&gt;=START_HERE!$B$31,"Explosive Alert",IF(J267&gt;=80,"Strong Candidate",IF(J267&gt;=65,"Good Candidate",IF(J267&gt;=50,"Mixed / Review","Problem Call")))))))</f>
        <v>Explosive Alert</v>
      </c>
      <c r="L267" s="9" t="str">
        <f>IF(COUNTIFS('DEF_SELF_SCOUT_IMPORT'!$L$42:$L$1040,"Y",'DEF_SELF_SCOUT_IMPORT'!$E$42:$E$1040,SUBSTITUTE(SUBSTITUTE(SUBSTITUTE($B267,"~","~~"),"*","~*"),"?","~?"),'DEF_SELF_SCOUT_IMPORT'!$Q$42:$Q$1040,SUBSTITUTE(SUBSTITUTE(SUBSTITUTE($M267,"~","~~"),"*","~*"),"?","~?"),'DEF_SELF_SCOUT_IMPORT'!$F$42:$F$1040,SUBSTITUTE(SUBSTITUTE(SUBSTITUTE($N267,"~","~~"),"*","~*"),"?","~?"),'DEF_SELF_SCOUT_IMPORT'!$J$42:$J$1040,"")&gt;0,"Unscored clean outcome; review result tags before using score.",IF(C267=0,"No matching defensive reps; film confirmation needed.",IF(K267="Explosive Alert","Explosive risk; review clips before using as answer.",IF(C267&lt;=2,"Track only; not enough sample.",IF(C267=3,IF(E267&gt;0,"Sample watch with explosive exposure; review clips and build the sample.",IF(J267&gt;=65,"Good signal, but sample is limited.","Sample watch; review clips and build the sample.")),IF(K267="Problem Call","Problem area; practice or call-sheet review.",IF(K267="Strong Candidate","Strong call-fit candidate; confirm on film.",IF(K267="Good Candidate","Good call-fit signal; confirm on film.","Mixed signal; review fit and execution on film."))))))))</f>
        <v>Explosive risk; review clips before using as answer.</v>
      </c>
      <c r="M267" s="8" t="s">
        <v>82</v>
      </c>
      <c r="N267" s="8" t="s">
        <v>123</v>
      </c>
      <c r="O267" s="8"/>
      <c r="P267" s="8"/>
      <c r="Q267" s="8"/>
      <c r="R267" s="8" t="s">
        <v>28</v>
      </c>
      <c r="S267" s="2" t="s">
        <v>154</v>
      </c>
      <c r="T267" s="2">
        <f>IF(C267=0,0,IF(C267&gt;=CALL_LOOKUP_BOARD!$B$7,IF(OR(K267="Problem Call",K267="Explosive Alert"),10000000,20000000),0)+IF(C267&gt;=CALL_LOOKUP_BOARD!$B$7,J267*1000+MIN(C267,999),C267*1000+J267)+0.00991800)</f>
        <v>1000.009918</v>
      </c>
      <c r="U267" s="2">
        <f>IF(C267=0,"",IF(COUNTIFS($S$186:$S$367,SUBSTITUTE(SUBSTITUTE(SUBSTITUTE(S267,"~","~~"),"*","~*"),"?","~?"),$T$186:$T$367,"&gt;"&amp;T267)=0,S267,""))</f>
        <v/>
      </c>
    </row>
    <row r="268" spans="1:21" ht="38" customHeight="1">
      <c r="A268" s="8" t="s">
        <v>155</v>
      </c>
      <c r="B268" s="8" t="s">
        <v>35</v>
      </c>
      <c r="C268" s="12">
        <f>COUNTIFS('DEF_SELF_SCOUT_IMPORT'!$L$42:$L$1040,"Y",'DEF_SELF_SCOUT_IMPORT'!$E$42:$E$1040,SUBSTITUTE(SUBSTITUTE(SUBSTITUTE($B268,"~","~~"),"*","~*"),"?","~?"),'DEF_SELF_SCOUT_IMPORT'!$Q$42:$Q$1040,SUBSTITUTE(SUBSTITUTE(SUBSTITUTE($M268,"~","~~"),"*","~*"),"?","~?"),'DEF_SELF_SCOUT_IMPORT'!$F$42:$F$1040,SUBSTITUTE(SUBSTITUTE(SUBSTITUTE($N268,"~","~~"),"*","~*"),"?","~?"))</f>
        <v>1</v>
      </c>
      <c r="D268" s="10">
        <f>IF($C268=0,"",SUMIFS('DEF_SELF_SCOUT_IMPORT'!$J$42:$J$1040,'DEF_SELF_SCOUT_IMPORT'!$L$42:$L$1040,"Y",'DEF_SELF_SCOUT_IMPORT'!$E$42:$E$1040,SUBSTITUTE(SUBSTITUTE(SUBSTITUTE($B268,"~","~~"),"*","~*"),"?","~?"),'DEF_SELF_SCOUT_IMPORT'!$Q$42:$Q$1040,SUBSTITUTE(SUBSTITUTE(SUBSTITUTE($M268,"~","~~"),"*","~*"),"?","~?"),'DEF_SELF_SCOUT_IMPORT'!$F$42:$F$1040,SUBSTITUTE(SUBSTITUTE(SUBSTITUTE($N268,"~","~~"),"*","~*"),"?","~?"))/$C268)</f>
        <v>1.0</v>
      </c>
      <c r="E268" s="10">
        <f>IF($C268=0,"",SUMIFS('DEF_SELF_SCOUT_IMPORT'!$K$42:$K$1040,'DEF_SELF_SCOUT_IMPORT'!$L$42:$L$1040,"Y",'DEF_SELF_SCOUT_IMPORT'!$E$42:$E$1040,SUBSTITUTE(SUBSTITUTE(SUBSTITUTE($B268,"~","~~"),"*","~*"),"?","~?"),'DEF_SELF_SCOUT_IMPORT'!$Q$42:$Q$1040,SUBSTITUTE(SUBSTITUTE(SUBSTITUTE($M268,"~","~~"),"*","~*"),"?","~?"),'DEF_SELF_SCOUT_IMPORT'!$F$42:$F$1040,SUBSTITUTE(SUBSTITUTE(SUBSTITUTE($N268,"~","~~"),"*","~*"),"?","~?"))/$C268)</f>
        <v>0.0</v>
      </c>
      <c r="F268" s="11">
        <f>IF($C268=0,"",AVERAGEIFS('DEF_SELF_SCOUT_IMPORT'!$I$42:$I$1040,'DEF_SELF_SCOUT_IMPORT'!$L$42:$L$1040,"Y",'DEF_SELF_SCOUT_IMPORT'!$E$42:$E$1040,SUBSTITUTE(SUBSTITUTE(SUBSTITUTE($B268,"~","~~"),"*","~*"),"?","~?"),'DEF_SELF_SCOUT_IMPORT'!$Q$42:$Q$1040,SUBSTITUTE(SUBSTITUTE(SUBSTITUTE($M268,"~","~~"),"*","~*"),"?","~?"),'DEF_SELF_SCOUT_IMPORT'!$F$42:$F$1040,SUBSTITUTE(SUBSTITUTE(SUBSTITUTE($N268,"~","~~"),"*","~*"),"?","~?")))</f>
        <v>1.0</v>
      </c>
      <c r="G268" s="10">
        <f>IF($C268=0,"",COUNTIFS('DEF_SELF_SCOUT_IMPORT'!$L$42:$L$1040,"Y",'DEF_SELF_SCOUT_IMPORT'!$E$42:$E$1040,SUBSTITUTE(SUBSTITUTE(SUBSTITUTE($B268,"~","~~"),"*","~*"),"?","~?"),'DEF_SELF_SCOUT_IMPORT'!$Q$42:$Q$1040,SUBSTITUTE(SUBSTITUTE(SUBSTITUTE($M268,"~","~~"),"*","~*"),"?","~?"),'DEF_SELF_SCOUT_IMPORT'!$F$42:$F$1040,SUBSTITUTE(SUBSTITUTE(SUBSTITUTE($N268,"~","~~"),"*","~*"),"?","~?"),'DEF_SELF_SCOUT_IMPORT'!$H$42:$H$1040,"RUSH")/$C268)</f>
        <v>1.0</v>
      </c>
      <c r="H268" s="10">
        <f>IF($C268=0,"",COUNTIFS('DEF_SELF_SCOUT_IMPORT'!$L$42:$L$1040,"Y",'DEF_SELF_SCOUT_IMPORT'!$E$42:$E$1040,SUBSTITUTE(SUBSTITUTE(SUBSTITUTE($B268,"~","~~"),"*","~*"),"?","~?"),'DEF_SELF_SCOUT_IMPORT'!$Q$42:$Q$1040,SUBSTITUTE(SUBSTITUTE(SUBSTITUTE($M268,"~","~~"),"*","~*"),"?","~?"),'DEF_SELF_SCOUT_IMPORT'!$F$42:$F$1040,SUBSTITUTE(SUBSTITUTE(SUBSTITUTE($N268,"~","~~"),"*","~*"),"?","~?"),'DEF_SELF_SCOUT_IMPORT'!$H$42:$H$1040,"DROPBACK")/$C268)</f>
        <v>0.0</v>
      </c>
      <c r="I268" s="14" t="str">
        <f>IF(C268=0,"",IF(C268&lt;=2,"TRACK",IF(C268=3,"LOW",IF(C268&lt;=6,"MEDIUM","HIGH"))))</f>
        <v>TRACK</v>
      </c>
      <c r="J268" s="11">
        <f>IF(C268=0,"",ROUND(D268*70+(1-E268)*20+MAX(0,MIN(1,(10-F268)/10))*10,1))</f>
        <v>99.0</v>
      </c>
      <c r="K268" s="14" t="str">
        <f>IF(C268=0,"No Evidence",IF(C268&lt;=2,IF(E268&gt;0,"Explosive Alert","Track Only"),IF(C268=3,"Sample Watch",IF(E268&gt;=START_HERE!$B$31,"Explosive Alert",IF(J268&gt;=80,"Strong Candidate",IF(J268&gt;=65,"Good Candidate",IF(J268&gt;=50,"Mixed / Review","Problem Call")))))))</f>
        <v>Track Only</v>
      </c>
      <c r="L268" s="9" t="str">
        <f>IF(COUNTIFS('DEF_SELF_SCOUT_IMPORT'!$L$42:$L$1040,"Y",'DEF_SELF_SCOUT_IMPORT'!$E$42:$E$1040,SUBSTITUTE(SUBSTITUTE(SUBSTITUTE($B268,"~","~~"),"*","~*"),"?","~?"),'DEF_SELF_SCOUT_IMPORT'!$Q$42:$Q$1040,SUBSTITUTE(SUBSTITUTE(SUBSTITUTE($M268,"~","~~"),"*","~*"),"?","~?"),'DEF_SELF_SCOUT_IMPORT'!$F$42:$F$1040,SUBSTITUTE(SUBSTITUTE(SUBSTITUTE($N268,"~","~~"),"*","~*"),"?","~?"),'DEF_SELF_SCOUT_IMPORT'!$J$42:$J$1040,"")&gt;0,"Unscored clean outcome; review result tags before using score.",IF(C268=0,"No matching defensive reps; film confirmation needed.",IF(K268="Explosive Alert","Explosive risk; review clips before using as answer.",IF(C268&lt;=2,"Track only; not enough sample.",IF(C268=3,IF(E268&gt;0,"Sample watch with explosive exposure; review clips and build the sample.",IF(J268&gt;=65,"Good signal, but sample is limited.","Sample watch; review clips and build the sample.")),IF(K268="Problem Call","Problem area; practice or call-sheet review.",IF(K268="Strong Candidate","Strong call-fit candidate; confirm on film.",IF(K268="Good Candidate","Good call-fit signal; confirm on film.","Mixed signal; review fit and execution on film."))))))))</f>
        <v>Track only; not enough sample.</v>
      </c>
      <c r="M268" s="8" t="s">
        <v>82</v>
      </c>
      <c r="N268" s="8" t="s">
        <v>156</v>
      </c>
      <c r="O268" s="8"/>
      <c r="P268" s="8"/>
      <c r="Q268" s="8"/>
      <c r="R268" s="8" t="s">
        <v>28</v>
      </c>
      <c r="S268" s="2" t="s">
        <v>157</v>
      </c>
      <c r="T268" s="2">
        <f>IF(C268=0,0,IF(C268&gt;=CALL_LOOKUP_BOARD!$B$7,IF(OR(K268="Problem Call",K268="Explosive Alert"),10000000,20000000),0)+IF(C268&gt;=CALL_LOOKUP_BOARD!$B$7,J268*1000+MIN(C268,999),C268*1000+J268)+0.00991700)</f>
        <v>1099.009917</v>
      </c>
      <c r="U268" s="2" t="str">
        <f>IF(C268=0,"",IF(COUNTIFS($S$186:$S$367,SUBSTITUTE(SUBSTITUTE(SUBSTITUTE(S268,"~","~~"),"*","~*"),"?","~?"),$T$186:$T$367,"&gt;"&amp;T268)=0,S268,""))</f>
        <v>6:2D 4-6|2:20|</v>
      </c>
    </row>
    <row r="269" spans="1:21" ht="38" customHeight="1">
      <c r="A269" s="8" t="s">
        <v>158</v>
      </c>
      <c r="B269" s="8" t="s">
        <v>34</v>
      </c>
      <c r="C269" s="12">
        <f>COUNTIFS('DEF_SELF_SCOUT_IMPORT'!$L$42:$L$1040,"Y",'DEF_SELF_SCOUT_IMPORT'!$E$42:$E$1040,SUBSTITUTE(SUBSTITUTE(SUBSTITUTE($B269,"~","~~"),"*","~*"),"?","~?"),'DEF_SELF_SCOUT_IMPORT'!$Q$42:$Q$1040,SUBSTITUTE(SUBSTITUTE(SUBSTITUTE($M269,"~","~~"),"*","~*"),"?","~?"),'DEF_SELF_SCOUT_IMPORT'!$F$42:$F$1040,SUBSTITUTE(SUBSTITUTE(SUBSTITUTE($N269,"~","~~"),"*","~*"),"?","~?"))</f>
        <v>1</v>
      </c>
      <c r="D269" s="10">
        <f>IF($C269=0,"",SUMIFS('DEF_SELF_SCOUT_IMPORT'!$J$42:$J$1040,'DEF_SELF_SCOUT_IMPORT'!$L$42:$L$1040,"Y",'DEF_SELF_SCOUT_IMPORT'!$E$42:$E$1040,SUBSTITUTE(SUBSTITUTE(SUBSTITUTE($B269,"~","~~"),"*","~*"),"?","~?"),'DEF_SELF_SCOUT_IMPORT'!$Q$42:$Q$1040,SUBSTITUTE(SUBSTITUTE(SUBSTITUTE($M269,"~","~~"),"*","~*"),"?","~?"),'DEF_SELF_SCOUT_IMPORT'!$F$42:$F$1040,SUBSTITUTE(SUBSTITUTE(SUBSTITUTE($N269,"~","~~"),"*","~*"),"?","~?"))/$C269)</f>
        <v>0.0</v>
      </c>
      <c r="E269" s="10">
        <f>IF($C269=0,"",SUMIFS('DEF_SELF_SCOUT_IMPORT'!$K$42:$K$1040,'DEF_SELF_SCOUT_IMPORT'!$L$42:$L$1040,"Y",'DEF_SELF_SCOUT_IMPORT'!$E$42:$E$1040,SUBSTITUTE(SUBSTITUTE(SUBSTITUTE($B269,"~","~~"),"*","~*"),"?","~?"),'DEF_SELF_SCOUT_IMPORT'!$Q$42:$Q$1040,SUBSTITUTE(SUBSTITUTE(SUBSTITUTE($M269,"~","~~"),"*","~*"),"?","~?"),'DEF_SELF_SCOUT_IMPORT'!$F$42:$F$1040,SUBSTITUTE(SUBSTITUTE(SUBSTITUTE($N269,"~","~~"),"*","~*"),"?","~?"))/$C269)</f>
        <v>1.0</v>
      </c>
      <c r="F269" s="11">
        <f>IF($C269=0,"",AVERAGEIFS('DEF_SELF_SCOUT_IMPORT'!$I$42:$I$1040,'DEF_SELF_SCOUT_IMPORT'!$L$42:$L$1040,"Y",'DEF_SELF_SCOUT_IMPORT'!$E$42:$E$1040,SUBSTITUTE(SUBSTITUTE(SUBSTITUTE($B269,"~","~~"),"*","~*"),"?","~?"),'DEF_SELF_SCOUT_IMPORT'!$Q$42:$Q$1040,SUBSTITUTE(SUBSTITUTE(SUBSTITUTE($M269,"~","~~"),"*","~*"),"?","~?"),'DEF_SELF_SCOUT_IMPORT'!$F$42:$F$1040,SUBSTITUTE(SUBSTITUTE(SUBSTITUTE($N269,"~","~~"),"*","~*"),"?","~?")))</f>
        <v>12.0</v>
      </c>
      <c r="G269" s="10">
        <f>IF($C269=0,"",COUNTIFS('DEF_SELF_SCOUT_IMPORT'!$L$42:$L$1040,"Y",'DEF_SELF_SCOUT_IMPORT'!$E$42:$E$1040,SUBSTITUTE(SUBSTITUTE(SUBSTITUTE($B269,"~","~~"),"*","~*"),"?","~?"),'DEF_SELF_SCOUT_IMPORT'!$Q$42:$Q$1040,SUBSTITUTE(SUBSTITUTE(SUBSTITUTE($M269,"~","~~"),"*","~*"),"?","~?"),'DEF_SELF_SCOUT_IMPORT'!$F$42:$F$1040,SUBSTITUTE(SUBSTITUTE(SUBSTITUTE($N269,"~","~~"),"*","~*"),"?","~?"),'DEF_SELF_SCOUT_IMPORT'!$H$42:$H$1040,"RUSH")/$C269)</f>
        <v>1.0</v>
      </c>
      <c r="H269" s="10">
        <f>IF($C269=0,"",COUNTIFS('DEF_SELF_SCOUT_IMPORT'!$L$42:$L$1040,"Y",'DEF_SELF_SCOUT_IMPORT'!$E$42:$E$1040,SUBSTITUTE(SUBSTITUTE(SUBSTITUTE($B269,"~","~~"),"*","~*"),"?","~?"),'DEF_SELF_SCOUT_IMPORT'!$Q$42:$Q$1040,SUBSTITUTE(SUBSTITUTE(SUBSTITUTE($M269,"~","~~"),"*","~*"),"?","~?"),'DEF_SELF_SCOUT_IMPORT'!$F$42:$F$1040,SUBSTITUTE(SUBSTITUTE(SUBSTITUTE($N269,"~","~~"),"*","~*"),"?","~?"),'DEF_SELF_SCOUT_IMPORT'!$H$42:$H$1040,"DROPBACK")/$C269)</f>
        <v>0.0</v>
      </c>
      <c r="I269" s="14" t="str">
        <f>IF(C269=0,"",IF(C269&lt;=2,"TRACK",IF(C269=3,"LOW",IF(C269&lt;=6,"MEDIUM","HIGH"))))</f>
        <v>TRACK</v>
      </c>
      <c r="J269" s="11">
        <f>IF(C269=0,"",ROUND(D269*70+(1-E269)*20+MAX(0,MIN(1,(10-F269)/10))*10,1))</f>
        <v>0.0</v>
      </c>
      <c r="K269" s="14" t="str">
        <f>IF(C269=0,"No Evidence",IF(C269&lt;=2,IF(E269&gt;0,"Explosive Alert","Track Only"),IF(C269=3,"Sample Watch",IF(E269&gt;=START_HERE!$B$31,"Explosive Alert",IF(J269&gt;=80,"Strong Candidate",IF(J269&gt;=65,"Good Candidate",IF(J269&gt;=50,"Mixed / Review","Problem Call")))))))</f>
        <v>Explosive Alert</v>
      </c>
      <c r="L269" s="9" t="str">
        <f>IF(COUNTIFS('DEF_SELF_SCOUT_IMPORT'!$L$42:$L$1040,"Y",'DEF_SELF_SCOUT_IMPORT'!$E$42:$E$1040,SUBSTITUTE(SUBSTITUTE(SUBSTITUTE($B269,"~","~~"),"*","~*"),"?","~?"),'DEF_SELF_SCOUT_IMPORT'!$Q$42:$Q$1040,SUBSTITUTE(SUBSTITUTE(SUBSTITUTE($M269,"~","~~"),"*","~*"),"?","~?"),'DEF_SELF_SCOUT_IMPORT'!$F$42:$F$1040,SUBSTITUTE(SUBSTITUTE(SUBSTITUTE($N269,"~","~~"),"*","~*"),"?","~?"),'DEF_SELF_SCOUT_IMPORT'!$J$42:$J$1040,"")&gt;0,"Unscored clean outcome; review result tags before using score.",IF(C269=0,"No matching defensive reps; film confirmation needed.",IF(K269="Explosive Alert","Explosive risk; review clips before using as answer.",IF(C269&lt;=2,"Track only; not enough sample.",IF(C269=3,IF(E269&gt;0,"Sample watch with explosive exposure; review clips and build the sample.",IF(J269&gt;=65,"Good signal, but sample is limited.","Sample watch; review clips and build the sample.")),IF(K269="Problem Call","Problem area; practice or call-sheet review.",IF(K269="Strong Candidate","Strong call-fit candidate; confirm on film.",IF(K269="Good Candidate","Good call-fit signal; confirm on film.","Mixed signal; review fit and execution on film."))))))))</f>
        <v>Explosive risk; review clips before using as answer.</v>
      </c>
      <c r="M269" s="8" t="s">
        <v>85</v>
      </c>
      <c r="N269" s="8" t="s">
        <v>132</v>
      </c>
      <c r="O269" s="8"/>
      <c r="P269" s="8"/>
      <c r="Q269" s="8"/>
      <c r="R269" s="8" t="s">
        <v>28</v>
      </c>
      <c r="S269" s="2" t="s">
        <v>159</v>
      </c>
      <c r="T269" s="2">
        <f>IF(C269=0,0,IF(C269&gt;=CALL_LOOKUP_BOARD!$B$7,IF(OR(K269="Problem Call",K269="Explosive Alert"),10000000,20000000),0)+IF(C269&gt;=CALL_LOOKUP_BOARD!$B$7,J269*1000+MIN(C269,999),C269*1000+J269)+0.00991600)</f>
        <v>1000.009916</v>
      </c>
      <c r="U269" s="2" t="str">
        <f>IF(C269=0,"",IF(COUNTIFS($S$186:$S$367,SUBSTITUTE(SUBSTITUTE(SUBSTITUTE(S269,"~","~~"),"*","~*"),"?","~?"),$T$186:$T$367,"&gt;"&amp;T269)=0,S269,""))</f>
        <v>7:2D 7-10|2:00|</v>
      </c>
    </row>
    <row r="270" spans="1:21" ht="38" customHeight="1">
      <c r="A270" s="8" t="s">
        <v>160</v>
      </c>
      <c r="B270" s="8" t="s">
        <v>40</v>
      </c>
      <c r="C270" s="12">
        <f>COUNTIFS('DEF_SELF_SCOUT_IMPORT'!$L$42:$L$1040,"Y",'DEF_SELF_SCOUT_IMPORT'!$E$42:$E$1040,SUBSTITUTE(SUBSTITUTE(SUBSTITUTE($B270,"~","~~"),"*","~*"),"?","~?"),'DEF_SELF_SCOUT_IMPORT'!$Q$42:$Q$1040,SUBSTITUTE(SUBSTITUTE(SUBSTITUTE($M270,"~","~~"),"*","~*"),"?","~?"),'DEF_SELF_SCOUT_IMPORT'!$F$42:$F$1040,SUBSTITUTE(SUBSTITUTE(SUBSTITUTE($N270,"~","~~"),"*","~*"),"?","~?"))</f>
        <v>1</v>
      </c>
      <c r="D270" s="10">
        <f>IF($C270=0,"",SUMIFS('DEF_SELF_SCOUT_IMPORT'!$J$42:$J$1040,'DEF_SELF_SCOUT_IMPORT'!$L$42:$L$1040,"Y",'DEF_SELF_SCOUT_IMPORT'!$E$42:$E$1040,SUBSTITUTE(SUBSTITUTE(SUBSTITUTE($B270,"~","~~"),"*","~*"),"?","~?"),'DEF_SELF_SCOUT_IMPORT'!$Q$42:$Q$1040,SUBSTITUTE(SUBSTITUTE(SUBSTITUTE($M270,"~","~~"),"*","~*"),"?","~?"),'DEF_SELF_SCOUT_IMPORT'!$F$42:$F$1040,SUBSTITUTE(SUBSTITUTE(SUBSTITUTE($N270,"~","~~"),"*","~*"),"?","~?"))/$C270)</f>
        <v>0.0</v>
      </c>
      <c r="E270" s="10">
        <f>IF($C270=0,"",SUMIFS('DEF_SELF_SCOUT_IMPORT'!$K$42:$K$1040,'DEF_SELF_SCOUT_IMPORT'!$L$42:$L$1040,"Y",'DEF_SELF_SCOUT_IMPORT'!$E$42:$E$1040,SUBSTITUTE(SUBSTITUTE(SUBSTITUTE($B270,"~","~~"),"*","~*"),"?","~?"),'DEF_SELF_SCOUT_IMPORT'!$Q$42:$Q$1040,SUBSTITUTE(SUBSTITUTE(SUBSTITUTE($M270,"~","~~"),"*","~*"),"?","~?"),'DEF_SELF_SCOUT_IMPORT'!$F$42:$F$1040,SUBSTITUTE(SUBSTITUTE(SUBSTITUTE($N270,"~","~~"),"*","~*"),"?","~?"))/$C270)</f>
        <v>0.0</v>
      </c>
      <c r="F270" s="11">
        <f>IF($C270=0,"",AVERAGEIFS('DEF_SELF_SCOUT_IMPORT'!$I$42:$I$1040,'DEF_SELF_SCOUT_IMPORT'!$L$42:$L$1040,"Y",'DEF_SELF_SCOUT_IMPORT'!$E$42:$E$1040,SUBSTITUTE(SUBSTITUTE(SUBSTITUTE($B270,"~","~~"),"*","~*"),"?","~?"),'DEF_SELF_SCOUT_IMPORT'!$Q$42:$Q$1040,SUBSTITUTE(SUBSTITUTE(SUBSTITUTE($M270,"~","~~"),"*","~*"),"?","~?"),'DEF_SELF_SCOUT_IMPORT'!$F$42:$F$1040,SUBSTITUTE(SUBSTITUTE(SUBSTITUTE($N270,"~","~~"),"*","~*"),"?","~?")))</f>
        <v>7.0</v>
      </c>
      <c r="G270" s="10">
        <f>IF($C270=0,"",COUNTIFS('DEF_SELF_SCOUT_IMPORT'!$L$42:$L$1040,"Y",'DEF_SELF_SCOUT_IMPORT'!$E$42:$E$1040,SUBSTITUTE(SUBSTITUTE(SUBSTITUTE($B270,"~","~~"),"*","~*"),"?","~?"),'DEF_SELF_SCOUT_IMPORT'!$Q$42:$Q$1040,SUBSTITUTE(SUBSTITUTE(SUBSTITUTE($M270,"~","~~"),"*","~*"),"?","~?"),'DEF_SELF_SCOUT_IMPORT'!$F$42:$F$1040,SUBSTITUTE(SUBSTITUTE(SUBSTITUTE($N270,"~","~~"),"*","~*"),"?","~?"),'DEF_SELF_SCOUT_IMPORT'!$H$42:$H$1040,"RUSH")/$C270)</f>
        <v>1.0</v>
      </c>
      <c r="H270" s="10">
        <f>IF($C270=0,"",COUNTIFS('DEF_SELF_SCOUT_IMPORT'!$L$42:$L$1040,"Y",'DEF_SELF_SCOUT_IMPORT'!$E$42:$E$1040,SUBSTITUTE(SUBSTITUTE(SUBSTITUTE($B270,"~","~~"),"*","~*"),"?","~?"),'DEF_SELF_SCOUT_IMPORT'!$Q$42:$Q$1040,SUBSTITUTE(SUBSTITUTE(SUBSTITUTE($M270,"~","~~"),"*","~*"),"?","~?"),'DEF_SELF_SCOUT_IMPORT'!$F$42:$F$1040,SUBSTITUTE(SUBSTITUTE(SUBSTITUTE($N270,"~","~~"),"*","~*"),"?","~?"),'DEF_SELF_SCOUT_IMPORT'!$H$42:$H$1040,"DROPBACK")/$C270)</f>
        <v>0.0</v>
      </c>
      <c r="I270" s="14" t="str">
        <f>IF(C270=0,"",IF(C270&lt;=2,"TRACK",IF(C270=3,"LOW",IF(C270&lt;=6,"MEDIUM","HIGH"))))</f>
        <v>TRACK</v>
      </c>
      <c r="J270" s="11">
        <f>IF(C270=0,"",ROUND(D270*70+(1-E270)*20+MAX(0,MIN(1,(10-F270)/10))*10,1))</f>
        <v>23.0</v>
      </c>
      <c r="K270" s="14" t="str">
        <f>IF(C270=0,"No Evidence",IF(C270&lt;=2,IF(E270&gt;0,"Explosive Alert","Track Only"),IF(C270=3,"Sample Watch",IF(E270&gt;=START_HERE!$B$31,"Explosive Alert",IF(J270&gt;=80,"Strong Candidate",IF(J270&gt;=65,"Good Candidate",IF(J270&gt;=50,"Mixed / Review","Problem Call")))))))</f>
        <v>Track Only</v>
      </c>
      <c r="L270" s="9" t="str">
        <f>IF(COUNTIFS('DEF_SELF_SCOUT_IMPORT'!$L$42:$L$1040,"Y",'DEF_SELF_SCOUT_IMPORT'!$E$42:$E$1040,SUBSTITUTE(SUBSTITUTE(SUBSTITUTE($B270,"~","~~"),"*","~*"),"?","~?"),'DEF_SELF_SCOUT_IMPORT'!$Q$42:$Q$1040,SUBSTITUTE(SUBSTITUTE(SUBSTITUTE($M270,"~","~~"),"*","~*"),"?","~?"),'DEF_SELF_SCOUT_IMPORT'!$F$42:$F$1040,SUBSTITUTE(SUBSTITUTE(SUBSTITUTE($N270,"~","~~"),"*","~*"),"?","~?"),'DEF_SELF_SCOUT_IMPORT'!$J$42:$J$1040,"")&gt;0,"Unscored clean outcome; review result tags before using score.",IF(C270=0,"No matching defensive reps; film confirmation needed.",IF(K270="Explosive Alert","Explosive risk; review clips before using as answer.",IF(C270&lt;=2,"Track only; not enough sample.",IF(C270=3,IF(E270&gt;0,"Sample watch with explosive exposure; review clips and build the sample.",IF(J270&gt;=65,"Good signal, but sample is limited.","Sample watch; review clips and build the sample.")),IF(K270="Problem Call","Problem area; practice or call-sheet review.",IF(K270="Strong Candidate","Strong call-fit candidate; confirm on film.",IF(K270="Good Candidate","Good call-fit signal; confirm on film.","Mixed signal; review fit and execution on film."))))))))</f>
        <v>Track only; not enough sample.</v>
      </c>
      <c r="M270" s="8" t="s">
        <v>85</v>
      </c>
      <c r="N270" s="8" t="s">
        <v>120</v>
      </c>
      <c r="O270" s="8"/>
      <c r="P270" s="8"/>
      <c r="Q270" s="8"/>
      <c r="R270" s="8" t="s">
        <v>28</v>
      </c>
      <c r="S270" s="2" t="s">
        <v>161</v>
      </c>
      <c r="T270" s="2">
        <f>IF(C270=0,0,IF(C270&gt;=CALL_LOOKUP_BOARD!$B$7,IF(OR(K270="Problem Call",K270="Explosive Alert"),10000000,20000000),0)+IF(C270&gt;=CALL_LOOKUP_BOARD!$B$7,J270*1000+MIN(C270,999),C270*1000+J270)+0.00991500)</f>
        <v>1023.009915</v>
      </c>
      <c r="U270" s="2">
        <f>IF(C270=0,"",IF(COUNTIFS($S$186:$S$367,SUBSTITUTE(SUBSTITUTE(SUBSTITUTE(S270,"~","~~"),"*","~*"),"?","~?"),$T$186:$T$367,"&gt;"&amp;T270)=0,S270,""))</f>
        <v/>
      </c>
    </row>
    <row r="271" spans="1:21" ht="38" customHeight="1">
      <c r="A271" s="8" t="s">
        <v>160</v>
      </c>
      <c r="B271" s="8" t="s">
        <v>43</v>
      </c>
      <c r="C271" s="12">
        <f>COUNTIFS('DEF_SELF_SCOUT_IMPORT'!$L$42:$L$1040,"Y",'DEF_SELF_SCOUT_IMPORT'!$E$42:$E$1040,SUBSTITUTE(SUBSTITUTE(SUBSTITUTE($B271,"~","~~"),"*","~*"),"?","~?"),'DEF_SELF_SCOUT_IMPORT'!$Q$42:$Q$1040,SUBSTITUTE(SUBSTITUTE(SUBSTITUTE($M271,"~","~~"),"*","~*"),"?","~?"),'DEF_SELF_SCOUT_IMPORT'!$F$42:$F$1040,SUBSTITUTE(SUBSTITUTE(SUBSTITUTE($N271,"~","~~"),"*","~*"),"?","~?"))</f>
        <v>1</v>
      </c>
      <c r="D271" s="10">
        <f>IF($C271=0,"",SUMIFS('DEF_SELF_SCOUT_IMPORT'!$J$42:$J$1040,'DEF_SELF_SCOUT_IMPORT'!$L$42:$L$1040,"Y",'DEF_SELF_SCOUT_IMPORT'!$E$42:$E$1040,SUBSTITUTE(SUBSTITUTE(SUBSTITUTE($B271,"~","~~"),"*","~*"),"?","~?"),'DEF_SELF_SCOUT_IMPORT'!$Q$42:$Q$1040,SUBSTITUTE(SUBSTITUTE(SUBSTITUTE($M271,"~","~~"),"*","~*"),"?","~?"),'DEF_SELF_SCOUT_IMPORT'!$F$42:$F$1040,SUBSTITUTE(SUBSTITUTE(SUBSTITUTE($N271,"~","~~"),"*","~*"),"?","~?"))/$C271)</f>
        <v>1.0</v>
      </c>
      <c r="E271" s="10">
        <f>IF($C271=0,"",SUMIFS('DEF_SELF_SCOUT_IMPORT'!$K$42:$K$1040,'DEF_SELF_SCOUT_IMPORT'!$L$42:$L$1040,"Y",'DEF_SELF_SCOUT_IMPORT'!$E$42:$E$1040,SUBSTITUTE(SUBSTITUTE(SUBSTITUTE($B271,"~","~~"),"*","~*"),"?","~?"),'DEF_SELF_SCOUT_IMPORT'!$Q$42:$Q$1040,SUBSTITUTE(SUBSTITUTE(SUBSTITUTE($M271,"~","~~"),"*","~*"),"?","~?"),'DEF_SELF_SCOUT_IMPORT'!$F$42:$F$1040,SUBSTITUTE(SUBSTITUTE(SUBSTITUTE($N271,"~","~~"),"*","~*"),"?","~?"))/$C271)</f>
        <v>0.0</v>
      </c>
      <c r="F271" s="11">
        <f>IF($C271=0,"",AVERAGEIFS('DEF_SELF_SCOUT_IMPORT'!$I$42:$I$1040,'DEF_SELF_SCOUT_IMPORT'!$L$42:$L$1040,"Y",'DEF_SELF_SCOUT_IMPORT'!$E$42:$E$1040,SUBSTITUTE(SUBSTITUTE(SUBSTITUTE($B271,"~","~~"),"*","~*"),"?","~?"),'DEF_SELF_SCOUT_IMPORT'!$Q$42:$Q$1040,SUBSTITUTE(SUBSTITUTE(SUBSTITUTE($M271,"~","~~"),"*","~*"),"?","~?"),'DEF_SELF_SCOUT_IMPORT'!$F$42:$F$1040,SUBSTITUTE(SUBSTITUTE(SUBSTITUTE($N271,"~","~~"),"*","~*"),"?","~?")))</f>
        <v>5.0</v>
      </c>
      <c r="G271" s="10">
        <f>IF($C271=0,"",COUNTIFS('DEF_SELF_SCOUT_IMPORT'!$L$42:$L$1040,"Y",'DEF_SELF_SCOUT_IMPORT'!$E$42:$E$1040,SUBSTITUTE(SUBSTITUTE(SUBSTITUTE($B271,"~","~~"),"*","~*"),"?","~?"),'DEF_SELF_SCOUT_IMPORT'!$Q$42:$Q$1040,SUBSTITUTE(SUBSTITUTE(SUBSTITUTE($M271,"~","~~"),"*","~*"),"?","~?"),'DEF_SELF_SCOUT_IMPORT'!$F$42:$F$1040,SUBSTITUTE(SUBSTITUTE(SUBSTITUTE($N271,"~","~~"),"*","~*"),"?","~?"),'DEF_SELF_SCOUT_IMPORT'!$H$42:$H$1040,"RUSH")/$C271)</f>
        <v>0.0</v>
      </c>
      <c r="H271" s="10">
        <f>IF($C271=0,"",COUNTIFS('DEF_SELF_SCOUT_IMPORT'!$L$42:$L$1040,"Y",'DEF_SELF_SCOUT_IMPORT'!$E$42:$E$1040,SUBSTITUTE(SUBSTITUTE(SUBSTITUTE($B271,"~","~~"),"*","~*"),"?","~?"),'DEF_SELF_SCOUT_IMPORT'!$Q$42:$Q$1040,SUBSTITUTE(SUBSTITUTE(SUBSTITUTE($M271,"~","~~"),"*","~*"),"?","~?"),'DEF_SELF_SCOUT_IMPORT'!$F$42:$F$1040,SUBSTITUTE(SUBSTITUTE(SUBSTITUTE($N271,"~","~~"),"*","~*"),"?","~?"),'DEF_SELF_SCOUT_IMPORT'!$H$42:$H$1040,"DROPBACK")/$C271)</f>
        <v>1.0</v>
      </c>
      <c r="I271" s="14" t="str">
        <f>IF(C271=0,"",IF(C271&lt;=2,"TRACK",IF(C271=3,"LOW",IF(C271&lt;=6,"MEDIUM","HIGH"))))</f>
        <v>TRACK</v>
      </c>
      <c r="J271" s="11">
        <f>IF(C271=0,"",ROUND(D271*70+(1-E271)*20+MAX(0,MIN(1,(10-F271)/10))*10,1))</f>
        <v>95.0</v>
      </c>
      <c r="K271" s="14" t="str">
        <f>IF(C271=0,"No Evidence",IF(C271&lt;=2,IF(E271&gt;0,"Explosive Alert","Track Only"),IF(C271=3,"Sample Watch",IF(E271&gt;=START_HERE!$B$31,"Explosive Alert",IF(J271&gt;=80,"Strong Candidate",IF(J271&gt;=65,"Good Candidate",IF(J271&gt;=50,"Mixed / Review","Problem Call")))))))</f>
        <v>Track Only</v>
      </c>
      <c r="L271" s="9" t="str">
        <f>IF(COUNTIFS('DEF_SELF_SCOUT_IMPORT'!$L$42:$L$1040,"Y",'DEF_SELF_SCOUT_IMPORT'!$E$42:$E$1040,SUBSTITUTE(SUBSTITUTE(SUBSTITUTE($B271,"~","~~"),"*","~*"),"?","~?"),'DEF_SELF_SCOUT_IMPORT'!$Q$42:$Q$1040,SUBSTITUTE(SUBSTITUTE(SUBSTITUTE($M271,"~","~~"),"*","~*"),"?","~?"),'DEF_SELF_SCOUT_IMPORT'!$F$42:$F$1040,SUBSTITUTE(SUBSTITUTE(SUBSTITUTE($N271,"~","~~"),"*","~*"),"?","~?"),'DEF_SELF_SCOUT_IMPORT'!$J$42:$J$1040,"")&gt;0,"Unscored clean outcome; review result tags before using score.",IF(C271=0,"No matching defensive reps; film confirmation needed.",IF(K271="Explosive Alert","Explosive risk; review clips before using as answer.",IF(C271&lt;=2,"Track only; not enough sample.",IF(C271=3,IF(E271&gt;0,"Sample watch with explosive exposure; review clips and build the sample.",IF(J271&gt;=65,"Good signal, but sample is limited.","Sample watch; review clips and build the sample.")),IF(K271="Problem Call","Problem area; practice or call-sheet review.",IF(K271="Strong Candidate","Strong call-fit candidate; confirm on film.",IF(K271="Good Candidate","Good call-fit signal; confirm on film.","Mixed signal; review fit and execution on film."))))))))</f>
        <v>Track only; not enough sample.</v>
      </c>
      <c r="M271" s="8" t="s">
        <v>85</v>
      </c>
      <c r="N271" s="8" t="s">
        <v>120</v>
      </c>
      <c r="O271" s="8"/>
      <c r="P271" s="8"/>
      <c r="Q271" s="8"/>
      <c r="R271" s="8" t="s">
        <v>28</v>
      </c>
      <c r="S271" s="2" t="s">
        <v>161</v>
      </c>
      <c r="T271" s="2">
        <f>IF(C271=0,0,IF(C271&gt;=CALL_LOOKUP_BOARD!$B$7,IF(OR(K271="Problem Call",K271="Explosive Alert"),10000000,20000000),0)+IF(C271&gt;=CALL_LOOKUP_BOARD!$B$7,J271*1000+MIN(C271,999),C271*1000+J271)+0.00991400)</f>
        <v>1095.009914</v>
      </c>
      <c r="U271" s="2">
        <f>IF(C271=0,"",IF(COUNTIFS($S$186:$S$367,SUBSTITUTE(SUBSTITUTE(SUBSTITUTE(S271,"~","~~"),"*","~*"),"?","~?"),$T$186:$T$367,"&gt;"&amp;T271)=0,S271,""))</f>
        <v/>
      </c>
    </row>
    <row r="272" spans="1:21" ht="38" customHeight="1">
      <c r="A272" s="8" t="s">
        <v>160</v>
      </c>
      <c r="B272" s="8" t="s">
        <v>48</v>
      </c>
      <c r="C272" s="12">
        <f>COUNTIFS('DEF_SELF_SCOUT_IMPORT'!$L$42:$L$1040,"Y",'DEF_SELF_SCOUT_IMPORT'!$E$42:$E$1040,SUBSTITUTE(SUBSTITUTE(SUBSTITUTE($B272,"~","~~"),"*","~*"),"?","~?"),'DEF_SELF_SCOUT_IMPORT'!$Q$42:$Q$1040,SUBSTITUTE(SUBSTITUTE(SUBSTITUTE($M272,"~","~~"),"*","~*"),"?","~?"),'DEF_SELF_SCOUT_IMPORT'!$F$42:$F$1040,SUBSTITUTE(SUBSTITUTE(SUBSTITUTE($N272,"~","~~"),"*","~*"),"?","~?"))</f>
        <v>3</v>
      </c>
      <c r="D272" s="10">
        <f>IF($C272=0,"",SUMIFS('DEF_SELF_SCOUT_IMPORT'!$J$42:$J$1040,'DEF_SELF_SCOUT_IMPORT'!$L$42:$L$1040,"Y",'DEF_SELF_SCOUT_IMPORT'!$E$42:$E$1040,SUBSTITUTE(SUBSTITUTE(SUBSTITUTE($B272,"~","~~"),"*","~*"),"?","~?"),'DEF_SELF_SCOUT_IMPORT'!$Q$42:$Q$1040,SUBSTITUTE(SUBSTITUTE(SUBSTITUTE($M272,"~","~~"),"*","~*"),"?","~?"),'DEF_SELF_SCOUT_IMPORT'!$F$42:$F$1040,SUBSTITUTE(SUBSTITUTE(SUBSTITUTE($N272,"~","~~"),"*","~*"),"?","~?"))/$C272)</f>
        <v>0.3333333333333333</v>
      </c>
      <c r="E272" s="10">
        <f>IF($C272=0,"",SUMIFS('DEF_SELF_SCOUT_IMPORT'!$K$42:$K$1040,'DEF_SELF_SCOUT_IMPORT'!$L$42:$L$1040,"Y",'DEF_SELF_SCOUT_IMPORT'!$E$42:$E$1040,SUBSTITUTE(SUBSTITUTE(SUBSTITUTE($B272,"~","~~"),"*","~*"),"?","~?"),'DEF_SELF_SCOUT_IMPORT'!$Q$42:$Q$1040,SUBSTITUTE(SUBSTITUTE(SUBSTITUTE($M272,"~","~~"),"*","~*"),"?","~?"),'DEF_SELF_SCOUT_IMPORT'!$F$42:$F$1040,SUBSTITUTE(SUBSTITUTE(SUBSTITUTE($N272,"~","~~"),"*","~*"),"?","~?"))/$C272)</f>
        <v>0.0</v>
      </c>
      <c r="F272" s="11">
        <f>IF($C272=0,"",AVERAGEIFS('DEF_SELF_SCOUT_IMPORT'!$I$42:$I$1040,'DEF_SELF_SCOUT_IMPORT'!$L$42:$L$1040,"Y",'DEF_SELF_SCOUT_IMPORT'!$E$42:$E$1040,SUBSTITUTE(SUBSTITUTE(SUBSTITUTE($B272,"~","~~"),"*","~*"),"?","~?"),'DEF_SELF_SCOUT_IMPORT'!$Q$42:$Q$1040,SUBSTITUTE(SUBSTITUTE(SUBSTITUTE($M272,"~","~~"),"*","~*"),"?","~?"),'DEF_SELF_SCOUT_IMPORT'!$F$42:$F$1040,SUBSTITUTE(SUBSTITUTE(SUBSTITUTE($N272,"~","~~"),"*","~*"),"?","~?")))</f>
        <v>7.0</v>
      </c>
      <c r="G272" s="10">
        <f>IF($C272=0,"",COUNTIFS('DEF_SELF_SCOUT_IMPORT'!$L$42:$L$1040,"Y",'DEF_SELF_SCOUT_IMPORT'!$E$42:$E$1040,SUBSTITUTE(SUBSTITUTE(SUBSTITUTE($B272,"~","~~"),"*","~*"),"?","~?"),'DEF_SELF_SCOUT_IMPORT'!$Q$42:$Q$1040,SUBSTITUTE(SUBSTITUTE(SUBSTITUTE($M272,"~","~~"),"*","~*"),"?","~?"),'DEF_SELF_SCOUT_IMPORT'!$F$42:$F$1040,SUBSTITUTE(SUBSTITUTE(SUBSTITUTE($N272,"~","~~"),"*","~*"),"?","~?"),'DEF_SELF_SCOUT_IMPORT'!$H$42:$H$1040,"RUSH")/$C272)</f>
        <v>0.3333333333333333</v>
      </c>
      <c r="H272" s="10">
        <f>IF($C272=0,"",COUNTIFS('DEF_SELF_SCOUT_IMPORT'!$L$42:$L$1040,"Y",'DEF_SELF_SCOUT_IMPORT'!$E$42:$E$1040,SUBSTITUTE(SUBSTITUTE(SUBSTITUTE($B272,"~","~~"),"*","~*"),"?","~?"),'DEF_SELF_SCOUT_IMPORT'!$Q$42:$Q$1040,SUBSTITUTE(SUBSTITUTE(SUBSTITUTE($M272,"~","~~"),"*","~*"),"?","~?"),'DEF_SELF_SCOUT_IMPORT'!$F$42:$F$1040,SUBSTITUTE(SUBSTITUTE(SUBSTITUTE($N272,"~","~~"),"*","~*"),"?","~?"),'DEF_SELF_SCOUT_IMPORT'!$H$42:$H$1040,"DROPBACK")/$C272)</f>
        <v>0.6666666666666666</v>
      </c>
      <c r="I272" s="14" t="str">
        <f>IF(C272=0,"",IF(C272&lt;=2,"TRACK",IF(C272=3,"LOW",IF(C272&lt;=6,"MEDIUM","HIGH"))))</f>
        <v>LOW</v>
      </c>
      <c r="J272" s="11">
        <f>IF(C272=0,"",ROUND(D272*70+(1-E272)*20+MAX(0,MIN(1,(10-F272)/10))*10,1))</f>
        <v>46.3</v>
      </c>
      <c r="K272" s="14" t="str">
        <f>IF(C272=0,"No Evidence",IF(C272&lt;=2,IF(E272&gt;0,"Explosive Alert","Track Only"),IF(C272=3,"Sample Watch",IF(E272&gt;=START_HERE!$B$31,"Explosive Alert",IF(J272&gt;=80,"Strong Candidate",IF(J272&gt;=65,"Good Candidate",IF(J272&gt;=50,"Mixed / Review","Problem Call")))))))</f>
        <v>Sample Watch</v>
      </c>
      <c r="L272" s="9" t="str">
        <f>IF(COUNTIFS('DEF_SELF_SCOUT_IMPORT'!$L$42:$L$1040,"Y",'DEF_SELF_SCOUT_IMPORT'!$E$42:$E$1040,SUBSTITUTE(SUBSTITUTE(SUBSTITUTE($B272,"~","~~"),"*","~*"),"?","~?"),'DEF_SELF_SCOUT_IMPORT'!$Q$42:$Q$1040,SUBSTITUTE(SUBSTITUTE(SUBSTITUTE($M272,"~","~~"),"*","~*"),"?","~?"),'DEF_SELF_SCOUT_IMPORT'!$F$42:$F$1040,SUBSTITUTE(SUBSTITUTE(SUBSTITUTE($N272,"~","~~"),"*","~*"),"?","~?"),'DEF_SELF_SCOUT_IMPORT'!$J$42:$J$1040,"")&gt;0,"Unscored clean outcome; review result tags before using score.",IF(C272=0,"No matching defensive reps; film confirmation needed.",IF(K272="Explosive Alert","Explosive risk; review clips before using as answer.",IF(C272&lt;=2,"Track only; not enough sample.",IF(C272=3,IF(E272&gt;0,"Sample watch with explosive exposure; review clips and build the sample.",IF(J272&gt;=65,"Good signal, but sample is limited.","Sample watch; review clips and build the sample.")),IF(K272="Problem Call","Problem area; practice or call-sheet review.",IF(K272="Strong Candidate","Strong call-fit candidate; confirm on film.",IF(K272="Good Candidate","Good call-fit signal; confirm on film.","Mixed signal; review fit and execution on film."))))))))</f>
        <v>Sample watch; review clips and build the sample.</v>
      </c>
      <c r="M272" s="8" t="s">
        <v>85</v>
      </c>
      <c r="N272" s="8" t="s">
        <v>120</v>
      </c>
      <c r="O272" s="8"/>
      <c r="P272" s="8"/>
      <c r="Q272" s="8"/>
      <c r="R272" s="8" t="s">
        <v>28</v>
      </c>
      <c r="S272" s="2" t="s">
        <v>161</v>
      </c>
      <c r="T272" s="2">
        <f>IF(C272=0,0,IF(C272&gt;=CALL_LOOKUP_BOARD!$B$7,IF(OR(K272="Problem Call",K272="Explosive Alert"),10000000,20000000),0)+IF(C272&gt;=CALL_LOOKUP_BOARD!$B$7,J272*1000+MIN(C272,999),C272*1000+J272)+0.00991300)</f>
        <v>3046.309913</v>
      </c>
      <c r="U272" s="2">
        <f>IF(C272=0,"",IF(COUNTIFS($S$186:$S$367,SUBSTITUTE(SUBSTITUTE(SUBSTITUTE(S272,"~","~~"),"*","~*"),"?","~?"),$T$186:$T$367,"&gt;"&amp;T272)=0,S272,""))</f>
        <v/>
      </c>
    </row>
    <row r="273" spans="1:21" ht="38" customHeight="1">
      <c r="A273" s="8" t="s">
        <v>160</v>
      </c>
      <c r="B273" s="8" t="s">
        <v>34</v>
      </c>
      <c r="C273" s="12">
        <f>COUNTIFS('DEF_SELF_SCOUT_IMPORT'!$L$42:$L$1040,"Y",'DEF_SELF_SCOUT_IMPORT'!$E$42:$E$1040,SUBSTITUTE(SUBSTITUTE(SUBSTITUTE($B273,"~","~~"),"*","~*"),"?","~?"),'DEF_SELF_SCOUT_IMPORT'!$Q$42:$Q$1040,SUBSTITUTE(SUBSTITUTE(SUBSTITUTE($M273,"~","~~"),"*","~*"),"?","~?"),'DEF_SELF_SCOUT_IMPORT'!$F$42:$F$1040,SUBSTITUTE(SUBSTITUTE(SUBSTITUTE($N273,"~","~~"),"*","~*"),"?","~?"))</f>
        <v>1</v>
      </c>
      <c r="D273" s="10">
        <f>IF($C273=0,"",SUMIFS('DEF_SELF_SCOUT_IMPORT'!$J$42:$J$1040,'DEF_SELF_SCOUT_IMPORT'!$L$42:$L$1040,"Y",'DEF_SELF_SCOUT_IMPORT'!$E$42:$E$1040,SUBSTITUTE(SUBSTITUTE(SUBSTITUTE($B273,"~","~~"),"*","~*"),"?","~?"),'DEF_SELF_SCOUT_IMPORT'!$Q$42:$Q$1040,SUBSTITUTE(SUBSTITUTE(SUBSTITUTE($M273,"~","~~"),"*","~*"),"?","~?"),'DEF_SELF_SCOUT_IMPORT'!$F$42:$F$1040,SUBSTITUTE(SUBSTITUTE(SUBSTITUTE($N273,"~","~~"),"*","~*"),"?","~?"))/$C273)</f>
        <v>1.0</v>
      </c>
      <c r="E273" s="10">
        <f>IF($C273=0,"",SUMIFS('DEF_SELF_SCOUT_IMPORT'!$K$42:$K$1040,'DEF_SELF_SCOUT_IMPORT'!$L$42:$L$1040,"Y",'DEF_SELF_SCOUT_IMPORT'!$E$42:$E$1040,SUBSTITUTE(SUBSTITUTE(SUBSTITUTE($B273,"~","~~"),"*","~*"),"?","~?"),'DEF_SELF_SCOUT_IMPORT'!$Q$42:$Q$1040,SUBSTITUTE(SUBSTITUTE(SUBSTITUTE($M273,"~","~~"),"*","~*"),"?","~?"),'DEF_SELF_SCOUT_IMPORT'!$F$42:$F$1040,SUBSTITUTE(SUBSTITUTE(SUBSTITUTE($N273,"~","~~"),"*","~*"),"?","~?"))/$C273)</f>
        <v>0.0</v>
      </c>
      <c r="F273" s="11">
        <f>IF($C273=0,"",AVERAGEIFS('DEF_SELF_SCOUT_IMPORT'!$I$42:$I$1040,'DEF_SELF_SCOUT_IMPORT'!$L$42:$L$1040,"Y",'DEF_SELF_SCOUT_IMPORT'!$E$42:$E$1040,SUBSTITUTE(SUBSTITUTE(SUBSTITUTE($B273,"~","~~"),"*","~*"),"?","~?"),'DEF_SELF_SCOUT_IMPORT'!$Q$42:$Q$1040,SUBSTITUTE(SUBSTITUTE(SUBSTITUTE($M273,"~","~~"),"*","~*"),"?","~?"),'DEF_SELF_SCOUT_IMPORT'!$F$42:$F$1040,SUBSTITUTE(SUBSTITUTE(SUBSTITUTE($N273,"~","~~"),"*","~*"),"?","~?")))</f>
        <v>0.0</v>
      </c>
      <c r="G273" s="10">
        <f>IF($C273=0,"",COUNTIFS('DEF_SELF_SCOUT_IMPORT'!$L$42:$L$1040,"Y",'DEF_SELF_SCOUT_IMPORT'!$E$42:$E$1040,SUBSTITUTE(SUBSTITUTE(SUBSTITUTE($B273,"~","~~"),"*","~*"),"?","~?"),'DEF_SELF_SCOUT_IMPORT'!$Q$42:$Q$1040,SUBSTITUTE(SUBSTITUTE(SUBSTITUTE($M273,"~","~~"),"*","~*"),"?","~?"),'DEF_SELF_SCOUT_IMPORT'!$F$42:$F$1040,SUBSTITUTE(SUBSTITUTE(SUBSTITUTE($N273,"~","~~"),"*","~*"),"?","~?"),'DEF_SELF_SCOUT_IMPORT'!$H$42:$H$1040,"RUSH")/$C273)</f>
        <v>0.0</v>
      </c>
      <c r="H273" s="10">
        <f>IF($C273=0,"",COUNTIFS('DEF_SELF_SCOUT_IMPORT'!$L$42:$L$1040,"Y",'DEF_SELF_SCOUT_IMPORT'!$E$42:$E$1040,SUBSTITUTE(SUBSTITUTE(SUBSTITUTE($B273,"~","~~"),"*","~*"),"?","~?"),'DEF_SELF_SCOUT_IMPORT'!$Q$42:$Q$1040,SUBSTITUTE(SUBSTITUTE(SUBSTITUTE($M273,"~","~~"),"*","~*"),"?","~?"),'DEF_SELF_SCOUT_IMPORT'!$F$42:$F$1040,SUBSTITUTE(SUBSTITUTE(SUBSTITUTE($N273,"~","~~"),"*","~*"),"?","~?"),'DEF_SELF_SCOUT_IMPORT'!$H$42:$H$1040,"DROPBACK")/$C273)</f>
        <v>1.0</v>
      </c>
      <c r="I273" s="14" t="str">
        <f>IF(C273=0,"",IF(C273&lt;=2,"TRACK",IF(C273=3,"LOW",IF(C273&lt;=6,"MEDIUM","HIGH"))))</f>
        <v>TRACK</v>
      </c>
      <c r="J273" s="11">
        <f>IF(C273=0,"",ROUND(D273*70+(1-E273)*20+MAX(0,MIN(1,(10-F273)/10))*10,1))</f>
        <v>100.0</v>
      </c>
      <c r="K273" s="14" t="str">
        <f>IF(C273=0,"No Evidence",IF(C273&lt;=2,IF(E273&gt;0,"Explosive Alert","Track Only"),IF(C273=3,"Sample Watch",IF(E273&gt;=START_HERE!$B$31,"Explosive Alert",IF(J273&gt;=80,"Strong Candidate",IF(J273&gt;=65,"Good Candidate",IF(J273&gt;=50,"Mixed / Review","Problem Call")))))))</f>
        <v>Track Only</v>
      </c>
      <c r="L273" s="9" t="str">
        <f>IF(COUNTIFS('DEF_SELF_SCOUT_IMPORT'!$L$42:$L$1040,"Y",'DEF_SELF_SCOUT_IMPORT'!$E$42:$E$1040,SUBSTITUTE(SUBSTITUTE(SUBSTITUTE($B273,"~","~~"),"*","~*"),"?","~?"),'DEF_SELF_SCOUT_IMPORT'!$Q$42:$Q$1040,SUBSTITUTE(SUBSTITUTE(SUBSTITUTE($M273,"~","~~"),"*","~*"),"?","~?"),'DEF_SELF_SCOUT_IMPORT'!$F$42:$F$1040,SUBSTITUTE(SUBSTITUTE(SUBSTITUTE($N273,"~","~~"),"*","~*"),"?","~?"),'DEF_SELF_SCOUT_IMPORT'!$J$42:$J$1040,"")&gt;0,"Unscored clean outcome; review result tags before using score.",IF(C273=0,"No matching defensive reps; film confirmation needed.",IF(K273="Explosive Alert","Explosive risk; review clips before using as answer.",IF(C273&lt;=2,"Track only; not enough sample.",IF(C273=3,IF(E273&gt;0,"Sample watch with explosive exposure; review clips and build the sample.",IF(J273&gt;=65,"Good signal, but sample is limited.","Sample watch; review clips and build the sample.")),IF(K273="Problem Call","Problem area; practice or call-sheet review.",IF(K273="Strong Candidate","Strong call-fit candidate; confirm on film.",IF(K273="Good Candidate","Good call-fit signal; confirm on film.","Mixed signal; review fit and execution on film."))))))))</f>
        <v>Track only; not enough sample.</v>
      </c>
      <c r="M273" s="8" t="s">
        <v>85</v>
      </c>
      <c r="N273" s="8" t="s">
        <v>120</v>
      </c>
      <c r="O273" s="8"/>
      <c r="P273" s="8"/>
      <c r="Q273" s="8"/>
      <c r="R273" s="8" t="s">
        <v>28</v>
      </c>
      <c r="S273" s="2" t="s">
        <v>161</v>
      </c>
      <c r="T273" s="2">
        <f>IF(C273=0,0,IF(C273&gt;=CALL_LOOKUP_BOARD!$B$7,IF(OR(K273="Problem Call",K273="Explosive Alert"),10000000,20000000),0)+IF(C273&gt;=CALL_LOOKUP_BOARD!$B$7,J273*1000+MIN(C273,999),C273*1000+J273)+0.00991200)</f>
        <v>1100.009912</v>
      </c>
      <c r="U273" s="2">
        <f>IF(C273=0,"",IF(COUNTIFS($S$186:$S$367,SUBSTITUTE(SUBSTITUTE(SUBSTITUTE(S273,"~","~~"),"*","~*"),"?","~?"),$T$186:$T$367,"&gt;"&amp;T273)=0,S273,""))</f>
        <v/>
      </c>
    </row>
    <row r="274" spans="1:21" ht="38" customHeight="1">
      <c r="A274" s="8" t="s">
        <v>160</v>
      </c>
      <c r="B274" s="8" t="s">
        <v>49</v>
      </c>
      <c r="C274" s="12">
        <f>COUNTIFS('DEF_SELF_SCOUT_IMPORT'!$L$42:$L$1040,"Y",'DEF_SELF_SCOUT_IMPORT'!$E$42:$E$1040,SUBSTITUTE(SUBSTITUTE(SUBSTITUTE($B274,"~","~~"),"*","~*"),"?","~?"),'DEF_SELF_SCOUT_IMPORT'!$Q$42:$Q$1040,SUBSTITUTE(SUBSTITUTE(SUBSTITUTE($M274,"~","~~"),"*","~*"),"?","~?"),'DEF_SELF_SCOUT_IMPORT'!$F$42:$F$1040,SUBSTITUTE(SUBSTITUTE(SUBSTITUTE($N274,"~","~~"),"*","~*"),"?","~?"))</f>
        <v>1</v>
      </c>
      <c r="D274" s="10">
        <f>IF($C274=0,"",SUMIFS('DEF_SELF_SCOUT_IMPORT'!$J$42:$J$1040,'DEF_SELF_SCOUT_IMPORT'!$L$42:$L$1040,"Y",'DEF_SELF_SCOUT_IMPORT'!$E$42:$E$1040,SUBSTITUTE(SUBSTITUTE(SUBSTITUTE($B274,"~","~~"),"*","~*"),"?","~?"),'DEF_SELF_SCOUT_IMPORT'!$Q$42:$Q$1040,SUBSTITUTE(SUBSTITUTE(SUBSTITUTE($M274,"~","~~"),"*","~*"),"?","~?"),'DEF_SELF_SCOUT_IMPORT'!$F$42:$F$1040,SUBSTITUTE(SUBSTITUTE(SUBSTITUTE($N274,"~","~~"),"*","~*"),"?","~?"))/$C274)</f>
        <v>1.0</v>
      </c>
      <c r="E274" s="10">
        <f>IF($C274=0,"",SUMIFS('DEF_SELF_SCOUT_IMPORT'!$K$42:$K$1040,'DEF_SELF_SCOUT_IMPORT'!$L$42:$L$1040,"Y",'DEF_SELF_SCOUT_IMPORT'!$E$42:$E$1040,SUBSTITUTE(SUBSTITUTE(SUBSTITUTE($B274,"~","~~"),"*","~*"),"?","~?"),'DEF_SELF_SCOUT_IMPORT'!$Q$42:$Q$1040,SUBSTITUTE(SUBSTITUTE(SUBSTITUTE($M274,"~","~~"),"*","~*"),"?","~?"),'DEF_SELF_SCOUT_IMPORT'!$F$42:$F$1040,SUBSTITUTE(SUBSTITUTE(SUBSTITUTE($N274,"~","~~"),"*","~*"),"?","~?"))/$C274)</f>
        <v>0.0</v>
      </c>
      <c r="F274" s="11">
        <f>IF($C274=0,"",AVERAGEIFS('DEF_SELF_SCOUT_IMPORT'!$I$42:$I$1040,'DEF_SELF_SCOUT_IMPORT'!$L$42:$L$1040,"Y",'DEF_SELF_SCOUT_IMPORT'!$E$42:$E$1040,SUBSTITUTE(SUBSTITUTE(SUBSTITUTE($B274,"~","~~"),"*","~*"),"?","~?"),'DEF_SELF_SCOUT_IMPORT'!$Q$42:$Q$1040,SUBSTITUTE(SUBSTITUTE(SUBSTITUTE($M274,"~","~~"),"*","~*"),"?","~?"),'DEF_SELF_SCOUT_IMPORT'!$F$42:$F$1040,SUBSTITUTE(SUBSTITUTE(SUBSTITUTE($N274,"~","~~"),"*","~*"),"?","~?")))</f>
        <v>0.0</v>
      </c>
      <c r="G274" s="10">
        <f>IF($C274=0,"",COUNTIFS('DEF_SELF_SCOUT_IMPORT'!$L$42:$L$1040,"Y",'DEF_SELF_SCOUT_IMPORT'!$E$42:$E$1040,SUBSTITUTE(SUBSTITUTE(SUBSTITUTE($B274,"~","~~"),"*","~*"),"?","~?"),'DEF_SELF_SCOUT_IMPORT'!$Q$42:$Q$1040,SUBSTITUTE(SUBSTITUTE(SUBSTITUTE($M274,"~","~~"),"*","~*"),"?","~?"),'DEF_SELF_SCOUT_IMPORT'!$F$42:$F$1040,SUBSTITUTE(SUBSTITUTE(SUBSTITUTE($N274,"~","~~"),"*","~*"),"?","~?"),'DEF_SELF_SCOUT_IMPORT'!$H$42:$H$1040,"RUSH")/$C274)</f>
        <v>0.0</v>
      </c>
      <c r="H274" s="10">
        <f>IF($C274=0,"",COUNTIFS('DEF_SELF_SCOUT_IMPORT'!$L$42:$L$1040,"Y",'DEF_SELF_SCOUT_IMPORT'!$E$42:$E$1040,SUBSTITUTE(SUBSTITUTE(SUBSTITUTE($B274,"~","~~"),"*","~*"),"?","~?"),'DEF_SELF_SCOUT_IMPORT'!$Q$42:$Q$1040,SUBSTITUTE(SUBSTITUTE(SUBSTITUTE($M274,"~","~~"),"*","~*"),"?","~?"),'DEF_SELF_SCOUT_IMPORT'!$F$42:$F$1040,SUBSTITUTE(SUBSTITUTE(SUBSTITUTE($N274,"~","~~"),"*","~*"),"?","~?"),'DEF_SELF_SCOUT_IMPORT'!$H$42:$H$1040,"DROPBACK")/$C274)</f>
        <v>1.0</v>
      </c>
      <c r="I274" s="14" t="str">
        <f>IF(C274=0,"",IF(C274&lt;=2,"TRACK",IF(C274=3,"LOW",IF(C274&lt;=6,"MEDIUM","HIGH"))))</f>
        <v>TRACK</v>
      </c>
      <c r="J274" s="11">
        <f>IF(C274=0,"",ROUND(D274*70+(1-E274)*20+MAX(0,MIN(1,(10-F274)/10))*10,1))</f>
        <v>100.0</v>
      </c>
      <c r="K274" s="14" t="str">
        <f>IF(C274=0,"No Evidence",IF(C274&lt;=2,IF(E274&gt;0,"Explosive Alert","Track Only"),IF(C274=3,"Sample Watch",IF(E274&gt;=START_HERE!$B$31,"Explosive Alert",IF(J274&gt;=80,"Strong Candidate",IF(J274&gt;=65,"Good Candidate",IF(J274&gt;=50,"Mixed / Review","Problem Call")))))))</f>
        <v>Track Only</v>
      </c>
      <c r="L274" s="9" t="str">
        <f>IF(COUNTIFS('DEF_SELF_SCOUT_IMPORT'!$L$42:$L$1040,"Y",'DEF_SELF_SCOUT_IMPORT'!$E$42:$E$1040,SUBSTITUTE(SUBSTITUTE(SUBSTITUTE($B274,"~","~~"),"*","~*"),"?","~?"),'DEF_SELF_SCOUT_IMPORT'!$Q$42:$Q$1040,SUBSTITUTE(SUBSTITUTE(SUBSTITUTE($M274,"~","~~"),"*","~*"),"?","~?"),'DEF_SELF_SCOUT_IMPORT'!$F$42:$F$1040,SUBSTITUTE(SUBSTITUTE(SUBSTITUTE($N274,"~","~~"),"*","~*"),"?","~?"),'DEF_SELF_SCOUT_IMPORT'!$J$42:$J$1040,"")&gt;0,"Unscored clean outcome; review result tags before using score.",IF(C274=0,"No matching defensive reps; film confirmation needed.",IF(K274="Explosive Alert","Explosive risk; review clips before using as answer.",IF(C274&lt;=2,"Track only; not enough sample.",IF(C274=3,IF(E274&gt;0,"Sample watch with explosive exposure; review clips and build the sample.",IF(J274&gt;=65,"Good signal, but sample is limited.","Sample watch; review clips and build the sample.")),IF(K274="Problem Call","Problem area; practice or call-sheet review.",IF(K274="Strong Candidate","Strong call-fit candidate; confirm on film.",IF(K274="Good Candidate","Good call-fit signal; confirm on film.","Mixed signal; review fit and execution on film."))))))))</f>
        <v>Track only; not enough sample.</v>
      </c>
      <c r="M274" s="8" t="s">
        <v>85</v>
      </c>
      <c r="N274" s="8" t="s">
        <v>120</v>
      </c>
      <c r="O274" s="8"/>
      <c r="P274" s="8"/>
      <c r="Q274" s="8"/>
      <c r="R274" s="8" t="s">
        <v>28</v>
      </c>
      <c r="S274" s="2" t="s">
        <v>161</v>
      </c>
      <c r="T274" s="2">
        <f>IF(C274=0,0,IF(C274&gt;=CALL_LOOKUP_BOARD!$B$7,IF(OR(K274="Problem Call",K274="Explosive Alert"),10000000,20000000),0)+IF(C274&gt;=CALL_LOOKUP_BOARD!$B$7,J274*1000+MIN(C274,999),C274*1000+J274)+0.00991100)</f>
        <v>1100.009911</v>
      </c>
      <c r="U274" s="2">
        <f>IF(C274=0,"",IF(COUNTIFS($S$186:$S$367,SUBSTITUTE(SUBSTITUTE(SUBSTITUTE(S274,"~","~~"),"*","~*"),"?","~?"),$T$186:$T$367,"&gt;"&amp;T274)=0,S274,""))</f>
        <v/>
      </c>
    </row>
    <row r="275" spans="1:21" ht="38" customHeight="1">
      <c r="A275" s="8" t="s">
        <v>160</v>
      </c>
      <c r="B275" s="8" t="s">
        <v>87</v>
      </c>
      <c r="C275" s="12">
        <f>COUNTIFS('DEF_SELF_SCOUT_IMPORT'!$L$42:$L$1040,"Y",'DEF_SELF_SCOUT_IMPORT'!$E$42:$E$1040,SUBSTITUTE(SUBSTITUTE(SUBSTITUTE($B275,"~","~~"),"*","~*"),"?","~?"),'DEF_SELF_SCOUT_IMPORT'!$Q$42:$Q$1040,SUBSTITUTE(SUBSTITUTE(SUBSTITUTE($M275,"~","~~"),"*","~*"),"?","~?"),'DEF_SELF_SCOUT_IMPORT'!$F$42:$F$1040,SUBSTITUTE(SUBSTITUTE(SUBSTITUTE($N275,"~","~~"),"*","~*"),"?","~?"))</f>
        <v>1</v>
      </c>
      <c r="D275" s="10">
        <f>IF($C275=0,"",SUMIFS('DEF_SELF_SCOUT_IMPORT'!$J$42:$J$1040,'DEF_SELF_SCOUT_IMPORT'!$L$42:$L$1040,"Y",'DEF_SELF_SCOUT_IMPORT'!$E$42:$E$1040,SUBSTITUTE(SUBSTITUTE(SUBSTITUTE($B275,"~","~~"),"*","~*"),"?","~?"),'DEF_SELF_SCOUT_IMPORT'!$Q$42:$Q$1040,SUBSTITUTE(SUBSTITUTE(SUBSTITUTE($M275,"~","~~"),"*","~*"),"?","~?"),'DEF_SELF_SCOUT_IMPORT'!$F$42:$F$1040,SUBSTITUTE(SUBSTITUTE(SUBSTITUTE($N275,"~","~~"),"*","~*"),"?","~?"))/$C275)</f>
        <v>0.0</v>
      </c>
      <c r="E275" s="10">
        <f>IF($C275=0,"",SUMIFS('DEF_SELF_SCOUT_IMPORT'!$K$42:$K$1040,'DEF_SELF_SCOUT_IMPORT'!$L$42:$L$1040,"Y",'DEF_SELF_SCOUT_IMPORT'!$E$42:$E$1040,SUBSTITUTE(SUBSTITUTE(SUBSTITUTE($B275,"~","~~"),"*","~*"),"?","~?"),'DEF_SELF_SCOUT_IMPORT'!$Q$42:$Q$1040,SUBSTITUTE(SUBSTITUTE(SUBSTITUTE($M275,"~","~~"),"*","~*"),"?","~?"),'DEF_SELF_SCOUT_IMPORT'!$F$42:$F$1040,SUBSTITUTE(SUBSTITUTE(SUBSTITUTE($N275,"~","~~"),"*","~*"),"?","~?"))/$C275)</f>
        <v>0.0</v>
      </c>
      <c r="F275" s="11">
        <f>IF($C275=0,"",AVERAGEIFS('DEF_SELF_SCOUT_IMPORT'!$I$42:$I$1040,'DEF_SELF_SCOUT_IMPORT'!$L$42:$L$1040,"Y",'DEF_SELF_SCOUT_IMPORT'!$E$42:$E$1040,SUBSTITUTE(SUBSTITUTE(SUBSTITUTE($B275,"~","~~"),"*","~*"),"?","~?"),'DEF_SELF_SCOUT_IMPORT'!$Q$42:$Q$1040,SUBSTITUTE(SUBSTITUTE(SUBSTITUTE($M275,"~","~~"),"*","~*"),"?","~?"),'DEF_SELF_SCOUT_IMPORT'!$F$42:$F$1040,SUBSTITUTE(SUBSTITUTE(SUBSTITUTE($N275,"~","~~"),"*","~*"),"?","~?")))</f>
        <v>5.0</v>
      </c>
      <c r="G275" s="10">
        <f>IF($C275=0,"",COUNTIFS('DEF_SELF_SCOUT_IMPORT'!$L$42:$L$1040,"Y",'DEF_SELF_SCOUT_IMPORT'!$E$42:$E$1040,SUBSTITUTE(SUBSTITUTE(SUBSTITUTE($B275,"~","~~"),"*","~*"),"?","~?"),'DEF_SELF_SCOUT_IMPORT'!$Q$42:$Q$1040,SUBSTITUTE(SUBSTITUTE(SUBSTITUTE($M275,"~","~~"),"*","~*"),"?","~?"),'DEF_SELF_SCOUT_IMPORT'!$F$42:$F$1040,SUBSTITUTE(SUBSTITUTE(SUBSTITUTE($N275,"~","~~"),"*","~*"),"?","~?"),'DEF_SELF_SCOUT_IMPORT'!$H$42:$H$1040,"RUSH")/$C275)</f>
        <v>1.0</v>
      </c>
      <c r="H275" s="10">
        <f>IF($C275=0,"",COUNTIFS('DEF_SELF_SCOUT_IMPORT'!$L$42:$L$1040,"Y",'DEF_SELF_SCOUT_IMPORT'!$E$42:$E$1040,SUBSTITUTE(SUBSTITUTE(SUBSTITUTE($B275,"~","~~"),"*","~*"),"?","~?"),'DEF_SELF_SCOUT_IMPORT'!$Q$42:$Q$1040,SUBSTITUTE(SUBSTITUTE(SUBSTITUTE($M275,"~","~~"),"*","~*"),"?","~?"),'DEF_SELF_SCOUT_IMPORT'!$F$42:$F$1040,SUBSTITUTE(SUBSTITUTE(SUBSTITUTE($N275,"~","~~"),"*","~*"),"?","~?"),'DEF_SELF_SCOUT_IMPORT'!$H$42:$H$1040,"DROPBACK")/$C275)</f>
        <v>0.0</v>
      </c>
      <c r="I275" s="14" t="str">
        <f>IF(C275=0,"",IF(C275&lt;=2,"TRACK",IF(C275=3,"LOW",IF(C275&lt;=6,"MEDIUM","HIGH"))))</f>
        <v>TRACK</v>
      </c>
      <c r="J275" s="11">
        <f>IF(C275=0,"",ROUND(D275*70+(1-E275)*20+MAX(0,MIN(1,(10-F275)/10))*10,1))</f>
        <v>25.0</v>
      </c>
      <c r="K275" s="14" t="str">
        <f>IF(C275=0,"No Evidence",IF(C275&lt;=2,IF(E275&gt;0,"Explosive Alert","Track Only"),IF(C275=3,"Sample Watch",IF(E275&gt;=START_HERE!$B$31,"Explosive Alert",IF(J275&gt;=80,"Strong Candidate",IF(J275&gt;=65,"Good Candidate",IF(J275&gt;=50,"Mixed / Review","Problem Call")))))))</f>
        <v>Track Only</v>
      </c>
      <c r="L275" s="9" t="str">
        <f>IF(COUNTIFS('DEF_SELF_SCOUT_IMPORT'!$L$42:$L$1040,"Y",'DEF_SELF_SCOUT_IMPORT'!$E$42:$E$1040,SUBSTITUTE(SUBSTITUTE(SUBSTITUTE($B275,"~","~~"),"*","~*"),"?","~?"),'DEF_SELF_SCOUT_IMPORT'!$Q$42:$Q$1040,SUBSTITUTE(SUBSTITUTE(SUBSTITUTE($M275,"~","~~"),"*","~*"),"?","~?"),'DEF_SELF_SCOUT_IMPORT'!$F$42:$F$1040,SUBSTITUTE(SUBSTITUTE(SUBSTITUTE($N275,"~","~~"),"*","~*"),"?","~?"),'DEF_SELF_SCOUT_IMPORT'!$J$42:$J$1040,"")&gt;0,"Unscored clean outcome; review result tags before using score.",IF(C275=0,"No matching defensive reps; film confirmation needed.",IF(K275="Explosive Alert","Explosive risk; review clips before using as answer.",IF(C275&lt;=2,"Track only; not enough sample.",IF(C275=3,IF(E275&gt;0,"Sample watch with explosive exposure; review clips and build the sample.",IF(J275&gt;=65,"Good signal, but sample is limited.","Sample watch; review clips and build the sample.")),IF(K275="Problem Call","Problem area; practice or call-sheet review.",IF(K275="Strong Candidate","Strong call-fit candidate; confirm on film.",IF(K275="Good Candidate","Good call-fit signal; confirm on film.","Mixed signal; review fit and execution on film."))))))))</f>
        <v>Track only; not enough sample.</v>
      </c>
      <c r="M275" s="8" t="s">
        <v>85</v>
      </c>
      <c r="N275" s="8" t="s">
        <v>120</v>
      </c>
      <c r="O275" s="8"/>
      <c r="P275" s="8"/>
      <c r="Q275" s="8"/>
      <c r="R275" s="8" t="s">
        <v>28</v>
      </c>
      <c r="S275" s="2" t="s">
        <v>161</v>
      </c>
      <c r="T275" s="2">
        <f>IF(C275=0,0,IF(C275&gt;=CALL_LOOKUP_BOARD!$B$7,IF(OR(K275="Problem Call",K275="Explosive Alert"),10000000,20000000),0)+IF(C275&gt;=CALL_LOOKUP_BOARD!$B$7,J275*1000+MIN(C275,999),C275*1000+J275)+0.00991000)</f>
        <v>1025.00991</v>
      </c>
      <c r="U275" s="2">
        <f>IF(C275=0,"",IF(COUNTIFS($S$186:$S$367,SUBSTITUTE(SUBSTITUTE(SUBSTITUTE(S275,"~","~~"),"*","~*"),"?","~?"),$T$186:$T$367,"&gt;"&amp;T275)=0,S275,""))</f>
        <v/>
      </c>
    </row>
    <row r="276" spans="1:21" ht="38" customHeight="1">
      <c r="A276" s="8" t="s">
        <v>160</v>
      </c>
      <c r="B276" s="8" t="s">
        <v>79</v>
      </c>
      <c r="C276" s="12">
        <f>COUNTIFS('DEF_SELF_SCOUT_IMPORT'!$L$42:$L$1040,"Y",'DEF_SELF_SCOUT_IMPORT'!$E$42:$E$1040,SUBSTITUTE(SUBSTITUTE(SUBSTITUTE($B276,"~","~~"),"*","~*"),"?","~?"),'DEF_SELF_SCOUT_IMPORT'!$Q$42:$Q$1040,SUBSTITUTE(SUBSTITUTE(SUBSTITUTE($M276,"~","~~"),"*","~*"),"?","~?"),'DEF_SELF_SCOUT_IMPORT'!$F$42:$F$1040,SUBSTITUTE(SUBSTITUTE(SUBSTITUTE($N276,"~","~~"),"*","~*"),"?","~?"))</f>
        <v>1</v>
      </c>
      <c r="D276" s="10">
        <f>IF($C276=0,"",SUMIFS('DEF_SELF_SCOUT_IMPORT'!$J$42:$J$1040,'DEF_SELF_SCOUT_IMPORT'!$L$42:$L$1040,"Y",'DEF_SELF_SCOUT_IMPORT'!$E$42:$E$1040,SUBSTITUTE(SUBSTITUTE(SUBSTITUTE($B276,"~","~~"),"*","~*"),"?","~?"),'DEF_SELF_SCOUT_IMPORT'!$Q$42:$Q$1040,SUBSTITUTE(SUBSTITUTE(SUBSTITUTE($M276,"~","~~"),"*","~*"),"?","~?"),'DEF_SELF_SCOUT_IMPORT'!$F$42:$F$1040,SUBSTITUTE(SUBSTITUTE(SUBSTITUTE($N276,"~","~~"),"*","~*"),"?","~?"))/$C276)</f>
        <v>1.0</v>
      </c>
      <c r="E276" s="10">
        <f>IF($C276=0,"",SUMIFS('DEF_SELF_SCOUT_IMPORT'!$K$42:$K$1040,'DEF_SELF_SCOUT_IMPORT'!$L$42:$L$1040,"Y",'DEF_SELF_SCOUT_IMPORT'!$E$42:$E$1040,SUBSTITUTE(SUBSTITUTE(SUBSTITUTE($B276,"~","~~"),"*","~*"),"?","~?"),'DEF_SELF_SCOUT_IMPORT'!$Q$42:$Q$1040,SUBSTITUTE(SUBSTITUTE(SUBSTITUTE($M276,"~","~~"),"*","~*"),"?","~?"),'DEF_SELF_SCOUT_IMPORT'!$F$42:$F$1040,SUBSTITUTE(SUBSTITUTE(SUBSTITUTE($N276,"~","~~"),"*","~*"),"?","~?"))/$C276)</f>
        <v>0.0</v>
      </c>
      <c r="F276" s="11">
        <f>IF($C276=0,"",AVERAGEIFS('DEF_SELF_SCOUT_IMPORT'!$I$42:$I$1040,'DEF_SELF_SCOUT_IMPORT'!$L$42:$L$1040,"Y",'DEF_SELF_SCOUT_IMPORT'!$E$42:$E$1040,SUBSTITUTE(SUBSTITUTE(SUBSTITUTE($B276,"~","~~"),"*","~*"),"?","~?"),'DEF_SELF_SCOUT_IMPORT'!$Q$42:$Q$1040,SUBSTITUTE(SUBSTITUTE(SUBSTITUTE($M276,"~","~~"),"*","~*"),"?","~?"),'DEF_SELF_SCOUT_IMPORT'!$F$42:$F$1040,SUBSTITUTE(SUBSTITUTE(SUBSTITUTE($N276,"~","~~"),"*","~*"),"?","~?")))</f>
        <v>0.0</v>
      </c>
      <c r="G276" s="10">
        <f>IF($C276=0,"",COUNTIFS('DEF_SELF_SCOUT_IMPORT'!$L$42:$L$1040,"Y",'DEF_SELF_SCOUT_IMPORT'!$E$42:$E$1040,SUBSTITUTE(SUBSTITUTE(SUBSTITUTE($B276,"~","~~"),"*","~*"),"?","~?"),'DEF_SELF_SCOUT_IMPORT'!$Q$42:$Q$1040,SUBSTITUTE(SUBSTITUTE(SUBSTITUTE($M276,"~","~~"),"*","~*"),"?","~?"),'DEF_SELF_SCOUT_IMPORT'!$F$42:$F$1040,SUBSTITUTE(SUBSTITUTE(SUBSTITUTE($N276,"~","~~"),"*","~*"),"?","~?"),'DEF_SELF_SCOUT_IMPORT'!$H$42:$H$1040,"RUSH")/$C276)</f>
        <v>0.0</v>
      </c>
      <c r="H276" s="10">
        <f>IF($C276=0,"",COUNTIFS('DEF_SELF_SCOUT_IMPORT'!$L$42:$L$1040,"Y",'DEF_SELF_SCOUT_IMPORT'!$E$42:$E$1040,SUBSTITUTE(SUBSTITUTE(SUBSTITUTE($B276,"~","~~"),"*","~*"),"?","~?"),'DEF_SELF_SCOUT_IMPORT'!$Q$42:$Q$1040,SUBSTITUTE(SUBSTITUTE(SUBSTITUTE($M276,"~","~~"),"*","~*"),"?","~?"),'DEF_SELF_SCOUT_IMPORT'!$F$42:$F$1040,SUBSTITUTE(SUBSTITUTE(SUBSTITUTE($N276,"~","~~"),"*","~*"),"?","~?"),'DEF_SELF_SCOUT_IMPORT'!$H$42:$H$1040,"DROPBACK")/$C276)</f>
        <v>1.0</v>
      </c>
      <c r="I276" s="14" t="str">
        <f>IF(C276=0,"",IF(C276&lt;=2,"TRACK",IF(C276=3,"LOW",IF(C276&lt;=6,"MEDIUM","HIGH"))))</f>
        <v>TRACK</v>
      </c>
      <c r="J276" s="11">
        <f>IF(C276=0,"",ROUND(D276*70+(1-E276)*20+MAX(0,MIN(1,(10-F276)/10))*10,1))</f>
        <v>100.0</v>
      </c>
      <c r="K276" s="14" t="str">
        <f>IF(C276=0,"No Evidence",IF(C276&lt;=2,IF(E276&gt;0,"Explosive Alert","Track Only"),IF(C276=3,"Sample Watch",IF(E276&gt;=START_HERE!$B$31,"Explosive Alert",IF(J276&gt;=80,"Strong Candidate",IF(J276&gt;=65,"Good Candidate",IF(J276&gt;=50,"Mixed / Review","Problem Call")))))))</f>
        <v>Track Only</v>
      </c>
      <c r="L276" s="9" t="str">
        <f>IF(COUNTIFS('DEF_SELF_SCOUT_IMPORT'!$L$42:$L$1040,"Y",'DEF_SELF_SCOUT_IMPORT'!$E$42:$E$1040,SUBSTITUTE(SUBSTITUTE(SUBSTITUTE($B276,"~","~~"),"*","~*"),"?","~?"),'DEF_SELF_SCOUT_IMPORT'!$Q$42:$Q$1040,SUBSTITUTE(SUBSTITUTE(SUBSTITUTE($M276,"~","~~"),"*","~*"),"?","~?"),'DEF_SELF_SCOUT_IMPORT'!$F$42:$F$1040,SUBSTITUTE(SUBSTITUTE(SUBSTITUTE($N276,"~","~~"),"*","~*"),"?","~?"),'DEF_SELF_SCOUT_IMPORT'!$J$42:$J$1040,"")&gt;0,"Unscored clean outcome; review result tags before using score.",IF(C276=0,"No matching defensive reps; film confirmation needed.",IF(K276="Explosive Alert","Explosive risk; review clips before using as answer.",IF(C276&lt;=2,"Track only; not enough sample.",IF(C276=3,IF(E276&gt;0,"Sample watch with explosive exposure; review clips and build the sample.",IF(J276&gt;=65,"Good signal, but sample is limited.","Sample watch; review clips and build the sample.")),IF(K276="Problem Call","Problem area; practice or call-sheet review.",IF(K276="Strong Candidate","Strong call-fit candidate; confirm on film.",IF(K276="Good Candidate","Good call-fit signal; confirm on film.","Mixed signal; review fit and execution on film."))))))))</f>
        <v>Track only; not enough sample.</v>
      </c>
      <c r="M276" s="8" t="s">
        <v>85</v>
      </c>
      <c r="N276" s="8" t="s">
        <v>120</v>
      </c>
      <c r="O276" s="8"/>
      <c r="P276" s="8"/>
      <c r="Q276" s="8"/>
      <c r="R276" s="8" t="s">
        <v>28</v>
      </c>
      <c r="S276" s="2" t="s">
        <v>161</v>
      </c>
      <c r="T276" s="2">
        <f>IF(C276=0,0,IF(C276&gt;=CALL_LOOKUP_BOARD!$B$7,IF(OR(K276="Problem Call",K276="Explosive Alert"),10000000,20000000),0)+IF(C276&gt;=CALL_LOOKUP_BOARD!$B$7,J276*1000+MIN(C276,999),C276*1000+J276)+0.00990900)</f>
        <v>1100.009909</v>
      </c>
      <c r="U276" s="2">
        <f>IF(C276=0,"",IF(COUNTIFS($S$186:$S$367,SUBSTITUTE(SUBSTITUTE(SUBSTITUTE(S276,"~","~~"),"*","~*"),"?","~?"),$T$186:$T$367,"&gt;"&amp;T276)=0,S276,""))</f>
        <v/>
      </c>
    </row>
    <row r="277" spans="1:21" ht="38" customHeight="1">
      <c r="A277" s="8" t="s">
        <v>160</v>
      </c>
      <c r="B277" s="8" t="s">
        <v>53</v>
      </c>
      <c r="C277" s="12">
        <f>COUNTIFS('DEF_SELF_SCOUT_IMPORT'!$L$42:$L$1040,"Y",'DEF_SELF_SCOUT_IMPORT'!$E$42:$E$1040,SUBSTITUTE(SUBSTITUTE(SUBSTITUTE($B277,"~","~~"),"*","~*"),"?","~?"),'DEF_SELF_SCOUT_IMPORT'!$Q$42:$Q$1040,SUBSTITUTE(SUBSTITUTE(SUBSTITUTE($M277,"~","~~"),"*","~*"),"?","~?"),'DEF_SELF_SCOUT_IMPORT'!$F$42:$F$1040,SUBSTITUTE(SUBSTITUTE(SUBSTITUTE($N277,"~","~~"),"*","~*"),"?","~?"))</f>
        <v>1</v>
      </c>
      <c r="D277" s="10">
        <f>IF($C277=0,"",SUMIFS('DEF_SELF_SCOUT_IMPORT'!$J$42:$J$1040,'DEF_SELF_SCOUT_IMPORT'!$L$42:$L$1040,"Y",'DEF_SELF_SCOUT_IMPORT'!$E$42:$E$1040,SUBSTITUTE(SUBSTITUTE(SUBSTITUTE($B277,"~","~~"),"*","~*"),"?","~?"),'DEF_SELF_SCOUT_IMPORT'!$Q$42:$Q$1040,SUBSTITUTE(SUBSTITUTE(SUBSTITUTE($M277,"~","~~"),"*","~*"),"?","~?"),'DEF_SELF_SCOUT_IMPORT'!$F$42:$F$1040,SUBSTITUTE(SUBSTITUTE(SUBSTITUTE($N277,"~","~~"),"*","~*"),"?","~?"))/$C277)</f>
        <v>1.0</v>
      </c>
      <c r="E277" s="10">
        <f>IF($C277=0,"",SUMIFS('DEF_SELF_SCOUT_IMPORT'!$K$42:$K$1040,'DEF_SELF_SCOUT_IMPORT'!$L$42:$L$1040,"Y",'DEF_SELF_SCOUT_IMPORT'!$E$42:$E$1040,SUBSTITUTE(SUBSTITUTE(SUBSTITUTE($B277,"~","~~"),"*","~*"),"?","~?"),'DEF_SELF_SCOUT_IMPORT'!$Q$42:$Q$1040,SUBSTITUTE(SUBSTITUTE(SUBSTITUTE($M277,"~","~~"),"*","~*"),"?","~?"),'DEF_SELF_SCOUT_IMPORT'!$F$42:$F$1040,SUBSTITUTE(SUBSTITUTE(SUBSTITUTE($N277,"~","~~"),"*","~*"),"?","~?"))/$C277)</f>
        <v>0.0</v>
      </c>
      <c r="F277" s="11">
        <f>IF($C277=0,"",AVERAGEIFS('DEF_SELF_SCOUT_IMPORT'!$I$42:$I$1040,'DEF_SELF_SCOUT_IMPORT'!$L$42:$L$1040,"Y",'DEF_SELF_SCOUT_IMPORT'!$E$42:$E$1040,SUBSTITUTE(SUBSTITUTE(SUBSTITUTE($B277,"~","~~"),"*","~*"),"?","~?"),'DEF_SELF_SCOUT_IMPORT'!$Q$42:$Q$1040,SUBSTITUTE(SUBSTITUTE(SUBSTITUTE($M277,"~","~~"),"*","~*"),"?","~?"),'DEF_SELF_SCOUT_IMPORT'!$F$42:$F$1040,SUBSTITUTE(SUBSTITUTE(SUBSTITUTE($N277,"~","~~"),"*","~*"),"?","~?")))</f>
        <v>6.0</v>
      </c>
      <c r="G277" s="10">
        <f>IF($C277=0,"",COUNTIFS('DEF_SELF_SCOUT_IMPORT'!$L$42:$L$1040,"Y",'DEF_SELF_SCOUT_IMPORT'!$E$42:$E$1040,SUBSTITUTE(SUBSTITUTE(SUBSTITUTE($B277,"~","~~"),"*","~*"),"?","~?"),'DEF_SELF_SCOUT_IMPORT'!$Q$42:$Q$1040,SUBSTITUTE(SUBSTITUTE(SUBSTITUTE($M277,"~","~~"),"*","~*"),"?","~?"),'DEF_SELF_SCOUT_IMPORT'!$F$42:$F$1040,SUBSTITUTE(SUBSTITUTE(SUBSTITUTE($N277,"~","~~"),"*","~*"),"?","~?"),'DEF_SELF_SCOUT_IMPORT'!$H$42:$H$1040,"RUSH")/$C277)</f>
        <v>0.0</v>
      </c>
      <c r="H277" s="10">
        <f>IF($C277=0,"",COUNTIFS('DEF_SELF_SCOUT_IMPORT'!$L$42:$L$1040,"Y",'DEF_SELF_SCOUT_IMPORT'!$E$42:$E$1040,SUBSTITUTE(SUBSTITUTE(SUBSTITUTE($B277,"~","~~"),"*","~*"),"?","~?"),'DEF_SELF_SCOUT_IMPORT'!$Q$42:$Q$1040,SUBSTITUTE(SUBSTITUTE(SUBSTITUTE($M277,"~","~~"),"*","~*"),"?","~?"),'DEF_SELF_SCOUT_IMPORT'!$F$42:$F$1040,SUBSTITUTE(SUBSTITUTE(SUBSTITUTE($N277,"~","~~"),"*","~*"),"?","~?"),'DEF_SELF_SCOUT_IMPORT'!$H$42:$H$1040,"DROPBACK")/$C277)</f>
        <v>1.0</v>
      </c>
      <c r="I277" s="14" t="str">
        <f>IF(C277=0,"",IF(C277&lt;=2,"TRACK",IF(C277=3,"LOW",IF(C277&lt;=6,"MEDIUM","HIGH"))))</f>
        <v>TRACK</v>
      </c>
      <c r="J277" s="11">
        <f>IF(C277=0,"",ROUND(D277*70+(1-E277)*20+MAX(0,MIN(1,(10-F277)/10))*10,1))</f>
        <v>94.0</v>
      </c>
      <c r="K277" s="14" t="str">
        <f>IF(C277=0,"No Evidence",IF(C277&lt;=2,IF(E277&gt;0,"Explosive Alert","Track Only"),IF(C277=3,"Sample Watch",IF(E277&gt;=START_HERE!$B$31,"Explosive Alert",IF(J277&gt;=80,"Strong Candidate",IF(J277&gt;=65,"Good Candidate",IF(J277&gt;=50,"Mixed / Review","Problem Call")))))))</f>
        <v>Track Only</v>
      </c>
      <c r="L277" s="9" t="str">
        <f>IF(COUNTIFS('DEF_SELF_SCOUT_IMPORT'!$L$42:$L$1040,"Y",'DEF_SELF_SCOUT_IMPORT'!$E$42:$E$1040,SUBSTITUTE(SUBSTITUTE(SUBSTITUTE($B277,"~","~~"),"*","~*"),"?","~?"),'DEF_SELF_SCOUT_IMPORT'!$Q$42:$Q$1040,SUBSTITUTE(SUBSTITUTE(SUBSTITUTE($M277,"~","~~"),"*","~*"),"?","~?"),'DEF_SELF_SCOUT_IMPORT'!$F$42:$F$1040,SUBSTITUTE(SUBSTITUTE(SUBSTITUTE($N277,"~","~~"),"*","~*"),"?","~?"),'DEF_SELF_SCOUT_IMPORT'!$J$42:$J$1040,"")&gt;0,"Unscored clean outcome; review result tags before using score.",IF(C277=0,"No matching defensive reps; film confirmation needed.",IF(K277="Explosive Alert","Explosive risk; review clips before using as answer.",IF(C277&lt;=2,"Track only; not enough sample.",IF(C277=3,IF(E277&gt;0,"Sample watch with explosive exposure; review clips and build the sample.",IF(J277&gt;=65,"Good signal, but sample is limited.","Sample watch; review clips and build the sample.")),IF(K277="Problem Call","Problem area; practice or call-sheet review.",IF(K277="Strong Candidate","Strong call-fit candidate; confirm on film.",IF(K277="Good Candidate","Good call-fit signal; confirm on film.","Mixed signal; review fit and execution on film."))))))))</f>
        <v>Track only; not enough sample.</v>
      </c>
      <c r="M277" s="8" t="s">
        <v>85</v>
      </c>
      <c r="N277" s="8" t="s">
        <v>120</v>
      </c>
      <c r="O277" s="8"/>
      <c r="P277" s="8"/>
      <c r="Q277" s="8"/>
      <c r="R277" s="8" t="s">
        <v>28</v>
      </c>
      <c r="S277" s="2" t="s">
        <v>161</v>
      </c>
      <c r="T277" s="2">
        <f>IF(C277=0,0,IF(C277&gt;=CALL_LOOKUP_BOARD!$B$7,IF(OR(K277="Problem Call",K277="Explosive Alert"),10000000,20000000),0)+IF(C277&gt;=CALL_LOOKUP_BOARD!$B$7,J277*1000+MIN(C277,999),C277*1000+J277)+0.00990800)</f>
        <v>1094.009908</v>
      </c>
      <c r="U277" s="2">
        <f>IF(C277=0,"",IF(COUNTIFS($S$186:$S$367,SUBSTITUTE(SUBSTITUTE(SUBSTITUTE(S277,"~","~~"),"*","~*"),"?","~?"),$T$186:$T$367,"&gt;"&amp;T277)=0,S277,""))</f>
        <v/>
      </c>
    </row>
    <row r="278" spans="1:21" ht="38" customHeight="1">
      <c r="A278" s="8" t="s">
        <v>160</v>
      </c>
      <c r="B278" s="8" t="s">
        <v>56</v>
      </c>
      <c r="C278" s="12">
        <f>COUNTIFS('DEF_SELF_SCOUT_IMPORT'!$L$42:$L$1040,"Y",'DEF_SELF_SCOUT_IMPORT'!$E$42:$E$1040,SUBSTITUTE(SUBSTITUTE(SUBSTITUTE($B278,"~","~~"),"*","~*"),"?","~?"),'DEF_SELF_SCOUT_IMPORT'!$Q$42:$Q$1040,SUBSTITUTE(SUBSTITUTE(SUBSTITUTE($M278,"~","~~"),"*","~*"),"?","~?"),'DEF_SELF_SCOUT_IMPORT'!$F$42:$F$1040,SUBSTITUTE(SUBSTITUTE(SUBSTITUTE($N278,"~","~~"),"*","~*"),"?","~?"))</f>
        <v>1</v>
      </c>
      <c r="D278" s="10">
        <f>IF($C278=0,"",SUMIFS('DEF_SELF_SCOUT_IMPORT'!$J$42:$J$1040,'DEF_SELF_SCOUT_IMPORT'!$L$42:$L$1040,"Y",'DEF_SELF_SCOUT_IMPORT'!$E$42:$E$1040,SUBSTITUTE(SUBSTITUTE(SUBSTITUTE($B278,"~","~~"),"*","~*"),"?","~?"),'DEF_SELF_SCOUT_IMPORT'!$Q$42:$Q$1040,SUBSTITUTE(SUBSTITUTE(SUBSTITUTE($M278,"~","~~"),"*","~*"),"?","~?"),'DEF_SELF_SCOUT_IMPORT'!$F$42:$F$1040,SUBSTITUTE(SUBSTITUTE(SUBSTITUTE($N278,"~","~~"),"*","~*"),"?","~?"))/$C278)</f>
        <v>0.0</v>
      </c>
      <c r="E278" s="10">
        <f>IF($C278=0,"",SUMIFS('DEF_SELF_SCOUT_IMPORT'!$K$42:$K$1040,'DEF_SELF_SCOUT_IMPORT'!$L$42:$L$1040,"Y",'DEF_SELF_SCOUT_IMPORT'!$E$42:$E$1040,SUBSTITUTE(SUBSTITUTE(SUBSTITUTE($B278,"~","~~"),"*","~*"),"?","~?"),'DEF_SELF_SCOUT_IMPORT'!$Q$42:$Q$1040,SUBSTITUTE(SUBSTITUTE(SUBSTITUTE($M278,"~","~~"),"*","~*"),"?","~?"),'DEF_SELF_SCOUT_IMPORT'!$F$42:$F$1040,SUBSTITUTE(SUBSTITUTE(SUBSTITUTE($N278,"~","~~"),"*","~*"),"?","~?"))/$C278)</f>
        <v>0.0</v>
      </c>
      <c r="F278" s="11">
        <f>IF($C278=0,"",AVERAGEIFS('DEF_SELF_SCOUT_IMPORT'!$I$42:$I$1040,'DEF_SELF_SCOUT_IMPORT'!$L$42:$L$1040,"Y",'DEF_SELF_SCOUT_IMPORT'!$E$42:$E$1040,SUBSTITUTE(SUBSTITUTE(SUBSTITUTE($B278,"~","~~"),"*","~*"),"?","~?"),'DEF_SELF_SCOUT_IMPORT'!$Q$42:$Q$1040,SUBSTITUTE(SUBSTITUTE(SUBSTITUTE($M278,"~","~~"),"*","~*"),"?","~?"),'DEF_SELF_SCOUT_IMPORT'!$F$42:$F$1040,SUBSTITUTE(SUBSTITUTE(SUBSTITUTE($N278,"~","~~"),"*","~*"),"?","~?")))</f>
        <v>9.0</v>
      </c>
      <c r="G278" s="10">
        <f>IF($C278=0,"",COUNTIFS('DEF_SELF_SCOUT_IMPORT'!$L$42:$L$1040,"Y",'DEF_SELF_SCOUT_IMPORT'!$E$42:$E$1040,SUBSTITUTE(SUBSTITUTE(SUBSTITUTE($B278,"~","~~"),"*","~*"),"?","~?"),'DEF_SELF_SCOUT_IMPORT'!$Q$42:$Q$1040,SUBSTITUTE(SUBSTITUTE(SUBSTITUTE($M278,"~","~~"),"*","~*"),"?","~?"),'DEF_SELF_SCOUT_IMPORT'!$F$42:$F$1040,SUBSTITUTE(SUBSTITUTE(SUBSTITUTE($N278,"~","~~"),"*","~*"),"?","~?"),'DEF_SELF_SCOUT_IMPORT'!$H$42:$H$1040,"RUSH")/$C278)</f>
        <v>0.0</v>
      </c>
      <c r="H278" s="10">
        <f>IF($C278=0,"",COUNTIFS('DEF_SELF_SCOUT_IMPORT'!$L$42:$L$1040,"Y",'DEF_SELF_SCOUT_IMPORT'!$E$42:$E$1040,SUBSTITUTE(SUBSTITUTE(SUBSTITUTE($B278,"~","~~"),"*","~*"),"?","~?"),'DEF_SELF_SCOUT_IMPORT'!$Q$42:$Q$1040,SUBSTITUTE(SUBSTITUTE(SUBSTITUTE($M278,"~","~~"),"*","~*"),"?","~?"),'DEF_SELF_SCOUT_IMPORT'!$F$42:$F$1040,SUBSTITUTE(SUBSTITUTE(SUBSTITUTE($N278,"~","~~"),"*","~*"),"?","~?"),'DEF_SELF_SCOUT_IMPORT'!$H$42:$H$1040,"DROPBACK")/$C278)</f>
        <v>1.0</v>
      </c>
      <c r="I278" s="14" t="str">
        <f>IF(C278=0,"",IF(C278&lt;=2,"TRACK",IF(C278=3,"LOW",IF(C278&lt;=6,"MEDIUM","HIGH"))))</f>
        <v>TRACK</v>
      </c>
      <c r="J278" s="11">
        <f>IF(C278=0,"",ROUND(D278*70+(1-E278)*20+MAX(0,MIN(1,(10-F278)/10))*10,1))</f>
        <v>21.0</v>
      </c>
      <c r="K278" s="14" t="str">
        <f>IF(C278=0,"No Evidence",IF(C278&lt;=2,IF(E278&gt;0,"Explosive Alert","Track Only"),IF(C278=3,"Sample Watch",IF(E278&gt;=START_HERE!$B$31,"Explosive Alert",IF(J278&gt;=80,"Strong Candidate",IF(J278&gt;=65,"Good Candidate",IF(J278&gt;=50,"Mixed / Review","Problem Call")))))))</f>
        <v>Track Only</v>
      </c>
      <c r="L278" s="9" t="str">
        <f>IF(COUNTIFS('DEF_SELF_SCOUT_IMPORT'!$L$42:$L$1040,"Y",'DEF_SELF_SCOUT_IMPORT'!$E$42:$E$1040,SUBSTITUTE(SUBSTITUTE(SUBSTITUTE($B278,"~","~~"),"*","~*"),"?","~?"),'DEF_SELF_SCOUT_IMPORT'!$Q$42:$Q$1040,SUBSTITUTE(SUBSTITUTE(SUBSTITUTE($M278,"~","~~"),"*","~*"),"?","~?"),'DEF_SELF_SCOUT_IMPORT'!$F$42:$F$1040,SUBSTITUTE(SUBSTITUTE(SUBSTITUTE($N278,"~","~~"),"*","~*"),"?","~?"),'DEF_SELF_SCOUT_IMPORT'!$J$42:$J$1040,"")&gt;0,"Unscored clean outcome; review result tags before using score.",IF(C278=0,"No matching defensive reps; film confirmation needed.",IF(K278="Explosive Alert","Explosive risk; review clips before using as answer.",IF(C278&lt;=2,"Track only; not enough sample.",IF(C278=3,IF(E278&gt;0,"Sample watch with explosive exposure; review clips and build the sample.",IF(J278&gt;=65,"Good signal, but sample is limited.","Sample watch; review clips and build the sample.")),IF(K278="Problem Call","Problem area; practice or call-sheet review.",IF(K278="Strong Candidate","Strong call-fit candidate; confirm on film.",IF(K278="Good Candidate","Good call-fit signal; confirm on film.","Mixed signal; review fit and execution on film."))))))))</f>
        <v>Track only; not enough sample.</v>
      </c>
      <c r="M278" s="8" t="s">
        <v>85</v>
      </c>
      <c r="N278" s="8" t="s">
        <v>120</v>
      </c>
      <c r="O278" s="8"/>
      <c r="P278" s="8"/>
      <c r="Q278" s="8"/>
      <c r="R278" s="8" t="s">
        <v>28</v>
      </c>
      <c r="S278" s="2" t="s">
        <v>161</v>
      </c>
      <c r="T278" s="2">
        <f>IF(C278=0,0,IF(C278&gt;=CALL_LOOKUP_BOARD!$B$7,IF(OR(K278="Problem Call",K278="Explosive Alert"),10000000,20000000),0)+IF(C278&gt;=CALL_LOOKUP_BOARD!$B$7,J278*1000+MIN(C278,999),C278*1000+J278)+0.00990700)</f>
        <v>1021.009907</v>
      </c>
      <c r="U278" s="2">
        <f>IF(C278=0,"",IF(COUNTIFS($S$186:$S$367,SUBSTITUTE(SUBSTITUTE(SUBSTITUTE(S278,"~","~~"),"*","~*"),"?","~?"),$T$186:$T$367,"&gt;"&amp;T278)=0,S278,""))</f>
        <v/>
      </c>
    </row>
    <row r="279" spans="1:21" ht="38" customHeight="1">
      <c r="A279" s="8" t="s">
        <v>160</v>
      </c>
      <c r="B279" s="8" t="s">
        <v>60</v>
      </c>
      <c r="C279" s="12">
        <f>COUNTIFS('DEF_SELF_SCOUT_IMPORT'!$L$42:$L$1040,"Y",'DEF_SELF_SCOUT_IMPORT'!$E$42:$E$1040,SUBSTITUTE(SUBSTITUTE(SUBSTITUTE($B279,"~","~~"),"*","~*"),"?","~?"),'DEF_SELF_SCOUT_IMPORT'!$Q$42:$Q$1040,SUBSTITUTE(SUBSTITUTE(SUBSTITUTE($M279,"~","~~"),"*","~*"),"?","~?"),'DEF_SELF_SCOUT_IMPORT'!$F$42:$F$1040,SUBSTITUTE(SUBSTITUTE(SUBSTITUTE($N279,"~","~~"),"*","~*"),"?","~?"))</f>
        <v>3</v>
      </c>
      <c r="D279" s="10">
        <f>IF($C279=0,"",SUMIFS('DEF_SELF_SCOUT_IMPORT'!$J$42:$J$1040,'DEF_SELF_SCOUT_IMPORT'!$L$42:$L$1040,"Y",'DEF_SELF_SCOUT_IMPORT'!$E$42:$E$1040,SUBSTITUTE(SUBSTITUTE(SUBSTITUTE($B279,"~","~~"),"*","~*"),"?","~?"),'DEF_SELF_SCOUT_IMPORT'!$Q$42:$Q$1040,SUBSTITUTE(SUBSTITUTE(SUBSTITUTE($M279,"~","~~"),"*","~*"),"?","~?"),'DEF_SELF_SCOUT_IMPORT'!$F$42:$F$1040,SUBSTITUTE(SUBSTITUTE(SUBSTITUTE($N279,"~","~~"),"*","~*"),"?","~?"))/$C279)</f>
        <v>0.6666666666666666</v>
      </c>
      <c r="E279" s="10">
        <f>IF($C279=0,"",SUMIFS('DEF_SELF_SCOUT_IMPORT'!$K$42:$K$1040,'DEF_SELF_SCOUT_IMPORT'!$L$42:$L$1040,"Y",'DEF_SELF_SCOUT_IMPORT'!$E$42:$E$1040,SUBSTITUTE(SUBSTITUTE(SUBSTITUTE($B279,"~","~~"),"*","~*"),"?","~?"),'DEF_SELF_SCOUT_IMPORT'!$Q$42:$Q$1040,SUBSTITUTE(SUBSTITUTE(SUBSTITUTE($M279,"~","~~"),"*","~*"),"?","~?"),'DEF_SELF_SCOUT_IMPORT'!$F$42:$F$1040,SUBSTITUTE(SUBSTITUTE(SUBSTITUTE($N279,"~","~~"),"*","~*"),"?","~?"))/$C279)</f>
        <v>0.0</v>
      </c>
      <c r="F279" s="11">
        <f>IF($C279=0,"",AVERAGEIFS('DEF_SELF_SCOUT_IMPORT'!$I$42:$I$1040,'DEF_SELF_SCOUT_IMPORT'!$L$42:$L$1040,"Y",'DEF_SELF_SCOUT_IMPORT'!$E$42:$E$1040,SUBSTITUTE(SUBSTITUTE(SUBSTITUTE($B279,"~","~~"),"*","~*"),"?","~?"),'DEF_SELF_SCOUT_IMPORT'!$Q$42:$Q$1040,SUBSTITUTE(SUBSTITUTE(SUBSTITUTE($M279,"~","~~"),"*","~*"),"?","~?"),'DEF_SELF_SCOUT_IMPORT'!$F$42:$F$1040,SUBSTITUTE(SUBSTITUTE(SUBSTITUTE($N279,"~","~~"),"*","~*"),"?","~?")))</f>
        <v>3.3333333333333335</v>
      </c>
      <c r="G279" s="10">
        <f>IF($C279=0,"",COUNTIFS('DEF_SELF_SCOUT_IMPORT'!$L$42:$L$1040,"Y",'DEF_SELF_SCOUT_IMPORT'!$E$42:$E$1040,SUBSTITUTE(SUBSTITUTE(SUBSTITUTE($B279,"~","~~"),"*","~*"),"?","~?"),'DEF_SELF_SCOUT_IMPORT'!$Q$42:$Q$1040,SUBSTITUTE(SUBSTITUTE(SUBSTITUTE($M279,"~","~~"),"*","~*"),"?","~?"),'DEF_SELF_SCOUT_IMPORT'!$F$42:$F$1040,SUBSTITUTE(SUBSTITUTE(SUBSTITUTE($N279,"~","~~"),"*","~*"),"?","~?"),'DEF_SELF_SCOUT_IMPORT'!$H$42:$H$1040,"RUSH")/$C279)</f>
        <v>0.3333333333333333</v>
      </c>
      <c r="H279" s="10">
        <f>IF($C279=0,"",COUNTIFS('DEF_SELF_SCOUT_IMPORT'!$L$42:$L$1040,"Y",'DEF_SELF_SCOUT_IMPORT'!$E$42:$E$1040,SUBSTITUTE(SUBSTITUTE(SUBSTITUTE($B279,"~","~~"),"*","~*"),"?","~?"),'DEF_SELF_SCOUT_IMPORT'!$Q$42:$Q$1040,SUBSTITUTE(SUBSTITUTE(SUBSTITUTE($M279,"~","~~"),"*","~*"),"?","~?"),'DEF_SELF_SCOUT_IMPORT'!$F$42:$F$1040,SUBSTITUTE(SUBSTITUTE(SUBSTITUTE($N279,"~","~~"),"*","~*"),"?","~?"),'DEF_SELF_SCOUT_IMPORT'!$H$42:$H$1040,"DROPBACK")/$C279)</f>
        <v>0.6666666666666666</v>
      </c>
      <c r="I279" s="14" t="str">
        <f>IF(C279=0,"",IF(C279&lt;=2,"TRACK",IF(C279=3,"LOW",IF(C279&lt;=6,"MEDIUM","HIGH"))))</f>
        <v>LOW</v>
      </c>
      <c r="J279" s="11">
        <f>IF(C279=0,"",ROUND(D279*70+(1-E279)*20+MAX(0,MIN(1,(10-F279)/10))*10,1))</f>
        <v>73.3</v>
      </c>
      <c r="K279" s="14" t="str">
        <f>IF(C279=0,"No Evidence",IF(C279&lt;=2,IF(E279&gt;0,"Explosive Alert","Track Only"),IF(C279=3,"Sample Watch",IF(E279&gt;=START_HERE!$B$31,"Explosive Alert",IF(J279&gt;=80,"Strong Candidate",IF(J279&gt;=65,"Good Candidate",IF(J279&gt;=50,"Mixed / Review","Problem Call")))))))</f>
        <v>Sample Watch</v>
      </c>
      <c r="L279" s="9" t="str">
        <f>IF(COUNTIFS('DEF_SELF_SCOUT_IMPORT'!$L$42:$L$1040,"Y",'DEF_SELF_SCOUT_IMPORT'!$E$42:$E$1040,SUBSTITUTE(SUBSTITUTE(SUBSTITUTE($B279,"~","~~"),"*","~*"),"?","~?"),'DEF_SELF_SCOUT_IMPORT'!$Q$42:$Q$1040,SUBSTITUTE(SUBSTITUTE(SUBSTITUTE($M279,"~","~~"),"*","~*"),"?","~?"),'DEF_SELF_SCOUT_IMPORT'!$F$42:$F$1040,SUBSTITUTE(SUBSTITUTE(SUBSTITUTE($N279,"~","~~"),"*","~*"),"?","~?"),'DEF_SELF_SCOUT_IMPORT'!$J$42:$J$1040,"")&gt;0,"Unscored clean outcome; review result tags before using score.",IF(C279=0,"No matching defensive reps; film confirmation needed.",IF(K279="Explosive Alert","Explosive risk; review clips before using as answer.",IF(C279&lt;=2,"Track only; not enough sample.",IF(C279=3,IF(E279&gt;0,"Sample watch with explosive exposure; review clips and build the sample.",IF(J279&gt;=65,"Good signal, but sample is limited.","Sample watch; review clips and build the sample.")),IF(K279="Problem Call","Problem area; practice or call-sheet review.",IF(K279="Strong Candidate","Strong call-fit candidate; confirm on film.",IF(K279="Good Candidate","Good call-fit signal; confirm on film.","Mixed signal; review fit and execution on film."))))))))</f>
        <v>Good signal, but sample is limited.</v>
      </c>
      <c r="M279" s="8" t="s">
        <v>85</v>
      </c>
      <c r="N279" s="8" t="s">
        <v>120</v>
      </c>
      <c r="O279" s="8"/>
      <c r="P279" s="8"/>
      <c r="Q279" s="8"/>
      <c r="R279" s="8" t="s">
        <v>28</v>
      </c>
      <c r="S279" s="2" t="s">
        <v>161</v>
      </c>
      <c r="T279" s="2">
        <f>IF(C279=0,0,IF(C279&gt;=CALL_LOOKUP_BOARD!$B$7,IF(OR(K279="Problem Call",K279="Explosive Alert"),10000000,20000000),0)+IF(C279&gt;=CALL_LOOKUP_BOARD!$B$7,J279*1000+MIN(C279,999),C279*1000+J279)+0.00990600)</f>
        <v>3073.309906</v>
      </c>
      <c r="U279" s="2">
        <f>IF(C279=0,"",IF(COUNTIFS($S$186:$S$367,SUBSTITUTE(SUBSTITUTE(SUBSTITUTE(S279,"~","~~"),"*","~*"),"?","~?"),$T$186:$T$367,"&gt;"&amp;T279)=0,S279,""))</f>
        <v/>
      </c>
    </row>
    <row r="280" spans="1:21" ht="38" customHeight="1">
      <c r="A280" s="8" t="s">
        <v>160</v>
      </c>
      <c r="B280" s="8" t="s">
        <v>73</v>
      </c>
      <c r="C280" s="12">
        <f>COUNTIFS('DEF_SELF_SCOUT_IMPORT'!$L$42:$L$1040,"Y",'DEF_SELF_SCOUT_IMPORT'!$E$42:$E$1040,SUBSTITUTE(SUBSTITUTE(SUBSTITUTE($B280,"~","~~"),"*","~*"),"?","~?"),'DEF_SELF_SCOUT_IMPORT'!$Q$42:$Q$1040,SUBSTITUTE(SUBSTITUTE(SUBSTITUTE($M280,"~","~~"),"*","~*"),"?","~?"),'DEF_SELF_SCOUT_IMPORT'!$F$42:$F$1040,SUBSTITUTE(SUBSTITUTE(SUBSTITUTE($N280,"~","~~"),"*","~*"),"?","~?"))</f>
        <v>1</v>
      </c>
      <c r="D280" s="10">
        <f>IF($C280=0,"",SUMIFS('DEF_SELF_SCOUT_IMPORT'!$J$42:$J$1040,'DEF_SELF_SCOUT_IMPORT'!$L$42:$L$1040,"Y",'DEF_SELF_SCOUT_IMPORT'!$E$42:$E$1040,SUBSTITUTE(SUBSTITUTE(SUBSTITUTE($B280,"~","~~"),"*","~*"),"?","~?"),'DEF_SELF_SCOUT_IMPORT'!$Q$42:$Q$1040,SUBSTITUTE(SUBSTITUTE(SUBSTITUTE($M280,"~","~~"),"*","~*"),"?","~?"),'DEF_SELF_SCOUT_IMPORT'!$F$42:$F$1040,SUBSTITUTE(SUBSTITUTE(SUBSTITUTE($N280,"~","~~"),"*","~*"),"?","~?"))/$C280)</f>
        <v>0.0</v>
      </c>
      <c r="E280" s="10">
        <f>IF($C280=0,"",SUMIFS('DEF_SELF_SCOUT_IMPORT'!$K$42:$K$1040,'DEF_SELF_SCOUT_IMPORT'!$L$42:$L$1040,"Y",'DEF_SELF_SCOUT_IMPORT'!$E$42:$E$1040,SUBSTITUTE(SUBSTITUTE(SUBSTITUTE($B280,"~","~~"),"*","~*"),"?","~?"),'DEF_SELF_SCOUT_IMPORT'!$Q$42:$Q$1040,SUBSTITUTE(SUBSTITUTE(SUBSTITUTE($M280,"~","~~"),"*","~*"),"?","~?"),'DEF_SELF_SCOUT_IMPORT'!$F$42:$F$1040,SUBSTITUTE(SUBSTITUTE(SUBSTITUTE($N280,"~","~~"),"*","~*"),"?","~?"))/$C280)</f>
        <v>1.0</v>
      </c>
      <c r="F280" s="11">
        <f>IF($C280=0,"",AVERAGEIFS('DEF_SELF_SCOUT_IMPORT'!$I$42:$I$1040,'DEF_SELF_SCOUT_IMPORT'!$L$42:$L$1040,"Y",'DEF_SELF_SCOUT_IMPORT'!$E$42:$E$1040,SUBSTITUTE(SUBSTITUTE(SUBSTITUTE($B280,"~","~~"),"*","~*"),"?","~?"),'DEF_SELF_SCOUT_IMPORT'!$Q$42:$Q$1040,SUBSTITUTE(SUBSTITUTE(SUBSTITUTE($M280,"~","~~"),"*","~*"),"?","~?"),'DEF_SELF_SCOUT_IMPORT'!$F$42:$F$1040,SUBSTITUTE(SUBSTITUTE(SUBSTITUTE($N280,"~","~~"),"*","~*"),"?","~?")))</f>
        <v>16.0</v>
      </c>
      <c r="G280" s="10">
        <f>IF($C280=0,"",COUNTIFS('DEF_SELF_SCOUT_IMPORT'!$L$42:$L$1040,"Y",'DEF_SELF_SCOUT_IMPORT'!$E$42:$E$1040,SUBSTITUTE(SUBSTITUTE(SUBSTITUTE($B280,"~","~~"),"*","~*"),"?","~?"),'DEF_SELF_SCOUT_IMPORT'!$Q$42:$Q$1040,SUBSTITUTE(SUBSTITUTE(SUBSTITUTE($M280,"~","~~"),"*","~*"),"?","~?"),'DEF_SELF_SCOUT_IMPORT'!$F$42:$F$1040,SUBSTITUTE(SUBSTITUTE(SUBSTITUTE($N280,"~","~~"),"*","~*"),"?","~?"),'DEF_SELF_SCOUT_IMPORT'!$H$42:$H$1040,"RUSH")/$C280)</f>
        <v>0.0</v>
      </c>
      <c r="H280" s="10">
        <f>IF($C280=0,"",COUNTIFS('DEF_SELF_SCOUT_IMPORT'!$L$42:$L$1040,"Y",'DEF_SELF_SCOUT_IMPORT'!$E$42:$E$1040,SUBSTITUTE(SUBSTITUTE(SUBSTITUTE($B280,"~","~~"),"*","~*"),"?","~?"),'DEF_SELF_SCOUT_IMPORT'!$Q$42:$Q$1040,SUBSTITUTE(SUBSTITUTE(SUBSTITUTE($M280,"~","~~"),"*","~*"),"?","~?"),'DEF_SELF_SCOUT_IMPORT'!$F$42:$F$1040,SUBSTITUTE(SUBSTITUTE(SUBSTITUTE($N280,"~","~~"),"*","~*"),"?","~?"),'DEF_SELF_SCOUT_IMPORT'!$H$42:$H$1040,"DROPBACK")/$C280)</f>
        <v>1.0</v>
      </c>
      <c r="I280" s="14" t="str">
        <f>IF(C280=0,"",IF(C280&lt;=2,"TRACK",IF(C280=3,"LOW",IF(C280&lt;=6,"MEDIUM","HIGH"))))</f>
        <v>TRACK</v>
      </c>
      <c r="J280" s="11">
        <f>IF(C280=0,"",ROUND(D280*70+(1-E280)*20+MAX(0,MIN(1,(10-F280)/10))*10,1))</f>
        <v>0.0</v>
      </c>
      <c r="K280" s="14" t="str">
        <f>IF(C280=0,"No Evidence",IF(C280&lt;=2,IF(E280&gt;0,"Explosive Alert","Track Only"),IF(C280=3,"Sample Watch",IF(E280&gt;=START_HERE!$B$31,"Explosive Alert",IF(J280&gt;=80,"Strong Candidate",IF(J280&gt;=65,"Good Candidate",IF(J280&gt;=50,"Mixed / Review","Problem Call")))))))</f>
        <v>Explosive Alert</v>
      </c>
      <c r="L280" s="9" t="str">
        <f>IF(COUNTIFS('DEF_SELF_SCOUT_IMPORT'!$L$42:$L$1040,"Y",'DEF_SELF_SCOUT_IMPORT'!$E$42:$E$1040,SUBSTITUTE(SUBSTITUTE(SUBSTITUTE($B280,"~","~~"),"*","~*"),"?","~?"),'DEF_SELF_SCOUT_IMPORT'!$Q$42:$Q$1040,SUBSTITUTE(SUBSTITUTE(SUBSTITUTE($M280,"~","~~"),"*","~*"),"?","~?"),'DEF_SELF_SCOUT_IMPORT'!$F$42:$F$1040,SUBSTITUTE(SUBSTITUTE(SUBSTITUTE($N280,"~","~~"),"*","~*"),"?","~?"),'DEF_SELF_SCOUT_IMPORT'!$J$42:$J$1040,"")&gt;0,"Unscored clean outcome; review result tags before using score.",IF(C280=0,"No matching defensive reps; film confirmation needed.",IF(K280="Explosive Alert","Explosive risk; review clips before using as answer.",IF(C280&lt;=2,"Track only; not enough sample.",IF(C280=3,IF(E280&gt;0,"Sample watch with explosive exposure; review clips and build the sample.",IF(J280&gt;=65,"Good signal, but sample is limited.","Sample watch; review clips and build the sample.")),IF(K280="Problem Call","Problem area; practice or call-sheet review.",IF(K280="Strong Candidate","Strong call-fit candidate; confirm on film.",IF(K280="Good Candidate","Good call-fit signal; confirm on film.","Mixed signal; review fit and execution on film."))))))))</f>
        <v>Explosive risk; review clips before using as answer.</v>
      </c>
      <c r="M280" s="8" t="s">
        <v>85</v>
      </c>
      <c r="N280" s="8" t="s">
        <v>120</v>
      </c>
      <c r="O280" s="8"/>
      <c r="P280" s="8"/>
      <c r="Q280" s="8"/>
      <c r="R280" s="8" t="s">
        <v>28</v>
      </c>
      <c r="S280" s="2" t="s">
        <v>161</v>
      </c>
      <c r="T280" s="2">
        <f>IF(C280=0,0,IF(C280&gt;=CALL_LOOKUP_BOARD!$B$7,IF(OR(K280="Problem Call",K280="Explosive Alert"),10000000,20000000),0)+IF(C280&gt;=CALL_LOOKUP_BOARD!$B$7,J280*1000+MIN(C280,999),C280*1000+J280)+0.00990500)</f>
        <v>1000.009905</v>
      </c>
      <c r="U280" s="2">
        <f>IF(C280=0,"",IF(COUNTIFS($S$186:$S$367,SUBSTITUTE(SUBSTITUTE(SUBSTITUTE(S280,"~","~~"),"*","~*"),"?","~?"),$T$186:$T$367,"&gt;"&amp;T280)=0,S280,""))</f>
        <v/>
      </c>
    </row>
    <row r="281" spans="1:21" ht="38" customHeight="1">
      <c r="A281" s="8" t="s">
        <v>160</v>
      </c>
      <c r="B281" s="8" t="s">
        <v>89</v>
      </c>
      <c r="C281" s="12">
        <f>COUNTIFS('DEF_SELF_SCOUT_IMPORT'!$L$42:$L$1040,"Y",'DEF_SELF_SCOUT_IMPORT'!$E$42:$E$1040,SUBSTITUTE(SUBSTITUTE(SUBSTITUTE($B281,"~","~~"),"*","~*"),"?","~?"),'DEF_SELF_SCOUT_IMPORT'!$Q$42:$Q$1040,SUBSTITUTE(SUBSTITUTE(SUBSTITUTE($M281,"~","~~"),"*","~*"),"?","~?"),'DEF_SELF_SCOUT_IMPORT'!$F$42:$F$1040,SUBSTITUTE(SUBSTITUTE(SUBSTITUTE($N281,"~","~~"),"*","~*"),"?","~?"))</f>
        <v>1</v>
      </c>
      <c r="D281" s="10">
        <f>IF($C281=0,"",SUMIFS('DEF_SELF_SCOUT_IMPORT'!$J$42:$J$1040,'DEF_SELF_SCOUT_IMPORT'!$L$42:$L$1040,"Y",'DEF_SELF_SCOUT_IMPORT'!$E$42:$E$1040,SUBSTITUTE(SUBSTITUTE(SUBSTITUTE($B281,"~","~~"),"*","~*"),"?","~?"),'DEF_SELF_SCOUT_IMPORT'!$Q$42:$Q$1040,SUBSTITUTE(SUBSTITUTE(SUBSTITUTE($M281,"~","~~"),"*","~*"),"?","~?"),'DEF_SELF_SCOUT_IMPORT'!$F$42:$F$1040,SUBSTITUTE(SUBSTITUTE(SUBSTITUTE($N281,"~","~~"),"*","~*"),"?","~?"))/$C281)</f>
        <v>1.0</v>
      </c>
      <c r="E281" s="10">
        <f>IF($C281=0,"",SUMIFS('DEF_SELF_SCOUT_IMPORT'!$K$42:$K$1040,'DEF_SELF_SCOUT_IMPORT'!$L$42:$L$1040,"Y",'DEF_SELF_SCOUT_IMPORT'!$E$42:$E$1040,SUBSTITUTE(SUBSTITUTE(SUBSTITUTE($B281,"~","~~"),"*","~*"),"?","~?"),'DEF_SELF_SCOUT_IMPORT'!$Q$42:$Q$1040,SUBSTITUTE(SUBSTITUTE(SUBSTITUTE($M281,"~","~~"),"*","~*"),"?","~?"),'DEF_SELF_SCOUT_IMPORT'!$F$42:$F$1040,SUBSTITUTE(SUBSTITUTE(SUBSTITUTE($N281,"~","~~"),"*","~*"),"?","~?"))/$C281)</f>
        <v>0.0</v>
      </c>
      <c r="F281" s="11">
        <f>IF($C281=0,"",AVERAGEIFS('DEF_SELF_SCOUT_IMPORT'!$I$42:$I$1040,'DEF_SELF_SCOUT_IMPORT'!$L$42:$L$1040,"Y",'DEF_SELF_SCOUT_IMPORT'!$E$42:$E$1040,SUBSTITUTE(SUBSTITUTE(SUBSTITUTE($B281,"~","~~"),"*","~*"),"?","~?"),'DEF_SELF_SCOUT_IMPORT'!$Q$42:$Q$1040,SUBSTITUTE(SUBSTITUTE(SUBSTITUTE($M281,"~","~~"),"*","~*"),"?","~?"),'DEF_SELF_SCOUT_IMPORT'!$F$42:$F$1040,SUBSTITUTE(SUBSTITUTE(SUBSTITUTE($N281,"~","~~"),"*","~*"),"?","~?")))</f>
        <v>3.0</v>
      </c>
      <c r="G281" s="10">
        <f>IF($C281=0,"",COUNTIFS('DEF_SELF_SCOUT_IMPORT'!$L$42:$L$1040,"Y",'DEF_SELF_SCOUT_IMPORT'!$E$42:$E$1040,SUBSTITUTE(SUBSTITUTE(SUBSTITUTE($B281,"~","~~"),"*","~*"),"?","~?"),'DEF_SELF_SCOUT_IMPORT'!$Q$42:$Q$1040,SUBSTITUTE(SUBSTITUTE(SUBSTITUTE($M281,"~","~~"),"*","~*"),"?","~?"),'DEF_SELF_SCOUT_IMPORT'!$F$42:$F$1040,SUBSTITUTE(SUBSTITUTE(SUBSTITUTE($N281,"~","~~"),"*","~*"),"?","~?"),'DEF_SELF_SCOUT_IMPORT'!$H$42:$H$1040,"RUSH")/$C281)</f>
        <v>0.0</v>
      </c>
      <c r="H281" s="10">
        <f>IF($C281=0,"",COUNTIFS('DEF_SELF_SCOUT_IMPORT'!$L$42:$L$1040,"Y",'DEF_SELF_SCOUT_IMPORT'!$E$42:$E$1040,SUBSTITUTE(SUBSTITUTE(SUBSTITUTE($B281,"~","~~"),"*","~*"),"?","~?"),'DEF_SELF_SCOUT_IMPORT'!$Q$42:$Q$1040,SUBSTITUTE(SUBSTITUTE(SUBSTITUTE($M281,"~","~~"),"*","~*"),"?","~?"),'DEF_SELF_SCOUT_IMPORT'!$F$42:$F$1040,SUBSTITUTE(SUBSTITUTE(SUBSTITUTE($N281,"~","~~"),"*","~*"),"?","~?"),'DEF_SELF_SCOUT_IMPORT'!$H$42:$H$1040,"DROPBACK")/$C281)</f>
        <v>1.0</v>
      </c>
      <c r="I281" s="14" t="str">
        <f>IF(C281=0,"",IF(C281&lt;=2,"TRACK",IF(C281=3,"LOW",IF(C281&lt;=6,"MEDIUM","HIGH"))))</f>
        <v>TRACK</v>
      </c>
      <c r="J281" s="11">
        <f>IF(C281=0,"",ROUND(D281*70+(1-E281)*20+MAX(0,MIN(1,(10-F281)/10))*10,1))</f>
        <v>97.0</v>
      </c>
      <c r="K281" s="14" t="str">
        <f>IF(C281=0,"No Evidence",IF(C281&lt;=2,IF(E281&gt;0,"Explosive Alert","Track Only"),IF(C281=3,"Sample Watch",IF(E281&gt;=START_HERE!$B$31,"Explosive Alert",IF(J281&gt;=80,"Strong Candidate",IF(J281&gt;=65,"Good Candidate",IF(J281&gt;=50,"Mixed / Review","Problem Call")))))))</f>
        <v>Track Only</v>
      </c>
      <c r="L281" s="9" t="str">
        <f>IF(COUNTIFS('DEF_SELF_SCOUT_IMPORT'!$L$42:$L$1040,"Y",'DEF_SELF_SCOUT_IMPORT'!$E$42:$E$1040,SUBSTITUTE(SUBSTITUTE(SUBSTITUTE($B281,"~","~~"),"*","~*"),"?","~?"),'DEF_SELF_SCOUT_IMPORT'!$Q$42:$Q$1040,SUBSTITUTE(SUBSTITUTE(SUBSTITUTE($M281,"~","~~"),"*","~*"),"?","~?"),'DEF_SELF_SCOUT_IMPORT'!$F$42:$F$1040,SUBSTITUTE(SUBSTITUTE(SUBSTITUTE($N281,"~","~~"),"*","~*"),"?","~?"),'DEF_SELF_SCOUT_IMPORT'!$J$42:$J$1040,"")&gt;0,"Unscored clean outcome; review result tags before using score.",IF(C281=0,"No matching defensive reps; film confirmation needed.",IF(K281="Explosive Alert","Explosive risk; review clips before using as answer.",IF(C281&lt;=2,"Track only; not enough sample.",IF(C281=3,IF(E281&gt;0,"Sample watch with explosive exposure; review clips and build the sample.",IF(J281&gt;=65,"Good signal, but sample is limited.","Sample watch; review clips and build the sample.")),IF(K281="Problem Call","Problem area; practice or call-sheet review.",IF(K281="Strong Candidate","Strong call-fit candidate; confirm on film.",IF(K281="Good Candidate","Good call-fit signal; confirm on film.","Mixed signal; review fit and execution on film."))))))))</f>
        <v>Track only; not enough sample.</v>
      </c>
      <c r="M281" s="8" t="s">
        <v>85</v>
      </c>
      <c r="N281" s="8" t="s">
        <v>120</v>
      </c>
      <c r="O281" s="8"/>
      <c r="P281" s="8"/>
      <c r="Q281" s="8"/>
      <c r="R281" s="8" t="s">
        <v>28</v>
      </c>
      <c r="S281" s="2" t="s">
        <v>161</v>
      </c>
      <c r="T281" s="2">
        <f>IF(C281=0,0,IF(C281&gt;=CALL_LOOKUP_BOARD!$B$7,IF(OR(K281="Problem Call",K281="Explosive Alert"),10000000,20000000),0)+IF(C281&gt;=CALL_LOOKUP_BOARD!$B$7,J281*1000+MIN(C281,999),C281*1000+J281)+0.00990400)</f>
        <v>1097.009904</v>
      </c>
      <c r="U281" s="2">
        <f>IF(C281=0,"",IF(COUNTIFS($S$186:$S$367,SUBSTITUTE(SUBSTITUTE(SUBSTITUTE(S281,"~","~~"),"*","~*"),"?","~?"),$T$186:$T$367,"&gt;"&amp;T281)=0,S281,""))</f>
        <v/>
      </c>
    </row>
    <row r="282" spans="1:21" ht="38" customHeight="1">
      <c r="A282" s="8" t="s">
        <v>160</v>
      </c>
      <c r="B282" s="8" t="s">
        <v>61</v>
      </c>
      <c r="C282" s="12">
        <f>COUNTIFS('DEF_SELF_SCOUT_IMPORT'!$L$42:$L$1040,"Y",'DEF_SELF_SCOUT_IMPORT'!$E$42:$E$1040,SUBSTITUTE(SUBSTITUTE(SUBSTITUTE($B282,"~","~~"),"*","~*"),"?","~?"),'DEF_SELF_SCOUT_IMPORT'!$Q$42:$Q$1040,SUBSTITUTE(SUBSTITUTE(SUBSTITUTE($M282,"~","~~"),"*","~*"),"?","~?"),'DEF_SELF_SCOUT_IMPORT'!$F$42:$F$1040,SUBSTITUTE(SUBSTITUTE(SUBSTITUTE($N282,"~","~~"),"*","~*"),"?","~?"))</f>
        <v>1</v>
      </c>
      <c r="D282" s="10">
        <f>IF($C282=0,"",SUMIFS('DEF_SELF_SCOUT_IMPORT'!$J$42:$J$1040,'DEF_SELF_SCOUT_IMPORT'!$L$42:$L$1040,"Y",'DEF_SELF_SCOUT_IMPORT'!$E$42:$E$1040,SUBSTITUTE(SUBSTITUTE(SUBSTITUTE($B282,"~","~~"),"*","~*"),"?","~?"),'DEF_SELF_SCOUT_IMPORT'!$Q$42:$Q$1040,SUBSTITUTE(SUBSTITUTE(SUBSTITUTE($M282,"~","~~"),"*","~*"),"?","~?"),'DEF_SELF_SCOUT_IMPORT'!$F$42:$F$1040,SUBSTITUTE(SUBSTITUTE(SUBSTITUTE($N282,"~","~~"),"*","~*"),"?","~?"))/$C282)</f>
        <v>0.0</v>
      </c>
      <c r="E282" s="10">
        <f>IF($C282=0,"",SUMIFS('DEF_SELF_SCOUT_IMPORT'!$K$42:$K$1040,'DEF_SELF_SCOUT_IMPORT'!$L$42:$L$1040,"Y",'DEF_SELF_SCOUT_IMPORT'!$E$42:$E$1040,SUBSTITUTE(SUBSTITUTE(SUBSTITUTE($B282,"~","~~"),"*","~*"),"?","~?"),'DEF_SELF_SCOUT_IMPORT'!$Q$42:$Q$1040,SUBSTITUTE(SUBSTITUTE(SUBSTITUTE($M282,"~","~~"),"*","~*"),"?","~?"),'DEF_SELF_SCOUT_IMPORT'!$F$42:$F$1040,SUBSTITUTE(SUBSTITUTE(SUBSTITUTE($N282,"~","~~"),"*","~*"),"?","~?"))/$C282)</f>
        <v>0.0</v>
      </c>
      <c r="F282" s="11">
        <f>IF($C282=0,"",AVERAGEIFS('DEF_SELF_SCOUT_IMPORT'!$I$42:$I$1040,'DEF_SELF_SCOUT_IMPORT'!$L$42:$L$1040,"Y",'DEF_SELF_SCOUT_IMPORT'!$E$42:$E$1040,SUBSTITUTE(SUBSTITUTE(SUBSTITUTE($B282,"~","~~"),"*","~*"),"?","~?"),'DEF_SELF_SCOUT_IMPORT'!$Q$42:$Q$1040,SUBSTITUTE(SUBSTITUTE(SUBSTITUTE($M282,"~","~~"),"*","~*"),"?","~?"),'DEF_SELF_SCOUT_IMPORT'!$F$42:$F$1040,SUBSTITUTE(SUBSTITUTE(SUBSTITUTE($N282,"~","~~"),"*","~*"),"?","~?")))</f>
        <v>4.0</v>
      </c>
      <c r="G282" s="10">
        <f>IF($C282=0,"",COUNTIFS('DEF_SELF_SCOUT_IMPORT'!$L$42:$L$1040,"Y",'DEF_SELF_SCOUT_IMPORT'!$E$42:$E$1040,SUBSTITUTE(SUBSTITUTE(SUBSTITUTE($B282,"~","~~"),"*","~*"),"?","~?"),'DEF_SELF_SCOUT_IMPORT'!$Q$42:$Q$1040,SUBSTITUTE(SUBSTITUTE(SUBSTITUTE($M282,"~","~~"),"*","~*"),"?","~?"),'DEF_SELF_SCOUT_IMPORT'!$F$42:$F$1040,SUBSTITUTE(SUBSTITUTE(SUBSTITUTE($N282,"~","~~"),"*","~*"),"?","~?"),'DEF_SELF_SCOUT_IMPORT'!$H$42:$H$1040,"RUSH")/$C282)</f>
        <v>1.0</v>
      </c>
      <c r="H282" s="10">
        <f>IF($C282=0,"",COUNTIFS('DEF_SELF_SCOUT_IMPORT'!$L$42:$L$1040,"Y",'DEF_SELF_SCOUT_IMPORT'!$E$42:$E$1040,SUBSTITUTE(SUBSTITUTE(SUBSTITUTE($B282,"~","~~"),"*","~*"),"?","~?"),'DEF_SELF_SCOUT_IMPORT'!$Q$42:$Q$1040,SUBSTITUTE(SUBSTITUTE(SUBSTITUTE($M282,"~","~~"),"*","~*"),"?","~?"),'DEF_SELF_SCOUT_IMPORT'!$F$42:$F$1040,SUBSTITUTE(SUBSTITUTE(SUBSTITUTE($N282,"~","~~"),"*","~*"),"?","~?"),'DEF_SELF_SCOUT_IMPORT'!$H$42:$H$1040,"DROPBACK")/$C282)</f>
        <v>0.0</v>
      </c>
      <c r="I282" s="14" t="str">
        <f>IF(C282=0,"",IF(C282&lt;=2,"TRACK",IF(C282=3,"LOW",IF(C282&lt;=6,"MEDIUM","HIGH"))))</f>
        <v>TRACK</v>
      </c>
      <c r="J282" s="11">
        <f>IF(C282=0,"",ROUND(D282*70+(1-E282)*20+MAX(0,MIN(1,(10-F282)/10))*10,1))</f>
        <v>26.0</v>
      </c>
      <c r="K282" s="14" t="str">
        <f>IF(C282=0,"No Evidence",IF(C282&lt;=2,IF(E282&gt;0,"Explosive Alert","Track Only"),IF(C282=3,"Sample Watch",IF(E282&gt;=START_HERE!$B$31,"Explosive Alert",IF(J282&gt;=80,"Strong Candidate",IF(J282&gt;=65,"Good Candidate",IF(J282&gt;=50,"Mixed / Review","Problem Call")))))))</f>
        <v>Track Only</v>
      </c>
      <c r="L282" s="9" t="str">
        <f>IF(COUNTIFS('DEF_SELF_SCOUT_IMPORT'!$L$42:$L$1040,"Y",'DEF_SELF_SCOUT_IMPORT'!$E$42:$E$1040,SUBSTITUTE(SUBSTITUTE(SUBSTITUTE($B282,"~","~~"),"*","~*"),"?","~?"),'DEF_SELF_SCOUT_IMPORT'!$Q$42:$Q$1040,SUBSTITUTE(SUBSTITUTE(SUBSTITUTE($M282,"~","~~"),"*","~*"),"?","~?"),'DEF_SELF_SCOUT_IMPORT'!$F$42:$F$1040,SUBSTITUTE(SUBSTITUTE(SUBSTITUTE($N282,"~","~~"),"*","~*"),"?","~?"),'DEF_SELF_SCOUT_IMPORT'!$J$42:$J$1040,"")&gt;0,"Unscored clean outcome; review result tags before using score.",IF(C282=0,"No matching defensive reps; film confirmation needed.",IF(K282="Explosive Alert","Explosive risk; review clips before using as answer.",IF(C282&lt;=2,"Track only; not enough sample.",IF(C282=3,IF(E282&gt;0,"Sample watch with explosive exposure; review clips and build the sample.",IF(J282&gt;=65,"Good signal, but sample is limited.","Sample watch; review clips and build the sample.")),IF(K282="Problem Call","Problem area; practice or call-sheet review.",IF(K282="Strong Candidate","Strong call-fit candidate; confirm on film.",IF(K282="Good Candidate","Good call-fit signal; confirm on film.","Mixed signal; review fit and execution on film."))))))))</f>
        <v>Track only; not enough sample.</v>
      </c>
      <c r="M282" s="8" t="s">
        <v>85</v>
      </c>
      <c r="N282" s="8" t="s">
        <v>120</v>
      </c>
      <c r="O282" s="8"/>
      <c r="P282" s="8"/>
      <c r="Q282" s="8"/>
      <c r="R282" s="8" t="s">
        <v>28</v>
      </c>
      <c r="S282" s="2" t="s">
        <v>161</v>
      </c>
      <c r="T282" s="2">
        <f>IF(C282=0,0,IF(C282&gt;=CALL_LOOKUP_BOARD!$B$7,IF(OR(K282="Problem Call",K282="Explosive Alert"),10000000,20000000),0)+IF(C282&gt;=CALL_LOOKUP_BOARD!$B$7,J282*1000+MIN(C282,999),C282*1000+J282)+0.00990300)</f>
        <v>1026.009903</v>
      </c>
      <c r="U282" s="2">
        <f>IF(C282=0,"",IF(COUNTIFS($S$186:$S$367,SUBSTITUTE(SUBSTITUTE(SUBSTITUTE(S282,"~","~~"),"*","~*"),"?","~?"),$T$186:$T$367,"&gt;"&amp;T282)=0,S282,""))</f>
        <v/>
      </c>
    </row>
    <row r="283" spans="1:21" ht="38" customHeight="1">
      <c r="A283" s="8" t="s">
        <v>160</v>
      </c>
      <c r="B283" s="8" t="s">
        <v>90</v>
      </c>
      <c r="C283" s="12">
        <f>COUNTIFS('DEF_SELF_SCOUT_IMPORT'!$L$42:$L$1040,"Y",'DEF_SELF_SCOUT_IMPORT'!$E$42:$E$1040,SUBSTITUTE(SUBSTITUTE(SUBSTITUTE($B283,"~","~~"),"*","~*"),"?","~?"),'DEF_SELF_SCOUT_IMPORT'!$Q$42:$Q$1040,SUBSTITUTE(SUBSTITUTE(SUBSTITUTE($M283,"~","~~"),"*","~*"),"?","~?"),'DEF_SELF_SCOUT_IMPORT'!$F$42:$F$1040,SUBSTITUTE(SUBSTITUTE(SUBSTITUTE($N283,"~","~~"),"*","~*"),"?","~?"))</f>
        <v>1</v>
      </c>
      <c r="D283" s="10">
        <f>IF($C283=0,"",SUMIFS('DEF_SELF_SCOUT_IMPORT'!$J$42:$J$1040,'DEF_SELF_SCOUT_IMPORT'!$L$42:$L$1040,"Y",'DEF_SELF_SCOUT_IMPORT'!$E$42:$E$1040,SUBSTITUTE(SUBSTITUTE(SUBSTITUTE($B283,"~","~~"),"*","~*"),"?","~?"),'DEF_SELF_SCOUT_IMPORT'!$Q$42:$Q$1040,SUBSTITUTE(SUBSTITUTE(SUBSTITUTE($M283,"~","~~"),"*","~*"),"?","~?"),'DEF_SELF_SCOUT_IMPORT'!$F$42:$F$1040,SUBSTITUTE(SUBSTITUTE(SUBSTITUTE($N283,"~","~~"),"*","~*"),"?","~?"))/$C283)</f>
        <v>1.0</v>
      </c>
      <c r="E283" s="10">
        <f>IF($C283=0,"",SUMIFS('DEF_SELF_SCOUT_IMPORT'!$K$42:$K$1040,'DEF_SELF_SCOUT_IMPORT'!$L$42:$L$1040,"Y",'DEF_SELF_SCOUT_IMPORT'!$E$42:$E$1040,SUBSTITUTE(SUBSTITUTE(SUBSTITUTE($B283,"~","~~"),"*","~*"),"?","~?"),'DEF_SELF_SCOUT_IMPORT'!$Q$42:$Q$1040,SUBSTITUTE(SUBSTITUTE(SUBSTITUTE($M283,"~","~~"),"*","~*"),"?","~?"),'DEF_SELF_SCOUT_IMPORT'!$F$42:$F$1040,SUBSTITUTE(SUBSTITUTE(SUBSTITUTE($N283,"~","~~"),"*","~*"),"?","~?"))/$C283)</f>
        <v>0.0</v>
      </c>
      <c r="F283" s="11">
        <f>IF($C283=0,"",AVERAGEIFS('DEF_SELF_SCOUT_IMPORT'!$I$42:$I$1040,'DEF_SELF_SCOUT_IMPORT'!$L$42:$L$1040,"Y",'DEF_SELF_SCOUT_IMPORT'!$E$42:$E$1040,SUBSTITUTE(SUBSTITUTE(SUBSTITUTE($B283,"~","~~"),"*","~*"),"?","~?"),'DEF_SELF_SCOUT_IMPORT'!$Q$42:$Q$1040,SUBSTITUTE(SUBSTITUTE(SUBSTITUTE($M283,"~","~~"),"*","~*"),"?","~?"),'DEF_SELF_SCOUT_IMPORT'!$F$42:$F$1040,SUBSTITUTE(SUBSTITUTE(SUBSTITUTE($N283,"~","~~"),"*","~*"),"?","~?")))</f>
        <v>0.0</v>
      </c>
      <c r="G283" s="10">
        <f>IF($C283=0,"",COUNTIFS('DEF_SELF_SCOUT_IMPORT'!$L$42:$L$1040,"Y",'DEF_SELF_SCOUT_IMPORT'!$E$42:$E$1040,SUBSTITUTE(SUBSTITUTE(SUBSTITUTE($B283,"~","~~"),"*","~*"),"?","~?"),'DEF_SELF_SCOUT_IMPORT'!$Q$42:$Q$1040,SUBSTITUTE(SUBSTITUTE(SUBSTITUTE($M283,"~","~~"),"*","~*"),"?","~?"),'DEF_SELF_SCOUT_IMPORT'!$F$42:$F$1040,SUBSTITUTE(SUBSTITUTE(SUBSTITUTE($N283,"~","~~"),"*","~*"),"?","~?"),'DEF_SELF_SCOUT_IMPORT'!$H$42:$H$1040,"RUSH")/$C283)</f>
        <v>0.0</v>
      </c>
      <c r="H283" s="10">
        <f>IF($C283=0,"",COUNTIFS('DEF_SELF_SCOUT_IMPORT'!$L$42:$L$1040,"Y",'DEF_SELF_SCOUT_IMPORT'!$E$42:$E$1040,SUBSTITUTE(SUBSTITUTE(SUBSTITUTE($B283,"~","~~"),"*","~*"),"?","~?"),'DEF_SELF_SCOUT_IMPORT'!$Q$42:$Q$1040,SUBSTITUTE(SUBSTITUTE(SUBSTITUTE($M283,"~","~~"),"*","~*"),"?","~?"),'DEF_SELF_SCOUT_IMPORT'!$F$42:$F$1040,SUBSTITUTE(SUBSTITUTE(SUBSTITUTE($N283,"~","~~"),"*","~*"),"?","~?"),'DEF_SELF_SCOUT_IMPORT'!$H$42:$H$1040,"DROPBACK")/$C283)</f>
        <v>1.0</v>
      </c>
      <c r="I283" s="14" t="str">
        <f>IF(C283=0,"",IF(C283&lt;=2,"TRACK",IF(C283=3,"LOW",IF(C283&lt;=6,"MEDIUM","HIGH"))))</f>
        <v>TRACK</v>
      </c>
      <c r="J283" s="11">
        <f>IF(C283=0,"",ROUND(D283*70+(1-E283)*20+MAX(0,MIN(1,(10-F283)/10))*10,1))</f>
        <v>100.0</v>
      </c>
      <c r="K283" s="14" t="str">
        <f>IF(C283=0,"No Evidence",IF(C283&lt;=2,IF(E283&gt;0,"Explosive Alert","Track Only"),IF(C283=3,"Sample Watch",IF(E283&gt;=START_HERE!$B$31,"Explosive Alert",IF(J283&gt;=80,"Strong Candidate",IF(J283&gt;=65,"Good Candidate",IF(J283&gt;=50,"Mixed / Review","Problem Call")))))))</f>
        <v>Track Only</v>
      </c>
      <c r="L283" s="9" t="str">
        <f>IF(COUNTIFS('DEF_SELF_SCOUT_IMPORT'!$L$42:$L$1040,"Y",'DEF_SELF_SCOUT_IMPORT'!$E$42:$E$1040,SUBSTITUTE(SUBSTITUTE(SUBSTITUTE($B283,"~","~~"),"*","~*"),"?","~?"),'DEF_SELF_SCOUT_IMPORT'!$Q$42:$Q$1040,SUBSTITUTE(SUBSTITUTE(SUBSTITUTE($M283,"~","~~"),"*","~*"),"?","~?"),'DEF_SELF_SCOUT_IMPORT'!$F$42:$F$1040,SUBSTITUTE(SUBSTITUTE(SUBSTITUTE($N283,"~","~~"),"*","~*"),"?","~?"),'DEF_SELF_SCOUT_IMPORT'!$J$42:$J$1040,"")&gt;0,"Unscored clean outcome; review result tags before using score.",IF(C283=0,"No matching defensive reps; film confirmation needed.",IF(K283="Explosive Alert","Explosive risk; review clips before using as answer.",IF(C283&lt;=2,"Track only; not enough sample.",IF(C283=3,IF(E283&gt;0,"Sample watch with explosive exposure; review clips and build the sample.",IF(J283&gt;=65,"Good signal, but sample is limited.","Sample watch; review clips and build the sample.")),IF(K283="Problem Call","Problem area; practice or call-sheet review.",IF(K283="Strong Candidate","Strong call-fit candidate; confirm on film.",IF(K283="Good Candidate","Good call-fit signal; confirm on film.","Mixed signal; review fit and execution on film."))))))))</f>
        <v>Track only; not enough sample.</v>
      </c>
      <c r="M283" s="8" t="s">
        <v>85</v>
      </c>
      <c r="N283" s="8" t="s">
        <v>120</v>
      </c>
      <c r="O283" s="8"/>
      <c r="P283" s="8"/>
      <c r="Q283" s="8"/>
      <c r="R283" s="8" t="s">
        <v>28</v>
      </c>
      <c r="S283" s="2" t="s">
        <v>161</v>
      </c>
      <c r="T283" s="2">
        <f>IF(C283=0,0,IF(C283&gt;=CALL_LOOKUP_BOARD!$B$7,IF(OR(K283="Problem Call",K283="Explosive Alert"),10000000,20000000),0)+IF(C283&gt;=CALL_LOOKUP_BOARD!$B$7,J283*1000+MIN(C283,999),C283*1000+J283)+0.00990200)</f>
        <v>1100.009902</v>
      </c>
      <c r="U283" s="2">
        <f>IF(C283=0,"",IF(COUNTIFS($S$186:$S$367,SUBSTITUTE(SUBSTITUTE(SUBSTITUTE(S283,"~","~~"),"*","~*"),"?","~?"),$T$186:$T$367,"&gt;"&amp;T283)=0,S283,""))</f>
        <v/>
      </c>
    </row>
    <row r="284" spans="1:21" ht="38" customHeight="1">
      <c r="A284" s="8" t="s">
        <v>160</v>
      </c>
      <c r="B284" s="8" t="s">
        <v>63</v>
      </c>
      <c r="C284" s="12">
        <f>COUNTIFS('DEF_SELF_SCOUT_IMPORT'!$L$42:$L$1040,"Y",'DEF_SELF_SCOUT_IMPORT'!$E$42:$E$1040,SUBSTITUTE(SUBSTITUTE(SUBSTITUTE($B284,"~","~~"),"*","~*"),"?","~?"),'DEF_SELF_SCOUT_IMPORT'!$Q$42:$Q$1040,SUBSTITUTE(SUBSTITUTE(SUBSTITUTE($M284,"~","~~"),"*","~*"),"?","~?"),'DEF_SELF_SCOUT_IMPORT'!$F$42:$F$1040,SUBSTITUTE(SUBSTITUTE(SUBSTITUTE($N284,"~","~~"),"*","~*"),"?","~?"))</f>
        <v>3</v>
      </c>
      <c r="D284" s="10">
        <f>IF($C284=0,"",SUMIFS('DEF_SELF_SCOUT_IMPORT'!$J$42:$J$1040,'DEF_SELF_SCOUT_IMPORT'!$L$42:$L$1040,"Y",'DEF_SELF_SCOUT_IMPORT'!$E$42:$E$1040,SUBSTITUTE(SUBSTITUTE(SUBSTITUTE($B284,"~","~~"),"*","~*"),"?","~?"),'DEF_SELF_SCOUT_IMPORT'!$Q$42:$Q$1040,SUBSTITUTE(SUBSTITUTE(SUBSTITUTE($M284,"~","~~"),"*","~*"),"?","~?"),'DEF_SELF_SCOUT_IMPORT'!$F$42:$F$1040,SUBSTITUTE(SUBSTITUTE(SUBSTITUTE($N284,"~","~~"),"*","~*"),"?","~?"))/$C284)</f>
        <v>0.6666666666666666</v>
      </c>
      <c r="E284" s="10">
        <f>IF($C284=0,"",SUMIFS('DEF_SELF_SCOUT_IMPORT'!$K$42:$K$1040,'DEF_SELF_SCOUT_IMPORT'!$L$42:$L$1040,"Y",'DEF_SELF_SCOUT_IMPORT'!$E$42:$E$1040,SUBSTITUTE(SUBSTITUTE(SUBSTITUTE($B284,"~","~~"),"*","~*"),"?","~?"),'DEF_SELF_SCOUT_IMPORT'!$Q$42:$Q$1040,SUBSTITUTE(SUBSTITUTE(SUBSTITUTE($M284,"~","~~"),"*","~*"),"?","~?"),'DEF_SELF_SCOUT_IMPORT'!$F$42:$F$1040,SUBSTITUTE(SUBSTITUTE(SUBSTITUTE($N284,"~","~~"),"*","~*"),"?","~?"))/$C284)</f>
        <v>0.0</v>
      </c>
      <c r="F284" s="11">
        <f>IF($C284=0,"",AVERAGEIFS('DEF_SELF_SCOUT_IMPORT'!$I$42:$I$1040,'DEF_SELF_SCOUT_IMPORT'!$L$42:$L$1040,"Y",'DEF_SELF_SCOUT_IMPORT'!$E$42:$E$1040,SUBSTITUTE(SUBSTITUTE(SUBSTITUTE($B284,"~","~~"),"*","~*"),"?","~?"),'DEF_SELF_SCOUT_IMPORT'!$Q$42:$Q$1040,SUBSTITUTE(SUBSTITUTE(SUBSTITUTE($M284,"~","~~"),"*","~*"),"?","~?"),'DEF_SELF_SCOUT_IMPORT'!$F$42:$F$1040,SUBSTITUTE(SUBSTITUTE(SUBSTITUTE($N284,"~","~~"),"*","~*"),"?","~?")))</f>
        <v>3.3333333333333335</v>
      </c>
      <c r="G284" s="10">
        <f>IF($C284=0,"",COUNTIFS('DEF_SELF_SCOUT_IMPORT'!$L$42:$L$1040,"Y",'DEF_SELF_SCOUT_IMPORT'!$E$42:$E$1040,SUBSTITUTE(SUBSTITUTE(SUBSTITUTE($B284,"~","~~"),"*","~*"),"?","~?"),'DEF_SELF_SCOUT_IMPORT'!$Q$42:$Q$1040,SUBSTITUTE(SUBSTITUTE(SUBSTITUTE($M284,"~","~~"),"*","~*"),"?","~?"),'DEF_SELF_SCOUT_IMPORT'!$F$42:$F$1040,SUBSTITUTE(SUBSTITUTE(SUBSTITUTE($N284,"~","~~"),"*","~*"),"?","~?"),'DEF_SELF_SCOUT_IMPORT'!$H$42:$H$1040,"RUSH")/$C284)</f>
        <v>0.0</v>
      </c>
      <c r="H284" s="10">
        <f>IF($C284=0,"",COUNTIFS('DEF_SELF_SCOUT_IMPORT'!$L$42:$L$1040,"Y",'DEF_SELF_SCOUT_IMPORT'!$E$42:$E$1040,SUBSTITUTE(SUBSTITUTE(SUBSTITUTE($B284,"~","~~"),"*","~*"),"?","~?"),'DEF_SELF_SCOUT_IMPORT'!$Q$42:$Q$1040,SUBSTITUTE(SUBSTITUTE(SUBSTITUTE($M284,"~","~~"),"*","~*"),"?","~?"),'DEF_SELF_SCOUT_IMPORT'!$F$42:$F$1040,SUBSTITUTE(SUBSTITUTE(SUBSTITUTE($N284,"~","~~"),"*","~*"),"?","~?"),'DEF_SELF_SCOUT_IMPORT'!$H$42:$H$1040,"DROPBACK")/$C284)</f>
        <v>1.0</v>
      </c>
      <c r="I284" s="14" t="str">
        <f>IF(C284=0,"",IF(C284&lt;=2,"TRACK",IF(C284=3,"LOW",IF(C284&lt;=6,"MEDIUM","HIGH"))))</f>
        <v>LOW</v>
      </c>
      <c r="J284" s="11">
        <f>IF(C284=0,"",ROUND(D284*70+(1-E284)*20+MAX(0,MIN(1,(10-F284)/10))*10,1))</f>
        <v>73.3</v>
      </c>
      <c r="K284" s="14" t="str">
        <f>IF(C284=0,"No Evidence",IF(C284&lt;=2,IF(E284&gt;0,"Explosive Alert","Track Only"),IF(C284=3,"Sample Watch",IF(E284&gt;=START_HERE!$B$31,"Explosive Alert",IF(J284&gt;=80,"Strong Candidate",IF(J284&gt;=65,"Good Candidate",IF(J284&gt;=50,"Mixed / Review","Problem Call")))))))</f>
        <v>Sample Watch</v>
      </c>
      <c r="L284" s="9" t="str">
        <f>IF(COUNTIFS('DEF_SELF_SCOUT_IMPORT'!$L$42:$L$1040,"Y",'DEF_SELF_SCOUT_IMPORT'!$E$42:$E$1040,SUBSTITUTE(SUBSTITUTE(SUBSTITUTE($B284,"~","~~"),"*","~*"),"?","~?"),'DEF_SELF_SCOUT_IMPORT'!$Q$42:$Q$1040,SUBSTITUTE(SUBSTITUTE(SUBSTITUTE($M284,"~","~~"),"*","~*"),"?","~?"),'DEF_SELF_SCOUT_IMPORT'!$F$42:$F$1040,SUBSTITUTE(SUBSTITUTE(SUBSTITUTE($N284,"~","~~"),"*","~*"),"?","~?"),'DEF_SELF_SCOUT_IMPORT'!$J$42:$J$1040,"")&gt;0,"Unscored clean outcome; review result tags before using score.",IF(C284=0,"No matching defensive reps; film confirmation needed.",IF(K284="Explosive Alert","Explosive risk; review clips before using as answer.",IF(C284&lt;=2,"Track only; not enough sample.",IF(C284=3,IF(E284&gt;0,"Sample watch with explosive exposure; review clips and build the sample.",IF(J284&gt;=65,"Good signal, but sample is limited.","Sample watch; review clips and build the sample.")),IF(K284="Problem Call","Problem area; practice or call-sheet review.",IF(K284="Strong Candidate","Strong call-fit candidate; confirm on film.",IF(K284="Good Candidate","Good call-fit signal; confirm on film.","Mixed signal; review fit and execution on film."))))))))</f>
        <v>Good signal, but sample is limited.</v>
      </c>
      <c r="M284" s="8" t="s">
        <v>85</v>
      </c>
      <c r="N284" s="8" t="s">
        <v>120</v>
      </c>
      <c r="O284" s="8"/>
      <c r="P284" s="8"/>
      <c r="Q284" s="8"/>
      <c r="R284" s="8" t="s">
        <v>28</v>
      </c>
      <c r="S284" s="2" t="s">
        <v>161</v>
      </c>
      <c r="T284" s="2">
        <f>IF(C284=0,0,IF(C284&gt;=CALL_LOOKUP_BOARD!$B$7,IF(OR(K284="Problem Call",K284="Explosive Alert"),10000000,20000000),0)+IF(C284&gt;=CALL_LOOKUP_BOARD!$B$7,J284*1000+MIN(C284,999),C284*1000+J284)+0.00990100)</f>
        <v>3073.309901</v>
      </c>
      <c r="U284" s="2">
        <f>IF(C284=0,"",IF(COUNTIFS($S$186:$S$367,SUBSTITUTE(SUBSTITUTE(SUBSTITUTE(S284,"~","~~"),"*","~*"),"?","~?"),$T$186:$T$367,"&gt;"&amp;T284)=0,S284,""))</f>
        <v/>
      </c>
    </row>
    <row r="285" spans="1:21" ht="38" customHeight="1">
      <c r="A285" s="8" t="s">
        <v>160</v>
      </c>
      <c r="B285" s="8" t="s">
        <v>65</v>
      </c>
      <c r="C285" s="12">
        <f>COUNTIFS('DEF_SELF_SCOUT_IMPORT'!$L$42:$L$1040,"Y",'DEF_SELF_SCOUT_IMPORT'!$E$42:$E$1040,SUBSTITUTE(SUBSTITUTE(SUBSTITUTE($B285,"~","~~"),"*","~*"),"?","~?"),'DEF_SELF_SCOUT_IMPORT'!$Q$42:$Q$1040,SUBSTITUTE(SUBSTITUTE(SUBSTITUTE($M285,"~","~~"),"*","~*"),"?","~?"),'DEF_SELF_SCOUT_IMPORT'!$F$42:$F$1040,SUBSTITUTE(SUBSTITUTE(SUBSTITUTE($N285,"~","~~"),"*","~*"),"?","~?"))</f>
        <v>2</v>
      </c>
      <c r="D285" s="10">
        <f>IF($C285=0,"",SUMIFS('DEF_SELF_SCOUT_IMPORT'!$J$42:$J$1040,'DEF_SELF_SCOUT_IMPORT'!$L$42:$L$1040,"Y",'DEF_SELF_SCOUT_IMPORT'!$E$42:$E$1040,SUBSTITUTE(SUBSTITUTE(SUBSTITUTE($B285,"~","~~"),"*","~*"),"?","~?"),'DEF_SELF_SCOUT_IMPORT'!$Q$42:$Q$1040,SUBSTITUTE(SUBSTITUTE(SUBSTITUTE($M285,"~","~~"),"*","~*"),"?","~?"),'DEF_SELF_SCOUT_IMPORT'!$F$42:$F$1040,SUBSTITUTE(SUBSTITUTE(SUBSTITUTE($N285,"~","~~"),"*","~*"),"?","~?"))/$C285)</f>
        <v>0.5</v>
      </c>
      <c r="E285" s="10">
        <f>IF($C285=0,"",SUMIFS('DEF_SELF_SCOUT_IMPORT'!$K$42:$K$1040,'DEF_SELF_SCOUT_IMPORT'!$L$42:$L$1040,"Y",'DEF_SELF_SCOUT_IMPORT'!$E$42:$E$1040,SUBSTITUTE(SUBSTITUTE(SUBSTITUTE($B285,"~","~~"),"*","~*"),"?","~?"),'DEF_SELF_SCOUT_IMPORT'!$Q$42:$Q$1040,SUBSTITUTE(SUBSTITUTE(SUBSTITUTE($M285,"~","~~"),"*","~*"),"?","~?"),'DEF_SELF_SCOUT_IMPORT'!$F$42:$F$1040,SUBSTITUTE(SUBSTITUTE(SUBSTITUTE($N285,"~","~~"),"*","~*"),"?","~?"))/$C285)</f>
        <v>0.0</v>
      </c>
      <c r="F285" s="11">
        <f>IF($C285=0,"",AVERAGEIFS('DEF_SELF_SCOUT_IMPORT'!$I$42:$I$1040,'DEF_SELF_SCOUT_IMPORT'!$L$42:$L$1040,"Y",'DEF_SELF_SCOUT_IMPORT'!$E$42:$E$1040,SUBSTITUTE(SUBSTITUTE(SUBSTITUTE($B285,"~","~~"),"*","~*"),"?","~?"),'DEF_SELF_SCOUT_IMPORT'!$Q$42:$Q$1040,SUBSTITUTE(SUBSTITUTE(SUBSTITUTE($M285,"~","~~"),"*","~*"),"?","~?"),'DEF_SELF_SCOUT_IMPORT'!$F$42:$F$1040,SUBSTITUTE(SUBSTITUTE(SUBSTITUTE($N285,"~","~~"),"*","~*"),"?","~?")))</f>
        <v>2.0</v>
      </c>
      <c r="G285" s="10">
        <f>IF($C285=0,"",COUNTIFS('DEF_SELF_SCOUT_IMPORT'!$L$42:$L$1040,"Y",'DEF_SELF_SCOUT_IMPORT'!$E$42:$E$1040,SUBSTITUTE(SUBSTITUTE(SUBSTITUTE($B285,"~","~~"),"*","~*"),"?","~?"),'DEF_SELF_SCOUT_IMPORT'!$Q$42:$Q$1040,SUBSTITUTE(SUBSTITUTE(SUBSTITUTE($M285,"~","~~"),"*","~*"),"?","~?"),'DEF_SELF_SCOUT_IMPORT'!$F$42:$F$1040,SUBSTITUTE(SUBSTITUTE(SUBSTITUTE($N285,"~","~~"),"*","~*"),"?","~?"),'DEF_SELF_SCOUT_IMPORT'!$H$42:$H$1040,"RUSH")/$C285)</f>
        <v>1.0</v>
      </c>
      <c r="H285" s="10">
        <f>IF($C285=0,"",COUNTIFS('DEF_SELF_SCOUT_IMPORT'!$L$42:$L$1040,"Y",'DEF_SELF_SCOUT_IMPORT'!$E$42:$E$1040,SUBSTITUTE(SUBSTITUTE(SUBSTITUTE($B285,"~","~~"),"*","~*"),"?","~?"),'DEF_SELF_SCOUT_IMPORT'!$Q$42:$Q$1040,SUBSTITUTE(SUBSTITUTE(SUBSTITUTE($M285,"~","~~"),"*","~*"),"?","~?"),'DEF_SELF_SCOUT_IMPORT'!$F$42:$F$1040,SUBSTITUTE(SUBSTITUTE(SUBSTITUTE($N285,"~","~~"),"*","~*"),"?","~?"),'DEF_SELF_SCOUT_IMPORT'!$H$42:$H$1040,"DROPBACK")/$C285)</f>
        <v>0.0</v>
      </c>
      <c r="I285" s="14" t="str">
        <f>IF(C285=0,"",IF(C285&lt;=2,"TRACK",IF(C285=3,"LOW",IF(C285&lt;=6,"MEDIUM","HIGH"))))</f>
        <v>TRACK</v>
      </c>
      <c r="J285" s="11">
        <f>IF(C285=0,"",ROUND(D285*70+(1-E285)*20+MAX(0,MIN(1,(10-F285)/10))*10,1))</f>
        <v>63.0</v>
      </c>
      <c r="K285" s="14" t="str">
        <f>IF(C285=0,"No Evidence",IF(C285&lt;=2,IF(E285&gt;0,"Explosive Alert","Track Only"),IF(C285=3,"Sample Watch",IF(E285&gt;=START_HERE!$B$31,"Explosive Alert",IF(J285&gt;=80,"Strong Candidate",IF(J285&gt;=65,"Good Candidate",IF(J285&gt;=50,"Mixed / Review","Problem Call")))))))</f>
        <v>Track Only</v>
      </c>
      <c r="L285" s="9" t="str">
        <f>IF(COUNTIFS('DEF_SELF_SCOUT_IMPORT'!$L$42:$L$1040,"Y",'DEF_SELF_SCOUT_IMPORT'!$E$42:$E$1040,SUBSTITUTE(SUBSTITUTE(SUBSTITUTE($B285,"~","~~"),"*","~*"),"?","~?"),'DEF_SELF_SCOUT_IMPORT'!$Q$42:$Q$1040,SUBSTITUTE(SUBSTITUTE(SUBSTITUTE($M285,"~","~~"),"*","~*"),"?","~?"),'DEF_SELF_SCOUT_IMPORT'!$F$42:$F$1040,SUBSTITUTE(SUBSTITUTE(SUBSTITUTE($N285,"~","~~"),"*","~*"),"?","~?"),'DEF_SELF_SCOUT_IMPORT'!$J$42:$J$1040,"")&gt;0,"Unscored clean outcome; review result tags before using score.",IF(C285=0,"No matching defensive reps; film confirmation needed.",IF(K285="Explosive Alert","Explosive risk; review clips before using as answer.",IF(C285&lt;=2,"Track only; not enough sample.",IF(C285=3,IF(E285&gt;0,"Sample watch with explosive exposure; review clips and build the sample.",IF(J285&gt;=65,"Good signal, but sample is limited.","Sample watch; review clips and build the sample.")),IF(K285="Problem Call","Problem area; practice or call-sheet review.",IF(K285="Strong Candidate","Strong call-fit candidate; confirm on film.",IF(K285="Good Candidate","Good call-fit signal; confirm on film.","Mixed signal; review fit and execution on film."))))))))</f>
        <v>Track only; not enough sample.</v>
      </c>
      <c r="M285" s="8" t="s">
        <v>85</v>
      </c>
      <c r="N285" s="8" t="s">
        <v>120</v>
      </c>
      <c r="O285" s="8"/>
      <c r="P285" s="8"/>
      <c r="Q285" s="8"/>
      <c r="R285" s="8" t="s">
        <v>28</v>
      </c>
      <c r="S285" s="2" t="s">
        <v>161</v>
      </c>
      <c r="T285" s="2">
        <f>IF(C285=0,0,IF(C285&gt;=CALL_LOOKUP_BOARD!$B$7,IF(OR(K285="Problem Call",K285="Explosive Alert"),10000000,20000000),0)+IF(C285&gt;=CALL_LOOKUP_BOARD!$B$7,J285*1000+MIN(C285,999),C285*1000+J285)+0.00990000)</f>
        <v>2063.0099</v>
      </c>
      <c r="U285" s="2">
        <f>IF(C285=0,"",IF(COUNTIFS($S$186:$S$367,SUBSTITUTE(SUBSTITUTE(SUBSTITUTE(S285,"~","~~"),"*","~*"),"?","~?"),$T$186:$T$367,"&gt;"&amp;T285)=0,S285,""))</f>
        <v/>
      </c>
    </row>
    <row r="286" spans="1:21" ht="38" customHeight="1">
      <c r="A286" s="8" t="s">
        <v>160</v>
      </c>
      <c r="B286" s="8" t="s">
        <v>66</v>
      </c>
      <c r="C286" s="12">
        <f>COUNTIFS('DEF_SELF_SCOUT_IMPORT'!$L$42:$L$1040,"Y",'DEF_SELF_SCOUT_IMPORT'!$E$42:$E$1040,SUBSTITUTE(SUBSTITUTE(SUBSTITUTE($B286,"~","~~"),"*","~*"),"?","~?"),'DEF_SELF_SCOUT_IMPORT'!$Q$42:$Q$1040,SUBSTITUTE(SUBSTITUTE(SUBSTITUTE($M286,"~","~~"),"*","~*"),"?","~?"),'DEF_SELF_SCOUT_IMPORT'!$F$42:$F$1040,SUBSTITUTE(SUBSTITUTE(SUBSTITUTE($N286,"~","~~"),"*","~*"),"?","~?"))</f>
        <v>1</v>
      </c>
      <c r="D286" s="10">
        <f>IF($C286=0,"",SUMIFS('DEF_SELF_SCOUT_IMPORT'!$J$42:$J$1040,'DEF_SELF_SCOUT_IMPORT'!$L$42:$L$1040,"Y",'DEF_SELF_SCOUT_IMPORT'!$E$42:$E$1040,SUBSTITUTE(SUBSTITUTE(SUBSTITUTE($B286,"~","~~"),"*","~*"),"?","~?"),'DEF_SELF_SCOUT_IMPORT'!$Q$42:$Q$1040,SUBSTITUTE(SUBSTITUTE(SUBSTITUTE($M286,"~","~~"),"*","~*"),"?","~?"),'DEF_SELF_SCOUT_IMPORT'!$F$42:$F$1040,SUBSTITUTE(SUBSTITUTE(SUBSTITUTE($N286,"~","~~"),"*","~*"),"?","~?"))/$C286)</f>
        <v>1.0</v>
      </c>
      <c r="E286" s="10">
        <f>IF($C286=0,"",SUMIFS('DEF_SELF_SCOUT_IMPORT'!$K$42:$K$1040,'DEF_SELF_SCOUT_IMPORT'!$L$42:$L$1040,"Y",'DEF_SELF_SCOUT_IMPORT'!$E$42:$E$1040,SUBSTITUTE(SUBSTITUTE(SUBSTITUTE($B286,"~","~~"),"*","~*"),"?","~?"),'DEF_SELF_SCOUT_IMPORT'!$Q$42:$Q$1040,SUBSTITUTE(SUBSTITUTE(SUBSTITUTE($M286,"~","~~"),"*","~*"),"?","~?"),'DEF_SELF_SCOUT_IMPORT'!$F$42:$F$1040,SUBSTITUTE(SUBSTITUTE(SUBSTITUTE($N286,"~","~~"),"*","~*"),"?","~?"))/$C286)</f>
        <v>0.0</v>
      </c>
      <c r="F286" s="11">
        <f>IF($C286=0,"",AVERAGEIFS('DEF_SELF_SCOUT_IMPORT'!$I$42:$I$1040,'DEF_SELF_SCOUT_IMPORT'!$L$42:$L$1040,"Y",'DEF_SELF_SCOUT_IMPORT'!$E$42:$E$1040,SUBSTITUTE(SUBSTITUTE(SUBSTITUTE($B286,"~","~~"),"*","~*"),"?","~?"),'DEF_SELF_SCOUT_IMPORT'!$Q$42:$Q$1040,SUBSTITUTE(SUBSTITUTE(SUBSTITUTE($M286,"~","~~"),"*","~*"),"?","~?"),'DEF_SELF_SCOUT_IMPORT'!$F$42:$F$1040,SUBSTITUTE(SUBSTITUTE(SUBSTITUTE($N286,"~","~~"),"*","~*"),"?","~?")))</f>
        <v>2.0</v>
      </c>
      <c r="G286" s="10">
        <f>IF($C286=0,"",COUNTIFS('DEF_SELF_SCOUT_IMPORT'!$L$42:$L$1040,"Y",'DEF_SELF_SCOUT_IMPORT'!$E$42:$E$1040,SUBSTITUTE(SUBSTITUTE(SUBSTITUTE($B286,"~","~~"),"*","~*"),"?","~?"),'DEF_SELF_SCOUT_IMPORT'!$Q$42:$Q$1040,SUBSTITUTE(SUBSTITUTE(SUBSTITUTE($M286,"~","~~"),"*","~*"),"?","~?"),'DEF_SELF_SCOUT_IMPORT'!$F$42:$F$1040,SUBSTITUTE(SUBSTITUTE(SUBSTITUTE($N286,"~","~~"),"*","~*"),"?","~?"),'DEF_SELF_SCOUT_IMPORT'!$H$42:$H$1040,"RUSH")/$C286)</f>
        <v>1.0</v>
      </c>
      <c r="H286" s="10">
        <f>IF($C286=0,"",COUNTIFS('DEF_SELF_SCOUT_IMPORT'!$L$42:$L$1040,"Y",'DEF_SELF_SCOUT_IMPORT'!$E$42:$E$1040,SUBSTITUTE(SUBSTITUTE(SUBSTITUTE($B286,"~","~~"),"*","~*"),"?","~?"),'DEF_SELF_SCOUT_IMPORT'!$Q$42:$Q$1040,SUBSTITUTE(SUBSTITUTE(SUBSTITUTE($M286,"~","~~"),"*","~*"),"?","~?"),'DEF_SELF_SCOUT_IMPORT'!$F$42:$F$1040,SUBSTITUTE(SUBSTITUTE(SUBSTITUTE($N286,"~","~~"),"*","~*"),"?","~?"),'DEF_SELF_SCOUT_IMPORT'!$H$42:$H$1040,"DROPBACK")/$C286)</f>
        <v>0.0</v>
      </c>
      <c r="I286" s="14" t="str">
        <f>IF(C286=0,"",IF(C286&lt;=2,"TRACK",IF(C286=3,"LOW",IF(C286&lt;=6,"MEDIUM","HIGH"))))</f>
        <v>TRACK</v>
      </c>
      <c r="J286" s="11">
        <f>IF(C286=0,"",ROUND(D286*70+(1-E286)*20+MAX(0,MIN(1,(10-F286)/10))*10,1))</f>
        <v>98.0</v>
      </c>
      <c r="K286" s="14" t="str">
        <f>IF(C286=0,"No Evidence",IF(C286&lt;=2,IF(E286&gt;0,"Explosive Alert","Track Only"),IF(C286=3,"Sample Watch",IF(E286&gt;=START_HERE!$B$31,"Explosive Alert",IF(J286&gt;=80,"Strong Candidate",IF(J286&gt;=65,"Good Candidate",IF(J286&gt;=50,"Mixed / Review","Problem Call")))))))</f>
        <v>Track Only</v>
      </c>
      <c r="L286" s="9" t="str">
        <f>IF(COUNTIFS('DEF_SELF_SCOUT_IMPORT'!$L$42:$L$1040,"Y",'DEF_SELF_SCOUT_IMPORT'!$E$42:$E$1040,SUBSTITUTE(SUBSTITUTE(SUBSTITUTE($B286,"~","~~"),"*","~*"),"?","~?"),'DEF_SELF_SCOUT_IMPORT'!$Q$42:$Q$1040,SUBSTITUTE(SUBSTITUTE(SUBSTITUTE($M286,"~","~~"),"*","~*"),"?","~?"),'DEF_SELF_SCOUT_IMPORT'!$F$42:$F$1040,SUBSTITUTE(SUBSTITUTE(SUBSTITUTE($N286,"~","~~"),"*","~*"),"?","~?"),'DEF_SELF_SCOUT_IMPORT'!$J$42:$J$1040,"")&gt;0,"Unscored clean outcome; review result tags before using score.",IF(C286=0,"No matching defensive reps; film confirmation needed.",IF(K286="Explosive Alert","Explosive risk; review clips before using as answer.",IF(C286&lt;=2,"Track only; not enough sample.",IF(C286=3,IF(E286&gt;0,"Sample watch with explosive exposure; review clips and build the sample.",IF(J286&gt;=65,"Good signal, but sample is limited.","Sample watch; review clips and build the sample.")),IF(K286="Problem Call","Problem area; practice or call-sheet review.",IF(K286="Strong Candidate","Strong call-fit candidate; confirm on film.",IF(K286="Good Candidate","Good call-fit signal; confirm on film.","Mixed signal; review fit and execution on film."))))))))</f>
        <v>Track only; not enough sample.</v>
      </c>
      <c r="M286" s="8" t="s">
        <v>85</v>
      </c>
      <c r="N286" s="8" t="s">
        <v>120</v>
      </c>
      <c r="O286" s="8"/>
      <c r="P286" s="8"/>
      <c r="Q286" s="8"/>
      <c r="R286" s="8" t="s">
        <v>28</v>
      </c>
      <c r="S286" s="2" t="s">
        <v>161</v>
      </c>
      <c r="T286" s="2">
        <f>IF(C286=0,0,IF(C286&gt;=CALL_LOOKUP_BOARD!$B$7,IF(OR(K286="Problem Call",K286="Explosive Alert"),10000000,20000000),0)+IF(C286&gt;=CALL_LOOKUP_BOARD!$B$7,J286*1000+MIN(C286,999),C286*1000+J286)+0.00989900)</f>
        <v>1098.009899</v>
      </c>
      <c r="U286" s="2">
        <f>IF(C286=0,"",IF(COUNTIFS($S$186:$S$367,SUBSTITUTE(SUBSTITUTE(SUBSTITUTE(S286,"~","~~"),"*","~*"),"?","~?"),$T$186:$T$367,"&gt;"&amp;T286)=0,S286,""))</f>
        <v/>
      </c>
    </row>
    <row r="287" spans="1:21" ht="38" customHeight="1">
      <c r="A287" s="8" t="s">
        <v>160</v>
      </c>
      <c r="B287" s="8" t="s">
        <v>68</v>
      </c>
      <c r="C287" s="12">
        <f>COUNTIFS('DEF_SELF_SCOUT_IMPORT'!$L$42:$L$1040,"Y",'DEF_SELF_SCOUT_IMPORT'!$E$42:$E$1040,SUBSTITUTE(SUBSTITUTE(SUBSTITUTE($B287,"~","~~"),"*","~*"),"?","~?"),'DEF_SELF_SCOUT_IMPORT'!$Q$42:$Q$1040,SUBSTITUTE(SUBSTITUTE(SUBSTITUTE($M287,"~","~~"),"*","~*"),"?","~?"),'DEF_SELF_SCOUT_IMPORT'!$F$42:$F$1040,SUBSTITUTE(SUBSTITUTE(SUBSTITUTE($N287,"~","~~"),"*","~*"),"?","~?"))</f>
        <v>2</v>
      </c>
      <c r="D287" s="10">
        <f>IF($C287=0,"",SUMIFS('DEF_SELF_SCOUT_IMPORT'!$J$42:$J$1040,'DEF_SELF_SCOUT_IMPORT'!$L$42:$L$1040,"Y",'DEF_SELF_SCOUT_IMPORT'!$E$42:$E$1040,SUBSTITUTE(SUBSTITUTE(SUBSTITUTE($B287,"~","~~"),"*","~*"),"?","~?"),'DEF_SELF_SCOUT_IMPORT'!$Q$42:$Q$1040,SUBSTITUTE(SUBSTITUTE(SUBSTITUTE($M287,"~","~~"),"*","~*"),"?","~?"),'DEF_SELF_SCOUT_IMPORT'!$F$42:$F$1040,SUBSTITUTE(SUBSTITUTE(SUBSTITUTE($N287,"~","~~"),"*","~*"),"?","~?"))/$C287)</f>
        <v>0.5</v>
      </c>
      <c r="E287" s="10">
        <f>IF($C287=0,"",SUMIFS('DEF_SELF_SCOUT_IMPORT'!$K$42:$K$1040,'DEF_SELF_SCOUT_IMPORT'!$L$42:$L$1040,"Y",'DEF_SELF_SCOUT_IMPORT'!$E$42:$E$1040,SUBSTITUTE(SUBSTITUTE(SUBSTITUTE($B287,"~","~~"),"*","~*"),"?","~?"),'DEF_SELF_SCOUT_IMPORT'!$Q$42:$Q$1040,SUBSTITUTE(SUBSTITUTE(SUBSTITUTE($M287,"~","~~"),"*","~*"),"?","~?"),'DEF_SELF_SCOUT_IMPORT'!$F$42:$F$1040,SUBSTITUTE(SUBSTITUTE(SUBSTITUTE($N287,"~","~~"),"*","~*"),"?","~?"))/$C287)</f>
        <v>0.0</v>
      </c>
      <c r="F287" s="11">
        <f>IF($C287=0,"",AVERAGEIFS('DEF_SELF_SCOUT_IMPORT'!$I$42:$I$1040,'DEF_SELF_SCOUT_IMPORT'!$L$42:$L$1040,"Y",'DEF_SELF_SCOUT_IMPORT'!$E$42:$E$1040,SUBSTITUTE(SUBSTITUTE(SUBSTITUTE($B287,"~","~~"),"*","~*"),"?","~?"),'DEF_SELF_SCOUT_IMPORT'!$Q$42:$Q$1040,SUBSTITUTE(SUBSTITUTE(SUBSTITUTE($M287,"~","~~"),"*","~*"),"?","~?"),'DEF_SELF_SCOUT_IMPORT'!$F$42:$F$1040,SUBSTITUTE(SUBSTITUTE(SUBSTITUTE($N287,"~","~~"),"*","~*"),"?","~?")))</f>
        <v>5.0</v>
      </c>
      <c r="G287" s="10">
        <f>IF($C287=0,"",COUNTIFS('DEF_SELF_SCOUT_IMPORT'!$L$42:$L$1040,"Y",'DEF_SELF_SCOUT_IMPORT'!$E$42:$E$1040,SUBSTITUTE(SUBSTITUTE(SUBSTITUTE($B287,"~","~~"),"*","~*"),"?","~?"),'DEF_SELF_SCOUT_IMPORT'!$Q$42:$Q$1040,SUBSTITUTE(SUBSTITUTE(SUBSTITUTE($M287,"~","~~"),"*","~*"),"?","~?"),'DEF_SELF_SCOUT_IMPORT'!$F$42:$F$1040,SUBSTITUTE(SUBSTITUTE(SUBSTITUTE($N287,"~","~~"),"*","~*"),"?","~?"),'DEF_SELF_SCOUT_IMPORT'!$H$42:$H$1040,"RUSH")/$C287)</f>
        <v>0.5</v>
      </c>
      <c r="H287" s="10">
        <f>IF($C287=0,"",COUNTIFS('DEF_SELF_SCOUT_IMPORT'!$L$42:$L$1040,"Y",'DEF_SELF_SCOUT_IMPORT'!$E$42:$E$1040,SUBSTITUTE(SUBSTITUTE(SUBSTITUTE($B287,"~","~~"),"*","~*"),"?","~?"),'DEF_SELF_SCOUT_IMPORT'!$Q$42:$Q$1040,SUBSTITUTE(SUBSTITUTE(SUBSTITUTE($M287,"~","~~"),"*","~*"),"?","~?"),'DEF_SELF_SCOUT_IMPORT'!$F$42:$F$1040,SUBSTITUTE(SUBSTITUTE(SUBSTITUTE($N287,"~","~~"),"*","~*"),"?","~?"),'DEF_SELF_SCOUT_IMPORT'!$H$42:$H$1040,"DROPBACK")/$C287)</f>
        <v>0.5</v>
      </c>
      <c r="I287" s="14" t="str">
        <f>IF(C287=0,"",IF(C287&lt;=2,"TRACK",IF(C287=3,"LOW",IF(C287&lt;=6,"MEDIUM","HIGH"))))</f>
        <v>TRACK</v>
      </c>
      <c r="J287" s="11">
        <f>IF(C287=0,"",ROUND(D287*70+(1-E287)*20+MAX(0,MIN(1,(10-F287)/10))*10,1))</f>
        <v>60.0</v>
      </c>
      <c r="K287" s="14" t="str">
        <f>IF(C287=0,"No Evidence",IF(C287&lt;=2,IF(E287&gt;0,"Explosive Alert","Track Only"),IF(C287=3,"Sample Watch",IF(E287&gt;=START_HERE!$B$31,"Explosive Alert",IF(J287&gt;=80,"Strong Candidate",IF(J287&gt;=65,"Good Candidate",IF(J287&gt;=50,"Mixed / Review","Problem Call")))))))</f>
        <v>Track Only</v>
      </c>
      <c r="L287" s="9" t="str">
        <f>IF(COUNTIFS('DEF_SELF_SCOUT_IMPORT'!$L$42:$L$1040,"Y",'DEF_SELF_SCOUT_IMPORT'!$E$42:$E$1040,SUBSTITUTE(SUBSTITUTE(SUBSTITUTE($B287,"~","~~"),"*","~*"),"?","~?"),'DEF_SELF_SCOUT_IMPORT'!$Q$42:$Q$1040,SUBSTITUTE(SUBSTITUTE(SUBSTITUTE($M287,"~","~~"),"*","~*"),"?","~?"),'DEF_SELF_SCOUT_IMPORT'!$F$42:$F$1040,SUBSTITUTE(SUBSTITUTE(SUBSTITUTE($N287,"~","~~"),"*","~*"),"?","~?"),'DEF_SELF_SCOUT_IMPORT'!$J$42:$J$1040,"")&gt;0,"Unscored clean outcome; review result tags before using score.",IF(C287=0,"No matching defensive reps; film confirmation needed.",IF(K287="Explosive Alert","Explosive risk; review clips before using as answer.",IF(C287&lt;=2,"Track only; not enough sample.",IF(C287=3,IF(E287&gt;0,"Sample watch with explosive exposure; review clips and build the sample.",IF(J287&gt;=65,"Good signal, but sample is limited.","Sample watch; review clips and build the sample.")),IF(K287="Problem Call","Problem area; practice or call-sheet review.",IF(K287="Strong Candidate","Strong call-fit candidate; confirm on film.",IF(K287="Good Candidate","Good call-fit signal; confirm on film.","Mixed signal; review fit and execution on film."))))))))</f>
        <v>Track only; not enough sample.</v>
      </c>
      <c r="M287" s="8" t="s">
        <v>85</v>
      </c>
      <c r="N287" s="8" t="s">
        <v>120</v>
      </c>
      <c r="O287" s="8"/>
      <c r="P287" s="8"/>
      <c r="Q287" s="8"/>
      <c r="R287" s="8" t="s">
        <v>28</v>
      </c>
      <c r="S287" s="2" t="s">
        <v>161</v>
      </c>
      <c r="T287" s="2">
        <f>IF(C287=0,0,IF(C287&gt;=CALL_LOOKUP_BOARD!$B$7,IF(OR(K287="Problem Call",K287="Explosive Alert"),10000000,20000000),0)+IF(C287&gt;=CALL_LOOKUP_BOARD!$B$7,J287*1000+MIN(C287,999),C287*1000+J287)+0.00989800)</f>
        <v>2060.009898</v>
      </c>
      <c r="U287" s="2">
        <f>IF(C287=0,"",IF(COUNTIFS($S$186:$S$367,SUBSTITUTE(SUBSTITUTE(SUBSTITUTE(S287,"~","~~"),"*","~*"),"?","~?"),$T$186:$T$367,"&gt;"&amp;T287)=0,S287,""))</f>
        <v/>
      </c>
    </row>
    <row r="288" spans="1:21" ht="38" customHeight="1">
      <c r="A288" s="8" t="s">
        <v>160</v>
      </c>
      <c r="B288" s="8" t="s">
        <v>75</v>
      </c>
      <c r="C288" s="12">
        <f>COUNTIFS('DEF_SELF_SCOUT_IMPORT'!$L$42:$L$1040,"Y",'DEF_SELF_SCOUT_IMPORT'!$E$42:$E$1040,SUBSTITUTE(SUBSTITUTE(SUBSTITUTE($B288,"~","~~"),"*","~*"),"?","~?"),'DEF_SELF_SCOUT_IMPORT'!$Q$42:$Q$1040,SUBSTITUTE(SUBSTITUTE(SUBSTITUTE($M288,"~","~~"),"*","~*"),"?","~?"),'DEF_SELF_SCOUT_IMPORT'!$F$42:$F$1040,SUBSTITUTE(SUBSTITUTE(SUBSTITUTE($N288,"~","~~"),"*","~*"),"?","~?"))</f>
        <v>1</v>
      </c>
      <c r="D288" s="10">
        <f>IF($C288=0,"",SUMIFS('DEF_SELF_SCOUT_IMPORT'!$J$42:$J$1040,'DEF_SELF_SCOUT_IMPORT'!$L$42:$L$1040,"Y",'DEF_SELF_SCOUT_IMPORT'!$E$42:$E$1040,SUBSTITUTE(SUBSTITUTE(SUBSTITUTE($B288,"~","~~"),"*","~*"),"?","~?"),'DEF_SELF_SCOUT_IMPORT'!$Q$42:$Q$1040,SUBSTITUTE(SUBSTITUTE(SUBSTITUTE($M288,"~","~~"),"*","~*"),"?","~?"),'DEF_SELF_SCOUT_IMPORT'!$F$42:$F$1040,SUBSTITUTE(SUBSTITUTE(SUBSTITUTE($N288,"~","~~"),"*","~*"),"?","~?"))/$C288)</f>
        <v>1.0</v>
      </c>
      <c r="E288" s="10">
        <f>IF($C288=0,"",SUMIFS('DEF_SELF_SCOUT_IMPORT'!$K$42:$K$1040,'DEF_SELF_SCOUT_IMPORT'!$L$42:$L$1040,"Y",'DEF_SELF_SCOUT_IMPORT'!$E$42:$E$1040,SUBSTITUTE(SUBSTITUTE(SUBSTITUTE($B288,"~","~~"),"*","~*"),"?","~?"),'DEF_SELF_SCOUT_IMPORT'!$Q$42:$Q$1040,SUBSTITUTE(SUBSTITUTE(SUBSTITUTE($M288,"~","~~"),"*","~*"),"?","~?"),'DEF_SELF_SCOUT_IMPORT'!$F$42:$F$1040,SUBSTITUTE(SUBSTITUTE(SUBSTITUTE($N288,"~","~~"),"*","~*"),"?","~?"))/$C288)</f>
        <v>0.0</v>
      </c>
      <c r="F288" s="11">
        <f>IF($C288=0,"",AVERAGEIFS('DEF_SELF_SCOUT_IMPORT'!$I$42:$I$1040,'DEF_SELF_SCOUT_IMPORT'!$L$42:$L$1040,"Y",'DEF_SELF_SCOUT_IMPORT'!$E$42:$E$1040,SUBSTITUTE(SUBSTITUTE(SUBSTITUTE($B288,"~","~~"),"*","~*"),"?","~?"),'DEF_SELF_SCOUT_IMPORT'!$Q$42:$Q$1040,SUBSTITUTE(SUBSTITUTE(SUBSTITUTE($M288,"~","~~"),"*","~*"),"?","~?"),'DEF_SELF_SCOUT_IMPORT'!$F$42:$F$1040,SUBSTITUTE(SUBSTITUTE(SUBSTITUTE($N288,"~","~~"),"*","~*"),"?","~?")))</f>
        <v>6.0</v>
      </c>
      <c r="G288" s="10">
        <f>IF($C288=0,"",COUNTIFS('DEF_SELF_SCOUT_IMPORT'!$L$42:$L$1040,"Y",'DEF_SELF_SCOUT_IMPORT'!$E$42:$E$1040,SUBSTITUTE(SUBSTITUTE(SUBSTITUTE($B288,"~","~~"),"*","~*"),"?","~?"),'DEF_SELF_SCOUT_IMPORT'!$Q$42:$Q$1040,SUBSTITUTE(SUBSTITUTE(SUBSTITUTE($M288,"~","~~"),"*","~*"),"?","~?"),'DEF_SELF_SCOUT_IMPORT'!$F$42:$F$1040,SUBSTITUTE(SUBSTITUTE(SUBSTITUTE($N288,"~","~~"),"*","~*"),"?","~?"),'DEF_SELF_SCOUT_IMPORT'!$H$42:$H$1040,"RUSH")/$C288)</f>
        <v>0.0</v>
      </c>
      <c r="H288" s="10">
        <f>IF($C288=0,"",COUNTIFS('DEF_SELF_SCOUT_IMPORT'!$L$42:$L$1040,"Y",'DEF_SELF_SCOUT_IMPORT'!$E$42:$E$1040,SUBSTITUTE(SUBSTITUTE(SUBSTITUTE($B288,"~","~~"),"*","~*"),"?","~?"),'DEF_SELF_SCOUT_IMPORT'!$Q$42:$Q$1040,SUBSTITUTE(SUBSTITUTE(SUBSTITUTE($M288,"~","~~"),"*","~*"),"?","~?"),'DEF_SELF_SCOUT_IMPORT'!$F$42:$F$1040,SUBSTITUTE(SUBSTITUTE(SUBSTITUTE($N288,"~","~~"),"*","~*"),"?","~?"),'DEF_SELF_SCOUT_IMPORT'!$H$42:$H$1040,"DROPBACK")/$C288)</f>
        <v>1.0</v>
      </c>
      <c r="I288" s="14" t="str">
        <f>IF(C288=0,"",IF(C288&lt;=2,"TRACK",IF(C288=3,"LOW",IF(C288&lt;=6,"MEDIUM","HIGH"))))</f>
        <v>TRACK</v>
      </c>
      <c r="J288" s="11">
        <f>IF(C288=0,"",ROUND(D288*70+(1-E288)*20+MAX(0,MIN(1,(10-F288)/10))*10,1))</f>
        <v>94.0</v>
      </c>
      <c r="K288" s="14" t="str">
        <f>IF(C288=0,"No Evidence",IF(C288&lt;=2,IF(E288&gt;0,"Explosive Alert","Track Only"),IF(C288=3,"Sample Watch",IF(E288&gt;=START_HERE!$B$31,"Explosive Alert",IF(J288&gt;=80,"Strong Candidate",IF(J288&gt;=65,"Good Candidate",IF(J288&gt;=50,"Mixed / Review","Problem Call")))))))</f>
        <v>Track Only</v>
      </c>
      <c r="L288" s="9" t="str">
        <f>IF(COUNTIFS('DEF_SELF_SCOUT_IMPORT'!$L$42:$L$1040,"Y",'DEF_SELF_SCOUT_IMPORT'!$E$42:$E$1040,SUBSTITUTE(SUBSTITUTE(SUBSTITUTE($B288,"~","~~"),"*","~*"),"?","~?"),'DEF_SELF_SCOUT_IMPORT'!$Q$42:$Q$1040,SUBSTITUTE(SUBSTITUTE(SUBSTITUTE($M288,"~","~~"),"*","~*"),"?","~?"),'DEF_SELF_SCOUT_IMPORT'!$F$42:$F$1040,SUBSTITUTE(SUBSTITUTE(SUBSTITUTE($N288,"~","~~"),"*","~*"),"?","~?"),'DEF_SELF_SCOUT_IMPORT'!$J$42:$J$1040,"")&gt;0,"Unscored clean outcome; review result tags before using score.",IF(C288=0,"No matching defensive reps; film confirmation needed.",IF(K288="Explosive Alert","Explosive risk; review clips before using as answer.",IF(C288&lt;=2,"Track only; not enough sample.",IF(C288=3,IF(E288&gt;0,"Sample watch with explosive exposure; review clips and build the sample.",IF(J288&gt;=65,"Good signal, but sample is limited.","Sample watch; review clips and build the sample.")),IF(K288="Problem Call","Problem area; practice or call-sheet review.",IF(K288="Strong Candidate","Strong call-fit candidate; confirm on film.",IF(K288="Good Candidate","Good call-fit signal; confirm on film.","Mixed signal; review fit and execution on film."))))))))</f>
        <v>Track only; not enough sample.</v>
      </c>
      <c r="M288" s="8" t="s">
        <v>85</v>
      </c>
      <c r="N288" s="8" t="s">
        <v>120</v>
      </c>
      <c r="O288" s="8"/>
      <c r="P288" s="8"/>
      <c r="Q288" s="8"/>
      <c r="R288" s="8" t="s">
        <v>28</v>
      </c>
      <c r="S288" s="2" t="s">
        <v>161</v>
      </c>
      <c r="T288" s="2">
        <f>IF(C288=0,0,IF(C288&gt;=CALL_LOOKUP_BOARD!$B$7,IF(OR(K288="Problem Call",K288="Explosive Alert"),10000000,20000000),0)+IF(C288&gt;=CALL_LOOKUP_BOARD!$B$7,J288*1000+MIN(C288,999),C288*1000+J288)+0.00989700)</f>
        <v>1094.009897</v>
      </c>
      <c r="U288" s="2">
        <f>IF(C288=0,"",IF(COUNTIFS($S$186:$S$367,SUBSTITUTE(SUBSTITUTE(SUBSTITUTE(S288,"~","~~"),"*","~*"),"?","~?"),$T$186:$T$367,"&gt;"&amp;T288)=0,S288,""))</f>
        <v/>
      </c>
    </row>
    <row r="289" spans="1:21" ht="38" customHeight="1">
      <c r="A289" s="8" t="s">
        <v>160</v>
      </c>
      <c r="B289" s="8" t="s">
        <v>69</v>
      </c>
      <c r="C289" s="12">
        <f>COUNTIFS('DEF_SELF_SCOUT_IMPORT'!$L$42:$L$1040,"Y",'DEF_SELF_SCOUT_IMPORT'!$E$42:$E$1040,SUBSTITUTE(SUBSTITUTE(SUBSTITUTE($B289,"~","~~"),"*","~*"),"?","~?"),'DEF_SELF_SCOUT_IMPORT'!$Q$42:$Q$1040,SUBSTITUTE(SUBSTITUTE(SUBSTITUTE($M289,"~","~~"),"*","~*"),"?","~?"),'DEF_SELF_SCOUT_IMPORT'!$F$42:$F$1040,SUBSTITUTE(SUBSTITUTE(SUBSTITUTE($N289,"~","~~"),"*","~*"),"?","~?"))</f>
        <v>3</v>
      </c>
      <c r="D289" s="10">
        <f>IF($C289=0,"",SUMIFS('DEF_SELF_SCOUT_IMPORT'!$J$42:$J$1040,'DEF_SELF_SCOUT_IMPORT'!$L$42:$L$1040,"Y",'DEF_SELF_SCOUT_IMPORT'!$E$42:$E$1040,SUBSTITUTE(SUBSTITUTE(SUBSTITUTE($B289,"~","~~"),"*","~*"),"?","~?"),'DEF_SELF_SCOUT_IMPORT'!$Q$42:$Q$1040,SUBSTITUTE(SUBSTITUTE(SUBSTITUTE($M289,"~","~~"),"*","~*"),"?","~?"),'DEF_SELF_SCOUT_IMPORT'!$F$42:$F$1040,SUBSTITUTE(SUBSTITUTE(SUBSTITUTE($N289,"~","~~"),"*","~*"),"?","~?"))/$C289)</f>
        <v>1.0</v>
      </c>
      <c r="E289" s="10">
        <f>IF($C289=0,"",SUMIFS('DEF_SELF_SCOUT_IMPORT'!$K$42:$K$1040,'DEF_SELF_SCOUT_IMPORT'!$L$42:$L$1040,"Y",'DEF_SELF_SCOUT_IMPORT'!$E$42:$E$1040,SUBSTITUTE(SUBSTITUTE(SUBSTITUTE($B289,"~","~~"),"*","~*"),"?","~?"),'DEF_SELF_SCOUT_IMPORT'!$Q$42:$Q$1040,SUBSTITUTE(SUBSTITUTE(SUBSTITUTE($M289,"~","~~"),"*","~*"),"?","~?"),'DEF_SELF_SCOUT_IMPORT'!$F$42:$F$1040,SUBSTITUTE(SUBSTITUTE(SUBSTITUTE($N289,"~","~~"),"*","~*"),"?","~?"))/$C289)</f>
        <v>0.0</v>
      </c>
      <c r="F289" s="11">
        <f>IF($C289=0,"",AVERAGEIFS('DEF_SELF_SCOUT_IMPORT'!$I$42:$I$1040,'DEF_SELF_SCOUT_IMPORT'!$L$42:$L$1040,"Y",'DEF_SELF_SCOUT_IMPORT'!$E$42:$E$1040,SUBSTITUTE(SUBSTITUTE(SUBSTITUTE($B289,"~","~~"),"*","~*"),"?","~?"),'DEF_SELF_SCOUT_IMPORT'!$Q$42:$Q$1040,SUBSTITUTE(SUBSTITUTE(SUBSTITUTE($M289,"~","~~"),"*","~*"),"?","~?"),'DEF_SELF_SCOUT_IMPORT'!$F$42:$F$1040,SUBSTITUTE(SUBSTITUTE(SUBSTITUTE($N289,"~","~~"),"*","~*"),"?","~?")))</f>
        <v>2.0</v>
      </c>
      <c r="G289" s="10">
        <f>IF($C289=0,"",COUNTIFS('DEF_SELF_SCOUT_IMPORT'!$L$42:$L$1040,"Y",'DEF_SELF_SCOUT_IMPORT'!$E$42:$E$1040,SUBSTITUTE(SUBSTITUTE(SUBSTITUTE($B289,"~","~~"),"*","~*"),"?","~?"),'DEF_SELF_SCOUT_IMPORT'!$Q$42:$Q$1040,SUBSTITUTE(SUBSTITUTE(SUBSTITUTE($M289,"~","~~"),"*","~*"),"?","~?"),'DEF_SELF_SCOUT_IMPORT'!$F$42:$F$1040,SUBSTITUTE(SUBSTITUTE(SUBSTITUTE($N289,"~","~~"),"*","~*"),"?","~?"),'DEF_SELF_SCOUT_IMPORT'!$H$42:$H$1040,"RUSH")/$C289)</f>
        <v>0.6666666666666666</v>
      </c>
      <c r="H289" s="10">
        <f>IF($C289=0,"",COUNTIFS('DEF_SELF_SCOUT_IMPORT'!$L$42:$L$1040,"Y",'DEF_SELF_SCOUT_IMPORT'!$E$42:$E$1040,SUBSTITUTE(SUBSTITUTE(SUBSTITUTE($B289,"~","~~"),"*","~*"),"?","~?"),'DEF_SELF_SCOUT_IMPORT'!$Q$42:$Q$1040,SUBSTITUTE(SUBSTITUTE(SUBSTITUTE($M289,"~","~~"),"*","~*"),"?","~?"),'DEF_SELF_SCOUT_IMPORT'!$F$42:$F$1040,SUBSTITUTE(SUBSTITUTE(SUBSTITUTE($N289,"~","~~"),"*","~*"),"?","~?"),'DEF_SELF_SCOUT_IMPORT'!$H$42:$H$1040,"DROPBACK")/$C289)</f>
        <v>0.3333333333333333</v>
      </c>
      <c r="I289" s="14" t="str">
        <f>IF(C289=0,"",IF(C289&lt;=2,"TRACK",IF(C289=3,"LOW",IF(C289&lt;=6,"MEDIUM","HIGH"))))</f>
        <v>LOW</v>
      </c>
      <c r="J289" s="11">
        <f>IF(C289=0,"",ROUND(D289*70+(1-E289)*20+MAX(0,MIN(1,(10-F289)/10))*10,1))</f>
        <v>98.0</v>
      </c>
      <c r="K289" s="14" t="str">
        <f>IF(C289=0,"No Evidence",IF(C289&lt;=2,IF(E289&gt;0,"Explosive Alert","Track Only"),IF(C289=3,"Sample Watch",IF(E289&gt;=START_HERE!$B$31,"Explosive Alert",IF(J289&gt;=80,"Strong Candidate",IF(J289&gt;=65,"Good Candidate",IF(J289&gt;=50,"Mixed / Review","Problem Call")))))))</f>
        <v>Sample Watch</v>
      </c>
      <c r="L289" s="9" t="str">
        <f>IF(COUNTIFS('DEF_SELF_SCOUT_IMPORT'!$L$42:$L$1040,"Y",'DEF_SELF_SCOUT_IMPORT'!$E$42:$E$1040,SUBSTITUTE(SUBSTITUTE(SUBSTITUTE($B289,"~","~~"),"*","~*"),"?","~?"),'DEF_SELF_SCOUT_IMPORT'!$Q$42:$Q$1040,SUBSTITUTE(SUBSTITUTE(SUBSTITUTE($M289,"~","~~"),"*","~*"),"?","~?"),'DEF_SELF_SCOUT_IMPORT'!$F$42:$F$1040,SUBSTITUTE(SUBSTITUTE(SUBSTITUTE($N289,"~","~~"),"*","~*"),"?","~?"),'DEF_SELF_SCOUT_IMPORT'!$J$42:$J$1040,"")&gt;0,"Unscored clean outcome; review result tags before using score.",IF(C289=0,"No matching defensive reps; film confirmation needed.",IF(K289="Explosive Alert","Explosive risk; review clips before using as answer.",IF(C289&lt;=2,"Track only; not enough sample.",IF(C289=3,IF(E289&gt;0,"Sample watch with explosive exposure; review clips and build the sample.",IF(J289&gt;=65,"Good signal, but sample is limited.","Sample watch; review clips and build the sample.")),IF(K289="Problem Call","Problem area; practice or call-sheet review.",IF(K289="Strong Candidate","Strong call-fit candidate; confirm on film.",IF(K289="Good Candidate","Good call-fit signal; confirm on film.","Mixed signal; review fit and execution on film."))))))))</f>
        <v>Good signal, but sample is limited.</v>
      </c>
      <c r="M289" s="8" t="s">
        <v>85</v>
      </c>
      <c r="N289" s="8" t="s">
        <v>120</v>
      </c>
      <c r="O289" s="8"/>
      <c r="P289" s="8"/>
      <c r="Q289" s="8"/>
      <c r="R289" s="8" t="s">
        <v>28</v>
      </c>
      <c r="S289" s="2" t="s">
        <v>161</v>
      </c>
      <c r="T289" s="2">
        <f>IF(C289=0,0,IF(C289&gt;=CALL_LOOKUP_BOARD!$B$7,IF(OR(K289="Problem Call",K289="Explosive Alert"),10000000,20000000),0)+IF(C289&gt;=CALL_LOOKUP_BOARD!$B$7,J289*1000+MIN(C289,999),C289*1000+J289)+0.00989600)</f>
        <v>3098.009896</v>
      </c>
      <c r="U289" s="2" t="str">
        <f>IF(C289=0,"",IF(COUNTIFS($S$186:$S$367,SUBSTITUTE(SUBSTITUTE(SUBSTITUTE(S289,"~","~~"),"*","~*"),"?","~?"),$T$186:$T$367,"&gt;"&amp;T289)=0,S289,""))</f>
        <v>7:2D 7-10|2:11|</v>
      </c>
    </row>
    <row r="290" spans="1:21" ht="38" customHeight="1">
      <c r="A290" s="8" t="s">
        <v>162</v>
      </c>
      <c r="B290" s="8" t="s">
        <v>27</v>
      </c>
      <c r="C290" s="12">
        <f>COUNTIFS('DEF_SELF_SCOUT_IMPORT'!$L$42:$L$1040,"Y",'DEF_SELF_SCOUT_IMPORT'!$E$42:$E$1040,SUBSTITUTE(SUBSTITUTE(SUBSTITUTE($B290,"~","~~"),"*","~*"),"?","~?"),'DEF_SELF_SCOUT_IMPORT'!$Q$42:$Q$1040,SUBSTITUTE(SUBSTITUTE(SUBSTITUTE($M290,"~","~~"),"*","~*"),"?","~?"),'DEF_SELF_SCOUT_IMPORT'!$F$42:$F$1040,SUBSTITUTE(SUBSTITUTE(SUBSTITUTE($N290,"~","~~"),"*","~*"),"?","~?"))</f>
        <v>2</v>
      </c>
      <c r="D290" s="10">
        <f>IF($C290=0,"",SUMIFS('DEF_SELF_SCOUT_IMPORT'!$J$42:$J$1040,'DEF_SELF_SCOUT_IMPORT'!$L$42:$L$1040,"Y",'DEF_SELF_SCOUT_IMPORT'!$E$42:$E$1040,SUBSTITUTE(SUBSTITUTE(SUBSTITUTE($B290,"~","~~"),"*","~*"),"?","~?"),'DEF_SELF_SCOUT_IMPORT'!$Q$42:$Q$1040,SUBSTITUTE(SUBSTITUTE(SUBSTITUTE($M290,"~","~~"),"*","~*"),"?","~?"),'DEF_SELF_SCOUT_IMPORT'!$F$42:$F$1040,SUBSTITUTE(SUBSTITUTE(SUBSTITUTE($N290,"~","~~"),"*","~*"),"?","~?"))/$C290)</f>
        <v>1.0</v>
      </c>
      <c r="E290" s="10">
        <f>IF($C290=0,"",SUMIFS('DEF_SELF_SCOUT_IMPORT'!$K$42:$K$1040,'DEF_SELF_SCOUT_IMPORT'!$L$42:$L$1040,"Y",'DEF_SELF_SCOUT_IMPORT'!$E$42:$E$1040,SUBSTITUTE(SUBSTITUTE(SUBSTITUTE($B290,"~","~~"),"*","~*"),"?","~?"),'DEF_SELF_SCOUT_IMPORT'!$Q$42:$Q$1040,SUBSTITUTE(SUBSTITUTE(SUBSTITUTE($M290,"~","~~"),"*","~*"),"?","~?"),'DEF_SELF_SCOUT_IMPORT'!$F$42:$F$1040,SUBSTITUTE(SUBSTITUTE(SUBSTITUTE($N290,"~","~~"),"*","~*"),"?","~?"))/$C290)</f>
        <v>0.0</v>
      </c>
      <c r="F290" s="11">
        <f>IF($C290=0,"",AVERAGEIFS('DEF_SELF_SCOUT_IMPORT'!$I$42:$I$1040,'DEF_SELF_SCOUT_IMPORT'!$L$42:$L$1040,"Y",'DEF_SELF_SCOUT_IMPORT'!$E$42:$E$1040,SUBSTITUTE(SUBSTITUTE(SUBSTITUTE($B290,"~","~~"),"*","~*"),"?","~?"),'DEF_SELF_SCOUT_IMPORT'!$Q$42:$Q$1040,SUBSTITUTE(SUBSTITUTE(SUBSTITUTE($M290,"~","~~"),"*","~*"),"?","~?"),'DEF_SELF_SCOUT_IMPORT'!$F$42:$F$1040,SUBSTITUTE(SUBSTITUTE(SUBSTITUTE($N290,"~","~~"),"*","~*"),"?","~?")))</f>
        <v>1.5</v>
      </c>
      <c r="G290" s="10">
        <f>IF($C290=0,"",COUNTIFS('DEF_SELF_SCOUT_IMPORT'!$L$42:$L$1040,"Y",'DEF_SELF_SCOUT_IMPORT'!$E$42:$E$1040,SUBSTITUTE(SUBSTITUTE(SUBSTITUTE($B290,"~","~~"),"*","~*"),"?","~?"),'DEF_SELF_SCOUT_IMPORT'!$Q$42:$Q$1040,SUBSTITUTE(SUBSTITUTE(SUBSTITUTE($M290,"~","~~"),"*","~*"),"?","~?"),'DEF_SELF_SCOUT_IMPORT'!$F$42:$F$1040,SUBSTITUTE(SUBSTITUTE(SUBSTITUTE($N290,"~","~~"),"*","~*"),"?","~?"),'DEF_SELF_SCOUT_IMPORT'!$H$42:$H$1040,"RUSH")/$C290)</f>
        <v>0.5</v>
      </c>
      <c r="H290" s="10">
        <f>IF($C290=0,"",COUNTIFS('DEF_SELF_SCOUT_IMPORT'!$L$42:$L$1040,"Y",'DEF_SELF_SCOUT_IMPORT'!$E$42:$E$1040,SUBSTITUTE(SUBSTITUTE(SUBSTITUTE($B290,"~","~~"),"*","~*"),"?","~?"),'DEF_SELF_SCOUT_IMPORT'!$Q$42:$Q$1040,SUBSTITUTE(SUBSTITUTE(SUBSTITUTE($M290,"~","~~"),"*","~*"),"?","~?"),'DEF_SELF_SCOUT_IMPORT'!$F$42:$F$1040,SUBSTITUTE(SUBSTITUTE(SUBSTITUTE($N290,"~","~~"),"*","~*"),"?","~?"),'DEF_SELF_SCOUT_IMPORT'!$H$42:$H$1040,"DROPBACK")/$C290)</f>
        <v>0.5</v>
      </c>
      <c r="I290" s="14" t="str">
        <f>IF(C290=0,"",IF(C290&lt;=2,"TRACK",IF(C290=3,"LOW",IF(C290&lt;=6,"MEDIUM","HIGH"))))</f>
        <v>TRACK</v>
      </c>
      <c r="J290" s="11">
        <f>IF(C290=0,"",ROUND(D290*70+(1-E290)*20+MAX(0,MIN(1,(10-F290)/10))*10,1))</f>
        <v>98.5</v>
      </c>
      <c r="K290" s="14" t="str">
        <f>IF(C290=0,"No Evidence",IF(C290&lt;=2,IF(E290&gt;0,"Explosive Alert","Track Only"),IF(C290=3,"Sample Watch",IF(E290&gt;=START_HERE!$B$31,"Explosive Alert",IF(J290&gt;=80,"Strong Candidate",IF(J290&gt;=65,"Good Candidate",IF(J290&gt;=50,"Mixed / Review","Problem Call")))))))</f>
        <v>Track Only</v>
      </c>
      <c r="L290" s="9" t="str">
        <f>IF(COUNTIFS('DEF_SELF_SCOUT_IMPORT'!$L$42:$L$1040,"Y",'DEF_SELF_SCOUT_IMPORT'!$E$42:$E$1040,SUBSTITUTE(SUBSTITUTE(SUBSTITUTE($B290,"~","~~"),"*","~*"),"?","~?"),'DEF_SELF_SCOUT_IMPORT'!$Q$42:$Q$1040,SUBSTITUTE(SUBSTITUTE(SUBSTITUTE($M290,"~","~~"),"*","~*"),"?","~?"),'DEF_SELF_SCOUT_IMPORT'!$F$42:$F$1040,SUBSTITUTE(SUBSTITUTE(SUBSTITUTE($N290,"~","~~"),"*","~*"),"?","~?"),'DEF_SELF_SCOUT_IMPORT'!$J$42:$J$1040,"")&gt;0,"Unscored clean outcome; review result tags before using score.",IF(C290=0,"No matching defensive reps; film confirmation needed.",IF(K290="Explosive Alert","Explosive risk; review clips before using as answer.",IF(C290&lt;=2,"Track only; not enough sample.",IF(C290=3,IF(E290&gt;0,"Sample watch with explosive exposure; review clips and build the sample.",IF(J290&gt;=65,"Good signal, but sample is limited.","Sample watch; review clips and build the sample.")),IF(K290="Problem Call","Problem area; practice or call-sheet review.",IF(K290="Strong Candidate","Strong call-fit candidate; confirm on film.",IF(K290="Good Candidate","Good call-fit signal; confirm on film.","Mixed signal; review fit and execution on film."))))))))</f>
        <v>Track only; not enough sample.</v>
      </c>
      <c r="M290" s="8" t="s">
        <v>85</v>
      </c>
      <c r="N290" s="8" t="s">
        <v>123</v>
      </c>
      <c r="O290" s="8"/>
      <c r="P290" s="8"/>
      <c r="Q290" s="8"/>
      <c r="R290" s="8" t="s">
        <v>28</v>
      </c>
      <c r="S290" s="2" t="s">
        <v>163</v>
      </c>
      <c r="T290" s="2">
        <f>IF(C290=0,0,IF(C290&gt;=CALL_LOOKUP_BOARD!$B$7,IF(OR(K290="Problem Call",K290="Explosive Alert"),10000000,20000000),0)+IF(C290&gt;=CALL_LOOKUP_BOARD!$B$7,J290*1000+MIN(C290,999),C290*1000+J290)+0.00989500)</f>
        <v>2098.509895</v>
      </c>
      <c r="U290" s="2" t="str">
        <f>IF(C290=0,"",IF(COUNTIFS($S$186:$S$367,SUBSTITUTE(SUBSTITUTE(SUBSTITUTE(S290,"~","~~"),"*","~*"),"?","~?"),$T$186:$T$367,"&gt;"&amp;T290)=0,S290,""))</f>
        <v>7:2D 7-10|2:12|</v>
      </c>
    </row>
    <row r="291" spans="1:21" ht="38" customHeight="1">
      <c r="A291" s="8" t="s">
        <v>162</v>
      </c>
      <c r="B291" s="8" t="s">
        <v>51</v>
      </c>
      <c r="C291" s="12">
        <f>COUNTIFS('DEF_SELF_SCOUT_IMPORT'!$L$42:$L$1040,"Y",'DEF_SELF_SCOUT_IMPORT'!$E$42:$E$1040,SUBSTITUTE(SUBSTITUTE(SUBSTITUTE($B291,"~","~~"),"*","~*"),"?","~?"),'DEF_SELF_SCOUT_IMPORT'!$Q$42:$Q$1040,SUBSTITUTE(SUBSTITUTE(SUBSTITUTE($M291,"~","~~"),"*","~*"),"?","~?"),'DEF_SELF_SCOUT_IMPORT'!$F$42:$F$1040,SUBSTITUTE(SUBSTITUTE(SUBSTITUTE($N291,"~","~~"),"*","~*"),"?","~?"))</f>
        <v>1</v>
      </c>
      <c r="D291" s="10">
        <f>IF($C291=0,"",SUMIFS('DEF_SELF_SCOUT_IMPORT'!$J$42:$J$1040,'DEF_SELF_SCOUT_IMPORT'!$L$42:$L$1040,"Y",'DEF_SELF_SCOUT_IMPORT'!$E$42:$E$1040,SUBSTITUTE(SUBSTITUTE(SUBSTITUTE($B291,"~","~~"),"*","~*"),"?","~?"),'DEF_SELF_SCOUT_IMPORT'!$Q$42:$Q$1040,SUBSTITUTE(SUBSTITUTE(SUBSTITUTE($M291,"~","~~"),"*","~*"),"?","~?"),'DEF_SELF_SCOUT_IMPORT'!$F$42:$F$1040,SUBSTITUTE(SUBSTITUTE(SUBSTITUTE($N291,"~","~~"),"*","~*"),"?","~?"))/$C291)</f>
        <v>0.0</v>
      </c>
      <c r="E291" s="10">
        <f>IF($C291=0,"",SUMIFS('DEF_SELF_SCOUT_IMPORT'!$K$42:$K$1040,'DEF_SELF_SCOUT_IMPORT'!$L$42:$L$1040,"Y",'DEF_SELF_SCOUT_IMPORT'!$E$42:$E$1040,SUBSTITUTE(SUBSTITUTE(SUBSTITUTE($B291,"~","~~"),"*","~*"),"?","~?"),'DEF_SELF_SCOUT_IMPORT'!$Q$42:$Q$1040,SUBSTITUTE(SUBSTITUTE(SUBSTITUTE($M291,"~","~~"),"*","~*"),"?","~?"),'DEF_SELF_SCOUT_IMPORT'!$F$42:$F$1040,SUBSTITUTE(SUBSTITUTE(SUBSTITUTE($N291,"~","~~"),"*","~*"),"?","~?"))/$C291)</f>
        <v>1.0</v>
      </c>
      <c r="F291" s="11">
        <f>IF($C291=0,"",AVERAGEIFS('DEF_SELF_SCOUT_IMPORT'!$I$42:$I$1040,'DEF_SELF_SCOUT_IMPORT'!$L$42:$L$1040,"Y",'DEF_SELF_SCOUT_IMPORT'!$E$42:$E$1040,SUBSTITUTE(SUBSTITUTE(SUBSTITUTE($B291,"~","~~"),"*","~*"),"?","~?"),'DEF_SELF_SCOUT_IMPORT'!$Q$42:$Q$1040,SUBSTITUTE(SUBSTITUTE(SUBSTITUTE($M291,"~","~~"),"*","~*"),"?","~?"),'DEF_SELF_SCOUT_IMPORT'!$F$42:$F$1040,SUBSTITUTE(SUBSTITUTE(SUBSTITUTE($N291,"~","~~"),"*","~*"),"?","~?")))</f>
        <v>19.0</v>
      </c>
      <c r="G291" s="10">
        <f>IF($C291=0,"",COUNTIFS('DEF_SELF_SCOUT_IMPORT'!$L$42:$L$1040,"Y",'DEF_SELF_SCOUT_IMPORT'!$E$42:$E$1040,SUBSTITUTE(SUBSTITUTE(SUBSTITUTE($B291,"~","~~"),"*","~*"),"?","~?"),'DEF_SELF_SCOUT_IMPORT'!$Q$42:$Q$1040,SUBSTITUTE(SUBSTITUTE(SUBSTITUTE($M291,"~","~~"),"*","~*"),"?","~?"),'DEF_SELF_SCOUT_IMPORT'!$F$42:$F$1040,SUBSTITUTE(SUBSTITUTE(SUBSTITUTE($N291,"~","~~"),"*","~*"),"?","~?"),'DEF_SELF_SCOUT_IMPORT'!$H$42:$H$1040,"RUSH")/$C291)</f>
        <v>0.0</v>
      </c>
      <c r="H291" s="10">
        <f>IF($C291=0,"",COUNTIFS('DEF_SELF_SCOUT_IMPORT'!$L$42:$L$1040,"Y",'DEF_SELF_SCOUT_IMPORT'!$E$42:$E$1040,SUBSTITUTE(SUBSTITUTE(SUBSTITUTE($B291,"~","~~"),"*","~*"),"?","~?"),'DEF_SELF_SCOUT_IMPORT'!$Q$42:$Q$1040,SUBSTITUTE(SUBSTITUTE(SUBSTITUTE($M291,"~","~~"),"*","~*"),"?","~?"),'DEF_SELF_SCOUT_IMPORT'!$F$42:$F$1040,SUBSTITUTE(SUBSTITUTE(SUBSTITUTE($N291,"~","~~"),"*","~*"),"?","~?"),'DEF_SELF_SCOUT_IMPORT'!$H$42:$H$1040,"DROPBACK")/$C291)</f>
        <v>1.0</v>
      </c>
      <c r="I291" s="14" t="str">
        <f>IF(C291=0,"",IF(C291&lt;=2,"TRACK",IF(C291=3,"LOW",IF(C291&lt;=6,"MEDIUM","HIGH"))))</f>
        <v>TRACK</v>
      </c>
      <c r="J291" s="11">
        <f>IF(C291=0,"",ROUND(D291*70+(1-E291)*20+MAX(0,MIN(1,(10-F291)/10))*10,1))</f>
        <v>0.0</v>
      </c>
      <c r="K291" s="14" t="str">
        <f>IF(C291=0,"No Evidence",IF(C291&lt;=2,IF(E291&gt;0,"Explosive Alert","Track Only"),IF(C291=3,"Sample Watch",IF(E291&gt;=START_HERE!$B$31,"Explosive Alert",IF(J291&gt;=80,"Strong Candidate",IF(J291&gt;=65,"Good Candidate",IF(J291&gt;=50,"Mixed / Review","Problem Call")))))))</f>
        <v>Explosive Alert</v>
      </c>
      <c r="L291" s="9" t="str">
        <f>IF(COUNTIFS('DEF_SELF_SCOUT_IMPORT'!$L$42:$L$1040,"Y",'DEF_SELF_SCOUT_IMPORT'!$E$42:$E$1040,SUBSTITUTE(SUBSTITUTE(SUBSTITUTE($B291,"~","~~"),"*","~*"),"?","~?"),'DEF_SELF_SCOUT_IMPORT'!$Q$42:$Q$1040,SUBSTITUTE(SUBSTITUTE(SUBSTITUTE($M291,"~","~~"),"*","~*"),"?","~?"),'DEF_SELF_SCOUT_IMPORT'!$F$42:$F$1040,SUBSTITUTE(SUBSTITUTE(SUBSTITUTE($N291,"~","~~"),"*","~*"),"?","~?"),'DEF_SELF_SCOUT_IMPORT'!$J$42:$J$1040,"")&gt;0,"Unscored clean outcome; review result tags before using score.",IF(C291=0,"No matching defensive reps; film confirmation needed.",IF(K291="Explosive Alert","Explosive risk; review clips before using as answer.",IF(C291&lt;=2,"Track only; not enough sample.",IF(C291=3,IF(E291&gt;0,"Sample watch with explosive exposure; review clips and build the sample.",IF(J291&gt;=65,"Good signal, but sample is limited.","Sample watch; review clips and build the sample.")),IF(K291="Problem Call","Problem area; practice or call-sheet review.",IF(K291="Strong Candidate","Strong call-fit candidate; confirm on film.",IF(K291="Good Candidate","Good call-fit signal; confirm on film.","Mixed signal; review fit and execution on film."))))))))</f>
        <v>Explosive risk; review clips before using as answer.</v>
      </c>
      <c r="M291" s="8" t="s">
        <v>85</v>
      </c>
      <c r="N291" s="8" t="s">
        <v>123</v>
      </c>
      <c r="O291" s="8"/>
      <c r="P291" s="8"/>
      <c r="Q291" s="8"/>
      <c r="R291" s="8" t="s">
        <v>28</v>
      </c>
      <c r="S291" s="2" t="s">
        <v>163</v>
      </c>
      <c r="T291" s="2">
        <f>IF(C291=0,0,IF(C291&gt;=CALL_LOOKUP_BOARD!$B$7,IF(OR(K291="Problem Call",K291="Explosive Alert"),10000000,20000000),0)+IF(C291&gt;=CALL_LOOKUP_BOARD!$B$7,J291*1000+MIN(C291,999),C291*1000+J291)+0.00989400)</f>
        <v>1000.009894</v>
      </c>
      <c r="U291" s="2">
        <f>IF(C291=0,"",IF(COUNTIFS($S$186:$S$367,SUBSTITUTE(SUBSTITUTE(SUBSTITUTE(S291,"~","~~"),"*","~*"),"?","~?"),$T$186:$T$367,"&gt;"&amp;T291)=0,S291,""))</f>
        <v/>
      </c>
    </row>
    <row r="292" spans="1:21" ht="38" customHeight="1">
      <c r="A292" s="8" t="s">
        <v>162</v>
      </c>
      <c r="B292" s="8" t="s">
        <v>88</v>
      </c>
      <c r="C292" s="12">
        <f>COUNTIFS('DEF_SELF_SCOUT_IMPORT'!$L$42:$L$1040,"Y",'DEF_SELF_SCOUT_IMPORT'!$E$42:$E$1040,SUBSTITUTE(SUBSTITUTE(SUBSTITUTE($B292,"~","~~"),"*","~*"),"?","~?"),'DEF_SELF_SCOUT_IMPORT'!$Q$42:$Q$1040,SUBSTITUTE(SUBSTITUTE(SUBSTITUTE($M292,"~","~~"),"*","~*"),"?","~?"),'DEF_SELF_SCOUT_IMPORT'!$F$42:$F$1040,SUBSTITUTE(SUBSTITUTE(SUBSTITUTE($N292,"~","~~"),"*","~*"),"?","~?"))</f>
        <v>1</v>
      </c>
      <c r="D292" s="10">
        <f>IF($C292=0,"",SUMIFS('DEF_SELF_SCOUT_IMPORT'!$J$42:$J$1040,'DEF_SELF_SCOUT_IMPORT'!$L$42:$L$1040,"Y",'DEF_SELF_SCOUT_IMPORT'!$E$42:$E$1040,SUBSTITUTE(SUBSTITUTE(SUBSTITUTE($B292,"~","~~"),"*","~*"),"?","~?"),'DEF_SELF_SCOUT_IMPORT'!$Q$42:$Q$1040,SUBSTITUTE(SUBSTITUTE(SUBSTITUTE($M292,"~","~~"),"*","~*"),"?","~?"),'DEF_SELF_SCOUT_IMPORT'!$F$42:$F$1040,SUBSTITUTE(SUBSTITUTE(SUBSTITUTE($N292,"~","~~"),"*","~*"),"?","~?"))/$C292)</f>
        <v>1.0</v>
      </c>
      <c r="E292" s="10">
        <f>IF($C292=0,"",SUMIFS('DEF_SELF_SCOUT_IMPORT'!$K$42:$K$1040,'DEF_SELF_SCOUT_IMPORT'!$L$42:$L$1040,"Y",'DEF_SELF_SCOUT_IMPORT'!$E$42:$E$1040,SUBSTITUTE(SUBSTITUTE(SUBSTITUTE($B292,"~","~~"),"*","~*"),"?","~?"),'DEF_SELF_SCOUT_IMPORT'!$Q$42:$Q$1040,SUBSTITUTE(SUBSTITUTE(SUBSTITUTE($M292,"~","~~"),"*","~*"),"?","~?"),'DEF_SELF_SCOUT_IMPORT'!$F$42:$F$1040,SUBSTITUTE(SUBSTITUTE(SUBSTITUTE($N292,"~","~~"),"*","~*"),"?","~?"))/$C292)</f>
        <v>0.0</v>
      </c>
      <c r="F292" s="11">
        <f>IF($C292=0,"",AVERAGEIFS('DEF_SELF_SCOUT_IMPORT'!$I$42:$I$1040,'DEF_SELF_SCOUT_IMPORT'!$L$42:$L$1040,"Y",'DEF_SELF_SCOUT_IMPORT'!$E$42:$E$1040,SUBSTITUTE(SUBSTITUTE(SUBSTITUTE($B292,"~","~~"),"*","~*"),"?","~?"),'DEF_SELF_SCOUT_IMPORT'!$Q$42:$Q$1040,SUBSTITUTE(SUBSTITUTE(SUBSTITUTE($M292,"~","~~"),"*","~*"),"?","~?"),'DEF_SELF_SCOUT_IMPORT'!$F$42:$F$1040,SUBSTITUTE(SUBSTITUTE(SUBSTITUTE($N292,"~","~~"),"*","~*"),"?","~?")))</f>
        <v>3.0</v>
      </c>
      <c r="G292" s="10">
        <f>IF($C292=0,"",COUNTIFS('DEF_SELF_SCOUT_IMPORT'!$L$42:$L$1040,"Y",'DEF_SELF_SCOUT_IMPORT'!$E$42:$E$1040,SUBSTITUTE(SUBSTITUTE(SUBSTITUTE($B292,"~","~~"),"*","~*"),"?","~?"),'DEF_SELF_SCOUT_IMPORT'!$Q$42:$Q$1040,SUBSTITUTE(SUBSTITUTE(SUBSTITUTE($M292,"~","~~"),"*","~*"),"?","~?"),'DEF_SELF_SCOUT_IMPORT'!$F$42:$F$1040,SUBSTITUTE(SUBSTITUTE(SUBSTITUTE($N292,"~","~~"),"*","~*"),"?","~?"),'DEF_SELF_SCOUT_IMPORT'!$H$42:$H$1040,"RUSH")/$C292)</f>
        <v>1.0</v>
      </c>
      <c r="H292" s="10">
        <f>IF($C292=0,"",COUNTIFS('DEF_SELF_SCOUT_IMPORT'!$L$42:$L$1040,"Y",'DEF_SELF_SCOUT_IMPORT'!$E$42:$E$1040,SUBSTITUTE(SUBSTITUTE(SUBSTITUTE($B292,"~","~~"),"*","~*"),"?","~?"),'DEF_SELF_SCOUT_IMPORT'!$Q$42:$Q$1040,SUBSTITUTE(SUBSTITUTE(SUBSTITUTE($M292,"~","~~"),"*","~*"),"?","~?"),'DEF_SELF_SCOUT_IMPORT'!$F$42:$F$1040,SUBSTITUTE(SUBSTITUTE(SUBSTITUTE($N292,"~","~~"),"*","~*"),"?","~?"),'DEF_SELF_SCOUT_IMPORT'!$H$42:$H$1040,"DROPBACK")/$C292)</f>
        <v>0.0</v>
      </c>
      <c r="I292" s="14" t="str">
        <f>IF(C292=0,"",IF(C292&lt;=2,"TRACK",IF(C292=3,"LOW",IF(C292&lt;=6,"MEDIUM","HIGH"))))</f>
        <v>TRACK</v>
      </c>
      <c r="J292" s="11">
        <f>IF(C292=0,"",ROUND(D292*70+(1-E292)*20+MAX(0,MIN(1,(10-F292)/10))*10,1))</f>
        <v>97.0</v>
      </c>
      <c r="K292" s="14" t="str">
        <f>IF(C292=0,"No Evidence",IF(C292&lt;=2,IF(E292&gt;0,"Explosive Alert","Track Only"),IF(C292=3,"Sample Watch",IF(E292&gt;=START_HERE!$B$31,"Explosive Alert",IF(J292&gt;=80,"Strong Candidate",IF(J292&gt;=65,"Good Candidate",IF(J292&gt;=50,"Mixed / Review","Problem Call")))))))</f>
        <v>Track Only</v>
      </c>
      <c r="L292" s="9" t="str">
        <f>IF(COUNTIFS('DEF_SELF_SCOUT_IMPORT'!$L$42:$L$1040,"Y",'DEF_SELF_SCOUT_IMPORT'!$E$42:$E$1040,SUBSTITUTE(SUBSTITUTE(SUBSTITUTE($B292,"~","~~"),"*","~*"),"?","~?"),'DEF_SELF_SCOUT_IMPORT'!$Q$42:$Q$1040,SUBSTITUTE(SUBSTITUTE(SUBSTITUTE($M292,"~","~~"),"*","~*"),"?","~?"),'DEF_SELF_SCOUT_IMPORT'!$F$42:$F$1040,SUBSTITUTE(SUBSTITUTE(SUBSTITUTE($N292,"~","~~"),"*","~*"),"?","~?"),'DEF_SELF_SCOUT_IMPORT'!$J$42:$J$1040,"")&gt;0,"Unscored clean outcome; review result tags before using score.",IF(C292=0,"No matching defensive reps; film confirmation needed.",IF(K292="Explosive Alert","Explosive risk; review clips before using as answer.",IF(C292&lt;=2,"Track only; not enough sample.",IF(C292=3,IF(E292&gt;0,"Sample watch with explosive exposure; review clips and build the sample.",IF(J292&gt;=65,"Good signal, but sample is limited.","Sample watch; review clips and build the sample.")),IF(K292="Problem Call","Problem area; practice or call-sheet review.",IF(K292="Strong Candidate","Strong call-fit candidate; confirm on film.",IF(K292="Good Candidate","Good call-fit signal; confirm on film.","Mixed signal; review fit and execution on film."))))))))</f>
        <v>Track only; not enough sample.</v>
      </c>
      <c r="M292" s="8" t="s">
        <v>85</v>
      </c>
      <c r="N292" s="8" t="s">
        <v>123</v>
      </c>
      <c r="O292" s="8"/>
      <c r="P292" s="8"/>
      <c r="Q292" s="8"/>
      <c r="R292" s="8" t="s">
        <v>28</v>
      </c>
      <c r="S292" s="2" t="s">
        <v>163</v>
      </c>
      <c r="T292" s="2">
        <f>IF(C292=0,0,IF(C292&gt;=CALL_LOOKUP_BOARD!$B$7,IF(OR(K292="Problem Call",K292="Explosive Alert"),10000000,20000000),0)+IF(C292&gt;=CALL_LOOKUP_BOARD!$B$7,J292*1000+MIN(C292,999),C292*1000+J292)+0.00989300)</f>
        <v>1097.009893</v>
      </c>
      <c r="U292" s="2">
        <f>IF(C292=0,"",IF(COUNTIFS($S$186:$S$367,SUBSTITUTE(SUBSTITUTE(SUBSTITUTE(S292,"~","~~"),"*","~*"),"?","~?"),$T$186:$T$367,"&gt;"&amp;T292)=0,S292,""))</f>
        <v/>
      </c>
    </row>
    <row r="293" spans="1:21" ht="38" customHeight="1">
      <c r="A293" s="8" t="s">
        <v>162</v>
      </c>
      <c r="B293" s="8" t="s">
        <v>35</v>
      </c>
      <c r="C293" s="12">
        <f>COUNTIFS('DEF_SELF_SCOUT_IMPORT'!$L$42:$L$1040,"Y",'DEF_SELF_SCOUT_IMPORT'!$E$42:$E$1040,SUBSTITUTE(SUBSTITUTE(SUBSTITUTE($B293,"~","~~"),"*","~*"),"?","~?"),'DEF_SELF_SCOUT_IMPORT'!$Q$42:$Q$1040,SUBSTITUTE(SUBSTITUTE(SUBSTITUTE($M293,"~","~~"),"*","~*"),"?","~?"),'DEF_SELF_SCOUT_IMPORT'!$F$42:$F$1040,SUBSTITUTE(SUBSTITUTE(SUBSTITUTE($N293,"~","~~"),"*","~*"),"?","~?"))</f>
        <v>2</v>
      </c>
      <c r="D293" s="10">
        <f>IF($C293=0,"",SUMIFS('DEF_SELF_SCOUT_IMPORT'!$J$42:$J$1040,'DEF_SELF_SCOUT_IMPORT'!$L$42:$L$1040,"Y",'DEF_SELF_SCOUT_IMPORT'!$E$42:$E$1040,SUBSTITUTE(SUBSTITUTE(SUBSTITUTE($B293,"~","~~"),"*","~*"),"?","~?"),'DEF_SELF_SCOUT_IMPORT'!$Q$42:$Q$1040,SUBSTITUTE(SUBSTITUTE(SUBSTITUTE($M293,"~","~~"),"*","~*"),"?","~?"),'DEF_SELF_SCOUT_IMPORT'!$F$42:$F$1040,SUBSTITUTE(SUBSTITUTE(SUBSTITUTE($N293,"~","~~"),"*","~*"),"?","~?"))/$C293)</f>
        <v>0.0</v>
      </c>
      <c r="E293" s="10">
        <f>IF($C293=0,"",SUMIFS('DEF_SELF_SCOUT_IMPORT'!$K$42:$K$1040,'DEF_SELF_SCOUT_IMPORT'!$L$42:$L$1040,"Y",'DEF_SELF_SCOUT_IMPORT'!$E$42:$E$1040,SUBSTITUTE(SUBSTITUTE(SUBSTITUTE($B293,"~","~~"),"*","~*"),"?","~?"),'DEF_SELF_SCOUT_IMPORT'!$Q$42:$Q$1040,SUBSTITUTE(SUBSTITUTE(SUBSTITUTE($M293,"~","~~"),"*","~*"),"?","~?"),'DEF_SELF_SCOUT_IMPORT'!$F$42:$F$1040,SUBSTITUTE(SUBSTITUTE(SUBSTITUTE($N293,"~","~~"),"*","~*"),"?","~?"))/$C293)</f>
        <v>0.0</v>
      </c>
      <c r="F293" s="11">
        <f>IF($C293=0,"",AVERAGEIFS('DEF_SELF_SCOUT_IMPORT'!$I$42:$I$1040,'DEF_SELF_SCOUT_IMPORT'!$L$42:$L$1040,"Y",'DEF_SELF_SCOUT_IMPORT'!$E$42:$E$1040,SUBSTITUTE(SUBSTITUTE(SUBSTITUTE($B293,"~","~~"),"*","~*"),"?","~?"),'DEF_SELF_SCOUT_IMPORT'!$Q$42:$Q$1040,SUBSTITUTE(SUBSTITUTE(SUBSTITUTE($M293,"~","~~"),"*","~*"),"?","~?"),'DEF_SELF_SCOUT_IMPORT'!$F$42:$F$1040,SUBSTITUTE(SUBSTITUTE(SUBSTITUTE($N293,"~","~~"),"*","~*"),"?","~?")))</f>
        <v>7.5</v>
      </c>
      <c r="G293" s="10">
        <f>IF($C293=0,"",COUNTIFS('DEF_SELF_SCOUT_IMPORT'!$L$42:$L$1040,"Y",'DEF_SELF_SCOUT_IMPORT'!$E$42:$E$1040,SUBSTITUTE(SUBSTITUTE(SUBSTITUTE($B293,"~","~~"),"*","~*"),"?","~?"),'DEF_SELF_SCOUT_IMPORT'!$Q$42:$Q$1040,SUBSTITUTE(SUBSTITUTE(SUBSTITUTE($M293,"~","~~"),"*","~*"),"?","~?"),'DEF_SELF_SCOUT_IMPORT'!$F$42:$F$1040,SUBSTITUTE(SUBSTITUTE(SUBSTITUTE($N293,"~","~~"),"*","~*"),"?","~?"),'DEF_SELF_SCOUT_IMPORT'!$H$42:$H$1040,"RUSH")/$C293)</f>
        <v>0.5</v>
      </c>
      <c r="H293" s="10">
        <f>IF($C293=0,"",COUNTIFS('DEF_SELF_SCOUT_IMPORT'!$L$42:$L$1040,"Y",'DEF_SELF_SCOUT_IMPORT'!$E$42:$E$1040,SUBSTITUTE(SUBSTITUTE(SUBSTITUTE($B293,"~","~~"),"*","~*"),"?","~?"),'DEF_SELF_SCOUT_IMPORT'!$Q$42:$Q$1040,SUBSTITUTE(SUBSTITUTE(SUBSTITUTE($M293,"~","~~"),"*","~*"),"?","~?"),'DEF_SELF_SCOUT_IMPORT'!$F$42:$F$1040,SUBSTITUTE(SUBSTITUTE(SUBSTITUTE($N293,"~","~~"),"*","~*"),"?","~?"),'DEF_SELF_SCOUT_IMPORT'!$H$42:$H$1040,"DROPBACK")/$C293)</f>
        <v>0.0</v>
      </c>
      <c r="I293" s="14" t="str">
        <f>IF(C293=0,"",IF(C293&lt;=2,"TRACK",IF(C293=3,"LOW",IF(C293&lt;=6,"MEDIUM","HIGH"))))</f>
        <v>TRACK</v>
      </c>
      <c r="J293" s="11">
        <f>IF(C293=0,"",ROUND(D293*70+(1-E293)*20+MAX(0,MIN(1,(10-F293)/10))*10,1))</f>
        <v>22.5</v>
      </c>
      <c r="K293" s="14" t="str">
        <f>IF(C293=0,"No Evidence",IF(C293&lt;=2,IF(E293&gt;0,"Explosive Alert","Track Only"),IF(C293=3,"Sample Watch",IF(E293&gt;=START_HERE!$B$31,"Explosive Alert",IF(J293&gt;=80,"Strong Candidate",IF(J293&gt;=65,"Good Candidate",IF(J293&gt;=50,"Mixed / Review","Problem Call")))))))</f>
        <v>Track Only</v>
      </c>
      <c r="L293" s="9" t="str">
        <f>IF(COUNTIFS('DEF_SELF_SCOUT_IMPORT'!$L$42:$L$1040,"Y",'DEF_SELF_SCOUT_IMPORT'!$E$42:$E$1040,SUBSTITUTE(SUBSTITUTE(SUBSTITUTE($B293,"~","~~"),"*","~*"),"?","~?"),'DEF_SELF_SCOUT_IMPORT'!$Q$42:$Q$1040,SUBSTITUTE(SUBSTITUTE(SUBSTITUTE($M293,"~","~~"),"*","~*"),"?","~?"),'DEF_SELF_SCOUT_IMPORT'!$F$42:$F$1040,SUBSTITUTE(SUBSTITUTE(SUBSTITUTE($N293,"~","~~"),"*","~*"),"?","~?"),'DEF_SELF_SCOUT_IMPORT'!$J$42:$J$1040,"")&gt;0,"Unscored clean outcome; review result tags before using score.",IF(C293=0,"No matching defensive reps; film confirmation needed.",IF(K293="Explosive Alert","Explosive risk; review clips before using as answer.",IF(C293&lt;=2,"Track only; not enough sample.",IF(C293=3,IF(E293&gt;0,"Sample watch with explosive exposure; review clips and build the sample.",IF(J293&gt;=65,"Good signal, but sample is limited.","Sample watch; review clips and build the sample.")),IF(K293="Problem Call","Problem area; practice or call-sheet review.",IF(K293="Strong Candidate","Strong call-fit candidate; confirm on film.",IF(K293="Good Candidate","Good call-fit signal; confirm on film.","Mixed signal; review fit and execution on film."))))))))</f>
        <v>Track only; not enough sample.</v>
      </c>
      <c r="M293" s="8" t="s">
        <v>85</v>
      </c>
      <c r="N293" s="8" t="s">
        <v>123</v>
      </c>
      <c r="O293" s="8"/>
      <c r="P293" s="8"/>
      <c r="Q293" s="8"/>
      <c r="R293" s="8" t="s">
        <v>28</v>
      </c>
      <c r="S293" s="2" t="s">
        <v>163</v>
      </c>
      <c r="T293" s="2">
        <f>IF(C293=0,0,IF(C293&gt;=CALL_LOOKUP_BOARD!$B$7,IF(OR(K293="Problem Call",K293="Explosive Alert"),10000000,20000000),0)+IF(C293&gt;=CALL_LOOKUP_BOARD!$B$7,J293*1000+MIN(C293,999),C293*1000+J293)+0.00989200)</f>
        <v>2022.509892</v>
      </c>
      <c r="U293" s="2">
        <f>IF(C293=0,"",IF(COUNTIFS($S$186:$S$367,SUBSTITUTE(SUBSTITUTE(SUBSTITUTE(S293,"~","~~"),"*","~*"),"?","~?"),$T$186:$T$367,"&gt;"&amp;T293)=0,S293,""))</f>
        <v/>
      </c>
    </row>
    <row r="294" spans="1:21" ht="38" customHeight="1">
      <c r="A294" s="8" t="s">
        <v>162</v>
      </c>
      <c r="B294" s="8" t="s">
        <v>84</v>
      </c>
      <c r="C294" s="12">
        <f>COUNTIFS('DEF_SELF_SCOUT_IMPORT'!$L$42:$L$1040,"Y",'DEF_SELF_SCOUT_IMPORT'!$E$42:$E$1040,SUBSTITUTE(SUBSTITUTE(SUBSTITUTE($B294,"~","~~"),"*","~*"),"?","~?"),'DEF_SELF_SCOUT_IMPORT'!$Q$42:$Q$1040,SUBSTITUTE(SUBSTITUTE(SUBSTITUTE($M294,"~","~~"),"*","~*"),"?","~?"),'DEF_SELF_SCOUT_IMPORT'!$F$42:$F$1040,SUBSTITUTE(SUBSTITUTE(SUBSTITUTE($N294,"~","~~"),"*","~*"),"?","~?"))</f>
        <v>1</v>
      </c>
      <c r="D294" s="10">
        <f>IF($C294=0,"",SUMIFS('DEF_SELF_SCOUT_IMPORT'!$J$42:$J$1040,'DEF_SELF_SCOUT_IMPORT'!$L$42:$L$1040,"Y",'DEF_SELF_SCOUT_IMPORT'!$E$42:$E$1040,SUBSTITUTE(SUBSTITUTE(SUBSTITUTE($B294,"~","~~"),"*","~*"),"?","~?"),'DEF_SELF_SCOUT_IMPORT'!$Q$42:$Q$1040,SUBSTITUTE(SUBSTITUTE(SUBSTITUTE($M294,"~","~~"),"*","~*"),"?","~?"),'DEF_SELF_SCOUT_IMPORT'!$F$42:$F$1040,SUBSTITUTE(SUBSTITUTE(SUBSTITUTE($N294,"~","~~"),"*","~*"),"?","~?"))/$C294)</f>
        <v>1.0</v>
      </c>
      <c r="E294" s="10">
        <f>IF($C294=0,"",SUMIFS('DEF_SELF_SCOUT_IMPORT'!$K$42:$K$1040,'DEF_SELF_SCOUT_IMPORT'!$L$42:$L$1040,"Y",'DEF_SELF_SCOUT_IMPORT'!$E$42:$E$1040,SUBSTITUTE(SUBSTITUTE(SUBSTITUTE($B294,"~","~~"),"*","~*"),"?","~?"),'DEF_SELF_SCOUT_IMPORT'!$Q$42:$Q$1040,SUBSTITUTE(SUBSTITUTE(SUBSTITUTE($M294,"~","~~"),"*","~*"),"?","~?"),'DEF_SELF_SCOUT_IMPORT'!$F$42:$F$1040,SUBSTITUTE(SUBSTITUTE(SUBSTITUTE($N294,"~","~~"),"*","~*"),"?","~?"))/$C294)</f>
        <v>0.0</v>
      </c>
      <c r="F294" s="11">
        <f>IF($C294=0,"",AVERAGEIFS('DEF_SELF_SCOUT_IMPORT'!$I$42:$I$1040,'DEF_SELF_SCOUT_IMPORT'!$L$42:$L$1040,"Y",'DEF_SELF_SCOUT_IMPORT'!$E$42:$E$1040,SUBSTITUTE(SUBSTITUTE(SUBSTITUTE($B294,"~","~~"),"*","~*"),"?","~?"),'DEF_SELF_SCOUT_IMPORT'!$Q$42:$Q$1040,SUBSTITUTE(SUBSTITUTE(SUBSTITUTE($M294,"~","~~"),"*","~*"),"?","~?"),'DEF_SELF_SCOUT_IMPORT'!$F$42:$F$1040,SUBSTITUTE(SUBSTITUTE(SUBSTITUTE($N294,"~","~~"),"*","~*"),"?","~?")))</f>
        <v>3.0</v>
      </c>
      <c r="G294" s="10">
        <f>IF($C294=0,"",COUNTIFS('DEF_SELF_SCOUT_IMPORT'!$L$42:$L$1040,"Y",'DEF_SELF_SCOUT_IMPORT'!$E$42:$E$1040,SUBSTITUTE(SUBSTITUTE(SUBSTITUTE($B294,"~","~~"),"*","~*"),"?","~?"),'DEF_SELF_SCOUT_IMPORT'!$Q$42:$Q$1040,SUBSTITUTE(SUBSTITUTE(SUBSTITUTE($M294,"~","~~"),"*","~*"),"?","~?"),'DEF_SELF_SCOUT_IMPORT'!$F$42:$F$1040,SUBSTITUTE(SUBSTITUTE(SUBSTITUTE($N294,"~","~~"),"*","~*"),"?","~?"),'DEF_SELF_SCOUT_IMPORT'!$H$42:$H$1040,"RUSH")/$C294)</f>
        <v>1.0</v>
      </c>
      <c r="H294" s="10">
        <f>IF($C294=0,"",COUNTIFS('DEF_SELF_SCOUT_IMPORT'!$L$42:$L$1040,"Y",'DEF_SELF_SCOUT_IMPORT'!$E$42:$E$1040,SUBSTITUTE(SUBSTITUTE(SUBSTITUTE($B294,"~","~~"),"*","~*"),"?","~?"),'DEF_SELF_SCOUT_IMPORT'!$Q$42:$Q$1040,SUBSTITUTE(SUBSTITUTE(SUBSTITUTE($M294,"~","~~"),"*","~*"),"?","~?"),'DEF_SELF_SCOUT_IMPORT'!$F$42:$F$1040,SUBSTITUTE(SUBSTITUTE(SUBSTITUTE($N294,"~","~~"),"*","~*"),"?","~?"),'DEF_SELF_SCOUT_IMPORT'!$H$42:$H$1040,"DROPBACK")/$C294)</f>
        <v>0.0</v>
      </c>
      <c r="I294" s="14" t="str">
        <f>IF(C294=0,"",IF(C294&lt;=2,"TRACK",IF(C294=3,"LOW",IF(C294&lt;=6,"MEDIUM","HIGH"))))</f>
        <v>TRACK</v>
      </c>
      <c r="J294" s="11">
        <f>IF(C294=0,"",ROUND(D294*70+(1-E294)*20+MAX(0,MIN(1,(10-F294)/10))*10,1))</f>
        <v>97.0</v>
      </c>
      <c r="K294" s="14" t="str">
        <f>IF(C294=0,"No Evidence",IF(C294&lt;=2,IF(E294&gt;0,"Explosive Alert","Track Only"),IF(C294=3,"Sample Watch",IF(E294&gt;=START_HERE!$B$31,"Explosive Alert",IF(J294&gt;=80,"Strong Candidate",IF(J294&gt;=65,"Good Candidate",IF(J294&gt;=50,"Mixed / Review","Problem Call")))))))</f>
        <v>Track Only</v>
      </c>
      <c r="L294" s="9" t="str">
        <f>IF(COUNTIFS('DEF_SELF_SCOUT_IMPORT'!$L$42:$L$1040,"Y",'DEF_SELF_SCOUT_IMPORT'!$E$42:$E$1040,SUBSTITUTE(SUBSTITUTE(SUBSTITUTE($B294,"~","~~"),"*","~*"),"?","~?"),'DEF_SELF_SCOUT_IMPORT'!$Q$42:$Q$1040,SUBSTITUTE(SUBSTITUTE(SUBSTITUTE($M294,"~","~~"),"*","~*"),"?","~?"),'DEF_SELF_SCOUT_IMPORT'!$F$42:$F$1040,SUBSTITUTE(SUBSTITUTE(SUBSTITUTE($N294,"~","~~"),"*","~*"),"?","~?"),'DEF_SELF_SCOUT_IMPORT'!$J$42:$J$1040,"")&gt;0,"Unscored clean outcome; review result tags before using score.",IF(C294=0,"No matching defensive reps; film confirmation needed.",IF(K294="Explosive Alert","Explosive risk; review clips before using as answer.",IF(C294&lt;=2,"Track only; not enough sample.",IF(C294=3,IF(E294&gt;0,"Sample watch with explosive exposure; review clips and build the sample.",IF(J294&gt;=65,"Good signal, but sample is limited.","Sample watch; review clips and build the sample.")),IF(K294="Problem Call","Problem area; practice or call-sheet review.",IF(K294="Strong Candidate","Strong call-fit candidate; confirm on film.",IF(K294="Good Candidate","Good call-fit signal; confirm on film.","Mixed signal; review fit and execution on film."))))))))</f>
        <v>Track only; not enough sample.</v>
      </c>
      <c r="M294" s="8" t="s">
        <v>85</v>
      </c>
      <c r="N294" s="8" t="s">
        <v>123</v>
      </c>
      <c r="O294" s="8"/>
      <c r="P294" s="8"/>
      <c r="Q294" s="8"/>
      <c r="R294" s="8" t="s">
        <v>28</v>
      </c>
      <c r="S294" s="2" t="s">
        <v>163</v>
      </c>
      <c r="T294" s="2">
        <f>IF(C294=0,0,IF(C294&gt;=CALL_LOOKUP_BOARD!$B$7,IF(OR(K294="Problem Call",K294="Explosive Alert"),10000000,20000000),0)+IF(C294&gt;=CALL_LOOKUP_BOARD!$B$7,J294*1000+MIN(C294,999),C294*1000+J294)+0.00989100)</f>
        <v>1097.009891</v>
      </c>
      <c r="U294" s="2">
        <f>IF(C294=0,"",IF(COUNTIFS($S$186:$S$367,SUBSTITUTE(SUBSTITUTE(SUBSTITUTE(S294,"~","~~"),"*","~*"),"?","~?"),$T$186:$T$367,"&gt;"&amp;T294)=0,S294,""))</f>
        <v/>
      </c>
    </row>
    <row r="295" spans="1:21" ht="38" customHeight="1">
      <c r="A295" s="8" t="s">
        <v>162</v>
      </c>
      <c r="B295" s="8" t="s">
        <v>91</v>
      </c>
      <c r="C295" s="12">
        <f>COUNTIFS('DEF_SELF_SCOUT_IMPORT'!$L$42:$L$1040,"Y",'DEF_SELF_SCOUT_IMPORT'!$E$42:$E$1040,SUBSTITUTE(SUBSTITUTE(SUBSTITUTE($B295,"~","~~"),"*","~*"),"?","~?"),'DEF_SELF_SCOUT_IMPORT'!$Q$42:$Q$1040,SUBSTITUTE(SUBSTITUTE(SUBSTITUTE($M295,"~","~~"),"*","~*"),"?","~?"),'DEF_SELF_SCOUT_IMPORT'!$F$42:$F$1040,SUBSTITUTE(SUBSTITUTE(SUBSTITUTE($N295,"~","~~"),"*","~*"),"?","~?"))</f>
        <v>1</v>
      </c>
      <c r="D295" s="10">
        <f>IF($C295=0,"",SUMIFS('DEF_SELF_SCOUT_IMPORT'!$J$42:$J$1040,'DEF_SELF_SCOUT_IMPORT'!$L$42:$L$1040,"Y",'DEF_SELF_SCOUT_IMPORT'!$E$42:$E$1040,SUBSTITUTE(SUBSTITUTE(SUBSTITUTE($B295,"~","~~"),"*","~*"),"?","~?"),'DEF_SELF_SCOUT_IMPORT'!$Q$42:$Q$1040,SUBSTITUTE(SUBSTITUTE(SUBSTITUTE($M295,"~","~~"),"*","~*"),"?","~?"),'DEF_SELF_SCOUT_IMPORT'!$F$42:$F$1040,SUBSTITUTE(SUBSTITUTE(SUBSTITUTE($N295,"~","~~"),"*","~*"),"?","~?"))/$C295)</f>
        <v>0.0</v>
      </c>
      <c r="E295" s="10">
        <f>IF($C295=0,"",SUMIFS('DEF_SELF_SCOUT_IMPORT'!$K$42:$K$1040,'DEF_SELF_SCOUT_IMPORT'!$L$42:$L$1040,"Y",'DEF_SELF_SCOUT_IMPORT'!$E$42:$E$1040,SUBSTITUTE(SUBSTITUTE(SUBSTITUTE($B295,"~","~~"),"*","~*"),"?","~?"),'DEF_SELF_SCOUT_IMPORT'!$Q$42:$Q$1040,SUBSTITUTE(SUBSTITUTE(SUBSTITUTE($M295,"~","~~"),"*","~*"),"?","~?"),'DEF_SELF_SCOUT_IMPORT'!$F$42:$F$1040,SUBSTITUTE(SUBSTITUTE(SUBSTITUTE($N295,"~","~~"),"*","~*"),"?","~?"))/$C295)</f>
        <v>0.0</v>
      </c>
      <c r="F295" s="11">
        <f>IF($C295=0,"",AVERAGEIFS('DEF_SELF_SCOUT_IMPORT'!$I$42:$I$1040,'DEF_SELF_SCOUT_IMPORT'!$L$42:$L$1040,"Y",'DEF_SELF_SCOUT_IMPORT'!$E$42:$E$1040,SUBSTITUTE(SUBSTITUTE(SUBSTITUTE($B295,"~","~~"),"*","~*"),"?","~?"),'DEF_SELF_SCOUT_IMPORT'!$Q$42:$Q$1040,SUBSTITUTE(SUBSTITUTE(SUBSTITUTE($M295,"~","~~"),"*","~*"),"?","~?"),'DEF_SELF_SCOUT_IMPORT'!$F$42:$F$1040,SUBSTITUTE(SUBSTITUTE(SUBSTITUTE($N295,"~","~~"),"*","~*"),"?","~?")))</f>
        <v>4.0</v>
      </c>
      <c r="G295" s="10">
        <f>IF($C295=0,"",COUNTIFS('DEF_SELF_SCOUT_IMPORT'!$L$42:$L$1040,"Y",'DEF_SELF_SCOUT_IMPORT'!$E$42:$E$1040,SUBSTITUTE(SUBSTITUTE(SUBSTITUTE($B295,"~","~~"),"*","~*"),"?","~?"),'DEF_SELF_SCOUT_IMPORT'!$Q$42:$Q$1040,SUBSTITUTE(SUBSTITUTE(SUBSTITUTE($M295,"~","~~"),"*","~*"),"?","~?"),'DEF_SELF_SCOUT_IMPORT'!$F$42:$F$1040,SUBSTITUTE(SUBSTITUTE(SUBSTITUTE($N295,"~","~~"),"*","~*"),"?","~?"),'DEF_SELF_SCOUT_IMPORT'!$H$42:$H$1040,"RUSH")/$C295)</f>
        <v>1.0</v>
      </c>
      <c r="H295" s="10">
        <f>IF($C295=0,"",COUNTIFS('DEF_SELF_SCOUT_IMPORT'!$L$42:$L$1040,"Y",'DEF_SELF_SCOUT_IMPORT'!$E$42:$E$1040,SUBSTITUTE(SUBSTITUTE(SUBSTITUTE($B295,"~","~~"),"*","~*"),"?","~?"),'DEF_SELF_SCOUT_IMPORT'!$Q$42:$Q$1040,SUBSTITUTE(SUBSTITUTE(SUBSTITUTE($M295,"~","~~"),"*","~*"),"?","~?"),'DEF_SELF_SCOUT_IMPORT'!$F$42:$F$1040,SUBSTITUTE(SUBSTITUTE(SUBSTITUTE($N295,"~","~~"),"*","~*"),"?","~?"),'DEF_SELF_SCOUT_IMPORT'!$H$42:$H$1040,"DROPBACK")/$C295)</f>
        <v>0.0</v>
      </c>
      <c r="I295" s="14" t="str">
        <f>IF(C295=0,"",IF(C295&lt;=2,"TRACK",IF(C295=3,"LOW",IF(C295&lt;=6,"MEDIUM","HIGH"))))</f>
        <v>TRACK</v>
      </c>
      <c r="J295" s="11">
        <f>IF(C295=0,"",ROUND(D295*70+(1-E295)*20+MAX(0,MIN(1,(10-F295)/10))*10,1))</f>
        <v>26.0</v>
      </c>
      <c r="K295" s="14" t="str">
        <f>IF(C295=0,"No Evidence",IF(C295&lt;=2,IF(E295&gt;0,"Explosive Alert","Track Only"),IF(C295=3,"Sample Watch",IF(E295&gt;=START_HERE!$B$31,"Explosive Alert",IF(J295&gt;=80,"Strong Candidate",IF(J295&gt;=65,"Good Candidate",IF(J295&gt;=50,"Mixed / Review","Problem Call")))))))</f>
        <v>Track Only</v>
      </c>
      <c r="L295" s="9" t="str">
        <f>IF(COUNTIFS('DEF_SELF_SCOUT_IMPORT'!$L$42:$L$1040,"Y",'DEF_SELF_SCOUT_IMPORT'!$E$42:$E$1040,SUBSTITUTE(SUBSTITUTE(SUBSTITUTE($B295,"~","~~"),"*","~*"),"?","~?"),'DEF_SELF_SCOUT_IMPORT'!$Q$42:$Q$1040,SUBSTITUTE(SUBSTITUTE(SUBSTITUTE($M295,"~","~~"),"*","~*"),"?","~?"),'DEF_SELF_SCOUT_IMPORT'!$F$42:$F$1040,SUBSTITUTE(SUBSTITUTE(SUBSTITUTE($N295,"~","~~"),"*","~*"),"?","~?"),'DEF_SELF_SCOUT_IMPORT'!$J$42:$J$1040,"")&gt;0,"Unscored clean outcome; review result tags before using score.",IF(C295=0,"No matching defensive reps; film confirmation needed.",IF(K295="Explosive Alert","Explosive risk; review clips before using as answer.",IF(C295&lt;=2,"Track only; not enough sample.",IF(C295=3,IF(E295&gt;0,"Sample watch with explosive exposure; review clips and build the sample.",IF(J295&gt;=65,"Good signal, but sample is limited.","Sample watch; review clips and build the sample.")),IF(K295="Problem Call","Problem area; practice or call-sheet review.",IF(K295="Strong Candidate","Strong call-fit candidate; confirm on film.",IF(K295="Good Candidate","Good call-fit signal; confirm on film.","Mixed signal; review fit and execution on film."))))))))</f>
        <v>Track only; not enough sample.</v>
      </c>
      <c r="M295" s="8" t="s">
        <v>85</v>
      </c>
      <c r="N295" s="8" t="s">
        <v>123</v>
      </c>
      <c r="O295" s="8"/>
      <c r="P295" s="8"/>
      <c r="Q295" s="8"/>
      <c r="R295" s="8" t="s">
        <v>28</v>
      </c>
      <c r="S295" s="2" t="s">
        <v>163</v>
      </c>
      <c r="T295" s="2">
        <f>IF(C295=0,0,IF(C295&gt;=CALL_LOOKUP_BOARD!$B$7,IF(OR(K295="Problem Call",K295="Explosive Alert"),10000000,20000000),0)+IF(C295&gt;=CALL_LOOKUP_BOARD!$B$7,J295*1000+MIN(C295,999),C295*1000+J295)+0.00989000)</f>
        <v>1026.00989</v>
      </c>
      <c r="U295" s="2">
        <f>IF(C295=0,"",IF(COUNTIFS($S$186:$S$367,SUBSTITUTE(SUBSTITUTE(SUBSTITUTE(S295,"~","~~"),"*","~*"),"?","~?"),$T$186:$T$367,"&gt;"&amp;T295)=0,S295,""))</f>
        <v/>
      </c>
    </row>
    <row r="296" spans="1:21" ht="38" customHeight="1">
      <c r="A296" s="8" t="s">
        <v>164</v>
      </c>
      <c r="B296" s="8" t="s">
        <v>32</v>
      </c>
      <c r="C296" s="12">
        <f>COUNTIFS('DEF_SELF_SCOUT_IMPORT'!$L$42:$L$1040,"Y",'DEF_SELF_SCOUT_IMPORT'!$E$42:$E$1040,SUBSTITUTE(SUBSTITUTE(SUBSTITUTE($B296,"~","~~"),"*","~*"),"?","~?"),'DEF_SELF_SCOUT_IMPORT'!$Q$42:$Q$1040,SUBSTITUTE(SUBSTITUTE(SUBSTITUTE($M296,"~","~~"),"*","~*"),"?","~?"),'DEF_SELF_SCOUT_IMPORT'!$F$42:$F$1040,SUBSTITUTE(SUBSTITUTE(SUBSTITUTE($N296,"~","~~"),"*","~*"),"?","~?"))</f>
        <v>1</v>
      </c>
      <c r="D296" s="10">
        <f>IF($C296=0,"",SUMIFS('DEF_SELF_SCOUT_IMPORT'!$J$42:$J$1040,'DEF_SELF_SCOUT_IMPORT'!$L$42:$L$1040,"Y",'DEF_SELF_SCOUT_IMPORT'!$E$42:$E$1040,SUBSTITUTE(SUBSTITUTE(SUBSTITUTE($B296,"~","~~"),"*","~*"),"?","~?"),'DEF_SELF_SCOUT_IMPORT'!$Q$42:$Q$1040,SUBSTITUTE(SUBSTITUTE(SUBSTITUTE($M296,"~","~~"),"*","~*"),"?","~?"),'DEF_SELF_SCOUT_IMPORT'!$F$42:$F$1040,SUBSTITUTE(SUBSTITUTE(SUBSTITUTE($N296,"~","~~"),"*","~*"),"?","~?"))/$C296)</f>
        <v>0.0</v>
      </c>
      <c r="E296" s="10">
        <f>IF($C296=0,"",SUMIFS('DEF_SELF_SCOUT_IMPORT'!$K$42:$K$1040,'DEF_SELF_SCOUT_IMPORT'!$L$42:$L$1040,"Y",'DEF_SELF_SCOUT_IMPORT'!$E$42:$E$1040,SUBSTITUTE(SUBSTITUTE(SUBSTITUTE($B296,"~","~~"),"*","~*"),"?","~?"),'DEF_SELF_SCOUT_IMPORT'!$Q$42:$Q$1040,SUBSTITUTE(SUBSTITUTE(SUBSTITUTE($M296,"~","~~"),"*","~*"),"?","~?"),'DEF_SELF_SCOUT_IMPORT'!$F$42:$F$1040,SUBSTITUTE(SUBSTITUTE(SUBSTITUTE($N296,"~","~~"),"*","~*"),"?","~?"))/$C296)</f>
        <v>0.0</v>
      </c>
      <c r="F296" s="11">
        <f>IF($C296=0,"",AVERAGEIFS('DEF_SELF_SCOUT_IMPORT'!$I$42:$I$1040,'DEF_SELF_SCOUT_IMPORT'!$L$42:$L$1040,"Y",'DEF_SELF_SCOUT_IMPORT'!$E$42:$E$1040,SUBSTITUTE(SUBSTITUTE(SUBSTITUTE($B296,"~","~~"),"*","~*"),"?","~?"),'DEF_SELF_SCOUT_IMPORT'!$Q$42:$Q$1040,SUBSTITUTE(SUBSTITUTE(SUBSTITUTE($M296,"~","~~"),"*","~*"),"?","~?"),'DEF_SELF_SCOUT_IMPORT'!$F$42:$F$1040,SUBSTITUTE(SUBSTITUTE(SUBSTITUTE($N296,"~","~~"),"*","~*"),"?","~?")))</f>
        <v>8.0</v>
      </c>
      <c r="G296" s="10">
        <f>IF($C296=0,"",COUNTIFS('DEF_SELF_SCOUT_IMPORT'!$L$42:$L$1040,"Y",'DEF_SELF_SCOUT_IMPORT'!$E$42:$E$1040,SUBSTITUTE(SUBSTITUTE(SUBSTITUTE($B296,"~","~~"),"*","~*"),"?","~?"),'DEF_SELF_SCOUT_IMPORT'!$Q$42:$Q$1040,SUBSTITUTE(SUBSTITUTE(SUBSTITUTE($M296,"~","~~"),"*","~*"),"?","~?"),'DEF_SELF_SCOUT_IMPORT'!$F$42:$F$1040,SUBSTITUTE(SUBSTITUTE(SUBSTITUTE($N296,"~","~~"),"*","~*"),"?","~?"),'DEF_SELF_SCOUT_IMPORT'!$H$42:$H$1040,"RUSH")/$C296)</f>
        <v>1.0</v>
      </c>
      <c r="H296" s="10">
        <f>IF($C296=0,"",COUNTIFS('DEF_SELF_SCOUT_IMPORT'!$L$42:$L$1040,"Y",'DEF_SELF_SCOUT_IMPORT'!$E$42:$E$1040,SUBSTITUTE(SUBSTITUTE(SUBSTITUTE($B296,"~","~~"),"*","~*"),"?","~?"),'DEF_SELF_SCOUT_IMPORT'!$Q$42:$Q$1040,SUBSTITUTE(SUBSTITUTE(SUBSTITUTE($M296,"~","~~"),"*","~*"),"?","~?"),'DEF_SELF_SCOUT_IMPORT'!$F$42:$F$1040,SUBSTITUTE(SUBSTITUTE(SUBSTITUTE($N296,"~","~~"),"*","~*"),"?","~?"),'DEF_SELF_SCOUT_IMPORT'!$H$42:$H$1040,"DROPBACK")/$C296)</f>
        <v>0.0</v>
      </c>
      <c r="I296" s="14" t="str">
        <f>IF(C296=0,"",IF(C296&lt;=2,"TRACK",IF(C296=3,"LOW",IF(C296&lt;=6,"MEDIUM","HIGH"))))</f>
        <v>TRACK</v>
      </c>
      <c r="J296" s="11">
        <f>IF(C296=0,"",ROUND(D296*70+(1-E296)*20+MAX(0,MIN(1,(10-F296)/10))*10,1))</f>
        <v>22.0</v>
      </c>
      <c r="K296" s="14" t="str">
        <f>IF(C296=0,"No Evidence",IF(C296&lt;=2,IF(E296&gt;0,"Explosive Alert","Track Only"),IF(C296=3,"Sample Watch",IF(E296&gt;=START_HERE!$B$31,"Explosive Alert",IF(J296&gt;=80,"Strong Candidate",IF(J296&gt;=65,"Good Candidate",IF(J296&gt;=50,"Mixed / Review","Problem Call")))))))</f>
        <v>Track Only</v>
      </c>
      <c r="L296" s="9" t="str">
        <f>IF(COUNTIFS('DEF_SELF_SCOUT_IMPORT'!$L$42:$L$1040,"Y",'DEF_SELF_SCOUT_IMPORT'!$E$42:$E$1040,SUBSTITUTE(SUBSTITUTE(SUBSTITUTE($B296,"~","~~"),"*","~*"),"?","~?"),'DEF_SELF_SCOUT_IMPORT'!$Q$42:$Q$1040,SUBSTITUTE(SUBSTITUTE(SUBSTITUTE($M296,"~","~~"),"*","~*"),"?","~?"),'DEF_SELF_SCOUT_IMPORT'!$F$42:$F$1040,SUBSTITUTE(SUBSTITUTE(SUBSTITUTE($N296,"~","~~"),"*","~*"),"?","~?"),'DEF_SELF_SCOUT_IMPORT'!$J$42:$J$1040,"")&gt;0,"Unscored clean outcome; review result tags before using score.",IF(C296=0,"No matching defensive reps; film confirmation needed.",IF(K296="Explosive Alert","Explosive risk; review clips before using as answer.",IF(C296&lt;=2,"Track only; not enough sample.",IF(C296=3,IF(E296&gt;0,"Sample watch with explosive exposure; review clips and build the sample.",IF(J296&gt;=65,"Good signal, but sample is limited.","Sample watch; review clips and build the sample.")),IF(K296="Problem Call","Problem area; practice or call-sheet review.",IF(K296="Strong Candidate","Strong call-fit candidate; confirm on film.",IF(K296="Good Candidate","Good call-fit signal; confirm on film.","Mixed signal; review fit and execution on film."))))))))</f>
        <v>Track only; not enough sample.</v>
      </c>
      <c r="M296" s="8" t="s">
        <v>92</v>
      </c>
      <c r="N296" s="8" t="s">
        <v>132</v>
      </c>
      <c r="O296" s="8"/>
      <c r="P296" s="8"/>
      <c r="Q296" s="8"/>
      <c r="R296" s="8" t="s">
        <v>28</v>
      </c>
      <c r="S296" s="2" t="s">
        <v>165</v>
      </c>
      <c r="T296" s="2">
        <f>IF(C296=0,0,IF(C296&gt;=CALL_LOOKUP_BOARD!$B$7,IF(OR(K296="Problem Call",K296="Explosive Alert"),10000000,20000000),0)+IF(C296&gt;=CALL_LOOKUP_BOARD!$B$7,J296*1000+MIN(C296,999),C296*1000+J296)+0.00988900)</f>
        <v>1022.009889</v>
      </c>
      <c r="U296" s="2" t="str">
        <f>IF(C296=0,"",IF(COUNTIFS($S$186:$S$367,SUBSTITUTE(SUBSTITUTE(SUBSTITUTE(S296,"~","~~"),"*","~*"),"?","~?"),$T$186:$T$367,"&gt;"&amp;T296)=0,S296,""))</f>
        <v>6:3D 1-3|2:00|</v>
      </c>
    </row>
    <row r="297" spans="1:21" ht="38" customHeight="1">
      <c r="A297" s="8" t="s">
        <v>164</v>
      </c>
      <c r="B297" s="8" t="s">
        <v>53</v>
      </c>
      <c r="C297" s="12">
        <f>COUNTIFS('DEF_SELF_SCOUT_IMPORT'!$L$42:$L$1040,"Y",'DEF_SELF_SCOUT_IMPORT'!$E$42:$E$1040,SUBSTITUTE(SUBSTITUTE(SUBSTITUTE($B297,"~","~~"),"*","~*"),"?","~?"),'DEF_SELF_SCOUT_IMPORT'!$Q$42:$Q$1040,SUBSTITUTE(SUBSTITUTE(SUBSTITUTE($M297,"~","~~"),"*","~*"),"?","~?"),'DEF_SELF_SCOUT_IMPORT'!$F$42:$F$1040,SUBSTITUTE(SUBSTITUTE(SUBSTITUTE($N297,"~","~~"),"*","~*"),"?","~?"))</f>
        <v>1</v>
      </c>
      <c r="D297" s="10">
        <f>IF($C297=0,"",SUMIFS('DEF_SELF_SCOUT_IMPORT'!$J$42:$J$1040,'DEF_SELF_SCOUT_IMPORT'!$L$42:$L$1040,"Y",'DEF_SELF_SCOUT_IMPORT'!$E$42:$E$1040,SUBSTITUTE(SUBSTITUTE(SUBSTITUTE($B297,"~","~~"),"*","~*"),"?","~?"),'DEF_SELF_SCOUT_IMPORT'!$Q$42:$Q$1040,SUBSTITUTE(SUBSTITUTE(SUBSTITUTE($M297,"~","~~"),"*","~*"),"?","~?"),'DEF_SELF_SCOUT_IMPORT'!$F$42:$F$1040,SUBSTITUTE(SUBSTITUTE(SUBSTITUTE($N297,"~","~~"),"*","~*"),"?","~?"))/$C297)</f>
        <v>0.0</v>
      </c>
      <c r="E297" s="10">
        <f>IF($C297=0,"",SUMIFS('DEF_SELF_SCOUT_IMPORT'!$K$42:$K$1040,'DEF_SELF_SCOUT_IMPORT'!$L$42:$L$1040,"Y",'DEF_SELF_SCOUT_IMPORT'!$E$42:$E$1040,SUBSTITUTE(SUBSTITUTE(SUBSTITUTE($B297,"~","~~"),"*","~*"),"?","~?"),'DEF_SELF_SCOUT_IMPORT'!$Q$42:$Q$1040,SUBSTITUTE(SUBSTITUTE(SUBSTITUTE($M297,"~","~~"),"*","~*"),"?","~?"),'DEF_SELF_SCOUT_IMPORT'!$F$42:$F$1040,SUBSTITUTE(SUBSTITUTE(SUBSTITUTE($N297,"~","~~"),"*","~*"),"?","~?"))/$C297)</f>
        <v>0.0</v>
      </c>
      <c r="F297" s="11">
        <f>IF($C297=0,"",AVERAGEIFS('DEF_SELF_SCOUT_IMPORT'!$I$42:$I$1040,'DEF_SELF_SCOUT_IMPORT'!$L$42:$L$1040,"Y",'DEF_SELF_SCOUT_IMPORT'!$E$42:$E$1040,SUBSTITUTE(SUBSTITUTE(SUBSTITUTE($B297,"~","~~"),"*","~*"),"?","~?"),'DEF_SELF_SCOUT_IMPORT'!$Q$42:$Q$1040,SUBSTITUTE(SUBSTITUTE(SUBSTITUTE($M297,"~","~~"),"*","~*"),"?","~?"),'DEF_SELF_SCOUT_IMPORT'!$F$42:$F$1040,SUBSTITUTE(SUBSTITUTE(SUBSTITUTE($N297,"~","~~"),"*","~*"),"?","~?")))</f>
        <v>11.0</v>
      </c>
      <c r="G297" s="10">
        <f>IF($C297=0,"",COUNTIFS('DEF_SELF_SCOUT_IMPORT'!$L$42:$L$1040,"Y",'DEF_SELF_SCOUT_IMPORT'!$E$42:$E$1040,SUBSTITUTE(SUBSTITUTE(SUBSTITUTE($B297,"~","~~"),"*","~*"),"?","~?"),'DEF_SELF_SCOUT_IMPORT'!$Q$42:$Q$1040,SUBSTITUTE(SUBSTITUTE(SUBSTITUTE($M297,"~","~~"),"*","~*"),"?","~?"),'DEF_SELF_SCOUT_IMPORT'!$F$42:$F$1040,SUBSTITUTE(SUBSTITUTE(SUBSTITUTE($N297,"~","~~"),"*","~*"),"?","~?"),'DEF_SELF_SCOUT_IMPORT'!$H$42:$H$1040,"RUSH")/$C297)</f>
        <v>1.0</v>
      </c>
      <c r="H297" s="10">
        <f>IF($C297=0,"",COUNTIFS('DEF_SELF_SCOUT_IMPORT'!$L$42:$L$1040,"Y",'DEF_SELF_SCOUT_IMPORT'!$E$42:$E$1040,SUBSTITUTE(SUBSTITUTE(SUBSTITUTE($B297,"~","~~"),"*","~*"),"?","~?"),'DEF_SELF_SCOUT_IMPORT'!$Q$42:$Q$1040,SUBSTITUTE(SUBSTITUTE(SUBSTITUTE($M297,"~","~~"),"*","~*"),"?","~?"),'DEF_SELF_SCOUT_IMPORT'!$F$42:$F$1040,SUBSTITUTE(SUBSTITUTE(SUBSTITUTE($N297,"~","~~"),"*","~*"),"?","~?"),'DEF_SELF_SCOUT_IMPORT'!$H$42:$H$1040,"DROPBACK")/$C297)</f>
        <v>0.0</v>
      </c>
      <c r="I297" s="14" t="str">
        <f>IF(C297=0,"",IF(C297&lt;=2,"TRACK",IF(C297=3,"LOW",IF(C297&lt;=6,"MEDIUM","HIGH"))))</f>
        <v>TRACK</v>
      </c>
      <c r="J297" s="11">
        <f>IF(C297=0,"",ROUND(D297*70+(1-E297)*20+MAX(0,MIN(1,(10-F297)/10))*10,1))</f>
        <v>20.0</v>
      </c>
      <c r="K297" s="14" t="str">
        <f>IF(C297=0,"No Evidence",IF(C297&lt;=2,IF(E297&gt;0,"Explosive Alert","Track Only"),IF(C297=3,"Sample Watch",IF(E297&gt;=START_HERE!$B$31,"Explosive Alert",IF(J297&gt;=80,"Strong Candidate",IF(J297&gt;=65,"Good Candidate",IF(J297&gt;=50,"Mixed / Review","Problem Call")))))))</f>
        <v>Track Only</v>
      </c>
      <c r="L297" s="9" t="str">
        <f>IF(COUNTIFS('DEF_SELF_SCOUT_IMPORT'!$L$42:$L$1040,"Y",'DEF_SELF_SCOUT_IMPORT'!$E$42:$E$1040,SUBSTITUTE(SUBSTITUTE(SUBSTITUTE($B297,"~","~~"),"*","~*"),"?","~?"),'DEF_SELF_SCOUT_IMPORT'!$Q$42:$Q$1040,SUBSTITUTE(SUBSTITUTE(SUBSTITUTE($M297,"~","~~"),"*","~*"),"?","~?"),'DEF_SELF_SCOUT_IMPORT'!$F$42:$F$1040,SUBSTITUTE(SUBSTITUTE(SUBSTITUTE($N297,"~","~~"),"*","~*"),"?","~?"),'DEF_SELF_SCOUT_IMPORT'!$J$42:$J$1040,"")&gt;0,"Unscored clean outcome; review result tags before using score.",IF(C297=0,"No matching defensive reps; film confirmation needed.",IF(K297="Explosive Alert","Explosive risk; review clips before using as answer.",IF(C297&lt;=2,"Track only; not enough sample.",IF(C297=3,IF(E297&gt;0,"Sample watch with explosive exposure; review clips and build the sample.",IF(J297&gt;=65,"Good signal, but sample is limited.","Sample watch; review clips and build the sample.")),IF(K297="Problem Call","Problem area; practice or call-sheet review.",IF(K297="Strong Candidate","Strong call-fit candidate; confirm on film.",IF(K297="Good Candidate","Good call-fit signal; confirm on film.","Mixed signal; review fit and execution on film."))))))))</f>
        <v>Track only; not enough sample.</v>
      </c>
      <c r="M297" s="8" t="s">
        <v>92</v>
      </c>
      <c r="N297" s="8" t="s">
        <v>132</v>
      </c>
      <c r="O297" s="8"/>
      <c r="P297" s="8"/>
      <c r="Q297" s="8"/>
      <c r="R297" s="8" t="s">
        <v>28</v>
      </c>
      <c r="S297" s="2" t="s">
        <v>165</v>
      </c>
      <c r="T297" s="2">
        <f>IF(C297=0,0,IF(C297&gt;=CALL_LOOKUP_BOARD!$B$7,IF(OR(K297="Problem Call",K297="Explosive Alert"),10000000,20000000),0)+IF(C297&gt;=CALL_LOOKUP_BOARD!$B$7,J297*1000+MIN(C297,999),C297*1000+J297)+0.00988800)</f>
        <v>1020.009888</v>
      </c>
      <c r="U297" s="2">
        <f>IF(C297=0,"",IF(COUNTIFS($S$186:$S$367,SUBSTITUTE(SUBSTITUTE(SUBSTITUTE(S297,"~","~~"),"*","~*"),"?","~?"),$T$186:$T$367,"&gt;"&amp;T297)=0,S297,""))</f>
        <v/>
      </c>
    </row>
    <row r="298" spans="1:21" ht="38" customHeight="1">
      <c r="A298" s="8" t="s">
        <v>166</v>
      </c>
      <c r="B298" s="8" t="s">
        <v>93</v>
      </c>
      <c r="C298" s="12">
        <f>COUNTIFS('DEF_SELF_SCOUT_IMPORT'!$L$42:$L$1040,"Y",'DEF_SELF_SCOUT_IMPORT'!$E$42:$E$1040,SUBSTITUTE(SUBSTITUTE(SUBSTITUTE($B298,"~","~~"),"*","~*"),"?","~?"),'DEF_SELF_SCOUT_IMPORT'!$Q$42:$Q$1040,SUBSTITUTE(SUBSTITUTE(SUBSTITUTE($M298,"~","~~"),"*","~*"),"?","~?"),'DEF_SELF_SCOUT_IMPORT'!$F$42:$F$1040,SUBSTITUTE(SUBSTITUTE(SUBSTITUTE($N298,"~","~~"),"*","~*"),"?","~?"))</f>
        <v>1</v>
      </c>
      <c r="D298" s="10">
        <f>IF($C298=0,"",SUMIFS('DEF_SELF_SCOUT_IMPORT'!$J$42:$J$1040,'DEF_SELF_SCOUT_IMPORT'!$L$42:$L$1040,"Y",'DEF_SELF_SCOUT_IMPORT'!$E$42:$E$1040,SUBSTITUTE(SUBSTITUTE(SUBSTITUTE($B298,"~","~~"),"*","~*"),"?","~?"),'DEF_SELF_SCOUT_IMPORT'!$Q$42:$Q$1040,SUBSTITUTE(SUBSTITUTE(SUBSTITUTE($M298,"~","~~"),"*","~*"),"?","~?"),'DEF_SELF_SCOUT_IMPORT'!$F$42:$F$1040,SUBSTITUTE(SUBSTITUTE(SUBSTITUTE($N298,"~","~~"),"*","~*"),"?","~?"))/$C298)</f>
        <v>1.0</v>
      </c>
      <c r="E298" s="10">
        <f>IF($C298=0,"",SUMIFS('DEF_SELF_SCOUT_IMPORT'!$K$42:$K$1040,'DEF_SELF_SCOUT_IMPORT'!$L$42:$L$1040,"Y",'DEF_SELF_SCOUT_IMPORT'!$E$42:$E$1040,SUBSTITUTE(SUBSTITUTE(SUBSTITUTE($B298,"~","~~"),"*","~*"),"?","~?"),'DEF_SELF_SCOUT_IMPORT'!$Q$42:$Q$1040,SUBSTITUTE(SUBSTITUTE(SUBSTITUTE($M298,"~","~~"),"*","~*"),"?","~?"),'DEF_SELF_SCOUT_IMPORT'!$F$42:$F$1040,SUBSTITUTE(SUBSTITUTE(SUBSTITUTE($N298,"~","~~"),"*","~*"),"?","~?"))/$C298)</f>
        <v>0.0</v>
      </c>
      <c r="F298" s="11">
        <f>IF($C298=0,"",AVERAGEIFS('DEF_SELF_SCOUT_IMPORT'!$I$42:$I$1040,'DEF_SELF_SCOUT_IMPORT'!$L$42:$L$1040,"Y",'DEF_SELF_SCOUT_IMPORT'!$E$42:$E$1040,SUBSTITUTE(SUBSTITUTE(SUBSTITUTE($B298,"~","~~"),"*","~*"),"?","~?"),'DEF_SELF_SCOUT_IMPORT'!$Q$42:$Q$1040,SUBSTITUTE(SUBSTITUTE(SUBSTITUTE($M298,"~","~~"),"*","~*"),"?","~?"),'DEF_SELF_SCOUT_IMPORT'!$F$42:$F$1040,SUBSTITUTE(SUBSTITUTE(SUBSTITUTE($N298,"~","~~"),"*","~*"),"?","~?")))</f>
        <v>0.0</v>
      </c>
      <c r="G298" s="10">
        <f>IF($C298=0,"",COUNTIFS('DEF_SELF_SCOUT_IMPORT'!$L$42:$L$1040,"Y",'DEF_SELF_SCOUT_IMPORT'!$E$42:$E$1040,SUBSTITUTE(SUBSTITUTE(SUBSTITUTE($B298,"~","~~"),"*","~*"),"?","~?"),'DEF_SELF_SCOUT_IMPORT'!$Q$42:$Q$1040,SUBSTITUTE(SUBSTITUTE(SUBSTITUTE($M298,"~","~~"),"*","~*"),"?","~?"),'DEF_SELF_SCOUT_IMPORT'!$F$42:$F$1040,SUBSTITUTE(SUBSTITUTE(SUBSTITUTE($N298,"~","~~"),"*","~*"),"?","~?"),'DEF_SELF_SCOUT_IMPORT'!$H$42:$H$1040,"RUSH")/$C298)</f>
        <v>0.0</v>
      </c>
      <c r="H298" s="10">
        <f>IF($C298=0,"",COUNTIFS('DEF_SELF_SCOUT_IMPORT'!$L$42:$L$1040,"Y",'DEF_SELF_SCOUT_IMPORT'!$E$42:$E$1040,SUBSTITUTE(SUBSTITUTE(SUBSTITUTE($B298,"~","~~"),"*","~*"),"?","~?"),'DEF_SELF_SCOUT_IMPORT'!$Q$42:$Q$1040,SUBSTITUTE(SUBSTITUTE(SUBSTITUTE($M298,"~","~~"),"*","~*"),"?","~?"),'DEF_SELF_SCOUT_IMPORT'!$F$42:$F$1040,SUBSTITUTE(SUBSTITUTE(SUBSTITUTE($N298,"~","~~"),"*","~*"),"?","~?"),'DEF_SELF_SCOUT_IMPORT'!$H$42:$H$1040,"DROPBACK")/$C298)</f>
        <v>1.0</v>
      </c>
      <c r="I298" s="14" t="str">
        <f>IF(C298=0,"",IF(C298&lt;=2,"TRACK",IF(C298=3,"LOW",IF(C298&lt;=6,"MEDIUM","HIGH"))))</f>
        <v>TRACK</v>
      </c>
      <c r="J298" s="11">
        <f>IF(C298=0,"",ROUND(D298*70+(1-E298)*20+MAX(0,MIN(1,(10-F298)/10))*10,1))</f>
        <v>100.0</v>
      </c>
      <c r="K298" s="14" t="str">
        <f>IF(C298=0,"No Evidence",IF(C298&lt;=2,IF(E298&gt;0,"Explosive Alert","Track Only"),IF(C298=3,"Sample Watch",IF(E298&gt;=START_HERE!$B$31,"Explosive Alert",IF(J298&gt;=80,"Strong Candidate",IF(J298&gt;=65,"Good Candidate",IF(J298&gt;=50,"Mixed / Review","Problem Call")))))))</f>
        <v>Track Only</v>
      </c>
      <c r="L298" s="9" t="str">
        <f>IF(COUNTIFS('DEF_SELF_SCOUT_IMPORT'!$L$42:$L$1040,"Y",'DEF_SELF_SCOUT_IMPORT'!$E$42:$E$1040,SUBSTITUTE(SUBSTITUTE(SUBSTITUTE($B298,"~","~~"),"*","~*"),"?","~?"),'DEF_SELF_SCOUT_IMPORT'!$Q$42:$Q$1040,SUBSTITUTE(SUBSTITUTE(SUBSTITUTE($M298,"~","~~"),"*","~*"),"?","~?"),'DEF_SELF_SCOUT_IMPORT'!$F$42:$F$1040,SUBSTITUTE(SUBSTITUTE(SUBSTITUTE($N298,"~","~~"),"*","~*"),"?","~?"),'DEF_SELF_SCOUT_IMPORT'!$J$42:$J$1040,"")&gt;0,"Unscored clean outcome; review result tags before using score.",IF(C298=0,"No matching defensive reps; film confirmation needed.",IF(K298="Explosive Alert","Explosive risk; review clips before using as answer.",IF(C298&lt;=2,"Track only; not enough sample.",IF(C298=3,IF(E298&gt;0,"Sample watch with explosive exposure; review clips and build the sample.",IF(J298&gt;=65,"Good signal, but sample is limited.","Sample watch; review clips and build the sample.")),IF(K298="Problem Call","Problem area; practice or call-sheet review.",IF(K298="Strong Candidate","Strong call-fit candidate; confirm on film.",IF(K298="Good Candidate","Good call-fit signal; confirm on film.","Mixed signal; review fit and execution on film."))))))))</f>
        <v>Track only; not enough sample.</v>
      </c>
      <c r="M298" s="8" t="s">
        <v>92</v>
      </c>
      <c r="N298" s="8" t="s">
        <v>120</v>
      </c>
      <c r="O298" s="8"/>
      <c r="P298" s="8"/>
      <c r="Q298" s="8"/>
      <c r="R298" s="8" t="s">
        <v>28</v>
      </c>
      <c r="S298" s="2" t="s">
        <v>167</v>
      </c>
      <c r="T298" s="2">
        <f>IF(C298=0,0,IF(C298&gt;=CALL_LOOKUP_BOARD!$B$7,IF(OR(K298="Problem Call",K298="Explosive Alert"),10000000,20000000),0)+IF(C298&gt;=CALL_LOOKUP_BOARD!$B$7,J298*1000+MIN(C298,999),C298*1000+J298)+0.00988700)</f>
        <v>1100.009887</v>
      </c>
      <c r="U298" s="2" t="str">
        <f>IF(C298=0,"",IF(COUNTIFS($S$186:$S$367,SUBSTITUTE(SUBSTITUTE(SUBSTITUTE(S298,"~","~~"),"*","~*"),"?","~?"),$T$186:$T$367,"&gt;"&amp;T298)=0,S298,""))</f>
        <v>6:3D 1-3|2:11|</v>
      </c>
    </row>
    <row r="299" spans="1:21" ht="38" customHeight="1">
      <c r="A299" s="8" t="s">
        <v>166</v>
      </c>
      <c r="B299" s="8" t="s">
        <v>77</v>
      </c>
      <c r="C299" s="12">
        <f>COUNTIFS('DEF_SELF_SCOUT_IMPORT'!$L$42:$L$1040,"Y",'DEF_SELF_SCOUT_IMPORT'!$E$42:$E$1040,SUBSTITUTE(SUBSTITUTE(SUBSTITUTE($B299,"~","~~"),"*","~*"),"?","~?"),'DEF_SELF_SCOUT_IMPORT'!$Q$42:$Q$1040,SUBSTITUTE(SUBSTITUTE(SUBSTITUTE($M299,"~","~~"),"*","~*"),"?","~?"),'DEF_SELF_SCOUT_IMPORT'!$F$42:$F$1040,SUBSTITUTE(SUBSTITUTE(SUBSTITUTE($N299,"~","~~"),"*","~*"),"?","~?"))</f>
        <v>1</v>
      </c>
      <c r="D299" s="10">
        <f>IF($C299=0,"",SUMIFS('DEF_SELF_SCOUT_IMPORT'!$J$42:$J$1040,'DEF_SELF_SCOUT_IMPORT'!$L$42:$L$1040,"Y",'DEF_SELF_SCOUT_IMPORT'!$E$42:$E$1040,SUBSTITUTE(SUBSTITUTE(SUBSTITUTE($B299,"~","~~"),"*","~*"),"?","~?"),'DEF_SELF_SCOUT_IMPORT'!$Q$42:$Q$1040,SUBSTITUTE(SUBSTITUTE(SUBSTITUTE($M299,"~","~~"),"*","~*"),"?","~?"),'DEF_SELF_SCOUT_IMPORT'!$F$42:$F$1040,SUBSTITUTE(SUBSTITUTE(SUBSTITUTE($N299,"~","~~"),"*","~*"),"?","~?"))/$C299)</f>
        <v>0.0</v>
      </c>
      <c r="E299" s="10">
        <f>IF($C299=0,"",SUMIFS('DEF_SELF_SCOUT_IMPORT'!$K$42:$K$1040,'DEF_SELF_SCOUT_IMPORT'!$L$42:$L$1040,"Y",'DEF_SELF_SCOUT_IMPORT'!$E$42:$E$1040,SUBSTITUTE(SUBSTITUTE(SUBSTITUTE($B299,"~","~~"),"*","~*"),"?","~?"),'DEF_SELF_SCOUT_IMPORT'!$Q$42:$Q$1040,SUBSTITUTE(SUBSTITUTE(SUBSTITUTE($M299,"~","~~"),"*","~*"),"?","~?"),'DEF_SELF_SCOUT_IMPORT'!$F$42:$F$1040,SUBSTITUTE(SUBSTITUTE(SUBSTITUTE($N299,"~","~~"),"*","~*"),"?","~?"))/$C299)</f>
        <v>0.0</v>
      </c>
      <c r="F299" s="11">
        <f>IF($C299=0,"",AVERAGEIFS('DEF_SELF_SCOUT_IMPORT'!$I$42:$I$1040,'DEF_SELF_SCOUT_IMPORT'!$L$42:$L$1040,"Y",'DEF_SELF_SCOUT_IMPORT'!$E$42:$E$1040,SUBSTITUTE(SUBSTITUTE(SUBSTITUTE($B299,"~","~~"),"*","~*"),"?","~?"),'DEF_SELF_SCOUT_IMPORT'!$Q$42:$Q$1040,SUBSTITUTE(SUBSTITUTE(SUBSTITUTE($M299,"~","~~"),"*","~*"),"?","~?"),'DEF_SELF_SCOUT_IMPORT'!$F$42:$F$1040,SUBSTITUTE(SUBSTITUTE(SUBSTITUTE($N299,"~","~~"),"*","~*"),"?","~?")))</f>
        <v>1.0</v>
      </c>
      <c r="G299" s="10">
        <f>IF($C299=0,"",COUNTIFS('DEF_SELF_SCOUT_IMPORT'!$L$42:$L$1040,"Y",'DEF_SELF_SCOUT_IMPORT'!$E$42:$E$1040,SUBSTITUTE(SUBSTITUTE(SUBSTITUTE($B299,"~","~~"),"*","~*"),"?","~?"),'DEF_SELF_SCOUT_IMPORT'!$Q$42:$Q$1040,SUBSTITUTE(SUBSTITUTE(SUBSTITUTE($M299,"~","~~"),"*","~*"),"?","~?"),'DEF_SELF_SCOUT_IMPORT'!$F$42:$F$1040,SUBSTITUTE(SUBSTITUTE(SUBSTITUTE($N299,"~","~~"),"*","~*"),"?","~?"),'DEF_SELF_SCOUT_IMPORT'!$H$42:$H$1040,"RUSH")/$C299)</f>
        <v>1.0</v>
      </c>
      <c r="H299" s="10">
        <f>IF($C299=0,"",COUNTIFS('DEF_SELF_SCOUT_IMPORT'!$L$42:$L$1040,"Y",'DEF_SELF_SCOUT_IMPORT'!$E$42:$E$1040,SUBSTITUTE(SUBSTITUTE(SUBSTITUTE($B299,"~","~~"),"*","~*"),"?","~?"),'DEF_SELF_SCOUT_IMPORT'!$Q$42:$Q$1040,SUBSTITUTE(SUBSTITUTE(SUBSTITUTE($M299,"~","~~"),"*","~*"),"?","~?"),'DEF_SELF_SCOUT_IMPORT'!$F$42:$F$1040,SUBSTITUTE(SUBSTITUTE(SUBSTITUTE($N299,"~","~~"),"*","~*"),"?","~?"),'DEF_SELF_SCOUT_IMPORT'!$H$42:$H$1040,"DROPBACK")/$C299)</f>
        <v>0.0</v>
      </c>
      <c r="I299" s="14" t="str">
        <f>IF(C299=0,"",IF(C299&lt;=2,"TRACK",IF(C299=3,"LOW",IF(C299&lt;=6,"MEDIUM","HIGH"))))</f>
        <v>TRACK</v>
      </c>
      <c r="J299" s="11">
        <f>IF(C299=0,"",ROUND(D299*70+(1-E299)*20+MAX(0,MIN(1,(10-F299)/10))*10,1))</f>
        <v>29.0</v>
      </c>
      <c r="K299" s="14" t="str">
        <f>IF(C299=0,"No Evidence",IF(C299&lt;=2,IF(E299&gt;0,"Explosive Alert","Track Only"),IF(C299=3,"Sample Watch",IF(E299&gt;=START_HERE!$B$31,"Explosive Alert",IF(J299&gt;=80,"Strong Candidate",IF(J299&gt;=65,"Good Candidate",IF(J299&gt;=50,"Mixed / Review","Problem Call")))))))</f>
        <v>Track Only</v>
      </c>
      <c r="L299" s="9" t="str">
        <f>IF(COUNTIFS('DEF_SELF_SCOUT_IMPORT'!$L$42:$L$1040,"Y",'DEF_SELF_SCOUT_IMPORT'!$E$42:$E$1040,SUBSTITUTE(SUBSTITUTE(SUBSTITUTE($B299,"~","~~"),"*","~*"),"?","~?"),'DEF_SELF_SCOUT_IMPORT'!$Q$42:$Q$1040,SUBSTITUTE(SUBSTITUTE(SUBSTITUTE($M299,"~","~~"),"*","~*"),"?","~?"),'DEF_SELF_SCOUT_IMPORT'!$F$42:$F$1040,SUBSTITUTE(SUBSTITUTE(SUBSTITUTE($N299,"~","~~"),"*","~*"),"?","~?"),'DEF_SELF_SCOUT_IMPORT'!$J$42:$J$1040,"")&gt;0,"Unscored clean outcome; review result tags before using score.",IF(C299=0,"No matching defensive reps; film confirmation needed.",IF(K299="Explosive Alert","Explosive risk; review clips before using as answer.",IF(C299&lt;=2,"Track only; not enough sample.",IF(C299=3,IF(E299&gt;0,"Sample watch with explosive exposure; review clips and build the sample.",IF(J299&gt;=65,"Good signal, but sample is limited.","Sample watch; review clips and build the sample.")),IF(K299="Problem Call","Problem area; practice or call-sheet review.",IF(K299="Strong Candidate","Strong call-fit candidate; confirm on film.",IF(K299="Good Candidate","Good call-fit signal; confirm on film.","Mixed signal; review fit and execution on film."))))))))</f>
        <v>Track only; not enough sample.</v>
      </c>
      <c r="M299" s="8" t="s">
        <v>92</v>
      </c>
      <c r="N299" s="8" t="s">
        <v>120</v>
      </c>
      <c r="O299" s="8"/>
      <c r="P299" s="8"/>
      <c r="Q299" s="8"/>
      <c r="R299" s="8" t="s">
        <v>28</v>
      </c>
      <c r="S299" s="2" t="s">
        <v>167</v>
      </c>
      <c r="T299" s="2">
        <f>IF(C299=0,0,IF(C299&gt;=CALL_LOOKUP_BOARD!$B$7,IF(OR(K299="Problem Call",K299="Explosive Alert"),10000000,20000000),0)+IF(C299&gt;=CALL_LOOKUP_BOARD!$B$7,J299*1000+MIN(C299,999),C299*1000+J299)+0.00988600)</f>
        <v>1029.009886</v>
      </c>
      <c r="U299" s="2">
        <f>IF(C299=0,"",IF(COUNTIFS($S$186:$S$367,SUBSTITUTE(SUBSTITUTE(SUBSTITUTE(S299,"~","~~"),"*","~*"),"?","~?"),$T$186:$T$367,"&gt;"&amp;T299)=0,S299,""))</f>
        <v/>
      </c>
    </row>
    <row r="300" spans="1:21" ht="38" customHeight="1">
      <c r="A300" s="8" t="s">
        <v>166</v>
      </c>
      <c r="B300" s="8" t="s">
        <v>60</v>
      </c>
      <c r="C300" s="12">
        <f>COUNTIFS('DEF_SELF_SCOUT_IMPORT'!$L$42:$L$1040,"Y",'DEF_SELF_SCOUT_IMPORT'!$E$42:$E$1040,SUBSTITUTE(SUBSTITUTE(SUBSTITUTE($B300,"~","~~"),"*","~*"),"?","~?"),'DEF_SELF_SCOUT_IMPORT'!$Q$42:$Q$1040,SUBSTITUTE(SUBSTITUTE(SUBSTITUTE($M300,"~","~~"),"*","~*"),"?","~?"),'DEF_SELF_SCOUT_IMPORT'!$F$42:$F$1040,SUBSTITUTE(SUBSTITUTE(SUBSTITUTE($N300,"~","~~"),"*","~*"),"?","~?"))</f>
        <v>1</v>
      </c>
      <c r="D300" s="10">
        <f>IF($C300=0,"",SUMIFS('DEF_SELF_SCOUT_IMPORT'!$J$42:$J$1040,'DEF_SELF_SCOUT_IMPORT'!$L$42:$L$1040,"Y",'DEF_SELF_SCOUT_IMPORT'!$E$42:$E$1040,SUBSTITUTE(SUBSTITUTE(SUBSTITUTE($B300,"~","~~"),"*","~*"),"?","~?"),'DEF_SELF_SCOUT_IMPORT'!$Q$42:$Q$1040,SUBSTITUTE(SUBSTITUTE(SUBSTITUTE($M300,"~","~~"),"*","~*"),"?","~?"),'DEF_SELF_SCOUT_IMPORT'!$F$42:$F$1040,SUBSTITUTE(SUBSTITUTE(SUBSTITUTE($N300,"~","~~"),"*","~*"),"?","~?"))/$C300)</f>
        <v>0.0</v>
      </c>
      <c r="E300" s="10">
        <f>IF($C300=0,"",SUMIFS('DEF_SELF_SCOUT_IMPORT'!$K$42:$K$1040,'DEF_SELF_SCOUT_IMPORT'!$L$42:$L$1040,"Y",'DEF_SELF_SCOUT_IMPORT'!$E$42:$E$1040,SUBSTITUTE(SUBSTITUTE(SUBSTITUTE($B300,"~","~~"),"*","~*"),"?","~?"),'DEF_SELF_SCOUT_IMPORT'!$Q$42:$Q$1040,SUBSTITUTE(SUBSTITUTE(SUBSTITUTE($M300,"~","~~"),"*","~*"),"?","~?"),'DEF_SELF_SCOUT_IMPORT'!$F$42:$F$1040,SUBSTITUTE(SUBSTITUTE(SUBSTITUTE($N300,"~","~~"),"*","~*"),"?","~?"))/$C300)</f>
        <v>0.0</v>
      </c>
      <c r="F300" s="11">
        <f>IF($C300=0,"",AVERAGEIFS('DEF_SELF_SCOUT_IMPORT'!$I$42:$I$1040,'DEF_SELF_SCOUT_IMPORT'!$L$42:$L$1040,"Y",'DEF_SELF_SCOUT_IMPORT'!$E$42:$E$1040,SUBSTITUTE(SUBSTITUTE(SUBSTITUTE($B300,"~","~~"),"*","~*"),"?","~?"),'DEF_SELF_SCOUT_IMPORT'!$Q$42:$Q$1040,SUBSTITUTE(SUBSTITUTE(SUBSTITUTE($M300,"~","~~"),"*","~*"),"?","~?"),'DEF_SELF_SCOUT_IMPORT'!$F$42:$F$1040,SUBSTITUTE(SUBSTITUTE(SUBSTITUTE($N300,"~","~~"),"*","~*"),"?","~?")))</f>
        <v>2.0</v>
      </c>
      <c r="G300" s="10">
        <f>IF($C300=0,"",COUNTIFS('DEF_SELF_SCOUT_IMPORT'!$L$42:$L$1040,"Y",'DEF_SELF_SCOUT_IMPORT'!$E$42:$E$1040,SUBSTITUTE(SUBSTITUTE(SUBSTITUTE($B300,"~","~~"),"*","~*"),"?","~?"),'DEF_SELF_SCOUT_IMPORT'!$Q$42:$Q$1040,SUBSTITUTE(SUBSTITUTE(SUBSTITUTE($M300,"~","~~"),"*","~*"),"?","~?"),'DEF_SELF_SCOUT_IMPORT'!$F$42:$F$1040,SUBSTITUTE(SUBSTITUTE(SUBSTITUTE($N300,"~","~~"),"*","~*"),"?","~?"),'DEF_SELF_SCOUT_IMPORT'!$H$42:$H$1040,"RUSH")/$C300)</f>
        <v>1.0</v>
      </c>
      <c r="H300" s="10">
        <f>IF($C300=0,"",COUNTIFS('DEF_SELF_SCOUT_IMPORT'!$L$42:$L$1040,"Y",'DEF_SELF_SCOUT_IMPORT'!$E$42:$E$1040,SUBSTITUTE(SUBSTITUTE(SUBSTITUTE($B300,"~","~~"),"*","~*"),"?","~?"),'DEF_SELF_SCOUT_IMPORT'!$Q$42:$Q$1040,SUBSTITUTE(SUBSTITUTE(SUBSTITUTE($M300,"~","~~"),"*","~*"),"?","~?"),'DEF_SELF_SCOUT_IMPORT'!$F$42:$F$1040,SUBSTITUTE(SUBSTITUTE(SUBSTITUTE($N300,"~","~~"),"*","~*"),"?","~?"),'DEF_SELF_SCOUT_IMPORT'!$H$42:$H$1040,"DROPBACK")/$C300)</f>
        <v>0.0</v>
      </c>
      <c r="I300" s="14" t="str">
        <f>IF(C300=0,"",IF(C300&lt;=2,"TRACK",IF(C300=3,"LOW",IF(C300&lt;=6,"MEDIUM","HIGH"))))</f>
        <v>TRACK</v>
      </c>
      <c r="J300" s="11">
        <f>IF(C300=0,"",ROUND(D300*70+(1-E300)*20+MAX(0,MIN(1,(10-F300)/10))*10,1))</f>
        <v>28.0</v>
      </c>
      <c r="K300" s="14" t="str">
        <f>IF(C300=0,"No Evidence",IF(C300&lt;=2,IF(E300&gt;0,"Explosive Alert","Track Only"),IF(C300=3,"Sample Watch",IF(E300&gt;=START_HERE!$B$31,"Explosive Alert",IF(J300&gt;=80,"Strong Candidate",IF(J300&gt;=65,"Good Candidate",IF(J300&gt;=50,"Mixed / Review","Problem Call")))))))</f>
        <v>Track Only</v>
      </c>
      <c r="L300" s="9" t="str">
        <f>IF(COUNTIFS('DEF_SELF_SCOUT_IMPORT'!$L$42:$L$1040,"Y",'DEF_SELF_SCOUT_IMPORT'!$E$42:$E$1040,SUBSTITUTE(SUBSTITUTE(SUBSTITUTE($B300,"~","~~"),"*","~*"),"?","~?"),'DEF_SELF_SCOUT_IMPORT'!$Q$42:$Q$1040,SUBSTITUTE(SUBSTITUTE(SUBSTITUTE($M300,"~","~~"),"*","~*"),"?","~?"),'DEF_SELF_SCOUT_IMPORT'!$F$42:$F$1040,SUBSTITUTE(SUBSTITUTE(SUBSTITUTE($N300,"~","~~"),"*","~*"),"?","~?"),'DEF_SELF_SCOUT_IMPORT'!$J$42:$J$1040,"")&gt;0,"Unscored clean outcome; review result tags before using score.",IF(C300=0,"No matching defensive reps; film confirmation needed.",IF(K300="Explosive Alert","Explosive risk; review clips before using as answer.",IF(C300&lt;=2,"Track only; not enough sample.",IF(C300=3,IF(E300&gt;0,"Sample watch with explosive exposure; review clips and build the sample.",IF(J300&gt;=65,"Good signal, but sample is limited.","Sample watch; review clips and build the sample.")),IF(K300="Problem Call","Problem area; practice or call-sheet review.",IF(K300="Strong Candidate","Strong call-fit candidate; confirm on film.",IF(K300="Good Candidate","Good call-fit signal; confirm on film.","Mixed signal; review fit and execution on film."))))))))</f>
        <v>Track only; not enough sample.</v>
      </c>
      <c r="M300" s="8" t="s">
        <v>92</v>
      </c>
      <c r="N300" s="8" t="s">
        <v>120</v>
      </c>
      <c r="O300" s="8"/>
      <c r="P300" s="8"/>
      <c r="Q300" s="8"/>
      <c r="R300" s="8" t="s">
        <v>28</v>
      </c>
      <c r="S300" s="2" t="s">
        <v>167</v>
      </c>
      <c r="T300" s="2">
        <f>IF(C300=0,0,IF(C300&gt;=CALL_LOOKUP_BOARD!$B$7,IF(OR(K300="Problem Call",K300="Explosive Alert"),10000000,20000000),0)+IF(C300&gt;=CALL_LOOKUP_BOARD!$B$7,J300*1000+MIN(C300,999),C300*1000+J300)+0.00988500)</f>
        <v>1028.009885</v>
      </c>
      <c r="U300" s="2">
        <f>IF(C300=0,"",IF(COUNTIFS($S$186:$S$367,SUBSTITUTE(SUBSTITUTE(SUBSTITUTE(S300,"~","~~"),"*","~*"),"?","~?"),$T$186:$T$367,"&gt;"&amp;T300)=0,S300,""))</f>
        <v/>
      </c>
    </row>
    <row r="301" spans="1:21" ht="38" customHeight="1">
      <c r="A301" s="8" t="s">
        <v>166</v>
      </c>
      <c r="B301" s="8" t="s">
        <v>66</v>
      </c>
      <c r="C301" s="12">
        <f>COUNTIFS('DEF_SELF_SCOUT_IMPORT'!$L$42:$L$1040,"Y",'DEF_SELF_SCOUT_IMPORT'!$E$42:$E$1040,SUBSTITUTE(SUBSTITUTE(SUBSTITUTE($B301,"~","~~"),"*","~*"),"?","~?"),'DEF_SELF_SCOUT_IMPORT'!$Q$42:$Q$1040,SUBSTITUTE(SUBSTITUTE(SUBSTITUTE($M301,"~","~~"),"*","~*"),"?","~?"),'DEF_SELF_SCOUT_IMPORT'!$F$42:$F$1040,SUBSTITUTE(SUBSTITUTE(SUBSTITUTE($N301,"~","~~"),"*","~*"),"?","~?"))</f>
        <v>1</v>
      </c>
      <c r="D301" s="10">
        <f>IF($C301=0,"",SUMIFS('DEF_SELF_SCOUT_IMPORT'!$J$42:$J$1040,'DEF_SELF_SCOUT_IMPORT'!$L$42:$L$1040,"Y",'DEF_SELF_SCOUT_IMPORT'!$E$42:$E$1040,SUBSTITUTE(SUBSTITUTE(SUBSTITUTE($B301,"~","~~"),"*","~*"),"?","~?"),'DEF_SELF_SCOUT_IMPORT'!$Q$42:$Q$1040,SUBSTITUTE(SUBSTITUTE(SUBSTITUTE($M301,"~","~~"),"*","~*"),"?","~?"),'DEF_SELF_SCOUT_IMPORT'!$F$42:$F$1040,SUBSTITUTE(SUBSTITUTE(SUBSTITUTE($N301,"~","~~"),"*","~*"),"?","~?"))/$C301)</f>
        <v>0.0</v>
      </c>
      <c r="E301" s="10">
        <f>IF($C301=0,"",SUMIFS('DEF_SELF_SCOUT_IMPORT'!$K$42:$K$1040,'DEF_SELF_SCOUT_IMPORT'!$L$42:$L$1040,"Y",'DEF_SELF_SCOUT_IMPORT'!$E$42:$E$1040,SUBSTITUTE(SUBSTITUTE(SUBSTITUTE($B301,"~","~~"),"*","~*"),"?","~?"),'DEF_SELF_SCOUT_IMPORT'!$Q$42:$Q$1040,SUBSTITUTE(SUBSTITUTE(SUBSTITUTE($M301,"~","~~"),"*","~*"),"?","~?"),'DEF_SELF_SCOUT_IMPORT'!$F$42:$F$1040,SUBSTITUTE(SUBSTITUTE(SUBSTITUTE($N301,"~","~~"),"*","~*"),"?","~?"))/$C301)</f>
        <v>0.0</v>
      </c>
      <c r="F301" s="11">
        <f>IF($C301=0,"",AVERAGEIFS('DEF_SELF_SCOUT_IMPORT'!$I$42:$I$1040,'DEF_SELF_SCOUT_IMPORT'!$L$42:$L$1040,"Y",'DEF_SELF_SCOUT_IMPORT'!$E$42:$E$1040,SUBSTITUTE(SUBSTITUTE(SUBSTITUTE($B301,"~","~~"),"*","~*"),"?","~?"),'DEF_SELF_SCOUT_IMPORT'!$Q$42:$Q$1040,SUBSTITUTE(SUBSTITUTE(SUBSTITUTE($M301,"~","~~"),"*","~*"),"?","~?"),'DEF_SELF_SCOUT_IMPORT'!$F$42:$F$1040,SUBSTITUTE(SUBSTITUTE(SUBSTITUTE($N301,"~","~~"),"*","~*"),"?","~?")))</f>
        <v>1.0</v>
      </c>
      <c r="G301" s="10">
        <f>IF($C301=0,"",COUNTIFS('DEF_SELF_SCOUT_IMPORT'!$L$42:$L$1040,"Y",'DEF_SELF_SCOUT_IMPORT'!$E$42:$E$1040,SUBSTITUTE(SUBSTITUTE(SUBSTITUTE($B301,"~","~~"),"*","~*"),"?","~?"),'DEF_SELF_SCOUT_IMPORT'!$Q$42:$Q$1040,SUBSTITUTE(SUBSTITUTE(SUBSTITUTE($M301,"~","~~"),"*","~*"),"?","~?"),'DEF_SELF_SCOUT_IMPORT'!$F$42:$F$1040,SUBSTITUTE(SUBSTITUTE(SUBSTITUTE($N301,"~","~~"),"*","~*"),"?","~?"),'DEF_SELF_SCOUT_IMPORT'!$H$42:$H$1040,"RUSH")/$C301)</f>
        <v>1.0</v>
      </c>
      <c r="H301" s="10">
        <f>IF($C301=0,"",COUNTIFS('DEF_SELF_SCOUT_IMPORT'!$L$42:$L$1040,"Y",'DEF_SELF_SCOUT_IMPORT'!$E$42:$E$1040,SUBSTITUTE(SUBSTITUTE(SUBSTITUTE($B301,"~","~~"),"*","~*"),"?","~?"),'DEF_SELF_SCOUT_IMPORT'!$Q$42:$Q$1040,SUBSTITUTE(SUBSTITUTE(SUBSTITUTE($M301,"~","~~"),"*","~*"),"?","~?"),'DEF_SELF_SCOUT_IMPORT'!$F$42:$F$1040,SUBSTITUTE(SUBSTITUTE(SUBSTITUTE($N301,"~","~~"),"*","~*"),"?","~?"),'DEF_SELF_SCOUT_IMPORT'!$H$42:$H$1040,"DROPBACK")/$C301)</f>
        <v>0.0</v>
      </c>
      <c r="I301" s="14" t="str">
        <f>IF(C301=0,"",IF(C301&lt;=2,"TRACK",IF(C301=3,"LOW",IF(C301&lt;=6,"MEDIUM","HIGH"))))</f>
        <v>TRACK</v>
      </c>
      <c r="J301" s="11">
        <f>IF(C301=0,"",ROUND(D301*70+(1-E301)*20+MAX(0,MIN(1,(10-F301)/10))*10,1))</f>
        <v>29.0</v>
      </c>
      <c r="K301" s="14" t="str">
        <f>IF(C301=0,"No Evidence",IF(C301&lt;=2,IF(E301&gt;0,"Explosive Alert","Track Only"),IF(C301=3,"Sample Watch",IF(E301&gt;=START_HERE!$B$31,"Explosive Alert",IF(J301&gt;=80,"Strong Candidate",IF(J301&gt;=65,"Good Candidate",IF(J301&gt;=50,"Mixed / Review","Problem Call")))))))</f>
        <v>Track Only</v>
      </c>
      <c r="L301" s="9" t="str">
        <f>IF(COUNTIFS('DEF_SELF_SCOUT_IMPORT'!$L$42:$L$1040,"Y",'DEF_SELF_SCOUT_IMPORT'!$E$42:$E$1040,SUBSTITUTE(SUBSTITUTE(SUBSTITUTE($B301,"~","~~"),"*","~*"),"?","~?"),'DEF_SELF_SCOUT_IMPORT'!$Q$42:$Q$1040,SUBSTITUTE(SUBSTITUTE(SUBSTITUTE($M301,"~","~~"),"*","~*"),"?","~?"),'DEF_SELF_SCOUT_IMPORT'!$F$42:$F$1040,SUBSTITUTE(SUBSTITUTE(SUBSTITUTE($N301,"~","~~"),"*","~*"),"?","~?"),'DEF_SELF_SCOUT_IMPORT'!$J$42:$J$1040,"")&gt;0,"Unscored clean outcome; review result tags before using score.",IF(C301=0,"No matching defensive reps; film confirmation needed.",IF(K301="Explosive Alert","Explosive risk; review clips before using as answer.",IF(C301&lt;=2,"Track only; not enough sample.",IF(C301=3,IF(E301&gt;0,"Sample watch with explosive exposure; review clips and build the sample.",IF(J301&gt;=65,"Good signal, but sample is limited.","Sample watch; review clips and build the sample.")),IF(K301="Problem Call","Problem area; practice or call-sheet review.",IF(K301="Strong Candidate","Strong call-fit candidate; confirm on film.",IF(K301="Good Candidate","Good call-fit signal; confirm on film.","Mixed signal; review fit and execution on film."))))))))</f>
        <v>Track only; not enough sample.</v>
      </c>
      <c r="M301" s="8" t="s">
        <v>92</v>
      </c>
      <c r="N301" s="8" t="s">
        <v>120</v>
      </c>
      <c r="O301" s="8"/>
      <c r="P301" s="8"/>
      <c r="Q301" s="8"/>
      <c r="R301" s="8" t="s">
        <v>28</v>
      </c>
      <c r="S301" s="2" t="s">
        <v>167</v>
      </c>
      <c r="T301" s="2">
        <f>IF(C301=0,0,IF(C301&gt;=CALL_LOOKUP_BOARD!$B$7,IF(OR(K301="Problem Call",K301="Explosive Alert"),10000000,20000000),0)+IF(C301&gt;=CALL_LOOKUP_BOARD!$B$7,J301*1000+MIN(C301,999),C301*1000+J301)+0.00988400)</f>
        <v>1029.009884</v>
      </c>
      <c r="U301" s="2">
        <f>IF(C301=0,"",IF(COUNTIFS($S$186:$S$367,SUBSTITUTE(SUBSTITUTE(SUBSTITUTE(S301,"~","~~"),"*","~*"),"?","~?"),$T$186:$T$367,"&gt;"&amp;T301)=0,S301,""))</f>
        <v/>
      </c>
    </row>
    <row r="302" spans="1:21" ht="38" customHeight="1">
      <c r="A302" s="8" t="s">
        <v>168</v>
      </c>
      <c r="B302" s="8" t="s">
        <v>95</v>
      </c>
      <c r="C302" s="12">
        <f>COUNTIFS('DEF_SELF_SCOUT_IMPORT'!$L$42:$L$1040,"Y",'DEF_SELF_SCOUT_IMPORT'!$E$42:$E$1040,SUBSTITUTE(SUBSTITUTE(SUBSTITUTE($B302,"~","~~"),"*","~*"),"?","~?"),'DEF_SELF_SCOUT_IMPORT'!$Q$42:$Q$1040,SUBSTITUTE(SUBSTITUTE(SUBSTITUTE($M302,"~","~~"),"*","~*"),"?","~?"),'DEF_SELF_SCOUT_IMPORT'!$F$42:$F$1040,SUBSTITUTE(SUBSTITUTE(SUBSTITUTE($N302,"~","~~"),"*","~*"),"?","~?"))</f>
        <v>1</v>
      </c>
      <c r="D302" s="10">
        <f>IF($C302=0,"",SUMIFS('DEF_SELF_SCOUT_IMPORT'!$J$42:$J$1040,'DEF_SELF_SCOUT_IMPORT'!$L$42:$L$1040,"Y",'DEF_SELF_SCOUT_IMPORT'!$E$42:$E$1040,SUBSTITUTE(SUBSTITUTE(SUBSTITUTE($B302,"~","~~"),"*","~*"),"?","~?"),'DEF_SELF_SCOUT_IMPORT'!$Q$42:$Q$1040,SUBSTITUTE(SUBSTITUTE(SUBSTITUTE($M302,"~","~~"),"*","~*"),"?","~?"),'DEF_SELF_SCOUT_IMPORT'!$F$42:$F$1040,SUBSTITUTE(SUBSTITUTE(SUBSTITUTE($N302,"~","~~"),"*","~*"),"?","~?"))/$C302)</f>
        <v>0.0</v>
      </c>
      <c r="E302" s="10">
        <f>IF($C302=0,"",SUMIFS('DEF_SELF_SCOUT_IMPORT'!$K$42:$K$1040,'DEF_SELF_SCOUT_IMPORT'!$L$42:$L$1040,"Y",'DEF_SELF_SCOUT_IMPORT'!$E$42:$E$1040,SUBSTITUTE(SUBSTITUTE(SUBSTITUTE($B302,"~","~~"),"*","~*"),"?","~?"),'DEF_SELF_SCOUT_IMPORT'!$Q$42:$Q$1040,SUBSTITUTE(SUBSTITUTE(SUBSTITUTE($M302,"~","~~"),"*","~*"),"?","~?"),'DEF_SELF_SCOUT_IMPORT'!$F$42:$F$1040,SUBSTITUTE(SUBSTITUTE(SUBSTITUTE($N302,"~","~~"),"*","~*"),"?","~?"))/$C302)</f>
        <v>0.0</v>
      </c>
      <c r="F302" s="11">
        <f>IF($C302=0,"",AVERAGEIFS('DEF_SELF_SCOUT_IMPORT'!$I$42:$I$1040,'DEF_SELF_SCOUT_IMPORT'!$L$42:$L$1040,"Y",'DEF_SELF_SCOUT_IMPORT'!$E$42:$E$1040,SUBSTITUTE(SUBSTITUTE(SUBSTITUTE($B302,"~","~~"),"*","~*"),"?","~?"),'DEF_SELF_SCOUT_IMPORT'!$Q$42:$Q$1040,SUBSTITUTE(SUBSTITUTE(SUBSTITUTE($M302,"~","~~"),"*","~*"),"?","~?"),'DEF_SELF_SCOUT_IMPORT'!$F$42:$F$1040,SUBSTITUTE(SUBSTITUTE(SUBSTITUTE($N302,"~","~~"),"*","~*"),"?","~?")))</f>
        <v>6.0</v>
      </c>
      <c r="G302" s="10">
        <f>IF($C302=0,"",COUNTIFS('DEF_SELF_SCOUT_IMPORT'!$L$42:$L$1040,"Y",'DEF_SELF_SCOUT_IMPORT'!$E$42:$E$1040,SUBSTITUTE(SUBSTITUTE(SUBSTITUTE($B302,"~","~~"),"*","~*"),"?","~?"),'DEF_SELF_SCOUT_IMPORT'!$Q$42:$Q$1040,SUBSTITUTE(SUBSTITUTE(SUBSTITUTE($M302,"~","~~"),"*","~*"),"?","~?"),'DEF_SELF_SCOUT_IMPORT'!$F$42:$F$1040,SUBSTITUTE(SUBSTITUTE(SUBSTITUTE($N302,"~","~~"),"*","~*"),"?","~?"),'DEF_SELF_SCOUT_IMPORT'!$H$42:$H$1040,"RUSH")/$C302)</f>
        <v>1.0</v>
      </c>
      <c r="H302" s="10">
        <f>IF($C302=0,"",COUNTIFS('DEF_SELF_SCOUT_IMPORT'!$L$42:$L$1040,"Y",'DEF_SELF_SCOUT_IMPORT'!$E$42:$E$1040,SUBSTITUTE(SUBSTITUTE(SUBSTITUTE($B302,"~","~~"),"*","~*"),"?","~?"),'DEF_SELF_SCOUT_IMPORT'!$Q$42:$Q$1040,SUBSTITUTE(SUBSTITUTE(SUBSTITUTE($M302,"~","~~"),"*","~*"),"?","~?"),'DEF_SELF_SCOUT_IMPORT'!$F$42:$F$1040,SUBSTITUTE(SUBSTITUTE(SUBSTITUTE($N302,"~","~~"),"*","~*"),"?","~?"),'DEF_SELF_SCOUT_IMPORT'!$H$42:$H$1040,"DROPBACK")/$C302)</f>
        <v>0.0</v>
      </c>
      <c r="I302" s="14" t="str">
        <f>IF(C302=0,"",IF(C302&lt;=2,"TRACK",IF(C302=3,"LOW",IF(C302&lt;=6,"MEDIUM","HIGH"))))</f>
        <v>TRACK</v>
      </c>
      <c r="J302" s="11">
        <f>IF(C302=0,"",ROUND(D302*70+(1-E302)*20+MAX(0,MIN(1,(10-F302)/10))*10,1))</f>
        <v>24.0</v>
      </c>
      <c r="K302" s="14" t="str">
        <f>IF(C302=0,"No Evidence",IF(C302&lt;=2,IF(E302&gt;0,"Explosive Alert","Track Only"),IF(C302=3,"Sample Watch",IF(E302&gt;=START_HERE!$B$31,"Explosive Alert",IF(J302&gt;=80,"Strong Candidate",IF(J302&gt;=65,"Good Candidate",IF(J302&gt;=50,"Mixed / Review","Problem Call")))))))</f>
        <v>Track Only</v>
      </c>
      <c r="L302" s="9" t="str">
        <f>IF(COUNTIFS('DEF_SELF_SCOUT_IMPORT'!$L$42:$L$1040,"Y",'DEF_SELF_SCOUT_IMPORT'!$E$42:$E$1040,SUBSTITUTE(SUBSTITUTE(SUBSTITUTE($B302,"~","~~"),"*","~*"),"?","~?"),'DEF_SELF_SCOUT_IMPORT'!$Q$42:$Q$1040,SUBSTITUTE(SUBSTITUTE(SUBSTITUTE($M302,"~","~~"),"*","~*"),"?","~?"),'DEF_SELF_SCOUT_IMPORT'!$F$42:$F$1040,SUBSTITUTE(SUBSTITUTE(SUBSTITUTE($N302,"~","~~"),"*","~*"),"?","~?"),'DEF_SELF_SCOUT_IMPORT'!$J$42:$J$1040,"")&gt;0,"Unscored clean outcome; review result tags before using score.",IF(C302=0,"No matching defensive reps; film confirmation needed.",IF(K302="Explosive Alert","Explosive risk; review clips before using as answer.",IF(C302&lt;=2,"Track only; not enough sample.",IF(C302=3,IF(E302&gt;0,"Sample watch with explosive exposure; review clips and build the sample.",IF(J302&gt;=65,"Good signal, but sample is limited.","Sample watch; review clips and build the sample.")),IF(K302="Problem Call","Problem area; practice or call-sheet review.",IF(K302="Strong Candidate","Strong call-fit candidate; confirm on film.",IF(K302="Good Candidate","Good call-fit signal; confirm on film.","Mixed signal; review fit and execution on film."))))))))</f>
        <v>Track only; not enough sample.</v>
      </c>
      <c r="M302" s="8" t="s">
        <v>92</v>
      </c>
      <c r="N302" s="8" t="s">
        <v>123</v>
      </c>
      <c r="O302" s="8"/>
      <c r="P302" s="8"/>
      <c r="Q302" s="8"/>
      <c r="R302" s="8" t="s">
        <v>28</v>
      </c>
      <c r="S302" s="2" t="s">
        <v>169</v>
      </c>
      <c r="T302" s="2">
        <f>IF(C302=0,0,IF(C302&gt;=CALL_LOOKUP_BOARD!$B$7,IF(OR(K302="Problem Call",K302="Explosive Alert"),10000000,20000000),0)+IF(C302&gt;=CALL_LOOKUP_BOARD!$B$7,J302*1000+MIN(C302,999),C302*1000+J302)+0.00988300)</f>
        <v>1024.009883</v>
      </c>
      <c r="U302" s="2">
        <f>IF(C302=0,"",IF(COUNTIFS($S$186:$S$367,SUBSTITUTE(SUBSTITUTE(SUBSTITUTE(S302,"~","~~"),"*","~*"),"?","~?"),$T$186:$T$367,"&gt;"&amp;T302)=0,S302,""))</f>
        <v/>
      </c>
    </row>
    <row r="303" spans="1:21" ht="38" customHeight="1">
      <c r="A303" s="8" t="s">
        <v>168</v>
      </c>
      <c r="B303" s="8" t="s">
        <v>35</v>
      </c>
      <c r="C303" s="12">
        <f>COUNTIFS('DEF_SELF_SCOUT_IMPORT'!$L$42:$L$1040,"Y",'DEF_SELF_SCOUT_IMPORT'!$E$42:$E$1040,SUBSTITUTE(SUBSTITUTE(SUBSTITUTE($B303,"~","~~"),"*","~*"),"?","~?"),'DEF_SELF_SCOUT_IMPORT'!$Q$42:$Q$1040,SUBSTITUTE(SUBSTITUTE(SUBSTITUTE($M303,"~","~~"),"*","~*"),"?","~?"),'DEF_SELF_SCOUT_IMPORT'!$F$42:$F$1040,SUBSTITUTE(SUBSTITUTE(SUBSTITUTE($N303,"~","~~"),"*","~*"),"?","~?"))</f>
        <v>1</v>
      </c>
      <c r="D303" s="10">
        <f>IF($C303=0,"",SUMIFS('DEF_SELF_SCOUT_IMPORT'!$J$42:$J$1040,'DEF_SELF_SCOUT_IMPORT'!$L$42:$L$1040,"Y",'DEF_SELF_SCOUT_IMPORT'!$E$42:$E$1040,SUBSTITUTE(SUBSTITUTE(SUBSTITUTE($B303,"~","~~"),"*","~*"),"?","~?"),'DEF_SELF_SCOUT_IMPORT'!$Q$42:$Q$1040,SUBSTITUTE(SUBSTITUTE(SUBSTITUTE($M303,"~","~~"),"*","~*"),"?","~?"),'DEF_SELF_SCOUT_IMPORT'!$F$42:$F$1040,SUBSTITUTE(SUBSTITUTE(SUBSTITUTE($N303,"~","~~"),"*","~*"),"?","~?"))/$C303)</f>
        <v>0.0</v>
      </c>
      <c r="E303" s="10">
        <f>IF($C303=0,"",SUMIFS('DEF_SELF_SCOUT_IMPORT'!$K$42:$K$1040,'DEF_SELF_SCOUT_IMPORT'!$L$42:$L$1040,"Y",'DEF_SELF_SCOUT_IMPORT'!$E$42:$E$1040,SUBSTITUTE(SUBSTITUTE(SUBSTITUTE($B303,"~","~~"),"*","~*"),"?","~?"),'DEF_SELF_SCOUT_IMPORT'!$Q$42:$Q$1040,SUBSTITUTE(SUBSTITUTE(SUBSTITUTE($M303,"~","~~"),"*","~*"),"?","~?"),'DEF_SELF_SCOUT_IMPORT'!$F$42:$F$1040,SUBSTITUTE(SUBSTITUTE(SUBSTITUTE($N303,"~","~~"),"*","~*"),"?","~?"))/$C303)</f>
        <v>0.0</v>
      </c>
      <c r="F303" s="11">
        <f>IF($C303=0,"",AVERAGEIFS('DEF_SELF_SCOUT_IMPORT'!$I$42:$I$1040,'DEF_SELF_SCOUT_IMPORT'!$L$42:$L$1040,"Y",'DEF_SELF_SCOUT_IMPORT'!$E$42:$E$1040,SUBSTITUTE(SUBSTITUTE(SUBSTITUTE($B303,"~","~~"),"*","~*"),"?","~?"),'DEF_SELF_SCOUT_IMPORT'!$Q$42:$Q$1040,SUBSTITUTE(SUBSTITUTE(SUBSTITUTE($M303,"~","~~"),"*","~*"),"?","~?"),'DEF_SELF_SCOUT_IMPORT'!$F$42:$F$1040,SUBSTITUTE(SUBSTITUTE(SUBSTITUTE($N303,"~","~~"),"*","~*"),"?","~?")))</f>
        <v>5.0</v>
      </c>
      <c r="G303" s="10">
        <f>IF($C303=0,"",COUNTIFS('DEF_SELF_SCOUT_IMPORT'!$L$42:$L$1040,"Y",'DEF_SELF_SCOUT_IMPORT'!$E$42:$E$1040,SUBSTITUTE(SUBSTITUTE(SUBSTITUTE($B303,"~","~~"),"*","~*"),"?","~?"),'DEF_SELF_SCOUT_IMPORT'!$Q$42:$Q$1040,SUBSTITUTE(SUBSTITUTE(SUBSTITUTE($M303,"~","~~"),"*","~*"),"?","~?"),'DEF_SELF_SCOUT_IMPORT'!$F$42:$F$1040,SUBSTITUTE(SUBSTITUTE(SUBSTITUTE($N303,"~","~~"),"*","~*"),"?","~?"),'DEF_SELF_SCOUT_IMPORT'!$H$42:$H$1040,"RUSH")/$C303)</f>
        <v>1.0</v>
      </c>
      <c r="H303" s="10">
        <f>IF($C303=0,"",COUNTIFS('DEF_SELF_SCOUT_IMPORT'!$L$42:$L$1040,"Y",'DEF_SELF_SCOUT_IMPORT'!$E$42:$E$1040,SUBSTITUTE(SUBSTITUTE(SUBSTITUTE($B303,"~","~~"),"*","~*"),"?","~?"),'DEF_SELF_SCOUT_IMPORT'!$Q$42:$Q$1040,SUBSTITUTE(SUBSTITUTE(SUBSTITUTE($M303,"~","~~"),"*","~*"),"?","~?"),'DEF_SELF_SCOUT_IMPORT'!$F$42:$F$1040,SUBSTITUTE(SUBSTITUTE(SUBSTITUTE($N303,"~","~~"),"*","~*"),"?","~?"),'DEF_SELF_SCOUT_IMPORT'!$H$42:$H$1040,"DROPBACK")/$C303)</f>
        <v>0.0</v>
      </c>
      <c r="I303" s="14" t="str">
        <f>IF(C303=0,"",IF(C303&lt;=2,"TRACK",IF(C303=3,"LOW",IF(C303&lt;=6,"MEDIUM","HIGH"))))</f>
        <v>TRACK</v>
      </c>
      <c r="J303" s="11">
        <f>IF(C303=0,"",ROUND(D303*70+(1-E303)*20+MAX(0,MIN(1,(10-F303)/10))*10,1))</f>
        <v>25.0</v>
      </c>
      <c r="K303" s="14" t="str">
        <f>IF(C303=0,"No Evidence",IF(C303&lt;=2,IF(E303&gt;0,"Explosive Alert","Track Only"),IF(C303=3,"Sample Watch",IF(E303&gt;=START_HERE!$B$31,"Explosive Alert",IF(J303&gt;=80,"Strong Candidate",IF(J303&gt;=65,"Good Candidate",IF(J303&gt;=50,"Mixed / Review","Problem Call")))))))</f>
        <v>Track Only</v>
      </c>
      <c r="L303" s="9" t="str">
        <f>IF(COUNTIFS('DEF_SELF_SCOUT_IMPORT'!$L$42:$L$1040,"Y",'DEF_SELF_SCOUT_IMPORT'!$E$42:$E$1040,SUBSTITUTE(SUBSTITUTE(SUBSTITUTE($B303,"~","~~"),"*","~*"),"?","~?"),'DEF_SELF_SCOUT_IMPORT'!$Q$42:$Q$1040,SUBSTITUTE(SUBSTITUTE(SUBSTITUTE($M303,"~","~~"),"*","~*"),"?","~?"),'DEF_SELF_SCOUT_IMPORT'!$F$42:$F$1040,SUBSTITUTE(SUBSTITUTE(SUBSTITUTE($N303,"~","~~"),"*","~*"),"?","~?"),'DEF_SELF_SCOUT_IMPORT'!$J$42:$J$1040,"")&gt;0,"Unscored clean outcome; review result tags before using score.",IF(C303=0,"No matching defensive reps; film confirmation needed.",IF(K303="Explosive Alert","Explosive risk; review clips before using as answer.",IF(C303&lt;=2,"Track only; not enough sample.",IF(C303=3,IF(E303&gt;0,"Sample watch with explosive exposure; review clips and build the sample.",IF(J303&gt;=65,"Good signal, but sample is limited.","Sample watch; review clips and build the sample.")),IF(K303="Problem Call","Problem area; practice or call-sheet review.",IF(K303="Strong Candidate","Strong call-fit candidate; confirm on film.",IF(K303="Good Candidate","Good call-fit signal; confirm on film.","Mixed signal; review fit and execution on film."))))))))</f>
        <v>Track only; not enough sample.</v>
      </c>
      <c r="M303" s="8" t="s">
        <v>92</v>
      </c>
      <c r="N303" s="8" t="s">
        <v>123</v>
      </c>
      <c r="O303" s="8"/>
      <c r="P303" s="8"/>
      <c r="Q303" s="8"/>
      <c r="R303" s="8" t="s">
        <v>28</v>
      </c>
      <c r="S303" s="2" t="s">
        <v>169</v>
      </c>
      <c r="T303" s="2">
        <f>IF(C303=0,0,IF(C303&gt;=CALL_LOOKUP_BOARD!$B$7,IF(OR(K303="Problem Call",K303="Explosive Alert"),10000000,20000000),0)+IF(C303&gt;=CALL_LOOKUP_BOARD!$B$7,J303*1000+MIN(C303,999),C303*1000+J303)+0.00988200)</f>
        <v>1025.009882</v>
      </c>
      <c r="U303" s="2" t="str">
        <f>IF(C303=0,"",IF(COUNTIFS($S$186:$S$367,SUBSTITUTE(SUBSTITUTE(SUBSTITUTE(S303,"~","~~"),"*","~*"),"?","~?"),$T$186:$T$367,"&gt;"&amp;T303)=0,S303,""))</f>
        <v>6:3D 1-3|2:12|</v>
      </c>
    </row>
    <row r="304" spans="1:21" ht="38" customHeight="1">
      <c r="A304" s="8" t="s">
        <v>170</v>
      </c>
      <c r="B304" s="8" t="s">
        <v>97</v>
      </c>
      <c r="C304" s="12">
        <f>COUNTIFS('DEF_SELF_SCOUT_IMPORT'!$L$42:$L$1040,"Y",'DEF_SELF_SCOUT_IMPORT'!$E$42:$E$1040,SUBSTITUTE(SUBSTITUTE(SUBSTITUTE($B304,"~","~~"),"*","~*"),"?","~?"),'DEF_SELF_SCOUT_IMPORT'!$Q$42:$Q$1040,SUBSTITUTE(SUBSTITUTE(SUBSTITUTE($M304,"~","~~"),"*","~*"),"?","~?"),'DEF_SELF_SCOUT_IMPORT'!$F$42:$F$1040,SUBSTITUTE(SUBSTITUTE(SUBSTITUTE($N304,"~","~~"),"*","~*"),"?","~?"))</f>
        <v>1</v>
      </c>
      <c r="D304" s="10">
        <f>IF($C304=0,"",SUMIFS('DEF_SELF_SCOUT_IMPORT'!$J$42:$J$1040,'DEF_SELF_SCOUT_IMPORT'!$L$42:$L$1040,"Y",'DEF_SELF_SCOUT_IMPORT'!$E$42:$E$1040,SUBSTITUTE(SUBSTITUTE(SUBSTITUTE($B304,"~","~~"),"*","~*"),"?","~?"),'DEF_SELF_SCOUT_IMPORT'!$Q$42:$Q$1040,SUBSTITUTE(SUBSTITUTE(SUBSTITUTE($M304,"~","~~"),"*","~*"),"?","~?"),'DEF_SELF_SCOUT_IMPORT'!$F$42:$F$1040,SUBSTITUTE(SUBSTITUTE(SUBSTITUTE($N304,"~","~~"),"*","~*"),"?","~?"))/$C304)</f>
        <v>1.0</v>
      </c>
      <c r="E304" s="10">
        <f>IF($C304=0,"",SUMIFS('DEF_SELF_SCOUT_IMPORT'!$K$42:$K$1040,'DEF_SELF_SCOUT_IMPORT'!$L$42:$L$1040,"Y",'DEF_SELF_SCOUT_IMPORT'!$E$42:$E$1040,SUBSTITUTE(SUBSTITUTE(SUBSTITUTE($B304,"~","~~"),"*","~*"),"?","~?"),'DEF_SELF_SCOUT_IMPORT'!$Q$42:$Q$1040,SUBSTITUTE(SUBSTITUTE(SUBSTITUTE($M304,"~","~~"),"*","~*"),"?","~?"),'DEF_SELF_SCOUT_IMPORT'!$F$42:$F$1040,SUBSTITUTE(SUBSTITUTE(SUBSTITUTE($N304,"~","~~"),"*","~*"),"?","~?"))/$C304)</f>
        <v>0.0</v>
      </c>
      <c r="F304" s="11">
        <f>IF($C304=0,"",AVERAGEIFS('DEF_SELF_SCOUT_IMPORT'!$I$42:$I$1040,'DEF_SELF_SCOUT_IMPORT'!$L$42:$L$1040,"Y",'DEF_SELF_SCOUT_IMPORT'!$E$42:$E$1040,SUBSTITUTE(SUBSTITUTE(SUBSTITUTE($B304,"~","~~"),"*","~*"),"?","~?"),'DEF_SELF_SCOUT_IMPORT'!$Q$42:$Q$1040,SUBSTITUTE(SUBSTITUTE(SUBSTITUTE($M304,"~","~~"),"*","~*"),"?","~?"),'DEF_SELF_SCOUT_IMPORT'!$F$42:$F$1040,SUBSTITUTE(SUBSTITUTE(SUBSTITUTE($N304,"~","~~"),"*","~*"),"?","~?")))</f>
        <v>4.0</v>
      </c>
      <c r="G304" s="10">
        <f>IF($C304=0,"",COUNTIFS('DEF_SELF_SCOUT_IMPORT'!$L$42:$L$1040,"Y",'DEF_SELF_SCOUT_IMPORT'!$E$42:$E$1040,SUBSTITUTE(SUBSTITUTE(SUBSTITUTE($B304,"~","~~"),"*","~*"),"?","~?"),'DEF_SELF_SCOUT_IMPORT'!$Q$42:$Q$1040,SUBSTITUTE(SUBSTITUTE(SUBSTITUTE($M304,"~","~~"),"*","~*"),"?","~?"),'DEF_SELF_SCOUT_IMPORT'!$F$42:$F$1040,SUBSTITUTE(SUBSTITUTE(SUBSTITUTE($N304,"~","~~"),"*","~*"),"?","~?"),'DEF_SELF_SCOUT_IMPORT'!$H$42:$H$1040,"RUSH")/$C304)</f>
        <v>0.0</v>
      </c>
      <c r="H304" s="10">
        <f>IF($C304=0,"",COUNTIFS('DEF_SELF_SCOUT_IMPORT'!$L$42:$L$1040,"Y",'DEF_SELF_SCOUT_IMPORT'!$E$42:$E$1040,SUBSTITUTE(SUBSTITUTE(SUBSTITUTE($B304,"~","~~"),"*","~*"),"?","~?"),'DEF_SELF_SCOUT_IMPORT'!$Q$42:$Q$1040,SUBSTITUTE(SUBSTITUTE(SUBSTITUTE($M304,"~","~~"),"*","~*"),"?","~?"),'DEF_SELF_SCOUT_IMPORT'!$F$42:$F$1040,SUBSTITUTE(SUBSTITUTE(SUBSTITUTE($N304,"~","~~"),"*","~*"),"?","~?"),'DEF_SELF_SCOUT_IMPORT'!$H$42:$H$1040,"DROPBACK")/$C304)</f>
        <v>1.0</v>
      </c>
      <c r="I304" s="14" t="str">
        <f>IF(C304=0,"",IF(C304&lt;=2,"TRACK",IF(C304=3,"LOW",IF(C304&lt;=6,"MEDIUM","HIGH"))))</f>
        <v>TRACK</v>
      </c>
      <c r="J304" s="11">
        <f>IF(C304=0,"",ROUND(D304*70+(1-E304)*20+MAX(0,MIN(1,(10-F304)/10))*10,1))</f>
        <v>96.0</v>
      </c>
      <c r="K304" s="14" t="str">
        <f>IF(C304=0,"No Evidence",IF(C304&lt;=2,IF(E304&gt;0,"Explosive Alert","Track Only"),IF(C304=3,"Sample Watch",IF(E304&gt;=START_HERE!$B$31,"Explosive Alert",IF(J304&gt;=80,"Strong Candidate",IF(J304&gt;=65,"Good Candidate",IF(J304&gt;=50,"Mixed / Review","Problem Call")))))))</f>
        <v>Track Only</v>
      </c>
      <c r="L304" s="9" t="str">
        <f>IF(COUNTIFS('DEF_SELF_SCOUT_IMPORT'!$L$42:$L$1040,"Y",'DEF_SELF_SCOUT_IMPORT'!$E$42:$E$1040,SUBSTITUTE(SUBSTITUTE(SUBSTITUTE($B304,"~","~~"),"*","~*"),"?","~?"),'DEF_SELF_SCOUT_IMPORT'!$Q$42:$Q$1040,SUBSTITUTE(SUBSTITUTE(SUBSTITUTE($M304,"~","~~"),"*","~*"),"?","~?"),'DEF_SELF_SCOUT_IMPORT'!$F$42:$F$1040,SUBSTITUTE(SUBSTITUTE(SUBSTITUTE($N304,"~","~~"),"*","~*"),"?","~?"),'DEF_SELF_SCOUT_IMPORT'!$J$42:$J$1040,"")&gt;0,"Unscored clean outcome; review result tags before using score.",IF(C304=0,"No matching defensive reps; film confirmation needed.",IF(K304="Explosive Alert","Explosive risk; review clips before using as answer.",IF(C304&lt;=2,"Track only; not enough sample.",IF(C304=3,IF(E304&gt;0,"Sample watch with explosive exposure; review clips and build the sample.",IF(J304&gt;=65,"Good signal, but sample is limited.","Sample watch; review clips and build the sample.")),IF(K304="Problem Call","Problem area; practice or call-sheet review.",IF(K304="Strong Candidate","Strong call-fit candidate; confirm on film.",IF(K304="Good Candidate","Good call-fit signal; confirm on film.","Mixed signal; review fit and execution on film."))))))))</f>
        <v>Track only; not enough sample.</v>
      </c>
      <c r="M304" s="8" t="s">
        <v>96</v>
      </c>
      <c r="N304" s="8" t="s">
        <v>120</v>
      </c>
      <c r="O304" s="8"/>
      <c r="P304" s="8"/>
      <c r="Q304" s="8"/>
      <c r="R304" s="8" t="s">
        <v>28</v>
      </c>
      <c r="S304" s="2" t="s">
        <v>171</v>
      </c>
      <c r="T304" s="2">
        <f>IF(C304=0,0,IF(C304&gt;=CALL_LOOKUP_BOARD!$B$7,IF(OR(K304="Problem Call",K304="Explosive Alert"),10000000,20000000),0)+IF(C304&gt;=CALL_LOOKUP_BOARD!$B$7,J304*1000+MIN(C304,999),C304*1000+J304)+0.00988100)</f>
        <v>1096.009881</v>
      </c>
      <c r="U304" s="2">
        <f>IF(C304=0,"",IF(COUNTIFS($S$186:$S$367,SUBSTITUTE(SUBSTITUTE(SUBSTITUTE(S304,"~","~~"),"*","~*"),"?","~?"),$T$186:$T$367,"&gt;"&amp;T304)=0,S304,""))</f>
        <v/>
      </c>
    </row>
    <row r="305" spans="1:21" ht="38" customHeight="1">
      <c r="A305" s="8" t="s">
        <v>170</v>
      </c>
      <c r="B305" s="8" t="s">
        <v>99</v>
      </c>
      <c r="C305" s="12">
        <f>COUNTIFS('DEF_SELF_SCOUT_IMPORT'!$L$42:$L$1040,"Y",'DEF_SELF_SCOUT_IMPORT'!$E$42:$E$1040,SUBSTITUTE(SUBSTITUTE(SUBSTITUTE($B305,"~","~~"),"*","~*"),"?","~?"),'DEF_SELF_SCOUT_IMPORT'!$Q$42:$Q$1040,SUBSTITUTE(SUBSTITUTE(SUBSTITUTE($M305,"~","~~"),"*","~*"),"?","~?"),'DEF_SELF_SCOUT_IMPORT'!$F$42:$F$1040,SUBSTITUTE(SUBSTITUTE(SUBSTITUTE($N305,"~","~~"),"*","~*"),"?","~?"))</f>
        <v>2</v>
      </c>
      <c r="D305" s="10">
        <f>IF($C305=0,"",SUMIFS('DEF_SELF_SCOUT_IMPORT'!$J$42:$J$1040,'DEF_SELF_SCOUT_IMPORT'!$L$42:$L$1040,"Y",'DEF_SELF_SCOUT_IMPORT'!$E$42:$E$1040,SUBSTITUTE(SUBSTITUTE(SUBSTITUTE($B305,"~","~~"),"*","~*"),"?","~?"),'DEF_SELF_SCOUT_IMPORT'!$Q$42:$Q$1040,SUBSTITUTE(SUBSTITUTE(SUBSTITUTE($M305,"~","~~"),"*","~*"),"?","~?"),'DEF_SELF_SCOUT_IMPORT'!$F$42:$F$1040,SUBSTITUTE(SUBSTITUTE(SUBSTITUTE($N305,"~","~~"),"*","~*"),"?","~?"))/$C305)</f>
        <v>0.5</v>
      </c>
      <c r="E305" s="10">
        <f>IF($C305=0,"",SUMIFS('DEF_SELF_SCOUT_IMPORT'!$K$42:$K$1040,'DEF_SELF_SCOUT_IMPORT'!$L$42:$L$1040,"Y",'DEF_SELF_SCOUT_IMPORT'!$E$42:$E$1040,SUBSTITUTE(SUBSTITUTE(SUBSTITUTE($B305,"~","~~"),"*","~*"),"?","~?"),'DEF_SELF_SCOUT_IMPORT'!$Q$42:$Q$1040,SUBSTITUTE(SUBSTITUTE(SUBSTITUTE($M305,"~","~~"),"*","~*"),"?","~?"),'DEF_SELF_SCOUT_IMPORT'!$F$42:$F$1040,SUBSTITUTE(SUBSTITUTE(SUBSTITUTE($N305,"~","~~"),"*","~*"),"?","~?"))/$C305)</f>
        <v>0.0</v>
      </c>
      <c r="F305" s="11">
        <f>IF($C305=0,"",AVERAGEIFS('DEF_SELF_SCOUT_IMPORT'!$I$42:$I$1040,'DEF_SELF_SCOUT_IMPORT'!$L$42:$L$1040,"Y",'DEF_SELF_SCOUT_IMPORT'!$E$42:$E$1040,SUBSTITUTE(SUBSTITUTE(SUBSTITUTE($B305,"~","~~"),"*","~*"),"?","~?"),'DEF_SELF_SCOUT_IMPORT'!$Q$42:$Q$1040,SUBSTITUTE(SUBSTITUTE(SUBSTITUTE($M305,"~","~~"),"*","~*"),"?","~?"),'DEF_SELF_SCOUT_IMPORT'!$F$42:$F$1040,SUBSTITUTE(SUBSTITUTE(SUBSTITUTE($N305,"~","~~"),"*","~*"),"?","~?")))</f>
        <v>7.0</v>
      </c>
      <c r="G305" s="10">
        <f>IF($C305=0,"",COUNTIFS('DEF_SELF_SCOUT_IMPORT'!$L$42:$L$1040,"Y",'DEF_SELF_SCOUT_IMPORT'!$E$42:$E$1040,SUBSTITUTE(SUBSTITUTE(SUBSTITUTE($B305,"~","~~"),"*","~*"),"?","~?"),'DEF_SELF_SCOUT_IMPORT'!$Q$42:$Q$1040,SUBSTITUTE(SUBSTITUTE(SUBSTITUTE($M305,"~","~~"),"*","~*"),"?","~?"),'DEF_SELF_SCOUT_IMPORT'!$F$42:$F$1040,SUBSTITUTE(SUBSTITUTE(SUBSTITUTE($N305,"~","~~"),"*","~*"),"?","~?"),'DEF_SELF_SCOUT_IMPORT'!$H$42:$H$1040,"RUSH")/$C305)</f>
        <v>0.0</v>
      </c>
      <c r="H305" s="10">
        <f>IF($C305=0,"",COUNTIFS('DEF_SELF_SCOUT_IMPORT'!$L$42:$L$1040,"Y",'DEF_SELF_SCOUT_IMPORT'!$E$42:$E$1040,SUBSTITUTE(SUBSTITUTE(SUBSTITUTE($B305,"~","~~"),"*","~*"),"?","~?"),'DEF_SELF_SCOUT_IMPORT'!$Q$42:$Q$1040,SUBSTITUTE(SUBSTITUTE(SUBSTITUTE($M305,"~","~~"),"*","~*"),"?","~?"),'DEF_SELF_SCOUT_IMPORT'!$F$42:$F$1040,SUBSTITUTE(SUBSTITUTE(SUBSTITUTE($N305,"~","~~"),"*","~*"),"?","~?"),'DEF_SELF_SCOUT_IMPORT'!$H$42:$H$1040,"DROPBACK")/$C305)</f>
        <v>1.0</v>
      </c>
      <c r="I305" s="14" t="str">
        <f>IF(C305=0,"",IF(C305&lt;=2,"TRACK",IF(C305=3,"LOW",IF(C305&lt;=6,"MEDIUM","HIGH"))))</f>
        <v>TRACK</v>
      </c>
      <c r="J305" s="11">
        <f>IF(C305=0,"",ROUND(D305*70+(1-E305)*20+MAX(0,MIN(1,(10-F305)/10))*10,1))</f>
        <v>58.0</v>
      </c>
      <c r="K305" s="14" t="str">
        <f>IF(C305=0,"No Evidence",IF(C305&lt;=2,IF(E305&gt;0,"Explosive Alert","Track Only"),IF(C305=3,"Sample Watch",IF(E305&gt;=START_HERE!$B$31,"Explosive Alert",IF(J305&gt;=80,"Strong Candidate",IF(J305&gt;=65,"Good Candidate",IF(J305&gt;=50,"Mixed / Review","Problem Call")))))))</f>
        <v>Track Only</v>
      </c>
      <c r="L305" s="9" t="str">
        <f>IF(COUNTIFS('DEF_SELF_SCOUT_IMPORT'!$L$42:$L$1040,"Y",'DEF_SELF_SCOUT_IMPORT'!$E$42:$E$1040,SUBSTITUTE(SUBSTITUTE(SUBSTITUTE($B305,"~","~~"),"*","~*"),"?","~?"),'DEF_SELF_SCOUT_IMPORT'!$Q$42:$Q$1040,SUBSTITUTE(SUBSTITUTE(SUBSTITUTE($M305,"~","~~"),"*","~*"),"?","~?"),'DEF_SELF_SCOUT_IMPORT'!$F$42:$F$1040,SUBSTITUTE(SUBSTITUTE(SUBSTITUTE($N305,"~","~~"),"*","~*"),"?","~?"),'DEF_SELF_SCOUT_IMPORT'!$J$42:$J$1040,"")&gt;0,"Unscored clean outcome; review result tags before using score.",IF(C305=0,"No matching defensive reps; film confirmation needed.",IF(K305="Explosive Alert","Explosive risk; review clips before using as answer.",IF(C305&lt;=2,"Track only; not enough sample.",IF(C305=3,IF(E305&gt;0,"Sample watch with explosive exposure; review clips and build the sample.",IF(J305&gt;=65,"Good signal, but sample is limited.","Sample watch; review clips and build the sample.")),IF(K305="Problem Call","Problem area; practice or call-sheet review.",IF(K305="Strong Candidate","Strong call-fit candidate; confirm on film.",IF(K305="Good Candidate","Good call-fit signal; confirm on film.","Mixed signal; review fit and execution on film."))))))))</f>
        <v>Track only; not enough sample.</v>
      </c>
      <c r="M305" s="8" t="s">
        <v>96</v>
      </c>
      <c r="N305" s="8" t="s">
        <v>120</v>
      </c>
      <c r="O305" s="8"/>
      <c r="P305" s="8"/>
      <c r="Q305" s="8"/>
      <c r="R305" s="8" t="s">
        <v>28</v>
      </c>
      <c r="S305" s="2" t="s">
        <v>171</v>
      </c>
      <c r="T305" s="2">
        <f>IF(C305=0,0,IF(C305&gt;=CALL_LOOKUP_BOARD!$B$7,IF(OR(K305="Problem Call",K305="Explosive Alert"),10000000,20000000),0)+IF(C305&gt;=CALL_LOOKUP_BOARD!$B$7,J305*1000+MIN(C305,999),C305*1000+J305)+0.00988000)</f>
        <v>2058.00988</v>
      </c>
      <c r="U305" s="2">
        <f>IF(C305=0,"",IF(COUNTIFS($S$186:$S$367,SUBSTITUTE(SUBSTITUTE(SUBSTITUTE(S305,"~","~~"),"*","~*"),"?","~?"),$T$186:$T$367,"&gt;"&amp;T305)=0,S305,""))</f>
        <v/>
      </c>
    </row>
    <row r="306" spans="1:21" ht="38" customHeight="1">
      <c r="A306" s="8" t="s">
        <v>170</v>
      </c>
      <c r="B306" s="8" t="s">
        <v>100</v>
      </c>
      <c r="C306" s="12">
        <f>COUNTIFS('DEF_SELF_SCOUT_IMPORT'!$L$42:$L$1040,"Y",'DEF_SELF_SCOUT_IMPORT'!$E$42:$E$1040,SUBSTITUTE(SUBSTITUTE(SUBSTITUTE($B306,"~","~~"),"*","~*"),"?","~?"),'DEF_SELF_SCOUT_IMPORT'!$Q$42:$Q$1040,SUBSTITUTE(SUBSTITUTE(SUBSTITUTE($M306,"~","~~"),"*","~*"),"?","~?"),'DEF_SELF_SCOUT_IMPORT'!$F$42:$F$1040,SUBSTITUTE(SUBSTITUTE(SUBSTITUTE($N306,"~","~~"),"*","~*"),"?","~?"))</f>
        <v>1</v>
      </c>
      <c r="D306" s="10">
        <f>IF($C306=0,"",SUMIFS('DEF_SELF_SCOUT_IMPORT'!$J$42:$J$1040,'DEF_SELF_SCOUT_IMPORT'!$L$42:$L$1040,"Y",'DEF_SELF_SCOUT_IMPORT'!$E$42:$E$1040,SUBSTITUTE(SUBSTITUTE(SUBSTITUTE($B306,"~","~~"),"*","~*"),"?","~?"),'DEF_SELF_SCOUT_IMPORT'!$Q$42:$Q$1040,SUBSTITUTE(SUBSTITUTE(SUBSTITUTE($M306,"~","~~"),"*","~*"),"?","~?"),'DEF_SELF_SCOUT_IMPORT'!$F$42:$F$1040,SUBSTITUTE(SUBSTITUTE(SUBSTITUTE($N306,"~","~~"),"*","~*"),"?","~?"))/$C306)</f>
        <v>1.0</v>
      </c>
      <c r="E306" s="10">
        <f>IF($C306=0,"",SUMIFS('DEF_SELF_SCOUT_IMPORT'!$K$42:$K$1040,'DEF_SELF_SCOUT_IMPORT'!$L$42:$L$1040,"Y",'DEF_SELF_SCOUT_IMPORT'!$E$42:$E$1040,SUBSTITUTE(SUBSTITUTE(SUBSTITUTE($B306,"~","~~"),"*","~*"),"?","~?"),'DEF_SELF_SCOUT_IMPORT'!$Q$42:$Q$1040,SUBSTITUTE(SUBSTITUTE(SUBSTITUTE($M306,"~","~~"),"*","~*"),"?","~?"),'DEF_SELF_SCOUT_IMPORT'!$F$42:$F$1040,SUBSTITUTE(SUBSTITUTE(SUBSTITUTE($N306,"~","~~"),"*","~*"),"?","~?"))/$C306)</f>
        <v>0.0</v>
      </c>
      <c r="F306" s="11">
        <f>IF($C306=0,"",AVERAGEIFS('DEF_SELF_SCOUT_IMPORT'!$I$42:$I$1040,'DEF_SELF_SCOUT_IMPORT'!$L$42:$L$1040,"Y",'DEF_SELF_SCOUT_IMPORT'!$E$42:$E$1040,SUBSTITUTE(SUBSTITUTE(SUBSTITUTE($B306,"~","~~"),"*","~*"),"?","~?"),'DEF_SELF_SCOUT_IMPORT'!$Q$42:$Q$1040,SUBSTITUTE(SUBSTITUTE(SUBSTITUTE($M306,"~","~~"),"*","~*"),"?","~?"),'DEF_SELF_SCOUT_IMPORT'!$F$42:$F$1040,SUBSTITUTE(SUBSTITUTE(SUBSTITUTE($N306,"~","~~"),"*","~*"),"?","~?")))</f>
        <v>0.0</v>
      </c>
      <c r="G306" s="10">
        <f>IF($C306=0,"",COUNTIFS('DEF_SELF_SCOUT_IMPORT'!$L$42:$L$1040,"Y",'DEF_SELF_SCOUT_IMPORT'!$E$42:$E$1040,SUBSTITUTE(SUBSTITUTE(SUBSTITUTE($B306,"~","~~"),"*","~*"),"?","~?"),'DEF_SELF_SCOUT_IMPORT'!$Q$42:$Q$1040,SUBSTITUTE(SUBSTITUTE(SUBSTITUTE($M306,"~","~~"),"*","~*"),"?","~?"),'DEF_SELF_SCOUT_IMPORT'!$F$42:$F$1040,SUBSTITUTE(SUBSTITUTE(SUBSTITUTE($N306,"~","~~"),"*","~*"),"?","~?"),'DEF_SELF_SCOUT_IMPORT'!$H$42:$H$1040,"RUSH")/$C306)</f>
        <v>0.0</v>
      </c>
      <c r="H306" s="10">
        <f>IF($C306=0,"",COUNTIFS('DEF_SELF_SCOUT_IMPORT'!$L$42:$L$1040,"Y",'DEF_SELF_SCOUT_IMPORT'!$E$42:$E$1040,SUBSTITUTE(SUBSTITUTE(SUBSTITUTE($B306,"~","~~"),"*","~*"),"?","~?"),'DEF_SELF_SCOUT_IMPORT'!$Q$42:$Q$1040,SUBSTITUTE(SUBSTITUTE(SUBSTITUTE($M306,"~","~~"),"*","~*"),"?","~?"),'DEF_SELF_SCOUT_IMPORT'!$F$42:$F$1040,SUBSTITUTE(SUBSTITUTE(SUBSTITUTE($N306,"~","~~"),"*","~*"),"?","~?"),'DEF_SELF_SCOUT_IMPORT'!$H$42:$H$1040,"DROPBACK")/$C306)</f>
        <v>1.0</v>
      </c>
      <c r="I306" s="14" t="str">
        <f>IF(C306=0,"",IF(C306&lt;=2,"TRACK",IF(C306=3,"LOW",IF(C306&lt;=6,"MEDIUM","HIGH"))))</f>
        <v>TRACK</v>
      </c>
      <c r="J306" s="11">
        <f>IF(C306=0,"",ROUND(D306*70+(1-E306)*20+MAX(0,MIN(1,(10-F306)/10))*10,1))</f>
        <v>100.0</v>
      </c>
      <c r="K306" s="14" t="str">
        <f>IF(C306=0,"No Evidence",IF(C306&lt;=2,IF(E306&gt;0,"Explosive Alert","Track Only"),IF(C306=3,"Sample Watch",IF(E306&gt;=START_HERE!$B$31,"Explosive Alert",IF(J306&gt;=80,"Strong Candidate",IF(J306&gt;=65,"Good Candidate",IF(J306&gt;=50,"Mixed / Review","Problem Call")))))))</f>
        <v>Track Only</v>
      </c>
      <c r="L306" s="9" t="str">
        <f>IF(COUNTIFS('DEF_SELF_SCOUT_IMPORT'!$L$42:$L$1040,"Y",'DEF_SELF_SCOUT_IMPORT'!$E$42:$E$1040,SUBSTITUTE(SUBSTITUTE(SUBSTITUTE($B306,"~","~~"),"*","~*"),"?","~?"),'DEF_SELF_SCOUT_IMPORT'!$Q$42:$Q$1040,SUBSTITUTE(SUBSTITUTE(SUBSTITUTE($M306,"~","~~"),"*","~*"),"?","~?"),'DEF_SELF_SCOUT_IMPORT'!$F$42:$F$1040,SUBSTITUTE(SUBSTITUTE(SUBSTITUTE($N306,"~","~~"),"*","~*"),"?","~?"),'DEF_SELF_SCOUT_IMPORT'!$J$42:$J$1040,"")&gt;0,"Unscored clean outcome; review result tags before using score.",IF(C306=0,"No matching defensive reps; film confirmation needed.",IF(K306="Explosive Alert","Explosive risk; review clips before using as answer.",IF(C306&lt;=2,"Track only; not enough sample.",IF(C306=3,IF(E306&gt;0,"Sample watch with explosive exposure; review clips and build the sample.",IF(J306&gt;=65,"Good signal, but sample is limited.","Sample watch; review clips and build the sample.")),IF(K306="Problem Call","Problem area; practice or call-sheet review.",IF(K306="Strong Candidate","Strong call-fit candidate; confirm on film.",IF(K306="Good Candidate","Good call-fit signal; confirm on film.","Mixed signal; review fit and execution on film."))))))))</f>
        <v>Track only; not enough sample.</v>
      </c>
      <c r="M306" s="8" t="s">
        <v>96</v>
      </c>
      <c r="N306" s="8" t="s">
        <v>120</v>
      </c>
      <c r="O306" s="8"/>
      <c r="P306" s="8"/>
      <c r="Q306" s="8"/>
      <c r="R306" s="8" t="s">
        <v>28</v>
      </c>
      <c r="S306" s="2" t="s">
        <v>171</v>
      </c>
      <c r="T306" s="2">
        <f>IF(C306=0,0,IF(C306&gt;=CALL_LOOKUP_BOARD!$B$7,IF(OR(K306="Problem Call",K306="Explosive Alert"),10000000,20000000),0)+IF(C306&gt;=CALL_LOOKUP_BOARD!$B$7,J306*1000+MIN(C306,999),C306*1000+J306)+0.00987900)</f>
        <v>1100.009879</v>
      </c>
      <c r="U306" s="2">
        <f>IF(C306=0,"",IF(COUNTIFS($S$186:$S$367,SUBSTITUTE(SUBSTITUTE(SUBSTITUTE(S306,"~","~~"),"*","~*"),"?","~?"),$T$186:$T$367,"&gt;"&amp;T306)=0,S306,""))</f>
        <v/>
      </c>
    </row>
    <row r="307" spans="1:21" ht="38" customHeight="1">
      <c r="A307" s="8" t="s">
        <v>170</v>
      </c>
      <c r="B307" s="8" t="s">
        <v>101</v>
      </c>
      <c r="C307" s="12">
        <f>COUNTIFS('DEF_SELF_SCOUT_IMPORT'!$L$42:$L$1040,"Y",'DEF_SELF_SCOUT_IMPORT'!$E$42:$E$1040,SUBSTITUTE(SUBSTITUTE(SUBSTITUTE($B307,"~","~~"),"*","~*"),"?","~?"),'DEF_SELF_SCOUT_IMPORT'!$Q$42:$Q$1040,SUBSTITUTE(SUBSTITUTE(SUBSTITUTE($M307,"~","~~"),"*","~*"),"?","~?"),'DEF_SELF_SCOUT_IMPORT'!$F$42:$F$1040,SUBSTITUTE(SUBSTITUTE(SUBSTITUTE($N307,"~","~~"),"*","~*"),"?","~?"))</f>
        <v>6</v>
      </c>
      <c r="D307" s="10">
        <f>IF($C307=0,"",SUMIFS('DEF_SELF_SCOUT_IMPORT'!$J$42:$J$1040,'DEF_SELF_SCOUT_IMPORT'!$L$42:$L$1040,"Y",'DEF_SELF_SCOUT_IMPORT'!$E$42:$E$1040,SUBSTITUTE(SUBSTITUTE(SUBSTITUTE($B307,"~","~~"),"*","~*"),"?","~?"),'DEF_SELF_SCOUT_IMPORT'!$Q$42:$Q$1040,SUBSTITUTE(SUBSTITUTE(SUBSTITUTE($M307,"~","~~"),"*","~*"),"?","~?"),'DEF_SELF_SCOUT_IMPORT'!$F$42:$F$1040,SUBSTITUTE(SUBSTITUTE(SUBSTITUTE($N307,"~","~~"),"*","~*"),"?","~?"))/$C307)</f>
        <v>0.6666666666666666</v>
      </c>
      <c r="E307" s="10">
        <f>IF($C307=0,"",SUMIFS('DEF_SELF_SCOUT_IMPORT'!$K$42:$K$1040,'DEF_SELF_SCOUT_IMPORT'!$L$42:$L$1040,"Y",'DEF_SELF_SCOUT_IMPORT'!$E$42:$E$1040,SUBSTITUTE(SUBSTITUTE(SUBSTITUTE($B307,"~","~~"),"*","~*"),"?","~?"),'DEF_SELF_SCOUT_IMPORT'!$Q$42:$Q$1040,SUBSTITUTE(SUBSTITUTE(SUBSTITUTE($M307,"~","~~"),"*","~*"),"?","~?"),'DEF_SELF_SCOUT_IMPORT'!$F$42:$F$1040,SUBSTITUTE(SUBSTITUTE(SUBSTITUTE($N307,"~","~~"),"*","~*"),"?","~?"))/$C307)</f>
        <v>0.16666666666666666</v>
      </c>
      <c r="F307" s="11">
        <f>IF($C307=0,"",AVERAGEIFS('DEF_SELF_SCOUT_IMPORT'!$I$42:$I$1040,'DEF_SELF_SCOUT_IMPORT'!$L$42:$L$1040,"Y",'DEF_SELF_SCOUT_IMPORT'!$E$42:$E$1040,SUBSTITUTE(SUBSTITUTE(SUBSTITUTE($B307,"~","~~"),"*","~*"),"?","~?"),'DEF_SELF_SCOUT_IMPORT'!$Q$42:$Q$1040,SUBSTITUTE(SUBSTITUTE(SUBSTITUTE($M307,"~","~~"),"*","~*"),"?","~?"),'DEF_SELF_SCOUT_IMPORT'!$F$42:$F$1040,SUBSTITUTE(SUBSTITUTE(SUBSTITUTE($N307,"~","~~"),"*","~*"),"?","~?")))</f>
        <v>12.166666666666666</v>
      </c>
      <c r="G307" s="10">
        <f>IF($C307=0,"",COUNTIFS('DEF_SELF_SCOUT_IMPORT'!$L$42:$L$1040,"Y",'DEF_SELF_SCOUT_IMPORT'!$E$42:$E$1040,SUBSTITUTE(SUBSTITUTE(SUBSTITUTE($B307,"~","~~"),"*","~*"),"?","~?"),'DEF_SELF_SCOUT_IMPORT'!$Q$42:$Q$1040,SUBSTITUTE(SUBSTITUTE(SUBSTITUTE($M307,"~","~~"),"*","~*"),"?","~?"),'DEF_SELF_SCOUT_IMPORT'!$F$42:$F$1040,SUBSTITUTE(SUBSTITUTE(SUBSTITUTE($N307,"~","~~"),"*","~*"),"?","~?"),'DEF_SELF_SCOUT_IMPORT'!$H$42:$H$1040,"RUSH")/$C307)</f>
        <v>0.0</v>
      </c>
      <c r="H307" s="10">
        <f>IF($C307=0,"",COUNTIFS('DEF_SELF_SCOUT_IMPORT'!$L$42:$L$1040,"Y",'DEF_SELF_SCOUT_IMPORT'!$E$42:$E$1040,SUBSTITUTE(SUBSTITUTE(SUBSTITUTE($B307,"~","~~"),"*","~*"),"?","~?"),'DEF_SELF_SCOUT_IMPORT'!$Q$42:$Q$1040,SUBSTITUTE(SUBSTITUTE(SUBSTITUTE($M307,"~","~~"),"*","~*"),"?","~?"),'DEF_SELF_SCOUT_IMPORT'!$F$42:$F$1040,SUBSTITUTE(SUBSTITUTE(SUBSTITUTE($N307,"~","~~"),"*","~*"),"?","~?"),'DEF_SELF_SCOUT_IMPORT'!$H$42:$H$1040,"DROPBACK")/$C307)</f>
        <v>1.0</v>
      </c>
      <c r="I307" s="14" t="str">
        <f>IF(C307=0,"",IF(C307&lt;=2,"TRACK",IF(C307=3,"LOW",IF(C307&lt;=6,"MEDIUM","HIGH"))))</f>
        <v>MEDIUM</v>
      </c>
      <c r="J307" s="11">
        <f>IF(C307=0,"",ROUND(D307*70+(1-E307)*20+MAX(0,MIN(1,(10-F307)/10))*10,1))</f>
        <v>63.3</v>
      </c>
      <c r="K307" s="14" t="str">
        <f>IF(C307=0,"No Evidence",IF(C307&lt;=2,IF(E307&gt;0,"Explosive Alert","Track Only"),IF(C307=3,"Sample Watch",IF(E307&gt;=START_HERE!$B$31,"Explosive Alert",IF(J307&gt;=80,"Strong Candidate",IF(J307&gt;=65,"Good Candidate",IF(J307&gt;=50,"Mixed / Review","Problem Call")))))))</f>
        <v>Mixed / Review</v>
      </c>
      <c r="L307" s="9" t="str">
        <f>IF(COUNTIFS('DEF_SELF_SCOUT_IMPORT'!$L$42:$L$1040,"Y",'DEF_SELF_SCOUT_IMPORT'!$E$42:$E$1040,SUBSTITUTE(SUBSTITUTE(SUBSTITUTE($B307,"~","~~"),"*","~*"),"?","~?"),'DEF_SELF_SCOUT_IMPORT'!$Q$42:$Q$1040,SUBSTITUTE(SUBSTITUTE(SUBSTITUTE($M307,"~","~~"),"*","~*"),"?","~?"),'DEF_SELF_SCOUT_IMPORT'!$F$42:$F$1040,SUBSTITUTE(SUBSTITUTE(SUBSTITUTE($N307,"~","~~"),"*","~*"),"?","~?"),'DEF_SELF_SCOUT_IMPORT'!$J$42:$J$1040,"")&gt;0,"Unscored clean outcome; review result tags before using score.",IF(C307=0,"No matching defensive reps; film confirmation needed.",IF(K307="Explosive Alert","Explosive risk; review clips before using as answer.",IF(C307&lt;=2,"Track only; not enough sample.",IF(C307=3,IF(E307&gt;0,"Sample watch with explosive exposure; review clips and build the sample.",IF(J307&gt;=65,"Good signal, but sample is limited.","Sample watch; review clips and build the sample.")),IF(K307="Problem Call","Problem area; practice or call-sheet review.",IF(K307="Strong Candidate","Strong call-fit candidate; confirm on film.",IF(K307="Good Candidate","Good call-fit signal; confirm on film.","Mixed signal; review fit and execution on film."))))))))</f>
        <v>Mixed signal; review fit and execution on film.</v>
      </c>
      <c r="M307" s="8" t="s">
        <v>96</v>
      </c>
      <c r="N307" s="8" t="s">
        <v>120</v>
      </c>
      <c r="O307" s="8"/>
      <c r="P307" s="8"/>
      <c r="Q307" s="8"/>
      <c r="R307" s="8" t="s">
        <v>45</v>
      </c>
      <c r="S307" s="2" t="s">
        <v>171</v>
      </c>
      <c r="T307" s="2">
        <f>IF(C307=0,0,IF(C307&gt;=CALL_LOOKUP_BOARD!$B$7,IF(OR(K307="Problem Call",K307="Explosive Alert"),10000000,20000000),0)+IF(C307&gt;=CALL_LOOKUP_BOARD!$B$7,J307*1000+MIN(C307,999),C307*1000+J307)+0.00987800)</f>
        <v>20063306.009878</v>
      </c>
      <c r="U307" s="2" t="str">
        <f>IF(C307=0,"",IF(COUNTIFS($S$186:$S$367,SUBSTITUTE(SUBSTITUTE(SUBSTITUTE(S307,"~","~~"),"*","~*"),"?","~?"),$T$186:$T$367,"&gt;"&amp;T307)=0,S307,""))</f>
        <v>6:3D 11+|2:11|</v>
      </c>
    </row>
    <row r="308" spans="1:21" ht="38" customHeight="1">
      <c r="A308" s="8" t="s">
        <v>170</v>
      </c>
      <c r="B308" s="8" t="s">
        <v>102</v>
      </c>
      <c r="C308" s="12">
        <f>COUNTIFS('DEF_SELF_SCOUT_IMPORT'!$L$42:$L$1040,"Y",'DEF_SELF_SCOUT_IMPORT'!$E$42:$E$1040,SUBSTITUTE(SUBSTITUTE(SUBSTITUTE($B308,"~","~~"),"*","~*"),"?","~?"),'DEF_SELF_SCOUT_IMPORT'!$Q$42:$Q$1040,SUBSTITUTE(SUBSTITUTE(SUBSTITUTE($M308,"~","~~"),"*","~*"),"?","~?"),'DEF_SELF_SCOUT_IMPORT'!$F$42:$F$1040,SUBSTITUTE(SUBSTITUTE(SUBSTITUTE($N308,"~","~~"),"*","~*"),"?","~?"))</f>
        <v>1</v>
      </c>
      <c r="D308" s="10">
        <f>IF($C308=0,"",SUMIFS('DEF_SELF_SCOUT_IMPORT'!$J$42:$J$1040,'DEF_SELF_SCOUT_IMPORT'!$L$42:$L$1040,"Y",'DEF_SELF_SCOUT_IMPORT'!$E$42:$E$1040,SUBSTITUTE(SUBSTITUTE(SUBSTITUTE($B308,"~","~~"),"*","~*"),"?","~?"),'DEF_SELF_SCOUT_IMPORT'!$Q$42:$Q$1040,SUBSTITUTE(SUBSTITUTE(SUBSTITUTE($M308,"~","~~"),"*","~*"),"?","~?"),'DEF_SELF_SCOUT_IMPORT'!$F$42:$F$1040,SUBSTITUTE(SUBSTITUTE(SUBSTITUTE($N308,"~","~~"),"*","~*"),"?","~?"))/$C308)</f>
        <v>1.0</v>
      </c>
      <c r="E308" s="10">
        <f>IF($C308=0,"",SUMIFS('DEF_SELF_SCOUT_IMPORT'!$K$42:$K$1040,'DEF_SELF_SCOUT_IMPORT'!$L$42:$L$1040,"Y",'DEF_SELF_SCOUT_IMPORT'!$E$42:$E$1040,SUBSTITUTE(SUBSTITUTE(SUBSTITUTE($B308,"~","~~"),"*","~*"),"?","~?"),'DEF_SELF_SCOUT_IMPORT'!$Q$42:$Q$1040,SUBSTITUTE(SUBSTITUTE(SUBSTITUTE($M308,"~","~~"),"*","~*"),"?","~?"),'DEF_SELF_SCOUT_IMPORT'!$F$42:$F$1040,SUBSTITUTE(SUBSTITUTE(SUBSTITUTE($N308,"~","~~"),"*","~*"),"?","~?"))/$C308)</f>
        <v>0.0</v>
      </c>
      <c r="F308" s="11">
        <f>IF($C308=0,"",AVERAGEIFS('DEF_SELF_SCOUT_IMPORT'!$I$42:$I$1040,'DEF_SELF_SCOUT_IMPORT'!$L$42:$L$1040,"Y",'DEF_SELF_SCOUT_IMPORT'!$E$42:$E$1040,SUBSTITUTE(SUBSTITUTE(SUBSTITUTE($B308,"~","~~"),"*","~*"),"?","~?"),'DEF_SELF_SCOUT_IMPORT'!$Q$42:$Q$1040,SUBSTITUTE(SUBSTITUTE(SUBSTITUTE($M308,"~","~~"),"*","~*"),"?","~?"),'DEF_SELF_SCOUT_IMPORT'!$F$42:$F$1040,SUBSTITUTE(SUBSTITUTE(SUBSTITUTE($N308,"~","~~"),"*","~*"),"?","~?")))</f>
        <v>-5.0</v>
      </c>
      <c r="G308" s="10">
        <f>IF($C308=0,"",COUNTIFS('DEF_SELF_SCOUT_IMPORT'!$L$42:$L$1040,"Y",'DEF_SELF_SCOUT_IMPORT'!$E$42:$E$1040,SUBSTITUTE(SUBSTITUTE(SUBSTITUTE($B308,"~","~~"),"*","~*"),"?","~?"),'DEF_SELF_SCOUT_IMPORT'!$Q$42:$Q$1040,SUBSTITUTE(SUBSTITUTE(SUBSTITUTE($M308,"~","~~"),"*","~*"),"?","~?"),'DEF_SELF_SCOUT_IMPORT'!$F$42:$F$1040,SUBSTITUTE(SUBSTITUTE(SUBSTITUTE($N308,"~","~~"),"*","~*"),"?","~?"),'DEF_SELF_SCOUT_IMPORT'!$H$42:$H$1040,"RUSH")/$C308)</f>
        <v>0.0</v>
      </c>
      <c r="H308" s="10">
        <f>IF($C308=0,"",COUNTIFS('DEF_SELF_SCOUT_IMPORT'!$L$42:$L$1040,"Y",'DEF_SELF_SCOUT_IMPORT'!$E$42:$E$1040,SUBSTITUTE(SUBSTITUTE(SUBSTITUTE($B308,"~","~~"),"*","~*"),"?","~?"),'DEF_SELF_SCOUT_IMPORT'!$Q$42:$Q$1040,SUBSTITUTE(SUBSTITUTE(SUBSTITUTE($M308,"~","~~"),"*","~*"),"?","~?"),'DEF_SELF_SCOUT_IMPORT'!$F$42:$F$1040,SUBSTITUTE(SUBSTITUTE(SUBSTITUTE($N308,"~","~~"),"*","~*"),"?","~?"),'DEF_SELF_SCOUT_IMPORT'!$H$42:$H$1040,"DROPBACK")/$C308)</f>
        <v>1.0</v>
      </c>
      <c r="I308" s="14" t="str">
        <f>IF(C308=0,"",IF(C308&lt;=2,"TRACK",IF(C308=3,"LOW",IF(C308&lt;=6,"MEDIUM","HIGH"))))</f>
        <v>TRACK</v>
      </c>
      <c r="J308" s="11">
        <f>IF(C308=0,"",ROUND(D308*70+(1-E308)*20+MAX(0,MIN(1,(10-F308)/10))*10,1))</f>
        <v>100.0</v>
      </c>
      <c r="K308" s="14" t="str">
        <f>IF(C308=0,"No Evidence",IF(C308&lt;=2,IF(E308&gt;0,"Explosive Alert","Track Only"),IF(C308=3,"Sample Watch",IF(E308&gt;=START_HERE!$B$31,"Explosive Alert",IF(J308&gt;=80,"Strong Candidate",IF(J308&gt;=65,"Good Candidate",IF(J308&gt;=50,"Mixed / Review","Problem Call")))))))</f>
        <v>Track Only</v>
      </c>
      <c r="L308" s="9" t="str">
        <f>IF(COUNTIFS('DEF_SELF_SCOUT_IMPORT'!$L$42:$L$1040,"Y",'DEF_SELF_SCOUT_IMPORT'!$E$42:$E$1040,SUBSTITUTE(SUBSTITUTE(SUBSTITUTE($B308,"~","~~"),"*","~*"),"?","~?"),'DEF_SELF_SCOUT_IMPORT'!$Q$42:$Q$1040,SUBSTITUTE(SUBSTITUTE(SUBSTITUTE($M308,"~","~~"),"*","~*"),"?","~?"),'DEF_SELF_SCOUT_IMPORT'!$F$42:$F$1040,SUBSTITUTE(SUBSTITUTE(SUBSTITUTE($N308,"~","~~"),"*","~*"),"?","~?"),'DEF_SELF_SCOUT_IMPORT'!$J$42:$J$1040,"")&gt;0,"Unscored clean outcome; review result tags before using score.",IF(C308=0,"No matching defensive reps; film confirmation needed.",IF(K308="Explosive Alert","Explosive risk; review clips before using as answer.",IF(C308&lt;=2,"Track only; not enough sample.",IF(C308=3,IF(E308&gt;0,"Sample watch with explosive exposure; review clips and build the sample.",IF(J308&gt;=65,"Good signal, but sample is limited.","Sample watch; review clips and build the sample.")),IF(K308="Problem Call","Problem area; practice or call-sheet review.",IF(K308="Strong Candidate","Strong call-fit candidate; confirm on film.",IF(K308="Good Candidate","Good call-fit signal; confirm on film.","Mixed signal; review fit and execution on film."))))))))</f>
        <v>Track only; not enough sample.</v>
      </c>
      <c r="M308" s="8" t="s">
        <v>96</v>
      </c>
      <c r="N308" s="8" t="s">
        <v>120</v>
      </c>
      <c r="O308" s="8"/>
      <c r="P308" s="8"/>
      <c r="Q308" s="8"/>
      <c r="R308" s="8" t="s">
        <v>28</v>
      </c>
      <c r="S308" s="2" t="s">
        <v>171</v>
      </c>
      <c r="T308" s="2">
        <f>IF(C308=0,0,IF(C308&gt;=CALL_LOOKUP_BOARD!$B$7,IF(OR(K308="Problem Call",K308="Explosive Alert"),10000000,20000000),0)+IF(C308&gt;=CALL_LOOKUP_BOARD!$B$7,J308*1000+MIN(C308,999),C308*1000+J308)+0.00987700)</f>
        <v>1100.009877</v>
      </c>
      <c r="U308" s="2">
        <f>IF(C308=0,"",IF(COUNTIFS($S$186:$S$367,SUBSTITUTE(SUBSTITUTE(SUBSTITUTE(S308,"~","~~"),"*","~*"),"?","~?"),$T$186:$T$367,"&gt;"&amp;T308)=0,S308,""))</f>
        <v/>
      </c>
    </row>
    <row r="309" spans="1:21" ht="38" customHeight="1">
      <c r="A309" s="8" t="s">
        <v>172</v>
      </c>
      <c r="B309" s="8" t="s">
        <v>77</v>
      </c>
      <c r="C309" s="12">
        <f>COUNTIFS('DEF_SELF_SCOUT_IMPORT'!$L$42:$L$1040,"Y",'DEF_SELF_SCOUT_IMPORT'!$E$42:$E$1040,SUBSTITUTE(SUBSTITUTE(SUBSTITUTE($B309,"~","~~"),"*","~*"),"?","~?"),'DEF_SELF_SCOUT_IMPORT'!$Q$42:$Q$1040,SUBSTITUTE(SUBSTITUTE(SUBSTITUTE($M309,"~","~~"),"*","~*"),"?","~?"),'DEF_SELF_SCOUT_IMPORT'!$F$42:$F$1040,SUBSTITUTE(SUBSTITUTE(SUBSTITUTE($N309,"~","~~"),"*","~*"),"?","~?"))</f>
        <v>1</v>
      </c>
      <c r="D309" s="10">
        <f>IF($C309=0,"",SUMIFS('DEF_SELF_SCOUT_IMPORT'!$J$42:$J$1040,'DEF_SELF_SCOUT_IMPORT'!$L$42:$L$1040,"Y",'DEF_SELF_SCOUT_IMPORT'!$E$42:$E$1040,SUBSTITUTE(SUBSTITUTE(SUBSTITUTE($B309,"~","~~"),"*","~*"),"?","~?"),'DEF_SELF_SCOUT_IMPORT'!$Q$42:$Q$1040,SUBSTITUTE(SUBSTITUTE(SUBSTITUTE($M309,"~","~~"),"*","~*"),"?","~?"),'DEF_SELF_SCOUT_IMPORT'!$F$42:$F$1040,SUBSTITUTE(SUBSTITUTE(SUBSTITUTE($N309,"~","~~"),"*","~*"),"?","~?"))/$C309)</f>
        <v>1.0</v>
      </c>
      <c r="E309" s="10">
        <f>IF($C309=0,"",SUMIFS('DEF_SELF_SCOUT_IMPORT'!$K$42:$K$1040,'DEF_SELF_SCOUT_IMPORT'!$L$42:$L$1040,"Y",'DEF_SELF_SCOUT_IMPORT'!$E$42:$E$1040,SUBSTITUTE(SUBSTITUTE(SUBSTITUTE($B309,"~","~~"),"*","~*"),"?","~?"),'DEF_SELF_SCOUT_IMPORT'!$Q$42:$Q$1040,SUBSTITUTE(SUBSTITUTE(SUBSTITUTE($M309,"~","~~"),"*","~*"),"?","~?"),'DEF_SELF_SCOUT_IMPORT'!$F$42:$F$1040,SUBSTITUTE(SUBSTITUTE(SUBSTITUTE($N309,"~","~~"),"*","~*"),"?","~?"))/$C309)</f>
        <v>0.0</v>
      </c>
      <c r="F309" s="11">
        <f>IF($C309=0,"",AVERAGEIFS('DEF_SELF_SCOUT_IMPORT'!$I$42:$I$1040,'DEF_SELF_SCOUT_IMPORT'!$L$42:$L$1040,"Y",'DEF_SELF_SCOUT_IMPORT'!$E$42:$E$1040,SUBSTITUTE(SUBSTITUTE(SUBSTITUTE($B309,"~","~~"),"*","~*"),"?","~?"),'DEF_SELF_SCOUT_IMPORT'!$Q$42:$Q$1040,SUBSTITUTE(SUBSTITUTE(SUBSTITUTE($M309,"~","~~"),"*","~*"),"?","~?"),'DEF_SELF_SCOUT_IMPORT'!$F$42:$F$1040,SUBSTITUTE(SUBSTITUTE(SUBSTITUTE($N309,"~","~~"),"*","~*"),"?","~?")))</f>
        <v>-1.0</v>
      </c>
      <c r="G309" s="10">
        <f>IF($C309=0,"",COUNTIFS('DEF_SELF_SCOUT_IMPORT'!$L$42:$L$1040,"Y",'DEF_SELF_SCOUT_IMPORT'!$E$42:$E$1040,SUBSTITUTE(SUBSTITUTE(SUBSTITUTE($B309,"~","~~"),"*","~*"),"?","~?"),'DEF_SELF_SCOUT_IMPORT'!$Q$42:$Q$1040,SUBSTITUTE(SUBSTITUTE(SUBSTITUTE($M309,"~","~~"),"*","~*"),"?","~?"),'DEF_SELF_SCOUT_IMPORT'!$F$42:$F$1040,SUBSTITUTE(SUBSTITUTE(SUBSTITUTE($N309,"~","~~"),"*","~*"),"?","~?"),'DEF_SELF_SCOUT_IMPORT'!$H$42:$H$1040,"RUSH")/$C309)</f>
        <v>1.0</v>
      </c>
      <c r="H309" s="10">
        <f>IF($C309=0,"",COUNTIFS('DEF_SELF_SCOUT_IMPORT'!$L$42:$L$1040,"Y",'DEF_SELF_SCOUT_IMPORT'!$E$42:$E$1040,SUBSTITUTE(SUBSTITUTE(SUBSTITUTE($B309,"~","~~"),"*","~*"),"?","~?"),'DEF_SELF_SCOUT_IMPORT'!$Q$42:$Q$1040,SUBSTITUTE(SUBSTITUTE(SUBSTITUTE($M309,"~","~~"),"*","~*"),"?","~?"),'DEF_SELF_SCOUT_IMPORT'!$F$42:$F$1040,SUBSTITUTE(SUBSTITUTE(SUBSTITUTE($N309,"~","~~"),"*","~*"),"?","~?"),'DEF_SELF_SCOUT_IMPORT'!$H$42:$H$1040,"DROPBACK")/$C309)</f>
        <v>0.0</v>
      </c>
      <c r="I309" s="14" t="str">
        <f>IF(C309=0,"",IF(C309&lt;=2,"TRACK",IF(C309=3,"LOW",IF(C309&lt;=6,"MEDIUM","HIGH"))))</f>
        <v>TRACK</v>
      </c>
      <c r="J309" s="11">
        <f>IF(C309=0,"",ROUND(D309*70+(1-E309)*20+MAX(0,MIN(1,(10-F309)/10))*10,1))</f>
        <v>100.0</v>
      </c>
      <c r="K309" s="14" t="str">
        <f>IF(C309=0,"No Evidence",IF(C309&lt;=2,IF(E309&gt;0,"Explosive Alert","Track Only"),IF(C309=3,"Sample Watch",IF(E309&gt;=START_HERE!$B$31,"Explosive Alert",IF(J309&gt;=80,"Strong Candidate",IF(J309&gt;=65,"Good Candidate",IF(J309&gt;=50,"Mixed / Review","Problem Call")))))))</f>
        <v>Track Only</v>
      </c>
      <c r="L309" s="9" t="str">
        <f>IF(COUNTIFS('DEF_SELF_SCOUT_IMPORT'!$L$42:$L$1040,"Y",'DEF_SELF_SCOUT_IMPORT'!$E$42:$E$1040,SUBSTITUTE(SUBSTITUTE(SUBSTITUTE($B309,"~","~~"),"*","~*"),"?","~?"),'DEF_SELF_SCOUT_IMPORT'!$Q$42:$Q$1040,SUBSTITUTE(SUBSTITUTE(SUBSTITUTE($M309,"~","~~"),"*","~*"),"?","~?"),'DEF_SELF_SCOUT_IMPORT'!$F$42:$F$1040,SUBSTITUTE(SUBSTITUTE(SUBSTITUTE($N309,"~","~~"),"*","~*"),"?","~?"),'DEF_SELF_SCOUT_IMPORT'!$J$42:$J$1040,"")&gt;0,"Unscored clean outcome; review result tags before using score.",IF(C309=0,"No matching defensive reps; film confirmation needed.",IF(K309="Explosive Alert","Explosive risk; review clips before using as answer.",IF(C309&lt;=2,"Track only; not enough sample.",IF(C309=3,IF(E309&gt;0,"Sample watch with explosive exposure; review clips and build the sample.",IF(J309&gt;=65,"Good signal, but sample is limited.","Sample watch; review clips and build the sample.")),IF(K309="Problem Call","Problem area; practice or call-sheet review.",IF(K309="Strong Candidate","Strong call-fit candidate; confirm on film.",IF(K309="Good Candidate","Good call-fit signal; confirm on film.","Mixed signal; review fit and execution on film."))))))))</f>
        <v>Track only; not enough sample.</v>
      </c>
      <c r="M309" s="8" t="s">
        <v>103</v>
      </c>
      <c r="N309" s="8" t="s">
        <v>132</v>
      </c>
      <c r="O309" s="8"/>
      <c r="P309" s="8"/>
      <c r="Q309" s="8"/>
      <c r="R309" s="8" t="s">
        <v>28</v>
      </c>
      <c r="S309" s="2" t="s">
        <v>173</v>
      </c>
      <c r="T309" s="2">
        <f>IF(C309=0,0,IF(C309&gt;=CALL_LOOKUP_BOARD!$B$7,IF(OR(K309="Problem Call",K309="Explosive Alert"),10000000,20000000),0)+IF(C309&gt;=CALL_LOOKUP_BOARD!$B$7,J309*1000+MIN(C309,999),C309*1000+J309)+0.00987600)</f>
        <v>1100.009876</v>
      </c>
      <c r="U309" s="2" t="str">
        <f>IF(C309=0,"",IF(COUNTIFS($S$186:$S$367,SUBSTITUTE(SUBSTITUTE(SUBSTITUTE(S309,"~","~~"),"*","~*"),"?","~?"),$T$186:$T$367,"&gt;"&amp;T309)=0,S309,""))</f>
        <v>6:3D 4-6|2:00|</v>
      </c>
    </row>
    <row r="310" spans="1:21" ht="38" customHeight="1">
      <c r="A310" s="8" t="s">
        <v>174</v>
      </c>
      <c r="B310" s="8" t="s">
        <v>80</v>
      </c>
      <c r="C310" s="12">
        <f>COUNTIFS('DEF_SELF_SCOUT_IMPORT'!$L$42:$L$1040,"Y",'DEF_SELF_SCOUT_IMPORT'!$E$42:$E$1040,SUBSTITUTE(SUBSTITUTE(SUBSTITUTE($B310,"~","~~"),"*","~*"),"?","~?"),'DEF_SELF_SCOUT_IMPORT'!$Q$42:$Q$1040,SUBSTITUTE(SUBSTITUTE(SUBSTITUTE($M310,"~","~~"),"*","~*"),"?","~?"),'DEF_SELF_SCOUT_IMPORT'!$F$42:$F$1040,SUBSTITUTE(SUBSTITUTE(SUBSTITUTE($N310,"~","~~"),"*","~*"),"?","~?"))</f>
        <v>1</v>
      </c>
      <c r="D310" s="10">
        <f>IF($C310=0,"",SUMIFS('DEF_SELF_SCOUT_IMPORT'!$J$42:$J$1040,'DEF_SELF_SCOUT_IMPORT'!$L$42:$L$1040,"Y",'DEF_SELF_SCOUT_IMPORT'!$E$42:$E$1040,SUBSTITUTE(SUBSTITUTE(SUBSTITUTE($B310,"~","~~"),"*","~*"),"?","~?"),'DEF_SELF_SCOUT_IMPORT'!$Q$42:$Q$1040,SUBSTITUTE(SUBSTITUTE(SUBSTITUTE($M310,"~","~~"),"*","~*"),"?","~?"),'DEF_SELF_SCOUT_IMPORT'!$F$42:$F$1040,SUBSTITUTE(SUBSTITUTE(SUBSTITUTE($N310,"~","~~"),"*","~*"),"?","~?"))/$C310)</f>
        <v>1.0</v>
      </c>
      <c r="E310" s="10">
        <f>IF($C310=0,"",SUMIFS('DEF_SELF_SCOUT_IMPORT'!$K$42:$K$1040,'DEF_SELF_SCOUT_IMPORT'!$L$42:$L$1040,"Y",'DEF_SELF_SCOUT_IMPORT'!$E$42:$E$1040,SUBSTITUTE(SUBSTITUTE(SUBSTITUTE($B310,"~","~~"),"*","~*"),"?","~?"),'DEF_SELF_SCOUT_IMPORT'!$Q$42:$Q$1040,SUBSTITUTE(SUBSTITUTE(SUBSTITUTE($M310,"~","~~"),"*","~*"),"?","~?"),'DEF_SELF_SCOUT_IMPORT'!$F$42:$F$1040,SUBSTITUTE(SUBSTITUTE(SUBSTITUTE($N310,"~","~~"),"*","~*"),"?","~?"))/$C310)</f>
        <v>0.0</v>
      </c>
      <c r="F310" s="11">
        <f>IF($C310=0,"",AVERAGEIFS('DEF_SELF_SCOUT_IMPORT'!$I$42:$I$1040,'DEF_SELF_SCOUT_IMPORT'!$L$42:$L$1040,"Y",'DEF_SELF_SCOUT_IMPORT'!$E$42:$E$1040,SUBSTITUTE(SUBSTITUTE(SUBSTITUTE($B310,"~","~~"),"*","~*"),"?","~?"),'DEF_SELF_SCOUT_IMPORT'!$Q$42:$Q$1040,SUBSTITUTE(SUBSTITUTE(SUBSTITUTE($M310,"~","~~"),"*","~*"),"?","~?"),'DEF_SELF_SCOUT_IMPORT'!$F$42:$F$1040,SUBSTITUTE(SUBSTITUTE(SUBSTITUTE($N310,"~","~~"),"*","~*"),"?","~?")))</f>
        <v>2.0</v>
      </c>
      <c r="G310" s="10">
        <f>IF($C310=0,"",COUNTIFS('DEF_SELF_SCOUT_IMPORT'!$L$42:$L$1040,"Y",'DEF_SELF_SCOUT_IMPORT'!$E$42:$E$1040,SUBSTITUTE(SUBSTITUTE(SUBSTITUTE($B310,"~","~~"),"*","~*"),"?","~?"),'DEF_SELF_SCOUT_IMPORT'!$Q$42:$Q$1040,SUBSTITUTE(SUBSTITUTE(SUBSTITUTE($M310,"~","~~"),"*","~*"),"?","~?"),'DEF_SELF_SCOUT_IMPORT'!$F$42:$F$1040,SUBSTITUTE(SUBSTITUTE(SUBSTITUTE($N310,"~","~~"),"*","~*"),"?","~?"),'DEF_SELF_SCOUT_IMPORT'!$H$42:$H$1040,"RUSH")/$C310)</f>
        <v>1.0</v>
      </c>
      <c r="H310" s="10">
        <f>IF($C310=0,"",COUNTIFS('DEF_SELF_SCOUT_IMPORT'!$L$42:$L$1040,"Y",'DEF_SELF_SCOUT_IMPORT'!$E$42:$E$1040,SUBSTITUTE(SUBSTITUTE(SUBSTITUTE($B310,"~","~~"),"*","~*"),"?","~?"),'DEF_SELF_SCOUT_IMPORT'!$Q$42:$Q$1040,SUBSTITUTE(SUBSTITUTE(SUBSTITUTE($M310,"~","~~"),"*","~*"),"?","~?"),'DEF_SELF_SCOUT_IMPORT'!$F$42:$F$1040,SUBSTITUTE(SUBSTITUTE(SUBSTITUTE($N310,"~","~~"),"*","~*"),"?","~?"),'DEF_SELF_SCOUT_IMPORT'!$H$42:$H$1040,"DROPBACK")/$C310)</f>
        <v>0.0</v>
      </c>
      <c r="I310" s="14" t="str">
        <f>IF(C310=0,"",IF(C310&lt;=2,"TRACK",IF(C310=3,"LOW",IF(C310&lt;=6,"MEDIUM","HIGH"))))</f>
        <v>TRACK</v>
      </c>
      <c r="J310" s="11">
        <f>IF(C310=0,"",ROUND(D310*70+(1-E310)*20+MAX(0,MIN(1,(10-F310)/10))*10,1))</f>
        <v>98.0</v>
      </c>
      <c r="K310" s="14" t="str">
        <f>IF(C310=0,"No Evidence",IF(C310&lt;=2,IF(E310&gt;0,"Explosive Alert","Track Only"),IF(C310=3,"Sample Watch",IF(E310&gt;=START_HERE!$B$31,"Explosive Alert",IF(J310&gt;=80,"Strong Candidate",IF(J310&gt;=65,"Good Candidate",IF(J310&gt;=50,"Mixed / Review","Problem Call")))))))</f>
        <v>Track Only</v>
      </c>
      <c r="L310" s="9" t="str">
        <f>IF(COUNTIFS('DEF_SELF_SCOUT_IMPORT'!$L$42:$L$1040,"Y",'DEF_SELF_SCOUT_IMPORT'!$E$42:$E$1040,SUBSTITUTE(SUBSTITUTE(SUBSTITUTE($B310,"~","~~"),"*","~*"),"?","~?"),'DEF_SELF_SCOUT_IMPORT'!$Q$42:$Q$1040,SUBSTITUTE(SUBSTITUTE(SUBSTITUTE($M310,"~","~~"),"*","~*"),"?","~?"),'DEF_SELF_SCOUT_IMPORT'!$F$42:$F$1040,SUBSTITUTE(SUBSTITUTE(SUBSTITUTE($N310,"~","~~"),"*","~*"),"?","~?"),'DEF_SELF_SCOUT_IMPORT'!$J$42:$J$1040,"")&gt;0,"Unscored clean outcome; review result tags before using score.",IF(C310=0,"No matching defensive reps; film confirmation needed.",IF(K310="Explosive Alert","Explosive risk; review clips before using as answer.",IF(C310&lt;=2,"Track only; not enough sample.",IF(C310=3,IF(E310&gt;0,"Sample watch with explosive exposure; review clips and build the sample.",IF(J310&gt;=65,"Good signal, but sample is limited.","Sample watch; review clips and build the sample.")),IF(K310="Problem Call","Problem area; practice or call-sheet review.",IF(K310="Strong Candidate","Strong call-fit candidate; confirm on film.",IF(K310="Good Candidate","Good call-fit signal; confirm on film.","Mixed signal; review fit and execution on film."))))))))</f>
        <v>Track only; not enough sample.</v>
      </c>
      <c r="M310" s="8" t="s">
        <v>103</v>
      </c>
      <c r="N310" s="8" t="s">
        <v>175</v>
      </c>
      <c r="O310" s="8"/>
      <c r="P310" s="8"/>
      <c r="Q310" s="8"/>
      <c r="R310" s="8" t="s">
        <v>28</v>
      </c>
      <c r="S310" s="2" t="s">
        <v>176</v>
      </c>
      <c r="T310" s="2">
        <f>IF(C310=0,0,IF(C310&gt;=CALL_LOOKUP_BOARD!$B$7,IF(OR(K310="Problem Call",K310="Explosive Alert"),10000000,20000000),0)+IF(C310&gt;=CALL_LOOKUP_BOARD!$B$7,J310*1000+MIN(C310,999),C310*1000+J310)+0.00987500)</f>
        <v>1098.009875</v>
      </c>
      <c r="U310" s="2" t="str">
        <f>IF(C310=0,"",IF(COUNTIFS($S$186:$S$367,SUBSTITUTE(SUBSTITUTE(SUBSTITUTE(S310,"~","~~"),"*","~*"),"?","~?"),$T$186:$T$367,"&gt;"&amp;T310)=0,S310,""))</f>
        <v>6:3D 4-6|2:10|</v>
      </c>
    </row>
    <row r="311" spans="1:21" ht="38" customHeight="1">
      <c r="A311" s="8" t="s">
        <v>177</v>
      </c>
      <c r="B311" s="8" t="s">
        <v>27</v>
      </c>
      <c r="C311" s="12">
        <f>COUNTIFS('DEF_SELF_SCOUT_IMPORT'!$L$42:$L$1040,"Y",'DEF_SELF_SCOUT_IMPORT'!$E$42:$E$1040,SUBSTITUTE(SUBSTITUTE(SUBSTITUTE($B311,"~","~~"),"*","~*"),"?","~?"),'DEF_SELF_SCOUT_IMPORT'!$Q$42:$Q$1040,SUBSTITUTE(SUBSTITUTE(SUBSTITUTE($M311,"~","~~"),"*","~*"),"?","~?"),'DEF_SELF_SCOUT_IMPORT'!$F$42:$F$1040,SUBSTITUTE(SUBSTITUTE(SUBSTITUTE($N311,"~","~~"),"*","~*"),"?","~?"))</f>
        <v>1</v>
      </c>
      <c r="D311" s="10">
        <f>IF($C311=0,"",SUMIFS('DEF_SELF_SCOUT_IMPORT'!$J$42:$J$1040,'DEF_SELF_SCOUT_IMPORT'!$L$42:$L$1040,"Y",'DEF_SELF_SCOUT_IMPORT'!$E$42:$E$1040,SUBSTITUTE(SUBSTITUTE(SUBSTITUTE($B311,"~","~~"),"*","~*"),"?","~?"),'DEF_SELF_SCOUT_IMPORT'!$Q$42:$Q$1040,SUBSTITUTE(SUBSTITUTE(SUBSTITUTE($M311,"~","~~"),"*","~*"),"?","~?"),'DEF_SELF_SCOUT_IMPORT'!$F$42:$F$1040,SUBSTITUTE(SUBSTITUTE(SUBSTITUTE($N311,"~","~~"),"*","~*"),"?","~?"))/$C311)</f>
        <v>1.0</v>
      </c>
      <c r="E311" s="10">
        <f>IF($C311=0,"",SUMIFS('DEF_SELF_SCOUT_IMPORT'!$K$42:$K$1040,'DEF_SELF_SCOUT_IMPORT'!$L$42:$L$1040,"Y",'DEF_SELF_SCOUT_IMPORT'!$E$42:$E$1040,SUBSTITUTE(SUBSTITUTE(SUBSTITUTE($B311,"~","~~"),"*","~*"),"?","~?"),'DEF_SELF_SCOUT_IMPORT'!$Q$42:$Q$1040,SUBSTITUTE(SUBSTITUTE(SUBSTITUTE($M311,"~","~~"),"*","~*"),"?","~?"),'DEF_SELF_SCOUT_IMPORT'!$F$42:$F$1040,SUBSTITUTE(SUBSTITUTE(SUBSTITUTE($N311,"~","~~"),"*","~*"),"?","~?"))/$C311)</f>
        <v>0.0</v>
      </c>
      <c r="F311" s="11">
        <f>IF($C311=0,"",AVERAGEIFS('DEF_SELF_SCOUT_IMPORT'!$I$42:$I$1040,'DEF_SELF_SCOUT_IMPORT'!$L$42:$L$1040,"Y",'DEF_SELF_SCOUT_IMPORT'!$E$42:$E$1040,SUBSTITUTE(SUBSTITUTE(SUBSTITUTE($B311,"~","~~"),"*","~*"),"?","~?"),'DEF_SELF_SCOUT_IMPORT'!$Q$42:$Q$1040,SUBSTITUTE(SUBSTITUTE(SUBSTITUTE($M311,"~","~~"),"*","~*"),"?","~?"),'DEF_SELF_SCOUT_IMPORT'!$F$42:$F$1040,SUBSTITUTE(SUBSTITUTE(SUBSTITUTE($N311,"~","~~"),"*","~*"),"?","~?")))</f>
        <v>0.0</v>
      </c>
      <c r="G311" s="10">
        <f>IF($C311=0,"",COUNTIFS('DEF_SELF_SCOUT_IMPORT'!$L$42:$L$1040,"Y",'DEF_SELF_SCOUT_IMPORT'!$E$42:$E$1040,SUBSTITUTE(SUBSTITUTE(SUBSTITUTE($B311,"~","~~"),"*","~*"),"?","~?"),'DEF_SELF_SCOUT_IMPORT'!$Q$42:$Q$1040,SUBSTITUTE(SUBSTITUTE(SUBSTITUTE($M311,"~","~~"),"*","~*"),"?","~?"),'DEF_SELF_SCOUT_IMPORT'!$F$42:$F$1040,SUBSTITUTE(SUBSTITUTE(SUBSTITUTE($N311,"~","~~"),"*","~*"),"?","~?"),'DEF_SELF_SCOUT_IMPORT'!$H$42:$H$1040,"RUSH")/$C311)</f>
        <v>0.0</v>
      </c>
      <c r="H311" s="10">
        <f>IF($C311=0,"",COUNTIFS('DEF_SELF_SCOUT_IMPORT'!$L$42:$L$1040,"Y",'DEF_SELF_SCOUT_IMPORT'!$E$42:$E$1040,SUBSTITUTE(SUBSTITUTE(SUBSTITUTE($B311,"~","~~"),"*","~*"),"?","~?"),'DEF_SELF_SCOUT_IMPORT'!$Q$42:$Q$1040,SUBSTITUTE(SUBSTITUTE(SUBSTITUTE($M311,"~","~~"),"*","~*"),"?","~?"),'DEF_SELF_SCOUT_IMPORT'!$F$42:$F$1040,SUBSTITUTE(SUBSTITUTE(SUBSTITUTE($N311,"~","~~"),"*","~*"),"?","~?"),'DEF_SELF_SCOUT_IMPORT'!$H$42:$H$1040,"DROPBACK")/$C311)</f>
        <v>1.0</v>
      </c>
      <c r="I311" s="14" t="str">
        <f>IF(C311=0,"",IF(C311&lt;=2,"TRACK",IF(C311=3,"LOW",IF(C311&lt;=6,"MEDIUM","HIGH"))))</f>
        <v>TRACK</v>
      </c>
      <c r="J311" s="11">
        <f>IF(C311=0,"",ROUND(D311*70+(1-E311)*20+MAX(0,MIN(1,(10-F311)/10))*10,1))</f>
        <v>100.0</v>
      </c>
      <c r="K311" s="14" t="str">
        <f>IF(C311=0,"No Evidence",IF(C311&lt;=2,IF(E311&gt;0,"Explosive Alert","Track Only"),IF(C311=3,"Sample Watch",IF(E311&gt;=START_HERE!$B$31,"Explosive Alert",IF(J311&gt;=80,"Strong Candidate",IF(J311&gt;=65,"Good Candidate",IF(J311&gt;=50,"Mixed / Review","Problem Call")))))))</f>
        <v>Track Only</v>
      </c>
      <c r="L311" s="9" t="str">
        <f>IF(COUNTIFS('DEF_SELF_SCOUT_IMPORT'!$L$42:$L$1040,"Y",'DEF_SELF_SCOUT_IMPORT'!$E$42:$E$1040,SUBSTITUTE(SUBSTITUTE(SUBSTITUTE($B311,"~","~~"),"*","~*"),"?","~?"),'DEF_SELF_SCOUT_IMPORT'!$Q$42:$Q$1040,SUBSTITUTE(SUBSTITUTE(SUBSTITUTE($M311,"~","~~"),"*","~*"),"?","~?"),'DEF_SELF_SCOUT_IMPORT'!$F$42:$F$1040,SUBSTITUTE(SUBSTITUTE(SUBSTITUTE($N311,"~","~~"),"*","~*"),"?","~?"),'DEF_SELF_SCOUT_IMPORT'!$J$42:$J$1040,"")&gt;0,"Unscored clean outcome; review result tags before using score.",IF(C311=0,"No matching defensive reps; film confirmation needed.",IF(K311="Explosive Alert","Explosive risk; review clips before using as answer.",IF(C311&lt;=2,"Track only; not enough sample.",IF(C311=3,IF(E311&gt;0,"Sample watch with explosive exposure; review clips and build the sample.",IF(J311&gt;=65,"Good signal, but sample is limited.","Sample watch; review clips and build the sample.")),IF(K311="Problem Call","Problem area; practice or call-sheet review.",IF(K311="Strong Candidate","Strong call-fit candidate; confirm on film.",IF(K311="Good Candidate","Good call-fit signal; confirm on film.","Mixed signal; review fit and execution on film."))))))))</f>
        <v>Track only; not enough sample.</v>
      </c>
      <c r="M311" s="8" t="s">
        <v>103</v>
      </c>
      <c r="N311" s="8" t="s">
        <v>120</v>
      </c>
      <c r="O311" s="8"/>
      <c r="P311" s="8"/>
      <c r="Q311" s="8"/>
      <c r="R311" s="8" t="s">
        <v>28</v>
      </c>
      <c r="S311" s="2" t="s">
        <v>178</v>
      </c>
      <c r="T311" s="2">
        <f>IF(C311=0,0,IF(C311&gt;=CALL_LOOKUP_BOARD!$B$7,IF(OR(K311="Problem Call",K311="Explosive Alert"),10000000,20000000),0)+IF(C311&gt;=CALL_LOOKUP_BOARD!$B$7,J311*1000+MIN(C311,999),C311*1000+J311)+0.00987400)</f>
        <v>1100.009874</v>
      </c>
      <c r="U311" s="2">
        <f>IF(C311=0,"",IF(COUNTIFS($S$186:$S$367,SUBSTITUTE(SUBSTITUTE(SUBSTITUTE(S311,"~","~~"),"*","~*"),"?","~?"),$T$186:$T$367,"&gt;"&amp;T311)=0,S311,""))</f>
        <v/>
      </c>
    </row>
    <row r="312" spans="1:21" ht="38" customHeight="1">
      <c r="A312" s="8" t="s">
        <v>177</v>
      </c>
      <c r="B312" s="8" t="s">
        <v>37</v>
      </c>
      <c r="C312" s="12">
        <f>COUNTIFS('DEF_SELF_SCOUT_IMPORT'!$L$42:$L$1040,"Y",'DEF_SELF_SCOUT_IMPORT'!$E$42:$E$1040,SUBSTITUTE(SUBSTITUTE(SUBSTITUTE($B312,"~","~~"),"*","~*"),"?","~?"),'DEF_SELF_SCOUT_IMPORT'!$Q$42:$Q$1040,SUBSTITUTE(SUBSTITUTE(SUBSTITUTE($M312,"~","~~"),"*","~*"),"?","~?"),'DEF_SELF_SCOUT_IMPORT'!$F$42:$F$1040,SUBSTITUTE(SUBSTITUTE(SUBSTITUTE($N312,"~","~~"),"*","~*"),"?","~?"))</f>
        <v>1</v>
      </c>
      <c r="D312" s="10">
        <f>IF($C312=0,"",SUMIFS('DEF_SELF_SCOUT_IMPORT'!$J$42:$J$1040,'DEF_SELF_SCOUT_IMPORT'!$L$42:$L$1040,"Y",'DEF_SELF_SCOUT_IMPORT'!$E$42:$E$1040,SUBSTITUTE(SUBSTITUTE(SUBSTITUTE($B312,"~","~~"),"*","~*"),"?","~?"),'DEF_SELF_SCOUT_IMPORT'!$Q$42:$Q$1040,SUBSTITUTE(SUBSTITUTE(SUBSTITUTE($M312,"~","~~"),"*","~*"),"?","~?"),'DEF_SELF_SCOUT_IMPORT'!$F$42:$F$1040,SUBSTITUTE(SUBSTITUTE(SUBSTITUTE($N312,"~","~~"),"*","~*"),"?","~?"))/$C312)</f>
        <v>0.0</v>
      </c>
      <c r="E312" s="10">
        <f>IF($C312=0,"",SUMIFS('DEF_SELF_SCOUT_IMPORT'!$K$42:$K$1040,'DEF_SELF_SCOUT_IMPORT'!$L$42:$L$1040,"Y",'DEF_SELF_SCOUT_IMPORT'!$E$42:$E$1040,SUBSTITUTE(SUBSTITUTE(SUBSTITUTE($B312,"~","~~"),"*","~*"),"?","~?"),'DEF_SELF_SCOUT_IMPORT'!$Q$42:$Q$1040,SUBSTITUTE(SUBSTITUTE(SUBSTITUTE($M312,"~","~~"),"*","~*"),"?","~?"),'DEF_SELF_SCOUT_IMPORT'!$F$42:$F$1040,SUBSTITUTE(SUBSTITUTE(SUBSTITUTE($N312,"~","~~"),"*","~*"),"?","~?"))/$C312)</f>
        <v>0.0</v>
      </c>
      <c r="F312" s="11">
        <f>IF($C312=0,"",AVERAGEIFS('DEF_SELF_SCOUT_IMPORT'!$I$42:$I$1040,'DEF_SELF_SCOUT_IMPORT'!$L$42:$L$1040,"Y",'DEF_SELF_SCOUT_IMPORT'!$E$42:$E$1040,SUBSTITUTE(SUBSTITUTE(SUBSTITUTE($B312,"~","~~"),"*","~*"),"?","~?"),'DEF_SELF_SCOUT_IMPORT'!$Q$42:$Q$1040,SUBSTITUTE(SUBSTITUTE(SUBSTITUTE($M312,"~","~~"),"*","~*"),"?","~?"),'DEF_SELF_SCOUT_IMPORT'!$F$42:$F$1040,SUBSTITUTE(SUBSTITUTE(SUBSTITUTE($N312,"~","~~"),"*","~*"),"?","~?")))</f>
        <v>6.0</v>
      </c>
      <c r="G312" s="10">
        <f>IF($C312=0,"",COUNTIFS('DEF_SELF_SCOUT_IMPORT'!$L$42:$L$1040,"Y",'DEF_SELF_SCOUT_IMPORT'!$E$42:$E$1040,SUBSTITUTE(SUBSTITUTE(SUBSTITUTE($B312,"~","~~"),"*","~*"),"?","~?"),'DEF_SELF_SCOUT_IMPORT'!$Q$42:$Q$1040,SUBSTITUTE(SUBSTITUTE(SUBSTITUTE($M312,"~","~~"),"*","~*"),"?","~?"),'DEF_SELF_SCOUT_IMPORT'!$F$42:$F$1040,SUBSTITUTE(SUBSTITUTE(SUBSTITUTE($N312,"~","~~"),"*","~*"),"?","~?"),'DEF_SELF_SCOUT_IMPORT'!$H$42:$H$1040,"RUSH")/$C312)</f>
        <v>0.0</v>
      </c>
      <c r="H312" s="10">
        <f>IF($C312=0,"",COUNTIFS('DEF_SELF_SCOUT_IMPORT'!$L$42:$L$1040,"Y",'DEF_SELF_SCOUT_IMPORT'!$E$42:$E$1040,SUBSTITUTE(SUBSTITUTE(SUBSTITUTE($B312,"~","~~"),"*","~*"),"?","~?"),'DEF_SELF_SCOUT_IMPORT'!$Q$42:$Q$1040,SUBSTITUTE(SUBSTITUTE(SUBSTITUTE($M312,"~","~~"),"*","~*"),"?","~?"),'DEF_SELF_SCOUT_IMPORT'!$F$42:$F$1040,SUBSTITUTE(SUBSTITUTE(SUBSTITUTE($N312,"~","~~"),"*","~*"),"?","~?"),'DEF_SELF_SCOUT_IMPORT'!$H$42:$H$1040,"DROPBACK")/$C312)</f>
        <v>1.0</v>
      </c>
      <c r="I312" s="14" t="str">
        <f>IF(C312=0,"",IF(C312&lt;=2,"TRACK",IF(C312=3,"LOW",IF(C312&lt;=6,"MEDIUM","HIGH"))))</f>
        <v>TRACK</v>
      </c>
      <c r="J312" s="11">
        <f>IF(C312=0,"",ROUND(D312*70+(1-E312)*20+MAX(0,MIN(1,(10-F312)/10))*10,1))</f>
        <v>24.0</v>
      </c>
      <c r="K312" s="14" t="str">
        <f>IF(C312=0,"No Evidence",IF(C312&lt;=2,IF(E312&gt;0,"Explosive Alert","Track Only"),IF(C312=3,"Sample Watch",IF(E312&gt;=START_HERE!$B$31,"Explosive Alert",IF(J312&gt;=80,"Strong Candidate",IF(J312&gt;=65,"Good Candidate",IF(J312&gt;=50,"Mixed / Review","Problem Call")))))))</f>
        <v>Track Only</v>
      </c>
      <c r="L312" s="9" t="str">
        <f>IF(COUNTIFS('DEF_SELF_SCOUT_IMPORT'!$L$42:$L$1040,"Y",'DEF_SELF_SCOUT_IMPORT'!$E$42:$E$1040,SUBSTITUTE(SUBSTITUTE(SUBSTITUTE($B312,"~","~~"),"*","~*"),"?","~?"),'DEF_SELF_SCOUT_IMPORT'!$Q$42:$Q$1040,SUBSTITUTE(SUBSTITUTE(SUBSTITUTE($M312,"~","~~"),"*","~*"),"?","~?"),'DEF_SELF_SCOUT_IMPORT'!$F$42:$F$1040,SUBSTITUTE(SUBSTITUTE(SUBSTITUTE($N312,"~","~~"),"*","~*"),"?","~?"),'DEF_SELF_SCOUT_IMPORT'!$J$42:$J$1040,"")&gt;0,"Unscored clean outcome; review result tags before using score.",IF(C312=0,"No matching defensive reps; film confirmation needed.",IF(K312="Explosive Alert","Explosive risk; review clips before using as answer.",IF(C312&lt;=2,"Track only; not enough sample.",IF(C312=3,IF(E312&gt;0,"Sample watch with explosive exposure; review clips and build the sample.",IF(J312&gt;=65,"Good signal, but sample is limited.","Sample watch; review clips and build the sample.")),IF(K312="Problem Call","Problem area; practice or call-sheet review.",IF(K312="Strong Candidate","Strong call-fit candidate; confirm on film.",IF(K312="Good Candidate","Good call-fit signal; confirm on film.","Mixed signal; review fit and execution on film."))))))))</f>
        <v>Track only; not enough sample.</v>
      </c>
      <c r="M312" s="8" t="s">
        <v>103</v>
      </c>
      <c r="N312" s="8" t="s">
        <v>120</v>
      </c>
      <c r="O312" s="8"/>
      <c r="P312" s="8"/>
      <c r="Q312" s="8"/>
      <c r="R312" s="8" t="s">
        <v>28</v>
      </c>
      <c r="S312" s="2" t="s">
        <v>178</v>
      </c>
      <c r="T312" s="2">
        <f>IF(C312=0,0,IF(C312&gt;=CALL_LOOKUP_BOARD!$B$7,IF(OR(K312="Problem Call",K312="Explosive Alert"),10000000,20000000),0)+IF(C312&gt;=CALL_LOOKUP_BOARD!$B$7,J312*1000+MIN(C312,999),C312*1000+J312)+0.00987300)</f>
        <v>1024.009873</v>
      </c>
      <c r="U312" s="2">
        <f>IF(C312=0,"",IF(COUNTIFS($S$186:$S$367,SUBSTITUTE(SUBSTITUTE(SUBSTITUTE(S312,"~","~~"),"*","~*"),"?","~?"),$T$186:$T$367,"&gt;"&amp;T312)=0,S312,""))</f>
        <v/>
      </c>
    </row>
    <row r="313" spans="1:21" ht="38" customHeight="1">
      <c r="A313" s="8" t="s">
        <v>177</v>
      </c>
      <c r="B313" s="8" t="s">
        <v>42</v>
      </c>
      <c r="C313" s="12">
        <f>COUNTIFS('DEF_SELF_SCOUT_IMPORT'!$L$42:$L$1040,"Y",'DEF_SELF_SCOUT_IMPORT'!$E$42:$E$1040,SUBSTITUTE(SUBSTITUTE(SUBSTITUTE($B313,"~","~~"),"*","~*"),"?","~?"),'DEF_SELF_SCOUT_IMPORT'!$Q$42:$Q$1040,SUBSTITUTE(SUBSTITUTE(SUBSTITUTE($M313,"~","~~"),"*","~*"),"?","~?"),'DEF_SELF_SCOUT_IMPORT'!$F$42:$F$1040,SUBSTITUTE(SUBSTITUTE(SUBSTITUTE($N313,"~","~~"),"*","~*"),"?","~?"))</f>
        <v>2</v>
      </c>
      <c r="D313" s="10">
        <f>IF($C313=0,"",SUMIFS('DEF_SELF_SCOUT_IMPORT'!$J$42:$J$1040,'DEF_SELF_SCOUT_IMPORT'!$L$42:$L$1040,"Y",'DEF_SELF_SCOUT_IMPORT'!$E$42:$E$1040,SUBSTITUTE(SUBSTITUTE(SUBSTITUTE($B313,"~","~~"),"*","~*"),"?","~?"),'DEF_SELF_SCOUT_IMPORT'!$Q$42:$Q$1040,SUBSTITUTE(SUBSTITUTE(SUBSTITUTE($M313,"~","~~"),"*","~*"),"?","~?"),'DEF_SELF_SCOUT_IMPORT'!$F$42:$F$1040,SUBSTITUTE(SUBSTITUTE(SUBSTITUTE($N313,"~","~~"),"*","~*"),"?","~?"))/$C313)</f>
        <v>1.0</v>
      </c>
      <c r="E313" s="10">
        <f>IF($C313=0,"",SUMIFS('DEF_SELF_SCOUT_IMPORT'!$K$42:$K$1040,'DEF_SELF_SCOUT_IMPORT'!$L$42:$L$1040,"Y",'DEF_SELF_SCOUT_IMPORT'!$E$42:$E$1040,SUBSTITUTE(SUBSTITUTE(SUBSTITUTE($B313,"~","~~"),"*","~*"),"?","~?"),'DEF_SELF_SCOUT_IMPORT'!$Q$42:$Q$1040,SUBSTITUTE(SUBSTITUTE(SUBSTITUTE($M313,"~","~~"),"*","~*"),"?","~?"),'DEF_SELF_SCOUT_IMPORT'!$F$42:$F$1040,SUBSTITUTE(SUBSTITUTE(SUBSTITUTE($N313,"~","~~"),"*","~*"),"?","~?"))/$C313)</f>
        <v>0.0</v>
      </c>
      <c r="F313" s="11">
        <f>IF($C313=0,"",AVERAGEIFS('DEF_SELF_SCOUT_IMPORT'!$I$42:$I$1040,'DEF_SELF_SCOUT_IMPORT'!$L$42:$L$1040,"Y",'DEF_SELF_SCOUT_IMPORT'!$E$42:$E$1040,SUBSTITUTE(SUBSTITUTE(SUBSTITUTE($B313,"~","~~"),"*","~*"),"?","~?"),'DEF_SELF_SCOUT_IMPORT'!$Q$42:$Q$1040,SUBSTITUTE(SUBSTITUTE(SUBSTITUTE($M313,"~","~~"),"*","~*"),"?","~?"),'DEF_SELF_SCOUT_IMPORT'!$F$42:$F$1040,SUBSTITUTE(SUBSTITUTE(SUBSTITUTE($N313,"~","~~"),"*","~*"),"?","~?")))</f>
        <v>-2.0</v>
      </c>
      <c r="G313" s="10">
        <f>IF($C313=0,"",COUNTIFS('DEF_SELF_SCOUT_IMPORT'!$L$42:$L$1040,"Y",'DEF_SELF_SCOUT_IMPORT'!$E$42:$E$1040,SUBSTITUTE(SUBSTITUTE(SUBSTITUTE($B313,"~","~~"),"*","~*"),"?","~?"),'DEF_SELF_SCOUT_IMPORT'!$Q$42:$Q$1040,SUBSTITUTE(SUBSTITUTE(SUBSTITUTE($M313,"~","~~"),"*","~*"),"?","~?"),'DEF_SELF_SCOUT_IMPORT'!$F$42:$F$1040,SUBSTITUTE(SUBSTITUTE(SUBSTITUTE($N313,"~","~~"),"*","~*"),"?","~?"),'DEF_SELF_SCOUT_IMPORT'!$H$42:$H$1040,"RUSH")/$C313)</f>
        <v>0.0</v>
      </c>
      <c r="H313" s="10">
        <f>IF($C313=0,"",COUNTIFS('DEF_SELF_SCOUT_IMPORT'!$L$42:$L$1040,"Y",'DEF_SELF_SCOUT_IMPORT'!$E$42:$E$1040,SUBSTITUTE(SUBSTITUTE(SUBSTITUTE($B313,"~","~~"),"*","~*"),"?","~?"),'DEF_SELF_SCOUT_IMPORT'!$Q$42:$Q$1040,SUBSTITUTE(SUBSTITUTE(SUBSTITUTE($M313,"~","~~"),"*","~*"),"?","~?"),'DEF_SELF_SCOUT_IMPORT'!$F$42:$F$1040,SUBSTITUTE(SUBSTITUTE(SUBSTITUTE($N313,"~","~~"),"*","~*"),"?","~?"),'DEF_SELF_SCOUT_IMPORT'!$H$42:$H$1040,"DROPBACK")/$C313)</f>
        <v>1.0</v>
      </c>
      <c r="I313" s="14" t="str">
        <f>IF(C313=0,"",IF(C313&lt;=2,"TRACK",IF(C313=3,"LOW",IF(C313&lt;=6,"MEDIUM","HIGH"))))</f>
        <v>TRACK</v>
      </c>
      <c r="J313" s="11">
        <f>IF(C313=0,"",ROUND(D313*70+(1-E313)*20+MAX(0,MIN(1,(10-F313)/10))*10,1))</f>
        <v>100.0</v>
      </c>
      <c r="K313" s="14" t="str">
        <f>IF(C313=0,"No Evidence",IF(C313&lt;=2,IF(E313&gt;0,"Explosive Alert","Track Only"),IF(C313=3,"Sample Watch",IF(E313&gt;=START_HERE!$B$31,"Explosive Alert",IF(J313&gt;=80,"Strong Candidate",IF(J313&gt;=65,"Good Candidate",IF(J313&gt;=50,"Mixed / Review","Problem Call")))))))</f>
        <v>Track Only</v>
      </c>
      <c r="L313" s="9" t="str">
        <f>IF(COUNTIFS('DEF_SELF_SCOUT_IMPORT'!$L$42:$L$1040,"Y",'DEF_SELF_SCOUT_IMPORT'!$E$42:$E$1040,SUBSTITUTE(SUBSTITUTE(SUBSTITUTE($B313,"~","~~"),"*","~*"),"?","~?"),'DEF_SELF_SCOUT_IMPORT'!$Q$42:$Q$1040,SUBSTITUTE(SUBSTITUTE(SUBSTITUTE($M313,"~","~~"),"*","~*"),"?","~?"),'DEF_SELF_SCOUT_IMPORT'!$F$42:$F$1040,SUBSTITUTE(SUBSTITUTE(SUBSTITUTE($N313,"~","~~"),"*","~*"),"?","~?"),'DEF_SELF_SCOUT_IMPORT'!$J$42:$J$1040,"")&gt;0,"Unscored clean outcome; review result tags before using score.",IF(C313=0,"No matching defensive reps; film confirmation needed.",IF(K313="Explosive Alert","Explosive risk; review clips before using as answer.",IF(C313&lt;=2,"Track only; not enough sample.",IF(C313=3,IF(E313&gt;0,"Sample watch with explosive exposure; review clips and build the sample.",IF(J313&gt;=65,"Good signal, but sample is limited.","Sample watch; review clips and build the sample.")),IF(K313="Problem Call","Problem area; practice or call-sheet review.",IF(K313="Strong Candidate","Strong call-fit candidate; confirm on film.",IF(K313="Good Candidate","Good call-fit signal; confirm on film.","Mixed signal; review fit and execution on film."))))))))</f>
        <v>Track only; not enough sample.</v>
      </c>
      <c r="M313" s="8" t="s">
        <v>103</v>
      </c>
      <c r="N313" s="8" t="s">
        <v>120</v>
      </c>
      <c r="O313" s="8"/>
      <c r="P313" s="8"/>
      <c r="Q313" s="8"/>
      <c r="R313" s="8" t="s">
        <v>28</v>
      </c>
      <c r="S313" s="2" t="s">
        <v>178</v>
      </c>
      <c r="T313" s="2">
        <f>IF(C313=0,0,IF(C313&gt;=CALL_LOOKUP_BOARD!$B$7,IF(OR(K313="Problem Call",K313="Explosive Alert"),10000000,20000000),0)+IF(C313&gt;=CALL_LOOKUP_BOARD!$B$7,J313*1000+MIN(C313,999),C313*1000+J313)+0.00987200)</f>
        <v>2100.009872</v>
      </c>
      <c r="U313" s="2" t="str">
        <f>IF(C313=0,"",IF(COUNTIFS($S$186:$S$367,SUBSTITUTE(SUBSTITUTE(SUBSTITUTE(S313,"~","~~"),"*","~*"),"?","~?"),$T$186:$T$367,"&gt;"&amp;T313)=0,S313,""))</f>
        <v>6:3D 4-6|2:11|</v>
      </c>
    </row>
    <row r="314" spans="1:21" ht="38" customHeight="1">
      <c r="A314" s="8" t="s">
        <v>177</v>
      </c>
      <c r="B314" s="8" t="s">
        <v>77</v>
      </c>
      <c r="C314" s="12">
        <f>COUNTIFS('DEF_SELF_SCOUT_IMPORT'!$L$42:$L$1040,"Y",'DEF_SELF_SCOUT_IMPORT'!$E$42:$E$1040,SUBSTITUTE(SUBSTITUTE(SUBSTITUTE($B314,"~","~~"),"*","~*"),"?","~?"),'DEF_SELF_SCOUT_IMPORT'!$Q$42:$Q$1040,SUBSTITUTE(SUBSTITUTE(SUBSTITUTE($M314,"~","~~"),"*","~*"),"?","~?"),'DEF_SELF_SCOUT_IMPORT'!$F$42:$F$1040,SUBSTITUTE(SUBSTITUTE(SUBSTITUTE($N314,"~","~~"),"*","~*"),"?","~?"))</f>
        <v>1</v>
      </c>
      <c r="D314" s="10">
        <f>IF($C314=0,"",SUMIFS('DEF_SELF_SCOUT_IMPORT'!$J$42:$J$1040,'DEF_SELF_SCOUT_IMPORT'!$L$42:$L$1040,"Y",'DEF_SELF_SCOUT_IMPORT'!$E$42:$E$1040,SUBSTITUTE(SUBSTITUTE(SUBSTITUTE($B314,"~","~~"),"*","~*"),"?","~?"),'DEF_SELF_SCOUT_IMPORT'!$Q$42:$Q$1040,SUBSTITUTE(SUBSTITUTE(SUBSTITUTE($M314,"~","~~"),"*","~*"),"?","~?"),'DEF_SELF_SCOUT_IMPORT'!$F$42:$F$1040,SUBSTITUTE(SUBSTITUTE(SUBSTITUTE($N314,"~","~~"),"*","~*"),"?","~?"))/$C314)</f>
        <v>1.0</v>
      </c>
      <c r="E314" s="10">
        <f>IF($C314=0,"",SUMIFS('DEF_SELF_SCOUT_IMPORT'!$K$42:$K$1040,'DEF_SELF_SCOUT_IMPORT'!$L$42:$L$1040,"Y",'DEF_SELF_SCOUT_IMPORT'!$E$42:$E$1040,SUBSTITUTE(SUBSTITUTE(SUBSTITUTE($B314,"~","~~"),"*","~*"),"?","~?"),'DEF_SELF_SCOUT_IMPORT'!$Q$42:$Q$1040,SUBSTITUTE(SUBSTITUTE(SUBSTITUTE($M314,"~","~~"),"*","~*"),"?","~?"),'DEF_SELF_SCOUT_IMPORT'!$F$42:$F$1040,SUBSTITUTE(SUBSTITUTE(SUBSTITUTE($N314,"~","~~"),"*","~*"),"?","~?"))/$C314)</f>
        <v>0.0</v>
      </c>
      <c r="F314" s="11">
        <f>IF($C314=0,"",AVERAGEIFS('DEF_SELF_SCOUT_IMPORT'!$I$42:$I$1040,'DEF_SELF_SCOUT_IMPORT'!$L$42:$L$1040,"Y",'DEF_SELF_SCOUT_IMPORT'!$E$42:$E$1040,SUBSTITUTE(SUBSTITUTE(SUBSTITUTE($B314,"~","~~"),"*","~*"),"?","~?"),'DEF_SELF_SCOUT_IMPORT'!$Q$42:$Q$1040,SUBSTITUTE(SUBSTITUTE(SUBSTITUTE($M314,"~","~~"),"*","~*"),"?","~?"),'DEF_SELF_SCOUT_IMPORT'!$F$42:$F$1040,SUBSTITUTE(SUBSTITUTE(SUBSTITUTE($N314,"~","~~"),"*","~*"),"?","~?")))</f>
        <v>5.0</v>
      </c>
      <c r="G314" s="10">
        <f>IF($C314=0,"",COUNTIFS('DEF_SELF_SCOUT_IMPORT'!$L$42:$L$1040,"Y",'DEF_SELF_SCOUT_IMPORT'!$E$42:$E$1040,SUBSTITUTE(SUBSTITUTE(SUBSTITUTE($B314,"~","~~"),"*","~*"),"?","~?"),'DEF_SELF_SCOUT_IMPORT'!$Q$42:$Q$1040,SUBSTITUTE(SUBSTITUTE(SUBSTITUTE($M314,"~","~~"),"*","~*"),"?","~?"),'DEF_SELF_SCOUT_IMPORT'!$F$42:$F$1040,SUBSTITUTE(SUBSTITUTE(SUBSTITUTE($N314,"~","~~"),"*","~*"),"?","~?"),'DEF_SELF_SCOUT_IMPORT'!$H$42:$H$1040,"RUSH")/$C314)</f>
        <v>0.0</v>
      </c>
      <c r="H314" s="10">
        <f>IF($C314=0,"",COUNTIFS('DEF_SELF_SCOUT_IMPORT'!$L$42:$L$1040,"Y",'DEF_SELF_SCOUT_IMPORT'!$E$42:$E$1040,SUBSTITUTE(SUBSTITUTE(SUBSTITUTE($B314,"~","~~"),"*","~*"),"?","~?"),'DEF_SELF_SCOUT_IMPORT'!$Q$42:$Q$1040,SUBSTITUTE(SUBSTITUTE(SUBSTITUTE($M314,"~","~~"),"*","~*"),"?","~?"),'DEF_SELF_SCOUT_IMPORT'!$F$42:$F$1040,SUBSTITUTE(SUBSTITUTE(SUBSTITUTE($N314,"~","~~"),"*","~*"),"?","~?"),'DEF_SELF_SCOUT_IMPORT'!$H$42:$H$1040,"DROPBACK")/$C314)</f>
        <v>1.0</v>
      </c>
      <c r="I314" s="14" t="str">
        <f>IF(C314=0,"",IF(C314&lt;=2,"TRACK",IF(C314=3,"LOW",IF(C314&lt;=6,"MEDIUM","HIGH"))))</f>
        <v>TRACK</v>
      </c>
      <c r="J314" s="11">
        <f>IF(C314=0,"",ROUND(D314*70+(1-E314)*20+MAX(0,MIN(1,(10-F314)/10))*10,1))</f>
        <v>95.0</v>
      </c>
      <c r="K314" s="14" t="str">
        <f>IF(C314=0,"No Evidence",IF(C314&lt;=2,IF(E314&gt;0,"Explosive Alert","Track Only"),IF(C314=3,"Sample Watch",IF(E314&gt;=START_HERE!$B$31,"Explosive Alert",IF(J314&gt;=80,"Strong Candidate",IF(J314&gt;=65,"Good Candidate",IF(J314&gt;=50,"Mixed / Review","Problem Call")))))))</f>
        <v>Track Only</v>
      </c>
      <c r="L314" s="9" t="str">
        <f>IF(COUNTIFS('DEF_SELF_SCOUT_IMPORT'!$L$42:$L$1040,"Y",'DEF_SELF_SCOUT_IMPORT'!$E$42:$E$1040,SUBSTITUTE(SUBSTITUTE(SUBSTITUTE($B314,"~","~~"),"*","~*"),"?","~?"),'DEF_SELF_SCOUT_IMPORT'!$Q$42:$Q$1040,SUBSTITUTE(SUBSTITUTE(SUBSTITUTE($M314,"~","~~"),"*","~*"),"?","~?"),'DEF_SELF_SCOUT_IMPORT'!$F$42:$F$1040,SUBSTITUTE(SUBSTITUTE(SUBSTITUTE($N314,"~","~~"),"*","~*"),"?","~?"),'DEF_SELF_SCOUT_IMPORT'!$J$42:$J$1040,"")&gt;0,"Unscored clean outcome; review result tags before using score.",IF(C314=0,"No matching defensive reps; film confirmation needed.",IF(K314="Explosive Alert","Explosive risk; review clips before using as answer.",IF(C314&lt;=2,"Track only; not enough sample.",IF(C314=3,IF(E314&gt;0,"Sample watch with explosive exposure; review clips and build the sample.",IF(J314&gt;=65,"Good signal, but sample is limited.","Sample watch; review clips and build the sample.")),IF(K314="Problem Call","Problem area; practice or call-sheet review.",IF(K314="Strong Candidate","Strong call-fit candidate; confirm on film.",IF(K314="Good Candidate","Good call-fit signal; confirm on film.","Mixed signal; review fit and execution on film."))))))))</f>
        <v>Track only; not enough sample.</v>
      </c>
      <c r="M314" s="8" t="s">
        <v>103</v>
      </c>
      <c r="N314" s="8" t="s">
        <v>120</v>
      </c>
      <c r="O314" s="8"/>
      <c r="P314" s="8"/>
      <c r="Q314" s="8"/>
      <c r="R314" s="8" t="s">
        <v>28</v>
      </c>
      <c r="S314" s="2" t="s">
        <v>178</v>
      </c>
      <c r="T314" s="2">
        <f>IF(C314=0,0,IF(C314&gt;=CALL_LOOKUP_BOARD!$B$7,IF(OR(K314="Problem Call",K314="Explosive Alert"),10000000,20000000),0)+IF(C314&gt;=CALL_LOOKUP_BOARD!$B$7,J314*1000+MIN(C314,999),C314*1000+J314)+0.00987100)</f>
        <v>1095.009871</v>
      </c>
      <c r="U314" s="2">
        <f>IF(C314=0,"",IF(COUNTIFS($S$186:$S$367,SUBSTITUTE(SUBSTITUTE(SUBSTITUTE(S314,"~","~~"),"*","~*"),"?","~?"),$T$186:$T$367,"&gt;"&amp;T314)=0,S314,""))</f>
        <v/>
      </c>
    </row>
    <row r="315" spans="1:21" ht="38" customHeight="1">
      <c r="A315" s="8" t="s">
        <v>177</v>
      </c>
      <c r="B315" s="8" t="s">
        <v>48</v>
      </c>
      <c r="C315" s="12">
        <f>COUNTIFS('DEF_SELF_SCOUT_IMPORT'!$L$42:$L$1040,"Y",'DEF_SELF_SCOUT_IMPORT'!$E$42:$E$1040,SUBSTITUTE(SUBSTITUTE(SUBSTITUTE($B315,"~","~~"),"*","~*"),"?","~?"),'DEF_SELF_SCOUT_IMPORT'!$Q$42:$Q$1040,SUBSTITUTE(SUBSTITUTE(SUBSTITUTE($M315,"~","~~"),"*","~*"),"?","~?"),'DEF_SELF_SCOUT_IMPORT'!$F$42:$F$1040,SUBSTITUTE(SUBSTITUTE(SUBSTITUTE($N315,"~","~~"),"*","~*"),"?","~?"))</f>
        <v>2</v>
      </c>
      <c r="D315" s="10">
        <f>IF($C315=0,"",SUMIFS('DEF_SELF_SCOUT_IMPORT'!$J$42:$J$1040,'DEF_SELF_SCOUT_IMPORT'!$L$42:$L$1040,"Y",'DEF_SELF_SCOUT_IMPORT'!$E$42:$E$1040,SUBSTITUTE(SUBSTITUTE(SUBSTITUTE($B315,"~","~~"),"*","~*"),"?","~?"),'DEF_SELF_SCOUT_IMPORT'!$Q$42:$Q$1040,SUBSTITUTE(SUBSTITUTE(SUBSTITUTE($M315,"~","~~"),"*","~*"),"?","~?"),'DEF_SELF_SCOUT_IMPORT'!$F$42:$F$1040,SUBSTITUTE(SUBSTITUTE(SUBSTITUTE($N315,"~","~~"),"*","~*"),"?","~?"))/$C315)</f>
        <v>0.0</v>
      </c>
      <c r="E315" s="10">
        <f>IF($C315=0,"",SUMIFS('DEF_SELF_SCOUT_IMPORT'!$K$42:$K$1040,'DEF_SELF_SCOUT_IMPORT'!$L$42:$L$1040,"Y",'DEF_SELF_SCOUT_IMPORT'!$E$42:$E$1040,SUBSTITUTE(SUBSTITUTE(SUBSTITUTE($B315,"~","~~"),"*","~*"),"?","~?"),'DEF_SELF_SCOUT_IMPORT'!$Q$42:$Q$1040,SUBSTITUTE(SUBSTITUTE(SUBSTITUTE($M315,"~","~~"),"*","~*"),"?","~?"),'DEF_SELF_SCOUT_IMPORT'!$F$42:$F$1040,SUBSTITUTE(SUBSTITUTE(SUBSTITUTE($N315,"~","~~"),"*","~*"),"?","~?"))/$C315)</f>
        <v>0.0</v>
      </c>
      <c r="F315" s="11">
        <f>IF($C315=0,"",AVERAGEIFS('DEF_SELF_SCOUT_IMPORT'!$I$42:$I$1040,'DEF_SELF_SCOUT_IMPORT'!$L$42:$L$1040,"Y",'DEF_SELF_SCOUT_IMPORT'!$E$42:$E$1040,SUBSTITUTE(SUBSTITUTE(SUBSTITUTE($B315,"~","~~"),"*","~*"),"?","~?"),'DEF_SELF_SCOUT_IMPORT'!$Q$42:$Q$1040,SUBSTITUTE(SUBSTITUTE(SUBSTITUTE($M315,"~","~~"),"*","~*"),"?","~?"),'DEF_SELF_SCOUT_IMPORT'!$F$42:$F$1040,SUBSTITUTE(SUBSTITUTE(SUBSTITUTE($N315,"~","~~"),"*","~*"),"?","~?")))</f>
        <v>10.5</v>
      </c>
      <c r="G315" s="10">
        <f>IF($C315=0,"",COUNTIFS('DEF_SELF_SCOUT_IMPORT'!$L$42:$L$1040,"Y",'DEF_SELF_SCOUT_IMPORT'!$E$42:$E$1040,SUBSTITUTE(SUBSTITUTE(SUBSTITUTE($B315,"~","~~"),"*","~*"),"?","~?"),'DEF_SELF_SCOUT_IMPORT'!$Q$42:$Q$1040,SUBSTITUTE(SUBSTITUTE(SUBSTITUTE($M315,"~","~~"),"*","~*"),"?","~?"),'DEF_SELF_SCOUT_IMPORT'!$F$42:$F$1040,SUBSTITUTE(SUBSTITUTE(SUBSTITUTE($N315,"~","~~"),"*","~*"),"?","~?"),'DEF_SELF_SCOUT_IMPORT'!$H$42:$H$1040,"RUSH")/$C315)</f>
        <v>0.0</v>
      </c>
      <c r="H315" s="10">
        <f>IF($C315=0,"",COUNTIFS('DEF_SELF_SCOUT_IMPORT'!$L$42:$L$1040,"Y",'DEF_SELF_SCOUT_IMPORT'!$E$42:$E$1040,SUBSTITUTE(SUBSTITUTE(SUBSTITUTE($B315,"~","~~"),"*","~*"),"?","~?"),'DEF_SELF_SCOUT_IMPORT'!$Q$42:$Q$1040,SUBSTITUTE(SUBSTITUTE(SUBSTITUTE($M315,"~","~~"),"*","~*"),"?","~?"),'DEF_SELF_SCOUT_IMPORT'!$F$42:$F$1040,SUBSTITUTE(SUBSTITUTE(SUBSTITUTE($N315,"~","~~"),"*","~*"),"?","~?"),'DEF_SELF_SCOUT_IMPORT'!$H$42:$H$1040,"DROPBACK")/$C315)</f>
        <v>1.0</v>
      </c>
      <c r="I315" s="14" t="str">
        <f>IF(C315=0,"",IF(C315&lt;=2,"TRACK",IF(C315=3,"LOW",IF(C315&lt;=6,"MEDIUM","HIGH"))))</f>
        <v>TRACK</v>
      </c>
      <c r="J315" s="11">
        <f>IF(C315=0,"",ROUND(D315*70+(1-E315)*20+MAX(0,MIN(1,(10-F315)/10))*10,1))</f>
        <v>20.0</v>
      </c>
      <c r="K315" s="14" t="str">
        <f>IF(C315=0,"No Evidence",IF(C315&lt;=2,IF(E315&gt;0,"Explosive Alert","Track Only"),IF(C315=3,"Sample Watch",IF(E315&gt;=START_HERE!$B$31,"Explosive Alert",IF(J315&gt;=80,"Strong Candidate",IF(J315&gt;=65,"Good Candidate",IF(J315&gt;=50,"Mixed / Review","Problem Call")))))))</f>
        <v>Track Only</v>
      </c>
      <c r="L315" s="9" t="str">
        <f>IF(COUNTIFS('DEF_SELF_SCOUT_IMPORT'!$L$42:$L$1040,"Y",'DEF_SELF_SCOUT_IMPORT'!$E$42:$E$1040,SUBSTITUTE(SUBSTITUTE(SUBSTITUTE($B315,"~","~~"),"*","~*"),"?","~?"),'DEF_SELF_SCOUT_IMPORT'!$Q$42:$Q$1040,SUBSTITUTE(SUBSTITUTE(SUBSTITUTE($M315,"~","~~"),"*","~*"),"?","~?"),'DEF_SELF_SCOUT_IMPORT'!$F$42:$F$1040,SUBSTITUTE(SUBSTITUTE(SUBSTITUTE($N315,"~","~~"),"*","~*"),"?","~?"),'DEF_SELF_SCOUT_IMPORT'!$J$42:$J$1040,"")&gt;0,"Unscored clean outcome; review result tags before using score.",IF(C315=0,"No matching defensive reps; film confirmation needed.",IF(K315="Explosive Alert","Explosive risk; review clips before using as answer.",IF(C315&lt;=2,"Track only; not enough sample.",IF(C315=3,IF(E315&gt;0,"Sample watch with explosive exposure; review clips and build the sample.",IF(J315&gt;=65,"Good signal, but sample is limited.","Sample watch; review clips and build the sample.")),IF(K315="Problem Call","Problem area; practice or call-sheet review.",IF(K315="Strong Candidate","Strong call-fit candidate; confirm on film.",IF(K315="Good Candidate","Good call-fit signal; confirm on film.","Mixed signal; review fit and execution on film."))))))))</f>
        <v>Track only; not enough sample.</v>
      </c>
      <c r="M315" s="8" t="s">
        <v>103</v>
      </c>
      <c r="N315" s="8" t="s">
        <v>120</v>
      </c>
      <c r="O315" s="8"/>
      <c r="P315" s="8"/>
      <c r="Q315" s="8"/>
      <c r="R315" s="8" t="s">
        <v>28</v>
      </c>
      <c r="S315" s="2" t="s">
        <v>178</v>
      </c>
      <c r="T315" s="2">
        <f>IF(C315=0,0,IF(C315&gt;=CALL_LOOKUP_BOARD!$B$7,IF(OR(K315="Problem Call",K315="Explosive Alert"),10000000,20000000),0)+IF(C315&gt;=CALL_LOOKUP_BOARD!$B$7,J315*1000+MIN(C315,999),C315*1000+J315)+0.00987000)</f>
        <v>2020.00987</v>
      </c>
      <c r="U315" s="2">
        <f>IF(C315=0,"",IF(COUNTIFS($S$186:$S$367,SUBSTITUTE(SUBSTITUTE(SUBSTITUTE(S315,"~","~~"),"*","~*"),"?","~?"),$T$186:$T$367,"&gt;"&amp;T315)=0,S315,""))</f>
        <v/>
      </c>
    </row>
    <row r="316" spans="1:21" ht="38" customHeight="1">
      <c r="A316" s="8" t="s">
        <v>177</v>
      </c>
      <c r="B316" s="8" t="s">
        <v>100</v>
      </c>
      <c r="C316" s="12">
        <f>COUNTIFS('DEF_SELF_SCOUT_IMPORT'!$L$42:$L$1040,"Y",'DEF_SELF_SCOUT_IMPORT'!$E$42:$E$1040,SUBSTITUTE(SUBSTITUTE(SUBSTITUTE($B316,"~","~~"),"*","~*"),"?","~?"),'DEF_SELF_SCOUT_IMPORT'!$Q$42:$Q$1040,SUBSTITUTE(SUBSTITUTE(SUBSTITUTE($M316,"~","~~"),"*","~*"),"?","~?"),'DEF_SELF_SCOUT_IMPORT'!$F$42:$F$1040,SUBSTITUTE(SUBSTITUTE(SUBSTITUTE($N316,"~","~~"),"*","~*"),"?","~?"))</f>
        <v>2</v>
      </c>
      <c r="D316" s="10">
        <f>IF($C316=0,"",SUMIFS('DEF_SELF_SCOUT_IMPORT'!$J$42:$J$1040,'DEF_SELF_SCOUT_IMPORT'!$L$42:$L$1040,"Y",'DEF_SELF_SCOUT_IMPORT'!$E$42:$E$1040,SUBSTITUTE(SUBSTITUTE(SUBSTITUTE($B316,"~","~~"),"*","~*"),"?","~?"),'DEF_SELF_SCOUT_IMPORT'!$Q$42:$Q$1040,SUBSTITUTE(SUBSTITUTE(SUBSTITUTE($M316,"~","~~"),"*","~*"),"?","~?"),'DEF_SELF_SCOUT_IMPORT'!$F$42:$F$1040,SUBSTITUTE(SUBSTITUTE(SUBSTITUTE($N316,"~","~~"),"*","~*"),"?","~?"))/$C316)</f>
        <v>0.5</v>
      </c>
      <c r="E316" s="10">
        <f>IF($C316=0,"",SUMIFS('DEF_SELF_SCOUT_IMPORT'!$K$42:$K$1040,'DEF_SELF_SCOUT_IMPORT'!$L$42:$L$1040,"Y",'DEF_SELF_SCOUT_IMPORT'!$E$42:$E$1040,SUBSTITUTE(SUBSTITUTE(SUBSTITUTE($B316,"~","~~"),"*","~*"),"?","~?"),'DEF_SELF_SCOUT_IMPORT'!$Q$42:$Q$1040,SUBSTITUTE(SUBSTITUTE(SUBSTITUTE($M316,"~","~~"),"*","~*"),"?","~?"),'DEF_SELF_SCOUT_IMPORT'!$F$42:$F$1040,SUBSTITUTE(SUBSTITUTE(SUBSTITUTE($N316,"~","~~"),"*","~*"),"?","~?"))/$C316)</f>
        <v>0.0</v>
      </c>
      <c r="F316" s="11">
        <f>IF($C316=0,"",AVERAGEIFS('DEF_SELF_SCOUT_IMPORT'!$I$42:$I$1040,'DEF_SELF_SCOUT_IMPORT'!$L$42:$L$1040,"Y",'DEF_SELF_SCOUT_IMPORT'!$E$42:$E$1040,SUBSTITUTE(SUBSTITUTE(SUBSTITUTE($B316,"~","~~"),"*","~*"),"?","~?"),'DEF_SELF_SCOUT_IMPORT'!$Q$42:$Q$1040,SUBSTITUTE(SUBSTITUTE(SUBSTITUTE($M316,"~","~~"),"*","~*"),"?","~?"),'DEF_SELF_SCOUT_IMPORT'!$F$42:$F$1040,SUBSTITUTE(SUBSTITUTE(SUBSTITUTE($N316,"~","~~"),"*","~*"),"?","~?")))</f>
        <v>6.0</v>
      </c>
      <c r="G316" s="10">
        <f>IF($C316=0,"",COUNTIFS('DEF_SELF_SCOUT_IMPORT'!$L$42:$L$1040,"Y",'DEF_SELF_SCOUT_IMPORT'!$E$42:$E$1040,SUBSTITUTE(SUBSTITUTE(SUBSTITUTE($B316,"~","~~"),"*","~*"),"?","~?"),'DEF_SELF_SCOUT_IMPORT'!$Q$42:$Q$1040,SUBSTITUTE(SUBSTITUTE(SUBSTITUTE($M316,"~","~~"),"*","~*"),"?","~?"),'DEF_SELF_SCOUT_IMPORT'!$F$42:$F$1040,SUBSTITUTE(SUBSTITUTE(SUBSTITUTE($N316,"~","~~"),"*","~*"),"?","~?"),'DEF_SELF_SCOUT_IMPORT'!$H$42:$H$1040,"RUSH")/$C316)</f>
        <v>0.5</v>
      </c>
      <c r="H316" s="10">
        <f>IF($C316=0,"",COUNTIFS('DEF_SELF_SCOUT_IMPORT'!$L$42:$L$1040,"Y",'DEF_SELF_SCOUT_IMPORT'!$E$42:$E$1040,SUBSTITUTE(SUBSTITUTE(SUBSTITUTE($B316,"~","~~"),"*","~*"),"?","~?"),'DEF_SELF_SCOUT_IMPORT'!$Q$42:$Q$1040,SUBSTITUTE(SUBSTITUTE(SUBSTITUTE($M316,"~","~~"),"*","~*"),"?","~?"),'DEF_SELF_SCOUT_IMPORT'!$F$42:$F$1040,SUBSTITUTE(SUBSTITUTE(SUBSTITUTE($N316,"~","~~"),"*","~*"),"?","~?"),'DEF_SELF_SCOUT_IMPORT'!$H$42:$H$1040,"DROPBACK")/$C316)</f>
        <v>0.5</v>
      </c>
      <c r="I316" s="14" t="str">
        <f>IF(C316=0,"",IF(C316&lt;=2,"TRACK",IF(C316=3,"LOW",IF(C316&lt;=6,"MEDIUM","HIGH"))))</f>
        <v>TRACK</v>
      </c>
      <c r="J316" s="11">
        <f>IF(C316=0,"",ROUND(D316*70+(1-E316)*20+MAX(0,MIN(1,(10-F316)/10))*10,1))</f>
        <v>59.0</v>
      </c>
      <c r="K316" s="14" t="str">
        <f>IF(C316=0,"No Evidence",IF(C316&lt;=2,IF(E316&gt;0,"Explosive Alert","Track Only"),IF(C316=3,"Sample Watch",IF(E316&gt;=START_HERE!$B$31,"Explosive Alert",IF(J316&gt;=80,"Strong Candidate",IF(J316&gt;=65,"Good Candidate",IF(J316&gt;=50,"Mixed / Review","Problem Call")))))))</f>
        <v>Track Only</v>
      </c>
      <c r="L316" s="9" t="str">
        <f>IF(COUNTIFS('DEF_SELF_SCOUT_IMPORT'!$L$42:$L$1040,"Y",'DEF_SELF_SCOUT_IMPORT'!$E$42:$E$1040,SUBSTITUTE(SUBSTITUTE(SUBSTITUTE($B316,"~","~~"),"*","~*"),"?","~?"),'DEF_SELF_SCOUT_IMPORT'!$Q$42:$Q$1040,SUBSTITUTE(SUBSTITUTE(SUBSTITUTE($M316,"~","~~"),"*","~*"),"?","~?"),'DEF_SELF_SCOUT_IMPORT'!$F$42:$F$1040,SUBSTITUTE(SUBSTITUTE(SUBSTITUTE($N316,"~","~~"),"*","~*"),"?","~?"),'DEF_SELF_SCOUT_IMPORT'!$J$42:$J$1040,"")&gt;0,"Unscored clean outcome; review result tags before using score.",IF(C316=0,"No matching defensive reps; film confirmation needed.",IF(K316="Explosive Alert","Explosive risk; review clips before using as answer.",IF(C316&lt;=2,"Track only; not enough sample.",IF(C316=3,IF(E316&gt;0,"Sample watch with explosive exposure; review clips and build the sample.",IF(J316&gt;=65,"Good signal, but sample is limited.","Sample watch; review clips and build the sample.")),IF(K316="Problem Call","Problem area; practice or call-sheet review.",IF(K316="Strong Candidate","Strong call-fit candidate; confirm on film.",IF(K316="Good Candidate","Good call-fit signal; confirm on film.","Mixed signal; review fit and execution on film."))))))))</f>
        <v>Track only; not enough sample.</v>
      </c>
      <c r="M316" s="8" t="s">
        <v>103</v>
      </c>
      <c r="N316" s="8" t="s">
        <v>120</v>
      </c>
      <c r="O316" s="8"/>
      <c r="P316" s="8"/>
      <c r="Q316" s="8"/>
      <c r="R316" s="8" t="s">
        <v>28</v>
      </c>
      <c r="S316" s="2" t="s">
        <v>178</v>
      </c>
      <c r="T316" s="2">
        <f>IF(C316=0,0,IF(C316&gt;=CALL_LOOKUP_BOARD!$B$7,IF(OR(K316="Problem Call",K316="Explosive Alert"),10000000,20000000),0)+IF(C316&gt;=CALL_LOOKUP_BOARD!$B$7,J316*1000+MIN(C316,999),C316*1000+J316)+0.00986900)</f>
        <v>2059.009869</v>
      </c>
      <c r="U316" s="2">
        <f>IF(C316=0,"",IF(COUNTIFS($S$186:$S$367,SUBSTITUTE(SUBSTITUTE(SUBSTITUTE(S316,"~","~~"),"*","~*"),"?","~?"),$T$186:$T$367,"&gt;"&amp;T316)=0,S316,""))</f>
        <v/>
      </c>
    </row>
    <row r="317" spans="1:21" ht="38" customHeight="1">
      <c r="A317" s="8" t="s">
        <v>177</v>
      </c>
      <c r="B317" s="8" t="s">
        <v>105</v>
      </c>
      <c r="C317" s="12">
        <f>COUNTIFS('DEF_SELF_SCOUT_IMPORT'!$L$42:$L$1040,"Y",'DEF_SELF_SCOUT_IMPORT'!$E$42:$E$1040,SUBSTITUTE(SUBSTITUTE(SUBSTITUTE($B317,"~","~~"),"*","~*"),"?","~?"),'DEF_SELF_SCOUT_IMPORT'!$Q$42:$Q$1040,SUBSTITUTE(SUBSTITUTE(SUBSTITUTE($M317,"~","~~"),"*","~*"),"?","~?"),'DEF_SELF_SCOUT_IMPORT'!$F$42:$F$1040,SUBSTITUTE(SUBSTITUTE(SUBSTITUTE($N317,"~","~~"),"*","~*"),"?","~?"))</f>
        <v>1</v>
      </c>
      <c r="D317" s="10">
        <f>IF($C317=0,"",SUMIFS('DEF_SELF_SCOUT_IMPORT'!$J$42:$J$1040,'DEF_SELF_SCOUT_IMPORT'!$L$42:$L$1040,"Y",'DEF_SELF_SCOUT_IMPORT'!$E$42:$E$1040,SUBSTITUTE(SUBSTITUTE(SUBSTITUTE($B317,"~","~~"),"*","~*"),"?","~?"),'DEF_SELF_SCOUT_IMPORT'!$Q$42:$Q$1040,SUBSTITUTE(SUBSTITUTE(SUBSTITUTE($M317,"~","~~"),"*","~*"),"?","~?"),'DEF_SELF_SCOUT_IMPORT'!$F$42:$F$1040,SUBSTITUTE(SUBSTITUTE(SUBSTITUTE($N317,"~","~~"),"*","~*"),"?","~?"))/$C317)</f>
        <v>1.0</v>
      </c>
      <c r="E317" s="10">
        <f>IF($C317=0,"",SUMIFS('DEF_SELF_SCOUT_IMPORT'!$K$42:$K$1040,'DEF_SELF_SCOUT_IMPORT'!$L$42:$L$1040,"Y",'DEF_SELF_SCOUT_IMPORT'!$E$42:$E$1040,SUBSTITUTE(SUBSTITUTE(SUBSTITUTE($B317,"~","~~"),"*","~*"),"?","~?"),'DEF_SELF_SCOUT_IMPORT'!$Q$42:$Q$1040,SUBSTITUTE(SUBSTITUTE(SUBSTITUTE($M317,"~","~~"),"*","~*"),"?","~?"),'DEF_SELF_SCOUT_IMPORT'!$F$42:$F$1040,SUBSTITUTE(SUBSTITUTE(SUBSTITUTE($N317,"~","~~"),"*","~*"),"?","~?"))/$C317)</f>
        <v>0.0</v>
      </c>
      <c r="F317" s="11">
        <f>IF($C317=0,"",AVERAGEIFS('DEF_SELF_SCOUT_IMPORT'!$I$42:$I$1040,'DEF_SELF_SCOUT_IMPORT'!$L$42:$L$1040,"Y",'DEF_SELF_SCOUT_IMPORT'!$E$42:$E$1040,SUBSTITUTE(SUBSTITUTE(SUBSTITUTE($B317,"~","~~"),"*","~*"),"?","~?"),'DEF_SELF_SCOUT_IMPORT'!$Q$42:$Q$1040,SUBSTITUTE(SUBSTITUTE(SUBSTITUTE($M317,"~","~~"),"*","~*"),"?","~?"),'DEF_SELF_SCOUT_IMPORT'!$F$42:$F$1040,SUBSTITUTE(SUBSTITUTE(SUBSTITUTE($N317,"~","~~"),"*","~*"),"?","~?")))</f>
        <v>0.0</v>
      </c>
      <c r="G317" s="10">
        <f>IF($C317=0,"",COUNTIFS('DEF_SELF_SCOUT_IMPORT'!$L$42:$L$1040,"Y",'DEF_SELF_SCOUT_IMPORT'!$E$42:$E$1040,SUBSTITUTE(SUBSTITUTE(SUBSTITUTE($B317,"~","~~"),"*","~*"),"?","~?"),'DEF_SELF_SCOUT_IMPORT'!$Q$42:$Q$1040,SUBSTITUTE(SUBSTITUTE(SUBSTITUTE($M317,"~","~~"),"*","~*"),"?","~?"),'DEF_SELF_SCOUT_IMPORT'!$F$42:$F$1040,SUBSTITUTE(SUBSTITUTE(SUBSTITUTE($N317,"~","~~"),"*","~*"),"?","~?"),'DEF_SELF_SCOUT_IMPORT'!$H$42:$H$1040,"RUSH")/$C317)</f>
        <v>0.0</v>
      </c>
      <c r="H317" s="10">
        <f>IF($C317=0,"",COUNTIFS('DEF_SELF_SCOUT_IMPORT'!$L$42:$L$1040,"Y",'DEF_SELF_SCOUT_IMPORT'!$E$42:$E$1040,SUBSTITUTE(SUBSTITUTE(SUBSTITUTE($B317,"~","~~"),"*","~*"),"?","~?"),'DEF_SELF_SCOUT_IMPORT'!$Q$42:$Q$1040,SUBSTITUTE(SUBSTITUTE(SUBSTITUTE($M317,"~","~~"),"*","~*"),"?","~?"),'DEF_SELF_SCOUT_IMPORT'!$F$42:$F$1040,SUBSTITUTE(SUBSTITUTE(SUBSTITUTE($N317,"~","~~"),"*","~*"),"?","~?"),'DEF_SELF_SCOUT_IMPORT'!$H$42:$H$1040,"DROPBACK")/$C317)</f>
        <v>1.0</v>
      </c>
      <c r="I317" s="14" t="str">
        <f>IF(C317=0,"",IF(C317&lt;=2,"TRACK",IF(C317=3,"LOW",IF(C317&lt;=6,"MEDIUM","HIGH"))))</f>
        <v>TRACK</v>
      </c>
      <c r="J317" s="11">
        <f>IF(C317=0,"",ROUND(D317*70+(1-E317)*20+MAX(0,MIN(1,(10-F317)/10))*10,1))</f>
        <v>100.0</v>
      </c>
      <c r="K317" s="14" t="str">
        <f>IF(C317=0,"No Evidence",IF(C317&lt;=2,IF(E317&gt;0,"Explosive Alert","Track Only"),IF(C317=3,"Sample Watch",IF(E317&gt;=START_HERE!$B$31,"Explosive Alert",IF(J317&gt;=80,"Strong Candidate",IF(J317&gt;=65,"Good Candidate",IF(J317&gt;=50,"Mixed / Review","Problem Call")))))))</f>
        <v>Track Only</v>
      </c>
      <c r="L317" s="9" t="str">
        <f>IF(COUNTIFS('DEF_SELF_SCOUT_IMPORT'!$L$42:$L$1040,"Y",'DEF_SELF_SCOUT_IMPORT'!$E$42:$E$1040,SUBSTITUTE(SUBSTITUTE(SUBSTITUTE($B317,"~","~~"),"*","~*"),"?","~?"),'DEF_SELF_SCOUT_IMPORT'!$Q$42:$Q$1040,SUBSTITUTE(SUBSTITUTE(SUBSTITUTE($M317,"~","~~"),"*","~*"),"?","~?"),'DEF_SELF_SCOUT_IMPORT'!$F$42:$F$1040,SUBSTITUTE(SUBSTITUTE(SUBSTITUTE($N317,"~","~~"),"*","~*"),"?","~?"),'DEF_SELF_SCOUT_IMPORT'!$J$42:$J$1040,"")&gt;0,"Unscored clean outcome; review result tags before using score.",IF(C317=0,"No matching defensive reps; film confirmation needed.",IF(K317="Explosive Alert","Explosive risk; review clips before using as answer.",IF(C317&lt;=2,"Track only; not enough sample.",IF(C317=3,IF(E317&gt;0,"Sample watch with explosive exposure; review clips and build the sample.",IF(J317&gt;=65,"Good signal, but sample is limited.","Sample watch; review clips and build the sample.")),IF(K317="Problem Call","Problem area; practice or call-sheet review.",IF(K317="Strong Candidate","Strong call-fit candidate; confirm on film.",IF(K317="Good Candidate","Good call-fit signal; confirm on film.","Mixed signal; review fit and execution on film."))))))))</f>
        <v>Track only; not enough sample.</v>
      </c>
      <c r="M317" s="8" t="s">
        <v>103</v>
      </c>
      <c r="N317" s="8" t="s">
        <v>120</v>
      </c>
      <c r="O317" s="8"/>
      <c r="P317" s="8"/>
      <c r="Q317" s="8"/>
      <c r="R317" s="8" t="s">
        <v>28</v>
      </c>
      <c r="S317" s="2" t="s">
        <v>178</v>
      </c>
      <c r="T317" s="2">
        <f>IF(C317=0,0,IF(C317&gt;=CALL_LOOKUP_BOARD!$B$7,IF(OR(K317="Problem Call",K317="Explosive Alert"),10000000,20000000),0)+IF(C317&gt;=CALL_LOOKUP_BOARD!$B$7,J317*1000+MIN(C317,999),C317*1000+J317)+0.00986800)</f>
        <v>1100.009868</v>
      </c>
      <c r="U317" s="2">
        <f>IF(C317=0,"",IF(COUNTIFS($S$186:$S$367,SUBSTITUTE(SUBSTITUTE(SUBSTITUTE(S317,"~","~~"),"*","~*"),"?","~?"),$T$186:$T$367,"&gt;"&amp;T317)=0,S317,""))</f>
        <v/>
      </c>
    </row>
    <row r="318" spans="1:21" ht="38" customHeight="1">
      <c r="A318" s="8" t="s">
        <v>177</v>
      </c>
      <c r="B318" s="8" t="s">
        <v>95</v>
      </c>
      <c r="C318" s="12">
        <f>COUNTIFS('DEF_SELF_SCOUT_IMPORT'!$L$42:$L$1040,"Y",'DEF_SELF_SCOUT_IMPORT'!$E$42:$E$1040,SUBSTITUTE(SUBSTITUTE(SUBSTITUTE($B318,"~","~~"),"*","~*"),"?","~?"),'DEF_SELF_SCOUT_IMPORT'!$Q$42:$Q$1040,SUBSTITUTE(SUBSTITUTE(SUBSTITUTE($M318,"~","~~"),"*","~*"),"?","~?"),'DEF_SELF_SCOUT_IMPORT'!$F$42:$F$1040,SUBSTITUTE(SUBSTITUTE(SUBSTITUTE($N318,"~","~~"),"*","~*"),"?","~?"))</f>
        <v>1</v>
      </c>
      <c r="D318" s="10">
        <f>IF($C318=0,"",SUMIFS('DEF_SELF_SCOUT_IMPORT'!$J$42:$J$1040,'DEF_SELF_SCOUT_IMPORT'!$L$42:$L$1040,"Y",'DEF_SELF_SCOUT_IMPORT'!$E$42:$E$1040,SUBSTITUTE(SUBSTITUTE(SUBSTITUTE($B318,"~","~~"),"*","~*"),"?","~?"),'DEF_SELF_SCOUT_IMPORT'!$Q$42:$Q$1040,SUBSTITUTE(SUBSTITUTE(SUBSTITUTE($M318,"~","~~"),"*","~*"),"?","~?"),'DEF_SELF_SCOUT_IMPORT'!$F$42:$F$1040,SUBSTITUTE(SUBSTITUTE(SUBSTITUTE($N318,"~","~~"),"*","~*"),"?","~?"))/$C318)</f>
        <v>0.0</v>
      </c>
      <c r="E318" s="10">
        <f>IF($C318=0,"",SUMIFS('DEF_SELF_SCOUT_IMPORT'!$K$42:$K$1040,'DEF_SELF_SCOUT_IMPORT'!$L$42:$L$1040,"Y",'DEF_SELF_SCOUT_IMPORT'!$E$42:$E$1040,SUBSTITUTE(SUBSTITUTE(SUBSTITUTE($B318,"~","~~"),"*","~*"),"?","~?"),'DEF_SELF_SCOUT_IMPORT'!$Q$42:$Q$1040,SUBSTITUTE(SUBSTITUTE(SUBSTITUTE($M318,"~","~~"),"*","~*"),"?","~?"),'DEF_SELF_SCOUT_IMPORT'!$F$42:$F$1040,SUBSTITUTE(SUBSTITUTE(SUBSTITUTE($N318,"~","~~"),"*","~*"),"?","~?"))/$C318)</f>
        <v>0.0</v>
      </c>
      <c r="F318" s="11">
        <f>IF($C318=0,"",AVERAGEIFS('DEF_SELF_SCOUT_IMPORT'!$I$42:$I$1040,'DEF_SELF_SCOUT_IMPORT'!$L$42:$L$1040,"Y",'DEF_SELF_SCOUT_IMPORT'!$E$42:$E$1040,SUBSTITUTE(SUBSTITUTE(SUBSTITUTE($B318,"~","~~"),"*","~*"),"?","~?"),'DEF_SELF_SCOUT_IMPORT'!$Q$42:$Q$1040,SUBSTITUTE(SUBSTITUTE(SUBSTITUTE($M318,"~","~~"),"*","~*"),"?","~?"),'DEF_SELF_SCOUT_IMPORT'!$F$42:$F$1040,SUBSTITUTE(SUBSTITUTE(SUBSTITUTE($N318,"~","~~"),"*","~*"),"?","~?")))</f>
        <v>10.0</v>
      </c>
      <c r="G318" s="10">
        <f>IF($C318=0,"",COUNTIFS('DEF_SELF_SCOUT_IMPORT'!$L$42:$L$1040,"Y",'DEF_SELF_SCOUT_IMPORT'!$E$42:$E$1040,SUBSTITUTE(SUBSTITUTE(SUBSTITUTE($B318,"~","~~"),"*","~*"),"?","~?"),'DEF_SELF_SCOUT_IMPORT'!$Q$42:$Q$1040,SUBSTITUTE(SUBSTITUTE(SUBSTITUTE($M318,"~","~~"),"*","~*"),"?","~?"),'DEF_SELF_SCOUT_IMPORT'!$F$42:$F$1040,SUBSTITUTE(SUBSTITUTE(SUBSTITUTE($N318,"~","~~"),"*","~*"),"?","~?"),'DEF_SELF_SCOUT_IMPORT'!$H$42:$H$1040,"RUSH")/$C318)</f>
        <v>0.0</v>
      </c>
      <c r="H318" s="10">
        <f>IF($C318=0,"",COUNTIFS('DEF_SELF_SCOUT_IMPORT'!$L$42:$L$1040,"Y",'DEF_SELF_SCOUT_IMPORT'!$E$42:$E$1040,SUBSTITUTE(SUBSTITUTE(SUBSTITUTE($B318,"~","~~"),"*","~*"),"?","~?"),'DEF_SELF_SCOUT_IMPORT'!$Q$42:$Q$1040,SUBSTITUTE(SUBSTITUTE(SUBSTITUTE($M318,"~","~~"),"*","~*"),"?","~?"),'DEF_SELF_SCOUT_IMPORT'!$F$42:$F$1040,SUBSTITUTE(SUBSTITUTE(SUBSTITUTE($N318,"~","~~"),"*","~*"),"?","~?"),'DEF_SELF_SCOUT_IMPORT'!$H$42:$H$1040,"DROPBACK")/$C318)</f>
        <v>1.0</v>
      </c>
      <c r="I318" s="14" t="str">
        <f>IF(C318=0,"",IF(C318&lt;=2,"TRACK",IF(C318=3,"LOW",IF(C318&lt;=6,"MEDIUM","HIGH"))))</f>
        <v>TRACK</v>
      </c>
      <c r="J318" s="11">
        <f>IF(C318=0,"",ROUND(D318*70+(1-E318)*20+MAX(0,MIN(1,(10-F318)/10))*10,1))</f>
        <v>20.0</v>
      </c>
      <c r="K318" s="14" t="str">
        <f>IF(C318=0,"No Evidence",IF(C318&lt;=2,IF(E318&gt;0,"Explosive Alert","Track Only"),IF(C318=3,"Sample Watch",IF(E318&gt;=START_HERE!$B$31,"Explosive Alert",IF(J318&gt;=80,"Strong Candidate",IF(J318&gt;=65,"Good Candidate",IF(J318&gt;=50,"Mixed / Review","Problem Call")))))))</f>
        <v>Track Only</v>
      </c>
      <c r="L318" s="9" t="str">
        <f>IF(COUNTIFS('DEF_SELF_SCOUT_IMPORT'!$L$42:$L$1040,"Y",'DEF_SELF_SCOUT_IMPORT'!$E$42:$E$1040,SUBSTITUTE(SUBSTITUTE(SUBSTITUTE($B318,"~","~~"),"*","~*"),"?","~?"),'DEF_SELF_SCOUT_IMPORT'!$Q$42:$Q$1040,SUBSTITUTE(SUBSTITUTE(SUBSTITUTE($M318,"~","~~"),"*","~*"),"?","~?"),'DEF_SELF_SCOUT_IMPORT'!$F$42:$F$1040,SUBSTITUTE(SUBSTITUTE(SUBSTITUTE($N318,"~","~~"),"*","~*"),"?","~?"),'DEF_SELF_SCOUT_IMPORT'!$J$42:$J$1040,"")&gt;0,"Unscored clean outcome; review result tags before using score.",IF(C318=0,"No matching defensive reps; film confirmation needed.",IF(K318="Explosive Alert","Explosive risk; review clips before using as answer.",IF(C318&lt;=2,"Track only; not enough sample.",IF(C318=3,IF(E318&gt;0,"Sample watch with explosive exposure; review clips and build the sample.",IF(J318&gt;=65,"Good signal, but sample is limited.","Sample watch; review clips and build the sample.")),IF(K318="Problem Call","Problem area; practice or call-sheet review.",IF(K318="Strong Candidate","Strong call-fit candidate; confirm on film.",IF(K318="Good Candidate","Good call-fit signal; confirm on film.","Mixed signal; review fit and execution on film."))))))))</f>
        <v>Track only; not enough sample.</v>
      </c>
      <c r="M318" s="8" t="s">
        <v>103</v>
      </c>
      <c r="N318" s="8" t="s">
        <v>120</v>
      </c>
      <c r="O318" s="8"/>
      <c r="P318" s="8"/>
      <c r="Q318" s="8"/>
      <c r="R318" s="8" t="s">
        <v>28</v>
      </c>
      <c r="S318" s="2" t="s">
        <v>178</v>
      </c>
      <c r="T318" s="2">
        <f>IF(C318=0,0,IF(C318&gt;=CALL_LOOKUP_BOARD!$B$7,IF(OR(K318="Problem Call",K318="Explosive Alert"),10000000,20000000),0)+IF(C318&gt;=CALL_LOOKUP_BOARD!$B$7,J318*1000+MIN(C318,999),C318*1000+J318)+0.00986700)</f>
        <v>1020.009867</v>
      </c>
      <c r="U318" s="2">
        <f>IF(C318=0,"",IF(COUNTIFS($S$186:$S$367,SUBSTITUTE(SUBSTITUTE(SUBSTITUTE(S318,"~","~~"),"*","~*"),"?","~?"),$T$186:$T$367,"&gt;"&amp;T318)=0,S318,""))</f>
        <v/>
      </c>
    </row>
    <row r="319" spans="1:21" ht="38" customHeight="1">
      <c r="A319" s="8" t="s">
        <v>177</v>
      </c>
      <c r="B319" s="8" t="s">
        <v>60</v>
      </c>
      <c r="C319" s="12">
        <f>COUNTIFS('DEF_SELF_SCOUT_IMPORT'!$L$42:$L$1040,"Y",'DEF_SELF_SCOUT_IMPORT'!$E$42:$E$1040,SUBSTITUTE(SUBSTITUTE(SUBSTITUTE($B319,"~","~~"),"*","~*"),"?","~?"),'DEF_SELF_SCOUT_IMPORT'!$Q$42:$Q$1040,SUBSTITUTE(SUBSTITUTE(SUBSTITUTE($M319,"~","~~"),"*","~*"),"?","~?"),'DEF_SELF_SCOUT_IMPORT'!$F$42:$F$1040,SUBSTITUTE(SUBSTITUTE(SUBSTITUTE($N319,"~","~~"),"*","~*"),"?","~?"))</f>
        <v>1</v>
      </c>
      <c r="D319" s="10">
        <f>IF($C319=0,"",SUMIFS('DEF_SELF_SCOUT_IMPORT'!$J$42:$J$1040,'DEF_SELF_SCOUT_IMPORT'!$L$42:$L$1040,"Y",'DEF_SELF_SCOUT_IMPORT'!$E$42:$E$1040,SUBSTITUTE(SUBSTITUTE(SUBSTITUTE($B319,"~","~~"),"*","~*"),"?","~?"),'DEF_SELF_SCOUT_IMPORT'!$Q$42:$Q$1040,SUBSTITUTE(SUBSTITUTE(SUBSTITUTE($M319,"~","~~"),"*","~*"),"?","~?"),'DEF_SELF_SCOUT_IMPORT'!$F$42:$F$1040,SUBSTITUTE(SUBSTITUTE(SUBSTITUTE($N319,"~","~~"),"*","~*"),"?","~?"))/$C319)</f>
        <v>1.0</v>
      </c>
      <c r="E319" s="10">
        <f>IF($C319=0,"",SUMIFS('DEF_SELF_SCOUT_IMPORT'!$K$42:$K$1040,'DEF_SELF_SCOUT_IMPORT'!$L$42:$L$1040,"Y",'DEF_SELF_SCOUT_IMPORT'!$E$42:$E$1040,SUBSTITUTE(SUBSTITUTE(SUBSTITUTE($B319,"~","~~"),"*","~*"),"?","~?"),'DEF_SELF_SCOUT_IMPORT'!$Q$42:$Q$1040,SUBSTITUTE(SUBSTITUTE(SUBSTITUTE($M319,"~","~~"),"*","~*"),"?","~?"),'DEF_SELF_SCOUT_IMPORT'!$F$42:$F$1040,SUBSTITUTE(SUBSTITUTE(SUBSTITUTE($N319,"~","~~"),"*","~*"),"?","~?"))/$C319)</f>
        <v>0.0</v>
      </c>
      <c r="F319" s="11">
        <f>IF($C319=0,"",AVERAGEIFS('DEF_SELF_SCOUT_IMPORT'!$I$42:$I$1040,'DEF_SELF_SCOUT_IMPORT'!$L$42:$L$1040,"Y",'DEF_SELF_SCOUT_IMPORT'!$E$42:$E$1040,SUBSTITUTE(SUBSTITUTE(SUBSTITUTE($B319,"~","~~"),"*","~*"),"?","~?"),'DEF_SELF_SCOUT_IMPORT'!$Q$42:$Q$1040,SUBSTITUTE(SUBSTITUTE(SUBSTITUTE($M319,"~","~~"),"*","~*"),"?","~?"),'DEF_SELF_SCOUT_IMPORT'!$F$42:$F$1040,SUBSTITUTE(SUBSTITUTE(SUBSTITUTE($N319,"~","~~"),"*","~*"),"?","~?")))</f>
        <v>0.0</v>
      </c>
      <c r="G319" s="10">
        <f>IF($C319=0,"",COUNTIFS('DEF_SELF_SCOUT_IMPORT'!$L$42:$L$1040,"Y",'DEF_SELF_SCOUT_IMPORT'!$E$42:$E$1040,SUBSTITUTE(SUBSTITUTE(SUBSTITUTE($B319,"~","~~"),"*","~*"),"?","~?"),'DEF_SELF_SCOUT_IMPORT'!$Q$42:$Q$1040,SUBSTITUTE(SUBSTITUTE(SUBSTITUTE($M319,"~","~~"),"*","~*"),"?","~?"),'DEF_SELF_SCOUT_IMPORT'!$F$42:$F$1040,SUBSTITUTE(SUBSTITUTE(SUBSTITUTE($N319,"~","~~"),"*","~*"),"?","~?"),'DEF_SELF_SCOUT_IMPORT'!$H$42:$H$1040,"RUSH")/$C319)</f>
        <v>0.0</v>
      </c>
      <c r="H319" s="10">
        <f>IF($C319=0,"",COUNTIFS('DEF_SELF_SCOUT_IMPORT'!$L$42:$L$1040,"Y",'DEF_SELF_SCOUT_IMPORT'!$E$42:$E$1040,SUBSTITUTE(SUBSTITUTE(SUBSTITUTE($B319,"~","~~"),"*","~*"),"?","~?"),'DEF_SELF_SCOUT_IMPORT'!$Q$42:$Q$1040,SUBSTITUTE(SUBSTITUTE(SUBSTITUTE($M319,"~","~~"),"*","~*"),"?","~?"),'DEF_SELF_SCOUT_IMPORT'!$F$42:$F$1040,SUBSTITUTE(SUBSTITUTE(SUBSTITUTE($N319,"~","~~"),"*","~*"),"?","~?"),'DEF_SELF_SCOUT_IMPORT'!$H$42:$H$1040,"DROPBACK")/$C319)</f>
        <v>1.0</v>
      </c>
      <c r="I319" s="14" t="str">
        <f>IF(C319=0,"",IF(C319&lt;=2,"TRACK",IF(C319=3,"LOW",IF(C319&lt;=6,"MEDIUM","HIGH"))))</f>
        <v>TRACK</v>
      </c>
      <c r="J319" s="11">
        <f>IF(C319=0,"",ROUND(D319*70+(1-E319)*20+MAX(0,MIN(1,(10-F319)/10))*10,1))</f>
        <v>100.0</v>
      </c>
      <c r="K319" s="14" t="str">
        <f>IF(C319=0,"No Evidence",IF(C319&lt;=2,IF(E319&gt;0,"Explosive Alert","Track Only"),IF(C319=3,"Sample Watch",IF(E319&gt;=START_HERE!$B$31,"Explosive Alert",IF(J319&gt;=80,"Strong Candidate",IF(J319&gt;=65,"Good Candidate",IF(J319&gt;=50,"Mixed / Review","Problem Call")))))))</f>
        <v>Track Only</v>
      </c>
      <c r="L319" s="9" t="str">
        <f>IF(COUNTIFS('DEF_SELF_SCOUT_IMPORT'!$L$42:$L$1040,"Y",'DEF_SELF_SCOUT_IMPORT'!$E$42:$E$1040,SUBSTITUTE(SUBSTITUTE(SUBSTITUTE($B319,"~","~~"),"*","~*"),"?","~?"),'DEF_SELF_SCOUT_IMPORT'!$Q$42:$Q$1040,SUBSTITUTE(SUBSTITUTE(SUBSTITUTE($M319,"~","~~"),"*","~*"),"?","~?"),'DEF_SELF_SCOUT_IMPORT'!$F$42:$F$1040,SUBSTITUTE(SUBSTITUTE(SUBSTITUTE($N319,"~","~~"),"*","~*"),"?","~?"),'DEF_SELF_SCOUT_IMPORT'!$J$42:$J$1040,"")&gt;0,"Unscored clean outcome; review result tags before using score.",IF(C319=0,"No matching defensive reps; film confirmation needed.",IF(K319="Explosive Alert","Explosive risk; review clips before using as answer.",IF(C319&lt;=2,"Track only; not enough sample.",IF(C319=3,IF(E319&gt;0,"Sample watch with explosive exposure; review clips and build the sample.",IF(J319&gt;=65,"Good signal, but sample is limited.","Sample watch; review clips and build the sample.")),IF(K319="Problem Call","Problem area; practice or call-sheet review.",IF(K319="Strong Candidate","Strong call-fit candidate; confirm on film.",IF(K319="Good Candidate","Good call-fit signal; confirm on film.","Mixed signal; review fit and execution on film."))))))))</f>
        <v>Track only; not enough sample.</v>
      </c>
      <c r="M319" s="8" t="s">
        <v>103</v>
      </c>
      <c r="N319" s="8" t="s">
        <v>120</v>
      </c>
      <c r="O319" s="8"/>
      <c r="P319" s="8"/>
      <c r="Q319" s="8"/>
      <c r="R319" s="8" t="s">
        <v>28</v>
      </c>
      <c r="S319" s="2" t="s">
        <v>178</v>
      </c>
      <c r="T319" s="2">
        <f>IF(C319=0,0,IF(C319&gt;=CALL_LOOKUP_BOARD!$B$7,IF(OR(K319="Problem Call",K319="Explosive Alert"),10000000,20000000),0)+IF(C319&gt;=CALL_LOOKUP_BOARD!$B$7,J319*1000+MIN(C319,999),C319*1000+J319)+0.00986600)</f>
        <v>1100.009866</v>
      </c>
      <c r="U319" s="2">
        <f>IF(C319=0,"",IF(COUNTIFS($S$186:$S$367,SUBSTITUTE(SUBSTITUTE(SUBSTITUTE(S319,"~","~~"),"*","~*"),"?","~?"),$T$186:$T$367,"&gt;"&amp;T319)=0,S319,""))</f>
        <v/>
      </c>
    </row>
    <row r="320" spans="1:21" ht="38" customHeight="1">
      <c r="A320" s="8" t="s">
        <v>177</v>
      </c>
      <c r="B320" s="8" t="s">
        <v>61</v>
      </c>
      <c r="C320" s="12">
        <f>COUNTIFS('DEF_SELF_SCOUT_IMPORT'!$L$42:$L$1040,"Y",'DEF_SELF_SCOUT_IMPORT'!$E$42:$E$1040,SUBSTITUTE(SUBSTITUTE(SUBSTITUTE($B320,"~","~~"),"*","~*"),"?","~?"),'DEF_SELF_SCOUT_IMPORT'!$Q$42:$Q$1040,SUBSTITUTE(SUBSTITUTE(SUBSTITUTE($M320,"~","~~"),"*","~*"),"?","~?"),'DEF_SELF_SCOUT_IMPORT'!$F$42:$F$1040,SUBSTITUTE(SUBSTITUTE(SUBSTITUTE($N320,"~","~~"),"*","~*"),"?","~?"))</f>
        <v>1</v>
      </c>
      <c r="D320" s="10">
        <f>IF($C320=0,"",SUMIFS('DEF_SELF_SCOUT_IMPORT'!$J$42:$J$1040,'DEF_SELF_SCOUT_IMPORT'!$L$42:$L$1040,"Y",'DEF_SELF_SCOUT_IMPORT'!$E$42:$E$1040,SUBSTITUTE(SUBSTITUTE(SUBSTITUTE($B320,"~","~~"),"*","~*"),"?","~?"),'DEF_SELF_SCOUT_IMPORT'!$Q$42:$Q$1040,SUBSTITUTE(SUBSTITUTE(SUBSTITUTE($M320,"~","~~"),"*","~*"),"?","~?"),'DEF_SELF_SCOUT_IMPORT'!$F$42:$F$1040,SUBSTITUTE(SUBSTITUTE(SUBSTITUTE($N320,"~","~~"),"*","~*"),"?","~?"))/$C320)</f>
        <v>0.0</v>
      </c>
      <c r="E320" s="10">
        <f>IF($C320=0,"",SUMIFS('DEF_SELF_SCOUT_IMPORT'!$K$42:$K$1040,'DEF_SELF_SCOUT_IMPORT'!$L$42:$L$1040,"Y",'DEF_SELF_SCOUT_IMPORT'!$E$42:$E$1040,SUBSTITUTE(SUBSTITUTE(SUBSTITUTE($B320,"~","~~"),"*","~*"),"?","~?"),'DEF_SELF_SCOUT_IMPORT'!$Q$42:$Q$1040,SUBSTITUTE(SUBSTITUTE(SUBSTITUTE($M320,"~","~~"),"*","~*"),"?","~?"),'DEF_SELF_SCOUT_IMPORT'!$F$42:$F$1040,SUBSTITUTE(SUBSTITUTE(SUBSTITUTE($N320,"~","~~"),"*","~*"),"?","~?"))/$C320)</f>
        <v>1.0</v>
      </c>
      <c r="F320" s="11">
        <f>IF($C320=0,"",AVERAGEIFS('DEF_SELF_SCOUT_IMPORT'!$I$42:$I$1040,'DEF_SELF_SCOUT_IMPORT'!$L$42:$L$1040,"Y",'DEF_SELF_SCOUT_IMPORT'!$E$42:$E$1040,SUBSTITUTE(SUBSTITUTE(SUBSTITUTE($B320,"~","~~"),"*","~*"),"?","~?"),'DEF_SELF_SCOUT_IMPORT'!$Q$42:$Q$1040,SUBSTITUTE(SUBSTITUTE(SUBSTITUTE($M320,"~","~~"),"*","~*"),"?","~?"),'DEF_SELF_SCOUT_IMPORT'!$F$42:$F$1040,SUBSTITUTE(SUBSTITUTE(SUBSTITUTE($N320,"~","~~"),"*","~*"),"?","~?")))</f>
        <v>21.0</v>
      </c>
      <c r="G320" s="10">
        <f>IF($C320=0,"",COUNTIFS('DEF_SELF_SCOUT_IMPORT'!$L$42:$L$1040,"Y",'DEF_SELF_SCOUT_IMPORT'!$E$42:$E$1040,SUBSTITUTE(SUBSTITUTE(SUBSTITUTE($B320,"~","~~"),"*","~*"),"?","~?"),'DEF_SELF_SCOUT_IMPORT'!$Q$42:$Q$1040,SUBSTITUTE(SUBSTITUTE(SUBSTITUTE($M320,"~","~~"),"*","~*"),"?","~?"),'DEF_SELF_SCOUT_IMPORT'!$F$42:$F$1040,SUBSTITUTE(SUBSTITUTE(SUBSTITUTE($N320,"~","~~"),"*","~*"),"?","~?"),'DEF_SELF_SCOUT_IMPORT'!$H$42:$H$1040,"RUSH")/$C320)</f>
        <v>0.0</v>
      </c>
      <c r="H320" s="10">
        <f>IF($C320=0,"",COUNTIFS('DEF_SELF_SCOUT_IMPORT'!$L$42:$L$1040,"Y",'DEF_SELF_SCOUT_IMPORT'!$E$42:$E$1040,SUBSTITUTE(SUBSTITUTE(SUBSTITUTE($B320,"~","~~"),"*","~*"),"?","~?"),'DEF_SELF_SCOUT_IMPORT'!$Q$42:$Q$1040,SUBSTITUTE(SUBSTITUTE(SUBSTITUTE($M320,"~","~~"),"*","~*"),"?","~?"),'DEF_SELF_SCOUT_IMPORT'!$F$42:$F$1040,SUBSTITUTE(SUBSTITUTE(SUBSTITUTE($N320,"~","~~"),"*","~*"),"?","~?"),'DEF_SELF_SCOUT_IMPORT'!$H$42:$H$1040,"DROPBACK")/$C320)</f>
        <v>1.0</v>
      </c>
      <c r="I320" s="14" t="str">
        <f>IF(C320=0,"",IF(C320&lt;=2,"TRACK",IF(C320=3,"LOW",IF(C320&lt;=6,"MEDIUM","HIGH"))))</f>
        <v>TRACK</v>
      </c>
      <c r="J320" s="11">
        <f>IF(C320=0,"",ROUND(D320*70+(1-E320)*20+MAX(0,MIN(1,(10-F320)/10))*10,1))</f>
        <v>0.0</v>
      </c>
      <c r="K320" s="14" t="str">
        <f>IF(C320=0,"No Evidence",IF(C320&lt;=2,IF(E320&gt;0,"Explosive Alert","Track Only"),IF(C320=3,"Sample Watch",IF(E320&gt;=START_HERE!$B$31,"Explosive Alert",IF(J320&gt;=80,"Strong Candidate",IF(J320&gt;=65,"Good Candidate",IF(J320&gt;=50,"Mixed / Review","Problem Call")))))))</f>
        <v>Explosive Alert</v>
      </c>
      <c r="L320" s="9" t="str">
        <f>IF(COUNTIFS('DEF_SELF_SCOUT_IMPORT'!$L$42:$L$1040,"Y",'DEF_SELF_SCOUT_IMPORT'!$E$42:$E$1040,SUBSTITUTE(SUBSTITUTE(SUBSTITUTE($B320,"~","~~"),"*","~*"),"?","~?"),'DEF_SELF_SCOUT_IMPORT'!$Q$42:$Q$1040,SUBSTITUTE(SUBSTITUTE(SUBSTITUTE($M320,"~","~~"),"*","~*"),"?","~?"),'DEF_SELF_SCOUT_IMPORT'!$F$42:$F$1040,SUBSTITUTE(SUBSTITUTE(SUBSTITUTE($N320,"~","~~"),"*","~*"),"?","~?"),'DEF_SELF_SCOUT_IMPORT'!$J$42:$J$1040,"")&gt;0,"Unscored clean outcome; review result tags before using score.",IF(C320=0,"No matching defensive reps; film confirmation needed.",IF(K320="Explosive Alert","Explosive risk; review clips before using as answer.",IF(C320&lt;=2,"Track only; not enough sample.",IF(C320=3,IF(E320&gt;0,"Sample watch with explosive exposure; review clips and build the sample.",IF(J320&gt;=65,"Good signal, but sample is limited.","Sample watch; review clips and build the sample.")),IF(K320="Problem Call","Problem area; practice or call-sheet review.",IF(K320="Strong Candidate","Strong call-fit candidate; confirm on film.",IF(K320="Good Candidate","Good call-fit signal; confirm on film.","Mixed signal; review fit and execution on film."))))))))</f>
        <v>Explosive risk; review clips before using as answer.</v>
      </c>
      <c r="M320" s="8" t="s">
        <v>103</v>
      </c>
      <c r="N320" s="8" t="s">
        <v>120</v>
      </c>
      <c r="O320" s="8"/>
      <c r="P320" s="8"/>
      <c r="Q320" s="8"/>
      <c r="R320" s="8" t="s">
        <v>28</v>
      </c>
      <c r="S320" s="2" t="s">
        <v>178</v>
      </c>
      <c r="T320" s="2">
        <f>IF(C320=0,0,IF(C320&gt;=CALL_LOOKUP_BOARD!$B$7,IF(OR(K320="Problem Call",K320="Explosive Alert"),10000000,20000000),0)+IF(C320&gt;=CALL_LOOKUP_BOARD!$B$7,J320*1000+MIN(C320,999),C320*1000+J320)+0.00986500)</f>
        <v>1000.009865</v>
      </c>
      <c r="U320" s="2">
        <f>IF(C320=0,"",IF(COUNTIFS($S$186:$S$367,SUBSTITUTE(SUBSTITUTE(SUBSTITUTE(S320,"~","~~"),"*","~*"),"?","~?"),$T$186:$T$367,"&gt;"&amp;T320)=0,S320,""))</f>
        <v/>
      </c>
    </row>
    <row r="321" spans="1:21" ht="38" customHeight="1">
      <c r="A321" s="8" t="s">
        <v>177</v>
      </c>
      <c r="B321" s="8" t="s">
        <v>106</v>
      </c>
      <c r="C321" s="12">
        <f>COUNTIFS('DEF_SELF_SCOUT_IMPORT'!$L$42:$L$1040,"Y",'DEF_SELF_SCOUT_IMPORT'!$E$42:$E$1040,SUBSTITUTE(SUBSTITUTE(SUBSTITUTE($B321,"~","~~"),"*","~*"),"?","~?"),'DEF_SELF_SCOUT_IMPORT'!$Q$42:$Q$1040,SUBSTITUTE(SUBSTITUTE(SUBSTITUTE($M321,"~","~~"),"*","~*"),"?","~?"),'DEF_SELF_SCOUT_IMPORT'!$F$42:$F$1040,SUBSTITUTE(SUBSTITUTE(SUBSTITUTE($N321,"~","~~"),"*","~*"),"?","~?"))</f>
        <v>1</v>
      </c>
      <c r="D321" s="10">
        <f>IF($C321=0,"",SUMIFS('DEF_SELF_SCOUT_IMPORT'!$J$42:$J$1040,'DEF_SELF_SCOUT_IMPORT'!$L$42:$L$1040,"Y",'DEF_SELF_SCOUT_IMPORT'!$E$42:$E$1040,SUBSTITUTE(SUBSTITUTE(SUBSTITUTE($B321,"~","~~"),"*","~*"),"?","~?"),'DEF_SELF_SCOUT_IMPORT'!$Q$42:$Q$1040,SUBSTITUTE(SUBSTITUTE(SUBSTITUTE($M321,"~","~~"),"*","~*"),"?","~?"),'DEF_SELF_SCOUT_IMPORT'!$F$42:$F$1040,SUBSTITUTE(SUBSTITUTE(SUBSTITUTE($N321,"~","~~"),"*","~*"),"?","~?"))/$C321)</f>
        <v>0.0</v>
      </c>
      <c r="E321" s="10">
        <f>IF($C321=0,"",SUMIFS('DEF_SELF_SCOUT_IMPORT'!$K$42:$K$1040,'DEF_SELF_SCOUT_IMPORT'!$L$42:$L$1040,"Y",'DEF_SELF_SCOUT_IMPORT'!$E$42:$E$1040,SUBSTITUTE(SUBSTITUTE(SUBSTITUTE($B321,"~","~~"),"*","~*"),"?","~?"),'DEF_SELF_SCOUT_IMPORT'!$Q$42:$Q$1040,SUBSTITUTE(SUBSTITUTE(SUBSTITUTE($M321,"~","~~"),"*","~*"),"?","~?"),'DEF_SELF_SCOUT_IMPORT'!$F$42:$F$1040,SUBSTITUTE(SUBSTITUTE(SUBSTITUTE($N321,"~","~~"),"*","~*"),"?","~?"))/$C321)</f>
        <v>1.0</v>
      </c>
      <c r="F321" s="11">
        <f>IF($C321=0,"",AVERAGEIFS('DEF_SELF_SCOUT_IMPORT'!$I$42:$I$1040,'DEF_SELF_SCOUT_IMPORT'!$L$42:$L$1040,"Y",'DEF_SELF_SCOUT_IMPORT'!$E$42:$E$1040,SUBSTITUTE(SUBSTITUTE(SUBSTITUTE($B321,"~","~~"),"*","~*"),"?","~?"),'DEF_SELF_SCOUT_IMPORT'!$Q$42:$Q$1040,SUBSTITUTE(SUBSTITUTE(SUBSTITUTE($M321,"~","~~"),"*","~*"),"?","~?"),'DEF_SELF_SCOUT_IMPORT'!$F$42:$F$1040,SUBSTITUTE(SUBSTITUTE(SUBSTITUTE($N321,"~","~~"),"*","~*"),"?","~?")))</f>
        <v>22.0</v>
      </c>
      <c r="G321" s="10">
        <f>IF($C321=0,"",COUNTIFS('DEF_SELF_SCOUT_IMPORT'!$L$42:$L$1040,"Y",'DEF_SELF_SCOUT_IMPORT'!$E$42:$E$1040,SUBSTITUTE(SUBSTITUTE(SUBSTITUTE($B321,"~","~~"),"*","~*"),"?","~?"),'DEF_SELF_SCOUT_IMPORT'!$Q$42:$Q$1040,SUBSTITUTE(SUBSTITUTE(SUBSTITUTE($M321,"~","~~"),"*","~*"),"?","~?"),'DEF_SELF_SCOUT_IMPORT'!$F$42:$F$1040,SUBSTITUTE(SUBSTITUTE(SUBSTITUTE($N321,"~","~~"),"*","~*"),"?","~?"),'DEF_SELF_SCOUT_IMPORT'!$H$42:$H$1040,"RUSH")/$C321)</f>
        <v>0.0</v>
      </c>
      <c r="H321" s="10">
        <f>IF($C321=0,"",COUNTIFS('DEF_SELF_SCOUT_IMPORT'!$L$42:$L$1040,"Y",'DEF_SELF_SCOUT_IMPORT'!$E$42:$E$1040,SUBSTITUTE(SUBSTITUTE(SUBSTITUTE($B321,"~","~~"),"*","~*"),"?","~?"),'DEF_SELF_SCOUT_IMPORT'!$Q$42:$Q$1040,SUBSTITUTE(SUBSTITUTE(SUBSTITUTE($M321,"~","~~"),"*","~*"),"?","~?"),'DEF_SELF_SCOUT_IMPORT'!$F$42:$F$1040,SUBSTITUTE(SUBSTITUTE(SUBSTITUTE($N321,"~","~~"),"*","~*"),"?","~?"),'DEF_SELF_SCOUT_IMPORT'!$H$42:$H$1040,"DROPBACK")/$C321)</f>
        <v>1.0</v>
      </c>
      <c r="I321" s="14" t="str">
        <f>IF(C321=0,"",IF(C321&lt;=2,"TRACK",IF(C321=3,"LOW",IF(C321&lt;=6,"MEDIUM","HIGH"))))</f>
        <v>TRACK</v>
      </c>
      <c r="J321" s="11">
        <f>IF(C321=0,"",ROUND(D321*70+(1-E321)*20+MAX(0,MIN(1,(10-F321)/10))*10,1))</f>
        <v>0.0</v>
      </c>
      <c r="K321" s="14" t="str">
        <f>IF(C321=0,"No Evidence",IF(C321&lt;=2,IF(E321&gt;0,"Explosive Alert","Track Only"),IF(C321=3,"Sample Watch",IF(E321&gt;=START_HERE!$B$31,"Explosive Alert",IF(J321&gt;=80,"Strong Candidate",IF(J321&gt;=65,"Good Candidate",IF(J321&gt;=50,"Mixed / Review","Problem Call")))))))</f>
        <v>Explosive Alert</v>
      </c>
      <c r="L321" s="9" t="str">
        <f>IF(COUNTIFS('DEF_SELF_SCOUT_IMPORT'!$L$42:$L$1040,"Y",'DEF_SELF_SCOUT_IMPORT'!$E$42:$E$1040,SUBSTITUTE(SUBSTITUTE(SUBSTITUTE($B321,"~","~~"),"*","~*"),"?","~?"),'DEF_SELF_SCOUT_IMPORT'!$Q$42:$Q$1040,SUBSTITUTE(SUBSTITUTE(SUBSTITUTE($M321,"~","~~"),"*","~*"),"?","~?"),'DEF_SELF_SCOUT_IMPORT'!$F$42:$F$1040,SUBSTITUTE(SUBSTITUTE(SUBSTITUTE($N321,"~","~~"),"*","~*"),"?","~?"),'DEF_SELF_SCOUT_IMPORT'!$J$42:$J$1040,"")&gt;0,"Unscored clean outcome; review result tags before using score.",IF(C321=0,"No matching defensive reps; film confirmation needed.",IF(K321="Explosive Alert","Explosive risk; review clips before using as answer.",IF(C321&lt;=2,"Track only; not enough sample.",IF(C321=3,IF(E321&gt;0,"Sample watch with explosive exposure; review clips and build the sample.",IF(J321&gt;=65,"Good signal, but sample is limited.","Sample watch; review clips and build the sample.")),IF(K321="Problem Call","Problem area; practice or call-sheet review.",IF(K321="Strong Candidate","Strong call-fit candidate; confirm on film.",IF(K321="Good Candidate","Good call-fit signal; confirm on film.","Mixed signal; review fit and execution on film."))))))))</f>
        <v>Explosive risk; review clips before using as answer.</v>
      </c>
      <c r="M321" s="8" t="s">
        <v>103</v>
      </c>
      <c r="N321" s="8" t="s">
        <v>120</v>
      </c>
      <c r="O321" s="8"/>
      <c r="P321" s="8"/>
      <c r="Q321" s="8"/>
      <c r="R321" s="8" t="s">
        <v>28</v>
      </c>
      <c r="S321" s="2" t="s">
        <v>178</v>
      </c>
      <c r="T321" s="2">
        <f>IF(C321=0,0,IF(C321&gt;=CALL_LOOKUP_BOARD!$B$7,IF(OR(K321="Problem Call",K321="Explosive Alert"),10000000,20000000),0)+IF(C321&gt;=CALL_LOOKUP_BOARD!$B$7,J321*1000+MIN(C321,999),C321*1000+J321)+0.00986400)</f>
        <v>1000.009864</v>
      </c>
      <c r="U321" s="2">
        <f>IF(C321=0,"",IF(COUNTIFS($S$186:$S$367,SUBSTITUTE(SUBSTITUTE(SUBSTITUTE(S321,"~","~~"),"*","~*"),"?","~?"),$T$186:$T$367,"&gt;"&amp;T321)=0,S321,""))</f>
        <v/>
      </c>
    </row>
    <row r="322" spans="1:21" ht="38" customHeight="1">
      <c r="A322" s="8" t="s">
        <v>177</v>
      </c>
      <c r="B322" s="8" t="s">
        <v>84</v>
      </c>
      <c r="C322" s="12">
        <f>COUNTIFS('DEF_SELF_SCOUT_IMPORT'!$L$42:$L$1040,"Y",'DEF_SELF_SCOUT_IMPORT'!$E$42:$E$1040,SUBSTITUTE(SUBSTITUTE(SUBSTITUTE($B322,"~","~~"),"*","~*"),"?","~?"),'DEF_SELF_SCOUT_IMPORT'!$Q$42:$Q$1040,SUBSTITUTE(SUBSTITUTE(SUBSTITUTE($M322,"~","~~"),"*","~*"),"?","~?"),'DEF_SELF_SCOUT_IMPORT'!$F$42:$F$1040,SUBSTITUTE(SUBSTITUTE(SUBSTITUTE($N322,"~","~~"),"*","~*"),"?","~?"))</f>
        <v>1</v>
      </c>
      <c r="D322" s="10">
        <f>IF($C322=0,"",SUMIFS('DEF_SELF_SCOUT_IMPORT'!$J$42:$J$1040,'DEF_SELF_SCOUT_IMPORT'!$L$42:$L$1040,"Y",'DEF_SELF_SCOUT_IMPORT'!$E$42:$E$1040,SUBSTITUTE(SUBSTITUTE(SUBSTITUTE($B322,"~","~~"),"*","~*"),"?","~?"),'DEF_SELF_SCOUT_IMPORT'!$Q$42:$Q$1040,SUBSTITUTE(SUBSTITUTE(SUBSTITUTE($M322,"~","~~"),"*","~*"),"?","~?"),'DEF_SELF_SCOUT_IMPORT'!$F$42:$F$1040,SUBSTITUTE(SUBSTITUTE(SUBSTITUTE($N322,"~","~~"),"*","~*"),"?","~?"))/$C322)</f>
        <v>1.0</v>
      </c>
      <c r="E322" s="10">
        <f>IF($C322=0,"",SUMIFS('DEF_SELF_SCOUT_IMPORT'!$K$42:$K$1040,'DEF_SELF_SCOUT_IMPORT'!$L$42:$L$1040,"Y",'DEF_SELF_SCOUT_IMPORT'!$E$42:$E$1040,SUBSTITUTE(SUBSTITUTE(SUBSTITUTE($B322,"~","~~"),"*","~*"),"?","~?"),'DEF_SELF_SCOUT_IMPORT'!$Q$42:$Q$1040,SUBSTITUTE(SUBSTITUTE(SUBSTITUTE($M322,"~","~~"),"*","~*"),"?","~?"),'DEF_SELF_SCOUT_IMPORT'!$F$42:$F$1040,SUBSTITUTE(SUBSTITUTE(SUBSTITUTE($N322,"~","~~"),"*","~*"),"?","~?"))/$C322)</f>
        <v>0.0</v>
      </c>
      <c r="F322" s="11">
        <f>IF($C322=0,"",AVERAGEIFS('DEF_SELF_SCOUT_IMPORT'!$I$42:$I$1040,'DEF_SELF_SCOUT_IMPORT'!$L$42:$L$1040,"Y",'DEF_SELF_SCOUT_IMPORT'!$E$42:$E$1040,SUBSTITUTE(SUBSTITUTE(SUBSTITUTE($B322,"~","~~"),"*","~*"),"?","~?"),'DEF_SELF_SCOUT_IMPORT'!$Q$42:$Q$1040,SUBSTITUTE(SUBSTITUTE(SUBSTITUTE($M322,"~","~~"),"*","~*"),"?","~?"),'DEF_SELF_SCOUT_IMPORT'!$F$42:$F$1040,SUBSTITUTE(SUBSTITUTE(SUBSTITUTE($N322,"~","~~"),"*","~*"),"?","~?")))</f>
        <v>0.0</v>
      </c>
      <c r="G322" s="10">
        <f>IF($C322=0,"",COUNTIFS('DEF_SELF_SCOUT_IMPORT'!$L$42:$L$1040,"Y",'DEF_SELF_SCOUT_IMPORT'!$E$42:$E$1040,SUBSTITUTE(SUBSTITUTE(SUBSTITUTE($B322,"~","~~"),"*","~*"),"?","~?"),'DEF_SELF_SCOUT_IMPORT'!$Q$42:$Q$1040,SUBSTITUTE(SUBSTITUTE(SUBSTITUTE($M322,"~","~~"),"*","~*"),"?","~?"),'DEF_SELF_SCOUT_IMPORT'!$F$42:$F$1040,SUBSTITUTE(SUBSTITUTE(SUBSTITUTE($N322,"~","~~"),"*","~*"),"?","~?"),'DEF_SELF_SCOUT_IMPORT'!$H$42:$H$1040,"RUSH")/$C322)</f>
        <v>0.0</v>
      </c>
      <c r="H322" s="10">
        <f>IF($C322=0,"",COUNTIFS('DEF_SELF_SCOUT_IMPORT'!$L$42:$L$1040,"Y",'DEF_SELF_SCOUT_IMPORT'!$E$42:$E$1040,SUBSTITUTE(SUBSTITUTE(SUBSTITUTE($B322,"~","~~"),"*","~*"),"?","~?"),'DEF_SELF_SCOUT_IMPORT'!$Q$42:$Q$1040,SUBSTITUTE(SUBSTITUTE(SUBSTITUTE($M322,"~","~~"),"*","~*"),"?","~?"),'DEF_SELF_SCOUT_IMPORT'!$F$42:$F$1040,SUBSTITUTE(SUBSTITUTE(SUBSTITUTE($N322,"~","~~"),"*","~*"),"?","~?"),'DEF_SELF_SCOUT_IMPORT'!$H$42:$H$1040,"DROPBACK")/$C322)</f>
        <v>1.0</v>
      </c>
      <c r="I322" s="14" t="str">
        <f>IF(C322=0,"",IF(C322&lt;=2,"TRACK",IF(C322=3,"LOW",IF(C322&lt;=6,"MEDIUM","HIGH"))))</f>
        <v>TRACK</v>
      </c>
      <c r="J322" s="11">
        <f>IF(C322=0,"",ROUND(D322*70+(1-E322)*20+MAX(0,MIN(1,(10-F322)/10))*10,1))</f>
        <v>100.0</v>
      </c>
      <c r="K322" s="14" t="str">
        <f>IF(C322=0,"No Evidence",IF(C322&lt;=2,IF(E322&gt;0,"Explosive Alert","Track Only"),IF(C322=3,"Sample Watch",IF(E322&gt;=START_HERE!$B$31,"Explosive Alert",IF(J322&gt;=80,"Strong Candidate",IF(J322&gt;=65,"Good Candidate",IF(J322&gt;=50,"Mixed / Review","Problem Call")))))))</f>
        <v>Track Only</v>
      </c>
      <c r="L322" s="9" t="str">
        <f>IF(COUNTIFS('DEF_SELF_SCOUT_IMPORT'!$L$42:$L$1040,"Y",'DEF_SELF_SCOUT_IMPORT'!$E$42:$E$1040,SUBSTITUTE(SUBSTITUTE(SUBSTITUTE($B322,"~","~~"),"*","~*"),"?","~?"),'DEF_SELF_SCOUT_IMPORT'!$Q$42:$Q$1040,SUBSTITUTE(SUBSTITUTE(SUBSTITUTE($M322,"~","~~"),"*","~*"),"?","~?"),'DEF_SELF_SCOUT_IMPORT'!$F$42:$F$1040,SUBSTITUTE(SUBSTITUTE(SUBSTITUTE($N322,"~","~~"),"*","~*"),"?","~?"),'DEF_SELF_SCOUT_IMPORT'!$J$42:$J$1040,"")&gt;0,"Unscored clean outcome; review result tags before using score.",IF(C322=0,"No matching defensive reps; film confirmation needed.",IF(K322="Explosive Alert","Explosive risk; review clips before using as answer.",IF(C322&lt;=2,"Track only; not enough sample.",IF(C322=3,IF(E322&gt;0,"Sample watch with explosive exposure; review clips and build the sample.",IF(J322&gt;=65,"Good signal, but sample is limited.","Sample watch; review clips and build the sample.")),IF(K322="Problem Call","Problem area; practice or call-sheet review.",IF(K322="Strong Candidate","Strong call-fit candidate; confirm on film.",IF(K322="Good Candidate","Good call-fit signal; confirm on film.","Mixed signal; review fit and execution on film."))))))))</f>
        <v>Track only; not enough sample.</v>
      </c>
      <c r="M322" s="8" t="s">
        <v>103</v>
      </c>
      <c r="N322" s="8" t="s">
        <v>120</v>
      </c>
      <c r="O322" s="8"/>
      <c r="P322" s="8"/>
      <c r="Q322" s="8"/>
      <c r="R322" s="8" t="s">
        <v>28</v>
      </c>
      <c r="S322" s="2" t="s">
        <v>178</v>
      </c>
      <c r="T322" s="2">
        <f>IF(C322=0,0,IF(C322&gt;=CALL_LOOKUP_BOARD!$B$7,IF(OR(K322="Problem Call",K322="Explosive Alert"),10000000,20000000),0)+IF(C322&gt;=CALL_LOOKUP_BOARD!$B$7,J322*1000+MIN(C322,999),C322*1000+J322)+0.00986300)</f>
        <v>1100.009863</v>
      </c>
      <c r="U322" s="2">
        <f>IF(C322=0,"",IF(COUNTIFS($S$186:$S$367,SUBSTITUTE(SUBSTITUTE(SUBSTITUTE(S322,"~","~~"),"*","~*"),"?","~?"),$T$186:$T$367,"&gt;"&amp;T322)=0,S322,""))</f>
        <v/>
      </c>
    </row>
    <row r="323" spans="1:21" ht="38" customHeight="1">
      <c r="A323" s="8" t="s">
        <v>177</v>
      </c>
      <c r="B323" s="8" t="s">
        <v>102</v>
      </c>
      <c r="C323" s="12">
        <f>COUNTIFS('DEF_SELF_SCOUT_IMPORT'!$L$42:$L$1040,"Y",'DEF_SELF_SCOUT_IMPORT'!$E$42:$E$1040,SUBSTITUTE(SUBSTITUTE(SUBSTITUTE($B323,"~","~~"),"*","~*"),"?","~?"),'DEF_SELF_SCOUT_IMPORT'!$Q$42:$Q$1040,SUBSTITUTE(SUBSTITUTE(SUBSTITUTE($M323,"~","~~"),"*","~*"),"?","~?"),'DEF_SELF_SCOUT_IMPORT'!$F$42:$F$1040,SUBSTITUTE(SUBSTITUTE(SUBSTITUTE($N323,"~","~~"),"*","~*"),"?","~?"))</f>
        <v>1</v>
      </c>
      <c r="D323" s="10">
        <f>IF($C323=0,"",SUMIFS('DEF_SELF_SCOUT_IMPORT'!$J$42:$J$1040,'DEF_SELF_SCOUT_IMPORT'!$L$42:$L$1040,"Y",'DEF_SELF_SCOUT_IMPORT'!$E$42:$E$1040,SUBSTITUTE(SUBSTITUTE(SUBSTITUTE($B323,"~","~~"),"*","~*"),"?","~?"),'DEF_SELF_SCOUT_IMPORT'!$Q$42:$Q$1040,SUBSTITUTE(SUBSTITUTE(SUBSTITUTE($M323,"~","~~"),"*","~*"),"?","~?"),'DEF_SELF_SCOUT_IMPORT'!$F$42:$F$1040,SUBSTITUTE(SUBSTITUTE(SUBSTITUTE($N323,"~","~~"),"*","~*"),"?","~?"))/$C323)</f>
        <v>1.0</v>
      </c>
      <c r="E323" s="10">
        <f>IF($C323=0,"",SUMIFS('DEF_SELF_SCOUT_IMPORT'!$K$42:$K$1040,'DEF_SELF_SCOUT_IMPORT'!$L$42:$L$1040,"Y",'DEF_SELF_SCOUT_IMPORT'!$E$42:$E$1040,SUBSTITUTE(SUBSTITUTE(SUBSTITUTE($B323,"~","~~"),"*","~*"),"?","~?"),'DEF_SELF_SCOUT_IMPORT'!$Q$42:$Q$1040,SUBSTITUTE(SUBSTITUTE(SUBSTITUTE($M323,"~","~~"),"*","~*"),"?","~?"),'DEF_SELF_SCOUT_IMPORT'!$F$42:$F$1040,SUBSTITUTE(SUBSTITUTE(SUBSTITUTE($N323,"~","~~"),"*","~*"),"?","~?"))/$C323)</f>
        <v>0.0</v>
      </c>
      <c r="F323" s="11">
        <f>IF($C323=0,"",AVERAGEIFS('DEF_SELF_SCOUT_IMPORT'!$I$42:$I$1040,'DEF_SELF_SCOUT_IMPORT'!$L$42:$L$1040,"Y",'DEF_SELF_SCOUT_IMPORT'!$E$42:$E$1040,SUBSTITUTE(SUBSTITUTE(SUBSTITUTE($B323,"~","~~"),"*","~*"),"?","~?"),'DEF_SELF_SCOUT_IMPORT'!$Q$42:$Q$1040,SUBSTITUTE(SUBSTITUTE(SUBSTITUTE($M323,"~","~~"),"*","~*"),"?","~?"),'DEF_SELF_SCOUT_IMPORT'!$F$42:$F$1040,SUBSTITUTE(SUBSTITUTE(SUBSTITUTE($N323,"~","~~"),"*","~*"),"?","~?")))</f>
        <v>1.0</v>
      </c>
      <c r="G323" s="10">
        <f>IF($C323=0,"",COUNTIFS('DEF_SELF_SCOUT_IMPORT'!$L$42:$L$1040,"Y",'DEF_SELF_SCOUT_IMPORT'!$E$42:$E$1040,SUBSTITUTE(SUBSTITUTE(SUBSTITUTE($B323,"~","~~"),"*","~*"),"?","~?"),'DEF_SELF_SCOUT_IMPORT'!$Q$42:$Q$1040,SUBSTITUTE(SUBSTITUTE(SUBSTITUTE($M323,"~","~~"),"*","~*"),"?","~?"),'DEF_SELF_SCOUT_IMPORT'!$F$42:$F$1040,SUBSTITUTE(SUBSTITUTE(SUBSTITUTE($N323,"~","~~"),"*","~*"),"?","~?"),'DEF_SELF_SCOUT_IMPORT'!$H$42:$H$1040,"RUSH")/$C323)</f>
        <v>0.0</v>
      </c>
      <c r="H323" s="10">
        <f>IF($C323=0,"",COUNTIFS('DEF_SELF_SCOUT_IMPORT'!$L$42:$L$1040,"Y",'DEF_SELF_SCOUT_IMPORT'!$E$42:$E$1040,SUBSTITUTE(SUBSTITUTE(SUBSTITUTE($B323,"~","~~"),"*","~*"),"?","~?"),'DEF_SELF_SCOUT_IMPORT'!$Q$42:$Q$1040,SUBSTITUTE(SUBSTITUTE(SUBSTITUTE($M323,"~","~~"),"*","~*"),"?","~?"),'DEF_SELF_SCOUT_IMPORT'!$F$42:$F$1040,SUBSTITUTE(SUBSTITUTE(SUBSTITUTE($N323,"~","~~"),"*","~*"),"?","~?"),'DEF_SELF_SCOUT_IMPORT'!$H$42:$H$1040,"DROPBACK")/$C323)</f>
        <v>1.0</v>
      </c>
      <c r="I323" s="14" t="str">
        <f>IF(C323=0,"",IF(C323&lt;=2,"TRACK",IF(C323=3,"LOW",IF(C323&lt;=6,"MEDIUM","HIGH"))))</f>
        <v>TRACK</v>
      </c>
      <c r="J323" s="11">
        <f>IF(C323=0,"",ROUND(D323*70+(1-E323)*20+MAX(0,MIN(1,(10-F323)/10))*10,1))</f>
        <v>99.0</v>
      </c>
      <c r="K323" s="14" t="str">
        <f>IF(C323=0,"No Evidence",IF(C323&lt;=2,IF(E323&gt;0,"Explosive Alert","Track Only"),IF(C323=3,"Sample Watch",IF(E323&gt;=START_HERE!$B$31,"Explosive Alert",IF(J323&gt;=80,"Strong Candidate",IF(J323&gt;=65,"Good Candidate",IF(J323&gt;=50,"Mixed / Review","Problem Call")))))))</f>
        <v>Track Only</v>
      </c>
      <c r="L323" s="9" t="str">
        <f>IF(COUNTIFS('DEF_SELF_SCOUT_IMPORT'!$L$42:$L$1040,"Y",'DEF_SELF_SCOUT_IMPORT'!$E$42:$E$1040,SUBSTITUTE(SUBSTITUTE(SUBSTITUTE($B323,"~","~~"),"*","~*"),"?","~?"),'DEF_SELF_SCOUT_IMPORT'!$Q$42:$Q$1040,SUBSTITUTE(SUBSTITUTE(SUBSTITUTE($M323,"~","~~"),"*","~*"),"?","~?"),'DEF_SELF_SCOUT_IMPORT'!$F$42:$F$1040,SUBSTITUTE(SUBSTITUTE(SUBSTITUTE($N323,"~","~~"),"*","~*"),"?","~?"),'DEF_SELF_SCOUT_IMPORT'!$J$42:$J$1040,"")&gt;0,"Unscored clean outcome; review result tags before using score.",IF(C323=0,"No matching defensive reps; film confirmation needed.",IF(K323="Explosive Alert","Explosive risk; review clips before using as answer.",IF(C323&lt;=2,"Track only; not enough sample.",IF(C323=3,IF(E323&gt;0,"Sample watch with explosive exposure; review clips and build the sample.",IF(J323&gt;=65,"Good signal, but sample is limited.","Sample watch; review clips and build the sample.")),IF(K323="Problem Call","Problem area; practice or call-sheet review.",IF(K323="Strong Candidate","Strong call-fit candidate; confirm on film.",IF(K323="Good Candidate","Good call-fit signal; confirm on film.","Mixed signal; review fit and execution on film."))))))))</f>
        <v>Track only; not enough sample.</v>
      </c>
      <c r="M323" s="8" t="s">
        <v>103</v>
      </c>
      <c r="N323" s="8" t="s">
        <v>120</v>
      </c>
      <c r="O323" s="8"/>
      <c r="P323" s="8"/>
      <c r="Q323" s="8"/>
      <c r="R323" s="8" t="s">
        <v>28</v>
      </c>
      <c r="S323" s="2" t="s">
        <v>178</v>
      </c>
      <c r="T323" s="2">
        <f>IF(C323=0,0,IF(C323&gt;=CALL_LOOKUP_BOARD!$B$7,IF(OR(K323="Problem Call",K323="Explosive Alert"),10000000,20000000),0)+IF(C323&gt;=CALL_LOOKUP_BOARD!$B$7,J323*1000+MIN(C323,999),C323*1000+J323)+0.00986200)</f>
        <v>1099.009862</v>
      </c>
      <c r="U323" s="2">
        <f>IF(C323=0,"",IF(COUNTIFS($S$186:$S$367,SUBSTITUTE(SUBSTITUTE(SUBSTITUTE(S323,"~","~~"),"*","~*"),"?","~?"),$T$186:$T$367,"&gt;"&amp;T323)=0,S323,""))</f>
        <v/>
      </c>
    </row>
    <row r="324" spans="1:21" ht="38" customHeight="1">
      <c r="A324" s="8" t="s">
        <v>177</v>
      </c>
      <c r="B324" s="8" t="s">
        <v>65</v>
      </c>
      <c r="C324" s="12">
        <f>COUNTIFS('DEF_SELF_SCOUT_IMPORT'!$L$42:$L$1040,"Y",'DEF_SELF_SCOUT_IMPORT'!$E$42:$E$1040,SUBSTITUTE(SUBSTITUTE(SUBSTITUTE($B324,"~","~~"),"*","~*"),"?","~?"),'DEF_SELF_SCOUT_IMPORT'!$Q$42:$Q$1040,SUBSTITUTE(SUBSTITUTE(SUBSTITUTE($M324,"~","~~"),"*","~*"),"?","~?"),'DEF_SELF_SCOUT_IMPORT'!$F$42:$F$1040,SUBSTITUTE(SUBSTITUTE(SUBSTITUTE($N324,"~","~~"),"*","~*"),"?","~?"))</f>
        <v>1</v>
      </c>
      <c r="D324" s="10">
        <f>IF($C324=0,"",SUMIFS('DEF_SELF_SCOUT_IMPORT'!$J$42:$J$1040,'DEF_SELF_SCOUT_IMPORT'!$L$42:$L$1040,"Y",'DEF_SELF_SCOUT_IMPORT'!$E$42:$E$1040,SUBSTITUTE(SUBSTITUTE(SUBSTITUTE($B324,"~","~~"),"*","~*"),"?","~?"),'DEF_SELF_SCOUT_IMPORT'!$Q$42:$Q$1040,SUBSTITUTE(SUBSTITUTE(SUBSTITUTE($M324,"~","~~"),"*","~*"),"?","~?"),'DEF_SELF_SCOUT_IMPORT'!$F$42:$F$1040,SUBSTITUTE(SUBSTITUTE(SUBSTITUTE($N324,"~","~~"),"*","~*"),"?","~?"))/$C324)</f>
        <v>0.0</v>
      </c>
      <c r="E324" s="10">
        <f>IF($C324=0,"",SUMIFS('DEF_SELF_SCOUT_IMPORT'!$K$42:$K$1040,'DEF_SELF_SCOUT_IMPORT'!$L$42:$L$1040,"Y",'DEF_SELF_SCOUT_IMPORT'!$E$42:$E$1040,SUBSTITUTE(SUBSTITUTE(SUBSTITUTE($B324,"~","~~"),"*","~*"),"?","~?"),'DEF_SELF_SCOUT_IMPORT'!$Q$42:$Q$1040,SUBSTITUTE(SUBSTITUTE(SUBSTITUTE($M324,"~","~~"),"*","~*"),"?","~?"),'DEF_SELF_SCOUT_IMPORT'!$F$42:$F$1040,SUBSTITUTE(SUBSTITUTE(SUBSTITUTE($N324,"~","~~"),"*","~*"),"?","~?"))/$C324)</f>
        <v>0.0</v>
      </c>
      <c r="F324" s="11">
        <f>IF($C324=0,"",AVERAGEIFS('DEF_SELF_SCOUT_IMPORT'!$I$42:$I$1040,'DEF_SELF_SCOUT_IMPORT'!$L$42:$L$1040,"Y",'DEF_SELF_SCOUT_IMPORT'!$E$42:$E$1040,SUBSTITUTE(SUBSTITUTE(SUBSTITUTE($B324,"~","~~"),"*","~*"),"?","~?"),'DEF_SELF_SCOUT_IMPORT'!$Q$42:$Q$1040,SUBSTITUTE(SUBSTITUTE(SUBSTITUTE($M324,"~","~~"),"*","~*"),"?","~?"),'DEF_SELF_SCOUT_IMPORT'!$F$42:$F$1040,SUBSTITUTE(SUBSTITUTE(SUBSTITUTE($N324,"~","~~"),"*","~*"),"?","~?")))</f>
        <v>5.0</v>
      </c>
      <c r="G324" s="10">
        <f>IF($C324=0,"",COUNTIFS('DEF_SELF_SCOUT_IMPORT'!$L$42:$L$1040,"Y",'DEF_SELF_SCOUT_IMPORT'!$E$42:$E$1040,SUBSTITUTE(SUBSTITUTE(SUBSTITUTE($B324,"~","~~"),"*","~*"),"?","~?"),'DEF_SELF_SCOUT_IMPORT'!$Q$42:$Q$1040,SUBSTITUTE(SUBSTITUTE(SUBSTITUTE($M324,"~","~~"),"*","~*"),"?","~?"),'DEF_SELF_SCOUT_IMPORT'!$F$42:$F$1040,SUBSTITUTE(SUBSTITUTE(SUBSTITUTE($N324,"~","~~"),"*","~*"),"?","~?"),'DEF_SELF_SCOUT_IMPORT'!$H$42:$H$1040,"RUSH")/$C324)</f>
        <v>0.0</v>
      </c>
      <c r="H324" s="10">
        <f>IF($C324=0,"",COUNTIFS('DEF_SELF_SCOUT_IMPORT'!$L$42:$L$1040,"Y",'DEF_SELF_SCOUT_IMPORT'!$E$42:$E$1040,SUBSTITUTE(SUBSTITUTE(SUBSTITUTE($B324,"~","~~"),"*","~*"),"?","~?"),'DEF_SELF_SCOUT_IMPORT'!$Q$42:$Q$1040,SUBSTITUTE(SUBSTITUTE(SUBSTITUTE($M324,"~","~~"),"*","~*"),"?","~?"),'DEF_SELF_SCOUT_IMPORT'!$F$42:$F$1040,SUBSTITUTE(SUBSTITUTE(SUBSTITUTE($N324,"~","~~"),"*","~*"),"?","~?"),'DEF_SELF_SCOUT_IMPORT'!$H$42:$H$1040,"DROPBACK")/$C324)</f>
        <v>1.0</v>
      </c>
      <c r="I324" s="14" t="str">
        <f>IF(C324=0,"",IF(C324&lt;=2,"TRACK",IF(C324=3,"LOW",IF(C324&lt;=6,"MEDIUM","HIGH"))))</f>
        <v>TRACK</v>
      </c>
      <c r="J324" s="11">
        <f>IF(C324=0,"",ROUND(D324*70+(1-E324)*20+MAX(0,MIN(1,(10-F324)/10))*10,1))</f>
        <v>25.0</v>
      </c>
      <c r="K324" s="14" t="str">
        <f>IF(C324=0,"No Evidence",IF(C324&lt;=2,IF(E324&gt;0,"Explosive Alert","Track Only"),IF(C324=3,"Sample Watch",IF(E324&gt;=START_HERE!$B$31,"Explosive Alert",IF(J324&gt;=80,"Strong Candidate",IF(J324&gt;=65,"Good Candidate",IF(J324&gt;=50,"Mixed / Review","Problem Call")))))))</f>
        <v>Track Only</v>
      </c>
      <c r="L324" s="9" t="str">
        <f>IF(COUNTIFS('DEF_SELF_SCOUT_IMPORT'!$L$42:$L$1040,"Y",'DEF_SELF_SCOUT_IMPORT'!$E$42:$E$1040,SUBSTITUTE(SUBSTITUTE(SUBSTITUTE($B324,"~","~~"),"*","~*"),"?","~?"),'DEF_SELF_SCOUT_IMPORT'!$Q$42:$Q$1040,SUBSTITUTE(SUBSTITUTE(SUBSTITUTE($M324,"~","~~"),"*","~*"),"?","~?"),'DEF_SELF_SCOUT_IMPORT'!$F$42:$F$1040,SUBSTITUTE(SUBSTITUTE(SUBSTITUTE($N324,"~","~~"),"*","~*"),"?","~?"),'DEF_SELF_SCOUT_IMPORT'!$J$42:$J$1040,"")&gt;0,"Unscored clean outcome; review result tags before using score.",IF(C324=0,"No matching defensive reps; film confirmation needed.",IF(K324="Explosive Alert","Explosive risk; review clips before using as answer.",IF(C324&lt;=2,"Track only; not enough sample.",IF(C324=3,IF(E324&gt;0,"Sample watch with explosive exposure; review clips and build the sample.",IF(J324&gt;=65,"Good signal, but sample is limited.","Sample watch; review clips and build the sample.")),IF(K324="Problem Call","Problem area; practice or call-sheet review.",IF(K324="Strong Candidate","Strong call-fit candidate; confirm on film.",IF(K324="Good Candidate","Good call-fit signal; confirm on film.","Mixed signal; review fit and execution on film."))))))))</f>
        <v>Track only; not enough sample.</v>
      </c>
      <c r="M324" s="8" t="s">
        <v>103</v>
      </c>
      <c r="N324" s="8" t="s">
        <v>120</v>
      </c>
      <c r="O324" s="8"/>
      <c r="P324" s="8"/>
      <c r="Q324" s="8"/>
      <c r="R324" s="8" t="s">
        <v>28</v>
      </c>
      <c r="S324" s="2" t="s">
        <v>178</v>
      </c>
      <c r="T324" s="2">
        <f>IF(C324=0,0,IF(C324&gt;=CALL_LOOKUP_BOARD!$B$7,IF(OR(K324="Problem Call",K324="Explosive Alert"),10000000,20000000),0)+IF(C324&gt;=CALL_LOOKUP_BOARD!$B$7,J324*1000+MIN(C324,999),C324*1000+J324)+0.00986100)</f>
        <v>1025.009861</v>
      </c>
      <c r="U324" s="2">
        <f>IF(C324=0,"",IF(COUNTIFS($S$186:$S$367,SUBSTITUTE(SUBSTITUTE(SUBSTITUTE(S324,"~","~~"),"*","~*"),"?","~?"),$T$186:$T$367,"&gt;"&amp;T324)=0,S324,""))</f>
        <v/>
      </c>
    </row>
    <row r="325" spans="1:21" ht="38" customHeight="1">
      <c r="A325" s="8" t="s">
        <v>179</v>
      </c>
      <c r="B325" s="8" t="s">
        <v>95</v>
      </c>
      <c r="C325" s="12">
        <f>COUNTIFS('DEF_SELF_SCOUT_IMPORT'!$L$42:$L$1040,"Y",'DEF_SELF_SCOUT_IMPORT'!$E$42:$E$1040,SUBSTITUTE(SUBSTITUTE(SUBSTITUTE($B325,"~","~~"),"*","~*"),"?","~?"),'DEF_SELF_SCOUT_IMPORT'!$Q$42:$Q$1040,SUBSTITUTE(SUBSTITUTE(SUBSTITUTE($M325,"~","~~"),"*","~*"),"?","~?"),'DEF_SELF_SCOUT_IMPORT'!$F$42:$F$1040,SUBSTITUTE(SUBSTITUTE(SUBSTITUTE($N325,"~","~~"),"*","~*"),"?","~?"))</f>
        <v>1</v>
      </c>
      <c r="D325" s="10">
        <f>IF($C325=0,"",SUMIFS('DEF_SELF_SCOUT_IMPORT'!$J$42:$J$1040,'DEF_SELF_SCOUT_IMPORT'!$L$42:$L$1040,"Y",'DEF_SELF_SCOUT_IMPORT'!$E$42:$E$1040,SUBSTITUTE(SUBSTITUTE(SUBSTITUTE($B325,"~","~~"),"*","~*"),"?","~?"),'DEF_SELF_SCOUT_IMPORT'!$Q$42:$Q$1040,SUBSTITUTE(SUBSTITUTE(SUBSTITUTE($M325,"~","~~"),"*","~*"),"?","~?"),'DEF_SELF_SCOUT_IMPORT'!$F$42:$F$1040,SUBSTITUTE(SUBSTITUTE(SUBSTITUTE($N325,"~","~~"),"*","~*"),"?","~?"))/$C325)</f>
        <v>1.0</v>
      </c>
      <c r="E325" s="10">
        <f>IF($C325=0,"",SUMIFS('DEF_SELF_SCOUT_IMPORT'!$K$42:$K$1040,'DEF_SELF_SCOUT_IMPORT'!$L$42:$L$1040,"Y",'DEF_SELF_SCOUT_IMPORT'!$E$42:$E$1040,SUBSTITUTE(SUBSTITUTE(SUBSTITUTE($B325,"~","~~"),"*","~*"),"?","~?"),'DEF_SELF_SCOUT_IMPORT'!$Q$42:$Q$1040,SUBSTITUTE(SUBSTITUTE(SUBSTITUTE($M325,"~","~~"),"*","~*"),"?","~?"),'DEF_SELF_SCOUT_IMPORT'!$F$42:$F$1040,SUBSTITUTE(SUBSTITUTE(SUBSTITUTE($N325,"~","~~"),"*","~*"),"?","~?"))/$C325)</f>
        <v>0.0</v>
      </c>
      <c r="F325" s="11">
        <f>IF($C325=0,"",AVERAGEIFS('DEF_SELF_SCOUT_IMPORT'!$I$42:$I$1040,'DEF_SELF_SCOUT_IMPORT'!$L$42:$L$1040,"Y",'DEF_SELF_SCOUT_IMPORT'!$E$42:$E$1040,SUBSTITUTE(SUBSTITUTE(SUBSTITUTE($B325,"~","~~"),"*","~*"),"?","~?"),'DEF_SELF_SCOUT_IMPORT'!$Q$42:$Q$1040,SUBSTITUTE(SUBSTITUTE(SUBSTITUTE($M325,"~","~~"),"*","~*"),"?","~?"),'DEF_SELF_SCOUT_IMPORT'!$F$42:$F$1040,SUBSTITUTE(SUBSTITUTE(SUBSTITUTE($N325,"~","~~"),"*","~*"),"?","~?")))</f>
        <v>-1.0</v>
      </c>
      <c r="G325" s="10">
        <f>IF($C325=0,"",COUNTIFS('DEF_SELF_SCOUT_IMPORT'!$L$42:$L$1040,"Y",'DEF_SELF_SCOUT_IMPORT'!$E$42:$E$1040,SUBSTITUTE(SUBSTITUTE(SUBSTITUTE($B325,"~","~~"),"*","~*"),"?","~?"),'DEF_SELF_SCOUT_IMPORT'!$Q$42:$Q$1040,SUBSTITUTE(SUBSTITUTE(SUBSTITUTE($M325,"~","~~"),"*","~*"),"?","~?"),'DEF_SELF_SCOUT_IMPORT'!$F$42:$F$1040,SUBSTITUTE(SUBSTITUTE(SUBSTITUTE($N325,"~","~~"),"*","~*"),"?","~?"),'DEF_SELF_SCOUT_IMPORT'!$H$42:$H$1040,"RUSH")/$C325)</f>
        <v>1.0</v>
      </c>
      <c r="H325" s="10">
        <f>IF($C325=0,"",COUNTIFS('DEF_SELF_SCOUT_IMPORT'!$L$42:$L$1040,"Y",'DEF_SELF_SCOUT_IMPORT'!$E$42:$E$1040,SUBSTITUTE(SUBSTITUTE(SUBSTITUTE($B325,"~","~~"),"*","~*"),"?","~?"),'DEF_SELF_SCOUT_IMPORT'!$Q$42:$Q$1040,SUBSTITUTE(SUBSTITUTE(SUBSTITUTE($M325,"~","~~"),"*","~*"),"?","~?"),'DEF_SELF_SCOUT_IMPORT'!$F$42:$F$1040,SUBSTITUTE(SUBSTITUTE(SUBSTITUTE($N325,"~","~~"),"*","~*"),"?","~?"),'DEF_SELF_SCOUT_IMPORT'!$H$42:$H$1040,"DROPBACK")/$C325)</f>
        <v>0.0</v>
      </c>
      <c r="I325" s="14" t="str">
        <f>IF(C325=0,"",IF(C325&lt;=2,"TRACK",IF(C325=3,"LOW",IF(C325&lt;=6,"MEDIUM","HIGH"))))</f>
        <v>TRACK</v>
      </c>
      <c r="J325" s="11">
        <f>IF(C325=0,"",ROUND(D325*70+(1-E325)*20+MAX(0,MIN(1,(10-F325)/10))*10,1))</f>
        <v>100.0</v>
      </c>
      <c r="K325" s="14" t="str">
        <f>IF(C325=0,"No Evidence",IF(C325&lt;=2,IF(E325&gt;0,"Explosive Alert","Track Only"),IF(C325=3,"Sample Watch",IF(E325&gt;=START_HERE!$B$31,"Explosive Alert",IF(J325&gt;=80,"Strong Candidate",IF(J325&gt;=65,"Good Candidate",IF(J325&gt;=50,"Mixed / Review","Problem Call")))))))</f>
        <v>Track Only</v>
      </c>
      <c r="L325" s="9" t="str">
        <f>IF(COUNTIFS('DEF_SELF_SCOUT_IMPORT'!$L$42:$L$1040,"Y",'DEF_SELF_SCOUT_IMPORT'!$E$42:$E$1040,SUBSTITUTE(SUBSTITUTE(SUBSTITUTE($B325,"~","~~"),"*","~*"),"?","~?"),'DEF_SELF_SCOUT_IMPORT'!$Q$42:$Q$1040,SUBSTITUTE(SUBSTITUTE(SUBSTITUTE($M325,"~","~~"),"*","~*"),"?","~?"),'DEF_SELF_SCOUT_IMPORT'!$F$42:$F$1040,SUBSTITUTE(SUBSTITUTE(SUBSTITUTE($N325,"~","~~"),"*","~*"),"?","~?"),'DEF_SELF_SCOUT_IMPORT'!$J$42:$J$1040,"")&gt;0,"Unscored clean outcome; review result tags before using score.",IF(C325=0,"No matching defensive reps; film confirmation needed.",IF(K325="Explosive Alert","Explosive risk; review clips before using as answer.",IF(C325&lt;=2,"Track only; not enough sample.",IF(C325=3,IF(E325&gt;0,"Sample watch with explosive exposure; review clips and build the sample.",IF(J325&gt;=65,"Good signal, but sample is limited.","Sample watch; review clips and build the sample.")),IF(K325="Problem Call","Problem area; practice or call-sheet review.",IF(K325="Strong Candidate","Strong call-fit candidate; confirm on film.",IF(K325="Good Candidate","Good call-fit signal; confirm on film.","Mixed signal; review fit and execution on film."))))))))</f>
        <v>Track only; not enough sample.</v>
      </c>
      <c r="M325" s="8" t="s">
        <v>103</v>
      </c>
      <c r="N325" s="8" t="s">
        <v>123</v>
      </c>
      <c r="O325" s="8"/>
      <c r="P325" s="8"/>
      <c r="Q325" s="8"/>
      <c r="R325" s="8" t="s">
        <v>28</v>
      </c>
      <c r="S325" s="2" t="s">
        <v>180</v>
      </c>
      <c r="T325" s="2">
        <f>IF(C325=0,0,IF(C325&gt;=CALL_LOOKUP_BOARD!$B$7,IF(OR(K325="Problem Call",K325="Explosive Alert"),10000000,20000000),0)+IF(C325&gt;=CALL_LOOKUP_BOARD!$B$7,J325*1000+MIN(C325,999),C325*1000+J325)+0.00986000)</f>
        <v>1100.00986</v>
      </c>
      <c r="U325" s="2" t="str">
        <f>IF(C325=0,"",IF(COUNTIFS($S$186:$S$367,SUBSTITUTE(SUBSTITUTE(SUBSTITUTE(S325,"~","~~"),"*","~*"),"?","~?"),$T$186:$T$367,"&gt;"&amp;T325)=0,S325,""))</f>
        <v>6:3D 4-6|2:12|</v>
      </c>
    </row>
    <row r="326" spans="1:21" ht="38" customHeight="1">
      <c r="A326" s="8" t="s">
        <v>179</v>
      </c>
      <c r="B326" s="8" t="s">
        <v>66</v>
      </c>
      <c r="C326" s="12">
        <f>COUNTIFS('DEF_SELF_SCOUT_IMPORT'!$L$42:$L$1040,"Y",'DEF_SELF_SCOUT_IMPORT'!$E$42:$E$1040,SUBSTITUTE(SUBSTITUTE(SUBSTITUTE($B326,"~","~~"),"*","~*"),"?","~?"),'DEF_SELF_SCOUT_IMPORT'!$Q$42:$Q$1040,SUBSTITUTE(SUBSTITUTE(SUBSTITUTE($M326,"~","~~"),"*","~*"),"?","~?"),'DEF_SELF_SCOUT_IMPORT'!$F$42:$F$1040,SUBSTITUTE(SUBSTITUTE(SUBSTITUTE($N326,"~","~~"),"*","~*"),"?","~?"))</f>
        <v>1</v>
      </c>
      <c r="D326" s="10">
        <f>IF($C326=0,"",SUMIFS('DEF_SELF_SCOUT_IMPORT'!$J$42:$J$1040,'DEF_SELF_SCOUT_IMPORT'!$L$42:$L$1040,"Y",'DEF_SELF_SCOUT_IMPORT'!$E$42:$E$1040,SUBSTITUTE(SUBSTITUTE(SUBSTITUTE($B326,"~","~~"),"*","~*"),"?","~?"),'DEF_SELF_SCOUT_IMPORT'!$Q$42:$Q$1040,SUBSTITUTE(SUBSTITUTE(SUBSTITUTE($M326,"~","~~"),"*","~*"),"?","~?"),'DEF_SELF_SCOUT_IMPORT'!$F$42:$F$1040,SUBSTITUTE(SUBSTITUTE(SUBSTITUTE($N326,"~","~~"),"*","~*"),"?","~?"))/$C326)</f>
        <v>1.0</v>
      </c>
      <c r="E326" s="10">
        <f>IF($C326=0,"",SUMIFS('DEF_SELF_SCOUT_IMPORT'!$K$42:$K$1040,'DEF_SELF_SCOUT_IMPORT'!$L$42:$L$1040,"Y",'DEF_SELF_SCOUT_IMPORT'!$E$42:$E$1040,SUBSTITUTE(SUBSTITUTE(SUBSTITUTE($B326,"~","~~"),"*","~*"),"?","~?"),'DEF_SELF_SCOUT_IMPORT'!$Q$42:$Q$1040,SUBSTITUTE(SUBSTITUTE(SUBSTITUTE($M326,"~","~~"),"*","~*"),"?","~?"),'DEF_SELF_SCOUT_IMPORT'!$F$42:$F$1040,SUBSTITUTE(SUBSTITUTE(SUBSTITUTE($N326,"~","~~"),"*","~*"),"?","~?"))/$C326)</f>
        <v>0.0</v>
      </c>
      <c r="F326" s="11">
        <f>IF($C326=0,"",AVERAGEIFS('DEF_SELF_SCOUT_IMPORT'!$I$42:$I$1040,'DEF_SELF_SCOUT_IMPORT'!$L$42:$L$1040,"Y",'DEF_SELF_SCOUT_IMPORT'!$E$42:$E$1040,SUBSTITUTE(SUBSTITUTE(SUBSTITUTE($B326,"~","~~"),"*","~*"),"?","~?"),'DEF_SELF_SCOUT_IMPORT'!$Q$42:$Q$1040,SUBSTITUTE(SUBSTITUTE(SUBSTITUTE($M326,"~","~~"),"*","~*"),"?","~?"),'DEF_SELF_SCOUT_IMPORT'!$F$42:$F$1040,SUBSTITUTE(SUBSTITUTE(SUBSTITUTE($N326,"~","~~"),"*","~*"),"?","~?")))</f>
        <v>0.0</v>
      </c>
      <c r="G326" s="10">
        <f>IF($C326=0,"",COUNTIFS('DEF_SELF_SCOUT_IMPORT'!$L$42:$L$1040,"Y",'DEF_SELF_SCOUT_IMPORT'!$E$42:$E$1040,SUBSTITUTE(SUBSTITUTE(SUBSTITUTE($B326,"~","~~"),"*","~*"),"?","~?"),'DEF_SELF_SCOUT_IMPORT'!$Q$42:$Q$1040,SUBSTITUTE(SUBSTITUTE(SUBSTITUTE($M326,"~","~~"),"*","~*"),"?","~?"),'DEF_SELF_SCOUT_IMPORT'!$F$42:$F$1040,SUBSTITUTE(SUBSTITUTE(SUBSTITUTE($N326,"~","~~"),"*","~*"),"?","~?"),'DEF_SELF_SCOUT_IMPORT'!$H$42:$H$1040,"RUSH")/$C326)</f>
        <v>1.0</v>
      </c>
      <c r="H326" s="10">
        <f>IF($C326=0,"",COUNTIFS('DEF_SELF_SCOUT_IMPORT'!$L$42:$L$1040,"Y",'DEF_SELF_SCOUT_IMPORT'!$E$42:$E$1040,SUBSTITUTE(SUBSTITUTE(SUBSTITUTE($B326,"~","~~"),"*","~*"),"?","~?"),'DEF_SELF_SCOUT_IMPORT'!$Q$42:$Q$1040,SUBSTITUTE(SUBSTITUTE(SUBSTITUTE($M326,"~","~~"),"*","~*"),"?","~?"),'DEF_SELF_SCOUT_IMPORT'!$F$42:$F$1040,SUBSTITUTE(SUBSTITUTE(SUBSTITUTE($N326,"~","~~"),"*","~*"),"?","~?"),'DEF_SELF_SCOUT_IMPORT'!$H$42:$H$1040,"DROPBACK")/$C326)</f>
        <v>0.0</v>
      </c>
      <c r="I326" s="14" t="str">
        <f>IF(C326=0,"",IF(C326&lt;=2,"TRACK",IF(C326=3,"LOW",IF(C326&lt;=6,"MEDIUM","HIGH"))))</f>
        <v>TRACK</v>
      </c>
      <c r="J326" s="11">
        <f>IF(C326=0,"",ROUND(D326*70+(1-E326)*20+MAX(0,MIN(1,(10-F326)/10))*10,1))</f>
        <v>100.0</v>
      </c>
      <c r="K326" s="14" t="str">
        <f>IF(C326=0,"No Evidence",IF(C326&lt;=2,IF(E326&gt;0,"Explosive Alert","Track Only"),IF(C326=3,"Sample Watch",IF(E326&gt;=START_HERE!$B$31,"Explosive Alert",IF(J326&gt;=80,"Strong Candidate",IF(J326&gt;=65,"Good Candidate",IF(J326&gt;=50,"Mixed / Review","Problem Call")))))))</f>
        <v>Track Only</v>
      </c>
      <c r="L326" s="9" t="str">
        <f>IF(COUNTIFS('DEF_SELF_SCOUT_IMPORT'!$L$42:$L$1040,"Y",'DEF_SELF_SCOUT_IMPORT'!$E$42:$E$1040,SUBSTITUTE(SUBSTITUTE(SUBSTITUTE($B326,"~","~~"),"*","~*"),"?","~?"),'DEF_SELF_SCOUT_IMPORT'!$Q$42:$Q$1040,SUBSTITUTE(SUBSTITUTE(SUBSTITUTE($M326,"~","~~"),"*","~*"),"?","~?"),'DEF_SELF_SCOUT_IMPORT'!$F$42:$F$1040,SUBSTITUTE(SUBSTITUTE(SUBSTITUTE($N326,"~","~~"),"*","~*"),"?","~?"),'DEF_SELF_SCOUT_IMPORT'!$J$42:$J$1040,"")&gt;0,"Unscored clean outcome; review result tags before using score.",IF(C326=0,"No matching defensive reps; film confirmation needed.",IF(K326="Explosive Alert","Explosive risk; review clips before using as answer.",IF(C326&lt;=2,"Track only; not enough sample.",IF(C326=3,IF(E326&gt;0,"Sample watch with explosive exposure; review clips and build the sample.",IF(J326&gt;=65,"Good signal, but sample is limited.","Sample watch; review clips and build the sample.")),IF(K326="Problem Call","Problem area; practice or call-sheet review.",IF(K326="Strong Candidate","Strong call-fit candidate; confirm on film.",IF(K326="Good Candidate","Good call-fit signal; confirm on film.","Mixed signal; review fit and execution on film."))))))))</f>
        <v>Track only; not enough sample.</v>
      </c>
      <c r="M326" s="8" t="s">
        <v>103</v>
      </c>
      <c r="N326" s="8" t="s">
        <v>123</v>
      </c>
      <c r="O326" s="8"/>
      <c r="P326" s="8"/>
      <c r="Q326" s="8"/>
      <c r="R326" s="8" t="s">
        <v>28</v>
      </c>
      <c r="S326" s="2" t="s">
        <v>180</v>
      </c>
      <c r="T326" s="2">
        <f>IF(C326=0,0,IF(C326&gt;=CALL_LOOKUP_BOARD!$B$7,IF(OR(K326="Problem Call",K326="Explosive Alert"),10000000,20000000),0)+IF(C326&gt;=CALL_LOOKUP_BOARD!$B$7,J326*1000+MIN(C326,999),C326*1000+J326)+0.00985900)</f>
        <v>1100.009859</v>
      </c>
      <c r="U326" s="2">
        <f>IF(C326=0,"",IF(COUNTIFS($S$186:$S$367,SUBSTITUTE(SUBSTITUTE(SUBSTITUTE(S326,"~","~~"),"*","~*"),"?","~?"),$T$186:$T$367,"&gt;"&amp;T326)=0,S326,""))</f>
        <v/>
      </c>
    </row>
    <row r="327" spans="1:21" ht="38" customHeight="1">
      <c r="A327" s="8" t="s">
        <v>179</v>
      </c>
      <c r="B327" s="8" t="s">
        <v>69</v>
      </c>
      <c r="C327" s="12">
        <f>COUNTIFS('DEF_SELF_SCOUT_IMPORT'!$L$42:$L$1040,"Y",'DEF_SELF_SCOUT_IMPORT'!$E$42:$E$1040,SUBSTITUTE(SUBSTITUTE(SUBSTITUTE($B327,"~","~~"),"*","~*"),"?","~?"),'DEF_SELF_SCOUT_IMPORT'!$Q$42:$Q$1040,SUBSTITUTE(SUBSTITUTE(SUBSTITUTE($M327,"~","~~"),"*","~*"),"?","~?"),'DEF_SELF_SCOUT_IMPORT'!$F$42:$F$1040,SUBSTITUTE(SUBSTITUTE(SUBSTITUTE($N327,"~","~~"),"*","~*"),"?","~?"))</f>
        <v>1</v>
      </c>
      <c r="D327" s="10">
        <f>IF($C327=0,"",SUMIFS('DEF_SELF_SCOUT_IMPORT'!$J$42:$J$1040,'DEF_SELF_SCOUT_IMPORT'!$L$42:$L$1040,"Y",'DEF_SELF_SCOUT_IMPORT'!$E$42:$E$1040,SUBSTITUTE(SUBSTITUTE(SUBSTITUTE($B327,"~","~~"),"*","~*"),"?","~?"),'DEF_SELF_SCOUT_IMPORT'!$Q$42:$Q$1040,SUBSTITUTE(SUBSTITUTE(SUBSTITUTE($M327,"~","~~"),"*","~*"),"?","~?"),'DEF_SELF_SCOUT_IMPORT'!$F$42:$F$1040,SUBSTITUTE(SUBSTITUTE(SUBSTITUTE($N327,"~","~~"),"*","~*"),"?","~?"))/$C327)</f>
        <v>0.0</v>
      </c>
      <c r="E327" s="10">
        <f>IF($C327=0,"",SUMIFS('DEF_SELF_SCOUT_IMPORT'!$K$42:$K$1040,'DEF_SELF_SCOUT_IMPORT'!$L$42:$L$1040,"Y",'DEF_SELF_SCOUT_IMPORT'!$E$42:$E$1040,SUBSTITUTE(SUBSTITUTE(SUBSTITUTE($B327,"~","~~"),"*","~*"),"?","~?"),'DEF_SELF_SCOUT_IMPORT'!$Q$42:$Q$1040,SUBSTITUTE(SUBSTITUTE(SUBSTITUTE($M327,"~","~~"),"*","~*"),"?","~?"),'DEF_SELF_SCOUT_IMPORT'!$F$42:$F$1040,SUBSTITUTE(SUBSTITUTE(SUBSTITUTE($N327,"~","~~"),"*","~*"),"?","~?"))/$C327)</f>
        <v>1.0</v>
      </c>
      <c r="F327" s="11">
        <f>IF($C327=0,"",AVERAGEIFS('DEF_SELF_SCOUT_IMPORT'!$I$42:$I$1040,'DEF_SELF_SCOUT_IMPORT'!$L$42:$L$1040,"Y",'DEF_SELF_SCOUT_IMPORT'!$E$42:$E$1040,SUBSTITUTE(SUBSTITUTE(SUBSTITUTE($B327,"~","~~"),"*","~*"),"?","~?"),'DEF_SELF_SCOUT_IMPORT'!$Q$42:$Q$1040,SUBSTITUTE(SUBSTITUTE(SUBSTITUTE($M327,"~","~~"),"*","~*"),"?","~?"),'DEF_SELF_SCOUT_IMPORT'!$F$42:$F$1040,SUBSTITUTE(SUBSTITUTE(SUBSTITUTE($N327,"~","~~"),"*","~*"),"?","~?")))</f>
        <v>19.0</v>
      </c>
      <c r="G327" s="10">
        <f>IF($C327=0,"",COUNTIFS('DEF_SELF_SCOUT_IMPORT'!$L$42:$L$1040,"Y",'DEF_SELF_SCOUT_IMPORT'!$E$42:$E$1040,SUBSTITUTE(SUBSTITUTE(SUBSTITUTE($B327,"~","~~"),"*","~*"),"?","~?"),'DEF_SELF_SCOUT_IMPORT'!$Q$42:$Q$1040,SUBSTITUTE(SUBSTITUTE(SUBSTITUTE($M327,"~","~~"),"*","~*"),"?","~?"),'DEF_SELF_SCOUT_IMPORT'!$F$42:$F$1040,SUBSTITUTE(SUBSTITUTE(SUBSTITUTE($N327,"~","~~"),"*","~*"),"?","~?"),'DEF_SELF_SCOUT_IMPORT'!$H$42:$H$1040,"RUSH")/$C327)</f>
        <v>1.0</v>
      </c>
      <c r="H327" s="10">
        <f>IF($C327=0,"",COUNTIFS('DEF_SELF_SCOUT_IMPORT'!$L$42:$L$1040,"Y",'DEF_SELF_SCOUT_IMPORT'!$E$42:$E$1040,SUBSTITUTE(SUBSTITUTE(SUBSTITUTE($B327,"~","~~"),"*","~*"),"?","~?"),'DEF_SELF_SCOUT_IMPORT'!$Q$42:$Q$1040,SUBSTITUTE(SUBSTITUTE(SUBSTITUTE($M327,"~","~~"),"*","~*"),"?","~?"),'DEF_SELF_SCOUT_IMPORT'!$F$42:$F$1040,SUBSTITUTE(SUBSTITUTE(SUBSTITUTE($N327,"~","~~"),"*","~*"),"?","~?"),'DEF_SELF_SCOUT_IMPORT'!$H$42:$H$1040,"DROPBACK")/$C327)</f>
        <v>0.0</v>
      </c>
      <c r="I327" s="14" t="str">
        <f>IF(C327=0,"",IF(C327&lt;=2,"TRACK",IF(C327=3,"LOW",IF(C327&lt;=6,"MEDIUM","HIGH"))))</f>
        <v>TRACK</v>
      </c>
      <c r="J327" s="11">
        <f>IF(C327=0,"",ROUND(D327*70+(1-E327)*20+MAX(0,MIN(1,(10-F327)/10))*10,1))</f>
        <v>0.0</v>
      </c>
      <c r="K327" s="14" t="str">
        <f>IF(C327=0,"No Evidence",IF(C327&lt;=2,IF(E327&gt;0,"Explosive Alert","Track Only"),IF(C327=3,"Sample Watch",IF(E327&gt;=START_HERE!$B$31,"Explosive Alert",IF(J327&gt;=80,"Strong Candidate",IF(J327&gt;=65,"Good Candidate",IF(J327&gt;=50,"Mixed / Review","Problem Call")))))))</f>
        <v>Explosive Alert</v>
      </c>
      <c r="L327" s="9" t="str">
        <f>IF(COUNTIFS('DEF_SELF_SCOUT_IMPORT'!$L$42:$L$1040,"Y",'DEF_SELF_SCOUT_IMPORT'!$E$42:$E$1040,SUBSTITUTE(SUBSTITUTE(SUBSTITUTE($B327,"~","~~"),"*","~*"),"?","~?"),'DEF_SELF_SCOUT_IMPORT'!$Q$42:$Q$1040,SUBSTITUTE(SUBSTITUTE(SUBSTITUTE($M327,"~","~~"),"*","~*"),"?","~?"),'DEF_SELF_SCOUT_IMPORT'!$F$42:$F$1040,SUBSTITUTE(SUBSTITUTE(SUBSTITUTE($N327,"~","~~"),"*","~*"),"?","~?"),'DEF_SELF_SCOUT_IMPORT'!$J$42:$J$1040,"")&gt;0,"Unscored clean outcome; review result tags before using score.",IF(C327=0,"No matching defensive reps; film confirmation needed.",IF(K327="Explosive Alert","Explosive risk; review clips before using as answer.",IF(C327&lt;=2,"Track only; not enough sample.",IF(C327=3,IF(E327&gt;0,"Sample watch with explosive exposure; review clips and build the sample.",IF(J327&gt;=65,"Good signal, but sample is limited.","Sample watch; review clips and build the sample.")),IF(K327="Problem Call","Problem area; practice or call-sheet review.",IF(K327="Strong Candidate","Strong call-fit candidate; confirm on film.",IF(K327="Good Candidate","Good call-fit signal; confirm on film.","Mixed signal; review fit and execution on film."))))))))</f>
        <v>Explosive risk; review clips before using as answer.</v>
      </c>
      <c r="M327" s="8" t="s">
        <v>103</v>
      </c>
      <c r="N327" s="8" t="s">
        <v>123</v>
      </c>
      <c r="O327" s="8"/>
      <c r="P327" s="8"/>
      <c r="Q327" s="8"/>
      <c r="R327" s="8" t="s">
        <v>28</v>
      </c>
      <c r="S327" s="2" t="s">
        <v>180</v>
      </c>
      <c r="T327" s="2">
        <f>IF(C327=0,0,IF(C327&gt;=CALL_LOOKUP_BOARD!$B$7,IF(OR(K327="Problem Call",K327="Explosive Alert"),10000000,20000000),0)+IF(C327&gt;=CALL_LOOKUP_BOARD!$B$7,J327*1000+MIN(C327,999),C327*1000+J327)+0.00985800)</f>
        <v>1000.009858</v>
      </c>
      <c r="U327" s="2">
        <f>IF(C327=0,"",IF(COUNTIFS($S$186:$S$367,SUBSTITUTE(SUBSTITUTE(SUBSTITUTE(S327,"~","~~"),"*","~*"),"?","~?"),$T$186:$T$367,"&gt;"&amp;T327)=0,S327,""))</f>
        <v/>
      </c>
    </row>
    <row r="328" spans="1:21" ht="38" customHeight="1">
      <c r="A328" s="8" t="s">
        <v>181</v>
      </c>
      <c r="B328" s="8" t="s">
        <v>46</v>
      </c>
      <c r="C328" s="12">
        <f>COUNTIFS('DEF_SELF_SCOUT_IMPORT'!$L$42:$L$1040,"Y",'DEF_SELF_SCOUT_IMPORT'!$E$42:$E$1040,SUBSTITUTE(SUBSTITUTE(SUBSTITUTE($B328,"~","~~"),"*","~*"),"?","~?"),'DEF_SELF_SCOUT_IMPORT'!$Q$42:$Q$1040,SUBSTITUTE(SUBSTITUTE(SUBSTITUTE($M328,"~","~~"),"*","~*"),"?","~?"),'DEF_SELF_SCOUT_IMPORT'!$F$42:$F$1040,SUBSTITUTE(SUBSTITUTE(SUBSTITUTE($N328,"~","~~"),"*","~*"),"?","~?"))</f>
        <v>1</v>
      </c>
      <c r="D328" s="10">
        <f>IF($C328=0,"",SUMIFS('DEF_SELF_SCOUT_IMPORT'!$J$42:$J$1040,'DEF_SELF_SCOUT_IMPORT'!$L$42:$L$1040,"Y",'DEF_SELF_SCOUT_IMPORT'!$E$42:$E$1040,SUBSTITUTE(SUBSTITUTE(SUBSTITUTE($B328,"~","~~"),"*","~*"),"?","~?"),'DEF_SELF_SCOUT_IMPORT'!$Q$42:$Q$1040,SUBSTITUTE(SUBSTITUTE(SUBSTITUTE($M328,"~","~~"),"*","~*"),"?","~?"),'DEF_SELF_SCOUT_IMPORT'!$F$42:$F$1040,SUBSTITUTE(SUBSTITUTE(SUBSTITUTE($N328,"~","~~"),"*","~*"),"?","~?"))/$C328)</f>
        <v>0.0</v>
      </c>
      <c r="E328" s="10">
        <f>IF($C328=0,"",SUMIFS('DEF_SELF_SCOUT_IMPORT'!$K$42:$K$1040,'DEF_SELF_SCOUT_IMPORT'!$L$42:$L$1040,"Y",'DEF_SELF_SCOUT_IMPORT'!$E$42:$E$1040,SUBSTITUTE(SUBSTITUTE(SUBSTITUTE($B328,"~","~~"),"*","~*"),"?","~?"),'DEF_SELF_SCOUT_IMPORT'!$Q$42:$Q$1040,SUBSTITUTE(SUBSTITUTE(SUBSTITUTE($M328,"~","~~"),"*","~*"),"?","~?"),'DEF_SELF_SCOUT_IMPORT'!$F$42:$F$1040,SUBSTITUTE(SUBSTITUTE(SUBSTITUTE($N328,"~","~~"),"*","~*"),"?","~?"))/$C328)</f>
        <v>0.0</v>
      </c>
      <c r="F328" s="11">
        <f>IF($C328=0,"",AVERAGEIFS('DEF_SELF_SCOUT_IMPORT'!$I$42:$I$1040,'DEF_SELF_SCOUT_IMPORT'!$L$42:$L$1040,"Y",'DEF_SELF_SCOUT_IMPORT'!$E$42:$E$1040,SUBSTITUTE(SUBSTITUTE(SUBSTITUTE($B328,"~","~~"),"*","~*"),"?","~?"),'DEF_SELF_SCOUT_IMPORT'!$Q$42:$Q$1040,SUBSTITUTE(SUBSTITUTE(SUBSTITUTE($M328,"~","~~"),"*","~*"),"?","~?"),'DEF_SELF_SCOUT_IMPORT'!$F$42:$F$1040,SUBSTITUTE(SUBSTITUTE(SUBSTITUTE($N328,"~","~~"),"*","~*"),"?","~?")))</f>
        <v>7.0</v>
      </c>
      <c r="G328" s="10">
        <f>IF($C328=0,"",COUNTIFS('DEF_SELF_SCOUT_IMPORT'!$L$42:$L$1040,"Y",'DEF_SELF_SCOUT_IMPORT'!$E$42:$E$1040,SUBSTITUTE(SUBSTITUTE(SUBSTITUTE($B328,"~","~~"),"*","~*"),"?","~?"),'DEF_SELF_SCOUT_IMPORT'!$Q$42:$Q$1040,SUBSTITUTE(SUBSTITUTE(SUBSTITUTE($M328,"~","~~"),"*","~*"),"?","~?"),'DEF_SELF_SCOUT_IMPORT'!$F$42:$F$1040,SUBSTITUTE(SUBSTITUTE(SUBSTITUTE($N328,"~","~~"),"*","~*"),"?","~?"),'DEF_SELF_SCOUT_IMPORT'!$H$42:$H$1040,"RUSH")/$C328)</f>
        <v>0.0</v>
      </c>
      <c r="H328" s="10">
        <f>IF($C328=0,"",COUNTIFS('DEF_SELF_SCOUT_IMPORT'!$L$42:$L$1040,"Y",'DEF_SELF_SCOUT_IMPORT'!$E$42:$E$1040,SUBSTITUTE(SUBSTITUTE(SUBSTITUTE($B328,"~","~~"),"*","~*"),"?","~?"),'DEF_SELF_SCOUT_IMPORT'!$Q$42:$Q$1040,SUBSTITUTE(SUBSTITUTE(SUBSTITUTE($M328,"~","~~"),"*","~*"),"?","~?"),'DEF_SELF_SCOUT_IMPORT'!$F$42:$F$1040,SUBSTITUTE(SUBSTITUTE(SUBSTITUTE($N328,"~","~~"),"*","~*"),"?","~?"),'DEF_SELF_SCOUT_IMPORT'!$H$42:$H$1040,"DROPBACK")/$C328)</f>
        <v>1.0</v>
      </c>
      <c r="I328" s="14" t="str">
        <f>IF(C328=0,"",IF(C328&lt;=2,"TRACK",IF(C328=3,"LOW",IF(C328&lt;=6,"MEDIUM","HIGH"))))</f>
        <v>TRACK</v>
      </c>
      <c r="J328" s="11">
        <f>IF(C328=0,"",ROUND(D328*70+(1-E328)*20+MAX(0,MIN(1,(10-F328)/10))*10,1))</f>
        <v>23.0</v>
      </c>
      <c r="K328" s="14" t="str">
        <f>IF(C328=0,"No Evidence",IF(C328&lt;=2,IF(E328&gt;0,"Explosive Alert","Track Only"),IF(C328=3,"Sample Watch",IF(E328&gt;=START_HERE!$B$31,"Explosive Alert",IF(J328&gt;=80,"Strong Candidate",IF(J328&gt;=65,"Good Candidate",IF(J328&gt;=50,"Mixed / Review","Problem Call")))))))</f>
        <v>Track Only</v>
      </c>
      <c r="L328" s="9" t="str">
        <f>IF(COUNTIFS('DEF_SELF_SCOUT_IMPORT'!$L$42:$L$1040,"Y",'DEF_SELF_SCOUT_IMPORT'!$E$42:$E$1040,SUBSTITUTE(SUBSTITUTE(SUBSTITUTE($B328,"~","~~"),"*","~*"),"?","~?"),'DEF_SELF_SCOUT_IMPORT'!$Q$42:$Q$1040,SUBSTITUTE(SUBSTITUTE(SUBSTITUTE($M328,"~","~~"),"*","~*"),"?","~?"),'DEF_SELF_SCOUT_IMPORT'!$F$42:$F$1040,SUBSTITUTE(SUBSTITUTE(SUBSTITUTE($N328,"~","~~"),"*","~*"),"?","~?"),'DEF_SELF_SCOUT_IMPORT'!$J$42:$J$1040,"")&gt;0,"Unscored clean outcome; review result tags before using score.",IF(C328=0,"No matching defensive reps; film confirmation needed.",IF(K328="Explosive Alert","Explosive risk; review clips before using as answer.",IF(C328&lt;=2,"Track only; not enough sample.",IF(C328=3,IF(E328&gt;0,"Sample watch with explosive exposure; review clips and build the sample.",IF(J328&gt;=65,"Good signal, but sample is limited.","Sample watch; review clips and build the sample.")),IF(K328="Problem Call","Problem area; practice or call-sheet review.",IF(K328="Strong Candidate","Strong call-fit candidate; confirm on film.",IF(K328="Good Candidate","Good call-fit signal; confirm on film.","Mixed signal; review fit and execution on film."))))))))</f>
        <v>Track only; not enough sample.</v>
      </c>
      <c r="M328" s="8" t="s">
        <v>107</v>
      </c>
      <c r="N328" s="8" t="s">
        <v>132</v>
      </c>
      <c r="O328" s="8"/>
      <c r="P328" s="8"/>
      <c r="Q328" s="8"/>
      <c r="R328" s="8" t="s">
        <v>28</v>
      </c>
      <c r="S328" s="2" t="s">
        <v>182</v>
      </c>
      <c r="T328" s="2">
        <f>IF(C328=0,0,IF(C328&gt;=CALL_LOOKUP_BOARD!$B$7,IF(OR(K328="Problem Call",K328="Explosive Alert"),10000000,20000000),0)+IF(C328&gt;=CALL_LOOKUP_BOARD!$B$7,J328*1000+MIN(C328,999),C328*1000+J328)+0.00985700)</f>
        <v>1023.009857</v>
      </c>
      <c r="U328" s="2" t="str">
        <f>IF(C328=0,"",IF(COUNTIFS($S$186:$S$367,SUBSTITUTE(SUBSTITUTE(SUBSTITUTE(S328,"~","~~"),"*","~*"),"?","~?"),$T$186:$T$367,"&gt;"&amp;T328)=0,S328,""))</f>
        <v>7:3D 7-10|2:00|</v>
      </c>
    </row>
    <row r="329" spans="1:21" ht="38" customHeight="1">
      <c r="A329" s="8" t="s">
        <v>183</v>
      </c>
      <c r="B329" s="8" t="s">
        <v>93</v>
      </c>
      <c r="C329" s="12">
        <f>COUNTIFS('DEF_SELF_SCOUT_IMPORT'!$L$42:$L$1040,"Y",'DEF_SELF_SCOUT_IMPORT'!$E$42:$E$1040,SUBSTITUTE(SUBSTITUTE(SUBSTITUTE($B329,"~","~~"),"*","~*"),"?","~?"),'DEF_SELF_SCOUT_IMPORT'!$Q$42:$Q$1040,SUBSTITUTE(SUBSTITUTE(SUBSTITUTE($M329,"~","~~"),"*","~*"),"?","~?"),'DEF_SELF_SCOUT_IMPORT'!$F$42:$F$1040,SUBSTITUTE(SUBSTITUTE(SUBSTITUTE($N329,"~","~~"),"*","~*"),"?","~?"))</f>
        <v>1</v>
      </c>
      <c r="D329" s="10">
        <f>IF($C329=0,"",SUMIFS('DEF_SELF_SCOUT_IMPORT'!$J$42:$J$1040,'DEF_SELF_SCOUT_IMPORT'!$L$42:$L$1040,"Y",'DEF_SELF_SCOUT_IMPORT'!$E$42:$E$1040,SUBSTITUTE(SUBSTITUTE(SUBSTITUTE($B329,"~","~~"),"*","~*"),"?","~?"),'DEF_SELF_SCOUT_IMPORT'!$Q$42:$Q$1040,SUBSTITUTE(SUBSTITUTE(SUBSTITUTE($M329,"~","~~"),"*","~*"),"?","~?"),'DEF_SELF_SCOUT_IMPORT'!$F$42:$F$1040,SUBSTITUTE(SUBSTITUTE(SUBSTITUTE($N329,"~","~~"),"*","~*"),"?","~?"))/$C329)</f>
        <v>0.0</v>
      </c>
      <c r="E329" s="10">
        <f>IF($C329=0,"",SUMIFS('DEF_SELF_SCOUT_IMPORT'!$K$42:$K$1040,'DEF_SELF_SCOUT_IMPORT'!$L$42:$L$1040,"Y",'DEF_SELF_SCOUT_IMPORT'!$E$42:$E$1040,SUBSTITUTE(SUBSTITUTE(SUBSTITUTE($B329,"~","~~"),"*","~*"),"?","~?"),'DEF_SELF_SCOUT_IMPORT'!$Q$42:$Q$1040,SUBSTITUTE(SUBSTITUTE(SUBSTITUTE($M329,"~","~~"),"*","~*"),"?","~?"),'DEF_SELF_SCOUT_IMPORT'!$F$42:$F$1040,SUBSTITUTE(SUBSTITUTE(SUBSTITUTE($N329,"~","~~"),"*","~*"),"?","~?"))/$C329)</f>
        <v>1.0</v>
      </c>
      <c r="F329" s="11">
        <f>IF($C329=0,"",AVERAGEIFS('DEF_SELF_SCOUT_IMPORT'!$I$42:$I$1040,'DEF_SELF_SCOUT_IMPORT'!$L$42:$L$1040,"Y",'DEF_SELF_SCOUT_IMPORT'!$E$42:$E$1040,SUBSTITUTE(SUBSTITUTE(SUBSTITUTE($B329,"~","~~"),"*","~*"),"?","~?"),'DEF_SELF_SCOUT_IMPORT'!$Q$42:$Q$1040,SUBSTITUTE(SUBSTITUTE(SUBSTITUTE($M329,"~","~~"),"*","~*"),"?","~?"),'DEF_SELF_SCOUT_IMPORT'!$F$42:$F$1040,SUBSTITUTE(SUBSTITUTE(SUBSTITUTE($N329,"~","~~"),"*","~*"),"?","~?")))</f>
        <v>21.0</v>
      </c>
      <c r="G329" s="10">
        <f>IF($C329=0,"",COUNTIFS('DEF_SELF_SCOUT_IMPORT'!$L$42:$L$1040,"Y",'DEF_SELF_SCOUT_IMPORT'!$E$42:$E$1040,SUBSTITUTE(SUBSTITUTE(SUBSTITUTE($B329,"~","~~"),"*","~*"),"?","~?"),'DEF_SELF_SCOUT_IMPORT'!$Q$42:$Q$1040,SUBSTITUTE(SUBSTITUTE(SUBSTITUTE($M329,"~","~~"),"*","~*"),"?","~?"),'DEF_SELF_SCOUT_IMPORT'!$F$42:$F$1040,SUBSTITUTE(SUBSTITUTE(SUBSTITUTE($N329,"~","~~"),"*","~*"),"?","~?"),'DEF_SELF_SCOUT_IMPORT'!$H$42:$H$1040,"RUSH")/$C329)</f>
        <v>0.0</v>
      </c>
      <c r="H329" s="10">
        <f>IF($C329=0,"",COUNTIFS('DEF_SELF_SCOUT_IMPORT'!$L$42:$L$1040,"Y",'DEF_SELF_SCOUT_IMPORT'!$E$42:$E$1040,SUBSTITUTE(SUBSTITUTE(SUBSTITUTE($B329,"~","~~"),"*","~*"),"?","~?"),'DEF_SELF_SCOUT_IMPORT'!$Q$42:$Q$1040,SUBSTITUTE(SUBSTITUTE(SUBSTITUTE($M329,"~","~~"),"*","~*"),"?","~?"),'DEF_SELF_SCOUT_IMPORT'!$F$42:$F$1040,SUBSTITUTE(SUBSTITUTE(SUBSTITUTE($N329,"~","~~"),"*","~*"),"?","~?"),'DEF_SELF_SCOUT_IMPORT'!$H$42:$H$1040,"DROPBACK")/$C329)</f>
        <v>1.0</v>
      </c>
      <c r="I329" s="14" t="str">
        <f>IF(C329=0,"",IF(C329&lt;=2,"TRACK",IF(C329=3,"LOW",IF(C329&lt;=6,"MEDIUM","HIGH"))))</f>
        <v>TRACK</v>
      </c>
      <c r="J329" s="11">
        <f>IF(C329=0,"",ROUND(D329*70+(1-E329)*20+MAX(0,MIN(1,(10-F329)/10))*10,1))</f>
        <v>0.0</v>
      </c>
      <c r="K329" s="14" t="str">
        <f>IF(C329=0,"No Evidence",IF(C329&lt;=2,IF(E329&gt;0,"Explosive Alert","Track Only"),IF(C329=3,"Sample Watch",IF(E329&gt;=START_HERE!$B$31,"Explosive Alert",IF(J329&gt;=80,"Strong Candidate",IF(J329&gt;=65,"Good Candidate",IF(J329&gt;=50,"Mixed / Review","Problem Call")))))))</f>
        <v>Explosive Alert</v>
      </c>
      <c r="L329" s="9" t="str">
        <f>IF(COUNTIFS('DEF_SELF_SCOUT_IMPORT'!$L$42:$L$1040,"Y",'DEF_SELF_SCOUT_IMPORT'!$E$42:$E$1040,SUBSTITUTE(SUBSTITUTE(SUBSTITUTE($B329,"~","~~"),"*","~*"),"?","~?"),'DEF_SELF_SCOUT_IMPORT'!$Q$42:$Q$1040,SUBSTITUTE(SUBSTITUTE(SUBSTITUTE($M329,"~","~~"),"*","~*"),"?","~?"),'DEF_SELF_SCOUT_IMPORT'!$F$42:$F$1040,SUBSTITUTE(SUBSTITUTE(SUBSTITUTE($N329,"~","~~"),"*","~*"),"?","~?"),'DEF_SELF_SCOUT_IMPORT'!$J$42:$J$1040,"")&gt;0,"Unscored clean outcome; review result tags before using score.",IF(C329=0,"No matching defensive reps; film confirmation needed.",IF(K329="Explosive Alert","Explosive risk; review clips before using as answer.",IF(C329&lt;=2,"Track only; not enough sample.",IF(C329=3,IF(E329&gt;0,"Sample watch with explosive exposure; review clips and build the sample.",IF(J329&gt;=65,"Good signal, but sample is limited.","Sample watch; review clips and build the sample.")),IF(K329="Problem Call","Problem area; practice or call-sheet review.",IF(K329="Strong Candidate","Strong call-fit candidate; confirm on film.",IF(K329="Good Candidate","Good call-fit signal; confirm on film.","Mixed signal; review fit and execution on film."))))))))</f>
        <v>Explosive risk; review clips before using as answer.</v>
      </c>
      <c r="M329" s="8" t="s">
        <v>107</v>
      </c>
      <c r="N329" s="8" t="s">
        <v>120</v>
      </c>
      <c r="O329" s="8"/>
      <c r="P329" s="8"/>
      <c r="Q329" s="8"/>
      <c r="R329" s="8" t="s">
        <v>28</v>
      </c>
      <c r="S329" s="2" t="s">
        <v>184</v>
      </c>
      <c r="T329" s="2">
        <f>IF(C329=0,0,IF(C329&gt;=CALL_LOOKUP_BOARD!$B$7,IF(OR(K329="Problem Call",K329="Explosive Alert"),10000000,20000000),0)+IF(C329&gt;=CALL_LOOKUP_BOARD!$B$7,J329*1000+MIN(C329,999),C329*1000+J329)+0.00985600)</f>
        <v>1000.009856</v>
      </c>
      <c r="U329" s="2">
        <f>IF(C329=0,"",IF(COUNTIFS($S$186:$S$367,SUBSTITUTE(SUBSTITUTE(SUBSTITUTE(S329,"~","~~"),"*","~*"),"?","~?"),$T$186:$T$367,"&gt;"&amp;T329)=0,S329,""))</f>
        <v/>
      </c>
    </row>
    <row r="330" spans="1:21" ht="38" customHeight="1">
      <c r="A330" s="8" t="s">
        <v>183</v>
      </c>
      <c r="B330" s="8" t="s">
        <v>27</v>
      </c>
      <c r="C330" s="12">
        <f>COUNTIFS('DEF_SELF_SCOUT_IMPORT'!$L$42:$L$1040,"Y",'DEF_SELF_SCOUT_IMPORT'!$E$42:$E$1040,SUBSTITUTE(SUBSTITUTE(SUBSTITUTE($B330,"~","~~"),"*","~*"),"?","~?"),'DEF_SELF_SCOUT_IMPORT'!$Q$42:$Q$1040,SUBSTITUTE(SUBSTITUTE(SUBSTITUTE($M330,"~","~~"),"*","~*"),"?","~?"),'DEF_SELF_SCOUT_IMPORT'!$F$42:$F$1040,SUBSTITUTE(SUBSTITUTE(SUBSTITUTE($N330,"~","~~"),"*","~*"),"?","~?"))</f>
        <v>1</v>
      </c>
      <c r="D330" s="10">
        <f>IF($C330=0,"",SUMIFS('DEF_SELF_SCOUT_IMPORT'!$J$42:$J$1040,'DEF_SELF_SCOUT_IMPORT'!$L$42:$L$1040,"Y",'DEF_SELF_SCOUT_IMPORT'!$E$42:$E$1040,SUBSTITUTE(SUBSTITUTE(SUBSTITUTE($B330,"~","~~"),"*","~*"),"?","~?"),'DEF_SELF_SCOUT_IMPORT'!$Q$42:$Q$1040,SUBSTITUTE(SUBSTITUTE(SUBSTITUTE($M330,"~","~~"),"*","~*"),"?","~?"),'DEF_SELF_SCOUT_IMPORT'!$F$42:$F$1040,SUBSTITUTE(SUBSTITUTE(SUBSTITUTE($N330,"~","~~"),"*","~*"),"?","~?"))/$C330)</f>
        <v>1.0</v>
      </c>
      <c r="E330" s="10">
        <f>IF($C330=0,"",SUMIFS('DEF_SELF_SCOUT_IMPORT'!$K$42:$K$1040,'DEF_SELF_SCOUT_IMPORT'!$L$42:$L$1040,"Y",'DEF_SELF_SCOUT_IMPORT'!$E$42:$E$1040,SUBSTITUTE(SUBSTITUTE(SUBSTITUTE($B330,"~","~~"),"*","~*"),"?","~?"),'DEF_SELF_SCOUT_IMPORT'!$Q$42:$Q$1040,SUBSTITUTE(SUBSTITUTE(SUBSTITUTE($M330,"~","~~"),"*","~*"),"?","~?"),'DEF_SELF_SCOUT_IMPORT'!$F$42:$F$1040,SUBSTITUTE(SUBSTITUTE(SUBSTITUTE($N330,"~","~~"),"*","~*"),"?","~?"))/$C330)</f>
        <v>0.0</v>
      </c>
      <c r="F330" s="11">
        <f>IF($C330=0,"",AVERAGEIFS('DEF_SELF_SCOUT_IMPORT'!$I$42:$I$1040,'DEF_SELF_SCOUT_IMPORT'!$L$42:$L$1040,"Y",'DEF_SELF_SCOUT_IMPORT'!$E$42:$E$1040,SUBSTITUTE(SUBSTITUTE(SUBSTITUTE($B330,"~","~~"),"*","~*"),"?","~?"),'DEF_SELF_SCOUT_IMPORT'!$Q$42:$Q$1040,SUBSTITUTE(SUBSTITUTE(SUBSTITUTE($M330,"~","~~"),"*","~*"),"?","~?"),'DEF_SELF_SCOUT_IMPORT'!$F$42:$F$1040,SUBSTITUTE(SUBSTITUTE(SUBSTITUTE($N330,"~","~~"),"*","~*"),"?","~?")))</f>
        <v>1.0</v>
      </c>
      <c r="G330" s="10">
        <f>IF($C330=0,"",COUNTIFS('DEF_SELF_SCOUT_IMPORT'!$L$42:$L$1040,"Y",'DEF_SELF_SCOUT_IMPORT'!$E$42:$E$1040,SUBSTITUTE(SUBSTITUTE(SUBSTITUTE($B330,"~","~~"),"*","~*"),"?","~?"),'DEF_SELF_SCOUT_IMPORT'!$Q$42:$Q$1040,SUBSTITUTE(SUBSTITUTE(SUBSTITUTE($M330,"~","~~"),"*","~*"),"?","~?"),'DEF_SELF_SCOUT_IMPORT'!$F$42:$F$1040,SUBSTITUTE(SUBSTITUTE(SUBSTITUTE($N330,"~","~~"),"*","~*"),"?","~?"),'DEF_SELF_SCOUT_IMPORT'!$H$42:$H$1040,"RUSH")/$C330)</f>
        <v>1.0</v>
      </c>
      <c r="H330" s="10">
        <f>IF($C330=0,"",COUNTIFS('DEF_SELF_SCOUT_IMPORT'!$L$42:$L$1040,"Y",'DEF_SELF_SCOUT_IMPORT'!$E$42:$E$1040,SUBSTITUTE(SUBSTITUTE(SUBSTITUTE($B330,"~","~~"),"*","~*"),"?","~?"),'DEF_SELF_SCOUT_IMPORT'!$Q$42:$Q$1040,SUBSTITUTE(SUBSTITUTE(SUBSTITUTE($M330,"~","~~"),"*","~*"),"?","~?"),'DEF_SELF_SCOUT_IMPORT'!$F$42:$F$1040,SUBSTITUTE(SUBSTITUTE(SUBSTITUTE($N330,"~","~~"),"*","~*"),"?","~?"),'DEF_SELF_SCOUT_IMPORT'!$H$42:$H$1040,"DROPBACK")/$C330)</f>
        <v>0.0</v>
      </c>
      <c r="I330" s="14" t="str">
        <f>IF(C330=0,"",IF(C330&lt;=2,"TRACK",IF(C330=3,"LOW",IF(C330&lt;=6,"MEDIUM","HIGH"))))</f>
        <v>TRACK</v>
      </c>
      <c r="J330" s="11">
        <f>IF(C330=0,"",ROUND(D330*70+(1-E330)*20+MAX(0,MIN(1,(10-F330)/10))*10,1))</f>
        <v>99.0</v>
      </c>
      <c r="K330" s="14" t="str">
        <f>IF(C330=0,"No Evidence",IF(C330&lt;=2,IF(E330&gt;0,"Explosive Alert","Track Only"),IF(C330=3,"Sample Watch",IF(E330&gt;=START_HERE!$B$31,"Explosive Alert",IF(J330&gt;=80,"Strong Candidate",IF(J330&gt;=65,"Good Candidate",IF(J330&gt;=50,"Mixed / Review","Problem Call")))))))</f>
        <v>Track Only</v>
      </c>
      <c r="L330" s="9" t="str">
        <f>IF(COUNTIFS('DEF_SELF_SCOUT_IMPORT'!$L$42:$L$1040,"Y",'DEF_SELF_SCOUT_IMPORT'!$E$42:$E$1040,SUBSTITUTE(SUBSTITUTE(SUBSTITUTE($B330,"~","~~"),"*","~*"),"?","~?"),'DEF_SELF_SCOUT_IMPORT'!$Q$42:$Q$1040,SUBSTITUTE(SUBSTITUTE(SUBSTITUTE($M330,"~","~~"),"*","~*"),"?","~?"),'DEF_SELF_SCOUT_IMPORT'!$F$42:$F$1040,SUBSTITUTE(SUBSTITUTE(SUBSTITUTE($N330,"~","~~"),"*","~*"),"?","~?"),'DEF_SELF_SCOUT_IMPORT'!$J$42:$J$1040,"")&gt;0,"Unscored clean outcome; review result tags before using score.",IF(C330=0,"No matching defensive reps; film confirmation needed.",IF(K330="Explosive Alert","Explosive risk; review clips before using as answer.",IF(C330&lt;=2,"Track only; not enough sample.",IF(C330=3,IF(E330&gt;0,"Sample watch with explosive exposure; review clips and build the sample.",IF(J330&gt;=65,"Good signal, but sample is limited.","Sample watch; review clips and build the sample.")),IF(K330="Problem Call","Problem area; practice or call-sheet review.",IF(K330="Strong Candidate","Strong call-fit candidate; confirm on film.",IF(K330="Good Candidate","Good call-fit signal; confirm on film.","Mixed signal; review fit and execution on film."))))))))</f>
        <v>Track only; not enough sample.</v>
      </c>
      <c r="M330" s="8" t="s">
        <v>107</v>
      </c>
      <c r="N330" s="8" t="s">
        <v>120</v>
      </c>
      <c r="O330" s="8"/>
      <c r="P330" s="8"/>
      <c r="Q330" s="8"/>
      <c r="R330" s="8" t="s">
        <v>28</v>
      </c>
      <c r="S330" s="2" t="s">
        <v>184</v>
      </c>
      <c r="T330" s="2">
        <f>IF(C330=0,0,IF(C330&gt;=CALL_LOOKUP_BOARD!$B$7,IF(OR(K330="Problem Call",K330="Explosive Alert"),10000000,20000000),0)+IF(C330&gt;=CALL_LOOKUP_BOARD!$B$7,J330*1000+MIN(C330,999),C330*1000+J330)+0.00985500)</f>
        <v>1099.009855</v>
      </c>
      <c r="U330" s="2">
        <f>IF(C330=0,"",IF(COUNTIFS($S$186:$S$367,SUBSTITUTE(SUBSTITUTE(SUBSTITUTE(S330,"~","~~"),"*","~*"),"?","~?"),$T$186:$T$367,"&gt;"&amp;T330)=0,S330,""))</f>
        <v/>
      </c>
    </row>
    <row r="331" spans="1:21" ht="38" customHeight="1">
      <c r="A331" s="8" t="s">
        <v>183</v>
      </c>
      <c r="B331" s="8" t="s">
        <v>42</v>
      </c>
      <c r="C331" s="12">
        <f>COUNTIFS('DEF_SELF_SCOUT_IMPORT'!$L$42:$L$1040,"Y",'DEF_SELF_SCOUT_IMPORT'!$E$42:$E$1040,SUBSTITUTE(SUBSTITUTE(SUBSTITUTE($B331,"~","~~"),"*","~*"),"?","~?"),'DEF_SELF_SCOUT_IMPORT'!$Q$42:$Q$1040,SUBSTITUTE(SUBSTITUTE(SUBSTITUTE($M331,"~","~~"),"*","~*"),"?","~?"),'DEF_SELF_SCOUT_IMPORT'!$F$42:$F$1040,SUBSTITUTE(SUBSTITUTE(SUBSTITUTE($N331,"~","~~"),"*","~*"),"?","~?"))</f>
        <v>1</v>
      </c>
      <c r="D331" s="10">
        <f>IF($C331=0,"",SUMIFS('DEF_SELF_SCOUT_IMPORT'!$J$42:$J$1040,'DEF_SELF_SCOUT_IMPORT'!$L$42:$L$1040,"Y",'DEF_SELF_SCOUT_IMPORT'!$E$42:$E$1040,SUBSTITUTE(SUBSTITUTE(SUBSTITUTE($B331,"~","~~"),"*","~*"),"?","~?"),'DEF_SELF_SCOUT_IMPORT'!$Q$42:$Q$1040,SUBSTITUTE(SUBSTITUTE(SUBSTITUTE($M331,"~","~~"),"*","~*"),"?","~?"),'DEF_SELF_SCOUT_IMPORT'!$F$42:$F$1040,SUBSTITUTE(SUBSTITUTE(SUBSTITUTE($N331,"~","~~"),"*","~*"),"?","~?"))/$C331)</f>
        <v>0.0</v>
      </c>
      <c r="E331" s="10">
        <f>IF($C331=0,"",SUMIFS('DEF_SELF_SCOUT_IMPORT'!$K$42:$K$1040,'DEF_SELF_SCOUT_IMPORT'!$L$42:$L$1040,"Y",'DEF_SELF_SCOUT_IMPORT'!$E$42:$E$1040,SUBSTITUTE(SUBSTITUTE(SUBSTITUTE($B331,"~","~~"),"*","~*"),"?","~?"),'DEF_SELF_SCOUT_IMPORT'!$Q$42:$Q$1040,SUBSTITUTE(SUBSTITUTE(SUBSTITUTE($M331,"~","~~"),"*","~*"),"?","~?"),'DEF_SELF_SCOUT_IMPORT'!$F$42:$F$1040,SUBSTITUTE(SUBSTITUTE(SUBSTITUTE($N331,"~","~~"),"*","~*"),"?","~?"))/$C331)</f>
        <v>0.0</v>
      </c>
      <c r="F331" s="11">
        <f>IF($C331=0,"",AVERAGEIFS('DEF_SELF_SCOUT_IMPORT'!$I$42:$I$1040,'DEF_SELF_SCOUT_IMPORT'!$L$42:$L$1040,"Y",'DEF_SELF_SCOUT_IMPORT'!$E$42:$E$1040,SUBSTITUTE(SUBSTITUTE(SUBSTITUTE($B331,"~","~~"),"*","~*"),"?","~?"),'DEF_SELF_SCOUT_IMPORT'!$Q$42:$Q$1040,SUBSTITUTE(SUBSTITUTE(SUBSTITUTE($M331,"~","~~"),"*","~*"),"?","~?"),'DEF_SELF_SCOUT_IMPORT'!$F$42:$F$1040,SUBSTITUTE(SUBSTITUTE(SUBSTITUTE($N331,"~","~~"),"*","~*"),"?","~?")))</f>
        <v>8.0</v>
      </c>
      <c r="G331" s="10">
        <f>IF($C331=0,"",COUNTIFS('DEF_SELF_SCOUT_IMPORT'!$L$42:$L$1040,"Y",'DEF_SELF_SCOUT_IMPORT'!$E$42:$E$1040,SUBSTITUTE(SUBSTITUTE(SUBSTITUTE($B331,"~","~~"),"*","~*"),"?","~?"),'DEF_SELF_SCOUT_IMPORT'!$Q$42:$Q$1040,SUBSTITUTE(SUBSTITUTE(SUBSTITUTE($M331,"~","~~"),"*","~*"),"?","~?"),'DEF_SELF_SCOUT_IMPORT'!$F$42:$F$1040,SUBSTITUTE(SUBSTITUTE(SUBSTITUTE($N331,"~","~~"),"*","~*"),"?","~?"),'DEF_SELF_SCOUT_IMPORT'!$H$42:$H$1040,"RUSH")/$C331)</f>
        <v>0.0</v>
      </c>
      <c r="H331" s="10">
        <f>IF($C331=0,"",COUNTIFS('DEF_SELF_SCOUT_IMPORT'!$L$42:$L$1040,"Y",'DEF_SELF_SCOUT_IMPORT'!$E$42:$E$1040,SUBSTITUTE(SUBSTITUTE(SUBSTITUTE($B331,"~","~~"),"*","~*"),"?","~?"),'DEF_SELF_SCOUT_IMPORT'!$Q$42:$Q$1040,SUBSTITUTE(SUBSTITUTE(SUBSTITUTE($M331,"~","~~"),"*","~*"),"?","~?"),'DEF_SELF_SCOUT_IMPORT'!$F$42:$F$1040,SUBSTITUTE(SUBSTITUTE(SUBSTITUTE($N331,"~","~~"),"*","~*"),"?","~?"),'DEF_SELF_SCOUT_IMPORT'!$H$42:$H$1040,"DROPBACK")/$C331)</f>
        <v>1.0</v>
      </c>
      <c r="I331" s="14" t="str">
        <f>IF(C331=0,"",IF(C331&lt;=2,"TRACK",IF(C331=3,"LOW",IF(C331&lt;=6,"MEDIUM","HIGH"))))</f>
        <v>TRACK</v>
      </c>
      <c r="J331" s="11">
        <f>IF(C331=0,"",ROUND(D331*70+(1-E331)*20+MAX(0,MIN(1,(10-F331)/10))*10,1))</f>
        <v>22.0</v>
      </c>
      <c r="K331" s="14" t="str">
        <f>IF(C331=0,"No Evidence",IF(C331&lt;=2,IF(E331&gt;0,"Explosive Alert","Track Only"),IF(C331=3,"Sample Watch",IF(E331&gt;=START_HERE!$B$31,"Explosive Alert",IF(J331&gt;=80,"Strong Candidate",IF(J331&gt;=65,"Good Candidate",IF(J331&gt;=50,"Mixed / Review","Problem Call")))))))</f>
        <v>Track Only</v>
      </c>
      <c r="L331" s="9" t="str">
        <f>IF(COUNTIFS('DEF_SELF_SCOUT_IMPORT'!$L$42:$L$1040,"Y",'DEF_SELF_SCOUT_IMPORT'!$E$42:$E$1040,SUBSTITUTE(SUBSTITUTE(SUBSTITUTE($B331,"~","~~"),"*","~*"),"?","~?"),'DEF_SELF_SCOUT_IMPORT'!$Q$42:$Q$1040,SUBSTITUTE(SUBSTITUTE(SUBSTITUTE($M331,"~","~~"),"*","~*"),"?","~?"),'DEF_SELF_SCOUT_IMPORT'!$F$42:$F$1040,SUBSTITUTE(SUBSTITUTE(SUBSTITUTE($N331,"~","~~"),"*","~*"),"?","~?"),'DEF_SELF_SCOUT_IMPORT'!$J$42:$J$1040,"")&gt;0,"Unscored clean outcome; review result tags before using score.",IF(C331=0,"No matching defensive reps; film confirmation needed.",IF(K331="Explosive Alert","Explosive risk; review clips before using as answer.",IF(C331&lt;=2,"Track only; not enough sample.",IF(C331=3,IF(E331&gt;0,"Sample watch with explosive exposure; review clips and build the sample.",IF(J331&gt;=65,"Good signal, but sample is limited.","Sample watch; review clips and build the sample.")),IF(K331="Problem Call","Problem area; practice or call-sheet review.",IF(K331="Strong Candidate","Strong call-fit candidate; confirm on film.",IF(K331="Good Candidate","Good call-fit signal; confirm on film.","Mixed signal; review fit and execution on film."))))))))</f>
        <v>Track only; not enough sample.</v>
      </c>
      <c r="M331" s="8" t="s">
        <v>107</v>
      </c>
      <c r="N331" s="8" t="s">
        <v>120</v>
      </c>
      <c r="O331" s="8"/>
      <c r="P331" s="8"/>
      <c r="Q331" s="8"/>
      <c r="R331" s="8" t="s">
        <v>28</v>
      </c>
      <c r="S331" s="2" t="s">
        <v>184</v>
      </c>
      <c r="T331" s="2">
        <f>IF(C331=0,0,IF(C331&gt;=CALL_LOOKUP_BOARD!$B$7,IF(OR(K331="Problem Call",K331="Explosive Alert"),10000000,20000000),0)+IF(C331&gt;=CALL_LOOKUP_BOARD!$B$7,J331*1000+MIN(C331,999),C331*1000+J331)+0.00985400)</f>
        <v>1022.009854</v>
      </c>
      <c r="U331" s="2">
        <f>IF(C331=0,"",IF(COUNTIFS($S$186:$S$367,SUBSTITUTE(SUBSTITUTE(SUBSTITUTE(S331,"~","~~"),"*","~*"),"?","~?"),$T$186:$T$367,"&gt;"&amp;T331)=0,S331,""))</f>
        <v/>
      </c>
    </row>
    <row r="332" spans="1:21" ht="38" customHeight="1">
      <c r="A332" s="8" t="s">
        <v>183</v>
      </c>
      <c r="B332" s="8" t="s">
        <v>97</v>
      </c>
      <c r="C332" s="12">
        <f>COUNTIFS('DEF_SELF_SCOUT_IMPORT'!$L$42:$L$1040,"Y",'DEF_SELF_SCOUT_IMPORT'!$E$42:$E$1040,SUBSTITUTE(SUBSTITUTE(SUBSTITUTE($B332,"~","~~"),"*","~*"),"?","~?"),'DEF_SELF_SCOUT_IMPORT'!$Q$42:$Q$1040,SUBSTITUTE(SUBSTITUTE(SUBSTITUTE($M332,"~","~~"),"*","~*"),"?","~?"),'DEF_SELF_SCOUT_IMPORT'!$F$42:$F$1040,SUBSTITUTE(SUBSTITUTE(SUBSTITUTE($N332,"~","~~"),"*","~*"),"?","~?"))</f>
        <v>1</v>
      </c>
      <c r="D332" s="10">
        <f>IF($C332=0,"",SUMIFS('DEF_SELF_SCOUT_IMPORT'!$J$42:$J$1040,'DEF_SELF_SCOUT_IMPORT'!$L$42:$L$1040,"Y",'DEF_SELF_SCOUT_IMPORT'!$E$42:$E$1040,SUBSTITUTE(SUBSTITUTE(SUBSTITUTE($B332,"~","~~"),"*","~*"),"?","~?"),'DEF_SELF_SCOUT_IMPORT'!$Q$42:$Q$1040,SUBSTITUTE(SUBSTITUTE(SUBSTITUTE($M332,"~","~~"),"*","~*"),"?","~?"),'DEF_SELF_SCOUT_IMPORT'!$F$42:$F$1040,SUBSTITUTE(SUBSTITUTE(SUBSTITUTE($N332,"~","~~"),"*","~*"),"?","~?"))/$C332)</f>
        <v>0.0</v>
      </c>
      <c r="E332" s="10">
        <f>IF($C332=0,"",SUMIFS('DEF_SELF_SCOUT_IMPORT'!$K$42:$K$1040,'DEF_SELF_SCOUT_IMPORT'!$L$42:$L$1040,"Y",'DEF_SELF_SCOUT_IMPORT'!$E$42:$E$1040,SUBSTITUTE(SUBSTITUTE(SUBSTITUTE($B332,"~","~~"),"*","~*"),"?","~?"),'DEF_SELF_SCOUT_IMPORT'!$Q$42:$Q$1040,SUBSTITUTE(SUBSTITUTE(SUBSTITUTE($M332,"~","~~"),"*","~*"),"?","~?"),'DEF_SELF_SCOUT_IMPORT'!$F$42:$F$1040,SUBSTITUTE(SUBSTITUTE(SUBSTITUTE($N332,"~","~~"),"*","~*"),"?","~?"))/$C332)</f>
        <v>1.0</v>
      </c>
      <c r="F332" s="11">
        <f>IF($C332=0,"",AVERAGEIFS('DEF_SELF_SCOUT_IMPORT'!$I$42:$I$1040,'DEF_SELF_SCOUT_IMPORT'!$L$42:$L$1040,"Y",'DEF_SELF_SCOUT_IMPORT'!$E$42:$E$1040,SUBSTITUTE(SUBSTITUTE(SUBSTITUTE($B332,"~","~~"),"*","~*"),"?","~?"),'DEF_SELF_SCOUT_IMPORT'!$Q$42:$Q$1040,SUBSTITUTE(SUBSTITUTE(SUBSTITUTE($M332,"~","~~"),"*","~*"),"?","~?"),'DEF_SELF_SCOUT_IMPORT'!$F$42:$F$1040,SUBSTITUTE(SUBSTITUTE(SUBSTITUTE($N332,"~","~~"),"*","~*"),"?","~?")))</f>
        <v>26.0</v>
      </c>
      <c r="G332" s="10">
        <f>IF($C332=0,"",COUNTIFS('DEF_SELF_SCOUT_IMPORT'!$L$42:$L$1040,"Y",'DEF_SELF_SCOUT_IMPORT'!$E$42:$E$1040,SUBSTITUTE(SUBSTITUTE(SUBSTITUTE($B332,"~","~~"),"*","~*"),"?","~?"),'DEF_SELF_SCOUT_IMPORT'!$Q$42:$Q$1040,SUBSTITUTE(SUBSTITUTE(SUBSTITUTE($M332,"~","~~"),"*","~*"),"?","~?"),'DEF_SELF_SCOUT_IMPORT'!$F$42:$F$1040,SUBSTITUTE(SUBSTITUTE(SUBSTITUTE($N332,"~","~~"),"*","~*"),"?","~?"),'DEF_SELF_SCOUT_IMPORT'!$H$42:$H$1040,"RUSH")/$C332)</f>
        <v>0.0</v>
      </c>
      <c r="H332" s="10">
        <f>IF($C332=0,"",COUNTIFS('DEF_SELF_SCOUT_IMPORT'!$L$42:$L$1040,"Y",'DEF_SELF_SCOUT_IMPORT'!$E$42:$E$1040,SUBSTITUTE(SUBSTITUTE(SUBSTITUTE($B332,"~","~~"),"*","~*"),"?","~?"),'DEF_SELF_SCOUT_IMPORT'!$Q$42:$Q$1040,SUBSTITUTE(SUBSTITUTE(SUBSTITUTE($M332,"~","~~"),"*","~*"),"?","~?"),'DEF_SELF_SCOUT_IMPORT'!$F$42:$F$1040,SUBSTITUTE(SUBSTITUTE(SUBSTITUTE($N332,"~","~~"),"*","~*"),"?","~?"),'DEF_SELF_SCOUT_IMPORT'!$H$42:$H$1040,"DROPBACK")/$C332)</f>
        <v>1.0</v>
      </c>
      <c r="I332" s="14" t="str">
        <f>IF(C332=0,"",IF(C332&lt;=2,"TRACK",IF(C332=3,"LOW",IF(C332&lt;=6,"MEDIUM","HIGH"))))</f>
        <v>TRACK</v>
      </c>
      <c r="J332" s="11">
        <f>IF(C332=0,"",ROUND(D332*70+(1-E332)*20+MAX(0,MIN(1,(10-F332)/10))*10,1))</f>
        <v>0.0</v>
      </c>
      <c r="K332" s="14" t="str">
        <f>IF(C332=0,"No Evidence",IF(C332&lt;=2,IF(E332&gt;0,"Explosive Alert","Track Only"),IF(C332=3,"Sample Watch",IF(E332&gt;=START_HERE!$B$31,"Explosive Alert",IF(J332&gt;=80,"Strong Candidate",IF(J332&gt;=65,"Good Candidate",IF(J332&gt;=50,"Mixed / Review","Problem Call")))))))</f>
        <v>Explosive Alert</v>
      </c>
      <c r="L332" s="9" t="str">
        <f>IF(COUNTIFS('DEF_SELF_SCOUT_IMPORT'!$L$42:$L$1040,"Y",'DEF_SELF_SCOUT_IMPORT'!$E$42:$E$1040,SUBSTITUTE(SUBSTITUTE(SUBSTITUTE($B332,"~","~~"),"*","~*"),"?","~?"),'DEF_SELF_SCOUT_IMPORT'!$Q$42:$Q$1040,SUBSTITUTE(SUBSTITUTE(SUBSTITUTE($M332,"~","~~"),"*","~*"),"?","~?"),'DEF_SELF_SCOUT_IMPORT'!$F$42:$F$1040,SUBSTITUTE(SUBSTITUTE(SUBSTITUTE($N332,"~","~~"),"*","~*"),"?","~?"),'DEF_SELF_SCOUT_IMPORT'!$J$42:$J$1040,"")&gt;0,"Unscored clean outcome; review result tags before using score.",IF(C332=0,"No matching defensive reps; film confirmation needed.",IF(K332="Explosive Alert","Explosive risk; review clips before using as answer.",IF(C332&lt;=2,"Track only; not enough sample.",IF(C332=3,IF(E332&gt;0,"Sample watch with explosive exposure; review clips and build the sample.",IF(J332&gt;=65,"Good signal, but sample is limited.","Sample watch; review clips and build the sample.")),IF(K332="Problem Call","Problem area; practice or call-sheet review.",IF(K332="Strong Candidate","Strong call-fit candidate; confirm on film.",IF(K332="Good Candidate","Good call-fit signal; confirm on film.","Mixed signal; review fit and execution on film."))))))))</f>
        <v>Explosive risk; review clips before using as answer.</v>
      </c>
      <c r="M332" s="8" t="s">
        <v>107</v>
      </c>
      <c r="N332" s="8" t="s">
        <v>120</v>
      </c>
      <c r="O332" s="8"/>
      <c r="P332" s="8"/>
      <c r="Q332" s="8"/>
      <c r="R332" s="8" t="s">
        <v>28</v>
      </c>
      <c r="S332" s="2" t="s">
        <v>184</v>
      </c>
      <c r="T332" s="2">
        <f>IF(C332=0,0,IF(C332&gt;=CALL_LOOKUP_BOARD!$B$7,IF(OR(K332="Problem Call",K332="Explosive Alert"),10000000,20000000),0)+IF(C332&gt;=CALL_LOOKUP_BOARD!$B$7,J332*1000+MIN(C332,999),C332*1000+J332)+0.00985300)</f>
        <v>1000.009853</v>
      </c>
      <c r="U332" s="2">
        <f>IF(C332=0,"",IF(COUNTIFS($S$186:$S$367,SUBSTITUTE(SUBSTITUTE(SUBSTITUTE(S332,"~","~~"),"*","~*"),"?","~?"),$T$186:$T$367,"&gt;"&amp;T332)=0,S332,""))</f>
        <v/>
      </c>
    </row>
    <row r="333" spans="1:21" ht="38" customHeight="1">
      <c r="A333" s="8" t="s">
        <v>183</v>
      </c>
      <c r="B333" s="8" t="s">
        <v>109</v>
      </c>
      <c r="C333" s="12">
        <f>COUNTIFS('DEF_SELF_SCOUT_IMPORT'!$L$42:$L$1040,"Y",'DEF_SELF_SCOUT_IMPORT'!$E$42:$E$1040,SUBSTITUTE(SUBSTITUTE(SUBSTITUTE($B333,"~","~~"),"*","~*"),"?","~?"),'DEF_SELF_SCOUT_IMPORT'!$Q$42:$Q$1040,SUBSTITUTE(SUBSTITUTE(SUBSTITUTE($M333,"~","~~"),"*","~*"),"?","~?"),'DEF_SELF_SCOUT_IMPORT'!$F$42:$F$1040,SUBSTITUTE(SUBSTITUTE(SUBSTITUTE($N333,"~","~~"),"*","~*"),"?","~?"))</f>
        <v>1</v>
      </c>
      <c r="D333" s="10">
        <f>IF($C333=0,"",SUMIFS('DEF_SELF_SCOUT_IMPORT'!$J$42:$J$1040,'DEF_SELF_SCOUT_IMPORT'!$L$42:$L$1040,"Y",'DEF_SELF_SCOUT_IMPORT'!$E$42:$E$1040,SUBSTITUTE(SUBSTITUTE(SUBSTITUTE($B333,"~","~~"),"*","~*"),"?","~?"),'DEF_SELF_SCOUT_IMPORT'!$Q$42:$Q$1040,SUBSTITUTE(SUBSTITUTE(SUBSTITUTE($M333,"~","~~"),"*","~*"),"?","~?"),'DEF_SELF_SCOUT_IMPORT'!$F$42:$F$1040,SUBSTITUTE(SUBSTITUTE(SUBSTITUTE($N333,"~","~~"),"*","~*"),"?","~?"))/$C333)</f>
        <v>0.0</v>
      </c>
      <c r="E333" s="10">
        <f>IF($C333=0,"",SUMIFS('DEF_SELF_SCOUT_IMPORT'!$K$42:$K$1040,'DEF_SELF_SCOUT_IMPORT'!$L$42:$L$1040,"Y",'DEF_SELF_SCOUT_IMPORT'!$E$42:$E$1040,SUBSTITUTE(SUBSTITUTE(SUBSTITUTE($B333,"~","~~"),"*","~*"),"?","~?"),'DEF_SELF_SCOUT_IMPORT'!$Q$42:$Q$1040,SUBSTITUTE(SUBSTITUTE(SUBSTITUTE($M333,"~","~~"),"*","~*"),"?","~?"),'DEF_SELF_SCOUT_IMPORT'!$F$42:$F$1040,SUBSTITUTE(SUBSTITUTE(SUBSTITUTE($N333,"~","~~"),"*","~*"),"?","~?"))/$C333)</f>
        <v>1.0</v>
      </c>
      <c r="F333" s="11">
        <f>IF($C333=0,"",AVERAGEIFS('DEF_SELF_SCOUT_IMPORT'!$I$42:$I$1040,'DEF_SELF_SCOUT_IMPORT'!$L$42:$L$1040,"Y",'DEF_SELF_SCOUT_IMPORT'!$E$42:$E$1040,SUBSTITUTE(SUBSTITUTE(SUBSTITUTE($B333,"~","~~"),"*","~*"),"?","~?"),'DEF_SELF_SCOUT_IMPORT'!$Q$42:$Q$1040,SUBSTITUTE(SUBSTITUTE(SUBSTITUTE($M333,"~","~~"),"*","~*"),"?","~?"),'DEF_SELF_SCOUT_IMPORT'!$F$42:$F$1040,SUBSTITUTE(SUBSTITUTE(SUBSTITUTE($N333,"~","~~"),"*","~*"),"?","~?")))</f>
        <v>16.0</v>
      </c>
      <c r="G333" s="10">
        <f>IF($C333=0,"",COUNTIFS('DEF_SELF_SCOUT_IMPORT'!$L$42:$L$1040,"Y",'DEF_SELF_SCOUT_IMPORT'!$E$42:$E$1040,SUBSTITUTE(SUBSTITUTE(SUBSTITUTE($B333,"~","~~"),"*","~*"),"?","~?"),'DEF_SELF_SCOUT_IMPORT'!$Q$42:$Q$1040,SUBSTITUTE(SUBSTITUTE(SUBSTITUTE($M333,"~","~~"),"*","~*"),"?","~?"),'DEF_SELF_SCOUT_IMPORT'!$F$42:$F$1040,SUBSTITUTE(SUBSTITUTE(SUBSTITUTE($N333,"~","~~"),"*","~*"),"?","~?"),'DEF_SELF_SCOUT_IMPORT'!$H$42:$H$1040,"RUSH")/$C333)</f>
        <v>0.0</v>
      </c>
      <c r="H333" s="10">
        <f>IF($C333=0,"",COUNTIFS('DEF_SELF_SCOUT_IMPORT'!$L$42:$L$1040,"Y",'DEF_SELF_SCOUT_IMPORT'!$E$42:$E$1040,SUBSTITUTE(SUBSTITUTE(SUBSTITUTE($B333,"~","~~"),"*","~*"),"?","~?"),'DEF_SELF_SCOUT_IMPORT'!$Q$42:$Q$1040,SUBSTITUTE(SUBSTITUTE(SUBSTITUTE($M333,"~","~~"),"*","~*"),"?","~?"),'DEF_SELF_SCOUT_IMPORT'!$F$42:$F$1040,SUBSTITUTE(SUBSTITUTE(SUBSTITUTE($N333,"~","~~"),"*","~*"),"?","~?"),'DEF_SELF_SCOUT_IMPORT'!$H$42:$H$1040,"DROPBACK")/$C333)</f>
        <v>1.0</v>
      </c>
      <c r="I333" s="14" t="str">
        <f>IF(C333=0,"",IF(C333&lt;=2,"TRACK",IF(C333=3,"LOW",IF(C333&lt;=6,"MEDIUM","HIGH"))))</f>
        <v>TRACK</v>
      </c>
      <c r="J333" s="11">
        <f>IF(C333=0,"",ROUND(D333*70+(1-E333)*20+MAX(0,MIN(1,(10-F333)/10))*10,1))</f>
        <v>0.0</v>
      </c>
      <c r="K333" s="14" t="str">
        <f>IF(C333=0,"No Evidence",IF(C333&lt;=2,IF(E333&gt;0,"Explosive Alert","Track Only"),IF(C333=3,"Sample Watch",IF(E333&gt;=START_HERE!$B$31,"Explosive Alert",IF(J333&gt;=80,"Strong Candidate",IF(J333&gt;=65,"Good Candidate",IF(J333&gt;=50,"Mixed / Review","Problem Call")))))))</f>
        <v>Explosive Alert</v>
      </c>
      <c r="L333" s="9" t="str">
        <f>IF(COUNTIFS('DEF_SELF_SCOUT_IMPORT'!$L$42:$L$1040,"Y",'DEF_SELF_SCOUT_IMPORT'!$E$42:$E$1040,SUBSTITUTE(SUBSTITUTE(SUBSTITUTE($B333,"~","~~"),"*","~*"),"?","~?"),'DEF_SELF_SCOUT_IMPORT'!$Q$42:$Q$1040,SUBSTITUTE(SUBSTITUTE(SUBSTITUTE($M333,"~","~~"),"*","~*"),"?","~?"),'DEF_SELF_SCOUT_IMPORT'!$F$42:$F$1040,SUBSTITUTE(SUBSTITUTE(SUBSTITUTE($N333,"~","~~"),"*","~*"),"?","~?"),'DEF_SELF_SCOUT_IMPORT'!$J$42:$J$1040,"")&gt;0,"Unscored clean outcome; review result tags before using score.",IF(C333=0,"No matching defensive reps; film confirmation needed.",IF(K333="Explosive Alert","Explosive risk; review clips before using as answer.",IF(C333&lt;=2,"Track only; not enough sample.",IF(C333=3,IF(E333&gt;0,"Sample watch with explosive exposure; review clips and build the sample.",IF(J333&gt;=65,"Good signal, but sample is limited.","Sample watch; review clips and build the sample.")),IF(K333="Problem Call","Problem area; practice or call-sheet review.",IF(K333="Strong Candidate","Strong call-fit candidate; confirm on film.",IF(K333="Good Candidate","Good call-fit signal; confirm on film.","Mixed signal; review fit and execution on film."))))))))</f>
        <v>Explosive risk; review clips before using as answer.</v>
      </c>
      <c r="M333" s="8" t="s">
        <v>107</v>
      </c>
      <c r="N333" s="8" t="s">
        <v>120</v>
      </c>
      <c r="O333" s="8"/>
      <c r="P333" s="8"/>
      <c r="Q333" s="8"/>
      <c r="R333" s="8" t="s">
        <v>28</v>
      </c>
      <c r="S333" s="2" t="s">
        <v>184</v>
      </c>
      <c r="T333" s="2">
        <f>IF(C333=0,0,IF(C333&gt;=CALL_LOOKUP_BOARD!$B$7,IF(OR(K333="Problem Call",K333="Explosive Alert"),10000000,20000000),0)+IF(C333&gt;=CALL_LOOKUP_BOARD!$B$7,J333*1000+MIN(C333,999),C333*1000+J333)+0.00985200)</f>
        <v>1000.009852</v>
      </c>
      <c r="U333" s="2">
        <f>IF(C333=0,"",IF(COUNTIFS($S$186:$S$367,SUBSTITUTE(SUBSTITUTE(SUBSTITUTE(S333,"~","~~"),"*","~*"),"?","~?"),$T$186:$T$367,"&gt;"&amp;T333)=0,S333,""))</f>
        <v/>
      </c>
    </row>
    <row r="334" spans="1:21" ht="38" customHeight="1">
      <c r="A334" s="8" t="s">
        <v>183</v>
      </c>
      <c r="B334" s="8" t="s">
        <v>99</v>
      </c>
      <c r="C334" s="12">
        <f>COUNTIFS('DEF_SELF_SCOUT_IMPORT'!$L$42:$L$1040,"Y",'DEF_SELF_SCOUT_IMPORT'!$E$42:$E$1040,SUBSTITUTE(SUBSTITUTE(SUBSTITUTE($B334,"~","~~"),"*","~*"),"?","~?"),'DEF_SELF_SCOUT_IMPORT'!$Q$42:$Q$1040,SUBSTITUTE(SUBSTITUTE(SUBSTITUTE($M334,"~","~~"),"*","~*"),"?","~?"),'DEF_SELF_SCOUT_IMPORT'!$F$42:$F$1040,SUBSTITUTE(SUBSTITUTE(SUBSTITUTE($N334,"~","~~"),"*","~*"),"?","~?"))</f>
        <v>1</v>
      </c>
      <c r="D334" s="10">
        <f>IF($C334=0,"",SUMIFS('DEF_SELF_SCOUT_IMPORT'!$J$42:$J$1040,'DEF_SELF_SCOUT_IMPORT'!$L$42:$L$1040,"Y",'DEF_SELF_SCOUT_IMPORT'!$E$42:$E$1040,SUBSTITUTE(SUBSTITUTE(SUBSTITUTE($B334,"~","~~"),"*","~*"),"?","~?"),'DEF_SELF_SCOUT_IMPORT'!$Q$42:$Q$1040,SUBSTITUTE(SUBSTITUTE(SUBSTITUTE($M334,"~","~~"),"*","~*"),"?","~?"),'DEF_SELF_SCOUT_IMPORT'!$F$42:$F$1040,SUBSTITUTE(SUBSTITUTE(SUBSTITUTE($N334,"~","~~"),"*","~*"),"?","~?"))/$C334)</f>
        <v>0.0</v>
      </c>
      <c r="E334" s="10">
        <f>IF($C334=0,"",SUMIFS('DEF_SELF_SCOUT_IMPORT'!$K$42:$K$1040,'DEF_SELF_SCOUT_IMPORT'!$L$42:$L$1040,"Y",'DEF_SELF_SCOUT_IMPORT'!$E$42:$E$1040,SUBSTITUTE(SUBSTITUTE(SUBSTITUTE($B334,"~","~~"),"*","~*"),"?","~?"),'DEF_SELF_SCOUT_IMPORT'!$Q$42:$Q$1040,SUBSTITUTE(SUBSTITUTE(SUBSTITUTE($M334,"~","~~"),"*","~*"),"?","~?"),'DEF_SELF_SCOUT_IMPORT'!$F$42:$F$1040,SUBSTITUTE(SUBSTITUTE(SUBSTITUTE($N334,"~","~~"),"*","~*"),"?","~?"))/$C334)</f>
        <v>0.0</v>
      </c>
      <c r="F334" s="11">
        <f>IF($C334=0,"",AVERAGEIFS('DEF_SELF_SCOUT_IMPORT'!$I$42:$I$1040,'DEF_SELF_SCOUT_IMPORT'!$L$42:$L$1040,"Y",'DEF_SELF_SCOUT_IMPORT'!$E$42:$E$1040,SUBSTITUTE(SUBSTITUTE(SUBSTITUTE($B334,"~","~~"),"*","~*"),"?","~?"),'DEF_SELF_SCOUT_IMPORT'!$Q$42:$Q$1040,SUBSTITUTE(SUBSTITUTE(SUBSTITUTE($M334,"~","~~"),"*","~*"),"?","~?"),'DEF_SELF_SCOUT_IMPORT'!$F$42:$F$1040,SUBSTITUTE(SUBSTITUTE(SUBSTITUTE($N334,"~","~~"),"*","~*"),"?","~?")))</f>
        <v>12.0</v>
      </c>
      <c r="G334" s="10">
        <f>IF($C334=0,"",COUNTIFS('DEF_SELF_SCOUT_IMPORT'!$L$42:$L$1040,"Y",'DEF_SELF_SCOUT_IMPORT'!$E$42:$E$1040,SUBSTITUTE(SUBSTITUTE(SUBSTITUTE($B334,"~","~~"),"*","~*"),"?","~?"),'DEF_SELF_SCOUT_IMPORT'!$Q$42:$Q$1040,SUBSTITUTE(SUBSTITUTE(SUBSTITUTE($M334,"~","~~"),"*","~*"),"?","~?"),'DEF_SELF_SCOUT_IMPORT'!$F$42:$F$1040,SUBSTITUTE(SUBSTITUTE(SUBSTITUTE($N334,"~","~~"),"*","~*"),"?","~?"),'DEF_SELF_SCOUT_IMPORT'!$H$42:$H$1040,"RUSH")/$C334)</f>
        <v>0.0</v>
      </c>
      <c r="H334" s="10">
        <f>IF($C334=0,"",COUNTIFS('DEF_SELF_SCOUT_IMPORT'!$L$42:$L$1040,"Y",'DEF_SELF_SCOUT_IMPORT'!$E$42:$E$1040,SUBSTITUTE(SUBSTITUTE(SUBSTITUTE($B334,"~","~~"),"*","~*"),"?","~?"),'DEF_SELF_SCOUT_IMPORT'!$Q$42:$Q$1040,SUBSTITUTE(SUBSTITUTE(SUBSTITUTE($M334,"~","~~"),"*","~*"),"?","~?"),'DEF_SELF_SCOUT_IMPORT'!$F$42:$F$1040,SUBSTITUTE(SUBSTITUTE(SUBSTITUTE($N334,"~","~~"),"*","~*"),"?","~?"),'DEF_SELF_SCOUT_IMPORT'!$H$42:$H$1040,"DROPBACK")/$C334)</f>
        <v>1.0</v>
      </c>
      <c r="I334" s="14" t="str">
        <f>IF(C334=0,"",IF(C334&lt;=2,"TRACK",IF(C334=3,"LOW",IF(C334&lt;=6,"MEDIUM","HIGH"))))</f>
        <v>TRACK</v>
      </c>
      <c r="J334" s="11">
        <f>IF(C334=0,"",ROUND(D334*70+(1-E334)*20+MAX(0,MIN(1,(10-F334)/10))*10,1))</f>
        <v>20.0</v>
      </c>
      <c r="K334" s="14" t="str">
        <f>IF(C334=0,"No Evidence",IF(C334&lt;=2,IF(E334&gt;0,"Explosive Alert","Track Only"),IF(C334=3,"Sample Watch",IF(E334&gt;=START_HERE!$B$31,"Explosive Alert",IF(J334&gt;=80,"Strong Candidate",IF(J334&gt;=65,"Good Candidate",IF(J334&gt;=50,"Mixed / Review","Problem Call")))))))</f>
        <v>Track Only</v>
      </c>
      <c r="L334" s="9" t="str">
        <f>IF(COUNTIFS('DEF_SELF_SCOUT_IMPORT'!$L$42:$L$1040,"Y",'DEF_SELF_SCOUT_IMPORT'!$E$42:$E$1040,SUBSTITUTE(SUBSTITUTE(SUBSTITUTE($B334,"~","~~"),"*","~*"),"?","~?"),'DEF_SELF_SCOUT_IMPORT'!$Q$42:$Q$1040,SUBSTITUTE(SUBSTITUTE(SUBSTITUTE($M334,"~","~~"),"*","~*"),"?","~?"),'DEF_SELF_SCOUT_IMPORT'!$F$42:$F$1040,SUBSTITUTE(SUBSTITUTE(SUBSTITUTE($N334,"~","~~"),"*","~*"),"?","~?"),'DEF_SELF_SCOUT_IMPORT'!$J$42:$J$1040,"")&gt;0,"Unscored clean outcome; review result tags before using score.",IF(C334=0,"No matching defensive reps; film confirmation needed.",IF(K334="Explosive Alert","Explosive risk; review clips before using as answer.",IF(C334&lt;=2,"Track only; not enough sample.",IF(C334=3,IF(E334&gt;0,"Sample watch with explosive exposure; review clips and build the sample.",IF(J334&gt;=65,"Good signal, but sample is limited.","Sample watch; review clips and build the sample.")),IF(K334="Problem Call","Problem area; practice or call-sheet review.",IF(K334="Strong Candidate","Strong call-fit candidate; confirm on film.",IF(K334="Good Candidate","Good call-fit signal; confirm on film.","Mixed signal; review fit and execution on film."))))))))</f>
        <v>Track only; not enough sample.</v>
      </c>
      <c r="M334" s="8" t="s">
        <v>107</v>
      </c>
      <c r="N334" s="8" t="s">
        <v>120</v>
      </c>
      <c r="O334" s="8"/>
      <c r="P334" s="8"/>
      <c r="Q334" s="8"/>
      <c r="R334" s="8" t="s">
        <v>28</v>
      </c>
      <c r="S334" s="2" t="s">
        <v>184</v>
      </c>
      <c r="T334" s="2">
        <f>IF(C334=0,0,IF(C334&gt;=CALL_LOOKUP_BOARD!$B$7,IF(OR(K334="Problem Call",K334="Explosive Alert"),10000000,20000000),0)+IF(C334&gt;=CALL_LOOKUP_BOARD!$B$7,J334*1000+MIN(C334,999),C334*1000+J334)+0.00985100)</f>
        <v>1020.009851</v>
      </c>
      <c r="U334" s="2">
        <f>IF(C334=0,"",IF(COUNTIFS($S$186:$S$367,SUBSTITUTE(SUBSTITUTE(SUBSTITUTE(S334,"~","~~"),"*","~*"),"?","~?"),$T$186:$T$367,"&gt;"&amp;T334)=0,S334,""))</f>
        <v/>
      </c>
    </row>
    <row r="335" spans="1:21" ht="38" customHeight="1">
      <c r="A335" s="8" t="s">
        <v>183</v>
      </c>
      <c r="B335" s="8" t="s">
        <v>110</v>
      </c>
      <c r="C335" s="12">
        <f>COUNTIFS('DEF_SELF_SCOUT_IMPORT'!$L$42:$L$1040,"Y",'DEF_SELF_SCOUT_IMPORT'!$E$42:$E$1040,SUBSTITUTE(SUBSTITUTE(SUBSTITUTE($B335,"~","~~"),"*","~*"),"?","~?"),'DEF_SELF_SCOUT_IMPORT'!$Q$42:$Q$1040,SUBSTITUTE(SUBSTITUTE(SUBSTITUTE($M335,"~","~~"),"*","~*"),"?","~?"),'DEF_SELF_SCOUT_IMPORT'!$F$42:$F$1040,SUBSTITUTE(SUBSTITUTE(SUBSTITUTE($N335,"~","~~"),"*","~*"),"?","~?"))</f>
        <v>1</v>
      </c>
      <c r="D335" s="10">
        <f>IF($C335=0,"",SUMIFS('DEF_SELF_SCOUT_IMPORT'!$J$42:$J$1040,'DEF_SELF_SCOUT_IMPORT'!$L$42:$L$1040,"Y",'DEF_SELF_SCOUT_IMPORT'!$E$42:$E$1040,SUBSTITUTE(SUBSTITUTE(SUBSTITUTE($B335,"~","~~"),"*","~*"),"?","~?"),'DEF_SELF_SCOUT_IMPORT'!$Q$42:$Q$1040,SUBSTITUTE(SUBSTITUTE(SUBSTITUTE($M335,"~","~~"),"*","~*"),"?","~?"),'DEF_SELF_SCOUT_IMPORT'!$F$42:$F$1040,SUBSTITUTE(SUBSTITUTE(SUBSTITUTE($N335,"~","~~"),"*","~*"),"?","~?"))/$C335)</f>
        <v>0.0</v>
      </c>
      <c r="E335" s="10">
        <f>IF($C335=0,"",SUMIFS('DEF_SELF_SCOUT_IMPORT'!$K$42:$K$1040,'DEF_SELF_SCOUT_IMPORT'!$L$42:$L$1040,"Y",'DEF_SELF_SCOUT_IMPORT'!$E$42:$E$1040,SUBSTITUTE(SUBSTITUTE(SUBSTITUTE($B335,"~","~~"),"*","~*"),"?","~?"),'DEF_SELF_SCOUT_IMPORT'!$Q$42:$Q$1040,SUBSTITUTE(SUBSTITUTE(SUBSTITUTE($M335,"~","~~"),"*","~*"),"?","~?"),'DEF_SELF_SCOUT_IMPORT'!$F$42:$F$1040,SUBSTITUTE(SUBSTITUTE(SUBSTITUTE($N335,"~","~~"),"*","~*"),"?","~?"))/$C335)</f>
        <v>1.0</v>
      </c>
      <c r="F335" s="11">
        <f>IF($C335=0,"",AVERAGEIFS('DEF_SELF_SCOUT_IMPORT'!$I$42:$I$1040,'DEF_SELF_SCOUT_IMPORT'!$L$42:$L$1040,"Y",'DEF_SELF_SCOUT_IMPORT'!$E$42:$E$1040,SUBSTITUTE(SUBSTITUTE(SUBSTITUTE($B335,"~","~~"),"*","~*"),"?","~?"),'DEF_SELF_SCOUT_IMPORT'!$Q$42:$Q$1040,SUBSTITUTE(SUBSTITUTE(SUBSTITUTE($M335,"~","~~"),"*","~*"),"?","~?"),'DEF_SELF_SCOUT_IMPORT'!$F$42:$F$1040,SUBSTITUTE(SUBSTITUTE(SUBSTITUTE($N335,"~","~~"),"*","~*"),"?","~?")))</f>
        <v>19.0</v>
      </c>
      <c r="G335" s="10">
        <f>IF($C335=0,"",COUNTIFS('DEF_SELF_SCOUT_IMPORT'!$L$42:$L$1040,"Y",'DEF_SELF_SCOUT_IMPORT'!$E$42:$E$1040,SUBSTITUTE(SUBSTITUTE(SUBSTITUTE($B335,"~","~~"),"*","~*"),"?","~?"),'DEF_SELF_SCOUT_IMPORT'!$Q$42:$Q$1040,SUBSTITUTE(SUBSTITUTE(SUBSTITUTE($M335,"~","~~"),"*","~*"),"?","~?"),'DEF_SELF_SCOUT_IMPORT'!$F$42:$F$1040,SUBSTITUTE(SUBSTITUTE(SUBSTITUTE($N335,"~","~~"),"*","~*"),"?","~?"),'DEF_SELF_SCOUT_IMPORT'!$H$42:$H$1040,"RUSH")/$C335)</f>
        <v>0.0</v>
      </c>
      <c r="H335" s="10">
        <f>IF($C335=0,"",COUNTIFS('DEF_SELF_SCOUT_IMPORT'!$L$42:$L$1040,"Y",'DEF_SELF_SCOUT_IMPORT'!$E$42:$E$1040,SUBSTITUTE(SUBSTITUTE(SUBSTITUTE($B335,"~","~~"),"*","~*"),"?","~?"),'DEF_SELF_SCOUT_IMPORT'!$Q$42:$Q$1040,SUBSTITUTE(SUBSTITUTE(SUBSTITUTE($M335,"~","~~"),"*","~*"),"?","~?"),'DEF_SELF_SCOUT_IMPORT'!$F$42:$F$1040,SUBSTITUTE(SUBSTITUTE(SUBSTITUTE($N335,"~","~~"),"*","~*"),"?","~?"),'DEF_SELF_SCOUT_IMPORT'!$H$42:$H$1040,"DROPBACK")/$C335)</f>
        <v>1.0</v>
      </c>
      <c r="I335" s="14" t="str">
        <f>IF(C335=0,"",IF(C335&lt;=2,"TRACK",IF(C335=3,"LOW",IF(C335&lt;=6,"MEDIUM","HIGH"))))</f>
        <v>TRACK</v>
      </c>
      <c r="J335" s="11">
        <f>IF(C335=0,"",ROUND(D335*70+(1-E335)*20+MAX(0,MIN(1,(10-F335)/10))*10,1))</f>
        <v>0.0</v>
      </c>
      <c r="K335" s="14" t="str">
        <f>IF(C335=0,"No Evidence",IF(C335&lt;=2,IF(E335&gt;0,"Explosive Alert","Track Only"),IF(C335=3,"Sample Watch",IF(E335&gt;=START_HERE!$B$31,"Explosive Alert",IF(J335&gt;=80,"Strong Candidate",IF(J335&gt;=65,"Good Candidate",IF(J335&gt;=50,"Mixed / Review","Problem Call")))))))</f>
        <v>Explosive Alert</v>
      </c>
      <c r="L335" s="9" t="str">
        <f>IF(COUNTIFS('DEF_SELF_SCOUT_IMPORT'!$L$42:$L$1040,"Y",'DEF_SELF_SCOUT_IMPORT'!$E$42:$E$1040,SUBSTITUTE(SUBSTITUTE(SUBSTITUTE($B335,"~","~~"),"*","~*"),"?","~?"),'DEF_SELF_SCOUT_IMPORT'!$Q$42:$Q$1040,SUBSTITUTE(SUBSTITUTE(SUBSTITUTE($M335,"~","~~"),"*","~*"),"?","~?"),'DEF_SELF_SCOUT_IMPORT'!$F$42:$F$1040,SUBSTITUTE(SUBSTITUTE(SUBSTITUTE($N335,"~","~~"),"*","~*"),"?","~?"),'DEF_SELF_SCOUT_IMPORT'!$J$42:$J$1040,"")&gt;0,"Unscored clean outcome; review result tags before using score.",IF(C335=0,"No matching defensive reps; film confirmation needed.",IF(K335="Explosive Alert","Explosive risk; review clips before using as answer.",IF(C335&lt;=2,"Track only; not enough sample.",IF(C335=3,IF(E335&gt;0,"Sample watch with explosive exposure; review clips and build the sample.",IF(J335&gt;=65,"Good signal, but sample is limited.","Sample watch; review clips and build the sample.")),IF(K335="Problem Call","Problem area; practice or call-sheet review.",IF(K335="Strong Candidate","Strong call-fit candidate; confirm on film.",IF(K335="Good Candidate","Good call-fit signal; confirm on film.","Mixed signal; review fit and execution on film."))))))))</f>
        <v>Explosive risk; review clips before using as answer.</v>
      </c>
      <c r="M335" s="8" t="s">
        <v>107</v>
      </c>
      <c r="N335" s="8" t="s">
        <v>120</v>
      </c>
      <c r="O335" s="8"/>
      <c r="P335" s="8"/>
      <c r="Q335" s="8"/>
      <c r="R335" s="8" t="s">
        <v>28</v>
      </c>
      <c r="S335" s="2" t="s">
        <v>184</v>
      </c>
      <c r="T335" s="2">
        <f>IF(C335=0,0,IF(C335&gt;=CALL_LOOKUP_BOARD!$B$7,IF(OR(K335="Problem Call",K335="Explosive Alert"),10000000,20000000),0)+IF(C335&gt;=CALL_LOOKUP_BOARD!$B$7,J335*1000+MIN(C335,999),C335*1000+J335)+0.00985000)</f>
        <v>1000.00985</v>
      </c>
      <c r="U335" s="2">
        <f>IF(C335=0,"",IF(COUNTIFS($S$186:$S$367,SUBSTITUTE(SUBSTITUTE(SUBSTITUTE(S335,"~","~~"),"*","~*"),"?","~?"),$T$186:$T$367,"&gt;"&amp;T335)=0,S335,""))</f>
        <v/>
      </c>
    </row>
    <row r="336" spans="1:21" ht="38" customHeight="1">
      <c r="A336" s="8" t="s">
        <v>183</v>
      </c>
      <c r="B336" s="8" t="s">
        <v>61</v>
      </c>
      <c r="C336" s="12">
        <f>COUNTIFS('DEF_SELF_SCOUT_IMPORT'!$L$42:$L$1040,"Y",'DEF_SELF_SCOUT_IMPORT'!$E$42:$E$1040,SUBSTITUTE(SUBSTITUTE(SUBSTITUTE($B336,"~","~~"),"*","~*"),"?","~?"),'DEF_SELF_SCOUT_IMPORT'!$Q$42:$Q$1040,SUBSTITUTE(SUBSTITUTE(SUBSTITUTE($M336,"~","~~"),"*","~*"),"?","~?"),'DEF_SELF_SCOUT_IMPORT'!$F$42:$F$1040,SUBSTITUTE(SUBSTITUTE(SUBSTITUTE($N336,"~","~~"),"*","~*"),"?","~?"))</f>
        <v>1</v>
      </c>
      <c r="D336" s="10">
        <f>IF($C336=0,"",SUMIFS('DEF_SELF_SCOUT_IMPORT'!$J$42:$J$1040,'DEF_SELF_SCOUT_IMPORT'!$L$42:$L$1040,"Y",'DEF_SELF_SCOUT_IMPORT'!$E$42:$E$1040,SUBSTITUTE(SUBSTITUTE(SUBSTITUTE($B336,"~","~~"),"*","~*"),"?","~?"),'DEF_SELF_SCOUT_IMPORT'!$Q$42:$Q$1040,SUBSTITUTE(SUBSTITUTE(SUBSTITUTE($M336,"~","~~"),"*","~*"),"?","~?"),'DEF_SELF_SCOUT_IMPORT'!$F$42:$F$1040,SUBSTITUTE(SUBSTITUTE(SUBSTITUTE($N336,"~","~~"),"*","~*"),"?","~?"))/$C336)</f>
        <v>0.0</v>
      </c>
      <c r="E336" s="10">
        <f>IF($C336=0,"",SUMIFS('DEF_SELF_SCOUT_IMPORT'!$K$42:$K$1040,'DEF_SELF_SCOUT_IMPORT'!$L$42:$L$1040,"Y",'DEF_SELF_SCOUT_IMPORT'!$E$42:$E$1040,SUBSTITUTE(SUBSTITUTE(SUBSTITUTE($B336,"~","~~"),"*","~*"),"?","~?"),'DEF_SELF_SCOUT_IMPORT'!$Q$42:$Q$1040,SUBSTITUTE(SUBSTITUTE(SUBSTITUTE($M336,"~","~~"),"*","~*"),"?","~?"),'DEF_SELF_SCOUT_IMPORT'!$F$42:$F$1040,SUBSTITUTE(SUBSTITUTE(SUBSTITUTE($N336,"~","~~"),"*","~*"),"?","~?"))/$C336)</f>
        <v>0.0</v>
      </c>
      <c r="F336" s="11">
        <f>IF($C336=0,"",AVERAGEIFS('DEF_SELF_SCOUT_IMPORT'!$I$42:$I$1040,'DEF_SELF_SCOUT_IMPORT'!$L$42:$L$1040,"Y",'DEF_SELF_SCOUT_IMPORT'!$E$42:$E$1040,SUBSTITUTE(SUBSTITUTE(SUBSTITUTE($B336,"~","~~"),"*","~*"),"?","~?"),'DEF_SELF_SCOUT_IMPORT'!$Q$42:$Q$1040,SUBSTITUTE(SUBSTITUTE(SUBSTITUTE($M336,"~","~~"),"*","~*"),"?","~?"),'DEF_SELF_SCOUT_IMPORT'!$F$42:$F$1040,SUBSTITUTE(SUBSTITUTE(SUBSTITUTE($N336,"~","~~"),"*","~*"),"?","~?")))</f>
        <v>13.0</v>
      </c>
      <c r="G336" s="10">
        <f>IF($C336=0,"",COUNTIFS('DEF_SELF_SCOUT_IMPORT'!$L$42:$L$1040,"Y",'DEF_SELF_SCOUT_IMPORT'!$E$42:$E$1040,SUBSTITUTE(SUBSTITUTE(SUBSTITUTE($B336,"~","~~"),"*","~*"),"?","~?"),'DEF_SELF_SCOUT_IMPORT'!$Q$42:$Q$1040,SUBSTITUTE(SUBSTITUTE(SUBSTITUTE($M336,"~","~~"),"*","~*"),"?","~?"),'DEF_SELF_SCOUT_IMPORT'!$F$42:$F$1040,SUBSTITUTE(SUBSTITUTE(SUBSTITUTE($N336,"~","~~"),"*","~*"),"?","~?"),'DEF_SELF_SCOUT_IMPORT'!$H$42:$H$1040,"RUSH")/$C336)</f>
        <v>0.0</v>
      </c>
      <c r="H336" s="10">
        <f>IF($C336=0,"",COUNTIFS('DEF_SELF_SCOUT_IMPORT'!$L$42:$L$1040,"Y",'DEF_SELF_SCOUT_IMPORT'!$E$42:$E$1040,SUBSTITUTE(SUBSTITUTE(SUBSTITUTE($B336,"~","~~"),"*","~*"),"?","~?"),'DEF_SELF_SCOUT_IMPORT'!$Q$42:$Q$1040,SUBSTITUTE(SUBSTITUTE(SUBSTITUTE($M336,"~","~~"),"*","~*"),"?","~?"),'DEF_SELF_SCOUT_IMPORT'!$F$42:$F$1040,SUBSTITUTE(SUBSTITUTE(SUBSTITUTE($N336,"~","~~"),"*","~*"),"?","~?"),'DEF_SELF_SCOUT_IMPORT'!$H$42:$H$1040,"DROPBACK")/$C336)</f>
        <v>1.0</v>
      </c>
      <c r="I336" s="14" t="str">
        <f>IF(C336=0,"",IF(C336&lt;=2,"TRACK",IF(C336=3,"LOW",IF(C336&lt;=6,"MEDIUM","HIGH"))))</f>
        <v>TRACK</v>
      </c>
      <c r="J336" s="11">
        <f>IF(C336=0,"",ROUND(D336*70+(1-E336)*20+MAX(0,MIN(1,(10-F336)/10))*10,1))</f>
        <v>20.0</v>
      </c>
      <c r="K336" s="14" t="str">
        <f>IF(C336=0,"No Evidence",IF(C336&lt;=2,IF(E336&gt;0,"Explosive Alert","Track Only"),IF(C336=3,"Sample Watch",IF(E336&gt;=START_HERE!$B$31,"Explosive Alert",IF(J336&gt;=80,"Strong Candidate",IF(J336&gt;=65,"Good Candidate",IF(J336&gt;=50,"Mixed / Review","Problem Call")))))))</f>
        <v>Track Only</v>
      </c>
      <c r="L336" s="9" t="str">
        <f>IF(COUNTIFS('DEF_SELF_SCOUT_IMPORT'!$L$42:$L$1040,"Y",'DEF_SELF_SCOUT_IMPORT'!$E$42:$E$1040,SUBSTITUTE(SUBSTITUTE(SUBSTITUTE($B336,"~","~~"),"*","~*"),"?","~?"),'DEF_SELF_SCOUT_IMPORT'!$Q$42:$Q$1040,SUBSTITUTE(SUBSTITUTE(SUBSTITUTE($M336,"~","~~"),"*","~*"),"?","~?"),'DEF_SELF_SCOUT_IMPORT'!$F$42:$F$1040,SUBSTITUTE(SUBSTITUTE(SUBSTITUTE($N336,"~","~~"),"*","~*"),"?","~?"),'DEF_SELF_SCOUT_IMPORT'!$J$42:$J$1040,"")&gt;0,"Unscored clean outcome; review result tags before using score.",IF(C336=0,"No matching defensive reps; film confirmation needed.",IF(K336="Explosive Alert","Explosive risk; review clips before using as answer.",IF(C336&lt;=2,"Track only; not enough sample.",IF(C336=3,IF(E336&gt;0,"Sample watch with explosive exposure; review clips and build the sample.",IF(J336&gt;=65,"Good signal, but sample is limited.","Sample watch; review clips and build the sample.")),IF(K336="Problem Call","Problem area; practice or call-sheet review.",IF(K336="Strong Candidate","Strong call-fit candidate; confirm on film.",IF(K336="Good Candidate","Good call-fit signal; confirm on film.","Mixed signal; review fit and execution on film."))))))))</f>
        <v>Track only; not enough sample.</v>
      </c>
      <c r="M336" s="8" t="s">
        <v>107</v>
      </c>
      <c r="N336" s="8" t="s">
        <v>120</v>
      </c>
      <c r="O336" s="8"/>
      <c r="P336" s="8"/>
      <c r="Q336" s="8"/>
      <c r="R336" s="8" t="s">
        <v>28</v>
      </c>
      <c r="S336" s="2" t="s">
        <v>184</v>
      </c>
      <c r="T336" s="2">
        <f>IF(C336=0,0,IF(C336&gt;=CALL_LOOKUP_BOARD!$B$7,IF(OR(K336="Problem Call",K336="Explosive Alert"),10000000,20000000),0)+IF(C336&gt;=CALL_LOOKUP_BOARD!$B$7,J336*1000+MIN(C336,999),C336*1000+J336)+0.00984900)</f>
        <v>1020.009849</v>
      </c>
      <c r="U336" s="2">
        <f>IF(C336=0,"",IF(COUNTIFS($S$186:$S$367,SUBSTITUTE(SUBSTITUTE(SUBSTITUTE(S336,"~","~~"),"*","~*"),"?","~?"),$T$186:$T$367,"&gt;"&amp;T336)=0,S336,""))</f>
        <v/>
      </c>
    </row>
    <row r="337" spans="1:21" ht="38" customHeight="1">
      <c r="A337" s="8" t="s">
        <v>183</v>
      </c>
      <c r="B337" s="8" t="s">
        <v>102</v>
      </c>
      <c r="C337" s="12">
        <f>COUNTIFS('DEF_SELF_SCOUT_IMPORT'!$L$42:$L$1040,"Y",'DEF_SELF_SCOUT_IMPORT'!$E$42:$E$1040,SUBSTITUTE(SUBSTITUTE(SUBSTITUTE($B337,"~","~~"),"*","~*"),"?","~?"),'DEF_SELF_SCOUT_IMPORT'!$Q$42:$Q$1040,SUBSTITUTE(SUBSTITUTE(SUBSTITUTE($M337,"~","~~"),"*","~*"),"?","~?"),'DEF_SELF_SCOUT_IMPORT'!$F$42:$F$1040,SUBSTITUTE(SUBSTITUTE(SUBSTITUTE($N337,"~","~~"),"*","~*"),"?","~?"))</f>
        <v>2</v>
      </c>
      <c r="D337" s="10">
        <f>IF($C337=0,"",SUMIFS('DEF_SELF_SCOUT_IMPORT'!$J$42:$J$1040,'DEF_SELF_SCOUT_IMPORT'!$L$42:$L$1040,"Y",'DEF_SELF_SCOUT_IMPORT'!$E$42:$E$1040,SUBSTITUTE(SUBSTITUTE(SUBSTITUTE($B337,"~","~~"),"*","~*"),"?","~?"),'DEF_SELF_SCOUT_IMPORT'!$Q$42:$Q$1040,SUBSTITUTE(SUBSTITUTE(SUBSTITUTE($M337,"~","~~"),"*","~*"),"?","~?"),'DEF_SELF_SCOUT_IMPORT'!$F$42:$F$1040,SUBSTITUTE(SUBSTITUTE(SUBSTITUTE($N337,"~","~~"),"*","~*"),"?","~?"))/$C337)</f>
        <v>1.0</v>
      </c>
      <c r="E337" s="10">
        <f>IF($C337=0,"",SUMIFS('DEF_SELF_SCOUT_IMPORT'!$K$42:$K$1040,'DEF_SELF_SCOUT_IMPORT'!$L$42:$L$1040,"Y",'DEF_SELF_SCOUT_IMPORT'!$E$42:$E$1040,SUBSTITUTE(SUBSTITUTE(SUBSTITUTE($B337,"~","~~"),"*","~*"),"?","~?"),'DEF_SELF_SCOUT_IMPORT'!$Q$42:$Q$1040,SUBSTITUTE(SUBSTITUTE(SUBSTITUTE($M337,"~","~~"),"*","~*"),"?","~?"),'DEF_SELF_SCOUT_IMPORT'!$F$42:$F$1040,SUBSTITUTE(SUBSTITUTE(SUBSTITUTE($N337,"~","~~"),"*","~*"),"?","~?"))/$C337)</f>
        <v>0.0</v>
      </c>
      <c r="F337" s="11">
        <f>IF($C337=0,"",AVERAGEIFS('DEF_SELF_SCOUT_IMPORT'!$I$42:$I$1040,'DEF_SELF_SCOUT_IMPORT'!$L$42:$L$1040,"Y",'DEF_SELF_SCOUT_IMPORT'!$E$42:$E$1040,SUBSTITUTE(SUBSTITUTE(SUBSTITUTE($B337,"~","~~"),"*","~*"),"?","~?"),'DEF_SELF_SCOUT_IMPORT'!$Q$42:$Q$1040,SUBSTITUTE(SUBSTITUTE(SUBSTITUTE($M337,"~","~~"),"*","~*"),"?","~?"),'DEF_SELF_SCOUT_IMPORT'!$F$42:$F$1040,SUBSTITUTE(SUBSTITUTE(SUBSTITUTE($N337,"~","~~"),"*","~*"),"?","~?")))</f>
        <v>4.0</v>
      </c>
      <c r="G337" s="10">
        <f>IF($C337=0,"",COUNTIFS('DEF_SELF_SCOUT_IMPORT'!$L$42:$L$1040,"Y",'DEF_SELF_SCOUT_IMPORT'!$E$42:$E$1040,SUBSTITUTE(SUBSTITUTE(SUBSTITUTE($B337,"~","~~"),"*","~*"),"?","~?"),'DEF_SELF_SCOUT_IMPORT'!$Q$42:$Q$1040,SUBSTITUTE(SUBSTITUTE(SUBSTITUTE($M337,"~","~~"),"*","~*"),"?","~?"),'DEF_SELF_SCOUT_IMPORT'!$F$42:$F$1040,SUBSTITUTE(SUBSTITUTE(SUBSTITUTE($N337,"~","~~"),"*","~*"),"?","~?"),'DEF_SELF_SCOUT_IMPORT'!$H$42:$H$1040,"RUSH")/$C337)</f>
        <v>0.5</v>
      </c>
      <c r="H337" s="10">
        <f>IF($C337=0,"",COUNTIFS('DEF_SELF_SCOUT_IMPORT'!$L$42:$L$1040,"Y",'DEF_SELF_SCOUT_IMPORT'!$E$42:$E$1040,SUBSTITUTE(SUBSTITUTE(SUBSTITUTE($B337,"~","~~"),"*","~*"),"?","~?"),'DEF_SELF_SCOUT_IMPORT'!$Q$42:$Q$1040,SUBSTITUTE(SUBSTITUTE(SUBSTITUTE($M337,"~","~~"),"*","~*"),"?","~?"),'DEF_SELF_SCOUT_IMPORT'!$F$42:$F$1040,SUBSTITUTE(SUBSTITUTE(SUBSTITUTE($N337,"~","~~"),"*","~*"),"?","~?"),'DEF_SELF_SCOUT_IMPORT'!$H$42:$H$1040,"DROPBACK")/$C337)</f>
        <v>0.5</v>
      </c>
      <c r="I337" s="14" t="str">
        <f>IF(C337=0,"",IF(C337&lt;=2,"TRACK",IF(C337=3,"LOW",IF(C337&lt;=6,"MEDIUM","HIGH"))))</f>
        <v>TRACK</v>
      </c>
      <c r="J337" s="11">
        <f>IF(C337=0,"",ROUND(D337*70+(1-E337)*20+MAX(0,MIN(1,(10-F337)/10))*10,1))</f>
        <v>96.0</v>
      </c>
      <c r="K337" s="14" t="str">
        <f>IF(C337=0,"No Evidence",IF(C337&lt;=2,IF(E337&gt;0,"Explosive Alert","Track Only"),IF(C337=3,"Sample Watch",IF(E337&gt;=START_HERE!$B$31,"Explosive Alert",IF(J337&gt;=80,"Strong Candidate",IF(J337&gt;=65,"Good Candidate",IF(J337&gt;=50,"Mixed / Review","Problem Call")))))))</f>
        <v>Track Only</v>
      </c>
      <c r="L337" s="9" t="str">
        <f>IF(COUNTIFS('DEF_SELF_SCOUT_IMPORT'!$L$42:$L$1040,"Y",'DEF_SELF_SCOUT_IMPORT'!$E$42:$E$1040,SUBSTITUTE(SUBSTITUTE(SUBSTITUTE($B337,"~","~~"),"*","~*"),"?","~?"),'DEF_SELF_SCOUT_IMPORT'!$Q$42:$Q$1040,SUBSTITUTE(SUBSTITUTE(SUBSTITUTE($M337,"~","~~"),"*","~*"),"?","~?"),'DEF_SELF_SCOUT_IMPORT'!$F$42:$F$1040,SUBSTITUTE(SUBSTITUTE(SUBSTITUTE($N337,"~","~~"),"*","~*"),"?","~?"),'DEF_SELF_SCOUT_IMPORT'!$J$42:$J$1040,"")&gt;0,"Unscored clean outcome; review result tags before using score.",IF(C337=0,"No matching defensive reps; film confirmation needed.",IF(K337="Explosive Alert","Explosive risk; review clips before using as answer.",IF(C337&lt;=2,"Track only; not enough sample.",IF(C337=3,IF(E337&gt;0,"Sample watch with explosive exposure; review clips and build the sample.",IF(J337&gt;=65,"Good signal, but sample is limited.","Sample watch; review clips and build the sample.")),IF(K337="Problem Call","Problem area; practice or call-sheet review.",IF(K337="Strong Candidate","Strong call-fit candidate; confirm on film.",IF(K337="Good Candidate","Good call-fit signal; confirm on film.","Mixed signal; review fit and execution on film."))))))))</f>
        <v>Track only; not enough sample.</v>
      </c>
      <c r="M337" s="8" t="s">
        <v>107</v>
      </c>
      <c r="N337" s="8" t="s">
        <v>120</v>
      </c>
      <c r="O337" s="8"/>
      <c r="P337" s="8"/>
      <c r="Q337" s="8"/>
      <c r="R337" s="8" t="s">
        <v>28</v>
      </c>
      <c r="S337" s="2" t="s">
        <v>184</v>
      </c>
      <c r="T337" s="2">
        <f>IF(C337=0,0,IF(C337&gt;=CALL_LOOKUP_BOARD!$B$7,IF(OR(K337="Problem Call",K337="Explosive Alert"),10000000,20000000),0)+IF(C337&gt;=CALL_LOOKUP_BOARD!$B$7,J337*1000+MIN(C337,999),C337*1000+J337)+0.00984800)</f>
        <v>2096.009848</v>
      </c>
      <c r="U337" s="2" t="str">
        <f>IF(C337=0,"",IF(COUNTIFS($S$186:$S$367,SUBSTITUTE(SUBSTITUTE(SUBSTITUTE(S337,"~","~~"),"*","~*"),"?","~?"),$T$186:$T$367,"&gt;"&amp;T337)=0,S337,""))</f>
        <v>7:3D 7-10|2:11|</v>
      </c>
    </row>
    <row r="338" spans="1:21" ht="38" customHeight="1">
      <c r="A338" s="8" t="s">
        <v>183</v>
      </c>
      <c r="B338" s="8" t="s">
        <v>91</v>
      </c>
      <c r="C338" s="12">
        <f>COUNTIFS('DEF_SELF_SCOUT_IMPORT'!$L$42:$L$1040,"Y",'DEF_SELF_SCOUT_IMPORT'!$E$42:$E$1040,SUBSTITUTE(SUBSTITUTE(SUBSTITUTE($B338,"~","~~"),"*","~*"),"?","~?"),'DEF_SELF_SCOUT_IMPORT'!$Q$42:$Q$1040,SUBSTITUTE(SUBSTITUTE(SUBSTITUTE($M338,"~","~~"),"*","~*"),"?","~?"),'DEF_SELF_SCOUT_IMPORT'!$F$42:$F$1040,SUBSTITUTE(SUBSTITUTE(SUBSTITUTE($N338,"~","~~"),"*","~*"),"?","~?"))</f>
        <v>1</v>
      </c>
      <c r="D338" s="10">
        <f>IF($C338=0,"",SUMIFS('DEF_SELF_SCOUT_IMPORT'!$J$42:$J$1040,'DEF_SELF_SCOUT_IMPORT'!$L$42:$L$1040,"Y",'DEF_SELF_SCOUT_IMPORT'!$E$42:$E$1040,SUBSTITUTE(SUBSTITUTE(SUBSTITUTE($B338,"~","~~"),"*","~*"),"?","~?"),'DEF_SELF_SCOUT_IMPORT'!$Q$42:$Q$1040,SUBSTITUTE(SUBSTITUTE(SUBSTITUTE($M338,"~","~~"),"*","~*"),"?","~?"),'DEF_SELF_SCOUT_IMPORT'!$F$42:$F$1040,SUBSTITUTE(SUBSTITUTE(SUBSTITUTE($N338,"~","~~"),"*","~*"),"?","~?"))/$C338)</f>
        <v>1.0</v>
      </c>
      <c r="E338" s="10">
        <f>IF($C338=0,"",SUMIFS('DEF_SELF_SCOUT_IMPORT'!$K$42:$K$1040,'DEF_SELF_SCOUT_IMPORT'!$L$42:$L$1040,"Y",'DEF_SELF_SCOUT_IMPORT'!$E$42:$E$1040,SUBSTITUTE(SUBSTITUTE(SUBSTITUTE($B338,"~","~~"),"*","~*"),"?","~?"),'DEF_SELF_SCOUT_IMPORT'!$Q$42:$Q$1040,SUBSTITUTE(SUBSTITUTE(SUBSTITUTE($M338,"~","~~"),"*","~*"),"?","~?"),'DEF_SELF_SCOUT_IMPORT'!$F$42:$F$1040,SUBSTITUTE(SUBSTITUTE(SUBSTITUTE($N338,"~","~~"),"*","~*"),"?","~?"))/$C338)</f>
        <v>0.0</v>
      </c>
      <c r="F338" s="11">
        <f>IF($C338=0,"",AVERAGEIFS('DEF_SELF_SCOUT_IMPORT'!$I$42:$I$1040,'DEF_SELF_SCOUT_IMPORT'!$L$42:$L$1040,"Y",'DEF_SELF_SCOUT_IMPORT'!$E$42:$E$1040,SUBSTITUTE(SUBSTITUTE(SUBSTITUTE($B338,"~","~~"),"*","~*"),"?","~?"),'DEF_SELF_SCOUT_IMPORT'!$Q$42:$Q$1040,SUBSTITUTE(SUBSTITUTE(SUBSTITUTE($M338,"~","~~"),"*","~*"),"?","~?"),'DEF_SELF_SCOUT_IMPORT'!$F$42:$F$1040,SUBSTITUTE(SUBSTITUTE(SUBSTITUTE($N338,"~","~~"),"*","~*"),"?","~?")))</f>
        <v>0.0</v>
      </c>
      <c r="G338" s="10">
        <f>IF($C338=0,"",COUNTIFS('DEF_SELF_SCOUT_IMPORT'!$L$42:$L$1040,"Y",'DEF_SELF_SCOUT_IMPORT'!$E$42:$E$1040,SUBSTITUTE(SUBSTITUTE(SUBSTITUTE($B338,"~","~~"),"*","~*"),"?","~?"),'DEF_SELF_SCOUT_IMPORT'!$Q$42:$Q$1040,SUBSTITUTE(SUBSTITUTE(SUBSTITUTE($M338,"~","~~"),"*","~*"),"?","~?"),'DEF_SELF_SCOUT_IMPORT'!$F$42:$F$1040,SUBSTITUTE(SUBSTITUTE(SUBSTITUTE($N338,"~","~~"),"*","~*"),"?","~?"),'DEF_SELF_SCOUT_IMPORT'!$H$42:$H$1040,"RUSH")/$C338)</f>
        <v>0.0</v>
      </c>
      <c r="H338" s="10">
        <f>IF($C338=0,"",COUNTIFS('DEF_SELF_SCOUT_IMPORT'!$L$42:$L$1040,"Y",'DEF_SELF_SCOUT_IMPORT'!$E$42:$E$1040,SUBSTITUTE(SUBSTITUTE(SUBSTITUTE($B338,"~","~~"),"*","~*"),"?","~?"),'DEF_SELF_SCOUT_IMPORT'!$Q$42:$Q$1040,SUBSTITUTE(SUBSTITUTE(SUBSTITUTE($M338,"~","~~"),"*","~*"),"?","~?"),'DEF_SELF_SCOUT_IMPORT'!$F$42:$F$1040,SUBSTITUTE(SUBSTITUTE(SUBSTITUTE($N338,"~","~~"),"*","~*"),"?","~?"),'DEF_SELF_SCOUT_IMPORT'!$H$42:$H$1040,"DROPBACK")/$C338)</f>
        <v>1.0</v>
      </c>
      <c r="I338" s="14" t="str">
        <f>IF(C338=0,"",IF(C338&lt;=2,"TRACK",IF(C338=3,"LOW",IF(C338&lt;=6,"MEDIUM","HIGH"))))</f>
        <v>TRACK</v>
      </c>
      <c r="J338" s="11">
        <f>IF(C338=0,"",ROUND(D338*70+(1-E338)*20+MAX(0,MIN(1,(10-F338)/10))*10,1))</f>
        <v>100.0</v>
      </c>
      <c r="K338" s="14" t="str">
        <f>IF(C338=0,"No Evidence",IF(C338&lt;=2,IF(E338&gt;0,"Explosive Alert","Track Only"),IF(C338=3,"Sample Watch",IF(E338&gt;=START_HERE!$B$31,"Explosive Alert",IF(J338&gt;=80,"Strong Candidate",IF(J338&gt;=65,"Good Candidate",IF(J338&gt;=50,"Mixed / Review","Problem Call")))))))</f>
        <v>Track Only</v>
      </c>
      <c r="L338" s="9" t="str">
        <f>IF(COUNTIFS('DEF_SELF_SCOUT_IMPORT'!$L$42:$L$1040,"Y",'DEF_SELF_SCOUT_IMPORT'!$E$42:$E$1040,SUBSTITUTE(SUBSTITUTE(SUBSTITUTE($B338,"~","~~"),"*","~*"),"?","~?"),'DEF_SELF_SCOUT_IMPORT'!$Q$42:$Q$1040,SUBSTITUTE(SUBSTITUTE(SUBSTITUTE($M338,"~","~~"),"*","~*"),"?","~?"),'DEF_SELF_SCOUT_IMPORT'!$F$42:$F$1040,SUBSTITUTE(SUBSTITUTE(SUBSTITUTE($N338,"~","~~"),"*","~*"),"?","~?"),'DEF_SELF_SCOUT_IMPORT'!$J$42:$J$1040,"")&gt;0,"Unscored clean outcome; review result tags before using score.",IF(C338=0,"No matching defensive reps; film confirmation needed.",IF(K338="Explosive Alert","Explosive risk; review clips before using as answer.",IF(C338&lt;=2,"Track only; not enough sample.",IF(C338=3,IF(E338&gt;0,"Sample watch with explosive exposure; review clips and build the sample.",IF(J338&gt;=65,"Good signal, but sample is limited.","Sample watch; review clips and build the sample.")),IF(K338="Problem Call","Problem area; practice or call-sheet review.",IF(K338="Strong Candidate","Strong call-fit candidate; confirm on film.",IF(K338="Good Candidate","Good call-fit signal; confirm on film.","Mixed signal; review fit and execution on film."))))))))</f>
        <v>Track only; not enough sample.</v>
      </c>
      <c r="M338" s="8" t="s">
        <v>107</v>
      </c>
      <c r="N338" s="8" t="s">
        <v>120</v>
      </c>
      <c r="O338" s="8"/>
      <c r="P338" s="8"/>
      <c r="Q338" s="8"/>
      <c r="R338" s="8" t="s">
        <v>28</v>
      </c>
      <c r="S338" s="2" t="s">
        <v>184</v>
      </c>
      <c r="T338" s="2">
        <f>IF(C338=0,0,IF(C338&gt;=CALL_LOOKUP_BOARD!$B$7,IF(OR(K338="Problem Call",K338="Explosive Alert"),10000000,20000000),0)+IF(C338&gt;=CALL_LOOKUP_BOARD!$B$7,J338*1000+MIN(C338,999),C338*1000+J338)+0.00984700)</f>
        <v>1100.009847</v>
      </c>
      <c r="U338" s="2">
        <f>IF(C338=0,"",IF(COUNTIFS($S$186:$S$367,SUBSTITUTE(SUBSTITUTE(SUBSTITUTE(S338,"~","~~"),"*","~*"),"?","~?"),$T$186:$T$367,"&gt;"&amp;T338)=0,S338,""))</f>
        <v/>
      </c>
    </row>
    <row r="339" spans="1:21" ht="38" customHeight="1">
      <c r="A339" s="8" t="s">
        <v>185</v>
      </c>
      <c r="B339" s="8" t="s">
        <v>35</v>
      </c>
      <c r="C339" s="12">
        <f>COUNTIFS('DEF_SELF_SCOUT_IMPORT'!$L$42:$L$1040,"Y",'DEF_SELF_SCOUT_IMPORT'!$E$42:$E$1040,SUBSTITUTE(SUBSTITUTE(SUBSTITUTE($B339,"~","~~"),"*","~*"),"?","~?"),'DEF_SELF_SCOUT_IMPORT'!$Q$42:$Q$1040,SUBSTITUTE(SUBSTITUTE(SUBSTITUTE($M339,"~","~~"),"*","~*"),"?","~?"),'DEF_SELF_SCOUT_IMPORT'!$F$42:$F$1040,SUBSTITUTE(SUBSTITUTE(SUBSTITUTE($N339,"~","~~"),"*","~*"),"?","~?"))</f>
        <v>1</v>
      </c>
      <c r="D339" s="10">
        <f>IF($C339=0,"",SUMIFS('DEF_SELF_SCOUT_IMPORT'!$J$42:$J$1040,'DEF_SELF_SCOUT_IMPORT'!$L$42:$L$1040,"Y",'DEF_SELF_SCOUT_IMPORT'!$E$42:$E$1040,SUBSTITUTE(SUBSTITUTE(SUBSTITUTE($B339,"~","~~"),"*","~*"),"?","~?"),'DEF_SELF_SCOUT_IMPORT'!$Q$42:$Q$1040,SUBSTITUTE(SUBSTITUTE(SUBSTITUTE($M339,"~","~~"),"*","~*"),"?","~?"),'DEF_SELF_SCOUT_IMPORT'!$F$42:$F$1040,SUBSTITUTE(SUBSTITUTE(SUBSTITUTE($N339,"~","~~"),"*","~*"),"?","~?"))/$C339)</f>
        <v>1.0</v>
      </c>
      <c r="E339" s="10">
        <f>IF($C339=0,"",SUMIFS('DEF_SELF_SCOUT_IMPORT'!$K$42:$K$1040,'DEF_SELF_SCOUT_IMPORT'!$L$42:$L$1040,"Y",'DEF_SELF_SCOUT_IMPORT'!$E$42:$E$1040,SUBSTITUTE(SUBSTITUTE(SUBSTITUTE($B339,"~","~~"),"*","~*"),"?","~?"),'DEF_SELF_SCOUT_IMPORT'!$Q$42:$Q$1040,SUBSTITUTE(SUBSTITUTE(SUBSTITUTE($M339,"~","~~"),"*","~*"),"?","~?"),'DEF_SELF_SCOUT_IMPORT'!$F$42:$F$1040,SUBSTITUTE(SUBSTITUTE(SUBSTITUTE($N339,"~","~~"),"*","~*"),"?","~?"))/$C339)</f>
        <v>0.0</v>
      </c>
      <c r="F339" s="11">
        <f>IF($C339=0,"",AVERAGEIFS('DEF_SELF_SCOUT_IMPORT'!$I$42:$I$1040,'DEF_SELF_SCOUT_IMPORT'!$L$42:$L$1040,"Y",'DEF_SELF_SCOUT_IMPORT'!$E$42:$E$1040,SUBSTITUTE(SUBSTITUTE(SUBSTITUTE($B339,"~","~~"),"*","~*"),"?","~?"),'DEF_SELF_SCOUT_IMPORT'!$Q$42:$Q$1040,SUBSTITUTE(SUBSTITUTE(SUBSTITUTE($M339,"~","~~"),"*","~*"),"?","~?"),'DEF_SELF_SCOUT_IMPORT'!$F$42:$F$1040,SUBSTITUTE(SUBSTITUTE(SUBSTITUTE($N339,"~","~~"),"*","~*"),"?","~?")))</f>
        <v>0.0</v>
      </c>
      <c r="G339" s="10">
        <f>IF($C339=0,"",COUNTIFS('DEF_SELF_SCOUT_IMPORT'!$L$42:$L$1040,"Y",'DEF_SELF_SCOUT_IMPORT'!$E$42:$E$1040,SUBSTITUTE(SUBSTITUTE(SUBSTITUTE($B339,"~","~~"),"*","~*"),"?","~?"),'DEF_SELF_SCOUT_IMPORT'!$Q$42:$Q$1040,SUBSTITUTE(SUBSTITUTE(SUBSTITUTE($M339,"~","~~"),"*","~*"),"?","~?"),'DEF_SELF_SCOUT_IMPORT'!$F$42:$F$1040,SUBSTITUTE(SUBSTITUTE(SUBSTITUTE($N339,"~","~~"),"*","~*"),"?","~?"),'DEF_SELF_SCOUT_IMPORT'!$H$42:$H$1040,"RUSH")/$C339)</f>
        <v>1.0</v>
      </c>
      <c r="H339" s="10">
        <f>IF($C339=0,"",COUNTIFS('DEF_SELF_SCOUT_IMPORT'!$L$42:$L$1040,"Y",'DEF_SELF_SCOUT_IMPORT'!$E$42:$E$1040,SUBSTITUTE(SUBSTITUTE(SUBSTITUTE($B339,"~","~~"),"*","~*"),"?","~?"),'DEF_SELF_SCOUT_IMPORT'!$Q$42:$Q$1040,SUBSTITUTE(SUBSTITUTE(SUBSTITUTE($M339,"~","~~"),"*","~*"),"?","~?"),'DEF_SELF_SCOUT_IMPORT'!$F$42:$F$1040,SUBSTITUTE(SUBSTITUTE(SUBSTITUTE($N339,"~","~~"),"*","~*"),"?","~?"),'DEF_SELF_SCOUT_IMPORT'!$H$42:$H$1040,"DROPBACK")/$C339)</f>
        <v>0.0</v>
      </c>
      <c r="I339" s="14" t="str">
        <f>IF(C339=0,"",IF(C339&lt;=2,"TRACK",IF(C339=3,"LOW",IF(C339&lt;=6,"MEDIUM","HIGH"))))</f>
        <v>TRACK</v>
      </c>
      <c r="J339" s="11">
        <f>IF(C339=0,"",ROUND(D339*70+(1-E339)*20+MAX(0,MIN(1,(10-F339)/10))*10,1))</f>
        <v>100.0</v>
      </c>
      <c r="K339" s="14" t="str">
        <f>IF(C339=0,"No Evidence",IF(C339&lt;=2,IF(E339&gt;0,"Explosive Alert","Track Only"),IF(C339=3,"Sample Watch",IF(E339&gt;=START_HERE!$B$31,"Explosive Alert",IF(J339&gt;=80,"Strong Candidate",IF(J339&gt;=65,"Good Candidate",IF(J339&gt;=50,"Mixed / Review","Problem Call")))))))</f>
        <v>Track Only</v>
      </c>
      <c r="L339" s="9" t="str">
        <f>IF(COUNTIFS('DEF_SELF_SCOUT_IMPORT'!$L$42:$L$1040,"Y",'DEF_SELF_SCOUT_IMPORT'!$E$42:$E$1040,SUBSTITUTE(SUBSTITUTE(SUBSTITUTE($B339,"~","~~"),"*","~*"),"?","~?"),'DEF_SELF_SCOUT_IMPORT'!$Q$42:$Q$1040,SUBSTITUTE(SUBSTITUTE(SUBSTITUTE($M339,"~","~~"),"*","~*"),"?","~?"),'DEF_SELF_SCOUT_IMPORT'!$F$42:$F$1040,SUBSTITUTE(SUBSTITUTE(SUBSTITUTE($N339,"~","~~"),"*","~*"),"?","~?"),'DEF_SELF_SCOUT_IMPORT'!$J$42:$J$1040,"")&gt;0,"Unscored clean outcome; review result tags before using score.",IF(C339=0,"No matching defensive reps; film confirmation needed.",IF(K339="Explosive Alert","Explosive risk; review clips before using as answer.",IF(C339&lt;=2,"Track only; not enough sample.",IF(C339=3,IF(E339&gt;0,"Sample watch with explosive exposure; review clips and build the sample.",IF(J339&gt;=65,"Good signal, but sample is limited.","Sample watch; review clips and build the sample.")),IF(K339="Problem Call","Problem area; practice or call-sheet review.",IF(K339="Strong Candidate","Strong call-fit candidate; confirm on film.",IF(K339="Good Candidate","Good call-fit signal; confirm on film.","Mixed signal; review fit and execution on film."))))))))</f>
        <v>Track only; not enough sample.</v>
      </c>
      <c r="M339" s="8" t="s">
        <v>107</v>
      </c>
      <c r="N339" s="8" t="s">
        <v>123</v>
      </c>
      <c r="O339" s="8"/>
      <c r="P339" s="8"/>
      <c r="Q339" s="8"/>
      <c r="R339" s="8" t="s">
        <v>28</v>
      </c>
      <c r="S339" s="2" t="s">
        <v>186</v>
      </c>
      <c r="T339" s="2">
        <f>IF(C339=0,0,IF(C339&gt;=CALL_LOOKUP_BOARD!$B$7,IF(OR(K339="Problem Call",K339="Explosive Alert"),10000000,20000000),0)+IF(C339&gt;=CALL_LOOKUP_BOARD!$B$7,J339*1000+MIN(C339,999),C339*1000+J339)+0.00984600)</f>
        <v>1100.009846</v>
      </c>
      <c r="U339" s="2" t="str">
        <f>IF(C339=0,"",IF(COUNTIFS($S$186:$S$367,SUBSTITUTE(SUBSTITUTE(SUBSTITUTE(S339,"~","~~"),"*","~*"),"?","~?"),$T$186:$T$367,"&gt;"&amp;T339)=0,S339,""))</f>
        <v>7:3D 7-10|2:12|</v>
      </c>
    </row>
    <row r="340" spans="1:21" ht="38" customHeight="1">
      <c r="A340" s="8" t="s">
        <v>187</v>
      </c>
      <c r="B340" s="8" t="s">
        <v>27</v>
      </c>
      <c r="C340" s="12">
        <f>COUNTIFS('DEF_SELF_SCOUT_IMPORT'!$L$42:$L$1040,"Y",'DEF_SELF_SCOUT_IMPORT'!$E$42:$E$1040,SUBSTITUTE(SUBSTITUTE(SUBSTITUTE($B340,"~","~~"),"*","~*"),"?","~?"),'DEF_SELF_SCOUT_IMPORT'!$Q$42:$Q$1040,SUBSTITUTE(SUBSTITUTE(SUBSTITUTE($M340,"~","~~"),"*","~*"),"?","~?"),'DEF_SELF_SCOUT_IMPORT'!$F$42:$F$1040,SUBSTITUTE(SUBSTITUTE(SUBSTITUTE($N340,"~","~~"),"*","~*"),"?","~?"))</f>
        <v>1</v>
      </c>
      <c r="D340" s="10">
        <f>IF($C340=0,"",SUMIFS('DEF_SELF_SCOUT_IMPORT'!$J$42:$J$1040,'DEF_SELF_SCOUT_IMPORT'!$L$42:$L$1040,"Y",'DEF_SELF_SCOUT_IMPORT'!$E$42:$E$1040,SUBSTITUTE(SUBSTITUTE(SUBSTITUTE($B340,"~","~~"),"*","~*"),"?","~?"),'DEF_SELF_SCOUT_IMPORT'!$Q$42:$Q$1040,SUBSTITUTE(SUBSTITUTE(SUBSTITUTE($M340,"~","~~"),"*","~*"),"?","~?"),'DEF_SELF_SCOUT_IMPORT'!$F$42:$F$1040,SUBSTITUTE(SUBSTITUTE(SUBSTITUTE($N340,"~","~~"),"*","~*"),"?","~?"))/$C340)</f>
        <v>0.0</v>
      </c>
      <c r="E340" s="10">
        <f>IF($C340=0,"",SUMIFS('DEF_SELF_SCOUT_IMPORT'!$K$42:$K$1040,'DEF_SELF_SCOUT_IMPORT'!$L$42:$L$1040,"Y",'DEF_SELF_SCOUT_IMPORT'!$E$42:$E$1040,SUBSTITUTE(SUBSTITUTE(SUBSTITUTE($B340,"~","~~"),"*","~*"),"?","~?"),'DEF_SELF_SCOUT_IMPORT'!$Q$42:$Q$1040,SUBSTITUTE(SUBSTITUTE(SUBSTITUTE($M340,"~","~~"),"*","~*"),"?","~?"),'DEF_SELF_SCOUT_IMPORT'!$F$42:$F$1040,SUBSTITUTE(SUBSTITUTE(SUBSTITUTE($N340,"~","~~"),"*","~*"),"?","~?"))/$C340)</f>
        <v>0.0</v>
      </c>
      <c r="F340" s="11">
        <f>IF($C340=0,"",AVERAGEIFS('DEF_SELF_SCOUT_IMPORT'!$I$42:$I$1040,'DEF_SELF_SCOUT_IMPORT'!$L$42:$L$1040,"Y",'DEF_SELF_SCOUT_IMPORT'!$E$42:$E$1040,SUBSTITUTE(SUBSTITUTE(SUBSTITUTE($B340,"~","~~"),"*","~*"),"?","~?"),'DEF_SELF_SCOUT_IMPORT'!$Q$42:$Q$1040,SUBSTITUTE(SUBSTITUTE(SUBSTITUTE($M340,"~","~~"),"*","~*"),"?","~?"),'DEF_SELF_SCOUT_IMPORT'!$F$42:$F$1040,SUBSTITUTE(SUBSTITUTE(SUBSTITUTE($N340,"~","~~"),"*","~*"),"?","~?")))</f>
        <v>4.0</v>
      </c>
      <c r="G340" s="10">
        <f>IF($C340=0,"",COUNTIFS('DEF_SELF_SCOUT_IMPORT'!$L$42:$L$1040,"Y",'DEF_SELF_SCOUT_IMPORT'!$E$42:$E$1040,SUBSTITUTE(SUBSTITUTE(SUBSTITUTE($B340,"~","~~"),"*","~*"),"?","~?"),'DEF_SELF_SCOUT_IMPORT'!$Q$42:$Q$1040,SUBSTITUTE(SUBSTITUTE(SUBSTITUTE($M340,"~","~~"),"*","~*"),"?","~?"),'DEF_SELF_SCOUT_IMPORT'!$F$42:$F$1040,SUBSTITUTE(SUBSTITUTE(SUBSTITUTE($N340,"~","~~"),"*","~*"),"?","~?"),'DEF_SELF_SCOUT_IMPORT'!$H$42:$H$1040,"RUSH")/$C340)</f>
        <v>0.0</v>
      </c>
      <c r="H340" s="10">
        <f>IF($C340=0,"",COUNTIFS('DEF_SELF_SCOUT_IMPORT'!$L$42:$L$1040,"Y",'DEF_SELF_SCOUT_IMPORT'!$E$42:$E$1040,SUBSTITUTE(SUBSTITUTE(SUBSTITUTE($B340,"~","~~"),"*","~*"),"?","~?"),'DEF_SELF_SCOUT_IMPORT'!$Q$42:$Q$1040,SUBSTITUTE(SUBSTITUTE(SUBSTITUTE($M340,"~","~~"),"*","~*"),"?","~?"),'DEF_SELF_SCOUT_IMPORT'!$F$42:$F$1040,SUBSTITUTE(SUBSTITUTE(SUBSTITUTE($N340,"~","~~"),"*","~*"),"?","~?"),'DEF_SELF_SCOUT_IMPORT'!$H$42:$H$1040,"DROPBACK")/$C340)</f>
        <v>1.0</v>
      </c>
      <c r="I340" s="14" t="str">
        <f>IF(C340=0,"",IF(C340&lt;=2,"TRACK",IF(C340=3,"LOW",IF(C340&lt;=6,"MEDIUM","HIGH"))))</f>
        <v>TRACK</v>
      </c>
      <c r="J340" s="11">
        <f>IF(C340=0,"",ROUND(D340*70+(1-E340)*20+MAX(0,MIN(1,(10-F340)/10))*10,1))</f>
        <v>26.0</v>
      </c>
      <c r="K340" s="14" t="str">
        <f>IF(C340=0,"No Evidence",IF(C340&lt;=2,IF(E340&gt;0,"Explosive Alert","Track Only"),IF(C340=3,"Sample Watch",IF(E340&gt;=START_HERE!$B$31,"Explosive Alert",IF(J340&gt;=80,"Strong Candidate",IF(J340&gt;=65,"Good Candidate",IF(J340&gt;=50,"Mixed / Review","Problem Call")))))))</f>
        <v>Track Only</v>
      </c>
      <c r="L340" s="9" t="str">
        <f>IF(COUNTIFS('DEF_SELF_SCOUT_IMPORT'!$L$42:$L$1040,"Y",'DEF_SELF_SCOUT_IMPORT'!$E$42:$E$1040,SUBSTITUTE(SUBSTITUTE(SUBSTITUTE($B340,"~","~~"),"*","~*"),"?","~?"),'DEF_SELF_SCOUT_IMPORT'!$Q$42:$Q$1040,SUBSTITUTE(SUBSTITUTE(SUBSTITUTE($M340,"~","~~"),"*","~*"),"?","~?"),'DEF_SELF_SCOUT_IMPORT'!$F$42:$F$1040,SUBSTITUTE(SUBSTITUTE(SUBSTITUTE($N340,"~","~~"),"*","~*"),"?","~?"),'DEF_SELF_SCOUT_IMPORT'!$J$42:$J$1040,"")&gt;0,"Unscored clean outcome; review result tags before using score.",IF(C340=0,"No matching defensive reps; film confirmation needed.",IF(K340="Explosive Alert","Explosive risk; review clips before using as answer.",IF(C340&lt;=2,"Track only; not enough sample.",IF(C340=3,IF(E340&gt;0,"Sample watch with explosive exposure; review clips and build the sample.",IF(J340&gt;=65,"Good signal, but sample is limited.","Sample watch; review clips and build the sample.")),IF(K340="Problem Call","Problem area; practice or call-sheet review.",IF(K340="Strong Candidate","Strong call-fit candidate; confirm on film.",IF(K340="Good Candidate","Good call-fit signal; confirm on film.","Mixed signal; review fit and execution on film."))))))))</f>
        <v>Track only; not enough sample.</v>
      </c>
      <c r="M340" s="8" t="s">
        <v>111</v>
      </c>
      <c r="N340" s="8" t="s">
        <v>120</v>
      </c>
      <c r="O340" s="8"/>
      <c r="P340" s="8"/>
      <c r="Q340" s="8"/>
      <c r="R340" s="8" t="s">
        <v>28</v>
      </c>
      <c r="S340" s="2" t="s">
        <v>188</v>
      </c>
      <c r="T340" s="2">
        <f>IF(C340=0,0,IF(C340&gt;=CALL_LOOKUP_BOARD!$B$7,IF(OR(K340="Problem Call",K340="Explosive Alert"),10000000,20000000),0)+IF(C340&gt;=CALL_LOOKUP_BOARD!$B$7,J340*1000+MIN(C340,999),C340*1000+J340)+0.00984500)</f>
        <v>1026.009845</v>
      </c>
      <c r="U340" s="2">
        <f>IF(C340=0,"",IF(COUNTIFS($S$186:$S$367,SUBSTITUTE(SUBSTITUTE(SUBSTITUTE(S340,"~","~~"),"*","~*"),"?","~?"),$T$186:$T$367,"&gt;"&amp;T340)=0,S340,""))</f>
        <v/>
      </c>
    </row>
    <row r="341" spans="1:21" ht="38" customHeight="1">
      <c r="A341" s="8" t="s">
        <v>187</v>
      </c>
      <c r="B341" s="8" t="s">
        <v>35</v>
      </c>
      <c r="C341" s="12">
        <f>COUNTIFS('DEF_SELF_SCOUT_IMPORT'!$L$42:$L$1040,"Y",'DEF_SELF_SCOUT_IMPORT'!$E$42:$E$1040,SUBSTITUTE(SUBSTITUTE(SUBSTITUTE($B341,"~","~~"),"*","~*"),"?","~?"),'DEF_SELF_SCOUT_IMPORT'!$Q$42:$Q$1040,SUBSTITUTE(SUBSTITUTE(SUBSTITUTE($M341,"~","~~"),"*","~*"),"?","~?"),'DEF_SELF_SCOUT_IMPORT'!$F$42:$F$1040,SUBSTITUTE(SUBSTITUTE(SUBSTITUTE($N341,"~","~~"),"*","~*"),"?","~?"))</f>
        <v>1</v>
      </c>
      <c r="D341" s="10">
        <f>IF($C341=0,"",SUMIFS('DEF_SELF_SCOUT_IMPORT'!$J$42:$J$1040,'DEF_SELF_SCOUT_IMPORT'!$L$42:$L$1040,"Y",'DEF_SELF_SCOUT_IMPORT'!$E$42:$E$1040,SUBSTITUTE(SUBSTITUTE(SUBSTITUTE($B341,"~","~~"),"*","~*"),"?","~?"),'DEF_SELF_SCOUT_IMPORT'!$Q$42:$Q$1040,SUBSTITUTE(SUBSTITUTE(SUBSTITUTE($M341,"~","~~"),"*","~*"),"?","~?"),'DEF_SELF_SCOUT_IMPORT'!$F$42:$F$1040,SUBSTITUTE(SUBSTITUTE(SUBSTITUTE($N341,"~","~~"),"*","~*"),"?","~?"))/$C341)</f>
        <v>0.0</v>
      </c>
      <c r="E341" s="10">
        <f>IF($C341=0,"",SUMIFS('DEF_SELF_SCOUT_IMPORT'!$K$42:$K$1040,'DEF_SELF_SCOUT_IMPORT'!$L$42:$L$1040,"Y",'DEF_SELF_SCOUT_IMPORT'!$E$42:$E$1040,SUBSTITUTE(SUBSTITUTE(SUBSTITUTE($B341,"~","~~"),"*","~*"),"?","~?"),'DEF_SELF_SCOUT_IMPORT'!$Q$42:$Q$1040,SUBSTITUTE(SUBSTITUTE(SUBSTITUTE($M341,"~","~~"),"*","~*"),"?","~?"),'DEF_SELF_SCOUT_IMPORT'!$F$42:$F$1040,SUBSTITUTE(SUBSTITUTE(SUBSTITUTE($N341,"~","~~"),"*","~*"),"?","~?"))/$C341)</f>
        <v>0.0</v>
      </c>
      <c r="F341" s="11">
        <f>IF($C341=0,"",AVERAGEIFS('DEF_SELF_SCOUT_IMPORT'!$I$42:$I$1040,'DEF_SELF_SCOUT_IMPORT'!$L$42:$L$1040,"Y",'DEF_SELF_SCOUT_IMPORT'!$E$42:$E$1040,SUBSTITUTE(SUBSTITUTE(SUBSTITUTE($B341,"~","~~"),"*","~*"),"?","~?"),'DEF_SELF_SCOUT_IMPORT'!$Q$42:$Q$1040,SUBSTITUTE(SUBSTITUTE(SUBSTITUTE($M341,"~","~~"),"*","~*"),"?","~?"),'DEF_SELF_SCOUT_IMPORT'!$F$42:$F$1040,SUBSTITUTE(SUBSTITUTE(SUBSTITUTE($N341,"~","~~"),"*","~*"),"?","~?")))</f>
        <v>5.0</v>
      </c>
      <c r="G341" s="10">
        <f>IF($C341=0,"",COUNTIFS('DEF_SELF_SCOUT_IMPORT'!$L$42:$L$1040,"Y",'DEF_SELF_SCOUT_IMPORT'!$E$42:$E$1040,SUBSTITUTE(SUBSTITUTE(SUBSTITUTE($B341,"~","~~"),"*","~*"),"?","~?"),'DEF_SELF_SCOUT_IMPORT'!$Q$42:$Q$1040,SUBSTITUTE(SUBSTITUTE(SUBSTITUTE($M341,"~","~~"),"*","~*"),"?","~?"),'DEF_SELF_SCOUT_IMPORT'!$F$42:$F$1040,SUBSTITUTE(SUBSTITUTE(SUBSTITUTE($N341,"~","~~"),"*","~*"),"?","~?"),'DEF_SELF_SCOUT_IMPORT'!$H$42:$H$1040,"RUSH")/$C341)</f>
        <v>1.0</v>
      </c>
      <c r="H341" s="10">
        <f>IF($C341=0,"",COUNTIFS('DEF_SELF_SCOUT_IMPORT'!$L$42:$L$1040,"Y",'DEF_SELF_SCOUT_IMPORT'!$E$42:$E$1040,SUBSTITUTE(SUBSTITUTE(SUBSTITUTE($B341,"~","~~"),"*","~*"),"?","~?"),'DEF_SELF_SCOUT_IMPORT'!$Q$42:$Q$1040,SUBSTITUTE(SUBSTITUTE(SUBSTITUTE($M341,"~","~~"),"*","~*"),"?","~?"),'DEF_SELF_SCOUT_IMPORT'!$F$42:$F$1040,SUBSTITUTE(SUBSTITUTE(SUBSTITUTE($N341,"~","~~"),"*","~*"),"?","~?"),'DEF_SELF_SCOUT_IMPORT'!$H$42:$H$1040,"DROPBACK")/$C341)</f>
        <v>0.0</v>
      </c>
      <c r="I341" s="14" t="str">
        <f>IF(C341=0,"",IF(C341&lt;=2,"TRACK",IF(C341=3,"LOW",IF(C341&lt;=6,"MEDIUM","HIGH"))))</f>
        <v>TRACK</v>
      </c>
      <c r="J341" s="11">
        <f>IF(C341=0,"",ROUND(D341*70+(1-E341)*20+MAX(0,MIN(1,(10-F341)/10))*10,1))</f>
        <v>25.0</v>
      </c>
      <c r="K341" s="14" t="str">
        <f>IF(C341=0,"No Evidence",IF(C341&lt;=2,IF(E341&gt;0,"Explosive Alert","Track Only"),IF(C341=3,"Sample Watch",IF(E341&gt;=START_HERE!$B$31,"Explosive Alert",IF(J341&gt;=80,"Strong Candidate",IF(J341&gt;=65,"Good Candidate",IF(J341&gt;=50,"Mixed / Review","Problem Call")))))))</f>
        <v>Track Only</v>
      </c>
      <c r="L341" s="9" t="str">
        <f>IF(COUNTIFS('DEF_SELF_SCOUT_IMPORT'!$L$42:$L$1040,"Y",'DEF_SELF_SCOUT_IMPORT'!$E$42:$E$1040,SUBSTITUTE(SUBSTITUTE(SUBSTITUTE($B341,"~","~~"),"*","~*"),"?","~?"),'DEF_SELF_SCOUT_IMPORT'!$Q$42:$Q$1040,SUBSTITUTE(SUBSTITUTE(SUBSTITUTE($M341,"~","~~"),"*","~*"),"?","~?"),'DEF_SELF_SCOUT_IMPORT'!$F$42:$F$1040,SUBSTITUTE(SUBSTITUTE(SUBSTITUTE($N341,"~","~~"),"*","~*"),"?","~?"),'DEF_SELF_SCOUT_IMPORT'!$J$42:$J$1040,"")&gt;0,"Unscored clean outcome; review result tags before using score.",IF(C341=0,"No matching defensive reps; film confirmation needed.",IF(K341="Explosive Alert","Explosive risk; review clips before using as answer.",IF(C341&lt;=2,"Track only; not enough sample.",IF(C341=3,IF(E341&gt;0,"Sample watch with explosive exposure; review clips and build the sample.",IF(J341&gt;=65,"Good signal, but sample is limited.","Sample watch; review clips and build the sample.")),IF(K341="Problem Call","Problem area; practice or call-sheet review.",IF(K341="Strong Candidate","Strong call-fit candidate; confirm on film.",IF(K341="Good Candidate","Good call-fit signal; confirm on film.","Mixed signal; review fit and execution on film."))))))))</f>
        <v>Track only; not enough sample.</v>
      </c>
      <c r="M341" s="8" t="s">
        <v>111</v>
      </c>
      <c r="N341" s="8" t="s">
        <v>120</v>
      </c>
      <c r="O341" s="8"/>
      <c r="P341" s="8"/>
      <c r="Q341" s="8"/>
      <c r="R341" s="8" t="s">
        <v>28</v>
      </c>
      <c r="S341" s="2" t="s">
        <v>188</v>
      </c>
      <c r="T341" s="2">
        <f>IF(C341=0,0,IF(C341&gt;=CALL_LOOKUP_BOARD!$B$7,IF(OR(K341="Problem Call",K341="Explosive Alert"),10000000,20000000),0)+IF(C341&gt;=CALL_LOOKUP_BOARD!$B$7,J341*1000+MIN(C341,999),C341*1000+J341)+0.00984400)</f>
        <v>1025.009844</v>
      </c>
      <c r="U341" s="2">
        <f>IF(C341=0,"",IF(COUNTIFS($S$186:$S$367,SUBSTITUTE(SUBSTITUTE(SUBSTITUTE(S341,"~","~~"),"*","~*"),"?","~?"),$T$186:$T$367,"&gt;"&amp;T341)=0,S341,""))</f>
        <v/>
      </c>
    </row>
    <row r="342" spans="1:21" ht="38" customHeight="1">
      <c r="A342" s="8" t="s">
        <v>187</v>
      </c>
      <c r="B342" s="8" t="s">
        <v>60</v>
      </c>
      <c r="C342" s="12">
        <f>COUNTIFS('DEF_SELF_SCOUT_IMPORT'!$L$42:$L$1040,"Y",'DEF_SELF_SCOUT_IMPORT'!$E$42:$E$1040,SUBSTITUTE(SUBSTITUTE(SUBSTITUTE($B342,"~","~~"),"*","~*"),"?","~?"),'DEF_SELF_SCOUT_IMPORT'!$Q$42:$Q$1040,SUBSTITUTE(SUBSTITUTE(SUBSTITUTE($M342,"~","~~"),"*","~*"),"?","~?"),'DEF_SELF_SCOUT_IMPORT'!$F$42:$F$1040,SUBSTITUTE(SUBSTITUTE(SUBSTITUTE($N342,"~","~~"),"*","~*"),"?","~?"))</f>
        <v>1</v>
      </c>
      <c r="D342" s="10">
        <f>IF($C342=0,"",SUMIFS('DEF_SELF_SCOUT_IMPORT'!$J$42:$J$1040,'DEF_SELF_SCOUT_IMPORT'!$L$42:$L$1040,"Y",'DEF_SELF_SCOUT_IMPORT'!$E$42:$E$1040,SUBSTITUTE(SUBSTITUTE(SUBSTITUTE($B342,"~","~~"),"*","~*"),"?","~?"),'DEF_SELF_SCOUT_IMPORT'!$Q$42:$Q$1040,SUBSTITUTE(SUBSTITUTE(SUBSTITUTE($M342,"~","~~"),"*","~*"),"?","~?"),'DEF_SELF_SCOUT_IMPORT'!$F$42:$F$1040,SUBSTITUTE(SUBSTITUTE(SUBSTITUTE($N342,"~","~~"),"*","~*"),"?","~?"))/$C342)</f>
        <v>1.0</v>
      </c>
      <c r="E342" s="10">
        <f>IF($C342=0,"",SUMIFS('DEF_SELF_SCOUT_IMPORT'!$K$42:$K$1040,'DEF_SELF_SCOUT_IMPORT'!$L$42:$L$1040,"Y",'DEF_SELF_SCOUT_IMPORT'!$E$42:$E$1040,SUBSTITUTE(SUBSTITUTE(SUBSTITUTE($B342,"~","~~"),"*","~*"),"?","~?"),'DEF_SELF_SCOUT_IMPORT'!$Q$42:$Q$1040,SUBSTITUTE(SUBSTITUTE(SUBSTITUTE($M342,"~","~~"),"*","~*"),"?","~?"),'DEF_SELF_SCOUT_IMPORT'!$F$42:$F$1040,SUBSTITUTE(SUBSTITUTE(SUBSTITUTE($N342,"~","~~"),"*","~*"),"?","~?"))/$C342)</f>
        <v>0.0</v>
      </c>
      <c r="F342" s="11">
        <f>IF($C342=0,"",AVERAGEIFS('DEF_SELF_SCOUT_IMPORT'!$I$42:$I$1040,'DEF_SELF_SCOUT_IMPORT'!$L$42:$L$1040,"Y",'DEF_SELF_SCOUT_IMPORT'!$E$42:$E$1040,SUBSTITUTE(SUBSTITUTE(SUBSTITUTE($B342,"~","~~"),"*","~*"),"?","~?"),'DEF_SELF_SCOUT_IMPORT'!$Q$42:$Q$1040,SUBSTITUTE(SUBSTITUTE(SUBSTITUTE($M342,"~","~~"),"*","~*"),"?","~?"),'DEF_SELF_SCOUT_IMPORT'!$F$42:$F$1040,SUBSTITUTE(SUBSTITUTE(SUBSTITUTE($N342,"~","~~"),"*","~*"),"?","~?")))</f>
        <v>1.0</v>
      </c>
      <c r="G342" s="10">
        <f>IF($C342=0,"",COUNTIFS('DEF_SELF_SCOUT_IMPORT'!$L$42:$L$1040,"Y",'DEF_SELF_SCOUT_IMPORT'!$E$42:$E$1040,SUBSTITUTE(SUBSTITUTE(SUBSTITUTE($B342,"~","~~"),"*","~*"),"?","~?"),'DEF_SELF_SCOUT_IMPORT'!$Q$42:$Q$1040,SUBSTITUTE(SUBSTITUTE(SUBSTITUTE($M342,"~","~~"),"*","~*"),"?","~?"),'DEF_SELF_SCOUT_IMPORT'!$F$42:$F$1040,SUBSTITUTE(SUBSTITUTE(SUBSTITUTE($N342,"~","~~"),"*","~*"),"?","~?"),'DEF_SELF_SCOUT_IMPORT'!$H$42:$H$1040,"RUSH")/$C342)</f>
        <v>1.0</v>
      </c>
      <c r="H342" s="10">
        <f>IF($C342=0,"",COUNTIFS('DEF_SELF_SCOUT_IMPORT'!$L$42:$L$1040,"Y",'DEF_SELF_SCOUT_IMPORT'!$E$42:$E$1040,SUBSTITUTE(SUBSTITUTE(SUBSTITUTE($B342,"~","~~"),"*","~*"),"?","~?"),'DEF_SELF_SCOUT_IMPORT'!$Q$42:$Q$1040,SUBSTITUTE(SUBSTITUTE(SUBSTITUTE($M342,"~","~~"),"*","~*"),"?","~?"),'DEF_SELF_SCOUT_IMPORT'!$F$42:$F$1040,SUBSTITUTE(SUBSTITUTE(SUBSTITUTE($N342,"~","~~"),"*","~*"),"?","~?"),'DEF_SELF_SCOUT_IMPORT'!$H$42:$H$1040,"DROPBACK")/$C342)</f>
        <v>0.0</v>
      </c>
      <c r="I342" s="14" t="str">
        <f>IF(C342=0,"",IF(C342&lt;=2,"TRACK",IF(C342=3,"LOW",IF(C342&lt;=6,"MEDIUM","HIGH"))))</f>
        <v>TRACK</v>
      </c>
      <c r="J342" s="11">
        <f>IF(C342=0,"",ROUND(D342*70+(1-E342)*20+MAX(0,MIN(1,(10-F342)/10))*10,1))</f>
        <v>99.0</v>
      </c>
      <c r="K342" s="14" t="str">
        <f>IF(C342=0,"No Evidence",IF(C342&lt;=2,IF(E342&gt;0,"Explosive Alert","Track Only"),IF(C342=3,"Sample Watch",IF(E342&gt;=START_HERE!$B$31,"Explosive Alert",IF(J342&gt;=80,"Strong Candidate",IF(J342&gt;=65,"Good Candidate",IF(J342&gt;=50,"Mixed / Review","Problem Call")))))))</f>
        <v>Track Only</v>
      </c>
      <c r="L342" s="9" t="str">
        <f>IF(COUNTIFS('DEF_SELF_SCOUT_IMPORT'!$L$42:$L$1040,"Y",'DEF_SELF_SCOUT_IMPORT'!$E$42:$E$1040,SUBSTITUTE(SUBSTITUTE(SUBSTITUTE($B342,"~","~~"),"*","~*"),"?","~?"),'DEF_SELF_SCOUT_IMPORT'!$Q$42:$Q$1040,SUBSTITUTE(SUBSTITUTE(SUBSTITUTE($M342,"~","~~"),"*","~*"),"?","~?"),'DEF_SELF_SCOUT_IMPORT'!$F$42:$F$1040,SUBSTITUTE(SUBSTITUTE(SUBSTITUTE($N342,"~","~~"),"*","~*"),"?","~?"),'DEF_SELF_SCOUT_IMPORT'!$J$42:$J$1040,"")&gt;0,"Unscored clean outcome; review result tags before using score.",IF(C342=0,"No matching defensive reps; film confirmation needed.",IF(K342="Explosive Alert","Explosive risk; review clips before using as answer.",IF(C342&lt;=2,"Track only; not enough sample.",IF(C342=3,IF(E342&gt;0,"Sample watch with explosive exposure; review clips and build the sample.",IF(J342&gt;=65,"Good signal, but sample is limited.","Sample watch; review clips and build the sample.")),IF(K342="Problem Call","Problem area; practice or call-sheet review.",IF(K342="Strong Candidate","Strong call-fit candidate; confirm on film.",IF(K342="Good Candidate","Good call-fit signal; confirm on film.","Mixed signal; review fit and execution on film."))))))))</f>
        <v>Track only; not enough sample.</v>
      </c>
      <c r="M342" s="8" t="s">
        <v>111</v>
      </c>
      <c r="N342" s="8" t="s">
        <v>120</v>
      </c>
      <c r="O342" s="8"/>
      <c r="P342" s="8"/>
      <c r="Q342" s="8"/>
      <c r="R342" s="8" t="s">
        <v>28</v>
      </c>
      <c r="S342" s="2" t="s">
        <v>188</v>
      </c>
      <c r="T342" s="2">
        <f>IF(C342=0,0,IF(C342&gt;=CALL_LOOKUP_BOARD!$B$7,IF(OR(K342="Problem Call",K342="Explosive Alert"),10000000,20000000),0)+IF(C342&gt;=CALL_LOOKUP_BOARD!$B$7,J342*1000+MIN(C342,999),C342*1000+J342)+0.00984300)</f>
        <v>1099.009843</v>
      </c>
      <c r="U342" s="2" t="str">
        <f>IF(C342=0,"",IF(COUNTIFS($S$186:$S$367,SUBSTITUTE(SUBSTITUTE(SUBSTITUTE(S342,"~","~~"),"*","~*"),"?","~?"),$T$186:$T$367,"&gt;"&amp;T342)=0,S342,""))</f>
        <v>6:4D 1-3|2:11|</v>
      </c>
    </row>
    <row r="343" spans="1:21" ht="38" customHeight="1">
      <c r="A343" s="8" t="s">
        <v>189</v>
      </c>
      <c r="B343" s="8" t="s">
        <v>27</v>
      </c>
      <c r="C343" s="12">
        <f>COUNTIFS('DEF_SELF_SCOUT_IMPORT'!$L$42:$L$1040,"Y",'DEF_SELF_SCOUT_IMPORT'!$E$42:$E$1040,SUBSTITUTE(SUBSTITUTE(SUBSTITUTE($B343,"~","~~"),"*","~*"),"?","~?"),'DEF_SELF_SCOUT_IMPORT'!$Q$42:$Q$1040,SUBSTITUTE(SUBSTITUTE(SUBSTITUTE($M343,"~","~~"),"*","~*"),"?","~?"),'DEF_SELF_SCOUT_IMPORT'!$F$42:$F$1040,SUBSTITUTE(SUBSTITUTE(SUBSTITUTE($N343,"~","~~"),"*","~*"),"?","~?"))</f>
        <v>1</v>
      </c>
      <c r="D343" s="10">
        <f>IF($C343=0,"",SUMIFS('DEF_SELF_SCOUT_IMPORT'!$J$42:$J$1040,'DEF_SELF_SCOUT_IMPORT'!$L$42:$L$1040,"Y",'DEF_SELF_SCOUT_IMPORT'!$E$42:$E$1040,SUBSTITUTE(SUBSTITUTE(SUBSTITUTE($B343,"~","~~"),"*","~*"),"?","~?"),'DEF_SELF_SCOUT_IMPORT'!$Q$42:$Q$1040,SUBSTITUTE(SUBSTITUTE(SUBSTITUTE($M343,"~","~~"),"*","~*"),"?","~?"),'DEF_SELF_SCOUT_IMPORT'!$F$42:$F$1040,SUBSTITUTE(SUBSTITUTE(SUBSTITUTE($N343,"~","~~"),"*","~*"),"?","~?"))/$C343)</f>
        <v>0.0</v>
      </c>
      <c r="E343" s="10">
        <f>IF($C343=0,"",SUMIFS('DEF_SELF_SCOUT_IMPORT'!$K$42:$K$1040,'DEF_SELF_SCOUT_IMPORT'!$L$42:$L$1040,"Y",'DEF_SELF_SCOUT_IMPORT'!$E$42:$E$1040,SUBSTITUTE(SUBSTITUTE(SUBSTITUTE($B343,"~","~~"),"*","~*"),"?","~?"),'DEF_SELF_SCOUT_IMPORT'!$Q$42:$Q$1040,SUBSTITUTE(SUBSTITUTE(SUBSTITUTE($M343,"~","~~"),"*","~*"),"?","~?"),'DEF_SELF_SCOUT_IMPORT'!$F$42:$F$1040,SUBSTITUTE(SUBSTITUTE(SUBSTITUTE($N343,"~","~~"),"*","~*"),"?","~?"))/$C343)</f>
        <v>1.0</v>
      </c>
      <c r="F343" s="11">
        <f>IF($C343=0,"",AVERAGEIFS('DEF_SELF_SCOUT_IMPORT'!$I$42:$I$1040,'DEF_SELF_SCOUT_IMPORT'!$L$42:$L$1040,"Y",'DEF_SELF_SCOUT_IMPORT'!$E$42:$E$1040,SUBSTITUTE(SUBSTITUTE(SUBSTITUTE($B343,"~","~~"),"*","~*"),"?","~?"),'DEF_SELF_SCOUT_IMPORT'!$Q$42:$Q$1040,SUBSTITUTE(SUBSTITUTE(SUBSTITUTE($M343,"~","~~"),"*","~*"),"?","~?"),'DEF_SELF_SCOUT_IMPORT'!$F$42:$F$1040,SUBSTITUTE(SUBSTITUTE(SUBSTITUTE($N343,"~","~~"),"*","~*"),"?","~?")))</f>
        <v>23.0</v>
      </c>
      <c r="G343" s="10">
        <f>IF($C343=0,"",COUNTIFS('DEF_SELF_SCOUT_IMPORT'!$L$42:$L$1040,"Y",'DEF_SELF_SCOUT_IMPORT'!$E$42:$E$1040,SUBSTITUTE(SUBSTITUTE(SUBSTITUTE($B343,"~","~~"),"*","~*"),"?","~?"),'DEF_SELF_SCOUT_IMPORT'!$Q$42:$Q$1040,SUBSTITUTE(SUBSTITUTE(SUBSTITUTE($M343,"~","~~"),"*","~*"),"?","~?"),'DEF_SELF_SCOUT_IMPORT'!$F$42:$F$1040,SUBSTITUTE(SUBSTITUTE(SUBSTITUTE($N343,"~","~~"),"*","~*"),"?","~?"),'DEF_SELF_SCOUT_IMPORT'!$H$42:$H$1040,"RUSH")/$C343)</f>
        <v>0.0</v>
      </c>
      <c r="H343" s="10">
        <f>IF($C343=0,"",COUNTIFS('DEF_SELF_SCOUT_IMPORT'!$L$42:$L$1040,"Y",'DEF_SELF_SCOUT_IMPORT'!$E$42:$E$1040,SUBSTITUTE(SUBSTITUTE(SUBSTITUTE($B343,"~","~~"),"*","~*"),"?","~?"),'DEF_SELF_SCOUT_IMPORT'!$Q$42:$Q$1040,SUBSTITUTE(SUBSTITUTE(SUBSTITUTE($M343,"~","~~"),"*","~*"),"?","~?"),'DEF_SELF_SCOUT_IMPORT'!$F$42:$F$1040,SUBSTITUTE(SUBSTITUTE(SUBSTITUTE($N343,"~","~~"),"*","~*"),"?","~?"),'DEF_SELF_SCOUT_IMPORT'!$H$42:$H$1040,"DROPBACK")/$C343)</f>
        <v>1.0</v>
      </c>
      <c r="I343" s="14" t="str">
        <f>IF(C343=0,"",IF(C343&lt;=2,"TRACK",IF(C343=3,"LOW",IF(C343&lt;=6,"MEDIUM","HIGH"))))</f>
        <v>TRACK</v>
      </c>
      <c r="J343" s="11">
        <f>IF(C343=0,"",ROUND(D343*70+(1-E343)*20+MAX(0,MIN(1,(10-F343)/10))*10,1))</f>
        <v>0.0</v>
      </c>
      <c r="K343" s="14" t="str">
        <f>IF(C343=0,"No Evidence",IF(C343&lt;=2,IF(E343&gt;0,"Explosive Alert","Track Only"),IF(C343=3,"Sample Watch",IF(E343&gt;=START_HERE!$B$31,"Explosive Alert",IF(J343&gt;=80,"Strong Candidate",IF(J343&gt;=65,"Good Candidate",IF(J343&gt;=50,"Mixed / Review","Problem Call")))))))</f>
        <v>Explosive Alert</v>
      </c>
      <c r="L343" s="9" t="str">
        <f>IF(COUNTIFS('DEF_SELF_SCOUT_IMPORT'!$L$42:$L$1040,"Y",'DEF_SELF_SCOUT_IMPORT'!$E$42:$E$1040,SUBSTITUTE(SUBSTITUTE(SUBSTITUTE($B343,"~","~~"),"*","~*"),"?","~?"),'DEF_SELF_SCOUT_IMPORT'!$Q$42:$Q$1040,SUBSTITUTE(SUBSTITUTE(SUBSTITUTE($M343,"~","~~"),"*","~*"),"?","~?"),'DEF_SELF_SCOUT_IMPORT'!$F$42:$F$1040,SUBSTITUTE(SUBSTITUTE(SUBSTITUTE($N343,"~","~~"),"*","~*"),"?","~?"),'DEF_SELF_SCOUT_IMPORT'!$J$42:$J$1040,"")&gt;0,"Unscored clean outcome; review result tags before using score.",IF(C343=0,"No matching defensive reps; film confirmation needed.",IF(K343="Explosive Alert","Explosive risk; review clips before using as answer.",IF(C343&lt;=2,"Track only; not enough sample.",IF(C343=3,IF(E343&gt;0,"Sample watch with explosive exposure; review clips and build the sample.",IF(J343&gt;=65,"Good signal, but sample is limited.","Sample watch; review clips and build the sample.")),IF(K343="Problem Call","Problem area; practice or call-sheet review.",IF(K343="Strong Candidate","Strong call-fit candidate; confirm on film.",IF(K343="Good Candidate","Good call-fit signal; confirm on film.","Mixed signal; review fit and execution on film."))))))))</f>
        <v>Explosive risk; review clips before using as answer.</v>
      </c>
      <c r="M343" s="8" t="s">
        <v>111</v>
      </c>
      <c r="N343" s="8" t="s">
        <v>123</v>
      </c>
      <c r="O343" s="8"/>
      <c r="P343" s="8"/>
      <c r="Q343" s="8"/>
      <c r="R343" s="8" t="s">
        <v>28</v>
      </c>
      <c r="S343" s="2" t="s">
        <v>190</v>
      </c>
      <c r="T343" s="2">
        <f>IF(C343=0,0,IF(C343&gt;=CALL_LOOKUP_BOARD!$B$7,IF(OR(K343="Problem Call",K343="Explosive Alert"),10000000,20000000),0)+IF(C343&gt;=CALL_LOOKUP_BOARD!$B$7,J343*1000+MIN(C343,999),C343*1000+J343)+0.00984200)</f>
        <v>1000.009842</v>
      </c>
      <c r="U343" s="2">
        <f>IF(C343=0,"",IF(COUNTIFS($S$186:$S$367,SUBSTITUTE(SUBSTITUTE(SUBSTITUTE(S343,"~","~~"),"*","~*"),"?","~?"),$T$186:$T$367,"&gt;"&amp;T343)=0,S343,""))</f>
        <v/>
      </c>
    </row>
    <row r="344" spans="1:21" ht="38" customHeight="1">
      <c r="A344" s="8" t="s">
        <v>189</v>
      </c>
      <c r="B344" s="8" t="s">
        <v>95</v>
      </c>
      <c r="C344" s="12">
        <f>COUNTIFS('DEF_SELF_SCOUT_IMPORT'!$L$42:$L$1040,"Y",'DEF_SELF_SCOUT_IMPORT'!$E$42:$E$1040,SUBSTITUTE(SUBSTITUTE(SUBSTITUTE($B344,"~","~~"),"*","~*"),"?","~?"),'DEF_SELF_SCOUT_IMPORT'!$Q$42:$Q$1040,SUBSTITUTE(SUBSTITUTE(SUBSTITUTE($M344,"~","~~"),"*","~*"),"?","~?"),'DEF_SELF_SCOUT_IMPORT'!$F$42:$F$1040,SUBSTITUTE(SUBSTITUTE(SUBSTITUTE($N344,"~","~~"),"*","~*"),"?","~?"))</f>
        <v>1</v>
      </c>
      <c r="D344" s="10">
        <f>IF($C344=0,"",SUMIFS('DEF_SELF_SCOUT_IMPORT'!$J$42:$J$1040,'DEF_SELF_SCOUT_IMPORT'!$L$42:$L$1040,"Y",'DEF_SELF_SCOUT_IMPORT'!$E$42:$E$1040,SUBSTITUTE(SUBSTITUTE(SUBSTITUTE($B344,"~","~~"),"*","~*"),"?","~?"),'DEF_SELF_SCOUT_IMPORT'!$Q$42:$Q$1040,SUBSTITUTE(SUBSTITUTE(SUBSTITUTE($M344,"~","~~"),"*","~*"),"?","~?"),'DEF_SELF_SCOUT_IMPORT'!$F$42:$F$1040,SUBSTITUTE(SUBSTITUTE(SUBSTITUTE($N344,"~","~~"),"*","~*"),"?","~?"))/$C344)</f>
        <v>0.0</v>
      </c>
      <c r="E344" s="10">
        <f>IF($C344=0,"",SUMIFS('DEF_SELF_SCOUT_IMPORT'!$K$42:$K$1040,'DEF_SELF_SCOUT_IMPORT'!$L$42:$L$1040,"Y",'DEF_SELF_SCOUT_IMPORT'!$E$42:$E$1040,SUBSTITUTE(SUBSTITUTE(SUBSTITUTE($B344,"~","~~"),"*","~*"),"?","~?"),'DEF_SELF_SCOUT_IMPORT'!$Q$42:$Q$1040,SUBSTITUTE(SUBSTITUTE(SUBSTITUTE($M344,"~","~~"),"*","~*"),"?","~?"),'DEF_SELF_SCOUT_IMPORT'!$F$42:$F$1040,SUBSTITUTE(SUBSTITUTE(SUBSTITUTE($N344,"~","~~"),"*","~*"),"?","~?"))/$C344)</f>
        <v>0.0</v>
      </c>
      <c r="F344" s="11">
        <f>IF($C344=0,"",AVERAGEIFS('DEF_SELF_SCOUT_IMPORT'!$I$42:$I$1040,'DEF_SELF_SCOUT_IMPORT'!$L$42:$L$1040,"Y",'DEF_SELF_SCOUT_IMPORT'!$E$42:$E$1040,SUBSTITUTE(SUBSTITUTE(SUBSTITUTE($B344,"~","~~"),"*","~*"),"?","~?"),'DEF_SELF_SCOUT_IMPORT'!$Q$42:$Q$1040,SUBSTITUTE(SUBSTITUTE(SUBSTITUTE($M344,"~","~~"),"*","~*"),"?","~?"),'DEF_SELF_SCOUT_IMPORT'!$F$42:$F$1040,SUBSTITUTE(SUBSTITUTE(SUBSTITUTE($N344,"~","~~"),"*","~*"),"?","~?")))</f>
        <v>3.0</v>
      </c>
      <c r="G344" s="10">
        <f>IF($C344=0,"",COUNTIFS('DEF_SELF_SCOUT_IMPORT'!$L$42:$L$1040,"Y",'DEF_SELF_SCOUT_IMPORT'!$E$42:$E$1040,SUBSTITUTE(SUBSTITUTE(SUBSTITUTE($B344,"~","~~"),"*","~*"),"?","~?"),'DEF_SELF_SCOUT_IMPORT'!$Q$42:$Q$1040,SUBSTITUTE(SUBSTITUTE(SUBSTITUTE($M344,"~","~~"),"*","~*"),"?","~?"),'DEF_SELF_SCOUT_IMPORT'!$F$42:$F$1040,SUBSTITUTE(SUBSTITUTE(SUBSTITUTE($N344,"~","~~"),"*","~*"),"?","~?"),'DEF_SELF_SCOUT_IMPORT'!$H$42:$H$1040,"RUSH")/$C344)</f>
        <v>1.0</v>
      </c>
      <c r="H344" s="10">
        <f>IF($C344=0,"",COUNTIFS('DEF_SELF_SCOUT_IMPORT'!$L$42:$L$1040,"Y",'DEF_SELF_SCOUT_IMPORT'!$E$42:$E$1040,SUBSTITUTE(SUBSTITUTE(SUBSTITUTE($B344,"~","~~"),"*","~*"),"?","~?"),'DEF_SELF_SCOUT_IMPORT'!$Q$42:$Q$1040,SUBSTITUTE(SUBSTITUTE(SUBSTITUTE($M344,"~","~~"),"*","~*"),"?","~?"),'DEF_SELF_SCOUT_IMPORT'!$F$42:$F$1040,SUBSTITUTE(SUBSTITUTE(SUBSTITUTE($N344,"~","~~"),"*","~*"),"?","~?"),'DEF_SELF_SCOUT_IMPORT'!$H$42:$H$1040,"DROPBACK")/$C344)</f>
        <v>0.0</v>
      </c>
      <c r="I344" s="14" t="str">
        <f>IF(C344=0,"",IF(C344&lt;=2,"TRACK",IF(C344=3,"LOW",IF(C344&lt;=6,"MEDIUM","HIGH"))))</f>
        <v>TRACK</v>
      </c>
      <c r="J344" s="11">
        <f>IF(C344=0,"",ROUND(D344*70+(1-E344)*20+MAX(0,MIN(1,(10-F344)/10))*10,1))</f>
        <v>27.0</v>
      </c>
      <c r="K344" s="14" t="str">
        <f>IF(C344=0,"No Evidence",IF(C344&lt;=2,IF(E344&gt;0,"Explosive Alert","Track Only"),IF(C344=3,"Sample Watch",IF(E344&gt;=START_HERE!$B$31,"Explosive Alert",IF(J344&gt;=80,"Strong Candidate",IF(J344&gt;=65,"Good Candidate",IF(J344&gt;=50,"Mixed / Review","Problem Call")))))))</f>
        <v>Track Only</v>
      </c>
      <c r="L344" s="9" t="str">
        <f>IF(COUNTIFS('DEF_SELF_SCOUT_IMPORT'!$L$42:$L$1040,"Y",'DEF_SELF_SCOUT_IMPORT'!$E$42:$E$1040,SUBSTITUTE(SUBSTITUTE(SUBSTITUTE($B344,"~","~~"),"*","~*"),"?","~?"),'DEF_SELF_SCOUT_IMPORT'!$Q$42:$Q$1040,SUBSTITUTE(SUBSTITUTE(SUBSTITUTE($M344,"~","~~"),"*","~*"),"?","~?"),'DEF_SELF_SCOUT_IMPORT'!$F$42:$F$1040,SUBSTITUTE(SUBSTITUTE(SUBSTITUTE($N344,"~","~~"),"*","~*"),"?","~?"),'DEF_SELF_SCOUT_IMPORT'!$J$42:$J$1040,"")&gt;0,"Unscored clean outcome; review result tags before using score.",IF(C344=0,"No matching defensive reps; film confirmation needed.",IF(K344="Explosive Alert","Explosive risk; review clips before using as answer.",IF(C344&lt;=2,"Track only; not enough sample.",IF(C344=3,IF(E344&gt;0,"Sample watch with explosive exposure; review clips and build the sample.",IF(J344&gt;=65,"Good signal, but sample is limited.","Sample watch; review clips and build the sample.")),IF(K344="Problem Call","Problem area; practice or call-sheet review.",IF(K344="Strong Candidate","Strong call-fit candidate; confirm on film.",IF(K344="Good Candidate","Good call-fit signal; confirm on film.","Mixed signal; review fit and execution on film."))))))))</f>
        <v>Track only; not enough sample.</v>
      </c>
      <c r="M344" s="8" t="s">
        <v>111</v>
      </c>
      <c r="N344" s="8" t="s">
        <v>123</v>
      </c>
      <c r="O344" s="8"/>
      <c r="P344" s="8"/>
      <c r="Q344" s="8"/>
      <c r="R344" s="8" t="s">
        <v>28</v>
      </c>
      <c r="S344" s="2" t="s">
        <v>190</v>
      </c>
      <c r="T344" s="2">
        <f>IF(C344=0,0,IF(C344&gt;=CALL_LOOKUP_BOARD!$B$7,IF(OR(K344="Problem Call",K344="Explosive Alert"),10000000,20000000),0)+IF(C344&gt;=CALL_LOOKUP_BOARD!$B$7,J344*1000+MIN(C344,999),C344*1000+J344)+0.00984100)</f>
        <v>1027.009841</v>
      </c>
      <c r="U344" s="2" t="str">
        <f>IF(C344=0,"",IF(COUNTIFS($S$186:$S$367,SUBSTITUTE(SUBSTITUTE(SUBSTITUTE(S344,"~","~~"),"*","~*"),"?","~?"),$T$186:$T$367,"&gt;"&amp;T344)=0,S344,""))</f>
        <v>6:4D 1-3|2:12|</v>
      </c>
    </row>
    <row r="345" spans="1:21" ht="38" customHeight="1">
      <c r="A345" s="8" t="s">
        <v>191</v>
      </c>
      <c r="B345" s="8" t="s">
        <v>27</v>
      </c>
      <c r="C345" s="12">
        <f>COUNTIFS('DEF_SELF_SCOUT_IMPORT'!$L$42:$L$1040,"Y",'DEF_SELF_SCOUT_IMPORT'!$E$42:$E$1040,SUBSTITUTE(SUBSTITUTE(SUBSTITUTE($B345,"~","~~"),"*","~*"),"?","~?"),'DEF_SELF_SCOUT_IMPORT'!$Q$42:$Q$1040,SUBSTITUTE(SUBSTITUTE(SUBSTITUTE($M345,"~","~~"),"*","~*"),"?","~?"),'DEF_SELF_SCOUT_IMPORT'!$F$42:$F$1040,SUBSTITUTE(SUBSTITUTE(SUBSTITUTE($N345,"~","~~"),"*","~*"),"?","~?"))</f>
        <v>1</v>
      </c>
      <c r="D345" s="10">
        <f>IF($C345=0,"",SUMIFS('DEF_SELF_SCOUT_IMPORT'!$J$42:$J$1040,'DEF_SELF_SCOUT_IMPORT'!$L$42:$L$1040,"Y",'DEF_SELF_SCOUT_IMPORT'!$E$42:$E$1040,SUBSTITUTE(SUBSTITUTE(SUBSTITUTE($B345,"~","~~"),"*","~*"),"?","~?"),'DEF_SELF_SCOUT_IMPORT'!$Q$42:$Q$1040,SUBSTITUTE(SUBSTITUTE(SUBSTITUTE($M345,"~","~~"),"*","~*"),"?","~?"),'DEF_SELF_SCOUT_IMPORT'!$F$42:$F$1040,SUBSTITUTE(SUBSTITUTE(SUBSTITUTE($N345,"~","~~"),"*","~*"),"?","~?"))/$C345)</f>
        <v>1.0</v>
      </c>
      <c r="E345" s="10">
        <f>IF($C345=0,"",SUMIFS('DEF_SELF_SCOUT_IMPORT'!$K$42:$K$1040,'DEF_SELF_SCOUT_IMPORT'!$L$42:$L$1040,"Y",'DEF_SELF_SCOUT_IMPORT'!$E$42:$E$1040,SUBSTITUTE(SUBSTITUTE(SUBSTITUTE($B345,"~","~~"),"*","~*"),"?","~?"),'DEF_SELF_SCOUT_IMPORT'!$Q$42:$Q$1040,SUBSTITUTE(SUBSTITUTE(SUBSTITUTE($M345,"~","~~"),"*","~*"),"?","~?"),'DEF_SELF_SCOUT_IMPORT'!$F$42:$F$1040,SUBSTITUTE(SUBSTITUTE(SUBSTITUTE($N345,"~","~~"),"*","~*"),"?","~?"))/$C345)</f>
        <v>0.0</v>
      </c>
      <c r="F345" s="11">
        <f>IF($C345=0,"",AVERAGEIFS('DEF_SELF_SCOUT_IMPORT'!$I$42:$I$1040,'DEF_SELF_SCOUT_IMPORT'!$L$42:$L$1040,"Y",'DEF_SELF_SCOUT_IMPORT'!$E$42:$E$1040,SUBSTITUTE(SUBSTITUTE(SUBSTITUTE($B345,"~","~~"),"*","~*"),"?","~?"),'DEF_SELF_SCOUT_IMPORT'!$Q$42:$Q$1040,SUBSTITUTE(SUBSTITUTE(SUBSTITUTE($M345,"~","~~"),"*","~*"),"?","~?"),'DEF_SELF_SCOUT_IMPORT'!$F$42:$F$1040,SUBSTITUTE(SUBSTITUTE(SUBSTITUTE($N345,"~","~~"),"*","~*"),"?","~?")))</f>
        <v>0.0</v>
      </c>
      <c r="G345" s="10">
        <f>IF($C345=0,"",COUNTIFS('DEF_SELF_SCOUT_IMPORT'!$L$42:$L$1040,"Y",'DEF_SELF_SCOUT_IMPORT'!$E$42:$E$1040,SUBSTITUTE(SUBSTITUTE(SUBSTITUTE($B345,"~","~~"),"*","~*"),"?","~?"),'DEF_SELF_SCOUT_IMPORT'!$Q$42:$Q$1040,SUBSTITUTE(SUBSTITUTE(SUBSTITUTE($M345,"~","~~"),"*","~*"),"?","~?"),'DEF_SELF_SCOUT_IMPORT'!$F$42:$F$1040,SUBSTITUTE(SUBSTITUTE(SUBSTITUTE($N345,"~","~~"),"*","~*"),"?","~?"),'DEF_SELF_SCOUT_IMPORT'!$H$42:$H$1040,"RUSH")/$C345)</f>
        <v>0.0</v>
      </c>
      <c r="H345" s="10">
        <f>IF($C345=0,"",COUNTIFS('DEF_SELF_SCOUT_IMPORT'!$L$42:$L$1040,"Y",'DEF_SELF_SCOUT_IMPORT'!$E$42:$E$1040,SUBSTITUTE(SUBSTITUTE(SUBSTITUTE($B345,"~","~~"),"*","~*"),"?","~?"),'DEF_SELF_SCOUT_IMPORT'!$Q$42:$Q$1040,SUBSTITUTE(SUBSTITUTE(SUBSTITUTE($M345,"~","~~"),"*","~*"),"?","~?"),'DEF_SELF_SCOUT_IMPORT'!$F$42:$F$1040,SUBSTITUTE(SUBSTITUTE(SUBSTITUTE($N345,"~","~~"),"*","~*"),"?","~?"),'DEF_SELF_SCOUT_IMPORT'!$H$42:$H$1040,"DROPBACK")/$C345)</f>
        <v>1.0</v>
      </c>
      <c r="I345" s="14" t="str">
        <f>IF(C345=0,"",IF(C345&lt;=2,"TRACK",IF(C345=3,"LOW",IF(C345&lt;=6,"MEDIUM","HIGH"))))</f>
        <v>TRACK</v>
      </c>
      <c r="J345" s="11">
        <f>IF(C345=0,"",ROUND(D345*70+(1-E345)*20+MAX(0,MIN(1,(10-F345)/10))*10,1))</f>
        <v>100.0</v>
      </c>
      <c r="K345" s="14" t="str">
        <f>IF(C345=0,"No Evidence",IF(C345&lt;=2,IF(E345&gt;0,"Explosive Alert","Track Only"),IF(C345=3,"Sample Watch",IF(E345&gt;=START_HERE!$B$31,"Explosive Alert",IF(J345&gt;=80,"Strong Candidate",IF(J345&gt;=65,"Good Candidate",IF(J345&gt;=50,"Mixed / Review","Problem Call")))))))</f>
        <v>Track Only</v>
      </c>
      <c r="L345" s="9" t="str">
        <f>IF(COUNTIFS('DEF_SELF_SCOUT_IMPORT'!$L$42:$L$1040,"Y",'DEF_SELF_SCOUT_IMPORT'!$E$42:$E$1040,SUBSTITUTE(SUBSTITUTE(SUBSTITUTE($B345,"~","~~"),"*","~*"),"?","~?"),'DEF_SELF_SCOUT_IMPORT'!$Q$42:$Q$1040,SUBSTITUTE(SUBSTITUTE(SUBSTITUTE($M345,"~","~~"),"*","~*"),"?","~?"),'DEF_SELF_SCOUT_IMPORT'!$F$42:$F$1040,SUBSTITUTE(SUBSTITUTE(SUBSTITUTE($N345,"~","~~"),"*","~*"),"?","~?"),'DEF_SELF_SCOUT_IMPORT'!$J$42:$J$1040,"")&gt;0,"Unscored clean outcome; review result tags before using score.",IF(C345=0,"No matching defensive reps; film confirmation needed.",IF(K345="Explosive Alert","Explosive risk; review clips before using as answer.",IF(C345&lt;=2,"Track only; not enough sample.",IF(C345=3,IF(E345&gt;0,"Sample watch with explosive exposure; review clips and build the sample.",IF(J345&gt;=65,"Good signal, but sample is limited.","Sample watch; review clips and build the sample.")),IF(K345="Problem Call","Problem area; practice or call-sheet review.",IF(K345="Strong Candidate","Strong call-fit candidate; confirm on film.",IF(K345="Good Candidate","Good call-fit signal; confirm on film.","Mixed signal; review fit and execution on film."))))))))</f>
        <v>Track only; not enough sample.</v>
      </c>
      <c r="M345" s="8" t="s">
        <v>113</v>
      </c>
      <c r="N345" s="8" t="s">
        <v>132</v>
      </c>
      <c r="O345" s="8"/>
      <c r="P345" s="8"/>
      <c r="Q345" s="8"/>
      <c r="R345" s="8" t="s">
        <v>28</v>
      </c>
      <c r="S345" s="2" t="s">
        <v>192</v>
      </c>
      <c r="T345" s="2">
        <f>IF(C345=0,0,IF(C345&gt;=CALL_LOOKUP_BOARD!$B$7,IF(OR(K345="Problem Call",K345="Explosive Alert"),10000000,20000000),0)+IF(C345&gt;=CALL_LOOKUP_BOARD!$B$7,J345*1000+MIN(C345,999),C345*1000+J345)+0.00984000)</f>
        <v>1100.00984</v>
      </c>
      <c r="U345" s="2" t="str">
        <f>IF(C345=0,"",IF(COUNTIFS($S$186:$S$367,SUBSTITUTE(SUBSTITUTE(SUBSTITUTE(S345,"~","~~"),"*","~*"),"?","~?"),$T$186:$T$367,"&gt;"&amp;T345)=0,S345,""))</f>
        <v>6:4D 4-6|2:00|</v>
      </c>
    </row>
    <row r="346" spans="1:21" ht="38" customHeight="1">
      <c r="A346" s="8" t="s">
        <v>193</v>
      </c>
      <c r="B346" s="8" t="s">
        <v>42</v>
      </c>
      <c r="C346" s="12">
        <f>COUNTIFS('DEF_SELF_SCOUT_IMPORT'!$L$42:$L$1040,"Y",'DEF_SELF_SCOUT_IMPORT'!$E$42:$E$1040,SUBSTITUTE(SUBSTITUTE(SUBSTITUTE($B346,"~","~~"),"*","~*"),"?","~?"),'DEF_SELF_SCOUT_IMPORT'!$Q$42:$Q$1040,SUBSTITUTE(SUBSTITUTE(SUBSTITUTE($M346,"~","~~"),"*","~*"),"?","~?"),'DEF_SELF_SCOUT_IMPORT'!$F$42:$F$1040,SUBSTITUTE(SUBSTITUTE(SUBSTITUTE($N346,"~","~~"),"*","~*"),"?","~?"))</f>
        <v>1</v>
      </c>
      <c r="D346" s="10">
        <f>IF($C346=0,"",SUMIFS('DEF_SELF_SCOUT_IMPORT'!$J$42:$J$1040,'DEF_SELF_SCOUT_IMPORT'!$L$42:$L$1040,"Y",'DEF_SELF_SCOUT_IMPORT'!$E$42:$E$1040,SUBSTITUTE(SUBSTITUTE(SUBSTITUTE($B346,"~","~~"),"*","~*"),"?","~?"),'DEF_SELF_SCOUT_IMPORT'!$Q$42:$Q$1040,SUBSTITUTE(SUBSTITUTE(SUBSTITUTE($M346,"~","~~"),"*","~*"),"?","~?"),'DEF_SELF_SCOUT_IMPORT'!$F$42:$F$1040,SUBSTITUTE(SUBSTITUTE(SUBSTITUTE($N346,"~","~~"),"*","~*"),"?","~?"))/$C346)</f>
        <v>0.0</v>
      </c>
      <c r="E346" s="10">
        <f>IF($C346=0,"",SUMIFS('DEF_SELF_SCOUT_IMPORT'!$K$42:$K$1040,'DEF_SELF_SCOUT_IMPORT'!$L$42:$L$1040,"Y",'DEF_SELF_SCOUT_IMPORT'!$E$42:$E$1040,SUBSTITUTE(SUBSTITUTE(SUBSTITUTE($B346,"~","~~"),"*","~*"),"?","~?"),'DEF_SELF_SCOUT_IMPORT'!$Q$42:$Q$1040,SUBSTITUTE(SUBSTITUTE(SUBSTITUTE($M346,"~","~~"),"*","~*"),"?","~?"),'DEF_SELF_SCOUT_IMPORT'!$F$42:$F$1040,SUBSTITUTE(SUBSTITUTE(SUBSTITUTE($N346,"~","~~"),"*","~*"),"?","~?"))/$C346)</f>
        <v>1.0</v>
      </c>
      <c r="F346" s="11">
        <f>IF($C346=0,"",AVERAGEIFS('DEF_SELF_SCOUT_IMPORT'!$I$42:$I$1040,'DEF_SELF_SCOUT_IMPORT'!$L$42:$L$1040,"Y",'DEF_SELF_SCOUT_IMPORT'!$E$42:$E$1040,SUBSTITUTE(SUBSTITUTE(SUBSTITUTE($B346,"~","~~"),"*","~*"),"?","~?"),'DEF_SELF_SCOUT_IMPORT'!$Q$42:$Q$1040,SUBSTITUTE(SUBSTITUTE(SUBSTITUTE($M346,"~","~~"),"*","~*"),"?","~?"),'DEF_SELF_SCOUT_IMPORT'!$F$42:$F$1040,SUBSTITUTE(SUBSTITUTE(SUBSTITUTE($N346,"~","~~"),"*","~*"),"?","~?")))</f>
        <v>29.0</v>
      </c>
      <c r="G346" s="10">
        <f>IF($C346=0,"",COUNTIFS('DEF_SELF_SCOUT_IMPORT'!$L$42:$L$1040,"Y",'DEF_SELF_SCOUT_IMPORT'!$E$42:$E$1040,SUBSTITUTE(SUBSTITUTE(SUBSTITUTE($B346,"~","~~"),"*","~*"),"?","~?"),'DEF_SELF_SCOUT_IMPORT'!$Q$42:$Q$1040,SUBSTITUTE(SUBSTITUTE(SUBSTITUTE($M346,"~","~~"),"*","~*"),"?","~?"),'DEF_SELF_SCOUT_IMPORT'!$F$42:$F$1040,SUBSTITUTE(SUBSTITUTE(SUBSTITUTE($N346,"~","~~"),"*","~*"),"?","~?"),'DEF_SELF_SCOUT_IMPORT'!$H$42:$H$1040,"RUSH")/$C346)</f>
        <v>0.0</v>
      </c>
      <c r="H346" s="10">
        <f>IF($C346=0,"",COUNTIFS('DEF_SELF_SCOUT_IMPORT'!$L$42:$L$1040,"Y",'DEF_SELF_SCOUT_IMPORT'!$E$42:$E$1040,SUBSTITUTE(SUBSTITUTE(SUBSTITUTE($B346,"~","~~"),"*","~*"),"?","~?"),'DEF_SELF_SCOUT_IMPORT'!$Q$42:$Q$1040,SUBSTITUTE(SUBSTITUTE(SUBSTITUTE($M346,"~","~~"),"*","~*"),"?","~?"),'DEF_SELF_SCOUT_IMPORT'!$F$42:$F$1040,SUBSTITUTE(SUBSTITUTE(SUBSTITUTE($N346,"~","~~"),"*","~*"),"?","~?"),'DEF_SELF_SCOUT_IMPORT'!$H$42:$H$1040,"DROPBACK")/$C346)</f>
        <v>1.0</v>
      </c>
      <c r="I346" s="14" t="str">
        <f>IF(C346=0,"",IF(C346&lt;=2,"TRACK",IF(C346=3,"LOW",IF(C346&lt;=6,"MEDIUM","HIGH"))))</f>
        <v>TRACK</v>
      </c>
      <c r="J346" s="11">
        <f>IF(C346=0,"",ROUND(D346*70+(1-E346)*20+MAX(0,MIN(1,(10-F346)/10))*10,1))</f>
        <v>0.0</v>
      </c>
      <c r="K346" s="14" t="str">
        <f>IF(C346=0,"No Evidence",IF(C346&lt;=2,IF(E346&gt;0,"Explosive Alert","Track Only"),IF(C346=3,"Sample Watch",IF(E346&gt;=START_HERE!$B$31,"Explosive Alert",IF(J346&gt;=80,"Strong Candidate",IF(J346&gt;=65,"Good Candidate",IF(J346&gt;=50,"Mixed / Review","Problem Call")))))))</f>
        <v>Explosive Alert</v>
      </c>
      <c r="L346" s="9" t="str">
        <f>IF(COUNTIFS('DEF_SELF_SCOUT_IMPORT'!$L$42:$L$1040,"Y",'DEF_SELF_SCOUT_IMPORT'!$E$42:$E$1040,SUBSTITUTE(SUBSTITUTE(SUBSTITUTE($B346,"~","~~"),"*","~*"),"?","~?"),'DEF_SELF_SCOUT_IMPORT'!$Q$42:$Q$1040,SUBSTITUTE(SUBSTITUTE(SUBSTITUTE($M346,"~","~~"),"*","~*"),"?","~?"),'DEF_SELF_SCOUT_IMPORT'!$F$42:$F$1040,SUBSTITUTE(SUBSTITUTE(SUBSTITUTE($N346,"~","~~"),"*","~*"),"?","~?"),'DEF_SELF_SCOUT_IMPORT'!$J$42:$J$1040,"")&gt;0,"Unscored clean outcome; review result tags before using score.",IF(C346=0,"No matching defensive reps; film confirmation needed.",IF(K346="Explosive Alert","Explosive risk; review clips before using as answer.",IF(C346&lt;=2,"Track only; not enough sample.",IF(C346=3,IF(E346&gt;0,"Sample watch with explosive exposure; review clips and build the sample.",IF(J346&gt;=65,"Good signal, but sample is limited.","Sample watch; review clips and build the sample.")),IF(K346="Problem Call","Problem area; practice or call-sheet review.",IF(K346="Strong Candidate","Strong call-fit candidate; confirm on film.",IF(K346="Good Candidate","Good call-fit signal; confirm on film.","Mixed signal; review fit and execution on film."))))))))</f>
        <v>Explosive risk; review clips before using as answer.</v>
      </c>
      <c r="M346" s="8" t="s">
        <v>113</v>
      </c>
      <c r="N346" s="8" t="s">
        <v>120</v>
      </c>
      <c r="O346" s="8"/>
      <c r="P346" s="8"/>
      <c r="Q346" s="8"/>
      <c r="R346" s="8" t="s">
        <v>28</v>
      </c>
      <c r="S346" s="2" t="s">
        <v>194</v>
      </c>
      <c r="T346" s="2">
        <f>IF(C346=0,0,IF(C346&gt;=CALL_LOOKUP_BOARD!$B$7,IF(OR(K346="Problem Call",K346="Explosive Alert"),10000000,20000000),0)+IF(C346&gt;=CALL_LOOKUP_BOARD!$B$7,J346*1000+MIN(C346,999),C346*1000+J346)+0.00983900)</f>
        <v>1000.009839</v>
      </c>
      <c r="U346" s="2" t="str">
        <f>IF(C346=0,"",IF(COUNTIFS($S$186:$S$367,SUBSTITUTE(SUBSTITUTE(SUBSTITUTE(S346,"~","~~"),"*","~*"),"?","~?"),$T$186:$T$367,"&gt;"&amp;T346)=0,S346,""))</f>
        <v>6:4D 4-6|2:11|</v>
      </c>
    </row>
    <row r="347" spans="1:21" ht="38" customHeight="1">
      <c r="A347" s="8" t="s">
        <v>195</v>
      </c>
      <c r="B347" s="8" t="s">
        <v>44</v>
      </c>
      <c r="C347" s="12">
        <f>COUNTIFS('DEF_SELF_SCOUT_IMPORT'!$L$42:$L$1040,"Y",'DEF_SELF_SCOUT_IMPORT'!$E$42:$E$1040,SUBSTITUTE(SUBSTITUTE(SUBSTITUTE($B347,"~","~~"),"*","~*"),"?","~?"),'DEF_SELF_SCOUT_IMPORT'!$Q$42:$Q$1040,SUBSTITUTE(SUBSTITUTE(SUBSTITUTE($M347,"~","~~"),"*","~*"),"?","~?"),'DEF_SELF_SCOUT_IMPORT'!$F$42:$F$1040,SUBSTITUTE(SUBSTITUTE(SUBSTITUTE($N347,"~","~~"),"*","~*"),"?","~?"))</f>
        <v>3</v>
      </c>
      <c r="D347" s="10">
        <f>IF($C347=0,"",SUMIFS('DEF_SELF_SCOUT_IMPORT'!$J$42:$J$1040,'DEF_SELF_SCOUT_IMPORT'!$L$42:$L$1040,"Y",'DEF_SELF_SCOUT_IMPORT'!$E$42:$E$1040,SUBSTITUTE(SUBSTITUTE(SUBSTITUTE($B347,"~","~~"),"*","~*"),"?","~?"),'DEF_SELF_SCOUT_IMPORT'!$Q$42:$Q$1040,SUBSTITUTE(SUBSTITUTE(SUBSTITUTE($M347,"~","~~"),"*","~*"),"?","~?"),'DEF_SELF_SCOUT_IMPORT'!$F$42:$F$1040,SUBSTITUTE(SUBSTITUTE(SUBSTITUTE($N347,"~","~~"),"*","~*"),"?","~?"))/$C347)</f>
        <v>0.0</v>
      </c>
      <c r="E347" s="10">
        <f>IF($C347=0,"",SUMIFS('DEF_SELF_SCOUT_IMPORT'!$K$42:$K$1040,'DEF_SELF_SCOUT_IMPORT'!$L$42:$L$1040,"Y",'DEF_SELF_SCOUT_IMPORT'!$E$42:$E$1040,SUBSTITUTE(SUBSTITUTE(SUBSTITUTE($B347,"~","~~"),"*","~*"),"?","~?"),'DEF_SELF_SCOUT_IMPORT'!$Q$42:$Q$1040,SUBSTITUTE(SUBSTITUTE(SUBSTITUTE($M347,"~","~~"),"*","~*"),"?","~?"),'DEF_SELF_SCOUT_IMPORT'!$F$42:$F$1040,SUBSTITUTE(SUBSTITUTE(SUBSTITUTE($N347,"~","~~"),"*","~*"),"?","~?"))/$C347)</f>
        <v>0.3333333333333333</v>
      </c>
      <c r="F347" s="11">
        <f>IF($C347=0,"",AVERAGEIFS('DEF_SELF_SCOUT_IMPORT'!$I$42:$I$1040,'DEF_SELF_SCOUT_IMPORT'!$L$42:$L$1040,"Y",'DEF_SELF_SCOUT_IMPORT'!$E$42:$E$1040,SUBSTITUTE(SUBSTITUTE(SUBSTITUTE($B347,"~","~~"),"*","~*"),"?","~?"),'DEF_SELF_SCOUT_IMPORT'!$Q$42:$Q$1040,SUBSTITUTE(SUBSTITUTE(SUBSTITUTE($M347,"~","~~"),"*","~*"),"?","~?"),'DEF_SELF_SCOUT_IMPORT'!$F$42:$F$1040,SUBSTITUTE(SUBSTITUTE(SUBSTITUTE($N347,"~","~~"),"*","~*"),"?","~?")))</f>
        <v>19.0</v>
      </c>
      <c r="G347" s="10">
        <f>IF($C347=0,"",COUNTIFS('DEF_SELF_SCOUT_IMPORT'!$L$42:$L$1040,"Y",'DEF_SELF_SCOUT_IMPORT'!$E$42:$E$1040,SUBSTITUTE(SUBSTITUTE(SUBSTITUTE($B347,"~","~~"),"*","~*"),"?","~?"),'DEF_SELF_SCOUT_IMPORT'!$Q$42:$Q$1040,SUBSTITUTE(SUBSTITUTE(SUBSTITUTE($M347,"~","~~"),"*","~*"),"?","~?"),'DEF_SELF_SCOUT_IMPORT'!$F$42:$F$1040,SUBSTITUTE(SUBSTITUTE(SUBSTITUTE($N347,"~","~~"),"*","~*"),"?","~?"),'DEF_SELF_SCOUT_IMPORT'!$H$42:$H$1040,"RUSH")/$C347)</f>
        <v>0.6666666666666666</v>
      </c>
      <c r="H347" s="10">
        <f>IF($C347=0,"",COUNTIFS('DEF_SELF_SCOUT_IMPORT'!$L$42:$L$1040,"Y",'DEF_SELF_SCOUT_IMPORT'!$E$42:$E$1040,SUBSTITUTE(SUBSTITUTE(SUBSTITUTE($B347,"~","~~"),"*","~*"),"?","~?"),'DEF_SELF_SCOUT_IMPORT'!$Q$42:$Q$1040,SUBSTITUTE(SUBSTITUTE(SUBSTITUTE($M347,"~","~~"),"*","~*"),"?","~?"),'DEF_SELF_SCOUT_IMPORT'!$F$42:$F$1040,SUBSTITUTE(SUBSTITUTE(SUBSTITUTE($N347,"~","~~"),"*","~*"),"?","~?"),'DEF_SELF_SCOUT_IMPORT'!$H$42:$H$1040,"DROPBACK")/$C347)</f>
        <v>0.3333333333333333</v>
      </c>
      <c r="I347" s="14" t="str">
        <f>IF(C347=0,"",IF(C347&lt;=2,"TRACK",IF(C347=3,"LOW",IF(C347&lt;=6,"MEDIUM","HIGH"))))</f>
        <v>LOW</v>
      </c>
      <c r="J347" s="11">
        <f>IF(C347=0,"",ROUND(D347*70+(1-E347)*20+MAX(0,MIN(1,(10-F347)/10))*10,1))</f>
        <v>13.3</v>
      </c>
      <c r="K347" s="14" t="str">
        <f>IF(C347=0,"No Evidence",IF(C347&lt;=2,IF(E347&gt;0,"Explosive Alert","Track Only"),IF(C347=3,"Sample Watch",IF(E347&gt;=START_HERE!$B$31,"Explosive Alert",IF(J347&gt;=80,"Strong Candidate",IF(J347&gt;=65,"Good Candidate",IF(J347&gt;=50,"Mixed / Review","Problem Call")))))))</f>
        <v>Sample Watch</v>
      </c>
      <c r="L347" s="9" t="str">
        <f>IF(COUNTIFS('DEF_SELF_SCOUT_IMPORT'!$L$42:$L$1040,"Y",'DEF_SELF_SCOUT_IMPORT'!$E$42:$E$1040,SUBSTITUTE(SUBSTITUTE(SUBSTITUTE($B347,"~","~~"),"*","~*"),"?","~?"),'DEF_SELF_SCOUT_IMPORT'!$Q$42:$Q$1040,SUBSTITUTE(SUBSTITUTE(SUBSTITUTE($M347,"~","~~"),"*","~*"),"?","~?"),'DEF_SELF_SCOUT_IMPORT'!$F$42:$F$1040,SUBSTITUTE(SUBSTITUTE(SUBSTITUTE($N347,"~","~~"),"*","~*"),"?","~?"),'DEF_SELF_SCOUT_IMPORT'!$J$42:$J$1040,"")&gt;0,"Unscored clean outcome; review result tags before using score.",IF(C347=0,"No matching defensive reps; film confirmation needed.",IF(K347="Explosive Alert","Explosive risk; review clips before using as answer.",IF(C347&lt;=2,"Track only; not enough sample.",IF(C347=3,IF(E347&gt;0,"Sample watch with explosive exposure; review clips and build the sample.",IF(J347&gt;=65,"Good signal, but sample is limited.","Sample watch; review clips and build the sample.")),IF(K347="Problem Call","Problem area; practice or call-sheet review.",IF(K347="Strong Candidate","Strong call-fit candidate; confirm on film.",IF(K347="Good Candidate","Good call-fit signal; confirm on film.","Mixed signal; review fit and execution on film."))))))))</f>
        <v>Sample watch with explosive exposure; review clips and build the sample.</v>
      </c>
      <c r="M347" s="8" t="s">
        <v>115</v>
      </c>
      <c r="N347" s="8" t="s">
        <v>132</v>
      </c>
      <c r="O347" s="8"/>
      <c r="P347" s="8"/>
      <c r="Q347" s="8"/>
      <c r="R347" s="8" t="s">
        <v>28</v>
      </c>
      <c r="S347" s="2" t="s">
        <v>196</v>
      </c>
      <c r="T347" s="2">
        <f>IF(C347=0,0,IF(C347&gt;=CALL_LOOKUP_BOARD!$B$7,IF(OR(K347="Problem Call",K347="Explosive Alert"),10000000,20000000),0)+IF(C347&gt;=CALL_LOOKUP_BOARD!$B$7,J347*1000+MIN(C347,999),C347*1000+J347)+0.00983800)</f>
        <v>3013.309838</v>
      </c>
      <c r="U347" s="2" t="str">
        <f>IF(C347=0,"",IF(COUNTIFS($S$186:$S$367,SUBSTITUTE(SUBSTITUTE(SUBSTITUTE(S347,"~","~~"),"*","~*"),"?","~?"),$T$186:$T$367,"&gt;"&amp;T347)=0,S347,""))</f>
        <v>4:P&amp;10|2:00|</v>
      </c>
    </row>
    <row r="348" spans="1:21" ht="38" customHeight="1">
      <c r="A348" s="8" t="s">
        <v>197</v>
      </c>
      <c r="B348" s="8" t="s">
        <v>43</v>
      </c>
      <c r="C348" s="12">
        <f>COUNTIFS('DEF_SELF_SCOUT_IMPORT'!$L$42:$L$1040,"Y",'DEF_SELF_SCOUT_IMPORT'!$E$42:$E$1040,SUBSTITUTE(SUBSTITUTE(SUBSTITUTE($B348,"~","~~"),"*","~*"),"?","~?"),'DEF_SELF_SCOUT_IMPORT'!$Q$42:$Q$1040,SUBSTITUTE(SUBSTITUTE(SUBSTITUTE($M348,"~","~~"),"*","~*"),"?","~?"),'DEF_SELF_SCOUT_IMPORT'!$F$42:$F$1040,SUBSTITUTE(SUBSTITUTE(SUBSTITUTE($N348,"~","~~"),"*","~*"),"?","~?"))</f>
        <v>1</v>
      </c>
      <c r="D348" s="10">
        <f>IF($C348=0,"",SUMIFS('DEF_SELF_SCOUT_IMPORT'!$J$42:$J$1040,'DEF_SELF_SCOUT_IMPORT'!$L$42:$L$1040,"Y",'DEF_SELF_SCOUT_IMPORT'!$E$42:$E$1040,SUBSTITUTE(SUBSTITUTE(SUBSTITUTE($B348,"~","~~"),"*","~*"),"?","~?"),'DEF_SELF_SCOUT_IMPORT'!$Q$42:$Q$1040,SUBSTITUTE(SUBSTITUTE(SUBSTITUTE($M348,"~","~~"),"*","~*"),"?","~?"),'DEF_SELF_SCOUT_IMPORT'!$F$42:$F$1040,SUBSTITUTE(SUBSTITUTE(SUBSTITUTE($N348,"~","~~"),"*","~*"),"?","~?"))/$C348)</f>
        <v>1.0</v>
      </c>
      <c r="E348" s="10">
        <f>IF($C348=0,"",SUMIFS('DEF_SELF_SCOUT_IMPORT'!$K$42:$K$1040,'DEF_SELF_SCOUT_IMPORT'!$L$42:$L$1040,"Y",'DEF_SELF_SCOUT_IMPORT'!$E$42:$E$1040,SUBSTITUTE(SUBSTITUTE(SUBSTITUTE($B348,"~","~~"),"*","~*"),"?","~?"),'DEF_SELF_SCOUT_IMPORT'!$Q$42:$Q$1040,SUBSTITUTE(SUBSTITUTE(SUBSTITUTE($M348,"~","~~"),"*","~*"),"?","~?"),'DEF_SELF_SCOUT_IMPORT'!$F$42:$F$1040,SUBSTITUTE(SUBSTITUTE(SUBSTITUTE($N348,"~","~~"),"*","~*"),"?","~?"))/$C348)</f>
        <v>0.0</v>
      </c>
      <c r="F348" s="11">
        <f>IF($C348=0,"",AVERAGEIFS('DEF_SELF_SCOUT_IMPORT'!$I$42:$I$1040,'DEF_SELF_SCOUT_IMPORT'!$L$42:$L$1040,"Y",'DEF_SELF_SCOUT_IMPORT'!$E$42:$E$1040,SUBSTITUTE(SUBSTITUTE(SUBSTITUTE($B348,"~","~~"),"*","~*"),"?","~?"),'DEF_SELF_SCOUT_IMPORT'!$Q$42:$Q$1040,SUBSTITUTE(SUBSTITUTE(SUBSTITUTE($M348,"~","~~"),"*","~*"),"?","~?"),'DEF_SELF_SCOUT_IMPORT'!$F$42:$F$1040,SUBSTITUTE(SUBSTITUTE(SUBSTITUTE($N348,"~","~~"),"*","~*"),"?","~?")))</f>
        <v>3.0</v>
      </c>
      <c r="G348" s="10">
        <f>IF($C348=0,"",COUNTIFS('DEF_SELF_SCOUT_IMPORT'!$L$42:$L$1040,"Y",'DEF_SELF_SCOUT_IMPORT'!$E$42:$E$1040,SUBSTITUTE(SUBSTITUTE(SUBSTITUTE($B348,"~","~~"),"*","~*"),"?","~?"),'DEF_SELF_SCOUT_IMPORT'!$Q$42:$Q$1040,SUBSTITUTE(SUBSTITUTE(SUBSTITUTE($M348,"~","~~"),"*","~*"),"?","~?"),'DEF_SELF_SCOUT_IMPORT'!$F$42:$F$1040,SUBSTITUTE(SUBSTITUTE(SUBSTITUTE($N348,"~","~~"),"*","~*"),"?","~?"),'DEF_SELF_SCOUT_IMPORT'!$H$42:$H$1040,"RUSH")/$C348)</f>
        <v>0.0</v>
      </c>
      <c r="H348" s="10">
        <f>IF($C348=0,"",COUNTIFS('DEF_SELF_SCOUT_IMPORT'!$L$42:$L$1040,"Y",'DEF_SELF_SCOUT_IMPORT'!$E$42:$E$1040,SUBSTITUTE(SUBSTITUTE(SUBSTITUTE($B348,"~","~~"),"*","~*"),"?","~?"),'DEF_SELF_SCOUT_IMPORT'!$Q$42:$Q$1040,SUBSTITUTE(SUBSTITUTE(SUBSTITUTE($M348,"~","~~"),"*","~*"),"?","~?"),'DEF_SELF_SCOUT_IMPORT'!$F$42:$F$1040,SUBSTITUTE(SUBSTITUTE(SUBSTITUTE($N348,"~","~~"),"*","~*"),"?","~?"),'DEF_SELF_SCOUT_IMPORT'!$H$42:$H$1040,"DROPBACK")/$C348)</f>
        <v>1.0</v>
      </c>
      <c r="I348" s="14" t="str">
        <f>IF(C348=0,"",IF(C348&lt;=2,"TRACK",IF(C348=3,"LOW",IF(C348&lt;=6,"MEDIUM","HIGH"))))</f>
        <v>TRACK</v>
      </c>
      <c r="J348" s="11">
        <f>IF(C348=0,"",ROUND(D348*70+(1-E348)*20+MAX(0,MIN(1,(10-F348)/10))*10,1))</f>
        <v>97.0</v>
      </c>
      <c r="K348" s="14" t="str">
        <f>IF(C348=0,"No Evidence",IF(C348&lt;=2,IF(E348&gt;0,"Explosive Alert","Track Only"),IF(C348=3,"Sample Watch",IF(E348&gt;=START_HERE!$B$31,"Explosive Alert",IF(J348&gt;=80,"Strong Candidate",IF(J348&gt;=65,"Good Candidate",IF(J348&gt;=50,"Mixed / Review","Problem Call")))))))</f>
        <v>Track Only</v>
      </c>
      <c r="L348" s="9" t="str">
        <f>IF(COUNTIFS('DEF_SELF_SCOUT_IMPORT'!$L$42:$L$1040,"Y",'DEF_SELF_SCOUT_IMPORT'!$E$42:$E$1040,SUBSTITUTE(SUBSTITUTE(SUBSTITUTE($B348,"~","~~"),"*","~*"),"?","~?"),'DEF_SELF_SCOUT_IMPORT'!$Q$42:$Q$1040,SUBSTITUTE(SUBSTITUTE(SUBSTITUTE($M348,"~","~~"),"*","~*"),"?","~?"),'DEF_SELF_SCOUT_IMPORT'!$F$42:$F$1040,SUBSTITUTE(SUBSTITUTE(SUBSTITUTE($N348,"~","~~"),"*","~*"),"?","~?"),'DEF_SELF_SCOUT_IMPORT'!$J$42:$J$1040,"")&gt;0,"Unscored clean outcome; review result tags before using score.",IF(C348=0,"No matching defensive reps; film confirmation needed.",IF(K348="Explosive Alert","Explosive risk; review clips before using as answer.",IF(C348&lt;=2,"Track only; not enough sample.",IF(C348=3,IF(E348&gt;0,"Sample watch with explosive exposure; review clips and build the sample.",IF(J348&gt;=65,"Good signal, but sample is limited.","Sample watch; review clips and build the sample.")),IF(K348="Problem Call","Problem area; practice or call-sheet review.",IF(K348="Strong Candidate","Strong call-fit candidate; confirm on film.",IF(K348="Good Candidate","Good call-fit signal; confirm on film.","Mixed signal; review fit and execution on film."))))))))</f>
        <v>Track only; not enough sample.</v>
      </c>
      <c r="M348" s="8" t="s">
        <v>115</v>
      </c>
      <c r="N348" s="8" t="s">
        <v>120</v>
      </c>
      <c r="O348" s="8"/>
      <c r="P348" s="8"/>
      <c r="Q348" s="8"/>
      <c r="R348" s="8" t="s">
        <v>28</v>
      </c>
      <c r="S348" s="2" t="s">
        <v>198</v>
      </c>
      <c r="T348" s="2">
        <f>IF(C348=0,0,IF(C348&gt;=CALL_LOOKUP_BOARD!$B$7,IF(OR(K348="Problem Call",K348="Explosive Alert"),10000000,20000000),0)+IF(C348&gt;=CALL_LOOKUP_BOARD!$B$7,J348*1000+MIN(C348,999),C348*1000+J348)+0.00983700)</f>
        <v>1097.009837</v>
      </c>
      <c r="U348" s="2">
        <f>IF(C348=0,"",IF(COUNTIFS($S$186:$S$367,SUBSTITUTE(SUBSTITUTE(SUBSTITUTE(S348,"~","~~"),"*","~*"),"?","~?"),$T$186:$T$367,"&gt;"&amp;T348)=0,S348,""))</f>
        <v/>
      </c>
    </row>
    <row r="349" spans="1:21" ht="38" customHeight="1">
      <c r="A349" s="8" t="s">
        <v>197</v>
      </c>
      <c r="B349" s="8" t="s">
        <v>32</v>
      </c>
      <c r="C349" s="12">
        <f>COUNTIFS('DEF_SELF_SCOUT_IMPORT'!$L$42:$L$1040,"Y",'DEF_SELF_SCOUT_IMPORT'!$E$42:$E$1040,SUBSTITUTE(SUBSTITUTE(SUBSTITUTE($B349,"~","~~"),"*","~*"),"?","~?"),'DEF_SELF_SCOUT_IMPORT'!$Q$42:$Q$1040,SUBSTITUTE(SUBSTITUTE(SUBSTITUTE($M349,"~","~~"),"*","~*"),"?","~?"),'DEF_SELF_SCOUT_IMPORT'!$F$42:$F$1040,SUBSTITUTE(SUBSTITUTE(SUBSTITUTE($N349,"~","~~"),"*","~*"),"?","~?"))</f>
        <v>1</v>
      </c>
      <c r="D349" s="10">
        <f>IF($C349=0,"",SUMIFS('DEF_SELF_SCOUT_IMPORT'!$J$42:$J$1040,'DEF_SELF_SCOUT_IMPORT'!$L$42:$L$1040,"Y",'DEF_SELF_SCOUT_IMPORT'!$E$42:$E$1040,SUBSTITUTE(SUBSTITUTE(SUBSTITUTE($B349,"~","~~"),"*","~*"),"?","~?"),'DEF_SELF_SCOUT_IMPORT'!$Q$42:$Q$1040,SUBSTITUTE(SUBSTITUTE(SUBSTITUTE($M349,"~","~~"),"*","~*"),"?","~?"),'DEF_SELF_SCOUT_IMPORT'!$F$42:$F$1040,SUBSTITUTE(SUBSTITUTE(SUBSTITUTE($N349,"~","~~"),"*","~*"),"?","~?"))/$C349)</f>
        <v>0.0</v>
      </c>
      <c r="E349" s="10">
        <f>IF($C349=0,"",SUMIFS('DEF_SELF_SCOUT_IMPORT'!$K$42:$K$1040,'DEF_SELF_SCOUT_IMPORT'!$L$42:$L$1040,"Y",'DEF_SELF_SCOUT_IMPORT'!$E$42:$E$1040,SUBSTITUTE(SUBSTITUTE(SUBSTITUTE($B349,"~","~~"),"*","~*"),"?","~?"),'DEF_SELF_SCOUT_IMPORT'!$Q$42:$Q$1040,SUBSTITUTE(SUBSTITUTE(SUBSTITUTE($M349,"~","~~"),"*","~*"),"?","~?"),'DEF_SELF_SCOUT_IMPORT'!$F$42:$F$1040,SUBSTITUTE(SUBSTITUTE(SUBSTITUTE($N349,"~","~~"),"*","~*"),"?","~?"))/$C349)</f>
        <v>1.0</v>
      </c>
      <c r="F349" s="11">
        <f>IF($C349=0,"",AVERAGEIFS('DEF_SELF_SCOUT_IMPORT'!$I$42:$I$1040,'DEF_SELF_SCOUT_IMPORT'!$L$42:$L$1040,"Y",'DEF_SELF_SCOUT_IMPORT'!$E$42:$E$1040,SUBSTITUTE(SUBSTITUTE(SUBSTITUTE($B349,"~","~~"),"*","~*"),"?","~?"),'DEF_SELF_SCOUT_IMPORT'!$Q$42:$Q$1040,SUBSTITUTE(SUBSTITUTE(SUBSTITUTE($M349,"~","~~"),"*","~*"),"?","~?"),'DEF_SELF_SCOUT_IMPORT'!$F$42:$F$1040,SUBSTITUTE(SUBSTITUTE(SUBSTITUTE($N349,"~","~~"),"*","~*"),"?","~?")))</f>
        <v>72.0</v>
      </c>
      <c r="G349" s="10">
        <f>IF($C349=0,"",COUNTIFS('DEF_SELF_SCOUT_IMPORT'!$L$42:$L$1040,"Y",'DEF_SELF_SCOUT_IMPORT'!$E$42:$E$1040,SUBSTITUTE(SUBSTITUTE(SUBSTITUTE($B349,"~","~~"),"*","~*"),"?","~?"),'DEF_SELF_SCOUT_IMPORT'!$Q$42:$Q$1040,SUBSTITUTE(SUBSTITUTE(SUBSTITUTE($M349,"~","~~"),"*","~*"),"?","~?"),'DEF_SELF_SCOUT_IMPORT'!$F$42:$F$1040,SUBSTITUTE(SUBSTITUTE(SUBSTITUTE($N349,"~","~~"),"*","~*"),"?","~?"),'DEF_SELF_SCOUT_IMPORT'!$H$42:$H$1040,"RUSH")/$C349)</f>
        <v>0.0</v>
      </c>
      <c r="H349" s="10">
        <f>IF($C349=0,"",COUNTIFS('DEF_SELF_SCOUT_IMPORT'!$L$42:$L$1040,"Y",'DEF_SELF_SCOUT_IMPORT'!$E$42:$E$1040,SUBSTITUTE(SUBSTITUTE(SUBSTITUTE($B349,"~","~~"),"*","~*"),"?","~?"),'DEF_SELF_SCOUT_IMPORT'!$Q$42:$Q$1040,SUBSTITUTE(SUBSTITUTE(SUBSTITUTE($M349,"~","~~"),"*","~*"),"?","~?"),'DEF_SELF_SCOUT_IMPORT'!$F$42:$F$1040,SUBSTITUTE(SUBSTITUTE(SUBSTITUTE($N349,"~","~~"),"*","~*"),"?","~?"),'DEF_SELF_SCOUT_IMPORT'!$H$42:$H$1040,"DROPBACK")/$C349)</f>
        <v>1.0</v>
      </c>
      <c r="I349" s="14" t="str">
        <f>IF(C349=0,"",IF(C349&lt;=2,"TRACK",IF(C349=3,"LOW",IF(C349&lt;=6,"MEDIUM","HIGH"))))</f>
        <v>TRACK</v>
      </c>
      <c r="J349" s="11">
        <f>IF(C349=0,"",ROUND(D349*70+(1-E349)*20+MAX(0,MIN(1,(10-F349)/10))*10,1))</f>
        <v>0.0</v>
      </c>
      <c r="K349" s="14" t="str">
        <f>IF(C349=0,"No Evidence",IF(C349&lt;=2,IF(E349&gt;0,"Explosive Alert","Track Only"),IF(C349=3,"Sample Watch",IF(E349&gt;=START_HERE!$B$31,"Explosive Alert",IF(J349&gt;=80,"Strong Candidate",IF(J349&gt;=65,"Good Candidate",IF(J349&gt;=50,"Mixed / Review","Problem Call")))))))</f>
        <v>Explosive Alert</v>
      </c>
      <c r="L349" s="9" t="str">
        <f>IF(COUNTIFS('DEF_SELF_SCOUT_IMPORT'!$L$42:$L$1040,"Y",'DEF_SELF_SCOUT_IMPORT'!$E$42:$E$1040,SUBSTITUTE(SUBSTITUTE(SUBSTITUTE($B349,"~","~~"),"*","~*"),"?","~?"),'DEF_SELF_SCOUT_IMPORT'!$Q$42:$Q$1040,SUBSTITUTE(SUBSTITUTE(SUBSTITUTE($M349,"~","~~"),"*","~*"),"?","~?"),'DEF_SELF_SCOUT_IMPORT'!$F$42:$F$1040,SUBSTITUTE(SUBSTITUTE(SUBSTITUTE($N349,"~","~~"),"*","~*"),"?","~?"),'DEF_SELF_SCOUT_IMPORT'!$J$42:$J$1040,"")&gt;0,"Unscored clean outcome; review result tags before using score.",IF(C349=0,"No matching defensive reps; film confirmation needed.",IF(K349="Explosive Alert","Explosive risk; review clips before using as answer.",IF(C349&lt;=2,"Track only; not enough sample.",IF(C349=3,IF(E349&gt;0,"Sample watch with explosive exposure; review clips and build the sample.",IF(J349&gt;=65,"Good signal, but sample is limited.","Sample watch; review clips and build the sample.")),IF(K349="Problem Call","Problem area; practice or call-sheet review.",IF(K349="Strong Candidate","Strong call-fit candidate; confirm on film.",IF(K349="Good Candidate","Good call-fit signal; confirm on film.","Mixed signal; review fit and execution on film."))))))))</f>
        <v>Explosive risk; review clips before using as answer.</v>
      </c>
      <c r="M349" s="8" t="s">
        <v>115</v>
      </c>
      <c r="N349" s="8" t="s">
        <v>120</v>
      </c>
      <c r="O349" s="8"/>
      <c r="P349" s="8"/>
      <c r="Q349" s="8"/>
      <c r="R349" s="8" t="s">
        <v>28</v>
      </c>
      <c r="S349" s="2" t="s">
        <v>198</v>
      </c>
      <c r="T349" s="2">
        <f>IF(C349=0,0,IF(C349&gt;=CALL_LOOKUP_BOARD!$B$7,IF(OR(K349="Problem Call",K349="Explosive Alert"),10000000,20000000),0)+IF(C349&gt;=CALL_LOOKUP_BOARD!$B$7,J349*1000+MIN(C349,999),C349*1000+J349)+0.00983600)</f>
        <v>1000.009836</v>
      </c>
      <c r="U349" s="2">
        <f>IF(C349=0,"",IF(COUNTIFS($S$186:$S$367,SUBSTITUTE(SUBSTITUTE(SUBSTITUTE(S349,"~","~~"),"*","~*"),"?","~?"),$T$186:$T$367,"&gt;"&amp;T349)=0,S349,""))</f>
        <v/>
      </c>
    </row>
    <row r="350" spans="1:21" ht="38" customHeight="1">
      <c r="A350" s="8" t="s">
        <v>197</v>
      </c>
      <c r="B350" s="8" t="s">
        <v>44</v>
      </c>
      <c r="C350" s="12">
        <f>COUNTIFS('DEF_SELF_SCOUT_IMPORT'!$L$42:$L$1040,"Y",'DEF_SELF_SCOUT_IMPORT'!$E$42:$E$1040,SUBSTITUTE(SUBSTITUTE(SUBSTITUTE($B350,"~","~~"),"*","~*"),"?","~?"),'DEF_SELF_SCOUT_IMPORT'!$Q$42:$Q$1040,SUBSTITUTE(SUBSTITUTE(SUBSTITUTE($M350,"~","~~"),"*","~*"),"?","~?"),'DEF_SELF_SCOUT_IMPORT'!$F$42:$F$1040,SUBSTITUTE(SUBSTITUTE(SUBSTITUTE($N350,"~","~~"),"*","~*"),"?","~?"))</f>
        <v>3</v>
      </c>
      <c r="D350" s="10">
        <f>IF($C350=0,"",SUMIFS('DEF_SELF_SCOUT_IMPORT'!$J$42:$J$1040,'DEF_SELF_SCOUT_IMPORT'!$L$42:$L$1040,"Y",'DEF_SELF_SCOUT_IMPORT'!$E$42:$E$1040,SUBSTITUTE(SUBSTITUTE(SUBSTITUTE($B350,"~","~~"),"*","~*"),"?","~?"),'DEF_SELF_SCOUT_IMPORT'!$Q$42:$Q$1040,SUBSTITUTE(SUBSTITUTE(SUBSTITUTE($M350,"~","~~"),"*","~*"),"?","~?"),'DEF_SELF_SCOUT_IMPORT'!$F$42:$F$1040,SUBSTITUTE(SUBSTITUTE(SUBSTITUTE($N350,"~","~~"),"*","~*"),"?","~?"))/$C350)</f>
        <v>0.0</v>
      </c>
      <c r="E350" s="10">
        <f>IF($C350=0,"",SUMIFS('DEF_SELF_SCOUT_IMPORT'!$K$42:$K$1040,'DEF_SELF_SCOUT_IMPORT'!$L$42:$L$1040,"Y",'DEF_SELF_SCOUT_IMPORT'!$E$42:$E$1040,SUBSTITUTE(SUBSTITUTE(SUBSTITUTE($B350,"~","~~"),"*","~*"),"?","~?"),'DEF_SELF_SCOUT_IMPORT'!$Q$42:$Q$1040,SUBSTITUTE(SUBSTITUTE(SUBSTITUTE($M350,"~","~~"),"*","~*"),"?","~?"),'DEF_SELF_SCOUT_IMPORT'!$F$42:$F$1040,SUBSTITUTE(SUBSTITUTE(SUBSTITUTE($N350,"~","~~"),"*","~*"),"?","~?"))/$C350)</f>
        <v>0.3333333333333333</v>
      </c>
      <c r="F350" s="11">
        <f>IF($C350=0,"",AVERAGEIFS('DEF_SELF_SCOUT_IMPORT'!$I$42:$I$1040,'DEF_SELF_SCOUT_IMPORT'!$L$42:$L$1040,"Y",'DEF_SELF_SCOUT_IMPORT'!$E$42:$E$1040,SUBSTITUTE(SUBSTITUTE(SUBSTITUTE($B350,"~","~~"),"*","~*"),"?","~?"),'DEF_SELF_SCOUT_IMPORT'!$Q$42:$Q$1040,SUBSTITUTE(SUBSTITUTE(SUBSTITUTE($M350,"~","~~"),"*","~*"),"?","~?"),'DEF_SELF_SCOUT_IMPORT'!$F$42:$F$1040,SUBSTITUTE(SUBSTITUTE(SUBSTITUTE($N350,"~","~~"),"*","~*"),"?","~?")))</f>
        <v>8.333333333333334</v>
      </c>
      <c r="G350" s="10">
        <f>IF($C350=0,"",COUNTIFS('DEF_SELF_SCOUT_IMPORT'!$L$42:$L$1040,"Y",'DEF_SELF_SCOUT_IMPORT'!$E$42:$E$1040,SUBSTITUTE(SUBSTITUTE(SUBSTITUTE($B350,"~","~~"),"*","~*"),"?","~?"),'DEF_SELF_SCOUT_IMPORT'!$Q$42:$Q$1040,SUBSTITUTE(SUBSTITUTE(SUBSTITUTE($M350,"~","~~"),"*","~*"),"?","~?"),'DEF_SELF_SCOUT_IMPORT'!$F$42:$F$1040,SUBSTITUTE(SUBSTITUTE(SUBSTITUTE($N350,"~","~~"),"*","~*"),"?","~?"),'DEF_SELF_SCOUT_IMPORT'!$H$42:$H$1040,"RUSH")/$C350)</f>
        <v>1.0</v>
      </c>
      <c r="H350" s="10">
        <f>IF($C350=0,"",COUNTIFS('DEF_SELF_SCOUT_IMPORT'!$L$42:$L$1040,"Y",'DEF_SELF_SCOUT_IMPORT'!$E$42:$E$1040,SUBSTITUTE(SUBSTITUTE(SUBSTITUTE($B350,"~","~~"),"*","~*"),"?","~?"),'DEF_SELF_SCOUT_IMPORT'!$Q$42:$Q$1040,SUBSTITUTE(SUBSTITUTE(SUBSTITUTE($M350,"~","~~"),"*","~*"),"?","~?"),'DEF_SELF_SCOUT_IMPORT'!$F$42:$F$1040,SUBSTITUTE(SUBSTITUTE(SUBSTITUTE($N350,"~","~~"),"*","~*"),"?","~?"),'DEF_SELF_SCOUT_IMPORT'!$H$42:$H$1040,"DROPBACK")/$C350)</f>
        <v>0.0</v>
      </c>
      <c r="I350" s="14" t="str">
        <f>IF(C350=0,"",IF(C350&lt;=2,"TRACK",IF(C350=3,"LOW",IF(C350&lt;=6,"MEDIUM","HIGH"))))</f>
        <v>LOW</v>
      </c>
      <c r="J350" s="11">
        <f>IF(C350=0,"",ROUND(D350*70+(1-E350)*20+MAX(0,MIN(1,(10-F350)/10))*10,1))</f>
        <v>15.0</v>
      </c>
      <c r="K350" s="14" t="str">
        <f>IF(C350=0,"No Evidence",IF(C350&lt;=2,IF(E350&gt;0,"Explosive Alert","Track Only"),IF(C350=3,"Sample Watch",IF(E350&gt;=START_HERE!$B$31,"Explosive Alert",IF(J350&gt;=80,"Strong Candidate",IF(J350&gt;=65,"Good Candidate",IF(J350&gt;=50,"Mixed / Review","Problem Call")))))))</f>
        <v>Sample Watch</v>
      </c>
      <c r="L350" s="9" t="str">
        <f>IF(COUNTIFS('DEF_SELF_SCOUT_IMPORT'!$L$42:$L$1040,"Y",'DEF_SELF_SCOUT_IMPORT'!$E$42:$E$1040,SUBSTITUTE(SUBSTITUTE(SUBSTITUTE($B350,"~","~~"),"*","~*"),"?","~?"),'DEF_SELF_SCOUT_IMPORT'!$Q$42:$Q$1040,SUBSTITUTE(SUBSTITUTE(SUBSTITUTE($M350,"~","~~"),"*","~*"),"?","~?"),'DEF_SELF_SCOUT_IMPORT'!$F$42:$F$1040,SUBSTITUTE(SUBSTITUTE(SUBSTITUTE($N350,"~","~~"),"*","~*"),"?","~?"),'DEF_SELF_SCOUT_IMPORT'!$J$42:$J$1040,"")&gt;0,"Unscored clean outcome; review result tags before using score.",IF(C350=0,"No matching defensive reps; film confirmation needed.",IF(K350="Explosive Alert","Explosive risk; review clips before using as answer.",IF(C350&lt;=2,"Track only; not enough sample.",IF(C350=3,IF(E350&gt;0,"Sample watch with explosive exposure; review clips and build the sample.",IF(J350&gt;=65,"Good signal, but sample is limited.","Sample watch; review clips and build the sample.")),IF(K350="Problem Call","Problem area; practice or call-sheet review.",IF(K350="Strong Candidate","Strong call-fit candidate; confirm on film.",IF(K350="Good Candidate","Good call-fit signal; confirm on film.","Mixed signal; review fit and execution on film."))))))))</f>
        <v>Sample watch with explosive exposure; review clips and build the sample.</v>
      </c>
      <c r="M350" s="8" t="s">
        <v>115</v>
      </c>
      <c r="N350" s="8" t="s">
        <v>120</v>
      </c>
      <c r="O350" s="8"/>
      <c r="P350" s="8"/>
      <c r="Q350" s="8"/>
      <c r="R350" s="8" t="s">
        <v>28</v>
      </c>
      <c r="S350" s="2" t="s">
        <v>198</v>
      </c>
      <c r="T350" s="2">
        <f>IF(C350=0,0,IF(C350&gt;=CALL_LOOKUP_BOARD!$B$7,IF(OR(K350="Problem Call",K350="Explosive Alert"),10000000,20000000),0)+IF(C350&gt;=CALL_LOOKUP_BOARD!$B$7,J350*1000+MIN(C350,999),C350*1000+J350)+0.00983500)</f>
        <v>3015.009835</v>
      </c>
      <c r="U350" s="2">
        <f>IF(C350=0,"",IF(COUNTIFS($S$186:$S$367,SUBSTITUTE(SUBSTITUTE(SUBSTITUTE(S350,"~","~~"),"*","~*"),"?","~?"),$T$186:$T$367,"&gt;"&amp;T350)=0,S350,""))</f>
        <v/>
      </c>
    </row>
    <row r="351" spans="1:21" ht="38" customHeight="1">
      <c r="A351" s="8" t="s">
        <v>197</v>
      </c>
      <c r="B351" s="8" t="s">
        <v>53</v>
      </c>
      <c r="C351" s="12">
        <f>COUNTIFS('DEF_SELF_SCOUT_IMPORT'!$L$42:$L$1040,"Y",'DEF_SELF_SCOUT_IMPORT'!$E$42:$E$1040,SUBSTITUTE(SUBSTITUTE(SUBSTITUTE($B351,"~","~~"),"*","~*"),"?","~?"),'DEF_SELF_SCOUT_IMPORT'!$Q$42:$Q$1040,SUBSTITUTE(SUBSTITUTE(SUBSTITUTE($M351,"~","~~"),"*","~*"),"?","~?"),'DEF_SELF_SCOUT_IMPORT'!$F$42:$F$1040,SUBSTITUTE(SUBSTITUTE(SUBSTITUTE($N351,"~","~~"),"*","~*"),"?","~?"))</f>
        <v>1</v>
      </c>
      <c r="D351" s="10">
        <f>IF($C351=0,"",SUMIFS('DEF_SELF_SCOUT_IMPORT'!$J$42:$J$1040,'DEF_SELF_SCOUT_IMPORT'!$L$42:$L$1040,"Y",'DEF_SELF_SCOUT_IMPORT'!$E$42:$E$1040,SUBSTITUTE(SUBSTITUTE(SUBSTITUTE($B351,"~","~~"),"*","~*"),"?","~?"),'DEF_SELF_SCOUT_IMPORT'!$Q$42:$Q$1040,SUBSTITUTE(SUBSTITUTE(SUBSTITUTE($M351,"~","~~"),"*","~*"),"?","~?"),'DEF_SELF_SCOUT_IMPORT'!$F$42:$F$1040,SUBSTITUTE(SUBSTITUTE(SUBSTITUTE($N351,"~","~~"),"*","~*"),"?","~?"))/$C351)</f>
        <v>0.0</v>
      </c>
      <c r="E351" s="10">
        <f>IF($C351=0,"",SUMIFS('DEF_SELF_SCOUT_IMPORT'!$K$42:$K$1040,'DEF_SELF_SCOUT_IMPORT'!$L$42:$L$1040,"Y",'DEF_SELF_SCOUT_IMPORT'!$E$42:$E$1040,SUBSTITUTE(SUBSTITUTE(SUBSTITUTE($B351,"~","~~"),"*","~*"),"?","~?"),'DEF_SELF_SCOUT_IMPORT'!$Q$42:$Q$1040,SUBSTITUTE(SUBSTITUTE(SUBSTITUTE($M351,"~","~~"),"*","~*"),"?","~?"),'DEF_SELF_SCOUT_IMPORT'!$F$42:$F$1040,SUBSTITUTE(SUBSTITUTE(SUBSTITUTE($N351,"~","~~"),"*","~*"),"?","~?"))/$C351)</f>
        <v>0.0</v>
      </c>
      <c r="F351" s="11">
        <f>IF($C351=0,"",AVERAGEIFS('DEF_SELF_SCOUT_IMPORT'!$I$42:$I$1040,'DEF_SELF_SCOUT_IMPORT'!$L$42:$L$1040,"Y",'DEF_SELF_SCOUT_IMPORT'!$E$42:$E$1040,SUBSTITUTE(SUBSTITUTE(SUBSTITUTE($B351,"~","~~"),"*","~*"),"?","~?"),'DEF_SELF_SCOUT_IMPORT'!$Q$42:$Q$1040,SUBSTITUTE(SUBSTITUTE(SUBSTITUTE($M351,"~","~~"),"*","~*"),"?","~?"),'DEF_SELF_SCOUT_IMPORT'!$F$42:$F$1040,SUBSTITUTE(SUBSTITUTE(SUBSTITUTE($N351,"~","~~"),"*","~*"),"?","~?")))</f>
        <v>8.0</v>
      </c>
      <c r="G351" s="10">
        <f>IF($C351=0,"",COUNTIFS('DEF_SELF_SCOUT_IMPORT'!$L$42:$L$1040,"Y",'DEF_SELF_SCOUT_IMPORT'!$E$42:$E$1040,SUBSTITUTE(SUBSTITUTE(SUBSTITUTE($B351,"~","~~"),"*","~*"),"?","~?"),'DEF_SELF_SCOUT_IMPORT'!$Q$42:$Q$1040,SUBSTITUTE(SUBSTITUTE(SUBSTITUTE($M351,"~","~~"),"*","~*"),"?","~?"),'DEF_SELF_SCOUT_IMPORT'!$F$42:$F$1040,SUBSTITUTE(SUBSTITUTE(SUBSTITUTE($N351,"~","~~"),"*","~*"),"?","~?"),'DEF_SELF_SCOUT_IMPORT'!$H$42:$H$1040,"RUSH")/$C351)</f>
        <v>0.0</v>
      </c>
      <c r="H351" s="10">
        <f>IF($C351=0,"",COUNTIFS('DEF_SELF_SCOUT_IMPORT'!$L$42:$L$1040,"Y",'DEF_SELF_SCOUT_IMPORT'!$E$42:$E$1040,SUBSTITUTE(SUBSTITUTE(SUBSTITUTE($B351,"~","~~"),"*","~*"),"?","~?"),'DEF_SELF_SCOUT_IMPORT'!$Q$42:$Q$1040,SUBSTITUTE(SUBSTITUTE(SUBSTITUTE($M351,"~","~~"),"*","~*"),"?","~?"),'DEF_SELF_SCOUT_IMPORT'!$F$42:$F$1040,SUBSTITUTE(SUBSTITUTE(SUBSTITUTE($N351,"~","~~"),"*","~*"),"?","~?"),'DEF_SELF_SCOUT_IMPORT'!$H$42:$H$1040,"DROPBACK")/$C351)</f>
        <v>1.0</v>
      </c>
      <c r="I351" s="14" t="str">
        <f>IF(C351=0,"",IF(C351&lt;=2,"TRACK",IF(C351=3,"LOW",IF(C351&lt;=6,"MEDIUM","HIGH"))))</f>
        <v>TRACK</v>
      </c>
      <c r="J351" s="11">
        <f>IF(C351=0,"",ROUND(D351*70+(1-E351)*20+MAX(0,MIN(1,(10-F351)/10))*10,1))</f>
        <v>22.0</v>
      </c>
      <c r="K351" s="14" t="str">
        <f>IF(C351=0,"No Evidence",IF(C351&lt;=2,IF(E351&gt;0,"Explosive Alert","Track Only"),IF(C351=3,"Sample Watch",IF(E351&gt;=START_HERE!$B$31,"Explosive Alert",IF(J351&gt;=80,"Strong Candidate",IF(J351&gt;=65,"Good Candidate",IF(J351&gt;=50,"Mixed / Review","Problem Call")))))))</f>
        <v>Track Only</v>
      </c>
      <c r="L351" s="9" t="str">
        <f>IF(COUNTIFS('DEF_SELF_SCOUT_IMPORT'!$L$42:$L$1040,"Y",'DEF_SELF_SCOUT_IMPORT'!$E$42:$E$1040,SUBSTITUTE(SUBSTITUTE(SUBSTITUTE($B351,"~","~~"),"*","~*"),"?","~?"),'DEF_SELF_SCOUT_IMPORT'!$Q$42:$Q$1040,SUBSTITUTE(SUBSTITUTE(SUBSTITUTE($M351,"~","~~"),"*","~*"),"?","~?"),'DEF_SELF_SCOUT_IMPORT'!$F$42:$F$1040,SUBSTITUTE(SUBSTITUTE(SUBSTITUTE($N351,"~","~~"),"*","~*"),"?","~?"),'DEF_SELF_SCOUT_IMPORT'!$J$42:$J$1040,"")&gt;0,"Unscored clean outcome; review result tags before using score.",IF(C351=0,"No matching defensive reps; film confirmation needed.",IF(K351="Explosive Alert","Explosive risk; review clips before using as answer.",IF(C351&lt;=2,"Track only; not enough sample.",IF(C351=3,IF(E351&gt;0,"Sample watch with explosive exposure; review clips and build the sample.",IF(J351&gt;=65,"Good signal, but sample is limited.","Sample watch; review clips and build the sample.")),IF(K351="Problem Call","Problem area; practice or call-sheet review.",IF(K351="Strong Candidate","Strong call-fit candidate; confirm on film.",IF(K351="Good Candidate","Good call-fit signal; confirm on film.","Mixed signal; review fit and execution on film."))))))))</f>
        <v>Track only; not enough sample.</v>
      </c>
      <c r="M351" s="8" t="s">
        <v>115</v>
      </c>
      <c r="N351" s="8" t="s">
        <v>120</v>
      </c>
      <c r="O351" s="8"/>
      <c r="P351" s="8"/>
      <c r="Q351" s="8"/>
      <c r="R351" s="8" t="s">
        <v>28</v>
      </c>
      <c r="S351" s="2" t="s">
        <v>198</v>
      </c>
      <c r="T351" s="2">
        <f>IF(C351=0,0,IF(C351&gt;=CALL_LOOKUP_BOARD!$B$7,IF(OR(K351="Problem Call",K351="Explosive Alert"),10000000,20000000),0)+IF(C351&gt;=CALL_LOOKUP_BOARD!$B$7,J351*1000+MIN(C351,999),C351*1000+J351)+0.00983400)</f>
        <v>1022.009834</v>
      </c>
      <c r="U351" s="2">
        <f>IF(C351=0,"",IF(COUNTIFS($S$186:$S$367,SUBSTITUTE(SUBSTITUTE(SUBSTITUTE(S351,"~","~~"),"*","~*"),"?","~?"),$T$186:$T$367,"&gt;"&amp;T351)=0,S351,""))</f>
        <v/>
      </c>
    </row>
    <row r="352" spans="1:21" ht="38" customHeight="1">
      <c r="A352" s="8" t="s">
        <v>197</v>
      </c>
      <c r="B352" s="8" t="s">
        <v>54</v>
      </c>
      <c r="C352" s="12">
        <f>COUNTIFS('DEF_SELF_SCOUT_IMPORT'!$L$42:$L$1040,"Y",'DEF_SELF_SCOUT_IMPORT'!$E$42:$E$1040,SUBSTITUTE(SUBSTITUTE(SUBSTITUTE($B352,"~","~~"),"*","~*"),"?","~?"),'DEF_SELF_SCOUT_IMPORT'!$Q$42:$Q$1040,SUBSTITUTE(SUBSTITUTE(SUBSTITUTE($M352,"~","~~"),"*","~*"),"?","~?"),'DEF_SELF_SCOUT_IMPORT'!$F$42:$F$1040,SUBSTITUTE(SUBSTITUTE(SUBSTITUTE($N352,"~","~~"),"*","~*"),"?","~?"))</f>
        <v>1</v>
      </c>
      <c r="D352" s="10">
        <f>IF($C352=0,"",SUMIFS('DEF_SELF_SCOUT_IMPORT'!$J$42:$J$1040,'DEF_SELF_SCOUT_IMPORT'!$L$42:$L$1040,"Y",'DEF_SELF_SCOUT_IMPORT'!$E$42:$E$1040,SUBSTITUTE(SUBSTITUTE(SUBSTITUTE($B352,"~","~~"),"*","~*"),"?","~?"),'DEF_SELF_SCOUT_IMPORT'!$Q$42:$Q$1040,SUBSTITUTE(SUBSTITUTE(SUBSTITUTE($M352,"~","~~"),"*","~*"),"?","~?"),'DEF_SELF_SCOUT_IMPORT'!$F$42:$F$1040,SUBSTITUTE(SUBSTITUTE(SUBSTITUTE($N352,"~","~~"),"*","~*"),"?","~?"))/$C352)</f>
        <v>0.0</v>
      </c>
      <c r="E352" s="10">
        <f>IF($C352=0,"",SUMIFS('DEF_SELF_SCOUT_IMPORT'!$K$42:$K$1040,'DEF_SELF_SCOUT_IMPORT'!$L$42:$L$1040,"Y",'DEF_SELF_SCOUT_IMPORT'!$E$42:$E$1040,SUBSTITUTE(SUBSTITUTE(SUBSTITUTE($B352,"~","~~"),"*","~*"),"?","~?"),'DEF_SELF_SCOUT_IMPORT'!$Q$42:$Q$1040,SUBSTITUTE(SUBSTITUTE(SUBSTITUTE($M352,"~","~~"),"*","~*"),"?","~?"),'DEF_SELF_SCOUT_IMPORT'!$F$42:$F$1040,SUBSTITUTE(SUBSTITUTE(SUBSTITUTE($N352,"~","~~"),"*","~*"),"?","~?"))/$C352)</f>
        <v>1.0</v>
      </c>
      <c r="F352" s="11">
        <f>IF($C352=0,"",AVERAGEIFS('DEF_SELF_SCOUT_IMPORT'!$I$42:$I$1040,'DEF_SELF_SCOUT_IMPORT'!$L$42:$L$1040,"Y",'DEF_SELF_SCOUT_IMPORT'!$E$42:$E$1040,SUBSTITUTE(SUBSTITUTE(SUBSTITUTE($B352,"~","~~"),"*","~*"),"?","~?"),'DEF_SELF_SCOUT_IMPORT'!$Q$42:$Q$1040,SUBSTITUTE(SUBSTITUTE(SUBSTITUTE($M352,"~","~~"),"*","~*"),"?","~?"),'DEF_SELF_SCOUT_IMPORT'!$F$42:$F$1040,SUBSTITUTE(SUBSTITUTE(SUBSTITUTE($N352,"~","~~"),"*","~*"),"?","~?")))</f>
        <v>17.0</v>
      </c>
      <c r="G352" s="10">
        <f>IF($C352=0,"",COUNTIFS('DEF_SELF_SCOUT_IMPORT'!$L$42:$L$1040,"Y",'DEF_SELF_SCOUT_IMPORT'!$E$42:$E$1040,SUBSTITUTE(SUBSTITUTE(SUBSTITUTE($B352,"~","~~"),"*","~*"),"?","~?"),'DEF_SELF_SCOUT_IMPORT'!$Q$42:$Q$1040,SUBSTITUTE(SUBSTITUTE(SUBSTITUTE($M352,"~","~~"),"*","~*"),"?","~?"),'DEF_SELF_SCOUT_IMPORT'!$F$42:$F$1040,SUBSTITUTE(SUBSTITUTE(SUBSTITUTE($N352,"~","~~"),"*","~*"),"?","~?"),'DEF_SELF_SCOUT_IMPORT'!$H$42:$H$1040,"RUSH")/$C352)</f>
        <v>1.0</v>
      </c>
      <c r="H352" s="10">
        <f>IF($C352=0,"",COUNTIFS('DEF_SELF_SCOUT_IMPORT'!$L$42:$L$1040,"Y",'DEF_SELF_SCOUT_IMPORT'!$E$42:$E$1040,SUBSTITUTE(SUBSTITUTE(SUBSTITUTE($B352,"~","~~"),"*","~*"),"?","~?"),'DEF_SELF_SCOUT_IMPORT'!$Q$42:$Q$1040,SUBSTITUTE(SUBSTITUTE(SUBSTITUTE($M352,"~","~~"),"*","~*"),"?","~?"),'DEF_SELF_SCOUT_IMPORT'!$F$42:$F$1040,SUBSTITUTE(SUBSTITUTE(SUBSTITUTE($N352,"~","~~"),"*","~*"),"?","~?"),'DEF_SELF_SCOUT_IMPORT'!$H$42:$H$1040,"DROPBACK")/$C352)</f>
        <v>0.0</v>
      </c>
      <c r="I352" s="14" t="str">
        <f>IF(C352=0,"",IF(C352&lt;=2,"TRACK",IF(C352=3,"LOW",IF(C352&lt;=6,"MEDIUM","HIGH"))))</f>
        <v>TRACK</v>
      </c>
      <c r="J352" s="11">
        <f>IF(C352=0,"",ROUND(D352*70+(1-E352)*20+MAX(0,MIN(1,(10-F352)/10))*10,1))</f>
        <v>0.0</v>
      </c>
      <c r="K352" s="14" t="str">
        <f>IF(C352=0,"No Evidence",IF(C352&lt;=2,IF(E352&gt;0,"Explosive Alert","Track Only"),IF(C352=3,"Sample Watch",IF(E352&gt;=START_HERE!$B$31,"Explosive Alert",IF(J352&gt;=80,"Strong Candidate",IF(J352&gt;=65,"Good Candidate",IF(J352&gt;=50,"Mixed / Review","Problem Call")))))))</f>
        <v>Explosive Alert</v>
      </c>
      <c r="L352" s="9" t="str">
        <f>IF(COUNTIFS('DEF_SELF_SCOUT_IMPORT'!$L$42:$L$1040,"Y",'DEF_SELF_SCOUT_IMPORT'!$E$42:$E$1040,SUBSTITUTE(SUBSTITUTE(SUBSTITUTE($B352,"~","~~"),"*","~*"),"?","~?"),'DEF_SELF_SCOUT_IMPORT'!$Q$42:$Q$1040,SUBSTITUTE(SUBSTITUTE(SUBSTITUTE($M352,"~","~~"),"*","~*"),"?","~?"),'DEF_SELF_SCOUT_IMPORT'!$F$42:$F$1040,SUBSTITUTE(SUBSTITUTE(SUBSTITUTE($N352,"~","~~"),"*","~*"),"?","~?"),'DEF_SELF_SCOUT_IMPORT'!$J$42:$J$1040,"")&gt;0,"Unscored clean outcome; review result tags before using score.",IF(C352=0,"No matching defensive reps; film confirmation needed.",IF(K352="Explosive Alert","Explosive risk; review clips before using as answer.",IF(C352&lt;=2,"Track only; not enough sample.",IF(C352=3,IF(E352&gt;0,"Sample watch with explosive exposure; review clips and build the sample.",IF(J352&gt;=65,"Good signal, but sample is limited.","Sample watch; review clips and build the sample.")),IF(K352="Problem Call","Problem area; practice or call-sheet review.",IF(K352="Strong Candidate","Strong call-fit candidate; confirm on film.",IF(K352="Good Candidate","Good call-fit signal; confirm on film.","Mixed signal; review fit and execution on film."))))))))</f>
        <v>Explosive risk; review clips before using as answer.</v>
      </c>
      <c r="M352" s="8" t="s">
        <v>115</v>
      </c>
      <c r="N352" s="8" t="s">
        <v>120</v>
      </c>
      <c r="O352" s="8"/>
      <c r="P352" s="8"/>
      <c r="Q352" s="8"/>
      <c r="R352" s="8" t="s">
        <v>28</v>
      </c>
      <c r="S352" s="2" t="s">
        <v>198</v>
      </c>
      <c r="T352" s="2">
        <f>IF(C352=0,0,IF(C352&gt;=CALL_LOOKUP_BOARD!$B$7,IF(OR(K352="Problem Call",K352="Explosive Alert"),10000000,20000000),0)+IF(C352&gt;=CALL_LOOKUP_BOARD!$B$7,J352*1000+MIN(C352,999),C352*1000+J352)+0.00983300)</f>
        <v>1000.009833</v>
      </c>
      <c r="U352" s="2">
        <f>IF(C352=0,"",IF(COUNTIFS($S$186:$S$367,SUBSTITUTE(SUBSTITUTE(SUBSTITUTE(S352,"~","~~"),"*","~*"),"?","~?"),$T$186:$T$367,"&gt;"&amp;T352)=0,S352,""))</f>
        <v/>
      </c>
    </row>
    <row r="353" spans="1:21" ht="38" customHeight="1">
      <c r="A353" s="8" t="s">
        <v>197</v>
      </c>
      <c r="B353" s="8" t="s">
        <v>81</v>
      </c>
      <c r="C353" s="12">
        <f>COUNTIFS('DEF_SELF_SCOUT_IMPORT'!$L$42:$L$1040,"Y",'DEF_SELF_SCOUT_IMPORT'!$E$42:$E$1040,SUBSTITUTE(SUBSTITUTE(SUBSTITUTE($B353,"~","~~"),"*","~*"),"?","~?"),'DEF_SELF_SCOUT_IMPORT'!$Q$42:$Q$1040,SUBSTITUTE(SUBSTITUTE(SUBSTITUTE($M353,"~","~~"),"*","~*"),"?","~?"),'DEF_SELF_SCOUT_IMPORT'!$F$42:$F$1040,SUBSTITUTE(SUBSTITUTE(SUBSTITUTE($N353,"~","~~"),"*","~*"),"?","~?"))</f>
        <v>1</v>
      </c>
      <c r="D353" s="10">
        <f>IF($C353=0,"",SUMIFS('DEF_SELF_SCOUT_IMPORT'!$J$42:$J$1040,'DEF_SELF_SCOUT_IMPORT'!$L$42:$L$1040,"Y",'DEF_SELF_SCOUT_IMPORT'!$E$42:$E$1040,SUBSTITUTE(SUBSTITUTE(SUBSTITUTE($B353,"~","~~"),"*","~*"),"?","~?"),'DEF_SELF_SCOUT_IMPORT'!$Q$42:$Q$1040,SUBSTITUTE(SUBSTITUTE(SUBSTITUTE($M353,"~","~~"),"*","~*"),"?","~?"),'DEF_SELF_SCOUT_IMPORT'!$F$42:$F$1040,SUBSTITUTE(SUBSTITUTE(SUBSTITUTE($N353,"~","~~"),"*","~*"),"?","~?"))/$C353)</f>
        <v>0.0</v>
      </c>
      <c r="E353" s="10">
        <f>IF($C353=0,"",SUMIFS('DEF_SELF_SCOUT_IMPORT'!$K$42:$K$1040,'DEF_SELF_SCOUT_IMPORT'!$L$42:$L$1040,"Y",'DEF_SELF_SCOUT_IMPORT'!$E$42:$E$1040,SUBSTITUTE(SUBSTITUTE(SUBSTITUTE($B353,"~","~~"),"*","~*"),"?","~?"),'DEF_SELF_SCOUT_IMPORT'!$Q$42:$Q$1040,SUBSTITUTE(SUBSTITUTE(SUBSTITUTE($M353,"~","~~"),"*","~*"),"?","~?"),'DEF_SELF_SCOUT_IMPORT'!$F$42:$F$1040,SUBSTITUTE(SUBSTITUTE(SUBSTITUTE($N353,"~","~~"),"*","~*"),"?","~?"))/$C353)</f>
        <v>0.0</v>
      </c>
      <c r="F353" s="11">
        <f>IF($C353=0,"",AVERAGEIFS('DEF_SELF_SCOUT_IMPORT'!$I$42:$I$1040,'DEF_SELF_SCOUT_IMPORT'!$L$42:$L$1040,"Y",'DEF_SELF_SCOUT_IMPORT'!$E$42:$E$1040,SUBSTITUTE(SUBSTITUTE(SUBSTITUTE($B353,"~","~~"),"*","~*"),"?","~?"),'DEF_SELF_SCOUT_IMPORT'!$Q$42:$Q$1040,SUBSTITUTE(SUBSTITUTE(SUBSTITUTE($M353,"~","~~"),"*","~*"),"?","~?"),'DEF_SELF_SCOUT_IMPORT'!$F$42:$F$1040,SUBSTITUTE(SUBSTITUTE(SUBSTITUTE($N353,"~","~~"),"*","~*"),"?","~?")))</f>
        <v>4.0</v>
      </c>
      <c r="G353" s="10">
        <f>IF($C353=0,"",COUNTIFS('DEF_SELF_SCOUT_IMPORT'!$L$42:$L$1040,"Y",'DEF_SELF_SCOUT_IMPORT'!$E$42:$E$1040,SUBSTITUTE(SUBSTITUTE(SUBSTITUTE($B353,"~","~~"),"*","~*"),"?","~?"),'DEF_SELF_SCOUT_IMPORT'!$Q$42:$Q$1040,SUBSTITUTE(SUBSTITUTE(SUBSTITUTE($M353,"~","~~"),"*","~*"),"?","~?"),'DEF_SELF_SCOUT_IMPORT'!$F$42:$F$1040,SUBSTITUTE(SUBSTITUTE(SUBSTITUTE($N353,"~","~~"),"*","~*"),"?","~?"),'DEF_SELF_SCOUT_IMPORT'!$H$42:$H$1040,"RUSH")/$C353)</f>
        <v>1.0</v>
      </c>
      <c r="H353" s="10">
        <f>IF($C353=0,"",COUNTIFS('DEF_SELF_SCOUT_IMPORT'!$L$42:$L$1040,"Y",'DEF_SELF_SCOUT_IMPORT'!$E$42:$E$1040,SUBSTITUTE(SUBSTITUTE(SUBSTITUTE($B353,"~","~~"),"*","~*"),"?","~?"),'DEF_SELF_SCOUT_IMPORT'!$Q$42:$Q$1040,SUBSTITUTE(SUBSTITUTE(SUBSTITUTE($M353,"~","~~"),"*","~*"),"?","~?"),'DEF_SELF_SCOUT_IMPORT'!$F$42:$F$1040,SUBSTITUTE(SUBSTITUTE(SUBSTITUTE($N353,"~","~~"),"*","~*"),"?","~?"),'DEF_SELF_SCOUT_IMPORT'!$H$42:$H$1040,"DROPBACK")/$C353)</f>
        <v>0.0</v>
      </c>
      <c r="I353" s="14" t="str">
        <f>IF(C353=0,"",IF(C353&lt;=2,"TRACK",IF(C353=3,"LOW",IF(C353&lt;=6,"MEDIUM","HIGH"))))</f>
        <v>TRACK</v>
      </c>
      <c r="J353" s="11">
        <f>IF(C353=0,"",ROUND(D353*70+(1-E353)*20+MAX(0,MIN(1,(10-F353)/10))*10,1))</f>
        <v>26.0</v>
      </c>
      <c r="K353" s="14" t="str">
        <f>IF(C353=0,"No Evidence",IF(C353&lt;=2,IF(E353&gt;0,"Explosive Alert","Track Only"),IF(C353=3,"Sample Watch",IF(E353&gt;=START_HERE!$B$31,"Explosive Alert",IF(J353&gt;=80,"Strong Candidate",IF(J353&gt;=65,"Good Candidate",IF(J353&gt;=50,"Mixed / Review","Problem Call")))))))</f>
        <v>Track Only</v>
      </c>
      <c r="L353" s="9" t="str">
        <f>IF(COUNTIFS('DEF_SELF_SCOUT_IMPORT'!$L$42:$L$1040,"Y",'DEF_SELF_SCOUT_IMPORT'!$E$42:$E$1040,SUBSTITUTE(SUBSTITUTE(SUBSTITUTE($B353,"~","~~"),"*","~*"),"?","~?"),'DEF_SELF_SCOUT_IMPORT'!$Q$42:$Q$1040,SUBSTITUTE(SUBSTITUTE(SUBSTITUTE($M353,"~","~~"),"*","~*"),"?","~?"),'DEF_SELF_SCOUT_IMPORT'!$F$42:$F$1040,SUBSTITUTE(SUBSTITUTE(SUBSTITUTE($N353,"~","~~"),"*","~*"),"?","~?"),'DEF_SELF_SCOUT_IMPORT'!$J$42:$J$1040,"")&gt;0,"Unscored clean outcome; review result tags before using score.",IF(C353=0,"No matching defensive reps; film confirmation needed.",IF(K353="Explosive Alert","Explosive risk; review clips before using as answer.",IF(C353&lt;=2,"Track only; not enough sample.",IF(C353=3,IF(E353&gt;0,"Sample watch with explosive exposure; review clips and build the sample.",IF(J353&gt;=65,"Good signal, but sample is limited.","Sample watch; review clips and build the sample.")),IF(K353="Problem Call","Problem area; practice or call-sheet review.",IF(K353="Strong Candidate","Strong call-fit candidate; confirm on film.",IF(K353="Good Candidate","Good call-fit signal; confirm on film.","Mixed signal; review fit and execution on film."))))))))</f>
        <v>Track only; not enough sample.</v>
      </c>
      <c r="M353" s="8" t="s">
        <v>115</v>
      </c>
      <c r="N353" s="8" t="s">
        <v>120</v>
      </c>
      <c r="O353" s="8"/>
      <c r="P353" s="8"/>
      <c r="Q353" s="8"/>
      <c r="R353" s="8" t="s">
        <v>28</v>
      </c>
      <c r="S353" s="2" t="s">
        <v>198</v>
      </c>
      <c r="T353" s="2">
        <f>IF(C353=0,0,IF(C353&gt;=CALL_LOOKUP_BOARD!$B$7,IF(OR(K353="Problem Call",K353="Explosive Alert"),10000000,20000000),0)+IF(C353&gt;=CALL_LOOKUP_BOARD!$B$7,J353*1000+MIN(C353,999),C353*1000+J353)+0.00983200)</f>
        <v>1026.009832</v>
      </c>
      <c r="U353" s="2">
        <f>IF(C353=0,"",IF(COUNTIFS($S$186:$S$367,SUBSTITUTE(SUBSTITUTE(SUBSTITUTE(S353,"~","~~"),"*","~*"),"?","~?"),$T$186:$T$367,"&gt;"&amp;T353)=0,S353,""))</f>
        <v/>
      </c>
    </row>
    <row r="354" spans="1:21" ht="38" customHeight="1">
      <c r="A354" s="8" t="s">
        <v>197</v>
      </c>
      <c r="B354" s="8" t="s">
        <v>56</v>
      </c>
      <c r="C354" s="12">
        <f>COUNTIFS('DEF_SELF_SCOUT_IMPORT'!$L$42:$L$1040,"Y",'DEF_SELF_SCOUT_IMPORT'!$E$42:$E$1040,SUBSTITUTE(SUBSTITUTE(SUBSTITUTE($B354,"~","~~"),"*","~*"),"?","~?"),'DEF_SELF_SCOUT_IMPORT'!$Q$42:$Q$1040,SUBSTITUTE(SUBSTITUTE(SUBSTITUTE($M354,"~","~~"),"*","~*"),"?","~?"),'DEF_SELF_SCOUT_IMPORT'!$F$42:$F$1040,SUBSTITUTE(SUBSTITUTE(SUBSTITUTE($N354,"~","~~"),"*","~*"),"?","~?"))</f>
        <v>2</v>
      </c>
      <c r="D354" s="10">
        <f>IF($C354=0,"",SUMIFS('DEF_SELF_SCOUT_IMPORT'!$J$42:$J$1040,'DEF_SELF_SCOUT_IMPORT'!$L$42:$L$1040,"Y",'DEF_SELF_SCOUT_IMPORT'!$E$42:$E$1040,SUBSTITUTE(SUBSTITUTE(SUBSTITUTE($B354,"~","~~"),"*","~*"),"?","~?"),'DEF_SELF_SCOUT_IMPORT'!$Q$42:$Q$1040,SUBSTITUTE(SUBSTITUTE(SUBSTITUTE($M354,"~","~~"),"*","~*"),"?","~?"),'DEF_SELF_SCOUT_IMPORT'!$F$42:$F$1040,SUBSTITUTE(SUBSTITUTE(SUBSTITUTE($N354,"~","~~"),"*","~*"),"?","~?"))/$C354)</f>
        <v>0.0</v>
      </c>
      <c r="E354" s="10">
        <f>IF($C354=0,"",SUMIFS('DEF_SELF_SCOUT_IMPORT'!$K$42:$K$1040,'DEF_SELF_SCOUT_IMPORT'!$L$42:$L$1040,"Y",'DEF_SELF_SCOUT_IMPORT'!$E$42:$E$1040,SUBSTITUTE(SUBSTITUTE(SUBSTITUTE($B354,"~","~~"),"*","~*"),"?","~?"),'DEF_SELF_SCOUT_IMPORT'!$Q$42:$Q$1040,SUBSTITUTE(SUBSTITUTE(SUBSTITUTE($M354,"~","~~"),"*","~*"),"?","~?"),'DEF_SELF_SCOUT_IMPORT'!$F$42:$F$1040,SUBSTITUTE(SUBSTITUTE(SUBSTITUTE($N354,"~","~~"),"*","~*"),"?","~?"))/$C354)</f>
        <v>0.0</v>
      </c>
      <c r="F354" s="11">
        <f>IF($C354=0,"",AVERAGEIFS('DEF_SELF_SCOUT_IMPORT'!$I$42:$I$1040,'DEF_SELF_SCOUT_IMPORT'!$L$42:$L$1040,"Y",'DEF_SELF_SCOUT_IMPORT'!$E$42:$E$1040,SUBSTITUTE(SUBSTITUTE(SUBSTITUTE($B354,"~","~~"),"*","~*"),"?","~?"),'DEF_SELF_SCOUT_IMPORT'!$Q$42:$Q$1040,SUBSTITUTE(SUBSTITUTE(SUBSTITUTE($M354,"~","~~"),"*","~*"),"?","~?"),'DEF_SELF_SCOUT_IMPORT'!$F$42:$F$1040,SUBSTITUTE(SUBSTITUTE(SUBSTITUTE($N354,"~","~~"),"*","~*"),"?","~?")))</f>
        <v>8.5</v>
      </c>
      <c r="G354" s="10">
        <f>IF($C354=0,"",COUNTIFS('DEF_SELF_SCOUT_IMPORT'!$L$42:$L$1040,"Y",'DEF_SELF_SCOUT_IMPORT'!$E$42:$E$1040,SUBSTITUTE(SUBSTITUTE(SUBSTITUTE($B354,"~","~~"),"*","~*"),"?","~?"),'DEF_SELF_SCOUT_IMPORT'!$Q$42:$Q$1040,SUBSTITUTE(SUBSTITUTE(SUBSTITUTE($M354,"~","~~"),"*","~*"),"?","~?"),'DEF_SELF_SCOUT_IMPORT'!$F$42:$F$1040,SUBSTITUTE(SUBSTITUTE(SUBSTITUTE($N354,"~","~~"),"*","~*"),"?","~?"),'DEF_SELF_SCOUT_IMPORT'!$H$42:$H$1040,"RUSH")/$C354)</f>
        <v>0.5</v>
      </c>
      <c r="H354" s="10">
        <f>IF($C354=0,"",COUNTIFS('DEF_SELF_SCOUT_IMPORT'!$L$42:$L$1040,"Y",'DEF_SELF_SCOUT_IMPORT'!$E$42:$E$1040,SUBSTITUTE(SUBSTITUTE(SUBSTITUTE($B354,"~","~~"),"*","~*"),"?","~?"),'DEF_SELF_SCOUT_IMPORT'!$Q$42:$Q$1040,SUBSTITUTE(SUBSTITUTE(SUBSTITUTE($M354,"~","~~"),"*","~*"),"?","~?"),'DEF_SELF_SCOUT_IMPORT'!$F$42:$F$1040,SUBSTITUTE(SUBSTITUTE(SUBSTITUTE($N354,"~","~~"),"*","~*"),"?","~?"),'DEF_SELF_SCOUT_IMPORT'!$H$42:$H$1040,"DROPBACK")/$C354)</f>
        <v>0.5</v>
      </c>
      <c r="I354" s="14" t="str">
        <f>IF(C354=0,"",IF(C354&lt;=2,"TRACK",IF(C354=3,"LOW",IF(C354&lt;=6,"MEDIUM","HIGH"))))</f>
        <v>TRACK</v>
      </c>
      <c r="J354" s="11">
        <f>IF(C354=0,"",ROUND(D354*70+(1-E354)*20+MAX(0,MIN(1,(10-F354)/10))*10,1))</f>
        <v>21.5</v>
      </c>
      <c r="K354" s="14" t="str">
        <f>IF(C354=0,"No Evidence",IF(C354&lt;=2,IF(E354&gt;0,"Explosive Alert","Track Only"),IF(C354=3,"Sample Watch",IF(E354&gt;=START_HERE!$B$31,"Explosive Alert",IF(J354&gt;=80,"Strong Candidate",IF(J354&gt;=65,"Good Candidate",IF(J354&gt;=50,"Mixed / Review","Problem Call")))))))</f>
        <v>Track Only</v>
      </c>
      <c r="L354" s="9" t="str">
        <f>IF(COUNTIFS('DEF_SELF_SCOUT_IMPORT'!$L$42:$L$1040,"Y",'DEF_SELF_SCOUT_IMPORT'!$E$42:$E$1040,SUBSTITUTE(SUBSTITUTE(SUBSTITUTE($B354,"~","~~"),"*","~*"),"?","~?"),'DEF_SELF_SCOUT_IMPORT'!$Q$42:$Q$1040,SUBSTITUTE(SUBSTITUTE(SUBSTITUTE($M354,"~","~~"),"*","~*"),"?","~?"),'DEF_SELF_SCOUT_IMPORT'!$F$42:$F$1040,SUBSTITUTE(SUBSTITUTE(SUBSTITUTE($N354,"~","~~"),"*","~*"),"?","~?"),'DEF_SELF_SCOUT_IMPORT'!$J$42:$J$1040,"")&gt;0,"Unscored clean outcome; review result tags before using score.",IF(C354=0,"No matching defensive reps; film confirmation needed.",IF(K354="Explosive Alert","Explosive risk; review clips before using as answer.",IF(C354&lt;=2,"Track only; not enough sample.",IF(C354=3,IF(E354&gt;0,"Sample watch with explosive exposure; review clips and build the sample.",IF(J354&gt;=65,"Good signal, but sample is limited.","Sample watch; review clips and build the sample.")),IF(K354="Problem Call","Problem area; practice or call-sheet review.",IF(K354="Strong Candidate","Strong call-fit candidate; confirm on film.",IF(K354="Good Candidate","Good call-fit signal; confirm on film.","Mixed signal; review fit and execution on film."))))))))</f>
        <v>Track only; not enough sample.</v>
      </c>
      <c r="M354" s="8" t="s">
        <v>115</v>
      </c>
      <c r="N354" s="8" t="s">
        <v>120</v>
      </c>
      <c r="O354" s="8"/>
      <c r="P354" s="8"/>
      <c r="Q354" s="8"/>
      <c r="R354" s="8" t="s">
        <v>28</v>
      </c>
      <c r="S354" s="2" t="s">
        <v>198</v>
      </c>
      <c r="T354" s="2">
        <f>IF(C354=0,0,IF(C354&gt;=CALL_LOOKUP_BOARD!$B$7,IF(OR(K354="Problem Call",K354="Explosive Alert"),10000000,20000000),0)+IF(C354&gt;=CALL_LOOKUP_BOARD!$B$7,J354*1000+MIN(C354,999),C354*1000+J354)+0.00983100)</f>
        <v>2021.509831</v>
      </c>
      <c r="U354" s="2">
        <f>IF(C354=0,"",IF(COUNTIFS($S$186:$S$367,SUBSTITUTE(SUBSTITUTE(SUBSTITUTE(S354,"~","~~"),"*","~*"),"?","~?"),$T$186:$T$367,"&gt;"&amp;T354)=0,S354,""))</f>
        <v/>
      </c>
    </row>
    <row r="355" spans="1:21" ht="38" customHeight="1">
      <c r="A355" s="8" t="s">
        <v>197</v>
      </c>
      <c r="B355" s="8" t="s">
        <v>35</v>
      </c>
      <c r="C355" s="12">
        <f>COUNTIFS('DEF_SELF_SCOUT_IMPORT'!$L$42:$L$1040,"Y",'DEF_SELF_SCOUT_IMPORT'!$E$42:$E$1040,SUBSTITUTE(SUBSTITUTE(SUBSTITUTE($B355,"~","~~"),"*","~*"),"?","~?"),'DEF_SELF_SCOUT_IMPORT'!$Q$42:$Q$1040,SUBSTITUTE(SUBSTITUTE(SUBSTITUTE($M355,"~","~~"),"*","~*"),"?","~?"),'DEF_SELF_SCOUT_IMPORT'!$F$42:$F$1040,SUBSTITUTE(SUBSTITUTE(SUBSTITUTE($N355,"~","~~"),"*","~*"),"?","~?"))</f>
        <v>6</v>
      </c>
      <c r="D355" s="10">
        <f>IF($C355=0,"",SUMIFS('DEF_SELF_SCOUT_IMPORT'!$J$42:$J$1040,'DEF_SELF_SCOUT_IMPORT'!$L$42:$L$1040,"Y",'DEF_SELF_SCOUT_IMPORT'!$E$42:$E$1040,SUBSTITUTE(SUBSTITUTE(SUBSTITUTE($B355,"~","~~"),"*","~*"),"?","~?"),'DEF_SELF_SCOUT_IMPORT'!$Q$42:$Q$1040,SUBSTITUTE(SUBSTITUTE(SUBSTITUTE($M355,"~","~~"),"*","~*"),"?","~?"),'DEF_SELF_SCOUT_IMPORT'!$F$42:$F$1040,SUBSTITUTE(SUBSTITUTE(SUBSTITUTE($N355,"~","~~"),"*","~*"),"?","~?"))/$C355)</f>
        <v>0.6666666666666666</v>
      </c>
      <c r="E355" s="10">
        <f>IF($C355=0,"",SUMIFS('DEF_SELF_SCOUT_IMPORT'!$K$42:$K$1040,'DEF_SELF_SCOUT_IMPORT'!$L$42:$L$1040,"Y",'DEF_SELF_SCOUT_IMPORT'!$E$42:$E$1040,SUBSTITUTE(SUBSTITUTE(SUBSTITUTE($B355,"~","~~"),"*","~*"),"?","~?"),'DEF_SELF_SCOUT_IMPORT'!$Q$42:$Q$1040,SUBSTITUTE(SUBSTITUTE(SUBSTITUTE($M355,"~","~~"),"*","~*"),"?","~?"),'DEF_SELF_SCOUT_IMPORT'!$F$42:$F$1040,SUBSTITUTE(SUBSTITUTE(SUBSTITUTE($N355,"~","~~"),"*","~*"),"?","~?"))/$C355)</f>
        <v>0.16666666666666666</v>
      </c>
      <c r="F355" s="11">
        <f>IF($C355=0,"",AVERAGEIFS('DEF_SELF_SCOUT_IMPORT'!$I$42:$I$1040,'DEF_SELF_SCOUT_IMPORT'!$L$42:$L$1040,"Y",'DEF_SELF_SCOUT_IMPORT'!$E$42:$E$1040,SUBSTITUTE(SUBSTITUTE(SUBSTITUTE($B355,"~","~~"),"*","~*"),"?","~?"),'DEF_SELF_SCOUT_IMPORT'!$Q$42:$Q$1040,SUBSTITUTE(SUBSTITUTE(SUBSTITUTE($M355,"~","~~"),"*","~*"),"?","~?"),'DEF_SELF_SCOUT_IMPORT'!$F$42:$F$1040,SUBSTITUTE(SUBSTITUTE(SUBSTITUTE($N355,"~","~~"),"*","~*"),"?","~?")))</f>
        <v>11.333333333333334</v>
      </c>
      <c r="G355" s="10">
        <f>IF($C355=0,"",COUNTIFS('DEF_SELF_SCOUT_IMPORT'!$L$42:$L$1040,"Y",'DEF_SELF_SCOUT_IMPORT'!$E$42:$E$1040,SUBSTITUTE(SUBSTITUTE(SUBSTITUTE($B355,"~","~~"),"*","~*"),"?","~?"),'DEF_SELF_SCOUT_IMPORT'!$Q$42:$Q$1040,SUBSTITUTE(SUBSTITUTE(SUBSTITUTE($M355,"~","~~"),"*","~*"),"?","~?"),'DEF_SELF_SCOUT_IMPORT'!$F$42:$F$1040,SUBSTITUTE(SUBSTITUTE(SUBSTITUTE($N355,"~","~~"),"*","~*"),"?","~?"),'DEF_SELF_SCOUT_IMPORT'!$H$42:$H$1040,"RUSH")/$C355)</f>
        <v>0.3333333333333333</v>
      </c>
      <c r="H355" s="10">
        <f>IF($C355=0,"",COUNTIFS('DEF_SELF_SCOUT_IMPORT'!$L$42:$L$1040,"Y",'DEF_SELF_SCOUT_IMPORT'!$E$42:$E$1040,SUBSTITUTE(SUBSTITUTE(SUBSTITUTE($B355,"~","~~"),"*","~*"),"?","~?"),'DEF_SELF_SCOUT_IMPORT'!$Q$42:$Q$1040,SUBSTITUTE(SUBSTITUTE(SUBSTITUTE($M355,"~","~~"),"*","~*"),"?","~?"),'DEF_SELF_SCOUT_IMPORT'!$F$42:$F$1040,SUBSTITUTE(SUBSTITUTE(SUBSTITUTE($N355,"~","~~"),"*","~*"),"?","~?"),'DEF_SELF_SCOUT_IMPORT'!$H$42:$H$1040,"DROPBACK")/$C355)</f>
        <v>0.6666666666666666</v>
      </c>
      <c r="I355" s="14" t="str">
        <f>IF(C355=0,"",IF(C355&lt;=2,"TRACK",IF(C355=3,"LOW",IF(C355&lt;=6,"MEDIUM","HIGH"))))</f>
        <v>MEDIUM</v>
      </c>
      <c r="J355" s="11">
        <f>IF(C355=0,"",ROUND(D355*70+(1-E355)*20+MAX(0,MIN(1,(10-F355)/10))*10,1))</f>
        <v>63.3</v>
      </c>
      <c r="K355" s="14" t="str">
        <f>IF(C355=0,"No Evidence",IF(C355&lt;=2,IF(E355&gt;0,"Explosive Alert","Track Only"),IF(C355=3,"Sample Watch",IF(E355&gt;=START_HERE!$B$31,"Explosive Alert",IF(J355&gt;=80,"Strong Candidate",IF(J355&gt;=65,"Good Candidate",IF(J355&gt;=50,"Mixed / Review","Problem Call")))))))</f>
        <v>Mixed / Review</v>
      </c>
      <c r="L355" s="9" t="str">
        <f>IF(COUNTIFS('DEF_SELF_SCOUT_IMPORT'!$L$42:$L$1040,"Y",'DEF_SELF_SCOUT_IMPORT'!$E$42:$E$1040,SUBSTITUTE(SUBSTITUTE(SUBSTITUTE($B355,"~","~~"),"*","~*"),"?","~?"),'DEF_SELF_SCOUT_IMPORT'!$Q$42:$Q$1040,SUBSTITUTE(SUBSTITUTE(SUBSTITUTE($M355,"~","~~"),"*","~*"),"?","~?"),'DEF_SELF_SCOUT_IMPORT'!$F$42:$F$1040,SUBSTITUTE(SUBSTITUTE(SUBSTITUTE($N355,"~","~~"),"*","~*"),"?","~?"),'DEF_SELF_SCOUT_IMPORT'!$J$42:$J$1040,"")&gt;0,"Unscored clean outcome; review result tags before using score.",IF(C355=0,"No matching defensive reps; film confirmation needed.",IF(K355="Explosive Alert","Explosive risk; review clips before using as answer.",IF(C355&lt;=2,"Track only; not enough sample.",IF(C355=3,IF(E355&gt;0,"Sample watch with explosive exposure; review clips and build the sample.",IF(J355&gt;=65,"Good signal, but sample is limited.","Sample watch; review clips and build the sample.")),IF(K355="Problem Call","Problem area; practice or call-sheet review.",IF(K355="Strong Candidate","Strong call-fit candidate; confirm on film.",IF(K355="Good Candidate","Good call-fit signal; confirm on film.","Mixed signal; review fit and execution on film."))))))))</f>
        <v>Mixed signal; review fit and execution on film.</v>
      </c>
      <c r="M355" s="8" t="s">
        <v>115</v>
      </c>
      <c r="N355" s="8" t="s">
        <v>120</v>
      </c>
      <c r="O355" s="8"/>
      <c r="P355" s="8"/>
      <c r="Q355" s="8"/>
      <c r="R355" s="8" t="s">
        <v>45</v>
      </c>
      <c r="S355" s="2" t="s">
        <v>198</v>
      </c>
      <c r="T355" s="2">
        <f>IF(C355=0,0,IF(C355&gt;=CALL_LOOKUP_BOARD!$B$7,IF(OR(K355="Problem Call",K355="Explosive Alert"),10000000,20000000),0)+IF(C355&gt;=CALL_LOOKUP_BOARD!$B$7,J355*1000+MIN(C355,999),C355*1000+J355)+0.00983000)</f>
        <v>20063306.00983</v>
      </c>
      <c r="U355" s="2">
        <f>IF(C355=0,"",IF(COUNTIFS($S$186:$S$367,SUBSTITUTE(SUBSTITUTE(SUBSTITUTE(S355,"~","~~"),"*","~*"),"?","~?"),$T$186:$T$367,"&gt;"&amp;T355)=0,S355,""))</f>
        <v/>
      </c>
    </row>
    <row r="356" spans="1:21" ht="38" customHeight="1">
      <c r="A356" s="8" t="s">
        <v>197</v>
      </c>
      <c r="B356" s="8" t="s">
        <v>60</v>
      </c>
      <c r="C356" s="12">
        <f>COUNTIFS('DEF_SELF_SCOUT_IMPORT'!$L$42:$L$1040,"Y",'DEF_SELF_SCOUT_IMPORT'!$E$42:$E$1040,SUBSTITUTE(SUBSTITUTE(SUBSTITUTE($B356,"~","~~"),"*","~*"),"?","~?"),'DEF_SELF_SCOUT_IMPORT'!$Q$42:$Q$1040,SUBSTITUTE(SUBSTITUTE(SUBSTITUTE($M356,"~","~~"),"*","~*"),"?","~?"),'DEF_SELF_SCOUT_IMPORT'!$F$42:$F$1040,SUBSTITUTE(SUBSTITUTE(SUBSTITUTE($N356,"~","~~"),"*","~*"),"?","~?"))</f>
        <v>3</v>
      </c>
      <c r="D356" s="10">
        <f>IF($C356=0,"",SUMIFS('DEF_SELF_SCOUT_IMPORT'!$J$42:$J$1040,'DEF_SELF_SCOUT_IMPORT'!$L$42:$L$1040,"Y",'DEF_SELF_SCOUT_IMPORT'!$E$42:$E$1040,SUBSTITUTE(SUBSTITUTE(SUBSTITUTE($B356,"~","~~"),"*","~*"),"?","~?"),'DEF_SELF_SCOUT_IMPORT'!$Q$42:$Q$1040,SUBSTITUTE(SUBSTITUTE(SUBSTITUTE($M356,"~","~~"),"*","~*"),"?","~?"),'DEF_SELF_SCOUT_IMPORT'!$F$42:$F$1040,SUBSTITUTE(SUBSTITUTE(SUBSTITUTE($N356,"~","~~"),"*","~*"),"?","~?"))/$C356)</f>
        <v>1.0</v>
      </c>
      <c r="E356" s="10">
        <f>IF($C356=0,"",SUMIFS('DEF_SELF_SCOUT_IMPORT'!$K$42:$K$1040,'DEF_SELF_SCOUT_IMPORT'!$L$42:$L$1040,"Y",'DEF_SELF_SCOUT_IMPORT'!$E$42:$E$1040,SUBSTITUTE(SUBSTITUTE(SUBSTITUTE($B356,"~","~~"),"*","~*"),"?","~?"),'DEF_SELF_SCOUT_IMPORT'!$Q$42:$Q$1040,SUBSTITUTE(SUBSTITUTE(SUBSTITUTE($M356,"~","~~"),"*","~*"),"?","~?"),'DEF_SELF_SCOUT_IMPORT'!$F$42:$F$1040,SUBSTITUTE(SUBSTITUTE(SUBSTITUTE($N356,"~","~~"),"*","~*"),"?","~?"))/$C356)</f>
        <v>0.0</v>
      </c>
      <c r="F356" s="11">
        <f>IF($C356=0,"",AVERAGEIFS('DEF_SELF_SCOUT_IMPORT'!$I$42:$I$1040,'DEF_SELF_SCOUT_IMPORT'!$L$42:$L$1040,"Y",'DEF_SELF_SCOUT_IMPORT'!$E$42:$E$1040,SUBSTITUTE(SUBSTITUTE(SUBSTITUTE($B356,"~","~~"),"*","~*"),"?","~?"),'DEF_SELF_SCOUT_IMPORT'!$Q$42:$Q$1040,SUBSTITUTE(SUBSTITUTE(SUBSTITUTE($M356,"~","~~"),"*","~*"),"?","~?"),'DEF_SELF_SCOUT_IMPORT'!$F$42:$F$1040,SUBSTITUTE(SUBSTITUTE(SUBSTITUTE($N356,"~","~~"),"*","~*"),"?","~?")))</f>
        <v>1.3333333333333333</v>
      </c>
      <c r="G356" s="10">
        <f>IF($C356=0,"",COUNTIFS('DEF_SELF_SCOUT_IMPORT'!$L$42:$L$1040,"Y",'DEF_SELF_SCOUT_IMPORT'!$E$42:$E$1040,SUBSTITUTE(SUBSTITUTE(SUBSTITUTE($B356,"~","~~"),"*","~*"),"?","~?"),'DEF_SELF_SCOUT_IMPORT'!$Q$42:$Q$1040,SUBSTITUTE(SUBSTITUTE(SUBSTITUTE($M356,"~","~~"),"*","~*"),"?","~?"),'DEF_SELF_SCOUT_IMPORT'!$F$42:$F$1040,SUBSTITUTE(SUBSTITUTE(SUBSTITUTE($N356,"~","~~"),"*","~*"),"?","~?"),'DEF_SELF_SCOUT_IMPORT'!$H$42:$H$1040,"RUSH")/$C356)</f>
        <v>0.6666666666666666</v>
      </c>
      <c r="H356" s="10">
        <f>IF($C356=0,"",COUNTIFS('DEF_SELF_SCOUT_IMPORT'!$L$42:$L$1040,"Y",'DEF_SELF_SCOUT_IMPORT'!$E$42:$E$1040,SUBSTITUTE(SUBSTITUTE(SUBSTITUTE($B356,"~","~~"),"*","~*"),"?","~?"),'DEF_SELF_SCOUT_IMPORT'!$Q$42:$Q$1040,SUBSTITUTE(SUBSTITUTE(SUBSTITUTE($M356,"~","~~"),"*","~*"),"?","~?"),'DEF_SELF_SCOUT_IMPORT'!$F$42:$F$1040,SUBSTITUTE(SUBSTITUTE(SUBSTITUTE($N356,"~","~~"),"*","~*"),"?","~?"),'DEF_SELF_SCOUT_IMPORT'!$H$42:$H$1040,"DROPBACK")/$C356)</f>
        <v>0.3333333333333333</v>
      </c>
      <c r="I356" s="14" t="str">
        <f>IF(C356=0,"",IF(C356&lt;=2,"TRACK",IF(C356=3,"LOW",IF(C356&lt;=6,"MEDIUM","HIGH"))))</f>
        <v>LOW</v>
      </c>
      <c r="J356" s="11">
        <f>IF(C356=0,"",ROUND(D356*70+(1-E356)*20+MAX(0,MIN(1,(10-F356)/10))*10,1))</f>
        <v>98.7</v>
      </c>
      <c r="K356" s="14" t="str">
        <f>IF(C356=0,"No Evidence",IF(C356&lt;=2,IF(E356&gt;0,"Explosive Alert","Track Only"),IF(C356=3,"Sample Watch",IF(E356&gt;=START_HERE!$B$31,"Explosive Alert",IF(J356&gt;=80,"Strong Candidate",IF(J356&gt;=65,"Good Candidate",IF(J356&gt;=50,"Mixed / Review","Problem Call")))))))</f>
        <v>Sample Watch</v>
      </c>
      <c r="L356" s="9" t="str">
        <f>IF(COUNTIFS('DEF_SELF_SCOUT_IMPORT'!$L$42:$L$1040,"Y",'DEF_SELF_SCOUT_IMPORT'!$E$42:$E$1040,SUBSTITUTE(SUBSTITUTE(SUBSTITUTE($B356,"~","~~"),"*","~*"),"?","~?"),'DEF_SELF_SCOUT_IMPORT'!$Q$42:$Q$1040,SUBSTITUTE(SUBSTITUTE(SUBSTITUTE($M356,"~","~~"),"*","~*"),"?","~?"),'DEF_SELF_SCOUT_IMPORT'!$F$42:$F$1040,SUBSTITUTE(SUBSTITUTE(SUBSTITUTE($N356,"~","~~"),"*","~*"),"?","~?"),'DEF_SELF_SCOUT_IMPORT'!$J$42:$J$1040,"")&gt;0,"Unscored clean outcome; review result tags before using score.",IF(C356=0,"No matching defensive reps; film confirmation needed.",IF(K356="Explosive Alert","Explosive risk; review clips before using as answer.",IF(C356&lt;=2,"Track only; not enough sample.",IF(C356=3,IF(E356&gt;0,"Sample watch with explosive exposure; review clips and build the sample.",IF(J356&gt;=65,"Good signal, but sample is limited.","Sample watch; review clips and build the sample.")),IF(K356="Problem Call","Problem area; practice or call-sheet review.",IF(K356="Strong Candidate","Strong call-fit candidate; confirm on film.",IF(K356="Good Candidate","Good call-fit signal; confirm on film.","Mixed signal; review fit and execution on film."))))))))</f>
        <v>Good signal, but sample is limited.</v>
      </c>
      <c r="M356" s="8" t="s">
        <v>115</v>
      </c>
      <c r="N356" s="8" t="s">
        <v>120</v>
      </c>
      <c r="O356" s="8"/>
      <c r="P356" s="8"/>
      <c r="Q356" s="8"/>
      <c r="R356" s="8" t="s">
        <v>28</v>
      </c>
      <c r="S356" s="2" t="s">
        <v>198</v>
      </c>
      <c r="T356" s="2">
        <f>IF(C356=0,0,IF(C356&gt;=CALL_LOOKUP_BOARD!$B$7,IF(OR(K356="Problem Call",K356="Explosive Alert"),10000000,20000000),0)+IF(C356&gt;=CALL_LOOKUP_BOARD!$B$7,J356*1000+MIN(C356,999),C356*1000+J356)+0.00982900)</f>
        <v>3098.709829</v>
      </c>
      <c r="U356" s="2">
        <f>IF(C356=0,"",IF(COUNTIFS($S$186:$S$367,SUBSTITUTE(SUBSTITUTE(SUBSTITUTE(S356,"~","~~"),"*","~*"),"?","~?"),$T$186:$T$367,"&gt;"&amp;T356)=0,S356,""))</f>
        <v/>
      </c>
    </row>
    <row r="357" spans="1:21" ht="38" customHeight="1">
      <c r="A357" s="8" t="s">
        <v>197</v>
      </c>
      <c r="B357" s="8" t="s">
        <v>73</v>
      </c>
      <c r="C357" s="12">
        <f>COUNTIFS('DEF_SELF_SCOUT_IMPORT'!$L$42:$L$1040,"Y",'DEF_SELF_SCOUT_IMPORT'!$E$42:$E$1040,SUBSTITUTE(SUBSTITUTE(SUBSTITUTE($B357,"~","~~"),"*","~*"),"?","~?"),'DEF_SELF_SCOUT_IMPORT'!$Q$42:$Q$1040,SUBSTITUTE(SUBSTITUTE(SUBSTITUTE($M357,"~","~~"),"*","~*"),"?","~?"),'DEF_SELF_SCOUT_IMPORT'!$F$42:$F$1040,SUBSTITUTE(SUBSTITUTE(SUBSTITUTE($N357,"~","~~"),"*","~*"),"?","~?"))</f>
        <v>1</v>
      </c>
      <c r="D357" s="10">
        <f>IF($C357=0,"",SUMIFS('DEF_SELF_SCOUT_IMPORT'!$J$42:$J$1040,'DEF_SELF_SCOUT_IMPORT'!$L$42:$L$1040,"Y",'DEF_SELF_SCOUT_IMPORT'!$E$42:$E$1040,SUBSTITUTE(SUBSTITUTE(SUBSTITUTE($B357,"~","~~"),"*","~*"),"?","~?"),'DEF_SELF_SCOUT_IMPORT'!$Q$42:$Q$1040,SUBSTITUTE(SUBSTITUTE(SUBSTITUTE($M357,"~","~~"),"*","~*"),"?","~?"),'DEF_SELF_SCOUT_IMPORT'!$F$42:$F$1040,SUBSTITUTE(SUBSTITUTE(SUBSTITUTE($N357,"~","~~"),"*","~*"),"?","~?"))/$C357)</f>
        <v>1.0</v>
      </c>
      <c r="E357" s="10">
        <f>IF($C357=0,"",SUMIFS('DEF_SELF_SCOUT_IMPORT'!$K$42:$K$1040,'DEF_SELF_SCOUT_IMPORT'!$L$42:$L$1040,"Y",'DEF_SELF_SCOUT_IMPORT'!$E$42:$E$1040,SUBSTITUTE(SUBSTITUTE(SUBSTITUTE($B357,"~","~~"),"*","~*"),"?","~?"),'DEF_SELF_SCOUT_IMPORT'!$Q$42:$Q$1040,SUBSTITUTE(SUBSTITUTE(SUBSTITUTE($M357,"~","~~"),"*","~*"),"?","~?"),'DEF_SELF_SCOUT_IMPORT'!$F$42:$F$1040,SUBSTITUTE(SUBSTITUTE(SUBSTITUTE($N357,"~","~~"),"*","~*"),"?","~?"))/$C357)</f>
        <v>0.0</v>
      </c>
      <c r="F357" s="11">
        <f>IF($C357=0,"",AVERAGEIFS('DEF_SELF_SCOUT_IMPORT'!$I$42:$I$1040,'DEF_SELF_SCOUT_IMPORT'!$L$42:$L$1040,"Y",'DEF_SELF_SCOUT_IMPORT'!$E$42:$E$1040,SUBSTITUTE(SUBSTITUTE(SUBSTITUTE($B357,"~","~~"),"*","~*"),"?","~?"),'DEF_SELF_SCOUT_IMPORT'!$Q$42:$Q$1040,SUBSTITUTE(SUBSTITUTE(SUBSTITUTE($M357,"~","~~"),"*","~*"),"?","~?"),'DEF_SELF_SCOUT_IMPORT'!$F$42:$F$1040,SUBSTITUTE(SUBSTITUTE(SUBSTITUTE($N357,"~","~~"),"*","~*"),"?","~?")))</f>
        <v>0.0</v>
      </c>
      <c r="G357" s="10">
        <f>IF($C357=0,"",COUNTIFS('DEF_SELF_SCOUT_IMPORT'!$L$42:$L$1040,"Y",'DEF_SELF_SCOUT_IMPORT'!$E$42:$E$1040,SUBSTITUTE(SUBSTITUTE(SUBSTITUTE($B357,"~","~~"),"*","~*"),"?","~?"),'DEF_SELF_SCOUT_IMPORT'!$Q$42:$Q$1040,SUBSTITUTE(SUBSTITUTE(SUBSTITUTE($M357,"~","~~"),"*","~*"),"?","~?"),'DEF_SELF_SCOUT_IMPORT'!$F$42:$F$1040,SUBSTITUTE(SUBSTITUTE(SUBSTITUTE($N357,"~","~~"),"*","~*"),"?","~?"),'DEF_SELF_SCOUT_IMPORT'!$H$42:$H$1040,"RUSH")/$C357)</f>
        <v>0.0</v>
      </c>
      <c r="H357" s="10">
        <f>IF($C357=0,"",COUNTIFS('DEF_SELF_SCOUT_IMPORT'!$L$42:$L$1040,"Y",'DEF_SELF_SCOUT_IMPORT'!$E$42:$E$1040,SUBSTITUTE(SUBSTITUTE(SUBSTITUTE($B357,"~","~~"),"*","~*"),"?","~?"),'DEF_SELF_SCOUT_IMPORT'!$Q$42:$Q$1040,SUBSTITUTE(SUBSTITUTE(SUBSTITUTE($M357,"~","~~"),"*","~*"),"?","~?"),'DEF_SELF_SCOUT_IMPORT'!$F$42:$F$1040,SUBSTITUTE(SUBSTITUTE(SUBSTITUTE($N357,"~","~~"),"*","~*"),"?","~?"),'DEF_SELF_SCOUT_IMPORT'!$H$42:$H$1040,"DROPBACK")/$C357)</f>
        <v>1.0</v>
      </c>
      <c r="I357" s="14" t="str">
        <f>IF(C357=0,"",IF(C357&lt;=2,"TRACK",IF(C357=3,"LOW",IF(C357&lt;=6,"MEDIUM","HIGH"))))</f>
        <v>TRACK</v>
      </c>
      <c r="J357" s="11">
        <f>IF(C357=0,"",ROUND(D357*70+(1-E357)*20+MAX(0,MIN(1,(10-F357)/10))*10,1))</f>
        <v>100.0</v>
      </c>
      <c r="K357" s="14" t="str">
        <f>IF(C357=0,"No Evidence",IF(C357&lt;=2,IF(E357&gt;0,"Explosive Alert","Track Only"),IF(C357=3,"Sample Watch",IF(E357&gt;=START_HERE!$B$31,"Explosive Alert",IF(J357&gt;=80,"Strong Candidate",IF(J357&gt;=65,"Good Candidate",IF(J357&gt;=50,"Mixed / Review","Problem Call")))))))</f>
        <v>Track Only</v>
      </c>
      <c r="L357" s="9" t="str">
        <f>IF(COUNTIFS('DEF_SELF_SCOUT_IMPORT'!$L$42:$L$1040,"Y",'DEF_SELF_SCOUT_IMPORT'!$E$42:$E$1040,SUBSTITUTE(SUBSTITUTE(SUBSTITUTE($B357,"~","~~"),"*","~*"),"?","~?"),'DEF_SELF_SCOUT_IMPORT'!$Q$42:$Q$1040,SUBSTITUTE(SUBSTITUTE(SUBSTITUTE($M357,"~","~~"),"*","~*"),"?","~?"),'DEF_SELF_SCOUT_IMPORT'!$F$42:$F$1040,SUBSTITUTE(SUBSTITUTE(SUBSTITUTE($N357,"~","~~"),"*","~*"),"?","~?"),'DEF_SELF_SCOUT_IMPORT'!$J$42:$J$1040,"")&gt;0,"Unscored clean outcome; review result tags before using score.",IF(C357=0,"No matching defensive reps; film confirmation needed.",IF(K357="Explosive Alert","Explosive risk; review clips before using as answer.",IF(C357&lt;=2,"Track only; not enough sample.",IF(C357=3,IF(E357&gt;0,"Sample watch with explosive exposure; review clips and build the sample.",IF(J357&gt;=65,"Good signal, but sample is limited.","Sample watch; review clips and build the sample.")),IF(K357="Problem Call","Problem area; practice or call-sheet review.",IF(K357="Strong Candidate","Strong call-fit candidate; confirm on film.",IF(K357="Good Candidate","Good call-fit signal; confirm on film.","Mixed signal; review fit and execution on film."))))))))</f>
        <v>Track only; not enough sample.</v>
      </c>
      <c r="M357" s="8" t="s">
        <v>115</v>
      </c>
      <c r="N357" s="8" t="s">
        <v>120</v>
      </c>
      <c r="O357" s="8"/>
      <c r="P357" s="8"/>
      <c r="Q357" s="8"/>
      <c r="R357" s="8" t="s">
        <v>28</v>
      </c>
      <c r="S357" s="2" t="s">
        <v>198</v>
      </c>
      <c r="T357" s="2">
        <f>IF(C357=0,0,IF(C357&gt;=CALL_LOOKUP_BOARD!$B$7,IF(OR(K357="Problem Call",K357="Explosive Alert"),10000000,20000000),0)+IF(C357&gt;=CALL_LOOKUP_BOARD!$B$7,J357*1000+MIN(C357,999),C357*1000+J357)+0.00982800)</f>
        <v>1100.009828</v>
      </c>
      <c r="U357" s="2">
        <f>IF(C357=0,"",IF(COUNTIFS($S$186:$S$367,SUBSTITUTE(SUBSTITUTE(SUBSTITUTE(S357,"~","~~"),"*","~*"),"?","~?"),$T$186:$T$367,"&gt;"&amp;T357)=0,S357,""))</f>
        <v/>
      </c>
    </row>
    <row r="358" spans="1:21" ht="38" customHeight="1">
      <c r="A358" s="8" t="s">
        <v>197</v>
      </c>
      <c r="B358" s="8" t="s">
        <v>62</v>
      </c>
      <c r="C358" s="12">
        <f>COUNTIFS('DEF_SELF_SCOUT_IMPORT'!$L$42:$L$1040,"Y",'DEF_SELF_SCOUT_IMPORT'!$E$42:$E$1040,SUBSTITUTE(SUBSTITUTE(SUBSTITUTE($B358,"~","~~"),"*","~*"),"?","~?"),'DEF_SELF_SCOUT_IMPORT'!$Q$42:$Q$1040,SUBSTITUTE(SUBSTITUTE(SUBSTITUTE($M358,"~","~~"),"*","~*"),"?","~?"),'DEF_SELF_SCOUT_IMPORT'!$F$42:$F$1040,SUBSTITUTE(SUBSTITUTE(SUBSTITUTE($N358,"~","~~"),"*","~*"),"?","~?"))</f>
        <v>1</v>
      </c>
      <c r="D358" s="10">
        <f>IF($C358=0,"",SUMIFS('DEF_SELF_SCOUT_IMPORT'!$J$42:$J$1040,'DEF_SELF_SCOUT_IMPORT'!$L$42:$L$1040,"Y",'DEF_SELF_SCOUT_IMPORT'!$E$42:$E$1040,SUBSTITUTE(SUBSTITUTE(SUBSTITUTE($B358,"~","~~"),"*","~*"),"?","~?"),'DEF_SELF_SCOUT_IMPORT'!$Q$42:$Q$1040,SUBSTITUTE(SUBSTITUTE(SUBSTITUTE($M358,"~","~~"),"*","~*"),"?","~?"),'DEF_SELF_SCOUT_IMPORT'!$F$42:$F$1040,SUBSTITUTE(SUBSTITUTE(SUBSTITUTE($N358,"~","~~"),"*","~*"),"?","~?"))/$C358)</f>
        <v>0.0</v>
      </c>
      <c r="E358" s="10">
        <f>IF($C358=0,"",SUMIFS('DEF_SELF_SCOUT_IMPORT'!$K$42:$K$1040,'DEF_SELF_SCOUT_IMPORT'!$L$42:$L$1040,"Y",'DEF_SELF_SCOUT_IMPORT'!$E$42:$E$1040,SUBSTITUTE(SUBSTITUTE(SUBSTITUTE($B358,"~","~~"),"*","~*"),"?","~?"),'DEF_SELF_SCOUT_IMPORT'!$Q$42:$Q$1040,SUBSTITUTE(SUBSTITUTE(SUBSTITUTE($M358,"~","~~"),"*","~*"),"?","~?"),'DEF_SELF_SCOUT_IMPORT'!$F$42:$F$1040,SUBSTITUTE(SUBSTITUTE(SUBSTITUTE($N358,"~","~~"),"*","~*"),"?","~?"))/$C358)</f>
        <v>1.0</v>
      </c>
      <c r="F358" s="11">
        <f>IF($C358=0,"",AVERAGEIFS('DEF_SELF_SCOUT_IMPORT'!$I$42:$I$1040,'DEF_SELF_SCOUT_IMPORT'!$L$42:$L$1040,"Y",'DEF_SELF_SCOUT_IMPORT'!$E$42:$E$1040,SUBSTITUTE(SUBSTITUTE(SUBSTITUTE($B358,"~","~~"),"*","~*"),"?","~?"),'DEF_SELF_SCOUT_IMPORT'!$Q$42:$Q$1040,SUBSTITUTE(SUBSTITUTE(SUBSTITUTE($M358,"~","~~"),"*","~*"),"?","~?"),'DEF_SELF_SCOUT_IMPORT'!$F$42:$F$1040,SUBSTITUTE(SUBSTITUTE(SUBSTITUTE($N358,"~","~~"),"*","~*"),"?","~?")))</f>
        <v>25.0</v>
      </c>
      <c r="G358" s="10">
        <f>IF($C358=0,"",COUNTIFS('DEF_SELF_SCOUT_IMPORT'!$L$42:$L$1040,"Y",'DEF_SELF_SCOUT_IMPORT'!$E$42:$E$1040,SUBSTITUTE(SUBSTITUTE(SUBSTITUTE($B358,"~","~~"),"*","~*"),"?","~?"),'DEF_SELF_SCOUT_IMPORT'!$Q$42:$Q$1040,SUBSTITUTE(SUBSTITUTE(SUBSTITUTE($M358,"~","~~"),"*","~*"),"?","~?"),'DEF_SELF_SCOUT_IMPORT'!$F$42:$F$1040,SUBSTITUTE(SUBSTITUTE(SUBSTITUTE($N358,"~","~~"),"*","~*"),"?","~?"),'DEF_SELF_SCOUT_IMPORT'!$H$42:$H$1040,"RUSH")/$C358)</f>
        <v>1.0</v>
      </c>
      <c r="H358" s="10">
        <f>IF($C358=0,"",COUNTIFS('DEF_SELF_SCOUT_IMPORT'!$L$42:$L$1040,"Y",'DEF_SELF_SCOUT_IMPORT'!$E$42:$E$1040,SUBSTITUTE(SUBSTITUTE(SUBSTITUTE($B358,"~","~~"),"*","~*"),"?","~?"),'DEF_SELF_SCOUT_IMPORT'!$Q$42:$Q$1040,SUBSTITUTE(SUBSTITUTE(SUBSTITUTE($M358,"~","~~"),"*","~*"),"?","~?"),'DEF_SELF_SCOUT_IMPORT'!$F$42:$F$1040,SUBSTITUTE(SUBSTITUTE(SUBSTITUTE($N358,"~","~~"),"*","~*"),"?","~?"),'DEF_SELF_SCOUT_IMPORT'!$H$42:$H$1040,"DROPBACK")/$C358)</f>
        <v>0.0</v>
      </c>
      <c r="I358" s="14" t="str">
        <f>IF(C358=0,"",IF(C358&lt;=2,"TRACK",IF(C358=3,"LOW",IF(C358&lt;=6,"MEDIUM","HIGH"))))</f>
        <v>TRACK</v>
      </c>
      <c r="J358" s="11">
        <f>IF(C358=0,"",ROUND(D358*70+(1-E358)*20+MAX(0,MIN(1,(10-F358)/10))*10,1))</f>
        <v>0.0</v>
      </c>
      <c r="K358" s="14" t="str">
        <f>IF(C358=0,"No Evidence",IF(C358&lt;=2,IF(E358&gt;0,"Explosive Alert","Track Only"),IF(C358=3,"Sample Watch",IF(E358&gt;=START_HERE!$B$31,"Explosive Alert",IF(J358&gt;=80,"Strong Candidate",IF(J358&gt;=65,"Good Candidate",IF(J358&gt;=50,"Mixed / Review","Problem Call")))))))</f>
        <v>Explosive Alert</v>
      </c>
      <c r="L358" s="9" t="str">
        <f>IF(COUNTIFS('DEF_SELF_SCOUT_IMPORT'!$L$42:$L$1040,"Y",'DEF_SELF_SCOUT_IMPORT'!$E$42:$E$1040,SUBSTITUTE(SUBSTITUTE(SUBSTITUTE($B358,"~","~~"),"*","~*"),"?","~?"),'DEF_SELF_SCOUT_IMPORT'!$Q$42:$Q$1040,SUBSTITUTE(SUBSTITUTE(SUBSTITUTE($M358,"~","~~"),"*","~*"),"?","~?"),'DEF_SELF_SCOUT_IMPORT'!$F$42:$F$1040,SUBSTITUTE(SUBSTITUTE(SUBSTITUTE($N358,"~","~~"),"*","~*"),"?","~?"),'DEF_SELF_SCOUT_IMPORT'!$J$42:$J$1040,"")&gt;0,"Unscored clean outcome; review result tags before using score.",IF(C358=0,"No matching defensive reps; film confirmation needed.",IF(K358="Explosive Alert","Explosive risk; review clips before using as answer.",IF(C358&lt;=2,"Track only; not enough sample.",IF(C358=3,IF(E358&gt;0,"Sample watch with explosive exposure; review clips and build the sample.",IF(J358&gt;=65,"Good signal, but sample is limited.","Sample watch; review clips and build the sample.")),IF(K358="Problem Call","Problem area; practice or call-sheet review.",IF(K358="Strong Candidate","Strong call-fit candidate; confirm on film.",IF(K358="Good Candidate","Good call-fit signal; confirm on film.","Mixed signal; review fit and execution on film."))))))))</f>
        <v>Explosive risk; review clips before using as answer.</v>
      </c>
      <c r="M358" s="8" t="s">
        <v>115</v>
      </c>
      <c r="N358" s="8" t="s">
        <v>120</v>
      </c>
      <c r="O358" s="8"/>
      <c r="P358" s="8"/>
      <c r="Q358" s="8"/>
      <c r="R358" s="8" t="s">
        <v>28</v>
      </c>
      <c r="S358" s="2" t="s">
        <v>198</v>
      </c>
      <c r="T358" s="2">
        <f>IF(C358=0,0,IF(C358&gt;=CALL_LOOKUP_BOARD!$B$7,IF(OR(K358="Problem Call",K358="Explosive Alert"),10000000,20000000),0)+IF(C358&gt;=CALL_LOOKUP_BOARD!$B$7,J358*1000+MIN(C358,999),C358*1000+J358)+0.00982700)</f>
        <v>1000.009827</v>
      </c>
      <c r="U358" s="2">
        <f>IF(C358=0,"",IF(COUNTIFS($S$186:$S$367,SUBSTITUTE(SUBSTITUTE(SUBSTITUTE(S358,"~","~~"),"*","~*"),"?","~?"),$T$186:$T$367,"&gt;"&amp;T358)=0,S358,""))</f>
        <v/>
      </c>
    </row>
    <row r="359" spans="1:21" ht="38" customHeight="1">
      <c r="A359" s="8" t="s">
        <v>197</v>
      </c>
      <c r="B359" s="8" t="s">
        <v>63</v>
      </c>
      <c r="C359" s="12">
        <f>COUNTIFS('DEF_SELF_SCOUT_IMPORT'!$L$42:$L$1040,"Y",'DEF_SELF_SCOUT_IMPORT'!$E$42:$E$1040,SUBSTITUTE(SUBSTITUTE(SUBSTITUTE($B359,"~","~~"),"*","~*"),"?","~?"),'DEF_SELF_SCOUT_IMPORT'!$Q$42:$Q$1040,SUBSTITUTE(SUBSTITUTE(SUBSTITUTE($M359,"~","~~"),"*","~*"),"?","~?"),'DEF_SELF_SCOUT_IMPORT'!$F$42:$F$1040,SUBSTITUTE(SUBSTITUTE(SUBSTITUTE($N359,"~","~~"),"*","~*"),"?","~?"))</f>
        <v>3</v>
      </c>
      <c r="D359" s="10">
        <f>IF($C359=0,"",SUMIFS('DEF_SELF_SCOUT_IMPORT'!$J$42:$J$1040,'DEF_SELF_SCOUT_IMPORT'!$L$42:$L$1040,"Y",'DEF_SELF_SCOUT_IMPORT'!$E$42:$E$1040,SUBSTITUTE(SUBSTITUTE(SUBSTITUTE($B359,"~","~~"),"*","~*"),"?","~?"),'DEF_SELF_SCOUT_IMPORT'!$Q$42:$Q$1040,SUBSTITUTE(SUBSTITUTE(SUBSTITUTE($M359,"~","~~"),"*","~*"),"?","~?"),'DEF_SELF_SCOUT_IMPORT'!$F$42:$F$1040,SUBSTITUTE(SUBSTITUTE(SUBSTITUTE($N359,"~","~~"),"*","~*"),"?","~?"))/$C359)</f>
        <v>0.3333333333333333</v>
      </c>
      <c r="E359" s="10">
        <f>IF($C359=0,"",SUMIFS('DEF_SELF_SCOUT_IMPORT'!$K$42:$K$1040,'DEF_SELF_SCOUT_IMPORT'!$L$42:$L$1040,"Y",'DEF_SELF_SCOUT_IMPORT'!$E$42:$E$1040,SUBSTITUTE(SUBSTITUTE(SUBSTITUTE($B359,"~","~~"),"*","~*"),"?","~?"),'DEF_SELF_SCOUT_IMPORT'!$Q$42:$Q$1040,SUBSTITUTE(SUBSTITUTE(SUBSTITUTE($M359,"~","~~"),"*","~*"),"?","~?"),'DEF_SELF_SCOUT_IMPORT'!$F$42:$F$1040,SUBSTITUTE(SUBSTITUTE(SUBSTITUTE($N359,"~","~~"),"*","~*"),"?","~?"))/$C359)</f>
        <v>0.3333333333333333</v>
      </c>
      <c r="F359" s="11">
        <f>IF($C359=0,"",AVERAGEIFS('DEF_SELF_SCOUT_IMPORT'!$I$42:$I$1040,'DEF_SELF_SCOUT_IMPORT'!$L$42:$L$1040,"Y",'DEF_SELF_SCOUT_IMPORT'!$E$42:$E$1040,SUBSTITUTE(SUBSTITUTE(SUBSTITUTE($B359,"~","~~"),"*","~*"),"?","~?"),'DEF_SELF_SCOUT_IMPORT'!$Q$42:$Q$1040,SUBSTITUTE(SUBSTITUTE(SUBSTITUTE($M359,"~","~~"),"*","~*"),"?","~?"),'DEF_SELF_SCOUT_IMPORT'!$F$42:$F$1040,SUBSTITUTE(SUBSTITUTE(SUBSTITUTE($N359,"~","~~"),"*","~*"),"?","~?")))</f>
        <v>9.0</v>
      </c>
      <c r="G359" s="10">
        <f>IF($C359=0,"",COUNTIFS('DEF_SELF_SCOUT_IMPORT'!$L$42:$L$1040,"Y",'DEF_SELF_SCOUT_IMPORT'!$E$42:$E$1040,SUBSTITUTE(SUBSTITUTE(SUBSTITUTE($B359,"~","~~"),"*","~*"),"?","~?"),'DEF_SELF_SCOUT_IMPORT'!$Q$42:$Q$1040,SUBSTITUTE(SUBSTITUTE(SUBSTITUTE($M359,"~","~~"),"*","~*"),"?","~?"),'DEF_SELF_SCOUT_IMPORT'!$F$42:$F$1040,SUBSTITUTE(SUBSTITUTE(SUBSTITUTE($N359,"~","~~"),"*","~*"),"?","~?"),'DEF_SELF_SCOUT_IMPORT'!$H$42:$H$1040,"RUSH")/$C359)</f>
        <v>0.3333333333333333</v>
      </c>
      <c r="H359" s="10">
        <f>IF($C359=0,"",COUNTIFS('DEF_SELF_SCOUT_IMPORT'!$L$42:$L$1040,"Y",'DEF_SELF_SCOUT_IMPORT'!$E$42:$E$1040,SUBSTITUTE(SUBSTITUTE(SUBSTITUTE($B359,"~","~~"),"*","~*"),"?","~?"),'DEF_SELF_SCOUT_IMPORT'!$Q$42:$Q$1040,SUBSTITUTE(SUBSTITUTE(SUBSTITUTE($M359,"~","~~"),"*","~*"),"?","~?"),'DEF_SELF_SCOUT_IMPORT'!$F$42:$F$1040,SUBSTITUTE(SUBSTITUTE(SUBSTITUTE($N359,"~","~~"),"*","~*"),"?","~?"),'DEF_SELF_SCOUT_IMPORT'!$H$42:$H$1040,"DROPBACK")/$C359)</f>
        <v>0.6666666666666666</v>
      </c>
      <c r="I359" s="14" t="str">
        <f>IF(C359=0,"",IF(C359&lt;=2,"TRACK",IF(C359=3,"LOW",IF(C359&lt;=6,"MEDIUM","HIGH"))))</f>
        <v>LOW</v>
      </c>
      <c r="J359" s="11">
        <f>IF(C359=0,"",ROUND(D359*70+(1-E359)*20+MAX(0,MIN(1,(10-F359)/10))*10,1))</f>
        <v>37.7</v>
      </c>
      <c r="K359" s="14" t="str">
        <f>IF(C359=0,"No Evidence",IF(C359&lt;=2,IF(E359&gt;0,"Explosive Alert","Track Only"),IF(C359=3,"Sample Watch",IF(E359&gt;=START_HERE!$B$31,"Explosive Alert",IF(J359&gt;=80,"Strong Candidate",IF(J359&gt;=65,"Good Candidate",IF(J359&gt;=50,"Mixed / Review","Problem Call")))))))</f>
        <v>Sample Watch</v>
      </c>
      <c r="L359" s="9" t="str">
        <f>IF(COUNTIFS('DEF_SELF_SCOUT_IMPORT'!$L$42:$L$1040,"Y",'DEF_SELF_SCOUT_IMPORT'!$E$42:$E$1040,SUBSTITUTE(SUBSTITUTE(SUBSTITUTE($B359,"~","~~"),"*","~*"),"?","~?"),'DEF_SELF_SCOUT_IMPORT'!$Q$42:$Q$1040,SUBSTITUTE(SUBSTITUTE(SUBSTITUTE($M359,"~","~~"),"*","~*"),"?","~?"),'DEF_SELF_SCOUT_IMPORT'!$F$42:$F$1040,SUBSTITUTE(SUBSTITUTE(SUBSTITUTE($N359,"~","~~"),"*","~*"),"?","~?"),'DEF_SELF_SCOUT_IMPORT'!$J$42:$J$1040,"")&gt;0,"Unscored clean outcome; review result tags before using score.",IF(C359=0,"No matching defensive reps; film confirmation needed.",IF(K359="Explosive Alert","Explosive risk; review clips before using as answer.",IF(C359&lt;=2,"Track only; not enough sample.",IF(C359=3,IF(E359&gt;0,"Sample watch with explosive exposure; review clips and build the sample.",IF(J359&gt;=65,"Good signal, but sample is limited.","Sample watch; review clips and build the sample.")),IF(K359="Problem Call","Problem area; practice or call-sheet review.",IF(K359="Strong Candidate","Strong call-fit candidate; confirm on film.",IF(K359="Good Candidate","Good call-fit signal; confirm on film.","Mixed signal; review fit and execution on film."))))))))</f>
        <v>Sample watch with explosive exposure; review clips and build the sample.</v>
      </c>
      <c r="M359" s="8" t="s">
        <v>115</v>
      </c>
      <c r="N359" s="8" t="s">
        <v>120</v>
      </c>
      <c r="O359" s="8"/>
      <c r="P359" s="8"/>
      <c r="Q359" s="8"/>
      <c r="R359" s="8" t="s">
        <v>28</v>
      </c>
      <c r="S359" s="2" t="s">
        <v>198</v>
      </c>
      <c r="T359" s="2">
        <f>IF(C359=0,0,IF(C359&gt;=CALL_LOOKUP_BOARD!$B$7,IF(OR(K359="Problem Call",K359="Explosive Alert"),10000000,20000000),0)+IF(C359&gt;=CALL_LOOKUP_BOARD!$B$7,J359*1000+MIN(C359,999),C359*1000+J359)+0.00982600)</f>
        <v>3037.709826</v>
      </c>
      <c r="U359" s="2">
        <f>IF(C359=0,"",IF(COUNTIFS($S$186:$S$367,SUBSTITUTE(SUBSTITUTE(SUBSTITUTE(S359,"~","~~"),"*","~*"),"?","~?"),$T$186:$T$367,"&gt;"&amp;T359)=0,S359,""))</f>
        <v/>
      </c>
    </row>
    <row r="360" spans="1:21" ht="38" customHeight="1">
      <c r="A360" s="8" t="s">
        <v>197</v>
      </c>
      <c r="B360" s="8" t="s">
        <v>67</v>
      </c>
      <c r="C360" s="12">
        <f>COUNTIFS('DEF_SELF_SCOUT_IMPORT'!$L$42:$L$1040,"Y",'DEF_SELF_SCOUT_IMPORT'!$E$42:$E$1040,SUBSTITUTE(SUBSTITUTE(SUBSTITUTE($B360,"~","~~"),"*","~*"),"?","~?"),'DEF_SELF_SCOUT_IMPORT'!$Q$42:$Q$1040,SUBSTITUTE(SUBSTITUTE(SUBSTITUTE($M360,"~","~~"),"*","~*"),"?","~?"),'DEF_SELF_SCOUT_IMPORT'!$F$42:$F$1040,SUBSTITUTE(SUBSTITUTE(SUBSTITUTE($N360,"~","~~"),"*","~*"),"?","~?"))</f>
        <v>1</v>
      </c>
      <c r="D360" s="10">
        <f>IF($C360=0,"",SUMIFS('DEF_SELF_SCOUT_IMPORT'!$J$42:$J$1040,'DEF_SELF_SCOUT_IMPORT'!$L$42:$L$1040,"Y",'DEF_SELF_SCOUT_IMPORT'!$E$42:$E$1040,SUBSTITUTE(SUBSTITUTE(SUBSTITUTE($B360,"~","~~"),"*","~*"),"?","~?"),'DEF_SELF_SCOUT_IMPORT'!$Q$42:$Q$1040,SUBSTITUTE(SUBSTITUTE(SUBSTITUTE($M360,"~","~~"),"*","~*"),"?","~?"),'DEF_SELF_SCOUT_IMPORT'!$F$42:$F$1040,SUBSTITUTE(SUBSTITUTE(SUBSTITUTE($N360,"~","~~"),"*","~*"),"?","~?"))/$C360)</f>
        <v>1.0</v>
      </c>
      <c r="E360" s="10">
        <f>IF($C360=0,"",SUMIFS('DEF_SELF_SCOUT_IMPORT'!$K$42:$K$1040,'DEF_SELF_SCOUT_IMPORT'!$L$42:$L$1040,"Y",'DEF_SELF_SCOUT_IMPORT'!$E$42:$E$1040,SUBSTITUTE(SUBSTITUTE(SUBSTITUTE($B360,"~","~~"),"*","~*"),"?","~?"),'DEF_SELF_SCOUT_IMPORT'!$Q$42:$Q$1040,SUBSTITUTE(SUBSTITUTE(SUBSTITUTE($M360,"~","~~"),"*","~*"),"?","~?"),'DEF_SELF_SCOUT_IMPORT'!$F$42:$F$1040,SUBSTITUTE(SUBSTITUTE(SUBSTITUTE($N360,"~","~~"),"*","~*"),"?","~?"))/$C360)</f>
        <v>0.0</v>
      </c>
      <c r="F360" s="11">
        <f>IF($C360=0,"",AVERAGEIFS('DEF_SELF_SCOUT_IMPORT'!$I$42:$I$1040,'DEF_SELF_SCOUT_IMPORT'!$L$42:$L$1040,"Y",'DEF_SELF_SCOUT_IMPORT'!$E$42:$E$1040,SUBSTITUTE(SUBSTITUTE(SUBSTITUTE($B360,"~","~~"),"*","~*"),"?","~?"),'DEF_SELF_SCOUT_IMPORT'!$Q$42:$Q$1040,SUBSTITUTE(SUBSTITUTE(SUBSTITUTE($M360,"~","~~"),"*","~*"),"?","~?"),'DEF_SELF_SCOUT_IMPORT'!$F$42:$F$1040,SUBSTITUTE(SUBSTITUTE(SUBSTITUTE($N360,"~","~~"),"*","~*"),"?","~?")))</f>
        <v>3.0</v>
      </c>
      <c r="G360" s="10">
        <f>IF($C360=0,"",COUNTIFS('DEF_SELF_SCOUT_IMPORT'!$L$42:$L$1040,"Y",'DEF_SELF_SCOUT_IMPORT'!$E$42:$E$1040,SUBSTITUTE(SUBSTITUTE(SUBSTITUTE($B360,"~","~~"),"*","~*"),"?","~?"),'DEF_SELF_SCOUT_IMPORT'!$Q$42:$Q$1040,SUBSTITUTE(SUBSTITUTE(SUBSTITUTE($M360,"~","~~"),"*","~*"),"?","~?"),'DEF_SELF_SCOUT_IMPORT'!$F$42:$F$1040,SUBSTITUTE(SUBSTITUTE(SUBSTITUTE($N360,"~","~~"),"*","~*"),"?","~?"),'DEF_SELF_SCOUT_IMPORT'!$H$42:$H$1040,"RUSH")/$C360)</f>
        <v>1.0</v>
      </c>
      <c r="H360" s="10">
        <f>IF($C360=0,"",COUNTIFS('DEF_SELF_SCOUT_IMPORT'!$L$42:$L$1040,"Y",'DEF_SELF_SCOUT_IMPORT'!$E$42:$E$1040,SUBSTITUTE(SUBSTITUTE(SUBSTITUTE($B360,"~","~~"),"*","~*"),"?","~?"),'DEF_SELF_SCOUT_IMPORT'!$Q$42:$Q$1040,SUBSTITUTE(SUBSTITUTE(SUBSTITUTE($M360,"~","~~"),"*","~*"),"?","~?"),'DEF_SELF_SCOUT_IMPORT'!$F$42:$F$1040,SUBSTITUTE(SUBSTITUTE(SUBSTITUTE($N360,"~","~~"),"*","~*"),"?","~?"),'DEF_SELF_SCOUT_IMPORT'!$H$42:$H$1040,"DROPBACK")/$C360)</f>
        <v>0.0</v>
      </c>
      <c r="I360" s="14" t="str">
        <f>IF(C360=0,"",IF(C360&lt;=2,"TRACK",IF(C360=3,"LOW",IF(C360&lt;=6,"MEDIUM","HIGH"))))</f>
        <v>TRACK</v>
      </c>
      <c r="J360" s="11">
        <f>IF(C360=0,"",ROUND(D360*70+(1-E360)*20+MAX(0,MIN(1,(10-F360)/10))*10,1))</f>
        <v>97.0</v>
      </c>
      <c r="K360" s="14" t="str">
        <f>IF(C360=0,"No Evidence",IF(C360&lt;=2,IF(E360&gt;0,"Explosive Alert","Track Only"),IF(C360=3,"Sample Watch",IF(E360&gt;=START_HERE!$B$31,"Explosive Alert",IF(J360&gt;=80,"Strong Candidate",IF(J360&gt;=65,"Good Candidate",IF(J360&gt;=50,"Mixed / Review","Problem Call")))))))</f>
        <v>Track Only</v>
      </c>
      <c r="L360" s="9" t="str">
        <f>IF(COUNTIFS('DEF_SELF_SCOUT_IMPORT'!$L$42:$L$1040,"Y",'DEF_SELF_SCOUT_IMPORT'!$E$42:$E$1040,SUBSTITUTE(SUBSTITUTE(SUBSTITUTE($B360,"~","~~"),"*","~*"),"?","~?"),'DEF_SELF_SCOUT_IMPORT'!$Q$42:$Q$1040,SUBSTITUTE(SUBSTITUTE(SUBSTITUTE($M360,"~","~~"),"*","~*"),"?","~?"),'DEF_SELF_SCOUT_IMPORT'!$F$42:$F$1040,SUBSTITUTE(SUBSTITUTE(SUBSTITUTE($N360,"~","~~"),"*","~*"),"?","~?"),'DEF_SELF_SCOUT_IMPORT'!$J$42:$J$1040,"")&gt;0,"Unscored clean outcome; review result tags before using score.",IF(C360=0,"No matching defensive reps; film confirmation needed.",IF(K360="Explosive Alert","Explosive risk; review clips before using as answer.",IF(C360&lt;=2,"Track only; not enough sample.",IF(C360=3,IF(E360&gt;0,"Sample watch with explosive exposure; review clips and build the sample.",IF(J360&gt;=65,"Good signal, but sample is limited.","Sample watch; review clips and build the sample.")),IF(K360="Problem Call","Problem area; practice or call-sheet review.",IF(K360="Strong Candidate","Strong call-fit candidate; confirm on film.",IF(K360="Good Candidate","Good call-fit signal; confirm on film.","Mixed signal; review fit and execution on film."))))))))</f>
        <v>Track only; not enough sample.</v>
      </c>
      <c r="M360" s="8" t="s">
        <v>115</v>
      </c>
      <c r="N360" s="8" t="s">
        <v>120</v>
      </c>
      <c r="O360" s="8"/>
      <c r="P360" s="8"/>
      <c r="Q360" s="8"/>
      <c r="R360" s="8" t="s">
        <v>28</v>
      </c>
      <c r="S360" s="2" t="s">
        <v>198</v>
      </c>
      <c r="T360" s="2">
        <f>IF(C360=0,0,IF(C360&gt;=CALL_LOOKUP_BOARD!$B$7,IF(OR(K360="Problem Call",K360="Explosive Alert"),10000000,20000000),0)+IF(C360&gt;=CALL_LOOKUP_BOARD!$B$7,J360*1000+MIN(C360,999),C360*1000+J360)+0.00982500)</f>
        <v>1097.009825</v>
      </c>
      <c r="U360" s="2">
        <f>IF(C360=0,"",IF(COUNTIFS($S$186:$S$367,SUBSTITUTE(SUBSTITUTE(SUBSTITUTE(S360,"~","~~"),"*","~*"),"?","~?"),$T$186:$T$367,"&gt;"&amp;T360)=0,S360,""))</f>
        <v/>
      </c>
    </row>
    <row r="361" spans="1:21" ht="38" customHeight="1">
      <c r="A361" s="8" t="s">
        <v>197</v>
      </c>
      <c r="B361" s="8" t="s">
        <v>68</v>
      </c>
      <c r="C361" s="12">
        <f>COUNTIFS('DEF_SELF_SCOUT_IMPORT'!$L$42:$L$1040,"Y",'DEF_SELF_SCOUT_IMPORT'!$E$42:$E$1040,SUBSTITUTE(SUBSTITUTE(SUBSTITUTE($B361,"~","~~"),"*","~*"),"?","~?"),'DEF_SELF_SCOUT_IMPORT'!$Q$42:$Q$1040,SUBSTITUTE(SUBSTITUTE(SUBSTITUTE($M361,"~","~~"),"*","~*"),"?","~?"),'DEF_SELF_SCOUT_IMPORT'!$F$42:$F$1040,SUBSTITUTE(SUBSTITUTE(SUBSTITUTE($N361,"~","~~"),"*","~*"),"?","~?"))</f>
        <v>4</v>
      </c>
      <c r="D361" s="10">
        <f>IF($C361=0,"",SUMIFS('DEF_SELF_SCOUT_IMPORT'!$J$42:$J$1040,'DEF_SELF_SCOUT_IMPORT'!$L$42:$L$1040,"Y",'DEF_SELF_SCOUT_IMPORT'!$E$42:$E$1040,SUBSTITUTE(SUBSTITUTE(SUBSTITUTE($B361,"~","~~"),"*","~*"),"?","~?"),'DEF_SELF_SCOUT_IMPORT'!$Q$42:$Q$1040,SUBSTITUTE(SUBSTITUTE(SUBSTITUTE($M361,"~","~~"),"*","~*"),"?","~?"),'DEF_SELF_SCOUT_IMPORT'!$F$42:$F$1040,SUBSTITUTE(SUBSTITUTE(SUBSTITUTE($N361,"~","~~"),"*","~*"),"?","~?"))/$C361)</f>
        <v>0.75</v>
      </c>
      <c r="E361" s="10">
        <f>IF($C361=0,"",SUMIFS('DEF_SELF_SCOUT_IMPORT'!$K$42:$K$1040,'DEF_SELF_SCOUT_IMPORT'!$L$42:$L$1040,"Y",'DEF_SELF_SCOUT_IMPORT'!$E$42:$E$1040,SUBSTITUTE(SUBSTITUTE(SUBSTITUTE($B361,"~","~~"),"*","~*"),"?","~?"),'DEF_SELF_SCOUT_IMPORT'!$Q$42:$Q$1040,SUBSTITUTE(SUBSTITUTE(SUBSTITUTE($M361,"~","~~"),"*","~*"),"?","~?"),'DEF_SELF_SCOUT_IMPORT'!$F$42:$F$1040,SUBSTITUTE(SUBSTITUTE(SUBSTITUTE($N361,"~","~~"),"*","~*"),"?","~?"))/$C361)</f>
        <v>0.0</v>
      </c>
      <c r="F361" s="11">
        <f>IF($C361=0,"",AVERAGEIFS('DEF_SELF_SCOUT_IMPORT'!$I$42:$I$1040,'DEF_SELF_SCOUT_IMPORT'!$L$42:$L$1040,"Y",'DEF_SELF_SCOUT_IMPORT'!$E$42:$E$1040,SUBSTITUTE(SUBSTITUTE(SUBSTITUTE($B361,"~","~~"),"*","~*"),"?","~?"),'DEF_SELF_SCOUT_IMPORT'!$Q$42:$Q$1040,SUBSTITUTE(SUBSTITUTE(SUBSTITUTE($M361,"~","~~"),"*","~*"),"?","~?"),'DEF_SELF_SCOUT_IMPORT'!$F$42:$F$1040,SUBSTITUTE(SUBSTITUTE(SUBSTITUTE($N361,"~","~~"),"*","~*"),"?","~?")))</f>
        <v>-0.75</v>
      </c>
      <c r="G361" s="10">
        <f>IF($C361=0,"",COUNTIFS('DEF_SELF_SCOUT_IMPORT'!$L$42:$L$1040,"Y",'DEF_SELF_SCOUT_IMPORT'!$E$42:$E$1040,SUBSTITUTE(SUBSTITUTE(SUBSTITUTE($B361,"~","~~"),"*","~*"),"?","~?"),'DEF_SELF_SCOUT_IMPORT'!$Q$42:$Q$1040,SUBSTITUTE(SUBSTITUTE(SUBSTITUTE($M361,"~","~~"),"*","~*"),"?","~?"),'DEF_SELF_SCOUT_IMPORT'!$F$42:$F$1040,SUBSTITUTE(SUBSTITUTE(SUBSTITUTE($N361,"~","~~"),"*","~*"),"?","~?"),'DEF_SELF_SCOUT_IMPORT'!$H$42:$H$1040,"RUSH")/$C361)</f>
        <v>0.5</v>
      </c>
      <c r="H361" s="10">
        <f>IF($C361=0,"",COUNTIFS('DEF_SELF_SCOUT_IMPORT'!$L$42:$L$1040,"Y",'DEF_SELF_SCOUT_IMPORT'!$E$42:$E$1040,SUBSTITUTE(SUBSTITUTE(SUBSTITUTE($B361,"~","~~"),"*","~*"),"?","~?"),'DEF_SELF_SCOUT_IMPORT'!$Q$42:$Q$1040,SUBSTITUTE(SUBSTITUTE(SUBSTITUTE($M361,"~","~~"),"*","~*"),"?","~?"),'DEF_SELF_SCOUT_IMPORT'!$F$42:$F$1040,SUBSTITUTE(SUBSTITUTE(SUBSTITUTE($N361,"~","~~"),"*","~*"),"?","~?"),'DEF_SELF_SCOUT_IMPORT'!$H$42:$H$1040,"DROPBACK")/$C361)</f>
        <v>0.5</v>
      </c>
      <c r="I361" s="14" t="str">
        <f>IF(C361=0,"",IF(C361&lt;=2,"TRACK",IF(C361=3,"LOW",IF(C361&lt;=6,"MEDIUM","HIGH"))))</f>
        <v>MEDIUM</v>
      </c>
      <c r="J361" s="11">
        <f>IF(C361=0,"",ROUND(D361*70+(1-E361)*20+MAX(0,MIN(1,(10-F361)/10))*10,1))</f>
        <v>82.5</v>
      </c>
      <c r="K361" s="14" t="str">
        <f>IF(C361=0,"No Evidence",IF(C361&lt;=2,IF(E361&gt;0,"Explosive Alert","Track Only"),IF(C361=3,"Sample Watch",IF(E361&gt;=START_HERE!$B$31,"Explosive Alert",IF(J361&gt;=80,"Strong Candidate",IF(J361&gt;=65,"Good Candidate",IF(J361&gt;=50,"Mixed / Review","Problem Call")))))))</f>
        <v>Strong Candidate</v>
      </c>
      <c r="L361" s="9" t="str">
        <f>IF(COUNTIFS('DEF_SELF_SCOUT_IMPORT'!$L$42:$L$1040,"Y",'DEF_SELF_SCOUT_IMPORT'!$E$42:$E$1040,SUBSTITUTE(SUBSTITUTE(SUBSTITUTE($B361,"~","~~"),"*","~*"),"?","~?"),'DEF_SELF_SCOUT_IMPORT'!$Q$42:$Q$1040,SUBSTITUTE(SUBSTITUTE(SUBSTITUTE($M361,"~","~~"),"*","~*"),"?","~?"),'DEF_SELF_SCOUT_IMPORT'!$F$42:$F$1040,SUBSTITUTE(SUBSTITUTE(SUBSTITUTE($N361,"~","~~"),"*","~*"),"?","~?"),'DEF_SELF_SCOUT_IMPORT'!$J$42:$J$1040,"")&gt;0,"Unscored clean outcome; review result tags before using score.",IF(C361=0,"No matching defensive reps; film confirmation needed.",IF(K361="Explosive Alert","Explosive risk; review clips before using as answer.",IF(C361&lt;=2,"Track only; not enough sample.",IF(C361=3,IF(E361&gt;0,"Sample watch with explosive exposure; review clips and build the sample.",IF(J361&gt;=65,"Good signal, but sample is limited.","Sample watch; review clips and build the sample.")),IF(K361="Problem Call","Problem area; practice or call-sheet review.",IF(K361="Strong Candidate","Strong call-fit candidate; confirm on film.",IF(K361="Good Candidate","Good call-fit signal; confirm on film.","Mixed signal; review fit and execution on film."))))))))</f>
        <v>Strong call-fit candidate; confirm on film.</v>
      </c>
      <c r="M361" s="8" t="s">
        <v>115</v>
      </c>
      <c r="N361" s="8" t="s">
        <v>120</v>
      </c>
      <c r="O361" s="8"/>
      <c r="P361" s="8"/>
      <c r="Q361" s="8"/>
      <c r="R361" s="8" t="s">
        <v>45</v>
      </c>
      <c r="S361" s="2" t="s">
        <v>198</v>
      </c>
      <c r="T361" s="2">
        <f>IF(C361=0,0,IF(C361&gt;=CALL_LOOKUP_BOARD!$B$7,IF(OR(K361="Problem Call",K361="Explosive Alert"),10000000,20000000),0)+IF(C361&gt;=CALL_LOOKUP_BOARD!$B$7,J361*1000+MIN(C361,999),C361*1000+J361)+0.00982400)</f>
        <v>20082504.009824</v>
      </c>
      <c r="U361" s="2" t="str">
        <f>IF(C361=0,"",IF(COUNTIFS($S$186:$S$367,SUBSTITUTE(SUBSTITUTE(SUBSTITUTE(S361,"~","~~"),"*","~*"),"?","~?"),$T$186:$T$367,"&gt;"&amp;T361)=0,S361,""))</f>
        <v>4:P&amp;10|2:11|</v>
      </c>
    </row>
    <row r="362" spans="1:21" ht="38" customHeight="1">
      <c r="A362" s="8" t="s">
        <v>197</v>
      </c>
      <c r="B362" s="8" t="s">
        <v>75</v>
      </c>
      <c r="C362" s="12">
        <f>COUNTIFS('DEF_SELF_SCOUT_IMPORT'!$L$42:$L$1040,"Y",'DEF_SELF_SCOUT_IMPORT'!$E$42:$E$1040,SUBSTITUTE(SUBSTITUTE(SUBSTITUTE($B362,"~","~~"),"*","~*"),"?","~?"),'DEF_SELF_SCOUT_IMPORT'!$Q$42:$Q$1040,SUBSTITUTE(SUBSTITUTE(SUBSTITUTE($M362,"~","~~"),"*","~*"),"?","~?"),'DEF_SELF_SCOUT_IMPORT'!$F$42:$F$1040,SUBSTITUTE(SUBSTITUTE(SUBSTITUTE($N362,"~","~~"),"*","~*"),"?","~?"))</f>
        <v>1</v>
      </c>
      <c r="D362" s="10">
        <f>IF($C362=0,"",SUMIFS('DEF_SELF_SCOUT_IMPORT'!$J$42:$J$1040,'DEF_SELF_SCOUT_IMPORT'!$L$42:$L$1040,"Y",'DEF_SELF_SCOUT_IMPORT'!$E$42:$E$1040,SUBSTITUTE(SUBSTITUTE(SUBSTITUTE($B362,"~","~~"),"*","~*"),"?","~?"),'DEF_SELF_SCOUT_IMPORT'!$Q$42:$Q$1040,SUBSTITUTE(SUBSTITUTE(SUBSTITUTE($M362,"~","~~"),"*","~*"),"?","~?"),'DEF_SELF_SCOUT_IMPORT'!$F$42:$F$1040,SUBSTITUTE(SUBSTITUTE(SUBSTITUTE($N362,"~","~~"),"*","~*"),"?","~?"))/$C362)</f>
        <v>0.0</v>
      </c>
      <c r="E362" s="10">
        <f>IF($C362=0,"",SUMIFS('DEF_SELF_SCOUT_IMPORT'!$K$42:$K$1040,'DEF_SELF_SCOUT_IMPORT'!$L$42:$L$1040,"Y",'DEF_SELF_SCOUT_IMPORT'!$E$42:$E$1040,SUBSTITUTE(SUBSTITUTE(SUBSTITUTE($B362,"~","~~"),"*","~*"),"?","~?"),'DEF_SELF_SCOUT_IMPORT'!$Q$42:$Q$1040,SUBSTITUTE(SUBSTITUTE(SUBSTITUTE($M362,"~","~~"),"*","~*"),"?","~?"),'DEF_SELF_SCOUT_IMPORT'!$F$42:$F$1040,SUBSTITUTE(SUBSTITUTE(SUBSTITUTE($N362,"~","~~"),"*","~*"),"?","~?"))/$C362)</f>
        <v>0.0</v>
      </c>
      <c r="F362" s="11">
        <f>IF($C362=0,"",AVERAGEIFS('DEF_SELF_SCOUT_IMPORT'!$I$42:$I$1040,'DEF_SELF_SCOUT_IMPORT'!$L$42:$L$1040,"Y",'DEF_SELF_SCOUT_IMPORT'!$E$42:$E$1040,SUBSTITUTE(SUBSTITUTE(SUBSTITUTE($B362,"~","~~"),"*","~*"),"?","~?"),'DEF_SELF_SCOUT_IMPORT'!$Q$42:$Q$1040,SUBSTITUTE(SUBSTITUTE(SUBSTITUTE($M362,"~","~~"),"*","~*"),"?","~?"),'DEF_SELF_SCOUT_IMPORT'!$F$42:$F$1040,SUBSTITUTE(SUBSTITUTE(SUBSTITUTE($N362,"~","~~"),"*","~*"),"?","~?")))</f>
        <v>9.0</v>
      </c>
      <c r="G362" s="10">
        <f>IF($C362=0,"",COUNTIFS('DEF_SELF_SCOUT_IMPORT'!$L$42:$L$1040,"Y",'DEF_SELF_SCOUT_IMPORT'!$E$42:$E$1040,SUBSTITUTE(SUBSTITUTE(SUBSTITUTE($B362,"~","~~"),"*","~*"),"?","~?"),'DEF_SELF_SCOUT_IMPORT'!$Q$42:$Q$1040,SUBSTITUTE(SUBSTITUTE(SUBSTITUTE($M362,"~","~~"),"*","~*"),"?","~?"),'DEF_SELF_SCOUT_IMPORT'!$F$42:$F$1040,SUBSTITUTE(SUBSTITUTE(SUBSTITUTE($N362,"~","~~"),"*","~*"),"?","~?"),'DEF_SELF_SCOUT_IMPORT'!$H$42:$H$1040,"RUSH")/$C362)</f>
        <v>1.0</v>
      </c>
      <c r="H362" s="10">
        <f>IF($C362=0,"",COUNTIFS('DEF_SELF_SCOUT_IMPORT'!$L$42:$L$1040,"Y",'DEF_SELF_SCOUT_IMPORT'!$E$42:$E$1040,SUBSTITUTE(SUBSTITUTE(SUBSTITUTE($B362,"~","~~"),"*","~*"),"?","~?"),'DEF_SELF_SCOUT_IMPORT'!$Q$42:$Q$1040,SUBSTITUTE(SUBSTITUTE(SUBSTITUTE($M362,"~","~~"),"*","~*"),"?","~?"),'DEF_SELF_SCOUT_IMPORT'!$F$42:$F$1040,SUBSTITUTE(SUBSTITUTE(SUBSTITUTE($N362,"~","~~"),"*","~*"),"?","~?"),'DEF_SELF_SCOUT_IMPORT'!$H$42:$H$1040,"DROPBACK")/$C362)</f>
        <v>0.0</v>
      </c>
      <c r="I362" s="14" t="str">
        <f>IF(C362=0,"",IF(C362&lt;=2,"TRACK",IF(C362=3,"LOW",IF(C362&lt;=6,"MEDIUM","HIGH"))))</f>
        <v>TRACK</v>
      </c>
      <c r="J362" s="11">
        <f>IF(C362=0,"",ROUND(D362*70+(1-E362)*20+MAX(0,MIN(1,(10-F362)/10))*10,1))</f>
        <v>21.0</v>
      </c>
      <c r="K362" s="14" t="str">
        <f>IF(C362=0,"No Evidence",IF(C362&lt;=2,IF(E362&gt;0,"Explosive Alert","Track Only"),IF(C362=3,"Sample Watch",IF(E362&gt;=START_HERE!$B$31,"Explosive Alert",IF(J362&gt;=80,"Strong Candidate",IF(J362&gt;=65,"Good Candidate",IF(J362&gt;=50,"Mixed / Review","Problem Call")))))))</f>
        <v>Track Only</v>
      </c>
      <c r="L362" s="9" t="str">
        <f>IF(COUNTIFS('DEF_SELF_SCOUT_IMPORT'!$L$42:$L$1040,"Y",'DEF_SELF_SCOUT_IMPORT'!$E$42:$E$1040,SUBSTITUTE(SUBSTITUTE(SUBSTITUTE($B362,"~","~~"),"*","~*"),"?","~?"),'DEF_SELF_SCOUT_IMPORT'!$Q$42:$Q$1040,SUBSTITUTE(SUBSTITUTE(SUBSTITUTE($M362,"~","~~"),"*","~*"),"?","~?"),'DEF_SELF_SCOUT_IMPORT'!$F$42:$F$1040,SUBSTITUTE(SUBSTITUTE(SUBSTITUTE($N362,"~","~~"),"*","~*"),"?","~?"),'DEF_SELF_SCOUT_IMPORT'!$J$42:$J$1040,"")&gt;0,"Unscored clean outcome; review result tags before using score.",IF(C362=0,"No matching defensive reps; film confirmation needed.",IF(K362="Explosive Alert","Explosive risk; review clips before using as answer.",IF(C362&lt;=2,"Track only; not enough sample.",IF(C362=3,IF(E362&gt;0,"Sample watch with explosive exposure; review clips and build the sample.",IF(J362&gt;=65,"Good signal, but sample is limited.","Sample watch; review clips and build the sample.")),IF(K362="Problem Call","Problem area; practice or call-sheet review.",IF(K362="Strong Candidate","Strong call-fit candidate; confirm on film.",IF(K362="Good Candidate","Good call-fit signal; confirm on film.","Mixed signal; review fit and execution on film."))))))))</f>
        <v>Track only; not enough sample.</v>
      </c>
      <c r="M362" s="8" t="s">
        <v>115</v>
      </c>
      <c r="N362" s="8" t="s">
        <v>120</v>
      </c>
      <c r="O362" s="8"/>
      <c r="P362" s="8"/>
      <c r="Q362" s="8"/>
      <c r="R362" s="8" t="s">
        <v>28</v>
      </c>
      <c r="S362" s="2" t="s">
        <v>198</v>
      </c>
      <c r="T362" s="2">
        <f>IF(C362=0,0,IF(C362&gt;=CALL_LOOKUP_BOARD!$B$7,IF(OR(K362="Problem Call",K362="Explosive Alert"),10000000,20000000),0)+IF(C362&gt;=CALL_LOOKUP_BOARD!$B$7,J362*1000+MIN(C362,999),C362*1000+J362)+0.00982300)</f>
        <v>1021.009823</v>
      </c>
      <c r="U362" s="2">
        <f>IF(C362=0,"",IF(COUNTIFS($S$186:$S$367,SUBSTITUTE(SUBSTITUTE(SUBSTITUTE(S362,"~","~~"),"*","~*"),"?","~?"),$T$186:$T$367,"&gt;"&amp;T362)=0,S362,""))</f>
        <v/>
      </c>
    </row>
    <row r="363" spans="1:21" ht="38" customHeight="1">
      <c r="A363" s="8" t="s">
        <v>199</v>
      </c>
      <c r="B363" s="8" t="s">
        <v>51</v>
      </c>
      <c r="C363" s="12">
        <f>COUNTIFS('DEF_SELF_SCOUT_IMPORT'!$L$42:$L$1040,"Y",'DEF_SELF_SCOUT_IMPORT'!$E$42:$E$1040,SUBSTITUTE(SUBSTITUTE(SUBSTITUTE($B363,"~","~~"),"*","~*"),"?","~?"),'DEF_SELF_SCOUT_IMPORT'!$Q$42:$Q$1040,SUBSTITUTE(SUBSTITUTE(SUBSTITUTE($M363,"~","~~"),"*","~*"),"?","~?"),'DEF_SELF_SCOUT_IMPORT'!$F$42:$F$1040,SUBSTITUTE(SUBSTITUTE(SUBSTITUTE($N363,"~","~~"),"*","~*"),"?","~?"))</f>
        <v>1</v>
      </c>
      <c r="D363" s="10">
        <f>IF($C363=0,"",SUMIFS('DEF_SELF_SCOUT_IMPORT'!$J$42:$J$1040,'DEF_SELF_SCOUT_IMPORT'!$L$42:$L$1040,"Y",'DEF_SELF_SCOUT_IMPORT'!$E$42:$E$1040,SUBSTITUTE(SUBSTITUTE(SUBSTITUTE($B363,"~","~~"),"*","~*"),"?","~?"),'DEF_SELF_SCOUT_IMPORT'!$Q$42:$Q$1040,SUBSTITUTE(SUBSTITUTE(SUBSTITUTE($M363,"~","~~"),"*","~*"),"?","~?"),'DEF_SELF_SCOUT_IMPORT'!$F$42:$F$1040,SUBSTITUTE(SUBSTITUTE(SUBSTITUTE($N363,"~","~~"),"*","~*"),"?","~?"))/$C363)</f>
        <v>0.0</v>
      </c>
      <c r="E363" s="10">
        <f>IF($C363=0,"",SUMIFS('DEF_SELF_SCOUT_IMPORT'!$K$42:$K$1040,'DEF_SELF_SCOUT_IMPORT'!$L$42:$L$1040,"Y",'DEF_SELF_SCOUT_IMPORT'!$E$42:$E$1040,SUBSTITUTE(SUBSTITUTE(SUBSTITUTE($B363,"~","~~"),"*","~*"),"?","~?"),'DEF_SELF_SCOUT_IMPORT'!$Q$42:$Q$1040,SUBSTITUTE(SUBSTITUTE(SUBSTITUTE($M363,"~","~~"),"*","~*"),"?","~?"),'DEF_SELF_SCOUT_IMPORT'!$F$42:$F$1040,SUBSTITUTE(SUBSTITUTE(SUBSTITUTE($N363,"~","~~"),"*","~*"),"?","~?"))/$C363)</f>
        <v>0.0</v>
      </c>
      <c r="F363" s="11">
        <f>IF($C363=0,"",AVERAGEIFS('DEF_SELF_SCOUT_IMPORT'!$I$42:$I$1040,'DEF_SELF_SCOUT_IMPORT'!$L$42:$L$1040,"Y",'DEF_SELF_SCOUT_IMPORT'!$E$42:$E$1040,SUBSTITUTE(SUBSTITUTE(SUBSTITUTE($B363,"~","~~"),"*","~*"),"?","~?"),'DEF_SELF_SCOUT_IMPORT'!$Q$42:$Q$1040,SUBSTITUTE(SUBSTITUTE(SUBSTITUTE($M363,"~","~~"),"*","~*"),"?","~?"),'DEF_SELF_SCOUT_IMPORT'!$F$42:$F$1040,SUBSTITUTE(SUBSTITUTE(SUBSTITUTE($N363,"~","~~"),"*","~*"),"?","~?")))</f>
        <v>14.0</v>
      </c>
      <c r="G363" s="10">
        <f>IF($C363=0,"",COUNTIFS('DEF_SELF_SCOUT_IMPORT'!$L$42:$L$1040,"Y",'DEF_SELF_SCOUT_IMPORT'!$E$42:$E$1040,SUBSTITUTE(SUBSTITUTE(SUBSTITUTE($B363,"~","~~"),"*","~*"),"?","~?"),'DEF_SELF_SCOUT_IMPORT'!$Q$42:$Q$1040,SUBSTITUTE(SUBSTITUTE(SUBSTITUTE($M363,"~","~~"),"*","~*"),"?","~?"),'DEF_SELF_SCOUT_IMPORT'!$F$42:$F$1040,SUBSTITUTE(SUBSTITUTE(SUBSTITUTE($N363,"~","~~"),"*","~*"),"?","~?"),'DEF_SELF_SCOUT_IMPORT'!$H$42:$H$1040,"RUSH")/$C363)</f>
        <v>0.0</v>
      </c>
      <c r="H363" s="10">
        <f>IF($C363=0,"",COUNTIFS('DEF_SELF_SCOUT_IMPORT'!$L$42:$L$1040,"Y",'DEF_SELF_SCOUT_IMPORT'!$E$42:$E$1040,SUBSTITUTE(SUBSTITUTE(SUBSTITUTE($B363,"~","~~"),"*","~*"),"?","~?"),'DEF_SELF_SCOUT_IMPORT'!$Q$42:$Q$1040,SUBSTITUTE(SUBSTITUTE(SUBSTITUTE($M363,"~","~~"),"*","~*"),"?","~?"),'DEF_SELF_SCOUT_IMPORT'!$F$42:$F$1040,SUBSTITUTE(SUBSTITUTE(SUBSTITUTE($N363,"~","~~"),"*","~*"),"?","~?"),'DEF_SELF_SCOUT_IMPORT'!$H$42:$H$1040,"DROPBACK")/$C363)</f>
        <v>1.0</v>
      </c>
      <c r="I363" s="14" t="str">
        <f>IF(C363=0,"",IF(C363&lt;=2,"TRACK",IF(C363=3,"LOW",IF(C363&lt;=6,"MEDIUM","HIGH"))))</f>
        <v>TRACK</v>
      </c>
      <c r="J363" s="11">
        <f>IF(C363=0,"",ROUND(D363*70+(1-E363)*20+MAX(0,MIN(1,(10-F363)/10))*10,1))</f>
        <v>20.0</v>
      </c>
      <c r="K363" s="14" t="str">
        <f>IF(C363=0,"No Evidence",IF(C363&lt;=2,IF(E363&gt;0,"Explosive Alert","Track Only"),IF(C363=3,"Sample Watch",IF(E363&gt;=START_HERE!$B$31,"Explosive Alert",IF(J363&gt;=80,"Strong Candidate",IF(J363&gt;=65,"Good Candidate",IF(J363&gt;=50,"Mixed / Review","Problem Call")))))))</f>
        <v>Track Only</v>
      </c>
      <c r="L363" s="9" t="str">
        <f>IF(COUNTIFS('DEF_SELF_SCOUT_IMPORT'!$L$42:$L$1040,"Y",'DEF_SELF_SCOUT_IMPORT'!$E$42:$E$1040,SUBSTITUTE(SUBSTITUTE(SUBSTITUTE($B363,"~","~~"),"*","~*"),"?","~?"),'DEF_SELF_SCOUT_IMPORT'!$Q$42:$Q$1040,SUBSTITUTE(SUBSTITUTE(SUBSTITUTE($M363,"~","~~"),"*","~*"),"?","~?"),'DEF_SELF_SCOUT_IMPORT'!$F$42:$F$1040,SUBSTITUTE(SUBSTITUTE(SUBSTITUTE($N363,"~","~~"),"*","~*"),"?","~?"),'DEF_SELF_SCOUT_IMPORT'!$J$42:$J$1040,"")&gt;0,"Unscored clean outcome; review result tags before using score.",IF(C363=0,"No matching defensive reps; film confirmation needed.",IF(K363="Explosive Alert","Explosive risk; review clips before using as answer.",IF(C363&lt;=2,"Track only; not enough sample.",IF(C363=3,IF(E363&gt;0,"Sample watch with explosive exposure; review clips and build the sample.",IF(J363&gt;=65,"Good signal, but sample is limited.","Sample watch; review clips and build the sample.")),IF(K363="Problem Call","Problem area; practice or call-sheet review.",IF(K363="Strong Candidate","Strong call-fit candidate; confirm on film.",IF(K363="Good Candidate","Good call-fit signal; confirm on film.","Mixed signal; review fit and execution on film."))))))))</f>
        <v>Track only; not enough sample.</v>
      </c>
      <c r="M363" s="8" t="s">
        <v>115</v>
      </c>
      <c r="N363" s="8" t="s">
        <v>123</v>
      </c>
      <c r="O363" s="8"/>
      <c r="P363" s="8"/>
      <c r="Q363" s="8"/>
      <c r="R363" s="8" t="s">
        <v>28</v>
      </c>
      <c r="S363" s="2" t="s">
        <v>200</v>
      </c>
      <c r="T363" s="2">
        <f>IF(C363=0,0,IF(C363&gt;=CALL_LOOKUP_BOARD!$B$7,IF(OR(K363="Problem Call",K363="Explosive Alert"),10000000,20000000),0)+IF(C363&gt;=CALL_LOOKUP_BOARD!$B$7,J363*1000+MIN(C363,999),C363*1000+J363)+0.00982200)</f>
        <v>1020.009822</v>
      </c>
      <c r="U363" s="2">
        <f>IF(C363=0,"",IF(COUNTIFS($S$186:$S$367,SUBSTITUTE(SUBSTITUTE(SUBSTITUTE(S363,"~","~~"),"*","~*"),"?","~?"),$T$186:$T$367,"&gt;"&amp;T363)=0,S363,""))</f>
        <v/>
      </c>
    </row>
    <row r="364" spans="1:21" ht="38" customHeight="1">
      <c r="A364" s="8" t="s">
        <v>199</v>
      </c>
      <c r="B364" s="8" t="s">
        <v>52</v>
      </c>
      <c r="C364" s="12">
        <f>COUNTIFS('DEF_SELF_SCOUT_IMPORT'!$L$42:$L$1040,"Y",'DEF_SELF_SCOUT_IMPORT'!$E$42:$E$1040,SUBSTITUTE(SUBSTITUTE(SUBSTITUTE($B364,"~","~~"),"*","~*"),"?","~?"),'DEF_SELF_SCOUT_IMPORT'!$Q$42:$Q$1040,SUBSTITUTE(SUBSTITUTE(SUBSTITUTE($M364,"~","~~"),"*","~*"),"?","~?"),'DEF_SELF_SCOUT_IMPORT'!$F$42:$F$1040,SUBSTITUTE(SUBSTITUTE(SUBSTITUTE($N364,"~","~~"),"*","~*"),"?","~?"))</f>
        <v>4</v>
      </c>
      <c r="D364" s="10">
        <f>IF($C364=0,"",SUMIFS('DEF_SELF_SCOUT_IMPORT'!$J$42:$J$1040,'DEF_SELF_SCOUT_IMPORT'!$L$42:$L$1040,"Y",'DEF_SELF_SCOUT_IMPORT'!$E$42:$E$1040,SUBSTITUTE(SUBSTITUTE(SUBSTITUTE($B364,"~","~~"),"*","~*"),"?","~?"),'DEF_SELF_SCOUT_IMPORT'!$Q$42:$Q$1040,SUBSTITUTE(SUBSTITUTE(SUBSTITUTE($M364,"~","~~"),"*","~*"),"?","~?"),'DEF_SELF_SCOUT_IMPORT'!$F$42:$F$1040,SUBSTITUTE(SUBSTITUTE(SUBSTITUTE($N364,"~","~~"),"*","~*"),"?","~?"))/$C364)</f>
        <v>0.5</v>
      </c>
      <c r="E364" s="10">
        <f>IF($C364=0,"",SUMIFS('DEF_SELF_SCOUT_IMPORT'!$K$42:$K$1040,'DEF_SELF_SCOUT_IMPORT'!$L$42:$L$1040,"Y",'DEF_SELF_SCOUT_IMPORT'!$E$42:$E$1040,SUBSTITUTE(SUBSTITUTE(SUBSTITUTE($B364,"~","~~"),"*","~*"),"?","~?"),'DEF_SELF_SCOUT_IMPORT'!$Q$42:$Q$1040,SUBSTITUTE(SUBSTITUTE(SUBSTITUTE($M364,"~","~~"),"*","~*"),"?","~?"),'DEF_SELF_SCOUT_IMPORT'!$F$42:$F$1040,SUBSTITUTE(SUBSTITUTE(SUBSTITUTE($N364,"~","~~"),"*","~*"),"?","~?"))/$C364)</f>
        <v>0.0</v>
      </c>
      <c r="F364" s="11">
        <f>IF($C364=0,"",AVERAGEIFS('DEF_SELF_SCOUT_IMPORT'!$I$42:$I$1040,'DEF_SELF_SCOUT_IMPORT'!$L$42:$L$1040,"Y",'DEF_SELF_SCOUT_IMPORT'!$E$42:$E$1040,SUBSTITUTE(SUBSTITUTE(SUBSTITUTE($B364,"~","~~"),"*","~*"),"?","~?"),'DEF_SELF_SCOUT_IMPORT'!$Q$42:$Q$1040,SUBSTITUTE(SUBSTITUTE(SUBSTITUTE($M364,"~","~~"),"*","~*"),"?","~?"),'DEF_SELF_SCOUT_IMPORT'!$F$42:$F$1040,SUBSTITUTE(SUBSTITUTE(SUBSTITUTE($N364,"~","~~"),"*","~*"),"?","~?")))</f>
        <v>1.5</v>
      </c>
      <c r="G364" s="10">
        <f>IF($C364=0,"",COUNTIFS('DEF_SELF_SCOUT_IMPORT'!$L$42:$L$1040,"Y",'DEF_SELF_SCOUT_IMPORT'!$E$42:$E$1040,SUBSTITUTE(SUBSTITUTE(SUBSTITUTE($B364,"~","~~"),"*","~*"),"?","~?"),'DEF_SELF_SCOUT_IMPORT'!$Q$42:$Q$1040,SUBSTITUTE(SUBSTITUTE(SUBSTITUTE($M364,"~","~~"),"*","~*"),"?","~?"),'DEF_SELF_SCOUT_IMPORT'!$F$42:$F$1040,SUBSTITUTE(SUBSTITUTE(SUBSTITUTE($N364,"~","~~"),"*","~*"),"?","~?"),'DEF_SELF_SCOUT_IMPORT'!$H$42:$H$1040,"RUSH")/$C364)</f>
        <v>0.75</v>
      </c>
      <c r="H364" s="10">
        <f>IF($C364=0,"",COUNTIFS('DEF_SELF_SCOUT_IMPORT'!$L$42:$L$1040,"Y",'DEF_SELF_SCOUT_IMPORT'!$E$42:$E$1040,SUBSTITUTE(SUBSTITUTE(SUBSTITUTE($B364,"~","~~"),"*","~*"),"?","~?"),'DEF_SELF_SCOUT_IMPORT'!$Q$42:$Q$1040,SUBSTITUTE(SUBSTITUTE(SUBSTITUTE($M364,"~","~~"),"*","~*"),"?","~?"),'DEF_SELF_SCOUT_IMPORT'!$F$42:$F$1040,SUBSTITUTE(SUBSTITUTE(SUBSTITUTE($N364,"~","~~"),"*","~*"),"?","~?"),'DEF_SELF_SCOUT_IMPORT'!$H$42:$H$1040,"DROPBACK")/$C364)</f>
        <v>0.25</v>
      </c>
      <c r="I364" s="14" t="str">
        <f>IF(C364=0,"",IF(C364&lt;=2,"TRACK",IF(C364=3,"LOW",IF(C364&lt;=6,"MEDIUM","HIGH"))))</f>
        <v>MEDIUM</v>
      </c>
      <c r="J364" s="11">
        <f>IF(C364=0,"",ROUND(D364*70+(1-E364)*20+MAX(0,MIN(1,(10-F364)/10))*10,1))</f>
        <v>63.5</v>
      </c>
      <c r="K364" s="14" t="str">
        <f>IF(C364=0,"No Evidence",IF(C364&lt;=2,IF(E364&gt;0,"Explosive Alert","Track Only"),IF(C364=3,"Sample Watch",IF(E364&gt;=START_HERE!$B$31,"Explosive Alert",IF(J364&gt;=80,"Strong Candidate",IF(J364&gt;=65,"Good Candidate",IF(J364&gt;=50,"Mixed / Review","Problem Call")))))))</f>
        <v>Mixed / Review</v>
      </c>
      <c r="L364" s="9" t="str">
        <f>IF(COUNTIFS('DEF_SELF_SCOUT_IMPORT'!$L$42:$L$1040,"Y",'DEF_SELF_SCOUT_IMPORT'!$E$42:$E$1040,SUBSTITUTE(SUBSTITUTE(SUBSTITUTE($B364,"~","~~"),"*","~*"),"?","~?"),'DEF_SELF_SCOUT_IMPORT'!$Q$42:$Q$1040,SUBSTITUTE(SUBSTITUTE(SUBSTITUTE($M364,"~","~~"),"*","~*"),"?","~?"),'DEF_SELF_SCOUT_IMPORT'!$F$42:$F$1040,SUBSTITUTE(SUBSTITUTE(SUBSTITUTE($N364,"~","~~"),"*","~*"),"?","~?"),'DEF_SELF_SCOUT_IMPORT'!$J$42:$J$1040,"")&gt;0,"Unscored clean outcome; review result tags before using score.",IF(C364=0,"No matching defensive reps; film confirmation needed.",IF(K364="Explosive Alert","Explosive risk; review clips before using as answer.",IF(C364&lt;=2,"Track only; not enough sample.",IF(C364=3,IF(E364&gt;0,"Sample watch with explosive exposure; review clips and build the sample.",IF(J364&gt;=65,"Good signal, but sample is limited.","Sample watch; review clips and build the sample.")),IF(K364="Problem Call","Problem area; practice or call-sheet review.",IF(K364="Strong Candidate","Strong call-fit candidate; confirm on film.",IF(K364="Good Candidate","Good call-fit signal; confirm on film.","Mixed signal; review fit and execution on film."))))))))</f>
        <v>Mixed signal; review fit and execution on film.</v>
      </c>
      <c r="M364" s="8" t="s">
        <v>115</v>
      </c>
      <c r="N364" s="8" t="s">
        <v>123</v>
      </c>
      <c r="O364" s="8"/>
      <c r="P364" s="8"/>
      <c r="Q364" s="8"/>
      <c r="R364" s="8" t="s">
        <v>45</v>
      </c>
      <c r="S364" s="2" t="s">
        <v>200</v>
      </c>
      <c r="T364" s="2">
        <f>IF(C364=0,0,IF(C364&gt;=CALL_LOOKUP_BOARD!$B$7,IF(OR(K364="Problem Call",K364="Explosive Alert"),10000000,20000000),0)+IF(C364&gt;=CALL_LOOKUP_BOARD!$B$7,J364*1000+MIN(C364,999),C364*1000+J364)+0.00982100)</f>
        <v>20063504.009821</v>
      </c>
      <c r="U364" s="2" t="str">
        <f>IF(C364=0,"",IF(COUNTIFS($S$186:$S$367,SUBSTITUTE(SUBSTITUTE(SUBSTITUTE(S364,"~","~~"),"*","~*"),"?","~?"),$T$186:$T$367,"&gt;"&amp;T364)=0,S364,""))</f>
        <v>4:P&amp;10|2:12|</v>
      </c>
    </row>
    <row r="365" spans="1:21" ht="38" customHeight="1">
      <c r="A365" s="8" t="s">
        <v>199</v>
      </c>
      <c r="B365" s="8" t="s">
        <v>88</v>
      </c>
      <c r="C365" s="12">
        <f>COUNTIFS('DEF_SELF_SCOUT_IMPORT'!$L$42:$L$1040,"Y",'DEF_SELF_SCOUT_IMPORT'!$E$42:$E$1040,SUBSTITUTE(SUBSTITUTE(SUBSTITUTE($B365,"~","~~"),"*","~*"),"?","~?"),'DEF_SELF_SCOUT_IMPORT'!$Q$42:$Q$1040,SUBSTITUTE(SUBSTITUTE(SUBSTITUTE($M365,"~","~~"),"*","~*"),"?","~?"),'DEF_SELF_SCOUT_IMPORT'!$F$42:$F$1040,SUBSTITUTE(SUBSTITUTE(SUBSTITUTE($N365,"~","~~"),"*","~*"),"?","~?"))</f>
        <v>1</v>
      </c>
      <c r="D365" s="10">
        <f>IF($C365=0,"",SUMIFS('DEF_SELF_SCOUT_IMPORT'!$J$42:$J$1040,'DEF_SELF_SCOUT_IMPORT'!$L$42:$L$1040,"Y",'DEF_SELF_SCOUT_IMPORT'!$E$42:$E$1040,SUBSTITUTE(SUBSTITUTE(SUBSTITUTE($B365,"~","~~"),"*","~*"),"?","~?"),'DEF_SELF_SCOUT_IMPORT'!$Q$42:$Q$1040,SUBSTITUTE(SUBSTITUTE(SUBSTITUTE($M365,"~","~~"),"*","~*"),"?","~?"),'DEF_SELF_SCOUT_IMPORT'!$F$42:$F$1040,SUBSTITUTE(SUBSTITUTE(SUBSTITUTE($N365,"~","~~"),"*","~*"),"?","~?"))/$C365)</f>
        <v>0.0</v>
      </c>
      <c r="E365" s="10">
        <f>IF($C365=0,"",SUMIFS('DEF_SELF_SCOUT_IMPORT'!$K$42:$K$1040,'DEF_SELF_SCOUT_IMPORT'!$L$42:$L$1040,"Y",'DEF_SELF_SCOUT_IMPORT'!$E$42:$E$1040,SUBSTITUTE(SUBSTITUTE(SUBSTITUTE($B365,"~","~~"),"*","~*"),"?","~?"),'DEF_SELF_SCOUT_IMPORT'!$Q$42:$Q$1040,SUBSTITUTE(SUBSTITUTE(SUBSTITUTE($M365,"~","~~"),"*","~*"),"?","~?"),'DEF_SELF_SCOUT_IMPORT'!$F$42:$F$1040,SUBSTITUTE(SUBSTITUTE(SUBSTITUTE($N365,"~","~~"),"*","~*"),"?","~?"))/$C365)</f>
        <v>0.0</v>
      </c>
      <c r="F365" s="11">
        <f>IF($C365=0,"",AVERAGEIFS('DEF_SELF_SCOUT_IMPORT'!$I$42:$I$1040,'DEF_SELF_SCOUT_IMPORT'!$L$42:$L$1040,"Y",'DEF_SELF_SCOUT_IMPORT'!$E$42:$E$1040,SUBSTITUTE(SUBSTITUTE(SUBSTITUTE($B365,"~","~~"),"*","~*"),"?","~?"),'DEF_SELF_SCOUT_IMPORT'!$Q$42:$Q$1040,SUBSTITUTE(SUBSTITUTE(SUBSTITUTE($M365,"~","~~"),"*","~*"),"?","~?"),'DEF_SELF_SCOUT_IMPORT'!$F$42:$F$1040,SUBSTITUTE(SUBSTITUTE(SUBSTITUTE($N365,"~","~~"),"*","~*"),"?","~?")))</f>
        <v>4.0</v>
      </c>
      <c r="G365" s="10">
        <f>IF($C365=0,"",COUNTIFS('DEF_SELF_SCOUT_IMPORT'!$L$42:$L$1040,"Y",'DEF_SELF_SCOUT_IMPORT'!$E$42:$E$1040,SUBSTITUTE(SUBSTITUTE(SUBSTITUTE($B365,"~","~~"),"*","~*"),"?","~?"),'DEF_SELF_SCOUT_IMPORT'!$Q$42:$Q$1040,SUBSTITUTE(SUBSTITUTE(SUBSTITUTE($M365,"~","~~"),"*","~*"),"?","~?"),'DEF_SELF_SCOUT_IMPORT'!$F$42:$F$1040,SUBSTITUTE(SUBSTITUTE(SUBSTITUTE($N365,"~","~~"),"*","~*"),"?","~?"),'DEF_SELF_SCOUT_IMPORT'!$H$42:$H$1040,"RUSH")/$C365)</f>
        <v>1.0</v>
      </c>
      <c r="H365" s="10">
        <f>IF($C365=0,"",COUNTIFS('DEF_SELF_SCOUT_IMPORT'!$L$42:$L$1040,"Y",'DEF_SELF_SCOUT_IMPORT'!$E$42:$E$1040,SUBSTITUTE(SUBSTITUTE(SUBSTITUTE($B365,"~","~~"),"*","~*"),"?","~?"),'DEF_SELF_SCOUT_IMPORT'!$Q$42:$Q$1040,SUBSTITUTE(SUBSTITUTE(SUBSTITUTE($M365,"~","~~"),"*","~*"),"?","~?"),'DEF_SELF_SCOUT_IMPORT'!$F$42:$F$1040,SUBSTITUTE(SUBSTITUTE(SUBSTITUTE($N365,"~","~~"),"*","~*"),"?","~?"),'DEF_SELF_SCOUT_IMPORT'!$H$42:$H$1040,"DROPBACK")/$C365)</f>
        <v>0.0</v>
      </c>
      <c r="I365" s="14" t="str">
        <f>IF(C365=0,"",IF(C365&lt;=2,"TRACK",IF(C365=3,"LOW",IF(C365&lt;=6,"MEDIUM","HIGH"))))</f>
        <v>TRACK</v>
      </c>
      <c r="J365" s="11">
        <f>IF(C365=0,"",ROUND(D365*70+(1-E365)*20+MAX(0,MIN(1,(10-F365)/10))*10,1))</f>
        <v>26.0</v>
      </c>
      <c r="K365" s="14" t="str">
        <f>IF(C365=0,"No Evidence",IF(C365&lt;=2,IF(E365&gt;0,"Explosive Alert","Track Only"),IF(C365=3,"Sample Watch",IF(E365&gt;=START_HERE!$B$31,"Explosive Alert",IF(J365&gt;=80,"Strong Candidate",IF(J365&gt;=65,"Good Candidate",IF(J365&gt;=50,"Mixed / Review","Problem Call")))))))</f>
        <v>Track Only</v>
      </c>
      <c r="L365" s="9" t="str">
        <f>IF(COUNTIFS('DEF_SELF_SCOUT_IMPORT'!$L$42:$L$1040,"Y",'DEF_SELF_SCOUT_IMPORT'!$E$42:$E$1040,SUBSTITUTE(SUBSTITUTE(SUBSTITUTE($B365,"~","~~"),"*","~*"),"?","~?"),'DEF_SELF_SCOUT_IMPORT'!$Q$42:$Q$1040,SUBSTITUTE(SUBSTITUTE(SUBSTITUTE($M365,"~","~~"),"*","~*"),"?","~?"),'DEF_SELF_SCOUT_IMPORT'!$F$42:$F$1040,SUBSTITUTE(SUBSTITUTE(SUBSTITUTE($N365,"~","~~"),"*","~*"),"?","~?"),'DEF_SELF_SCOUT_IMPORT'!$J$42:$J$1040,"")&gt;0,"Unscored clean outcome; review result tags before using score.",IF(C365=0,"No matching defensive reps; film confirmation needed.",IF(K365="Explosive Alert","Explosive risk; review clips before using as answer.",IF(C365&lt;=2,"Track only; not enough sample.",IF(C365=3,IF(E365&gt;0,"Sample watch with explosive exposure; review clips and build the sample.",IF(J365&gt;=65,"Good signal, but sample is limited.","Sample watch; review clips and build the sample.")),IF(K365="Problem Call","Problem area; practice or call-sheet review.",IF(K365="Strong Candidate","Strong call-fit candidate; confirm on film.",IF(K365="Good Candidate","Good call-fit signal; confirm on film.","Mixed signal; review fit and execution on film."))))))))</f>
        <v>Track only; not enough sample.</v>
      </c>
      <c r="M365" s="8" t="s">
        <v>115</v>
      </c>
      <c r="N365" s="8" t="s">
        <v>123</v>
      </c>
      <c r="O365" s="8"/>
      <c r="P365" s="8"/>
      <c r="Q365" s="8"/>
      <c r="R365" s="8" t="s">
        <v>28</v>
      </c>
      <c r="S365" s="2" t="s">
        <v>200</v>
      </c>
      <c r="T365" s="2">
        <f>IF(C365=0,0,IF(C365&gt;=CALL_LOOKUP_BOARD!$B$7,IF(OR(K365="Problem Call",K365="Explosive Alert"),10000000,20000000),0)+IF(C365&gt;=CALL_LOOKUP_BOARD!$B$7,J365*1000+MIN(C365,999),C365*1000+J365)+0.00982000)</f>
        <v>1026.00982</v>
      </c>
      <c r="U365" s="2">
        <f>IF(C365=0,"",IF(COUNTIFS($S$186:$S$367,SUBSTITUTE(SUBSTITUTE(SUBSTITUTE(S365,"~","~~"),"*","~*"),"?","~?"),$T$186:$T$367,"&gt;"&amp;T365)=0,S365,""))</f>
        <v/>
      </c>
    </row>
    <row r="366" spans="1:21" ht="38" customHeight="1">
      <c r="A366" s="8" t="s">
        <v>199</v>
      </c>
      <c r="B366" s="8" t="s">
        <v>54</v>
      </c>
      <c r="C366" s="12">
        <f>COUNTIFS('DEF_SELF_SCOUT_IMPORT'!$L$42:$L$1040,"Y",'DEF_SELF_SCOUT_IMPORT'!$E$42:$E$1040,SUBSTITUTE(SUBSTITUTE(SUBSTITUTE($B366,"~","~~"),"*","~*"),"?","~?"),'DEF_SELF_SCOUT_IMPORT'!$Q$42:$Q$1040,SUBSTITUTE(SUBSTITUTE(SUBSTITUTE($M366,"~","~~"),"*","~*"),"?","~?"),'DEF_SELF_SCOUT_IMPORT'!$F$42:$F$1040,SUBSTITUTE(SUBSTITUTE(SUBSTITUTE($N366,"~","~~"),"*","~*"),"?","~?"))</f>
        <v>1</v>
      </c>
      <c r="D366" s="10">
        <f>IF($C366=0,"",SUMIFS('DEF_SELF_SCOUT_IMPORT'!$J$42:$J$1040,'DEF_SELF_SCOUT_IMPORT'!$L$42:$L$1040,"Y",'DEF_SELF_SCOUT_IMPORT'!$E$42:$E$1040,SUBSTITUTE(SUBSTITUTE(SUBSTITUTE($B366,"~","~~"),"*","~*"),"?","~?"),'DEF_SELF_SCOUT_IMPORT'!$Q$42:$Q$1040,SUBSTITUTE(SUBSTITUTE(SUBSTITUTE($M366,"~","~~"),"*","~*"),"?","~?"),'DEF_SELF_SCOUT_IMPORT'!$F$42:$F$1040,SUBSTITUTE(SUBSTITUTE(SUBSTITUTE($N366,"~","~~"),"*","~*"),"?","~?"))/$C366)</f>
        <v>0.0</v>
      </c>
      <c r="E366" s="10">
        <f>IF($C366=0,"",SUMIFS('DEF_SELF_SCOUT_IMPORT'!$K$42:$K$1040,'DEF_SELF_SCOUT_IMPORT'!$L$42:$L$1040,"Y",'DEF_SELF_SCOUT_IMPORT'!$E$42:$E$1040,SUBSTITUTE(SUBSTITUTE(SUBSTITUTE($B366,"~","~~"),"*","~*"),"?","~?"),'DEF_SELF_SCOUT_IMPORT'!$Q$42:$Q$1040,SUBSTITUTE(SUBSTITUTE(SUBSTITUTE($M366,"~","~~"),"*","~*"),"?","~?"),'DEF_SELF_SCOUT_IMPORT'!$F$42:$F$1040,SUBSTITUTE(SUBSTITUTE(SUBSTITUTE($N366,"~","~~"),"*","~*"),"?","~?"))/$C366)</f>
        <v>0.0</v>
      </c>
      <c r="F366" s="11">
        <f>IF($C366=0,"",AVERAGEIFS('DEF_SELF_SCOUT_IMPORT'!$I$42:$I$1040,'DEF_SELF_SCOUT_IMPORT'!$L$42:$L$1040,"Y",'DEF_SELF_SCOUT_IMPORT'!$E$42:$E$1040,SUBSTITUTE(SUBSTITUTE(SUBSTITUTE($B366,"~","~~"),"*","~*"),"?","~?"),'DEF_SELF_SCOUT_IMPORT'!$Q$42:$Q$1040,SUBSTITUTE(SUBSTITUTE(SUBSTITUTE($M366,"~","~~"),"*","~*"),"?","~?"),'DEF_SELF_SCOUT_IMPORT'!$F$42:$F$1040,SUBSTITUTE(SUBSTITUTE(SUBSTITUTE($N366,"~","~~"),"*","~*"),"?","~?")))</f>
        <v>6.0</v>
      </c>
      <c r="G366" s="10">
        <f>IF($C366=0,"",COUNTIFS('DEF_SELF_SCOUT_IMPORT'!$L$42:$L$1040,"Y",'DEF_SELF_SCOUT_IMPORT'!$E$42:$E$1040,SUBSTITUTE(SUBSTITUTE(SUBSTITUTE($B366,"~","~~"),"*","~*"),"?","~?"),'DEF_SELF_SCOUT_IMPORT'!$Q$42:$Q$1040,SUBSTITUTE(SUBSTITUTE(SUBSTITUTE($M366,"~","~~"),"*","~*"),"?","~?"),'DEF_SELF_SCOUT_IMPORT'!$F$42:$F$1040,SUBSTITUTE(SUBSTITUTE(SUBSTITUTE($N366,"~","~~"),"*","~*"),"?","~?"),'DEF_SELF_SCOUT_IMPORT'!$H$42:$H$1040,"RUSH")/$C366)</f>
        <v>1.0</v>
      </c>
      <c r="H366" s="10">
        <f>IF($C366=0,"",COUNTIFS('DEF_SELF_SCOUT_IMPORT'!$L$42:$L$1040,"Y",'DEF_SELF_SCOUT_IMPORT'!$E$42:$E$1040,SUBSTITUTE(SUBSTITUTE(SUBSTITUTE($B366,"~","~~"),"*","~*"),"?","~?"),'DEF_SELF_SCOUT_IMPORT'!$Q$42:$Q$1040,SUBSTITUTE(SUBSTITUTE(SUBSTITUTE($M366,"~","~~"),"*","~*"),"?","~?"),'DEF_SELF_SCOUT_IMPORT'!$F$42:$F$1040,SUBSTITUTE(SUBSTITUTE(SUBSTITUTE($N366,"~","~~"),"*","~*"),"?","~?"),'DEF_SELF_SCOUT_IMPORT'!$H$42:$H$1040,"DROPBACK")/$C366)</f>
        <v>0.0</v>
      </c>
      <c r="I366" s="14" t="str">
        <f>IF(C366=0,"",IF(C366&lt;=2,"TRACK",IF(C366=3,"LOW",IF(C366&lt;=6,"MEDIUM","HIGH"))))</f>
        <v>TRACK</v>
      </c>
      <c r="J366" s="11">
        <f>IF(C366=0,"",ROUND(D366*70+(1-E366)*20+MAX(0,MIN(1,(10-F366)/10))*10,1))</f>
        <v>24.0</v>
      </c>
      <c r="K366" s="14" t="str">
        <f>IF(C366=0,"No Evidence",IF(C366&lt;=2,IF(E366&gt;0,"Explosive Alert","Track Only"),IF(C366=3,"Sample Watch",IF(E366&gt;=START_HERE!$B$31,"Explosive Alert",IF(J366&gt;=80,"Strong Candidate",IF(J366&gt;=65,"Good Candidate",IF(J366&gt;=50,"Mixed / Review","Problem Call")))))))</f>
        <v>Track Only</v>
      </c>
      <c r="L366" s="9" t="str">
        <f>IF(COUNTIFS('DEF_SELF_SCOUT_IMPORT'!$L$42:$L$1040,"Y",'DEF_SELF_SCOUT_IMPORT'!$E$42:$E$1040,SUBSTITUTE(SUBSTITUTE(SUBSTITUTE($B366,"~","~~"),"*","~*"),"?","~?"),'DEF_SELF_SCOUT_IMPORT'!$Q$42:$Q$1040,SUBSTITUTE(SUBSTITUTE(SUBSTITUTE($M366,"~","~~"),"*","~*"),"?","~?"),'DEF_SELF_SCOUT_IMPORT'!$F$42:$F$1040,SUBSTITUTE(SUBSTITUTE(SUBSTITUTE($N366,"~","~~"),"*","~*"),"?","~?"),'DEF_SELF_SCOUT_IMPORT'!$J$42:$J$1040,"")&gt;0,"Unscored clean outcome; review result tags before using score.",IF(C366=0,"No matching defensive reps; film confirmation needed.",IF(K366="Explosive Alert","Explosive risk; review clips before using as answer.",IF(C366&lt;=2,"Track only; not enough sample.",IF(C366=3,IF(E366&gt;0,"Sample watch with explosive exposure; review clips and build the sample.",IF(J366&gt;=65,"Good signal, but sample is limited.","Sample watch; review clips and build the sample.")),IF(K366="Problem Call","Problem area; practice or call-sheet review.",IF(K366="Strong Candidate","Strong call-fit candidate; confirm on film.",IF(K366="Good Candidate","Good call-fit signal; confirm on film.","Mixed signal; review fit and execution on film."))))))))</f>
        <v>Track only; not enough sample.</v>
      </c>
      <c r="M366" s="8" t="s">
        <v>115</v>
      </c>
      <c r="N366" s="8" t="s">
        <v>123</v>
      </c>
      <c r="O366" s="8"/>
      <c r="P366" s="8"/>
      <c r="Q366" s="8"/>
      <c r="R366" s="8" t="s">
        <v>28</v>
      </c>
      <c r="S366" s="2" t="s">
        <v>200</v>
      </c>
      <c r="T366" s="2">
        <f>IF(C366=0,0,IF(C366&gt;=CALL_LOOKUP_BOARD!$B$7,IF(OR(K366="Problem Call",K366="Explosive Alert"),10000000,20000000),0)+IF(C366&gt;=CALL_LOOKUP_BOARD!$B$7,J366*1000+MIN(C366,999),C366*1000+J366)+0.00981900)</f>
        <v>1024.009819</v>
      </c>
      <c r="U366" s="2">
        <f>IF(C366=0,"",IF(COUNTIFS($S$186:$S$367,SUBSTITUTE(SUBSTITUTE(SUBSTITUTE(S366,"~","~~"),"*","~*"),"?","~?"),$T$186:$T$367,"&gt;"&amp;T366)=0,S366,""))</f>
        <v/>
      </c>
    </row>
    <row r="367" spans="1:21" ht="38" customHeight="1">
      <c r="A367" s="8" t="s">
        <v>199</v>
      </c>
      <c r="B367" s="8" t="s">
        <v>117</v>
      </c>
      <c r="C367" s="12">
        <f>COUNTIFS('DEF_SELF_SCOUT_IMPORT'!$L$42:$L$1040,"Y",'DEF_SELF_SCOUT_IMPORT'!$E$42:$E$1040,SUBSTITUTE(SUBSTITUTE(SUBSTITUTE($B367,"~","~~"),"*","~*"),"?","~?"),'DEF_SELF_SCOUT_IMPORT'!$Q$42:$Q$1040,SUBSTITUTE(SUBSTITUTE(SUBSTITUTE($M367,"~","~~"),"*","~*"),"?","~?"),'DEF_SELF_SCOUT_IMPORT'!$F$42:$F$1040,SUBSTITUTE(SUBSTITUTE(SUBSTITUTE($N367,"~","~~"),"*","~*"),"?","~?"))</f>
        <v>1</v>
      </c>
      <c r="D367" s="10">
        <f>IF($C367=0,"",SUMIFS('DEF_SELF_SCOUT_IMPORT'!$J$42:$J$1040,'DEF_SELF_SCOUT_IMPORT'!$L$42:$L$1040,"Y",'DEF_SELF_SCOUT_IMPORT'!$E$42:$E$1040,SUBSTITUTE(SUBSTITUTE(SUBSTITUTE($B367,"~","~~"),"*","~*"),"?","~?"),'DEF_SELF_SCOUT_IMPORT'!$Q$42:$Q$1040,SUBSTITUTE(SUBSTITUTE(SUBSTITUTE($M367,"~","~~"),"*","~*"),"?","~?"),'DEF_SELF_SCOUT_IMPORT'!$F$42:$F$1040,SUBSTITUTE(SUBSTITUTE(SUBSTITUTE($N367,"~","~~"),"*","~*"),"?","~?"))/$C367)</f>
        <v>0.0</v>
      </c>
      <c r="E367" s="10">
        <f>IF($C367=0,"",SUMIFS('DEF_SELF_SCOUT_IMPORT'!$K$42:$K$1040,'DEF_SELF_SCOUT_IMPORT'!$L$42:$L$1040,"Y",'DEF_SELF_SCOUT_IMPORT'!$E$42:$E$1040,SUBSTITUTE(SUBSTITUTE(SUBSTITUTE($B367,"~","~~"),"*","~*"),"?","~?"),'DEF_SELF_SCOUT_IMPORT'!$Q$42:$Q$1040,SUBSTITUTE(SUBSTITUTE(SUBSTITUTE($M367,"~","~~"),"*","~*"),"?","~?"),'DEF_SELF_SCOUT_IMPORT'!$F$42:$F$1040,SUBSTITUTE(SUBSTITUTE(SUBSTITUTE($N367,"~","~~"),"*","~*"),"?","~?"))/$C367)</f>
        <v>1.0</v>
      </c>
      <c r="F367" s="11">
        <f>IF($C367=0,"",AVERAGEIFS('DEF_SELF_SCOUT_IMPORT'!$I$42:$I$1040,'DEF_SELF_SCOUT_IMPORT'!$L$42:$L$1040,"Y",'DEF_SELF_SCOUT_IMPORT'!$E$42:$E$1040,SUBSTITUTE(SUBSTITUTE(SUBSTITUTE($B367,"~","~~"),"*","~*"),"?","~?"),'DEF_SELF_SCOUT_IMPORT'!$Q$42:$Q$1040,SUBSTITUTE(SUBSTITUTE(SUBSTITUTE($M367,"~","~~"),"*","~*"),"?","~?"),'DEF_SELF_SCOUT_IMPORT'!$F$42:$F$1040,SUBSTITUTE(SUBSTITUTE(SUBSTITUTE($N367,"~","~~"),"*","~*"),"?","~?")))</f>
        <v>16.0</v>
      </c>
      <c r="G367" s="10">
        <f>IF($C367=0,"",COUNTIFS('DEF_SELF_SCOUT_IMPORT'!$L$42:$L$1040,"Y",'DEF_SELF_SCOUT_IMPORT'!$E$42:$E$1040,SUBSTITUTE(SUBSTITUTE(SUBSTITUTE($B367,"~","~~"),"*","~*"),"?","~?"),'DEF_SELF_SCOUT_IMPORT'!$Q$42:$Q$1040,SUBSTITUTE(SUBSTITUTE(SUBSTITUTE($M367,"~","~~"),"*","~*"),"?","~?"),'DEF_SELF_SCOUT_IMPORT'!$F$42:$F$1040,SUBSTITUTE(SUBSTITUTE(SUBSTITUTE($N367,"~","~~"),"*","~*"),"?","~?"),'DEF_SELF_SCOUT_IMPORT'!$H$42:$H$1040,"RUSH")/$C367)</f>
        <v>0.0</v>
      </c>
      <c r="H367" s="10">
        <f>IF($C367=0,"",COUNTIFS('DEF_SELF_SCOUT_IMPORT'!$L$42:$L$1040,"Y",'DEF_SELF_SCOUT_IMPORT'!$E$42:$E$1040,SUBSTITUTE(SUBSTITUTE(SUBSTITUTE($B367,"~","~~"),"*","~*"),"?","~?"),'DEF_SELF_SCOUT_IMPORT'!$Q$42:$Q$1040,SUBSTITUTE(SUBSTITUTE(SUBSTITUTE($M367,"~","~~"),"*","~*"),"?","~?"),'DEF_SELF_SCOUT_IMPORT'!$F$42:$F$1040,SUBSTITUTE(SUBSTITUTE(SUBSTITUTE($N367,"~","~~"),"*","~*"),"?","~?"),'DEF_SELF_SCOUT_IMPORT'!$H$42:$H$1040,"DROPBACK")/$C367)</f>
        <v>1.0</v>
      </c>
      <c r="I367" s="14" t="str">
        <f>IF(C367=0,"",IF(C367&lt;=2,"TRACK",IF(C367=3,"LOW",IF(C367&lt;=6,"MEDIUM","HIGH"))))</f>
        <v>TRACK</v>
      </c>
      <c r="J367" s="11">
        <f>IF(C367=0,"",ROUND(D367*70+(1-E367)*20+MAX(0,MIN(1,(10-F367)/10))*10,1))</f>
        <v>0.0</v>
      </c>
      <c r="K367" s="14" t="str">
        <f>IF(C367=0,"No Evidence",IF(C367&lt;=2,IF(E367&gt;0,"Explosive Alert","Track Only"),IF(C367=3,"Sample Watch",IF(E367&gt;=START_HERE!$B$31,"Explosive Alert",IF(J367&gt;=80,"Strong Candidate",IF(J367&gt;=65,"Good Candidate",IF(J367&gt;=50,"Mixed / Review","Problem Call")))))))</f>
        <v>Explosive Alert</v>
      </c>
      <c r="L367" s="9" t="str">
        <f>IF(COUNTIFS('DEF_SELF_SCOUT_IMPORT'!$L$42:$L$1040,"Y",'DEF_SELF_SCOUT_IMPORT'!$E$42:$E$1040,SUBSTITUTE(SUBSTITUTE(SUBSTITUTE($B367,"~","~~"),"*","~*"),"?","~?"),'DEF_SELF_SCOUT_IMPORT'!$Q$42:$Q$1040,SUBSTITUTE(SUBSTITUTE(SUBSTITUTE($M367,"~","~~"),"*","~*"),"?","~?"),'DEF_SELF_SCOUT_IMPORT'!$F$42:$F$1040,SUBSTITUTE(SUBSTITUTE(SUBSTITUTE($N367,"~","~~"),"*","~*"),"?","~?"),'DEF_SELF_SCOUT_IMPORT'!$J$42:$J$1040,"")&gt;0,"Unscored clean outcome; review result tags before using score.",IF(C367=0,"No matching defensive reps; film confirmation needed.",IF(K367="Explosive Alert","Explosive risk; review clips before using as answer.",IF(C367&lt;=2,"Track only; not enough sample.",IF(C367=3,IF(E367&gt;0,"Sample watch with explosive exposure; review clips and build the sample.",IF(J367&gt;=65,"Good signal, but sample is limited.","Sample watch; review clips and build the sample.")),IF(K367="Problem Call","Problem area; practice or call-sheet review.",IF(K367="Strong Candidate","Strong call-fit candidate; confirm on film.",IF(K367="Good Candidate","Good call-fit signal; confirm on film.","Mixed signal; review fit and execution on film."))))))))</f>
        <v>Explosive risk; review clips before using as answer.</v>
      </c>
      <c r="M367" s="8" t="s">
        <v>115</v>
      </c>
      <c r="N367" s="8" t="s">
        <v>123</v>
      </c>
      <c r="O367" s="8"/>
      <c r="P367" s="8"/>
      <c r="Q367" s="8"/>
      <c r="R367" s="8" t="s">
        <v>28</v>
      </c>
      <c r="S367" s="2" t="s">
        <v>200</v>
      </c>
      <c r="T367" s="2">
        <f>IF(C367=0,0,IF(C367&gt;=CALL_LOOKUP_BOARD!$B$7,IF(OR(K367="Problem Call",K367="Explosive Alert"),10000000,20000000),0)+IF(C367&gt;=CALL_LOOKUP_BOARD!$B$7,J367*1000+MIN(C367,999),C367*1000+J367)+0.00981800)</f>
        <v>1000.009818</v>
      </c>
      <c r="U367" s="2">
        <f>IF(C367=0,"",IF(COUNTIFS($S$186:$S$367,SUBSTITUTE(SUBSTITUTE(SUBSTITUTE(S367,"~","~~"),"*","~*"),"?","~?"),$T$186:$T$367,"&gt;"&amp;T367)=0,S367,""))</f>
        <v/>
      </c>
    </row>
    <row r="372" spans="1:21" ht="27" customHeight="1">
      <c r="A372" s="5" t="s">
        <v>201</v>
      </c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spans="1:21" ht="36" customHeight="1">
      <c r="A373" s="9" t="s">
        <v>7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spans="1:21" ht="46" customHeight="1">
      <c r="A374" s="6" t="s">
        <v>8</v>
      </c>
      <c r="B374" s="6" t="s">
        <v>9</v>
      </c>
      <c r="C374" s="6" t="s">
        <v>10</v>
      </c>
      <c r="D374" s="6" t="s">
        <v>11</v>
      </c>
      <c r="E374" s="6" t="s">
        <v>12</v>
      </c>
      <c r="F374" s="6" t="s">
        <v>13</v>
      </c>
      <c r="G374" s="6" t="s">
        <v>14</v>
      </c>
      <c r="H374" s="6" t="s">
        <v>15</v>
      </c>
      <c r="I374" s="6" t="s">
        <v>16</v>
      </c>
      <c r="J374" s="6" t="s">
        <v>17</v>
      </c>
      <c r="K374" s="6" t="s">
        <v>18</v>
      </c>
      <c r="L374" s="6" t="s">
        <v>19</v>
      </c>
      <c r="M374" s="6" t="s">
        <v>20</v>
      </c>
      <c r="N374" s="6" t="s">
        <v>21</v>
      </c>
      <c r="O374" s="6" t="s">
        <v>22</v>
      </c>
      <c r="P374" s="6" t="s">
        <v>23</v>
      </c>
      <c r="Q374" s="6" t="s">
        <v>24</v>
      </c>
      <c r="R374" s="6" t="s">
        <v>25</v>
      </c>
    </row>
    <row r="375" spans="1:21" ht="38" customHeight="1">
      <c r="A375" s="8" t="s">
        <v>202</v>
      </c>
      <c r="B375" s="8" t="s">
        <v>27</v>
      </c>
      <c r="C375" s="12">
        <f>COUNTIFS('DEF_SELF_SCOUT_IMPORT'!$L$42:$L$1040,"Y",'DEF_SELF_SCOUT_IMPORT'!$E$42:$E$1040,SUBSTITUTE(SUBSTITUTE(SUBSTITUTE($B375,"~","~~"),"*","~*"),"?","~?"),'DEF_SELF_SCOUT_IMPORT'!$Q$42:$Q$1040,SUBSTITUTE(SUBSTITUTE(SUBSTITUTE($M375,"~","~~"),"*","~*"),"?","~?"),'DEF_SELF_SCOUT_IMPORT'!$G$42:$G$1040,SUBSTITUTE(SUBSTITUTE(SUBSTITUTE($O375,"~","~~"),"*","~*"),"?","~?"))</f>
        <v>1</v>
      </c>
      <c r="D375" s="10">
        <f>IF($C375=0,"",SUMIFS('DEF_SELF_SCOUT_IMPORT'!$J$42:$J$1040,'DEF_SELF_SCOUT_IMPORT'!$L$42:$L$1040,"Y",'DEF_SELF_SCOUT_IMPORT'!$E$42:$E$1040,SUBSTITUTE(SUBSTITUTE(SUBSTITUTE($B375,"~","~~"),"*","~*"),"?","~?"),'DEF_SELF_SCOUT_IMPORT'!$Q$42:$Q$1040,SUBSTITUTE(SUBSTITUTE(SUBSTITUTE($M375,"~","~~"),"*","~*"),"?","~?"),'DEF_SELF_SCOUT_IMPORT'!$G$42:$G$1040,SUBSTITUTE(SUBSTITUTE(SUBSTITUTE($O375,"~","~~"),"*","~*"),"?","~?"))/$C375)</f>
        <v>0.0</v>
      </c>
      <c r="E375" s="10">
        <f>IF($C375=0,"",SUMIFS('DEF_SELF_SCOUT_IMPORT'!$K$42:$K$1040,'DEF_SELF_SCOUT_IMPORT'!$L$42:$L$1040,"Y",'DEF_SELF_SCOUT_IMPORT'!$E$42:$E$1040,SUBSTITUTE(SUBSTITUTE(SUBSTITUTE($B375,"~","~~"),"*","~*"),"?","~?"),'DEF_SELF_SCOUT_IMPORT'!$Q$42:$Q$1040,SUBSTITUTE(SUBSTITUTE(SUBSTITUTE($M375,"~","~~"),"*","~*"),"?","~?"),'DEF_SELF_SCOUT_IMPORT'!$G$42:$G$1040,SUBSTITUTE(SUBSTITUTE(SUBSTITUTE($O375,"~","~~"),"*","~*"),"?","~?"))/$C375)</f>
        <v>0.0</v>
      </c>
      <c r="F375" s="11">
        <f>IF($C375=0,"",AVERAGEIFS('DEF_SELF_SCOUT_IMPORT'!$I$42:$I$1040,'DEF_SELF_SCOUT_IMPORT'!$L$42:$L$1040,"Y",'DEF_SELF_SCOUT_IMPORT'!$E$42:$E$1040,SUBSTITUTE(SUBSTITUTE(SUBSTITUTE($B375,"~","~~"),"*","~*"),"?","~?"),'DEF_SELF_SCOUT_IMPORT'!$Q$42:$Q$1040,SUBSTITUTE(SUBSTITUTE(SUBSTITUTE($M375,"~","~~"),"*","~*"),"?","~?"),'DEF_SELF_SCOUT_IMPORT'!$G$42:$G$1040,SUBSTITUTE(SUBSTITUTE(SUBSTITUTE($O375,"~","~~"),"*","~*"),"?","~?")))</f>
        <v>1.0</v>
      </c>
      <c r="G375" s="10">
        <f>IF($C375=0,"",COUNTIFS('DEF_SELF_SCOUT_IMPORT'!$L$42:$L$1040,"Y",'DEF_SELF_SCOUT_IMPORT'!$E$42:$E$1040,SUBSTITUTE(SUBSTITUTE(SUBSTITUTE($B375,"~","~~"),"*","~*"),"?","~?"),'DEF_SELF_SCOUT_IMPORT'!$Q$42:$Q$1040,SUBSTITUTE(SUBSTITUTE(SUBSTITUTE($M375,"~","~~"),"*","~*"),"?","~?"),'DEF_SELF_SCOUT_IMPORT'!$G$42:$G$1040,SUBSTITUTE(SUBSTITUTE(SUBSTITUTE($O375,"~","~~"),"*","~*"),"?","~?"),'DEF_SELF_SCOUT_IMPORT'!$H$42:$H$1040,"RUSH")/$C375)</f>
        <v>0.0</v>
      </c>
      <c r="H375" s="10">
        <f>IF($C375=0,"",COUNTIFS('DEF_SELF_SCOUT_IMPORT'!$L$42:$L$1040,"Y",'DEF_SELF_SCOUT_IMPORT'!$E$42:$E$1040,SUBSTITUTE(SUBSTITUTE(SUBSTITUTE($B375,"~","~~"),"*","~*"),"?","~?"),'DEF_SELF_SCOUT_IMPORT'!$Q$42:$Q$1040,SUBSTITUTE(SUBSTITUTE(SUBSTITUTE($M375,"~","~~"),"*","~*"),"?","~?"),'DEF_SELF_SCOUT_IMPORT'!$G$42:$G$1040,SUBSTITUTE(SUBSTITUTE(SUBSTITUTE($O375,"~","~~"),"*","~*"),"?","~?"),'DEF_SELF_SCOUT_IMPORT'!$H$42:$H$1040,"DROPBACK")/$C375)</f>
        <v>0.0</v>
      </c>
      <c r="I375" s="14" t="str">
        <f>IF(C375=0,"",IF(C375&lt;=2,"TRACK",IF(C375=3,"LOW",IF(C375&lt;=6,"MEDIUM","HIGH"))))</f>
        <v>TRACK</v>
      </c>
      <c r="J375" s="11">
        <f>IF(C375=0,"",ROUND(D375*70+(1-E375)*20+MAX(0,MIN(1,(10-F375)/10))*10,1))</f>
        <v>29.0</v>
      </c>
      <c r="K375" s="14" t="str">
        <f>IF(C375=0,"No Evidence",IF(C375&lt;=2,IF(E375&gt;0,"Explosive Alert","Track Only"),IF(C375=3,"Sample Watch",IF(E375&gt;=START_HERE!$B$31,"Explosive Alert",IF(J375&gt;=80,"Strong Candidate",IF(J375&gt;=65,"Good Candidate",IF(J375&gt;=50,"Mixed / Review","Problem Call")))))))</f>
        <v>Track Only</v>
      </c>
      <c r="L375" s="9" t="str">
        <f>IF(COUNTIFS('DEF_SELF_SCOUT_IMPORT'!$L$42:$L$1040,"Y",'DEF_SELF_SCOUT_IMPORT'!$E$42:$E$1040,SUBSTITUTE(SUBSTITUTE(SUBSTITUTE($B375,"~","~~"),"*","~*"),"?","~?"),'DEF_SELF_SCOUT_IMPORT'!$Q$42:$Q$1040,SUBSTITUTE(SUBSTITUTE(SUBSTITUTE($M375,"~","~~"),"*","~*"),"?","~?"),'DEF_SELF_SCOUT_IMPORT'!$G$42:$G$1040,SUBSTITUTE(SUBSTITUTE(SUBSTITUTE($O375,"~","~~"),"*","~*"),"?","~?"),'DEF_SELF_SCOUT_IMPORT'!$J$42:$J$1040,"")&gt;0,"Unscored clean outcome; review result tags before using score.",IF(C375=0,"No matching defensive reps; film confirmation needed.",IF(K375="Explosive Alert","Explosive risk; review clips before using as answer.",IF(C375&lt;=2,"Track only; not enough sample.",IF(C375=3,IF(E375&gt;0,"Sample watch with explosive exposure; review clips and build the sample.",IF(J375&gt;=65,"Good signal, but sample is limited.","Sample watch; review clips and build the sample.")),IF(K375="Problem Call","Problem area; practice or call-sheet review.",IF(K375="Strong Candidate","Strong call-fit candidate; confirm on film.",IF(K375="Good Candidate","Good call-fit signal; confirm on film.","Mixed signal; review fit and execution on film."))))))))</f>
        <v>Track only; not enough sample.</v>
      </c>
      <c r="M375" s="8" t="s">
        <v>26</v>
      </c>
      <c r="N375" s="8"/>
      <c r="O375" s="8" t="s">
        <v>203</v>
      </c>
      <c r="P375" s="8"/>
      <c r="Q375" s="8"/>
      <c r="R375" s="8" t="s">
        <v>28</v>
      </c>
      <c r="S375" s="2" t="s">
        <v>204</v>
      </c>
      <c r="T375" s="2">
        <f>IF(C375=0,0,IF(C375&gt;=CALL_LOOKUP_BOARD!$B$7,IF(OR(K375="Problem Call",K375="Explosive Alert"),10000000,20000000),0)+IF(C375&gt;=CALL_LOOKUP_BOARD!$B$7,J375*1000+MIN(C375,999),C375*1000+J375)+0.00999900)</f>
        <v>1029.009999</v>
      </c>
      <c r="U375" s="2">
        <f>IF(C375=0,"",IF(COUNTIFS($S$375:$S$581,SUBSTITUTE(SUBSTITUTE(SUBSTITUTE(S375,"~","~~"),"*","~*"),"?","~?"),$T$375:$T$581,"&gt;"&amp;T375)=0,S375,""))</f>
        <v/>
      </c>
    </row>
    <row r="376" spans="1:21" ht="38" customHeight="1">
      <c r="A376" s="8" t="s">
        <v>202</v>
      </c>
      <c r="B376" s="8" t="s">
        <v>30</v>
      </c>
      <c r="C376" s="12">
        <f>COUNTIFS('DEF_SELF_SCOUT_IMPORT'!$L$42:$L$1040,"Y",'DEF_SELF_SCOUT_IMPORT'!$E$42:$E$1040,SUBSTITUTE(SUBSTITUTE(SUBSTITUTE($B376,"~","~~"),"*","~*"),"?","~?"),'DEF_SELF_SCOUT_IMPORT'!$Q$42:$Q$1040,SUBSTITUTE(SUBSTITUTE(SUBSTITUTE($M376,"~","~~"),"*","~*"),"?","~?"),'DEF_SELF_SCOUT_IMPORT'!$G$42:$G$1040,SUBSTITUTE(SUBSTITUTE(SUBSTITUTE($O376,"~","~~"),"*","~*"),"?","~?"))</f>
        <v>1</v>
      </c>
      <c r="D376" s="10">
        <f>IF($C376=0,"",SUMIFS('DEF_SELF_SCOUT_IMPORT'!$J$42:$J$1040,'DEF_SELF_SCOUT_IMPORT'!$L$42:$L$1040,"Y",'DEF_SELF_SCOUT_IMPORT'!$E$42:$E$1040,SUBSTITUTE(SUBSTITUTE(SUBSTITUTE($B376,"~","~~"),"*","~*"),"?","~?"),'DEF_SELF_SCOUT_IMPORT'!$Q$42:$Q$1040,SUBSTITUTE(SUBSTITUTE(SUBSTITUTE($M376,"~","~~"),"*","~*"),"?","~?"),'DEF_SELF_SCOUT_IMPORT'!$G$42:$G$1040,SUBSTITUTE(SUBSTITUTE(SUBSTITUTE($O376,"~","~~"),"*","~*"),"?","~?"))/$C376)</f>
        <v>1.0</v>
      </c>
      <c r="E376" s="10">
        <f>IF($C376=0,"",SUMIFS('DEF_SELF_SCOUT_IMPORT'!$K$42:$K$1040,'DEF_SELF_SCOUT_IMPORT'!$L$42:$L$1040,"Y",'DEF_SELF_SCOUT_IMPORT'!$E$42:$E$1040,SUBSTITUTE(SUBSTITUTE(SUBSTITUTE($B376,"~","~~"),"*","~*"),"?","~?"),'DEF_SELF_SCOUT_IMPORT'!$Q$42:$Q$1040,SUBSTITUTE(SUBSTITUTE(SUBSTITUTE($M376,"~","~~"),"*","~*"),"?","~?"),'DEF_SELF_SCOUT_IMPORT'!$G$42:$G$1040,SUBSTITUTE(SUBSTITUTE(SUBSTITUTE($O376,"~","~~"),"*","~*"),"?","~?"))/$C376)</f>
        <v>0.0</v>
      </c>
      <c r="F376" s="11">
        <f>IF($C376=0,"",AVERAGEIFS('DEF_SELF_SCOUT_IMPORT'!$I$42:$I$1040,'DEF_SELF_SCOUT_IMPORT'!$L$42:$L$1040,"Y",'DEF_SELF_SCOUT_IMPORT'!$E$42:$E$1040,SUBSTITUTE(SUBSTITUTE(SUBSTITUTE($B376,"~","~~"),"*","~*"),"?","~?"),'DEF_SELF_SCOUT_IMPORT'!$Q$42:$Q$1040,SUBSTITUTE(SUBSTITUTE(SUBSTITUTE($M376,"~","~~"),"*","~*"),"?","~?"),'DEF_SELF_SCOUT_IMPORT'!$G$42:$G$1040,SUBSTITUTE(SUBSTITUTE(SUBSTITUTE($O376,"~","~~"),"*","~*"),"?","~?")))</f>
        <v>1.0</v>
      </c>
      <c r="G376" s="10">
        <f>IF($C376=0,"",COUNTIFS('DEF_SELF_SCOUT_IMPORT'!$L$42:$L$1040,"Y",'DEF_SELF_SCOUT_IMPORT'!$E$42:$E$1040,SUBSTITUTE(SUBSTITUTE(SUBSTITUTE($B376,"~","~~"),"*","~*"),"?","~?"),'DEF_SELF_SCOUT_IMPORT'!$Q$42:$Q$1040,SUBSTITUTE(SUBSTITUTE(SUBSTITUTE($M376,"~","~~"),"*","~*"),"?","~?"),'DEF_SELF_SCOUT_IMPORT'!$G$42:$G$1040,SUBSTITUTE(SUBSTITUTE(SUBSTITUTE($O376,"~","~~"),"*","~*"),"?","~?"),'DEF_SELF_SCOUT_IMPORT'!$H$42:$H$1040,"RUSH")/$C376)</f>
        <v>1.0</v>
      </c>
      <c r="H376" s="10">
        <f>IF($C376=0,"",COUNTIFS('DEF_SELF_SCOUT_IMPORT'!$L$42:$L$1040,"Y",'DEF_SELF_SCOUT_IMPORT'!$E$42:$E$1040,SUBSTITUTE(SUBSTITUTE(SUBSTITUTE($B376,"~","~~"),"*","~*"),"?","~?"),'DEF_SELF_SCOUT_IMPORT'!$Q$42:$Q$1040,SUBSTITUTE(SUBSTITUTE(SUBSTITUTE($M376,"~","~~"),"*","~*"),"?","~?"),'DEF_SELF_SCOUT_IMPORT'!$G$42:$G$1040,SUBSTITUTE(SUBSTITUTE(SUBSTITUTE($O376,"~","~~"),"*","~*"),"?","~?"),'DEF_SELF_SCOUT_IMPORT'!$H$42:$H$1040,"DROPBACK")/$C376)</f>
        <v>0.0</v>
      </c>
      <c r="I376" s="14" t="str">
        <f>IF(C376=0,"",IF(C376&lt;=2,"TRACK",IF(C376=3,"LOW",IF(C376&lt;=6,"MEDIUM","HIGH"))))</f>
        <v>TRACK</v>
      </c>
      <c r="J376" s="11">
        <f>IF(C376=0,"",ROUND(D376*70+(1-E376)*20+MAX(0,MIN(1,(10-F376)/10))*10,1))</f>
        <v>99.0</v>
      </c>
      <c r="K376" s="14" t="str">
        <f>IF(C376=0,"No Evidence",IF(C376&lt;=2,IF(E376&gt;0,"Explosive Alert","Track Only"),IF(C376=3,"Sample Watch",IF(E376&gt;=START_HERE!$B$31,"Explosive Alert",IF(J376&gt;=80,"Strong Candidate",IF(J376&gt;=65,"Good Candidate",IF(J376&gt;=50,"Mixed / Review","Problem Call")))))))</f>
        <v>Track Only</v>
      </c>
      <c r="L376" s="9" t="str">
        <f>IF(COUNTIFS('DEF_SELF_SCOUT_IMPORT'!$L$42:$L$1040,"Y",'DEF_SELF_SCOUT_IMPORT'!$E$42:$E$1040,SUBSTITUTE(SUBSTITUTE(SUBSTITUTE($B376,"~","~~"),"*","~*"),"?","~?"),'DEF_SELF_SCOUT_IMPORT'!$Q$42:$Q$1040,SUBSTITUTE(SUBSTITUTE(SUBSTITUTE($M376,"~","~~"),"*","~*"),"?","~?"),'DEF_SELF_SCOUT_IMPORT'!$G$42:$G$1040,SUBSTITUTE(SUBSTITUTE(SUBSTITUTE($O376,"~","~~"),"*","~*"),"?","~?"),'DEF_SELF_SCOUT_IMPORT'!$J$42:$J$1040,"")&gt;0,"Unscored clean outcome; review result tags before using score.",IF(C376=0,"No matching defensive reps; film confirmation needed.",IF(K376="Explosive Alert","Explosive risk; review clips before using as answer.",IF(C376&lt;=2,"Track only; not enough sample.",IF(C376=3,IF(E376&gt;0,"Sample watch with explosive exposure; review clips and build the sample.",IF(J376&gt;=65,"Good signal, but sample is limited.","Sample watch; review clips and build the sample.")),IF(K376="Problem Call","Problem area; practice or call-sheet review.",IF(K376="Strong Candidate","Strong call-fit candidate; confirm on film.",IF(K376="Good Candidate","Good call-fit signal; confirm on film.","Mixed signal; review fit and execution on film."))))))))</f>
        <v>Track only; not enough sample.</v>
      </c>
      <c r="M376" s="8" t="s">
        <v>26</v>
      </c>
      <c r="N376" s="8"/>
      <c r="O376" s="8" t="s">
        <v>203</v>
      </c>
      <c r="P376" s="8"/>
      <c r="Q376" s="8"/>
      <c r="R376" s="8" t="s">
        <v>28</v>
      </c>
      <c r="S376" s="2" t="s">
        <v>204</v>
      </c>
      <c r="T376" s="2">
        <f>IF(C376=0,0,IF(C376&gt;=CALL_LOOKUP_BOARD!$B$7,IF(OR(K376="Problem Call",K376="Explosive Alert"),10000000,20000000),0)+IF(C376&gt;=CALL_LOOKUP_BOARD!$B$7,J376*1000+MIN(C376,999),C376*1000+J376)+0.00999800)</f>
        <v>1099.009998</v>
      </c>
      <c r="U376" s="2" t="str">
        <f>IF(C376=0,"",IF(COUNTIFS($S$375:$S$581,SUBSTITUTE(SUBSTITUTE(SUBSTITUTE(S376,"~","~~"),"*","~*"),"?","~?"),$T$375:$T$581,"&gt;"&amp;T376)=0,S376,""))</f>
        <v>6:1D 1-3|3:2X2|</v>
      </c>
    </row>
    <row r="377" spans="1:21" ht="38" customHeight="1">
      <c r="A377" s="8" t="s">
        <v>205</v>
      </c>
      <c r="B377" s="8" t="s">
        <v>30</v>
      </c>
      <c r="C377" s="12">
        <f>COUNTIFS('DEF_SELF_SCOUT_IMPORT'!$L$42:$L$1040,"Y",'DEF_SELF_SCOUT_IMPORT'!$E$42:$E$1040,SUBSTITUTE(SUBSTITUTE(SUBSTITUTE($B377,"~","~~"),"*","~*"),"?","~?"),'DEF_SELF_SCOUT_IMPORT'!$Q$42:$Q$1040,SUBSTITUTE(SUBSTITUTE(SUBSTITUTE($M377,"~","~~"),"*","~*"),"?","~?"),'DEF_SELF_SCOUT_IMPORT'!$G$42:$G$1040,SUBSTITUTE(SUBSTITUTE(SUBSTITUTE($O377,"~","~~"),"*","~*"),"?","~?"))</f>
        <v>1</v>
      </c>
      <c r="D377" s="10">
        <f>IF($C377=0,"",SUMIFS('DEF_SELF_SCOUT_IMPORT'!$J$42:$J$1040,'DEF_SELF_SCOUT_IMPORT'!$L$42:$L$1040,"Y",'DEF_SELF_SCOUT_IMPORT'!$E$42:$E$1040,SUBSTITUTE(SUBSTITUTE(SUBSTITUTE($B377,"~","~~"),"*","~*"),"?","~?"),'DEF_SELF_SCOUT_IMPORT'!$Q$42:$Q$1040,SUBSTITUTE(SUBSTITUTE(SUBSTITUTE($M377,"~","~~"),"*","~*"),"?","~?"),'DEF_SELF_SCOUT_IMPORT'!$G$42:$G$1040,SUBSTITUTE(SUBSTITUTE(SUBSTITUTE($O377,"~","~~"),"*","~*"),"?","~?"))/$C377)</f>
        <v>1.0</v>
      </c>
      <c r="E377" s="10">
        <f>IF($C377=0,"",SUMIFS('DEF_SELF_SCOUT_IMPORT'!$K$42:$K$1040,'DEF_SELF_SCOUT_IMPORT'!$L$42:$L$1040,"Y",'DEF_SELF_SCOUT_IMPORT'!$E$42:$E$1040,SUBSTITUTE(SUBSTITUTE(SUBSTITUTE($B377,"~","~~"),"*","~*"),"?","~?"),'DEF_SELF_SCOUT_IMPORT'!$Q$42:$Q$1040,SUBSTITUTE(SUBSTITUTE(SUBSTITUTE($M377,"~","~~"),"*","~*"),"?","~?"),'DEF_SELF_SCOUT_IMPORT'!$G$42:$G$1040,SUBSTITUTE(SUBSTITUTE(SUBSTITUTE($O377,"~","~~"),"*","~*"),"?","~?"))/$C377)</f>
        <v>0.0</v>
      </c>
      <c r="F377" s="11">
        <f>IF($C377=0,"",AVERAGEIFS('DEF_SELF_SCOUT_IMPORT'!$I$42:$I$1040,'DEF_SELF_SCOUT_IMPORT'!$L$42:$L$1040,"Y",'DEF_SELF_SCOUT_IMPORT'!$E$42:$E$1040,SUBSTITUTE(SUBSTITUTE(SUBSTITUTE($B377,"~","~~"),"*","~*"),"?","~?"),'DEF_SELF_SCOUT_IMPORT'!$Q$42:$Q$1040,SUBSTITUTE(SUBSTITUTE(SUBSTITUTE($M377,"~","~~"),"*","~*"),"?","~?"),'DEF_SELF_SCOUT_IMPORT'!$G$42:$G$1040,SUBSTITUTE(SUBSTITUTE(SUBSTITUTE($O377,"~","~~"),"*","~*"),"?","~?")))</f>
        <v>2.0</v>
      </c>
      <c r="G377" s="10">
        <f>IF($C377=0,"",COUNTIFS('DEF_SELF_SCOUT_IMPORT'!$L$42:$L$1040,"Y",'DEF_SELF_SCOUT_IMPORT'!$E$42:$E$1040,SUBSTITUTE(SUBSTITUTE(SUBSTITUTE($B377,"~","~~"),"*","~*"),"?","~?"),'DEF_SELF_SCOUT_IMPORT'!$Q$42:$Q$1040,SUBSTITUTE(SUBSTITUTE(SUBSTITUTE($M377,"~","~~"),"*","~*"),"?","~?"),'DEF_SELF_SCOUT_IMPORT'!$G$42:$G$1040,SUBSTITUTE(SUBSTITUTE(SUBSTITUTE($O377,"~","~~"),"*","~*"),"?","~?"),'DEF_SELF_SCOUT_IMPORT'!$H$42:$H$1040,"RUSH")/$C377)</f>
        <v>1.0</v>
      </c>
      <c r="H377" s="10">
        <f>IF($C377=0,"",COUNTIFS('DEF_SELF_SCOUT_IMPORT'!$L$42:$L$1040,"Y",'DEF_SELF_SCOUT_IMPORT'!$E$42:$E$1040,SUBSTITUTE(SUBSTITUTE(SUBSTITUTE($B377,"~","~~"),"*","~*"),"?","~?"),'DEF_SELF_SCOUT_IMPORT'!$Q$42:$Q$1040,SUBSTITUTE(SUBSTITUTE(SUBSTITUTE($M377,"~","~~"),"*","~*"),"?","~?"),'DEF_SELF_SCOUT_IMPORT'!$G$42:$G$1040,SUBSTITUTE(SUBSTITUTE(SUBSTITUTE($O377,"~","~~"),"*","~*"),"?","~?"),'DEF_SELF_SCOUT_IMPORT'!$H$42:$H$1040,"DROPBACK")/$C377)</f>
        <v>0.0</v>
      </c>
      <c r="I377" s="14" t="str">
        <f>IF(C377=0,"",IF(C377&lt;=2,"TRACK",IF(C377=3,"LOW",IF(C377&lt;=6,"MEDIUM","HIGH"))))</f>
        <v>TRACK</v>
      </c>
      <c r="J377" s="11">
        <f>IF(C377=0,"",ROUND(D377*70+(1-E377)*20+MAX(0,MIN(1,(10-F377)/10))*10,1))</f>
        <v>98.0</v>
      </c>
      <c r="K377" s="14" t="str">
        <f>IF(C377=0,"No Evidence",IF(C377&lt;=2,IF(E377&gt;0,"Explosive Alert","Track Only"),IF(C377=3,"Sample Watch",IF(E377&gt;=START_HERE!$B$31,"Explosive Alert",IF(J377&gt;=80,"Strong Candidate",IF(J377&gt;=65,"Good Candidate",IF(J377&gt;=50,"Mixed / Review","Problem Call")))))))</f>
        <v>Track Only</v>
      </c>
      <c r="L377" s="9" t="str">
        <f>IF(COUNTIFS('DEF_SELF_SCOUT_IMPORT'!$L$42:$L$1040,"Y",'DEF_SELF_SCOUT_IMPORT'!$E$42:$E$1040,SUBSTITUTE(SUBSTITUTE(SUBSTITUTE($B377,"~","~~"),"*","~*"),"?","~?"),'DEF_SELF_SCOUT_IMPORT'!$Q$42:$Q$1040,SUBSTITUTE(SUBSTITUTE(SUBSTITUTE($M377,"~","~~"),"*","~*"),"?","~?"),'DEF_SELF_SCOUT_IMPORT'!$G$42:$G$1040,SUBSTITUTE(SUBSTITUTE(SUBSTITUTE($O377,"~","~~"),"*","~*"),"?","~?"),'DEF_SELF_SCOUT_IMPORT'!$J$42:$J$1040,"")&gt;0,"Unscored clean outcome; review result tags before using score.",IF(C377=0,"No matching defensive reps; film confirmation needed.",IF(K377="Explosive Alert","Explosive risk; review clips before using as answer.",IF(C377&lt;=2,"Track only; not enough sample.",IF(C377=3,IF(E377&gt;0,"Sample watch with explosive exposure; review clips and build the sample.",IF(J377&gt;=65,"Good signal, but sample is limited.","Sample watch; review clips and build the sample.")),IF(K377="Problem Call","Problem area; practice or call-sheet review.",IF(K377="Strong Candidate","Strong call-fit candidate; confirm on film.",IF(K377="Good Candidate","Good call-fit signal; confirm on film.","Mixed signal; review fit and execution on film."))))))))</f>
        <v>Track only; not enough sample.</v>
      </c>
      <c r="M377" s="8" t="s">
        <v>26</v>
      </c>
      <c r="N377" s="8"/>
      <c r="O377" s="8" t="s">
        <v>206</v>
      </c>
      <c r="P377" s="8"/>
      <c r="Q377" s="8"/>
      <c r="R377" s="8" t="s">
        <v>28</v>
      </c>
      <c r="S377" s="2" t="s">
        <v>207</v>
      </c>
      <c r="T377" s="2">
        <f>IF(C377=0,0,IF(C377&gt;=CALL_LOOKUP_BOARD!$B$7,IF(OR(K377="Problem Call",K377="Explosive Alert"),10000000,20000000),0)+IF(C377&gt;=CALL_LOOKUP_BOARD!$B$7,J377*1000+MIN(C377,999),C377*1000+J377)+0.00999700)</f>
        <v>1098.009997</v>
      </c>
      <c r="U377" s="2" t="str">
        <f>IF(C377=0,"",IF(COUNTIFS($S$375:$S$581,SUBSTITUTE(SUBSTITUTE(SUBSTITUTE(S377,"~","~~"),"*","~*"),"?","~?"),$T$375:$T$581,"&gt;"&amp;T377)=0,S377,""))</f>
        <v>6:1D 1-3|3:3X1|</v>
      </c>
    </row>
    <row r="378" spans="1:21" ht="38" customHeight="1">
      <c r="A378" s="8" t="s">
        <v>208</v>
      </c>
      <c r="B378" s="8" t="s">
        <v>32</v>
      </c>
      <c r="C378" s="12">
        <f>COUNTIFS('DEF_SELF_SCOUT_IMPORT'!$L$42:$L$1040,"Y",'DEF_SELF_SCOUT_IMPORT'!$E$42:$E$1040,SUBSTITUTE(SUBSTITUTE(SUBSTITUTE($B378,"~","~~"),"*","~*"),"?","~?"),'DEF_SELF_SCOUT_IMPORT'!$Q$42:$Q$1040,SUBSTITUTE(SUBSTITUTE(SUBSTITUTE($M378,"~","~~"),"*","~*"),"?","~?"),'DEF_SELF_SCOUT_IMPORT'!$G$42:$G$1040,SUBSTITUTE(SUBSTITUTE(SUBSTITUTE($O378,"~","~~"),"*","~*"),"?","~?"))</f>
        <v>1</v>
      </c>
      <c r="D378" s="10">
        <f>IF($C378=0,"",SUMIFS('DEF_SELF_SCOUT_IMPORT'!$J$42:$J$1040,'DEF_SELF_SCOUT_IMPORT'!$L$42:$L$1040,"Y",'DEF_SELF_SCOUT_IMPORT'!$E$42:$E$1040,SUBSTITUTE(SUBSTITUTE(SUBSTITUTE($B378,"~","~~"),"*","~*"),"?","~?"),'DEF_SELF_SCOUT_IMPORT'!$Q$42:$Q$1040,SUBSTITUTE(SUBSTITUTE(SUBSTITUTE($M378,"~","~~"),"*","~*"),"?","~?"),'DEF_SELF_SCOUT_IMPORT'!$G$42:$G$1040,SUBSTITUTE(SUBSTITUTE(SUBSTITUTE($O378,"~","~~"),"*","~*"),"?","~?"))/$C378)</f>
        <v>1.0</v>
      </c>
      <c r="E378" s="10">
        <f>IF($C378=0,"",SUMIFS('DEF_SELF_SCOUT_IMPORT'!$K$42:$K$1040,'DEF_SELF_SCOUT_IMPORT'!$L$42:$L$1040,"Y",'DEF_SELF_SCOUT_IMPORT'!$E$42:$E$1040,SUBSTITUTE(SUBSTITUTE(SUBSTITUTE($B378,"~","~~"),"*","~*"),"?","~?"),'DEF_SELF_SCOUT_IMPORT'!$Q$42:$Q$1040,SUBSTITUTE(SUBSTITUTE(SUBSTITUTE($M378,"~","~~"),"*","~*"),"?","~?"),'DEF_SELF_SCOUT_IMPORT'!$G$42:$G$1040,SUBSTITUTE(SUBSTITUTE(SUBSTITUTE($O378,"~","~~"),"*","~*"),"?","~?"))/$C378)</f>
        <v>0.0</v>
      </c>
      <c r="F378" s="11">
        <f>IF($C378=0,"",AVERAGEIFS('DEF_SELF_SCOUT_IMPORT'!$I$42:$I$1040,'DEF_SELF_SCOUT_IMPORT'!$L$42:$L$1040,"Y",'DEF_SELF_SCOUT_IMPORT'!$E$42:$E$1040,SUBSTITUTE(SUBSTITUTE(SUBSTITUTE($B378,"~","~~"),"*","~*"),"?","~?"),'DEF_SELF_SCOUT_IMPORT'!$Q$42:$Q$1040,SUBSTITUTE(SUBSTITUTE(SUBSTITUTE($M378,"~","~~"),"*","~*"),"?","~?"),'DEF_SELF_SCOUT_IMPORT'!$G$42:$G$1040,SUBSTITUTE(SUBSTITUTE(SUBSTITUTE($O378,"~","~~"),"*","~*"),"?","~?")))</f>
        <v>2.0</v>
      </c>
      <c r="G378" s="10">
        <f>IF($C378=0,"",COUNTIFS('DEF_SELF_SCOUT_IMPORT'!$L$42:$L$1040,"Y",'DEF_SELF_SCOUT_IMPORT'!$E$42:$E$1040,SUBSTITUTE(SUBSTITUTE(SUBSTITUTE($B378,"~","~~"),"*","~*"),"?","~?"),'DEF_SELF_SCOUT_IMPORT'!$Q$42:$Q$1040,SUBSTITUTE(SUBSTITUTE(SUBSTITUTE($M378,"~","~~"),"*","~*"),"?","~?"),'DEF_SELF_SCOUT_IMPORT'!$G$42:$G$1040,SUBSTITUTE(SUBSTITUTE(SUBSTITUTE($O378,"~","~~"),"*","~*"),"?","~?"),'DEF_SELF_SCOUT_IMPORT'!$H$42:$H$1040,"RUSH")/$C378)</f>
        <v>1.0</v>
      </c>
      <c r="H378" s="10">
        <f>IF($C378=0,"",COUNTIFS('DEF_SELF_SCOUT_IMPORT'!$L$42:$L$1040,"Y",'DEF_SELF_SCOUT_IMPORT'!$E$42:$E$1040,SUBSTITUTE(SUBSTITUTE(SUBSTITUTE($B378,"~","~~"),"*","~*"),"?","~?"),'DEF_SELF_SCOUT_IMPORT'!$Q$42:$Q$1040,SUBSTITUTE(SUBSTITUTE(SUBSTITUTE($M378,"~","~~"),"*","~*"),"?","~?"),'DEF_SELF_SCOUT_IMPORT'!$G$42:$G$1040,SUBSTITUTE(SUBSTITUTE(SUBSTITUTE($O378,"~","~~"),"*","~*"),"?","~?"),'DEF_SELF_SCOUT_IMPORT'!$H$42:$H$1040,"DROPBACK")/$C378)</f>
        <v>0.0</v>
      </c>
      <c r="I378" s="14" t="str">
        <f>IF(C378=0,"",IF(C378&lt;=2,"TRACK",IF(C378=3,"LOW",IF(C378&lt;=6,"MEDIUM","HIGH"))))</f>
        <v>TRACK</v>
      </c>
      <c r="J378" s="11">
        <f>IF(C378=0,"",ROUND(D378*70+(1-E378)*20+MAX(0,MIN(1,(10-F378)/10))*10,1))</f>
        <v>98.0</v>
      </c>
      <c r="K378" s="14" t="str">
        <f>IF(C378=0,"No Evidence",IF(C378&lt;=2,IF(E378&gt;0,"Explosive Alert","Track Only"),IF(C378=3,"Sample Watch",IF(E378&gt;=START_HERE!$B$31,"Explosive Alert",IF(J378&gt;=80,"Strong Candidate",IF(J378&gt;=65,"Good Candidate",IF(J378&gt;=50,"Mixed / Review","Problem Call")))))))</f>
        <v>Track Only</v>
      </c>
      <c r="L378" s="9" t="str">
        <f>IF(COUNTIFS('DEF_SELF_SCOUT_IMPORT'!$L$42:$L$1040,"Y",'DEF_SELF_SCOUT_IMPORT'!$E$42:$E$1040,SUBSTITUTE(SUBSTITUTE(SUBSTITUTE($B378,"~","~~"),"*","~*"),"?","~?"),'DEF_SELF_SCOUT_IMPORT'!$Q$42:$Q$1040,SUBSTITUTE(SUBSTITUTE(SUBSTITUTE($M378,"~","~~"),"*","~*"),"?","~?"),'DEF_SELF_SCOUT_IMPORT'!$G$42:$G$1040,SUBSTITUTE(SUBSTITUTE(SUBSTITUTE($O378,"~","~~"),"*","~*"),"?","~?"),'DEF_SELF_SCOUT_IMPORT'!$J$42:$J$1040,"")&gt;0,"Unscored clean outcome; review result tags before using score.",IF(C378=0,"No matching defensive reps; film confirmation needed.",IF(K378="Explosive Alert","Explosive risk; review clips before using as answer.",IF(C378&lt;=2,"Track only; not enough sample.",IF(C378=3,IF(E378&gt;0,"Sample watch with explosive exposure; review clips and build the sample.",IF(J378&gt;=65,"Good signal, but sample is limited.","Sample watch; review clips and build the sample.")),IF(K378="Problem Call","Problem area; practice or call-sheet review.",IF(K378="Strong Candidate","Strong call-fit candidate; confirm on film.",IF(K378="Good Candidate","Good call-fit signal; confirm on film.","Mixed signal; review fit and execution on film."))))))))</f>
        <v>Track only; not enough sample.</v>
      </c>
      <c r="M378" s="8" t="s">
        <v>31</v>
      </c>
      <c r="N378" s="8"/>
      <c r="O378" s="8" t="s">
        <v>203</v>
      </c>
      <c r="P378" s="8"/>
      <c r="Q378" s="8"/>
      <c r="R378" s="8" t="s">
        <v>28</v>
      </c>
      <c r="S378" s="2" t="s">
        <v>209</v>
      </c>
      <c r="T378" s="2">
        <f>IF(C378=0,0,IF(C378&gt;=CALL_LOOKUP_BOARD!$B$7,IF(OR(K378="Problem Call",K378="Explosive Alert"),10000000,20000000),0)+IF(C378&gt;=CALL_LOOKUP_BOARD!$B$7,J378*1000+MIN(C378,999),C378*1000+J378)+0.00999600)</f>
        <v>1098.009996</v>
      </c>
      <c r="U378" s="2" t="str">
        <f>IF(C378=0,"",IF(COUNTIFS($S$375:$S$581,SUBSTITUTE(SUBSTITUTE(SUBSTITUTE(S378,"~","~~"),"*","~*"),"?","~?"),$T$375:$T$581,"&gt;"&amp;T378)=0,S378,""))</f>
        <v>6:1D 11+|3:2X2|</v>
      </c>
    </row>
    <row r="379" spans="1:21" ht="38" customHeight="1">
      <c r="A379" s="8" t="s">
        <v>208</v>
      </c>
      <c r="B379" s="8" t="s">
        <v>35</v>
      </c>
      <c r="C379" s="12">
        <f>COUNTIFS('DEF_SELF_SCOUT_IMPORT'!$L$42:$L$1040,"Y",'DEF_SELF_SCOUT_IMPORT'!$E$42:$E$1040,SUBSTITUTE(SUBSTITUTE(SUBSTITUTE($B379,"~","~~"),"*","~*"),"?","~?"),'DEF_SELF_SCOUT_IMPORT'!$Q$42:$Q$1040,SUBSTITUTE(SUBSTITUTE(SUBSTITUTE($M379,"~","~~"),"*","~*"),"?","~?"),'DEF_SELF_SCOUT_IMPORT'!$G$42:$G$1040,SUBSTITUTE(SUBSTITUTE(SUBSTITUTE($O379,"~","~~"),"*","~*"),"?","~?"))</f>
        <v>1</v>
      </c>
      <c r="D379" s="10">
        <f>IF($C379=0,"",SUMIFS('DEF_SELF_SCOUT_IMPORT'!$J$42:$J$1040,'DEF_SELF_SCOUT_IMPORT'!$L$42:$L$1040,"Y",'DEF_SELF_SCOUT_IMPORT'!$E$42:$E$1040,SUBSTITUTE(SUBSTITUTE(SUBSTITUTE($B379,"~","~~"),"*","~*"),"?","~?"),'DEF_SELF_SCOUT_IMPORT'!$Q$42:$Q$1040,SUBSTITUTE(SUBSTITUTE(SUBSTITUTE($M379,"~","~~"),"*","~*"),"?","~?"),'DEF_SELF_SCOUT_IMPORT'!$G$42:$G$1040,SUBSTITUTE(SUBSTITUTE(SUBSTITUTE($O379,"~","~~"),"*","~*"),"?","~?"))/$C379)</f>
        <v>0.0</v>
      </c>
      <c r="E379" s="10">
        <f>IF($C379=0,"",SUMIFS('DEF_SELF_SCOUT_IMPORT'!$K$42:$K$1040,'DEF_SELF_SCOUT_IMPORT'!$L$42:$L$1040,"Y",'DEF_SELF_SCOUT_IMPORT'!$E$42:$E$1040,SUBSTITUTE(SUBSTITUTE(SUBSTITUTE($B379,"~","~~"),"*","~*"),"?","~?"),'DEF_SELF_SCOUT_IMPORT'!$Q$42:$Q$1040,SUBSTITUTE(SUBSTITUTE(SUBSTITUTE($M379,"~","~~"),"*","~*"),"?","~?"),'DEF_SELF_SCOUT_IMPORT'!$G$42:$G$1040,SUBSTITUTE(SUBSTITUTE(SUBSTITUTE($O379,"~","~~"),"*","~*"),"?","~?"))/$C379)</f>
        <v>0.0</v>
      </c>
      <c r="F379" s="11">
        <f>IF($C379=0,"",AVERAGEIFS('DEF_SELF_SCOUT_IMPORT'!$I$42:$I$1040,'DEF_SELF_SCOUT_IMPORT'!$L$42:$L$1040,"Y",'DEF_SELF_SCOUT_IMPORT'!$E$42:$E$1040,SUBSTITUTE(SUBSTITUTE(SUBSTITUTE($B379,"~","~~"),"*","~*"),"?","~?"),'DEF_SELF_SCOUT_IMPORT'!$Q$42:$Q$1040,SUBSTITUTE(SUBSTITUTE(SUBSTITUTE($M379,"~","~~"),"*","~*"),"?","~?"),'DEF_SELF_SCOUT_IMPORT'!$G$42:$G$1040,SUBSTITUTE(SUBSTITUTE(SUBSTITUTE($O379,"~","~~"),"*","~*"),"?","~?")))</f>
        <v>9.0</v>
      </c>
      <c r="G379" s="10">
        <f>IF($C379=0,"",COUNTIFS('DEF_SELF_SCOUT_IMPORT'!$L$42:$L$1040,"Y",'DEF_SELF_SCOUT_IMPORT'!$E$42:$E$1040,SUBSTITUTE(SUBSTITUTE(SUBSTITUTE($B379,"~","~~"),"*","~*"),"?","~?"),'DEF_SELF_SCOUT_IMPORT'!$Q$42:$Q$1040,SUBSTITUTE(SUBSTITUTE(SUBSTITUTE($M379,"~","~~"),"*","~*"),"?","~?"),'DEF_SELF_SCOUT_IMPORT'!$G$42:$G$1040,SUBSTITUTE(SUBSTITUTE(SUBSTITUTE($O379,"~","~~"),"*","~*"),"?","~?"),'DEF_SELF_SCOUT_IMPORT'!$H$42:$H$1040,"RUSH")/$C379)</f>
        <v>1.0</v>
      </c>
      <c r="H379" s="10">
        <f>IF($C379=0,"",COUNTIFS('DEF_SELF_SCOUT_IMPORT'!$L$42:$L$1040,"Y",'DEF_SELF_SCOUT_IMPORT'!$E$42:$E$1040,SUBSTITUTE(SUBSTITUTE(SUBSTITUTE($B379,"~","~~"),"*","~*"),"?","~?"),'DEF_SELF_SCOUT_IMPORT'!$Q$42:$Q$1040,SUBSTITUTE(SUBSTITUTE(SUBSTITUTE($M379,"~","~~"),"*","~*"),"?","~?"),'DEF_SELF_SCOUT_IMPORT'!$G$42:$G$1040,SUBSTITUTE(SUBSTITUTE(SUBSTITUTE($O379,"~","~~"),"*","~*"),"?","~?"),'DEF_SELF_SCOUT_IMPORT'!$H$42:$H$1040,"DROPBACK")/$C379)</f>
        <v>0.0</v>
      </c>
      <c r="I379" s="14" t="str">
        <f>IF(C379=0,"",IF(C379&lt;=2,"TRACK",IF(C379=3,"LOW",IF(C379&lt;=6,"MEDIUM","HIGH"))))</f>
        <v>TRACK</v>
      </c>
      <c r="J379" s="11">
        <f>IF(C379=0,"",ROUND(D379*70+(1-E379)*20+MAX(0,MIN(1,(10-F379)/10))*10,1))</f>
        <v>21.0</v>
      </c>
      <c r="K379" s="14" t="str">
        <f>IF(C379=0,"No Evidence",IF(C379&lt;=2,IF(E379&gt;0,"Explosive Alert","Track Only"),IF(C379=3,"Sample Watch",IF(E379&gt;=START_HERE!$B$31,"Explosive Alert",IF(J379&gt;=80,"Strong Candidate",IF(J379&gt;=65,"Good Candidate",IF(J379&gt;=50,"Mixed / Review","Problem Call")))))))</f>
        <v>Track Only</v>
      </c>
      <c r="L379" s="9" t="str">
        <f>IF(COUNTIFS('DEF_SELF_SCOUT_IMPORT'!$L$42:$L$1040,"Y",'DEF_SELF_SCOUT_IMPORT'!$E$42:$E$1040,SUBSTITUTE(SUBSTITUTE(SUBSTITUTE($B379,"~","~~"),"*","~*"),"?","~?"),'DEF_SELF_SCOUT_IMPORT'!$Q$42:$Q$1040,SUBSTITUTE(SUBSTITUTE(SUBSTITUTE($M379,"~","~~"),"*","~*"),"?","~?"),'DEF_SELF_SCOUT_IMPORT'!$G$42:$G$1040,SUBSTITUTE(SUBSTITUTE(SUBSTITUTE($O379,"~","~~"),"*","~*"),"?","~?"),'DEF_SELF_SCOUT_IMPORT'!$J$42:$J$1040,"")&gt;0,"Unscored clean outcome; review result tags before using score.",IF(C379=0,"No matching defensive reps; film confirmation needed.",IF(K379="Explosive Alert","Explosive risk; review clips before using as answer.",IF(C379&lt;=2,"Track only; not enough sample.",IF(C379=3,IF(E379&gt;0,"Sample watch with explosive exposure; review clips and build the sample.",IF(J379&gt;=65,"Good signal, but sample is limited.","Sample watch; review clips and build the sample.")),IF(K379="Problem Call","Problem area; practice or call-sheet review.",IF(K379="Strong Candidate","Strong call-fit candidate; confirm on film.",IF(K379="Good Candidate","Good call-fit signal; confirm on film.","Mixed signal; review fit and execution on film."))))))))</f>
        <v>Track only; not enough sample.</v>
      </c>
      <c r="M379" s="8" t="s">
        <v>31</v>
      </c>
      <c r="N379" s="8"/>
      <c r="O379" s="8" t="s">
        <v>203</v>
      </c>
      <c r="P379" s="8"/>
      <c r="Q379" s="8"/>
      <c r="R379" s="8" t="s">
        <v>28</v>
      </c>
      <c r="S379" s="2" t="s">
        <v>209</v>
      </c>
      <c r="T379" s="2">
        <f>IF(C379=0,0,IF(C379&gt;=CALL_LOOKUP_BOARD!$B$7,IF(OR(K379="Problem Call",K379="Explosive Alert"),10000000,20000000),0)+IF(C379&gt;=CALL_LOOKUP_BOARD!$B$7,J379*1000+MIN(C379,999),C379*1000+J379)+0.00999500)</f>
        <v>1021.009995</v>
      </c>
      <c r="U379" s="2">
        <f>IF(C379=0,"",IF(COUNTIFS($S$375:$S$581,SUBSTITUTE(SUBSTITUTE(SUBSTITUTE(S379,"~","~~"),"*","~*"),"?","~?"),$T$375:$T$581,"&gt;"&amp;T379)=0,S379,""))</f>
        <v/>
      </c>
    </row>
    <row r="380" spans="1:21" ht="38" customHeight="1">
      <c r="A380" s="8" t="s">
        <v>210</v>
      </c>
      <c r="B380" s="8" t="s">
        <v>34</v>
      </c>
      <c r="C380" s="12">
        <f>COUNTIFS('DEF_SELF_SCOUT_IMPORT'!$L$42:$L$1040,"Y",'DEF_SELF_SCOUT_IMPORT'!$E$42:$E$1040,SUBSTITUTE(SUBSTITUTE(SUBSTITUTE($B380,"~","~~"),"*","~*"),"?","~?"),'DEF_SELF_SCOUT_IMPORT'!$Q$42:$Q$1040,SUBSTITUTE(SUBSTITUTE(SUBSTITUTE($M380,"~","~~"),"*","~*"),"?","~?"),'DEF_SELF_SCOUT_IMPORT'!$G$42:$G$1040,SUBSTITUTE(SUBSTITUTE(SUBSTITUTE($O380,"~","~~"),"*","~*"),"?","~?"))</f>
        <v>1</v>
      </c>
      <c r="D380" s="10">
        <f>IF($C380=0,"",SUMIFS('DEF_SELF_SCOUT_IMPORT'!$J$42:$J$1040,'DEF_SELF_SCOUT_IMPORT'!$L$42:$L$1040,"Y",'DEF_SELF_SCOUT_IMPORT'!$E$42:$E$1040,SUBSTITUTE(SUBSTITUTE(SUBSTITUTE($B380,"~","~~"),"*","~*"),"?","~?"),'DEF_SELF_SCOUT_IMPORT'!$Q$42:$Q$1040,SUBSTITUTE(SUBSTITUTE(SUBSTITUTE($M380,"~","~~"),"*","~*"),"?","~?"),'DEF_SELF_SCOUT_IMPORT'!$G$42:$G$1040,SUBSTITUTE(SUBSTITUTE(SUBSTITUTE($O380,"~","~~"),"*","~*"),"?","~?"))/$C380)</f>
        <v>1.0</v>
      </c>
      <c r="E380" s="10">
        <f>IF($C380=0,"",SUMIFS('DEF_SELF_SCOUT_IMPORT'!$K$42:$K$1040,'DEF_SELF_SCOUT_IMPORT'!$L$42:$L$1040,"Y",'DEF_SELF_SCOUT_IMPORT'!$E$42:$E$1040,SUBSTITUTE(SUBSTITUTE(SUBSTITUTE($B380,"~","~~"),"*","~*"),"?","~?"),'DEF_SELF_SCOUT_IMPORT'!$Q$42:$Q$1040,SUBSTITUTE(SUBSTITUTE(SUBSTITUTE($M380,"~","~~"),"*","~*"),"?","~?"),'DEF_SELF_SCOUT_IMPORT'!$G$42:$G$1040,SUBSTITUTE(SUBSTITUTE(SUBSTITUTE($O380,"~","~~"),"*","~*"),"?","~?"))/$C380)</f>
        <v>0.0</v>
      </c>
      <c r="F380" s="11">
        <f>IF($C380=0,"",AVERAGEIFS('DEF_SELF_SCOUT_IMPORT'!$I$42:$I$1040,'DEF_SELF_SCOUT_IMPORT'!$L$42:$L$1040,"Y",'DEF_SELF_SCOUT_IMPORT'!$E$42:$E$1040,SUBSTITUTE(SUBSTITUTE(SUBSTITUTE($B380,"~","~~"),"*","~*"),"?","~?"),'DEF_SELF_SCOUT_IMPORT'!$Q$42:$Q$1040,SUBSTITUTE(SUBSTITUTE(SUBSTITUTE($M380,"~","~~"),"*","~*"),"?","~?"),'DEF_SELF_SCOUT_IMPORT'!$G$42:$G$1040,SUBSTITUTE(SUBSTITUTE(SUBSTITUTE($O380,"~","~~"),"*","~*"),"?","~?")))</f>
        <v>3.0</v>
      </c>
      <c r="G380" s="10">
        <f>IF($C380=0,"",COUNTIFS('DEF_SELF_SCOUT_IMPORT'!$L$42:$L$1040,"Y",'DEF_SELF_SCOUT_IMPORT'!$E$42:$E$1040,SUBSTITUTE(SUBSTITUTE(SUBSTITUTE($B380,"~","~~"),"*","~*"),"?","~?"),'DEF_SELF_SCOUT_IMPORT'!$Q$42:$Q$1040,SUBSTITUTE(SUBSTITUTE(SUBSTITUTE($M380,"~","~~"),"*","~*"),"?","~?"),'DEF_SELF_SCOUT_IMPORT'!$G$42:$G$1040,SUBSTITUTE(SUBSTITUTE(SUBSTITUTE($O380,"~","~~"),"*","~*"),"?","~?"),'DEF_SELF_SCOUT_IMPORT'!$H$42:$H$1040,"RUSH")/$C380)</f>
        <v>1.0</v>
      </c>
      <c r="H380" s="10">
        <f>IF($C380=0,"",COUNTIFS('DEF_SELF_SCOUT_IMPORT'!$L$42:$L$1040,"Y",'DEF_SELF_SCOUT_IMPORT'!$E$42:$E$1040,SUBSTITUTE(SUBSTITUTE(SUBSTITUTE($B380,"~","~~"),"*","~*"),"?","~?"),'DEF_SELF_SCOUT_IMPORT'!$Q$42:$Q$1040,SUBSTITUTE(SUBSTITUTE(SUBSTITUTE($M380,"~","~~"),"*","~*"),"?","~?"),'DEF_SELF_SCOUT_IMPORT'!$G$42:$G$1040,SUBSTITUTE(SUBSTITUTE(SUBSTITUTE($O380,"~","~~"),"*","~*"),"?","~?"),'DEF_SELF_SCOUT_IMPORT'!$H$42:$H$1040,"DROPBACK")/$C380)</f>
        <v>0.0</v>
      </c>
      <c r="I380" s="14" t="str">
        <f>IF(C380=0,"",IF(C380&lt;=2,"TRACK",IF(C380=3,"LOW",IF(C380&lt;=6,"MEDIUM","HIGH"))))</f>
        <v>TRACK</v>
      </c>
      <c r="J380" s="11">
        <f>IF(C380=0,"",ROUND(D380*70+(1-E380)*20+MAX(0,MIN(1,(10-F380)/10))*10,1))</f>
        <v>97.0</v>
      </c>
      <c r="K380" s="14" t="str">
        <f>IF(C380=0,"No Evidence",IF(C380&lt;=2,IF(E380&gt;0,"Explosive Alert","Track Only"),IF(C380=3,"Sample Watch",IF(E380&gt;=START_HERE!$B$31,"Explosive Alert",IF(J380&gt;=80,"Strong Candidate",IF(J380&gt;=65,"Good Candidate",IF(J380&gt;=50,"Mixed / Review","Problem Call")))))))</f>
        <v>Track Only</v>
      </c>
      <c r="L380" s="9" t="str">
        <f>IF(COUNTIFS('DEF_SELF_SCOUT_IMPORT'!$L$42:$L$1040,"Y",'DEF_SELF_SCOUT_IMPORT'!$E$42:$E$1040,SUBSTITUTE(SUBSTITUTE(SUBSTITUTE($B380,"~","~~"),"*","~*"),"?","~?"),'DEF_SELF_SCOUT_IMPORT'!$Q$42:$Q$1040,SUBSTITUTE(SUBSTITUTE(SUBSTITUTE($M380,"~","~~"),"*","~*"),"?","~?"),'DEF_SELF_SCOUT_IMPORT'!$G$42:$G$1040,SUBSTITUTE(SUBSTITUTE(SUBSTITUTE($O380,"~","~~"),"*","~*"),"?","~?"),'DEF_SELF_SCOUT_IMPORT'!$J$42:$J$1040,"")&gt;0,"Unscored clean outcome; review result tags before using score.",IF(C380=0,"No matching defensive reps; film confirmation needed.",IF(K380="Explosive Alert","Explosive risk; review clips before using as answer.",IF(C380&lt;=2,"Track only; not enough sample.",IF(C380=3,IF(E380&gt;0,"Sample watch with explosive exposure; review clips and build the sample.",IF(J380&gt;=65,"Good signal, but sample is limited.","Sample watch; review clips and build the sample.")),IF(K380="Problem Call","Problem area; practice or call-sheet review.",IF(K380="Strong Candidate","Strong call-fit candidate; confirm on film.",IF(K380="Good Candidate","Good call-fit signal; confirm on film.","Mixed signal; review fit and execution on film."))))))))</f>
        <v>Track only; not enough sample.</v>
      </c>
      <c r="M380" s="8" t="s">
        <v>31</v>
      </c>
      <c r="N380" s="8"/>
      <c r="O380" s="8" t="s">
        <v>206</v>
      </c>
      <c r="P380" s="8"/>
      <c r="Q380" s="8"/>
      <c r="R380" s="8" t="s">
        <v>28</v>
      </c>
      <c r="S380" s="2" t="s">
        <v>211</v>
      </c>
      <c r="T380" s="2">
        <f>IF(C380=0,0,IF(C380&gt;=CALL_LOOKUP_BOARD!$B$7,IF(OR(K380="Problem Call",K380="Explosive Alert"),10000000,20000000),0)+IF(C380&gt;=CALL_LOOKUP_BOARD!$B$7,J380*1000+MIN(C380,999),C380*1000+J380)+0.00999400)</f>
        <v>1097.009994</v>
      </c>
      <c r="U380" s="2" t="str">
        <f>IF(C380=0,"",IF(COUNTIFS($S$375:$S$581,SUBSTITUTE(SUBSTITUTE(SUBSTITUTE(S380,"~","~~"),"*","~*"),"?","~?"),$T$375:$T$581,"&gt;"&amp;T380)=0,S380,""))</f>
        <v>6:1D 11+|3:3X1|</v>
      </c>
    </row>
    <row r="381" spans="1:21" ht="38" customHeight="1">
      <c r="A381" s="8" t="s">
        <v>212</v>
      </c>
      <c r="B381" s="8" t="s">
        <v>35</v>
      </c>
      <c r="C381" s="12">
        <f>COUNTIFS('DEF_SELF_SCOUT_IMPORT'!$L$42:$L$1040,"Y",'DEF_SELF_SCOUT_IMPORT'!$E$42:$E$1040,SUBSTITUTE(SUBSTITUTE(SUBSTITUTE($B381,"~","~~"),"*","~*"),"?","~?"),'DEF_SELF_SCOUT_IMPORT'!$Q$42:$Q$1040,SUBSTITUTE(SUBSTITUTE(SUBSTITUTE($M381,"~","~~"),"*","~*"),"?","~?"),'DEF_SELF_SCOUT_IMPORT'!$G$42:$G$1040,SUBSTITUTE(SUBSTITUTE(SUBSTITUTE($O381,"~","~~"),"*","~*"),"?","~?"))</f>
        <v>1</v>
      </c>
      <c r="D381" s="10">
        <f>IF($C381=0,"",SUMIFS('DEF_SELF_SCOUT_IMPORT'!$J$42:$J$1040,'DEF_SELF_SCOUT_IMPORT'!$L$42:$L$1040,"Y",'DEF_SELF_SCOUT_IMPORT'!$E$42:$E$1040,SUBSTITUTE(SUBSTITUTE(SUBSTITUTE($B381,"~","~~"),"*","~*"),"?","~?"),'DEF_SELF_SCOUT_IMPORT'!$Q$42:$Q$1040,SUBSTITUTE(SUBSTITUTE(SUBSTITUTE($M381,"~","~~"),"*","~*"),"?","~?"),'DEF_SELF_SCOUT_IMPORT'!$G$42:$G$1040,SUBSTITUTE(SUBSTITUTE(SUBSTITUTE($O381,"~","~~"),"*","~*"),"?","~?"))/$C381)</f>
        <v>1.0</v>
      </c>
      <c r="E381" s="10">
        <f>IF($C381=0,"",SUMIFS('DEF_SELF_SCOUT_IMPORT'!$K$42:$K$1040,'DEF_SELF_SCOUT_IMPORT'!$L$42:$L$1040,"Y",'DEF_SELF_SCOUT_IMPORT'!$E$42:$E$1040,SUBSTITUTE(SUBSTITUTE(SUBSTITUTE($B381,"~","~~"),"*","~*"),"?","~?"),'DEF_SELF_SCOUT_IMPORT'!$Q$42:$Q$1040,SUBSTITUTE(SUBSTITUTE(SUBSTITUTE($M381,"~","~~"),"*","~*"),"?","~?"),'DEF_SELF_SCOUT_IMPORT'!$G$42:$G$1040,SUBSTITUTE(SUBSTITUTE(SUBSTITUTE($O381,"~","~~"),"*","~*"),"?","~?"))/$C381)</f>
        <v>0.0</v>
      </c>
      <c r="F381" s="11">
        <f>IF($C381=0,"",AVERAGEIFS('DEF_SELF_SCOUT_IMPORT'!$I$42:$I$1040,'DEF_SELF_SCOUT_IMPORT'!$L$42:$L$1040,"Y",'DEF_SELF_SCOUT_IMPORT'!$E$42:$E$1040,SUBSTITUTE(SUBSTITUTE(SUBSTITUTE($B381,"~","~~"),"*","~*"),"?","~?"),'DEF_SELF_SCOUT_IMPORT'!$Q$42:$Q$1040,SUBSTITUTE(SUBSTITUTE(SUBSTITUTE($M381,"~","~~"),"*","~*"),"?","~?"),'DEF_SELF_SCOUT_IMPORT'!$G$42:$G$1040,SUBSTITUTE(SUBSTITUTE(SUBSTITUTE($O381,"~","~~"),"*","~*"),"?","~?")))</f>
        <v>5.0</v>
      </c>
      <c r="G381" s="10">
        <f>IF($C381=0,"",COUNTIFS('DEF_SELF_SCOUT_IMPORT'!$L$42:$L$1040,"Y",'DEF_SELF_SCOUT_IMPORT'!$E$42:$E$1040,SUBSTITUTE(SUBSTITUTE(SUBSTITUTE($B381,"~","~~"),"*","~*"),"?","~?"),'DEF_SELF_SCOUT_IMPORT'!$Q$42:$Q$1040,SUBSTITUTE(SUBSTITUTE(SUBSTITUTE($M381,"~","~~"),"*","~*"),"?","~?"),'DEF_SELF_SCOUT_IMPORT'!$G$42:$G$1040,SUBSTITUTE(SUBSTITUTE(SUBSTITUTE($O381,"~","~~"),"*","~*"),"?","~?"),'DEF_SELF_SCOUT_IMPORT'!$H$42:$H$1040,"RUSH")/$C381)</f>
        <v>0.0</v>
      </c>
      <c r="H381" s="10">
        <f>IF($C381=0,"",COUNTIFS('DEF_SELF_SCOUT_IMPORT'!$L$42:$L$1040,"Y",'DEF_SELF_SCOUT_IMPORT'!$E$42:$E$1040,SUBSTITUTE(SUBSTITUTE(SUBSTITUTE($B381,"~","~~"),"*","~*"),"?","~?"),'DEF_SELF_SCOUT_IMPORT'!$Q$42:$Q$1040,SUBSTITUTE(SUBSTITUTE(SUBSTITUTE($M381,"~","~~"),"*","~*"),"?","~?"),'DEF_SELF_SCOUT_IMPORT'!$G$42:$G$1040,SUBSTITUTE(SUBSTITUTE(SUBSTITUTE($O381,"~","~~"),"*","~*"),"?","~?"),'DEF_SELF_SCOUT_IMPORT'!$H$42:$H$1040,"DROPBACK")/$C381)</f>
        <v>1.0</v>
      </c>
      <c r="I381" s="14" t="str">
        <f>IF(C381=0,"",IF(C381&lt;=2,"TRACK",IF(C381=3,"LOW",IF(C381&lt;=6,"MEDIUM","HIGH"))))</f>
        <v>TRACK</v>
      </c>
      <c r="J381" s="11">
        <f>IF(C381=0,"",ROUND(D381*70+(1-E381)*20+MAX(0,MIN(1,(10-F381)/10))*10,1))</f>
        <v>95.0</v>
      </c>
      <c r="K381" s="14" t="str">
        <f>IF(C381=0,"No Evidence",IF(C381&lt;=2,IF(E381&gt;0,"Explosive Alert","Track Only"),IF(C381=3,"Sample Watch",IF(E381&gt;=START_HERE!$B$31,"Explosive Alert",IF(J381&gt;=80,"Strong Candidate",IF(J381&gt;=65,"Good Candidate",IF(J381&gt;=50,"Mixed / Review","Problem Call")))))))</f>
        <v>Track Only</v>
      </c>
      <c r="L381" s="9" t="str">
        <f>IF(COUNTIFS('DEF_SELF_SCOUT_IMPORT'!$L$42:$L$1040,"Y",'DEF_SELF_SCOUT_IMPORT'!$E$42:$E$1040,SUBSTITUTE(SUBSTITUTE(SUBSTITUTE($B381,"~","~~"),"*","~*"),"?","~?"),'DEF_SELF_SCOUT_IMPORT'!$Q$42:$Q$1040,SUBSTITUTE(SUBSTITUTE(SUBSTITUTE($M381,"~","~~"),"*","~*"),"?","~?"),'DEF_SELF_SCOUT_IMPORT'!$G$42:$G$1040,SUBSTITUTE(SUBSTITUTE(SUBSTITUTE($O381,"~","~~"),"*","~*"),"?","~?"),'DEF_SELF_SCOUT_IMPORT'!$J$42:$J$1040,"")&gt;0,"Unscored clean outcome; review result tags before using score.",IF(C381=0,"No matching defensive reps; film confirmation needed.",IF(K381="Explosive Alert","Explosive risk; review clips before using as answer.",IF(C381&lt;=2,"Track only; not enough sample.",IF(C381=3,IF(E381&gt;0,"Sample watch with explosive exposure; review clips and build the sample.",IF(J381&gt;=65,"Good signal, but sample is limited.","Sample watch; review clips and build the sample.")),IF(K381="Problem Call","Problem area; practice or call-sheet review.",IF(K381="Strong Candidate","Strong call-fit candidate; confirm on film.",IF(K381="Good Candidate","Good call-fit signal; confirm on film.","Mixed signal; review fit and execution on film."))))))))</f>
        <v>Track only; not enough sample.</v>
      </c>
      <c r="M381" s="8" t="s">
        <v>36</v>
      </c>
      <c r="N381" s="8"/>
      <c r="O381" s="8" t="s">
        <v>203</v>
      </c>
      <c r="P381" s="8"/>
      <c r="Q381" s="8"/>
      <c r="R381" s="8" t="s">
        <v>28</v>
      </c>
      <c r="S381" s="2" t="s">
        <v>213</v>
      </c>
      <c r="T381" s="2">
        <f>IF(C381=0,0,IF(C381&gt;=CALL_LOOKUP_BOARD!$B$7,IF(OR(K381="Problem Call",K381="Explosive Alert"),10000000,20000000),0)+IF(C381&gt;=CALL_LOOKUP_BOARD!$B$7,J381*1000+MIN(C381,999),C381*1000+J381)+0.00999300)</f>
        <v>1095.009993</v>
      </c>
      <c r="U381" s="2" t="str">
        <f>IF(C381=0,"",IF(COUNTIFS($S$375:$S$581,SUBSTITUTE(SUBSTITUTE(SUBSTITUTE(S381,"~","~~"),"*","~*"),"?","~?"),$T$375:$T$581,"&gt;"&amp;T381)=0,S381,""))</f>
        <v>6:1D 4-6|3:2X2|</v>
      </c>
    </row>
    <row r="382" spans="1:21" ht="38" customHeight="1">
      <c r="A382" s="8" t="s">
        <v>214</v>
      </c>
      <c r="B382" s="8" t="s">
        <v>37</v>
      </c>
      <c r="C382" s="12">
        <f>COUNTIFS('DEF_SELF_SCOUT_IMPORT'!$L$42:$L$1040,"Y",'DEF_SELF_SCOUT_IMPORT'!$E$42:$E$1040,SUBSTITUTE(SUBSTITUTE(SUBSTITUTE($B382,"~","~~"),"*","~*"),"?","~?"),'DEF_SELF_SCOUT_IMPORT'!$Q$42:$Q$1040,SUBSTITUTE(SUBSTITUTE(SUBSTITUTE($M382,"~","~~"),"*","~*"),"?","~?"),'DEF_SELF_SCOUT_IMPORT'!$G$42:$G$1040,SUBSTITUTE(SUBSTITUTE(SUBSTITUTE($O382,"~","~~"),"*","~*"),"?","~?"))</f>
        <v>1</v>
      </c>
      <c r="D382" s="10">
        <f>IF($C382=0,"",SUMIFS('DEF_SELF_SCOUT_IMPORT'!$J$42:$J$1040,'DEF_SELF_SCOUT_IMPORT'!$L$42:$L$1040,"Y",'DEF_SELF_SCOUT_IMPORT'!$E$42:$E$1040,SUBSTITUTE(SUBSTITUTE(SUBSTITUTE($B382,"~","~~"),"*","~*"),"?","~?"),'DEF_SELF_SCOUT_IMPORT'!$Q$42:$Q$1040,SUBSTITUTE(SUBSTITUTE(SUBSTITUTE($M382,"~","~~"),"*","~*"),"?","~?"),'DEF_SELF_SCOUT_IMPORT'!$G$42:$G$1040,SUBSTITUTE(SUBSTITUTE(SUBSTITUTE($O382,"~","~~"),"*","~*"),"?","~?"))/$C382)</f>
        <v>0.0</v>
      </c>
      <c r="E382" s="10">
        <f>IF($C382=0,"",SUMIFS('DEF_SELF_SCOUT_IMPORT'!$K$42:$K$1040,'DEF_SELF_SCOUT_IMPORT'!$L$42:$L$1040,"Y",'DEF_SELF_SCOUT_IMPORT'!$E$42:$E$1040,SUBSTITUTE(SUBSTITUTE(SUBSTITUTE($B382,"~","~~"),"*","~*"),"?","~?"),'DEF_SELF_SCOUT_IMPORT'!$Q$42:$Q$1040,SUBSTITUTE(SUBSTITUTE(SUBSTITUTE($M382,"~","~~"),"*","~*"),"?","~?"),'DEF_SELF_SCOUT_IMPORT'!$G$42:$G$1040,SUBSTITUTE(SUBSTITUTE(SUBSTITUTE($O382,"~","~~"),"*","~*"),"?","~?"))/$C382)</f>
        <v>0.0</v>
      </c>
      <c r="F382" s="11">
        <f>IF($C382=0,"",AVERAGEIFS('DEF_SELF_SCOUT_IMPORT'!$I$42:$I$1040,'DEF_SELF_SCOUT_IMPORT'!$L$42:$L$1040,"Y",'DEF_SELF_SCOUT_IMPORT'!$E$42:$E$1040,SUBSTITUTE(SUBSTITUTE(SUBSTITUTE($B382,"~","~~"),"*","~*"),"?","~?"),'DEF_SELF_SCOUT_IMPORT'!$Q$42:$Q$1040,SUBSTITUTE(SUBSTITUTE(SUBSTITUTE($M382,"~","~~"),"*","~*"),"?","~?"),'DEF_SELF_SCOUT_IMPORT'!$G$42:$G$1040,SUBSTITUTE(SUBSTITUTE(SUBSTITUTE($O382,"~","~~"),"*","~*"),"?","~?")))</f>
        <v>5.0</v>
      </c>
      <c r="G382" s="10">
        <f>IF($C382=0,"",COUNTIFS('DEF_SELF_SCOUT_IMPORT'!$L$42:$L$1040,"Y",'DEF_SELF_SCOUT_IMPORT'!$E$42:$E$1040,SUBSTITUTE(SUBSTITUTE(SUBSTITUTE($B382,"~","~~"),"*","~*"),"?","~?"),'DEF_SELF_SCOUT_IMPORT'!$Q$42:$Q$1040,SUBSTITUTE(SUBSTITUTE(SUBSTITUTE($M382,"~","~~"),"*","~*"),"?","~?"),'DEF_SELF_SCOUT_IMPORT'!$G$42:$G$1040,SUBSTITUTE(SUBSTITUTE(SUBSTITUTE($O382,"~","~~"),"*","~*"),"?","~?"),'DEF_SELF_SCOUT_IMPORT'!$H$42:$H$1040,"RUSH")/$C382)</f>
        <v>0.0</v>
      </c>
      <c r="H382" s="10">
        <f>IF($C382=0,"",COUNTIFS('DEF_SELF_SCOUT_IMPORT'!$L$42:$L$1040,"Y",'DEF_SELF_SCOUT_IMPORT'!$E$42:$E$1040,SUBSTITUTE(SUBSTITUTE(SUBSTITUTE($B382,"~","~~"),"*","~*"),"?","~?"),'DEF_SELF_SCOUT_IMPORT'!$Q$42:$Q$1040,SUBSTITUTE(SUBSTITUTE(SUBSTITUTE($M382,"~","~~"),"*","~*"),"?","~?"),'DEF_SELF_SCOUT_IMPORT'!$G$42:$G$1040,SUBSTITUTE(SUBSTITUTE(SUBSTITUTE($O382,"~","~~"),"*","~*"),"?","~?"),'DEF_SELF_SCOUT_IMPORT'!$H$42:$H$1040,"DROPBACK")/$C382)</f>
        <v>0.0</v>
      </c>
      <c r="I382" s="14" t="str">
        <f>IF(C382=0,"",IF(C382&lt;=2,"TRACK",IF(C382=3,"LOW",IF(C382&lt;=6,"MEDIUM","HIGH"))))</f>
        <v>TRACK</v>
      </c>
      <c r="J382" s="11">
        <f>IF(C382=0,"",ROUND(D382*70+(1-E382)*20+MAX(0,MIN(1,(10-F382)/10))*10,1))</f>
        <v>25.0</v>
      </c>
      <c r="K382" s="14" t="str">
        <f>IF(C382=0,"No Evidence",IF(C382&lt;=2,IF(E382&gt;0,"Explosive Alert","Track Only"),IF(C382=3,"Sample Watch",IF(E382&gt;=START_HERE!$B$31,"Explosive Alert",IF(J382&gt;=80,"Strong Candidate",IF(J382&gt;=65,"Good Candidate",IF(J382&gt;=50,"Mixed / Review","Problem Call")))))))</f>
        <v>Track Only</v>
      </c>
      <c r="L382" s="9" t="str">
        <f>IF(COUNTIFS('DEF_SELF_SCOUT_IMPORT'!$L$42:$L$1040,"Y",'DEF_SELF_SCOUT_IMPORT'!$E$42:$E$1040,SUBSTITUTE(SUBSTITUTE(SUBSTITUTE($B382,"~","~~"),"*","~*"),"?","~?"),'DEF_SELF_SCOUT_IMPORT'!$Q$42:$Q$1040,SUBSTITUTE(SUBSTITUTE(SUBSTITUTE($M382,"~","~~"),"*","~*"),"?","~?"),'DEF_SELF_SCOUT_IMPORT'!$G$42:$G$1040,SUBSTITUTE(SUBSTITUTE(SUBSTITUTE($O382,"~","~~"),"*","~*"),"?","~?"),'DEF_SELF_SCOUT_IMPORT'!$J$42:$J$1040,"")&gt;0,"Unscored clean outcome; review result tags before using score.",IF(C382=0,"No matching defensive reps; film confirmation needed.",IF(K382="Explosive Alert","Explosive risk; review clips before using as answer.",IF(C382&lt;=2,"Track only; not enough sample.",IF(C382=3,IF(E382&gt;0,"Sample watch with explosive exposure; review clips and build the sample.",IF(J382&gt;=65,"Good signal, but sample is limited.","Sample watch; review clips and build the sample.")),IF(K382="Problem Call","Problem area; practice or call-sheet review.",IF(K382="Strong Candidate","Strong call-fit candidate; confirm on film.",IF(K382="Good Candidate","Good call-fit signal; confirm on film.","Mixed signal; review fit and execution on film."))))))))</f>
        <v>Track only; not enough sample.</v>
      </c>
      <c r="M382" s="8" t="s">
        <v>36</v>
      </c>
      <c r="N382" s="8"/>
      <c r="O382" s="8" t="s">
        <v>215</v>
      </c>
      <c r="P382" s="8"/>
      <c r="Q382" s="8"/>
      <c r="R382" s="8" t="s">
        <v>28</v>
      </c>
      <c r="S382" s="2" t="s">
        <v>216</v>
      </c>
      <c r="T382" s="2">
        <f>IF(C382=0,0,IF(C382&gt;=CALL_LOOKUP_BOARD!$B$7,IF(OR(K382="Problem Call",K382="Explosive Alert"),10000000,20000000),0)+IF(C382&gt;=CALL_LOOKUP_BOARD!$B$7,J382*1000+MIN(C382,999),C382*1000+J382)+0.00999200)</f>
        <v>1025.009992</v>
      </c>
      <c r="U382" s="2" t="str">
        <f>IF(C382=0,"",IF(COUNTIFS($S$375:$S$581,SUBSTITUTE(SUBSTITUTE(SUBSTITUTE(S382,"~","~~"),"*","~*"),"?","~?"),$T$375:$T$581,"&gt;"&amp;T382)=0,S382,""))</f>
        <v>6:1D 4-6|3:4X1|</v>
      </c>
    </row>
    <row r="383" spans="1:21" ht="38" customHeight="1">
      <c r="A383" s="8" t="s">
        <v>217</v>
      </c>
      <c r="B383" s="8" t="s">
        <v>40</v>
      </c>
      <c r="C383" s="12">
        <f>COUNTIFS('DEF_SELF_SCOUT_IMPORT'!$L$42:$L$1040,"Y",'DEF_SELF_SCOUT_IMPORT'!$E$42:$E$1040,SUBSTITUTE(SUBSTITUTE(SUBSTITUTE($B383,"~","~~"),"*","~*"),"?","~?"),'DEF_SELF_SCOUT_IMPORT'!$Q$42:$Q$1040,SUBSTITUTE(SUBSTITUTE(SUBSTITUTE($M383,"~","~~"),"*","~*"),"?","~?"),'DEF_SELF_SCOUT_IMPORT'!$G$42:$G$1040,SUBSTITUTE(SUBSTITUTE(SUBSTITUTE($O383,"~","~~"),"*","~*"),"?","~?"))</f>
        <v>1</v>
      </c>
      <c r="D383" s="10">
        <f>IF($C383=0,"",SUMIFS('DEF_SELF_SCOUT_IMPORT'!$J$42:$J$1040,'DEF_SELF_SCOUT_IMPORT'!$L$42:$L$1040,"Y",'DEF_SELF_SCOUT_IMPORT'!$E$42:$E$1040,SUBSTITUTE(SUBSTITUTE(SUBSTITUTE($B383,"~","~~"),"*","~*"),"?","~?"),'DEF_SELF_SCOUT_IMPORT'!$Q$42:$Q$1040,SUBSTITUTE(SUBSTITUTE(SUBSTITUTE($M383,"~","~~"),"*","~*"),"?","~?"),'DEF_SELF_SCOUT_IMPORT'!$G$42:$G$1040,SUBSTITUTE(SUBSTITUTE(SUBSTITUTE($O383,"~","~~"),"*","~*"),"?","~?"))/$C383)</f>
        <v>0.0</v>
      </c>
      <c r="E383" s="10">
        <f>IF($C383=0,"",SUMIFS('DEF_SELF_SCOUT_IMPORT'!$K$42:$K$1040,'DEF_SELF_SCOUT_IMPORT'!$L$42:$L$1040,"Y",'DEF_SELF_SCOUT_IMPORT'!$E$42:$E$1040,SUBSTITUTE(SUBSTITUTE(SUBSTITUTE($B383,"~","~~"),"*","~*"),"?","~?"),'DEF_SELF_SCOUT_IMPORT'!$Q$42:$Q$1040,SUBSTITUTE(SUBSTITUTE(SUBSTITUTE($M383,"~","~~"),"*","~*"),"?","~?"),'DEF_SELF_SCOUT_IMPORT'!$G$42:$G$1040,SUBSTITUTE(SUBSTITUTE(SUBSTITUTE($O383,"~","~~"),"*","~*"),"?","~?"))/$C383)</f>
        <v>0.0</v>
      </c>
      <c r="F383" s="11">
        <f>IF($C383=0,"",AVERAGEIFS('DEF_SELF_SCOUT_IMPORT'!$I$42:$I$1040,'DEF_SELF_SCOUT_IMPORT'!$L$42:$L$1040,"Y",'DEF_SELF_SCOUT_IMPORT'!$E$42:$E$1040,SUBSTITUTE(SUBSTITUTE(SUBSTITUTE($B383,"~","~~"),"*","~*"),"?","~?"),'DEF_SELF_SCOUT_IMPORT'!$Q$42:$Q$1040,SUBSTITUTE(SUBSTITUTE(SUBSTITUTE($M383,"~","~~"),"*","~*"),"?","~?"),'DEF_SELF_SCOUT_IMPORT'!$G$42:$G$1040,SUBSTITUTE(SUBSTITUTE(SUBSTITUTE($O383,"~","~~"),"*","~*"),"?","~?")))</f>
        <v>5.0</v>
      </c>
      <c r="G383" s="10">
        <f>IF($C383=0,"",COUNTIFS('DEF_SELF_SCOUT_IMPORT'!$L$42:$L$1040,"Y",'DEF_SELF_SCOUT_IMPORT'!$E$42:$E$1040,SUBSTITUTE(SUBSTITUTE(SUBSTITUTE($B383,"~","~~"),"*","~*"),"?","~?"),'DEF_SELF_SCOUT_IMPORT'!$Q$42:$Q$1040,SUBSTITUTE(SUBSTITUTE(SUBSTITUTE($M383,"~","~~"),"*","~*"),"?","~?"),'DEF_SELF_SCOUT_IMPORT'!$G$42:$G$1040,SUBSTITUTE(SUBSTITUTE(SUBSTITUTE($O383,"~","~~"),"*","~*"),"?","~?"),'DEF_SELF_SCOUT_IMPORT'!$H$42:$H$1040,"RUSH")/$C383)</f>
        <v>1.0</v>
      </c>
      <c r="H383" s="10">
        <f>IF($C383=0,"",COUNTIFS('DEF_SELF_SCOUT_IMPORT'!$L$42:$L$1040,"Y",'DEF_SELF_SCOUT_IMPORT'!$E$42:$E$1040,SUBSTITUTE(SUBSTITUTE(SUBSTITUTE($B383,"~","~~"),"*","~*"),"?","~?"),'DEF_SELF_SCOUT_IMPORT'!$Q$42:$Q$1040,SUBSTITUTE(SUBSTITUTE(SUBSTITUTE($M383,"~","~~"),"*","~*"),"?","~?"),'DEF_SELF_SCOUT_IMPORT'!$G$42:$G$1040,SUBSTITUTE(SUBSTITUTE(SUBSTITUTE($O383,"~","~~"),"*","~*"),"?","~?"),'DEF_SELF_SCOUT_IMPORT'!$H$42:$H$1040,"DROPBACK")/$C383)</f>
        <v>0.0</v>
      </c>
      <c r="I383" s="14" t="str">
        <f>IF(C383=0,"",IF(C383&lt;=2,"TRACK",IF(C383=3,"LOW",IF(C383&lt;=6,"MEDIUM","HIGH"))))</f>
        <v>TRACK</v>
      </c>
      <c r="J383" s="11">
        <f>IF(C383=0,"",ROUND(D383*70+(1-E383)*20+MAX(0,MIN(1,(10-F383)/10))*10,1))</f>
        <v>25.0</v>
      </c>
      <c r="K383" s="14" t="str">
        <f>IF(C383=0,"No Evidence",IF(C383&lt;=2,IF(E383&gt;0,"Explosive Alert","Track Only"),IF(C383=3,"Sample Watch",IF(E383&gt;=START_HERE!$B$31,"Explosive Alert",IF(J383&gt;=80,"Strong Candidate",IF(J383&gt;=65,"Good Candidate",IF(J383&gt;=50,"Mixed / Review","Problem Call")))))))</f>
        <v>Track Only</v>
      </c>
      <c r="L383" s="9" t="str">
        <f>IF(COUNTIFS('DEF_SELF_SCOUT_IMPORT'!$L$42:$L$1040,"Y",'DEF_SELF_SCOUT_IMPORT'!$E$42:$E$1040,SUBSTITUTE(SUBSTITUTE(SUBSTITUTE($B383,"~","~~"),"*","~*"),"?","~?"),'DEF_SELF_SCOUT_IMPORT'!$Q$42:$Q$1040,SUBSTITUTE(SUBSTITUTE(SUBSTITUTE($M383,"~","~~"),"*","~*"),"?","~?"),'DEF_SELF_SCOUT_IMPORT'!$G$42:$G$1040,SUBSTITUTE(SUBSTITUTE(SUBSTITUTE($O383,"~","~~"),"*","~*"),"?","~?"),'DEF_SELF_SCOUT_IMPORT'!$J$42:$J$1040,"")&gt;0,"Unscored clean outcome; review result tags before using score.",IF(C383=0,"No matching defensive reps; film confirmation needed.",IF(K383="Explosive Alert","Explosive risk; review clips before using as answer.",IF(C383&lt;=2,"Track only; not enough sample.",IF(C383=3,IF(E383&gt;0,"Sample watch with explosive exposure; review clips and build the sample.",IF(J383&gt;=65,"Good signal, but sample is limited.","Sample watch; review clips and build the sample.")),IF(K383="Problem Call","Problem area; practice or call-sheet review.",IF(K383="Strong Candidate","Strong call-fit candidate; confirm on film.",IF(K383="Good Candidate","Good call-fit signal; confirm on film.","Mixed signal; review fit and execution on film."))))))))</f>
        <v>Track only; not enough sample.</v>
      </c>
      <c r="M383" s="8" t="s">
        <v>39</v>
      </c>
      <c r="N383" s="8"/>
      <c r="O383" s="8" t="s">
        <v>203</v>
      </c>
      <c r="P383" s="8"/>
      <c r="Q383" s="8"/>
      <c r="R383" s="8" t="s">
        <v>28</v>
      </c>
      <c r="S383" s="2" t="s">
        <v>218</v>
      </c>
      <c r="T383" s="2">
        <f>IF(C383=0,0,IF(C383&gt;=CALL_LOOKUP_BOARD!$B$7,IF(OR(K383="Problem Call",K383="Explosive Alert"),10000000,20000000),0)+IF(C383&gt;=CALL_LOOKUP_BOARD!$B$7,J383*1000+MIN(C383,999),C383*1000+J383)+0.00999100)</f>
        <v>1025.009991</v>
      </c>
      <c r="U383" s="2">
        <f>IF(C383=0,"",IF(COUNTIFS($S$375:$S$581,SUBSTITUTE(SUBSTITUTE(SUBSTITUTE(S383,"~","~~"),"*","~*"),"?","~?"),$T$375:$T$581,"&gt;"&amp;T383)=0,S383,""))</f>
        <v/>
      </c>
    </row>
    <row r="384" spans="1:21" ht="38" customHeight="1">
      <c r="A384" s="8" t="s">
        <v>217</v>
      </c>
      <c r="B384" s="8" t="s">
        <v>46</v>
      </c>
      <c r="C384" s="12">
        <f>COUNTIFS('DEF_SELF_SCOUT_IMPORT'!$L$42:$L$1040,"Y",'DEF_SELF_SCOUT_IMPORT'!$E$42:$E$1040,SUBSTITUTE(SUBSTITUTE(SUBSTITUTE($B384,"~","~~"),"*","~*"),"?","~?"),'DEF_SELF_SCOUT_IMPORT'!$Q$42:$Q$1040,SUBSTITUTE(SUBSTITUTE(SUBSTITUTE($M384,"~","~~"),"*","~*"),"?","~?"),'DEF_SELF_SCOUT_IMPORT'!$G$42:$G$1040,SUBSTITUTE(SUBSTITUTE(SUBSTITUTE($O384,"~","~~"),"*","~*"),"?","~?"))</f>
        <v>2</v>
      </c>
      <c r="D384" s="10">
        <f>IF($C384=0,"",SUMIFS('DEF_SELF_SCOUT_IMPORT'!$J$42:$J$1040,'DEF_SELF_SCOUT_IMPORT'!$L$42:$L$1040,"Y",'DEF_SELF_SCOUT_IMPORT'!$E$42:$E$1040,SUBSTITUTE(SUBSTITUTE(SUBSTITUTE($B384,"~","~~"),"*","~*"),"?","~?"),'DEF_SELF_SCOUT_IMPORT'!$Q$42:$Q$1040,SUBSTITUTE(SUBSTITUTE(SUBSTITUTE($M384,"~","~~"),"*","~*"),"?","~?"),'DEF_SELF_SCOUT_IMPORT'!$G$42:$G$1040,SUBSTITUTE(SUBSTITUTE(SUBSTITUTE($O384,"~","~~"),"*","~*"),"?","~?"))/$C384)</f>
        <v>0.5</v>
      </c>
      <c r="E384" s="10">
        <f>IF($C384=0,"",SUMIFS('DEF_SELF_SCOUT_IMPORT'!$K$42:$K$1040,'DEF_SELF_SCOUT_IMPORT'!$L$42:$L$1040,"Y",'DEF_SELF_SCOUT_IMPORT'!$E$42:$E$1040,SUBSTITUTE(SUBSTITUTE(SUBSTITUTE($B384,"~","~~"),"*","~*"),"?","~?"),'DEF_SELF_SCOUT_IMPORT'!$Q$42:$Q$1040,SUBSTITUTE(SUBSTITUTE(SUBSTITUTE($M384,"~","~~"),"*","~*"),"?","~?"),'DEF_SELF_SCOUT_IMPORT'!$G$42:$G$1040,SUBSTITUTE(SUBSTITUTE(SUBSTITUTE($O384,"~","~~"),"*","~*"),"?","~?"))/$C384)</f>
        <v>0.5</v>
      </c>
      <c r="F384" s="11">
        <f>IF($C384=0,"",AVERAGEIFS('DEF_SELF_SCOUT_IMPORT'!$I$42:$I$1040,'DEF_SELF_SCOUT_IMPORT'!$L$42:$L$1040,"Y",'DEF_SELF_SCOUT_IMPORT'!$E$42:$E$1040,SUBSTITUTE(SUBSTITUTE(SUBSTITUTE($B384,"~","~~"),"*","~*"),"?","~?"),'DEF_SELF_SCOUT_IMPORT'!$Q$42:$Q$1040,SUBSTITUTE(SUBSTITUTE(SUBSTITUTE($M384,"~","~~"),"*","~*"),"?","~?"),'DEF_SELF_SCOUT_IMPORT'!$G$42:$G$1040,SUBSTITUTE(SUBSTITUTE(SUBSTITUTE($O384,"~","~~"),"*","~*"),"?","~?")))</f>
        <v>12.0</v>
      </c>
      <c r="G384" s="10">
        <f>IF($C384=0,"",COUNTIFS('DEF_SELF_SCOUT_IMPORT'!$L$42:$L$1040,"Y",'DEF_SELF_SCOUT_IMPORT'!$E$42:$E$1040,SUBSTITUTE(SUBSTITUTE(SUBSTITUTE($B384,"~","~~"),"*","~*"),"?","~?"),'DEF_SELF_SCOUT_IMPORT'!$Q$42:$Q$1040,SUBSTITUTE(SUBSTITUTE(SUBSTITUTE($M384,"~","~~"),"*","~*"),"?","~?"),'DEF_SELF_SCOUT_IMPORT'!$G$42:$G$1040,SUBSTITUTE(SUBSTITUTE(SUBSTITUTE($O384,"~","~~"),"*","~*"),"?","~?"),'DEF_SELF_SCOUT_IMPORT'!$H$42:$H$1040,"RUSH")/$C384)</f>
        <v>0.5</v>
      </c>
      <c r="H384" s="10">
        <f>IF($C384=0,"",COUNTIFS('DEF_SELF_SCOUT_IMPORT'!$L$42:$L$1040,"Y",'DEF_SELF_SCOUT_IMPORT'!$E$42:$E$1040,SUBSTITUTE(SUBSTITUTE(SUBSTITUTE($B384,"~","~~"),"*","~*"),"?","~?"),'DEF_SELF_SCOUT_IMPORT'!$Q$42:$Q$1040,SUBSTITUTE(SUBSTITUTE(SUBSTITUTE($M384,"~","~~"),"*","~*"),"?","~?"),'DEF_SELF_SCOUT_IMPORT'!$G$42:$G$1040,SUBSTITUTE(SUBSTITUTE(SUBSTITUTE($O384,"~","~~"),"*","~*"),"?","~?"),'DEF_SELF_SCOUT_IMPORT'!$H$42:$H$1040,"DROPBACK")/$C384)</f>
        <v>0.5</v>
      </c>
      <c r="I384" s="14" t="str">
        <f>IF(C384=0,"",IF(C384&lt;=2,"TRACK",IF(C384=3,"LOW",IF(C384&lt;=6,"MEDIUM","HIGH"))))</f>
        <v>TRACK</v>
      </c>
      <c r="J384" s="11">
        <f>IF(C384=0,"",ROUND(D384*70+(1-E384)*20+MAX(0,MIN(1,(10-F384)/10))*10,1))</f>
        <v>45.0</v>
      </c>
      <c r="K384" s="14" t="str">
        <f>IF(C384=0,"No Evidence",IF(C384&lt;=2,IF(E384&gt;0,"Explosive Alert","Track Only"),IF(C384=3,"Sample Watch",IF(E384&gt;=START_HERE!$B$31,"Explosive Alert",IF(J384&gt;=80,"Strong Candidate",IF(J384&gt;=65,"Good Candidate",IF(J384&gt;=50,"Mixed / Review","Problem Call")))))))</f>
        <v>Explosive Alert</v>
      </c>
      <c r="L384" s="9" t="str">
        <f>IF(COUNTIFS('DEF_SELF_SCOUT_IMPORT'!$L$42:$L$1040,"Y",'DEF_SELF_SCOUT_IMPORT'!$E$42:$E$1040,SUBSTITUTE(SUBSTITUTE(SUBSTITUTE($B384,"~","~~"),"*","~*"),"?","~?"),'DEF_SELF_SCOUT_IMPORT'!$Q$42:$Q$1040,SUBSTITUTE(SUBSTITUTE(SUBSTITUTE($M384,"~","~~"),"*","~*"),"?","~?"),'DEF_SELF_SCOUT_IMPORT'!$G$42:$G$1040,SUBSTITUTE(SUBSTITUTE(SUBSTITUTE($O384,"~","~~"),"*","~*"),"?","~?"),'DEF_SELF_SCOUT_IMPORT'!$J$42:$J$1040,"")&gt;0,"Unscored clean outcome; review result tags before using score.",IF(C384=0,"No matching defensive reps; film confirmation needed.",IF(K384="Explosive Alert","Explosive risk; review clips before using as answer.",IF(C384&lt;=2,"Track only; not enough sample.",IF(C384=3,IF(E384&gt;0,"Sample watch with explosive exposure; review clips and build the sample.",IF(J384&gt;=65,"Good signal, but sample is limited.","Sample watch; review clips and build the sample.")),IF(K384="Problem Call","Problem area; practice or call-sheet review.",IF(K384="Strong Candidate","Strong call-fit candidate; confirm on film.",IF(K384="Good Candidate","Good call-fit signal; confirm on film.","Mixed signal; review fit and execution on film."))))))))</f>
        <v>Explosive risk; review clips before using as answer.</v>
      </c>
      <c r="M384" s="8" t="s">
        <v>39</v>
      </c>
      <c r="N384" s="8"/>
      <c r="O384" s="8" t="s">
        <v>203</v>
      </c>
      <c r="P384" s="8"/>
      <c r="Q384" s="8"/>
      <c r="R384" s="8" t="s">
        <v>28</v>
      </c>
      <c r="S384" s="2" t="s">
        <v>218</v>
      </c>
      <c r="T384" s="2">
        <f>IF(C384=0,0,IF(C384&gt;=CALL_LOOKUP_BOARD!$B$7,IF(OR(K384="Problem Call",K384="Explosive Alert"),10000000,20000000),0)+IF(C384&gt;=CALL_LOOKUP_BOARD!$B$7,J384*1000+MIN(C384,999),C384*1000+J384)+0.00999000)</f>
        <v>2045.00999</v>
      </c>
      <c r="U384" s="2">
        <f>IF(C384=0,"",IF(COUNTIFS($S$375:$S$581,SUBSTITUTE(SUBSTITUTE(SUBSTITUTE(S384,"~","~~"),"*","~*"),"?","~?"),$T$375:$T$581,"&gt;"&amp;T384)=0,S384,""))</f>
        <v/>
      </c>
    </row>
    <row r="385" spans="1:21" ht="38" customHeight="1">
      <c r="A385" s="8" t="s">
        <v>217</v>
      </c>
      <c r="B385" s="8" t="s">
        <v>47</v>
      </c>
      <c r="C385" s="12">
        <f>COUNTIFS('DEF_SELF_SCOUT_IMPORT'!$L$42:$L$1040,"Y",'DEF_SELF_SCOUT_IMPORT'!$E$42:$E$1040,SUBSTITUTE(SUBSTITUTE(SUBSTITUTE($B385,"~","~~"),"*","~*"),"?","~?"),'DEF_SELF_SCOUT_IMPORT'!$Q$42:$Q$1040,SUBSTITUTE(SUBSTITUTE(SUBSTITUTE($M385,"~","~~"),"*","~*"),"?","~?"),'DEF_SELF_SCOUT_IMPORT'!$G$42:$G$1040,SUBSTITUTE(SUBSTITUTE(SUBSTITUTE($O385,"~","~~"),"*","~*"),"?","~?"))</f>
        <v>1</v>
      </c>
      <c r="D385" s="10">
        <f>IF($C385=0,"",SUMIFS('DEF_SELF_SCOUT_IMPORT'!$J$42:$J$1040,'DEF_SELF_SCOUT_IMPORT'!$L$42:$L$1040,"Y",'DEF_SELF_SCOUT_IMPORT'!$E$42:$E$1040,SUBSTITUTE(SUBSTITUTE(SUBSTITUTE($B385,"~","~~"),"*","~*"),"?","~?"),'DEF_SELF_SCOUT_IMPORT'!$Q$42:$Q$1040,SUBSTITUTE(SUBSTITUTE(SUBSTITUTE($M385,"~","~~"),"*","~*"),"?","~?"),'DEF_SELF_SCOUT_IMPORT'!$G$42:$G$1040,SUBSTITUTE(SUBSTITUTE(SUBSTITUTE($O385,"~","~~"),"*","~*"),"?","~?"))/$C385)</f>
        <v>1.0</v>
      </c>
      <c r="E385" s="10">
        <f>IF($C385=0,"",SUMIFS('DEF_SELF_SCOUT_IMPORT'!$K$42:$K$1040,'DEF_SELF_SCOUT_IMPORT'!$L$42:$L$1040,"Y",'DEF_SELF_SCOUT_IMPORT'!$E$42:$E$1040,SUBSTITUTE(SUBSTITUTE(SUBSTITUTE($B385,"~","~~"),"*","~*"),"?","~?"),'DEF_SELF_SCOUT_IMPORT'!$Q$42:$Q$1040,SUBSTITUTE(SUBSTITUTE(SUBSTITUTE($M385,"~","~~"),"*","~*"),"?","~?"),'DEF_SELF_SCOUT_IMPORT'!$G$42:$G$1040,SUBSTITUTE(SUBSTITUTE(SUBSTITUTE($O385,"~","~~"),"*","~*"),"?","~?"))/$C385)</f>
        <v>0.0</v>
      </c>
      <c r="F385" s="11">
        <f>IF($C385=0,"",AVERAGEIFS('DEF_SELF_SCOUT_IMPORT'!$I$42:$I$1040,'DEF_SELF_SCOUT_IMPORT'!$L$42:$L$1040,"Y",'DEF_SELF_SCOUT_IMPORT'!$E$42:$E$1040,SUBSTITUTE(SUBSTITUTE(SUBSTITUTE($B385,"~","~~"),"*","~*"),"?","~?"),'DEF_SELF_SCOUT_IMPORT'!$Q$42:$Q$1040,SUBSTITUTE(SUBSTITUTE(SUBSTITUTE($M385,"~","~~"),"*","~*"),"?","~?"),'DEF_SELF_SCOUT_IMPORT'!$G$42:$G$1040,SUBSTITUTE(SUBSTITUTE(SUBSTITUTE($O385,"~","~~"),"*","~*"),"?","~?")))</f>
        <v>2.0</v>
      </c>
      <c r="G385" s="10">
        <f>IF($C385=0,"",COUNTIFS('DEF_SELF_SCOUT_IMPORT'!$L$42:$L$1040,"Y",'DEF_SELF_SCOUT_IMPORT'!$E$42:$E$1040,SUBSTITUTE(SUBSTITUTE(SUBSTITUTE($B385,"~","~~"),"*","~*"),"?","~?"),'DEF_SELF_SCOUT_IMPORT'!$Q$42:$Q$1040,SUBSTITUTE(SUBSTITUTE(SUBSTITUTE($M385,"~","~~"),"*","~*"),"?","~?"),'DEF_SELF_SCOUT_IMPORT'!$G$42:$G$1040,SUBSTITUTE(SUBSTITUTE(SUBSTITUTE($O385,"~","~~"),"*","~*"),"?","~?"),'DEF_SELF_SCOUT_IMPORT'!$H$42:$H$1040,"RUSH")/$C385)</f>
        <v>0.0</v>
      </c>
      <c r="H385" s="10">
        <f>IF($C385=0,"",COUNTIFS('DEF_SELF_SCOUT_IMPORT'!$L$42:$L$1040,"Y",'DEF_SELF_SCOUT_IMPORT'!$E$42:$E$1040,SUBSTITUTE(SUBSTITUTE(SUBSTITUTE($B385,"~","~~"),"*","~*"),"?","~?"),'DEF_SELF_SCOUT_IMPORT'!$Q$42:$Q$1040,SUBSTITUTE(SUBSTITUTE(SUBSTITUTE($M385,"~","~~"),"*","~*"),"?","~?"),'DEF_SELF_SCOUT_IMPORT'!$G$42:$G$1040,SUBSTITUTE(SUBSTITUTE(SUBSTITUTE($O385,"~","~~"),"*","~*"),"?","~?"),'DEF_SELF_SCOUT_IMPORT'!$H$42:$H$1040,"DROPBACK")/$C385)</f>
        <v>1.0</v>
      </c>
      <c r="I385" s="14" t="str">
        <f>IF(C385=0,"",IF(C385&lt;=2,"TRACK",IF(C385=3,"LOW",IF(C385&lt;=6,"MEDIUM","HIGH"))))</f>
        <v>TRACK</v>
      </c>
      <c r="J385" s="11">
        <f>IF(C385=0,"",ROUND(D385*70+(1-E385)*20+MAX(0,MIN(1,(10-F385)/10))*10,1))</f>
        <v>98.0</v>
      </c>
      <c r="K385" s="14" t="str">
        <f>IF(C385=0,"No Evidence",IF(C385&lt;=2,IF(E385&gt;0,"Explosive Alert","Track Only"),IF(C385=3,"Sample Watch",IF(E385&gt;=START_HERE!$B$31,"Explosive Alert",IF(J385&gt;=80,"Strong Candidate",IF(J385&gt;=65,"Good Candidate",IF(J385&gt;=50,"Mixed / Review","Problem Call")))))))</f>
        <v>Track Only</v>
      </c>
      <c r="L385" s="9" t="str">
        <f>IF(COUNTIFS('DEF_SELF_SCOUT_IMPORT'!$L$42:$L$1040,"Y",'DEF_SELF_SCOUT_IMPORT'!$E$42:$E$1040,SUBSTITUTE(SUBSTITUTE(SUBSTITUTE($B385,"~","~~"),"*","~*"),"?","~?"),'DEF_SELF_SCOUT_IMPORT'!$Q$42:$Q$1040,SUBSTITUTE(SUBSTITUTE(SUBSTITUTE($M385,"~","~~"),"*","~*"),"?","~?"),'DEF_SELF_SCOUT_IMPORT'!$G$42:$G$1040,SUBSTITUTE(SUBSTITUTE(SUBSTITUTE($O385,"~","~~"),"*","~*"),"?","~?"),'DEF_SELF_SCOUT_IMPORT'!$J$42:$J$1040,"")&gt;0,"Unscored clean outcome; review result tags before using score.",IF(C385=0,"No matching defensive reps; film confirmation needed.",IF(K385="Explosive Alert","Explosive risk; review clips before using as answer.",IF(C385&lt;=2,"Track only; not enough sample.",IF(C385=3,IF(E385&gt;0,"Sample watch with explosive exposure; review clips and build the sample.",IF(J385&gt;=65,"Good signal, but sample is limited.","Sample watch; review clips and build the sample.")),IF(K385="Problem Call","Problem area; practice or call-sheet review.",IF(K385="Strong Candidate","Strong call-fit candidate; confirm on film.",IF(K385="Good Candidate","Good call-fit signal; confirm on film.","Mixed signal; review fit and execution on film."))))))))</f>
        <v>Track only; not enough sample.</v>
      </c>
      <c r="M385" s="8" t="s">
        <v>39</v>
      </c>
      <c r="N385" s="8"/>
      <c r="O385" s="8" t="s">
        <v>203</v>
      </c>
      <c r="P385" s="8"/>
      <c r="Q385" s="8"/>
      <c r="R385" s="8" t="s">
        <v>28</v>
      </c>
      <c r="S385" s="2" t="s">
        <v>218</v>
      </c>
      <c r="T385" s="2">
        <f>IF(C385=0,0,IF(C385&gt;=CALL_LOOKUP_BOARD!$B$7,IF(OR(K385="Problem Call",K385="Explosive Alert"),10000000,20000000),0)+IF(C385&gt;=CALL_LOOKUP_BOARD!$B$7,J385*1000+MIN(C385,999),C385*1000+J385)+0.00998900)</f>
        <v>1098.009989</v>
      </c>
      <c r="U385" s="2">
        <f>IF(C385=0,"",IF(COUNTIFS($S$375:$S$581,SUBSTITUTE(SUBSTITUTE(SUBSTITUTE(S385,"~","~~"),"*","~*"),"?","~?"),$T$375:$T$581,"&gt;"&amp;T385)=0,S385,""))</f>
        <v/>
      </c>
    </row>
    <row r="386" spans="1:21" ht="38" customHeight="1">
      <c r="A386" s="8" t="s">
        <v>217</v>
      </c>
      <c r="B386" s="8" t="s">
        <v>48</v>
      </c>
      <c r="C386" s="12">
        <f>COUNTIFS('DEF_SELF_SCOUT_IMPORT'!$L$42:$L$1040,"Y",'DEF_SELF_SCOUT_IMPORT'!$E$42:$E$1040,SUBSTITUTE(SUBSTITUTE(SUBSTITUTE($B386,"~","~~"),"*","~*"),"?","~?"),'DEF_SELF_SCOUT_IMPORT'!$Q$42:$Q$1040,SUBSTITUTE(SUBSTITUTE(SUBSTITUTE($M386,"~","~~"),"*","~*"),"?","~?"),'DEF_SELF_SCOUT_IMPORT'!$G$42:$G$1040,SUBSTITUTE(SUBSTITUTE(SUBSTITUTE($O386,"~","~~"),"*","~*"),"?","~?"))</f>
        <v>1</v>
      </c>
      <c r="D386" s="10">
        <f>IF($C386=0,"",SUMIFS('DEF_SELF_SCOUT_IMPORT'!$J$42:$J$1040,'DEF_SELF_SCOUT_IMPORT'!$L$42:$L$1040,"Y",'DEF_SELF_SCOUT_IMPORT'!$E$42:$E$1040,SUBSTITUTE(SUBSTITUTE(SUBSTITUTE($B386,"~","~~"),"*","~*"),"?","~?"),'DEF_SELF_SCOUT_IMPORT'!$Q$42:$Q$1040,SUBSTITUTE(SUBSTITUTE(SUBSTITUTE($M386,"~","~~"),"*","~*"),"?","~?"),'DEF_SELF_SCOUT_IMPORT'!$G$42:$G$1040,SUBSTITUTE(SUBSTITUTE(SUBSTITUTE($O386,"~","~~"),"*","~*"),"?","~?"))/$C386)</f>
        <v>1.0</v>
      </c>
      <c r="E386" s="10">
        <f>IF($C386=0,"",SUMIFS('DEF_SELF_SCOUT_IMPORT'!$K$42:$K$1040,'DEF_SELF_SCOUT_IMPORT'!$L$42:$L$1040,"Y",'DEF_SELF_SCOUT_IMPORT'!$E$42:$E$1040,SUBSTITUTE(SUBSTITUTE(SUBSTITUTE($B386,"~","~~"),"*","~*"),"?","~?"),'DEF_SELF_SCOUT_IMPORT'!$Q$42:$Q$1040,SUBSTITUTE(SUBSTITUTE(SUBSTITUTE($M386,"~","~~"),"*","~*"),"?","~?"),'DEF_SELF_SCOUT_IMPORT'!$G$42:$G$1040,SUBSTITUTE(SUBSTITUTE(SUBSTITUTE($O386,"~","~~"),"*","~*"),"?","~?"))/$C386)</f>
        <v>0.0</v>
      </c>
      <c r="F386" s="11">
        <f>IF($C386=0,"",AVERAGEIFS('DEF_SELF_SCOUT_IMPORT'!$I$42:$I$1040,'DEF_SELF_SCOUT_IMPORT'!$L$42:$L$1040,"Y",'DEF_SELF_SCOUT_IMPORT'!$E$42:$E$1040,SUBSTITUTE(SUBSTITUTE(SUBSTITUTE($B386,"~","~~"),"*","~*"),"?","~?"),'DEF_SELF_SCOUT_IMPORT'!$Q$42:$Q$1040,SUBSTITUTE(SUBSTITUTE(SUBSTITUTE($M386,"~","~~"),"*","~*"),"?","~?"),'DEF_SELF_SCOUT_IMPORT'!$G$42:$G$1040,SUBSTITUTE(SUBSTITUTE(SUBSTITUTE($O386,"~","~~"),"*","~*"),"?","~?")))</f>
        <v>6.0</v>
      </c>
      <c r="G386" s="10">
        <f>IF($C386=0,"",COUNTIFS('DEF_SELF_SCOUT_IMPORT'!$L$42:$L$1040,"Y",'DEF_SELF_SCOUT_IMPORT'!$E$42:$E$1040,SUBSTITUTE(SUBSTITUTE(SUBSTITUTE($B386,"~","~~"),"*","~*"),"?","~?"),'DEF_SELF_SCOUT_IMPORT'!$Q$42:$Q$1040,SUBSTITUTE(SUBSTITUTE(SUBSTITUTE($M386,"~","~~"),"*","~*"),"?","~?"),'DEF_SELF_SCOUT_IMPORT'!$G$42:$G$1040,SUBSTITUTE(SUBSTITUTE(SUBSTITUTE($O386,"~","~~"),"*","~*"),"?","~?"),'DEF_SELF_SCOUT_IMPORT'!$H$42:$H$1040,"RUSH")/$C386)</f>
        <v>0.0</v>
      </c>
      <c r="H386" s="10">
        <f>IF($C386=0,"",COUNTIFS('DEF_SELF_SCOUT_IMPORT'!$L$42:$L$1040,"Y",'DEF_SELF_SCOUT_IMPORT'!$E$42:$E$1040,SUBSTITUTE(SUBSTITUTE(SUBSTITUTE($B386,"~","~~"),"*","~*"),"?","~?"),'DEF_SELF_SCOUT_IMPORT'!$Q$42:$Q$1040,SUBSTITUTE(SUBSTITUTE(SUBSTITUTE($M386,"~","~~"),"*","~*"),"?","~?"),'DEF_SELF_SCOUT_IMPORT'!$G$42:$G$1040,SUBSTITUTE(SUBSTITUTE(SUBSTITUTE($O386,"~","~~"),"*","~*"),"?","~?"),'DEF_SELF_SCOUT_IMPORT'!$H$42:$H$1040,"DROPBACK")/$C386)</f>
        <v>1.0</v>
      </c>
      <c r="I386" s="14" t="str">
        <f>IF(C386=0,"",IF(C386&lt;=2,"TRACK",IF(C386=3,"LOW",IF(C386&lt;=6,"MEDIUM","HIGH"))))</f>
        <v>TRACK</v>
      </c>
      <c r="J386" s="11">
        <f>IF(C386=0,"",ROUND(D386*70+(1-E386)*20+MAX(0,MIN(1,(10-F386)/10))*10,1))</f>
        <v>94.0</v>
      </c>
      <c r="K386" s="14" t="str">
        <f>IF(C386=0,"No Evidence",IF(C386&lt;=2,IF(E386&gt;0,"Explosive Alert","Track Only"),IF(C386=3,"Sample Watch",IF(E386&gt;=START_HERE!$B$31,"Explosive Alert",IF(J386&gt;=80,"Strong Candidate",IF(J386&gt;=65,"Good Candidate",IF(J386&gt;=50,"Mixed / Review","Problem Call")))))))</f>
        <v>Track Only</v>
      </c>
      <c r="L386" s="9" t="str">
        <f>IF(COUNTIFS('DEF_SELF_SCOUT_IMPORT'!$L$42:$L$1040,"Y",'DEF_SELF_SCOUT_IMPORT'!$E$42:$E$1040,SUBSTITUTE(SUBSTITUTE(SUBSTITUTE($B386,"~","~~"),"*","~*"),"?","~?"),'DEF_SELF_SCOUT_IMPORT'!$Q$42:$Q$1040,SUBSTITUTE(SUBSTITUTE(SUBSTITUTE($M386,"~","~~"),"*","~*"),"?","~?"),'DEF_SELF_SCOUT_IMPORT'!$G$42:$G$1040,SUBSTITUTE(SUBSTITUTE(SUBSTITUTE($O386,"~","~~"),"*","~*"),"?","~?"),'DEF_SELF_SCOUT_IMPORT'!$J$42:$J$1040,"")&gt;0,"Unscored clean outcome; review result tags before using score.",IF(C386=0,"No matching defensive reps; film confirmation needed.",IF(K386="Explosive Alert","Explosive risk; review clips before using as answer.",IF(C386&lt;=2,"Track only; not enough sample.",IF(C386=3,IF(E386&gt;0,"Sample watch with explosive exposure; review clips and build the sample.",IF(J386&gt;=65,"Good signal, but sample is limited.","Sample watch; review clips and build the sample.")),IF(K386="Problem Call","Problem area; practice or call-sheet review.",IF(K386="Strong Candidate","Strong call-fit candidate; confirm on film.",IF(K386="Good Candidate","Good call-fit signal; confirm on film.","Mixed signal; review fit and execution on film."))))))))</f>
        <v>Track only; not enough sample.</v>
      </c>
      <c r="M386" s="8" t="s">
        <v>39</v>
      </c>
      <c r="N386" s="8"/>
      <c r="O386" s="8" t="s">
        <v>203</v>
      </c>
      <c r="P386" s="8"/>
      <c r="Q386" s="8"/>
      <c r="R386" s="8" t="s">
        <v>28</v>
      </c>
      <c r="S386" s="2" t="s">
        <v>218</v>
      </c>
      <c r="T386" s="2">
        <f>IF(C386=0,0,IF(C386&gt;=CALL_LOOKUP_BOARD!$B$7,IF(OR(K386="Problem Call",K386="Explosive Alert"),10000000,20000000),0)+IF(C386&gt;=CALL_LOOKUP_BOARD!$B$7,J386*1000+MIN(C386,999),C386*1000+J386)+0.00998800)</f>
        <v>1094.009988</v>
      </c>
      <c r="U386" s="2">
        <f>IF(C386=0,"",IF(COUNTIFS($S$375:$S$581,SUBSTITUTE(SUBSTITUTE(SUBSTITUTE(S386,"~","~~"),"*","~*"),"?","~?"),$T$375:$T$581,"&gt;"&amp;T386)=0,S386,""))</f>
        <v/>
      </c>
    </row>
    <row r="387" spans="1:21" ht="38" customHeight="1">
      <c r="A387" s="8" t="s">
        <v>217</v>
      </c>
      <c r="B387" s="8" t="s">
        <v>50</v>
      </c>
      <c r="C387" s="12">
        <f>COUNTIFS('DEF_SELF_SCOUT_IMPORT'!$L$42:$L$1040,"Y",'DEF_SELF_SCOUT_IMPORT'!$E$42:$E$1040,SUBSTITUTE(SUBSTITUTE(SUBSTITUTE($B387,"~","~~"),"*","~*"),"?","~?"),'DEF_SELF_SCOUT_IMPORT'!$Q$42:$Q$1040,SUBSTITUTE(SUBSTITUTE(SUBSTITUTE($M387,"~","~~"),"*","~*"),"?","~?"),'DEF_SELF_SCOUT_IMPORT'!$G$42:$G$1040,SUBSTITUTE(SUBSTITUTE(SUBSTITUTE($O387,"~","~~"),"*","~*"),"?","~?"))</f>
        <v>1</v>
      </c>
      <c r="D387" s="10">
        <f>IF($C387=0,"",SUMIFS('DEF_SELF_SCOUT_IMPORT'!$J$42:$J$1040,'DEF_SELF_SCOUT_IMPORT'!$L$42:$L$1040,"Y",'DEF_SELF_SCOUT_IMPORT'!$E$42:$E$1040,SUBSTITUTE(SUBSTITUTE(SUBSTITUTE($B387,"~","~~"),"*","~*"),"?","~?"),'DEF_SELF_SCOUT_IMPORT'!$Q$42:$Q$1040,SUBSTITUTE(SUBSTITUTE(SUBSTITUTE($M387,"~","~~"),"*","~*"),"?","~?"),'DEF_SELF_SCOUT_IMPORT'!$G$42:$G$1040,SUBSTITUTE(SUBSTITUTE(SUBSTITUTE($O387,"~","~~"),"*","~*"),"?","~?"))/$C387)</f>
        <v>1.0</v>
      </c>
      <c r="E387" s="10">
        <f>IF($C387=0,"",SUMIFS('DEF_SELF_SCOUT_IMPORT'!$K$42:$K$1040,'DEF_SELF_SCOUT_IMPORT'!$L$42:$L$1040,"Y",'DEF_SELF_SCOUT_IMPORT'!$E$42:$E$1040,SUBSTITUTE(SUBSTITUTE(SUBSTITUTE($B387,"~","~~"),"*","~*"),"?","~?"),'DEF_SELF_SCOUT_IMPORT'!$Q$42:$Q$1040,SUBSTITUTE(SUBSTITUTE(SUBSTITUTE($M387,"~","~~"),"*","~*"),"?","~?"),'DEF_SELF_SCOUT_IMPORT'!$G$42:$G$1040,SUBSTITUTE(SUBSTITUTE(SUBSTITUTE($O387,"~","~~"),"*","~*"),"?","~?"))/$C387)</f>
        <v>0.0</v>
      </c>
      <c r="F387" s="11">
        <f>IF($C387=0,"",AVERAGEIFS('DEF_SELF_SCOUT_IMPORT'!$I$42:$I$1040,'DEF_SELF_SCOUT_IMPORT'!$L$42:$L$1040,"Y",'DEF_SELF_SCOUT_IMPORT'!$E$42:$E$1040,SUBSTITUTE(SUBSTITUTE(SUBSTITUTE($B387,"~","~~"),"*","~*"),"?","~?"),'DEF_SELF_SCOUT_IMPORT'!$Q$42:$Q$1040,SUBSTITUTE(SUBSTITUTE(SUBSTITUTE($M387,"~","~~"),"*","~*"),"?","~?"),'DEF_SELF_SCOUT_IMPORT'!$G$42:$G$1040,SUBSTITUTE(SUBSTITUTE(SUBSTITUTE($O387,"~","~~"),"*","~*"),"?","~?")))</f>
        <v>3.0</v>
      </c>
      <c r="G387" s="10">
        <f>IF($C387=0,"",COUNTIFS('DEF_SELF_SCOUT_IMPORT'!$L$42:$L$1040,"Y",'DEF_SELF_SCOUT_IMPORT'!$E$42:$E$1040,SUBSTITUTE(SUBSTITUTE(SUBSTITUTE($B387,"~","~~"),"*","~*"),"?","~?"),'DEF_SELF_SCOUT_IMPORT'!$Q$42:$Q$1040,SUBSTITUTE(SUBSTITUTE(SUBSTITUTE($M387,"~","~~"),"*","~*"),"?","~?"),'DEF_SELF_SCOUT_IMPORT'!$G$42:$G$1040,SUBSTITUTE(SUBSTITUTE(SUBSTITUTE($O387,"~","~~"),"*","~*"),"?","~?"),'DEF_SELF_SCOUT_IMPORT'!$H$42:$H$1040,"RUSH")/$C387)</f>
        <v>0.0</v>
      </c>
      <c r="H387" s="10">
        <f>IF($C387=0,"",COUNTIFS('DEF_SELF_SCOUT_IMPORT'!$L$42:$L$1040,"Y",'DEF_SELF_SCOUT_IMPORT'!$E$42:$E$1040,SUBSTITUTE(SUBSTITUTE(SUBSTITUTE($B387,"~","~~"),"*","~*"),"?","~?"),'DEF_SELF_SCOUT_IMPORT'!$Q$42:$Q$1040,SUBSTITUTE(SUBSTITUTE(SUBSTITUTE($M387,"~","~~"),"*","~*"),"?","~?"),'DEF_SELF_SCOUT_IMPORT'!$G$42:$G$1040,SUBSTITUTE(SUBSTITUTE(SUBSTITUTE($O387,"~","~~"),"*","~*"),"?","~?"),'DEF_SELF_SCOUT_IMPORT'!$H$42:$H$1040,"DROPBACK")/$C387)</f>
        <v>1.0</v>
      </c>
      <c r="I387" s="14" t="str">
        <f>IF(C387=0,"",IF(C387&lt;=2,"TRACK",IF(C387=3,"LOW",IF(C387&lt;=6,"MEDIUM","HIGH"))))</f>
        <v>TRACK</v>
      </c>
      <c r="J387" s="11">
        <f>IF(C387=0,"",ROUND(D387*70+(1-E387)*20+MAX(0,MIN(1,(10-F387)/10))*10,1))</f>
        <v>97.0</v>
      </c>
      <c r="K387" s="14" t="str">
        <f>IF(C387=0,"No Evidence",IF(C387&lt;=2,IF(E387&gt;0,"Explosive Alert","Track Only"),IF(C387=3,"Sample Watch",IF(E387&gt;=START_HERE!$B$31,"Explosive Alert",IF(J387&gt;=80,"Strong Candidate",IF(J387&gt;=65,"Good Candidate",IF(J387&gt;=50,"Mixed / Review","Problem Call")))))))</f>
        <v>Track Only</v>
      </c>
      <c r="L387" s="9" t="str">
        <f>IF(COUNTIFS('DEF_SELF_SCOUT_IMPORT'!$L$42:$L$1040,"Y",'DEF_SELF_SCOUT_IMPORT'!$E$42:$E$1040,SUBSTITUTE(SUBSTITUTE(SUBSTITUTE($B387,"~","~~"),"*","~*"),"?","~?"),'DEF_SELF_SCOUT_IMPORT'!$Q$42:$Q$1040,SUBSTITUTE(SUBSTITUTE(SUBSTITUTE($M387,"~","~~"),"*","~*"),"?","~?"),'DEF_SELF_SCOUT_IMPORT'!$G$42:$G$1040,SUBSTITUTE(SUBSTITUTE(SUBSTITUTE($O387,"~","~~"),"*","~*"),"?","~?"),'DEF_SELF_SCOUT_IMPORT'!$J$42:$J$1040,"")&gt;0,"Unscored clean outcome; review result tags before using score.",IF(C387=0,"No matching defensive reps; film confirmation needed.",IF(K387="Explosive Alert","Explosive risk; review clips before using as answer.",IF(C387&lt;=2,"Track only; not enough sample.",IF(C387=3,IF(E387&gt;0,"Sample watch with explosive exposure; review clips and build the sample.",IF(J387&gt;=65,"Good signal, but sample is limited.","Sample watch; review clips and build the sample.")),IF(K387="Problem Call","Problem area; practice or call-sheet review.",IF(K387="Strong Candidate","Strong call-fit candidate; confirm on film.",IF(K387="Good Candidate","Good call-fit signal; confirm on film.","Mixed signal; review fit and execution on film."))))))))</f>
        <v>Track only; not enough sample.</v>
      </c>
      <c r="M387" s="8" t="s">
        <v>39</v>
      </c>
      <c r="N387" s="8"/>
      <c r="O387" s="8" t="s">
        <v>203</v>
      </c>
      <c r="P387" s="8"/>
      <c r="Q387" s="8"/>
      <c r="R387" s="8" t="s">
        <v>28</v>
      </c>
      <c r="S387" s="2" t="s">
        <v>218</v>
      </c>
      <c r="T387" s="2">
        <f>IF(C387=0,0,IF(C387&gt;=CALL_LOOKUP_BOARD!$B$7,IF(OR(K387="Problem Call",K387="Explosive Alert"),10000000,20000000),0)+IF(C387&gt;=CALL_LOOKUP_BOARD!$B$7,J387*1000+MIN(C387,999),C387*1000+J387)+0.00998700)</f>
        <v>1097.009987</v>
      </c>
      <c r="U387" s="2">
        <f>IF(C387=0,"",IF(COUNTIFS($S$375:$S$581,SUBSTITUTE(SUBSTITUTE(SUBSTITUTE(S387,"~","~~"),"*","~*"),"?","~?"),$T$375:$T$581,"&gt;"&amp;T387)=0,S387,""))</f>
        <v/>
      </c>
    </row>
    <row r="388" spans="1:21" ht="38" customHeight="1">
      <c r="A388" s="8" t="s">
        <v>217</v>
      </c>
      <c r="B388" s="8" t="s">
        <v>51</v>
      </c>
      <c r="C388" s="12">
        <f>COUNTIFS('DEF_SELF_SCOUT_IMPORT'!$L$42:$L$1040,"Y",'DEF_SELF_SCOUT_IMPORT'!$E$42:$E$1040,SUBSTITUTE(SUBSTITUTE(SUBSTITUTE($B388,"~","~~"),"*","~*"),"?","~?"),'DEF_SELF_SCOUT_IMPORT'!$Q$42:$Q$1040,SUBSTITUTE(SUBSTITUTE(SUBSTITUTE($M388,"~","~~"),"*","~*"),"?","~?"),'DEF_SELF_SCOUT_IMPORT'!$G$42:$G$1040,SUBSTITUTE(SUBSTITUTE(SUBSTITUTE($O388,"~","~~"),"*","~*"),"?","~?"))</f>
        <v>1</v>
      </c>
      <c r="D388" s="10">
        <f>IF($C388=0,"",SUMIFS('DEF_SELF_SCOUT_IMPORT'!$J$42:$J$1040,'DEF_SELF_SCOUT_IMPORT'!$L$42:$L$1040,"Y",'DEF_SELF_SCOUT_IMPORT'!$E$42:$E$1040,SUBSTITUTE(SUBSTITUTE(SUBSTITUTE($B388,"~","~~"),"*","~*"),"?","~?"),'DEF_SELF_SCOUT_IMPORT'!$Q$42:$Q$1040,SUBSTITUTE(SUBSTITUTE(SUBSTITUTE($M388,"~","~~"),"*","~*"),"?","~?"),'DEF_SELF_SCOUT_IMPORT'!$G$42:$G$1040,SUBSTITUTE(SUBSTITUTE(SUBSTITUTE($O388,"~","~~"),"*","~*"),"?","~?"))/$C388)</f>
        <v>1.0</v>
      </c>
      <c r="E388" s="10">
        <f>IF($C388=0,"",SUMIFS('DEF_SELF_SCOUT_IMPORT'!$K$42:$K$1040,'DEF_SELF_SCOUT_IMPORT'!$L$42:$L$1040,"Y",'DEF_SELF_SCOUT_IMPORT'!$E$42:$E$1040,SUBSTITUTE(SUBSTITUTE(SUBSTITUTE($B388,"~","~~"),"*","~*"),"?","~?"),'DEF_SELF_SCOUT_IMPORT'!$Q$42:$Q$1040,SUBSTITUTE(SUBSTITUTE(SUBSTITUTE($M388,"~","~~"),"*","~*"),"?","~?"),'DEF_SELF_SCOUT_IMPORT'!$G$42:$G$1040,SUBSTITUTE(SUBSTITUTE(SUBSTITUTE($O388,"~","~~"),"*","~*"),"?","~?"))/$C388)</f>
        <v>0.0</v>
      </c>
      <c r="F388" s="11">
        <f>IF($C388=0,"",AVERAGEIFS('DEF_SELF_SCOUT_IMPORT'!$I$42:$I$1040,'DEF_SELF_SCOUT_IMPORT'!$L$42:$L$1040,"Y",'DEF_SELF_SCOUT_IMPORT'!$E$42:$E$1040,SUBSTITUTE(SUBSTITUTE(SUBSTITUTE($B388,"~","~~"),"*","~*"),"?","~?"),'DEF_SELF_SCOUT_IMPORT'!$Q$42:$Q$1040,SUBSTITUTE(SUBSTITUTE(SUBSTITUTE($M388,"~","~~"),"*","~*"),"?","~?"),'DEF_SELF_SCOUT_IMPORT'!$G$42:$G$1040,SUBSTITUTE(SUBSTITUTE(SUBSTITUTE($O388,"~","~~"),"*","~*"),"?","~?")))</f>
        <v>0.0</v>
      </c>
      <c r="G388" s="10">
        <f>IF($C388=0,"",COUNTIFS('DEF_SELF_SCOUT_IMPORT'!$L$42:$L$1040,"Y",'DEF_SELF_SCOUT_IMPORT'!$E$42:$E$1040,SUBSTITUTE(SUBSTITUTE(SUBSTITUTE($B388,"~","~~"),"*","~*"),"?","~?"),'DEF_SELF_SCOUT_IMPORT'!$Q$42:$Q$1040,SUBSTITUTE(SUBSTITUTE(SUBSTITUTE($M388,"~","~~"),"*","~*"),"?","~?"),'DEF_SELF_SCOUT_IMPORT'!$G$42:$G$1040,SUBSTITUTE(SUBSTITUTE(SUBSTITUTE($O388,"~","~~"),"*","~*"),"?","~?"),'DEF_SELF_SCOUT_IMPORT'!$H$42:$H$1040,"RUSH")/$C388)</f>
        <v>0.0</v>
      </c>
      <c r="H388" s="10">
        <f>IF($C388=0,"",COUNTIFS('DEF_SELF_SCOUT_IMPORT'!$L$42:$L$1040,"Y",'DEF_SELF_SCOUT_IMPORT'!$E$42:$E$1040,SUBSTITUTE(SUBSTITUTE(SUBSTITUTE($B388,"~","~~"),"*","~*"),"?","~?"),'DEF_SELF_SCOUT_IMPORT'!$Q$42:$Q$1040,SUBSTITUTE(SUBSTITUTE(SUBSTITUTE($M388,"~","~~"),"*","~*"),"?","~?"),'DEF_SELF_SCOUT_IMPORT'!$G$42:$G$1040,SUBSTITUTE(SUBSTITUTE(SUBSTITUTE($O388,"~","~~"),"*","~*"),"?","~?"),'DEF_SELF_SCOUT_IMPORT'!$H$42:$H$1040,"DROPBACK")/$C388)</f>
        <v>1.0</v>
      </c>
      <c r="I388" s="14" t="str">
        <f>IF(C388=0,"",IF(C388&lt;=2,"TRACK",IF(C388=3,"LOW",IF(C388&lt;=6,"MEDIUM","HIGH"))))</f>
        <v>TRACK</v>
      </c>
      <c r="J388" s="11">
        <f>IF(C388=0,"",ROUND(D388*70+(1-E388)*20+MAX(0,MIN(1,(10-F388)/10))*10,1))</f>
        <v>100.0</v>
      </c>
      <c r="K388" s="14" t="str">
        <f>IF(C388=0,"No Evidence",IF(C388&lt;=2,IF(E388&gt;0,"Explosive Alert","Track Only"),IF(C388=3,"Sample Watch",IF(E388&gt;=START_HERE!$B$31,"Explosive Alert",IF(J388&gt;=80,"Strong Candidate",IF(J388&gt;=65,"Good Candidate",IF(J388&gt;=50,"Mixed / Review","Problem Call")))))))</f>
        <v>Track Only</v>
      </c>
      <c r="L388" s="9" t="str">
        <f>IF(COUNTIFS('DEF_SELF_SCOUT_IMPORT'!$L$42:$L$1040,"Y",'DEF_SELF_SCOUT_IMPORT'!$E$42:$E$1040,SUBSTITUTE(SUBSTITUTE(SUBSTITUTE($B388,"~","~~"),"*","~*"),"?","~?"),'DEF_SELF_SCOUT_IMPORT'!$Q$42:$Q$1040,SUBSTITUTE(SUBSTITUTE(SUBSTITUTE($M388,"~","~~"),"*","~*"),"?","~?"),'DEF_SELF_SCOUT_IMPORT'!$G$42:$G$1040,SUBSTITUTE(SUBSTITUTE(SUBSTITUTE($O388,"~","~~"),"*","~*"),"?","~?"),'DEF_SELF_SCOUT_IMPORT'!$J$42:$J$1040,"")&gt;0,"Unscored clean outcome; review result tags before using score.",IF(C388=0,"No matching defensive reps; film confirmation needed.",IF(K388="Explosive Alert","Explosive risk; review clips before using as answer.",IF(C388&lt;=2,"Track only; not enough sample.",IF(C388=3,IF(E388&gt;0,"Sample watch with explosive exposure; review clips and build the sample.",IF(J388&gt;=65,"Good signal, but sample is limited.","Sample watch; review clips and build the sample.")),IF(K388="Problem Call","Problem area; practice or call-sheet review.",IF(K388="Strong Candidate","Strong call-fit candidate; confirm on film.",IF(K388="Good Candidate","Good call-fit signal; confirm on film.","Mixed signal; review fit and execution on film."))))))))</f>
        <v>Track only; not enough sample.</v>
      </c>
      <c r="M388" s="8" t="s">
        <v>39</v>
      </c>
      <c r="N388" s="8"/>
      <c r="O388" s="8" t="s">
        <v>203</v>
      </c>
      <c r="P388" s="8"/>
      <c r="Q388" s="8"/>
      <c r="R388" s="8" t="s">
        <v>28</v>
      </c>
      <c r="S388" s="2" t="s">
        <v>218</v>
      </c>
      <c r="T388" s="2">
        <f>IF(C388=0,0,IF(C388&gt;=CALL_LOOKUP_BOARD!$B$7,IF(OR(K388="Problem Call",K388="Explosive Alert"),10000000,20000000),0)+IF(C388&gt;=CALL_LOOKUP_BOARD!$B$7,J388*1000+MIN(C388,999),C388*1000+J388)+0.00998600)</f>
        <v>1100.009986</v>
      </c>
      <c r="U388" s="2">
        <f>IF(C388=0,"",IF(COUNTIFS($S$375:$S$581,SUBSTITUTE(SUBSTITUTE(SUBSTITUTE(S388,"~","~~"),"*","~*"),"?","~?"),$T$375:$T$581,"&gt;"&amp;T388)=0,S388,""))</f>
        <v/>
      </c>
    </row>
    <row r="389" spans="1:21" ht="38" customHeight="1">
      <c r="A389" s="8" t="s">
        <v>217</v>
      </c>
      <c r="B389" s="8" t="s">
        <v>52</v>
      </c>
      <c r="C389" s="12">
        <f>COUNTIFS('DEF_SELF_SCOUT_IMPORT'!$L$42:$L$1040,"Y",'DEF_SELF_SCOUT_IMPORT'!$E$42:$E$1040,SUBSTITUTE(SUBSTITUTE(SUBSTITUTE($B389,"~","~~"),"*","~*"),"?","~?"),'DEF_SELF_SCOUT_IMPORT'!$Q$42:$Q$1040,SUBSTITUTE(SUBSTITUTE(SUBSTITUTE($M389,"~","~~"),"*","~*"),"?","~?"),'DEF_SELF_SCOUT_IMPORT'!$G$42:$G$1040,SUBSTITUTE(SUBSTITUTE(SUBSTITUTE($O389,"~","~~"),"*","~*"),"?","~?"))</f>
        <v>6</v>
      </c>
      <c r="D389" s="10">
        <f>IF($C389=0,"",SUMIFS('DEF_SELF_SCOUT_IMPORT'!$J$42:$J$1040,'DEF_SELF_SCOUT_IMPORT'!$L$42:$L$1040,"Y",'DEF_SELF_SCOUT_IMPORT'!$E$42:$E$1040,SUBSTITUTE(SUBSTITUTE(SUBSTITUTE($B389,"~","~~"),"*","~*"),"?","~?"),'DEF_SELF_SCOUT_IMPORT'!$Q$42:$Q$1040,SUBSTITUTE(SUBSTITUTE(SUBSTITUTE($M389,"~","~~"),"*","~*"),"?","~?"),'DEF_SELF_SCOUT_IMPORT'!$G$42:$G$1040,SUBSTITUTE(SUBSTITUTE(SUBSTITUTE($O389,"~","~~"),"*","~*"),"?","~?"))/$C389)</f>
        <v>0.8333333333333334</v>
      </c>
      <c r="E389" s="10">
        <f>IF($C389=0,"",SUMIFS('DEF_SELF_SCOUT_IMPORT'!$K$42:$K$1040,'DEF_SELF_SCOUT_IMPORT'!$L$42:$L$1040,"Y",'DEF_SELF_SCOUT_IMPORT'!$E$42:$E$1040,SUBSTITUTE(SUBSTITUTE(SUBSTITUTE($B389,"~","~~"),"*","~*"),"?","~?"),'DEF_SELF_SCOUT_IMPORT'!$Q$42:$Q$1040,SUBSTITUTE(SUBSTITUTE(SUBSTITUTE($M389,"~","~~"),"*","~*"),"?","~?"),'DEF_SELF_SCOUT_IMPORT'!$G$42:$G$1040,SUBSTITUTE(SUBSTITUTE(SUBSTITUTE($O389,"~","~~"),"*","~*"),"?","~?"))/$C389)</f>
        <v>0.16666666666666666</v>
      </c>
      <c r="F389" s="11">
        <f>IF($C389=0,"",AVERAGEIFS('DEF_SELF_SCOUT_IMPORT'!$I$42:$I$1040,'DEF_SELF_SCOUT_IMPORT'!$L$42:$L$1040,"Y",'DEF_SELF_SCOUT_IMPORT'!$E$42:$E$1040,SUBSTITUTE(SUBSTITUTE(SUBSTITUTE($B389,"~","~~"),"*","~*"),"?","~?"),'DEF_SELF_SCOUT_IMPORT'!$Q$42:$Q$1040,SUBSTITUTE(SUBSTITUTE(SUBSTITUTE($M389,"~","~~"),"*","~*"),"?","~?"),'DEF_SELF_SCOUT_IMPORT'!$G$42:$G$1040,SUBSTITUTE(SUBSTITUTE(SUBSTITUTE($O389,"~","~~"),"*","~*"),"?","~?")))</f>
        <v>3.3333333333333335</v>
      </c>
      <c r="G389" s="10">
        <f>IF($C389=0,"",COUNTIFS('DEF_SELF_SCOUT_IMPORT'!$L$42:$L$1040,"Y",'DEF_SELF_SCOUT_IMPORT'!$E$42:$E$1040,SUBSTITUTE(SUBSTITUTE(SUBSTITUTE($B389,"~","~~"),"*","~*"),"?","~?"),'DEF_SELF_SCOUT_IMPORT'!$Q$42:$Q$1040,SUBSTITUTE(SUBSTITUTE(SUBSTITUTE($M389,"~","~~"),"*","~*"),"?","~?"),'DEF_SELF_SCOUT_IMPORT'!$G$42:$G$1040,SUBSTITUTE(SUBSTITUTE(SUBSTITUTE($O389,"~","~~"),"*","~*"),"?","~?"),'DEF_SELF_SCOUT_IMPORT'!$H$42:$H$1040,"RUSH")/$C389)</f>
        <v>0.16666666666666666</v>
      </c>
      <c r="H389" s="10">
        <f>IF($C389=0,"",COUNTIFS('DEF_SELF_SCOUT_IMPORT'!$L$42:$L$1040,"Y",'DEF_SELF_SCOUT_IMPORT'!$E$42:$E$1040,SUBSTITUTE(SUBSTITUTE(SUBSTITUTE($B389,"~","~~"),"*","~*"),"?","~?"),'DEF_SELF_SCOUT_IMPORT'!$Q$42:$Q$1040,SUBSTITUTE(SUBSTITUTE(SUBSTITUTE($M389,"~","~~"),"*","~*"),"?","~?"),'DEF_SELF_SCOUT_IMPORT'!$G$42:$G$1040,SUBSTITUTE(SUBSTITUTE(SUBSTITUTE($O389,"~","~~"),"*","~*"),"?","~?"),'DEF_SELF_SCOUT_IMPORT'!$H$42:$H$1040,"DROPBACK")/$C389)</f>
        <v>0.8333333333333334</v>
      </c>
      <c r="I389" s="14" t="str">
        <f>IF(C389=0,"",IF(C389&lt;=2,"TRACK",IF(C389=3,"LOW",IF(C389&lt;=6,"MEDIUM","HIGH"))))</f>
        <v>MEDIUM</v>
      </c>
      <c r="J389" s="11">
        <f>IF(C389=0,"",ROUND(D389*70+(1-E389)*20+MAX(0,MIN(1,(10-F389)/10))*10,1))</f>
        <v>81.7</v>
      </c>
      <c r="K389" s="14" t="str">
        <f>IF(C389=0,"No Evidence",IF(C389&lt;=2,IF(E389&gt;0,"Explosive Alert","Track Only"),IF(C389=3,"Sample Watch",IF(E389&gt;=START_HERE!$B$31,"Explosive Alert",IF(J389&gt;=80,"Strong Candidate",IF(J389&gt;=65,"Good Candidate",IF(J389&gt;=50,"Mixed / Review","Problem Call")))))))</f>
        <v>Strong Candidate</v>
      </c>
      <c r="L389" s="9" t="str">
        <f>IF(COUNTIFS('DEF_SELF_SCOUT_IMPORT'!$L$42:$L$1040,"Y",'DEF_SELF_SCOUT_IMPORT'!$E$42:$E$1040,SUBSTITUTE(SUBSTITUTE(SUBSTITUTE($B389,"~","~~"),"*","~*"),"?","~?"),'DEF_SELF_SCOUT_IMPORT'!$Q$42:$Q$1040,SUBSTITUTE(SUBSTITUTE(SUBSTITUTE($M389,"~","~~"),"*","~*"),"?","~?"),'DEF_SELF_SCOUT_IMPORT'!$G$42:$G$1040,SUBSTITUTE(SUBSTITUTE(SUBSTITUTE($O389,"~","~~"),"*","~*"),"?","~?"),'DEF_SELF_SCOUT_IMPORT'!$J$42:$J$1040,"")&gt;0,"Unscored clean outcome; review result tags before using score.",IF(C389=0,"No matching defensive reps; film confirmation needed.",IF(K389="Explosive Alert","Explosive risk; review clips before using as answer.",IF(C389&lt;=2,"Track only; not enough sample.",IF(C389=3,IF(E389&gt;0,"Sample watch with explosive exposure; review clips and build the sample.",IF(J389&gt;=65,"Good signal, but sample is limited.","Sample watch; review clips and build the sample.")),IF(K389="Problem Call","Problem area; practice or call-sheet review.",IF(K389="Strong Candidate","Strong call-fit candidate; confirm on film.",IF(K389="Good Candidate","Good call-fit signal; confirm on film.","Mixed signal; review fit and execution on film."))))))))</f>
        <v>Strong call-fit candidate; confirm on film.</v>
      </c>
      <c r="M389" s="8" t="s">
        <v>39</v>
      </c>
      <c r="N389" s="8"/>
      <c r="O389" s="8" t="s">
        <v>203</v>
      </c>
      <c r="P389" s="8"/>
      <c r="Q389" s="8"/>
      <c r="R389" s="8" t="s">
        <v>45</v>
      </c>
      <c r="S389" s="2" t="s">
        <v>218</v>
      </c>
      <c r="T389" s="2">
        <f>IF(C389=0,0,IF(C389&gt;=CALL_LOOKUP_BOARD!$B$7,IF(OR(K389="Problem Call",K389="Explosive Alert"),10000000,20000000),0)+IF(C389&gt;=CALL_LOOKUP_BOARD!$B$7,J389*1000+MIN(C389,999),C389*1000+J389)+0.00998500)</f>
        <v>20081706.009985</v>
      </c>
      <c r="U389" s="2">
        <f>IF(C389=0,"",IF(COUNTIFS($S$375:$S$581,SUBSTITUTE(SUBSTITUTE(SUBSTITUTE(S389,"~","~~"),"*","~*"),"?","~?"),$T$375:$T$581,"&gt;"&amp;T389)=0,S389,""))</f>
        <v/>
      </c>
    </row>
    <row r="390" spans="1:21" ht="38" customHeight="1">
      <c r="A390" s="8" t="s">
        <v>217</v>
      </c>
      <c r="B390" s="8" t="s">
        <v>53</v>
      </c>
      <c r="C390" s="12">
        <f>COUNTIFS('DEF_SELF_SCOUT_IMPORT'!$L$42:$L$1040,"Y",'DEF_SELF_SCOUT_IMPORT'!$E$42:$E$1040,SUBSTITUTE(SUBSTITUTE(SUBSTITUTE($B390,"~","~~"),"*","~*"),"?","~?"),'DEF_SELF_SCOUT_IMPORT'!$Q$42:$Q$1040,SUBSTITUTE(SUBSTITUTE(SUBSTITUTE($M390,"~","~~"),"*","~*"),"?","~?"),'DEF_SELF_SCOUT_IMPORT'!$G$42:$G$1040,SUBSTITUTE(SUBSTITUTE(SUBSTITUTE($O390,"~","~~"),"*","~*"),"?","~?"))</f>
        <v>4</v>
      </c>
      <c r="D390" s="10">
        <f>IF($C390=0,"",SUMIFS('DEF_SELF_SCOUT_IMPORT'!$J$42:$J$1040,'DEF_SELF_SCOUT_IMPORT'!$L$42:$L$1040,"Y",'DEF_SELF_SCOUT_IMPORT'!$E$42:$E$1040,SUBSTITUTE(SUBSTITUTE(SUBSTITUTE($B390,"~","~~"),"*","~*"),"?","~?"),'DEF_SELF_SCOUT_IMPORT'!$Q$42:$Q$1040,SUBSTITUTE(SUBSTITUTE(SUBSTITUTE($M390,"~","~~"),"*","~*"),"?","~?"),'DEF_SELF_SCOUT_IMPORT'!$G$42:$G$1040,SUBSTITUTE(SUBSTITUTE(SUBSTITUTE($O390,"~","~~"),"*","~*"),"?","~?"))/$C390)</f>
        <v>1.0</v>
      </c>
      <c r="E390" s="10">
        <f>IF($C390=0,"",SUMIFS('DEF_SELF_SCOUT_IMPORT'!$K$42:$K$1040,'DEF_SELF_SCOUT_IMPORT'!$L$42:$L$1040,"Y",'DEF_SELF_SCOUT_IMPORT'!$E$42:$E$1040,SUBSTITUTE(SUBSTITUTE(SUBSTITUTE($B390,"~","~~"),"*","~*"),"?","~?"),'DEF_SELF_SCOUT_IMPORT'!$Q$42:$Q$1040,SUBSTITUTE(SUBSTITUTE(SUBSTITUTE($M390,"~","~~"),"*","~*"),"?","~?"),'DEF_SELF_SCOUT_IMPORT'!$G$42:$G$1040,SUBSTITUTE(SUBSTITUTE(SUBSTITUTE($O390,"~","~~"),"*","~*"),"?","~?"))/$C390)</f>
        <v>0.0</v>
      </c>
      <c r="F390" s="11">
        <f>IF($C390=0,"",AVERAGEIFS('DEF_SELF_SCOUT_IMPORT'!$I$42:$I$1040,'DEF_SELF_SCOUT_IMPORT'!$L$42:$L$1040,"Y",'DEF_SELF_SCOUT_IMPORT'!$E$42:$E$1040,SUBSTITUTE(SUBSTITUTE(SUBSTITUTE($B390,"~","~~"),"*","~*"),"?","~?"),'DEF_SELF_SCOUT_IMPORT'!$Q$42:$Q$1040,SUBSTITUTE(SUBSTITUTE(SUBSTITUTE($M390,"~","~~"),"*","~*"),"?","~?"),'DEF_SELF_SCOUT_IMPORT'!$G$42:$G$1040,SUBSTITUTE(SUBSTITUTE(SUBSTITUTE($O390,"~","~~"),"*","~*"),"?","~?")))</f>
        <v>4.0</v>
      </c>
      <c r="G390" s="10">
        <f>IF($C390=0,"",COUNTIFS('DEF_SELF_SCOUT_IMPORT'!$L$42:$L$1040,"Y",'DEF_SELF_SCOUT_IMPORT'!$E$42:$E$1040,SUBSTITUTE(SUBSTITUTE(SUBSTITUTE($B390,"~","~~"),"*","~*"),"?","~?"),'DEF_SELF_SCOUT_IMPORT'!$Q$42:$Q$1040,SUBSTITUTE(SUBSTITUTE(SUBSTITUTE($M390,"~","~~"),"*","~*"),"?","~?"),'DEF_SELF_SCOUT_IMPORT'!$G$42:$G$1040,SUBSTITUTE(SUBSTITUTE(SUBSTITUTE($O390,"~","~~"),"*","~*"),"?","~?"),'DEF_SELF_SCOUT_IMPORT'!$H$42:$H$1040,"RUSH")/$C390)</f>
        <v>0.25</v>
      </c>
      <c r="H390" s="10">
        <f>IF($C390=0,"",COUNTIFS('DEF_SELF_SCOUT_IMPORT'!$L$42:$L$1040,"Y",'DEF_SELF_SCOUT_IMPORT'!$E$42:$E$1040,SUBSTITUTE(SUBSTITUTE(SUBSTITUTE($B390,"~","~~"),"*","~*"),"?","~?"),'DEF_SELF_SCOUT_IMPORT'!$Q$42:$Q$1040,SUBSTITUTE(SUBSTITUTE(SUBSTITUTE($M390,"~","~~"),"*","~*"),"?","~?"),'DEF_SELF_SCOUT_IMPORT'!$G$42:$G$1040,SUBSTITUTE(SUBSTITUTE(SUBSTITUTE($O390,"~","~~"),"*","~*"),"?","~?"),'DEF_SELF_SCOUT_IMPORT'!$H$42:$H$1040,"DROPBACK")/$C390)</f>
        <v>0.75</v>
      </c>
      <c r="I390" s="14" t="str">
        <f>IF(C390=0,"",IF(C390&lt;=2,"TRACK",IF(C390=3,"LOW",IF(C390&lt;=6,"MEDIUM","HIGH"))))</f>
        <v>MEDIUM</v>
      </c>
      <c r="J390" s="11">
        <f>IF(C390=0,"",ROUND(D390*70+(1-E390)*20+MAX(0,MIN(1,(10-F390)/10))*10,1))</f>
        <v>96.0</v>
      </c>
      <c r="K390" s="14" t="str">
        <f>IF(C390=0,"No Evidence",IF(C390&lt;=2,IF(E390&gt;0,"Explosive Alert","Track Only"),IF(C390=3,"Sample Watch",IF(E390&gt;=START_HERE!$B$31,"Explosive Alert",IF(J390&gt;=80,"Strong Candidate",IF(J390&gt;=65,"Good Candidate",IF(J390&gt;=50,"Mixed / Review","Problem Call")))))))</f>
        <v>Strong Candidate</v>
      </c>
      <c r="L390" s="9" t="str">
        <f>IF(COUNTIFS('DEF_SELF_SCOUT_IMPORT'!$L$42:$L$1040,"Y",'DEF_SELF_SCOUT_IMPORT'!$E$42:$E$1040,SUBSTITUTE(SUBSTITUTE(SUBSTITUTE($B390,"~","~~"),"*","~*"),"?","~?"),'DEF_SELF_SCOUT_IMPORT'!$Q$42:$Q$1040,SUBSTITUTE(SUBSTITUTE(SUBSTITUTE($M390,"~","~~"),"*","~*"),"?","~?"),'DEF_SELF_SCOUT_IMPORT'!$G$42:$G$1040,SUBSTITUTE(SUBSTITUTE(SUBSTITUTE($O390,"~","~~"),"*","~*"),"?","~?"),'DEF_SELF_SCOUT_IMPORT'!$J$42:$J$1040,"")&gt;0,"Unscored clean outcome; review result tags before using score.",IF(C390=0,"No matching defensive reps; film confirmation needed.",IF(K390="Explosive Alert","Explosive risk; review clips before using as answer.",IF(C390&lt;=2,"Track only; not enough sample.",IF(C390=3,IF(E390&gt;0,"Sample watch with explosive exposure; review clips and build the sample.",IF(J390&gt;=65,"Good signal, but sample is limited.","Sample watch; review clips and build the sample.")),IF(K390="Problem Call","Problem area; practice or call-sheet review.",IF(K390="Strong Candidate","Strong call-fit candidate; confirm on film.",IF(K390="Good Candidate","Good call-fit signal; confirm on film.","Mixed signal; review fit and execution on film."))))))))</f>
        <v>Strong call-fit candidate; confirm on film.</v>
      </c>
      <c r="M390" s="8" t="s">
        <v>39</v>
      </c>
      <c r="N390" s="8"/>
      <c r="O390" s="8" t="s">
        <v>203</v>
      </c>
      <c r="P390" s="8"/>
      <c r="Q390" s="8"/>
      <c r="R390" s="8" t="s">
        <v>45</v>
      </c>
      <c r="S390" s="2" t="s">
        <v>218</v>
      </c>
      <c r="T390" s="2">
        <f>IF(C390=0,0,IF(C390&gt;=CALL_LOOKUP_BOARD!$B$7,IF(OR(K390="Problem Call",K390="Explosive Alert"),10000000,20000000),0)+IF(C390&gt;=CALL_LOOKUP_BOARD!$B$7,J390*1000+MIN(C390,999),C390*1000+J390)+0.00998400)</f>
        <v>20096004.009984</v>
      </c>
      <c r="U390" s="2" t="str">
        <f>IF(C390=0,"",IF(COUNTIFS($S$375:$S$581,SUBSTITUTE(SUBSTITUTE(SUBSTITUTE(S390,"~","~~"),"*","~*"),"?","~?"),$T$375:$T$581,"&gt;"&amp;T390)=0,S390,""))</f>
        <v>7:1D 7-10|3:2X2|</v>
      </c>
    </row>
    <row r="391" spans="1:21" ht="38" customHeight="1">
      <c r="A391" s="8" t="s">
        <v>217</v>
      </c>
      <c r="B391" s="8" t="s">
        <v>54</v>
      </c>
      <c r="C391" s="12">
        <f>COUNTIFS('DEF_SELF_SCOUT_IMPORT'!$L$42:$L$1040,"Y",'DEF_SELF_SCOUT_IMPORT'!$E$42:$E$1040,SUBSTITUTE(SUBSTITUTE(SUBSTITUTE($B391,"~","~~"),"*","~*"),"?","~?"),'DEF_SELF_SCOUT_IMPORT'!$Q$42:$Q$1040,SUBSTITUTE(SUBSTITUTE(SUBSTITUTE($M391,"~","~~"),"*","~*"),"?","~?"),'DEF_SELF_SCOUT_IMPORT'!$G$42:$G$1040,SUBSTITUTE(SUBSTITUTE(SUBSTITUTE($O391,"~","~~"),"*","~*"),"?","~?"))</f>
        <v>1</v>
      </c>
      <c r="D391" s="10">
        <f>IF($C391=0,"",SUMIFS('DEF_SELF_SCOUT_IMPORT'!$J$42:$J$1040,'DEF_SELF_SCOUT_IMPORT'!$L$42:$L$1040,"Y",'DEF_SELF_SCOUT_IMPORT'!$E$42:$E$1040,SUBSTITUTE(SUBSTITUTE(SUBSTITUTE($B391,"~","~~"),"*","~*"),"?","~?"),'DEF_SELF_SCOUT_IMPORT'!$Q$42:$Q$1040,SUBSTITUTE(SUBSTITUTE(SUBSTITUTE($M391,"~","~~"),"*","~*"),"?","~?"),'DEF_SELF_SCOUT_IMPORT'!$G$42:$G$1040,SUBSTITUTE(SUBSTITUTE(SUBSTITUTE($O391,"~","~~"),"*","~*"),"?","~?"))/$C391)</f>
        <v>1.0</v>
      </c>
      <c r="E391" s="10">
        <f>IF($C391=0,"",SUMIFS('DEF_SELF_SCOUT_IMPORT'!$K$42:$K$1040,'DEF_SELF_SCOUT_IMPORT'!$L$42:$L$1040,"Y",'DEF_SELF_SCOUT_IMPORT'!$E$42:$E$1040,SUBSTITUTE(SUBSTITUTE(SUBSTITUTE($B391,"~","~~"),"*","~*"),"?","~?"),'DEF_SELF_SCOUT_IMPORT'!$Q$42:$Q$1040,SUBSTITUTE(SUBSTITUTE(SUBSTITUTE($M391,"~","~~"),"*","~*"),"?","~?"),'DEF_SELF_SCOUT_IMPORT'!$G$42:$G$1040,SUBSTITUTE(SUBSTITUTE(SUBSTITUTE($O391,"~","~~"),"*","~*"),"?","~?"))/$C391)</f>
        <v>0.0</v>
      </c>
      <c r="F391" s="11">
        <f>IF($C391=0,"",AVERAGEIFS('DEF_SELF_SCOUT_IMPORT'!$I$42:$I$1040,'DEF_SELF_SCOUT_IMPORT'!$L$42:$L$1040,"Y",'DEF_SELF_SCOUT_IMPORT'!$E$42:$E$1040,SUBSTITUTE(SUBSTITUTE(SUBSTITUTE($B391,"~","~~"),"*","~*"),"?","~?"),'DEF_SELF_SCOUT_IMPORT'!$Q$42:$Q$1040,SUBSTITUTE(SUBSTITUTE(SUBSTITUTE($M391,"~","~~"),"*","~*"),"?","~?"),'DEF_SELF_SCOUT_IMPORT'!$G$42:$G$1040,SUBSTITUTE(SUBSTITUTE(SUBSTITUTE($O391,"~","~~"),"*","~*"),"?","~?")))</f>
        <v>3.0</v>
      </c>
      <c r="G391" s="10">
        <f>IF($C391=0,"",COUNTIFS('DEF_SELF_SCOUT_IMPORT'!$L$42:$L$1040,"Y",'DEF_SELF_SCOUT_IMPORT'!$E$42:$E$1040,SUBSTITUTE(SUBSTITUTE(SUBSTITUTE($B391,"~","~~"),"*","~*"),"?","~?"),'DEF_SELF_SCOUT_IMPORT'!$Q$42:$Q$1040,SUBSTITUTE(SUBSTITUTE(SUBSTITUTE($M391,"~","~~"),"*","~*"),"?","~?"),'DEF_SELF_SCOUT_IMPORT'!$G$42:$G$1040,SUBSTITUTE(SUBSTITUTE(SUBSTITUTE($O391,"~","~~"),"*","~*"),"?","~?"),'DEF_SELF_SCOUT_IMPORT'!$H$42:$H$1040,"RUSH")/$C391)</f>
        <v>0.0</v>
      </c>
      <c r="H391" s="10">
        <f>IF($C391=0,"",COUNTIFS('DEF_SELF_SCOUT_IMPORT'!$L$42:$L$1040,"Y",'DEF_SELF_SCOUT_IMPORT'!$E$42:$E$1040,SUBSTITUTE(SUBSTITUTE(SUBSTITUTE($B391,"~","~~"),"*","~*"),"?","~?"),'DEF_SELF_SCOUT_IMPORT'!$Q$42:$Q$1040,SUBSTITUTE(SUBSTITUTE(SUBSTITUTE($M391,"~","~~"),"*","~*"),"?","~?"),'DEF_SELF_SCOUT_IMPORT'!$G$42:$G$1040,SUBSTITUTE(SUBSTITUTE(SUBSTITUTE($O391,"~","~~"),"*","~*"),"?","~?"),'DEF_SELF_SCOUT_IMPORT'!$H$42:$H$1040,"DROPBACK")/$C391)</f>
        <v>1.0</v>
      </c>
      <c r="I391" s="14" t="str">
        <f>IF(C391=0,"",IF(C391&lt;=2,"TRACK",IF(C391=3,"LOW",IF(C391&lt;=6,"MEDIUM","HIGH"))))</f>
        <v>TRACK</v>
      </c>
      <c r="J391" s="11">
        <f>IF(C391=0,"",ROUND(D391*70+(1-E391)*20+MAX(0,MIN(1,(10-F391)/10))*10,1))</f>
        <v>97.0</v>
      </c>
      <c r="K391" s="14" t="str">
        <f>IF(C391=0,"No Evidence",IF(C391&lt;=2,IF(E391&gt;0,"Explosive Alert","Track Only"),IF(C391=3,"Sample Watch",IF(E391&gt;=START_HERE!$B$31,"Explosive Alert",IF(J391&gt;=80,"Strong Candidate",IF(J391&gt;=65,"Good Candidate",IF(J391&gt;=50,"Mixed / Review","Problem Call")))))))</f>
        <v>Track Only</v>
      </c>
      <c r="L391" s="9" t="str">
        <f>IF(COUNTIFS('DEF_SELF_SCOUT_IMPORT'!$L$42:$L$1040,"Y",'DEF_SELF_SCOUT_IMPORT'!$E$42:$E$1040,SUBSTITUTE(SUBSTITUTE(SUBSTITUTE($B391,"~","~~"),"*","~*"),"?","~?"),'DEF_SELF_SCOUT_IMPORT'!$Q$42:$Q$1040,SUBSTITUTE(SUBSTITUTE(SUBSTITUTE($M391,"~","~~"),"*","~*"),"?","~?"),'DEF_SELF_SCOUT_IMPORT'!$G$42:$G$1040,SUBSTITUTE(SUBSTITUTE(SUBSTITUTE($O391,"~","~~"),"*","~*"),"?","~?"),'DEF_SELF_SCOUT_IMPORT'!$J$42:$J$1040,"")&gt;0,"Unscored clean outcome; review result tags before using score.",IF(C391=0,"No matching defensive reps; film confirmation needed.",IF(K391="Explosive Alert","Explosive risk; review clips before using as answer.",IF(C391&lt;=2,"Track only; not enough sample.",IF(C391=3,IF(E391&gt;0,"Sample watch with explosive exposure; review clips and build the sample.",IF(J391&gt;=65,"Good signal, but sample is limited.","Sample watch; review clips and build the sample.")),IF(K391="Problem Call","Problem area; practice or call-sheet review.",IF(K391="Strong Candidate","Strong call-fit candidate; confirm on film.",IF(K391="Good Candidate","Good call-fit signal; confirm on film.","Mixed signal; review fit and execution on film."))))))))</f>
        <v>Track only; not enough sample.</v>
      </c>
      <c r="M391" s="8" t="s">
        <v>39</v>
      </c>
      <c r="N391" s="8"/>
      <c r="O391" s="8" t="s">
        <v>203</v>
      </c>
      <c r="P391" s="8"/>
      <c r="Q391" s="8"/>
      <c r="R391" s="8" t="s">
        <v>28</v>
      </c>
      <c r="S391" s="2" t="s">
        <v>218</v>
      </c>
      <c r="T391" s="2">
        <f>IF(C391=0,0,IF(C391&gt;=CALL_LOOKUP_BOARD!$B$7,IF(OR(K391="Problem Call",K391="Explosive Alert"),10000000,20000000),0)+IF(C391&gt;=CALL_LOOKUP_BOARD!$B$7,J391*1000+MIN(C391,999),C391*1000+J391)+0.00998300)</f>
        <v>1097.009983</v>
      </c>
      <c r="U391" s="2">
        <f>IF(C391=0,"",IF(COUNTIFS($S$375:$S$581,SUBSTITUTE(SUBSTITUTE(SUBSTITUTE(S391,"~","~~"),"*","~*"),"?","~?"),$T$375:$T$581,"&gt;"&amp;T391)=0,S391,""))</f>
        <v/>
      </c>
    </row>
    <row r="392" spans="1:21" ht="38" customHeight="1">
      <c r="A392" s="8" t="s">
        <v>217</v>
      </c>
      <c r="B392" s="8" t="s">
        <v>55</v>
      </c>
      <c r="C392" s="12">
        <f>COUNTIFS('DEF_SELF_SCOUT_IMPORT'!$L$42:$L$1040,"Y",'DEF_SELF_SCOUT_IMPORT'!$E$42:$E$1040,SUBSTITUTE(SUBSTITUTE(SUBSTITUTE($B392,"~","~~"),"*","~*"),"?","~?"),'DEF_SELF_SCOUT_IMPORT'!$Q$42:$Q$1040,SUBSTITUTE(SUBSTITUTE(SUBSTITUTE($M392,"~","~~"),"*","~*"),"?","~?"),'DEF_SELF_SCOUT_IMPORT'!$G$42:$G$1040,SUBSTITUTE(SUBSTITUTE(SUBSTITUTE($O392,"~","~~"),"*","~*"),"?","~?"))</f>
        <v>1</v>
      </c>
      <c r="D392" s="10">
        <f>IF($C392=0,"",SUMIFS('DEF_SELF_SCOUT_IMPORT'!$J$42:$J$1040,'DEF_SELF_SCOUT_IMPORT'!$L$42:$L$1040,"Y",'DEF_SELF_SCOUT_IMPORT'!$E$42:$E$1040,SUBSTITUTE(SUBSTITUTE(SUBSTITUTE($B392,"~","~~"),"*","~*"),"?","~?"),'DEF_SELF_SCOUT_IMPORT'!$Q$42:$Q$1040,SUBSTITUTE(SUBSTITUTE(SUBSTITUTE($M392,"~","~~"),"*","~*"),"?","~?"),'DEF_SELF_SCOUT_IMPORT'!$G$42:$G$1040,SUBSTITUTE(SUBSTITUTE(SUBSTITUTE($O392,"~","~~"),"*","~*"),"?","~?"))/$C392)</f>
        <v>0.0</v>
      </c>
      <c r="E392" s="10">
        <f>IF($C392=0,"",SUMIFS('DEF_SELF_SCOUT_IMPORT'!$K$42:$K$1040,'DEF_SELF_SCOUT_IMPORT'!$L$42:$L$1040,"Y",'DEF_SELF_SCOUT_IMPORT'!$E$42:$E$1040,SUBSTITUTE(SUBSTITUTE(SUBSTITUTE($B392,"~","~~"),"*","~*"),"?","~?"),'DEF_SELF_SCOUT_IMPORT'!$Q$42:$Q$1040,SUBSTITUTE(SUBSTITUTE(SUBSTITUTE($M392,"~","~~"),"*","~*"),"?","~?"),'DEF_SELF_SCOUT_IMPORT'!$G$42:$G$1040,SUBSTITUTE(SUBSTITUTE(SUBSTITUTE($O392,"~","~~"),"*","~*"),"?","~?"))/$C392)</f>
        <v>0.0</v>
      </c>
      <c r="F392" s="11">
        <f>IF($C392=0,"",AVERAGEIFS('DEF_SELF_SCOUT_IMPORT'!$I$42:$I$1040,'DEF_SELF_SCOUT_IMPORT'!$L$42:$L$1040,"Y",'DEF_SELF_SCOUT_IMPORT'!$E$42:$E$1040,SUBSTITUTE(SUBSTITUTE(SUBSTITUTE($B392,"~","~~"),"*","~*"),"?","~?"),'DEF_SELF_SCOUT_IMPORT'!$Q$42:$Q$1040,SUBSTITUTE(SUBSTITUTE(SUBSTITUTE($M392,"~","~~"),"*","~*"),"?","~?"),'DEF_SELF_SCOUT_IMPORT'!$G$42:$G$1040,SUBSTITUTE(SUBSTITUTE(SUBSTITUTE($O392,"~","~~"),"*","~*"),"?","~?")))</f>
        <v>9.0</v>
      </c>
      <c r="G392" s="10">
        <f>IF($C392=0,"",COUNTIFS('DEF_SELF_SCOUT_IMPORT'!$L$42:$L$1040,"Y",'DEF_SELF_SCOUT_IMPORT'!$E$42:$E$1040,SUBSTITUTE(SUBSTITUTE(SUBSTITUTE($B392,"~","~~"),"*","~*"),"?","~?"),'DEF_SELF_SCOUT_IMPORT'!$Q$42:$Q$1040,SUBSTITUTE(SUBSTITUTE(SUBSTITUTE($M392,"~","~~"),"*","~*"),"?","~?"),'DEF_SELF_SCOUT_IMPORT'!$G$42:$G$1040,SUBSTITUTE(SUBSTITUTE(SUBSTITUTE($O392,"~","~~"),"*","~*"),"?","~?"),'DEF_SELF_SCOUT_IMPORT'!$H$42:$H$1040,"RUSH")/$C392)</f>
        <v>1.0</v>
      </c>
      <c r="H392" s="10">
        <f>IF($C392=0,"",COUNTIFS('DEF_SELF_SCOUT_IMPORT'!$L$42:$L$1040,"Y",'DEF_SELF_SCOUT_IMPORT'!$E$42:$E$1040,SUBSTITUTE(SUBSTITUTE(SUBSTITUTE($B392,"~","~~"),"*","~*"),"?","~?"),'DEF_SELF_SCOUT_IMPORT'!$Q$42:$Q$1040,SUBSTITUTE(SUBSTITUTE(SUBSTITUTE($M392,"~","~~"),"*","~*"),"?","~?"),'DEF_SELF_SCOUT_IMPORT'!$G$42:$G$1040,SUBSTITUTE(SUBSTITUTE(SUBSTITUTE($O392,"~","~~"),"*","~*"),"?","~?"),'DEF_SELF_SCOUT_IMPORT'!$H$42:$H$1040,"DROPBACK")/$C392)</f>
        <v>0.0</v>
      </c>
      <c r="I392" s="14" t="str">
        <f>IF(C392=0,"",IF(C392&lt;=2,"TRACK",IF(C392=3,"LOW",IF(C392&lt;=6,"MEDIUM","HIGH"))))</f>
        <v>TRACK</v>
      </c>
      <c r="J392" s="11">
        <f>IF(C392=0,"",ROUND(D392*70+(1-E392)*20+MAX(0,MIN(1,(10-F392)/10))*10,1))</f>
        <v>21.0</v>
      </c>
      <c r="K392" s="14" t="str">
        <f>IF(C392=0,"No Evidence",IF(C392&lt;=2,IF(E392&gt;0,"Explosive Alert","Track Only"),IF(C392=3,"Sample Watch",IF(E392&gt;=START_HERE!$B$31,"Explosive Alert",IF(J392&gt;=80,"Strong Candidate",IF(J392&gt;=65,"Good Candidate",IF(J392&gt;=50,"Mixed / Review","Problem Call")))))))</f>
        <v>Track Only</v>
      </c>
      <c r="L392" s="9" t="str">
        <f>IF(COUNTIFS('DEF_SELF_SCOUT_IMPORT'!$L$42:$L$1040,"Y",'DEF_SELF_SCOUT_IMPORT'!$E$42:$E$1040,SUBSTITUTE(SUBSTITUTE(SUBSTITUTE($B392,"~","~~"),"*","~*"),"?","~?"),'DEF_SELF_SCOUT_IMPORT'!$Q$42:$Q$1040,SUBSTITUTE(SUBSTITUTE(SUBSTITUTE($M392,"~","~~"),"*","~*"),"?","~?"),'DEF_SELF_SCOUT_IMPORT'!$G$42:$G$1040,SUBSTITUTE(SUBSTITUTE(SUBSTITUTE($O392,"~","~~"),"*","~*"),"?","~?"),'DEF_SELF_SCOUT_IMPORT'!$J$42:$J$1040,"")&gt;0,"Unscored clean outcome; review result tags before using score.",IF(C392=0,"No matching defensive reps; film confirmation needed.",IF(K392="Explosive Alert","Explosive risk; review clips before using as answer.",IF(C392&lt;=2,"Track only; not enough sample.",IF(C392=3,IF(E392&gt;0,"Sample watch with explosive exposure; review clips and build the sample.",IF(J392&gt;=65,"Good signal, but sample is limited.","Sample watch; review clips and build the sample.")),IF(K392="Problem Call","Problem area; practice or call-sheet review.",IF(K392="Strong Candidate","Strong call-fit candidate; confirm on film.",IF(K392="Good Candidate","Good call-fit signal; confirm on film.","Mixed signal; review fit and execution on film."))))))))</f>
        <v>Track only; not enough sample.</v>
      </c>
      <c r="M392" s="8" t="s">
        <v>39</v>
      </c>
      <c r="N392" s="8"/>
      <c r="O392" s="8" t="s">
        <v>203</v>
      </c>
      <c r="P392" s="8"/>
      <c r="Q392" s="8"/>
      <c r="R392" s="8" t="s">
        <v>28</v>
      </c>
      <c r="S392" s="2" t="s">
        <v>218</v>
      </c>
      <c r="T392" s="2">
        <f>IF(C392=0,0,IF(C392&gt;=CALL_LOOKUP_BOARD!$B$7,IF(OR(K392="Problem Call",K392="Explosive Alert"),10000000,20000000),0)+IF(C392&gt;=CALL_LOOKUP_BOARD!$B$7,J392*1000+MIN(C392,999),C392*1000+J392)+0.00998200)</f>
        <v>1021.009982</v>
      </c>
      <c r="U392" s="2">
        <f>IF(C392=0,"",IF(COUNTIFS($S$375:$S$581,SUBSTITUTE(SUBSTITUTE(SUBSTITUTE(S392,"~","~~"),"*","~*"),"?","~?"),$T$375:$T$581,"&gt;"&amp;T392)=0,S392,""))</f>
        <v/>
      </c>
    </row>
    <row r="393" spans="1:21" ht="38" customHeight="1">
      <c r="A393" s="8" t="s">
        <v>217</v>
      </c>
      <c r="B393" s="8" t="s">
        <v>56</v>
      </c>
      <c r="C393" s="12">
        <f>COUNTIFS('DEF_SELF_SCOUT_IMPORT'!$L$42:$L$1040,"Y",'DEF_SELF_SCOUT_IMPORT'!$E$42:$E$1040,SUBSTITUTE(SUBSTITUTE(SUBSTITUTE($B393,"~","~~"),"*","~*"),"?","~?"),'DEF_SELF_SCOUT_IMPORT'!$Q$42:$Q$1040,SUBSTITUTE(SUBSTITUTE(SUBSTITUTE($M393,"~","~~"),"*","~*"),"?","~?"),'DEF_SELF_SCOUT_IMPORT'!$G$42:$G$1040,SUBSTITUTE(SUBSTITUTE(SUBSTITUTE($O393,"~","~~"),"*","~*"),"?","~?"))</f>
        <v>1</v>
      </c>
      <c r="D393" s="10">
        <f>IF($C393=0,"",SUMIFS('DEF_SELF_SCOUT_IMPORT'!$J$42:$J$1040,'DEF_SELF_SCOUT_IMPORT'!$L$42:$L$1040,"Y",'DEF_SELF_SCOUT_IMPORT'!$E$42:$E$1040,SUBSTITUTE(SUBSTITUTE(SUBSTITUTE($B393,"~","~~"),"*","~*"),"?","~?"),'DEF_SELF_SCOUT_IMPORT'!$Q$42:$Q$1040,SUBSTITUTE(SUBSTITUTE(SUBSTITUTE($M393,"~","~~"),"*","~*"),"?","~?"),'DEF_SELF_SCOUT_IMPORT'!$G$42:$G$1040,SUBSTITUTE(SUBSTITUTE(SUBSTITUTE($O393,"~","~~"),"*","~*"),"?","~?"))/$C393)</f>
        <v>0.0</v>
      </c>
      <c r="E393" s="10">
        <f>IF($C393=0,"",SUMIFS('DEF_SELF_SCOUT_IMPORT'!$K$42:$K$1040,'DEF_SELF_SCOUT_IMPORT'!$L$42:$L$1040,"Y",'DEF_SELF_SCOUT_IMPORT'!$E$42:$E$1040,SUBSTITUTE(SUBSTITUTE(SUBSTITUTE($B393,"~","~~"),"*","~*"),"?","~?"),'DEF_SELF_SCOUT_IMPORT'!$Q$42:$Q$1040,SUBSTITUTE(SUBSTITUTE(SUBSTITUTE($M393,"~","~~"),"*","~*"),"?","~?"),'DEF_SELF_SCOUT_IMPORT'!$G$42:$G$1040,SUBSTITUTE(SUBSTITUTE(SUBSTITUTE($O393,"~","~~"),"*","~*"),"?","~?"))/$C393)</f>
        <v>0.0</v>
      </c>
      <c r="F393" s="11">
        <f>IF($C393=0,"",AVERAGEIFS('DEF_SELF_SCOUT_IMPORT'!$I$42:$I$1040,'DEF_SELF_SCOUT_IMPORT'!$L$42:$L$1040,"Y",'DEF_SELF_SCOUT_IMPORT'!$E$42:$E$1040,SUBSTITUTE(SUBSTITUTE(SUBSTITUTE($B393,"~","~~"),"*","~*"),"?","~?"),'DEF_SELF_SCOUT_IMPORT'!$Q$42:$Q$1040,SUBSTITUTE(SUBSTITUTE(SUBSTITUTE($M393,"~","~~"),"*","~*"),"?","~?"),'DEF_SELF_SCOUT_IMPORT'!$G$42:$G$1040,SUBSTITUTE(SUBSTITUTE(SUBSTITUTE($O393,"~","~~"),"*","~*"),"?","~?")))</f>
        <v>4.0</v>
      </c>
      <c r="G393" s="10">
        <f>IF($C393=0,"",COUNTIFS('DEF_SELF_SCOUT_IMPORT'!$L$42:$L$1040,"Y",'DEF_SELF_SCOUT_IMPORT'!$E$42:$E$1040,SUBSTITUTE(SUBSTITUTE(SUBSTITUTE($B393,"~","~~"),"*","~*"),"?","~?"),'DEF_SELF_SCOUT_IMPORT'!$Q$42:$Q$1040,SUBSTITUTE(SUBSTITUTE(SUBSTITUTE($M393,"~","~~"),"*","~*"),"?","~?"),'DEF_SELF_SCOUT_IMPORT'!$G$42:$G$1040,SUBSTITUTE(SUBSTITUTE(SUBSTITUTE($O393,"~","~~"),"*","~*"),"?","~?"),'DEF_SELF_SCOUT_IMPORT'!$H$42:$H$1040,"RUSH")/$C393)</f>
        <v>1.0</v>
      </c>
      <c r="H393" s="10">
        <f>IF($C393=0,"",COUNTIFS('DEF_SELF_SCOUT_IMPORT'!$L$42:$L$1040,"Y",'DEF_SELF_SCOUT_IMPORT'!$E$42:$E$1040,SUBSTITUTE(SUBSTITUTE(SUBSTITUTE($B393,"~","~~"),"*","~*"),"?","~?"),'DEF_SELF_SCOUT_IMPORT'!$Q$42:$Q$1040,SUBSTITUTE(SUBSTITUTE(SUBSTITUTE($M393,"~","~~"),"*","~*"),"?","~?"),'DEF_SELF_SCOUT_IMPORT'!$G$42:$G$1040,SUBSTITUTE(SUBSTITUTE(SUBSTITUTE($O393,"~","~~"),"*","~*"),"?","~?"),'DEF_SELF_SCOUT_IMPORT'!$H$42:$H$1040,"DROPBACK")/$C393)</f>
        <v>0.0</v>
      </c>
      <c r="I393" s="14" t="str">
        <f>IF(C393=0,"",IF(C393&lt;=2,"TRACK",IF(C393=3,"LOW",IF(C393&lt;=6,"MEDIUM","HIGH"))))</f>
        <v>TRACK</v>
      </c>
      <c r="J393" s="11">
        <f>IF(C393=0,"",ROUND(D393*70+(1-E393)*20+MAX(0,MIN(1,(10-F393)/10))*10,1))</f>
        <v>26.0</v>
      </c>
      <c r="K393" s="14" t="str">
        <f>IF(C393=0,"No Evidence",IF(C393&lt;=2,IF(E393&gt;0,"Explosive Alert","Track Only"),IF(C393=3,"Sample Watch",IF(E393&gt;=START_HERE!$B$31,"Explosive Alert",IF(J393&gt;=80,"Strong Candidate",IF(J393&gt;=65,"Good Candidate",IF(J393&gt;=50,"Mixed / Review","Problem Call")))))))</f>
        <v>Track Only</v>
      </c>
      <c r="L393" s="9" t="str">
        <f>IF(COUNTIFS('DEF_SELF_SCOUT_IMPORT'!$L$42:$L$1040,"Y",'DEF_SELF_SCOUT_IMPORT'!$E$42:$E$1040,SUBSTITUTE(SUBSTITUTE(SUBSTITUTE($B393,"~","~~"),"*","~*"),"?","~?"),'DEF_SELF_SCOUT_IMPORT'!$Q$42:$Q$1040,SUBSTITUTE(SUBSTITUTE(SUBSTITUTE($M393,"~","~~"),"*","~*"),"?","~?"),'DEF_SELF_SCOUT_IMPORT'!$G$42:$G$1040,SUBSTITUTE(SUBSTITUTE(SUBSTITUTE($O393,"~","~~"),"*","~*"),"?","~?"),'DEF_SELF_SCOUT_IMPORT'!$J$42:$J$1040,"")&gt;0,"Unscored clean outcome; review result tags before using score.",IF(C393=0,"No matching defensive reps; film confirmation needed.",IF(K393="Explosive Alert","Explosive risk; review clips before using as answer.",IF(C393&lt;=2,"Track only; not enough sample.",IF(C393=3,IF(E393&gt;0,"Sample watch with explosive exposure; review clips and build the sample.",IF(J393&gt;=65,"Good signal, but sample is limited.","Sample watch; review clips and build the sample.")),IF(K393="Problem Call","Problem area; practice or call-sheet review.",IF(K393="Strong Candidate","Strong call-fit candidate; confirm on film.",IF(K393="Good Candidate","Good call-fit signal; confirm on film.","Mixed signal; review fit and execution on film."))))))))</f>
        <v>Track only; not enough sample.</v>
      </c>
      <c r="M393" s="8" t="s">
        <v>39</v>
      </c>
      <c r="N393" s="8"/>
      <c r="O393" s="8" t="s">
        <v>203</v>
      </c>
      <c r="P393" s="8"/>
      <c r="Q393" s="8"/>
      <c r="R393" s="8" t="s">
        <v>28</v>
      </c>
      <c r="S393" s="2" t="s">
        <v>218</v>
      </c>
      <c r="T393" s="2">
        <f>IF(C393=0,0,IF(C393&gt;=CALL_LOOKUP_BOARD!$B$7,IF(OR(K393="Problem Call",K393="Explosive Alert"),10000000,20000000),0)+IF(C393&gt;=CALL_LOOKUP_BOARD!$B$7,J393*1000+MIN(C393,999),C393*1000+J393)+0.00998100)</f>
        <v>1026.009981</v>
      </c>
      <c r="U393" s="2">
        <f>IF(C393=0,"",IF(COUNTIFS($S$375:$S$581,SUBSTITUTE(SUBSTITUTE(SUBSTITUTE(S393,"~","~~"),"*","~*"),"?","~?"),$T$375:$T$581,"&gt;"&amp;T393)=0,S393,""))</f>
        <v/>
      </c>
    </row>
    <row r="394" spans="1:21" ht="38" customHeight="1">
      <c r="A394" s="8" t="s">
        <v>217</v>
      </c>
      <c r="B394" s="8" t="s">
        <v>58</v>
      </c>
      <c r="C394" s="12">
        <f>COUNTIFS('DEF_SELF_SCOUT_IMPORT'!$L$42:$L$1040,"Y",'DEF_SELF_SCOUT_IMPORT'!$E$42:$E$1040,SUBSTITUTE(SUBSTITUTE(SUBSTITUTE($B394,"~","~~"),"*","~*"),"?","~?"),'DEF_SELF_SCOUT_IMPORT'!$Q$42:$Q$1040,SUBSTITUTE(SUBSTITUTE(SUBSTITUTE($M394,"~","~~"),"*","~*"),"?","~?"),'DEF_SELF_SCOUT_IMPORT'!$G$42:$G$1040,SUBSTITUTE(SUBSTITUTE(SUBSTITUTE($O394,"~","~~"),"*","~*"),"?","~?"))</f>
        <v>1</v>
      </c>
      <c r="D394" s="10">
        <f>IF($C394=0,"",SUMIFS('DEF_SELF_SCOUT_IMPORT'!$J$42:$J$1040,'DEF_SELF_SCOUT_IMPORT'!$L$42:$L$1040,"Y",'DEF_SELF_SCOUT_IMPORT'!$E$42:$E$1040,SUBSTITUTE(SUBSTITUTE(SUBSTITUTE($B394,"~","~~"),"*","~*"),"?","~?"),'DEF_SELF_SCOUT_IMPORT'!$Q$42:$Q$1040,SUBSTITUTE(SUBSTITUTE(SUBSTITUTE($M394,"~","~~"),"*","~*"),"?","~?"),'DEF_SELF_SCOUT_IMPORT'!$G$42:$G$1040,SUBSTITUTE(SUBSTITUTE(SUBSTITUTE($O394,"~","~~"),"*","~*"),"?","~?"))/$C394)</f>
        <v>1.0</v>
      </c>
      <c r="E394" s="10">
        <f>IF($C394=0,"",SUMIFS('DEF_SELF_SCOUT_IMPORT'!$K$42:$K$1040,'DEF_SELF_SCOUT_IMPORT'!$L$42:$L$1040,"Y",'DEF_SELF_SCOUT_IMPORT'!$E$42:$E$1040,SUBSTITUTE(SUBSTITUTE(SUBSTITUTE($B394,"~","~~"),"*","~*"),"?","~?"),'DEF_SELF_SCOUT_IMPORT'!$Q$42:$Q$1040,SUBSTITUTE(SUBSTITUTE(SUBSTITUTE($M394,"~","~~"),"*","~*"),"?","~?"),'DEF_SELF_SCOUT_IMPORT'!$G$42:$G$1040,SUBSTITUTE(SUBSTITUTE(SUBSTITUTE($O394,"~","~~"),"*","~*"),"?","~?"))/$C394)</f>
        <v>0.0</v>
      </c>
      <c r="F394" s="11">
        <f>IF($C394=0,"",AVERAGEIFS('DEF_SELF_SCOUT_IMPORT'!$I$42:$I$1040,'DEF_SELF_SCOUT_IMPORT'!$L$42:$L$1040,"Y",'DEF_SELF_SCOUT_IMPORT'!$E$42:$E$1040,SUBSTITUTE(SUBSTITUTE(SUBSTITUTE($B394,"~","~~"),"*","~*"),"?","~?"),'DEF_SELF_SCOUT_IMPORT'!$Q$42:$Q$1040,SUBSTITUTE(SUBSTITUTE(SUBSTITUTE($M394,"~","~~"),"*","~*"),"?","~?"),'DEF_SELF_SCOUT_IMPORT'!$G$42:$G$1040,SUBSTITUTE(SUBSTITUTE(SUBSTITUTE($O394,"~","~~"),"*","~*"),"?","~?")))</f>
        <v>0.0</v>
      </c>
      <c r="G394" s="10">
        <f>IF($C394=0,"",COUNTIFS('DEF_SELF_SCOUT_IMPORT'!$L$42:$L$1040,"Y",'DEF_SELF_SCOUT_IMPORT'!$E$42:$E$1040,SUBSTITUTE(SUBSTITUTE(SUBSTITUTE($B394,"~","~~"),"*","~*"),"?","~?"),'DEF_SELF_SCOUT_IMPORT'!$Q$42:$Q$1040,SUBSTITUTE(SUBSTITUTE(SUBSTITUTE($M394,"~","~~"),"*","~*"),"?","~?"),'DEF_SELF_SCOUT_IMPORT'!$G$42:$G$1040,SUBSTITUTE(SUBSTITUTE(SUBSTITUTE($O394,"~","~~"),"*","~*"),"?","~?"),'DEF_SELF_SCOUT_IMPORT'!$H$42:$H$1040,"RUSH")/$C394)</f>
        <v>0.0</v>
      </c>
      <c r="H394" s="10">
        <f>IF($C394=0,"",COUNTIFS('DEF_SELF_SCOUT_IMPORT'!$L$42:$L$1040,"Y",'DEF_SELF_SCOUT_IMPORT'!$E$42:$E$1040,SUBSTITUTE(SUBSTITUTE(SUBSTITUTE($B394,"~","~~"),"*","~*"),"?","~?"),'DEF_SELF_SCOUT_IMPORT'!$Q$42:$Q$1040,SUBSTITUTE(SUBSTITUTE(SUBSTITUTE($M394,"~","~~"),"*","~*"),"?","~?"),'DEF_SELF_SCOUT_IMPORT'!$G$42:$G$1040,SUBSTITUTE(SUBSTITUTE(SUBSTITUTE($O394,"~","~~"),"*","~*"),"?","~?"),'DEF_SELF_SCOUT_IMPORT'!$H$42:$H$1040,"DROPBACK")/$C394)</f>
        <v>1.0</v>
      </c>
      <c r="I394" s="14" t="str">
        <f>IF(C394=0,"",IF(C394&lt;=2,"TRACK",IF(C394=3,"LOW",IF(C394&lt;=6,"MEDIUM","HIGH"))))</f>
        <v>TRACK</v>
      </c>
      <c r="J394" s="11">
        <f>IF(C394=0,"",ROUND(D394*70+(1-E394)*20+MAX(0,MIN(1,(10-F394)/10))*10,1))</f>
        <v>100.0</v>
      </c>
      <c r="K394" s="14" t="str">
        <f>IF(C394=0,"No Evidence",IF(C394&lt;=2,IF(E394&gt;0,"Explosive Alert","Track Only"),IF(C394=3,"Sample Watch",IF(E394&gt;=START_HERE!$B$31,"Explosive Alert",IF(J394&gt;=80,"Strong Candidate",IF(J394&gt;=65,"Good Candidate",IF(J394&gt;=50,"Mixed / Review","Problem Call")))))))</f>
        <v>Track Only</v>
      </c>
      <c r="L394" s="9" t="str">
        <f>IF(COUNTIFS('DEF_SELF_SCOUT_IMPORT'!$L$42:$L$1040,"Y",'DEF_SELF_SCOUT_IMPORT'!$E$42:$E$1040,SUBSTITUTE(SUBSTITUTE(SUBSTITUTE($B394,"~","~~"),"*","~*"),"?","~?"),'DEF_SELF_SCOUT_IMPORT'!$Q$42:$Q$1040,SUBSTITUTE(SUBSTITUTE(SUBSTITUTE($M394,"~","~~"),"*","~*"),"?","~?"),'DEF_SELF_SCOUT_IMPORT'!$G$42:$G$1040,SUBSTITUTE(SUBSTITUTE(SUBSTITUTE($O394,"~","~~"),"*","~*"),"?","~?"),'DEF_SELF_SCOUT_IMPORT'!$J$42:$J$1040,"")&gt;0,"Unscored clean outcome; review result tags before using score.",IF(C394=0,"No matching defensive reps; film confirmation needed.",IF(K394="Explosive Alert","Explosive risk; review clips before using as answer.",IF(C394&lt;=2,"Track only; not enough sample.",IF(C394=3,IF(E394&gt;0,"Sample watch with explosive exposure; review clips and build the sample.",IF(J394&gt;=65,"Good signal, but sample is limited.","Sample watch; review clips and build the sample.")),IF(K394="Problem Call","Problem area; practice or call-sheet review.",IF(K394="Strong Candidate","Strong call-fit candidate; confirm on film.",IF(K394="Good Candidate","Good call-fit signal; confirm on film.","Mixed signal; review fit and execution on film."))))))))</f>
        <v>Track only; not enough sample.</v>
      </c>
      <c r="M394" s="8" t="s">
        <v>39</v>
      </c>
      <c r="N394" s="8"/>
      <c r="O394" s="8" t="s">
        <v>203</v>
      </c>
      <c r="P394" s="8"/>
      <c r="Q394" s="8"/>
      <c r="R394" s="8" t="s">
        <v>28</v>
      </c>
      <c r="S394" s="2" t="s">
        <v>218</v>
      </c>
      <c r="T394" s="2">
        <f>IF(C394=0,0,IF(C394&gt;=CALL_LOOKUP_BOARD!$B$7,IF(OR(K394="Problem Call",K394="Explosive Alert"),10000000,20000000),0)+IF(C394&gt;=CALL_LOOKUP_BOARD!$B$7,J394*1000+MIN(C394,999),C394*1000+J394)+0.00998000)</f>
        <v>1100.00998</v>
      </c>
      <c r="U394" s="2">
        <f>IF(C394=0,"",IF(COUNTIFS($S$375:$S$581,SUBSTITUTE(SUBSTITUTE(SUBSTITUTE(S394,"~","~~"),"*","~*"),"?","~?"),$T$375:$T$581,"&gt;"&amp;T394)=0,S394,""))</f>
        <v/>
      </c>
    </row>
    <row r="395" spans="1:21" ht="38" customHeight="1">
      <c r="A395" s="8" t="s">
        <v>217</v>
      </c>
      <c r="B395" s="8" t="s">
        <v>35</v>
      </c>
      <c r="C395" s="12">
        <f>COUNTIFS('DEF_SELF_SCOUT_IMPORT'!$L$42:$L$1040,"Y",'DEF_SELF_SCOUT_IMPORT'!$E$42:$E$1040,SUBSTITUTE(SUBSTITUTE(SUBSTITUTE($B395,"~","~~"),"*","~*"),"?","~?"),'DEF_SELF_SCOUT_IMPORT'!$Q$42:$Q$1040,SUBSTITUTE(SUBSTITUTE(SUBSTITUTE($M395,"~","~~"),"*","~*"),"?","~?"),'DEF_SELF_SCOUT_IMPORT'!$G$42:$G$1040,SUBSTITUTE(SUBSTITUTE(SUBSTITUTE($O395,"~","~~"),"*","~*"),"?","~?"))</f>
        <v>3</v>
      </c>
      <c r="D395" s="10">
        <f>IF($C395=0,"",SUMIFS('DEF_SELF_SCOUT_IMPORT'!$J$42:$J$1040,'DEF_SELF_SCOUT_IMPORT'!$L$42:$L$1040,"Y",'DEF_SELF_SCOUT_IMPORT'!$E$42:$E$1040,SUBSTITUTE(SUBSTITUTE(SUBSTITUTE($B395,"~","~~"),"*","~*"),"?","~?"),'DEF_SELF_SCOUT_IMPORT'!$Q$42:$Q$1040,SUBSTITUTE(SUBSTITUTE(SUBSTITUTE($M395,"~","~~"),"*","~*"),"?","~?"),'DEF_SELF_SCOUT_IMPORT'!$G$42:$G$1040,SUBSTITUTE(SUBSTITUTE(SUBSTITUTE($O395,"~","~~"),"*","~*"),"?","~?"))/$C395)</f>
        <v>1.0</v>
      </c>
      <c r="E395" s="10">
        <f>IF($C395=0,"",SUMIFS('DEF_SELF_SCOUT_IMPORT'!$K$42:$K$1040,'DEF_SELF_SCOUT_IMPORT'!$L$42:$L$1040,"Y",'DEF_SELF_SCOUT_IMPORT'!$E$42:$E$1040,SUBSTITUTE(SUBSTITUTE(SUBSTITUTE($B395,"~","~~"),"*","~*"),"?","~?"),'DEF_SELF_SCOUT_IMPORT'!$Q$42:$Q$1040,SUBSTITUTE(SUBSTITUTE(SUBSTITUTE($M395,"~","~~"),"*","~*"),"?","~?"),'DEF_SELF_SCOUT_IMPORT'!$G$42:$G$1040,SUBSTITUTE(SUBSTITUTE(SUBSTITUTE($O395,"~","~~"),"*","~*"),"?","~?"))/$C395)</f>
        <v>0.0</v>
      </c>
      <c r="F395" s="11">
        <f>IF($C395=0,"",AVERAGEIFS('DEF_SELF_SCOUT_IMPORT'!$I$42:$I$1040,'DEF_SELF_SCOUT_IMPORT'!$L$42:$L$1040,"Y",'DEF_SELF_SCOUT_IMPORT'!$E$42:$E$1040,SUBSTITUTE(SUBSTITUTE(SUBSTITUTE($B395,"~","~~"),"*","~*"),"?","~?"),'DEF_SELF_SCOUT_IMPORT'!$Q$42:$Q$1040,SUBSTITUTE(SUBSTITUTE(SUBSTITUTE($M395,"~","~~"),"*","~*"),"?","~?"),'DEF_SELF_SCOUT_IMPORT'!$G$42:$G$1040,SUBSTITUTE(SUBSTITUTE(SUBSTITUTE($O395,"~","~~"),"*","~*"),"?","~?")))</f>
        <v>0.0</v>
      </c>
      <c r="G395" s="10">
        <f>IF($C395=0,"",COUNTIFS('DEF_SELF_SCOUT_IMPORT'!$L$42:$L$1040,"Y",'DEF_SELF_SCOUT_IMPORT'!$E$42:$E$1040,SUBSTITUTE(SUBSTITUTE(SUBSTITUTE($B395,"~","~~"),"*","~*"),"?","~?"),'DEF_SELF_SCOUT_IMPORT'!$Q$42:$Q$1040,SUBSTITUTE(SUBSTITUTE(SUBSTITUTE($M395,"~","~~"),"*","~*"),"?","~?"),'DEF_SELF_SCOUT_IMPORT'!$G$42:$G$1040,SUBSTITUTE(SUBSTITUTE(SUBSTITUTE($O395,"~","~~"),"*","~*"),"?","~?"),'DEF_SELF_SCOUT_IMPORT'!$H$42:$H$1040,"RUSH")/$C395)</f>
        <v>0.0</v>
      </c>
      <c r="H395" s="10">
        <f>IF($C395=0,"",COUNTIFS('DEF_SELF_SCOUT_IMPORT'!$L$42:$L$1040,"Y",'DEF_SELF_SCOUT_IMPORT'!$E$42:$E$1040,SUBSTITUTE(SUBSTITUTE(SUBSTITUTE($B395,"~","~~"),"*","~*"),"?","~?"),'DEF_SELF_SCOUT_IMPORT'!$Q$42:$Q$1040,SUBSTITUTE(SUBSTITUTE(SUBSTITUTE($M395,"~","~~"),"*","~*"),"?","~?"),'DEF_SELF_SCOUT_IMPORT'!$G$42:$G$1040,SUBSTITUTE(SUBSTITUTE(SUBSTITUTE($O395,"~","~~"),"*","~*"),"?","~?"),'DEF_SELF_SCOUT_IMPORT'!$H$42:$H$1040,"DROPBACK")/$C395)</f>
        <v>1.0</v>
      </c>
      <c r="I395" s="14" t="str">
        <f>IF(C395=0,"",IF(C395&lt;=2,"TRACK",IF(C395=3,"LOW",IF(C395&lt;=6,"MEDIUM","HIGH"))))</f>
        <v>LOW</v>
      </c>
      <c r="J395" s="11">
        <f>IF(C395=0,"",ROUND(D395*70+(1-E395)*20+MAX(0,MIN(1,(10-F395)/10))*10,1))</f>
        <v>100.0</v>
      </c>
      <c r="K395" s="14" t="str">
        <f>IF(C395=0,"No Evidence",IF(C395&lt;=2,IF(E395&gt;0,"Explosive Alert","Track Only"),IF(C395=3,"Sample Watch",IF(E395&gt;=START_HERE!$B$31,"Explosive Alert",IF(J395&gt;=80,"Strong Candidate",IF(J395&gt;=65,"Good Candidate",IF(J395&gt;=50,"Mixed / Review","Problem Call")))))))</f>
        <v>Sample Watch</v>
      </c>
      <c r="L395" s="9" t="str">
        <f>IF(COUNTIFS('DEF_SELF_SCOUT_IMPORT'!$L$42:$L$1040,"Y",'DEF_SELF_SCOUT_IMPORT'!$E$42:$E$1040,SUBSTITUTE(SUBSTITUTE(SUBSTITUTE($B395,"~","~~"),"*","~*"),"?","~?"),'DEF_SELF_SCOUT_IMPORT'!$Q$42:$Q$1040,SUBSTITUTE(SUBSTITUTE(SUBSTITUTE($M395,"~","~~"),"*","~*"),"?","~?"),'DEF_SELF_SCOUT_IMPORT'!$G$42:$G$1040,SUBSTITUTE(SUBSTITUTE(SUBSTITUTE($O395,"~","~~"),"*","~*"),"?","~?"),'DEF_SELF_SCOUT_IMPORT'!$J$42:$J$1040,"")&gt;0,"Unscored clean outcome; review result tags before using score.",IF(C395=0,"No matching defensive reps; film confirmation needed.",IF(K395="Explosive Alert","Explosive risk; review clips before using as answer.",IF(C395&lt;=2,"Track only; not enough sample.",IF(C395=3,IF(E395&gt;0,"Sample watch with explosive exposure; review clips and build the sample.",IF(J395&gt;=65,"Good signal, but sample is limited.","Sample watch; review clips and build the sample.")),IF(K395="Problem Call","Problem area; practice or call-sheet review.",IF(K395="Strong Candidate","Strong call-fit candidate; confirm on film.",IF(K395="Good Candidate","Good call-fit signal; confirm on film.","Mixed signal; review fit and execution on film."))))))))</f>
        <v>Good signal, but sample is limited.</v>
      </c>
      <c r="M395" s="8" t="s">
        <v>39</v>
      </c>
      <c r="N395" s="8"/>
      <c r="O395" s="8" t="s">
        <v>203</v>
      </c>
      <c r="P395" s="8"/>
      <c r="Q395" s="8"/>
      <c r="R395" s="8" t="s">
        <v>28</v>
      </c>
      <c r="S395" s="2" t="s">
        <v>218</v>
      </c>
      <c r="T395" s="2">
        <f>IF(C395=0,0,IF(C395&gt;=CALL_LOOKUP_BOARD!$B$7,IF(OR(K395="Problem Call",K395="Explosive Alert"),10000000,20000000),0)+IF(C395&gt;=CALL_LOOKUP_BOARD!$B$7,J395*1000+MIN(C395,999),C395*1000+J395)+0.00997900)</f>
        <v>3100.009979</v>
      </c>
      <c r="U395" s="2">
        <f>IF(C395=0,"",IF(COUNTIFS($S$375:$S$581,SUBSTITUTE(SUBSTITUTE(SUBSTITUTE(S395,"~","~~"),"*","~*"),"?","~?"),$T$375:$T$581,"&gt;"&amp;T395)=0,S395,""))</f>
        <v/>
      </c>
    </row>
    <row r="396" spans="1:21" ht="38" customHeight="1">
      <c r="A396" s="8" t="s">
        <v>217</v>
      </c>
      <c r="B396" s="8" t="s">
        <v>60</v>
      </c>
      <c r="C396" s="12">
        <f>COUNTIFS('DEF_SELF_SCOUT_IMPORT'!$L$42:$L$1040,"Y",'DEF_SELF_SCOUT_IMPORT'!$E$42:$E$1040,SUBSTITUTE(SUBSTITUTE(SUBSTITUTE($B396,"~","~~"),"*","~*"),"?","~?"),'DEF_SELF_SCOUT_IMPORT'!$Q$42:$Q$1040,SUBSTITUTE(SUBSTITUTE(SUBSTITUTE($M396,"~","~~"),"*","~*"),"?","~?"),'DEF_SELF_SCOUT_IMPORT'!$G$42:$G$1040,SUBSTITUTE(SUBSTITUTE(SUBSTITUTE($O396,"~","~~"),"*","~*"),"?","~?"))</f>
        <v>3</v>
      </c>
      <c r="D396" s="10">
        <f>IF($C396=0,"",SUMIFS('DEF_SELF_SCOUT_IMPORT'!$J$42:$J$1040,'DEF_SELF_SCOUT_IMPORT'!$L$42:$L$1040,"Y",'DEF_SELF_SCOUT_IMPORT'!$E$42:$E$1040,SUBSTITUTE(SUBSTITUTE(SUBSTITUTE($B396,"~","~~"),"*","~*"),"?","~?"),'DEF_SELF_SCOUT_IMPORT'!$Q$42:$Q$1040,SUBSTITUTE(SUBSTITUTE(SUBSTITUTE($M396,"~","~~"),"*","~*"),"?","~?"),'DEF_SELF_SCOUT_IMPORT'!$G$42:$G$1040,SUBSTITUTE(SUBSTITUTE(SUBSTITUTE($O396,"~","~~"),"*","~*"),"?","~?"))/$C396)</f>
        <v>0.3333333333333333</v>
      </c>
      <c r="E396" s="10">
        <f>IF($C396=0,"",SUMIFS('DEF_SELF_SCOUT_IMPORT'!$K$42:$K$1040,'DEF_SELF_SCOUT_IMPORT'!$L$42:$L$1040,"Y",'DEF_SELF_SCOUT_IMPORT'!$E$42:$E$1040,SUBSTITUTE(SUBSTITUTE(SUBSTITUTE($B396,"~","~~"),"*","~*"),"?","~?"),'DEF_SELF_SCOUT_IMPORT'!$Q$42:$Q$1040,SUBSTITUTE(SUBSTITUTE(SUBSTITUTE($M396,"~","~~"),"*","~*"),"?","~?"),'DEF_SELF_SCOUT_IMPORT'!$G$42:$G$1040,SUBSTITUTE(SUBSTITUTE(SUBSTITUTE($O396,"~","~~"),"*","~*"),"?","~?"))/$C396)</f>
        <v>0.3333333333333333</v>
      </c>
      <c r="F396" s="11">
        <f>IF($C396=0,"",AVERAGEIFS('DEF_SELF_SCOUT_IMPORT'!$I$42:$I$1040,'DEF_SELF_SCOUT_IMPORT'!$L$42:$L$1040,"Y",'DEF_SELF_SCOUT_IMPORT'!$E$42:$E$1040,SUBSTITUTE(SUBSTITUTE(SUBSTITUTE($B396,"~","~~"),"*","~*"),"?","~?"),'DEF_SELF_SCOUT_IMPORT'!$Q$42:$Q$1040,SUBSTITUTE(SUBSTITUTE(SUBSTITUTE($M396,"~","~~"),"*","~*"),"?","~?"),'DEF_SELF_SCOUT_IMPORT'!$G$42:$G$1040,SUBSTITUTE(SUBSTITUTE(SUBSTITUTE($O396,"~","~~"),"*","~*"),"?","~?")))</f>
        <v>12.0</v>
      </c>
      <c r="G396" s="10">
        <f>IF($C396=0,"",COUNTIFS('DEF_SELF_SCOUT_IMPORT'!$L$42:$L$1040,"Y",'DEF_SELF_SCOUT_IMPORT'!$E$42:$E$1040,SUBSTITUTE(SUBSTITUTE(SUBSTITUTE($B396,"~","~~"),"*","~*"),"?","~?"),'DEF_SELF_SCOUT_IMPORT'!$Q$42:$Q$1040,SUBSTITUTE(SUBSTITUTE(SUBSTITUTE($M396,"~","~~"),"*","~*"),"?","~?"),'DEF_SELF_SCOUT_IMPORT'!$G$42:$G$1040,SUBSTITUTE(SUBSTITUTE(SUBSTITUTE($O396,"~","~~"),"*","~*"),"?","~?"),'DEF_SELF_SCOUT_IMPORT'!$H$42:$H$1040,"RUSH")/$C396)</f>
        <v>0.3333333333333333</v>
      </c>
      <c r="H396" s="10">
        <f>IF($C396=0,"",COUNTIFS('DEF_SELF_SCOUT_IMPORT'!$L$42:$L$1040,"Y",'DEF_SELF_SCOUT_IMPORT'!$E$42:$E$1040,SUBSTITUTE(SUBSTITUTE(SUBSTITUTE($B396,"~","~~"),"*","~*"),"?","~?"),'DEF_SELF_SCOUT_IMPORT'!$Q$42:$Q$1040,SUBSTITUTE(SUBSTITUTE(SUBSTITUTE($M396,"~","~~"),"*","~*"),"?","~?"),'DEF_SELF_SCOUT_IMPORT'!$G$42:$G$1040,SUBSTITUTE(SUBSTITUTE(SUBSTITUTE($O396,"~","~~"),"*","~*"),"?","~?"),'DEF_SELF_SCOUT_IMPORT'!$H$42:$H$1040,"DROPBACK")/$C396)</f>
        <v>0.3333333333333333</v>
      </c>
      <c r="I396" s="14" t="str">
        <f>IF(C396=0,"",IF(C396&lt;=2,"TRACK",IF(C396=3,"LOW",IF(C396&lt;=6,"MEDIUM","HIGH"))))</f>
        <v>LOW</v>
      </c>
      <c r="J396" s="11">
        <f>IF(C396=0,"",ROUND(D396*70+(1-E396)*20+MAX(0,MIN(1,(10-F396)/10))*10,1))</f>
        <v>36.7</v>
      </c>
      <c r="K396" s="14" t="str">
        <f>IF(C396=0,"No Evidence",IF(C396&lt;=2,IF(E396&gt;0,"Explosive Alert","Track Only"),IF(C396=3,"Sample Watch",IF(E396&gt;=START_HERE!$B$31,"Explosive Alert",IF(J396&gt;=80,"Strong Candidate",IF(J396&gt;=65,"Good Candidate",IF(J396&gt;=50,"Mixed / Review","Problem Call")))))))</f>
        <v>Sample Watch</v>
      </c>
      <c r="L396" s="9" t="str">
        <f>IF(COUNTIFS('DEF_SELF_SCOUT_IMPORT'!$L$42:$L$1040,"Y",'DEF_SELF_SCOUT_IMPORT'!$E$42:$E$1040,SUBSTITUTE(SUBSTITUTE(SUBSTITUTE($B396,"~","~~"),"*","~*"),"?","~?"),'DEF_SELF_SCOUT_IMPORT'!$Q$42:$Q$1040,SUBSTITUTE(SUBSTITUTE(SUBSTITUTE($M396,"~","~~"),"*","~*"),"?","~?"),'DEF_SELF_SCOUT_IMPORT'!$G$42:$G$1040,SUBSTITUTE(SUBSTITUTE(SUBSTITUTE($O396,"~","~~"),"*","~*"),"?","~?"),'DEF_SELF_SCOUT_IMPORT'!$J$42:$J$1040,"")&gt;0,"Unscored clean outcome; review result tags before using score.",IF(C396=0,"No matching defensive reps; film confirmation needed.",IF(K396="Explosive Alert","Explosive risk; review clips before using as answer.",IF(C396&lt;=2,"Track only; not enough sample.",IF(C396=3,IF(E396&gt;0,"Sample watch with explosive exposure; review clips and build the sample.",IF(J396&gt;=65,"Good signal, but sample is limited.","Sample watch; review clips and build the sample.")),IF(K396="Problem Call","Problem area; practice or call-sheet review.",IF(K396="Strong Candidate","Strong call-fit candidate; confirm on film.",IF(K396="Good Candidate","Good call-fit signal; confirm on film.","Mixed signal; review fit and execution on film."))))))))</f>
        <v>Sample watch with explosive exposure; review clips and build the sample.</v>
      </c>
      <c r="M396" s="8" t="s">
        <v>39</v>
      </c>
      <c r="N396" s="8"/>
      <c r="O396" s="8" t="s">
        <v>203</v>
      </c>
      <c r="P396" s="8"/>
      <c r="Q396" s="8"/>
      <c r="R396" s="8" t="s">
        <v>28</v>
      </c>
      <c r="S396" s="2" t="s">
        <v>218</v>
      </c>
      <c r="T396" s="2">
        <f>IF(C396=0,0,IF(C396&gt;=CALL_LOOKUP_BOARD!$B$7,IF(OR(K396="Problem Call",K396="Explosive Alert"),10000000,20000000),0)+IF(C396&gt;=CALL_LOOKUP_BOARD!$B$7,J396*1000+MIN(C396,999),C396*1000+J396)+0.00997800)</f>
        <v>3036.709978</v>
      </c>
      <c r="U396" s="2">
        <f>IF(C396=0,"",IF(COUNTIFS($S$375:$S$581,SUBSTITUTE(SUBSTITUTE(SUBSTITUTE(S396,"~","~~"),"*","~*"),"?","~?"),$T$375:$T$581,"&gt;"&amp;T396)=0,S396,""))</f>
        <v/>
      </c>
    </row>
    <row r="397" spans="1:21" ht="38" customHeight="1">
      <c r="A397" s="8" t="s">
        <v>217</v>
      </c>
      <c r="B397" s="8" t="s">
        <v>61</v>
      </c>
      <c r="C397" s="12">
        <f>COUNTIFS('DEF_SELF_SCOUT_IMPORT'!$L$42:$L$1040,"Y",'DEF_SELF_SCOUT_IMPORT'!$E$42:$E$1040,SUBSTITUTE(SUBSTITUTE(SUBSTITUTE($B397,"~","~~"),"*","~*"),"?","~?"),'DEF_SELF_SCOUT_IMPORT'!$Q$42:$Q$1040,SUBSTITUTE(SUBSTITUTE(SUBSTITUTE($M397,"~","~~"),"*","~*"),"?","~?"),'DEF_SELF_SCOUT_IMPORT'!$G$42:$G$1040,SUBSTITUTE(SUBSTITUTE(SUBSTITUTE($O397,"~","~~"),"*","~*"),"?","~?"))</f>
        <v>2</v>
      </c>
      <c r="D397" s="10">
        <f>IF($C397=0,"",SUMIFS('DEF_SELF_SCOUT_IMPORT'!$J$42:$J$1040,'DEF_SELF_SCOUT_IMPORT'!$L$42:$L$1040,"Y",'DEF_SELF_SCOUT_IMPORT'!$E$42:$E$1040,SUBSTITUTE(SUBSTITUTE(SUBSTITUTE($B397,"~","~~"),"*","~*"),"?","~?"),'DEF_SELF_SCOUT_IMPORT'!$Q$42:$Q$1040,SUBSTITUTE(SUBSTITUTE(SUBSTITUTE($M397,"~","~~"),"*","~*"),"?","~?"),'DEF_SELF_SCOUT_IMPORT'!$G$42:$G$1040,SUBSTITUTE(SUBSTITUTE(SUBSTITUTE($O397,"~","~~"),"*","~*"),"?","~?"))/$C397)</f>
        <v>1.0</v>
      </c>
      <c r="E397" s="10">
        <f>IF($C397=0,"",SUMIFS('DEF_SELF_SCOUT_IMPORT'!$K$42:$K$1040,'DEF_SELF_SCOUT_IMPORT'!$L$42:$L$1040,"Y",'DEF_SELF_SCOUT_IMPORT'!$E$42:$E$1040,SUBSTITUTE(SUBSTITUTE(SUBSTITUTE($B397,"~","~~"),"*","~*"),"?","~?"),'DEF_SELF_SCOUT_IMPORT'!$Q$42:$Q$1040,SUBSTITUTE(SUBSTITUTE(SUBSTITUTE($M397,"~","~~"),"*","~*"),"?","~?"),'DEF_SELF_SCOUT_IMPORT'!$G$42:$G$1040,SUBSTITUTE(SUBSTITUTE(SUBSTITUTE($O397,"~","~~"),"*","~*"),"?","~?"))/$C397)</f>
        <v>0.0</v>
      </c>
      <c r="F397" s="11">
        <f>IF($C397=0,"",AVERAGEIFS('DEF_SELF_SCOUT_IMPORT'!$I$42:$I$1040,'DEF_SELF_SCOUT_IMPORT'!$L$42:$L$1040,"Y",'DEF_SELF_SCOUT_IMPORT'!$E$42:$E$1040,SUBSTITUTE(SUBSTITUTE(SUBSTITUTE($B397,"~","~~"),"*","~*"),"?","~?"),'DEF_SELF_SCOUT_IMPORT'!$Q$42:$Q$1040,SUBSTITUTE(SUBSTITUTE(SUBSTITUTE($M397,"~","~~"),"*","~*"),"?","~?"),'DEF_SELF_SCOUT_IMPORT'!$G$42:$G$1040,SUBSTITUTE(SUBSTITUTE(SUBSTITUTE($O397,"~","~~"),"*","~*"),"?","~?")))</f>
        <v>1.5</v>
      </c>
      <c r="G397" s="10">
        <f>IF($C397=0,"",COUNTIFS('DEF_SELF_SCOUT_IMPORT'!$L$42:$L$1040,"Y",'DEF_SELF_SCOUT_IMPORT'!$E$42:$E$1040,SUBSTITUTE(SUBSTITUTE(SUBSTITUTE($B397,"~","~~"),"*","~*"),"?","~?"),'DEF_SELF_SCOUT_IMPORT'!$Q$42:$Q$1040,SUBSTITUTE(SUBSTITUTE(SUBSTITUTE($M397,"~","~~"),"*","~*"),"?","~?"),'DEF_SELF_SCOUT_IMPORT'!$G$42:$G$1040,SUBSTITUTE(SUBSTITUTE(SUBSTITUTE($O397,"~","~~"),"*","~*"),"?","~?"),'DEF_SELF_SCOUT_IMPORT'!$H$42:$H$1040,"RUSH")/$C397)</f>
        <v>0.0</v>
      </c>
      <c r="H397" s="10">
        <f>IF($C397=0,"",COUNTIFS('DEF_SELF_SCOUT_IMPORT'!$L$42:$L$1040,"Y",'DEF_SELF_SCOUT_IMPORT'!$E$42:$E$1040,SUBSTITUTE(SUBSTITUTE(SUBSTITUTE($B397,"~","~~"),"*","~*"),"?","~?"),'DEF_SELF_SCOUT_IMPORT'!$Q$42:$Q$1040,SUBSTITUTE(SUBSTITUTE(SUBSTITUTE($M397,"~","~~"),"*","~*"),"?","~?"),'DEF_SELF_SCOUT_IMPORT'!$G$42:$G$1040,SUBSTITUTE(SUBSTITUTE(SUBSTITUTE($O397,"~","~~"),"*","~*"),"?","~?"),'DEF_SELF_SCOUT_IMPORT'!$H$42:$H$1040,"DROPBACK")/$C397)</f>
        <v>1.0</v>
      </c>
      <c r="I397" s="14" t="str">
        <f>IF(C397=0,"",IF(C397&lt;=2,"TRACK",IF(C397=3,"LOW",IF(C397&lt;=6,"MEDIUM","HIGH"))))</f>
        <v>TRACK</v>
      </c>
      <c r="J397" s="11">
        <f>IF(C397=0,"",ROUND(D397*70+(1-E397)*20+MAX(0,MIN(1,(10-F397)/10))*10,1))</f>
        <v>98.5</v>
      </c>
      <c r="K397" s="14" t="str">
        <f>IF(C397=0,"No Evidence",IF(C397&lt;=2,IF(E397&gt;0,"Explosive Alert","Track Only"),IF(C397=3,"Sample Watch",IF(E397&gt;=START_HERE!$B$31,"Explosive Alert",IF(J397&gt;=80,"Strong Candidate",IF(J397&gt;=65,"Good Candidate",IF(J397&gt;=50,"Mixed / Review","Problem Call")))))))</f>
        <v>Track Only</v>
      </c>
      <c r="L397" s="9" t="str">
        <f>IF(COUNTIFS('DEF_SELF_SCOUT_IMPORT'!$L$42:$L$1040,"Y",'DEF_SELF_SCOUT_IMPORT'!$E$42:$E$1040,SUBSTITUTE(SUBSTITUTE(SUBSTITUTE($B397,"~","~~"),"*","~*"),"?","~?"),'DEF_SELF_SCOUT_IMPORT'!$Q$42:$Q$1040,SUBSTITUTE(SUBSTITUTE(SUBSTITUTE($M397,"~","~~"),"*","~*"),"?","~?"),'DEF_SELF_SCOUT_IMPORT'!$G$42:$G$1040,SUBSTITUTE(SUBSTITUTE(SUBSTITUTE($O397,"~","~~"),"*","~*"),"?","~?"),'DEF_SELF_SCOUT_IMPORT'!$J$42:$J$1040,"")&gt;0,"Unscored clean outcome; review result tags before using score.",IF(C397=0,"No matching defensive reps; film confirmation needed.",IF(K397="Explosive Alert","Explosive risk; review clips before using as answer.",IF(C397&lt;=2,"Track only; not enough sample.",IF(C397=3,IF(E397&gt;0,"Sample watch with explosive exposure; review clips and build the sample.",IF(J397&gt;=65,"Good signal, but sample is limited.","Sample watch; review clips and build the sample.")),IF(K397="Problem Call","Problem area; practice or call-sheet review.",IF(K397="Strong Candidate","Strong call-fit candidate; confirm on film.",IF(K397="Good Candidate","Good call-fit signal; confirm on film.","Mixed signal; review fit and execution on film."))))))))</f>
        <v>Track only; not enough sample.</v>
      </c>
      <c r="M397" s="8" t="s">
        <v>39</v>
      </c>
      <c r="N397" s="8"/>
      <c r="O397" s="8" t="s">
        <v>203</v>
      </c>
      <c r="P397" s="8"/>
      <c r="Q397" s="8"/>
      <c r="R397" s="8" t="s">
        <v>28</v>
      </c>
      <c r="S397" s="2" t="s">
        <v>218</v>
      </c>
      <c r="T397" s="2">
        <f>IF(C397=0,0,IF(C397&gt;=CALL_LOOKUP_BOARD!$B$7,IF(OR(K397="Problem Call",K397="Explosive Alert"),10000000,20000000),0)+IF(C397&gt;=CALL_LOOKUP_BOARD!$B$7,J397*1000+MIN(C397,999),C397*1000+J397)+0.00997700)</f>
        <v>2098.509977</v>
      </c>
      <c r="U397" s="2">
        <f>IF(C397=0,"",IF(COUNTIFS($S$375:$S$581,SUBSTITUTE(SUBSTITUTE(SUBSTITUTE(S397,"~","~~"),"*","~*"),"?","~?"),$T$375:$T$581,"&gt;"&amp;T397)=0,S397,""))</f>
        <v/>
      </c>
    </row>
    <row r="398" spans="1:21" ht="38" customHeight="1">
      <c r="A398" s="8" t="s">
        <v>217</v>
      </c>
      <c r="B398" s="8" t="s">
        <v>63</v>
      </c>
      <c r="C398" s="12">
        <f>COUNTIFS('DEF_SELF_SCOUT_IMPORT'!$L$42:$L$1040,"Y",'DEF_SELF_SCOUT_IMPORT'!$E$42:$E$1040,SUBSTITUTE(SUBSTITUTE(SUBSTITUTE($B398,"~","~~"),"*","~*"),"?","~?"),'DEF_SELF_SCOUT_IMPORT'!$Q$42:$Q$1040,SUBSTITUTE(SUBSTITUTE(SUBSTITUTE($M398,"~","~~"),"*","~*"),"?","~?"),'DEF_SELF_SCOUT_IMPORT'!$G$42:$G$1040,SUBSTITUTE(SUBSTITUTE(SUBSTITUTE($O398,"~","~~"),"*","~*"),"?","~?"))</f>
        <v>1</v>
      </c>
      <c r="D398" s="10">
        <f>IF($C398=0,"",SUMIFS('DEF_SELF_SCOUT_IMPORT'!$J$42:$J$1040,'DEF_SELF_SCOUT_IMPORT'!$L$42:$L$1040,"Y",'DEF_SELF_SCOUT_IMPORT'!$E$42:$E$1040,SUBSTITUTE(SUBSTITUTE(SUBSTITUTE($B398,"~","~~"),"*","~*"),"?","~?"),'DEF_SELF_SCOUT_IMPORT'!$Q$42:$Q$1040,SUBSTITUTE(SUBSTITUTE(SUBSTITUTE($M398,"~","~~"),"*","~*"),"?","~?"),'DEF_SELF_SCOUT_IMPORT'!$G$42:$G$1040,SUBSTITUTE(SUBSTITUTE(SUBSTITUTE($O398,"~","~~"),"*","~*"),"?","~?"))/$C398)</f>
        <v>0.0</v>
      </c>
      <c r="E398" s="10">
        <f>IF($C398=0,"",SUMIFS('DEF_SELF_SCOUT_IMPORT'!$K$42:$K$1040,'DEF_SELF_SCOUT_IMPORT'!$L$42:$L$1040,"Y",'DEF_SELF_SCOUT_IMPORT'!$E$42:$E$1040,SUBSTITUTE(SUBSTITUTE(SUBSTITUTE($B398,"~","~~"),"*","~*"),"?","~?"),'DEF_SELF_SCOUT_IMPORT'!$Q$42:$Q$1040,SUBSTITUTE(SUBSTITUTE(SUBSTITUTE($M398,"~","~~"),"*","~*"),"?","~?"),'DEF_SELF_SCOUT_IMPORT'!$G$42:$G$1040,SUBSTITUTE(SUBSTITUTE(SUBSTITUTE($O398,"~","~~"),"*","~*"),"?","~?"))/$C398)</f>
        <v>0.0</v>
      </c>
      <c r="F398" s="11">
        <f>IF($C398=0,"",AVERAGEIFS('DEF_SELF_SCOUT_IMPORT'!$I$42:$I$1040,'DEF_SELF_SCOUT_IMPORT'!$L$42:$L$1040,"Y",'DEF_SELF_SCOUT_IMPORT'!$E$42:$E$1040,SUBSTITUTE(SUBSTITUTE(SUBSTITUTE($B398,"~","~~"),"*","~*"),"?","~?"),'DEF_SELF_SCOUT_IMPORT'!$Q$42:$Q$1040,SUBSTITUTE(SUBSTITUTE(SUBSTITUTE($M398,"~","~~"),"*","~*"),"?","~?"),'DEF_SELF_SCOUT_IMPORT'!$G$42:$G$1040,SUBSTITUTE(SUBSTITUTE(SUBSTITUTE($O398,"~","~~"),"*","~*"),"?","~?")))</f>
        <v>7.0</v>
      </c>
      <c r="G398" s="10">
        <f>IF($C398=0,"",COUNTIFS('DEF_SELF_SCOUT_IMPORT'!$L$42:$L$1040,"Y",'DEF_SELF_SCOUT_IMPORT'!$E$42:$E$1040,SUBSTITUTE(SUBSTITUTE(SUBSTITUTE($B398,"~","~~"),"*","~*"),"?","~?"),'DEF_SELF_SCOUT_IMPORT'!$Q$42:$Q$1040,SUBSTITUTE(SUBSTITUTE(SUBSTITUTE($M398,"~","~~"),"*","~*"),"?","~?"),'DEF_SELF_SCOUT_IMPORT'!$G$42:$G$1040,SUBSTITUTE(SUBSTITUTE(SUBSTITUTE($O398,"~","~~"),"*","~*"),"?","~?"),'DEF_SELF_SCOUT_IMPORT'!$H$42:$H$1040,"RUSH")/$C398)</f>
        <v>1.0</v>
      </c>
      <c r="H398" s="10">
        <f>IF($C398=0,"",COUNTIFS('DEF_SELF_SCOUT_IMPORT'!$L$42:$L$1040,"Y",'DEF_SELF_SCOUT_IMPORT'!$E$42:$E$1040,SUBSTITUTE(SUBSTITUTE(SUBSTITUTE($B398,"~","~~"),"*","~*"),"?","~?"),'DEF_SELF_SCOUT_IMPORT'!$Q$42:$Q$1040,SUBSTITUTE(SUBSTITUTE(SUBSTITUTE($M398,"~","~~"),"*","~*"),"?","~?"),'DEF_SELF_SCOUT_IMPORT'!$G$42:$G$1040,SUBSTITUTE(SUBSTITUTE(SUBSTITUTE($O398,"~","~~"),"*","~*"),"?","~?"),'DEF_SELF_SCOUT_IMPORT'!$H$42:$H$1040,"DROPBACK")/$C398)</f>
        <v>0.0</v>
      </c>
      <c r="I398" s="14" t="str">
        <f>IF(C398=0,"",IF(C398&lt;=2,"TRACK",IF(C398=3,"LOW",IF(C398&lt;=6,"MEDIUM","HIGH"))))</f>
        <v>TRACK</v>
      </c>
      <c r="J398" s="11">
        <f>IF(C398=0,"",ROUND(D398*70+(1-E398)*20+MAX(0,MIN(1,(10-F398)/10))*10,1))</f>
        <v>23.0</v>
      </c>
      <c r="K398" s="14" t="str">
        <f>IF(C398=0,"No Evidence",IF(C398&lt;=2,IF(E398&gt;0,"Explosive Alert","Track Only"),IF(C398=3,"Sample Watch",IF(E398&gt;=START_HERE!$B$31,"Explosive Alert",IF(J398&gt;=80,"Strong Candidate",IF(J398&gt;=65,"Good Candidate",IF(J398&gt;=50,"Mixed / Review","Problem Call")))))))</f>
        <v>Track Only</v>
      </c>
      <c r="L398" s="9" t="str">
        <f>IF(COUNTIFS('DEF_SELF_SCOUT_IMPORT'!$L$42:$L$1040,"Y",'DEF_SELF_SCOUT_IMPORT'!$E$42:$E$1040,SUBSTITUTE(SUBSTITUTE(SUBSTITUTE($B398,"~","~~"),"*","~*"),"?","~?"),'DEF_SELF_SCOUT_IMPORT'!$Q$42:$Q$1040,SUBSTITUTE(SUBSTITUTE(SUBSTITUTE($M398,"~","~~"),"*","~*"),"?","~?"),'DEF_SELF_SCOUT_IMPORT'!$G$42:$G$1040,SUBSTITUTE(SUBSTITUTE(SUBSTITUTE($O398,"~","~~"),"*","~*"),"?","~?"),'DEF_SELF_SCOUT_IMPORT'!$J$42:$J$1040,"")&gt;0,"Unscored clean outcome; review result tags before using score.",IF(C398=0,"No matching defensive reps; film confirmation needed.",IF(K398="Explosive Alert","Explosive risk; review clips before using as answer.",IF(C398&lt;=2,"Track only; not enough sample.",IF(C398=3,IF(E398&gt;0,"Sample watch with explosive exposure; review clips and build the sample.",IF(J398&gt;=65,"Good signal, but sample is limited.","Sample watch; review clips and build the sample.")),IF(K398="Problem Call","Problem area; practice or call-sheet review.",IF(K398="Strong Candidate","Strong call-fit candidate; confirm on film.",IF(K398="Good Candidate","Good call-fit signal; confirm on film.","Mixed signal; review fit and execution on film."))))))))</f>
        <v>Track only; not enough sample.</v>
      </c>
      <c r="M398" s="8" t="s">
        <v>39</v>
      </c>
      <c r="N398" s="8"/>
      <c r="O398" s="8" t="s">
        <v>203</v>
      </c>
      <c r="P398" s="8"/>
      <c r="Q398" s="8"/>
      <c r="R398" s="8" t="s">
        <v>28</v>
      </c>
      <c r="S398" s="2" t="s">
        <v>218</v>
      </c>
      <c r="T398" s="2">
        <f>IF(C398=0,0,IF(C398&gt;=CALL_LOOKUP_BOARD!$B$7,IF(OR(K398="Problem Call",K398="Explosive Alert"),10000000,20000000),0)+IF(C398&gt;=CALL_LOOKUP_BOARD!$B$7,J398*1000+MIN(C398,999),C398*1000+J398)+0.00997600)</f>
        <v>1023.009976</v>
      </c>
      <c r="U398" s="2">
        <f>IF(C398=0,"",IF(COUNTIFS($S$375:$S$581,SUBSTITUTE(SUBSTITUTE(SUBSTITUTE(S398,"~","~~"),"*","~*"),"?","~?"),$T$375:$T$581,"&gt;"&amp;T398)=0,S398,""))</f>
        <v/>
      </c>
    </row>
    <row r="399" spans="1:21" ht="38" customHeight="1">
      <c r="A399" s="8" t="s">
        <v>217</v>
      </c>
      <c r="B399" s="8" t="s">
        <v>65</v>
      </c>
      <c r="C399" s="12">
        <f>COUNTIFS('DEF_SELF_SCOUT_IMPORT'!$L$42:$L$1040,"Y",'DEF_SELF_SCOUT_IMPORT'!$E$42:$E$1040,SUBSTITUTE(SUBSTITUTE(SUBSTITUTE($B399,"~","~~"),"*","~*"),"?","~?"),'DEF_SELF_SCOUT_IMPORT'!$Q$42:$Q$1040,SUBSTITUTE(SUBSTITUTE(SUBSTITUTE($M399,"~","~~"),"*","~*"),"?","~?"),'DEF_SELF_SCOUT_IMPORT'!$G$42:$G$1040,SUBSTITUTE(SUBSTITUTE(SUBSTITUTE($O399,"~","~~"),"*","~*"),"?","~?"))</f>
        <v>1</v>
      </c>
      <c r="D399" s="10">
        <f>IF($C399=0,"",SUMIFS('DEF_SELF_SCOUT_IMPORT'!$J$42:$J$1040,'DEF_SELF_SCOUT_IMPORT'!$L$42:$L$1040,"Y",'DEF_SELF_SCOUT_IMPORT'!$E$42:$E$1040,SUBSTITUTE(SUBSTITUTE(SUBSTITUTE($B399,"~","~~"),"*","~*"),"?","~?"),'DEF_SELF_SCOUT_IMPORT'!$Q$42:$Q$1040,SUBSTITUTE(SUBSTITUTE(SUBSTITUTE($M399,"~","~~"),"*","~*"),"?","~?"),'DEF_SELF_SCOUT_IMPORT'!$G$42:$G$1040,SUBSTITUTE(SUBSTITUTE(SUBSTITUTE($O399,"~","~~"),"*","~*"),"?","~?"))/$C399)</f>
        <v>1.0</v>
      </c>
      <c r="E399" s="10">
        <f>IF($C399=0,"",SUMIFS('DEF_SELF_SCOUT_IMPORT'!$K$42:$K$1040,'DEF_SELF_SCOUT_IMPORT'!$L$42:$L$1040,"Y",'DEF_SELF_SCOUT_IMPORT'!$E$42:$E$1040,SUBSTITUTE(SUBSTITUTE(SUBSTITUTE($B399,"~","~~"),"*","~*"),"?","~?"),'DEF_SELF_SCOUT_IMPORT'!$Q$42:$Q$1040,SUBSTITUTE(SUBSTITUTE(SUBSTITUTE($M399,"~","~~"),"*","~*"),"?","~?"),'DEF_SELF_SCOUT_IMPORT'!$G$42:$G$1040,SUBSTITUTE(SUBSTITUTE(SUBSTITUTE($O399,"~","~~"),"*","~*"),"?","~?"))/$C399)</f>
        <v>0.0</v>
      </c>
      <c r="F399" s="11">
        <f>IF($C399=0,"",AVERAGEIFS('DEF_SELF_SCOUT_IMPORT'!$I$42:$I$1040,'DEF_SELF_SCOUT_IMPORT'!$L$42:$L$1040,"Y",'DEF_SELF_SCOUT_IMPORT'!$E$42:$E$1040,SUBSTITUTE(SUBSTITUTE(SUBSTITUTE($B399,"~","~~"),"*","~*"),"?","~?"),'DEF_SELF_SCOUT_IMPORT'!$Q$42:$Q$1040,SUBSTITUTE(SUBSTITUTE(SUBSTITUTE($M399,"~","~~"),"*","~*"),"?","~?"),'DEF_SELF_SCOUT_IMPORT'!$G$42:$G$1040,SUBSTITUTE(SUBSTITUTE(SUBSTITUTE($O399,"~","~~"),"*","~*"),"?","~?")))</f>
        <v>0.0</v>
      </c>
      <c r="G399" s="10">
        <f>IF($C399=0,"",COUNTIFS('DEF_SELF_SCOUT_IMPORT'!$L$42:$L$1040,"Y",'DEF_SELF_SCOUT_IMPORT'!$E$42:$E$1040,SUBSTITUTE(SUBSTITUTE(SUBSTITUTE($B399,"~","~~"),"*","~*"),"?","~?"),'DEF_SELF_SCOUT_IMPORT'!$Q$42:$Q$1040,SUBSTITUTE(SUBSTITUTE(SUBSTITUTE($M399,"~","~~"),"*","~*"),"?","~?"),'DEF_SELF_SCOUT_IMPORT'!$G$42:$G$1040,SUBSTITUTE(SUBSTITUTE(SUBSTITUTE($O399,"~","~~"),"*","~*"),"?","~?"),'DEF_SELF_SCOUT_IMPORT'!$H$42:$H$1040,"RUSH")/$C399)</f>
        <v>0.0</v>
      </c>
      <c r="H399" s="10">
        <f>IF($C399=0,"",COUNTIFS('DEF_SELF_SCOUT_IMPORT'!$L$42:$L$1040,"Y",'DEF_SELF_SCOUT_IMPORT'!$E$42:$E$1040,SUBSTITUTE(SUBSTITUTE(SUBSTITUTE($B399,"~","~~"),"*","~*"),"?","~?"),'DEF_SELF_SCOUT_IMPORT'!$Q$42:$Q$1040,SUBSTITUTE(SUBSTITUTE(SUBSTITUTE($M399,"~","~~"),"*","~*"),"?","~?"),'DEF_SELF_SCOUT_IMPORT'!$G$42:$G$1040,SUBSTITUTE(SUBSTITUTE(SUBSTITUTE($O399,"~","~~"),"*","~*"),"?","~?"),'DEF_SELF_SCOUT_IMPORT'!$H$42:$H$1040,"DROPBACK")/$C399)</f>
        <v>1.0</v>
      </c>
      <c r="I399" s="14" t="str">
        <f>IF(C399=0,"",IF(C399&lt;=2,"TRACK",IF(C399=3,"LOW",IF(C399&lt;=6,"MEDIUM","HIGH"))))</f>
        <v>TRACK</v>
      </c>
      <c r="J399" s="11">
        <f>IF(C399=0,"",ROUND(D399*70+(1-E399)*20+MAX(0,MIN(1,(10-F399)/10))*10,1))</f>
        <v>100.0</v>
      </c>
      <c r="K399" s="14" t="str">
        <f>IF(C399=0,"No Evidence",IF(C399&lt;=2,IF(E399&gt;0,"Explosive Alert","Track Only"),IF(C399=3,"Sample Watch",IF(E399&gt;=START_HERE!$B$31,"Explosive Alert",IF(J399&gt;=80,"Strong Candidate",IF(J399&gt;=65,"Good Candidate",IF(J399&gt;=50,"Mixed / Review","Problem Call")))))))</f>
        <v>Track Only</v>
      </c>
      <c r="L399" s="9" t="str">
        <f>IF(COUNTIFS('DEF_SELF_SCOUT_IMPORT'!$L$42:$L$1040,"Y",'DEF_SELF_SCOUT_IMPORT'!$E$42:$E$1040,SUBSTITUTE(SUBSTITUTE(SUBSTITUTE($B399,"~","~~"),"*","~*"),"?","~?"),'DEF_SELF_SCOUT_IMPORT'!$Q$42:$Q$1040,SUBSTITUTE(SUBSTITUTE(SUBSTITUTE($M399,"~","~~"),"*","~*"),"?","~?"),'DEF_SELF_SCOUT_IMPORT'!$G$42:$G$1040,SUBSTITUTE(SUBSTITUTE(SUBSTITUTE($O399,"~","~~"),"*","~*"),"?","~?"),'DEF_SELF_SCOUT_IMPORT'!$J$42:$J$1040,"")&gt;0,"Unscored clean outcome; review result tags before using score.",IF(C399=0,"No matching defensive reps; film confirmation needed.",IF(K399="Explosive Alert","Explosive risk; review clips before using as answer.",IF(C399&lt;=2,"Track only; not enough sample.",IF(C399=3,IF(E399&gt;0,"Sample watch with explosive exposure; review clips and build the sample.",IF(J399&gt;=65,"Good signal, but sample is limited.","Sample watch; review clips and build the sample.")),IF(K399="Problem Call","Problem area; practice or call-sheet review.",IF(K399="Strong Candidate","Strong call-fit candidate; confirm on film.",IF(K399="Good Candidate","Good call-fit signal; confirm on film.","Mixed signal; review fit and execution on film."))))))))</f>
        <v>Track only; not enough sample.</v>
      </c>
      <c r="M399" s="8" t="s">
        <v>39</v>
      </c>
      <c r="N399" s="8"/>
      <c r="O399" s="8" t="s">
        <v>203</v>
      </c>
      <c r="P399" s="8"/>
      <c r="Q399" s="8"/>
      <c r="R399" s="8" t="s">
        <v>28</v>
      </c>
      <c r="S399" s="2" t="s">
        <v>218</v>
      </c>
      <c r="T399" s="2">
        <f>IF(C399=0,0,IF(C399&gt;=CALL_LOOKUP_BOARD!$B$7,IF(OR(K399="Problem Call",K399="Explosive Alert"),10000000,20000000),0)+IF(C399&gt;=CALL_LOOKUP_BOARD!$B$7,J399*1000+MIN(C399,999),C399*1000+J399)+0.00997500)</f>
        <v>1100.009975</v>
      </c>
      <c r="U399" s="2">
        <f>IF(C399=0,"",IF(COUNTIFS($S$375:$S$581,SUBSTITUTE(SUBSTITUTE(SUBSTITUTE(S399,"~","~~"),"*","~*"),"?","~?"),$T$375:$T$581,"&gt;"&amp;T399)=0,S399,""))</f>
        <v/>
      </c>
    </row>
    <row r="400" spans="1:21" ht="38" customHeight="1">
      <c r="A400" s="8" t="s">
        <v>217</v>
      </c>
      <c r="B400" s="8" t="s">
        <v>67</v>
      </c>
      <c r="C400" s="12">
        <f>COUNTIFS('DEF_SELF_SCOUT_IMPORT'!$L$42:$L$1040,"Y",'DEF_SELF_SCOUT_IMPORT'!$E$42:$E$1040,SUBSTITUTE(SUBSTITUTE(SUBSTITUTE($B400,"~","~~"),"*","~*"),"?","~?"),'DEF_SELF_SCOUT_IMPORT'!$Q$42:$Q$1040,SUBSTITUTE(SUBSTITUTE(SUBSTITUTE($M400,"~","~~"),"*","~*"),"?","~?"),'DEF_SELF_SCOUT_IMPORT'!$G$42:$G$1040,SUBSTITUTE(SUBSTITUTE(SUBSTITUTE($O400,"~","~~"),"*","~*"),"?","~?"))</f>
        <v>1</v>
      </c>
      <c r="D400" s="10">
        <f>IF($C400=0,"",SUMIFS('DEF_SELF_SCOUT_IMPORT'!$J$42:$J$1040,'DEF_SELF_SCOUT_IMPORT'!$L$42:$L$1040,"Y",'DEF_SELF_SCOUT_IMPORT'!$E$42:$E$1040,SUBSTITUTE(SUBSTITUTE(SUBSTITUTE($B400,"~","~~"),"*","~*"),"?","~?"),'DEF_SELF_SCOUT_IMPORT'!$Q$42:$Q$1040,SUBSTITUTE(SUBSTITUTE(SUBSTITUTE($M400,"~","~~"),"*","~*"),"?","~?"),'DEF_SELF_SCOUT_IMPORT'!$G$42:$G$1040,SUBSTITUTE(SUBSTITUTE(SUBSTITUTE($O400,"~","~~"),"*","~*"),"?","~?"))/$C400)</f>
        <v>1.0</v>
      </c>
      <c r="E400" s="10">
        <f>IF($C400=0,"",SUMIFS('DEF_SELF_SCOUT_IMPORT'!$K$42:$K$1040,'DEF_SELF_SCOUT_IMPORT'!$L$42:$L$1040,"Y",'DEF_SELF_SCOUT_IMPORT'!$E$42:$E$1040,SUBSTITUTE(SUBSTITUTE(SUBSTITUTE($B400,"~","~~"),"*","~*"),"?","~?"),'DEF_SELF_SCOUT_IMPORT'!$Q$42:$Q$1040,SUBSTITUTE(SUBSTITUTE(SUBSTITUTE($M400,"~","~~"),"*","~*"),"?","~?"),'DEF_SELF_SCOUT_IMPORT'!$G$42:$G$1040,SUBSTITUTE(SUBSTITUTE(SUBSTITUTE($O400,"~","~~"),"*","~*"),"?","~?"))/$C400)</f>
        <v>0.0</v>
      </c>
      <c r="F400" s="11">
        <f>IF($C400=0,"",AVERAGEIFS('DEF_SELF_SCOUT_IMPORT'!$I$42:$I$1040,'DEF_SELF_SCOUT_IMPORT'!$L$42:$L$1040,"Y",'DEF_SELF_SCOUT_IMPORT'!$E$42:$E$1040,SUBSTITUTE(SUBSTITUTE(SUBSTITUTE($B400,"~","~~"),"*","~*"),"?","~?"),'DEF_SELF_SCOUT_IMPORT'!$Q$42:$Q$1040,SUBSTITUTE(SUBSTITUTE(SUBSTITUTE($M400,"~","~~"),"*","~*"),"?","~?"),'DEF_SELF_SCOUT_IMPORT'!$G$42:$G$1040,SUBSTITUTE(SUBSTITUTE(SUBSTITUTE($O400,"~","~~"),"*","~*"),"?","~?")))</f>
        <v>-5.0</v>
      </c>
      <c r="G400" s="10">
        <f>IF($C400=0,"",COUNTIFS('DEF_SELF_SCOUT_IMPORT'!$L$42:$L$1040,"Y",'DEF_SELF_SCOUT_IMPORT'!$E$42:$E$1040,SUBSTITUTE(SUBSTITUTE(SUBSTITUTE($B400,"~","~~"),"*","~*"),"?","~?"),'DEF_SELF_SCOUT_IMPORT'!$Q$42:$Q$1040,SUBSTITUTE(SUBSTITUTE(SUBSTITUTE($M400,"~","~~"),"*","~*"),"?","~?"),'DEF_SELF_SCOUT_IMPORT'!$G$42:$G$1040,SUBSTITUTE(SUBSTITUTE(SUBSTITUTE($O400,"~","~~"),"*","~*"),"?","~?"),'DEF_SELF_SCOUT_IMPORT'!$H$42:$H$1040,"RUSH")/$C400)</f>
        <v>1.0</v>
      </c>
      <c r="H400" s="10">
        <f>IF($C400=0,"",COUNTIFS('DEF_SELF_SCOUT_IMPORT'!$L$42:$L$1040,"Y",'DEF_SELF_SCOUT_IMPORT'!$E$42:$E$1040,SUBSTITUTE(SUBSTITUTE(SUBSTITUTE($B400,"~","~~"),"*","~*"),"?","~?"),'DEF_SELF_SCOUT_IMPORT'!$Q$42:$Q$1040,SUBSTITUTE(SUBSTITUTE(SUBSTITUTE($M400,"~","~~"),"*","~*"),"?","~?"),'DEF_SELF_SCOUT_IMPORT'!$G$42:$G$1040,SUBSTITUTE(SUBSTITUTE(SUBSTITUTE($O400,"~","~~"),"*","~*"),"?","~?"),'DEF_SELF_SCOUT_IMPORT'!$H$42:$H$1040,"DROPBACK")/$C400)</f>
        <v>0.0</v>
      </c>
      <c r="I400" s="14" t="str">
        <f>IF(C400=0,"",IF(C400&lt;=2,"TRACK",IF(C400=3,"LOW",IF(C400&lt;=6,"MEDIUM","HIGH"))))</f>
        <v>TRACK</v>
      </c>
      <c r="J400" s="11">
        <f>IF(C400=0,"",ROUND(D400*70+(1-E400)*20+MAX(0,MIN(1,(10-F400)/10))*10,1))</f>
        <v>100.0</v>
      </c>
      <c r="K400" s="14" t="str">
        <f>IF(C400=0,"No Evidence",IF(C400&lt;=2,IF(E400&gt;0,"Explosive Alert","Track Only"),IF(C400=3,"Sample Watch",IF(E400&gt;=START_HERE!$B$31,"Explosive Alert",IF(J400&gt;=80,"Strong Candidate",IF(J400&gt;=65,"Good Candidate",IF(J400&gt;=50,"Mixed / Review","Problem Call")))))))</f>
        <v>Track Only</v>
      </c>
      <c r="L400" s="9" t="str">
        <f>IF(COUNTIFS('DEF_SELF_SCOUT_IMPORT'!$L$42:$L$1040,"Y",'DEF_SELF_SCOUT_IMPORT'!$E$42:$E$1040,SUBSTITUTE(SUBSTITUTE(SUBSTITUTE($B400,"~","~~"),"*","~*"),"?","~?"),'DEF_SELF_SCOUT_IMPORT'!$Q$42:$Q$1040,SUBSTITUTE(SUBSTITUTE(SUBSTITUTE($M400,"~","~~"),"*","~*"),"?","~?"),'DEF_SELF_SCOUT_IMPORT'!$G$42:$G$1040,SUBSTITUTE(SUBSTITUTE(SUBSTITUTE($O400,"~","~~"),"*","~*"),"?","~?"),'DEF_SELF_SCOUT_IMPORT'!$J$42:$J$1040,"")&gt;0,"Unscored clean outcome; review result tags before using score.",IF(C400=0,"No matching defensive reps; film confirmation needed.",IF(K400="Explosive Alert","Explosive risk; review clips before using as answer.",IF(C400&lt;=2,"Track only; not enough sample.",IF(C400=3,IF(E400&gt;0,"Sample watch with explosive exposure; review clips and build the sample.",IF(J400&gt;=65,"Good signal, but sample is limited.","Sample watch; review clips and build the sample.")),IF(K400="Problem Call","Problem area; practice or call-sheet review.",IF(K400="Strong Candidate","Strong call-fit candidate; confirm on film.",IF(K400="Good Candidate","Good call-fit signal; confirm on film.","Mixed signal; review fit and execution on film."))))))))</f>
        <v>Track only; not enough sample.</v>
      </c>
      <c r="M400" s="8" t="s">
        <v>39</v>
      </c>
      <c r="N400" s="8"/>
      <c r="O400" s="8" t="s">
        <v>203</v>
      </c>
      <c r="P400" s="8"/>
      <c r="Q400" s="8"/>
      <c r="R400" s="8" t="s">
        <v>28</v>
      </c>
      <c r="S400" s="2" t="s">
        <v>218</v>
      </c>
      <c r="T400" s="2">
        <f>IF(C400=0,0,IF(C400&gt;=CALL_LOOKUP_BOARD!$B$7,IF(OR(K400="Problem Call",K400="Explosive Alert"),10000000,20000000),0)+IF(C400&gt;=CALL_LOOKUP_BOARD!$B$7,J400*1000+MIN(C400,999),C400*1000+J400)+0.00997400)</f>
        <v>1100.009974</v>
      </c>
      <c r="U400" s="2">
        <f>IF(C400=0,"",IF(COUNTIFS($S$375:$S$581,SUBSTITUTE(SUBSTITUTE(SUBSTITUTE(S400,"~","~~"),"*","~*"),"?","~?"),$T$375:$T$581,"&gt;"&amp;T400)=0,S400,""))</f>
        <v/>
      </c>
    </row>
    <row r="401" spans="1:21" ht="38" customHeight="1">
      <c r="A401" s="8" t="s">
        <v>217</v>
      </c>
      <c r="B401" s="8" t="s">
        <v>68</v>
      </c>
      <c r="C401" s="12">
        <f>COUNTIFS('DEF_SELF_SCOUT_IMPORT'!$L$42:$L$1040,"Y",'DEF_SELF_SCOUT_IMPORT'!$E$42:$E$1040,SUBSTITUTE(SUBSTITUTE(SUBSTITUTE($B401,"~","~~"),"*","~*"),"?","~?"),'DEF_SELF_SCOUT_IMPORT'!$Q$42:$Q$1040,SUBSTITUTE(SUBSTITUTE(SUBSTITUTE($M401,"~","~~"),"*","~*"),"?","~?"),'DEF_SELF_SCOUT_IMPORT'!$G$42:$G$1040,SUBSTITUTE(SUBSTITUTE(SUBSTITUTE($O401,"~","~~"),"*","~*"),"?","~?"))</f>
        <v>1</v>
      </c>
      <c r="D401" s="10">
        <f>IF($C401=0,"",SUMIFS('DEF_SELF_SCOUT_IMPORT'!$J$42:$J$1040,'DEF_SELF_SCOUT_IMPORT'!$L$42:$L$1040,"Y",'DEF_SELF_SCOUT_IMPORT'!$E$42:$E$1040,SUBSTITUTE(SUBSTITUTE(SUBSTITUTE($B401,"~","~~"),"*","~*"),"?","~?"),'DEF_SELF_SCOUT_IMPORT'!$Q$42:$Q$1040,SUBSTITUTE(SUBSTITUTE(SUBSTITUTE($M401,"~","~~"),"*","~*"),"?","~?"),'DEF_SELF_SCOUT_IMPORT'!$G$42:$G$1040,SUBSTITUTE(SUBSTITUTE(SUBSTITUTE($O401,"~","~~"),"*","~*"),"?","~?"))/$C401)</f>
        <v>1.0</v>
      </c>
      <c r="E401" s="10">
        <f>IF($C401=0,"",SUMIFS('DEF_SELF_SCOUT_IMPORT'!$K$42:$K$1040,'DEF_SELF_SCOUT_IMPORT'!$L$42:$L$1040,"Y",'DEF_SELF_SCOUT_IMPORT'!$E$42:$E$1040,SUBSTITUTE(SUBSTITUTE(SUBSTITUTE($B401,"~","~~"),"*","~*"),"?","~?"),'DEF_SELF_SCOUT_IMPORT'!$Q$42:$Q$1040,SUBSTITUTE(SUBSTITUTE(SUBSTITUTE($M401,"~","~~"),"*","~*"),"?","~?"),'DEF_SELF_SCOUT_IMPORT'!$G$42:$G$1040,SUBSTITUTE(SUBSTITUTE(SUBSTITUTE($O401,"~","~~"),"*","~*"),"?","~?"))/$C401)</f>
        <v>0.0</v>
      </c>
      <c r="F401" s="11">
        <f>IF($C401=0,"",AVERAGEIFS('DEF_SELF_SCOUT_IMPORT'!$I$42:$I$1040,'DEF_SELF_SCOUT_IMPORT'!$L$42:$L$1040,"Y",'DEF_SELF_SCOUT_IMPORT'!$E$42:$E$1040,SUBSTITUTE(SUBSTITUTE(SUBSTITUTE($B401,"~","~~"),"*","~*"),"?","~?"),'DEF_SELF_SCOUT_IMPORT'!$Q$42:$Q$1040,SUBSTITUTE(SUBSTITUTE(SUBSTITUTE($M401,"~","~~"),"*","~*"),"?","~?"),'DEF_SELF_SCOUT_IMPORT'!$G$42:$G$1040,SUBSTITUTE(SUBSTITUTE(SUBSTITUTE($O401,"~","~~"),"*","~*"),"?","~?")))</f>
        <v>7.0</v>
      </c>
      <c r="G401" s="10">
        <f>IF($C401=0,"",COUNTIFS('DEF_SELF_SCOUT_IMPORT'!$L$42:$L$1040,"Y",'DEF_SELF_SCOUT_IMPORT'!$E$42:$E$1040,SUBSTITUTE(SUBSTITUTE(SUBSTITUTE($B401,"~","~~"),"*","~*"),"?","~?"),'DEF_SELF_SCOUT_IMPORT'!$Q$42:$Q$1040,SUBSTITUTE(SUBSTITUTE(SUBSTITUTE($M401,"~","~~"),"*","~*"),"?","~?"),'DEF_SELF_SCOUT_IMPORT'!$G$42:$G$1040,SUBSTITUTE(SUBSTITUTE(SUBSTITUTE($O401,"~","~~"),"*","~*"),"?","~?"),'DEF_SELF_SCOUT_IMPORT'!$H$42:$H$1040,"RUSH")/$C401)</f>
        <v>0.0</v>
      </c>
      <c r="H401" s="10">
        <f>IF($C401=0,"",COUNTIFS('DEF_SELF_SCOUT_IMPORT'!$L$42:$L$1040,"Y",'DEF_SELF_SCOUT_IMPORT'!$E$42:$E$1040,SUBSTITUTE(SUBSTITUTE(SUBSTITUTE($B401,"~","~~"),"*","~*"),"?","~?"),'DEF_SELF_SCOUT_IMPORT'!$Q$42:$Q$1040,SUBSTITUTE(SUBSTITUTE(SUBSTITUTE($M401,"~","~~"),"*","~*"),"?","~?"),'DEF_SELF_SCOUT_IMPORT'!$G$42:$G$1040,SUBSTITUTE(SUBSTITUTE(SUBSTITUTE($O401,"~","~~"),"*","~*"),"?","~?"),'DEF_SELF_SCOUT_IMPORT'!$H$42:$H$1040,"DROPBACK")/$C401)</f>
        <v>1.0</v>
      </c>
      <c r="I401" s="14" t="str">
        <f>IF(C401=0,"",IF(C401&lt;=2,"TRACK",IF(C401=3,"LOW",IF(C401&lt;=6,"MEDIUM","HIGH"))))</f>
        <v>TRACK</v>
      </c>
      <c r="J401" s="11">
        <f>IF(C401=0,"",ROUND(D401*70+(1-E401)*20+MAX(0,MIN(1,(10-F401)/10))*10,1))</f>
        <v>93.0</v>
      </c>
      <c r="K401" s="14" t="str">
        <f>IF(C401=0,"No Evidence",IF(C401&lt;=2,IF(E401&gt;0,"Explosive Alert","Track Only"),IF(C401=3,"Sample Watch",IF(E401&gt;=START_HERE!$B$31,"Explosive Alert",IF(J401&gt;=80,"Strong Candidate",IF(J401&gt;=65,"Good Candidate",IF(J401&gt;=50,"Mixed / Review","Problem Call")))))))</f>
        <v>Track Only</v>
      </c>
      <c r="L401" s="9" t="str">
        <f>IF(COUNTIFS('DEF_SELF_SCOUT_IMPORT'!$L$42:$L$1040,"Y",'DEF_SELF_SCOUT_IMPORT'!$E$42:$E$1040,SUBSTITUTE(SUBSTITUTE(SUBSTITUTE($B401,"~","~~"),"*","~*"),"?","~?"),'DEF_SELF_SCOUT_IMPORT'!$Q$42:$Q$1040,SUBSTITUTE(SUBSTITUTE(SUBSTITUTE($M401,"~","~~"),"*","~*"),"?","~?"),'DEF_SELF_SCOUT_IMPORT'!$G$42:$G$1040,SUBSTITUTE(SUBSTITUTE(SUBSTITUTE($O401,"~","~~"),"*","~*"),"?","~?"),'DEF_SELF_SCOUT_IMPORT'!$J$42:$J$1040,"")&gt;0,"Unscored clean outcome; review result tags before using score.",IF(C401=0,"No matching defensive reps; film confirmation needed.",IF(K401="Explosive Alert","Explosive risk; review clips before using as answer.",IF(C401&lt;=2,"Track only; not enough sample.",IF(C401=3,IF(E401&gt;0,"Sample watch with explosive exposure; review clips and build the sample.",IF(J401&gt;=65,"Good signal, but sample is limited.","Sample watch; review clips and build the sample.")),IF(K401="Problem Call","Problem area; practice or call-sheet review.",IF(K401="Strong Candidate","Strong call-fit candidate; confirm on film.",IF(K401="Good Candidate","Good call-fit signal; confirm on film.","Mixed signal; review fit and execution on film."))))))))</f>
        <v>Track only; not enough sample.</v>
      </c>
      <c r="M401" s="8" t="s">
        <v>39</v>
      </c>
      <c r="N401" s="8"/>
      <c r="O401" s="8" t="s">
        <v>203</v>
      </c>
      <c r="P401" s="8"/>
      <c r="Q401" s="8"/>
      <c r="R401" s="8" t="s">
        <v>28</v>
      </c>
      <c r="S401" s="2" t="s">
        <v>218</v>
      </c>
      <c r="T401" s="2">
        <f>IF(C401=0,0,IF(C401&gt;=CALL_LOOKUP_BOARD!$B$7,IF(OR(K401="Problem Call",K401="Explosive Alert"),10000000,20000000),0)+IF(C401&gt;=CALL_LOOKUP_BOARD!$B$7,J401*1000+MIN(C401,999),C401*1000+J401)+0.00997300)</f>
        <v>1093.009973</v>
      </c>
      <c r="U401" s="2">
        <f>IF(C401=0,"",IF(COUNTIFS($S$375:$S$581,SUBSTITUTE(SUBSTITUTE(SUBSTITUTE(S401,"~","~~"),"*","~*"),"?","~?"),$T$375:$T$581,"&gt;"&amp;T401)=0,S401,""))</f>
        <v/>
      </c>
    </row>
    <row r="402" spans="1:21" ht="38" customHeight="1">
      <c r="A402" s="8" t="s">
        <v>217</v>
      </c>
      <c r="B402" s="8" t="s">
        <v>69</v>
      </c>
      <c r="C402" s="12">
        <f>COUNTIFS('DEF_SELF_SCOUT_IMPORT'!$L$42:$L$1040,"Y",'DEF_SELF_SCOUT_IMPORT'!$E$42:$E$1040,SUBSTITUTE(SUBSTITUTE(SUBSTITUTE($B402,"~","~~"),"*","~*"),"?","~?"),'DEF_SELF_SCOUT_IMPORT'!$Q$42:$Q$1040,SUBSTITUTE(SUBSTITUTE(SUBSTITUTE($M402,"~","~~"),"*","~*"),"?","~?"),'DEF_SELF_SCOUT_IMPORT'!$G$42:$G$1040,SUBSTITUTE(SUBSTITUTE(SUBSTITUTE($O402,"~","~~"),"*","~*"),"?","~?"))</f>
        <v>1</v>
      </c>
      <c r="D402" s="10">
        <f>IF($C402=0,"",SUMIFS('DEF_SELF_SCOUT_IMPORT'!$J$42:$J$1040,'DEF_SELF_SCOUT_IMPORT'!$L$42:$L$1040,"Y",'DEF_SELF_SCOUT_IMPORT'!$E$42:$E$1040,SUBSTITUTE(SUBSTITUTE(SUBSTITUTE($B402,"~","~~"),"*","~*"),"?","~?"),'DEF_SELF_SCOUT_IMPORT'!$Q$42:$Q$1040,SUBSTITUTE(SUBSTITUTE(SUBSTITUTE($M402,"~","~~"),"*","~*"),"?","~?"),'DEF_SELF_SCOUT_IMPORT'!$G$42:$G$1040,SUBSTITUTE(SUBSTITUTE(SUBSTITUTE($O402,"~","~~"),"*","~*"),"?","~?"))/$C402)</f>
        <v>1.0</v>
      </c>
      <c r="E402" s="10">
        <f>IF($C402=0,"",SUMIFS('DEF_SELF_SCOUT_IMPORT'!$K$42:$K$1040,'DEF_SELF_SCOUT_IMPORT'!$L$42:$L$1040,"Y",'DEF_SELF_SCOUT_IMPORT'!$E$42:$E$1040,SUBSTITUTE(SUBSTITUTE(SUBSTITUTE($B402,"~","~~"),"*","~*"),"?","~?"),'DEF_SELF_SCOUT_IMPORT'!$Q$42:$Q$1040,SUBSTITUTE(SUBSTITUTE(SUBSTITUTE($M402,"~","~~"),"*","~*"),"?","~?"),'DEF_SELF_SCOUT_IMPORT'!$G$42:$G$1040,SUBSTITUTE(SUBSTITUTE(SUBSTITUTE($O402,"~","~~"),"*","~*"),"?","~?"))/$C402)</f>
        <v>0.0</v>
      </c>
      <c r="F402" s="11">
        <f>IF($C402=0,"",AVERAGEIFS('DEF_SELF_SCOUT_IMPORT'!$I$42:$I$1040,'DEF_SELF_SCOUT_IMPORT'!$L$42:$L$1040,"Y",'DEF_SELF_SCOUT_IMPORT'!$E$42:$E$1040,SUBSTITUTE(SUBSTITUTE(SUBSTITUTE($B402,"~","~~"),"*","~*"),"?","~?"),'DEF_SELF_SCOUT_IMPORT'!$Q$42:$Q$1040,SUBSTITUTE(SUBSTITUTE(SUBSTITUTE($M402,"~","~~"),"*","~*"),"?","~?"),'DEF_SELF_SCOUT_IMPORT'!$G$42:$G$1040,SUBSTITUTE(SUBSTITUTE(SUBSTITUTE($O402,"~","~~"),"*","~*"),"?","~?")))</f>
        <v>0.0</v>
      </c>
      <c r="G402" s="10">
        <f>IF($C402=0,"",COUNTIFS('DEF_SELF_SCOUT_IMPORT'!$L$42:$L$1040,"Y",'DEF_SELF_SCOUT_IMPORT'!$E$42:$E$1040,SUBSTITUTE(SUBSTITUTE(SUBSTITUTE($B402,"~","~~"),"*","~*"),"?","~?"),'DEF_SELF_SCOUT_IMPORT'!$Q$42:$Q$1040,SUBSTITUTE(SUBSTITUTE(SUBSTITUTE($M402,"~","~~"),"*","~*"),"?","~?"),'DEF_SELF_SCOUT_IMPORT'!$G$42:$G$1040,SUBSTITUTE(SUBSTITUTE(SUBSTITUTE($O402,"~","~~"),"*","~*"),"?","~?"),'DEF_SELF_SCOUT_IMPORT'!$H$42:$H$1040,"RUSH")/$C402)</f>
        <v>0.0</v>
      </c>
      <c r="H402" s="10">
        <f>IF($C402=0,"",COUNTIFS('DEF_SELF_SCOUT_IMPORT'!$L$42:$L$1040,"Y",'DEF_SELF_SCOUT_IMPORT'!$E$42:$E$1040,SUBSTITUTE(SUBSTITUTE(SUBSTITUTE($B402,"~","~~"),"*","~*"),"?","~?"),'DEF_SELF_SCOUT_IMPORT'!$Q$42:$Q$1040,SUBSTITUTE(SUBSTITUTE(SUBSTITUTE($M402,"~","~~"),"*","~*"),"?","~?"),'DEF_SELF_SCOUT_IMPORT'!$G$42:$G$1040,SUBSTITUTE(SUBSTITUTE(SUBSTITUTE($O402,"~","~~"),"*","~*"),"?","~?"),'DEF_SELF_SCOUT_IMPORT'!$H$42:$H$1040,"DROPBACK")/$C402)</f>
        <v>1.0</v>
      </c>
      <c r="I402" s="14" t="str">
        <f>IF(C402=0,"",IF(C402&lt;=2,"TRACK",IF(C402=3,"LOW",IF(C402&lt;=6,"MEDIUM","HIGH"))))</f>
        <v>TRACK</v>
      </c>
      <c r="J402" s="11">
        <f>IF(C402=0,"",ROUND(D402*70+(1-E402)*20+MAX(0,MIN(1,(10-F402)/10))*10,1))</f>
        <v>100.0</v>
      </c>
      <c r="K402" s="14" t="str">
        <f>IF(C402=0,"No Evidence",IF(C402&lt;=2,IF(E402&gt;0,"Explosive Alert","Track Only"),IF(C402=3,"Sample Watch",IF(E402&gt;=START_HERE!$B$31,"Explosive Alert",IF(J402&gt;=80,"Strong Candidate",IF(J402&gt;=65,"Good Candidate",IF(J402&gt;=50,"Mixed / Review","Problem Call")))))))</f>
        <v>Track Only</v>
      </c>
      <c r="L402" s="9" t="str">
        <f>IF(COUNTIFS('DEF_SELF_SCOUT_IMPORT'!$L$42:$L$1040,"Y",'DEF_SELF_SCOUT_IMPORT'!$E$42:$E$1040,SUBSTITUTE(SUBSTITUTE(SUBSTITUTE($B402,"~","~~"),"*","~*"),"?","~?"),'DEF_SELF_SCOUT_IMPORT'!$Q$42:$Q$1040,SUBSTITUTE(SUBSTITUTE(SUBSTITUTE($M402,"~","~~"),"*","~*"),"?","~?"),'DEF_SELF_SCOUT_IMPORT'!$G$42:$G$1040,SUBSTITUTE(SUBSTITUTE(SUBSTITUTE($O402,"~","~~"),"*","~*"),"?","~?"),'DEF_SELF_SCOUT_IMPORT'!$J$42:$J$1040,"")&gt;0,"Unscored clean outcome; review result tags before using score.",IF(C402=0,"No matching defensive reps; film confirmation needed.",IF(K402="Explosive Alert","Explosive risk; review clips before using as answer.",IF(C402&lt;=2,"Track only; not enough sample.",IF(C402=3,IF(E402&gt;0,"Sample watch with explosive exposure; review clips and build the sample.",IF(J402&gt;=65,"Good signal, but sample is limited.","Sample watch; review clips and build the sample.")),IF(K402="Problem Call","Problem area; practice or call-sheet review.",IF(K402="Strong Candidate","Strong call-fit candidate; confirm on film.",IF(K402="Good Candidate","Good call-fit signal; confirm on film.","Mixed signal; review fit and execution on film."))))))))</f>
        <v>Track only; not enough sample.</v>
      </c>
      <c r="M402" s="8" t="s">
        <v>39</v>
      </c>
      <c r="N402" s="8"/>
      <c r="O402" s="8" t="s">
        <v>203</v>
      </c>
      <c r="P402" s="8"/>
      <c r="Q402" s="8"/>
      <c r="R402" s="8" t="s">
        <v>28</v>
      </c>
      <c r="S402" s="2" t="s">
        <v>218</v>
      </c>
      <c r="T402" s="2">
        <f>IF(C402=0,0,IF(C402&gt;=CALL_LOOKUP_BOARD!$B$7,IF(OR(K402="Problem Call",K402="Explosive Alert"),10000000,20000000),0)+IF(C402&gt;=CALL_LOOKUP_BOARD!$B$7,J402*1000+MIN(C402,999),C402*1000+J402)+0.00997200)</f>
        <v>1100.009972</v>
      </c>
      <c r="U402" s="2">
        <f>IF(C402=0,"",IF(COUNTIFS($S$375:$S$581,SUBSTITUTE(SUBSTITUTE(SUBSTITUTE(S402,"~","~~"),"*","~*"),"?","~?"),$T$375:$T$581,"&gt;"&amp;T402)=0,S402,""))</f>
        <v/>
      </c>
    </row>
    <row r="403" spans="1:21" ht="38" customHeight="1">
      <c r="A403" s="8" t="s">
        <v>219</v>
      </c>
      <c r="B403" s="8" t="s">
        <v>42</v>
      </c>
      <c r="C403" s="12">
        <f>COUNTIFS('DEF_SELF_SCOUT_IMPORT'!$L$42:$L$1040,"Y",'DEF_SELF_SCOUT_IMPORT'!$E$42:$E$1040,SUBSTITUTE(SUBSTITUTE(SUBSTITUTE($B403,"~","~~"),"*","~*"),"?","~?"),'DEF_SELF_SCOUT_IMPORT'!$Q$42:$Q$1040,SUBSTITUTE(SUBSTITUTE(SUBSTITUTE($M403,"~","~~"),"*","~*"),"?","~?"),'DEF_SELF_SCOUT_IMPORT'!$G$42:$G$1040,SUBSTITUTE(SUBSTITUTE(SUBSTITUTE($O403,"~","~~"),"*","~*"),"?","~?"))</f>
        <v>1</v>
      </c>
      <c r="D403" s="10">
        <f>IF($C403=0,"",SUMIFS('DEF_SELF_SCOUT_IMPORT'!$J$42:$J$1040,'DEF_SELF_SCOUT_IMPORT'!$L$42:$L$1040,"Y",'DEF_SELF_SCOUT_IMPORT'!$E$42:$E$1040,SUBSTITUTE(SUBSTITUTE(SUBSTITUTE($B403,"~","~~"),"*","~*"),"?","~?"),'DEF_SELF_SCOUT_IMPORT'!$Q$42:$Q$1040,SUBSTITUTE(SUBSTITUTE(SUBSTITUTE($M403,"~","~~"),"*","~*"),"?","~?"),'DEF_SELF_SCOUT_IMPORT'!$G$42:$G$1040,SUBSTITUTE(SUBSTITUTE(SUBSTITUTE($O403,"~","~~"),"*","~*"),"?","~?"))/$C403)</f>
        <v>0.0</v>
      </c>
      <c r="E403" s="10">
        <f>IF($C403=0,"",SUMIFS('DEF_SELF_SCOUT_IMPORT'!$K$42:$K$1040,'DEF_SELF_SCOUT_IMPORT'!$L$42:$L$1040,"Y",'DEF_SELF_SCOUT_IMPORT'!$E$42:$E$1040,SUBSTITUTE(SUBSTITUTE(SUBSTITUTE($B403,"~","~~"),"*","~*"),"?","~?"),'DEF_SELF_SCOUT_IMPORT'!$Q$42:$Q$1040,SUBSTITUTE(SUBSTITUTE(SUBSTITUTE($M403,"~","~~"),"*","~*"),"?","~?"),'DEF_SELF_SCOUT_IMPORT'!$G$42:$G$1040,SUBSTITUTE(SUBSTITUTE(SUBSTITUTE($O403,"~","~~"),"*","~*"),"?","~?"))/$C403)</f>
        <v>0.0</v>
      </c>
      <c r="F403" s="11">
        <f>IF($C403=0,"",AVERAGEIFS('DEF_SELF_SCOUT_IMPORT'!$I$42:$I$1040,'DEF_SELF_SCOUT_IMPORT'!$L$42:$L$1040,"Y",'DEF_SELF_SCOUT_IMPORT'!$E$42:$E$1040,SUBSTITUTE(SUBSTITUTE(SUBSTITUTE($B403,"~","~~"),"*","~*"),"?","~?"),'DEF_SELF_SCOUT_IMPORT'!$Q$42:$Q$1040,SUBSTITUTE(SUBSTITUTE(SUBSTITUTE($M403,"~","~~"),"*","~*"),"?","~?"),'DEF_SELF_SCOUT_IMPORT'!$G$42:$G$1040,SUBSTITUTE(SUBSTITUTE(SUBSTITUTE($O403,"~","~~"),"*","~*"),"?","~?")))</f>
        <v>14.0</v>
      </c>
      <c r="G403" s="10">
        <f>IF($C403=0,"",COUNTIFS('DEF_SELF_SCOUT_IMPORT'!$L$42:$L$1040,"Y",'DEF_SELF_SCOUT_IMPORT'!$E$42:$E$1040,SUBSTITUTE(SUBSTITUTE(SUBSTITUTE($B403,"~","~~"),"*","~*"),"?","~?"),'DEF_SELF_SCOUT_IMPORT'!$Q$42:$Q$1040,SUBSTITUTE(SUBSTITUTE(SUBSTITUTE($M403,"~","~~"),"*","~*"),"?","~?"),'DEF_SELF_SCOUT_IMPORT'!$G$42:$G$1040,SUBSTITUTE(SUBSTITUTE(SUBSTITUTE($O403,"~","~~"),"*","~*"),"?","~?"),'DEF_SELF_SCOUT_IMPORT'!$H$42:$H$1040,"RUSH")/$C403)</f>
        <v>0.0</v>
      </c>
      <c r="H403" s="10">
        <f>IF($C403=0,"",COUNTIFS('DEF_SELF_SCOUT_IMPORT'!$L$42:$L$1040,"Y",'DEF_SELF_SCOUT_IMPORT'!$E$42:$E$1040,SUBSTITUTE(SUBSTITUTE(SUBSTITUTE($B403,"~","~~"),"*","~*"),"?","~?"),'DEF_SELF_SCOUT_IMPORT'!$Q$42:$Q$1040,SUBSTITUTE(SUBSTITUTE(SUBSTITUTE($M403,"~","~~"),"*","~*"),"?","~?"),'DEF_SELF_SCOUT_IMPORT'!$G$42:$G$1040,SUBSTITUTE(SUBSTITUTE(SUBSTITUTE($O403,"~","~~"),"*","~*"),"?","~?"),'DEF_SELF_SCOUT_IMPORT'!$H$42:$H$1040,"DROPBACK")/$C403)</f>
        <v>1.0</v>
      </c>
      <c r="I403" s="14" t="str">
        <f>IF(C403=0,"",IF(C403&lt;=2,"TRACK",IF(C403=3,"LOW",IF(C403&lt;=6,"MEDIUM","HIGH"))))</f>
        <v>TRACK</v>
      </c>
      <c r="J403" s="11">
        <f>IF(C403=0,"",ROUND(D403*70+(1-E403)*20+MAX(0,MIN(1,(10-F403)/10))*10,1))</f>
        <v>20.0</v>
      </c>
      <c r="K403" s="14" t="str">
        <f>IF(C403=0,"No Evidence",IF(C403&lt;=2,IF(E403&gt;0,"Explosive Alert","Track Only"),IF(C403=3,"Sample Watch",IF(E403&gt;=START_HERE!$B$31,"Explosive Alert",IF(J403&gt;=80,"Strong Candidate",IF(J403&gt;=65,"Good Candidate",IF(J403&gt;=50,"Mixed / Review","Problem Call")))))))</f>
        <v>Track Only</v>
      </c>
      <c r="L403" s="9" t="str">
        <f>IF(COUNTIFS('DEF_SELF_SCOUT_IMPORT'!$L$42:$L$1040,"Y",'DEF_SELF_SCOUT_IMPORT'!$E$42:$E$1040,SUBSTITUTE(SUBSTITUTE(SUBSTITUTE($B403,"~","~~"),"*","~*"),"?","~?"),'DEF_SELF_SCOUT_IMPORT'!$Q$42:$Q$1040,SUBSTITUTE(SUBSTITUTE(SUBSTITUTE($M403,"~","~~"),"*","~*"),"?","~?"),'DEF_SELF_SCOUT_IMPORT'!$G$42:$G$1040,SUBSTITUTE(SUBSTITUTE(SUBSTITUTE($O403,"~","~~"),"*","~*"),"?","~?"),'DEF_SELF_SCOUT_IMPORT'!$J$42:$J$1040,"")&gt;0,"Unscored clean outcome; review result tags before using score.",IF(C403=0,"No matching defensive reps; film confirmation needed.",IF(K403="Explosive Alert","Explosive risk; review clips before using as answer.",IF(C403&lt;=2,"Track only; not enough sample.",IF(C403=3,IF(E403&gt;0,"Sample watch with explosive exposure; review clips and build the sample.",IF(J403&gt;=65,"Good signal, but sample is limited.","Sample watch; review clips and build the sample.")),IF(K403="Problem Call","Problem area; practice or call-sheet review.",IF(K403="Strong Candidate","Strong call-fit candidate; confirm on film.",IF(K403="Good Candidate","Good call-fit signal; confirm on film.","Mixed signal; review fit and execution on film."))))))))</f>
        <v>Track only; not enough sample.</v>
      </c>
      <c r="M403" s="8" t="s">
        <v>39</v>
      </c>
      <c r="N403" s="8"/>
      <c r="O403" s="8" t="s">
        <v>206</v>
      </c>
      <c r="P403" s="8"/>
      <c r="Q403" s="8"/>
      <c r="R403" s="8" t="s">
        <v>28</v>
      </c>
      <c r="S403" s="2" t="s">
        <v>220</v>
      </c>
      <c r="T403" s="2">
        <f>IF(C403=0,0,IF(C403&gt;=CALL_LOOKUP_BOARD!$B$7,IF(OR(K403="Problem Call",K403="Explosive Alert"),10000000,20000000),0)+IF(C403&gt;=CALL_LOOKUP_BOARD!$B$7,J403*1000+MIN(C403,999),C403*1000+J403)+0.00997100)</f>
        <v>1020.009971</v>
      </c>
      <c r="U403" s="2">
        <f>IF(C403=0,"",IF(COUNTIFS($S$375:$S$581,SUBSTITUTE(SUBSTITUTE(SUBSTITUTE(S403,"~","~~"),"*","~*"),"?","~?"),$T$375:$T$581,"&gt;"&amp;T403)=0,S403,""))</f>
        <v/>
      </c>
    </row>
    <row r="404" spans="1:21" ht="38" customHeight="1">
      <c r="A404" s="8" t="s">
        <v>219</v>
      </c>
      <c r="B404" s="8" t="s">
        <v>43</v>
      </c>
      <c r="C404" s="12">
        <f>COUNTIFS('DEF_SELF_SCOUT_IMPORT'!$L$42:$L$1040,"Y",'DEF_SELF_SCOUT_IMPORT'!$E$42:$E$1040,SUBSTITUTE(SUBSTITUTE(SUBSTITUTE($B404,"~","~~"),"*","~*"),"?","~?"),'DEF_SELF_SCOUT_IMPORT'!$Q$42:$Q$1040,SUBSTITUTE(SUBSTITUTE(SUBSTITUTE($M404,"~","~~"),"*","~*"),"?","~?"),'DEF_SELF_SCOUT_IMPORT'!$G$42:$G$1040,SUBSTITUTE(SUBSTITUTE(SUBSTITUTE($O404,"~","~~"),"*","~*"),"?","~?"))</f>
        <v>2</v>
      </c>
      <c r="D404" s="10">
        <f>IF($C404=0,"",SUMIFS('DEF_SELF_SCOUT_IMPORT'!$J$42:$J$1040,'DEF_SELF_SCOUT_IMPORT'!$L$42:$L$1040,"Y",'DEF_SELF_SCOUT_IMPORT'!$E$42:$E$1040,SUBSTITUTE(SUBSTITUTE(SUBSTITUTE($B404,"~","~~"),"*","~*"),"?","~?"),'DEF_SELF_SCOUT_IMPORT'!$Q$42:$Q$1040,SUBSTITUTE(SUBSTITUTE(SUBSTITUTE($M404,"~","~~"),"*","~*"),"?","~?"),'DEF_SELF_SCOUT_IMPORT'!$G$42:$G$1040,SUBSTITUTE(SUBSTITUTE(SUBSTITUTE($O404,"~","~~"),"*","~*"),"?","~?"))/$C404)</f>
        <v>1.0</v>
      </c>
      <c r="E404" s="10">
        <f>IF($C404=0,"",SUMIFS('DEF_SELF_SCOUT_IMPORT'!$K$42:$K$1040,'DEF_SELF_SCOUT_IMPORT'!$L$42:$L$1040,"Y",'DEF_SELF_SCOUT_IMPORT'!$E$42:$E$1040,SUBSTITUTE(SUBSTITUTE(SUBSTITUTE($B404,"~","~~"),"*","~*"),"?","~?"),'DEF_SELF_SCOUT_IMPORT'!$Q$42:$Q$1040,SUBSTITUTE(SUBSTITUTE(SUBSTITUTE($M404,"~","~~"),"*","~*"),"?","~?"),'DEF_SELF_SCOUT_IMPORT'!$G$42:$G$1040,SUBSTITUTE(SUBSTITUTE(SUBSTITUTE($O404,"~","~~"),"*","~*"),"?","~?"))/$C404)</f>
        <v>0.0</v>
      </c>
      <c r="F404" s="11">
        <f>IF($C404=0,"",AVERAGEIFS('DEF_SELF_SCOUT_IMPORT'!$I$42:$I$1040,'DEF_SELF_SCOUT_IMPORT'!$L$42:$L$1040,"Y",'DEF_SELF_SCOUT_IMPORT'!$E$42:$E$1040,SUBSTITUTE(SUBSTITUTE(SUBSTITUTE($B404,"~","~~"),"*","~*"),"?","~?"),'DEF_SELF_SCOUT_IMPORT'!$Q$42:$Q$1040,SUBSTITUTE(SUBSTITUTE(SUBSTITUTE($M404,"~","~~"),"*","~*"),"?","~?"),'DEF_SELF_SCOUT_IMPORT'!$G$42:$G$1040,SUBSTITUTE(SUBSTITUTE(SUBSTITUTE($O404,"~","~~"),"*","~*"),"?","~?")))</f>
        <v>0.5</v>
      </c>
      <c r="G404" s="10">
        <f>IF($C404=0,"",COUNTIFS('DEF_SELF_SCOUT_IMPORT'!$L$42:$L$1040,"Y",'DEF_SELF_SCOUT_IMPORT'!$E$42:$E$1040,SUBSTITUTE(SUBSTITUTE(SUBSTITUTE($B404,"~","~~"),"*","~*"),"?","~?"),'DEF_SELF_SCOUT_IMPORT'!$Q$42:$Q$1040,SUBSTITUTE(SUBSTITUTE(SUBSTITUTE($M404,"~","~~"),"*","~*"),"?","~?"),'DEF_SELF_SCOUT_IMPORT'!$G$42:$G$1040,SUBSTITUTE(SUBSTITUTE(SUBSTITUTE($O404,"~","~~"),"*","~*"),"?","~?"),'DEF_SELF_SCOUT_IMPORT'!$H$42:$H$1040,"RUSH")/$C404)</f>
        <v>0.5</v>
      </c>
      <c r="H404" s="10">
        <f>IF($C404=0,"",COUNTIFS('DEF_SELF_SCOUT_IMPORT'!$L$42:$L$1040,"Y",'DEF_SELF_SCOUT_IMPORT'!$E$42:$E$1040,SUBSTITUTE(SUBSTITUTE(SUBSTITUTE($B404,"~","~~"),"*","~*"),"?","~?"),'DEF_SELF_SCOUT_IMPORT'!$Q$42:$Q$1040,SUBSTITUTE(SUBSTITUTE(SUBSTITUTE($M404,"~","~~"),"*","~*"),"?","~?"),'DEF_SELF_SCOUT_IMPORT'!$G$42:$G$1040,SUBSTITUTE(SUBSTITUTE(SUBSTITUTE($O404,"~","~~"),"*","~*"),"?","~?"),'DEF_SELF_SCOUT_IMPORT'!$H$42:$H$1040,"DROPBACK")/$C404)</f>
        <v>0.5</v>
      </c>
      <c r="I404" s="14" t="str">
        <f>IF(C404=0,"",IF(C404&lt;=2,"TRACK",IF(C404=3,"LOW",IF(C404&lt;=6,"MEDIUM","HIGH"))))</f>
        <v>TRACK</v>
      </c>
      <c r="J404" s="11">
        <f>IF(C404=0,"",ROUND(D404*70+(1-E404)*20+MAX(0,MIN(1,(10-F404)/10))*10,1))</f>
        <v>99.5</v>
      </c>
      <c r="K404" s="14" t="str">
        <f>IF(C404=0,"No Evidence",IF(C404&lt;=2,IF(E404&gt;0,"Explosive Alert","Track Only"),IF(C404=3,"Sample Watch",IF(E404&gt;=START_HERE!$B$31,"Explosive Alert",IF(J404&gt;=80,"Strong Candidate",IF(J404&gt;=65,"Good Candidate",IF(J404&gt;=50,"Mixed / Review","Problem Call")))))))</f>
        <v>Track Only</v>
      </c>
      <c r="L404" s="9" t="str">
        <f>IF(COUNTIFS('DEF_SELF_SCOUT_IMPORT'!$L$42:$L$1040,"Y",'DEF_SELF_SCOUT_IMPORT'!$E$42:$E$1040,SUBSTITUTE(SUBSTITUTE(SUBSTITUTE($B404,"~","~~"),"*","~*"),"?","~?"),'DEF_SELF_SCOUT_IMPORT'!$Q$42:$Q$1040,SUBSTITUTE(SUBSTITUTE(SUBSTITUTE($M404,"~","~~"),"*","~*"),"?","~?"),'DEF_SELF_SCOUT_IMPORT'!$G$42:$G$1040,SUBSTITUTE(SUBSTITUTE(SUBSTITUTE($O404,"~","~~"),"*","~*"),"?","~?"),'DEF_SELF_SCOUT_IMPORT'!$J$42:$J$1040,"")&gt;0,"Unscored clean outcome; review result tags before using score.",IF(C404=0,"No matching defensive reps; film confirmation needed.",IF(K404="Explosive Alert","Explosive risk; review clips before using as answer.",IF(C404&lt;=2,"Track only; not enough sample.",IF(C404=3,IF(E404&gt;0,"Sample watch with explosive exposure; review clips and build the sample.",IF(J404&gt;=65,"Good signal, but sample is limited.","Sample watch; review clips and build the sample.")),IF(K404="Problem Call","Problem area; practice or call-sheet review.",IF(K404="Strong Candidate","Strong call-fit candidate; confirm on film.",IF(K404="Good Candidate","Good call-fit signal; confirm on film.","Mixed signal; review fit and execution on film."))))))))</f>
        <v>Track only; not enough sample.</v>
      </c>
      <c r="M404" s="8" t="s">
        <v>39</v>
      </c>
      <c r="N404" s="8"/>
      <c r="O404" s="8" t="s">
        <v>206</v>
      </c>
      <c r="P404" s="8"/>
      <c r="Q404" s="8"/>
      <c r="R404" s="8" t="s">
        <v>28</v>
      </c>
      <c r="S404" s="2" t="s">
        <v>220</v>
      </c>
      <c r="T404" s="2">
        <f>IF(C404=0,0,IF(C404&gt;=CALL_LOOKUP_BOARD!$B$7,IF(OR(K404="Problem Call",K404="Explosive Alert"),10000000,20000000),0)+IF(C404&gt;=CALL_LOOKUP_BOARD!$B$7,J404*1000+MIN(C404,999),C404*1000+J404)+0.00997000)</f>
        <v>2099.50997</v>
      </c>
      <c r="U404" s="2">
        <f>IF(C404=0,"",IF(COUNTIFS($S$375:$S$581,SUBSTITUTE(SUBSTITUTE(SUBSTITUTE(S404,"~","~~"),"*","~*"),"?","~?"),$T$375:$T$581,"&gt;"&amp;T404)=0,S404,""))</f>
        <v/>
      </c>
    </row>
    <row r="405" spans="1:21" ht="38" customHeight="1">
      <c r="A405" s="8" t="s">
        <v>219</v>
      </c>
      <c r="B405" s="8" t="s">
        <v>44</v>
      </c>
      <c r="C405" s="12">
        <f>COUNTIFS('DEF_SELF_SCOUT_IMPORT'!$L$42:$L$1040,"Y",'DEF_SELF_SCOUT_IMPORT'!$E$42:$E$1040,SUBSTITUTE(SUBSTITUTE(SUBSTITUTE($B405,"~","~~"),"*","~*"),"?","~?"),'DEF_SELF_SCOUT_IMPORT'!$Q$42:$Q$1040,SUBSTITUTE(SUBSTITUTE(SUBSTITUTE($M405,"~","~~"),"*","~*"),"?","~?"),'DEF_SELF_SCOUT_IMPORT'!$G$42:$G$1040,SUBSTITUTE(SUBSTITUTE(SUBSTITUTE($O405,"~","~~"),"*","~*"),"?","~?"))</f>
        <v>6</v>
      </c>
      <c r="D405" s="10">
        <f>IF($C405=0,"",SUMIFS('DEF_SELF_SCOUT_IMPORT'!$J$42:$J$1040,'DEF_SELF_SCOUT_IMPORT'!$L$42:$L$1040,"Y",'DEF_SELF_SCOUT_IMPORT'!$E$42:$E$1040,SUBSTITUTE(SUBSTITUTE(SUBSTITUTE($B405,"~","~~"),"*","~*"),"?","~?"),'DEF_SELF_SCOUT_IMPORT'!$Q$42:$Q$1040,SUBSTITUTE(SUBSTITUTE(SUBSTITUTE($M405,"~","~~"),"*","~*"),"?","~?"),'DEF_SELF_SCOUT_IMPORT'!$G$42:$G$1040,SUBSTITUTE(SUBSTITUTE(SUBSTITUTE($O405,"~","~~"),"*","~*"),"?","~?"))/$C405)</f>
        <v>0.5</v>
      </c>
      <c r="E405" s="10">
        <f>IF($C405=0,"",SUMIFS('DEF_SELF_SCOUT_IMPORT'!$K$42:$K$1040,'DEF_SELF_SCOUT_IMPORT'!$L$42:$L$1040,"Y",'DEF_SELF_SCOUT_IMPORT'!$E$42:$E$1040,SUBSTITUTE(SUBSTITUTE(SUBSTITUTE($B405,"~","~~"),"*","~*"),"?","~?"),'DEF_SELF_SCOUT_IMPORT'!$Q$42:$Q$1040,SUBSTITUTE(SUBSTITUTE(SUBSTITUTE($M405,"~","~~"),"*","~*"),"?","~?"),'DEF_SELF_SCOUT_IMPORT'!$G$42:$G$1040,SUBSTITUTE(SUBSTITUTE(SUBSTITUTE($O405,"~","~~"),"*","~*"),"?","~?"))/$C405)</f>
        <v>0.0</v>
      </c>
      <c r="F405" s="11">
        <f>IF($C405=0,"",AVERAGEIFS('DEF_SELF_SCOUT_IMPORT'!$I$42:$I$1040,'DEF_SELF_SCOUT_IMPORT'!$L$42:$L$1040,"Y",'DEF_SELF_SCOUT_IMPORT'!$E$42:$E$1040,SUBSTITUTE(SUBSTITUTE(SUBSTITUTE($B405,"~","~~"),"*","~*"),"?","~?"),'DEF_SELF_SCOUT_IMPORT'!$Q$42:$Q$1040,SUBSTITUTE(SUBSTITUTE(SUBSTITUTE($M405,"~","~~"),"*","~*"),"?","~?"),'DEF_SELF_SCOUT_IMPORT'!$G$42:$G$1040,SUBSTITUTE(SUBSTITUTE(SUBSTITUTE($O405,"~","~~"),"*","~*"),"?","~?")))</f>
        <v>3.8333333333333335</v>
      </c>
      <c r="G405" s="10">
        <f>IF($C405=0,"",COUNTIFS('DEF_SELF_SCOUT_IMPORT'!$L$42:$L$1040,"Y",'DEF_SELF_SCOUT_IMPORT'!$E$42:$E$1040,SUBSTITUTE(SUBSTITUTE(SUBSTITUTE($B405,"~","~~"),"*","~*"),"?","~?"),'DEF_SELF_SCOUT_IMPORT'!$Q$42:$Q$1040,SUBSTITUTE(SUBSTITUTE(SUBSTITUTE($M405,"~","~~"),"*","~*"),"?","~?"),'DEF_SELF_SCOUT_IMPORT'!$G$42:$G$1040,SUBSTITUTE(SUBSTITUTE(SUBSTITUTE($O405,"~","~~"),"*","~*"),"?","~?"),'DEF_SELF_SCOUT_IMPORT'!$H$42:$H$1040,"RUSH")/$C405)</f>
        <v>0.6666666666666666</v>
      </c>
      <c r="H405" s="10">
        <f>IF($C405=0,"",COUNTIFS('DEF_SELF_SCOUT_IMPORT'!$L$42:$L$1040,"Y",'DEF_SELF_SCOUT_IMPORT'!$E$42:$E$1040,SUBSTITUTE(SUBSTITUTE(SUBSTITUTE($B405,"~","~~"),"*","~*"),"?","~?"),'DEF_SELF_SCOUT_IMPORT'!$Q$42:$Q$1040,SUBSTITUTE(SUBSTITUTE(SUBSTITUTE($M405,"~","~~"),"*","~*"),"?","~?"),'DEF_SELF_SCOUT_IMPORT'!$G$42:$G$1040,SUBSTITUTE(SUBSTITUTE(SUBSTITUTE($O405,"~","~~"),"*","~*"),"?","~?"),'DEF_SELF_SCOUT_IMPORT'!$H$42:$H$1040,"DROPBACK")/$C405)</f>
        <v>0.3333333333333333</v>
      </c>
      <c r="I405" s="14" t="str">
        <f>IF(C405=0,"",IF(C405&lt;=2,"TRACK",IF(C405=3,"LOW",IF(C405&lt;=6,"MEDIUM","HIGH"))))</f>
        <v>MEDIUM</v>
      </c>
      <c r="J405" s="11">
        <f>IF(C405=0,"",ROUND(D405*70+(1-E405)*20+MAX(0,MIN(1,(10-F405)/10))*10,1))</f>
        <v>61.2</v>
      </c>
      <c r="K405" s="14" t="str">
        <f>IF(C405=0,"No Evidence",IF(C405&lt;=2,IF(E405&gt;0,"Explosive Alert","Track Only"),IF(C405=3,"Sample Watch",IF(E405&gt;=START_HERE!$B$31,"Explosive Alert",IF(J405&gt;=80,"Strong Candidate",IF(J405&gt;=65,"Good Candidate",IF(J405&gt;=50,"Mixed / Review","Problem Call")))))))</f>
        <v>Mixed / Review</v>
      </c>
      <c r="L405" s="9" t="str">
        <f>IF(COUNTIFS('DEF_SELF_SCOUT_IMPORT'!$L$42:$L$1040,"Y",'DEF_SELF_SCOUT_IMPORT'!$E$42:$E$1040,SUBSTITUTE(SUBSTITUTE(SUBSTITUTE($B405,"~","~~"),"*","~*"),"?","~?"),'DEF_SELF_SCOUT_IMPORT'!$Q$42:$Q$1040,SUBSTITUTE(SUBSTITUTE(SUBSTITUTE($M405,"~","~~"),"*","~*"),"?","~?"),'DEF_SELF_SCOUT_IMPORT'!$G$42:$G$1040,SUBSTITUTE(SUBSTITUTE(SUBSTITUTE($O405,"~","~~"),"*","~*"),"?","~?"),'DEF_SELF_SCOUT_IMPORT'!$J$42:$J$1040,"")&gt;0,"Unscored clean outcome; review result tags before using score.",IF(C405=0,"No matching defensive reps; film confirmation needed.",IF(K405="Explosive Alert","Explosive risk; review clips before using as answer.",IF(C405&lt;=2,"Track only; not enough sample.",IF(C405=3,IF(E405&gt;0,"Sample watch with explosive exposure; review clips and build the sample.",IF(J405&gt;=65,"Good signal, but sample is limited.","Sample watch; review clips and build the sample.")),IF(K405="Problem Call","Problem area; practice or call-sheet review.",IF(K405="Strong Candidate","Strong call-fit candidate; confirm on film.",IF(K405="Good Candidate","Good call-fit signal; confirm on film.","Mixed signal; review fit and execution on film."))))))))</f>
        <v>Mixed signal; review fit and execution on film.</v>
      </c>
      <c r="M405" s="8" t="s">
        <v>39</v>
      </c>
      <c r="N405" s="8"/>
      <c r="O405" s="8" t="s">
        <v>206</v>
      </c>
      <c r="P405" s="8"/>
      <c r="Q405" s="8"/>
      <c r="R405" s="8" t="s">
        <v>45</v>
      </c>
      <c r="S405" s="2" t="s">
        <v>220</v>
      </c>
      <c r="T405" s="2">
        <f>IF(C405=0,0,IF(C405&gt;=CALL_LOOKUP_BOARD!$B$7,IF(OR(K405="Problem Call",K405="Explosive Alert"),10000000,20000000),0)+IF(C405&gt;=CALL_LOOKUP_BOARD!$B$7,J405*1000+MIN(C405,999),C405*1000+J405)+0.00996900)</f>
        <v>20061206.009969</v>
      </c>
      <c r="U405" s="2" t="str">
        <f>IF(C405=0,"",IF(COUNTIFS($S$375:$S$581,SUBSTITUTE(SUBSTITUTE(SUBSTITUTE(S405,"~","~~"),"*","~*"),"?","~?"),$T$375:$T$581,"&gt;"&amp;T405)=0,S405,""))</f>
        <v>7:1D 7-10|3:3X1|</v>
      </c>
    </row>
    <row r="406" spans="1:21" ht="38" customHeight="1">
      <c r="A406" s="8" t="s">
        <v>219</v>
      </c>
      <c r="B406" s="8" t="s">
        <v>34</v>
      </c>
      <c r="C406" s="12">
        <f>COUNTIFS('DEF_SELF_SCOUT_IMPORT'!$L$42:$L$1040,"Y",'DEF_SELF_SCOUT_IMPORT'!$E$42:$E$1040,SUBSTITUTE(SUBSTITUTE(SUBSTITUTE($B406,"~","~~"),"*","~*"),"?","~?"),'DEF_SELF_SCOUT_IMPORT'!$Q$42:$Q$1040,SUBSTITUTE(SUBSTITUTE(SUBSTITUTE($M406,"~","~~"),"*","~*"),"?","~?"),'DEF_SELF_SCOUT_IMPORT'!$G$42:$G$1040,SUBSTITUTE(SUBSTITUTE(SUBSTITUTE($O406,"~","~~"),"*","~*"),"?","~?"))</f>
        <v>2</v>
      </c>
      <c r="D406" s="10">
        <f>IF($C406=0,"",SUMIFS('DEF_SELF_SCOUT_IMPORT'!$J$42:$J$1040,'DEF_SELF_SCOUT_IMPORT'!$L$42:$L$1040,"Y",'DEF_SELF_SCOUT_IMPORT'!$E$42:$E$1040,SUBSTITUTE(SUBSTITUTE(SUBSTITUTE($B406,"~","~~"),"*","~*"),"?","~?"),'DEF_SELF_SCOUT_IMPORT'!$Q$42:$Q$1040,SUBSTITUTE(SUBSTITUTE(SUBSTITUTE($M406,"~","~~"),"*","~*"),"?","~?"),'DEF_SELF_SCOUT_IMPORT'!$G$42:$G$1040,SUBSTITUTE(SUBSTITUTE(SUBSTITUTE($O406,"~","~~"),"*","~*"),"?","~?"))/$C406)</f>
        <v>0.0</v>
      </c>
      <c r="E406" s="10">
        <f>IF($C406=0,"",SUMIFS('DEF_SELF_SCOUT_IMPORT'!$K$42:$K$1040,'DEF_SELF_SCOUT_IMPORT'!$L$42:$L$1040,"Y",'DEF_SELF_SCOUT_IMPORT'!$E$42:$E$1040,SUBSTITUTE(SUBSTITUTE(SUBSTITUTE($B406,"~","~~"),"*","~*"),"?","~?"),'DEF_SELF_SCOUT_IMPORT'!$Q$42:$Q$1040,SUBSTITUTE(SUBSTITUTE(SUBSTITUTE($M406,"~","~~"),"*","~*"),"?","~?"),'DEF_SELF_SCOUT_IMPORT'!$G$42:$G$1040,SUBSTITUTE(SUBSTITUTE(SUBSTITUTE($O406,"~","~~"),"*","~*"),"?","~?"))/$C406)</f>
        <v>0.5</v>
      </c>
      <c r="F406" s="11">
        <f>IF($C406=0,"",AVERAGEIFS('DEF_SELF_SCOUT_IMPORT'!$I$42:$I$1040,'DEF_SELF_SCOUT_IMPORT'!$L$42:$L$1040,"Y",'DEF_SELF_SCOUT_IMPORT'!$E$42:$E$1040,SUBSTITUTE(SUBSTITUTE(SUBSTITUTE($B406,"~","~~"),"*","~*"),"?","~?"),'DEF_SELF_SCOUT_IMPORT'!$Q$42:$Q$1040,SUBSTITUTE(SUBSTITUTE(SUBSTITUTE($M406,"~","~~"),"*","~*"),"?","~?"),'DEF_SELF_SCOUT_IMPORT'!$G$42:$G$1040,SUBSTITUTE(SUBSTITUTE(SUBSTITUTE($O406,"~","~~"),"*","~*"),"?","~?")))</f>
        <v>30.5</v>
      </c>
      <c r="G406" s="10">
        <f>IF($C406=0,"",COUNTIFS('DEF_SELF_SCOUT_IMPORT'!$L$42:$L$1040,"Y",'DEF_SELF_SCOUT_IMPORT'!$E$42:$E$1040,SUBSTITUTE(SUBSTITUTE(SUBSTITUTE($B406,"~","~~"),"*","~*"),"?","~?"),'DEF_SELF_SCOUT_IMPORT'!$Q$42:$Q$1040,SUBSTITUTE(SUBSTITUTE(SUBSTITUTE($M406,"~","~~"),"*","~*"),"?","~?"),'DEF_SELF_SCOUT_IMPORT'!$G$42:$G$1040,SUBSTITUTE(SUBSTITUTE(SUBSTITUTE($O406,"~","~~"),"*","~*"),"?","~?"),'DEF_SELF_SCOUT_IMPORT'!$H$42:$H$1040,"RUSH")/$C406)</f>
        <v>0.5</v>
      </c>
      <c r="H406" s="10">
        <f>IF($C406=0,"",COUNTIFS('DEF_SELF_SCOUT_IMPORT'!$L$42:$L$1040,"Y",'DEF_SELF_SCOUT_IMPORT'!$E$42:$E$1040,SUBSTITUTE(SUBSTITUTE(SUBSTITUTE($B406,"~","~~"),"*","~*"),"?","~?"),'DEF_SELF_SCOUT_IMPORT'!$Q$42:$Q$1040,SUBSTITUTE(SUBSTITUTE(SUBSTITUTE($M406,"~","~~"),"*","~*"),"?","~?"),'DEF_SELF_SCOUT_IMPORT'!$G$42:$G$1040,SUBSTITUTE(SUBSTITUTE(SUBSTITUTE($O406,"~","~~"),"*","~*"),"?","~?"),'DEF_SELF_SCOUT_IMPORT'!$H$42:$H$1040,"DROPBACK")/$C406)</f>
        <v>0.0</v>
      </c>
      <c r="I406" s="14" t="str">
        <f>IF(C406=0,"",IF(C406&lt;=2,"TRACK",IF(C406=3,"LOW",IF(C406&lt;=6,"MEDIUM","HIGH"))))</f>
        <v>TRACK</v>
      </c>
      <c r="J406" s="11">
        <f>IF(C406=0,"",ROUND(D406*70+(1-E406)*20+MAX(0,MIN(1,(10-F406)/10))*10,1))</f>
        <v>10.0</v>
      </c>
      <c r="K406" s="14" t="str">
        <f>IF(C406=0,"No Evidence",IF(C406&lt;=2,IF(E406&gt;0,"Explosive Alert","Track Only"),IF(C406=3,"Sample Watch",IF(E406&gt;=START_HERE!$B$31,"Explosive Alert",IF(J406&gt;=80,"Strong Candidate",IF(J406&gt;=65,"Good Candidate",IF(J406&gt;=50,"Mixed / Review","Problem Call")))))))</f>
        <v>Explosive Alert</v>
      </c>
      <c r="L406" s="9" t="str">
        <f>IF(COUNTIFS('DEF_SELF_SCOUT_IMPORT'!$L$42:$L$1040,"Y",'DEF_SELF_SCOUT_IMPORT'!$E$42:$E$1040,SUBSTITUTE(SUBSTITUTE(SUBSTITUTE($B406,"~","~~"),"*","~*"),"?","~?"),'DEF_SELF_SCOUT_IMPORT'!$Q$42:$Q$1040,SUBSTITUTE(SUBSTITUTE(SUBSTITUTE($M406,"~","~~"),"*","~*"),"?","~?"),'DEF_SELF_SCOUT_IMPORT'!$G$42:$G$1040,SUBSTITUTE(SUBSTITUTE(SUBSTITUTE($O406,"~","~~"),"*","~*"),"?","~?"),'DEF_SELF_SCOUT_IMPORT'!$J$42:$J$1040,"")&gt;0,"Unscored clean outcome; review result tags before using score.",IF(C406=0,"No matching defensive reps; film confirmation needed.",IF(K406="Explosive Alert","Explosive risk; review clips before using as answer.",IF(C406&lt;=2,"Track only; not enough sample.",IF(C406=3,IF(E406&gt;0,"Sample watch with explosive exposure; review clips and build the sample.",IF(J406&gt;=65,"Good signal, but sample is limited.","Sample watch; review clips and build the sample.")),IF(K406="Problem Call","Problem area; practice or call-sheet review.",IF(K406="Strong Candidate","Strong call-fit candidate; confirm on film.",IF(K406="Good Candidate","Good call-fit signal; confirm on film.","Mixed signal; review fit and execution on film."))))))))</f>
        <v>Explosive risk; review clips before using as answer.</v>
      </c>
      <c r="M406" s="8" t="s">
        <v>39</v>
      </c>
      <c r="N406" s="8"/>
      <c r="O406" s="8" t="s">
        <v>206</v>
      </c>
      <c r="P406" s="8"/>
      <c r="Q406" s="8"/>
      <c r="R406" s="8" t="s">
        <v>28</v>
      </c>
      <c r="S406" s="2" t="s">
        <v>220</v>
      </c>
      <c r="T406" s="2">
        <f>IF(C406=0,0,IF(C406&gt;=CALL_LOOKUP_BOARD!$B$7,IF(OR(K406="Problem Call",K406="Explosive Alert"),10000000,20000000),0)+IF(C406&gt;=CALL_LOOKUP_BOARD!$B$7,J406*1000+MIN(C406,999),C406*1000+J406)+0.00996800)</f>
        <v>2010.009968</v>
      </c>
      <c r="U406" s="2">
        <f>IF(C406=0,"",IF(COUNTIFS($S$375:$S$581,SUBSTITUTE(SUBSTITUTE(SUBSTITUTE(S406,"~","~~"),"*","~*"),"?","~?"),$T$375:$T$581,"&gt;"&amp;T406)=0,S406,""))</f>
        <v/>
      </c>
    </row>
    <row r="407" spans="1:21" ht="38" customHeight="1">
      <c r="A407" s="8" t="s">
        <v>219</v>
      </c>
      <c r="B407" s="8" t="s">
        <v>49</v>
      </c>
      <c r="C407" s="12">
        <f>COUNTIFS('DEF_SELF_SCOUT_IMPORT'!$L$42:$L$1040,"Y",'DEF_SELF_SCOUT_IMPORT'!$E$42:$E$1040,SUBSTITUTE(SUBSTITUTE(SUBSTITUTE($B407,"~","~~"),"*","~*"),"?","~?"),'DEF_SELF_SCOUT_IMPORT'!$Q$42:$Q$1040,SUBSTITUTE(SUBSTITUTE(SUBSTITUTE($M407,"~","~~"),"*","~*"),"?","~?"),'DEF_SELF_SCOUT_IMPORT'!$G$42:$G$1040,SUBSTITUTE(SUBSTITUTE(SUBSTITUTE($O407,"~","~~"),"*","~*"),"?","~?"))</f>
        <v>1</v>
      </c>
      <c r="D407" s="10">
        <f>IF($C407=0,"",SUMIFS('DEF_SELF_SCOUT_IMPORT'!$J$42:$J$1040,'DEF_SELF_SCOUT_IMPORT'!$L$42:$L$1040,"Y",'DEF_SELF_SCOUT_IMPORT'!$E$42:$E$1040,SUBSTITUTE(SUBSTITUTE(SUBSTITUTE($B407,"~","~~"),"*","~*"),"?","~?"),'DEF_SELF_SCOUT_IMPORT'!$Q$42:$Q$1040,SUBSTITUTE(SUBSTITUTE(SUBSTITUTE($M407,"~","~~"),"*","~*"),"?","~?"),'DEF_SELF_SCOUT_IMPORT'!$G$42:$G$1040,SUBSTITUTE(SUBSTITUTE(SUBSTITUTE($O407,"~","~~"),"*","~*"),"?","~?"))/$C407)</f>
        <v>1.0</v>
      </c>
      <c r="E407" s="10">
        <f>IF($C407=0,"",SUMIFS('DEF_SELF_SCOUT_IMPORT'!$K$42:$K$1040,'DEF_SELF_SCOUT_IMPORT'!$L$42:$L$1040,"Y",'DEF_SELF_SCOUT_IMPORT'!$E$42:$E$1040,SUBSTITUTE(SUBSTITUTE(SUBSTITUTE($B407,"~","~~"),"*","~*"),"?","~?"),'DEF_SELF_SCOUT_IMPORT'!$Q$42:$Q$1040,SUBSTITUTE(SUBSTITUTE(SUBSTITUTE($M407,"~","~~"),"*","~*"),"?","~?"),'DEF_SELF_SCOUT_IMPORT'!$G$42:$G$1040,SUBSTITUTE(SUBSTITUTE(SUBSTITUTE($O407,"~","~~"),"*","~*"),"?","~?"))/$C407)</f>
        <v>0.0</v>
      </c>
      <c r="F407" s="11">
        <f>IF($C407=0,"",AVERAGEIFS('DEF_SELF_SCOUT_IMPORT'!$I$42:$I$1040,'DEF_SELF_SCOUT_IMPORT'!$L$42:$L$1040,"Y",'DEF_SELF_SCOUT_IMPORT'!$E$42:$E$1040,SUBSTITUTE(SUBSTITUTE(SUBSTITUTE($B407,"~","~~"),"*","~*"),"?","~?"),'DEF_SELF_SCOUT_IMPORT'!$Q$42:$Q$1040,SUBSTITUTE(SUBSTITUTE(SUBSTITUTE($M407,"~","~~"),"*","~*"),"?","~?"),'DEF_SELF_SCOUT_IMPORT'!$G$42:$G$1040,SUBSTITUTE(SUBSTITUTE(SUBSTITUTE($O407,"~","~~"),"*","~*"),"?","~?")))</f>
        <v>0.0</v>
      </c>
      <c r="G407" s="10">
        <f>IF($C407=0,"",COUNTIFS('DEF_SELF_SCOUT_IMPORT'!$L$42:$L$1040,"Y",'DEF_SELF_SCOUT_IMPORT'!$E$42:$E$1040,SUBSTITUTE(SUBSTITUTE(SUBSTITUTE($B407,"~","~~"),"*","~*"),"?","~?"),'DEF_SELF_SCOUT_IMPORT'!$Q$42:$Q$1040,SUBSTITUTE(SUBSTITUTE(SUBSTITUTE($M407,"~","~~"),"*","~*"),"?","~?"),'DEF_SELF_SCOUT_IMPORT'!$G$42:$G$1040,SUBSTITUTE(SUBSTITUTE(SUBSTITUTE($O407,"~","~~"),"*","~*"),"?","~?"),'DEF_SELF_SCOUT_IMPORT'!$H$42:$H$1040,"RUSH")/$C407)</f>
        <v>0.0</v>
      </c>
      <c r="H407" s="10">
        <f>IF($C407=0,"",COUNTIFS('DEF_SELF_SCOUT_IMPORT'!$L$42:$L$1040,"Y",'DEF_SELF_SCOUT_IMPORT'!$E$42:$E$1040,SUBSTITUTE(SUBSTITUTE(SUBSTITUTE($B407,"~","~~"),"*","~*"),"?","~?"),'DEF_SELF_SCOUT_IMPORT'!$Q$42:$Q$1040,SUBSTITUTE(SUBSTITUTE(SUBSTITUTE($M407,"~","~~"),"*","~*"),"?","~?"),'DEF_SELF_SCOUT_IMPORT'!$G$42:$G$1040,SUBSTITUTE(SUBSTITUTE(SUBSTITUTE($O407,"~","~~"),"*","~*"),"?","~?"),'DEF_SELF_SCOUT_IMPORT'!$H$42:$H$1040,"DROPBACK")/$C407)</f>
        <v>1.0</v>
      </c>
      <c r="I407" s="14" t="str">
        <f>IF(C407=0,"",IF(C407&lt;=2,"TRACK",IF(C407=3,"LOW",IF(C407&lt;=6,"MEDIUM","HIGH"))))</f>
        <v>TRACK</v>
      </c>
      <c r="J407" s="11">
        <f>IF(C407=0,"",ROUND(D407*70+(1-E407)*20+MAX(0,MIN(1,(10-F407)/10))*10,1))</f>
        <v>100.0</v>
      </c>
      <c r="K407" s="14" t="str">
        <f>IF(C407=0,"No Evidence",IF(C407&lt;=2,IF(E407&gt;0,"Explosive Alert","Track Only"),IF(C407=3,"Sample Watch",IF(E407&gt;=START_HERE!$B$31,"Explosive Alert",IF(J407&gt;=80,"Strong Candidate",IF(J407&gt;=65,"Good Candidate",IF(J407&gt;=50,"Mixed / Review","Problem Call")))))))</f>
        <v>Track Only</v>
      </c>
      <c r="L407" s="9" t="str">
        <f>IF(COUNTIFS('DEF_SELF_SCOUT_IMPORT'!$L$42:$L$1040,"Y",'DEF_SELF_SCOUT_IMPORT'!$E$42:$E$1040,SUBSTITUTE(SUBSTITUTE(SUBSTITUTE($B407,"~","~~"),"*","~*"),"?","~?"),'DEF_SELF_SCOUT_IMPORT'!$Q$42:$Q$1040,SUBSTITUTE(SUBSTITUTE(SUBSTITUTE($M407,"~","~~"),"*","~*"),"?","~?"),'DEF_SELF_SCOUT_IMPORT'!$G$42:$G$1040,SUBSTITUTE(SUBSTITUTE(SUBSTITUTE($O407,"~","~~"),"*","~*"),"?","~?"),'DEF_SELF_SCOUT_IMPORT'!$J$42:$J$1040,"")&gt;0,"Unscored clean outcome; review result tags before using score.",IF(C407=0,"No matching defensive reps; film confirmation needed.",IF(K407="Explosive Alert","Explosive risk; review clips before using as answer.",IF(C407&lt;=2,"Track only; not enough sample.",IF(C407=3,IF(E407&gt;0,"Sample watch with explosive exposure; review clips and build the sample.",IF(J407&gt;=65,"Good signal, but sample is limited.","Sample watch; review clips and build the sample.")),IF(K407="Problem Call","Problem area; practice or call-sheet review.",IF(K407="Strong Candidate","Strong call-fit candidate; confirm on film.",IF(K407="Good Candidate","Good call-fit signal; confirm on film.","Mixed signal; review fit and execution on film."))))))))</f>
        <v>Track only; not enough sample.</v>
      </c>
      <c r="M407" s="8" t="s">
        <v>39</v>
      </c>
      <c r="N407" s="8"/>
      <c r="O407" s="8" t="s">
        <v>206</v>
      </c>
      <c r="P407" s="8"/>
      <c r="Q407" s="8"/>
      <c r="R407" s="8" t="s">
        <v>28</v>
      </c>
      <c r="S407" s="2" t="s">
        <v>220</v>
      </c>
      <c r="T407" s="2">
        <f>IF(C407=0,0,IF(C407&gt;=CALL_LOOKUP_BOARD!$B$7,IF(OR(K407="Problem Call",K407="Explosive Alert"),10000000,20000000),0)+IF(C407&gt;=CALL_LOOKUP_BOARD!$B$7,J407*1000+MIN(C407,999),C407*1000+J407)+0.00996700)</f>
        <v>1100.009967</v>
      </c>
      <c r="U407" s="2">
        <f>IF(C407=0,"",IF(COUNTIFS($S$375:$S$581,SUBSTITUTE(SUBSTITUTE(SUBSTITUTE(S407,"~","~~"),"*","~*"),"?","~?"),$T$375:$T$581,"&gt;"&amp;T407)=0,S407,""))</f>
        <v/>
      </c>
    </row>
    <row r="408" spans="1:21" ht="38" customHeight="1">
      <c r="A408" s="8" t="s">
        <v>219</v>
      </c>
      <c r="B408" s="8" t="s">
        <v>51</v>
      </c>
      <c r="C408" s="12">
        <f>COUNTIFS('DEF_SELF_SCOUT_IMPORT'!$L$42:$L$1040,"Y",'DEF_SELF_SCOUT_IMPORT'!$E$42:$E$1040,SUBSTITUTE(SUBSTITUTE(SUBSTITUTE($B408,"~","~~"),"*","~*"),"?","~?"),'DEF_SELF_SCOUT_IMPORT'!$Q$42:$Q$1040,SUBSTITUTE(SUBSTITUTE(SUBSTITUTE($M408,"~","~~"),"*","~*"),"?","~?"),'DEF_SELF_SCOUT_IMPORT'!$G$42:$G$1040,SUBSTITUTE(SUBSTITUTE(SUBSTITUTE($O408,"~","~~"),"*","~*"),"?","~?"))</f>
        <v>2</v>
      </c>
      <c r="D408" s="10">
        <f>IF($C408=0,"",SUMIFS('DEF_SELF_SCOUT_IMPORT'!$J$42:$J$1040,'DEF_SELF_SCOUT_IMPORT'!$L$42:$L$1040,"Y",'DEF_SELF_SCOUT_IMPORT'!$E$42:$E$1040,SUBSTITUTE(SUBSTITUTE(SUBSTITUTE($B408,"~","~~"),"*","~*"),"?","~?"),'DEF_SELF_SCOUT_IMPORT'!$Q$42:$Q$1040,SUBSTITUTE(SUBSTITUTE(SUBSTITUTE($M408,"~","~~"),"*","~*"),"?","~?"),'DEF_SELF_SCOUT_IMPORT'!$G$42:$G$1040,SUBSTITUTE(SUBSTITUTE(SUBSTITUTE($O408,"~","~~"),"*","~*"),"?","~?"))/$C408)</f>
        <v>0.5</v>
      </c>
      <c r="E408" s="10">
        <f>IF($C408=0,"",SUMIFS('DEF_SELF_SCOUT_IMPORT'!$K$42:$K$1040,'DEF_SELF_SCOUT_IMPORT'!$L$42:$L$1040,"Y",'DEF_SELF_SCOUT_IMPORT'!$E$42:$E$1040,SUBSTITUTE(SUBSTITUTE(SUBSTITUTE($B408,"~","~~"),"*","~*"),"?","~?"),'DEF_SELF_SCOUT_IMPORT'!$Q$42:$Q$1040,SUBSTITUTE(SUBSTITUTE(SUBSTITUTE($M408,"~","~~"),"*","~*"),"?","~?"),'DEF_SELF_SCOUT_IMPORT'!$G$42:$G$1040,SUBSTITUTE(SUBSTITUTE(SUBSTITUTE($O408,"~","~~"),"*","~*"),"?","~?"))/$C408)</f>
        <v>0.0</v>
      </c>
      <c r="F408" s="11">
        <f>IF($C408=0,"",AVERAGEIFS('DEF_SELF_SCOUT_IMPORT'!$I$42:$I$1040,'DEF_SELF_SCOUT_IMPORT'!$L$42:$L$1040,"Y",'DEF_SELF_SCOUT_IMPORT'!$E$42:$E$1040,SUBSTITUTE(SUBSTITUTE(SUBSTITUTE($B408,"~","~~"),"*","~*"),"?","~?"),'DEF_SELF_SCOUT_IMPORT'!$Q$42:$Q$1040,SUBSTITUTE(SUBSTITUTE(SUBSTITUTE($M408,"~","~~"),"*","~*"),"?","~?"),'DEF_SELF_SCOUT_IMPORT'!$G$42:$G$1040,SUBSTITUTE(SUBSTITUTE(SUBSTITUTE($O408,"~","~~"),"*","~*"),"?","~?")))</f>
        <v>2.0</v>
      </c>
      <c r="G408" s="10">
        <f>IF($C408=0,"",COUNTIFS('DEF_SELF_SCOUT_IMPORT'!$L$42:$L$1040,"Y",'DEF_SELF_SCOUT_IMPORT'!$E$42:$E$1040,SUBSTITUTE(SUBSTITUTE(SUBSTITUTE($B408,"~","~~"),"*","~*"),"?","~?"),'DEF_SELF_SCOUT_IMPORT'!$Q$42:$Q$1040,SUBSTITUTE(SUBSTITUTE(SUBSTITUTE($M408,"~","~~"),"*","~*"),"?","~?"),'DEF_SELF_SCOUT_IMPORT'!$G$42:$G$1040,SUBSTITUTE(SUBSTITUTE(SUBSTITUTE($O408,"~","~~"),"*","~*"),"?","~?"),'DEF_SELF_SCOUT_IMPORT'!$H$42:$H$1040,"RUSH")/$C408)</f>
        <v>0.5</v>
      </c>
      <c r="H408" s="10">
        <f>IF($C408=0,"",COUNTIFS('DEF_SELF_SCOUT_IMPORT'!$L$42:$L$1040,"Y",'DEF_SELF_SCOUT_IMPORT'!$E$42:$E$1040,SUBSTITUTE(SUBSTITUTE(SUBSTITUTE($B408,"~","~~"),"*","~*"),"?","~?"),'DEF_SELF_SCOUT_IMPORT'!$Q$42:$Q$1040,SUBSTITUTE(SUBSTITUTE(SUBSTITUTE($M408,"~","~~"),"*","~*"),"?","~?"),'DEF_SELF_SCOUT_IMPORT'!$G$42:$G$1040,SUBSTITUTE(SUBSTITUTE(SUBSTITUTE($O408,"~","~~"),"*","~*"),"?","~?"),'DEF_SELF_SCOUT_IMPORT'!$H$42:$H$1040,"DROPBACK")/$C408)</f>
        <v>0.5</v>
      </c>
      <c r="I408" s="14" t="str">
        <f>IF(C408=0,"",IF(C408&lt;=2,"TRACK",IF(C408=3,"LOW",IF(C408&lt;=6,"MEDIUM","HIGH"))))</f>
        <v>TRACK</v>
      </c>
      <c r="J408" s="11">
        <f>IF(C408=0,"",ROUND(D408*70+(1-E408)*20+MAX(0,MIN(1,(10-F408)/10))*10,1))</f>
        <v>63.0</v>
      </c>
      <c r="K408" s="14" t="str">
        <f>IF(C408=0,"No Evidence",IF(C408&lt;=2,IF(E408&gt;0,"Explosive Alert","Track Only"),IF(C408=3,"Sample Watch",IF(E408&gt;=START_HERE!$B$31,"Explosive Alert",IF(J408&gt;=80,"Strong Candidate",IF(J408&gt;=65,"Good Candidate",IF(J408&gt;=50,"Mixed / Review","Problem Call")))))))</f>
        <v>Track Only</v>
      </c>
      <c r="L408" s="9" t="str">
        <f>IF(COUNTIFS('DEF_SELF_SCOUT_IMPORT'!$L$42:$L$1040,"Y",'DEF_SELF_SCOUT_IMPORT'!$E$42:$E$1040,SUBSTITUTE(SUBSTITUTE(SUBSTITUTE($B408,"~","~~"),"*","~*"),"?","~?"),'DEF_SELF_SCOUT_IMPORT'!$Q$42:$Q$1040,SUBSTITUTE(SUBSTITUTE(SUBSTITUTE($M408,"~","~~"),"*","~*"),"?","~?"),'DEF_SELF_SCOUT_IMPORT'!$G$42:$G$1040,SUBSTITUTE(SUBSTITUTE(SUBSTITUTE($O408,"~","~~"),"*","~*"),"?","~?"),'DEF_SELF_SCOUT_IMPORT'!$J$42:$J$1040,"")&gt;0,"Unscored clean outcome; review result tags before using score.",IF(C408=0,"No matching defensive reps; film confirmation needed.",IF(K408="Explosive Alert","Explosive risk; review clips before using as answer.",IF(C408&lt;=2,"Track only; not enough sample.",IF(C408=3,IF(E408&gt;0,"Sample watch with explosive exposure; review clips and build the sample.",IF(J408&gt;=65,"Good signal, but sample is limited.","Sample watch; review clips and build the sample.")),IF(K408="Problem Call","Problem area; practice or call-sheet review.",IF(K408="Strong Candidate","Strong call-fit candidate; confirm on film.",IF(K408="Good Candidate","Good call-fit signal; confirm on film.","Mixed signal; review fit and execution on film."))))))))</f>
        <v>Track only; not enough sample.</v>
      </c>
      <c r="M408" s="8" t="s">
        <v>39</v>
      </c>
      <c r="N408" s="8"/>
      <c r="O408" s="8" t="s">
        <v>206</v>
      </c>
      <c r="P408" s="8"/>
      <c r="Q408" s="8"/>
      <c r="R408" s="8" t="s">
        <v>28</v>
      </c>
      <c r="S408" s="2" t="s">
        <v>220</v>
      </c>
      <c r="T408" s="2">
        <f>IF(C408=0,0,IF(C408&gt;=CALL_LOOKUP_BOARD!$B$7,IF(OR(K408="Problem Call",K408="Explosive Alert"),10000000,20000000),0)+IF(C408&gt;=CALL_LOOKUP_BOARD!$B$7,J408*1000+MIN(C408,999),C408*1000+J408)+0.00996600)</f>
        <v>2063.009966</v>
      </c>
      <c r="U408" s="2">
        <f>IF(C408=0,"",IF(COUNTIFS($S$375:$S$581,SUBSTITUTE(SUBSTITUTE(SUBSTITUTE(S408,"~","~~"),"*","~*"),"?","~?"),$T$375:$T$581,"&gt;"&amp;T408)=0,S408,""))</f>
        <v/>
      </c>
    </row>
    <row r="409" spans="1:21" ht="38" customHeight="1">
      <c r="A409" s="8" t="s">
        <v>219</v>
      </c>
      <c r="B409" s="8" t="s">
        <v>53</v>
      </c>
      <c r="C409" s="12">
        <f>COUNTIFS('DEF_SELF_SCOUT_IMPORT'!$L$42:$L$1040,"Y",'DEF_SELF_SCOUT_IMPORT'!$E$42:$E$1040,SUBSTITUTE(SUBSTITUTE(SUBSTITUTE($B409,"~","~~"),"*","~*"),"?","~?"),'DEF_SELF_SCOUT_IMPORT'!$Q$42:$Q$1040,SUBSTITUTE(SUBSTITUTE(SUBSTITUTE($M409,"~","~~"),"*","~*"),"?","~?"),'DEF_SELF_SCOUT_IMPORT'!$G$42:$G$1040,SUBSTITUTE(SUBSTITUTE(SUBSTITUTE($O409,"~","~~"),"*","~*"),"?","~?"))</f>
        <v>4</v>
      </c>
      <c r="D409" s="10">
        <f>IF($C409=0,"",SUMIFS('DEF_SELF_SCOUT_IMPORT'!$J$42:$J$1040,'DEF_SELF_SCOUT_IMPORT'!$L$42:$L$1040,"Y",'DEF_SELF_SCOUT_IMPORT'!$E$42:$E$1040,SUBSTITUTE(SUBSTITUTE(SUBSTITUTE($B409,"~","~~"),"*","~*"),"?","~?"),'DEF_SELF_SCOUT_IMPORT'!$Q$42:$Q$1040,SUBSTITUTE(SUBSTITUTE(SUBSTITUTE($M409,"~","~~"),"*","~*"),"?","~?"),'DEF_SELF_SCOUT_IMPORT'!$G$42:$G$1040,SUBSTITUTE(SUBSTITUTE(SUBSTITUTE($O409,"~","~~"),"*","~*"),"?","~?"))/$C409)</f>
        <v>0.25</v>
      </c>
      <c r="E409" s="10">
        <f>IF($C409=0,"",SUMIFS('DEF_SELF_SCOUT_IMPORT'!$K$42:$K$1040,'DEF_SELF_SCOUT_IMPORT'!$L$42:$L$1040,"Y",'DEF_SELF_SCOUT_IMPORT'!$E$42:$E$1040,SUBSTITUTE(SUBSTITUTE(SUBSTITUTE($B409,"~","~~"),"*","~*"),"?","~?"),'DEF_SELF_SCOUT_IMPORT'!$Q$42:$Q$1040,SUBSTITUTE(SUBSTITUTE(SUBSTITUTE($M409,"~","~~"),"*","~*"),"?","~?"),'DEF_SELF_SCOUT_IMPORT'!$G$42:$G$1040,SUBSTITUTE(SUBSTITUTE(SUBSTITUTE($O409,"~","~~"),"*","~*"),"?","~?"))/$C409)</f>
        <v>0.0</v>
      </c>
      <c r="F409" s="11">
        <f>IF($C409=0,"",AVERAGEIFS('DEF_SELF_SCOUT_IMPORT'!$I$42:$I$1040,'DEF_SELF_SCOUT_IMPORT'!$L$42:$L$1040,"Y",'DEF_SELF_SCOUT_IMPORT'!$E$42:$E$1040,SUBSTITUTE(SUBSTITUTE(SUBSTITUTE($B409,"~","~~"),"*","~*"),"?","~?"),'DEF_SELF_SCOUT_IMPORT'!$Q$42:$Q$1040,SUBSTITUTE(SUBSTITUTE(SUBSTITUTE($M409,"~","~~"),"*","~*"),"?","~?"),'DEF_SELF_SCOUT_IMPORT'!$G$42:$G$1040,SUBSTITUTE(SUBSTITUTE(SUBSTITUTE($O409,"~","~~"),"*","~*"),"?","~?")))</f>
        <v>5.75</v>
      </c>
      <c r="G409" s="10">
        <f>IF($C409=0,"",COUNTIFS('DEF_SELF_SCOUT_IMPORT'!$L$42:$L$1040,"Y",'DEF_SELF_SCOUT_IMPORT'!$E$42:$E$1040,SUBSTITUTE(SUBSTITUTE(SUBSTITUTE($B409,"~","~~"),"*","~*"),"?","~?"),'DEF_SELF_SCOUT_IMPORT'!$Q$42:$Q$1040,SUBSTITUTE(SUBSTITUTE(SUBSTITUTE($M409,"~","~~"),"*","~*"),"?","~?"),'DEF_SELF_SCOUT_IMPORT'!$G$42:$G$1040,SUBSTITUTE(SUBSTITUTE(SUBSTITUTE($O409,"~","~~"),"*","~*"),"?","~?"),'DEF_SELF_SCOUT_IMPORT'!$H$42:$H$1040,"RUSH")/$C409)</f>
        <v>1.0</v>
      </c>
      <c r="H409" s="10">
        <f>IF($C409=0,"",COUNTIFS('DEF_SELF_SCOUT_IMPORT'!$L$42:$L$1040,"Y",'DEF_SELF_SCOUT_IMPORT'!$E$42:$E$1040,SUBSTITUTE(SUBSTITUTE(SUBSTITUTE($B409,"~","~~"),"*","~*"),"?","~?"),'DEF_SELF_SCOUT_IMPORT'!$Q$42:$Q$1040,SUBSTITUTE(SUBSTITUTE(SUBSTITUTE($M409,"~","~~"),"*","~*"),"?","~?"),'DEF_SELF_SCOUT_IMPORT'!$G$42:$G$1040,SUBSTITUTE(SUBSTITUTE(SUBSTITUTE($O409,"~","~~"),"*","~*"),"?","~?"),'DEF_SELF_SCOUT_IMPORT'!$H$42:$H$1040,"DROPBACK")/$C409)</f>
        <v>0.0</v>
      </c>
      <c r="I409" s="14" t="str">
        <f>IF(C409=0,"",IF(C409&lt;=2,"TRACK",IF(C409=3,"LOW",IF(C409&lt;=6,"MEDIUM","HIGH"))))</f>
        <v>MEDIUM</v>
      </c>
      <c r="J409" s="11">
        <f>IF(C409=0,"",ROUND(D409*70+(1-E409)*20+MAX(0,MIN(1,(10-F409)/10))*10,1))</f>
        <v>41.8</v>
      </c>
      <c r="K409" s="14" t="str">
        <f>IF(C409=0,"No Evidence",IF(C409&lt;=2,IF(E409&gt;0,"Explosive Alert","Track Only"),IF(C409=3,"Sample Watch",IF(E409&gt;=START_HERE!$B$31,"Explosive Alert",IF(J409&gt;=80,"Strong Candidate",IF(J409&gt;=65,"Good Candidate",IF(J409&gt;=50,"Mixed / Review","Problem Call")))))))</f>
        <v>Problem Call</v>
      </c>
      <c r="L409" s="9" t="str">
        <f>IF(COUNTIFS('DEF_SELF_SCOUT_IMPORT'!$L$42:$L$1040,"Y",'DEF_SELF_SCOUT_IMPORT'!$E$42:$E$1040,SUBSTITUTE(SUBSTITUTE(SUBSTITUTE($B409,"~","~~"),"*","~*"),"?","~?"),'DEF_SELF_SCOUT_IMPORT'!$Q$42:$Q$1040,SUBSTITUTE(SUBSTITUTE(SUBSTITUTE($M409,"~","~~"),"*","~*"),"?","~?"),'DEF_SELF_SCOUT_IMPORT'!$G$42:$G$1040,SUBSTITUTE(SUBSTITUTE(SUBSTITUTE($O409,"~","~~"),"*","~*"),"?","~?"),'DEF_SELF_SCOUT_IMPORT'!$J$42:$J$1040,"")&gt;0,"Unscored clean outcome; review result tags before using score.",IF(C409=0,"No matching defensive reps; film confirmation needed.",IF(K409="Explosive Alert","Explosive risk; review clips before using as answer.",IF(C409&lt;=2,"Track only; not enough sample.",IF(C409=3,IF(E409&gt;0,"Sample watch with explosive exposure; review clips and build the sample.",IF(J409&gt;=65,"Good signal, but sample is limited.","Sample watch; review clips and build the sample.")),IF(K409="Problem Call","Problem area; practice or call-sheet review.",IF(K409="Strong Candidate","Strong call-fit candidate; confirm on film.",IF(K409="Good Candidate","Good call-fit signal; confirm on film.","Mixed signal; review fit and execution on film."))))))))</f>
        <v>Problem area; practice or call-sheet review.</v>
      </c>
      <c r="M409" s="8" t="s">
        <v>39</v>
      </c>
      <c r="N409" s="8"/>
      <c r="O409" s="8" t="s">
        <v>206</v>
      </c>
      <c r="P409" s="8"/>
      <c r="Q409" s="8"/>
      <c r="R409" s="8" t="s">
        <v>45</v>
      </c>
      <c r="S409" s="2" t="s">
        <v>220</v>
      </c>
      <c r="T409" s="2">
        <f>IF(C409=0,0,IF(C409&gt;=CALL_LOOKUP_BOARD!$B$7,IF(OR(K409="Problem Call",K409="Explosive Alert"),10000000,20000000),0)+IF(C409&gt;=CALL_LOOKUP_BOARD!$B$7,J409*1000+MIN(C409,999),C409*1000+J409)+0.00996500)</f>
        <v>10041804.009965</v>
      </c>
      <c r="U409" s="2">
        <f>IF(C409=0,"",IF(COUNTIFS($S$375:$S$581,SUBSTITUTE(SUBSTITUTE(SUBSTITUTE(S409,"~","~~"),"*","~*"),"?","~?"),$T$375:$T$581,"&gt;"&amp;T409)=0,S409,""))</f>
        <v/>
      </c>
    </row>
    <row r="410" spans="1:21" ht="38" customHeight="1">
      <c r="A410" s="8" t="s">
        <v>219</v>
      </c>
      <c r="B410" s="8" t="s">
        <v>57</v>
      </c>
      <c r="C410" s="12">
        <f>COUNTIFS('DEF_SELF_SCOUT_IMPORT'!$L$42:$L$1040,"Y",'DEF_SELF_SCOUT_IMPORT'!$E$42:$E$1040,SUBSTITUTE(SUBSTITUTE(SUBSTITUTE($B410,"~","~~"),"*","~*"),"?","~?"),'DEF_SELF_SCOUT_IMPORT'!$Q$42:$Q$1040,SUBSTITUTE(SUBSTITUTE(SUBSTITUTE($M410,"~","~~"),"*","~*"),"?","~?"),'DEF_SELF_SCOUT_IMPORT'!$G$42:$G$1040,SUBSTITUTE(SUBSTITUTE(SUBSTITUTE($O410,"~","~~"),"*","~*"),"?","~?"))</f>
        <v>1</v>
      </c>
      <c r="D410" s="10">
        <f>IF($C410=0,"",SUMIFS('DEF_SELF_SCOUT_IMPORT'!$J$42:$J$1040,'DEF_SELF_SCOUT_IMPORT'!$L$42:$L$1040,"Y",'DEF_SELF_SCOUT_IMPORT'!$E$42:$E$1040,SUBSTITUTE(SUBSTITUTE(SUBSTITUTE($B410,"~","~~"),"*","~*"),"?","~?"),'DEF_SELF_SCOUT_IMPORT'!$Q$42:$Q$1040,SUBSTITUTE(SUBSTITUTE(SUBSTITUTE($M410,"~","~~"),"*","~*"),"?","~?"),'DEF_SELF_SCOUT_IMPORT'!$G$42:$G$1040,SUBSTITUTE(SUBSTITUTE(SUBSTITUTE($O410,"~","~~"),"*","~*"),"?","~?"))/$C410)</f>
        <v>0.0</v>
      </c>
      <c r="E410" s="10">
        <f>IF($C410=0,"",SUMIFS('DEF_SELF_SCOUT_IMPORT'!$K$42:$K$1040,'DEF_SELF_SCOUT_IMPORT'!$L$42:$L$1040,"Y",'DEF_SELF_SCOUT_IMPORT'!$E$42:$E$1040,SUBSTITUTE(SUBSTITUTE(SUBSTITUTE($B410,"~","~~"),"*","~*"),"?","~?"),'DEF_SELF_SCOUT_IMPORT'!$Q$42:$Q$1040,SUBSTITUTE(SUBSTITUTE(SUBSTITUTE($M410,"~","~~"),"*","~*"),"?","~?"),'DEF_SELF_SCOUT_IMPORT'!$G$42:$G$1040,SUBSTITUTE(SUBSTITUTE(SUBSTITUTE($O410,"~","~~"),"*","~*"),"?","~?"))/$C410)</f>
        <v>0.0</v>
      </c>
      <c r="F410" s="11">
        <f>IF($C410=0,"",AVERAGEIFS('DEF_SELF_SCOUT_IMPORT'!$I$42:$I$1040,'DEF_SELF_SCOUT_IMPORT'!$L$42:$L$1040,"Y",'DEF_SELF_SCOUT_IMPORT'!$E$42:$E$1040,SUBSTITUTE(SUBSTITUTE(SUBSTITUTE($B410,"~","~~"),"*","~*"),"?","~?"),'DEF_SELF_SCOUT_IMPORT'!$Q$42:$Q$1040,SUBSTITUTE(SUBSTITUTE(SUBSTITUTE($M410,"~","~~"),"*","~*"),"?","~?"),'DEF_SELF_SCOUT_IMPORT'!$G$42:$G$1040,SUBSTITUTE(SUBSTITUTE(SUBSTITUTE($O410,"~","~~"),"*","~*"),"?","~?")))</f>
        <v>13.0</v>
      </c>
      <c r="G410" s="10">
        <f>IF($C410=0,"",COUNTIFS('DEF_SELF_SCOUT_IMPORT'!$L$42:$L$1040,"Y",'DEF_SELF_SCOUT_IMPORT'!$E$42:$E$1040,SUBSTITUTE(SUBSTITUTE(SUBSTITUTE($B410,"~","~~"),"*","~*"),"?","~?"),'DEF_SELF_SCOUT_IMPORT'!$Q$42:$Q$1040,SUBSTITUTE(SUBSTITUTE(SUBSTITUTE($M410,"~","~~"),"*","~*"),"?","~?"),'DEF_SELF_SCOUT_IMPORT'!$G$42:$G$1040,SUBSTITUTE(SUBSTITUTE(SUBSTITUTE($O410,"~","~~"),"*","~*"),"?","~?"),'DEF_SELF_SCOUT_IMPORT'!$H$42:$H$1040,"RUSH")/$C410)</f>
        <v>0.0</v>
      </c>
      <c r="H410" s="10">
        <f>IF($C410=0,"",COUNTIFS('DEF_SELF_SCOUT_IMPORT'!$L$42:$L$1040,"Y",'DEF_SELF_SCOUT_IMPORT'!$E$42:$E$1040,SUBSTITUTE(SUBSTITUTE(SUBSTITUTE($B410,"~","~~"),"*","~*"),"?","~?"),'DEF_SELF_SCOUT_IMPORT'!$Q$42:$Q$1040,SUBSTITUTE(SUBSTITUTE(SUBSTITUTE($M410,"~","~~"),"*","~*"),"?","~?"),'DEF_SELF_SCOUT_IMPORT'!$G$42:$G$1040,SUBSTITUTE(SUBSTITUTE(SUBSTITUTE($O410,"~","~~"),"*","~*"),"?","~?"),'DEF_SELF_SCOUT_IMPORT'!$H$42:$H$1040,"DROPBACK")/$C410)</f>
        <v>1.0</v>
      </c>
      <c r="I410" s="14" t="str">
        <f>IF(C410=0,"",IF(C410&lt;=2,"TRACK",IF(C410=3,"LOW",IF(C410&lt;=6,"MEDIUM","HIGH"))))</f>
        <v>TRACK</v>
      </c>
      <c r="J410" s="11">
        <f>IF(C410=0,"",ROUND(D410*70+(1-E410)*20+MAX(0,MIN(1,(10-F410)/10))*10,1))</f>
        <v>20.0</v>
      </c>
      <c r="K410" s="14" t="str">
        <f>IF(C410=0,"No Evidence",IF(C410&lt;=2,IF(E410&gt;0,"Explosive Alert","Track Only"),IF(C410=3,"Sample Watch",IF(E410&gt;=START_HERE!$B$31,"Explosive Alert",IF(J410&gt;=80,"Strong Candidate",IF(J410&gt;=65,"Good Candidate",IF(J410&gt;=50,"Mixed / Review","Problem Call")))))))</f>
        <v>Track Only</v>
      </c>
      <c r="L410" s="9" t="str">
        <f>IF(COUNTIFS('DEF_SELF_SCOUT_IMPORT'!$L$42:$L$1040,"Y",'DEF_SELF_SCOUT_IMPORT'!$E$42:$E$1040,SUBSTITUTE(SUBSTITUTE(SUBSTITUTE($B410,"~","~~"),"*","~*"),"?","~?"),'DEF_SELF_SCOUT_IMPORT'!$Q$42:$Q$1040,SUBSTITUTE(SUBSTITUTE(SUBSTITUTE($M410,"~","~~"),"*","~*"),"?","~?"),'DEF_SELF_SCOUT_IMPORT'!$G$42:$G$1040,SUBSTITUTE(SUBSTITUTE(SUBSTITUTE($O410,"~","~~"),"*","~*"),"?","~?"),'DEF_SELF_SCOUT_IMPORT'!$J$42:$J$1040,"")&gt;0,"Unscored clean outcome; review result tags before using score.",IF(C410=0,"No matching defensive reps; film confirmation needed.",IF(K410="Explosive Alert","Explosive risk; review clips before using as answer.",IF(C410&lt;=2,"Track only; not enough sample.",IF(C410=3,IF(E410&gt;0,"Sample watch with explosive exposure; review clips and build the sample.",IF(J410&gt;=65,"Good signal, but sample is limited.","Sample watch; review clips and build the sample.")),IF(K410="Problem Call","Problem area; practice or call-sheet review.",IF(K410="Strong Candidate","Strong call-fit candidate; confirm on film.",IF(K410="Good Candidate","Good call-fit signal; confirm on film.","Mixed signal; review fit and execution on film."))))))))</f>
        <v>Track only; not enough sample.</v>
      </c>
      <c r="M410" s="8" t="s">
        <v>39</v>
      </c>
      <c r="N410" s="8"/>
      <c r="O410" s="8" t="s">
        <v>206</v>
      </c>
      <c r="P410" s="8"/>
      <c r="Q410" s="8"/>
      <c r="R410" s="8" t="s">
        <v>28</v>
      </c>
      <c r="S410" s="2" t="s">
        <v>220</v>
      </c>
      <c r="T410" s="2">
        <f>IF(C410=0,0,IF(C410&gt;=CALL_LOOKUP_BOARD!$B$7,IF(OR(K410="Problem Call",K410="Explosive Alert"),10000000,20000000),0)+IF(C410&gt;=CALL_LOOKUP_BOARD!$B$7,J410*1000+MIN(C410,999),C410*1000+J410)+0.00996400)</f>
        <v>1020.009964</v>
      </c>
      <c r="U410" s="2">
        <f>IF(C410=0,"",IF(COUNTIFS($S$375:$S$581,SUBSTITUTE(SUBSTITUTE(SUBSTITUTE(S410,"~","~~"),"*","~*"),"?","~?"),$T$375:$T$581,"&gt;"&amp;T410)=0,S410,""))</f>
        <v/>
      </c>
    </row>
    <row r="411" spans="1:21" ht="38" customHeight="1">
      <c r="A411" s="8" t="s">
        <v>219</v>
      </c>
      <c r="B411" s="8" t="s">
        <v>58</v>
      </c>
      <c r="C411" s="12">
        <f>COUNTIFS('DEF_SELF_SCOUT_IMPORT'!$L$42:$L$1040,"Y",'DEF_SELF_SCOUT_IMPORT'!$E$42:$E$1040,SUBSTITUTE(SUBSTITUTE(SUBSTITUTE($B411,"~","~~"),"*","~*"),"?","~?"),'DEF_SELF_SCOUT_IMPORT'!$Q$42:$Q$1040,SUBSTITUTE(SUBSTITUTE(SUBSTITUTE($M411,"~","~~"),"*","~*"),"?","~?"),'DEF_SELF_SCOUT_IMPORT'!$G$42:$G$1040,SUBSTITUTE(SUBSTITUTE(SUBSTITUTE($O411,"~","~~"),"*","~*"),"?","~?"))</f>
        <v>2</v>
      </c>
      <c r="D411" s="10">
        <f>IF($C411=0,"",SUMIFS('DEF_SELF_SCOUT_IMPORT'!$J$42:$J$1040,'DEF_SELF_SCOUT_IMPORT'!$L$42:$L$1040,"Y",'DEF_SELF_SCOUT_IMPORT'!$E$42:$E$1040,SUBSTITUTE(SUBSTITUTE(SUBSTITUTE($B411,"~","~~"),"*","~*"),"?","~?"),'DEF_SELF_SCOUT_IMPORT'!$Q$42:$Q$1040,SUBSTITUTE(SUBSTITUTE(SUBSTITUTE($M411,"~","~~"),"*","~*"),"?","~?"),'DEF_SELF_SCOUT_IMPORT'!$G$42:$G$1040,SUBSTITUTE(SUBSTITUTE(SUBSTITUTE($O411,"~","~~"),"*","~*"),"?","~?"))/$C411)</f>
        <v>1.0</v>
      </c>
      <c r="E411" s="10">
        <f>IF($C411=0,"",SUMIFS('DEF_SELF_SCOUT_IMPORT'!$K$42:$K$1040,'DEF_SELF_SCOUT_IMPORT'!$L$42:$L$1040,"Y",'DEF_SELF_SCOUT_IMPORT'!$E$42:$E$1040,SUBSTITUTE(SUBSTITUTE(SUBSTITUTE($B411,"~","~~"),"*","~*"),"?","~?"),'DEF_SELF_SCOUT_IMPORT'!$Q$42:$Q$1040,SUBSTITUTE(SUBSTITUTE(SUBSTITUTE($M411,"~","~~"),"*","~*"),"?","~?"),'DEF_SELF_SCOUT_IMPORT'!$G$42:$G$1040,SUBSTITUTE(SUBSTITUTE(SUBSTITUTE($O411,"~","~~"),"*","~*"),"?","~?"))/$C411)</f>
        <v>0.0</v>
      </c>
      <c r="F411" s="11">
        <f>IF($C411=0,"",AVERAGEIFS('DEF_SELF_SCOUT_IMPORT'!$I$42:$I$1040,'DEF_SELF_SCOUT_IMPORT'!$L$42:$L$1040,"Y",'DEF_SELF_SCOUT_IMPORT'!$E$42:$E$1040,SUBSTITUTE(SUBSTITUTE(SUBSTITUTE($B411,"~","~~"),"*","~*"),"?","~?"),'DEF_SELF_SCOUT_IMPORT'!$Q$42:$Q$1040,SUBSTITUTE(SUBSTITUTE(SUBSTITUTE($M411,"~","~~"),"*","~*"),"?","~?"),'DEF_SELF_SCOUT_IMPORT'!$G$42:$G$1040,SUBSTITUTE(SUBSTITUTE(SUBSTITUTE($O411,"~","~~"),"*","~*"),"?","~?")))</f>
        <v>0.5</v>
      </c>
      <c r="G411" s="10">
        <f>IF($C411=0,"",COUNTIFS('DEF_SELF_SCOUT_IMPORT'!$L$42:$L$1040,"Y",'DEF_SELF_SCOUT_IMPORT'!$E$42:$E$1040,SUBSTITUTE(SUBSTITUTE(SUBSTITUTE($B411,"~","~~"),"*","~*"),"?","~?"),'DEF_SELF_SCOUT_IMPORT'!$Q$42:$Q$1040,SUBSTITUTE(SUBSTITUTE(SUBSTITUTE($M411,"~","~~"),"*","~*"),"?","~?"),'DEF_SELF_SCOUT_IMPORT'!$G$42:$G$1040,SUBSTITUTE(SUBSTITUTE(SUBSTITUTE($O411,"~","~~"),"*","~*"),"?","~?"),'DEF_SELF_SCOUT_IMPORT'!$H$42:$H$1040,"RUSH")/$C411)</f>
        <v>0.5</v>
      </c>
      <c r="H411" s="10">
        <f>IF($C411=0,"",COUNTIFS('DEF_SELF_SCOUT_IMPORT'!$L$42:$L$1040,"Y",'DEF_SELF_SCOUT_IMPORT'!$E$42:$E$1040,SUBSTITUTE(SUBSTITUTE(SUBSTITUTE($B411,"~","~~"),"*","~*"),"?","~?"),'DEF_SELF_SCOUT_IMPORT'!$Q$42:$Q$1040,SUBSTITUTE(SUBSTITUTE(SUBSTITUTE($M411,"~","~~"),"*","~*"),"?","~?"),'DEF_SELF_SCOUT_IMPORT'!$G$42:$G$1040,SUBSTITUTE(SUBSTITUTE(SUBSTITUTE($O411,"~","~~"),"*","~*"),"?","~?"),'DEF_SELF_SCOUT_IMPORT'!$H$42:$H$1040,"DROPBACK")/$C411)</f>
        <v>0.5</v>
      </c>
      <c r="I411" s="14" t="str">
        <f>IF(C411=0,"",IF(C411&lt;=2,"TRACK",IF(C411=3,"LOW",IF(C411&lt;=6,"MEDIUM","HIGH"))))</f>
        <v>TRACK</v>
      </c>
      <c r="J411" s="11">
        <f>IF(C411=0,"",ROUND(D411*70+(1-E411)*20+MAX(0,MIN(1,(10-F411)/10))*10,1))</f>
        <v>99.5</v>
      </c>
      <c r="K411" s="14" t="str">
        <f>IF(C411=0,"No Evidence",IF(C411&lt;=2,IF(E411&gt;0,"Explosive Alert","Track Only"),IF(C411=3,"Sample Watch",IF(E411&gt;=START_HERE!$B$31,"Explosive Alert",IF(J411&gt;=80,"Strong Candidate",IF(J411&gt;=65,"Good Candidate",IF(J411&gt;=50,"Mixed / Review","Problem Call")))))))</f>
        <v>Track Only</v>
      </c>
      <c r="L411" s="9" t="str">
        <f>IF(COUNTIFS('DEF_SELF_SCOUT_IMPORT'!$L$42:$L$1040,"Y",'DEF_SELF_SCOUT_IMPORT'!$E$42:$E$1040,SUBSTITUTE(SUBSTITUTE(SUBSTITUTE($B411,"~","~~"),"*","~*"),"?","~?"),'DEF_SELF_SCOUT_IMPORT'!$Q$42:$Q$1040,SUBSTITUTE(SUBSTITUTE(SUBSTITUTE($M411,"~","~~"),"*","~*"),"?","~?"),'DEF_SELF_SCOUT_IMPORT'!$G$42:$G$1040,SUBSTITUTE(SUBSTITUTE(SUBSTITUTE($O411,"~","~~"),"*","~*"),"?","~?"),'DEF_SELF_SCOUT_IMPORT'!$J$42:$J$1040,"")&gt;0,"Unscored clean outcome; review result tags before using score.",IF(C411=0,"No matching defensive reps; film confirmation needed.",IF(K411="Explosive Alert","Explosive risk; review clips before using as answer.",IF(C411&lt;=2,"Track only; not enough sample.",IF(C411=3,IF(E411&gt;0,"Sample watch with explosive exposure; review clips and build the sample.",IF(J411&gt;=65,"Good signal, but sample is limited.","Sample watch; review clips and build the sample.")),IF(K411="Problem Call","Problem area; practice or call-sheet review.",IF(K411="Strong Candidate","Strong call-fit candidate; confirm on film.",IF(K411="Good Candidate","Good call-fit signal; confirm on film.","Mixed signal; review fit and execution on film."))))))))</f>
        <v>Track only; not enough sample.</v>
      </c>
      <c r="M411" s="8" t="s">
        <v>39</v>
      </c>
      <c r="N411" s="8"/>
      <c r="O411" s="8" t="s">
        <v>206</v>
      </c>
      <c r="P411" s="8"/>
      <c r="Q411" s="8"/>
      <c r="R411" s="8" t="s">
        <v>28</v>
      </c>
      <c r="S411" s="2" t="s">
        <v>220</v>
      </c>
      <c r="T411" s="2">
        <f>IF(C411=0,0,IF(C411&gt;=CALL_LOOKUP_BOARD!$B$7,IF(OR(K411="Problem Call",K411="Explosive Alert"),10000000,20000000),0)+IF(C411&gt;=CALL_LOOKUP_BOARD!$B$7,J411*1000+MIN(C411,999),C411*1000+J411)+0.00996300)</f>
        <v>2099.509963</v>
      </c>
      <c r="U411" s="2">
        <f>IF(C411=0,"",IF(COUNTIFS($S$375:$S$581,SUBSTITUTE(SUBSTITUTE(SUBSTITUTE(S411,"~","~~"),"*","~*"),"?","~?"),$T$375:$T$581,"&gt;"&amp;T411)=0,S411,""))</f>
        <v/>
      </c>
    </row>
    <row r="412" spans="1:21" ht="38" customHeight="1">
      <c r="A412" s="8" t="s">
        <v>219</v>
      </c>
      <c r="B412" s="8" t="s">
        <v>60</v>
      </c>
      <c r="C412" s="12">
        <f>COUNTIFS('DEF_SELF_SCOUT_IMPORT'!$L$42:$L$1040,"Y",'DEF_SELF_SCOUT_IMPORT'!$E$42:$E$1040,SUBSTITUTE(SUBSTITUTE(SUBSTITUTE($B412,"~","~~"),"*","~*"),"?","~?"),'DEF_SELF_SCOUT_IMPORT'!$Q$42:$Q$1040,SUBSTITUTE(SUBSTITUTE(SUBSTITUTE($M412,"~","~~"),"*","~*"),"?","~?"),'DEF_SELF_SCOUT_IMPORT'!$G$42:$G$1040,SUBSTITUTE(SUBSTITUTE(SUBSTITUTE($O412,"~","~~"),"*","~*"),"?","~?"))</f>
        <v>1</v>
      </c>
      <c r="D412" s="10">
        <f>IF($C412=0,"",SUMIFS('DEF_SELF_SCOUT_IMPORT'!$J$42:$J$1040,'DEF_SELF_SCOUT_IMPORT'!$L$42:$L$1040,"Y",'DEF_SELF_SCOUT_IMPORT'!$E$42:$E$1040,SUBSTITUTE(SUBSTITUTE(SUBSTITUTE($B412,"~","~~"),"*","~*"),"?","~?"),'DEF_SELF_SCOUT_IMPORT'!$Q$42:$Q$1040,SUBSTITUTE(SUBSTITUTE(SUBSTITUTE($M412,"~","~~"),"*","~*"),"?","~?"),'DEF_SELF_SCOUT_IMPORT'!$G$42:$G$1040,SUBSTITUTE(SUBSTITUTE(SUBSTITUTE($O412,"~","~~"),"*","~*"),"?","~?"))/$C412)</f>
        <v>0.0</v>
      </c>
      <c r="E412" s="10">
        <f>IF($C412=0,"",SUMIFS('DEF_SELF_SCOUT_IMPORT'!$K$42:$K$1040,'DEF_SELF_SCOUT_IMPORT'!$L$42:$L$1040,"Y",'DEF_SELF_SCOUT_IMPORT'!$E$42:$E$1040,SUBSTITUTE(SUBSTITUTE(SUBSTITUTE($B412,"~","~~"),"*","~*"),"?","~?"),'DEF_SELF_SCOUT_IMPORT'!$Q$42:$Q$1040,SUBSTITUTE(SUBSTITUTE(SUBSTITUTE($M412,"~","~~"),"*","~*"),"?","~?"),'DEF_SELF_SCOUT_IMPORT'!$G$42:$G$1040,SUBSTITUTE(SUBSTITUTE(SUBSTITUTE($O412,"~","~~"),"*","~*"),"?","~?"))/$C412)</f>
        <v>0.0</v>
      </c>
      <c r="F412" s="11">
        <f>IF($C412=0,"",AVERAGEIFS('DEF_SELF_SCOUT_IMPORT'!$I$42:$I$1040,'DEF_SELF_SCOUT_IMPORT'!$L$42:$L$1040,"Y",'DEF_SELF_SCOUT_IMPORT'!$E$42:$E$1040,SUBSTITUTE(SUBSTITUTE(SUBSTITUTE($B412,"~","~~"),"*","~*"),"?","~?"),'DEF_SELF_SCOUT_IMPORT'!$Q$42:$Q$1040,SUBSTITUTE(SUBSTITUTE(SUBSTITUTE($M412,"~","~~"),"*","~*"),"?","~?"),'DEF_SELF_SCOUT_IMPORT'!$G$42:$G$1040,SUBSTITUTE(SUBSTITUTE(SUBSTITUTE($O412,"~","~~"),"*","~*"),"?","~?")))</f>
        <v>14.0</v>
      </c>
      <c r="G412" s="10">
        <f>IF($C412=0,"",COUNTIFS('DEF_SELF_SCOUT_IMPORT'!$L$42:$L$1040,"Y",'DEF_SELF_SCOUT_IMPORT'!$E$42:$E$1040,SUBSTITUTE(SUBSTITUTE(SUBSTITUTE($B412,"~","~~"),"*","~*"),"?","~?"),'DEF_SELF_SCOUT_IMPORT'!$Q$42:$Q$1040,SUBSTITUTE(SUBSTITUTE(SUBSTITUTE($M412,"~","~~"),"*","~*"),"?","~?"),'DEF_SELF_SCOUT_IMPORT'!$G$42:$G$1040,SUBSTITUTE(SUBSTITUTE(SUBSTITUTE($O412,"~","~~"),"*","~*"),"?","~?"),'DEF_SELF_SCOUT_IMPORT'!$H$42:$H$1040,"RUSH")/$C412)</f>
        <v>0.0</v>
      </c>
      <c r="H412" s="10">
        <f>IF($C412=0,"",COUNTIFS('DEF_SELF_SCOUT_IMPORT'!$L$42:$L$1040,"Y",'DEF_SELF_SCOUT_IMPORT'!$E$42:$E$1040,SUBSTITUTE(SUBSTITUTE(SUBSTITUTE($B412,"~","~~"),"*","~*"),"?","~?"),'DEF_SELF_SCOUT_IMPORT'!$Q$42:$Q$1040,SUBSTITUTE(SUBSTITUTE(SUBSTITUTE($M412,"~","~~"),"*","~*"),"?","~?"),'DEF_SELF_SCOUT_IMPORT'!$G$42:$G$1040,SUBSTITUTE(SUBSTITUTE(SUBSTITUTE($O412,"~","~~"),"*","~*"),"?","~?"),'DEF_SELF_SCOUT_IMPORT'!$H$42:$H$1040,"DROPBACK")/$C412)</f>
        <v>1.0</v>
      </c>
      <c r="I412" s="14" t="str">
        <f>IF(C412=0,"",IF(C412&lt;=2,"TRACK",IF(C412=3,"LOW",IF(C412&lt;=6,"MEDIUM","HIGH"))))</f>
        <v>TRACK</v>
      </c>
      <c r="J412" s="11">
        <f>IF(C412=0,"",ROUND(D412*70+(1-E412)*20+MAX(0,MIN(1,(10-F412)/10))*10,1))</f>
        <v>20.0</v>
      </c>
      <c r="K412" s="14" t="str">
        <f>IF(C412=0,"No Evidence",IF(C412&lt;=2,IF(E412&gt;0,"Explosive Alert","Track Only"),IF(C412=3,"Sample Watch",IF(E412&gt;=START_HERE!$B$31,"Explosive Alert",IF(J412&gt;=80,"Strong Candidate",IF(J412&gt;=65,"Good Candidate",IF(J412&gt;=50,"Mixed / Review","Problem Call")))))))</f>
        <v>Track Only</v>
      </c>
      <c r="L412" s="9" t="str">
        <f>IF(COUNTIFS('DEF_SELF_SCOUT_IMPORT'!$L$42:$L$1040,"Y",'DEF_SELF_SCOUT_IMPORT'!$E$42:$E$1040,SUBSTITUTE(SUBSTITUTE(SUBSTITUTE($B412,"~","~~"),"*","~*"),"?","~?"),'DEF_SELF_SCOUT_IMPORT'!$Q$42:$Q$1040,SUBSTITUTE(SUBSTITUTE(SUBSTITUTE($M412,"~","~~"),"*","~*"),"?","~?"),'DEF_SELF_SCOUT_IMPORT'!$G$42:$G$1040,SUBSTITUTE(SUBSTITUTE(SUBSTITUTE($O412,"~","~~"),"*","~*"),"?","~?"),'DEF_SELF_SCOUT_IMPORT'!$J$42:$J$1040,"")&gt;0,"Unscored clean outcome; review result tags before using score.",IF(C412=0,"No matching defensive reps; film confirmation needed.",IF(K412="Explosive Alert","Explosive risk; review clips before using as answer.",IF(C412&lt;=2,"Track only; not enough sample.",IF(C412=3,IF(E412&gt;0,"Sample watch with explosive exposure; review clips and build the sample.",IF(J412&gt;=65,"Good signal, but sample is limited.","Sample watch; review clips and build the sample.")),IF(K412="Problem Call","Problem area; practice or call-sheet review.",IF(K412="Strong Candidate","Strong call-fit candidate; confirm on film.",IF(K412="Good Candidate","Good call-fit signal; confirm on film.","Mixed signal; review fit and execution on film."))))))))</f>
        <v>Track only; not enough sample.</v>
      </c>
      <c r="M412" s="8" t="s">
        <v>39</v>
      </c>
      <c r="N412" s="8"/>
      <c r="O412" s="8" t="s">
        <v>206</v>
      </c>
      <c r="P412" s="8"/>
      <c r="Q412" s="8"/>
      <c r="R412" s="8" t="s">
        <v>28</v>
      </c>
      <c r="S412" s="2" t="s">
        <v>220</v>
      </c>
      <c r="T412" s="2">
        <f>IF(C412=0,0,IF(C412&gt;=CALL_LOOKUP_BOARD!$B$7,IF(OR(K412="Problem Call",K412="Explosive Alert"),10000000,20000000),0)+IF(C412&gt;=CALL_LOOKUP_BOARD!$B$7,J412*1000+MIN(C412,999),C412*1000+J412)+0.00996200)</f>
        <v>1020.009962</v>
      </c>
      <c r="U412" s="2">
        <f>IF(C412=0,"",IF(COUNTIFS($S$375:$S$581,SUBSTITUTE(SUBSTITUTE(SUBSTITUTE(S412,"~","~~"),"*","~*"),"?","~?"),$T$375:$T$581,"&gt;"&amp;T412)=0,S412,""))</f>
        <v/>
      </c>
    </row>
    <row r="413" spans="1:21" ht="38" customHeight="1">
      <c r="A413" s="8" t="s">
        <v>219</v>
      </c>
      <c r="B413" s="8" t="s">
        <v>61</v>
      </c>
      <c r="C413" s="12">
        <f>COUNTIFS('DEF_SELF_SCOUT_IMPORT'!$L$42:$L$1040,"Y",'DEF_SELF_SCOUT_IMPORT'!$E$42:$E$1040,SUBSTITUTE(SUBSTITUTE(SUBSTITUTE($B413,"~","~~"),"*","~*"),"?","~?"),'DEF_SELF_SCOUT_IMPORT'!$Q$42:$Q$1040,SUBSTITUTE(SUBSTITUTE(SUBSTITUTE($M413,"~","~~"),"*","~*"),"?","~?"),'DEF_SELF_SCOUT_IMPORT'!$G$42:$G$1040,SUBSTITUTE(SUBSTITUTE(SUBSTITUTE($O413,"~","~~"),"*","~*"),"?","~?"))</f>
        <v>1</v>
      </c>
      <c r="D413" s="10">
        <f>IF($C413=0,"",SUMIFS('DEF_SELF_SCOUT_IMPORT'!$J$42:$J$1040,'DEF_SELF_SCOUT_IMPORT'!$L$42:$L$1040,"Y",'DEF_SELF_SCOUT_IMPORT'!$E$42:$E$1040,SUBSTITUTE(SUBSTITUTE(SUBSTITUTE($B413,"~","~~"),"*","~*"),"?","~?"),'DEF_SELF_SCOUT_IMPORT'!$Q$42:$Q$1040,SUBSTITUTE(SUBSTITUTE(SUBSTITUTE($M413,"~","~~"),"*","~*"),"?","~?"),'DEF_SELF_SCOUT_IMPORT'!$G$42:$G$1040,SUBSTITUTE(SUBSTITUTE(SUBSTITUTE($O413,"~","~~"),"*","~*"),"?","~?"))/$C413)</f>
        <v>1.0</v>
      </c>
      <c r="E413" s="10">
        <f>IF($C413=0,"",SUMIFS('DEF_SELF_SCOUT_IMPORT'!$K$42:$K$1040,'DEF_SELF_SCOUT_IMPORT'!$L$42:$L$1040,"Y",'DEF_SELF_SCOUT_IMPORT'!$E$42:$E$1040,SUBSTITUTE(SUBSTITUTE(SUBSTITUTE($B413,"~","~~"),"*","~*"),"?","~?"),'DEF_SELF_SCOUT_IMPORT'!$Q$42:$Q$1040,SUBSTITUTE(SUBSTITUTE(SUBSTITUTE($M413,"~","~~"),"*","~*"),"?","~?"),'DEF_SELF_SCOUT_IMPORT'!$G$42:$G$1040,SUBSTITUTE(SUBSTITUTE(SUBSTITUTE($O413,"~","~~"),"*","~*"),"?","~?"))/$C413)</f>
        <v>0.0</v>
      </c>
      <c r="F413" s="11">
        <f>IF($C413=0,"",AVERAGEIFS('DEF_SELF_SCOUT_IMPORT'!$I$42:$I$1040,'DEF_SELF_SCOUT_IMPORT'!$L$42:$L$1040,"Y",'DEF_SELF_SCOUT_IMPORT'!$E$42:$E$1040,SUBSTITUTE(SUBSTITUTE(SUBSTITUTE($B413,"~","~~"),"*","~*"),"?","~?"),'DEF_SELF_SCOUT_IMPORT'!$Q$42:$Q$1040,SUBSTITUTE(SUBSTITUTE(SUBSTITUTE($M413,"~","~~"),"*","~*"),"?","~?"),'DEF_SELF_SCOUT_IMPORT'!$G$42:$G$1040,SUBSTITUTE(SUBSTITUTE(SUBSTITUTE($O413,"~","~~"),"*","~*"),"?","~?")))</f>
        <v>3.0</v>
      </c>
      <c r="G413" s="10">
        <f>IF($C413=0,"",COUNTIFS('DEF_SELF_SCOUT_IMPORT'!$L$42:$L$1040,"Y",'DEF_SELF_SCOUT_IMPORT'!$E$42:$E$1040,SUBSTITUTE(SUBSTITUTE(SUBSTITUTE($B413,"~","~~"),"*","~*"),"?","~?"),'DEF_SELF_SCOUT_IMPORT'!$Q$42:$Q$1040,SUBSTITUTE(SUBSTITUTE(SUBSTITUTE($M413,"~","~~"),"*","~*"),"?","~?"),'DEF_SELF_SCOUT_IMPORT'!$G$42:$G$1040,SUBSTITUTE(SUBSTITUTE(SUBSTITUTE($O413,"~","~~"),"*","~*"),"?","~?"),'DEF_SELF_SCOUT_IMPORT'!$H$42:$H$1040,"RUSH")/$C413)</f>
        <v>1.0</v>
      </c>
      <c r="H413" s="10">
        <f>IF($C413=0,"",COUNTIFS('DEF_SELF_SCOUT_IMPORT'!$L$42:$L$1040,"Y",'DEF_SELF_SCOUT_IMPORT'!$E$42:$E$1040,SUBSTITUTE(SUBSTITUTE(SUBSTITUTE($B413,"~","~~"),"*","~*"),"?","~?"),'DEF_SELF_SCOUT_IMPORT'!$Q$42:$Q$1040,SUBSTITUTE(SUBSTITUTE(SUBSTITUTE($M413,"~","~~"),"*","~*"),"?","~?"),'DEF_SELF_SCOUT_IMPORT'!$G$42:$G$1040,SUBSTITUTE(SUBSTITUTE(SUBSTITUTE($O413,"~","~~"),"*","~*"),"?","~?"),'DEF_SELF_SCOUT_IMPORT'!$H$42:$H$1040,"DROPBACK")/$C413)</f>
        <v>0.0</v>
      </c>
      <c r="I413" s="14" t="str">
        <f>IF(C413=0,"",IF(C413&lt;=2,"TRACK",IF(C413=3,"LOW",IF(C413&lt;=6,"MEDIUM","HIGH"))))</f>
        <v>TRACK</v>
      </c>
      <c r="J413" s="11">
        <f>IF(C413=0,"",ROUND(D413*70+(1-E413)*20+MAX(0,MIN(1,(10-F413)/10))*10,1))</f>
        <v>97.0</v>
      </c>
      <c r="K413" s="14" t="str">
        <f>IF(C413=0,"No Evidence",IF(C413&lt;=2,IF(E413&gt;0,"Explosive Alert","Track Only"),IF(C413=3,"Sample Watch",IF(E413&gt;=START_HERE!$B$31,"Explosive Alert",IF(J413&gt;=80,"Strong Candidate",IF(J413&gt;=65,"Good Candidate",IF(J413&gt;=50,"Mixed / Review","Problem Call")))))))</f>
        <v>Track Only</v>
      </c>
      <c r="L413" s="9" t="str">
        <f>IF(COUNTIFS('DEF_SELF_SCOUT_IMPORT'!$L$42:$L$1040,"Y",'DEF_SELF_SCOUT_IMPORT'!$E$42:$E$1040,SUBSTITUTE(SUBSTITUTE(SUBSTITUTE($B413,"~","~~"),"*","~*"),"?","~?"),'DEF_SELF_SCOUT_IMPORT'!$Q$42:$Q$1040,SUBSTITUTE(SUBSTITUTE(SUBSTITUTE($M413,"~","~~"),"*","~*"),"?","~?"),'DEF_SELF_SCOUT_IMPORT'!$G$42:$G$1040,SUBSTITUTE(SUBSTITUTE(SUBSTITUTE($O413,"~","~~"),"*","~*"),"?","~?"),'DEF_SELF_SCOUT_IMPORT'!$J$42:$J$1040,"")&gt;0,"Unscored clean outcome; review result tags before using score.",IF(C413=0,"No matching defensive reps; film confirmation needed.",IF(K413="Explosive Alert","Explosive risk; review clips before using as answer.",IF(C413&lt;=2,"Track only; not enough sample.",IF(C413=3,IF(E413&gt;0,"Sample watch with explosive exposure; review clips and build the sample.",IF(J413&gt;=65,"Good signal, but sample is limited.","Sample watch; review clips and build the sample.")),IF(K413="Problem Call","Problem area; practice or call-sheet review.",IF(K413="Strong Candidate","Strong call-fit candidate; confirm on film.",IF(K413="Good Candidate","Good call-fit signal; confirm on film.","Mixed signal; review fit and execution on film."))))))))</f>
        <v>Track only; not enough sample.</v>
      </c>
      <c r="M413" s="8" t="s">
        <v>39</v>
      </c>
      <c r="N413" s="8"/>
      <c r="O413" s="8" t="s">
        <v>206</v>
      </c>
      <c r="P413" s="8"/>
      <c r="Q413" s="8"/>
      <c r="R413" s="8" t="s">
        <v>28</v>
      </c>
      <c r="S413" s="2" t="s">
        <v>220</v>
      </c>
      <c r="T413" s="2">
        <f>IF(C413=0,0,IF(C413&gt;=CALL_LOOKUP_BOARD!$B$7,IF(OR(K413="Problem Call",K413="Explosive Alert"),10000000,20000000),0)+IF(C413&gt;=CALL_LOOKUP_BOARD!$B$7,J413*1000+MIN(C413,999),C413*1000+J413)+0.00996100)</f>
        <v>1097.009961</v>
      </c>
      <c r="U413" s="2">
        <f>IF(C413=0,"",IF(COUNTIFS($S$375:$S$581,SUBSTITUTE(SUBSTITUTE(SUBSTITUTE(S413,"~","~~"),"*","~*"),"?","~?"),$T$375:$T$581,"&gt;"&amp;T413)=0,S413,""))</f>
        <v/>
      </c>
    </row>
    <row r="414" spans="1:21" ht="38" customHeight="1">
      <c r="A414" s="8" t="s">
        <v>219</v>
      </c>
      <c r="B414" s="8" t="s">
        <v>62</v>
      </c>
      <c r="C414" s="12">
        <f>COUNTIFS('DEF_SELF_SCOUT_IMPORT'!$L$42:$L$1040,"Y",'DEF_SELF_SCOUT_IMPORT'!$E$42:$E$1040,SUBSTITUTE(SUBSTITUTE(SUBSTITUTE($B414,"~","~~"),"*","~*"),"?","~?"),'DEF_SELF_SCOUT_IMPORT'!$Q$42:$Q$1040,SUBSTITUTE(SUBSTITUTE(SUBSTITUTE($M414,"~","~~"),"*","~*"),"?","~?"),'DEF_SELF_SCOUT_IMPORT'!$G$42:$G$1040,SUBSTITUTE(SUBSTITUTE(SUBSTITUTE($O414,"~","~~"),"*","~*"),"?","~?"))</f>
        <v>2</v>
      </c>
      <c r="D414" s="10">
        <f>IF($C414=0,"",SUMIFS('DEF_SELF_SCOUT_IMPORT'!$J$42:$J$1040,'DEF_SELF_SCOUT_IMPORT'!$L$42:$L$1040,"Y",'DEF_SELF_SCOUT_IMPORT'!$E$42:$E$1040,SUBSTITUTE(SUBSTITUTE(SUBSTITUTE($B414,"~","~~"),"*","~*"),"?","~?"),'DEF_SELF_SCOUT_IMPORT'!$Q$42:$Q$1040,SUBSTITUTE(SUBSTITUTE(SUBSTITUTE($M414,"~","~~"),"*","~*"),"?","~?"),'DEF_SELF_SCOUT_IMPORT'!$G$42:$G$1040,SUBSTITUTE(SUBSTITUTE(SUBSTITUTE($O414,"~","~~"),"*","~*"),"?","~?"))/$C414)</f>
        <v>0.0</v>
      </c>
      <c r="E414" s="10">
        <f>IF($C414=0,"",SUMIFS('DEF_SELF_SCOUT_IMPORT'!$K$42:$K$1040,'DEF_SELF_SCOUT_IMPORT'!$L$42:$L$1040,"Y",'DEF_SELF_SCOUT_IMPORT'!$E$42:$E$1040,SUBSTITUTE(SUBSTITUTE(SUBSTITUTE($B414,"~","~~"),"*","~*"),"?","~?"),'DEF_SELF_SCOUT_IMPORT'!$Q$42:$Q$1040,SUBSTITUTE(SUBSTITUTE(SUBSTITUTE($M414,"~","~~"),"*","~*"),"?","~?"),'DEF_SELF_SCOUT_IMPORT'!$G$42:$G$1040,SUBSTITUTE(SUBSTITUTE(SUBSTITUTE($O414,"~","~~"),"*","~*"),"?","~?"))/$C414)</f>
        <v>0.5</v>
      </c>
      <c r="F414" s="11">
        <f>IF($C414=0,"",AVERAGEIFS('DEF_SELF_SCOUT_IMPORT'!$I$42:$I$1040,'DEF_SELF_SCOUT_IMPORT'!$L$42:$L$1040,"Y",'DEF_SELF_SCOUT_IMPORT'!$E$42:$E$1040,SUBSTITUTE(SUBSTITUTE(SUBSTITUTE($B414,"~","~~"),"*","~*"),"?","~?"),'DEF_SELF_SCOUT_IMPORT'!$Q$42:$Q$1040,SUBSTITUTE(SUBSTITUTE(SUBSTITUTE($M414,"~","~~"),"*","~*"),"?","~?"),'DEF_SELF_SCOUT_IMPORT'!$G$42:$G$1040,SUBSTITUTE(SUBSTITUTE(SUBSTITUTE($O414,"~","~~"),"*","~*"),"?","~?")))</f>
        <v>18.5</v>
      </c>
      <c r="G414" s="10">
        <f>IF($C414=0,"",COUNTIFS('DEF_SELF_SCOUT_IMPORT'!$L$42:$L$1040,"Y",'DEF_SELF_SCOUT_IMPORT'!$E$42:$E$1040,SUBSTITUTE(SUBSTITUTE(SUBSTITUTE($B414,"~","~~"),"*","~*"),"?","~?"),'DEF_SELF_SCOUT_IMPORT'!$Q$42:$Q$1040,SUBSTITUTE(SUBSTITUTE(SUBSTITUTE($M414,"~","~~"),"*","~*"),"?","~?"),'DEF_SELF_SCOUT_IMPORT'!$G$42:$G$1040,SUBSTITUTE(SUBSTITUTE(SUBSTITUTE($O414,"~","~~"),"*","~*"),"?","~?"),'DEF_SELF_SCOUT_IMPORT'!$H$42:$H$1040,"RUSH")/$C414)</f>
        <v>0.0</v>
      </c>
      <c r="H414" s="10">
        <f>IF($C414=0,"",COUNTIFS('DEF_SELF_SCOUT_IMPORT'!$L$42:$L$1040,"Y",'DEF_SELF_SCOUT_IMPORT'!$E$42:$E$1040,SUBSTITUTE(SUBSTITUTE(SUBSTITUTE($B414,"~","~~"),"*","~*"),"?","~?"),'DEF_SELF_SCOUT_IMPORT'!$Q$42:$Q$1040,SUBSTITUTE(SUBSTITUTE(SUBSTITUTE($M414,"~","~~"),"*","~*"),"?","~?"),'DEF_SELF_SCOUT_IMPORT'!$G$42:$G$1040,SUBSTITUTE(SUBSTITUTE(SUBSTITUTE($O414,"~","~~"),"*","~*"),"?","~?"),'DEF_SELF_SCOUT_IMPORT'!$H$42:$H$1040,"DROPBACK")/$C414)</f>
        <v>0.5</v>
      </c>
      <c r="I414" s="14" t="str">
        <f>IF(C414=0,"",IF(C414&lt;=2,"TRACK",IF(C414=3,"LOW",IF(C414&lt;=6,"MEDIUM","HIGH"))))</f>
        <v>TRACK</v>
      </c>
      <c r="J414" s="11">
        <f>IF(C414=0,"",ROUND(D414*70+(1-E414)*20+MAX(0,MIN(1,(10-F414)/10))*10,1))</f>
        <v>10.0</v>
      </c>
      <c r="K414" s="14" t="str">
        <f>IF(C414=0,"No Evidence",IF(C414&lt;=2,IF(E414&gt;0,"Explosive Alert","Track Only"),IF(C414=3,"Sample Watch",IF(E414&gt;=START_HERE!$B$31,"Explosive Alert",IF(J414&gt;=80,"Strong Candidate",IF(J414&gt;=65,"Good Candidate",IF(J414&gt;=50,"Mixed / Review","Problem Call")))))))</f>
        <v>Explosive Alert</v>
      </c>
      <c r="L414" s="9" t="str">
        <f>IF(COUNTIFS('DEF_SELF_SCOUT_IMPORT'!$L$42:$L$1040,"Y",'DEF_SELF_SCOUT_IMPORT'!$E$42:$E$1040,SUBSTITUTE(SUBSTITUTE(SUBSTITUTE($B414,"~","~~"),"*","~*"),"?","~?"),'DEF_SELF_SCOUT_IMPORT'!$Q$42:$Q$1040,SUBSTITUTE(SUBSTITUTE(SUBSTITUTE($M414,"~","~~"),"*","~*"),"?","~?"),'DEF_SELF_SCOUT_IMPORT'!$G$42:$G$1040,SUBSTITUTE(SUBSTITUTE(SUBSTITUTE($O414,"~","~~"),"*","~*"),"?","~?"),'DEF_SELF_SCOUT_IMPORT'!$J$42:$J$1040,"")&gt;0,"Unscored clean outcome; review result tags before using score.",IF(C414=0,"No matching defensive reps; film confirmation needed.",IF(K414="Explosive Alert","Explosive risk; review clips before using as answer.",IF(C414&lt;=2,"Track only; not enough sample.",IF(C414=3,IF(E414&gt;0,"Sample watch with explosive exposure; review clips and build the sample.",IF(J414&gt;=65,"Good signal, but sample is limited.","Sample watch; review clips and build the sample.")),IF(K414="Problem Call","Problem area; practice or call-sheet review.",IF(K414="Strong Candidate","Strong call-fit candidate; confirm on film.",IF(K414="Good Candidate","Good call-fit signal; confirm on film.","Mixed signal; review fit and execution on film."))))))))</f>
        <v>Explosive risk; review clips before using as answer.</v>
      </c>
      <c r="M414" s="8" t="s">
        <v>39</v>
      </c>
      <c r="N414" s="8"/>
      <c r="O414" s="8" t="s">
        <v>206</v>
      </c>
      <c r="P414" s="8"/>
      <c r="Q414" s="8"/>
      <c r="R414" s="8" t="s">
        <v>28</v>
      </c>
      <c r="S414" s="2" t="s">
        <v>220</v>
      </c>
      <c r="T414" s="2">
        <f>IF(C414=0,0,IF(C414&gt;=CALL_LOOKUP_BOARD!$B$7,IF(OR(K414="Problem Call",K414="Explosive Alert"),10000000,20000000),0)+IF(C414&gt;=CALL_LOOKUP_BOARD!$B$7,J414*1000+MIN(C414,999),C414*1000+J414)+0.00996000)</f>
        <v>2010.00996</v>
      </c>
      <c r="U414" s="2">
        <f>IF(C414=0,"",IF(COUNTIFS($S$375:$S$581,SUBSTITUTE(SUBSTITUTE(SUBSTITUTE(S414,"~","~~"),"*","~*"),"?","~?"),$T$375:$T$581,"&gt;"&amp;T414)=0,S414,""))</f>
        <v/>
      </c>
    </row>
    <row r="415" spans="1:21" ht="38" customHeight="1">
      <c r="A415" s="8" t="s">
        <v>219</v>
      </c>
      <c r="B415" s="8" t="s">
        <v>64</v>
      </c>
      <c r="C415" s="12">
        <f>COUNTIFS('DEF_SELF_SCOUT_IMPORT'!$L$42:$L$1040,"Y",'DEF_SELF_SCOUT_IMPORT'!$E$42:$E$1040,SUBSTITUTE(SUBSTITUTE(SUBSTITUTE($B415,"~","~~"),"*","~*"),"?","~?"),'DEF_SELF_SCOUT_IMPORT'!$Q$42:$Q$1040,SUBSTITUTE(SUBSTITUTE(SUBSTITUTE($M415,"~","~~"),"*","~*"),"?","~?"),'DEF_SELF_SCOUT_IMPORT'!$G$42:$G$1040,SUBSTITUTE(SUBSTITUTE(SUBSTITUTE($O415,"~","~~"),"*","~*"),"?","~?"))</f>
        <v>1</v>
      </c>
      <c r="D415" s="10">
        <f>IF($C415=0,"",SUMIFS('DEF_SELF_SCOUT_IMPORT'!$J$42:$J$1040,'DEF_SELF_SCOUT_IMPORT'!$L$42:$L$1040,"Y",'DEF_SELF_SCOUT_IMPORT'!$E$42:$E$1040,SUBSTITUTE(SUBSTITUTE(SUBSTITUTE($B415,"~","~~"),"*","~*"),"?","~?"),'DEF_SELF_SCOUT_IMPORT'!$Q$42:$Q$1040,SUBSTITUTE(SUBSTITUTE(SUBSTITUTE($M415,"~","~~"),"*","~*"),"?","~?"),'DEF_SELF_SCOUT_IMPORT'!$G$42:$G$1040,SUBSTITUTE(SUBSTITUTE(SUBSTITUTE($O415,"~","~~"),"*","~*"),"?","~?"))/$C415)</f>
        <v>1.0</v>
      </c>
      <c r="E415" s="10">
        <f>IF($C415=0,"",SUMIFS('DEF_SELF_SCOUT_IMPORT'!$K$42:$K$1040,'DEF_SELF_SCOUT_IMPORT'!$L$42:$L$1040,"Y",'DEF_SELF_SCOUT_IMPORT'!$E$42:$E$1040,SUBSTITUTE(SUBSTITUTE(SUBSTITUTE($B415,"~","~~"),"*","~*"),"?","~?"),'DEF_SELF_SCOUT_IMPORT'!$Q$42:$Q$1040,SUBSTITUTE(SUBSTITUTE(SUBSTITUTE($M415,"~","~~"),"*","~*"),"?","~?"),'DEF_SELF_SCOUT_IMPORT'!$G$42:$G$1040,SUBSTITUTE(SUBSTITUTE(SUBSTITUTE($O415,"~","~~"),"*","~*"),"?","~?"))/$C415)</f>
        <v>0.0</v>
      </c>
      <c r="F415" s="11">
        <f>IF($C415=0,"",AVERAGEIFS('DEF_SELF_SCOUT_IMPORT'!$I$42:$I$1040,'DEF_SELF_SCOUT_IMPORT'!$L$42:$L$1040,"Y",'DEF_SELF_SCOUT_IMPORT'!$E$42:$E$1040,SUBSTITUTE(SUBSTITUTE(SUBSTITUTE($B415,"~","~~"),"*","~*"),"?","~?"),'DEF_SELF_SCOUT_IMPORT'!$Q$42:$Q$1040,SUBSTITUTE(SUBSTITUTE(SUBSTITUTE($M415,"~","~~"),"*","~*"),"?","~?"),'DEF_SELF_SCOUT_IMPORT'!$G$42:$G$1040,SUBSTITUTE(SUBSTITUTE(SUBSTITUTE($O415,"~","~~"),"*","~*"),"?","~?")))</f>
        <v>1.0</v>
      </c>
      <c r="G415" s="10">
        <f>IF($C415=0,"",COUNTIFS('DEF_SELF_SCOUT_IMPORT'!$L$42:$L$1040,"Y",'DEF_SELF_SCOUT_IMPORT'!$E$42:$E$1040,SUBSTITUTE(SUBSTITUTE(SUBSTITUTE($B415,"~","~~"),"*","~*"),"?","~?"),'DEF_SELF_SCOUT_IMPORT'!$Q$42:$Q$1040,SUBSTITUTE(SUBSTITUTE(SUBSTITUTE($M415,"~","~~"),"*","~*"),"?","~?"),'DEF_SELF_SCOUT_IMPORT'!$G$42:$G$1040,SUBSTITUTE(SUBSTITUTE(SUBSTITUTE($O415,"~","~~"),"*","~*"),"?","~?"),'DEF_SELF_SCOUT_IMPORT'!$H$42:$H$1040,"RUSH")/$C415)</f>
        <v>0.0</v>
      </c>
      <c r="H415" s="10">
        <f>IF($C415=0,"",COUNTIFS('DEF_SELF_SCOUT_IMPORT'!$L$42:$L$1040,"Y",'DEF_SELF_SCOUT_IMPORT'!$E$42:$E$1040,SUBSTITUTE(SUBSTITUTE(SUBSTITUTE($B415,"~","~~"),"*","~*"),"?","~?"),'DEF_SELF_SCOUT_IMPORT'!$Q$42:$Q$1040,SUBSTITUTE(SUBSTITUTE(SUBSTITUTE($M415,"~","~~"),"*","~*"),"?","~?"),'DEF_SELF_SCOUT_IMPORT'!$G$42:$G$1040,SUBSTITUTE(SUBSTITUTE(SUBSTITUTE($O415,"~","~~"),"*","~*"),"?","~?"),'DEF_SELF_SCOUT_IMPORT'!$H$42:$H$1040,"DROPBACK")/$C415)</f>
        <v>1.0</v>
      </c>
      <c r="I415" s="14" t="str">
        <f>IF(C415=0,"",IF(C415&lt;=2,"TRACK",IF(C415=3,"LOW",IF(C415&lt;=6,"MEDIUM","HIGH"))))</f>
        <v>TRACK</v>
      </c>
      <c r="J415" s="11">
        <f>IF(C415=0,"",ROUND(D415*70+(1-E415)*20+MAX(0,MIN(1,(10-F415)/10))*10,1))</f>
        <v>99.0</v>
      </c>
      <c r="K415" s="14" t="str">
        <f>IF(C415=0,"No Evidence",IF(C415&lt;=2,IF(E415&gt;0,"Explosive Alert","Track Only"),IF(C415=3,"Sample Watch",IF(E415&gt;=START_HERE!$B$31,"Explosive Alert",IF(J415&gt;=80,"Strong Candidate",IF(J415&gt;=65,"Good Candidate",IF(J415&gt;=50,"Mixed / Review","Problem Call")))))))</f>
        <v>Track Only</v>
      </c>
      <c r="L415" s="9" t="str">
        <f>IF(COUNTIFS('DEF_SELF_SCOUT_IMPORT'!$L$42:$L$1040,"Y",'DEF_SELF_SCOUT_IMPORT'!$E$42:$E$1040,SUBSTITUTE(SUBSTITUTE(SUBSTITUTE($B415,"~","~~"),"*","~*"),"?","~?"),'DEF_SELF_SCOUT_IMPORT'!$Q$42:$Q$1040,SUBSTITUTE(SUBSTITUTE(SUBSTITUTE($M415,"~","~~"),"*","~*"),"?","~?"),'DEF_SELF_SCOUT_IMPORT'!$G$42:$G$1040,SUBSTITUTE(SUBSTITUTE(SUBSTITUTE($O415,"~","~~"),"*","~*"),"?","~?"),'DEF_SELF_SCOUT_IMPORT'!$J$42:$J$1040,"")&gt;0,"Unscored clean outcome; review result tags before using score.",IF(C415=0,"No matching defensive reps; film confirmation needed.",IF(K415="Explosive Alert","Explosive risk; review clips before using as answer.",IF(C415&lt;=2,"Track only; not enough sample.",IF(C415=3,IF(E415&gt;0,"Sample watch with explosive exposure; review clips and build the sample.",IF(J415&gt;=65,"Good signal, but sample is limited.","Sample watch; review clips and build the sample.")),IF(K415="Problem Call","Problem area; practice or call-sheet review.",IF(K415="Strong Candidate","Strong call-fit candidate; confirm on film.",IF(K415="Good Candidate","Good call-fit signal; confirm on film.","Mixed signal; review fit and execution on film."))))))))</f>
        <v>Track only; not enough sample.</v>
      </c>
      <c r="M415" s="8" t="s">
        <v>39</v>
      </c>
      <c r="N415" s="8"/>
      <c r="O415" s="8" t="s">
        <v>206</v>
      </c>
      <c r="P415" s="8"/>
      <c r="Q415" s="8"/>
      <c r="R415" s="8" t="s">
        <v>28</v>
      </c>
      <c r="S415" s="2" t="s">
        <v>220</v>
      </c>
      <c r="T415" s="2">
        <f>IF(C415=0,0,IF(C415&gt;=CALL_LOOKUP_BOARD!$B$7,IF(OR(K415="Problem Call",K415="Explosive Alert"),10000000,20000000),0)+IF(C415&gt;=CALL_LOOKUP_BOARD!$B$7,J415*1000+MIN(C415,999),C415*1000+J415)+0.00995900)</f>
        <v>1099.009959</v>
      </c>
      <c r="U415" s="2">
        <f>IF(C415=0,"",IF(COUNTIFS($S$375:$S$581,SUBSTITUTE(SUBSTITUTE(SUBSTITUTE(S415,"~","~~"),"*","~*"),"?","~?"),$T$375:$T$581,"&gt;"&amp;T415)=0,S415,""))</f>
        <v/>
      </c>
    </row>
    <row r="416" spans="1:21" ht="38" customHeight="1">
      <c r="A416" s="8" t="s">
        <v>219</v>
      </c>
      <c r="B416" s="8" t="s">
        <v>66</v>
      </c>
      <c r="C416" s="12">
        <f>COUNTIFS('DEF_SELF_SCOUT_IMPORT'!$L$42:$L$1040,"Y",'DEF_SELF_SCOUT_IMPORT'!$E$42:$E$1040,SUBSTITUTE(SUBSTITUTE(SUBSTITUTE($B416,"~","~~"),"*","~*"),"?","~?"),'DEF_SELF_SCOUT_IMPORT'!$Q$42:$Q$1040,SUBSTITUTE(SUBSTITUTE(SUBSTITUTE($M416,"~","~~"),"*","~*"),"?","~?"),'DEF_SELF_SCOUT_IMPORT'!$G$42:$G$1040,SUBSTITUTE(SUBSTITUTE(SUBSTITUTE($O416,"~","~~"),"*","~*"),"?","~?"))</f>
        <v>3</v>
      </c>
      <c r="D416" s="10">
        <f>IF($C416=0,"",SUMIFS('DEF_SELF_SCOUT_IMPORT'!$J$42:$J$1040,'DEF_SELF_SCOUT_IMPORT'!$L$42:$L$1040,"Y",'DEF_SELF_SCOUT_IMPORT'!$E$42:$E$1040,SUBSTITUTE(SUBSTITUTE(SUBSTITUTE($B416,"~","~~"),"*","~*"),"?","~?"),'DEF_SELF_SCOUT_IMPORT'!$Q$42:$Q$1040,SUBSTITUTE(SUBSTITUTE(SUBSTITUTE($M416,"~","~~"),"*","~*"),"?","~?"),'DEF_SELF_SCOUT_IMPORT'!$G$42:$G$1040,SUBSTITUTE(SUBSTITUTE(SUBSTITUTE($O416,"~","~~"),"*","~*"),"?","~?"))/$C416)</f>
        <v>0.6666666666666666</v>
      </c>
      <c r="E416" s="10">
        <f>IF($C416=0,"",SUMIFS('DEF_SELF_SCOUT_IMPORT'!$K$42:$K$1040,'DEF_SELF_SCOUT_IMPORT'!$L$42:$L$1040,"Y",'DEF_SELF_SCOUT_IMPORT'!$E$42:$E$1040,SUBSTITUTE(SUBSTITUTE(SUBSTITUTE($B416,"~","~~"),"*","~*"),"?","~?"),'DEF_SELF_SCOUT_IMPORT'!$Q$42:$Q$1040,SUBSTITUTE(SUBSTITUTE(SUBSTITUTE($M416,"~","~~"),"*","~*"),"?","~?"),'DEF_SELF_SCOUT_IMPORT'!$G$42:$G$1040,SUBSTITUTE(SUBSTITUTE(SUBSTITUTE($O416,"~","~~"),"*","~*"),"?","~?"))/$C416)</f>
        <v>0.3333333333333333</v>
      </c>
      <c r="F416" s="11">
        <f>IF($C416=0,"",AVERAGEIFS('DEF_SELF_SCOUT_IMPORT'!$I$42:$I$1040,'DEF_SELF_SCOUT_IMPORT'!$L$42:$L$1040,"Y",'DEF_SELF_SCOUT_IMPORT'!$E$42:$E$1040,SUBSTITUTE(SUBSTITUTE(SUBSTITUTE($B416,"~","~~"),"*","~*"),"?","~?"),'DEF_SELF_SCOUT_IMPORT'!$Q$42:$Q$1040,SUBSTITUTE(SUBSTITUTE(SUBSTITUTE($M416,"~","~~"),"*","~*"),"?","~?"),'DEF_SELF_SCOUT_IMPORT'!$G$42:$G$1040,SUBSTITUTE(SUBSTITUTE(SUBSTITUTE($O416,"~","~~"),"*","~*"),"?","~?")))</f>
        <v>10.0</v>
      </c>
      <c r="G416" s="10">
        <f>IF($C416=0,"",COUNTIFS('DEF_SELF_SCOUT_IMPORT'!$L$42:$L$1040,"Y",'DEF_SELF_SCOUT_IMPORT'!$E$42:$E$1040,SUBSTITUTE(SUBSTITUTE(SUBSTITUTE($B416,"~","~~"),"*","~*"),"?","~?"),'DEF_SELF_SCOUT_IMPORT'!$Q$42:$Q$1040,SUBSTITUTE(SUBSTITUTE(SUBSTITUTE($M416,"~","~~"),"*","~*"),"?","~?"),'DEF_SELF_SCOUT_IMPORT'!$G$42:$G$1040,SUBSTITUTE(SUBSTITUTE(SUBSTITUTE($O416,"~","~~"),"*","~*"),"?","~?"),'DEF_SELF_SCOUT_IMPORT'!$H$42:$H$1040,"RUSH")/$C416)</f>
        <v>0.3333333333333333</v>
      </c>
      <c r="H416" s="10">
        <f>IF($C416=0,"",COUNTIFS('DEF_SELF_SCOUT_IMPORT'!$L$42:$L$1040,"Y",'DEF_SELF_SCOUT_IMPORT'!$E$42:$E$1040,SUBSTITUTE(SUBSTITUTE(SUBSTITUTE($B416,"~","~~"),"*","~*"),"?","~?"),'DEF_SELF_SCOUT_IMPORT'!$Q$42:$Q$1040,SUBSTITUTE(SUBSTITUTE(SUBSTITUTE($M416,"~","~~"),"*","~*"),"?","~?"),'DEF_SELF_SCOUT_IMPORT'!$G$42:$G$1040,SUBSTITUTE(SUBSTITUTE(SUBSTITUTE($O416,"~","~~"),"*","~*"),"?","~?"),'DEF_SELF_SCOUT_IMPORT'!$H$42:$H$1040,"DROPBACK")/$C416)</f>
        <v>0.6666666666666666</v>
      </c>
      <c r="I416" s="14" t="str">
        <f>IF(C416=0,"",IF(C416&lt;=2,"TRACK",IF(C416=3,"LOW",IF(C416&lt;=6,"MEDIUM","HIGH"))))</f>
        <v>LOW</v>
      </c>
      <c r="J416" s="11">
        <f>IF(C416=0,"",ROUND(D416*70+(1-E416)*20+MAX(0,MIN(1,(10-F416)/10))*10,1))</f>
        <v>60.0</v>
      </c>
      <c r="K416" s="14" t="str">
        <f>IF(C416=0,"No Evidence",IF(C416&lt;=2,IF(E416&gt;0,"Explosive Alert","Track Only"),IF(C416=3,"Sample Watch",IF(E416&gt;=START_HERE!$B$31,"Explosive Alert",IF(J416&gt;=80,"Strong Candidate",IF(J416&gt;=65,"Good Candidate",IF(J416&gt;=50,"Mixed / Review","Problem Call")))))))</f>
        <v>Sample Watch</v>
      </c>
      <c r="L416" s="9" t="str">
        <f>IF(COUNTIFS('DEF_SELF_SCOUT_IMPORT'!$L$42:$L$1040,"Y",'DEF_SELF_SCOUT_IMPORT'!$E$42:$E$1040,SUBSTITUTE(SUBSTITUTE(SUBSTITUTE($B416,"~","~~"),"*","~*"),"?","~?"),'DEF_SELF_SCOUT_IMPORT'!$Q$42:$Q$1040,SUBSTITUTE(SUBSTITUTE(SUBSTITUTE($M416,"~","~~"),"*","~*"),"?","~?"),'DEF_SELF_SCOUT_IMPORT'!$G$42:$G$1040,SUBSTITUTE(SUBSTITUTE(SUBSTITUTE($O416,"~","~~"),"*","~*"),"?","~?"),'DEF_SELF_SCOUT_IMPORT'!$J$42:$J$1040,"")&gt;0,"Unscored clean outcome; review result tags before using score.",IF(C416=0,"No matching defensive reps; film confirmation needed.",IF(K416="Explosive Alert","Explosive risk; review clips before using as answer.",IF(C416&lt;=2,"Track only; not enough sample.",IF(C416=3,IF(E416&gt;0,"Sample watch with explosive exposure; review clips and build the sample.",IF(J416&gt;=65,"Good signal, but sample is limited.","Sample watch; review clips and build the sample.")),IF(K416="Problem Call","Problem area; practice or call-sheet review.",IF(K416="Strong Candidate","Strong call-fit candidate; confirm on film.",IF(K416="Good Candidate","Good call-fit signal; confirm on film.","Mixed signal; review fit and execution on film."))))))))</f>
        <v>Sample watch with explosive exposure; review clips and build the sample.</v>
      </c>
      <c r="M416" s="8" t="s">
        <v>39</v>
      </c>
      <c r="N416" s="8"/>
      <c r="O416" s="8" t="s">
        <v>206</v>
      </c>
      <c r="P416" s="8"/>
      <c r="Q416" s="8"/>
      <c r="R416" s="8" t="s">
        <v>28</v>
      </c>
      <c r="S416" s="2" t="s">
        <v>220</v>
      </c>
      <c r="T416" s="2">
        <f>IF(C416=0,0,IF(C416&gt;=CALL_LOOKUP_BOARD!$B$7,IF(OR(K416="Problem Call",K416="Explosive Alert"),10000000,20000000),0)+IF(C416&gt;=CALL_LOOKUP_BOARD!$B$7,J416*1000+MIN(C416,999),C416*1000+J416)+0.00995800)</f>
        <v>3060.009958</v>
      </c>
      <c r="U416" s="2">
        <f>IF(C416=0,"",IF(COUNTIFS($S$375:$S$581,SUBSTITUTE(SUBSTITUTE(SUBSTITUTE(S416,"~","~~"),"*","~*"),"?","~?"),$T$375:$T$581,"&gt;"&amp;T416)=0,S416,""))</f>
        <v/>
      </c>
    </row>
    <row r="417" spans="1:21" ht="38" customHeight="1">
      <c r="A417" s="8" t="s">
        <v>219</v>
      </c>
      <c r="B417" s="8" t="s">
        <v>67</v>
      </c>
      <c r="C417" s="12">
        <f>COUNTIFS('DEF_SELF_SCOUT_IMPORT'!$L$42:$L$1040,"Y",'DEF_SELF_SCOUT_IMPORT'!$E$42:$E$1040,SUBSTITUTE(SUBSTITUTE(SUBSTITUTE($B417,"~","~~"),"*","~*"),"?","~?"),'DEF_SELF_SCOUT_IMPORT'!$Q$42:$Q$1040,SUBSTITUTE(SUBSTITUTE(SUBSTITUTE($M417,"~","~~"),"*","~*"),"?","~?"),'DEF_SELF_SCOUT_IMPORT'!$G$42:$G$1040,SUBSTITUTE(SUBSTITUTE(SUBSTITUTE($O417,"~","~~"),"*","~*"),"?","~?"))</f>
        <v>2</v>
      </c>
      <c r="D417" s="10">
        <f>IF($C417=0,"",SUMIFS('DEF_SELF_SCOUT_IMPORT'!$J$42:$J$1040,'DEF_SELF_SCOUT_IMPORT'!$L$42:$L$1040,"Y",'DEF_SELF_SCOUT_IMPORT'!$E$42:$E$1040,SUBSTITUTE(SUBSTITUTE(SUBSTITUTE($B417,"~","~~"),"*","~*"),"?","~?"),'DEF_SELF_SCOUT_IMPORT'!$Q$42:$Q$1040,SUBSTITUTE(SUBSTITUTE(SUBSTITUTE($M417,"~","~~"),"*","~*"),"?","~?"),'DEF_SELF_SCOUT_IMPORT'!$G$42:$G$1040,SUBSTITUTE(SUBSTITUTE(SUBSTITUTE($O417,"~","~~"),"*","~*"),"?","~?"))/$C417)</f>
        <v>0.0</v>
      </c>
      <c r="E417" s="10">
        <f>IF($C417=0,"",SUMIFS('DEF_SELF_SCOUT_IMPORT'!$K$42:$K$1040,'DEF_SELF_SCOUT_IMPORT'!$L$42:$L$1040,"Y",'DEF_SELF_SCOUT_IMPORT'!$E$42:$E$1040,SUBSTITUTE(SUBSTITUTE(SUBSTITUTE($B417,"~","~~"),"*","~*"),"?","~?"),'DEF_SELF_SCOUT_IMPORT'!$Q$42:$Q$1040,SUBSTITUTE(SUBSTITUTE(SUBSTITUTE($M417,"~","~~"),"*","~*"),"?","~?"),'DEF_SELF_SCOUT_IMPORT'!$G$42:$G$1040,SUBSTITUTE(SUBSTITUTE(SUBSTITUTE($O417,"~","~~"),"*","~*"),"?","~?"))/$C417)</f>
        <v>0.0</v>
      </c>
      <c r="F417" s="11">
        <f>IF($C417=0,"",AVERAGEIFS('DEF_SELF_SCOUT_IMPORT'!$I$42:$I$1040,'DEF_SELF_SCOUT_IMPORT'!$L$42:$L$1040,"Y",'DEF_SELF_SCOUT_IMPORT'!$E$42:$E$1040,SUBSTITUTE(SUBSTITUTE(SUBSTITUTE($B417,"~","~~"),"*","~*"),"?","~?"),'DEF_SELF_SCOUT_IMPORT'!$Q$42:$Q$1040,SUBSTITUTE(SUBSTITUTE(SUBSTITUTE($M417,"~","~~"),"*","~*"),"?","~?"),'DEF_SELF_SCOUT_IMPORT'!$G$42:$G$1040,SUBSTITUTE(SUBSTITUTE(SUBSTITUTE($O417,"~","~~"),"*","~*"),"?","~?")))</f>
        <v>5.0</v>
      </c>
      <c r="G417" s="10">
        <f>IF($C417=0,"",COUNTIFS('DEF_SELF_SCOUT_IMPORT'!$L$42:$L$1040,"Y",'DEF_SELF_SCOUT_IMPORT'!$E$42:$E$1040,SUBSTITUTE(SUBSTITUTE(SUBSTITUTE($B417,"~","~~"),"*","~*"),"?","~?"),'DEF_SELF_SCOUT_IMPORT'!$Q$42:$Q$1040,SUBSTITUTE(SUBSTITUTE(SUBSTITUTE($M417,"~","~~"),"*","~*"),"?","~?"),'DEF_SELF_SCOUT_IMPORT'!$G$42:$G$1040,SUBSTITUTE(SUBSTITUTE(SUBSTITUTE($O417,"~","~~"),"*","~*"),"?","~?"),'DEF_SELF_SCOUT_IMPORT'!$H$42:$H$1040,"RUSH")/$C417)</f>
        <v>1.0</v>
      </c>
      <c r="H417" s="10">
        <f>IF($C417=0,"",COUNTIFS('DEF_SELF_SCOUT_IMPORT'!$L$42:$L$1040,"Y",'DEF_SELF_SCOUT_IMPORT'!$E$42:$E$1040,SUBSTITUTE(SUBSTITUTE(SUBSTITUTE($B417,"~","~~"),"*","~*"),"?","~?"),'DEF_SELF_SCOUT_IMPORT'!$Q$42:$Q$1040,SUBSTITUTE(SUBSTITUTE(SUBSTITUTE($M417,"~","~~"),"*","~*"),"?","~?"),'DEF_SELF_SCOUT_IMPORT'!$G$42:$G$1040,SUBSTITUTE(SUBSTITUTE(SUBSTITUTE($O417,"~","~~"),"*","~*"),"?","~?"),'DEF_SELF_SCOUT_IMPORT'!$H$42:$H$1040,"DROPBACK")/$C417)</f>
        <v>0.0</v>
      </c>
      <c r="I417" s="14" t="str">
        <f>IF(C417=0,"",IF(C417&lt;=2,"TRACK",IF(C417=3,"LOW",IF(C417&lt;=6,"MEDIUM","HIGH"))))</f>
        <v>TRACK</v>
      </c>
      <c r="J417" s="11">
        <f>IF(C417=0,"",ROUND(D417*70+(1-E417)*20+MAX(0,MIN(1,(10-F417)/10))*10,1))</f>
        <v>25.0</v>
      </c>
      <c r="K417" s="14" t="str">
        <f>IF(C417=0,"No Evidence",IF(C417&lt;=2,IF(E417&gt;0,"Explosive Alert","Track Only"),IF(C417=3,"Sample Watch",IF(E417&gt;=START_HERE!$B$31,"Explosive Alert",IF(J417&gt;=80,"Strong Candidate",IF(J417&gt;=65,"Good Candidate",IF(J417&gt;=50,"Mixed / Review","Problem Call")))))))</f>
        <v>Track Only</v>
      </c>
      <c r="L417" s="9" t="str">
        <f>IF(COUNTIFS('DEF_SELF_SCOUT_IMPORT'!$L$42:$L$1040,"Y",'DEF_SELF_SCOUT_IMPORT'!$E$42:$E$1040,SUBSTITUTE(SUBSTITUTE(SUBSTITUTE($B417,"~","~~"),"*","~*"),"?","~?"),'DEF_SELF_SCOUT_IMPORT'!$Q$42:$Q$1040,SUBSTITUTE(SUBSTITUTE(SUBSTITUTE($M417,"~","~~"),"*","~*"),"?","~?"),'DEF_SELF_SCOUT_IMPORT'!$G$42:$G$1040,SUBSTITUTE(SUBSTITUTE(SUBSTITUTE($O417,"~","~~"),"*","~*"),"?","~?"),'DEF_SELF_SCOUT_IMPORT'!$J$42:$J$1040,"")&gt;0,"Unscored clean outcome; review result tags before using score.",IF(C417=0,"No matching defensive reps; film confirmation needed.",IF(K417="Explosive Alert","Explosive risk; review clips before using as answer.",IF(C417&lt;=2,"Track only; not enough sample.",IF(C417=3,IF(E417&gt;0,"Sample watch with explosive exposure; review clips and build the sample.",IF(J417&gt;=65,"Good signal, but sample is limited.","Sample watch; review clips and build the sample.")),IF(K417="Problem Call","Problem area; practice or call-sheet review.",IF(K417="Strong Candidate","Strong call-fit candidate; confirm on film.",IF(K417="Good Candidate","Good call-fit signal; confirm on film.","Mixed signal; review fit and execution on film."))))))))</f>
        <v>Track only; not enough sample.</v>
      </c>
      <c r="M417" s="8" t="s">
        <v>39</v>
      </c>
      <c r="N417" s="8"/>
      <c r="O417" s="8" t="s">
        <v>206</v>
      </c>
      <c r="P417" s="8"/>
      <c r="Q417" s="8"/>
      <c r="R417" s="8" t="s">
        <v>28</v>
      </c>
      <c r="S417" s="2" t="s">
        <v>220</v>
      </c>
      <c r="T417" s="2">
        <f>IF(C417=0,0,IF(C417&gt;=CALL_LOOKUP_BOARD!$B$7,IF(OR(K417="Problem Call",K417="Explosive Alert"),10000000,20000000),0)+IF(C417&gt;=CALL_LOOKUP_BOARD!$B$7,J417*1000+MIN(C417,999),C417*1000+J417)+0.00995700)</f>
        <v>2025.009957</v>
      </c>
      <c r="U417" s="2">
        <f>IF(C417=0,"",IF(COUNTIFS($S$375:$S$581,SUBSTITUTE(SUBSTITUTE(SUBSTITUTE(S417,"~","~~"),"*","~*"),"?","~?"),$T$375:$T$581,"&gt;"&amp;T417)=0,S417,""))</f>
        <v/>
      </c>
    </row>
    <row r="418" spans="1:21" ht="38" customHeight="1">
      <c r="A418" s="8" t="s">
        <v>219</v>
      </c>
      <c r="B418" s="8" t="s">
        <v>69</v>
      </c>
      <c r="C418" s="12">
        <f>COUNTIFS('DEF_SELF_SCOUT_IMPORT'!$L$42:$L$1040,"Y",'DEF_SELF_SCOUT_IMPORT'!$E$42:$E$1040,SUBSTITUTE(SUBSTITUTE(SUBSTITUTE($B418,"~","~~"),"*","~*"),"?","~?"),'DEF_SELF_SCOUT_IMPORT'!$Q$42:$Q$1040,SUBSTITUTE(SUBSTITUTE(SUBSTITUTE($M418,"~","~~"),"*","~*"),"?","~?"),'DEF_SELF_SCOUT_IMPORT'!$G$42:$G$1040,SUBSTITUTE(SUBSTITUTE(SUBSTITUTE($O418,"~","~~"),"*","~*"),"?","~?"))</f>
        <v>2</v>
      </c>
      <c r="D418" s="10">
        <f>IF($C418=0,"",SUMIFS('DEF_SELF_SCOUT_IMPORT'!$J$42:$J$1040,'DEF_SELF_SCOUT_IMPORT'!$L$42:$L$1040,"Y",'DEF_SELF_SCOUT_IMPORT'!$E$42:$E$1040,SUBSTITUTE(SUBSTITUTE(SUBSTITUTE($B418,"~","~~"),"*","~*"),"?","~?"),'DEF_SELF_SCOUT_IMPORT'!$Q$42:$Q$1040,SUBSTITUTE(SUBSTITUTE(SUBSTITUTE($M418,"~","~~"),"*","~*"),"?","~?"),'DEF_SELF_SCOUT_IMPORT'!$G$42:$G$1040,SUBSTITUTE(SUBSTITUTE(SUBSTITUTE($O418,"~","~~"),"*","~*"),"?","~?"))/$C418)</f>
        <v>1.0</v>
      </c>
      <c r="E418" s="10">
        <f>IF($C418=0,"",SUMIFS('DEF_SELF_SCOUT_IMPORT'!$K$42:$K$1040,'DEF_SELF_SCOUT_IMPORT'!$L$42:$L$1040,"Y",'DEF_SELF_SCOUT_IMPORT'!$E$42:$E$1040,SUBSTITUTE(SUBSTITUTE(SUBSTITUTE($B418,"~","~~"),"*","~*"),"?","~?"),'DEF_SELF_SCOUT_IMPORT'!$Q$42:$Q$1040,SUBSTITUTE(SUBSTITUTE(SUBSTITUTE($M418,"~","~~"),"*","~*"),"?","~?"),'DEF_SELF_SCOUT_IMPORT'!$G$42:$G$1040,SUBSTITUTE(SUBSTITUTE(SUBSTITUTE($O418,"~","~~"),"*","~*"),"?","~?"))/$C418)</f>
        <v>0.0</v>
      </c>
      <c r="F418" s="11">
        <f>IF($C418=0,"",AVERAGEIFS('DEF_SELF_SCOUT_IMPORT'!$I$42:$I$1040,'DEF_SELF_SCOUT_IMPORT'!$L$42:$L$1040,"Y",'DEF_SELF_SCOUT_IMPORT'!$E$42:$E$1040,SUBSTITUTE(SUBSTITUTE(SUBSTITUTE($B418,"~","~~"),"*","~*"),"?","~?"),'DEF_SELF_SCOUT_IMPORT'!$Q$42:$Q$1040,SUBSTITUTE(SUBSTITUTE(SUBSTITUTE($M418,"~","~~"),"*","~*"),"?","~?"),'DEF_SELF_SCOUT_IMPORT'!$G$42:$G$1040,SUBSTITUTE(SUBSTITUTE(SUBSTITUTE($O418,"~","~~"),"*","~*"),"?","~?")))</f>
        <v>1.0</v>
      </c>
      <c r="G418" s="10">
        <f>IF($C418=0,"",COUNTIFS('DEF_SELF_SCOUT_IMPORT'!$L$42:$L$1040,"Y",'DEF_SELF_SCOUT_IMPORT'!$E$42:$E$1040,SUBSTITUTE(SUBSTITUTE(SUBSTITUTE($B418,"~","~~"),"*","~*"),"?","~?"),'DEF_SELF_SCOUT_IMPORT'!$Q$42:$Q$1040,SUBSTITUTE(SUBSTITUTE(SUBSTITUTE($M418,"~","~~"),"*","~*"),"?","~?"),'DEF_SELF_SCOUT_IMPORT'!$G$42:$G$1040,SUBSTITUTE(SUBSTITUTE(SUBSTITUTE($O418,"~","~~"),"*","~*"),"?","~?"),'DEF_SELF_SCOUT_IMPORT'!$H$42:$H$1040,"RUSH")/$C418)</f>
        <v>1.0</v>
      </c>
      <c r="H418" s="10">
        <f>IF($C418=0,"",COUNTIFS('DEF_SELF_SCOUT_IMPORT'!$L$42:$L$1040,"Y",'DEF_SELF_SCOUT_IMPORT'!$E$42:$E$1040,SUBSTITUTE(SUBSTITUTE(SUBSTITUTE($B418,"~","~~"),"*","~*"),"?","~?"),'DEF_SELF_SCOUT_IMPORT'!$Q$42:$Q$1040,SUBSTITUTE(SUBSTITUTE(SUBSTITUTE($M418,"~","~~"),"*","~*"),"?","~?"),'DEF_SELF_SCOUT_IMPORT'!$G$42:$G$1040,SUBSTITUTE(SUBSTITUTE(SUBSTITUTE($O418,"~","~~"),"*","~*"),"?","~?"),'DEF_SELF_SCOUT_IMPORT'!$H$42:$H$1040,"DROPBACK")/$C418)</f>
        <v>0.0</v>
      </c>
      <c r="I418" s="14" t="str">
        <f>IF(C418=0,"",IF(C418&lt;=2,"TRACK",IF(C418=3,"LOW",IF(C418&lt;=6,"MEDIUM","HIGH"))))</f>
        <v>TRACK</v>
      </c>
      <c r="J418" s="11">
        <f>IF(C418=0,"",ROUND(D418*70+(1-E418)*20+MAX(0,MIN(1,(10-F418)/10))*10,1))</f>
        <v>99.0</v>
      </c>
      <c r="K418" s="14" t="str">
        <f>IF(C418=0,"No Evidence",IF(C418&lt;=2,IF(E418&gt;0,"Explosive Alert","Track Only"),IF(C418=3,"Sample Watch",IF(E418&gt;=START_HERE!$B$31,"Explosive Alert",IF(J418&gt;=80,"Strong Candidate",IF(J418&gt;=65,"Good Candidate",IF(J418&gt;=50,"Mixed / Review","Problem Call")))))))</f>
        <v>Track Only</v>
      </c>
      <c r="L418" s="9" t="str">
        <f>IF(COUNTIFS('DEF_SELF_SCOUT_IMPORT'!$L$42:$L$1040,"Y",'DEF_SELF_SCOUT_IMPORT'!$E$42:$E$1040,SUBSTITUTE(SUBSTITUTE(SUBSTITUTE($B418,"~","~~"),"*","~*"),"?","~?"),'DEF_SELF_SCOUT_IMPORT'!$Q$42:$Q$1040,SUBSTITUTE(SUBSTITUTE(SUBSTITUTE($M418,"~","~~"),"*","~*"),"?","~?"),'DEF_SELF_SCOUT_IMPORT'!$G$42:$G$1040,SUBSTITUTE(SUBSTITUTE(SUBSTITUTE($O418,"~","~~"),"*","~*"),"?","~?"),'DEF_SELF_SCOUT_IMPORT'!$J$42:$J$1040,"")&gt;0,"Unscored clean outcome; review result tags before using score.",IF(C418=0,"No matching defensive reps; film confirmation needed.",IF(K418="Explosive Alert","Explosive risk; review clips before using as answer.",IF(C418&lt;=2,"Track only; not enough sample.",IF(C418=3,IF(E418&gt;0,"Sample watch with explosive exposure; review clips and build the sample.",IF(J418&gt;=65,"Good signal, but sample is limited.","Sample watch; review clips and build the sample.")),IF(K418="Problem Call","Problem area; practice or call-sheet review.",IF(K418="Strong Candidate","Strong call-fit candidate; confirm on film.",IF(K418="Good Candidate","Good call-fit signal; confirm on film.","Mixed signal; review fit and execution on film."))))))))</f>
        <v>Track only; not enough sample.</v>
      </c>
      <c r="M418" s="8" t="s">
        <v>39</v>
      </c>
      <c r="N418" s="8"/>
      <c r="O418" s="8" t="s">
        <v>206</v>
      </c>
      <c r="P418" s="8"/>
      <c r="Q418" s="8"/>
      <c r="R418" s="8" t="s">
        <v>28</v>
      </c>
      <c r="S418" s="2" t="s">
        <v>220</v>
      </c>
      <c r="T418" s="2">
        <f>IF(C418=0,0,IF(C418&gt;=CALL_LOOKUP_BOARD!$B$7,IF(OR(K418="Problem Call",K418="Explosive Alert"),10000000,20000000),0)+IF(C418&gt;=CALL_LOOKUP_BOARD!$B$7,J418*1000+MIN(C418,999),C418*1000+J418)+0.00995600)</f>
        <v>2099.009956</v>
      </c>
      <c r="U418" s="2">
        <f>IF(C418=0,"",IF(COUNTIFS($S$375:$S$581,SUBSTITUTE(SUBSTITUTE(SUBSTITUTE(S418,"~","~~"),"*","~*"),"?","~?"),$T$375:$T$581,"&gt;"&amp;T418)=0,S418,""))</f>
        <v/>
      </c>
    </row>
    <row r="419" spans="1:21" ht="38" customHeight="1">
      <c r="A419" s="8" t="s">
        <v>221</v>
      </c>
      <c r="B419" s="8" t="s">
        <v>44</v>
      </c>
      <c r="C419" s="12">
        <f>COUNTIFS('DEF_SELF_SCOUT_IMPORT'!$L$42:$L$1040,"Y",'DEF_SELF_SCOUT_IMPORT'!$E$42:$E$1040,SUBSTITUTE(SUBSTITUTE(SUBSTITUTE($B419,"~","~~"),"*","~*"),"?","~?"),'DEF_SELF_SCOUT_IMPORT'!$Q$42:$Q$1040,SUBSTITUTE(SUBSTITUTE(SUBSTITUTE($M419,"~","~~"),"*","~*"),"?","~?"),'DEF_SELF_SCOUT_IMPORT'!$G$42:$G$1040,SUBSTITUTE(SUBSTITUTE(SUBSTITUTE($O419,"~","~~"),"*","~*"),"?","~?"))</f>
        <v>1</v>
      </c>
      <c r="D419" s="10">
        <f>IF($C419=0,"",SUMIFS('DEF_SELF_SCOUT_IMPORT'!$J$42:$J$1040,'DEF_SELF_SCOUT_IMPORT'!$L$42:$L$1040,"Y",'DEF_SELF_SCOUT_IMPORT'!$E$42:$E$1040,SUBSTITUTE(SUBSTITUTE(SUBSTITUTE($B419,"~","~~"),"*","~*"),"?","~?"),'DEF_SELF_SCOUT_IMPORT'!$Q$42:$Q$1040,SUBSTITUTE(SUBSTITUTE(SUBSTITUTE($M419,"~","~~"),"*","~*"),"?","~?"),'DEF_SELF_SCOUT_IMPORT'!$G$42:$G$1040,SUBSTITUTE(SUBSTITUTE(SUBSTITUTE($O419,"~","~~"),"*","~*"),"?","~?"))/$C419)</f>
        <v>0.0</v>
      </c>
      <c r="E419" s="10">
        <f>IF($C419=0,"",SUMIFS('DEF_SELF_SCOUT_IMPORT'!$K$42:$K$1040,'DEF_SELF_SCOUT_IMPORT'!$L$42:$L$1040,"Y",'DEF_SELF_SCOUT_IMPORT'!$E$42:$E$1040,SUBSTITUTE(SUBSTITUTE(SUBSTITUTE($B419,"~","~~"),"*","~*"),"?","~?"),'DEF_SELF_SCOUT_IMPORT'!$Q$42:$Q$1040,SUBSTITUTE(SUBSTITUTE(SUBSTITUTE($M419,"~","~~"),"*","~*"),"?","~?"),'DEF_SELF_SCOUT_IMPORT'!$G$42:$G$1040,SUBSTITUTE(SUBSTITUTE(SUBSTITUTE($O419,"~","~~"),"*","~*"),"?","~?"))/$C419)</f>
        <v>0.0</v>
      </c>
      <c r="F419" s="11">
        <f>IF($C419=0,"",AVERAGEIFS('DEF_SELF_SCOUT_IMPORT'!$I$42:$I$1040,'DEF_SELF_SCOUT_IMPORT'!$L$42:$L$1040,"Y",'DEF_SELF_SCOUT_IMPORT'!$E$42:$E$1040,SUBSTITUTE(SUBSTITUTE(SUBSTITUTE($B419,"~","~~"),"*","~*"),"?","~?"),'DEF_SELF_SCOUT_IMPORT'!$Q$42:$Q$1040,SUBSTITUTE(SUBSTITUTE(SUBSTITUTE($M419,"~","~~"),"*","~*"),"?","~?"),'DEF_SELF_SCOUT_IMPORT'!$G$42:$G$1040,SUBSTITUTE(SUBSTITUTE(SUBSTITUTE($O419,"~","~~"),"*","~*"),"?","~?")))</f>
        <v>11.0</v>
      </c>
      <c r="G419" s="10">
        <f>IF($C419=0,"",COUNTIFS('DEF_SELF_SCOUT_IMPORT'!$L$42:$L$1040,"Y",'DEF_SELF_SCOUT_IMPORT'!$E$42:$E$1040,SUBSTITUTE(SUBSTITUTE(SUBSTITUTE($B419,"~","~~"),"*","~*"),"?","~?"),'DEF_SELF_SCOUT_IMPORT'!$Q$42:$Q$1040,SUBSTITUTE(SUBSTITUTE(SUBSTITUTE($M419,"~","~~"),"*","~*"),"?","~?"),'DEF_SELF_SCOUT_IMPORT'!$G$42:$G$1040,SUBSTITUTE(SUBSTITUTE(SUBSTITUTE($O419,"~","~~"),"*","~*"),"?","~?"),'DEF_SELF_SCOUT_IMPORT'!$H$42:$H$1040,"RUSH")/$C419)</f>
        <v>0.0</v>
      </c>
      <c r="H419" s="10">
        <f>IF($C419=0,"",COUNTIFS('DEF_SELF_SCOUT_IMPORT'!$L$42:$L$1040,"Y",'DEF_SELF_SCOUT_IMPORT'!$E$42:$E$1040,SUBSTITUTE(SUBSTITUTE(SUBSTITUTE($B419,"~","~~"),"*","~*"),"?","~?"),'DEF_SELF_SCOUT_IMPORT'!$Q$42:$Q$1040,SUBSTITUTE(SUBSTITUTE(SUBSTITUTE($M419,"~","~~"),"*","~*"),"?","~?"),'DEF_SELF_SCOUT_IMPORT'!$G$42:$G$1040,SUBSTITUTE(SUBSTITUTE(SUBSTITUTE($O419,"~","~~"),"*","~*"),"?","~?"),'DEF_SELF_SCOUT_IMPORT'!$H$42:$H$1040,"DROPBACK")/$C419)</f>
        <v>1.0</v>
      </c>
      <c r="I419" s="14" t="str">
        <f>IF(C419=0,"",IF(C419&lt;=2,"TRACK",IF(C419=3,"LOW",IF(C419&lt;=6,"MEDIUM","HIGH"))))</f>
        <v>TRACK</v>
      </c>
      <c r="J419" s="11">
        <f>IF(C419=0,"",ROUND(D419*70+(1-E419)*20+MAX(0,MIN(1,(10-F419)/10))*10,1))</f>
        <v>20.0</v>
      </c>
      <c r="K419" s="14" t="str">
        <f>IF(C419=0,"No Evidence",IF(C419&lt;=2,IF(E419&gt;0,"Explosive Alert","Track Only"),IF(C419=3,"Sample Watch",IF(E419&gt;=START_HERE!$B$31,"Explosive Alert",IF(J419&gt;=80,"Strong Candidate",IF(J419&gt;=65,"Good Candidate",IF(J419&gt;=50,"Mixed / Review","Problem Call")))))))</f>
        <v>Track Only</v>
      </c>
      <c r="L419" s="9" t="str">
        <f>IF(COUNTIFS('DEF_SELF_SCOUT_IMPORT'!$L$42:$L$1040,"Y",'DEF_SELF_SCOUT_IMPORT'!$E$42:$E$1040,SUBSTITUTE(SUBSTITUTE(SUBSTITUTE($B419,"~","~~"),"*","~*"),"?","~?"),'DEF_SELF_SCOUT_IMPORT'!$Q$42:$Q$1040,SUBSTITUTE(SUBSTITUTE(SUBSTITUTE($M419,"~","~~"),"*","~*"),"?","~?"),'DEF_SELF_SCOUT_IMPORT'!$G$42:$G$1040,SUBSTITUTE(SUBSTITUTE(SUBSTITUTE($O419,"~","~~"),"*","~*"),"?","~?"),'DEF_SELF_SCOUT_IMPORT'!$J$42:$J$1040,"")&gt;0,"Unscored clean outcome; review result tags before using score.",IF(C419=0,"No matching defensive reps; film confirmation needed.",IF(K419="Explosive Alert","Explosive risk; review clips before using as answer.",IF(C419&lt;=2,"Track only; not enough sample.",IF(C419=3,IF(E419&gt;0,"Sample watch with explosive exposure; review clips and build the sample.",IF(J419&gt;=65,"Good signal, but sample is limited.","Sample watch; review clips and build the sample.")),IF(K419="Problem Call","Problem area; practice or call-sheet review.",IF(K419="Strong Candidate","Strong call-fit candidate; confirm on film.",IF(K419="Good Candidate","Good call-fit signal; confirm on film.","Mixed signal; review fit and execution on film."))))))))</f>
        <v>Track only; not enough sample.</v>
      </c>
      <c r="M419" s="8" t="s">
        <v>39</v>
      </c>
      <c r="N419" s="8"/>
      <c r="O419" s="8" t="s">
        <v>222</v>
      </c>
      <c r="P419" s="8"/>
      <c r="Q419" s="8"/>
      <c r="R419" s="8" t="s">
        <v>28</v>
      </c>
      <c r="S419" s="2" t="s">
        <v>223</v>
      </c>
      <c r="T419" s="2">
        <f>IF(C419=0,0,IF(C419&gt;=CALL_LOOKUP_BOARD!$B$7,IF(OR(K419="Problem Call",K419="Explosive Alert"),10000000,20000000),0)+IF(C419&gt;=CALL_LOOKUP_BOARD!$B$7,J419*1000+MIN(C419,999),C419*1000+J419)+0.00995500)</f>
        <v>1020.009955</v>
      </c>
      <c r="U419" s="2">
        <f>IF(C419=0,"",IF(COUNTIFS($S$375:$S$581,SUBSTITUTE(SUBSTITUTE(SUBSTITUTE(S419,"~","~~"),"*","~*"),"?","~?"),$T$375:$T$581,"&gt;"&amp;T419)=0,S419,""))</f>
        <v/>
      </c>
    </row>
    <row r="420" spans="1:21" ht="38" customHeight="1">
      <c r="A420" s="8" t="s">
        <v>221</v>
      </c>
      <c r="B420" s="8" t="s">
        <v>46</v>
      </c>
      <c r="C420" s="12">
        <f>COUNTIFS('DEF_SELF_SCOUT_IMPORT'!$L$42:$L$1040,"Y",'DEF_SELF_SCOUT_IMPORT'!$E$42:$E$1040,SUBSTITUTE(SUBSTITUTE(SUBSTITUTE($B420,"~","~~"),"*","~*"),"?","~?"),'DEF_SELF_SCOUT_IMPORT'!$Q$42:$Q$1040,SUBSTITUTE(SUBSTITUTE(SUBSTITUTE($M420,"~","~~"),"*","~*"),"?","~?"),'DEF_SELF_SCOUT_IMPORT'!$G$42:$G$1040,SUBSTITUTE(SUBSTITUTE(SUBSTITUTE($O420,"~","~~"),"*","~*"),"?","~?"))</f>
        <v>1</v>
      </c>
      <c r="D420" s="10">
        <f>IF($C420=0,"",SUMIFS('DEF_SELF_SCOUT_IMPORT'!$J$42:$J$1040,'DEF_SELF_SCOUT_IMPORT'!$L$42:$L$1040,"Y",'DEF_SELF_SCOUT_IMPORT'!$E$42:$E$1040,SUBSTITUTE(SUBSTITUTE(SUBSTITUTE($B420,"~","~~"),"*","~*"),"?","~?"),'DEF_SELF_SCOUT_IMPORT'!$Q$42:$Q$1040,SUBSTITUTE(SUBSTITUTE(SUBSTITUTE($M420,"~","~~"),"*","~*"),"?","~?"),'DEF_SELF_SCOUT_IMPORT'!$G$42:$G$1040,SUBSTITUTE(SUBSTITUTE(SUBSTITUTE($O420,"~","~~"),"*","~*"),"?","~?"))/$C420)</f>
        <v>1.0</v>
      </c>
      <c r="E420" s="10">
        <f>IF($C420=0,"",SUMIFS('DEF_SELF_SCOUT_IMPORT'!$K$42:$K$1040,'DEF_SELF_SCOUT_IMPORT'!$L$42:$L$1040,"Y",'DEF_SELF_SCOUT_IMPORT'!$E$42:$E$1040,SUBSTITUTE(SUBSTITUTE(SUBSTITUTE($B420,"~","~~"),"*","~*"),"?","~?"),'DEF_SELF_SCOUT_IMPORT'!$Q$42:$Q$1040,SUBSTITUTE(SUBSTITUTE(SUBSTITUTE($M420,"~","~~"),"*","~*"),"?","~?"),'DEF_SELF_SCOUT_IMPORT'!$G$42:$G$1040,SUBSTITUTE(SUBSTITUTE(SUBSTITUTE($O420,"~","~~"),"*","~*"),"?","~?"))/$C420)</f>
        <v>0.0</v>
      </c>
      <c r="F420" s="11">
        <f>IF($C420=0,"",AVERAGEIFS('DEF_SELF_SCOUT_IMPORT'!$I$42:$I$1040,'DEF_SELF_SCOUT_IMPORT'!$L$42:$L$1040,"Y",'DEF_SELF_SCOUT_IMPORT'!$E$42:$E$1040,SUBSTITUTE(SUBSTITUTE(SUBSTITUTE($B420,"~","~~"),"*","~*"),"?","~?"),'DEF_SELF_SCOUT_IMPORT'!$Q$42:$Q$1040,SUBSTITUTE(SUBSTITUTE(SUBSTITUTE($M420,"~","~~"),"*","~*"),"?","~?"),'DEF_SELF_SCOUT_IMPORT'!$G$42:$G$1040,SUBSTITUTE(SUBSTITUTE(SUBSTITUTE($O420,"~","~~"),"*","~*"),"?","~?")))</f>
        <v>-4.0</v>
      </c>
      <c r="G420" s="10">
        <f>IF($C420=0,"",COUNTIFS('DEF_SELF_SCOUT_IMPORT'!$L$42:$L$1040,"Y",'DEF_SELF_SCOUT_IMPORT'!$E$42:$E$1040,SUBSTITUTE(SUBSTITUTE(SUBSTITUTE($B420,"~","~~"),"*","~*"),"?","~?"),'DEF_SELF_SCOUT_IMPORT'!$Q$42:$Q$1040,SUBSTITUTE(SUBSTITUTE(SUBSTITUTE($M420,"~","~~"),"*","~*"),"?","~?"),'DEF_SELF_SCOUT_IMPORT'!$G$42:$G$1040,SUBSTITUTE(SUBSTITUTE(SUBSTITUTE($O420,"~","~~"),"*","~*"),"?","~?"),'DEF_SELF_SCOUT_IMPORT'!$H$42:$H$1040,"RUSH")/$C420)</f>
        <v>0.0</v>
      </c>
      <c r="H420" s="10">
        <f>IF($C420=0,"",COUNTIFS('DEF_SELF_SCOUT_IMPORT'!$L$42:$L$1040,"Y",'DEF_SELF_SCOUT_IMPORT'!$E$42:$E$1040,SUBSTITUTE(SUBSTITUTE(SUBSTITUTE($B420,"~","~~"),"*","~*"),"?","~?"),'DEF_SELF_SCOUT_IMPORT'!$Q$42:$Q$1040,SUBSTITUTE(SUBSTITUTE(SUBSTITUTE($M420,"~","~~"),"*","~*"),"?","~?"),'DEF_SELF_SCOUT_IMPORT'!$G$42:$G$1040,SUBSTITUTE(SUBSTITUTE(SUBSTITUTE($O420,"~","~~"),"*","~*"),"?","~?"),'DEF_SELF_SCOUT_IMPORT'!$H$42:$H$1040,"DROPBACK")/$C420)</f>
        <v>1.0</v>
      </c>
      <c r="I420" s="14" t="str">
        <f>IF(C420=0,"",IF(C420&lt;=2,"TRACK",IF(C420=3,"LOW",IF(C420&lt;=6,"MEDIUM","HIGH"))))</f>
        <v>TRACK</v>
      </c>
      <c r="J420" s="11">
        <f>IF(C420=0,"",ROUND(D420*70+(1-E420)*20+MAX(0,MIN(1,(10-F420)/10))*10,1))</f>
        <v>100.0</v>
      </c>
      <c r="K420" s="14" t="str">
        <f>IF(C420=0,"No Evidence",IF(C420&lt;=2,IF(E420&gt;0,"Explosive Alert","Track Only"),IF(C420=3,"Sample Watch",IF(E420&gt;=START_HERE!$B$31,"Explosive Alert",IF(J420&gt;=80,"Strong Candidate",IF(J420&gt;=65,"Good Candidate",IF(J420&gt;=50,"Mixed / Review","Problem Call")))))))</f>
        <v>Track Only</v>
      </c>
      <c r="L420" s="9" t="str">
        <f>IF(COUNTIFS('DEF_SELF_SCOUT_IMPORT'!$L$42:$L$1040,"Y",'DEF_SELF_SCOUT_IMPORT'!$E$42:$E$1040,SUBSTITUTE(SUBSTITUTE(SUBSTITUTE($B420,"~","~~"),"*","~*"),"?","~?"),'DEF_SELF_SCOUT_IMPORT'!$Q$42:$Q$1040,SUBSTITUTE(SUBSTITUTE(SUBSTITUTE($M420,"~","~~"),"*","~*"),"?","~?"),'DEF_SELF_SCOUT_IMPORT'!$G$42:$G$1040,SUBSTITUTE(SUBSTITUTE(SUBSTITUTE($O420,"~","~~"),"*","~*"),"?","~?"),'DEF_SELF_SCOUT_IMPORT'!$J$42:$J$1040,"")&gt;0,"Unscored clean outcome; review result tags before using score.",IF(C420=0,"No matching defensive reps; film confirmation needed.",IF(K420="Explosive Alert","Explosive risk; review clips before using as answer.",IF(C420&lt;=2,"Track only; not enough sample.",IF(C420=3,IF(E420&gt;0,"Sample watch with explosive exposure; review clips and build the sample.",IF(J420&gt;=65,"Good signal, but sample is limited.","Sample watch; review clips and build the sample.")),IF(K420="Problem Call","Problem area; practice or call-sheet review.",IF(K420="Strong Candidate","Strong call-fit candidate; confirm on film.",IF(K420="Good Candidate","Good call-fit signal; confirm on film.","Mixed signal; review fit and execution on film."))))))))</f>
        <v>Track only; not enough sample.</v>
      </c>
      <c r="M420" s="8" t="s">
        <v>39</v>
      </c>
      <c r="N420" s="8"/>
      <c r="O420" s="8" t="s">
        <v>222</v>
      </c>
      <c r="P420" s="8"/>
      <c r="Q420" s="8"/>
      <c r="R420" s="8" t="s">
        <v>28</v>
      </c>
      <c r="S420" s="2" t="s">
        <v>223</v>
      </c>
      <c r="T420" s="2">
        <f>IF(C420=0,0,IF(C420&gt;=CALL_LOOKUP_BOARD!$B$7,IF(OR(K420="Problem Call",K420="Explosive Alert"),10000000,20000000),0)+IF(C420&gt;=CALL_LOOKUP_BOARD!$B$7,J420*1000+MIN(C420,999),C420*1000+J420)+0.00995400)</f>
        <v>1100.009954</v>
      </c>
      <c r="U420" s="2" t="str">
        <f>IF(C420=0,"",IF(COUNTIFS($S$375:$S$581,SUBSTITUTE(SUBSTITUTE(SUBSTITUTE(S420,"~","~~"),"*","~*"),"?","~?"),$T$375:$T$581,"&gt;"&amp;T420)=0,S420,""))</f>
        <v>7:1D 7-10|3:3X2|</v>
      </c>
    </row>
    <row r="421" spans="1:21" ht="38" customHeight="1">
      <c r="A421" s="8" t="s">
        <v>221</v>
      </c>
      <c r="B421" s="8" t="s">
        <v>47</v>
      </c>
      <c r="C421" s="12">
        <f>COUNTIFS('DEF_SELF_SCOUT_IMPORT'!$L$42:$L$1040,"Y",'DEF_SELF_SCOUT_IMPORT'!$E$42:$E$1040,SUBSTITUTE(SUBSTITUTE(SUBSTITUTE($B421,"~","~~"),"*","~*"),"?","~?"),'DEF_SELF_SCOUT_IMPORT'!$Q$42:$Q$1040,SUBSTITUTE(SUBSTITUTE(SUBSTITUTE($M421,"~","~~"),"*","~*"),"?","~?"),'DEF_SELF_SCOUT_IMPORT'!$G$42:$G$1040,SUBSTITUTE(SUBSTITUTE(SUBSTITUTE($O421,"~","~~"),"*","~*"),"?","~?"))</f>
        <v>1</v>
      </c>
      <c r="D421" s="10">
        <f>IF($C421=0,"",SUMIFS('DEF_SELF_SCOUT_IMPORT'!$J$42:$J$1040,'DEF_SELF_SCOUT_IMPORT'!$L$42:$L$1040,"Y",'DEF_SELF_SCOUT_IMPORT'!$E$42:$E$1040,SUBSTITUTE(SUBSTITUTE(SUBSTITUTE($B421,"~","~~"),"*","~*"),"?","~?"),'DEF_SELF_SCOUT_IMPORT'!$Q$42:$Q$1040,SUBSTITUTE(SUBSTITUTE(SUBSTITUTE($M421,"~","~~"),"*","~*"),"?","~?"),'DEF_SELF_SCOUT_IMPORT'!$G$42:$G$1040,SUBSTITUTE(SUBSTITUTE(SUBSTITUTE($O421,"~","~~"),"*","~*"),"?","~?"))/$C421)</f>
        <v>0.0</v>
      </c>
      <c r="E421" s="10">
        <f>IF($C421=0,"",SUMIFS('DEF_SELF_SCOUT_IMPORT'!$K$42:$K$1040,'DEF_SELF_SCOUT_IMPORT'!$L$42:$L$1040,"Y",'DEF_SELF_SCOUT_IMPORT'!$E$42:$E$1040,SUBSTITUTE(SUBSTITUTE(SUBSTITUTE($B421,"~","~~"),"*","~*"),"?","~?"),'DEF_SELF_SCOUT_IMPORT'!$Q$42:$Q$1040,SUBSTITUTE(SUBSTITUTE(SUBSTITUTE($M421,"~","~~"),"*","~*"),"?","~?"),'DEF_SELF_SCOUT_IMPORT'!$G$42:$G$1040,SUBSTITUTE(SUBSTITUTE(SUBSTITUTE($O421,"~","~~"),"*","~*"),"?","~?"))/$C421)</f>
        <v>1.0</v>
      </c>
      <c r="F421" s="11">
        <f>IF($C421=0,"",AVERAGEIFS('DEF_SELF_SCOUT_IMPORT'!$I$42:$I$1040,'DEF_SELF_SCOUT_IMPORT'!$L$42:$L$1040,"Y",'DEF_SELF_SCOUT_IMPORT'!$E$42:$E$1040,SUBSTITUTE(SUBSTITUTE(SUBSTITUTE($B421,"~","~~"),"*","~*"),"?","~?"),'DEF_SELF_SCOUT_IMPORT'!$Q$42:$Q$1040,SUBSTITUTE(SUBSTITUTE(SUBSTITUTE($M421,"~","~~"),"*","~*"),"?","~?"),'DEF_SELF_SCOUT_IMPORT'!$G$42:$G$1040,SUBSTITUTE(SUBSTITUTE(SUBSTITUTE($O421,"~","~~"),"*","~*"),"?","~?")))</f>
        <v>28.0</v>
      </c>
      <c r="G421" s="10">
        <f>IF($C421=0,"",COUNTIFS('DEF_SELF_SCOUT_IMPORT'!$L$42:$L$1040,"Y",'DEF_SELF_SCOUT_IMPORT'!$E$42:$E$1040,SUBSTITUTE(SUBSTITUTE(SUBSTITUTE($B421,"~","~~"),"*","~*"),"?","~?"),'DEF_SELF_SCOUT_IMPORT'!$Q$42:$Q$1040,SUBSTITUTE(SUBSTITUTE(SUBSTITUTE($M421,"~","~~"),"*","~*"),"?","~?"),'DEF_SELF_SCOUT_IMPORT'!$G$42:$G$1040,SUBSTITUTE(SUBSTITUTE(SUBSTITUTE($O421,"~","~~"),"*","~*"),"?","~?"),'DEF_SELF_SCOUT_IMPORT'!$H$42:$H$1040,"RUSH")/$C421)</f>
        <v>0.0</v>
      </c>
      <c r="H421" s="10">
        <f>IF($C421=0,"",COUNTIFS('DEF_SELF_SCOUT_IMPORT'!$L$42:$L$1040,"Y",'DEF_SELF_SCOUT_IMPORT'!$E$42:$E$1040,SUBSTITUTE(SUBSTITUTE(SUBSTITUTE($B421,"~","~~"),"*","~*"),"?","~?"),'DEF_SELF_SCOUT_IMPORT'!$Q$42:$Q$1040,SUBSTITUTE(SUBSTITUTE(SUBSTITUTE($M421,"~","~~"),"*","~*"),"?","~?"),'DEF_SELF_SCOUT_IMPORT'!$G$42:$G$1040,SUBSTITUTE(SUBSTITUTE(SUBSTITUTE($O421,"~","~~"),"*","~*"),"?","~?"),'DEF_SELF_SCOUT_IMPORT'!$H$42:$H$1040,"DROPBACK")/$C421)</f>
        <v>0.0</v>
      </c>
      <c r="I421" s="14" t="str">
        <f>IF(C421=0,"",IF(C421&lt;=2,"TRACK",IF(C421=3,"LOW",IF(C421&lt;=6,"MEDIUM","HIGH"))))</f>
        <v>TRACK</v>
      </c>
      <c r="J421" s="11">
        <f>IF(C421=0,"",ROUND(D421*70+(1-E421)*20+MAX(0,MIN(1,(10-F421)/10))*10,1))</f>
        <v>0.0</v>
      </c>
      <c r="K421" s="14" t="str">
        <f>IF(C421=0,"No Evidence",IF(C421&lt;=2,IF(E421&gt;0,"Explosive Alert","Track Only"),IF(C421=3,"Sample Watch",IF(E421&gt;=START_HERE!$B$31,"Explosive Alert",IF(J421&gt;=80,"Strong Candidate",IF(J421&gt;=65,"Good Candidate",IF(J421&gt;=50,"Mixed / Review","Problem Call")))))))</f>
        <v>Explosive Alert</v>
      </c>
      <c r="L421" s="9" t="str">
        <f>IF(COUNTIFS('DEF_SELF_SCOUT_IMPORT'!$L$42:$L$1040,"Y",'DEF_SELF_SCOUT_IMPORT'!$E$42:$E$1040,SUBSTITUTE(SUBSTITUTE(SUBSTITUTE($B421,"~","~~"),"*","~*"),"?","~?"),'DEF_SELF_SCOUT_IMPORT'!$Q$42:$Q$1040,SUBSTITUTE(SUBSTITUTE(SUBSTITUTE($M421,"~","~~"),"*","~*"),"?","~?"),'DEF_SELF_SCOUT_IMPORT'!$G$42:$G$1040,SUBSTITUTE(SUBSTITUTE(SUBSTITUTE($O421,"~","~~"),"*","~*"),"?","~?"),'DEF_SELF_SCOUT_IMPORT'!$J$42:$J$1040,"")&gt;0,"Unscored clean outcome; review result tags before using score.",IF(C421=0,"No matching defensive reps; film confirmation needed.",IF(K421="Explosive Alert","Explosive risk; review clips before using as answer.",IF(C421&lt;=2,"Track only; not enough sample.",IF(C421=3,IF(E421&gt;0,"Sample watch with explosive exposure; review clips and build the sample.",IF(J421&gt;=65,"Good signal, but sample is limited.","Sample watch; review clips and build the sample.")),IF(K421="Problem Call","Problem area; practice or call-sheet review.",IF(K421="Strong Candidate","Strong call-fit candidate; confirm on film.",IF(K421="Good Candidate","Good call-fit signal; confirm on film.","Mixed signal; review fit and execution on film."))))))))</f>
        <v>Explosive risk; review clips before using as answer.</v>
      </c>
      <c r="M421" s="8" t="s">
        <v>39</v>
      </c>
      <c r="N421" s="8"/>
      <c r="O421" s="8" t="s">
        <v>222</v>
      </c>
      <c r="P421" s="8"/>
      <c r="Q421" s="8"/>
      <c r="R421" s="8" t="s">
        <v>28</v>
      </c>
      <c r="S421" s="2" t="s">
        <v>223</v>
      </c>
      <c r="T421" s="2">
        <f>IF(C421=0,0,IF(C421&gt;=CALL_LOOKUP_BOARD!$B$7,IF(OR(K421="Problem Call",K421="Explosive Alert"),10000000,20000000),0)+IF(C421&gt;=CALL_LOOKUP_BOARD!$B$7,J421*1000+MIN(C421,999),C421*1000+J421)+0.00995300)</f>
        <v>1000.009953</v>
      </c>
      <c r="U421" s="2">
        <f>IF(C421=0,"",IF(COUNTIFS($S$375:$S$581,SUBSTITUTE(SUBSTITUTE(SUBSTITUTE(S421,"~","~~"),"*","~*"),"?","~?"),$T$375:$T$581,"&gt;"&amp;T421)=0,S421,""))</f>
        <v/>
      </c>
    </row>
    <row r="422" spans="1:21" ht="38" customHeight="1">
      <c r="A422" s="8" t="s">
        <v>221</v>
      </c>
      <c r="B422" s="8" t="s">
        <v>53</v>
      </c>
      <c r="C422" s="12">
        <f>COUNTIFS('DEF_SELF_SCOUT_IMPORT'!$L$42:$L$1040,"Y",'DEF_SELF_SCOUT_IMPORT'!$E$42:$E$1040,SUBSTITUTE(SUBSTITUTE(SUBSTITUTE($B422,"~","~~"),"*","~*"),"?","~?"),'DEF_SELF_SCOUT_IMPORT'!$Q$42:$Q$1040,SUBSTITUTE(SUBSTITUTE(SUBSTITUTE($M422,"~","~~"),"*","~*"),"?","~?"),'DEF_SELF_SCOUT_IMPORT'!$G$42:$G$1040,SUBSTITUTE(SUBSTITUTE(SUBSTITUTE($O422,"~","~~"),"*","~*"),"?","~?"))</f>
        <v>1</v>
      </c>
      <c r="D422" s="10">
        <f>IF($C422=0,"",SUMIFS('DEF_SELF_SCOUT_IMPORT'!$J$42:$J$1040,'DEF_SELF_SCOUT_IMPORT'!$L$42:$L$1040,"Y",'DEF_SELF_SCOUT_IMPORT'!$E$42:$E$1040,SUBSTITUTE(SUBSTITUTE(SUBSTITUTE($B422,"~","~~"),"*","~*"),"?","~?"),'DEF_SELF_SCOUT_IMPORT'!$Q$42:$Q$1040,SUBSTITUTE(SUBSTITUTE(SUBSTITUTE($M422,"~","~~"),"*","~*"),"?","~?"),'DEF_SELF_SCOUT_IMPORT'!$G$42:$G$1040,SUBSTITUTE(SUBSTITUTE(SUBSTITUTE($O422,"~","~~"),"*","~*"),"?","~?"))/$C422)</f>
        <v>0.0</v>
      </c>
      <c r="E422" s="10">
        <f>IF($C422=0,"",SUMIFS('DEF_SELF_SCOUT_IMPORT'!$K$42:$K$1040,'DEF_SELF_SCOUT_IMPORT'!$L$42:$L$1040,"Y",'DEF_SELF_SCOUT_IMPORT'!$E$42:$E$1040,SUBSTITUTE(SUBSTITUTE(SUBSTITUTE($B422,"~","~~"),"*","~*"),"?","~?"),'DEF_SELF_SCOUT_IMPORT'!$Q$42:$Q$1040,SUBSTITUTE(SUBSTITUTE(SUBSTITUTE($M422,"~","~~"),"*","~*"),"?","~?"),'DEF_SELF_SCOUT_IMPORT'!$G$42:$G$1040,SUBSTITUTE(SUBSTITUTE(SUBSTITUTE($O422,"~","~~"),"*","~*"),"?","~?"))/$C422)</f>
        <v>0.0</v>
      </c>
      <c r="F422" s="11">
        <f>IF($C422=0,"",AVERAGEIFS('DEF_SELF_SCOUT_IMPORT'!$I$42:$I$1040,'DEF_SELF_SCOUT_IMPORT'!$L$42:$L$1040,"Y",'DEF_SELF_SCOUT_IMPORT'!$E$42:$E$1040,SUBSTITUTE(SUBSTITUTE(SUBSTITUTE($B422,"~","~~"),"*","~*"),"?","~?"),'DEF_SELF_SCOUT_IMPORT'!$Q$42:$Q$1040,SUBSTITUTE(SUBSTITUTE(SUBSTITUTE($M422,"~","~~"),"*","~*"),"?","~?"),'DEF_SELF_SCOUT_IMPORT'!$G$42:$G$1040,SUBSTITUTE(SUBSTITUTE(SUBSTITUTE($O422,"~","~~"),"*","~*"),"?","~?")))</f>
        <v>8.0</v>
      </c>
      <c r="G422" s="10">
        <f>IF($C422=0,"",COUNTIFS('DEF_SELF_SCOUT_IMPORT'!$L$42:$L$1040,"Y",'DEF_SELF_SCOUT_IMPORT'!$E$42:$E$1040,SUBSTITUTE(SUBSTITUTE(SUBSTITUTE($B422,"~","~~"),"*","~*"),"?","~?"),'DEF_SELF_SCOUT_IMPORT'!$Q$42:$Q$1040,SUBSTITUTE(SUBSTITUTE(SUBSTITUTE($M422,"~","~~"),"*","~*"),"?","~?"),'DEF_SELF_SCOUT_IMPORT'!$G$42:$G$1040,SUBSTITUTE(SUBSTITUTE(SUBSTITUTE($O422,"~","~~"),"*","~*"),"?","~?"),'DEF_SELF_SCOUT_IMPORT'!$H$42:$H$1040,"RUSH")/$C422)</f>
        <v>0.0</v>
      </c>
      <c r="H422" s="10">
        <f>IF($C422=0,"",COUNTIFS('DEF_SELF_SCOUT_IMPORT'!$L$42:$L$1040,"Y",'DEF_SELF_SCOUT_IMPORT'!$E$42:$E$1040,SUBSTITUTE(SUBSTITUTE(SUBSTITUTE($B422,"~","~~"),"*","~*"),"?","~?"),'DEF_SELF_SCOUT_IMPORT'!$Q$42:$Q$1040,SUBSTITUTE(SUBSTITUTE(SUBSTITUTE($M422,"~","~~"),"*","~*"),"?","~?"),'DEF_SELF_SCOUT_IMPORT'!$G$42:$G$1040,SUBSTITUTE(SUBSTITUTE(SUBSTITUTE($O422,"~","~~"),"*","~*"),"?","~?"),'DEF_SELF_SCOUT_IMPORT'!$H$42:$H$1040,"DROPBACK")/$C422)</f>
        <v>1.0</v>
      </c>
      <c r="I422" s="14" t="str">
        <f>IF(C422=0,"",IF(C422&lt;=2,"TRACK",IF(C422=3,"LOW",IF(C422&lt;=6,"MEDIUM","HIGH"))))</f>
        <v>TRACK</v>
      </c>
      <c r="J422" s="11">
        <f>IF(C422=0,"",ROUND(D422*70+(1-E422)*20+MAX(0,MIN(1,(10-F422)/10))*10,1))</f>
        <v>22.0</v>
      </c>
      <c r="K422" s="14" t="str">
        <f>IF(C422=0,"No Evidence",IF(C422&lt;=2,IF(E422&gt;0,"Explosive Alert","Track Only"),IF(C422=3,"Sample Watch",IF(E422&gt;=START_HERE!$B$31,"Explosive Alert",IF(J422&gt;=80,"Strong Candidate",IF(J422&gt;=65,"Good Candidate",IF(J422&gt;=50,"Mixed / Review","Problem Call")))))))</f>
        <v>Track Only</v>
      </c>
      <c r="L422" s="9" t="str">
        <f>IF(COUNTIFS('DEF_SELF_SCOUT_IMPORT'!$L$42:$L$1040,"Y",'DEF_SELF_SCOUT_IMPORT'!$E$42:$E$1040,SUBSTITUTE(SUBSTITUTE(SUBSTITUTE($B422,"~","~~"),"*","~*"),"?","~?"),'DEF_SELF_SCOUT_IMPORT'!$Q$42:$Q$1040,SUBSTITUTE(SUBSTITUTE(SUBSTITUTE($M422,"~","~~"),"*","~*"),"?","~?"),'DEF_SELF_SCOUT_IMPORT'!$G$42:$G$1040,SUBSTITUTE(SUBSTITUTE(SUBSTITUTE($O422,"~","~~"),"*","~*"),"?","~?"),'DEF_SELF_SCOUT_IMPORT'!$J$42:$J$1040,"")&gt;0,"Unscored clean outcome; review result tags before using score.",IF(C422=0,"No matching defensive reps; film confirmation needed.",IF(K422="Explosive Alert","Explosive risk; review clips before using as answer.",IF(C422&lt;=2,"Track only; not enough sample.",IF(C422=3,IF(E422&gt;0,"Sample watch with explosive exposure; review clips and build the sample.",IF(J422&gt;=65,"Good signal, but sample is limited.","Sample watch; review clips and build the sample.")),IF(K422="Problem Call","Problem area; practice or call-sheet review.",IF(K422="Strong Candidate","Strong call-fit candidate; confirm on film.",IF(K422="Good Candidate","Good call-fit signal; confirm on film.","Mixed signal; review fit and execution on film."))))))))</f>
        <v>Track only; not enough sample.</v>
      </c>
      <c r="M422" s="8" t="s">
        <v>39</v>
      </c>
      <c r="N422" s="8"/>
      <c r="O422" s="8" t="s">
        <v>222</v>
      </c>
      <c r="P422" s="8"/>
      <c r="Q422" s="8"/>
      <c r="R422" s="8" t="s">
        <v>28</v>
      </c>
      <c r="S422" s="2" t="s">
        <v>223</v>
      </c>
      <c r="T422" s="2">
        <f>IF(C422=0,0,IF(C422&gt;=CALL_LOOKUP_BOARD!$B$7,IF(OR(K422="Problem Call",K422="Explosive Alert"),10000000,20000000),0)+IF(C422&gt;=CALL_LOOKUP_BOARD!$B$7,J422*1000+MIN(C422,999),C422*1000+J422)+0.00995200)</f>
        <v>1022.009952</v>
      </c>
      <c r="U422" s="2">
        <f>IF(C422=0,"",IF(COUNTIFS($S$375:$S$581,SUBSTITUTE(SUBSTITUTE(SUBSTITUTE(S422,"~","~~"),"*","~*"),"?","~?"),$T$375:$T$581,"&gt;"&amp;T422)=0,S422,""))</f>
        <v/>
      </c>
    </row>
    <row r="423" spans="1:21" ht="38" customHeight="1">
      <c r="A423" s="8" t="s">
        <v>221</v>
      </c>
      <c r="B423" s="8" t="s">
        <v>35</v>
      </c>
      <c r="C423" s="12">
        <f>COUNTIFS('DEF_SELF_SCOUT_IMPORT'!$L$42:$L$1040,"Y",'DEF_SELF_SCOUT_IMPORT'!$E$42:$E$1040,SUBSTITUTE(SUBSTITUTE(SUBSTITUTE($B423,"~","~~"),"*","~*"),"?","~?"),'DEF_SELF_SCOUT_IMPORT'!$Q$42:$Q$1040,SUBSTITUTE(SUBSTITUTE(SUBSTITUTE($M423,"~","~~"),"*","~*"),"?","~?"),'DEF_SELF_SCOUT_IMPORT'!$G$42:$G$1040,SUBSTITUTE(SUBSTITUTE(SUBSTITUTE($O423,"~","~~"),"*","~*"),"?","~?"))</f>
        <v>1</v>
      </c>
      <c r="D423" s="10">
        <f>IF($C423=0,"",SUMIFS('DEF_SELF_SCOUT_IMPORT'!$J$42:$J$1040,'DEF_SELF_SCOUT_IMPORT'!$L$42:$L$1040,"Y",'DEF_SELF_SCOUT_IMPORT'!$E$42:$E$1040,SUBSTITUTE(SUBSTITUTE(SUBSTITUTE($B423,"~","~~"),"*","~*"),"?","~?"),'DEF_SELF_SCOUT_IMPORT'!$Q$42:$Q$1040,SUBSTITUTE(SUBSTITUTE(SUBSTITUTE($M423,"~","~~"),"*","~*"),"?","~?"),'DEF_SELF_SCOUT_IMPORT'!$G$42:$G$1040,SUBSTITUTE(SUBSTITUTE(SUBSTITUTE($O423,"~","~~"),"*","~*"),"?","~?"))/$C423)</f>
        <v>1.0</v>
      </c>
      <c r="E423" s="10">
        <f>IF($C423=0,"",SUMIFS('DEF_SELF_SCOUT_IMPORT'!$K$42:$K$1040,'DEF_SELF_SCOUT_IMPORT'!$L$42:$L$1040,"Y",'DEF_SELF_SCOUT_IMPORT'!$E$42:$E$1040,SUBSTITUTE(SUBSTITUTE(SUBSTITUTE($B423,"~","~~"),"*","~*"),"?","~?"),'DEF_SELF_SCOUT_IMPORT'!$Q$42:$Q$1040,SUBSTITUTE(SUBSTITUTE(SUBSTITUTE($M423,"~","~~"),"*","~*"),"?","~?"),'DEF_SELF_SCOUT_IMPORT'!$G$42:$G$1040,SUBSTITUTE(SUBSTITUTE(SUBSTITUTE($O423,"~","~~"),"*","~*"),"?","~?"))/$C423)</f>
        <v>0.0</v>
      </c>
      <c r="F423" s="11">
        <f>IF($C423=0,"",AVERAGEIFS('DEF_SELF_SCOUT_IMPORT'!$I$42:$I$1040,'DEF_SELF_SCOUT_IMPORT'!$L$42:$L$1040,"Y",'DEF_SELF_SCOUT_IMPORT'!$E$42:$E$1040,SUBSTITUTE(SUBSTITUTE(SUBSTITUTE($B423,"~","~~"),"*","~*"),"?","~?"),'DEF_SELF_SCOUT_IMPORT'!$Q$42:$Q$1040,SUBSTITUTE(SUBSTITUTE(SUBSTITUTE($M423,"~","~~"),"*","~*"),"?","~?"),'DEF_SELF_SCOUT_IMPORT'!$G$42:$G$1040,SUBSTITUTE(SUBSTITUTE(SUBSTITUTE($O423,"~","~~"),"*","~*"),"?","~?")))</f>
        <v>2.0</v>
      </c>
      <c r="G423" s="10">
        <f>IF($C423=0,"",COUNTIFS('DEF_SELF_SCOUT_IMPORT'!$L$42:$L$1040,"Y",'DEF_SELF_SCOUT_IMPORT'!$E$42:$E$1040,SUBSTITUTE(SUBSTITUTE(SUBSTITUTE($B423,"~","~~"),"*","~*"),"?","~?"),'DEF_SELF_SCOUT_IMPORT'!$Q$42:$Q$1040,SUBSTITUTE(SUBSTITUTE(SUBSTITUTE($M423,"~","~~"),"*","~*"),"?","~?"),'DEF_SELF_SCOUT_IMPORT'!$G$42:$G$1040,SUBSTITUTE(SUBSTITUTE(SUBSTITUTE($O423,"~","~~"),"*","~*"),"?","~?"),'DEF_SELF_SCOUT_IMPORT'!$H$42:$H$1040,"RUSH")/$C423)</f>
        <v>0.0</v>
      </c>
      <c r="H423" s="10">
        <f>IF($C423=0,"",COUNTIFS('DEF_SELF_SCOUT_IMPORT'!$L$42:$L$1040,"Y",'DEF_SELF_SCOUT_IMPORT'!$E$42:$E$1040,SUBSTITUTE(SUBSTITUTE(SUBSTITUTE($B423,"~","~~"),"*","~*"),"?","~?"),'DEF_SELF_SCOUT_IMPORT'!$Q$42:$Q$1040,SUBSTITUTE(SUBSTITUTE(SUBSTITUTE($M423,"~","~~"),"*","~*"),"?","~?"),'DEF_SELF_SCOUT_IMPORT'!$G$42:$G$1040,SUBSTITUTE(SUBSTITUTE(SUBSTITUTE($O423,"~","~~"),"*","~*"),"?","~?"),'DEF_SELF_SCOUT_IMPORT'!$H$42:$H$1040,"DROPBACK")/$C423)</f>
        <v>1.0</v>
      </c>
      <c r="I423" s="14" t="str">
        <f>IF(C423=0,"",IF(C423&lt;=2,"TRACK",IF(C423=3,"LOW",IF(C423&lt;=6,"MEDIUM","HIGH"))))</f>
        <v>TRACK</v>
      </c>
      <c r="J423" s="11">
        <f>IF(C423=0,"",ROUND(D423*70+(1-E423)*20+MAX(0,MIN(1,(10-F423)/10))*10,1))</f>
        <v>98.0</v>
      </c>
      <c r="K423" s="14" t="str">
        <f>IF(C423=0,"No Evidence",IF(C423&lt;=2,IF(E423&gt;0,"Explosive Alert","Track Only"),IF(C423=3,"Sample Watch",IF(E423&gt;=START_HERE!$B$31,"Explosive Alert",IF(J423&gt;=80,"Strong Candidate",IF(J423&gt;=65,"Good Candidate",IF(J423&gt;=50,"Mixed / Review","Problem Call")))))))</f>
        <v>Track Only</v>
      </c>
      <c r="L423" s="9" t="str">
        <f>IF(COUNTIFS('DEF_SELF_SCOUT_IMPORT'!$L$42:$L$1040,"Y",'DEF_SELF_SCOUT_IMPORT'!$E$42:$E$1040,SUBSTITUTE(SUBSTITUTE(SUBSTITUTE($B423,"~","~~"),"*","~*"),"?","~?"),'DEF_SELF_SCOUT_IMPORT'!$Q$42:$Q$1040,SUBSTITUTE(SUBSTITUTE(SUBSTITUTE($M423,"~","~~"),"*","~*"),"?","~?"),'DEF_SELF_SCOUT_IMPORT'!$G$42:$G$1040,SUBSTITUTE(SUBSTITUTE(SUBSTITUTE($O423,"~","~~"),"*","~*"),"?","~?"),'DEF_SELF_SCOUT_IMPORT'!$J$42:$J$1040,"")&gt;0,"Unscored clean outcome; review result tags before using score.",IF(C423=0,"No matching defensive reps; film confirmation needed.",IF(K423="Explosive Alert","Explosive risk; review clips before using as answer.",IF(C423&lt;=2,"Track only; not enough sample.",IF(C423=3,IF(E423&gt;0,"Sample watch with explosive exposure; review clips and build the sample.",IF(J423&gt;=65,"Good signal, but sample is limited.","Sample watch; review clips and build the sample.")),IF(K423="Problem Call","Problem area; practice or call-sheet review.",IF(K423="Strong Candidate","Strong call-fit candidate; confirm on film.",IF(K423="Good Candidate","Good call-fit signal; confirm on film.","Mixed signal; review fit and execution on film."))))))))</f>
        <v>Track only; not enough sample.</v>
      </c>
      <c r="M423" s="8" t="s">
        <v>39</v>
      </c>
      <c r="N423" s="8"/>
      <c r="O423" s="8" t="s">
        <v>222</v>
      </c>
      <c r="P423" s="8"/>
      <c r="Q423" s="8"/>
      <c r="R423" s="8" t="s">
        <v>28</v>
      </c>
      <c r="S423" s="2" t="s">
        <v>223</v>
      </c>
      <c r="T423" s="2">
        <f>IF(C423=0,0,IF(C423&gt;=CALL_LOOKUP_BOARD!$B$7,IF(OR(K423="Problem Call",K423="Explosive Alert"),10000000,20000000),0)+IF(C423&gt;=CALL_LOOKUP_BOARD!$B$7,J423*1000+MIN(C423,999),C423*1000+J423)+0.00995100)</f>
        <v>1098.009951</v>
      </c>
      <c r="U423" s="2">
        <f>IF(C423=0,"",IF(COUNTIFS($S$375:$S$581,SUBSTITUTE(SUBSTITUTE(SUBSTITUTE(S423,"~","~~"),"*","~*"),"?","~?"),$T$375:$T$581,"&gt;"&amp;T423)=0,S423,""))</f>
        <v/>
      </c>
    </row>
    <row r="424" spans="1:21" ht="38" customHeight="1">
      <c r="A424" s="8" t="s">
        <v>224</v>
      </c>
      <c r="B424" s="8" t="s">
        <v>59</v>
      </c>
      <c r="C424" s="12">
        <f>COUNTIFS('DEF_SELF_SCOUT_IMPORT'!$L$42:$L$1040,"Y",'DEF_SELF_SCOUT_IMPORT'!$E$42:$E$1040,SUBSTITUTE(SUBSTITUTE(SUBSTITUTE($B424,"~","~~"),"*","~*"),"?","~?"),'DEF_SELF_SCOUT_IMPORT'!$Q$42:$Q$1040,SUBSTITUTE(SUBSTITUTE(SUBSTITUTE($M424,"~","~~"),"*","~*"),"?","~?"),'DEF_SELF_SCOUT_IMPORT'!$G$42:$G$1040,SUBSTITUTE(SUBSTITUTE(SUBSTITUTE($O424,"~","~~"),"*","~*"),"?","~?"))</f>
        <v>1</v>
      </c>
      <c r="D424" s="10">
        <f>IF($C424=0,"",SUMIFS('DEF_SELF_SCOUT_IMPORT'!$J$42:$J$1040,'DEF_SELF_SCOUT_IMPORT'!$L$42:$L$1040,"Y",'DEF_SELF_SCOUT_IMPORT'!$E$42:$E$1040,SUBSTITUTE(SUBSTITUTE(SUBSTITUTE($B424,"~","~~"),"*","~*"),"?","~?"),'DEF_SELF_SCOUT_IMPORT'!$Q$42:$Q$1040,SUBSTITUTE(SUBSTITUTE(SUBSTITUTE($M424,"~","~~"),"*","~*"),"?","~?"),'DEF_SELF_SCOUT_IMPORT'!$G$42:$G$1040,SUBSTITUTE(SUBSTITUTE(SUBSTITUTE($O424,"~","~~"),"*","~*"),"?","~?"))/$C424)</f>
        <v>0.0</v>
      </c>
      <c r="E424" s="10">
        <f>IF($C424=0,"",SUMIFS('DEF_SELF_SCOUT_IMPORT'!$K$42:$K$1040,'DEF_SELF_SCOUT_IMPORT'!$L$42:$L$1040,"Y",'DEF_SELF_SCOUT_IMPORT'!$E$42:$E$1040,SUBSTITUTE(SUBSTITUTE(SUBSTITUTE($B424,"~","~~"),"*","~*"),"?","~?"),'DEF_SELF_SCOUT_IMPORT'!$Q$42:$Q$1040,SUBSTITUTE(SUBSTITUTE(SUBSTITUTE($M424,"~","~~"),"*","~*"),"?","~?"),'DEF_SELF_SCOUT_IMPORT'!$G$42:$G$1040,SUBSTITUTE(SUBSTITUTE(SUBSTITUTE($O424,"~","~~"),"*","~*"),"?","~?"))/$C424)</f>
        <v>1.0</v>
      </c>
      <c r="F424" s="11">
        <f>IF($C424=0,"",AVERAGEIFS('DEF_SELF_SCOUT_IMPORT'!$I$42:$I$1040,'DEF_SELF_SCOUT_IMPORT'!$L$42:$L$1040,"Y",'DEF_SELF_SCOUT_IMPORT'!$E$42:$E$1040,SUBSTITUTE(SUBSTITUTE(SUBSTITUTE($B424,"~","~~"),"*","~*"),"?","~?"),'DEF_SELF_SCOUT_IMPORT'!$Q$42:$Q$1040,SUBSTITUTE(SUBSTITUTE(SUBSTITUTE($M424,"~","~~"),"*","~*"),"?","~?"),'DEF_SELF_SCOUT_IMPORT'!$G$42:$G$1040,SUBSTITUTE(SUBSTITUTE(SUBSTITUTE($O424,"~","~~"),"*","~*"),"?","~?")))</f>
        <v>16.0</v>
      </c>
      <c r="G424" s="10">
        <f>IF($C424=0,"",COUNTIFS('DEF_SELF_SCOUT_IMPORT'!$L$42:$L$1040,"Y",'DEF_SELF_SCOUT_IMPORT'!$E$42:$E$1040,SUBSTITUTE(SUBSTITUTE(SUBSTITUTE($B424,"~","~~"),"*","~*"),"?","~?"),'DEF_SELF_SCOUT_IMPORT'!$Q$42:$Q$1040,SUBSTITUTE(SUBSTITUTE(SUBSTITUTE($M424,"~","~~"),"*","~*"),"?","~?"),'DEF_SELF_SCOUT_IMPORT'!$G$42:$G$1040,SUBSTITUTE(SUBSTITUTE(SUBSTITUTE($O424,"~","~~"),"*","~*"),"?","~?"),'DEF_SELF_SCOUT_IMPORT'!$H$42:$H$1040,"RUSH")/$C424)</f>
        <v>1.0</v>
      </c>
      <c r="H424" s="10">
        <f>IF($C424=0,"",COUNTIFS('DEF_SELF_SCOUT_IMPORT'!$L$42:$L$1040,"Y",'DEF_SELF_SCOUT_IMPORT'!$E$42:$E$1040,SUBSTITUTE(SUBSTITUTE(SUBSTITUTE($B424,"~","~~"),"*","~*"),"?","~?"),'DEF_SELF_SCOUT_IMPORT'!$Q$42:$Q$1040,SUBSTITUTE(SUBSTITUTE(SUBSTITUTE($M424,"~","~~"),"*","~*"),"?","~?"),'DEF_SELF_SCOUT_IMPORT'!$G$42:$G$1040,SUBSTITUTE(SUBSTITUTE(SUBSTITUTE($O424,"~","~~"),"*","~*"),"?","~?"),'DEF_SELF_SCOUT_IMPORT'!$H$42:$H$1040,"DROPBACK")/$C424)</f>
        <v>0.0</v>
      </c>
      <c r="I424" s="14" t="str">
        <f>IF(C424=0,"",IF(C424&lt;=2,"TRACK",IF(C424=3,"LOW",IF(C424&lt;=6,"MEDIUM","HIGH"))))</f>
        <v>TRACK</v>
      </c>
      <c r="J424" s="11">
        <f>IF(C424=0,"",ROUND(D424*70+(1-E424)*20+MAX(0,MIN(1,(10-F424)/10))*10,1))</f>
        <v>0.0</v>
      </c>
      <c r="K424" s="14" t="str">
        <f>IF(C424=0,"No Evidence",IF(C424&lt;=2,IF(E424&gt;0,"Explosive Alert","Track Only"),IF(C424=3,"Sample Watch",IF(E424&gt;=START_HERE!$B$31,"Explosive Alert",IF(J424&gt;=80,"Strong Candidate",IF(J424&gt;=65,"Good Candidate",IF(J424&gt;=50,"Mixed / Review","Problem Call")))))))</f>
        <v>Explosive Alert</v>
      </c>
      <c r="L424" s="9" t="str">
        <f>IF(COUNTIFS('DEF_SELF_SCOUT_IMPORT'!$L$42:$L$1040,"Y",'DEF_SELF_SCOUT_IMPORT'!$E$42:$E$1040,SUBSTITUTE(SUBSTITUTE(SUBSTITUTE($B424,"~","~~"),"*","~*"),"?","~?"),'DEF_SELF_SCOUT_IMPORT'!$Q$42:$Q$1040,SUBSTITUTE(SUBSTITUTE(SUBSTITUTE($M424,"~","~~"),"*","~*"),"?","~?"),'DEF_SELF_SCOUT_IMPORT'!$G$42:$G$1040,SUBSTITUTE(SUBSTITUTE(SUBSTITUTE($O424,"~","~~"),"*","~*"),"?","~?"),'DEF_SELF_SCOUT_IMPORT'!$J$42:$J$1040,"")&gt;0,"Unscored clean outcome; review result tags before using score.",IF(C424=0,"No matching defensive reps; film confirmation needed.",IF(K424="Explosive Alert","Explosive risk; review clips before using as answer.",IF(C424&lt;=2,"Track only; not enough sample.",IF(C424=3,IF(E424&gt;0,"Sample watch with explosive exposure; review clips and build the sample.",IF(J424&gt;=65,"Good signal, but sample is limited.","Sample watch; review clips and build the sample.")),IF(K424="Problem Call","Problem area; practice or call-sheet review.",IF(K424="Strong Candidate","Strong call-fit candidate; confirm on film.",IF(K424="Good Candidate","Good call-fit signal; confirm on film.","Mixed signal; review fit and execution on film."))))))))</f>
        <v>Explosive risk; review clips before using as answer.</v>
      </c>
      <c r="M424" s="8" t="s">
        <v>39</v>
      </c>
      <c r="N424" s="8"/>
      <c r="O424" s="8" t="s">
        <v>215</v>
      </c>
      <c r="P424" s="8"/>
      <c r="Q424" s="8"/>
      <c r="R424" s="8" t="s">
        <v>28</v>
      </c>
      <c r="S424" s="2" t="s">
        <v>225</v>
      </c>
      <c r="T424" s="2">
        <f>IF(C424=0,0,IF(C424&gt;=CALL_LOOKUP_BOARD!$B$7,IF(OR(K424="Problem Call",K424="Explosive Alert"),10000000,20000000),0)+IF(C424&gt;=CALL_LOOKUP_BOARD!$B$7,J424*1000+MIN(C424,999),C424*1000+J424)+0.00995000)</f>
        <v>1000.00995</v>
      </c>
      <c r="U424" s="2">
        <f>IF(C424=0,"",IF(COUNTIFS($S$375:$S$581,SUBSTITUTE(SUBSTITUTE(SUBSTITUTE(S424,"~","~~"),"*","~*"),"?","~?"),$T$375:$T$581,"&gt;"&amp;T424)=0,S424,""))</f>
        <v/>
      </c>
    </row>
    <row r="425" spans="1:21" ht="38" customHeight="1">
      <c r="A425" s="8" t="s">
        <v>224</v>
      </c>
      <c r="B425" s="8" t="s">
        <v>68</v>
      </c>
      <c r="C425" s="12">
        <f>COUNTIFS('DEF_SELF_SCOUT_IMPORT'!$L$42:$L$1040,"Y",'DEF_SELF_SCOUT_IMPORT'!$E$42:$E$1040,SUBSTITUTE(SUBSTITUTE(SUBSTITUTE($B425,"~","~~"),"*","~*"),"?","~?"),'DEF_SELF_SCOUT_IMPORT'!$Q$42:$Q$1040,SUBSTITUTE(SUBSTITUTE(SUBSTITUTE($M425,"~","~~"),"*","~*"),"?","~?"),'DEF_SELF_SCOUT_IMPORT'!$G$42:$G$1040,SUBSTITUTE(SUBSTITUTE(SUBSTITUTE($O425,"~","~~"),"*","~*"),"?","~?"))</f>
        <v>1</v>
      </c>
      <c r="D425" s="10">
        <f>IF($C425=0,"",SUMIFS('DEF_SELF_SCOUT_IMPORT'!$J$42:$J$1040,'DEF_SELF_SCOUT_IMPORT'!$L$42:$L$1040,"Y",'DEF_SELF_SCOUT_IMPORT'!$E$42:$E$1040,SUBSTITUTE(SUBSTITUTE(SUBSTITUTE($B425,"~","~~"),"*","~*"),"?","~?"),'DEF_SELF_SCOUT_IMPORT'!$Q$42:$Q$1040,SUBSTITUTE(SUBSTITUTE(SUBSTITUTE($M425,"~","~~"),"*","~*"),"?","~?"),'DEF_SELF_SCOUT_IMPORT'!$G$42:$G$1040,SUBSTITUTE(SUBSTITUTE(SUBSTITUTE($O425,"~","~~"),"*","~*"),"?","~?"))/$C425)</f>
        <v>0.0</v>
      </c>
      <c r="E425" s="10">
        <f>IF($C425=0,"",SUMIFS('DEF_SELF_SCOUT_IMPORT'!$K$42:$K$1040,'DEF_SELF_SCOUT_IMPORT'!$L$42:$L$1040,"Y",'DEF_SELF_SCOUT_IMPORT'!$E$42:$E$1040,SUBSTITUTE(SUBSTITUTE(SUBSTITUTE($B425,"~","~~"),"*","~*"),"?","~?"),'DEF_SELF_SCOUT_IMPORT'!$Q$42:$Q$1040,SUBSTITUTE(SUBSTITUTE(SUBSTITUTE($M425,"~","~~"),"*","~*"),"?","~?"),'DEF_SELF_SCOUT_IMPORT'!$G$42:$G$1040,SUBSTITUTE(SUBSTITUTE(SUBSTITUTE($O425,"~","~~"),"*","~*"),"?","~?"))/$C425)</f>
        <v>0.0</v>
      </c>
      <c r="F425" s="11">
        <f>IF($C425=0,"",AVERAGEIFS('DEF_SELF_SCOUT_IMPORT'!$I$42:$I$1040,'DEF_SELF_SCOUT_IMPORT'!$L$42:$L$1040,"Y",'DEF_SELF_SCOUT_IMPORT'!$E$42:$E$1040,SUBSTITUTE(SUBSTITUTE(SUBSTITUTE($B425,"~","~~"),"*","~*"),"?","~?"),'DEF_SELF_SCOUT_IMPORT'!$Q$42:$Q$1040,SUBSTITUTE(SUBSTITUTE(SUBSTITUTE($M425,"~","~~"),"*","~*"),"?","~?"),'DEF_SELF_SCOUT_IMPORT'!$G$42:$G$1040,SUBSTITUTE(SUBSTITUTE(SUBSTITUTE($O425,"~","~~"),"*","~*"),"?","~?")))</f>
        <v>8.0</v>
      </c>
      <c r="G425" s="10">
        <f>IF($C425=0,"",COUNTIFS('DEF_SELF_SCOUT_IMPORT'!$L$42:$L$1040,"Y",'DEF_SELF_SCOUT_IMPORT'!$E$42:$E$1040,SUBSTITUTE(SUBSTITUTE(SUBSTITUTE($B425,"~","~~"),"*","~*"),"?","~?"),'DEF_SELF_SCOUT_IMPORT'!$Q$42:$Q$1040,SUBSTITUTE(SUBSTITUTE(SUBSTITUTE($M425,"~","~~"),"*","~*"),"?","~?"),'DEF_SELF_SCOUT_IMPORT'!$G$42:$G$1040,SUBSTITUTE(SUBSTITUTE(SUBSTITUTE($O425,"~","~~"),"*","~*"),"?","~?"),'DEF_SELF_SCOUT_IMPORT'!$H$42:$H$1040,"RUSH")/$C425)</f>
        <v>0.0</v>
      </c>
      <c r="H425" s="10">
        <f>IF($C425=0,"",COUNTIFS('DEF_SELF_SCOUT_IMPORT'!$L$42:$L$1040,"Y",'DEF_SELF_SCOUT_IMPORT'!$E$42:$E$1040,SUBSTITUTE(SUBSTITUTE(SUBSTITUTE($B425,"~","~~"),"*","~*"),"?","~?"),'DEF_SELF_SCOUT_IMPORT'!$Q$42:$Q$1040,SUBSTITUTE(SUBSTITUTE(SUBSTITUTE($M425,"~","~~"),"*","~*"),"?","~?"),'DEF_SELF_SCOUT_IMPORT'!$G$42:$G$1040,SUBSTITUTE(SUBSTITUTE(SUBSTITUTE($O425,"~","~~"),"*","~*"),"?","~?"),'DEF_SELF_SCOUT_IMPORT'!$H$42:$H$1040,"DROPBACK")/$C425)</f>
        <v>0.0</v>
      </c>
      <c r="I425" s="14" t="str">
        <f>IF(C425=0,"",IF(C425&lt;=2,"TRACK",IF(C425=3,"LOW",IF(C425&lt;=6,"MEDIUM","HIGH"))))</f>
        <v>TRACK</v>
      </c>
      <c r="J425" s="11">
        <f>IF(C425=0,"",ROUND(D425*70+(1-E425)*20+MAX(0,MIN(1,(10-F425)/10))*10,1))</f>
        <v>22.0</v>
      </c>
      <c r="K425" s="14" t="str">
        <f>IF(C425=0,"No Evidence",IF(C425&lt;=2,IF(E425&gt;0,"Explosive Alert","Track Only"),IF(C425=3,"Sample Watch",IF(E425&gt;=START_HERE!$B$31,"Explosive Alert",IF(J425&gt;=80,"Strong Candidate",IF(J425&gt;=65,"Good Candidate",IF(J425&gt;=50,"Mixed / Review","Problem Call")))))))</f>
        <v>Track Only</v>
      </c>
      <c r="L425" s="9" t="str">
        <f>IF(COUNTIFS('DEF_SELF_SCOUT_IMPORT'!$L$42:$L$1040,"Y",'DEF_SELF_SCOUT_IMPORT'!$E$42:$E$1040,SUBSTITUTE(SUBSTITUTE(SUBSTITUTE($B425,"~","~~"),"*","~*"),"?","~?"),'DEF_SELF_SCOUT_IMPORT'!$Q$42:$Q$1040,SUBSTITUTE(SUBSTITUTE(SUBSTITUTE($M425,"~","~~"),"*","~*"),"?","~?"),'DEF_SELF_SCOUT_IMPORT'!$G$42:$G$1040,SUBSTITUTE(SUBSTITUTE(SUBSTITUTE($O425,"~","~~"),"*","~*"),"?","~?"),'DEF_SELF_SCOUT_IMPORT'!$J$42:$J$1040,"")&gt;0,"Unscored clean outcome; review result tags before using score.",IF(C425=0,"No matching defensive reps; film confirmation needed.",IF(K425="Explosive Alert","Explosive risk; review clips before using as answer.",IF(C425&lt;=2,"Track only; not enough sample.",IF(C425=3,IF(E425&gt;0,"Sample watch with explosive exposure; review clips and build the sample.",IF(J425&gt;=65,"Good signal, but sample is limited.","Sample watch; review clips and build the sample.")),IF(K425="Problem Call","Problem area; practice or call-sheet review.",IF(K425="Strong Candidate","Strong call-fit candidate; confirm on film.",IF(K425="Good Candidate","Good call-fit signal; confirm on film.","Mixed signal; review fit and execution on film."))))))))</f>
        <v>Track only; not enough sample.</v>
      </c>
      <c r="M425" s="8" t="s">
        <v>39</v>
      </c>
      <c r="N425" s="8"/>
      <c r="O425" s="8" t="s">
        <v>215</v>
      </c>
      <c r="P425" s="8"/>
      <c r="Q425" s="8"/>
      <c r="R425" s="8" t="s">
        <v>28</v>
      </c>
      <c r="S425" s="2" t="s">
        <v>225</v>
      </c>
      <c r="T425" s="2">
        <f>IF(C425=0,0,IF(C425&gt;=CALL_LOOKUP_BOARD!$B$7,IF(OR(K425="Problem Call",K425="Explosive Alert"),10000000,20000000),0)+IF(C425&gt;=CALL_LOOKUP_BOARD!$B$7,J425*1000+MIN(C425,999),C425*1000+J425)+0.00994900)</f>
        <v>1022.009949</v>
      </c>
      <c r="U425" s="2" t="str">
        <f>IF(C425=0,"",IF(COUNTIFS($S$375:$S$581,SUBSTITUTE(SUBSTITUTE(SUBSTITUTE(S425,"~","~~"),"*","~*"),"?","~?"),$T$375:$T$581,"&gt;"&amp;T425)=0,S425,""))</f>
        <v>7:1D 7-10|3:4X1|</v>
      </c>
    </row>
    <row r="426" spans="1:21" ht="38" customHeight="1">
      <c r="A426" s="8" t="s">
        <v>226</v>
      </c>
      <c r="B426" s="8" t="s">
        <v>30</v>
      </c>
      <c r="C426" s="12">
        <f>COUNTIFS('DEF_SELF_SCOUT_IMPORT'!$L$42:$L$1040,"Y",'DEF_SELF_SCOUT_IMPORT'!$E$42:$E$1040,SUBSTITUTE(SUBSTITUTE(SUBSTITUTE($B426,"~","~~"),"*","~*"),"?","~?"),'DEF_SELF_SCOUT_IMPORT'!$Q$42:$Q$1040,SUBSTITUTE(SUBSTITUTE(SUBSTITUTE($M426,"~","~~"),"*","~*"),"?","~?"),'DEF_SELF_SCOUT_IMPORT'!$G$42:$G$1040,SUBSTITUTE(SUBSTITUTE(SUBSTITUTE($O426,"~","~~"),"*","~*"),"?","~?"))</f>
        <v>2</v>
      </c>
      <c r="D426" s="10">
        <f>IF($C426=0,"",SUMIFS('DEF_SELF_SCOUT_IMPORT'!$J$42:$J$1040,'DEF_SELF_SCOUT_IMPORT'!$L$42:$L$1040,"Y",'DEF_SELF_SCOUT_IMPORT'!$E$42:$E$1040,SUBSTITUTE(SUBSTITUTE(SUBSTITUTE($B426,"~","~~"),"*","~*"),"?","~?"),'DEF_SELF_SCOUT_IMPORT'!$Q$42:$Q$1040,SUBSTITUTE(SUBSTITUTE(SUBSTITUTE($M426,"~","~~"),"*","~*"),"?","~?"),'DEF_SELF_SCOUT_IMPORT'!$G$42:$G$1040,SUBSTITUTE(SUBSTITUTE(SUBSTITUTE($O426,"~","~~"),"*","~*"),"?","~?"))/$C426)</f>
        <v>0.5</v>
      </c>
      <c r="E426" s="10">
        <f>IF($C426=0,"",SUMIFS('DEF_SELF_SCOUT_IMPORT'!$K$42:$K$1040,'DEF_SELF_SCOUT_IMPORT'!$L$42:$L$1040,"Y",'DEF_SELF_SCOUT_IMPORT'!$E$42:$E$1040,SUBSTITUTE(SUBSTITUTE(SUBSTITUTE($B426,"~","~~"),"*","~*"),"?","~?"),'DEF_SELF_SCOUT_IMPORT'!$Q$42:$Q$1040,SUBSTITUTE(SUBSTITUTE(SUBSTITUTE($M426,"~","~~"),"*","~*"),"?","~?"),'DEF_SELF_SCOUT_IMPORT'!$G$42:$G$1040,SUBSTITUTE(SUBSTITUTE(SUBSTITUTE($O426,"~","~~"),"*","~*"),"?","~?"))/$C426)</f>
        <v>0.0</v>
      </c>
      <c r="F426" s="11">
        <f>IF($C426=0,"",AVERAGEIFS('DEF_SELF_SCOUT_IMPORT'!$I$42:$I$1040,'DEF_SELF_SCOUT_IMPORT'!$L$42:$L$1040,"Y",'DEF_SELF_SCOUT_IMPORT'!$E$42:$E$1040,SUBSTITUTE(SUBSTITUTE(SUBSTITUTE($B426,"~","~~"),"*","~*"),"?","~?"),'DEF_SELF_SCOUT_IMPORT'!$Q$42:$Q$1040,SUBSTITUTE(SUBSTITUTE(SUBSTITUTE($M426,"~","~~"),"*","~*"),"?","~?"),'DEF_SELF_SCOUT_IMPORT'!$G$42:$G$1040,SUBSTITUTE(SUBSTITUTE(SUBSTITUTE($O426,"~","~~"),"*","~*"),"?","~?")))</f>
        <v>1.5</v>
      </c>
      <c r="G426" s="10">
        <f>IF($C426=0,"",COUNTIFS('DEF_SELF_SCOUT_IMPORT'!$L$42:$L$1040,"Y",'DEF_SELF_SCOUT_IMPORT'!$E$42:$E$1040,SUBSTITUTE(SUBSTITUTE(SUBSTITUTE($B426,"~","~~"),"*","~*"),"?","~?"),'DEF_SELF_SCOUT_IMPORT'!$Q$42:$Q$1040,SUBSTITUTE(SUBSTITUTE(SUBSTITUTE($M426,"~","~~"),"*","~*"),"?","~?"),'DEF_SELF_SCOUT_IMPORT'!$G$42:$G$1040,SUBSTITUTE(SUBSTITUTE(SUBSTITUTE($O426,"~","~~"),"*","~*"),"?","~?"),'DEF_SELF_SCOUT_IMPORT'!$H$42:$H$1040,"RUSH")/$C426)</f>
        <v>0.5</v>
      </c>
      <c r="H426" s="10">
        <f>IF($C426=0,"",COUNTIFS('DEF_SELF_SCOUT_IMPORT'!$L$42:$L$1040,"Y",'DEF_SELF_SCOUT_IMPORT'!$E$42:$E$1040,SUBSTITUTE(SUBSTITUTE(SUBSTITUTE($B426,"~","~~"),"*","~*"),"?","~?"),'DEF_SELF_SCOUT_IMPORT'!$Q$42:$Q$1040,SUBSTITUTE(SUBSTITUTE(SUBSTITUTE($M426,"~","~~"),"*","~*"),"?","~?"),'DEF_SELF_SCOUT_IMPORT'!$G$42:$G$1040,SUBSTITUTE(SUBSTITUTE(SUBSTITUTE($O426,"~","~~"),"*","~*"),"?","~?"),'DEF_SELF_SCOUT_IMPORT'!$H$42:$H$1040,"DROPBACK")/$C426)</f>
        <v>0.0</v>
      </c>
      <c r="I426" s="14" t="str">
        <f>IF(C426=0,"",IF(C426&lt;=2,"TRACK",IF(C426=3,"LOW",IF(C426&lt;=6,"MEDIUM","HIGH"))))</f>
        <v>TRACK</v>
      </c>
      <c r="J426" s="11">
        <f>IF(C426=0,"",ROUND(D426*70+(1-E426)*20+MAX(0,MIN(1,(10-F426)/10))*10,1))</f>
        <v>63.5</v>
      </c>
      <c r="K426" s="14" t="str">
        <f>IF(C426=0,"No Evidence",IF(C426&lt;=2,IF(E426&gt;0,"Explosive Alert","Track Only"),IF(C426=3,"Sample Watch",IF(E426&gt;=START_HERE!$B$31,"Explosive Alert",IF(J426&gt;=80,"Strong Candidate",IF(J426&gt;=65,"Good Candidate",IF(J426&gt;=50,"Mixed / Review","Problem Call")))))))</f>
        <v>Track Only</v>
      </c>
      <c r="L426" s="9" t="str">
        <f>IF(COUNTIFS('DEF_SELF_SCOUT_IMPORT'!$L$42:$L$1040,"Y",'DEF_SELF_SCOUT_IMPORT'!$E$42:$E$1040,SUBSTITUTE(SUBSTITUTE(SUBSTITUTE($B426,"~","~~"),"*","~*"),"?","~?"),'DEF_SELF_SCOUT_IMPORT'!$Q$42:$Q$1040,SUBSTITUTE(SUBSTITUTE(SUBSTITUTE($M426,"~","~~"),"*","~*"),"?","~?"),'DEF_SELF_SCOUT_IMPORT'!$G$42:$G$1040,SUBSTITUTE(SUBSTITUTE(SUBSTITUTE($O426,"~","~~"),"*","~*"),"?","~?"),'DEF_SELF_SCOUT_IMPORT'!$J$42:$J$1040,"")&gt;0,"Unscored clean outcome; review result tags before using score.",IF(C426=0,"No matching defensive reps; film confirmation needed.",IF(K426="Explosive Alert","Explosive risk; review clips before using as answer.",IF(C426&lt;=2,"Track only; not enough sample.",IF(C426=3,IF(E426&gt;0,"Sample watch with explosive exposure; review clips and build the sample.",IF(J426&gt;=65,"Good signal, but sample is limited.","Sample watch; review clips and build the sample.")),IF(K426="Problem Call","Problem area; practice or call-sheet review.",IF(K426="Strong Candidate","Strong call-fit candidate; confirm on film.",IF(K426="Good Candidate","Good call-fit signal; confirm on film.","Mixed signal; review fit and execution on film."))))))))</f>
        <v>Track only; not enough sample.</v>
      </c>
      <c r="M426" s="8" t="s">
        <v>70</v>
      </c>
      <c r="N426" s="8"/>
      <c r="O426" s="8" t="s">
        <v>203</v>
      </c>
      <c r="P426" s="8"/>
      <c r="Q426" s="8"/>
      <c r="R426" s="8" t="s">
        <v>28</v>
      </c>
      <c r="S426" s="2" t="s">
        <v>227</v>
      </c>
      <c r="T426" s="2">
        <f>IF(C426=0,0,IF(C426&gt;=CALL_LOOKUP_BOARD!$B$7,IF(OR(K426="Problem Call",K426="Explosive Alert"),10000000,20000000),0)+IF(C426&gt;=CALL_LOOKUP_BOARD!$B$7,J426*1000+MIN(C426,999),C426*1000+J426)+0.00994800)</f>
        <v>2063.509948</v>
      </c>
      <c r="U426" s="2" t="str">
        <f>IF(C426=0,"",IF(COUNTIFS($S$375:$S$581,SUBSTITUTE(SUBSTITUTE(SUBSTITUTE(S426,"~","~~"),"*","~*"),"?","~?"),$T$375:$T$581,"&gt;"&amp;T426)=0,S426,""))</f>
        <v>6:2D 1-3|3:2X2|</v>
      </c>
    </row>
    <row r="427" spans="1:21" ht="38" customHeight="1">
      <c r="A427" s="8" t="s">
        <v>226</v>
      </c>
      <c r="B427" s="8" t="s">
        <v>72</v>
      </c>
      <c r="C427" s="12">
        <f>COUNTIFS('DEF_SELF_SCOUT_IMPORT'!$L$42:$L$1040,"Y",'DEF_SELF_SCOUT_IMPORT'!$E$42:$E$1040,SUBSTITUTE(SUBSTITUTE(SUBSTITUTE($B427,"~","~~"),"*","~*"),"?","~?"),'DEF_SELF_SCOUT_IMPORT'!$Q$42:$Q$1040,SUBSTITUTE(SUBSTITUTE(SUBSTITUTE($M427,"~","~~"),"*","~*"),"?","~?"),'DEF_SELF_SCOUT_IMPORT'!$G$42:$G$1040,SUBSTITUTE(SUBSTITUTE(SUBSTITUTE($O427,"~","~~"),"*","~*"),"?","~?"))</f>
        <v>1</v>
      </c>
      <c r="D427" s="10">
        <f>IF($C427=0,"",SUMIFS('DEF_SELF_SCOUT_IMPORT'!$J$42:$J$1040,'DEF_SELF_SCOUT_IMPORT'!$L$42:$L$1040,"Y",'DEF_SELF_SCOUT_IMPORT'!$E$42:$E$1040,SUBSTITUTE(SUBSTITUTE(SUBSTITUTE($B427,"~","~~"),"*","~*"),"?","~?"),'DEF_SELF_SCOUT_IMPORT'!$Q$42:$Q$1040,SUBSTITUTE(SUBSTITUTE(SUBSTITUTE($M427,"~","~~"),"*","~*"),"?","~?"),'DEF_SELF_SCOUT_IMPORT'!$G$42:$G$1040,SUBSTITUTE(SUBSTITUTE(SUBSTITUTE($O427,"~","~~"),"*","~*"),"?","~?"))/$C427)</f>
        <v>0.0</v>
      </c>
      <c r="E427" s="10">
        <f>IF($C427=0,"",SUMIFS('DEF_SELF_SCOUT_IMPORT'!$K$42:$K$1040,'DEF_SELF_SCOUT_IMPORT'!$L$42:$L$1040,"Y",'DEF_SELF_SCOUT_IMPORT'!$E$42:$E$1040,SUBSTITUTE(SUBSTITUTE(SUBSTITUTE($B427,"~","~~"),"*","~*"),"?","~?"),'DEF_SELF_SCOUT_IMPORT'!$Q$42:$Q$1040,SUBSTITUTE(SUBSTITUTE(SUBSTITUTE($M427,"~","~~"),"*","~*"),"?","~?"),'DEF_SELF_SCOUT_IMPORT'!$G$42:$G$1040,SUBSTITUTE(SUBSTITUTE(SUBSTITUTE($O427,"~","~~"),"*","~*"),"?","~?"))/$C427)</f>
        <v>0.0</v>
      </c>
      <c r="F427" s="11">
        <f>IF($C427=0,"",AVERAGEIFS('DEF_SELF_SCOUT_IMPORT'!$I$42:$I$1040,'DEF_SELF_SCOUT_IMPORT'!$L$42:$L$1040,"Y",'DEF_SELF_SCOUT_IMPORT'!$E$42:$E$1040,SUBSTITUTE(SUBSTITUTE(SUBSTITUTE($B427,"~","~~"),"*","~*"),"?","~?"),'DEF_SELF_SCOUT_IMPORT'!$Q$42:$Q$1040,SUBSTITUTE(SUBSTITUTE(SUBSTITUTE($M427,"~","~~"),"*","~*"),"?","~?"),'DEF_SELF_SCOUT_IMPORT'!$G$42:$G$1040,SUBSTITUTE(SUBSTITUTE(SUBSTITUTE($O427,"~","~~"),"*","~*"),"?","~?")))</f>
        <v>9.0</v>
      </c>
      <c r="G427" s="10">
        <f>IF($C427=0,"",COUNTIFS('DEF_SELF_SCOUT_IMPORT'!$L$42:$L$1040,"Y",'DEF_SELF_SCOUT_IMPORT'!$E$42:$E$1040,SUBSTITUTE(SUBSTITUTE(SUBSTITUTE($B427,"~","~~"),"*","~*"),"?","~?"),'DEF_SELF_SCOUT_IMPORT'!$Q$42:$Q$1040,SUBSTITUTE(SUBSTITUTE(SUBSTITUTE($M427,"~","~~"),"*","~*"),"?","~?"),'DEF_SELF_SCOUT_IMPORT'!$G$42:$G$1040,SUBSTITUTE(SUBSTITUTE(SUBSTITUTE($O427,"~","~~"),"*","~*"),"?","~?"),'DEF_SELF_SCOUT_IMPORT'!$H$42:$H$1040,"RUSH")/$C427)</f>
        <v>0.0</v>
      </c>
      <c r="H427" s="10">
        <f>IF($C427=0,"",COUNTIFS('DEF_SELF_SCOUT_IMPORT'!$L$42:$L$1040,"Y",'DEF_SELF_SCOUT_IMPORT'!$E$42:$E$1040,SUBSTITUTE(SUBSTITUTE(SUBSTITUTE($B427,"~","~~"),"*","~*"),"?","~?"),'DEF_SELF_SCOUT_IMPORT'!$Q$42:$Q$1040,SUBSTITUTE(SUBSTITUTE(SUBSTITUTE($M427,"~","~~"),"*","~*"),"?","~?"),'DEF_SELF_SCOUT_IMPORT'!$G$42:$G$1040,SUBSTITUTE(SUBSTITUTE(SUBSTITUTE($O427,"~","~~"),"*","~*"),"?","~?"),'DEF_SELF_SCOUT_IMPORT'!$H$42:$H$1040,"DROPBACK")/$C427)</f>
        <v>1.0</v>
      </c>
      <c r="I427" s="14" t="str">
        <f>IF(C427=0,"",IF(C427&lt;=2,"TRACK",IF(C427=3,"LOW",IF(C427&lt;=6,"MEDIUM","HIGH"))))</f>
        <v>TRACK</v>
      </c>
      <c r="J427" s="11">
        <f>IF(C427=0,"",ROUND(D427*70+(1-E427)*20+MAX(0,MIN(1,(10-F427)/10))*10,1))</f>
        <v>21.0</v>
      </c>
      <c r="K427" s="14" t="str">
        <f>IF(C427=0,"No Evidence",IF(C427&lt;=2,IF(E427&gt;0,"Explosive Alert","Track Only"),IF(C427=3,"Sample Watch",IF(E427&gt;=START_HERE!$B$31,"Explosive Alert",IF(J427&gt;=80,"Strong Candidate",IF(J427&gt;=65,"Good Candidate",IF(J427&gt;=50,"Mixed / Review","Problem Call")))))))</f>
        <v>Track Only</v>
      </c>
      <c r="L427" s="9" t="str">
        <f>IF(COUNTIFS('DEF_SELF_SCOUT_IMPORT'!$L$42:$L$1040,"Y",'DEF_SELF_SCOUT_IMPORT'!$E$42:$E$1040,SUBSTITUTE(SUBSTITUTE(SUBSTITUTE($B427,"~","~~"),"*","~*"),"?","~?"),'DEF_SELF_SCOUT_IMPORT'!$Q$42:$Q$1040,SUBSTITUTE(SUBSTITUTE(SUBSTITUTE($M427,"~","~~"),"*","~*"),"?","~?"),'DEF_SELF_SCOUT_IMPORT'!$G$42:$G$1040,SUBSTITUTE(SUBSTITUTE(SUBSTITUTE($O427,"~","~~"),"*","~*"),"?","~?"),'DEF_SELF_SCOUT_IMPORT'!$J$42:$J$1040,"")&gt;0,"Unscored clean outcome; review result tags before using score.",IF(C427=0,"No matching defensive reps; film confirmation needed.",IF(K427="Explosive Alert","Explosive risk; review clips before using as answer.",IF(C427&lt;=2,"Track only; not enough sample.",IF(C427=3,IF(E427&gt;0,"Sample watch with explosive exposure; review clips and build the sample.",IF(J427&gt;=65,"Good signal, but sample is limited.","Sample watch; review clips and build the sample.")),IF(K427="Problem Call","Problem area; practice or call-sheet review.",IF(K427="Strong Candidate","Strong call-fit candidate; confirm on film.",IF(K427="Good Candidate","Good call-fit signal; confirm on film.","Mixed signal; review fit and execution on film."))))))))</f>
        <v>Track only; not enough sample.</v>
      </c>
      <c r="M427" s="8" t="s">
        <v>70</v>
      </c>
      <c r="N427" s="8"/>
      <c r="O427" s="8" t="s">
        <v>203</v>
      </c>
      <c r="P427" s="8"/>
      <c r="Q427" s="8"/>
      <c r="R427" s="8" t="s">
        <v>28</v>
      </c>
      <c r="S427" s="2" t="s">
        <v>227</v>
      </c>
      <c r="T427" s="2">
        <f>IF(C427=0,0,IF(C427&gt;=CALL_LOOKUP_BOARD!$B$7,IF(OR(K427="Problem Call",K427="Explosive Alert"),10000000,20000000),0)+IF(C427&gt;=CALL_LOOKUP_BOARD!$B$7,J427*1000+MIN(C427,999),C427*1000+J427)+0.00994700)</f>
        <v>1021.009947</v>
      </c>
      <c r="U427" s="2">
        <f>IF(C427=0,"",IF(COUNTIFS($S$375:$S$581,SUBSTITUTE(SUBSTITUTE(SUBSTITUTE(S427,"~","~~"),"*","~*"),"?","~?"),$T$375:$T$581,"&gt;"&amp;T427)=0,S427,""))</f>
        <v/>
      </c>
    </row>
    <row r="428" spans="1:21" ht="38" customHeight="1">
      <c r="A428" s="8" t="s">
        <v>226</v>
      </c>
      <c r="B428" s="8" t="s">
        <v>35</v>
      </c>
      <c r="C428" s="12">
        <f>COUNTIFS('DEF_SELF_SCOUT_IMPORT'!$L$42:$L$1040,"Y",'DEF_SELF_SCOUT_IMPORT'!$E$42:$E$1040,SUBSTITUTE(SUBSTITUTE(SUBSTITUTE($B428,"~","~~"),"*","~*"),"?","~?"),'DEF_SELF_SCOUT_IMPORT'!$Q$42:$Q$1040,SUBSTITUTE(SUBSTITUTE(SUBSTITUTE($M428,"~","~~"),"*","~*"),"?","~?"),'DEF_SELF_SCOUT_IMPORT'!$G$42:$G$1040,SUBSTITUTE(SUBSTITUTE(SUBSTITUTE($O428,"~","~~"),"*","~*"),"?","~?"))</f>
        <v>1</v>
      </c>
      <c r="D428" s="10">
        <f>IF($C428=0,"",SUMIFS('DEF_SELF_SCOUT_IMPORT'!$J$42:$J$1040,'DEF_SELF_SCOUT_IMPORT'!$L$42:$L$1040,"Y",'DEF_SELF_SCOUT_IMPORT'!$E$42:$E$1040,SUBSTITUTE(SUBSTITUTE(SUBSTITUTE($B428,"~","~~"),"*","~*"),"?","~?"),'DEF_SELF_SCOUT_IMPORT'!$Q$42:$Q$1040,SUBSTITUTE(SUBSTITUTE(SUBSTITUTE($M428,"~","~~"),"*","~*"),"?","~?"),'DEF_SELF_SCOUT_IMPORT'!$G$42:$G$1040,SUBSTITUTE(SUBSTITUTE(SUBSTITUTE($O428,"~","~~"),"*","~*"),"?","~?"))/$C428)</f>
        <v>0.0</v>
      </c>
      <c r="E428" s="10">
        <f>IF($C428=0,"",SUMIFS('DEF_SELF_SCOUT_IMPORT'!$K$42:$K$1040,'DEF_SELF_SCOUT_IMPORT'!$L$42:$L$1040,"Y",'DEF_SELF_SCOUT_IMPORT'!$E$42:$E$1040,SUBSTITUTE(SUBSTITUTE(SUBSTITUTE($B428,"~","~~"),"*","~*"),"?","~?"),'DEF_SELF_SCOUT_IMPORT'!$Q$42:$Q$1040,SUBSTITUTE(SUBSTITUTE(SUBSTITUTE($M428,"~","~~"),"*","~*"),"?","~?"),'DEF_SELF_SCOUT_IMPORT'!$G$42:$G$1040,SUBSTITUTE(SUBSTITUTE(SUBSTITUTE($O428,"~","~~"),"*","~*"),"?","~?"))/$C428)</f>
        <v>1.0</v>
      </c>
      <c r="F428" s="11">
        <f>IF($C428=0,"",AVERAGEIFS('DEF_SELF_SCOUT_IMPORT'!$I$42:$I$1040,'DEF_SELF_SCOUT_IMPORT'!$L$42:$L$1040,"Y",'DEF_SELF_SCOUT_IMPORT'!$E$42:$E$1040,SUBSTITUTE(SUBSTITUTE(SUBSTITUTE($B428,"~","~~"),"*","~*"),"?","~?"),'DEF_SELF_SCOUT_IMPORT'!$Q$42:$Q$1040,SUBSTITUTE(SUBSTITUTE(SUBSTITUTE($M428,"~","~~"),"*","~*"),"?","~?"),'DEF_SELF_SCOUT_IMPORT'!$G$42:$G$1040,SUBSTITUTE(SUBSTITUTE(SUBSTITUTE($O428,"~","~~"),"*","~*"),"?","~?")))</f>
        <v>16.0</v>
      </c>
      <c r="G428" s="10">
        <f>IF($C428=0,"",COUNTIFS('DEF_SELF_SCOUT_IMPORT'!$L$42:$L$1040,"Y",'DEF_SELF_SCOUT_IMPORT'!$E$42:$E$1040,SUBSTITUTE(SUBSTITUTE(SUBSTITUTE($B428,"~","~~"),"*","~*"),"?","~?"),'DEF_SELF_SCOUT_IMPORT'!$Q$42:$Q$1040,SUBSTITUTE(SUBSTITUTE(SUBSTITUTE($M428,"~","~~"),"*","~*"),"?","~?"),'DEF_SELF_SCOUT_IMPORT'!$G$42:$G$1040,SUBSTITUTE(SUBSTITUTE(SUBSTITUTE($O428,"~","~~"),"*","~*"),"?","~?"),'DEF_SELF_SCOUT_IMPORT'!$H$42:$H$1040,"RUSH")/$C428)</f>
        <v>1.0</v>
      </c>
      <c r="H428" s="10">
        <f>IF($C428=0,"",COUNTIFS('DEF_SELF_SCOUT_IMPORT'!$L$42:$L$1040,"Y",'DEF_SELF_SCOUT_IMPORT'!$E$42:$E$1040,SUBSTITUTE(SUBSTITUTE(SUBSTITUTE($B428,"~","~~"),"*","~*"),"?","~?"),'DEF_SELF_SCOUT_IMPORT'!$Q$42:$Q$1040,SUBSTITUTE(SUBSTITUTE(SUBSTITUTE($M428,"~","~~"),"*","~*"),"?","~?"),'DEF_SELF_SCOUT_IMPORT'!$G$42:$G$1040,SUBSTITUTE(SUBSTITUTE(SUBSTITUTE($O428,"~","~~"),"*","~*"),"?","~?"),'DEF_SELF_SCOUT_IMPORT'!$H$42:$H$1040,"DROPBACK")/$C428)</f>
        <v>0.0</v>
      </c>
      <c r="I428" s="14" t="str">
        <f>IF(C428=0,"",IF(C428&lt;=2,"TRACK",IF(C428=3,"LOW",IF(C428&lt;=6,"MEDIUM","HIGH"))))</f>
        <v>TRACK</v>
      </c>
      <c r="J428" s="11">
        <f>IF(C428=0,"",ROUND(D428*70+(1-E428)*20+MAX(0,MIN(1,(10-F428)/10))*10,1))</f>
        <v>0.0</v>
      </c>
      <c r="K428" s="14" t="str">
        <f>IF(C428=0,"No Evidence",IF(C428&lt;=2,IF(E428&gt;0,"Explosive Alert","Track Only"),IF(C428=3,"Sample Watch",IF(E428&gt;=START_HERE!$B$31,"Explosive Alert",IF(J428&gt;=80,"Strong Candidate",IF(J428&gt;=65,"Good Candidate",IF(J428&gt;=50,"Mixed / Review","Problem Call")))))))</f>
        <v>Explosive Alert</v>
      </c>
      <c r="L428" s="9" t="str">
        <f>IF(COUNTIFS('DEF_SELF_SCOUT_IMPORT'!$L$42:$L$1040,"Y",'DEF_SELF_SCOUT_IMPORT'!$E$42:$E$1040,SUBSTITUTE(SUBSTITUTE(SUBSTITUTE($B428,"~","~~"),"*","~*"),"?","~?"),'DEF_SELF_SCOUT_IMPORT'!$Q$42:$Q$1040,SUBSTITUTE(SUBSTITUTE(SUBSTITUTE($M428,"~","~~"),"*","~*"),"?","~?"),'DEF_SELF_SCOUT_IMPORT'!$G$42:$G$1040,SUBSTITUTE(SUBSTITUTE(SUBSTITUTE($O428,"~","~~"),"*","~*"),"?","~?"),'DEF_SELF_SCOUT_IMPORT'!$J$42:$J$1040,"")&gt;0,"Unscored clean outcome; review result tags before using score.",IF(C428=0,"No matching defensive reps; film confirmation needed.",IF(K428="Explosive Alert","Explosive risk; review clips before using as answer.",IF(C428&lt;=2,"Track only; not enough sample.",IF(C428=3,IF(E428&gt;0,"Sample watch with explosive exposure; review clips and build the sample.",IF(J428&gt;=65,"Good signal, but sample is limited.","Sample watch; review clips and build the sample.")),IF(K428="Problem Call","Problem area; practice or call-sheet review.",IF(K428="Strong Candidate","Strong call-fit candidate; confirm on film.",IF(K428="Good Candidate","Good call-fit signal; confirm on film.","Mixed signal; review fit and execution on film."))))))))</f>
        <v>Explosive risk; review clips before using as answer.</v>
      </c>
      <c r="M428" s="8" t="s">
        <v>70</v>
      </c>
      <c r="N428" s="8"/>
      <c r="O428" s="8" t="s">
        <v>203</v>
      </c>
      <c r="P428" s="8"/>
      <c r="Q428" s="8"/>
      <c r="R428" s="8" t="s">
        <v>28</v>
      </c>
      <c r="S428" s="2" t="s">
        <v>227</v>
      </c>
      <c r="T428" s="2">
        <f>IF(C428=0,0,IF(C428&gt;=CALL_LOOKUP_BOARD!$B$7,IF(OR(K428="Problem Call",K428="Explosive Alert"),10000000,20000000),0)+IF(C428&gt;=CALL_LOOKUP_BOARD!$B$7,J428*1000+MIN(C428,999),C428*1000+J428)+0.00994600)</f>
        <v>1000.009946</v>
      </c>
      <c r="U428" s="2">
        <f>IF(C428=0,"",IF(COUNTIFS($S$375:$S$581,SUBSTITUTE(SUBSTITUTE(SUBSTITUTE(S428,"~","~~"),"*","~*"),"?","~?"),$T$375:$T$581,"&gt;"&amp;T428)=0,S428,""))</f>
        <v/>
      </c>
    </row>
    <row r="429" spans="1:21" ht="38" customHeight="1">
      <c r="A429" s="8" t="s">
        <v>226</v>
      </c>
      <c r="B429" s="8" t="s">
        <v>75</v>
      </c>
      <c r="C429" s="12">
        <f>COUNTIFS('DEF_SELF_SCOUT_IMPORT'!$L$42:$L$1040,"Y",'DEF_SELF_SCOUT_IMPORT'!$E$42:$E$1040,SUBSTITUTE(SUBSTITUTE(SUBSTITUTE($B429,"~","~~"),"*","~*"),"?","~?"),'DEF_SELF_SCOUT_IMPORT'!$Q$42:$Q$1040,SUBSTITUTE(SUBSTITUTE(SUBSTITUTE($M429,"~","~~"),"*","~*"),"?","~?"),'DEF_SELF_SCOUT_IMPORT'!$G$42:$G$1040,SUBSTITUTE(SUBSTITUTE(SUBSTITUTE($O429,"~","~~"),"*","~*"),"?","~?"))</f>
        <v>1</v>
      </c>
      <c r="D429" s="10">
        <f>IF($C429=0,"",SUMIFS('DEF_SELF_SCOUT_IMPORT'!$J$42:$J$1040,'DEF_SELF_SCOUT_IMPORT'!$L$42:$L$1040,"Y",'DEF_SELF_SCOUT_IMPORT'!$E$42:$E$1040,SUBSTITUTE(SUBSTITUTE(SUBSTITUTE($B429,"~","~~"),"*","~*"),"?","~?"),'DEF_SELF_SCOUT_IMPORT'!$Q$42:$Q$1040,SUBSTITUTE(SUBSTITUTE(SUBSTITUTE($M429,"~","~~"),"*","~*"),"?","~?"),'DEF_SELF_SCOUT_IMPORT'!$G$42:$G$1040,SUBSTITUTE(SUBSTITUTE(SUBSTITUTE($O429,"~","~~"),"*","~*"),"?","~?"))/$C429)</f>
        <v>1.0</v>
      </c>
      <c r="E429" s="10">
        <f>IF($C429=0,"",SUMIFS('DEF_SELF_SCOUT_IMPORT'!$K$42:$K$1040,'DEF_SELF_SCOUT_IMPORT'!$L$42:$L$1040,"Y",'DEF_SELF_SCOUT_IMPORT'!$E$42:$E$1040,SUBSTITUTE(SUBSTITUTE(SUBSTITUTE($B429,"~","~~"),"*","~*"),"?","~?"),'DEF_SELF_SCOUT_IMPORT'!$Q$42:$Q$1040,SUBSTITUTE(SUBSTITUTE(SUBSTITUTE($M429,"~","~~"),"*","~*"),"?","~?"),'DEF_SELF_SCOUT_IMPORT'!$G$42:$G$1040,SUBSTITUTE(SUBSTITUTE(SUBSTITUTE($O429,"~","~~"),"*","~*"),"?","~?"))/$C429)</f>
        <v>0.0</v>
      </c>
      <c r="F429" s="11">
        <f>IF($C429=0,"",AVERAGEIFS('DEF_SELF_SCOUT_IMPORT'!$I$42:$I$1040,'DEF_SELF_SCOUT_IMPORT'!$L$42:$L$1040,"Y",'DEF_SELF_SCOUT_IMPORT'!$E$42:$E$1040,SUBSTITUTE(SUBSTITUTE(SUBSTITUTE($B429,"~","~~"),"*","~*"),"?","~?"),'DEF_SELF_SCOUT_IMPORT'!$Q$42:$Q$1040,SUBSTITUTE(SUBSTITUTE(SUBSTITUTE($M429,"~","~~"),"*","~*"),"?","~?"),'DEF_SELF_SCOUT_IMPORT'!$G$42:$G$1040,SUBSTITUTE(SUBSTITUTE(SUBSTITUTE($O429,"~","~~"),"*","~*"),"?","~?")))</f>
        <v>1.0</v>
      </c>
      <c r="G429" s="10">
        <f>IF($C429=0,"",COUNTIFS('DEF_SELF_SCOUT_IMPORT'!$L$42:$L$1040,"Y",'DEF_SELF_SCOUT_IMPORT'!$E$42:$E$1040,SUBSTITUTE(SUBSTITUTE(SUBSTITUTE($B429,"~","~~"),"*","~*"),"?","~?"),'DEF_SELF_SCOUT_IMPORT'!$Q$42:$Q$1040,SUBSTITUTE(SUBSTITUTE(SUBSTITUTE($M429,"~","~~"),"*","~*"),"?","~?"),'DEF_SELF_SCOUT_IMPORT'!$G$42:$G$1040,SUBSTITUTE(SUBSTITUTE(SUBSTITUTE($O429,"~","~~"),"*","~*"),"?","~?"),'DEF_SELF_SCOUT_IMPORT'!$H$42:$H$1040,"RUSH")/$C429)</f>
        <v>1.0</v>
      </c>
      <c r="H429" s="10">
        <f>IF($C429=0,"",COUNTIFS('DEF_SELF_SCOUT_IMPORT'!$L$42:$L$1040,"Y",'DEF_SELF_SCOUT_IMPORT'!$E$42:$E$1040,SUBSTITUTE(SUBSTITUTE(SUBSTITUTE($B429,"~","~~"),"*","~*"),"?","~?"),'DEF_SELF_SCOUT_IMPORT'!$Q$42:$Q$1040,SUBSTITUTE(SUBSTITUTE(SUBSTITUTE($M429,"~","~~"),"*","~*"),"?","~?"),'DEF_SELF_SCOUT_IMPORT'!$G$42:$G$1040,SUBSTITUTE(SUBSTITUTE(SUBSTITUTE($O429,"~","~~"),"*","~*"),"?","~?"),'DEF_SELF_SCOUT_IMPORT'!$H$42:$H$1040,"DROPBACK")/$C429)</f>
        <v>0.0</v>
      </c>
      <c r="I429" s="14" t="str">
        <f>IF(C429=0,"",IF(C429&lt;=2,"TRACK",IF(C429=3,"LOW",IF(C429&lt;=6,"MEDIUM","HIGH"))))</f>
        <v>TRACK</v>
      </c>
      <c r="J429" s="11">
        <f>IF(C429=0,"",ROUND(D429*70+(1-E429)*20+MAX(0,MIN(1,(10-F429)/10))*10,1))</f>
        <v>99.0</v>
      </c>
      <c r="K429" s="14" t="str">
        <f>IF(C429=0,"No Evidence",IF(C429&lt;=2,IF(E429&gt;0,"Explosive Alert","Track Only"),IF(C429=3,"Sample Watch",IF(E429&gt;=START_HERE!$B$31,"Explosive Alert",IF(J429&gt;=80,"Strong Candidate",IF(J429&gt;=65,"Good Candidate",IF(J429&gt;=50,"Mixed / Review","Problem Call")))))))</f>
        <v>Track Only</v>
      </c>
      <c r="L429" s="9" t="str">
        <f>IF(COUNTIFS('DEF_SELF_SCOUT_IMPORT'!$L$42:$L$1040,"Y",'DEF_SELF_SCOUT_IMPORT'!$E$42:$E$1040,SUBSTITUTE(SUBSTITUTE(SUBSTITUTE($B429,"~","~~"),"*","~*"),"?","~?"),'DEF_SELF_SCOUT_IMPORT'!$Q$42:$Q$1040,SUBSTITUTE(SUBSTITUTE(SUBSTITUTE($M429,"~","~~"),"*","~*"),"?","~?"),'DEF_SELF_SCOUT_IMPORT'!$G$42:$G$1040,SUBSTITUTE(SUBSTITUTE(SUBSTITUTE($O429,"~","~~"),"*","~*"),"?","~?"),'DEF_SELF_SCOUT_IMPORT'!$J$42:$J$1040,"")&gt;0,"Unscored clean outcome; review result tags before using score.",IF(C429=0,"No matching defensive reps; film confirmation needed.",IF(K429="Explosive Alert","Explosive risk; review clips before using as answer.",IF(C429&lt;=2,"Track only; not enough sample.",IF(C429=3,IF(E429&gt;0,"Sample watch with explosive exposure; review clips and build the sample.",IF(J429&gt;=65,"Good signal, but sample is limited.","Sample watch; review clips and build the sample.")),IF(K429="Problem Call","Problem area; practice or call-sheet review.",IF(K429="Strong Candidate","Strong call-fit candidate; confirm on film.",IF(K429="Good Candidate","Good call-fit signal; confirm on film.","Mixed signal; review fit and execution on film."))))))))</f>
        <v>Track only; not enough sample.</v>
      </c>
      <c r="M429" s="8" t="s">
        <v>70</v>
      </c>
      <c r="N429" s="8"/>
      <c r="O429" s="8" t="s">
        <v>203</v>
      </c>
      <c r="P429" s="8"/>
      <c r="Q429" s="8"/>
      <c r="R429" s="8" t="s">
        <v>28</v>
      </c>
      <c r="S429" s="2" t="s">
        <v>227</v>
      </c>
      <c r="T429" s="2">
        <f>IF(C429=0,0,IF(C429&gt;=CALL_LOOKUP_BOARD!$B$7,IF(OR(K429="Problem Call",K429="Explosive Alert"),10000000,20000000),0)+IF(C429&gt;=CALL_LOOKUP_BOARD!$B$7,J429*1000+MIN(C429,999),C429*1000+J429)+0.00994500)</f>
        <v>1099.009945</v>
      </c>
      <c r="U429" s="2">
        <f>IF(C429=0,"",IF(COUNTIFS($S$375:$S$581,SUBSTITUTE(SUBSTITUTE(SUBSTITUTE(S429,"~","~~"),"*","~*"),"?","~?"),$T$375:$T$581,"&gt;"&amp;T429)=0,S429,""))</f>
        <v/>
      </c>
    </row>
    <row r="430" spans="1:21" ht="38" customHeight="1">
      <c r="A430" s="8" t="s">
        <v>228</v>
      </c>
      <c r="B430" s="8" t="s">
        <v>27</v>
      </c>
      <c r="C430" s="12">
        <f>COUNTIFS('DEF_SELF_SCOUT_IMPORT'!$L$42:$L$1040,"Y",'DEF_SELF_SCOUT_IMPORT'!$E$42:$E$1040,SUBSTITUTE(SUBSTITUTE(SUBSTITUTE($B430,"~","~~"),"*","~*"),"?","~?"),'DEF_SELF_SCOUT_IMPORT'!$Q$42:$Q$1040,SUBSTITUTE(SUBSTITUTE(SUBSTITUTE($M430,"~","~~"),"*","~*"),"?","~?"),'DEF_SELF_SCOUT_IMPORT'!$G$42:$G$1040,SUBSTITUTE(SUBSTITUTE(SUBSTITUTE($O430,"~","~~"),"*","~*"),"?","~?"))</f>
        <v>1</v>
      </c>
      <c r="D430" s="10">
        <f>IF($C430=0,"",SUMIFS('DEF_SELF_SCOUT_IMPORT'!$J$42:$J$1040,'DEF_SELF_SCOUT_IMPORT'!$L$42:$L$1040,"Y",'DEF_SELF_SCOUT_IMPORT'!$E$42:$E$1040,SUBSTITUTE(SUBSTITUTE(SUBSTITUTE($B430,"~","~~"),"*","~*"),"?","~?"),'DEF_SELF_SCOUT_IMPORT'!$Q$42:$Q$1040,SUBSTITUTE(SUBSTITUTE(SUBSTITUTE($M430,"~","~~"),"*","~*"),"?","~?"),'DEF_SELF_SCOUT_IMPORT'!$G$42:$G$1040,SUBSTITUTE(SUBSTITUTE(SUBSTITUTE($O430,"~","~~"),"*","~*"),"?","~?"))/$C430)</f>
        <v>0.0</v>
      </c>
      <c r="E430" s="10">
        <f>IF($C430=0,"",SUMIFS('DEF_SELF_SCOUT_IMPORT'!$K$42:$K$1040,'DEF_SELF_SCOUT_IMPORT'!$L$42:$L$1040,"Y",'DEF_SELF_SCOUT_IMPORT'!$E$42:$E$1040,SUBSTITUTE(SUBSTITUTE(SUBSTITUTE($B430,"~","~~"),"*","~*"),"?","~?"),'DEF_SELF_SCOUT_IMPORT'!$Q$42:$Q$1040,SUBSTITUTE(SUBSTITUTE(SUBSTITUTE($M430,"~","~~"),"*","~*"),"?","~?"),'DEF_SELF_SCOUT_IMPORT'!$G$42:$G$1040,SUBSTITUTE(SUBSTITUTE(SUBSTITUTE($O430,"~","~~"),"*","~*"),"?","~?"))/$C430)</f>
        <v>0.0</v>
      </c>
      <c r="F430" s="11">
        <f>IF($C430=0,"",AVERAGEIFS('DEF_SELF_SCOUT_IMPORT'!$I$42:$I$1040,'DEF_SELF_SCOUT_IMPORT'!$L$42:$L$1040,"Y",'DEF_SELF_SCOUT_IMPORT'!$E$42:$E$1040,SUBSTITUTE(SUBSTITUTE(SUBSTITUTE($B430,"~","~~"),"*","~*"),"?","~?"),'DEF_SELF_SCOUT_IMPORT'!$Q$42:$Q$1040,SUBSTITUTE(SUBSTITUTE(SUBSTITUTE($M430,"~","~~"),"*","~*"),"?","~?"),'DEF_SELF_SCOUT_IMPORT'!$G$42:$G$1040,SUBSTITUTE(SUBSTITUTE(SUBSTITUTE($O430,"~","~~"),"*","~*"),"?","~?")))</f>
        <v>1.0</v>
      </c>
      <c r="G430" s="10">
        <f>IF($C430=0,"",COUNTIFS('DEF_SELF_SCOUT_IMPORT'!$L$42:$L$1040,"Y",'DEF_SELF_SCOUT_IMPORT'!$E$42:$E$1040,SUBSTITUTE(SUBSTITUTE(SUBSTITUTE($B430,"~","~~"),"*","~*"),"?","~?"),'DEF_SELF_SCOUT_IMPORT'!$Q$42:$Q$1040,SUBSTITUTE(SUBSTITUTE(SUBSTITUTE($M430,"~","~~"),"*","~*"),"?","~?"),'DEF_SELF_SCOUT_IMPORT'!$G$42:$G$1040,SUBSTITUTE(SUBSTITUTE(SUBSTITUTE($O430,"~","~~"),"*","~*"),"?","~?"),'DEF_SELF_SCOUT_IMPORT'!$H$42:$H$1040,"RUSH")/$C430)</f>
        <v>0.0</v>
      </c>
      <c r="H430" s="10">
        <f>IF($C430=0,"",COUNTIFS('DEF_SELF_SCOUT_IMPORT'!$L$42:$L$1040,"Y",'DEF_SELF_SCOUT_IMPORT'!$E$42:$E$1040,SUBSTITUTE(SUBSTITUTE(SUBSTITUTE($B430,"~","~~"),"*","~*"),"?","~?"),'DEF_SELF_SCOUT_IMPORT'!$Q$42:$Q$1040,SUBSTITUTE(SUBSTITUTE(SUBSTITUTE($M430,"~","~~"),"*","~*"),"?","~?"),'DEF_SELF_SCOUT_IMPORT'!$G$42:$G$1040,SUBSTITUTE(SUBSTITUTE(SUBSTITUTE($O430,"~","~~"),"*","~*"),"?","~?"),'DEF_SELF_SCOUT_IMPORT'!$H$42:$H$1040,"DROPBACK")/$C430)</f>
        <v>0.0</v>
      </c>
      <c r="I430" s="14" t="str">
        <f>IF(C430=0,"",IF(C430&lt;=2,"TRACK",IF(C430=3,"LOW",IF(C430&lt;=6,"MEDIUM","HIGH"))))</f>
        <v>TRACK</v>
      </c>
      <c r="J430" s="11">
        <f>IF(C430=0,"",ROUND(D430*70+(1-E430)*20+MAX(0,MIN(1,(10-F430)/10))*10,1))</f>
        <v>29.0</v>
      </c>
      <c r="K430" s="14" t="str">
        <f>IF(C430=0,"No Evidence",IF(C430&lt;=2,IF(E430&gt;0,"Explosive Alert","Track Only"),IF(C430=3,"Sample Watch",IF(E430&gt;=START_HERE!$B$31,"Explosive Alert",IF(J430&gt;=80,"Strong Candidate",IF(J430&gt;=65,"Good Candidate",IF(J430&gt;=50,"Mixed / Review","Problem Call")))))))</f>
        <v>Track Only</v>
      </c>
      <c r="L430" s="9" t="str">
        <f>IF(COUNTIFS('DEF_SELF_SCOUT_IMPORT'!$L$42:$L$1040,"Y",'DEF_SELF_SCOUT_IMPORT'!$E$42:$E$1040,SUBSTITUTE(SUBSTITUTE(SUBSTITUTE($B430,"~","~~"),"*","~*"),"?","~?"),'DEF_SELF_SCOUT_IMPORT'!$Q$42:$Q$1040,SUBSTITUTE(SUBSTITUTE(SUBSTITUTE($M430,"~","~~"),"*","~*"),"?","~?"),'DEF_SELF_SCOUT_IMPORT'!$G$42:$G$1040,SUBSTITUTE(SUBSTITUTE(SUBSTITUTE($O430,"~","~~"),"*","~*"),"?","~?"),'DEF_SELF_SCOUT_IMPORT'!$J$42:$J$1040,"")&gt;0,"Unscored clean outcome; review result tags before using score.",IF(C430=0,"No matching defensive reps; film confirmation needed.",IF(K430="Explosive Alert","Explosive risk; review clips before using as answer.",IF(C430&lt;=2,"Track only; not enough sample.",IF(C430=3,IF(E430&gt;0,"Sample watch with explosive exposure; review clips and build the sample.",IF(J430&gt;=65,"Good signal, but sample is limited.","Sample watch; review clips and build the sample.")),IF(K430="Problem Call","Problem area; practice or call-sheet review.",IF(K430="Strong Candidate","Strong call-fit candidate; confirm on film.",IF(K430="Good Candidate","Good call-fit signal; confirm on film.","Mixed signal; review fit and execution on film."))))))))</f>
        <v>Track only; not enough sample.</v>
      </c>
      <c r="M430" s="8" t="s">
        <v>70</v>
      </c>
      <c r="N430" s="8"/>
      <c r="O430" s="8" t="s">
        <v>206</v>
      </c>
      <c r="P430" s="8"/>
      <c r="Q430" s="8"/>
      <c r="R430" s="8" t="s">
        <v>28</v>
      </c>
      <c r="S430" s="2" t="s">
        <v>229</v>
      </c>
      <c r="T430" s="2">
        <f>IF(C430=0,0,IF(C430&gt;=CALL_LOOKUP_BOARD!$B$7,IF(OR(K430="Problem Call",K430="Explosive Alert"),10000000,20000000),0)+IF(C430&gt;=CALL_LOOKUP_BOARD!$B$7,J430*1000+MIN(C430,999),C430*1000+J430)+0.00994400)</f>
        <v>1029.009944</v>
      </c>
      <c r="U430" s="2">
        <f>IF(C430=0,"",IF(COUNTIFS($S$375:$S$581,SUBSTITUTE(SUBSTITUTE(SUBSTITUTE(S430,"~","~~"),"*","~*"),"?","~?"),$T$375:$T$581,"&gt;"&amp;T430)=0,S430,""))</f>
        <v/>
      </c>
    </row>
    <row r="431" spans="1:21" ht="38" customHeight="1">
      <c r="A431" s="8" t="s">
        <v>228</v>
      </c>
      <c r="B431" s="8" t="s">
        <v>46</v>
      </c>
      <c r="C431" s="12">
        <f>COUNTIFS('DEF_SELF_SCOUT_IMPORT'!$L$42:$L$1040,"Y",'DEF_SELF_SCOUT_IMPORT'!$E$42:$E$1040,SUBSTITUTE(SUBSTITUTE(SUBSTITUTE($B431,"~","~~"),"*","~*"),"?","~?"),'DEF_SELF_SCOUT_IMPORT'!$Q$42:$Q$1040,SUBSTITUTE(SUBSTITUTE(SUBSTITUTE($M431,"~","~~"),"*","~*"),"?","~?"),'DEF_SELF_SCOUT_IMPORT'!$G$42:$G$1040,SUBSTITUTE(SUBSTITUTE(SUBSTITUTE($O431,"~","~~"),"*","~*"),"?","~?"))</f>
        <v>1</v>
      </c>
      <c r="D431" s="10">
        <f>IF($C431=0,"",SUMIFS('DEF_SELF_SCOUT_IMPORT'!$J$42:$J$1040,'DEF_SELF_SCOUT_IMPORT'!$L$42:$L$1040,"Y",'DEF_SELF_SCOUT_IMPORT'!$E$42:$E$1040,SUBSTITUTE(SUBSTITUTE(SUBSTITUTE($B431,"~","~~"),"*","~*"),"?","~?"),'DEF_SELF_SCOUT_IMPORT'!$Q$42:$Q$1040,SUBSTITUTE(SUBSTITUTE(SUBSTITUTE($M431,"~","~~"),"*","~*"),"?","~?"),'DEF_SELF_SCOUT_IMPORT'!$G$42:$G$1040,SUBSTITUTE(SUBSTITUTE(SUBSTITUTE($O431,"~","~~"),"*","~*"),"?","~?"))/$C431)</f>
        <v>1.0</v>
      </c>
      <c r="E431" s="10">
        <f>IF($C431=0,"",SUMIFS('DEF_SELF_SCOUT_IMPORT'!$K$42:$K$1040,'DEF_SELF_SCOUT_IMPORT'!$L$42:$L$1040,"Y",'DEF_SELF_SCOUT_IMPORT'!$E$42:$E$1040,SUBSTITUTE(SUBSTITUTE(SUBSTITUTE($B431,"~","~~"),"*","~*"),"?","~?"),'DEF_SELF_SCOUT_IMPORT'!$Q$42:$Q$1040,SUBSTITUTE(SUBSTITUTE(SUBSTITUTE($M431,"~","~~"),"*","~*"),"?","~?"),'DEF_SELF_SCOUT_IMPORT'!$G$42:$G$1040,SUBSTITUTE(SUBSTITUTE(SUBSTITUTE($O431,"~","~~"),"*","~*"),"?","~?"))/$C431)</f>
        <v>0.0</v>
      </c>
      <c r="F431" s="11">
        <f>IF($C431=0,"",AVERAGEIFS('DEF_SELF_SCOUT_IMPORT'!$I$42:$I$1040,'DEF_SELF_SCOUT_IMPORT'!$L$42:$L$1040,"Y",'DEF_SELF_SCOUT_IMPORT'!$E$42:$E$1040,SUBSTITUTE(SUBSTITUTE(SUBSTITUTE($B431,"~","~~"),"*","~*"),"?","~?"),'DEF_SELF_SCOUT_IMPORT'!$Q$42:$Q$1040,SUBSTITUTE(SUBSTITUTE(SUBSTITUTE($M431,"~","~~"),"*","~*"),"?","~?"),'DEF_SELF_SCOUT_IMPORT'!$G$42:$G$1040,SUBSTITUTE(SUBSTITUTE(SUBSTITUTE($O431,"~","~~"),"*","~*"),"?","~?")))</f>
        <v>0.0</v>
      </c>
      <c r="G431" s="10">
        <f>IF($C431=0,"",COUNTIFS('DEF_SELF_SCOUT_IMPORT'!$L$42:$L$1040,"Y",'DEF_SELF_SCOUT_IMPORT'!$E$42:$E$1040,SUBSTITUTE(SUBSTITUTE(SUBSTITUTE($B431,"~","~~"),"*","~*"),"?","~?"),'DEF_SELF_SCOUT_IMPORT'!$Q$42:$Q$1040,SUBSTITUTE(SUBSTITUTE(SUBSTITUTE($M431,"~","~~"),"*","~*"),"?","~?"),'DEF_SELF_SCOUT_IMPORT'!$G$42:$G$1040,SUBSTITUTE(SUBSTITUTE(SUBSTITUTE($O431,"~","~~"),"*","~*"),"?","~?"),'DEF_SELF_SCOUT_IMPORT'!$H$42:$H$1040,"RUSH")/$C431)</f>
        <v>0.0</v>
      </c>
      <c r="H431" s="10">
        <f>IF($C431=0,"",COUNTIFS('DEF_SELF_SCOUT_IMPORT'!$L$42:$L$1040,"Y",'DEF_SELF_SCOUT_IMPORT'!$E$42:$E$1040,SUBSTITUTE(SUBSTITUTE(SUBSTITUTE($B431,"~","~~"),"*","~*"),"?","~?"),'DEF_SELF_SCOUT_IMPORT'!$Q$42:$Q$1040,SUBSTITUTE(SUBSTITUTE(SUBSTITUTE($M431,"~","~~"),"*","~*"),"?","~?"),'DEF_SELF_SCOUT_IMPORT'!$G$42:$G$1040,SUBSTITUTE(SUBSTITUTE(SUBSTITUTE($O431,"~","~~"),"*","~*"),"?","~?"),'DEF_SELF_SCOUT_IMPORT'!$H$42:$H$1040,"DROPBACK")/$C431)</f>
        <v>1.0</v>
      </c>
      <c r="I431" s="14" t="str">
        <f>IF(C431=0,"",IF(C431&lt;=2,"TRACK",IF(C431=3,"LOW",IF(C431&lt;=6,"MEDIUM","HIGH"))))</f>
        <v>TRACK</v>
      </c>
      <c r="J431" s="11">
        <f>IF(C431=0,"",ROUND(D431*70+(1-E431)*20+MAX(0,MIN(1,(10-F431)/10))*10,1))</f>
        <v>100.0</v>
      </c>
      <c r="K431" s="14" t="str">
        <f>IF(C431=0,"No Evidence",IF(C431&lt;=2,IF(E431&gt;0,"Explosive Alert","Track Only"),IF(C431=3,"Sample Watch",IF(E431&gt;=START_HERE!$B$31,"Explosive Alert",IF(J431&gt;=80,"Strong Candidate",IF(J431&gt;=65,"Good Candidate",IF(J431&gt;=50,"Mixed / Review","Problem Call")))))))</f>
        <v>Track Only</v>
      </c>
      <c r="L431" s="9" t="str">
        <f>IF(COUNTIFS('DEF_SELF_SCOUT_IMPORT'!$L$42:$L$1040,"Y",'DEF_SELF_SCOUT_IMPORT'!$E$42:$E$1040,SUBSTITUTE(SUBSTITUTE(SUBSTITUTE($B431,"~","~~"),"*","~*"),"?","~?"),'DEF_SELF_SCOUT_IMPORT'!$Q$42:$Q$1040,SUBSTITUTE(SUBSTITUTE(SUBSTITUTE($M431,"~","~~"),"*","~*"),"?","~?"),'DEF_SELF_SCOUT_IMPORT'!$G$42:$G$1040,SUBSTITUTE(SUBSTITUTE(SUBSTITUTE($O431,"~","~~"),"*","~*"),"?","~?"),'DEF_SELF_SCOUT_IMPORT'!$J$42:$J$1040,"")&gt;0,"Unscored clean outcome; review result tags before using score.",IF(C431=0,"No matching defensive reps; film confirmation needed.",IF(K431="Explosive Alert","Explosive risk; review clips before using as answer.",IF(C431&lt;=2,"Track only; not enough sample.",IF(C431=3,IF(E431&gt;0,"Sample watch with explosive exposure; review clips and build the sample.",IF(J431&gt;=65,"Good signal, but sample is limited.","Sample watch; review clips and build the sample.")),IF(K431="Problem Call","Problem area; practice or call-sheet review.",IF(K431="Strong Candidate","Strong call-fit candidate; confirm on film.",IF(K431="Good Candidate","Good call-fit signal; confirm on film.","Mixed signal; review fit and execution on film."))))))))</f>
        <v>Track only; not enough sample.</v>
      </c>
      <c r="M431" s="8" t="s">
        <v>70</v>
      </c>
      <c r="N431" s="8"/>
      <c r="O431" s="8" t="s">
        <v>206</v>
      </c>
      <c r="P431" s="8"/>
      <c r="Q431" s="8"/>
      <c r="R431" s="8" t="s">
        <v>28</v>
      </c>
      <c r="S431" s="2" t="s">
        <v>229</v>
      </c>
      <c r="T431" s="2">
        <f>IF(C431=0,0,IF(C431&gt;=CALL_LOOKUP_BOARD!$B$7,IF(OR(K431="Problem Call",K431="Explosive Alert"),10000000,20000000),0)+IF(C431&gt;=CALL_LOOKUP_BOARD!$B$7,J431*1000+MIN(C431,999),C431*1000+J431)+0.00994300)</f>
        <v>1100.009943</v>
      </c>
      <c r="U431" s="2">
        <f>IF(C431=0,"",IF(COUNTIFS($S$375:$S$581,SUBSTITUTE(SUBSTITUTE(SUBSTITUTE(S431,"~","~~"),"*","~*"),"?","~?"),$T$375:$T$581,"&gt;"&amp;T431)=0,S431,""))</f>
        <v/>
      </c>
    </row>
    <row r="432" spans="1:21" ht="38" customHeight="1">
      <c r="A432" s="8" t="s">
        <v>228</v>
      </c>
      <c r="B432" s="8" t="s">
        <v>56</v>
      </c>
      <c r="C432" s="12">
        <f>COUNTIFS('DEF_SELF_SCOUT_IMPORT'!$L$42:$L$1040,"Y",'DEF_SELF_SCOUT_IMPORT'!$E$42:$E$1040,SUBSTITUTE(SUBSTITUTE(SUBSTITUTE($B432,"~","~~"),"*","~*"),"?","~?"),'DEF_SELF_SCOUT_IMPORT'!$Q$42:$Q$1040,SUBSTITUTE(SUBSTITUTE(SUBSTITUTE($M432,"~","~~"),"*","~*"),"?","~?"),'DEF_SELF_SCOUT_IMPORT'!$G$42:$G$1040,SUBSTITUTE(SUBSTITUTE(SUBSTITUTE($O432,"~","~~"),"*","~*"),"?","~?"))</f>
        <v>1</v>
      </c>
      <c r="D432" s="10">
        <f>IF($C432=0,"",SUMIFS('DEF_SELF_SCOUT_IMPORT'!$J$42:$J$1040,'DEF_SELF_SCOUT_IMPORT'!$L$42:$L$1040,"Y",'DEF_SELF_SCOUT_IMPORT'!$E$42:$E$1040,SUBSTITUTE(SUBSTITUTE(SUBSTITUTE($B432,"~","~~"),"*","~*"),"?","~?"),'DEF_SELF_SCOUT_IMPORT'!$Q$42:$Q$1040,SUBSTITUTE(SUBSTITUTE(SUBSTITUTE($M432,"~","~~"),"*","~*"),"?","~?"),'DEF_SELF_SCOUT_IMPORT'!$G$42:$G$1040,SUBSTITUTE(SUBSTITUTE(SUBSTITUTE($O432,"~","~~"),"*","~*"),"?","~?"))/$C432)</f>
        <v>1.0</v>
      </c>
      <c r="E432" s="10">
        <f>IF($C432=0,"",SUMIFS('DEF_SELF_SCOUT_IMPORT'!$K$42:$K$1040,'DEF_SELF_SCOUT_IMPORT'!$L$42:$L$1040,"Y",'DEF_SELF_SCOUT_IMPORT'!$E$42:$E$1040,SUBSTITUTE(SUBSTITUTE(SUBSTITUTE($B432,"~","~~"),"*","~*"),"?","~?"),'DEF_SELF_SCOUT_IMPORT'!$Q$42:$Q$1040,SUBSTITUTE(SUBSTITUTE(SUBSTITUTE($M432,"~","~~"),"*","~*"),"?","~?"),'DEF_SELF_SCOUT_IMPORT'!$G$42:$G$1040,SUBSTITUTE(SUBSTITUTE(SUBSTITUTE($O432,"~","~~"),"*","~*"),"?","~?"))/$C432)</f>
        <v>0.0</v>
      </c>
      <c r="F432" s="11">
        <f>IF($C432=0,"",AVERAGEIFS('DEF_SELF_SCOUT_IMPORT'!$I$42:$I$1040,'DEF_SELF_SCOUT_IMPORT'!$L$42:$L$1040,"Y",'DEF_SELF_SCOUT_IMPORT'!$E$42:$E$1040,SUBSTITUTE(SUBSTITUTE(SUBSTITUTE($B432,"~","~~"),"*","~*"),"?","~?"),'DEF_SELF_SCOUT_IMPORT'!$Q$42:$Q$1040,SUBSTITUTE(SUBSTITUTE(SUBSTITUTE($M432,"~","~~"),"*","~*"),"?","~?"),'DEF_SELF_SCOUT_IMPORT'!$G$42:$G$1040,SUBSTITUTE(SUBSTITUTE(SUBSTITUTE($O432,"~","~~"),"*","~*"),"?","~?")))</f>
        <v>-2.0</v>
      </c>
      <c r="G432" s="10">
        <f>IF($C432=0,"",COUNTIFS('DEF_SELF_SCOUT_IMPORT'!$L$42:$L$1040,"Y",'DEF_SELF_SCOUT_IMPORT'!$E$42:$E$1040,SUBSTITUTE(SUBSTITUTE(SUBSTITUTE($B432,"~","~~"),"*","~*"),"?","~?"),'DEF_SELF_SCOUT_IMPORT'!$Q$42:$Q$1040,SUBSTITUTE(SUBSTITUTE(SUBSTITUTE($M432,"~","~~"),"*","~*"),"?","~?"),'DEF_SELF_SCOUT_IMPORT'!$G$42:$G$1040,SUBSTITUTE(SUBSTITUTE(SUBSTITUTE($O432,"~","~~"),"*","~*"),"?","~?"),'DEF_SELF_SCOUT_IMPORT'!$H$42:$H$1040,"RUSH")/$C432)</f>
        <v>1.0</v>
      </c>
      <c r="H432" s="10">
        <f>IF($C432=0,"",COUNTIFS('DEF_SELF_SCOUT_IMPORT'!$L$42:$L$1040,"Y",'DEF_SELF_SCOUT_IMPORT'!$E$42:$E$1040,SUBSTITUTE(SUBSTITUTE(SUBSTITUTE($B432,"~","~~"),"*","~*"),"?","~?"),'DEF_SELF_SCOUT_IMPORT'!$Q$42:$Q$1040,SUBSTITUTE(SUBSTITUTE(SUBSTITUTE($M432,"~","~~"),"*","~*"),"?","~?"),'DEF_SELF_SCOUT_IMPORT'!$G$42:$G$1040,SUBSTITUTE(SUBSTITUTE(SUBSTITUTE($O432,"~","~~"),"*","~*"),"?","~?"),'DEF_SELF_SCOUT_IMPORT'!$H$42:$H$1040,"DROPBACK")/$C432)</f>
        <v>0.0</v>
      </c>
      <c r="I432" s="14" t="str">
        <f>IF(C432=0,"",IF(C432&lt;=2,"TRACK",IF(C432=3,"LOW",IF(C432&lt;=6,"MEDIUM","HIGH"))))</f>
        <v>TRACK</v>
      </c>
      <c r="J432" s="11">
        <f>IF(C432=0,"",ROUND(D432*70+(1-E432)*20+MAX(0,MIN(1,(10-F432)/10))*10,1))</f>
        <v>100.0</v>
      </c>
      <c r="K432" s="14" t="str">
        <f>IF(C432=0,"No Evidence",IF(C432&lt;=2,IF(E432&gt;0,"Explosive Alert","Track Only"),IF(C432=3,"Sample Watch",IF(E432&gt;=START_HERE!$B$31,"Explosive Alert",IF(J432&gt;=80,"Strong Candidate",IF(J432&gt;=65,"Good Candidate",IF(J432&gt;=50,"Mixed / Review","Problem Call")))))))</f>
        <v>Track Only</v>
      </c>
      <c r="L432" s="9" t="str">
        <f>IF(COUNTIFS('DEF_SELF_SCOUT_IMPORT'!$L$42:$L$1040,"Y",'DEF_SELF_SCOUT_IMPORT'!$E$42:$E$1040,SUBSTITUTE(SUBSTITUTE(SUBSTITUTE($B432,"~","~~"),"*","~*"),"?","~?"),'DEF_SELF_SCOUT_IMPORT'!$Q$42:$Q$1040,SUBSTITUTE(SUBSTITUTE(SUBSTITUTE($M432,"~","~~"),"*","~*"),"?","~?"),'DEF_SELF_SCOUT_IMPORT'!$G$42:$G$1040,SUBSTITUTE(SUBSTITUTE(SUBSTITUTE($O432,"~","~~"),"*","~*"),"?","~?"),'DEF_SELF_SCOUT_IMPORT'!$J$42:$J$1040,"")&gt;0,"Unscored clean outcome; review result tags before using score.",IF(C432=0,"No matching defensive reps; film confirmation needed.",IF(K432="Explosive Alert","Explosive risk; review clips before using as answer.",IF(C432&lt;=2,"Track only; not enough sample.",IF(C432=3,IF(E432&gt;0,"Sample watch with explosive exposure; review clips and build the sample.",IF(J432&gt;=65,"Good signal, but sample is limited.","Sample watch; review clips and build the sample.")),IF(K432="Problem Call","Problem area; practice or call-sheet review.",IF(K432="Strong Candidate","Strong call-fit candidate; confirm on film.",IF(K432="Good Candidate","Good call-fit signal; confirm on film.","Mixed signal; review fit and execution on film."))))))))</f>
        <v>Track only; not enough sample.</v>
      </c>
      <c r="M432" s="8" t="s">
        <v>70</v>
      </c>
      <c r="N432" s="8"/>
      <c r="O432" s="8" t="s">
        <v>206</v>
      </c>
      <c r="P432" s="8"/>
      <c r="Q432" s="8"/>
      <c r="R432" s="8" t="s">
        <v>28</v>
      </c>
      <c r="S432" s="2" t="s">
        <v>229</v>
      </c>
      <c r="T432" s="2">
        <f>IF(C432=0,0,IF(C432&gt;=CALL_LOOKUP_BOARD!$B$7,IF(OR(K432="Problem Call",K432="Explosive Alert"),10000000,20000000),0)+IF(C432&gt;=CALL_LOOKUP_BOARD!$B$7,J432*1000+MIN(C432,999),C432*1000+J432)+0.00994200)</f>
        <v>1100.009942</v>
      </c>
      <c r="U432" s="2">
        <f>IF(C432=0,"",IF(COUNTIFS($S$375:$S$581,SUBSTITUTE(SUBSTITUTE(SUBSTITUTE(S432,"~","~~"),"*","~*"),"?","~?"),$T$375:$T$581,"&gt;"&amp;T432)=0,S432,""))</f>
        <v/>
      </c>
    </row>
    <row r="433" spans="1:21" ht="38" customHeight="1">
      <c r="A433" s="8" t="s">
        <v>228</v>
      </c>
      <c r="B433" s="8" t="s">
        <v>60</v>
      </c>
      <c r="C433" s="12">
        <f>COUNTIFS('DEF_SELF_SCOUT_IMPORT'!$L$42:$L$1040,"Y",'DEF_SELF_SCOUT_IMPORT'!$E$42:$E$1040,SUBSTITUTE(SUBSTITUTE(SUBSTITUTE($B433,"~","~~"),"*","~*"),"?","~?"),'DEF_SELF_SCOUT_IMPORT'!$Q$42:$Q$1040,SUBSTITUTE(SUBSTITUTE(SUBSTITUTE($M433,"~","~~"),"*","~*"),"?","~?"),'DEF_SELF_SCOUT_IMPORT'!$G$42:$G$1040,SUBSTITUTE(SUBSTITUTE(SUBSTITUTE($O433,"~","~~"),"*","~*"),"?","~?"))</f>
        <v>2</v>
      </c>
      <c r="D433" s="10">
        <f>IF($C433=0,"",SUMIFS('DEF_SELF_SCOUT_IMPORT'!$J$42:$J$1040,'DEF_SELF_SCOUT_IMPORT'!$L$42:$L$1040,"Y",'DEF_SELF_SCOUT_IMPORT'!$E$42:$E$1040,SUBSTITUTE(SUBSTITUTE(SUBSTITUTE($B433,"~","~~"),"*","~*"),"?","~?"),'DEF_SELF_SCOUT_IMPORT'!$Q$42:$Q$1040,SUBSTITUTE(SUBSTITUTE(SUBSTITUTE($M433,"~","~~"),"*","~*"),"?","~?"),'DEF_SELF_SCOUT_IMPORT'!$G$42:$G$1040,SUBSTITUTE(SUBSTITUTE(SUBSTITUTE($O433,"~","~~"),"*","~*"),"?","~?"))/$C433)</f>
        <v>0.5</v>
      </c>
      <c r="E433" s="10">
        <f>IF($C433=0,"",SUMIFS('DEF_SELF_SCOUT_IMPORT'!$K$42:$K$1040,'DEF_SELF_SCOUT_IMPORT'!$L$42:$L$1040,"Y",'DEF_SELF_SCOUT_IMPORT'!$E$42:$E$1040,SUBSTITUTE(SUBSTITUTE(SUBSTITUTE($B433,"~","~~"),"*","~*"),"?","~?"),'DEF_SELF_SCOUT_IMPORT'!$Q$42:$Q$1040,SUBSTITUTE(SUBSTITUTE(SUBSTITUTE($M433,"~","~~"),"*","~*"),"?","~?"),'DEF_SELF_SCOUT_IMPORT'!$G$42:$G$1040,SUBSTITUTE(SUBSTITUTE(SUBSTITUTE($O433,"~","~~"),"*","~*"),"?","~?"))/$C433)</f>
        <v>0.0</v>
      </c>
      <c r="F433" s="11">
        <f>IF($C433=0,"",AVERAGEIFS('DEF_SELF_SCOUT_IMPORT'!$I$42:$I$1040,'DEF_SELF_SCOUT_IMPORT'!$L$42:$L$1040,"Y",'DEF_SELF_SCOUT_IMPORT'!$E$42:$E$1040,SUBSTITUTE(SUBSTITUTE(SUBSTITUTE($B433,"~","~~"),"*","~*"),"?","~?"),'DEF_SELF_SCOUT_IMPORT'!$Q$42:$Q$1040,SUBSTITUTE(SUBSTITUTE(SUBSTITUTE($M433,"~","~~"),"*","~*"),"?","~?"),'DEF_SELF_SCOUT_IMPORT'!$G$42:$G$1040,SUBSTITUTE(SUBSTITUTE(SUBSTITUTE($O433,"~","~~"),"*","~*"),"?","~?")))</f>
        <v>6.0</v>
      </c>
      <c r="G433" s="10">
        <f>IF($C433=0,"",COUNTIFS('DEF_SELF_SCOUT_IMPORT'!$L$42:$L$1040,"Y",'DEF_SELF_SCOUT_IMPORT'!$E$42:$E$1040,SUBSTITUTE(SUBSTITUTE(SUBSTITUTE($B433,"~","~~"),"*","~*"),"?","~?"),'DEF_SELF_SCOUT_IMPORT'!$Q$42:$Q$1040,SUBSTITUTE(SUBSTITUTE(SUBSTITUTE($M433,"~","~~"),"*","~*"),"?","~?"),'DEF_SELF_SCOUT_IMPORT'!$G$42:$G$1040,SUBSTITUTE(SUBSTITUTE(SUBSTITUTE($O433,"~","~~"),"*","~*"),"?","~?"),'DEF_SELF_SCOUT_IMPORT'!$H$42:$H$1040,"RUSH")/$C433)</f>
        <v>0.5</v>
      </c>
      <c r="H433" s="10">
        <f>IF($C433=0,"",COUNTIFS('DEF_SELF_SCOUT_IMPORT'!$L$42:$L$1040,"Y",'DEF_SELF_SCOUT_IMPORT'!$E$42:$E$1040,SUBSTITUTE(SUBSTITUTE(SUBSTITUTE($B433,"~","~~"),"*","~*"),"?","~?"),'DEF_SELF_SCOUT_IMPORT'!$Q$42:$Q$1040,SUBSTITUTE(SUBSTITUTE(SUBSTITUTE($M433,"~","~~"),"*","~*"),"?","~?"),'DEF_SELF_SCOUT_IMPORT'!$G$42:$G$1040,SUBSTITUTE(SUBSTITUTE(SUBSTITUTE($O433,"~","~~"),"*","~*"),"?","~?"),'DEF_SELF_SCOUT_IMPORT'!$H$42:$H$1040,"DROPBACK")/$C433)</f>
        <v>0.5</v>
      </c>
      <c r="I433" s="14" t="str">
        <f>IF(C433=0,"",IF(C433&lt;=2,"TRACK",IF(C433=3,"LOW",IF(C433&lt;=6,"MEDIUM","HIGH"))))</f>
        <v>TRACK</v>
      </c>
      <c r="J433" s="11">
        <f>IF(C433=0,"",ROUND(D433*70+(1-E433)*20+MAX(0,MIN(1,(10-F433)/10))*10,1))</f>
        <v>59.0</v>
      </c>
      <c r="K433" s="14" t="str">
        <f>IF(C433=0,"No Evidence",IF(C433&lt;=2,IF(E433&gt;0,"Explosive Alert","Track Only"),IF(C433=3,"Sample Watch",IF(E433&gt;=START_HERE!$B$31,"Explosive Alert",IF(J433&gt;=80,"Strong Candidate",IF(J433&gt;=65,"Good Candidate",IF(J433&gt;=50,"Mixed / Review","Problem Call")))))))</f>
        <v>Track Only</v>
      </c>
      <c r="L433" s="9" t="str">
        <f>IF(COUNTIFS('DEF_SELF_SCOUT_IMPORT'!$L$42:$L$1040,"Y",'DEF_SELF_SCOUT_IMPORT'!$E$42:$E$1040,SUBSTITUTE(SUBSTITUTE(SUBSTITUTE($B433,"~","~~"),"*","~*"),"?","~?"),'DEF_SELF_SCOUT_IMPORT'!$Q$42:$Q$1040,SUBSTITUTE(SUBSTITUTE(SUBSTITUTE($M433,"~","~~"),"*","~*"),"?","~?"),'DEF_SELF_SCOUT_IMPORT'!$G$42:$G$1040,SUBSTITUTE(SUBSTITUTE(SUBSTITUTE($O433,"~","~~"),"*","~*"),"?","~?"),'DEF_SELF_SCOUT_IMPORT'!$J$42:$J$1040,"")&gt;0,"Unscored clean outcome; review result tags before using score.",IF(C433=0,"No matching defensive reps; film confirmation needed.",IF(K433="Explosive Alert","Explosive risk; review clips before using as answer.",IF(C433&lt;=2,"Track only; not enough sample.",IF(C433=3,IF(E433&gt;0,"Sample watch with explosive exposure; review clips and build the sample.",IF(J433&gt;=65,"Good signal, but sample is limited.","Sample watch; review clips and build the sample.")),IF(K433="Problem Call","Problem area; practice or call-sheet review.",IF(K433="Strong Candidate","Strong call-fit candidate; confirm on film.",IF(K433="Good Candidate","Good call-fit signal; confirm on film.","Mixed signal; review fit and execution on film."))))))))</f>
        <v>Track only; not enough sample.</v>
      </c>
      <c r="M433" s="8" t="s">
        <v>70</v>
      </c>
      <c r="N433" s="8"/>
      <c r="O433" s="8" t="s">
        <v>206</v>
      </c>
      <c r="P433" s="8"/>
      <c r="Q433" s="8"/>
      <c r="R433" s="8" t="s">
        <v>28</v>
      </c>
      <c r="S433" s="2" t="s">
        <v>229</v>
      </c>
      <c r="T433" s="2">
        <f>IF(C433=0,0,IF(C433&gt;=CALL_LOOKUP_BOARD!$B$7,IF(OR(K433="Problem Call",K433="Explosive Alert"),10000000,20000000),0)+IF(C433&gt;=CALL_LOOKUP_BOARD!$B$7,J433*1000+MIN(C433,999),C433*1000+J433)+0.00994100)</f>
        <v>2059.009941</v>
      </c>
      <c r="U433" s="2" t="str">
        <f>IF(C433=0,"",IF(COUNTIFS($S$375:$S$581,SUBSTITUTE(SUBSTITUTE(SUBSTITUTE(S433,"~","~~"),"*","~*"),"?","~?"),$T$375:$T$581,"&gt;"&amp;T433)=0,S433,""))</f>
        <v>6:2D 1-3|3:3X1|</v>
      </c>
    </row>
    <row r="434" spans="1:21" ht="38" customHeight="1">
      <c r="A434" s="8" t="s">
        <v>228</v>
      </c>
      <c r="B434" s="8" t="s">
        <v>73</v>
      </c>
      <c r="C434" s="12">
        <f>COUNTIFS('DEF_SELF_SCOUT_IMPORT'!$L$42:$L$1040,"Y",'DEF_SELF_SCOUT_IMPORT'!$E$42:$E$1040,SUBSTITUTE(SUBSTITUTE(SUBSTITUTE($B434,"~","~~"),"*","~*"),"?","~?"),'DEF_SELF_SCOUT_IMPORT'!$Q$42:$Q$1040,SUBSTITUTE(SUBSTITUTE(SUBSTITUTE($M434,"~","~~"),"*","~*"),"?","~?"),'DEF_SELF_SCOUT_IMPORT'!$G$42:$G$1040,SUBSTITUTE(SUBSTITUTE(SUBSTITUTE($O434,"~","~~"),"*","~*"),"?","~?"))</f>
        <v>1</v>
      </c>
      <c r="D434" s="10">
        <f>IF($C434=0,"",SUMIFS('DEF_SELF_SCOUT_IMPORT'!$J$42:$J$1040,'DEF_SELF_SCOUT_IMPORT'!$L$42:$L$1040,"Y",'DEF_SELF_SCOUT_IMPORT'!$E$42:$E$1040,SUBSTITUTE(SUBSTITUTE(SUBSTITUTE($B434,"~","~~"),"*","~*"),"?","~?"),'DEF_SELF_SCOUT_IMPORT'!$Q$42:$Q$1040,SUBSTITUTE(SUBSTITUTE(SUBSTITUTE($M434,"~","~~"),"*","~*"),"?","~?"),'DEF_SELF_SCOUT_IMPORT'!$G$42:$G$1040,SUBSTITUTE(SUBSTITUTE(SUBSTITUTE($O434,"~","~~"),"*","~*"),"?","~?"))/$C434)</f>
        <v>1.0</v>
      </c>
      <c r="E434" s="10">
        <f>IF($C434=0,"",SUMIFS('DEF_SELF_SCOUT_IMPORT'!$K$42:$K$1040,'DEF_SELF_SCOUT_IMPORT'!$L$42:$L$1040,"Y",'DEF_SELF_SCOUT_IMPORT'!$E$42:$E$1040,SUBSTITUTE(SUBSTITUTE(SUBSTITUTE($B434,"~","~~"),"*","~*"),"?","~?"),'DEF_SELF_SCOUT_IMPORT'!$Q$42:$Q$1040,SUBSTITUTE(SUBSTITUTE(SUBSTITUTE($M434,"~","~~"),"*","~*"),"?","~?"),'DEF_SELF_SCOUT_IMPORT'!$G$42:$G$1040,SUBSTITUTE(SUBSTITUTE(SUBSTITUTE($O434,"~","~~"),"*","~*"),"?","~?"))/$C434)</f>
        <v>0.0</v>
      </c>
      <c r="F434" s="11">
        <f>IF($C434=0,"",AVERAGEIFS('DEF_SELF_SCOUT_IMPORT'!$I$42:$I$1040,'DEF_SELF_SCOUT_IMPORT'!$L$42:$L$1040,"Y",'DEF_SELF_SCOUT_IMPORT'!$E$42:$E$1040,SUBSTITUTE(SUBSTITUTE(SUBSTITUTE($B434,"~","~~"),"*","~*"),"?","~?"),'DEF_SELF_SCOUT_IMPORT'!$Q$42:$Q$1040,SUBSTITUTE(SUBSTITUTE(SUBSTITUTE($M434,"~","~~"),"*","~*"),"?","~?"),'DEF_SELF_SCOUT_IMPORT'!$G$42:$G$1040,SUBSTITUTE(SUBSTITUTE(SUBSTITUTE($O434,"~","~~"),"*","~*"),"?","~?")))</f>
        <v>6.0</v>
      </c>
      <c r="G434" s="10">
        <f>IF($C434=0,"",COUNTIFS('DEF_SELF_SCOUT_IMPORT'!$L$42:$L$1040,"Y",'DEF_SELF_SCOUT_IMPORT'!$E$42:$E$1040,SUBSTITUTE(SUBSTITUTE(SUBSTITUTE($B434,"~","~~"),"*","~*"),"?","~?"),'DEF_SELF_SCOUT_IMPORT'!$Q$42:$Q$1040,SUBSTITUTE(SUBSTITUTE(SUBSTITUTE($M434,"~","~~"),"*","~*"),"?","~?"),'DEF_SELF_SCOUT_IMPORT'!$G$42:$G$1040,SUBSTITUTE(SUBSTITUTE(SUBSTITUTE($O434,"~","~~"),"*","~*"),"?","~?"),'DEF_SELF_SCOUT_IMPORT'!$H$42:$H$1040,"RUSH")/$C434)</f>
        <v>0.0</v>
      </c>
      <c r="H434" s="10">
        <f>IF($C434=0,"",COUNTIFS('DEF_SELF_SCOUT_IMPORT'!$L$42:$L$1040,"Y",'DEF_SELF_SCOUT_IMPORT'!$E$42:$E$1040,SUBSTITUTE(SUBSTITUTE(SUBSTITUTE($B434,"~","~~"),"*","~*"),"?","~?"),'DEF_SELF_SCOUT_IMPORT'!$Q$42:$Q$1040,SUBSTITUTE(SUBSTITUTE(SUBSTITUTE($M434,"~","~~"),"*","~*"),"?","~?"),'DEF_SELF_SCOUT_IMPORT'!$G$42:$G$1040,SUBSTITUTE(SUBSTITUTE(SUBSTITUTE($O434,"~","~~"),"*","~*"),"?","~?"),'DEF_SELF_SCOUT_IMPORT'!$H$42:$H$1040,"DROPBACK")/$C434)</f>
        <v>1.0</v>
      </c>
      <c r="I434" s="14" t="str">
        <f>IF(C434=0,"",IF(C434&lt;=2,"TRACK",IF(C434=3,"LOW",IF(C434&lt;=6,"MEDIUM","HIGH"))))</f>
        <v>TRACK</v>
      </c>
      <c r="J434" s="11">
        <f>IF(C434=0,"",ROUND(D434*70+(1-E434)*20+MAX(0,MIN(1,(10-F434)/10))*10,1))</f>
        <v>94.0</v>
      </c>
      <c r="K434" s="14" t="str">
        <f>IF(C434=0,"No Evidence",IF(C434&lt;=2,IF(E434&gt;0,"Explosive Alert","Track Only"),IF(C434=3,"Sample Watch",IF(E434&gt;=START_HERE!$B$31,"Explosive Alert",IF(J434&gt;=80,"Strong Candidate",IF(J434&gt;=65,"Good Candidate",IF(J434&gt;=50,"Mixed / Review","Problem Call")))))))</f>
        <v>Track Only</v>
      </c>
      <c r="L434" s="9" t="str">
        <f>IF(COUNTIFS('DEF_SELF_SCOUT_IMPORT'!$L$42:$L$1040,"Y",'DEF_SELF_SCOUT_IMPORT'!$E$42:$E$1040,SUBSTITUTE(SUBSTITUTE(SUBSTITUTE($B434,"~","~~"),"*","~*"),"?","~?"),'DEF_SELF_SCOUT_IMPORT'!$Q$42:$Q$1040,SUBSTITUTE(SUBSTITUTE(SUBSTITUTE($M434,"~","~~"),"*","~*"),"?","~?"),'DEF_SELF_SCOUT_IMPORT'!$G$42:$G$1040,SUBSTITUTE(SUBSTITUTE(SUBSTITUTE($O434,"~","~~"),"*","~*"),"?","~?"),'DEF_SELF_SCOUT_IMPORT'!$J$42:$J$1040,"")&gt;0,"Unscored clean outcome; review result tags before using score.",IF(C434=0,"No matching defensive reps; film confirmation needed.",IF(K434="Explosive Alert","Explosive risk; review clips before using as answer.",IF(C434&lt;=2,"Track only; not enough sample.",IF(C434=3,IF(E434&gt;0,"Sample watch with explosive exposure; review clips and build the sample.",IF(J434&gt;=65,"Good signal, but sample is limited.","Sample watch; review clips and build the sample.")),IF(K434="Problem Call","Problem area; practice or call-sheet review.",IF(K434="Strong Candidate","Strong call-fit candidate; confirm on film.",IF(K434="Good Candidate","Good call-fit signal; confirm on film.","Mixed signal; review fit and execution on film."))))))))</f>
        <v>Track only; not enough sample.</v>
      </c>
      <c r="M434" s="8" t="s">
        <v>70</v>
      </c>
      <c r="N434" s="8"/>
      <c r="O434" s="8" t="s">
        <v>206</v>
      </c>
      <c r="P434" s="8"/>
      <c r="Q434" s="8"/>
      <c r="R434" s="8" t="s">
        <v>28</v>
      </c>
      <c r="S434" s="2" t="s">
        <v>229</v>
      </c>
      <c r="T434" s="2">
        <f>IF(C434=0,0,IF(C434&gt;=CALL_LOOKUP_BOARD!$B$7,IF(OR(K434="Problem Call",K434="Explosive Alert"),10000000,20000000),0)+IF(C434&gt;=CALL_LOOKUP_BOARD!$B$7,J434*1000+MIN(C434,999),C434*1000+J434)+0.00994000)</f>
        <v>1094.00994</v>
      </c>
      <c r="U434" s="2">
        <f>IF(C434=0,"",IF(COUNTIFS($S$375:$S$581,SUBSTITUTE(SUBSTITUTE(SUBSTITUTE(S434,"~","~~"),"*","~*"),"?","~?"),$T$375:$T$581,"&gt;"&amp;T434)=0,S434,""))</f>
        <v/>
      </c>
    </row>
    <row r="435" spans="1:21" ht="38" customHeight="1">
      <c r="A435" s="8" t="s">
        <v>228</v>
      </c>
      <c r="B435" s="8" t="s">
        <v>63</v>
      </c>
      <c r="C435" s="12">
        <f>COUNTIFS('DEF_SELF_SCOUT_IMPORT'!$L$42:$L$1040,"Y",'DEF_SELF_SCOUT_IMPORT'!$E$42:$E$1040,SUBSTITUTE(SUBSTITUTE(SUBSTITUTE($B435,"~","~~"),"*","~*"),"?","~?"),'DEF_SELF_SCOUT_IMPORT'!$Q$42:$Q$1040,SUBSTITUTE(SUBSTITUTE(SUBSTITUTE($M435,"~","~~"),"*","~*"),"?","~?"),'DEF_SELF_SCOUT_IMPORT'!$G$42:$G$1040,SUBSTITUTE(SUBSTITUTE(SUBSTITUTE($O435,"~","~~"),"*","~*"),"?","~?"))</f>
        <v>2</v>
      </c>
      <c r="D435" s="10">
        <f>IF($C435=0,"",SUMIFS('DEF_SELF_SCOUT_IMPORT'!$J$42:$J$1040,'DEF_SELF_SCOUT_IMPORT'!$L$42:$L$1040,"Y",'DEF_SELF_SCOUT_IMPORT'!$E$42:$E$1040,SUBSTITUTE(SUBSTITUTE(SUBSTITUTE($B435,"~","~~"),"*","~*"),"?","~?"),'DEF_SELF_SCOUT_IMPORT'!$Q$42:$Q$1040,SUBSTITUTE(SUBSTITUTE(SUBSTITUTE($M435,"~","~~"),"*","~*"),"?","~?"),'DEF_SELF_SCOUT_IMPORT'!$G$42:$G$1040,SUBSTITUTE(SUBSTITUTE(SUBSTITUTE($O435,"~","~~"),"*","~*"),"?","~?"))/$C435)</f>
        <v>0.0</v>
      </c>
      <c r="E435" s="10">
        <f>IF($C435=0,"",SUMIFS('DEF_SELF_SCOUT_IMPORT'!$K$42:$K$1040,'DEF_SELF_SCOUT_IMPORT'!$L$42:$L$1040,"Y",'DEF_SELF_SCOUT_IMPORT'!$E$42:$E$1040,SUBSTITUTE(SUBSTITUTE(SUBSTITUTE($B435,"~","~~"),"*","~*"),"?","~?"),'DEF_SELF_SCOUT_IMPORT'!$Q$42:$Q$1040,SUBSTITUTE(SUBSTITUTE(SUBSTITUTE($M435,"~","~~"),"*","~*"),"?","~?"),'DEF_SELF_SCOUT_IMPORT'!$G$42:$G$1040,SUBSTITUTE(SUBSTITUTE(SUBSTITUTE($O435,"~","~~"),"*","~*"),"?","~?"))/$C435)</f>
        <v>0.5</v>
      </c>
      <c r="F435" s="11">
        <f>IF($C435=0,"",AVERAGEIFS('DEF_SELF_SCOUT_IMPORT'!$I$42:$I$1040,'DEF_SELF_SCOUT_IMPORT'!$L$42:$L$1040,"Y",'DEF_SELF_SCOUT_IMPORT'!$E$42:$E$1040,SUBSTITUTE(SUBSTITUTE(SUBSTITUTE($B435,"~","~~"),"*","~*"),"?","~?"),'DEF_SELF_SCOUT_IMPORT'!$Q$42:$Q$1040,SUBSTITUTE(SUBSTITUTE(SUBSTITUTE($M435,"~","~~"),"*","~*"),"?","~?"),'DEF_SELF_SCOUT_IMPORT'!$G$42:$G$1040,SUBSTITUTE(SUBSTITUTE(SUBSTITUTE($O435,"~","~~"),"*","~*"),"?","~?")))</f>
        <v>18.5</v>
      </c>
      <c r="G435" s="10">
        <f>IF($C435=0,"",COUNTIFS('DEF_SELF_SCOUT_IMPORT'!$L$42:$L$1040,"Y",'DEF_SELF_SCOUT_IMPORT'!$E$42:$E$1040,SUBSTITUTE(SUBSTITUTE(SUBSTITUTE($B435,"~","~~"),"*","~*"),"?","~?"),'DEF_SELF_SCOUT_IMPORT'!$Q$42:$Q$1040,SUBSTITUTE(SUBSTITUTE(SUBSTITUTE($M435,"~","~~"),"*","~*"),"?","~?"),'DEF_SELF_SCOUT_IMPORT'!$G$42:$G$1040,SUBSTITUTE(SUBSTITUTE(SUBSTITUTE($O435,"~","~~"),"*","~*"),"?","~?"),'DEF_SELF_SCOUT_IMPORT'!$H$42:$H$1040,"RUSH")/$C435)</f>
        <v>0.0</v>
      </c>
      <c r="H435" s="10">
        <f>IF($C435=0,"",COUNTIFS('DEF_SELF_SCOUT_IMPORT'!$L$42:$L$1040,"Y",'DEF_SELF_SCOUT_IMPORT'!$E$42:$E$1040,SUBSTITUTE(SUBSTITUTE(SUBSTITUTE($B435,"~","~~"),"*","~*"),"?","~?"),'DEF_SELF_SCOUT_IMPORT'!$Q$42:$Q$1040,SUBSTITUTE(SUBSTITUTE(SUBSTITUTE($M435,"~","~~"),"*","~*"),"?","~?"),'DEF_SELF_SCOUT_IMPORT'!$G$42:$G$1040,SUBSTITUTE(SUBSTITUTE(SUBSTITUTE($O435,"~","~~"),"*","~*"),"?","~?"),'DEF_SELF_SCOUT_IMPORT'!$H$42:$H$1040,"DROPBACK")/$C435)</f>
        <v>1.0</v>
      </c>
      <c r="I435" s="14" t="str">
        <f>IF(C435=0,"",IF(C435&lt;=2,"TRACK",IF(C435=3,"LOW",IF(C435&lt;=6,"MEDIUM","HIGH"))))</f>
        <v>TRACK</v>
      </c>
      <c r="J435" s="11">
        <f>IF(C435=0,"",ROUND(D435*70+(1-E435)*20+MAX(0,MIN(1,(10-F435)/10))*10,1))</f>
        <v>10.0</v>
      </c>
      <c r="K435" s="14" t="str">
        <f>IF(C435=0,"No Evidence",IF(C435&lt;=2,IF(E435&gt;0,"Explosive Alert","Track Only"),IF(C435=3,"Sample Watch",IF(E435&gt;=START_HERE!$B$31,"Explosive Alert",IF(J435&gt;=80,"Strong Candidate",IF(J435&gt;=65,"Good Candidate",IF(J435&gt;=50,"Mixed / Review","Problem Call")))))))</f>
        <v>Explosive Alert</v>
      </c>
      <c r="L435" s="9" t="str">
        <f>IF(COUNTIFS('DEF_SELF_SCOUT_IMPORT'!$L$42:$L$1040,"Y",'DEF_SELF_SCOUT_IMPORT'!$E$42:$E$1040,SUBSTITUTE(SUBSTITUTE(SUBSTITUTE($B435,"~","~~"),"*","~*"),"?","~?"),'DEF_SELF_SCOUT_IMPORT'!$Q$42:$Q$1040,SUBSTITUTE(SUBSTITUTE(SUBSTITUTE($M435,"~","~~"),"*","~*"),"?","~?"),'DEF_SELF_SCOUT_IMPORT'!$G$42:$G$1040,SUBSTITUTE(SUBSTITUTE(SUBSTITUTE($O435,"~","~~"),"*","~*"),"?","~?"),'DEF_SELF_SCOUT_IMPORT'!$J$42:$J$1040,"")&gt;0,"Unscored clean outcome; review result tags before using score.",IF(C435=0,"No matching defensive reps; film confirmation needed.",IF(K435="Explosive Alert","Explosive risk; review clips before using as answer.",IF(C435&lt;=2,"Track only; not enough sample.",IF(C435=3,IF(E435&gt;0,"Sample watch with explosive exposure; review clips and build the sample.",IF(J435&gt;=65,"Good signal, but sample is limited.","Sample watch; review clips and build the sample.")),IF(K435="Problem Call","Problem area; practice or call-sheet review.",IF(K435="Strong Candidate","Strong call-fit candidate; confirm on film.",IF(K435="Good Candidate","Good call-fit signal; confirm on film.","Mixed signal; review fit and execution on film."))))))))</f>
        <v>Explosive risk; review clips before using as answer.</v>
      </c>
      <c r="M435" s="8" t="s">
        <v>70</v>
      </c>
      <c r="N435" s="8"/>
      <c r="O435" s="8" t="s">
        <v>206</v>
      </c>
      <c r="P435" s="8"/>
      <c r="Q435" s="8"/>
      <c r="R435" s="8" t="s">
        <v>28</v>
      </c>
      <c r="S435" s="2" t="s">
        <v>229</v>
      </c>
      <c r="T435" s="2">
        <f>IF(C435=0,0,IF(C435&gt;=CALL_LOOKUP_BOARD!$B$7,IF(OR(K435="Problem Call",K435="Explosive Alert"),10000000,20000000),0)+IF(C435&gt;=CALL_LOOKUP_BOARD!$B$7,J435*1000+MIN(C435,999),C435*1000+J435)+0.00993900)</f>
        <v>2010.009939</v>
      </c>
      <c r="U435" s="2">
        <f>IF(C435=0,"",IF(COUNTIFS($S$375:$S$581,SUBSTITUTE(SUBSTITUTE(SUBSTITUTE(S435,"~","~~"),"*","~*"),"?","~?"),$T$375:$T$581,"&gt;"&amp;T435)=0,S435,""))</f>
        <v/>
      </c>
    </row>
    <row r="436" spans="1:21" ht="38" customHeight="1">
      <c r="A436" s="8" t="s">
        <v>228</v>
      </c>
      <c r="B436" s="8" t="s">
        <v>74</v>
      </c>
      <c r="C436" s="12">
        <f>COUNTIFS('DEF_SELF_SCOUT_IMPORT'!$L$42:$L$1040,"Y",'DEF_SELF_SCOUT_IMPORT'!$E$42:$E$1040,SUBSTITUTE(SUBSTITUTE(SUBSTITUTE($B436,"~","~~"),"*","~*"),"?","~?"),'DEF_SELF_SCOUT_IMPORT'!$Q$42:$Q$1040,SUBSTITUTE(SUBSTITUTE(SUBSTITUTE($M436,"~","~~"),"*","~*"),"?","~?"),'DEF_SELF_SCOUT_IMPORT'!$G$42:$G$1040,SUBSTITUTE(SUBSTITUTE(SUBSTITUTE($O436,"~","~~"),"*","~*"),"?","~?"))</f>
        <v>1</v>
      </c>
      <c r="D436" s="10">
        <f>IF($C436=0,"",SUMIFS('DEF_SELF_SCOUT_IMPORT'!$J$42:$J$1040,'DEF_SELF_SCOUT_IMPORT'!$L$42:$L$1040,"Y",'DEF_SELF_SCOUT_IMPORT'!$E$42:$E$1040,SUBSTITUTE(SUBSTITUTE(SUBSTITUTE($B436,"~","~~"),"*","~*"),"?","~?"),'DEF_SELF_SCOUT_IMPORT'!$Q$42:$Q$1040,SUBSTITUTE(SUBSTITUTE(SUBSTITUTE($M436,"~","~~"),"*","~*"),"?","~?"),'DEF_SELF_SCOUT_IMPORT'!$G$42:$G$1040,SUBSTITUTE(SUBSTITUTE(SUBSTITUTE($O436,"~","~~"),"*","~*"),"?","~?"))/$C436)</f>
        <v>1.0</v>
      </c>
      <c r="E436" s="10">
        <f>IF($C436=0,"",SUMIFS('DEF_SELF_SCOUT_IMPORT'!$K$42:$K$1040,'DEF_SELF_SCOUT_IMPORT'!$L$42:$L$1040,"Y",'DEF_SELF_SCOUT_IMPORT'!$E$42:$E$1040,SUBSTITUTE(SUBSTITUTE(SUBSTITUTE($B436,"~","~~"),"*","~*"),"?","~?"),'DEF_SELF_SCOUT_IMPORT'!$Q$42:$Q$1040,SUBSTITUTE(SUBSTITUTE(SUBSTITUTE($M436,"~","~~"),"*","~*"),"?","~?"),'DEF_SELF_SCOUT_IMPORT'!$G$42:$G$1040,SUBSTITUTE(SUBSTITUTE(SUBSTITUTE($O436,"~","~~"),"*","~*"),"?","~?"))/$C436)</f>
        <v>0.0</v>
      </c>
      <c r="F436" s="11">
        <f>IF($C436=0,"",AVERAGEIFS('DEF_SELF_SCOUT_IMPORT'!$I$42:$I$1040,'DEF_SELF_SCOUT_IMPORT'!$L$42:$L$1040,"Y",'DEF_SELF_SCOUT_IMPORT'!$E$42:$E$1040,SUBSTITUTE(SUBSTITUTE(SUBSTITUTE($B436,"~","~~"),"*","~*"),"?","~?"),'DEF_SELF_SCOUT_IMPORT'!$Q$42:$Q$1040,SUBSTITUTE(SUBSTITUTE(SUBSTITUTE($M436,"~","~~"),"*","~*"),"?","~?"),'DEF_SELF_SCOUT_IMPORT'!$G$42:$G$1040,SUBSTITUTE(SUBSTITUTE(SUBSTITUTE($O436,"~","~~"),"*","~*"),"?","~?")))</f>
        <v>-8.0</v>
      </c>
      <c r="G436" s="10">
        <f>IF($C436=0,"",COUNTIFS('DEF_SELF_SCOUT_IMPORT'!$L$42:$L$1040,"Y",'DEF_SELF_SCOUT_IMPORT'!$E$42:$E$1040,SUBSTITUTE(SUBSTITUTE(SUBSTITUTE($B436,"~","~~"),"*","~*"),"?","~?"),'DEF_SELF_SCOUT_IMPORT'!$Q$42:$Q$1040,SUBSTITUTE(SUBSTITUTE(SUBSTITUTE($M436,"~","~~"),"*","~*"),"?","~?"),'DEF_SELF_SCOUT_IMPORT'!$G$42:$G$1040,SUBSTITUTE(SUBSTITUTE(SUBSTITUTE($O436,"~","~~"),"*","~*"),"?","~?"),'DEF_SELF_SCOUT_IMPORT'!$H$42:$H$1040,"RUSH")/$C436)</f>
        <v>0.0</v>
      </c>
      <c r="H436" s="10">
        <f>IF($C436=0,"",COUNTIFS('DEF_SELF_SCOUT_IMPORT'!$L$42:$L$1040,"Y",'DEF_SELF_SCOUT_IMPORT'!$E$42:$E$1040,SUBSTITUTE(SUBSTITUTE(SUBSTITUTE($B436,"~","~~"),"*","~*"),"?","~?"),'DEF_SELF_SCOUT_IMPORT'!$Q$42:$Q$1040,SUBSTITUTE(SUBSTITUTE(SUBSTITUTE($M436,"~","~~"),"*","~*"),"?","~?"),'DEF_SELF_SCOUT_IMPORT'!$G$42:$G$1040,SUBSTITUTE(SUBSTITUTE(SUBSTITUTE($O436,"~","~~"),"*","~*"),"?","~?"),'DEF_SELF_SCOUT_IMPORT'!$H$42:$H$1040,"DROPBACK")/$C436)</f>
        <v>1.0</v>
      </c>
      <c r="I436" s="14" t="str">
        <f>IF(C436=0,"",IF(C436&lt;=2,"TRACK",IF(C436=3,"LOW",IF(C436&lt;=6,"MEDIUM","HIGH"))))</f>
        <v>TRACK</v>
      </c>
      <c r="J436" s="11">
        <f>IF(C436=0,"",ROUND(D436*70+(1-E436)*20+MAX(0,MIN(1,(10-F436)/10))*10,1))</f>
        <v>100.0</v>
      </c>
      <c r="K436" s="14" t="str">
        <f>IF(C436=0,"No Evidence",IF(C436&lt;=2,IF(E436&gt;0,"Explosive Alert","Track Only"),IF(C436=3,"Sample Watch",IF(E436&gt;=START_HERE!$B$31,"Explosive Alert",IF(J436&gt;=80,"Strong Candidate",IF(J436&gt;=65,"Good Candidate",IF(J436&gt;=50,"Mixed / Review","Problem Call")))))))</f>
        <v>Track Only</v>
      </c>
      <c r="L436" s="9" t="str">
        <f>IF(COUNTIFS('DEF_SELF_SCOUT_IMPORT'!$L$42:$L$1040,"Y",'DEF_SELF_SCOUT_IMPORT'!$E$42:$E$1040,SUBSTITUTE(SUBSTITUTE(SUBSTITUTE($B436,"~","~~"),"*","~*"),"?","~?"),'DEF_SELF_SCOUT_IMPORT'!$Q$42:$Q$1040,SUBSTITUTE(SUBSTITUTE(SUBSTITUTE($M436,"~","~~"),"*","~*"),"?","~?"),'DEF_SELF_SCOUT_IMPORT'!$G$42:$G$1040,SUBSTITUTE(SUBSTITUTE(SUBSTITUTE($O436,"~","~~"),"*","~*"),"?","~?"),'DEF_SELF_SCOUT_IMPORT'!$J$42:$J$1040,"")&gt;0,"Unscored clean outcome; review result tags before using score.",IF(C436=0,"No matching defensive reps; film confirmation needed.",IF(K436="Explosive Alert","Explosive risk; review clips before using as answer.",IF(C436&lt;=2,"Track only; not enough sample.",IF(C436=3,IF(E436&gt;0,"Sample watch with explosive exposure; review clips and build the sample.",IF(J436&gt;=65,"Good signal, but sample is limited.","Sample watch; review clips and build the sample.")),IF(K436="Problem Call","Problem area; practice or call-sheet review.",IF(K436="Strong Candidate","Strong call-fit candidate; confirm on film.",IF(K436="Good Candidate","Good call-fit signal; confirm on film.","Mixed signal; review fit and execution on film."))))))))</f>
        <v>Track only; not enough sample.</v>
      </c>
      <c r="M436" s="8" t="s">
        <v>70</v>
      </c>
      <c r="N436" s="8"/>
      <c r="O436" s="8" t="s">
        <v>206</v>
      </c>
      <c r="P436" s="8"/>
      <c r="Q436" s="8"/>
      <c r="R436" s="8" t="s">
        <v>28</v>
      </c>
      <c r="S436" s="2" t="s">
        <v>229</v>
      </c>
      <c r="T436" s="2">
        <f>IF(C436=0,0,IF(C436&gt;=CALL_LOOKUP_BOARD!$B$7,IF(OR(K436="Problem Call",K436="Explosive Alert"),10000000,20000000),0)+IF(C436&gt;=CALL_LOOKUP_BOARD!$B$7,J436*1000+MIN(C436,999),C436*1000+J436)+0.00993800)</f>
        <v>1100.009938</v>
      </c>
      <c r="U436" s="2">
        <f>IF(C436=0,"",IF(COUNTIFS($S$375:$S$581,SUBSTITUTE(SUBSTITUTE(SUBSTITUTE(S436,"~","~~"),"*","~*"),"?","~?"),$T$375:$T$581,"&gt;"&amp;T436)=0,S436,""))</f>
        <v/>
      </c>
    </row>
    <row r="437" spans="1:21" ht="38" customHeight="1">
      <c r="A437" s="8" t="s">
        <v>228</v>
      </c>
      <c r="B437" s="8" t="s">
        <v>68</v>
      </c>
      <c r="C437" s="12">
        <f>COUNTIFS('DEF_SELF_SCOUT_IMPORT'!$L$42:$L$1040,"Y",'DEF_SELF_SCOUT_IMPORT'!$E$42:$E$1040,SUBSTITUTE(SUBSTITUTE(SUBSTITUTE($B437,"~","~~"),"*","~*"),"?","~?"),'DEF_SELF_SCOUT_IMPORT'!$Q$42:$Q$1040,SUBSTITUTE(SUBSTITUTE(SUBSTITUTE($M437,"~","~~"),"*","~*"),"?","~?"),'DEF_SELF_SCOUT_IMPORT'!$G$42:$G$1040,SUBSTITUTE(SUBSTITUTE(SUBSTITUTE($O437,"~","~~"),"*","~*"),"?","~?"))</f>
        <v>1</v>
      </c>
      <c r="D437" s="10">
        <f>IF($C437=0,"",SUMIFS('DEF_SELF_SCOUT_IMPORT'!$J$42:$J$1040,'DEF_SELF_SCOUT_IMPORT'!$L$42:$L$1040,"Y",'DEF_SELF_SCOUT_IMPORT'!$E$42:$E$1040,SUBSTITUTE(SUBSTITUTE(SUBSTITUTE($B437,"~","~~"),"*","~*"),"?","~?"),'DEF_SELF_SCOUT_IMPORT'!$Q$42:$Q$1040,SUBSTITUTE(SUBSTITUTE(SUBSTITUTE($M437,"~","~~"),"*","~*"),"?","~?"),'DEF_SELF_SCOUT_IMPORT'!$G$42:$G$1040,SUBSTITUTE(SUBSTITUTE(SUBSTITUTE($O437,"~","~~"),"*","~*"),"?","~?"))/$C437)</f>
        <v>0.0</v>
      </c>
      <c r="E437" s="10">
        <f>IF($C437=0,"",SUMIFS('DEF_SELF_SCOUT_IMPORT'!$K$42:$K$1040,'DEF_SELF_SCOUT_IMPORT'!$L$42:$L$1040,"Y",'DEF_SELF_SCOUT_IMPORT'!$E$42:$E$1040,SUBSTITUTE(SUBSTITUTE(SUBSTITUTE($B437,"~","~~"),"*","~*"),"?","~?"),'DEF_SELF_SCOUT_IMPORT'!$Q$42:$Q$1040,SUBSTITUTE(SUBSTITUTE(SUBSTITUTE($M437,"~","~~"),"*","~*"),"?","~?"),'DEF_SELF_SCOUT_IMPORT'!$G$42:$G$1040,SUBSTITUTE(SUBSTITUTE(SUBSTITUTE($O437,"~","~~"),"*","~*"),"?","~?"))/$C437)</f>
        <v>0.0</v>
      </c>
      <c r="F437" s="11">
        <f>IF($C437=0,"",AVERAGEIFS('DEF_SELF_SCOUT_IMPORT'!$I$42:$I$1040,'DEF_SELF_SCOUT_IMPORT'!$L$42:$L$1040,"Y",'DEF_SELF_SCOUT_IMPORT'!$E$42:$E$1040,SUBSTITUTE(SUBSTITUTE(SUBSTITUTE($B437,"~","~~"),"*","~*"),"?","~?"),'DEF_SELF_SCOUT_IMPORT'!$Q$42:$Q$1040,SUBSTITUTE(SUBSTITUTE(SUBSTITUTE($M437,"~","~~"),"*","~*"),"?","~?"),'DEF_SELF_SCOUT_IMPORT'!$G$42:$G$1040,SUBSTITUTE(SUBSTITUTE(SUBSTITUTE($O437,"~","~~"),"*","~*"),"?","~?")))</f>
        <v>5.0</v>
      </c>
      <c r="G437" s="10">
        <f>IF($C437=0,"",COUNTIFS('DEF_SELF_SCOUT_IMPORT'!$L$42:$L$1040,"Y",'DEF_SELF_SCOUT_IMPORT'!$E$42:$E$1040,SUBSTITUTE(SUBSTITUTE(SUBSTITUTE($B437,"~","~~"),"*","~*"),"?","~?"),'DEF_SELF_SCOUT_IMPORT'!$Q$42:$Q$1040,SUBSTITUTE(SUBSTITUTE(SUBSTITUTE($M437,"~","~~"),"*","~*"),"?","~?"),'DEF_SELF_SCOUT_IMPORT'!$G$42:$G$1040,SUBSTITUTE(SUBSTITUTE(SUBSTITUTE($O437,"~","~~"),"*","~*"),"?","~?"),'DEF_SELF_SCOUT_IMPORT'!$H$42:$H$1040,"RUSH")/$C437)</f>
        <v>1.0</v>
      </c>
      <c r="H437" s="10">
        <f>IF($C437=0,"",COUNTIFS('DEF_SELF_SCOUT_IMPORT'!$L$42:$L$1040,"Y",'DEF_SELF_SCOUT_IMPORT'!$E$42:$E$1040,SUBSTITUTE(SUBSTITUTE(SUBSTITUTE($B437,"~","~~"),"*","~*"),"?","~?"),'DEF_SELF_SCOUT_IMPORT'!$Q$42:$Q$1040,SUBSTITUTE(SUBSTITUTE(SUBSTITUTE($M437,"~","~~"),"*","~*"),"?","~?"),'DEF_SELF_SCOUT_IMPORT'!$G$42:$G$1040,SUBSTITUTE(SUBSTITUTE(SUBSTITUTE($O437,"~","~~"),"*","~*"),"?","~?"),'DEF_SELF_SCOUT_IMPORT'!$H$42:$H$1040,"DROPBACK")/$C437)</f>
        <v>0.0</v>
      </c>
      <c r="I437" s="14" t="str">
        <f>IF(C437=0,"",IF(C437&lt;=2,"TRACK",IF(C437=3,"LOW",IF(C437&lt;=6,"MEDIUM","HIGH"))))</f>
        <v>TRACK</v>
      </c>
      <c r="J437" s="11">
        <f>IF(C437=0,"",ROUND(D437*70+(1-E437)*20+MAX(0,MIN(1,(10-F437)/10))*10,1))</f>
        <v>25.0</v>
      </c>
      <c r="K437" s="14" t="str">
        <f>IF(C437=0,"No Evidence",IF(C437&lt;=2,IF(E437&gt;0,"Explosive Alert","Track Only"),IF(C437=3,"Sample Watch",IF(E437&gt;=START_HERE!$B$31,"Explosive Alert",IF(J437&gt;=80,"Strong Candidate",IF(J437&gt;=65,"Good Candidate",IF(J437&gt;=50,"Mixed / Review","Problem Call")))))))</f>
        <v>Track Only</v>
      </c>
      <c r="L437" s="9" t="str">
        <f>IF(COUNTIFS('DEF_SELF_SCOUT_IMPORT'!$L$42:$L$1040,"Y",'DEF_SELF_SCOUT_IMPORT'!$E$42:$E$1040,SUBSTITUTE(SUBSTITUTE(SUBSTITUTE($B437,"~","~~"),"*","~*"),"?","~?"),'DEF_SELF_SCOUT_IMPORT'!$Q$42:$Q$1040,SUBSTITUTE(SUBSTITUTE(SUBSTITUTE($M437,"~","~~"),"*","~*"),"?","~?"),'DEF_SELF_SCOUT_IMPORT'!$G$42:$G$1040,SUBSTITUTE(SUBSTITUTE(SUBSTITUTE($O437,"~","~~"),"*","~*"),"?","~?"),'DEF_SELF_SCOUT_IMPORT'!$J$42:$J$1040,"")&gt;0,"Unscored clean outcome; review result tags before using score.",IF(C437=0,"No matching defensive reps; film confirmation needed.",IF(K437="Explosive Alert","Explosive risk; review clips before using as answer.",IF(C437&lt;=2,"Track only; not enough sample.",IF(C437=3,IF(E437&gt;0,"Sample watch with explosive exposure; review clips and build the sample.",IF(J437&gt;=65,"Good signal, but sample is limited.","Sample watch; review clips and build the sample.")),IF(K437="Problem Call","Problem area; practice or call-sheet review.",IF(K437="Strong Candidate","Strong call-fit candidate; confirm on film.",IF(K437="Good Candidate","Good call-fit signal; confirm on film.","Mixed signal; review fit and execution on film."))))))))</f>
        <v>Track only; not enough sample.</v>
      </c>
      <c r="M437" s="8" t="s">
        <v>70</v>
      </c>
      <c r="N437" s="8"/>
      <c r="O437" s="8" t="s">
        <v>206</v>
      </c>
      <c r="P437" s="8"/>
      <c r="Q437" s="8"/>
      <c r="R437" s="8" t="s">
        <v>28</v>
      </c>
      <c r="S437" s="2" t="s">
        <v>229</v>
      </c>
      <c r="T437" s="2">
        <f>IF(C437=0,0,IF(C437&gt;=CALL_LOOKUP_BOARD!$B$7,IF(OR(K437="Problem Call",K437="Explosive Alert"),10000000,20000000),0)+IF(C437&gt;=CALL_LOOKUP_BOARD!$B$7,J437*1000+MIN(C437,999),C437*1000+J437)+0.00993700)</f>
        <v>1025.009937</v>
      </c>
      <c r="U437" s="2">
        <f>IF(C437=0,"",IF(COUNTIFS($S$375:$S$581,SUBSTITUTE(SUBSTITUTE(SUBSTITUTE(S437,"~","~~"),"*","~*"),"?","~?"),$T$375:$T$581,"&gt;"&amp;T437)=0,S437,""))</f>
        <v/>
      </c>
    </row>
    <row r="438" spans="1:21" ht="38" customHeight="1">
      <c r="A438" s="8" t="s">
        <v>230</v>
      </c>
      <c r="B438" s="8" t="s">
        <v>46</v>
      </c>
      <c r="C438" s="12">
        <f>COUNTIFS('DEF_SELF_SCOUT_IMPORT'!$L$42:$L$1040,"Y",'DEF_SELF_SCOUT_IMPORT'!$E$42:$E$1040,SUBSTITUTE(SUBSTITUTE(SUBSTITUTE($B438,"~","~~"),"*","~*"),"?","~?"),'DEF_SELF_SCOUT_IMPORT'!$Q$42:$Q$1040,SUBSTITUTE(SUBSTITUTE(SUBSTITUTE($M438,"~","~~"),"*","~*"),"?","~?"),'DEF_SELF_SCOUT_IMPORT'!$G$42:$G$1040,SUBSTITUTE(SUBSTITUTE(SUBSTITUTE($O438,"~","~~"),"*","~*"),"?","~?"))</f>
        <v>1</v>
      </c>
      <c r="D438" s="10">
        <f>IF($C438=0,"",SUMIFS('DEF_SELF_SCOUT_IMPORT'!$J$42:$J$1040,'DEF_SELF_SCOUT_IMPORT'!$L$42:$L$1040,"Y",'DEF_SELF_SCOUT_IMPORT'!$E$42:$E$1040,SUBSTITUTE(SUBSTITUTE(SUBSTITUTE($B438,"~","~~"),"*","~*"),"?","~?"),'DEF_SELF_SCOUT_IMPORT'!$Q$42:$Q$1040,SUBSTITUTE(SUBSTITUTE(SUBSTITUTE($M438,"~","~~"),"*","~*"),"?","~?"),'DEF_SELF_SCOUT_IMPORT'!$G$42:$G$1040,SUBSTITUTE(SUBSTITUTE(SUBSTITUTE($O438,"~","~~"),"*","~*"),"?","~?"))/$C438)</f>
        <v>1.0</v>
      </c>
      <c r="E438" s="10">
        <f>IF($C438=0,"",SUMIFS('DEF_SELF_SCOUT_IMPORT'!$K$42:$K$1040,'DEF_SELF_SCOUT_IMPORT'!$L$42:$L$1040,"Y",'DEF_SELF_SCOUT_IMPORT'!$E$42:$E$1040,SUBSTITUTE(SUBSTITUTE(SUBSTITUTE($B438,"~","~~"),"*","~*"),"?","~?"),'DEF_SELF_SCOUT_IMPORT'!$Q$42:$Q$1040,SUBSTITUTE(SUBSTITUTE(SUBSTITUTE($M438,"~","~~"),"*","~*"),"?","~?"),'DEF_SELF_SCOUT_IMPORT'!$G$42:$G$1040,SUBSTITUTE(SUBSTITUTE(SUBSTITUTE($O438,"~","~~"),"*","~*"),"?","~?"))/$C438)</f>
        <v>0.0</v>
      </c>
      <c r="F438" s="11">
        <f>IF($C438=0,"",AVERAGEIFS('DEF_SELF_SCOUT_IMPORT'!$I$42:$I$1040,'DEF_SELF_SCOUT_IMPORT'!$L$42:$L$1040,"Y",'DEF_SELF_SCOUT_IMPORT'!$E$42:$E$1040,SUBSTITUTE(SUBSTITUTE(SUBSTITUTE($B438,"~","~~"),"*","~*"),"?","~?"),'DEF_SELF_SCOUT_IMPORT'!$Q$42:$Q$1040,SUBSTITUTE(SUBSTITUTE(SUBSTITUTE($M438,"~","~~"),"*","~*"),"?","~?"),'DEF_SELF_SCOUT_IMPORT'!$G$42:$G$1040,SUBSTITUTE(SUBSTITUTE(SUBSTITUTE($O438,"~","~~"),"*","~*"),"?","~?")))</f>
        <v>-2.0</v>
      </c>
      <c r="G438" s="10">
        <f>IF($C438=0,"",COUNTIFS('DEF_SELF_SCOUT_IMPORT'!$L$42:$L$1040,"Y",'DEF_SELF_SCOUT_IMPORT'!$E$42:$E$1040,SUBSTITUTE(SUBSTITUTE(SUBSTITUTE($B438,"~","~~"),"*","~*"),"?","~?"),'DEF_SELF_SCOUT_IMPORT'!$Q$42:$Q$1040,SUBSTITUTE(SUBSTITUTE(SUBSTITUTE($M438,"~","~~"),"*","~*"),"?","~?"),'DEF_SELF_SCOUT_IMPORT'!$G$42:$G$1040,SUBSTITUTE(SUBSTITUTE(SUBSTITUTE($O438,"~","~~"),"*","~*"),"?","~?"),'DEF_SELF_SCOUT_IMPORT'!$H$42:$H$1040,"RUSH")/$C438)</f>
        <v>0.0</v>
      </c>
      <c r="H438" s="10">
        <f>IF($C438=0,"",COUNTIFS('DEF_SELF_SCOUT_IMPORT'!$L$42:$L$1040,"Y",'DEF_SELF_SCOUT_IMPORT'!$E$42:$E$1040,SUBSTITUTE(SUBSTITUTE(SUBSTITUTE($B438,"~","~~"),"*","~*"),"?","~?"),'DEF_SELF_SCOUT_IMPORT'!$Q$42:$Q$1040,SUBSTITUTE(SUBSTITUTE(SUBSTITUTE($M438,"~","~~"),"*","~*"),"?","~?"),'DEF_SELF_SCOUT_IMPORT'!$G$42:$G$1040,SUBSTITUTE(SUBSTITUTE(SUBSTITUTE($O438,"~","~~"),"*","~*"),"?","~?"),'DEF_SELF_SCOUT_IMPORT'!$H$42:$H$1040,"DROPBACK")/$C438)</f>
        <v>1.0</v>
      </c>
      <c r="I438" s="14" t="str">
        <f>IF(C438=0,"",IF(C438&lt;=2,"TRACK",IF(C438=3,"LOW",IF(C438&lt;=6,"MEDIUM","HIGH"))))</f>
        <v>TRACK</v>
      </c>
      <c r="J438" s="11">
        <f>IF(C438=0,"",ROUND(D438*70+(1-E438)*20+MAX(0,MIN(1,(10-F438)/10))*10,1))</f>
        <v>100.0</v>
      </c>
      <c r="K438" s="14" t="str">
        <f>IF(C438=0,"No Evidence",IF(C438&lt;=2,IF(E438&gt;0,"Explosive Alert","Track Only"),IF(C438=3,"Sample Watch",IF(E438&gt;=START_HERE!$B$31,"Explosive Alert",IF(J438&gt;=80,"Strong Candidate",IF(J438&gt;=65,"Good Candidate",IF(J438&gt;=50,"Mixed / Review","Problem Call")))))))</f>
        <v>Track Only</v>
      </c>
      <c r="L438" s="9" t="str">
        <f>IF(COUNTIFS('DEF_SELF_SCOUT_IMPORT'!$L$42:$L$1040,"Y",'DEF_SELF_SCOUT_IMPORT'!$E$42:$E$1040,SUBSTITUTE(SUBSTITUTE(SUBSTITUTE($B438,"~","~~"),"*","~*"),"?","~?"),'DEF_SELF_SCOUT_IMPORT'!$Q$42:$Q$1040,SUBSTITUTE(SUBSTITUTE(SUBSTITUTE($M438,"~","~~"),"*","~*"),"?","~?"),'DEF_SELF_SCOUT_IMPORT'!$G$42:$G$1040,SUBSTITUTE(SUBSTITUTE(SUBSTITUTE($O438,"~","~~"),"*","~*"),"?","~?"),'DEF_SELF_SCOUT_IMPORT'!$J$42:$J$1040,"")&gt;0,"Unscored clean outcome; review result tags before using score.",IF(C438=0,"No matching defensive reps; film confirmation needed.",IF(K438="Explosive Alert","Explosive risk; review clips before using as answer.",IF(C438&lt;=2,"Track only; not enough sample.",IF(C438=3,IF(E438&gt;0,"Sample watch with explosive exposure; review clips and build the sample.",IF(J438&gt;=65,"Good signal, but sample is limited.","Sample watch; review clips and build the sample.")),IF(K438="Problem Call","Problem area; practice or call-sheet review.",IF(K438="Strong Candidate","Strong call-fit candidate; confirm on film.",IF(K438="Good Candidate","Good call-fit signal; confirm on film.","Mixed signal; review fit and execution on film."))))))))</f>
        <v>Track only; not enough sample.</v>
      </c>
      <c r="M438" s="8" t="s">
        <v>76</v>
      </c>
      <c r="N438" s="8"/>
      <c r="O438" s="8" t="s">
        <v>203</v>
      </c>
      <c r="P438" s="8"/>
      <c r="Q438" s="8"/>
      <c r="R438" s="8" t="s">
        <v>28</v>
      </c>
      <c r="S438" s="2" t="s">
        <v>231</v>
      </c>
      <c r="T438" s="2">
        <f>IF(C438=0,0,IF(C438&gt;=CALL_LOOKUP_BOARD!$B$7,IF(OR(K438="Problem Call",K438="Explosive Alert"),10000000,20000000),0)+IF(C438&gt;=CALL_LOOKUP_BOARD!$B$7,J438*1000+MIN(C438,999),C438*1000+J438)+0.00993600)</f>
        <v>1100.009936</v>
      </c>
      <c r="U438" s="2" t="str">
        <f>IF(C438=0,"",IF(COUNTIFS($S$375:$S$581,SUBSTITUTE(SUBSTITUTE(SUBSTITUTE(S438,"~","~~"),"*","~*"),"?","~?"),$T$375:$T$581,"&gt;"&amp;T438)=0,S438,""))</f>
        <v>6:2D 11+|3:2X2|</v>
      </c>
    </row>
    <row r="439" spans="1:21" ht="38" customHeight="1">
      <c r="A439" s="8" t="s">
        <v>230</v>
      </c>
      <c r="B439" s="8" t="s">
        <v>79</v>
      </c>
      <c r="C439" s="12">
        <f>COUNTIFS('DEF_SELF_SCOUT_IMPORT'!$L$42:$L$1040,"Y",'DEF_SELF_SCOUT_IMPORT'!$E$42:$E$1040,SUBSTITUTE(SUBSTITUTE(SUBSTITUTE($B439,"~","~~"),"*","~*"),"?","~?"),'DEF_SELF_SCOUT_IMPORT'!$Q$42:$Q$1040,SUBSTITUTE(SUBSTITUTE(SUBSTITUTE($M439,"~","~~"),"*","~*"),"?","~?"),'DEF_SELF_SCOUT_IMPORT'!$G$42:$G$1040,SUBSTITUTE(SUBSTITUTE(SUBSTITUTE($O439,"~","~~"),"*","~*"),"?","~?"))</f>
        <v>1</v>
      </c>
      <c r="D439" s="10">
        <f>IF($C439=0,"",SUMIFS('DEF_SELF_SCOUT_IMPORT'!$J$42:$J$1040,'DEF_SELF_SCOUT_IMPORT'!$L$42:$L$1040,"Y",'DEF_SELF_SCOUT_IMPORT'!$E$42:$E$1040,SUBSTITUTE(SUBSTITUTE(SUBSTITUTE($B439,"~","~~"),"*","~*"),"?","~?"),'DEF_SELF_SCOUT_IMPORT'!$Q$42:$Q$1040,SUBSTITUTE(SUBSTITUTE(SUBSTITUTE($M439,"~","~~"),"*","~*"),"?","~?"),'DEF_SELF_SCOUT_IMPORT'!$G$42:$G$1040,SUBSTITUTE(SUBSTITUTE(SUBSTITUTE($O439,"~","~~"),"*","~*"),"?","~?"))/$C439)</f>
        <v>0.0</v>
      </c>
      <c r="E439" s="10">
        <f>IF($C439=0,"",SUMIFS('DEF_SELF_SCOUT_IMPORT'!$K$42:$K$1040,'DEF_SELF_SCOUT_IMPORT'!$L$42:$L$1040,"Y",'DEF_SELF_SCOUT_IMPORT'!$E$42:$E$1040,SUBSTITUTE(SUBSTITUTE(SUBSTITUTE($B439,"~","~~"),"*","~*"),"?","~?"),'DEF_SELF_SCOUT_IMPORT'!$Q$42:$Q$1040,SUBSTITUTE(SUBSTITUTE(SUBSTITUTE($M439,"~","~~"),"*","~*"),"?","~?"),'DEF_SELF_SCOUT_IMPORT'!$G$42:$G$1040,SUBSTITUTE(SUBSTITUTE(SUBSTITUTE($O439,"~","~~"),"*","~*"),"?","~?"))/$C439)</f>
        <v>1.0</v>
      </c>
      <c r="F439" s="11">
        <f>IF($C439=0,"",AVERAGEIFS('DEF_SELF_SCOUT_IMPORT'!$I$42:$I$1040,'DEF_SELF_SCOUT_IMPORT'!$L$42:$L$1040,"Y",'DEF_SELF_SCOUT_IMPORT'!$E$42:$E$1040,SUBSTITUTE(SUBSTITUTE(SUBSTITUTE($B439,"~","~~"),"*","~*"),"?","~?"),'DEF_SELF_SCOUT_IMPORT'!$Q$42:$Q$1040,SUBSTITUTE(SUBSTITUTE(SUBSTITUTE($M439,"~","~~"),"*","~*"),"?","~?"),'DEF_SELF_SCOUT_IMPORT'!$G$42:$G$1040,SUBSTITUTE(SUBSTITUTE(SUBSTITUTE($O439,"~","~~"),"*","~*"),"?","~?")))</f>
        <v>15.0</v>
      </c>
      <c r="G439" s="10">
        <f>IF($C439=0,"",COUNTIFS('DEF_SELF_SCOUT_IMPORT'!$L$42:$L$1040,"Y",'DEF_SELF_SCOUT_IMPORT'!$E$42:$E$1040,SUBSTITUTE(SUBSTITUTE(SUBSTITUTE($B439,"~","~~"),"*","~*"),"?","~?"),'DEF_SELF_SCOUT_IMPORT'!$Q$42:$Q$1040,SUBSTITUTE(SUBSTITUTE(SUBSTITUTE($M439,"~","~~"),"*","~*"),"?","~?"),'DEF_SELF_SCOUT_IMPORT'!$G$42:$G$1040,SUBSTITUTE(SUBSTITUTE(SUBSTITUTE($O439,"~","~~"),"*","~*"),"?","~?"),'DEF_SELF_SCOUT_IMPORT'!$H$42:$H$1040,"RUSH")/$C439)</f>
        <v>0.0</v>
      </c>
      <c r="H439" s="10">
        <f>IF($C439=0,"",COUNTIFS('DEF_SELF_SCOUT_IMPORT'!$L$42:$L$1040,"Y",'DEF_SELF_SCOUT_IMPORT'!$E$42:$E$1040,SUBSTITUTE(SUBSTITUTE(SUBSTITUTE($B439,"~","~~"),"*","~*"),"?","~?"),'DEF_SELF_SCOUT_IMPORT'!$Q$42:$Q$1040,SUBSTITUTE(SUBSTITUTE(SUBSTITUTE($M439,"~","~~"),"*","~*"),"?","~?"),'DEF_SELF_SCOUT_IMPORT'!$G$42:$G$1040,SUBSTITUTE(SUBSTITUTE(SUBSTITUTE($O439,"~","~~"),"*","~*"),"?","~?"),'DEF_SELF_SCOUT_IMPORT'!$H$42:$H$1040,"DROPBACK")/$C439)</f>
        <v>1.0</v>
      </c>
      <c r="I439" s="14" t="str">
        <f>IF(C439=0,"",IF(C439&lt;=2,"TRACK",IF(C439=3,"LOW",IF(C439&lt;=6,"MEDIUM","HIGH"))))</f>
        <v>TRACK</v>
      </c>
      <c r="J439" s="11">
        <f>IF(C439=0,"",ROUND(D439*70+(1-E439)*20+MAX(0,MIN(1,(10-F439)/10))*10,1))</f>
        <v>0.0</v>
      </c>
      <c r="K439" s="14" t="str">
        <f>IF(C439=0,"No Evidence",IF(C439&lt;=2,IF(E439&gt;0,"Explosive Alert","Track Only"),IF(C439=3,"Sample Watch",IF(E439&gt;=START_HERE!$B$31,"Explosive Alert",IF(J439&gt;=80,"Strong Candidate",IF(J439&gt;=65,"Good Candidate",IF(J439&gt;=50,"Mixed / Review","Problem Call")))))))</f>
        <v>Explosive Alert</v>
      </c>
      <c r="L439" s="9" t="str">
        <f>IF(COUNTIFS('DEF_SELF_SCOUT_IMPORT'!$L$42:$L$1040,"Y",'DEF_SELF_SCOUT_IMPORT'!$E$42:$E$1040,SUBSTITUTE(SUBSTITUTE(SUBSTITUTE($B439,"~","~~"),"*","~*"),"?","~?"),'DEF_SELF_SCOUT_IMPORT'!$Q$42:$Q$1040,SUBSTITUTE(SUBSTITUTE(SUBSTITUTE($M439,"~","~~"),"*","~*"),"?","~?"),'DEF_SELF_SCOUT_IMPORT'!$G$42:$G$1040,SUBSTITUTE(SUBSTITUTE(SUBSTITUTE($O439,"~","~~"),"*","~*"),"?","~?"),'DEF_SELF_SCOUT_IMPORT'!$J$42:$J$1040,"")&gt;0,"Unscored clean outcome; review result tags before using score.",IF(C439=0,"No matching defensive reps; film confirmation needed.",IF(K439="Explosive Alert","Explosive risk; review clips before using as answer.",IF(C439&lt;=2,"Track only; not enough sample.",IF(C439=3,IF(E439&gt;0,"Sample watch with explosive exposure; review clips and build the sample.",IF(J439&gt;=65,"Good signal, but sample is limited.","Sample watch; review clips and build the sample.")),IF(K439="Problem Call","Problem area; practice or call-sheet review.",IF(K439="Strong Candidate","Strong call-fit candidate; confirm on film.",IF(K439="Good Candidate","Good call-fit signal; confirm on film.","Mixed signal; review fit and execution on film."))))))))</f>
        <v>Explosive risk; review clips before using as answer.</v>
      </c>
      <c r="M439" s="8" t="s">
        <v>76</v>
      </c>
      <c r="N439" s="8"/>
      <c r="O439" s="8" t="s">
        <v>203</v>
      </c>
      <c r="P439" s="8"/>
      <c r="Q439" s="8"/>
      <c r="R439" s="8" t="s">
        <v>28</v>
      </c>
      <c r="S439" s="2" t="s">
        <v>231</v>
      </c>
      <c r="T439" s="2">
        <f>IF(C439=0,0,IF(C439&gt;=CALL_LOOKUP_BOARD!$B$7,IF(OR(K439="Problem Call",K439="Explosive Alert"),10000000,20000000),0)+IF(C439&gt;=CALL_LOOKUP_BOARD!$B$7,J439*1000+MIN(C439,999),C439*1000+J439)+0.00993500)</f>
        <v>1000.009935</v>
      </c>
      <c r="U439" s="2">
        <f>IF(C439=0,"",IF(COUNTIFS($S$375:$S$581,SUBSTITUTE(SUBSTITUTE(SUBSTITUTE(S439,"~","~~"),"*","~*"),"?","~?"),$T$375:$T$581,"&gt;"&amp;T439)=0,S439,""))</f>
        <v/>
      </c>
    </row>
    <row r="440" spans="1:21" ht="38" customHeight="1">
      <c r="A440" s="8" t="s">
        <v>230</v>
      </c>
      <c r="B440" s="8" t="s">
        <v>55</v>
      </c>
      <c r="C440" s="12">
        <f>COUNTIFS('DEF_SELF_SCOUT_IMPORT'!$L$42:$L$1040,"Y",'DEF_SELF_SCOUT_IMPORT'!$E$42:$E$1040,SUBSTITUTE(SUBSTITUTE(SUBSTITUTE($B440,"~","~~"),"*","~*"),"?","~?"),'DEF_SELF_SCOUT_IMPORT'!$Q$42:$Q$1040,SUBSTITUTE(SUBSTITUTE(SUBSTITUTE($M440,"~","~~"),"*","~*"),"?","~?"),'DEF_SELF_SCOUT_IMPORT'!$G$42:$G$1040,SUBSTITUTE(SUBSTITUTE(SUBSTITUTE($O440,"~","~~"),"*","~*"),"?","~?"))</f>
        <v>1</v>
      </c>
      <c r="D440" s="10">
        <f>IF($C440=0,"",SUMIFS('DEF_SELF_SCOUT_IMPORT'!$J$42:$J$1040,'DEF_SELF_SCOUT_IMPORT'!$L$42:$L$1040,"Y",'DEF_SELF_SCOUT_IMPORT'!$E$42:$E$1040,SUBSTITUTE(SUBSTITUTE(SUBSTITUTE($B440,"~","~~"),"*","~*"),"?","~?"),'DEF_SELF_SCOUT_IMPORT'!$Q$42:$Q$1040,SUBSTITUTE(SUBSTITUTE(SUBSTITUTE($M440,"~","~~"),"*","~*"),"?","~?"),'DEF_SELF_SCOUT_IMPORT'!$G$42:$G$1040,SUBSTITUTE(SUBSTITUTE(SUBSTITUTE($O440,"~","~~"),"*","~*"),"?","~?"))/$C440)</f>
        <v>1.0</v>
      </c>
      <c r="E440" s="10">
        <f>IF($C440=0,"",SUMIFS('DEF_SELF_SCOUT_IMPORT'!$K$42:$K$1040,'DEF_SELF_SCOUT_IMPORT'!$L$42:$L$1040,"Y",'DEF_SELF_SCOUT_IMPORT'!$E$42:$E$1040,SUBSTITUTE(SUBSTITUTE(SUBSTITUTE($B440,"~","~~"),"*","~*"),"?","~?"),'DEF_SELF_SCOUT_IMPORT'!$Q$42:$Q$1040,SUBSTITUTE(SUBSTITUTE(SUBSTITUTE($M440,"~","~~"),"*","~*"),"?","~?"),'DEF_SELF_SCOUT_IMPORT'!$G$42:$G$1040,SUBSTITUTE(SUBSTITUTE(SUBSTITUTE($O440,"~","~~"),"*","~*"),"?","~?"))/$C440)</f>
        <v>0.0</v>
      </c>
      <c r="F440" s="11">
        <f>IF($C440=0,"",AVERAGEIFS('DEF_SELF_SCOUT_IMPORT'!$I$42:$I$1040,'DEF_SELF_SCOUT_IMPORT'!$L$42:$L$1040,"Y",'DEF_SELF_SCOUT_IMPORT'!$E$42:$E$1040,SUBSTITUTE(SUBSTITUTE(SUBSTITUTE($B440,"~","~~"),"*","~*"),"?","~?"),'DEF_SELF_SCOUT_IMPORT'!$Q$42:$Q$1040,SUBSTITUTE(SUBSTITUTE(SUBSTITUTE($M440,"~","~~"),"*","~*"),"?","~?"),'DEF_SELF_SCOUT_IMPORT'!$G$42:$G$1040,SUBSTITUTE(SUBSTITUTE(SUBSTITUTE($O440,"~","~~"),"*","~*"),"?","~?")))</f>
        <v>3.0</v>
      </c>
      <c r="G440" s="10">
        <f>IF($C440=0,"",COUNTIFS('DEF_SELF_SCOUT_IMPORT'!$L$42:$L$1040,"Y",'DEF_SELF_SCOUT_IMPORT'!$E$42:$E$1040,SUBSTITUTE(SUBSTITUTE(SUBSTITUTE($B440,"~","~~"),"*","~*"),"?","~?"),'DEF_SELF_SCOUT_IMPORT'!$Q$42:$Q$1040,SUBSTITUTE(SUBSTITUTE(SUBSTITUTE($M440,"~","~~"),"*","~*"),"?","~?"),'DEF_SELF_SCOUT_IMPORT'!$G$42:$G$1040,SUBSTITUTE(SUBSTITUTE(SUBSTITUTE($O440,"~","~~"),"*","~*"),"?","~?"),'DEF_SELF_SCOUT_IMPORT'!$H$42:$H$1040,"RUSH")/$C440)</f>
        <v>1.0</v>
      </c>
      <c r="H440" s="10">
        <f>IF($C440=0,"",COUNTIFS('DEF_SELF_SCOUT_IMPORT'!$L$42:$L$1040,"Y",'DEF_SELF_SCOUT_IMPORT'!$E$42:$E$1040,SUBSTITUTE(SUBSTITUTE(SUBSTITUTE($B440,"~","~~"),"*","~*"),"?","~?"),'DEF_SELF_SCOUT_IMPORT'!$Q$42:$Q$1040,SUBSTITUTE(SUBSTITUTE(SUBSTITUTE($M440,"~","~~"),"*","~*"),"?","~?"),'DEF_SELF_SCOUT_IMPORT'!$G$42:$G$1040,SUBSTITUTE(SUBSTITUTE(SUBSTITUTE($O440,"~","~~"),"*","~*"),"?","~?"),'DEF_SELF_SCOUT_IMPORT'!$H$42:$H$1040,"DROPBACK")/$C440)</f>
        <v>0.0</v>
      </c>
      <c r="I440" s="14" t="str">
        <f>IF(C440=0,"",IF(C440&lt;=2,"TRACK",IF(C440=3,"LOW",IF(C440&lt;=6,"MEDIUM","HIGH"))))</f>
        <v>TRACK</v>
      </c>
      <c r="J440" s="11">
        <f>IF(C440=0,"",ROUND(D440*70+(1-E440)*20+MAX(0,MIN(1,(10-F440)/10))*10,1))</f>
        <v>97.0</v>
      </c>
      <c r="K440" s="14" t="str">
        <f>IF(C440=0,"No Evidence",IF(C440&lt;=2,IF(E440&gt;0,"Explosive Alert","Track Only"),IF(C440=3,"Sample Watch",IF(E440&gt;=START_HERE!$B$31,"Explosive Alert",IF(J440&gt;=80,"Strong Candidate",IF(J440&gt;=65,"Good Candidate",IF(J440&gt;=50,"Mixed / Review","Problem Call")))))))</f>
        <v>Track Only</v>
      </c>
      <c r="L440" s="9" t="str">
        <f>IF(COUNTIFS('DEF_SELF_SCOUT_IMPORT'!$L$42:$L$1040,"Y",'DEF_SELF_SCOUT_IMPORT'!$E$42:$E$1040,SUBSTITUTE(SUBSTITUTE(SUBSTITUTE($B440,"~","~~"),"*","~*"),"?","~?"),'DEF_SELF_SCOUT_IMPORT'!$Q$42:$Q$1040,SUBSTITUTE(SUBSTITUTE(SUBSTITUTE($M440,"~","~~"),"*","~*"),"?","~?"),'DEF_SELF_SCOUT_IMPORT'!$G$42:$G$1040,SUBSTITUTE(SUBSTITUTE(SUBSTITUTE($O440,"~","~~"),"*","~*"),"?","~?"),'DEF_SELF_SCOUT_IMPORT'!$J$42:$J$1040,"")&gt;0,"Unscored clean outcome; review result tags before using score.",IF(C440=0,"No matching defensive reps; film confirmation needed.",IF(K440="Explosive Alert","Explosive risk; review clips before using as answer.",IF(C440&lt;=2,"Track only; not enough sample.",IF(C440=3,IF(E440&gt;0,"Sample watch with explosive exposure; review clips and build the sample.",IF(J440&gt;=65,"Good signal, but sample is limited.","Sample watch; review clips and build the sample.")),IF(K440="Problem Call","Problem area; practice or call-sheet review.",IF(K440="Strong Candidate","Strong call-fit candidate; confirm on film.",IF(K440="Good Candidate","Good call-fit signal; confirm on film.","Mixed signal; review fit and execution on film."))))))))</f>
        <v>Track only; not enough sample.</v>
      </c>
      <c r="M440" s="8" t="s">
        <v>76</v>
      </c>
      <c r="N440" s="8"/>
      <c r="O440" s="8" t="s">
        <v>203</v>
      </c>
      <c r="P440" s="8"/>
      <c r="Q440" s="8"/>
      <c r="R440" s="8" t="s">
        <v>28</v>
      </c>
      <c r="S440" s="2" t="s">
        <v>231</v>
      </c>
      <c r="T440" s="2">
        <f>IF(C440=0,0,IF(C440&gt;=CALL_LOOKUP_BOARD!$B$7,IF(OR(K440="Problem Call",K440="Explosive Alert"),10000000,20000000),0)+IF(C440&gt;=CALL_LOOKUP_BOARD!$B$7,J440*1000+MIN(C440,999),C440*1000+J440)+0.00993400)</f>
        <v>1097.009934</v>
      </c>
      <c r="U440" s="2">
        <f>IF(C440=0,"",IF(COUNTIFS($S$375:$S$581,SUBSTITUTE(SUBSTITUTE(SUBSTITUTE(S440,"~","~~"),"*","~*"),"?","~?"),$T$375:$T$581,"&gt;"&amp;T440)=0,S440,""))</f>
        <v/>
      </c>
    </row>
    <row r="441" spans="1:21" ht="38" customHeight="1">
      <c r="A441" s="8" t="s">
        <v>230</v>
      </c>
      <c r="B441" s="8" t="s">
        <v>61</v>
      </c>
      <c r="C441" s="12">
        <f>COUNTIFS('DEF_SELF_SCOUT_IMPORT'!$L$42:$L$1040,"Y",'DEF_SELF_SCOUT_IMPORT'!$E$42:$E$1040,SUBSTITUTE(SUBSTITUTE(SUBSTITUTE($B441,"~","~~"),"*","~*"),"?","~?"),'DEF_SELF_SCOUT_IMPORT'!$Q$42:$Q$1040,SUBSTITUTE(SUBSTITUTE(SUBSTITUTE($M441,"~","~~"),"*","~*"),"?","~?"),'DEF_SELF_SCOUT_IMPORT'!$G$42:$G$1040,SUBSTITUTE(SUBSTITUTE(SUBSTITUTE($O441,"~","~~"),"*","~*"),"?","~?"))</f>
        <v>1</v>
      </c>
      <c r="D441" s="10">
        <f>IF($C441=0,"",SUMIFS('DEF_SELF_SCOUT_IMPORT'!$J$42:$J$1040,'DEF_SELF_SCOUT_IMPORT'!$L$42:$L$1040,"Y",'DEF_SELF_SCOUT_IMPORT'!$E$42:$E$1040,SUBSTITUTE(SUBSTITUTE(SUBSTITUTE($B441,"~","~~"),"*","~*"),"?","~?"),'DEF_SELF_SCOUT_IMPORT'!$Q$42:$Q$1040,SUBSTITUTE(SUBSTITUTE(SUBSTITUTE($M441,"~","~~"),"*","~*"),"?","~?"),'DEF_SELF_SCOUT_IMPORT'!$G$42:$G$1040,SUBSTITUTE(SUBSTITUTE(SUBSTITUTE($O441,"~","~~"),"*","~*"),"?","~?"))/$C441)</f>
        <v>0.0</v>
      </c>
      <c r="E441" s="10">
        <f>IF($C441=0,"",SUMIFS('DEF_SELF_SCOUT_IMPORT'!$K$42:$K$1040,'DEF_SELF_SCOUT_IMPORT'!$L$42:$L$1040,"Y",'DEF_SELF_SCOUT_IMPORT'!$E$42:$E$1040,SUBSTITUTE(SUBSTITUTE(SUBSTITUTE($B441,"~","~~"),"*","~*"),"?","~?"),'DEF_SELF_SCOUT_IMPORT'!$Q$42:$Q$1040,SUBSTITUTE(SUBSTITUTE(SUBSTITUTE($M441,"~","~~"),"*","~*"),"?","~?"),'DEF_SELF_SCOUT_IMPORT'!$G$42:$G$1040,SUBSTITUTE(SUBSTITUTE(SUBSTITUTE($O441,"~","~~"),"*","~*"),"?","~?"))/$C441)</f>
        <v>0.0</v>
      </c>
      <c r="F441" s="11">
        <f>IF($C441=0,"",AVERAGEIFS('DEF_SELF_SCOUT_IMPORT'!$I$42:$I$1040,'DEF_SELF_SCOUT_IMPORT'!$L$42:$L$1040,"Y",'DEF_SELF_SCOUT_IMPORT'!$E$42:$E$1040,SUBSTITUTE(SUBSTITUTE(SUBSTITUTE($B441,"~","~~"),"*","~*"),"?","~?"),'DEF_SELF_SCOUT_IMPORT'!$Q$42:$Q$1040,SUBSTITUTE(SUBSTITUTE(SUBSTITUTE($M441,"~","~~"),"*","~*"),"?","~?"),'DEF_SELF_SCOUT_IMPORT'!$G$42:$G$1040,SUBSTITUTE(SUBSTITUTE(SUBSTITUTE($O441,"~","~~"),"*","~*"),"?","~?")))</f>
        <v>6.0</v>
      </c>
      <c r="G441" s="10">
        <f>IF($C441=0,"",COUNTIFS('DEF_SELF_SCOUT_IMPORT'!$L$42:$L$1040,"Y",'DEF_SELF_SCOUT_IMPORT'!$E$42:$E$1040,SUBSTITUTE(SUBSTITUTE(SUBSTITUTE($B441,"~","~~"),"*","~*"),"?","~?"),'DEF_SELF_SCOUT_IMPORT'!$Q$42:$Q$1040,SUBSTITUTE(SUBSTITUTE(SUBSTITUTE($M441,"~","~~"),"*","~*"),"?","~?"),'DEF_SELF_SCOUT_IMPORT'!$G$42:$G$1040,SUBSTITUTE(SUBSTITUTE(SUBSTITUTE($O441,"~","~~"),"*","~*"),"?","~?"),'DEF_SELF_SCOUT_IMPORT'!$H$42:$H$1040,"RUSH")/$C441)</f>
        <v>1.0</v>
      </c>
      <c r="H441" s="10">
        <f>IF($C441=0,"",COUNTIFS('DEF_SELF_SCOUT_IMPORT'!$L$42:$L$1040,"Y",'DEF_SELF_SCOUT_IMPORT'!$E$42:$E$1040,SUBSTITUTE(SUBSTITUTE(SUBSTITUTE($B441,"~","~~"),"*","~*"),"?","~?"),'DEF_SELF_SCOUT_IMPORT'!$Q$42:$Q$1040,SUBSTITUTE(SUBSTITUTE(SUBSTITUTE($M441,"~","~~"),"*","~*"),"?","~?"),'DEF_SELF_SCOUT_IMPORT'!$G$42:$G$1040,SUBSTITUTE(SUBSTITUTE(SUBSTITUTE($O441,"~","~~"),"*","~*"),"?","~?"),'DEF_SELF_SCOUT_IMPORT'!$H$42:$H$1040,"DROPBACK")/$C441)</f>
        <v>0.0</v>
      </c>
      <c r="I441" s="14" t="str">
        <f>IF(C441=0,"",IF(C441&lt;=2,"TRACK",IF(C441=3,"LOW",IF(C441&lt;=6,"MEDIUM","HIGH"))))</f>
        <v>TRACK</v>
      </c>
      <c r="J441" s="11">
        <f>IF(C441=0,"",ROUND(D441*70+(1-E441)*20+MAX(0,MIN(1,(10-F441)/10))*10,1))</f>
        <v>24.0</v>
      </c>
      <c r="K441" s="14" t="str">
        <f>IF(C441=0,"No Evidence",IF(C441&lt;=2,IF(E441&gt;0,"Explosive Alert","Track Only"),IF(C441=3,"Sample Watch",IF(E441&gt;=START_HERE!$B$31,"Explosive Alert",IF(J441&gt;=80,"Strong Candidate",IF(J441&gt;=65,"Good Candidate",IF(J441&gt;=50,"Mixed / Review","Problem Call")))))))</f>
        <v>Track Only</v>
      </c>
      <c r="L441" s="9" t="str">
        <f>IF(COUNTIFS('DEF_SELF_SCOUT_IMPORT'!$L$42:$L$1040,"Y",'DEF_SELF_SCOUT_IMPORT'!$E$42:$E$1040,SUBSTITUTE(SUBSTITUTE(SUBSTITUTE($B441,"~","~~"),"*","~*"),"?","~?"),'DEF_SELF_SCOUT_IMPORT'!$Q$42:$Q$1040,SUBSTITUTE(SUBSTITUTE(SUBSTITUTE($M441,"~","~~"),"*","~*"),"?","~?"),'DEF_SELF_SCOUT_IMPORT'!$G$42:$G$1040,SUBSTITUTE(SUBSTITUTE(SUBSTITUTE($O441,"~","~~"),"*","~*"),"?","~?"),'DEF_SELF_SCOUT_IMPORT'!$J$42:$J$1040,"")&gt;0,"Unscored clean outcome; review result tags before using score.",IF(C441=0,"No matching defensive reps; film confirmation needed.",IF(K441="Explosive Alert","Explosive risk; review clips before using as answer.",IF(C441&lt;=2,"Track only; not enough sample.",IF(C441=3,IF(E441&gt;0,"Sample watch with explosive exposure; review clips and build the sample.",IF(J441&gt;=65,"Good signal, but sample is limited.","Sample watch; review clips and build the sample.")),IF(K441="Problem Call","Problem area; practice or call-sheet review.",IF(K441="Strong Candidate","Strong call-fit candidate; confirm on film.",IF(K441="Good Candidate","Good call-fit signal; confirm on film.","Mixed signal; review fit and execution on film."))))))))</f>
        <v>Track only; not enough sample.</v>
      </c>
      <c r="M441" s="8" t="s">
        <v>76</v>
      </c>
      <c r="N441" s="8"/>
      <c r="O441" s="8" t="s">
        <v>203</v>
      </c>
      <c r="P441" s="8"/>
      <c r="Q441" s="8"/>
      <c r="R441" s="8" t="s">
        <v>28</v>
      </c>
      <c r="S441" s="2" t="s">
        <v>231</v>
      </c>
      <c r="T441" s="2">
        <f>IF(C441=0,0,IF(C441&gt;=CALL_LOOKUP_BOARD!$B$7,IF(OR(K441="Problem Call",K441="Explosive Alert"),10000000,20000000),0)+IF(C441&gt;=CALL_LOOKUP_BOARD!$B$7,J441*1000+MIN(C441,999),C441*1000+J441)+0.00993300)</f>
        <v>1024.009933</v>
      </c>
      <c r="U441" s="2">
        <f>IF(C441=0,"",IF(COUNTIFS($S$375:$S$581,SUBSTITUTE(SUBSTITUTE(SUBSTITUTE(S441,"~","~~"),"*","~*"),"?","~?"),$T$375:$T$581,"&gt;"&amp;T441)=0,S441,""))</f>
        <v/>
      </c>
    </row>
    <row r="442" spans="1:21" ht="38" customHeight="1">
      <c r="A442" s="8" t="s">
        <v>230</v>
      </c>
      <c r="B442" s="8" t="s">
        <v>63</v>
      </c>
      <c r="C442" s="12">
        <f>COUNTIFS('DEF_SELF_SCOUT_IMPORT'!$L$42:$L$1040,"Y",'DEF_SELF_SCOUT_IMPORT'!$E$42:$E$1040,SUBSTITUTE(SUBSTITUTE(SUBSTITUTE($B442,"~","~~"),"*","~*"),"?","~?"),'DEF_SELF_SCOUT_IMPORT'!$Q$42:$Q$1040,SUBSTITUTE(SUBSTITUTE(SUBSTITUTE($M442,"~","~~"),"*","~*"),"?","~?"),'DEF_SELF_SCOUT_IMPORT'!$G$42:$G$1040,SUBSTITUTE(SUBSTITUTE(SUBSTITUTE($O442,"~","~~"),"*","~*"),"?","~?"))</f>
        <v>1</v>
      </c>
      <c r="D442" s="10">
        <f>IF($C442=0,"",SUMIFS('DEF_SELF_SCOUT_IMPORT'!$J$42:$J$1040,'DEF_SELF_SCOUT_IMPORT'!$L$42:$L$1040,"Y",'DEF_SELF_SCOUT_IMPORT'!$E$42:$E$1040,SUBSTITUTE(SUBSTITUTE(SUBSTITUTE($B442,"~","~~"),"*","~*"),"?","~?"),'DEF_SELF_SCOUT_IMPORT'!$Q$42:$Q$1040,SUBSTITUTE(SUBSTITUTE(SUBSTITUTE($M442,"~","~~"),"*","~*"),"?","~?"),'DEF_SELF_SCOUT_IMPORT'!$G$42:$G$1040,SUBSTITUTE(SUBSTITUTE(SUBSTITUTE($O442,"~","~~"),"*","~*"),"?","~?"))/$C442)</f>
        <v>0.0</v>
      </c>
      <c r="E442" s="10">
        <f>IF($C442=0,"",SUMIFS('DEF_SELF_SCOUT_IMPORT'!$K$42:$K$1040,'DEF_SELF_SCOUT_IMPORT'!$L$42:$L$1040,"Y",'DEF_SELF_SCOUT_IMPORT'!$E$42:$E$1040,SUBSTITUTE(SUBSTITUTE(SUBSTITUTE($B442,"~","~~"),"*","~*"),"?","~?"),'DEF_SELF_SCOUT_IMPORT'!$Q$42:$Q$1040,SUBSTITUTE(SUBSTITUTE(SUBSTITUTE($M442,"~","~~"),"*","~*"),"?","~?"),'DEF_SELF_SCOUT_IMPORT'!$G$42:$G$1040,SUBSTITUTE(SUBSTITUTE(SUBSTITUTE($O442,"~","~~"),"*","~*"),"?","~?"))/$C442)</f>
        <v>0.0</v>
      </c>
      <c r="F442" s="11">
        <f>IF($C442=0,"",AVERAGEIFS('DEF_SELF_SCOUT_IMPORT'!$I$42:$I$1040,'DEF_SELF_SCOUT_IMPORT'!$L$42:$L$1040,"Y",'DEF_SELF_SCOUT_IMPORT'!$E$42:$E$1040,SUBSTITUTE(SUBSTITUTE(SUBSTITUTE($B442,"~","~~"),"*","~*"),"?","~?"),'DEF_SELF_SCOUT_IMPORT'!$Q$42:$Q$1040,SUBSTITUTE(SUBSTITUTE(SUBSTITUTE($M442,"~","~~"),"*","~*"),"?","~?"),'DEF_SELF_SCOUT_IMPORT'!$G$42:$G$1040,SUBSTITUTE(SUBSTITUTE(SUBSTITUTE($O442,"~","~~"),"*","~*"),"?","~?")))</f>
        <v>13.0</v>
      </c>
      <c r="G442" s="10">
        <f>IF($C442=0,"",COUNTIFS('DEF_SELF_SCOUT_IMPORT'!$L$42:$L$1040,"Y",'DEF_SELF_SCOUT_IMPORT'!$E$42:$E$1040,SUBSTITUTE(SUBSTITUTE(SUBSTITUTE($B442,"~","~~"),"*","~*"),"?","~?"),'DEF_SELF_SCOUT_IMPORT'!$Q$42:$Q$1040,SUBSTITUTE(SUBSTITUTE(SUBSTITUTE($M442,"~","~~"),"*","~*"),"?","~?"),'DEF_SELF_SCOUT_IMPORT'!$G$42:$G$1040,SUBSTITUTE(SUBSTITUTE(SUBSTITUTE($O442,"~","~~"),"*","~*"),"?","~?"),'DEF_SELF_SCOUT_IMPORT'!$H$42:$H$1040,"RUSH")/$C442)</f>
        <v>0.0</v>
      </c>
      <c r="H442" s="10">
        <f>IF($C442=0,"",COUNTIFS('DEF_SELF_SCOUT_IMPORT'!$L$42:$L$1040,"Y",'DEF_SELF_SCOUT_IMPORT'!$E$42:$E$1040,SUBSTITUTE(SUBSTITUTE(SUBSTITUTE($B442,"~","~~"),"*","~*"),"?","~?"),'DEF_SELF_SCOUT_IMPORT'!$Q$42:$Q$1040,SUBSTITUTE(SUBSTITUTE(SUBSTITUTE($M442,"~","~~"),"*","~*"),"?","~?"),'DEF_SELF_SCOUT_IMPORT'!$G$42:$G$1040,SUBSTITUTE(SUBSTITUTE(SUBSTITUTE($O442,"~","~~"),"*","~*"),"?","~?"),'DEF_SELF_SCOUT_IMPORT'!$H$42:$H$1040,"DROPBACK")/$C442)</f>
        <v>1.0</v>
      </c>
      <c r="I442" s="14" t="str">
        <f>IF(C442=0,"",IF(C442&lt;=2,"TRACK",IF(C442=3,"LOW",IF(C442&lt;=6,"MEDIUM","HIGH"))))</f>
        <v>TRACK</v>
      </c>
      <c r="J442" s="11">
        <f>IF(C442=0,"",ROUND(D442*70+(1-E442)*20+MAX(0,MIN(1,(10-F442)/10))*10,1))</f>
        <v>20.0</v>
      </c>
      <c r="K442" s="14" t="str">
        <f>IF(C442=0,"No Evidence",IF(C442&lt;=2,IF(E442&gt;0,"Explosive Alert","Track Only"),IF(C442=3,"Sample Watch",IF(E442&gt;=START_HERE!$B$31,"Explosive Alert",IF(J442&gt;=80,"Strong Candidate",IF(J442&gt;=65,"Good Candidate",IF(J442&gt;=50,"Mixed / Review","Problem Call")))))))</f>
        <v>Track Only</v>
      </c>
      <c r="L442" s="9" t="str">
        <f>IF(COUNTIFS('DEF_SELF_SCOUT_IMPORT'!$L$42:$L$1040,"Y",'DEF_SELF_SCOUT_IMPORT'!$E$42:$E$1040,SUBSTITUTE(SUBSTITUTE(SUBSTITUTE($B442,"~","~~"),"*","~*"),"?","~?"),'DEF_SELF_SCOUT_IMPORT'!$Q$42:$Q$1040,SUBSTITUTE(SUBSTITUTE(SUBSTITUTE($M442,"~","~~"),"*","~*"),"?","~?"),'DEF_SELF_SCOUT_IMPORT'!$G$42:$G$1040,SUBSTITUTE(SUBSTITUTE(SUBSTITUTE($O442,"~","~~"),"*","~*"),"?","~?"),'DEF_SELF_SCOUT_IMPORT'!$J$42:$J$1040,"")&gt;0,"Unscored clean outcome; review result tags before using score.",IF(C442=0,"No matching defensive reps; film confirmation needed.",IF(K442="Explosive Alert","Explosive risk; review clips before using as answer.",IF(C442&lt;=2,"Track only; not enough sample.",IF(C442=3,IF(E442&gt;0,"Sample watch with explosive exposure; review clips and build the sample.",IF(J442&gt;=65,"Good signal, but sample is limited.","Sample watch; review clips and build the sample.")),IF(K442="Problem Call","Problem area; practice or call-sheet review.",IF(K442="Strong Candidate","Strong call-fit candidate; confirm on film.",IF(K442="Good Candidate","Good call-fit signal; confirm on film.","Mixed signal; review fit and execution on film."))))))))</f>
        <v>Track only; not enough sample.</v>
      </c>
      <c r="M442" s="8" t="s">
        <v>76</v>
      </c>
      <c r="N442" s="8"/>
      <c r="O442" s="8" t="s">
        <v>203</v>
      </c>
      <c r="P442" s="8"/>
      <c r="Q442" s="8"/>
      <c r="R442" s="8" t="s">
        <v>28</v>
      </c>
      <c r="S442" s="2" t="s">
        <v>231</v>
      </c>
      <c r="T442" s="2">
        <f>IF(C442=0,0,IF(C442&gt;=CALL_LOOKUP_BOARD!$B$7,IF(OR(K442="Problem Call",K442="Explosive Alert"),10000000,20000000),0)+IF(C442&gt;=CALL_LOOKUP_BOARD!$B$7,J442*1000+MIN(C442,999),C442*1000+J442)+0.00993200)</f>
        <v>1020.009932</v>
      </c>
      <c r="U442" s="2">
        <f>IF(C442=0,"",IF(COUNTIFS($S$375:$S$581,SUBSTITUTE(SUBSTITUTE(SUBSTITUTE(S442,"~","~~"),"*","~*"),"?","~?"),$T$375:$T$581,"&gt;"&amp;T442)=0,S442,""))</f>
        <v/>
      </c>
    </row>
    <row r="443" spans="1:21" ht="38" customHeight="1">
      <c r="A443" s="8" t="s">
        <v>230</v>
      </c>
      <c r="B443" s="8" t="s">
        <v>64</v>
      </c>
      <c r="C443" s="12">
        <f>COUNTIFS('DEF_SELF_SCOUT_IMPORT'!$L$42:$L$1040,"Y",'DEF_SELF_SCOUT_IMPORT'!$E$42:$E$1040,SUBSTITUTE(SUBSTITUTE(SUBSTITUTE($B443,"~","~~"),"*","~*"),"?","~?"),'DEF_SELF_SCOUT_IMPORT'!$Q$42:$Q$1040,SUBSTITUTE(SUBSTITUTE(SUBSTITUTE($M443,"~","~~"),"*","~*"),"?","~?"),'DEF_SELF_SCOUT_IMPORT'!$G$42:$G$1040,SUBSTITUTE(SUBSTITUTE(SUBSTITUTE($O443,"~","~~"),"*","~*"),"?","~?"))</f>
        <v>1</v>
      </c>
      <c r="D443" s="10">
        <f>IF($C443=0,"",SUMIFS('DEF_SELF_SCOUT_IMPORT'!$J$42:$J$1040,'DEF_SELF_SCOUT_IMPORT'!$L$42:$L$1040,"Y",'DEF_SELF_SCOUT_IMPORT'!$E$42:$E$1040,SUBSTITUTE(SUBSTITUTE(SUBSTITUTE($B443,"~","~~"),"*","~*"),"?","~?"),'DEF_SELF_SCOUT_IMPORT'!$Q$42:$Q$1040,SUBSTITUTE(SUBSTITUTE(SUBSTITUTE($M443,"~","~~"),"*","~*"),"?","~?"),'DEF_SELF_SCOUT_IMPORT'!$G$42:$G$1040,SUBSTITUTE(SUBSTITUTE(SUBSTITUTE($O443,"~","~~"),"*","~*"),"?","~?"))/$C443)</f>
        <v>1.0</v>
      </c>
      <c r="E443" s="10">
        <f>IF($C443=0,"",SUMIFS('DEF_SELF_SCOUT_IMPORT'!$K$42:$K$1040,'DEF_SELF_SCOUT_IMPORT'!$L$42:$L$1040,"Y",'DEF_SELF_SCOUT_IMPORT'!$E$42:$E$1040,SUBSTITUTE(SUBSTITUTE(SUBSTITUTE($B443,"~","~~"),"*","~*"),"?","~?"),'DEF_SELF_SCOUT_IMPORT'!$Q$42:$Q$1040,SUBSTITUTE(SUBSTITUTE(SUBSTITUTE($M443,"~","~~"),"*","~*"),"?","~?"),'DEF_SELF_SCOUT_IMPORT'!$G$42:$G$1040,SUBSTITUTE(SUBSTITUTE(SUBSTITUTE($O443,"~","~~"),"*","~*"),"?","~?"))/$C443)</f>
        <v>0.0</v>
      </c>
      <c r="F443" s="11">
        <f>IF($C443=0,"",AVERAGEIFS('DEF_SELF_SCOUT_IMPORT'!$I$42:$I$1040,'DEF_SELF_SCOUT_IMPORT'!$L$42:$L$1040,"Y",'DEF_SELF_SCOUT_IMPORT'!$E$42:$E$1040,SUBSTITUTE(SUBSTITUTE(SUBSTITUTE($B443,"~","~~"),"*","~*"),"?","~?"),'DEF_SELF_SCOUT_IMPORT'!$Q$42:$Q$1040,SUBSTITUTE(SUBSTITUTE(SUBSTITUTE($M443,"~","~~"),"*","~*"),"?","~?"),'DEF_SELF_SCOUT_IMPORT'!$G$42:$G$1040,SUBSTITUTE(SUBSTITUTE(SUBSTITUTE($O443,"~","~~"),"*","~*"),"?","~?")))</f>
        <v>5.0</v>
      </c>
      <c r="G443" s="10">
        <f>IF($C443=0,"",COUNTIFS('DEF_SELF_SCOUT_IMPORT'!$L$42:$L$1040,"Y",'DEF_SELF_SCOUT_IMPORT'!$E$42:$E$1040,SUBSTITUTE(SUBSTITUTE(SUBSTITUTE($B443,"~","~~"),"*","~*"),"?","~?"),'DEF_SELF_SCOUT_IMPORT'!$Q$42:$Q$1040,SUBSTITUTE(SUBSTITUTE(SUBSTITUTE($M443,"~","~~"),"*","~*"),"?","~?"),'DEF_SELF_SCOUT_IMPORT'!$G$42:$G$1040,SUBSTITUTE(SUBSTITUTE(SUBSTITUTE($O443,"~","~~"),"*","~*"),"?","~?"),'DEF_SELF_SCOUT_IMPORT'!$H$42:$H$1040,"RUSH")/$C443)</f>
        <v>0.0</v>
      </c>
      <c r="H443" s="10">
        <f>IF($C443=0,"",COUNTIFS('DEF_SELF_SCOUT_IMPORT'!$L$42:$L$1040,"Y",'DEF_SELF_SCOUT_IMPORT'!$E$42:$E$1040,SUBSTITUTE(SUBSTITUTE(SUBSTITUTE($B443,"~","~~"),"*","~*"),"?","~?"),'DEF_SELF_SCOUT_IMPORT'!$Q$42:$Q$1040,SUBSTITUTE(SUBSTITUTE(SUBSTITUTE($M443,"~","~~"),"*","~*"),"?","~?"),'DEF_SELF_SCOUT_IMPORT'!$G$42:$G$1040,SUBSTITUTE(SUBSTITUTE(SUBSTITUTE($O443,"~","~~"),"*","~*"),"?","~?"),'DEF_SELF_SCOUT_IMPORT'!$H$42:$H$1040,"DROPBACK")/$C443)</f>
        <v>1.0</v>
      </c>
      <c r="I443" s="14" t="str">
        <f>IF(C443=0,"",IF(C443&lt;=2,"TRACK",IF(C443=3,"LOW",IF(C443&lt;=6,"MEDIUM","HIGH"))))</f>
        <v>TRACK</v>
      </c>
      <c r="J443" s="11">
        <f>IF(C443=0,"",ROUND(D443*70+(1-E443)*20+MAX(0,MIN(1,(10-F443)/10))*10,1))</f>
        <v>95.0</v>
      </c>
      <c r="K443" s="14" t="str">
        <f>IF(C443=0,"No Evidence",IF(C443&lt;=2,IF(E443&gt;0,"Explosive Alert","Track Only"),IF(C443=3,"Sample Watch",IF(E443&gt;=START_HERE!$B$31,"Explosive Alert",IF(J443&gt;=80,"Strong Candidate",IF(J443&gt;=65,"Good Candidate",IF(J443&gt;=50,"Mixed / Review","Problem Call")))))))</f>
        <v>Track Only</v>
      </c>
      <c r="L443" s="9" t="str">
        <f>IF(COUNTIFS('DEF_SELF_SCOUT_IMPORT'!$L$42:$L$1040,"Y",'DEF_SELF_SCOUT_IMPORT'!$E$42:$E$1040,SUBSTITUTE(SUBSTITUTE(SUBSTITUTE($B443,"~","~~"),"*","~*"),"?","~?"),'DEF_SELF_SCOUT_IMPORT'!$Q$42:$Q$1040,SUBSTITUTE(SUBSTITUTE(SUBSTITUTE($M443,"~","~~"),"*","~*"),"?","~?"),'DEF_SELF_SCOUT_IMPORT'!$G$42:$G$1040,SUBSTITUTE(SUBSTITUTE(SUBSTITUTE($O443,"~","~~"),"*","~*"),"?","~?"),'DEF_SELF_SCOUT_IMPORT'!$J$42:$J$1040,"")&gt;0,"Unscored clean outcome; review result tags before using score.",IF(C443=0,"No matching defensive reps; film confirmation needed.",IF(K443="Explosive Alert","Explosive risk; review clips before using as answer.",IF(C443&lt;=2,"Track only; not enough sample.",IF(C443=3,IF(E443&gt;0,"Sample watch with explosive exposure; review clips and build the sample.",IF(J443&gt;=65,"Good signal, but sample is limited.","Sample watch; review clips and build the sample.")),IF(K443="Problem Call","Problem area; practice or call-sheet review.",IF(K443="Strong Candidate","Strong call-fit candidate; confirm on film.",IF(K443="Good Candidate","Good call-fit signal; confirm on film.","Mixed signal; review fit and execution on film."))))))))</f>
        <v>Track only; not enough sample.</v>
      </c>
      <c r="M443" s="8" t="s">
        <v>76</v>
      </c>
      <c r="N443" s="8"/>
      <c r="O443" s="8" t="s">
        <v>203</v>
      </c>
      <c r="P443" s="8"/>
      <c r="Q443" s="8"/>
      <c r="R443" s="8" t="s">
        <v>28</v>
      </c>
      <c r="S443" s="2" t="s">
        <v>231</v>
      </c>
      <c r="T443" s="2">
        <f>IF(C443=0,0,IF(C443&gt;=CALL_LOOKUP_BOARD!$B$7,IF(OR(K443="Problem Call",K443="Explosive Alert"),10000000,20000000),0)+IF(C443&gt;=CALL_LOOKUP_BOARD!$B$7,J443*1000+MIN(C443,999),C443*1000+J443)+0.00993100)</f>
        <v>1095.009931</v>
      </c>
      <c r="U443" s="2">
        <f>IF(C443=0,"",IF(COUNTIFS($S$375:$S$581,SUBSTITUTE(SUBSTITUTE(SUBSTITUTE(S443,"~","~~"),"*","~*"),"?","~?"),$T$375:$T$581,"&gt;"&amp;T443)=0,S443,""))</f>
        <v/>
      </c>
    </row>
    <row r="444" spans="1:21" ht="38" customHeight="1">
      <c r="A444" s="8" t="s">
        <v>232</v>
      </c>
      <c r="B444" s="8" t="s">
        <v>77</v>
      </c>
      <c r="C444" s="12">
        <f>COUNTIFS('DEF_SELF_SCOUT_IMPORT'!$L$42:$L$1040,"Y",'DEF_SELF_SCOUT_IMPORT'!$E$42:$E$1040,SUBSTITUTE(SUBSTITUTE(SUBSTITUTE($B444,"~","~~"),"*","~*"),"?","~?"),'DEF_SELF_SCOUT_IMPORT'!$Q$42:$Q$1040,SUBSTITUTE(SUBSTITUTE(SUBSTITUTE($M444,"~","~~"),"*","~*"),"?","~?"),'DEF_SELF_SCOUT_IMPORT'!$G$42:$G$1040,SUBSTITUTE(SUBSTITUTE(SUBSTITUTE($O444,"~","~~"),"*","~*"),"?","~?"))</f>
        <v>1</v>
      </c>
      <c r="D444" s="10">
        <f>IF($C444=0,"",SUMIFS('DEF_SELF_SCOUT_IMPORT'!$J$42:$J$1040,'DEF_SELF_SCOUT_IMPORT'!$L$42:$L$1040,"Y",'DEF_SELF_SCOUT_IMPORT'!$E$42:$E$1040,SUBSTITUTE(SUBSTITUTE(SUBSTITUTE($B444,"~","~~"),"*","~*"),"?","~?"),'DEF_SELF_SCOUT_IMPORT'!$Q$42:$Q$1040,SUBSTITUTE(SUBSTITUTE(SUBSTITUTE($M444,"~","~~"),"*","~*"),"?","~?"),'DEF_SELF_SCOUT_IMPORT'!$G$42:$G$1040,SUBSTITUTE(SUBSTITUTE(SUBSTITUTE($O444,"~","~~"),"*","~*"),"?","~?"))/$C444)</f>
        <v>1.0</v>
      </c>
      <c r="E444" s="10">
        <f>IF($C444=0,"",SUMIFS('DEF_SELF_SCOUT_IMPORT'!$K$42:$K$1040,'DEF_SELF_SCOUT_IMPORT'!$L$42:$L$1040,"Y",'DEF_SELF_SCOUT_IMPORT'!$E$42:$E$1040,SUBSTITUTE(SUBSTITUTE(SUBSTITUTE($B444,"~","~~"),"*","~*"),"?","~?"),'DEF_SELF_SCOUT_IMPORT'!$Q$42:$Q$1040,SUBSTITUTE(SUBSTITUTE(SUBSTITUTE($M444,"~","~~"),"*","~*"),"?","~?"),'DEF_SELF_SCOUT_IMPORT'!$G$42:$G$1040,SUBSTITUTE(SUBSTITUTE(SUBSTITUTE($O444,"~","~~"),"*","~*"),"?","~?"))/$C444)</f>
        <v>0.0</v>
      </c>
      <c r="F444" s="11">
        <f>IF($C444=0,"",AVERAGEIFS('DEF_SELF_SCOUT_IMPORT'!$I$42:$I$1040,'DEF_SELF_SCOUT_IMPORT'!$L$42:$L$1040,"Y",'DEF_SELF_SCOUT_IMPORT'!$E$42:$E$1040,SUBSTITUTE(SUBSTITUTE(SUBSTITUTE($B444,"~","~~"),"*","~*"),"?","~?"),'DEF_SELF_SCOUT_IMPORT'!$Q$42:$Q$1040,SUBSTITUTE(SUBSTITUTE(SUBSTITUTE($M444,"~","~~"),"*","~*"),"?","~?"),'DEF_SELF_SCOUT_IMPORT'!$G$42:$G$1040,SUBSTITUTE(SUBSTITUTE(SUBSTITUTE($O444,"~","~~"),"*","~*"),"?","~?")))</f>
        <v>5.0</v>
      </c>
      <c r="G444" s="10">
        <f>IF($C444=0,"",COUNTIFS('DEF_SELF_SCOUT_IMPORT'!$L$42:$L$1040,"Y",'DEF_SELF_SCOUT_IMPORT'!$E$42:$E$1040,SUBSTITUTE(SUBSTITUTE(SUBSTITUTE($B444,"~","~~"),"*","~*"),"?","~?"),'DEF_SELF_SCOUT_IMPORT'!$Q$42:$Q$1040,SUBSTITUTE(SUBSTITUTE(SUBSTITUTE($M444,"~","~~"),"*","~*"),"?","~?"),'DEF_SELF_SCOUT_IMPORT'!$G$42:$G$1040,SUBSTITUTE(SUBSTITUTE(SUBSTITUTE($O444,"~","~~"),"*","~*"),"?","~?"),'DEF_SELF_SCOUT_IMPORT'!$H$42:$H$1040,"RUSH")/$C444)</f>
        <v>0.0</v>
      </c>
      <c r="H444" s="10">
        <f>IF($C444=0,"",COUNTIFS('DEF_SELF_SCOUT_IMPORT'!$L$42:$L$1040,"Y",'DEF_SELF_SCOUT_IMPORT'!$E$42:$E$1040,SUBSTITUTE(SUBSTITUTE(SUBSTITUTE($B444,"~","~~"),"*","~*"),"?","~?"),'DEF_SELF_SCOUT_IMPORT'!$Q$42:$Q$1040,SUBSTITUTE(SUBSTITUTE(SUBSTITUTE($M444,"~","~~"),"*","~*"),"?","~?"),'DEF_SELF_SCOUT_IMPORT'!$G$42:$G$1040,SUBSTITUTE(SUBSTITUTE(SUBSTITUTE($O444,"~","~~"),"*","~*"),"?","~?"),'DEF_SELF_SCOUT_IMPORT'!$H$42:$H$1040,"DROPBACK")/$C444)</f>
        <v>1.0</v>
      </c>
      <c r="I444" s="14" t="str">
        <f>IF(C444=0,"",IF(C444&lt;=2,"TRACK",IF(C444=3,"LOW",IF(C444&lt;=6,"MEDIUM","HIGH"))))</f>
        <v>TRACK</v>
      </c>
      <c r="J444" s="11">
        <f>IF(C444=0,"",ROUND(D444*70+(1-E444)*20+MAX(0,MIN(1,(10-F444)/10))*10,1))</f>
        <v>95.0</v>
      </c>
      <c r="K444" s="14" t="str">
        <f>IF(C444=0,"No Evidence",IF(C444&lt;=2,IF(E444&gt;0,"Explosive Alert","Track Only"),IF(C444=3,"Sample Watch",IF(E444&gt;=START_HERE!$B$31,"Explosive Alert",IF(J444&gt;=80,"Strong Candidate",IF(J444&gt;=65,"Good Candidate",IF(J444&gt;=50,"Mixed / Review","Problem Call")))))))</f>
        <v>Track Only</v>
      </c>
      <c r="L444" s="9" t="str">
        <f>IF(COUNTIFS('DEF_SELF_SCOUT_IMPORT'!$L$42:$L$1040,"Y",'DEF_SELF_SCOUT_IMPORT'!$E$42:$E$1040,SUBSTITUTE(SUBSTITUTE(SUBSTITUTE($B444,"~","~~"),"*","~*"),"?","~?"),'DEF_SELF_SCOUT_IMPORT'!$Q$42:$Q$1040,SUBSTITUTE(SUBSTITUTE(SUBSTITUTE($M444,"~","~~"),"*","~*"),"?","~?"),'DEF_SELF_SCOUT_IMPORT'!$G$42:$G$1040,SUBSTITUTE(SUBSTITUTE(SUBSTITUTE($O444,"~","~~"),"*","~*"),"?","~?"),'DEF_SELF_SCOUT_IMPORT'!$J$42:$J$1040,"")&gt;0,"Unscored clean outcome; review result tags before using score.",IF(C444=0,"No matching defensive reps; film confirmation needed.",IF(K444="Explosive Alert","Explosive risk; review clips before using as answer.",IF(C444&lt;=2,"Track only; not enough sample.",IF(C444=3,IF(E444&gt;0,"Sample watch with explosive exposure; review clips and build the sample.",IF(J444&gt;=65,"Good signal, but sample is limited.","Sample watch; review clips and build the sample.")),IF(K444="Problem Call","Problem area; practice or call-sheet review.",IF(K444="Strong Candidate","Strong call-fit candidate; confirm on film.",IF(K444="Good Candidate","Good call-fit signal; confirm on film.","Mixed signal; review fit and execution on film."))))))))</f>
        <v>Track only; not enough sample.</v>
      </c>
      <c r="M444" s="8" t="s">
        <v>76</v>
      </c>
      <c r="N444" s="8"/>
      <c r="O444" s="8" t="s">
        <v>206</v>
      </c>
      <c r="P444" s="8"/>
      <c r="Q444" s="8"/>
      <c r="R444" s="8" t="s">
        <v>28</v>
      </c>
      <c r="S444" s="2" t="s">
        <v>233</v>
      </c>
      <c r="T444" s="2">
        <f>IF(C444=0,0,IF(C444&gt;=CALL_LOOKUP_BOARD!$B$7,IF(OR(K444="Problem Call",K444="Explosive Alert"),10000000,20000000),0)+IF(C444&gt;=CALL_LOOKUP_BOARD!$B$7,J444*1000+MIN(C444,999),C444*1000+J444)+0.00993000)</f>
        <v>1095.00993</v>
      </c>
      <c r="U444" s="2">
        <f>IF(C444=0,"",IF(COUNTIFS($S$375:$S$581,SUBSTITUTE(SUBSTITUTE(SUBSTITUTE(S444,"~","~~"),"*","~*"),"?","~?"),$T$375:$T$581,"&gt;"&amp;T444)=0,S444,""))</f>
        <v/>
      </c>
    </row>
    <row r="445" spans="1:21" ht="38" customHeight="1">
      <c r="A445" s="8" t="s">
        <v>232</v>
      </c>
      <c r="B445" s="8" t="s">
        <v>79</v>
      </c>
      <c r="C445" s="12">
        <f>COUNTIFS('DEF_SELF_SCOUT_IMPORT'!$L$42:$L$1040,"Y",'DEF_SELF_SCOUT_IMPORT'!$E$42:$E$1040,SUBSTITUTE(SUBSTITUTE(SUBSTITUTE($B445,"~","~~"),"*","~*"),"?","~?"),'DEF_SELF_SCOUT_IMPORT'!$Q$42:$Q$1040,SUBSTITUTE(SUBSTITUTE(SUBSTITUTE($M445,"~","~~"),"*","~*"),"?","~?"),'DEF_SELF_SCOUT_IMPORT'!$G$42:$G$1040,SUBSTITUTE(SUBSTITUTE(SUBSTITUTE($O445,"~","~~"),"*","~*"),"?","~?"))</f>
        <v>1</v>
      </c>
      <c r="D445" s="10">
        <f>IF($C445=0,"",SUMIFS('DEF_SELF_SCOUT_IMPORT'!$J$42:$J$1040,'DEF_SELF_SCOUT_IMPORT'!$L$42:$L$1040,"Y",'DEF_SELF_SCOUT_IMPORT'!$E$42:$E$1040,SUBSTITUTE(SUBSTITUTE(SUBSTITUTE($B445,"~","~~"),"*","~*"),"?","~?"),'DEF_SELF_SCOUT_IMPORT'!$Q$42:$Q$1040,SUBSTITUTE(SUBSTITUTE(SUBSTITUTE($M445,"~","~~"),"*","~*"),"?","~?"),'DEF_SELF_SCOUT_IMPORT'!$G$42:$G$1040,SUBSTITUTE(SUBSTITUTE(SUBSTITUTE($O445,"~","~~"),"*","~*"),"?","~?"))/$C445)</f>
        <v>0.0</v>
      </c>
      <c r="E445" s="10">
        <f>IF($C445=0,"",SUMIFS('DEF_SELF_SCOUT_IMPORT'!$K$42:$K$1040,'DEF_SELF_SCOUT_IMPORT'!$L$42:$L$1040,"Y",'DEF_SELF_SCOUT_IMPORT'!$E$42:$E$1040,SUBSTITUTE(SUBSTITUTE(SUBSTITUTE($B445,"~","~~"),"*","~*"),"?","~?"),'DEF_SELF_SCOUT_IMPORT'!$Q$42:$Q$1040,SUBSTITUTE(SUBSTITUTE(SUBSTITUTE($M445,"~","~~"),"*","~*"),"?","~?"),'DEF_SELF_SCOUT_IMPORT'!$G$42:$G$1040,SUBSTITUTE(SUBSTITUTE(SUBSTITUTE($O445,"~","~~"),"*","~*"),"?","~?"))/$C445)</f>
        <v>0.0</v>
      </c>
      <c r="F445" s="11">
        <f>IF($C445=0,"",AVERAGEIFS('DEF_SELF_SCOUT_IMPORT'!$I$42:$I$1040,'DEF_SELF_SCOUT_IMPORT'!$L$42:$L$1040,"Y",'DEF_SELF_SCOUT_IMPORT'!$E$42:$E$1040,SUBSTITUTE(SUBSTITUTE(SUBSTITUTE($B445,"~","~~"),"*","~*"),"?","~?"),'DEF_SELF_SCOUT_IMPORT'!$Q$42:$Q$1040,SUBSTITUTE(SUBSTITUTE(SUBSTITUTE($M445,"~","~~"),"*","~*"),"?","~?"),'DEF_SELF_SCOUT_IMPORT'!$G$42:$G$1040,SUBSTITUTE(SUBSTITUTE(SUBSTITUTE($O445,"~","~~"),"*","~*"),"?","~?")))</f>
        <v>6.0</v>
      </c>
      <c r="G445" s="10">
        <f>IF($C445=0,"",COUNTIFS('DEF_SELF_SCOUT_IMPORT'!$L$42:$L$1040,"Y",'DEF_SELF_SCOUT_IMPORT'!$E$42:$E$1040,SUBSTITUTE(SUBSTITUTE(SUBSTITUTE($B445,"~","~~"),"*","~*"),"?","~?"),'DEF_SELF_SCOUT_IMPORT'!$Q$42:$Q$1040,SUBSTITUTE(SUBSTITUTE(SUBSTITUTE($M445,"~","~~"),"*","~*"),"?","~?"),'DEF_SELF_SCOUT_IMPORT'!$G$42:$G$1040,SUBSTITUTE(SUBSTITUTE(SUBSTITUTE($O445,"~","~~"),"*","~*"),"?","~?"),'DEF_SELF_SCOUT_IMPORT'!$H$42:$H$1040,"RUSH")/$C445)</f>
        <v>1.0</v>
      </c>
      <c r="H445" s="10">
        <f>IF($C445=0,"",COUNTIFS('DEF_SELF_SCOUT_IMPORT'!$L$42:$L$1040,"Y",'DEF_SELF_SCOUT_IMPORT'!$E$42:$E$1040,SUBSTITUTE(SUBSTITUTE(SUBSTITUTE($B445,"~","~~"),"*","~*"),"?","~?"),'DEF_SELF_SCOUT_IMPORT'!$Q$42:$Q$1040,SUBSTITUTE(SUBSTITUTE(SUBSTITUTE($M445,"~","~~"),"*","~*"),"?","~?"),'DEF_SELF_SCOUT_IMPORT'!$G$42:$G$1040,SUBSTITUTE(SUBSTITUTE(SUBSTITUTE($O445,"~","~~"),"*","~*"),"?","~?"),'DEF_SELF_SCOUT_IMPORT'!$H$42:$H$1040,"DROPBACK")/$C445)</f>
        <v>0.0</v>
      </c>
      <c r="I445" s="14" t="str">
        <f>IF(C445=0,"",IF(C445&lt;=2,"TRACK",IF(C445=3,"LOW",IF(C445&lt;=6,"MEDIUM","HIGH"))))</f>
        <v>TRACK</v>
      </c>
      <c r="J445" s="11">
        <f>IF(C445=0,"",ROUND(D445*70+(1-E445)*20+MAX(0,MIN(1,(10-F445)/10))*10,1))</f>
        <v>24.0</v>
      </c>
      <c r="K445" s="14" t="str">
        <f>IF(C445=0,"No Evidence",IF(C445&lt;=2,IF(E445&gt;0,"Explosive Alert","Track Only"),IF(C445=3,"Sample Watch",IF(E445&gt;=START_HERE!$B$31,"Explosive Alert",IF(J445&gt;=80,"Strong Candidate",IF(J445&gt;=65,"Good Candidate",IF(J445&gt;=50,"Mixed / Review","Problem Call")))))))</f>
        <v>Track Only</v>
      </c>
      <c r="L445" s="9" t="str">
        <f>IF(COUNTIFS('DEF_SELF_SCOUT_IMPORT'!$L$42:$L$1040,"Y",'DEF_SELF_SCOUT_IMPORT'!$E$42:$E$1040,SUBSTITUTE(SUBSTITUTE(SUBSTITUTE($B445,"~","~~"),"*","~*"),"?","~?"),'DEF_SELF_SCOUT_IMPORT'!$Q$42:$Q$1040,SUBSTITUTE(SUBSTITUTE(SUBSTITUTE($M445,"~","~~"),"*","~*"),"?","~?"),'DEF_SELF_SCOUT_IMPORT'!$G$42:$G$1040,SUBSTITUTE(SUBSTITUTE(SUBSTITUTE($O445,"~","~~"),"*","~*"),"?","~?"),'DEF_SELF_SCOUT_IMPORT'!$J$42:$J$1040,"")&gt;0,"Unscored clean outcome; review result tags before using score.",IF(C445=0,"No matching defensive reps; film confirmation needed.",IF(K445="Explosive Alert","Explosive risk; review clips before using as answer.",IF(C445&lt;=2,"Track only; not enough sample.",IF(C445=3,IF(E445&gt;0,"Sample watch with explosive exposure; review clips and build the sample.",IF(J445&gt;=65,"Good signal, but sample is limited.","Sample watch; review clips and build the sample.")),IF(K445="Problem Call","Problem area; practice or call-sheet review.",IF(K445="Strong Candidate","Strong call-fit candidate; confirm on film.",IF(K445="Good Candidate","Good call-fit signal; confirm on film.","Mixed signal; review fit and execution on film."))))))))</f>
        <v>Track only; not enough sample.</v>
      </c>
      <c r="M445" s="8" t="s">
        <v>76</v>
      </c>
      <c r="N445" s="8"/>
      <c r="O445" s="8" t="s">
        <v>206</v>
      </c>
      <c r="P445" s="8"/>
      <c r="Q445" s="8"/>
      <c r="R445" s="8" t="s">
        <v>28</v>
      </c>
      <c r="S445" s="2" t="s">
        <v>233</v>
      </c>
      <c r="T445" s="2">
        <f>IF(C445=0,0,IF(C445&gt;=CALL_LOOKUP_BOARD!$B$7,IF(OR(K445="Problem Call",K445="Explosive Alert"),10000000,20000000),0)+IF(C445&gt;=CALL_LOOKUP_BOARD!$B$7,J445*1000+MIN(C445,999),C445*1000+J445)+0.00992900)</f>
        <v>1024.009929</v>
      </c>
      <c r="U445" s="2">
        <f>IF(C445=0,"",IF(COUNTIFS($S$375:$S$581,SUBSTITUTE(SUBSTITUTE(SUBSTITUTE(S445,"~","~~"),"*","~*"),"?","~?"),$T$375:$T$581,"&gt;"&amp;T445)=0,S445,""))</f>
        <v/>
      </c>
    </row>
    <row r="446" spans="1:21" ht="38" customHeight="1">
      <c r="A446" s="8" t="s">
        <v>232</v>
      </c>
      <c r="B446" s="8" t="s">
        <v>80</v>
      </c>
      <c r="C446" s="12">
        <f>COUNTIFS('DEF_SELF_SCOUT_IMPORT'!$L$42:$L$1040,"Y",'DEF_SELF_SCOUT_IMPORT'!$E$42:$E$1040,SUBSTITUTE(SUBSTITUTE(SUBSTITUTE($B446,"~","~~"),"*","~*"),"?","~?"),'DEF_SELF_SCOUT_IMPORT'!$Q$42:$Q$1040,SUBSTITUTE(SUBSTITUTE(SUBSTITUTE($M446,"~","~~"),"*","~*"),"?","~?"),'DEF_SELF_SCOUT_IMPORT'!$G$42:$G$1040,SUBSTITUTE(SUBSTITUTE(SUBSTITUTE($O446,"~","~~"),"*","~*"),"?","~?"))</f>
        <v>1</v>
      </c>
      <c r="D446" s="10">
        <f>IF($C446=0,"",SUMIFS('DEF_SELF_SCOUT_IMPORT'!$J$42:$J$1040,'DEF_SELF_SCOUT_IMPORT'!$L$42:$L$1040,"Y",'DEF_SELF_SCOUT_IMPORT'!$E$42:$E$1040,SUBSTITUTE(SUBSTITUTE(SUBSTITUTE($B446,"~","~~"),"*","~*"),"?","~?"),'DEF_SELF_SCOUT_IMPORT'!$Q$42:$Q$1040,SUBSTITUTE(SUBSTITUTE(SUBSTITUTE($M446,"~","~~"),"*","~*"),"?","~?"),'DEF_SELF_SCOUT_IMPORT'!$G$42:$G$1040,SUBSTITUTE(SUBSTITUTE(SUBSTITUTE($O446,"~","~~"),"*","~*"),"?","~?"))/$C446)</f>
        <v>1.0</v>
      </c>
      <c r="E446" s="10">
        <f>IF($C446=0,"",SUMIFS('DEF_SELF_SCOUT_IMPORT'!$K$42:$K$1040,'DEF_SELF_SCOUT_IMPORT'!$L$42:$L$1040,"Y",'DEF_SELF_SCOUT_IMPORT'!$E$42:$E$1040,SUBSTITUTE(SUBSTITUTE(SUBSTITUTE($B446,"~","~~"),"*","~*"),"?","~?"),'DEF_SELF_SCOUT_IMPORT'!$Q$42:$Q$1040,SUBSTITUTE(SUBSTITUTE(SUBSTITUTE($M446,"~","~~"),"*","~*"),"?","~?"),'DEF_SELF_SCOUT_IMPORT'!$G$42:$G$1040,SUBSTITUTE(SUBSTITUTE(SUBSTITUTE($O446,"~","~~"),"*","~*"),"?","~?"))/$C446)</f>
        <v>0.0</v>
      </c>
      <c r="F446" s="11">
        <f>IF($C446=0,"",AVERAGEIFS('DEF_SELF_SCOUT_IMPORT'!$I$42:$I$1040,'DEF_SELF_SCOUT_IMPORT'!$L$42:$L$1040,"Y",'DEF_SELF_SCOUT_IMPORT'!$E$42:$E$1040,SUBSTITUTE(SUBSTITUTE(SUBSTITUTE($B446,"~","~~"),"*","~*"),"?","~?"),'DEF_SELF_SCOUT_IMPORT'!$Q$42:$Q$1040,SUBSTITUTE(SUBSTITUTE(SUBSTITUTE($M446,"~","~~"),"*","~*"),"?","~?"),'DEF_SELF_SCOUT_IMPORT'!$G$42:$G$1040,SUBSTITUTE(SUBSTITUTE(SUBSTITUTE($O446,"~","~~"),"*","~*"),"?","~?")))</f>
        <v>3.0</v>
      </c>
      <c r="G446" s="10">
        <f>IF($C446=0,"",COUNTIFS('DEF_SELF_SCOUT_IMPORT'!$L$42:$L$1040,"Y",'DEF_SELF_SCOUT_IMPORT'!$E$42:$E$1040,SUBSTITUTE(SUBSTITUTE(SUBSTITUTE($B446,"~","~~"),"*","~*"),"?","~?"),'DEF_SELF_SCOUT_IMPORT'!$Q$42:$Q$1040,SUBSTITUTE(SUBSTITUTE(SUBSTITUTE($M446,"~","~~"),"*","~*"),"?","~?"),'DEF_SELF_SCOUT_IMPORT'!$G$42:$G$1040,SUBSTITUTE(SUBSTITUTE(SUBSTITUTE($O446,"~","~~"),"*","~*"),"?","~?"),'DEF_SELF_SCOUT_IMPORT'!$H$42:$H$1040,"RUSH")/$C446)</f>
        <v>0.0</v>
      </c>
      <c r="H446" s="10">
        <f>IF($C446=0,"",COUNTIFS('DEF_SELF_SCOUT_IMPORT'!$L$42:$L$1040,"Y",'DEF_SELF_SCOUT_IMPORT'!$E$42:$E$1040,SUBSTITUTE(SUBSTITUTE(SUBSTITUTE($B446,"~","~~"),"*","~*"),"?","~?"),'DEF_SELF_SCOUT_IMPORT'!$Q$42:$Q$1040,SUBSTITUTE(SUBSTITUTE(SUBSTITUTE($M446,"~","~~"),"*","~*"),"?","~?"),'DEF_SELF_SCOUT_IMPORT'!$G$42:$G$1040,SUBSTITUTE(SUBSTITUTE(SUBSTITUTE($O446,"~","~~"),"*","~*"),"?","~?"),'DEF_SELF_SCOUT_IMPORT'!$H$42:$H$1040,"DROPBACK")/$C446)</f>
        <v>1.0</v>
      </c>
      <c r="I446" s="14" t="str">
        <f>IF(C446=0,"",IF(C446&lt;=2,"TRACK",IF(C446=3,"LOW",IF(C446&lt;=6,"MEDIUM","HIGH"))))</f>
        <v>TRACK</v>
      </c>
      <c r="J446" s="11">
        <f>IF(C446=0,"",ROUND(D446*70+(1-E446)*20+MAX(0,MIN(1,(10-F446)/10))*10,1))</f>
        <v>97.0</v>
      </c>
      <c r="K446" s="14" t="str">
        <f>IF(C446=0,"No Evidence",IF(C446&lt;=2,IF(E446&gt;0,"Explosive Alert","Track Only"),IF(C446=3,"Sample Watch",IF(E446&gt;=START_HERE!$B$31,"Explosive Alert",IF(J446&gt;=80,"Strong Candidate",IF(J446&gt;=65,"Good Candidate",IF(J446&gt;=50,"Mixed / Review","Problem Call")))))))</f>
        <v>Track Only</v>
      </c>
      <c r="L446" s="9" t="str">
        <f>IF(COUNTIFS('DEF_SELF_SCOUT_IMPORT'!$L$42:$L$1040,"Y",'DEF_SELF_SCOUT_IMPORT'!$E$42:$E$1040,SUBSTITUTE(SUBSTITUTE(SUBSTITUTE($B446,"~","~~"),"*","~*"),"?","~?"),'DEF_SELF_SCOUT_IMPORT'!$Q$42:$Q$1040,SUBSTITUTE(SUBSTITUTE(SUBSTITUTE($M446,"~","~~"),"*","~*"),"?","~?"),'DEF_SELF_SCOUT_IMPORT'!$G$42:$G$1040,SUBSTITUTE(SUBSTITUTE(SUBSTITUTE($O446,"~","~~"),"*","~*"),"?","~?"),'DEF_SELF_SCOUT_IMPORT'!$J$42:$J$1040,"")&gt;0,"Unscored clean outcome; review result tags before using score.",IF(C446=0,"No matching defensive reps; film confirmation needed.",IF(K446="Explosive Alert","Explosive risk; review clips before using as answer.",IF(C446&lt;=2,"Track only; not enough sample.",IF(C446=3,IF(E446&gt;0,"Sample watch with explosive exposure; review clips and build the sample.",IF(J446&gt;=65,"Good signal, but sample is limited.","Sample watch; review clips and build the sample.")),IF(K446="Problem Call","Problem area; practice or call-sheet review.",IF(K446="Strong Candidate","Strong call-fit candidate; confirm on film.",IF(K446="Good Candidate","Good call-fit signal; confirm on film.","Mixed signal; review fit and execution on film."))))))))</f>
        <v>Track only; not enough sample.</v>
      </c>
      <c r="M446" s="8" t="s">
        <v>76</v>
      </c>
      <c r="N446" s="8"/>
      <c r="O446" s="8" t="s">
        <v>206</v>
      </c>
      <c r="P446" s="8"/>
      <c r="Q446" s="8"/>
      <c r="R446" s="8" t="s">
        <v>28</v>
      </c>
      <c r="S446" s="2" t="s">
        <v>233</v>
      </c>
      <c r="T446" s="2">
        <f>IF(C446=0,0,IF(C446&gt;=CALL_LOOKUP_BOARD!$B$7,IF(OR(K446="Problem Call",K446="Explosive Alert"),10000000,20000000),0)+IF(C446&gt;=CALL_LOOKUP_BOARD!$B$7,J446*1000+MIN(C446,999),C446*1000+J446)+0.00992800)</f>
        <v>1097.009928</v>
      </c>
      <c r="U446" s="2">
        <f>IF(C446=0,"",IF(COUNTIFS($S$375:$S$581,SUBSTITUTE(SUBSTITUTE(SUBSTITUTE(S446,"~","~~"),"*","~*"),"?","~?"),$T$375:$T$581,"&gt;"&amp;T446)=0,S446,""))</f>
        <v/>
      </c>
    </row>
    <row r="447" spans="1:21" ht="38" customHeight="1">
      <c r="A447" s="8" t="s">
        <v>232</v>
      </c>
      <c r="B447" s="8" t="s">
        <v>81</v>
      </c>
      <c r="C447" s="12">
        <f>COUNTIFS('DEF_SELF_SCOUT_IMPORT'!$L$42:$L$1040,"Y",'DEF_SELF_SCOUT_IMPORT'!$E$42:$E$1040,SUBSTITUTE(SUBSTITUTE(SUBSTITUTE($B447,"~","~~"),"*","~*"),"?","~?"),'DEF_SELF_SCOUT_IMPORT'!$Q$42:$Q$1040,SUBSTITUTE(SUBSTITUTE(SUBSTITUTE($M447,"~","~~"),"*","~*"),"?","~?"),'DEF_SELF_SCOUT_IMPORT'!$G$42:$G$1040,SUBSTITUTE(SUBSTITUTE(SUBSTITUTE($O447,"~","~~"),"*","~*"),"?","~?"))</f>
        <v>1</v>
      </c>
      <c r="D447" s="10">
        <f>IF($C447=0,"",SUMIFS('DEF_SELF_SCOUT_IMPORT'!$J$42:$J$1040,'DEF_SELF_SCOUT_IMPORT'!$L$42:$L$1040,"Y",'DEF_SELF_SCOUT_IMPORT'!$E$42:$E$1040,SUBSTITUTE(SUBSTITUTE(SUBSTITUTE($B447,"~","~~"),"*","~*"),"?","~?"),'DEF_SELF_SCOUT_IMPORT'!$Q$42:$Q$1040,SUBSTITUTE(SUBSTITUTE(SUBSTITUTE($M447,"~","~~"),"*","~*"),"?","~?"),'DEF_SELF_SCOUT_IMPORT'!$G$42:$G$1040,SUBSTITUTE(SUBSTITUTE(SUBSTITUTE($O447,"~","~~"),"*","~*"),"?","~?"))/$C447)</f>
        <v>1.0</v>
      </c>
      <c r="E447" s="10">
        <f>IF($C447=0,"",SUMIFS('DEF_SELF_SCOUT_IMPORT'!$K$42:$K$1040,'DEF_SELF_SCOUT_IMPORT'!$L$42:$L$1040,"Y",'DEF_SELF_SCOUT_IMPORT'!$E$42:$E$1040,SUBSTITUTE(SUBSTITUTE(SUBSTITUTE($B447,"~","~~"),"*","~*"),"?","~?"),'DEF_SELF_SCOUT_IMPORT'!$Q$42:$Q$1040,SUBSTITUTE(SUBSTITUTE(SUBSTITUTE($M447,"~","~~"),"*","~*"),"?","~?"),'DEF_SELF_SCOUT_IMPORT'!$G$42:$G$1040,SUBSTITUTE(SUBSTITUTE(SUBSTITUTE($O447,"~","~~"),"*","~*"),"?","~?"))/$C447)</f>
        <v>0.0</v>
      </c>
      <c r="F447" s="11">
        <f>IF($C447=0,"",AVERAGEIFS('DEF_SELF_SCOUT_IMPORT'!$I$42:$I$1040,'DEF_SELF_SCOUT_IMPORT'!$L$42:$L$1040,"Y",'DEF_SELF_SCOUT_IMPORT'!$E$42:$E$1040,SUBSTITUTE(SUBSTITUTE(SUBSTITUTE($B447,"~","~~"),"*","~*"),"?","~?"),'DEF_SELF_SCOUT_IMPORT'!$Q$42:$Q$1040,SUBSTITUTE(SUBSTITUTE(SUBSTITUTE($M447,"~","~~"),"*","~*"),"?","~?"),'DEF_SELF_SCOUT_IMPORT'!$G$42:$G$1040,SUBSTITUTE(SUBSTITUTE(SUBSTITUTE($O447,"~","~~"),"*","~*"),"?","~?")))</f>
        <v>0.0</v>
      </c>
      <c r="G447" s="10">
        <f>IF($C447=0,"",COUNTIFS('DEF_SELF_SCOUT_IMPORT'!$L$42:$L$1040,"Y",'DEF_SELF_SCOUT_IMPORT'!$E$42:$E$1040,SUBSTITUTE(SUBSTITUTE(SUBSTITUTE($B447,"~","~~"),"*","~*"),"?","~?"),'DEF_SELF_SCOUT_IMPORT'!$Q$42:$Q$1040,SUBSTITUTE(SUBSTITUTE(SUBSTITUTE($M447,"~","~~"),"*","~*"),"?","~?"),'DEF_SELF_SCOUT_IMPORT'!$G$42:$G$1040,SUBSTITUTE(SUBSTITUTE(SUBSTITUTE($O447,"~","~~"),"*","~*"),"?","~?"),'DEF_SELF_SCOUT_IMPORT'!$H$42:$H$1040,"RUSH")/$C447)</f>
        <v>0.0</v>
      </c>
      <c r="H447" s="10">
        <f>IF($C447=0,"",COUNTIFS('DEF_SELF_SCOUT_IMPORT'!$L$42:$L$1040,"Y",'DEF_SELF_SCOUT_IMPORT'!$E$42:$E$1040,SUBSTITUTE(SUBSTITUTE(SUBSTITUTE($B447,"~","~~"),"*","~*"),"?","~?"),'DEF_SELF_SCOUT_IMPORT'!$Q$42:$Q$1040,SUBSTITUTE(SUBSTITUTE(SUBSTITUTE($M447,"~","~~"),"*","~*"),"?","~?"),'DEF_SELF_SCOUT_IMPORT'!$G$42:$G$1040,SUBSTITUTE(SUBSTITUTE(SUBSTITUTE($O447,"~","~~"),"*","~*"),"?","~?"),'DEF_SELF_SCOUT_IMPORT'!$H$42:$H$1040,"DROPBACK")/$C447)</f>
        <v>1.0</v>
      </c>
      <c r="I447" s="14" t="str">
        <f>IF(C447=0,"",IF(C447&lt;=2,"TRACK",IF(C447=3,"LOW",IF(C447&lt;=6,"MEDIUM","HIGH"))))</f>
        <v>TRACK</v>
      </c>
      <c r="J447" s="11">
        <f>IF(C447=0,"",ROUND(D447*70+(1-E447)*20+MAX(0,MIN(1,(10-F447)/10))*10,1))</f>
        <v>100.0</v>
      </c>
      <c r="K447" s="14" t="str">
        <f>IF(C447=0,"No Evidence",IF(C447&lt;=2,IF(E447&gt;0,"Explosive Alert","Track Only"),IF(C447=3,"Sample Watch",IF(E447&gt;=START_HERE!$B$31,"Explosive Alert",IF(J447&gt;=80,"Strong Candidate",IF(J447&gt;=65,"Good Candidate",IF(J447&gt;=50,"Mixed / Review","Problem Call")))))))</f>
        <v>Track Only</v>
      </c>
      <c r="L447" s="9" t="str">
        <f>IF(COUNTIFS('DEF_SELF_SCOUT_IMPORT'!$L$42:$L$1040,"Y",'DEF_SELF_SCOUT_IMPORT'!$E$42:$E$1040,SUBSTITUTE(SUBSTITUTE(SUBSTITUTE($B447,"~","~~"),"*","~*"),"?","~?"),'DEF_SELF_SCOUT_IMPORT'!$Q$42:$Q$1040,SUBSTITUTE(SUBSTITUTE(SUBSTITUTE($M447,"~","~~"),"*","~*"),"?","~?"),'DEF_SELF_SCOUT_IMPORT'!$G$42:$G$1040,SUBSTITUTE(SUBSTITUTE(SUBSTITUTE($O447,"~","~~"),"*","~*"),"?","~?"),'DEF_SELF_SCOUT_IMPORT'!$J$42:$J$1040,"")&gt;0,"Unscored clean outcome; review result tags before using score.",IF(C447=0,"No matching defensive reps; film confirmation needed.",IF(K447="Explosive Alert","Explosive risk; review clips before using as answer.",IF(C447&lt;=2,"Track only; not enough sample.",IF(C447=3,IF(E447&gt;0,"Sample watch with explosive exposure; review clips and build the sample.",IF(J447&gt;=65,"Good signal, but sample is limited.","Sample watch; review clips and build the sample.")),IF(K447="Problem Call","Problem area; practice or call-sheet review.",IF(K447="Strong Candidate","Strong call-fit candidate; confirm on film.",IF(K447="Good Candidate","Good call-fit signal; confirm on film.","Mixed signal; review fit and execution on film."))))))))</f>
        <v>Track only; not enough sample.</v>
      </c>
      <c r="M447" s="8" t="s">
        <v>76</v>
      </c>
      <c r="N447" s="8"/>
      <c r="O447" s="8" t="s">
        <v>206</v>
      </c>
      <c r="P447" s="8"/>
      <c r="Q447" s="8"/>
      <c r="R447" s="8" t="s">
        <v>28</v>
      </c>
      <c r="S447" s="2" t="s">
        <v>233</v>
      </c>
      <c r="T447" s="2">
        <f>IF(C447=0,0,IF(C447&gt;=CALL_LOOKUP_BOARD!$B$7,IF(OR(K447="Problem Call",K447="Explosive Alert"),10000000,20000000),0)+IF(C447&gt;=CALL_LOOKUP_BOARD!$B$7,J447*1000+MIN(C447,999),C447*1000+J447)+0.00992700)</f>
        <v>1100.009927</v>
      </c>
      <c r="U447" s="2">
        <f>IF(C447=0,"",IF(COUNTIFS($S$375:$S$581,SUBSTITUTE(SUBSTITUTE(SUBSTITUTE(S447,"~","~~"),"*","~*"),"?","~?"),$T$375:$T$581,"&gt;"&amp;T447)=0,S447,""))</f>
        <v/>
      </c>
    </row>
    <row r="448" spans="1:21" ht="38" customHeight="1">
      <c r="A448" s="8" t="s">
        <v>232</v>
      </c>
      <c r="B448" s="8" t="s">
        <v>61</v>
      </c>
      <c r="C448" s="12">
        <f>COUNTIFS('DEF_SELF_SCOUT_IMPORT'!$L$42:$L$1040,"Y",'DEF_SELF_SCOUT_IMPORT'!$E$42:$E$1040,SUBSTITUTE(SUBSTITUTE(SUBSTITUTE($B448,"~","~~"),"*","~*"),"?","~?"),'DEF_SELF_SCOUT_IMPORT'!$Q$42:$Q$1040,SUBSTITUTE(SUBSTITUTE(SUBSTITUTE($M448,"~","~~"),"*","~*"),"?","~?"),'DEF_SELF_SCOUT_IMPORT'!$G$42:$G$1040,SUBSTITUTE(SUBSTITUTE(SUBSTITUTE($O448,"~","~~"),"*","~*"),"?","~?"))</f>
        <v>2</v>
      </c>
      <c r="D448" s="10">
        <f>IF($C448=0,"",SUMIFS('DEF_SELF_SCOUT_IMPORT'!$J$42:$J$1040,'DEF_SELF_SCOUT_IMPORT'!$L$42:$L$1040,"Y",'DEF_SELF_SCOUT_IMPORT'!$E$42:$E$1040,SUBSTITUTE(SUBSTITUTE(SUBSTITUTE($B448,"~","~~"),"*","~*"),"?","~?"),'DEF_SELF_SCOUT_IMPORT'!$Q$42:$Q$1040,SUBSTITUTE(SUBSTITUTE(SUBSTITUTE($M448,"~","~~"),"*","~*"),"?","~?"),'DEF_SELF_SCOUT_IMPORT'!$G$42:$G$1040,SUBSTITUTE(SUBSTITUTE(SUBSTITUTE($O448,"~","~~"),"*","~*"),"?","~?"))/$C448)</f>
        <v>0.5</v>
      </c>
      <c r="E448" s="10">
        <f>IF($C448=0,"",SUMIFS('DEF_SELF_SCOUT_IMPORT'!$K$42:$K$1040,'DEF_SELF_SCOUT_IMPORT'!$L$42:$L$1040,"Y",'DEF_SELF_SCOUT_IMPORT'!$E$42:$E$1040,SUBSTITUTE(SUBSTITUTE(SUBSTITUTE($B448,"~","~~"),"*","~*"),"?","~?"),'DEF_SELF_SCOUT_IMPORT'!$Q$42:$Q$1040,SUBSTITUTE(SUBSTITUTE(SUBSTITUTE($M448,"~","~~"),"*","~*"),"?","~?"),'DEF_SELF_SCOUT_IMPORT'!$G$42:$G$1040,SUBSTITUTE(SUBSTITUTE(SUBSTITUTE($O448,"~","~~"),"*","~*"),"?","~?"))/$C448)</f>
        <v>0.0</v>
      </c>
      <c r="F448" s="11">
        <f>IF($C448=0,"",AVERAGEIFS('DEF_SELF_SCOUT_IMPORT'!$I$42:$I$1040,'DEF_SELF_SCOUT_IMPORT'!$L$42:$L$1040,"Y",'DEF_SELF_SCOUT_IMPORT'!$E$42:$E$1040,SUBSTITUTE(SUBSTITUTE(SUBSTITUTE($B448,"~","~~"),"*","~*"),"?","~?"),'DEF_SELF_SCOUT_IMPORT'!$Q$42:$Q$1040,SUBSTITUTE(SUBSTITUTE(SUBSTITUTE($M448,"~","~~"),"*","~*"),"?","~?"),'DEF_SELF_SCOUT_IMPORT'!$G$42:$G$1040,SUBSTITUTE(SUBSTITUTE(SUBSTITUTE($O448,"~","~~"),"*","~*"),"?","~?")))</f>
        <v>3.5</v>
      </c>
      <c r="G448" s="10">
        <f>IF($C448=0,"",COUNTIFS('DEF_SELF_SCOUT_IMPORT'!$L$42:$L$1040,"Y",'DEF_SELF_SCOUT_IMPORT'!$E$42:$E$1040,SUBSTITUTE(SUBSTITUTE(SUBSTITUTE($B448,"~","~~"),"*","~*"),"?","~?"),'DEF_SELF_SCOUT_IMPORT'!$Q$42:$Q$1040,SUBSTITUTE(SUBSTITUTE(SUBSTITUTE($M448,"~","~~"),"*","~*"),"?","~?"),'DEF_SELF_SCOUT_IMPORT'!$G$42:$G$1040,SUBSTITUTE(SUBSTITUTE(SUBSTITUTE($O448,"~","~~"),"*","~*"),"?","~?"),'DEF_SELF_SCOUT_IMPORT'!$H$42:$H$1040,"RUSH")/$C448)</f>
        <v>0.5</v>
      </c>
      <c r="H448" s="10">
        <f>IF($C448=0,"",COUNTIFS('DEF_SELF_SCOUT_IMPORT'!$L$42:$L$1040,"Y",'DEF_SELF_SCOUT_IMPORT'!$E$42:$E$1040,SUBSTITUTE(SUBSTITUTE(SUBSTITUTE($B448,"~","~~"),"*","~*"),"?","~?"),'DEF_SELF_SCOUT_IMPORT'!$Q$42:$Q$1040,SUBSTITUTE(SUBSTITUTE(SUBSTITUTE($M448,"~","~~"),"*","~*"),"?","~?"),'DEF_SELF_SCOUT_IMPORT'!$G$42:$G$1040,SUBSTITUTE(SUBSTITUTE(SUBSTITUTE($O448,"~","~~"),"*","~*"),"?","~?"),'DEF_SELF_SCOUT_IMPORT'!$H$42:$H$1040,"DROPBACK")/$C448)</f>
        <v>0.5</v>
      </c>
      <c r="I448" s="14" t="str">
        <f>IF(C448=0,"",IF(C448&lt;=2,"TRACK",IF(C448=3,"LOW",IF(C448&lt;=6,"MEDIUM","HIGH"))))</f>
        <v>TRACK</v>
      </c>
      <c r="J448" s="11">
        <f>IF(C448=0,"",ROUND(D448*70+(1-E448)*20+MAX(0,MIN(1,(10-F448)/10))*10,1))</f>
        <v>61.5</v>
      </c>
      <c r="K448" s="14" t="str">
        <f>IF(C448=0,"No Evidence",IF(C448&lt;=2,IF(E448&gt;0,"Explosive Alert","Track Only"),IF(C448=3,"Sample Watch",IF(E448&gt;=START_HERE!$B$31,"Explosive Alert",IF(J448&gt;=80,"Strong Candidate",IF(J448&gt;=65,"Good Candidate",IF(J448&gt;=50,"Mixed / Review","Problem Call")))))))</f>
        <v>Track Only</v>
      </c>
      <c r="L448" s="9" t="str">
        <f>IF(COUNTIFS('DEF_SELF_SCOUT_IMPORT'!$L$42:$L$1040,"Y",'DEF_SELF_SCOUT_IMPORT'!$E$42:$E$1040,SUBSTITUTE(SUBSTITUTE(SUBSTITUTE($B448,"~","~~"),"*","~*"),"?","~?"),'DEF_SELF_SCOUT_IMPORT'!$Q$42:$Q$1040,SUBSTITUTE(SUBSTITUTE(SUBSTITUTE($M448,"~","~~"),"*","~*"),"?","~?"),'DEF_SELF_SCOUT_IMPORT'!$G$42:$G$1040,SUBSTITUTE(SUBSTITUTE(SUBSTITUTE($O448,"~","~~"),"*","~*"),"?","~?"),'DEF_SELF_SCOUT_IMPORT'!$J$42:$J$1040,"")&gt;0,"Unscored clean outcome; review result tags before using score.",IF(C448=0,"No matching defensive reps; film confirmation needed.",IF(K448="Explosive Alert","Explosive risk; review clips before using as answer.",IF(C448&lt;=2,"Track only; not enough sample.",IF(C448=3,IF(E448&gt;0,"Sample watch with explosive exposure; review clips and build the sample.",IF(J448&gt;=65,"Good signal, but sample is limited.","Sample watch; review clips and build the sample.")),IF(K448="Problem Call","Problem area; practice or call-sheet review.",IF(K448="Strong Candidate","Strong call-fit candidate; confirm on film.",IF(K448="Good Candidate","Good call-fit signal; confirm on film.","Mixed signal; review fit and execution on film."))))))))</f>
        <v>Track only; not enough sample.</v>
      </c>
      <c r="M448" s="8" t="s">
        <v>76</v>
      </c>
      <c r="N448" s="8"/>
      <c r="O448" s="8" t="s">
        <v>206</v>
      </c>
      <c r="P448" s="8"/>
      <c r="Q448" s="8"/>
      <c r="R448" s="8" t="s">
        <v>28</v>
      </c>
      <c r="S448" s="2" t="s">
        <v>233</v>
      </c>
      <c r="T448" s="2">
        <f>IF(C448=0,0,IF(C448&gt;=CALL_LOOKUP_BOARD!$B$7,IF(OR(K448="Problem Call",K448="Explosive Alert"),10000000,20000000),0)+IF(C448&gt;=CALL_LOOKUP_BOARD!$B$7,J448*1000+MIN(C448,999),C448*1000+J448)+0.00992600)</f>
        <v>2061.509926</v>
      </c>
      <c r="U448" s="2" t="str">
        <f>IF(C448=0,"",IF(COUNTIFS($S$375:$S$581,SUBSTITUTE(SUBSTITUTE(SUBSTITUTE(S448,"~","~~"),"*","~*"),"?","~?"),$T$375:$T$581,"&gt;"&amp;T448)=0,S448,""))</f>
        <v>6:2D 11+|3:3X1|</v>
      </c>
    </row>
    <row r="449" spans="1:21" ht="38" customHeight="1">
      <c r="A449" s="8" t="s">
        <v>234</v>
      </c>
      <c r="B449" s="8" t="s">
        <v>35</v>
      </c>
      <c r="C449" s="12">
        <f>COUNTIFS('DEF_SELF_SCOUT_IMPORT'!$L$42:$L$1040,"Y",'DEF_SELF_SCOUT_IMPORT'!$E$42:$E$1040,SUBSTITUTE(SUBSTITUTE(SUBSTITUTE($B449,"~","~~"),"*","~*"),"?","~?"),'DEF_SELF_SCOUT_IMPORT'!$Q$42:$Q$1040,SUBSTITUTE(SUBSTITUTE(SUBSTITUTE($M449,"~","~~"),"*","~*"),"?","~?"),'DEF_SELF_SCOUT_IMPORT'!$G$42:$G$1040,SUBSTITUTE(SUBSTITUTE(SUBSTITUTE($O449,"~","~~"),"*","~*"),"?","~?"))</f>
        <v>1</v>
      </c>
      <c r="D449" s="10">
        <f>IF($C449=0,"",SUMIFS('DEF_SELF_SCOUT_IMPORT'!$J$42:$J$1040,'DEF_SELF_SCOUT_IMPORT'!$L$42:$L$1040,"Y",'DEF_SELF_SCOUT_IMPORT'!$E$42:$E$1040,SUBSTITUTE(SUBSTITUTE(SUBSTITUTE($B449,"~","~~"),"*","~*"),"?","~?"),'DEF_SELF_SCOUT_IMPORT'!$Q$42:$Q$1040,SUBSTITUTE(SUBSTITUTE(SUBSTITUTE($M449,"~","~~"),"*","~*"),"?","~?"),'DEF_SELF_SCOUT_IMPORT'!$G$42:$G$1040,SUBSTITUTE(SUBSTITUTE(SUBSTITUTE($O449,"~","~~"),"*","~*"),"?","~?"))/$C449)</f>
        <v>1.0</v>
      </c>
      <c r="E449" s="10">
        <f>IF($C449=0,"",SUMIFS('DEF_SELF_SCOUT_IMPORT'!$K$42:$K$1040,'DEF_SELF_SCOUT_IMPORT'!$L$42:$L$1040,"Y",'DEF_SELF_SCOUT_IMPORT'!$E$42:$E$1040,SUBSTITUTE(SUBSTITUTE(SUBSTITUTE($B449,"~","~~"),"*","~*"),"?","~?"),'DEF_SELF_SCOUT_IMPORT'!$Q$42:$Q$1040,SUBSTITUTE(SUBSTITUTE(SUBSTITUTE($M449,"~","~~"),"*","~*"),"?","~?"),'DEF_SELF_SCOUT_IMPORT'!$G$42:$G$1040,SUBSTITUTE(SUBSTITUTE(SUBSTITUTE($O449,"~","~~"),"*","~*"),"?","~?"))/$C449)</f>
        <v>0.0</v>
      </c>
      <c r="F449" s="11">
        <f>IF($C449=0,"",AVERAGEIFS('DEF_SELF_SCOUT_IMPORT'!$I$42:$I$1040,'DEF_SELF_SCOUT_IMPORT'!$L$42:$L$1040,"Y",'DEF_SELF_SCOUT_IMPORT'!$E$42:$E$1040,SUBSTITUTE(SUBSTITUTE(SUBSTITUTE($B449,"~","~~"),"*","~*"),"?","~?"),'DEF_SELF_SCOUT_IMPORT'!$Q$42:$Q$1040,SUBSTITUTE(SUBSTITUTE(SUBSTITUTE($M449,"~","~~"),"*","~*"),"?","~?"),'DEF_SELF_SCOUT_IMPORT'!$G$42:$G$1040,SUBSTITUTE(SUBSTITUTE(SUBSTITUTE($O449,"~","~~"),"*","~*"),"?","~?")))</f>
        <v>1.0</v>
      </c>
      <c r="G449" s="10">
        <f>IF($C449=0,"",COUNTIFS('DEF_SELF_SCOUT_IMPORT'!$L$42:$L$1040,"Y",'DEF_SELF_SCOUT_IMPORT'!$E$42:$E$1040,SUBSTITUTE(SUBSTITUTE(SUBSTITUTE($B449,"~","~~"),"*","~*"),"?","~?"),'DEF_SELF_SCOUT_IMPORT'!$Q$42:$Q$1040,SUBSTITUTE(SUBSTITUTE(SUBSTITUTE($M449,"~","~~"),"*","~*"),"?","~?"),'DEF_SELF_SCOUT_IMPORT'!$G$42:$G$1040,SUBSTITUTE(SUBSTITUTE(SUBSTITUTE($O449,"~","~~"),"*","~*"),"?","~?"),'DEF_SELF_SCOUT_IMPORT'!$H$42:$H$1040,"RUSH")/$C449)</f>
        <v>1.0</v>
      </c>
      <c r="H449" s="10">
        <f>IF($C449=0,"",COUNTIFS('DEF_SELF_SCOUT_IMPORT'!$L$42:$L$1040,"Y",'DEF_SELF_SCOUT_IMPORT'!$E$42:$E$1040,SUBSTITUTE(SUBSTITUTE(SUBSTITUTE($B449,"~","~~"),"*","~*"),"?","~?"),'DEF_SELF_SCOUT_IMPORT'!$Q$42:$Q$1040,SUBSTITUTE(SUBSTITUTE(SUBSTITUTE($M449,"~","~~"),"*","~*"),"?","~?"),'DEF_SELF_SCOUT_IMPORT'!$G$42:$G$1040,SUBSTITUTE(SUBSTITUTE(SUBSTITUTE($O449,"~","~~"),"*","~*"),"?","~?"),'DEF_SELF_SCOUT_IMPORT'!$H$42:$H$1040,"DROPBACK")/$C449)</f>
        <v>0.0</v>
      </c>
      <c r="I449" s="14" t="str">
        <f>IF(C449=0,"",IF(C449&lt;=2,"TRACK",IF(C449=3,"LOW",IF(C449&lt;=6,"MEDIUM","HIGH"))))</f>
        <v>TRACK</v>
      </c>
      <c r="J449" s="11">
        <f>IF(C449=0,"",ROUND(D449*70+(1-E449)*20+MAX(0,MIN(1,(10-F449)/10))*10,1))</f>
        <v>99.0</v>
      </c>
      <c r="K449" s="14" t="str">
        <f>IF(C449=0,"No Evidence",IF(C449&lt;=2,IF(E449&gt;0,"Explosive Alert","Track Only"),IF(C449=3,"Sample Watch",IF(E449&gt;=START_HERE!$B$31,"Explosive Alert",IF(J449&gt;=80,"Strong Candidate",IF(J449&gt;=65,"Good Candidate",IF(J449&gt;=50,"Mixed / Review","Problem Call")))))))</f>
        <v>Track Only</v>
      </c>
      <c r="L449" s="9" t="str">
        <f>IF(COUNTIFS('DEF_SELF_SCOUT_IMPORT'!$L$42:$L$1040,"Y",'DEF_SELF_SCOUT_IMPORT'!$E$42:$E$1040,SUBSTITUTE(SUBSTITUTE(SUBSTITUTE($B449,"~","~~"),"*","~*"),"?","~?"),'DEF_SELF_SCOUT_IMPORT'!$Q$42:$Q$1040,SUBSTITUTE(SUBSTITUTE(SUBSTITUTE($M449,"~","~~"),"*","~*"),"?","~?"),'DEF_SELF_SCOUT_IMPORT'!$G$42:$G$1040,SUBSTITUTE(SUBSTITUTE(SUBSTITUTE($O449,"~","~~"),"*","~*"),"?","~?"),'DEF_SELF_SCOUT_IMPORT'!$J$42:$J$1040,"")&gt;0,"Unscored clean outcome; review result tags before using score.",IF(C449=0,"No matching defensive reps; film confirmation needed.",IF(K449="Explosive Alert","Explosive risk; review clips before using as answer.",IF(C449&lt;=2,"Track only; not enough sample.",IF(C449=3,IF(E449&gt;0,"Sample watch with explosive exposure; review clips and build the sample.",IF(J449&gt;=65,"Good signal, but sample is limited.","Sample watch; review clips and build the sample.")),IF(K449="Problem Call","Problem area; practice or call-sheet review.",IF(K449="Strong Candidate","Strong call-fit candidate; confirm on film.",IF(K449="Good Candidate","Good call-fit signal; confirm on film.","Mixed signal; review fit and execution on film."))))))))</f>
        <v>Track only; not enough sample.</v>
      </c>
      <c r="M449" s="8" t="s">
        <v>82</v>
      </c>
      <c r="N449" s="8"/>
      <c r="O449" s="8" t="s">
        <v>235</v>
      </c>
      <c r="P449" s="8"/>
      <c r="Q449" s="8"/>
      <c r="R449" s="8" t="s">
        <v>28</v>
      </c>
      <c r="S449" s="2" t="s">
        <v>236</v>
      </c>
      <c r="T449" s="2">
        <f>IF(C449=0,0,IF(C449&gt;=CALL_LOOKUP_BOARD!$B$7,IF(OR(K449="Problem Call",K449="Explosive Alert"),10000000,20000000),0)+IF(C449&gt;=CALL_LOOKUP_BOARD!$B$7,J449*1000+MIN(C449,999),C449*1000+J449)+0.00992500)</f>
        <v>1099.009925</v>
      </c>
      <c r="U449" s="2" t="str">
        <f>IF(C449=0,"",IF(COUNTIFS($S$375:$S$581,SUBSTITUTE(SUBSTITUTE(SUBSTITUTE(S449,"~","~~"),"*","~*"),"?","~?"),$T$375:$T$581,"&gt;"&amp;T449)=0,S449,""))</f>
        <v>6:2D 4-6|3:2X1|</v>
      </c>
    </row>
    <row r="450" spans="1:21" ht="38" customHeight="1">
      <c r="A450" s="8" t="s">
        <v>237</v>
      </c>
      <c r="B450" s="8" t="s">
        <v>27</v>
      </c>
      <c r="C450" s="12">
        <f>COUNTIFS('DEF_SELF_SCOUT_IMPORT'!$L$42:$L$1040,"Y",'DEF_SELF_SCOUT_IMPORT'!$E$42:$E$1040,SUBSTITUTE(SUBSTITUTE(SUBSTITUTE($B450,"~","~~"),"*","~*"),"?","~?"),'DEF_SELF_SCOUT_IMPORT'!$Q$42:$Q$1040,SUBSTITUTE(SUBSTITUTE(SUBSTITUTE($M450,"~","~~"),"*","~*"),"?","~?"),'DEF_SELF_SCOUT_IMPORT'!$G$42:$G$1040,SUBSTITUTE(SUBSTITUTE(SUBSTITUTE($O450,"~","~~"),"*","~*"),"?","~?"))</f>
        <v>1</v>
      </c>
      <c r="D450" s="10">
        <f>IF($C450=0,"",SUMIFS('DEF_SELF_SCOUT_IMPORT'!$J$42:$J$1040,'DEF_SELF_SCOUT_IMPORT'!$L$42:$L$1040,"Y",'DEF_SELF_SCOUT_IMPORT'!$E$42:$E$1040,SUBSTITUTE(SUBSTITUTE(SUBSTITUTE($B450,"~","~~"),"*","~*"),"?","~?"),'DEF_SELF_SCOUT_IMPORT'!$Q$42:$Q$1040,SUBSTITUTE(SUBSTITUTE(SUBSTITUTE($M450,"~","~~"),"*","~*"),"?","~?"),'DEF_SELF_SCOUT_IMPORT'!$G$42:$G$1040,SUBSTITUTE(SUBSTITUTE(SUBSTITUTE($O450,"~","~~"),"*","~*"),"?","~?"))/$C450)</f>
        <v>1.0</v>
      </c>
      <c r="E450" s="10">
        <f>IF($C450=0,"",SUMIFS('DEF_SELF_SCOUT_IMPORT'!$K$42:$K$1040,'DEF_SELF_SCOUT_IMPORT'!$L$42:$L$1040,"Y",'DEF_SELF_SCOUT_IMPORT'!$E$42:$E$1040,SUBSTITUTE(SUBSTITUTE(SUBSTITUTE($B450,"~","~~"),"*","~*"),"?","~?"),'DEF_SELF_SCOUT_IMPORT'!$Q$42:$Q$1040,SUBSTITUTE(SUBSTITUTE(SUBSTITUTE($M450,"~","~~"),"*","~*"),"?","~?"),'DEF_SELF_SCOUT_IMPORT'!$G$42:$G$1040,SUBSTITUTE(SUBSTITUTE(SUBSTITUTE($O450,"~","~~"),"*","~*"),"?","~?"))/$C450)</f>
        <v>0.0</v>
      </c>
      <c r="F450" s="11">
        <f>IF($C450=0,"",AVERAGEIFS('DEF_SELF_SCOUT_IMPORT'!$I$42:$I$1040,'DEF_SELF_SCOUT_IMPORT'!$L$42:$L$1040,"Y",'DEF_SELF_SCOUT_IMPORT'!$E$42:$E$1040,SUBSTITUTE(SUBSTITUTE(SUBSTITUTE($B450,"~","~~"),"*","~*"),"?","~?"),'DEF_SELF_SCOUT_IMPORT'!$Q$42:$Q$1040,SUBSTITUTE(SUBSTITUTE(SUBSTITUTE($M450,"~","~~"),"*","~*"),"?","~?"),'DEF_SELF_SCOUT_IMPORT'!$G$42:$G$1040,SUBSTITUTE(SUBSTITUTE(SUBSTITUTE($O450,"~","~~"),"*","~*"),"?","~?")))</f>
        <v>0.0</v>
      </c>
      <c r="G450" s="10">
        <f>IF($C450=0,"",COUNTIFS('DEF_SELF_SCOUT_IMPORT'!$L$42:$L$1040,"Y",'DEF_SELF_SCOUT_IMPORT'!$E$42:$E$1040,SUBSTITUTE(SUBSTITUTE(SUBSTITUTE($B450,"~","~~"),"*","~*"),"?","~?"),'DEF_SELF_SCOUT_IMPORT'!$Q$42:$Q$1040,SUBSTITUTE(SUBSTITUTE(SUBSTITUTE($M450,"~","~~"),"*","~*"),"?","~?"),'DEF_SELF_SCOUT_IMPORT'!$G$42:$G$1040,SUBSTITUTE(SUBSTITUTE(SUBSTITUTE($O450,"~","~~"),"*","~*"),"?","~?"),'DEF_SELF_SCOUT_IMPORT'!$H$42:$H$1040,"RUSH")/$C450)</f>
        <v>1.0</v>
      </c>
      <c r="H450" s="10">
        <f>IF($C450=0,"",COUNTIFS('DEF_SELF_SCOUT_IMPORT'!$L$42:$L$1040,"Y",'DEF_SELF_SCOUT_IMPORT'!$E$42:$E$1040,SUBSTITUTE(SUBSTITUTE(SUBSTITUTE($B450,"~","~~"),"*","~*"),"?","~?"),'DEF_SELF_SCOUT_IMPORT'!$Q$42:$Q$1040,SUBSTITUTE(SUBSTITUTE(SUBSTITUTE($M450,"~","~~"),"*","~*"),"?","~?"),'DEF_SELF_SCOUT_IMPORT'!$G$42:$G$1040,SUBSTITUTE(SUBSTITUTE(SUBSTITUTE($O450,"~","~~"),"*","~*"),"?","~?"),'DEF_SELF_SCOUT_IMPORT'!$H$42:$H$1040,"DROPBACK")/$C450)</f>
        <v>0.0</v>
      </c>
      <c r="I450" s="14" t="str">
        <f>IF(C450=0,"",IF(C450&lt;=2,"TRACK",IF(C450=3,"LOW",IF(C450&lt;=6,"MEDIUM","HIGH"))))</f>
        <v>TRACK</v>
      </c>
      <c r="J450" s="11">
        <f>IF(C450=0,"",ROUND(D450*70+(1-E450)*20+MAX(0,MIN(1,(10-F450)/10))*10,1))</f>
        <v>100.0</v>
      </c>
      <c r="K450" s="14" t="str">
        <f>IF(C450=0,"No Evidence",IF(C450&lt;=2,IF(E450&gt;0,"Explosive Alert","Track Only"),IF(C450=3,"Sample Watch",IF(E450&gt;=START_HERE!$B$31,"Explosive Alert",IF(J450&gt;=80,"Strong Candidate",IF(J450&gt;=65,"Good Candidate",IF(J450&gt;=50,"Mixed / Review","Problem Call")))))))</f>
        <v>Track Only</v>
      </c>
      <c r="L450" s="9" t="str">
        <f>IF(COUNTIFS('DEF_SELF_SCOUT_IMPORT'!$L$42:$L$1040,"Y",'DEF_SELF_SCOUT_IMPORT'!$E$42:$E$1040,SUBSTITUTE(SUBSTITUTE(SUBSTITUTE($B450,"~","~~"),"*","~*"),"?","~?"),'DEF_SELF_SCOUT_IMPORT'!$Q$42:$Q$1040,SUBSTITUTE(SUBSTITUTE(SUBSTITUTE($M450,"~","~~"),"*","~*"),"?","~?"),'DEF_SELF_SCOUT_IMPORT'!$G$42:$G$1040,SUBSTITUTE(SUBSTITUTE(SUBSTITUTE($O450,"~","~~"),"*","~*"),"?","~?"),'DEF_SELF_SCOUT_IMPORT'!$J$42:$J$1040,"")&gt;0,"Unscored clean outcome; review result tags before using score.",IF(C450=0,"No matching defensive reps; film confirmation needed.",IF(K450="Explosive Alert","Explosive risk; review clips before using as answer.",IF(C450&lt;=2,"Track only; not enough sample.",IF(C450=3,IF(E450&gt;0,"Sample watch with explosive exposure; review clips and build the sample.",IF(J450&gt;=65,"Good signal, but sample is limited.","Sample watch; review clips and build the sample.")),IF(K450="Problem Call","Problem area; practice or call-sheet review.",IF(K450="Strong Candidate","Strong call-fit candidate; confirm on film.",IF(K450="Good Candidate","Good call-fit signal; confirm on film.","Mixed signal; review fit and execution on film."))))))))</f>
        <v>Track only; not enough sample.</v>
      </c>
      <c r="M450" s="8" t="s">
        <v>82</v>
      </c>
      <c r="N450" s="8"/>
      <c r="O450" s="8" t="s">
        <v>203</v>
      </c>
      <c r="P450" s="8"/>
      <c r="Q450" s="8"/>
      <c r="R450" s="8" t="s">
        <v>28</v>
      </c>
      <c r="S450" s="2" t="s">
        <v>238</v>
      </c>
      <c r="T450" s="2">
        <f>IF(C450=0,0,IF(C450&gt;=CALL_LOOKUP_BOARD!$B$7,IF(OR(K450="Problem Call",K450="Explosive Alert"),10000000,20000000),0)+IF(C450&gt;=CALL_LOOKUP_BOARD!$B$7,J450*1000+MIN(C450,999),C450*1000+J450)+0.00992400)</f>
        <v>1100.009924</v>
      </c>
      <c r="U450" s="2">
        <f>IF(C450=0,"",IF(COUNTIFS($S$375:$S$581,SUBSTITUTE(SUBSTITUTE(SUBSTITUTE(S450,"~","~~"),"*","~*"),"?","~?"),$T$375:$T$581,"&gt;"&amp;T450)=0,S450,""))</f>
        <v/>
      </c>
    </row>
    <row r="451" spans="1:21" ht="38" customHeight="1">
      <c r="A451" s="8" t="s">
        <v>237</v>
      </c>
      <c r="B451" s="8" t="s">
        <v>79</v>
      </c>
      <c r="C451" s="12">
        <f>COUNTIFS('DEF_SELF_SCOUT_IMPORT'!$L$42:$L$1040,"Y",'DEF_SELF_SCOUT_IMPORT'!$E$42:$E$1040,SUBSTITUTE(SUBSTITUTE(SUBSTITUTE($B451,"~","~~"),"*","~*"),"?","~?"),'DEF_SELF_SCOUT_IMPORT'!$Q$42:$Q$1040,SUBSTITUTE(SUBSTITUTE(SUBSTITUTE($M451,"~","~~"),"*","~*"),"?","~?"),'DEF_SELF_SCOUT_IMPORT'!$G$42:$G$1040,SUBSTITUTE(SUBSTITUTE(SUBSTITUTE($O451,"~","~~"),"*","~*"),"?","~?"))</f>
        <v>1</v>
      </c>
      <c r="D451" s="10">
        <f>IF($C451=0,"",SUMIFS('DEF_SELF_SCOUT_IMPORT'!$J$42:$J$1040,'DEF_SELF_SCOUT_IMPORT'!$L$42:$L$1040,"Y",'DEF_SELF_SCOUT_IMPORT'!$E$42:$E$1040,SUBSTITUTE(SUBSTITUTE(SUBSTITUTE($B451,"~","~~"),"*","~*"),"?","~?"),'DEF_SELF_SCOUT_IMPORT'!$Q$42:$Q$1040,SUBSTITUTE(SUBSTITUTE(SUBSTITUTE($M451,"~","~~"),"*","~*"),"?","~?"),'DEF_SELF_SCOUT_IMPORT'!$G$42:$G$1040,SUBSTITUTE(SUBSTITUTE(SUBSTITUTE($O451,"~","~~"),"*","~*"),"?","~?"))/$C451)</f>
        <v>1.0</v>
      </c>
      <c r="E451" s="10">
        <f>IF($C451=0,"",SUMIFS('DEF_SELF_SCOUT_IMPORT'!$K$42:$K$1040,'DEF_SELF_SCOUT_IMPORT'!$L$42:$L$1040,"Y",'DEF_SELF_SCOUT_IMPORT'!$E$42:$E$1040,SUBSTITUTE(SUBSTITUTE(SUBSTITUTE($B451,"~","~~"),"*","~*"),"?","~?"),'DEF_SELF_SCOUT_IMPORT'!$Q$42:$Q$1040,SUBSTITUTE(SUBSTITUTE(SUBSTITUTE($M451,"~","~~"),"*","~*"),"?","~?"),'DEF_SELF_SCOUT_IMPORT'!$G$42:$G$1040,SUBSTITUTE(SUBSTITUTE(SUBSTITUTE($O451,"~","~~"),"*","~*"),"?","~?"))/$C451)</f>
        <v>0.0</v>
      </c>
      <c r="F451" s="11">
        <f>IF($C451=0,"",AVERAGEIFS('DEF_SELF_SCOUT_IMPORT'!$I$42:$I$1040,'DEF_SELF_SCOUT_IMPORT'!$L$42:$L$1040,"Y",'DEF_SELF_SCOUT_IMPORT'!$E$42:$E$1040,SUBSTITUTE(SUBSTITUTE(SUBSTITUTE($B451,"~","~~"),"*","~*"),"?","~?"),'DEF_SELF_SCOUT_IMPORT'!$Q$42:$Q$1040,SUBSTITUTE(SUBSTITUTE(SUBSTITUTE($M451,"~","~~"),"*","~*"),"?","~?"),'DEF_SELF_SCOUT_IMPORT'!$G$42:$G$1040,SUBSTITUTE(SUBSTITUTE(SUBSTITUTE($O451,"~","~~"),"*","~*"),"?","~?")))</f>
        <v>5.0</v>
      </c>
      <c r="G451" s="10">
        <f>IF($C451=0,"",COUNTIFS('DEF_SELF_SCOUT_IMPORT'!$L$42:$L$1040,"Y",'DEF_SELF_SCOUT_IMPORT'!$E$42:$E$1040,SUBSTITUTE(SUBSTITUTE(SUBSTITUTE($B451,"~","~~"),"*","~*"),"?","~?"),'DEF_SELF_SCOUT_IMPORT'!$Q$42:$Q$1040,SUBSTITUTE(SUBSTITUTE(SUBSTITUTE($M451,"~","~~"),"*","~*"),"?","~?"),'DEF_SELF_SCOUT_IMPORT'!$G$42:$G$1040,SUBSTITUTE(SUBSTITUTE(SUBSTITUTE($O451,"~","~~"),"*","~*"),"?","~?"),'DEF_SELF_SCOUT_IMPORT'!$H$42:$H$1040,"RUSH")/$C451)</f>
        <v>0.0</v>
      </c>
      <c r="H451" s="10">
        <f>IF($C451=0,"",COUNTIFS('DEF_SELF_SCOUT_IMPORT'!$L$42:$L$1040,"Y",'DEF_SELF_SCOUT_IMPORT'!$E$42:$E$1040,SUBSTITUTE(SUBSTITUTE(SUBSTITUTE($B451,"~","~~"),"*","~*"),"?","~?"),'DEF_SELF_SCOUT_IMPORT'!$Q$42:$Q$1040,SUBSTITUTE(SUBSTITUTE(SUBSTITUTE($M451,"~","~~"),"*","~*"),"?","~?"),'DEF_SELF_SCOUT_IMPORT'!$G$42:$G$1040,SUBSTITUTE(SUBSTITUTE(SUBSTITUTE($O451,"~","~~"),"*","~*"),"?","~?"),'DEF_SELF_SCOUT_IMPORT'!$H$42:$H$1040,"DROPBACK")/$C451)</f>
        <v>1.0</v>
      </c>
      <c r="I451" s="14" t="str">
        <f>IF(C451=0,"",IF(C451&lt;=2,"TRACK",IF(C451=3,"LOW",IF(C451&lt;=6,"MEDIUM","HIGH"))))</f>
        <v>TRACK</v>
      </c>
      <c r="J451" s="11">
        <f>IF(C451=0,"",ROUND(D451*70+(1-E451)*20+MAX(0,MIN(1,(10-F451)/10))*10,1))</f>
        <v>95.0</v>
      </c>
      <c r="K451" s="14" t="str">
        <f>IF(C451=0,"No Evidence",IF(C451&lt;=2,IF(E451&gt;0,"Explosive Alert","Track Only"),IF(C451=3,"Sample Watch",IF(E451&gt;=START_HERE!$B$31,"Explosive Alert",IF(J451&gt;=80,"Strong Candidate",IF(J451&gt;=65,"Good Candidate",IF(J451&gt;=50,"Mixed / Review","Problem Call")))))))</f>
        <v>Track Only</v>
      </c>
      <c r="L451" s="9" t="str">
        <f>IF(COUNTIFS('DEF_SELF_SCOUT_IMPORT'!$L$42:$L$1040,"Y",'DEF_SELF_SCOUT_IMPORT'!$E$42:$E$1040,SUBSTITUTE(SUBSTITUTE(SUBSTITUTE($B451,"~","~~"),"*","~*"),"?","~?"),'DEF_SELF_SCOUT_IMPORT'!$Q$42:$Q$1040,SUBSTITUTE(SUBSTITUTE(SUBSTITUTE($M451,"~","~~"),"*","~*"),"?","~?"),'DEF_SELF_SCOUT_IMPORT'!$G$42:$G$1040,SUBSTITUTE(SUBSTITUTE(SUBSTITUTE($O451,"~","~~"),"*","~*"),"?","~?"),'DEF_SELF_SCOUT_IMPORT'!$J$42:$J$1040,"")&gt;0,"Unscored clean outcome; review result tags before using score.",IF(C451=0,"No matching defensive reps; film confirmation needed.",IF(K451="Explosive Alert","Explosive risk; review clips before using as answer.",IF(C451&lt;=2,"Track only; not enough sample.",IF(C451=3,IF(E451&gt;0,"Sample watch with explosive exposure; review clips and build the sample.",IF(J451&gt;=65,"Good signal, but sample is limited.","Sample watch; review clips and build the sample.")),IF(K451="Problem Call","Problem area; practice or call-sheet review.",IF(K451="Strong Candidate","Strong call-fit candidate; confirm on film.",IF(K451="Good Candidate","Good call-fit signal; confirm on film.","Mixed signal; review fit and execution on film."))))))))</f>
        <v>Track only; not enough sample.</v>
      </c>
      <c r="M451" s="8" t="s">
        <v>82</v>
      </c>
      <c r="N451" s="8"/>
      <c r="O451" s="8" t="s">
        <v>203</v>
      </c>
      <c r="P451" s="8"/>
      <c r="Q451" s="8"/>
      <c r="R451" s="8" t="s">
        <v>28</v>
      </c>
      <c r="S451" s="2" t="s">
        <v>238</v>
      </c>
      <c r="T451" s="2">
        <f>IF(C451=0,0,IF(C451&gt;=CALL_LOOKUP_BOARD!$B$7,IF(OR(K451="Problem Call",K451="Explosive Alert"),10000000,20000000),0)+IF(C451&gt;=CALL_LOOKUP_BOARD!$B$7,J451*1000+MIN(C451,999),C451*1000+J451)+0.00992300)</f>
        <v>1095.009923</v>
      </c>
      <c r="U451" s="2">
        <f>IF(C451=0,"",IF(COUNTIFS($S$375:$S$581,SUBSTITUTE(SUBSTITUTE(SUBSTITUTE(S451,"~","~~"),"*","~*"),"?","~?"),$T$375:$T$581,"&gt;"&amp;T451)=0,S451,""))</f>
        <v/>
      </c>
    </row>
    <row r="452" spans="1:21" ht="38" customHeight="1">
      <c r="A452" s="8" t="s">
        <v>237</v>
      </c>
      <c r="B452" s="8" t="s">
        <v>52</v>
      </c>
      <c r="C452" s="12">
        <f>COUNTIFS('DEF_SELF_SCOUT_IMPORT'!$L$42:$L$1040,"Y",'DEF_SELF_SCOUT_IMPORT'!$E$42:$E$1040,SUBSTITUTE(SUBSTITUTE(SUBSTITUTE($B452,"~","~~"),"*","~*"),"?","~?"),'DEF_SELF_SCOUT_IMPORT'!$Q$42:$Q$1040,SUBSTITUTE(SUBSTITUTE(SUBSTITUTE($M452,"~","~~"),"*","~*"),"?","~?"),'DEF_SELF_SCOUT_IMPORT'!$G$42:$G$1040,SUBSTITUTE(SUBSTITUTE(SUBSTITUTE($O452,"~","~~"),"*","~*"),"?","~?"))</f>
        <v>3</v>
      </c>
      <c r="D452" s="10">
        <f>IF($C452=0,"",SUMIFS('DEF_SELF_SCOUT_IMPORT'!$J$42:$J$1040,'DEF_SELF_SCOUT_IMPORT'!$L$42:$L$1040,"Y",'DEF_SELF_SCOUT_IMPORT'!$E$42:$E$1040,SUBSTITUTE(SUBSTITUTE(SUBSTITUTE($B452,"~","~~"),"*","~*"),"?","~?"),'DEF_SELF_SCOUT_IMPORT'!$Q$42:$Q$1040,SUBSTITUTE(SUBSTITUTE(SUBSTITUTE($M452,"~","~~"),"*","~*"),"?","~?"),'DEF_SELF_SCOUT_IMPORT'!$G$42:$G$1040,SUBSTITUTE(SUBSTITUTE(SUBSTITUTE($O452,"~","~~"),"*","~*"),"?","~?"))/$C452)</f>
        <v>0.6666666666666666</v>
      </c>
      <c r="E452" s="10">
        <f>IF($C452=0,"",SUMIFS('DEF_SELF_SCOUT_IMPORT'!$K$42:$K$1040,'DEF_SELF_SCOUT_IMPORT'!$L$42:$L$1040,"Y",'DEF_SELF_SCOUT_IMPORT'!$E$42:$E$1040,SUBSTITUTE(SUBSTITUTE(SUBSTITUTE($B452,"~","~~"),"*","~*"),"?","~?"),'DEF_SELF_SCOUT_IMPORT'!$Q$42:$Q$1040,SUBSTITUTE(SUBSTITUTE(SUBSTITUTE($M452,"~","~~"),"*","~*"),"?","~?"),'DEF_SELF_SCOUT_IMPORT'!$G$42:$G$1040,SUBSTITUTE(SUBSTITUTE(SUBSTITUTE($O452,"~","~~"),"*","~*"),"?","~?"))/$C452)</f>
        <v>0.0</v>
      </c>
      <c r="F452" s="11">
        <f>IF($C452=0,"",AVERAGEIFS('DEF_SELF_SCOUT_IMPORT'!$I$42:$I$1040,'DEF_SELF_SCOUT_IMPORT'!$L$42:$L$1040,"Y",'DEF_SELF_SCOUT_IMPORT'!$E$42:$E$1040,SUBSTITUTE(SUBSTITUTE(SUBSTITUTE($B452,"~","~~"),"*","~*"),"?","~?"),'DEF_SELF_SCOUT_IMPORT'!$Q$42:$Q$1040,SUBSTITUTE(SUBSTITUTE(SUBSTITUTE($M452,"~","~~"),"*","~*"),"?","~?"),'DEF_SELF_SCOUT_IMPORT'!$G$42:$G$1040,SUBSTITUTE(SUBSTITUTE(SUBSTITUTE($O452,"~","~~"),"*","~*"),"?","~?")))</f>
        <v>2.0</v>
      </c>
      <c r="G452" s="10">
        <f>IF($C452=0,"",COUNTIFS('DEF_SELF_SCOUT_IMPORT'!$L$42:$L$1040,"Y",'DEF_SELF_SCOUT_IMPORT'!$E$42:$E$1040,SUBSTITUTE(SUBSTITUTE(SUBSTITUTE($B452,"~","~~"),"*","~*"),"?","~?"),'DEF_SELF_SCOUT_IMPORT'!$Q$42:$Q$1040,SUBSTITUTE(SUBSTITUTE(SUBSTITUTE($M452,"~","~~"),"*","~*"),"?","~?"),'DEF_SELF_SCOUT_IMPORT'!$G$42:$G$1040,SUBSTITUTE(SUBSTITUTE(SUBSTITUTE($O452,"~","~~"),"*","~*"),"?","~?"),'DEF_SELF_SCOUT_IMPORT'!$H$42:$H$1040,"RUSH")/$C452)</f>
        <v>0.6666666666666666</v>
      </c>
      <c r="H452" s="10">
        <f>IF($C452=0,"",COUNTIFS('DEF_SELF_SCOUT_IMPORT'!$L$42:$L$1040,"Y",'DEF_SELF_SCOUT_IMPORT'!$E$42:$E$1040,SUBSTITUTE(SUBSTITUTE(SUBSTITUTE($B452,"~","~~"),"*","~*"),"?","~?"),'DEF_SELF_SCOUT_IMPORT'!$Q$42:$Q$1040,SUBSTITUTE(SUBSTITUTE(SUBSTITUTE($M452,"~","~~"),"*","~*"),"?","~?"),'DEF_SELF_SCOUT_IMPORT'!$G$42:$G$1040,SUBSTITUTE(SUBSTITUTE(SUBSTITUTE($O452,"~","~~"),"*","~*"),"?","~?"),'DEF_SELF_SCOUT_IMPORT'!$H$42:$H$1040,"DROPBACK")/$C452)</f>
        <v>0.3333333333333333</v>
      </c>
      <c r="I452" s="14" t="str">
        <f>IF(C452=0,"",IF(C452&lt;=2,"TRACK",IF(C452=3,"LOW",IF(C452&lt;=6,"MEDIUM","HIGH"))))</f>
        <v>LOW</v>
      </c>
      <c r="J452" s="11">
        <f>IF(C452=0,"",ROUND(D452*70+(1-E452)*20+MAX(0,MIN(1,(10-F452)/10))*10,1))</f>
        <v>74.7</v>
      </c>
      <c r="K452" s="14" t="str">
        <f>IF(C452=0,"No Evidence",IF(C452&lt;=2,IF(E452&gt;0,"Explosive Alert","Track Only"),IF(C452=3,"Sample Watch",IF(E452&gt;=START_HERE!$B$31,"Explosive Alert",IF(J452&gt;=80,"Strong Candidate",IF(J452&gt;=65,"Good Candidate",IF(J452&gt;=50,"Mixed / Review","Problem Call")))))))</f>
        <v>Sample Watch</v>
      </c>
      <c r="L452" s="9" t="str">
        <f>IF(COUNTIFS('DEF_SELF_SCOUT_IMPORT'!$L$42:$L$1040,"Y",'DEF_SELF_SCOUT_IMPORT'!$E$42:$E$1040,SUBSTITUTE(SUBSTITUTE(SUBSTITUTE($B452,"~","~~"),"*","~*"),"?","~?"),'DEF_SELF_SCOUT_IMPORT'!$Q$42:$Q$1040,SUBSTITUTE(SUBSTITUTE(SUBSTITUTE($M452,"~","~~"),"*","~*"),"?","~?"),'DEF_SELF_SCOUT_IMPORT'!$G$42:$G$1040,SUBSTITUTE(SUBSTITUTE(SUBSTITUTE($O452,"~","~~"),"*","~*"),"?","~?"),'DEF_SELF_SCOUT_IMPORT'!$J$42:$J$1040,"")&gt;0,"Unscored clean outcome; review result tags before using score.",IF(C452=0,"No matching defensive reps; film confirmation needed.",IF(K452="Explosive Alert","Explosive risk; review clips before using as answer.",IF(C452&lt;=2,"Track only; not enough sample.",IF(C452=3,IF(E452&gt;0,"Sample watch with explosive exposure; review clips and build the sample.",IF(J452&gt;=65,"Good signal, but sample is limited.","Sample watch; review clips and build the sample.")),IF(K452="Problem Call","Problem area; practice or call-sheet review.",IF(K452="Strong Candidate","Strong call-fit candidate; confirm on film.",IF(K452="Good Candidate","Good call-fit signal; confirm on film.","Mixed signal; review fit and execution on film."))))))))</f>
        <v>Good signal, but sample is limited.</v>
      </c>
      <c r="M452" s="8" t="s">
        <v>82</v>
      </c>
      <c r="N452" s="8"/>
      <c r="O452" s="8" t="s">
        <v>203</v>
      </c>
      <c r="P452" s="8"/>
      <c r="Q452" s="8"/>
      <c r="R452" s="8" t="s">
        <v>28</v>
      </c>
      <c r="S452" s="2" t="s">
        <v>238</v>
      </c>
      <c r="T452" s="2">
        <f>IF(C452=0,0,IF(C452&gt;=CALL_LOOKUP_BOARD!$B$7,IF(OR(K452="Problem Call",K452="Explosive Alert"),10000000,20000000),0)+IF(C452&gt;=CALL_LOOKUP_BOARD!$B$7,J452*1000+MIN(C452,999),C452*1000+J452)+0.00992200)</f>
        <v>3074.709922</v>
      </c>
      <c r="U452" s="2" t="str">
        <f>IF(C452=0,"",IF(COUNTIFS($S$375:$S$581,SUBSTITUTE(SUBSTITUTE(SUBSTITUTE(S452,"~","~~"),"*","~*"),"?","~?"),$T$375:$T$581,"&gt;"&amp;T452)=0,S452,""))</f>
        <v>6:2D 4-6|3:2X2|</v>
      </c>
    </row>
    <row r="453" spans="1:21" ht="38" customHeight="1">
      <c r="A453" s="8" t="s">
        <v>237</v>
      </c>
      <c r="B453" s="8" t="s">
        <v>53</v>
      </c>
      <c r="C453" s="12">
        <f>COUNTIFS('DEF_SELF_SCOUT_IMPORT'!$L$42:$L$1040,"Y",'DEF_SELF_SCOUT_IMPORT'!$E$42:$E$1040,SUBSTITUTE(SUBSTITUTE(SUBSTITUTE($B453,"~","~~"),"*","~*"),"?","~?"),'DEF_SELF_SCOUT_IMPORT'!$Q$42:$Q$1040,SUBSTITUTE(SUBSTITUTE(SUBSTITUTE($M453,"~","~~"),"*","~*"),"?","~?"),'DEF_SELF_SCOUT_IMPORT'!$G$42:$G$1040,SUBSTITUTE(SUBSTITUTE(SUBSTITUTE($O453,"~","~~"),"*","~*"),"?","~?"))</f>
        <v>1</v>
      </c>
      <c r="D453" s="10">
        <f>IF($C453=0,"",SUMIFS('DEF_SELF_SCOUT_IMPORT'!$J$42:$J$1040,'DEF_SELF_SCOUT_IMPORT'!$L$42:$L$1040,"Y",'DEF_SELF_SCOUT_IMPORT'!$E$42:$E$1040,SUBSTITUTE(SUBSTITUTE(SUBSTITUTE($B453,"~","~~"),"*","~*"),"?","~?"),'DEF_SELF_SCOUT_IMPORT'!$Q$42:$Q$1040,SUBSTITUTE(SUBSTITUTE(SUBSTITUTE($M453,"~","~~"),"*","~*"),"?","~?"),'DEF_SELF_SCOUT_IMPORT'!$G$42:$G$1040,SUBSTITUTE(SUBSTITUTE(SUBSTITUTE($O453,"~","~~"),"*","~*"),"?","~?"))/$C453)</f>
        <v>1.0</v>
      </c>
      <c r="E453" s="10">
        <f>IF($C453=0,"",SUMIFS('DEF_SELF_SCOUT_IMPORT'!$K$42:$K$1040,'DEF_SELF_SCOUT_IMPORT'!$L$42:$L$1040,"Y",'DEF_SELF_SCOUT_IMPORT'!$E$42:$E$1040,SUBSTITUTE(SUBSTITUTE(SUBSTITUTE($B453,"~","~~"),"*","~*"),"?","~?"),'DEF_SELF_SCOUT_IMPORT'!$Q$42:$Q$1040,SUBSTITUTE(SUBSTITUTE(SUBSTITUTE($M453,"~","~~"),"*","~*"),"?","~?"),'DEF_SELF_SCOUT_IMPORT'!$G$42:$G$1040,SUBSTITUTE(SUBSTITUTE(SUBSTITUTE($O453,"~","~~"),"*","~*"),"?","~?"))/$C453)</f>
        <v>0.0</v>
      </c>
      <c r="F453" s="11">
        <f>IF($C453=0,"",AVERAGEIFS('DEF_SELF_SCOUT_IMPORT'!$I$42:$I$1040,'DEF_SELF_SCOUT_IMPORT'!$L$42:$L$1040,"Y",'DEF_SELF_SCOUT_IMPORT'!$E$42:$E$1040,SUBSTITUTE(SUBSTITUTE(SUBSTITUTE($B453,"~","~~"),"*","~*"),"?","~?"),'DEF_SELF_SCOUT_IMPORT'!$Q$42:$Q$1040,SUBSTITUTE(SUBSTITUTE(SUBSTITUTE($M453,"~","~~"),"*","~*"),"?","~?"),'DEF_SELF_SCOUT_IMPORT'!$G$42:$G$1040,SUBSTITUTE(SUBSTITUTE(SUBSTITUTE($O453,"~","~~"),"*","~*"),"?","~?")))</f>
        <v>2.0</v>
      </c>
      <c r="G453" s="10">
        <f>IF($C453=0,"",COUNTIFS('DEF_SELF_SCOUT_IMPORT'!$L$42:$L$1040,"Y",'DEF_SELF_SCOUT_IMPORT'!$E$42:$E$1040,SUBSTITUTE(SUBSTITUTE(SUBSTITUTE($B453,"~","~~"),"*","~*"),"?","~?"),'DEF_SELF_SCOUT_IMPORT'!$Q$42:$Q$1040,SUBSTITUTE(SUBSTITUTE(SUBSTITUTE($M453,"~","~~"),"*","~*"),"?","~?"),'DEF_SELF_SCOUT_IMPORT'!$G$42:$G$1040,SUBSTITUTE(SUBSTITUTE(SUBSTITUTE($O453,"~","~~"),"*","~*"),"?","~?"),'DEF_SELF_SCOUT_IMPORT'!$H$42:$H$1040,"RUSH")/$C453)</f>
        <v>1.0</v>
      </c>
      <c r="H453" s="10">
        <f>IF($C453=0,"",COUNTIFS('DEF_SELF_SCOUT_IMPORT'!$L$42:$L$1040,"Y",'DEF_SELF_SCOUT_IMPORT'!$E$42:$E$1040,SUBSTITUTE(SUBSTITUTE(SUBSTITUTE($B453,"~","~~"),"*","~*"),"?","~?"),'DEF_SELF_SCOUT_IMPORT'!$Q$42:$Q$1040,SUBSTITUTE(SUBSTITUTE(SUBSTITUTE($M453,"~","~~"),"*","~*"),"?","~?"),'DEF_SELF_SCOUT_IMPORT'!$G$42:$G$1040,SUBSTITUTE(SUBSTITUTE(SUBSTITUTE($O453,"~","~~"),"*","~*"),"?","~?"),'DEF_SELF_SCOUT_IMPORT'!$H$42:$H$1040,"DROPBACK")/$C453)</f>
        <v>0.0</v>
      </c>
      <c r="I453" s="14" t="str">
        <f>IF(C453=0,"",IF(C453&lt;=2,"TRACK",IF(C453=3,"LOW",IF(C453&lt;=6,"MEDIUM","HIGH"))))</f>
        <v>TRACK</v>
      </c>
      <c r="J453" s="11">
        <f>IF(C453=0,"",ROUND(D453*70+(1-E453)*20+MAX(0,MIN(1,(10-F453)/10))*10,1))</f>
        <v>98.0</v>
      </c>
      <c r="K453" s="14" t="str">
        <f>IF(C453=0,"No Evidence",IF(C453&lt;=2,IF(E453&gt;0,"Explosive Alert","Track Only"),IF(C453=3,"Sample Watch",IF(E453&gt;=START_HERE!$B$31,"Explosive Alert",IF(J453&gt;=80,"Strong Candidate",IF(J453&gt;=65,"Good Candidate",IF(J453&gt;=50,"Mixed / Review","Problem Call")))))))</f>
        <v>Track Only</v>
      </c>
      <c r="L453" s="9" t="str">
        <f>IF(COUNTIFS('DEF_SELF_SCOUT_IMPORT'!$L$42:$L$1040,"Y",'DEF_SELF_SCOUT_IMPORT'!$E$42:$E$1040,SUBSTITUTE(SUBSTITUTE(SUBSTITUTE($B453,"~","~~"),"*","~*"),"?","~?"),'DEF_SELF_SCOUT_IMPORT'!$Q$42:$Q$1040,SUBSTITUTE(SUBSTITUTE(SUBSTITUTE($M453,"~","~~"),"*","~*"),"?","~?"),'DEF_SELF_SCOUT_IMPORT'!$G$42:$G$1040,SUBSTITUTE(SUBSTITUTE(SUBSTITUTE($O453,"~","~~"),"*","~*"),"?","~?"),'DEF_SELF_SCOUT_IMPORT'!$J$42:$J$1040,"")&gt;0,"Unscored clean outcome; review result tags before using score.",IF(C453=0,"No matching defensive reps; film confirmation needed.",IF(K453="Explosive Alert","Explosive risk; review clips before using as answer.",IF(C453&lt;=2,"Track only; not enough sample.",IF(C453=3,IF(E453&gt;0,"Sample watch with explosive exposure; review clips and build the sample.",IF(J453&gt;=65,"Good signal, but sample is limited.","Sample watch; review clips and build the sample.")),IF(K453="Problem Call","Problem area; practice or call-sheet review.",IF(K453="Strong Candidate","Strong call-fit candidate; confirm on film.",IF(K453="Good Candidate","Good call-fit signal; confirm on film.","Mixed signal; review fit and execution on film."))))))))</f>
        <v>Track only; not enough sample.</v>
      </c>
      <c r="M453" s="8" t="s">
        <v>82</v>
      </c>
      <c r="N453" s="8"/>
      <c r="O453" s="8" t="s">
        <v>203</v>
      </c>
      <c r="P453" s="8"/>
      <c r="Q453" s="8"/>
      <c r="R453" s="8" t="s">
        <v>28</v>
      </c>
      <c r="S453" s="2" t="s">
        <v>238</v>
      </c>
      <c r="T453" s="2">
        <f>IF(C453=0,0,IF(C453&gt;=CALL_LOOKUP_BOARD!$B$7,IF(OR(K453="Problem Call",K453="Explosive Alert"),10000000,20000000),0)+IF(C453&gt;=CALL_LOOKUP_BOARD!$B$7,J453*1000+MIN(C453,999),C453*1000+J453)+0.00992100)</f>
        <v>1098.009921</v>
      </c>
      <c r="U453" s="2">
        <f>IF(C453=0,"",IF(COUNTIFS($S$375:$S$581,SUBSTITUTE(SUBSTITUTE(SUBSTITUTE(S453,"~","~~"),"*","~*"),"?","~?"),$T$375:$T$581,"&gt;"&amp;T453)=0,S453,""))</f>
        <v/>
      </c>
    </row>
    <row r="454" spans="1:21" ht="38" customHeight="1">
      <c r="A454" s="8" t="s">
        <v>237</v>
      </c>
      <c r="B454" s="8" t="s">
        <v>84</v>
      </c>
      <c r="C454" s="12">
        <f>COUNTIFS('DEF_SELF_SCOUT_IMPORT'!$L$42:$L$1040,"Y",'DEF_SELF_SCOUT_IMPORT'!$E$42:$E$1040,SUBSTITUTE(SUBSTITUTE(SUBSTITUTE($B454,"~","~~"),"*","~*"),"?","~?"),'DEF_SELF_SCOUT_IMPORT'!$Q$42:$Q$1040,SUBSTITUTE(SUBSTITUTE(SUBSTITUTE($M454,"~","~~"),"*","~*"),"?","~?"),'DEF_SELF_SCOUT_IMPORT'!$G$42:$G$1040,SUBSTITUTE(SUBSTITUTE(SUBSTITUTE($O454,"~","~~"),"*","~*"),"?","~?"))</f>
        <v>1</v>
      </c>
      <c r="D454" s="10">
        <f>IF($C454=0,"",SUMIFS('DEF_SELF_SCOUT_IMPORT'!$J$42:$J$1040,'DEF_SELF_SCOUT_IMPORT'!$L$42:$L$1040,"Y",'DEF_SELF_SCOUT_IMPORT'!$E$42:$E$1040,SUBSTITUTE(SUBSTITUTE(SUBSTITUTE($B454,"~","~~"),"*","~*"),"?","~?"),'DEF_SELF_SCOUT_IMPORT'!$Q$42:$Q$1040,SUBSTITUTE(SUBSTITUTE(SUBSTITUTE($M454,"~","~~"),"*","~*"),"?","~?"),'DEF_SELF_SCOUT_IMPORT'!$G$42:$G$1040,SUBSTITUTE(SUBSTITUTE(SUBSTITUTE($O454,"~","~~"),"*","~*"),"?","~?"))/$C454)</f>
        <v>0.0</v>
      </c>
      <c r="E454" s="10">
        <f>IF($C454=0,"",SUMIFS('DEF_SELF_SCOUT_IMPORT'!$K$42:$K$1040,'DEF_SELF_SCOUT_IMPORT'!$L$42:$L$1040,"Y",'DEF_SELF_SCOUT_IMPORT'!$E$42:$E$1040,SUBSTITUTE(SUBSTITUTE(SUBSTITUTE($B454,"~","~~"),"*","~*"),"?","~?"),'DEF_SELF_SCOUT_IMPORT'!$Q$42:$Q$1040,SUBSTITUTE(SUBSTITUTE(SUBSTITUTE($M454,"~","~~"),"*","~*"),"?","~?"),'DEF_SELF_SCOUT_IMPORT'!$G$42:$G$1040,SUBSTITUTE(SUBSTITUTE(SUBSTITUTE($O454,"~","~~"),"*","~*"),"?","~?"))/$C454)</f>
        <v>1.0</v>
      </c>
      <c r="F454" s="11">
        <f>IF($C454=0,"",AVERAGEIFS('DEF_SELF_SCOUT_IMPORT'!$I$42:$I$1040,'DEF_SELF_SCOUT_IMPORT'!$L$42:$L$1040,"Y",'DEF_SELF_SCOUT_IMPORT'!$E$42:$E$1040,SUBSTITUTE(SUBSTITUTE(SUBSTITUTE($B454,"~","~~"),"*","~*"),"?","~?"),'DEF_SELF_SCOUT_IMPORT'!$Q$42:$Q$1040,SUBSTITUTE(SUBSTITUTE(SUBSTITUTE($M454,"~","~~"),"*","~*"),"?","~?"),'DEF_SELF_SCOUT_IMPORT'!$G$42:$G$1040,SUBSTITUTE(SUBSTITUTE(SUBSTITUTE($O454,"~","~~"),"*","~*"),"?","~?")))</f>
        <v>42.0</v>
      </c>
      <c r="G454" s="10">
        <f>IF($C454=0,"",COUNTIFS('DEF_SELF_SCOUT_IMPORT'!$L$42:$L$1040,"Y",'DEF_SELF_SCOUT_IMPORT'!$E$42:$E$1040,SUBSTITUTE(SUBSTITUTE(SUBSTITUTE($B454,"~","~~"),"*","~*"),"?","~?"),'DEF_SELF_SCOUT_IMPORT'!$Q$42:$Q$1040,SUBSTITUTE(SUBSTITUTE(SUBSTITUTE($M454,"~","~~"),"*","~*"),"?","~?"),'DEF_SELF_SCOUT_IMPORT'!$G$42:$G$1040,SUBSTITUTE(SUBSTITUTE(SUBSTITUTE($O454,"~","~~"),"*","~*"),"?","~?"),'DEF_SELF_SCOUT_IMPORT'!$H$42:$H$1040,"RUSH")/$C454)</f>
        <v>0.0</v>
      </c>
      <c r="H454" s="10">
        <f>IF($C454=0,"",COUNTIFS('DEF_SELF_SCOUT_IMPORT'!$L$42:$L$1040,"Y",'DEF_SELF_SCOUT_IMPORT'!$E$42:$E$1040,SUBSTITUTE(SUBSTITUTE(SUBSTITUTE($B454,"~","~~"),"*","~*"),"?","~?"),'DEF_SELF_SCOUT_IMPORT'!$Q$42:$Q$1040,SUBSTITUTE(SUBSTITUTE(SUBSTITUTE($M454,"~","~~"),"*","~*"),"?","~?"),'DEF_SELF_SCOUT_IMPORT'!$G$42:$G$1040,SUBSTITUTE(SUBSTITUTE(SUBSTITUTE($O454,"~","~~"),"*","~*"),"?","~?"),'DEF_SELF_SCOUT_IMPORT'!$H$42:$H$1040,"DROPBACK")/$C454)</f>
        <v>1.0</v>
      </c>
      <c r="I454" s="14" t="str">
        <f>IF(C454=0,"",IF(C454&lt;=2,"TRACK",IF(C454=3,"LOW",IF(C454&lt;=6,"MEDIUM","HIGH"))))</f>
        <v>TRACK</v>
      </c>
      <c r="J454" s="11">
        <f>IF(C454=0,"",ROUND(D454*70+(1-E454)*20+MAX(0,MIN(1,(10-F454)/10))*10,1))</f>
        <v>0.0</v>
      </c>
      <c r="K454" s="14" t="str">
        <f>IF(C454=0,"No Evidence",IF(C454&lt;=2,IF(E454&gt;0,"Explosive Alert","Track Only"),IF(C454=3,"Sample Watch",IF(E454&gt;=START_HERE!$B$31,"Explosive Alert",IF(J454&gt;=80,"Strong Candidate",IF(J454&gt;=65,"Good Candidate",IF(J454&gt;=50,"Mixed / Review","Problem Call")))))))</f>
        <v>Explosive Alert</v>
      </c>
      <c r="L454" s="9" t="str">
        <f>IF(COUNTIFS('DEF_SELF_SCOUT_IMPORT'!$L$42:$L$1040,"Y",'DEF_SELF_SCOUT_IMPORT'!$E$42:$E$1040,SUBSTITUTE(SUBSTITUTE(SUBSTITUTE($B454,"~","~~"),"*","~*"),"?","~?"),'DEF_SELF_SCOUT_IMPORT'!$Q$42:$Q$1040,SUBSTITUTE(SUBSTITUTE(SUBSTITUTE($M454,"~","~~"),"*","~*"),"?","~?"),'DEF_SELF_SCOUT_IMPORT'!$G$42:$G$1040,SUBSTITUTE(SUBSTITUTE(SUBSTITUTE($O454,"~","~~"),"*","~*"),"?","~?"),'DEF_SELF_SCOUT_IMPORT'!$J$42:$J$1040,"")&gt;0,"Unscored clean outcome; review result tags before using score.",IF(C454=0,"No matching defensive reps; film confirmation needed.",IF(K454="Explosive Alert","Explosive risk; review clips before using as answer.",IF(C454&lt;=2,"Track only; not enough sample.",IF(C454=3,IF(E454&gt;0,"Sample watch with explosive exposure; review clips and build the sample.",IF(J454&gt;=65,"Good signal, but sample is limited.","Sample watch; review clips and build the sample.")),IF(K454="Problem Call","Problem area; practice or call-sheet review.",IF(K454="Strong Candidate","Strong call-fit candidate; confirm on film.",IF(K454="Good Candidate","Good call-fit signal; confirm on film.","Mixed signal; review fit and execution on film."))))))))</f>
        <v>Explosive risk; review clips before using as answer.</v>
      </c>
      <c r="M454" s="8" t="s">
        <v>82</v>
      </c>
      <c r="N454" s="8"/>
      <c r="O454" s="8" t="s">
        <v>203</v>
      </c>
      <c r="P454" s="8"/>
      <c r="Q454" s="8"/>
      <c r="R454" s="8" t="s">
        <v>28</v>
      </c>
      <c r="S454" s="2" t="s">
        <v>238</v>
      </c>
      <c r="T454" s="2">
        <f>IF(C454=0,0,IF(C454&gt;=CALL_LOOKUP_BOARD!$B$7,IF(OR(K454="Problem Call",K454="Explosive Alert"),10000000,20000000),0)+IF(C454&gt;=CALL_LOOKUP_BOARD!$B$7,J454*1000+MIN(C454,999),C454*1000+J454)+0.00992000)</f>
        <v>1000.00992</v>
      </c>
      <c r="U454" s="2">
        <f>IF(C454=0,"",IF(COUNTIFS($S$375:$S$581,SUBSTITUTE(SUBSTITUTE(SUBSTITUTE(S454,"~","~~"),"*","~*"),"?","~?"),$T$375:$T$581,"&gt;"&amp;T454)=0,S454,""))</f>
        <v/>
      </c>
    </row>
    <row r="455" spans="1:21" ht="38" customHeight="1">
      <c r="A455" s="8" t="s">
        <v>237</v>
      </c>
      <c r="B455" s="8" t="s">
        <v>75</v>
      </c>
      <c r="C455" s="12">
        <f>COUNTIFS('DEF_SELF_SCOUT_IMPORT'!$L$42:$L$1040,"Y",'DEF_SELF_SCOUT_IMPORT'!$E$42:$E$1040,SUBSTITUTE(SUBSTITUTE(SUBSTITUTE($B455,"~","~~"),"*","~*"),"?","~?"),'DEF_SELF_SCOUT_IMPORT'!$Q$42:$Q$1040,SUBSTITUTE(SUBSTITUTE(SUBSTITUTE($M455,"~","~~"),"*","~*"),"?","~?"),'DEF_SELF_SCOUT_IMPORT'!$G$42:$G$1040,SUBSTITUTE(SUBSTITUTE(SUBSTITUTE($O455,"~","~~"),"*","~*"),"?","~?"))</f>
        <v>1</v>
      </c>
      <c r="D455" s="10">
        <f>IF($C455=0,"",SUMIFS('DEF_SELF_SCOUT_IMPORT'!$J$42:$J$1040,'DEF_SELF_SCOUT_IMPORT'!$L$42:$L$1040,"Y",'DEF_SELF_SCOUT_IMPORT'!$E$42:$E$1040,SUBSTITUTE(SUBSTITUTE(SUBSTITUTE($B455,"~","~~"),"*","~*"),"?","~?"),'DEF_SELF_SCOUT_IMPORT'!$Q$42:$Q$1040,SUBSTITUTE(SUBSTITUTE(SUBSTITUTE($M455,"~","~~"),"*","~*"),"?","~?"),'DEF_SELF_SCOUT_IMPORT'!$G$42:$G$1040,SUBSTITUTE(SUBSTITUTE(SUBSTITUTE($O455,"~","~~"),"*","~*"),"?","~?"))/$C455)</f>
        <v>0.0</v>
      </c>
      <c r="E455" s="10">
        <f>IF($C455=0,"",SUMIFS('DEF_SELF_SCOUT_IMPORT'!$K$42:$K$1040,'DEF_SELF_SCOUT_IMPORT'!$L$42:$L$1040,"Y",'DEF_SELF_SCOUT_IMPORT'!$E$42:$E$1040,SUBSTITUTE(SUBSTITUTE(SUBSTITUTE($B455,"~","~~"),"*","~*"),"?","~?"),'DEF_SELF_SCOUT_IMPORT'!$Q$42:$Q$1040,SUBSTITUTE(SUBSTITUTE(SUBSTITUTE($M455,"~","~~"),"*","~*"),"?","~?"),'DEF_SELF_SCOUT_IMPORT'!$G$42:$G$1040,SUBSTITUTE(SUBSTITUTE(SUBSTITUTE($O455,"~","~~"),"*","~*"),"?","~?"))/$C455)</f>
        <v>0.0</v>
      </c>
      <c r="F455" s="11">
        <f>IF($C455=0,"",AVERAGEIFS('DEF_SELF_SCOUT_IMPORT'!$I$42:$I$1040,'DEF_SELF_SCOUT_IMPORT'!$L$42:$L$1040,"Y",'DEF_SELF_SCOUT_IMPORT'!$E$42:$E$1040,SUBSTITUTE(SUBSTITUTE(SUBSTITUTE($B455,"~","~~"),"*","~*"),"?","~?"),'DEF_SELF_SCOUT_IMPORT'!$Q$42:$Q$1040,SUBSTITUTE(SUBSTITUTE(SUBSTITUTE($M455,"~","~~"),"*","~*"),"?","~?"),'DEF_SELF_SCOUT_IMPORT'!$G$42:$G$1040,SUBSTITUTE(SUBSTITUTE(SUBSTITUTE($O455,"~","~~"),"*","~*"),"?","~?")))</f>
        <v>7.0</v>
      </c>
      <c r="G455" s="10">
        <f>IF($C455=0,"",COUNTIFS('DEF_SELF_SCOUT_IMPORT'!$L$42:$L$1040,"Y",'DEF_SELF_SCOUT_IMPORT'!$E$42:$E$1040,SUBSTITUTE(SUBSTITUTE(SUBSTITUTE($B455,"~","~~"),"*","~*"),"?","~?"),'DEF_SELF_SCOUT_IMPORT'!$Q$42:$Q$1040,SUBSTITUTE(SUBSTITUTE(SUBSTITUTE($M455,"~","~~"),"*","~*"),"?","~?"),'DEF_SELF_SCOUT_IMPORT'!$G$42:$G$1040,SUBSTITUTE(SUBSTITUTE(SUBSTITUTE($O455,"~","~~"),"*","~*"),"?","~?"),'DEF_SELF_SCOUT_IMPORT'!$H$42:$H$1040,"RUSH")/$C455)</f>
        <v>1.0</v>
      </c>
      <c r="H455" s="10">
        <f>IF($C455=0,"",COUNTIFS('DEF_SELF_SCOUT_IMPORT'!$L$42:$L$1040,"Y",'DEF_SELF_SCOUT_IMPORT'!$E$42:$E$1040,SUBSTITUTE(SUBSTITUTE(SUBSTITUTE($B455,"~","~~"),"*","~*"),"?","~?"),'DEF_SELF_SCOUT_IMPORT'!$Q$42:$Q$1040,SUBSTITUTE(SUBSTITUTE(SUBSTITUTE($M455,"~","~~"),"*","~*"),"?","~?"),'DEF_SELF_SCOUT_IMPORT'!$G$42:$G$1040,SUBSTITUTE(SUBSTITUTE(SUBSTITUTE($O455,"~","~~"),"*","~*"),"?","~?"),'DEF_SELF_SCOUT_IMPORT'!$H$42:$H$1040,"DROPBACK")/$C455)</f>
        <v>0.0</v>
      </c>
      <c r="I455" s="14" t="str">
        <f>IF(C455=0,"",IF(C455&lt;=2,"TRACK",IF(C455=3,"LOW",IF(C455&lt;=6,"MEDIUM","HIGH"))))</f>
        <v>TRACK</v>
      </c>
      <c r="J455" s="11">
        <f>IF(C455=0,"",ROUND(D455*70+(1-E455)*20+MAX(0,MIN(1,(10-F455)/10))*10,1))</f>
        <v>23.0</v>
      </c>
      <c r="K455" s="14" t="str">
        <f>IF(C455=0,"No Evidence",IF(C455&lt;=2,IF(E455&gt;0,"Explosive Alert","Track Only"),IF(C455=3,"Sample Watch",IF(E455&gt;=START_HERE!$B$31,"Explosive Alert",IF(J455&gt;=80,"Strong Candidate",IF(J455&gt;=65,"Good Candidate",IF(J455&gt;=50,"Mixed / Review","Problem Call")))))))</f>
        <v>Track Only</v>
      </c>
      <c r="L455" s="9" t="str">
        <f>IF(COUNTIFS('DEF_SELF_SCOUT_IMPORT'!$L$42:$L$1040,"Y",'DEF_SELF_SCOUT_IMPORT'!$E$42:$E$1040,SUBSTITUTE(SUBSTITUTE(SUBSTITUTE($B455,"~","~~"),"*","~*"),"?","~?"),'DEF_SELF_SCOUT_IMPORT'!$Q$42:$Q$1040,SUBSTITUTE(SUBSTITUTE(SUBSTITUTE($M455,"~","~~"),"*","~*"),"?","~?"),'DEF_SELF_SCOUT_IMPORT'!$G$42:$G$1040,SUBSTITUTE(SUBSTITUTE(SUBSTITUTE($O455,"~","~~"),"*","~*"),"?","~?"),'DEF_SELF_SCOUT_IMPORT'!$J$42:$J$1040,"")&gt;0,"Unscored clean outcome; review result tags before using score.",IF(C455=0,"No matching defensive reps; film confirmation needed.",IF(K455="Explosive Alert","Explosive risk; review clips before using as answer.",IF(C455&lt;=2,"Track only; not enough sample.",IF(C455=3,IF(E455&gt;0,"Sample watch with explosive exposure; review clips and build the sample.",IF(J455&gt;=65,"Good signal, but sample is limited.","Sample watch; review clips and build the sample.")),IF(K455="Problem Call","Problem area; practice or call-sheet review.",IF(K455="Strong Candidate","Strong call-fit candidate; confirm on film.",IF(K455="Good Candidate","Good call-fit signal; confirm on film.","Mixed signal; review fit and execution on film."))))))))</f>
        <v>Track only; not enough sample.</v>
      </c>
      <c r="M455" s="8" t="s">
        <v>82</v>
      </c>
      <c r="N455" s="8"/>
      <c r="O455" s="8" t="s">
        <v>203</v>
      </c>
      <c r="P455" s="8"/>
      <c r="Q455" s="8"/>
      <c r="R455" s="8" t="s">
        <v>28</v>
      </c>
      <c r="S455" s="2" t="s">
        <v>238</v>
      </c>
      <c r="T455" s="2">
        <f>IF(C455=0,0,IF(C455&gt;=CALL_LOOKUP_BOARD!$B$7,IF(OR(K455="Problem Call",K455="Explosive Alert"),10000000,20000000),0)+IF(C455&gt;=CALL_LOOKUP_BOARD!$B$7,J455*1000+MIN(C455,999),C455*1000+J455)+0.00991900)</f>
        <v>1023.009919</v>
      </c>
      <c r="U455" s="2">
        <f>IF(C455=0,"",IF(COUNTIFS($S$375:$S$581,SUBSTITUTE(SUBSTITUTE(SUBSTITUTE(S455,"~","~~"),"*","~*"),"?","~?"),$T$375:$T$581,"&gt;"&amp;T455)=0,S455,""))</f>
        <v/>
      </c>
    </row>
    <row r="456" spans="1:21" ht="38" customHeight="1">
      <c r="A456" s="8" t="s">
        <v>239</v>
      </c>
      <c r="B456" s="8" t="s">
        <v>40</v>
      </c>
      <c r="C456" s="12">
        <f>COUNTIFS('DEF_SELF_SCOUT_IMPORT'!$L$42:$L$1040,"Y",'DEF_SELF_SCOUT_IMPORT'!$E$42:$E$1040,SUBSTITUTE(SUBSTITUTE(SUBSTITUTE($B456,"~","~~"),"*","~*"),"?","~?"),'DEF_SELF_SCOUT_IMPORT'!$Q$42:$Q$1040,SUBSTITUTE(SUBSTITUTE(SUBSTITUTE($M456,"~","~~"),"*","~*"),"?","~?"),'DEF_SELF_SCOUT_IMPORT'!$G$42:$G$1040,SUBSTITUTE(SUBSTITUTE(SUBSTITUTE($O456,"~","~~"),"*","~*"),"?","~?"))</f>
        <v>1</v>
      </c>
      <c r="D456" s="10">
        <f>IF($C456=0,"",SUMIFS('DEF_SELF_SCOUT_IMPORT'!$J$42:$J$1040,'DEF_SELF_SCOUT_IMPORT'!$L$42:$L$1040,"Y",'DEF_SELF_SCOUT_IMPORT'!$E$42:$E$1040,SUBSTITUTE(SUBSTITUTE(SUBSTITUTE($B456,"~","~~"),"*","~*"),"?","~?"),'DEF_SELF_SCOUT_IMPORT'!$Q$42:$Q$1040,SUBSTITUTE(SUBSTITUTE(SUBSTITUTE($M456,"~","~~"),"*","~*"),"?","~?"),'DEF_SELF_SCOUT_IMPORT'!$G$42:$G$1040,SUBSTITUTE(SUBSTITUTE(SUBSTITUTE($O456,"~","~~"),"*","~*"),"?","~?"))/$C456)</f>
        <v>0.0</v>
      </c>
      <c r="E456" s="10">
        <f>IF($C456=0,"",SUMIFS('DEF_SELF_SCOUT_IMPORT'!$K$42:$K$1040,'DEF_SELF_SCOUT_IMPORT'!$L$42:$L$1040,"Y",'DEF_SELF_SCOUT_IMPORT'!$E$42:$E$1040,SUBSTITUTE(SUBSTITUTE(SUBSTITUTE($B456,"~","~~"),"*","~*"),"?","~?"),'DEF_SELF_SCOUT_IMPORT'!$Q$42:$Q$1040,SUBSTITUTE(SUBSTITUTE(SUBSTITUTE($M456,"~","~~"),"*","~*"),"?","~?"),'DEF_SELF_SCOUT_IMPORT'!$G$42:$G$1040,SUBSTITUTE(SUBSTITUTE(SUBSTITUTE($O456,"~","~~"),"*","~*"),"?","~?"))/$C456)</f>
        <v>0.0</v>
      </c>
      <c r="F456" s="11">
        <f>IF($C456=0,"",AVERAGEIFS('DEF_SELF_SCOUT_IMPORT'!$I$42:$I$1040,'DEF_SELF_SCOUT_IMPORT'!$L$42:$L$1040,"Y",'DEF_SELF_SCOUT_IMPORT'!$E$42:$E$1040,SUBSTITUTE(SUBSTITUTE(SUBSTITUTE($B456,"~","~~"),"*","~*"),"?","~?"),'DEF_SELF_SCOUT_IMPORT'!$Q$42:$Q$1040,SUBSTITUTE(SUBSTITUTE(SUBSTITUTE($M456,"~","~~"),"*","~*"),"?","~?"),'DEF_SELF_SCOUT_IMPORT'!$G$42:$G$1040,SUBSTITUTE(SUBSTITUTE(SUBSTITUTE($O456,"~","~~"),"*","~*"),"?","~?")))</f>
        <v>7.0</v>
      </c>
      <c r="G456" s="10">
        <f>IF($C456=0,"",COUNTIFS('DEF_SELF_SCOUT_IMPORT'!$L$42:$L$1040,"Y",'DEF_SELF_SCOUT_IMPORT'!$E$42:$E$1040,SUBSTITUTE(SUBSTITUTE(SUBSTITUTE($B456,"~","~~"),"*","~*"),"?","~?"),'DEF_SELF_SCOUT_IMPORT'!$Q$42:$Q$1040,SUBSTITUTE(SUBSTITUTE(SUBSTITUTE($M456,"~","~~"),"*","~*"),"?","~?"),'DEF_SELF_SCOUT_IMPORT'!$G$42:$G$1040,SUBSTITUTE(SUBSTITUTE(SUBSTITUTE($O456,"~","~~"),"*","~*"),"?","~?"),'DEF_SELF_SCOUT_IMPORT'!$H$42:$H$1040,"RUSH")/$C456)</f>
        <v>1.0</v>
      </c>
      <c r="H456" s="10">
        <f>IF($C456=0,"",COUNTIFS('DEF_SELF_SCOUT_IMPORT'!$L$42:$L$1040,"Y",'DEF_SELF_SCOUT_IMPORT'!$E$42:$E$1040,SUBSTITUTE(SUBSTITUTE(SUBSTITUTE($B456,"~","~~"),"*","~*"),"?","~?"),'DEF_SELF_SCOUT_IMPORT'!$Q$42:$Q$1040,SUBSTITUTE(SUBSTITUTE(SUBSTITUTE($M456,"~","~~"),"*","~*"),"?","~?"),'DEF_SELF_SCOUT_IMPORT'!$G$42:$G$1040,SUBSTITUTE(SUBSTITUTE(SUBSTITUTE($O456,"~","~~"),"*","~*"),"?","~?"),'DEF_SELF_SCOUT_IMPORT'!$H$42:$H$1040,"DROPBACK")/$C456)</f>
        <v>0.0</v>
      </c>
      <c r="I456" s="14" t="str">
        <f>IF(C456=0,"",IF(C456&lt;=2,"TRACK",IF(C456=3,"LOW",IF(C456&lt;=6,"MEDIUM","HIGH"))))</f>
        <v>TRACK</v>
      </c>
      <c r="J456" s="11">
        <f>IF(C456=0,"",ROUND(D456*70+(1-E456)*20+MAX(0,MIN(1,(10-F456)/10))*10,1))</f>
        <v>23.0</v>
      </c>
      <c r="K456" s="14" t="str">
        <f>IF(C456=0,"No Evidence",IF(C456&lt;=2,IF(E456&gt;0,"Explosive Alert","Track Only"),IF(C456=3,"Sample Watch",IF(E456&gt;=START_HERE!$B$31,"Explosive Alert",IF(J456&gt;=80,"Strong Candidate",IF(J456&gt;=65,"Good Candidate",IF(J456&gt;=50,"Mixed / Review","Problem Call")))))))</f>
        <v>Track Only</v>
      </c>
      <c r="L456" s="9" t="str">
        <f>IF(COUNTIFS('DEF_SELF_SCOUT_IMPORT'!$L$42:$L$1040,"Y",'DEF_SELF_SCOUT_IMPORT'!$E$42:$E$1040,SUBSTITUTE(SUBSTITUTE(SUBSTITUTE($B456,"~","~~"),"*","~*"),"?","~?"),'DEF_SELF_SCOUT_IMPORT'!$Q$42:$Q$1040,SUBSTITUTE(SUBSTITUTE(SUBSTITUTE($M456,"~","~~"),"*","~*"),"?","~?"),'DEF_SELF_SCOUT_IMPORT'!$G$42:$G$1040,SUBSTITUTE(SUBSTITUTE(SUBSTITUTE($O456,"~","~~"),"*","~*"),"?","~?"),'DEF_SELF_SCOUT_IMPORT'!$J$42:$J$1040,"")&gt;0,"Unscored clean outcome; review result tags before using score.",IF(C456=0,"No matching defensive reps; film confirmation needed.",IF(K456="Explosive Alert","Explosive risk; review clips before using as answer.",IF(C456&lt;=2,"Track only; not enough sample.",IF(C456=3,IF(E456&gt;0,"Sample watch with explosive exposure; review clips and build the sample.",IF(J456&gt;=65,"Good signal, but sample is limited.","Sample watch; review clips and build the sample.")),IF(K456="Problem Call","Problem area; practice or call-sheet review.",IF(K456="Strong Candidate","Strong call-fit candidate; confirm on film.",IF(K456="Good Candidate","Good call-fit signal; confirm on film.","Mixed signal; review fit and execution on film."))))))))</f>
        <v>Track only; not enough sample.</v>
      </c>
      <c r="M456" s="8" t="s">
        <v>82</v>
      </c>
      <c r="N456" s="8"/>
      <c r="O456" s="8" t="s">
        <v>206</v>
      </c>
      <c r="P456" s="8"/>
      <c r="Q456" s="8"/>
      <c r="R456" s="8" t="s">
        <v>28</v>
      </c>
      <c r="S456" s="2" t="s">
        <v>240</v>
      </c>
      <c r="T456" s="2">
        <f>IF(C456=0,0,IF(C456&gt;=CALL_LOOKUP_BOARD!$B$7,IF(OR(K456="Problem Call",K456="Explosive Alert"),10000000,20000000),0)+IF(C456&gt;=CALL_LOOKUP_BOARD!$B$7,J456*1000+MIN(C456,999),C456*1000+J456)+0.00991800)</f>
        <v>1023.009918</v>
      </c>
      <c r="U456" s="2">
        <f>IF(C456=0,"",IF(COUNTIFS($S$375:$S$581,SUBSTITUTE(SUBSTITUTE(SUBSTITUTE(S456,"~","~~"),"*","~*"),"?","~?"),$T$375:$T$581,"&gt;"&amp;T456)=0,S456,""))</f>
        <v/>
      </c>
    </row>
    <row r="457" spans="1:21" ht="38" customHeight="1">
      <c r="A457" s="8" t="s">
        <v>239</v>
      </c>
      <c r="B457" s="8" t="s">
        <v>32</v>
      </c>
      <c r="C457" s="12">
        <f>COUNTIFS('DEF_SELF_SCOUT_IMPORT'!$L$42:$L$1040,"Y",'DEF_SELF_SCOUT_IMPORT'!$E$42:$E$1040,SUBSTITUTE(SUBSTITUTE(SUBSTITUTE($B457,"~","~~"),"*","~*"),"?","~?"),'DEF_SELF_SCOUT_IMPORT'!$Q$42:$Q$1040,SUBSTITUTE(SUBSTITUTE(SUBSTITUTE($M457,"~","~~"),"*","~*"),"?","~?"),'DEF_SELF_SCOUT_IMPORT'!$G$42:$G$1040,SUBSTITUTE(SUBSTITUTE(SUBSTITUTE($O457,"~","~~"),"*","~*"),"?","~?"))</f>
        <v>1</v>
      </c>
      <c r="D457" s="10">
        <f>IF($C457=0,"",SUMIFS('DEF_SELF_SCOUT_IMPORT'!$J$42:$J$1040,'DEF_SELF_SCOUT_IMPORT'!$L$42:$L$1040,"Y",'DEF_SELF_SCOUT_IMPORT'!$E$42:$E$1040,SUBSTITUTE(SUBSTITUTE(SUBSTITUTE($B457,"~","~~"),"*","~*"),"?","~?"),'DEF_SELF_SCOUT_IMPORT'!$Q$42:$Q$1040,SUBSTITUTE(SUBSTITUTE(SUBSTITUTE($M457,"~","~~"),"*","~*"),"?","~?"),'DEF_SELF_SCOUT_IMPORT'!$G$42:$G$1040,SUBSTITUTE(SUBSTITUTE(SUBSTITUTE($O457,"~","~~"),"*","~*"),"?","~?"))/$C457)</f>
        <v>0.0</v>
      </c>
      <c r="E457" s="10">
        <f>IF($C457=0,"",SUMIFS('DEF_SELF_SCOUT_IMPORT'!$K$42:$K$1040,'DEF_SELF_SCOUT_IMPORT'!$L$42:$L$1040,"Y",'DEF_SELF_SCOUT_IMPORT'!$E$42:$E$1040,SUBSTITUTE(SUBSTITUTE(SUBSTITUTE($B457,"~","~~"),"*","~*"),"?","~?"),'DEF_SELF_SCOUT_IMPORT'!$Q$42:$Q$1040,SUBSTITUTE(SUBSTITUTE(SUBSTITUTE($M457,"~","~~"),"*","~*"),"?","~?"),'DEF_SELF_SCOUT_IMPORT'!$G$42:$G$1040,SUBSTITUTE(SUBSTITUTE(SUBSTITUTE($O457,"~","~~"),"*","~*"),"?","~?"))/$C457)</f>
        <v>1.0</v>
      </c>
      <c r="F457" s="11">
        <f>IF($C457=0,"",AVERAGEIFS('DEF_SELF_SCOUT_IMPORT'!$I$42:$I$1040,'DEF_SELF_SCOUT_IMPORT'!$L$42:$L$1040,"Y",'DEF_SELF_SCOUT_IMPORT'!$E$42:$E$1040,SUBSTITUTE(SUBSTITUTE(SUBSTITUTE($B457,"~","~~"),"*","~*"),"?","~?"),'DEF_SELF_SCOUT_IMPORT'!$Q$42:$Q$1040,SUBSTITUTE(SUBSTITUTE(SUBSTITUTE($M457,"~","~~"),"*","~*"),"?","~?"),'DEF_SELF_SCOUT_IMPORT'!$G$42:$G$1040,SUBSTITUTE(SUBSTITUTE(SUBSTITUTE($O457,"~","~~"),"*","~*"),"?","~?")))</f>
        <v>16.0</v>
      </c>
      <c r="G457" s="10">
        <f>IF($C457=0,"",COUNTIFS('DEF_SELF_SCOUT_IMPORT'!$L$42:$L$1040,"Y",'DEF_SELF_SCOUT_IMPORT'!$E$42:$E$1040,SUBSTITUTE(SUBSTITUTE(SUBSTITUTE($B457,"~","~~"),"*","~*"),"?","~?"),'DEF_SELF_SCOUT_IMPORT'!$Q$42:$Q$1040,SUBSTITUTE(SUBSTITUTE(SUBSTITUTE($M457,"~","~~"),"*","~*"),"?","~?"),'DEF_SELF_SCOUT_IMPORT'!$G$42:$G$1040,SUBSTITUTE(SUBSTITUTE(SUBSTITUTE($O457,"~","~~"),"*","~*"),"?","~?"),'DEF_SELF_SCOUT_IMPORT'!$H$42:$H$1040,"RUSH")/$C457)</f>
        <v>1.0</v>
      </c>
      <c r="H457" s="10">
        <f>IF($C457=0,"",COUNTIFS('DEF_SELF_SCOUT_IMPORT'!$L$42:$L$1040,"Y",'DEF_SELF_SCOUT_IMPORT'!$E$42:$E$1040,SUBSTITUTE(SUBSTITUTE(SUBSTITUTE($B457,"~","~~"),"*","~*"),"?","~?"),'DEF_SELF_SCOUT_IMPORT'!$Q$42:$Q$1040,SUBSTITUTE(SUBSTITUTE(SUBSTITUTE($M457,"~","~~"),"*","~*"),"?","~?"),'DEF_SELF_SCOUT_IMPORT'!$G$42:$G$1040,SUBSTITUTE(SUBSTITUTE(SUBSTITUTE($O457,"~","~~"),"*","~*"),"?","~?"),'DEF_SELF_SCOUT_IMPORT'!$H$42:$H$1040,"DROPBACK")/$C457)</f>
        <v>0.0</v>
      </c>
      <c r="I457" s="14" t="str">
        <f>IF(C457=0,"",IF(C457&lt;=2,"TRACK",IF(C457=3,"LOW",IF(C457&lt;=6,"MEDIUM","HIGH"))))</f>
        <v>TRACK</v>
      </c>
      <c r="J457" s="11">
        <f>IF(C457=0,"",ROUND(D457*70+(1-E457)*20+MAX(0,MIN(1,(10-F457)/10))*10,1))</f>
        <v>0.0</v>
      </c>
      <c r="K457" s="14" t="str">
        <f>IF(C457=0,"No Evidence",IF(C457&lt;=2,IF(E457&gt;0,"Explosive Alert","Track Only"),IF(C457=3,"Sample Watch",IF(E457&gt;=START_HERE!$B$31,"Explosive Alert",IF(J457&gt;=80,"Strong Candidate",IF(J457&gt;=65,"Good Candidate",IF(J457&gt;=50,"Mixed / Review","Problem Call")))))))</f>
        <v>Explosive Alert</v>
      </c>
      <c r="L457" s="9" t="str">
        <f>IF(COUNTIFS('DEF_SELF_SCOUT_IMPORT'!$L$42:$L$1040,"Y",'DEF_SELF_SCOUT_IMPORT'!$E$42:$E$1040,SUBSTITUTE(SUBSTITUTE(SUBSTITUTE($B457,"~","~~"),"*","~*"),"?","~?"),'DEF_SELF_SCOUT_IMPORT'!$Q$42:$Q$1040,SUBSTITUTE(SUBSTITUTE(SUBSTITUTE($M457,"~","~~"),"*","~*"),"?","~?"),'DEF_SELF_SCOUT_IMPORT'!$G$42:$G$1040,SUBSTITUTE(SUBSTITUTE(SUBSTITUTE($O457,"~","~~"),"*","~*"),"?","~?"),'DEF_SELF_SCOUT_IMPORT'!$J$42:$J$1040,"")&gt;0,"Unscored clean outcome; review result tags before using score.",IF(C457=0,"No matching defensive reps; film confirmation needed.",IF(K457="Explosive Alert","Explosive risk; review clips before using as answer.",IF(C457&lt;=2,"Track only; not enough sample.",IF(C457=3,IF(E457&gt;0,"Sample watch with explosive exposure; review clips and build the sample.",IF(J457&gt;=65,"Good signal, but sample is limited.","Sample watch; review clips and build the sample.")),IF(K457="Problem Call","Problem area; practice or call-sheet review.",IF(K457="Strong Candidate","Strong call-fit candidate; confirm on film.",IF(K457="Good Candidate","Good call-fit signal; confirm on film.","Mixed signal; review fit and execution on film."))))))))</f>
        <v>Explosive risk; review clips before using as answer.</v>
      </c>
      <c r="M457" s="8" t="s">
        <v>82</v>
      </c>
      <c r="N457" s="8"/>
      <c r="O457" s="8" t="s">
        <v>206</v>
      </c>
      <c r="P457" s="8"/>
      <c r="Q457" s="8"/>
      <c r="R457" s="8" t="s">
        <v>28</v>
      </c>
      <c r="S457" s="2" t="s">
        <v>240</v>
      </c>
      <c r="T457" s="2">
        <f>IF(C457=0,0,IF(C457&gt;=CALL_LOOKUP_BOARD!$B$7,IF(OR(K457="Problem Call",K457="Explosive Alert"),10000000,20000000),0)+IF(C457&gt;=CALL_LOOKUP_BOARD!$B$7,J457*1000+MIN(C457,999),C457*1000+J457)+0.00991700)</f>
        <v>1000.009917</v>
      </c>
      <c r="U457" s="2">
        <f>IF(C457=0,"",IF(COUNTIFS($S$375:$S$581,SUBSTITUTE(SUBSTITUTE(SUBSTITUTE(S457,"~","~~"),"*","~*"),"?","~?"),$T$375:$T$581,"&gt;"&amp;T457)=0,S457,""))</f>
        <v/>
      </c>
    </row>
    <row r="458" spans="1:21" ht="38" customHeight="1">
      <c r="A458" s="8" t="s">
        <v>239</v>
      </c>
      <c r="B458" s="8" t="s">
        <v>44</v>
      </c>
      <c r="C458" s="12">
        <f>COUNTIFS('DEF_SELF_SCOUT_IMPORT'!$L$42:$L$1040,"Y",'DEF_SELF_SCOUT_IMPORT'!$E$42:$E$1040,SUBSTITUTE(SUBSTITUTE(SUBSTITUTE($B458,"~","~~"),"*","~*"),"?","~?"),'DEF_SELF_SCOUT_IMPORT'!$Q$42:$Q$1040,SUBSTITUTE(SUBSTITUTE(SUBSTITUTE($M458,"~","~~"),"*","~*"),"?","~?"),'DEF_SELF_SCOUT_IMPORT'!$G$42:$G$1040,SUBSTITUTE(SUBSTITUTE(SUBSTITUTE($O458,"~","~~"),"*","~*"),"?","~?"))</f>
        <v>2</v>
      </c>
      <c r="D458" s="10">
        <f>IF($C458=0,"",SUMIFS('DEF_SELF_SCOUT_IMPORT'!$J$42:$J$1040,'DEF_SELF_SCOUT_IMPORT'!$L$42:$L$1040,"Y",'DEF_SELF_SCOUT_IMPORT'!$E$42:$E$1040,SUBSTITUTE(SUBSTITUTE(SUBSTITUTE($B458,"~","~~"),"*","~*"),"?","~?"),'DEF_SELF_SCOUT_IMPORT'!$Q$42:$Q$1040,SUBSTITUTE(SUBSTITUTE(SUBSTITUTE($M458,"~","~~"),"*","~*"),"?","~?"),'DEF_SELF_SCOUT_IMPORT'!$G$42:$G$1040,SUBSTITUTE(SUBSTITUTE(SUBSTITUTE($O458,"~","~~"),"*","~*"),"?","~?"))/$C458)</f>
        <v>0.5</v>
      </c>
      <c r="E458" s="10">
        <f>IF($C458=0,"",SUMIFS('DEF_SELF_SCOUT_IMPORT'!$K$42:$K$1040,'DEF_SELF_SCOUT_IMPORT'!$L$42:$L$1040,"Y",'DEF_SELF_SCOUT_IMPORT'!$E$42:$E$1040,SUBSTITUTE(SUBSTITUTE(SUBSTITUTE($B458,"~","~~"),"*","~*"),"?","~?"),'DEF_SELF_SCOUT_IMPORT'!$Q$42:$Q$1040,SUBSTITUTE(SUBSTITUTE(SUBSTITUTE($M458,"~","~~"),"*","~*"),"?","~?"),'DEF_SELF_SCOUT_IMPORT'!$G$42:$G$1040,SUBSTITUTE(SUBSTITUTE(SUBSTITUTE($O458,"~","~~"),"*","~*"),"?","~?"))/$C458)</f>
        <v>0.0</v>
      </c>
      <c r="F458" s="11">
        <f>IF($C458=0,"",AVERAGEIFS('DEF_SELF_SCOUT_IMPORT'!$I$42:$I$1040,'DEF_SELF_SCOUT_IMPORT'!$L$42:$L$1040,"Y",'DEF_SELF_SCOUT_IMPORT'!$E$42:$E$1040,SUBSTITUTE(SUBSTITUTE(SUBSTITUTE($B458,"~","~~"),"*","~*"),"?","~?"),'DEF_SELF_SCOUT_IMPORT'!$Q$42:$Q$1040,SUBSTITUTE(SUBSTITUTE(SUBSTITUTE($M458,"~","~~"),"*","~*"),"?","~?"),'DEF_SELF_SCOUT_IMPORT'!$G$42:$G$1040,SUBSTITUTE(SUBSTITUTE(SUBSTITUTE($O458,"~","~~"),"*","~*"),"?","~?")))</f>
        <v>4.5</v>
      </c>
      <c r="G458" s="10">
        <f>IF($C458=0,"",COUNTIFS('DEF_SELF_SCOUT_IMPORT'!$L$42:$L$1040,"Y",'DEF_SELF_SCOUT_IMPORT'!$E$42:$E$1040,SUBSTITUTE(SUBSTITUTE(SUBSTITUTE($B458,"~","~~"),"*","~*"),"?","~?"),'DEF_SELF_SCOUT_IMPORT'!$Q$42:$Q$1040,SUBSTITUTE(SUBSTITUTE(SUBSTITUTE($M458,"~","~~"),"*","~*"),"?","~?"),'DEF_SELF_SCOUT_IMPORT'!$G$42:$G$1040,SUBSTITUTE(SUBSTITUTE(SUBSTITUTE($O458,"~","~~"),"*","~*"),"?","~?"),'DEF_SELF_SCOUT_IMPORT'!$H$42:$H$1040,"RUSH")/$C458)</f>
        <v>0.0</v>
      </c>
      <c r="H458" s="10">
        <f>IF($C458=0,"",COUNTIFS('DEF_SELF_SCOUT_IMPORT'!$L$42:$L$1040,"Y",'DEF_SELF_SCOUT_IMPORT'!$E$42:$E$1040,SUBSTITUTE(SUBSTITUTE(SUBSTITUTE($B458,"~","~~"),"*","~*"),"?","~?"),'DEF_SELF_SCOUT_IMPORT'!$Q$42:$Q$1040,SUBSTITUTE(SUBSTITUTE(SUBSTITUTE($M458,"~","~~"),"*","~*"),"?","~?"),'DEF_SELF_SCOUT_IMPORT'!$G$42:$G$1040,SUBSTITUTE(SUBSTITUTE(SUBSTITUTE($O458,"~","~~"),"*","~*"),"?","~?"),'DEF_SELF_SCOUT_IMPORT'!$H$42:$H$1040,"DROPBACK")/$C458)</f>
        <v>1.0</v>
      </c>
      <c r="I458" s="14" t="str">
        <f>IF(C458=0,"",IF(C458&lt;=2,"TRACK",IF(C458=3,"LOW",IF(C458&lt;=6,"MEDIUM","HIGH"))))</f>
        <v>TRACK</v>
      </c>
      <c r="J458" s="11">
        <f>IF(C458=0,"",ROUND(D458*70+(1-E458)*20+MAX(0,MIN(1,(10-F458)/10))*10,1))</f>
        <v>60.5</v>
      </c>
      <c r="K458" s="14" t="str">
        <f>IF(C458=0,"No Evidence",IF(C458&lt;=2,IF(E458&gt;0,"Explosive Alert","Track Only"),IF(C458=3,"Sample Watch",IF(E458&gt;=START_HERE!$B$31,"Explosive Alert",IF(J458&gt;=80,"Strong Candidate",IF(J458&gt;=65,"Good Candidate",IF(J458&gt;=50,"Mixed / Review","Problem Call")))))))</f>
        <v>Track Only</v>
      </c>
      <c r="L458" s="9" t="str">
        <f>IF(COUNTIFS('DEF_SELF_SCOUT_IMPORT'!$L$42:$L$1040,"Y",'DEF_SELF_SCOUT_IMPORT'!$E$42:$E$1040,SUBSTITUTE(SUBSTITUTE(SUBSTITUTE($B458,"~","~~"),"*","~*"),"?","~?"),'DEF_SELF_SCOUT_IMPORT'!$Q$42:$Q$1040,SUBSTITUTE(SUBSTITUTE(SUBSTITUTE($M458,"~","~~"),"*","~*"),"?","~?"),'DEF_SELF_SCOUT_IMPORT'!$G$42:$G$1040,SUBSTITUTE(SUBSTITUTE(SUBSTITUTE($O458,"~","~~"),"*","~*"),"?","~?"),'DEF_SELF_SCOUT_IMPORT'!$J$42:$J$1040,"")&gt;0,"Unscored clean outcome; review result tags before using score.",IF(C458=0,"No matching defensive reps; film confirmation needed.",IF(K458="Explosive Alert","Explosive risk; review clips before using as answer.",IF(C458&lt;=2,"Track only; not enough sample.",IF(C458=3,IF(E458&gt;0,"Sample watch with explosive exposure; review clips and build the sample.",IF(J458&gt;=65,"Good signal, but sample is limited.","Sample watch; review clips and build the sample.")),IF(K458="Problem Call","Problem area; practice or call-sheet review.",IF(K458="Strong Candidate","Strong call-fit candidate; confirm on film.",IF(K458="Good Candidate","Good call-fit signal; confirm on film.","Mixed signal; review fit and execution on film."))))))))</f>
        <v>Track only; not enough sample.</v>
      </c>
      <c r="M458" s="8" t="s">
        <v>82</v>
      </c>
      <c r="N458" s="8"/>
      <c r="O458" s="8" t="s">
        <v>206</v>
      </c>
      <c r="P458" s="8"/>
      <c r="Q458" s="8"/>
      <c r="R458" s="8" t="s">
        <v>28</v>
      </c>
      <c r="S458" s="2" t="s">
        <v>240</v>
      </c>
      <c r="T458" s="2">
        <f>IF(C458=0,0,IF(C458&gt;=CALL_LOOKUP_BOARD!$B$7,IF(OR(K458="Problem Call",K458="Explosive Alert"),10000000,20000000),0)+IF(C458&gt;=CALL_LOOKUP_BOARD!$B$7,J458*1000+MIN(C458,999),C458*1000+J458)+0.00991600)</f>
        <v>2060.509916</v>
      </c>
      <c r="U458" s="2" t="str">
        <f>IF(C458=0,"",IF(COUNTIFS($S$375:$S$581,SUBSTITUTE(SUBSTITUTE(SUBSTITUTE(S458,"~","~~"),"*","~*"),"?","~?"),$T$375:$T$581,"&gt;"&amp;T458)=0,S458,""))</f>
        <v>6:2D 4-6|3:3X1|</v>
      </c>
    </row>
    <row r="459" spans="1:21" ht="38" customHeight="1">
      <c r="A459" s="8" t="s">
        <v>239</v>
      </c>
      <c r="B459" s="8" t="s">
        <v>48</v>
      </c>
      <c r="C459" s="12">
        <f>COUNTIFS('DEF_SELF_SCOUT_IMPORT'!$L$42:$L$1040,"Y",'DEF_SELF_SCOUT_IMPORT'!$E$42:$E$1040,SUBSTITUTE(SUBSTITUTE(SUBSTITUTE($B459,"~","~~"),"*","~*"),"?","~?"),'DEF_SELF_SCOUT_IMPORT'!$Q$42:$Q$1040,SUBSTITUTE(SUBSTITUTE(SUBSTITUTE($M459,"~","~~"),"*","~*"),"?","~?"),'DEF_SELF_SCOUT_IMPORT'!$G$42:$G$1040,SUBSTITUTE(SUBSTITUTE(SUBSTITUTE($O459,"~","~~"),"*","~*"),"?","~?"))</f>
        <v>1</v>
      </c>
      <c r="D459" s="10">
        <f>IF($C459=0,"",SUMIFS('DEF_SELF_SCOUT_IMPORT'!$J$42:$J$1040,'DEF_SELF_SCOUT_IMPORT'!$L$42:$L$1040,"Y",'DEF_SELF_SCOUT_IMPORT'!$E$42:$E$1040,SUBSTITUTE(SUBSTITUTE(SUBSTITUTE($B459,"~","~~"),"*","~*"),"?","~?"),'DEF_SELF_SCOUT_IMPORT'!$Q$42:$Q$1040,SUBSTITUTE(SUBSTITUTE(SUBSTITUTE($M459,"~","~~"),"*","~*"),"?","~?"),'DEF_SELF_SCOUT_IMPORT'!$G$42:$G$1040,SUBSTITUTE(SUBSTITUTE(SUBSTITUTE($O459,"~","~~"),"*","~*"),"?","~?"))/$C459)</f>
        <v>1.0</v>
      </c>
      <c r="E459" s="10">
        <f>IF($C459=0,"",SUMIFS('DEF_SELF_SCOUT_IMPORT'!$K$42:$K$1040,'DEF_SELF_SCOUT_IMPORT'!$L$42:$L$1040,"Y",'DEF_SELF_SCOUT_IMPORT'!$E$42:$E$1040,SUBSTITUTE(SUBSTITUTE(SUBSTITUTE($B459,"~","~~"),"*","~*"),"?","~?"),'DEF_SELF_SCOUT_IMPORT'!$Q$42:$Q$1040,SUBSTITUTE(SUBSTITUTE(SUBSTITUTE($M459,"~","~~"),"*","~*"),"?","~?"),'DEF_SELF_SCOUT_IMPORT'!$G$42:$G$1040,SUBSTITUTE(SUBSTITUTE(SUBSTITUTE($O459,"~","~~"),"*","~*"),"?","~?"))/$C459)</f>
        <v>0.0</v>
      </c>
      <c r="F459" s="11">
        <f>IF($C459=0,"",AVERAGEIFS('DEF_SELF_SCOUT_IMPORT'!$I$42:$I$1040,'DEF_SELF_SCOUT_IMPORT'!$L$42:$L$1040,"Y",'DEF_SELF_SCOUT_IMPORT'!$E$42:$E$1040,SUBSTITUTE(SUBSTITUTE(SUBSTITUTE($B459,"~","~~"),"*","~*"),"?","~?"),'DEF_SELF_SCOUT_IMPORT'!$Q$42:$Q$1040,SUBSTITUTE(SUBSTITUTE(SUBSTITUTE($M459,"~","~~"),"*","~*"),"?","~?"),'DEF_SELF_SCOUT_IMPORT'!$G$42:$G$1040,SUBSTITUTE(SUBSTITUTE(SUBSTITUTE($O459,"~","~~"),"*","~*"),"?","~?")))</f>
        <v>-8.0</v>
      </c>
      <c r="G459" s="10">
        <f>IF($C459=0,"",COUNTIFS('DEF_SELF_SCOUT_IMPORT'!$L$42:$L$1040,"Y",'DEF_SELF_SCOUT_IMPORT'!$E$42:$E$1040,SUBSTITUTE(SUBSTITUTE(SUBSTITUTE($B459,"~","~~"),"*","~*"),"?","~?"),'DEF_SELF_SCOUT_IMPORT'!$Q$42:$Q$1040,SUBSTITUTE(SUBSTITUTE(SUBSTITUTE($M459,"~","~~"),"*","~*"),"?","~?"),'DEF_SELF_SCOUT_IMPORT'!$G$42:$G$1040,SUBSTITUTE(SUBSTITUTE(SUBSTITUTE($O459,"~","~~"),"*","~*"),"?","~?"),'DEF_SELF_SCOUT_IMPORT'!$H$42:$H$1040,"RUSH")/$C459)</f>
        <v>0.0</v>
      </c>
      <c r="H459" s="10">
        <f>IF($C459=0,"",COUNTIFS('DEF_SELF_SCOUT_IMPORT'!$L$42:$L$1040,"Y",'DEF_SELF_SCOUT_IMPORT'!$E$42:$E$1040,SUBSTITUTE(SUBSTITUTE(SUBSTITUTE($B459,"~","~~"),"*","~*"),"?","~?"),'DEF_SELF_SCOUT_IMPORT'!$Q$42:$Q$1040,SUBSTITUTE(SUBSTITUTE(SUBSTITUTE($M459,"~","~~"),"*","~*"),"?","~?"),'DEF_SELF_SCOUT_IMPORT'!$G$42:$G$1040,SUBSTITUTE(SUBSTITUTE(SUBSTITUTE($O459,"~","~~"),"*","~*"),"?","~?"),'DEF_SELF_SCOUT_IMPORT'!$H$42:$H$1040,"DROPBACK")/$C459)</f>
        <v>1.0</v>
      </c>
      <c r="I459" s="14" t="str">
        <f>IF(C459=0,"",IF(C459&lt;=2,"TRACK",IF(C459=3,"LOW",IF(C459&lt;=6,"MEDIUM","HIGH"))))</f>
        <v>TRACK</v>
      </c>
      <c r="J459" s="11">
        <f>IF(C459=0,"",ROUND(D459*70+(1-E459)*20+MAX(0,MIN(1,(10-F459)/10))*10,1))</f>
        <v>100.0</v>
      </c>
      <c r="K459" s="14" t="str">
        <f>IF(C459=0,"No Evidence",IF(C459&lt;=2,IF(E459&gt;0,"Explosive Alert","Track Only"),IF(C459=3,"Sample Watch",IF(E459&gt;=START_HERE!$B$31,"Explosive Alert",IF(J459&gt;=80,"Strong Candidate",IF(J459&gt;=65,"Good Candidate",IF(J459&gt;=50,"Mixed / Review","Problem Call")))))))</f>
        <v>Track Only</v>
      </c>
      <c r="L459" s="9" t="str">
        <f>IF(COUNTIFS('DEF_SELF_SCOUT_IMPORT'!$L$42:$L$1040,"Y",'DEF_SELF_SCOUT_IMPORT'!$E$42:$E$1040,SUBSTITUTE(SUBSTITUTE(SUBSTITUTE($B459,"~","~~"),"*","~*"),"?","~?"),'DEF_SELF_SCOUT_IMPORT'!$Q$42:$Q$1040,SUBSTITUTE(SUBSTITUTE(SUBSTITUTE($M459,"~","~~"),"*","~*"),"?","~?"),'DEF_SELF_SCOUT_IMPORT'!$G$42:$G$1040,SUBSTITUTE(SUBSTITUTE(SUBSTITUTE($O459,"~","~~"),"*","~*"),"?","~?"),'DEF_SELF_SCOUT_IMPORT'!$J$42:$J$1040,"")&gt;0,"Unscored clean outcome; review result tags before using score.",IF(C459=0,"No matching defensive reps; film confirmation needed.",IF(K459="Explosive Alert","Explosive risk; review clips before using as answer.",IF(C459&lt;=2,"Track only; not enough sample.",IF(C459=3,IF(E459&gt;0,"Sample watch with explosive exposure; review clips and build the sample.",IF(J459&gt;=65,"Good signal, but sample is limited.","Sample watch; review clips and build the sample.")),IF(K459="Problem Call","Problem area; practice or call-sheet review.",IF(K459="Strong Candidate","Strong call-fit candidate; confirm on film.",IF(K459="Good Candidate","Good call-fit signal; confirm on film.","Mixed signal; review fit and execution on film."))))))))</f>
        <v>Track only; not enough sample.</v>
      </c>
      <c r="M459" s="8" t="s">
        <v>82</v>
      </c>
      <c r="N459" s="8"/>
      <c r="O459" s="8" t="s">
        <v>206</v>
      </c>
      <c r="P459" s="8"/>
      <c r="Q459" s="8"/>
      <c r="R459" s="8" t="s">
        <v>28</v>
      </c>
      <c r="S459" s="2" t="s">
        <v>240</v>
      </c>
      <c r="T459" s="2">
        <f>IF(C459=0,0,IF(C459&gt;=CALL_LOOKUP_BOARD!$B$7,IF(OR(K459="Problem Call",K459="Explosive Alert"),10000000,20000000),0)+IF(C459&gt;=CALL_LOOKUP_BOARD!$B$7,J459*1000+MIN(C459,999),C459*1000+J459)+0.00991500)</f>
        <v>1100.009915</v>
      </c>
      <c r="U459" s="2">
        <f>IF(C459=0,"",IF(COUNTIFS($S$375:$S$581,SUBSTITUTE(SUBSTITUTE(SUBSTITUTE(S459,"~","~~"),"*","~*"),"?","~?"),$T$375:$T$581,"&gt;"&amp;T459)=0,S459,""))</f>
        <v/>
      </c>
    </row>
    <row r="460" spans="1:21" ht="38" customHeight="1">
      <c r="A460" s="8" t="s">
        <v>239</v>
      </c>
      <c r="B460" s="8" t="s">
        <v>34</v>
      </c>
      <c r="C460" s="12">
        <f>COUNTIFS('DEF_SELF_SCOUT_IMPORT'!$L$42:$L$1040,"Y",'DEF_SELF_SCOUT_IMPORT'!$E$42:$E$1040,SUBSTITUTE(SUBSTITUTE(SUBSTITUTE($B460,"~","~~"),"*","~*"),"?","~?"),'DEF_SELF_SCOUT_IMPORT'!$Q$42:$Q$1040,SUBSTITUTE(SUBSTITUTE(SUBSTITUTE($M460,"~","~~"),"*","~*"),"?","~?"),'DEF_SELF_SCOUT_IMPORT'!$G$42:$G$1040,SUBSTITUTE(SUBSTITUTE(SUBSTITUTE($O460,"~","~~"),"*","~*"),"?","~?"))</f>
        <v>1</v>
      </c>
      <c r="D460" s="10">
        <f>IF($C460=0,"",SUMIFS('DEF_SELF_SCOUT_IMPORT'!$J$42:$J$1040,'DEF_SELF_SCOUT_IMPORT'!$L$42:$L$1040,"Y",'DEF_SELF_SCOUT_IMPORT'!$E$42:$E$1040,SUBSTITUTE(SUBSTITUTE(SUBSTITUTE($B460,"~","~~"),"*","~*"),"?","~?"),'DEF_SELF_SCOUT_IMPORT'!$Q$42:$Q$1040,SUBSTITUTE(SUBSTITUTE(SUBSTITUTE($M460,"~","~~"),"*","~*"),"?","~?"),'DEF_SELF_SCOUT_IMPORT'!$G$42:$G$1040,SUBSTITUTE(SUBSTITUTE(SUBSTITUTE($O460,"~","~~"),"*","~*"),"?","~?"))/$C460)</f>
        <v>0.0</v>
      </c>
      <c r="E460" s="10">
        <f>IF($C460=0,"",SUMIFS('DEF_SELF_SCOUT_IMPORT'!$K$42:$K$1040,'DEF_SELF_SCOUT_IMPORT'!$L$42:$L$1040,"Y",'DEF_SELF_SCOUT_IMPORT'!$E$42:$E$1040,SUBSTITUTE(SUBSTITUTE(SUBSTITUTE($B460,"~","~~"),"*","~*"),"?","~?"),'DEF_SELF_SCOUT_IMPORT'!$Q$42:$Q$1040,SUBSTITUTE(SUBSTITUTE(SUBSTITUTE($M460,"~","~~"),"*","~*"),"?","~?"),'DEF_SELF_SCOUT_IMPORT'!$G$42:$G$1040,SUBSTITUTE(SUBSTITUTE(SUBSTITUTE($O460,"~","~~"),"*","~*"),"?","~?"))/$C460)</f>
        <v>0.0</v>
      </c>
      <c r="F460" s="11">
        <f>IF($C460=0,"",AVERAGEIFS('DEF_SELF_SCOUT_IMPORT'!$I$42:$I$1040,'DEF_SELF_SCOUT_IMPORT'!$L$42:$L$1040,"Y",'DEF_SELF_SCOUT_IMPORT'!$E$42:$E$1040,SUBSTITUTE(SUBSTITUTE(SUBSTITUTE($B460,"~","~~"),"*","~*"),"?","~?"),'DEF_SELF_SCOUT_IMPORT'!$Q$42:$Q$1040,SUBSTITUTE(SUBSTITUTE(SUBSTITUTE($M460,"~","~~"),"*","~*"),"?","~?"),'DEF_SELF_SCOUT_IMPORT'!$G$42:$G$1040,SUBSTITUTE(SUBSTITUTE(SUBSTITUTE($O460,"~","~~"),"*","~*"),"?","~?")))</f>
        <v>10.0</v>
      </c>
      <c r="G460" s="10">
        <f>IF($C460=0,"",COUNTIFS('DEF_SELF_SCOUT_IMPORT'!$L$42:$L$1040,"Y",'DEF_SELF_SCOUT_IMPORT'!$E$42:$E$1040,SUBSTITUTE(SUBSTITUTE(SUBSTITUTE($B460,"~","~~"),"*","~*"),"?","~?"),'DEF_SELF_SCOUT_IMPORT'!$Q$42:$Q$1040,SUBSTITUTE(SUBSTITUTE(SUBSTITUTE($M460,"~","~~"),"*","~*"),"?","~?"),'DEF_SELF_SCOUT_IMPORT'!$G$42:$G$1040,SUBSTITUTE(SUBSTITUTE(SUBSTITUTE($O460,"~","~~"),"*","~*"),"?","~?"),'DEF_SELF_SCOUT_IMPORT'!$H$42:$H$1040,"RUSH")/$C460)</f>
        <v>0.0</v>
      </c>
      <c r="H460" s="10">
        <f>IF($C460=0,"",COUNTIFS('DEF_SELF_SCOUT_IMPORT'!$L$42:$L$1040,"Y",'DEF_SELF_SCOUT_IMPORT'!$E$42:$E$1040,SUBSTITUTE(SUBSTITUTE(SUBSTITUTE($B460,"~","~~"),"*","~*"),"?","~?"),'DEF_SELF_SCOUT_IMPORT'!$Q$42:$Q$1040,SUBSTITUTE(SUBSTITUTE(SUBSTITUTE($M460,"~","~~"),"*","~*"),"?","~?"),'DEF_SELF_SCOUT_IMPORT'!$G$42:$G$1040,SUBSTITUTE(SUBSTITUTE(SUBSTITUTE($O460,"~","~~"),"*","~*"),"?","~?"),'DEF_SELF_SCOUT_IMPORT'!$H$42:$H$1040,"DROPBACK")/$C460)</f>
        <v>1.0</v>
      </c>
      <c r="I460" s="14" t="str">
        <f>IF(C460=0,"",IF(C460&lt;=2,"TRACK",IF(C460=3,"LOW",IF(C460&lt;=6,"MEDIUM","HIGH"))))</f>
        <v>TRACK</v>
      </c>
      <c r="J460" s="11">
        <f>IF(C460=0,"",ROUND(D460*70+(1-E460)*20+MAX(0,MIN(1,(10-F460)/10))*10,1))</f>
        <v>20.0</v>
      </c>
      <c r="K460" s="14" t="str">
        <f>IF(C460=0,"No Evidence",IF(C460&lt;=2,IF(E460&gt;0,"Explosive Alert","Track Only"),IF(C460=3,"Sample Watch",IF(E460&gt;=START_HERE!$B$31,"Explosive Alert",IF(J460&gt;=80,"Strong Candidate",IF(J460&gt;=65,"Good Candidate",IF(J460&gt;=50,"Mixed / Review","Problem Call")))))))</f>
        <v>Track Only</v>
      </c>
      <c r="L460" s="9" t="str">
        <f>IF(COUNTIFS('DEF_SELF_SCOUT_IMPORT'!$L$42:$L$1040,"Y",'DEF_SELF_SCOUT_IMPORT'!$E$42:$E$1040,SUBSTITUTE(SUBSTITUTE(SUBSTITUTE($B460,"~","~~"),"*","~*"),"?","~?"),'DEF_SELF_SCOUT_IMPORT'!$Q$42:$Q$1040,SUBSTITUTE(SUBSTITUTE(SUBSTITUTE($M460,"~","~~"),"*","~*"),"?","~?"),'DEF_SELF_SCOUT_IMPORT'!$G$42:$G$1040,SUBSTITUTE(SUBSTITUTE(SUBSTITUTE($O460,"~","~~"),"*","~*"),"?","~?"),'DEF_SELF_SCOUT_IMPORT'!$J$42:$J$1040,"")&gt;0,"Unscored clean outcome; review result tags before using score.",IF(C460=0,"No matching defensive reps; film confirmation needed.",IF(K460="Explosive Alert","Explosive risk; review clips before using as answer.",IF(C460&lt;=2,"Track only; not enough sample.",IF(C460=3,IF(E460&gt;0,"Sample watch with explosive exposure; review clips and build the sample.",IF(J460&gt;=65,"Good signal, but sample is limited.","Sample watch; review clips and build the sample.")),IF(K460="Problem Call","Problem area; practice or call-sheet review.",IF(K460="Strong Candidate","Strong call-fit candidate; confirm on film.",IF(K460="Good Candidate","Good call-fit signal; confirm on film.","Mixed signal; review fit and execution on film."))))))))</f>
        <v>Track only; not enough sample.</v>
      </c>
      <c r="M460" s="8" t="s">
        <v>82</v>
      </c>
      <c r="N460" s="8"/>
      <c r="O460" s="8" t="s">
        <v>206</v>
      </c>
      <c r="P460" s="8"/>
      <c r="Q460" s="8"/>
      <c r="R460" s="8" t="s">
        <v>28</v>
      </c>
      <c r="S460" s="2" t="s">
        <v>240</v>
      </c>
      <c r="T460" s="2">
        <f>IF(C460=0,0,IF(C460&gt;=CALL_LOOKUP_BOARD!$B$7,IF(OR(K460="Problem Call",K460="Explosive Alert"),10000000,20000000),0)+IF(C460&gt;=CALL_LOOKUP_BOARD!$B$7,J460*1000+MIN(C460,999),C460*1000+J460)+0.00991400)</f>
        <v>1020.009914</v>
      </c>
      <c r="U460" s="2">
        <f>IF(C460=0,"",IF(COUNTIFS($S$375:$S$581,SUBSTITUTE(SUBSTITUTE(SUBSTITUTE(S460,"~","~~"),"*","~*"),"?","~?"),$T$375:$T$581,"&gt;"&amp;T460)=0,S460,""))</f>
        <v/>
      </c>
    </row>
    <row r="461" spans="1:21" ht="38" customHeight="1">
      <c r="A461" s="8" t="s">
        <v>239</v>
      </c>
      <c r="B461" s="8" t="s">
        <v>79</v>
      </c>
      <c r="C461" s="12">
        <f>COUNTIFS('DEF_SELF_SCOUT_IMPORT'!$L$42:$L$1040,"Y",'DEF_SELF_SCOUT_IMPORT'!$E$42:$E$1040,SUBSTITUTE(SUBSTITUTE(SUBSTITUTE($B461,"~","~~"),"*","~*"),"?","~?"),'DEF_SELF_SCOUT_IMPORT'!$Q$42:$Q$1040,SUBSTITUTE(SUBSTITUTE(SUBSTITUTE($M461,"~","~~"),"*","~*"),"?","~?"),'DEF_SELF_SCOUT_IMPORT'!$G$42:$G$1040,SUBSTITUTE(SUBSTITUTE(SUBSTITUTE($O461,"~","~~"),"*","~*"),"?","~?"))</f>
        <v>1</v>
      </c>
      <c r="D461" s="10">
        <f>IF($C461=0,"",SUMIFS('DEF_SELF_SCOUT_IMPORT'!$J$42:$J$1040,'DEF_SELF_SCOUT_IMPORT'!$L$42:$L$1040,"Y",'DEF_SELF_SCOUT_IMPORT'!$E$42:$E$1040,SUBSTITUTE(SUBSTITUTE(SUBSTITUTE($B461,"~","~~"),"*","~*"),"?","~?"),'DEF_SELF_SCOUT_IMPORT'!$Q$42:$Q$1040,SUBSTITUTE(SUBSTITUTE(SUBSTITUTE($M461,"~","~~"),"*","~*"),"?","~?"),'DEF_SELF_SCOUT_IMPORT'!$G$42:$G$1040,SUBSTITUTE(SUBSTITUTE(SUBSTITUTE($O461,"~","~~"),"*","~*"),"?","~?"))/$C461)</f>
        <v>1.0</v>
      </c>
      <c r="E461" s="10">
        <f>IF($C461=0,"",SUMIFS('DEF_SELF_SCOUT_IMPORT'!$K$42:$K$1040,'DEF_SELF_SCOUT_IMPORT'!$L$42:$L$1040,"Y",'DEF_SELF_SCOUT_IMPORT'!$E$42:$E$1040,SUBSTITUTE(SUBSTITUTE(SUBSTITUTE($B461,"~","~~"),"*","~*"),"?","~?"),'DEF_SELF_SCOUT_IMPORT'!$Q$42:$Q$1040,SUBSTITUTE(SUBSTITUTE(SUBSTITUTE($M461,"~","~~"),"*","~*"),"?","~?"),'DEF_SELF_SCOUT_IMPORT'!$G$42:$G$1040,SUBSTITUTE(SUBSTITUTE(SUBSTITUTE($O461,"~","~~"),"*","~*"),"?","~?"))/$C461)</f>
        <v>0.0</v>
      </c>
      <c r="F461" s="11">
        <f>IF($C461=0,"",AVERAGEIFS('DEF_SELF_SCOUT_IMPORT'!$I$42:$I$1040,'DEF_SELF_SCOUT_IMPORT'!$L$42:$L$1040,"Y",'DEF_SELF_SCOUT_IMPORT'!$E$42:$E$1040,SUBSTITUTE(SUBSTITUTE(SUBSTITUTE($B461,"~","~~"),"*","~*"),"?","~?"),'DEF_SELF_SCOUT_IMPORT'!$Q$42:$Q$1040,SUBSTITUTE(SUBSTITUTE(SUBSTITUTE($M461,"~","~~"),"*","~*"),"?","~?"),'DEF_SELF_SCOUT_IMPORT'!$G$42:$G$1040,SUBSTITUTE(SUBSTITUTE(SUBSTITUTE($O461,"~","~~"),"*","~*"),"?","~?")))</f>
        <v>-1.0</v>
      </c>
      <c r="G461" s="10">
        <f>IF($C461=0,"",COUNTIFS('DEF_SELF_SCOUT_IMPORT'!$L$42:$L$1040,"Y",'DEF_SELF_SCOUT_IMPORT'!$E$42:$E$1040,SUBSTITUTE(SUBSTITUTE(SUBSTITUTE($B461,"~","~~"),"*","~*"),"?","~?"),'DEF_SELF_SCOUT_IMPORT'!$Q$42:$Q$1040,SUBSTITUTE(SUBSTITUTE(SUBSTITUTE($M461,"~","~~"),"*","~*"),"?","~?"),'DEF_SELF_SCOUT_IMPORT'!$G$42:$G$1040,SUBSTITUTE(SUBSTITUTE(SUBSTITUTE($O461,"~","~~"),"*","~*"),"?","~?"),'DEF_SELF_SCOUT_IMPORT'!$H$42:$H$1040,"RUSH")/$C461)</f>
        <v>0.0</v>
      </c>
      <c r="H461" s="10">
        <f>IF($C461=0,"",COUNTIFS('DEF_SELF_SCOUT_IMPORT'!$L$42:$L$1040,"Y",'DEF_SELF_SCOUT_IMPORT'!$E$42:$E$1040,SUBSTITUTE(SUBSTITUTE(SUBSTITUTE($B461,"~","~~"),"*","~*"),"?","~?"),'DEF_SELF_SCOUT_IMPORT'!$Q$42:$Q$1040,SUBSTITUTE(SUBSTITUTE(SUBSTITUTE($M461,"~","~~"),"*","~*"),"?","~?"),'DEF_SELF_SCOUT_IMPORT'!$G$42:$G$1040,SUBSTITUTE(SUBSTITUTE(SUBSTITUTE($O461,"~","~~"),"*","~*"),"?","~?"),'DEF_SELF_SCOUT_IMPORT'!$H$42:$H$1040,"DROPBACK")/$C461)</f>
        <v>1.0</v>
      </c>
      <c r="I461" s="14" t="str">
        <f>IF(C461=0,"",IF(C461&lt;=2,"TRACK",IF(C461=3,"LOW",IF(C461&lt;=6,"MEDIUM","HIGH"))))</f>
        <v>TRACK</v>
      </c>
      <c r="J461" s="11">
        <f>IF(C461=0,"",ROUND(D461*70+(1-E461)*20+MAX(0,MIN(1,(10-F461)/10))*10,1))</f>
        <v>100.0</v>
      </c>
      <c r="K461" s="14" t="str">
        <f>IF(C461=0,"No Evidence",IF(C461&lt;=2,IF(E461&gt;0,"Explosive Alert","Track Only"),IF(C461=3,"Sample Watch",IF(E461&gt;=START_HERE!$B$31,"Explosive Alert",IF(J461&gt;=80,"Strong Candidate",IF(J461&gt;=65,"Good Candidate",IF(J461&gt;=50,"Mixed / Review","Problem Call")))))))</f>
        <v>Track Only</v>
      </c>
      <c r="L461" s="9" t="str">
        <f>IF(COUNTIFS('DEF_SELF_SCOUT_IMPORT'!$L$42:$L$1040,"Y",'DEF_SELF_SCOUT_IMPORT'!$E$42:$E$1040,SUBSTITUTE(SUBSTITUTE(SUBSTITUTE($B461,"~","~~"),"*","~*"),"?","~?"),'DEF_SELF_SCOUT_IMPORT'!$Q$42:$Q$1040,SUBSTITUTE(SUBSTITUTE(SUBSTITUTE($M461,"~","~~"),"*","~*"),"?","~?"),'DEF_SELF_SCOUT_IMPORT'!$G$42:$G$1040,SUBSTITUTE(SUBSTITUTE(SUBSTITUTE($O461,"~","~~"),"*","~*"),"?","~?"),'DEF_SELF_SCOUT_IMPORT'!$J$42:$J$1040,"")&gt;0,"Unscored clean outcome; review result tags before using score.",IF(C461=0,"No matching defensive reps; film confirmation needed.",IF(K461="Explosive Alert","Explosive risk; review clips before using as answer.",IF(C461&lt;=2,"Track only; not enough sample.",IF(C461=3,IF(E461&gt;0,"Sample watch with explosive exposure; review clips and build the sample.",IF(J461&gt;=65,"Good signal, but sample is limited.","Sample watch; review clips and build the sample.")),IF(K461="Problem Call","Problem area; practice or call-sheet review.",IF(K461="Strong Candidate","Strong call-fit candidate; confirm on film.",IF(K461="Good Candidate","Good call-fit signal; confirm on film.","Mixed signal; review fit and execution on film."))))))))</f>
        <v>Track only; not enough sample.</v>
      </c>
      <c r="M461" s="8" t="s">
        <v>82</v>
      </c>
      <c r="N461" s="8"/>
      <c r="O461" s="8" t="s">
        <v>206</v>
      </c>
      <c r="P461" s="8"/>
      <c r="Q461" s="8"/>
      <c r="R461" s="8" t="s">
        <v>28</v>
      </c>
      <c r="S461" s="2" t="s">
        <v>240</v>
      </c>
      <c r="T461" s="2">
        <f>IF(C461=0,0,IF(C461&gt;=CALL_LOOKUP_BOARD!$B$7,IF(OR(K461="Problem Call",K461="Explosive Alert"),10000000,20000000),0)+IF(C461&gt;=CALL_LOOKUP_BOARD!$B$7,J461*1000+MIN(C461,999),C461*1000+J461)+0.00991300)</f>
        <v>1100.009913</v>
      </c>
      <c r="U461" s="2">
        <f>IF(C461=0,"",IF(COUNTIFS($S$375:$S$581,SUBSTITUTE(SUBSTITUTE(SUBSTITUTE(S461,"~","~~"),"*","~*"),"?","~?"),$T$375:$T$581,"&gt;"&amp;T461)=0,S461,""))</f>
        <v/>
      </c>
    </row>
    <row r="462" spans="1:21" ht="38" customHeight="1">
      <c r="A462" s="8" t="s">
        <v>239</v>
      </c>
      <c r="B462" s="8" t="s">
        <v>80</v>
      </c>
      <c r="C462" s="12">
        <f>COUNTIFS('DEF_SELF_SCOUT_IMPORT'!$L$42:$L$1040,"Y",'DEF_SELF_SCOUT_IMPORT'!$E$42:$E$1040,SUBSTITUTE(SUBSTITUTE(SUBSTITUTE($B462,"~","~~"),"*","~*"),"?","~?"),'DEF_SELF_SCOUT_IMPORT'!$Q$42:$Q$1040,SUBSTITUTE(SUBSTITUTE(SUBSTITUTE($M462,"~","~~"),"*","~*"),"?","~?"),'DEF_SELF_SCOUT_IMPORT'!$G$42:$G$1040,SUBSTITUTE(SUBSTITUTE(SUBSTITUTE($O462,"~","~~"),"*","~*"),"?","~?"))</f>
        <v>1</v>
      </c>
      <c r="D462" s="10">
        <f>IF($C462=0,"",SUMIFS('DEF_SELF_SCOUT_IMPORT'!$J$42:$J$1040,'DEF_SELF_SCOUT_IMPORT'!$L$42:$L$1040,"Y",'DEF_SELF_SCOUT_IMPORT'!$E$42:$E$1040,SUBSTITUTE(SUBSTITUTE(SUBSTITUTE($B462,"~","~~"),"*","~*"),"?","~?"),'DEF_SELF_SCOUT_IMPORT'!$Q$42:$Q$1040,SUBSTITUTE(SUBSTITUTE(SUBSTITUTE($M462,"~","~~"),"*","~*"),"?","~?"),'DEF_SELF_SCOUT_IMPORT'!$G$42:$G$1040,SUBSTITUTE(SUBSTITUTE(SUBSTITUTE($O462,"~","~~"),"*","~*"),"?","~?"))/$C462)</f>
        <v>0.0</v>
      </c>
      <c r="E462" s="10">
        <f>IF($C462=0,"",SUMIFS('DEF_SELF_SCOUT_IMPORT'!$K$42:$K$1040,'DEF_SELF_SCOUT_IMPORT'!$L$42:$L$1040,"Y",'DEF_SELF_SCOUT_IMPORT'!$E$42:$E$1040,SUBSTITUTE(SUBSTITUTE(SUBSTITUTE($B462,"~","~~"),"*","~*"),"?","~?"),'DEF_SELF_SCOUT_IMPORT'!$Q$42:$Q$1040,SUBSTITUTE(SUBSTITUTE(SUBSTITUTE($M462,"~","~~"),"*","~*"),"?","~?"),'DEF_SELF_SCOUT_IMPORT'!$G$42:$G$1040,SUBSTITUTE(SUBSTITUTE(SUBSTITUTE($O462,"~","~~"),"*","~*"),"?","~?"))/$C462)</f>
        <v>0.0</v>
      </c>
      <c r="F462" s="11">
        <f>IF($C462=0,"",AVERAGEIFS('DEF_SELF_SCOUT_IMPORT'!$I$42:$I$1040,'DEF_SELF_SCOUT_IMPORT'!$L$42:$L$1040,"Y",'DEF_SELF_SCOUT_IMPORT'!$E$42:$E$1040,SUBSTITUTE(SUBSTITUTE(SUBSTITUTE($B462,"~","~~"),"*","~*"),"?","~?"),'DEF_SELF_SCOUT_IMPORT'!$Q$42:$Q$1040,SUBSTITUTE(SUBSTITUTE(SUBSTITUTE($M462,"~","~~"),"*","~*"),"?","~?"),'DEF_SELF_SCOUT_IMPORT'!$G$42:$G$1040,SUBSTITUTE(SUBSTITUTE(SUBSTITUTE($O462,"~","~~"),"*","~*"),"?","~?")))</f>
        <v>8.0</v>
      </c>
      <c r="G462" s="10">
        <f>IF($C462=0,"",COUNTIFS('DEF_SELF_SCOUT_IMPORT'!$L$42:$L$1040,"Y",'DEF_SELF_SCOUT_IMPORT'!$E$42:$E$1040,SUBSTITUTE(SUBSTITUTE(SUBSTITUTE($B462,"~","~~"),"*","~*"),"?","~?"),'DEF_SELF_SCOUT_IMPORT'!$Q$42:$Q$1040,SUBSTITUTE(SUBSTITUTE(SUBSTITUTE($M462,"~","~~"),"*","~*"),"?","~?"),'DEF_SELF_SCOUT_IMPORT'!$G$42:$G$1040,SUBSTITUTE(SUBSTITUTE(SUBSTITUTE($O462,"~","~~"),"*","~*"),"?","~?"),'DEF_SELF_SCOUT_IMPORT'!$H$42:$H$1040,"RUSH")/$C462)</f>
        <v>1.0</v>
      </c>
      <c r="H462" s="10">
        <f>IF($C462=0,"",COUNTIFS('DEF_SELF_SCOUT_IMPORT'!$L$42:$L$1040,"Y",'DEF_SELF_SCOUT_IMPORT'!$E$42:$E$1040,SUBSTITUTE(SUBSTITUTE(SUBSTITUTE($B462,"~","~~"),"*","~*"),"?","~?"),'DEF_SELF_SCOUT_IMPORT'!$Q$42:$Q$1040,SUBSTITUTE(SUBSTITUTE(SUBSTITUTE($M462,"~","~~"),"*","~*"),"?","~?"),'DEF_SELF_SCOUT_IMPORT'!$G$42:$G$1040,SUBSTITUTE(SUBSTITUTE(SUBSTITUTE($O462,"~","~~"),"*","~*"),"?","~?"),'DEF_SELF_SCOUT_IMPORT'!$H$42:$H$1040,"DROPBACK")/$C462)</f>
        <v>0.0</v>
      </c>
      <c r="I462" s="14" t="str">
        <f>IF(C462=0,"",IF(C462&lt;=2,"TRACK",IF(C462=3,"LOW",IF(C462&lt;=6,"MEDIUM","HIGH"))))</f>
        <v>TRACK</v>
      </c>
      <c r="J462" s="11">
        <f>IF(C462=0,"",ROUND(D462*70+(1-E462)*20+MAX(0,MIN(1,(10-F462)/10))*10,1))</f>
        <v>22.0</v>
      </c>
      <c r="K462" s="14" t="str">
        <f>IF(C462=0,"No Evidence",IF(C462&lt;=2,IF(E462&gt;0,"Explosive Alert","Track Only"),IF(C462=3,"Sample Watch",IF(E462&gt;=START_HERE!$B$31,"Explosive Alert",IF(J462&gt;=80,"Strong Candidate",IF(J462&gt;=65,"Good Candidate",IF(J462&gt;=50,"Mixed / Review","Problem Call")))))))</f>
        <v>Track Only</v>
      </c>
      <c r="L462" s="9" t="str">
        <f>IF(COUNTIFS('DEF_SELF_SCOUT_IMPORT'!$L$42:$L$1040,"Y",'DEF_SELF_SCOUT_IMPORT'!$E$42:$E$1040,SUBSTITUTE(SUBSTITUTE(SUBSTITUTE($B462,"~","~~"),"*","~*"),"?","~?"),'DEF_SELF_SCOUT_IMPORT'!$Q$42:$Q$1040,SUBSTITUTE(SUBSTITUTE(SUBSTITUTE($M462,"~","~~"),"*","~*"),"?","~?"),'DEF_SELF_SCOUT_IMPORT'!$G$42:$G$1040,SUBSTITUTE(SUBSTITUTE(SUBSTITUTE($O462,"~","~~"),"*","~*"),"?","~?"),'DEF_SELF_SCOUT_IMPORT'!$J$42:$J$1040,"")&gt;0,"Unscored clean outcome; review result tags before using score.",IF(C462=0,"No matching defensive reps; film confirmation needed.",IF(K462="Explosive Alert","Explosive risk; review clips before using as answer.",IF(C462&lt;=2,"Track only; not enough sample.",IF(C462=3,IF(E462&gt;0,"Sample watch with explosive exposure; review clips and build the sample.",IF(J462&gt;=65,"Good signal, but sample is limited.","Sample watch; review clips and build the sample.")),IF(K462="Problem Call","Problem area; practice or call-sheet review.",IF(K462="Strong Candidate","Strong call-fit candidate; confirm on film.",IF(K462="Good Candidate","Good call-fit signal; confirm on film.","Mixed signal; review fit and execution on film."))))))))</f>
        <v>Track only; not enough sample.</v>
      </c>
      <c r="M462" s="8" t="s">
        <v>82</v>
      </c>
      <c r="N462" s="8"/>
      <c r="O462" s="8" t="s">
        <v>206</v>
      </c>
      <c r="P462" s="8"/>
      <c r="Q462" s="8"/>
      <c r="R462" s="8" t="s">
        <v>28</v>
      </c>
      <c r="S462" s="2" t="s">
        <v>240</v>
      </c>
      <c r="T462" s="2">
        <f>IF(C462=0,0,IF(C462&gt;=CALL_LOOKUP_BOARD!$B$7,IF(OR(K462="Problem Call",K462="Explosive Alert"),10000000,20000000),0)+IF(C462&gt;=CALL_LOOKUP_BOARD!$B$7,J462*1000+MIN(C462,999),C462*1000+J462)+0.00991200)</f>
        <v>1022.009912</v>
      </c>
      <c r="U462" s="2">
        <f>IF(C462=0,"",IF(COUNTIFS($S$375:$S$581,SUBSTITUTE(SUBSTITUTE(SUBSTITUTE(S462,"~","~~"),"*","~*"),"?","~?"),$T$375:$T$581,"&gt;"&amp;T462)=0,S462,""))</f>
        <v/>
      </c>
    </row>
    <row r="463" spans="1:21" ht="38" customHeight="1">
      <c r="A463" s="8" t="s">
        <v>239</v>
      </c>
      <c r="B463" s="8" t="s">
        <v>56</v>
      </c>
      <c r="C463" s="12">
        <f>COUNTIFS('DEF_SELF_SCOUT_IMPORT'!$L$42:$L$1040,"Y",'DEF_SELF_SCOUT_IMPORT'!$E$42:$E$1040,SUBSTITUTE(SUBSTITUTE(SUBSTITUTE($B463,"~","~~"),"*","~*"),"?","~?"),'DEF_SELF_SCOUT_IMPORT'!$Q$42:$Q$1040,SUBSTITUTE(SUBSTITUTE(SUBSTITUTE($M463,"~","~~"),"*","~*"),"?","~?"),'DEF_SELF_SCOUT_IMPORT'!$G$42:$G$1040,SUBSTITUTE(SUBSTITUTE(SUBSTITUTE($O463,"~","~~"),"*","~*"),"?","~?"))</f>
        <v>1</v>
      </c>
      <c r="D463" s="10">
        <f>IF($C463=0,"",SUMIFS('DEF_SELF_SCOUT_IMPORT'!$J$42:$J$1040,'DEF_SELF_SCOUT_IMPORT'!$L$42:$L$1040,"Y",'DEF_SELF_SCOUT_IMPORT'!$E$42:$E$1040,SUBSTITUTE(SUBSTITUTE(SUBSTITUTE($B463,"~","~~"),"*","~*"),"?","~?"),'DEF_SELF_SCOUT_IMPORT'!$Q$42:$Q$1040,SUBSTITUTE(SUBSTITUTE(SUBSTITUTE($M463,"~","~~"),"*","~*"),"?","~?"),'DEF_SELF_SCOUT_IMPORT'!$G$42:$G$1040,SUBSTITUTE(SUBSTITUTE(SUBSTITUTE($O463,"~","~~"),"*","~*"),"?","~?"))/$C463)</f>
        <v>0.0</v>
      </c>
      <c r="E463" s="10">
        <f>IF($C463=0,"",SUMIFS('DEF_SELF_SCOUT_IMPORT'!$K$42:$K$1040,'DEF_SELF_SCOUT_IMPORT'!$L$42:$L$1040,"Y",'DEF_SELF_SCOUT_IMPORT'!$E$42:$E$1040,SUBSTITUTE(SUBSTITUTE(SUBSTITUTE($B463,"~","~~"),"*","~*"),"?","~?"),'DEF_SELF_SCOUT_IMPORT'!$Q$42:$Q$1040,SUBSTITUTE(SUBSTITUTE(SUBSTITUTE($M463,"~","~~"),"*","~*"),"?","~?"),'DEF_SELF_SCOUT_IMPORT'!$G$42:$G$1040,SUBSTITUTE(SUBSTITUTE(SUBSTITUTE($O463,"~","~~"),"*","~*"),"?","~?"))/$C463)</f>
        <v>0.0</v>
      </c>
      <c r="F463" s="11">
        <f>IF($C463=0,"",AVERAGEIFS('DEF_SELF_SCOUT_IMPORT'!$I$42:$I$1040,'DEF_SELF_SCOUT_IMPORT'!$L$42:$L$1040,"Y",'DEF_SELF_SCOUT_IMPORT'!$E$42:$E$1040,SUBSTITUTE(SUBSTITUTE(SUBSTITUTE($B463,"~","~~"),"*","~*"),"?","~?"),'DEF_SELF_SCOUT_IMPORT'!$Q$42:$Q$1040,SUBSTITUTE(SUBSTITUTE(SUBSTITUTE($M463,"~","~~"),"*","~*"),"?","~?"),'DEF_SELF_SCOUT_IMPORT'!$G$42:$G$1040,SUBSTITUTE(SUBSTITUTE(SUBSTITUTE($O463,"~","~~"),"*","~*"),"?","~?")))</f>
        <v>5.0</v>
      </c>
      <c r="G463" s="10">
        <f>IF($C463=0,"",COUNTIFS('DEF_SELF_SCOUT_IMPORT'!$L$42:$L$1040,"Y",'DEF_SELF_SCOUT_IMPORT'!$E$42:$E$1040,SUBSTITUTE(SUBSTITUTE(SUBSTITUTE($B463,"~","~~"),"*","~*"),"?","~?"),'DEF_SELF_SCOUT_IMPORT'!$Q$42:$Q$1040,SUBSTITUTE(SUBSTITUTE(SUBSTITUTE($M463,"~","~~"),"*","~*"),"?","~?"),'DEF_SELF_SCOUT_IMPORT'!$G$42:$G$1040,SUBSTITUTE(SUBSTITUTE(SUBSTITUTE($O463,"~","~~"),"*","~*"),"?","~?"),'DEF_SELF_SCOUT_IMPORT'!$H$42:$H$1040,"RUSH")/$C463)</f>
        <v>1.0</v>
      </c>
      <c r="H463" s="10">
        <f>IF($C463=0,"",COUNTIFS('DEF_SELF_SCOUT_IMPORT'!$L$42:$L$1040,"Y",'DEF_SELF_SCOUT_IMPORT'!$E$42:$E$1040,SUBSTITUTE(SUBSTITUTE(SUBSTITUTE($B463,"~","~~"),"*","~*"),"?","~?"),'DEF_SELF_SCOUT_IMPORT'!$Q$42:$Q$1040,SUBSTITUTE(SUBSTITUTE(SUBSTITUTE($M463,"~","~~"),"*","~*"),"?","~?"),'DEF_SELF_SCOUT_IMPORT'!$G$42:$G$1040,SUBSTITUTE(SUBSTITUTE(SUBSTITUTE($O463,"~","~~"),"*","~*"),"?","~?"),'DEF_SELF_SCOUT_IMPORT'!$H$42:$H$1040,"DROPBACK")/$C463)</f>
        <v>0.0</v>
      </c>
      <c r="I463" s="14" t="str">
        <f>IF(C463=0,"",IF(C463&lt;=2,"TRACK",IF(C463=3,"LOW",IF(C463&lt;=6,"MEDIUM","HIGH"))))</f>
        <v>TRACK</v>
      </c>
      <c r="J463" s="11">
        <f>IF(C463=0,"",ROUND(D463*70+(1-E463)*20+MAX(0,MIN(1,(10-F463)/10))*10,1))</f>
        <v>25.0</v>
      </c>
      <c r="K463" s="14" t="str">
        <f>IF(C463=0,"No Evidence",IF(C463&lt;=2,IF(E463&gt;0,"Explosive Alert","Track Only"),IF(C463=3,"Sample Watch",IF(E463&gt;=START_HERE!$B$31,"Explosive Alert",IF(J463&gt;=80,"Strong Candidate",IF(J463&gt;=65,"Good Candidate",IF(J463&gt;=50,"Mixed / Review","Problem Call")))))))</f>
        <v>Track Only</v>
      </c>
      <c r="L463" s="9" t="str">
        <f>IF(COUNTIFS('DEF_SELF_SCOUT_IMPORT'!$L$42:$L$1040,"Y",'DEF_SELF_SCOUT_IMPORT'!$E$42:$E$1040,SUBSTITUTE(SUBSTITUTE(SUBSTITUTE($B463,"~","~~"),"*","~*"),"?","~?"),'DEF_SELF_SCOUT_IMPORT'!$Q$42:$Q$1040,SUBSTITUTE(SUBSTITUTE(SUBSTITUTE($M463,"~","~~"),"*","~*"),"?","~?"),'DEF_SELF_SCOUT_IMPORT'!$G$42:$G$1040,SUBSTITUTE(SUBSTITUTE(SUBSTITUTE($O463,"~","~~"),"*","~*"),"?","~?"),'DEF_SELF_SCOUT_IMPORT'!$J$42:$J$1040,"")&gt;0,"Unscored clean outcome; review result tags before using score.",IF(C463=0,"No matching defensive reps; film confirmation needed.",IF(K463="Explosive Alert","Explosive risk; review clips before using as answer.",IF(C463&lt;=2,"Track only; not enough sample.",IF(C463=3,IF(E463&gt;0,"Sample watch with explosive exposure; review clips and build the sample.",IF(J463&gt;=65,"Good signal, but sample is limited.","Sample watch; review clips and build the sample.")),IF(K463="Problem Call","Problem area; practice or call-sheet review.",IF(K463="Strong Candidate","Strong call-fit candidate; confirm on film.",IF(K463="Good Candidate","Good call-fit signal; confirm on film.","Mixed signal; review fit and execution on film."))))))))</f>
        <v>Track only; not enough sample.</v>
      </c>
      <c r="M463" s="8" t="s">
        <v>82</v>
      </c>
      <c r="N463" s="8"/>
      <c r="O463" s="8" t="s">
        <v>206</v>
      </c>
      <c r="P463" s="8"/>
      <c r="Q463" s="8"/>
      <c r="R463" s="8" t="s">
        <v>28</v>
      </c>
      <c r="S463" s="2" t="s">
        <v>240</v>
      </c>
      <c r="T463" s="2">
        <f>IF(C463=0,0,IF(C463&gt;=CALL_LOOKUP_BOARD!$B$7,IF(OR(K463="Problem Call",K463="Explosive Alert"),10000000,20000000),0)+IF(C463&gt;=CALL_LOOKUP_BOARD!$B$7,J463*1000+MIN(C463,999),C463*1000+J463)+0.00991100)</f>
        <v>1025.009911</v>
      </c>
      <c r="U463" s="2">
        <f>IF(C463=0,"",IF(COUNTIFS($S$375:$S$581,SUBSTITUTE(SUBSTITUTE(SUBSTITUTE(S463,"~","~~"),"*","~*"),"?","~?"),$T$375:$T$581,"&gt;"&amp;T463)=0,S463,""))</f>
        <v/>
      </c>
    </row>
    <row r="464" spans="1:21" ht="38" customHeight="1">
      <c r="A464" s="8" t="s">
        <v>239</v>
      </c>
      <c r="B464" s="8" t="s">
        <v>35</v>
      </c>
      <c r="C464" s="12">
        <f>COUNTIFS('DEF_SELF_SCOUT_IMPORT'!$L$42:$L$1040,"Y",'DEF_SELF_SCOUT_IMPORT'!$E$42:$E$1040,SUBSTITUTE(SUBSTITUTE(SUBSTITUTE($B464,"~","~~"),"*","~*"),"?","~?"),'DEF_SELF_SCOUT_IMPORT'!$Q$42:$Q$1040,SUBSTITUTE(SUBSTITUTE(SUBSTITUTE($M464,"~","~~"),"*","~*"),"?","~?"),'DEF_SELF_SCOUT_IMPORT'!$G$42:$G$1040,SUBSTITUTE(SUBSTITUTE(SUBSTITUTE($O464,"~","~~"),"*","~*"),"?","~?"))</f>
        <v>1</v>
      </c>
      <c r="D464" s="10">
        <f>IF($C464=0,"",SUMIFS('DEF_SELF_SCOUT_IMPORT'!$J$42:$J$1040,'DEF_SELF_SCOUT_IMPORT'!$L$42:$L$1040,"Y",'DEF_SELF_SCOUT_IMPORT'!$E$42:$E$1040,SUBSTITUTE(SUBSTITUTE(SUBSTITUTE($B464,"~","~~"),"*","~*"),"?","~?"),'DEF_SELF_SCOUT_IMPORT'!$Q$42:$Q$1040,SUBSTITUTE(SUBSTITUTE(SUBSTITUTE($M464,"~","~~"),"*","~*"),"?","~?"),'DEF_SELF_SCOUT_IMPORT'!$G$42:$G$1040,SUBSTITUTE(SUBSTITUTE(SUBSTITUTE($O464,"~","~~"),"*","~*"),"?","~?"))/$C464)</f>
        <v>1.0</v>
      </c>
      <c r="E464" s="10">
        <f>IF($C464=0,"",SUMIFS('DEF_SELF_SCOUT_IMPORT'!$K$42:$K$1040,'DEF_SELF_SCOUT_IMPORT'!$L$42:$L$1040,"Y",'DEF_SELF_SCOUT_IMPORT'!$E$42:$E$1040,SUBSTITUTE(SUBSTITUTE(SUBSTITUTE($B464,"~","~~"),"*","~*"),"?","~?"),'DEF_SELF_SCOUT_IMPORT'!$Q$42:$Q$1040,SUBSTITUTE(SUBSTITUTE(SUBSTITUTE($M464,"~","~~"),"*","~*"),"?","~?"),'DEF_SELF_SCOUT_IMPORT'!$G$42:$G$1040,SUBSTITUTE(SUBSTITUTE(SUBSTITUTE($O464,"~","~~"),"*","~*"),"?","~?"))/$C464)</f>
        <v>0.0</v>
      </c>
      <c r="F464" s="11">
        <f>IF($C464=0,"",AVERAGEIFS('DEF_SELF_SCOUT_IMPORT'!$I$42:$I$1040,'DEF_SELF_SCOUT_IMPORT'!$L$42:$L$1040,"Y",'DEF_SELF_SCOUT_IMPORT'!$E$42:$E$1040,SUBSTITUTE(SUBSTITUTE(SUBSTITUTE($B464,"~","~~"),"*","~*"),"?","~?"),'DEF_SELF_SCOUT_IMPORT'!$Q$42:$Q$1040,SUBSTITUTE(SUBSTITUTE(SUBSTITUTE($M464,"~","~~"),"*","~*"),"?","~?"),'DEF_SELF_SCOUT_IMPORT'!$G$42:$G$1040,SUBSTITUTE(SUBSTITUTE(SUBSTITUTE($O464,"~","~~"),"*","~*"),"?","~?")))</f>
        <v>0.0</v>
      </c>
      <c r="G464" s="10">
        <f>IF($C464=0,"",COUNTIFS('DEF_SELF_SCOUT_IMPORT'!$L$42:$L$1040,"Y",'DEF_SELF_SCOUT_IMPORT'!$E$42:$E$1040,SUBSTITUTE(SUBSTITUTE(SUBSTITUTE($B464,"~","~~"),"*","~*"),"?","~?"),'DEF_SELF_SCOUT_IMPORT'!$Q$42:$Q$1040,SUBSTITUTE(SUBSTITUTE(SUBSTITUTE($M464,"~","~~"),"*","~*"),"?","~?"),'DEF_SELF_SCOUT_IMPORT'!$G$42:$G$1040,SUBSTITUTE(SUBSTITUTE(SUBSTITUTE($O464,"~","~~"),"*","~*"),"?","~?"),'DEF_SELF_SCOUT_IMPORT'!$H$42:$H$1040,"RUSH")/$C464)</f>
        <v>0.0</v>
      </c>
      <c r="H464" s="10">
        <f>IF($C464=0,"",COUNTIFS('DEF_SELF_SCOUT_IMPORT'!$L$42:$L$1040,"Y",'DEF_SELF_SCOUT_IMPORT'!$E$42:$E$1040,SUBSTITUTE(SUBSTITUTE(SUBSTITUTE($B464,"~","~~"),"*","~*"),"?","~?"),'DEF_SELF_SCOUT_IMPORT'!$Q$42:$Q$1040,SUBSTITUTE(SUBSTITUTE(SUBSTITUTE($M464,"~","~~"),"*","~*"),"?","~?"),'DEF_SELF_SCOUT_IMPORT'!$G$42:$G$1040,SUBSTITUTE(SUBSTITUTE(SUBSTITUTE($O464,"~","~~"),"*","~*"),"?","~?"),'DEF_SELF_SCOUT_IMPORT'!$H$42:$H$1040,"DROPBACK")/$C464)</f>
        <v>1.0</v>
      </c>
      <c r="I464" s="14" t="str">
        <f>IF(C464=0,"",IF(C464&lt;=2,"TRACK",IF(C464=3,"LOW",IF(C464&lt;=6,"MEDIUM","HIGH"))))</f>
        <v>TRACK</v>
      </c>
      <c r="J464" s="11">
        <f>IF(C464=0,"",ROUND(D464*70+(1-E464)*20+MAX(0,MIN(1,(10-F464)/10))*10,1))</f>
        <v>100.0</v>
      </c>
      <c r="K464" s="14" t="str">
        <f>IF(C464=0,"No Evidence",IF(C464&lt;=2,IF(E464&gt;0,"Explosive Alert","Track Only"),IF(C464=3,"Sample Watch",IF(E464&gt;=START_HERE!$B$31,"Explosive Alert",IF(J464&gt;=80,"Strong Candidate",IF(J464&gt;=65,"Good Candidate",IF(J464&gt;=50,"Mixed / Review","Problem Call")))))))</f>
        <v>Track Only</v>
      </c>
      <c r="L464" s="9" t="str">
        <f>IF(COUNTIFS('DEF_SELF_SCOUT_IMPORT'!$L$42:$L$1040,"Y",'DEF_SELF_SCOUT_IMPORT'!$E$42:$E$1040,SUBSTITUTE(SUBSTITUTE(SUBSTITUTE($B464,"~","~~"),"*","~*"),"?","~?"),'DEF_SELF_SCOUT_IMPORT'!$Q$42:$Q$1040,SUBSTITUTE(SUBSTITUTE(SUBSTITUTE($M464,"~","~~"),"*","~*"),"?","~?"),'DEF_SELF_SCOUT_IMPORT'!$G$42:$G$1040,SUBSTITUTE(SUBSTITUTE(SUBSTITUTE($O464,"~","~~"),"*","~*"),"?","~?"),'DEF_SELF_SCOUT_IMPORT'!$J$42:$J$1040,"")&gt;0,"Unscored clean outcome; review result tags before using score.",IF(C464=0,"No matching defensive reps; film confirmation needed.",IF(K464="Explosive Alert","Explosive risk; review clips before using as answer.",IF(C464&lt;=2,"Track only; not enough sample.",IF(C464=3,IF(E464&gt;0,"Sample watch with explosive exposure; review clips and build the sample.",IF(J464&gt;=65,"Good signal, but sample is limited.","Sample watch; review clips and build the sample.")),IF(K464="Problem Call","Problem area; practice or call-sheet review.",IF(K464="Strong Candidate","Strong call-fit candidate; confirm on film.",IF(K464="Good Candidate","Good call-fit signal; confirm on film.","Mixed signal; review fit and execution on film."))))))))</f>
        <v>Track only; not enough sample.</v>
      </c>
      <c r="M464" s="8" t="s">
        <v>82</v>
      </c>
      <c r="N464" s="8"/>
      <c r="O464" s="8" t="s">
        <v>206</v>
      </c>
      <c r="P464" s="8"/>
      <c r="Q464" s="8"/>
      <c r="R464" s="8" t="s">
        <v>28</v>
      </c>
      <c r="S464" s="2" t="s">
        <v>240</v>
      </c>
      <c r="T464" s="2">
        <f>IF(C464=0,0,IF(C464&gt;=CALL_LOOKUP_BOARD!$B$7,IF(OR(K464="Problem Call",K464="Explosive Alert"),10000000,20000000),0)+IF(C464&gt;=CALL_LOOKUP_BOARD!$B$7,J464*1000+MIN(C464,999),C464*1000+J464)+0.00991000)</f>
        <v>1100.00991</v>
      </c>
      <c r="U464" s="2">
        <f>IF(C464=0,"",IF(COUNTIFS($S$375:$S$581,SUBSTITUTE(SUBSTITUTE(SUBSTITUTE(S464,"~","~~"),"*","~*"),"?","~?"),$T$375:$T$581,"&gt;"&amp;T464)=0,S464,""))</f>
        <v/>
      </c>
    </row>
    <row r="465" spans="1:21" ht="38" customHeight="1">
      <c r="A465" s="8" t="s">
        <v>239</v>
      </c>
      <c r="B465" s="8" t="s">
        <v>60</v>
      </c>
      <c r="C465" s="12">
        <f>COUNTIFS('DEF_SELF_SCOUT_IMPORT'!$L$42:$L$1040,"Y",'DEF_SELF_SCOUT_IMPORT'!$E$42:$E$1040,SUBSTITUTE(SUBSTITUTE(SUBSTITUTE($B465,"~","~~"),"*","~*"),"?","~?"),'DEF_SELF_SCOUT_IMPORT'!$Q$42:$Q$1040,SUBSTITUTE(SUBSTITUTE(SUBSTITUTE($M465,"~","~~"),"*","~*"),"?","~?"),'DEF_SELF_SCOUT_IMPORT'!$G$42:$G$1040,SUBSTITUTE(SUBSTITUTE(SUBSTITUTE($O465,"~","~~"),"*","~*"),"?","~?"))</f>
        <v>1</v>
      </c>
      <c r="D465" s="10">
        <f>IF($C465=0,"",SUMIFS('DEF_SELF_SCOUT_IMPORT'!$J$42:$J$1040,'DEF_SELF_SCOUT_IMPORT'!$L$42:$L$1040,"Y",'DEF_SELF_SCOUT_IMPORT'!$E$42:$E$1040,SUBSTITUTE(SUBSTITUTE(SUBSTITUTE($B465,"~","~~"),"*","~*"),"?","~?"),'DEF_SELF_SCOUT_IMPORT'!$Q$42:$Q$1040,SUBSTITUTE(SUBSTITUTE(SUBSTITUTE($M465,"~","~~"),"*","~*"),"?","~?"),'DEF_SELF_SCOUT_IMPORT'!$G$42:$G$1040,SUBSTITUTE(SUBSTITUTE(SUBSTITUTE($O465,"~","~~"),"*","~*"),"?","~?"))/$C465)</f>
        <v>0.0</v>
      </c>
      <c r="E465" s="10">
        <f>IF($C465=0,"",SUMIFS('DEF_SELF_SCOUT_IMPORT'!$K$42:$K$1040,'DEF_SELF_SCOUT_IMPORT'!$L$42:$L$1040,"Y",'DEF_SELF_SCOUT_IMPORT'!$E$42:$E$1040,SUBSTITUTE(SUBSTITUTE(SUBSTITUTE($B465,"~","~~"),"*","~*"),"?","~?"),'DEF_SELF_SCOUT_IMPORT'!$Q$42:$Q$1040,SUBSTITUTE(SUBSTITUTE(SUBSTITUTE($M465,"~","~~"),"*","~*"),"?","~?"),'DEF_SELF_SCOUT_IMPORT'!$G$42:$G$1040,SUBSTITUTE(SUBSTITUTE(SUBSTITUTE($O465,"~","~~"),"*","~*"),"?","~?"))/$C465)</f>
        <v>1.0</v>
      </c>
      <c r="F465" s="11">
        <f>IF($C465=0,"",AVERAGEIFS('DEF_SELF_SCOUT_IMPORT'!$I$42:$I$1040,'DEF_SELF_SCOUT_IMPORT'!$L$42:$L$1040,"Y",'DEF_SELF_SCOUT_IMPORT'!$E$42:$E$1040,SUBSTITUTE(SUBSTITUTE(SUBSTITUTE($B465,"~","~~"),"*","~*"),"?","~?"),'DEF_SELF_SCOUT_IMPORT'!$Q$42:$Q$1040,SUBSTITUTE(SUBSTITUTE(SUBSTITUTE($M465,"~","~~"),"*","~*"),"?","~?"),'DEF_SELF_SCOUT_IMPORT'!$G$42:$G$1040,SUBSTITUTE(SUBSTITUTE(SUBSTITUTE($O465,"~","~~"),"*","~*"),"?","~?")))</f>
        <v>16.0</v>
      </c>
      <c r="G465" s="10">
        <f>IF($C465=0,"",COUNTIFS('DEF_SELF_SCOUT_IMPORT'!$L$42:$L$1040,"Y",'DEF_SELF_SCOUT_IMPORT'!$E$42:$E$1040,SUBSTITUTE(SUBSTITUTE(SUBSTITUTE($B465,"~","~~"),"*","~*"),"?","~?"),'DEF_SELF_SCOUT_IMPORT'!$Q$42:$Q$1040,SUBSTITUTE(SUBSTITUTE(SUBSTITUTE($M465,"~","~~"),"*","~*"),"?","~?"),'DEF_SELF_SCOUT_IMPORT'!$G$42:$G$1040,SUBSTITUTE(SUBSTITUTE(SUBSTITUTE($O465,"~","~~"),"*","~*"),"?","~?"),'DEF_SELF_SCOUT_IMPORT'!$H$42:$H$1040,"RUSH")/$C465)</f>
        <v>1.0</v>
      </c>
      <c r="H465" s="10">
        <f>IF($C465=0,"",COUNTIFS('DEF_SELF_SCOUT_IMPORT'!$L$42:$L$1040,"Y",'DEF_SELF_SCOUT_IMPORT'!$E$42:$E$1040,SUBSTITUTE(SUBSTITUTE(SUBSTITUTE($B465,"~","~~"),"*","~*"),"?","~?"),'DEF_SELF_SCOUT_IMPORT'!$Q$42:$Q$1040,SUBSTITUTE(SUBSTITUTE(SUBSTITUTE($M465,"~","~~"),"*","~*"),"?","~?"),'DEF_SELF_SCOUT_IMPORT'!$G$42:$G$1040,SUBSTITUTE(SUBSTITUTE(SUBSTITUTE($O465,"~","~~"),"*","~*"),"?","~?"),'DEF_SELF_SCOUT_IMPORT'!$H$42:$H$1040,"DROPBACK")/$C465)</f>
        <v>0.0</v>
      </c>
      <c r="I465" s="14" t="str">
        <f>IF(C465=0,"",IF(C465&lt;=2,"TRACK",IF(C465=3,"LOW",IF(C465&lt;=6,"MEDIUM","HIGH"))))</f>
        <v>TRACK</v>
      </c>
      <c r="J465" s="11">
        <f>IF(C465=0,"",ROUND(D465*70+(1-E465)*20+MAX(0,MIN(1,(10-F465)/10))*10,1))</f>
        <v>0.0</v>
      </c>
      <c r="K465" s="14" t="str">
        <f>IF(C465=0,"No Evidence",IF(C465&lt;=2,IF(E465&gt;0,"Explosive Alert","Track Only"),IF(C465=3,"Sample Watch",IF(E465&gt;=START_HERE!$B$31,"Explosive Alert",IF(J465&gt;=80,"Strong Candidate",IF(J465&gt;=65,"Good Candidate",IF(J465&gt;=50,"Mixed / Review","Problem Call")))))))</f>
        <v>Explosive Alert</v>
      </c>
      <c r="L465" s="9" t="str">
        <f>IF(COUNTIFS('DEF_SELF_SCOUT_IMPORT'!$L$42:$L$1040,"Y",'DEF_SELF_SCOUT_IMPORT'!$E$42:$E$1040,SUBSTITUTE(SUBSTITUTE(SUBSTITUTE($B465,"~","~~"),"*","~*"),"?","~?"),'DEF_SELF_SCOUT_IMPORT'!$Q$42:$Q$1040,SUBSTITUTE(SUBSTITUTE(SUBSTITUTE($M465,"~","~~"),"*","~*"),"?","~?"),'DEF_SELF_SCOUT_IMPORT'!$G$42:$G$1040,SUBSTITUTE(SUBSTITUTE(SUBSTITUTE($O465,"~","~~"),"*","~*"),"?","~?"),'DEF_SELF_SCOUT_IMPORT'!$J$42:$J$1040,"")&gt;0,"Unscored clean outcome; review result tags before using score.",IF(C465=0,"No matching defensive reps; film confirmation needed.",IF(K465="Explosive Alert","Explosive risk; review clips before using as answer.",IF(C465&lt;=2,"Track only; not enough sample.",IF(C465=3,IF(E465&gt;0,"Sample watch with explosive exposure; review clips and build the sample.",IF(J465&gt;=65,"Good signal, but sample is limited.","Sample watch; review clips and build the sample.")),IF(K465="Problem Call","Problem area; practice or call-sheet review.",IF(K465="Strong Candidate","Strong call-fit candidate; confirm on film.",IF(K465="Good Candidate","Good call-fit signal; confirm on film.","Mixed signal; review fit and execution on film."))))))))</f>
        <v>Explosive risk; review clips before using as answer.</v>
      </c>
      <c r="M465" s="8" t="s">
        <v>82</v>
      </c>
      <c r="N465" s="8"/>
      <c r="O465" s="8" t="s">
        <v>206</v>
      </c>
      <c r="P465" s="8"/>
      <c r="Q465" s="8"/>
      <c r="R465" s="8" t="s">
        <v>28</v>
      </c>
      <c r="S465" s="2" t="s">
        <v>240</v>
      </c>
      <c r="T465" s="2">
        <f>IF(C465=0,0,IF(C465&gt;=CALL_LOOKUP_BOARD!$B$7,IF(OR(K465="Problem Call",K465="Explosive Alert"),10000000,20000000),0)+IF(C465&gt;=CALL_LOOKUP_BOARD!$B$7,J465*1000+MIN(C465,999),C465*1000+J465)+0.00990900)</f>
        <v>1000.009909</v>
      </c>
      <c r="U465" s="2">
        <f>IF(C465=0,"",IF(COUNTIFS($S$375:$S$581,SUBSTITUTE(SUBSTITUTE(SUBSTITUTE(S465,"~","~~"),"*","~*"),"?","~?"),$T$375:$T$581,"&gt;"&amp;T465)=0,S465,""))</f>
        <v/>
      </c>
    </row>
    <row r="466" spans="1:21" ht="38" customHeight="1">
      <c r="A466" s="8" t="s">
        <v>239</v>
      </c>
      <c r="B466" s="8" t="s">
        <v>61</v>
      </c>
      <c r="C466" s="12">
        <f>COUNTIFS('DEF_SELF_SCOUT_IMPORT'!$L$42:$L$1040,"Y",'DEF_SELF_SCOUT_IMPORT'!$E$42:$E$1040,SUBSTITUTE(SUBSTITUTE(SUBSTITUTE($B466,"~","~~"),"*","~*"),"?","~?"),'DEF_SELF_SCOUT_IMPORT'!$Q$42:$Q$1040,SUBSTITUTE(SUBSTITUTE(SUBSTITUTE($M466,"~","~~"),"*","~*"),"?","~?"),'DEF_SELF_SCOUT_IMPORT'!$G$42:$G$1040,SUBSTITUTE(SUBSTITUTE(SUBSTITUTE($O466,"~","~~"),"*","~*"),"?","~?"))</f>
        <v>1</v>
      </c>
      <c r="D466" s="10">
        <f>IF($C466=0,"",SUMIFS('DEF_SELF_SCOUT_IMPORT'!$J$42:$J$1040,'DEF_SELF_SCOUT_IMPORT'!$L$42:$L$1040,"Y",'DEF_SELF_SCOUT_IMPORT'!$E$42:$E$1040,SUBSTITUTE(SUBSTITUTE(SUBSTITUTE($B466,"~","~~"),"*","~*"),"?","~?"),'DEF_SELF_SCOUT_IMPORT'!$Q$42:$Q$1040,SUBSTITUTE(SUBSTITUTE(SUBSTITUTE($M466,"~","~~"),"*","~*"),"?","~?"),'DEF_SELF_SCOUT_IMPORT'!$G$42:$G$1040,SUBSTITUTE(SUBSTITUTE(SUBSTITUTE($O466,"~","~~"),"*","~*"),"?","~?"))/$C466)</f>
        <v>0.0</v>
      </c>
      <c r="E466" s="10">
        <f>IF($C466=0,"",SUMIFS('DEF_SELF_SCOUT_IMPORT'!$K$42:$K$1040,'DEF_SELF_SCOUT_IMPORT'!$L$42:$L$1040,"Y",'DEF_SELF_SCOUT_IMPORT'!$E$42:$E$1040,SUBSTITUTE(SUBSTITUTE(SUBSTITUTE($B466,"~","~~"),"*","~*"),"?","~?"),'DEF_SELF_SCOUT_IMPORT'!$Q$42:$Q$1040,SUBSTITUTE(SUBSTITUTE(SUBSTITUTE($M466,"~","~~"),"*","~*"),"?","~?"),'DEF_SELF_SCOUT_IMPORT'!$G$42:$G$1040,SUBSTITUTE(SUBSTITUTE(SUBSTITUTE($O466,"~","~~"),"*","~*"),"?","~?"))/$C466)</f>
        <v>0.0</v>
      </c>
      <c r="F466" s="11">
        <f>IF($C466=0,"",AVERAGEIFS('DEF_SELF_SCOUT_IMPORT'!$I$42:$I$1040,'DEF_SELF_SCOUT_IMPORT'!$L$42:$L$1040,"Y",'DEF_SELF_SCOUT_IMPORT'!$E$42:$E$1040,SUBSTITUTE(SUBSTITUTE(SUBSTITUTE($B466,"~","~~"),"*","~*"),"?","~?"),'DEF_SELF_SCOUT_IMPORT'!$Q$42:$Q$1040,SUBSTITUTE(SUBSTITUTE(SUBSTITUTE($M466,"~","~~"),"*","~*"),"?","~?"),'DEF_SELF_SCOUT_IMPORT'!$G$42:$G$1040,SUBSTITUTE(SUBSTITUTE(SUBSTITUTE($O466,"~","~~"),"*","~*"),"?","~?")))</f>
        <v>11.0</v>
      </c>
      <c r="G466" s="10">
        <f>IF($C466=0,"",COUNTIFS('DEF_SELF_SCOUT_IMPORT'!$L$42:$L$1040,"Y",'DEF_SELF_SCOUT_IMPORT'!$E$42:$E$1040,SUBSTITUTE(SUBSTITUTE(SUBSTITUTE($B466,"~","~~"),"*","~*"),"?","~?"),'DEF_SELF_SCOUT_IMPORT'!$Q$42:$Q$1040,SUBSTITUTE(SUBSTITUTE(SUBSTITUTE($M466,"~","~~"),"*","~*"),"?","~?"),'DEF_SELF_SCOUT_IMPORT'!$G$42:$G$1040,SUBSTITUTE(SUBSTITUTE(SUBSTITUTE($O466,"~","~~"),"*","~*"),"?","~?"),'DEF_SELF_SCOUT_IMPORT'!$H$42:$H$1040,"RUSH")/$C466)</f>
        <v>0.0</v>
      </c>
      <c r="H466" s="10">
        <f>IF($C466=0,"",COUNTIFS('DEF_SELF_SCOUT_IMPORT'!$L$42:$L$1040,"Y",'DEF_SELF_SCOUT_IMPORT'!$E$42:$E$1040,SUBSTITUTE(SUBSTITUTE(SUBSTITUTE($B466,"~","~~"),"*","~*"),"?","~?"),'DEF_SELF_SCOUT_IMPORT'!$Q$42:$Q$1040,SUBSTITUTE(SUBSTITUTE(SUBSTITUTE($M466,"~","~~"),"*","~*"),"?","~?"),'DEF_SELF_SCOUT_IMPORT'!$G$42:$G$1040,SUBSTITUTE(SUBSTITUTE(SUBSTITUTE($O466,"~","~~"),"*","~*"),"?","~?"),'DEF_SELF_SCOUT_IMPORT'!$H$42:$H$1040,"DROPBACK")/$C466)</f>
        <v>1.0</v>
      </c>
      <c r="I466" s="14" t="str">
        <f>IF(C466=0,"",IF(C466&lt;=2,"TRACK",IF(C466=3,"LOW",IF(C466&lt;=6,"MEDIUM","HIGH"))))</f>
        <v>TRACK</v>
      </c>
      <c r="J466" s="11">
        <f>IF(C466=0,"",ROUND(D466*70+(1-E466)*20+MAX(0,MIN(1,(10-F466)/10))*10,1))</f>
        <v>20.0</v>
      </c>
      <c r="K466" s="14" t="str">
        <f>IF(C466=0,"No Evidence",IF(C466&lt;=2,IF(E466&gt;0,"Explosive Alert","Track Only"),IF(C466=3,"Sample Watch",IF(E466&gt;=START_HERE!$B$31,"Explosive Alert",IF(J466&gt;=80,"Strong Candidate",IF(J466&gt;=65,"Good Candidate",IF(J466&gt;=50,"Mixed / Review","Problem Call")))))))</f>
        <v>Track Only</v>
      </c>
      <c r="L466" s="9" t="str">
        <f>IF(COUNTIFS('DEF_SELF_SCOUT_IMPORT'!$L$42:$L$1040,"Y",'DEF_SELF_SCOUT_IMPORT'!$E$42:$E$1040,SUBSTITUTE(SUBSTITUTE(SUBSTITUTE($B466,"~","~~"),"*","~*"),"?","~?"),'DEF_SELF_SCOUT_IMPORT'!$Q$42:$Q$1040,SUBSTITUTE(SUBSTITUTE(SUBSTITUTE($M466,"~","~~"),"*","~*"),"?","~?"),'DEF_SELF_SCOUT_IMPORT'!$G$42:$G$1040,SUBSTITUTE(SUBSTITUTE(SUBSTITUTE($O466,"~","~~"),"*","~*"),"?","~?"),'DEF_SELF_SCOUT_IMPORT'!$J$42:$J$1040,"")&gt;0,"Unscored clean outcome; review result tags before using score.",IF(C466=0,"No matching defensive reps; film confirmation needed.",IF(K466="Explosive Alert","Explosive risk; review clips before using as answer.",IF(C466&lt;=2,"Track only; not enough sample.",IF(C466=3,IF(E466&gt;0,"Sample watch with explosive exposure; review clips and build the sample.",IF(J466&gt;=65,"Good signal, but sample is limited.","Sample watch; review clips and build the sample.")),IF(K466="Problem Call","Problem area; practice or call-sheet review.",IF(K466="Strong Candidate","Strong call-fit candidate; confirm on film.",IF(K466="Good Candidate","Good call-fit signal; confirm on film.","Mixed signal; review fit and execution on film."))))))))</f>
        <v>Track only; not enough sample.</v>
      </c>
      <c r="M466" s="8" t="s">
        <v>82</v>
      </c>
      <c r="N466" s="8"/>
      <c r="O466" s="8" t="s">
        <v>206</v>
      </c>
      <c r="P466" s="8"/>
      <c r="Q466" s="8"/>
      <c r="R466" s="8" t="s">
        <v>28</v>
      </c>
      <c r="S466" s="2" t="s">
        <v>240</v>
      </c>
      <c r="T466" s="2">
        <f>IF(C466=0,0,IF(C466&gt;=CALL_LOOKUP_BOARD!$B$7,IF(OR(K466="Problem Call",K466="Explosive Alert"),10000000,20000000),0)+IF(C466&gt;=CALL_LOOKUP_BOARD!$B$7,J466*1000+MIN(C466,999),C466*1000+J466)+0.00990800)</f>
        <v>1020.009908</v>
      </c>
      <c r="U466" s="2">
        <f>IF(C466=0,"",IF(COUNTIFS($S$375:$S$581,SUBSTITUTE(SUBSTITUTE(SUBSTITUTE(S466,"~","~~"),"*","~*"),"?","~?"),$T$375:$T$581,"&gt;"&amp;T466)=0,S466,""))</f>
        <v/>
      </c>
    </row>
    <row r="467" spans="1:21" ht="38" customHeight="1">
      <c r="A467" s="8" t="s">
        <v>239</v>
      </c>
      <c r="B467" s="8" t="s">
        <v>68</v>
      </c>
      <c r="C467" s="12">
        <f>COUNTIFS('DEF_SELF_SCOUT_IMPORT'!$L$42:$L$1040,"Y",'DEF_SELF_SCOUT_IMPORT'!$E$42:$E$1040,SUBSTITUTE(SUBSTITUTE(SUBSTITUTE($B467,"~","~~"),"*","~*"),"?","~?"),'DEF_SELF_SCOUT_IMPORT'!$Q$42:$Q$1040,SUBSTITUTE(SUBSTITUTE(SUBSTITUTE($M467,"~","~~"),"*","~*"),"?","~?"),'DEF_SELF_SCOUT_IMPORT'!$G$42:$G$1040,SUBSTITUTE(SUBSTITUTE(SUBSTITUTE($O467,"~","~~"),"*","~*"),"?","~?"))</f>
        <v>1</v>
      </c>
      <c r="D467" s="10">
        <f>IF($C467=0,"",SUMIFS('DEF_SELF_SCOUT_IMPORT'!$J$42:$J$1040,'DEF_SELF_SCOUT_IMPORT'!$L$42:$L$1040,"Y",'DEF_SELF_SCOUT_IMPORT'!$E$42:$E$1040,SUBSTITUTE(SUBSTITUTE(SUBSTITUTE($B467,"~","~~"),"*","~*"),"?","~?"),'DEF_SELF_SCOUT_IMPORT'!$Q$42:$Q$1040,SUBSTITUTE(SUBSTITUTE(SUBSTITUTE($M467,"~","~~"),"*","~*"),"?","~?"),'DEF_SELF_SCOUT_IMPORT'!$G$42:$G$1040,SUBSTITUTE(SUBSTITUTE(SUBSTITUTE($O467,"~","~~"),"*","~*"),"?","~?"))/$C467)</f>
        <v>1.0</v>
      </c>
      <c r="E467" s="10">
        <f>IF($C467=0,"",SUMIFS('DEF_SELF_SCOUT_IMPORT'!$K$42:$K$1040,'DEF_SELF_SCOUT_IMPORT'!$L$42:$L$1040,"Y",'DEF_SELF_SCOUT_IMPORT'!$E$42:$E$1040,SUBSTITUTE(SUBSTITUTE(SUBSTITUTE($B467,"~","~~"),"*","~*"),"?","~?"),'DEF_SELF_SCOUT_IMPORT'!$Q$42:$Q$1040,SUBSTITUTE(SUBSTITUTE(SUBSTITUTE($M467,"~","~~"),"*","~*"),"?","~?"),'DEF_SELF_SCOUT_IMPORT'!$G$42:$G$1040,SUBSTITUTE(SUBSTITUTE(SUBSTITUTE($O467,"~","~~"),"*","~*"),"?","~?"))/$C467)</f>
        <v>0.0</v>
      </c>
      <c r="F467" s="11">
        <f>IF($C467=0,"",AVERAGEIFS('DEF_SELF_SCOUT_IMPORT'!$I$42:$I$1040,'DEF_SELF_SCOUT_IMPORT'!$L$42:$L$1040,"Y",'DEF_SELF_SCOUT_IMPORT'!$E$42:$E$1040,SUBSTITUTE(SUBSTITUTE(SUBSTITUTE($B467,"~","~~"),"*","~*"),"?","~?"),'DEF_SELF_SCOUT_IMPORT'!$Q$42:$Q$1040,SUBSTITUTE(SUBSTITUTE(SUBSTITUTE($M467,"~","~~"),"*","~*"),"?","~?"),'DEF_SELF_SCOUT_IMPORT'!$G$42:$G$1040,SUBSTITUTE(SUBSTITUTE(SUBSTITUTE($O467,"~","~~"),"*","~*"),"?","~?")))</f>
        <v>0.0</v>
      </c>
      <c r="G467" s="10">
        <f>IF($C467=0,"",COUNTIFS('DEF_SELF_SCOUT_IMPORT'!$L$42:$L$1040,"Y",'DEF_SELF_SCOUT_IMPORT'!$E$42:$E$1040,SUBSTITUTE(SUBSTITUTE(SUBSTITUTE($B467,"~","~~"),"*","~*"),"?","~?"),'DEF_SELF_SCOUT_IMPORT'!$Q$42:$Q$1040,SUBSTITUTE(SUBSTITUTE(SUBSTITUTE($M467,"~","~~"),"*","~*"),"?","~?"),'DEF_SELF_SCOUT_IMPORT'!$G$42:$G$1040,SUBSTITUTE(SUBSTITUTE(SUBSTITUTE($O467,"~","~~"),"*","~*"),"?","~?"),'DEF_SELF_SCOUT_IMPORT'!$H$42:$H$1040,"RUSH")/$C467)</f>
        <v>0.0</v>
      </c>
      <c r="H467" s="10">
        <f>IF($C467=0,"",COUNTIFS('DEF_SELF_SCOUT_IMPORT'!$L$42:$L$1040,"Y",'DEF_SELF_SCOUT_IMPORT'!$E$42:$E$1040,SUBSTITUTE(SUBSTITUTE(SUBSTITUTE($B467,"~","~~"),"*","~*"),"?","~?"),'DEF_SELF_SCOUT_IMPORT'!$Q$42:$Q$1040,SUBSTITUTE(SUBSTITUTE(SUBSTITUTE($M467,"~","~~"),"*","~*"),"?","~?"),'DEF_SELF_SCOUT_IMPORT'!$G$42:$G$1040,SUBSTITUTE(SUBSTITUTE(SUBSTITUTE($O467,"~","~~"),"*","~*"),"?","~?"),'DEF_SELF_SCOUT_IMPORT'!$H$42:$H$1040,"DROPBACK")/$C467)</f>
        <v>1.0</v>
      </c>
      <c r="I467" s="14" t="str">
        <f>IF(C467=0,"",IF(C467&lt;=2,"TRACK",IF(C467=3,"LOW",IF(C467&lt;=6,"MEDIUM","HIGH"))))</f>
        <v>TRACK</v>
      </c>
      <c r="J467" s="11">
        <f>IF(C467=0,"",ROUND(D467*70+(1-E467)*20+MAX(0,MIN(1,(10-F467)/10))*10,1))</f>
        <v>100.0</v>
      </c>
      <c r="K467" s="14" t="str">
        <f>IF(C467=0,"No Evidence",IF(C467&lt;=2,IF(E467&gt;0,"Explosive Alert","Track Only"),IF(C467=3,"Sample Watch",IF(E467&gt;=START_HERE!$B$31,"Explosive Alert",IF(J467&gt;=80,"Strong Candidate",IF(J467&gt;=65,"Good Candidate",IF(J467&gt;=50,"Mixed / Review","Problem Call")))))))</f>
        <v>Track Only</v>
      </c>
      <c r="L467" s="9" t="str">
        <f>IF(COUNTIFS('DEF_SELF_SCOUT_IMPORT'!$L$42:$L$1040,"Y",'DEF_SELF_SCOUT_IMPORT'!$E$42:$E$1040,SUBSTITUTE(SUBSTITUTE(SUBSTITUTE($B467,"~","~~"),"*","~*"),"?","~?"),'DEF_SELF_SCOUT_IMPORT'!$Q$42:$Q$1040,SUBSTITUTE(SUBSTITUTE(SUBSTITUTE($M467,"~","~~"),"*","~*"),"?","~?"),'DEF_SELF_SCOUT_IMPORT'!$G$42:$G$1040,SUBSTITUTE(SUBSTITUTE(SUBSTITUTE($O467,"~","~~"),"*","~*"),"?","~?"),'DEF_SELF_SCOUT_IMPORT'!$J$42:$J$1040,"")&gt;0,"Unscored clean outcome; review result tags before using score.",IF(C467=0,"No matching defensive reps; film confirmation needed.",IF(K467="Explosive Alert","Explosive risk; review clips before using as answer.",IF(C467&lt;=2,"Track only; not enough sample.",IF(C467=3,IF(E467&gt;0,"Sample watch with explosive exposure; review clips and build the sample.",IF(J467&gt;=65,"Good signal, but sample is limited.","Sample watch; review clips and build the sample.")),IF(K467="Problem Call","Problem area; practice or call-sheet review.",IF(K467="Strong Candidate","Strong call-fit candidate; confirm on film.",IF(K467="Good Candidate","Good call-fit signal; confirm on film.","Mixed signal; review fit and execution on film."))))))))</f>
        <v>Track only; not enough sample.</v>
      </c>
      <c r="M467" s="8" t="s">
        <v>82</v>
      </c>
      <c r="N467" s="8"/>
      <c r="O467" s="8" t="s">
        <v>206</v>
      </c>
      <c r="P467" s="8"/>
      <c r="Q467" s="8"/>
      <c r="R467" s="8" t="s">
        <v>28</v>
      </c>
      <c r="S467" s="2" t="s">
        <v>240</v>
      </c>
      <c r="T467" s="2">
        <f>IF(C467=0,0,IF(C467&gt;=CALL_LOOKUP_BOARD!$B$7,IF(OR(K467="Problem Call",K467="Explosive Alert"),10000000,20000000),0)+IF(C467&gt;=CALL_LOOKUP_BOARD!$B$7,J467*1000+MIN(C467,999),C467*1000+J467)+0.00990700)</f>
        <v>1100.009907</v>
      </c>
      <c r="U467" s="2">
        <f>IF(C467=0,"",IF(COUNTIFS($S$375:$S$581,SUBSTITUTE(SUBSTITUTE(SUBSTITUTE(S467,"~","~~"),"*","~*"),"?","~?"),$T$375:$T$581,"&gt;"&amp;T467)=0,S467,""))</f>
        <v/>
      </c>
    </row>
    <row r="468" spans="1:21" ht="38" customHeight="1">
      <c r="A468" s="8" t="s">
        <v>239</v>
      </c>
      <c r="B468" s="8" t="s">
        <v>69</v>
      </c>
      <c r="C468" s="12">
        <f>COUNTIFS('DEF_SELF_SCOUT_IMPORT'!$L$42:$L$1040,"Y",'DEF_SELF_SCOUT_IMPORT'!$E$42:$E$1040,SUBSTITUTE(SUBSTITUTE(SUBSTITUTE($B468,"~","~~"),"*","~*"),"?","~?"),'DEF_SELF_SCOUT_IMPORT'!$Q$42:$Q$1040,SUBSTITUTE(SUBSTITUTE(SUBSTITUTE($M468,"~","~~"),"*","~*"),"?","~?"),'DEF_SELF_SCOUT_IMPORT'!$G$42:$G$1040,SUBSTITUTE(SUBSTITUTE(SUBSTITUTE($O468,"~","~~"),"*","~*"),"?","~?"))</f>
        <v>1</v>
      </c>
      <c r="D468" s="10">
        <f>IF($C468=0,"",SUMIFS('DEF_SELF_SCOUT_IMPORT'!$J$42:$J$1040,'DEF_SELF_SCOUT_IMPORT'!$L$42:$L$1040,"Y",'DEF_SELF_SCOUT_IMPORT'!$E$42:$E$1040,SUBSTITUTE(SUBSTITUTE(SUBSTITUTE($B468,"~","~~"),"*","~*"),"?","~?"),'DEF_SELF_SCOUT_IMPORT'!$Q$42:$Q$1040,SUBSTITUTE(SUBSTITUTE(SUBSTITUTE($M468,"~","~~"),"*","~*"),"?","~?"),'DEF_SELF_SCOUT_IMPORT'!$G$42:$G$1040,SUBSTITUTE(SUBSTITUTE(SUBSTITUTE($O468,"~","~~"),"*","~*"),"?","~?"))/$C468)</f>
        <v>1.0</v>
      </c>
      <c r="E468" s="10">
        <f>IF($C468=0,"",SUMIFS('DEF_SELF_SCOUT_IMPORT'!$K$42:$K$1040,'DEF_SELF_SCOUT_IMPORT'!$L$42:$L$1040,"Y",'DEF_SELF_SCOUT_IMPORT'!$E$42:$E$1040,SUBSTITUTE(SUBSTITUTE(SUBSTITUTE($B468,"~","~~"),"*","~*"),"?","~?"),'DEF_SELF_SCOUT_IMPORT'!$Q$42:$Q$1040,SUBSTITUTE(SUBSTITUTE(SUBSTITUTE($M468,"~","~~"),"*","~*"),"?","~?"),'DEF_SELF_SCOUT_IMPORT'!$G$42:$G$1040,SUBSTITUTE(SUBSTITUTE(SUBSTITUTE($O468,"~","~~"),"*","~*"),"?","~?"))/$C468)</f>
        <v>0.0</v>
      </c>
      <c r="F468" s="11">
        <f>IF($C468=0,"",AVERAGEIFS('DEF_SELF_SCOUT_IMPORT'!$I$42:$I$1040,'DEF_SELF_SCOUT_IMPORT'!$L$42:$L$1040,"Y",'DEF_SELF_SCOUT_IMPORT'!$E$42:$E$1040,SUBSTITUTE(SUBSTITUTE(SUBSTITUTE($B468,"~","~~"),"*","~*"),"?","~?"),'DEF_SELF_SCOUT_IMPORT'!$Q$42:$Q$1040,SUBSTITUTE(SUBSTITUTE(SUBSTITUTE($M468,"~","~~"),"*","~*"),"?","~?"),'DEF_SELF_SCOUT_IMPORT'!$G$42:$G$1040,SUBSTITUTE(SUBSTITUTE(SUBSTITUTE($O468,"~","~~"),"*","~*"),"?","~?")))</f>
        <v>2.0</v>
      </c>
      <c r="G468" s="10">
        <f>IF($C468=0,"",COUNTIFS('DEF_SELF_SCOUT_IMPORT'!$L$42:$L$1040,"Y",'DEF_SELF_SCOUT_IMPORT'!$E$42:$E$1040,SUBSTITUTE(SUBSTITUTE(SUBSTITUTE($B468,"~","~~"),"*","~*"),"?","~?"),'DEF_SELF_SCOUT_IMPORT'!$Q$42:$Q$1040,SUBSTITUTE(SUBSTITUTE(SUBSTITUTE($M468,"~","~~"),"*","~*"),"?","~?"),'DEF_SELF_SCOUT_IMPORT'!$G$42:$G$1040,SUBSTITUTE(SUBSTITUTE(SUBSTITUTE($O468,"~","~~"),"*","~*"),"?","~?"),'DEF_SELF_SCOUT_IMPORT'!$H$42:$H$1040,"RUSH")/$C468)</f>
        <v>1.0</v>
      </c>
      <c r="H468" s="10">
        <f>IF($C468=0,"",COUNTIFS('DEF_SELF_SCOUT_IMPORT'!$L$42:$L$1040,"Y",'DEF_SELF_SCOUT_IMPORT'!$E$42:$E$1040,SUBSTITUTE(SUBSTITUTE(SUBSTITUTE($B468,"~","~~"),"*","~*"),"?","~?"),'DEF_SELF_SCOUT_IMPORT'!$Q$42:$Q$1040,SUBSTITUTE(SUBSTITUTE(SUBSTITUTE($M468,"~","~~"),"*","~*"),"?","~?"),'DEF_SELF_SCOUT_IMPORT'!$G$42:$G$1040,SUBSTITUTE(SUBSTITUTE(SUBSTITUTE($O468,"~","~~"),"*","~*"),"?","~?"),'DEF_SELF_SCOUT_IMPORT'!$H$42:$H$1040,"DROPBACK")/$C468)</f>
        <v>0.0</v>
      </c>
      <c r="I468" s="14" t="str">
        <f>IF(C468=0,"",IF(C468&lt;=2,"TRACK",IF(C468=3,"LOW",IF(C468&lt;=6,"MEDIUM","HIGH"))))</f>
        <v>TRACK</v>
      </c>
      <c r="J468" s="11">
        <f>IF(C468=0,"",ROUND(D468*70+(1-E468)*20+MAX(0,MIN(1,(10-F468)/10))*10,1))</f>
        <v>98.0</v>
      </c>
      <c r="K468" s="14" t="str">
        <f>IF(C468=0,"No Evidence",IF(C468&lt;=2,IF(E468&gt;0,"Explosive Alert","Track Only"),IF(C468=3,"Sample Watch",IF(E468&gt;=START_HERE!$B$31,"Explosive Alert",IF(J468&gt;=80,"Strong Candidate",IF(J468&gt;=65,"Good Candidate",IF(J468&gt;=50,"Mixed / Review","Problem Call")))))))</f>
        <v>Track Only</v>
      </c>
      <c r="L468" s="9" t="str">
        <f>IF(COUNTIFS('DEF_SELF_SCOUT_IMPORT'!$L$42:$L$1040,"Y",'DEF_SELF_SCOUT_IMPORT'!$E$42:$E$1040,SUBSTITUTE(SUBSTITUTE(SUBSTITUTE($B468,"~","~~"),"*","~*"),"?","~?"),'DEF_SELF_SCOUT_IMPORT'!$Q$42:$Q$1040,SUBSTITUTE(SUBSTITUTE(SUBSTITUTE($M468,"~","~~"),"*","~*"),"?","~?"),'DEF_SELF_SCOUT_IMPORT'!$G$42:$G$1040,SUBSTITUTE(SUBSTITUTE(SUBSTITUTE($O468,"~","~~"),"*","~*"),"?","~?"),'DEF_SELF_SCOUT_IMPORT'!$J$42:$J$1040,"")&gt;0,"Unscored clean outcome; review result tags before using score.",IF(C468=0,"No matching defensive reps; film confirmation needed.",IF(K468="Explosive Alert","Explosive risk; review clips before using as answer.",IF(C468&lt;=2,"Track only; not enough sample.",IF(C468=3,IF(E468&gt;0,"Sample watch with explosive exposure; review clips and build the sample.",IF(J468&gt;=65,"Good signal, but sample is limited.","Sample watch; review clips and build the sample.")),IF(K468="Problem Call","Problem area; practice or call-sheet review.",IF(K468="Strong Candidate","Strong call-fit candidate; confirm on film.",IF(K468="Good Candidate","Good call-fit signal; confirm on film.","Mixed signal; review fit and execution on film."))))))))</f>
        <v>Track only; not enough sample.</v>
      </c>
      <c r="M468" s="8" t="s">
        <v>82</v>
      </c>
      <c r="N468" s="8"/>
      <c r="O468" s="8" t="s">
        <v>206</v>
      </c>
      <c r="P468" s="8"/>
      <c r="Q468" s="8"/>
      <c r="R468" s="8" t="s">
        <v>28</v>
      </c>
      <c r="S468" s="2" t="s">
        <v>240</v>
      </c>
      <c r="T468" s="2">
        <f>IF(C468=0,0,IF(C468&gt;=CALL_LOOKUP_BOARD!$B$7,IF(OR(K468="Problem Call",K468="Explosive Alert"),10000000,20000000),0)+IF(C468&gt;=CALL_LOOKUP_BOARD!$B$7,J468*1000+MIN(C468,999),C468*1000+J468)+0.00990600)</f>
        <v>1098.009906</v>
      </c>
      <c r="U468" s="2">
        <f>IF(C468=0,"",IF(COUNTIFS($S$375:$S$581,SUBSTITUTE(SUBSTITUTE(SUBSTITUTE(S468,"~","~~"),"*","~*"),"?","~?"),$T$375:$T$581,"&gt;"&amp;T468)=0,S468,""))</f>
        <v/>
      </c>
    </row>
    <row r="469" spans="1:21" ht="38" customHeight="1">
      <c r="A469" s="8" t="s">
        <v>241</v>
      </c>
      <c r="B469" s="8" t="s">
        <v>60</v>
      </c>
      <c r="C469" s="12">
        <f>COUNTIFS('DEF_SELF_SCOUT_IMPORT'!$L$42:$L$1040,"Y",'DEF_SELF_SCOUT_IMPORT'!$E$42:$E$1040,SUBSTITUTE(SUBSTITUTE(SUBSTITUTE($B469,"~","~~"),"*","~*"),"?","~?"),'DEF_SELF_SCOUT_IMPORT'!$Q$42:$Q$1040,SUBSTITUTE(SUBSTITUTE(SUBSTITUTE($M469,"~","~~"),"*","~*"),"?","~?"),'DEF_SELF_SCOUT_IMPORT'!$G$42:$G$1040,SUBSTITUTE(SUBSTITUTE(SUBSTITUTE($O469,"~","~~"),"*","~*"),"?","~?"))</f>
        <v>1</v>
      </c>
      <c r="D469" s="10">
        <f>IF($C469=0,"",SUMIFS('DEF_SELF_SCOUT_IMPORT'!$J$42:$J$1040,'DEF_SELF_SCOUT_IMPORT'!$L$42:$L$1040,"Y",'DEF_SELF_SCOUT_IMPORT'!$E$42:$E$1040,SUBSTITUTE(SUBSTITUTE(SUBSTITUTE($B469,"~","~~"),"*","~*"),"?","~?"),'DEF_SELF_SCOUT_IMPORT'!$Q$42:$Q$1040,SUBSTITUTE(SUBSTITUTE(SUBSTITUTE($M469,"~","~~"),"*","~*"),"?","~?"),'DEF_SELF_SCOUT_IMPORT'!$G$42:$G$1040,SUBSTITUTE(SUBSTITUTE(SUBSTITUTE($O469,"~","~~"),"*","~*"),"?","~?"))/$C469)</f>
        <v>0.0</v>
      </c>
      <c r="E469" s="10">
        <f>IF($C469=0,"",SUMIFS('DEF_SELF_SCOUT_IMPORT'!$K$42:$K$1040,'DEF_SELF_SCOUT_IMPORT'!$L$42:$L$1040,"Y",'DEF_SELF_SCOUT_IMPORT'!$E$42:$E$1040,SUBSTITUTE(SUBSTITUTE(SUBSTITUTE($B469,"~","~~"),"*","~*"),"?","~?"),'DEF_SELF_SCOUT_IMPORT'!$Q$42:$Q$1040,SUBSTITUTE(SUBSTITUTE(SUBSTITUTE($M469,"~","~~"),"*","~*"),"?","~?"),'DEF_SELF_SCOUT_IMPORT'!$G$42:$G$1040,SUBSTITUTE(SUBSTITUTE(SUBSTITUTE($O469,"~","~~"),"*","~*"),"?","~?"))/$C469)</f>
        <v>0.0</v>
      </c>
      <c r="F469" s="11">
        <f>IF($C469=0,"",AVERAGEIFS('DEF_SELF_SCOUT_IMPORT'!$I$42:$I$1040,'DEF_SELF_SCOUT_IMPORT'!$L$42:$L$1040,"Y",'DEF_SELF_SCOUT_IMPORT'!$E$42:$E$1040,SUBSTITUTE(SUBSTITUTE(SUBSTITUTE($B469,"~","~~"),"*","~*"),"?","~?"),'DEF_SELF_SCOUT_IMPORT'!$Q$42:$Q$1040,SUBSTITUTE(SUBSTITUTE(SUBSTITUTE($M469,"~","~~"),"*","~*"),"?","~?"),'DEF_SELF_SCOUT_IMPORT'!$G$42:$G$1040,SUBSTITUTE(SUBSTITUTE(SUBSTITUTE($O469,"~","~~"),"*","~*"),"?","~?")))</f>
        <v>12.0</v>
      </c>
      <c r="G469" s="10">
        <f>IF($C469=0,"",COUNTIFS('DEF_SELF_SCOUT_IMPORT'!$L$42:$L$1040,"Y",'DEF_SELF_SCOUT_IMPORT'!$E$42:$E$1040,SUBSTITUTE(SUBSTITUTE(SUBSTITUTE($B469,"~","~~"),"*","~*"),"?","~?"),'DEF_SELF_SCOUT_IMPORT'!$Q$42:$Q$1040,SUBSTITUTE(SUBSTITUTE(SUBSTITUTE($M469,"~","~~"),"*","~*"),"?","~?"),'DEF_SELF_SCOUT_IMPORT'!$G$42:$G$1040,SUBSTITUTE(SUBSTITUTE(SUBSTITUTE($O469,"~","~~"),"*","~*"),"?","~?"),'DEF_SELF_SCOUT_IMPORT'!$H$42:$H$1040,"RUSH")/$C469)</f>
        <v>0.0</v>
      </c>
      <c r="H469" s="10">
        <f>IF($C469=0,"",COUNTIFS('DEF_SELF_SCOUT_IMPORT'!$L$42:$L$1040,"Y",'DEF_SELF_SCOUT_IMPORT'!$E$42:$E$1040,SUBSTITUTE(SUBSTITUTE(SUBSTITUTE($B469,"~","~~"),"*","~*"),"?","~?"),'DEF_SELF_SCOUT_IMPORT'!$Q$42:$Q$1040,SUBSTITUTE(SUBSTITUTE(SUBSTITUTE($M469,"~","~~"),"*","~*"),"?","~?"),'DEF_SELF_SCOUT_IMPORT'!$G$42:$G$1040,SUBSTITUTE(SUBSTITUTE(SUBSTITUTE($O469,"~","~~"),"*","~*"),"?","~?"),'DEF_SELF_SCOUT_IMPORT'!$H$42:$H$1040,"DROPBACK")/$C469)</f>
        <v>1.0</v>
      </c>
      <c r="I469" s="14" t="str">
        <f>IF(C469=0,"",IF(C469&lt;=2,"TRACK",IF(C469=3,"LOW",IF(C469&lt;=6,"MEDIUM","HIGH"))))</f>
        <v>TRACK</v>
      </c>
      <c r="J469" s="11">
        <f>IF(C469=0,"",ROUND(D469*70+(1-E469)*20+MAX(0,MIN(1,(10-F469)/10))*10,1))</f>
        <v>20.0</v>
      </c>
      <c r="K469" s="14" t="str">
        <f>IF(C469=0,"No Evidence",IF(C469&lt;=2,IF(E469&gt;0,"Explosive Alert","Track Only"),IF(C469=3,"Sample Watch",IF(E469&gt;=START_HERE!$B$31,"Explosive Alert",IF(J469&gt;=80,"Strong Candidate",IF(J469&gt;=65,"Good Candidate",IF(J469&gt;=50,"Mixed / Review","Problem Call")))))))</f>
        <v>Track Only</v>
      </c>
      <c r="L469" s="9" t="str">
        <f>IF(COUNTIFS('DEF_SELF_SCOUT_IMPORT'!$L$42:$L$1040,"Y",'DEF_SELF_SCOUT_IMPORT'!$E$42:$E$1040,SUBSTITUTE(SUBSTITUTE(SUBSTITUTE($B469,"~","~~"),"*","~*"),"?","~?"),'DEF_SELF_SCOUT_IMPORT'!$Q$42:$Q$1040,SUBSTITUTE(SUBSTITUTE(SUBSTITUTE($M469,"~","~~"),"*","~*"),"?","~?"),'DEF_SELF_SCOUT_IMPORT'!$G$42:$G$1040,SUBSTITUTE(SUBSTITUTE(SUBSTITUTE($O469,"~","~~"),"*","~*"),"?","~?"),'DEF_SELF_SCOUT_IMPORT'!$J$42:$J$1040,"")&gt;0,"Unscored clean outcome; review result tags before using score.",IF(C469=0,"No matching defensive reps; film confirmation needed.",IF(K469="Explosive Alert","Explosive risk; review clips before using as answer.",IF(C469&lt;=2,"Track only; not enough sample.",IF(C469=3,IF(E469&gt;0,"Sample watch with explosive exposure; review clips and build the sample.",IF(J469&gt;=65,"Good signal, but sample is limited.","Sample watch; review clips and build the sample.")),IF(K469="Problem Call","Problem area; practice or call-sheet review.",IF(K469="Strong Candidate","Strong call-fit candidate; confirm on film.",IF(K469="Good Candidate","Good call-fit signal; confirm on film.","Mixed signal; review fit and execution on film."))))))))</f>
        <v>Track only; not enough sample.</v>
      </c>
      <c r="M469" s="8" t="s">
        <v>82</v>
      </c>
      <c r="N469" s="8"/>
      <c r="O469" s="8" t="s">
        <v>222</v>
      </c>
      <c r="P469" s="8"/>
      <c r="Q469" s="8"/>
      <c r="R469" s="8" t="s">
        <v>28</v>
      </c>
      <c r="S469" s="2" t="s">
        <v>242</v>
      </c>
      <c r="T469" s="2">
        <f>IF(C469=0,0,IF(C469&gt;=CALL_LOOKUP_BOARD!$B$7,IF(OR(K469="Problem Call",K469="Explosive Alert"),10000000,20000000),0)+IF(C469&gt;=CALL_LOOKUP_BOARD!$B$7,J469*1000+MIN(C469,999),C469*1000+J469)+0.00990500)</f>
        <v>1020.009905</v>
      </c>
      <c r="U469" s="2" t="str">
        <f>IF(C469=0,"",IF(COUNTIFS($S$375:$S$581,SUBSTITUTE(SUBSTITUTE(SUBSTITUTE(S469,"~","~~"),"*","~*"),"?","~?"),$T$375:$T$581,"&gt;"&amp;T469)=0,S469,""))</f>
        <v>6:2D 4-6|3:3X2|</v>
      </c>
    </row>
    <row r="470" spans="1:21" ht="38" customHeight="1">
      <c r="A470" s="8" t="s">
        <v>243</v>
      </c>
      <c r="B470" s="8" t="s">
        <v>40</v>
      </c>
      <c r="C470" s="12">
        <f>COUNTIFS('DEF_SELF_SCOUT_IMPORT'!$L$42:$L$1040,"Y",'DEF_SELF_SCOUT_IMPORT'!$E$42:$E$1040,SUBSTITUTE(SUBSTITUTE(SUBSTITUTE($B470,"~","~~"),"*","~*"),"?","~?"),'DEF_SELF_SCOUT_IMPORT'!$Q$42:$Q$1040,SUBSTITUTE(SUBSTITUTE(SUBSTITUTE($M470,"~","~~"),"*","~*"),"?","~?"),'DEF_SELF_SCOUT_IMPORT'!$G$42:$G$1040,SUBSTITUTE(SUBSTITUTE(SUBSTITUTE($O470,"~","~~"),"*","~*"),"?","~?"))</f>
        <v>1</v>
      </c>
      <c r="D470" s="10">
        <f>IF($C470=0,"",SUMIFS('DEF_SELF_SCOUT_IMPORT'!$J$42:$J$1040,'DEF_SELF_SCOUT_IMPORT'!$L$42:$L$1040,"Y",'DEF_SELF_SCOUT_IMPORT'!$E$42:$E$1040,SUBSTITUTE(SUBSTITUTE(SUBSTITUTE($B470,"~","~~"),"*","~*"),"?","~?"),'DEF_SELF_SCOUT_IMPORT'!$Q$42:$Q$1040,SUBSTITUTE(SUBSTITUTE(SUBSTITUTE($M470,"~","~~"),"*","~*"),"?","~?"),'DEF_SELF_SCOUT_IMPORT'!$G$42:$G$1040,SUBSTITUTE(SUBSTITUTE(SUBSTITUTE($O470,"~","~~"),"*","~*"),"?","~?"))/$C470)</f>
        <v>0.0</v>
      </c>
      <c r="E470" s="10">
        <f>IF($C470=0,"",SUMIFS('DEF_SELF_SCOUT_IMPORT'!$K$42:$K$1040,'DEF_SELF_SCOUT_IMPORT'!$L$42:$L$1040,"Y",'DEF_SELF_SCOUT_IMPORT'!$E$42:$E$1040,SUBSTITUTE(SUBSTITUTE(SUBSTITUTE($B470,"~","~~"),"*","~*"),"?","~?"),'DEF_SELF_SCOUT_IMPORT'!$Q$42:$Q$1040,SUBSTITUTE(SUBSTITUTE(SUBSTITUTE($M470,"~","~~"),"*","~*"),"?","~?"),'DEF_SELF_SCOUT_IMPORT'!$G$42:$G$1040,SUBSTITUTE(SUBSTITUTE(SUBSTITUTE($O470,"~","~~"),"*","~*"),"?","~?"))/$C470)</f>
        <v>0.0</v>
      </c>
      <c r="F470" s="11">
        <f>IF($C470=0,"",AVERAGEIFS('DEF_SELF_SCOUT_IMPORT'!$I$42:$I$1040,'DEF_SELF_SCOUT_IMPORT'!$L$42:$L$1040,"Y",'DEF_SELF_SCOUT_IMPORT'!$E$42:$E$1040,SUBSTITUTE(SUBSTITUTE(SUBSTITUTE($B470,"~","~~"),"*","~*"),"?","~?"),'DEF_SELF_SCOUT_IMPORT'!$Q$42:$Q$1040,SUBSTITUTE(SUBSTITUTE(SUBSTITUTE($M470,"~","~~"),"*","~*"),"?","~?"),'DEF_SELF_SCOUT_IMPORT'!$G$42:$G$1040,SUBSTITUTE(SUBSTITUTE(SUBSTITUTE($O470,"~","~~"),"*","~*"),"?","~?")))</f>
        <v>7.0</v>
      </c>
      <c r="G470" s="10">
        <f>IF($C470=0,"",COUNTIFS('DEF_SELF_SCOUT_IMPORT'!$L$42:$L$1040,"Y",'DEF_SELF_SCOUT_IMPORT'!$E$42:$E$1040,SUBSTITUTE(SUBSTITUTE(SUBSTITUTE($B470,"~","~~"),"*","~*"),"?","~?"),'DEF_SELF_SCOUT_IMPORT'!$Q$42:$Q$1040,SUBSTITUTE(SUBSTITUTE(SUBSTITUTE($M470,"~","~~"),"*","~*"),"?","~?"),'DEF_SELF_SCOUT_IMPORT'!$G$42:$G$1040,SUBSTITUTE(SUBSTITUTE(SUBSTITUTE($O470,"~","~~"),"*","~*"),"?","~?"),'DEF_SELF_SCOUT_IMPORT'!$H$42:$H$1040,"RUSH")/$C470)</f>
        <v>1.0</v>
      </c>
      <c r="H470" s="10">
        <f>IF($C470=0,"",COUNTIFS('DEF_SELF_SCOUT_IMPORT'!$L$42:$L$1040,"Y",'DEF_SELF_SCOUT_IMPORT'!$E$42:$E$1040,SUBSTITUTE(SUBSTITUTE(SUBSTITUTE($B470,"~","~~"),"*","~*"),"?","~?"),'DEF_SELF_SCOUT_IMPORT'!$Q$42:$Q$1040,SUBSTITUTE(SUBSTITUTE(SUBSTITUTE($M470,"~","~~"),"*","~*"),"?","~?"),'DEF_SELF_SCOUT_IMPORT'!$G$42:$G$1040,SUBSTITUTE(SUBSTITUTE(SUBSTITUTE($O470,"~","~~"),"*","~*"),"?","~?"),'DEF_SELF_SCOUT_IMPORT'!$H$42:$H$1040,"DROPBACK")/$C470)</f>
        <v>0.0</v>
      </c>
      <c r="I470" s="14" t="str">
        <f>IF(C470=0,"",IF(C470&lt;=2,"TRACK",IF(C470=3,"LOW",IF(C470&lt;=6,"MEDIUM","HIGH"))))</f>
        <v>TRACK</v>
      </c>
      <c r="J470" s="11">
        <f>IF(C470=0,"",ROUND(D470*70+(1-E470)*20+MAX(0,MIN(1,(10-F470)/10))*10,1))</f>
        <v>23.0</v>
      </c>
      <c r="K470" s="14" t="str">
        <f>IF(C470=0,"No Evidence",IF(C470&lt;=2,IF(E470&gt;0,"Explosive Alert","Track Only"),IF(C470=3,"Sample Watch",IF(E470&gt;=START_HERE!$B$31,"Explosive Alert",IF(J470&gt;=80,"Strong Candidate",IF(J470&gt;=65,"Good Candidate",IF(J470&gt;=50,"Mixed / Review","Problem Call")))))))</f>
        <v>Track Only</v>
      </c>
      <c r="L470" s="9" t="str">
        <f>IF(COUNTIFS('DEF_SELF_SCOUT_IMPORT'!$L$42:$L$1040,"Y",'DEF_SELF_SCOUT_IMPORT'!$E$42:$E$1040,SUBSTITUTE(SUBSTITUTE(SUBSTITUTE($B470,"~","~~"),"*","~*"),"?","~?"),'DEF_SELF_SCOUT_IMPORT'!$Q$42:$Q$1040,SUBSTITUTE(SUBSTITUTE(SUBSTITUTE($M470,"~","~~"),"*","~*"),"?","~?"),'DEF_SELF_SCOUT_IMPORT'!$G$42:$G$1040,SUBSTITUTE(SUBSTITUTE(SUBSTITUTE($O470,"~","~~"),"*","~*"),"?","~?"),'DEF_SELF_SCOUT_IMPORT'!$J$42:$J$1040,"")&gt;0,"Unscored clean outcome; review result tags before using score.",IF(C470=0,"No matching defensive reps; film confirmation needed.",IF(K470="Explosive Alert","Explosive risk; review clips before using as answer.",IF(C470&lt;=2,"Track only; not enough sample.",IF(C470=3,IF(E470&gt;0,"Sample watch with explosive exposure; review clips and build the sample.",IF(J470&gt;=65,"Good signal, but sample is limited.","Sample watch; review clips and build the sample.")),IF(K470="Problem Call","Problem area; practice or call-sheet review.",IF(K470="Strong Candidate","Strong call-fit candidate; confirm on film.",IF(K470="Good Candidate","Good call-fit signal; confirm on film.","Mixed signal; review fit and execution on film."))))))))</f>
        <v>Track only; not enough sample.</v>
      </c>
      <c r="M470" s="8" t="s">
        <v>85</v>
      </c>
      <c r="N470" s="8"/>
      <c r="O470" s="8" t="s">
        <v>203</v>
      </c>
      <c r="P470" s="8"/>
      <c r="Q470" s="8"/>
      <c r="R470" s="8" t="s">
        <v>28</v>
      </c>
      <c r="S470" s="2" t="s">
        <v>244</v>
      </c>
      <c r="T470" s="2">
        <f>IF(C470=0,0,IF(C470&gt;=CALL_LOOKUP_BOARD!$B$7,IF(OR(K470="Problem Call",K470="Explosive Alert"),10000000,20000000),0)+IF(C470&gt;=CALL_LOOKUP_BOARD!$B$7,J470*1000+MIN(C470,999),C470*1000+J470)+0.00990400)</f>
        <v>1023.009904</v>
      </c>
      <c r="U470" s="2">
        <f>IF(C470=0,"",IF(COUNTIFS($S$375:$S$581,SUBSTITUTE(SUBSTITUTE(SUBSTITUTE(S470,"~","~~"),"*","~*"),"?","~?"),$T$375:$T$581,"&gt;"&amp;T470)=0,S470,""))</f>
        <v/>
      </c>
    </row>
    <row r="471" spans="1:21" ht="38" customHeight="1">
      <c r="A471" s="8" t="s">
        <v>243</v>
      </c>
      <c r="B471" s="8" t="s">
        <v>48</v>
      </c>
      <c r="C471" s="12">
        <f>COUNTIFS('DEF_SELF_SCOUT_IMPORT'!$L$42:$L$1040,"Y",'DEF_SELF_SCOUT_IMPORT'!$E$42:$E$1040,SUBSTITUTE(SUBSTITUTE(SUBSTITUTE($B471,"~","~~"),"*","~*"),"?","~?"),'DEF_SELF_SCOUT_IMPORT'!$Q$42:$Q$1040,SUBSTITUTE(SUBSTITUTE(SUBSTITUTE($M471,"~","~~"),"*","~*"),"?","~?"),'DEF_SELF_SCOUT_IMPORT'!$G$42:$G$1040,SUBSTITUTE(SUBSTITUTE(SUBSTITUTE($O471,"~","~~"),"*","~*"),"?","~?"))</f>
        <v>1</v>
      </c>
      <c r="D471" s="10">
        <f>IF($C471=0,"",SUMIFS('DEF_SELF_SCOUT_IMPORT'!$J$42:$J$1040,'DEF_SELF_SCOUT_IMPORT'!$L$42:$L$1040,"Y",'DEF_SELF_SCOUT_IMPORT'!$E$42:$E$1040,SUBSTITUTE(SUBSTITUTE(SUBSTITUTE($B471,"~","~~"),"*","~*"),"?","~?"),'DEF_SELF_SCOUT_IMPORT'!$Q$42:$Q$1040,SUBSTITUTE(SUBSTITUTE(SUBSTITUTE($M471,"~","~~"),"*","~*"),"?","~?"),'DEF_SELF_SCOUT_IMPORT'!$G$42:$G$1040,SUBSTITUTE(SUBSTITUTE(SUBSTITUTE($O471,"~","~~"),"*","~*"),"?","~?"))/$C471)</f>
        <v>0.0</v>
      </c>
      <c r="E471" s="10">
        <f>IF($C471=0,"",SUMIFS('DEF_SELF_SCOUT_IMPORT'!$K$42:$K$1040,'DEF_SELF_SCOUT_IMPORT'!$L$42:$L$1040,"Y",'DEF_SELF_SCOUT_IMPORT'!$E$42:$E$1040,SUBSTITUTE(SUBSTITUTE(SUBSTITUTE($B471,"~","~~"),"*","~*"),"?","~?"),'DEF_SELF_SCOUT_IMPORT'!$Q$42:$Q$1040,SUBSTITUTE(SUBSTITUTE(SUBSTITUTE($M471,"~","~~"),"*","~*"),"?","~?"),'DEF_SELF_SCOUT_IMPORT'!$G$42:$G$1040,SUBSTITUTE(SUBSTITUTE(SUBSTITUTE($O471,"~","~~"),"*","~*"),"?","~?"))/$C471)</f>
        <v>0.0</v>
      </c>
      <c r="F471" s="11">
        <f>IF($C471=0,"",AVERAGEIFS('DEF_SELF_SCOUT_IMPORT'!$I$42:$I$1040,'DEF_SELF_SCOUT_IMPORT'!$L$42:$L$1040,"Y",'DEF_SELF_SCOUT_IMPORT'!$E$42:$E$1040,SUBSTITUTE(SUBSTITUTE(SUBSTITUTE($B471,"~","~~"),"*","~*"),"?","~?"),'DEF_SELF_SCOUT_IMPORT'!$Q$42:$Q$1040,SUBSTITUTE(SUBSTITUTE(SUBSTITUTE($M471,"~","~~"),"*","~*"),"?","~?"),'DEF_SELF_SCOUT_IMPORT'!$G$42:$G$1040,SUBSTITUTE(SUBSTITUTE(SUBSTITUTE($O471,"~","~~"),"*","~*"),"?","~?")))</f>
        <v>11.0</v>
      </c>
      <c r="G471" s="10">
        <f>IF($C471=0,"",COUNTIFS('DEF_SELF_SCOUT_IMPORT'!$L$42:$L$1040,"Y",'DEF_SELF_SCOUT_IMPORT'!$E$42:$E$1040,SUBSTITUTE(SUBSTITUTE(SUBSTITUTE($B471,"~","~~"),"*","~*"),"?","~?"),'DEF_SELF_SCOUT_IMPORT'!$Q$42:$Q$1040,SUBSTITUTE(SUBSTITUTE(SUBSTITUTE($M471,"~","~~"),"*","~*"),"?","~?"),'DEF_SELF_SCOUT_IMPORT'!$G$42:$G$1040,SUBSTITUTE(SUBSTITUTE(SUBSTITUTE($O471,"~","~~"),"*","~*"),"?","~?"),'DEF_SELF_SCOUT_IMPORT'!$H$42:$H$1040,"RUSH")/$C471)</f>
        <v>1.0</v>
      </c>
      <c r="H471" s="10">
        <f>IF($C471=0,"",COUNTIFS('DEF_SELF_SCOUT_IMPORT'!$L$42:$L$1040,"Y",'DEF_SELF_SCOUT_IMPORT'!$E$42:$E$1040,SUBSTITUTE(SUBSTITUTE(SUBSTITUTE($B471,"~","~~"),"*","~*"),"?","~?"),'DEF_SELF_SCOUT_IMPORT'!$Q$42:$Q$1040,SUBSTITUTE(SUBSTITUTE(SUBSTITUTE($M471,"~","~~"),"*","~*"),"?","~?"),'DEF_SELF_SCOUT_IMPORT'!$G$42:$G$1040,SUBSTITUTE(SUBSTITUTE(SUBSTITUTE($O471,"~","~~"),"*","~*"),"?","~?"),'DEF_SELF_SCOUT_IMPORT'!$H$42:$H$1040,"DROPBACK")/$C471)</f>
        <v>0.0</v>
      </c>
      <c r="I471" s="14" t="str">
        <f>IF(C471=0,"",IF(C471&lt;=2,"TRACK",IF(C471=3,"LOW",IF(C471&lt;=6,"MEDIUM","HIGH"))))</f>
        <v>TRACK</v>
      </c>
      <c r="J471" s="11">
        <f>IF(C471=0,"",ROUND(D471*70+(1-E471)*20+MAX(0,MIN(1,(10-F471)/10))*10,1))</f>
        <v>20.0</v>
      </c>
      <c r="K471" s="14" t="str">
        <f>IF(C471=0,"No Evidence",IF(C471&lt;=2,IF(E471&gt;0,"Explosive Alert","Track Only"),IF(C471=3,"Sample Watch",IF(E471&gt;=START_HERE!$B$31,"Explosive Alert",IF(J471&gt;=80,"Strong Candidate",IF(J471&gt;=65,"Good Candidate",IF(J471&gt;=50,"Mixed / Review","Problem Call")))))))</f>
        <v>Track Only</v>
      </c>
      <c r="L471" s="9" t="str">
        <f>IF(COUNTIFS('DEF_SELF_SCOUT_IMPORT'!$L$42:$L$1040,"Y",'DEF_SELF_SCOUT_IMPORT'!$E$42:$E$1040,SUBSTITUTE(SUBSTITUTE(SUBSTITUTE($B471,"~","~~"),"*","~*"),"?","~?"),'DEF_SELF_SCOUT_IMPORT'!$Q$42:$Q$1040,SUBSTITUTE(SUBSTITUTE(SUBSTITUTE($M471,"~","~~"),"*","~*"),"?","~?"),'DEF_SELF_SCOUT_IMPORT'!$G$42:$G$1040,SUBSTITUTE(SUBSTITUTE(SUBSTITUTE($O471,"~","~~"),"*","~*"),"?","~?"),'DEF_SELF_SCOUT_IMPORT'!$J$42:$J$1040,"")&gt;0,"Unscored clean outcome; review result tags before using score.",IF(C471=0,"No matching defensive reps; film confirmation needed.",IF(K471="Explosive Alert","Explosive risk; review clips before using as answer.",IF(C471&lt;=2,"Track only; not enough sample.",IF(C471=3,IF(E471&gt;0,"Sample watch with explosive exposure; review clips and build the sample.",IF(J471&gt;=65,"Good signal, but sample is limited.","Sample watch; review clips and build the sample.")),IF(K471="Problem Call","Problem area; practice or call-sheet review.",IF(K471="Strong Candidate","Strong call-fit candidate; confirm on film.",IF(K471="Good Candidate","Good call-fit signal; confirm on film.","Mixed signal; review fit and execution on film."))))))))</f>
        <v>Track only; not enough sample.</v>
      </c>
      <c r="M471" s="8" t="s">
        <v>85</v>
      </c>
      <c r="N471" s="8"/>
      <c r="O471" s="8" t="s">
        <v>203</v>
      </c>
      <c r="P471" s="8"/>
      <c r="Q471" s="8"/>
      <c r="R471" s="8" t="s">
        <v>28</v>
      </c>
      <c r="S471" s="2" t="s">
        <v>244</v>
      </c>
      <c r="T471" s="2">
        <f>IF(C471=0,0,IF(C471&gt;=CALL_LOOKUP_BOARD!$B$7,IF(OR(K471="Problem Call",K471="Explosive Alert"),10000000,20000000),0)+IF(C471&gt;=CALL_LOOKUP_BOARD!$B$7,J471*1000+MIN(C471,999),C471*1000+J471)+0.00990300)</f>
        <v>1020.009903</v>
      </c>
      <c r="U471" s="2">
        <f>IF(C471=0,"",IF(COUNTIFS($S$375:$S$581,SUBSTITUTE(SUBSTITUTE(SUBSTITUTE(S471,"~","~~"),"*","~*"),"?","~?"),$T$375:$T$581,"&gt;"&amp;T471)=0,S471,""))</f>
        <v/>
      </c>
    </row>
    <row r="472" spans="1:21" ht="38" customHeight="1">
      <c r="A472" s="8" t="s">
        <v>243</v>
      </c>
      <c r="B472" s="8" t="s">
        <v>34</v>
      </c>
      <c r="C472" s="12">
        <f>COUNTIFS('DEF_SELF_SCOUT_IMPORT'!$L$42:$L$1040,"Y",'DEF_SELF_SCOUT_IMPORT'!$E$42:$E$1040,SUBSTITUTE(SUBSTITUTE(SUBSTITUTE($B472,"~","~~"),"*","~*"),"?","~?"),'DEF_SELF_SCOUT_IMPORT'!$Q$42:$Q$1040,SUBSTITUTE(SUBSTITUTE(SUBSTITUTE($M472,"~","~~"),"*","~*"),"?","~?"),'DEF_SELF_SCOUT_IMPORT'!$G$42:$G$1040,SUBSTITUTE(SUBSTITUTE(SUBSTITUTE($O472,"~","~~"),"*","~*"),"?","~?"))</f>
        <v>1</v>
      </c>
      <c r="D472" s="10">
        <f>IF($C472=0,"",SUMIFS('DEF_SELF_SCOUT_IMPORT'!$J$42:$J$1040,'DEF_SELF_SCOUT_IMPORT'!$L$42:$L$1040,"Y",'DEF_SELF_SCOUT_IMPORT'!$E$42:$E$1040,SUBSTITUTE(SUBSTITUTE(SUBSTITUTE($B472,"~","~~"),"*","~*"),"?","~?"),'DEF_SELF_SCOUT_IMPORT'!$Q$42:$Q$1040,SUBSTITUTE(SUBSTITUTE(SUBSTITUTE($M472,"~","~~"),"*","~*"),"?","~?"),'DEF_SELF_SCOUT_IMPORT'!$G$42:$G$1040,SUBSTITUTE(SUBSTITUTE(SUBSTITUTE($O472,"~","~~"),"*","~*"),"?","~?"))/$C472)</f>
        <v>0.0</v>
      </c>
      <c r="E472" s="10">
        <f>IF($C472=0,"",SUMIFS('DEF_SELF_SCOUT_IMPORT'!$K$42:$K$1040,'DEF_SELF_SCOUT_IMPORT'!$L$42:$L$1040,"Y",'DEF_SELF_SCOUT_IMPORT'!$E$42:$E$1040,SUBSTITUTE(SUBSTITUTE(SUBSTITUTE($B472,"~","~~"),"*","~*"),"?","~?"),'DEF_SELF_SCOUT_IMPORT'!$Q$42:$Q$1040,SUBSTITUTE(SUBSTITUTE(SUBSTITUTE($M472,"~","~~"),"*","~*"),"?","~?"),'DEF_SELF_SCOUT_IMPORT'!$G$42:$G$1040,SUBSTITUTE(SUBSTITUTE(SUBSTITUTE($O472,"~","~~"),"*","~*"),"?","~?"))/$C472)</f>
        <v>1.0</v>
      </c>
      <c r="F472" s="11">
        <f>IF($C472=0,"",AVERAGEIFS('DEF_SELF_SCOUT_IMPORT'!$I$42:$I$1040,'DEF_SELF_SCOUT_IMPORT'!$L$42:$L$1040,"Y",'DEF_SELF_SCOUT_IMPORT'!$E$42:$E$1040,SUBSTITUTE(SUBSTITUTE(SUBSTITUTE($B472,"~","~~"),"*","~*"),"?","~?"),'DEF_SELF_SCOUT_IMPORT'!$Q$42:$Q$1040,SUBSTITUTE(SUBSTITUTE(SUBSTITUTE($M472,"~","~~"),"*","~*"),"?","~?"),'DEF_SELF_SCOUT_IMPORT'!$G$42:$G$1040,SUBSTITUTE(SUBSTITUTE(SUBSTITUTE($O472,"~","~~"),"*","~*"),"?","~?")))</f>
        <v>12.0</v>
      </c>
      <c r="G472" s="10">
        <f>IF($C472=0,"",COUNTIFS('DEF_SELF_SCOUT_IMPORT'!$L$42:$L$1040,"Y",'DEF_SELF_SCOUT_IMPORT'!$E$42:$E$1040,SUBSTITUTE(SUBSTITUTE(SUBSTITUTE($B472,"~","~~"),"*","~*"),"?","~?"),'DEF_SELF_SCOUT_IMPORT'!$Q$42:$Q$1040,SUBSTITUTE(SUBSTITUTE(SUBSTITUTE($M472,"~","~~"),"*","~*"),"?","~?"),'DEF_SELF_SCOUT_IMPORT'!$G$42:$G$1040,SUBSTITUTE(SUBSTITUTE(SUBSTITUTE($O472,"~","~~"),"*","~*"),"?","~?"),'DEF_SELF_SCOUT_IMPORT'!$H$42:$H$1040,"RUSH")/$C472)</f>
        <v>1.0</v>
      </c>
      <c r="H472" s="10">
        <f>IF($C472=0,"",COUNTIFS('DEF_SELF_SCOUT_IMPORT'!$L$42:$L$1040,"Y",'DEF_SELF_SCOUT_IMPORT'!$E$42:$E$1040,SUBSTITUTE(SUBSTITUTE(SUBSTITUTE($B472,"~","~~"),"*","~*"),"?","~?"),'DEF_SELF_SCOUT_IMPORT'!$Q$42:$Q$1040,SUBSTITUTE(SUBSTITUTE(SUBSTITUTE($M472,"~","~~"),"*","~*"),"?","~?"),'DEF_SELF_SCOUT_IMPORT'!$G$42:$G$1040,SUBSTITUTE(SUBSTITUTE(SUBSTITUTE($O472,"~","~~"),"*","~*"),"?","~?"),'DEF_SELF_SCOUT_IMPORT'!$H$42:$H$1040,"DROPBACK")/$C472)</f>
        <v>0.0</v>
      </c>
      <c r="I472" s="14" t="str">
        <f>IF(C472=0,"",IF(C472&lt;=2,"TRACK",IF(C472=3,"LOW",IF(C472&lt;=6,"MEDIUM","HIGH"))))</f>
        <v>TRACK</v>
      </c>
      <c r="J472" s="11">
        <f>IF(C472=0,"",ROUND(D472*70+(1-E472)*20+MAX(0,MIN(1,(10-F472)/10))*10,1))</f>
        <v>0.0</v>
      </c>
      <c r="K472" s="14" t="str">
        <f>IF(C472=0,"No Evidence",IF(C472&lt;=2,IF(E472&gt;0,"Explosive Alert","Track Only"),IF(C472=3,"Sample Watch",IF(E472&gt;=START_HERE!$B$31,"Explosive Alert",IF(J472&gt;=80,"Strong Candidate",IF(J472&gt;=65,"Good Candidate",IF(J472&gt;=50,"Mixed / Review","Problem Call")))))))</f>
        <v>Explosive Alert</v>
      </c>
      <c r="L472" s="9" t="str">
        <f>IF(COUNTIFS('DEF_SELF_SCOUT_IMPORT'!$L$42:$L$1040,"Y",'DEF_SELF_SCOUT_IMPORT'!$E$42:$E$1040,SUBSTITUTE(SUBSTITUTE(SUBSTITUTE($B472,"~","~~"),"*","~*"),"?","~?"),'DEF_SELF_SCOUT_IMPORT'!$Q$42:$Q$1040,SUBSTITUTE(SUBSTITUTE(SUBSTITUTE($M472,"~","~~"),"*","~*"),"?","~?"),'DEF_SELF_SCOUT_IMPORT'!$G$42:$G$1040,SUBSTITUTE(SUBSTITUTE(SUBSTITUTE($O472,"~","~~"),"*","~*"),"?","~?"),'DEF_SELF_SCOUT_IMPORT'!$J$42:$J$1040,"")&gt;0,"Unscored clean outcome; review result tags before using score.",IF(C472=0,"No matching defensive reps; film confirmation needed.",IF(K472="Explosive Alert","Explosive risk; review clips before using as answer.",IF(C472&lt;=2,"Track only; not enough sample.",IF(C472=3,IF(E472&gt;0,"Sample watch with explosive exposure; review clips and build the sample.",IF(J472&gt;=65,"Good signal, but sample is limited.","Sample watch; review clips and build the sample.")),IF(K472="Problem Call","Problem area; practice or call-sheet review.",IF(K472="Strong Candidate","Strong call-fit candidate; confirm on film.",IF(K472="Good Candidate","Good call-fit signal; confirm on film.","Mixed signal; review fit and execution on film."))))))))</f>
        <v>Explosive risk; review clips before using as answer.</v>
      </c>
      <c r="M472" s="8" t="s">
        <v>85</v>
      </c>
      <c r="N472" s="8"/>
      <c r="O472" s="8" t="s">
        <v>203</v>
      </c>
      <c r="P472" s="8"/>
      <c r="Q472" s="8"/>
      <c r="R472" s="8" t="s">
        <v>28</v>
      </c>
      <c r="S472" s="2" t="s">
        <v>244</v>
      </c>
      <c r="T472" s="2">
        <f>IF(C472=0,0,IF(C472&gt;=CALL_LOOKUP_BOARD!$B$7,IF(OR(K472="Problem Call",K472="Explosive Alert"),10000000,20000000),0)+IF(C472&gt;=CALL_LOOKUP_BOARD!$B$7,J472*1000+MIN(C472,999),C472*1000+J472)+0.00990200)</f>
        <v>1000.009902</v>
      </c>
      <c r="U472" s="2">
        <f>IF(C472=0,"",IF(COUNTIFS($S$375:$S$581,SUBSTITUTE(SUBSTITUTE(SUBSTITUTE(S472,"~","~~"),"*","~*"),"?","~?"),$T$375:$T$581,"&gt;"&amp;T472)=0,S472,""))</f>
        <v/>
      </c>
    </row>
    <row r="473" spans="1:21" ht="38" customHeight="1">
      <c r="A473" s="8" t="s">
        <v>243</v>
      </c>
      <c r="B473" s="8" t="s">
        <v>79</v>
      </c>
      <c r="C473" s="12">
        <f>COUNTIFS('DEF_SELF_SCOUT_IMPORT'!$L$42:$L$1040,"Y",'DEF_SELF_SCOUT_IMPORT'!$E$42:$E$1040,SUBSTITUTE(SUBSTITUTE(SUBSTITUTE($B473,"~","~~"),"*","~*"),"?","~?"),'DEF_SELF_SCOUT_IMPORT'!$Q$42:$Q$1040,SUBSTITUTE(SUBSTITUTE(SUBSTITUTE($M473,"~","~~"),"*","~*"),"?","~?"),'DEF_SELF_SCOUT_IMPORT'!$G$42:$G$1040,SUBSTITUTE(SUBSTITUTE(SUBSTITUTE($O473,"~","~~"),"*","~*"),"?","~?"))</f>
        <v>1</v>
      </c>
      <c r="D473" s="10">
        <f>IF($C473=0,"",SUMIFS('DEF_SELF_SCOUT_IMPORT'!$J$42:$J$1040,'DEF_SELF_SCOUT_IMPORT'!$L$42:$L$1040,"Y",'DEF_SELF_SCOUT_IMPORT'!$E$42:$E$1040,SUBSTITUTE(SUBSTITUTE(SUBSTITUTE($B473,"~","~~"),"*","~*"),"?","~?"),'DEF_SELF_SCOUT_IMPORT'!$Q$42:$Q$1040,SUBSTITUTE(SUBSTITUTE(SUBSTITUTE($M473,"~","~~"),"*","~*"),"?","~?"),'DEF_SELF_SCOUT_IMPORT'!$G$42:$G$1040,SUBSTITUTE(SUBSTITUTE(SUBSTITUTE($O473,"~","~~"),"*","~*"),"?","~?"))/$C473)</f>
        <v>1.0</v>
      </c>
      <c r="E473" s="10">
        <f>IF($C473=0,"",SUMIFS('DEF_SELF_SCOUT_IMPORT'!$K$42:$K$1040,'DEF_SELF_SCOUT_IMPORT'!$L$42:$L$1040,"Y",'DEF_SELF_SCOUT_IMPORT'!$E$42:$E$1040,SUBSTITUTE(SUBSTITUTE(SUBSTITUTE($B473,"~","~~"),"*","~*"),"?","~?"),'DEF_SELF_SCOUT_IMPORT'!$Q$42:$Q$1040,SUBSTITUTE(SUBSTITUTE(SUBSTITUTE($M473,"~","~~"),"*","~*"),"?","~?"),'DEF_SELF_SCOUT_IMPORT'!$G$42:$G$1040,SUBSTITUTE(SUBSTITUTE(SUBSTITUTE($O473,"~","~~"),"*","~*"),"?","~?"))/$C473)</f>
        <v>0.0</v>
      </c>
      <c r="F473" s="11">
        <f>IF($C473=0,"",AVERAGEIFS('DEF_SELF_SCOUT_IMPORT'!$I$42:$I$1040,'DEF_SELF_SCOUT_IMPORT'!$L$42:$L$1040,"Y",'DEF_SELF_SCOUT_IMPORT'!$E$42:$E$1040,SUBSTITUTE(SUBSTITUTE(SUBSTITUTE($B473,"~","~~"),"*","~*"),"?","~?"),'DEF_SELF_SCOUT_IMPORT'!$Q$42:$Q$1040,SUBSTITUTE(SUBSTITUTE(SUBSTITUTE($M473,"~","~~"),"*","~*"),"?","~?"),'DEF_SELF_SCOUT_IMPORT'!$G$42:$G$1040,SUBSTITUTE(SUBSTITUTE(SUBSTITUTE($O473,"~","~~"),"*","~*"),"?","~?")))</f>
        <v>0.0</v>
      </c>
      <c r="G473" s="10">
        <f>IF($C473=0,"",COUNTIFS('DEF_SELF_SCOUT_IMPORT'!$L$42:$L$1040,"Y",'DEF_SELF_SCOUT_IMPORT'!$E$42:$E$1040,SUBSTITUTE(SUBSTITUTE(SUBSTITUTE($B473,"~","~~"),"*","~*"),"?","~?"),'DEF_SELF_SCOUT_IMPORT'!$Q$42:$Q$1040,SUBSTITUTE(SUBSTITUTE(SUBSTITUTE($M473,"~","~~"),"*","~*"),"?","~?"),'DEF_SELF_SCOUT_IMPORT'!$G$42:$G$1040,SUBSTITUTE(SUBSTITUTE(SUBSTITUTE($O473,"~","~~"),"*","~*"),"?","~?"),'DEF_SELF_SCOUT_IMPORT'!$H$42:$H$1040,"RUSH")/$C473)</f>
        <v>0.0</v>
      </c>
      <c r="H473" s="10">
        <f>IF($C473=0,"",COUNTIFS('DEF_SELF_SCOUT_IMPORT'!$L$42:$L$1040,"Y",'DEF_SELF_SCOUT_IMPORT'!$E$42:$E$1040,SUBSTITUTE(SUBSTITUTE(SUBSTITUTE($B473,"~","~~"),"*","~*"),"?","~?"),'DEF_SELF_SCOUT_IMPORT'!$Q$42:$Q$1040,SUBSTITUTE(SUBSTITUTE(SUBSTITUTE($M473,"~","~~"),"*","~*"),"?","~?"),'DEF_SELF_SCOUT_IMPORT'!$G$42:$G$1040,SUBSTITUTE(SUBSTITUTE(SUBSTITUTE($O473,"~","~~"),"*","~*"),"?","~?"),'DEF_SELF_SCOUT_IMPORT'!$H$42:$H$1040,"DROPBACK")/$C473)</f>
        <v>1.0</v>
      </c>
      <c r="I473" s="14" t="str">
        <f>IF(C473=0,"",IF(C473&lt;=2,"TRACK",IF(C473=3,"LOW",IF(C473&lt;=6,"MEDIUM","HIGH"))))</f>
        <v>TRACK</v>
      </c>
      <c r="J473" s="11">
        <f>IF(C473=0,"",ROUND(D473*70+(1-E473)*20+MAX(0,MIN(1,(10-F473)/10))*10,1))</f>
        <v>100.0</v>
      </c>
      <c r="K473" s="14" t="str">
        <f>IF(C473=0,"No Evidence",IF(C473&lt;=2,IF(E473&gt;0,"Explosive Alert","Track Only"),IF(C473=3,"Sample Watch",IF(E473&gt;=START_HERE!$B$31,"Explosive Alert",IF(J473&gt;=80,"Strong Candidate",IF(J473&gt;=65,"Good Candidate",IF(J473&gt;=50,"Mixed / Review","Problem Call")))))))</f>
        <v>Track Only</v>
      </c>
      <c r="L473" s="9" t="str">
        <f>IF(COUNTIFS('DEF_SELF_SCOUT_IMPORT'!$L$42:$L$1040,"Y",'DEF_SELF_SCOUT_IMPORT'!$E$42:$E$1040,SUBSTITUTE(SUBSTITUTE(SUBSTITUTE($B473,"~","~~"),"*","~*"),"?","~?"),'DEF_SELF_SCOUT_IMPORT'!$Q$42:$Q$1040,SUBSTITUTE(SUBSTITUTE(SUBSTITUTE($M473,"~","~~"),"*","~*"),"?","~?"),'DEF_SELF_SCOUT_IMPORT'!$G$42:$G$1040,SUBSTITUTE(SUBSTITUTE(SUBSTITUTE($O473,"~","~~"),"*","~*"),"?","~?"),'DEF_SELF_SCOUT_IMPORT'!$J$42:$J$1040,"")&gt;0,"Unscored clean outcome; review result tags before using score.",IF(C473=0,"No matching defensive reps; film confirmation needed.",IF(K473="Explosive Alert","Explosive risk; review clips before using as answer.",IF(C473&lt;=2,"Track only; not enough sample.",IF(C473=3,IF(E473&gt;0,"Sample watch with explosive exposure; review clips and build the sample.",IF(J473&gt;=65,"Good signal, but sample is limited.","Sample watch; review clips and build the sample.")),IF(K473="Problem Call","Problem area; practice or call-sheet review.",IF(K473="Strong Candidate","Strong call-fit candidate; confirm on film.",IF(K473="Good Candidate","Good call-fit signal; confirm on film.","Mixed signal; review fit and execution on film."))))))))</f>
        <v>Track only; not enough sample.</v>
      </c>
      <c r="M473" s="8" t="s">
        <v>85</v>
      </c>
      <c r="N473" s="8"/>
      <c r="O473" s="8" t="s">
        <v>203</v>
      </c>
      <c r="P473" s="8"/>
      <c r="Q473" s="8"/>
      <c r="R473" s="8" t="s">
        <v>28</v>
      </c>
      <c r="S473" s="2" t="s">
        <v>244</v>
      </c>
      <c r="T473" s="2">
        <f>IF(C473=0,0,IF(C473&gt;=CALL_LOOKUP_BOARD!$B$7,IF(OR(K473="Problem Call",K473="Explosive Alert"),10000000,20000000),0)+IF(C473&gt;=CALL_LOOKUP_BOARD!$B$7,J473*1000+MIN(C473,999),C473*1000+J473)+0.00990100)</f>
        <v>1100.009901</v>
      </c>
      <c r="U473" s="2" t="str">
        <f>IF(C473=0,"",IF(COUNTIFS($S$375:$S$581,SUBSTITUTE(SUBSTITUTE(SUBSTITUTE(S473,"~","~~"),"*","~*"),"?","~?"),$T$375:$T$581,"&gt;"&amp;T473)=0,S473,""))</f>
        <v>7:2D 7-10|3:2X2|</v>
      </c>
    </row>
    <row r="474" spans="1:21" ht="38" customHeight="1">
      <c r="A474" s="8" t="s">
        <v>243</v>
      </c>
      <c r="B474" s="8" t="s">
        <v>51</v>
      </c>
      <c r="C474" s="12">
        <f>COUNTIFS('DEF_SELF_SCOUT_IMPORT'!$L$42:$L$1040,"Y",'DEF_SELF_SCOUT_IMPORT'!$E$42:$E$1040,SUBSTITUTE(SUBSTITUTE(SUBSTITUTE($B474,"~","~~"),"*","~*"),"?","~?"),'DEF_SELF_SCOUT_IMPORT'!$Q$42:$Q$1040,SUBSTITUTE(SUBSTITUTE(SUBSTITUTE($M474,"~","~~"),"*","~*"),"?","~?"),'DEF_SELF_SCOUT_IMPORT'!$G$42:$G$1040,SUBSTITUTE(SUBSTITUTE(SUBSTITUTE($O474,"~","~~"),"*","~*"),"?","~?"))</f>
        <v>1</v>
      </c>
      <c r="D474" s="10">
        <f>IF($C474=0,"",SUMIFS('DEF_SELF_SCOUT_IMPORT'!$J$42:$J$1040,'DEF_SELF_SCOUT_IMPORT'!$L$42:$L$1040,"Y",'DEF_SELF_SCOUT_IMPORT'!$E$42:$E$1040,SUBSTITUTE(SUBSTITUTE(SUBSTITUTE($B474,"~","~~"),"*","~*"),"?","~?"),'DEF_SELF_SCOUT_IMPORT'!$Q$42:$Q$1040,SUBSTITUTE(SUBSTITUTE(SUBSTITUTE($M474,"~","~~"),"*","~*"),"?","~?"),'DEF_SELF_SCOUT_IMPORT'!$G$42:$G$1040,SUBSTITUTE(SUBSTITUTE(SUBSTITUTE($O474,"~","~~"),"*","~*"),"?","~?"))/$C474)</f>
        <v>0.0</v>
      </c>
      <c r="E474" s="10">
        <f>IF($C474=0,"",SUMIFS('DEF_SELF_SCOUT_IMPORT'!$K$42:$K$1040,'DEF_SELF_SCOUT_IMPORT'!$L$42:$L$1040,"Y",'DEF_SELF_SCOUT_IMPORT'!$E$42:$E$1040,SUBSTITUTE(SUBSTITUTE(SUBSTITUTE($B474,"~","~~"),"*","~*"),"?","~?"),'DEF_SELF_SCOUT_IMPORT'!$Q$42:$Q$1040,SUBSTITUTE(SUBSTITUTE(SUBSTITUTE($M474,"~","~~"),"*","~*"),"?","~?"),'DEF_SELF_SCOUT_IMPORT'!$G$42:$G$1040,SUBSTITUTE(SUBSTITUTE(SUBSTITUTE($O474,"~","~~"),"*","~*"),"?","~?"))/$C474)</f>
        <v>1.0</v>
      </c>
      <c r="F474" s="11">
        <f>IF($C474=0,"",AVERAGEIFS('DEF_SELF_SCOUT_IMPORT'!$I$42:$I$1040,'DEF_SELF_SCOUT_IMPORT'!$L$42:$L$1040,"Y",'DEF_SELF_SCOUT_IMPORT'!$E$42:$E$1040,SUBSTITUTE(SUBSTITUTE(SUBSTITUTE($B474,"~","~~"),"*","~*"),"?","~?"),'DEF_SELF_SCOUT_IMPORT'!$Q$42:$Q$1040,SUBSTITUTE(SUBSTITUTE(SUBSTITUTE($M474,"~","~~"),"*","~*"),"?","~?"),'DEF_SELF_SCOUT_IMPORT'!$G$42:$G$1040,SUBSTITUTE(SUBSTITUTE(SUBSTITUTE($O474,"~","~~"),"*","~*"),"?","~?")))</f>
        <v>19.0</v>
      </c>
      <c r="G474" s="10">
        <f>IF($C474=0,"",COUNTIFS('DEF_SELF_SCOUT_IMPORT'!$L$42:$L$1040,"Y",'DEF_SELF_SCOUT_IMPORT'!$E$42:$E$1040,SUBSTITUTE(SUBSTITUTE(SUBSTITUTE($B474,"~","~~"),"*","~*"),"?","~?"),'DEF_SELF_SCOUT_IMPORT'!$Q$42:$Q$1040,SUBSTITUTE(SUBSTITUTE(SUBSTITUTE($M474,"~","~~"),"*","~*"),"?","~?"),'DEF_SELF_SCOUT_IMPORT'!$G$42:$G$1040,SUBSTITUTE(SUBSTITUTE(SUBSTITUTE($O474,"~","~~"),"*","~*"),"?","~?"),'DEF_SELF_SCOUT_IMPORT'!$H$42:$H$1040,"RUSH")/$C474)</f>
        <v>0.0</v>
      </c>
      <c r="H474" s="10">
        <f>IF($C474=0,"",COUNTIFS('DEF_SELF_SCOUT_IMPORT'!$L$42:$L$1040,"Y",'DEF_SELF_SCOUT_IMPORT'!$E$42:$E$1040,SUBSTITUTE(SUBSTITUTE(SUBSTITUTE($B474,"~","~~"),"*","~*"),"?","~?"),'DEF_SELF_SCOUT_IMPORT'!$Q$42:$Q$1040,SUBSTITUTE(SUBSTITUTE(SUBSTITUTE($M474,"~","~~"),"*","~*"),"?","~?"),'DEF_SELF_SCOUT_IMPORT'!$G$42:$G$1040,SUBSTITUTE(SUBSTITUTE(SUBSTITUTE($O474,"~","~~"),"*","~*"),"?","~?"),'DEF_SELF_SCOUT_IMPORT'!$H$42:$H$1040,"DROPBACK")/$C474)</f>
        <v>1.0</v>
      </c>
      <c r="I474" s="14" t="str">
        <f>IF(C474=0,"",IF(C474&lt;=2,"TRACK",IF(C474=3,"LOW",IF(C474&lt;=6,"MEDIUM","HIGH"))))</f>
        <v>TRACK</v>
      </c>
      <c r="J474" s="11">
        <f>IF(C474=0,"",ROUND(D474*70+(1-E474)*20+MAX(0,MIN(1,(10-F474)/10))*10,1))</f>
        <v>0.0</v>
      </c>
      <c r="K474" s="14" t="str">
        <f>IF(C474=0,"No Evidence",IF(C474&lt;=2,IF(E474&gt;0,"Explosive Alert","Track Only"),IF(C474=3,"Sample Watch",IF(E474&gt;=START_HERE!$B$31,"Explosive Alert",IF(J474&gt;=80,"Strong Candidate",IF(J474&gt;=65,"Good Candidate",IF(J474&gt;=50,"Mixed / Review","Problem Call")))))))</f>
        <v>Explosive Alert</v>
      </c>
      <c r="L474" s="9" t="str">
        <f>IF(COUNTIFS('DEF_SELF_SCOUT_IMPORT'!$L$42:$L$1040,"Y",'DEF_SELF_SCOUT_IMPORT'!$E$42:$E$1040,SUBSTITUTE(SUBSTITUTE(SUBSTITUTE($B474,"~","~~"),"*","~*"),"?","~?"),'DEF_SELF_SCOUT_IMPORT'!$Q$42:$Q$1040,SUBSTITUTE(SUBSTITUTE(SUBSTITUTE($M474,"~","~~"),"*","~*"),"?","~?"),'DEF_SELF_SCOUT_IMPORT'!$G$42:$G$1040,SUBSTITUTE(SUBSTITUTE(SUBSTITUTE($O474,"~","~~"),"*","~*"),"?","~?"),'DEF_SELF_SCOUT_IMPORT'!$J$42:$J$1040,"")&gt;0,"Unscored clean outcome; review result tags before using score.",IF(C474=0,"No matching defensive reps; film confirmation needed.",IF(K474="Explosive Alert","Explosive risk; review clips before using as answer.",IF(C474&lt;=2,"Track only; not enough sample.",IF(C474=3,IF(E474&gt;0,"Sample watch with explosive exposure; review clips and build the sample.",IF(J474&gt;=65,"Good signal, but sample is limited.","Sample watch; review clips and build the sample.")),IF(K474="Problem Call","Problem area; practice or call-sheet review.",IF(K474="Strong Candidate","Strong call-fit candidate; confirm on film.",IF(K474="Good Candidate","Good call-fit signal; confirm on film.","Mixed signal; review fit and execution on film."))))))))</f>
        <v>Explosive risk; review clips before using as answer.</v>
      </c>
      <c r="M474" s="8" t="s">
        <v>85</v>
      </c>
      <c r="N474" s="8"/>
      <c r="O474" s="8" t="s">
        <v>203</v>
      </c>
      <c r="P474" s="8"/>
      <c r="Q474" s="8"/>
      <c r="R474" s="8" t="s">
        <v>28</v>
      </c>
      <c r="S474" s="2" t="s">
        <v>244</v>
      </c>
      <c r="T474" s="2">
        <f>IF(C474=0,0,IF(C474&gt;=CALL_LOOKUP_BOARD!$B$7,IF(OR(K474="Problem Call",K474="Explosive Alert"),10000000,20000000),0)+IF(C474&gt;=CALL_LOOKUP_BOARD!$B$7,J474*1000+MIN(C474,999),C474*1000+J474)+0.00990000)</f>
        <v>1000.0099</v>
      </c>
      <c r="U474" s="2">
        <f>IF(C474=0,"",IF(COUNTIFS($S$375:$S$581,SUBSTITUTE(SUBSTITUTE(SUBSTITUTE(S474,"~","~~"),"*","~*"),"?","~?"),$T$375:$T$581,"&gt;"&amp;T474)=0,S474,""))</f>
        <v/>
      </c>
    </row>
    <row r="475" spans="1:21" ht="38" customHeight="1">
      <c r="A475" s="8" t="s">
        <v>243</v>
      </c>
      <c r="B475" s="8" t="s">
        <v>53</v>
      </c>
      <c r="C475" s="12">
        <f>COUNTIFS('DEF_SELF_SCOUT_IMPORT'!$L$42:$L$1040,"Y",'DEF_SELF_SCOUT_IMPORT'!$E$42:$E$1040,SUBSTITUTE(SUBSTITUTE(SUBSTITUTE($B475,"~","~~"),"*","~*"),"?","~?"),'DEF_SELF_SCOUT_IMPORT'!$Q$42:$Q$1040,SUBSTITUTE(SUBSTITUTE(SUBSTITUTE($M475,"~","~~"),"*","~*"),"?","~?"),'DEF_SELF_SCOUT_IMPORT'!$G$42:$G$1040,SUBSTITUTE(SUBSTITUTE(SUBSTITUTE($O475,"~","~~"),"*","~*"),"?","~?"))</f>
        <v>1</v>
      </c>
      <c r="D475" s="10">
        <f>IF($C475=0,"",SUMIFS('DEF_SELF_SCOUT_IMPORT'!$J$42:$J$1040,'DEF_SELF_SCOUT_IMPORT'!$L$42:$L$1040,"Y",'DEF_SELF_SCOUT_IMPORT'!$E$42:$E$1040,SUBSTITUTE(SUBSTITUTE(SUBSTITUTE($B475,"~","~~"),"*","~*"),"?","~?"),'DEF_SELF_SCOUT_IMPORT'!$Q$42:$Q$1040,SUBSTITUTE(SUBSTITUTE(SUBSTITUTE($M475,"~","~~"),"*","~*"),"?","~?"),'DEF_SELF_SCOUT_IMPORT'!$G$42:$G$1040,SUBSTITUTE(SUBSTITUTE(SUBSTITUTE($O475,"~","~~"),"*","~*"),"?","~?"))/$C475)</f>
        <v>1.0</v>
      </c>
      <c r="E475" s="10">
        <f>IF($C475=0,"",SUMIFS('DEF_SELF_SCOUT_IMPORT'!$K$42:$K$1040,'DEF_SELF_SCOUT_IMPORT'!$L$42:$L$1040,"Y",'DEF_SELF_SCOUT_IMPORT'!$E$42:$E$1040,SUBSTITUTE(SUBSTITUTE(SUBSTITUTE($B475,"~","~~"),"*","~*"),"?","~?"),'DEF_SELF_SCOUT_IMPORT'!$Q$42:$Q$1040,SUBSTITUTE(SUBSTITUTE(SUBSTITUTE($M475,"~","~~"),"*","~*"),"?","~?"),'DEF_SELF_SCOUT_IMPORT'!$G$42:$G$1040,SUBSTITUTE(SUBSTITUTE(SUBSTITUTE($O475,"~","~~"),"*","~*"),"?","~?"))/$C475)</f>
        <v>0.0</v>
      </c>
      <c r="F475" s="11">
        <f>IF($C475=0,"",AVERAGEIFS('DEF_SELF_SCOUT_IMPORT'!$I$42:$I$1040,'DEF_SELF_SCOUT_IMPORT'!$L$42:$L$1040,"Y",'DEF_SELF_SCOUT_IMPORT'!$E$42:$E$1040,SUBSTITUTE(SUBSTITUTE(SUBSTITUTE($B475,"~","~~"),"*","~*"),"?","~?"),'DEF_SELF_SCOUT_IMPORT'!$Q$42:$Q$1040,SUBSTITUTE(SUBSTITUTE(SUBSTITUTE($M475,"~","~~"),"*","~*"),"?","~?"),'DEF_SELF_SCOUT_IMPORT'!$G$42:$G$1040,SUBSTITUTE(SUBSTITUTE(SUBSTITUTE($O475,"~","~~"),"*","~*"),"?","~?")))</f>
        <v>6.0</v>
      </c>
      <c r="G475" s="10">
        <f>IF($C475=0,"",COUNTIFS('DEF_SELF_SCOUT_IMPORT'!$L$42:$L$1040,"Y",'DEF_SELF_SCOUT_IMPORT'!$E$42:$E$1040,SUBSTITUTE(SUBSTITUTE(SUBSTITUTE($B475,"~","~~"),"*","~*"),"?","~?"),'DEF_SELF_SCOUT_IMPORT'!$Q$42:$Q$1040,SUBSTITUTE(SUBSTITUTE(SUBSTITUTE($M475,"~","~~"),"*","~*"),"?","~?"),'DEF_SELF_SCOUT_IMPORT'!$G$42:$G$1040,SUBSTITUTE(SUBSTITUTE(SUBSTITUTE($O475,"~","~~"),"*","~*"),"?","~?"),'DEF_SELF_SCOUT_IMPORT'!$H$42:$H$1040,"RUSH")/$C475)</f>
        <v>0.0</v>
      </c>
      <c r="H475" s="10">
        <f>IF($C475=0,"",COUNTIFS('DEF_SELF_SCOUT_IMPORT'!$L$42:$L$1040,"Y",'DEF_SELF_SCOUT_IMPORT'!$E$42:$E$1040,SUBSTITUTE(SUBSTITUTE(SUBSTITUTE($B475,"~","~~"),"*","~*"),"?","~?"),'DEF_SELF_SCOUT_IMPORT'!$Q$42:$Q$1040,SUBSTITUTE(SUBSTITUTE(SUBSTITUTE($M475,"~","~~"),"*","~*"),"?","~?"),'DEF_SELF_SCOUT_IMPORT'!$G$42:$G$1040,SUBSTITUTE(SUBSTITUTE(SUBSTITUTE($O475,"~","~~"),"*","~*"),"?","~?"),'DEF_SELF_SCOUT_IMPORT'!$H$42:$H$1040,"DROPBACK")/$C475)</f>
        <v>1.0</v>
      </c>
      <c r="I475" s="14" t="str">
        <f>IF(C475=0,"",IF(C475&lt;=2,"TRACK",IF(C475=3,"LOW",IF(C475&lt;=6,"MEDIUM","HIGH"))))</f>
        <v>TRACK</v>
      </c>
      <c r="J475" s="11">
        <f>IF(C475=0,"",ROUND(D475*70+(1-E475)*20+MAX(0,MIN(1,(10-F475)/10))*10,1))</f>
        <v>94.0</v>
      </c>
      <c r="K475" s="14" t="str">
        <f>IF(C475=0,"No Evidence",IF(C475&lt;=2,IF(E475&gt;0,"Explosive Alert","Track Only"),IF(C475=3,"Sample Watch",IF(E475&gt;=START_HERE!$B$31,"Explosive Alert",IF(J475&gt;=80,"Strong Candidate",IF(J475&gt;=65,"Good Candidate",IF(J475&gt;=50,"Mixed / Review","Problem Call")))))))</f>
        <v>Track Only</v>
      </c>
      <c r="L475" s="9" t="str">
        <f>IF(COUNTIFS('DEF_SELF_SCOUT_IMPORT'!$L$42:$L$1040,"Y",'DEF_SELF_SCOUT_IMPORT'!$E$42:$E$1040,SUBSTITUTE(SUBSTITUTE(SUBSTITUTE($B475,"~","~~"),"*","~*"),"?","~?"),'DEF_SELF_SCOUT_IMPORT'!$Q$42:$Q$1040,SUBSTITUTE(SUBSTITUTE(SUBSTITUTE($M475,"~","~~"),"*","~*"),"?","~?"),'DEF_SELF_SCOUT_IMPORT'!$G$42:$G$1040,SUBSTITUTE(SUBSTITUTE(SUBSTITUTE($O475,"~","~~"),"*","~*"),"?","~?"),'DEF_SELF_SCOUT_IMPORT'!$J$42:$J$1040,"")&gt;0,"Unscored clean outcome; review result tags before using score.",IF(C475=0,"No matching defensive reps; film confirmation needed.",IF(K475="Explosive Alert","Explosive risk; review clips before using as answer.",IF(C475&lt;=2,"Track only; not enough sample.",IF(C475=3,IF(E475&gt;0,"Sample watch with explosive exposure; review clips and build the sample.",IF(J475&gt;=65,"Good signal, but sample is limited.","Sample watch; review clips and build the sample.")),IF(K475="Problem Call","Problem area; practice or call-sheet review.",IF(K475="Strong Candidate","Strong call-fit candidate; confirm on film.",IF(K475="Good Candidate","Good call-fit signal; confirm on film.","Mixed signal; review fit and execution on film."))))))))</f>
        <v>Track only; not enough sample.</v>
      </c>
      <c r="M475" s="8" t="s">
        <v>85</v>
      </c>
      <c r="N475" s="8"/>
      <c r="O475" s="8" t="s">
        <v>203</v>
      </c>
      <c r="P475" s="8"/>
      <c r="Q475" s="8"/>
      <c r="R475" s="8" t="s">
        <v>28</v>
      </c>
      <c r="S475" s="2" t="s">
        <v>244</v>
      </c>
      <c r="T475" s="2">
        <f>IF(C475=0,0,IF(C475&gt;=CALL_LOOKUP_BOARD!$B$7,IF(OR(K475="Problem Call",K475="Explosive Alert"),10000000,20000000),0)+IF(C475&gt;=CALL_LOOKUP_BOARD!$B$7,J475*1000+MIN(C475,999),C475*1000+J475)+0.00989900)</f>
        <v>1094.009899</v>
      </c>
      <c r="U475" s="2">
        <f>IF(C475=0,"",IF(COUNTIFS($S$375:$S$581,SUBSTITUTE(SUBSTITUTE(SUBSTITUTE(S475,"~","~~"),"*","~*"),"?","~?"),$T$375:$T$581,"&gt;"&amp;T475)=0,S475,""))</f>
        <v/>
      </c>
    </row>
    <row r="476" spans="1:21" ht="38" customHeight="1">
      <c r="A476" s="8" t="s">
        <v>243</v>
      </c>
      <c r="B476" s="8" t="s">
        <v>56</v>
      </c>
      <c r="C476" s="12">
        <f>COUNTIFS('DEF_SELF_SCOUT_IMPORT'!$L$42:$L$1040,"Y",'DEF_SELF_SCOUT_IMPORT'!$E$42:$E$1040,SUBSTITUTE(SUBSTITUTE(SUBSTITUTE($B476,"~","~~"),"*","~*"),"?","~?"),'DEF_SELF_SCOUT_IMPORT'!$Q$42:$Q$1040,SUBSTITUTE(SUBSTITUTE(SUBSTITUTE($M476,"~","~~"),"*","~*"),"?","~?"),'DEF_SELF_SCOUT_IMPORT'!$G$42:$G$1040,SUBSTITUTE(SUBSTITUTE(SUBSTITUTE($O476,"~","~~"),"*","~*"),"?","~?"))</f>
        <v>1</v>
      </c>
      <c r="D476" s="10">
        <f>IF($C476=0,"",SUMIFS('DEF_SELF_SCOUT_IMPORT'!$J$42:$J$1040,'DEF_SELF_SCOUT_IMPORT'!$L$42:$L$1040,"Y",'DEF_SELF_SCOUT_IMPORT'!$E$42:$E$1040,SUBSTITUTE(SUBSTITUTE(SUBSTITUTE($B476,"~","~~"),"*","~*"),"?","~?"),'DEF_SELF_SCOUT_IMPORT'!$Q$42:$Q$1040,SUBSTITUTE(SUBSTITUTE(SUBSTITUTE($M476,"~","~~"),"*","~*"),"?","~?"),'DEF_SELF_SCOUT_IMPORT'!$G$42:$G$1040,SUBSTITUTE(SUBSTITUTE(SUBSTITUTE($O476,"~","~~"),"*","~*"),"?","~?"))/$C476)</f>
        <v>0.0</v>
      </c>
      <c r="E476" s="10">
        <f>IF($C476=0,"",SUMIFS('DEF_SELF_SCOUT_IMPORT'!$K$42:$K$1040,'DEF_SELF_SCOUT_IMPORT'!$L$42:$L$1040,"Y",'DEF_SELF_SCOUT_IMPORT'!$E$42:$E$1040,SUBSTITUTE(SUBSTITUTE(SUBSTITUTE($B476,"~","~~"),"*","~*"),"?","~?"),'DEF_SELF_SCOUT_IMPORT'!$Q$42:$Q$1040,SUBSTITUTE(SUBSTITUTE(SUBSTITUTE($M476,"~","~~"),"*","~*"),"?","~?"),'DEF_SELF_SCOUT_IMPORT'!$G$42:$G$1040,SUBSTITUTE(SUBSTITUTE(SUBSTITUTE($O476,"~","~~"),"*","~*"),"?","~?"))/$C476)</f>
        <v>0.0</v>
      </c>
      <c r="F476" s="11">
        <f>IF($C476=0,"",AVERAGEIFS('DEF_SELF_SCOUT_IMPORT'!$I$42:$I$1040,'DEF_SELF_SCOUT_IMPORT'!$L$42:$L$1040,"Y",'DEF_SELF_SCOUT_IMPORT'!$E$42:$E$1040,SUBSTITUTE(SUBSTITUTE(SUBSTITUTE($B476,"~","~~"),"*","~*"),"?","~?"),'DEF_SELF_SCOUT_IMPORT'!$Q$42:$Q$1040,SUBSTITUTE(SUBSTITUTE(SUBSTITUTE($M476,"~","~~"),"*","~*"),"?","~?"),'DEF_SELF_SCOUT_IMPORT'!$G$42:$G$1040,SUBSTITUTE(SUBSTITUTE(SUBSTITUTE($O476,"~","~~"),"*","~*"),"?","~?")))</f>
        <v>9.0</v>
      </c>
      <c r="G476" s="10">
        <f>IF($C476=0,"",COUNTIFS('DEF_SELF_SCOUT_IMPORT'!$L$42:$L$1040,"Y",'DEF_SELF_SCOUT_IMPORT'!$E$42:$E$1040,SUBSTITUTE(SUBSTITUTE(SUBSTITUTE($B476,"~","~~"),"*","~*"),"?","~?"),'DEF_SELF_SCOUT_IMPORT'!$Q$42:$Q$1040,SUBSTITUTE(SUBSTITUTE(SUBSTITUTE($M476,"~","~~"),"*","~*"),"?","~?"),'DEF_SELF_SCOUT_IMPORT'!$G$42:$G$1040,SUBSTITUTE(SUBSTITUTE(SUBSTITUTE($O476,"~","~~"),"*","~*"),"?","~?"),'DEF_SELF_SCOUT_IMPORT'!$H$42:$H$1040,"RUSH")/$C476)</f>
        <v>0.0</v>
      </c>
      <c r="H476" s="10">
        <f>IF($C476=0,"",COUNTIFS('DEF_SELF_SCOUT_IMPORT'!$L$42:$L$1040,"Y",'DEF_SELF_SCOUT_IMPORT'!$E$42:$E$1040,SUBSTITUTE(SUBSTITUTE(SUBSTITUTE($B476,"~","~~"),"*","~*"),"?","~?"),'DEF_SELF_SCOUT_IMPORT'!$Q$42:$Q$1040,SUBSTITUTE(SUBSTITUTE(SUBSTITUTE($M476,"~","~~"),"*","~*"),"?","~?"),'DEF_SELF_SCOUT_IMPORT'!$G$42:$G$1040,SUBSTITUTE(SUBSTITUTE(SUBSTITUTE($O476,"~","~~"),"*","~*"),"?","~?"),'DEF_SELF_SCOUT_IMPORT'!$H$42:$H$1040,"DROPBACK")/$C476)</f>
        <v>1.0</v>
      </c>
      <c r="I476" s="14" t="str">
        <f>IF(C476=0,"",IF(C476&lt;=2,"TRACK",IF(C476=3,"LOW",IF(C476&lt;=6,"MEDIUM","HIGH"))))</f>
        <v>TRACK</v>
      </c>
      <c r="J476" s="11">
        <f>IF(C476=0,"",ROUND(D476*70+(1-E476)*20+MAX(0,MIN(1,(10-F476)/10))*10,1))</f>
        <v>21.0</v>
      </c>
      <c r="K476" s="14" t="str">
        <f>IF(C476=0,"No Evidence",IF(C476&lt;=2,IF(E476&gt;0,"Explosive Alert","Track Only"),IF(C476=3,"Sample Watch",IF(E476&gt;=START_HERE!$B$31,"Explosive Alert",IF(J476&gt;=80,"Strong Candidate",IF(J476&gt;=65,"Good Candidate",IF(J476&gt;=50,"Mixed / Review","Problem Call")))))))</f>
        <v>Track Only</v>
      </c>
      <c r="L476" s="9" t="str">
        <f>IF(COUNTIFS('DEF_SELF_SCOUT_IMPORT'!$L$42:$L$1040,"Y",'DEF_SELF_SCOUT_IMPORT'!$E$42:$E$1040,SUBSTITUTE(SUBSTITUTE(SUBSTITUTE($B476,"~","~~"),"*","~*"),"?","~?"),'DEF_SELF_SCOUT_IMPORT'!$Q$42:$Q$1040,SUBSTITUTE(SUBSTITUTE(SUBSTITUTE($M476,"~","~~"),"*","~*"),"?","~?"),'DEF_SELF_SCOUT_IMPORT'!$G$42:$G$1040,SUBSTITUTE(SUBSTITUTE(SUBSTITUTE($O476,"~","~~"),"*","~*"),"?","~?"),'DEF_SELF_SCOUT_IMPORT'!$J$42:$J$1040,"")&gt;0,"Unscored clean outcome; review result tags before using score.",IF(C476=0,"No matching defensive reps; film confirmation needed.",IF(K476="Explosive Alert","Explosive risk; review clips before using as answer.",IF(C476&lt;=2,"Track only; not enough sample.",IF(C476=3,IF(E476&gt;0,"Sample watch with explosive exposure; review clips and build the sample.",IF(J476&gt;=65,"Good signal, but sample is limited.","Sample watch; review clips and build the sample.")),IF(K476="Problem Call","Problem area; practice or call-sheet review.",IF(K476="Strong Candidate","Strong call-fit candidate; confirm on film.",IF(K476="Good Candidate","Good call-fit signal; confirm on film.","Mixed signal; review fit and execution on film."))))))))</f>
        <v>Track only; not enough sample.</v>
      </c>
      <c r="M476" s="8" t="s">
        <v>85</v>
      </c>
      <c r="N476" s="8"/>
      <c r="O476" s="8" t="s">
        <v>203</v>
      </c>
      <c r="P476" s="8"/>
      <c r="Q476" s="8"/>
      <c r="R476" s="8" t="s">
        <v>28</v>
      </c>
      <c r="S476" s="2" t="s">
        <v>244</v>
      </c>
      <c r="T476" s="2">
        <f>IF(C476=0,0,IF(C476&gt;=CALL_LOOKUP_BOARD!$B$7,IF(OR(K476="Problem Call",K476="Explosive Alert"),10000000,20000000),0)+IF(C476&gt;=CALL_LOOKUP_BOARD!$B$7,J476*1000+MIN(C476,999),C476*1000+J476)+0.00989800)</f>
        <v>1021.009898</v>
      </c>
      <c r="U476" s="2">
        <f>IF(C476=0,"",IF(COUNTIFS($S$375:$S$581,SUBSTITUTE(SUBSTITUTE(SUBSTITUTE(S476,"~","~~"),"*","~*"),"?","~?"),$T$375:$T$581,"&gt;"&amp;T476)=0,S476,""))</f>
        <v/>
      </c>
    </row>
    <row r="477" spans="1:21" ht="38" customHeight="1">
      <c r="A477" s="8" t="s">
        <v>243</v>
      </c>
      <c r="B477" s="8" t="s">
        <v>60</v>
      </c>
      <c r="C477" s="12">
        <f>COUNTIFS('DEF_SELF_SCOUT_IMPORT'!$L$42:$L$1040,"Y",'DEF_SELF_SCOUT_IMPORT'!$E$42:$E$1040,SUBSTITUTE(SUBSTITUTE(SUBSTITUTE($B477,"~","~~"),"*","~*"),"?","~?"),'DEF_SELF_SCOUT_IMPORT'!$Q$42:$Q$1040,SUBSTITUTE(SUBSTITUTE(SUBSTITUTE($M477,"~","~~"),"*","~*"),"?","~?"),'DEF_SELF_SCOUT_IMPORT'!$G$42:$G$1040,SUBSTITUTE(SUBSTITUTE(SUBSTITUTE($O477,"~","~~"),"*","~*"),"?","~?"))</f>
        <v>1</v>
      </c>
      <c r="D477" s="10">
        <f>IF($C477=0,"",SUMIFS('DEF_SELF_SCOUT_IMPORT'!$J$42:$J$1040,'DEF_SELF_SCOUT_IMPORT'!$L$42:$L$1040,"Y",'DEF_SELF_SCOUT_IMPORT'!$E$42:$E$1040,SUBSTITUTE(SUBSTITUTE(SUBSTITUTE($B477,"~","~~"),"*","~*"),"?","~?"),'DEF_SELF_SCOUT_IMPORT'!$Q$42:$Q$1040,SUBSTITUTE(SUBSTITUTE(SUBSTITUTE($M477,"~","~~"),"*","~*"),"?","~?"),'DEF_SELF_SCOUT_IMPORT'!$G$42:$G$1040,SUBSTITUTE(SUBSTITUTE(SUBSTITUTE($O477,"~","~~"),"*","~*"),"?","~?"))/$C477)</f>
        <v>1.0</v>
      </c>
      <c r="E477" s="10">
        <f>IF($C477=0,"",SUMIFS('DEF_SELF_SCOUT_IMPORT'!$K$42:$K$1040,'DEF_SELF_SCOUT_IMPORT'!$L$42:$L$1040,"Y",'DEF_SELF_SCOUT_IMPORT'!$E$42:$E$1040,SUBSTITUTE(SUBSTITUTE(SUBSTITUTE($B477,"~","~~"),"*","~*"),"?","~?"),'DEF_SELF_SCOUT_IMPORT'!$Q$42:$Q$1040,SUBSTITUTE(SUBSTITUTE(SUBSTITUTE($M477,"~","~~"),"*","~*"),"?","~?"),'DEF_SELF_SCOUT_IMPORT'!$G$42:$G$1040,SUBSTITUTE(SUBSTITUTE(SUBSTITUTE($O477,"~","~~"),"*","~*"),"?","~?"))/$C477)</f>
        <v>0.0</v>
      </c>
      <c r="F477" s="11">
        <f>IF($C477=0,"",AVERAGEIFS('DEF_SELF_SCOUT_IMPORT'!$I$42:$I$1040,'DEF_SELF_SCOUT_IMPORT'!$L$42:$L$1040,"Y",'DEF_SELF_SCOUT_IMPORT'!$E$42:$E$1040,SUBSTITUTE(SUBSTITUTE(SUBSTITUTE($B477,"~","~~"),"*","~*"),"?","~?"),'DEF_SELF_SCOUT_IMPORT'!$Q$42:$Q$1040,SUBSTITUTE(SUBSTITUTE(SUBSTITUTE($M477,"~","~~"),"*","~*"),"?","~?"),'DEF_SELF_SCOUT_IMPORT'!$G$42:$G$1040,SUBSTITUTE(SUBSTITUTE(SUBSTITUTE($O477,"~","~~"),"*","~*"),"?","~?")))</f>
        <v>0.0</v>
      </c>
      <c r="G477" s="10">
        <f>IF($C477=0,"",COUNTIFS('DEF_SELF_SCOUT_IMPORT'!$L$42:$L$1040,"Y",'DEF_SELF_SCOUT_IMPORT'!$E$42:$E$1040,SUBSTITUTE(SUBSTITUTE(SUBSTITUTE($B477,"~","~~"),"*","~*"),"?","~?"),'DEF_SELF_SCOUT_IMPORT'!$Q$42:$Q$1040,SUBSTITUTE(SUBSTITUTE(SUBSTITUTE($M477,"~","~~"),"*","~*"),"?","~?"),'DEF_SELF_SCOUT_IMPORT'!$G$42:$G$1040,SUBSTITUTE(SUBSTITUTE(SUBSTITUTE($O477,"~","~~"),"*","~*"),"?","~?"),'DEF_SELF_SCOUT_IMPORT'!$H$42:$H$1040,"RUSH")/$C477)</f>
        <v>1.0</v>
      </c>
      <c r="H477" s="10">
        <f>IF($C477=0,"",COUNTIFS('DEF_SELF_SCOUT_IMPORT'!$L$42:$L$1040,"Y",'DEF_SELF_SCOUT_IMPORT'!$E$42:$E$1040,SUBSTITUTE(SUBSTITUTE(SUBSTITUTE($B477,"~","~~"),"*","~*"),"?","~?"),'DEF_SELF_SCOUT_IMPORT'!$Q$42:$Q$1040,SUBSTITUTE(SUBSTITUTE(SUBSTITUTE($M477,"~","~~"),"*","~*"),"?","~?"),'DEF_SELF_SCOUT_IMPORT'!$G$42:$G$1040,SUBSTITUTE(SUBSTITUTE(SUBSTITUTE($O477,"~","~~"),"*","~*"),"?","~?"),'DEF_SELF_SCOUT_IMPORT'!$H$42:$H$1040,"DROPBACK")/$C477)</f>
        <v>0.0</v>
      </c>
      <c r="I477" s="14" t="str">
        <f>IF(C477=0,"",IF(C477&lt;=2,"TRACK",IF(C477=3,"LOW",IF(C477&lt;=6,"MEDIUM","HIGH"))))</f>
        <v>TRACK</v>
      </c>
      <c r="J477" s="11">
        <f>IF(C477=0,"",ROUND(D477*70+(1-E477)*20+MAX(0,MIN(1,(10-F477)/10))*10,1))</f>
        <v>100.0</v>
      </c>
      <c r="K477" s="14" t="str">
        <f>IF(C477=0,"No Evidence",IF(C477&lt;=2,IF(E477&gt;0,"Explosive Alert","Track Only"),IF(C477=3,"Sample Watch",IF(E477&gt;=START_HERE!$B$31,"Explosive Alert",IF(J477&gt;=80,"Strong Candidate",IF(J477&gt;=65,"Good Candidate",IF(J477&gt;=50,"Mixed / Review","Problem Call")))))))</f>
        <v>Track Only</v>
      </c>
      <c r="L477" s="9" t="str">
        <f>IF(COUNTIFS('DEF_SELF_SCOUT_IMPORT'!$L$42:$L$1040,"Y",'DEF_SELF_SCOUT_IMPORT'!$E$42:$E$1040,SUBSTITUTE(SUBSTITUTE(SUBSTITUTE($B477,"~","~~"),"*","~*"),"?","~?"),'DEF_SELF_SCOUT_IMPORT'!$Q$42:$Q$1040,SUBSTITUTE(SUBSTITUTE(SUBSTITUTE($M477,"~","~~"),"*","~*"),"?","~?"),'DEF_SELF_SCOUT_IMPORT'!$G$42:$G$1040,SUBSTITUTE(SUBSTITUTE(SUBSTITUTE($O477,"~","~~"),"*","~*"),"?","~?"),'DEF_SELF_SCOUT_IMPORT'!$J$42:$J$1040,"")&gt;0,"Unscored clean outcome; review result tags before using score.",IF(C477=0,"No matching defensive reps; film confirmation needed.",IF(K477="Explosive Alert","Explosive risk; review clips before using as answer.",IF(C477&lt;=2,"Track only; not enough sample.",IF(C477=3,IF(E477&gt;0,"Sample watch with explosive exposure; review clips and build the sample.",IF(J477&gt;=65,"Good signal, but sample is limited.","Sample watch; review clips and build the sample.")),IF(K477="Problem Call","Problem area; practice or call-sheet review.",IF(K477="Strong Candidate","Strong call-fit candidate; confirm on film.",IF(K477="Good Candidate","Good call-fit signal; confirm on film.","Mixed signal; review fit and execution on film."))))))))</f>
        <v>Track only; not enough sample.</v>
      </c>
      <c r="M477" s="8" t="s">
        <v>85</v>
      </c>
      <c r="N477" s="8"/>
      <c r="O477" s="8" t="s">
        <v>203</v>
      </c>
      <c r="P477" s="8"/>
      <c r="Q477" s="8"/>
      <c r="R477" s="8" t="s">
        <v>28</v>
      </c>
      <c r="S477" s="2" t="s">
        <v>244</v>
      </c>
      <c r="T477" s="2">
        <f>IF(C477=0,0,IF(C477&gt;=CALL_LOOKUP_BOARD!$B$7,IF(OR(K477="Problem Call",K477="Explosive Alert"),10000000,20000000),0)+IF(C477&gt;=CALL_LOOKUP_BOARD!$B$7,J477*1000+MIN(C477,999),C477*1000+J477)+0.00989700)</f>
        <v>1100.009897</v>
      </c>
      <c r="U477" s="2">
        <f>IF(C477=0,"",IF(COUNTIFS($S$375:$S$581,SUBSTITUTE(SUBSTITUTE(SUBSTITUTE(S477,"~","~~"),"*","~*"),"?","~?"),$T$375:$T$581,"&gt;"&amp;T477)=0,S477,""))</f>
        <v/>
      </c>
    </row>
    <row r="478" spans="1:21" ht="38" customHeight="1">
      <c r="A478" s="8" t="s">
        <v>243</v>
      </c>
      <c r="B478" s="8" t="s">
        <v>73</v>
      </c>
      <c r="C478" s="12">
        <f>COUNTIFS('DEF_SELF_SCOUT_IMPORT'!$L$42:$L$1040,"Y",'DEF_SELF_SCOUT_IMPORT'!$E$42:$E$1040,SUBSTITUTE(SUBSTITUTE(SUBSTITUTE($B478,"~","~~"),"*","~*"),"?","~?"),'DEF_SELF_SCOUT_IMPORT'!$Q$42:$Q$1040,SUBSTITUTE(SUBSTITUTE(SUBSTITUTE($M478,"~","~~"),"*","~*"),"?","~?"),'DEF_SELF_SCOUT_IMPORT'!$G$42:$G$1040,SUBSTITUTE(SUBSTITUTE(SUBSTITUTE($O478,"~","~~"),"*","~*"),"?","~?"))</f>
        <v>1</v>
      </c>
      <c r="D478" s="10">
        <f>IF($C478=0,"",SUMIFS('DEF_SELF_SCOUT_IMPORT'!$J$42:$J$1040,'DEF_SELF_SCOUT_IMPORT'!$L$42:$L$1040,"Y",'DEF_SELF_SCOUT_IMPORT'!$E$42:$E$1040,SUBSTITUTE(SUBSTITUTE(SUBSTITUTE($B478,"~","~~"),"*","~*"),"?","~?"),'DEF_SELF_SCOUT_IMPORT'!$Q$42:$Q$1040,SUBSTITUTE(SUBSTITUTE(SUBSTITUTE($M478,"~","~~"),"*","~*"),"?","~?"),'DEF_SELF_SCOUT_IMPORT'!$G$42:$G$1040,SUBSTITUTE(SUBSTITUTE(SUBSTITUTE($O478,"~","~~"),"*","~*"),"?","~?"))/$C478)</f>
        <v>0.0</v>
      </c>
      <c r="E478" s="10">
        <f>IF($C478=0,"",SUMIFS('DEF_SELF_SCOUT_IMPORT'!$K$42:$K$1040,'DEF_SELF_SCOUT_IMPORT'!$L$42:$L$1040,"Y",'DEF_SELF_SCOUT_IMPORT'!$E$42:$E$1040,SUBSTITUTE(SUBSTITUTE(SUBSTITUTE($B478,"~","~~"),"*","~*"),"?","~?"),'DEF_SELF_SCOUT_IMPORT'!$Q$42:$Q$1040,SUBSTITUTE(SUBSTITUTE(SUBSTITUTE($M478,"~","~~"),"*","~*"),"?","~?"),'DEF_SELF_SCOUT_IMPORT'!$G$42:$G$1040,SUBSTITUTE(SUBSTITUTE(SUBSTITUTE($O478,"~","~~"),"*","~*"),"?","~?"))/$C478)</f>
        <v>1.0</v>
      </c>
      <c r="F478" s="11">
        <f>IF($C478=0,"",AVERAGEIFS('DEF_SELF_SCOUT_IMPORT'!$I$42:$I$1040,'DEF_SELF_SCOUT_IMPORT'!$L$42:$L$1040,"Y",'DEF_SELF_SCOUT_IMPORT'!$E$42:$E$1040,SUBSTITUTE(SUBSTITUTE(SUBSTITUTE($B478,"~","~~"),"*","~*"),"?","~?"),'DEF_SELF_SCOUT_IMPORT'!$Q$42:$Q$1040,SUBSTITUTE(SUBSTITUTE(SUBSTITUTE($M478,"~","~~"),"*","~*"),"?","~?"),'DEF_SELF_SCOUT_IMPORT'!$G$42:$G$1040,SUBSTITUTE(SUBSTITUTE(SUBSTITUTE($O478,"~","~~"),"*","~*"),"?","~?")))</f>
        <v>16.0</v>
      </c>
      <c r="G478" s="10">
        <f>IF($C478=0,"",COUNTIFS('DEF_SELF_SCOUT_IMPORT'!$L$42:$L$1040,"Y",'DEF_SELF_SCOUT_IMPORT'!$E$42:$E$1040,SUBSTITUTE(SUBSTITUTE(SUBSTITUTE($B478,"~","~~"),"*","~*"),"?","~?"),'DEF_SELF_SCOUT_IMPORT'!$Q$42:$Q$1040,SUBSTITUTE(SUBSTITUTE(SUBSTITUTE($M478,"~","~~"),"*","~*"),"?","~?"),'DEF_SELF_SCOUT_IMPORT'!$G$42:$G$1040,SUBSTITUTE(SUBSTITUTE(SUBSTITUTE($O478,"~","~~"),"*","~*"),"?","~?"),'DEF_SELF_SCOUT_IMPORT'!$H$42:$H$1040,"RUSH")/$C478)</f>
        <v>0.0</v>
      </c>
      <c r="H478" s="10">
        <f>IF($C478=0,"",COUNTIFS('DEF_SELF_SCOUT_IMPORT'!$L$42:$L$1040,"Y",'DEF_SELF_SCOUT_IMPORT'!$E$42:$E$1040,SUBSTITUTE(SUBSTITUTE(SUBSTITUTE($B478,"~","~~"),"*","~*"),"?","~?"),'DEF_SELF_SCOUT_IMPORT'!$Q$42:$Q$1040,SUBSTITUTE(SUBSTITUTE(SUBSTITUTE($M478,"~","~~"),"*","~*"),"?","~?"),'DEF_SELF_SCOUT_IMPORT'!$G$42:$G$1040,SUBSTITUTE(SUBSTITUTE(SUBSTITUTE($O478,"~","~~"),"*","~*"),"?","~?"),'DEF_SELF_SCOUT_IMPORT'!$H$42:$H$1040,"DROPBACK")/$C478)</f>
        <v>1.0</v>
      </c>
      <c r="I478" s="14" t="str">
        <f>IF(C478=0,"",IF(C478&lt;=2,"TRACK",IF(C478=3,"LOW",IF(C478&lt;=6,"MEDIUM","HIGH"))))</f>
        <v>TRACK</v>
      </c>
      <c r="J478" s="11">
        <f>IF(C478=0,"",ROUND(D478*70+(1-E478)*20+MAX(0,MIN(1,(10-F478)/10))*10,1))</f>
        <v>0.0</v>
      </c>
      <c r="K478" s="14" t="str">
        <f>IF(C478=0,"No Evidence",IF(C478&lt;=2,IF(E478&gt;0,"Explosive Alert","Track Only"),IF(C478=3,"Sample Watch",IF(E478&gt;=START_HERE!$B$31,"Explosive Alert",IF(J478&gt;=80,"Strong Candidate",IF(J478&gt;=65,"Good Candidate",IF(J478&gt;=50,"Mixed / Review","Problem Call")))))))</f>
        <v>Explosive Alert</v>
      </c>
      <c r="L478" s="9" t="str">
        <f>IF(COUNTIFS('DEF_SELF_SCOUT_IMPORT'!$L$42:$L$1040,"Y",'DEF_SELF_SCOUT_IMPORT'!$E$42:$E$1040,SUBSTITUTE(SUBSTITUTE(SUBSTITUTE($B478,"~","~~"),"*","~*"),"?","~?"),'DEF_SELF_SCOUT_IMPORT'!$Q$42:$Q$1040,SUBSTITUTE(SUBSTITUTE(SUBSTITUTE($M478,"~","~~"),"*","~*"),"?","~?"),'DEF_SELF_SCOUT_IMPORT'!$G$42:$G$1040,SUBSTITUTE(SUBSTITUTE(SUBSTITUTE($O478,"~","~~"),"*","~*"),"?","~?"),'DEF_SELF_SCOUT_IMPORT'!$J$42:$J$1040,"")&gt;0,"Unscored clean outcome; review result tags before using score.",IF(C478=0,"No matching defensive reps; film confirmation needed.",IF(K478="Explosive Alert","Explosive risk; review clips before using as answer.",IF(C478&lt;=2,"Track only; not enough sample.",IF(C478=3,IF(E478&gt;0,"Sample watch with explosive exposure; review clips and build the sample.",IF(J478&gt;=65,"Good signal, but sample is limited.","Sample watch; review clips and build the sample.")),IF(K478="Problem Call","Problem area; practice or call-sheet review.",IF(K478="Strong Candidate","Strong call-fit candidate; confirm on film.",IF(K478="Good Candidate","Good call-fit signal; confirm on film.","Mixed signal; review fit and execution on film."))))))))</f>
        <v>Explosive risk; review clips before using as answer.</v>
      </c>
      <c r="M478" s="8" t="s">
        <v>85</v>
      </c>
      <c r="N478" s="8"/>
      <c r="O478" s="8" t="s">
        <v>203</v>
      </c>
      <c r="P478" s="8"/>
      <c r="Q478" s="8"/>
      <c r="R478" s="8" t="s">
        <v>28</v>
      </c>
      <c r="S478" s="2" t="s">
        <v>244</v>
      </c>
      <c r="T478" s="2">
        <f>IF(C478=0,0,IF(C478&gt;=CALL_LOOKUP_BOARD!$B$7,IF(OR(K478="Problem Call",K478="Explosive Alert"),10000000,20000000),0)+IF(C478&gt;=CALL_LOOKUP_BOARD!$B$7,J478*1000+MIN(C478,999),C478*1000+J478)+0.00989600)</f>
        <v>1000.009896</v>
      </c>
      <c r="U478" s="2">
        <f>IF(C478=0,"",IF(COUNTIFS($S$375:$S$581,SUBSTITUTE(SUBSTITUTE(SUBSTITUTE(S478,"~","~~"),"*","~*"),"?","~?"),$T$375:$T$581,"&gt;"&amp;T478)=0,S478,""))</f>
        <v/>
      </c>
    </row>
    <row r="479" spans="1:21" ht="38" customHeight="1">
      <c r="A479" s="8" t="s">
        <v>243</v>
      </c>
      <c r="B479" s="8" t="s">
        <v>63</v>
      </c>
      <c r="C479" s="12">
        <f>COUNTIFS('DEF_SELF_SCOUT_IMPORT'!$L$42:$L$1040,"Y",'DEF_SELF_SCOUT_IMPORT'!$E$42:$E$1040,SUBSTITUTE(SUBSTITUTE(SUBSTITUTE($B479,"~","~~"),"*","~*"),"?","~?"),'DEF_SELF_SCOUT_IMPORT'!$Q$42:$Q$1040,SUBSTITUTE(SUBSTITUTE(SUBSTITUTE($M479,"~","~~"),"*","~*"),"?","~?"),'DEF_SELF_SCOUT_IMPORT'!$G$42:$G$1040,SUBSTITUTE(SUBSTITUTE(SUBSTITUTE($O479,"~","~~"),"*","~*"),"?","~?"))</f>
        <v>1</v>
      </c>
      <c r="D479" s="10">
        <f>IF($C479=0,"",SUMIFS('DEF_SELF_SCOUT_IMPORT'!$J$42:$J$1040,'DEF_SELF_SCOUT_IMPORT'!$L$42:$L$1040,"Y",'DEF_SELF_SCOUT_IMPORT'!$E$42:$E$1040,SUBSTITUTE(SUBSTITUTE(SUBSTITUTE($B479,"~","~~"),"*","~*"),"?","~?"),'DEF_SELF_SCOUT_IMPORT'!$Q$42:$Q$1040,SUBSTITUTE(SUBSTITUTE(SUBSTITUTE($M479,"~","~~"),"*","~*"),"?","~?"),'DEF_SELF_SCOUT_IMPORT'!$G$42:$G$1040,SUBSTITUTE(SUBSTITUTE(SUBSTITUTE($O479,"~","~~"),"*","~*"),"?","~?"))/$C479)</f>
        <v>1.0</v>
      </c>
      <c r="E479" s="10">
        <f>IF($C479=0,"",SUMIFS('DEF_SELF_SCOUT_IMPORT'!$K$42:$K$1040,'DEF_SELF_SCOUT_IMPORT'!$L$42:$L$1040,"Y",'DEF_SELF_SCOUT_IMPORT'!$E$42:$E$1040,SUBSTITUTE(SUBSTITUTE(SUBSTITUTE($B479,"~","~~"),"*","~*"),"?","~?"),'DEF_SELF_SCOUT_IMPORT'!$Q$42:$Q$1040,SUBSTITUTE(SUBSTITUTE(SUBSTITUTE($M479,"~","~~"),"*","~*"),"?","~?"),'DEF_SELF_SCOUT_IMPORT'!$G$42:$G$1040,SUBSTITUTE(SUBSTITUTE(SUBSTITUTE($O479,"~","~~"),"*","~*"),"?","~?"))/$C479)</f>
        <v>0.0</v>
      </c>
      <c r="F479" s="11">
        <f>IF($C479=0,"",AVERAGEIFS('DEF_SELF_SCOUT_IMPORT'!$I$42:$I$1040,'DEF_SELF_SCOUT_IMPORT'!$L$42:$L$1040,"Y",'DEF_SELF_SCOUT_IMPORT'!$E$42:$E$1040,SUBSTITUTE(SUBSTITUTE(SUBSTITUTE($B479,"~","~~"),"*","~*"),"?","~?"),'DEF_SELF_SCOUT_IMPORT'!$Q$42:$Q$1040,SUBSTITUTE(SUBSTITUTE(SUBSTITUTE($M479,"~","~~"),"*","~*"),"?","~?"),'DEF_SELF_SCOUT_IMPORT'!$G$42:$G$1040,SUBSTITUTE(SUBSTITUTE(SUBSTITUTE($O479,"~","~~"),"*","~*"),"?","~?")))</f>
        <v>0.0</v>
      </c>
      <c r="G479" s="10">
        <f>IF($C479=0,"",COUNTIFS('DEF_SELF_SCOUT_IMPORT'!$L$42:$L$1040,"Y",'DEF_SELF_SCOUT_IMPORT'!$E$42:$E$1040,SUBSTITUTE(SUBSTITUTE(SUBSTITUTE($B479,"~","~~"),"*","~*"),"?","~?"),'DEF_SELF_SCOUT_IMPORT'!$Q$42:$Q$1040,SUBSTITUTE(SUBSTITUTE(SUBSTITUTE($M479,"~","~~"),"*","~*"),"?","~?"),'DEF_SELF_SCOUT_IMPORT'!$G$42:$G$1040,SUBSTITUTE(SUBSTITUTE(SUBSTITUTE($O479,"~","~~"),"*","~*"),"?","~?"),'DEF_SELF_SCOUT_IMPORT'!$H$42:$H$1040,"RUSH")/$C479)</f>
        <v>0.0</v>
      </c>
      <c r="H479" s="10">
        <f>IF($C479=0,"",COUNTIFS('DEF_SELF_SCOUT_IMPORT'!$L$42:$L$1040,"Y",'DEF_SELF_SCOUT_IMPORT'!$E$42:$E$1040,SUBSTITUTE(SUBSTITUTE(SUBSTITUTE($B479,"~","~~"),"*","~*"),"?","~?"),'DEF_SELF_SCOUT_IMPORT'!$Q$42:$Q$1040,SUBSTITUTE(SUBSTITUTE(SUBSTITUTE($M479,"~","~~"),"*","~*"),"?","~?"),'DEF_SELF_SCOUT_IMPORT'!$G$42:$G$1040,SUBSTITUTE(SUBSTITUTE(SUBSTITUTE($O479,"~","~~"),"*","~*"),"?","~?"),'DEF_SELF_SCOUT_IMPORT'!$H$42:$H$1040,"DROPBACK")/$C479)</f>
        <v>1.0</v>
      </c>
      <c r="I479" s="14" t="str">
        <f>IF(C479=0,"",IF(C479&lt;=2,"TRACK",IF(C479=3,"LOW",IF(C479&lt;=6,"MEDIUM","HIGH"))))</f>
        <v>TRACK</v>
      </c>
      <c r="J479" s="11">
        <f>IF(C479=0,"",ROUND(D479*70+(1-E479)*20+MAX(0,MIN(1,(10-F479)/10))*10,1))</f>
        <v>100.0</v>
      </c>
      <c r="K479" s="14" t="str">
        <f>IF(C479=0,"No Evidence",IF(C479&lt;=2,IF(E479&gt;0,"Explosive Alert","Track Only"),IF(C479=3,"Sample Watch",IF(E479&gt;=START_HERE!$B$31,"Explosive Alert",IF(J479&gt;=80,"Strong Candidate",IF(J479&gt;=65,"Good Candidate",IF(J479&gt;=50,"Mixed / Review","Problem Call")))))))</f>
        <v>Track Only</v>
      </c>
      <c r="L479" s="9" t="str">
        <f>IF(COUNTIFS('DEF_SELF_SCOUT_IMPORT'!$L$42:$L$1040,"Y",'DEF_SELF_SCOUT_IMPORT'!$E$42:$E$1040,SUBSTITUTE(SUBSTITUTE(SUBSTITUTE($B479,"~","~~"),"*","~*"),"?","~?"),'DEF_SELF_SCOUT_IMPORT'!$Q$42:$Q$1040,SUBSTITUTE(SUBSTITUTE(SUBSTITUTE($M479,"~","~~"),"*","~*"),"?","~?"),'DEF_SELF_SCOUT_IMPORT'!$G$42:$G$1040,SUBSTITUTE(SUBSTITUTE(SUBSTITUTE($O479,"~","~~"),"*","~*"),"?","~?"),'DEF_SELF_SCOUT_IMPORT'!$J$42:$J$1040,"")&gt;0,"Unscored clean outcome; review result tags before using score.",IF(C479=0,"No matching defensive reps; film confirmation needed.",IF(K479="Explosive Alert","Explosive risk; review clips before using as answer.",IF(C479&lt;=2,"Track only; not enough sample.",IF(C479=3,IF(E479&gt;0,"Sample watch with explosive exposure; review clips and build the sample.",IF(J479&gt;=65,"Good signal, but sample is limited.","Sample watch; review clips and build the sample.")),IF(K479="Problem Call","Problem area; practice or call-sheet review.",IF(K479="Strong Candidate","Strong call-fit candidate; confirm on film.",IF(K479="Good Candidate","Good call-fit signal; confirm on film.","Mixed signal; review fit and execution on film."))))))))</f>
        <v>Track only; not enough sample.</v>
      </c>
      <c r="M479" s="8" t="s">
        <v>85</v>
      </c>
      <c r="N479" s="8"/>
      <c r="O479" s="8" t="s">
        <v>203</v>
      </c>
      <c r="P479" s="8"/>
      <c r="Q479" s="8"/>
      <c r="R479" s="8" t="s">
        <v>28</v>
      </c>
      <c r="S479" s="2" t="s">
        <v>244</v>
      </c>
      <c r="T479" s="2">
        <f>IF(C479=0,0,IF(C479&gt;=CALL_LOOKUP_BOARD!$B$7,IF(OR(K479="Problem Call",K479="Explosive Alert"),10000000,20000000),0)+IF(C479&gt;=CALL_LOOKUP_BOARD!$B$7,J479*1000+MIN(C479,999),C479*1000+J479)+0.00989500)</f>
        <v>1100.009895</v>
      </c>
      <c r="U479" s="2">
        <f>IF(C479=0,"",IF(COUNTIFS($S$375:$S$581,SUBSTITUTE(SUBSTITUTE(SUBSTITUTE(S479,"~","~~"),"*","~*"),"?","~?"),$T$375:$T$581,"&gt;"&amp;T479)=0,S479,""))</f>
        <v/>
      </c>
    </row>
    <row r="480" spans="1:21" ht="38" customHeight="1">
      <c r="A480" s="8" t="s">
        <v>243</v>
      </c>
      <c r="B480" s="8" t="s">
        <v>84</v>
      </c>
      <c r="C480" s="12">
        <f>COUNTIFS('DEF_SELF_SCOUT_IMPORT'!$L$42:$L$1040,"Y",'DEF_SELF_SCOUT_IMPORT'!$E$42:$E$1040,SUBSTITUTE(SUBSTITUTE(SUBSTITUTE($B480,"~","~~"),"*","~*"),"?","~?"),'DEF_SELF_SCOUT_IMPORT'!$Q$42:$Q$1040,SUBSTITUTE(SUBSTITUTE(SUBSTITUTE($M480,"~","~~"),"*","~*"),"?","~?"),'DEF_SELF_SCOUT_IMPORT'!$G$42:$G$1040,SUBSTITUTE(SUBSTITUTE(SUBSTITUTE($O480,"~","~~"),"*","~*"),"?","~?"))</f>
        <v>1</v>
      </c>
      <c r="D480" s="10">
        <f>IF($C480=0,"",SUMIFS('DEF_SELF_SCOUT_IMPORT'!$J$42:$J$1040,'DEF_SELF_SCOUT_IMPORT'!$L$42:$L$1040,"Y",'DEF_SELF_SCOUT_IMPORT'!$E$42:$E$1040,SUBSTITUTE(SUBSTITUTE(SUBSTITUTE($B480,"~","~~"),"*","~*"),"?","~?"),'DEF_SELF_SCOUT_IMPORT'!$Q$42:$Q$1040,SUBSTITUTE(SUBSTITUTE(SUBSTITUTE($M480,"~","~~"),"*","~*"),"?","~?"),'DEF_SELF_SCOUT_IMPORT'!$G$42:$G$1040,SUBSTITUTE(SUBSTITUTE(SUBSTITUTE($O480,"~","~~"),"*","~*"),"?","~?"))/$C480)</f>
        <v>1.0</v>
      </c>
      <c r="E480" s="10">
        <f>IF($C480=0,"",SUMIFS('DEF_SELF_SCOUT_IMPORT'!$K$42:$K$1040,'DEF_SELF_SCOUT_IMPORT'!$L$42:$L$1040,"Y",'DEF_SELF_SCOUT_IMPORT'!$E$42:$E$1040,SUBSTITUTE(SUBSTITUTE(SUBSTITUTE($B480,"~","~~"),"*","~*"),"?","~?"),'DEF_SELF_SCOUT_IMPORT'!$Q$42:$Q$1040,SUBSTITUTE(SUBSTITUTE(SUBSTITUTE($M480,"~","~~"),"*","~*"),"?","~?"),'DEF_SELF_SCOUT_IMPORT'!$G$42:$G$1040,SUBSTITUTE(SUBSTITUTE(SUBSTITUTE($O480,"~","~~"),"*","~*"),"?","~?"))/$C480)</f>
        <v>0.0</v>
      </c>
      <c r="F480" s="11">
        <f>IF($C480=0,"",AVERAGEIFS('DEF_SELF_SCOUT_IMPORT'!$I$42:$I$1040,'DEF_SELF_SCOUT_IMPORT'!$L$42:$L$1040,"Y",'DEF_SELF_SCOUT_IMPORT'!$E$42:$E$1040,SUBSTITUTE(SUBSTITUTE(SUBSTITUTE($B480,"~","~~"),"*","~*"),"?","~?"),'DEF_SELF_SCOUT_IMPORT'!$Q$42:$Q$1040,SUBSTITUTE(SUBSTITUTE(SUBSTITUTE($M480,"~","~~"),"*","~*"),"?","~?"),'DEF_SELF_SCOUT_IMPORT'!$G$42:$G$1040,SUBSTITUTE(SUBSTITUTE(SUBSTITUTE($O480,"~","~~"),"*","~*"),"?","~?")))</f>
        <v>3.0</v>
      </c>
      <c r="G480" s="10">
        <f>IF($C480=0,"",COUNTIFS('DEF_SELF_SCOUT_IMPORT'!$L$42:$L$1040,"Y",'DEF_SELF_SCOUT_IMPORT'!$E$42:$E$1040,SUBSTITUTE(SUBSTITUTE(SUBSTITUTE($B480,"~","~~"),"*","~*"),"?","~?"),'DEF_SELF_SCOUT_IMPORT'!$Q$42:$Q$1040,SUBSTITUTE(SUBSTITUTE(SUBSTITUTE($M480,"~","~~"),"*","~*"),"?","~?"),'DEF_SELF_SCOUT_IMPORT'!$G$42:$G$1040,SUBSTITUTE(SUBSTITUTE(SUBSTITUTE($O480,"~","~~"),"*","~*"),"?","~?"),'DEF_SELF_SCOUT_IMPORT'!$H$42:$H$1040,"RUSH")/$C480)</f>
        <v>1.0</v>
      </c>
      <c r="H480" s="10">
        <f>IF($C480=0,"",COUNTIFS('DEF_SELF_SCOUT_IMPORT'!$L$42:$L$1040,"Y",'DEF_SELF_SCOUT_IMPORT'!$E$42:$E$1040,SUBSTITUTE(SUBSTITUTE(SUBSTITUTE($B480,"~","~~"),"*","~*"),"?","~?"),'DEF_SELF_SCOUT_IMPORT'!$Q$42:$Q$1040,SUBSTITUTE(SUBSTITUTE(SUBSTITUTE($M480,"~","~~"),"*","~*"),"?","~?"),'DEF_SELF_SCOUT_IMPORT'!$G$42:$G$1040,SUBSTITUTE(SUBSTITUTE(SUBSTITUTE($O480,"~","~~"),"*","~*"),"?","~?"),'DEF_SELF_SCOUT_IMPORT'!$H$42:$H$1040,"DROPBACK")/$C480)</f>
        <v>0.0</v>
      </c>
      <c r="I480" s="14" t="str">
        <f>IF(C480=0,"",IF(C480&lt;=2,"TRACK",IF(C480=3,"LOW",IF(C480&lt;=6,"MEDIUM","HIGH"))))</f>
        <v>TRACK</v>
      </c>
      <c r="J480" s="11">
        <f>IF(C480=0,"",ROUND(D480*70+(1-E480)*20+MAX(0,MIN(1,(10-F480)/10))*10,1))</f>
        <v>97.0</v>
      </c>
      <c r="K480" s="14" t="str">
        <f>IF(C480=0,"No Evidence",IF(C480&lt;=2,IF(E480&gt;0,"Explosive Alert","Track Only"),IF(C480=3,"Sample Watch",IF(E480&gt;=START_HERE!$B$31,"Explosive Alert",IF(J480&gt;=80,"Strong Candidate",IF(J480&gt;=65,"Good Candidate",IF(J480&gt;=50,"Mixed / Review","Problem Call")))))))</f>
        <v>Track Only</v>
      </c>
      <c r="L480" s="9" t="str">
        <f>IF(COUNTIFS('DEF_SELF_SCOUT_IMPORT'!$L$42:$L$1040,"Y",'DEF_SELF_SCOUT_IMPORT'!$E$42:$E$1040,SUBSTITUTE(SUBSTITUTE(SUBSTITUTE($B480,"~","~~"),"*","~*"),"?","~?"),'DEF_SELF_SCOUT_IMPORT'!$Q$42:$Q$1040,SUBSTITUTE(SUBSTITUTE(SUBSTITUTE($M480,"~","~~"),"*","~*"),"?","~?"),'DEF_SELF_SCOUT_IMPORT'!$G$42:$G$1040,SUBSTITUTE(SUBSTITUTE(SUBSTITUTE($O480,"~","~~"),"*","~*"),"?","~?"),'DEF_SELF_SCOUT_IMPORT'!$J$42:$J$1040,"")&gt;0,"Unscored clean outcome; review result tags before using score.",IF(C480=0,"No matching defensive reps; film confirmation needed.",IF(K480="Explosive Alert","Explosive risk; review clips before using as answer.",IF(C480&lt;=2,"Track only; not enough sample.",IF(C480=3,IF(E480&gt;0,"Sample watch with explosive exposure; review clips and build the sample.",IF(J480&gt;=65,"Good signal, but sample is limited.","Sample watch; review clips and build the sample.")),IF(K480="Problem Call","Problem area; practice or call-sheet review.",IF(K480="Strong Candidate","Strong call-fit candidate; confirm on film.",IF(K480="Good Candidate","Good call-fit signal; confirm on film.","Mixed signal; review fit and execution on film."))))))))</f>
        <v>Track only; not enough sample.</v>
      </c>
      <c r="M480" s="8" t="s">
        <v>85</v>
      </c>
      <c r="N480" s="8"/>
      <c r="O480" s="8" t="s">
        <v>203</v>
      </c>
      <c r="P480" s="8"/>
      <c r="Q480" s="8"/>
      <c r="R480" s="8" t="s">
        <v>28</v>
      </c>
      <c r="S480" s="2" t="s">
        <v>244</v>
      </c>
      <c r="T480" s="2">
        <f>IF(C480=0,0,IF(C480&gt;=CALL_LOOKUP_BOARD!$B$7,IF(OR(K480="Problem Call",K480="Explosive Alert"),10000000,20000000),0)+IF(C480&gt;=CALL_LOOKUP_BOARD!$B$7,J480*1000+MIN(C480,999),C480*1000+J480)+0.00989400)</f>
        <v>1097.009894</v>
      </c>
      <c r="U480" s="2">
        <f>IF(C480=0,"",IF(COUNTIFS($S$375:$S$581,SUBSTITUTE(SUBSTITUTE(SUBSTITUTE(S480,"~","~~"),"*","~*"),"?","~?"),$T$375:$T$581,"&gt;"&amp;T480)=0,S480,""))</f>
        <v/>
      </c>
    </row>
    <row r="481" spans="1:21" ht="38" customHeight="1">
      <c r="A481" s="8" t="s">
        <v>243</v>
      </c>
      <c r="B481" s="8" t="s">
        <v>65</v>
      </c>
      <c r="C481" s="12">
        <f>COUNTIFS('DEF_SELF_SCOUT_IMPORT'!$L$42:$L$1040,"Y",'DEF_SELF_SCOUT_IMPORT'!$E$42:$E$1040,SUBSTITUTE(SUBSTITUTE(SUBSTITUTE($B481,"~","~~"),"*","~*"),"?","~?"),'DEF_SELF_SCOUT_IMPORT'!$Q$42:$Q$1040,SUBSTITUTE(SUBSTITUTE(SUBSTITUTE($M481,"~","~~"),"*","~*"),"?","~?"),'DEF_SELF_SCOUT_IMPORT'!$G$42:$G$1040,SUBSTITUTE(SUBSTITUTE(SUBSTITUTE($O481,"~","~~"),"*","~*"),"?","~?"))</f>
        <v>1</v>
      </c>
      <c r="D481" s="10">
        <f>IF($C481=0,"",SUMIFS('DEF_SELF_SCOUT_IMPORT'!$J$42:$J$1040,'DEF_SELF_SCOUT_IMPORT'!$L$42:$L$1040,"Y",'DEF_SELF_SCOUT_IMPORT'!$E$42:$E$1040,SUBSTITUTE(SUBSTITUTE(SUBSTITUTE($B481,"~","~~"),"*","~*"),"?","~?"),'DEF_SELF_SCOUT_IMPORT'!$Q$42:$Q$1040,SUBSTITUTE(SUBSTITUTE(SUBSTITUTE($M481,"~","~~"),"*","~*"),"?","~?"),'DEF_SELF_SCOUT_IMPORT'!$G$42:$G$1040,SUBSTITUTE(SUBSTITUTE(SUBSTITUTE($O481,"~","~~"),"*","~*"),"?","~?"))/$C481)</f>
        <v>0.0</v>
      </c>
      <c r="E481" s="10">
        <f>IF($C481=0,"",SUMIFS('DEF_SELF_SCOUT_IMPORT'!$K$42:$K$1040,'DEF_SELF_SCOUT_IMPORT'!$L$42:$L$1040,"Y",'DEF_SELF_SCOUT_IMPORT'!$E$42:$E$1040,SUBSTITUTE(SUBSTITUTE(SUBSTITUTE($B481,"~","~~"),"*","~*"),"?","~?"),'DEF_SELF_SCOUT_IMPORT'!$Q$42:$Q$1040,SUBSTITUTE(SUBSTITUTE(SUBSTITUTE($M481,"~","~~"),"*","~*"),"?","~?"),'DEF_SELF_SCOUT_IMPORT'!$G$42:$G$1040,SUBSTITUTE(SUBSTITUTE(SUBSTITUTE($O481,"~","~~"),"*","~*"),"?","~?"))/$C481)</f>
        <v>0.0</v>
      </c>
      <c r="F481" s="11">
        <f>IF($C481=0,"",AVERAGEIFS('DEF_SELF_SCOUT_IMPORT'!$I$42:$I$1040,'DEF_SELF_SCOUT_IMPORT'!$L$42:$L$1040,"Y",'DEF_SELF_SCOUT_IMPORT'!$E$42:$E$1040,SUBSTITUTE(SUBSTITUTE(SUBSTITUTE($B481,"~","~~"),"*","~*"),"?","~?"),'DEF_SELF_SCOUT_IMPORT'!$Q$42:$Q$1040,SUBSTITUTE(SUBSTITUTE(SUBSTITUTE($M481,"~","~~"),"*","~*"),"?","~?"),'DEF_SELF_SCOUT_IMPORT'!$G$42:$G$1040,SUBSTITUTE(SUBSTITUTE(SUBSTITUTE($O481,"~","~~"),"*","~*"),"?","~?")))</f>
        <v>5.0</v>
      </c>
      <c r="G481" s="10">
        <f>IF($C481=0,"",COUNTIFS('DEF_SELF_SCOUT_IMPORT'!$L$42:$L$1040,"Y",'DEF_SELF_SCOUT_IMPORT'!$E$42:$E$1040,SUBSTITUTE(SUBSTITUTE(SUBSTITUTE($B481,"~","~~"),"*","~*"),"?","~?"),'DEF_SELF_SCOUT_IMPORT'!$Q$42:$Q$1040,SUBSTITUTE(SUBSTITUTE(SUBSTITUTE($M481,"~","~~"),"*","~*"),"?","~?"),'DEF_SELF_SCOUT_IMPORT'!$G$42:$G$1040,SUBSTITUTE(SUBSTITUTE(SUBSTITUTE($O481,"~","~~"),"*","~*"),"?","~?"),'DEF_SELF_SCOUT_IMPORT'!$H$42:$H$1040,"RUSH")/$C481)</f>
        <v>1.0</v>
      </c>
      <c r="H481" s="10">
        <f>IF($C481=0,"",COUNTIFS('DEF_SELF_SCOUT_IMPORT'!$L$42:$L$1040,"Y",'DEF_SELF_SCOUT_IMPORT'!$E$42:$E$1040,SUBSTITUTE(SUBSTITUTE(SUBSTITUTE($B481,"~","~~"),"*","~*"),"?","~?"),'DEF_SELF_SCOUT_IMPORT'!$Q$42:$Q$1040,SUBSTITUTE(SUBSTITUTE(SUBSTITUTE($M481,"~","~~"),"*","~*"),"?","~?"),'DEF_SELF_SCOUT_IMPORT'!$G$42:$G$1040,SUBSTITUTE(SUBSTITUTE(SUBSTITUTE($O481,"~","~~"),"*","~*"),"?","~?"),'DEF_SELF_SCOUT_IMPORT'!$H$42:$H$1040,"DROPBACK")/$C481)</f>
        <v>0.0</v>
      </c>
      <c r="I481" s="14" t="str">
        <f>IF(C481=0,"",IF(C481&lt;=2,"TRACK",IF(C481=3,"LOW",IF(C481&lt;=6,"MEDIUM","HIGH"))))</f>
        <v>TRACK</v>
      </c>
      <c r="J481" s="11">
        <f>IF(C481=0,"",ROUND(D481*70+(1-E481)*20+MAX(0,MIN(1,(10-F481)/10))*10,1))</f>
        <v>25.0</v>
      </c>
      <c r="K481" s="14" t="str">
        <f>IF(C481=0,"No Evidence",IF(C481&lt;=2,IF(E481&gt;0,"Explosive Alert","Track Only"),IF(C481=3,"Sample Watch",IF(E481&gt;=START_HERE!$B$31,"Explosive Alert",IF(J481&gt;=80,"Strong Candidate",IF(J481&gt;=65,"Good Candidate",IF(J481&gt;=50,"Mixed / Review","Problem Call")))))))</f>
        <v>Track Only</v>
      </c>
      <c r="L481" s="9" t="str">
        <f>IF(COUNTIFS('DEF_SELF_SCOUT_IMPORT'!$L$42:$L$1040,"Y",'DEF_SELF_SCOUT_IMPORT'!$E$42:$E$1040,SUBSTITUTE(SUBSTITUTE(SUBSTITUTE($B481,"~","~~"),"*","~*"),"?","~?"),'DEF_SELF_SCOUT_IMPORT'!$Q$42:$Q$1040,SUBSTITUTE(SUBSTITUTE(SUBSTITUTE($M481,"~","~~"),"*","~*"),"?","~?"),'DEF_SELF_SCOUT_IMPORT'!$G$42:$G$1040,SUBSTITUTE(SUBSTITUTE(SUBSTITUTE($O481,"~","~~"),"*","~*"),"?","~?"),'DEF_SELF_SCOUT_IMPORT'!$J$42:$J$1040,"")&gt;0,"Unscored clean outcome; review result tags before using score.",IF(C481=0,"No matching defensive reps; film confirmation needed.",IF(K481="Explosive Alert","Explosive risk; review clips before using as answer.",IF(C481&lt;=2,"Track only; not enough sample.",IF(C481=3,IF(E481&gt;0,"Sample watch with explosive exposure; review clips and build the sample.",IF(J481&gt;=65,"Good signal, but sample is limited.","Sample watch; review clips and build the sample.")),IF(K481="Problem Call","Problem area; practice or call-sheet review.",IF(K481="Strong Candidate","Strong call-fit candidate; confirm on film.",IF(K481="Good Candidate","Good call-fit signal; confirm on film.","Mixed signal; review fit and execution on film."))))))))</f>
        <v>Track only; not enough sample.</v>
      </c>
      <c r="M481" s="8" t="s">
        <v>85</v>
      </c>
      <c r="N481" s="8"/>
      <c r="O481" s="8" t="s">
        <v>203</v>
      </c>
      <c r="P481" s="8"/>
      <c r="Q481" s="8"/>
      <c r="R481" s="8" t="s">
        <v>28</v>
      </c>
      <c r="S481" s="2" t="s">
        <v>244</v>
      </c>
      <c r="T481" s="2">
        <f>IF(C481=0,0,IF(C481&gt;=CALL_LOOKUP_BOARD!$B$7,IF(OR(K481="Problem Call",K481="Explosive Alert"),10000000,20000000),0)+IF(C481&gt;=CALL_LOOKUP_BOARD!$B$7,J481*1000+MIN(C481,999),C481*1000+J481)+0.00989300)</f>
        <v>1025.009893</v>
      </c>
      <c r="U481" s="2">
        <f>IF(C481=0,"",IF(COUNTIFS($S$375:$S$581,SUBSTITUTE(SUBSTITUTE(SUBSTITUTE(S481,"~","~~"),"*","~*"),"?","~?"),$T$375:$T$581,"&gt;"&amp;T481)=0,S481,""))</f>
        <v/>
      </c>
    </row>
    <row r="482" spans="1:21" ht="38" customHeight="1">
      <c r="A482" s="8" t="s">
        <v>243</v>
      </c>
      <c r="B482" s="8" t="s">
        <v>66</v>
      </c>
      <c r="C482" s="12">
        <f>COUNTIFS('DEF_SELF_SCOUT_IMPORT'!$L$42:$L$1040,"Y",'DEF_SELF_SCOUT_IMPORT'!$E$42:$E$1040,SUBSTITUTE(SUBSTITUTE(SUBSTITUTE($B482,"~","~~"),"*","~*"),"?","~?"),'DEF_SELF_SCOUT_IMPORT'!$Q$42:$Q$1040,SUBSTITUTE(SUBSTITUTE(SUBSTITUTE($M482,"~","~~"),"*","~*"),"?","~?"),'DEF_SELF_SCOUT_IMPORT'!$G$42:$G$1040,SUBSTITUTE(SUBSTITUTE(SUBSTITUTE($O482,"~","~~"),"*","~*"),"?","~?"))</f>
        <v>1</v>
      </c>
      <c r="D482" s="10">
        <f>IF($C482=0,"",SUMIFS('DEF_SELF_SCOUT_IMPORT'!$J$42:$J$1040,'DEF_SELF_SCOUT_IMPORT'!$L$42:$L$1040,"Y",'DEF_SELF_SCOUT_IMPORT'!$E$42:$E$1040,SUBSTITUTE(SUBSTITUTE(SUBSTITUTE($B482,"~","~~"),"*","~*"),"?","~?"),'DEF_SELF_SCOUT_IMPORT'!$Q$42:$Q$1040,SUBSTITUTE(SUBSTITUTE(SUBSTITUTE($M482,"~","~~"),"*","~*"),"?","~?"),'DEF_SELF_SCOUT_IMPORT'!$G$42:$G$1040,SUBSTITUTE(SUBSTITUTE(SUBSTITUTE($O482,"~","~~"),"*","~*"),"?","~?"))/$C482)</f>
        <v>1.0</v>
      </c>
      <c r="E482" s="10">
        <f>IF($C482=0,"",SUMIFS('DEF_SELF_SCOUT_IMPORT'!$K$42:$K$1040,'DEF_SELF_SCOUT_IMPORT'!$L$42:$L$1040,"Y",'DEF_SELF_SCOUT_IMPORT'!$E$42:$E$1040,SUBSTITUTE(SUBSTITUTE(SUBSTITUTE($B482,"~","~~"),"*","~*"),"?","~?"),'DEF_SELF_SCOUT_IMPORT'!$Q$42:$Q$1040,SUBSTITUTE(SUBSTITUTE(SUBSTITUTE($M482,"~","~~"),"*","~*"),"?","~?"),'DEF_SELF_SCOUT_IMPORT'!$G$42:$G$1040,SUBSTITUTE(SUBSTITUTE(SUBSTITUTE($O482,"~","~~"),"*","~*"),"?","~?"))/$C482)</f>
        <v>0.0</v>
      </c>
      <c r="F482" s="11">
        <f>IF($C482=0,"",AVERAGEIFS('DEF_SELF_SCOUT_IMPORT'!$I$42:$I$1040,'DEF_SELF_SCOUT_IMPORT'!$L$42:$L$1040,"Y",'DEF_SELF_SCOUT_IMPORT'!$E$42:$E$1040,SUBSTITUTE(SUBSTITUTE(SUBSTITUTE($B482,"~","~~"),"*","~*"),"?","~?"),'DEF_SELF_SCOUT_IMPORT'!$Q$42:$Q$1040,SUBSTITUTE(SUBSTITUTE(SUBSTITUTE($M482,"~","~~"),"*","~*"),"?","~?"),'DEF_SELF_SCOUT_IMPORT'!$G$42:$G$1040,SUBSTITUTE(SUBSTITUTE(SUBSTITUTE($O482,"~","~~"),"*","~*"),"?","~?")))</f>
        <v>2.0</v>
      </c>
      <c r="G482" s="10">
        <f>IF($C482=0,"",COUNTIFS('DEF_SELF_SCOUT_IMPORT'!$L$42:$L$1040,"Y",'DEF_SELF_SCOUT_IMPORT'!$E$42:$E$1040,SUBSTITUTE(SUBSTITUTE(SUBSTITUTE($B482,"~","~~"),"*","~*"),"?","~?"),'DEF_SELF_SCOUT_IMPORT'!$Q$42:$Q$1040,SUBSTITUTE(SUBSTITUTE(SUBSTITUTE($M482,"~","~~"),"*","~*"),"?","~?"),'DEF_SELF_SCOUT_IMPORT'!$G$42:$G$1040,SUBSTITUTE(SUBSTITUTE(SUBSTITUTE($O482,"~","~~"),"*","~*"),"?","~?"),'DEF_SELF_SCOUT_IMPORT'!$H$42:$H$1040,"RUSH")/$C482)</f>
        <v>1.0</v>
      </c>
      <c r="H482" s="10">
        <f>IF($C482=0,"",COUNTIFS('DEF_SELF_SCOUT_IMPORT'!$L$42:$L$1040,"Y",'DEF_SELF_SCOUT_IMPORT'!$E$42:$E$1040,SUBSTITUTE(SUBSTITUTE(SUBSTITUTE($B482,"~","~~"),"*","~*"),"?","~?"),'DEF_SELF_SCOUT_IMPORT'!$Q$42:$Q$1040,SUBSTITUTE(SUBSTITUTE(SUBSTITUTE($M482,"~","~~"),"*","~*"),"?","~?"),'DEF_SELF_SCOUT_IMPORT'!$G$42:$G$1040,SUBSTITUTE(SUBSTITUTE(SUBSTITUTE($O482,"~","~~"),"*","~*"),"?","~?"),'DEF_SELF_SCOUT_IMPORT'!$H$42:$H$1040,"DROPBACK")/$C482)</f>
        <v>0.0</v>
      </c>
      <c r="I482" s="14" t="str">
        <f>IF(C482=0,"",IF(C482&lt;=2,"TRACK",IF(C482=3,"LOW",IF(C482&lt;=6,"MEDIUM","HIGH"))))</f>
        <v>TRACK</v>
      </c>
      <c r="J482" s="11">
        <f>IF(C482=0,"",ROUND(D482*70+(1-E482)*20+MAX(0,MIN(1,(10-F482)/10))*10,1))</f>
        <v>98.0</v>
      </c>
      <c r="K482" s="14" t="str">
        <f>IF(C482=0,"No Evidence",IF(C482&lt;=2,IF(E482&gt;0,"Explosive Alert","Track Only"),IF(C482=3,"Sample Watch",IF(E482&gt;=START_HERE!$B$31,"Explosive Alert",IF(J482&gt;=80,"Strong Candidate",IF(J482&gt;=65,"Good Candidate",IF(J482&gt;=50,"Mixed / Review","Problem Call")))))))</f>
        <v>Track Only</v>
      </c>
      <c r="L482" s="9" t="str">
        <f>IF(COUNTIFS('DEF_SELF_SCOUT_IMPORT'!$L$42:$L$1040,"Y",'DEF_SELF_SCOUT_IMPORT'!$E$42:$E$1040,SUBSTITUTE(SUBSTITUTE(SUBSTITUTE($B482,"~","~~"),"*","~*"),"?","~?"),'DEF_SELF_SCOUT_IMPORT'!$Q$42:$Q$1040,SUBSTITUTE(SUBSTITUTE(SUBSTITUTE($M482,"~","~~"),"*","~*"),"?","~?"),'DEF_SELF_SCOUT_IMPORT'!$G$42:$G$1040,SUBSTITUTE(SUBSTITUTE(SUBSTITUTE($O482,"~","~~"),"*","~*"),"?","~?"),'DEF_SELF_SCOUT_IMPORT'!$J$42:$J$1040,"")&gt;0,"Unscored clean outcome; review result tags before using score.",IF(C482=0,"No matching defensive reps; film confirmation needed.",IF(K482="Explosive Alert","Explosive risk; review clips before using as answer.",IF(C482&lt;=2,"Track only; not enough sample.",IF(C482=3,IF(E482&gt;0,"Sample watch with explosive exposure; review clips and build the sample.",IF(J482&gt;=65,"Good signal, but sample is limited.","Sample watch; review clips and build the sample.")),IF(K482="Problem Call","Problem area; practice or call-sheet review.",IF(K482="Strong Candidate","Strong call-fit candidate; confirm on film.",IF(K482="Good Candidate","Good call-fit signal; confirm on film.","Mixed signal; review fit and execution on film."))))))))</f>
        <v>Track only; not enough sample.</v>
      </c>
      <c r="M482" s="8" t="s">
        <v>85</v>
      </c>
      <c r="N482" s="8"/>
      <c r="O482" s="8" t="s">
        <v>203</v>
      </c>
      <c r="P482" s="8"/>
      <c r="Q482" s="8"/>
      <c r="R482" s="8" t="s">
        <v>28</v>
      </c>
      <c r="S482" s="2" t="s">
        <v>244</v>
      </c>
      <c r="T482" s="2">
        <f>IF(C482=0,0,IF(C482&gt;=CALL_LOOKUP_BOARD!$B$7,IF(OR(K482="Problem Call",K482="Explosive Alert"),10000000,20000000),0)+IF(C482&gt;=CALL_LOOKUP_BOARD!$B$7,J482*1000+MIN(C482,999),C482*1000+J482)+0.00989200)</f>
        <v>1098.009892</v>
      </c>
      <c r="U482" s="2">
        <f>IF(C482=0,"",IF(COUNTIFS($S$375:$S$581,SUBSTITUTE(SUBSTITUTE(SUBSTITUTE(S482,"~","~~"),"*","~*"),"?","~?"),$T$375:$T$581,"&gt;"&amp;T482)=0,S482,""))</f>
        <v/>
      </c>
    </row>
    <row r="483" spans="1:21" ht="38" customHeight="1">
      <c r="A483" s="8" t="s">
        <v>243</v>
      </c>
      <c r="B483" s="8" t="s">
        <v>69</v>
      </c>
      <c r="C483" s="12">
        <f>COUNTIFS('DEF_SELF_SCOUT_IMPORT'!$L$42:$L$1040,"Y",'DEF_SELF_SCOUT_IMPORT'!$E$42:$E$1040,SUBSTITUTE(SUBSTITUTE(SUBSTITUTE($B483,"~","~~"),"*","~*"),"?","~?"),'DEF_SELF_SCOUT_IMPORT'!$Q$42:$Q$1040,SUBSTITUTE(SUBSTITUTE(SUBSTITUTE($M483,"~","~~"),"*","~*"),"?","~?"),'DEF_SELF_SCOUT_IMPORT'!$G$42:$G$1040,SUBSTITUTE(SUBSTITUTE(SUBSTITUTE($O483,"~","~~"),"*","~*"),"?","~?"))</f>
        <v>1</v>
      </c>
      <c r="D483" s="10">
        <f>IF($C483=0,"",SUMIFS('DEF_SELF_SCOUT_IMPORT'!$J$42:$J$1040,'DEF_SELF_SCOUT_IMPORT'!$L$42:$L$1040,"Y",'DEF_SELF_SCOUT_IMPORT'!$E$42:$E$1040,SUBSTITUTE(SUBSTITUTE(SUBSTITUTE($B483,"~","~~"),"*","~*"),"?","~?"),'DEF_SELF_SCOUT_IMPORT'!$Q$42:$Q$1040,SUBSTITUTE(SUBSTITUTE(SUBSTITUTE($M483,"~","~~"),"*","~*"),"?","~?"),'DEF_SELF_SCOUT_IMPORT'!$G$42:$G$1040,SUBSTITUTE(SUBSTITUTE(SUBSTITUTE($O483,"~","~~"),"*","~*"),"?","~?"))/$C483)</f>
        <v>1.0</v>
      </c>
      <c r="E483" s="10">
        <f>IF($C483=0,"",SUMIFS('DEF_SELF_SCOUT_IMPORT'!$K$42:$K$1040,'DEF_SELF_SCOUT_IMPORT'!$L$42:$L$1040,"Y",'DEF_SELF_SCOUT_IMPORT'!$E$42:$E$1040,SUBSTITUTE(SUBSTITUTE(SUBSTITUTE($B483,"~","~~"),"*","~*"),"?","~?"),'DEF_SELF_SCOUT_IMPORT'!$Q$42:$Q$1040,SUBSTITUTE(SUBSTITUTE(SUBSTITUTE($M483,"~","~~"),"*","~*"),"?","~?"),'DEF_SELF_SCOUT_IMPORT'!$G$42:$G$1040,SUBSTITUTE(SUBSTITUTE(SUBSTITUTE($O483,"~","~~"),"*","~*"),"?","~?"))/$C483)</f>
        <v>0.0</v>
      </c>
      <c r="F483" s="11">
        <f>IF($C483=0,"",AVERAGEIFS('DEF_SELF_SCOUT_IMPORT'!$I$42:$I$1040,'DEF_SELF_SCOUT_IMPORT'!$L$42:$L$1040,"Y",'DEF_SELF_SCOUT_IMPORT'!$E$42:$E$1040,SUBSTITUTE(SUBSTITUTE(SUBSTITUTE($B483,"~","~~"),"*","~*"),"?","~?"),'DEF_SELF_SCOUT_IMPORT'!$Q$42:$Q$1040,SUBSTITUTE(SUBSTITUTE(SUBSTITUTE($M483,"~","~~"),"*","~*"),"?","~?"),'DEF_SELF_SCOUT_IMPORT'!$G$42:$G$1040,SUBSTITUTE(SUBSTITUTE(SUBSTITUTE($O483,"~","~~"),"*","~*"),"?","~?")))</f>
        <v>5.0</v>
      </c>
      <c r="G483" s="10">
        <f>IF($C483=0,"",COUNTIFS('DEF_SELF_SCOUT_IMPORT'!$L$42:$L$1040,"Y",'DEF_SELF_SCOUT_IMPORT'!$E$42:$E$1040,SUBSTITUTE(SUBSTITUTE(SUBSTITUTE($B483,"~","~~"),"*","~*"),"?","~?"),'DEF_SELF_SCOUT_IMPORT'!$Q$42:$Q$1040,SUBSTITUTE(SUBSTITUTE(SUBSTITUTE($M483,"~","~~"),"*","~*"),"?","~?"),'DEF_SELF_SCOUT_IMPORT'!$G$42:$G$1040,SUBSTITUTE(SUBSTITUTE(SUBSTITUTE($O483,"~","~~"),"*","~*"),"?","~?"),'DEF_SELF_SCOUT_IMPORT'!$H$42:$H$1040,"RUSH")/$C483)</f>
        <v>0.0</v>
      </c>
      <c r="H483" s="10">
        <f>IF($C483=0,"",COUNTIFS('DEF_SELF_SCOUT_IMPORT'!$L$42:$L$1040,"Y",'DEF_SELF_SCOUT_IMPORT'!$E$42:$E$1040,SUBSTITUTE(SUBSTITUTE(SUBSTITUTE($B483,"~","~~"),"*","~*"),"?","~?"),'DEF_SELF_SCOUT_IMPORT'!$Q$42:$Q$1040,SUBSTITUTE(SUBSTITUTE(SUBSTITUTE($M483,"~","~~"),"*","~*"),"?","~?"),'DEF_SELF_SCOUT_IMPORT'!$G$42:$G$1040,SUBSTITUTE(SUBSTITUTE(SUBSTITUTE($O483,"~","~~"),"*","~*"),"?","~?"),'DEF_SELF_SCOUT_IMPORT'!$H$42:$H$1040,"DROPBACK")/$C483)</f>
        <v>1.0</v>
      </c>
      <c r="I483" s="14" t="str">
        <f>IF(C483=0,"",IF(C483&lt;=2,"TRACK",IF(C483=3,"LOW",IF(C483&lt;=6,"MEDIUM","HIGH"))))</f>
        <v>TRACK</v>
      </c>
      <c r="J483" s="11">
        <f>IF(C483=0,"",ROUND(D483*70+(1-E483)*20+MAX(0,MIN(1,(10-F483)/10))*10,1))</f>
        <v>95.0</v>
      </c>
      <c r="K483" s="14" t="str">
        <f>IF(C483=0,"No Evidence",IF(C483&lt;=2,IF(E483&gt;0,"Explosive Alert","Track Only"),IF(C483=3,"Sample Watch",IF(E483&gt;=START_HERE!$B$31,"Explosive Alert",IF(J483&gt;=80,"Strong Candidate",IF(J483&gt;=65,"Good Candidate",IF(J483&gt;=50,"Mixed / Review","Problem Call")))))))</f>
        <v>Track Only</v>
      </c>
      <c r="L483" s="9" t="str">
        <f>IF(COUNTIFS('DEF_SELF_SCOUT_IMPORT'!$L$42:$L$1040,"Y",'DEF_SELF_SCOUT_IMPORT'!$E$42:$E$1040,SUBSTITUTE(SUBSTITUTE(SUBSTITUTE($B483,"~","~~"),"*","~*"),"?","~?"),'DEF_SELF_SCOUT_IMPORT'!$Q$42:$Q$1040,SUBSTITUTE(SUBSTITUTE(SUBSTITUTE($M483,"~","~~"),"*","~*"),"?","~?"),'DEF_SELF_SCOUT_IMPORT'!$G$42:$G$1040,SUBSTITUTE(SUBSTITUTE(SUBSTITUTE($O483,"~","~~"),"*","~*"),"?","~?"),'DEF_SELF_SCOUT_IMPORT'!$J$42:$J$1040,"")&gt;0,"Unscored clean outcome; review result tags before using score.",IF(C483=0,"No matching defensive reps; film confirmation needed.",IF(K483="Explosive Alert","Explosive risk; review clips before using as answer.",IF(C483&lt;=2,"Track only; not enough sample.",IF(C483=3,IF(E483&gt;0,"Sample watch with explosive exposure; review clips and build the sample.",IF(J483&gt;=65,"Good signal, but sample is limited.","Sample watch; review clips and build the sample.")),IF(K483="Problem Call","Problem area; practice or call-sheet review.",IF(K483="Strong Candidate","Strong call-fit candidate; confirm on film.",IF(K483="Good Candidate","Good call-fit signal; confirm on film.","Mixed signal; review fit and execution on film."))))))))</f>
        <v>Track only; not enough sample.</v>
      </c>
      <c r="M483" s="8" t="s">
        <v>85</v>
      </c>
      <c r="N483" s="8"/>
      <c r="O483" s="8" t="s">
        <v>203</v>
      </c>
      <c r="P483" s="8"/>
      <c r="Q483" s="8"/>
      <c r="R483" s="8" t="s">
        <v>28</v>
      </c>
      <c r="S483" s="2" t="s">
        <v>244</v>
      </c>
      <c r="T483" s="2">
        <f>IF(C483=0,0,IF(C483&gt;=CALL_LOOKUP_BOARD!$B$7,IF(OR(K483="Problem Call",K483="Explosive Alert"),10000000,20000000),0)+IF(C483&gt;=CALL_LOOKUP_BOARD!$B$7,J483*1000+MIN(C483,999),C483*1000+J483)+0.00989100)</f>
        <v>1095.009891</v>
      </c>
      <c r="U483" s="2">
        <f>IF(C483=0,"",IF(COUNTIFS($S$375:$S$581,SUBSTITUTE(SUBSTITUTE(SUBSTITUTE(S483,"~","~~"),"*","~*"),"?","~?"),$T$375:$T$581,"&gt;"&amp;T483)=0,S483,""))</f>
        <v/>
      </c>
    </row>
    <row r="484" spans="1:21" ht="38" customHeight="1">
      <c r="A484" s="8" t="s">
        <v>245</v>
      </c>
      <c r="B484" s="8" t="s">
        <v>27</v>
      </c>
      <c r="C484" s="12">
        <f>COUNTIFS('DEF_SELF_SCOUT_IMPORT'!$L$42:$L$1040,"Y",'DEF_SELF_SCOUT_IMPORT'!$E$42:$E$1040,SUBSTITUTE(SUBSTITUTE(SUBSTITUTE($B484,"~","~~"),"*","~*"),"?","~?"),'DEF_SELF_SCOUT_IMPORT'!$Q$42:$Q$1040,SUBSTITUTE(SUBSTITUTE(SUBSTITUTE($M484,"~","~~"),"*","~*"),"?","~?"),'DEF_SELF_SCOUT_IMPORT'!$G$42:$G$1040,SUBSTITUTE(SUBSTITUTE(SUBSTITUTE($O484,"~","~~"),"*","~*"),"?","~?"))</f>
        <v>1</v>
      </c>
      <c r="D484" s="10">
        <f>IF($C484=0,"",SUMIFS('DEF_SELF_SCOUT_IMPORT'!$J$42:$J$1040,'DEF_SELF_SCOUT_IMPORT'!$L$42:$L$1040,"Y",'DEF_SELF_SCOUT_IMPORT'!$E$42:$E$1040,SUBSTITUTE(SUBSTITUTE(SUBSTITUTE($B484,"~","~~"),"*","~*"),"?","~?"),'DEF_SELF_SCOUT_IMPORT'!$Q$42:$Q$1040,SUBSTITUTE(SUBSTITUTE(SUBSTITUTE($M484,"~","~~"),"*","~*"),"?","~?"),'DEF_SELF_SCOUT_IMPORT'!$G$42:$G$1040,SUBSTITUTE(SUBSTITUTE(SUBSTITUTE($O484,"~","~~"),"*","~*"),"?","~?"))/$C484)</f>
        <v>1.0</v>
      </c>
      <c r="E484" s="10">
        <f>IF($C484=0,"",SUMIFS('DEF_SELF_SCOUT_IMPORT'!$K$42:$K$1040,'DEF_SELF_SCOUT_IMPORT'!$L$42:$L$1040,"Y",'DEF_SELF_SCOUT_IMPORT'!$E$42:$E$1040,SUBSTITUTE(SUBSTITUTE(SUBSTITUTE($B484,"~","~~"),"*","~*"),"?","~?"),'DEF_SELF_SCOUT_IMPORT'!$Q$42:$Q$1040,SUBSTITUTE(SUBSTITUTE(SUBSTITUTE($M484,"~","~~"),"*","~*"),"?","~?"),'DEF_SELF_SCOUT_IMPORT'!$G$42:$G$1040,SUBSTITUTE(SUBSTITUTE(SUBSTITUTE($O484,"~","~~"),"*","~*"),"?","~?"))/$C484)</f>
        <v>0.0</v>
      </c>
      <c r="F484" s="11">
        <f>IF($C484=0,"",AVERAGEIFS('DEF_SELF_SCOUT_IMPORT'!$I$42:$I$1040,'DEF_SELF_SCOUT_IMPORT'!$L$42:$L$1040,"Y",'DEF_SELF_SCOUT_IMPORT'!$E$42:$E$1040,SUBSTITUTE(SUBSTITUTE(SUBSTITUTE($B484,"~","~~"),"*","~*"),"?","~?"),'DEF_SELF_SCOUT_IMPORT'!$Q$42:$Q$1040,SUBSTITUTE(SUBSTITUTE(SUBSTITUTE($M484,"~","~~"),"*","~*"),"?","~?"),'DEF_SELF_SCOUT_IMPORT'!$G$42:$G$1040,SUBSTITUTE(SUBSTITUTE(SUBSTITUTE($O484,"~","~~"),"*","~*"),"?","~?")))</f>
        <v>3.0</v>
      </c>
      <c r="G484" s="10">
        <f>IF($C484=0,"",COUNTIFS('DEF_SELF_SCOUT_IMPORT'!$L$42:$L$1040,"Y",'DEF_SELF_SCOUT_IMPORT'!$E$42:$E$1040,SUBSTITUTE(SUBSTITUTE(SUBSTITUTE($B484,"~","~~"),"*","~*"),"?","~?"),'DEF_SELF_SCOUT_IMPORT'!$Q$42:$Q$1040,SUBSTITUTE(SUBSTITUTE(SUBSTITUTE($M484,"~","~~"),"*","~*"),"?","~?"),'DEF_SELF_SCOUT_IMPORT'!$G$42:$G$1040,SUBSTITUTE(SUBSTITUTE(SUBSTITUTE($O484,"~","~~"),"*","~*"),"?","~?"),'DEF_SELF_SCOUT_IMPORT'!$H$42:$H$1040,"RUSH")/$C484)</f>
        <v>1.0</v>
      </c>
      <c r="H484" s="10">
        <f>IF($C484=0,"",COUNTIFS('DEF_SELF_SCOUT_IMPORT'!$L$42:$L$1040,"Y",'DEF_SELF_SCOUT_IMPORT'!$E$42:$E$1040,SUBSTITUTE(SUBSTITUTE(SUBSTITUTE($B484,"~","~~"),"*","~*"),"?","~?"),'DEF_SELF_SCOUT_IMPORT'!$Q$42:$Q$1040,SUBSTITUTE(SUBSTITUTE(SUBSTITUTE($M484,"~","~~"),"*","~*"),"?","~?"),'DEF_SELF_SCOUT_IMPORT'!$G$42:$G$1040,SUBSTITUTE(SUBSTITUTE(SUBSTITUTE($O484,"~","~~"),"*","~*"),"?","~?"),'DEF_SELF_SCOUT_IMPORT'!$H$42:$H$1040,"DROPBACK")/$C484)</f>
        <v>0.0</v>
      </c>
      <c r="I484" s="14" t="str">
        <f>IF(C484=0,"",IF(C484&lt;=2,"TRACK",IF(C484=3,"LOW",IF(C484&lt;=6,"MEDIUM","HIGH"))))</f>
        <v>TRACK</v>
      </c>
      <c r="J484" s="11">
        <f>IF(C484=0,"",ROUND(D484*70+(1-E484)*20+MAX(0,MIN(1,(10-F484)/10))*10,1))</f>
        <v>97.0</v>
      </c>
      <c r="K484" s="14" t="str">
        <f>IF(C484=0,"No Evidence",IF(C484&lt;=2,IF(E484&gt;0,"Explosive Alert","Track Only"),IF(C484=3,"Sample Watch",IF(E484&gt;=START_HERE!$B$31,"Explosive Alert",IF(J484&gt;=80,"Strong Candidate",IF(J484&gt;=65,"Good Candidate",IF(J484&gt;=50,"Mixed / Review","Problem Call")))))))</f>
        <v>Track Only</v>
      </c>
      <c r="L484" s="9" t="str">
        <f>IF(COUNTIFS('DEF_SELF_SCOUT_IMPORT'!$L$42:$L$1040,"Y",'DEF_SELF_SCOUT_IMPORT'!$E$42:$E$1040,SUBSTITUTE(SUBSTITUTE(SUBSTITUTE($B484,"~","~~"),"*","~*"),"?","~?"),'DEF_SELF_SCOUT_IMPORT'!$Q$42:$Q$1040,SUBSTITUTE(SUBSTITUTE(SUBSTITUTE($M484,"~","~~"),"*","~*"),"?","~?"),'DEF_SELF_SCOUT_IMPORT'!$G$42:$G$1040,SUBSTITUTE(SUBSTITUTE(SUBSTITUTE($O484,"~","~~"),"*","~*"),"?","~?"),'DEF_SELF_SCOUT_IMPORT'!$J$42:$J$1040,"")&gt;0,"Unscored clean outcome; review result tags before using score.",IF(C484=0,"No matching defensive reps; film confirmation needed.",IF(K484="Explosive Alert","Explosive risk; review clips before using as answer.",IF(C484&lt;=2,"Track only; not enough sample.",IF(C484=3,IF(E484&gt;0,"Sample watch with explosive exposure; review clips and build the sample.",IF(J484&gt;=65,"Good signal, but sample is limited.","Sample watch; review clips and build the sample.")),IF(K484="Problem Call","Problem area; practice or call-sheet review.",IF(K484="Strong Candidate","Strong call-fit candidate; confirm on film.",IF(K484="Good Candidate","Good call-fit signal; confirm on film.","Mixed signal; review fit and execution on film."))))))))</f>
        <v>Track only; not enough sample.</v>
      </c>
      <c r="M484" s="8" t="s">
        <v>85</v>
      </c>
      <c r="N484" s="8"/>
      <c r="O484" s="8" t="s">
        <v>206</v>
      </c>
      <c r="P484" s="8"/>
      <c r="Q484" s="8"/>
      <c r="R484" s="8" t="s">
        <v>28</v>
      </c>
      <c r="S484" s="2" t="s">
        <v>246</v>
      </c>
      <c r="T484" s="2">
        <f>IF(C484=0,0,IF(C484&gt;=CALL_LOOKUP_BOARD!$B$7,IF(OR(K484="Problem Call",K484="Explosive Alert"),10000000,20000000),0)+IF(C484&gt;=CALL_LOOKUP_BOARD!$B$7,J484*1000+MIN(C484,999),C484*1000+J484)+0.00989000)</f>
        <v>1097.00989</v>
      </c>
      <c r="U484" s="2">
        <f>IF(C484=0,"",IF(COUNTIFS($S$375:$S$581,SUBSTITUTE(SUBSTITUTE(SUBSTITUTE(S484,"~","~~"),"*","~*"),"?","~?"),$T$375:$T$581,"&gt;"&amp;T484)=0,S484,""))</f>
        <v/>
      </c>
    </row>
    <row r="485" spans="1:21" ht="38" customHeight="1">
      <c r="A485" s="8" t="s">
        <v>245</v>
      </c>
      <c r="B485" s="8" t="s">
        <v>43</v>
      </c>
      <c r="C485" s="12">
        <f>COUNTIFS('DEF_SELF_SCOUT_IMPORT'!$L$42:$L$1040,"Y",'DEF_SELF_SCOUT_IMPORT'!$E$42:$E$1040,SUBSTITUTE(SUBSTITUTE(SUBSTITUTE($B485,"~","~~"),"*","~*"),"?","~?"),'DEF_SELF_SCOUT_IMPORT'!$Q$42:$Q$1040,SUBSTITUTE(SUBSTITUTE(SUBSTITUTE($M485,"~","~~"),"*","~*"),"?","~?"),'DEF_SELF_SCOUT_IMPORT'!$G$42:$G$1040,SUBSTITUTE(SUBSTITUTE(SUBSTITUTE($O485,"~","~~"),"*","~*"),"?","~?"))</f>
        <v>1</v>
      </c>
      <c r="D485" s="10">
        <f>IF($C485=0,"",SUMIFS('DEF_SELF_SCOUT_IMPORT'!$J$42:$J$1040,'DEF_SELF_SCOUT_IMPORT'!$L$42:$L$1040,"Y",'DEF_SELF_SCOUT_IMPORT'!$E$42:$E$1040,SUBSTITUTE(SUBSTITUTE(SUBSTITUTE($B485,"~","~~"),"*","~*"),"?","~?"),'DEF_SELF_SCOUT_IMPORT'!$Q$42:$Q$1040,SUBSTITUTE(SUBSTITUTE(SUBSTITUTE($M485,"~","~~"),"*","~*"),"?","~?"),'DEF_SELF_SCOUT_IMPORT'!$G$42:$G$1040,SUBSTITUTE(SUBSTITUTE(SUBSTITUTE($O485,"~","~~"),"*","~*"),"?","~?"))/$C485)</f>
        <v>1.0</v>
      </c>
      <c r="E485" s="10">
        <f>IF($C485=0,"",SUMIFS('DEF_SELF_SCOUT_IMPORT'!$K$42:$K$1040,'DEF_SELF_SCOUT_IMPORT'!$L$42:$L$1040,"Y",'DEF_SELF_SCOUT_IMPORT'!$E$42:$E$1040,SUBSTITUTE(SUBSTITUTE(SUBSTITUTE($B485,"~","~~"),"*","~*"),"?","~?"),'DEF_SELF_SCOUT_IMPORT'!$Q$42:$Q$1040,SUBSTITUTE(SUBSTITUTE(SUBSTITUTE($M485,"~","~~"),"*","~*"),"?","~?"),'DEF_SELF_SCOUT_IMPORT'!$G$42:$G$1040,SUBSTITUTE(SUBSTITUTE(SUBSTITUTE($O485,"~","~~"),"*","~*"),"?","~?"))/$C485)</f>
        <v>0.0</v>
      </c>
      <c r="F485" s="11">
        <f>IF($C485=0,"",AVERAGEIFS('DEF_SELF_SCOUT_IMPORT'!$I$42:$I$1040,'DEF_SELF_SCOUT_IMPORT'!$L$42:$L$1040,"Y",'DEF_SELF_SCOUT_IMPORT'!$E$42:$E$1040,SUBSTITUTE(SUBSTITUTE(SUBSTITUTE($B485,"~","~~"),"*","~*"),"?","~?"),'DEF_SELF_SCOUT_IMPORT'!$Q$42:$Q$1040,SUBSTITUTE(SUBSTITUTE(SUBSTITUTE($M485,"~","~~"),"*","~*"),"?","~?"),'DEF_SELF_SCOUT_IMPORT'!$G$42:$G$1040,SUBSTITUTE(SUBSTITUTE(SUBSTITUTE($O485,"~","~~"),"*","~*"),"?","~?")))</f>
        <v>5.0</v>
      </c>
      <c r="G485" s="10">
        <f>IF($C485=0,"",COUNTIFS('DEF_SELF_SCOUT_IMPORT'!$L$42:$L$1040,"Y",'DEF_SELF_SCOUT_IMPORT'!$E$42:$E$1040,SUBSTITUTE(SUBSTITUTE(SUBSTITUTE($B485,"~","~~"),"*","~*"),"?","~?"),'DEF_SELF_SCOUT_IMPORT'!$Q$42:$Q$1040,SUBSTITUTE(SUBSTITUTE(SUBSTITUTE($M485,"~","~~"),"*","~*"),"?","~?"),'DEF_SELF_SCOUT_IMPORT'!$G$42:$G$1040,SUBSTITUTE(SUBSTITUTE(SUBSTITUTE($O485,"~","~~"),"*","~*"),"?","~?"),'DEF_SELF_SCOUT_IMPORT'!$H$42:$H$1040,"RUSH")/$C485)</f>
        <v>0.0</v>
      </c>
      <c r="H485" s="10">
        <f>IF($C485=0,"",COUNTIFS('DEF_SELF_SCOUT_IMPORT'!$L$42:$L$1040,"Y",'DEF_SELF_SCOUT_IMPORT'!$E$42:$E$1040,SUBSTITUTE(SUBSTITUTE(SUBSTITUTE($B485,"~","~~"),"*","~*"),"?","~?"),'DEF_SELF_SCOUT_IMPORT'!$Q$42:$Q$1040,SUBSTITUTE(SUBSTITUTE(SUBSTITUTE($M485,"~","~~"),"*","~*"),"?","~?"),'DEF_SELF_SCOUT_IMPORT'!$G$42:$G$1040,SUBSTITUTE(SUBSTITUTE(SUBSTITUTE($O485,"~","~~"),"*","~*"),"?","~?"),'DEF_SELF_SCOUT_IMPORT'!$H$42:$H$1040,"DROPBACK")/$C485)</f>
        <v>1.0</v>
      </c>
      <c r="I485" s="14" t="str">
        <f>IF(C485=0,"",IF(C485&lt;=2,"TRACK",IF(C485=3,"LOW",IF(C485&lt;=6,"MEDIUM","HIGH"))))</f>
        <v>TRACK</v>
      </c>
      <c r="J485" s="11">
        <f>IF(C485=0,"",ROUND(D485*70+(1-E485)*20+MAX(0,MIN(1,(10-F485)/10))*10,1))</f>
        <v>95.0</v>
      </c>
      <c r="K485" s="14" t="str">
        <f>IF(C485=0,"No Evidence",IF(C485&lt;=2,IF(E485&gt;0,"Explosive Alert","Track Only"),IF(C485=3,"Sample Watch",IF(E485&gt;=START_HERE!$B$31,"Explosive Alert",IF(J485&gt;=80,"Strong Candidate",IF(J485&gt;=65,"Good Candidate",IF(J485&gt;=50,"Mixed / Review","Problem Call")))))))</f>
        <v>Track Only</v>
      </c>
      <c r="L485" s="9" t="str">
        <f>IF(COUNTIFS('DEF_SELF_SCOUT_IMPORT'!$L$42:$L$1040,"Y",'DEF_SELF_SCOUT_IMPORT'!$E$42:$E$1040,SUBSTITUTE(SUBSTITUTE(SUBSTITUTE($B485,"~","~~"),"*","~*"),"?","~?"),'DEF_SELF_SCOUT_IMPORT'!$Q$42:$Q$1040,SUBSTITUTE(SUBSTITUTE(SUBSTITUTE($M485,"~","~~"),"*","~*"),"?","~?"),'DEF_SELF_SCOUT_IMPORT'!$G$42:$G$1040,SUBSTITUTE(SUBSTITUTE(SUBSTITUTE($O485,"~","~~"),"*","~*"),"?","~?"),'DEF_SELF_SCOUT_IMPORT'!$J$42:$J$1040,"")&gt;0,"Unscored clean outcome; review result tags before using score.",IF(C485=0,"No matching defensive reps; film confirmation needed.",IF(K485="Explosive Alert","Explosive risk; review clips before using as answer.",IF(C485&lt;=2,"Track only; not enough sample.",IF(C485=3,IF(E485&gt;0,"Sample watch with explosive exposure; review clips and build the sample.",IF(J485&gt;=65,"Good signal, but sample is limited.","Sample watch; review clips and build the sample.")),IF(K485="Problem Call","Problem area; practice or call-sheet review.",IF(K485="Strong Candidate","Strong call-fit candidate; confirm on film.",IF(K485="Good Candidate","Good call-fit signal; confirm on film.","Mixed signal; review fit and execution on film."))))))))</f>
        <v>Track only; not enough sample.</v>
      </c>
      <c r="M485" s="8" t="s">
        <v>85</v>
      </c>
      <c r="N485" s="8"/>
      <c r="O485" s="8" t="s">
        <v>206</v>
      </c>
      <c r="P485" s="8"/>
      <c r="Q485" s="8"/>
      <c r="R485" s="8" t="s">
        <v>28</v>
      </c>
      <c r="S485" s="2" t="s">
        <v>246</v>
      </c>
      <c r="T485" s="2">
        <f>IF(C485=0,0,IF(C485&gt;=CALL_LOOKUP_BOARD!$B$7,IF(OR(K485="Problem Call",K485="Explosive Alert"),10000000,20000000),0)+IF(C485&gt;=CALL_LOOKUP_BOARD!$B$7,J485*1000+MIN(C485,999),C485*1000+J485)+0.00988900)</f>
        <v>1095.009889</v>
      </c>
      <c r="U485" s="2">
        <f>IF(C485=0,"",IF(COUNTIFS($S$375:$S$581,SUBSTITUTE(SUBSTITUTE(SUBSTITUTE(S485,"~","~~"),"*","~*"),"?","~?"),$T$375:$T$581,"&gt;"&amp;T485)=0,S485,""))</f>
        <v/>
      </c>
    </row>
    <row r="486" spans="1:21" ht="38" customHeight="1">
      <c r="A486" s="8" t="s">
        <v>245</v>
      </c>
      <c r="B486" s="8" t="s">
        <v>48</v>
      </c>
      <c r="C486" s="12">
        <f>COUNTIFS('DEF_SELF_SCOUT_IMPORT'!$L$42:$L$1040,"Y",'DEF_SELF_SCOUT_IMPORT'!$E$42:$E$1040,SUBSTITUTE(SUBSTITUTE(SUBSTITUTE($B486,"~","~~"),"*","~*"),"?","~?"),'DEF_SELF_SCOUT_IMPORT'!$Q$42:$Q$1040,SUBSTITUTE(SUBSTITUTE(SUBSTITUTE($M486,"~","~~"),"*","~*"),"?","~?"),'DEF_SELF_SCOUT_IMPORT'!$G$42:$G$1040,SUBSTITUTE(SUBSTITUTE(SUBSTITUTE($O486,"~","~~"),"*","~*"),"?","~?"))</f>
        <v>2</v>
      </c>
      <c r="D486" s="10">
        <f>IF($C486=0,"",SUMIFS('DEF_SELF_SCOUT_IMPORT'!$J$42:$J$1040,'DEF_SELF_SCOUT_IMPORT'!$L$42:$L$1040,"Y",'DEF_SELF_SCOUT_IMPORT'!$E$42:$E$1040,SUBSTITUTE(SUBSTITUTE(SUBSTITUTE($B486,"~","~~"),"*","~*"),"?","~?"),'DEF_SELF_SCOUT_IMPORT'!$Q$42:$Q$1040,SUBSTITUTE(SUBSTITUTE(SUBSTITUTE($M486,"~","~~"),"*","~*"),"?","~?"),'DEF_SELF_SCOUT_IMPORT'!$G$42:$G$1040,SUBSTITUTE(SUBSTITUTE(SUBSTITUTE($O486,"~","~~"),"*","~*"),"?","~?"))/$C486)</f>
        <v>0.5</v>
      </c>
      <c r="E486" s="10">
        <f>IF($C486=0,"",SUMIFS('DEF_SELF_SCOUT_IMPORT'!$K$42:$K$1040,'DEF_SELF_SCOUT_IMPORT'!$L$42:$L$1040,"Y",'DEF_SELF_SCOUT_IMPORT'!$E$42:$E$1040,SUBSTITUTE(SUBSTITUTE(SUBSTITUTE($B486,"~","~~"),"*","~*"),"?","~?"),'DEF_SELF_SCOUT_IMPORT'!$Q$42:$Q$1040,SUBSTITUTE(SUBSTITUTE(SUBSTITUTE($M486,"~","~~"),"*","~*"),"?","~?"),'DEF_SELF_SCOUT_IMPORT'!$G$42:$G$1040,SUBSTITUTE(SUBSTITUTE(SUBSTITUTE($O486,"~","~~"),"*","~*"),"?","~?"))/$C486)</f>
        <v>0.0</v>
      </c>
      <c r="F486" s="11">
        <f>IF($C486=0,"",AVERAGEIFS('DEF_SELF_SCOUT_IMPORT'!$I$42:$I$1040,'DEF_SELF_SCOUT_IMPORT'!$L$42:$L$1040,"Y",'DEF_SELF_SCOUT_IMPORT'!$E$42:$E$1040,SUBSTITUTE(SUBSTITUTE(SUBSTITUTE($B486,"~","~~"),"*","~*"),"?","~?"),'DEF_SELF_SCOUT_IMPORT'!$Q$42:$Q$1040,SUBSTITUTE(SUBSTITUTE(SUBSTITUTE($M486,"~","~~"),"*","~*"),"?","~?"),'DEF_SELF_SCOUT_IMPORT'!$G$42:$G$1040,SUBSTITUTE(SUBSTITUTE(SUBSTITUTE($O486,"~","~~"),"*","~*"),"?","~?")))</f>
        <v>5.0</v>
      </c>
      <c r="G486" s="10">
        <f>IF($C486=0,"",COUNTIFS('DEF_SELF_SCOUT_IMPORT'!$L$42:$L$1040,"Y",'DEF_SELF_SCOUT_IMPORT'!$E$42:$E$1040,SUBSTITUTE(SUBSTITUTE(SUBSTITUTE($B486,"~","~~"),"*","~*"),"?","~?"),'DEF_SELF_SCOUT_IMPORT'!$Q$42:$Q$1040,SUBSTITUTE(SUBSTITUTE(SUBSTITUTE($M486,"~","~~"),"*","~*"),"?","~?"),'DEF_SELF_SCOUT_IMPORT'!$G$42:$G$1040,SUBSTITUTE(SUBSTITUTE(SUBSTITUTE($O486,"~","~~"),"*","~*"),"?","~?"),'DEF_SELF_SCOUT_IMPORT'!$H$42:$H$1040,"RUSH")/$C486)</f>
        <v>0.0</v>
      </c>
      <c r="H486" s="10">
        <f>IF($C486=0,"",COUNTIFS('DEF_SELF_SCOUT_IMPORT'!$L$42:$L$1040,"Y",'DEF_SELF_SCOUT_IMPORT'!$E$42:$E$1040,SUBSTITUTE(SUBSTITUTE(SUBSTITUTE($B486,"~","~~"),"*","~*"),"?","~?"),'DEF_SELF_SCOUT_IMPORT'!$Q$42:$Q$1040,SUBSTITUTE(SUBSTITUTE(SUBSTITUTE($M486,"~","~~"),"*","~*"),"?","~?"),'DEF_SELF_SCOUT_IMPORT'!$G$42:$G$1040,SUBSTITUTE(SUBSTITUTE(SUBSTITUTE($O486,"~","~~"),"*","~*"),"?","~?"),'DEF_SELF_SCOUT_IMPORT'!$H$42:$H$1040,"DROPBACK")/$C486)</f>
        <v>1.0</v>
      </c>
      <c r="I486" s="14" t="str">
        <f>IF(C486=0,"",IF(C486&lt;=2,"TRACK",IF(C486=3,"LOW",IF(C486&lt;=6,"MEDIUM","HIGH"))))</f>
        <v>TRACK</v>
      </c>
      <c r="J486" s="11">
        <f>IF(C486=0,"",ROUND(D486*70+(1-E486)*20+MAX(0,MIN(1,(10-F486)/10))*10,1))</f>
        <v>60.0</v>
      </c>
      <c r="K486" s="14" t="str">
        <f>IF(C486=0,"No Evidence",IF(C486&lt;=2,IF(E486&gt;0,"Explosive Alert","Track Only"),IF(C486=3,"Sample Watch",IF(E486&gt;=START_HERE!$B$31,"Explosive Alert",IF(J486&gt;=80,"Strong Candidate",IF(J486&gt;=65,"Good Candidate",IF(J486&gt;=50,"Mixed / Review","Problem Call")))))))</f>
        <v>Track Only</v>
      </c>
      <c r="L486" s="9" t="str">
        <f>IF(COUNTIFS('DEF_SELF_SCOUT_IMPORT'!$L$42:$L$1040,"Y",'DEF_SELF_SCOUT_IMPORT'!$E$42:$E$1040,SUBSTITUTE(SUBSTITUTE(SUBSTITUTE($B486,"~","~~"),"*","~*"),"?","~?"),'DEF_SELF_SCOUT_IMPORT'!$Q$42:$Q$1040,SUBSTITUTE(SUBSTITUTE(SUBSTITUTE($M486,"~","~~"),"*","~*"),"?","~?"),'DEF_SELF_SCOUT_IMPORT'!$G$42:$G$1040,SUBSTITUTE(SUBSTITUTE(SUBSTITUTE($O486,"~","~~"),"*","~*"),"?","~?"),'DEF_SELF_SCOUT_IMPORT'!$J$42:$J$1040,"")&gt;0,"Unscored clean outcome; review result tags before using score.",IF(C486=0,"No matching defensive reps; film confirmation needed.",IF(K486="Explosive Alert","Explosive risk; review clips before using as answer.",IF(C486&lt;=2,"Track only; not enough sample.",IF(C486=3,IF(E486&gt;0,"Sample watch with explosive exposure; review clips and build the sample.",IF(J486&gt;=65,"Good signal, but sample is limited.","Sample watch; review clips and build the sample.")),IF(K486="Problem Call","Problem area; practice or call-sheet review.",IF(K486="Strong Candidate","Strong call-fit candidate; confirm on film.",IF(K486="Good Candidate","Good call-fit signal; confirm on film.","Mixed signal; review fit and execution on film."))))))))</f>
        <v>Track only; not enough sample.</v>
      </c>
      <c r="M486" s="8" t="s">
        <v>85</v>
      </c>
      <c r="N486" s="8"/>
      <c r="O486" s="8" t="s">
        <v>206</v>
      </c>
      <c r="P486" s="8"/>
      <c r="Q486" s="8"/>
      <c r="R486" s="8" t="s">
        <v>28</v>
      </c>
      <c r="S486" s="2" t="s">
        <v>246</v>
      </c>
      <c r="T486" s="2">
        <f>IF(C486=0,0,IF(C486&gt;=CALL_LOOKUP_BOARD!$B$7,IF(OR(K486="Problem Call",K486="Explosive Alert"),10000000,20000000),0)+IF(C486&gt;=CALL_LOOKUP_BOARD!$B$7,J486*1000+MIN(C486,999),C486*1000+J486)+0.00988800)</f>
        <v>2060.009888</v>
      </c>
      <c r="U486" s="2">
        <f>IF(C486=0,"",IF(COUNTIFS($S$375:$S$581,SUBSTITUTE(SUBSTITUTE(SUBSTITUTE(S486,"~","~~"),"*","~*"),"?","~?"),$T$375:$T$581,"&gt;"&amp;T486)=0,S486,""))</f>
        <v/>
      </c>
    </row>
    <row r="487" spans="1:21" ht="38" customHeight="1">
      <c r="A487" s="8" t="s">
        <v>245</v>
      </c>
      <c r="B487" s="8" t="s">
        <v>34</v>
      </c>
      <c r="C487" s="12">
        <f>COUNTIFS('DEF_SELF_SCOUT_IMPORT'!$L$42:$L$1040,"Y",'DEF_SELF_SCOUT_IMPORT'!$E$42:$E$1040,SUBSTITUTE(SUBSTITUTE(SUBSTITUTE($B487,"~","~~"),"*","~*"),"?","~?"),'DEF_SELF_SCOUT_IMPORT'!$Q$42:$Q$1040,SUBSTITUTE(SUBSTITUTE(SUBSTITUTE($M487,"~","~~"),"*","~*"),"?","~?"),'DEF_SELF_SCOUT_IMPORT'!$G$42:$G$1040,SUBSTITUTE(SUBSTITUTE(SUBSTITUTE($O487,"~","~~"),"*","~*"),"?","~?"))</f>
        <v>1</v>
      </c>
      <c r="D487" s="10">
        <f>IF($C487=0,"",SUMIFS('DEF_SELF_SCOUT_IMPORT'!$J$42:$J$1040,'DEF_SELF_SCOUT_IMPORT'!$L$42:$L$1040,"Y",'DEF_SELF_SCOUT_IMPORT'!$E$42:$E$1040,SUBSTITUTE(SUBSTITUTE(SUBSTITUTE($B487,"~","~~"),"*","~*"),"?","~?"),'DEF_SELF_SCOUT_IMPORT'!$Q$42:$Q$1040,SUBSTITUTE(SUBSTITUTE(SUBSTITUTE($M487,"~","~~"),"*","~*"),"?","~?"),'DEF_SELF_SCOUT_IMPORT'!$G$42:$G$1040,SUBSTITUTE(SUBSTITUTE(SUBSTITUTE($O487,"~","~~"),"*","~*"),"?","~?"))/$C487)</f>
        <v>1.0</v>
      </c>
      <c r="E487" s="10">
        <f>IF($C487=0,"",SUMIFS('DEF_SELF_SCOUT_IMPORT'!$K$42:$K$1040,'DEF_SELF_SCOUT_IMPORT'!$L$42:$L$1040,"Y",'DEF_SELF_SCOUT_IMPORT'!$E$42:$E$1040,SUBSTITUTE(SUBSTITUTE(SUBSTITUTE($B487,"~","~~"),"*","~*"),"?","~?"),'DEF_SELF_SCOUT_IMPORT'!$Q$42:$Q$1040,SUBSTITUTE(SUBSTITUTE(SUBSTITUTE($M487,"~","~~"),"*","~*"),"?","~?"),'DEF_SELF_SCOUT_IMPORT'!$G$42:$G$1040,SUBSTITUTE(SUBSTITUTE(SUBSTITUTE($O487,"~","~~"),"*","~*"),"?","~?"))/$C487)</f>
        <v>0.0</v>
      </c>
      <c r="F487" s="11">
        <f>IF($C487=0,"",AVERAGEIFS('DEF_SELF_SCOUT_IMPORT'!$I$42:$I$1040,'DEF_SELF_SCOUT_IMPORT'!$L$42:$L$1040,"Y",'DEF_SELF_SCOUT_IMPORT'!$E$42:$E$1040,SUBSTITUTE(SUBSTITUTE(SUBSTITUTE($B487,"~","~~"),"*","~*"),"?","~?"),'DEF_SELF_SCOUT_IMPORT'!$Q$42:$Q$1040,SUBSTITUTE(SUBSTITUTE(SUBSTITUTE($M487,"~","~~"),"*","~*"),"?","~?"),'DEF_SELF_SCOUT_IMPORT'!$G$42:$G$1040,SUBSTITUTE(SUBSTITUTE(SUBSTITUTE($O487,"~","~~"),"*","~*"),"?","~?")))</f>
        <v>0.0</v>
      </c>
      <c r="G487" s="10">
        <f>IF($C487=0,"",COUNTIFS('DEF_SELF_SCOUT_IMPORT'!$L$42:$L$1040,"Y",'DEF_SELF_SCOUT_IMPORT'!$E$42:$E$1040,SUBSTITUTE(SUBSTITUTE(SUBSTITUTE($B487,"~","~~"),"*","~*"),"?","~?"),'DEF_SELF_SCOUT_IMPORT'!$Q$42:$Q$1040,SUBSTITUTE(SUBSTITUTE(SUBSTITUTE($M487,"~","~~"),"*","~*"),"?","~?"),'DEF_SELF_SCOUT_IMPORT'!$G$42:$G$1040,SUBSTITUTE(SUBSTITUTE(SUBSTITUTE($O487,"~","~~"),"*","~*"),"?","~?"),'DEF_SELF_SCOUT_IMPORT'!$H$42:$H$1040,"RUSH")/$C487)</f>
        <v>0.0</v>
      </c>
      <c r="H487" s="10">
        <f>IF($C487=0,"",COUNTIFS('DEF_SELF_SCOUT_IMPORT'!$L$42:$L$1040,"Y",'DEF_SELF_SCOUT_IMPORT'!$E$42:$E$1040,SUBSTITUTE(SUBSTITUTE(SUBSTITUTE($B487,"~","~~"),"*","~*"),"?","~?"),'DEF_SELF_SCOUT_IMPORT'!$Q$42:$Q$1040,SUBSTITUTE(SUBSTITUTE(SUBSTITUTE($M487,"~","~~"),"*","~*"),"?","~?"),'DEF_SELF_SCOUT_IMPORT'!$G$42:$G$1040,SUBSTITUTE(SUBSTITUTE(SUBSTITUTE($O487,"~","~~"),"*","~*"),"?","~?"),'DEF_SELF_SCOUT_IMPORT'!$H$42:$H$1040,"DROPBACK")/$C487)</f>
        <v>1.0</v>
      </c>
      <c r="I487" s="14" t="str">
        <f>IF(C487=0,"",IF(C487&lt;=2,"TRACK",IF(C487=3,"LOW",IF(C487&lt;=6,"MEDIUM","HIGH"))))</f>
        <v>TRACK</v>
      </c>
      <c r="J487" s="11">
        <f>IF(C487=0,"",ROUND(D487*70+(1-E487)*20+MAX(0,MIN(1,(10-F487)/10))*10,1))</f>
        <v>100.0</v>
      </c>
      <c r="K487" s="14" t="str">
        <f>IF(C487=0,"No Evidence",IF(C487&lt;=2,IF(E487&gt;0,"Explosive Alert","Track Only"),IF(C487=3,"Sample Watch",IF(E487&gt;=START_HERE!$B$31,"Explosive Alert",IF(J487&gt;=80,"Strong Candidate",IF(J487&gt;=65,"Good Candidate",IF(J487&gt;=50,"Mixed / Review","Problem Call")))))))</f>
        <v>Track Only</v>
      </c>
      <c r="L487" s="9" t="str">
        <f>IF(COUNTIFS('DEF_SELF_SCOUT_IMPORT'!$L$42:$L$1040,"Y",'DEF_SELF_SCOUT_IMPORT'!$E$42:$E$1040,SUBSTITUTE(SUBSTITUTE(SUBSTITUTE($B487,"~","~~"),"*","~*"),"?","~?"),'DEF_SELF_SCOUT_IMPORT'!$Q$42:$Q$1040,SUBSTITUTE(SUBSTITUTE(SUBSTITUTE($M487,"~","~~"),"*","~*"),"?","~?"),'DEF_SELF_SCOUT_IMPORT'!$G$42:$G$1040,SUBSTITUTE(SUBSTITUTE(SUBSTITUTE($O487,"~","~~"),"*","~*"),"?","~?"),'DEF_SELF_SCOUT_IMPORT'!$J$42:$J$1040,"")&gt;0,"Unscored clean outcome; review result tags before using score.",IF(C487=0,"No matching defensive reps; film confirmation needed.",IF(K487="Explosive Alert","Explosive risk; review clips before using as answer.",IF(C487&lt;=2,"Track only; not enough sample.",IF(C487=3,IF(E487&gt;0,"Sample watch with explosive exposure; review clips and build the sample.",IF(J487&gt;=65,"Good signal, but sample is limited.","Sample watch; review clips and build the sample.")),IF(K487="Problem Call","Problem area; practice or call-sheet review.",IF(K487="Strong Candidate","Strong call-fit candidate; confirm on film.",IF(K487="Good Candidate","Good call-fit signal; confirm on film.","Mixed signal; review fit and execution on film."))))))))</f>
        <v>Track only; not enough sample.</v>
      </c>
      <c r="M487" s="8" t="s">
        <v>85</v>
      </c>
      <c r="N487" s="8"/>
      <c r="O487" s="8" t="s">
        <v>206</v>
      </c>
      <c r="P487" s="8"/>
      <c r="Q487" s="8"/>
      <c r="R487" s="8" t="s">
        <v>28</v>
      </c>
      <c r="S487" s="2" t="s">
        <v>246</v>
      </c>
      <c r="T487" s="2">
        <f>IF(C487=0,0,IF(C487&gt;=CALL_LOOKUP_BOARD!$B$7,IF(OR(K487="Problem Call",K487="Explosive Alert"),10000000,20000000),0)+IF(C487&gt;=CALL_LOOKUP_BOARD!$B$7,J487*1000+MIN(C487,999),C487*1000+J487)+0.00988700)</f>
        <v>1100.009887</v>
      </c>
      <c r="U487" s="2">
        <f>IF(C487=0,"",IF(COUNTIFS($S$375:$S$581,SUBSTITUTE(SUBSTITUTE(SUBSTITUTE(S487,"~","~~"),"*","~*"),"?","~?"),$T$375:$T$581,"&gt;"&amp;T487)=0,S487,""))</f>
        <v/>
      </c>
    </row>
    <row r="488" spans="1:21" ht="38" customHeight="1">
      <c r="A488" s="8" t="s">
        <v>245</v>
      </c>
      <c r="B488" s="8" t="s">
        <v>49</v>
      </c>
      <c r="C488" s="12">
        <f>COUNTIFS('DEF_SELF_SCOUT_IMPORT'!$L$42:$L$1040,"Y",'DEF_SELF_SCOUT_IMPORT'!$E$42:$E$1040,SUBSTITUTE(SUBSTITUTE(SUBSTITUTE($B488,"~","~~"),"*","~*"),"?","~?"),'DEF_SELF_SCOUT_IMPORT'!$Q$42:$Q$1040,SUBSTITUTE(SUBSTITUTE(SUBSTITUTE($M488,"~","~~"),"*","~*"),"?","~?"),'DEF_SELF_SCOUT_IMPORT'!$G$42:$G$1040,SUBSTITUTE(SUBSTITUTE(SUBSTITUTE($O488,"~","~~"),"*","~*"),"?","~?"))</f>
        <v>1</v>
      </c>
      <c r="D488" s="10">
        <f>IF($C488=0,"",SUMIFS('DEF_SELF_SCOUT_IMPORT'!$J$42:$J$1040,'DEF_SELF_SCOUT_IMPORT'!$L$42:$L$1040,"Y",'DEF_SELF_SCOUT_IMPORT'!$E$42:$E$1040,SUBSTITUTE(SUBSTITUTE(SUBSTITUTE($B488,"~","~~"),"*","~*"),"?","~?"),'DEF_SELF_SCOUT_IMPORT'!$Q$42:$Q$1040,SUBSTITUTE(SUBSTITUTE(SUBSTITUTE($M488,"~","~~"),"*","~*"),"?","~?"),'DEF_SELF_SCOUT_IMPORT'!$G$42:$G$1040,SUBSTITUTE(SUBSTITUTE(SUBSTITUTE($O488,"~","~~"),"*","~*"),"?","~?"))/$C488)</f>
        <v>1.0</v>
      </c>
      <c r="E488" s="10">
        <f>IF($C488=0,"",SUMIFS('DEF_SELF_SCOUT_IMPORT'!$K$42:$K$1040,'DEF_SELF_SCOUT_IMPORT'!$L$42:$L$1040,"Y",'DEF_SELF_SCOUT_IMPORT'!$E$42:$E$1040,SUBSTITUTE(SUBSTITUTE(SUBSTITUTE($B488,"~","~~"),"*","~*"),"?","~?"),'DEF_SELF_SCOUT_IMPORT'!$Q$42:$Q$1040,SUBSTITUTE(SUBSTITUTE(SUBSTITUTE($M488,"~","~~"),"*","~*"),"?","~?"),'DEF_SELF_SCOUT_IMPORT'!$G$42:$G$1040,SUBSTITUTE(SUBSTITUTE(SUBSTITUTE($O488,"~","~~"),"*","~*"),"?","~?"))/$C488)</f>
        <v>0.0</v>
      </c>
      <c r="F488" s="11">
        <f>IF($C488=0,"",AVERAGEIFS('DEF_SELF_SCOUT_IMPORT'!$I$42:$I$1040,'DEF_SELF_SCOUT_IMPORT'!$L$42:$L$1040,"Y",'DEF_SELF_SCOUT_IMPORT'!$E$42:$E$1040,SUBSTITUTE(SUBSTITUTE(SUBSTITUTE($B488,"~","~~"),"*","~*"),"?","~?"),'DEF_SELF_SCOUT_IMPORT'!$Q$42:$Q$1040,SUBSTITUTE(SUBSTITUTE(SUBSTITUTE($M488,"~","~~"),"*","~*"),"?","~?"),'DEF_SELF_SCOUT_IMPORT'!$G$42:$G$1040,SUBSTITUTE(SUBSTITUTE(SUBSTITUTE($O488,"~","~~"),"*","~*"),"?","~?")))</f>
        <v>0.0</v>
      </c>
      <c r="G488" s="10">
        <f>IF($C488=0,"",COUNTIFS('DEF_SELF_SCOUT_IMPORT'!$L$42:$L$1040,"Y",'DEF_SELF_SCOUT_IMPORT'!$E$42:$E$1040,SUBSTITUTE(SUBSTITUTE(SUBSTITUTE($B488,"~","~~"),"*","~*"),"?","~?"),'DEF_SELF_SCOUT_IMPORT'!$Q$42:$Q$1040,SUBSTITUTE(SUBSTITUTE(SUBSTITUTE($M488,"~","~~"),"*","~*"),"?","~?"),'DEF_SELF_SCOUT_IMPORT'!$G$42:$G$1040,SUBSTITUTE(SUBSTITUTE(SUBSTITUTE($O488,"~","~~"),"*","~*"),"?","~?"),'DEF_SELF_SCOUT_IMPORT'!$H$42:$H$1040,"RUSH")/$C488)</f>
        <v>0.0</v>
      </c>
      <c r="H488" s="10">
        <f>IF($C488=0,"",COUNTIFS('DEF_SELF_SCOUT_IMPORT'!$L$42:$L$1040,"Y",'DEF_SELF_SCOUT_IMPORT'!$E$42:$E$1040,SUBSTITUTE(SUBSTITUTE(SUBSTITUTE($B488,"~","~~"),"*","~*"),"?","~?"),'DEF_SELF_SCOUT_IMPORT'!$Q$42:$Q$1040,SUBSTITUTE(SUBSTITUTE(SUBSTITUTE($M488,"~","~~"),"*","~*"),"?","~?"),'DEF_SELF_SCOUT_IMPORT'!$G$42:$G$1040,SUBSTITUTE(SUBSTITUTE(SUBSTITUTE($O488,"~","~~"),"*","~*"),"?","~?"),'DEF_SELF_SCOUT_IMPORT'!$H$42:$H$1040,"DROPBACK")/$C488)</f>
        <v>1.0</v>
      </c>
      <c r="I488" s="14" t="str">
        <f>IF(C488=0,"",IF(C488&lt;=2,"TRACK",IF(C488=3,"LOW",IF(C488&lt;=6,"MEDIUM","HIGH"))))</f>
        <v>TRACK</v>
      </c>
      <c r="J488" s="11">
        <f>IF(C488=0,"",ROUND(D488*70+(1-E488)*20+MAX(0,MIN(1,(10-F488)/10))*10,1))</f>
        <v>100.0</v>
      </c>
      <c r="K488" s="14" t="str">
        <f>IF(C488=0,"No Evidence",IF(C488&lt;=2,IF(E488&gt;0,"Explosive Alert","Track Only"),IF(C488=3,"Sample Watch",IF(E488&gt;=START_HERE!$B$31,"Explosive Alert",IF(J488&gt;=80,"Strong Candidate",IF(J488&gt;=65,"Good Candidate",IF(J488&gt;=50,"Mixed / Review","Problem Call")))))))</f>
        <v>Track Only</v>
      </c>
      <c r="L488" s="9" t="str">
        <f>IF(COUNTIFS('DEF_SELF_SCOUT_IMPORT'!$L$42:$L$1040,"Y",'DEF_SELF_SCOUT_IMPORT'!$E$42:$E$1040,SUBSTITUTE(SUBSTITUTE(SUBSTITUTE($B488,"~","~~"),"*","~*"),"?","~?"),'DEF_SELF_SCOUT_IMPORT'!$Q$42:$Q$1040,SUBSTITUTE(SUBSTITUTE(SUBSTITUTE($M488,"~","~~"),"*","~*"),"?","~?"),'DEF_SELF_SCOUT_IMPORT'!$G$42:$G$1040,SUBSTITUTE(SUBSTITUTE(SUBSTITUTE($O488,"~","~~"),"*","~*"),"?","~?"),'DEF_SELF_SCOUT_IMPORT'!$J$42:$J$1040,"")&gt;0,"Unscored clean outcome; review result tags before using score.",IF(C488=0,"No matching defensive reps; film confirmation needed.",IF(K488="Explosive Alert","Explosive risk; review clips before using as answer.",IF(C488&lt;=2,"Track only; not enough sample.",IF(C488=3,IF(E488&gt;0,"Sample watch with explosive exposure; review clips and build the sample.",IF(J488&gt;=65,"Good signal, but sample is limited.","Sample watch; review clips and build the sample.")),IF(K488="Problem Call","Problem area; practice or call-sheet review.",IF(K488="Strong Candidate","Strong call-fit candidate; confirm on film.",IF(K488="Good Candidate","Good call-fit signal; confirm on film.","Mixed signal; review fit and execution on film."))))))))</f>
        <v>Track only; not enough sample.</v>
      </c>
      <c r="M488" s="8" t="s">
        <v>85</v>
      </c>
      <c r="N488" s="8"/>
      <c r="O488" s="8" t="s">
        <v>206</v>
      </c>
      <c r="P488" s="8"/>
      <c r="Q488" s="8"/>
      <c r="R488" s="8" t="s">
        <v>28</v>
      </c>
      <c r="S488" s="2" t="s">
        <v>246</v>
      </c>
      <c r="T488" s="2">
        <f>IF(C488=0,0,IF(C488&gt;=CALL_LOOKUP_BOARD!$B$7,IF(OR(K488="Problem Call",K488="Explosive Alert"),10000000,20000000),0)+IF(C488&gt;=CALL_LOOKUP_BOARD!$B$7,J488*1000+MIN(C488,999),C488*1000+J488)+0.00988600)</f>
        <v>1100.009886</v>
      </c>
      <c r="U488" s="2">
        <f>IF(C488=0,"",IF(COUNTIFS($S$375:$S$581,SUBSTITUTE(SUBSTITUTE(SUBSTITUTE(S488,"~","~~"),"*","~*"),"?","~?"),$T$375:$T$581,"&gt;"&amp;T488)=0,S488,""))</f>
        <v/>
      </c>
    </row>
    <row r="489" spans="1:21" ht="38" customHeight="1">
      <c r="A489" s="8" t="s">
        <v>245</v>
      </c>
      <c r="B489" s="8" t="s">
        <v>87</v>
      </c>
      <c r="C489" s="12">
        <f>COUNTIFS('DEF_SELF_SCOUT_IMPORT'!$L$42:$L$1040,"Y",'DEF_SELF_SCOUT_IMPORT'!$E$42:$E$1040,SUBSTITUTE(SUBSTITUTE(SUBSTITUTE($B489,"~","~~"),"*","~*"),"?","~?"),'DEF_SELF_SCOUT_IMPORT'!$Q$42:$Q$1040,SUBSTITUTE(SUBSTITUTE(SUBSTITUTE($M489,"~","~~"),"*","~*"),"?","~?"),'DEF_SELF_SCOUT_IMPORT'!$G$42:$G$1040,SUBSTITUTE(SUBSTITUTE(SUBSTITUTE($O489,"~","~~"),"*","~*"),"?","~?"))</f>
        <v>1</v>
      </c>
      <c r="D489" s="10">
        <f>IF($C489=0,"",SUMIFS('DEF_SELF_SCOUT_IMPORT'!$J$42:$J$1040,'DEF_SELF_SCOUT_IMPORT'!$L$42:$L$1040,"Y",'DEF_SELF_SCOUT_IMPORT'!$E$42:$E$1040,SUBSTITUTE(SUBSTITUTE(SUBSTITUTE($B489,"~","~~"),"*","~*"),"?","~?"),'DEF_SELF_SCOUT_IMPORT'!$Q$42:$Q$1040,SUBSTITUTE(SUBSTITUTE(SUBSTITUTE($M489,"~","~~"),"*","~*"),"?","~?"),'DEF_SELF_SCOUT_IMPORT'!$G$42:$G$1040,SUBSTITUTE(SUBSTITUTE(SUBSTITUTE($O489,"~","~~"),"*","~*"),"?","~?"))/$C489)</f>
        <v>0.0</v>
      </c>
      <c r="E489" s="10">
        <f>IF($C489=0,"",SUMIFS('DEF_SELF_SCOUT_IMPORT'!$K$42:$K$1040,'DEF_SELF_SCOUT_IMPORT'!$L$42:$L$1040,"Y",'DEF_SELF_SCOUT_IMPORT'!$E$42:$E$1040,SUBSTITUTE(SUBSTITUTE(SUBSTITUTE($B489,"~","~~"),"*","~*"),"?","~?"),'DEF_SELF_SCOUT_IMPORT'!$Q$42:$Q$1040,SUBSTITUTE(SUBSTITUTE(SUBSTITUTE($M489,"~","~~"),"*","~*"),"?","~?"),'DEF_SELF_SCOUT_IMPORT'!$G$42:$G$1040,SUBSTITUTE(SUBSTITUTE(SUBSTITUTE($O489,"~","~~"),"*","~*"),"?","~?"))/$C489)</f>
        <v>0.0</v>
      </c>
      <c r="F489" s="11">
        <f>IF($C489=0,"",AVERAGEIFS('DEF_SELF_SCOUT_IMPORT'!$I$42:$I$1040,'DEF_SELF_SCOUT_IMPORT'!$L$42:$L$1040,"Y",'DEF_SELF_SCOUT_IMPORT'!$E$42:$E$1040,SUBSTITUTE(SUBSTITUTE(SUBSTITUTE($B489,"~","~~"),"*","~*"),"?","~?"),'DEF_SELF_SCOUT_IMPORT'!$Q$42:$Q$1040,SUBSTITUTE(SUBSTITUTE(SUBSTITUTE($M489,"~","~~"),"*","~*"),"?","~?"),'DEF_SELF_SCOUT_IMPORT'!$G$42:$G$1040,SUBSTITUTE(SUBSTITUTE(SUBSTITUTE($O489,"~","~~"),"*","~*"),"?","~?")))</f>
        <v>5.0</v>
      </c>
      <c r="G489" s="10">
        <f>IF($C489=0,"",COUNTIFS('DEF_SELF_SCOUT_IMPORT'!$L$42:$L$1040,"Y",'DEF_SELF_SCOUT_IMPORT'!$E$42:$E$1040,SUBSTITUTE(SUBSTITUTE(SUBSTITUTE($B489,"~","~~"),"*","~*"),"?","~?"),'DEF_SELF_SCOUT_IMPORT'!$Q$42:$Q$1040,SUBSTITUTE(SUBSTITUTE(SUBSTITUTE($M489,"~","~~"),"*","~*"),"?","~?"),'DEF_SELF_SCOUT_IMPORT'!$G$42:$G$1040,SUBSTITUTE(SUBSTITUTE(SUBSTITUTE($O489,"~","~~"),"*","~*"),"?","~?"),'DEF_SELF_SCOUT_IMPORT'!$H$42:$H$1040,"RUSH")/$C489)</f>
        <v>1.0</v>
      </c>
      <c r="H489" s="10">
        <f>IF($C489=0,"",COUNTIFS('DEF_SELF_SCOUT_IMPORT'!$L$42:$L$1040,"Y",'DEF_SELF_SCOUT_IMPORT'!$E$42:$E$1040,SUBSTITUTE(SUBSTITUTE(SUBSTITUTE($B489,"~","~~"),"*","~*"),"?","~?"),'DEF_SELF_SCOUT_IMPORT'!$Q$42:$Q$1040,SUBSTITUTE(SUBSTITUTE(SUBSTITUTE($M489,"~","~~"),"*","~*"),"?","~?"),'DEF_SELF_SCOUT_IMPORT'!$G$42:$G$1040,SUBSTITUTE(SUBSTITUTE(SUBSTITUTE($O489,"~","~~"),"*","~*"),"?","~?"),'DEF_SELF_SCOUT_IMPORT'!$H$42:$H$1040,"DROPBACK")/$C489)</f>
        <v>0.0</v>
      </c>
      <c r="I489" s="14" t="str">
        <f>IF(C489=0,"",IF(C489&lt;=2,"TRACK",IF(C489=3,"LOW",IF(C489&lt;=6,"MEDIUM","HIGH"))))</f>
        <v>TRACK</v>
      </c>
      <c r="J489" s="11">
        <f>IF(C489=0,"",ROUND(D489*70+(1-E489)*20+MAX(0,MIN(1,(10-F489)/10))*10,1))</f>
        <v>25.0</v>
      </c>
      <c r="K489" s="14" t="str">
        <f>IF(C489=0,"No Evidence",IF(C489&lt;=2,IF(E489&gt;0,"Explosive Alert","Track Only"),IF(C489=3,"Sample Watch",IF(E489&gt;=START_HERE!$B$31,"Explosive Alert",IF(J489&gt;=80,"Strong Candidate",IF(J489&gt;=65,"Good Candidate",IF(J489&gt;=50,"Mixed / Review","Problem Call")))))))</f>
        <v>Track Only</v>
      </c>
      <c r="L489" s="9" t="str">
        <f>IF(COUNTIFS('DEF_SELF_SCOUT_IMPORT'!$L$42:$L$1040,"Y",'DEF_SELF_SCOUT_IMPORT'!$E$42:$E$1040,SUBSTITUTE(SUBSTITUTE(SUBSTITUTE($B489,"~","~~"),"*","~*"),"?","~?"),'DEF_SELF_SCOUT_IMPORT'!$Q$42:$Q$1040,SUBSTITUTE(SUBSTITUTE(SUBSTITUTE($M489,"~","~~"),"*","~*"),"?","~?"),'DEF_SELF_SCOUT_IMPORT'!$G$42:$G$1040,SUBSTITUTE(SUBSTITUTE(SUBSTITUTE($O489,"~","~~"),"*","~*"),"?","~?"),'DEF_SELF_SCOUT_IMPORT'!$J$42:$J$1040,"")&gt;0,"Unscored clean outcome; review result tags before using score.",IF(C489=0,"No matching defensive reps; film confirmation needed.",IF(K489="Explosive Alert","Explosive risk; review clips before using as answer.",IF(C489&lt;=2,"Track only; not enough sample.",IF(C489=3,IF(E489&gt;0,"Sample watch with explosive exposure; review clips and build the sample.",IF(J489&gt;=65,"Good signal, but sample is limited.","Sample watch; review clips and build the sample.")),IF(K489="Problem Call","Problem area; practice or call-sheet review.",IF(K489="Strong Candidate","Strong call-fit candidate; confirm on film.",IF(K489="Good Candidate","Good call-fit signal; confirm on film.","Mixed signal; review fit and execution on film."))))))))</f>
        <v>Track only; not enough sample.</v>
      </c>
      <c r="M489" s="8" t="s">
        <v>85</v>
      </c>
      <c r="N489" s="8"/>
      <c r="O489" s="8" t="s">
        <v>206</v>
      </c>
      <c r="P489" s="8"/>
      <c r="Q489" s="8"/>
      <c r="R489" s="8" t="s">
        <v>28</v>
      </c>
      <c r="S489" s="2" t="s">
        <v>246</v>
      </c>
      <c r="T489" s="2">
        <f>IF(C489=0,0,IF(C489&gt;=CALL_LOOKUP_BOARD!$B$7,IF(OR(K489="Problem Call",K489="Explosive Alert"),10000000,20000000),0)+IF(C489&gt;=CALL_LOOKUP_BOARD!$B$7,J489*1000+MIN(C489,999),C489*1000+J489)+0.00988500)</f>
        <v>1025.009885</v>
      </c>
      <c r="U489" s="2">
        <f>IF(C489=0,"",IF(COUNTIFS($S$375:$S$581,SUBSTITUTE(SUBSTITUTE(SUBSTITUTE(S489,"~","~~"),"*","~*"),"?","~?"),$T$375:$T$581,"&gt;"&amp;T489)=0,S489,""))</f>
        <v/>
      </c>
    </row>
    <row r="490" spans="1:21" ht="38" customHeight="1">
      <c r="A490" s="8" t="s">
        <v>245</v>
      </c>
      <c r="B490" s="8" t="s">
        <v>35</v>
      </c>
      <c r="C490" s="12">
        <f>COUNTIFS('DEF_SELF_SCOUT_IMPORT'!$L$42:$L$1040,"Y",'DEF_SELF_SCOUT_IMPORT'!$E$42:$E$1040,SUBSTITUTE(SUBSTITUTE(SUBSTITUTE($B490,"~","~~"),"*","~*"),"?","~?"),'DEF_SELF_SCOUT_IMPORT'!$Q$42:$Q$1040,SUBSTITUTE(SUBSTITUTE(SUBSTITUTE($M490,"~","~~"),"*","~*"),"?","~?"),'DEF_SELF_SCOUT_IMPORT'!$G$42:$G$1040,SUBSTITUTE(SUBSTITUTE(SUBSTITUTE($O490,"~","~~"),"*","~*"),"?","~?"))</f>
        <v>2</v>
      </c>
      <c r="D490" s="10">
        <f>IF($C490=0,"",SUMIFS('DEF_SELF_SCOUT_IMPORT'!$J$42:$J$1040,'DEF_SELF_SCOUT_IMPORT'!$L$42:$L$1040,"Y",'DEF_SELF_SCOUT_IMPORT'!$E$42:$E$1040,SUBSTITUTE(SUBSTITUTE(SUBSTITUTE($B490,"~","~~"),"*","~*"),"?","~?"),'DEF_SELF_SCOUT_IMPORT'!$Q$42:$Q$1040,SUBSTITUTE(SUBSTITUTE(SUBSTITUTE($M490,"~","~~"),"*","~*"),"?","~?"),'DEF_SELF_SCOUT_IMPORT'!$G$42:$G$1040,SUBSTITUTE(SUBSTITUTE(SUBSTITUTE($O490,"~","~~"),"*","~*"),"?","~?"))/$C490)</f>
        <v>0.0</v>
      </c>
      <c r="E490" s="10">
        <f>IF($C490=0,"",SUMIFS('DEF_SELF_SCOUT_IMPORT'!$K$42:$K$1040,'DEF_SELF_SCOUT_IMPORT'!$L$42:$L$1040,"Y",'DEF_SELF_SCOUT_IMPORT'!$E$42:$E$1040,SUBSTITUTE(SUBSTITUTE(SUBSTITUTE($B490,"~","~~"),"*","~*"),"?","~?"),'DEF_SELF_SCOUT_IMPORT'!$Q$42:$Q$1040,SUBSTITUTE(SUBSTITUTE(SUBSTITUTE($M490,"~","~~"),"*","~*"),"?","~?"),'DEF_SELF_SCOUT_IMPORT'!$G$42:$G$1040,SUBSTITUTE(SUBSTITUTE(SUBSTITUTE($O490,"~","~~"),"*","~*"),"?","~?"))/$C490)</f>
        <v>0.0</v>
      </c>
      <c r="F490" s="11">
        <f>IF($C490=0,"",AVERAGEIFS('DEF_SELF_SCOUT_IMPORT'!$I$42:$I$1040,'DEF_SELF_SCOUT_IMPORT'!$L$42:$L$1040,"Y",'DEF_SELF_SCOUT_IMPORT'!$E$42:$E$1040,SUBSTITUTE(SUBSTITUTE(SUBSTITUTE($B490,"~","~~"),"*","~*"),"?","~?"),'DEF_SELF_SCOUT_IMPORT'!$Q$42:$Q$1040,SUBSTITUTE(SUBSTITUTE(SUBSTITUTE($M490,"~","~~"),"*","~*"),"?","~?"),'DEF_SELF_SCOUT_IMPORT'!$G$42:$G$1040,SUBSTITUTE(SUBSTITUTE(SUBSTITUTE($O490,"~","~~"),"*","~*"),"?","~?")))</f>
        <v>7.5</v>
      </c>
      <c r="G490" s="10">
        <f>IF($C490=0,"",COUNTIFS('DEF_SELF_SCOUT_IMPORT'!$L$42:$L$1040,"Y",'DEF_SELF_SCOUT_IMPORT'!$E$42:$E$1040,SUBSTITUTE(SUBSTITUTE(SUBSTITUTE($B490,"~","~~"),"*","~*"),"?","~?"),'DEF_SELF_SCOUT_IMPORT'!$Q$42:$Q$1040,SUBSTITUTE(SUBSTITUTE(SUBSTITUTE($M490,"~","~~"),"*","~*"),"?","~?"),'DEF_SELF_SCOUT_IMPORT'!$G$42:$G$1040,SUBSTITUTE(SUBSTITUTE(SUBSTITUTE($O490,"~","~~"),"*","~*"),"?","~?"),'DEF_SELF_SCOUT_IMPORT'!$H$42:$H$1040,"RUSH")/$C490)</f>
        <v>0.5</v>
      </c>
      <c r="H490" s="10">
        <f>IF($C490=0,"",COUNTIFS('DEF_SELF_SCOUT_IMPORT'!$L$42:$L$1040,"Y",'DEF_SELF_SCOUT_IMPORT'!$E$42:$E$1040,SUBSTITUTE(SUBSTITUTE(SUBSTITUTE($B490,"~","~~"),"*","~*"),"?","~?"),'DEF_SELF_SCOUT_IMPORT'!$Q$42:$Q$1040,SUBSTITUTE(SUBSTITUTE(SUBSTITUTE($M490,"~","~~"),"*","~*"),"?","~?"),'DEF_SELF_SCOUT_IMPORT'!$G$42:$G$1040,SUBSTITUTE(SUBSTITUTE(SUBSTITUTE($O490,"~","~~"),"*","~*"),"?","~?"),'DEF_SELF_SCOUT_IMPORT'!$H$42:$H$1040,"DROPBACK")/$C490)</f>
        <v>0.0</v>
      </c>
      <c r="I490" s="14" t="str">
        <f>IF(C490=0,"",IF(C490&lt;=2,"TRACK",IF(C490=3,"LOW",IF(C490&lt;=6,"MEDIUM","HIGH"))))</f>
        <v>TRACK</v>
      </c>
      <c r="J490" s="11">
        <f>IF(C490=0,"",ROUND(D490*70+(1-E490)*20+MAX(0,MIN(1,(10-F490)/10))*10,1))</f>
        <v>22.5</v>
      </c>
      <c r="K490" s="14" t="str">
        <f>IF(C490=0,"No Evidence",IF(C490&lt;=2,IF(E490&gt;0,"Explosive Alert","Track Only"),IF(C490=3,"Sample Watch",IF(E490&gt;=START_HERE!$B$31,"Explosive Alert",IF(J490&gt;=80,"Strong Candidate",IF(J490&gt;=65,"Good Candidate",IF(J490&gt;=50,"Mixed / Review","Problem Call")))))))</f>
        <v>Track Only</v>
      </c>
      <c r="L490" s="9" t="str">
        <f>IF(COUNTIFS('DEF_SELF_SCOUT_IMPORT'!$L$42:$L$1040,"Y",'DEF_SELF_SCOUT_IMPORT'!$E$42:$E$1040,SUBSTITUTE(SUBSTITUTE(SUBSTITUTE($B490,"~","~~"),"*","~*"),"?","~?"),'DEF_SELF_SCOUT_IMPORT'!$Q$42:$Q$1040,SUBSTITUTE(SUBSTITUTE(SUBSTITUTE($M490,"~","~~"),"*","~*"),"?","~?"),'DEF_SELF_SCOUT_IMPORT'!$G$42:$G$1040,SUBSTITUTE(SUBSTITUTE(SUBSTITUTE($O490,"~","~~"),"*","~*"),"?","~?"),'DEF_SELF_SCOUT_IMPORT'!$J$42:$J$1040,"")&gt;0,"Unscored clean outcome; review result tags before using score.",IF(C490=0,"No matching defensive reps; film confirmation needed.",IF(K490="Explosive Alert","Explosive risk; review clips before using as answer.",IF(C490&lt;=2,"Track only; not enough sample.",IF(C490=3,IF(E490&gt;0,"Sample watch with explosive exposure; review clips and build the sample.",IF(J490&gt;=65,"Good signal, but sample is limited.","Sample watch; review clips and build the sample.")),IF(K490="Problem Call","Problem area; practice or call-sheet review.",IF(K490="Strong Candidate","Strong call-fit candidate; confirm on film.",IF(K490="Good Candidate","Good call-fit signal; confirm on film.","Mixed signal; review fit and execution on film."))))))))</f>
        <v>Track only; not enough sample.</v>
      </c>
      <c r="M490" s="8" t="s">
        <v>85</v>
      </c>
      <c r="N490" s="8"/>
      <c r="O490" s="8" t="s">
        <v>206</v>
      </c>
      <c r="P490" s="8"/>
      <c r="Q490" s="8"/>
      <c r="R490" s="8" t="s">
        <v>28</v>
      </c>
      <c r="S490" s="2" t="s">
        <v>246</v>
      </c>
      <c r="T490" s="2">
        <f>IF(C490=0,0,IF(C490&gt;=CALL_LOOKUP_BOARD!$B$7,IF(OR(K490="Problem Call",K490="Explosive Alert"),10000000,20000000),0)+IF(C490&gt;=CALL_LOOKUP_BOARD!$B$7,J490*1000+MIN(C490,999),C490*1000+J490)+0.00988400)</f>
        <v>2022.509884</v>
      </c>
      <c r="U490" s="2">
        <f>IF(C490=0,"",IF(COUNTIFS($S$375:$S$581,SUBSTITUTE(SUBSTITUTE(SUBSTITUTE(S490,"~","~~"),"*","~*"),"?","~?"),$T$375:$T$581,"&gt;"&amp;T490)=0,S490,""))</f>
        <v/>
      </c>
    </row>
    <row r="491" spans="1:21" ht="38" customHeight="1">
      <c r="A491" s="8" t="s">
        <v>245</v>
      </c>
      <c r="B491" s="8" t="s">
        <v>60</v>
      </c>
      <c r="C491" s="12">
        <f>COUNTIFS('DEF_SELF_SCOUT_IMPORT'!$L$42:$L$1040,"Y",'DEF_SELF_SCOUT_IMPORT'!$E$42:$E$1040,SUBSTITUTE(SUBSTITUTE(SUBSTITUTE($B491,"~","~~"),"*","~*"),"?","~?"),'DEF_SELF_SCOUT_IMPORT'!$Q$42:$Q$1040,SUBSTITUTE(SUBSTITUTE(SUBSTITUTE($M491,"~","~~"),"*","~*"),"?","~?"),'DEF_SELF_SCOUT_IMPORT'!$G$42:$G$1040,SUBSTITUTE(SUBSTITUTE(SUBSTITUTE($O491,"~","~~"),"*","~*"),"?","~?"))</f>
        <v>2</v>
      </c>
      <c r="D491" s="10">
        <f>IF($C491=0,"",SUMIFS('DEF_SELF_SCOUT_IMPORT'!$J$42:$J$1040,'DEF_SELF_SCOUT_IMPORT'!$L$42:$L$1040,"Y",'DEF_SELF_SCOUT_IMPORT'!$E$42:$E$1040,SUBSTITUTE(SUBSTITUTE(SUBSTITUTE($B491,"~","~~"),"*","~*"),"?","~?"),'DEF_SELF_SCOUT_IMPORT'!$Q$42:$Q$1040,SUBSTITUTE(SUBSTITUTE(SUBSTITUTE($M491,"~","~~"),"*","~*"),"?","~?"),'DEF_SELF_SCOUT_IMPORT'!$G$42:$G$1040,SUBSTITUTE(SUBSTITUTE(SUBSTITUTE($O491,"~","~~"),"*","~*"),"?","~?"))/$C491)</f>
        <v>0.5</v>
      </c>
      <c r="E491" s="10">
        <f>IF($C491=0,"",SUMIFS('DEF_SELF_SCOUT_IMPORT'!$K$42:$K$1040,'DEF_SELF_SCOUT_IMPORT'!$L$42:$L$1040,"Y",'DEF_SELF_SCOUT_IMPORT'!$E$42:$E$1040,SUBSTITUTE(SUBSTITUTE(SUBSTITUTE($B491,"~","~~"),"*","~*"),"?","~?"),'DEF_SELF_SCOUT_IMPORT'!$Q$42:$Q$1040,SUBSTITUTE(SUBSTITUTE(SUBSTITUTE($M491,"~","~~"),"*","~*"),"?","~?"),'DEF_SELF_SCOUT_IMPORT'!$G$42:$G$1040,SUBSTITUTE(SUBSTITUTE(SUBSTITUTE($O491,"~","~~"),"*","~*"),"?","~?"))/$C491)</f>
        <v>0.0</v>
      </c>
      <c r="F491" s="11">
        <f>IF($C491=0,"",AVERAGEIFS('DEF_SELF_SCOUT_IMPORT'!$I$42:$I$1040,'DEF_SELF_SCOUT_IMPORT'!$L$42:$L$1040,"Y",'DEF_SELF_SCOUT_IMPORT'!$E$42:$E$1040,SUBSTITUTE(SUBSTITUTE(SUBSTITUTE($B491,"~","~~"),"*","~*"),"?","~?"),'DEF_SELF_SCOUT_IMPORT'!$Q$42:$Q$1040,SUBSTITUTE(SUBSTITUTE(SUBSTITUTE($M491,"~","~~"),"*","~*"),"?","~?"),'DEF_SELF_SCOUT_IMPORT'!$G$42:$G$1040,SUBSTITUTE(SUBSTITUTE(SUBSTITUTE($O491,"~","~~"),"*","~*"),"?","~?")))</f>
        <v>5.0</v>
      </c>
      <c r="G491" s="10">
        <f>IF($C491=0,"",COUNTIFS('DEF_SELF_SCOUT_IMPORT'!$L$42:$L$1040,"Y",'DEF_SELF_SCOUT_IMPORT'!$E$42:$E$1040,SUBSTITUTE(SUBSTITUTE(SUBSTITUTE($B491,"~","~~"),"*","~*"),"?","~?"),'DEF_SELF_SCOUT_IMPORT'!$Q$42:$Q$1040,SUBSTITUTE(SUBSTITUTE(SUBSTITUTE($M491,"~","~~"),"*","~*"),"?","~?"),'DEF_SELF_SCOUT_IMPORT'!$G$42:$G$1040,SUBSTITUTE(SUBSTITUTE(SUBSTITUTE($O491,"~","~~"),"*","~*"),"?","~?"),'DEF_SELF_SCOUT_IMPORT'!$H$42:$H$1040,"RUSH")/$C491)</f>
        <v>0.0</v>
      </c>
      <c r="H491" s="10">
        <f>IF($C491=0,"",COUNTIFS('DEF_SELF_SCOUT_IMPORT'!$L$42:$L$1040,"Y",'DEF_SELF_SCOUT_IMPORT'!$E$42:$E$1040,SUBSTITUTE(SUBSTITUTE(SUBSTITUTE($B491,"~","~~"),"*","~*"),"?","~?"),'DEF_SELF_SCOUT_IMPORT'!$Q$42:$Q$1040,SUBSTITUTE(SUBSTITUTE(SUBSTITUTE($M491,"~","~~"),"*","~*"),"?","~?"),'DEF_SELF_SCOUT_IMPORT'!$G$42:$G$1040,SUBSTITUTE(SUBSTITUTE(SUBSTITUTE($O491,"~","~~"),"*","~*"),"?","~?"),'DEF_SELF_SCOUT_IMPORT'!$H$42:$H$1040,"DROPBACK")/$C491)</f>
        <v>1.0</v>
      </c>
      <c r="I491" s="14" t="str">
        <f>IF(C491=0,"",IF(C491&lt;=2,"TRACK",IF(C491=3,"LOW",IF(C491&lt;=6,"MEDIUM","HIGH"))))</f>
        <v>TRACK</v>
      </c>
      <c r="J491" s="11">
        <f>IF(C491=0,"",ROUND(D491*70+(1-E491)*20+MAX(0,MIN(1,(10-F491)/10))*10,1))</f>
        <v>60.0</v>
      </c>
      <c r="K491" s="14" t="str">
        <f>IF(C491=0,"No Evidence",IF(C491&lt;=2,IF(E491&gt;0,"Explosive Alert","Track Only"),IF(C491=3,"Sample Watch",IF(E491&gt;=START_HERE!$B$31,"Explosive Alert",IF(J491&gt;=80,"Strong Candidate",IF(J491&gt;=65,"Good Candidate",IF(J491&gt;=50,"Mixed / Review","Problem Call")))))))</f>
        <v>Track Only</v>
      </c>
      <c r="L491" s="9" t="str">
        <f>IF(COUNTIFS('DEF_SELF_SCOUT_IMPORT'!$L$42:$L$1040,"Y",'DEF_SELF_SCOUT_IMPORT'!$E$42:$E$1040,SUBSTITUTE(SUBSTITUTE(SUBSTITUTE($B491,"~","~~"),"*","~*"),"?","~?"),'DEF_SELF_SCOUT_IMPORT'!$Q$42:$Q$1040,SUBSTITUTE(SUBSTITUTE(SUBSTITUTE($M491,"~","~~"),"*","~*"),"?","~?"),'DEF_SELF_SCOUT_IMPORT'!$G$42:$G$1040,SUBSTITUTE(SUBSTITUTE(SUBSTITUTE($O491,"~","~~"),"*","~*"),"?","~?"),'DEF_SELF_SCOUT_IMPORT'!$J$42:$J$1040,"")&gt;0,"Unscored clean outcome; review result tags before using score.",IF(C491=0,"No matching defensive reps; film confirmation needed.",IF(K491="Explosive Alert","Explosive risk; review clips before using as answer.",IF(C491&lt;=2,"Track only; not enough sample.",IF(C491=3,IF(E491&gt;0,"Sample watch with explosive exposure; review clips and build the sample.",IF(J491&gt;=65,"Good signal, but sample is limited.","Sample watch; review clips and build the sample.")),IF(K491="Problem Call","Problem area; practice or call-sheet review.",IF(K491="Strong Candidate","Strong call-fit candidate; confirm on film.",IF(K491="Good Candidate","Good call-fit signal; confirm on film.","Mixed signal; review fit and execution on film."))))))))</f>
        <v>Track only; not enough sample.</v>
      </c>
      <c r="M491" s="8" t="s">
        <v>85</v>
      </c>
      <c r="N491" s="8"/>
      <c r="O491" s="8" t="s">
        <v>206</v>
      </c>
      <c r="P491" s="8"/>
      <c r="Q491" s="8"/>
      <c r="R491" s="8" t="s">
        <v>28</v>
      </c>
      <c r="S491" s="2" t="s">
        <v>246</v>
      </c>
      <c r="T491" s="2">
        <f>IF(C491=0,0,IF(C491&gt;=CALL_LOOKUP_BOARD!$B$7,IF(OR(K491="Problem Call",K491="Explosive Alert"),10000000,20000000),0)+IF(C491&gt;=CALL_LOOKUP_BOARD!$B$7,J491*1000+MIN(C491,999),C491*1000+J491)+0.00988300)</f>
        <v>2060.009883</v>
      </c>
      <c r="U491" s="2">
        <f>IF(C491=0,"",IF(COUNTIFS($S$375:$S$581,SUBSTITUTE(SUBSTITUTE(SUBSTITUTE(S491,"~","~~"),"*","~*"),"?","~?"),$T$375:$T$581,"&gt;"&amp;T491)=0,S491,""))</f>
        <v/>
      </c>
    </row>
    <row r="492" spans="1:21" ht="38" customHeight="1">
      <c r="A492" s="8" t="s">
        <v>245</v>
      </c>
      <c r="B492" s="8" t="s">
        <v>89</v>
      </c>
      <c r="C492" s="12">
        <f>COUNTIFS('DEF_SELF_SCOUT_IMPORT'!$L$42:$L$1040,"Y",'DEF_SELF_SCOUT_IMPORT'!$E$42:$E$1040,SUBSTITUTE(SUBSTITUTE(SUBSTITUTE($B492,"~","~~"),"*","~*"),"?","~?"),'DEF_SELF_SCOUT_IMPORT'!$Q$42:$Q$1040,SUBSTITUTE(SUBSTITUTE(SUBSTITUTE($M492,"~","~~"),"*","~*"),"?","~?"),'DEF_SELF_SCOUT_IMPORT'!$G$42:$G$1040,SUBSTITUTE(SUBSTITUTE(SUBSTITUTE($O492,"~","~~"),"*","~*"),"?","~?"))</f>
        <v>1</v>
      </c>
      <c r="D492" s="10">
        <f>IF($C492=0,"",SUMIFS('DEF_SELF_SCOUT_IMPORT'!$J$42:$J$1040,'DEF_SELF_SCOUT_IMPORT'!$L$42:$L$1040,"Y",'DEF_SELF_SCOUT_IMPORT'!$E$42:$E$1040,SUBSTITUTE(SUBSTITUTE(SUBSTITUTE($B492,"~","~~"),"*","~*"),"?","~?"),'DEF_SELF_SCOUT_IMPORT'!$Q$42:$Q$1040,SUBSTITUTE(SUBSTITUTE(SUBSTITUTE($M492,"~","~~"),"*","~*"),"?","~?"),'DEF_SELF_SCOUT_IMPORT'!$G$42:$G$1040,SUBSTITUTE(SUBSTITUTE(SUBSTITUTE($O492,"~","~~"),"*","~*"),"?","~?"))/$C492)</f>
        <v>1.0</v>
      </c>
      <c r="E492" s="10">
        <f>IF($C492=0,"",SUMIFS('DEF_SELF_SCOUT_IMPORT'!$K$42:$K$1040,'DEF_SELF_SCOUT_IMPORT'!$L$42:$L$1040,"Y",'DEF_SELF_SCOUT_IMPORT'!$E$42:$E$1040,SUBSTITUTE(SUBSTITUTE(SUBSTITUTE($B492,"~","~~"),"*","~*"),"?","~?"),'DEF_SELF_SCOUT_IMPORT'!$Q$42:$Q$1040,SUBSTITUTE(SUBSTITUTE(SUBSTITUTE($M492,"~","~~"),"*","~*"),"?","~?"),'DEF_SELF_SCOUT_IMPORT'!$G$42:$G$1040,SUBSTITUTE(SUBSTITUTE(SUBSTITUTE($O492,"~","~~"),"*","~*"),"?","~?"))/$C492)</f>
        <v>0.0</v>
      </c>
      <c r="F492" s="11">
        <f>IF($C492=0,"",AVERAGEIFS('DEF_SELF_SCOUT_IMPORT'!$I$42:$I$1040,'DEF_SELF_SCOUT_IMPORT'!$L$42:$L$1040,"Y",'DEF_SELF_SCOUT_IMPORT'!$E$42:$E$1040,SUBSTITUTE(SUBSTITUTE(SUBSTITUTE($B492,"~","~~"),"*","~*"),"?","~?"),'DEF_SELF_SCOUT_IMPORT'!$Q$42:$Q$1040,SUBSTITUTE(SUBSTITUTE(SUBSTITUTE($M492,"~","~~"),"*","~*"),"?","~?"),'DEF_SELF_SCOUT_IMPORT'!$G$42:$G$1040,SUBSTITUTE(SUBSTITUTE(SUBSTITUTE($O492,"~","~~"),"*","~*"),"?","~?")))</f>
        <v>3.0</v>
      </c>
      <c r="G492" s="10">
        <f>IF($C492=0,"",COUNTIFS('DEF_SELF_SCOUT_IMPORT'!$L$42:$L$1040,"Y",'DEF_SELF_SCOUT_IMPORT'!$E$42:$E$1040,SUBSTITUTE(SUBSTITUTE(SUBSTITUTE($B492,"~","~~"),"*","~*"),"?","~?"),'DEF_SELF_SCOUT_IMPORT'!$Q$42:$Q$1040,SUBSTITUTE(SUBSTITUTE(SUBSTITUTE($M492,"~","~~"),"*","~*"),"?","~?"),'DEF_SELF_SCOUT_IMPORT'!$G$42:$G$1040,SUBSTITUTE(SUBSTITUTE(SUBSTITUTE($O492,"~","~~"),"*","~*"),"?","~?"),'DEF_SELF_SCOUT_IMPORT'!$H$42:$H$1040,"RUSH")/$C492)</f>
        <v>0.0</v>
      </c>
      <c r="H492" s="10">
        <f>IF($C492=0,"",COUNTIFS('DEF_SELF_SCOUT_IMPORT'!$L$42:$L$1040,"Y",'DEF_SELF_SCOUT_IMPORT'!$E$42:$E$1040,SUBSTITUTE(SUBSTITUTE(SUBSTITUTE($B492,"~","~~"),"*","~*"),"?","~?"),'DEF_SELF_SCOUT_IMPORT'!$Q$42:$Q$1040,SUBSTITUTE(SUBSTITUTE(SUBSTITUTE($M492,"~","~~"),"*","~*"),"?","~?"),'DEF_SELF_SCOUT_IMPORT'!$G$42:$G$1040,SUBSTITUTE(SUBSTITUTE(SUBSTITUTE($O492,"~","~~"),"*","~*"),"?","~?"),'DEF_SELF_SCOUT_IMPORT'!$H$42:$H$1040,"DROPBACK")/$C492)</f>
        <v>1.0</v>
      </c>
      <c r="I492" s="14" t="str">
        <f>IF(C492=0,"",IF(C492&lt;=2,"TRACK",IF(C492=3,"LOW",IF(C492&lt;=6,"MEDIUM","HIGH"))))</f>
        <v>TRACK</v>
      </c>
      <c r="J492" s="11">
        <f>IF(C492=0,"",ROUND(D492*70+(1-E492)*20+MAX(0,MIN(1,(10-F492)/10))*10,1))</f>
        <v>97.0</v>
      </c>
      <c r="K492" s="14" t="str">
        <f>IF(C492=0,"No Evidence",IF(C492&lt;=2,IF(E492&gt;0,"Explosive Alert","Track Only"),IF(C492=3,"Sample Watch",IF(E492&gt;=START_HERE!$B$31,"Explosive Alert",IF(J492&gt;=80,"Strong Candidate",IF(J492&gt;=65,"Good Candidate",IF(J492&gt;=50,"Mixed / Review","Problem Call")))))))</f>
        <v>Track Only</v>
      </c>
      <c r="L492" s="9" t="str">
        <f>IF(COUNTIFS('DEF_SELF_SCOUT_IMPORT'!$L$42:$L$1040,"Y",'DEF_SELF_SCOUT_IMPORT'!$E$42:$E$1040,SUBSTITUTE(SUBSTITUTE(SUBSTITUTE($B492,"~","~~"),"*","~*"),"?","~?"),'DEF_SELF_SCOUT_IMPORT'!$Q$42:$Q$1040,SUBSTITUTE(SUBSTITUTE(SUBSTITUTE($M492,"~","~~"),"*","~*"),"?","~?"),'DEF_SELF_SCOUT_IMPORT'!$G$42:$G$1040,SUBSTITUTE(SUBSTITUTE(SUBSTITUTE($O492,"~","~~"),"*","~*"),"?","~?"),'DEF_SELF_SCOUT_IMPORT'!$J$42:$J$1040,"")&gt;0,"Unscored clean outcome; review result tags before using score.",IF(C492=0,"No matching defensive reps; film confirmation needed.",IF(K492="Explosive Alert","Explosive risk; review clips before using as answer.",IF(C492&lt;=2,"Track only; not enough sample.",IF(C492=3,IF(E492&gt;0,"Sample watch with explosive exposure; review clips and build the sample.",IF(J492&gt;=65,"Good signal, but sample is limited.","Sample watch; review clips and build the sample.")),IF(K492="Problem Call","Problem area; practice or call-sheet review.",IF(K492="Strong Candidate","Strong call-fit candidate; confirm on film.",IF(K492="Good Candidate","Good call-fit signal; confirm on film.","Mixed signal; review fit and execution on film."))))))))</f>
        <v>Track only; not enough sample.</v>
      </c>
      <c r="M492" s="8" t="s">
        <v>85</v>
      </c>
      <c r="N492" s="8"/>
      <c r="O492" s="8" t="s">
        <v>206</v>
      </c>
      <c r="P492" s="8"/>
      <c r="Q492" s="8"/>
      <c r="R492" s="8" t="s">
        <v>28</v>
      </c>
      <c r="S492" s="2" t="s">
        <v>246</v>
      </c>
      <c r="T492" s="2">
        <f>IF(C492=0,0,IF(C492&gt;=CALL_LOOKUP_BOARD!$B$7,IF(OR(K492="Problem Call",K492="Explosive Alert"),10000000,20000000),0)+IF(C492&gt;=CALL_LOOKUP_BOARD!$B$7,J492*1000+MIN(C492,999),C492*1000+J492)+0.00988200)</f>
        <v>1097.009882</v>
      </c>
      <c r="U492" s="2">
        <f>IF(C492=0,"",IF(COUNTIFS($S$375:$S$581,SUBSTITUTE(SUBSTITUTE(SUBSTITUTE(S492,"~","~~"),"*","~*"),"?","~?"),$T$375:$T$581,"&gt;"&amp;T492)=0,S492,""))</f>
        <v/>
      </c>
    </row>
    <row r="493" spans="1:21" ht="38" customHeight="1">
      <c r="A493" s="8" t="s">
        <v>245</v>
      </c>
      <c r="B493" s="8" t="s">
        <v>61</v>
      </c>
      <c r="C493" s="12">
        <f>COUNTIFS('DEF_SELF_SCOUT_IMPORT'!$L$42:$L$1040,"Y",'DEF_SELF_SCOUT_IMPORT'!$E$42:$E$1040,SUBSTITUTE(SUBSTITUTE(SUBSTITUTE($B493,"~","~~"),"*","~*"),"?","~?"),'DEF_SELF_SCOUT_IMPORT'!$Q$42:$Q$1040,SUBSTITUTE(SUBSTITUTE(SUBSTITUTE($M493,"~","~~"),"*","~*"),"?","~?"),'DEF_SELF_SCOUT_IMPORT'!$G$42:$G$1040,SUBSTITUTE(SUBSTITUTE(SUBSTITUTE($O493,"~","~~"),"*","~*"),"?","~?"))</f>
        <v>1</v>
      </c>
      <c r="D493" s="10">
        <f>IF($C493=0,"",SUMIFS('DEF_SELF_SCOUT_IMPORT'!$J$42:$J$1040,'DEF_SELF_SCOUT_IMPORT'!$L$42:$L$1040,"Y",'DEF_SELF_SCOUT_IMPORT'!$E$42:$E$1040,SUBSTITUTE(SUBSTITUTE(SUBSTITUTE($B493,"~","~~"),"*","~*"),"?","~?"),'DEF_SELF_SCOUT_IMPORT'!$Q$42:$Q$1040,SUBSTITUTE(SUBSTITUTE(SUBSTITUTE($M493,"~","~~"),"*","~*"),"?","~?"),'DEF_SELF_SCOUT_IMPORT'!$G$42:$G$1040,SUBSTITUTE(SUBSTITUTE(SUBSTITUTE($O493,"~","~~"),"*","~*"),"?","~?"))/$C493)</f>
        <v>0.0</v>
      </c>
      <c r="E493" s="10">
        <f>IF($C493=0,"",SUMIFS('DEF_SELF_SCOUT_IMPORT'!$K$42:$K$1040,'DEF_SELF_SCOUT_IMPORT'!$L$42:$L$1040,"Y",'DEF_SELF_SCOUT_IMPORT'!$E$42:$E$1040,SUBSTITUTE(SUBSTITUTE(SUBSTITUTE($B493,"~","~~"),"*","~*"),"?","~?"),'DEF_SELF_SCOUT_IMPORT'!$Q$42:$Q$1040,SUBSTITUTE(SUBSTITUTE(SUBSTITUTE($M493,"~","~~"),"*","~*"),"?","~?"),'DEF_SELF_SCOUT_IMPORT'!$G$42:$G$1040,SUBSTITUTE(SUBSTITUTE(SUBSTITUTE($O493,"~","~~"),"*","~*"),"?","~?"))/$C493)</f>
        <v>0.0</v>
      </c>
      <c r="F493" s="11">
        <f>IF($C493=0,"",AVERAGEIFS('DEF_SELF_SCOUT_IMPORT'!$I$42:$I$1040,'DEF_SELF_SCOUT_IMPORT'!$L$42:$L$1040,"Y",'DEF_SELF_SCOUT_IMPORT'!$E$42:$E$1040,SUBSTITUTE(SUBSTITUTE(SUBSTITUTE($B493,"~","~~"),"*","~*"),"?","~?"),'DEF_SELF_SCOUT_IMPORT'!$Q$42:$Q$1040,SUBSTITUTE(SUBSTITUTE(SUBSTITUTE($M493,"~","~~"),"*","~*"),"?","~?"),'DEF_SELF_SCOUT_IMPORT'!$G$42:$G$1040,SUBSTITUTE(SUBSTITUTE(SUBSTITUTE($O493,"~","~~"),"*","~*"),"?","~?")))</f>
        <v>4.0</v>
      </c>
      <c r="G493" s="10">
        <f>IF($C493=0,"",COUNTIFS('DEF_SELF_SCOUT_IMPORT'!$L$42:$L$1040,"Y",'DEF_SELF_SCOUT_IMPORT'!$E$42:$E$1040,SUBSTITUTE(SUBSTITUTE(SUBSTITUTE($B493,"~","~~"),"*","~*"),"?","~?"),'DEF_SELF_SCOUT_IMPORT'!$Q$42:$Q$1040,SUBSTITUTE(SUBSTITUTE(SUBSTITUTE($M493,"~","~~"),"*","~*"),"?","~?"),'DEF_SELF_SCOUT_IMPORT'!$G$42:$G$1040,SUBSTITUTE(SUBSTITUTE(SUBSTITUTE($O493,"~","~~"),"*","~*"),"?","~?"),'DEF_SELF_SCOUT_IMPORT'!$H$42:$H$1040,"RUSH")/$C493)</f>
        <v>1.0</v>
      </c>
      <c r="H493" s="10">
        <f>IF($C493=0,"",COUNTIFS('DEF_SELF_SCOUT_IMPORT'!$L$42:$L$1040,"Y",'DEF_SELF_SCOUT_IMPORT'!$E$42:$E$1040,SUBSTITUTE(SUBSTITUTE(SUBSTITUTE($B493,"~","~~"),"*","~*"),"?","~?"),'DEF_SELF_SCOUT_IMPORT'!$Q$42:$Q$1040,SUBSTITUTE(SUBSTITUTE(SUBSTITUTE($M493,"~","~~"),"*","~*"),"?","~?"),'DEF_SELF_SCOUT_IMPORT'!$G$42:$G$1040,SUBSTITUTE(SUBSTITUTE(SUBSTITUTE($O493,"~","~~"),"*","~*"),"?","~?"),'DEF_SELF_SCOUT_IMPORT'!$H$42:$H$1040,"DROPBACK")/$C493)</f>
        <v>0.0</v>
      </c>
      <c r="I493" s="14" t="str">
        <f>IF(C493=0,"",IF(C493&lt;=2,"TRACK",IF(C493=3,"LOW",IF(C493&lt;=6,"MEDIUM","HIGH"))))</f>
        <v>TRACK</v>
      </c>
      <c r="J493" s="11">
        <f>IF(C493=0,"",ROUND(D493*70+(1-E493)*20+MAX(0,MIN(1,(10-F493)/10))*10,1))</f>
        <v>26.0</v>
      </c>
      <c r="K493" s="14" t="str">
        <f>IF(C493=0,"No Evidence",IF(C493&lt;=2,IF(E493&gt;0,"Explosive Alert","Track Only"),IF(C493=3,"Sample Watch",IF(E493&gt;=START_HERE!$B$31,"Explosive Alert",IF(J493&gt;=80,"Strong Candidate",IF(J493&gt;=65,"Good Candidate",IF(J493&gt;=50,"Mixed / Review","Problem Call")))))))</f>
        <v>Track Only</v>
      </c>
      <c r="L493" s="9" t="str">
        <f>IF(COUNTIFS('DEF_SELF_SCOUT_IMPORT'!$L$42:$L$1040,"Y",'DEF_SELF_SCOUT_IMPORT'!$E$42:$E$1040,SUBSTITUTE(SUBSTITUTE(SUBSTITUTE($B493,"~","~~"),"*","~*"),"?","~?"),'DEF_SELF_SCOUT_IMPORT'!$Q$42:$Q$1040,SUBSTITUTE(SUBSTITUTE(SUBSTITUTE($M493,"~","~~"),"*","~*"),"?","~?"),'DEF_SELF_SCOUT_IMPORT'!$G$42:$G$1040,SUBSTITUTE(SUBSTITUTE(SUBSTITUTE($O493,"~","~~"),"*","~*"),"?","~?"),'DEF_SELF_SCOUT_IMPORT'!$J$42:$J$1040,"")&gt;0,"Unscored clean outcome; review result tags before using score.",IF(C493=0,"No matching defensive reps; film confirmation needed.",IF(K493="Explosive Alert","Explosive risk; review clips before using as answer.",IF(C493&lt;=2,"Track only; not enough sample.",IF(C493=3,IF(E493&gt;0,"Sample watch with explosive exposure; review clips and build the sample.",IF(J493&gt;=65,"Good signal, but sample is limited.","Sample watch; review clips and build the sample.")),IF(K493="Problem Call","Problem area; practice or call-sheet review.",IF(K493="Strong Candidate","Strong call-fit candidate; confirm on film.",IF(K493="Good Candidate","Good call-fit signal; confirm on film.","Mixed signal; review fit and execution on film."))))))))</f>
        <v>Track only; not enough sample.</v>
      </c>
      <c r="M493" s="8" t="s">
        <v>85</v>
      </c>
      <c r="N493" s="8"/>
      <c r="O493" s="8" t="s">
        <v>206</v>
      </c>
      <c r="P493" s="8"/>
      <c r="Q493" s="8"/>
      <c r="R493" s="8" t="s">
        <v>28</v>
      </c>
      <c r="S493" s="2" t="s">
        <v>246</v>
      </c>
      <c r="T493" s="2">
        <f>IF(C493=0,0,IF(C493&gt;=CALL_LOOKUP_BOARD!$B$7,IF(OR(K493="Problem Call",K493="Explosive Alert"),10000000,20000000),0)+IF(C493&gt;=CALL_LOOKUP_BOARD!$B$7,J493*1000+MIN(C493,999),C493*1000+J493)+0.00988100)</f>
        <v>1026.009881</v>
      </c>
      <c r="U493" s="2">
        <f>IF(C493=0,"",IF(COUNTIFS($S$375:$S$581,SUBSTITUTE(SUBSTITUTE(SUBSTITUTE(S493,"~","~~"),"*","~*"),"?","~?"),$T$375:$T$581,"&gt;"&amp;T493)=0,S493,""))</f>
        <v/>
      </c>
    </row>
    <row r="494" spans="1:21" ht="38" customHeight="1">
      <c r="A494" s="8" t="s">
        <v>245</v>
      </c>
      <c r="B494" s="8" t="s">
        <v>90</v>
      </c>
      <c r="C494" s="12">
        <f>COUNTIFS('DEF_SELF_SCOUT_IMPORT'!$L$42:$L$1040,"Y",'DEF_SELF_SCOUT_IMPORT'!$E$42:$E$1040,SUBSTITUTE(SUBSTITUTE(SUBSTITUTE($B494,"~","~~"),"*","~*"),"?","~?"),'DEF_SELF_SCOUT_IMPORT'!$Q$42:$Q$1040,SUBSTITUTE(SUBSTITUTE(SUBSTITUTE($M494,"~","~~"),"*","~*"),"?","~?"),'DEF_SELF_SCOUT_IMPORT'!$G$42:$G$1040,SUBSTITUTE(SUBSTITUTE(SUBSTITUTE($O494,"~","~~"),"*","~*"),"?","~?"))</f>
        <v>1</v>
      </c>
      <c r="D494" s="10">
        <f>IF($C494=0,"",SUMIFS('DEF_SELF_SCOUT_IMPORT'!$J$42:$J$1040,'DEF_SELF_SCOUT_IMPORT'!$L$42:$L$1040,"Y",'DEF_SELF_SCOUT_IMPORT'!$E$42:$E$1040,SUBSTITUTE(SUBSTITUTE(SUBSTITUTE($B494,"~","~~"),"*","~*"),"?","~?"),'DEF_SELF_SCOUT_IMPORT'!$Q$42:$Q$1040,SUBSTITUTE(SUBSTITUTE(SUBSTITUTE($M494,"~","~~"),"*","~*"),"?","~?"),'DEF_SELF_SCOUT_IMPORT'!$G$42:$G$1040,SUBSTITUTE(SUBSTITUTE(SUBSTITUTE($O494,"~","~~"),"*","~*"),"?","~?"))/$C494)</f>
        <v>1.0</v>
      </c>
      <c r="E494" s="10">
        <f>IF($C494=0,"",SUMIFS('DEF_SELF_SCOUT_IMPORT'!$K$42:$K$1040,'DEF_SELF_SCOUT_IMPORT'!$L$42:$L$1040,"Y",'DEF_SELF_SCOUT_IMPORT'!$E$42:$E$1040,SUBSTITUTE(SUBSTITUTE(SUBSTITUTE($B494,"~","~~"),"*","~*"),"?","~?"),'DEF_SELF_SCOUT_IMPORT'!$Q$42:$Q$1040,SUBSTITUTE(SUBSTITUTE(SUBSTITUTE($M494,"~","~~"),"*","~*"),"?","~?"),'DEF_SELF_SCOUT_IMPORT'!$G$42:$G$1040,SUBSTITUTE(SUBSTITUTE(SUBSTITUTE($O494,"~","~~"),"*","~*"),"?","~?"))/$C494)</f>
        <v>0.0</v>
      </c>
      <c r="F494" s="11">
        <f>IF($C494=0,"",AVERAGEIFS('DEF_SELF_SCOUT_IMPORT'!$I$42:$I$1040,'DEF_SELF_SCOUT_IMPORT'!$L$42:$L$1040,"Y",'DEF_SELF_SCOUT_IMPORT'!$E$42:$E$1040,SUBSTITUTE(SUBSTITUTE(SUBSTITUTE($B494,"~","~~"),"*","~*"),"?","~?"),'DEF_SELF_SCOUT_IMPORT'!$Q$42:$Q$1040,SUBSTITUTE(SUBSTITUTE(SUBSTITUTE($M494,"~","~~"),"*","~*"),"?","~?"),'DEF_SELF_SCOUT_IMPORT'!$G$42:$G$1040,SUBSTITUTE(SUBSTITUTE(SUBSTITUTE($O494,"~","~~"),"*","~*"),"?","~?")))</f>
        <v>0.0</v>
      </c>
      <c r="G494" s="10">
        <f>IF($C494=0,"",COUNTIFS('DEF_SELF_SCOUT_IMPORT'!$L$42:$L$1040,"Y",'DEF_SELF_SCOUT_IMPORT'!$E$42:$E$1040,SUBSTITUTE(SUBSTITUTE(SUBSTITUTE($B494,"~","~~"),"*","~*"),"?","~?"),'DEF_SELF_SCOUT_IMPORT'!$Q$42:$Q$1040,SUBSTITUTE(SUBSTITUTE(SUBSTITUTE($M494,"~","~~"),"*","~*"),"?","~?"),'DEF_SELF_SCOUT_IMPORT'!$G$42:$G$1040,SUBSTITUTE(SUBSTITUTE(SUBSTITUTE($O494,"~","~~"),"*","~*"),"?","~?"),'DEF_SELF_SCOUT_IMPORT'!$H$42:$H$1040,"RUSH")/$C494)</f>
        <v>0.0</v>
      </c>
      <c r="H494" s="10">
        <f>IF($C494=0,"",COUNTIFS('DEF_SELF_SCOUT_IMPORT'!$L$42:$L$1040,"Y",'DEF_SELF_SCOUT_IMPORT'!$E$42:$E$1040,SUBSTITUTE(SUBSTITUTE(SUBSTITUTE($B494,"~","~~"),"*","~*"),"?","~?"),'DEF_SELF_SCOUT_IMPORT'!$Q$42:$Q$1040,SUBSTITUTE(SUBSTITUTE(SUBSTITUTE($M494,"~","~~"),"*","~*"),"?","~?"),'DEF_SELF_SCOUT_IMPORT'!$G$42:$G$1040,SUBSTITUTE(SUBSTITUTE(SUBSTITUTE($O494,"~","~~"),"*","~*"),"?","~?"),'DEF_SELF_SCOUT_IMPORT'!$H$42:$H$1040,"DROPBACK")/$C494)</f>
        <v>1.0</v>
      </c>
      <c r="I494" s="14" t="str">
        <f>IF(C494=0,"",IF(C494&lt;=2,"TRACK",IF(C494=3,"LOW",IF(C494&lt;=6,"MEDIUM","HIGH"))))</f>
        <v>TRACK</v>
      </c>
      <c r="J494" s="11">
        <f>IF(C494=0,"",ROUND(D494*70+(1-E494)*20+MAX(0,MIN(1,(10-F494)/10))*10,1))</f>
        <v>100.0</v>
      </c>
      <c r="K494" s="14" t="str">
        <f>IF(C494=0,"No Evidence",IF(C494&lt;=2,IF(E494&gt;0,"Explosive Alert","Track Only"),IF(C494=3,"Sample Watch",IF(E494&gt;=START_HERE!$B$31,"Explosive Alert",IF(J494&gt;=80,"Strong Candidate",IF(J494&gt;=65,"Good Candidate",IF(J494&gt;=50,"Mixed / Review","Problem Call")))))))</f>
        <v>Track Only</v>
      </c>
      <c r="L494" s="9" t="str">
        <f>IF(COUNTIFS('DEF_SELF_SCOUT_IMPORT'!$L$42:$L$1040,"Y",'DEF_SELF_SCOUT_IMPORT'!$E$42:$E$1040,SUBSTITUTE(SUBSTITUTE(SUBSTITUTE($B494,"~","~~"),"*","~*"),"?","~?"),'DEF_SELF_SCOUT_IMPORT'!$Q$42:$Q$1040,SUBSTITUTE(SUBSTITUTE(SUBSTITUTE($M494,"~","~~"),"*","~*"),"?","~?"),'DEF_SELF_SCOUT_IMPORT'!$G$42:$G$1040,SUBSTITUTE(SUBSTITUTE(SUBSTITUTE($O494,"~","~~"),"*","~*"),"?","~?"),'DEF_SELF_SCOUT_IMPORT'!$J$42:$J$1040,"")&gt;0,"Unscored clean outcome; review result tags before using score.",IF(C494=0,"No matching defensive reps; film confirmation needed.",IF(K494="Explosive Alert","Explosive risk; review clips before using as answer.",IF(C494&lt;=2,"Track only; not enough sample.",IF(C494=3,IF(E494&gt;0,"Sample watch with explosive exposure; review clips and build the sample.",IF(J494&gt;=65,"Good signal, but sample is limited.","Sample watch; review clips and build the sample.")),IF(K494="Problem Call","Problem area; practice or call-sheet review.",IF(K494="Strong Candidate","Strong call-fit candidate; confirm on film.",IF(K494="Good Candidate","Good call-fit signal; confirm on film.","Mixed signal; review fit and execution on film."))))))))</f>
        <v>Track only; not enough sample.</v>
      </c>
      <c r="M494" s="8" t="s">
        <v>85</v>
      </c>
      <c r="N494" s="8"/>
      <c r="O494" s="8" t="s">
        <v>206</v>
      </c>
      <c r="P494" s="8"/>
      <c r="Q494" s="8"/>
      <c r="R494" s="8" t="s">
        <v>28</v>
      </c>
      <c r="S494" s="2" t="s">
        <v>246</v>
      </c>
      <c r="T494" s="2">
        <f>IF(C494=0,0,IF(C494&gt;=CALL_LOOKUP_BOARD!$B$7,IF(OR(K494="Problem Call",K494="Explosive Alert"),10000000,20000000),0)+IF(C494&gt;=CALL_LOOKUP_BOARD!$B$7,J494*1000+MIN(C494,999),C494*1000+J494)+0.00988000)</f>
        <v>1100.00988</v>
      </c>
      <c r="U494" s="2">
        <f>IF(C494=0,"",IF(COUNTIFS($S$375:$S$581,SUBSTITUTE(SUBSTITUTE(SUBSTITUTE(S494,"~","~~"),"*","~*"),"?","~?"),$T$375:$T$581,"&gt;"&amp;T494)=0,S494,""))</f>
        <v/>
      </c>
    </row>
    <row r="495" spans="1:21" ht="38" customHeight="1">
      <c r="A495" s="8" t="s">
        <v>245</v>
      </c>
      <c r="B495" s="8" t="s">
        <v>63</v>
      </c>
      <c r="C495" s="12">
        <f>COUNTIFS('DEF_SELF_SCOUT_IMPORT'!$L$42:$L$1040,"Y",'DEF_SELF_SCOUT_IMPORT'!$E$42:$E$1040,SUBSTITUTE(SUBSTITUTE(SUBSTITUTE($B495,"~","~~"),"*","~*"),"?","~?"),'DEF_SELF_SCOUT_IMPORT'!$Q$42:$Q$1040,SUBSTITUTE(SUBSTITUTE(SUBSTITUTE($M495,"~","~~"),"*","~*"),"?","~?"),'DEF_SELF_SCOUT_IMPORT'!$G$42:$G$1040,SUBSTITUTE(SUBSTITUTE(SUBSTITUTE($O495,"~","~~"),"*","~*"),"?","~?"))</f>
        <v>2</v>
      </c>
      <c r="D495" s="10">
        <f>IF($C495=0,"",SUMIFS('DEF_SELF_SCOUT_IMPORT'!$J$42:$J$1040,'DEF_SELF_SCOUT_IMPORT'!$L$42:$L$1040,"Y",'DEF_SELF_SCOUT_IMPORT'!$E$42:$E$1040,SUBSTITUTE(SUBSTITUTE(SUBSTITUTE($B495,"~","~~"),"*","~*"),"?","~?"),'DEF_SELF_SCOUT_IMPORT'!$Q$42:$Q$1040,SUBSTITUTE(SUBSTITUTE(SUBSTITUTE($M495,"~","~~"),"*","~*"),"?","~?"),'DEF_SELF_SCOUT_IMPORT'!$G$42:$G$1040,SUBSTITUTE(SUBSTITUTE(SUBSTITUTE($O495,"~","~~"),"*","~*"),"?","~?"))/$C495)</f>
        <v>0.5</v>
      </c>
      <c r="E495" s="10">
        <f>IF($C495=0,"",SUMIFS('DEF_SELF_SCOUT_IMPORT'!$K$42:$K$1040,'DEF_SELF_SCOUT_IMPORT'!$L$42:$L$1040,"Y",'DEF_SELF_SCOUT_IMPORT'!$E$42:$E$1040,SUBSTITUTE(SUBSTITUTE(SUBSTITUTE($B495,"~","~~"),"*","~*"),"?","~?"),'DEF_SELF_SCOUT_IMPORT'!$Q$42:$Q$1040,SUBSTITUTE(SUBSTITUTE(SUBSTITUTE($M495,"~","~~"),"*","~*"),"?","~?"),'DEF_SELF_SCOUT_IMPORT'!$G$42:$G$1040,SUBSTITUTE(SUBSTITUTE(SUBSTITUTE($O495,"~","~~"),"*","~*"),"?","~?"))/$C495)</f>
        <v>0.0</v>
      </c>
      <c r="F495" s="11">
        <f>IF($C495=0,"",AVERAGEIFS('DEF_SELF_SCOUT_IMPORT'!$I$42:$I$1040,'DEF_SELF_SCOUT_IMPORT'!$L$42:$L$1040,"Y",'DEF_SELF_SCOUT_IMPORT'!$E$42:$E$1040,SUBSTITUTE(SUBSTITUTE(SUBSTITUTE($B495,"~","~~"),"*","~*"),"?","~?"),'DEF_SELF_SCOUT_IMPORT'!$Q$42:$Q$1040,SUBSTITUTE(SUBSTITUTE(SUBSTITUTE($M495,"~","~~"),"*","~*"),"?","~?"),'DEF_SELF_SCOUT_IMPORT'!$G$42:$G$1040,SUBSTITUTE(SUBSTITUTE(SUBSTITUTE($O495,"~","~~"),"*","~*"),"?","~?")))</f>
        <v>5.0</v>
      </c>
      <c r="G495" s="10">
        <f>IF($C495=0,"",COUNTIFS('DEF_SELF_SCOUT_IMPORT'!$L$42:$L$1040,"Y",'DEF_SELF_SCOUT_IMPORT'!$E$42:$E$1040,SUBSTITUTE(SUBSTITUTE(SUBSTITUTE($B495,"~","~~"),"*","~*"),"?","~?"),'DEF_SELF_SCOUT_IMPORT'!$Q$42:$Q$1040,SUBSTITUTE(SUBSTITUTE(SUBSTITUTE($M495,"~","~~"),"*","~*"),"?","~?"),'DEF_SELF_SCOUT_IMPORT'!$G$42:$G$1040,SUBSTITUTE(SUBSTITUTE(SUBSTITUTE($O495,"~","~~"),"*","~*"),"?","~?"),'DEF_SELF_SCOUT_IMPORT'!$H$42:$H$1040,"RUSH")/$C495)</f>
        <v>0.0</v>
      </c>
      <c r="H495" s="10">
        <f>IF($C495=0,"",COUNTIFS('DEF_SELF_SCOUT_IMPORT'!$L$42:$L$1040,"Y",'DEF_SELF_SCOUT_IMPORT'!$E$42:$E$1040,SUBSTITUTE(SUBSTITUTE(SUBSTITUTE($B495,"~","~~"),"*","~*"),"?","~?"),'DEF_SELF_SCOUT_IMPORT'!$Q$42:$Q$1040,SUBSTITUTE(SUBSTITUTE(SUBSTITUTE($M495,"~","~~"),"*","~*"),"?","~?"),'DEF_SELF_SCOUT_IMPORT'!$G$42:$G$1040,SUBSTITUTE(SUBSTITUTE(SUBSTITUTE($O495,"~","~~"),"*","~*"),"?","~?"),'DEF_SELF_SCOUT_IMPORT'!$H$42:$H$1040,"DROPBACK")/$C495)</f>
        <v>1.0</v>
      </c>
      <c r="I495" s="14" t="str">
        <f>IF(C495=0,"",IF(C495&lt;=2,"TRACK",IF(C495=3,"LOW",IF(C495&lt;=6,"MEDIUM","HIGH"))))</f>
        <v>TRACK</v>
      </c>
      <c r="J495" s="11">
        <f>IF(C495=0,"",ROUND(D495*70+(1-E495)*20+MAX(0,MIN(1,(10-F495)/10))*10,1))</f>
        <v>60.0</v>
      </c>
      <c r="K495" s="14" t="str">
        <f>IF(C495=0,"No Evidence",IF(C495&lt;=2,IF(E495&gt;0,"Explosive Alert","Track Only"),IF(C495=3,"Sample Watch",IF(E495&gt;=START_HERE!$B$31,"Explosive Alert",IF(J495&gt;=80,"Strong Candidate",IF(J495&gt;=65,"Good Candidate",IF(J495&gt;=50,"Mixed / Review","Problem Call")))))))</f>
        <v>Track Only</v>
      </c>
      <c r="L495" s="9" t="str">
        <f>IF(COUNTIFS('DEF_SELF_SCOUT_IMPORT'!$L$42:$L$1040,"Y",'DEF_SELF_SCOUT_IMPORT'!$E$42:$E$1040,SUBSTITUTE(SUBSTITUTE(SUBSTITUTE($B495,"~","~~"),"*","~*"),"?","~?"),'DEF_SELF_SCOUT_IMPORT'!$Q$42:$Q$1040,SUBSTITUTE(SUBSTITUTE(SUBSTITUTE($M495,"~","~~"),"*","~*"),"?","~?"),'DEF_SELF_SCOUT_IMPORT'!$G$42:$G$1040,SUBSTITUTE(SUBSTITUTE(SUBSTITUTE($O495,"~","~~"),"*","~*"),"?","~?"),'DEF_SELF_SCOUT_IMPORT'!$J$42:$J$1040,"")&gt;0,"Unscored clean outcome; review result tags before using score.",IF(C495=0,"No matching defensive reps; film confirmation needed.",IF(K495="Explosive Alert","Explosive risk; review clips before using as answer.",IF(C495&lt;=2,"Track only; not enough sample.",IF(C495=3,IF(E495&gt;0,"Sample watch with explosive exposure; review clips and build the sample.",IF(J495&gt;=65,"Good signal, but sample is limited.","Sample watch; review clips and build the sample.")),IF(K495="Problem Call","Problem area; practice or call-sheet review.",IF(K495="Strong Candidate","Strong call-fit candidate; confirm on film.",IF(K495="Good Candidate","Good call-fit signal; confirm on film.","Mixed signal; review fit and execution on film."))))))))</f>
        <v>Track only; not enough sample.</v>
      </c>
      <c r="M495" s="8" t="s">
        <v>85</v>
      </c>
      <c r="N495" s="8"/>
      <c r="O495" s="8" t="s">
        <v>206</v>
      </c>
      <c r="P495" s="8"/>
      <c r="Q495" s="8"/>
      <c r="R495" s="8" t="s">
        <v>28</v>
      </c>
      <c r="S495" s="2" t="s">
        <v>246</v>
      </c>
      <c r="T495" s="2">
        <f>IF(C495=0,0,IF(C495&gt;=CALL_LOOKUP_BOARD!$B$7,IF(OR(K495="Problem Call",K495="Explosive Alert"),10000000,20000000),0)+IF(C495&gt;=CALL_LOOKUP_BOARD!$B$7,J495*1000+MIN(C495,999),C495*1000+J495)+0.00987900)</f>
        <v>2060.009879</v>
      </c>
      <c r="U495" s="2">
        <f>IF(C495=0,"",IF(COUNTIFS($S$375:$S$581,SUBSTITUTE(SUBSTITUTE(SUBSTITUTE(S495,"~","~~"),"*","~*"),"?","~?"),$T$375:$T$581,"&gt;"&amp;T495)=0,S495,""))</f>
        <v/>
      </c>
    </row>
    <row r="496" spans="1:21" ht="38" customHeight="1">
      <c r="A496" s="8" t="s">
        <v>245</v>
      </c>
      <c r="B496" s="8" t="s">
        <v>68</v>
      </c>
      <c r="C496" s="12">
        <f>COUNTIFS('DEF_SELF_SCOUT_IMPORT'!$L$42:$L$1040,"Y",'DEF_SELF_SCOUT_IMPORT'!$E$42:$E$1040,SUBSTITUTE(SUBSTITUTE(SUBSTITUTE($B496,"~","~~"),"*","~*"),"?","~?"),'DEF_SELF_SCOUT_IMPORT'!$Q$42:$Q$1040,SUBSTITUTE(SUBSTITUTE(SUBSTITUTE($M496,"~","~~"),"*","~*"),"?","~?"),'DEF_SELF_SCOUT_IMPORT'!$G$42:$G$1040,SUBSTITUTE(SUBSTITUTE(SUBSTITUTE($O496,"~","~~"),"*","~*"),"?","~?"))</f>
        <v>2</v>
      </c>
      <c r="D496" s="10">
        <f>IF($C496=0,"",SUMIFS('DEF_SELF_SCOUT_IMPORT'!$J$42:$J$1040,'DEF_SELF_SCOUT_IMPORT'!$L$42:$L$1040,"Y",'DEF_SELF_SCOUT_IMPORT'!$E$42:$E$1040,SUBSTITUTE(SUBSTITUTE(SUBSTITUTE($B496,"~","~~"),"*","~*"),"?","~?"),'DEF_SELF_SCOUT_IMPORT'!$Q$42:$Q$1040,SUBSTITUTE(SUBSTITUTE(SUBSTITUTE($M496,"~","~~"),"*","~*"),"?","~?"),'DEF_SELF_SCOUT_IMPORT'!$G$42:$G$1040,SUBSTITUTE(SUBSTITUTE(SUBSTITUTE($O496,"~","~~"),"*","~*"),"?","~?"))/$C496)</f>
        <v>0.5</v>
      </c>
      <c r="E496" s="10">
        <f>IF($C496=0,"",SUMIFS('DEF_SELF_SCOUT_IMPORT'!$K$42:$K$1040,'DEF_SELF_SCOUT_IMPORT'!$L$42:$L$1040,"Y",'DEF_SELF_SCOUT_IMPORT'!$E$42:$E$1040,SUBSTITUTE(SUBSTITUTE(SUBSTITUTE($B496,"~","~~"),"*","~*"),"?","~?"),'DEF_SELF_SCOUT_IMPORT'!$Q$42:$Q$1040,SUBSTITUTE(SUBSTITUTE(SUBSTITUTE($M496,"~","~~"),"*","~*"),"?","~?"),'DEF_SELF_SCOUT_IMPORT'!$G$42:$G$1040,SUBSTITUTE(SUBSTITUTE(SUBSTITUTE($O496,"~","~~"),"*","~*"),"?","~?"))/$C496)</f>
        <v>0.0</v>
      </c>
      <c r="F496" s="11">
        <f>IF($C496=0,"",AVERAGEIFS('DEF_SELF_SCOUT_IMPORT'!$I$42:$I$1040,'DEF_SELF_SCOUT_IMPORT'!$L$42:$L$1040,"Y",'DEF_SELF_SCOUT_IMPORT'!$E$42:$E$1040,SUBSTITUTE(SUBSTITUTE(SUBSTITUTE($B496,"~","~~"),"*","~*"),"?","~?"),'DEF_SELF_SCOUT_IMPORT'!$Q$42:$Q$1040,SUBSTITUTE(SUBSTITUTE(SUBSTITUTE($M496,"~","~~"),"*","~*"),"?","~?"),'DEF_SELF_SCOUT_IMPORT'!$G$42:$G$1040,SUBSTITUTE(SUBSTITUTE(SUBSTITUTE($O496,"~","~~"),"*","~*"),"?","~?")))</f>
        <v>5.0</v>
      </c>
      <c r="G496" s="10">
        <f>IF($C496=0,"",COUNTIFS('DEF_SELF_SCOUT_IMPORT'!$L$42:$L$1040,"Y",'DEF_SELF_SCOUT_IMPORT'!$E$42:$E$1040,SUBSTITUTE(SUBSTITUTE(SUBSTITUTE($B496,"~","~~"),"*","~*"),"?","~?"),'DEF_SELF_SCOUT_IMPORT'!$Q$42:$Q$1040,SUBSTITUTE(SUBSTITUTE(SUBSTITUTE($M496,"~","~~"),"*","~*"),"?","~?"),'DEF_SELF_SCOUT_IMPORT'!$G$42:$G$1040,SUBSTITUTE(SUBSTITUTE(SUBSTITUTE($O496,"~","~~"),"*","~*"),"?","~?"),'DEF_SELF_SCOUT_IMPORT'!$H$42:$H$1040,"RUSH")/$C496)</f>
        <v>0.5</v>
      </c>
      <c r="H496" s="10">
        <f>IF($C496=0,"",COUNTIFS('DEF_SELF_SCOUT_IMPORT'!$L$42:$L$1040,"Y",'DEF_SELF_SCOUT_IMPORT'!$E$42:$E$1040,SUBSTITUTE(SUBSTITUTE(SUBSTITUTE($B496,"~","~~"),"*","~*"),"?","~?"),'DEF_SELF_SCOUT_IMPORT'!$Q$42:$Q$1040,SUBSTITUTE(SUBSTITUTE(SUBSTITUTE($M496,"~","~~"),"*","~*"),"?","~?"),'DEF_SELF_SCOUT_IMPORT'!$G$42:$G$1040,SUBSTITUTE(SUBSTITUTE(SUBSTITUTE($O496,"~","~~"),"*","~*"),"?","~?"),'DEF_SELF_SCOUT_IMPORT'!$H$42:$H$1040,"DROPBACK")/$C496)</f>
        <v>0.5</v>
      </c>
      <c r="I496" s="14" t="str">
        <f>IF(C496=0,"",IF(C496&lt;=2,"TRACK",IF(C496=3,"LOW",IF(C496&lt;=6,"MEDIUM","HIGH"))))</f>
        <v>TRACK</v>
      </c>
      <c r="J496" s="11">
        <f>IF(C496=0,"",ROUND(D496*70+(1-E496)*20+MAX(0,MIN(1,(10-F496)/10))*10,1))</f>
        <v>60.0</v>
      </c>
      <c r="K496" s="14" t="str">
        <f>IF(C496=0,"No Evidence",IF(C496&lt;=2,IF(E496&gt;0,"Explosive Alert","Track Only"),IF(C496=3,"Sample Watch",IF(E496&gt;=START_HERE!$B$31,"Explosive Alert",IF(J496&gt;=80,"Strong Candidate",IF(J496&gt;=65,"Good Candidate",IF(J496&gt;=50,"Mixed / Review","Problem Call")))))))</f>
        <v>Track Only</v>
      </c>
      <c r="L496" s="9" t="str">
        <f>IF(COUNTIFS('DEF_SELF_SCOUT_IMPORT'!$L$42:$L$1040,"Y",'DEF_SELF_SCOUT_IMPORT'!$E$42:$E$1040,SUBSTITUTE(SUBSTITUTE(SUBSTITUTE($B496,"~","~~"),"*","~*"),"?","~?"),'DEF_SELF_SCOUT_IMPORT'!$Q$42:$Q$1040,SUBSTITUTE(SUBSTITUTE(SUBSTITUTE($M496,"~","~~"),"*","~*"),"?","~?"),'DEF_SELF_SCOUT_IMPORT'!$G$42:$G$1040,SUBSTITUTE(SUBSTITUTE(SUBSTITUTE($O496,"~","~~"),"*","~*"),"?","~?"),'DEF_SELF_SCOUT_IMPORT'!$J$42:$J$1040,"")&gt;0,"Unscored clean outcome; review result tags before using score.",IF(C496=0,"No matching defensive reps; film confirmation needed.",IF(K496="Explosive Alert","Explosive risk; review clips before using as answer.",IF(C496&lt;=2,"Track only; not enough sample.",IF(C496=3,IF(E496&gt;0,"Sample watch with explosive exposure; review clips and build the sample.",IF(J496&gt;=65,"Good signal, but sample is limited.","Sample watch; review clips and build the sample.")),IF(K496="Problem Call","Problem area; practice or call-sheet review.",IF(K496="Strong Candidate","Strong call-fit candidate; confirm on film.",IF(K496="Good Candidate","Good call-fit signal; confirm on film.","Mixed signal; review fit and execution on film."))))))))</f>
        <v>Track only; not enough sample.</v>
      </c>
      <c r="M496" s="8" t="s">
        <v>85</v>
      </c>
      <c r="N496" s="8"/>
      <c r="O496" s="8" t="s">
        <v>206</v>
      </c>
      <c r="P496" s="8"/>
      <c r="Q496" s="8"/>
      <c r="R496" s="8" t="s">
        <v>28</v>
      </c>
      <c r="S496" s="2" t="s">
        <v>246</v>
      </c>
      <c r="T496" s="2">
        <f>IF(C496=0,0,IF(C496&gt;=CALL_LOOKUP_BOARD!$B$7,IF(OR(K496="Problem Call",K496="Explosive Alert"),10000000,20000000),0)+IF(C496&gt;=CALL_LOOKUP_BOARD!$B$7,J496*1000+MIN(C496,999),C496*1000+J496)+0.00987800)</f>
        <v>2060.009878</v>
      </c>
      <c r="U496" s="2">
        <f>IF(C496=0,"",IF(COUNTIFS($S$375:$S$581,SUBSTITUTE(SUBSTITUTE(SUBSTITUTE(S496,"~","~~"),"*","~*"),"?","~?"),$T$375:$T$581,"&gt;"&amp;T496)=0,S496,""))</f>
        <v/>
      </c>
    </row>
    <row r="497" spans="1:21" ht="38" customHeight="1">
      <c r="A497" s="8" t="s">
        <v>245</v>
      </c>
      <c r="B497" s="8" t="s">
        <v>75</v>
      </c>
      <c r="C497" s="12">
        <f>COUNTIFS('DEF_SELF_SCOUT_IMPORT'!$L$42:$L$1040,"Y",'DEF_SELF_SCOUT_IMPORT'!$E$42:$E$1040,SUBSTITUTE(SUBSTITUTE(SUBSTITUTE($B497,"~","~~"),"*","~*"),"?","~?"),'DEF_SELF_SCOUT_IMPORT'!$Q$42:$Q$1040,SUBSTITUTE(SUBSTITUTE(SUBSTITUTE($M497,"~","~~"),"*","~*"),"?","~?"),'DEF_SELF_SCOUT_IMPORT'!$G$42:$G$1040,SUBSTITUTE(SUBSTITUTE(SUBSTITUTE($O497,"~","~~"),"*","~*"),"?","~?"))</f>
        <v>1</v>
      </c>
      <c r="D497" s="10">
        <f>IF($C497=0,"",SUMIFS('DEF_SELF_SCOUT_IMPORT'!$J$42:$J$1040,'DEF_SELF_SCOUT_IMPORT'!$L$42:$L$1040,"Y",'DEF_SELF_SCOUT_IMPORT'!$E$42:$E$1040,SUBSTITUTE(SUBSTITUTE(SUBSTITUTE($B497,"~","~~"),"*","~*"),"?","~?"),'DEF_SELF_SCOUT_IMPORT'!$Q$42:$Q$1040,SUBSTITUTE(SUBSTITUTE(SUBSTITUTE($M497,"~","~~"),"*","~*"),"?","~?"),'DEF_SELF_SCOUT_IMPORT'!$G$42:$G$1040,SUBSTITUTE(SUBSTITUTE(SUBSTITUTE($O497,"~","~~"),"*","~*"),"?","~?"))/$C497)</f>
        <v>1.0</v>
      </c>
      <c r="E497" s="10">
        <f>IF($C497=0,"",SUMIFS('DEF_SELF_SCOUT_IMPORT'!$K$42:$K$1040,'DEF_SELF_SCOUT_IMPORT'!$L$42:$L$1040,"Y",'DEF_SELF_SCOUT_IMPORT'!$E$42:$E$1040,SUBSTITUTE(SUBSTITUTE(SUBSTITUTE($B497,"~","~~"),"*","~*"),"?","~?"),'DEF_SELF_SCOUT_IMPORT'!$Q$42:$Q$1040,SUBSTITUTE(SUBSTITUTE(SUBSTITUTE($M497,"~","~~"),"*","~*"),"?","~?"),'DEF_SELF_SCOUT_IMPORT'!$G$42:$G$1040,SUBSTITUTE(SUBSTITUTE(SUBSTITUTE($O497,"~","~~"),"*","~*"),"?","~?"))/$C497)</f>
        <v>0.0</v>
      </c>
      <c r="F497" s="11">
        <f>IF($C497=0,"",AVERAGEIFS('DEF_SELF_SCOUT_IMPORT'!$I$42:$I$1040,'DEF_SELF_SCOUT_IMPORT'!$L$42:$L$1040,"Y",'DEF_SELF_SCOUT_IMPORT'!$E$42:$E$1040,SUBSTITUTE(SUBSTITUTE(SUBSTITUTE($B497,"~","~~"),"*","~*"),"?","~?"),'DEF_SELF_SCOUT_IMPORT'!$Q$42:$Q$1040,SUBSTITUTE(SUBSTITUTE(SUBSTITUTE($M497,"~","~~"),"*","~*"),"?","~?"),'DEF_SELF_SCOUT_IMPORT'!$G$42:$G$1040,SUBSTITUTE(SUBSTITUTE(SUBSTITUTE($O497,"~","~~"),"*","~*"),"?","~?")))</f>
        <v>6.0</v>
      </c>
      <c r="G497" s="10">
        <f>IF($C497=0,"",COUNTIFS('DEF_SELF_SCOUT_IMPORT'!$L$42:$L$1040,"Y",'DEF_SELF_SCOUT_IMPORT'!$E$42:$E$1040,SUBSTITUTE(SUBSTITUTE(SUBSTITUTE($B497,"~","~~"),"*","~*"),"?","~?"),'DEF_SELF_SCOUT_IMPORT'!$Q$42:$Q$1040,SUBSTITUTE(SUBSTITUTE(SUBSTITUTE($M497,"~","~~"),"*","~*"),"?","~?"),'DEF_SELF_SCOUT_IMPORT'!$G$42:$G$1040,SUBSTITUTE(SUBSTITUTE(SUBSTITUTE($O497,"~","~~"),"*","~*"),"?","~?"),'DEF_SELF_SCOUT_IMPORT'!$H$42:$H$1040,"RUSH")/$C497)</f>
        <v>0.0</v>
      </c>
      <c r="H497" s="10">
        <f>IF($C497=0,"",COUNTIFS('DEF_SELF_SCOUT_IMPORT'!$L$42:$L$1040,"Y",'DEF_SELF_SCOUT_IMPORT'!$E$42:$E$1040,SUBSTITUTE(SUBSTITUTE(SUBSTITUTE($B497,"~","~~"),"*","~*"),"?","~?"),'DEF_SELF_SCOUT_IMPORT'!$Q$42:$Q$1040,SUBSTITUTE(SUBSTITUTE(SUBSTITUTE($M497,"~","~~"),"*","~*"),"?","~?"),'DEF_SELF_SCOUT_IMPORT'!$G$42:$G$1040,SUBSTITUTE(SUBSTITUTE(SUBSTITUTE($O497,"~","~~"),"*","~*"),"?","~?"),'DEF_SELF_SCOUT_IMPORT'!$H$42:$H$1040,"DROPBACK")/$C497)</f>
        <v>1.0</v>
      </c>
      <c r="I497" s="14" t="str">
        <f>IF(C497=0,"",IF(C497&lt;=2,"TRACK",IF(C497=3,"LOW",IF(C497&lt;=6,"MEDIUM","HIGH"))))</f>
        <v>TRACK</v>
      </c>
      <c r="J497" s="11">
        <f>IF(C497=0,"",ROUND(D497*70+(1-E497)*20+MAX(0,MIN(1,(10-F497)/10))*10,1))</f>
        <v>94.0</v>
      </c>
      <c r="K497" s="14" t="str">
        <f>IF(C497=0,"No Evidence",IF(C497&lt;=2,IF(E497&gt;0,"Explosive Alert","Track Only"),IF(C497=3,"Sample Watch",IF(E497&gt;=START_HERE!$B$31,"Explosive Alert",IF(J497&gt;=80,"Strong Candidate",IF(J497&gt;=65,"Good Candidate",IF(J497&gt;=50,"Mixed / Review","Problem Call")))))))</f>
        <v>Track Only</v>
      </c>
      <c r="L497" s="9" t="str">
        <f>IF(COUNTIFS('DEF_SELF_SCOUT_IMPORT'!$L$42:$L$1040,"Y",'DEF_SELF_SCOUT_IMPORT'!$E$42:$E$1040,SUBSTITUTE(SUBSTITUTE(SUBSTITUTE($B497,"~","~~"),"*","~*"),"?","~?"),'DEF_SELF_SCOUT_IMPORT'!$Q$42:$Q$1040,SUBSTITUTE(SUBSTITUTE(SUBSTITUTE($M497,"~","~~"),"*","~*"),"?","~?"),'DEF_SELF_SCOUT_IMPORT'!$G$42:$G$1040,SUBSTITUTE(SUBSTITUTE(SUBSTITUTE($O497,"~","~~"),"*","~*"),"?","~?"),'DEF_SELF_SCOUT_IMPORT'!$J$42:$J$1040,"")&gt;0,"Unscored clean outcome; review result tags before using score.",IF(C497=0,"No matching defensive reps; film confirmation needed.",IF(K497="Explosive Alert","Explosive risk; review clips before using as answer.",IF(C497&lt;=2,"Track only; not enough sample.",IF(C497=3,IF(E497&gt;0,"Sample watch with explosive exposure; review clips and build the sample.",IF(J497&gt;=65,"Good signal, but sample is limited.","Sample watch; review clips and build the sample.")),IF(K497="Problem Call","Problem area; practice or call-sheet review.",IF(K497="Strong Candidate","Strong call-fit candidate; confirm on film.",IF(K497="Good Candidate","Good call-fit signal; confirm on film.","Mixed signal; review fit and execution on film."))))))))</f>
        <v>Track only; not enough sample.</v>
      </c>
      <c r="M497" s="8" t="s">
        <v>85</v>
      </c>
      <c r="N497" s="8"/>
      <c r="O497" s="8" t="s">
        <v>206</v>
      </c>
      <c r="P497" s="8"/>
      <c r="Q497" s="8"/>
      <c r="R497" s="8" t="s">
        <v>28</v>
      </c>
      <c r="S497" s="2" t="s">
        <v>246</v>
      </c>
      <c r="T497" s="2">
        <f>IF(C497=0,0,IF(C497&gt;=CALL_LOOKUP_BOARD!$B$7,IF(OR(K497="Problem Call",K497="Explosive Alert"),10000000,20000000),0)+IF(C497&gt;=CALL_LOOKUP_BOARD!$B$7,J497*1000+MIN(C497,999),C497*1000+J497)+0.00987700)</f>
        <v>1094.009877</v>
      </c>
      <c r="U497" s="2">
        <f>IF(C497=0,"",IF(COUNTIFS($S$375:$S$581,SUBSTITUTE(SUBSTITUTE(SUBSTITUTE(S497,"~","~~"),"*","~*"),"?","~?"),$T$375:$T$581,"&gt;"&amp;T497)=0,S497,""))</f>
        <v/>
      </c>
    </row>
    <row r="498" spans="1:21" ht="38" customHeight="1">
      <c r="A498" s="8" t="s">
        <v>245</v>
      </c>
      <c r="B498" s="8" t="s">
        <v>69</v>
      </c>
      <c r="C498" s="12">
        <f>COUNTIFS('DEF_SELF_SCOUT_IMPORT'!$L$42:$L$1040,"Y",'DEF_SELF_SCOUT_IMPORT'!$E$42:$E$1040,SUBSTITUTE(SUBSTITUTE(SUBSTITUTE($B498,"~","~~"),"*","~*"),"?","~?"),'DEF_SELF_SCOUT_IMPORT'!$Q$42:$Q$1040,SUBSTITUTE(SUBSTITUTE(SUBSTITUTE($M498,"~","~~"),"*","~*"),"?","~?"),'DEF_SELF_SCOUT_IMPORT'!$G$42:$G$1040,SUBSTITUTE(SUBSTITUTE(SUBSTITUTE($O498,"~","~~"),"*","~*"),"?","~?"))</f>
        <v>2</v>
      </c>
      <c r="D498" s="10">
        <f>IF($C498=0,"",SUMIFS('DEF_SELF_SCOUT_IMPORT'!$J$42:$J$1040,'DEF_SELF_SCOUT_IMPORT'!$L$42:$L$1040,"Y",'DEF_SELF_SCOUT_IMPORT'!$E$42:$E$1040,SUBSTITUTE(SUBSTITUTE(SUBSTITUTE($B498,"~","~~"),"*","~*"),"?","~?"),'DEF_SELF_SCOUT_IMPORT'!$Q$42:$Q$1040,SUBSTITUTE(SUBSTITUTE(SUBSTITUTE($M498,"~","~~"),"*","~*"),"?","~?"),'DEF_SELF_SCOUT_IMPORT'!$G$42:$G$1040,SUBSTITUTE(SUBSTITUTE(SUBSTITUTE($O498,"~","~~"),"*","~*"),"?","~?"))/$C498)</f>
        <v>1.0</v>
      </c>
      <c r="E498" s="10">
        <f>IF($C498=0,"",SUMIFS('DEF_SELF_SCOUT_IMPORT'!$K$42:$K$1040,'DEF_SELF_SCOUT_IMPORT'!$L$42:$L$1040,"Y",'DEF_SELF_SCOUT_IMPORT'!$E$42:$E$1040,SUBSTITUTE(SUBSTITUTE(SUBSTITUTE($B498,"~","~~"),"*","~*"),"?","~?"),'DEF_SELF_SCOUT_IMPORT'!$Q$42:$Q$1040,SUBSTITUTE(SUBSTITUTE(SUBSTITUTE($M498,"~","~~"),"*","~*"),"?","~?"),'DEF_SELF_SCOUT_IMPORT'!$G$42:$G$1040,SUBSTITUTE(SUBSTITUTE(SUBSTITUTE($O498,"~","~~"),"*","~*"),"?","~?"))/$C498)</f>
        <v>0.0</v>
      </c>
      <c r="F498" s="11">
        <f>IF($C498=0,"",AVERAGEIFS('DEF_SELF_SCOUT_IMPORT'!$I$42:$I$1040,'DEF_SELF_SCOUT_IMPORT'!$L$42:$L$1040,"Y",'DEF_SELF_SCOUT_IMPORT'!$E$42:$E$1040,SUBSTITUTE(SUBSTITUTE(SUBSTITUTE($B498,"~","~~"),"*","~*"),"?","~?"),'DEF_SELF_SCOUT_IMPORT'!$Q$42:$Q$1040,SUBSTITUTE(SUBSTITUTE(SUBSTITUTE($M498,"~","~~"),"*","~*"),"?","~?"),'DEF_SELF_SCOUT_IMPORT'!$G$42:$G$1040,SUBSTITUTE(SUBSTITUTE(SUBSTITUTE($O498,"~","~~"),"*","~*"),"?","~?")))</f>
        <v>0.5</v>
      </c>
      <c r="G498" s="10">
        <f>IF($C498=0,"",COUNTIFS('DEF_SELF_SCOUT_IMPORT'!$L$42:$L$1040,"Y",'DEF_SELF_SCOUT_IMPORT'!$E$42:$E$1040,SUBSTITUTE(SUBSTITUTE(SUBSTITUTE($B498,"~","~~"),"*","~*"),"?","~?"),'DEF_SELF_SCOUT_IMPORT'!$Q$42:$Q$1040,SUBSTITUTE(SUBSTITUTE(SUBSTITUTE($M498,"~","~~"),"*","~*"),"?","~?"),'DEF_SELF_SCOUT_IMPORT'!$G$42:$G$1040,SUBSTITUTE(SUBSTITUTE(SUBSTITUTE($O498,"~","~~"),"*","~*"),"?","~?"),'DEF_SELF_SCOUT_IMPORT'!$H$42:$H$1040,"RUSH")/$C498)</f>
        <v>1.0</v>
      </c>
      <c r="H498" s="10">
        <f>IF($C498=0,"",COUNTIFS('DEF_SELF_SCOUT_IMPORT'!$L$42:$L$1040,"Y",'DEF_SELF_SCOUT_IMPORT'!$E$42:$E$1040,SUBSTITUTE(SUBSTITUTE(SUBSTITUTE($B498,"~","~~"),"*","~*"),"?","~?"),'DEF_SELF_SCOUT_IMPORT'!$Q$42:$Q$1040,SUBSTITUTE(SUBSTITUTE(SUBSTITUTE($M498,"~","~~"),"*","~*"),"?","~?"),'DEF_SELF_SCOUT_IMPORT'!$G$42:$G$1040,SUBSTITUTE(SUBSTITUTE(SUBSTITUTE($O498,"~","~~"),"*","~*"),"?","~?"),'DEF_SELF_SCOUT_IMPORT'!$H$42:$H$1040,"DROPBACK")/$C498)</f>
        <v>0.0</v>
      </c>
      <c r="I498" s="14" t="str">
        <f>IF(C498=0,"",IF(C498&lt;=2,"TRACK",IF(C498=3,"LOW",IF(C498&lt;=6,"MEDIUM","HIGH"))))</f>
        <v>TRACK</v>
      </c>
      <c r="J498" s="11">
        <f>IF(C498=0,"",ROUND(D498*70+(1-E498)*20+MAX(0,MIN(1,(10-F498)/10))*10,1))</f>
        <v>99.5</v>
      </c>
      <c r="K498" s="14" t="str">
        <f>IF(C498=0,"No Evidence",IF(C498&lt;=2,IF(E498&gt;0,"Explosive Alert","Track Only"),IF(C498=3,"Sample Watch",IF(E498&gt;=START_HERE!$B$31,"Explosive Alert",IF(J498&gt;=80,"Strong Candidate",IF(J498&gt;=65,"Good Candidate",IF(J498&gt;=50,"Mixed / Review","Problem Call")))))))</f>
        <v>Track Only</v>
      </c>
      <c r="L498" s="9" t="str">
        <f>IF(COUNTIFS('DEF_SELF_SCOUT_IMPORT'!$L$42:$L$1040,"Y",'DEF_SELF_SCOUT_IMPORT'!$E$42:$E$1040,SUBSTITUTE(SUBSTITUTE(SUBSTITUTE($B498,"~","~~"),"*","~*"),"?","~?"),'DEF_SELF_SCOUT_IMPORT'!$Q$42:$Q$1040,SUBSTITUTE(SUBSTITUTE(SUBSTITUTE($M498,"~","~~"),"*","~*"),"?","~?"),'DEF_SELF_SCOUT_IMPORT'!$G$42:$G$1040,SUBSTITUTE(SUBSTITUTE(SUBSTITUTE($O498,"~","~~"),"*","~*"),"?","~?"),'DEF_SELF_SCOUT_IMPORT'!$J$42:$J$1040,"")&gt;0,"Unscored clean outcome; review result tags before using score.",IF(C498=0,"No matching defensive reps; film confirmation needed.",IF(K498="Explosive Alert","Explosive risk; review clips before using as answer.",IF(C498&lt;=2,"Track only; not enough sample.",IF(C498=3,IF(E498&gt;0,"Sample watch with explosive exposure; review clips and build the sample.",IF(J498&gt;=65,"Good signal, but sample is limited.","Sample watch; review clips and build the sample.")),IF(K498="Problem Call","Problem area; practice or call-sheet review.",IF(K498="Strong Candidate","Strong call-fit candidate; confirm on film.",IF(K498="Good Candidate","Good call-fit signal; confirm on film.","Mixed signal; review fit and execution on film."))))))))</f>
        <v>Track only; not enough sample.</v>
      </c>
      <c r="M498" s="8" t="s">
        <v>85</v>
      </c>
      <c r="N498" s="8"/>
      <c r="O498" s="8" t="s">
        <v>206</v>
      </c>
      <c r="P498" s="8"/>
      <c r="Q498" s="8"/>
      <c r="R498" s="8" t="s">
        <v>28</v>
      </c>
      <c r="S498" s="2" t="s">
        <v>246</v>
      </c>
      <c r="T498" s="2">
        <f>IF(C498=0,0,IF(C498&gt;=CALL_LOOKUP_BOARD!$B$7,IF(OR(K498="Problem Call",K498="Explosive Alert"),10000000,20000000),0)+IF(C498&gt;=CALL_LOOKUP_BOARD!$B$7,J498*1000+MIN(C498,999),C498*1000+J498)+0.00987600)</f>
        <v>2099.509876</v>
      </c>
      <c r="U498" s="2" t="str">
        <f>IF(C498=0,"",IF(COUNTIFS($S$375:$S$581,SUBSTITUTE(SUBSTITUTE(SUBSTITUTE(S498,"~","~~"),"*","~*"),"?","~?"),$T$375:$T$581,"&gt;"&amp;T498)=0,S498,""))</f>
        <v>7:2D 7-10|3:3X1|</v>
      </c>
    </row>
    <row r="499" spans="1:21" ht="38" customHeight="1">
      <c r="A499" s="8" t="s">
        <v>245</v>
      </c>
      <c r="B499" s="8" t="s">
        <v>91</v>
      </c>
      <c r="C499" s="12">
        <f>COUNTIFS('DEF_SELF_SCOUT_IMPORT'!$L$42:$L$1040,"Y",'DEF_SELF_SCOUT_IMPORT'!$E$42:$E$1040,SUBSTITUTE(SUBSTITUTE(SUBSTITUTE($B499,"~","~~"),"*","~*"),"?","~?"),'DEF_SELF_SCOUT_IMPORT'!$Q$42:$Q$1040,SUBSTITUTE(SUBSTITUTE(SUBSTITUTE($M499,"~","~~"),"*","~*"),"?","~?"),'DEF_SELF_SCOUT_IMPORT'!$G$42:$G$1040,SUBSTITUTE(SUBSTITUTE(SUBSTITUTE($O499,"~","~~"),"*","~*"),"?","~?"))</f>
        <v>1</v>
      </c>
      <c r="D499" s="10">
        <f>IF($C499=0,"",SUMIFS('DEF_SELF_SCOUT_IMPORT'!$J$42:$J$1040,'DEF_SELF_SCOUT_IMPORT'!$L$42:$L$1040,"Y",'DEF_SELF_SCOUT_IMPORT'!$E$42:$E$1040,SUBSTITUTE(SUBSTITUTE(SUBSTITUTE($B499,"~","~~"),"*","~*"),"?","~?"),'DEF_SELF_SCOUT_IMPORT'!$Q$42:$Q$1040,SUBSTITUTE(SUBSTITUTE(SUBSTITUTE($M499,"~","~~"),"*","~*"),"?","~?"),'DEF_SELF_SCOUT_IMPORT'!$G$42:$G$1040,SUBSTITUTE(SUBSTITUTE(SUBSTITUTE($O499,"~","~~"),"*","~*"),"?","~?"))/$C499)</f>
        <v>0.0</v>
      </c>
      <c r="E499" s="10">
        <f>IF($C499=0,"",SUMIFS('DEF_SELF_SCOUT_IMPORT'!$K$42:$K$1040,'DEF_SELF_SCOUT_IMPORT'!$L$42:$L$1040,"Y",'DEF_SELF_SCOUT_IMPORT'!$E$42:$E$1040,SUBSTITUTE(SUBSTITUTE(SUBSTITUTE($B499,"~","~~"),"*","~*"),"?","~?"),'DEF_SELF_SCOUT_IMPORT'!$Q$42:$Q$1040,SUBSTITUTE(SUBSTITUTE(SUBSTITUTE($M499,"~","~~"),"*","~*"),"?","~?"),'DEF_SELF_SCOUT_IMPORT'!$G$42:$G$1040,SUBSTITUTE(SUBSTITUTE(SUBSTITUTE($O499,"~","~~"),"*","~*"),"?","~?"))/$C499)</f>
        <v>0.0</v>
      </c>
      <c r="F499" s="11">
        <f>IF($C499=0,"",AVERAGEIFS('DEF_SELF_SCOUT_IMPORT'!$I$42:$I$1040,'DEF_SELF_SCOUT_IMPORT'!$L$42:$L$1040,"Y",'DEF_SELF_SCOUT_IMPORT'!$E$42:$E$1040,SUBSTITUTE(SUBSTITUTE(SUBSTITUTE($B499,"~","~~"),"*","~*"),"?","~?"),'DEF_SELF_SCOUT_IMPORT'!$Q$42:$Q$1040,SUBSTITUTE(SUBSTITUTE(SUBSTITUTE($M499,"~","~~"),"*","~*"),"?","~?"),'DEF_SELF_SCOUT_IMPORT'!$G$42:$G$1040,SUBSTITUTE(SUBSTITUTE(SUBSTITUTE($O499,"~","~~"),"*","~*"),"?","~?")))</f>
        <v>4.0</v>
      </c>
      <c r="G499" s="10">
        <f>IF($C499=0,"",COUNTIFS('DEF_SELF_SCOUT_IMPORT'!$L$42:$L$1040,"Y",'DEF_SELF_SCOUT_IMPORT'!$E$42:$E$1040,SUBSTITUTE(SUBSTITUTE(SUBSTITUTE($B499,"~","~~"),"*","~*"),"?","~?"),'DEF_SELF_SCOUT_IMPORT'!$Q$42:$Q$1040,SUBSTITUTE(SUBSTITUTE(SUBSTITUTE($M499,"~","~~"),"*","~*"),"?","~?"),'DEF_SELF_SCOUT_IMPORT'!$G$42:$G$1040,SUBSTITUTE(SUBSTITUTE(SUBSTITUTE($O499,"~","~~"),"*","~*"),"?","~?"),'DEF_SELF_SCOUT_IMPORT'!$H$42:$H$1040,"RUSH")/$C499)</f>
        <v>1.0</v>
      </c>
      <c r="H499" s="10">
        <f>IF($C499=0,"",COUNTIFS('DEF_SELF_SCOUT_IMPORT'!$L$42:$L$1040,"Y",'DEF_SELF_SCOUT_IMPORT'!$E$42:$E$1040,SUBSTITUTE(SUBSTITUTE(SUBSTITUTE($B499,"~","~~"),"*","~*"),"?","~?"),'DEF_SELF_SCOUT_IMPORT'!$Q$42:$Q$1040,SUBSTITUTE(SUBSTITUTE(SUBSTITUTE($M499,"~","~~"),"*","~*"),"?","~?"),'DEF_SELF_SCOUT_IMPORT'!$G$42:$G$1040,SUBSTITUTE(SUBSTITUTE(SUBSTITUTE($O499,"~","~~"),"*","~*"),"?","~?"),'DEF_SELF_SCOUT_IMPORT'!$H$42:$H$1040,"DROPBACK")/$C499)</f>
        <v>0.0</v>
      </c>
      <c r="I499" s="14" t="str">
        <f>IF(C499=0,"",IF(C499&lt;=2,"TRACK",IF(C499=3,"LOW",IF(C499&lt;=6,"MEDIUM","HIGH"))))</f>
        <v>TRACK</v>
      </c>
      <c r="J499" s="11">
        <f>IF(C499=0,"",ROUND(D499*70+(1-E499)*20+MAX(0,MIN(1,(10-F499)/10))*10,1))</f>
        <v>26.0</v>
      </c>
      <c r="K499" s="14" t="str">
        <f>IF(C499=0,"No Evidence",IF(C499&lt;=2,IF(E499&gt;0,"Explosive Alert","Track Only"),IF(C499=3,"Sample Watch",IF(E499&gt;=START_HERE!$B$31,"Explosive Alert",IF(J499&gt;=80,"Strong Candidate",IF(J499&gt;=65,"Good Candidate",IF(J499&gt;=50,"Mixed / Review","Problem Call")))))))</f>
        <v>Track Only</v>
      </c>
      <c r="L499" s="9" t="str">
        <f>IF(COUNTIFS('DEF_SELF_SCOUT_IMPORT'!$L$42:$L$1040,"Y",'DEF_SELF_SCOUT_IMPORT'!$E$42:$E$1040,SUBSTITUTE(SUBSTITUTE(SUBSTITUTE($B499,"~","~~"),"*","~*"),"?","~?"),'DEF_SELF_SCOUT_IMPORT'!$Q$42:$Q$1040,SUBSTITUTE(SUBSTITUTE(SUBSTITUTE($M499,"~","~~"),"*","~*"),"?","~?"),'DEF_SELF_SCOUT_IMPORT'!$G$42:$G$1040,SUBSTITUTE(SUBSTITUTE(SUBSTITUTE($O499,"~","~~"),"*","~*"),"?","~?"),'DEF_SELF_SCOUT_IMPORT'!$J$42:$J$1040,"")&gt;0,"Unscored clean outcome; review result tags before using score.",IF(C499=0,"No matching defensive reps; film confirmation needed.",IF(K499="Explosive Alert","Explosive risk; review clips before using as answer.",IF(C499&lt;=2,"Track only; not enough sample.",IF(C499=3,IF(E499&gt;0,"Sample watch with explosive exposure; review clips and build the sample.",IF(J499&gt;=65,"Good signal, but sample is limited.","Sample watch; review clips and build the sample.")),IF(K499="Problem Call","Problem area; practice or call-sheet review.",IF(K499="Strong Candidate","Strong call-fit candidate; confirm on film.",IF(K499="Good Candidate","Good call-fit signal; confirm on film.","Mixed signal; review fit and execution on film."))))))))</f>
        <v>Track only; not enough sample.</v>
      </c>
      <c r="M499" s="8" t="s">
        <v>85</v>
      </c>
      <c r="N499" s="8"/>
      <c r="O499" s="8" t="s">
        <v>206</v>
      </c>
      <c r="P499" s="8"/>
      <c r="Q499" s="8"/>
      <c r="R499" s="8" t="s">
        <v>28</v>
      </c>
      <c r="S499" s="2" t="s">
        <v>246</v>
      </c>
      <c r="T499" s="2">
        <f>IF(C499=0,0,IF(C499&gt;=CALL_LOOKUP_BOARD!$B$7,IF(OR(K499="Problem Call",K499="Explosive Alert"),10000000,20000000),0)+IF(C499&gt;=CALL_LOOKUP_BOARD!$B$7,J499*1000+MIN(C499,999),C499*1000+J499)+0.00987500)</f>
        <v>1026.009875</v>
      </c>
      <c r="U499" s="2">
        <f>IF(C499=0,"",IF(COUNTIFS($S$375:$S$581,SUBSTITUTE(SUBSTITUTE(SUBSTITUTE(S499,"~","~~"),"*","~*"),"?","~?"),$T$375:$T$581,"&gt;"&amp;T499)=0,S499,""))</f>
        <v/>
      </c>
    </row>
    <row r="500" spans="1:21" ht="38" customHeight="1">
      <c r="A500" s="8" t="s">
        <v>247</v>
      </c>
      <c r="B500" s="8" t="s">
        <v>27</v>
      </c>
      <c r="C500" s="12">
        <f>COUNTIFS('DEF_SELF_SCOUT_IMPORT'!$L$42:$L$1040,"Y",'DEF_SELF_SCOUT_IMPORT'!$E$42:$E$1040,SUBSTITUTE(SUBSTITUTE(SUBSTITUTE($B500,"~","~~"),"*","~*"),"?","~?"),'DEF_SELF_SCOUT_IMPORT'!$Q$42:$Q$1040,SUBSTITUTE(SUBSTITUTE(SUBSTITUTE($M500,"~","~~"),"*","~*"),"?","~?"),'DEF_SELF_SCOUT_IMPORT'!$G$42:$G$1040,SUBSTITUTE(SUBSTITUTE(SUBSTITUTE($O500,"~","~~"),"*","~*"),"?","~?"))</f>
        <v>1</v>
      </c>
      <c r="D500" s="10">
        <f>IF($C500=0,"",SUMIFS('DEF_SELF_SCOUT_IMPORT'!$J$42:$J$1040,'DEF_SELF_SCOUT_IMPORT'!$L$42:$L$1040,"Y",'DEF_SELF_SCOUT_IMPORT'!$E$42:$E$1040,SUBSTITUTE(SUBSTITUTE(SUBSTITUTE($B500,"~","~~"),"*","~*"),"?","~?"),'DEF_SELF_SCOUT_IMPORT'!$Q$42:$Q$1040,SUBSTITUTE(SUBSTITUTE(SUBSTITUTE($M500,"~","~~"),"*","~*"),"?","~?"),'DEF_SELF_SCOUT_IMPORT'!$G$42:$G$1040,SUBSTITUTE(SUBSTITUTE(SUBSTITUTE($O500,"~","~~"),"*","~*"),"?","~?"))/$C500)</f>
        <v>1.0</v>
      </c>
      <c r="E500" s="10">
        <f>IF($C500=0,"",SUMIFS('DEF_SELF_SCOUT_IMPORT'!$K$42:$K$1040,'DEF_SELF_SCOUT_IMPORT'!$L$42:$L$1040,"Y",'DEF_SELF_SCOUT_IMPORT'!$E$42:$E$1040,SUBSTITUTE(SUBSTITUTE(SUBSTITUTE($B500,"~","~~"),"*","~*"),"?","~?"),'DEF_SELF_SCOUT_IMPORT'!$Q$42:$Q$1040,SUBSTITUTE(SUBSTITUTE(SUBSTITUTE($M500,"~","~~"),"*","~*"),"?","~?"),'DEF_SELF_SCOUT_IMPORT'!$G$42:$G$1040,SUBSTITUTE(SUBSTITUTE(SUBSTITUTE($O500,"~","~~"),"*","~*"),"?","~?"))/$C500)</f>
        <v>0.0</v>
      </c>
      <c r="F500" s="11">
        <f>IF($C500=0,"",AVERAGEIFS('DEF_SELF_SCOUT_IMPORT'!$I$42:$I$1040,'DEF_SELF_SCOUT_IMPORT'!$L$42:$L$1040,"Y",'DEF_SELF_SCOUT_IMPORT'!$E$42:$E$1040,SUBSTITUTE(SUBSTITUTE(SUBSTITUTE($B500,"~","~~"),"*","~*"),"?","~?"),'DEF_SELF_SCOUT_IMPORT'!$Q$42:$Q$1040,SUBSTITUTE(SUBSTITUTE(SUBSTITUTE($M500,"~","~~"),"*","~*"),"?","~?"),'DEF_SELF_SCOUT_IMPORT'!$G$42:$G$1040,SUBSTITUTE(SUBSTITUTE(SUBSTITUTE($O500,"~","~~"),"*","~*"),"?","~?")))</f>
        <v>0.0</v>
      </c>
      <c r="G500" s="10">
        <f>IF($C500=0,"",COUNTIFS('DEF_SELF_SCOUT_IMPORT'!$L$42:$L$1040,"Y",'DEF_SELF_SCOUT_IMPORT'!$E$42:$E$1040,SUBSTITUTE(SUBSTITUTE(SUBSTITUTE($B500,"~","~~"),"*","~*"),"?","~?"),'DEF_SELF_SCOUT_IMPORT'!$Q$42:$Q$1040,SUBSTITUTE(SUBSTITUTE(SUBSTITUTE($M500,"~","~~"),"*","~*"),"?","~?"),'DEF_SELF_SCOUT_IMPORT'!$G$42:$G$1040,SUBSTITUTE(SUBSTITUTE(SUBSTITUTE($O500,"~","~~"),"*","~*"),"?","~?"),'DEF_SELF_SCOUT_IMPORT'!$H$42:$H$1040,"RUSH")/$C500)</f>
        <v>0.0</v>
      </c>
      <c r="H500" s="10">
        <f>IF($C500=0,"",COUNTIFS('DEF_SELF_SCOUT_IMPORT'!$L$42:$L$1040,"Y",'DEF_SELF_SCOUT_IMPORT'!$E$42:$E$1040,SUBSTITUTE(SUBSTITUTE(SUBSTITUTE($B500,"~","~~"),"*","~*"),"?","~?"),'DEF_SELF_SCOUT_IMPORT'!$Q$42:$Q$1040,SUBSTITUTE(SUBSTITUTE(SUBSTITUTE($M500,"~","~~"),"*","~*"),"?","~?"),'DEF_SELF_SCOUT_IMPORT'!$G$42:$G$1040,SUBSTITUTE(SUBSTITUTE(SUBSTITUTE($O500,"~","~~"),"*","~*"),"?","~?"),'DEF_SELF_SCOUT_IMPORT'!$H$42:$H$1040,"DROPBACK")/$C500)</f>
        <v>1.0</v>
      </c>
      <c r="I500" s="14" t="str">
        <f>IF(C500=0,"",IF(C500&lt;=2,"TRACK",IF(C500=3,"LOW",IF(C500&lt;=6,"MEDIUM","HIGH"))))</f>
        <v>TRACK</v>
      </c>
      <c r="J500" s="11">
        <f>IF(C500=0,"",ROUND(D500*70+(1-E500)*20+MAX(0,MIN(1,(10-F500)/10))*10,1))</f>
        <v>100.0</v>
      </c>
      <c r="K500" s="14" t="str">
        <f>IF(C500=0,"No Evidence",IF(C500&lt;=2,IF(E500&gt;0,"Explosive Alert","Track Only"),IF(C500=3,"Sample Watch",IF(E500&gt;=START_HERE!$B$31,"Explosive Alert",IF(J500&gt;=80,"Strong Candidate",IF(J500&gt;=65,"Good Candidate",IF(J500&gt;=50,"Mixed / Review","Problem Call")))))))</f>
        <v>Track Only</v>
      </c>
      <c r="L500" s="9" t="str">
        <f>IF(COUNTIFS('DEF_SELF_SCOUT_IMPORT'!$L$42:$L$1040,"Y",'DEF_SELF_SCOUT_IMPORT'!$E$42:$E$1040,SUBSTITUTE(SUBSTITUTE(SUBSTITUTE($B500,"~","~~"),"*","~*"),"?","~?"),'DEF_SELF_SCOUT_IMPORT'!$Q$42:$Q$1040,SUBSTITUTE(SUBSTITUTE(SUBSTITUTE($M500,"~","~~"),"*","~*"),"?","~?"),'DEF_SELF_SCOUT_IMPORT'!$G$42:$G$1040,SUBSTITUTE(SUBSTITUTE(SUBSTITUTE($O500,"~","~~"),"*","~*"),"?","~?"),'DEF_SELF_SCOUT_IMPORT'!$J$42:$J$1040,"")&gt;0,"Unscored clean outcome; review result tags before using score.",IF(C500=0,"No matching defensive reps; film confirmation needed.",IF(K500="Explosive Alert","Explosive risk; review clips before using as answer.",IF(C500&lt;=2,"Track only; not enough sample.",IF(C500=3,IF(E500&gt;0,"Sample watch with explosive exposure; review clips and build the sample.",IF(J500&gt;=65,"Good signal, but sample is limited.","Sample watch; review clips and build the sample.")),IF(K500="Problem Call","Problem area; practice or call-sheet review.",IF(K500="Strong Candidate","Strong call-fit candidate; confirm on film.",IF(K500="Good Candidate","Good call-fit signal; confirm on film.","Mixed signal; review fit and execution on film."))))))))</f>
        <v>Track only; not enough sample.</v>
      </c>
      <c r="M500" s="8" t="s">
        <v>85</v>
      </c>
      <c r="N500" s="8"/>
      <c r="O500" s="8" t="s">
        <v>222</v>
      </c>
      <c r="P500" s="8"/>
      <c r="Q500" s="8"/>
      <c r="R500" s="8" t="s">
        <v>28</v>
      </c>
      <c r="S500" s="2" t="s">
        <v>248</v>
      </c>
      <c r="T500" s="2">
        <f>IF(C500=0,0,IF(C500&gt;=CALL_LOOKUP_BOARD!$B$7,IF(OR(K500="Problem Call",K500="Explosive Alert"),10000000,20000000),0)+IF(C500&gt;=CALL_LOOKUP_BOARD!$B$7,J500*1000+MIN(C500,999),C500*1000+J500)+0.00987400)</f>
        <v>1100.009874</v>
      </c>
      <c r="U500" s="2" t="str">
        <f>IF(C500=0,"",IF(COUNTIFS($S$375:$S$581,SUBSTITUTE(SUBSTITUTE(SUBSTITUTE(S500,"~","~~"),"*","~*"),"?","~?"),$T$375:$T$581,"&gt;"&amp;T500)=0,S500,""))</f>
        <v>7:2D 7-10|3:3X2|</v>
      </c>
    </row>
    <row r="501" spans="1:21" ht="38" customHeight="1">
      <c r="A501" s="8" t="s">
        <v>247</v>
      </c>
      <c r="B501" s="8" t="s">
        <v>65</v>
      </c>
      <c r="C501" s="12">
        <f>COUNTIFS('DEF_SELF_SCOUT_IMPORT'!$L$42:$L$1040,"Y",'DEF_SELF_SCOUT_IMPORT'!$E$42:$E$1040,SUBSTITUTE(SUBSTITUTE(SUBSTITUTE($B501,"~","~~"),"*","~*"),"?","~?"),'DEF_SELF_SCOUT_IMPORT'!$Q$42:$Q$1040,SUBSTITUTE(SUBSTITUTE(SUBSTITUTE($M501,"~","~~"),"*","~*"),"?","~?"),'DEF_SELF_SCOUT_IMPORT'!$G$42:$G$1040,SUBSTITUTE(SUBSTITUTE(SUBSTITUTE($O501,"~","~~"),"*","~*"),"?","~?"))</f>
        <v>1</v>
      </c>
      <c r="D501" s="10">
        <f>IF($C501=0,"",SUMIFS('DEF_SELF_SCOUT_IMPORT'!$J$42:$J$1040,'DEF_SELF_SCOUT_IMPORT'!$L$42:$L$1040,"Y",'DEF_SELF_SCOUT_IMPORT'!$E$42:$E$1040,SUBSTITUTE(SUBSTITUTE(SUBSTITUTE($B501,"~","~~"),"*","~*"),"?","~?"),'DEF_SELF_SCOUT_IMPORT'!$Q$42:$Q$1040,SUBSTITUTE(SUBSTITUTE(SUBSTITUTE($M501,"~","~~"),"*","~*"),"?","~?"),'DEF_SELF_SCOUT_IMPORT'!$G$42:$G$1040,SUBSTITUTE(SUBSTITUTE(SUBSTITUTE($O501,"~","~~"),"*","~*"),"?","~?"))/$C501)</f>
        <v>1.0</v>
      </c>
      <c r="E501" s="10">
        <f>IF($C501=0,"",SUMIFS('DEF_SELF_SCOUT_IMPORT'!$K$42:$K$1040,'DEF_SELF_SCOUT_IMPORT'!$L$42:$L$1040,"Y",'DEF_SELF_SCOUT_IMPORT'!$E$42:$E$1040,SUBSTITUTE(SUBSTITUTE(SUBSTITUTE($B501,"~","~~"),"*","~*"),"?","~?"),'DEF_SELF_SCOUT_IMPORT'!$Q$42:$Q$1040,SUBSTITUTE(SUBSTITUTE(SUBSTITUTE($M501,"~","~~"),"*","~*"),"?","~?"),'DEF_SELF_SCOUT_IMPORT'!$G$42:$G$1040,SUBSTITUTE(SUBSTITUTE(SUBSTITUTE($O501,"~","~~"),"*","~*"),"?","~?"))/$C501)</f>
        <v>0.0</v>
      </c>
      <c r="F501" s="11">
        <f>IF($C501=0,"",AVERAGEIFS('DEF_SELF_SCOUT_IMPORT'!$I$42:$I$1040,'DEF_SELF_SCOUT_IMPORT'!$L$42:$L$1040,"Y",'DEF_SELF_SCOUT_IMPORT'!$E$42:$E$1040,SUBSTITUTE(SUBSTITUTE(SUBSTITUTE($B501,"~","~~"),"*","~*"),"?","~?"),'DEF_SELF_SCOUT_IMPORT'!$Q$42:$Q$1040,SUBSTITUTE(SUBSTITUTE(SUBSTITUTE($M501,"~","~~"),"*","~*"),"?","~?"),'DEF_SELF_SCOUT_IMPORT'!$G$42:$G$1040,SUBSTITUTE(SUBSTITUTE(SUBSTITUTE($O501,"~","~~"),"*","~*"),"?","~?")))</f>
        <v>-1.0</v>
      </c>
      <c r="G501" s="10">
        <f>IF($C501=0,"",COUNTIFS('DEF_SELF_SCOUT_IMPORT'!$L$42:$L$1040,"Y",'DEF_SELF_SCOUT_IMPORT'!$E$42:$E$1040,SUBSTITUTE(SUBSTITUTE(SUBSTITUTE($B501,"~","~~"),"*","~*"),"?","~?"),'DEF_SELF_SCOUT_IMPORT'!$Q$42:$Q$1040,SUBSTITUTE(SUBSTITUTE(SUBSTITUTE($M501,"~","~~"),"*","~*"),"?","~?"),'DEF_SELF_SCOUT_IMPORT'!$G$42:$G$1040,SUBSTITUTE(SUBSTITUTE(SUBSTITUTE($O501,"~","~~"),"*","~*"),"?","~?"),'DEF_SELF_SCOUT_IMPORT'!$H$42:$H$1040,"RUSH")/$C501)</f>
        <v>1.0</v>
      </c>
      <c r="H501" s="10">
        <f>IF($C501=0,"",COUNTIFS('DEF_SELF_SCOUT_IMPORT'!$L$42:$L$1040,"Y",'DEF_SELF_SCOUT_IMPORT'!$E$42:$E$1040,SUBSTITUTE(SUBSTITUTE(SUBSTITUTE($B501,"~","~~"),"*","~*"),"?","~?"),'DEF_SELF_SCOUT_IMPORT'!$Q$42:$Q$1040,SUBSTITUTE(SUBSTITUTE(SUBSTITUTE($M501,"~","~~"),"*","~*"),"?","~?"),'DEF_SELF_SCOUT_IMPORT'!$G$42:$G$1040,SUBSTITUTE(SUBSTITUTE(SUBSTITUTE($O501,"~","~~"),"*","~*"),"?","~?"),'DEF_SELF_SCOUT_IMPORT'!$H$42:$H$1040,"DROPBACK")/$C501)</f>
        <v>0.0</v>
      </c>
      <c r="I501" s="14" t="str">
        <f>IF(C501=0,"",IF(C501&lt;=2,"TRACK",IF(C501=3,"LOW",IF(C501&lt;=6,"MEDIUM","HIGH"))))</f>
        <v>TRACK</v>
      </c>
      <c r="J501" s="11">
        <f>IF(C501=0,"",ROUND(D501*70+(1-E501)*20+MAX(0,MIN(1,(10-F501)/10))*10,1))</f>
        <v>100.0</v>
      </c>
      <c r="K501" s="14" t="str">
        <f>IF(C501=0,"No Evidence",IF(C501&lt;=2,IF(E501&gt;0,"Explosive Alert","Track Only"),IF(C501=3,"Sample Watch",IF(E501&gt;=START_HERE!$B$31,"Explosive Alert",IF(J501&gt;=80,"Strong Candidate",IF(J501&gt;=65,"Good Candidate",IF(J501&gt;=50,"Mixed / Review","Problem Call")))))))</f>
        <v>Track Only</v>
      </c>
      <c r="L501" s="9" t="str">
        <f>IF(COUNTIFS('DEF_SELF_SCOUT_IMPORT'!$L$42:$L$1040,"Y",'DEF_SELF_SCOUT_IMPORT'!$E$42:$E$1040,SUBSTITUTE(SUBSTITUTE(SUBSTITUTE($B501,"~","~~"),"*","~*"),"?","~?"),'DEF_SELF_SCOUT_IMPORT'!$Q$42:$Q$1040,SUBSTITUTE(SUBSTITUTE(SUBSTITUTE($M501,"~","~~"),"*","~*"),"?","~?"),'DEF_SELF_SCOUT_IMPORT'!$G$42:$G$1040,SUBSTITUTE(SUBSTITUTE(SUBSTITUTE($O501,"~","~~"),"*","~*"),"?","~?"),'DEF_SELF_SCOUT_IMPORT'!$J$42:$J$1040,"")&gt;0,"Unscored clean outcome; review result tags before using score.",IF(C501=0,"No matching defensive reps; film confirmation needed.",IF(K501="Explosive Alert","Explosive risk; review clips before using as answer.",IF(C501&lt;=2,"Track only; not enough sample.",IF(C501=3,IF(E501&gt;0,"Sample watch with explosive exposure; review clips and build the sample.",IF(J501&gt;=65,"Good signal, but sample is limited.","Sample watch; review clips and build the sample.")),IF(K501="Problem Call","Problem area; practice or call-sheet review.",IF(K501="Strong Candidate","Strong call-fit candidate; confirm on film.",IF(K501="Good Candidate","Good call-fit signal; confirm on film.","Mixed signal; review fit and execution on film."))))))))</f>
        <v>Track only; not enough sample.</v>
      </c>
      <c r="M501" s="8" t="s">
        <v>85</v>
      </c>
      <c r="N501" s="8"/>
      <c r="O501" s="8" t="s">
        <v>222</v>
      </c>
      <c r="P501" s="8"/>
      <c r="Q501" s="8"/>
      <c r="R501" s="8" t="s">
        <v>28</v>
      </c>
      <c r="S501" s="2" t="s">
        <v>248</v>
      </c>
      <c r="T501" s="2">
        <f>IF(C501=0,0,IF(C501&gt;=CALL_LOOKUP_BOARD!$B$7,IF(OR(K501="Problem Call",K501="Explosive Alert"),10000000,20000000),0)+IF(C501&gt;=CALL_LOOKUP_BOARD!$B$7,J501*1000+MIN(C501,999),C501*1000+J501)+0.00987300)</f>
        <v>1100.009873</v>
      </c>
      <c r="U501" s="2">
        <f>IF(C501=0,"",IF(COUNTIFS($S$375:$S$581,SUBSTITUTE(SUBSTITUTE(SUBSTITUTE(S501,"~","~~"),"*","~*"),"?","~?"),$T$375:$T$581,"&gt;"&amp;T501)=0,S501,""))</f>
        <v/>
      </c>
    </row>
    <row r="502" spans="1:21" ht="38" customHeight="1">
      <c r="A502" s="8" t="s">
        <v>249</v>
      </c>
      <c r="B502" s="8" t="s">
        <v>88</v>
      </c>
      <c r="C502" s="12">
        <f>COUNTIFS('DEF_SELF_SCOUT_IMPORT'!$L$42:$L$1040,"Y",'DEF_SELF_SCOUT_IMPORT'!$E$42:$E$1040,SUBSTITUTE(SUBSTITUTE(SUBSTITUTE($B502,"~","~~"),"*","~*"),"?","~?"),'DEF_SELF_SCOUT_IMPORT'!$Q$42:$Q$1040,SUBSTITUTE(SUBSTITUTE(SUBSTITUTE($M502,"~","~~"),"*","~*"),"?","~?"),'DEF_SELF_SCOUT_IMPORT'!$G$42:$G$1040,SUBSTITUTE(SUBSTITUTE(SUBSTITUTE($O502,"~","~~"),"*","~*"),"?","~?"))</f>
        <v>1</v>
      </c>
      <c r="D502" s="10">
        <f>IF($C502=0,"",SUMIFS('DEF_SELF_SCOUT_IMPORT'!$J$42:$J$1040,'DEF_SELF_SCOUT_IMPORT'!$L$42:$L$1040,"Y",'DEF_SELF_SCOUT_IMPORT'!$E$42:$E$1040,SUBSTITUTE(SUBSTITUTE(SUBSTITUTE($B502,"~","~~"),"*","~*"),"?","~?"),'DEF_SELF_SCOUT_IMPORT'!$Q$42:$Q$1040,SUBSTITUTE(SUBSTITUTE(SUBSTITUTE($M502,"~","~~"),"*","~*"),"?","~?"),'DEF_SELF_SCOUT_IMPORT'!$G$42:$G$1040,SUBSTITUTE(SUBSTITUTE(SUBSTITUTE($O502,"~","~~"),"*","~*"),"?","~?"))/$C502)</f>
        <v>1.0</v>
      </c>
      <c r="E502" s="10">
        <f>IF($C502=0,"",SUMIFS('DEF_SELF_SCOUT_IMPORT'!$K$42:$K$1040,'DEF_SELF_SCOUT_IMPORT'!$L$42:$L$1040,"Y",'DEF_SELF_SCOUT_IMPORT'!$E$42:$E$1040,SUBSTITUTE(SUBSTITUTE(SUBSTITUTE($B502,"~","~~"),"*","~*"),"?","~?"),'DEF_SELF_SCOUT_IMPORT'!$Q$42:$Q$1040,SUBSTITUTE(SUBSTITUTE(SUBSTITUTE($M502,"~","~~"),"*","~*"),"?","~?"),'DEF_SELF_SCOUT_IMPORT'!$G$42:$G$1040,SUBSTITUTE(SUBSTITUTE(SUBSTITUTE($O502,"~","~~"),"*","~*"),"?","~?"))/$C502)</f>
        <v>0.0</v>
      </c>
      <c r="F502" s="11">
        <f>IF($C502=0,"",AVERAGEIFS('DEF_SELF_SCOUT_IMPORT'!$I$42:$I$1040,'DEF_SELF_SCOUT_IMPORT'!$L$42:$L$1040,"Y",'DEF_SELF_SCOUT_IMPORT'!$E$42:$E$1040,SUBSTITUTE(SUBSTITUTE(SUBSTITUTE($B502,"~","~~"),"*","~*"),"?","~?"),'DEF_SELF_SCOUT_IMPORT'!$Q$42:$Q$1040,SUBSTITUTE(SUBSTITUTE(SUBSTITUTE($M502,"~","~~"),"*","~*"),"?","~?"),'DEF_SELF_SCOUT_IMPORT'!$G$42:$G$1040,SUBSTITUTE(SUBSTITUTE(SUBSTITUTE($O502,"~","~~"),"*","~*"),"?","~?")))</f>
        <v>3.0</v>
      </c>
      <c r="G502" s="10">
        <f>IF($C502=0,"",COUNTIFS('DEF_SELF_SCOUT_IMPORT'!$L$42:$L$1040,"Y",'DEF_SELF_SCOUT_IMPORT'!$E$42:$E$1040,SUBSTITUTE(SUBSTITUTE(SUBSTITUTE($B502,"~","~~"),"*","~*"),"?","~?"),'DEF_SELF_SCOUT_IMPORT'!$Q$42:$Q$1040,SUBSTITUTE(SUBSTITUTE(SUBSTITUTE($M502,"~","~~"),"*","~*"),"?","~?"),'DEF_SELF_SCOUT_IMPORT'!$G$42:$G$1040,SUBSTITUTE(SUBSTITUTE(SUBSTITUTE($O502,"~","~~"),"*","~*"),"?","~?"),'DEF_SELF_SCOUT_IMPORT'!$H$42:$H$1040,"RUSH")/$C502)</f>
        <v>1.0</v>
      </c>
      <c r="H502" s="10">
        <f>IF($C502=0,"",COUNTIFS('DEF_SELF_SCOUT_IMPORT'!$L$42:$L$1040,"Y",'DEF_SELF_SCOUT_IMPORT'!$E$42:$E$1040,SUBSTITUTE(SUBSTITUTE(SUBSTITUTE($B502,"~","~~"),"*","~*"),"?","~?"),'DEF_SELF_SCOUT_IMPORT'!$Q$42:$Q$1040,SUBSTITUTE(SUBSTITUTE(SUBSTITUTE($M502,"~","~~"),"*","~*"),"?","~?"),'DEF_SELF_SCOUT_IMPORT'!$G$42:$G$1040,SUBSTITUTE(SUBSTITUTE(SUBSTITUTE($O502,"~","~~"),"*","~*"),"?","~?"),'DEF_SELF_SCOUT_IMPORT'!$H$42:$H$1040,"DROPBACK")/$C502)</f>
        <v>0.0</v>
      </c>
      <c r="I502" s="14" t="str">
        <f>IF(C502=0,"",IF(C502&lt;=2,"TRACK",IF(C502=3,"LOW",IF(C502&lt;=6,"MEDIUM","HIGH"))))</f>
        <v>TRACK</v>
      </c>
      <c r="J502" s="11">
        <f>IF(C502=0,"",ROUND(D502*70+(1-E502)*20+MAX(0,MIN(1,(10-F502)/10))*10,1))</f>
        <v>97.0</v>
      </c>
      <c r="K502" s="14" t="str">
        <f>IF(C502=0,"No Evidence",IF(C502&lt;=2,IF(E502&gt;0,"Explosive Alert","Track Only"),IF(C502=3,"Sample Watch",IF(E502&gt;=START_HERE!$B$31,"Explosive Alert",IF(J502&gt;=80,"Strong Candidate",IF(J502&gt;=65,"Good Candidate",IF(J502&gt;=50,"Mixed / Review","Problem Call")))))))</f>
        <v>Track Only</v>
      </c>
      <c r="L502" s="9" t="str">
        <f>IF(COUNTIFS('DEF_SELF_SCOUT_IMPORT'!$L$42:$L$1040,"Y",'DEF_SELF_SCOUT_IMPORT'!$E$42:$E$1040,SUBSTITUTE(SUBSTITUTE(SUBSTITUTE($B502,"~","~~"),"*","~*"),"?","~?"),'DEF_SELF_SCOUT_IMPORT'!$Q$42:$Q$1040,SUBSTITUTE(SUBSTITUTE(SUBSTITUTE($M502,"~","~~"),"*","~*"),"?","~?"),'DEF_SELF_SCOUT_IMPORT'!$G$42:$G$1040,SUBSTITUTE(SUBSTITUTE(SUBSTITUTE($O502,"~","~~"),"*","~*"),"?","~?"),'DEF_SELF_SCOUT_IMPORT'!$J$42:$J$1040,"")&gt;0,"Unscored clean outcome; review result tags before using score.",IF(C502=0,"No matching defensive reps; film confirmation needed.",IF(K502="Explosive Alert","Explosive risk; review clips before using as answer.",IF(C502&lt;=2,"Track only; not enough sample.",IF(C502=3,IF(E502&gt;0,"Sample watch with explosive exposure; review clips and build the sample.",IF(J502&gt;=65,"Good signal, but sample is limited.","Sample watch; review clips and build the sample.")),IF(K502="Problem Call","Problem area; practice or call-sheet review.",IF(K502="Strong Candidate","Strong call-fit candidate; confirm on film.",IF(K502="Good Candidate","Good call-fit signal; confirm on film.","Mixed signal; review fit and execution on film."))))))))</f>
        <v>Track only; not enough sample.</v>
      </c>
      <c r="M502" s="8" t="s">
        <v>85</v>
      </c>
      <c r="N502" s="8"/>
      <c r="O502" s="8" t="s">
        <v>215</v>
      </c>
      <c r="P502" s="8"/>
      <c r="Q502" s="8"/>
      <c r="R502" s="8" t="s">
        <v>28</v>
      </c>
      <c r="S502" s="2" t="s">
        <v>250</v>
      </c>
      <c r="T502" s="2">
        <f>IF(C502=0,0,IF(C502&gt;=CALL_LOOKUP_BOARD!$B$7,IF(OR(K502="Problem Call",K502="Explosive Alert"),10000000,20000000),0)+IF(C502&gt;=CALL_LOOKUP_BOARD!$B$7,J502*1000+MIN(C502,999),C502*1000+J502)+0.00987200)</f>
        <v>1097.009872</v>
      </c>
      <c r="U502" s="2" t="str">
        <f>IF(C502=0,"",IF(COUNTIFS($S$375:$S$581,SUBSTITUTE(SUBSTITUTE(SUBSTITUTE(S502,"~","~~"),"*","~*"),"?","~?"),$T$375:$T$581,"&gt;"&amp;T502)=0,S502,""))</f>
        <v>7:2D 7-10|3:4X1|</v>
      </c>
    </row>
    <row r="503" spans="1:21" ht="38" customHeight="1">
      <c r="A503" s="8" t="s">
        <v>251</v>
      </c>
      <c r="B503" s="8" t="s">
        <v>93</v>
      </c>
      <c r="C503" s="12">
        <f>COUNTIFS('DEF_SELF_SCOUT_IMPORT'!$L$42:$L$1040,"Y",'DEF_SELF_SCOUT_IMPORT'!$E$42:$E$1040,SUBSTITUTE(SUBSTITUTE(SUBSTITUTE($B503,"~","~~"),"*","~*"),"?","~?"),'DEF_SELF_SCOUT_IMPORT'!$Q$42:$Q$1040,SUBSTITUTE(SUBSTITUTE(SUBSTITUTE($M503,"~","~~"),"*","~*"),"?","~?"),'DEF_SELF_SCOUT_IMPORT'!$G$42:$G$1040,SUBSTITUTE(SUBSTITUTE(SUBSTITUTE($O503,"~","~~"),"*","~*"),"?","~?"))</f>
        <v>1</v>
      </c>
      <c r="D503" s="10">
        <f>IF($C503=0,"",SUMIFS('DEF_SELF_SCOUT_IMPORT'!$J$42:$J$1040,'DEF_SELF_SCOUT_IMPORT'!$L$42:$L$1040,"Y",'DEF_SELF_SCOUT_IMPORT'!$E$42:$E$1040,SUBSTITUTE(SUBSTITUTE(SUBSTITUTE($B503,"~","~~"),"*","~*"),"?","~?"),'DEF_SELF_SCOUT_IMPORT'!$Q$42:$Q$1040,SUBSTITUTE(SUBSTITUTE(SUBSTITUTE($M503,"~","~~"),"*","~*"),"?","~?"),'DEF_SELF_SCOUT_IMPORT'!$G$42:$G$1040,SUBSTITUTE(SUBSTITUTE(SUBSTITUTE($O503,"~","~~"),"*","~*"),"?","~?"))/$C503)</f>
        <v>1.0</v>
      </c>
      <c r="E503" s="10">
        <f>IF($C503=0,"",SUMIFS('DEF_SELF_SCOUT_IMPORT'!$K$42:$K$1040,'DEF_SELF_SCOUT_IMPORT'!$L$42:$L$1040,"Y",'DEF_SELF_SCOUT_IMPORT'!$E$42:$E$1040,SUBSTITUTE(SUBSTITUTE(SUBSTITUTE($B503,"~","~~"),"*","~*"),"?","~?"),'DEF_SELF_SCOUT_IMPORT'!$Q$42:$Q$1040,SUBSTITUTE(SUBSTITUTE(SUBSTITUTE($M503,"~","~~"),"*","~*"),"?","~?"),'DEF_SELF_SCOUT_IMPORT'!$G$42:$G$1040,SUBSTITUTE(SUBSTITUTE(SUBSTITUTE($O503,"~","~~"),"*","~*"),"?","~?"))/$C503)</f>
        <v>0.0</v>
      </c>
      <c r="F503" s="11">
        <f>IF($C503=0,"",AVERAGEIFS('DEF_SELF_SCOUT_IMPORT'!$I$42:$I$1040,'DEF_SELF_SCOUT_IMPORT'!$L$42:$L$1040,"Y",'DEF_SELF_SCOUT_IMPORT'!$E$42:$E$1040,SUBSTITUTE(SUBSTITUTE(SUBSTITUTE($B503,"~","~~"),"*","~*"),"?","~?"),'DEF_SELF_SCOUT_IMPORT'!$Q$42:$Q$1040,SUBSTITUTE(SUBSTITUTE(SUBSTITUTE($M503,"~","~~"),"*","~*"),"?","~?"),'DEF_SELF_SCOUT_IMPORT'!$G$42:$G$1040,SUBSTITUTE(SUBSTITUTE(SUBSTITUTE($O503,"~","~~"),"*","~*"),"?","~?")))</f>
        <v>0.0</v>
      </c>
      <c r="G503" s="10">
        <f>IF($C503=0,"",COUNTIFS('DEF_SELF_SCOUT_IMPORT'!$L$42:$L$1040,"Y",'DEF_SELF_SCOUT_IMPORT'!$E$42:$E$1040,SUBSTITUTE(SUBSTITUTE(SUBSTITUTE($B503,"~","~~"),"*","~*"),"?","~?"),'DEF_SELF_SCOUT_IMPORT'!$Q$42:$Q$1040,SUBSTITUTE(SUBSTITUTE(SUBSTITUTE($M503,"~","~~"),"*","~*"),"?","~?"),'DEF_SELF_SCOUT_IMPORT'!$G$42:$G$1040,SUBSTITUTE(SUBSTITUTE(SUBSTITUTE($O503,"~","~~"),"*","~*"),"?","~?"),'DEF_SELF_SCOUT_IMPORT'!$H$42:$H$1040,"RUSH")/$C503)</f>
        <v>0.0</v>
      </c>
      <c r="H503" s="10">
        <f>IF($C503=0,"",COUNTIFS('DEF_SELF_SCOUT_IMPORT'!$L$42:$L$1040,"Y",'DEF_SELF_SCOUT_IMPORT'!$E$42:$E$1040,SUBSTITUTE(SUBSTITUTE(SUBSTITUTE($B503,"~","~~"),"*","~*"),"?","~?"),'DEF_SELF_SCOUT_IMPORT'!$Q$42:$Q$1040,SUBSTITUTE(SUBSTITUTE(SUBSTITUTE($M503,"~","~~"),"*","~*"),"?","~?"),'DEF_SELF_SCOUT_IMPORT'!$G$42:$G$1040,SUBSTITUTE(SUBSTITUTE(SUBSTITUTE($O503,"~","~~"),"*","~*"),"?","~?"),'DEF_SELF_SCOUT_IMPORT'!$H$42:$H$1040,"DROPBACK")/$C503)</f>
        <v>1.0</v>
      </c>
      <c r="I503" s="14" t="str">
        <f>IF(C503=0,"",IF(C503&lt;=2,"TRACK",IF(C503=3,"LOW",IF(C503&lt;=6,"MEDIUM","HIGH"))))</f>
        <v>TRACK</v>
      </c>
      <c r="J503" s="11">
        <f>IF(C503=0,"",ROUND(D503*70+(1-E503)*20+MAX(0,MIN(1,(10-F503)/10))*10,1))</f>
        <v>100.0</v>
      </c>
      <c r="K503" s="14" t="str">
        <f>IF(C503=0,"No Evidence",IF(C503&lt;=2,IF(E503&gt;0,"Explosive Alert","Track Only"),IF(C503=3,"Sample Watch",IF(E503&gt;=START_HERE!$B$31,"Explosive Alert",IF(J503&gt;=80,"Strong Candidate",IF(J503&gt;=65,"Good Candidate",IF(J503&gt;=50,"Mixed / Review","Problem Call")))))))</f>
        <v>Track Only</v>
      </c>
      <c r="L503" s="9" t="str">
        <f>IF(COUNTIFS('DEF_SELF_SCOUT_IMPORT'!$L$42:$L$1040,"Y",'DEF_SELF_SCOUT_IMPORT'!$E$42:$E$1040,SUBSTITUTE(SUBSTITUTE(SUBSTITUTE($B503,"~","~~"),"*","~*"),"?","~?"),'DEF_SELF_SCOUT_IMPORT'!$Q$42:$Q$1040,SUBSTITUTE(SUBSTITUTE(SUBSTITUTE($M503,"~","~~"),"*","~*"),"?","~?"),'DEF_SELF_SCOUT_IMPORT'!$G$42:$G$1040,SUBSTITUTE(SUBSTITUTE(SUBSTITUTE($O503,"~","~~"),"*","~*"),"?","~?"),'DEF_SELF_SCOUT_IMPORT'!$J$42:$J$1040,"")&gt;0,"Unscored clean outcome; review result tags before using score.",IF(C503=0,"No matching defensive reps; film confirmation needed.",IF(K503="Explosive Alert","Explosive risk; review clips before using as answer.",IF(C503&lt;=2,"Track only; not enough sample.",IF(C503=3,IF(E503&gt;0,"Sample watch with explosive exposure; review clips and build the sample.",IF(J503&gt;=65,"Good signal, but sample is limited.","Sample watch; review clips and build the sample.")),IF(K503="Problem Call","Problem area; practice or call-sheet review.",IF(K503="Strong Candidate","Strong call-fit candidate; confirm on film.",IF(K503="Good Candidate","Good call-fit signal; confirm on film.","Mixed signal; review fit and execution on film."))))))))</f>
        <v>Track only; not enough sample.</v>
      </c>
      <c r="M503" s="8" t="s">
        <v>92</v>
      </c>
      <c r="N503" s="8"/>
      <c r="O503" s="8" t="s">
        <v>203</v>
      </c>
      <c r="P503" s="8"/>
      <c r="Q503" s="8"/>
      <c r="R503" s="8" t="s">
        <v>28</v>
      </c>
      <c r="S503" s="2" t="s">
        <v>252</v>
      </c>
      <c r="T503" s="2">
        <f>IF(C503=0,0,IF(C503&gt;=CALL_LOOKUP_BOARD!$B$7,IF(OR(K503="Problem Call",K503="Explosive Alert"),10000000,20000000),0)+IF(C503&gt;=CALL_LOOKUP_BOARD!$B$7,J503*1000+MIN(C503,999),C503*1000+J503)+0.00987100)</f>
        <v>1100.009871</v>
      </c>
      <c r="U503" s="2" t="str">
        <f>IF(C503=0,"",IF(COUNTIFS($S$375:$S$581,SUBSTITUTE(SUBSTITUTE(SUBSTITUTE(S503,"~","~~"),"*","~*"),"?","~?"),$T$375:$T$581,"&gt;"&amp;T503)=0,S503,""))</f>
        <v>6:3D 1-3|3:2X2|</v>
      </c>
    </row>
    <row r="504" spans="1:21" ht="38" customHeight="1">
      <c r="A504" s="8" t="s">
        <v>251</v>
      </c>
      <c r="B504" s="8" t="s">
        <v>95</v>
      </c>
      <c r="C504" s="12">
        <f>COUNTIFS('DEF_SELF_SCOUT_IMPORT'!$L$42:$L$1040,"Y",'DEF_SELF_SCOUT_IMPORT'!$E$42:$E$1040,SUBSTITUTE(SUBSTITUTE(SUBSTITUTE($B504,"~","~~"),"*","~*"),"?","~?"),'DEF_SELF_SCOUT_IMPORT'!$Q$42:$Q$1040,SUBSTITUTE(SUBSTITUTE(SUBSTITUTE($M504,"~","~~"),"*","~*"),"?","~?"),'DEF_SELF_SCOUT_IMPORT'!$G$42:$G$1040,SUBSTITUTE(SUBSTITUTE(SUBSTITUTE($O504,"~","~~"),"*","~*"),"?","~?"))</f>
        <v>1</v>
      </c>
      <c r="D504" s="10">
        <f>IF($C504=0,"",SUMIFS('DEF_SELF_SCOUT_IMPORT'!$J$42:$J$1040,'DEF_SELF_SCOUT_IMPORT'!$L$42:$L$1040,"Y",'DEF_SELF_SCOUT_IMPORT'!$E$42:$E$1040,SUBSTITUTE(SUBSTITUTE(SUBSTITUTE($B504,"~","~~"),"*","~*"),"?","~?"),'DEF_SELF_SCOUT_IMPORT'!$Q$42:$Q$1040,SUBSTITUTE(SUBSTITUTE(SUBSTITUTE($M504,"~","~~"),"*","~*"),"?","~?"),'DEF_SELF_SCOUT_IMPORT'!$G$42:$G$1040,SUBSTITUTE(SUBSTITUTE(SUBSTITUTE($O504,"~","~~"),"*","~*"),"?","~?"))/$C504)</f>
        <v>0.0</v>
      </c>
      <c r="E504" s="10">
        <f>IF($C504=0,"",SUMIFS('DEF_SELF_SCOUT_IMPORT'!$K$42:$K$1040,'DEF_SELF_SCOUT_IMPORT'!$L$42:$L$1040,"Y",'DEF_SELF_SCOUT_IMPORT'!$E$42:$E$1040,SUBSTITUTE(SUBSTITUTE(SUBSTITUTE($B504,"~","~~"),"*","~*"),"?","~?"),'DEF_SELF_SCOUT_IMPORT'!$Q$42:$Q$1040,SUBSTITUTE(SUBSTITUTE(SUBSTITUTE($M504,"~","~~"),"*","~*"),"?","~?"),'DEF_SELF_SCOUT_IMPORT'!$G$42:$G$1040,SUBSTITUTE(SUBSTITUTE(SUBSTITUTE($O504,"~","~~"),"*","~*"),"?","~?"))/$C504)</f>
        <v>0.0</v>
      </c>
      <c r="F504" s="11">
        <f>IF($C504=0,"",AVERAGEIFS('DEF_SELF_SCOUT_IMPORT'!$I$42:$I$1040,'DEF_SELF_SCOUT_IMPORT'!$L$42:$L$1040,"Y",'DEF_SELF_SCOUT_IMPORT'!$E$42:$E$1040,SUBSTITUTE(SUBSTITUTE(SUBSTITUTE($B504,"~","~~"),"*","~*"),"?","~?"),'DEF_SELF_SCOUT_IMPORT'!$Q$42:$Q$1040,SUBSTITUTE(SUBSTITUTE(SUBSTITUTE($M504,"~","~~"),"*","~*"),"?","~?"),'DEF_SELF_SCOUT_IMPORT'!$G$42:$G$1040,SUBSTITUTE(SUBSTITUTE(SUBSTITUTE($O504,"~","~~"),"*","~*"),"?","~?")))</f>
        <v>6.0</v>
      </c>
      <c r="G504" s="10">
        <f>IF($C504=0,"",COUNTIFS('DEF_SELF_SCOUT_IMPORT'!$L$42:$L$1040,"Y",'DEF_SELF_SCOUT_IMPORT'!$E$42:$E$1040,SUBSTITUTE(SUBSTITUTE(SUBSTITUTE($B504,"~","~~"),"*","~*"),"?","~?"),'DEF_SELF_SCOUT_IMPORT'!$Q$42:$Q$1040,SUBSTITUTE(SUBSTITUTE(SUBSTITUTE($M504,"~","~~"),"*","~*"),"?","~?"),'DEF_SELF_SCOUT_IMPORT'!$G$42:$G$1040,SUBSTITUTE(SUBSTITUTE(SUBSTITUTE($O504,"~","~~"),"*","~*"),"?","~?"),'DEF_SELF_SCOUT_IMPORT'!$H$42:$H$1040,"RUSH")/$C504)</f>
        <v>1.0</v>
      </c>
      <c r="H504" s="10">
        <f>IF($C504=0,"",COUNTIFS('DEF_SELF_SCOUT_IMPORT'!$L$42:$L$1040,"Y",'DEF_SELF_SCOUT_IMPORT'!$E$42:$E$1040,SUBSTITUTE(SUBSTITUTE(SUBSTITUTE($B504,"~","~~"),"*","~*"),"?","~?"),'DEF_SELF_SCOUT_IMPORT'!$Q$42:$Q$1040,SUBSTITUTE(SUBSTITUTE(SUBSTITUTE($M504,"~","~~"),"*","~*"),"?","~?"),'DEF_SELF_SCOUT_IMPORT'!$G$42:$G$1040,SUBSTITUTE(SUBSTITUTE(SUBSTITUTE($O504,"~","~~"),"*","~*"),"?","~?"),'DEF_SELF_SCOUT_IMPORT'!$H$42:$H$1040,"DROPBACK")/$C504)</f>
        <v>0.0</v>
      </c>
      <c r="I504" s="14" t="str">
        <f>IF(C504=0,"",IF(C504&lt;=2,"TRACK",IF(C504=3,"LOW",IF(C504&lt;=6,"MEDIUM","HIGH"))))</f>
        <v>TRACK</v>
      </c>
      <c r="J504" s="11">
        <f>IF(C504=0,"",ROUND(D504*70+(1-E504)*20+MAX(0,MIN(1,(10-F504)/10))*10,1))</f>
        <v>24.0</v>
      </c>
      <c r="K504" s="14" t="str">
        <f>IF(C504=0,"No Evidence",IF(C504&lt;=2,IF(E504&gt;0,"Explosive Alert","Track Only"),IF(C504=3,"Sample Watch",IF(E504&gt;=START_HERE!$B$31,"Explosive Alert",IF(J504&gt;=80,"Strong Candidate",IF(J504&gt;=65,"Good Candidate",IF(J504&gt;=50,"Mixed / Review","Problem Call")))))))</f>
        <v>Track Only</v>
      </c>
      <c r="L504" s="9" t="str">
        <f>IF(COUNTIFS('DEF_SELF_SCOUT_IMPORT'!$L$42:$L$1040,"Y",'DEF_SELF_SCOUT_IMPORT'!$E$42:$E$1040,SUBSTITUTE(SUBSTITUTE(SUBSTITUTE($B504,"~","~~"),"*","~*"),"?","~?"),'DEF_SELF_SCOUT_IMPORT'!$Q$42:$Q$1040,SUBSTITUTE(SUBSTITUTE(SUBSTITUTE($M504,"~","~~"),"*","~*"),"?","~?"),'DEF_SELF_SCOUT_IMPORT'!$G$42:$G$1040,SUBSTITUTE(SUBSTITUTE(SUBSTITUTE($O504,"~","~~"),"*","~*"),"?","~?"),'DEF_SELF_SCOUT_IMPORT'!$J$42:$J$1040,"")&gt;0,"Unscored clean outcome; review result tags before using score.",IF(C504=0,"No matching defensive reps; film confirmation needed.",IF(K504="Explosive Alert","Explosive risk; review clips before using as answer.",IF(C504&lt;=2,"Track only; not enough sample.",IF(C504=3,IF(E504&gt;0,"Sample watch with explosive exposure; review clips and build the sample.",IF(J504&gt;=65,"Good signal, but sample is limited.","Sample watch; review clips and build the sample.")),IF(K504="Problem Call","Problem area; practice or call-sheet review.",IF(K504="Strong Candidate","Strong call-fit candidate; confirm on film.",IF(K504="Good Candidate","Good call-fit signal; confirm on film.","Mixed signal; review fit and execution on film."))))))))</f>
        <v>Track only; not enough sample.</v>
      </c>
      <c r="M504" s="8" t="s">
        <v>92</v>
      </c>
      <c r="N504" s="8"/>
      <c r="O504" s="8" t="s">
        <v>203</v>
      </c>
      <c r="P504" s="8"/>
      <c r="Q504" s="8"/>
      <c r="R504" s="8" t="s">
        <v>28</v>
      </c>
      <c r="S504" s="2" t="s">
        <v>252</v>
      </c>
      <c r="T504" s="2">
        <f>IF(C504=0,0,IF(C504&gt;=CALL_LOOKUP_BOARD!$B$7,IF(OR(K504="Problem Call",K504="Explosive Alert"),10000000,20000000),0)+IF(C504&gt;=CALL_LOOKUP_BOARD!$B$7,J504*1000+MIN(C504,999),C504*1000+J504)+0.00987000)</f>
        <v>1024.00987</v>
      </c>
      <c r="U504" s="2">
        <f>IF(C504=0,"",IF(COUNTIFS($S$375:$S$581,SUBSTITUTE(SUBSTITUTE(SUBSTITUTE(S504,"~","~~"),"*","~*"),"?","~?"),$T$375:$T$581,"&gt;"&amp;T504)=0,S504,""))</f>
        <v/>
      </c>
    </row>
    <row r="505" spans="1:21" ht="38" customHeight="1">
      <c r="A505" s="8" t="s">
        <v>251</v>
      </c>
      <c r="B505" s="8" t="s">
        <v>35</v>
      </c>
      <c r="C505" s="12">
        <f>COUNTIFS('DEF_SELF_SCOUT_IMPORT'!$L$42:$L$1040,"Y",'DEF_SELF_SCOUT_IMPORT'!$E$42:$E$1040,SUBSTITUTE(SUBSTITUTE(SUBSTITUTE($B505,"~","~~"),"*","~*"),"?","~?"),'DEF_SELF_SCOUT_IMPORT'!$Q$42:$Q$1040,SUBSTITUTE(SUBSTITUTE(SUBSTITUTE($M505,"~","~~"),"*","~*"),"?","~?"),'DEF_SELF_SCOUT_IMPORT'!$G$42:$G$1040,SUBSTITUTE(SUBSTITUTE(SUBSTITUTE($O505,"~","~~"),"*","~*"),"?","~?"))</f>
        <v>1</v>
      </c>
      <c r="D505" s="10">
        <f>IF($C505=0,"",SUMIFS('DEF_SELF_SCOUT_IMPORT'!$J$42:$J$1040,'DEF_SELF_SCOUT_IMPORT'!$L$42:$L$1040,"Y",'DEF_SELF_SCOUT_IMPORT'!$E$42:$E$1040,SUBSTITUTE(SUBSTITUTE(SUBSTITUTE($B505,"~","~~"),"*","~*"),"?","~?"),'DEF_SELF_SCOUT_IMPORT'!$Q$42:$Q$1040,SUBSTITUTE(SUBSTITUTE(SUBSTITUTE($M505,"~","~~"),"*","~*"),"?","~?"),'DEF_SELF_SCOUT_IMPORT'!$G$42:$G$1040,SUBSTITUTE(SUBSTITUTE(SUBSTITUTE($O505,"~","~~"),"*","~*"),"?","~?"))/$C505)</f>
        <v>0.0</v>
      </c>
      <c r="E505" s="10">
        <f>IF($C505=0,"",SUMIFS('DEF_SELF_SCOUT_IMPORT'!$K$42:$K$1040,'DEF_SELF_SCOUT_IMPORT'!$L$42:$L$1040,"Y",'DEF_SELF_SCOUT_IMPORT'!$E$42:$E$1040,SUBSTITUTE(SUBSTITUTE(SUBSTITUTE($B505,"~","~~"),"*","~*"),"?","~?"),'DEF_SELF_SCOUT_IMPORT'!$Q$42:$Q$1040,SUBSTITUTE(SUBSTITUTE(SUBSTITUTE($M505,"~","~~"),"*","~*"),"?","~?"),'DEF_SELF_SCOUT_IMPORT'!$G$42:$G$1040,SUBSTITUTE(SUBSTITUTE(SUBSTITUTE($O505,"~","~~"),"*","~*"),"?","~?"))/$C505)</f>
        <v>0.0</v>
      </c>
      <c r="F505" s="11">
        <f>IF($C505=0,"",AVERAGEIFS('DEF_SELF_SCOUT_IMPORT'!$I$42:$I$1040,'DEF_SELF_SCOUT_IMPORT'!$L$42:$L$1040,"Y",'DEF_SELF_SCOUT_IMPORT'!$E$42:$E$1040,SUBSTITUTE(SUBSTITUTE(SUBSTITUTE($B505,"~","~~"),"*","~*"),"?","~?"),'DEF_SELF_SCOUT_IMPORT'!$Q$42:$Q$1040,SUBSTITUTE(SUBSTITUTE(SUBSTITUTE($M505,"~","~~"),"*","~*"),"?","~?"),'DEF_SELF_SCOUT_IMPORT'!$G$42:$G$1040,SUBSTITUTE(SUBSTITUTE(SUBSTITUTE($O505,"~","~~"),"*","~*"),"?","~?")))</f>
        <v>5.0</v>
      </c>
      <c r="G505" s="10">
        <f>IF($C505=0,"",COUNTIFS('DEF_SELF_SCOUT_IMPORT'!$L$42:$L$1040,"Y",'DEF_SELF_SCOUT_IMPORT'!$E$42:$E$1040,SUBSTITUTE(SUBSTITUTE(SUBSTITUTE($B505,"~","~~"),"*","~*"),"?","~?"),'DEF_SELF_SCOUT_IMPORT'!$Q$42:$Q$1040,SUBSTITUTE(SUBSTITUTE(SUBSTITUTE($M505,"~","~~"),"*","~*"),"?","~?"),'DEF_SELF_SCOUT_IMPORT'!$G$42:$G$1040,SUBSTITUTE(SUBSTITUTE(SUBSTITUTE($O505,"~","~~"),"*","~*"),"?","~?"),'DEF_SELF_SCOUT_IMPORT'!$H$42:$H$1040,"RUSH")/$C505)</f>
        <v>1.0</v>
      </c>
      <c r="H505" s="10">
        <f>IF($C505=0,"",COUNTIFS('DEF_SELF_SCOUT_IMPORT'!$L$42:$L$1040,"Y",'DEF_SELF_SCOUT_IMPORT'!$E$42:$E$1040,SUBSTITUTE(SUBSTITUTE(SUBSTITUTE($B505,"~","~~"),"*","~*"),"?","~?"),'DEF_SELF_SCOUT_IMPORT'!$Q$42:$Q$1040,SUBSTITUTE(SUBSTITUTE(SUBSTITUTE($M505,"~","~~"),"*","~*"),"?","~?"),'DEF_SELF_SCOUT_IMPORT'!$G$42:$G$1040,SUBSTITUTE(SUBSTITUTE(SUBSTITUTE($O505,"~","~~"),"*","~*"),"?","~?"),'DEF_SELF_SCOUT_IMPORT'!$H$42:$H$1040,"DROPBACK")/$C505)</f>
        <v>0.0</v>
      </c>
      <c r="I505" s="14" t="str">
        <f>IF(C505=0,"",IF(C505&lt;=2,"TRACK",IF(C505=3,"LOW",IF(C505&lt;=6,"MEDIUM","HIGH"))))</f>
        <v>TRACK</v>
      </c>
      <c r="J505" s="11">
        <f>IF(C505=0,"",ROUND(D505*70+(1-E505)*20+MAX(0,MIN(1,(10-F505)/10))*10,1))</f>
        <v>25.0</v>
      </c>
      <c r="K505" s="14" t="str">
        <f>IF(C505=0,"No Evidence",IF(C505&lt;=2,IF(E505&gt;0,"Explosive Alert","Track Only"),IF(C505=3,"Sample Watch",IF(E505&gt;=START_HERE!$B$31,"Explosive Alert",IF(J505&gt;=80,"Strong Candidate",IF(J505&gt;=65,"Good Candidate",IF(J505&gt;=50,"Mixed / Review","Problem Call")))))))</f>
        <v>Track Only</v>
      </c>
      <c r="L505" s="9" t="str">
        <f>IF(COUNTIFS('DEF_SELF_SCOUT_IMPORT'!$L$42:$L$1040,"Y",'DEF_SELF_SCOUT_IMPORT'!$E$42:$E$1040,SUBSTITUTE(SUBSTITUTE(SUBSTITUTE($B505,"~","~~"),"*","~*"),"?","~?"),'DEF_SELF_SCOUT_IMPORT'!$Q$42:$Q$1040,SUBSTITUTE(SUBSTITUTE(SUBSTITUTE($M505,"~","~~"),"*","~*"),"?","~?"),'DEF_SELF_SCOUT_IMPORT'!$G$42:$G$1040,SUBSTITUTE(SUBSTITUTE(SUBSTITUTE($O505,"~","~~"),"*","~*"),"?","~?"),'DEF_SELF_SCOUT_IMPORT'!$J$42:$J$1040,"")&gt;0,"Unscored clean outcome; review result tags before using score.",IF(C505=0,"No matching defensive reps; film confirmation needed.",IF(K505="Explosive Alert","Explosive risk; review clips before using as answer.",IF(C505&lt;=2,"Track only; not enough sample.",IF(C505=3,IF(E505&gt;0,"Sample watch with explosive exposure; review clips and build the sample.",IF(J505&gt;=65,"Good signal, but sample is limited.","Sample watch; review clips and build the sample.")),IF(K505="Problem Call","Problem area; practice or call-sheet review.",IF(K505="Strong Candidate","Strong call-fit candidate; confirm on film.",IF(K505="Good Candidate","Good call-fit signal; confirm on film.","Mixed signal; review fit and execution on film."))))))))</f>
        <v>Track only; not enough sample.</v>
      </c>
      <c r="M505" s="8" t="s">
        <v>92</v>
      </c>
      <c r="N505" s="8"/>
      <c r="O505" s="8" t="s">
        <v>203</v>
      </c>
      <c r="P505" s="8"/>
      <c r="Q505" s="8"/>
      <c r="R505" s="8" t="s">
        <v>28</v>
      </c>
      <c r="S505" s="2" t="s">
        <v>252</v>
      </c>
      <c r="T505" s="2">
        <f>IF(C505=0,0,IF(C505&gt;=CALL_LOOKUP_BOARD!$B$7,IF(OR(K505="Problem Call",K505="Explosive Alert"),10000000,20000000),0)+IF(C505&gt;=CALL_LOOKUP_BOARD!$B$7,J505*1000+MIN(C505,999),C505*1000+J505)+0.00986900)</f>
        <v>1025.009869</v>
      </c>
      <c r="U505" s="2">
        <f>IF(C505=0,"",IF(COUNTIFS($S$375:$S$581,SUBSTITUTE(SUBSTITUTE(SUBSTITUTE(S505,"~","~~"),"*","~*"),"?","~?"),$T$375:$T$581,"&gt;"&amp;T505)=0,S505,""))</f>
        <v/>
      </c>
    </row>
    <row r="506" spans="1:21" ht="38" customHeight="1">
      <c r="A506" s="8" t="s">
        <v>251</v>
      </c>
      <c r="B506" s="8" t="s">
        <v>60</v>
      </c>
      <c r="C506" s="12">
        <f>COUNTIFS('DEF_SELF_SCOUT_IMPORT'!$L$42:$L$1040,"Y",'DEF_SELF_SCOUT_IMPORT'!$E$42:$E$1040,SUBSTITUTE(SUBSTITUTE(SUBSTITUTE($B506,"~","~~"),"*","~*"),"?","~?"),'DEF_SELF_SCOUT_IMPORT'!$Q$42:$Q$1040,SUBSTITUTE(SUBSTITUTE(SUBSTITUTE($M506,"~","~~"),"*","~*"),"?","~?"),'DEF_SELF_SCOUT_IMPORT'!$G$42:$G$1040,SUBSTITUTE(SUBSTITUTE(SUBSTITUTE($O506,"~","~~"),"*","~*"),"?","~?"))</f>
        <v>1</v>
      </c>
      <c r="D506" s="10">
        <f>IF($C506=0,"",SUMIFS('DEF_SELF_SCOUT_IMPORT'!$J$42:$J$1040,'DEF_SELF_SCOUT_IMPORT'!$L$42:$L$1040,"Y",'DEF_SELF_SCOUT_IMPORT'!$E$42:$E$1040,SUBSTITUTE(SUBSTITUTE(SUBSTITUTE($B506,"~","~~"),"*","~*"),"?","~?"),'DEF_SELF_SCOUT_IMPORT'!$Q$42:$Q$1040,SUBSTITUTE(SUBSTITUTE(SUBSTITUTE($M506,"~","~~"),"*","~*"),"?","~?"),'DEF_SELF_SCOUT_IMPORT'!$G$42:$G$1040,SUBSTITUTE(SUBSTITUTE(SUBSTITUTE($O506,"~","~~"),"*","~*"),"?","~?"))/$C506)</f>
        <v>0.0</v>
      </c>
      <c r="E506" s="10">
        <f>IF($C506=0,"",SUMIFS('DEF_SELF_SCOUT_IMPORT'!$K$42:$K$1040,'DEF_SELF_SCOUT_IMPORT'!$L$42:$L$1040,"Y",'DEF_SELF_SCOUT_IMPORT'!$E$42:$E$1040,SUBSTITUTE(SUBSTITUTE(SUBSTITUTE($B506,"~","~~"),"*","~*"),"?","~?"),'DEF_SELF_SCOUT_IMPORT'!$Q$42:$Q$1040,SUBSTITUTE(SUBSTITUTE(SUBSTITUTE($M506,"~","~~"),"*","~*"),"?","~?"),'DEF_SELF_SCOUT_IMPORT'!$G$42:$G$1040,SUBSTITUTE(SUBSTITUTE(SUBSTITUTE($O506,"~","~~"),"*","~*"),"?","~?"))/$C506)</f>
        <v>0.0</v>
      </c>
      <c r="F506" s="11">
        <f>IF($C506=0,"",AVERAGEIFS('DEF_SELF_SCOUT_IMPORT'!$I$42:$I$1040,'DEF_SELF_SCOUT_IMPORT'!$L$42:$L$1040,"Y",'DEF_SELF_SCOUT_IMPORT'!$E$42:$E$1040,SUBSTITUTE(SUBSTITUTE(SUBSTITUTE($B506,"~","~~"),"*","~*"),"?","~?"),'DEF_SELF_SCOUT_IMPORT'!$Q$42:$Q$1040,SUBSTITUTE(SUBSTITUTE(SUBSTITUTE($M506,"~","~~"),"*","~*"),"?","~?"),'DEF_SELF_SCOUT_IMPORT'!$G$42:$G$1040,SUBSTITUTE(SUBSTITUTE(SUBSTITUTE($O506,"~","~~"),"*","~*"),"?","~?")))</f>
        <v>2.0</v>
      </c>
      <c r="G506" s="10">
        <f>IF($C506=0,"",COUNTIFS('DEF_SELF_SCOUT_IMPORT'!$L$42:$L$1040,"Y",'DEF_SELF_SCOUT_IMPORT'!$E$42:$E$1040,SUBSTITUTE(SUBSTITUTE(SUBSTITUTE($B506,"~","~~"),"*","~*"),"?","~?"),'DEF_SELF_SCOUT_IMPORT'!$Q$42:$Q$1040,SUBSTITUTE(SUBSTITUTE(SUBSTITUTE($M506,"~","~~"),"*","~*"),"?","~?"),'DEF_SELF_SCOUT_IMPORT'!$G$42:$G$1040,SUBSTITUTE(SUBSTITUTE(SUBSTITUTE($O506,"~","~~"),"*","~*"),"?","~?"),'DEF_SELF_SCOUT_IMPORT'!$H$42:$H$1040,"RUSH")/$C506)</f>
        <v>1.0</v>
      </c>
      <c r="H506" s="10">
        <f>IF($C506=0,"",COUNTIFS('DEF_SELF_SCOUT_IMPORT'!$L$42:$L$1040,"Y",'DEF_SELF_SCOUT_IMPORT'!$E$42:$E$1040,SUBSTITUTE(SUBSTITUTE(SUBSTITUTE($B506,"~","~~"),"*","~*"),"?","~?"),'DEF_SELF_SCOUT_IMPORT'!$Q$42:$Q$1040,SUBSTITUTE(SUBSTITUTE(SUBSTITUTE($M506,"~","~~"),"*","~*"),"?","~?"),'DEF_SELF_SCOUT_IMPORT'!$G$42:$G$1040,SUBSTITUTE(SUBSTITUTE(SUBSTITUTE($O506,"~","~~"),"*","~*"),"?","~?"),'DEF_SELF_SCOUT_IMPORT'!$H$42:$H$1040,"DROPBACK")/$C506)</f>
        <v>0.0</v>
      </c>
      <c r="I506" s="14" t="str">
        <f>IF(C506=0,"",IF(C506&lt;=2,"TRACK",IF(C506=3,"LOW",IF(C506&lt;=6,"MEDIUM","HIGH"))))</f>
        <v>TRACK</v>
      </c>
      <c r="J506" s="11">
        <f>IF(C506=0,"",ROUND(D506*70+(1-E506)*20+MAX(0,MIN(1,(10-F506)/10))*10,1))</f>
        <v>28.0</v>
      </c>
      <c r="K506" s="14" t="str">
        <f>IF(C506=0,"No Evidence",IF(C506&lt;=2,IF(E506&gt;0,"Explosive Alert","Track Only"),IF(C506=3,"Sample Watch",IF(E506&gt;=START_HERE!$B$31,"Explosive Alert",IF(J506&gt;=80,"Strong Candidate",IF(J506&gt;=65,"Good Candidate",IF(J506&gt;=50,"Mixed / Review","Problem Call")))))))</f>
        <v>Track Only</v>
      </c>
      <c r="L506" s="9" t="str">
        <f>IF(COUNTIFS('DEF_SELF_SCOUT_IMPORT'!$L$42:$L$1040,"Y",'DEF_SELF_SCOUT_IMPORT'!$E$42:$E$1040,SUBSTITUTE(SUBSTITUTE(SUBSTITUTE($B506,"~","~~"),"*","~*"),"?","~?"),'DEF_SELF_SCOUT_IMPORT'!$Q$42:$Q$1040,SUBSTITUTE(SUBSTITUTE(SUBSTITUTE($M506,"~","~~"),"*","~*"),"?","~?"),'DEF_SELF_SCOUT_IMPORT'!$G$42:$G$1040,SUBSTITUTE(SUBSTITUTE(SUBSTITUTE($O506,"~","~~"),"*","~*"),"?","~?"),'DEF_SELF_SCOUT_IMPORT'!$J$42:$J$1040,"")&gt;0,"Unscored clean outcome; review result tags before using score.",IF(C506=0,"No matching defensive reps; film confirmation needed.",IF(K506="Explosive Alert","Explosive risk; review clips before using as answer.",IF(C506&lt;=2,"Track only; not enough sample.",IF(C506=3,IF(E506&gt;0,"Sample watch with explosive exposure; review clips and build the sample.",IF(J506&gt;=65,"Good signal, but sample is limited.","Sample watch; review clips and build the sample.")),IF(K506="Problem Call","Problem area; practice or call-sheet review.",IF(K506="Strong Candidate","Strong call-fit candidate; confirm on film.",IF(K506="Good Candidate","Good call-fit signal; confirm on film.","Mixed signal; review fit and execution on film."))))))))</f>
        <v>Track only; not enough sample.</v>
      </c>
      <c r="M506" s="8" t="s">
        <v>92</v>
      </c>
      <c r="N506" s="8"/>
      <c r="O506" s="8" t="s">
        <v>203</v>
      </c>
      <c r="P506" s="8"/>
      <c r="Q506" s="8"/>
      <c r="R506" s="8" t="s">
        <v>28</v>
      </c>
      <c r="S506" s="2" t="s">
        <v>252</v>
      </c>
      <c r="T506" s="2">
        <f>IF(C506=0,0,IF(C506&gt;=CALL_LOOKUP_BOARD!$B$7,IF(OR(K506="Problem Call",K506="Explosive Alert"),10000000,20000000),0)+IF(C506&gt;=CALL_LOOKUP_BOARD!$B$7,J506*1000+MIN(C506,999),C506*1000+J506)+0.00986800)</f>
        <v>1028.009868</v>
      </c>
      <c r="U506" s="2">
        <f>IF(C506=0,"",IF(COUNTIFS($S$375:$S$581,SUBSTITUTE(SUBSTITUTE(SUBSTITUTE(S506,"~","~~"),"*","~*"),"?","~?"),$T$375:$T$581,"&gt;"&amp;T506)=0,S506,""))</f>
        <v/>
      </c>
    </row>
    <row r="507" spans="1:21" ht="38" customHeight="1">
      <c r="A507" s="8" t="s">
        <v>251</v>
      </c>
      <c r="B507" s="8" t="s">
        <v>66</v>
      </c>
      <c r="C507" s="12">
        <f>COUNTIFS('DEF_SELF_SCOUT_IMPORT'!$L$42:$L$1040,"Y",'DEF_SELF_SCOUT_IMPORT'!$E$42:$E$1040,SUBSTITUTE(SUBSTITUTE(SUBSTITUTE($B507,"~","~~"),"*","~*"),"?","~?"),'DEF_SELF_SCOUT_IMPORT'!$Q$42:$Q$1040,SUBSTITUTE(SUBSTITUTE(SUBSTITUTE($M507,"~","~~"),"*","~*"),"?","~?"),'DEF_SELF_SCOUT_IMPORT'!$G$42:$G$1040,SUBSTITUTE(SUBSTITUTE(SUBSTITUTE($O507,"~","~~"),"*","~*"),"?","~?"))</f>
        <v>1</v>
      </c>
      <c r="D507" s="10">
        <f>IF($C507=0,"",SUMIFS('DEF_SELF_SCOUT_IMPORT'!$J$42:$J$1040,'DEF_SELF_SCOUT_IMPORT'!$L$42:$L$1040,"Y",'DEF_SELF_SCOUT_IMPORT'!$E$42:$E$1040,SUBSTITUTE(SUBSTITUTE(SUBSTITUTE($B507,"~","~~"),"*","~*"),"?","~?"),'DEF_SELF_SCOUT_IMPORT'!$Q$42:$Q$1040,SUBSTITUTE(SUBSTITUTE(SUBSTITUTE($M507,"~","~~"),"*","~*"),"?","~?"),'DEF_SELF_SCOUT_IMPORT'!$G$42:$G$1040,SUBSTITUTE(SUBSTITUTE(SUBSTITUTE($O507,"~","~~"),"*","~*"),"?","~?"))/$C507)</f>
        <v>0.0</v>
      </c>
      <c r="E507" s="10">
        <f>IF($C507=0,"",SUMIFS('DEF_SELF_SCOUT_IMPORT'!$K$42:$K$1040,'DEF_SELF_SCOUT_IMPORT'!$L$42:$L$1040,"Y",'DEF_SELF_SCOUT_IMPORT'!$E$42:$E$1040,SUBSTITUTE(SUBSTITUTE(SUBSTITUTE($B507,"~","~~"),"*","~*"),"?","~?"),'DEF_SELF_SCOUT_IMPORT'!$Q$42:$Q$1040,SUBSTITUTE(SUBSTITUTE(SUBSTITUTE($M507,"~","~~"),"*","~*"),"?","~?"),'DEF_SELF_SCOUT_IMPORT'!$G$42:$G$1040,SUBSTITUTE(SUBSTITUTE(SUBSTITUTE($O507,"~","~~"),"*","~*"),"?","~?"))/$C507)</f>
        <v>0.0</v>
      </c>
      <c r="F507" s="11">
        <f>IF($C507=0,"",AVERAGEIFS('DEF_SELF_SCOUT_IMPORT'!$I$42:$I$1040,'DEF_SELF_SCOUT_IMPORT'!$L$42:$L$1040,"Y",'DEF_SELF_SCOUT_IMPORT'!$E$42:$E$1040,SUBSTITUTE(SUBSTITUTE(SUBSTITUTE($B507,"~","~~"),"*","~*"),"?","~?"),'DEF_SELF_SCOUT_IMPORT'!$Q$42:$Q$1040,SUBSTITUTE(SUBSTITUTE(SUBSTITUTE($M507,"~","~~"),"*","~*"),"?","~?"),'DEF_SELF_SCOUT_IMPORT'!$G$42:$G$1040,SUBSTITUTE(SUBSTITUTE(SUBSTITUTE($O507,"~","~~"),"*","~*"),"?","~?")))</f>
        <v>1.0</v>
      </c>
      <c r="G507" s="10">
        <f>IF($C507=0,"",COUNTIFS('DEF_SELF_SCOUT_IMPORT'!$L$42:$L$1040,"Y",'DEF_SELF_SCOUT_IMPORT'!$E$42:$E$1040,SUBSTITUTE(SUBSTITUTE(SUBSTITUTE($B507,"~","~~"),"*","~*"),"?","~?"),'DEF_SELF_SCOUT_IMPORT'!$Q$42:$Q$1040,SUBSTITUTE(SUBSTITUTE(SUBSTITUTE($M507,"~","~~"),"*","~*"),"?","~?"),'DEF_SELF_SCOUT_IMPORT'!$G$42:$G$1040,SUBSTITUTE(SUBSTITUTE(SUBSTITUTE($O507,"~","~~"),"*","~*"),"?","~?"),'DEF_SELF_SCOUT_IMPORT'!$H$42:$H$1040,"RUSH")/$C507)</f>
        <v>1.0</v>
      </c>
      <c r="H507" s="10">
        <f>IF($C507=0,"",COUNTIFS('DEF_SELF_SCOUT_IMPORT'!$L$42:$L$1040,"Y",'DEF_SELF_SCOUT_IMPORT'!$E$42:$E$1040,SUBSTITUTE(SUBSTITUTE(SUBSTITUTE($B507,"~","~~"),"*","~*"),"?","~?"),'DEF_SELF_SCOUT_IMPORT'!$Q$42:$Q$1040,SUBSTITUTE(SUBSTITUTE(SUBSTITUTE($M507,"~","~~"),"*","~*"),"?","~?"),'DEF_SELF_SCOUT_IMPORT'!$G$42:$G$1040,SUBSTITUTE(SUBSTITUTE(SUBSTITUTE($O507,"~","~~"),"*","~*"),"?","~?"),'DEF_SELF_SCOUT_IMPORT'!$H$42:$H$1040,"DROPBACK")/$C507)</f>
        <v>0.0</v>
      </c>
      <c r="I507" s="14" t="str">
        <f>IF(C507=0,"",IF(C507&lt;=2,"TRACK",IF(C507=3,"LOW",IF(C507&lt;=6,"MEDIUM","HIGH"))))</f>
        <v>TRACK</v>
      </c>
      <c r="J507" s="11">
        <f>IF(C507=0,"",ROUND(D507*70+(1-E507)*20+MAX(0,MIN(1,(10-F507)/10))*10,1))</f>
        <v>29.0</v>
      </c>
      <c r="K507" s="14" t="str">
        <f>IF(C507=0,"No Evidence",IF(C507&lt;=2,IF(E507&gt;0,"Explosive Alert","Track Only"),IF(C507=3,"Sample Watch",IF(E507&gt;=START_HERE!$B$31,"Explosive Alert",IF(J507&gt;=80,"Strong Candidate",IF(J507&gt;=65,"Good Candidate",IF(J507&gt;=50,"Mixed / Review","Problem Call")))))))</f>
        <v>Track Only</v>
      </c>
      <c r="L507" s="9" t="str">
        <f>IF(COUNTIFS('DEF_SELF_SCOUT_IMPORT'!$L$42:$L$1040,"Y",'DEF_SELF_SCOUT_IMPORT'!$E$42:$E$1040,SUBSTITUTE(SUBSTITUTE(SUBSTITUTE($B507,"~","~~"),"*","~*"),"?","~?"),'DEF_SELF_SCOUT_IMPORT'!$Q$42:$Q$1040,SUBSTITUTE(SUBSTITUTE(SUBSTITUTE($M507,"~","~~"),"*","~*"),"?","~?"),'DEF_SELF_SCOUT_IMPORT'!$G$42:$G$1040,SUBSTITUTE(SUBSTITUTE(SUBSTITUTE($O507,"~","~~"),"*","~*"),"?","~?"),'DEF_SELF_SCOUT_IMPORT'!$J$42:$J$1040,"")&gt;0,"Unscored clean outcome; review result tags before using score.",IF(C507=0,"No matching defensive reps; film confirmation needed.",IF(K507="Explosive Alert","Explosive risk; review clips before using as answer.",IF(C507&lt;=2,"Track only; not enough sample.",IF(C507=3,IF(E507&gt;0,"Sample watch with explosive exposure; review clips and build the sample.",IF(J507&gt;=65,"Good signal, but sample is limited.","Sample watch; review clips and build the sample.")),IF(K507="Problem Call","Problem area; practice or call-sheet review.",IF(K507="Strong Candidate","Strong call-fit candidate; confirm on film.",IF(K507="Good Candidate","Good call-fit signal; confirm on film.","Mixed signal; review fit and execution on film."))))))))</f>
        <v>Track only; not enough sample.</v>
      </c>
      <c r="M507" s="8" t="s">
        <v>92</v>
      </c>
      <c r="N507" s="8"/>
      <c r="O507" s="8" t="s">
        <v>203</v>
      </c>
      <c r="P507" s="8"/>
      <c r="Q507" s="8"/>
      <c r="R507" s="8" t="s">
        <v>28</v>
      </c>
      <c r="S507" s="2" t="s">
        <v>252</v>
      </c>
      <c r="T507" s="2">
        <f>IF(C507=0,0,IF(C507&gt;=CALL_LOOKUP_BOARD!$B$7,IF(OR(K507="Problem Call",K507="Explosive Alert"),10000000,20000000),0)+IF(C507&gt;=CALL_LOOKUP_BOARD!$B$7,J507*1000+MIN(C507,999),C507*1000+J507)+0.00986700)</f>
        <v>1029.009867</v>
      </c>
      <c r="U507" s="2">
        <f>IF(C507=0,"",IF(COUNTIFS($S$375:$S$581,SUBSTITUTE(SUBSTITUTE(SUBSTITUTE(S507,"~","~~"),"*","~*"),"?","~?"),$T$375:$T$581,"&gt;"&amp;T507)=0,S507,""))</f>
        <v/>
      </c>
    </row>
    <row r="508" spans="1:21" ht="38" customHeight="1">
      <c r="A508" s="8" t="s">
        <v>253</v>
      </c>
      <c r="B508" s="8" t="s">
        <v>77</v>
      </c>
      <c r="C508" s="12">
        <f>COUNTIFS('DEF_SELF_SCOUT_IMPORT'!$L$42:$L$1040,"Y",'DEF_SELF_SCOUT_IMPORT'!$E$42:$E$1040,SUBSTITUTE(SUBSTITUTE(SUBSTITUTE($B508,"~","~~"),"*","~*"),"?","~?"),'DEF_SELF_SCOUT_IMPORT'!$Q$42:$Q$1040,SUBSTITUTE(SUBSTITUTE(SUBSTITUTE($M508,"~","~~"),"*","~*"),"?","~?"),'DEF_SELF_SCOUT_IMPORT'!$G$42:$G$1040,SUBSTITUTE(SUBSTITUTE(SUBSTITUTE($O508,"~","~~"),"*","~*"),"?","~?"))</f>
        <v>1</v>
      </c>
      <c r="D508" s="10">
        <f>IF($C508=0,"",SUMIFS('DEF_SELF_SCOUT_IMPORT'!$J$42:$J$1040,'DEF_SELF_SCOUT_IMPORT'!$L$42:$L$1040,"Y",'DEF_SELF_SCOUT_IMPORT'!$E$42:$E$1040,SUBSTITUTE(SUBSTITUTE(SUBSTITUTE($B508,"~","~~"),"*","~*"),"?","~?"),'DEF_SELF_SCOUT_IMPORT'!$Q$42:$Q$1040,SUBSTITUTE(SUBSTITUTE(SUBSTITUTE($M508,"~","~~"),"*","~*"),"?","~?"),'DEF_SELF_SCOUT_IMPORT'!$G$42:$G$1040,SUBSTITUTE(SUBSTITUTE(SUBSTITUTE($O508,"~","~~"),"*","~*"),"?","~?"))/$C508)</f>
        <v>0.0</v>
      </c>
      <c r="E508" s="10">
        <f>IF($C508=0,"",SUMIFS('DEF_SELF_SCOUT_IMPORT'!$K$42:$K$1040,'DEF_SELF_SCOUT_IMPORT'!$L$42:$L$1040,"Y",'DEF_SELF_SCOUT_IMPORT'!$E$42:$E$1040,SUBSTITUTE(SUBSTITUTE(SUBSTITUTE($B508,"~","~~"),"*","~*"),"?","~?"),'DEF_SELF_SCOUT_IMPORT'!$Q$42:$Q$1040,SUBSTITUTE(SUBSTITUTE(SUBSTITUTE($M508,"~","~~"),"*","~*"),"?","~?"),'DEF_SELF_SCOUT_IMPORT'!$G$42:$G$1040,SUBSTITUTE(SUBSTITUTE(SUBSTITUTE($O508,"~","~~"),"*","~*"),"?","~?"))/$C508)</f>
        <v>0.0</v>
      </c>
      <c r="F508" s="11">
        <f>IF($C508=0,"",AVERAGEIFS('DEF_SELF_SCOUT_IMPORT'!$I$42:$I$1040,'DEF_SELF_SCOUT_IMPORT'!$L$42:$L$1040,"Y",'DEF_SELF_SCOUT_IMPORT'!$E$42:$E$1040,SUBSTITUTE(SUBSTITUTE(SUBSTITUTE($B508,"~","~~"),"*","~*"),"?","~?"),'DEF_SELF_SCOUT_IMPORT'!$Q$42:$Q$1040,SUBSTITUTE(SUBSTITUTE(SUBSTITUTE($M508,"~","~~"),"*","~*"),"?","~?"),'DEF_SELF_SCOUT_IMPORT'!$G$42:$G$1040,SUBSTITUTE(SUBSTITUTE(SUBSTITUTE($O508,"~","~~"),"*","~*"),"?","~?")))</f>
        <v>1.0</v>
      </c>
      <c r="G508" s="10">
        <f>IF($C508=0,"",COUNTIFS('DEF_SELF_SCOUT_IMPORT'!$L$42:$L$1040,"Y",'DEF_SELF_SCOUT_IMPORT'!$E$42:$E$1040,SUBSTITUTE(SUBSTITUTE(SUBSTITUTE($B508,"~","~~"),"*","~*"),"?","~?"),'DEF_SELF_SCOUT_IMPORT'!$Q$42:$Q$1040,SUBSTITUTE(SUBSTITUTE(SUBSTITUTE($M508,"~","~~"),"*","~*"),"?","~?"),'DEF_SELF_SCOUT_IMPORT'!$G$42:$G$1040,SUBSTITUTE(SUBSTITUTE(SUBSTITUTE($O508,"~","~~"),"*","~*"),"?","~?"),'DEF_SELF_SCOUT_IMPORT'!$H$42:$H$1040,"RUSH")/$C508)</f>
        <v>1.0</v>
      </c>
      <c r="H508" s="10">
        <f>IF($C508=0,"",COUNTIFS('DEF_SELF_SCOUT_IMPORT'!$L$42:$L$1040,"Y",'DEF_SELF_SCOUT_IMPORT'!$E$42:$E$1040,SUBSTITUTE(SUBSTITUTE(SUBSTITUTE($B508,"~","~~"),"*","~*"),"?","~?"),'DEF_SELF_SCOUT_IMPORT'!$Q$42:$Q$1040,SUBSTITUTE(SUBSTITUTE(SUBSTITUTE($M508,"~","~~"),"*","~*"),"?","~?"),'DEF_SELF_SCOUT_IMPORT'!$G$42:$G$1040,SUBSTITUTE(SUBSTITUTE(SUBSTITUTE($O508,"~","~~"),"*","~*"),"?","~?"),'DEF_SELF_SCOUT_IMPORT'!$H$42:$H$1040,"DROPBACK")/$C508)</f>
        <v>0.0</v>
      </c>
      <c r="I508" s="14" t="str">
        <f>IF(C508=0,"",IF(C508&lt;=2,"TRACK",IF(C508=3,"LOW",IF(C508&lt;=6,"MEDIUM","HIGH"))))</f>
        <v>TRACK</v>
      </c>
      <c r="J508" s="11">
        <f>IF(C508=0,"",ROUND(D508*70+(1-E508)*20+MAX(0,MIN(1,(10-F508)/10))*10,1))</f>
        <v>29.0</v>
      </c>
      <c r="K508" s="14" t="str">
        <f>IF(C508=0,"No Evidence",IF(C508&lt;=2,IF(E508&gt;0,"Explosive Alert","Track Only"),IF(C508=3,"Sample Watch",IF(E508&gt;=START_HERE!$B$31,"Explosive Alert",IF(J508&gt;=80,"Strong Candidate",IF(J508&gt;=65,"Good Candidate",IF(J508&gt;=50,"Mixed / Review","Problem Call")))))))</f>
        <v>Track Only</v>
      </c>
      <c r="L508" s="9" t="str">
        <f>IF(COUNTIFS('DEF_SELF_SCOUT_IMPORT'!$L$42:$L$1040,"Y",'DEF_SELF_SCOUT_IMPORT'!$E$42:$E$1040,SUBSTITUTE(SUBSTITUTE(SUBSTITUTE($B508,"~","~~"),"*","~*"),"?","~?"),'DEF_SELF_SCOUT_IMPORT'!$Q$42:$Q$1040,SUBSTITUTE(SUBSTITUTE(SUBSTITUTE($M508,"~","~~"),"*","~*"),"?","~?"),'DEF_SELF_SCOUT_IMPORT'!$G$42:$G$1040,SUBSTITUTE(SUBSTITUTE(SUBSTITUTE($O508,"~","~~"),"*","~*"),"?","~?"),'DEF_SELF_SCOUT_IMPORT'!$J$42:$J$1040,"")&gt;0,"Unscored clean outcome; review result tags before using score.",IF(C508=0,"No matching defensive reps; film confirmation needed.",IF(K508="Explosive Alert","Explosive risk; review clips before using as answer.",IF(C508&lt;=2,"Track only; not enough sample.",IF(C508=3,IF(E508&gt;0,"Sample watch with explosive exposure; review clips and build the sample.",IF(J508&gt;=65,"Good signal, but sample is limited.","Sample watch; review clips and build the sample.")),IF(K508="Problem Call","Problem area; practice or call-sheet review.",IF(K508="Strong Candidate","Strong call-fit candidate; confirm on film.",IF(K508="Good Candidate","Good call-fit signal; confirm on film.","Mixed signal; review fit and execution on film."))))))))</f>
        <v>Track only; not enough sample.</v>
      </c>
      <c r="M508" s="8" t="s">
        <v>92</v>
      </c>
      <c r="N508" s="8"/>
      <c r="O508" s="8" t="s">
        <v>206</v>
      </c>
      <c r="P508" s="8"/>
      <c r="Q508" s="8"/>
      <c r="R508" s="8" t="s">
        <v>28</v>
      </c>
      <c r="S508" s="2" t="s">
        <v>254</v>
      </c>
      <c r="T508" s="2">
        <f>IF(C508=0,0,IF(C508&gt;=CALL_LOOKUP_BOARD!$B$7,IF(OR(K508="Problem Call",K508="Explosive Alert"),10000000,20000000),0)+IF(C508&gt;=CALL_LOOKUP_BOARD!$B$7,J508*1000+MIN(C508,999),C508*1000+J508)+0.00986600)</f>
        <v>1029.009866</v>
      </c>
      <c r="U508" s="2" t="str">
        <f>IF(C508=0,"",IF(COUNTIFS($S$375:$S$581,SUBSTITUTE(SUBSTITUTE(SUBSTITUTE(S508,"~","~~"),"*","~*"),"?","~?"),$T$375:$T$581,"&gt;"&amp;T508)=0,S508,""))</f>
        <v>6:3D 1-3|3:3X1|</v>
      </c>
    </row>
    <row r="509" spans="1:21" ht="38" customHeight="1">
      <c r="A509" s="8" t="s">
        <v>253</v>
      </c>
      <c r="B509" s="8" t="s">
        <v>32</v>
      </c>
      <c r="C509" s="12">
        <f>COUNTIFS('DEF_SELF_SCOUT_IMPORT'!$L$42:$L$1040,"Y",'DEF_SELF_SCOUT_IMPORT'!$E$42:$E$1040,SUBSTITUTE(SUBSTITUTE(SUBSTITUTE($B509,"~","~~"),"*","~*"),"?","~?"),'DEF_SELF_SCOUT_IMPORT'!$Q$42:$Q$1040,SUBSTITUTE(SUBSTITUTE(SUBSTITUTE($M509,"~","~~"),"*","~*"),"?","~?"),'DEF_SELF_SCOUT_IMPORT'!$G$42:$G$1040,SUBSTITUTE(SUBSTITUTE(SUBSTITUTE($O509,"~","~~"),"*","~*"),"?","~?"))</f>
        <v>1</v>
      </c>
      <c r="D509" s="10">
        <f>IF($C509=0,"",SUMIFS('DEF_SELF_SCOUT_IMPORT'!$J$42:$J$1040,'DEF_SELF_SCOUT_IMPORT'!$L$42:$L$1040,"Y",'DEF_SELF_SCOUT_IMPORT'!$E$42:$E$1040,SUBSTITUTE(SUBSTITUTE(SUBSTITUTE($B509,"~","~~"),"*","~*"),"?","~?"),'DEF_SELF_SCOUT_IMPORT'!$Q$42:$Q$1040,SUBSTITUTE(SUBSTITUTE(SUBSTITUTE($M509,"~","~~"),"*","~*"),"?","~?"),'DEF_SELF_SCOUT_IMPORT'!$G$42:$G$1040,SUBSTITUTE(SUBSTITUTE(SUBSTITUTE($O509,"~","~~"),"*","~*"),"?","~?"))/$C509)</f>
        <v>0.0</v>
      </c>
      <c r="E509" s="10">
        <f>IF($C509=0,"",SUMIFS('DEF_SELF_SCOUT_IMPORT'!$K$42:$K$1040,'DEF_SELF_SCOUT_IMPORT'!$L$42:$L$1040,"Y",'DEF_SELF_SCOUT_IMPORT'!$E$42:$E$1040,SUBSTITUTE(SUBSTITUTE(SUBSTITUTE($B509,"~","~~"),"*","~*"),"?","~?"),'DEF_SELF_SCOUT_IMPORT'!$Q$42:$Q$1040,SUBSTITUTE(SUBSTITUTE(SUBSTITUTE($M509,"~","~~"),"*","~*"),"?","~?"),'DEF_SELF_SCOUT_IMPORT'!$G$42:$G$1040,SUBSTITUTE(SUBSTITUTE(SUBSTITUTE($O509,"~","~~"),"*","~*"),"?","~?"))/$C509)</f>
        <v>0.0</v>
      </c>
      <c r="F509" s="11">
        <f>IF($C509=0,"",AVERAGEIFS('DEF_SELF_SCOUT_IMPORT'!$I$42:$I$1040,'DEF_SELF_SCOUT_IMPORT'!$L$42:$L$1040,"Y",'DEF_SELF_SCOUT_IMPORT'!$E$42:$E$1040,SUBSTITUTE(SUBSTITUTE(SUBSTITUTE($B509,"~","~~"),"*","~*"),"?","~?"),'DEF_SELF_SCOUT_IMPORT'!$Q$42:$Q$1040,SUBSTITUTE(SUBSTITUTE(SUBSTITUTE($M509,"~","~~"),"*","~*"),"?","~?"),'DEF_SELF_SCOUT_IMPORT'!$G$42:$G$1040,SUBSTITUTE(SUBSTITUTE(SUBSTITUTE($O509,"~","~~"),"*","~*"),"?","~?")))</f>
        <v>8.0</v>
      </c>
      <c r="G509" s="10">
        <f>IF($C509=0,"",COUNTIFS('DEF_SELF_SCOUT_IMPORT'!$L$42:$L$1040,"Y",'DEF_SELF_SCOUT_IMPORT'!$E$42:$E$1040,SUBSTITUTE(SUBSTITUTE(SUBSTITUTE($B509,"~","~~"),"*","~*"),"?","~?"),'DEF_SELF_SCOUT_IMPORT'!$Q$42:$Q$1040,SUBSTITUTE(SUBSTITUTE(SUBSTITUTE($M509,"~","~~"),"*","~*"),"?","~?"),'DEF_SELF_SCOUT_IMPORT'!$G$42:$G$1040,SUBSTITUTE(SUBSTITUTE(SUBSTITUTE($O509,"~","~~"),"*","~*"),"?","~?"),'DEF_SELF_SCOUT_IMPORT'!$H$42:$H$1040,"RUSH")/$C509)</f>
        <v>1.0</v>
      </c>
      <c r="H509" s="10">
        <f>IF($C509=0,"",COUNTIFS('DEF_SELF_SCOUT_IMPORT'!$L$42:$L$1040,"Y",'DEF_SELF_SCOUT_IMPORT'!$E$42:$E$1040,SUBSTITUTE(SUBSTITUTE(SUBSTITUTE($B509,"~","~~"),"*","~*"),"?","~?"),'DEF_SELF_SCOUT_IMPORT'!$Q$42:$Q$1040,SUBSTITUTE(SUBSTITUTE(SUBSTITUTE($M509,"~","~~"),"*","~*"),"?","~?"),'DEF_SELF_SCOUT_IMPORT'!$G$42:$G$1040,SUBSTITUTE(SUBSTITUTE(SUBSTITUTE($O509,"~","~~"),"*","~*"),"?","~?"),'DEF_SELF_SCOUT_IMPORT'!$H$42:$H$1040,"DROPBACK")/$C509)</f>
        <v>0.0</v>
      </c>
      <c r="I509" s="14" t="str">
        <f>IF(C509=0,"",IF(C509&lt;=2,"TRACK",IF(C509=3,"LOW",IF(C509&lt;=6,"MEDIUM","HIGH"))))</f>
        <v>TRACK</v>
      </c>
      <c r="J509" s="11">
        <f>IF(C509=0,"",ROUND(D509*70+(1-E509)*20+MAX(0,MIN(1,(10-F509)/10))*10,1))</f>
        <v>22.0</v>
      </c>
      <c r="K509" s="14" t="str">
        <f>IF(C509=0,"No Evidence",IF(C509&lt;=2,IF(E509&gt;0,"Explosive Alert","Track Only"),IF(C509=3,"Sample Watch",IF(E509&gt;=START_HERE!$B$31,"Explosive Alert",IF(J509&gt;=80,"Strong Candidate",IF(J509&gt;=65,"Good Candidate",IF(J509&gt;=50,"Mixed / Review","Problem Call")))))))</f>
        <v>Track Only</v>
      </c>
      <c r="L509" s="9" t="str">
        <f>IF(COUNTIFS('DEF_SELF_SCOUT_IMPORT'!$L$42:$L$1040,"Y",'DEF_SELF_SCOUT_IMPORT'!$E$42:$E$1040,SUBSTITUTE(SUBSTITUTE(SUBSTITUTE($B509,"~","~~"),"*","~*"),"?","~?"),'DEF_SELF_SCOUT_IMPORT'!$Q$42:$Q$1040,SUBSTITUTE(SUBSTITUTE(SUBSTITUTE($M509,"~","~~"),"*","~*"),"?","~?"),'DEF_SELF_SCOUT_IMPORT'!$G$42:$G$1040,SUBSTITUTE(SUBSTITUTE(SUBSTITUTE($O509,"~","~~"),"*","~*"),"?","~?"),'DEF_SELF_SCOUT_IMPORT'!$J$42:$J$1040,"")&gt;0,"Unscored clean outcome; review result tags before using score.",IF(C509=0,"No matching defensive reps; film confirmation needed.",IF(K509="Explosive Alert","Explosive risk; review clips before using as answer.",IF(C509&lt;=2,"Track only; not enough sample.",IF(C509=3,IF(E509&gt;0,"Sample watch with explosive exposure; review clips and build the sample.",IF(J509&gt;=65,"Good signal, but sample is limited.","Sample watch; review clips and build the sample.")),IF(K509="Problem Call","Problem area; practice or call-sheet review.",IF(K509="Strong Candidate","Strong call-fit candidate; confirm on film.",IF(K509="Good Candidate","Good call-fit signal; confirm on film.","Mixed signal; review fit and execution on film."))))))))</f>
        <v>Track only; not enough sample.</v>
      </c>
      <c r="M509" s="8" t="s">
        <v>92</v>
      </c>
      <c r="N509" s="8"/>
      <c r="O509" s="8" t="s">
        <v>206</v>
      </c>
      <c r="P509" s="8"/>
      <c r="Q509" s="8"/>
      <c r="R509" s="8" t="s">
        <v>28</v>
      </c>
      <c r="S509" s="2" t="s">
        <v>254</v>
      </c>
      <c r="T509" s="2">
        <f>IF(C509=0,0,IF(C509&gt;=CALL_LOOKUP_BOARD!$B$7,IF(OR(K509="Problem Call",K509="Explosive Alert"),10000000,20000000),0)+IF(C509&gt;=CALL_LOOKUP_BOARD!$B$7,J509*1000+MIN(C509,999),C509*1000+J509)+0.00986500)</f>
        <v>1022.009865</v>
      </c>
      <c r="U509" s="2">
        <f>IF(C509=0,"",IF(COUNTIFS($S$375:$S$581,SUBSTITUTE(SUBSTITUTE(SUBSTITUTE(S509,"~","~~"),"*","~*"),"?","~?"),$T$375:$T$581,"&gt;"&amp;T509)=0,S509,""))</f>
        <v/>
      </c>
    </row>
    <row r="510" spans="1:21" ht="38" customHeight="1">
      <c r="A510" s="8" t="s">
        <v>253</v>
      </c>
      <c r="B510" s="8" t="s">
        <v>53</v>
      </c>
      <c r="C510" s="12">
        <f>COUNTIFS('DEF_SELF_SCOUT_IMPORT'!$L$42:$L$1040,"Y",'DEF_SELF_SCOUT_IMPORT'!$E$42:$E$1040,SUBSTITUTE(SUBSTITUTE(SUBSTITUTE($B510,"~","~~"),"*","~*"),"?","~?"),'DEF_SELF_SCOUT_IMPORT'!$Q$42:$Q$1040,SUBSTITUTE(SUBSTITUTE(SUBSTITUTE($M510,"~","~~"),"*","~*"),"?","~?"),'DEF_SELF_SCOUT_IMPORT'!$G$42:$G$1040,SUBSTITUTE(SUBSTITUTE(SUBSTITUTE($O510,"~","~~"),"*","~*"),"?","~?"))</f>
        <v>1</v>
      </c>
      <c r="D510" s="10">
        <f>IF($C510=0,"",SUMIFS('DEF_SELF_SCOUT_IMPORT'!$J$42:$J$1040,'DEF_SELF_SCOUT_IMPORT'!$L$42:$L$1040,"Y",'DEF_SELF_SCOUT_IMPORT'!$E$42:$E$1040,SUBSTITUTE(SUBSTITUTE(SUBSTITUTE($B510,"~","~~"),"*","~*"),"?","~?"),'DEF_SELF_SCOUT_IMPORT'!$Q$42:$Q$1040,SUBSTITUTE(SUBSTITUTE(SUBSTITUTE($M510,"~","~~"),"*","~*"),"?","~?"),'DEF_SELF_SCOUT_IMPORT'!$G$42:$G$1040,SUBSTITUTE(SUBSTITUTE(SUBSTITUTE($O510,"~","~~"),"*","~*"),"?","~?"))/$C510)</f>
        <v>0.0</v>
      </c>
      <c r="E510" s="10">
        <f>IF($C510=0,"",SUMIFS('DEF_SELF_SCOUT_IMPORT'!$K$42:$K$1040,'DEF_SELF_SCOUT_IMPORT'!$L$42:$L$1040,"Y",'DEF_SELF_SCOUT_IMPORT'!$E$42:$E$1040,SUBSTITUTE(SUBSTITUTE(SUBSTITUTE($B510,"~","~~"),"*","~*"),"?","~?"),'DEF_SELF_SCOUT_IMPORT'!$Q$42:$Q$1040,SUBSTITUTE(SUBSTITUTE(SUBSTITUTE($M510,"~","~~"),"*","~*"),"?","~?"),'DEF_SELF_SCOUT_IMPORT'!$G$42:$G$1040,SUBSTITUTE(SUBSTITUTE(SUBSTITUTE($O510,"~","~~"),"*","~*"),"?","~?"))/$C510)</f>
        <v>0.0</v>
      </c>
      <c r="F510" s="11">
        <f>IF($C510=0,"",AVERAGEIFS('DEF_SELF_SCOUT_IMPORT'!$I$42:$I$1040,'DEF_SELF_SCOUT_IMPORT'!$L$42:$L$1040,"Y",'DEF_SELF_SCOUT_IMPORT'!$E$42:$E$1040,SUBSTITUTE(SUBSTITUTE(SUBSTITUTE($B510,"~","~~"),"*","~*"),"?","~?"),'DEF_SELF_SCOUT_IMPORT'!$Q$42:$Q$1040,SUBSTITUTE(SUBSTITUTE(SUBSTITUTE($M510,"~","~~"),"*","~*"),"?","~?"),'DEF_SELF_SCOUT_IMPORT'!$G$42:$G$1040,SUBSTITUTE(SUBSTITUTE(SUBSTITUTE($O510,"~","~~"),"*","~*"),"?","~?")))</f>
        <v>11.0</v>
      </c>
      <c r="G510" s="10">
        <f>IF($C510=0,"",COUNTIFS('DEF_SELF_SCOUT_IMPORT'!$L$42:$L$1040,"Y",'DEF_SELF_SCOUT_IMPORT'!$E$42:$E$1040,SUBSTITUTE(SUBSTITUTE(SUBSTITUTE($B510,"~","~~"),"*","~*"),"?","~?"),'DEF_SELF_SCOUT_IMPORT'!$Q$42:$Q$1040,SUBSTITUTE(SUBSTITUTE(SUBSTITUTE($M510,"~","~~"),"*","~*"),"?","~?"),'DEF_SELF_SCOUT_IMPORT'!$G$42:$G$1040,SUBSTITUTE(SUBSTITUTE(SUBSTITUTE($O510,"~","~~"),"*","~*"),"?","~?"),'DEF_SELF_SCOUT_IMPORT'!$H$42:$H$1040,"RUSH")/$C510)</f>
        <v>1.0</v>
      </c>
      <c r="H510" s="10">
        <f>IF($C510=0,"",COUNTIFS('DEF_SELF_SCOUT_IMPORT'!$L$42:$L$1040,"Y",'DEF_SELF_SCOUT_IMPORT'!$E$42:$E$1040,SUBSTITUTE(SUBSTITUTE(SUBSTITUTE($B510,"~","~~"),"*","~*"),"?","~?"),'DEF_SELF_SCOUT_IMPORT'!$Q$42:$Q$1040,SUBSTITUTE(SUBSTITUTE(SUBSTITUTE($M510,"~","~~"),"*","~*"),"?","~?"),'DEF_SELF_SCOUT_IMPORT'!$G$42:$G$1040,SUBSTITUTE(SUBSTITUTE(SUBSTITUTE($O510,"~","~~"),"*","~*"),"?","~?"),'DEF_SELF_SCOUT_IMPORT'!$H$42:$H$1040,"DROPBACK")/$C510)</f>
        <v>0.0</v>
      </c>
      <c r="I510" s="14" t="str">
        <f>IF(C510=0,"",IF(C510&lt;=2,"TRACK",IF(C510=3,"LOW",IF(C510&lt;=6,"MEDIUM","HIGH"))))</f>
        <v>TRACK</v>
      </c>
      <c r="J510" s="11">
        <f>IF(C510=0,"",ROUND(D510*70+(1-E510)*20+MAX(0,MIN(1,(10-F510)/10))*10,1))</f>
        <v>20.0</v>
      </c>
      <c r="K510" s="14" t="str">
        <f>IF(C510=0,"No Evidence",IF(C510&lt;=2,IF(E510&gt;0,"Explosive Alert","Track Only"),IF(C510=3,"Sample Watch",IF(E510&gt;=START_HERE!$B$31,"Explosive Alert",IF(J510&gt;=80,"Strong Candidate",IF(J510&gt;=65,"Good Candidate",IF(J510&gt;=50,"Mixed / Review","Problem Call")))))))</f>
        <v>Track Only</v>
      </c>
      <c r="L510" s="9" t="str">
        <f>IF(COUNTIFS('DEF_SELF_SCOUT_IMPORT'!$L$42:$L$1040,"Y",'DEF_SELF_SCOUT_IMPORT'!$E$42:$E$1040,SUBSTITUTE(SUBSTITUTE(SUBSTITUTE($B510,"~","~~"),"*","~*"),"?","~?"),'DEF_SELF_SCOUT_IMPORT'!$Q$42:$Q$1040,SUBSTITUTE(SUBSTITUTE(SUBSTITUTE($M510,"~","~~"),"*","~*"),"?","~?"),'DEF_SELF_SCOUT_IMPORT'!$G$42:$G$1040,SUBSTITUTE(SUBSTITUTE(SUBSTITUTE($O510,"~","~~"),"*","~*"),"?","~?"),'DEF_SELF_SCOUT_IMPORT'!$J$42:$J$1040,"")&gt;0,"Unscored clean outcome; review result tags before using score.",IF(C510=0,"No matching defensive reps; film confirmation needed.",IF(K510="Explosive Alert","Explosive risk; review clips before using as answer.",IF(C510&lt;=2,"Track only; not enough sample.",IF(C510=3,IF(E510&gt;0,"Sample watch with explosive exposure; review clips and build the sample.",IF(J510&gt;=65,"Good signal, but sample is limited.","Sample watch; review clips and build the sample.")),IF(K510="Problem Call","Problem area; practice or call-sheet review.",IF(K510="Strong Candidate","Strong call-fit candidate; confirm on film.",IF(K510="Good Candidate","Good call-fit signal; confirm on film.","Mixed signal; review fit and execution on film."))))))))</f>
        <v>Track only; not enough sample.</v>
      </c>
      <c r="M510" s="8" t="s">
        <v>92</v>
      </c>
      <c r="N510" s="8"/>
      <c r="O510" s="8" t="s">
        <v>206</v>
      </c>
      <c r="P510" s="8"/>
      <c r="Q510" s="8"/>
      <c r="R510" s="8" t="s">
        <v>28</v>
      </c>
      <c r="S510" s="2" t="s">
        <v>254</v>
      </c>
      <c r="T510" s="2">
        <f>IF(C510=0,0,IF(C510&gt;=CALL_LOOKUP_BOARD!$B$7,IF(OR(K510="Problem Call",K510="Explosive Alert"),10000000,20000000),0)+IF(C510&gt;=CALL_LOOKUP_BOARD!$B$7,J510*1000+MIN(C510,999),C510*1000+J510)+0.00986400)</f>
        <v>1020.009864</v>
      </c>
      <c r="U510" s="2">
        <f>IF(C510=0,"",IF(COUNTIFS($S$375:$S$581,SUBSTITUTE(SUBSTITUTE(SUBSTITUTE(S510,"~","~~"),"*","~*"),"?","~?"),$T$375:$T$581,"&gt;"&amp;T510)=0,S510,""))</f>
        <v/>
      </c>
    </row>
    <row r="511" spans="1:21" ht="38" customHeight="1">
      <c r="A511" s="8" t="s">
        <v>255</v>
      </c>
      <c r="B511" s="8" t="s">
        <v>97</v>
      </c>
      <c r="C511" s="12">
        <f>COUNTIFS('DEF_SELF_SCOUT_IMPORT'!$L$42:$L$1040,"Y",'DEF_SELF_SCOUT_IMPORT'!$E$42:$E$1040,SUBSTITUTE(SUBSTITUTE(SUBSTITUTE($B511,"~","~~"),"*","~*"),"?","~?"),'DEF_SELF_SCOUT_IMPORT'!$Q$42:$Q$1040,SUBSTITUTE(SUBSTITUTE(SUBSTITUTE($M511,"~","~~"),"*","~*"),"?","~?"),'DEF_SELF_SCOUT_IMPORT'!$G$42:$G$1040,SUBSTITUTE(SUBSTITUTE(SUBSTITUTE($O511,"~","~~"),"*","~*"),"?","~?"))</f>
        <v>1</v>
      </c>
      <c r="D511" s="10">
        <f>IF($C511=0,"",SUMIFS('DEF_SELF_SCOUT_IMPORT'!$J$42:$J$1040,'DEF_SELF_SCOUT_IMPORT'!$L$42:$L$1040,"Y",'DEF_SELF_SCOUT_IMPORT'!$E$42:$E$1040,SUBSTITUTE(SUBSTITUTE(SUBSTITUTE($B511,"~","~~"),"*","~*"),"?","~?"),'DEF_SELF_SCOUT_IMPORT'!$Q$42:$Q$1040,SUBSTITUTE(SUBSTITUTE(SUBSTITUTE($M511,"~","~~"),"*","~*"),"?","~?"),'DEF_SELF_SCOUT_IMPORT'!$G$42:$G$1040,SUBSTITUTE(SUBSTITUTE(SUBSTITUTE($O511,"~","~~"),"*","~*"),"?","~?"))/$C511)</f>
        <v>1.0</v>
      </c>
      <c r="E511" s="10">
        <f>IF($C511=0,"",SUMIFS('DEF_SELF_SCOUT_IMPORT'!$K$42:$K$1040,'DEF_SELF_SCOUT_IMPORT'!$L$42:$L$1040,"Y",'DEF_SELF_SCOUT_IMPORT'!$E$42:$E$1040,SUBSTITUTE(SUBSTITUTE(SUBSTITUTE($B511,"~","~~"),"*","~*"),"?","~?"),'DEF_SELF_SCOUT_IMPORT'!$Q$42:$Q$1040,SUBSTITUTE(SUBSTITUTE(SUBSTITUTE($M511,"~","~~"),"*","~*"),"?","~?"),'DEF_SELF_SCOUT_IMPORT'!$G$42:$G$1040,SUBSTITUTE(SUBSTITUTE(SUBSTITUTE($O511,"~","~~"),"*","~*"),"?","~?"))/$C511)</f>
        <v>0.0</v>
      </c>
      <c r="F511" s="11">
        <f>IF($C511=0,"",AVERAGEIFS('DEF_SELF_SCOUT_IMPORT'!$I$42:$I$1040,'DEF_SELF_SCOUT_IMPORT'!$L$42:$L$1040,"Y",'DEF_SELF_SCOUT_IMPORT'!$E$42:$E$1040,SUBSTITUTE(SUBSTITUTE(SUBSTITUTE($B511,"~","~~"),"*","~*"),"?","~?"),'DEF_SELF_SCOUT_IMPORT'!$Q$42:$Q$1040,SUBSTITUTE(SUBSTITUTE(SUBSTITUTE($M511,"~","~~"),"*","~*"),"?","~?"),'DEF_SELF_SCOUT_IMPORT'!$G$42:$G$1040,SUBSTITUTE(SUBSTITUTE(SUBSTITUTE($O511,"~","~~"),"*","~*"),"?","~?")))</f>
        <v>4.0</v>
      </c>
      <c r="G511" s="10">
        <f>IF($C511=0,"",COUNTIFS('DEF_SELF_SCOUT_IMPORT'!$L$42:$L$1040,"Y",'DEF_SELF_SCOUT_IMPORT'!$E$42:$E$1040,SUBSTITUTE(SUBSTITUTE(SUBSTITUTE($B511,"~","~~"),"*","~*"),"?","~?"),'DEF_SELF_SCOUT_IMPORT'!$Q$42:$Q$1040,SUBSTITUTE(SUBSTITUTE(SUBSTITUTE($M511,"~","~~"),"*","~*"),"?","~?"),'DEF_SELF_SCOUT_IMPORT'!$G$42:$G$1040,SUBSTITUTE(SUBSTITUTE(SUBSTITUTE($O511,"~","~~"),"*","~*"),"?","~?"),'DEF_SELF_SCOUT_IMPORT'!$H$42:$H$1040,"RUSH")/$C511)</f>
        <v>0.0</v>
      </c>
      <c r="H511" s="10">
        <f>IF($C511=0,"",COUNTIFS('DEF_SELF_SCOUT_IMPORT'!$L$42:$L$1040,"Y",'DEF_SELF_SCOUT_IMPORT'!$E$42:$E$1040,SUBSTITUTE(SUBSTITUTE(SUBSTITUTE($B511,"~","~~"),"*","~*"),"?","~?"),'DEF_SELF_SCOUT_IMPORT'!$Q$42:$Q$1040,SUBSTITUTE(SUBSTITUTE(SUBSTITUTE($M511,"~","~~"),"*","~*"),"?","~?"),'DEF_SELF_SCOUT_IMPORT'!$G$42:$G$1040,SUBSTITUTE(SUBSTITUTE(SUBSTITUTE($O511,"~","~~"),"*","~*"),"?","~?"),'DEF_SELF_SCOUT_IMPORT'!$H$42:$H$1040,"DROPBACK")/$C511)</f>
        <v>1.0</v>
      </c>
      <c r="I511" s="14" t="str">
        <f>IF(C511=0,"",IF(C511&lt;=2,"TRACK",IF(C511=3,"LOW",IF(C511&lt;=6,"MEDIUM","HIGH"))))</f>
        <v>TRACK</v>
      </c>
      <c r="J511" s="11">
        <f>IF(C511=0,"",ROUND(D511*70+(1-E511)*20+MAX(0,MIN(1,(10-F511)/10))*10,1))</f>
        <v>96.0</v>
      </c>
      <c r="K511" s="14" t="str">
        <f>IF(C511=0,"No Evidence",IF(C511&lt;=2,IF(E511&gt;0,"Explosive Alert","Track Only"),IF(C511=3,"Sample Watch",IF(E511&gt;=START_HERE!$B$31,"Explosive Alert",IF(J511&gt;=80,"Strong Candidate",IF(J511&gt;=65,"Good Candidate",IF(J511&gt;=50,"Mixed / Review","Problem Call")))))))</f>
        <v>Track Only</v>
      </c>
      <c r="L511" s="9" t="str">
        <f>IF(COUNTIFS('DEF_SELF_SCOUT_IMPORT'!$L$42:$L$1040,"Y",'DEF_SELF_SCOUT_IMPORT'!$E$42:$E$1040,SUBSTITUTE(SUBSTITUTE(SUBSTITUTE($B511,"~","~~"),"*","~*"),"?","~?"),'DEF_SELF_SCOUT_IMPORT'!$Q$42:$Q$1040,SUBSTITUTE(SUBSTITUTE(SUBSTITUTE($M511,"~","~~"),"*","~*"),"?","~?"),'DEF_SELF_SCOUT_IMPORT'!$G$42:$G$1040,SUBSTITUTE(SUBSTITUTE(SUBSTITUTE($O511,"~","~~"),"*","~*"),"?","~?"),'DEF_SELF_SCOUT_IMPORT'!$J$42:$J$1040,"")&gt;0,"Unscored clean outcome; review result tags before using score.",IF(C511=0,"No matching defensive reps; film confirmation needed.",IF(K511="Explosive Alert","Explosive risk; review clips before using as answer.",IF(C511&lt;=2,"Track only; not enough sample.",IF(C511=3,IF(E511&gt;0,"Sample watch with explosive exposure; review clips and build the sample.",IF(J511&gt;=65,"Good signal, but sample is limited.","Sample watch; review clips and build the sample.")),IF(K511="Problem Call","Problem area; practice or call-sheet review.",IF(K511="Strong Candidate","Strong call-fit candidate; confirm on film.",IF(K511="Good Candidate","Good call-fit signal; confirm on film.","Mixed signal; review fit and execution on film."))))))))</f>
        <v>Track only; not enough sample.</v>
      </c>
      <c r="M511" s="8" t="s">
        <v>96</v>
      </c>
      <c r="N511" s="8"/>
      <c r="O511" s="8" t="s">
        <v>203</v>
      </c>
      <c r="P511" s="8"/>
      <c r="Q511" s="8"/>
      <c r="R511" s="8" t="s">
        <v>28</v>
      </c>
      <c r="S511" s="2" t="s">
        <v>256</v>
      </c>
      <c r="T511" s="2">
        <f>IF(C511=0,0,IF(C511&gt;=CALL_LOOKUP_BOARD!$B$7,IF(OR(K511="Problem Call",K511="Explosive Alert"),10000000,20000000),0)+IF(C511&gt;=CALL_LOOKUP_BOARD!$B$7,J511*1000+MIN(C511,999),C511*1000+J511)+0.00986300)</f>
        <v>1096.009863</v>
      </c>
      <c r="U511" s="2">
        <f>IF(C511=0,"",IF(COUNTIFS($S$375:$S$581,SUBSTITUTE(SUBSTITUTE(SUBSTITUTE(S511,"~","~~"),"*","~*"),"?","~?"),$T$375:$T$581,"&gt;"&amp;T511)=0,S511,""))</f>
        <v/>
      </c>
    </row>
    <row r="512" spans="1:21" ht="38" customHeight="1">
      <c r="A512" s="8" t="s">
        <v>255</v>
      </c>
      <c r="B512" s="8" t="s">
        <v>100</v>
      </c>
      <c r="C512" s="12">
        <f>COUNTIFS('DEF_SELF_SCOUT_IMPORT'!$L$42:$L$1040,"Y",'DEF_SELF_SCOUT_IMPORT'!$E$42:$E$1040,SUBSTITUTE(SUBSTITUTE(SUBSTITUTE($B512,"~","~~"),"*","~*"),"?","~?"),'DEF_SELF_SCOUT_IMPORT'!$Q$42:$Q$1040,SUBSTITUTE(SUBSTITUTE(SUBSTITUTE($M512,"~","~~"),"*","~*"),"?","~?"),'DEF_SELF_SCOUT_IMPORT'!$G$42:$G$1040,SUBSTITUTE(SUBSTITUTE(SUBSTITUTE($O512,"~","~~"),"*","~*"),"?","~?"))</f>
        <v>1</v>
      </c>
      <c r="D512" s="10">
        <f>IF($C512=0,"",SUMIFS('DEF_SELF_SCOUT_IMPORT'!$J$42:$J$1040,'DEF_SELF_SCOUT_IMPORT'!$L$42:$L$1040,"Y",'DEF_SELF_SCOUT_IMPORT'!$E$42:$E$1040,SUBSTITUTE(SUBSTITUTE(SUBSTITUTE($B512,"~","~~"),"*","~*"),"?","~?"),'DEF_SELF_SCOUT_IMPORT'!$Q$42:$Q$1040,SUBSTITUTE(SUBSTITUTE(SUBSTITUTE($M512,"~","~~"),"*","~*"),"?","~?"),'DEF_SELF_SCOUT_IMPORT'!$G$42:$G$1040,SUBSTITUTE(SUBSTITUTE(SUBSTITUTE($O512,"~","~~"),"*","~*"),"?","~?"))/$C512)</f>
        <v>1.0</v>
      </c>
      <c r="E512" s="10">
        <f>IF($C512=0,"",SUMIFS('DEF_SELF_SCOUT_IMPORT'!$K$42:$K$1040,'DEF_SELF_SCOUT_IMPORT'!$L$42:$L$1040,"Y",'DEF_SELF_SCOUT_IMPORT'!$E$42:$E$1040,SUBSTITUTE(SUBSTITUTE(SUBSTITUTE($B512,"~","~~"),"*","~*"),"?","~?"),'DEF_SELF_SCOUT_IMPORT'!$Q$42:$Q$1040,SUBSTITUTE(SUBSTITUTE(SUBSTITUTE($M512,"~","~~"),"*","~*"),"?","~?"),'DEF_SELF_SCOUT_IMPORT'!$G$42:$G$1040,SUBSTITUTE(SUBSTITUTE(SUBSTITUTE($O512,"~","~~"),"*","~*"),"?","~?"))/$C512)</f>
        <v>0.0</v>
      </c>
      <c r="F512" s="11">
        <f>IF($C512=0,"",AVERAGEIFS('DEF_SELF_SCOUT_IMPORT'!$I$42:$I$1040,'DEF_SELF_SCOUT_IMPORT'!$L$42:$L$1040,"Y",'DEF_SELF_SCOUT_IMPORT'!$E$42:$E$1040,SUBSTITUTE(SUBSTITUTE(SUBSTITUTE($B512,"~","~~"),"*","~*"),"?","~?"),'DEF_SELF_SCOUT_IMPORT'!$Q$42:$Q$1040,SUBSTITUTE(SUBSTITUTE(SUBSTITUTE($M512,"~","~~"),"*","~*"),"?","~?"),'DEF_SELF_SCOUT_IMPORT'!$G$42:$G$1040,SUBSTITUTE(SUBSTITUTE(SUBSTITUTE($O512,"~","~~"),"*","~*"),"?","~?")))</f>
        <v>0.0</v>
      </c>
      <c r="G512" s="10">
        <f>IF($C512=0,"",COUNTIFS('DEF_SELF_SCOUT_IMPORT'!$L$42:$L$1040,"Y",'DEF_SELF_SCOUT_IMPORT'!$E$42:$E$1040,SUBSTITUTE(SUBSTITUTE(SUBSTITUTE($B512,"~","~~"),"*","~*"),"?","~?"),'DEF_SELF_SCOUT_IMPORT'!$Q$42:$Q$1040,SUBSTITUTE(SUBSTITUTE(SUBSTITUTE($M512,"~","~~"),"*","~*"),"?","~?"),'DEF_SELF_SCOUT_IMPORT'!$G$42:$G$1040,SUBSTITUTE(SUBSTITUTE(SUBSTITUTE($O512,"~","~~"),"*","~*"),"?","~?"),'DEF_SELF_SCOUT_IMPORT'!$H$42:$H$1040,"RUSH")/$C512)</f>
        <v>0.0</v>
      </c>
      <c r="H512" s="10">
        <f>IF($C512=0,"",COUNTIFS('DEF_SELF_SCOUT_IMPORT'!$L$42:$L$1040,"Y",'DEF_SELF_SCOUT_IMPORT'!$E$42:$E$1040,SUBSTITUTE(SUBSTITUTE(SUBSTITUTE($B512,"~","~~"),"*","~*"),"?","~?"),'DEF_SELF_SCOUT_IMPORT'!$Q$42:$Q$1040,SUBSTITUTE(SUBSTITUTE(SUBSTITUTE($M512,"~","~~"),"*","~*"),"?","~?"),'DEF_SELF_SCOUT_IMPORT'!$G$42:$G$1040,SUBSTITUTE(SUBSTITUTE(SUBSTITUTE($O512,"~","~~"),"*","~*"),"?","~?"),'DEF_SELF_SCOUT_IMPORT'!$H$42:$H$1040,"DROPBACK")/$C512)</f>
        <v>1.0</v>
      </c>
      <c r="I512" s="14" t="str">
        <f>IF(C512=0,"",IF(C512&lt;=2,"TRACK",IF(C512=3,"LOW",IF(C512&lt;=6,"MEDIUM","HIGH"))))</f>
        <v>TRACK</v>
      </c>
      <c r="J512" s="11">
        <f>IF(C512=0,"",ROUND(D512*70+(1-E512)*20+MAX(0,MIN(1,(10-F512)/10))*10,1))</f>
        <v>100.0</v>
      </c>
      <c r="K512" s="14" t="str">
        <f>IF(C512=0,"No Evidence",IF(C512&lt;=2,IF(E512&gt;0,"Explosive Alert","Track Only"),IF(C512=3,"Sample Watch",IF(E512&gt;=START_HERE!$B$31,"Explosive Alert",IF(J512&gt;=80,"Strong Candidate",IF(J512&gt;=65,"Good Candidate",IF(J512&gt;=50,"Mixed / Review","Problem Call")))))))</f>
        <v>Track Only</v>
      </c>
      <c r="L512" s="9" t="str">
        <f>IF(COUNTIFS('DEF_SELF_SCOUT_IMPORT'!$L$42:$L$1040,"Y",'DEF_SELF_SCOUT_IMPORT'!$E$42:$E$1040,SUBSTITUTE(SUBSTITUTE(SUBSTITUTE($B512,"~","~~"),"*","~*"),"?","~?"),'DEF_SELF_SCOUT_IMPORT'!$Q$42:$Q$1040,SUBSTITUTE(SUBSTITUTE(SUBSTITUTE($M512,"~","~~"),"*","~*"),"?","~?"),'DEF_SELF_SCOUT_IMPORT'!$G$42:$G$1040,SUBSTITUTE(SUBSTITUTE(SUBSTITUTE($O512,"~","~~"),"*","~*"),"?","~?"),'DEF_SELF_SCOUT_IMPORT'!$J$42:$J$1040,"")&gt;0,"Unscored clean outcome; review result tags before using score.",IF(C512=0,"No matching defensive reps; film confirmation needed.",IF(K512="Explosive Alert","Explosive risk; review clips before using as answer.",IF(C512&lt;=2,"Track only; not enough sample.",IF(C512=3,IF(E512&gt;0,"Sample watch with explosive exposure; review clips and build the sample.",IF(J512&gt;=65,"Good signal, but sample is limited.","Sample watch; review clips and build the sample.")),IF(K512="Problem Call","Problem area; practice or call-sheet review.",IF(K512="Strong Candidate","Strong call-fit candidate; confirm on film.",IF(K512="Good Candidate","Good call-fit signal; confirm on film.","Mixed signal; review fit and execution on film."))))))))</f>
        <v>Track only; not enough sample.</v>
      </c>
      <c r="M512" s="8" t="s">
        <v>96</v>
      </c>
      <c r="N512" s="8"/>
      <c r="O512" s="8" t="s">
        <v>203</v>
      </c>
      <c r="P512" s="8"/>
      <c r="Q512" s="8"/>
      <c r="R512" s="8" t="s">
        <v>28</v>
      </c>
      <c r="S512" s="2" t="s">
        <v>256</v>
      </c>
      <c r="T512" s="2">
        <f>IF(C512=0,0,IF(C512&gt;=CALL_LOOKUP_BOARD!$B$7,IF(OR(K512="Problem Call",K512="Explosive Alert"),10000000,20000000),0)+IF(C512&gt;=CALL_LOOKUP_BOARD!$B$7,J512*1000+MIN(C512,999),C512*1000+J512)+0.00986200)</f>
        <v>1100.009862</v>
      </c>
      <c r="U512" s="2">
        <f>IF(C512=0,"",IF(COUNTIFS($S$375:$S$581,SUBSTITUTE(SUBSTITUTE(SUBSTITUTE(S512,"~","~~"),"*","~*"),"?","~?"),$T$375:$T$581,"&gt;"&amp;T512)=0,S512,""))</f>
        <v/>
      </c>
    </row>
    <row r="513" spans="1:21" ht="38" customHeight="1">
      <c r="A513" s="8" t="s">
        <v>255</v>
      </c>
      <c r="B513" s="8" t="s">
        <v>101</v>
      </c>
      <c r="C513" s="12">
        <f>COUNTIFS('DEF_SELF_SCOUT_IMPORT'!$L$42:$L$1040,"Y",'DEF_SELF_SCOUT_IMPORT'!$E$42:$E$1040,SUBSTITUTE(SUBSTITUTE(SUBSTITUTE($B513,"~","~~"),"*","~*"),"?","~?"),'DEF_SELF_SCOUT_IMPORT'!$Q$42:$Q$1040,SUBSTITUTE(SUBSTITUTE(SUBSTITUTE($M513,"~","~~"),"*","~*"),"?","~?"),'DEF_SELF_SCOUT_IMPORT'!$G$42:$G$1040,SUBSTITUTE(SUBSTITUTE(SUBSTITUTE($O513,"~","~~"),"*","~*"),"?","~?"))</f>
        <v>4</v>
      </c>
      <c r="D513" s="10">
        <f>IF($C513=0,"",SUMIFS('DEF_SELF_SCOUT_IMPORT'!$J$42:$J$1040,'DEF_SELF_SCOUT_IMPORT'!$L$42:$L$1040,"Y",'DEF_SELF_SCOUT_IMPORT'!$E$42:$E$1040,SUBSTITUTE(SUBSTITUTE(SUBSTITUTE($B513,"~","~~"),"*","~*"),"?","~?"),'DEF_SELF_SCOUT_IMPORT'!$Q$42:$Q$1040,SUBSTITUTE(SUBSTITUTE(SUBSTITUTE($M513,"~","~~"),"*","~*"),"?","~?"),'DEF_SELF_SCOUT_IMPORT'!$G$42:$G$1040,SUBSTITUTE(SUBSTITUTE(SUBSTITUTE($O513,"~","~~"),"*","~*"),"?","~?"))/$C513)</f>
        <v>0.75</v>
      </c>
      <c r="E513" s="10">
        <f>IF($C513=0,"",SUMIFS('DEF_SELF_SCOUT_IMPORT'!$K$42:$K$1040,'DEF_SELF_SCOUT_IMPORT'!$L$42:$L$1040,"Y",'DEF_SELF_SCOUT_IMPORT'!$E$42:$E$1040,SUBSTITUTE(SUBSTITUTE(SUBSTITUTE($B513,"~","~~"),"*","~*"),"?","~?"),'DEF_SELF_SCOUT_IMPORT'!$Q$42:$Q$1040,SUBSTITUTE(SUBSTITUTE(SUBSTITUTE($M513,"~","~~"),"*","~*"),"?","~?"),'DEF_SELF_SCOUT_IMPORT'!$G$42:$G$1040,SUBSTITUTE(SUBSTITUTE(SUBSTITUTE($O513,"~","~~"),"*","~*"),"?","~?"))/$C513)</f>
        <v>0.0</v>
      </c>
      <c r="F513" s="11">
        <f>IF($C513=0,"",AVERAGEIFS('DEF_SELF_SCOUT_IMPORT'!$I$42:$I$1040,'DEF_SELF_SCOUT_IMPORT'!$L$42:$L$1040,"Y",'DEF_SELF_SCOUT_IMPORT'!$E$42:$E$1040,SUBSTITUTE(SUBSTITUTE(SUBSTITUTE($B513,"~","~~"),"*","~*"),"?","~?"),'DEF_SELF_SCOUT_IMPORT'!$Q$42:$Q$1040,SUBSTITUTE(SUBSTITUTE(SUBSTITUTE($M513,"~","~~"),"*","~*"),"?","~?"),'DEF_SELF_SCOUT_IMPORT'!$G$42:$G$1040,SUBSTITUTE(SUBSTITUTE(SUBSTITUTE($O513,"~","~~"),"*","~*"),"?","~?")))</f>
        <v>4.75</v>
      </c>
      <c r="G513" s="10">
        <f>IF($C513=0,"",COUNTIFS('DEF_SELF_SCOUT_IMPORT'!$L$42:$L$1040,"Y",'DEF_SELF_SCOUT_IMPORT'!$E$42:$E$1040,SUBSTITUTE(SUBSTITUTE(SUBSTITUTE($B513,"~","~~"),"*","~*"),"?","~?"),'DEF_SELF_SCOUT_IMPORT'!$Q$42:$Q$1040,SUBSTITUTE(SUBSTITUTE(SUBSTITUTE($M513,"~","~~"),"*","~*"),"?","~?"),'DEF_SELF_SCOUT_IMPORT'!$G$42:$G$1040,SUBSTITUTE(SUBSTITUTE(SUBSTITUTE($O513,"~","~~"),"*","~*"),"?","~?"),'DEF_SELF_SCOUT_IMPORT'!$H$42:$H$1040,"RUSH")/$C513)</f>
        <v>0.0</v>
      </c>
      <c r="H513" s="10">
        <f>IF($C513=0,"",COUNTIFS('DEF_SELF_SCOUT_IMPORT'!$L$42:$L$1040,"Y",'DEF_SELF_SCOUT_IMPORT'!$E$42:$E$1040,SUBSTITUTE(SUBSTITUTE(SUBSTITUTE($B513,"~","~~"),"*","~*"),"?","~?"),'DEF_SELF_SCOUT_IMPORT'!$Q$42:$Q$1040,SUBSTITUTE(SUBSTITUTE(SUBSTITUTE($M513,"~","~~"),"*","~*"),"?","~?"),'DEF_SELF_SCOUT_IMPORT'!$G$42:$G$1040,SUBSTITUTE(SUBSTITUTE(SUBSTITUTE($O513,"~","~~"),"*","~*"),"?","~?"),'DEF_SELF_SCOUT_IMPORT'!$H$42:$H$1040,"DROPBACK")/$C513)</f>
        <v>1.0</v>
      </c>
      <c r="I513" s="14" t="str">
        <f>IF(C513=0,"",IF(C513&lt;=2,"TRACK",IF(C513=3,"LOW",IF(C513&lt;=6,"MEDIUM","HIGH"))))</f>
        <v>MEDIUM</v>
      </c>
      <c r="J513" s="11">
        <f>IF(C513=0,"",ROUND(D513*70+(1-E513)*20+MAX(0,MIN(1,(10-F513)/10))*10,1))</f>
        <v>77.8</v>
      </c>
      <c r="K513" s="14" t="str">
        <f>IF(C513=0,"No Evidence",IF(C513&lt;=2,IF(E513&gt;0,"Explosive Alert","Track Only"),IF(C513=3,"Sample Watch",IF(E513&gt;=START_HERE!$B$31,"Explosive Alert",IF(J513&gt;=80,"Strong Candidate",IF(J513&gt;=65,"Good Candidate",IF(J513&gt;=50,"Mixed / Review","Problem Call")))))))</f>
        <v>Good Candidate</v>
      </c>
      <c r="L513" s="9" t="str">
        <f>IF(COUNTIFS('DEF_SELF_SCOUT_IMPORT'!$L$42:$L$1040,"Y",'DEF_SELF_SCOUT_IMPORT'!$E$42:$E$1040,SUBSTITUTE(SUBSTITUTE(SUBSTITUTE($B513,"~","~~"),"*","~*"),"?","~?"),'DEF_SELF_SCOUT_IMPORT'!$Q$42:$Q$1040,SUBSTITUTE(SUBSTITUTE(SUBSTITUTE($M513,"~","~~"),"*","~*"),"?","~?"),'DEF_SELF_SCOUT_IMPORT'!$G$42:$G$1040,SUBSTITUTE(SUBSTITUTE(SUBSTITUTE($O513,"~","~~"),"*","~*"),"?","~?"),'DEF_SELF_SCOUT_IMPORT'!$J$42:$J$1040,"")&gt;0,"Unscored clean outcome; review result tags before using score.",IF(C513=0,"No matching defensive reps; film confirmation needed.",IF(K513="Explosive Alert","Explosive risk; review clips before using as answer.",IF(C513&lt;=2,"Track only; not enough sample.",IF(C513=3,IF(E513&gt;0,"Sample watch with explosive exposure; review clips and build the sample.",IF(J513&gt;=65,"Good signal, but sample is limited.","Sample watch; review clips and build the sample.")),IF(K513="Problem Call","Problem area; practice or call-sheet review.",IF(K513="Strong Candidate","Strong call-fit candidate; confirm on film.",IF(K513="Good Candidate","Good call-fit signal; confirm on film.","Mixed signal; review fit and execution on film."))))))))</f>
        <v>Good call-fit signal; confirm on film.</v>
      </c>
      <c r="M513" s="8" t="s">
        <v>96</v>
      </c>
      <c r="N513" s="8"/>
      <c r="O513" s="8" t="s">
        <v>203</v>
      </c>
      <c r="P513" s="8"/>
      <c r="Q513" s="8"/>
      <c r="R513" s="8" t="s">
        <v>45</v>
      </c>
      <c r="S513" s="2" t="s">
        <v>256</v>
      </c>
      <c r="T513" s="2">
        <f>IF(C513=0,0,IF(C513&gt;=CALL_LOOKUP_BOARD!$B$7,IF(OR(K513="Problem Call",K513="Explosive Alert"),10000000,20000000),0)+IF(C513&gt;=CALL_LOOKUP_BOARD!$B$7,J513*1000+MIN(C513,999),C513*1000+J513)+0.00986100)</f>
        <v>20077804.009861</v>
      </c>
      <c r="U513" s="2" t="str">
        <f>IF(C513=0,"",IF(COUNTIFS($S$375:$S$581,SUBSTITUTE(SUBSTITUTE(SUBSTITUTE(S513,"~","~~"),"*","~*"),"?","~?"),$T$375:$T$581,"&gt;"&amp;T513)=0,S513,""))</f>
        <v>6:3D 11+|3:2X2|</v>
      </c>
    </row>
    <row r="514" spans="1:21" ht="38" customHeight="1">
      <c r="A514" s="8" t="s">
        <v>255</v>
      </c>
      <c r="B514" s="8" t="s">
        <v>102</v>
      </c>
      <c r="C514" s="12">
        <f>COUNTIFS('DEF_SELF_SCOUT_IMPORT'!$L$42:$L$1040,"Y",'DEF_SELF_SCOUT_IMPORT'!$E$42:$E$1040,SUBSTITUTE(SUBSTITUTE(SUBSTITUTE($B514,"~","~~"),"*","~*"),"?","~?"),'DEF_SELF_SCOUT_IMPORT'!$Q$42:$Q$1040,SUBSTITUTE(SUBSTITUTE(SUBSTITUTE($M514,"~","~~"),"*","~*"),"?","~?"),'DEF_SELF_SCOUT_IMPORT'!$G$42:$G$1040,SUBSTITUTE(SUBSTITUTE(SUBSTITUTE($O514,"~","~~"),"*","~*"),"?","~?"))</f>
        <v>1</v>
      </c>
      <c r="D514" s="10">
        <f>IF($C514=0,"",SUMIFS('DEF_SELF_SCOUT_IMPORT'!$J$42:$J$1040,'DEF_SELF_SCOUT_IMPORT'!$L$42:$L$1040,"Y",'DEF_SELF_SCOUT_IMPORT'!$E$42:$E$1040,SUBSTITUTE(SUBSTITUTE(SUBSTITUTE($B514,"~","~~"),"*","~*"),"?","~?"),'DEF_SELF_SCOUT_IMPORT'!$Q$42:$Q$1040,SUBSTITUTE(SUBSTITUTE(SUBSTITUTE($M514,"~","~~"),"*","~*"),"?","~?"),'DEF_SELF_SCOUT_IMPORT'!$G$42:$G$1040,SUBSTITUTE(SUBSTITUTE(SUBSTITUTE($O514,"~","~~"),"*","~*"),"?","~?"))/$C514)</f>
        <v>1.0</v>
      </c>
      <c r="E514" s="10">
        <f>IF($C514=0,"",SUMIFS('DEF_SELF_SCOUT_IMPORT'!$K$42:$K$1040,'DEF_SELF_SCOUT_IMPORT'!$L$42:$L$1040,"Y",'DEF_SELF_SCOUT_IMPORT'!$E$42:$E$1040,SUBSTITUTE(SUBSTITUTE(SUBSTITUTE($B514,"~","~~"),"*","~*"),"?","~?"),'DEF_SELF_SCOUT_IMPORT'!$Q$42:$Q$1040,SUBSTITUTE(SUBSTITUTE(SUBSTITUTE($M514,"~","~~"),"*","~*"),"?","~?"),'DEF_SELF_SCOUT_IMPORT'!$G$42:$G$1040,SUBSTITUTE(SUBSTITUTE(SUBSTITUTE($O514,"~","~~"),"*","~*"),"?","~?"))/$C514)</f>
        <v>0.0</v>
      </c>
      <c r="F514" s="11">
        <f>IF($C514=0,"",AVERAGEIFS('DEF_SELF_SCOUT_IMPORT'!$I$42:$I$1040,'DEF_SELF_SCOUT_IMPORT'!$L$42:$L$1040,"Y",'DEF_SELF_SCOUT_IMPORT'!$E$42:$E$1040,SUBSTITUTE(SUBSTITUTE(SUBSTITUTE($B514,"~","~~"),"*","~*"),"?","~?"),'DEF_SELF_SCOUT_IMPORT'!$Q$42:$Q$1040,SUBSTITUTE(SUBSTITUTE(SUBSTITUTE($M514,"~","~~"),"*","~*"),"?","~?"),'DEF_SELF_SCOUT_IMPORT'!$G$42:$G$1040,SUBSTITUTE(SUBSTITUTE(SUBSTITUTE($O514,"~","~~"),"*","~*"),"?","~?")))</f>
        <v>-5.0</v>
      </c>
      <c r="G514" s="10">
        <f>IF($C514=0,"",COUNTIFS('DEF_SELF_SCOUT_IMPORT'!$L$42:$L$1040,"Y",'DEF_SELF_SCOUT_IMPORT'!$E$42:$E$1040,SUBSTITUTE(SUBSTITUTE(SUBSTITUTE($B514,"~","~~"),"*","~*"),"?","~?"),'DEF_SELF_SCOUT_IMPORT'!$Q$42:$Q$1040,SUBSTITUTE(SUBSTITUTE(SUBSTITUTE($M514,"~","~~"),"*","~*"),"?","~?"),'DEF_SELF_SCOUT_IMPORT'!$G$42:$G$1040,SUBSTITUTE(SUBSTITUTE(SUBSTITUTE($O514,"~","~~"),"*","~*"),"?","~?"),'DEF_SELF_SCOUT_IMPORT'!$H$42:$H$1040,"RUSH")/$C514)</f>
        <v>0.0</v>
      </c>
      <c r="H514" s="10">
        <f>IF($C514=0,"",COUNTIFS('DEF_SELF_SCOUT_IMPORT'!$L$42:$L$1040,"Y",'DEF_SELF_SCOUT_IMPORT'!$E$42:$E$1040,SUBSTITUTE(SUBSTITUTE(SUBSTITUTE($B514,"~","~~"),"*","~*"),"?","~?"),'DEF_SELF_SCOUT_IMPORT'!$Q$42:$Q$1040,SUBSTITUTE(SUBSTITUTE(SUBSTITUTE($M514,"~","~~"),"*","~*"),"?","~?"),'DEF_SELF_SCOUT_IMPORT'!$G$42:$G$1040,SUBSTITUTE(SUBSTITUTE(SUBSTITUTE($O514,"~","~~"),"*","~*"),"?","~?"),'DEF_SELF_SCOUT_IMPORT'!$H$42:$H$1040,"DROPBACK")/$C514)</f>
        <v>1.0</v>
      </c>
      <c r="I514" s="14" t="str">
        <f>IF(C514=0,"",IF(C514&lt;=2,"TRACK",IF(C514=3,"LOW",IF(C514&lt;=6,"MEDIUM","HIGH"))))</f>
        <v>TRACK</v>
      </c>
      <c r="J514" s="11">
        <f>IF(C514=0,"",ROUND(D514*70+(1-E514)*20+MAX(0,MIN(1,(10-F514)/10))*10,1))</f>
        <v>100.0</v>
      </c>
      <c r="K514" s="14" t="str">
        <f>IF(C514=0,"No Evidence",IF(C514&lt;=2,IF(E514&gt;0,"Explosive Alert","Track Only"),IF(C514=3,"Sample Watch",IF(E514&gt;=START_HERE!$B$31,"Explosive Alert",IF(J514&gt;=80,"Strong Candidate",IF(J514&gt;=65,"Good Candidate",IF(J514&gt;=50,"Mixed / Review","Problem Call")))))))</f>
        <v>Track Only</v>
      </c>
      <c r="L514" s="9" t="str">
        <f>IF(COUNTIFS('DEF_SELF_SCOUT_IMPORT'!$L$42:$L$1040,"Y",'DEF_SELF_SCOUT_IMPORT'!$E$42:$E$1040,SUBSTITUTE(SUBSTITUTE(SUBSTITUTE($B514,"~","~~"),"*","~*"),"?","~?"),'DEF_SELF_SCOUT_IMPORT'!$Q$42:$Q$1040,SUBSTITUTE(SUBSTITUTE(SUBSTITUTE($M514,"~","~~"),"*","~*"),"?","~?"),'DEF_SELF_SCOUT_IMPORT'!$G$42:$G$1040,SUBSTITUTE(SUBSTITUTE(SUBSTITUTE($O514,"~","~~"),"*","~*"),"?","~?"),'DEF_SELF_SCOUT_IMPORT'!$J$42:$J$1040,"")&gt;0,"Unscored clean outcome; review result tags before using score.",IF(C514=0,"No matching defensive reps; film confirmation needed.",IF(K514="Explosive Alert","Explosive risk; review clips before using as answer.",IF(C514&lt;=2,"Track only; not enough sample.",IF(C514=3,IF(E514&gt;0,"Sample watch with explosive exposure; review clips and build the sample.",IF(J514&gt;=65,"Good signal, but sample is limited.","Sample watch; review clips and build the sample.")),IF(K514="Problem Call","Problem area; practice or call-sheet review.",IF(K514="Strong Candidate","Strong call-fit candidate; confirm on film.",IF(K514="Good Candidate","Good call-fit signal; confirm on film.","Mixed signal; review fit and execution on film."))))))))</f>
        <v>Track only; not enough sample.</v>
      </c>
      <c r="M514" s="8" t="s">
        <v>96</v>
      </c>
      <c r="N514" s="8"/>
      <c r="O514" s="8" t="s">
        <v>203</v>
      </c>
      <c r="P514" s="8"/>
      <c r="Q514" s="8"/>
      <c r="R514" s="8" t="s">
        <v>28</v>
      </c>
      <c r="S514" s="2" t="s">
        <v>256</v>
      </c>
      <c r="T514" s="2">
        <f>IF(C514=0,0,IF(C514&gt;=CALL_LOOKUP_BOARD!$B$7,IF(OR(K514="Problem Call",K514="Explosive Alert"),10000000,20000000),0)+IF(C514&gt;=CALL_LOOKUP_BOARD!$B$7,J514*1000+MIN(C514,999),C514*1000+J514)+0.00986000)</f>
        <v>1100.00986</v>
      </c>
      <c r="U514" s="2">
        <f>IF(C514=0,"",IF(COUNTIFS($S$375:$S$581,SUBSTITUTE(SUBSTITUTE(SUBSTITUTE(S514,"~","~~"),"*","~*"),"?","~?"),$T$375:$T$581,"&gt;"&amp;T514)=0,S514,""))</f>
        <v/>
      </c>
    </row>
    <row r="515" spans="1:21" ht="38" customHeight="1">
      <c r="A515" s="8" t="s">
        <v>257</v>
      </c>
      <c r="B515" s="8" t="s">
        <v>99</v>
      </c>
      <c r="C515" s="12">
        <f>COUNTIFS('DEF_SELF_SCOUT_IMPORT'!$L$42:$L$1040,"Y",'DEF_SELF_SCOUT_IMPORT'!$E$42:$E$1040,SUBSTITUTE(SUBSTITUTE(SUBSTITUTE($B515,"~","~~"),"*","~*"),"?","~?"),'DEF_SELF_SCOUT_IMPORT'!$Q$42:$Q$1040,SUBSTITUTE(SUBSTITUTE(SUBSTITUTE($M515,"~","~~"),"*","~*"),"?","~?"),'DEF_SELF_SCOUT_IMPORT'!$G$42:$G$1040,SUBSTITUTE(SUBSTITUTE(SUBSTITUTE($O515,"~","~~"),"*","~*"),"?","~?"))</f>
        <v>2</v>
      </c>
      <c r="D515" s="10">
        <f>IF($C515=0,"",SUMIFS('DEF_SELF_SCOUT_IMPORT'!$J$42:$J$1040,'DEF_SELF_SCOUT_IMPORT'!$L$42:$L$1040,"Y",'DEF_SELF_SCOUT_IMPORT'!$E$42:$E$1040,SUBSTITUTE(SUBSTITUTE(SUBSTITUTE($B515,"~","~~"),"*","~*"),"?","~?"),'DEF_SELF_SCOUT_IMPORT'!$Q$42:$Q$1040,SUBSTITUTE(SUBSTITUTE(SUBSTITUTE($M515,"~","~~"),"*","~*"),"?","~?"),'DEF_SELF_SCOUT_IMPORT'!$G$42:$G$1040,SUBSTITUTE(SUBSTITUTE(SUBSTITUTE($O515,"~","~~"),"*","~*"),"?","~?"))/$C515)</f>
        <v>0.5</v>
      </c>
      <c r="E515" s="10">
        <f>IF($C515=0,"",SUMIFS('DEF_SELF_SCOUT_IMPORT'!$K$42:$K$1040,'DEF_SELF_SCOUT_IMPORT'!$L$42:$L$1040,"Y",'DEF_SELF_SCOUT_IMPORT'!$E$42:$E$1040,SUBSTITUTE(SUBSTITUTE(SUBSTITUTE($B515,"~","~~"),"*","~*"),"?","~?"),'DEF_SELF_SCOUT_IMPORT'!$Q$42:$Q$1040,SUBSTITUTE(SUBSTITUTE(SUBSTITUTE($M515,"~","~~"),"*","~*"),"?","~?"),'DEF_SELF_SCOUT_IMPORT'!$G$42:$G$1040,SUBSTITUTE(SUBSTITUTE(SUBSTITUTE($O515,"~","~~"),"*","~*"),"?","~?"))/$C515)</f>
        <v>0.0</v>
      </c>
      <c r="F515" s="11">
        <f>IF($C515=0,"",AVERAGEIFS('DEF_SELF_SCOUT_IMPORT'!$I$42:$I$1040,'DEF_SELF_SCOUT_IMPORT'!$L$42:$L$1040,"Y",'DEF_SELF_SCOUT_IMPORT'!$E$42:$E$1040,SUBSTITUTE(SUBSTITUTE(SUBSTITUTE($B515,"~","~~"),"*","~*"),"?","~?"),'DEF_SELF_SCOUT_IMPORT'!$Q$42:$Q$1040,SUBSTITUTE(SUBSTITUTE(SUBSTITUTE($M515,"~","~~"),"*","~*"),"?","~?"),'DEF_SELF_SCOUT_IMPORT'!$G$42:$G$1040,SUBSTITUTE(SUBSTITUTE(SUBSTITUTE($O515,"~","~~"),"*","~*"),"?","~?")))</f>
        <v>7.0</v>
      </c>
      <c r="G515" s="10">
        <f>IF($C515=0,"",COUNTIFS('DEF_SELF_SCOUT_IMPORT'!$L$42:$L$1040,"Y",'DEF_SELF_SCOUT_IMPORT'!$E$42:$E$1040,SUBSTITUTE(SUBSTITUTE(SUBSTITUTE($B515,"~","~~"),"*","~*"),"?","~?"),'DEF_SELF_SCOUT_IMPORT'!$Q$42:$Q$1040,SUBSTITUTE(SUBSTITUTE(SUBSTITUTE($M515,"~","~~"),"*","~*"),"?","~?"),'DEF_SELF_SCOUT_IMPORT'!$G$42:$G$1040,SUBSTITUTE(SUBSTITUTE(SUBSTITUTE($O515,"~","~~"),"*","~*"),"?","~?"),'DEF_SELF_SCOUT_IMPORT'!$H$42:$H$1040,"RUSH")/$C515)</f>
        <v>0.0</v>
      </c>
      <c r="H515" s="10">
        <f>IF($C515=0,"",COUNTIFS('DEF_SELF_SCOUT_IMPORT'!$L$42:$L$1040,"Y",'DEF_SELF_SCOUT_IMPORT'!$E$42:$E$1040,SUBSTITUTE(SUBSTITUTE(SUBSTITUTE($B515,"~","~~"),"*","~*"),"?","~?"),'DEF_SELF_SCOUT_IMPORT'!$Q$42:$Q$1040,SUBSTITUTE(SUBSTITUTE(SUBSTITUTE($M515,"~","~~"),"*","~*"),"?","~?"),'DEF_SELF_SCOUT_IMPORT'!$G$42:$G$1040,SUBSTITUTE(SUBSTITUTE(SUBSTITUTE($O515,"~","~~"),"*","~*"),"?","~?"),'DEF_SELF_SCOUT_IMPORT'!$H$42:$H$1040,"DROPBACK")/$C515)</f>
        <v>1.0</v>
      </c>
      <c r="I515" s="14" t="str">
        <f>IF(C515=0,"",IF(C515&lt;=2,"TRACK",IF(C515=3,"LOW",IF(C515&lt;=6,"MEDIUM","HIGH"))))</f>
        <v>TRACK</v>
      </c>
      <c r="J515" s="11">
        <f>IF(C515=0,"",ROUND(D515*70+(1-E515)*20+MAX(0,MIN(1,(10-F515)/10))*10,1))</f>
        <v>58.0</v>
      </c>
      <c r="K515" s="14" t="str">
        <f>IF(C515=0,"No Evidence",IF(C515&lt;=2,IF(E515&gt;0,"Explosive Alert","Track Only"),IF(C515=3,"Sample Watch",IF(E515&gt;=START_HERE!$B$31,"Explosive Alert",IF(J515&gt;=80,"Strong Candidate",IF(J515&gt;=65,"Good Candidate",IF(J515&gt;=50,"Mixed / Review","Problem Call")))))))</f>
        <v>Track Only</v>
      </c>
      <c r="L515" s="9" t="str">
        <f>IF(COUNTIFS('DEF_SELF_SCOUT_IMPORT'!$L$42:$L$1040,"Y",'DEF_SELF_SCOUT_IMPORT'!$E$42:$E$1040,SUBSTITUTE(SUBSTITUTE(SUBSTITUTE($B515,"~","~~"),"*","~*"),"?","~?"),'DEF_SELF_SCOUT_IMPORT'!$Q$42:$Q$1040,SUBSTITUTE(SUBSTITUTE(SUBSTITUTE($M515,"~","~~"),"*","~*"),"?","~?"),'DEF_SELF_SCOUT_IMPORT'!$G$42:$G$1040,SUBSTITUTE(SUBSTITUTE(SUBSTITUTE($O515,"~","~~"),"*","~*"),"?","~?"),'DEF_SELF_SCOUT_IMPORT'!$J$42:$J$1040,"")&gt;0,"Unscored clean outcome; review result tags before using score.",IF(C515=0,"No matching defensive reps; film confirmation needed.",IF(K515="Explosive Alert","Explosive risk; review clips before using as answer.",IF(C515&lt;=2,"Track only; not enough sample.",IF(C515=3,IF(E515&gt;0,"Sample watch with explosive exposure; review clips and build the sample.",IF(J515&gt;=65,"Good signal, but sample is limited.","Sample watch; review clips and build the sample.")),IF(K515="Problem Call","Problem area; practice or call-sheet review.",IF(K515="Strong Candidate","Strong call-fit candidate; confirm on film.",IF(K515="Good Candidate","Good call-fit signal; confirm on film.","Mixed signal; review fit and execution on film."))))))))</f>
        <v>Track only; not enough sample.</v>
      </c>
      <c r="M515" s="8" t="s">
        <v>96</v>
      </c>
      <c r="N515" s="8"/>
      <c r="O515" s="8" t="s">
        <v>206</v>
      </c>
      <c r="P515" s="8"/>
      <c r="Q515" s="8"/>
      <c r="R515" s="8" t="s">
        <v>28</v>
      </c>
      <c r="S515" s="2" t="s">
        <v>258</v>
      </c>
      <c r="T515" s="2">
        <f>IF(C515=0,0,IF(C515&gt;=CALL_LOOKUP_BOARD!$B$7,IF(OR(K515="Problem Call",K515="Explosive Alert"),10000000,20000000),0)+IF(C515&gt;=CALL_LOOKUP_BOARD!$B$7,J515*1000+MIN(C515,999),C515*1000+J515)+0.00985900)</f>
        <v>2058.009859</v>
      </c>
      <c r="U515" s="2" t="str">
        <f>IF(C515=0,"",IF(COUNTIFS($S$375:$S$581,SUBSTITUTE(SUBSTITUTE(SUBSTITUTE(S515,"~","~~"),"*","~*"),"?","~?"),$T$375:$T$581,"&gt;"&amp;T515)=0,S515,""))</f>
        <v>6:3D 11+|3:3X1|</v>
      </c>
    </row>
    <row r="516" spans="1:21" ht="38" customHeight="1">
      <c r="A516" s="8" t="s">
        <v>257</v>
      </c>
      <c r="B516" s="8" t="s">
        <v>101</v>
      </c>
      <c r="C516" s="12">
        <f>COUNTIFS('DEF_SELF_SCOUT_IMPORT'!$L$42:$L$1040,"Y",'DEF_SELF_SCOUT_IMPORT'!$E$42:$E$1040,SUBSTITUTE(SUBSTITUTE(SUBSTITUTE($B516,"~","~~"),"*","~*"),"?","~?"),'DEF_SELF_SCOUT_IMPORT'!$Q$42:$Q$1040,SUBSTITUTE(SUBSTITUTE(SUBSTITUTE($M516,"~","~~"),"*","~*"),"?","~?"),'DEF_SELF_SCOUT_IMPORT'!$G$42:$G$1040,SUBSTITUTE(SUBSTITUTE(SUBSTITUTE($O516,"~","~~"),"*","~*"),"?","~?"))</f>
        <v>2</v>
      </c>
      <c r="D516" s="10">
        <f>IF($C516=0,"",SUMIFS('DEF_SELF_SCOUT_IMPORT'!$J$42:$J$1040,'DEF_SELF_SCOUT_IMPORT'!$L$42:$L$1040,"Y",'DEF_SELF_SCOUT_IMPORT'!$E$42:$E$1040,SUBSTITUTE(SUBSTITUTE(SUBSTITUTE($B516,"~","~~"),"*","~*"),"?","~?"),'DEF_SELF_SCOUT_IMPORT'!$Q$42:$Q$1040,SUBSTITUTE(SUBSTITUTE(SUBSTITUTE($M516,"~","~~"),"*","~*"),"?","~?"),'DEF_SELF_SCOUT_IMPORT'!$G$42:$G$1040,SUBSTITUTE(SUBSTITUTE(SUBSTITUTE($O516,"~","~~"),"*","~*"),"?","~?"))/$C516)</f>
        <v>0.5</v>
      </c>
      <c r="E516" s="10">
        <f>IF($C516=0,"",SUMIFS('DEF_SELF_SCOUT_IMPORT'!$K$42:$K$1040,'DEF_SELF_SCOUT_IMPORT'!$L$42:$L$1040,"Y",'DEF_SELF_SCOUT_IMPORT'!$E$42:$E$1040,SUBSTITUTE(SUBSTITUTE(SUBSTITUTE($B516,"~","~~"),"*","~*"),"?","~?"),'DEF_SELF_SCOUT_IMPORT'!$Q$42:$Q$1040,SUBSTITUTE(SUBSTITUTE(SUBSTITUTE($M516,"~","~~"),"*","~*"),"?","~?"),'DEF_SELF_SCOUT_IMPORT'!$G$42:$G$1040,SUBSTITUTE(SUBSTITUTE(SUBSTITUTE($O516,"~","~~"),"*","~*"),"?","~?"))/$C516)</f>
        <v>0.5</v>
      </c>
      <c r="F516" s="11">
        <f>IF($C516=0,"",AVERAGEIFS('DEF_SELF_SCOUT_IMPORT'!$I$42:$I$1040,'DEF_SELF_SCOUT_IMPORT'!$L$42:$L$1040,"Y",'DEF_SELF_SCOUT_IMPORT'!$E$42:$E$1040,SUBSTITUTE(SUBSTITUTE(SUBSTITUTE($B516,"~","~~"),"*","~*"),"?","~?"),'DEF_SELF_SCOUT_IMPORT'!$Q$42:$Q$1040,SUBSTITUTE(SUBSTITUTE(SUBSTITUTE($M516,"~","~~"),"*","~*"),"?","~?"),'DEF_SELF_SCOUT_IMPORT'!$G$42:$G$1040,SUBSTITUTE(SUBSTITUTE(SUBSTITUTE($O516,"~","~~"),"*","~*"),"?","~?")))</f>
        <v>27.0</v>
      </c>
      <c r="G516" s="10">
        <f>IF($C516=0,"",COUNTIFS('DEF_SELF_SCOUT_IMPORT'!$L$42:$L$1040,"Y",'DEF_SELF_SCOUT_IMPORT'!$E$42:$E$1040,SUBSTITUTE(SUBSTITUTE(SUBSTITUTE($B516,"~","~~"),"*","~*"),"?","~?"),'DEF_SELF_SCOUT_IMPORT'!$Q$42:$Q$1040,SUBSTITUTE(SUBSTITUTE(SUBSTITUTE($M516,"~","~~"),"*","~*"),"?","~?"),'DEF_SELF_SCOUT_IMPORT'!$G$42:$G$1040,SUBSTITUTE(SUBSTITUTE(SUBSTITUTE($O516,"~","~~"),"*","~*"),"?","~?"),'DEF_SELF_SCOUT_IMPORT'!$H$42:$H$1040,"RUSH")/$C516)</f>
        <v>0.0</v>
      </c>
      <c r="H516" s="10">
        <f>IF($C516=0,"",COUNTIFS('DEF_SELF_SCOUT_IMPORT'!$L$42:$L$1040,"Y",'DEF_SELF_SCOUT_IMPORT'!$E$42:$E$1040,SUBSTITUTE(SUBSTITUTE(SUBSTITUTE($B516,"~","~~"),"*","~*"),"?","~?"),'DEF_SELF_SCOUT_IMPORT'!$Q$42:$Q$1040,SUBSTITUTE(SUBSTITUTE(SUBSTITUTE($M516,"~","~~"),"*","~*"),"?","~?"),'DEF_SELF_SCOUT_IMPORT'!$G$42:$G$1040,SUBSTITUTE(SUBSTITUTE(SUBSTITUTE($O516,"~","~~"),"*","~*"),"?","~?"),'DEF_SELF_SCOUT_IMPORT'!$H$42:$H$1040,"DROPBACK")/$C516)</f>
        <v>1.0</v>
      </c>
      <c r="I516" s="14" t="str">
        <f>IF(C516=0,"",IF(C516&lt;=2,"TRACK",IF(C516=3,"LOW",IF(C516&lt;=6,"MEDIUM","HIGH"))))</f>
        <v>TRACK</v>
      </c>
      <c r="J516" s="11">
        <f>IF(C516=0,"",ROUND(D516*70+(1-E516)*20+MAX(0,MIN(1,(10-F516)/10))*10,1))</f>
        <v>45.0</v>
      </c>
      <c r="K516" s="14" t="str">
        <f>IF(C516=0,"No Evidence",IF(C516&lt;=2,IF(E516&gt;0,"Explosive Alert","Track Only"),IF(C516=3,"Sample Watch",IF(E516&gt;=START_HERE!$B$31,"Explosive Alert",IF(J516&gt;=80,"Strong Candidate",IF(J516&gt;=65,"Good Candidate",IF(J516&gt;=50,"Mixed / Review","Problem Call")))))))</f>
        <v>Explosive Alert</v>
      </c>
      <c r="L516" s="9" t="str">
        <f>IF(COUNTIFS('DEF_SELF_SCOUT_IMPORT'!$L$42:$L$1040,"Y",'DEF_SELF_SCOUT_IMPORT'!$E$42:$E$1040,SUBSTITUTE(SUBSTITUTE(SUBSTITUTE($B516,"~","~~"),"*","~*"),"?","~?"),'DEF_SELF_SCOUT_IMPORT'!$Q$42:$Q$1040,SUBSTITUTE(SUBSTITUTE(SUBSTITUTE($M516,"~","~~"),"*","~*"),"?","~?"),'DEF_SELF_SCOUT_IMPORT'!$G$42:$G$1040,SUBSTITUTE(SUBSTITUTE(SUBSTITUTE($O516,"~","~~"),"*","~*"),"?","~?"),'DEF_SELF_SCOUT_IMPORT'!$J$42:$J$1040,"")&gt;0,"Unscored clean outcome; review result tags before using score.",IF(C516=0,"No matching defensive reps; film confirmation needed.",IF(K516="Explosive Alert","Explosive risk; review clips before using as answer.",IF(C516&lt;=2,"Track only; not enough sample.",IF(C516=3,IF(E516&gt;0,"Sample watch with explosive exposure; review clips and build the sample.",IF(J516&gt;=65,"Good signal, but sample is limited.","Sample watch; review clips and build the sample.")),IF(K516="Problem Call","Problem area; practice or call-sheet review.",IF(K516="Strong Candidate","Strong call-fit candidate; confirm on film.",IF(K516="Good Candidate","Good call-fit signal; confirm on film.","Mixed signal; review fit and execution on film."))))))))</f>
        <v>Explosive risk; review clips before using as answer.</v>
      </c>
      <c r="M516" s="8" t="s">
        <v>96</v>
      </c>
      <c r="N516" s="8"/>
      <c r="O516" s="8" t="s">
        <v>206</v>
      </c>
      <c r="P516" s="8"/>
      <c r="Q516" s="8"/>
      <c r="R516" s="8" t="s">
        <v>28</v>
      </c>
      <c r="S516" s="2" t="s">
        <v>258</v>
      </c>
      <c r="T516" s="2">
        <f>IF(C516=0,0,IF(C516&gt;=CALL_LOOKUP_BOARD!$B$7,IF(OR(K516="Problem Call",K516="Explosive Alert"),10000000,20000000),0)+IF(C516&gt;=CALL_LOOKUP_BOARD!$B$7,J516*1000+MIN(C516,999),C516*1000+J516)+0.00985800)</f>
        <v>2045.009858</v>
      </c>
      <c r="U516" s="2">
        <f>IF(C516=0,"",IF(COUNTIFS($S$375:$S$581,SUBSTITUTE(SUBSTITUTE(SUBSTITUTE(S516,"~","~~"),"*","~*"),"?","~?"),$T$375:$T$581,"&gt;"&amp;T516)=0,S516,""))</f>
        <v/>
      </c>
    </row>
    <row r="517" spans="1:21" ht="38" customHeight="1">
      <c r="A517" s="8" t="s">
        <v>259</v>
      </c>
      <c r="B517" s="8" t="s">
        <v>27</v>
      </c>
      <c r="C517" s="12">
        <f>COUNTIFS('DEF_SELF_SCOUT_IMPORT'!$L$42:$L$1040,"Y",'DEF_SELF_SCOUT_IMPORT'!$E$42:$E$1040,SUBSTITUTE(SUBSTITUTE(SUBSTITUTE($B517,"~","~~"),"*","~*"),"?","~?"),'DEF_SELF_SCOUT_IMPORT'!$Q$42:$Q$1040,SUBSTITUTE(SUBSTITUTE(SUBSTITUTE($M517,"~","~~"),"*","~*"),"?","~?"),'DEF_SELF_SCOUT_IMPORT'!$G$42:$G$1040,SUBSTITUTE(SUBSTITUTE(SUBSTITUTE($O517,"~","~~"),"*","~*"),"?","~?"))</f>
        <v>1</v>
      </c>
      <c r="D517" s="10">
        <f>IF($C517=0,"",SUMIFS('DEF_SELF_SCOUT_IMPORT'!$J$42:$J$1040,'DEF_SELF_SCOUT_IMPORT'!$L$42:$L$1040,"Y",'DEF_SELF_SCOUT_IMPORT'!$E$42:$E$1040,SUBSTITUTE(SUBSTITUTE(SUBSTITUTE($B517,"~","~~"),"*","~*"),"?","~?"),'DEF_SELF_SCOUT_IMPORT'!$Q$42:$Q$1040,SUBSTITUTE(SUBSTITUTE(SUBSTITUTE($M517,"~","~~"),"*","~*"),"?","~?"),'DEF_SELF_SCOUT_IMPORT'!$G$42:$G$1040,SUBSTITUTE(SUBSTITUTE(SUBSTITUTE($O517,"~","~~"),"*","~*"),"?","~?"))/$C517)</f>
        <v>1.0</v>
      </c>
      <c r="E517" s="10">
        <f>IF($C517=0,"",SUMIFS('DEF_SELF_SCOUT_IMPORT'!$K$42:$K$1040,'DEF_SELF_SCOUT_IMPORT'!$L$42:$L$1040,"Y",'DEF_SELF_SCOUT_IMPORT'!$E$42:$E$1040,SUBSTITUTE(SUBSTITUTE(SUBSTITUTE($B517,"~","~~"),"*","~*"),"?","~?"),'DEF_SELF_SCOUT_IMPORT'!$Q$42:$Q$1040,SUBSTITUTE(SUBSTITUTE(SUBSTITUTE($M517,"~","~~"),"*","~*"),"?","~?"),'DEF_SELF_SCOUT_IMPORT'!$G$42:$G$1040,SUBSTITUTE(SUBSTITUTE(SUBSTITUTE($O517,"~","~~"),"*","~*"),"?","~?"))/$C517)</f>
        <v>0.0</v>
      </c>
      <c r="F517" s="11">
        <f>IF($C517=0,"",AVERAGEIFS('DEF_SELF_SCOUT_IMPORT'!$I$42:$I$1040,'DEF_SELF_SCOUT_IMPORT'!$L$42:$L$1040,"Y",'DEF_SELF_SCOUT_IMPORT'!$E$42:$E$1040,SUBSTITUTE(SUBSTITUTE(SUBSTITUTE($B517,"~","~~"),"*","~*"),"?","~?"),'DEF_SELF_SCOUT_IMPORT'!$Q$42:$Q$1040,SUBSTITUTE(SUBSTITUTE(SUBSTITUTE($M517,"~","~~"),"*","~*"),"?","~?"),'DEF_SELF_SCOUT_IMPORT'!$G$42:$G$1040,SUBSTITUTE(SUBSTITUTE(SUBSTITUTE($O517,"~","~~"),"*","~*"),"?","~?")))</f>
        <v>0.0</v>
      </c>
      <c r="G517" s="10">
        <f>IF($C517=0,"",COUNTIFS('DEF_SELF_SCOUT_IMPORT'!$L$42:$L$1040,"Y",'DEF_SELF_SCOUT_IMPORT'!$E$42:$E$1040,SUBSTITUTE(SUBSTITUTE(SUBSTITUTE($B517,"~","~~"),"*","~*"),"?","~?"),'DEF_SELF_SCOUT_IMPORT'!$Q$42:$Q$1040,SUBSTITUTE(SUBSTITUTE(SUBSTITUTE($M517,"~","~~"),"*","~*"),"?","~?"),'DEF_SELF_SCOUT_IMPORT'!$G$42:$G$1040,SUBSTITUTE(SUBSTITUTE(SUBSTITUTE($O517,"~","~~"),"*","~*"),"?","~?"),'DEF_SELF_SCOUT_IMPORT'!$H$42:$H$1040,"RUSH")/$C517)</f>
        <v>0.0</v>
      </c>
      <c r="H517" s="10">
        <f>IF($C517=0,"",COUNTIFS('DEF_SELF_SCOUT_IMPORT'!$L$42:$L$1040,"Y",'DEF_SELF_SCOUT_IMPORT'!$E$42:$E$1040,SUBSTITUTE(SUBSTITUTE(SUBSTITUTE($B517,"~","~~"),"*","~*"),"?","~?"),'DEF_SELF_SCOUT_IMPORT'!$Q$42:$Q$1040,SUBSTITUTE(SUBSTITUTE(SUBSTITUTE($M517,"~","~~"),"*","~*"),"?","~?"),'DEF_SELF_SCOUT_IMPORT'!$G$42:$G$1040,SUBSTITUTE(SUBSTITUTE(SUBSTITUTE($O517,"~","~~"),"*","~*"),"?","~?"),'DEF_SELF_SCOUT_IMPORT'!$H$42:$H$1040,"DROPBACK")/$C517)</f>
        <v>1.0</v>
      </c>
      <c r="I517" s="14" t="str">
        <f>IF(C517=0,"",IF(C517&lt;=2,"TRACK",IF(C517=3,"LOW",IF(C517&lt;=6,"MEDIUM","HIGH"))))</f>
        <v>TRACK</v>
      </c>
      <c r="J517" s="11">
        <f>IF(C517=0,"",ROUND(D517*70+(1-E517)*20+MAX(0,MIN(1,(10-F517)/10))*10,1))</f>
        <v>100.0</v>
      </c>
      <c r="K517" s="14" t="str">
        <f>IF(C517=0,"No Evidence",IF(C517&lt;=2,IF(E517&gt;0,"Explosive Alert","Track Only"),IF(C517=3,"Sample Watch",IF(E517&gt;=START_HERE!$B$31,"Explosive Alert",IF(J517&gt;=80,"Strong Candidate",IF(J517&gt;=65,"Good Candidate",IF(J517&gt;=50,"Mixed / Review","Problem Call")))))))</f>
        <v>Track Only</v>
      </c>
      <c r="L517" s="9" t="str">
        <f>IF(COUNTIFS('DEF_SELF_SCOUT_IMPORT'!$L$42:$L$1040,"Y",'DEF_SELF_SCOUT_IMPORT'!$E$42:$E$1040,SUBSTITUTE(SUBSTITUTE(SUBSTITUTE($B517,"~","~~"),"*","~*"),"?","~?"),'DEF_SELF_SCOUT_IMPORT'!$Q$42:$Q$1040,SUBSTITUTE(SUBSTITUTE(SUBSTITUTE($M517,"~","~~"),"*","~*"),"?","~?"),'DEF_SELF_SCOUT_IMPORT'!$G$42:$G$1040,SUBSTITUTE(SUBSTITUTE(SUBSTITUTE($O517,"~","~~"),"*","~*"),"?","~?"),'DEF_SELF_SCOUT_IMPORT'!$J$42:$J$1040,"")&gt;0,"Unscored clean outcome; review result tags before using score.",IF(C517=0,"No matching defensive reps; film confirmation needed.",IF(K517="Explosive Alert","Explosive risk; review clips before using as answer.",IF(C517&lt;=2,"Track only; not enough sample.",IF(C517=3,IF(E517&gt;0,"Sample watch with explosive exposure; review clips and build the sample.",IF(J517&gt;=65,"Good signal, but sample is limited.","Sample watch; review clips and build the sample.")),IF(K517="Problem Call","Problem area; practice or call-sheet review.",IF(K517="Strong Candidate","Strong call-fit candidate; confirm on film.",IF(K517="Good Candidate","Good call-fit signal; confirm on film.","Mixed signal; review fit and execution on film."))))))))</f>
        <v>Track only; not enough sample.</v>
      </c>
      <c r="M517" s="8" t="s">
        <v>103</v>
      </c>
      <c r="N517" s="8"/>
      <c r="O517" s="8" t="s">
        <v>203</v>
      </c>
      <c r="P517" s="8"/>
      <c r="Q517" s="8"/>
      <c r="R517" s="8" t="s">
        <v>28</v>
      </c>
      <c r="S517" s="2" t="s">
        <v>260</v>
      </c>
      <c r="T517" s="2">
        <f>IF(C517=0,0,IF(C517&gt;=CALL_LOOKUP_BOARD!$B$7,IF(OR(K517="Problem Call",K517="Explosive Alert"),10000000,20000000),0)+IF(C517&gt;=CALL_LOOKUP_BOARD!$B$7,J517*1000+MIN(C517,999),C517*1000+J517)+0.00985700)</f>
        <v>1100.009857</v>
      </c>
      <c r="U517" s="2">
        <f>IF(C517=0,"",IF(COUNTIFS($S$375:$S$581,SUBSTITUTE(SUBSTITUTE(SUBSTITUTE(S517,"~","~~"),"*","~*"),"?","~?"),$T$375:$T$581,"&gt;"&amp;T517)=0,S517,""))</f>
        <v/>
      </c>
    </row>
    <row r="518" spans="1:21" ht="38" customHeight="1">
      <c r="A518" s="8" t="s">
        <v>259</v>
      </c>
      <c r="B518" s="8" t="s">
        <v>42</v>
      </c>
      <c r="C518" s="12">
        <f>COUNTIFS('DEF_SELF_SCOUT_IMPORT'!$L$42:$L$1040,"Y",'DEF_SELF_SCOUT_IMPORT'!$E$42:$E$1040,SUBSTITUTE(SUBSTITUTE(SUBSTITUTE($B518,"~","~~"),"*","~*"),"?","~?"),'DEF_SELF_SCOUT_IMPORT'!$Q$42:$Q$1040,SUBSTITUTE(SUBSTITUTE(SUBSTITUTE($M518,"~","~~"),"*","~*"),"?","~?"),'DEF_SELF_SCOUT_IMPORT'!$G$42:$G$1040,SUBSTITUTE(SUBSTITUTE(SUBSTITUTE($O518,"~","~~"),"*","~*"),"?","~?"))</f>
        <v>1</v>
      </c>
      <c r="D518" s="10">
        <f>IF($C518=0,"",SUMIFS('DEF_SELF_SCOUT_IMPORT'!$J$42:$J$1040,'DEF_SELF_SCOUT_IMPORT'!$L$42:$L$1040,"Y",'DEF_SELF_SCOUT_IMPORT'!$E$42:$E$1040,SUBSTITUTE(SUBSTITUTE(SUBSTITUTE($B518,"~","~~"),"*","~*"),"?","~?"),'DEF_SELF_SCOUT_IMPORT'!$Q$42:$Q$1040,SUBSTITUTE(SUBSTITUTE(SUBSTITUTE($M518,"~","~~"),"*","~*"),"?","~?"),'DEF_SELF_SCOUT_IMPORT'!$G$42:$G$1040,SUBSTITUTE(SUBSTITUTE(SUBSTITUTE($O518,"~","~~"),"*","~*"),"?","~?"))/$C518)</f>
        <v>1.0</v>
      </c>
      <c r="E518" s="10">
        <f>IF($C518=0,"",SUMIFS('DEF_SELF_SCOUT_IMPORT'!$K$42:$K$1040,'DEF_SELF_SCOUT_IMPORT'!$L$42:$L$1040,"Y",'DEF_SELF_SCOUT_IMPORT'!$E$42:$E$1040,SUBSTITUTE(SUBSTITUTE(SUBSTITUTE($B518,"~","~~"),"*","~*"),"?","~?"),'DEF_SELF_SCOUT_IMPORT'!$Q$42:$Q$1040,SUBSTITUTE(SUBSTITUTE(SUBSTITUTE($M518,"~","~~"),"*","~*"),"?","~?"),'DEF_SELF_SCOUT_IMPORT'!$G$42:$G$1040,SUBSTITUTE(SUBSTITUTE(SUBSTITUTE($O518,"~","~~"),"*","~*"),"?","~?"))/$C518)</f>
        <v>0.0</v>
      </c>
      <c r="F518" s="11">
        <f>IF($C518=0,"",AVERAGEIFS('DEF_SELF_SCOUT_IMPORT'!$I$42:$I$1040,'DEF_SELF_SCOUT_IMPORT'!$L$42:$L$1040,"Y",'DEF_SELF_SCOUT_IMPORT'!$E$42:$E$1040,SUBSTITUTE(SUBSTITUTE(SUBSTITUTE($B518,"~","~~"),"*","~*"),"?","~?"),'DEF_SELF_SCOUT_IMPORT'!$Q$42:$Q$1040,SUBSTITUTE(SUBSTITUTE(SUBSTITUTE($M518,"~","~~"),"*","~*"),"?","~?"),'DEF_SELF_SCOUT_IMPORT'!$G$42:$G$1040,SUBSTITUTE(SUBSTITUTE(SUBSTITUTE($O518,"~","~~"),"*","~*"),"?","~?")))</f>
        <v>-7.0</v>
      </c>
      <c r="G518" s="10">
        <f>IF($C518=0,"",COUNTIFS('DEF_SELF_SCOUT_IMPORT'!$L$42:$L$1040,"Y",'DEF_SELF_SCOUT_IMPORT'!$E$42:$E$1040,SUBSTITUTE(SUBSTITUTE(SUBSTITUTE($B518,"~","~~"),"*","~*"),"?","~?"),'DEF_SELF_SCOUT_IMPORT'!$Q$42:$Q$1040,SUBSTITUTE(SUBSTITUTE(SUBSTITUTE($M518,"~","~~"),"*","~*"),"?","~?"),'DEF_SELF_SCOUT_IMPORT'!$G$42:$G$1040,SUBSTITUTE(SUBSTITUTE(SUBSTITUTE($O518,"~","~~"),"*","~*"),"?","~?"),'DEF_SELF_SCOUT_IMPORT'!$H$42:$H$1040,"RUSH")/$C518)</f>
        <v>0.0</v>
      </c>
      <c r="H518" s="10">
        <f>IF($C518=0,"",COUNTIFS('DEF_SELF_SCOUT_IMPORT'!$L$42:$L$1040,"Y",'DEF_SELF_SCOUT_IMPORT'!$E$42:$E$1040,SUBSTITUTE(SUBSTITUTE(SUBSTITUTE($B518,"~","~~"),"*","~*"),"?","~?"),'DEF_SELF_SCOUT_IMPORT'!$Q$42:$Q$1040,SUBSTITUTE(SUBSTITUTE(SUBSTITUTE($M518,"~","~~"),"*","~*"),"?","~?"),'DEF_SELF_SCOUT_IMPORT'!$G$42:$G$1040,SUBSTITUTE(SUBSTITUTE(SUBSTITUTE($O518,"~","~~"),"*","~*"),"?","~?"),'DEF_SELF_SCOUT_IMPORT'!$H$42:$H$1040,"DROPBACK")/$C518)</f>
        <v>1.0</v>
      </c>
      <c r="I518" s="14" t="str">
        <f>IF(C518=0,"",IF(C518&lt;=2,"TRACK",IF(C518=3,"LOW",IF(C518&lt;=6,"MEDIUM","HIGH"))))</f>
        <v>TRACK</v>
      </c>
      <c r="J518" s="11">
        <f>IF(C518=0,"",ROUND(D518*70+(1-E518)*20+MAX(0,MIN(1,(10-F518)/10))*10,1))</f>
        <v>100.0</v>
      </c>
      <c r="K518" s="14" t="str">
        <f>IF(C518=0,"No Evidence",IF(C518&lt;=2,IF(E518&gt;0,"Explosive Alert","Track Only"),IF(C518=3,"Sample Watch",IF(E518&gt;=START_HERE!$B$31,"Explosive Alert",IF(J518&gt;=80,"Strong Candidate",IF(J518&gt;=65,"Good Candidate",IF(J518&gt;=50,"Mixed / Review","Problem Call")))))))</f>
        <v>Track Only</v>
      </c>
      <c r="L518" s="9" t="str">
        <f>IF(COUNTIFS('DEF_SELF_SCOUT_IMPORT'!$L$42:$L$1040,"Y",'DEF_SELF_SCOUT_IMPORT'!$E$42:$E$1040,SUBSTITUTE(SUBSTITUTE(SUBSTITUTE($B518,"~","~~"),"*","~*"),"?","~?"),'DEF_SELF_SCOUT_IMPORT'!$Q$42:$Q$1040,SUBSTITUTE(SUBSTITUTE(SUBSTITUTE($M518,"~","~~"),"*","~*"),"?","~?"),'DEF_SELF_SCOUT_IMPORT'!$G$42:$G$1040,SUBSTITUTE(SUBSTITUTE(SUBSTITUTE($O518,"~","~~"),"*","~*"),"?","~?"),'DEF_SELF_SCOUT_IMPORT'!$J$42:$J$1040,"")&gt;0,"Unscored clean outcome; review result tags before using score.",IF(C518=0,"No matching defensive reps; film confirmation needed.",IF(K518="Explosive Alert","Explosive risk; review clips before using as answer.",IF(C518&lt;=2,"Track only; not enough sample.",IF(C518=3,IF(E518&gt;0,"Sample watch with explosive exposure; review clips and build the sample.",IF(J518&gt;=65,"Good signal, but sample is limited.","Sample watch; review clips and build the sample.")),IF(K518="Problem Call","Problem area; practice or call-sheet review.",IF(K518="Strong Candidate","Strong call-fit candidate; confirm on film.",IF(K518="Good Candidate","Good call-fit signal; confirm on film.","Mixed signal; review fit and execution on film."))))))))</f>
        <v>Track only; not enough sample.</v>
      </c>
      <c r="M518" s="8" t="s">
        <v>103</v>
      </c>
      <c r="N518" s="8"/>
      <c r="O518" s="8" t="s">
        <v>203</v>
      </c>
      <c r="P518" s="8"/>
      <c r="Q518" s="8"/>
      <c r="R518" s="8" t="s">
        <v>28</v>
      </c>
      <c r="S518" s="2" t="s">
        <v>260</v>
      </c>
      <c r="T518" s="2">
        <f>IF(C518=0,0,IF(C518&gt;=CALL_LOOKUP_BOARD!$B$7,IF(OR(K518="Problem Call",K518="Explosive Alert"),10000000,20000000),0)+IF(C518&gt;=CALL_LOOKUP_BOARD!$B$7,J518*1000+MIN(C518,999),C518*1000+J518)+0.00985600)</f>
        <v>1100.009856</v>
      </c>
      <c r="U518" s="2">
        <f>IF(C518=0,"",IF(COUNTIFS($S$375:$S$581,SUBSTITUTE(SUBSTITUTE(SUBSTITUTE(S518,"~","~~"),"*","~*"),"?","~?"),$T$375:$T$581,"&gt;"&amp;T518)=0,S518,""))</f>
        <v/>
      </c>
    </row>
    <row r="519" spans="1:21" ht="38" customHeight="1">
      <c r="A519" s="8" t="s">
        <v>259</v>
      </c>
      <c r="B519" s="8" t="s">
        <v>48</v>
      </c>
      <c r="C519" s="12">
        <f>COUNTIFS('DEF_SELF_SCOUT_IMPORT'!$L$42:$L$1040,"Y",'DEF_SELF_SCOUT_IMPORT'!$E$42:$E$1040,SUBSTITUTE(SUBSTITUTE(SUBSTITUTE($B519,"~","~~"),"*","~*"),"?","~?"),'DEF_SELF_SCOUT_IMPORT'!$Q$42:$Q$1040,SUBSTITUTE(SUBSTITUTE(SUBSTITUTE($M519,"~","~~"),"*","~*"),"?","~?"),'DEF_SELF_SCOUT_IMPORT'!$G$42:$G$1040,SUBSTITUTE(SUBSTITUTE(SUBSTITUTE($O519,"~","~~"),"*","~*"),"?","~?"))</f>
        <v>1</v>
      </c>
      <c r="D519" s="10">
        <f>IF($C519=0,"",SUMIFS('DEF_SELF_SCOUT_IMPORT'!$J$42:$J$1040,'DEF_SELF_SCOUT_IMPORT'!$L$42:$L$1040,"Y",'DEF_SELF_SCOUT_IMPORT'!$E$42:$E$1040,SUBSTITUTE(SUBSTITUTE(SUBSTITUTE($B519,"~","~~"),"*","~*"),"?","~?"),'DEF_SELF_SCOUT_IMPORT'!$Q$42:$Q$1040,SUBSTITUTE(SUBSTITUTE(SUBSTITUTE($M519,"~","~~"),"*","~*"),"?","~?"),'DEF_SELF_SCOUT_IMPORT'!$G$42:$G$1040,SUBSTITUTE(SUBSTITUTE(SUBSTITUTE($O519,"~","~~"),"*","~*"),"?","~?"))/$C519)</f>
        <v>0.0</v>
      </c>
      <c r="E519" s="10">
        <f>IF($C519=0,"",SUMIFS('DEF_SELF_SCOUT_IMPORT'!$K$42:$K$1040,'DEF_SELF_SCOUT_IMPORT'!$L$42:$L$1040,"Y",'DEF_SELF_SCOUT_IMPORT'!$E$42:$E$1040,SUBSTITUTE(SUBSTITUTE(SUBSTITUTE($B519,"~","~~"),"*","~*"),"?","~?"),'DEF_SELF_SCOUT_IMPORT'!$Q$42:$Q$1040,SUBSTITUTE(SUBSTITUTE(SUBSTITUTE($M519,"~","~~"),"*","~*"),"?","~?"),'DEF_SELF_SCOUT_IMPORT'!$G$42:$G$1040,SUBSTITUTE(SUBSTITUTE(SUBSTITUTE($O519,"~","~~"),"*","~*"),"?","~?"))/$C519)</f>
        <v>0.0</v>
      </c>
      <c r="F519" s="11">
        <f>IF($C519=0,"",AVERAGEIFS('DEF_SELF_SCOUT_IMPORT'!$I$42:$I$1040,'DEF_SELF_SCOUT_IMPORT'!$L$42:$L$1040,"Y",'DEF_SELF_SCOUT_IMPORT'!$E$42:$E$1040,SUBSTITUTE(SUBSTITUTE(SUBSTITUTE($B519,"~","~~"),"*","~*"),"?","~?"),'DEF_SELF_SCOUT_IMPORT'!$Q$42:$Q$1040,SUBSTITUTE(SUBSTITUTE(SUBSTITUTE($M519,"~","~~"),"*","~*"),"?","~?"),'DEF_SELF_SCOUT_IMPORT'!$G$42:$G$1040,SUBSTITUTE(SUBSTITUTE(SUBSTITUTE($O519,"~","~~"),"*","~*"),"?","~?")))</f>
        <v>14.0</v>
      </c>
      <c r="G519" s="10">
        <f>IF($C519=0,"",COUNTIFS('DEF_SELF_SCOUT_IMPORT'!$L$42:$L$1040,"Y",'DEF_SELF_SCOUT_IMPORT'!$E$42:$E$1040,SUBSTITUTE(SUBSTITUTE(SUBSTITUTE($B519,"~","~~"),"*","~*"),"?","~?"),'DEF_SELF_SCOUT_IMPORT'!$Q$42:$Q$1040,SUBSTITUTE(SUBSTITUTE(SUBSTITUTE($M519,"~","~~"),"*","~*"),"?","~?"),'DEF_SELF_SCOUT_IMPORT'!$G$42:$G$1040,SUBSTITUTE(SUBSTITUTE(SUBSTITUTE($O519,"~","~~"),"*","~*"),"?","~?"),'DEF_SELF_SCOUT_IMPORT'!$H$42:$H$1040,"RUSH")/$C519)</f>
        <v>0.0</v>
      </c>
      <c r="H519" s="10">
        <f>IF($C519=0,"",COUNTIFS('DEF_SELF_SCOUT_IMPORT'!$L$42:$L$1040,"Y",'DEF_SELF_SCOUT_IMPORT'!$E$42:$E$1040,SUBSTITUTE(SUBSTITUTE(SUBSTITUTE($B519,"~","~~"),"*","~*"),"?","~?"),'DEF_SELF_SCOUT_IMPORT'!$Q$42:$Q$1040,SUBSTITUTE(SUBSTITUTE(SUBSTITUTE($M519,"~","~~"),"*","~*"),"?","~?"),'DEF_SELF_SCOUT_IMPORT'!$G$42:$G$1040,SUBSTITUTE(SUBSTITUTE(SUBSTITUTE($O519,"~","~~"),"*","~*"),"?","~?"),'DEF_SELF_SCOUT_IMPORT'!$H$42:$H$1040,"DROPBACK")/$C519)</f>
        <v>1.0</v>
      </c>
      <c r="I519" s="14" t="str">
        <f>IF(C519=0,"",IF(C519&lt;=2,"TRACK",IF(C519=3,"LOW",IF(C519&lt;=6,"MEDIUM","HIGH"))))</f>
        <v>TRACK</v>
      </c>
      <c r="J519" s="11">
        <f>IF(C519=0,"",ROUND(D519*70+(1-E519)*20+MAX(0,MIN(1,(10-F519)/10))*10,1))</f>
        <v>20.0</v>
      </c>
      <c r="K519" s="14" t="str">
        <f>IF(C519=0,"No Evidence",IF(C519&lt;=2,IF(E519&gt;0,"Explosive Alert","Track Only"),IF(C519=3,"Sample Watch",IF(E519&gt;=START_HERE!$B$31,"Explosive Alert",IF(J519&gt;=80,"Strong Candidate",IF(J519&gt;=65,"Good Candidate",IF(J519&gt;=50,"Mixed / Review","Problem Call")))))))</f>
        <v>Track Only</v>
      </c>
      <c r="L519" s="9" t="str">
        <f>IF(COUNTIFS('DEF_SELF_SCOUT_IMPORT'!$L$42:$L$1040,"Y",'DEF_SELF_SCOUT_IMPORT'!$E$42:$E$1040,SUBSTITUTE(SUBSTITUTE(SUBSTITUTE($B519,"~","~~"),"*","~*"),"?","~?"),'DEF_SELF_SCOUT_IMPORT'!$Q$42:$Q$1040,SUBSTITUTE(SUBSTITUTE(SUBSTITUTE($M519,"~","~~"),"*","~*"),"?","~?"),'DEF_SELF_SCOUT_IMPORT'!$G$42:$G$1040,SUBSTITUTE(SUBSTITUTE(SUBSTITUTE($O519,"~","~~"),"*","~*"),"?","~?"),'DEF_SELF_SCOUT_IMPORT'!$J$42:$J$1040,"")&gt;0,"Unscored clean outcome; review result tags before using score.",IF(C519=0,"No matching defensive reps; film confirmation needed.",IF(K519="Explosive Alert","Explosive risk; review clips before using as answer.",IF(C519&lt;=2,"Track only; not enough sample.",IF(C519=3,IF(E519&gt;0,"Sample watch with explosive exposure; review clips and build the sample.",IF(J519&gt;=65,"Good signal, but sample is limited.","Sample watch; review clips and build the sample.")),IF(K519="Problem Call","Problem area; practice or call-sheet review.",IF(K519="Strong Candidate","Strong call-fit candidate; confirm on film.",IF(K519="Good Candidate","Good call-fit signal; confirm on film.","Mixed signal; review fit and execution on film."))))))))</f>
        <v>Track only; not enough sample.</v>
      </c>
      <c r="M519" s="8" t="s">
        <v>103</v>
      </c>
      <c r="N519" s="8"/>
      <c r="O519" s="8" t="s">
        <v>203</v>
      </c>
      <c r="P519" s="8"/>
      <c r="Q519" s="8"/>
      <c r="R519" s="8" t="s">
        <v>28</v>
      </c>
      <c r="S519" s="2" t="s">
        <v>260</v>
      </c>
      <c r="T519" s="2">
        <f>IF(C519=0,0,IF(C519&gt;=CALL_LOOKUP_BOARD!$B$7,IF(OR(K519="Problem Call",K519="Explosive Alert"),10000000,20000000),0)+IF(C519&gt;=CALL_LOOKUP_BOARD!$B$7,J519*1000+MIN(C519,999),C519*1000+J519)+0.00985500)</f>
        <v>1020.009855</v>
      </c>
      <c r="U519" s="2">
        <f>IF(C519=0,"",IF(COUNTIFS($S$375:$S$581,SUBSTITUTE(SUBSTITUTE(SUBSTITUTE(S519,"~","~~"),"*","~*"),"?","~?"),$T$375:$T$581,"&gt;"&amp;T519)=0,S519,""))</f>
        <v/>
      </c>
    </row>
    <row r="520" spans="1:21" ht="38" customHeight="1">
      <c r="A520" s="8" t="s">
        <v>259</v>
      </c>
      <c r="B520" s="8" t="s">
        <v>95</v>
      </c>
      <c r="C520" s="12">
        <f>COUNTIFS('DEF_SELF_SCOUT_IMPORT'!$L$42:$L$1040,"Y",'DEF_SELF_SCOUT_IMPORT'!$E$42:$E$1040,SUBSTITUTE(SUBSTITUTE(SUBSTITUTE($B520,"~","~~"),"*","~*"),"?","~?"),'DEF_SELF_SCOUT_IMPORT'!$Q$42:$Q$1040,SUBSTITUTE(SUBSTITUTE(SUBSTITUTE($M520,"~","~~"),"*","~*"),"?","~?"),'DEF_SELF_SCOUT_IMPORT'!$G$42:$G$1040,SUBSTITUTE(SUBSTITUTE(SUBSTITUTE($O520,"~","~~"),"*","~*"),"?","~?"))</f>
        <v>2</v>
      </c>
      <c r="D520" s="10">
        <f>IF($C520=0,"",SUMIFS('DEF_SELF_SCOUT_IMPORT'!$J$42:$J$1040,'DEF_SELF_SCOUT_IMPORT'!$L$42:$L$1040,"Y",'DEF_SELF_SCOUT_IMPORT'!$E$42:$E$1040,SUBSTITUTE(SUBSTITUTE(SUBSTITUTE($B520,"~","~~"),"*","~*"),"?","~?"),'DEF_SELF_SCOUT_IMPORT'!$Q$42:$Q$1040,SUBSTITUTE(SUBSTITUTE(SUBSTITUTE($M520,"~","~~"),"*","~*"),"?","~?"),'DEF_SELF_SCOUT_IMPORT'!$G$42:$G$1040,SUBSTITUTE(SUBSTITUTE(SUBSTITUTE($O520,"~","~~"),"*","~*"),"?","~?"))/$C520)</f>
        <v>0.5</v>
      </c>
      <c r="E520" s="10">
        <f>IF($C520=0,"",SUMIFS('DEF_SELF_SCOUT_IMPORT'!$K$42:$K$1040,'DEF_SELF_SCOUT_IMPORT'!$L$42:$L$1040,"Y",'DEF_SELF_SCOUT_IMPORT'!$E$42:$E$1040,SUBSTITUTE(SUBSTITUTE(SUBSTITUTE($B520,"~","~~"),"*","~*"),"?","~?"),'DEF_SELF_SCOUT_IMPORT'!$Q$42:$Q$1040,SUBSTITUTE(SUBSTITUTE(SUBSTITUTE($M520,"~","~~"),"*","~*"),"?","~?"),'DEF_SELF_SCOUT_IMPORT'!$G$42:$G$1040,SUBSTITUTE(SUBSTITUTE(SUBSTITUTE($O520,"~","~~"),"*","~*"),"?","~?"))/$C520)</f>
        <v>0.0</v>
      </c>
      <c r="F520" s="11">
        <f>IF($C520=0,"",AVERAGEIFS('DEF_SELF_SCOUT_IMPORT'!$I$42:$I$1040,'DEF_SELF_SCOUT_IMPORT'!$L$42:$L$1040,"Y",'DEF_SELF_SCOUT_IMPORT'!$E$42:$E$1040,SUBSTITUTE(SUBSTITUTE(SUBSTITUTE($B520,"~","~~"),"*","~*"),"?","~?"),'DEF_SELF_SCOUT_IMPORT'!$Q$42:$Q$1040,SUBSTITUTE(SUBSTITUTE(SUBSTITUTE($M520,"~","~~"),"*","~*"),"?","~?"),'DEF_SELF_SCOUT_IMPORT'!$G$42:$G$1040,SUBSTITUTE(SUBSTITUTE(SUBSTITUTE($O520,"~","~~"),"*","~*"),"?","~?")))</f>
        <v>4.5</v>
      </c>
      <c r="G520" s="10">
        <f>IF($C520=0,"",COUNTIFS('DEF_SELF_SCOUT_IMPORT'!$L$42:$L$1040,"Y",'DEF_SELF_SCOUT_IMPORT'!$E$42:$E$1040,SUBSTITUTE(SUBSTITUTE(SUBSTITUTE($B520,"~","~~"),"*","~*"),"?","~?"),'DEF_SELF_SCOUT_IMPORT'!$Q$42:$Q$1040,SUBSTITUTE(SUBSTITUTE(SUBSTITUTE($M520,"~","~~"),"*","~*"),"?","~?"),'DEF_SELF_SCOUT_IMPORT'!$G$42:$G$1040,SUBSTITUTE(SUBSTITUTE(SUBSTITUTE($O520,"~","~~"),"*","~*"),"?","~?"),'DEF_SELF_SCOUT_IMPORT'!$H$42:$H$1040,"RUSH")/$C520)</f>
        <v>0.5</v>
      </c>
      <c r="H520" s="10">
        <f>IF($C520=0,"",COUNTIFS('DEF_SELF_SCOUT_IMPORT'!$L$42:$L$1040,"Y",'DEF_SELF_SCOUT_IMPORT'!$E$42:$E$1040,SUBSTITUTE(SUBSTITUTE(SUBSTITUTE($B520,"~","~~"),"*","~*"),"?","~?"),'DEF_SELF_SCOUT_IMPORT'!$Q$42:$Q$1040,SUBSTITUTE(SUBSTITUTE(SUBSTITUTE($M520,"~","~~"),"*","~*"),"?","~?"),'DEF_SELF_SCOUT_IMPORT'!$G$42:$G$1040,SUBSTITUTE(SUBSTITUTE(SUBSTITUTE($O520,"~","~~"),"*","~*"),"?","~?"),'DEF_SELF_SCOUT_IMPORT'!$H$42:$H$1040,"DROPBACK")/$C520)</f>
        <v>0.5</v>
      </c>
      <c r="I520" s="14" t="str">
        <f>IF(C520=0,"",IF(C520&lt;=2,"TRACK",IF(C520=3,"LOW",IF(C520&lt;=6,"MEDIUM","HIGH"))))</f>
        <v>TRACK</v>
      </c>
      <c r="J520" s="11">
        <f>IF(C520=0,"",ROUND(D520*70+(1-E520)*20+MAX(0,MIN(1,(10-F520)/10))*10,1))</f>
        <v>60.5</v>
      </c>
      <c r="K520" s="14" t="str">
        <f>IF(C520=0,"No Evidence",IF(C520&lt;=2,IF(E520&gt;0,"Explosive Alert","Track Only"),IF(C520=3,"Sample Watch",IF(E520&gt;=START_HERE!$B$31,"Explosive Alert",IF(J520&gt;=80,"Strong Candidate",IF(J520&gt;=65,"Good Candidate",IF(J520&gt;=50,"Mixed / Review","Problem Call")))))))</f>
        <v>Track Only</v>
      </c>
      <c r="L520" s="9" t="str">
        <f>IF(COUNTIFS('DEF_SELF_SCOUT_IMPORT'!$L$42:$L$1040,"Y",'DEF_SELF_SCOUT_IMPORT'!$E$42:$E$1040,SUBSTITUTE(SUBSTITUTE(SUBSTITUTE($B520,"~","~~"),"*","~*"),"?","~?"),'DEF_SELF_SCOUT_IMPORT'!$Q$42:$Q$1040,SUBSTITUTE(SUBSTITUTE(SUBSTITUTE($M520,"~","~~"),"*","~*"),"?","~?"),'DEF_SELF_SCOUT_IMPORT'!$G$42:$G$1040,SUBSTITUTE(SUBSTITUTE(SUBSTITUTE($O520,"~","~~"),"*","~*"),"?","~?"),'DEF_SELF_SCOUT_IMPORT'!$J$42:$J$1040,"")&gt;0,"Unscored clean outcome; review result tags before using score.",IF(C520=0,"No matching defensive reps; film confirmation needed.",IF(K520="Explosive Alert","Explosive risk; review clips before using as answer.",IF(C520&lt;=2,"Track only; not enough sample.",IF(C520=3,IF(E520&gt;0,"Sample watch with explosive exposure; review clips and build the sample.",IF(J520&gt;=65,"Good signal, but sample is limited.","Sample watch; review clips and build the sample.")),IF(K520="Problem Call","Problem area; practice or call-sheet review.",IF(K520="Strong Candidate","Strong call-fit candidate; confirm on film.",IF(K520="Good Candidate","Good call-fit signal; confirm on film.","Mixed signal; review fit and execution on film."))))))))</f>
        <v>Track only; not enough sample.</v>
      </c>
      <c r="M520" s="8" t="s">
        <v>103</v>
      </c>
      <c r="N520" s="8"/>
      <c r="O520" s="8" t="s">
        <v>203</v>
      </c>
      <c r="P520" s="8"/>
      <c r="Q520" s="8"/>
      <c r="R520" s="8" t="s">
        <v>28</v>
      </c>
      <c r="S520" s="2" t="s">
        <v>260</v>
      </c>
      <c r="T520" s="2">
        <f>IF(C520=0,0,IF(C520&gt;=CALL_LOOKUP_BOARD!$B$7,IF(OR(K520="Problem Call",K520="Explosive Alert"),10000000,20000000),0)+IF(C520&gt;=CALL_LOOKUP_BOARD!$B$7,J520*1000+MIN(C520,999),C520*1000+J520)+0.00985400)</f>
        <v>2060.509854</v>
      </c>
      <c r="U520" s="2" t="str">
        <f>IF(C520=0,"",IF(COUNTIFS($S$375:$S$581,SUBSTITUTE(SUBSTITUTE(SUBSTITUTE(S520,"~","~~"),"*","~*"),"?","~?"),$T$375:$T$581,"&gt;"&amp;T520)=0,S520,""))</f>
        <v>6:3D 4-6|3:2X2|</v>
      </c>
    </row>
    <row r="521" spans="1:21" ht="38" customHeight="1">
      <c r="A521" s="8" t="s">
        <v>259</v>
      </c>
      <c r="B521" s="8" t="s">
        <v>69</v>
      </c>
      <c r="C521" s="12">
        <f>COUNTIFS('DEF_SELF_SCOUT_IMPORT'!$L$42:$L$1040,"Y",'DEF_SELF_SCOUT_IMPORT'!$E$42:$E$1040,SUBSTITUTE(SUBSTITUTE(SUBSTITUTE($B521,"~","~~"),"*","~*"),"?","~?"),'DEF_SELF_SCOUT_IMPORT'!$Q$42:$Q$1040,SUBSTITUTE(SUBSTITUTE(SUBSTITUTE($M521,"~","~~"),"*","~*"),"?","~?"),'DEF_SELF_SCOUT_IMPORT'!$G$42:$G$1040,SUBSTITUTE(SUBSTITUTE(SUBSTITUTE($O521,"~","~~"),"*","~*"),"?","~?"))</f>
        <v>1</v>
      </c>
      <c r="D521" s="10">
        <f>IF($C521=0,"",SUMIFS('DEF_SELF_SCOUT_IMPORT'!$J$42:$J$1040,'DEF_SELF_SCOUT_IMPORT'!$L$42:$L$1040,"Y",'DEF_SELF_SCOUT_IMPORT'!$E$42:$E$1040,SUBSTITUTE(SUBSTITUTE(SUBSTITUTE($B521,"~","~~"),"*","~*"),"?","~?"),'DEF_SELF_SCOUT_IMPORT'!$Q$42:$Q$1040,SUBSTITUTE(SUBSTITUTE(SUBSTITUTE($M521,"~","~~"),"*","~*"),"?","~?"),'DEF_SELF_SCOUT_IMPORT'!$G$42:$G$1040,SUBSTITUTE(SUBSTITUTE(SUBSTITUTE($O521,"~","~~"),"*","~*"),"?","~?"))/$C521)</f>
        <v>0.0</v>
      </c>
      <c r="E521" s="10">
        <f>IF($C521=0,"",SUMIFS('DEF_SELF_SCOUT_IMPORT'!$K$42:$K$1040,'DEF_SELF_SCOUT_IMPORT'!$L$42:$L$1040,"Y",'DEF_SELF_SCOUT_IMPORT'!$E$42:$E$1040,SUBSTITUTE(SUBSTITUTE(SUBSTITUTE($B521,"~","~~"),"*","~*"),"?","~?"),'DEF_SELF_SCOUT_IMPORT'!$Q$42:$Q$1040,SUBSTITUTE(SUBSTITUTE(SUBSTITUTE($M521,"~","~~"),"*","~*"),"?","~?"),'DEF_SELF_SCOUT_IMPORT'!$G$42:$G$1040,SUBSTITUTE(SUBSTITUTE(SUBSTITUTE($O521,"~","~~"),"*","~*"),"?","~?"))/$C521)</f>
        <v>1.0</v>
      </c>
      <c r="F521" s="11">
        <f>IF($C521=0,"",AVERAGEIFS('DEF_SELF_SCOUT_IMPORT'!$I$42:$I$1040,'DEF_SELF_SCOUT_IMPORT'!$L$42:$L$1040,"Y",'DEF_SELF_SCOUT_IMPORT'!$E$42:$E$1040,SUBSTITUTE(SUBSTITUTE(SUBSTITUTE($B521,"~","~~"),"*","~*"),"?","~?"),'DEF_SELF_SCOUT_IMPORT'!$Q$42:$Q$1040,SUBSTITUTE(SUBSTITUTE(SUBSTITUTE($M521,"~","~~"),"*","~*"),"?","~?"),'DEF_SELF_SCOUT_IMPORT'!$G$42:$G$1040,SUBSTITUTE(SUBSTITUTE(SUBSTITUTE($O521,"~","~~"),"*","~*"),"?","~?")))</f>
        <v>19.0</v>
      </c>
      <c r="G521" s="10">
        <f>IF($C521=0,"",COUNTIFS('DEF_SELF_SCOUT_IMPORT'!$L$42:$L$1040,"Y",'DEF_SELF_SCOUT_IMPORT'!$E$42:$E$1040,SUBSTITUTE(SUBSTITUTE(SUBSTITUTE($B521,"~","~~"),"*","~*"),"?","~?"),'DEF_SELF_SCOUT_IMPORT'!$Q$42:$Q$1040,SUBSTITUTE(SUBSTITUTE(SUBSTITUTE($M521,"~","~~"),"*","~*"),"?","~?"),'DEF_SELF_SCOUT_IMPORT'!$G$42:$G$1040,SUBSTITUTE(SUBSTITUTE(SUBSTITUTE($O521,"~","~~"),"*","~*"),"?","~?"),'DEF_SELF_SCOUT_IMPORT'!$H$42:$H$1040,"RUSH")/$C521)</f>
        <v>1.0</v>
      </c>
      <c r="H521" s="10">
        <f>IF($C521=0,"",COUNTIFS('DEF_SELF_SCOUT_IMPORT'!$L$42:$L$1040,"Y",'DEF_SELF_SCOUT_IMPORT'!$E$42:$E$1040,SUBSTITUTE(SUBSTITUTE(SUBSTITUTE($B521,"~","~~"),"*","~*"),"?","~?"),'DEF_SELF_SCOUT_IMPORT'!$Q$42:$Q$1040,SUBSTITUTE(SUBSTITUTE(SUBSTITUTE($M521,"~","~~"),"*","~*"),"?","~?"),'DEF_SELF_SCOUT_IMPORT'!$G$42:$G$1040,SUBSTITUTE(SUBSTITUTE(SUBSTITUTE($O521,"~","~~"),"*","~*"),"?","~?"),'DEF_SELF_SCOUT_IMPORT'!$H$42:$H$1040,"DROPBACK")/$C521)</f>
        <v>0.0</v>
      </c>
      <c r="I521" s="14" t="str">
        <f>IF(C521=0,"",IF(C521&lt;=2,"TRACK",IF(C521=3,"LOW",IF(C521&lt;=6,"MEDIUM","HIGH"))))</f>
        <v>TRACK</v>
      </c>
      <c r="J521" s="11">
        <f>IF(C521=0,"",ROUND(D521*70+(1-E521)*20+MAX(0,MIN(1,(10-F521)/10))*10,1))</f>
        <v>0.0</v>
      </c>
      <c r="K521" s="14" t="str">
        <f>IF(C521=0,"No Evidence",IF(C521&lt;=2,IF(E521&gt;0,"Explosive Alert","Track Only"),IF(C521=3,"Sample Watch",IF(E521&gt;=START_HERE!$B$31,"Explosive Alert",IF(J521&gt;=80,"Strong Candidate",IF(J521&gt;=65,"Good Candidate",IF(J521&gt;=50,"Mixed / Review","Problem Call")))))))</f>
        <v>Explosive Alert</v>
      </c>
      <c r="L521" s="9" t="str">
        <f>IF(COUNTIFS('DEF_SELF_SCOUT_IMPORT'!$L$42:$L$1040,"Y",'DEF_SELF_SCOUT_IMPORT'!$E$42:$E$1040,SUBSTITUTE(SUBSTITUTE(SUBSTITUTE($B521,"~","~~"),"*","~*"),"?","~?"),'DEF_SELF_SCOUT_IMPORT'!$Q$42:$Q$1040,SUBSTITUTE(SUBSTITUTE(SUBSTITUTE($M521,"~","~~"),"*","~*"),"?","~?"),'DEF_SELF_SCOUT_IMPORT'!$G$42:$G$1040,SUBSTITUTE(SUBSTITUTE(SUBSTITUTE($O521,"~","~~"),"*","~*"),"?","~?"),'DEF_SELF_SCOUT_IMPORT'!$J$42:$J$1040,"")&gt;0,"Unscored clean outcome; review result tags before using score.",IF(C521=0,"No matching defensive reps; film confirmation needed.",IF(K521="Explosive Alert","Explosive risk; review clips before using as answer.",IF(C521&lt;=2,"Track only; not enough sample.",IF(C521=3,IF(E521&gt;0,"Sample watch with explosive exposure; review clips and build the sample.",IF(J521&gt;=65,"Good signal, but sample is limited.","Sample watch; review clips and build the sample.")),IF(K521="Problem Call","Problem area; practice or call-sheet review.",IF(K521="Strong Candidate","Strong call-fit candidate; confirm on film.",IF(K521="Good Candidate","Good call-fit signal; confirm on film.","Mixed signal; review fit and execution on film."))))))))</f>
        <v>Explosive risk; review clips before using as answer.</v>
      </c>
      <c r="M521" s="8" t="s">
        <v>103</v>
      </c>
      <c r="N521" s="8"/>
      <c r="O521" s="8" t="s">
        <v>203</v>
      </c>
      <c r="P521" s="8"/>
      <c r="Q521" s="8"/>
      <c r="R521" s="8" t="s">
        <v>28</v>
      </c>
      <c r="S521" s="2" t="s">
        <v>260</v>
      </c>
      <c r="T521" s="2">
        <f>IF(C521=0,0,IF(C521&gt;=CALL_LOOKUP_BOARD!$B$7,IF(OR(K521="Problem Call",K521="Explosive Alert"),10000000,20000000),0)+IF(C521&gt;=CALL_LOOKUP_BOARD!$B$7,J521*1000+MIN(C521,999),C521*1000+J521)+0.00985300)</f>
        <v>1000.009853</v>
      </c>
      <c r="U521" s="2">
        <f>IF(C521=0,"",IF(COUNTIFS($S$375:$S$581,SUBSTITUTE(SUBSTITUTE(SUBSTITUTE(S521,"~","~~"),"*","~*"),"?","~?"),$T$375:$T$581,"&gt;"&amp;T521)=0,S521,""))</f>
        <v/>
      </c>
    </row>
    <row r="522" spans="1:21" ht="38" customHeight="1">
      <c r="A522" s="8" t="s">
        <v>261</v>
      </c>
      <c r="B522" s="8" t="s">
        <v>37</v>
      </c>
      <c r="C522" s="12">
        <f>COUNTIFS('DEF_SELF_SCOUT_IMPORT'!$L$42:$L$1040,"Y",'DEF_SELF_SCOUT_IMPORT'!$E$42:$E$1040,SUBSTITUTE(SUBSTITUTE(SUBSTITUTE($B522,"~","~~"),"*","~*"),"?","~?"),'DEF_SELF_SCOUT_IMPORT'!$Q$42:$Q$1040,SUBSTITUTE(SUBSTITUTE(SUBSTITUTE($M522,"~","~~"),"*","~*"),"?","~?"),'DEF_SELF_SCOUT_IMPORT'!$G$42:$G$1040,SUBSTITUTE(SUBSTITUTE(SUBSTITUTE($O522,"~","~~"),"*","~*"),"?","~?"))</f>
        <v>1</v>
      </c>
      <c r="D522" s="10">
        <f>IF($C522=0,"",SUMIFS('DEF_SELF_SCOUT_IMPORT'!$J$42:$J$1040,'DEF_SELF_SCOUT_IMPORT'!$L$42:$L$1040,"Y",'DEF_SELF_SCOUT_IMPORT'!$E$42:$E$1040,SUBSTITUTE(SUBSTITUTE(SUBSTITUTE($B522,"~","~~"),"*","~*"),"?","~?"),'DEF_SELF_SCOUT_IMPORT'!$Q$42:$Q$1040,SUBSTITUTE(SUBSTITUTE(SUBSTITUTE($M522,"~","~~"),"*","~*"),"?","~?"),'DEF_SELF_SCOUT_IMPORT'!$G$42:$G$1040,SUBSTITUTE(SUBSTITUTE(SUBSTITUTE($O522,"~","~~"),"*","~*"),"?","~?"))/$C522)</f>
        <v>0.0</v>
      </c>
      <c r="E522" s="10">
        <f>IF($C522=0,"",SUMIFS('DEF_SELF_SCOUT_IMPORT'!$K$42:$K$1040,'DEF_SELF_SCOUT_IMPORT'!$L$42:$L$1040,"Y",'DEF_SELF_SCOUT_IMPORT'!$E$42:$E$1040,SUBSTITUTE(SUBSTITUTE(SUBSTITUTE($B522,"~","~~"),"*","~*"),"?","~?"),'DEF_SELF_SCOUT_IMPORT'!$Q$42:$Q$1040,SUBSTITUTE(SUBSTITUTE(SUBSTITUTE($M522,"~","~~"),"*","~*"),"?","~?"),'DEF_SELF_SCOUT_IMPORT'!$G$42:$G$1040,SUBSTITUTE(SUBSTITUTE(SUBSTITUTE($O522,"~","~~"),"*","~*"),"?","~?"))/$C522)</f>
        <v>0.0</v>
      </c>
      <c r="F522" s="11">
        <f>IF($C522=0,"",AVERAGEIFS('DEF_SELF_SCOUT_IMPORT'!$I$42:$I$1040,'DEF_SELF_SCOUT_IMPORT'!$L$42:$L$1040,"Y",'DEF_SELF_SCOUT_IMPORT'!$E$42:$E$1040,SUBSTITUTE(SUBSTITUTE(SUBSTITUTE($B522,"~","~~"),"*","~*"),"?","~?"),'DEF_SELF_SCOUT_IMPORT'!$Q$42:$Q$1040,SUBSTITUTE(SUBSTITUTE(SUBSTITUTE($M522,"~","~~"),"*","~*"),"?","~?"),'DEF_SELF_SCOUT_IMPORT'!$G$42:$G$1040,SUBSTITUTE(SUBSTITUTE(SUBSTITUTE($O522,"~","~~"),"*","~*"),"?","~?")))</f>
        <v>6.0</v>
      </c>
      <c r="G522" s="10">
        <f>IF($C522=0,"",COUNTIFS('DEF_SELF_SCOUT_IMPORT'!$L$42:$L$1040,"Y",'DEF_SELF_SCOUT_IMPORT'!$E$42:$E$1040,SUBSTITUTE(SUBSTITUTE(SUBSTITUTE($B522,"~","~~"),"*","~*"),"?","~?"),'DEF_SELF_SCOUT_IMPORT'!$Q$42:$Q$1040,SUBSTITUTE(SUBSTITUTE(SUBSTITUTE($M522,"~","~~"),"*","~*"),"?","~?"),'DEF_SELF_SCOUT_IMPORT'!$G$42:$G$1040,SUBSTITUTE(SUBSTITUTE(SUBSTITUTE($O522,"~","~~"),"*","~*"),"?","~?"),'DEF_SELF_SCOUT_IMPORT'!$H$42:$H$1040,"RUSH")/$C522)</f>
        <v>0.0</v>
      </c>
      <c r="H522" s="10">
        <f>IF($C522=0,"",COUNTIFS('DEF_SELF_SCOUT_IMPORT'!$L$42:$L$1040,"Y",'DEF_SELF_SCOUT_IMPORT'!$E$42:$E$1040,SUBSTITUTE(SUBSTITUTE(SUBSTITUTE($B522,"~","~~"),"*","~*"),"?","~?"),'DEF_SELF_SCOUT_IMPORT'!$Q$42:$Q$1040,SUBSTITUTE(SUBSTITUTE(SUBSTITUTE($M522,"~","~~"),"*","~*"),"?","~?"),'DEF_SELF_SCOUT_IMPORT'!$G$42:$G$1040,SUBSTITUTE(SUBSTITUTE(SUBSTITUTE($O522,"~","~~"),"*","~*"),"?","~?"),'DEF_SELF_SCOUT_IMPORT'!$H$42:$H$1040,"DROPBACK")/$C522)</f>
        <v>1.0</v>
      </c>
      <c r="I522" s="14" t="str">
        <f>IF(C522=0,"",IF(C522&lt;=2,"TRACK",IF(C522=3,"LOW",IF(C522&lt;=6,"MEDIUM","HIGH"))))</f>
        <v>TRACK</v>
      </c>
      <c r="J522" s="11">
        <f>IF(C522=0,"",ROUND(D522*70+(1-E522)*20+MAX(0,MIN(1,(10-F522)/10))*10,1))</f>
        <v>24.0</v>
      </c>
      <c r="K522" s="14" t="str">
        <f>IF(C522=0,"No Evidence",IF(C522&lt;=2,IF(E522&gt;0,"Explosive Alert","Track Only"),IF(C522=3,"Sample Watch",IF(E522&gt;=START_HERE!$B$31,"Explosive Alert",IF(J522&gt;=80,"Strong Candidate",IF(J522&gt;=65,"Good Candidate",IF(J522&gt;=50,"Mixed / Review","Problem Call")))))))</f>
        <v>Track Only</v>
      </c>
      <c r="L522" s="9" t="str">
        <f>IF(COUNTIFS('DEF_SELF_SCOUT_IMPORT'!$L$42:$L$1040,"Y",'DEF_SELF_SCOUT_IMPORT'!$E$42:$E$1040,SUBSTITUTE(SUBSTITUTE(SUBSTITUTE($B522,"~","~~"),"*","~*"),"?","~?"),'DEF_SELF_SCOUT_IMPORT'!$Q$42:$Q$1040,SUBSTITUTE(SUBSTITUTE(SUBSTITUTE($M522,"~","~~"),"*","~*"),"?","~?"),'DEF_SELF_SCOUT_IMPORT'!$G$42:$G$1040,SUBSTITUTE(SUBSTITUTE(SUBSTITUTE($O522,"~","~~"),"*","~*"),"?","~?"),'DEF_SELF_SCOUT_IMPORT'!$J$42:$J$1040,"")&gt;0,"Unscored clean outcome; review result tags before using score.",IF(C522=0,"No matching defensive reps; film confirmation needed.",IF(K522="Explosive Alert","Explosive risk; review clips before using as answer.",IF(C522&lt;=2,"Track only; not enough sample.",IF(C522=3,IF(E522&gt;0,"Sample watch with explosive exposure; review clips and build the sample.",IF(J522&gt;=65,"Good signal, but sample is limited.","Sample watch; review clips and build the sample.")),IF(K522="Problem Call","Problem area; practice or call-sheet review.",IF(K522="Strong Candidate","Strong call-fit candidate; confirm on film.",IF(K522="Good Candidate","Good call-fit signal; confirm on film.","Mixed signal; review fit and execution on film."))))))))</f>
        <v>Track only; not enough sample.</v>
      </c>
      <c r="M522" s="8" t="s">
        <v>103</v>
      </c>
      <c r="N522" s="8"/>
      <c r="O522" s="8" t="s">
        <v>206</v>
      </c>
      <c r="P522" s="8"/>
      <c r="Q522" s="8"/>
      <c r="R522" s="8" t="s">
        <v>28</v>
      </c>
      <c r="S522" s="2" t="s">
        <v>262</v>
      </c>
      <c r="T522" s="2">
        <f>IF(C522=0,0,IF(C522&gt;=CALL_LOOKUP_BOARD!$B$7,IF(OR(K522="Problem Call",K522="Explosive Alert"),10000000,20000000),0)+IF(C522&gt;=CALL_LOOKUP_BOARD!$B$7,J522*1000+MIN(C522,999),C522*1000+J522)+0.00985200)</f>
        <v>1024.009852</v>
      </c>
      <c r="U522" s="2">
        <f>IF(C522=0,"",IF(COUNTIFS($S$375:$S$581,SUBSTITUTE(SUBSTITUTE(SUBSTITUTE(S522,"~","~~"),"*","~*"),"?","~?"),$T$375:$T$581,"&gt;"&amp;T522)=0,S522,""))</f>
        <v/>
      </c>
    </row>
    <row r="523" spans="1:21" ht="38" customHeight="1">
      <c r="A523" s="8" t="s">
        <v>261</v>
      </c>
      <c r="B523" s="8" t="s">
        <v>42</v>
      </c>
      <c r="C523" s="12">
        <f>COUNTIFS('DEF_SELF_SCOUT_IMPORT'!$L$42:$L$1040,"Y",'DEF_SELF_SCOUT_IMPORT'!$E$42:$E$1040,SUBSTITUTE(SUBSTITUTE(SUBSTITUTE($B523,"~","~~"),"*","~*"),"?","~?"),'DEF_SELF_SCOUT_IMPORT'!$Q$42:$Q$1040,SUBSTITUTE(SUBSTITUTE(SUBSTITUTE($M523,"~","~~"),"*","~*"),"?","~?"),'DEF_SELF_SCOUT_IMPORT'!$G$42:$G$1040,SUBSTITUTE(SUBSTITUTE(SUBSTITUTE($O523,"~","~~"),"*","~*"),"?","~?"))</f>
        <v>1</v>
      </c>
      <c r="D523" s="10">
        <f>IF($C523=0,"",SUMIFS('DEF_SELF_SCOUT_IMPORT'!$J$42:$J$1040,'DEF_SELF_SCOUT_IMPORT'!$L$42:$L$1040,"Y",'DEF_SELF_SCOUT_IMPORT'!$E$42:$E$1040,SUBSTITUTE(SUBSTITUTE(SUBSTITUTE($B523,"~","~~"),"*","~*"),"?","~?"),'DEF_SELF_SCOUT_IMPORT'!$Q$42:$Q$1040,SUBSTITUTE(SUBSTITUTE(SUBSTITUTE($M523,"~","~~"),"*","~*"),"?","~?"),'DEF_SELF_SCOUT_IMPORT'!$G$42:$G$1040,SUBSTITUTE(SUBSTITUTE(SUBSTITUTE($O523,"~","~~"),"*","~*"),"?","~?"))/$C523)</f>
        <v>1.0</v>
      </c>
      <c r="E523" s="10">
        <f>IF($C523=0,"",SUMIFS('DEF_SELF_SCOUT_IMPORT'!$K$42:$K$1040,'DEF_SELF_SCOUT_IMPORT'!$L$42:$L$1040,"Y",'DEF_SELF_SCOUT_IMPORT'!$E$42:$E$1040,SUBSTITUTE(SUBSTITUTE(SUBSTITUTE($B523,"~","~~"),"*","~*"),"?","~?"),'DEF_SELF_SCOUT_IMPORT'!$Q$42:$Q$1040,SUBSTITUTE(SUBSTITUTE(SUBSTITUTE($M523,"~","~~"),"*","~*"),"?","~?"),'DEF_SELF_SCOUT_IMPORT'!$G$42:$G$1040,SUBSTITUTE(SUBSTITUTE(SUBSTITUTE($O523,"~","~~"),"*","~*"),"?","~?"))/$C523)</f>
        <v>0.0</v>
      </c>
      <c r="F523" s="11">
        <f>IF($C523=0,"",AVERAGEIFS('DEF_SELF_SCOUT_IMPORT'!$I$42:$I$1040,'DEF_SELF_SCOUT_IMPORT'!$L$42:$L$1040,"Y",'DEF_SELF_SCOUT_IMPORT'!$E$42:$E$1040,SUBSTITUTE(SUBSTITUTE(SUBSTITUTE($B523,"~","~~"),"*","~*"),"?","~?"),'DEF_SELF_SCOUT_IMPORT'!$Q$42:$Q$1040,SUBSTITUTE(SUBSTITUTE(SUBSTITUTE($M523,"~","~~"),"*","~*"),"?","~?"),'DEF_SELF_SCOUT_IMPORT'!$G$42:$G$1040,SUBSTITUTE(SUBSTITUTE(SUBSTITUTE($O523,"~","~~"),"*","~*"),"?","~?")))</f>
        <v>3.0</v>
      </c>
      <c r="G523" s="10">
        <f>IF($C523=0,"",COUNTIFS('DEF_SELF_SCOUT_IMPORT'!$L$42:$L$1040,"Y",'DEF_SELF_SCOUT_IMPORT'!$E$42:$E$1040,SUBSTITUTE(SUBSTITUTE(SUBSTITUTE($B523,"~","~~"),"*","~*"),"?","~?"),'DEF_SELF_SCOUT_IMPORT'!$Q$42:$Q$1040,SUBSTITUTE(SUBSTITUTE(SUBSTITUTE($M523,"~","~~"),"*","~*"),"?","~?"),'DEF_SELF_SCOUT_IMPORT'!$G$42:$G$1040,SUBSTITUTE(SUBSTITUTE(SUBSTITUTE($O523,"~","~~"),"*","~*"),"?","~?"),'DEF_SELF_SCOUT_IMPORT'!$H$42:$H$1040,"RUSH")/$C523)</f>
        <v>0.0</v>
      </c>
      <c r="H523" s="10">
        <f>IF($C523=0,"",COUNTIFS('DEF_SELF_SCOUT_IMPORT'!$L$42:$L$1040,"Y",'DEF_SELF_SCOUT_IMPORT'!$E$42:$E$1040,SUBSTITUTE(SUBSTITUTE(SUBSTITUTE($B523,"~","~~"),"*","~*"),"?","~?"),'DEF_SELF_SCOUT_IMPORT'!$Q$42:$Q$1040,SUBSTITUTE(SUBSTITUTE(SUBSTITUTE($M523,"~","~~"),"*","~*"),"?","~?"),'DEF_SELF_SCOUT_IMPORT'!$G$42:$G$1040,SUBSTITUTE(SUBSTITUTE(SUBSTITUTE($O523,"~","~~"),"*","~*"),"?","~?"),'DEF_SELF_SCOUT_IMPORT'!$H$42:$H$1040,"DROPBACK")/$C523)</f>
        <v>1.0</v>
      </c>
      <c r="I523" s="14" t="str">
        <f>IF(C523=0,"",IF(C523&lt;=2,"TRACK",IF(C523=3,"LOW",IF(C523&lt;=6,"MEDIUM","HIGH"))))</f>
        <v>TRACK</v>
      </c>
      <c r="J523" s="11">
        <f>IF(C523=0,"",ROUND(D523*70+(1-E523)*20+MAX(0,MIN(1,(10-F523)/10))*10,1))</f>
        <v>97.0</v>
      </c>
      <c r="K523" s="14" t="str">
        <f>IF(C523=0,"No Evidence",IF(C523&lt;=2,IF(E523&gt;0,"Explosive Alert","Track Only"),IF(C523=3,"Sample Watch",IF(E523&gt;=START_HERE!$B$31,"Explosive Alert",IF(J523&gt;=80,"Strong Candidate",IF(J523&gt;=65,"Good Candidate",IF(J523&gt;=50,"Mixed / Review","Problem Call")))))))</f>
        <v>Track Only</v>
      </c>
      <c r="L523" s="9" t="str">
        <f>IF(COUNTIFS('DEF_SELF_SCOUT_IMPORT'!$L$42:$L$1040,"Y",'DEF_SELF_SCOUT_IMPORT'!$E$42:$E$1040,SUBSTITUTE(SUBSTITUTE(SUBSTITUTE($B523,"~","~~"),"*","~*"),"?","~?"),'DEF_SELF_SCOUT_IMPORT'!$Q$42:$Q$1040,SUBSTITUTE(SUBSTITUTE(SUBSTITUTE($M523,"~","~~"),"*","~*"),"?","~?"),'DEF_SELF_SCOUT_IMPORT'!$G$42:$G$1040,SUBSTITUTE(SUBSTITUTE(SUBSTITUTE($O523,"~","~~"),"*","~*"),"?","~?"),'DEF_SELF_SCOUT_IMPORT'!$J$42:$J$1040,"")&gt;0,"Unscored clean outcome; review result tags before using score.",IF(C523=0,"No matching defensive reps; film confirmation needed.",IF(K523="Explosive Alert","Explosive risk; review clips before using as answer.",IF(C523&lt;=2,"Track only; not enough sample.",IF(C523=3,IF(E523&gt;0,"Sample watch with explosive exposure; review clips and build the sample.",IF(J523&gt;=65,"Good signal, but sample is limited.","Sample watch; review clips and build the sample.")),IF(K523="Problem Call","Problem area; practice or call-sheet review.",IF(K523="Strong Candidate","Strong call-fit candidate; confirm on film.",IF(K523="Good Candidate","Good call-fit signal; confirm on film.","Mixed signal; review fit and execution on film."))))))))</f>
        <v>Track only; not enough sample.</v>
      </c>
      <c r="M523" s="8" t="s">
        <v>103</v>
      </c>
      <c r="N523" s="8"/>
      <c r="O523" s="8" t="s">
        <v>206</v>
      </c>
      <c r="P523" s="8"/>
      <c r="Q523" s="8"/>
      <c r="R523" s="8" t="s">
        <v>28</v>
      </c>
      <c r="S523" s="2" t="s">
        <v>262</v>
      </c>
      <c r="T523" s="2">
        <f>IF(C523=0,0,IF(C523&gt;=CALL_LOOKUP_BOARD!$B$7,IF(OR(K523="Problem Call",K523="Explosive Alert"),10000000,20000000),0)+IF(C523&gt;=CALL_LOOKUP_BOARD!$B$7,J523*1000+MIN(C523,999),C523*1000+J523)+0.00985100)</f>
        <v>1097.009851</v>
      </c>
      <c r="U523" s="2">
        <f>IF(C523=0,"",IF(COUNTIFS($S$375:$S$581,SUBSTITUTE(SUBSTITUTE(SUBSTITUTE(S523,"~","~~"),"*","~*"),"?","~?"),$T$375:$T$581,"&gt;"&amp;T523)=0,S523,""))</f>
        <v/>
      </c>
    </row>
    <row r="524" spans="1:21" ht="38" customHeight="1">
      <c r="A524" s="8" t="s">
        <v>261</v>
      </c>
      <c r="B524" s="8" t="s">
        <v>77</v>
      </c>
      <c r="C524" s="12">
        <f>COUNTIFS('DEF_SELF_SCOUT_IMPORT'!$L$42:$L$1040,"Y",'DEF_SELF_SCOUT_IMPORT'!$E$42:$E$1040,SUBSTITUTE(SUBSTITUTE(SUBSTITUTE($B524,"~","~~"),"*","~*"),"?","~?"),'DEF_SELF_SCOUT_IMPORT'!$Q$42:$Q$1040,SUBSTITUTE(SUBSTITUTE(SUBSTITUTE($M524,"~","~~"),"*","~*"),"?","~?"),'DEF_SELF_SCOUT_IMPORT'!$G$42:$G$1040,SUBSTITUTE(SUBSTITUTE(SUBSTITUTE($O524,"~","~~"),"*","~*"),"?","~?"))</f>
        <v>2</v>
      </c>
      <c r="D524" s="10">
        <f>IF($C524=0,"",SUMIFS('DEF_SELF_SCOUT_IMPORT'!$J$42:$J$1040,'DEF_SELF_SCOUT_IMPORT'!$L$42:$L$1040,"Y",'DEF_SELF_SCOUT_IMPORT'!$E$42:$E$1040,SUBSTITUTE(SUBSTITUTE(SUBSTITUTE($B524,"~","~~"),"*","~*"),"?","~?"),'DEF_SELF_SCOUT_IMPORT'!$Q$42:$Q$1040,SUBSTITUTE(SUBSTITUTE(SUBSTITUTE($M524,"~","~~"),"*","~*"),"?","~?"),'DEF_SELF_SCOUT_IMPORT'!$G$42:$G$1040,SUBSTITUTE(SUBSTITUTE(SUBSTITUTE($O524,"~","~~"),"*","~*"),"?","~?"))/$C524)</f>
        <v>1.0</v>
      </c>
      <c r="E524" s="10">
        <f>IF($C524=0,"",SUMIFS('DEF_SELF_SCOUT_IMPORT'!$K$42:$K$1040,'DEF_SELF_SCOUT_IMPORT'!$L$42:$L$1040,"Y",'DEF_SELF_SCOUT_IMPORT'!$E$42:$E$1040,SUBSTITUTE(SUBSTITUTE(SUBSTITUTE($B524,"~","~~"),"*","~*"),"?","~?"),'DEF_SELF_SCOUT_IMPORT'!$Q$42:$Q$1040,SUBSTITUTE(SUBSTITUTE(SUBSTITUTE($M524,"~","~~"),"*","~*"),"?","~?"),'DEF_SELF_SCOUT_IMPORT'!$G$42:$G$1040,SUBSTITUTE(SUBSTITUTE(SUBSTITUTE($O524,"~","~~"),"*","~*"),"?","~?"))/$C524)</f>
        <v>0.0</v>
      </c>
      <c r="F524" s="11">
        <f>IF($C524=0,"",AVERAGEIFS('DEF_SELF_SCOUT_IMPORT'!$I$42:$I$1040,'DEF_SELF_SCOUT_IMPORT'!$L$42:$L$1040,"Y",'DEF_SELF_SCOUT_IMPORT'!$E$42:$E$1040,SUBSTITUTE(SUBSTITUTE(SUBSTITUTE($B524,"~","~~"),"*","~*"),"?","~?"),'DEF_SELF_SCOUT_IMPORT'!$Q$42:$Q$1040,SUBSTITUTE(SUBSTITUTE(SUBSTITUTE($M524,"~","~~"),"*","~*"),"?","~?"),'DEF_SELF_SCOUT_IMPORT'!$G$42:$G$1040,SUBSTITUTE(SUBSTITUTE(SUBSTITUTE($O524,"~","~~"),"*","~*"),"?","~?")))</f>
        <v>2.0</v>
      </c>
      <c r="G524" s="10">
        <f>IF($C524=0,"",COUNTIFS('DEF_SELF_SCOUT_IMPORT'!$L$42:$L$1040,"Y",'DEF_SELF_SCOUT_IMPORT'!$E$42:$E$1040,SUBSTITUTE(SUBSTITUTE(SUBSTITUTE($B524,"~","~~"),"*","~*"),"?","~?"),'DEF_SELF_SCOUT_IMPORT'!$Q$42:$Q$1040,SUBSTITUTE(SUBSTITUTE(SUBSTITUTE($M524,"~","~~"),"*","~*"),"?","~?"),'DEF_SELF_SCOUT_IMPORT'!$G$42:$G$1040,SUBSTITUTE(SUBSTITUTE(SUBSTITUTE($O524,"~","~~"),"*","~*"),"?","~?"),'DEF_SELF_SCOUT_IMPORT'!$H$42:$H$1040,"RUSH")/$C524)</f>
        <v>0.5</v>
      </c>
      <c r="H524" s="10">
        <f>IF($C524=0,"",COUNTIFS('DEF_SELF_SCOUT_IMPORT'!$L$42:$L$1040,"Y",'DEF_SELF_SCOUT_IMPORT'!$E$42:$E$1040,SUBSTITUTE(SUBSTITUTE(SUBSTITUTE($B524,"~","~~"),"*","~*"),"?","~?"),'DEF_SELF_SCOUT_IMPORT'!$Q$42:$Q$1040,SUBSTITUTE(SUBSTITUTE(SUBSTITUTE($M524,"~","~~"),"*","~*"),"?","~?"),'DEF_SELF_SCOUT_IMPORT'!$G$42:$G$1040,SUBSTITUTE(SUBSTITUTE(SUBSTITUTE($O524,"~","~~"),"*","~*"),"?","~?"),'DEF_SELF_SCOUT_IMPORT'!$H$42:$H$1040,"DROPBACK")/$C524)</f>
        <v>0.5</v>
      </c>
      <c r="I524" s="14" t="str">
        <f>IF(C524=0,"",IF(C524&lt;=2,"TRACK",IF(C524=3,"LOW",IF(C524&lt;=6,"MEDIUM","HIGH"))))</f>
        <v>TRACK</v>
      </c>
      <c r="J524" s="11">
        <f>IF(C524=0,"",ROUND(D524*70+(1-E524)*20+MAX(0,MIN(1,(10-F524)/10))*10,1))</f>
        <v>98.0</v>
      </c>
      <c r="K524" s="14" t="str">
        <f>IF(C524=0,"No Evidence",IF(C524&lt;=2,IF(E524&gt;0,"Explosive Alert","Track Only"),IF(C524=3,"Sample Watch",IF(E524&gt;=START_HERE!$B$31,"Explosive Alert",IF(J524&gt;=80,"Strong Candidate",IF(J524&gt;=65,"Good Candidate",IF(J524&gt;=50,"Mixed / Review","Problem Call")))))))</f>
        <v>Track Only</v>
      </c>
      <c r="L524" s="9" t="str">
        <f>IF(COUNTIFS('DEF_SELF_SCOUT_IMPORT'!$L$42:$L$1040,"Y",'DEF_SELF_SCOUT_IMPORT'!$E$42:$E$1040,SUBSTITUTE(SUBSTITUTE(SUBSTITUTE($B524,"~","~~"),"*","~*"),"?","~?"),'DEF_SELF_SCOUT_IMPORT'!$Q$42:$Q$1040,SUBSTITUTE(SUBSTITUTE(SUBSTITUTE($M524,"~","~~"),"*","~*"),"?","~?"),'DEF_SELF_SCOUT_IMPORT'!$G$42:$G$1040,SUBSTITUTE(SUBSTITUTE(SUBSTITUTE($O524,"~","~~"),"*","~*"),"?","~?"),'DEF_SELF_SCOUT_IMPORT'!$J$42:$J$1040,"")&gt;0,"Unscored clean outcome; review result tags before using score.",IF(C524=0,"No matching defensive reps; film confirmation needed.",IF(K524="Explosive Alert","Explosive risk; review clips before using as answer.",IF(C524&lt;=2,"Track only; not enough sample.",IF(C524=3,IF(E524&gt;0,"Sample watch with explosive exposure; review clips and build the sample.",IF(J524&gt;=65,"Good signal, but sample is limited.","Sample watch; review clips and build the sample.")),IF(K524="Problem Call","Problem area; practice or call-sheet review.",IF(K524="Strong Candidate","Strong call-fit candidate; confirm on film.",IF(K524="Good Candidate","Good call-fit signal; confirm on film.","Mixed signal; review fit and execution on film."))))))))</f>
        <v>Track only; not enough sample.</v>
      </c>
      <c r="M524" s="8" t="s">
        <v>103</v>
      </c>
      <c r="N524" s="8"/>
      <c r="O524" s="8" t="s">
        <v>206</v>
      </c>
      <c r="P524" s="8"/>
      <c r="Q524" s="8"/>
      <c r="R524" s="8" t="s">
        <v>28</v>
      </c>
      <c r="S524" s="2" t="s">
        <v>262</v>
      </c>
      <c r="T524" s="2">
        <f>IF(C524=0,0,IF(C524&gt;=CALL_LOOKUP_BOARD!$B$7,IF(OR(K524="Problem Call",K524="Explosive Alert"),10000000,20000000),0)+IF(C524&gt;=CALL_LOOKUP_BOARD!$B$7,J524*1000+MIN(C524,999),C524*1000+J524)+0.00985000)</f>
        <v>2098.00985</v>
      </c>
      <c r="U524" s="2" t="str">
        <f>IF(C524=0,"",IF(COUNTIFS($S$375:$S$581,SUBSTITUTE(SUBSTITUTE(SUBSTITUTE(S524,"~","~~"),"*","~*"),"?","~?"),$T$375:$T$581,"&gt;"&amp;T524)=0,S524,""))</f>
        <v>6:3D 4-6|3:3X1|</v>
      </c>
    </row>
    <row r="525" spans="1:21" ht="38" customHeight="1">
      <c r="A525" s="8" t="s">
        <v>261</v>
      </c>
      <c r="B525" s="8" t="s">
        <v>48</v>
      </c>
      <c r="C525" s="12">
        <f>COUNTIFS('DEF_SELF_SCOUT_IMPORT'!$L$42:$L$1040,"Y",'DEF_SELF_SCOUT_IMPORT'!$E$42:$E$1040,SUBSTITUTE(SUBSTITUTE(SUBSTITUTE($B525,"~","~~"),"*","~*"),"?","~?"),'DEF_SELF_SCOUT_IMPORT'!$Q$42:$Q$1040,SUBSTITUTE(SUBSTITUTE(SUBSTITUTE($M525,"~","~~"),"*","~*"),"?","~?"),'DEF_SELF_SCOUT_IMPORT'!$G$42:$G$1040,SUBSTITUTE(SUBSTITUTE(SUBSTITUTE($O525,"~","~~"),"*","~*"),"?","~?"))</f>
        <v>1</v>
      </c>
      <c r="D525" s="10">
        <f>IF($C525=0,"",SUMIFS('DEF_SELF_SCOUT_IMPORT'!$J$42:$J$1040,'DEF_SELF_SCOUT_IMPORT'!$L$42:$L$1040,"Y",'DEF_SELF_SCOUT_IMPORT'!$E$42:$E$1040,SUBSTITUTE(SUBSTITUTE(SUBSTITUTE($B525,"~","~~"),"*","~*"),"?","~?"),'DEF_SELF_SCOUT_IMPORT'!$Q$42:$Q$1040,SUBSTITUTE(SUBSTITUTE(SUBSTITUTE($M525,"~","~~"),"*","~*"),"?","~?"),'DEF_SELF_SCOUT_IMPORT'!$G$42:$G$1040,SUBSTITUTE(SUBSTITUTE(SUBSTITUTE($O525,"~","~~"),"*","~*"),"?","~?"))/$C525)</f>
        <v>0.0</v>
      </c>
      <c r="E525" s="10">
        <f>IF($C525=0,"",SUMIFS('DEF_SELF_SCOUT_IMPORT'!$K$42:$K$1040,'DEF_SELF_SCOUT_IMPORT'!$L$42:$L$1040,"Y",'DEF_SELF_SCOUT_IMPORT'!$E$42:$E$1040,SUBSTITUTE(SUBSTITUTE(SUBSTITUTE($B525,"~","~~"),"*","~*"),"?","~?"),'DEF_SELF_SCOUT_IMPORT'!$Q$42:$Q$1040,SUBSTITUTE(SUBSTITUTE(SUBSTITUTE($M525,"~","~~"),"*","~*"),"?","~?"),'DEF_SELF_SCOUT_IMPORT'!$G$42:$G$1040,SUBSTITUTE(SUBSTITUTE(SUBSTITUTE($O525,"~","~~"),"*","~*"),"?","~?"))/$C525)</f>
        <v>0.0</v>
      </c>
      <c r="F525" s="11">
        <f>IF($C525=0,"",AVERAGEIFS('DEF_SELF_SCOUT_IMPORT'!$I$42:$I$1040,'DEF_SELF_SCOUT_IMPORT'!$L$42:$L$1040,"Y",'DEF_SELF_SCOUT_IMPORT'!$E$42:$E$1040,SUBSTITUTE(SUBSTITUTE(SUBSTITUTE($B525,"~","~~"),"*","~*"),"?","~?"),'DEF_SELF_SCOUT_IMPORT'!$Q$42:$Q$1040,SUBSTITUTE(SUBSTITUTE(SUBSTITUTE($M525,"~","~~"),"*","~*"),"?","~?"),'DEF_SELF_SCOUT_IMPORT'!$G$42:$G$1040,SUBSTITUTE(SUBSTITUTE(SUBSTITUTE($O525,"~","~~"),"*","~*"),"?","~?")))</f>
        <v>7.0</v>
      </c>
      <c r="G525" s="10">
        <f>IF($C525=0,"",COUNTIFS('DEF_SELF_SCOUT_IMPORT'!$L$42:$L$1040,"Y",'DEF_SELF_SCOUT_IMPORT'!$E$42:$E$1040,SUBSTITUTE(SUBSTITUTE(SUBSTITUTE($B525,"~","~~"),"*","~*"),"?","~?"),'DEF_SELF_SCOUT_IMPORT'!$Q$42:$Q$1040,SUBSTITUTE(SUBSTITUTE(SUBSTITUTE($M525,"~","~~"),"*","~*"),"?","~?"),'DEF_SELF_SCOUT_IMPORT'!$G$42:$G$1040,SUBSTITUTE(SUBSTITUTE(SUBSTITUTE($O525,"~","~~"),"*","~*"),"?","~?"),'DEF_SELF_SCOUT_IMPORT'!$H$42:$H$1040,"RUSH")/$C525)</f>
        <v>0.0</v>
      </c>
      <c r="H525" s="10">
        <f>IF($C525=0,"",COUNTIFS('DEF_SELF_SCOUT_IMPORT'!$L$42:$L$1040,"Y",'DEF_SELF_SCOUT_IMPORT'!$E$42:$E$1040,SUBSTITUTE(SUBSTITUTE(SUBSTITUTE($B525,"~","~~"),"*","~*"),"?","~?"),'DEF_SELF_SCOUT_IMPORT'!$Q$42:$Q$1040,SUBSTITUTE(SUBSTITUTE(SUBSTITUTE($M525,"~","~~"),"*","~*"),"?","~?"),'DEF_SELF_SCOUT_IMPORT'!$G$42:$G$1040,SUBSTITUTE(SUBSTITUTE(SUBSTITUTE($O525,"~","~~"),"*","~*"),"?","~?"),'DEF_SELF_SCOUT_IMPORT'!$H$42:$H$1040,"DROPBACK")/$C525)</f>
        <v>1.0</v>
      </c>
      <c r="I525" s="14" t="str">
        <f>IF(C525=0,"",IF(C525&lt;=2,"TRACK",IF(C525=3,"LOW",IF(C525&lt;=6,"MEDIUM","HIGH"))))</f>
        <v>TRACK</v>
      </c>
      <c r="J525" s="11">
        <f>IF(C525=0,"",ROUND(D525*70+(1-E525)*20+MAX(0,MIN(1,(10-F525)/10))*10,1))</f>
        <v>23.0</v>
      </c>
      <c r="K525" s="14" t="str">
        <f>IF(C525=0,"No Evidence",IF(C525&lt;=2,IF(E525&gt;0,"Explosive Alert","Track Only"),IF(C525=3,"Sample Watch",IF(E525&gt;=START_HERE!$B$31,"Explosive Alert",IF(J525&gt;=80,"Strong Candidate",IF(J525&gt;=65,"Good Candidate",IF(J525&gt;=50,"Mixed / Review","Problem Call")))))))</f>
        <v>Track Only</v>
      </c>
      <c r="L525" s="9" t="str">
        <f>IF(COUNTIFS('DEF_SELF_SCOUT_IMPORT'!$L$42:$L$1040,"Y",'DEF_SELF_SCOUT_IMPORT'!$E$42:$E$1040,SUBSTITUTE(SUBSTITUTE(SUBSTITUTE($B525,"~","~~"),"*","~*"),"?","~?"),'DEF_SELF_SCOUT_IMPORT'!$Q$42:$Q$1040,SUBSTITUTE(SUBSTITUTE(SUBSTITUTE($M525,"~","~~"),"*","~*"),"?","~?"),'DEF_SELF_SCOUT_IMPORT'!$G$42:$G$1040,SUBSTITUTE(SUBSTITUTE(SUBSTITUTE($O525,"~","~~"),"*","~*"),"?","~?"),'DEF_SELF_SCOUT_IMPORT'!$J$42:$J$1040,"")&gt;0,"Unscored clean outcome; review result tags before using score.",IF(C525=0,"No matching defensive reps; film confirmation needed.",IF(K525="Explosive Alert","Explosive risk; review clips before using as answer.",IF(C525&lt;=2,"Track only; not enough sample.",IF(C525=3,IF(E525&gt;0,"Sample watch with explosive exposure; review clips and build the sample.",IF(J525&gt;=65,"Good signal, but sample is limited.","Sample watch; review clips and build the sample.")),IF(K525="Problem Call","Problem area; practice or call-sheet review.",IF(K525="Strong Candidate","Strong call-fit candidate; confirm on film.",IF(K525="Good Candidate","Good call-fit signal; confirm on film.","Mixed signal; review fit and execution on film."))))))))</f>
        <v>Track only; not enough sample.</v>
      </c>
      <c r="M525" s="8" t="s">
        <v>103</v>
      </c>
      <c r="N525" s="8"/>
      <c r="O525" s="8" t="s">
        <v>206</v>
      </c>
      <c r="P525" s="8"/>
      <c r="Q525" s="8"/>
      <c r="R525" s="8" t="s">
        <v>28</v>
      </c>
      <c r="S525" s="2" t="s">
        <v>262</v>
      </c>
      <c r="T525" s="2">
        <f>IF(C525=0,0,IF(C525&gt;=CALL_LOOKUP_BOARD!$B$7,IF(OR(K525="Problem Call",K525="Explosive Alert"),10000000,20000000),0)+IF(C525&gt;=CALL_LOOKUP_BOARD!$B$7,J525*1000+MIN(C525,999),C525*1000+J525)+0.00984900)</f>
        <v>1023.009849</v>
      </c>
      <c r="U525" s="2">
        <f>IF(C525=0,"",IF(COUNTIFS($S$375:$S$581,SUBSTITUTE(SUBSTITUTE(SUBSTITUTE(S525,"~","~~"),"*","~*"),"?","~?"),$T$375:$T$581,"&gt;"&amp;T525)=0,S525,""))</f>
        <v/>
      </c>
    </row>
    <row r="526" spans="1:21" ht="38" customHeight="1">
      <c r="A526" s="8" t="s">
        <v>261</v>
      </c>
      <c r="B526" s="8" t="s">
        <v>80</v>
      </c>
      <c r="C526" s="12">
        <f>COUNTIFS('DEF_SELF_SCOUT_IMPORT'!$L$42:$L$1040,"Y",'DEF_SELF_SCOUT_IMPORT'!$E$42:$E$1040,SUBSTITUTE(SUBSTITUTE(SUBSTITUTE($B526,"~","~~"),"*","~*"),"?","~?"),'DEF_SELF_SCOUT_IMPORT'!$Q$42:$Q$1040,SUBSTITUTE(SUBSTITUTE(SUBSTITUTE($M526,"~","~~"),"*","~*"),"?","~?"),'DEF_SELF_SCOUT_IMPORT'!$G$42:$G$1040,SUBSTITUTE(SUBSTITUTE(SUBSTITUTE($O526,"~","~~"),"*","~*"),"?","~?"))</f>
        <v>1</v>
      </c>
      <c r="D526" s="10">
        <f>IF($C526=0,"",SUMIFS('DEF_SELF_SCOUT_IMPORT'!$J$42:$J$1040,'DEF_SELF_SCOUT_IMPORT'!$L$42:$L$1040,"Y",'DEF_SELF_SCOUT_IMPORT'!$E$42:$E$1040,SUBSTITUTE(SUBSTITUTE(SUBSTITUTE($B526,"~","~~"),"*","~*"),"?","~?"),'DEF_SELF_SCOUT_IMPORT'!$Q$42:$Q$1040,SUBSTITUTE(SUBSTITUTE(SUBSTITUTE($M526,"~","~~"),"*","~*"),"?","~?"),'DEF_SELF_SCOUT_IMPORT'!$G$42:$G$1040,SUBSTITUTE(SUBSTITUTE(SUBSTITUTE($O526,"~","~~"),"*","~*"),"?","~?"))/$C526)</f>
        <v>1.0</v>
      </c>
      <c r="E526" s="10">
        <f>IF($C526=0,"",SUMIFS('DEF_SELF_SCOUT_IMPORT'!$K$42:$K$1040,'DEF_SELF_SCOUT_IMPORT'!$L$42:$L$1040,"Y",'DEF_SELF_SCOUT_IMPORT'!$E$42:$E$1040,SUBSTITUTE(SUBSTITUTE(SUBSTITUTE($B526,"~","~~"),"*","~*"),"?","~?"),'DEF_SELF_SCOUT_IMPORT'!$Q$42:$Q$1040,SUBSTITUTE(SUBSTITUTE(SUBSTITUTE($M526,"~","~~"),"*","~*"),"?","~?"),'DEF_SELF_SCOUT_IMPORT'!$G$42:$G$1040,SUBSTITUTE(SUBSTITUTE(SUBSTITUTE($O526,"~","~~"),"*","~*"),"?","~?"))/$C526)</f>
        <v>0.0</v>
      </c>
      <c r="F526" s="11">
        <f>IF($C526=0,"",AVERAGEIFS('DEF_SELF_SCOUT_IMPORT'!$I$42:$I$1040,'DEF_SELF_SCOUT_IMPORT'!$L$42:$L$1040,"Y",'DEF_SELF_SCOUT_IMPORT'!$E$42:$E$1040,SUBSTITUTE(SUBSTITUTE(SUBSTITUTE($B526,"~","~~"),"*","~*"),"?","~?"),'DEF_SELF_SCOUT_IMPORT'!$Q$42:$Q$1040,SUBSTITUTE(SUBSTITUTE(SUBSTITUTE($M526,"~","~~"),"*","~*"),"?","~?"),'DEF_SELF_SCOUT_IMPORT'!$G$42:$G$1040,SUBSTITUTE(SUBSTITUTE(SUBSTITUTE($O526,"~","~~"),"*","~*"),"?","~?")))</f>
        <v>2.0</v>
      </c>
      <c r="G526" s="10">
        <f>IF($C526=0,"",COUNTIFS('DEF_SELF_SCOUT_IMPORT'!$L$42:$L$1040,"Y",'DEF_SELF_SCOUT_IMPORT'!$E$42:$E$1040,SUBSTITUTE(SUBSTITUTE(SUBSTITUTE($B526,"~","~~"),"*","~*"),"?","~?"),'DEF_SELF_SCOUT_IMPORT'!$Q$42:$Q$1040,SUBSTITUTE(SUBSTITUTE(SUBSTITUTE($M526,"~","~~"),"*","~*"),"?","~?"),'DEF_SELF_SCOUT_IMPORT'!$G$42:$G$1040,SUBSTITUTE(SUBSTITUTE(SUBSTITUTE($O526,"~","~~"),"*","~*"),"?","~?"),'DEF_SELF_SCOUT_IMPORT'!$H$42:$H$1040,"RUSH")/$C526)</f>
        <v>1.0</v>
      </c>
      <c r="H526" s="10">
        <f>IF($C526=0,"",COUNTIFS('DEF_SELF_SCOUT_IMPORT'!$L$42:$L$1040,"Y",'DEF_SELF_SCOUT_IMPORT'!$E$42:$E$1040,SUBSTITUTE(SUBSTITUTE(SUBSTITUTE($B526,"~","~~"),"*","~*"),"?","~?"),'DEF_SELF_SCOUT_IMPORT'!$Q$42:$Q$1040,SUBSTITUTE(SUBSTITUTE(SUBSTITUTE($M526,"~","~~"),"*","~*"),"?","~?"),'DEF_SELF_SCOUT_IMPORT'!$G$42:$G$1040,SUBSTITUTE(SUBSTITUTE(SUBSTITUTE($O526,"~","~~"),"*","~*"),"?","~?"),'DEF_SELF_SCOUT_IMPORT'!$H$42:$H$1040,"DROPBACK")/$C526)</f>
        <v>0.0</v>
      </c>
      <c r="I526" s="14" t="str">
        <f>IF(C526=0,"",IF(C526&lt;=2,"TRACK",IF(C526=3,"LOW",IF(C526&lt;=6,"MEDIUM","HIGH"))))</f>
        <v>TRACK</v>
      </c>
      <c r="J526" s="11">
        <f>IF(C526=0,"",ROUND(D526*70+(1-E526)*20+MAX(0,MIN(1,(10-F526)/10))*10,1))</f>
        <v>98.0</v>
      </c>
      <c r="K526" s="14" t="str">
        <f>IF(C526=0,"No Evidence",IF(C526&lt;=2,IF(E526&gt;0,"Explosive Alert","Track Only"),IF(C526=3,"Sample Watch",IF(E526&gt;=START_HERE!$B$31,"Explosive Alert",IF(J526&gt;=80,"Strong Candidate",IF(J526&gt;=65,"Good Candidate",IF(J526&gt;=50,"Mixed / Review","Problem Call")))))))</f>
        <v>Track Only</v>
      </c>
      <c r="L526" s="9" t="str">
        <f>IF(COUNTIFS('DEF_SELF_SCOUT_IMPORT'!$L$42:$L$1040,"Y",'DEF_SELF_SCOUT_IMPORT'!$E$42:$E$1040,SUBSTITUTE(SUBSTITUTE(SUBSTITUTE($B526,"~","~~"),"*","~*"),"?","~?"),'DEF_SELF_SCOUT_IMPORT'!$Q$42:$Q$1040,SUBSTITUTE(SUBSTITUTE(SUBSTITUTE($M526,"~","~~"),"*","~*"),"?","~?"),'DEF_SELF_SCOUT_IMPORT'!$G$42:$G$1040,SUBSTITUTE(SUBSTITUTE(SUBSTITUTE($O526,"~","~~"),"*","~*"),"?","~?"),'DEF_SELF_SCOUT_IMPORT'!$J$42:$J$1040,"")&gt;0,"Unscored clean outcome; review result tags before using score.",IF(C526=0,"No matching defensive reps; film confirmation needed.",IF(K526="Explosive Alert","Explosive risk; review clips before using as answer.",IF(C526&lt;=2,"Track only; not enough sample.",IF(C526=3,IF(E526&gt;0,"Sample watch with explosive exposure; review clips and build the sample.",IF(J526&gt;=65,"Good signal, but sample is limited.","Sample watch; review clips and build the sample.")),IF(K526="Problem Call","Problem area; practice or call-sheet review.",IF(K526="Strong Candidate","Strong call-fit candidate; confirm on film.",IF(K526="Good Candidate","Good call-fit signal; confirm on film.","Mixed signal; review fit and execution on film."))))))))</f>
        <v>Track only; not enough sample.</v>
      </c>
      <c r="M526" s="8" t="s">
        <v>103</v>
      </c>
      <c r="N526" s="8"/>
      <c r="O526" s="8" t="s">
        <v>206</v>
      </c>
      <c r="P526" s="8"/>
      <c r="Q526" s="8"/>
      <c r="R526" s="8" t="s">
        <v>28</v>
      </c>
      <c r="S526" s="2" t="s">
        <v>262</v>
      </c>
      <c r="T526" s="2">
        <f>IF(C526=0,0,IF(C526&gt;=CALL_LOOKUP_BOARD!$B$7,IF(OR(K526="Problem Call",K526="Explosive Alert"),10000000,20000000),0)+IF(C526&gt;=CALL_LOOKUP_BOARD!$B$7,J526*1000+MIN(C526,999),C526*1000+J526)+0.00984800)</f>
        <v>1098.009848</v>
      </c>
      <c r="U526" s="2">
        <f>IF(C526=0,"",IF(COUNTIFS($S$375:$S$581,SUBSTITUTE(SUBSTITUTE(SUBSTITUTE(S526,"~","~~"),"*","~*"),"?","~?"),$T$375:$T$581,"&gt;"&amp;T526)=0,S526,""))</f>
        <v/>
      </c>
    </row>
    <row r="527" spans="1:21" ht="38" customHeight="1">
      <c r="A527" s="8" t="s">
        <v>261</v>
      </c>
      <c r="B527" s="8" t="s">
        <v>100</v>
      </c>
      <c r="C527" s="12">
        <f>COUNTIFS('DEF_SELF_SCOUT_IMPORT'!$L$42:$L$1040,"Y",'DEF_SELF_SCOUT_IMPORT'!$E$42:$E$1040,SUBSTITUTE(SUBSTITUTE(SUBSTITUTE($B527,"~","~~"),"*","~*"),"?","~?"),'DEF_SELF_SCOUT_IMPORT'!$Q$42:$Q$1040,SUBSTITUTE(SUBSTITUTE(SUBSTITUTE($M527,"~","~~"),"*","~*"),"?","~?"),'DEF_SELF_SCOUT_IMPORT'!$G$42:$G$1040,SUBSTITUTE(SUBSTITUTE(SUBSTITUTE($O527,"~","~~"),"*","~*"),"?","~?"))</f>
        <v>2</v>
      </c>
      <c r="D527" s="10">
        <f>IF($C527=0,"",SUMIFS('DEF_SELF_SCOUT_IMPORT'!$J$42:$J$1040,'DEF_SELF_SCOUT_IMPORT'!$L$42:$L$1040,"Y",'DEF_SELF_SCOUT_IMPORT'!$E$42:$E$1040,SUBSTITUTE(SUBSTITUTE(SUBSTITUTE($B527,"~","~~"),"*","~*"),"?","~?"),'DEF_SELF_SCOUT_IMPORT'!$Q$42:$Q$1040,SUBSTITUTE(SUBSTITUTE(SUBSTITUTE($M527,"~","~~"),"*","~*"),"?","~?"),'DEF_SELF_SCOUT_IMPORT'!$G$42:$G$1040,SUBSTITUTE(SUBSTITUTE(SUBSTITUTE($O527,"~","~~"),"*","~*"),"?","~?"))/$C527)</f>
        <v>0.5</v>
      </c>
      <c r="E527" s="10">
        <f>IF($C527=0,"",SUMIFS('DEF_SELF_SCOUT_IMPORT'!$K$42:$K$1040,'DEF_SELF_SCOUT_IMPORT'!$L$42:$L$1040,"Y",'DEF_SELF_SCOUT_IMPORT'!$E$42:$E$1040,SUBSTITUTE(SUBSTITUTE(SUBSTITUTE($B527,"~","~~"),"*","~*"),"?","~?"),'DEF_SELF_SCOUT_IMPORT'!$Q$42:$Q$1040,SUBSTITUTE(SUBSTITUTE(SUBSTITUTE($M527,"~","~~"),"*","~*"),"?","~?"),'DEF_SELF_SCOUT_IMPORT'!$G$42:$G$1040,SUBSTITUTE(SUBSTITUTE(SUBSTITUTE($O527,"~","~~"),"*","~*"),"?","~?"))/$C527)</f>
        <v>0.0</v>
      </c>
      <c r="F527" s="11">
        <f>IF($C527=0,"",AVERAGEIFS('DEF_SELF_SCOUT_IMPORT'!$I$42:$I$1040,'DEF_SELF_SCOUT_IMPORT'!$L$42:$L$1040,"Y",'DEF_SELF_SCOUT_IMPORT'!$E$42:$E$1040,SUBSTITUTE(SUBSTITUTE(SUBSTITUTE($B527,"~","~~"),"*","~*"),"?","~?"),'DEF_SELF_SCOUT_IMPORT'!$Q$42:$Q$1040,SUBSTITUTE(SUBSTITUTE(SUBSTITUTE($M527,"~","~~"),"*","~*"),"?","~?"),'DEF_SELF_SCOUT_IMPORT'!$G$42:$G$1040,SUBSTITUTE(SUBSTITUTE(SUBSTITUTE($O527,"~","~~"),"*","~*"),"?","~?")))</f>
        <v>6.0</v>
      </c>
      <c r="G527" s="10">
        <f>IF($C527=0,"",COUNTIFS('DEF_SELF_SCOUT_IMPORT'!$L$42:$L$1040,"Y",'DEF_SELF_SCOUT_IMPORT'!$E$42:$E$1040,SUBSTITUTE(SUBSTITUTE(SUBSTITUTE($B527,"~","~~"),"*","~*"),"?","~?"),'DEF_SELF_SCOUT_IMPORT'!$Q$42:$Q$1040,SUBSTITUTE(SUBSTITUTE(SUBSTITUTE($M527,"~","~~"),"*","~*"),"?","~?"),'DEF_SELF_SCOUT_IMPORT'!$G$42:$G$1040,SUBSTITUTE(SUBSTITUTE(SUBSTITUTE($O527,"~","~~"),"*","~*"),"?","~?"),'DEF_SELF_SCOUT_IMPORT'!$H$42:$H$1040,"RUSH")/$C527)</f>
        <v>0.5</v>
      </c>
      <c r="H527" s="10">
        <f>IF($C527=0,"",COUNTIFS('DEF_SELF_SCOUT_IMPORT'!$L$42:$L$1040,"Y",'DEF_SELF_SCOUT_IMPORT'!$E$42:$E$1040,SUBSTITUTE(SUBSTITUTE(SUBSTITUTE($B527,"~","~~"),"*","~*"),"?","~?"),'DEF_SELF_SCOUT_IMPORT'!$Q$42:$Q$1040,SUBSTITUTE(SUBSTITUTE(SUBSTITUTE($M527,"~","~~"),"*","~*"),"?","~?"),'DEF_SELF_SCOUT_IMPORT'!$G$42:$G$1040,SUBSTITUTE(SUBSTITUTE(SUBSTITUTE($O527,"~","~~"),"*","~*"),"?","~?"),'DEF_SELF_SCOUT_IMPORT'!$H$42:$H$1040,"DROPBACK")/$C527)</f>
        <v>0.5</v>
      </c>
      <c r="I527" s="14" t="str">
        <f>IF(C527=0,"",IF(C527&lt;=2,"TRACK",IF(C527=3,"LOW",IF(C527&lt;=6,"MEDIUM","HIGH"))))</f>
        <v>TRACK</v>
      </c>
      <c r="J527" s="11">
        <f>IF(C527=0,"",ROUND(D527*70+(1-E527)*20+MAX(0,MIN(1,(10-F527)/10))*10,1))</f>
        <v>59.0</v>
      </c>
      <c r="K527" s="14" t="str">
        <f>IF(C527=0,"No Evidence",IF(C527&lt;=2,IF(E527&gt;0,"Explosive Alert","Track Only"),IF(C527=3,"Sample Watch",IF(E527&gt;=START_HERE!$B$31,"Explosive Alert",IF(J527&gt;=80,"Strong Candidate",IF(J527&gt;=65,"Good Candidate",IF(J527&gt;=50,"Mixed / Review","Problem Call")))))))</f>
        <v>Track Only</v>
      </c>
      <c r="L527" s="9" t="str">
        <f>IF(COUNTIFS('DEF_SELF_SCOUT_IMPORT'!$L$42:$L$1040,"Y",'DEF_SELF_SCOUT_IMPORT'!$E$42:$E$1040,SUBSTITUTE(SUBSTITUTE(SUBSTITUTE($B527,"~","~~"),"*","~*"),"?","~?"),'DEF_SELF_SCOUT_IMPORT'!$Q$42:$Q$1040,SUBSTITUTE(SUBSTITUTE(SUBSTITUTE($M527,"~","~~"),"*","~*"),"?","~?"),'DEF_SELF_SCOUT_IMPORT'!$G$42:$G$1040,SUBSTITUTE(SUBSTITUTE(SUBSTITUTE($O527,"~","~~"),"*","~*"),"?","~?"),'DEF_SELF_SCOUT_IMPORT'!$J$42:$J$1040,"")&gt;0,"Unscored clean outcome; review result tags before using score.",IF(C527=0,"No matching defensive reps; film confirmation needed.",IF(K527="Explosive Alert","Explosive risk; review clips before using as answer.",IF(C527&lt;=2,"Track only; not enough sample.",IF(C527=3,IF(E527&gt;0,"Sample watch with explosive exposure; review clips and build the sample.",IF(J527&gt;=65,"Good signal, but sample is limited.","Sample watch; review clips and build the sample.")),IF(K527="Problem Call","Problem area; practice or call-sheet review.",IF(K527="Strong Candidate","Strong call-fit candidate; confirm on film.",IF(K527="Good Candidate","Good call-fit signal; confirm on film.","Mixed signal; review fit and execution on film."))))))))</f>
        <v>Track only; not enough sample.</v>
      </c>
      <c r="M527" s="8" t="s">
        <v>103</v>
      </c>
      <c r="N527" s="8"/>
      <c r="O527" s="8" t="s">
        <v>206</v>
      </c>
      <c r="P527" s="8"/>
      <c r="Q527" s="8"/>
      <c r="R527" s="8" t="s">
        <v>28</v>
      </c>
      <c r="S527" s="2" t="s">
        <v>262</v>
      </c>
      <c r="T527" s="2">
        <f>IF(C527=0,0,IF(C527&gt;=CALL_LOOKUP_BOARD!$B$7,IF(OR(K527="Problem Call",K527="Explosive Alert"),10000000,20000000),0)+IF(C527&gt;=CALL_LOOKUP_BOARD!$B$7,J527*1000+MIN(C527,999),C527*1000+J527)+0.00984700)</f>
        <v>2059.009847</v>
      </c>
      <c r="U527" s="2">
        <f>IF(C527=0,"",IF(COUNTIFS($S$375:$S$581,SUBSTITUTE(SUBSTITUTE(SUBSTITUTE(S527,"~","~~"),"*","~*"),"?","~?"),$T$375:$T$581,"&gt;"&amp;T527)=0,S527,""))</f>
        <v/>
      </c>
    </row>
    <row r="528" spans="1:21" ht="38" customHeight="1">
      <c r="A528" s="8" t="s">
        <v>261</v>
      </c>
      <c r="B528" s="8" t="s">
        <v>105</v>
      </c>
      <c r="C528" s="12">
        <f>COUNTIFS('DEF_SELF_SCOUT_IMPORT'!$L$42:$L$1040,"Y",'DEF_SELF_SCOUT_IMPORT'!$E$42:$E$1040,SUBSTITUTE(SUBSTITUTE(SUBSTITUTE($B528,"~","~~"),"*","~*"),"?","~?"),'DEF_SELF_SCOUT_IMPORT'!$Q$42:$Q$1040,SUBSTITUTE(SUBSTITUTE(SUBSTITUTE($M528,"~","~~"),"*","~*"),"?","~?"),'DEF_SELF_SCOUT_IMPORT'!$G$42:$G$1040,SUBSTITUTE(SUBSTITUTE(SUBSTITUTE($O528,"~","~~"),"*","~*"),"?","~?"))</f>
        <v>1</v>
      </c>
      <c r="D528" s="10">
        <f>IF($C528=0,"",SUMIFS('DEF_SELF_SCOUT_IMPORT'!$J$42:$J$1040,'DEF_SELF_SCOUT_IMPORT'!$L$42:$L$1040,"Y",'DEF_SELF_SCOUT_IMPORT'!$E$42:$E$1040,SUBSTITUTE(SUBSTITUTE(SUBSTITUTE($B528,"~","~~"),"*","~*"),"?","~?"),'DEF_SELF_SCOUT_IMPORT'!$Q$42:$Q$1040,SUBSTITUTE(SUBSTITUTE(SUBSTITUTE($M528,"~","~~"),"*","~*"),"?","~?"),'DEF_SELF_SCOUT_IMPORT'!$G$42:$G$1040,SUBSTITUTE(SUBSTITUTE(SUBSTITUTE($O528,"~","~~"),"*","~*"),"?","~?"))/$C528)</f>
        <v>1.0</v>
      </c>
      <c r="E528" s="10">
        <f>IF($C528=0,"",SUMIFS('DEF_SELF_SCOUT_IMPORT'!$K$42:$K$1040,'DEF_SELF_SCOUT_IMPORT'!$L$42:$L$1040,"Y",'DEF_SELF_SCOUT_IMPORT'!$E$42:$E$1040,SUBSTITUTE(SUBSTITUTE(SUBSTITUTE($B528,"~","~~"),"*","~*"),"?","~?"),'DEF_SELF_SCOUT_IMPORT'!$Q$42:$Q$1040,SUBSTITUTE(SUBSTITUTE(SUBSTITUTE($M528,"~","~~"),"*","~*"),"?","~?"),'DEF_SELF_SCOUT_IMPORT'!$G$42:$G$1040,SUBSTITUTE(SUBSTITUTE(SUBSTITUTE($O528,"~","~~"),"*","~*"),"?","~?"))/$C528)</f>
        <v>0.0</v>
      </c>
      <c r="F528" s="11">
        <f>IF($C528=0,"",AVERAGEIFS('DEF_SELF_SCOUT_IMPORT'!$I$42:$I$1040,'DEF_SELF_SCOUT_IMPORT'!$L$42:$L$1040,"Y",'DEF_SELF_SCOUT_IMPORT'!$E$42:$E$1040,SUBSTITUTE(SUBSTITUTE(SUBSTITUTE($B528,"~","~~"),"*","~*"),"?","~?"),'DEF_SELF_SCOUT_IMPORT'!$Q$42:$Q$1040,SUBSTITUTE(SUBSTITUTE(SUBSTITUTE($M528,"~","~~"),"*","~*"),"?","~?"),'DEF_SELF_SCOUT_IMPORT'!$G$42:$G$1040,SUBSTITUTE(SUBSTITUTE(SUBSTITUTE($O528,"~","~~"),"*","~*"),"?","~?")))</f>
        <v>0.0</v>
      </c>
      <c r="G528" s="10">
        <f>IF($C528=0,"",COUNTIFS('DEF_SELF_SCOUT_IMPORT'!$L$42:$L$1040,"Y",'DEF_SELF_SCOUT_IMPORT'!$E$42:$E$1040,SUBSTITUTE(SUBSTITUTE(SUBSTITUTE($B528,"~","~~"),"*","~*"),"?","~?"),'DEF_SELF_SCOUT_IMPORT'!$Q$42:$Q$1040,SUBSTITUTE(SUBSTITUTE(SUBSTITUTE($M528,"~","~~"),"*","~*"),"?","~?"),'DEF_SELF_SCOUT_IMPORT'!$G$42:$G$1040,SUBSTITUTE(SUBSTITUTE(SUBSTITUTE($O528,"~","~~"),"*","~*"),"?","~?"),'DEF_SELF_SCOUT_IMPORT'!$H$42:$H$1040,"RUSH")/$C528)</f>
        <v>0.0</v>
      </c>
      <c r="H528" s="10">
        <f>IF($C528=0,"",COUNTIFS('DEF_SELF_SCOUT_IMPORT'!$L$42:$L$1040,"Y",'DEF_SELF_SCOUT_IMPORT'!$E$42:$E$1040,SUBSTITUTE(SUBSTITUTE(SUBSTITUTE($B528,"~","~~"),"*","~*"),"?","~?"),'DEF_SELF_SCOUT_IMPORT'!$Q$42:$Q$1040,SUBSTITUTE(SUBSTITUTE(SUBSTITUTE($M528,"~","~~"),"*","~*"),"?","~?"),'DEF_SELF_SCOUT_IMPORT'!$G$42:$G$1040,SUBSTITUTE(SUBSTITUTE(SUBSTITUTE($O528,"~","~~"),"*","~*"),"?","~?"),'DEF_SELF_SCOUT_IMPORT'!$H$42:$H$1040,"DROPBACK")/$C528)</f>
        <v>1.0</v>
      </c>
      <c r="I528" s="14" t="str">
        <f>IF(C528=0,"",IF(C528&lt;=2,"TRACK",IF(C528=3,"LOW",IF(C528&lt;=6,"MEDIUM","HIGH"))))</f>
        <v>TRACK</v>
      </c>
      <c r="J528" s="11">
        <f>IF(C528=0,"",ROUND(D528*70+(1-E528)*20+MAX(0,MIN(1,(10-F528)/10))*10,1))</f>
        <v>100.0</v>
      </c>
      <c r="K528" s="14" t="str">
        <f>IF(C528=0,"No Evidence",IF(C528&lt;=2,IF(E528&gt;0,"Explosive Alert","Track Only"),IF(C528=3,"Sample Watch",IF(E528&gt;=START_HERE!$B$31,"Explosive Alert",IF(J528&gt;=80,"Strong Candidate",IF(J528&gt;=65,"Good Candidate",IF(J528&gt;=50,"Mixed / Review","Problem Call")))))))</f>
        <v>Track Only</v>
      </c>
      <c r="L528" s="9" t="str">
        <f>IF(COUNTIFS('DEF_SELF_SCOUT_IMPORT'!$L$42:$L$1040,"Y",'DEF_SELF_SCOUT_IMPORT'!$E$42:$E$1040,SUBSTITUTE(SUBSTITUTE(SUBSTITUTE($B528,"~","~~"),"*","~*"),"?","~?"),'DEF_SELF_SCOUT_IMPORT'!$Q$42:$Q$1040,SUBSTITUTE(SUBSTITUTE(SUBSTITUTE($M528,"~","~~"),"*","~*"),"?","~?"),'DEF_SELF_SCOUT_IMPORT'!$G$42:$G$1040,SUBSTITUTE(SUBSTITUTE(SUBSTITUTE($O528,"~","~~"),"*","~*"),"?","~?"),'DEF_SELF_SCOUT_IMPORT'!$J$42:$J$1040,"")&gt;0,"Unscored clean outcome; review result tags before using score.",IF(C528=0,"No matching defensive reps; film confirmation needed.",IF(K528="Explosive Alert","Explosive risk; review clips before using as answer.",IF(C528&lt;=2,"Track only; not enough sample.",IF(C528=3,IF(E528&gt;0,"Sample watch with explosive exposure; review clips and build the sample.",IF(J528&gt;=65,"Good signal, but sample is limited.","Sample watch; review clips and build the sample.")),IF(K528="Problem Call","Problem area; practice or call-sheet review.",IF(K528="Strong Candidate","Strong call-fit candidate; confirm on film.",IF(K528="Good Candidate","Good call-fit signal; confirm on film.","Mixed signal; review fit and execution on film."))))))))</f>
        <v>Track only; not enough sample.</v>
      </c>
      <c r="M528" s="8" t="s">
        <v>103</v>
      </c>
      <c r="N528" s="8"/>
      <c r="O528" s="8" t="s">
        <v>206</v>
      </c>
      <c r="P528" s="8"/>
      <c r="Q528" s="8"/>
      <c r="R528" s="8" t="s">
        <v>28</v>
      </c>
      <c r="S528" s="2" t="s">
        <v>262</v>
      </c>
      <c r="T528" s="2">
        <f>IF(C528=0,0,IF(C528&gt;=CALL_LOOKUP_BOARD!$B$7,IF(OR(K528="Problem Call",K528="Explosive Alert"),10000000,20000000),0)+IF(C528&gt;=CALL_LOOKUP_BOARD!$B$7,J528*1000+MIN(C528,999),C528*1000+J528)+0.00984600)</f>
        <v>1100.009846</v>
      </c>
      <c r="U528" s="2">
        <f>IF(C528=0,"",IF(COUNTIFS($S$375:$S$581,SUBSTITUTE(SUBSTITUTE(SUBSTITUTE(S528,"~","~~"),"*","~*"),"?","~?"),$T$375:$T$581,"&gt;"&amp;T528)=0,S528,""))</f>
        <v/>
      </c>
    </row>
    <row r="529" spans="1:21" ht="38" customHeight="1">
      <c r="A529" s="8" t="s">
        <v>261</v>
      </c>
      <c r="B529" s="8" t="s">
        <v>61</v>
      </c>
      <c r="C529" s="12">
        <f>COUNTIFS('DEF_SELF_SCOUT_IMPORT'!$L$42:$L$1040,"Y",'DEF_SELF_SCOUT_IMPORT'!$E$42:$E$1040,SUBSTITUTE(SUBSTITUTE(SUBSTITUTE($B529,"~","~~"),"*","~*"),"?","~?"),'DEF_SELF_SCOUT_IMPORT'!$Q$42:$Q$1040,SUBSTITUTE(SUBSTITUTE(SUBSTITUTE($M529,"~","~~"),"*","~*"),"?","~?"),'DEF_SELF_SCOUT_IMPORT'!$G$42:$G$1040,SUBSTITUTE(SUBSTITUTE(SUBSTITUTE($O529,"~","~~"),"*","~*"),"?","~?"))</f>
        <v>1</v>
      </c>
      <c r="D529" s="10">
        <f>IF($C529=0,"",SUMIFS('DEF_SELF_SCOUT_IMPORT'!$J$42:$J$1040,'DEF_SELF_SCOUT_IMPORT'!$L$42:$L$1040,"Y",'DEF_SELF_SCOUT_IMPORT'!$E$42:$E$1040,SUBSTITUTE(SUBSTITUTE(SUBSTITUTE($B529,"~","~~"),"*","~*"),"?","~?"),'DEF_SELF_SCOUT_IMPORT'!$Q$42:$Q$1040,SUBSTITUTE(SUBSTITUTE(SUBSTITUTE($M529,"~","~~"),"*","~*"),"?","~?"),'DEF_SELF_SCOUT_IMPORT'!$G$42:$G$1040,SUBSTITUTE(SUBSTITUTE(SUBSTITUTE($O529,"~","~~"),"*","~*"),"?","~?"))/$C529)</f>
        <v>0.0</v>
      </c>
      <c r="E529" s="10">
        <f>IF($C529=0,"",SUMIFS('DEF_SELF_SCOUT_IMPORT'!$K$42:$K$1040,'DEF_SELF_SCOUT_IMPORT'!$L$42:$L$1040,"Y",'DEF_SELF_SCOUT_IMPORT'!$E$42:$E$1040,SUBSTITUTE(SUBSTITUTE(SUBSTITUTE($B529,"~","~~"),"*","~*"),"?","~?"),'DEF_SELF_SCOUT_IMPORT'!$Q$42:$Q$1040,SUBSTITUTE(SUBSTITUTE(SUBSTITUTE($M529,"~","~~"),"*","~*"),"?","~?"),'DEF_SELF_SCOUT_IMPORT'!$G$42:$G$1040,SUBSTITUTE(SUBSTITUTE(SUBSTITUTE($O529,"~","~~"),"*","~*"),"?","~?"))/$C529)</f>
        <v>1.0</v>
      </c>
      <c r="F529" s="11">
        <f>IF($C529=0,"",AVERAGEIFS('DEF_SELF_SCOUT_IMPORT'!$I$42:$I$1040,'DEF_SELF_SCOUT_IMPORT'!$L$42:$L$1040,"Y",'DEF_SELF_SCOUT_IMPORT'!$E$42:$E$1040,SUBSTITUTE(SUBSTITUTE(SUBSTITUTE($B529,"~","~~"),"*","~*"),"?","~?"),'DEF_SELF_SCOUT_IMPORT'!$Q$42:$Q$1040,SUBSTITUTE(SUBSTITUTE(SUBSTITUTE($M529,"~","~~"),"*","~*"),"?","~?"),'DEF_SELF_SCOUT_IMPORT'!$G$42:$G$1040,SUBSTITUTE(SUBSTITUTE(SUBSTITUTE($O529,"~","~~"),"*","~*"),"?","~?")))</f>
        <v>21.0</v>
      </c>
      <c r="G529" s="10">
        <f>IF($C529=0,"",COUNTIFS('DEF_SELF_SCOUT_IMPORT'!$L$42:$L$1040,"Y",'DEF_SELF_SCOUT_IMPORT'!$E$42:$E$1040,SUBSTITUTE(SUBSTITUTE(SUBSTITUTE($B529,"~","~~"),"*","~*"),"?","~?"),'DEF_SELF_SCOUT_IMPORT'!$Q$42:$Q$1040,SUBSTITUTE(SUBSTITUTE(SUBSTITUTE($M529,"~","~~"),"*","~*"),"?","~?"),'DEF_SELF_SCOUT_IMPORT'!$G$42:$G$1040,SUBSTITUTE(SUBSTITUTE(SUBSTITUTE($O529,"~","~~"),"*","~*"),"?","~?"),'DEF_SELF_SCOUT_IMPORT'!$H$42:$H$1040,"RUSH")/$C529)</f>
        <v>0.0</v>
      </c>
      <c r="H529" s="10">
        <f>IF($C529=0,"",COUNTIFS('DEF_SELF_SCOUT_IMPORT'!$L$42:$L$1040,"Y",'DEF_SELF_SCOUT_IMPORT'!$E$42:$E$1040,SUBSTITUTE(SUBSTITUTE(SUBSTITUTE($B529,"~","~~"),"*","~*"),"?","~?"),'DEF_SELF_SCOUT_IMPORT'!$Q$42:$Q$1040,SUBSTITUTE(SUBSTITUTE(SUBSTITUTE($M529,"~","~~"),"*","~*"),"?","~?"),'DEF_SELF_SCOUT_IMPORT'!$G$42:$G$1040,SUBSTITUTE(SUBSTITUTE(SUBSTITUTE($O529,"~","~~"),"*","~*"),"?","~?"),'DEF_SELF_SCOUT_IMPORT'!$H$42:$H$1040,"DROPBACK")/$C529)</f>
        <v>1.0</v>
      </c>
      <c r="I529" s="14" t="str">
        <f>IF(C529=0,"",IF(C529&lt;=2,"TRACK",IF(C529=3,"LOW",IF(C529&lt;=6,"MEDIUM","HIGH"))))</f>
        <v>TRACK</v>
      </c>
      <c r="J529" s="11">
        <f>IF(C529=0,"",ROUND(D529*70+(1-E529)*20+MAX(0,MIN(1,(10-F529)/10))*10,1))</f>
        <v>0.0</v>
      </c>
      <c r="K529" s="14" t="str">
        <f>IF(C529=0,"No Evidence",IF(C529&lt;=2,IF(E529&gt;0,"Explosive Alert","Track Only"),IF(C529=3,"Sample Watch",IF(E529&gt;=START_HERE!$B$31,"Explosive Alert",IF(J529&gt;=80,"Strong Candidate",IF(J529&gt;=65,"Good Candidate",IF(J529&gt;=50,"Mixed / Review","Problem Call")))))))</f>
        <v>Explosive Alert</v>
      </c>
      <c r="L529" s="9" t="str">
        <f>IF(COUNTIFS('DEF_SELF_SCOUT_IMPORT'!$L$42:$L$1040,"Y",'DEF_SELF_SCOUT_IMPORT'!$E$42:$E$1040,SUBSTITUTE(SUBSTITUTE(SUBSTITUTE($B529,"~","~~"),"*","~*"),"?","~?"),'DEF_SELF_SCOUT_IMPORT'!$Q$42:$Q$1040,SUBSTITUTE(SUBSTITUTE(SUBSTITUTE($M529,"~","~~"),"*","~*"),"?","~?"),'DEF_SELF_SCOUT_IMPORT'!$G$42:$G$1040,SUBSTITUTE(SUBSTITUTE(SUBSTITUTE($O529,"~","~~"),"*","~*"),"?","~?"),'DEF_SELF_SCOUT_IMPORT'!$J$42:$J$1040,"")&gt;0,"Unscored clean outcome; review result tags before using score.",IF(C529=0,"No matching defensive reps; film confirmation needed.",IF(K529="Explosive Alert","Explosive risk; review clips before using as answer.",IF(C529&lt;=2,"Track only; not enough sample.",IF(C529=3,IF(E529&gt;0,"Sample watch with explosive exposure; review clips and build the sample.",IF(J529&gt;=65,"Good signal, but sample is limited.","Sample watch; review clips and build the sample.")),IF(K529="Problem Call","Problem area; practice or call-sheet review.",IF(K529="Strong Candidate","Strong call-fit candidate; confirm on film.",IF(K529="Good Candidate","Good call-fit signal; confirm on film.","Mixed signal; review fit and execution on film."))))))))</f>
        <v>Explosive risk; review clips before using as answer.</v>
      </c>
      <c r="M529" s="8" t="s">
        <v>103</v>
      </c>
      <c r="N529" s="8"/>
      <c r="O529" s="8" t="s">
        <v>206</v>
      </c>
      <c r="P529" s="8"/>
      <c r="Q529" s="8"/>
      <c r="R529" s="8" t="s">
        <v>28</v>
      </c>
      <c r="S529" s="2" t="s">
        <v>262</v>
      </c>
      <c r="T529" s="2">
        <f>IF(C529=0,0,IF(C529&gt;=CALL_LOOKUP_BOARD!$B$7,IF(OR(K529="Problem Call",K529="Explosive Alert"),10000000,20000000),0)+IF(C529&gt;=CALL_LOOKUP_BOARD!$B$7,J529*1000+MIN(C529,999),C529*1000+J529)+0.00984500)</f>
        <v>1000.009845</v>
      </c>
      <c r="U529" s="2">
        <f>IF(C529=0,"",IF(COUNTIFS($S$375:$S$581,SUBSTITUTE(SUBSTITUTE(SUBSTITUTE(S529,"~","~~"),"*","~*"),"?","~?"),$T$375:$T$581,"&gt;"&amp;T529)=0,S529,""))</f>
        <v/>
      </c>
    </row>
    <row r="530" spans="1:21" ht="38" customHeight="1">
      <c r="A530" s="8" t="s">
        <v>261</v>
      </c>
      <c r="B530" s="8" t="s">
        <v>106</v>
      </c>
      <c r="C530" s="12">
        <f>COUNTIFS('DEF_SELF_SCOUT_IMPORT'!$L$42:$L$1040,"Y",'DEF_SELF_SCOUT_IMPORT'!$E$42:$E$1040,SUBSTITUTE(SUBSTITUTE(SUBSTITUTE($B530,"~","~~"),"*","~*"),"?","~?"),'DEF_SELF_SCOUT_IMPORT'!$Q$42:$Q$1040,SUBSTITUTE(SUBSTITUTE(SUBSTITUTE($M530,"~","~~"),"*","~*"),"?","~?"),'DEF_SELF_SCOUT_IMPORT'!$G$42:$G$1040,SUBSTITUTE(SUBSTITUTE(SUBSTITUTE($O530,"~","~~"),"*","~*"),"?","~?"))</f>
        <v>1</v>
      </c>
      <c r="D530" s="10">
        <f>IF($C530=0,"",SUMIFS('DEF_SELF_SCOUT_IMPORT'!$J$42:$J$1040,'DEF_SELF_SCOUT_IMPORT'!$L$42:$L$1040,"Y",'DEF_SELF_SCOUT_IMPORT'!$E$42:$E$1040,SUBSTITUTE(SUBSTITUTE(SUBSTITUTE($B530,"~","~~"),"*","~*"),"?","~?"),'DEF_SELF_SCOUT_IMPORT'!$Q$42:$Q$1040,SUBSTITUTE(SUBSTITUTE(SUBSTITUTE($M530,"~","~~"),"*","~*"),"?","~?"),'DEF_SELF_SCOUT_IMPORT'!$G$42:$G$1040,SUBSTITUTE(SUBSTITUTE(SUBSTITUTE($O530,"~","~~"),"*","~*"),"?","~?"))/$C530)</f>
        <v>0.0</v>
      </c>
      <c r="E530" s="10">
        <f>IF($C530=0,"",SUMIFS('DEF_SELF_SCOUT_IMPORT'!$K$42:$K$1040,'DEF_SELF_SCOUT_IMPORT'!$L$42:$L$1040,"Y",'DEF_SELF_SCOUT_IMPORT'!$E$42:$E$1040,SUBSTITUTE(SUBSTITUTE(SUBSTITUTE($B530,"~","~~"),"*","~*"),"?","~?"),'DEF_SELF_SCOUT_IMPORT'!$Q$42:$Q$1040,SUBSTITUTE(SUBSTITUTE(SUBSTITUTE($M530,"~","~~"),"*","~*"),"?","~?"),'DEF_SELF_SCOUT_IMPORT'!$G$42:$G$1040,SUBSTITUTE(SUBSTITUTE(SUBSTITUTE($O530,"~","~~"),"*","~*"),"?","~?"))/$C530)</f>
        <v>1.0</v>
      </c>
      <c r="F530" s="11">
        <f>IF($C530=0,"",AVERAGEIFS('DEF_SELF_SCOUT_IMPORT'!$I$42:$I$1040,'DEF_SELF_SCOUT_IMPORT'!$L$42:$L$1040,"Y",'DEF_SELF_SCOUT_IMPORT'!$E$42:$E$1040,SUBSTITUTE(SUBSTITUTE(SUBSTITUTE($B530,"~","~~"),"*","~*"),"?","~?"),'DEF_SELF_SCOUT_IMPORT'!$Q$42:$Q$1040,SUBSTITUTE(SUBSTITUTE(SUBSTITUTE($M530,"~","~~"),"*","~*"),"?","~?"),'DEF_SELF_SCOUT_IMPORT'!$G$42:$G$1040,SUBSTITUTE(SUBSTITUTE(SUBSTITUTE($O530,"~","~~"),"*","~*"),"?","~?")))</f>
        <v>22.0</v>
      </c>
      <c r="G530" s="10">
        <f>IF($C530=0,"",COUNTIFS('DEF_SELF_SCOUT_IMPORT'!$L$42:$L$1040,"Y",'DEF_SELF_SCOUT_IMPORT'!$E$42:$E$1040,SUBSTITUTE(SUBSTITUTE(SUBSTITUTE($B530,"~","~~"),"*","~*"),"?","~?"),'DEF_SELF_SCOUT_IMPORT'!$Q$42:$Q$1040,SUBSTITUTE(SUBSTITUTE(SUBSTITUTE($M530,"~","~~"),"*","~*"),"?","~?"),'DEF_SELF_SCOUT_IMPORT'!$G$42:$G$1040,SUBSTITUTE(SUBSTITUTE(SUBSTITUTE($O530,"~","~~"),"*","~*"),"?","~?"),'DEF_SELF_SCOUT_IMPORT'!$H$42:$H$1040,"RUSH")/$C530)</f>
        <v>0.0</v>
      </c>
      <c r="H530" s="10">
        <f>IF($C530=0,"",COUNTIFS('DEF_SELF_SCOUT_IMPORT'!$L$42:$L$1040,"Y",'DEF_SELF_SCOUT_IMPORT'!$E$42:$E$1040,SUBSTITUTE(SUBSTITUTE(SUBSTITUTE($B530,"~","~~"),"*","~*"),"?","~?"),'DEF_SELF_SCOUT_IMPORT'!$Q$42:$Q$1040,SUBSTITUTE(SUBSTITUTE(SUBSTITUTE($M530,"~","~~"),"*","~*"),"?","~?"),'DEF_SELF_SCOUT_IMPORT'!$G$42:$G$1040,SUBSTITUTE(SUBSTITUTE(SUBSTITUTE($O530,"~","~~"),"*","~*"),"?","~?"),'DEF_SELF_SCOUT_IMPORT'!$H$42:$H$1040,"DROPBACK")/$C530)</f>
        <v>1.0</v>
      </c>
      <c r="I530" s="14" t="str">
        <f>IF(C530=0,"",IF(C530&lt;=2,"TRACK",IF(C530=3,"LOW",IF(C530&lt;=6,"MEDIUM","HIGH"))))</f>
        <v>TRACK</v>
      </c>
      <c r="J530" s="11">
        <f>IF(C530=0,"",ROUND(D530*70+(1-E530)*20+MAX(0,MIN(1,(10-F530)/10))*10,1))</f>
        <v>0.0</v>
      </c>
      <c r="K530" s="14" t="str">
        <f>IF(C530=0,"No Evidence",IF(C530&lt;=2,IF(E530&gt;0,"Explosive Alert","Track Only"),IF(C530=3,"Sample Watch",IF(E530&gt;=START_HERE!$B$31,"Explosive Alert",IF(J530&gt;=80,"Strong Candidate",IF(J530&gt;=65,"Good Candidate",IF(J530&gt;=50,"Mixed / Review","Problem Call")))))))</f>
        <v>Explosive Alert</v>
      </c>
      <c r="L530" s="9" t="str">
        <f>IF(COUNTIFS('DEF_SELF_SCOUT_IMPORT'!$L$42:$L$1040,"Y",'DEF_SELF_SCOUT_IMPORT'!$E$42:$E$1040,SUBSTITUTE(SUBSTITUTE(SUBSTITUTE($B530,"~","~~"),"*","~*"),"?","~?"),'DEF_SELF_SCOUT_IMPORT'!$Q$42:$Q$1040,SUBSTITUTE(SUBSTITUTE(SUBSTITUTE($M530,"~","~~"),"*","~*"),"?","~?"),'DEF_SELF_SCOUT_IMPORT'!$G$42:$G$1040,SUBSTITUTE(SUBSTITUTE(SUBSTITUTE($O530,"~","~~"),"*","~*"),"?","~?"),'DEF_SELF_SCOUT_IMPORT'!$J$42:$J$1040,"")&gt;0,"Unscored clean outcome; review result tags before using score.",IF(C530=0,"No matching defensive reps; film confirmation needed.",IF(K530="Explosive Alert","Explosive risk; review clips before using as answer.",IF(C530&lt;=2,"Track only; not enough sample.",IF(C530=3,IF(E530&gt;0,"Sample watch with explosive exposure; review clips and build the sample.",IF(J530&gt;=65,"Good signal, but sample is limited.","Sample watch; review clips and build the sample.")),IF(K530="Problem Call","Problem area; practice or call-sheet review.",IF(K530="Strong Candidate","Strong call-fit candidate; confirm on film.",IF(K530="Good Candidate","Good call-fit signal; confirm on film.","Mixed signal; review fit and execution on film."))))))))</f>
        <v>Explosive risk; review clips before using as answer.</v>
      </c>
      <c r="M530" s="8" t="s">
        <v>103</v>
      </c>
      <c r="N530" s="8"/>
      <c r="O530" s="8" t="s">
        <v>206</v>
      </c>
      <c r="P530" s="8"/>
      <c r="Q530" s="8"/>
      <c r="R530" s="8" t="s">
        <v>28</v>
      </c>
      <c r="S530" s="2" t="s">
        <v>262</v>
      </c>
      <c r="T530" s="2">
        <f>IF(C530=0,0,IF(C530&gt;=CALL_LOOKUP_BOARD!$B$7,IF(OR(K530="Problem Call",K530="Explosive Alert"),10000000,20000000),0)+IF(C530&gt;=CALL_LOOKUP_BOARD!$B$7,J530*1000+MIN(C530,999),C530*1000+J530)+0.00984400)</f>
        <v>1000.009844</v>
      </c>
      <c r="U530" s="2">
        <f>IF(C530=0,"",IF(COUNTIFS($S$375:$S$581,SUBSTITUTE(SUBSTITUTE(SUBSTITUTE(S530,"~","~~"),"*","~*"),"?","~?"),$T$375:$T$581,"&gt;"&amp;T530)=0,S530,""))</f>
        <v/>
      </c>
    </row>
    <row r="531" spans="1:21" ht="38" customHeight="1">
      <c r="A531" s="8" t="s">
        <v>261</v>
      </c>
      <c r="B531" s="8" t="s">
        <v>84</v>
      </c>
      <c r="C531" s="12">
        <f>COUNTIFS('DEF_SELF_SCOUT_IMPORT'!$L$42:$L$1040,"Y",'DEF_SELF_SCOUT_IMPORT'!$E$42:$E$1040,SUBSTITUTE(SUBSTITUTE(SUBSTITUTE($B531,"~","~~"),"*","~*"),"?","~?"),'DEF_SELF_SCOUT_IMPORT'!$Q$42:$Q$1040,SUBSTITUTE(SUBSTITUTE(SUBSTITUTE($M531,"~","~~"),"*","~*"),"?","~?"),'DEF_SELF_SCOUT_IMPORT'!$G$42:$G$1040,SUBSTITUTE(SUBSTITUTE(SUBSTITUTE($O531,"~","~~"),"*","~*"),"?","~?"))</f>
        <v>1</v>
      </c>
      <c r="D531" s="10">
        <f>IF($C531=0,"",SUMIFS('DEF_SELF_SCOUT_IMPORT'!$J$42:$J$1040,'DEF_SELF_SCOUT_IMPORT'!$L$42:$L$1040,"Y",'DEF_SELF_SCOUT_IMPORT'!$E$42:$E$1040,SUBSTITUTE(SUBSTITUTE(SUBSTITUTE($B531,"~","~~"),"*","~*"),"?","~?"),'DEF_SELF_SCOUT_IMPORT'!$Q$42:$Q$1040,SUBSTITUTE(SUBSTITUTE(SUBSTITUTE($M531,"~","~~"),"*","~*"),"?","~?"),'DEF_SELF_SCOUT_IMPORT'!$G$42:$G$1040,SUBSTITUTE(SUBSTITUTE(SUBSTITUTE($O531,"~","~~"),"*","~*"),"?","~?"))/$C531)</f>
        <v>1.0</v>
      </c>
      <c r="E531" s="10">
        <f>IF($C531=0,"",SUMIFS('DEF_SELF_SCOUT_IMPORT'!$K$42:$K$1040,'DEF_SELF_SCOUT_IMPORT'!$L$42:$L$1040,"Y",'DEF_SELF_SCOUT_IMPORT'!$E$42:$E$1040,SUBSTITUTE(SUBSTITUTE(SUBSTITUTE($B531,"~","~~"),"*","~*"),"?","~?"),'DEF_SELF_SCOUT_IMPORT'!$Q$42:$Q$1040,SUBSTITUTE(SUBSTITUTE(SUBSTITUTE($M531,"~","~~"),"*","~*"),"?","~?"),'DEF_SELF_SCOUT_IMPORT'!$G$42:$G$1040,SUBSTITUTE(SUBSTITUTE(SUBSTITUTE($O531,"~","~~"),"*","~*"),"?","~?"))/$C531)</f>
        <v>0.0</v>
      </c>
      <c r="F531" s="11">
        <f>IF($C531=0,"",AVERAGEIFS('DEF_SELF_SCOUT_IMPORT'!$I$42:$I$1040,'DEF_SELF_SCOUT_IMPORT'!$L$42:$L$1040,"Y",'DEF_SELF_SCOUT_IMPORT'!$E$42:$E$1040,SUBSTITUTE(SUBSTITUTE(SUBSTITUTE($B531,"~","~~"),"*","~*"),"?","~?"),'DEF_SELF_SCOUT_IMPORT'!$Q$42:$Q$1040,SUBSTITUTE(SUBSTITUTE(SUBSTITUTE($M531,"~","~~"),"*","~*"),"?","~?"),'DEF_SELF_SCOUT_IMPORT'!$G$42:$G$1040,SUBSTITUTE(SUBSTITUTE(SUBSTITUTE($O531,"~","~~"),"*","~*"),"?","~?")))</f>
        <v>0.0</v>
      </c>
      <c r="G531" s="10">
        <f>IF($C531=0,"",COUNTIFS('DEF_SELF_SCOUT_IMPORT'!$L$42:$L$1040,"Y",'DEF_SELF_SCOUT_IMPORT'!$E$42:$E$1040,SUBSTITUTE(SUBSTITUTE(SUBSTITUTE($B531,"~","~~"),"*","~*"),"?","~?"),'DEF_SELF_SCOUT_IMPORT'!$Q$42:$Q$1040,SUBSTITUTE(SUBSTITUTE(SUBSTITUTE($M531,"~","~~"),"*","~*"),"?","~?"),'DEF_SELF_SCOUT_IMPORT'!$G$42:$G$1040,SUBSTITUTE(SUBSTITUTE(SUBSTITUTE($O531,"~","~~"),"*","~*"),"?","~?"),'DEF_SELF_SCOUT_IMPORT'!$H$42:$H$1040,"RUSH")/$C531)</f>
        <v>0.0</v>
      </c>
      <c r="H531" s="10">
        <f>IF($C531=0,"",COUNTIFS('DEF_SELF_SCOUT_IMPORT'!$L$42:$L$1040,"Y",'DEF_SELF_SCOUT_IMPORT'!$E$42:$E$1040,SUBSTITUTE(SUBSTITUTE(SUBSTITUTE($B531,"~","~~"),"*","~*"),"?","~?"),'DEF_SELF_SCOUT_IMPORT'!$Q$42:$Q$1040,SUBSTITUTE(SUBSTITUTE(SUBSTITUTE($M531,"~","~~"),"*","~*"),"?","~?"),'DEF_SELF_SCOUT_IMPORT'!$G$42:$G$1040,SUBSTITUTE(SUBSTITUTE(SUBSTITUTE($O531,"~","~~"),"*","~*"),"?","~?"),'DEF_SELF_SCOUT_IMPORT'!$H$42:$H$1040,"DROPBACK")/$C531)</f>
        <v>1.0</v>
      </c>
      <c r="I531" s="14" t="str">
        <f>IF(C531=0,"",IF(C531&lt;=2,"TRACK",IF(C531=3,"LOW",IF(C531&lt;=6,"MEDIUM","HIGH"))))</f>
        <v>TRACK</v>
      </c>
      <c r="J531" s="11">
        <f>IF(C531=0,"",ROUND(D531*70+(1-E531)*20+MAX(0,MIN(1,(10-F531)/10))*10,1))</f>
        <v>100.0</v>
      </c>
      <c r="K531" s="14" t="str">
        <f>IF(C531=0,"No Evidence",IF(C531&lt;=2,IF(E531&gt;0,"Explosive Alert","Track Only"),IF(C531=3,"Sample Watch",IF(E531&gt;=START_HERE!$B$31,"Explosive Alert",IF(J531&gt;=80,"Strong Candidate",IF(J531&gt;=65,"Good Candidate",IF(J531&gt;=50,"Mixed / Review","Problem Call")))))))</f>
        <v>Track Only</v>
      </c>
      <c r="L531" s="9" t="str">
        <f>IF(COUNTIFS('DEF_SELF_SCOUT_IMPORT'!$L$42:$L$1040,"Y",'DEF_SELF_SCOUT_IMPORT'!$E$42:$E$1040,SUBSTITUTE(SUBSTITUTE(SUBSTITUTE($B531,"~","~~"),"*","~*"),"?","~?"),'DEF_SELF_SCOUT_IMPORT'!$Q$42:$Q$1040,SUBSTITUTE(SUBSTITUTE(SUBSTITUTE($M531,"~","~~"),"*","~*"),"?","~?"),'DEF_SELF_SCOUT_IMPORT'!$G$42:$G$1040,SUBSTITUTE(SUBSTITUTE(SUBSTITUTE($O531,"~","~~"),"*","~*"),"?","~?"),'DEF_SELF_SCOUT_IMPORT'!$J$42:$J$1040,"")&gt;0,"Unscored clean outcome; review result tags before using score.",IF(C531=0,"No matching defensive reps; film confirmation needed.",IF(K531="Explosive Alert","Explosive risk; review clips before using as answer.",IF(C531&lt;=2,"Track only; not enough sample.",IF(C531=3,IF(E531&gt;0,"Sample watch with explosive exposure; review clips and build the sample.",IF(J531&gt;=65,"Good signal, but sample is limited.","Sample watch; review clips and build the sample.")),IF(K531="Problem Call","Problem area; practice or call-sheet review.",IF(K531="Strong Candidate","Strong call-fit candidate; confirm on film.",IF(K531="Good Candidate","Good call-fit signal; confirm on film.","Mixed signal; review fit and execution on film."))))))))</f>
        <v>Track only; not enough sample.</v>
      </c>
      <c r="M531" s="8" t="s">
        <v>103</v>
      </c>
      <c r="N531" s="8"/>
      <c r="O531" s="8" t="s">
        <v>206</v>
      </c>
      <c r="P531" s="8"/>
      <c r="Q531" s="8"/>
      <c r="R531" s="8" t="s">
        <v>28</v>
      </c>
      <c r="S531" s="2" t="s">
        <v>262</v>
      </c>
      <c r="T531" s="2">
        <f>IF(C531=0,0,IF(C531&gt;=CALL_LOOKUP_BOARD!$B$7,IF(OR(K531="Problem Call",K531="Explosive Alert"),10000000,20000000),0)+IF(C531&gt;=CALL_LOOKUP_BOARD!$B$7,J531*1000+MIN(C531,999),C531*1000+J531)+0.00984300)</f>
        <v>1100.009843</v>
      </c>
      <c r="U531" s="2">
        <f>IF(C531=0,"",IF(COUNTIFS($S$375:$S$581,SUBSTITUTE(SUBSTITUTE(SUBSTITUTE(S531,"~","~~"),"*","~*"),"?","~?"),$T$375:$T$581,"&gt;"&amp;T531)=0,S531,""))</f>
        <v/>
      </c>
    </row>
    <row r="532" spans="1:21" ht="38" customHeight="1">
      <c r="A532" s="8" t="s">
        <v>261</v>
      </c>
      <c r="B532" s="8" t="s">
        <v>102</v>
      </c>
      <c r="C532" s="12">
        <f>COUNTIFS('DEF_SELF_SCOUT_IMPORT'!$L$42:$L$1040,"Y",'DEF_SELF_SCOUT_IMPORT'!$E$42:$E$1040,SUBSTITUTE(SUBSTITUTE(SUBSTITUTE($B532,"~","~~"),"*","~*"),"?","~?"),'DEF_SELF_SCOUT_IMPORT'!$Q$42:$Q$1040,SUBSTITUTE(SUBSTITUTE(SUBSTITUTE($M532,"~","~~"),"*","~*"),"?","~?"),'DEF_SELF_SCOUT_IMPORT'!$G$42:$G$1040,SUBSTITUTE(SUBSTITUTE(SUBSTITUTE($O532,"~","~~"),"*","~*"),"?","~?"))</f>
        <v>1</v>
      </c>
      <c r="D532" s="10">
        <f>IF($C532=0,"",SUMIFS('DEF_SELF_SCOUT_IMPORT'!$J$42:$J$1040,'DEF_SELF_SCOUT_IMPORT'!$L$42:$L$1040,"Y",'DEF_SELF_SCOUT_IMPORT'!$E$42:$E$1040,SUBSTITUTE(SUBSTITUTE(SUBSTITUTE($B532,"~","~~"),"*","~*"),"?","~?"),'DEF_SELF_SCOUT_IMPORT'!$Q$42:$Q$1040,SUBSTITUTE(SUBSTITUTE(SUBSTITUTE($M532,"~","~~"),"*","~*"),"?","~?"),'DEF_SELF_SCOUT_IMPORT'!$G$42:$G$1040,SUBSTITUTE(SUBSTITUTE(SUBSTITUTE($O532,"~","~~"),"*","~*"),"?","~?"))/$C532)</f>
        <v>1.0</v>
      </c>
      <c r="E532" s="10">
        <f>IF($C532=0,"",SUMIFS('DEF_SELF_SCOUT_IMPORT'!$K$42:$K$1040,'DEF_SELF_SCOUT_IMPORT'!$L$42:$L$1040,"Y",'DEF_SELF_SCOUT_IMPORT'!$E$42:$E$1040,SUBSTITUTE(SUBSTITUTE(SUBSTITUTE($B532,"~","~~"),"*","~*"),"?","~?"),'DEF_SELF_SCOUT_IMPORT'!$Q$42:$Q$1040,SUBSTITUTE(SUBSTITUTE(SUBSTITUTE($M532,"~","~~"),"*","~*"),"?","~?"),'DEF_SELF_SCOUT_IMPORT'!$G$42:$G$1040,SUBSTITUTE(SUBSTITUTE(SUBSTITUTE($O532,"~","~~"),"*","~*"),"?","~?"))/$C532)</f>
        <v>0.0</v>
      </c>
      <c r="F532" s="11">
        <f>IF($C532=0,"",AVERAGEIFS('DEF_SELF_SCOUT_IMPORT'!$I$42:$I$1040,'DEF_SELF_SCOUT_IMPORT'!$L$42:$L$1040,"Y",'DEF_SELF_SCOUT_IMPORT'!$E$42:$E$1040,SUBSTITUTE(SUBSTITUTE(SUBSTITUTE($B532,"~","~~"),"*","~*"),"?","~?"),'DEF_SELF_SCOUT_IMPORT'!$Q$42:$Q$1040,SUBSTITUTE(SUBSTITUTE(SUBSTITUTE($M532,"~","~~"),"*","~*"),"?","~?"),'DEF_SELF_SCOUT_IMPORT'!$G$42:$G$1040,SUBSTITUTE(SUBSTITUTE(SUBSTITUTE($O532,"~","~~"),"*","~*"),"?","~?")))</f>
        <v>1.0</v>
      </c>
      <c r="G532" s="10">
        <f>IF($C532=0,"",COUNTIFS('DEF_SELF_SCOUT_IMPORT'!$L$42:$L$1040,"Y",'DEF_SELF_SCOUT_IMPORT'!$E$42:$E$1040,SUBSTITUTE(SUBSTITUTE(SUBSTITUTE($B532,"~","~~"),"*","~*"),"?","~?"),'DEF_SELF_SCOUT_IMPORT'!$Q$42:$Q$1040,SUBSTITUTE(SUBSTITUTE(SUBSTITUTE($M532,"~","~~"),"*","~*"),"?","~?"),'DEF_SELF_SCOUT_IMPORT'!$G$42:$G$1040,SUBSTITUTE(SUBSTITUTE(SUBSTITUTE($O532,"~","~~"),"*","~*"),"?","~?"),'DEF_SELF_SCOUT_IMPORT'!$H$42:$H$1040,"RUSH")/$C532)</f>
        <v>0.0</v>
      </c>
      <c r="H532" s="10">
        <f>IF($C532=0,"",COUNTIFS('DEF_SELF_SCOUT_IMPORT'!$L$42:$L$1040,"Y",'DEF_SELF_SCOUT_IMPORT'!$E$42:$E$1040,SUBSTITUTE(SUBSTITUTE(SUBSTITUTE($B532,"~","~~"),"*","~*"),"?","~?"),'DEF_SELF_SCOUT_IMPORT'!$Q$42:$Q$1040,SUBSTITUTE(SUBSTITUTE(SUBSTITUTE($M532,"~","~~"),"*","~*"),"?","~?"),'DEF_SELF_SCOUT_IMPORT'!$G$42:$G$1040,SUBSTITUTE(SUBSTITUTE(SUBSTITUTE($O532,"~","~~"),"*","~*"),"?","~?"),'DEF_SELF_SCOUT_IMPORT'!$H$42:$H$1040,"DROPBACK")/$C532)</f>
        <v>1.0</v>
      </c>
      <c r="I532" s="14" t="str">
        <f>IF(C532=0,"",IF(C532&lt;=2,"TRACK",IF(C532=3,"LOW",IF(C532&lt;=6,"MEDIUM","HIGH"))))</f>
        <v>TRACK</v>
      </c>
      <c r="J532" s="11">
        <f>IF(C532=0,"",ROUND(D532*70+(1-E532)*20+MAX(0,MIN(1,(10-F532)/10))*10,1))</f>
        <v>99.0</v>
      </c>
      <c r="K532" s="14" t="str">
        <f>IF(C532=0,"No Evidence",IF(C532&lt;=2,IF(E532&gt;0,"Explosive Alert","Track Only"),IF(C532=3,"Sample Watch",IF(E532&gt;=START_HERE!$B$31,"Explosive Alert",IF(J532&gt;=80,"Strong Candidate",IF(J532&gt;=65,"Good Candidate",IF(J532&gt;=50,"Mixed / Review","Problem Call")))))))</f>
        <v>Track Only</v>
      </c>
      <c r="L532" s="9" t="str">
        <f>IF(COUNTIFS('DEF_SELF_SCOUT_IMPORT'!$L$42:$L$1040,"Y",'DEF_SELF_SCOUT_IMPORT'!$E$42:$E$1040,SUBSTITUTE(SUBSTITUTE(SUBSTITUTE($B532,"~","~~"),"*","~*"),"?","~?"),'DEF_SELF_SCOUT_IMPORT'!$Q$42:$Q$1040,SUBSTITUTE(SUBSTITUTE(SUBSTITUTE($M532,"~","~~"),"*","~*"),"?","~?"),'DEF_SELF_SCOUT_IMPORT'!$G$42:$G$1040,SUBSTITUTE(SUBSTITUTE(SUBSTITUTE($O532,"~","~~"),"*","~*"),"?","~?"),'DEF_SELF_SCOUT_IMPORT'!$J$42:$J$1040,"")&gt;0,"Unscored clean outcome; review result tags before using score.",IF(C532=0,"No matching defensive reps; film confirmation needed.",IF(K532="Explosive Alert","Explosive risk; review clips before using as answer.",IF(C532&lt;=2,"Track only; not enough sample.",IF(C532=3,IF(E532&gt;0,"Sample watch with explosive exposure; review clips and build the sample.",IF(J532&gt;=65,"Good signal, but sample is limited.","Sample watch; review clips and build the sample.")),IF(K532="Problem Call","Problem area; practice or call-sheet review.",IF(K532="Strong Candidate","Strong call-fit candidate; confirm on film.",IF(K532="Good Candidate","Good call-fit signal; confirm on film.","Mixed signal; review fit and execution on film."))))))))</f>
        <v>Track only; not enough sample.</v>
      </c>
      <c r="M532" s="8" t="s">
        <v>103</v>
      </c>
      <c r="N532" s="8"/>
      <c r="O532" s="8" t="s">
        <v>206</v>
      </c>
      <c r="P532" s="8"/>
      <c r="Q532" s="8"/>
      <c r="R532" s="8" t="s">
        <v>28</v>
      </c>
      <c r="S532" s="2" t="s">
        <v>262</v>
      </c>
      <c r="T532" s="2">
        <f>IF(C532=0,0,IF(C532&gt;=CALL_LOOKUP_BOARD!$B$7,IF(OR(K532="Problem Call",K532="Explosive Alert"),10000000,20000000),0)+IF(C532&gt;=CALL_LOOKUP_BOARD!$B$7,J532*1000+MIN(C532,999),C532*1000+J532)+0.00984200)</f>
        <v>1099.009842</v>
      </c>
      <c r="U532" s="2">
        <f>IF(C532=0,"",IF(COUNTIFS($S$375:$S$581,SUBSTITUTE(SUBSTITUTE(SUBSTITUTE(S532,"~","~~"),"*","~*"),"?","~?"),$T$375:$T$581,"&gt;"&amp;T532)=0,S532,""))</f>
        <v/>
      </c>
    </row>
    <row r="533" spans="1:21" ht="38" customHeight="1">
      <c r="A533" s="8" t="s">
        <v>261</v>
      </c>
      <c r="B533" s="8" t="s">
        <v>65</v>
      </c>
      <c r="C533" s="12">
        <f>COUNTIFS('DEF_SELF_SCOUT_IMPORT'!$L$42:$L$1040,"Y",'DEF_SELF_SCOUT_IMPORT'!$E$42:$E$1040,SUBSTITUTE(SUBSTITUTE(SUBSTITUTE($B533,"~","~~"),"*","~*"),"?","~?"),'DEF_SELF_SCOUT_IMPORT'!$Q$42:$Q$1040,SUBSTITUTE(SUBSTITUTE(SUBSTITUTE($M533,"~","~~"),"*","~*"),"?","~?"),'DEF_SELF_SCOUT_IMPORT'!$G$42:$G$1040,SUBSTITUTE(SUBSTITUTE(SUBSTITUTE($O533,"~","~~"),"*","~*"),"?","~?"))</f>
        <v>1</v>
      </c>
      <c r="D533" s="10">
        <f>IF($C533=0,"",SUMIFS('DEF_SELF_SCOUT_IMPORT'!$J$42:$J$1040,'DEF_SELF_SCOUT_IMPORT'!$L$42:$L$1040,"Y",'DEF_SELF_SCOUT_IMPORT'!$E$42:$E$1040,SUBSTITUTE(SUBSTITUTE(SUBSTITUTE($B533,"~","~~"),"*","~*"),"?","~?"),'DEF_SELF_SCOUT_IMPORT'!$Q$42:$Q$1040,SUBSTITUTE(SUBSTITUTE(SUBSTITUTE($M533,"~","~~"),"*","~*"),"?","~?"),'DEF_SELF_SCOUT_IMPORT'!$G$42:$G$1040,SUBSTITUTE(SUBSTITUTE(SUBSTITUTE($O533,"~","~~"),"*","~*"),"?","~?"))/$C533)</f>
        <v>0.0</v>
      </c>
      <c r="E533" s="10">
        <f>IF($C533=0,"",SUMIFS('DEF_SELF_SCOUT_IMPORT'!$K$42:$K$1040,'DEF_SELF_SCOUT_IMPORT'!$L$42:$L$1040,"Y",'DEF_SELF_SCOUT_IMPORT'!$E$42:$E$1040,SUBSTITUTE(SUBSTITUTE(SUBSTITUTE($B533,"~","~~"),"*","~*"),"?","~?"),'DEF_SELF_SCOUT_IMPORT'!$Q$42:$Q$1040,SUBSTITUTE(SUBSTITUTE(SUBSTITUTE($M533,"~","~~"),"*","~*"),"?","~?"),'DEF_SELF_SCOUT_IMPORT'!$G$42:$G$1040,SUBSTITUTE(SUBSTITUTE(SUBSTITUTE($O533,"~","~~"),"*","~*"),"?","~?"))/$C533)</f>
        <v>0.0</v>
      </c>
      <c r="F533" s="11">
        <f>IF($C533=0,"",AVERAGEIFS('DEF_SELF_SCOUT_IMPORT'!$I$42:$I$1040,'DEF_SELF_SCOUT_IMPORT'!$L$42:$L$1040,"Y",'DEF_SELF_SCOUT_IMPORT'!$E$42:$E$1040,SUBSTITUTE(SUBSTITUTE(SUBSTITUTE($B533,"~","~~"),"*","~*"),"?","~?"),'DEF_SELF_SCOUT_IMPORT'!$Q$42:$Q$1040,SUBSTITUTE(SUBSTITUTE(SUBSTITUTE($M533,"~","~~"),"*","~*"),"?","~?"),'DEF_SELF_SCOUT_IMPORT'!$G$42:$G$1040,SUBSTITUTE(SUBSTITUTE(SUBSTITUTE($O533,"~","~~"),"*","~*"),"?","~?")))</f>
        <v>5.0</v>
      </c>
      <c r="G533" s="10">
        <f>IF($C533=0,"",COUNTIFS('DEF_SELF_SCOUT_IMPORT'!$L$42:$L$1040,"Y",'DEF_SELF_SCOUT_IMPORT'!$E$42:$E$1040,SUBSTITUTE(SUBSTITUTE(SUBSTITUTE($B533,"~","~~"),"*","~*"),"?","~?"),'DEF_SELF_SCOUT_IMPORT'!$Q$42:$Q$1040,SUBSTITUTE(SUBSTITUTE(SUBSTITUTE($M533,"~","~~"),"*","~*"),"?","~?"),'DEF_SELF_SCOUT_IMPORT'!$G$42:$G$1040,SUBSTITUTE(SUBSTITUTE(SUBSTITUTE($O533,"~","~~"),"*","~*"),"?","~?"),'DEF_SELF_SCOUT_IMPORT'!$H$42:$H$1040,"RUSH")/$C533)</f>
        <v>0.0</v>
      </c>
      <c r="H533" s="10">
        <f>IF($C533=0,"",COUNTIFS('DEF_SELF_SCOUT_IMPORT'!$L$42:$L$1040,"Y",'DEF_SELF_SCOUT_IMPORT'!$E$42:$E$1040,SUBSTITUTE(SUBSTITUTE(SUBSTITUTE($B533,"~","~~"),"*","~*"),"?","~?"),'DEF_SELF_SCOUT_IMPORT'!$Q$42:$Q$1040,SUBSTITUTE(SUBSTITUTE(SUBSTITUTE($M533,"~","~~"),"*","~*"),"?","~?"),'DEF_SELF_SCOUT_IMPORT'!$G$42:$G$1040,SUBSTITUTE(SUBSTITUTE(SUBSTITUTE($O533,"~","~~"),"*","~*"),"?","~?"),'DEF_SELF_SCOUT_IMPORT'!$H$42:$H$1040,"DROPBACK")/$C533)</f>
        <v>1.0</v>
      </c>
      <c r="I533" s="14" t="str">
        <f>IF(C533=0,"",IF(C533&lt;=2,"TRACK",IF(C533=3,"LOW",IF(C533&lt;=6,"MEDIUM","HIGH"))))</f>
        <v>TRACK</v>
      </c>
      <c r="J533" s="11">
        <f>IF(C533=0,"",ROUND(D533*70+(1-E533)*20+MAX(0,MIN(1,(10-F533)/10))*10,1))</f>
        <v>25.0</v>
      </c>
      <c r="K533" s="14" t="str">
        <f>IF(C533=0,"No Evidence",IF(C533&lt;=2,IF(E533&gt;0,"Explosive Alert","Track Only"),IF(C533=3,"Sample Watch",IF(E533&gt;=START_HERE!$B$31,"Explosive Alert",IF(J533&gt;=80,"Strong Candidate",IF(J533&gt;=65,"Good Candidate",IF(J533&gt;=50,"Mixed / Review","Problem Call")))))))</f>
        <v>Track Only</v>
      </c>
      <c r="L533" s="9" t="str">
        <f>IF(COUNTIFS('DEF_SELF_SCOUT_IMPORT'!$L$42:$L$1040,"Y",'DEF_SELF_SCOUT_IMPORT'!$E$42:$E$1040,SUBSTITUTE(SUBSTITUTE(SUBSTITUTE($B533,"~","~~"),"*","~*"),"?","~?"),'DEF_SELF_SCOUT_IMPORT'!$Q$42:$Q$1040,SUBSTITUTE(SUBSTITUTE(SUBSTITUTE($M533,"~","~~"),"*","~*"),"?","~?"),'DEF_SELF_SCOUT_IMPORT'!$G$42:$G$1040,SUBSTITUTE(SUBSTITUTE(SUBSTITUTE($O533,"~","~~"),"*","~*"),"?","~?"),'DEF_SELF_SCOUT_IMPORT'!$J$42:$J$1040,"")&gt;0,"Unscored clean outcome; review result tags before using score.",IF(C533=0,"No matching defensive reps; film confirmation needed.",IF(K533="Explosive Alert","Explosive risk; review clips before using as answer.",IF(C533&lt;=2,"Track only; not enough sample.",IF(C533=3,IF(E533&gt;0,"Sample watch with explosive exposure; review clips and build the sample.",IF(J533&gt;=65,"Good signal, but sample is limited.","Sample watch; review clips and build the sample.")),IF(K533="Problem Call","Problem area; practice or call-sheet review.",IF(K533="Strong Candidate","Strong call-fit candidate; confirm on film.",IF(K533="Good Candidate","Good call-fit signal; confirm on film.","Mixed signal; review fit and execution on film."))))))))</f>
        <v>Track only; not enough sample.</v>
      </c>
      <c r="M533" s="8" t="s">
        <v>103</v>
      </c>
      <c r="N533" s="8"/>
      <c r="O533" s="8" t="s">
        <v>206</v>
      </c>
      <c r="P533" s="8"/>
      <c r="Q533" s="8"/>
      <c r="R533" s="8" t="s">
        <v>28</v>
      </c>
      <c r="S533" s="2" t="s">
        <v>262</v>
      </c>
      <c r="T533" s="2">
        <f>IF(C533=0,0,IF(C533&gt;=CALL_LOOKUP_BOARD!$B$7,IF(OR(K533="Problem Call",K533="Explosive Alert"),10000000,20000000),0)+IF(C533&gt;=CALL_LOOKUP_BOARD!$B$7,J533*1000+MIN(C533,999),C533*1000+J533)+0.00984100)</f>
        <v>1025.009841</v>
      </c>
      <c r="U533" s="2">
        <f>IF(C533=0,"",IF(COUNTIFS($S$375:$S$581,SUBSTITUTE(SUBSTITUTE(SUBSTITUTE(S533,"~","~~"),"*","~*"),"?","~?"),$T$375:$T$581,"&gt;"&amp;T533)=0,S533,""))</f>
        <v/>
      </c>
    </row>
    <row r="534" spans="1:21" ht="38" customHeight="1">
      <c r="A534" s="8" t="s">
        <v>261</v>
      </c>
      <c r="B534" s="8" t="s">
        <v>66</v>
      </c>
      <c r="C534" s="12">
        <f>COUNTIFS('DEF_SELF_SCOUT_IMPORT'!$L$42:$L$1040,"Y",'DEF_SELF_SCOUT_IMPORT'!$E$42:$E$1040,SUBSTITUTE(SUBSTITUTE(SUBSTITUTE($B534,"~","~~"),"*","~*"),"?","~?"),'DEF_SELF_SCOUT_IMPORT'!$Q$42:$Q$1040,SUBSTITUTE(SUBSTITUTE(SUBSTITUTE($M534,"~","~~"),"*","~*"),"?","~?"),'DEF_SELF_SCOUT_IMPORT'!$G$42:$G$1040,SUBSTITUTE(SUBSTITUTE(SUBSTITUTE($O534,"~","~~"),"*","~*"),"?","~?"))</f>
        <v>1</v>
      </c>
      <c r="D534" s="10">
        <f>IF($C534=0,"",SUMIFS('DEF_SELF_SCOUT_IMPORT'!$J$42:$J$1040,'DEF_SELF_SCOUT_IMPORT'!$L$42:$L$1040,"Y",'DEF_SELF_SCOUT_IMPORT'!$E$42:$E$1040,SUBSTITUTE(SUBSTITUTE(SUBSTITUTE($B534,"~","~~"),"*","~*"),"?","~?"),'DEF_SELF_SCOUT_IMPORT'!$Q$42:$Q$1040,SUBSTITUTE(SUBSTITUTE(SUBSTITUTE($M534,"~","~~"),"*","~*"),"?","~?"),'DEF_SELF_SCOUT_IMPORT'!$G$42:$G$1040,SUBSTITUTE(SUBSTITUTE(SUBSTITUTE($O534,"~","~~"),"*","~*"),"?","~?"))/$C534)</f>
        <v>1.0</v>
      </c>
      <c r="E534" s="10">
        <f>IF($C534=0,"",SUMIFS('DEF_SELF_SCOUT_IMPORT'!$K$42:$K$1040,'DEF_SELF_SCOUT_IMPORT'!$L$42:$L$1040,"Y",'DEF_SELF_SCOUT_IMPORT'!$E$42:$E$1040,SUBSTITUTE(SUBSTITUTE(SUBSTITUTE($B534,"~","~~"),"*","~*"),"?","~?"),'DEF_SELF_SCOUT_IMPORT'!$Q$42:$Q$1040,SUBSTITUTE(SUBSTITUTE(SUBSTITUTE($M534,"~","~~"),"*","~*"),"?","~?"),'DEF_SELF_SCOUT_IMPORT'!$G$42:$G$1040,SUBSTITUTE(SUBSTITUTE(SUBSTITUTE($O534,"~","~~"),"*","~*"),"?","~?"))/$C534)</f>
        <v>0.0</v>
      </c>
      <c r="F534" s="11">
        <f>IF($C534=0,"",AVERAGEIFS('DEF_SELF_SCOUT_IMPORT'!$I$42:$I$1040,'DEF_SELF_SCOUT_IMPORT'!$L$42:$L$1040,"Y",'DEF_SELF_SCOUT_IMPORT'!$E$42:$E$1040,SUBSTITUTE(SUBSTITUTE(SUBSTITUTE($B534,"~","~~"),"*","~*"),"?","~?"),'DEF_SELF_SCOUT_IMPORT'!$Q$42:$Q$1040,SUBSTITUTE(SUBSTITUTE(SUBSTITUTE($M534,"~","~~"),"*","~*"),"?","~?"),'DEF_SELF_SCOUT_IMPORT'!$G$42:$G$1040,SUBSTITUTE(SUBSTITUTE(SUBSTITUTE($O534,"~","~~"),"*","~*"),"?","~?")))</f>
        <v>0.0</v>
      </c>
      <c r="G534" s="10">
        <f>IF($C534=0,"",COUNTIFS('DEF_SELF_SCOUT_IMPORT'!$L$42:$L$1040,"Y",'DEF_SELF_SCOUT_IMPORT'!$E$42:$E$1040,SUBSTITUTE(SUBSTITUTE(SUBSTITUTE($B534,"~","~~"),"*","~*"),"?","~?"),'DEF_SELF_SCOUT_IMPORT'!$Q$42:$Q$1040,SUBSTITUTE(SUBSTITUTE(SUBSTITUTE($M534,"~","~~"),"*","~*"),"?","~?"),'DEF_SELF_SCOUT_IMPORT'!$G$42:$G$1040,SUBSTITUTE(SUBSTITUTE(SUBSTITUTE($O534,"~","~~"),"*","~*"),"?","~?"),'DEF_SELF_SCOUT_IMPORT'!$H$42:$H$1040,"RUSH")/$C534)</f>
        <v>1.0</v>
      </c>
      <c r="H534" s="10">
        <f>IF($C534=0,"",COUNTIFS('DEF_SELF_SCOUT_IMPORT'!$L$42:$L$1040,"Y",'DEF_SELF_SCOUT_IMPORT'!$E$42:$E$1040,SUBSTITUTE(SUBSTITUTE(SUBSTITUTE($B534,"~","~~"),"*","~*"),"?","~?"),'DEF_SELF_SCOUT_IMPORT'!$Q$42:$Q$1040,SUBSTITUTE(SUBSTITUTE(SUBSTITUTE($M534,"~","~~"),"*","~*"),"?","~?"),'DEF_SELF_SCOUT_IMPORT'!$G$42:$G$1040,SUBSTITUTE(SUBSTITUTE(SUBSTITUTE($O534,"~","~~"),"*","~*"),"?","~?"),'DEF_SELF_SCOUT_IMPORT'!$H$42:$H$1040,"DROPBACK")/$C534)</f>
        <v>0.0</v>
      </c>
      <c r="I534" s="14" t="str">
        <f>IF(C534=0,"",IF(C534&lt;=2,"TRACK",IF(C534=3,"LOW",IF(C534&lt;=6,"MEDIUM","HIGH"))))</f>
        <v>TRACK</v>
      </c>
      <c r="J534" s="11">
        <f>IF(C534=0,"",ROUND(D534*70+(1-E534)*20+MAX(0,MIN(1,(10-F534)/10))*10,1))</f>
        <v>100.0</v>
      </c>
      <c r="K534" s="14" t="str">
        <f>IF(C534=0,"No Evidence",IF(C534&lt;=2,IF(E534&gt;0,"Explosive Alert","Track Only"),IF(C534=3,"Sample Watch",IF(E534&gt;=START_HERE!$B$31,"Explosive Alert",IF(J534&gt;=80,"Strong Candidate",IF(J534&gt;=65,"Good Candidate",IF(J534&gt;=50,"Mixed / Review","Problem Call")))))))</f>
        <v>Track Only</v>
      </c>
      <c r="L534" s="9" t="str">
        <f>IF(COUNTIFS('DEF_SELF_SCOUT_IMPORT'!$L$42:$L$1040,"Y",'DEF_SELF_SCOUT_IMPORT'!$E$42:$E$1040,SUBSTITUTE(SUBSTITUTE(SUBSTITUTE($B534,"~","~~"),"*","~*"),"?","~?"),'DEF_SELF_SCOUT_IMPORT'!$Q$42:$Q$1040,SUBSTITUTE(SUBSTITUTE(SUBSTITUTE($M534,"~","~~"),"*","~*"),"?","~?"),'DEF_SELF_SCOUT_IMPORT'!$G$42:$G$1040,SUBSTITUTE(SUBSTITUTE(SUBSTITUTE($O534,"~","~~"),"*","~*"),"?","~?"),'DEF_SELF_SCOUT_IMPORT'!$J$42:$J$1040,"")&gt;0,"Unscored clean outcome; review result tags before using score.",IF(C534=0,"No matching defensive reps; film confirmation needed.",IF(K534="Explosive Alert","Explosive risk; review clips before using as answer.",IF(C534&lt;=2,"Track only; not enough sample.",IF(C534=3,IF(E534&gt;0,"Sample watch with explosive exposure; review clips and build the sample.",IF(J534&gt;=65,"Good signal, but sample is limited.","Sample watch; review clips and build the sample.")),IF(K534="Problem Call","Problem area; practice or call-sheet review.",IF(K534="Strong Candidate","Strong call-fit candidate; confirm on film.",IF(K534="Good Candidate","Good call-fit signal; confirm on film.","Mixed signal; review fit and execution on film."))))))))</f>
        <v>Track only; not enough sample.</v>
      </c>
      <c r="M534" s="8" t="s">
        <v>103</v>
      </c>
      <c r="N534" s="8"/>
      <c r="O534" s="8" t="s">
        <v>206</v>
      </c>
      <c r="P534" s="8"/>
      <c r="Q534" s="8"/>
      <c r="R534" s="8" t="s">
        <v>28</v>
      </c>
      <c r="S534" s="2" t="s">
        <v>262</v>
      </c>
      <c r="T534" s="2">
        <f>IF(C534=0,0,IF(C534&gt;=CALL_LOOKUP_BOARD!$B$7,IF(OR(K534="Problem Call",K534="Explosive Alert"),10000000,20000000),0)+IF(C534&gt;=CALL_LOOKUP_BOARD!$B$7,J534*1000+MIN(C534,999),C534*1000+J534)+0.00984000)</f>
        <v>1100.00984</v>
      </c>
      <c r="U534" s="2">
        <f>IF(C534=0,"",IF(COUNTIFS($S$375:$S$581,SUBSTITUTE(SUBSTITUTE(SUBSTITUTE(S534,"~","~~"),"*","~*"),"?","~?"),$T$375:$T$581,"&gt;"&amp;T534)=0,S534,""))</f>
        <v/>
      </c>
    </row>
    <row r="535" spans="1:21" ht="38" customHeight="1">
      <c r="A535" s="8" t="s">
        <v>263</v>
      </c>
      <c r="B535" s="8" t="s">
        <v>60</v>
      </c>
      <c r="C535" s="12">
        <f>COUNTIFS('DEF_SELF_SCOUT_IMPORT'!$L$42:$L$1040,"Y",'DEF_SELF_SCOUT_IMPORT'!$E$42:$E$1040,SUBSTITUTE(SUBSTITUTE(SUBSTITUTE($B535,"~","~~"),"*","~*"),"?","~?"),'DEF_SELF_SCOUT_IMPORT'!$Q$42:$Q$1040,SUBSTITUTE(SUBSTITUTE(SUBSTITUTE($M535,"~","~~"),"*","~*"),"?","~?"),'DEF_SELF_SCOUT_IMPORT'!$G$42:$G$1040,SUBSTITUTE(SUBSTITUTE(SUBSTITUTE($O535,"~","~~"),"*","~*"),"?","~?"))</f>
        <v>1</v>
      </c>
      <c r="D535" s="10">
        <f>IF($C535=0,"",SUMIFS('DEF_SELF_SCOUT_IMPORT'!$J$42:$J$1040,'DEF_SELF_SCOUT_IMPORT'!$L$42:$L$1040,"Y",'DEF_SELF_SCOUT_IMPORT'!$E$42:$E$1040,SUBSTITUTE(SUBSTITUTE(SUBSTITUTE($B535,"~","~~"),"*","~*"),"?","~?"),'DEF_SELF_SCOUT_IMPORT'!$Q$42:$Q$1040,SUBSTITUTE(SUBSTITUTE(SUBSTITUTE($M535,"~","~~"),"*","~*"),"?","~?"),'DEF_SELF_SCOUT_IMPORT'!$G$42:$G$1040,SUBSTITUTE(SUBSTITUTE(SUBSTITUTE($O535,"~","~~"),"*","~*"),"?","~?"))/$C535)</f>
        <v>1.0</v>
      </c>
      <c r="E535" s="10">
        <f>IF($C535=0,"",SUMIFS('DEF_SELF_SCOUT_IMPORT'!$K$42:$K$1040,'DEF_SELF_SCOUT_IMPORT'!$L$42:$L$1040,"Y",'DEF_SELF_SCOUT_IMPORT'!$E$42:$E$1040,SUBSTITUTE(SUBSTITUTE(SUBSTITUTE($B535,"~","~~"),"*","~*"),"?","~?"),'DEF_SELF_SCOUT_IMPORT'!$Q$42:$Q$1040,SUBSTITUTE(SUBSTITUTE(SUBSTITUTE($M535,"~","~~"),"*","~*"),"?","~?"),'DEF_SELF_SCOUT_IMPORT'!$G$42:$G$1040,SUBSTITUTE(SUBSTITUTE(SUBSTITUTE($O535,"~","~~"),"*","~*"),"?","~?"))/$C535)</f>
        <v>0.0</v>
      </c>
      <c r="F535" s="11">
        <f>IF($C535=0,"",AVERAGEIFS('DEF_SELF_SCOUT_IMPORT'!$I$42:$I$1040,'DEF_SELF_SCOUT_IMPORT'!$L$42:$L$1040,"Y",'DEF_SELF_SCOUT_IMPORT'!$E$42:$E$1040,SUBSTITUTE(SUBSTITUTE(SUBSTITUTE($B535,"~","~~"),"*","~*"),"?","~?"),'DEF_SELF_SCOUT_IMPORT'!$Q$42:$Q$1040,SUBSTITUTE(SUBSTITUTE(SUBSTITUTE($M535,"~","~~"),"*","~*"),"?","~?"),'DEF_SELF_SCOUT_IMPORT'!$G$42:$G$1040,SUBSTITUTE(SUBSTITUTE(SUBSTITUTE($O535,"~","~~"),"*","~*"),"?","~?")))</f>
        <v>0.0</v>
      </c>
      <c r="G535" s="10">
        <f>IF($C535=0,"",COUNTIFS('DEF_SELF_SCOUT_IMPORT'!$L$42:$L$1040,"Y",'DEF_SELF_SCOUT_IMPORT'!$E$42:$E$1040,SUBSTITUTE(SUBSTITUTE(SUBSTITUTE($B535,"~","~~"),"*","~*"),"?","~?"),'DEF_SELF_SCOUT_IMPORT'!$Q$42:$Q$1040,SUBSTITUTE(SUBSTITUTE(SUBSTITUTE($M535,"~","~~"),"*","~*"),"?","~?"),'DEF_SELF_SCOUT_IMPORT'!$G$42:$G$1040,SUBSTITUTE(SUBSTITUTE(SUBSTITUTE($O535,"~","~~"),"*","~*"),"?","~?"),'DEF_SELF_SCOUT_IMPORT'!$H$42:$H$1040,"RUSH")/$C535)</f>
        <v>0.0</v>
      </c>
      <c r="H535" s="10">
        <f>IF($C535=0,"",COUNTIFS('DEF_SELF_SCOUT_IMPORT'!$L$42:$L$1040,"Y",'DEF_SELF_SCOUT_IMPORT'!$E$42:$E$1040,SUBSTITUTE(SUBSTITUTE(SUBSTITUTE($B535,"~","~~"),"*","~*"),"?","~?"),'DEF_SELF_SCOUT_IMPORT'!$Q$42:$Q$1040,SUBSTITUTE(SUBSTITUTE(SUBSTITUTE($M535,"~","~~"),"*","~*"),"?","~?"),'DEF_SELF_SCOUT_IMPORT'!$G$42:$G$1040,SUBSTITUTE(SUBSTITUTE(SUBSTITUTE($O535,"~","~~"),"*","~*"),"?","~?"),'DEF_SELF_SCOUT_IMPORT'!$H$42:$H$1040,"DROPBACK")/$C535)</f>
        <v>1.0</v>
      </c>
      <c r="I535" s="14" t="str">
        <f>IF(C535=0,"",IF(C535&lt;=2,"TRACK",IF(C535=3,"LOW",IF(C535&lt;=6,"MEDIUM","HIGH"))))</f>
        <v>TRACK</v>
      </c>
      <c r="J535" s="11">
        <f>IF(C535=0,"",ROUND(D535*70+(1-E535)*20+MAX(0,MIN(1,(10-F535)/10))*10,1))</f>
        <v>100.0</v>
      </c>
      <c r="K535" s="14" t="str">
        <f>IF(C535=0,"No Evidence",IF(C535&lt;=2,IF(E535&gt;0,"Explosive Alert","Track Only"),IF(C535=3,"Sample Watch",IF(E535&gt;=START_HERE!$B$31,"Explosive Alert",IF(J535&gt;=80,"Strong Candidate",IF(J535&gt;=65,"Good Candidate",IF(J535&gt;=50,"Mixed / Review","Problem Call")))))))</f>
        <v>Track Only</v>
      </c>
      <c r="L535" s="9" t="str">
        <f>IF(COUNTIFS('DEF_SELF_SCOUT_IMPORT'!$L$42:$L$1040,"Y",'DEF_SELF_SCOUT_IMPORT'!$E$42:$E$1040,SUBSTITUTE(SUBSTITUTE(SUBSTITUTE($B535,"~","~~"),"*","~*"),"?","~?"),'DEF_SELF_SCOUT_IMPORT'!$Q$42:$Q$1040,SUBSTITUTE(SUBSTITUTE(SUBSTITUTE($M535,"~","~~"),"*","~*"),"?","~?"),'DEF_SELF_SCOUT_IMPORT'!$G$42:$G$1040,SUBSTITUTE(SUBSTITUTE(SUBSTITUTE($O535,"~","~~"),"*","~*"),"?","~?"),'DEF_SELF_SCOUT_IMPORT'!$J$42:$J$1040,"")&gt;0,"Unscored clean outcome; review result tags before using score.",IF(C535=0,"No matching defensive reps; film confirmation needed.",IF(K535="Explosive Alert","Explosive risk; review clips before using as answer.",IF(C535&lt;=2,"Track only; not enough sample.",IF(C535=3,IF(E535&gt;0,"Sample watch with explosive exposure; review clips and build the sample.",IF(J535&gt;=65,"Good signal, but sample is limited.","Sample watch; review clips and build the sample.")),IF(K535="Problem Call","Problem area; practice or call-sheet review.",IF(K535="Strong Candidate","Strong call-fit candidate; confirm on film.",IF(K535="Good Candidate","Good call-fit signal; confirm on film.","Mixed signal; review fit and execution on film."))))))))</f>
        <v>Track only; not enough sample.</v>
      </c>
      <c r="M535" s="8" t="s">
        <v>103</v>
      </c>
      <c r="N535" s="8"/>
      <c r="O535" s="8" t="s">
        <v>215</v>
      </c>
      <c r="P535" s="8"/>
      <c r="Q535" s="8"/>
      <c r="R535" s="8" t="s">
        <v>28</v>
      </c>
      <c r="S535" s="2" t="s">
        <v>264</v>
      </c>
      <c r="T535" s="2">
        <f>IF(C535=0,0,IF(C535&gt;=CALL_LOOKUP_BOARD!$B$7,IF(OR(K535="Problem Call",K535="Explosive Alert"),10000000,20000000),0)+IF(C535&gt;=CALL_LOOKUP_BOARD!$B$7,J535*1000+MIN(C535,999),C535*1000+J535)+0.00983900)</f>
        <v>1100.009839</v>
      </c>
      <c r="U535" s="2" t="str">
        <f>IF(C535=0,"",IF(COUNTIFS($S$375:$S$581,SUBSTITUTE(SUBSTITUTE(SUBSTITUTE(S535,"~","~~"),"*","~*"),"?","~?"),$T$375:$T$581,"&gt;"&amp;T535)=0,S535,""))</f>
        <v>6:3D 4-6|3:4X1|</v>
      </c>
    </row>
    <row r="536" spans="1:21" ht="38" customHeight="1">
      <c r="A536" s="8" t="s">
        <v>265</v>
      </c>
      <c r="B536" s="8" t="s">
        <v>93</v>
      </c>
      <c r="C536" s="12">
        <f>COUNTIFS('DEF_SELF_SCOUT_IMPORT'!$L$42:$L$1040,"Y",'DEF_SELF_SCOUT_IMPORT'!$E$42:$E$1040,SUBSTITUTE(SUBSTITUTE(SUBSTITUTE($B536,"~","~~"),"*","~*"),"?","~?"),'DEF_SELF_SCOUT_IMPORT'!$Q$42:$Q$1040,SUBSTITUTE(SUBSTITUTE(SUBSTITUTE($M536,"~","~~"),"*","~*"),"?","~?"),'DEF_SELF_SCOUT_IMPORT'!$G$42:$G$1040,SUBSTITUTE(SUBSTITUTE(SUBSTITUTE($O536,"~","~~"),"*","~*"),"?","~?"))</f>
        <v>1</v>
      </c>
      <c r="D536" s="10">
        <f>IF($C536=0,"",SUMIFS('DEF_SELF_SCOUT_IMPORT'!$J$42:$J$1040,'DEF_SELF_SCOUT_IMPORT'!$L$42:$L$1040,"Y",'DEF_SELF_SCOUT_IMPORT'!$E$42:$E$1040,SUBSTITUTE(SUBSTITUTE(SUBSTITUTE($B536,"~","~~"),"*","~*"),"?","~?"),'DEF_SELF_SCOUT_IMPORT'!$Q$42:$Q$1040,SUBSTITUTE(SUBSTITUTE(SUBSTITUTE($M536,"~","~~"),"*","~*"),"?","~?"),'DEF_SELF_SCOUT_IMPORT'!$G$42:$G$1040,SUBSTITUTE(SUBSTITUTE(SUBSTITUTE($O536,"~","~~"),"*","~*"),"?","~?"))/$C536)</f>
        <v>0.0</v>
      </c>
      <c r="E536" s="10">
        <f>IF($C536=0,"",SUMIFS('DEF_SELF_SCOUT_IMPORT'!$K$42:$K$1040,'DEF_SELF_SCOUT_IMPORT'!$L$42:$L$1040,"Y",'DEF_SELF_SCOUT_IMPORT'!$E$42:$E$1040,SUBSTITUTE(SUBSTITUTE(SUBSTITUTE($B536,"~","~~"),"*","~*"),"?","~?"),'DEF_SELF_SCOUT_IMPORT'!$Q$42:$Q$1040,SUBSTITUTE(SUBSTITUTE(SUBSTITUTE($M536,"~","~~"),"*","~*"),"?","~?"),'DEF_SELF_SCOUT_IMPORT'!$G$42:$G$1040,SUBSTITUTE(SUBSTITUTE(SUBSTITUTE($O536,"~","~~"),"*","~*"),"?","~?"))/$C536)</f>
        <v>1.0</v>
      </c>
      <c r="F536" s="11">
        <f>IF($C536=0,"",AVERAGEIFS('DEF_SELF_SCOUT_IMPORT'!$I$42:$I$1040,'DEF_SELF_SCOUT_IMPORT'!$L$42:$L$1040,"Y",'DEF_SELF_SCOUT_IMPORT'!$E$42:$E$1040,SUBSTITUTE(SUBSTITUTE(SUBSTITUTE($B536,"~","~~"),"*","~*"),"?","~?"),'DEF_SELF_SCOUT_IMPORT'!$Q$42:$Q$1040,SUBSTITUTE(SUBSTITUTE(SUBSTITUTE($M536,"~","~~"),"*","~*"),"?","~?"),'DEF_SELF_SCOUT_IMPORT'!$G$42:$G$1040,SUBSTITUTE(SUBSTITUTE(SUBSTITUTE($O536,"~","~~"),"*","~*"),"?","~?")))</f>
        <v>21.0</v>
      </c>
      <c r="G536" s="10">
        <f>IF($C536=0,"",COUNTIFS('DEF_SELF_SCOUT_IMPORT'!$L$42:$L$1040,"Y",'DEF_SELF_SCOUT_IMPORT'!$E$42:$E$1040,SUBSTITUTE(SUBSTITUTE(SUBSTITUTE($B536,"~","~~"),"*","~*"),"?","~?"),'DEF_SELF_SCOUT_IMPORT'!$Q$42:$Q$1040,SUBSTITUTE(SUBSTITUTE(SUBSTITUTE($M536,"~","~~"),"*","~*"),"?","~?"),'DEF_SELF_SCOUT_IMPORT'!$G$42:$G$1040,SUBSTITUTE(SUBSTITUTE(SUBSTITUTE($O536,"~","~~"),"*","~*"),"?","~?"),'DEF_SELF_SCOUT_IMPORT'!$H$42:$H$1040,"RUSH")/$C536)</f>
        <v>0.0</v>
      </c>
      <c r="H536" s="10">
        <f>IF($C536=0,"",COUNTIFS('DEF_SELF_SCOUT_IMPORT'!$L$42:$L$1040,"Y",'DEF_SELF_SCOUT_IMPORT'!$E$42:$E$1040,SUBSTITUTE(SUBSTITUTE(SUBSTITUTE($B536,"~","~~"),"*","~*"),"?","~?"),'DEF_SELF_SCOUT_IMPORT'!$Q$42:$Q$1040,SUBSTITUTE(SUBSTITUTE(SUBSTITUTE($M536,"~","~~"),"*","~*"),"?","~?"),'DEF_SELF_SCOUT_IMPORT'!$G$42:$G$1040,SUBSTITUTE(SUBSTITUTE(SUBSTITUTE($O536,"~","~~"),"*","~*"),"?","~?"),'DEF_SELF_SCOUT_IMPORT'!$H$42:$H$1040,"DROPBACK")/$C536)</f>
        <v>1.0</v>
      </c>
      <c r="I536" s="14" t="str">
        <f>IF(C536=0,"",IF(C536&lt;=2,"TRACK",IF(C536=3,"LOW",IF(C536&lt;=6,"MEDIUM","HIGH"))))</f>
        <v>TRACK</v>
      </c>
      <c r="J536" s="11">
        <f>IF(C536=0,"",ROUND(D536*70+(1-E536)*20+MAX(0,MIN(1,(10-F536)/10))*10,1))</f>
        <v>0.0</v>
      </c>
      <c r="K536" s="14" t="str">
        <f>IF(C536=0,"No Evidence",IF(C536&lt;=2,IF(E536&gt;0,"Explosive Alert","Track Only"),IF(C536=3,"Sample Watch",IF(E536&gt;=START_HERE!$B$31,"Explosive Alert",IF(J536&gt;=80,"Strong Candidate",IF(J536&gt;=65,"Good Candidate",IF(J536&gt;=50,"Mixed / Review","Problem Call")))))))</f>
        <v>Explosive Alert</v>
      </c>
      <c r="L536" s="9" t="str">
        <f>IF(COUNTIFS('DEF_SELF_SCOUT_IMPORT'!$L$42:$L$1040,"Y",'DEF_SELF_SCOUT_IMPORT'!$E$42:$E$1040,SUBSTITUTE(SUBSTITUTE(SUBSTITUTE($B536,"~","~~"),"*","~*"),"?","~?"),'DEF_SELF_SCOUT_IMPORT'!$Q$42:$Q$1040,SUBSTITUTE(SUBSTITUTE(SUBSTITUTE($M536,"~","~~"),"*","~*"),"?","~?"),'DEF_SELF_SCOUT_IMPORT'!$G$42:$G$1040,SUBSTITUTE(SUBSTITUTE(SUBSTITUTE($O536,"~","~~"),"*","~*"),"?","~?"),'DEF_SELF_SCOUT_IMPORT'!$J$42:$J$1040,"")&gt;0,"Unscored clean outcome; review result tags before using score.",IF(C536=0,"No matching defensive reps; film confirmation needed.",IF(K536="Explosive Alert","Explosive risk; review clips before using as answer.",IF(C536&lt;=2,"Track only; not enough sample.",IF(C536=3,IF(E536&gt;0,"Sample watch with explosive exposure; review clips and build the sample.",IF(J536&gt;=65,"Good signal, but sample is limited.","Sample watch; review clips and build the sample.")),IF(K536="Problem Call","Problem area; practice or call-sheet review.",IF(K536="Strong Candidate","Strong call-fit candidate; confirm on film.",IF(K536="Good Candidate","Good call-fit signal; confirm on film.","Mixed signal; review fit and execution on film."))))))))</f>
        <v>Explosive risk; review clips before using as answer.</v>
      </c>
      <c r="M536" s="8" t="s">
        <v>107</v>
      </c>
      <c r="N536" s="8"/>
      <c r="O536" s="8" t="s">
        <v>203</v>
      </c>
      <c r="P536" s="8"/>
      <c r="Q536" s="8"/>
      <c r="R536" s="8" t="s">
        <v>28</v>
      </c>
      <c r="S536" s="2" t="s">
        <v>266</v>
      </c>
      <c r="T536" s="2">
        <f>IF(C536=0,0,IF(C536&gt;=CALL_LOOKUP_BOARD!$B$7,IF(OR(K536="Problem Call",K536="Explosive Alert"),10000000,20000000),0)+IF(C536&gt;=CALL_LOOKUP_BOARD!$B$7,J536*1000+MIN(C536,999),C536*1000+J536)+0.00983800)</f>
        <v>1000.009838</v>
      </c>
      <c r="U536" s="2">
        <f>IF(C536=0,"",IF(COUNTIFS($S$375:$S$581,SUBSTITUTE(SUBSTITUTE(SUBSTITUTE(S536,"~","~~"),"*","~*"),"?","~?"),$T$375:$T$581,"&gt;"&amp;T536)=0,S536,""))</f>
        <v/>
      </c>
    </row>
    <row r="537" spans="1:21" ht="38" customHeight="1">
      <c r="A537" s="8" t="s">
        <v>265</v>
      </c>
      <c r="B537" s="8" t="s">
        <v>27</v>
      </c>
      <c r="C537" s="12">
        <f>COUNTIFS('DEF_SELF_SCOUT_IMPORT'!$L$42:$L$1040,"Y",'DEF_SELF_SCOUT_IMPORT'!$E$42:$E$1040,SUBSTITUTE(SUBSTITUTE(SUBSTITUTE($B537,"~","~~"),"*","~*"),"?","~?"),'DEF_SELF_SCOUT_IMPORT'!$Q$42:$Q$1040,SUBSTITUTE(SUBSTITUTE(SUBSTITUTE($M537,"~","~~"),"*","~*"),"?","~?"),'DEF_SELF_SCOUT_IMPORT'!$G$42:$G$1040,SUBSTITUTE(SUBSTITUTE(SUBSTITUTE($O537,"~","~~"),"*","~*"),"?","~?"))</f>
        <v>1</v>
      </c>
      <c r="D537" s="10">
        <f>IF($C537=0,"",SUMIFS('DEF_SELF_SCOUT_IMPORT'!$J$42:$J$1040,'DEF_SELF_SCOUT_IMPORT'!$L$42:$L$1040,"Y",'DEF_SELF_SCOUT_IMPORT'!$E$42:$E$1040,SUBSTITUTE(SUBSTITUTE(SUBSTITUTE($B537,"~","~~"),"*","~*"),"?","~?"),'DEF_SELF_SCOUT_IMPORT'!$Q$42:$Q$1040,SUBSTITUTE(SUBSTITUTE(SUBSTITUTE($M537,"~","~~"),"*","~*"),"?","~?"),'DEF_SELF_SCOUT_IMPORT'!$G$42:$G$1040,SUBSTITUTE(SUBSTITUTE(SUBSTITUTE($O537,"~","~~"),"*","~*"),"?","~?"))/$C537)</f>
        <v>1.0</v>
      </c>
      <c r="E537" s="10">
        <f>IF($C537=0,"",SUMIFS('DEF_SELF_SCOUT_IMPORT'!$K$42:$K$1040,'DEF_SELF_SCOUT_IMPORT'!$L$42:$L$1040,"Y",'DEF_SELF_SCOUT_IMPORT'!$E$42:$E$1040,SUBSTITUTE(SUBSTITUTE(SUBSTITUTE($B537,"~","~~"),"*","~*"),"?","~?"),'DEF_SELF_SCOUT_IMPORT'!$Q$42:$Q$1040,SUBSTITUTE(SUBSTITUTE(SUBSTITUTE($M537,"~","~~"),"*","~*"),"?","~?"),'DEF_SELF_SCOUT_IMPORT'!$G$42:$G$1040,SUBSTITUTE(SUBSTITUTE(SUBSTITUTE($O537,"~","~~"),"*","~*"),"?","~?"))/$C537)</f>
        <v>0.0</v>
      </c>
      <c r="F537" s="11">
        <f>IF($C537=0,"",AVERAGEIFS('DEF_SELF_SCOUT_IMPORT'!$I$42:$I$1040,'DEF_SELF_SCOUT_IMPORT'!$L$42:$L$1040,"Y",'DEF_SELF_SCOUT_IMPORT'!$E$42:$E$1040,SUBSTITUTE(SUBSTITUTE(SUBSTITUTE($B537,"~","~~"),"*","~*"),"?","~?"),'DEF_SELF_SCOUT_IMPORT'!$Q$42:$Q$1040,SUBSTITUTE(SUBSTITUTE(SUBSTITUTE($M537,"~","~~"),"*","~*"),"?","~?"),'DEF_SELF_SCOUT_IMPORT'!$G$42:$G$1040,SUBSTITUTE(SUBSTITUTE(SUBSTITUTE($O537,"~","~~"),"*","~*"),"?","~?")))</f>
        <v>1.0</v>
      </c>
      <c r="G537" s="10">
        <f>IF($C537=0,"",COUNTIFS('DEF_SELF_SCOUT_IMPORT'!$L$42:$L$1040,"Y",'DEF_SELF_SCOUT_IMPORT'!$E$42:$E$1040,SUBSTITUTE(SUBSTITUTE(SUBSTITUTE($B537,"~","~~"),"*","~*"),"?","~?"),'DEF_SELF_SCOUT_IMPORT'!$Q$42:$Q$1040,SUBSTITUTE(SUBSTITUTE(SUBSTITUTE($M537,"~","~~"),"*","~*"),"?","~?"),'DEF_SELF_SCOUT_IMPORT'!$G$42:$G$1040,SUBSTITUTE(SUBSTITUTE(SUBSTITUTE($O537,"~","~~"),"*","~*"),"?","~?"),'DEF_SELF_SCOUT_IMPORT'!$H$42:$H$1040,"RUSH")/$C537)</f>
        <v>1.0</v>
      </c>
      <c r="H537" s="10">
        <f>IF($C537=0,"",COUNTIFS('DEF_SELF_SCOUT_IMPORT'!$L$42:$L$1040,"Y",'DEF_SELF_SCOUT_IMPORT'!$E$42:$E$1040,SUBSTITUTE(SUBSTITUTE(SUBSTITUTE($B537,"~","~~"),"*","~*"),"?","~?"),'DEF_SELF_SCOUT_IMPORT'!$Q$42:$Q$1040,SUBSTITUTE(SUBSTITUTE(SUBSTITUTE($M537,"~","~~"),"*","~*"),"?","~?"),'DEF_SELF_SCOUT_IMPORT'!$G$42:$G$1040,SUBSTITUTE(SUBSTITUTE(SUBSTITUTE($O537,"~","~~"),"*","~*"),"?","~?"),'DEF_SELF_SCOUT_IMPORT'!$H$42:$H$1040,"DROPBACK")/$C537)</f>
        <v>0.0</v>
      </c>
      <c r="I537" s="14" t="str">
        <f>IF(C537=0,"",IF(C537&lt;=2,"TRACK",IF(C537=3,"LOW",IF(C537&lt;=6,"MEDIUM","HIGH"))))</f>
        <v>TRACK</v>
      </c>
      <c r="J537" s="11">
        <f>IF(C537=0,"",ROUND(D537*70+(1-E537)*20+MAX(0,MIN(1,(10-F537)/10))*10,1))</f>
        <v>99.0</v>
      </c>
      <c r="K537" s="14" t="str">
        <f>IF(C537=0,"No Evidence",IF(C537&lt;=2,IF(E537&gt;0,"Explosive Alert","Track Only"),IF(C537=3,"Sample Watch",IF(E537&gt;=START_HERE!$B$31,"Explosive Alert",IF(J537&gt;=80,"Strong Candidate",IF(J537&gt;=65,"Good Candidate",IF(J537&gt;=50,"Mixed / Review","Problem Call")))))))</f>
        <v>Track Only</v>
      </c>
      <c r="L537" s="9" t="str">
        <f>IF(COUNTIFS('DEF_SELF_SCOUT_IMPORT'!$L$42:$L$1040,"Y",'DEF_SELF_SCOUT_IMPORT'!$E$42:$E$1040,SUBSTITUTE(SUBSTITUTE(SUBSTITUTE($B537,"~","~~"),"*","~*"),"?","~?"),'DEF_SELF_SCOUT_IMPORT'!$Q$42:$Q$1040,SUBSTITUTE(SUBSTITUTE(SUBSTITUTE($M537,"~","~~"),"*","~*"),"?","~?"),'DEF_SELF_SCOUT_IMPORT'!$G$42:$G$1040,SUBSTITUTE(SUBSTITUTE(SUBSTITUTE($O537,"~","~~"),"*","~*"),"?","~?"),'DEF_SELF_SCOUT_IMPORT'!$J$42:$J$1040,"")&gt;0,"Unscored clean outcome; review result tags before using score.",IF(C537=0,"No matching defensive reps; film confirmation needed.",IF(K537="Explosive Alert","Explosive risk; review clips before using as answer.",IF(C537&lt;=2,"Track only; not enough sample.",IF(C537=3,IF(E537&gt;0,"Sample watch with explosive exposure; review clips and build the sample.",IF(J537&gt;=65,"Good signal, but sample is limited.","Sample watch; review clips and build the sample.")),IF(K537="Problem Call","Problem area; practice or call-sheet review.",IF(K537="Strong Candidate","Strong call-fit candidate; confirm on film.",IF(K537="Good Candidate","Good call-fit signal; confirm on film.","Mixed signal; review fit and execution on film."))))))))</f>
        <v>Track only; not enough sample.</v>
      </c>
      <c r="M537" s="8" t="s">
        <v>107</v>
      </c>
      <c r="N537" s="8"/>
      <c r="O537" s="8" t="s">
        <v>203</v>
      </c>
      <c r="P537" s="8"/>
      <c r="Q537" s="8"/>
      <c r="R537" s="8" t="s">
        <v>28</v>
      </c>
      <c r="S537" s="2" t="s">
        <v>266</v>
      </c>
      <c r="T537" s="2">
        <f>IF(C537=0,0,IF(C537&gt;=CALL_LOOKUP_BOARD!$B$7,IF(OR(K537="Problem Call",K537="Explosive Alert"),10000000,20000000),0)+IF(C537&gt;=CALL_LOOKUP_BOARD!$B$7,J537*1000+MIN(C537,999),C537*1000+J537)+0.00983700)</f>
        <v>1099.009837</v>
      </c>
      <c r="U537" s="2">
        <f>IF(C537=0,"",IF(COUNTIFS($S$375:$S$581,SUBSTITUTE(SUBSTITUTE(SUBSTITUTE(S537,"~","~~"),"*","~*"),"?","~?"),$T$375:$T$581,"&gt;"&amp;T537)=0,S537,""))</f>
        <v/>
      </c>
    </row>
    <row r="538" spans="1:21" ht="38" customHeight="1">
      <c r="A538" s="8" t="s">
        <v>265</v>
      </c>
      <c r="B538" s="8" t="s">
        <v>109</v>
      </c>
      <c r="C538" s="12">
        <f>COUNTIFS('DEF_SELF_SCOUT_IMPORT'!$L$42:$L$1040,"Y",'DEF_SELF_SCOUT_IMPORT'!$E$42:$E$1040,SUBSTITUTE(SUBSTITUTE(SUBSTITUTE($B538,"~","~~"),"*","~*"),"?","~?"),'DEF_SELF_SCOUT_IMPORT'!$Q$42:$Q$1040,SUBSTITUTE(SUBSTITUTE(SUBSTITUTE($M538,"~","~~"),"*","~*"),"?","~?"),'DEF_SELF_SCOUT_IMPORT'!$G$42:$G$1040,SUBSTITUTE(SUBSTITUTE(SUBSTITUTE($O538,"~","~~"),"*","~*"),"?","~?"))</f>
        <v>1</v>
      </c>
      <c r="D538" s="10">
        <f>IF($C538=0,"",SUMIFS('DEF_SELF_SCOUT_IMPORT'!$J$42:$J$1040,'DEF_SELF_SCOUT_IMPORT'!$L$42:$L$1040,"Y",'DEF_SELF_SCOUT_IMPORT'!$E$42:$E$1040,SUBSTITUTE(SUBSTITUTE(SUBSTITUTE($B538,"~","~~"),"*","~*"),"?","~?"),'DEF_SELF_SCOUT_IMPORT'!$Q$42:$Q$1040,SUBSTITUTE(SUBSTITUTE(SUBSTITUTE($M538,"~","~~"),"*","~*"),"?","~?"),'DEF_SELF_SCOUT_IMPORT'!$G$42:$G$1040,SUBSTITUTE(SUBSTITUTE(SUBSTITUTE($O538,"~","~~"),"*","~*"),"?","~?"))/$C538)</f>
        <v>0.0</v>
      </c>
      <c r="E538" s="10">
        <f>IF($C538=0,"",SUMIFS('DEF_SELF_SCOUT_IMPORT'!$K$42:$K$1040,'DEF_SELF_SCOUT_IMPORT'!$L$42:$L$1040,"Y",'DEF_SELF_SCOUT_IMPORT'!$E$42:$E$1040,SUBSTITUTE(SUBSTITUTE(SUBSTITUTE($B538,"~","~~"),"*","~*"),"?","~?"),'DEF_SELF_SCOUT_IMPORT'!$Q$42:$Q$1040,SUBSTITUTE(SUBSTITUTE(SUBSTITUTE($M538,"~","~~"),"*","~*"),"?","~?"),'DEF_SELF_SCOUT_IMPORT'!$G$42:$G$1040,SUBSTITUTE(SUBSTITUTE(SUBSTITUTE($O538,"~","~~"),"*","~*"),"?","~?"))/$C538)</f>
        <v>1.0</v>
      </c>
      <c r="F538" s="11">
        <f>IF($C538=0,"",AVERAGEIFS('DEF_SELF_SCOUT_IMPORT'!$I$42:$I$1040,'DEF_SELF_SCOUT_IMPORT'!$L$42:$L$1040,"Y",'DEF_SELF_SCOUT_IMPORT'!$E$42:$E$1040,SUBSTITUTE(SUBSTITUTE(SUBSTITUTE($B538,"~","~~"),"*","~*"),"?","~?"),'DEF_SELF_SCOUT_IMPORT'!$Q$42:$Q$1040,SUBSTITUTE(SUBSTITUTE(SUBSTITUTE($M538,"~","~~"),"*","~*"),"?","~?"),'DEF_SELF_SCOUT_IMPORT'!$G$42:$G$1040,SUBSTITUTE(SUBSTITUTE(SUBSTITUTE($O538,"~","~~"),"*","~*"),"?","~?")))</f>
        <v>16.0</v>
      </c>
      <c r="G538" s="10">
        <f>IF($C538=0,"",COUNTIFS('DEF_SELF_SCOUT_IMPORT'!$L$42:$L$1040,"Y",'DEF_SELF_SCOUT_IMPORT'!$E$42:$E$1040,SUBSTITUTE(SUBSTITUTE(SUBSTITUTE($B538,"~","~~"),"*","~*"),"?","~?"),'DEF_SELF_SCOUT_IMPORT'!$Q$42:$Q$1040,SUBSTITUTE(SUBSTITUTE(SUBSTITUTE($M538,"~","~~"),"*","~*"),"?","~?"),'DEF_SELF_SCOUT_IMPORT'!$G$42:$G$1040,SUBSTITUTE(SUBSTITUTE(SUBSTITUTE($O538,"~","~~"),"*","~*"),"?","~?"),'DEF_SELF_SCOUT_IMPORT'!$H$42:$H$1040,"RUSH")/$C538)</f>
        <v>0.0</v>
      </c>
      <c r="H538" s="10">
        <f>IF($C538=0,"",COUNTIFS('DEF_SELF_SCOUT_IMPORT'!$L$42:$L$1040,"Y",'DEF_SELF_SCOUT_IMPORT'!$E$42:$E$1040,SUBSTITUTE(SUBSTITUTE(SUBSTITUTE($B538,"~","~~"),"*","~*"),"?","~?"),'DEF_SELF_SCOUT_IMPORT'!$Q$42:$Q$1040,SUBSTITUTE(SUBSTITUTE(SUBSTITUTE($M538,"~","~~"),"*","~*"),"?","~?"),'DEF_SELF_SCOUT_IMPORT'!$G$42:$G$1040,SUBSTITUTE(SUBSTITUTE(SUBSTITUTE($O538,"~","~~"),"*","~*"),"?","~?"),'DEF_SELF_SCOUT_IMPORT'!$H$42:$H$1040,"DROPBACK")/$C538)</f>
        <v>1.0</v>
      </c>
      <c r="I538" s="14" t="str">
        <f>IF(C538=0,"",IF(C538&lt;=2,"TRACK",IF(C538=3,"LOW",IF(C538&lt;=6,"MEDIUM","HIGH"))))</f>
        <v>TRACK</v>
      </c>
      <c r="J538" s="11">
        <f>IF(C538=0,"",ROUND(D538*70+(1-E538)*20+MAX(0,MIN(1,(10-F538)/10))*10,1))</f>
        <v>0.0</v>
      </c>
      <c r="K538" s="14" t="str">
        <f>IF(C538=0,"No Evidence",IF(C538&lt;=2,IF(E538&gt;0,"Explosive Alert","Track Only"),IF(C538=3,"Sample Watch",IF(E538&gt;=START_HERE!$B$31,"Explosive Alert",IF(J538&gt;=80,"Strong Candidate",IF(J538&gt;=65,"Good Candidate",IF(J538&gt;=50,"Mixed / Review","Problem Call")))))))</f>
        <v>Explosive Alert</v>
      </c>
      <c r="L538" s="9" t="str">
        <f>IF(COUNTIFS('DEF_SELF_SCOUT_IMPORT'!$L$42:$L$1040,"Y",'DEF_SELF_SCOUT_IMPORT'!$E$42:$E$1040,SUBSTITUTE(SUBSTITUTE(SUBSTITUTE($B538,"~","~~"),"*","~*"),"?","~?"),'DEF_SELF_SCOUT_IMPORT'!$Q$42:$Q$1040,SUBSTITUTE(SUBSTITUTE(SUBSTITUTE($M538,"~","~~"),"*","~*"),"?","~?"),'DEF_SELF_SCOUT_IMPORT'!$G$42:$G$1040,SUBSTITUTE(SUBSTITUTE(SUBSTITUTE($O538,"~","~~"),"*","~*"),"?","~?"),'DEF_SELF_SCOUT_IMPORT'!$J$42:$J$1040,"")&gt;0,"Unscored clean outcome; review result tags before using score.",IF(C538=0,"No matching defensive reps; film confirmation needed.",IF(K538="Explosive Alert","Explosive risk; review clips before using as answer.",IF(C538&lt;=2,"Track only; not enough sample.",IF(C538=3,IF(E538&gt;0,"Sample watch with explosive exposure; review clips and build the sample.",IF(J538&gt;=65,"Good signal, but sample is limited.","Sample watch; review clips and build the sample.")),IF(K538="Problem Call","Problem area; practice or call-sheet review.",IF(K538="Strong Candidate","Strong call-fit candidate; confirm on film.",IF(K538="Good Candidate","Good call-fit signal; confirm on film.","Mixed signal; review fit and execution on film."))))))))</f>
        <v>Explosive risk; review clips before using as answer.</v>
      </c>
      <c r="M538" s="8" t="s">
        <v>107</v>
      </c>
      <c r="N538" s="8"/>
      <c r="O538" s="8" t="s">
        <v>203</v>
      </c>
      <c r="P538" s="8"/>
      <c r="Q538" s="8"/>
      <c r="R538" s="8" t="s">
        <v>28</v>
      </c>
      <c r="S538" s="2" t="s">
        <v>266</v>
      </c>
      <c r="T538" s="2">
        <f>IF(C538=0,0,IF(C538&gt;=CALL_LOOKUP_BOARD!$B$7,IF(OR(K538="Problem Call",K538="Explosive Alert"),10000000,20000000),0)+IF(C538&gt;=CALL_LOOKUP_BOARD!$B$7,J538*1000+MIN(C538,999),C538*1000+J538)+0.00983600)</f>
        <v>1000.009836</v>
      </c>
      <c r="U538" s="2">
        <f>IF(C538=0,"",IF(COUNTIFS($S$375:$S$581,SUBSTITUTE(SUBSTITUTE(SUBSTITUTE(S538,"~","~~"),"*","~*"),"?","~?"),$T$375:$T$581,"&gt;"&amp;T538)=0,S538,""))</f>
        <v/>
      </c>
    </row>
    <row r="539" spans="1:21" ht="38" customHeight="1">
      <c r="A539" s="8" t="s">
        <v>265</v>
      </c>
      <c r="B539" s="8" t="s">
        <v>35</v>
      </c>
      <c r="C539" s="12">
        <f>COUNTIFS('DEF_SELF_SCOUT_IMPORT'!$L$42:$L$1040,"Y",'DEF_SELF_SCOUT_IMPORT'!$E$42:$E$1040,SUBSTITUTE(SUBSTITUTE(SUBSTITUTE($B539,"~","~~"),"*","~*"),"?","~?"),'DEF_SELF_SCOUT_IMPORT'!$Q$42:$Q$1040,SUBSTITUTE(SUBSTITUTE(SUBSTITUTE($M539,"~","~~"),"*","~*"),"?","~?"),'DEF_SELF_SCOUT_IMPORT'!$G$42:$G$1040,SUBSTITUTE(SUBSTITUTE(SUBSTITUTE($O539,"~","~~"),"*","~*"),"?","~?"))</f>
        <v>1</v>
      </c>
      <c r="D539" s="10">
        <f>IF($C539=0,"",SUMIFS('DEF_SELF_SCOUT_IMPORT'!$J$42:$J$1040,'DEF_SELF_SCOUT_IMPORT'!$L$42:$L$1040,"Y",'DEF_SELF_SCOUT_IMPORT'!$E$42:$E$1040,SUBSTITUTE(SUBSTITUTE(SUBSTITUTE($B539,"~","~~"),"*","~*"),"?","~?"),'DEF_SELF_SCOUT_IMPORT'!$Q$42:$Q$1040,SUBSTITUTE(SUBSTITUTE(SUBSTITUTE($M539,"~","~~"),"*","~*"),"?","~?"),'DEF_SELF_SCOUT_IMPORT'!$G$42:$G$1040,SUBSTITUTE(SUBSTITUTE(SUBSTITUTE($O539,"~","~~"),"*","~*"),"?","~?"))/$C539)</f>
        <v>1.0</v>
      </c>
      <c r="E539" s="10">
        <f>IF($C539=0,"",SUMIFS('DEF_SELF_SCOUT_IMPORT'!$K$42:$K$1040,'DEF_SELF_SCOUT_IMPORT'!$L$42:$L$1040,"Y",'DEF_SELF_SCOUT_IMPORT'!$E$42:$E$1040,SUBSTITUTE(SUBSTITUTE(SUBSTITUTE($B539,"~","~~"),"*","~*"),"?","~?"),'DEF_SELF_SCOUT_IMPORT'!$Q$42:$Q$1040,SUBSTITUTE(SUBSTITUTE(SUBSTITUTE($M539,"~","~~"),"*","~*"),"?","~?"),'DEF_SELF_SCOUT_IMPORT'!$G$42:$G$1040,SUBSTITUTE(SUBSTITUTE(SUBSTITUTE($O539,"~","~~"),"*","~*"),"?","~?"))/$C539)</f>
        <v>0.0</v>
      </c>
      <c r="F539" s="11">
        <f>IF($C539=0,"",AVERAGEIFS('DEF_SELF_SCOUT_IMPORT'!$I$42:$I$1040,'DEF_SELF_SCOUT_IMPORT'!$L$42:$L$1040,"Y",'DEF_SELF_SCOUT_IMPORT'!$E$42:$E$1040,SUBSTITUTE(SUBSTITUTE(SUBSTITUTE($B539,"~","~~"),"*","~*"),"?","~?"),'DEF_SELF_SCOUT_IMPORT'!$Q$42:$Q$1040,SUBSTITUTE(SUBSTITUTE(SUBSTITUTE($M539,"~","~~"),"*","~*"),"?","~?"),'DEF_SELF_SCOUT_IMPORT'!$G$42:$G$1040,SUBSTITUTE(SUBSTITUTE(SUBSTITUTE($O539,"~","~~"),"*","~*"),"?","~?")))</f>
        <v>0.0</v>
      </c>
      <c r="G539" s="10">
        <f>IF($C539=0,"",COUNTIFS('DEF_SELF_SCOUT_IMPORT'!$L$42:$L$1040,"Y",'DEF_SELF_SCOUT_IMPORT'!$E$42:$E$1040,SUBSTITUTE(SUBSTITUTE(SUBSTITUTE($B539,"~","~~"),"*","~*"),"?","~?"),'DEF_SELF_SCOUT_IMPORT'!$Q$42:$Q$1040,SUBSTITUTE(SUBSTITUTE(SUBSTITUTE($M539,"~","~~"),"*","~*"),"?","~?"),'DEF_SELF_SCOUT_IMPORT'!$G$42:$G$1040,SUBSTITUTE(SUBSTITUTE(SUBSTITUTE($O539,"~","~~"),"*","~*"),"?","~?"),'DEF_SELF_SCOUT_IMPORT'!$H$42:$H$1040,"RUSH")/$C539)</f>
        <v>1.0</v>
      </c>
      <c r="H539" s="10">
        <f>IF($C539=0,"",COUNTIFS('DEF_SELF_SCOUT_IMPORT'!$L$42:$L$1040,"Y",'DEF_SELF_SCOUT_IMPORT'!$E$42:$E$1040,SUBSTITUTE(SUBSTITUTE(SUBSTITUTE($B539,"~","~~"),"*","~*"),"?","~?"),'DEF_SELF_SCOUT_IMPORT'!$Q$42:$Q$1040,SUBSTITUTE(SUBSTITUTE(SUBSTITUTE($M539,"~","~~"),"*","~*"),"?","~?"),'DEF_SELF_SCOUT_IMPORT'!$G$42:$G$1040,SUBSTITUTE(SUBSTITUTE(SUBSTITUTE($O539,"~","~~"),"*","~*"),"?","~?"),'DEF_SELF_SCOUT_IMPORT'!$H$42:$H$1040,"DROPBACK")/$C539)</f>
        <v>0.0</v>
      </c>
      <c r="I539" s="14" t="str">
        <f>IF(C539=0,"",IF(C539&lt;=2,"TRACK",IF(C539=3,"LOW",IF(C539&lt;=6,"MEDIUM","HIGH"))))</f>
        <v>TRACK</v>
      </c>
      <c r="J539" s="11">
        <f>IF(C539=0,"",ROUND(D539*70+(1-E539)*20+MAX(0,MIN(1,(10-F539)/10))*10,1))</f>
        <v>100.0</v>
      </c>
      <c r="K539" s="14" t="str">
        <f>IF(C539=0,"No Evidence",IF(C539&lt;=2,IF(E539&gt;0,"Explosive Alert","Track Only"),IF(C539=3,"Sample Watch",IF(E539&gt;=START_HERE!$B$31,"Explosive Alert",IF(J539&gt;=80,"Strong Candidate",IF(J539&gt;=65,"Good Candidate",IF(J539&gt;=50,"Mixed / Review","Problem Call")))))))</f>
        <v>Track Only</v>
      </c>
      <c r="L539" s="9" t="str">
        <f>IF(COUNTIFS('DEF_SELF_SCOUT_IMPORT'!$L$42:$L$1040,"Y",'DEF_SELF_SCOUT_IMPORT'!$E$42:$E$1040,SUBSTITUTE(SUBSTITUTE(SUBSTITUTE($B539,"~","~~"),"*","~*"),"?","~?"),'DEF_SELF_SCOUT_IMPORT'!$Q$42:$Q$1040,SUBSTITUTE(SUBSTITUTE(SUBSTITUTE($M539,"~","~~"),"*","~*"),"?","~?"),'DEF_SELF_SCOUT_IMPORT'!$G$42:$G$1040,SUBSTITUTE(SUBSTITUTE(SUBSTITUTE($O539,"~","~~"),"*","~*"),"?","~?"),'DEF_SELF_SCOUT_IMPORT'!$J$42:$J$1040,"")&gt;0,"Unscored clean outcome; review result tags before using score.",IF(C539=0,"No matching defensive reps; film confirmation needed.",IF(K539="Explosive Alert","Explosive risk; review clips before using as answer.",IF(C539&lt;=2,"Track only; not enough sample.",IF(C539=3,IF(E539&gt;0,"Sample watch with explosive exposure; review clips and build the sample.",IF(J539&gt;=65,"Good signal, but sample is limited.","Sample watch; review clips and build the sample.")),IF(K539="Problem Call","Problem area; practice or call-sheet review.",IF(K539="Strong Candidate","Strong call-fit candidate; confirm on film.",IF(K539="Good Candidate","Good call-fit signal; confirm on film.","Mixed signal; review fit and execution on film."))))))))</f>
        <v>Track only; not enough sample.</v>
      </c>
      <c r="M539" s="8" t="s">
        <v>107</v>
      </c>
      <c r="N539" s="8"/>
      <c r="O539" s="8" t="s">
        <v>203</v>
      </c>
      <c r="P539" s="8"/>
      <c r="Q539" s="8"/>
      <c r="R539" s="8" t="s">
        <v>28</v>
      </c>
      <c r="S539" s="2" t="s">
        <v>266</v>
      </c>
      <c r="T539" s="2">
        <f>IF(C539=0,0,IF(C539&gt;=CALL_LOOKUP_BOARD!$B$7,IF(OR(K539="Problem Call",K539="Explosive Alert"),10000000,20000000),0)+IF(C539&gt;=CALL_LOOKUP_BOARD!$B$7,J539*1000+MIN(C539,999),C539*1000+J539)+0.00983500)</f>
        <v>1100.009835</v>
      </c>
      <c r="U539" s="2" t="str">
        <f>IF(C539=0,"",IF(COUNTIFS($S$375:$S$581,SUBSTITUTE(SUBSTITUTE(SUBSTITUTE(S539,"~","~~"),"*","~*"),"?","~?"),$T$375:$T$581,"&gt;"&amp;T539)=0,S539,""))</f>
        <v>7:3D 7-10|3:2X2|</v>
      </c>
    </row>
    <row r="540" spans="1:21" ht="38" customHeight="1">
      <c r="A540" s="8" t="s">
        <v>265</v>
      </c>
      <c r="B540" s="8" t="s">
        <v>61</v>
      </c>
      <c r="C540" s="12">
        <f>COUNTIFS('DEF_SELF_SCOUT_IMPORT'!$L$42:$L$1040,"Y",'DEF_SELF_SCOUT_IMPORT'!$E$42:$E$1040,SUBSTITUTE(SUBSTITUTE(SUBSTITUTE($B540,"~","~~"),"*","~*"),"?","~?"),'DEF_SELF_SCOUT_IMPORT'!$Q$42:$Q$1040,SUBSTITUTE(SUBSTITUTE(SUBSTITUTE($M540,"~","~~"),"*","~*"),"?","~?"),'DEF_SELF_SCOUT_IMPORT'!$G$42:$G$1040,SUBSTITUTE(SUBSTITUTE(SUBSTITUTE($O540,"~","~~"),"*","~*"),"?","~?"))</f>
        <v>1</v>
      </c>
      <c r="D540" s="10">
        <f>IF($C540=0,"",SUMIFS('DEF_SELF_SCOUT_IMPORT'!$J$42:$J$1040,'DEF_SELF_SCOUT_IMPORT'!$L$42:$L$1040,"Y",'DEF_SELF_SCOUT_IMPORT'!$E$42:$E$1040,SUBSTITUTE(SUBSTITUTE(SUBSTITUTE($B540,"~","~~"),"*","~*"),"?","~?"),'DEF_SELF_SCOUT_IMPORT'!$Q$42:$Q$1040,SUBSTITUTE(SUBSTITUTE(SUBSTITUTE($M540,"~","~~"),"*","~*"),"?","~?"),'DEF_SELF_SCOUT_IMPORT'!$G$42:$G$1040,SUBSTITUTE(SUBSTITUTE(SUBSTITUTE($O540,"~","~~"),"*","~*"),"?","~?"))/$C540)</f>
        <v>0.0</v>
      </c>
      <c r="E540" s="10">
        <f>IF($C540=0,"",SUMIFS('DEF_SELF_SCOUT_IMPORT'!$K$42:$K$1040,'DEF_SELF_SCOUT_IMPORT'!$L$42:$L$1040,"Y",'DEF_SELF_SCOUT_IMPORT'!$E$42:$E$1040,SUBSTITUTE(SUBSTITUTE(SUBSTITUTE($B540,"~","~~"),"*","~*"),"?","~?"),'DEF_SELF_SCOUT_IMPORT'!$Q$42:$Q$1040,SUBSTITUTE(SUBSTITUTE(SUBSTITUTE($M540,"~","~~"),"*","~*"),"?","~?"),'DEF_SELF_SCOUT_IMPORT'!$G$42:$G$1040,SUBSTITUTE(SUBSTITUTE(SUBSTITUTE($O540,"~","~~"),"*","~*"),"?","~?"))/$C540)</f>
        <v>0.0</v>
      </c>
      <c r="F540" s="11">
        <f>IF($C540=0,"",AVERAGEIFS('DEF_SELF_SCOUT_IMPORT'!$I$42:$I$1040,'DEF_SELF_SCOUT_IMPORT'!$L$42:$L$1040,"Y",'DEF_SELF_SCOUT_IMPORT'!$E$42:$E$1040,SUBSTITUTE(SUBSTITUTE(SUBSTITUTE($B540,"~","~~"),"*","~*"),"?","~?"),'DEF_SELF_SCOUT_IMPORT'!$Q$42:$Q$1040,SUBSTITUTE(SUBSTITUTE(SUBSTITUTE($M540,"~","~~"),"*","~*"),"?","~?"),'DEF_SELF_SCOUT_IMPORT'!$G$42:$G$1040,SUBSTITUTE(SUBSTITUTE(SUBSTITUTE($O540,"~","~~"),"*","~*"),"?","~?")))</f>
        <v>13.0</v>
      </c>
      <c r="G540" s="10">
        <f>IF($C540=0,"",COUNTIFS('DEF_SELF_SCOUT_IMPORT'!$L$42:$L$1040,"Y",'DEF_SELF_SCOUT_IMPORT'!$E$42:$E$1040,SUBSTITUTE(SUBSTITUTE(SUBSTITUTE($B540,"~","~~"),"*","~*"),"?","~?"),'DEF_SELF_SCOUT_IMPORT'!$Q$42:$Q$1040,SUBSTITUTE(SUBSTITUTE(SUBSTITUTE($M540,"~","~~"),"*","~*"),"?","~?"),'DEF_SELF_SCOUT_IMPORT'!$G$42:$G$1040,SUBSTITUTE(SUBSTITUTE(SUBSTITUTE($O540,"~","~~"),"*","~*"),"?","~?"),'DEF_SELF_SCOUT_IMPORT'!$H$42:$H$1040,"RUSH")/$C540)</f>
        <v>0.0</v>
      </c>
      <c r="H540" s="10">
        <f>IF($C540=0,"",COUNTIFS('DEF_SELF_SCOUT_IMPORT'!$L$42:$L$1040,"Y",'DEF_SELF_SCOUT_IMPORT'!$E$42:$E$1040,SUBSTITUTE(SUBSTITUTE(SUBSTITUTE($B540,"~","~~"),"*","~*"),"?","~?"),'DEF_SELF_SCOUT_IMPORT'!$Q$42:$Q$1040,SUBSTITUTE(SUBSTITUTE(SUBSTITUTE($M540,"~","~~"),"*","~*"),"?","~?"),'DEF_SELF_SCOUT_IMPORT'!$G$42:$G$1040,SUBSTITUTE(SUBSTITUTE(SUBSTITUTE($O540,"~","~~"),"*","~*"),"?","~?"),'DEF_SELF_SCOUT_IMPORT'!$H$42:$H$1040,"DROPBACK")/$C540)</f>
        <v>1.0</v>
      </c>
      <c r="I540" s="14" t="str">
        <f>IF(C540=0,"",IF(C540&lt;=2,"TRACK",IF(C540=3,"LOW",IF(C540&lt;=6,"MEDIUM","HIGH"))))</f>
        <v>TRACK</v>
      </c>
      <c r="J540" s="11">
        <f>IF(C540=0,"",ROUND(D540*70+(1-E540)*20+MAX(0,MIN(1,(10-F540)/10))*10,1))</f>
        <v>20.0</v>
      </c>
      <c r="K540" s="14" t="str">
        <f>IF(C540=0,"No Evidence",IF(C540&lt;=2,IF(E540&gt;0,"Explosive Alert","Track Only"),IF(C540=3,"Sample Watch",IF(E540&gt;=START_HERE!$B$31,"Explosive Alert",IF(J540&gt;=80,"Strong Candidate",IF(J540&gt;=65,"Good Candidate",IF(J540&gt;=50,"Mixed / Review","Problem Call")))))))</f>
        <v>Track Only</v>
      </c>
      <c r="L540" s="9" t="str">
        <f>IF(COUNTIFS('DEF_SELF_SCOUT_IMPORT'!$L$42:$L$1040,"Y",'DEF_SELF_SCOUT_IMPORT'!$E$42:$E$1040,SUBSTITUTE(SUBSTITUTE(SUBSTITUTE($B540,"~","~~"),"*","~*"),"?","~?"),'DEF_SELF_SCOUT_IMPORT'!$Q$42:$Q$1040,SUBSTITUTE(SUBSTITUTE(SUBSTITUTE($M540,"~","~~"),"*","~*"),"?","~?"),'DEF_SELF_SCOUT_IMPORT'!$G$42:$G$1040,SUBSTITUTE(SUBSTITUTE(SUBSTITUTE($O540,"~","~~"),"*","~*"),"?","~?"),'DEF_SELF_SCOUT_IMPORT'!$J$42:$J$1040,"")&gt;0,"Unscored clean outcome; review result tags before using score.",IF(C540=0,"No matching defensive reps; film confirmation needed.",IF(K540="Explosive Alert","Explosive risk; review clips before using as answer.",IF(C540&lt;=2,"Track only; not enough sample.",IF(C540=3,IF(E540&gt;0,"Sample watch with explosive exposure; review clips and build the sample.",IF(J540&gt;=65,"Good signal, but sample is limited.","Sample watch; review clips and build the sample.")),IF(K540="Problem Call","Problem area; practice or call-sheet review.",IF(K540="Strong Candidate","Strong call-fit candidate; confirm on film.",IF(K540="Good Candidate","Good call-fit signal; confirm on film.","Mixed signal; review fit and execution on film."))))))))</f>
        <v>Track only; not enough sample.</v>
      </c>
      <c r="M540" s="8" t="s">
        <v>107</v>
      </c>
      <c r="N540" s="8"/>
      <c r="O540" s="8" t="s">
        <v>203</v>
      </c>
      <c r="P540" s="8"/>
      <c r="Q540" s="8"/>
      <c r="R540" s="8" t="s">
        <v>28</v>
      </c>
      <c r="S540" s="2" t="s">
        <v>266</v>
      </c>
      <c r="T540" s="2">
        <f>IF(C540=0,0,IF(C540&gt;=CALL_LOOKUP_BOARD!$B$7,IF(OR(K540="Problem Call",K540="Explosive Alert"),10000000,20000000),0)+IF(C540&gt;=CALL_LOOKUP_BOARD!$B$7,J540*1000+MIN(C540,999),C540*1000+J540)+0.00983400)</f>
        <v>1020.009834</v>
      </c>
      <c r="U540" s="2">
        <f>IF(C540=0,"",IF(COUNTIFS($S$375:$S$581,SUBSTITUTE(SUBSTITUTE(SUBSTITUTE(S540,"~","~~"),"*","~*"),"?","~?"),$T$375:$T$581,"&gt;"&amp;T540)=0,S540,""))</f>
        <v/>
      </c>
    </row>
    <row r="541" spans="1:21" ht="38" customHeight="1">
      <c r="A541" s="8" t="s">
        <v>265</v>
      </c>
      <c r="B541" s="8" t="s">
        <v>102</v>
      </c>
      <c r="C541" s="12">
        <f>COUNTIFS('DEF_SELF_SCOUT_IMPORT'!$L$42:$L$1040,"Y",'DEF_SELF_SCOUT_IMPORT'!$E$42:$E$1040,SUBSTITUTE(SUBSTITUTE(SUBSTITUTE($B541,"~","~~"),"*","~*"),"?","~?"),'DEF_SELF_SCOUT_IMPORT'!$Q$42:$Q$1040,SUBSTITUTE(SUBSTITUTE(SUBSTITUTE($M541,"~","~~"),"*","~*"),"?","~?"),'DEF_SELF_SCOUT_IMPORT'!$G$42:$G$1040,SUBSTITUTE(SUBSTITUTE(SUBSTITUTE($O541,"~","~~"),"*","~*"),"?","~?"))</f>
        <v>1</v>
      </c>
      <c r="D541" s="10">
        <f>IF($C541=0,"",SUMIFS('DEF_SELF_SCOUT_IMPORT'!$J$42:$J$1040,'DEF_SELF_SCOUT_IMPORT'!$L$42:$L$1040,"Y",'DEF_SELF_SCOUT_IMPORT'!$E$42:$E$1040,SUBSTITUTE(SUBSTITUTE(SUBSTITUTE($B541,"~","~~"),"*","~*"),"?","~?"),'DEF_SELF_SCOUT_IMPORT'!$Q$42:$Q$1040,SUBSTITUTE(SUBSTITUTE(SUBSTITUTE($M541,"~","~~"),"*","~*"),"?","~?"),'DEF_SELF_SCOUT_IMPORT'!$G$42:$G$1040,SUBSTITUTE(SUBSTITUTE(SUBSTITUTE($O541,"~","~~"),"*","~*"),"?","~?"))/$C541)</f>
        <v>1.0</v>
      </c>
      <c r="E541" s="10">
        <f>IF($C541=0,"",SUMIFS('DEF_SELF_SCOUT_IMPORT'!$K$42:$K$1040,'DEF_SELF_SCOUT_IMPORT'!$L$42:$L$1040,"Y",'DEF_SELF_SCOUT_IMPORT'!$E$42:$E$1040,SUBSTITUTE(SUBSTITUTE(SUBSTITUTE($B541,"~","~~"),"*","~*"),"?","~?"),'DEF_SELF_SCOUT_IMPORT'!$Q$42:$Q$1040,SUBSTITUTE(SUBSTITUTE(SUBSTITUTE($M541,"~","~~"),"*","~*"),"?","~?"),'DEF_SELF_SCOUT_IMPORT'!$G$42:$G$1040,SUBSTITUTE(SUBSTITUTE(SUBSTITUTE($O541,"~","~~"),"*","~*"),"?","~?"))/$C541)</f>
        <v>0.0</v>
      </c>
      <c r="F541" s="11">
        <f>IF($C541=0,"",AVERAGEIFS('DEF_SELF_SCOUT_IMPORT'!$I$42:$I$1040,'DEF_SELF_SCOUT_IMPORT'!$L$42:$L$1040,"Y",'DEF_SELF_SCOUT_IMPORT'!$E$42:$E$1040,SUBSTITUTE(SUBSTITUTE(SUBSTITUTE($B541,"~","~~"),"*","~*"),"?","~?"),'DEF_SELF_SCOUT_IMPORT'!$Q$42:$Q$1040,SUBSTITUTE(SUBSTITUTE(SUBSTITUTE($M541,"~","~~"),"*","~*"),"?","~?"),'DEF_SELF_SCOUT_IMPORT'!$G$42:$G$1040,SUBSTITUTE(SUBSTITUTE(SUBSTITUTE($O541,"~","~~"),"*","~*"),"?","~?")))</f>
        <v>3.0</v>
      </c>
      <c r="G541" s="10">
        <f>IF($C541=0,"",COUNTIFS('DEF_SELF_SCOUT_IMPORT'!$L$42:$L$1040,"Y",'DEF_SELF_SCOUT_IMPORT'!$E$42:$E$1040,SUBSTITUTE(SUBSTITUTE(SUBSTITUTE($B541,"~","~~"),"*","~*"),"?","~?"),'DEF_SELF_SCOUT_IMPORT'!$Q$42:$Q$1040,SUBSTITUTE(SUBSTITUTE(SUBSTITUTE($M541,"~","~~"),"*","~*"),"?","~?"),'DEF_SELF_SCOUT_IMPORT'!$G$42:$G$1040,SUBSTITUTE(SUBSTITUTE(SUBSTITUTE($O541,"~","~~"),"*","~*"),"?","~?"),'DEF_SELF_SCOUT_IMPORT'!$H$42:$H$1040,"RUSH")/$C541)</f>
        <v>1.0</v>
      </c>
      <c r="H541" s="10">
        <f>IF($C541=0,"",COUNTIFS('DEF_SELF_SCOUT_IMPORT'!$L$42:$L$1040,"Y",'DEF_SELF_SCOUT_IMPORT'!$E$42:$E$1040,SUBSTITUTE(SUBSTITUTE(SUBSTITUTE($B541,"~","~~"),"*","~*"),"?","~?"),'DEF_SELF_SCOUT_IMPORT'!$Q$42:$Q$1040,SUBSTITUTE(SUBSTITUTE(SUBSTITUTE($M541,"~","~~"),"*","~*"),"?","~?"),'DEF_SELF_SCOUT_IMPORT'!$G$42:$G$1040,SUBSTITUTE(SUBSTITUTE(SUBSTITUTE($O541,"~","~~"),"*","~*"),"?","~?"),'DEF_SELF_SCOUT_IMPORT'!$H$42:$H$1040,"DROPBACK")/$C541)</f>
        <v>0.0</v>
      </c>
      <c r="I541" s="14" t="str">
        <f>IF(C541=0,"",IF(C541&lt;=2,"TRACK",IF(C541=3,"LOW",IF(C541&lt;=6,"MEDIUM","HIGH"))))</f>
        <v>TRACK</v>
      </c>
      <c r="J541" s="11">
        <f>IF(C541=0,"",ROUND(D541*70+(1-E541)*20+MAX(0,MIN(1,(10-F541)/10))*10,1))</f>
        <v>97.0</v>
      </c>
      <c r="K541" s="14" t="str">
        <f>IF(C541=0,"No Evidence",IF(C541&lt;=2,IF(E541&gt;0,"Explosive Alert","Track Only"),IF(C541=3,"Sample Watch",IF(E541&gt;=START_HERE!$B$31,"Explosive Alert",IF(J541&gt;=80,"Strong Candidate",IF(J541&gt;=65,"Good Candidate",IF(J541&gt;=50,"Mixed / Review","Problem Call")))))))</f>
        <v>Track Only</v>
      </c>
      <c r="L541" s="9" t="str">
        <f>IF(COUNTIFS('DEF_SELF_SCOUT_IMPORT'!$L$42:$L$1040,"Y",'DEF_SELF_SCOUT_IMPORT'!$E$42:$E$1040,SUBSTITUTE(SUBSTITUTE(SUBSTITUTE($B541,"~","~~"),"*","~*"),"?","~?"),'DEF_SELF_SCOUT_IMPORT'!$Q$42:$Q$1040,SUBSTITUTE(SUBSTITUTE(SUBSTITUTE($M541,"~","~~"),"*","~*"),"?","~?"),'DEF_SELF_SCOUT_IMPORT'!$G$42:$G$1040,SUBSTITUTE(SUBSTITUTE(SUBSTITUTE($O541,"~","~~"),"*","~*"),"?","~?"),'DEF_SELF_SCOUT_IMPORT'!$J$42:$J$1040,"")&gt;0,"Unscored clean outcome; review result tags before using score.",IF(C541=0,"No matching defensive reps; film confirmation needed.",IF(K541="Explosive Alert","Explosive risk; review clips before using as answer.",IF(C541&lt;=2,"Track only; not enough sample.",IF(C541=3,IF(E541&gt;0,"Sample watch with explosive exposure; review clips and build the sample.",IF(J541&gt;=65,"Good signal, but sample is limited.","Sample watch; review clips and build the sample.")),IF(K541="Problem Call","Problem area; practice or call-sheet review.",IF(K541="Strong Candidate","Strong call-fit candidate; confirm on film.",IF(K541="Good Candidate","Good call-fit signal; confirm on film.","Mixed signal; review fit and execution on film."))))))))</f>
        <v>Track only; not enough sample.</v>
      </c>
      <c r="M541" s="8" t="s">
        <v>107</v>
      </c>
      <c r="N541" s="8"/>
      <c r="O541" s="8" t="s">
        <v>203</v>
      </c>
      <c r="P541" s="8"/>
      <c r="Q541" s="8"/>
      <c r="R541" s="8" t="s">
        <v>28</v>
      </c>
      <c r="S541" s="2" t="s">
        <v>266</v>
      </c>
      <c r="T541" s="2">
        <f>IF(C541=0,0,IF(C541&gt;=CALL_LOOKUP_BOARD!$B$7,IF(OR(K541="Problem Call",K541="Explosive Alert"),10000000,20000000),0)+IF(C541&gt;=CALL_LOOKUP_BOARD!$B$7,J541*1000+MIN(C541,999),C541*1000+J541)+0.00983300)</f>
        <v>1097.009833</v>
      </c>
      <c r="U541" s="2">
        <f>IF(C541=0,"",IF(COUNTIFS($S$375:$S$581,SUBSTITUTE(SUBSTITUTE(SUBSTITUTE(S541,"~","~~"),"*","~*"),"?","~?"),$T$375:$T$581,"&gt;"&amp;T541)=0,S541,""))</f>
        <v/>
      </c>
    </row>
    <row r="542" spans="1:21" ht="38" customHeight="1">
      <c r="A542" s="8" t="s">
        <v>265</v>
      </c>
      <c r="B542" s="8" t="s">
        <v>91</v>
      </c>
      <c r="C542" s="12">
        <f>COUNTIFS('DEF_SELF_SCOUT_IMPORT'!$L$42:$L$1040,"Y",'DEF_SELF_SCOUT_IMPORT'!$E$42:$E$1040,SUBSTITUTE(SUBSTITUTE(SUBSTITUTE($B542,"~","~~"),"*","~*"),"?","~?"),'DEF_SELF_SCOUT_IMPORT'!$Q$42:$Q$1040,SUBSTITUTE(SUBSTITUTE(SUBSTITUTE($M542,"~","~~"),"*","~*"),"?","~?"),'DEF_SELF_SCOUT_IMPORT'!$G$42:$G$1040,SUBSTITUTE(SUBSTITUTE(SUBSTITUTE($O542,"~","~~"),"*","~*"),"?","~?"))</f>
        <v>1</v>
      </c>
      <c r="D542" s="10">
        <f>IF($C542=0,"",SUMIFS('DEF_SELF_SCOUT_IMPORT'!$J$42:$J$1040,'DEF_SELF_SCOUT_IMPORT'!$L$42:$L$1040,"Y",'DEF_SELF_SCOUT_IMPORT'!$E$42:$E$1040,SUBSTITUTE(SUBSTITUTE(SUBSTITUTE($B542,"~","~~"),"*","~*"),"?","~?"),'DEF_SELF_SCOUT_IMPORT'!$Q$42:$Q$1040,SUBSTITUTE(SUBSTITUTE(SUBSTITUTE($M542,"~","~~"),"*","~*"),"?","~?"),'DEF_SELF_SCOUT_IMPORT'!$G$42:$G$1040,SUBSTITUTE(SUBSTITUTE(SUBSTITUTE($O542,"~","~~"),"*","~*"),"?","~?"))/$C542)</f>
        <v>1.0</v>
      </c>
      <c r="E542" s="10">
        <f>IF($C542=0,"",SUMIFS('DEF_SELF_SCOUT_IMPORT'!$K$42:$K$1040,'DEF_SELF_SCOUT_IMPORT'!$L$42:$L$1040,"Y",'DEF_SELF_SCOUT_IMPORT'!$E$42:$E$1040,SUBSTITUTE(SUBSTITUTE(SUBSTITUTE($B542,"~","~~"),"*","~*"),"?","~?"),'DEF_SELF_SCOUT_IMPORT'!$Q$42:$Q$1040,SUBSTITUTE(SUBSTITUTE(SUBSTITUTE($M542,"~","~~"),"*","~*"),"?","~?"),'DEF_SELF_SCOUT_IMPORT'!$G$42:$G$1040,SUBSTITUTE(SUBSTITUTE(SUBSTITUTE($O542,"~","~~"),"*","~*"),"?","~?"))/$C542)</f>
        <v>0.0</v>
      </c>
      <c r="F542" s="11">
        <f>IF($C542=0,"",AVERAGEIFS('DEF_SELF_SCOUT_IMPORT'!$I$42:$I$1040,'DEF_SELF_SCOUT_IMPORT'!$L$42:$L$1040,"Y",'DEF_SELF_SCOUT_IMPORT'!$E$42:$E$1040,SUBSTITUTE(SUBSTITUTE(SUBSTITUTE($B542,"~","~~"),"*","~*"),"?","~?"),'DEF_SELF_SCOUT_IMPORT'!$Q$42:$Q$1040,SUBSTITUTE(SUBSTITUTE(SUBSTITUTE($M542,"~","~~"),"*","~*"),"?","~?"),'DEF_SELF_SCOUT_IMPORT'!$G$42:$G$1040,SUBSTITUTE(SUBSTITUTE(SUBSTITUTE($O542,"~","~~"),"*","~*"),"?","~?")))</f>
        <v>0.0</v>
      </c>
      <c r="G542" s="10">
        <f>IF($C542=0,"",COUNTIFS('DEF_SELF_SCOUT_IMPORT'!$L$42:$L$1040,"Y",'DEF_SELF_SCOUT_IMPORT'!$E$42:$E$1040,SUBSTITUTE(SUBSTITUTE(SUBSTITUTE($B542,"~","~~"),"*","~*"),"?","~?"),'DEF_SELF_SCOUT_IMPORT'!$Q$42:$Q$1040,SUBSTITUTE(SUBSTITUTE(SUBSTITUTE($M542,"~","~~"),"*","~*"),"?","~?"),'DEF_SELF_SCOUT_IMPORT'!$G$42:$G$1040,SUBSTITUTE(SUBSTITUTE(SUBSTITUTE($O542,"~","~~"),"*","~*"),"?","~?"),'DEF_SELF_SCOUT_IMPORT'!$H$42:$H$1040,"RUSH")/$C542)</f>
        <v>0.0</v>
      </c>
      <c r="H542" s="10">
        <f>IF($C542=0,"",COUNTIFS('DEF_SELF_SCOUT_IMPORT'!$L$42:$L$1040,"Y",'DEF_SELF_SCOUT_IMPORT'!$E$42:$E$1040,SUBSTITUTE(SUBSTITUTE(SUBSTITUTE($B542,"~","~~"),"*","~*"),"?","~?"),'DEF_SELF_SCOUT_IMPORT'!$Q$42:$Q$1040,SUBSTITUTE(SUBSTITUTE(SUBSTITUTE($M542,"~","~~"),"*","~*"),"?","~?"),'DEF_SELF_SCOUT_IMPORT'!$G$42:$G$1040,SUBSTITUTE(SUBSTITUTE(SUBSTITUTE($O542,"~","~~"),"*","~*"),"?","~?"),'DEF_SELF_SCOUT_IMPORT'!$H$42:$H$1040,"DROPBACK")/$C542)</f>
        <v>1.0</v>
      </c>
      <c r="I542" s="14" t="str">
        <f>IF(C542=0,"",IF(C542&lt;=2,"TRACK",IF(C542=3,"LOW",IF(C542&lt;=6,"MEDIUM","HIGH"))))</f>
        <v>TRACK</v>
      </c>
      <c r="J542" s="11">
        <f>IF(C542=0,"",ROUND(D542*70+(1-E542)*20+MAX(0,MIN(1,(10-F542)/10))*10,1))</f>
        <v>100.0</v>
      </c>
      <c r="K542" s="14" t="str">
        <f>IF(C542=0,"No Evidence",IF(C542&lt;=2,IF(E542&gt;0,"Explosive Alert","Track Only"),IF(C542=3,"Sample Watch",IF(E542&gt;=START_HERE!$B$31,"Explosive Alert",IF(J542&gt;=80,"Strong Candidate",IF(J542&gt;=65,"Good Candidate",IF(J542&gt;=50,"Mixed / Review","Problem Call")))))))</f>
        <v>Track Only</v>
      </c>
      <c r="L542" s="9" t="str">
        <f>IF(COUNTIFS('DEF_SELF_SCOUT_IMPORT'!$L$42:$L$1040,"Y",'DEF_SELF_SCOUT_IMPORT'!$E$42:$E$1040,SUBSTITUTE(SUBSTITUTE(SUBSTITUTE($B542,"~","~~"),"*","~*"),"?","~?"),'DEF_SELF_SCOUT_IMPORT'!$Q$42:$Q$1040,SUBSTITUTE(SUBSTITUTE(SUBSTITUTE($M542,"~","~~"),"*","~*"),"?","~?"),'DEF_SELF_SCOUT_IMPORT'!$G$42:$G$1040,SUBSTITUTE(SUBSTITUTE(SUBSTITUTE($O542,"~","~~"),"*","~*"),"?","~?"),'DEF_SELF_SCOUT_IMPORT'!$J$42:$J$1040,"")&gt;0,"Unscored clean outcome; review result tags before using score.",IF(C542=0,"No matching defensive reps; film confirmation needed.",IF(K542="Explosive Alert","Explosive risk; review clips before using as answer.",IF(C542&lt;=2,"Track only; not enough sample.",IF(C542=3,IF(E542&gt;0,"Sample watch with explosive exposure; review clips and build the sample.",IF(J542&gt;=65,"Good signal, but sample is limited.","Sample watch; review clips and build the sample.")),IF(K542="Problem Call","Problem area; practice or call-sheet review.",IF(K542="Strong Candidate","Strong call-fit candidate; confirm on film.",IF(K542="Good Candidate","Good call-fit signal; confirm on film.","Mixed signal; review fit and execution on film."))))))))</f>
        <v>Track only; not enough sample.</v>
      </c>
      <c r="M542" s="8" t="s">
        <v>107</v>
      </c>
      <c r="N542" s="8"/>
      <c r="O542" s="8" t="s">
        <v>203</v>
      </c>
      <c r="P542" s="8"/>
      <c r="Q542" s="8"/>
      <c r="R542" s="8" t="s">
        <v>28</v>
      </c>
      <c r="S542" s="2" t="s">
        <v>266</v>
      </c>
      <c r="T542" s="2">
        <f>IF(C542=0,0,IF(C542&gt;=CALL_LOOKUP_BOARD!$B$7,IF(OR(K542="Problem Call",K542="Explosive Alert"),10000000,20000000),0)+IF(C542&gt;=CALL_LOOKUP_BOARD!$B$7,J542*1000+MIN(C542,999),C542*1000+J542)+0.00983200)</f>
        <v>1100.009832</v>
      </c>
      <c r="U542" s="2">
        <f>IF(C542=0,"",IF(COUNTIFS($S$375:$S$581,SUBSTITUTE(SUBSTITUTE(SUBSTITUTE(S542,"~","~~"),"*","~*"),"?","~?"),$T$375:$T$581,"&gt;"&amp;T542)=0,S542,""))</f>
        <v/>
      </c>
    </row>
    <row r="543" spans="1:21" ht="38" customHeight="1">
      <c r="A543" s="8" t="s">
        <v>267</v>
      </c>
      <c r="B543" s="8" t="s">
        <v>46</v>
      </c>
      <c r="C543" s="12">
        <f>COUNTIFS('DEF_SELF_SCOUT_IMPORT'!$L$42:$L$1040,"Y",'DEF_SELF_SCOUT_IMPORT'!$E$42:$E$1040,SUBSTITUTE(SUBSTITUTE(SUBSTITUTE($B543,"~","~~"),"*","~*"),"?","~?"),'DEF_SELF_SCOUT_IMPORT'!$Q$42:$Q$1040,SUBSTITUTE(SUBSTITUTE(SUBSTITUTE($M543,"~","~~"),"*","~*"),"?","~?"),'DEF_SELF_SCOUT_IMPORT'!$G$42:$G$1040,SUBSTITUTE(SUBSTITUTE(SUBSTITUTE($O543,"~","~~"),"*","~*"),"?","~?"))</f>
        <v>1</v>
      </c>
      <c r="D543" s="10">
        <f>IF($C543=0,"",SUMIFS('DEF_SELF_SCOUT_IMPORT'!$J$42:$J$1040,'DEF_SELF_SCOUT_IMPORT'!$L$42:$L$1040,"Y",'DEF_SELF_SCOUT_IMPORT'!$E$42:$E$1040,SUBSTITUTE(SUBSTITUTE(SUBSTITUTE($B543,"~","~~"),"*","~*"),"?","~?"),'DEF_SELF_SCOUT_IMPORT'!$Q$42:$Q$1040,SUBSTITUTE(SUBSTITUTE(SUBSTITUTE($M543,"~","~~"),"*","~*"),"?","~?"),'DEF_SELF_SCOUT_IMPORT'!$G$42:$G$1040,SUBSTITUTE(SUBSTITUTE(SUBSTITUTE($O543,"~","~~"),"*","~*"),"?","~?"))/$C543)</f>
        <v>0.0</v>
      </c>
      <c r="E543" s="10">
        <f>IF($C543=0,"",SUMIFS('DEF_SELF_SCOUT_IMPORT'!$K$42:$K$1040,'DEF_SELF_SCOUT_IMPORT'!$L$42:$L$1040,"Y",'DEF_SELF_SCOUT_IMPORT'!$E$42:$E$1040,SUBSTITUTE(SUBSTITUTE(SUBSTITUTE($B543,"~","~~"),"*","~*"),"?","~?"),'DEF_SELF_SCOUT_IMPORT'!$Q$42:$Q$1040,SUBSTITUTE(SUBSTITUTE(SUBSTITUTE($M543,"~","~~"),"*","~*"),"?","~?"),'DEF_SELF_SCOUT_IMPORT'!$G$42:$G$1040,SUBSTITUTE(SUBSTITUTE(SUBSTITUTE($O543,"~","~~"),"*","~*"),"?","~?"))/$C543)</f>
        <v>0.0</v>
      </c>
      <c r="F543" s="11">
        <f>IF($C543=0,"",AVERAGEIFS('DEF_SELF_SCOUT_IMPORT'!$I$42:$I$1040,'DEF_SELF_SCOUT_IMPORT'!$L$42:$L$1040,"Y",'DEF_SELF_SCOUT_IMPORT'!$E$42:$E$1040,SUBSTITUTE(SUBSTITUTE(SUBSTITUTE($B543,"~","~~"),"*","~*"),"?","~?"),'DEF_SELF_SCOUT_IMPORT'!$Q$42:$Q$1040,SUBSTITUTE(SUBSTITUTE(SUBSTITUTE($M543,"~","~~"),"*","~*"),"?","~?"),'DEF_SELF_SCOUT_IMPORT'!$G$42:$G$1040,SUBSTITUTE(SUBSTITUTE(SUBSTITUTE($O543,"~","~~"),"*","~*"),"?","~?")))</f>
        <v>7.0</v>
      </c>
      <c r="G543" s="10">
        <f>IF($C543=0,"",COUNTIFS('DEF_SELF_SCOUT_IMPORT'!$L$42:$L$1040,"Y",'DEF_SELF_SCOUT_IMPORT'!$E$42:$E$1040,SUBSTITUTE(SUBSTITUTE(SUBSTITUTE($B543,"~","~~"),"*","~*"),"?","~?"),'DEF_SELF_SCOUT_IMPORT'!$Q$42:$Q$1040,SUBSTITUTE(SUBSTITUTE(SUBSTITUTE($M543,"~","~~"),"*","~*"),"?","~?"),'DEF_SELF_SCOUT_IMPORT'!$G$42:$G$1040,SUBSTITUTE(SUBSTITUTE(SUBSTITUTE($O543,"~","~~"),"*","~*"),"?","~?"),'DEF_SELF_SCOUT_IMPORT'!$H$42:$H$1040,"RUSH")/$C543)</f>
        <v>0.0</v>
      </c>
      <c r="H543" s="10">
        <f>IF($C543=0,"",COUNTIFS('DEF_SELF_SCOUT_IMPORT'!$L$42:$L$1040,"Y",'DEF_SELF_SCOUT_IMPORT'!$E$42:$E$1040,SUBSTITUTE(SUBSTITUTE(SUBSTITUTE($B543,"~","~~"),"*","~*"),"?","~?"),'DEF_SELF_SCOUT_IMPORT'!$Q$42:$Q$1040,SUBSTITUTE(SUBSTITUTE(SUBSTITUTE($M543,"~","~~"),"*","~*"),"?","~?"),'DEF_SELF_SCOUT_IMPORT'!$G$42:$G$1040,SUBSTITUTE(SUBSTITUTE(SUBSTITUTE($O543,"~","~~"),"*","~*"),"?","~?"),'DEF_SELF_SCOUT_IMPORT'!$H$42:$H$1040,"DROPBACK")/$C543)</f>
        <v>1.0</v>
      </c>
      <c r="I543" s="14" t="str">
        <f>IF(C543=0,"",IF(C543&lt;=2,"TRACK",IF(C543=3,"LOW",IF(C543&lt;=6,"MEDIUM","HIGH"))))</f>
        <v>TRACK</v>
      </c>
      <c r="J543" s="11">
        <f>IF(C543=0,"",ROUND(D543*70+(1-E543)*20+MAX(0,MIN(1,(10-F543)/10))*10,1))</f>
        <v>23.0</v>
      </c>
      <c r="K543" s="14" t="str">
        <f>IF(C543=0,"No Evidence",IF(C543&lt;=2,IF(E543&gt;0,"Explosive Alert","Track Only"),IF(C543=3,"Sample Watch",IF(E543&gt;=START_HERE!$B$31,"Explosive Alert",IF(J543&gt;=80,"Strong Candidate",IF(J543&gt;=65,"Good Candidate",IF(J543&gt;=50,"Mixed / Review","Problem Call")))))))</f>
        <v>Track Only</v>
      </c>
      <c r="L543" s="9" t="str">
        <f>IF(COUNTIFS('DEF_SELF_SCOUT_IMPORT'!$L$42:$L$1040,"Y",'DEF_SELF_SCOUT_IMPORT'!$E$42:$E$1040,SUBSTITUTE(SUBSTITUTE(SUBSTITUTE($B543,"~","~~"),"*","~*"),"?","~?"),'DEF_SELF_SCOUT_IMPORT'!$Q$42:$Q$1040,SUBSTITUTE(SUBSTITUTE(SUBSTITUTE($M543,"~","~~"),"*","~*"),"?","~?"),'DEF_SELF_SCOUT_IMPORT'!$G$42:$G$1040,SUBSTITUTE(SUBSTITUTE(SUBSTITUTE($O543,"~","~~"),"*","~*"),"?","~?"),'DEF_SELF_SCOUT_IMPORT'!$J$42:$J$1040,"")&gt;0,"Unscored clean outcome; review result tags before using score.",IF(C543=0,"No matching defensive reps; film confirmation needed.",IF(K543="Explosive Alert","Explosive risk; review clips before using as answer.",IF(C543&lt;=2,"Track only; not enough sample.",IF(C543=3,IF(E543&gt;0,"Sample watch with explosive exposure; review clips and build the sample.",IF(J543&gt;=65,"Good signal, but sample is limited.","Sample watch; review clips and build the sample.")),IF(K543="Problem Call","Problem area; practice or call-sheet review.",IF(K543="Strong Candidate","Strong call-fit candidate; confirm on film.",IF(K543="Good Candidate","Good call-fit signal; confirm on film.","Mixed signal; review fit and execution on film."))))))))</f>
        <v>Track only; not enough sample.</v>
      </c>
      <c r="M543" s="8" t="s">
        <v>107</v>
      </c>
      <c r="N543" s="8"/>
      <c r="O543" s="8" t="s">
        <v>206</v>
      </c>
      <c r="P543" s="8"/>
      <c r="Q543" s="8"/>
      <c r="R543" s="8" t="s">
        <v>28</v>
      </c>
      <c r="S543" s="2" t="s">
        <v>268</v>
      </c>
      <c r="T543" s="2">
        <f>IF(C543=0,0,IF(C543&gt;=CALL_LOOKUP_BOARD!$B$7,IF(OR(K543="Problem Call",K543="Explosive Alert"),10000000,20000000),0)+IF(C543&gt;=CALL_LOOKUP_BOARD!$B$7,J543*1000+MIN(C543,999),C543*1000+J543)+0.00983100)</f>
        <v>1023.009831</v>
      </c>
      <c r="U543" s="2" t="str">
        <f>IF(C543=0,"",IF(COUNTIFS($S$375:$S$581,SUBSTITUTE(SUBSTITUTE(SUBSTITUTE(S543,"~","~~"),"*","~*"),"?","~?"),$T$375:$T$581,"&gt;"&amp;T543)=0,S543,""))</f>
        <v>7:3D 7-10|3:3X1|</v>
      </c>
    </row>
    <row r="544" spans="1:21" ht="38" customHeight="1">
      <c r="A544" s="8" t="s">
        <v>267</v>
      </c>
      <c r="B544" s="8" t="s">
        <v>99</v>
      </c>
      <c r="C544" s="12">
        <f>COUNTIFS('DEF_SELF_SCOUT_IMPORT'!$L$42:$L$1040,"Y",'DEF_SELF_SCOUT_IMPORT'!$E$42:$E$1040,SUBSTITUTE(SUBSTITUTE(SUBSTITUTE($B544,"~","~~"),"*","~*"),"?","~?"),'DEF_SELF_SCOUT_IMPORT'!$Q$42:$Q$1040,SUBSTITUTE(SUBSTITUTE(SUBSTITUTE($M544,"~","~~"),"*","~*"),"?","~?"),'DEF_SELF_SCOUT_IMPORT'!$G$42:$G$1040,SUBSTITUTE(SUBSTITUTE(SUBSTITUTE($O544,"~","~~"),"*","~*"),"?","~?"))</f>
        <v>1</v>
      </c>
      <c r="D544" s="10">
        <f>IF($C544=0,"",SUMIFS('DEF_SELF_SCOUT_IMPORT'!$J$42:$J$1040,'DEF_SELF_SCOUT_IMPORT'!$L$42:$L$1040,"Y",'DEF_SELF_SCOUT_IMPORT'!$E$42:$E$1040,SUBSTITUTE(SUBSTITUTE(SUBSTITUTE($B544,"~","~~"),"*","~*"),"?","~?"),'DEF_SELF_SCOUT_IMPORT'!$Q$42:$Q$1040,SUBSTITUTE(SUBSTITUTE(SUBSTITUTE($M544,"~","~~"),"*","~*"),"?","~?"),'DEF_SELF_SCOUT_IMPORT'!$G$42:$G$1040,SUBSTITUTE(SUBSTITUTE(SUBSTITUTE($O544,"~","~~"),"*","~*"),"?","~?"))/$C544)</f>
        <v>0.0</v>
      </c>
      <c r="E544" s="10">
        <f>IF($C544=0,"",SUMIFS('DEF_SELF_SCOUT_IMPORT'!$K$42:$K$1040,'DEF_SELF_SCOUT_IMPORT'!$L$42:$L$1040,"Y",'DEF_SELF_SCOUT_IMPORT'!$E$42:$E$1040,SUBSTITUTE(SUBSTITUTE(SUBSTITUTE($B544,"~","~~"),"*","~*"),"?","~?"),'DEF_SELF_SCOUT_IMPORT'!$Q$42:$Q$1040,SUBSTITUTE(SUBSTITUTE(SUBSTITUTE($M544,"~","~~"),"*","~*"),"?","~?"),'DEF_SELF_SCOUT_IMPORT'!$G$42:$G$1040,SUBSTITUTE(SUBSTITUTE(SUBSTITUTE($O544,"~","~~"),"*","~*"),"?","~?"))/$C544)</f>
        <v>0.0</v>
      </c>
      <c r="F544" s="11">
        <f>IF($C544=0,"",AVERAGEIFS('DEF_SELF_SCOUT_IMPORT'!$I$42:$I$1040,'DEF_SELF_SCOUT_IMPORT'!$L$42:$L$1040,"Y",'DEF_SELF_SCOUT_IMPORT'!$E$42:$E$1040,SUBSTITUTE(SUBSTITUTE(SUBSTITUTE($B544,"~","~~"),"*","~*"),"?","~?"),'DEF_SELF_SCOUT_IMPORT'!$Q$42:$Q$1040,SUBSTITUTE(SUBSTITUTE(SUBSTITUTE($M544,"~","~~"),"*","~*"),"?","~?"),'DEF_SELF_SCOUT_IMPORT'!$G$42:$G$1040,SUBSTITUTE(SUBSTITUTE(SUBSTITUTE($O544,"~","~~"),"*","~*"),"?","~?")))</f>
        <v>12.0</v>
      </c>
      <c r="G544" s="10">
        <f>IF($C544=0,"",COUNTIFS('DEF_SELF_SCOUT_IMPORT'!$L$42:$L$1040,"Y",'DEF_SELF_SCOUT_IMPORT'!$E$42:$E$1040,SUBSTITUTE(SUBSTITUTE(SUBSTITUTE($B544,"~","~~"),"*","~*"),"?","~?"),'DEF_SELF_SCOUT_IMPORT'!$Q$42:$Q$1040,SUBSTITUTE(SUBSTITUTE(SUBSTITUTE($M544,"~","~~"),"*","~*"),"?","~?"),'DEF_SELF_SCOUT_IMPORT'!$G$42:$G$1040,SUBSTITUTE(SUBSTITUTE(SUBSTITUTE($O544,"~","~~"),"*","~*"),"?","~?"),'DEF_SELF_SCOUT_IMPORT'!$H$42:$H$1040,"RUSH")/$C544)</f>
        <v>0.0</v>
      </c>
      <c r="H544" s="10">
        <f>IF($C544=0,"",COUNTIFS('DEF_SELF_SCOUT_IMPORT'!$L$42:$L$1040,"Y",'DEF_SELF_SCOUT_IMPORT'!$E$42:$E$1040,SUBSTITUTE(SUBSTITUTE(SUBSTITUTE($B544,"~","~~"),"*","~*"),"?","~?"),'DEF_SELF_SCOUT_IMPORT'!$Q$42:$Q$1040,SUBSTITUTE(SUBSTITUTE(SUBSTITUTE($M544,"~","~~"),"*","~*"),"?","~?"),'DEF_SELF_SCOUT_IMPORT'!$G$42:$G$1040,SUBSTITUTE(SUBSTITUTE(SUBSTITUTE($O544,"~","~~"),"*","~*"),"?","~?"),'DEF_SELF_SCOUT_IMPORT'!$H$42:$H$1040,"DROPBACK")/$C544)</f>
        <v>1.0</v>
      </c>
      <c r="I544" s="14" t="str">
        <f>IF(C544=0,"",IF(C544&lt;=2,"TRACK",IF(C544=3,"LOW",IF(C544&lt;=6,"MEDIUM","HIGH"))))</f>
        <v>TRACK</v>
      </c>
      <c r="J544" s="11">
        <f>IF(C544=0,"",ROUND(D544*70+(1-E544)*20+MAX(0,MIN(1,(10-F544)/10))*10,1))</f>
        <v>20.0</v>
      </c>
      <c r="K544" s="14" t="str">
        <f>IF(C544=0,"No Evidence",IF(C544&lt;=2,IF(E544&gt;0,"Explosive Alert","Track Only"),IF(C544=3,"Sample Watch",IF(E544&gt;=START_HERE!$B$31,"Explosive Alert",IF(J544&gt;=80,"Strong Candidate",IF(J544&gt;=65,"Good Candidate",IF(J544&gt;=50,"Mixed / Review","Problem Call")))))))</f>
        <v>Track Only</v>
      </c>
      <c r="L544" s="9" t="str">
        <f>IF(COUNTIFS('DEF_SELF_SCOUT_IMPORT'!$L$42:$L$1040,"Y",'DEF_SELF_SCOUT_IMPORT'!$E$42:$E$1040,SUBSTITUTE(SUBSTITUTE(SUBSTITUTE($B544,"~","~~"),"*","~*"),"?","~?"),'DEF_SELF_SCOUT_IMPORT'!$Q$42:$Q$1040,SUBSTITUTE(SUBSTITUTE(SUBSTITUTE($M544,"~","~~"),"*","~*"),"?","~?"),'DEF_SELF_SCOUT_IMPORT'!$G$42:$G$1040,SUBSTITUTE(SUBSTITUTE(SUBSTITUTE($O544,"~","~~"),"*","~*"),"?","~?"),'DEF_SELF_SCOUT_IMPORT'!$J$42:$J$1040,"")&gt;0,"Unscored clean outcome; review result tags before using score.",IF(C544=0,"No matching defensive reps; film confirmation needed.",IF(K544="Explosive Alert","Explosive risk; review clips before using as answer.",IF(C544&lt;=2,"Track only; not enough sample.",IF(C544=3,IF(E544&gt;0,"Sample watch with explosive exposure; review clips and build the sample.",IF(J544&gt;=65,"Good signal, but sample is limited.","Sample watch; review clips and build the sample.")),IF(K544="Problem Call","Problem area; practice or call-sheet review.",IF(K544="Strong Candidate","Strong call-fit candidate; confirm on film.",IF(K544="Good Candidate","Good call-fit signal; confirm on film.","Mixed signal; review fit and execution on film."))))))))</f>
        <v>Track only; not enough sample.</v>
      </c>
      <c r="M544" s="8" t="s">
        <v>107</v>
      </c>
      <c r="N544" s="8"/>
      <c r="O544" s="8" t="s">
        <v>206</v>
      </c>
      <c r="P544" s="8"/>
      <c r="Q544" s="8"/>
      <c r="R544" s="8" t="s">
        <v>28</v>
      </c>
      <c r="S544" s="2" t="s">
        <v>268</v>
      </c>
      <c r="T544" s="2">
        <f>IF(C544=0,0,IF(C544&gt;=CALL_LOOKUP_BOARD!$B$7,IF(OR(K544="Problem Call",K544="Explosive Alert"),10000000,20000000),0)+IF(C544&gt;=CALL_LOOKUP_BOARD!$B$7,J544*1000+MIN(C544,999),C544*1000+J544)+0.00983000)</f>
        <v>1020.00983</v>
      </c>
      <c r="U544" s="2">
        <f>IF(C544=0,"",IF(COUNTIFS($S$375:$S$581,SUBSTITUTE(SUBSTITUTE(SUBSTITUTE(S544,"~","~~"),"*","~*"),"?","~?"),$T$375:$T$581,"&gt;"&amp;T544)=0,S544,""))</f>
        <v/>
      </c>
    </row>
    <row r="545" spans="1:21" ht="38" customHeight="1">
      <c r="A545" s="8" t="s">
        <v>267</v>
      </c>
      <c r="B545" s="8" t="s">
        <v>110</v>
      </c>
      <c r="C545" s="12">
        <f>COUNTIFS('DEF_SELF_SCOUT_IMPORT'!$L$42:$L$1040,"Y",'DEF_SELF_SCOUT_IMPORT'!$E$42:$E$1040,SUBSTITUTE(SUBSTITUTE(SUBSTITUTE($B545,"~","~~"),"*","~*"),"?","~?"),'DEF_SELF_SCOUT_IMPORT'!$Q$42:$Q$1040,SUBSTITUTE(SUBSTITUTE(SUBSTITUTE($M545,"~","~~"),"*","~*"),"?","~?"),'DEF_SELF_SCOUT_IMPORT'!$G$42:$G$1040,SUBSTITUTE(SUBSTITUTE(SUBSTITUTE($O545,"~","~~"),"*","~*"),"?","~?"))</f>
        <v>1</v>
      </c>
      <c r="D545" s="10">
        <f>IF($C545=0,"",SUMIFS('DEF_SELF_SCOUT_IMPORT'!$J$42:$J$1040,'DEF_SELF_SCOUT_IMPORT'!$L$42:$L$1040,"Y",'DEF_SELF_SCOUT_IMPORT'!$E$42:$E$1040,SUBSTITUTE(SUBSTITUTE(SUBSTITUTE($B545,"~","~~"),"*","~*"),"?","~?"),'DEF_SELF_SCOUT_IMPORT'!$Q$42:$Q$1040,SUBSTITUTE(SUBSTITUTE(SUBSTITUTE($M545,"~","~~"),"*","~*"),"?","~?"),'DEF_SELF_SCOUT_IMPORT'!$G$42:$G$1040,SUBSTITUTE(SUBSTITUTE(SUBSTITUTE($O545,"~","~~"),"*","~*"),"?","~?"))/$C545)</f>
        <v>0.0</v>
      </c>
      <c r="E545" s="10">
        <f>IF($C545=0,"",SUMIFS('DEF_SELF_SCOUT_IMPORT'!$K$42:$K$1040,'DEF_SELF_SCOUT_IMPORT'!$L$42:$L$1040,"Y",'DEF_SELF_SCOUT_IMPORT'!$E$42:$E$1040,SUBSTITUTE(SUBSTITUTE(SUBSTITUTE($B545,"~","~~"),"*","~*"),"?","~?"),'DEF_SELF_SCOUT_IMPORT'!$Q$42:$Q$1040,SUBSTITUTE(SUBSTITUTE(SUBSTITUTE($M545,"~","~~"),"*","~*"),"?","~?"),'DEF_SELF_SCOUT_IMPORT'!$G$42:$G$1040,SUBSTITUTE(SUBSTITUTE(SUBSTITUTE($O545,"~","~~"),"*","~*"),"?","~?"))/$C545)</f>
        <v>1.0</v>
      </c>
      <c r="F545" s="11">
        <f>IF($C545=0,"",AVERAGEIFS('DEF_SELF_SCOUT_IMPORT'!$I$42:$I$1040,'DEF_SELF_SCOUT_IMPORT'!$L$42:$L$1040,"Y",'DEF_SELF_SCOUT_IMPORT'!$E$42:$E$1040,SUBSTITUTE(SUBSTITUTE(SUBSTITUTE($B545,"~","~~"),"*","~*"),"?","~?"),'DEF_SELF_SCOUT_IMPORT'!$Q$42:$Q$1040,SUBSTITUTE(SUBSTITUTE(SUBSTITUTE($M545,"~","~~"),"*","~*"),"?","~?"),'DEF_SELF_SCOUT_IMPORT'!$G$42:$G$1040,SUBSTITUTE(SUBSTITUTE(SUBSTITUTE($O545,"~","~~"),"*","~*"),"?","~?")))</f>
        <v>19.0</v>
      </c>
      <c r="G545" s="10">
        <f>IF($C545=0,"",COUNTIFS('DEF_SELF_SCOUT_IMPORT'!$L$42:$L$1040,"Y",'DEF_SELF_SCOUT_IMPORT'!$E$42:$E$1040,SUBSTITUTE(SUBSTITUTE(SUBSTITUTE($B545,"~","~~"),"*","~*"),"?","~?"),'DEF_SELF_SCOUT_IMPORT'!$Q$42:$Q$1040,SUBSTITUTE(SUBSTITUTE(SUBSTITUTE($M545,"~","~~"),"*","~*"),"?","~?"),'DEF_SELF_SCOUT_IMPORT'!$G$42:$G$1040,SUBSTITUTE(SUBSTITUTE(SUBSTITUTE($O545,"~","~~"),"*","~*"),"?","~?"),'DEF_SELF_SCOUT_IMPORT'!$H$42:$H$1040,"RUSH")/$C545)</f>
        <v>0.0</v>
      </c>
      <c r="H545" s="10">
        <f>IF($C545=0,"",COUNTIFS('DEF_SELF_SCOUT_IMPORT'!$L$42:$L$1040,"Y",'DEF_SELF_SCOUT_IMPORT'!$E$42:$E$1040,SUBSTITUTE(SUBSTITUTE(SUBSTITUTE($B545,"~","~~"),"*","~*"),"?","~?"),'DEF_SELF_SCOUT_IMPORT'!$Q$42:$Q$1040,SUBSTITUTE(SUBSTITUTE(SUBSTITUTE($M545,"~","~~"),"*","~*"),"?","~?"),'DEF_SELF_SCOUT_IMPORT'!$G$42:$G$1040,SUBSTITUTE(SUBSTITUTE(SUBSTITUTE($O545,"~","~~"),"*","~*"),"?","~?"),'DEF_SELF_SCOUT_IMPORT'!$H$42:$H$1040,"DROPBACK")/$C545)</f>
        <v>1.0</v>
      </c>
      <c r="I545" s="14" t="str">
        <f>IF(C545=0,"",IF(C545&lt;=2,"TRACK",IF(C545=3,"LOW",IF(C545&lt;=6,"MEDIUM","HIGH"))))</f>
        <v>TRACK</v>
      </c>
      <c r="J545" s="11">
        <f>IF(C545=0,"",ROUND(D545*70+(1-E545)*20+MAX(0,MIN(1,(10-F545)/10))*10,1))</f>
        <v>0.0</v>
      </c>
      <c r="K545" s="14" t="str">
        <f>IF(C545=0,"No Evidence",IF(C545&lt;=2,IF(E545&gt;0,"Explosive Alert","Track Only"),IF(C545=3,"Sample Watch",IF(E545&gt;=START_HERE!$B$31,"Explosive Alert",IF(J545&gt;=80,"Strong Candidate",IF(J545&gt;=65,"Good Candidate",IF(J545&gt;=50,"Mixed / Review","Problem Call")))))))</f>
        <v>Explosive Alert</v>
      </c>
      <c r="L545" s="9" t="str">
        <f>IF(COUNTIFS('DEF_SELF_SCOUT_IMPORT'!$L$42:$L$1040,"Y",'DEF_SELF_SCOUT_IMPORT'!$E$42:$E$1040,SUBSTITUTE(SUBSTITUTE(SUBSTITUTE($B545,"~","~~"),"*","~*"),"?","~?"),'DEF_SELF_SCOUT_IMPORT'!$Q$42:$Q$1040,SUBSTITUTE(SUBSTITUTE(SUBSTITUTE($M545,"~","~~"),"*","~*"),"?","~?"),'DEF_SELF_SCOUT_IMPORT'!$G$42:$G$1040,SUBSTITUTE(SUBSTITUTE(SUBSTITUTE($O545,"~","~~"),"*","~*"),"?","~?"),'DEF_SELF_SCOUT_IMPORT'!$J$42:$J$1040,"")&gt;0,"Unscored clean outcome; review result tags before using score.",IF(C545=0,"No matching defensive reps; film confirmation needed.",IF(K545="Explosive Alert","Explosive risk; review clips before using as answer.",IF(C545&lt;=2,"Track only; not enough sample.",IF(C545=3,IF(E545&gt;0,"Sample watch with explosive exposure; review clips and build the sample.",IF(J545&gt;=65,"Good signal, but sample is limited.","Sample watch; review clips and build the sample.")),IF(K545="Problem Call","Problem area; practice or call-sheet review.",IF(K545="Strong Candidate","Strong call-fit candidate; confirm on film.",IF(K545="Good Candidate","Good call-fit signal; confirm on film.","Mixed signal; review fit and execution on film."))))))))</f>
        <v>Explosive risk; review clips before using as answer.</v>
      </c>
      <c r="M545" s="8" t="s">
        <v>107</v>
      </c>
      <c r="N545" s="8"/>
      <c r="O545" s="8" t="s">
        <v>206</v>
      </c>
      <c r="P545" s="8"/>
      <c r="Q545" s="8"/>
      <c r="R545" s="8" t="s">
        <v>28</v>
      </c>
      <c r="S545" s="2" t="s">
        <v>268</v>
      </c>
      <c r="T545" s="2">
        <f>IF(C545=0,0,IF(C545&gt;=CALL_LOOKUP_BOARD!$B$7,IF(OR(K545="Problem Call",K545="Explosive Alert"),10000000,20000000),0)+IF(C545&gt;=CALL_LOOKUP_BOARD!$B$7,J545*1000+MIN(C545,999),C545*1000+J545)+0.00982900)</f>
        <v>1000.009829</v>
      </c>
      <c r="U545" s="2">
        <f>IF(C545=0,"",IF(COUNTIFS($S$375:$S$581,SUBSTITUTE(SUBSTITUTE(SUBSTITUTE(S545,"~","~~"),"*","~*"),"?","~?"),$T$375:$T$581,"&gt;"&amp;T545)=0,S545,""))</f>
        <v/>
      </c>
    </row>
    <row r="546" spans="1:21" ht="38" customHeight="1">
      <c r="A546" s="8" t="s">
        <v>269</v>
      </c>
      <c r="B546" s="8" t="s">
        <v>42</v>
      </c>
      <c r="C546" s="12">
        <f>COUNTIFS('DEF_SELF_SCOUT_IMPORT'!$L$42:$L$1040,"Y",'DEF_SELF_SCOUT_IMPORT'!$E$42:$E$1040,SUBSTITUTE(SUBSTITUTE(SUBSTITUTE($B546,"~","~~"),"*","~*"),"?","~?"),'DEF_SELF_SCOUT_IMPORT'!$Q$42:$Q$1040,SUBSTITUTE(SUBSTITUTE(SUBSTITUTE($M546,"~","~~"),"*","~*"),"?","~?"),'DEF_SELF_SCOUT_IMPORT'!$G$42:$G$1040,SUBSTITUTE(SUBSTITUTE(SUBSTITUTE($O546,"~","~~"),"*","~*"),"?","~?"))</f>
        <v>1</v>
      </c>
      <c r="D546" s="10">
        <f>IF($C546=0,"",SUMIFS('DEF_SELF_SCOUT_IMPORT'!$J$42:$J$1040,'DEF_SELF_SCOUT_IMPORT'!$L$42:$L$1040,"Y",'DEF_SELF_SCOUT_IMPORT'!$E$42:$E$1040,SUBSTITUTE(SUBSTITUTE(SUBSTITUTE($B546,"~","~~"),"*","~*"),"?","~?"),'DEF_SELF_SCOUT_IMPORT'!$Q$42:$Q$1040,SUBSTITUTE(SUBSTITUTE(SUBSTITUTE($M546,"~","~~"),"*","~*"),"?","~?"),'DEF_SELF_SCOUT_IMPORT'!$G$42:$G$1040,SUBSTITUTE(SUBSTITUTE(SUBSTITUTE($O546,"~","~~"),"*","~*"),"?","~?"))/$C546)</f>
        <v>0.0</v>
      </c>
      <c r="E546" s="10">
        <f>IF($C546=0,"",SUMIFS('DEF_SELF_SCOUT_IMPORT'!$K$42:$K$1040,'DEF_SELF_SCOUT_IMPORT'!$L$42:$L$1040,"Y",'DEF_SELF_SCOUT_IMPORT'!$E$42:$E$1040,SUBSTITUTE(SUBSTITUTE(SUBSTITUTE($B546,"~","~~"),"*","~*"),"?","~?"),'DEF_SELF_SCOUT_IMPORT'!$Q$42:$Q$1040,SUBSTITUTE(SUBSTITUTE(SUBSTITUTE($M546,"~","~~"),"*","~*"),"?","~?"),'DEF_SELF_SCOUT_IMPORT'!$G$42:$G$1040,SUBSTITUTE(SUBSTITUTE(SUBSTITUTE($O546,"~","~~"),"*","~*"),"?","~?"))/$C546)</f>
        <v>0.0</v>
      </c>
      <c r="F546" s="11">
        <f>IF($C546=0,"",AVERAGEIFS('DEF_SELF_SCOUT_IMPORT'!$I$42:$I$1040,'DEF_SELF_SCOUT_IMPORT'!$L$42:$L$1040,"Y",'DEF_SELF_SCOUT_IMPORT'!$E$42:$E$1040,SUBSTITUTE(SUBSTITUTE(SUBSTITUTE($B546,"~","~~"),"*","~*"),"?","~?"),'DEF_SELF_SCOUT_IMPORT'!$Q$42:$Q$1040,SUBSTITUTE(SUBSTITUTE(SUBSTITUTE($M546,"~","~~"),"*","~*"),"?","~?"),'DEF_SELF_SCOUT_IMPORT'!$G$42:$G$1040,SUBSTITUTE(SUBSTITUTE(SUBSTITUTE($O546,"~","~~"),"*","~*"),"?","~?")))</f>
        <v>8.0</v>
      </c>
      <c r="G546" s="10">
        <f>IF($C546=0,"",COUNTIFS('DEF_SELF_SCOUT_IMPORT'!$L$42:$L$1040,"Y",'DEF_SELF_SCOUT_IMPORT'!$E$42:$E$1040,SUBSTITUTE(SUBSTITUTE(SUBSTITUTE($B546,"~","~~"),"*","~*"),"?","~?"),'DEF_SELF_SCOUT_IMPORT'!$Q$42:$Q$1040,SUBSTITUTE(SUBSTITUTE(SUBSTITUTE($M546,"~","~~"),"*","~*"),"?","~?"),'DEF_SELF_SCOUT_IMPORT'!$G$42:$G$1040,SUBSTITUTE(SUBSTITUTE(SUBSTITUTE($O546,"~","~~"),"*","~*"),"?","~?"),'DEF_SELF_SCOUT_IMPORT'!$H$42:$H$1040,"RUSH")/$C546)</f>
        <v>0.0</v>
      </c>
      <c r="H546" s="10">
        <f>IF($C546=0,"",COUNTIFS('DEF_SELF_SCOUT_IMPORT'!$L$42:$L$1040,"Y",'DEF_SELF_SCOUT_IMPORT'!$E$42:$E$1040,SUBSTITUTE(SUBSTITUTE(SUBSTITUTE($B546,"~","~~"),"*","~*"),"?","~?"),'DEF_SELF_SCOUT_IMPORT'!$Q$42:$Q$1040,SUBSTITUTE(SUBSTITUTE(SUBSTITUTE($M546,"~","~~"),"*","~*"),"?","~?"),'DEF_SELF_SCOUT_IMPORT'!$G$42:$G$1040,SUBSTITUTE(SUBSTITUTE(SUBSTITUTE($O546,"~","~~"),"*","~*"),"?","~?"),'DEF_SELF_SCOUT_IMPORT'!$H$42:$H$1040,"DROPBACK")/$C546)</f>
        <v>1.0</v>
      </c>
      <c r="I546" s="14" t="str">
        <f>IF(C546=0,"",IF(C546&lt;=2,"TRACK",IF(C546=3,"LOW",IF(C546&lt;=6,"MEDIUM","HIGH"))))</f>
        <v>TRACK</v>
      </c>
      <c r="J546" s="11">
        <f>IF(C546=0,"",ROUND(D546*70+(1-E546)*20+MAX(0,MIN(1,(10-F546)/10))*10,1))</f>
        <v>22.0</v>
      </c>
      <c r="K546" s="14" t="str">
        <f>IF(C546=0,"No Evidence",IF(C546&lt;=2,IF(E546&gt;0,"Explosive Alert","Track Only"),IF(C546=3,"Sample Watch",IF(E546&gt;=START_HERE!$B$31,"Explosive Alert",IF(J546&gt;=80,"Strong Candidate",IF(J546&gt;=65,"Good Candidate",IF(J546&gt;=50,"Mixed / Review","Problem Call")))))))</f>
        <v>Track Only</v>
      </c>
      <c r="L546" s="9" t="str">
        <f>IF(COUNTIFS('DEF_SELF_SCOUT_IMPORT'!$L$42:$L$1040,"Y",'DEF_SELF_SCOUT_IMPORT'!$E$42:$E$1040,SUBSTITUTE(SUBSTITUTE(SUBSTITUTE($B546,"~","~~"),"*","~*"),"?","~?"),'DEF_SELF_SCOUT_IMPORT'!$Q$42:$Q$1040,SUBSTITUTE(SUBSTITUTE(SUBSTITUTE($M546,"~","~~"),"*","~*"),"?","~?"),'DEF_SELF_SCOUT_IMPORT'!$G$42:$G$1040,SUBSTITUTE(SUBSTITUTE(SUBSTITUTE($O546,"~","~~"),"*","~*"),"?","~?"),'DEF_SELF_SCOUT_IMPORT'!$J$42:$J$1040,"")&gt;0,"Unscored clean outcome; review result tags before using score.",IF(C546=0,"No matching defensive reps; film confirmation needed.",IF(K546="Explosive Alert","Explosive risk; review clips before using as answer.",IF(C546&lt;=2,"Track only; not enough sample.",IF(C546=3,IF(E546&gt;0,"Sample watch with explosive exposure; review clips and build the sample.",IF(J546&gt;=65,"Good signal, but sample is limited.","Sample watch; review clips and build the sample.")),IF(K546="Problem Call","Problem area; practice or call-sheet review.",IF(K546="Strong Candidate","Strong call-fit candidate; confirm on film.",IF(K546="Good Candidate","Good call-fit signal; confirm on film.","Mixed signal; review fit and execution on film."))))))))</f>
        <v>Track only; not enough sample.</v>
      </c>
      <c r="M546" s="8" t="s">
        <v>107</v>
      </c>
      <c r="N546" s="8"/>
      <c r="O546" s="8" t="s">
        <v>222</v>
      </c>
      <c r="P546" s="8"/>
      <c r="Q546" s="8"/>
      <c r="R546" s="8" t="s">
        <v>28</v>
      </c>
      <c r="S546" s="2" t="s">
        <v>270</v>
      </c>
      <c r="T546" s="2">
        <f>IF(C546=0,0,IF(C546&gt;=CALL_LOOKUP_BOARD!$B$7,IF(OR(K546="Problem Call",K546="Explosive Alert"),10000000,20000000),0)+IF(C546&gt;=CALL_LOOKUP_BOARD!$B$7,J546*1000+MIN(C546,999),C546*1000+J546)+0.00982800)</f>
        <v>1022.009828</v>
      </c>
      <c r="U546" s="2">
        <f>IF(C546=0,"",IF(COUNTIFS($S$375:$S$581,SUBSTITUTE(SUBSTITUTE(SUBSTITUTE(S546,"~","~~"),"*","~*"),"?","~?"),$T$375:$T$581,"&gt;"&amp;T546)=0,S546,""))</f>
        <v/>
      </c>
    </row>
    <row r="547" spans="1:21" ht="38" customHeight="1">
      <c r="A547" s="8" t="s">
        <v>269</v>
      </c>
      <c r="B547" s="8" t="s">
        <v>97</v>
      </c>
      <c r="C547" s="12">
        <f>COUNTIFS('DEF_SELF_SCOUT_IMPORT'!$L$42:$L$1040,"Y",'DEF_SELF_SCOUT_IMPORT'!$E$42:$E$1040,SUBSTITUTE(SUBSTITUTE(SUBSTITUTE($B547,"~","~~"),"*","~*"),"?","~?"),'DEF_SELF_SCOUT_IMPORT'!$Q$42:$Q$1040,SUBSTITUTE(SUBSTITUTE(SUBSTITUTE($M547,"~","~~"),"*","~*"),"?","~?"),'DEF_SELF_SCOUT_IMPORT'!$G$42:$G$1040,SUBSTITUTE(SUBSTITUTE(SUBSTITUTE($O547,"~","~~"),"*","~*"),"?","~?"))</f>
        <v>1</v>
      </c>
      <c r="D547" s="10">
        <f>IF($C547=0,"",SUMIFS('DEF_SELF_SCOUT_IMPORT'!$J$42:$J$1040,'DEF_SELF_SCOUT_IMPORT'!$L$42:$L$1040,"Y",'DEF_SELF_SCOUT_IMPORT'!$E$42:$E$1040,SUBSTITUTE(SUBSTITUTE(SUBSTITUTE($B547,"~","~~"),"*","~*"),"?","~?"),'DEF_SELF_SCOUT_IMPORT'!$Q$42:$Q$1040,SUBSTITUTE(SUBSTITUTE(SUBSTITUTE($M547,"~","~~"),"*","~*"),"?","~?"),'DEF_SELF_SCOUT_IMPORT'!$G$42:$G$1040,SUBSTITUTE(SUBSTITUTE(SUBSTITUTE($O547,"~","~~"),"*","~*"),"?","~?"))/$C547)</f>
        <v>0.0</v>
      </c>
      <c r="E547" s="10">
        <f>IF($C547=0,"",SUMIFS('DEF_SELF_SCOUT_IMPORT'!$K$42:$K$1040,'DEF_SELF_SCOUT_IMPORT'!$L$42:$L$1040,"Y",'DEF_SELF_SCOUT_IMPORT'!$E$42:$E$1040,SUBSTITUTE(SUBSTITUTE(SUBSTITUTE($B547,"~","~~"),"*","~*"),"?","~?"),'DEF_SELF_SCOUT_IMPORT'!$Q$42:$Q$1040,SUBSTITUTE(SUBSTITUTE(SUBSTITUTE($M547,"~","~~"),"*","~*"),"?","~?"),'DEF_SELF_SCOUT_IMPORT'!$G$42:$G$1040,SUBSTITUTE(SUBSTITUTE(SUBSTITUTE($O547,"~","~~"),"*","~*"),"?","~?"))/$C547)</f>
        <v>1.0</v>
      </c>
      <c r="F547" s="11">
        <f>IF($C547=0,"",AVERAGEIFS('DEF_SELF_SCOUT_IMPORT'!$I$42:$I$1040,'DEF_SELF_SCOUT_IMPORT'!$L$42:$L$1040,"Y",'DEF_SELF_SCOUT_IMPORT'!$E$42:$E$1040,SUBSTITUTE(SUBSTITUTE(SUBSTITUTE($B547,"~","~~"),"*","~*"),"?","~?"),'DEF_SELF_SCOUT_IMPORT'!$Q$42:$Q$1040,SUBSTITUTE(SUBSTITUTE(SUBSTITUTE($M547,"~","~~"),"*","~*"),"?","~?"),'DEF_SELF_SCOUT_IMPORT'!$G$42:$G$1040,SUBSTITUTE(SUBSTITUTE(SUBSTITUTE($O547,"~","~~"),"*","~*"),"?","~?")))</f>
        <v>26.0</v>
      </c>
      <c r="G547" s="10">
        <f>IF($C547=0,"",COUNTIFS('DEF_SELF_SCOUT_IMPORT'!$L$42:$L$1040,"Y",'DEF_SELF_SCOUT_IMPORT'!$E$42:$E$1040,SUBSTITUTE(SUBSTITUTE(SUBSTITUTE($B547,"~","~~"),"*","~*"),"?","~?"),'DEF_SELF_SCOUT_IMPORT'!$Q$42:$Q$1040,SUBSTITUTE(SUBSTITUTE(SUBSTITUTE($M547,"~","~~"),"*","~*"),"?","~?"),'DEF_SELF_SCOUT_IMPORT'!$G$42:$G$1040,SUBSTITUTE(SUBSTITUTE(SUBSTITUTE($O547,"~","~~"),"*","~*"),"?","~?"),'DEF_SELF_SCOUT_IMPORT'!$H$42:$H$1040,"RUSH")/$C547)</f>
        <v>0.0</v>
      </c>
      <c r="H547" s="10">
        <f>IF($C547=0,"",COUNTIFS('DEF_SELF_SCOUT_IMPORT'!$L$42:$L$1040,"Y",'DEF_SELF_SCOUT_IMPORT'!$E$42:$E$1040,SUBSTITUTE(SUBSTITUTE(SUBSTITUTE($B547,"~","~~"),"*","~*"),"?","~?"),'DEF_SELF_SCOUT_IMPORT'!$Q$42:$Q$1040,SUBSTITUTE(SUBSTITUTE(SUBSTITUTE($M547,"~","~~"),"*","~*"),"?","~?"),'DEF_SELF_SCOUT_IMPORT'!$G$42:$G$1040,SUBSTITUTE(SUBSTITUTE(SUBSTITUTE($O547,"~","~~"),"*","~*"),"?","~?"),'DEF_SELF_SCOUT_IMPORT'!$H$42:$H$1040,"DROPBACK")/$C547)</f>
        <v>1.0</v>
      </c>
      <c r="I547" s="14" t="str">
        <f>IF(C547=0,"",IF(C547&lt;=2,"TRACK",IF(C547=3,"LOW",IF(C547&lt;=6,"MEDIUM","HIGH"))))</f>
        <v>TRACK</v>
      </c>
      <c r="J547" s="11">
        <f>IF(C547=0,"",ROUND(D547*70+(1-E547)*20+MAX(0,MIN(1,(10-F547)/10))*10,1))</f>
        <v>0.0</v>
      </c>
      <c r="K547" s="14" t="str">
        <f>IF(C547=0,"No Evidence",IF(C547&lt;=2,IF(E547&gt;0,"Explosive Alert","Track Only"),IF(C547=3,"Sample Watch",IF(E547&gt;=START_HERE!$B$31,"Explosive Alert",IF(J547&gt;=80,"Strong Candidate",IF(J547&gt;=65,"Good Candidate",IF(J547&gt;=50,"Mixed / Review","Problem Call")))))))</f>
        <v>Explosive Alert</v>
      </c>
      <c r="L547" s="9" t="str">
        <f>IF(COUNTIFS('DEF_SELF_SCOUT_IMPORT'!$L$42:$L$1040,"Y",'DEF_SELF_SCOUT_IMPORT'!$E$42:$E$1040,SUBSTITUTE(SUBSTITUTE(SUBSTITUTE($B547,"~","~~"),"*","~*"),"?","~?"),'DEF_SELF_SCOUT_IMPORT'!$Q$42:$Q$1040,SUBSTITUTE(SUBSTITUTE(SUBSTITUTE($M547,"~","~~"),"*","~*"),"?","~?"),'DEF_SELF_SCOUT_IMPORT'!$G$42:$G$1040,SUBSTITUTE(SUBSTITUTE(SUBSTITUTE($O547,"~","~~"),"*","~*"),"?","~?"),'DEF_SELF_SCOUT_IMPORT'!$J$42:$J$1040,"")&gt;0,"Unscored clean outcome; review result tags before using score.",IF(C547=0,"No matching defensive reps; film confirmation needed.",IF(K547="Explosive Alert","Explosive risk; review clips before using as answer.",IF(C547&lt;=2,"Track only; not enough sample.",IF(C547=3,IF(E547&gt;0,"Sample watch with explosive exposure; review clips and build the sample.",IF(J547&gt;=65,"Good signal, but sample is limited.","Sample watch; review clips and build the sample.")),IF(K547="Problem Call","Problem area; practice or call-sheet review.",IF(K547="Strong Candidate","Strong call-fit candidate; confirm on film.",IF(K547="Good Candidate","Good call-fit signal; confirm on film.","Mixed signal; review fit and execution on film."))))))))</f>
        <v>Explosive risk; review clips before using as answer.</v>
      </c>
      <c r="M547" s="8" t="s">
        <v>107</v>
      </c>
      <c r="N547" s="8"/>
      <c r="O547" s="8" t="s">
        <v>222</v>
      </c>
      <c r="P547" s="8"/>
      <c r="Q547" s="8"/>
      <c r="R547" s="8" t="s">
        <v>28</v>
      </c>
      <c r="S547" s="2" t="s">
        <v>270</v>
      </c>
      <c r="T547" s="2">
        <f>IF(C547=0,0,IF(C547&gt;=CALL_LOOKUP_BOARD!$B$7,IF(OR(K547="Problem Call",K547="Explosive Alert"),10000000,20000000),0)+IF(C547&gt;=CALL_LOOKUP_BOARD!$B$7,J547*1000+MIN(C547,999),C547*1000+J547)+0.00982700)</f>
        <v>1000.009827</v>
      </c>
      <c r="U547" s="2">
        <f>IF(C547=0,"",IF(COUNTIFS($S$375:$S$581,SUBSTITUTE(SUBSTITUTE(SUBSTITUTE(S547,"~","~~"),"*","~*"),"?","~?"),$T$375:$T$581,"&gt;"&amp;T547)=0,S547,""))</f>
        <v/>
      </c>
    </row>
    <row r="548" spans="1:21" ht="38" customHeight="1">
      <c r="A548" s="8" t="s">
        <v>269</v>
      </c>
      <c r="B548" s="8" t="s">
        <v>102</v>
      </c>
      <c r="C548" s="12">
        <f>COUNTIFS('DEF_SELF_SCOUT_IMPORT'!$L$42:$L$1040,"Y",'DEF_SELF_SCOUT_IMPORT'!$E$42:$E$1040,SUBSTITUTE(SUBSTITUTE(SUBSTITUTE($B548,"~","~~"),"*","~*"),"?","~?"),'DEF_SELF_SCOUT_IMPORT'!$Q$42:$Q$1040,SUBSTITUTE(SUBSTITUTE(SUBSTITUTE($M548,"~","~~"),"*","~*"),"?","~?"),'DEF_SELF_SCOUT_IMPORT'!$G$42:$G$1040,SUBSTITUTE(SUBSTITUTE(SUBSTITUTE($O548,"~","~~"),"*","~*"),"?","~?"))</f>
        <v>1</v>
      </c>
      <c r="D548" s="10">
        <f>IF($C548=0,"",SUMIFS('DEF_SELF_SCOUT_IMPORT'!$J$42:$J$1040,'DEF_SELF_SCOUT_IMPORT'!$L$42:$L$1040,"Y",'DEF_SELF_SCOUT_IMPORT'!$E$42:$E$1040,SUBSTITUTE(SUBSTITUTE(SUBSTITUTE($B548,"~","~~"),"*","~*"),"?","~?"),'DEF_SELF_SCOUT_IMPORT'!$Q$42:$Q$1040,SUBSTITUTE(SUBSTITUTE(SUBSTITUTE($M548,"~","~~"),"*","~*"),"?","~?"),'DEF_SELF_SCOUT_IMPORT'!$G$42:$G$1040,SUBSTITUTE(SUBSTITUTE(SUBSTITUTE($O548,"~","~~"),"*","~*"),"?","~?"))/$C548)</f>
        <v>1.0</v>
      </c>
      <c r="E548" s="10">
        <f>IF($C548=0,"",SUMIFS('DEF_SELF_SCOUT_IMPORT'!$K$42:$K$1040,'DEF_SELF_SCOUT_IMPORT'!$L$42:$L$1040,"Y",'DEF_SELF_SCOUT_IMPORT'!$E$42:$E$1040,SUBSTITUTE(SUBSTITUTE(SUBSTITUTE($B548,"~","~~"),"*","~*"),"?","~?"),'DEF_SELF_SCOUT_IMPORT'!$Q$42:$Q$1040,SUBSTITUTE(SUBSTITUTE(SUBSTITUTE($M548,"~","~~"),"*","~*"),"?","~?"),'DEF_SELF_SCOUT_IMPORT'!$G$42:$G$1040,SUBSTITUTE(SUBSTITUTE(SUBSTITUTE($O548,"~","~~"),"*","~*"),"?","~?"))/$C548)</f>
        <v>0.0</v>
      </c>
      <c r="F548" s="11">
        <f>IF($C548=0,"",AVERAGEIFS('DEF_SELF_SCOUT_IMPORT'!$I$42:$I$1040,'DEF_SELF_SCOUT_IMPORT'!$L$42:$L$1040,"Y",'DEF_SELF_SCOUT_IMPORT'!$E$42:$E$1040,SUBSTITUTE(SUBSTITUTE(SUBSTITUTE($B548,"~","~~"),"*","~*"),"?","~?"),'DEF_SELF_SCOUT_IMPORT'!$Q$42:$Q$1040,SUBSTITUTE(SUBSTITUTE(SUBSTITUTE($M548,"~","~~"),"*","~*"),"?","~?"),'DEF_SELF_SCOUT_IMPORT'!$G$42:$G$1040,SUBSTITUTE(SUBSTITUTE(SUBSTITUTE($O548,"~","~~"),"*","~*"),"?","~?")))</f>
        <v>5.0</v>
      </c>
      <c r="G548" s="10">
        <f>IF($C548=0,"",COUNTIFS('DEF_SELF_SCOUT_IMPORT'!$L$42:$L$1040,"Y",'DEF_SELF_SCOUT_IMPORT'!$E$42:$E$1040,SUBSTITUTE(SUBSTITUTE(SUBSTITUTE($B548,"~","~~"),"*","~*"),"?","~?"),'DEF_SELF_SCOUT_IMPORT'!$Q$42:$Q$1040,SUBSTITUTE(SUBSTITUTE(SUBSTITUTE($M548,"~","~~"),"*","~*"),"?","~?"),'DEF_SELF_SCOUT_IMPORT'!$G$42:$G$1040,SUBSTITUTE(SUBSTITUTE(SUBSTITUTE($O548,"~","~~"),"*","~*"),"?","~?"),'DEF_SELF_SCOUT_IMPORT'!$H$42:$H$1040,"RUSH")/$C548)</f>
        <v>0.0</v>
      </c>
      <c r="H548" s="10">
        <f>IF($C548=0,"",COUNTIFS('DEF_SELF_SCOUT_IMPORT'!$L$42:$L$1040,"Y",'DEF_SELF_SCOUT_IMPORT'!$E$42:$E$1040,SUBSTITUTE(SUBSTITUTE(SUBSTITUTE($B548,"~","~~"),"*","~*"),"?","~?"),'DEF_SELF_SCOUT_IMPORT'!$Q$42:$Q$1040,SUBSTITUTE(SUBSTITUTE(SUBSTITUTE($M548,"~","~~"),"*","~*"),"?","~?"),'DEF_SELF_SCOUT_IMPORT'!$G$42:$G$1040,SUBSTITUTE(SUBSTITUTE(SUBSTITUTE($O548,"~","~~"),"*","~*"),"?","~?"),'DEF_SELF_SCOUT_IMPORT'!$H$42:$H$1040,"DROPBACK")/$C548)</f>
        <v>1.0</v>
      </c>
      <c r="I548" s="14" t="str">
        <f>IF(C548=0,"",IF(C548&lt;=2,"TRACK",IF(C548=3,"LOW",IF(C548&lt;=6,"MEDIUM","HIGH"))))</f>
        <v>TRACK</v>
      </c>
      <c r="J548" s="11">
        <f>IF(C548=0,"",ROUND(D548*70+(1-E548)*20+MAX(0,MIN(1,(10-F548)/10))*10,1))</f>
        <v>95.0</v>
      </c>
      <c r="K548" s="14" t="str">
        <f>IF(C548=0,"No Evidence",IF(C548&lt;=2,IF(E548&gt;0,"Explosive Alert","Track Only"),IF(C548=3,"Sample Watch",IF(E548&gt;=START_HERE!$B$31,"Explosive Alert",IF(J548&gt;=80,"Strong Candidate",IF(J548&gt;=65,"Good Candidate",IF(J548&gt;=50,"Mixed / Review","Problem Call")))))))</f>
        <v>Track Only</v>
      </c>
      <c r="L548" s="9" t="str">
        <f>IF(COUNTIFS('DEF_SELF_SCOUT_IMPORT'!$L$42:$L$1040,"Y",'DEF_SELF_SCOUT_IMPORT'!$E$42:$E$1040,SUBSTITUTE(SUBSTITUTE(SUBSTITUTE($B548,"~","~~"),"*","~*"),"?","~?"),'DEF_SELF_SCOUT_IMPORT'!$Q$42:$Q$1040,SUBSTITUTE(SUBSTITUTE(SUBSTITUTE($M548,"~","~~"),"*","~*"),"?","~?"),'DEF_SELF_SCOUT_IMPORT'!$G$42:$G$1040,SUBSTITUTE(SUBSTITUTE(SUBSTITUTE($O548,"~","~~"),"*","~*"),"?","~?"),'DEF_SELF_SCOUT_IMPORT'!$J$42:$J$1040,"")&gt;0,"Unscored clean outcome; review result tags before using score.",IF(C548=0,"No matching defensive reps; film confirmation needed.",IF(K548="Explosive Alert","Explosive risk; review clips before using as answer.",IF(C548&lt;=2,"Track only; not enough sample.",IF(C548=3,IF(E548&gt;0,"Sample watch with explosive exposure; review clips and build the sample.",IF(J548&gt;=65,"Good signal, but sample is limited.","Sample watch; review clips and build the sample.")),IF(K548="Problem Call","Problem area; practice or call-sheet review.",IF(K548="Strong Candidate","Strong call-fit candidate; confirm on film.",IF(K548="Good Candidate","Good call-fit signal; confirm on film.","Mixed signal; review fit and execution on film."))))))))</f>
        <v>Track only; not enough sample.</v>
      </c>
      <c r="M548" s="8" t="s">
        <v>107</v>
      </c>
      <c r="N548" s="8"/>
      <c r="O548" s="8" t="s">
        <v>222</v>
      </c>
      <c r="P548" s="8"/>
      <c r="Q548" s="8"/>
      <c r="R548" s="8" t="s">
        <v>28</v>
      </c>
      <c r="S548" s="2" t="s">
        <v>270</v>
      </c>
      <c r="T548" s="2">
        <f>IF(C548=0,0,IF(C548&gt;=CALL_LOOKUP_BOARD!$B$7,IF(OR(K548="Problem Call",K548="Explosive Alert"),10000000,20000000),0)+IF(C548&gt;=CALL_LOOKUP_BOARD!$B$7,J548*1000+MIN(C548,999),C548*1000+J548)+0.00982600)</f>
        <v>1095.009826</v>
      </c>
      <c r="U548" s="2" t="str">
        <f>IF(C548=0,"",IF(COUNTIFS($S$375:$S$581,SUBSTITUTE(SUBSTITUTE(SUBSTITUTE(S548,"~","~~"),"*","~*"),"?","~?"),$T$375:$T$581,"&gt;"&amp;T548)=0,S548,""))</f>
        <v>7:3D 7-10|3:3X2|</v>
      </c>
    </row>
    <row r="549" spans="1:21" ht="38" customHeight="1">
      <c r="A549" s="8" t="s">
        <v>271</v>
      </c>
      <c r="B549" s="8" t="s">
        <v>27</v>
      </c>
      <c r="C549" s="12">
        <f>COUNTIFS('DEF_SELF_SCOUT_IMPORT'!$L$42:$L$1040,"Y",'DEF_SELF_SCOUT_IMPORT'!$E$42:$E$1040,SUBSTITUTE(SUBSTITUTE(SUBSTITUTE($B549,"~","~~"),"*","~*"),"?","~?"),'DEF_SELF_SCOUT_IMPORT'!$Q$42:$Q$1040,SUBSTITUTE(SUBSTITUTE(SUBSTITUTE($M549,"~","~~"),"*","~*"),"?","~?"),'DEF_SELF_SCOUT_IMPORT'!$G$42:$G$1040,SUBSTITUTE(SUBSTITUTE(SUBSTITUTE($O549,"~","~~"),"*","~*"),"?","~?"))</f>
        <v>1</v>
      </c>
      <c r="D549" s="10">
        <f>IF($C549=0,"",SUMIFS('DEF_SELF_SCOUT_IMPORT'!$J$42:$J$1040,'DEF_SELF_SCOUT_IMPORT'!$L$42:$L$1040,"Y",'DEF_SELF_SCOUT_IMPORT'!$E$42:$E$1040,SUBSTITUTE(SUBSTITUTE(SUBSTITUTE($B549,"~","~~"),"*","~*"),"?","~?"),'DEF_SELF_SCOUT_IMPORT'!$Q$42:$Q$1040,SUBSTITUTE(SUBSTITUTE(SUBSTITUTE($M549,"~","~~"),"*","~*"),"?","~?"),'DEF_SELF_SCOUT_IMPORT'!$G$42:$G$1040,SUBSTITUTE(SUBSTITUTE(SUBSTITUTE($O549,"~","~~"),"*","~*"),"?","~?"))/$C549)</f>
        <v>0.0</v>
      </c>
      <c r="E549" s="10">
        <f>IF($C549=0,"",SUMIFS('DEF_SELF_SCOUT_IMPORT'!$K$42:$K$1040,'DEF_SELF_SCOUT_IMPORT'!$L$42:$L$1040,"Y",'DEF_SELF_SCOUT_IMPORT'!$E$42:$E$1040,SUBSTITUTE(SUBSTITUTE(SUBSTITUTE($B549,"~","~~"),"*","~*"),"?","~?"),'DEF_SELF_SCOUT_IMPORT'!$Q$42:$Q$1040,SUBSTITUTE(SUBSTITUTE(SUBSTITUTE($M549,"~","~~"),"*","~*"),"?","~?"),'DEF_SELF_SCOUT_IMPORT'!$G$42:$G$1040,SUBSTITUTE(SUBSTITUTE(SUBSTITUTE($O549,"~","~~"),"*","~*"),"?","~?"))/$C549)</f>
        <v>1.0</v>
      </c>
      <c r="F549" s="11">
        <f>IF($C549=0,"",AVERAGEIFS('DEF_SELF_SCOUT_IMPORT'!$I$42:$I$1040,'DEF_SELF_SCOUT_IMPORT'!$L$42:$L$1040,"Y",'DEF_SELF_SCOUT_IMPORT'!$E$42:$E$1040,SUBSTITUTE(SUBSTITUTE(SUBSTITUTE($B549,"~","~~"),"*","~*"),"?","~?"),'DEF_SELF_SCOUT_IMPORT'!$Q$42:$Q$1040,SUBSTITUTE(SUBSTITUTE(SUBSTITUTE($M549,"~","~~"),"*","~*"),"?","~?"),'DEF_SELF_SCOUT_IMPORT'!$G$42:$G$1040,SUBSTITUTE(SUBSTITUTE(SUBSTITUTE($O549,"~","~~"),"*","~*"),"?","~?")))</f>
        <v>23.0</v>
      </c>
      <c r="G549" s="10">
        <f>IF($C549=0,"",COUNTIFS('DEF_SELF_SCOUT_IMPORT'!$L$42:$L$1040,"Y",'DEF_SELF_SCOUT_IMPORT'!$E$42:$E$1040,SUBSTITUTE(SUBSTITUTE(SUBSTITUTE($B549,"~","~~"),"*","~*"),"?","~?"),'DEF_SELF_SCOUT_IMPORT'!$Q$42:$Q$1040,SUBSTITUTE(SUBSTITUTE(SUBSTITUTE($M549,"~","~~"),"*","~*"),"?","~?"),'DEF_SELF_SCOUT_IMPORT'!$G$42:$G$1040,SUBSTITUTE(SUBSTITUTE(SUBSTITUTE($O549,"~","~~"),"*","~*"),"?","~?"),'DEF_SELF_SCOUT_IMPORT'!$H$42:$H$1040,"RUSH")/$C549)</f>
        <v>0.0</v>
      </c>
      <c r="H549" s="10">
        <f>IF($C549=0,"",COUNTIFS('DEF_SELF_SCOUT_IMPORT'!$L$42:$L$1040,"Y",'DEF_SELF_SCOUT_IMPORT'!$E$42:$E$1040,SUBSTITUTE(SUBSTITUTE(SUBSTITUTE($B549,"~","~~"),"*","~*"),"?","~?"),'DEF_SELF_SCOUT_IMPORT'!$Q$42:$Q$1040,SUBSTITUTE(SUBSTITUTE(SUBSTITUTE($M549,"~","~~"),"*","~*"),"?","~?"),'DEF_SELF_SCOUT_IMPORT'!$G$42:$G$1040,SUBSTITUTE(SUBSTITUTE(SUBSTITUTE($O549,"~","~~"),"*","~*"),"?","~?"),'DEF_SELF_SCOUT_IMPORT'!$H$42:$H$1040,"DROPBACK")/$C549)</f>
        <v>1.0</v>
      </c>
      <c r="I549" s="14" t="str">
        <f>IF(C549=0,"",IF(C549&lt;=2,"TRACK",IF(C549=3,"LOW",IF(C549&lt;=6,"MEDIUM","HIGH"))))</f>
        <v>TRACK</v>
      </c>
      <c r="J549" s="11">
        <f>IF(C549=0,"",ROUND(D549*70+(1-E549)*20+MAX(0,MIN(1,(10-F549)/10))*10,1))</f>
        <v>0.0</v>
      </c>
      <c r="K549" s="14" t="str">
        <f>IF(C549=0,"No Evidence",IF(C549&lt;=2,IF(E549&gt;0,"Explosive Alert","Track Only"),IF(C549=3,"Sample Watch",IF(E549&gt;=START_HERE!$B$31,"Explosive Alert",IF(J549&gt;=80,"Strong Candidate",IF(J549&gt;=65,"Good Candidate",IF(J549&gt;=50,"Mixed / Review","Problem Call")))))))</f>
        <v>Explosive Alert</v>
      </c>
      <c r="L549" s="9" t="str">
        <f>IF(COUNTIFS('DEF_SELF_SCOUT_IMPORT'!$L$42:$L$1040,"Y",'DEF_SELF_SCOUT_IMPORT'!$E$42:$E$1040,SUBSTITUTE(SUBSTITUTE(SUBSTITUTE($B549,"~","~~"),"*","~*"),"?","~?"),'DEF_SELF_SCOUT_IMPORT'!$Q$42:$Q$1040,SUBSTITUTE(SUBSTITUTE(SUBSTITUTE($M549,"~","~~"),"*","~*"),"?","~?"),'DEF_SELF_SCOUT_IMPORT'!$G$42:$G$1040,SUBSTITUTE(SUBSTITUTE(SUBSTITUTE($O549,"~","~~"),"*","~*"),"?","~?"),'DEF_SELF_SCOUT_IMPORT'!$J$42:$J$1040,"")&gt;0,"Unscored clean outcome; review result tags before using score.",IF(C549=0,"No matching defensive reps; film confirmation needed.",IF(K549="Explosive Alert","Explosive risk; review clips before using as answer.",IF(C549&lt;=2,"Track only; not enough sample.",IF(C549=3,IF(E549&gt;0,"Sample watch with explosive exposure; review clips and build the sample.",IF(J549&gt;=65,"Good signal, but sample is limited.","Sample watch; review clips and build the sample.")),IF(K549="Problem Call","Problem area; practice or call-sheet review.",IF(K549="Strong Candidate","Strong call-fit candidate; confirm on film.",IF(K549="Good Candidate","Good call-fit signal; confirm on film.","Mixed signal; review fit and execution on film."))))))))</f>
        <v>Explosive risk; review clips before using as answer.</v>
      </c>
      <c r="M549" s="8" t="s">
        <v>111</v>
      </c>
      <c r="N549" s="8"/>
      <c r="O549" s="8" t="s">
        <v>203</v>
      </c>
      <c r="P549" s="8"/>
      <c r="Q549" s="8"/>
      <c r="R549" s="8" t="s">
        <v>28</v>
      </c>
      <c r="S549" s="2" t="s">
        <v>272</v>
      </c>
      <c r="T549" s="2">
        <f>IF(C549=0,0,IF(C549&gt;=CALL_LOOKUP_BOARD!$B$7,IF(OR(K549="Problem Call",K549="Explosive Alert"),10000000,20000000),0)+IF(C549&gt;=CALL_LOOKUP_BOARD!$B$7,J549*1000+MIN(C549,999),C549*1000+J549)+0.00982500)</f>
        <v>1000.009825</v>
      </c>
      <c r="U549" s="2">
        <f>IF(C549=0,"",IF(COUNTIFS($S$375:$S$581,SUBSTITUTE(SUBSTITUTE(SUBSTITUTE(S549,"~","~~"),"*","~*"),"?","~?"),$T$375:$T$581,"&gt;"&amp;T549)=0,S549,""))</f>
        <v/>
      </c>
    </row>
    <row r="550" spans="1:21" ht="38" customHeight="1">
      <c r="A550" s="8" t="s">
        <v>271</v>
      </c>
      <c r="B550" s="8" t="s">
        <v>95</v>
      </c>
      <c r="C550" s="12">
        <f>COUNTIFS('DEF_SELF_SCOUT_IMPORT'!$L$42:$L$1040,"Y",'DEF_SELF_SCOUT_IMPORT'!$E$42:$E$1040,SUBSTITUTE(SUBSTITUTE(SUBSTITUTE($B550,"~","~~"),"*","~*"),"?","~?"),'DEF_SELF_SCOUT_IMPORT'!$Q$42:$Q$1040,SUBSTITUTE(SUBSTITUTE(SUBSTITUTE($M550,"~","~~"),"*","~*"),"?","~?"),'DEF_SELF_SCOUT_IMPORT'!$G$42:$G$1040,SUBSTITUTE(SUBSTITUTE(SUBSTITUTE($O550,"~","~~"),"*","~*"),"?","~?"))</f>
        <v>1</v>
      </c>
      <c r="D550" s="10">
        <f>IF($C550=0,"",SUMIFS('DEF_SELF_SCOUT_IMPORT'!$J$42:$J$1040,'DEF_SELF_SCOUT_IMPORT'!$L$42:$L$1040,"Y",'DEF_SELF_SCOUT_IMPORT'!$E$42:$E$1040,SUBSTITUTE(SUBSTITUTE(SUBSTITUTE($B550,"~","~~"),"*","~*"),"?","~?"),'DEF_SELF_SCOUT_IMPORT'!$Q$42:$Q$1040,SUBSTITUTE(SUBSTITUTE(SUBSTITUTE($M550,"~","~~"),"*","~*"),"?","~?"),'DEF_SELF_SCOUT_IMPORT'!$G$42:$G$1040,SUBSTITUTE(SUBSTITUTE(SUBSTITUTE($O550,"~","~~"),"*","~*"),"?","~?"))/$C550)</f>
        <v>0.0</v>
      </c>
      <c r="E550" s="10">
        <f>IF($C550=0,"",SUMIFS('DEF_SELF_SCOUT_IMPORT'!$K$42:$K$1040,'DEF_SELF_SCOUT_IMPORT'!$L$42:$L$1040,"Y",'DEF_SELF_SCOUT_IMPORT'!$E$42:$E$1040,SUBSTITUTE(SUBSTITUTE(SUBSTITUTE($B550,"~","~~"),"*","~*"),"?","~?"),'DEF_SELF_SCOUT_IMPORT'!$Q$42:$Q$1040,SUBSTITUTE(SUBSTITUTE(SUBSTITUTE($M550,"~","~~"),"*","~*"),"?","~?"),'DEF_SELF_SCOUT_IMPORT'!$G$42:$G$1040,SUBSTITUTE(SUBSTITUTE(SUBSTITUTE($O550,"~","~~"),"*","~*"),"?","~?"))/$C550)</f>
        <v>0.0</v>
      </c>
      <c r="F550" s="11">
        <f>IF($C550=0,"",AVERAGEIFS('DEF_SELF_SCOUT_IMPORT'!$I$42:$I$1040,'DEF_SELF_SCOUT_IMPORT'!$L$42:$L$1040,"Y",'DEF_SELF_SCOUT_IMPORT'!$E$42:$E$1040,SUBSTITUTE(SUBSTITUTE(SUBSTITUTE($B550,"~","~~"),"*","~*"),"?","~?"),'DEF_SELF_SCOUT_IMPORT'!$Q$42:$Q$1040,SUBSTITUTE(SUBSTITUTE(SUBSTITUTE($M550,"~","~~"),"*","~*"),"?","~?"),'DEF_SELF_SCOUT_IMPORT'!$G$42:$G$1040,SUBSTITUTE(SUBSTITUTE(SUBSTITUTE($O550,"~","~~"),"*","~*"),"?","~?")))</f>
        <v>3.0</v>
      </c>
      <c r="G550" s="10">
        <f>IF($C550=0,"",COUNTIFS('DEF_SELF_SCOUT_IMPORT'!$L$42:$L$1040,"Y",'DEF_SELF_SCOUT_IMPORT'!$E$42:$E$1040,SUBSTITUTE(SUBSTITUTE(SUBSTITUTE($B550,"~","~~"),"*","~*"),"?","~?"),'DEF_SELF_SCOUT_IMPORT'!$Q$42:$Q$1040,SUBSTITUTE(SUBSTITUTE(SUBSTITUTE($M550,"~","~~"),"*","~*"),"?","~?"),'DEF_SELF_SCOUT_IMPORT'!$G$42:$G$1040,SUBSTITUTE(SUBSTITUTE(SUBSTITUTE($O550,"~","~~"),"*","~*"),"?","~?"),'DEF_SELF_SCOUT_IMPORT'!$H$42:$H$1040,"RUSH")/$C550)</f>
        <v>1.0</v>
      </c>
      <c r="H550" s="10">
        <f>IF($C550=0,"",COUNTIFS('DEF_SELF_SCOUT_IMPORT'!$L$42:$L$1040,"Y",'DEF_SELF_SCOUT_IMPORT'!$E$42:$E$1040,SUBSTITUTE(SUBSTITUTE(SUBSTITUTE($B550,"~","~~"),"*","~*"),"?","~?"),'DEF_SELF_SCOUT_IMPORT'!$Q$42:$Q$1040,SUBSTITUTE(SUBSTITUTE(SUBSTITUTE($M550,"~","~~"),"*","~*"),"?","~?"),'DEF_SELF_SCOUT_IMPORT'!$G$42:$G$1040,SUBSTITUTE(SUBSTITUTE(SUBSTITUTE($O550,"~","~~"),"*","~*"),"?","~?"),'DEF_SELF_SCOUT_IMPORT'!$H$42:$H$1040,"DROPBACK")/$C550)</f>
        <v>0.0</v>
      </c>
      <c r="I550" s="14" t="str">
        <f>IF(C550=0,"",IF(C550&lt;=2,"TRACK",IF(C550=3,"LOW",IF(C550&lt;=6,"MEDIUM","HIGH"))))</f>
        <v>TRACK</v>
      </c>
      <c r="J550" s="11">
        <f>IF(C550=0,"",ROUND(D550*70+(1-E550)*20+MAX(0,MIN(1,(10-F550)/10))*10,1))</f>
        <v>27.0</v>
      </c>
      <c r="K550" s="14" t="str">
        <f>IF(C550=0,"No Evidence",IF(C550&lt;=2,IF(E550&gt;0,"Explosive Alert","Track Only"),IF(C550=3,"Sample Watch",IF(E550&gt;=START_HERE!$B$31,"Explosive Alert",IF(J550&gt;=80,"Strong Candidate",IF(J550&gt;=65,"Good Candidate",IF(J550&gt;=50,"Mixed / Review","Problem Call")))))))</f>
        <v>Track Only</v>
      </c>
      <c r="L550" s="9" t="str">
        <f>IF(COUNTIFS('DEF_SELF_SCOUT_IMPORT'!$L$42:$L$1040,"Y",'DEF_SELF_SCOUT_IMPORT'!$E$42:$E$1040,SUBSTITUTE(SUBSTITUTE(SUBSTITUTE($B550,"~","~~"),"*","~*"),"?","~?"),'DEF_SELF_SCOUT_IMPORT'!$Q$42:$Q$1040,SUBSTITUTE(SUBSTITUTE(SUBSTITUTE($M550,"~","~~"),"*","~*"),"?","~?"),'DEF_SELF_SCOUT_IMPORT'!$G$42:$G$1040,SUBSTITUTE(SUBSTITUTE(SUBSTITUTE($O550,"~","~~"),"*","~*"),"?","~?"),'DEF_SELF_SCOUT_IMPORT'!$J$42:$J$1040,"")&gt;0,"Unscored clean outcome; review result tags before using score.",IF(C550=0,"No matching defensive reps; film confirmation needed.",IF(K550="Explosive Alert","Explosive risk; review clips before using as answer.",IF(C550&lt;=2,"Track only; not enough sample.",IF(C550=3,IF(E550&gt;0,"Sample watch with explosive exposure; review clips and build the sample.",IF(J550&gt;=65,"Good signal, but sample is limited.","Sample watch; review clips and build the sample.")),IF(K550="Problem Call","Problem area; practice or call-sheet review.",IF(K550="Strong Candidate","Strong call-fit candidate; confirm on film.",IF(K550="Good Candidate","Good call-fit signal; confirm on film.","Mixed signal; review fit and execution on film."))))))))</f>
        <v>Track only; not enough sample.</v>
      </c>
      <c r="M550" s="8" t="s">
        <v>111</v>
      </c>
      <c r="N550" s="8"/>
      <c r="O550" s="8" t="s">
        <v>203</v>
      </c>
      <c r="P550" s="8"/>
      <c r="Q550" s="8"/>
      <c r="R550" s="8" t="s">
        <v>28</v>
      </c>
      <c r="S550" s="2" t="s">
        <v>272</v>
      </c>
      <c r="T550" s="2">
        <f>IF(C550=0,0,IF(C550&gt;=CALL_LOOKUP_BOARD!$B$7,IF(OR(K550="Problem Call",K550="Explosive Alert"),10000000,20000000),0)+IF(C550&gt;=CALL_LOOKUP_BOARD!$B$7,J550*1000+MIN(C550,999),C550*1000+J550)+0.00982400)</f>
        <v>1027.009824</v>
      </c>
      <c r="U550" s="2">
        <f>IF(C550=0,"",IF(COUNTIFS($S$375:$S$581,SUBSTITUTE(SUBSTITUTE(SUBSTITUTE(S550,"~","~~"),"*","~*"),"?","~?"),$T$375:$T$581,"&gt;"&amp;T550)=0,S550,""))</f>
        <v/>
      </c>
    </row>
    <row r="551" spans="1:21" ht="38" customHeight="1">
      <c r="A551" s="8" t="s">
        <v>271</v>
      </c>
      <c r="B551" s="8" t="s">
        <v>60</v>
      </c>
      <c r="C551" s="12">
        <f>COUNTIFS('DEF_SELF_SCOUT_IMPORT'!$L$42:$L$1040,"Y",'DEF_SELF_SCOUT_IMPORT'!$E$42:$E$1040,SUBSTITUTE(SUBSTITUTE(SUBSTITUTE($B551,"~","~~"),"*","~*"),"?","~?"),'DEF_SELF_SCOUT_IMPORT'!$Q$42:$Q$1040,SUBSTITUTE(SUBSTITUTE(SUBSTITUTE($M551,"~","~~"),"*","~*"),"?","~?"),'DEF_SELF_SCOUT_IMPORT'!$G$42:$G$1040,SUBSTITUTE(SUBSTITUTE(SUBSTITUTE($O551,"~","~~"),"*","~*"),"?","~?"))</f>
        <v>1</v>
      </c>
      <c r="D551" s="10">
        <f>IF($C551=0,"",SUMIFS('DEF_SELF_SCOUT_IMPORT'!$J$42:$J$1040,'DEF_SELF_SCOUT_IMPORT'!$L$42:$L$1040,"Y",'DEF_SELF_SCOUT_IMPORT'!$E$42:$E$1040,SUBSTITUTE(SUBSTITUTE(SUBSTITUTE($B551,"~","~~"),"*","~*"),"?","~?"),'DEF_SELF_SCOUT_IMPORT'!$Q$42:$Q$1040,SUBSTITUTE(SUBSTITUTE(SUBSTITUTE($M551,"~","~~"),"*","~*"),"?","~?"),'DEF_SELF_SCOUT_IMPORT'!$G$42:$G$1040,SUBSTITUTE(SUBSTITUTE(SUBSTITUTE($O551,"~","~~"),"*","~*"),"?","~?"))/$C551)</f>
        <v>1.0</v>
      </c>
      <c r="E551" s="10">
        <f>IF($C551=0,"",SUMIFS('DEF_SELF_SCOUT_IMPORT'!$K$42:$K$1040,'DEF_SELF_SCOUT_IMPORT'!$L$42:$L$1040,"Y",'DEF_SELF_SCOUT_IMPORT'!$E$42:$E$1040,SUBSTITUTE(SUBSTITUTE(SUBSTITUTE($B551,"~","~~"),"*","~*"),"?","~?"),'DEF_SELF_SCOUT_IMPORT'!$Q$42:$Q$1040,SUBSTITUTE(SUBSTITUTE(SUBSTITUTE($M551,"~","~~"),"*","~*"),"?","~?"),'DEF_SELF_SCOUT_IMPORT'!$G$42:$G$1040,SUBSTITUTE(SUBSTITUTE(SUBSTITUTE($O551,"~","~~"),"*","~*"),"?","~?"))/$C551)</f>
        <v>0.0</v>
      </c>
      <c r="F551" s="11">
        <f>IF($C551=0,"",AVERAGEIFS('DEF_SELF_SCOUT_IMPORT'!$I$42:$I$1040,'DEF_SELF_SCOUT_IMPORT'!$L$42:$L$1040,"Y",'DEF_SELF_SCOUT_IMPORT'!$E$42:$E$1040,SUBSTITUTE(SUBSTITUTE(SUBSTITUTE($B551,"~","~~"),"*","~*"),"?","~?"),'DEF_SELF_SCOUT_IMPORT'!$Q$42:$Q$1040,SUBSTITUTE(SUBSTITUTE(SUBSTITUTE($M551,"~","~~"),"*","~*"),"?","~?"),'DEF_SELF_SCOUT_IMPORT'!$G$42:$G$1040,SUBSTITUTE(SUBSTITUTE(SUBSTITUTE($O551,"~","~~"),"*","~*"),"?","~?")))</f>
        <v>1.0</v>
      </c>
      <c r="G551" s="10">
        <f>IF($C551=0,"",COUNTIFS('DEF_SELF_SCOUT_IMPORT'!$L$42:$L$1040,"Y",'DEF_SELF_SCOUT_IMPORT'!$E$42:$E$1040,SUBSTITUTE(SUBSTITUTE(SUBSTITUTE($B551,"~","~~"),"*","~*"),"?","~?"),'DEF_SELF_SCOUT_IMPORT'!$Q$42:$Q$1040,SUBSTITUTE(SUBSTITUTE(SUBSTITUTE($M551,"~","~~"),"*","~*"),"?","~?"),'DEF_SELF_SCOUT_IMPORT'!$G$42:$G$1040,SUBSTITUTE(SUBSTITUTE(SUBSTITUTE($O551,"~","~~"),"*","~*"),"?","~?"),'DEF_SELF_SCOUT_IMPORT'!$H$42:$H$1040,"RUSH")/$C551)</f>
        <v>1.0</v>
      </c>
      <c r="H551" s="10">
        <f>IF($C551=0,"",COUNTIFS('DEF_SELF_SCOUT_IMPORT'!$L$42:$L$1040,"Y",'DEF_SELF_SCOUT_IMPORT'!$E$42:$E$1040,SUBSTITUTE(SUBSTITUTE(SUBSTITUTE($B551,"~","~~"),"*","~*"),"?","~?"),'DEF_SELF_SCOUT_IMPORT'!$Q$42:$Q$1040,SUBSTITUTE(SUBSTITUTE(SUBSTITUTE($M551,"~","~~"),"*","~*"),"?","~?"),'DEF_SELF_SCOUT_IMPORT'!$G$42:$G$1040,SUBSTITUTE(SUBSTITUTE(SUBSTITUTE($O551,"~","~~"),"*","~*"),"?","~?"),'DEF_SELF_SCOUT_IMPORT'!$H$42:$H$1040,"DROPBACK")/$C551)</f>
        <v>0.0</v>
      </c>
      <c r="I551" s="14" t="str">
        <f>IF(C551=0,"",IF(C551&lt;=2,"TRACK",IF(C551=3,"LOW",IF(C551&lt;=6,"MEDIUM","HIGH"))))</f>
        <v>TRACK</v>
      </c>
      <c r="J551" s="11">
        <f>IF(C551=0,"",ROUND(D551*70+(1-E551)*20+MAX(0,MIN(1,(10-F551)/10))*10,1))</f>
        <v>99.0</v>
      </c>
      <c r="K551" s="14" t="str">
        <f>IF(C551=0,"No Evidence",IF(C551&lt;=2,IF(E551&gt;0,"Explosive Alert","Track Only"),IF(C551=3,"Sample Watch",IF(E551&gt;=START_HERE!$B$31,"Explosive Alert",IF(J551&gt;=80,"Strong Candidate",IF(J551&gt;=65,"Good Candidate",IF(J551&gt;=50,"Mixed / Review","Problem Call")))))))</f>
        <v>Track Only</v>
      </c>
      <c r="L551" s="9" t="str">
        <f>IF(COUNTIFS('DEF_SELF_SCOUT_IMPORT'!$L$42:$L$1040,"Y",'DEF_SELF_SCOUT_IMPORT'!$E$42:$E$1040,SUBSTITUTE(SUBSTITUTE(SUBSTITUTE($B551,"~","~~"),"*","~*"),"?","~?"),'DEF_SELF_SCOUT_IMPORT'!$Q$42:$Q$1040,SUBSTITUTE(SUBSTITUTE(SUBSTITUTE($M551,"~","~~"),"*","~*"),"?","~?"),'DEF_SELF_SCOUT_IMPORT'!$G$42:$G$1040,SUBSTITUTE(SUBSTITUTE(SUBSTITUTE($O551,"~","~~"),"*","~*"),"?","~?"),'DEF_SELF_SCOUT_IMPORT'!$J$42:$J$1040,"")&gt;0,"Unscored clean outcome; review result tags before using score.",IF(C551=0,"No matching defensive reps; film confirmation needed.",IF(K551="Explosive Alert","Explosive risk; review clips before using as answer.",IF(C551&lt;=2,"Track only; not enough sample.",IF(C551=3,IF(E551&gt;0,"Sample watch with explosive exposure; review clips and build the sample.",IF(J551&gt;=65,"Good signal, but sample is limited.","Sample watch; review clips and build the sample.")),IF(K551="Problem Call","Problem area; practice or call-sheet review.",IF(K551="Strong Candidate","Strong call-fit candidate; confirm on film.",IF(K551="Good Candidate","Good call-fit signal; confirm on film.","Mixed signal; review fit and execution on film."))))))))</f>
        <v>Track only; not enough sample.</v>
      </c>
      <c r="M551" s="8" t="s">
        <v>111</v>
      </c>
      <c r="N551" s="8"/>
      <c r="O551" s="8" t="s">
        <v>203</v>
      </c>
      <c r="P551" s="8"/>
      <c r="Q551" s="8"/>
      <c r="R551" s="8" t="s">
        <v>28</v>
      </c>
      <c r="S551" s="2" t="s">
        <v>272</v>
      </c>
      <c r="T551" s="2">
        <f>IF(C551=0,0,IF(C551&gt;=CALL_LOOKUP_BOARD!$B$7,IF(OR(K551="Problem Call",K551="Explosive Alert"),10000000,20000000),0)+IF(C551&gt;=CALL_LOOKUP_BOARD!$B$7,J551*1000+MIN(C551,999),C551*1000+J551)+0.00982300)</f>
        <v>1099.009823</v>
      </c>
      <c r="U551" s="2" t="str">
        <f>IF(C551=0,"",IF(COUNTIFS($S$375:$S$581,SUBSTITUTE(SUBSTITUTE(SUBSTITUTE(S551,"~","~~"),"*","~*"),"?","~?"),$T$375:$T$581,"&gt;"&amp;T551)=0,S551,""))</f>
        <v>6:4D 1-3|3:2X2|</v>
      </c>
    </row>
    <row r="552" spans="1:21" ht="38" customHeight="1">
      <c r="A552" s="8" t="s">
        <v>273</v>
      </c>
      <c r="B552" s="8" t="s">
        <v>27</v>
      </c>
      <c r="C552" s="12">
        <f>COUNTIFS('DEF_SELF_SCOUT_IMPORT'!$L$42:$L$1040,"Y",'DEF_SELF_SCOUT_IMPORT'!$E$42:$E$1040,SUBSTITUTE(SUBSTITUTE(SUBSTITUTE($B552,"~","~~"),"*","~*"),"?","~?"),'DEF_SELF_SCOUT_IMPORT'!$Q$42:$Q$1040,SUBSTITUTE(SUBSTITUTE(SUBSTITUTE($M552,"~","~~"),"*","~*"),"?","~?"),'DEF_SELF_SCOUT_IMPORT'!$G$42:$G$1040,SUBSTITUTE(SUBSTITUTE(SUBSTITUTE($O552,"~","~~"),"*","~*"),"?","~?"))</f>
        <v>1</v>
      </c>
      <c r="D552" s="10">
        <f>IF($C552=0,"",SUMIFS('DEF_SELF_SCOUT_IMPORT'!$J$42:$J$1040,'DEF_SELF_SCOUT_IMPORT'!$L$42:$L$1040,"Y",'DEF_SELF_SCOUT_IMPORT'!$E$42:$E$1040,SUBSTITUTE(SUBSTITUTE(SUBSTITUTE($B552,"~","~~"),"*","~*"),"?","~?"),'DEF_SELF_SCOUT_IMPORT'!$Q$42:$Q$1040,SUBSTITUTE(SUBSTITUTE(SUBSTITUTE($M552,"~","~~"),"*","~*"),"?","~?"),'DEF_SELF_SCOUT_IMPORT'!$G$42:$G$1040,SUBSTITUTE(SUBSTITUTE(SUBSTITUTE($O552,"~","~~"),"*","~*"),"?","~?"))/$C552)</f>
        <v>0.0</v>
      </c>
      <c r="E552" s="10">
        <f>IF($C552=0,"",SUMIFS('DEF_SELF_SCOUT_IMPORT'!$K$42:$K$1040,'DEF_SELF_SCOUT_IMPORT'!$L$42:$L$1040,"Y",'DEF_SELF_SCOUT_IMPORT'!$E$42:$E$1040,SUBSTITUTE(SUBSTITUTE(SUBSTITUTE($B552,"~","~~"),"*","~*"),"?","~?"),'DEF_SELF_SCOUT_IMPORT'!$Q$42:$Q$1040,SUBSTITUTE(SUBSTITUTE(SUBSTITUTE($M552,"~","~~"),"*","~*"),"?","~?"),'DEF_SELF_SCOUT_IMPORT'!$G$42:$G$1040,SUBSTITUTE(SUBSTITUTE(SUBSTITUTE($O552,"~","~~"),"*","~*"),"?","~?"))/$C552)</f>
        <v>0.0</v>
      </c>
      <c r="F552" s="11">
        <f>IF($C552=0,"",AVERAGEIFS('DEF_SELF_SCOUT_IMPORT'!$I$42:$I$1040,'DEF_SELF_SCOUT_IMPORT'!$L$42:$L$1040,"Y",'DEF_SELF_SCOUT_IMPORT'!$E$42:$E$1040,SUBSTITUTE(SUBSTITUTE(SUBSTITUTE($B552,"~","~~"),"*","~*"),"?","~?"),'DEF_SELF_SCOUT_IMPORT'!$Q$42:$Q$1040,SUBSTITUTE(SUBSTITUTE(SUBSTITUTE($M552,"~","~~"),"*","~*"),"?","~?"),'DEF_SELF_SCOUT_IMPORT'!$G$42:$G$1040,SUBSTITUTE(SUBSTITUTE(SUBSTITUTE($O552,"~","~~"),"*","~*"),"?","~?")))</f>
        <v>4.0</v>
      </c>
      <c r="G552" s="10">
        <f>IF($C552=0,"",COUNTIFS('DEF_SELF_SCOUT_IMPORT'!$L$42:$L$1040,"Y",'DEF_SELF_SCOUT_IMPORT'!$E$42:$E$1040,SUBSTITUTE(SUBSTITUTE(SUBSTITUTE($B552,"~","~~"),"*","~*"),"?","~?"),'DEF_SELF_SCOUT_IMPORT'!$Q$42:$Q$1040,SUBSTITUTE(SUBSTITUTE(SUBSTITUTE($M552,"~","~~"),"*","~*"),"?","~?"),'DEF_SELF_SCOUT_IMPORT'!$G$42:$G$1040,SUBSTITUTE(SUBSTITUTE(SUBSTITUTE($O552,"~","~~"),"*","~*"),"?","~?"),'DEF_SELF_SCOUT_IMPORT'!$H$42:$H$1040,"RUSH")/$C552)</f>
        <v>0.0</v>
      </c>
      <c r="H552" s="10">
        <f>IF($C552=0,"",COUNTIFS('DEF_SELF_SCOUT_IMPORT'!$L$42:$L$1040,"Y",'DEF_SELF_SCOUT_IMPORT'!$E$42:$E$1040,SUBSTITUTE(SUBSTITUTE(SUBSTITUTE($B552,"~","~~"),"*","~*"),"?","~?"),'DEF_SELF_SCOUT_IMPORT'!$Q$42:$Q$1040,SUBSTITUTE(SUBSTITUTE(SUBSTITUTE($M552,"~","~~"),"*","~*"),"?","~?"),'DEF_SELF_SCOUT_IMPORT'!$G$42:$G$1040,SUBSTITUTE(SUBSTITUTE(SUBSTITUTE($O552,"~","~~"),"*","~*"),"?","~?"),'DEF_SELF_SCOUT_IMPORT'!$H$42:$H$1040,"DROPBACK")/$C552)</f>
        <v>1.0</v>
      </c>
      <c r="I552" s="14" t="str">
        <f>IF(C552=0,"",IF(C552&lt;=2,"TRACK",IF(C552=3,"LOW",IF(C552&lt;=6,"MEDIUM","HIGH"))))</f>
        <v>TRACK</v>
      </c>
      <c r="J552" s="11">
        <f>IF(C552=0,"",ROUND(D552*70+(1-E552)*20+MAX(0,MIN(1,(10-F552)/10))*10,1))</f>
        <v>26.0</v>
      </c>
      <c r="K552" s="14" t="str">
        <f>IF(C552=0,"No Evidence",IF(C552&lt;=2,IF(E552&gt;0,"Explosive Alert","Track Only"),IF(C552=3,"Sample Watch",IF(E552&gt;=START_HERE!$B$31,"Explosive Alert",IF(J552&gt;=80,"Strong Candidate",IF(J552&gt;=65,"Good Candidate",IF(J552&gt;=50,"Mixed / Review","Problem Call")))))))</f>
        <v>Track Only</v>
      </c>
      <c r="L552" s="9" t="str">
        <f>IF(COUNTIFS('DEF_SELF_SCOUT_IMPORT'!$L$42:$L$1040,"Y",'DEF_SELF_SCOUT_IMPORT'!$E$42:$E$1040,SUBSTITUTE(SUBSTITUTE(SUBSTITUTE($B552,"~","~~"),"*","~*"),"?","~?"),'DEF_SELF_SCOUT_IMPORT'!$Q$42:$Q$1040,SUBSTITUTE(SUBSTITUTE(SUBSTITUTE($M552,"~","~~"),"*","~*"),"?","~?"),'DEF_SELF_SCOUT_IMPORT'!$G$42:$G$1040,SUBSTITUTE(SUBSTITUTE(SUBSTITUTE($O552,"~","~~"),"*","~*"),"?","~?"),'DEF_SELF_SCOUT_IMPORT'!$J$42:$J$1040,"")&gt;0,"Unscored clean outcome; review result tags before using score.",IF(C552=0,"No matching defensive reps; film confirmation needed.",IF(K552="Explosive Alert","Explosive risk; review clips before using as answer.",IF(C552&lt;=2,"Track only; not enough sample.",IF(C552=3,IF(E552&gt;0,"Sample watch with explosive exposure; review clips and build the sample.",IF(J552&gt;=65,"Good signal, but sample is limited.","Sample watch; review clips and build the sample.")),IF(K552="Problem Call","Problem area; practice or call-sheet review.",IF(K552="Strong Candidate","Strong call-fit candidate; confirm on film.",IF(K552="Good Candidate","Good call-fit signal; confirm on film.","Mixed signal; review fit and execution on film."))))))))</f>
        <v>Track only; not enough sample.</v>
      </c>
      <c r="M552" s="8" t="s">
        <v>111</v>
      </c>
      <c r="N552" s="8"/>
      <c r="O552" s="8" t="s">
        <v>206</v>
      </c>
      <c r="P552" s="8"/>
      <c r="Q552" s="8"/>
      <c r="R552" s="8" t="s">
        <v>28</v>
      </c>
      <c r="S552" s="2" t="s">
        <v>274</v>
      </c>
      <c r="T552" s="2">
        <f>IF(C552=0,0,IF(C552&gt;=CALL_LOOKUP_BOARD!$B$7,IF(OR(K552="Problem Call",K552="Explosive Alert"),10000000,20000000),0)+IF(C552&gt;=CALL_LOOKUP_BOARD!$B$7,J552*1000+MIN(C552,999),C552*1000+J552)+0.00982200)</f>
        <v>1026.009822</v>
      </c>
      <c r="U552" s="2" t="str">
        <f>IF(C552=0,"",IF(COUNTIFS($S$375:$S$581,SUBSTITUTE(SUBSTITUTE(SUBSTITUTE(S552,"~","~~"),"*","~*"),"?","~?"),$T$375:$T$581,"&gt;"&amp;T552)=0,S552,""))</f>
        <v>6:4D 1-3|3:3X1|</v>
      </c>
    </row>
    <row r="553" spans="1:21" ht="38" customHeight="1">
      <c r="A553" s="8" t="s">
        <v>273</v>
      </c>
      <c r="B553" s="8" t="s">
        <v>35</v>
      </c>
      <c r="C553" s="12">
        <f>COUNTIFS('DEF_SELF_SCOUT_IMPORT'!$L$42:$L$1040,"Y",'DEF_SELF_SCOUT_IMPORT'!$E$42:$E$1040,SUBSTITUTE(SUBSTITUTE(SUBSTITUTE($B553,"~","~~"),"*","~*"),"?","~?"),'DEF_SELF_SCOUT_IMPORT'!$Q$42:$Q$1040,SUBSTITUTE(SUBSTITUTE(SUBSTITUTE($M553,"~","~~"),"*","~*"),"?","~?"),'DEF_SELF_SCOUT_IMPORT'!$G$42:$G$1040,SUBSTITUTE(SUBSTITUTE(SUBSTITUTE($O553,"~","~~"),"*","~*"),"?","~?"))</f>
        <v>1</v>
      </c>
      <c r="D553" s="10">
        <f>IF($C553=0,"",SUMIFS('DEF_SELF_SCOUT_IMPORT'!$J$42:$J$1040,'DEF_SELF_SCOUT_IMPORT'!$L$42:$L$1040,"Y",'DEF_SELF_SCOUT_IMPORT'!$E$42:$E$1040,SUBSTITUTE(SUBSTITUTE(SUBSTITUTE($B553,"~","~~"),"*","~*"),"?","~?"),'DEF_SELF_SCOUT_IMPORT'!$Q$42:$Q$1040,SUBSTITUTE(SUBSTITUTE(SUBSTITUTE($M553,"~","~~"),"*","~*"),"?","~?"),'DEF_SELF_SCOUT_IMPORT'!$G$42:$G$1040,SUBSTITUTE(SUBSTITUTE(SUBSTITUTE($O553,"~","~~"),"*","~*"),"?","~?"))/$C553)</f>
        <v>0.0</v>
      </c>
      <c r="E553" s="10">
        <f>IF($C553=0,"",SUMIFS('DEF_SELF_SCOUT_IMPORT'!$K$42:$K$1040,'DEF_SELF_SCOUT_IMPORT'!$L$42:$L$1040,"Y",'DEF_SELF_SCOUT_IMPORT'!$E$42:$E$1040,SUBSTITUTE(SUBSTITUTE(SUBSTITUTE($B553,"~","~~"),"*","~*"),"?","~?"),'DEF_SELF_SCOUT_IMPORT'!$Q$42:$Q$1040,SUBSTITUTE(SUBSTITUTE(SUBSTITUTE($M553,"~","~~"),"*","~*"),"?","~?"),'DEF_SELF_SCOUT_IMPORT'!$G$42:$G$1040,SUBSTITUTE(SUBSTITUTE(SUBSTITUTE($O553,"~","~~"),"*","~*"),"?","~?"))/$C553)</f>
        <v>0.0</v>
      </c>
      <c r="F553" s="11">
        <f>IF($C553=0,"",AVERAGEIFS('DEF_SELF_SCOUT_IMPORT'!$I$42:$I$1040,'DEF_SELF_SCOUT_IMPORT'!$L$42:$L$1040,"Y",'DEF_SELF_SCOUT_IMPORT'!$E$42:$E$1040,SUBSTITUTE(SUBSTITUTE(SUBSTITUTE($B553,"~","~~"),"*","~*"),"?","~?"),'DEF_SELF_SCOUT_IMPORT'!$Q$42:$Q$1040,SUBSTITUTE(SUBSTITUTE(SUBSTITUTE($M553,"~","~~"),"*","~*"),"?","~?"),'DEF_SELF_SCOUT_IMPORT'!$G$42:$G$1040,SUBSTITUTE(SUBSTITUTE(SUBSTITUTE($O553,"~","~~"),"*","~*"),"?","~?")))</f>
        <v>5.0</v>
      </c>
      <c r="G553" s="10">
        <f>IF($C553=0,"",COUNTIFS('DEF_SELF_SCOUT_IMPORT'!$L$42:$L$1040,"Y",'DEF_SELF_SCOUT_IMPORT'!$E$42:$E$1040,SUBSTITUTE(SUBSTITUTE(SUBSTITUTE($B553,"~","~~"),"*","~*"),"?","~?"),'DEF_SELF_SCOUT_IMPORT'!$Q$42:$Q$1040,SUBSTITUTE(SUBSTITUTE(SUBSTITUTE($M553,"~","~~"),"*","~*"),"?","~?"),'DEF_SELF_SCOUT_IMPORT'!$G$42:$G$1040,SUBSTITUTE(SUBSTITUTE(SUBSTITUTE($O553,"~","~~"),"*","~*"),"?","~?"),'DEF_SELF_SCOUT_IMPORT'!$H$42:$H$1040,"RUSH")/$C553)</f>
        <v>1.0</v>
      </c>
      <c r="H553" s="10">
        <f>IF($C553=0,"",COUNTIFS('DEF_SELF_SCOUT_IMPORT'!$L$42:$L$1040,"Y",'DEF_SELF_SCOUT_IMPORT'!$E$42:$E$1040,SUBSTITUTE(SUBSTITUTE(SUBSTITUTE($B553,"~","~~"),"*","~*"),"?","~?"),'DEF_SELF_SCOUT_IMPORT'!$Q$42:$Q$1040,SUBSTITUTE(SUBSTITUTE(SUBSTITUTE($M553,"~","~~"),"*","~*"),"?","~?"),'DEF_SELF_SCOUT_IMPORT'!$G$42:$G$1040,SUBSTITUTE(SUBSTITUTE(SUBSTITUTE($O553,"~","~~"),"*","~*"),"?","~?"),'DEF_SELF_SCOUT_IMPORT'!$H$42:$H$1040,"DROPBACK")/$C553)</f>
        <v>0.0</v>
      </c>
      <c r="I553" s="14" t="str">
        <f>IF(C553=0,"",IF(C553&lt;=2,"TRACK",IF(C553=3,"LOW",IF(C553&lt;=6,"MEDIUM","HIGH"))))</f>
        <v>TRACK</v>
      </c>
      <c r="J553" s="11">
        <f>IF(C553=0,"",ROUND(D553*70+(1-E553)*20+MAX(0,MIN(1,(10-F553)/10))*10,1))</f>
        <v>25.0</v>
      </c>
      <c r="K553" s="14" t="str">
        <f>IF(C553=0,"No Evidence",IF(C553&lt;=2,IF(E553&gt;0,"Explosive Alert","Track Only"),IF(C553=3,"Sample Watch",IF(E553&gt;=START_HERE!$B$31,"Explosive Alert",IF(J553&gt;=80,"Strong Candidate",IF(J553&gt;=65,"Good Candidate",IF(J553&gt;=50,"Mixed / Review","Problem Call")))))))</f>
        <v>Track Only</v>
      </c>
      <c r="L553" s="9" t="str">
        <f>IF(COUNTIFS('DEF_SELF_SCOUT_IMPORT'!$L$42:$L$1040,"Y",'DEF_SELF_SCOUT_IMPORT'!$E$42:$E$1040,SUBSTITUTE(SUBSTITUTE(SUBSTITUTE($B553,"~","~~"),"*","~*"),"?","~?"),'DEF_SELF_SCOUT_IMPORT'!$Q$42:$Q$1040,SUBSTITUTE(SUBSTITUTE(SUBSTITUTE($M553,"~","~~"),"*","~*"),"?","~?"),'DEF_SELF_SCOUT_IMPORT'!$G$42:$G$1040,SUBSTITUTE(SUBSTITUTE(SUBSTITUTE($O553,"~","~~"),"*","~*"),"?","~?"),'DEF_SELF_SCOUT_IMPORT'!$J$42:$J$1040,"")&gt;0,"Unscored clean outcome; review result tags before using score.",IF(C553=0,"No matching defensive reps; film confirmation needed.",IF(K553="Explosive Alert","Explosive risk; review clips before using as answer.",IF(C553&lt;=2,"Track only; not enough sample.",IF(C553=3,IF(E553&gt;0,"Sample watch with explosive exposure; review clips and build the sample.",IF(J553&gt;=65,"Good signal, but sample is limited.","Sample watch; review clips and build the sample.")),IF(K553="Problem Call","Problem area; practice or call-sheet review.",IF(K553="Strong Candidate","Strong call-fit candidate; confirm on film.",IF(K553="Good Candidate","Good call-fit signal; confirm on film.","Mixed signal; review fit and execution on film."))))))))</f>
        <v>Track only; not enough sample.</v>
      </c>
      <c r="M553" s="8" t="s">
        <v>111</v>
      </c>
      <c r="N553" s="8"/>
      <c r="O553" s="8" t="s">
        <v>206</v>
      </c>
      <c r="P553" s="8"/>
      <c r="Q553" s="8"/>
      <c r="R553" s="8" t="s">
        <v>28</v>
      </c>
      <c r="S553" s="2" t="s">
        <v>274</v>
      </c>
      <c r="T553" s="2">
        <f>IF(C553=0,0,IF(C553&gt;=CALL_LOOKUP_BOARD!$B$7,IF(OR(K553="Problem Call",K553="Explosive Alert"),10000000,20000000),0)+IF(C553&gt;=CALL_LOOKUP_BOARD!$B$7,J553*1000+MIN(C553,999),C553*1000+J553)+0.00982100)</f>
        <v>1025.009821</v>
      </c>
      <c r="U553" s="2">
        <f>IF(C553=0,"",IF(COUNTIFS($S$375:$S$581,SUBSTITUTE(SUBSTITUTE(SUBSTITUTE(S553,"~","~~"),"*","~*"),"?","~?"),$T$375:$T$581,"&gt;"&amp;T553)=0,S553,""))</f>
        <v/>
      </c>
    </row>
    <row r="554" spans="1:21" ht="38" customHeight="1">
      <c r="A554" s="8" t="s">
        <v>275</v>
      </c>
      <c r="B554" s="8" t="s">
        <v>42</v>
      </c>
      <c r="C554" s="12">
        <f>COUNTIFS('DEF_SELF_SCOUT_IMPORT'!$L$42:$L$1040,"Y",'DEF_SELF_SCOUT_IMPORT'!$E$42:$E$1040,SUBSTITUTE(SUBSTITUTE(SUBSTITUTE($B554,"~","~~"),"*","~*"),"?","~?"),'DEF_SELF_SCOUT_IMPORT'!$Q$42:$Q$1040,SUBSTITUTE(SUBSTITUTE(SUBSTITUTE($M554,"~","~~"),"*","~*"),"?","~?"),'DEF_SELF_SCOUT_IMPORT'!$G$42:$G$1040,SUBSTITUTE(SUBSTITUTE(SUBSTITUTE($O554,"~","~~"),"*","~*"),"?","~?"))</f>
        <v>1</v>
      </c>
      <c r="D554" s="10">
        <f>IF($C554=0,"",SUMIFS('DEF_SELF_SCOUT_IMPORT'!$J$42:$J$1040,'DEF_SELF_SCOUT_IMPORT'!$L$42:$L$1040,"Y",'DEF_SELF_SCOUT_IMPORT'!$E$42:$E$1040,SUBSTITUTE(SUBSTITUTE(SUBSTITUTE($B554,"~","~~"),"*","~*"),"?","~?"),'DEF_SELF_SCOUT_IMPORT'!$Q$42:$Q$1040,SUBSTITUTE(SUBSTITUTE(SUBSTITUTE($M554,"~","~~"),"*","~*"),"?","~?"),'DEF_SELF_SCOUT_IMPORT'!$G$42:$G$1040,SUBSTITUTE(SUBSTITUTE(SUBSTITUTE($O554,"~","~~"),"*","~*"),"?","~?"))/$C554)</f>
        <v>0.0</v>
      </c>
      <c r="E554" s="10">
        <f>IF($C554=0,"",SUMIFS('DEF_SELF_SCOUT_IMPORT'!$K$42:$K$1040,'DEF_SELF_SCOUT_IMPORT'!$L$42:$L$1040,"Y",'DEF_SELF_SCOUT_IMPORT'!$E$42:$E$1040,SUBSTITUTE(SUBSTITUTE(SUBSTITUTE($B554,"~","~~"),"*","~*"),"?","~?"),'DEF_SELF_SCOUT_IMPORT'!$Q$42:$Q$1040,SUBSTITUTE(SUBSTITUTE(SUBSTITUTE($M554,"~","~~"),"*","~*"),"?","~?"),'DEF_SELF_SCOUT_IMPORT'!$G$42:$G$1040,SUBSTITUTE(SUBSTITUTE(SUBSTITUTE($O554,"~","~~"),"*","~*"),"?","~?"))/$C554)</f>
        <v>1.0</v>
      </c>
      <c r="F554" s="11">
        <f>IF($C554=0,"",AVERAGEIFS('DEF_SELF_SCOUT_IMPORT'!$I$42:$I$1040,'DEF_SELF_SCOUT_IMPORT'!$L$42:$L$1040,"Y",'DEF_SELF_SCOUT_IMPORT'!$E$42:$E$1040,SUBSTITUTE(SUBSTITUTE(SUBSTITUTE($B554,"~","~~"),"*","~*"),"?","~?"),'DEF_SELF_SCOUT_IMPORT'!$Q$42:$Q$1040,SUBSTITUTE(SUBSTITUTE(SUBSTITUTE($M554,"~","~~"),"*","~*"),"?","~?"),'DEF_SELF_SCOUT_IMPORT'!$G$42:$G$1040,SUBSTITUTE(SUBSTITUTE(SUBSTITUTE($O554,"~","~~"),"*","~*"),"?","~?")))</f>
        <v>29.0</v>
      </c>
      <c r="G554" s="10">
        <f>IF($C554=0,"",COUNTIFS('DEF_SELF_SCOUT_IMPORT'!$L$42:$L$1040,"Y",'DEF_SELF_SCOUT_IMPORT'!$E$42:$E$1040,SUBSTITUTE(SUBSTITUTE(SUBSTITUTE($B554,"~","~~"),"*","~*"),"?","~?"),'DEF_SELF_SCOUT_IMPORT'!$Q$42:$Q$1040,SUBSTITUTE(SUBSTITUTE(SUBSTITUTE($M554,"~","~~"),"*","~*"),"?","~?"),'DEF_SELF_SCOUT_IMPORT'!$G$42:$G$1040,SUBSTITUTE(SUBSTITUTE(SUBSTITUTE($O554,"~","~~"),"*","~*"),"?","~?"),'DEF_SELF_SCOUT_IMPORT'!$H$42:$H$1040,"RUSH")/$C554)</f>
        <v>0.0</v>
      </c>
      <c r="H554" s="10">
        <f>IF($C554=0,"",COUNTIFS('DEF_SELF_SCOUT_IMPORT'!$L$42:$L$1040,"Y",'DEF_SELF_SCOUT_IMPORT'!$E$42:$E$1040,SUBSTITUTE(SUBSTITUTE(SUBSTITUTE($B554,"~","~~"),"*","~*"),"?","~?"),'DEF_SELF_SCOUT_IMPORT'!$Q$42:$Q$1040,SUBSTITUTE(SUBSTITUTE(SUBSTITUTE($M554,"~","~~"),"*","~*"),"?","~?"),'DEF_SELF_SCOUT_IMPORT'!$G$42:$G$1040,SUBSTITUTE(SUBSTITUTE(SUBSTITUTE($O554,"~","~~"),"*","~*"),"?","~?"),'DEF_SELF_SCOUT_IMPORT'!$H$42:$H$1040,"DROPBACK")/$C554)</f>
        <v>1.0</v>
      </c>
      <c r="I554" s="14" t="str">
        <f>IF(C554=0,"",IF(C554&lt;=2,"TRACK",IF(C554=3,"LOW",IF(C554&lt;=6,"MEDIUM","HIGH"))))</f>
        <v>TRACK</v>
      </c>
      <c r="J554" s="11">
        <f>IF(C554=0,"",ROUND(D554*70+(1-E554)*20+MAX(0,MIN(1,(10-F554)/10))*10,1))</f>
        <v>0.0</v>
      </c>
      <c r="K554" s="14" t="str">
        <f>IF(C554=0,"No Evidence",IF(C554&lt;=2,IF(E554&gt;0,"Explosive Alert","Track Only"),IF(C554=3,"Sample Watch",IF(E554&gt;=START_HERE!$B$31,"Explosive Alert",IF(J554&gt;=80,"Strong Candidate",IF(J554&gt;=65,"Good Candidate",IF(J554&gt;=50,"Mixed / Review","Problem Call")))))))</f>
        <v>Explosive Alert</v>
      </c>
      <c r="L554" s="9" t="str">
        <f>IF(COUNTIFS('DEF_SELF_SCOUT_IMPORT'!$L$42:$L$1040,"Y",'DEF_SELF_SCOUT_IMPORT'!$E$42:$E$1040,SUBSTITUTE(SUBSTITUTE(SUBSTITUTE($B554,"~","~~"),"*","~*"),"?","~?"),'DEF_SELF_SCOUT_IMPORT'!$Q$42:$Q$1040,SUBSTITUTE(SUBSTITUTE(SUBSTITUTE($M554,"~","~~"),"*","~*"),"?","~?"),'DEF_SELF_SCOUT_IMPORT'!$G$42:$G$1040,SUBSTITUTE(SUBSTITUTE(SUBSTITUTE($O554,"~","~~"),"*","~*"),"?","~?"),'DEF_SELF_SCOUT_IMPORT'!$J$42:$J$1040,"")&gt;0,"Unscored clean outcome; review result tags before using score.",IF(C554=0,"No matching defensive reps; film confirmation needed.",IF(K554="Explosive Alert","Explosive risk; review clips before using as answer.",IF(C554&lt;=2,"Track only; not enough sample.",IF(C554=3,IF(E554&gt;0,"Sample watch with explosive exposure; review clips and build the sample.",IF(J554&gt;=65,"Good signal, but sample is limited.","Sample watch; review clips and build the sample.")),IF(K554="Problem Call","Problem area; practice or call-sheet review.",IF(K554="Strong Candidate","Strong call-fit candidate; confirm on film.",IF(K554="Good Candidate","Good call-fit signal; confirm on film.","Mixed signal; review fit and execution on film."))))))))</f>
        <v>Explosive risk; review clips before using as answer.</v>
      </c>
      <c r="M554" s="8" t="s">
        <v>113</v>
      </c>
      <c r="N554" s="8"/>
      <c r="O554" s="8" t="s">
        <v>206</v>
      </c>
      <c r="P554" s="8"/>
      <c r="Q554" s="8"/>
      <c r="R554" s="8" t="s">
        <v>28</v>
      </c>
      <c r="S554" s="2" t="s">
        <v>276</v>
      </c>
      <c r="T554" s="2">
        <f>IF(C554=0,0,IF(C554&gt;=CALL_LOOKUP_BOARD!$B$7,IF(OR(K554="Problem Call",K554="Explosive Alert"),10000000,20000000),0)+IF(C554&gt;=CALL_LOOKUP_BOARD!$B$7,J554*1000+MIN(C554,999),C554*1000+J554)+0.00982000)</f>
        <v>1000.00982</v>
      </c>
      <c r="U554" s="2" t="str">
        <f>IF(C554=0,"",IF(COUNTIFS($S$375:$S$581,SUBSTITUTE(SUBSTITUTE(SUBSTITUTE(S554,"~","~~"),"*","~*"),"?","~?"),$T$375:$T$581,"&gt;"&amp;T554)=0,S554,""))</f>
        <v>6:4D 4-6|3:3X1|</v>
      </c>
    </row>
    <row r="555" spans="1:21" ht="38" customHeight="1">
      <c r="A555" s="8" t="s">
        <v>277</v>
      </c>
      <c r="B555" s="8" t="s">
        <v>27</v>
      </c>
      <c r="C555" s="12">
        <f>COUNTIFS('DEF_SELF_SCOUT_IMPORT'!$L$42:$L$1040,"Y",'DEF_SELF_SCOUT_IMPORT'!$E$42:$E$1040,SUBSTITUTE(SUBSTITUTE(SUBSTITUTE($B555,"~","~~"),"*","~*"),"?","~?"),'DEF_SELF_SCOUT_IMPORT'!$Q$42:$Q$1040,SUBSTITUTE(SUBSTITUTE(SUBSTITUTE($M555,"~","~~"),"*","~*"),"?","~?"),'DEF_SELF_SCOUT_IMPORT'!$G$42:$G$1040,SUBSTITUTE(SUBSTITUTE(SUBSTITUTE($O555,"~","~~"),"*","~*"),"?","~?"))</f>
        <v>1</v>
      </c>
      <c r="D555" s="10">
        <f>IF($C555=0,"",SUMIFS('DEF_SELF_SCOUT_IMPORT'!$J$42:$J$1040,'DEF_SELF_SCOUT_IMPORT'!$L$42:$L$1040,"Y",'DEF_SELF_SCOUT_IMPORT'!$E$42:$E$1040,SUBSTITUTE(SUBSTITUTE(SUBSTITUTE($B555,"~","~~"),"*","~*"),"?","~?"),'DEF_SELF_SCOUT_IMPORT'!$Q$42:$Q$1040,SUBSTITUTE(SUBSTITUTE(SUBSTITUTE($M555,"~","~~"),"*","~*"),"?","~?"),'DEF_SELF_SCOUT_IMPORT'!$G$42:$G$1040,SUBSTITUTE(SUBSTITUTE(SUBSTITUTE($O555,"~","~~"),"*","~*"),"?","~?"))/$C555)</f>
        <v>1.0</v>
      </c>
      <c r="E555" s="10">
        <f>IF($C555=0,"",SUMIFS('DEF_SELF_SCOUT_IMPORT'!$K$42:$K$1040,'DEF_SELF_SCOUT_IMPORT'!$L$42:$L$1040,"Y",'DEF_SELF_SCOUT_IMPORT'!$E$42:$E$1040,SUBSTITUTE(SUBSTITUTE(SUBSTITUTE($B555,"~","~~"),"*","~*"),"?","~?"),'DEF_SELF_SCOUT_IMPORT'!$Q$42:$Q$1040,SUBSTITUTE(SUBSTITUTE(SUBSTITUTE($M555,"~","~~"),"*","~*"),"?","~?"),'DEF_SELF_SCOUT_IMPORT'!$G$42:$G$1040,SUBSTITUTE(SUBSTITUTE(SUBSTITUTE($O555,"~","~~"),"*","~*"),"?","~?"))/$C555)</f>
        <v>0.0</v>
      </c>
      <c r="F555" s="11">
        <f>IF($C555=0,"",AVERAGEIFS('DEF_SELF_SCOUT_IMPORT'!$I$42:$I$1040,'DEF_SELF_SCOUT_IMPORT'!$L$42:$L$1040,"Y",'DEF_SELF_SCOUT_IMPORT'!$E$42:$E$1040,SUBSTITUTE(SUBSTITUTE(SUBSTITUTE($B555,"~","~~"),"*","~*"),"?","~?"),'DEF_SELF_SCOUT_IMPORT'!$Q$42:$Q$1040,SUBSTITUTE(SUBSTITUTE(SUBSTITUTE($M555,"~","~~"),"*","~*"),"?","~?"),'DEF_SELF_SCOUT_IMPORT'!$G$42:$G$1040,SUBSTITUTE(SUBSTITUTE(SUBSTITUTE($O555,"~","~~"),"*","~*"),"?","~?")))</f>
        <v>0.0</v>
      </c>
      <c r="G555" s="10">
        <f>IF($C555=0,"",COUNTIFS('DEF_SELF_SCOUT_IMPORT'!$L$42:$L$1040,"Y",'DEF_SELF_SCOUT_IMPORT'!$E$42:$E$1040,SUBSTITUTE(SUBSTITUTE(SUBSTITUTE($B555,"~","~~"),"*","~*"),"?","~?"),'DEF_SELF_SCOUT_IMPORT'!$Q$42:$Q$1040,SUBSTITUTE(SUBSTITUTE(SUBSTITUTE($M555,"~","~~"),"*","~*"),"?","~?"),'DEF_SELF_SCOUT_IMPORT'!$G$42:$G$1040,SUBSTITUTE(SUBSTITUTE(SUBSTITUTE($O555,"~","~~"),"*","~*"),"?","~?"),'DEF_SELF_SCOUT_IMPORT'!$H$42:$H$1040,"RUSH")/$C555)</f>
        <v>0.0</v>
      </c>
      <c r="H555" s="10">
        <f>IF($C555=0,"",COUNTIFS('DEF_SELF_SCOUT_IMPORT'!$L$42:$L$1040,"Y",'DEF_SELF_SCOUT_IMPORT'!$E$42:$E$1040,SUBSTITUTE(SUBSTITUTE(SUBSTITUTE($B555,"~","~~"),"*","~*"),"?","~?"),'DEF_SELF_SCOUT_IMPORT'!$Q$42:$Q$1040,SUBSTITUTE(SUBSTITUTE(SUBSTITUTE($M555,"~","~~"),"*","~*"),"?","~?"),'DEF_SELF_SCOUT_IMPORT'!$G$42:$G$1040,SUBSTITUTE(SUBSTITUTE(SUBSTITUTE($O555,"~","~~"),"*","~*"),"?","~?"),'DEF_SELF_SCOUT_IMPORT'!$H$42:$H$1040,"DROPBACK")/$C555)</f>
        <v>1.0</v>
      </c>
      <c r="I555" s="14" t="str">
        <f>IF(C555=0,"",IF(C555&lt;=2,"TRACK",IF(C555=3,"LOW",IF(C555&lt;=6,"MEDIUM","HIGH"))))</f>
        <v>TRACK</v>
      </c>
      <c r="J555" s="11">
        <f>IF(C555=0,"",ROUND(D555*70+(1-E555)*20+MAX(0,MIN(1,(10-F555)/10))*10,1))</f>
        <v>100.0</v>
      </c>
      <c r="K555" s="14" t="str">
        <f>IF(C555=0,"No Evidence",IF(C555&lt;=2,IF(E555&gt;0,"Explosive Alert","Track Only"),IF(C555=3,"Sample Watch",IF(E555&gt;=START_HERE!$B$31,"Explosive Alert",IF(J555&gt;=80,"Strong Candidate",IF(J555&gt;=65,"Good Candidate",IF(J555&gt;=50,"Mixed / Review","Problem Call")))))))</f>
        <v>Track Only</v>
      </c>
      <c r="L555" s="9" t="str">
        <f>IF(COUNTIFS('DEF_SELF_SCOUT_IMPORT'!$L$42:$L$1040,"Y",'DEF_SELF_SCOUT_IMPORT'!$E$42:$E$1040,SUBSTITUTE(SUBSTITUTE(SUBSTITUTE($B555,"~","~~"),"*","~*"),"?","~?"),'DEF_SELF_SCOUT_IMPORT'!$Q$42:$Q$1040,SUBSTITUTE(SUBSTITUTE(SUBSTITUTE($M555,"~","~~"),"*","~*"),"?","~?"),'DEF_SELF_SCOUT_IMPORT'!$G$42:$G$1040,SUBSTITUTE(SUBSTITUTE(SUBSTITUTE($O555,"~","~~"),"*","~*"),"?","~?"),'DEF_SELF_SCOUT_IMPORT'!$J$42:$J$1040,"")&gt;0,"Unscored clean outcome; review result tags before using score.",IF(C555=0,"No matching defensive reps; film confirmation needed.",IF(K555="Explosive Alert","Explosive risk; review clips before using as answer.",IF(C555&lt;=2,"Track only; not enough sample.",IF(C555=3,IF(E555&gt;0,"Sample watch with explosive exposure; review clips and build the sample.",IF(J555&gt;=65,"Good signal, but sample is limited.","Sample watch; review clips and build the sample.")),IF(K555="Problem Call","Problem area; practice or call-sheet review.",IF(K555="Strong Candidate","Strong call-fit candidate; confirm on film.",IF(K555="Good Candidate","Good call-fit signal; confirm on film.","Mixed signal; review fit and execution on film."))))))))</f>
        <v>Track only; not enough sample.</v>
      </c>
      <c r="M555" s="8" t="s">
        <v>113</v>
      </c>
      <c r="N555" s="8"/>
      <c r="O555" s="8" t="s">
        <v>222</v>
      </c>
      <c r="P555" s="8"/>
      <c r="Q555" s="8"/>
      <c r="R555" s="8" t="s">
        <v>28</v>
      </c>
      <c r="S555" s="2" t="s">
        <v>278</v>
      </c>
      <c r="T555" s="2">
        <f>IF(C555=0,0,IF(C555&gt;=CALL_LOOKUP_BOARD!$B$7,IF(OR(K555="Problem Call",K555="Explosive Alert"),10000000,20000000),0)+IF(C555&gt;=CALL_LOOKUP_BOARD!$B$7,J555*1000+MIN(C555,999),C555*1000+J555)+0.00981900)</f>
        <v>1100.009819</v>
      </c>
      <c r="U555" s="2" t="str">
        <f>IF(C555=0,"",IF(COUNTIFS($S$375:$S$581,SUBSTITUTE(SUBSTITUTE(SUBSTITUTE(S555,"~","~~"),"*","~*"),"?","~?"),$T$375:$T$581,"&gt;"&amp;T555)=0,S555,""))</f>
        <v>6:4D 4-6|3:3X2|</v>
      </c>
    </row>
    <row r="556" spans="1:21" ht="38" customHeight="1">
      <c r="A556" s="8" t="s">
        <v>279</v>
      </c>
      <c r="B556" s="8" t="s">
        <v>32</v>
      </c>
      <c r="C556" s="12">
        <f>COUNTIFS('DEF_SELF_SCOUT_IMPORT'!$L$42:$L$1040,"Y",'DEF_SELF_SCOUT_IMPORT'!$E$42:$E$1040,SUBSTITUTE(SUBSTITUTE(SUBSTITUTE($B556,"~","~~"),"*","~*"),"?","~?"),'DEF_SELF_SCOUT_IMPORT'!$Q$42:$Q$1040,SUBSTITUTE(SUBSTITUTE(SUBSTITUTE($M556,"~","~~"),"*","~*"),"?","~?"),'DEF_SELF_SCOUT_IMPORT'!$G$42:$G$1040,SUBSTITUTE(SUBSTITUTE(SUBSTITUTE($O556,"~","~~"),"*","~*"),"?","~?"))</f>
        <v>1</v>
      </c>
      <c r="D556" s="10">
        <f>IF($C556=0,"",SUMIFS('DEF_SELF_SCOUT_IMPORT'!$J$42:$J$1040,'DEF_SELF_SCOUT_IMPORT'!$L$42:$L$1040,"Y",'DEF_SELF_SCOUT_IMPORT'!$E$42:$E$1040,SUBSTITUTE(SUBSTITUTE(SUBSTITUTE($B556,"~","~~"),"*","~*"),"?","~?"),'DEF_SELF_SCOUT_IMPORT'!$Q$42:$Q$1040,SUBSTITUTE(SUBSTITUTE(SUBSTITUTE($M556,"~","~~"),"*","~*"),"?","~?"),'DEF_SELF_SCOUT_IMPORT'!$G$42:$G$1040,SUBSTITUTE(SUBSTITUTE(SUBSTITUTE($O556,"~","~~"),"*","~*"),"?","~?"))/$C556)</f>
        <v>0.0</v>
      </c>
      <c r="E556" s="10">
        <f>IF($C556=0,"",SUMIFS('DEF_SELF_SCOUT_IMPORT'!$K$42:$K$1040,'DEF_SELF_SCOUT_IMPORT'!$L$42:$L$1040,"Y",'DEF_SELF_SCOUT_IMPORT'!$E$42:$E$1040,SUBSTITUTE(SUBSTITUTE(SUBSTITUTE($B556,"~","~~"),"*","~*"),"?","~?"),'DEF_SELF_SCOUT_IMPORT'!$Q$42:$Q$1040,SUBSTITUTE(SUBSTITUTE(SUBSTITUTE($M556,"~","~~"),"*","~*"),"?","~?"),'DEF_SELF_SCOUT_IMPORT'!$G$42:$G$1040,SUBSTITUTE(SUBSTITUTE(SUBSTITUTE($O556,"~","~~"),"*","~*"),"?","~?"))/$C556)</f>
        <v>1.0</v>
      </c>
      <c r="F556" s="11">
        <f>IF($C556=0,"",AVERAGEIFS('DEF_SELF_SCOUT_IMPORT'!$I$42:$I$1040,'DEF_SELF_SCOUT_IMPORT'!$L$42:$L$1040,"Y",'DEF_SELF_SCOUT_IMPORT'!$E$42:$E$1040,SUBSTITUTE(SUBSTITUTE(SUBSTITUTE($B556,"~","~~"),"*","~*"),"?","~?"),'DEF_SELF_SCOUT_IMPORT'!$Q$42:$Q$1040,SUBSTITUTE(SUBSTITUTE(SUBSTITUTE($M556,"~","~~"),"*","~*"),"?","~?"),'DEF_SELF_SCOUT_IMPORT'!$G$42:$G$1040,SUBSTITUTE(SUBSTITUTE(SUBSTITUTE($O556,"~","~~"),"*","~*"),"?","~?")))</f>
        <v>72.0</v>
      </c>
      <c r="G556" s="10">
        <f>IF($C556=0,"",COUNTIFS('DEF_SELF_SCOUT_IMPORT'!$L$42:$L$1040,"Y",'DEF_SELF_SCOUT_IMPORT'!$E$42:$E$1040,SUBSTITUTE(SUBSTITUTE(SUBSTITUTE($B556,"~","~~"),"*","~*"),"?","~?"),'DEF_SELF_SCOUT_IMPORT'!$Q$42:$Q$1040,SUBSTITUTE(SUBSTITUTE(SUBSTITUTE($M556,"~","~~"),"*","~*"),"?","~?"),'DEF_SELF_SCOUT_IMPORT'!$G$42:$G$1040,SUBSTITUTE(SUBSTITUTE(SUBSTITUTE($O556,"~","~~"),"*","~*"),"?","~?"),'DEF_SELF_SCOUT_IMPORT'!$H$42:$H$1040,"RUSH")/$C556)</f>
        <v>0.0</v>
      </c>
      <c r="H556" s="10">
        <f>IF($C556=0,"",COUNTIFS('DEF_SELF_SCOUT_IMPORT'!$L$42:$L$1040,"Y",'DEF_SELF_SCOUT_IMPORT'!$E$42:$E$1040,SUBSTITUTE(SUBSTITUTE(SUBSTITUTE($B556,"~","~~"),"*","~*"),"?","~?"),'DEF_SELF_SCOUT_IMPORT'!$Q$42:$Q$1040,SUBSTITUTE(SUBSTITUTE(SUBSTITUTE($M556,"~","~~"),"*","~*"),"?","~?"),'DEF_SELF_SCOUT_IMPORT'!$G$42:$G$1040,SUBSTITUTE(SUBSTITUTE(SUBSTITUTE($O556,"~","~~"),"*","~*"),"?","~?"),'DEF_SELF_SCOUT_IMPORT'!$H$42:$H$1040,"DROPBACK")/$C556)</f>
        <v>1.0</v>
      </c>
      <c r="I556" s="14" t="str">
        <f>IF(C556=0,"",IF(C556&lt;=2,"TRACK",IF(C556=3,"LOW",IF(C556&lt;=6,"MEDIUM","HIGH"))))</f>
        <v>TRACK</v>
      </c>
      <c r="J556" s="11">
        <f>IF(C556=0,"",ROUND(D556*70+(1-E556)*20+MAX(0,MIN(1,(10-F556)/10))*10,1))</f>
        <v>0.0</v>
      </c>
      <c r="K556" s="14" t="str">
        <f>IF(C556=0,"No Evidence",IF(C556&lt;=2,IF(E556&gt;0,"Explosive Alert","Track Only"),IF(C556=3,"Sample Watch",IF(E556&gt;=START_HERE!$B$31,"Explosive Alert",IF(J556&gt;=80,"Strong Candidate",IF(J556&gt;=65,"Good Candidate",IF(J556&gt;=50,"Mixed / Review","Problem Call")))))))</f>
        <v>Explosive Alert</v>
      </c>
      <c r="L556" s="9" t="str">
        <f>IF(COUNTIFS('DEF_SELF_SCOUT_IMPORT'!$L$42:$L$1040,"Y",'DEF_SELF_SCOUT_IMPORT'!$E$42:$E$1040,SUBSTITUTE(SUBSTITUTE(SUBSTITUTE($B556,"~","~~"),"*","~*"),"?","~?"),'DEF_SELF_SCOUT_IMPORT'!$Q$42:$Q$1040,SUBSTITUTE(SUBSTITUTE(SUBSTITUTE($M556,"~","~~"),"*","~*"),"?","~?"),'DEF_SELF_SCOUT_IMPORT'!$G$42:$G$1040,SUBSTITUTE(SUBSTITUTE(SUBSTITUTE($O556,"~","~~"),"*","~*"),"?","~?"),'DEF_SELF_SCOUT_IMPORT'!$J$42:$J$1040,"")&gt;0,"Unscored clean outcome; review result tags before using score.",IF(C556=0,"No matching defensive reps; film confirmation needed.",IF(K556="Explosive Alert","Explosive risk; review clips before using as answer.",IF(C556&lt;=2,"Track only; not enough sample.",IF(C556=3,IF(E556&gt;0,"Sample watch with explosive exposure; review clips and build the sample.",IF(J556&gt;=65,"Good signal, but sample is limited.","Sample watch; review clips and build the sample.")),IF(K556="Problem Call","Problem area; practice or call-sheet review.",IF(K556="Strong Candidate","Strong call-fit candidate; confirm on film.",IF(K556="Good Candidate","Good call-fit signal; confirm on film.","Mixed signal; review fit and execution on film."))))))))</f>
        <v>Explosive risk; review clips before using as answer.</v>
      </c>
      <c r="M556" s="8" t="s">
        <v>115</v>
      </c>
      <c r="N556" s="8"/>
      <c r="O556" s="8" t="s">
        <v>203</v>
      </c>
      <c r="P556" s="8"/>
      <c r="Q556" s="8"/>
      <c r="R556" s="8" t="s">
        <v>28</v>
      </c>
      <c r="S556" s="2" t="s">
        <v>280</v>
      </c>
      <c r="T556" s="2">
        <f>IF(C556=0,0,IF(C556&gt;=CALL_LOOKUP_BOARD!$B$7,IF(OR(K556="Problem Call",K556="Explosive Alert"),10000000,20000000),0)+IF(C556&gt;=CALL_LOOKUP_BOARD!$B$7,J556*1000+MIN(C556,999),C556*1000+J556)+0.00981800)</f>
        <v>1000.009818</v>
      </c>
      <c r="U556" s="2">
        <f>IF(C556=0,"",IF(COUNTIFS($S$375:$S$581,SUBSTITUTE(SUBSTITUTE(SUBSTITUTE(S556,"~","~~"),"*","~*"),"?","~?"),$T$375:$T$581,"&gt;"&amp;T556)=0,S556,""))</f>
        <v/>
      </c>
    </row>
    <row r="557" spans="1:21" ht="38" customHeight="1">
      <c r="A557" s="8" t="s">
        <v>279</v>
      </c>
      <c r="B557" s="8" t="s">
        <v>44</v>
      </c>
      <c r="C557" s="12">
        <f>COUNTIFS('DEF_SELF_SCOUT_IMPORT'!$L$42:$L$1040,"Y",'DEF_SELF_SCOUT_IMPORT'!$E$42:$E$1040,SUBSTITUTE(SUBSTITUTE(SUBSTITUTE($B557,"~","~~"),"*","~*"),"?","~?"),'DEF_SELF_SCOUT_IMPORT'!$Q$42:$Q$1040,SUBSTITUTE(SUBSTITUTE(SUBSTITUTE($M557,"~","~~"),"*","~*"),"?","~?"),'DEF_SELF_SCOUT_IMPORT'!$G$42:$G$1040,SUBSTITUTE(SUBSTITUTE(SUBSTITUTE($O557,"~","~~"),"*","~*"),"?","~?"))</f>
        <v>5</v>
      </c>
      <c r="D557" s="10">
        <f>IF($C557=0,"",SUMIFS('DEF_SELF_SCOUT_IMPORT'!$J$42:$J$1040,'DEF_SELF_SCOUT_IMPORT'!$L$42:$L$1040,"Y",'DEF_SELF_SCOUT_IMPORT'!$E$42:$E$1040,SUBSTITUTE(SUBSTITUTE(SUBSTITUTE($B557,"~","~~"),"*","~*"),"?","~?"),'DEF_SELF_SCOUT_IMPORT'!$Q$42:$Q$1040,SUBSTITUTE(SUBSTITUTE(SUBSTITUTE($M557,"~","~~"),"*","~*"),"?","~?"),'DEF_SELF_SCOUT_IMPORT'!$G$42:$G$1040,SUBSTITUTE(SUBSTITUTE(SUBSTITUTE($O557,"~","~~"),"*","~*"),"?","~?"))/$C557)</f>
        <v>0.0</v>
      </c>
      <c r="E557" s="10">
        <f>IF($C557=0,"",SUMIFS('DEF_SELF_SCOUT_IMPORT'!$K$42:$K$1040,'DEF_SELF_SCOUT_IMPORT'!$L$42:$L$1040,"Y",'DEF_SELF_SCOUT_IMPORT'!$E$42:$E$1040,SUBSTITUTE(SUBSTITUTE(SUBSTITUTE($B557,"~","~~"),"*","~*"),"?","~?"),'DEF_SELF_SCOUT_IMPORT'!$Q$42:$Q$1040,SUBSTITUTE(SUBSTITUTE(SUBSTITUTE($M557,"~","~~"),"*","~*"),"?","~?"),'DEF_SELF_SCOUT_IMPORT'!$G$42:$G$1040,SUBSTITUTE(SUBSTITUTE(SUBSTITUTE($O557,"~","~~"),"*","~*"),"?","~?"))/$C557)</f>
        <v>0.4</v>
      </c>
      <c r="F557" s="11">
        <f>IF($C557=0,"",AVERAGEIFS('DEF_SELF_SCOUT_IMPORT'!$I$42:$I$1040,'DEF_SELF_SCOUT_IMPORT'!$L$42:$L$1040,"Y",'DEF_SELF_SCOUT_IMPORT'!$E$42:$E$1040,SUBSTITUTE(SUBSTITUTE(SUBSTITUTE($B557,"~","~~"),"*","~*"),"?","~?"),'DEF_SELF_SCOUT_IMPORT'!$Q$42:$Q$1040,SUBSTITUTE(SUBSTITUTE(SUBSTITUTE($M557,"~","~~"),"*","~*"),"?","~?"),'DEF_SELF_SCOUT_IMPORT'!$G$42:$G$1040,SUBSTITUTE(SUBSTITUTE(SUBSTITUTE($O557,"~","~~"),"*","~*"),"?","~?")))</f>
        <v>15.6</v>
      </c>
      <c r="G557" s="10">
        <f>IF($C557=0,"",COUNTIFS('DEF_SELF_SCOUT_IMPORT'!$L$42:$L$1040,"Y",'DEF_SELF_SCOUT_IMPORT'!$E$42:$E$1040,SUBSTITUTE(SUBSTITUTE(SUBSTITUTE($B557,"~","~~"),"*","~*"),"?","~?"),'DEF_SELF_SCOUT_IMPORT'!$Q$42:$Q$1040,SUBSTITUTE(SUBSTITUTE(SUBSTITUTE($M557,"~","~~"),"*","~*"),"?","~?"),'DEF_SELF_SCOUT_IMPORT'!$G$42:$G$1040,SUBSTITUTE(SUBSTITUTE(SUBSTITUTE($O557,"~","~~"),"*","~*"),"?","~?"),'DEF_SELF_SCOUT_IMPORT'!$H$42:$H$1040,"RUSH")/$C557)</f>
        <v>0.8</v>
      </c>
      <c r="H557" s="10">
        <f>IF($C557=0,"",COUNTIFS('DEF_SELF_SCOUT_IMPORT'!$L$42:$L$1040,"Y",'DEF_SELF_SCOUT_IMPORT'!$E$42:$E$1040,SUBSTITUTE(SUBSTITUTE(SUBSTITUTE($B557,"~","~~"),"*","~*"),"?","~?"),'DEF_SELF_SCOUT_IMPORT'!$Q$42:$Q$1040,SUBSTITUTE(SUBSTITUTE(SUBSTITUTE($M557,"~","~~"),"*","~*"),"?","~?"),'DEF_SELF_SCOUT_IMPORT'!$G$42:$G$1040,SUBSTITUTE(SUBSTITUTE(SUBSTITUTE($O557,"~","~~"),"*","~*"),"?","~?"),'DEF_SELF_SCOUT_IMPORT'!$H$42:$H$1040,"DROPBACK")/$C557)</f>
        <v>0.2</v>
      </c>
      <c r="I557" s="14" t="str">
        <f>IF(C557=0,"",IF(C557&lt;=2,"TRACK",IF(C557=3,"LOW",IF(C557&lt;=6,"MEDIUM","HIGH"))))</f>
        <v>MEDIUM</v>
      </c>
      <c r="J557" s="11">
        <f>IF(C557=0,"",ROUND(D557*70+(1-E557)*20+MAX(0,MIN(1,(10-F557)/10))*10,1))</f>
        <v>12.0</v>
      </c>
      <c r="K557" s="14" t="str">
        <f>IF(C557=0,"No Evidence",IF(C557&lt;=2,IF(E557&gt;0,"Explosive Alert","Track Only"),IF(C557=3,"Sample Watch",IF(E557&gt;=START_HERE!$B$31,"Explosive Alert",IF(J557&gt;=80,"Strong Candidate",IF(J557&gt;=65,"Good Candidate",IF(J557&gt;=50,"Mixed / Review","Problem Call")))))))</f>
        <v>Explosive Alert</v>
      </c>
      <c r="L557" s="9" t="str">
        <f>IF(COUNTIFS('DEF_SELF_SCOUT_IMPORT'!$L$42:$L$1040,"Y",'DEF_SELF_SCOUT_IMPORT'!$E$42:$E$1040,SUBSTITUTE(SUBSTITUTE(SUBSTITUTE($B557,"~","~~"),"*","~*"),"?","~?"),'DEF_SELF_SCOUT_IMPORT'!$Q$42:$Q$1040,SUBSTITUTE(SUBSTITUTE(SUBSTITUTE($M557,"~","~~"),"*","~*"),"?","~?"),'DEF_SELF_SCOUT_IMPORT'!$G$42:$G$1040,SUBSTITUTE(SUBSTITUTE(SUBSTITUTE($O557,"~","~~"),"*","~*"),"?","~?"),'DEF_SELF_SCOUT_IMPORT'!$J$42:$J$1040,"")&gt;0,"Unscored clean outcome; review result tags before using score.",IF(C557=0,"No matching defensive reps; film confirmation needed.",IF(K557="Explosive Alert","Explosive risk; review clips before using as answer.",IF(C557&lt;=2,"Track only; not enough sample.",IF(C557=3,IF(E557&gt;0,"Sample watch with explosive exposure; review clips and build the sample.",IF(J557&gt;=65,"Good signal, but sample is limited.","Sample watch; review clips and build the sample.")),IF(K557="Problem Call","Problem area; practice or call-sheet review.",IF(K557="Strong Candidate","Strong call-fit candidate; confirm on film.",IF(K557="Good Candidate","Good call-fit signal; confirm on film.","Mixed signal; review fit and execution on film."))))))))</f>
        <v>Explosive risk; review clips before using as answer.</v>
      </c>
      <c r="M557" s="8" t="s">
        <v>115</v>
      </c>
      <c r="N557" s="8"/>
      <c r="O557" s="8" t="s">
        <v>203</v>
      </c>
      <c r="P557" s="8"/>
      <c r="Q557" s="8"/>
      <c r="R557" s="8" t="s">
        <v>45</v>
      </c>
      <c r="S557" s="2" t="s">
        <v>280</v>
      </c>
      <c r="T557" s="2">
        <f>IF(C557=0,0,IF(C557&gt;=CALL_LOOKUP_BOARD!$B$7,IF(OR(K557="Problem Call",K557="Explosive Alert"),10000000,20000000),0)+IF(C557&gt;=CALL_LOOKUP_BOARD!$B$7,J557*1000+MIN(C557,999),C557*1000+J557)+0.00981700)</f>
        <v>10012005.009817</v>
      </c>
      <c r="U557" s="2" t="str">
        <f>IF(C557=0,"",IF(COUNTIFS($S$375:$S$581,SUBSTITUTE(SUBSTITUTE(SUBSTITUTE(S557,"~","~~"),"*","~*"),"?","~?"),$T$375:$T$581,"&gt;"&amp;T557)=0,S557,""))</f>
        <v>4:P&amp;10|3:2X2|</v>
      </c>
    </row>
    <row r="558" spans="1:21" ht="38" customHeight="1">
      <c r="A558" s="8" t="s">
        <v>279</v>
      </c>
      <c r="B558" s="8" t="s">
        <v>52</v>
      </c>
      <c r="C558" s="12">
        <f>COUNTIFS('DEF_SELF_SCOUT_IMPORT'!$L$42:$L$1040,"Y",'DEF_SELF_SCOUT_IMPORT'!$E$42:$E$1040,SUBSTITUTE(SUBSTITUTE(SUBSTITUTE($B558,"~","~~"),"*","~*"),"?","~?"),'DEF_SELF_SCOUT_IMPORT'!$Q$42:$Q$1040,SUBSTITUTE(SUBSTITUTE(SUBSTITUTE($M558,"~","~~"),"*","~*"),"?","~?"),'DEF_SELF_SCOUT_IMPORT'!$G$42:$G$1040,SUBSTITUTE(SUBSTITUTE(SUBSTITUTE($O558,"~","~~"),"*","~*"),"?","~?"))</f>
        <v>2</v>
      </c>
      <c r="D558" s="10">
        <f>IF($C558=0,"",SUMIFS('DEF_SELF_SCOUT_IMPORT'!$J$42:$J$1040,'DEF_SELF_SCOUT_IMPORT'!$L$42:$L$1040,"Y",'DEF_SELF_SCOUT_IMPORT'!$E$42:$E$1040,SUBSTITUTE(SUBSTITUTE(SUBSTITUTE($B558,"~","~~"),"*","~*"),"?","~?"),'DEF_SELF_SCOUT_IMPORT'!$Q$42:$Q$1040,SUBSTITUTE(SUBSTITUTE(SUBSTITUTE($M558,"~","~~"),"*","~*"),"?","~?"),'DEF_SELF_SCOUT_IMPORT'!$G$42:$G$1040,SUBSTITUTE(SUBSTITUTE(SUBSTITUTE($O558,"~","~~"),"*","~*"),"?","~?"))/$C558)</f>
        <v>0.5</v>
      </c>
      <c r="E558" s="10">
        <f>IF($C558=0,"",SUMIFS('DEF_SELF_SCOUT_IMPORT'!$K$42:$K$1040,'DEF_SELF_SCOUT_IMPORT'!$L$42:$L$1040,"Y",'DEF_SELF_SCOUT_IMPORT'!$E$42:$E$1040,SUBSTITUTE(SUBSTITUTE(SUBSTITUTE($B558,"~","~~"),"*","~*"),"?","~?"),'DEF_SELF_SCOUT_IMPORT'!$Q$42:$Q$1040,SUBSTITUTE(SUBSTITUTE(SUBSTITUTE($M558,"~","~~"),"*","~*"),"?","~?"),'DEF_SELF_SCOUT_IMPORT'!$G$42:$G$1040,SUBSTITUTE(SUBSTITUTE(SUBSTITUTE($O558,"~","~~"),"*","~*"),"?","~?"))/$C558)</f>
        <v>0.0</v>
      </c>
      <c r="F558" s="11">
        <f>IF($C558=0,"",AVERAGEIFS('DEF_SELF_SCOUT_IMPORT'!$I$42:$I$1040,'DEF_SELF_SCOUT_IMPORT'!$L$42:$L$1040,"Y",'DEF_SELF_SCOUT_IMPORT'!$E$42:$E$1040,SUBSTITUTE(SUBSTITUTE(SUBSTITUTE($B558,"~","~~"),"*","~*"),"?","~?"),'DEF_SELF_SCOUT_IMPORT'!$Q$42:$Q$1040,SUBSTITUTE(SUBSTITUTE(SUBSTITUTE($M558,"~","~~"),"*","~*"),"?","~?"),'DEF_SELF_SCOUT_IMPORT'!$G$42:$G$1040,SUBSTITUTE(SUBSTITUTE(SUBSTITUTE($O558,"~","~~"),"*","~*"),"?","~?")))</f>
        <v>4.0</v>
      </c>
      <c r="G558" s="10">
        <f>IF($C558=0,"",COUNTIFS('DEF_SELF_SCOUT_IMPORT'!$L$42:$L$1040,"Y",'DEF_SELF_SCOUT_IMPORT'!$E$42:$E$1040,SUBSTITUTE(SUBSTITUTE(SUBSTITUTE($B558,"~","~~"),"*","~*"),"?","~?"),'DEF_SELF_SCOUT_IMPORT'!$Q$42:$Q$1040,SUBSTITUTE(SUBSTITUTE(SUBSTITUTE($M558,"~","~~"),"*","~*"),"?","~?"),'DEF_SELF_SCOUT_IMPORT'!$G$42:$G$1040,SUBSTITUTE(SUBSTITUTE(SUBSTITUTE($O558,"~","~~"),"*","~*"),"?","~?"),'DEF_SELF_SCOUT_IMPORT'!$H$42:$H$1040,"RUSH")/$C558)</f>
        <v>1.0</v>
      </c>
      <c r="H558" s="10">
        <f>IF($C558=0,"",COUNTIFS('DEF_SELF_SCOUT_IMPORT'!$L$42:$L$1040,"Y",'DEF_SELF_SCOUT_IMPORT'!$E$42:$E$1040,SUBSTITUTE(SUBSTITUTE(SUBSTITUTE($B558,"~","~~"),"*","~*"),"?","~?"),'DEF_SELF_SCOUT_IMPORT'!$Q$42:$Q$1040,SUBSTITUTE(SUBSTITUTE(SUBSTITUTE($M558,"~","~~"),"*","~*"),"?","~?"),'DEF_SELF_SCOUT_IMPORT'!$G$42:$G$1040,SUBSTITUTE(SUBSTITUTE(SUBSTITUTE($O558,"~","~~"),"*","~*"),"?","~?"),'DEF_SELF_SCOUT_IMPORT'!$H$42:$H$1040,"DROPBACK")/$C558)</f>
        <v>0.0</v>
      </c>
      <c r="I558" s="14" t="str">
        <f>IF(C558=0,"",IF(C558&lt;=2,"TRACK",IF(C558=3,"LOW",IF(C558&lt;=6,"MEDIUM","HIGH"))))</f>
        <v>TRACK</v>
      </c>
      <c r="J558" s="11">
        <f>IF(C558=0,"",ROUND(D558*70+(1-E558)*20+MAX(0,MIN(1,(10-F558)/10))*10,1))</f>
        <v>61.0</v>
      </c>
      <c r="K558" s="14" t="str">
        <f>IF(C558=0,"No Evidence",IF(C558&lt;=2,IF(E558&gt;0,"Explosive Alert","Track Only"),IF(C558=3,"Sample Watch",IF(E558&gt;=START_HERE!$B$31,"Explosive Alert",IF(J558&gt;=80,"Strong Candidate",IF(J558&gt;=65,"Good Candidate",IF(J558&gt;=50,"Mixed / Review","Problem Call")))))))</f>
        <v>Track Only</v>
      </c>
      <c r="L558" s="9" t="str">
        <f>IF(COUNTIFS('DEF_SELF_SCOUT_IMPORT'!$L$42:$L$1040,"Y",'DEF_SELF_SCOUT_IMPORT'!$E$42:$E$1040,SUBSTITUTE(SUBSTITUTE(SUBSTITUTE($B558,"~","~~"),"*","~*"),"?","~?"),'DEF_SELF_SCOUT_IMPORT'!$Q$42:$Q$1040,SUBSTITUTE(SUBSTITUTE(SUBSTITUTE($M558,"~","~~"),"*","~*"),"?","~?"),'DEF_SELF_SCOUT_IMPORT'!$G$42:$G$1040,SUBSTITUTE(SUBSTITUTE(SUBSTITUTE($O558,"~","~~"),"*","~*"),"?","~?"),'DEF_SELF_SCOUT_IMPORT'!$J$42:$J$1040,"")&gt;0,"Unscored clean outcome; review result tags before using score.",IF(C558=0,"No matching defensive reps; film confirmation needed.",IF(K558="Explosive Alert","Explosive risk; review clips before using as answer.",IF(C558&lt;=2,"Track only; not enough sample.",IF(C558=3,IF(E558&gt;0,"Sample watch with explosive exposure; review clips and build the sample.",IF(J558&gt;=65,"Good signal, but sample is limited.","Sample watch; review clips and build the sample.")),IF(K558="Problem Call","Problem area; practice or call-sheet review.",IF(K558="Strong Candidate","Strong call-fit candidate; confirm on film.",IF(K558="Good Candidate","Good call-fit signal; confirm on film.","Mixed signal; review fit and execution on film."))))))))</f>
        <v>Track only; not enough sample.</v>
      </c>
      <c r="M558" s="8" t="s">
        <v>115</v>
      </c>
      <c r="N558" s="8"/>
      <c r="O558" s="8" t="s">
        <v>203</v>
      </c>
      <c r="P558" s="8"/>
      <c r="Q558" s="8"/>
      <c r="R558" s="8" t="s">
        <v>28</v>
      </c>
      <c r="S558" s="2" t="s">
        <v>280</v>
      </c>
      <c r="T558" s="2">
        <f>IF(C558=0,0,IF(C558&gt;=CALL_LOOKUP_BOARD!$B$7,IF(OR(K558="Problem Call",K558="Explosive Alert"),10000000,20000000),0)+IF(C558&gt;=CALL_LOOKUP_BOARD!$B$7,J558*1000+MIN(C558,999),C558*1000+J558)+0.00981600)</f>
        <v>2061.009816</v>
      </c>
      <c r="U558" s="2">
        <f>IF(C558=0,"",IF(COUNTIFS($S$375:$S$581,SUBSTITUTE(SUBSTITUTE(SUBSTITUTE(S558,"~","~~"),"*","~*"),"?","~?"),$T$375:$T$581,"&gt;"&amp;T558)=0,S558,""))</f>
        <v/>
      </c>
    </row>
    <row r="559" spans="1:21" ht="38" customHeight="1">
      <c r="A559" s="8" t="s">
        <v>279</v>
      </c>
      <c r="B559" s="8" t="s">
        <v>88</v>
      </c>
      <c r="C559" s="12">
        <f>COUNTIFS('DEF_SELF_SCOUT_IMPORT'!$L$42:$L$1040,"Y",'DEF_SELF_SCOUT_IMPORT'!$E$42:$E$1040,SUBSTITUTE(SUBSTITUTE(SUBSTITUTE($B559,"~","~~"),"*","~*"),"?","~?"),'DEF_SELF_SCOUT_IMPORT'!$Q$42:$Q$1040,SUBSTITUTE(SUBSTITUTE(SUBSTITUTE($M559,"~","~~"),"*","~*"),"?","~?"),'DEF_SELF_SCOUT_IMPORT'!$G$42:$G$1040,SUBSTITUTE(SUBSTITUTE(SUBSTITUTE($O559,"~","~~"),"*","~*"),"?","~?"))</f>
        <v>1</v>
      </c>
      <c r="D559" s="10">
        <f>IF($C559=0,"",SUMIFS('DEF_SELF_SCOUT_IMPORT'!$J$42:$J$1040,'DEF_SELF_SCOUT_IMPORT'!$L$42:$L$1040,"Y",'DEF_SELF_SCOUT_IMPORT'!$E$42:$E$1040,SUBSTITUTE(SUBSTITUTE(SUBSTITUTE($B559,"~","~~"),"*","~*"),"?","~?"),'DEF_SELF_SCOUT_IMPORT'!$Q$42:$Q$1040,SUBSTITUTE(SUBSTITUTE(SUBSTITUTE($M559,"~","~~"),"*","~*"),"?","~?"),'DEF_SELF_SCOUT_IMPORT'!$G$42:$G$1040,SUBSTITUTE(SUBSTITUTE(SUBSTITUTE($O559,"~","~~"),"*","~*"),"?","~?"))/$C559)</f>
        <v>0.0</v>
      </c>
      <c r="E559" s="10">
        <f>IF($C559=0,"",SUMIFS('DEF_SELF_SCOUT_IMPORT'!$K$42:$K$1040,'DEF_SELF_SCOUT_IMPORT'!$L$42:$L$1040,"Y",'DEF_SELF_SCOUT_IMPORT'!$E$42:$E$1040,SUBSTITUTE(SUBSTITUTE(SUBSTITUTE($B559,"~","~~"),"*","~*"),"?","~?"),'DEF_SELF_SCOUT_IMPORT'!$Q$42:$Q$1040,SUBSTITUTE(SUBSTITUTE(SUBSTITUTE($M559,"~","~~"),"*","~*"),"?","~?"),'DEF_SELF_SCOUT_IMPORT'!$G$42:$G$1040,SUBSTITUTE(SUBSTITUTE(SUBSTITUTE($O559,"~","~~"),"*","~*"),"?","~?"))/$C559)</f>
        <v>0.0</v>
      </c>
      <c r="F559" s="11">
        <f>IF($C559=0,"",AVERAGEIFS('DEF_SELF_SCOUT_IMPORT'!$I$42:$I$1040,'DEF_SELF_SCOUT_IMPORT'!$L$42:$L$1040,"Y",'DEF_SELF_SCOUT_IMPORT'!$E$42:$E$1040,SUBSTITUTE(SUBSTITUTE(SUBSTITUTE($B559,"~","~~"),"*","~*"),"?","~?"),'DEF_SELF_SCOUT_IMPORT'!$Q$42:$Q$1040,SUBSTITUTE(SUBSTITUTE(SUBSTITUTE($M559,"~","~~"),"*","~*"),"?","~?"),'DEF_SELF_SCOUT_IMPORT'!$G$42:$G$1040,SUBSTITUTE(SUBSTITUTE(SUBSTITUTE($O559,"~","~~"),"*","~*"),"?","~?")))</f>
        <v>4.0</v>
      </c>
      <c r="G559" s="10">
        <f>IF($C559=0,"",COUNTIFS('DEF_SELF_SCOUT_IMPORT'!$L$42:$L$1040,"Y",'DEF_SELF_SCOUT_IMPORT'!$E$42:$E$1040,SUBSTITUTE(SUBSTITUTE(SUBSTITUTE($B559,"~","~~"),"*","~*"),"?","~?"),'DEF_SELF_SCOUT_IMPORT'!$Q$42:$Q$1040,SUBSTITUTE(SUBSTITUTE(SUBSTITUTE($M559,"~","~~"),"*","~*"),"?","~?"),'DEF_SELF_SCOUT_IMPORT'!$G$42:$G$1040,SUBSTITUTE(SUBSTITUTE(SUBSTITUTE($O559,"~","~~"),"*","~*"),"?","~?"),'DEF_SELF_SCOUT_IMPORT'!$H$42:$H$1040,"RUSH")/$C559)</f>
        <v>1.0</v>
      </c>
      <c r="H559" s="10">
        <f>IF($C559=0,"",COUNTIFS('DEF_SELF_SCOUT_IMPORT'!$L$42:$L$1040,"Y",'DEF_SELF_SCOUT_IMPORT'!$E$42:$E$1040,SUBSTITUTE(SUBSTITUTE(SUBSTITUTE($B559,"~","~~"),"*","~*"),"?","~?"),'DEF_SELF_SCOUT_IMPORT'!$Q$42:$Q$1040,SUBSTITUTE(SUBSTITUTE(SUBSTITUTE($M559,"~","~~"),"*","~*"),"?","~?"),'DEF_SELF_SCOUT_IMPORT'!$G$42:$G$1040,SUBSTITUTE(SUBSTITUTE(SUBSTITUTE($O559,"~","~~"),"*","~*"),"?","~?"),'DEF_SELF_SCOUT_IMPORT'!$H$42:$H$1040,"DROPBACK")/$C559)</f>
        <v>0.0</v>
      </c>
      <c r="I559" s="14" t="str">
        <f>IF(C559=0,"",IF(C559&lt;=2,"TRACK",IF(C559=3,"LOW",IF(C559&lt;=6,"MEDIUM","HIGH"))))</f>
        <v>TRACK</v>
      </c>
      <c r="J559" s="11">
        <f>IF(C559=0,"",ROUND(D559*70+(1-E559)*20+MAX(0,MIN(1,(10-F559)/10))*10,1))</f>
        <v>26.0</v>
      </c>
      <c r="K559" s="14" t="str">
        <f>IF(C559=0,"No Evidence",IF(C559&lt;=2,IF(E559&gt;0,"Explosive Alert","Track Only"),IF(C559=3,"Sample Watch",IF(E559&gt;=START_HERE!$B$31,"Explosive Alert",IF(J559&gt;=80,"Strong Candidate",IF(J559&gt;=65,"Good Candidate",IF(J559&gt;=50,"Mixed / Review","Problem Call")))))))</f>
        <v>Track Only</v>
      </c>
      <c r="L559" s="9" t="str">
        <f>IF(COUNTIFS('DEF_SELF_SCOUT_IMPORT'!$L$42:$L$1040,"Y",'DEF_SELF_SCOUT_IMPORT'!$E$42:$E$1040,SUBSTITUTE(SUBSTITUTE(SUBSTITUTE($B559,"~","~~"),"*","~*"),"?","~?"),'DEF_SELF_SCOUT_IMPORT'!$Q$42:$Q$1040,SUBSTITUTE(SUBSTITUTE(SUBSTITUTE($M559,"~","~~"),"*","~*"),"?","~?"),'DEF_SELF_SCOUT_IMPORT'!$G$42:$G$1040,SUBSTITUTE(SUBSTITUTE(SUBSTITUTE($O559,"~","~~"),"*","~*"),"?","~?"),'DEF_SELF_SCOUT_IMPORT'!$J$42:$J$1040,"")&gt;0,"Unscored clean outcome; review result tags before using score.",IF(C559=0,"No matching defensive reps; film confirmation needed.",IF(K559="Explosive Alert","Explosive risk; review clips before using as answer.",IF(C559&lt;=2,"Track only; not enough sample.",IF(C559=3,IF(E559&gt;0,"Sample watch with explosive exposure; review clips and build the sample.",IF(J559&gt;=65,"Good signal, but sample is limited.","Sample watch; review clips and build the sample.")),IF(K559="Problem Call","Problem area; practice or call-sheet review.",IF(K559="Strong Candidate","Strong call-fit candidate; confirm on film.",IF(K559="Good Candidate","Good call-fit signal; confirm on film.","Mixed signal; review fit and execution on film."))))))))</f>
        <v>Track only; not enough sample.</v>
      </c>
      <c r="M559" s="8" t="s">
        <v>115</v>
      </c>
      <c r="N559" s="8"/>
      <c r="O559" s="8" t="s">
        <v>203</v>
      </c>
      <c r="P559" s="8"/>
      <c r="Q559" s="8"/>
      <c r="R559" s="8" t="s">
        <v>28</v>
      </c>
      <c r="S559" s="2" t="s">
        <v>280</v>
      </c>
      <c r="T559" s="2">
        <f>IF(C559=0,0,IF(C559&gt;=CALL_LOOKUP_BOARD!$B$7,IF(OR(K559="Problem Call",K559="Explosive Alert"),10000000,20000000),0)+IF(C559&gt;=CALL_LOOKUP_BOARD!$B$7,J559*1000+MIN(C559,999),C559*1000+J559)+0.00981500)</f>
        <v>1026.009815</v>
      </c>
      <c r="U559" s="2">
        <f>IF(C559=0,"",IF(COUNTIFS($S$375:$S$581,SUBSTITUTE(SUBSTITUTE(SUBSTITUTE(S559,"~","~~"),"*","~*"),"?","~?"),$T$375:$T$581,"&gt;"&amp;T559)=0,S559,""))</f>
        <v/>
      </c>
    </row>
    <row r="560" spans="1:21" ht="38" customHeight="1">
      <c r="A560" s="8" t="s">
        <v>279</v>
      </c>
      <c r="B560" s="8" t="s">
        <v>54</v>
      </c>
      <c r="C560" s="12">
        <f>COUNTIFS('DEF_SELF_SCOUT_IMPORT'!$L$42:$L$1040,"Y",'DEF_SELF_SCOUT_IMPORT'!$E$42:$E$1040,SUBSTITUTE(SUBSTITUTE(SUBSTITUTE($B560,"~","~~"),"*","~*"),"?","~?"),'DEF_SELF_SCOUT_IMPORT'!$Q$42:$Q$1040,SUBSTITUTE(SUBSTITUTE(SUBSTITUTE($M560,"~","~~"),"*","~*"),"?","~?"),'DEF_SELF_SCOUT_IMPORT'!$G$42:$G$1040,SUBSTITUTE(SUBSTITUTE(SUBSTITUTE($O560,"~","~~"),"*","~*"),"?","~?"))</f>
        <v>2</v>
      </c>
      <c r="D560" s="10">
        <f>IF($C560=0,"",SUMIFS('DEF_SELF_SCOUT_IMPORT'!$J$42:$J$1040,'DEF_SELF_SCOUT_IMPORT'!$L$42:$L$1040,"Y",'DEF_SELF_SCOUT_IMPORT'!$E$42:$E$1040,SUBSTITUTE(SUBSTITUTE(SUBSTITUTE($B560,"~","~~"),"*","~*"),"?","~?"),'DEF_SELF_SCOUT_IMPORT'!$Q$42:$Q$1040,SUBSTITUTE(SUBSTITUTE(SUBSTITUTE($M560,"~","~~"),"*","~*"),"?","~?"),'DEF_SELF_SCOUT_IMPORT'!$G$42:$G$1040,SUBSTITUTE(SUBSTITUTE(SUBSTITUTE($O560,"~","~~"),"*","~*"),"?","~?"))/$C560)</f>
        <v>0.0</v>
      </c>
      <c r="E560" s="10">
        <f>IF($C560=0,"",SUMIFS('DEF_SELF_SCOUT_IMPORT'!$K$42:$K$1040,'DEF_SELF_SCOUT_IMPORT'!$L$42:$L$1040,"Y",'DEF_SELF_SCOUT_IMPORT'!$E$42:$E$1040,SUBSTITUTE(SUBSTITUTE(SUBSTITUTE($B560,"~","~~"),"*","~*"),"?","~?"),'DEF_SELF_SCOUT_IMPORT'!$Q$42:$Q$1040,SUBSTITUTE(SUBSTITUTE(SUBSTITUTE($M560,"~","~~"),"*","~*"),"?","~?"),'DEF_SELF_SCOUT_IMPORT'!$G$42:$G$1040,SUBSTITUTE(SUBSTITUTE(SUBSTITUTE($O560,"~","~~"),"*","~*"),"?","~?"))/$C560)</f>
        <v>0.5</v>
      </c>
      <c r="F560" s="11">
        <f>IF($C560=0,"",AVERAGEIFS('DEF_SELF_SCOUT_IMPORT'!$I$42:$I$1040,'DEF_SELF_SCOUT_IMPORT'!$L$42:$L$1040,"Y",'DEF_SELF_SCOUT_IMPORT'!$E$42:$E$1040,SUBSTITUTE(SUBSTITUTE(SUBSTITUTE($B560,"~","~~"),"*","~*"),"?","~?"),'DEF_SELF_SCOUT_IMPORT'!$Q$42:$Q$1040,SUBSTITUTE(SUBSTITUTE(SUBSTITUTE($M560,"~","~~"),"*","~*"),"?","~?"),'DEF_SELF_SCOUT_IMPORT'!$G$42:$G$1040,SUBSTITUTE(SUBSTITUTE(SUBSTITUTE($O560,"~","~~"),"*","~*"),"?","~?")))</f>
        <v>11.5</v>
      </c>
      <c r="G560" s="10">
        <f>IF($C560=0,"",COUNTIFS('DEF_SELF_SCOUT_IMPORT'!$L$42:$L$1040,"Y",'DEF_SELF_SCOUT_IMPORT'!$E$42:$E$1040,SUBSTITUTE(SUBSTITUTE(SUBSTITUTE($B560,"~","~~"),"*","~*"),"?","~?"),'DEF_SELF_SCOUT_IMPORT'!$Q$42:$Q$1040,SUBSTITUTE(SUBSTITUTE(SUBSTITUTE($M560,"~","~~"),"*","~*"),"?","~?"),'DEF_SELF_SCOUT_IMPORT'!$G$42:$G$1040,SUBSTITUTE(SUBSTITUTE(SUBSTITUTE($O560,"~","~~"),"*","~*"),"?","~?"),'DEF_SELF_SCOUT_IMPORT'!$H$42:$H$1040,"RUSH")/$C560)</f>
        <v>1.0</v>
      </c>
      <c r="H560" s="10">
        <f>IF($C560=0,"",COUNTIFS('DEF_SELF_SCOUT_IMPORT'!$L$42:$L$1040,"Y",'DEF_SELF_SCOUT_IMPORT'!$E$42:$E$1040,SUBSTITUTE(SUBSTITUTE(SUBSTITUTE($B560,"~","~~"),"*","~*"),"?","~?"),'DEF_SELF_SCOUT_IMPORT'!$Q$42:$Q$1040,SUBSTITUTE(SUBSTITUTE(SUBSTITUTE($M560,"~","~~"),"*","~*"),"?","~?"),'DEF_SELF_SCOUT_IMPORT'!$G$42:$G$1040,SUBSTITUTE(SUBSTITUTE(SUBSTITUTE($O560,"~","~~"),"*","~*"),"?","~?"),'DEF_SELF_SCOUT_IMPORT'!$H$42:$H$1040,"DROPBACK")/$C560)</f>
        <v>0.0</v>
      </c>
      <c r="I560" s="14" t="str">
        <f>IF(C560=0,"",IF(C560&lt;=2,"TRACK",IF(C560=3,"LOW",IF(C560&lt;=6,"MEDIUM","HIGH"))))</f>
        <v>TRACK</v>
      </c>
      <c r="J560" s="11">
        <f>IF(C560=0,"",ROUND(D560*70+(1-E560)*20+MAX(0,MIN(1,(10-F560)/10))*10,1))</f>
        <v>10.0</v>
      </c>
      <c r="K560" s="14" t="str">
        <f>IF(C560=0,"No Evidence",IF(C560&lt;=2,IF(E560&gt;0,"Explosive Alert","Track Only"),IF(C560=3,"Sample Watch",IF(E560&gt;=START_HERE!$B$31,"Explosive Alert",IF(J560&gt;=80,"Strong Candidate",IF(J560&gt;=65,"Good Candidate",IF(J560&gt;=50,"Mixed / Review","Problem Call")))))))</f>
        <v>Explosive Alert</v>
      </c>
      <c r="L560" s="9" t="str">
        <f>IF(COUNTIFS('DEF_SELF_SCOUT_IMPORT'!$L$42:$L$1040,"Y",'DEF_SELF_SCOUT_IMPORT'!$E$42:$E$1040,SUBSTITUTE(SUBSTITUTE(SUBSTITUTE($B560,"~","~~"),"*","~*"),"?","~?"),'DEF_SELF_SCOUT_IMPORT'!$Q$42:$Q$1040,SUBSTITUTE(SUBSTITUTE(SUBSTITUTE($M560,"~","~~"),"*","~*"),"?","~?"),'DEF_SELF_SCOUT_IMPORT'!$G$42:$G$1040,SUBSTITUTE(SUBSTITUTE(SUBSTITUTE($O560,"~","~~"),"*","~*"),"?","~?"),'DEF_SELF_SCOUT_IMPORT'!$J$42:$J$1040,"")&gt;0,"Unscored clean outcome; review result tags before using score.",IF(C560=0,"No matching defensive reps; film confirmation needed.",IF(K560="Explosive Alert","Explosive risk; review clips before using as answer.",IF(C560&lt;=2,"Track only; not enough sample.",IF(C560=3,IF(E560&gt;0,"Sample watch with explosive exposure; review clips and build the sample.",IF(J560&gt;=65,"Good signal, but sample is limited.","Sample watch; review clips and build the sample.")),IF(K560="Problem Call","Problem area; practice or call-sheet review.",IF(K560="Strong Candidate","Strong call-fit candidate; confirm on film.",IF(K560="Good Candidate","Good call-fit signal; confirm on film.","Mixed signal; review fit and execution on film."))))))))</f>
        <v>Explosive risk; review clips before using as answer.</v>
      </c>
      <c r="M560" s="8" t="s">
        <v>115</v>
      </c>
      <c r="N560" s="8"/>
      <c r="O560" s="8" t="s">
        <v>203</v>
      </c>
      <c r="P560" s="8"/>
      <c r="Q560" s="8"/>
      <c r="R560" s="8" t="s">
        <v>28</v>
      </c>
      <c r="S560" s="2" t="s">
        <v>280</v>
      </c>
      <c r="T560" s="2">
        <f>IF(C560=0,0,IF(C560&gt;=CALL_LOOKUP_BOARD!$B$7,IF(OR(K560="Problem Call",K560="Explosive Alert"),10000000,20000000),0)+IF(C560&gt;=CALL_LOOKUP_BOARD!$B$7,J560*1000+MIN(C560,999),C560*1000+J560)+0.00981400)</f>
        <v>2010.009814</v>
      </c>
      <c r="U560" s="2">
        <f>IF(C560=0,"",IF(COUNTIFS($S$375:$S$581,SUBSTITUTE(SUBSTITUTE(SUBSTITUTE(S560,"~","~~"),"*","~*"),"?","~?"),$T$375:$T$581,"&gt;"&amp;T560)=0,S560,""))</f>
        <v/>
      </c>
    </row>
    <row r="561" spans="1:21" ht="38" customHeight="1">
      <c r="A561" s="8" t="s">
        <v>279</v>
      </c>
      <c r="B561" s="8" t="s">
        <v>117</v>
      </c>
      <c r="C561" s="12">
        <f>COUNTIFS('DEF_SELF_SCOUT_IMPORT'!$L$42:$L$1040,"Y",'DEF_SELF_SCOUT_IMPORT'!$E$42:$E$1040,SUBSTITUTE(SUBSTITUTE(SUBSTITUTE($B561,"~","~~"),"*","~*"),"?","~?"),'DEF_SELF_SCOUT_IMPORT'!$Q$42:$Q$1040,SUBSTITUTE(SUBSTITUTE(SUBSTITUTE($M561,"~","~~"),"*","~*"),"?","~?"),'DEF_SELF_SCOUT_IMPORT'!$G$42:$G$1040,SUBSTITUTE(SUBSTITUTE(SUBSTITUTE($O561,"~","~~"),"*","~*"),"?","~?"))</f>
        <v>1</v>
      </c>
      <c r="D561" s="10">
        <f>IF($C561=0,"",SUMIFS('DEF_SELF_SCOUT_IMPORT'!$J$42:$J$1040,'DEF_SELF_SCOUT_IMPORT'!$L$42:$L$1040,"Y",'DEF_SELF_SCOUT_IMPORT'!$E$42:$E$1040,SUBSTITUTE(SUBSTITUTE(SUBSTITUTE($B561,"~","~~"),"*","~*"),"?","~?"),'DEF_SELF_SCOUT_IMPORT'!$Q$42:$Q$1040,SUBSTITUTE(SUBSTITUTE(SUBSTITUTE($M561,"~","~~"),"*","~*"),"?","~?"),'DEF_SELF_SCOUT_IMPORT'!$G$42:$G$1040,SUBSTITUTE(SUBSTITUTE(SUBSTITUTE($O561,"~","~~"),"*","~*"),"?","~?"))/$C561)</f>
        <v>0.0</v>
      </c>
      <c r="E561" s="10">
        <f>IF($C561=0,"",SUMIFS('DEF_SELF_SCOUT_IMPORT'!$K$42:$K$1040,'DEF_SELF_SCOUT_IMPORT'!$L$42:$L$1040,"Y",'DEF_SELF_SCOUT_IMPORT'!$E$42:$E$1040,SUBSTITUTE(SUBSTITUTE(SUBSTITUTE($B561,"~","~~"),"*","~*"),"?","~?"),'DEF_SELF_SCOUT_IMPORT'!$Q$42:$Q$1040,SUBSTITUTE(SUBSTITUTE(SUBSTITUTE($M561,"~","~~"),"*","~*"),"?","~?"),'DEF_SELF_SCOUT_IMPORT'!$G$42:$G$1040,SUBSTITUTE(SUBSTITUTE(SUBSTITUTE($O561,"~","~~"),"*","~*"),"?","~?"))/$C561)</f>
        <v>1.0</v>
      </c>
      <c r="F561" s="11">
        <f>IF($C561=0,"",AVERAGEIFS('DEF_SELF_SCOUT_IMPORT'!$I$42:$I$1040,'DEF_SELF_SCOUT_IMPORT'!$L$42:$L$1040,"Y",'DEF_SELF_SCOUT_IMPORT'!$E$42:$E$1040,SUBSTITUTE(SUBSTITUTE(SUBSTITUTE($B561,"~","~~"),"*","~*"),"?","~?"),'DEF_SELF_SCOUT_IMPORT'!$Q$42:$Q$1040,SUBSTITUTE(SUBSTITUTE(SUBSTITUTE($M561,"~","~~"),"*","~*"),"?","~?"),'DEF_SELF_SCOUT_IMPORT'!$G$42:$G$1040,SUBSTITUTE(SUBSTITUTE(SUBSTITUTE($O561,"~","~~"),"*","~*"),"?","~?")))</f>
        <v>16.0</v>
      </c>
      <c r="G561" s="10">
        <f>IF($C561=0,"",COUNTIFS('DEF_SELF_SCOUT_IMPORT'!$L$42:$L$1040,"Y",'DEF_SELF_SCOUT_IMPORT'!$E$42:$E$1040,SUBSTITUTE(SUBSTITUTE(SUBSTITUTE($B561,"~","~~"),"*","~*"),"?","~?"),'DEF_SELF_SCOUT_IMPORT'!$Q$42:$Q$1040,SUBSTITUTE(SUBSTITUTE(SUBSTITUTE($M561,"~","~~"),"*","~*"),"?","~?"),'DEF_SELF_SCOUT_IMPORT'!$G$42:$G$1040,SUBSTITUTE(SUBSTITUTE(SUBSTITUTE($O561,"~","~~"),"*","~*"),"?","~?"),'DEF_SELF_SCOUT_IMPORT'!$H$42:$H$1040,"RUSH")/$C561)</f>
        <v>0.0</v>
      </c>
      <c r="H561" s="10">
        <f>IF($C561=0,"",COUNTIFS('DEF_SELF_SCOUT_IMPORT'!$L$42:$L$1040,"Y",'DEF_SELF_SCOUT_IMPORT'!$E$42:$E$1040,SUBSTITUTE(SUBSTITUTE(SUBSTITUTE($B561,"~","~~"),"*","~*"),"?","~?"),'DEF_SELF_SCOUT_IMPORT'!$Q$42:$Q$1040,SUBSTITUTE(SUBSTITUTE(SUBSTITUTE($M561,"~","~~"),"*","~*"),"?","~?"),'DEF_SELF_SCOUT_IMPORT'!$G$42:$G$1040,SUBSTITUTE(SUBSTITUTE(SUBSTITUTE($O561,"~","~~"),"*","~*"),"?","~?"),'DEF_SELF_SCOUT_IMPORT'!$H$42:$H$1040,"DROPBACK")/$C561)</f>
        <v>1.0</v>
      </c>
      <c r="I561" s="14" t="str">
        <f>IF(C561=0,"",IF(C561&lt;=2,"TRACK",IF(C561=3,"LOW",IF(C561&lt;=6,"MEDIUM","HIGH"))))</f>
        <v>TRACK</v>
      </c>
      <c r="J561" s="11">
        <f>IF(C561=0,"",ROUND(D561*70+(1-E561)*20+MAX(0,MIN(1,(10-F561)/10))*10,1))</f>
        <v>0.0</v>
      </c>
      <c r="K561" s="14" t="str">
        <f>IF(C561=0,"No Evidence",IF(C561&lt;=2,IF(E561&gt;0,"Explosive Alert","Track Only"),IF(C561=3,"Sample Watch",IF(E561&gt;=START_HERE!$B$31,"Explosive Alert",IF(J561&gt;=80,"Strong Candidate",IF(J561&gt;=65,"Good Candidate",IF(J561&gt;=50,"Mixed / Review","Problem Call")))))))</f>
        <v>Explosive Alert</v>
      </c>
      <c r="L561" s="9" t="str">
        <f>IF(COUNTIFS('DEF_SELF_SCOUT_IMPORT'!$L$42:$L$1040,"Y",'DEF_SELF_SCOUT_IMPORT'!$E$42:$E$1040,SUBSTITUTE(SUBSTITUTE(SUBSTITUTE($B561,"~","~~"),"*","~*"),"?","~?"),'DEF_SELF_SCOUT_IMPORT'!$Q$42:$Q$1040,SUBSTITUTE(SUBSTITUTE(SUBSTITUTE($M561,"~","~~"),"*","~*"),"?","~?"),'DEF_SELF_SCOUT_IMPORT'!$G$42:$G$1040,SUBSTITUTE(SUBSTITUTE(SUBSTITUTE($O561,"~","~~"),"*","~*"),"?","~?"),'DEF_SELF_SCOUT_IMPORT'!$J$42:$J$1040,"")&gt;0,"Unscored clean outcome; review result tags before using score.",IF(C561=0,"No matching defensive reps; film confirmation needed.",IF(K561="Explosive Alert","Explosive risk; review clips before using as answer.",IF(C561&lt;=2,"Track only; not enough sample.",IF(C561=3,IF(E561&gt;0,"Sample watch with explosive exposure; review clips and build the sample.",IF(J561&gt;=65,"Good signal, but sample is limited.","Sample watch; review clips and build the sample.")),IF(K561="Problem Call","Problem area; practice or call-sheet review.",IF(K561="Strong Candidate","Strong call-fit candidate; confirm on film.",IF(K561="Good Candidate","Good call-fit signal; confirm on film.","Mixed signal; review fit and execution on film."))))))))</f>
        <v>Explosive risk; review clips before using as answer.</v>
      </c>
      <c r="M561" s="8" t="s">
        <v>115</v>
      </c>
      <c r="N561" s="8"/>
      <c r="O561" s="8" t="s">
        <v>203</v>
      </c>
      <c r="P561" s="8"/>
      <c r="Q561" s="8"/>
      <c r="R561" s="8" t="s">
        <v>28</v>
      </c>
      <c r="S561" s="2" t="s">
        <v>280</v>
      </c>
      <c r="T561" s="2">
        <f>IF(C561=0,0,IF(C561&gt;=CALL_LOOKUP_BOARD!$B$7,IF(OR(K561="Problem Call",K561="Explosive Alert"),10000000,20000000),0)+IF(C561&gt;=CALL_LOOKUP_BOARD!$B$7,J561*1000+MIN(C561,999),C561*1000+J561)+0.00981300)</f>
        <v>1000.009813</v>
      </c>
      <c r="U561" s="2">
        <f>IF(C561=0,"",IF(COUNTIFS($S$375:$S$581,SUBSTITUTE(SUBSTITUTE(SUBSTITUTE(S561,"~","~~"),"*","~*"),"?","~?"),$T$375:$T$581,"&gt;"&amp;T561)=0,S561,""))</f>
        <v/>
      </c>
    </row>
    <row r="562" spans="1:21" ht="38" customHeight="1">
      <c r="A562" s="8" t="s">
        <v>279</v>
      </c>
      <c r="B562" s="8" t="s">
        <v>56</v>
      </c>
      <c r="C562" s="12">
        <f>COUNTIFS('DEF_SELF_SCOUT_IMPORT'!$L$42:$L$1040,"Y",'DEF_SELF_SCOUT_IMPORT'!$E$42:$E$1040,SUBSTITUTE(SUBSTITUTE(SUBSTITUTE($B562,"~","~~"),"*","~*"),"?","~?"),'DEF_SELF_SCOUT_IMPORT'!$Q$42:$Q$1040,SUBSTITUTE(SUBSTITUTE(SUBSTITUTE($M562,"~","~~"),"*","~*"),"?","~?"),'DEF_SELF_SCOUT_IMPORT'!$G$42:$G$1040,SUBSTITUTE(SUBSTITUTE(SUBSTITUTE($O562,"~","~~"),"*","~*"),"?","~?"))</f>
        <v>1</v>
      </c>
      <c r="D562" s="10">
        <f>IF($C562=0,"",SUMIFS('DEF_SELF_SCOUT_IMPORT'!$J$42:$J$1040,'DEF_SELF_SCOUT_IMPORT'!$L$42:$L$1040,"Y",'DEF_SELF_SCOUT_IMPORT'!$E$42:$E$1040,SUBSTITUTE(SUBSTITUTE(SUBSTITUTE($B562,"~","~~"),"*","~*"),"?","~?"),'DEF_SELF_SCOUT_IMPORT'!$Q$42:$Q$1040,SUBSTITUTE(SUBSTITUTE(SUBSTITUTE($M562,"~","~~"),"*","~*"),"?","~?"),'DEF_SELF_SCOUT_IMPORT'!$G$42:$G$1040,SUBSTITUTE(SUBSTITUTE(SUBSTITUTE($O562,"~","~~"),"*","~*"),"?","~?"))/$C562)</f>
        <v>0.0</v>
      </c>
      <c r="E562" s="10">
        <f>IF($C562=0,"",SUMIFS('DEF_SELF_SCOUT_IMPORT'!$K$42:$K$1040,'DEF_SELF_SCOUT_IMPORT'!$L$42:$L$1040,"Y",'DEF_SELF_SCOUT_IMPORT'!$E$42:$E$1040,SUBSTITUTE(SUBSTITUTE(SUBSTITUTE($B562,"~","~~"),"*","~*"),"?","~?"),'DEF_SELF_SCOUT_IMPORT'!$Q$42:$Q$1040,SUBSTITUTE(SUBSTITUTE(SUBSTITUTE($M562,"~","~~"),"*","~*"),"?","~?"),'DEF_SELF_SCOUT_IMPORT'!$G$42:$G$1040,SUBSTITUTE(SUBSTITUTE(SUBSTITUTE($O562,"~","~~"),"*","~*"),"?","~?"))/$C562)</f>
        <v>0.0</v>
      </c>
      <c r="F562" s="11">
        <f>IF($C562=0,"",AVERAGEIFS('DEF_SELF_SCOUT_IMPORT'!$I$42:$I$1040,'DEF_SELF_SCOUT_IMPORT'!$L$42:$L$1040,"Y",'DEF_SELF_SCOUT_IMPORT'!$E$42:$E$1040,SUBSTITUTE(SUBSTITUTE(SUBSTITUTE($B562,"~","~~"),"*","~*"),"?","~?"),'DEF_SELF_SCOUT_IMPORT'!$Q$42:$Q$1040,SUBSTITUTE(SUBSTITUTE(SUBSTITUTE($M562,"~","~~"),"*","~*"),"?","~?"),'DEF_SELF_SCOUT_IMPORT'!$G$42:$G$1040,SUBSTITUTE(SUBSTITUTE(SUBSTITUTE($O562,"~","~~"),"*","~*"),"?","~?")))</f>
        <v>4.0</v>
      </c>
      <c r="G562" s="10">
        <f>IF($C562=0,"",COUNTIFS('DEF_SELF_SCOUT_IMPORT'!$L$42:$L$1040,"Y",'DEF_SELF_SCOUT_IMPORT'!$E$42:$E$1040,SUBSTITUTE(SUBSTITUTE(SUBSTITUTE($B562,"~","~~"),"*","~*"),"?","~?"),'DEF_SELF_SCOUT_IMPORT'!$Q$42:$Q$1040,SUBSTITUTE(SUBSTITUTE(SUBSTITUTE($M562,"~","~~"),"*","~*"),"?","~?"),'DEF_SELF_SCOUT_IMPORT'!$G$42:$G$1040,SUBSTITUTE(SUBSTITUTE(SUBSTITUTE($O562,"~","~~"),"*","~*"),"?","~?"),'DEF_SELF_SCOUT_IMPORT'!$H$42:$H$1040,"RUSH")/$C562)</f>
        <v>1.0</v>
      </c>
      <c r="H562" s="10">
        <f>IF($C562=0,"",COUNTIFS('DEF_SELF_SCOUT_IMPORT'!$L$42:$L$1040,"Y",'DEF_SELF_SCOUT_IMPORT'!$E$42:$E$1040,SUBSTITUTE(SUBSTITUTE(SUBSTITUTE($B562,"~","~~"),"*","~*"),"?","~?"),'DEF_SELF_SCOUT_IMPORT'!$Q$42:$Q$1040,SUBSTITUTE(SUBSTITUTE(SUBSTITUTE($M562,"~","~~"),"*","~*"),"?","~?"),'DEF_SELF_SCOUT_IMPORT'!$G$42:$G$1040,SUBSTITUTE(SUBSTITUTE(SUBSTITUTE($O562,"~","~~"),"*","~*"),"?","~?"),'DEF_SELF_SCOUT_IMPORT'!$H$42:$H$1040,"DROPBACK")/$C562)</f>
        <v>0.0</v>
      </c>
      <c r="I562" s="14" t="str">
        <f>IF(C562=0,"",IF(C562&lt;=2,"TRACK",IF(C562=3,"LOW",IF(C562&lt;=6,"MEDIUM","HIGH"))))</f>
        <v>TRACK</v>
      </c>
      <c r="J562" s="11">
        <f>IF(C562=0,"",ROUND(D562*70+(1-E562)*20+MAX(0,MIN(1,(10-F562)/10))*10,1))</f>
        <v>26.0</v>
      </c>
      <c r="K562" s="14" t="str">
        <f>IF(C562=0,"No Evidence",IF(C562&lt;=2,IF(E562&gt;0,"Explosive Alert","Track Only"),IF(C562=3,"Sample Watch",IF(E562&gt;=START_HERE!$B$31,"Explosive Alert",IF(J562&gt;=80,"Strong Candidate",IF(J562&gt;=65,"Good Candidate",IF(J562&gt;=50,"Mixed / Review","Problem Call")))))))</f>
        <v>Track Only</v>
      </c>
      <c r="L562" s="9" t="str">
        <f>IF(COUNTIFS('DEF_SELF_SCOUT_IMPORT'!$L$42:$L$1040,"Y",'DEF_SELF_SCOUT_IMPORT'!$E$42:$E$1040,SUBSTITUTE(SUBSTITUTE(SUBSTITUTE($B562,"~","~~"),"*","~*"),"?","~?"),'DEF_SELF_SCOUT_IMPORT'!$Q$42:$Q$1040,SUBSTITUTE(SUBSTITUTE(SUBSTITUTE($M562,"~","~~"),"*","~*"),"?","~?"),'DEF_SELF_SCOUT_IMPORT'!$G$42:$G$1040,SUBSTITUTE(SUBSTITUTE(SUBSTITUTE($O562,"~","~~"),"*","~*"),"?","~?"),'DEF_SELF_SCOUT_IMPORT'!$J$42:$J$1040,"")&gt;0,"Unscored clean outcome; review result tags before using score.",IF(C562=0,"No matching defensive reps; film confirmation needed.",IF(K562="Explosive Alert","Explosive risk; review clips before using as answer.",IF(C562&lt;=2,"Track only; not enough sample.",IF(C562=3,IF(E562&gt;0,"Sample watch with explosive exposure; review clips and build the sample.",IF(J562&gt;=65,"Good signal, but sample is limited.","Sample watch; review clips and build the sample.")),IF(K562="Problem Call","Problem area; practice or call-sheet review.",IF(K562="Strong Candidate","Strong call-fit candidate; confirm on film.",IF(K562="Good Candidate","Good call-fit signal; confirm on film.","Mixed signal; review fit and execution on film."))))))))</f>
        <v>Track only; not enough sample.</v>
      </c>
      <c r="M562" s="8" t="s">
        <v>115</v>
      </c>
      <c r="N562" s="8"/>
      <c r="O562" s="8" t="s">
        <v>203</v>
      </c>
      <c r="P562" s="8"/>
      <c r="Q562" s="8"/>
      <c r="R562" s="8" t="s">
        <v>28</v>
      </c>
      <c r="S562" s="2" t="s">
        <v>280</v>
      </c>
      <c r="T562" s="2">
        <f>IF(C562=0,0,IF(C562&gt;=CALL_LOOKUP_BOARD!$B$7,IF(OR(K562="Problem Call",K562="Explosive Alert"),10000000,20000000),0)+IF(C562&gt;=CALL_LOOKUP_BOARD!$B$7,J562*1000+MIN(C562,999),C562*1000+J562)+0.00981200)</f>
        <v>1026.009812</v>
      </c>
      <c r="U562" s="2">
        <f>IF(C562=0,"",IF(COUNTIFS($S$375:$S$581,SUBSTITUTE(SUBSTITUTE(SUBSTITUTE(S562,"~","~~"),"*","~*"),"?","~?"),$T$375:$T$581,"&gt;"&amp;T562)=0,S562,""))</f>
        <v/>
      </c>
    </row>
    <row r="563" spans="1:21" ht="38" customHeight="1">
      <c r="A563" s="8" t="s">
        <v>279</v>
      </c>
      <c r="B563" s="8" t="s">
        <v>35</v>
      </c>
      <c r="C563" s="12">
        <f>COUNTIFS('DEF_SELF_SCOUT_IMPORT'!$L$42:$L$1040,"Y",'DEF_SELF_SCOUT_IMPORT'!$E$42:$E$1040,SUBSTITUTE(SUBSTITUTE(SUBSTITUTE($B563,"~","~~"),"*","~*"),"?","~?"),'DEF_SELF_SCOUT_IMPORT'!$Q$42:$Q$1040,SUBSTITUTE(SUBSTITUTE(SUBSTITUTE($M563,"~","~~"),"*","~*"),"?","~?"),'DEF_SELF_SCOUT_IMPORT'!$G$42:$G$1040,SUBSTITUTE(SUBSTITUTE(SUBSTITUTE($O563,"~","~~"),"*","~*"),"?","~?"))</f>
        <v>3</v>
      </c>
      <c r="D563" s="10">
        <f>IF($C563=0,"",SUMIFS('DEF_SELF_SCOUT_IMPORT'!$J$42:$J$1040,'DEF_SELF_SCOUT_IMPORT'!$L$42:$L$1040,"Y",'DEF_SELF_SCOUT_IMPORT'!$E$42:$E$1040,SUBSTITUTE(SUBSTITUTE(SUBSTITUTE($B563,"~","~~"),"*","~*"),"?","~?"),'DEF_SELF_SCOUT_IMPORT'!$Q$42:$Q$1040,SUBSTITUTE(SUBSTITUTE(SUBSTITUTE($M563,"~","~~"),"*","~*"),"?","~?"),'DEF_SELF_SCOUT_IMPORT'!$G$42:$G$1040,SUBSTITUTE(SUBSTITUTE(SUBSTITUTE($O563,"~","~~"),"*","~*"),"?","~?"))/$C563)</f>
        <v>0.6666666666666666</v>
      </c>
      <c r="E563" s="10">
        <f>IF($C563=0,"",SUMIFS('DEF_SELF_SCOUT_IMPORT'!$K$42:$K$1040,'DEF_SELF_SCOUT_IMPORT'!$L$42:$L$1040,"Y",'DEF_SELF_SCOUT_IMPORT'!$E$42:$E$1040,SUBSTITUTE(SUBSTITUTE(SUBSTITUTE($B563,"~","~~"),"*","~*"),"?","~?"),'DEF_SELF_SCOUT_IMPORT'!$Q$42:$Q$1040,SUBSTITUTE(SUBSTITUTE(SUBSTITUTE($M563,"~","~~"),"*","~*"),"?","~?"),'DEF_SELF_SCOUT_IMPORT'!$G$42:$G$1040,SUBSTITUTE(SUBSTITUTE(SUBSTITUTE($O563,"~","~~"),"*","~*"),"?","~?"))/$C563)</f>
        <v>0.0</v>
      </c>
      <c r="F563" s="11">
        <f>IF($C563=0,"",AVERAGEIFS('DEF_SELF_SCOUT_IMPORT'!$I$42:$I$1040,'DEF_SELF_SCOUT_IMPORT'!$L$42:$L$1040,"Y",'DEF_SELF_SCOUT_IMPORT'!$E$42:$E$1040,SUBSTITUTE(SUBSTITUTE(SUBSTITUTE($B563,"~","~~"),"*","~*"),"?","~?"),'DEF_SELF_SCOUT_IMPORT'!$Q$42:$Q$1040,SUBSTITUTE(SUBSTITUTE(SUBSTITUTE($M563,"~","~~"),"*","~*"),"?","~?"),'DEF_SELF_SCOUT_IMPORT'!$G$42:$G$1040,SUBSTITUTE(SUBSTITUTE(SUBSTITUTE($O563,"~","~~"),"*","~*"),"?","~?")))</f>
        <v>4.666666666666667</v>
      </c>
      <c r="G563" s="10">
        <f>IF($C563=0,"",COUNTIFS('DEF_SELF_SCOUT_IMPORT'!$L$42:$L$1040,"Y",'DEF_SELF_SCOUT_IMPORT'!$E$42:$E$1040,SUBSTITUTE(SUBSTITUTE(SUBSTITUTE($B563,"~","~~"),"*","~*"),"?","~?"),'DEF_SELF_SCOUT_IMPORT'!$Q$42:$Q$1040,SUBSTITUTE(SUBSTITUTE(SUBSTITUTE($M563,"~","~~"),"*","~*"),"?","~?"),'DEF_SELF_SCOUT_IMPORT'!$G$42:$G$1040,SUBSTITUTE(SUBSTITUTE(SUBSTITUTE($O563,"~","~~"),"*","~*"),"?","~?"),'DEF_SELF_SCOUT_IMPORT'!$H$42:$H$1040,"RUSH")/$C563)</f>
        <v>0.3333333333333333</v>
      </c>
      <c r="H563" s="10">
        <f>IF($C563=0,"",COUNTIFS('DEF_SELF_SCOUT_IMPORT'!$L$42:$L$1040,"Y",'DEF_SELF_SCOUT_IMPORT'!$E$42:$E$1040,SUBSTITUTE(SUBSTITUTE(SUBSTITUTE($B563,"~","~~"),"*","~*"),"?","~?"),'DEF_SELF_SCOUT_IMPORT'!$Q$42:$Q$1040,SUBSTITUTE(SUBSTITUTE(SUBSTITUTE($M563,"~","~~"),"*","~*"),"?","~?"),'DEF_SELF_SCOUT_IMPORT'!$G$42:$G$1040,SUBSTITUTE(SUBSTITUTE(SUBSTITUTE($O563,"~","~~"),"*","~*"),"?","~?"),'DEF_SELF_SCOUT_IMPORT'!$H$42:$H$1040,"DROPBACK")/$C563)</f>
        <v>0.6666666666666666</v>
      </c>
      <c r="I563" s="14" t="str">
        <f>IF(C563=0,"",IF(C563&lt;=2,"TRACK",IF(C563=3,"LOW",IF(C563&lt;=6,"MEDIUM","HIGH"))))</f>
        <v>LOW</v>
      </c>
      <c r="J563" s="11">
        <f>IF(C563=0,"",ROUND(D563*70+(1-E563)*20+MAX(0,MIN(1,(10-F563)/10))*10,1))</f>
        <v>72.0</v>
      </c>
      <c r="K563" s="14" t="str">
        <f>IF(C563=0,"No Evidence",IF(C563&lt;=2,IF(E563&gt;0,"Explosive Alert","Track Only"),IF(C563=3,"Sample Watch",IF(E563&gt;=START_HERE!$B$31,"Explosive Alert",IF(J563&gt;=80,"Strong Candidate",IF(J563&gt;=65,"Good Candidate",IF(J563&gt;=50,"Mixed / Review","Problem Call")))))))</f>
        <v>Sample Watch</v>
      </c>
      <c r="L563" s="9" t="str">
        <f>IF(COUNTIFS('DEF_SELF_SCOUT_IMPORT'!$L$42:$L$1040,"Y",'DEF_SELF_SCOUT_IMPORT'!$E$42:$E$1040,SUBSTITUTE(SUBSTITUTE(SUBSTITUTE($B563,"~","~~"),"*","~*"),"?","~?"),'DEF_SELF_SCOUT_IMPORT'!$Q$42:$Q$1040,SUBSTITUTE(SUBSTITUTE(SUBSTITUTE($M563,"~","~~"),"*","~*"),"?","~?"),'DEF_SELF_SCOUT_IMPORT'!$G$42:$G$1040,SUBSTITUTE(SUBSTITUTE(SUBSTITUTE($O563,"~","~~"),"*","~*"),"?","~?"),'DEF_SELF_SCOUT_IMPORT'!$J$42:$J$1040,"")&gt;0,"Unscored clean outcome; review result tags before using score.",IF(C563=0,"No matching defensive reps; film confirmation needed.",IF(K563="Explosive Alert","Explosive risk; review clips before using as answer.",IF(C563&lt;=2,"Track only; not enough sample.",IF(C563=3,IF(E563&gt;0,"Sample watch with explosive exposure; review clips and build the sample.",IF(J563&gt;=65,"Good signal, but sample is limited.","Sample watch; review clips and build the sample.")),IF(K563="Problem Call","Problem area; practice or call-sheet review.",IF(K563="Strong Candidate","Strong call-fit candidate; confirm on film.",IF(K563="Good Candidate","Good call-fit signal; confirm on film.","Mixed signal; review fit and execution on film."))))))))</f>
        <v>Good signal, but sample is limited.</v>
      </c>
      <c r="M563" s="8" t="s">
        <v>115</v>
      </c>
      <c r="N563" s="8"/>
      <c r="O563" s="8" t="s">
        <v>203</v>
      </c>
      <c r="P563" s="8"/>
      <c r="Q563" s="8"/>
      <c r="R563" s="8" t="s">
        <v>28</v>
      </c>
      <c r="S563" s="2" t="s">
        <v>280</v>
      </c>
      <c r="T563" s="2">
        <f>IF(C563=0,0,IF(C563&gt;=CALL_LOOKUP_BOARD!$B$7,IF(OR(K563="Problem Call",K563="Explosive Alert"),10000000,20000000),0)+IF(C563&gt;=CALL_LOOKUP_BOARD!$B$7,J563*1000+MIN(C563,999),C563*1000+J563)+0.00981100)</f>
        <v>3072.009811</v>
      </c>
      <c r="U563" s="2">
        <f>IF(C563=0,"",IF(COUNTIFS($S$375:$S$581,SUBSTITUTE(SUBSTITUTE(SUBSTITUTE(S563,"~","~~"),"*","~*"),"?","~?"),$T$375:$T$581,"&gt;"&amp;T563)=0,S563,""))</f>
        <v/>
      </c>
    </row>
    <row r="564" spans="1:21" ht="38" customHeight="1">
      <c r="A564" s="8" t="s">
        <v>279</v>
      </c>
      <c r="B564" s="8" t="s">
        <v>60</v>
      </c>
      <c r="C564" s="12">
        <f>COUNTIFS('DEF_SELF_SCOUT_IMPORT'!$L$42:$L$1040,"Y",'DEF_SELF_SCOUT_IMPORT'!$E$42:$E$1040,SUBSTITUTE(SUBSTITUTE(SUBSTITUTE($B564,"~","~~"),"*","~*"),"?","~?"),'DEF_SELF_SCOUT_IMPORT'!$Q$42:$Q$1040,SUBSTITUTE(SUBSTITUTE(SUBSTITUTE($M564,"~","~~"),"*","~*"),"?","~?"),'DEF_SELF_SCOUT_IMPORT'!$G$42:$G$1040,SUBSTITUTE(SUBSTITUTE(SUBSTITUTE($O564,"~","~~"),"*","~*"),"?","~?"))</f>
        <v>2</v>
      </c>
      <c r="D564" s="10">
        <f>IF($C564=0,"",SUMIFS('DEF_SELF_SCOUT_IMPORT'!$J$42:$J$1040,'DEF_SELF_SCOUT_IMPORT'!$L$42:$L$1040,"Y",'DEF_SELF_SCOUT_IMPORT'!$E$42:$E$1040,SUBSTITUTE(SUBSTITUTE(SUBSTITUTE($B564,"~","~~"),"*","~*"),"?","~?"),'DEF_SELF_SCOUT_IMPORT'!$Q$42:$Q$1040,SUBSTITUTE(SUBSTITUTE(SUBSTITUTE($M564,"~","~~"),"*","~*"),"?","~?"),'DEF_SELF_SCOUT_IMPORT'!$G$42:$G$1040,SUBSTITUTE(SUBSTITUTE(SUBSTITUTE($O564,"~","~~"),"*","~*"),"?","~?"))/$C564)</f>
        <v>1.0</v>
      </c>
      <c r="E564" s="10">
        <f>IF($C564=0,"",SUMIFS('DEF_SELF_SCOUT_IMPORT'!$K$42:$K$1040,'DEF_SELF_SCOUT_IMPORT'!$L$42:$L$1040,"Y",'DEF_SELF_SCOUT_IMPORT'!$E$42:$E$1040,SUBSTITUTE(SUBSTITUTE(SUBSTITUTE($B564,"~","~~"),"*","~*"),"?","~?"),'DEF_SELF_SCOUT_IMPORT'!$Q$42:$Q$1040,SUBSTITUTE(SUBSTITUTE(SUBSTITUTE($M564,"~","~~"),"*","~*"),"?","~?"),'DEF_SELF_SCOUT_IMPORT'!$G$42:$G$1040,SUBSTITUTE(SUBSTITUTE(SUBSTITUTE($O564,"~","~~"),"*","~*"),"?","~?"))/$C564)</f>
        <v>0.0</v>
      </c>
      <c r="F564" s="11">
        <f>IF($C564=0,"",AVERAGEIFS('DEF_SELF_SCOUT_IMPORT'!$I$42:$I$1040,'DEF_SELF_SCOUT_IMPORT'!$L$42:$L$1040,"Y",'DEF_SELF_SCOUT_IMPORT'!$E$42:$E$1040,SUBSTITUTE(SUBSTITUTE(SUBSTITUTE($B564,"~","~~"),"*","~*"),"?","~?"),'DEF_SELF_SCOUT_IMPORT'!$Q$42:$Q$1040,SUBSTITUTE(SUBSTITUTE(SUBSTITUTE($M564,"~","~~"),"*","~*"),"?","~?"),'DEF_SELF_SCOUT_IMPORT'!$G$42:$G$1040,SUBSTITUTE(SUBSTITUTE(SUBSTITUTE($O564,"~","~~"),"*","~*"),"?","~?")))</f>
        <v>0.5</v>
      </c>
      <c r="G564" s="10">
        <f>IF($C564=0,"",COUNTIFS('DEF_SELF_SCOUT_IMPORT'!$L$42:$L$1040,"Y",'DEF_SELF_SCOUT_IMPORT'!$E$42:$E$1040,SUBSTITUTE(SUBSTITUTE(SUBSTITUTE($B564,"~","~~"),"*","~*"),"?","~?"),'DEF_SELF_SCOUT_IMPORT'!$Q$42:$Q$1040,SUBSTITUTE(SUBSTITUTE(SUBSTITUTE($M564,"~","~~"),"*","~*"),"?","~?"),'DEF_SELF_SCOUT_IMPORT'!$G$42:$G$1040,SUBSTITUTE(SUBSTITUTE(SUBSTITUTE($O564,"~","~~"),"*","~*"),"?","~?"),'DEF_SELF_SCOUT_IMPORT'!$H$42:$H$1040,"RUSH")/$C564)</f>
        <v>0.5</v>
      </c>
      <c r="H564" s="10">
        <f>IF($C564=0,"",COUNTIFS('DEF_SELF_SCOUT_IMPORT'!$L$42:$L$1040,"Y",'DEF_SELF_SCOUT_IMPORT'!$E$42:$E$1040,SUBSTITUTE(SUBSTITUTE(SUBSTITUTE($B564,"~","~~"),"*","~*"),"?","~?"),'DEF_SELF_SCOUT_IMPORT'!$Q$42:$Q$1040,SUBSTITUTE(SUBSTITUTE(SUBSTITUTE($M564,"~","~~"),"*","~*"),"?","~?"),'DEF_SELF_SCOUT_IMPORT'!$G$42:$G$1040,SUBSTITUTE(SUBSTITUTE(SUBSTITUTE($O564,"~","~~"),"*","~*"),"?","~?"),'DEF_SELF_SCOUT_IMPORT'!$H$42:$H$1040,"DROPBACK")/$C564)</f>
        <v>0.5</v>
      </c>
      <c r="I564" s="14" t="str">
        <f>IF(C564=0,"",IF(C564&lt;=2,"TRACK",IF(C564=3,"LOW",IF(C564&lt;=6,"MEDIUM","HIGH"))))</f>
        <v>TRACK</v>
      </c>
      <c r="J564" s="11">
        <f>IF(C564=0,"",ROUND(D564*70+(1-E564)*20+MAX(0,MIN(1,(10-F564)/10))*10,1))</f>
        <v>99.5</v>
      </c>
      <c r="K564" s="14" t="str">
        <f>IF(C564=0,"No Evidence",IF(C564&lt;=2,IF(E564&gt;0,"Explosive Alert","Track Only"),IF(C564=3,"Sample Watch",IF(E564&gt;=START_HERE!$B$31,"Explosive Alert",IF(J564&gt;=80,"Strong Candidate",IF(J564&gt;=65,"Good Candidate",IF(J564&gt;=50,"Mixed / Review","Problem Call")))))))</f>
        <v>Track Only</v>
      </c>
      <c r="L564" s="9" t="str">
        <f>IF(COUNTIFS('DEF_SELF_SCOUT_IMPORT'!$L$42:$L$1040,"Y",'DEF_SELF_SCOUT_IMPORT'!$E$42:$E$1040,SUBSTITUTE(SUBSTITUTE(SUBSTITUTE($B564,"~","~~"),"*","~*"),"?","~?"),'DEF_SELF_SCOUT_IMPORT'!$Q$42:$Q$1040,SUBSTITUTE(SUBSTITUTE(SUBSTITUTE($M564,"~","~~"),"*","~*"),"?","~?"),'DEF_SELF_SCOUT_IMPORT'!$G$42:$G$1040,SUBSTITUTE(SUBSTITUTE(SUBSTITUTE($O564,"~","~~"),"*","~*"),"?","~?"),'DEF_SELF_SCOUT_IMPORT'!$J$42:$J$1040,"")&gt;0,"Unscored clean outcome; review result tags before using score.",IF(C564=0,"No matching defensive reps; film confirmation needed.",IF(K564="Explosive Alert","Explosive risk; review clips before using as answer.",IF(C564&lt;=2,"Track only; not enough sample.",IF(C564=3,IF(E564&gt;0,"Sample watch with explosive exposure; review clips and build the sample.",IF(J564&gt;=65,"Good signal, but sample is limited.","Sample watch; review clips and build the sample.")),IF(K564="Problem Call","Problem area; practice or call-sheet review.",IF(K564="Strong Candidate","Strong call-fit candidate; confirm on film.",IF(K564="Good Candidate","Good call-fit signal; confirm on film.","Mixed signal; review fit and execution on film."))))))))</f>
        <v>Track only; not enough sample.</v>
      </c>
      <c r="M564" s="8" t="s">
        <v>115</v>
      </c>
      <c r="N564" s="8"/>
      <c r="O564" s="8" t="s">
        <v>203</v>
      </c>
      <c r="P564" s="8"/>
      <c r="Q564" s="8"/>
      <c r="R564" s="8" t="s">
        <v>28</v>
      </c>
      <c r="S564" s="2" t="s">
        <v>280</v>
      </c>
      <c r="T564" s="2">
        <f>IF(C564=0,0,IF(C564&gt;=CALL_LOOKUP_BOARD!$B$7,IF(OR(K564="Problem Call",K564="Explosive Alert"),10000000,20000000),0)+IF(C564&gt;=CALL_LOOKUP_BOARD!$B$7,J564*1000+MIN(C564,999),C564*1000+J564)+0.00981000)</f>
        <v>2099.50981</v>
      </c>
      <c r="U564" s="2">
        <f>IF(C564=0,"",IF(COUNTIFS($S$375:$S$581,SUBSTITUTE(SUBSTITUTE(SUBSTITUTE(S564,"~","~~"),"*","~*"),"?","~?"),$T$375:$T$581,"&gt;"&amp;T564)=0,S564,""))</f>
        <v/>
      </c>
    </row>
    <row r="565" spans="1:21" ht="38" customHeight="1">
      <c r="A565" s="8" t="s">
        <v>279</v>
      </c>
      <c r="B565" s="8" t="s">
        <v>73</v>
      </c>
      <c r="C565" s="12">
        <f>COUNTIFS('DEF_SELF_SCOUT_IMPORT'!$L$42:$L$1040,"Y",'DEF_SELF_SCOUT_IMPORT'!$E$42:$E$1040,SUBSTITUTE(SUBSTITUTE(SUBSTITUTE($B565,"~","~~"),"*","~*"),"?","~?"),'DEF_SELF_SCOUT_IMPORT'!$Q$42:$Q$1040,SUBSTITUTE(SUBSTITUTE(SUBSTITUTE($M565,"~","~~"),"*","~*"),"?","~?"),'DEF_SELF_SCOUT_IMPORT'!$G$42:$G$1040,SUBSTITUTE(SUBSTITUTE(SUBSTITUTE($O565,"~","~~"),"*","~*"),"?","~?"))</f>
        <v>1</v>
      </c>
      <c r="D565" s="10">
        <f>IF($C565=0,"",SUMIFS('DEF_SELF_SCOUT_IMPORT'!$J$42:$J$1040,'DEF_SELF_SCOUT_IMPORT'!$L$42:$L$1040,"Y",'DEF_SELF_SCOUT_IMPORT'!$E$42:$E$1040,SUBSTITUTE(SUBSTITUTE(SUBSTITUTE($B565,"~","~~"),"*","~*"),"?","~?"),'DEF_SELF_SCOUT_IMPORT'!$Q$42:$Q$1040,SUBSTITUTE(SUBSTITUTE(SUBSTITUTE($M565,"~","~~"),"*","~*"),"?","~?"),'DEF_SELF_SCOUT_IMPORT'!$G$42:$G$1040,SUBSTITUTE(SUBSTITUTE(SUBSTITUTE($O565,"~","~~"),"*","~*"),"?","~?"))/$C565)</f>
        <v>1.0</v>
      </c>
      <c r="E565" s="10">
        <f>IF($C565=0,"",SUMIFS('DEF_SELF_SCOUT_IMPORT'!$K$42:$K$1040,'DEF_SELF_SCOUT_IMPORT'!$L$42:$L$1040,"Y",'DEF_SELF_SCOUT_IMPORT'!$E$42:$E$1040,SUBSTITUTE(SUBSTITUTE(SUBSTITUTE($B565,"~","~~"),"*","~*"),"?","~?"),'DEF_SELF_SCOUT_IMPORT'!$Q$42:$Q$1040,SUBSTITUTE(SUBSTITUTE(SUBSTITUTE($M565,"~","~~"),"*","~*"),"?","~?"),'DEF_SELF_SCOUT_IMPORT'!$G$42:$G$1040,SUBSTITUTE(SUBSTITUTE(SUBSTITUTE($O565,"~","~~"),"*","~*"),"?","~?"))/$C565)</f>
        <v>0.0</v>
      </c>
      <c r="F565" s="11">
        <f>IF($C565=0,"",AVERAGEIFS('DEF_SELF_SCOUT_IMPORT'!$I$42:$I$1040,'DEF_SELF_SCOUT_IMPORT'!$L$42:$L$1040,"Y",'DEF_SELF_SCOUT_IMPORT'!$E$42:$E$1040,SUBSTITUTE(SUBSTITUTE(SUBSTITUTE($B565,"~","~~"),"*","~*"),"?","~?"),'DEF_SELF_SCOUT_IMPORT'!$Q$42:$Q$1040,SUBSTITUTE(SUBSTITUTE(SUBSTITUTE($M565,"~","~~"),"*","~*"),"?","~?"),'DEF_SELF_SCOUT_IMPORT'!$G$42:$G$1040,SUBSTITUTE(SUBSTITUTE(SUBSTITUTE($O565,"~","~~"),"*","~*"),"?","~?")))</f>
        <v>0.0</v>
      </c>
      <c r="G565" s="10">
        <f>IF($C565=0,"",COUNTIFS('DEF_SELF_SCOUT_IMPORT'!$L$42:$L$1040,"Y",'DEF_SELF_SCOUT_IMPORT'!$E$42:$E$1040,SUBSTITUTE(SUBSTITUTE(SUBSTITUTE($B565,"~","~~"),"*","~*"),"?","~?"),'DEF_SELF_SCOUT_IMPORT'!$Q$42:$Q$1040,SUBSTITUTE(SUBSTITUTE(SUBSTITUTE($M565,"~","~~"),"*","~*"),"?","~?"),'DEF_SELF_SCOUT_IMPORT'!$G$42:$G$1040,SUBSTITUTE(SUBSTITUTE(SUBSTITUTE($O565,"~","~~"),"*","~*"),"?","~?"),'DEF_SELF_SCOUT_IMPORT'!$H$42:$H$1040,"RUSH")/$C565)</f>
        <v>0.0</v>
      </c>
      <c r="H565" s="10">
        <f>IF($C565=0,"",COUNTIFS('DEF_SELF_SCOUT_IMPORT'!$L$42:$L$1040,"Y",'DEF_SELF_SCOUT_IMPORT'!$E$42:$E$1040,SUBSTITUTE(SUBSTITUTE(SUBSTITUTE($B565,"~","~~"),"*","~*"),"?","~?"),'DEF_SELF_SCOUT_IMPORT'!$Q$42:$Q$1040,SUBSTITUTE(SUBSTITUTE(SUBSTITUTE($M565,"~","~~"),"*","~*"),"?","~?"),'DEF_SELF_SCOUT_IMPORT'!$G$42:$G$1040,SUBSTITUTE(SUBSTITUTE(SUBSTITUTE($O565,"~","~~"),"*","~*"),"?","~?"),'DEF_SELF_SCOUT_IMPORT'!$H$42:$H$1040,"DROPBACK")/$C565)</f>
        <v>1.0</v>
      </c>
      <c r="I565" s="14" t="str">
        <f>IF(C565=0,"",IF(C565&lt;=2,"TRACK",IF(C565=3,"LOW",IF(C565&lt;=6,"MEDIUM","HIGH"))))</f>
        <v>TRACK</v>
      </c>
      <c r="J565" s="11">
        <f>IF(C565=0,"",ROUND(D565*70+(1-E565)*20+MAX(0,MIN(1,(10-F565)/10))*10,1))</f>
        <v>100.0</v>
      </c>
      <c r="K565" s="14" t="str">
        <f>IF(C565=0,"No Evidence",IF(C565&lt;=2,IF(E565&gt;0,"Explosive Alert","Track Only"),IF(C565=3,"Sample Watch",IF(E565&gt;=START_HERE!$B$31,"Explosive Alert",IF(J565&gt;=80,"Strong Candidate",IF(J565&gt;=65,"Good Candidate",IF(J565&gt;=50,"Mixed / Review","Problem Call")))))))</f>
        <v>Track Only</v>
      </c>
      <c r="L565" s="9" t="str">
        <f>IF(COUNTIFS('DEF_SELF_SCOUT_IMPORT'!$L$42:$L$1040,"Y",'DEF_SELF_SCOUT_IMPORT'!$E$42:$E$1040,SUBSTITUTE(SUBSTITUTE(SUBSTITUTE($B565,"~","~~"),"*","~*"),"?","~?"),'DEF_SELF_SCOUT_IMPORT'!$Q$42:$Q$1040,SUBSTITUTE(SUBSTITUTE(SUBSTITUTE($M565,"~","~~"),"*","~*"),"?","~?"),'DEF_SELF_SCOUT_IMPORT'!$G$42:$G$1040,SUBSTITUTE(SUBSTITUTE(SUBSTITUTE($O565,"~","~~"),"*","~*"),"?","~?"),'DEF_SELF_SCOUT_IMPORT'!$J$42:$J$1040,"")&gt;0,"Unscored clean outcome; review result tags before using score.",IF(C565=0,"No matching defensive reps; film confirmation needed.",IF(K565="Explosive Alert","Explosive risk; review clips before using as answer.",IF(C565&lt;=2,"Track only; not enough sample.",IF(C565=3,IF(E565&gt;0,"Sample watch with explosive exposure; review clips and build the sample.",IF(J565&gt;=65,"Good signal, but sample is limited.","Sample watch; review clips and build the sample.")),IF(K565="Problem Call","Problem area; practice or call-sheet review.",IF(K565="Strong Candidate","Strong call-fit candidate; confirm on film.",IF(K565="Good Candidate","Good call-fit signal; confirm on film.","Mixed signal; review fit and execution on film."))))))))</f>
        <v>Track only; not enough sample.</v>
      </c>
      <c r="M565" s="8" t="s">
        <v>115</v>
      </c>
      <c r="N565" s="8"/>
      <c r="O565" s="8" t="s">
        <v>203</v>
      </c>
      <c r="P565" s="8"/>
      <c r="Q565" s="8"/>
      <c r="R565" s="8" t="s">
        <v>28</v>
      </c>
      <c r="S565" s="2" t="s">
        <v>280</v>
      </c>
      <c r="T565" s="2">
        <f>IF(C565=0,0,IF(C565&gt;=CALL_LOOKUP_BOARD!$B$7,IF(OR(K565="Problem Call",K565="Explosive Alert"),10000000,20000000),0)+IF(C565&gt;=CALL_LOOKUP_BOARD!$B$7,J565*1000+MIN(C565,999),C565*1000+J565)+0.00980900)</f>
        <v>1100.009809</v>
      </c>
      <c r="U565" s="2">
        <f>IF(C565=0,"",IF(COUNTIFS($S$375:$S$581,SUBSTITUTE(SUBSTITUTE(SUBSTITUTE(S565,"~","~~"),"*","~*"),"?","~?"),$T$375:$T$581,"&gt;"&amp;T565)=0,S565,""))</f>
        <v/>
      </c>
    </row>
    <row r="566" spans="1:21" ht="38" customHeight="1">
      <c r="A566" s="8" t="s">
        <v>279</v>
      </c>
      <c r="B566" s="8" t="s">
        <v>63</v>
      </c>
      <c r="C566" s="12">
        <f>COUNTIFS('DEF_SELF_SCOUT_IMPORT'!$L$42:$L$1040,"Y",'DEF_SELF_SCOUT_IMPORT'!$E$42:$E$1040,SUBSTITUTE(SUBSTITUTE(SUBSTITUTE($B566,"~","~~"),"*","~*"),"?","~?"),'DEF_SELF_SCOUT_IMPORT'!$Q$42:$Q$1040,SUBSTITUTE(SUBSTITUTE(SUBSTITUTE($M566,"~","~~"),"*","~*"),"?","~?"),'DEF_SELF_SCOUT_IMPORT'!$G$42:$G$1040,SUBSTITUTE(SUBSTITUTE(SUBSTITUTE($O566,"~","~~"),"*","~*"),"?","~?"))</f>
        <v>1</v>
      </c>
      <c r="D566" s="10">
        <f>IF($C566=0,"",SUMIFS('DEF_SELF_SCOUT_IMPORT'!$J$42:$J$1040,'DEF_SELF_SCOUT_IMPORT'!$L$42:$L$1040,"Y",'DEF_SELF_SCOUT_IMPORT'!$E$42:$E$1040,SUBSTITUTE(SUBSTITUTE(SUBSTITUTE($B566,"~","~~"),"*","~*"),"?","~?"),'DEF_SELF_SCOUT_IMPORT'!$Q$42:$Q$1040,SUBSTITUTE(SUBSTITUTE(SUBSTITUTE($M566,"~","~~"),"*","~*"),"?","~?"),'DEF_SELF_SCOUT_IMPORT'!$G$42:$G$1040,SUBSTITUTE(SUBSTITUTE(SUBSTITUTE($O566,"~","~~"),"*","~*"),"?","~?"))/$C566)</f>
        <v>0.0</v>
      </c>
      <c r="E566" s="10">
        <f>IF($C566=0,"",SUMIFS('DEF_SELF_SCOUT_IMPORT'!$K$42:$K$1040,'DEF_SELF_SCOUT_IMPORT'!$L$42:$L$1040,"Y",'DEF_SELF_SCOUT_IMPORT'!$E$42:$E$1040,SUBSTITUTE(SUBSTITUTE(SUBSTITUTE($B566,"~","~~"),"*","~*"),"?","~?"),'DEF_SELF_SCOUT_IMPORT'!$Q$42:$Q$1040,SUBSTITUTE(SUBSTITUTE(SUBSTITUTE($M566,"~","~~"),"*","~*"),"?","~?"),'DEF_SELF_SCOUT_IMPORT'!$G$42:$G$1040,SUBSTITUTE(SUBSTITUTE(SUBSTITUTE($O566,"~","~~"),"*","~*"),"?","~?"))/$C566)</f>
        <v>0.0</v>
      </c>
      <c r="F566" s="11">
        <f>IF($C566=0,"",AVERAGEIFS('DEF_SELF_SCOUT_IMPORT'!$I$42:$I$1040,'DEF_SELF_SCOUT_IMPORT'!$L$42:$L$1040,"Y",'DEF_SELF_SCOUT_IMPORT'!$E$42:$E$1040,SUBSTITUTE(SUBSTITUTE(SUBSTITUTE($B566,"~","~~"),"*","~*"),"?","~?"),'DEF_SELF_SCOUT_IMPORT'!$Q$42:$Q$1040,SUBSTITUTE(SUBSTITUTE(SUBSTITUTE($M566,"~","~~"),"*","~*"),"?","~?"),'DEF_SELF_SCOUT_IMPORT'!$G$42:$G$1040,SUBSTITUTE(SUBSTITUTE(SUBSTITUTE($O566,"~","~~"),"*","~*"),"?","~?")))</f>
        <v>7.0</v>
      </c>
      <c r="G566" s="10">
        <f>IF($C566=0,"",COUNTIFS('DEF_SELF_SCOUT_IMPORT'!$L$42:$L$1040,"Y",'DEF_SELF_SCOUT_IMPORT'!$E$42:$E$1040,SUBSTITUTE(SUBSTITUTE(SUBSTITUTE($B566,"~","~~"),"*","~*"),"?","~?"),'DEF_SELF_SCOUT_IMPORT'!$Q$42:$Q$1040,SUBSTITUTE(SUBSTITUTE(SUBSTITUTE($M566,"~","~~"),"*","~*"),"?","~?"),'DEF_SELF_SCOUT_IMPORT'!$G$42:$G$1040,SUBSTITUTE(SUBSTITUTE(SUBSTITUTE($O566,"~","~~"),"*","~*"),"?","~?"),'DEF_SELF_SCOUT_IMPORT'!$H$42:$H$1040,"RUSH")/$C566)</f>
        <v>1.0</v>
      </c>
      <c r="H566" s="10">
        <f>IF($C566=0,"",COUNTIFS('DEF_SELF_SCOUT_IMPORT'!$L$42:$L$1040,"Y",'DEF_SELF_SCOUT_IMPORT'!$E$42:$E$1040,SUBSTITUTE(SUBSTITUTE(SUBSTITUTE($B566,"~","~~"),"*","~*"),"?","~?"),'DEF_SELF_SCOUT_IMPORT'!$Q$42:$Q$1040,SUBSTITUTE(SUBSTITUTE(SUBSTITUTE($M566,"~","~~"),"*","~*"),"?","~?"),'DEF_SELF_SCOUT_IMPORT'!$G$42:$G$1040,SUBSTITUTE(SUBSTITUTE(SUBSTITUTE($O566,"~","~~"),"*","~*"),"?","~?"),'DEF_SELF_SCOUT_IMPORT'!$H$42:$H$1040,"DROPBACK")/$C566)</f>
        <v>0.0</v>
      </c>
      <c r="I566" s="14" t="str">
        <f>IF(C566=0,"",IF(C566&lt;=2,"TRACK",IF(C566=3,"LOW",IF(C566&lt;=6,"MEDIUM","HIGH"))))</f>
        <v>TRACK</v>
      </c>
      <c r="J566" s="11">
        <f>IF(C566=0,"",ROUND(D566*70+(1-E566)*20+MAX(0,MIN(1,(10-F566)/10))*10,1))</f>
        <v>23.0</v>
      </c>
      <c r="K566" s="14" t="str">
        <f>IF(C566=0,"No Evidence",IF(C566&lt;=2,IF(E566&gt;0,"Explosive Alert","Track Only"),IF(C566=3,"Sample Watch",IF(E566&gt;=START_HERE!$B$31,"Explosive Alert",IF(J566&gt;=80,"Strong Candidate",IF(J566&gt;=65,"Good Candidate",IF(J566&gt;=50,"Mixed / Review","Problem Call")))))))</f>
        <v>Track Only</v>
      </c>
      <c r="L566" s="9" t="str">
        <f>IF(COUNTIFS('DEF_SELF_SCOUT_IMPORT'!$L$42:$L$1040,"Y",'DEF_SELF_SCOUT_IMPORT'!$E$42:$E$1040,SUBSTITUTE(SUBSTITUTE(SUBSTITUTE($B566,"~","~~"),"*","~*"),"?","~?"),'DEF_SELF_SCOUT_IMPORT'!$Q$42:$Q$1040,SUBSTITUTE(SUBSTITUTE(SUBSTITUTE($M566,"~","~~"),"*","~*"),"?","~?"),'DEF_SELF_SCOUT_IMPORT'!$G$42:$G$1040,SUBSTITUTE(SUBSTITUTE(SUBSTITUTE($O566,"~","~~"),"*","~*"),"?","~?"),'DEF_SELF_SCOUT_IMPORT'!$J$42:$J$1040,"")&gt;0,"Unscored clean outcome; review result tags before using score.",IF(C566=0,"No matching defensive reps; film confirmation needed.",IF(K566="Explosive Alert","Explosive risk; review clips before using as answer.",IF(C566&lt;=2,"Track only; not enough sample.",IF(C566=3,IF(E566&gt;0,"Sample watch with explosive exposure; review clips and build the sample.",IF(J566&gt;=65,"Good signal, but sample is limited.","Sample watch; review clips and build the sample.")),IF(K566="Problem Call","Problem area; practice or call-sheet review.",IF(K566="Strong Candidate","Strong call-fit candidate; confirm on film.",IF(K566="Good Candidate","Good call-fit signal; confirm on film.","Mixed signal; review fit and execution on film."))))))))</f>
        <v>Track only; not enough sample.</v>
      </c>
      <c r="M566" s="8" t="s">
        <v>115</v>
      </c>
      <c r="N566" s="8"/>
      <c r="O566" s="8" t="s">
        <v>203</v>
      </c>
      <c r="P566" s="8"/>
      <c r="Q566" s="8"/>
      <c r="R566" s="8" t="s">
        <v>28</v>
      </c>
      <c r="S566" s="2" t="s">
        <v>280</v>
      </c>
      <c r="T566" s="2">
        <f>IF(C566=0,0,IF(C566&gt;=CALL_LOOKUP_BOARD!$B$7,IF(OR(K566="Problem Call",K566="Explosive Alert"),10000000,20000000),0)+IF(C566&gt;=CALL_LOOKUP_BOARD!$B$7,J566*1000+MIN(C566,999),C566*1000+J566)+0.00980800)</f>
        <v>1023.009808</v>
      </c>
      <c r="U566" s="2">
        <f>IF(C566=0,"",IF(COUNTIFS($S$375:$S$581,SUBSTITUTE(SUBSTITUTE(SUBSTITUTE(S566,"~","~~"),"*","~*"),"?","~?"),$T$375:$T$581,"&gt;"&amp;T566)=0,S566,""))</f>
        <v/>
      </c>
    </row>
    <row r="567" spans="1:21" ht="38" customHeight="1">
      <c r="A567" s="8" t="s">
        <v>279</v>
      </c>
      <c r="B567" s="8" t="s">
        <v>67</v>
      </c>
      <c r="C567" s="12">
        <f>COUNTIFS('DEF_SELF_SCOUT_IMPORT'!$L$42:$L$1040,"Y",'DEF_SELF_SCOUT_IMPORT'!$E$42:$E$1040,SUBSTITUTE(SUBSTITUTE(SUBSTITUTE($B567,"~","~~"),"*","~*"),"?","~?"),'DEF_SELF_SCOUT_IMPORT'!$Q$42:$Q$1040,SUBSTITUTE(SUBSTITUTE(SUBSTITUTE($M567,"~","~~"),"*","~*"),"?","~?"),'DEF_SELF_SCOUT_IMPORT'!$G$42:$G$1040,SUBSTITUTE(SUBSTITUTE(SUBSTITUTE($O567,"~","~~"),"*","~*"),"?","~?"))</f>
        <v>1</v>
      </c>
      <c r="D567" s="10">
        <f>IF($C567=0,"",SUMIFS('DEF_SELF_SCOUT_IMPORT'!$J$42:$J$1040,'DEF_SELF_SCOUT_IMPORT'!$L$42:$L$1040,"Y",'DEF_SELF_SCOUT_IMPORT'!$E$42:$E$1040,SUBSTITUTE(SUBSTITUTE(SUBSTITUTE($B567,"~","~~"),"*","~*"),"?","~?"),'DEF_SELF_SCOUT_IMPORT'!$Q$42:$Q$1040,SUBSTITUTE(SUBSTITUTE(SUBSTITUTE($M567,"~","~~"),"*","~*"),"?","~?"),'DEF_SELF_SCOUT_IMPORT'!$G$42:$G$1040,SUBSTITUTE(SUBSTITUTE(SUBSTITUTE($O567,"~","~~"),"*","~*"),"?","~?"))/$C567)</f>
        <v>1.0</v>
      </c>
      <c r="E567" s="10">
        <f>IF($C567=0,"",SUMIFS('DEF_SELF_SCOUT_IMPORT'!$K$42:$K$1040,'DEF_SELF_SCOUT_IMPORT'!$L$42:$L$1040,"Y",'DEF_SELF_SCOUT_IMPORT'!$E$42:$E$1040,SUBSTITUTE(SUBSTITUTE(SUBSTITUTE($B567,"~","~~"),"*","~*"),"?","~?"),'DEF_SELF_SCOUT_IMPORT'!$Q$42:$Q$1040,SUBSTITUTE(SUBSTITUTE(SUBSTITUTE($M567,"~","~~"),"*","~*"),"?","~?"),'DEF_SELF_SCOUT_IMPORT'!$G$42:$G$1040,SUBSTITUTE(SUBSTITUTE(SUBSTITUTE($O567,"~","~~"),"*","~*"),"?","~?"))/$C567)</f>
        <v>0.0</v>
      </c>
      <c r="F567" s="11">
        <f>IF($C567=0,"",AVERAGEIFS('DEF_SELF_SCOUT_IMPORT'!$I$42:$I$1040,'DEF_SELF_SCOUT_IMPORT'!$L$42:$L$1040,"Y",'DEF_SELF_SCOUT_IMPORT'!$E$42:$E$1040,SUBSTITUTE(SUBSTITUTE(SUBSTITUTE($B567,"~","~~"),"*","~*"),"?","~?"),'DEF_SELF_SCOUT_IMPORT'!$Q$42:$Q$1040,SUBSTITUTE(SUBSTITUTE(SUBSTITUTE($M567,"~","~~"),"*","~*"),"?","~?"),'DEF_SELF_SCOUT_IMPORT'!$G$42:$G$1040,SUBSTITUTE(SUBSTITUTE(SUBSTITUTE($O567,"~","~~"),"*","~*"),"?","~?")))</f>
        <v>3.0</v>
      </c>
      <c r="G567" s="10">
        <f>IF($C567=0,"",COUNTIFS('DEF_SELF_SCOUT_IMPORT'!$L$42:$L$1040,"Y",'DEF_SELF_SCOUT_IMPORT'!$E$42:$E$1040,SUBSTITUTE(SUBSTITUTE(SUBSTITUTE($B567,"~","~~"),"*","~*"),"?","~?"),'DEF_SELF_SCOUT_IMPORT'!$Q$42:$Q$1040,SUBSTITUTE(SUBSTITUTE(SUBSTITUTE($M567,"~","~~"),"*","~*"),"?","~?"),'DEF_SELF_SCOUT_IMPORT'!$G$42:$G$1040,SUBSTITUTE(SUBSTITUTE(SUBSTITUTE($O567,"~","~~"),"*","~*"),"?","~?"),'DEF_SELF_SCOUT_IMPORT'!$H$42:$H$1040,"RUSH")/$C567)</f>
        <v>1.0</v>
      </c>
      <c r="H567" s="10">
        <f>IF($C567=0,"",COUNTIFS('DEF_SELF_SCOUT_IMPORT'!$L$42:$L$1040,"Y",'DEF_SELF_SCOUT_IMPORT'!$E$42:$E$1040,SUBSTITUTE(SUBSTITUTE(SUBSTITUTE($B567,"~","~~"),"*","~*"),"?","~?"),'DEF_SELF_SCOUT_IMPORT'!$Q$42:$Q$1040,SUBSTITUTE(SUBSTITUTE(SUBSTITUTE($M567,"~","~~"),"*","~*"),"?","~?"),'DEF_SELF_SCOUT_IMPORT'!$G$42:$G$1040,SUBSTITUTE(SUBSTITUTE(SUBSTITUTE($O567,"~","~~"),"*","~*"),"?","~?"),'DEF_SELF_SCOUT_IMPORT'!$H$42:$H$1040,"DROPBACK")/$C567)</f>
        <v>0.0</v>
      </c>
      <c r="I567" s="14" t="str">
        <f>IF(C567=0,"",IF(C567&lt;=2,"TRACK",IF(C567=3,"LOW",IF(C567&lt;=6,"MEDIUM","HIGH"))))</f>
        <v>TRACK</v>
      </c>
      <c r="J567" s="11">
        <f>IF(C567=0,"",ROUND(D567*70+(1-E567)*20+MAX(0,MIN(1,(10-F567)/10))*10,1))</f>
        <v>97.0</v>
      </c>
      <c r="K567" s="14" t="str">
        <f>IF(C567=0,"No Evidence",IF(C567&lt;=2,IF(E567&gt;0,"Explosive Alert","Track Only"),IF(C567=3,"Sample Watch",IF(E567&gt;=START_HERE!$B$31,"Explosive Alert",IF(J567&gt;=80,"Strong Candidate",IF(J567&gt;=65,"Good Candidate",IF(J567&gt;=50,"Mixed / Review","Problem Call")))))))</f>
        <v>Track Only</v>
      </c>
      <c r="L567" s="9" t="str">
        <f>IF(COUNTIFS('DEF_SELF_SCOUT_IMPORT'!$L$42:$L$1040,"Y",'DEF_SELF_SCOUT_IMPORT'!$E$42:$E$1040,SUBSTITUTE(SUBSTITUTE(SUBSTITUTE($B567,"~","~~"),"*","~*"),"?","~?"),'DEF_SELF_SCOUT_IMPORT'!$Q$42:$Q$1040,SUBSTITUTE(SUBSTITUTE(SUBSTITUTE($M567,"~","~~"),"*","~*"),"?","~?"),'DEF_SELF_SCOUT_IMPORT'!$G$42:$G$1040,SUBSTITUTE(SUBSTITUTE(SUBSTITUTE($O567,"~","~~"),"*","~*"),"?","~?"),'DEF_SELF_SCOUT_IMPORT'!$J$42:$J$1040,"")&gt;0,"Unscored clean outcome; review result tags before using score.",IF(C567=0,"No matching defensive reps; film confirmation needed.",IF(K567="Explosive Alert","Explosive risk; review clips before using as answer.",IF(C567&lt;=2,"Track only; not enough sample.",IF(C567=3,IF(E567&gt;0,"Sample watch with explosive exposure; review clips and build the sample.",IF(J567&gt;=65,"Good signal, but sample is limited.","Sample watch; review clips and build the sample.")),IF(K567="Problem Call","Problem area; practice or call-sheet review.",IF(K567="Strong Candidate","Strong call-fit candidate; confirm on film.",IF(K567="Good Candidate","Good call-fit signal; confirm on film.","Mixed signal; review fit and execution on film."))))))))</f>
        <v>Track only; not enough sample.</v>
      </c>
      <c r="M567" s="8" t="s">
        <v>115</v>
      </c>
      <c r="N567" s="8"/>
      <c r="O567" s="8" t="s">
        <v>203</v>
      </c>
      <c r="P567" s="8"/>
      <c r="Q567" s="8"/>
      <c r="R567" s="8" t="s">
        <v>28</v>
      </c>
      <c r="S567" s="2" t="s">
        <v>280</v>
      </c>
      <c r="T567" s="2">
        <f>IF(C567=0,0,IF(C567&gt;=CALL_LOOKUP_BOARD!$B$7,IF(OR(K567="Problem Call",K567="Explosive Alert"),10000000,20000000),0)+IF(C567&gt;=CALL_LOOKUP_BOARD!$B$7,J567*1000+MIN(C567,999),C567*1000+J567)+0.00980700)</f>
        <v>1097.009807</v>
      </c>
      <c r="U567" s="2">
        <f>IF(C567=0,"",IF(COUNTIFS($S$375:$S$581,SUBSTITUTE(SUBSTITUTE(SUBSTITUTE(S567,"~","~~"),"*","~*"),"?","~?"),$T$375:$T$581,"&gt;"&amp;T567)=0,S567,""))</f>
        <v/>
      </c>
    </row>
    <row r="568" spans="1:21" ht="38" customHeight="1">
      <c r="A568" s="8" t="s">
        <v>279</v>
      </c>
      <c r="B568" s="8" t="s">
        <v>68</v>
      </c>
      <c r="C568" s="12">
        <f>COUNTIFS('DEF_SELF_SCOUT_IMPORT'!$L$42:$L$1040,"Y",'DEF_SELF_SCOUT_IMPORT'!$E$42:$E$1040,SUBSTITUTE(SUBSTITUTE(SUBSTITUTE($B568,"~","~~"),"*","~*"),"?","~?"),'DEF_SELF_SCOUT_IMPORT'!$Q$42:$Q$1040,SUBSTITUTE(SUBSTITUTE(SUBSTITUTE($M568,"~","~~"),"*","~*"),"?","~?"),'DEF_SELF_SCOUT_IMPORT'!$G$42:$G$1040,SUBSTITUTE(SUBSTITUTE(SUBSTITUTE($O568,"~","~~"),"*","~*"),"?","~?"))</f>
        <v>1</v>
      </c>
      <c r="D568" s="10">
        <f>IF($C568=0,"",SUMIFS('DEF_SELF_SCOUT_IMPORT'!$J$42:$J$1040,'DEF_SELF_SCOUT_IMPORT'!$L$42:$L$1040,"Y",'DEF_SELF_SCOUT_IMPORT'!$E$42:$E$1040,SUBSTITUTE(SUBSTITUTE(SUBSTITUTE($B568,"~","~~"),"*","~*"),"?","~?"),'DEF_SELF_SCOUT_IMPORT'!$Q$42:$Q$1040,SUBSTITUTE(SUBSTITUTE(SUBSTITUTE($M568,"~","~~"),"*","~*"),"?","~?"),'DEF_SELF_SCOUT_IMPORT'!$G$42:$G$1040,SUBSTITUTE(SUBSTITUTE(SUBSTITUTE($O568,"~","~~"),"*","~*"),"?","~?"))/$C568)</f>
        <v>0.0</v>
      </c>
      <c r="E568" s="10">
        <f>IF($C568=0,"",SUMIFS('DEF_SELF_SCOUT_IMPORT'!$K$42:$K$1040,'DEF_SELF_SCOUT_IMPORT'!$L$42:$L$1040,"Y",'DEF_SELF_SCOUT_IMPORT'!$E$42:$E$1040,SUBSTITUTE(SUBSTITUTE(SUBSTITUTE($B568,"~","~~"),"*","~*"),"?","~?"),'DEF_SELF_SCOUT_IMPORT'!$Q$42:$Q$1040,SUBSTITUTE(SUBSTITUTE(SUBSTITUTE($M568,"~","~~"),"*","~*"),"?","~?"),'DEF_SELF_SCOUT_IMPORT'!$G$42:$G$1040,SUBSTITUTE(SUBSTITUTE(SUBSTITUTE($O568,"~","~~"),"*","~*"),"?","~?"))/$C568)</f>
        <v>0.0</v>
      </c>
      <c r="F568" s="11">
        <f>IF($C568=0,"",AVERAGEIFS('DEF_SELF_SCOUT_IMPORT'!$I$42:$I$1040,'DEF_SELF_SCOUT_IMPORT'!$L$42:$L$1040,"Y",'DEF_SELF_SCOUT_IMPORT'!$E$42:$E$1040,SUBSTITUTE(SUBSTITUTE(SUBSTITUTE($B568,"~","~~"),"*","~*"),"?","~?"),'DEF_SELF_SCOUT_IMPORT'!$Q$42:$Q$1040,SUBSTITUTE(SUBSTITUTE(SUBSTITUTE($M568,"~","~~"),"*","~*"),"?","~?"),'DEF_SELF_SCOUT_IMPORT'!$G$42:$G$1040,SUBSTITUTE(SUBSTITUTE(SUBSTITUTE($O568,"~","~~"),"*","~*"),"?","~?")))</f>
        <v>4.0</v>
      </c>
      <c r="G568" s="10">
        <f>IF($C568=0,"",COUNTIFS('DEF_SELF_SCOUT_IMPORT'!$L$42:$L$1040,"Y",'DEF_SELF_SCOUT_IMPORT'!$E$42:$E$1040,SUBSTITUTE(SUBSTITUTE(SUBSTITUTE($B568,"~","~~"),"*","~*"),"?","~?"),'DEF_SELF_SCOUT_IMPORT'!$Q$42:$Q$1040,SUBSTITUTE(SUBSTITUTE(SUBSTITUTE($M568,"~","~~"),"*","~*"),"?","~?"),'DEF_SELF_SCOUT_IMPORT'!$G$42:$G$1040,SUBSTITUTE(SUBSTITUTE(SUBSTITUTE($O568,"~","~~"),"*","~*"),"?","~?"),'DEF_SELF_SCOUT_IMPORT'!$H$42:$H$1040,"RUSH")/$C568)</f>
        <v>1.0</v>
      </c>
      <c r="H568" s="10">
        <f>IF($C568=0,"",COUNTIFS('DEF_SELF_SCOUT_IMPORT'!$L$42:$L$1040,"Y",'DEF_SELF_SCOUT_IMPORT'!$E$42:$E$1040,SUBSTITUTE(SUBSTITUTE(SUBSTITUTE($B568,"~","~~"),"*","~*"),"?","~?"),'DEF_SELF_SCOUT_IMPORT'!$Q$42:$Q$1040,SUBSTITUTE(SUBSTITUTE(SUBSTITUTE($M568,"~","~~"),"*","~*"),"?","~?"),'DEF_SELF_SCOUT_IMPORT'!$G$42:$G$1040,SUBSTITUTE(SUBSTITUTE(SUBSTITUTE($O568,"~","~~"),"*","~*"),"?","~?"),'DEF_SELF_SCOUT_IMPORT'!$H$42:$H$1040,"DROPBACK")/$C568)</f>
        <v>0.0</v>
      </c>
      <c r="I568" s="14" t="str">
        <f>IF(C568=0,"",IF(C568&lt;=2,"TRACK",IF(C568=3,"LOW",IF(C568&lt;=6,"MEDIUM","HIGH"))))</f>
        <v>TRACK</v>
      </c>
      <c r="J568" s="11">
        <f>IF(C568=0,"",ROUND(D568*70+(1-E568)*20+MAX(0,MIN(1,(10-F568)/10))*10,1))</f>
        <v>26.0</v>
      </c>
      <c r="K568" s="14" t="str">
        <f>IF(C568=0,"No Evidence",IF(C568&lt;=2,IF(E568&gt;0,"Explosive Alert","Track Only"),IF(C568=3,"Sample Watch",IF(E568&gt;=START_HERE!$B$31,"Explosive Alert",IF(J568&gt;=80,"Strong Candidate",IF(J568&gt;=65,"Good Candidate",IF(J568&gt;=50,"Mixed / Review","Problem Call")))))))</f>
        <v>Track Only</v>
      </c>
      <c r="L568" s="9" t="str">
        <f>IF(COUNTIFS('DEF_SELF_SCOUT_IMPORT'!$L$42:$L$1040,"Y",'DEF_SELF_SCOUT_IMPORT'!$E$42:$E$1040,SUBSTITUTE(SUBSTITUTE(SUBSTITUTE($B568,"~","~~"),"*","~*"),"?","~?"),'DEF_SELF_SCOUT_IMPORT'!$Q$42:$Q$1040,SUBSTITUTE(SUBSTITUTE(SUBSTITUTE($M568,"~","~~"),"*","~*"),"?","~?"),'DEF_SELF_SCOUT_IMPORT'!$G$42:$G$1040,SUBSTITUTE(SUBSTITUTE(SUBSTITUTE($O568,"~","~~"),"*","~*"),"?","~?"),'DEF_SELF_SCOUT_IMPORT'!$J$42:$J$1040,"")&gt;0,"Unscored clean outcome; review result tags before using score.",IF(C568=0,"No matching defensive reps; film confirmation needed.",IF(K568="Explosive Alert","Explosive risk; review clips before using as answer.",IF(C568&lt;=2,"Track only; not enough sample.",IF(C568=3,IF(E568&gt;0,"Sample watch with explosive exposure; review clips and build the sample.",IF(J568&gt;=65,"Good signal, but sample is limited.","Sample watch; review clips and build the sample.")),IF(K568="Problem Call","Problem area; practice or call-sheet review.",IF(K568="Strong Candidate","Strong call-fit candidate; confirm on film.",IF(K568="Good Candidate","Good call-fit signal; confirm on film.","Mixed signal; review fit and execution on film."))))))))</f>
        <v>Track only; not enough sample.</v>
      </c>
      <c r="M568" s="8" t="s">
        <v>115</v>
      </c>
      <c r="N568" s="8"/>
      <c r="O568" s="8" t="s">
        <v>203</v>
      </c>
      <c r="P568" s="8"/>
      <c r="Q568" s="8"/>
      <c r="R568" s="8" t="s">
        <v>28</v>
      </c>
      <c r="S568" s="2" t="s">
        <v>280</v>
      </c>
      <c r="T568" s="2">
        <f>IF(C568=0,0,IF(C568&gt;=CALL_LOOKUP_BOARD!$B$7,IF(OR(K568="Problem Call",K568="Explosive Alert"),10000000,20000000),0)+IF(C568&gt;=CALL_LOOKUP_BOARD!$B$7,J568*1000+MIN(C568,999),C568*1000+J568)+0.00980600)</f>
        <v>1026.009806</v>
      </c>
      <c r="U568" s="2">
        <f>IF(C568=0,"",IF(COUNTIFS($S$375:$S$581,SUBSTITUTE(SUBSTITUTE(SUBSTITUTE(S568,"~","~~"),"*","~*"),"?","~?"),$T$375:$T$581,"&gt;"&amp;T568)=0,S568,""))</f>
        <v/>
      </c>
    </row>
    <row r="569" spans="1:21" ht="38" customHeight="1">
      <c r="A569" s="8" t="s">
        <v>281</v>
      </c>
      <c r="B569" s="8" t="s">
        <v>43</v>
      </c>
      <c r="C569" s="12">
        <f>COUNTIFS('DEF_SELF_SCOUT_IMPORT'!$L$42:$L$1040,"Y",'DEF_SELF_SCOUT_IMPORT'!$E$42:$E$1040,SUBSTITUTE(SUBSTITUTE(SUBSTITUTE($B569,"~","~~"),"*","~*"),"?","~?"),'DEF_SELF_SCOUT_IMPORT'!$Q$42:$Q$1040,SUBSTITUTE(SUBSTITUTE(SUBSTITUTE($M569,"~","~~"),"*","~*"),"?","~?"),'DEF_SELF_SCOUT_IMPORT'!$G$42:$G$1040,SUBSTITUTE(SUBSTITUTE(SUBSTITUTE($O569,"~","~~"),"*","~*"),"?","~?"))</f>
        <v>1</v>
      </c>
      <c r="D569" s="10">
        <f>IF($C569=0,"",SUMIFS('DEF_SELF_SCOUT_IMPORT'!$J$42:$J$1040,'DEF_SELF_SCOUT_IMPORT'!$L$42:$L$1040,"Y",'DEF_SELF_SCOUT_IMPORT'!$E$42:$E$1040,SUBSTITUTE(SUBSTITUTE(SUBSTITUTE($B569,"~","~~"),"*","~*"),"?","~?"),'DEF_SELF_SCOUT_IMPORT'!$Q$42:$Q$1040,SUBSTITUTE(SUBSTITUTE(SUBSTITUTE($M569,"~","~~"),"*","~*"),"?","~?"),'DEF_SELF_SCOUT_IMPORT'!$G$42:$G$1040,SUBSTITUTE(SUBSTITUTE(SUBSTITUTE($O569,"~","~~"),"*","~*"),"?","~?"))/$C569)</f>
        <v>1.0</v>
      </c>
      <c r="E569" s="10">
        <f>IF($C569=0,"",SUMIFS('DEF_SELF_SCOUT_IMPORT'!$K$42:$K$1040,'DEF_SELF_SCOUT_IMPORT'!$L$42:$L$1040,"Y",'DEF_SELF_SCOUT_IMPORT'!$E$42:$E$1040,SUBSTITUTE(SUBSTITUTE(SUBSTITUTE($B569,"~","~~"),"*","~*"),"?","~?"),'DEF_SELF_SCOUT_IMPORT'!$Q$42:$Q$1040,SUBSTITUTE(SUBSTITUTE(SUBSTITUTE($M569,"~","~~"),"*","~*"),"?","~?"),'DEF_SELF_SCOUT_IMPORT'!$G$42:$G$1040,SUBSTITUTE(SUBSTITUTE(SUBSTITUTE($O569,"~","~~"),"*","~*"),"?","~?"))/$C569)</f>
        <v>0.0</v>
      </c>
      <c r="F569" s="11">
        <f>IF($C569=0,"",AVERAGEIFS('DEF_SELF_SCOUT_IMPORT'!$I$42:$I$1040,'DEF_SELF_SCOUT_IMPORT'!$L$42:$L$1040,"Y",'DEF_SELF_SCOUT_IMPORT'!$E$42:$E$1040,SUBSTITUTE(SUBSTITUTE(SUBSTITUTE($B569,"~","~~"),"*","~*"),"?","~?"),'DEF_SELF_SCOUT_IMPORT'!$Q$42:$Q$1040,SUBSTITUTE(SUBSTITUTE(SUBSTITUTE($M569,"~","~~"),"*","~*"),"?","~?"),'DEF_SELF_SCOUT_IMPORT'!$G$42:$G$1040,SUBSTITUTE(SUBSTITUTE(SUBSTITUTE($O569,"~","~~"),"*","~*"),"?","~?")))</f>
        <v>3.0</v>
      </c>
      <c r="G569" s="10">
        <f>IF($C569=0,"",COUNTIFS('DEF_SELF_SCOUT_IMPORT'!$L$42:$L$1040,"Y",'DEF_SELF_SCOUT_IMPORT'!$E$42:$E$1040,SUBSTITUTE(SUBSTITUTE(SUBSTITUTE($B569,"~","~~"),"*","~*"),"?","~?"),'DEF_SELF_SCOUT_IMPORT'!$Q$42:$Q$1040,SUBSTITUTE(SUBSTITUTE(SUBSTITUTE($M569,"~","~~"),"*","~*"),"?","~?"),'DEF_SELF_SCOUT_IMPORT'!$G$42:$G$1040,SUBSTITUTE(SUBSTITUTE(SUBSTITUTE($O569,"~","~~"),"*","~*"),"?","~?"),'DEF_SELF_SCOUT_IMPORT'!$H$42:$H$1040,"RUSH")/$C569)</f>
        <v>0.0</v>
      </c>
      <c r="H569" s="10">
        <f>IF($C569=0,"",COUNTIFS('DEF_SELF_SCOUT_IMPORT'!$L$42:$L$1040,"Y",'DEF_SELF_SCOUT_IMPORT'!$E$42:$E$1040,SUBSTITUTE(SUBSTITUTE(SUBSTITUTE($B569,"~","~~"),"*","~*"),"?","~?"),'DEF_SELF_SCOUT_IMPORT'!$Q$42:$Q$1040,SUBSTITUTE(SUBSTITUTE(SUBSTITUTE($M569,"~","~~"),"*","~*"),"?","~?"),'DEF_SELF_SCOUT_IMPORT'!$G$42:$G$1040,SUBSTITUTE(SUBSTITUTE(SUBSTITUTE($O569,"~","~~"),"*","~*"),"?","~?"),'DEF_SELF_SCOUT_IMPORT'!$H$42:$H$1040,"DROPBACK")/$C569)</f>
        <v>1.0</v>
      </c>
      <c r="I569" s="14" t="str">
        <f>IF(C569=0,"",IF(C569&lt;=2,"TRACK",IF(C569=3,"LOW",IF(C569&lt;=6,"MEDIUM","HIGH"))))</f>
        <v>TRACK</v>
      </c>
      <c r="J569" s="11">
        <f>IF(C569=0,"",ROUND(D569*70+(1-E569)*20+MAX(0,MIN(1,(10-F569)/10))*10,1))</f>
        <v>97.0</v>
      </c>
      <c r="K569" s="14" t="str">
        <f>IF(C569=0,"No Evidence",IF(C569&lt;=2,IF(E569&gt;0,"Explosive Alert","Track Only"),IF(C569=3,"Sample Watch",IF(E569&gt;=START_HERE!$B$31,"Explosive Alert",IF(J569&gt;=80,"Strong Candidate",IF(J569&gt;=65,"Good Candidate",IF(J569&gt;=50,"Mixed / Review","Problem Call")))))))</f>
        <v>Track Only</v>
      </c>
      <c r="L569" s="9" t="str">
        <f>IF(COUNTIFS('DEF_SELF_SCOUT_IMPORT'!$L$42:$L$1040,"Y",'DEF_SELF_SCOUT_IMPORT'!$E$42:$E$1040,SUBSTITUTE(SUBSTITUTE(SUBSTITUTE($B569,"~","~~"),"*","~*"),"?","~?"),'DEF_SELF_SCOUT_IMPORT'!$Q$42:$Q$1040,SUBSTITUTE(SUBSTITUTE(SUBSTITUTE($M569,"~","~~"),"*","~*"),"?","~?"),'DEF_SELF_SCOUT_IMPORT'!$G$42:$G$1040,SUBSTITUTE(SUBSTITUTE(SUBSTITUTE($O569,"~","~~"),"*","~*"),"?","~?"),'DEF_SELF_SCOUT_IMPORT'!$J$42:$J$1040,"")&gt;0,"Unscored clean outcome; review result tags before using score.",IF(C569=0,"No matching defensive reps; film confirmation needed.",IF(K569="Explosive Alert","Explosive risk; review clips before using as answer.",IF(C569&lt;=2,"Track only; not enough sample.",IF(C569=3,IF(E569&gt;0,"Sample watch with explosive exposure; review clips and build the sample.",IF(J569&gt;=65,"Good signal, but sample is limited.","Sample watch; review clips and build the sample.")),IF(K569="Problem Call","Problem area; practice or call-sheet review.",IF(K569="Strong Candidate","Strong call-fit candidate; confirm on film.",IF(K569="Good Candidate","Good call-fit signal; confirm on film.","Mixed signal; review fit and execution on film."))))))))</f>
        <v>Track only; not enough sample.</v>
      </c>
      <c r="M569" s="8" t="s">
        <v>115</v>
      </c>
      <c r="N569" s="8"/>
      <c r="O569" s="8" t="s">
        <v>206</v>
      </c>
      <c r="P569" s="8"/>
      <c r="Q569" s="8"/>
      <c r="R569" s="8" t="s">
        <v>28</v>
      </c>
      <c r="S569" s="2" t="s">
        <v>282</v>
      </c>
      <c r="T569" s="2">
        <f>IF(C569=0,0,IF(C569&gt;=CALL_LOOKUP_BOARD!$B$7,IF(OR(K569="Problem Call",K569="Explosive Alert"),10000000,20000000),0)+IF(C569&gt;=CALL_LOOKUP_BOARD!$B$7,J569*1000+MIN(C569,999),C569*1000+J569)+0.00980500)</f>
        <v>1097.009805</v>
      </c>
      <c r="U569" s="2">
        <f>IF(C569=0,"",IF(COUNTIFS($S$375:$S$581,SUBSTITUTE(SUBSTITUTE(SUBSTITUTE(S569,"~","~~"),"*","~*"),"?","~?"),$T$375:$T$581,"&gt;"&amp;T569)=0,S569,""))</f>
        <v/>
      </c>
    </row>
    <row r="570" spans="1:21" ht="38" customHeight="1">
      <c r="A570" s="8" t="s">
        <v>281</v>
      </c>
      <c r="B570" s="8" t="s">
        <v>44</v>
      </c>
      <c r="C570" s="12">
        <f>COUNTIFS('DEF_SELF_SCOUT_IMPORT'!$L$42:$L$1040,"Y",'DEF_SELF_SCOUT_IMPORT'!$E$42:$E$1040,SUBSTITUTE(SUBSTITUTE(SUBSTITUTE($B570,"~","~~"),"*","~*"),"?","~?"),'DEF_SELF_SCOUT_IMPORT'!$Q$42:$Q$1040,SUBSTITUTE(SUBSTITUTE(SUBSTITUTE($M570,"~","~~"),"*","~*"),"?","~?"),'DEF_SELF_SCOUT_IMPORT'!$G$42:$G$1040,SUBSTITUTE(SUBSTITUTE(SUBSTITUTE($O570,"~","~~"),"*","~*"),"?","~?"))</f>
        <v>1</v>
      </c>
      <c r="D570" s="10">
        <f>IF($C570=0,"",SUMIFS('DEF_SELF_SCOUT_IMPORT'!$J$42:$J$1040,'DEF_SELF_SCOUT_IMPORT'!$L$42:$L$1040,"Y",'DEF_SELF_SCOUT_IMPORT'!$E$42:$E$1040,SUBSTITUTE(SUBSTITUTE(SUBSTITUTE($B570,"~","~~"),"*","~*"),"?","~?"),'DEF_SELF_SCOUT_IMPORT'!$Q$42:$Q$1040,SUBSTITUTE(SUBSTITUTE(SUBSTITUTE($M570,"~","~~"),"*","~*"),"?","~?"),'DEF_SELF_SCOUT_IMPORT'!$G$42:$G$1040,SUBSTITUTE(SUBSTITUTE(SUBSTITUTE($O570,"~","~~"),"*","~*"),"?","~?"))/$C570)</f>
        <v>0.0</v>
      </c>
      <c r="E570" s="10">
        <f>IF($C570=0,"",SUMIFS('DEF_SELF_SCOUT_IMPORT'!$K$42:$K$1040,'DEF_SELF_SCOUT_IMPORT'!$L$42:$L$1040,"Y",'DEF_SELF_SCOUT_IMPORT'!$E$42:$E$1040,SUBSTITUTE(SUBSTITUTE(SUBSTITUTE($B570,"~","~~"),"*","~*"),"?","~?"),'DEF_SELF_SCOUT_IMPORT'!$Q$42:$Q$1040,SUBSTITUTE(SUBSTITUTE(SUBSTITUTE($M570,"~","~~"),"*","~*"),"?","~?"),'DEF_SELF_SCOUT_IMPORT'!$G$42:$G$1040,SUBSTITUTE(SUBSTITUTE(SUBSTITUTE($O570,"~","~~"),"*","~*"),"?","~?"))/$C570)</f>
        <v>0.0</v>
      </c>
      <c r="F570" s="11">
        <f>IF($C570=0,"",AVERAGEIFS('DEF_SELF_SCOUT_IMPORT'!$I$42:$I$1040,'DEF_SELF_SCOUT_IMPORT'!$L$42:$L$1040,"Y",'DEF_SELF_SCOUT_IMPORT'!$E$42:$E$1040,SUBSTITUTE(SUBSTITUTE(SUBSTITUTE($B570,"~","~~"),"*","~*"),"?","~?"),'DEF_SELF_SCOUT_IMPORT'!$Q$42:$Q$1040,SUBSTITUTE(SUBSTITUTE(SUBSTITUTE($M570,"~","~~"),"*","~*"),"?","~?"),'DEF_SELF_SCOUT_IMPORT'!$G$42:$G$1040,SUBSTITUTE(SUBSTITUTE(SUBSTITUTE($O570,"~","~~"),"*","~*"),"?","~?")))</f>
        <v>4.0</v>
      </c>
      <c r="G570" s="10">
        <f>IF($C570=0,"",COUNTIFS('DEF_SELF_SCOUT_IMPORT'!$L$42:$L$1040,"Y",'DEF_SELF_SCOUT_IMPORT'!$E$42:$E$1040,SUBSTITUTE(SUBSTITUTE(SUBSTITUTE($B570,"~","~~"),"*","~*"),"?","~?"),'DEF_SELF_SCOUT_IMPORT'!$Q$42:$Q$1040,SUBSTITUTE(SUBSTITUTE(SUBSTITUTE($M570,"~","~~"),"*","~*"),"?","~?"),'DEF_SELF_SCOUT_IMPORT'!$G$42:$G$1040,SUBSTITUTE(SUBSTITUTE(SUBSTITUTE($O570,"~","~~"),"*","~*"),"?","~?"),'DEF_SELF_SCOUT_IMPORT'!$H$42:$H$1040,"RUSH")/$C570)</f>
        <v>1.0</v>
      </c>
      <c r="H570" s="10">
        <f>IF($C570=0,"",COUNTIFS('DEF_SELF_SCOUT_IMPORT'!$L$42:$L$1040,"Y",'DEF_SELF_SCOUT_IMPORT'!$E$42:$E$1040,SUBSTITUTE(SUBSTITUTE(SUBSTITUTE($B570,"~","~~"),"*","~*"),"?","~?"),'DEF_SELF_SCOUT_IMPORT'!$Q$42:$Q$1040,SUBSTITUTE(SUBSTITUTE(SUBSTITUTE($M570,"~","~~"),"*","~*"),"?","~?"),'DEF_SELF_SCOUT_IMPORT'!$G$42:$G$1040,SUBSTITUTE(SUBSTITUTE(SUBSTITUTE($O570,"~","~~"),"*","~*"),"?","~?"),'DEF_SELF_SCOUT_IMPORT'!$H$42:$H$1040,"DROPBACK")/$C570)</f>
        <v>0.0</v>
      </c>
      <c r="I570" s="14" t="str">
        <f>IF(C570=0,"",IF(C570&lt;=2,"TRACK",IF(C570=3,"LOW",IF(C570&lt;=6,"MEDIUM","HIGH"))))</f>
        <v>TRACK</v>
      </c>
      <c r="J570" s="11">
        <f>IF(C570=0,"",ROUND(D570*70+(1-E570)*20+MAX(0,MIN(1,(10-F570)/10))*10,1))</f>
        <v>26.0</v>
      </c>
      <c r="K570" s="14" t="str">
        <f>IF(C570=0,"No Evidence",IF(C570&lt;=2,IF(E570&gt;0,"Explosive Alert","Track Only"),IF(C570=3,"Sample Watch",IF(E570&gt;=START_HERE!$B$31,"Explosive Alert",IF(J570&gt;=80,"Strong Candidate",IF(J570&gt;=65,"Good Candidate",IF(J570&gt;=50,"Mixed / Review","Problem Call")))))))</f>
        <v>Track Only</v>
      </c>
      <c r="L570" s="9" t="str">
        <f>IF(COUNTIFS('DEF_SELF_SCOUT_IMPORT'!$L$42:$L$1040,"Y",'DEF_SELF_SCOUT_IMPORT'!$E$42:$E$1040,SUBSTITUTE(SUBSTITUTE(SUBSTITUTE($B570,"~","~~"),"*","~*"),"?","~?"),'DEF_SELF_SCOUT_IMPORT'!$Q$42:$Q$1040,SUBSTITUTE(SUBSTITUTE(SUBSTITUTE($M570,"~","~~"),"*","~*"),"?","~?"),'DEF_SELF_SCOUT_IMPORT'!$G$42:$G$1040,SUBSTITUTE(SUBSTITUTE(SUBSTITUTE($O570,"~","~~"),"*","~*"),"?","~?"),'DEF_SELF_SCOUT_IMPORT'!$J$42:$J$1040,"")&gt;0,"Unscored clean outcome; review result tags before using score.",IF(C570=0,"No matching defensive reps; film confirmation needed.",IF(K570="Explosive Alert","Explosive risk; review clips before using as answer.",IF(C570&lt;=2,"Track only; not enough sample.",IF(C570=3,IF(E570&gt;0,"Sample watch with explosive exposure; review clips and build the sample.",IF(J570&gt;=65,"Good signal, but sample is limited.","Sample watch; review clips and build the sample.")),IF(K570="Problem Call","Problem area; practice or call-sheet review.",IF(K570="Strong Candidate","Strong call-fit candidate; confirm on film.",IF(K570="Good Candidate","Good call-fit signal; confirm on film.","Mixed signal; review fit and execution on film."))))))))</f>
        <v>Track only; not enough sample.</v>
      </c>
      <c r="M570" s="8" t="s">
        <v>115</v>
      </c>
      <c r="N570" s="8"/>
      <c r="O570" s="8" t="s">
        <v>206</v>
      </c>
      <c r="P570" s="8"/>
      <c r="Q570" s="8"/>
      <c r="R570" s="8" t="s">
        <v>28</v>
      </c>
      <c r="S570" s="2" t="s">
        <v>282</v>
      </c>
      <c r="T570" s="2">
        <f>IF(C570=0,0,IF(C570&gt;=CALL_LOOKUP_BOARD!$B$7,IF(OR(K570="Problem Call",K570="Explosive Alert"),10000000,20000000),0)+IF(C570&gt;=CALL_LOOKUP_BOARD!$B$7,J570*1000+MIN(C570,999),C570*1000+J570)+0.00980400)</f>
        <v>1026.009804</v>
      </c>
      <c r="U570" s="2">
        <f>IF(C570=0,"",IF(COUNTIFS($S$375:$S$581,SUBSTITUTE(SUBSTITUTE(SUBSTITUTE(S570,"~","~~"),"*","~*"),"?","~?"),$T$375:$T$581,"&gt;"&amp;T570)=0,S570,""))</f>
        <v/>
      </c>
    </row>
    <row r="571" spans="1:21" ht="38" customHeight="1">
      <c r="A571" s="8" t="s">
        <v>281</v>
      </c>
      <c r="B571" s="8" t="s">
        <v>51</v>
      </c>
      <c r="C571" s="12">
        <f>COUNTIFS('DEF_SELF_SCOUT_IMPORT'!$L$42:$L$1040,"Y",'DEF_SELF_SCOUT_IMPORT'!$E$42:$E$1040,SUBSTITUTE(SUBSTITUTE(SUBSTITUTE($B571,"~","~~"),"*","~*"),"?","~?"),'DEF_SELF_SCOUT_IMPORT'!$Q$42:$Q$1040,SUBSTITUTE(SUBSTITUTE(SUBSTITUTE($M571,"~","~~"),"*","~*"),"?","~?"),'DEF_SELF_SCOUT_IMPORT'!$G$42:$G$1040,SUBSTITUTE(SUBSTITUTE(SUBSTITUTE($O571,"~","~~"),"*","~*"),"?","~?"))</f>
        <v>1</v>
      </c>
      <c r="D571" s="10">
        <f>IF($C571=0,"",SUMIFS('DEF_SELF_SCOUT_IMPORT'!$J$42:$J$1040,'DEF_SELF_SCOUT_IMPORT'!$L$42:$L$1040,"Y",'DEF_SELF_SCOUT_IMPORT'!$E$42:$E$1040,SUBSTITUTE(SUBSTITUTE(SUBSTITUTE($B571,"~","~~"),"*","~*"),"?","~?"),'DEF_SELF_SCOUT_IMPORT'!$Q$42:$Q$1040,SUBSTITUTE(SUBSTITUTE(SUBSTITUTE($M571,"~","~~"),"*","~*"),"?","~?"),'DEF_SELF_SCOUT_IMPORT'!$G$42:$G$1040,SUBSTITUTE(SUBSTITUTE(SUBSTITUTE($O571,"~","~~"),"*","~*"),"?","~?"))/$C571)</f>
        <v>0.0</v>
      </c>
      <c r="E571" s="10">
        <f>IF($C571=0,"",SUMIFS('DEF_SELF_SCOUT_IMPORT'!$K$42:$K$1040,'DEF_SELF_SCOUT_IMPORT'!$L$42:$L$1040,"Y",'DEF_SELF_SCOUT_IMPORT'!$E$42:$E$1040,SUBSTITUTE(SUBSTITUTE(SUBSTITUTE($B571,"~","~~"),"*","~*"),"?","~?"),'DEF_SELF_SCOUT_IMPORT'!$Q$42:$Q$1040,SUBSTITUTE(SUBSTITUTE(SUBSTITUTE($M571,"~","~~"),"*","~*"),"?","~?"),'DEF_SELF_SCOUT_IMPORT'!$G$42:$G$1040,SUBSTITUTE(SUBSTITUTE(SUBSTITUTE($O571,"~","~~"),"*","~*"),"?","~?"))/$C571)</f>
        <v>0.0</v>
      </c>
      <c r="F571" s="11">
        <f>IF($C571=0,"",AVERAGEIFS('DEF_SELF_SCOUT_IMPORT'!$I$42:$I$1040,'DEF_SELF_SCOUT_IMPORT'!$L$42:$L$1040,"Y",'DEF_SELF_SCOUT_IMPORT'!$E$42:$E$1040,SUBSTITUTE(SUBSTITUTE(SUBSTITUTE($B571,"~","~~"),"*","~*"),"?","~?"),'DEF_SELF_SCOUT_IMPORT'!$Q$42:$Q$1040,SUBSTITUTE(SUBSTITUTE(SUBSTITUTE($M571,"~","~~"),"*","~*"),"?","~?"),'DEF_SELF_SCOUT_IMPORT'!$G$42:$G$1040,SUBSTITUTE(SUBSTITUTE(SUBSTITUTE($O571,"~","~~"),"*","~*"),"?","~?")))</f>
        <v>14.0</v>
      </c>
      <c r="G571" s="10">
        <f>IF($C571=0,"",COUNTIFS('DEF_SELF_SCOUT_IMPORT'!$L$42:$L$1040,"Y",'DEF_SELF_SCOUT_IMPORT'!$E$42:$E$1040,SUBSTITUTE(SUBSTITUTE(SUBSTITUTE($B571,"~","~~"),"*","~*"),"?","~?"),'DEF_SELF_SCOUT_IMPORT'!$Q$42:$Q$1040,SUBSTITUTE(SUBSTITUTE(SUBSTITUTE($M571,"~","~~"),"*","~*"),"?","~?"),'DEF_SELF_SCOUT_IMPORT'!$G$42:$G$1040,SUBSTITUTE(SUBSTITUTE(SUBSTITUTE($O571,"~","~~"),"*","~*"),"?","~?"),'DEF_SELF_SCOUT_IMPORT'!$H$42:$H$1040,"RUSH")/$C571)</f>
        <v>0.0</v>
      </c>
      <c r="H571" s="10">
        <f>IF($C571=0,"",COUNTIFS('DEF_SELF_SCOUT_IMPORT'!$L$42:$L$1040,"Y",'DEF_SELF_SCOUT_IMPORT'!$E$42:$E$1040,SUBSTITUTE(SUBSTITUTE(SUBSTITUTE($B571,"~","~~"),"*","~*"),"?","~?"),'DEF_SELF_SCOUT_IMPORT'!$Q$42:$Q$1040,SUBSTITUTE(SUBSTITUTE(SUBSTITUTE($M571,"~","~~"),"*","~*"),"?","~?"),'DEF_SELF_SCOUT_IMPORT'!$G$42:$G$1040,SUBSTITUTE(SUBSTITUTE(SUBSTITUTE($O571,"~","~~"),"*","~*"),"?","~?"),'DEF_SELF_SCOUT_IMPORT'!$H$42:$H$1040,"DROPBACK")/$C571)</f>
        <v>1.0</v>
      </c>
      <c r="I571" s="14" t="str">
        <f>IF(C571=0,"",IF(C571&lt;=2,"TRACK",IF(C571=3,"LOW",IF(C571&lt;=6,"MEDIUM","HIGH"))))</f>
        <v>TRACK</v>
      </c>
      <c r="J571" s="11">
        <f>IF(C571=0,"",ROUND(D571*70+(1-E571)*20+MAX(0,MIN(1,(10-F571)/10))*10,1))</f>
        <v>20.0</v>
      </c>
      <c r="K571" s="14" t="str">
        <f>IF(C571=0,"No Evidence",IF(C571&lt;=2,IF(E571&gt;0,"Explosive Alert","Track Only"),IF(C571=3,"Sample Watch",IF(E571&gt;=START_HERE!$B$31,"Explosive Alert",IF(J571&gt;=80,"Strong Candidate",IF(J571&gt;=65,"Good Candidate",IF(J571&gt;=50,"Mixed / Review","Problem Call")))))))</f>
        <v>Track Only</v>
      </c>
      <c r="L571" s="9" t="str">
        <f>IF(COUNTIFS('DEF_SELF_SCOUT_IMPORT'!$L$42:$L$1040,"Y",'DEF_SELF_SCOUT_IMPORT'!$E$42:$E$1040,SUBSTITUTE(SUBSTITUTE(SUBSTITUTE($B571,"~","~~"),"*","~*"),"?","~?"),'DEF_SELF_SCOUT_IMPORT'!$Q$42:$Q$1040,SUBSTITUTE(SUBSTITUTE(SUBSTITUTE($M571,"~","~~"),"*","~*"),"?","~?"),'DEF_SELF_SCOUT_IMPORT'!$G$42:$G$1040,SUBSTITUTE(SUBSTITUTE(SUBSTITUTE($O571,"~","~~"),"*","~*"),"?","~?"),'DEF_SELF_SCOUT_IMPORT'!$J$42:$J$1040,"")&gt;0,"Unscored clean outcome; review result tags before using score.",IF(C571=0,"No matching defensive reps; film confirmation needed.",IF(K571="Explosive Alert","Explosive risk; review clips before using as answer.",IF(C571&lt;=2,"Track only; not enough sample.",IF(C571=3,IF(E571&gt;0,"Sample watch with explosive exposure; review clips and build the sample.",IF(J571&gt;=65,"Good signal, but sample is limited.","Sample watch; review clips and build the sample.")),IF(K571="Problem Call","Problem area; practice or call-sheet review.",IF(K571="Strong Candidate","Strong call-fit candidate; confirm on film.",IF(K571="Good Candidate","Good call-fit signal; confirm on film.","Mixed signal; review fit and execution on film."))))))))</f>
        <v>Track only; not enough sample.</v>
      </c>
      <c r="M571" s="8" t="s">
        <v>115</v>
      </c>
      <c r="N571" s="8"/>
      <c r="O571" s="8" t="s">
        <v>206</v>
      </c>
      <c r="P571" s="8"/>
      <c r="Q571" s="8"/>
      <c r="R571" s="8" t="s">
        <v>28</v>
      </c>
      <c r="S571" s="2" t="s">
        <v>282</v>
      </c>
      <c r="T571" s="2">
        <f>IF(C571=0,0,IF(C571&gt;=CALL_LOOKUP_BOARD!$B$7,IF(OR(K571="Problem Call",K571="Explosive Alert"),10000000,20000000),0)+IF(C571&gt;=CALL_LOOKUP_BOARD!$B$7,J571*1000+MIN(C571,999),C571*1000+J571)+0.00980300)</f>
        <v>1020.009803</v>
      </c>
      <c r="U571" s="2">
        <f>IF(C571=0,"",IF(COUNTIFS($S$375:$S$581,SUBSTITUTE(SUBSTITUTE(SUBSTITUTE(S571,"~","~~"),"*","~*"),"?","~?"),$T$375:$T$581,"&gt;"&amp;T571)=0,S571,""))</f>
        <v/>
      </c>
    </row>
    <row r="572" spans="1:21" ht="38" customHeight="1">
      <c r="A572" s="8" t="s">
        <v>281</v>
      </c>
      <c r="B572" s="8" t="s">
        <v>52</v>
      </c>
      <c r="C572" s="12">
        <f>COUNTIFS('DEF_SELF_SCOUT_IMPORT'!$L$42:$L$1040,"Y",'DEF_SELF_SCOUT_IMPORT'!$E$42:$E$1040,SUBSTITUTE(SUBSTITUTE(SUBSTITUTE($B572,"~","~~"),"*","~*"),"?","~?"),'DEF_SELF_SCOUT_IMPORT'!$Q$42:$Q$1040,SUBSTITUTE(SUBSTITUTE(SUBSTITUTE($M572,"~","~~"),"*","~*"),"?","~?"),'DEF_SELF_SCOUT_IMPORT'!$G$42:$G$1040,SUBSTITUTE(SUBSTITUTE(SUBSTITUTE($O572,"~","~~"),"*","~*"),"?","~?"))</f>
        <v>2</v>
      </c>
      <c r="D572" s="10">
        <f>IF($C572=0,"",SUMIFS('DEF_SELF_SCOUT_IMPORT'!$J$42:$J$1040,'DEF_SELF_SCOUT_IMPORT'!$L$42:$L$1040,"Y",'DEF_SELF_SCOUT_IMPORT'!$E$42:$E$1040,SUBSTITUTE(SUBSTITUTE(SUBSTITUTE($B572,"~","~~"),"*","~*"),"?","~?"),'DEF_SELF_SCOUT_IMPORT'!$Q$42:$Q$1040,SUBSTITUTE(SUBSTITUTE(SUBSTITUTE($M572,"~","~~"),"*","~*"),"?","~?"),'DEF_SELF_SCOUT_IMPORT'!$G$42:$G$1040,SUBSTITUTE(SUBSTITUTE(SUBSTITUTE($O572,"~","~~"),"*","~*"),"?","~?"))/$C572)</f>
        <v>0.5</v>
      </c>
      <c r="E572" s="10">
        <f>IF($C572=0,"",SUMIFS('DEF_SELF_SCOUT_IMPORT'!$K$42:$K$1040,'DEF_SELF_SCOUT_IMPORT'!$L$42:$L$1040,"Y",'DEF_SELF_SCOUT_IMPORT'!$E$42:$E$1040,SUBSTITUTE(SUBSTITUTE(SUBSTITUTE($B572,"~","~~"),"*","~*"),"?","~?"),'DEF_SELF_SCOUT_IMPORT'!$Q$42:$Q$1040,SUBSTITUTE(SUBSTITUTE(SUBSTITUTE($M572,"~","~~"),"*","~*"),"?","~?"),'DEF_SELF_SCOUT_IMPORT'!$G$42:$G$1040,SUBSTITUTE(SUBSTITUTE(SUBSTITUTE($O572,"~","~~"),"*","~*"),"?","~?"))/$C572)</f>
        <v>0.0</v>
      </c>
      <c r="F572" s="11">
        <f>IF($C572=0,"",AVERAGEIFS('DEF_SELF_SCOUT_IMPORT'!$I$42:$I$1040,'DEF_SELF_SCOUT_IMPORT'!$L$42:$L$1040,"Y",'DEF_SELF_SCOUT_IMPORT'!$E$42:$E$1040,SUBSTITUTE(SUBSTITUTE(SUBSTITUTE($B572,"~","~~"),"*","~*"),"?","~?"),'DEF_SELF_SCOUT_IMPORT'!$Q$42:$Q$1040,SUBSTITUTE(SUBSTITUTE(SUBSTITUTE($M572,"~","~~"),"*","~*"),"?","~?"),'DEF_SELF_SCOUT_IMPORT'!$G$42:$G$1040,SUBSTITUTE(SUBSTITUTE(SUBSTITUTE($O572,"~","~~"),"*","~*"),"?","~?")))</f>
        <v>-1.0</v>
      </c>
      <c r="G572" s="10">
        <f>IF($C572=0,"",COUNTIFS('DEF_SELF_SCOUT_IMPORT'!$L$42:$L$1040,"Y",'DEF_SELF_SCOUT_IMPORT'!$E$42:$E$1040,SUBSTITUTE(SUBSTITUTE(SUBSTITUTE($B572,"~","~~"),"*","~*"),"?","~?"),'DEF_SELF_SCOUT_IMPORT'!$Q$42:$Q$1040,SUBSTITUTE(SUBSTITUTE(SUBSTITUTE($M572,"~","~~"),"*","~*"),"?","~?"),'DEF_SELF_SCOUT_IMPORT'!$G$42:$G$1040,SUBSTITUTE(SUBSTITUTE(SUBSTITUTE($O572,"~","~~"),"*","~*"),"?","~?"),'DEF_SELF_SCOUT_IMPORT'!$H$42:$H$1040,"RUSH")/$C572)</f>
        <v>0.5</v>
      </c>
      <c r="H572" s="10">
        <f>IF($C572=0,"",COUNTIFS('DEF_SELF_SCOUT_IMPORT'!$L$42:$L$1040,"Y",'DEF_SELF_SCOUT_IMPORT'!$E$42:$E$1040,SUBSTITUTE(SUBSTITUTE(SUBSTITUTE($B572,"~","~~"),"*","~*"),"?","~?"),'DEF_SELF_SCOUT_IMPORT'!$Q$42:$Q$1040,SUBSTITUTE(SUBSTITUTE(SUBSTITUTE($M572,"~","~~"),"*","~*"),"?","~?"),'DEF_SELF_SCOUT_IMPORT'!$G$42:$G$1040,SUBSTITUTE(SUBSTITUTE(SUBSTITUTE($O572,"~","~~"),"*","~*"),"?","~?"),'DEF_SELF_SCOUT_IMPORT'!$H$42:$H$1040,"DROPBACK")/$C572)</f>
        <v>0.5</v>
      </c>
      <c r="I572" s="14" t="str">
        <f>IF(C572=0,"",IF(C572&lt;=2,"TRACK",IF(C572=3,"LOW",IF(C572&lt;=6,"MEDIUM","HIGH"))))</f>
        <v>TRACK</v>
      </c>
      <c r="J572" s="11">
        <f>IF(C572=0,"",ROUND(D572*70+(1-E572)*20+MAX(0,MIN(1,(10-F572)/10))*10,1))</f>
        <v>65.0</v>
      </c>
      <c r="K572" s="14" t="str">
        <f>IF(C572=0,"No Evidence",IF(C572&lt;=2,IF(E572&gt;0,"Explosive Alert","Track Only"),IF(C572=3,"Sample Watch",IF(E572&gt;=START_HERE!$B$31,"Explosive Alert",IF(J572&gt;=80,"Strong Candidate",IF(J572&gt;=65,"Good Candidate",IF(J572&gt;=50,"Mixed / Review","Problem Call")))))))</f>
        <v>Track Only</v>
      </c>
      <c r="L572" s="9" t="str">
        <f>IF(COUNTIFS('DEF_SELF_SCOUT_IMPORT'!$L$42:$L$1040,"Y",'DEF_SELF_SCOUT_IMPORT'!$E$42:$E$1040,SUBSTITUTE(SUBSTITUTE(SUBSTITUTE($B572,"~","~~"),"*","~*"),"?","~?"),'DEF_SELF_SCOUT_IMPORT'!$Q$42:$Q$1040,SUBSTITUTE(SUBSTITUTE(SUBSTITUTE($M572,"~","~~"),"*","~*"),"?","~?"),'DEF_SELF_SCOUT_IMPORT'!$G$42:$G$1040,SUBSTITUTE(SUBSTITUTE(SUBSTITUTE($O572,"~","~~"),"*","~*"),"?","~?"),'DEF_SELF_SCOUT_IMPORT'!$J$42:$J$1040,"")&gt;0,"Unscored clean outcome; review result tags before using score.",IF(C572=0,"No matching defensive reps; film confirmation needed.",IF(K572="Explosive Alert","Explosive risk; review clips before using as answer.",IF(C572&lt;=2,"Track only; not enough sample.",IF(C572=3,IF(E572&gt;0,"Sample watch with explosive exposure; review clips and build the sample.",IF(J572&gt;=65,"Good signal, but sample is limited.","Sample watch; review clips and build the sample.")),IF(K572="Problem Call","Problem area; practice or call-sheet review.",IF(K572="Strong Candidate","Strong call-fit candidate; confirm on film.",IF(K572="Good Candidate","Good call-fit signal; confirm on film.","Mixed signal; review fit and execution on film."))))))))</f>
        <v>Track only; not enough sample.</v>
      </c>
      <c r="M572" s="8" t="s">
        <v>115</v>
      </c>
      <c r="N572" s="8"/>
      <c r="O572" s="8" t="s">
        <v>206</v>
      </c>
      <c r="P572" s="8"/>
      <c r="Q572" s="8"/>
      <c r="R572" s="8" t="s">
        <v>28</v>
      </c>
      <c r="S572" s="2" t="s">
        <v>282</v>
      </c>
      <c r="T572" s="2">
        <f>IF(C572=0,0,IF(C572&gt;=CALL_LOOKUP_BOARD!$B$7,IF(OR(K572="Problem Call",K572="Explosive Alert"),10000000,20000000),0)+IF(C572&gt;=CALL_LOOKUP_BOARD!$B$7,J572*1000+MIN(C572,999),C572*1000+J572)+0.00980200)</f>
        <v>2065.009802</v>
      </c>
      <c r="U572" s="2">
        <f>IF(C572=0,"",IF(COUNTIFS($S$375:$S$581,SUBSTITUTE(SUBSTITUTE(SUBSTITUTE(S572,"~","~~"),"*","~*"),"?","~?"),$T$375:$T$581,"&gt;"&amp;T572)=0,S572,""))</f>
        <v/>
      </c>
    </row>
    <row r="573" spans="1:21" ht="38" customHeight="1">
      <c r="A573" s="8" t="s">
        <v>281</v>
      </c>
      <c r="B573" s="8" t="s">
        <v>53</v>
      </c>
      <c r="C573" s="12">
        <f>COUNTIFS('DEF_SELF_SCOUT_IMPORT'!$L$42:$L$1040,"Y",'DEF_SELF_SCOUT_IMPORT'!$E$42:$E$1040,SUBSTITUTE(SUBSTITUTE(SUBSTITUTE($B573,"~","~~"),"*","~*"),"?","~?"),'DEF_SELF_SCOUT_IMPORT'!$Q$42:$Q$1040,SUBSTITUTE(SUBSTITUTE(SUBSTITUTE($M573,"~","~~"),"*","~*"),"?","~?"),'DEF_SELF_SCOUT_IMPORT'!$G$42:$G$1040,SUBSTITUTE(SUBSTITUTE(SUBSTITUTE($O573,"~","~~"),"*","~*"),"?","~?"))</f>
        <v>1</v>
      </c>
      <c r="D573" s="10">
        <f>IF($C573=0,"",SUMIFS('DEF_SELF_SCOUT_IMPORT'!$J$42:$J$1040,'DEF_SELF_SCOUT_IMPORT'!$L$42:$L$1040,"Y",'DEF_SELF_SCOUT_IMPORT'!$E$42:$E$1040,SUBSTITUTE(SUBSTITUTE(SUBSTITUTE($B573,"~","~~"),"*","~*"),"?","~?"),'DEF_SELF_SCOUT_IMPORT'!$Q$42:$Q$1040,SUBSTITUTE(SUBSTITUTE(SUBSTITUTE($M573,"~","~~"),"*","~*"),"?","~?"),'DEF_SELF_SCOUT_IMPORT'!$G$42:$G$1040,SUBSTITUTE(SUBSTITUTE(SUBSTITUTE($O573,"~","~~"),"*","~*"),"?","~?"))/$C573)</f>
        <v>0.0</v>
      </c>
      <c r="E573" s="10">
        <f>IF($C573=0,"",SUMIFS('DEF_SELF_SCOUT_IMPORT'!$K$42:$K$1040,'DEF_SELF_SCOUT_IMPORT'!$L$42:$L$1040,"Y",'DEF_SELF_SCOUT_IMPORT'!$E$42:$E$1040,SUBSTITUTE(SUBSTITUTE(SUBSTITUTE($B573,"~","~~"),"*","~*"),"?","~?"),'DEF_SELF_SCOUT_IMPORT'!$Q$42:$Q$1040,SUBSTITUTE(SUBSTITUTE(SUBSTITUTE($M573,"~","~~"),"*","~*"),"?","~?"),'DEF_SELF_SCOUT_IMPORT'!$G$42:$G$1040,SUBSTITUTE(SUBSTITUTE(SUBSTITUTE($O573,"~","~~"),"*","~*"),"?","~?"))/$C573)</f>
        <v>0.0</v>
      </c>
      <c r="F573" s="11">
        <f>IF($C573=0,"",AVERAGEIFS('DEF_SELF_SCOUT_IMPORT'!$I$42:$I$1040,'DEF_SELF_SCOUT_IMPORT'!$L$42:$L$1040,"Y",'DEF_SELF_SCOUT_IMPORT'!$E$42:$E$1040,SUBSTITUTE(SUBSTITUTE(SUBSTITUTE($B573,"~","~~"),"*","~*"),"?","~?"),'DEF_SELF_SCOUT_IMPORT'!$Q$42:$Q$1040,SUBSTITUTE(SUBSTITUTE(SUBSTITUTE($M573,"~","~~"),"*","~*"),"?","~?"),'DEF_SELF_SCOUT_IMPORT'!$G$42:$G$1040,SUBSTITUTE(SUBSTITUTE(SUBSTITUTE($O573,"~","~~"),"*","~*"),"?","~?")))</f>
        <v>8.0</v>
      </c>
      <c r="G573" s="10">
        <f>IF($C573=0,"",COUNTIFS('DEF_SELF_SCOUT_IMPORT'!$L$42:$L$1040,"Y",'DEF_SELF_SCOUT_IMPORT'!$E$42:$E$1040,SUBSTITUTE(SUBSTITUTE(SUBSTITUTE($B573,"~","~~"),"*","~*"),"?","~?"),'DEF_SELF_SCOUT_IMPORT'!$Q$42:$Q$1040,SUBSTITUTE(SUBSTITUTE(SUBSTITUTE($M573,"~","~~"),"*","~*"),"?","~?"),'DEF_SELF_SCOUT_IMPORT'!$G$42:$G$1040,SUBSTITUTE(SUBSTITUTE(SUBSTITUTE($O573,"~","~~"),"*","~*"),"?","~?"),'DEF_SELF_SCOUT_IMPORT'!$H$42:$H$1040,"RUSH")/$C573)</f>
        <v>0.0</v>
      </c>
      <c r="H573" s="10">
        <f>IF($C573=0,"",COUNTIFS('DEF_SELF_SCOUT_IMPORT'!$L$42:$L$1040,"Y",'DEF_SELF_SCOUT_IMPORT'!$E$42:$E$1040,SUBSTITUTE(SUBSTITUTE(SUBSTITUTE($B573,"~","~~"),"*","~*"),"?","~?"),'DEF_SELF_SCOUT_IMPORT'!$Q$42:$Q$1040,SUBSTITUTE(SUBSTITUTE(SUBSTITUTE($M573,"~","~~"),"*","~*"),"?","~?"),'DEF_SELF_SCOUT_IMPORT'!$G$42:$G$1040,SUBSTITUTE(SUBSTITUTE(SUBSTITUTE($O573,"~","~~"),"*","~*"),"?","~?"),'DEF_SELF_SCOUT_IMPORT'!$H$42:$H$1040,"DROPBACK")/$C573)</f>
        <v>1.0</v>
      </c>
      <c r="I573" s="14" t="str">
        <f>IF(C573=0,"",IF(C573&lt;=2,"TRACK",IF(C573=3,"LOW",IF(C573&lt;=6,"MEDIUM","HIGH"))))</f>
        <v>TRACK</v>
      </c>
      <c r="J573" s="11">
        <f>IF(C573=0,"",ROUND(D573*70+(1-E573)*20+MAX(0,MIN(1,(10-F573)/10))*10,1))</f>
        <v>22.0</v>
      </c>
      <c r="K573" s="14" t="str">
        <f>IF(C573=0,"No Evidence",IF(C573&lt;=2,IF(E573&gt;0,"Explosive Alert","Track Only"),IF(C573=3,"Sample Watch",IF(E573&gt;=START_HERE!$B$31,"Explosive Alert",IF(J573&gt;=80,"Strong Candidate",IF(J573&gt;=65,"Good Candidate",IF(J573&gt;=50,"Mixed / Review","Problem Call")))))))</f>
        <v>Track Only</v>
      </c>
      <c r="L573" s="9" t="str">
        <f>IF(COUNTIFS('DEF_SELF_SCOUT_IMPORT'!$L$42:$L$1040,"Y",'DEF_SELF_SCOUT_IMPORT'!$E$42:$E$1040,SUBSTITUTE(SUBSTITUTE(SUBSTITUTE($B573,"~","~~"),"*","~*"),"?","~?"),'DEF_SELF_SCOUT_IMPORT'!$Q$42:$Q$1040,SUBSTITUTE(SUBSTITUTE(SUBSTITUTE($M573,"~","~~"),"*","~*"),"?","~?"),'DEF_SELF_SCOUT_IMPORT'!$G$42:$G$1040,SUBSTITUTE(SUBSTITUTE(SUBSTITUTE($O573,"~","~~"),"*","~*"),"?","~?"),'DEF_SELF_SCOUT_IMPORT'!$J$42:$J$1040,"")&gt;0,"Unscored clean outcome; review result tags before using score.",IF(C573=0,"No matching defensive reps; film confirmation needed.",IF(K573="Explosive Alert","Explosive risk; review clips before using as answer.",IF(C573&lt;=2,"Track only; not enough sample.",IF(C573=3,IF(E573&gt;0,"Sample watch with explosive exposure; review clips and build the sample.",IF(J573&gt;=65,"Good signal, but sample is limited.","Sample watch; review clips and build the sample.")),IF(K573="Problem Call","Problem area; practice or call-sheet review.",IF(K573="Strong Candidate","Strong call-fit candidate; confirm on film.",IF(K573="Good Candidate","Good call-fit signal; confirm on film.","Mixed signal; review fit and execution on film."))))))))</f>
        <v>Track only; not enough sample.</v>
      </c>
      <c r="M573" s="8" t="s">
        <v>115</v>
      </c>
      <c r="N573" s="8"/>
      <c r="O573" s="8" t="s">
        <v>206</v>
      </c>
      <c r="P573" s="8"/>
      <c r="Q573" s="8"/>
      <c r="R573" s="8" t="s">
        <v>28</v>
      </c>
      <c r="S573" s="2" t="s">
        <v>282</v>
      </c>
      <c r="T573" s="2">
        <f>IF(C573=0,0,IF(C573&gt;=CALL_LOOKUP_BOARD!$B$7,IF(OR(K573="Problem Call",K573="Explosive Alert"),10000000,20000000),0)+IF(C573&gt;=CALL_LOOKUP_BOARD!$B$7,J573*1000+MIN(C573,999),C573*1000+J573)+0.00980100)</f>
        <v>1022.009801</v>
      </c>
      <c r="U573" s="2">
        <f>IF(C573=0,"",IF(COUNTIFS($S$375:$S$581,SUBSTITUTE(SUBSTITUTE(SUBSTITUTE(S573,"~","~~"),"*","~*"),"?","~?"),$T$375:$T$581,"&gt;"&amp;T573)=0,S573,""))</f>
        <v/>
      </c>
    </row>
    <row r="574" spans="1:21" ht="38" customHeight="1">
      <c r="A574" s="8" t="s">
        <v>281</v>
      </c>
      <c r="B574" s="8" t="s">
        <v>81</v>
      </c>
      <c r="C574" s="12">
        <f>COUNTIFS('DEF_SELF_SCOUT_IMPORT'!$L$42:$L$1040,"Y",'DEF_SELF_SCOUT_IMPORT'!$E$42:$E$1040,SUBSTITUTE(SUBSTITUTE(SUBSTITUTE($B574,"~","~~"),"*","~*"),"?","~?"),'DEF_SELF_SCOUT_IMPORT'!$Q$42:$Q$1040,SUBSTITUTE(SUBSTITUTE(SUBSTITUTE($M574,"~","~~"),"*","~*"),"?","~?"),'DEF_SELF_SCOUT_IMPORT'!$G$42:$G$1040,SUBSTITUTE(SUBSTITUTE(SUBSTITUTE($O574,"~","~~"),"*","~*"),"?","~?"))</f>
        <v>1</v>
      </c>
      <c r="D574" s="10">
        <f>IF($C574=0,"",SUMIFS('DEF_SELF_SCOUT_IMPORT'!$J$42:$J$1040,'DEF_SELF_SCOUT_IMPORT'!$L$42:$L$1040,"Y",'DEF_SELF_SCOUT_IMPORT'!$E$42:$E$1040,SUBSTITUTE(SUBSTITUTE(SUBSTITUTE($B574,"~","~~"),"*","~*"),"?","~?"),'DEF_SELF_SCOUT_IMPORT'!$Q$42:$Q$1040,SUBSTITUTE(SUBSTITUTE(SUBSTITUTE($M574,"~","~~"),"*","~*"),"?","~?"),'DEF_SELF_SCOUT_IMPORT'!$G$42:$G$1040,SUBSTITUTE(SUBSTITUTE(SUBSTITUTE($O574,"~","~~"),"*","~*"),"?","~?"))/$C574)</f>
        <v>0.0</v>
      </c>
      <c r="E574" s="10">
        <f>IF($C574=0,"",SUMIFS('DEF_SELF_SCOUT_IMPORT'!$K$42:$K$1040,'DEF_SELF_SCOUT_IMPORT'!$L$42:$L$1040,"Y",'DEF_SELF_SCOUT_IMPORT'!$E$42:$E$1040,SUBSTITUTE(SUBSTITUTE(SUBSTITUTE($B574,"~","~~"),"*","~*"),"?","~?"),'DEF_SELF_SCOUT_IMPORT'!$Q$42:$Q$1040,SUBSTITUTE(SUBSTITUTE(SUBSTITUTE($M574,"~","~~"),"*","~*"),"?","~?"),'DEF_SELF_SCOUT_IMPORT'!$G$42:$G$1040,SUBSTITUTE(SUBSTITUTE(SUBSTITUTE($O574,"~","~~"),"*","~*"),"?","~?"))/$C574)</f>
        <v>0.0</v>
      </c>
      <c r="F574" s="11">
        <f>IF($C574=0,"",AVERAGEIFS('DEF_SELF_SCOUT_IMPORT'!$I$42:$I$1040,'DEF_SELF_SCOUT_IMPORT'!$L$42:$L$1040,"Y",'DEF_SELF_SCOUT_IMPORT'!$E$42:$E$1040,SUBSTITUTE(SUBSTITUTE(SUBSTITUTE($B574,"~","~~"),"*","~*"),"?","~?"),'DEF_SELF_SCOUT_IMPORT'!$Q$42:$Q$1040,SUBSTITUTE(SUBSTITUTE(SUBSTITUTE($M574,"~","~~"),"*","~*"),"?","~?"),'DEF_SELF_SCOUT_IMPORT'!$G$42:$G$1040,SUBSTITUTE(SUBSTITUTE(SUBSTITUTE($O574,"~","~~"),"*","~*"),"?","~?")))</f>
        <v>4.0</v>
      </c>
      <c r="G574" s="10">
        <f>IF($C574=0,"",COUNTIFS('DEF_SELF_SCOUT_IMPORT'!$L$42:$L$1040,"Y",'DEF_SELF_SCOUT_IMPORT'!$E$42:$E$1040,SUBSTITUTE(SUBSTITUTE(SUBSTITUTE($B574,"~","~~"),"*","~*"),"?","~?"),'DEF_SELF_SCOUT_IMPORT'!$Q$42:$Q$1040,SUBSTITUTE(SUBSTITUTE(SUBSTITUTE($M574,"~","~~"),"*","~*"),"?","~?"),'DEF_SELF_SCOUT_IMPORT'!$G$42:$G$1040,SUBSTITUTE(SUBSTITUTE(SUBSTITUTE($O574,"~","~~"),"*","~*"),"?","~?"),'DEF_SELF_SCOUT_IMPORT'!$H$42:$H$1040,"RUSH")/$C574)</f>
        <v>1.0</v>
      </c>
      <c r="H574" s="10">
        <f>IF($C574=0,"",COUNTIFS('DEF_SELF_SCOUT_IMPORT'!$L$42:$L$1040,"Y",'DEF_SELF_SCOUT_IMPORT'!$E$42:$E$1040,SUBSTITUTE(SUBSTITUTE(SUBSTITUTE($B574,"~","~~"),"*","~*"),"?","~?"),'DEF_SELF_SCOUT_IMPORT'!$Q$42:$Q$1040,SUBSTITUTE(SUBSTITUTE(SUBSTITUTE($M574,"~","~~"),"*","~*"),"?","~?"),'DEF_SELF_SCOUT_IMPORT'!$G$42:$G$1040,SUBSTITUTE(SUBSTITUTE(SUBSTITUTE($O574,"~","~~"),"*","~*"),"?","~?"),'DEF_SELF_SCOUT_IMPORT'!$H$42:$H$1040,"DROPBACK")/$C574)</f>
        <v>0.0</v>
      </c>
      <c r="I574" s="14" t="str">
        <f>IF(C574=0,"",IF(C574&lt;=2,"TRACK",IF(C574=3,"LOW",IF(C574&lt;=6,"MEDIUM","HIGH"))))</f>
        <v>TRACK</v>
      </c>
      <c r="J574" s="11">
        <f>IF(C574=0,"",ROUND(D574*70+(1-E574)*20+MAX(0,MIN(1,(10-F574)/10))*10,1))</f>
        <v>26.0</v>
      </c>
      <c r="K574" s="14" t="str">
        <f>IF(C574=0,"No Evidence",IF(C574&lt;=2,IF(E574&gt;0,"Explosive Alert","Track Only"),IF(C574=3,"Sample Watch",IF(E574&gt;=START_HERE!$B$31,"Explosive Alert",IF(J574&gt;=80,"Strong Candidate",IF(J574&gt;=65,"Good Candidate",IF(J574&gt;=50,"Mixed / Review","Problem Call")))))))</f>
        <v>Track Only</v>
      </c>
      <c r="L574" s="9" t="str">
        <f>IF(COUNTIFS('DEF_SELF_SCOUT_IMPORT'!$L$42:$L$1040,"Y",'DEF_SELF_SCOUT_IMPORT'!$E$42:$E$1040,SUBSTITUTE(SUBSTITUTE(SUBSTITUTE($B574,"~","~~"),"*","~*"),"?","~?"),'DEF_SELF_SCOUT_IMPORT'!$Q$42:$Q$1040,SUBSTITUTE(SUBSTITUTE(SUBSTITUTE($M574,"~","~~"),"*","~*"),"?","~?"),'DEF_SELF_SCOUT_IMPORT'!$G$42:$G$1040,SUBSTITUTE(SUBSTITUTE(SUBSTITUTE($O574,"~","~~"),"*","~*"),"?","~?"),'DEF_SELF_SCOUT_IMPORT'!$J$42:$J$1040,"")&gt;0,"Unscored clean outcome; review result tags before using score.",IF(C574=0,"No matching defensive reps; film confirmation needed.",IF(K574="Explosive Alert","Explosive risk; review clips before using as answer.",IF(C574&lt;=2,"Track only; not enough sample.",IF(C574=3,IF(E574&gt;0,"Sample watch with explosive exposure; review clips and build the sample.",IF(J574&gt;=65,"Good signal, but sample is limited.","Sample watch; review clips and build the sample.")),IF(K574="Problem Call","Problem area; practice or call-sheet review.",IF(K574="Strong Candidate","Strong call-fit candidate; confirm on film.",IF(K574="Good Candidate","Good call-fit signal; confirm on film.","Mixed signal; review fit and execution on film."))))))))</f>
        <v>Track only; not enough sample.</v>
      </c>
      <c r="M574" s="8" t="s">
        <v>115</v>
      </c>
      <c r="N574" s="8"/>
      <c r="O574" s="8" t="s">
        <v>206</v>
      </c>
      <c r="P574" s="8"/>
      <c r="Q574" s="8"/>
      <c r="R574" s="8" t="s">
        <v>28</v>
      </c>
      <c r="S574" s="2" t="s">
        <v>282</v>
      </c>
      <c r="T574" s="2">
        <f>IF(C574=0,0,IF(C574&gt;=CALL_LOOKUP_BOARD!$B$7,IF(OR(K574="Problem Call",K574="Explosive Alert"),10000000,20000000),0)+IF(C574&gt;=CALL_LOOKUP_BOARD!$B$7,J574*1000+MIN(C574,999),C574*1000+J574)+0.00980000)</f>
        <v>1026.0098</v>
      </c>
      <c r="U574" s="2">
        <f>IF(C574=0,"",IF(COUNTIFS($S$375:$S$581,SUBSTITUTE(SUBSTITUTE(SUBSTITUTE(S574,"~","~~"),"*","~*"),"?","~?"),$T$375:$T$581,"&gt;"&amp;T574)=0,S574,""))</f>
        <v/>
      </c>
    </row>
    <row r="575" spans="1:21" ht="38" customHeight="1">
      <c r="A575" s="8" t="s">
        <v>281</v>
      </c>
      <c r="B575" s="8" t="s">
        <v>56</v>
      </c>
      <c r="C575" s="12">
        <f>COUNTIFS('DEF_SELF_SCOUT_IMPORT'!$L$42:$L$1040,"Y",'DEF_SELF_SCOUT_IMPORT'!$E$42:$E$1040,SUBSTITUTE(SUBSTITUTE(SUBSTITUTE($B575,"~","~~"),"*","~*"),"?","~?"),'DEF_SELF_SCOUT_IMPORT'!$Q$42:$Q$1040,SUBSTITUTE(SUBSTITUTE(SUBSTITUTE($M575,"~","~~"),"*","~*"),"?","~?"),'DEF_SELF_SCOUT_IMPORT'!$G$42:$G$1040,SUBSTITUTE(SUBSTITUTE(SUBSTITUTE($O575,"~","~~"),"*","~*"),"?","~?"))</f>
        <v>1</v>
      </c>
      <c r="D575" s="10">
        <f>IF($C575=0,"",SUMIFS('DEF_SELF_SCOUT_IMPORT'!$J$42:$J$1040,'DEF_SELF_SCOUT_IMPORT'!$L$42:$L$1040,"Y",'DEF_SELF_SCOUT_IMPORT'!$E$42:$E$1040,SUBSTITUTE(SUBSTITUTE(SUBSTITUTE($B575,"~","~~"),"*","~*"),"?","~?"),'DEF_SELF_SCOUT_IMPORT'!$Q$42:$Q$1040,SUBSTITUTE(SUBSTITUTE(SUBSTITUTE($M575,"~","~~"),"*","~*"),"?","~?"),'DEF_SELF_SCOUT_IMPORT'!$G$42:$G$1040,SUBSTITUTE(SUBSTITUTE(SUBSTITUTE($O575,"~","~~"),"*","~*"),"?","~?"))/$C575)</f>
        <v>0.0</v>
      </c>
      <c r="E575" s="10">
        <f>IF($C575=0,"",SUMIFS('DEF_SELF_SCOUT_IMPORT'!$K$42:$K$1040,'DEF_SELF_SCOUT_IMPORT'!$L$42:$L$1040,"Y",'DEF_SELF_SCOUT_IMPORT'!$E$42:$E$1040,SUBSTITUTE(SUBSTITUTE(SUBSTITUTE($B575,"~","~~"),"*","~*"),"?","~?"),'DEF_SELF_SCOUT_IMPORT'!$Q$42:$Q$1040,SUBSTITUTE(SUBSTITUTE(SUBSTITUTE($M575,"~","~~"),"*","~*"),"?","~?"),'DEF_SELF_SCOUT_IMPORT'!$G$42:$G$1040,SUBSTITUTE(SUBSTITUTE(SUBSTITUTE($O575,"~","~~"),"*","~*"),"?","~?"))/$C575)</f>
        <v>0.0</v>
      </c>
      <c r="F575" s="11">
        <f>IF($C575=0,"",AVERAGEIFS('DEF_SELF_SCOUT_IMPORT'!$I$42:$I$1040,'DEF_SELF_SCOUT_IMPORT'!$L$42:$L$1040,"Y",'DEF_SELF_SCOUT_IMPORT'!$E$42:$E$1040,SUBSTITUTE(SUBSTITUTE(SUBSTITUTE($B575,"~","~~"),"*","~*"),"?","~?"),'DEF_SELF_SCOUT_IMPORT'!$Q$42:$Q$1040,SUBSTITUTE(SUBSTITUTE(SUBSTITUTE($M575,"~","~~"),"*","~*"),"?","~?"),'DEF_SELF_SCOUT_IMPORT'!$G$42:$G$1040,SUBSTITUTE(SUBSTITUTE(SUBSTITUTE($O575,"~","~~"),"*","~*"),"?","~?")))</f>
        <v>13.0</v>
      </c>
      <c r="G575" s="10">
        <f>IF($C575=0,"",COUNTIFS('DEF_SELF_SCOUT_IMPORT'!$L$42:$L$1040,"Y",'DEF_SELF_SCOUT_IMPORT'!$E$42:$E$1040,SUBSTITUTE(SUBSTITUTE(SUBSTITUTE($B575,"~","~~"),"*","~*"),"?","~?"),'DEF_SELF_SCOUT_IMPORT'!$Q$42:$Q$1040,SUBSTITUTE(SUBSTITUTE(SUBSTITUTE($M575,"~","~~"),"*","~*"),"?","~?"),'DEF_SELF_SCOUT_IMPORT'!$G$42:$G$1040,SUBSTITUTE(SUBSTITUTE(SUBSTITUTE($O575,"~","~~"),"*","~*"),"?","~?"),'DEF_SELF_SCOUT_IMPORT'!$H$42:$H$1040,"RUSH")/$C575)</f>
        <v>0.0</v>
      </c>
      <c r="H575" s="10">
        <f>IF($C575=0,"",COUNTIFS('DEF_SELF_SCOUT_IMPORT'!$L$42:$L$1040,"Y",'DEF_SELF_SCOUT_IMPORT'!$E$42:$E$1040,SUBSTITUTE(SUBSTITUTE(SUBSTITUTE($B575,"~","~~"),"*","~*"),"?","~?"),'DEF_SELF_SCOUT_IMPORT'!$Q$42:$Q$1040,SUBSTITUTE(SUBSTITUTE(SUBSTITUTE($M575,"~","~~"),"*","~*"),"?","~?"),'DEF_SELF_SCOUT_IMPORT'!$G$42:$G$1040,SUBSTITUTE(SUBSTITUTE(SUBSTITUTE($O575,"~","~~"),"*","~*"),"?","~?"),'DEF_SELF_SCOUT_IMPORT'!$H$42:$H$1040,"DROPBACK")/$C575)</f>
        <v>1.0</v>
      </c>
      <c r="I575" s="14" t="str">
        <f>IF(C575=0,"",IF(C575&lt;=2,"TRACK",IF(C575=3,"LOW",IF(C575&lt;=6,"MEDIUM","HIGH"))))</f>
        <v>TRACK</v>
      </c>
      <c r="J575" s="11">
        <f>IF(C575=0,"",ROUND(D575*70+(1-E575)*20+MAX(0,MIN(1,(10-F575)/10))*10,1))</f>
        <v>20.0</v>
      </c>
      <c r="K575" s="14" t="str">
        <f>IF(C575=0,"No Evidence",IF(C575&lt;=2,IF(E575&gt;0,"Explosive Alert","Track Only"),IF(C575=3,"Sample Watch",IF(E575&gt;=START_HERE!$B$31,"Explosive Alert",IF(J575&gt;=80,"Strong Candidate",IF(J575&gt;=65,"Good Candidate",IF(J575&gt;=50,"Mixed / Review","Problem Call")))))))</f>
        <v>Track Only</v>
      </c>
      <c r="L575" s="9" t="str">
        <f>IF(COUNTIFS('DEF_SELF_SCOUT_IMPORT'!$L$42:$L$1040,"Y",'DEF_SELF_SCOUT_IMPORT'!$E$42:$E$1040,SUBSTITUTE(SUBSTITUTE(SUBSTITUTE($B575,"~","~~"),"*","~*"),"?","~?"),'DEF_SELF_SCOUT_IMPORT'!$Q$42:$Q$1040,SUBSTITUTE(SUBSTITUTE(SUBSTITUTE($M575,"~","~~"),"*","~*"),"?","~?"),'DEF_SELF_SCOUT_IMPORT'!$G$42:$G$1040,SUBSTITUTE(SUBSTITUTE(SUBSTITUTE($O575,"~","~~"),"*","~*"),"?","~?"),'DEF_SELF_SCOUT_IMPORT'!$J$42:$J$1040,"")&gt;0,"Unscored clean outcome; review result tags before using score.",IF(C575=0,"No matching defensive reps; film confirmation needed.",IF(K575="Explosive Alert","Explosive risk; review clips before using as answer.",IF(C575&lt;=2,"Track only; not enough sample.",IF(C575=3,IF(E575&gt;0,"Sample watch with explosive exposure; review clips and build the sample.",IF(J575&gt;=65,"Good signal, but sample is limited.","Sample watch; review clips and build the sample.")),IF(K575="Problem Call","Problem area; practice or call-sheet review.",IF(K575="Strong Candidate","Strong call-fit candidate; confirm on film.",IF(K575="Good Candidate","Good call-fit signal; confirm on film.","Mixed signal; review fit and execution on film."))))))))</f>
        <v>Track only; not enough sample.</v>
      </c>
      <c r="M575" s="8" t="s">
        <v>115</v>
      </c>
      <c r="N575" s="8"/>
      <c r="O575" s="8" t="s">
        <v>206</v>
      </c>
      <c r="P575" s="8"/>
      <c r="Q575" s="8"/>
      <c r="R575" s="8" t="s">
        <v>28</v>
      </c>
      <c r="S575" s="2" t="s">
        <v>282</v>
      </c>
      <c r="T575" s="2">
        <f>IF(C575=0,0,IF(C575&gt;=CALL_LOOKUP_BOARD!$B$7,IF(OR(K575="Problem Call",K575="Explosive Alert"),10000000,20000000),0)+IF(C575&gt;=CALL_LOOKUP_BOARD!$B$7,J575*1000+MIN(C575,999),C575*1000+J575)+0.00979900)</f>
        <v>1020.009799</v>
      </c>
      <c r="U575" s="2">
        <f>IF(C575=0,"",IF(COUNTIFS($S$375:$S$581,SUBSTITUTE(SUBSTITUTE(SUBSTITUTE(S575,"~","~~"),"*","~*"),"?","~?"),$T$375:$T$581,"&gt;"&amp;T575)=0,S575,""))</f>
        <v/>
      </c>
    </row>
    <row r="576" spans="1:21" ht="38" customHeight="1">
      <c r="A576" s="8" t="s">
        <v>281</v>
      </c>
      <c r="B576" s="8" t="s">
        <v>35</v>
      </c>
      <c r="C576" s="12">
        <f>COUNTIFS('DEF_SELF_SCOUT_IMPORT'!$L$42:$L$1040,"Y",'DEF_SELF_SCOUT_IMPORT'!$E$42:$E$1040,SUBSTITUTE(SUBSTITUTE(SUBSTITUTE($B576,"~","~~"),"*","~*"),"?","~?"),'DEF_SELF_SCOUT_IMPORT'!$Q$42:$Q$1040,SUBSTITUTE(SUBSTITUTE(SUBSTITUTE($M576,"~","~~"),"*","~*"),"?","~?"),'DEF_SELF_SCOUT_IMPORT'!$G$42:$G$1040,SUBSTITUTE(SUBSTITUTE(SUBSTITUTE($O576,"~","~~"),"*","~*"),"?","~?"))</f>
        <v>3</v>
      </c>
      <c r="D576" s="10">
        <f>IF($C576=0,"",SUMIFS('DEF_SELF_SCOUT_IMPORT'!$J$42:$J$1040,'DEF_SELF_SCOUT_IMPORT'!$L$42:$L$1040,"Y",'DEF_SELF_SCOUT_IMPORT'!$E$42:$E$1040,SUBSTITUTE(SUBSTITUTE(SUBSTITUTE($B576,"~","~~"),"*","~*"),"?","~?"),'DEF_SELF_SCOUT_IMPORT'!$Q$42:$Q$1040,SUBSTITUTE(SUBSTITUTE(SUBSTITUTE($M576,"~","~~"),"*","~*"),"?","~?"),'DEF_SELF_SCOUT_IMPORT'!$G$42:$G$1040,SUBSTITUTE(SUBSTITUTE(SUBSTITUTE($O576,"~","~~"),"*","~*"),"?","~?"))/$C576)</f>
        <v>0.6666666666666666</v>
      </c>
      <c r="E576" s="10">
        <f>IF($C576=0,"",SUMIFS('DEF_SELF_SCOUT_IMPORT'!$K$42:$K$1040,'DEF_SELF_SCOUT_IMPORT'!$L$42:$L$1040,"Y",'DEF_SELF_SCOUT_IMPORT'!$E$42:$E$1040,SUBSTITUTE(SUBSTITUTE(SUBSTITUTE($B576,"~","~~"),"*","~*"),"?","~?"),'DEF_SELF_SCOUT_IMPORT'!$Q$42:$Q$1040,SUBSTITUTE(SUBSTITUTE(SUBSTITUTE($M576,"~","~~"),"*","~*"),"?","~?"),'DEF_SELF_SCOUT_IMPORT'!$G$42:$G$1040,SUBSTITUTE(SUBSTITUTE(SUBSTITUTE($O576,"~","~~"),"*","~*"),"?","~?"))/$C576)</f>
        <v>0.3333333333333333</v>
      </c>
      <c r="F576" s="11">
        <f>IF($C576=0,"",AVERAGEIFS('DEF_SELF_SCOUT_IMPORT'!$I$42:$I$1040,'DEF_SELF_SCOUT_IMPORT'!$L$42:$L$1040,"Y",'DEF_SELF_SCOUT_IMPORT'!$E$42:$E$1040,SUBSTITUTE(SUBSTITUTE(SUBSTITUTE($B576,"~","~~"),"*","~*"),"?","~?"),'DEF_SELF_SCOUT_IMPORT'!$Q$42:$Q$1040,SUBSTITUTE(SUBSTITUTE(SUBSTITUTE($M576,"~","~~"),"*","~*"),"?","~?"),'DEF_SELF_SCOUT_IMPORT'!$G$42:$G$1040,SUBSTITUTE(SUBSTITUTE(SUBSTITUTE($O576,"~","~~"),"*","~*"),"?","~?")))</f>
        <v>18.0</v>
      </c>
      <c r="G576" s="10">
        <f>IF($C576=0,"",COUNTIFS('DEF_SELF_SCOUT_IMPORT'!$L$42:$L$1040,"Y",'DEF_SELF_SCOUT_IMPORT'!$E$42:$E$1040,SUBSTITUTE(SUBSTITUTE(SUBSTITUTE($B576,"~","~~"),"*","~*"),"?","~?"),'DEF_SELF_SCOUT_IMPORT'!$Q$42:$Q$1040,SUBSTITUTE(SUBSTITUTE(SUBSTITUTE($M576,"~","~~"),"*","~*"),"?","~?"),'DEF_SELF_SCOUT_IMPORT'!$G$42:$G$1040,SUBSTITUTE(SUBSTITUTE(SUBSTITUTE($O576,"~","~~"),"*","~*"),"?","~?"),'DEF_SELF_SCOUT_IMPORT'!$H$42:$H$1040,"RUSH")/$C576)</f>
        <v>0.3333333333333333</v>
      </c>
      <c r="H576" s="10">
        <f>IF($C576=0,"",COUNTIFS('DEF_SELF_SCOUT_IMPORT'!$L$42:$L$1040,"Y",'DEF_SELF_SCOUT_IMPORT'!$E$42:$E$1040,SUBSTITUTE(SUBSTITUTE(SUBSTITUTE($B576,"~","~~"),"*","~*"),"?","~?"),'DEF_SELF_SCOUT_IMPORT'!$Q$42:$Q$1040,SUBSTITUTE(SUBSTITUTE(SUBSTITUTE($M576,"~","~~"),"*","~*"),"?","~?"),'DEF_SELF_SCOUT_IMPORT'!$G$42:$G$1040,SUBSTITUTE(SUBSTITUTE(SUBSTITUTE($O576,"~","~~"),"*","~*"),"?","~?"),'DEF_SELF_SCOUT_IMPORT'!$H$42:$H$1040,"DROPBACK")/$C576)</f>
        <v>0.6666666666666666</v>
      </c>
      <c r="I576" s="14" t="str">
        <f>IF(C576=0,"",IF(C576&lt;=2,"TRACK",IF(C576=3,"LOW",IF(C576&lt;=6,"MEDIUM","HIGH"))))</f>
        <v>LOW</v>
      </c>
      <c r="J576" s="11">
        <f>IF(C576=0,"",ROUND(D576*70+(1-E576)*20+MAX(0,MIN(1,(10-F576)/10))*10,1))</f>
        <v>60.0</v>
      </c>
      <c r="K576" s="14" t="str">
        <f>IF(C576=0,"No Evidence",IF(C576&lt;=2,IF(E576&gt;0,"Explosive Alert","Track Only"),IF(C576=3,"Sample Watch",IF(E576&gt;=START_HERE!$B$31,"Explosive Alert",IF(J576&gt;=80,"Strong Candidate",IF(J576&gt;=65,"Good Candidate",IF(J576&gt;=50,"Mixed / Review","Problem Call")))))))</f>
        <v>Sample Watch</v>
      </c>
      <c r="L576" s="9" t="str">
        <f>IF(COUNTIFS('DEF_SELF_SCOUT_IMPORT'!$L$42:$L$1040,"Y",'DEF_SELF_SCOUT_IMPORT'!$E$42:$E$1040,SUBSTITUTE(SUBSTITUTE(SUBSTITUTE($B576,"~","~~"),"*","~*"),"?","~?"),'DEF_SELF_SCOUT_IMPORT'!$Q$42:$Q$1040,SUBSTITUTE(SUBSTITUTE(SUBSTITUTE($M576,"~","~~"),"*","~*"),"?","~?"),'DEF_SELF_SCOUT_IMPORT'!$G$42:$G$1040,SUBSTITUTE(SUBSTITUTE(SUBSTITUTE($O576,"~","~~"),"*","~*"),"?","~?"),'DEF_SELF_SCOUT_IMPORT'!$J$42:$J$1040,"")&gt;0,"Unscored clean outcome; review result tags before using score.",IF(C576=0,"No matching defensive reps; film confirmation needed.",IF(K576="Explosive Alert","Explosive risk; review clips before using as answer.",IF(C576&lt;=2,"Track only; not enough sample.",IF(C576=3,IF(E576&gt;0,"Sample watch with explosive exposure; review clips and build the sample.",IF(J576&gt;=65,"Good signal, but sample is limited.","Sample watch; review clips and build the sample.")),IF(K576="Problem Call","Problem area; practice or call-sheet review.",IF(K576="Strong Candidate","Strong call-fit candidate; confirm on film.",IF(K576="Good Candidate","Good call-fit signal; confirm on film.","Mixed signal; review fit and execution on film."))))))))</f>
        <v>Sample watch with explosive exposure; review clips and build the sample.</v>
      </c>
      <c r="M576" s="8" t="s">
        <v>115</v>
      </c>
      <c r="N576" s="8"/>
      <c r="O576" s="8" t="s">
        <v>206</v>
      </c>
      <c r="P576" s="8"/>
      <c r="Q576" s="8"/>
      <c r="R576" s="8" t="s">
        <v>28</v>
      </c>
      <c r="S576" s="2" t="s">
        <v>282</v>
      </c>
      <c r="T576" s="2">
        <f>IF(C576=0,0,IF(C576&gt;=CALL_LOOKUP_BOARD!$B$7,IF(OR(K576="Problem Call",K576="Explosive Alert"),10000000,20000000),0)+IF(C576&gt;=CALL_LOOKUP_BOARD!$B$7,J576*1000+MIN(C576,999),C576*1000+J576)+0.00979800)</f>
        <v>3060.009798</v>
      </c>
      <c r="U576" s="2">
        <f>IF(C576=0,"",IF(COUNTIFS($S$375:$S$581,SUBSTITUTE(SUBSTITUTE(SUBSTITUTE(S576,"~","~~"),"*","~*"),"?","~?"),$T$375:$T$581,"&gt;"&amp;T576)=0,S576,""))</f>
        <v/>
      </c>
    </row>
    <row r="577" spans="1:21" ht="38" customHeight="1">
      <c r="A577" s="8" t="s">
        <v>281</v>
      </c>
      <c r="B577" s="8" t="s">
        <v>60</v>
      </c>
      <c r="C577" s="12">
        <f>COUNTIFS('DEF_SELF_SCOUT_IMPORT'!$L$42:$L$1040,"Y",'DEF_SELF_SCOUT_IMPORT'!$E$42:$E$1040,SUBSTITUTE(SUBSTITUTE(SUBSTITUTE($B577,"~","~~"),"*","~*"),"?","~?"),'DEF_SELF_SCOUT_IMPORT'!$Q$42:$Q$1040,SUBSTITUTE(SUBSTITUTE(SUBSTITUTE($M577,"~","~~"),"*","~*"),"?","~?"),'DEF_SELF_SCOUT_IMPORT'!$G$42:$G$1040,SUBSTITUTE(SUBSTITUTE(SUBSTITUTE($O577,"~","~~"),"*","~*"),"?","~?"))</f>
        <v>1</v>
      </c>
      <c r="D577" s="10">
        <f>IF($C577=0,"",SUMIFS('DEF_SELF_SCOUT_IMPORT'!$J$42:$J$1040,'DEF_SELF_SCOUT_IMPORT'!$L$42:$L$1040,"Y",'DEF_SELF_SCOUT_IMPORT'!$E$42:$E$1040,SUBSTITUTE(SUBSTITUTE(SUBSTITUTE($B577,"~","~~"),"*","~*"),"?","~?"),'DEF_SELF_SCOUT_IMPORT'!$Q$42:$Q$1040,SUBSTITUTE(SUBSTITUTE(SUBSTITUTE($M577,"~","~~"),"*","~*"),"?","~?"),'DEF_SELF_SCOUT_IMPORT'!$G$42:$G$1040,SUBSTITUTE(SUBSTITUTE(SUBSTITUTE($O577,"~","~~"),"*","~*"),"?","~?"))/$C577)</f>
        <v>1.0</v>
      </c>
      <c r="E577" s="10">
        <f>IF($C577=0,"",SUMIFS('DEF_SELF_SCOUT_IMPORT'!$K$42:$K$1040,'DEF_SELF_SCOUT_IMPORT'!$L$42:$L$1040,"Y",'DEF_SELF_SCOUT_IMPORT'!$E$42:$E$1040,SUBSTITUTE(SUBSTITUTE(SUBSTITUTE($B577,"~","~~"),"*","~*"),"?","~?"),'DEF_SELF_SCOUT_IMPORT'!$Q$42:$Q$1040,SUBSTITUTE(SUBSTITUTE(SUBSTITUTE($M577,"~","~~"),"*","~*"),"?","~?"),'DEF_SELF_SCOUT_IMPORT'!$G$42:$G$1040,SUBSTITUTE(SUBSTITUTE(SUBSTITUTE($O577,"~","~~"),"*","~*"),"?","~?"))/$C577)</f>
        <v>0.0</v>
      </c>
      <c r="F577" s="11">
        <f>IF($C577=0,"",AVERAGEIFS('DEF_SELF_SCOUT_IMPORT'!$I$42:$I$1040,'DEF_SELF_SCOUT_IMPORT'!$L$42:$L$1040,"Y",'DEF_SELF_SCOUT_IMPORT'!$E$42:$E$1040,SUBSTITUTE(SUBSTITUTE(SUBSTITUTE($B577,"~","~~"),"*","~*"),"?","~?"),'DEF_SELF_SCOUT_IMPORT'!$Q$42:$Q$1040,SUBSTITUTE(SUBSTITUTE(SUBSTITUTE($M577,"~","~~"),"*","~*"),"?","~?"),'DEF_SELF_SCOUT_IMPORT'!$G$42:$G$1040,SUBSTITUTE(SUBSTITUTE(SUBSTITUTE($O577,"~","~~"),"*","~*"),"?","~?")))</f>
        <v>3.0</v>
      </c>
      <c r="G577" s="10">
        <f>IF($C577=0,"",COUNTIFS('DEF_SELF_SCOUT_IMPORT'!$L$42:$L$1040,"Y",'DEF_SELF_SCOUT_IMPORT'!$E$42:$E$1040,SUBSTITUTE(SUBSTITUTE(SUBSTITUTE($B577,"~","~~"),"*","~*"),"?","~?"),'DEF_SELF_SCOUT_IMPORT'!$Q$42:$Q$1040,SUBSTITUTE(SUBSTITUTE(SUBSTITUTE($M577,"~","~~"),"*","~*"),"?","~?"),'DEF_SELF_SCOUT_IMPORT'!$G$42:$G$1040,SUBSTITUTE(SUBSTITUTE(SUBSTITUTE($O577,"~","~~"),"*","~*"),"?","~?"),'DEF_SELF_SCOUT_IMPORT'!$H$42:$H$1040,"RUSH")/$C577)</f>
        <v>1.0</v>
      </c>
      <c r="H577" s="10">
        <f>IF($C577=0,"",COUNTIFS('DEF_SELF_SCOUT_IMPORT'!$L$42:$L$1040,"Y",'DEF_SELF_SCOUT_IMPORT'!$E$42:$E$1040,SUBSTITUTE(SUBSTITUTE(SUBSTITUTE($B577,"~","~~"),"*","~*"),"?","~?"),'DEF_SELF_SCOUT_IMPORT'!$Q$42:$Q$1040,SUBSTITUTE(SUBSTITUTE(SUBSTITUTE($M577,"~","~~"),"*","~*"),"?","~?"),'DEF_SELF_SCOUT_IMPORT'!$G$42:$G$1040,SUBSTITUTE(SUBSTITUTE(SUBSTITUTE($O577,"~","~~"),"*","~*"),"?","~?"),'DEF_SELF_SCOUT_IMPORT'!$H$42:$H$1040,"DROPBACK")/$C577)</f>
        <v>0.0</v>
      </c>
      <c r="I577" s="14" t="str">
        <f>IF(C577=0,"",IF(C577&lt;=2,"TRACK",IF(C577=3,"LOW",IF(C577&lt;=6,"MEDIUM","HIGH"))))</f>
        <v>TRACK</v>
      </c>
      <c r="J577" s="11">
        <f>IF(C577=0,"",ROUND(D577*70+(1-E577)*20+MAX(0,MIN(1,(10-F577)/10))*10,1))</f>
        <v>97.0</v>
      </c>
      <c r="K577" s="14" t="str">
        <f>IF(C577=0,"No Evidence",IF(C577&lt;=2,IF(E577&gt;0,"Explosive Alert","Track Only"),IF(C577=3,"Sample Watch",IF(E577&gt;=START_HERE!$B$31,"Explosive Alert",IF(J577&gt;=80,"Strong Candidate",IF(J577&gt;=65,"Good Candidate",IF(J577&gt;=50,"Mixed / Review","Problem Call")))))))</f>
        <v>Track Only</v>
      </c>
      <c r="L577" s="9" t="str">
        <f>IF(COUNTIFS('DEF_SELF_SCOUT_IMPORT'!$L$42:$L$1040,"Y",'DEF_SELF_SCOUT_IMPORT'!$E$42:$E$1040,SUBSTITUTE(SUBSTITUTE(SUBSTITUTE($B577,"~","~~"),"*","~*"),"?","~?"),'DEF_SELF_SCOUT_IMPORT'!$Q$42:$Q$1040,SUBSTITUTE(SUBSTITUTE(SUBSTITUTE($M577,"~","~~"),"*","~*"),"?","~?"),'DEF_SELF_SCOUT_IMPORT'!$G$42:$G$1040,SUBSTITUTE(SUBSTITUTE(SUBSTITUTE($O577,"~","~~"),"*","~*"),"?","~?"),'DEF_SELF_SCOUT_IMPORT'!$J$42:$J$1040,"")&gt;0,"Unscored clean outcome; review result tags before using score.",IF(C577=0,"No matching defensive reps; film confirmation needed.",IF(K577="Explosive Alert","Explosive risk; review clips before using as answer.",IF(C577&lt;=2,"Track only; not enough sample.",IF(C577=3,IF(E577&gt;0,"Sample watch with explosive exposure; review clips and build the sample.",IF(J577&gt;=65,"Good signal, but sample is limited.","Sample watch; review clips and build the sample.")),IF(K577="Problem Call","Problem area; practice or call-sheet review.",IF(K577="Strong Candidate","Strong call-fit candidate; confirm on film.",IF(K577="Good Candidate","Good call-fit signal; confirm on film.","Mixed signal; review fit and execution on film."))))))))</f>
        <v>Track only; not enough sample.</v>
      </c>
      <c r="M577" s="8" t="s">
        <v>115</v>
      </c>
      <c r="N577" s="8"/>
      <c r="O577" s="8" t="s">
        <v>206</v>
      </c>
      <c r="P577" s="8"/>
      <c r="Q577" s="8"/>
      <c r="R577" s="8" t="s">
        <v>28</v>
      </c>
      <c r="S577" s="2" t="s">
        <v>282</v>
      </c>
      <c r="T577" s="2">
        <f>IF(C577=0,0,IF(C577&gt;=CALL_LOOKUP_BOARD!$B$7,IF(OR(K577="Problem Call",K577="Explosive Alert"),10000000,20000000),0)+IF(C577&gt;=CALL_LOOKUP_BOARD!$B$7,J577*1000+MIN(C577,999),C577*1000+J577)+0.00979700)</f>
        <v>1097.009797</v>
      </c>
      <c r="U577" s="2">
        <f>IF(C577=0,"",IF(COUNTIFS($S$375:$S$581,SUBSTITUTE(SUBSTITUTE(SUBSTITUTE(S577,"~","~~"),"*","~*"),"?","~?"),$T$375:$T$581,"&gt;"&amp;T577)=0,S577,""))</f>
        <v/>
      </c>
    </row>
    <row r="578" spans="1:21" ht="38" customHeight="1">
      <c r="A578" s="8" t="s">
        <v>281</v>
      </c>
      <c r="B578" s="8" t="s">
        <v>62</v>
      </c>
      <c r="C578" s="12">
        <f>COUNTIFS('DEF_SELF_SCOUT_IMPORT'!$L$42:$L$1040,"Y",'DEF_SELF_SCOUT_IMPORT'!$E$42:$E$1040,SUBSTITUTE(SUBSTITUTE(SUBSTITUTE($B578,"~","~~"),"*","~*"),"?","~?"),'DEF_SELF_SCOUT_IMPORT'!$Q$42:$Q$1040,SUBSTITUTE(SUBSTITUTE(SUBSTITUTE($M578,"~","~~"),"*","~*"),"?","~?"),'DEF_SELF_SCOUT_IMPORT'!$G$42:$G$1040,SUBSTITUTE(SUBSTITUTE(SUBSTITUTE($O578,"~","~~"),"*","~*"),"?","~?"))</f>
        <v>1</v>
      </c>
      <c r="D578" s="10">
        <f>IF($C578=0,"",SUMIFS('DEF_SELF_SCOUT_IMPORT'!$J$42:$J$1040,'DEF_SELF_SCOUT_IMPORT'!$L$42:$L$1040,"Y",'DEF_SELF_SCOUT_IMPORT'!$E$42:$E$1040,SUBSTITUTE(SUBSTITUTE(SUBSTITUTE($B578,"~","~~"),"*","~*"),"?","~?"),'DEF_SELF_SCOUT_IMPORT'!$Q$42:$Q$1040,SUBSTITUTE(SUBSTITUTE(SUBSTITUTE($M578,"~","~~"),"*","~*"),"?","~?"),'DEF_SELF_SCOUT_IMPORT'!$G$42:$G$1040,SUBSTITUTE(SUBSTITUTE(SUBSTITUTE($O578,"~","~~"),"*","~*"),"?","~?"))/$C578)</f>
        <v>0.0</v>
      </c>
      <c r="E578" s="10">
        <f>IF($C578=0,"",SUMIFS('DEF_SELF_SCOUT_IMPORT'!$K$42:$K$1040,'DEF_SELF_SCOUT_IMPORT'!$L$42:$L$1040,"Y",'DEF_SELF_SCOUT_IMPORT'!$E$42:$E$1040,SUBSTITUTE(SUBSTITUTE(SUBSTITUTE($B578,"~","~~"),"*","~*"),"?","~?"),'DEF_SELF_SCOUT_IMPORT'!$Q$42:$Q$1040,SUBSTITUTE(SUBSTITUTE(SUBSTITUTE($M578,"~","~~"),"*","~*"),"?","~?"),'DEF_SELF_SCOUT_IMPORT'!$G$42:$G$1040,SUBSTITUTE(SUBSTITUTE(SUBSTITUTE($O578,"~","~~"),"*","~*"),"?","~?"))/$C578)</f>
        <v>1.0</v>
      </c>
      <c r="F578" s="11">
        <f>IF($C578=0,"",AVERAGEIFS('DEF_SELF_SCOUT_IMPORT'!$I$42:$I$1040,'DEF_SELF_SCOUT_IMPORT'!$L$42:$L$1040,"Y",'DEF_SELF_SCOUT_IMPORT'!$E$42:$E$1040,SUBSTITUTE(SUBSTITUTE(SUBSTITUTE($B578,"~","~~"),"*","~*"),"?","~?"),'DEF_SELF_SCOUT_IMPORT'!$Q$42:$Q$1040,SUBSTITUTE(SUBSTITUTE(SUBSTITUTE($M578,"~","~~"),"*","~*"),"?","~?"),'DEF_SELF_SCOUT_IMPORT'!$G$42:$G$1040,SUBSTITUTE(SUBSTITUTE(SUBSTITUTE($O578,"~","~~"),"*","~*"),"?","~?")))</f>
        <v>25.0</v>
      </c>
      <c r="G578" s="10">
        <f>IF($C578=0,"",COUNTIFS('DEF_SELF_SCOUT_IMPORT'!$L$42:$L$1040,"Y",'DEF_SELF_SCOUT_IMPORT'!$E$42:$E$1040,SUBSTITUTE(SUBSTITUTE(SUBSTITUTE($B578,"~","~~"),"*","~*"),"?","~?"),'DEF_SELF_SCOUT_IMPORT'!$Q$42:$Q$1040,SUBSTITUTE(SUBSTITUTE(SUBSTITUTE($M578,"~","~~"),"*","~*"),"?","~?"),'DEF_SELF_SCOUT_IMPORT'!$G$42:$G$1040,SUBSTITUTE(SUBSTITUTE(SUBSTITUTE($O578,"~","~~"),"*","~*"),"?","~?"),'DEF_SELF_SCOUT_IMPORT'!$H$42:$H$1040,"RUSH")/$C578)</f>
        <v>1.0</v>
      </c>
      <c r="H578" s="10">
        <f>IF($C578=0,"",COUNTIFS('DEF_SELF_SCOUT_IMPORT'!$L$42:$L$1040,"Y",'DEF_SELF_SCOUT_IMPORT'!$E$42:$E$1040,SUBSTITUTE(SUBSTITUTE(SUBSTITUTE($B578,"~","~~"),"*","~*"),"?","~?"),'DEF_SELF_SCOUT_IMPORT'!$Q$42:$Q$1040,SUBSTITUTE(SUBSTITUTE(SUBSTITUTE($M578,"~","~~"),"*","~*"),"?","~?"),'DEF_SELF_SCOUT_IMPORT'!$G$42:$G$1040,SUBSTITUTE(SUBSTITUTE(SUBSTITUTE($O578,"~","~~"),"*","~*"),"?","~?"),'DEF_SELF_SCOUT_IMPORT'!$H$42:$H$1040,"DROPBACK")/$C578)</f>
        <v>0.0</v>
      </c>
      <c r="I578" s="14" t="str">
        <f>IF(C578=0,"",IF(C578&lt;=2,"TRACK",IF(C578=3,"LOW",IF(C578&lt;=6,"MEDIUM","HIGH"))))</f>
        <v>TRACK</v>
      </c>
      <c r="J578" s="11">
        <f>IF(C578=0,"",ROUND(D578*70+(1-E578)*20+MAX(0,MIN(1,(10-F578)/10))*10,1))</f>
        <v>0.0</v>
      </c>
      <c r="K578" s="14" t="str">
        <f>IF(C578=0,"No Evidence",IF(C578&lt;=2,IF(E578&gt;0,"Explosive Alert","Track Only"),IF(C578=3,"Sample Watch",IF(E578&gt;=START_HERE!$B$31,"Explosive Alert",IF(J578&gt;=80,"Strong Candidate",IF(J578&gt;=65,"Good Candidate",IF(J578&gt;=50,"Mixed / Review","Problem Call")))))))</f>
        <v>Explosive Alert</v>
      </c>
      <c r="L578" s="9" t="str">
        <f>IF(COUNTIFS('DEF_SELF_SCOUT_IMPORT'!$L$42:$L$1040,"Y",'DEF_SELF_SCOUT_IMPORT'!$E$42:$E$1040,SUBSTITUTE(SUBSTITUTE(SUBSTITUTE($B578,"~","~~"),"*","~*"),"?","~?"),'DEF_SELF_SCOUT_IMPORT'!$Q$42:$Q$1040,SUBSTITUTE(SUBSTITUTE(SUBSTITUTE($M578,"~","~~"),"*","~*"),"?","~?"),'DEF_SELF_SCOUT_IMPORT'!$G$42:$G$1040,SUBSTITUTE(SUBSTITUTE(SUBSTITUTE($O578,"~","~~"),"*","~*"),"?","~?"),'DEF_SELF_SCOUT_IMPORT'!$J$42:$J$1040,"")&gt;0,"Unscored clean outcome; review result tags before using score.",IF(C578=0,"No matching defensive reps; film confirmation needed.",IF(K578="Explosive Alert","Explosive risk; review clips before using as answer.",IF(C578&lt;=2,"Track only; not enough sample.",IF(C578=3,IF(E578&gt;0,"Sample watch with explosive exposure; review clips and build the sample.",IF(J578&gt;=65,"Good signal, but sample is limited.","Sample watch; review clips and build the sample.")),IF(K578="Problem Call","Problem area; practice or call-sheet review.",IF(K578="Strong Candidate","Strong call-fit candidate; confirm on film.",IF(K578="Good Candidate","Good call-fit signal; confirm on film.","Mixed signal; review fit and execution on film."))))))))</f>
        <v>Explosive risk; review clips before using as answer.</v>
      </c>
      <c r="M578" s="8" t="s">
        <v>115</v>
      </c>
      <c r="N578" s="8"/>
      <c r="O578" s="8" t="s">
        <v>206</v>
      </c>
      <c r="P578" s="8"/>
      <c r="Q578" s="8"/>
      <c r="R578" s="8" t="s">
        <v>28</v>
      </c>
      <c r="S578" s="2" t="s">
        <v>282</v>
      </c>
      <c r="T578" s="2">
        <f>IF(C578=0,0,IF(C578&gt;=CALL_LOOKUP_BOARD!$B$7,IF(OR(K578="Problem Call",K578="Explosive Alert"),10000000,20000000),0)+IF(C578&gt;=CALL_LOOKUP_BOARD!$B$7,J578*1000+MIN(C578,999),C578*1000+J578)+0.00979600)</f>
        <v>1000.009796</v>
      </c>
      <c r="U578" s="2">
        <f>IF(C578=0,"",IF(COUNTIFS($S$375:$S$581,SUBSTITUTE(SUBSTITUTE(SUBSTITUTE(S578,"~","~~"),"*","~*"),"?","~?"),$T$375:$T$581,"&gt;"&amp;T578)=0,S578,""))</f>
        <v/>
      </c>
    </row>
    <row r="579" spans="1:21" ht="38" customHeight="1">
      <c r="A579" s="8" t="s">
        <v>281</v>
      </c>
      <c r="B579" s="8" t="s">
        <v>63</v>
      </c>
      <c r="C579" s="12">
        <f>COUNTIFS('DEF_SELF_SCOUT_IMPORT'!$L$42:$L$1040,"Y",'DEF_SELF_SCOUT_IMPORT'!$E$42:$E$1040,SUBSTITUTE(SUBSTITUTE(SUBSTITUTE($B579,"~","~~"),"*","~*"),"?","~?"),'DEF_SELF_SCOUT_IMPORT'!$Q$42:$Q$1040,SUBSTITUTE(SUBSTITUTE(SUBSTITUTE($M579,"~","~~"),"*","~*"),"?","~?"),'DEF_SELF_SCOUT_IMPORT'!$G$42:$G$1040,SUBSTITUTE(SUBSTITUTE(SUBSTITUTE($O579,"~","~~"),"*","~*"),"?","~?"))</f>
        <v>2</v>
      </c>
      <c r="D579" s="10">
        <f>IF($C579=0,"",SUMIFS('DEF_SELF_SCOUT_IMPORT'!$J$42:$J$1040,'DEF_SELF_SCOUT_IMPORT'!$L$42:$L$1040,"Y",'DEF_SELF_SCOUT_IMPORT'!$E$42:$E$1040,SUBSTITUTE(SUBSTITUTE(SUBSTITUTE($B579,"~","~~"),"*","~*"),"?","~?"),'DEF_SELF_SCOUT_IMPORT'!$Q$42:$Q$1040,SUBSTITUTE(SUBSTITUTE(SUBSTITUTE($M579,"~","~~"),"*","~*"),"?","~?"),'DEF_SELF_SCOUT_IMPORT'!$G$42:$G$1040,SUBSTITUTE(SUBSTITUTE(SUBSTITUTE($O579,"~","~~"),"*","~*"),"?","~?"))/$C579)</f>
        <v>0.5</v>
      </c>
      <c r="E579" s="10">
        <f>IF($C579=0,"",SUMIFS('DEF_SELF_SCOUT_IMPORT'!$K$42:$K$1040,'DEF_SELF_SCOUT_IMPORT'!$L$42:$L$1040,"Y",'DEF_SELF_SCOUT_IMPORT'!$E$42:$E$1040,SUBSTITUTE(SUBSTITUTE(SUBSTITUTE($B579,"~","~~"),"*","~*"),"?","~?"),'DEF_SELF_SCOUT_IMPORT'!$Q$42:$Q$1040,SUBSTITUTE(SUBSTITUTE(SUBSTITUTE($M579,"~","~~"),"*","~*"),"?","~?"),'DEF_SELF_SCOUT_IMPORT'!$G$42:$G$1040,SUBSTITUTE(SUBSTITUTE(SUBSTITUTE($O579,"~","~~"),"*","~*"),"?","~?"))/$C579)</f>
        <v>0.5</v>
      </c>
      <c r="F579" s="11">
        <f>IF($C579=0,"",AVERAGEIFS('DEF_SELF_SCOUT_IMPORT'!$I$42:$I$1040,'DEF_SELF_SCOUT_IMPORT'!$L$42:$L$1040,"Y",'DEF_SELF_SCOUT_IMPORT'!$E$42:$E$1040,SUBSTITUTE(SUBSTITUTE(SUBSTITUTE($B579,"~","~~"),"*","~*"),"?","~?"),'DEF_SELF_SCOUT_IMPORT'!$Q$42:$Q$1040,SUBSTITUTE(SUBSTITUTE(SUBSTITUTE($M579,"~","~~"),"*","~*"),"?","~?"),'DEF_SELF_SCOUT_IMPORT'!$G$42:$G$1040,SUBSTITUTE(SUBSTITUTE(SUBSTITUTE($O579,"~","~~"),"*","~*"),"?","~?")))</f>
        <v>10.0</v>
      </c>
      <c r="G579" s="10">
        <f>IF($C579=0,"",COUNTIFS('DEF_SELF_SCOUT_IMPORT'!$L$42:$L$1040,"Y",'DEF_SELF_SCOUT_IMPORT'!$E$42:$E$1040,SUBSTITUTE(SUBSTITUTE(SUBSTITUTE($B579,"~","~~"),"*","~*"),"?","~?"),'DEF_SELF_SCOUT_IMPORT'!$Q$42:$Q$1040,SUBSTITUTE(SUBSTITUTE(SUBSTITUTE($M579,"~","~~"),"*","~*"),"?","~?"),'DEF_SELF_SCOUT_IMPORT'!$G$42:$G$1040,SUBSTITUTE(SUBSTITUTE(SUBSTITUTE($O579,"~","~~"),"*","~*"),"?","~?"),'DEF_SELF_SCOUT_IMPORT'!$H$42:$H$1040,"RUSH")/$C579)</f>
        <v>0.0</v>
      </c>
      <c r="H579" s="10">
        <f>IF($C579=0,"",COUNTIFS('DEF_SELF_SCOUT_IMPORT'!$L$42:$L$1040,"Y",'DEF_SELF_SCOUT_IMPORT'!$E$42:$E$1040,SUBSTITUTE(SUBSTITUTE(SUBSTITUTE($B579,"~","~~"),"*","~*"),"?","~?"),'DEF_SELF_SCOUT_IMPORT'!$Q$42:$Q$1040,SUBSTITUTE(SUBSTITUTE(SUBSTITUTE($M579,"~","~~"),"*","~*"),"?","~?"),'DEF_SELF_SCOUT_IMPORT'!$G$42:$G$1040,SUBSTITUTE(SUBSTITUTE(SUBSTITUTE($O579,"~","~~"),"*","~*"),"?","~?"),'DEF_SELF_SCOUT_IMPORT'!$H$42:$H$1040,"DROPBACK")/$C579)</f>
        <v>1.0</v>
      </c>
      <c r="I579" s="14" t="str">
        <f>IF(C579=0,"",IF(C579&lt;=2,"TRACK",IF(C579=3,"LOW",IF(C579&lt;=6,"MEDIUM","HIGH"))))</f>
        <v>TRACK</v>
      </c>
      <c r="J579" s="11">
        <f>IF(C579=0,"",ROUND(D579*70+(1-E579)*20+MAX(0,MIN(1,(10-F579)/10))*10,1))</f>
        <v>45.0</v>
      </c>
      <c r="K579" s="14" t="str">
        <f>IF(C579=0,"No Evidence",IF(C579&lt;=2,IF(E579&gt;0,"Explosive Alert","Track Only"),IF(C579=3,"Sample Watch",IF(E579&gt;=START_HERE!$B$31,"Explosive Alert",IF(J579&gt;=80,"Strong Candidate",IF(J579&gt;=65,"Good Candidate",IF(J579&gt;=50,"Mixed / Review","Problem Call")))))))</f>
        <v>Explosive Alert</v>
      </c>
      <c r="L579" s="9" t="str">
        <f>IF(COUNTIFS('DEF_SELF_SCOUT_IMPORT'!$L$42:$L$1040,"Y",'DEF_SELF_SCOUT_IMPORT'!$E$42:$E$1040,SUBSTITUTE(SUBSTITUTE(SUBSTITUTE($B579,"~","~~"),"*","~*"),"?","~?"),'DEF_SELF_SCOUT_IMPORT'!$Q$42:$Q$1040,SUBSTITUTE(SUBSTITUTE(SUBSTITUTE($M579,"~","~~"),"*","~*"),"?","~?"),'DEF_SELF_SCOUT_IMPORT'!$G$42:$G$1040,SUBSTITUTE(SUBSTITUTE(SUBSTITUTE($O579,"~","~~"),"*","~*"),"?","~?"),'DEF_SELF_SCOUT_IMPORT'!$J$42:$J$1040,"")&gt;0,"Unscored clean outcome; review result tags before using score.",IF(C579=0,"No matching defensive reps; film confirmation needed.",IF(K579="Explosive Alert","Explosive risk; review clips before using as answer.",IF(C579&lt;=2,"Track only; not enough sample.",IF(C579=3,IF(E579&gt;0,"Sample watch with explosive exposure; review clips and build the sample.",IF(J579&gt;=65,"Good signal, but sample is limited.","Sample watch; review clips and build the sample.")),IF(K579="Problem Call","Problem area; practice or call-sheet review.",IF(K579="Strong Candidate","Strong call-fit candidate; confirm on film.",IF(K579="Good Candidate","Good call-fit signal; confirm on film.","Mixed signal; review fit and execution on film."))))))))</f>
        <v>Explosive risk; review clips before using as answer.</v>
      </c>
      <c r="M579" s="8" t="s">
        <v>115</v>
      </c>
      <c r="N579" s="8"/>
      <c r="O579" s="8" t="s">
        <v>206</v>
      </c>
      <c r="P579" s="8"/>
      <c r="Q579" s="8"/>
      <c r="R579" s="8" t="s">
        <v>28</v>
      </c>
      <c r="S579" s="2" t="s">
        <v>282</v>
      </c>
      <c r="T579" s="2">
        <f>IF(C579=0,0,IF(C579&gt;=CALL_LOOKUP_BOARD!$B$7,IF(OR(K579="Problem Call",K579="Explosive Alert"),10000000,20000000),0)+IF(C579&gt;=CALL_LOOKUP_BOARD!$B$7,J579*1000+MIN(C579,999),C579*1000+J579)+0.00979500)</f>
        <v>2045.009795</v>
      </c>
      <c r="U579" s="2">
        <f>IF(C579=0,"",IF(COUNTIFS($S$375:$S$581,SUBSTITUTE(SUBSTITUTE(SUBSTITUTE(S579,"~","~~"),"*","~*"),"?","~?"),$T$375:$T$581,"&gt;"&amp;T579)=0,S579,""))</f>
        <v/>
      </c>
    </row>
    <row r="580" spans="1:21" ht="38" customHeight="1">
      <c r="A580" s="8" t="s">
        <v>281</v>
      </c>
      <c r="B580" s="8" t="s">
        <v>68</v>
      </c>
      <c r="C580" s="12">
        <f>COUNTIFS('DEF_SELF_SCOUT_IMPORT'!$L$42:$L$1040,"Y",'DEF_SELF_SCOUT_IMPORT'!$E$42:$E$1040,SUBSTITUTE(SUBSTITUTE(SUBSTITUTE($B580,"~","~~"),"*","~*"),"?","~?"),'DEF_SELF_SCOUT_IMPORT'!$Q$42:$Q$1040,SUBSTITUTE(SUBSTITUTE(SUBSTITUTE($M580,"~","~~"),"*","~*"),"?","~?"),'DEF_SELF_SCOUT_IMPORT'!$G$42:$G$1040,SUBSTITUTE(SUBSTITUTE(SUBSTITUTE($O580,"~","~~"),"*","~*"),"?","~?"))</f>
        <v>3</v>
      </c>
      <c r="D580" s="10">
        <f>IF($C580=0,"",SUMIFS('DEF_SELF_SCOUT_IMPORT'!$J$42:$J$1040,'DEF_SELF_SCOUT_IMPORT'!$L$42:$L$1040,"Y",'DEF_SELF_SCOUT_IMPORT'!$E$42:$E$1040,SUBSTITUTE(SUBSTITUTE(SUBSTITUTE($B580,"~","~~"),"*","~*"),"?","~?"),'DEF_SELF_SCOUT_IMPORT'!$Q$42:$Q$1040,SUBSTITUTE(SUBSTITUTE(SUBSTITUTE($M580,"~","~~"),"*","~*"),"?","~?"),'DEF_SELF_SCOUT_IMPORT'!$G$42:$G$1040,SUBSTITUTE(SUBSTITUTE(SUBSTITUTE($O580,"~","~~"),"*","~*"),"?","~?"))/$C580)</f>
        <v>1.0</v>
      </c>
      <c r="E580" s="10">
        <f>IF($C580=0,"",SUMIFS('DEF_SELF_SCOUT_IMPORT'!$K$42:$K$1040,'DEF_SELF_SCOUT_IMPORT'!$L$42:$L$1040,"Y",'DEF_SELF_SCOUT_IMPORT'!$E$42:$E$1040,SUBSTITUTE(SUBSTITUTE(SUBSTITUTE($B580,"~","~~"),"*","~*"),"?","~?"),'DEF_SELF_SCOUT_IMPORT'!$Q$42:$Q$1040,SUBSTITUTE(SUBSTITUTE(SUBSTITUTE($M580,"~","~~"),"*","~*"),"?","~?"),'DEF_SELF_SCOUT_IMPORT'!$G$42:$G$1040,SUBSTITUTE(SUBSTITUTE(SUBSTITUTE($O580,"~","~~"),"*","~*"),"?","~?"))/$C580)</f>
        <v>0.0</v>
      </c>
      <c r="F580" s="11">
        <f>IF($C580=0,"",AVERAGEIFS('DEF_SELF_SCOUT_IMPORT'!$I$42:$I$1040,'DEF_SELF_SCOUT_IMPORT'!$L$42:$L$1040,"Y",'DEF_SELF_SCOUT_IMPORT'!$E$42:$E$1040,SUBSTITUTE(SUBSTITUTE(SUBSTITUTE($B580,"~","~~"),"*","~*"),"?","~?"),'DEF_SELF_SCOUT_IMPORT'!$Q$42:$Q$1040,SUBSTITUTE(SUBSTITUTE(SUBSTITUTE($M580,"~","~~"),"*","~*"),"?","~?"),'DEF_SELF_SCOUT_IMPORT'!$G$42:$G$1040,SUBSTITUTE(SUBSTITUTE(SUBSTITUTE($O580,"~","~~"),"*","~*"),"?","~?")))</f>
        <v>-2.3333333333333335</v>
      </c>
      <c r="G580" s="10">
        <f>IF($C580=0,"",COUNTIFS('DEF_SELF_SCOUT_IMPORT'!$L$42:$L$1040,"Y",'DEF_SELF_SCOUT_IMPORT'!$E$42:$E$1040,SUBSTITUTE(SUBSTITUTE(SUBSTITUTE($B580,"~","~~"),"*","~*"),"?","~?"),'DEF_SELF_SCOUT_IMPORT'!$Q$42:$Q$1040,SUBSTITUTE(SUBSTITUTE(SUBSTITUTE($M580,"~","~~"),"*","~*"),"?","~?"),'DEF_SELF_SCOUT_IMPORT'!$G$42:$G$1040,SUBSTITUTE(SUBSTITUTE(SUBSTITUTE($O580,"~","~~"),"*","~*"),"?","~?"),'DEF_SELF_SCOUT_IMPORT'!$H$42:$H$1040,"RUSH")/$C580)</f>
        <v>0.3333333333333333</v>
      </c>
      <c r="H580" s="10">
        <f>IF($C580=0,"",COUNTIFS('DEF_SELF_SCOUT_IMPORT'!$L$42:$L$1040,"Y",'DEF_SELF_SCOUT_IMPORT'!$E$42:$E$1040,SUBSTITUTE(SUBSTITUTE(SUBSTITUTE($B580,"~","~~"),"*","~*"),"?","~?"),'DEF_SELF_SCOUT_IMPORT'!$Q$42:$Q$1040,SUBSTITUTE(SUBSTITUTE(SUBSTITUTE($M580,"~","~~"),"*","~*"),"?","~?"),'DEF_SELF_SCOUT_IMPORT'!$G$42:$G$1040,SUBSTITUTE(SUBSTITUTE(SUBSTITUTE($O580,"~","~~"),"*","~*"),"?","~?"),'DEF_SELF_SCOUT_IMPORT'!$H$42:$H$1040,"DROPBACK")/$C580)</f>
        <v>0.6666666666666666</v>
      </c>
      <c r="I580" s="14" t="str">
        <f>IF(C580=0,"",IF(C580&lt;=2,"TRACK",IF(C580=3,"LOW",IF(C580&lt;=6,"MEDIUM","HIGH"))))</f>
        <v>LOW</v>
      </c>
      <c r="J580" s="11">
        <f>IF(C580=0,"",ROUND(D580*70+(1-E580)*20+MAX(0,MIN(1,(10-F580)/10))*10,1))</f>
        <v>100.0</v>
      </c>
      <c r="K580" s="14" t="str">
        <f>IF(C580=0,"No Evidence",IF(C580&lt;=2,IF(E580&gt;0,"Explosive Alert","Track Only"),IF(C580=3,"Sample Watch",IF(E580&gt;=START_HERE!$B$31,"Explosive Alert",IF(J580&gt;=80,"Strong Candidate",IF(J580&gt;=65,"Good Candidate",IF(J580&gt;=50,"Mixed / Review","Problem Call")))))))</f>
        <v>Sample Watch</v>
      </c>
      <c r="L580" s="9" t="str">
        <f>IF(COUNTIFS('DEF_SELF_SCOUT_IMPORT'!$L$42:$L$1040,"Y",'DEF_SELF_SCOUT_IMPORT'!$E$42:$E$1040,SUBSTITUTE(SUBSTITUTE(SUBSTITUTE($B580,"~","~~"),"*","~*"),"?","~?"),'DEF_SELF_SCOUT_IMPORT'!$Q$42:$Q$1040,SUBSTITUTE(SUBSTITUTE(SUBSTITUTE($M580,"~","~~"),"*","~*"),"?","~?"),'DEF_SELF_SCOUT_IMPORT'!$G$42:$G$1040,SUBSTITUTE(SUBSTITUTE(SUBSTITUTE($O580,"~","~~"),"*","~*"),"?","~?"),'DEF_SELF_SCOUT_IMPORT'!$J$42:$J$1040,"")&gt;0,"Unscored clean outcome; review result tags before using score.",IF(C580=0,"No matching defensive reps; film confirmation needed.",IF(K580="Explosive Alert","Explosive risk; review clips before using as answer.",IF(C580&lt;=2,"Track only; not enough sample.",IF(C580=3,IF(E580&gt;0,"Sample watch with explosive exposure; review clips and build the sample.",IF(J580&gt;=65,"Good signal, but sample is limited.","Sample watch; review clips and build the sample.")),IF(K580="Problem Call","Problem area; practice or call-sheet review.",IF(K580="Strong Candidate","Strong call-fit candidate; confirm on film.",IF(K580="Good Candidate","Good call-fit signal; confirm on film.","Mixed signal; review fit and execution on film."))))))))</f>
        <v>Good signal, but sample is limited.</v>
      </c>
      <c r="M580" s="8" t="s">
        <v>115</v>
      </c>
      <c r="N580" s="8"/>
      <c r="O580" s="8" t="s">
        <v>206</v>
      </c>
      <c r="P580" s="8"/>
      <c r="Q580" s="8"/>
      <c r="R580" s="8" t="s">
        <v>28</v>
      </c>
      <c r="S580" s="2" t="s">
        <v>282</v>
      </c>
      <c r="T580" s="2">
        <f>IF(C580=0,0,IF(C580&gt;=CALL_LOOKUP_BOARD!$B$7,IF(OR(K580="Problem Call",K580="Explosive Alert"),10000000,20000000),0)+IF(C580&gt;=CALL_LOOKUP_BOARD!$B$7,J580*1000+MIN(C580,999),C580*1000+J580)+0.00979400)</f>
        <v>3100.009794</v>
      </c>
      <c r="U580" s="2" t="str">
        <f>IF(C580=0,"",IF(COUNTIFS($S$375:$S$581,SUBSTITUTE(SUBSTITUTE(SUBSTITUTE(S580,"~","~~"),"*","~*"),"?","~?"),$T$375:$T$581,"&gt;"&amp;T580)=0,S580,""))</f>
        <v>4:P&amp;10|3:3X1|</v>
      </c>
    </row>
    <row r="581" spans="1:21" ht="38" customHeight="1">
      <c r="A581" s="8" t="s">
        <v>281</v>
      </c>
      <c r="B581" s="8" t="s">
        <v>75</v>
      </c>
      <c r="C581" s="12">
        <f>COUNTIFS('DEF_SELF_SCOUT_IMPORT'!$L$42:$L$1040,"Y",'DEF_SELF_SCOUT_IMPORT'!$E$42:$E$1040,SUBSTITUTE(SUBSTITUTE(SUBSTITUTE($B581,"~","~~"),"*","~*"),"?","~?"),'DEF_SELF_SCOUT_IMPORT'!$Q$42:$Q$1040,SUBSTITUTE(SUBSTITUTE(SUBSTITUTE($M581,"~","~~"),"*","~*"),"?","~?"),'DEF_SELF_SCOUT_IMPORT'!$G$42:$G$1040,SUBSTITUTE(SUBSTITUTE(SUBSTITUTE($O581,"~","~~"),"*","~*"),"?","~?"))</f>
        <v>1</v>
      </c>
      <c r="D581" s="10">
        <f>IF($C581=0,"",SUMIFS('DEF_SELF_SCOUT_IMPORT'!$J$42:$J$1040,'DEF_SELF_SCOUT_IMPORT'!$L$42:$L$1040,"Y",'DEF_SELF_SCOUT_IMPORT'!$E$42:$E$1040,SUBSTITUTE(SUBSTITUTE(SUBSTITUTE($B581,"~","~~"),"*","~*"),"?","~?"),'DEF_SELF_SCOUT_IMPORT'!$Q$42:$Q$1040,SUBSTITUTE(SUBSTITUTE(SUBSTITUTE($M581,"~","~~"),"*","~*"),"?","~?"),'DEF_SELF_SCOUT_IMPORT'!$G$42:$G$1040,SUBSTITUTE(SUBSTITUTE(SUBSTITUTE($O581,"~","~~"),"*","~*"),"?","~?"))/$C581)</f>
        <v>0.0</v>
      </c>
      <c r="E581" s="10">
        <f>IF($C581=0,"",SUMIFS('DEF_SELF_SCOUT_IMPORT'!$K$42:$K$1040,'DEF_SELF_SCOUT_IMPORT'!$L$42:$L$1040,"Y",'DEF_SELF_SCOUT_IMPORT'!$E$42:$E$1040,SUBSTITUTE(SUBSTITUTE(SUBSTITUTE($B581,"~","~~"),"*","~*"),"?","~?"),'DEF_SELF_SCOUT_IMPORT'!$Q$42:$Q$1040,SUBSTITUTE(SUBSTITUTE(SUBSTITUTE($M581,"~","~~"),"*","~*"),"?","~?"),'DEF_SELF_SCOUT_IMPORT'!$G$42:$G$1040,SUBSTITUTE(SUBSTITUTE(SUBSTITUTE($O581,"~","~~"),"*","~*"),"?","~?"))/$C581)</f>
        <v>0.0</v>
      </c>
      <c r="F581" s="11">
        <f>IF($C581=0,"",AVERAGEIFS('DEF_SELF_SCOUT_IMPORT'!$I$42:$I$1040,'DEF_SELF_SCOUT_IMPORT'!$L$42:$L$1040,"Y",'DEF_SELF_SCOUT_IMPORT'!$E$42:$E$1040,SUBSTITUTE(SUBSTITUTE(SUBSTITUTE($B581,"~","~~"),"*","~*"),"?","~?"),'DEF_SELF_SCOUT_IMPORT'!$Q$42:$Q$1040,SUBSTITUTE(SUBSTITUTE(SUBSTITUTE($M581,"~","~~"),"*","~*"),"?","~?"),'DEF_SELF_SCOUT_IMPORT'!$G$42:$G$1040,SUBSTITUTE(SUBSTITUTE(SUBSTITUTE($O581,"~","~~"),"*","~*"),"?","~?")))</f>
        <v>9.0</v>
      </c>
      <c r="G581" s="10">
        <f>IF($C581=0,"",COUNTIFS('DEF_SELF_SCOUT_IMPORT'!$L$42:$L$1040,"Y",'DEF_SELF_SCOUT_IMPORT'!$E$42:$E$1040,SUBSTITUTE(SUBSTITUTE(SUBSTITUTE($B581,"~","~~"),"*","~*"),"?","~?"),'DEF_SELF_SCOUT_IMPORT'!$Q$42:$Q$1040,SUBSTITUTE(SUBSTITUTE(SUBSTITUTE($M581,"~","~~"),"*","~*"),"?","~?"),'DEF_SELF_SCOUT_IMPORT'!$G$42:$G$1040,SUBSTITUTE(SUBSTITUTE(SUBSTITUTE($O581,"~","~~"),"*","~*"),"?","~?"),'DEF_SELF_SCOUT_IMPORT'!$H$42:$H$1040,"RUSH")/$C581)</f>
        <v>1.0</v>
      </c>
      <c r="H581" s="10">
        <f>IF($C581=0,"",COUNTIFS('DEF_SELF_SCOUT_IMPORT'!$L$42:$L$1040,"Y",'DEF_SELF_SCOUT_IMPORT'!$E$42:$E$1040,SUBSTITUTE(SUBSTITUTE(SUBSTITUTE($B581,"~","~~"),"*","~*"),"?","~?"),'DEF_SELF_SCOUT_IMPORT'!$Q$42:$Q$1040,SUBSTITUTE(SUBSTITUTE(SUBSTITUTE($M581,"~","~~"),"*","~*"),"?","~?"),'DEF_SELF_SCOUT_IMPORT'!$G$42:$G$1040,SUBSTITUTE(SUBSTITUTE(SUBSTITUTE($O581,"~","~~"),"*","~*"),"?","~?"),'DEF_SELF_SCOUT_IMPORT'!$H$42:$H$1040,"DROPBACK")/$C581)</f>
        <v>0.0</v>
      </c>
      <c r="I581" s="14" t="str">
        <f>IF(C581=0,"",IF(C581&lt;=2,"TRACK",IF(C581=3,"LOW",IF(C581&lt;=6,"MEDIUM","HIGH"))))</f>
        <v>TRACK</v>
      </c>
      <c r="J581" s="11">
        <f>IF(C581=0,"",ROUND(D581*70+(1-E581)*20+MAX(0,MIN(1,(10-F581)/10))*10,1))</f>
        <v>21.0</v>
      </c>
      <c r="K581" s="14" t="str">
        <f>IF(C581=0,"No Evidence",IF(C581&lt;=2,IF(E581&gt;0,"Explosive Alert","Track Only"),IF(C581=3,"Sample Watch",IF(E581&gt;=START_HERE!$B$31,"Explosive Alert",IF(J581&gt;=80,"Strong Candidate",IF(J581&gt;=65,"Good Candidate",IF(J581&gt;=50,"Mixed / Review","Problem Call")))))))</f>
        <v>Track Only</v>
      </c>
      <c r="L581" s="9" t="str">
        <f>IF(COUNTIFS('DEF_SELF_SCOUT_IMPORT'!$L$42:$L$1040,"Y",'DEF_SELF_SCOUT_IMPORT'!$E$42:$E$1040,SUBSTITUTE(SUBSTITUTE(SUBSTITUTE($B581,"~","~~"),"*","~*"),"?","~?"),'DEF_SELF_SCOUT_IMPORT'!$Q$42:$Q$1040,SUBSTITUTE(SUBSTITUTE(SUBSTITUTE($M581,"~","~~"),"*","~*"),"?","~?"),'DEF_SELF_SCOUT_IMPORT'!$G$42:$G$1040,SUBSTITUTE(SUBSTITUTE(SUBSTITUTE($O581,"~","~~"),"*","~*"),"?","~?"),'DEF_SELF_SCOUT_IMPORT'!$J$42:$J$1040,"")&gt;0,"Unscored clean outcome; review result tags before using score.",IF(C581=0,"No matching defensive reps; film confirmation needed.",IF(K581="Explosive Alert","Explosive risk; review clips before using as answer.",IF(C581&lt;=2,"Track only; not enough sample.",IF(C581=3,IF(E581&gt;0,"Sample watch with explosive exposure; review clips and build the sample.",IF(J581&gt;=65,"Good signal, but sample is limited.","Sample watch; review clips and build the sample.")),IF(K581="Problem Call","Problem area; practice or call-sheet review.",IF(K581="Strong Candidate","Strong call-fit candidate; confirm on film.",IF(K581="Good Candidate","Good call-fit signal; confirm on film.","Mixed signal; review fit and execution on film."))))))))</f>
        <v>Track only; not enough sample.</v>
      </c>
      <c r="M581" s="8" t="s">
        <v>115</v>
      </c>
      <c r="N581" s="8"/>
      <c r="O581" s="8" t="s">
        <v>206</v>
      </c>
      <c r="P581" s="8"/>
      <c r="Q581" s="8"/>
      <c r="R581" s="8" t="s">
        <v>28</v>
      </c>
      <c r="S581" s="2" t="s">
        <v>282</v>
      </c>
      <c r="T581" s="2">
        <f>IF(C581=0,0,IF(C581&gt;=CALL_LOOKUP_BOARD!$B$7,IF(OR(K581="Problem Call",K581="Explosive Alert"),10000000,20000000),0)+IF(C581&gt;=CALL_LOOKUP_BOARD!$B$7,J581*1000+MIN(C581,999),C581*1000+J581)+0.00979300)</f>
        <v>1021.009793</v>
      </c>
      <c r="U581" s="2">
        <f>IF(C581=0,"",IF(COUNTIFS($S$375:$S$581,SUBSTITUTE(SUBSTITUTE(SUBSTITUTE(S581,"~","~~"),"*","~*"),"?","~?"),$T$375:$T$581,"&gt;"&amp;T581)=0,S581,""))</f>
        <v/>
      </c>
    </row>
    <row r="586" spans="1:21" ht="27" customHeight="1">
      <c r="A586" s="5" t="s">
        <v>283</v>
      </c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1:21" ht="36" customHeight="1">
      <c r="A587" s="9" t="s">
        <v>7</v>
      </c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spans="1:21" ht="46" customHeight="1">
      <c r="A588" s="6" t="s">
        <v>8</v>
      </c>
      <c r="B588" s="6" t="s">
        <v>9</v>
      </c>
      <c r="C588" s="6" t="s">
        <v>10</v>
      </c>
      <c r="D588" s="6" t="s">
        <v>11</v>
      </c>
      <c r="E588" s="6" t="s">
        <v>12</v>
      </c>
      <c r="F588" s="6" t="s">
        <v>13</v>
      </c>
      <c r="G588" s="6" t="s">
        <v>14</v>
      </c>
      <c r="H588" s="6" t="s">
        <v>15</v>
      </c>
      <c r="I588" s="6" t="s">
        <v>16</v>
      </c>
      <c r="J588" s="6" t="s">
        <v>17</v>
      </c>
      <c r="K588" s="6" t="s">
        <v>18</v>
      </c>
      <c r="L588" s="6" t="s">
        <v>19</v>
      </c>
      <c r="M588" s="6" t="s">
        <v>20</v>
      </c>
      <c r="N588" s="6" t="s">
        <v>21</v>
      </c>
      <c r="O588" s="6" t="s">
        <v>22</v>
      </c>
      <c r="P588" s="6" t="s">
        <v>23</v>
      </c>
      <c r="Q588" s="6" t="s">
        <v>24</v>
      </c>
      <c r="R588" s="6" t="s">
        <v>25</v>
      </c>
    </row>
    <row r="589" spans="1:21" ht="38" customHeight="1">
      <c r="A589" s="8" t="s">
        <v>284</v>
      </c>
      <c r="B589" s="8" t="s">
        <v>27</v>
      </c>
      <c r="C589" s="12">
        <f>COUNTIFS('DEF_SELF_SCOUT_IMPORT'!$L$42:$L$1040,"Y",'DEF_SELF_SCOUT_IMPORT'!$E$42:$E$1040,SUBSTITUTE(SUBSTITUTE(SUBSTITUTE($B589,"~","~~"),"*","~*"),"?","~?"),'DEF_SELF_SCOUT_IMPORT'!$Q$42:$Q$1040,SUBSTITUTE(SUBSTITUTE(SUBSTITUTE($M589,"~","~~"),"*","~*"),"?","~?"),'DEF_SELF_SCOUT_IMPORT'!$F$42:$F$1040,SUBSTITUTE(SUBSTITUTE(SUBSTITUTE($N589,"~","~~"),"*","~*"),"?","~?"),'DEF_SELF_SCOUT_IMPORT'!$G$42:$G$1040,SUBSTITUTE(SUBSTITUTE(SUBSTITUTE($O589,"~","~~"),"*","~*"),"?","~?"))</f>
        <v>1</v>
      </c>
      <c r="D589" s="10">
        <f>IF($C589=0,"",SUMIFS('DEF_SELF_SCOUT_IMPORT'!$J$42:$J$1040,'DEF_SELF_SCOUT_IMPORT'!$L$42:$L$1040,"Y",'DEF_SELF_SCOUT_IMPORT'!$E$42:$E$1040,SUBSTITUTE(SUBSTITUTE(SUBSTITUTE($B589,"~","~~"),"*","~*"),"?","~?"),'DEF_SELF_SCOUT_IMPORT'!$Q$42:$Q$1040,SUBSTITUTE(SUBSTITUTE(SUBSTITUTE($M589,"~","~~"),"*","~*"),"?","~?"),'DEF_SELF_SCOUT_IMPORT'!$F$42:$F$1040,SUBSTITUTE(SUBSTITUTE(SUBSTITUTE($N589,"~","~~"),"*","~*"),"?","~?"),'DEF_SELF_SCOUT_IMPORT'!$G$42:$G$1040,SUBSTITUTE(SUBSTITUTE(SUBSTITUTE($O589,"~","~~"),"*","~*"),"?","~?"))/$C589)</f>
        <v>0.0</v>
      </c>
      <c r="E589" s="10">
        <f>IF($C589=0,"",SUMIFS('DEF_SELF_SCOUT_IMPORT'!$K$42:$K$1040,'DEF_SELF_SCOUT_IMPORT'!$L$42:$L$1040,"Y",'DEF_SELF_SCOUT_IMPORT'!$E$42:$E$1040,SUBSTITUTE(SUBSTITUTE(SUBSTITUTE($B589,"~","~~"),"*","~*"),"?","~?"),'DEF_SELF_SCOUT_IMPORT'!$Q$42:$Q$1040,SUBSTITUTE(SUBSTITUTE(SUBSTITUTE($M589,"~","~~"),"*","~*"),"?","~?"),'DEF_SELF_SCOUT_IMPORT'!$F$42:$F$1040,SUBSTITUTE(SUBSTITUTE(SUBSTITUTE($N589,"~","~~"),"*","~*"),"?","~?"),'DEF_SELF_SCOUT_IMPORT'!$G$42:$G$1040,SUBSTITUTE(SUBSTITUTE(SUBSTITUTE($O589,"~","~~"),"*","~*"),"?","~?"))/$C589)</f>
        <v>0.0</v>
      </c>
      <c r="F589" s="11">
        <f>IF($C589=0,"",AVERAGEIFS('DEF_SELF_SCOUT_IMPORT'!$I$42:$I$1040,'DEF_SELF_SCOUT_IMPORT'!$L$42:$L$1040,"Y",'DEF_SELF_SCOUT_IMPORT'!$E$42:$E$1040,SUBSTITUTE(SUBSTITUTE(SUBSTITUTE($B589,"~","~~"),"*","~*"),"?","~?"),'DEF_SELF_SCOUT_IMPORT'!$Q$42:$Q$1040,SUBSTITUTE(SUBSTITUTE(SUBSTITUTE($M589,"~","~~"),"*","~*"),"?","~?"),'DEF_SELF_SCOUT_IMPORT'!$F$42:$F$1040,SUBSTITUTE(SUBSTITUTE(SUBSTITUTE($N589,"~","~~"),"*","~*"),"?","~?"),'DEF_SELF_SCOUT_IMPORT'!$G$42:$G$1040,SUBSTITUTE(SUBSTITUTE(SUBSTITUTE($O589,"~","~~"),"*","~*"),"?","~?")))</f>
        <v>1.0</v>
      </c>
      <c r="G589" s="10">
        <f>IF($C589=0,"",COUNTIFS('DEF_SELF_SCOUT_IMPORT'!$L$42:$L$1040,"Y",'DEF_SELF_SCOUT_IMPORT'!$E$42:$E$1040,SUBSTITUTE(SUBSTITUTE(SUBSTITUTE($B589,"~","~~"),"*","~*"),"?","~?"),'DEF_SELF_SCOUT_IMPORT'!$Q$42:$Q$1040,SUBSTITUTE(SUBSTITUTE(SUBSTITUTE($M589,"~","~~"),"*","~*"),"?","~?"),'DEF_SELF_SCOUT_IMPORT'!$F$42:$F$1040,SUBSTITUTE(SUBSTITUTE(SUBSTITUTE($N589,"~","~~"),"*","~*"),"?","~?"),'DEF_SELF_SCOUT_IMPORT'!$G$42:$G$1040,SUBSTITUTE(SUBSTITUTE(SUBSTITUTE($O589,"~","~~"),"*","~*"),"?","~?"),'DEF_SELF_SCOUT_IMPORT'!$H$42:$H$1040,"RUSH")/$C589)</f>
        <v>0.0</v>
      </c>
      <c r="H589" s="10">
        <f>IF($C589=0,"",COUNTIFS('DEF_SELF_SCOUT_IMPORT'!$L$42:$L$1040,"Y",'DEF_SELF_SCOUT_IMPORT'!$E$42:$E$1040,SUBSTITUTE(SUBSTITUTE(SUBSTITUTE($B589,"~","~~"),"*","~*"),"?","~?"),'DEF_SELF_SCOUT_IMPORT'!$Q$42:$Q$1040,SUBSTITUTE(SUBSTITUTE(SUBSTITUTE($M589,"~","~~"),"*","~*"),"?","~?"),'DEF_SELF_SCOUT_IMPORT'!$F$42:$F$1040,SUBSTITUTE(SUBSTITUTE(SUBSTITUTE($N589,"~","~~"),"*","~*"),"?","~?"),'DEF_SELF_SCOUT_IMPORT'!$G$42:$G$1040,SUBSTITUTE(SUBSTITUTE(SUBSTITUTE($O589,"~","~~"),"*","~*"),"?","~?"),'DEF_SELF_SCOUT_IMPORT'!$H$42:$H$1040,"DROPBACK")/$C589)</f>
        <v>0.0</v>
      </c>
      <c r="I589" s="14" t="str">
        <f>IF(C589=0,"",IF(C589&lt;=2,"TRACK",IF(C589=3,"LOW",IF(C589&lt;=6,"MEDIUM","HIGH"))))</f>
        <v>TRACK</v>
      </c>
      <c r="J589" s="11">
        <f>IF(C589=0,"",ROUND(D589*70+(1-E589)*20+MAX(0,MIN(1,(10-F589)/10))*10,1))</f>
        <v>29.0</v>
      </c>
      <c r="K589" s="14" t="str">
        <f>IF(C589=0,"No Evidence",IF(C589&lt;=2,IF(E589&gt;0,"Explosive Alert","Track Only"),IF(C589=3,"Sample Watch",IF(E589&gt;=START_HERE!$B$31,"Explosive Alert",IF(J589&gt;=80,"Strong Candidate",IF(J589&gt;=65,"Good Candidate",IF(J589&gt;=50,"Mixed / Review","Problem Call")))))))</f>
        <v>Track Only</v>
      </c>
      <c r="L589" s="9" t="str">
        <f>IF(COUNTIFS('DEF_SELF_SCOUT_IMPORT'!$L$42:$L$1040,"Y",'DEF_SELF_SCOUT_IMPORT'!$E$42:$E$1040,SUBSTITUTE(SUBSTITUTE(SUBSTITUTE($B589,"~","~~"),"*","~*"),"?","~?"),'DEF_SELF_SCOUT_IMPORT'!$Q$42:$Q$1040,SUBSTITUTE(SUBSTITUTE(SUBSTITUTE($M589,"~","~~"),"*","~*"),"?","~?"),'DEF_SELF_SCOUT_IMPORT'!$F$42:$F$1040,SUBSTITUTE(SUBSTITUTE(SUBSTITUTE($N589,"~","~~"),"*","~*"),"?","~?"),'DEF_SELF_SCOUT_IMPORT'!$G$42:$G$1040,SUBSTITUTE(SUBSTITUTE(SUBSTITUTE($O589,"~","~~"),"*","~*"),"?","~?"),'DEF_SELF_SCOUT_IMPORT'!$J$42:$J$1040,"")&gt;0,"Unscored clean outcome; review result tags before using score.",IF(C589=0,"No matching defensive reps; film confirmation needed.",IF(K589="Explosive Alert","Explosive risk; review clips before using as answer.",IF(C589&lt;=2,"Track only; not enough sample.",IF(C589=3,IF(E589&gt;0,"Sample watch with explosive exposure; review clips and build the sample.",IF(J589&gt;=65,"Good signal, but sample is limited.","Sample watch; review clips and build the sample.")),IF(K589="Problem Call","Problem area; practice or call-sheet review.",IF(K589="Strong Candidate","Strong call-fit candidate; confirm on film.",IF(K589="Good Candidate","Good call-fit signal; confirm on film.","Mixed signal; review fit and execution on film."))))))))</f>
        <v>Track only; not enough sample.</v>
      </c>
      <c r="M589" s="8" t="s">
        <v>26</v>
      </c>
      <c r="N589" s="8" t="s">
        <v>120</v>
      </c>
      <c r="O589" s="8" t="s">
        <v>203</v>
      </c>
      <c r="P589" s="8"/>
      <c r="Q589" s="8"/>
      <c r="R589" s="8" t="s">
        <v>28</v>
      </c>
      <c r="S589" s="2" t="s">
        <v>285</v>
      </c>
      <c r="T589" s="2">
        <f>IF(C589=0,0,IF(C589&gt;=CALL_LOOKUP_BOARD!$B$7,IF(OR(K589="Problem Call",K589="Explosive Alert"),10000000,20000000),0)+IF(C589&gt;=CALL_LOOKUP_BOARD!$B$7,J589*1000+MIN(C589,999),C589*1000+J589)+0.00999900)</f>
        <v>1029.009999</v>
      </c>
      <c r="U589" s="2" t="str">
        <f>IF(C589=0,"",IF(COUNTIFS($S$589:$S$803,SUBSTITUTE(SUBSTITUTE(SUBSTITUTE(S589,"~","~~"),"*","~*"),"?","~?"),$T$589:$T$803,"&gt;"&amp;T589)=0,S589,""))</f>
        <v>6:1D 1-3|2:11|3:2X2|</v>
      </c>
    </row>
    <row r="590" spans="1:21" ht="38" customHeight="1">
      <c r="A590" s="8" t="s">
        <v>286</v>
      </c>
      <c r="B590" s="8" t="s">
        <v>30</v>
      </c>
      <c r="C590" s="12">
        <f>COUNTIFS('DEF_SELF_SCOUT_IMPORT'!$L$42:$L$1040,"Y",'DEF_SELF_SCOUT_IMPORT'!$E$42:$E$1040,SUBSTITUTE(SUBSTITUTE(SUBSTITUTE($B590,"~","~~"),"*","~*"),"?","~?"),'DEF_SELF_SCOUT_IMPORT'!$Q$42:$Q$1040,SUBSTITUTE(SUBSTITUTE(SUBSTITUTE($M590,"~","~~"),"*","~*"),"?","~?"),'DEF_SELF_SCOUT_IMPORT'!$F$42:$F$1040,SUBSTITUTE(SUBSTITUTE(SUBSTITUTE($N590,"~","~~"),"*","~*"),"?","~?"),'DEF_SELF_SCOUT_IMPORT'!$G$42:$G$1040,SUBSTITUTE(SUBSTITUTE(SUBSTITUTE($O590,"~","~~"),"*","~*"),"?","~?"))</f>
        <v>1</v>
      </c>
      <c r="D590" s="10">
        <f>IF($C590=0,"",SUMIFS('DEF_SELF_SCOUT_IMPORT'!$J$42:$J$1040,'DEF_SELF_SCOUT_IMPORT'!$L$42:$L$1040,"Y",'DEF_SELF_SCOUT_IMPORT'!$E$42:$E$1040,SUBSTITUTE(SUBSTITUTE(SUBSTITUTE($B590,"~","~~"),"*","~*"),"?","~?"),'DEF_SELF_SCOUT_IMPORT'!$Q$42:$Q$1040,SUBSTITUTE(SUBSTITUTE(SUBSTITUTE($M590,"~","~~"),"*","~*"),"?","~?"),'DEF_SELF_SCOUT_IMPORT'!$F$42:$F$1040,SUBSTITUTE(SUBSTITUTE(SUBSTITUTE($N590,"~","~~"),"*","~*"),"?","~?"),'DEF_SELF_SCOUT_IMPORT'!$G$42:$G$1040,SUBSTITUTE(SUBSTITUTE(SUBSTITUTE($O590,"~","~~"),"*","~*"),"?","~?"))/$C590)</f>
        <v>1.0</v>
      </c>
      <c r="E590" s="10">
        <f>IF($C590=0,"",SUMIFS('DEF_SELF_SCOUT_IMPORT'!$K$42:$K$1040,'DEF_SELF_SCOUT_IMPORT'!$L$42:$L$1040,"Y",'DEF_SELF_SCOUT_IMPORT'!$E$42:$E$1040,SUBSTITUTE(SUBSTITUTE(SUBSTITUTE($B590,"~","~~"),"*","~*"),"?","~?"),'DEF_SELF_SCOUT_IMPORT'!$Q$42:$Q$1040,SUBSTITUTE(SUBSTITUTE(SUBSTITUTE($M590,"~","~~"),"*","~*"),"?","~?"),'DEF_SELF_SCOUT_IMPORT'!$F$42:$F$1040,SUBSTITUTE(SUBSTITUTE(SUBSTITUTE($N590,"~","~~"),"*","~*"),"?","~?"),'DEF_SELF_SCOUT_IMPORT'!$G$42:$G$1040,SUBSTITUTE(SUBSTITUTE(SUBSTITUTE($O590,"~","~~"),"*","~*"),"?","~?"))/$C590)</f>
        <v>0.0</v>
      </c>
      <c r="F590" s="11">
        <f>IF($C590=0,"",AVERAGEIFS('DEF_SELF_SCOUT_IMPORT'!$I$42:$I$1040,'DEF_SELF_SCOUT_IMPORT'!$L$42:$L$1040,"Y",'DEF_SELF_SCOUT_IMPORT'!$E$42:$E$1040,SUBSTITUTE(SUBSTITUTE(SUBSTITUTE($B590,"~","~~"),"*","~*"),"?","~?"),'DEF_SELF_SCOUT_IMPORT'!$Q$42:$Q$1040,SUBSTITUTE(SUBSTITUTE(SUBSTITUTE($M590,"~","~~"),"*","~*"),"?","~?"),'DEF_SELF_SCOUT_IMPORT'!$F$42:$F$1040,SUBSTITUTE(SUBSTITUTE(SUBSTITUTE($N590,"~","~~"),"*","~*"),"?","~?"),'DEF_SELF_SCOUT_IMPORT'!$G$42:$G$1040,SUBSTITUTE(SUBSTITUTE(SUBSTITUTE($O590,"~","~~"),"*","~*"),"?","~?")))</f>
        <v>1.0</v>
      </c>
      <c r="G590" s="10">
        <f>IF($C590=0,"",COUNTIFS('DEF_SELF_SCOUT_IMPORT'!$L$42:$L$1040,"Y",'DEF_SELF_SCOUT_IMPORT'!$E$42:$E$1040,SUBSTITUTE(SUBSTITUTE(SUBSTITUTE($B590,"~","~~"),"*","~*"),"?","~?"),'DEF_SELF_SCOUT_IMPORT'!$Q$42:$Q$1040,SUBSTITUTE(SUBSTITUTE(SUBSTITUTE($M590,"~","~~"),"*","~*"),"?","~?"),'DEF_SELF_SCOUT_IMPORT'!$F$42:$F$1040,SUBSTITUTE(SUBSTITUTE(SUBSTITUTE($N590,"~","~~"),"*","~*"),"?","~?"),'DEF_SELF_SCOUT_IMPORT'!$G$42:$G$1040,SUBSTITUTE(SUBSTITUTE(SUBSTITUTE($O590,"~","~~"),"*","~*"),"?","~?"),'DEF_SELF_SCOUT_IMPORT'!$H$42:$H$1040,"RUSH")/$C590)</f>
        <v>1.0</v>
      </c>
      <c r="H590" s="10">
        <f>IF($C590=0,"",COUNTIFS('DEF_SELF_SCOUT_IMPORT'!$L$42:$L$1040,"Y",'DEF_SELF_SCOUT_IMPORT'!$E$42:$E$1040,SUBSTITUTE(SUBSTITUTE(SUBSTITUTE($B590,"~","~~"),"*","~*"),"?","~?"),'DEF_SELF_SCOUT_IMPORT'!$Q$42:$Q$1040,SUBSTITUTE(SUBSTITUTE(SUBSTITUTE($M590,"~","~~"),"*","~*"),"?","~?"),'DEF_SELF_SCOUT_IMPORT'!$F$42:$F$1040,SUBSTITUTE(SUBSTITUTE(SUBSTITUTE($N590,"~","~~"),"*","~*"),"?","~?"),'DEF_SELF_SCOUT_IMPORT'!$G$42:$G$1040,SUBSTITUTE(SUBSTITUTE(SUBSTITUTE($O590,"~","~~"),"*","~*"),"?","~?"),'DEF_SELF_SCOUT_IMPORT'!$H$42:$H$1040,"DROPBACK")/$C590)</f>
        <v>0.0</v>
      </c>
      <c r="I590" s="14" t="str">
        <f>IF(C590=0,"",IF(C590&lt;=2,"TRACK",IF(C590=3,"LOW",IF(C590&lt;=6,"MEDIUM","HIGH"))))</f>
        <v>TRACK</v>
      </c>
      <c r="J590" s="11">
        <f>IF(C590=0,"",ROUND(D590*70+(1-E590)*20+MAX(0,MIN(1,(10-F590)/10))*10,1))</f>
        <v>99.0</v>
      </c>
      <c r="K590" s="14" t="str">
        <f>IF(C590=0,"No Evidence",IF(C590&lt;=2,IF(E590&gt;0,"Explosive Alert","Track Only"),IF(C590=3,"Sample Watch",IF(E590&gt;=START_HERE!$B$31,"Explosive Alert",IF(J590&gt;=80,"Strong Candidate",IF(J590&gt;=65,"Good Candidate",IF(J590&gt;=50,"Mixed / Review","Problem Call")))))))</f>
        <v>Track Only</v>
      </c>
      <c r="L590" s="9" t="str">
        <f>IF(COUNTIFS('DEF_SELF_SCOUT_IMPORT'!$L$42:$L$1040,"Y",'DEF_SELF_SCOUT_IMPORT'!$E$42:$E$1040,SUBSTITUTE(SUBSTITUTE(SUBSTITUTE($B590,"~","~~"),"*","~*"),"?","~?"),'DEF_SELF_SCOUT_IMPORT'!$Q$42:$Q$1040,SUBSTITUTE(SUBSTITUTE(SUBSTITUTE($M590,"~","~~"),"*","~*"),"?","~?"),'DEF_SELF_SCOUT_IMPORT'!$F$42:$F$1040,SUBSTITUTE(SUBSTITUTE(SUBSTITUTE($N590,"~","~~"),"*","~*"),"?","~?"),'DEF_SELF_SCOUT_IMPORT'!$G$42:$G$1040,SUBSTITUTE(SUBSTITUTE(SUBSTITUTE($O590,"~","~~"),"*","~*"),"?","~?"),'DEF_SELF_SCOUT_IMPORT'!$J$42:$J$1040,"")&gt;0,"Unscored clean outcome; review result tags before using score.",IF(C590=0,"No matching defensive reps; film confirmation needed.",IF(K590="Explosive Alert","Explosive risk; review clips before using as answer.",IF(C590&lt;=2,"Track only; not enough sample.",IF(C590=3,IF(E590&gt;0,"Sample watch with explosive exposure; review clips and build the sample.",IF(J590&gt;=65,"Good signal, but sample is limited.","Sample watch; review clips and build the sample.")),IF(K590="Problem Call","Problem area; practice or call-sheet review.",IF(K590="Strong Candidate","Strong call-fit candidate; confirm on film.",IF(K590="Good Candidate","Good call-fit signal; confirm on film.","Mixed signal; review fit and execution on film."))))))))</f>
        <v>Track only; not enough sample.</v>
      </c>
      <c r="M590" s="8" t="s">
        <v>26</v>
      </c>
      <c r="N590" s="8" t="s">
        <v>123</v>
      </c>
      <c r="O590" s="8" t="s">
        <v>203</v>
      </c>
      <c r="P590" s="8"/>
      <c r="Q590" s="8"/>
      <c r="R590" s="8" t="s">
        <v>28</v>
      </c>
      <c r="S590" s="2" t="s">
        <v>287</v>
      </c>
      <c r="T590" s="2">
        <f>IF(C590=0,0,IF(C590&gt;=CALL_LOOKUP_BOARD!$B$7,IF(OR(K590="Problem Call",K590="Explosive Alert"),10000000,20000000),0)+IF(C590&gt;=CALL_LOOKUP_BOARD!$B$7,J590*1000+MIN(C590,999),C590*1000+J590)+0.00999800)</f>
        <v>1099.009998</v>
      </c>
      <c r="U590" s="2" t="str">
        <f>IF(C590=0,"",IF(COUNTIFS($S$589:$S$803,SUBSTITUTE(SUBSTITUTE(SUBSTITUTE(S590,"~","~~"),"*","~*"),"?","~?"),$T$589:$T$803,"&gt;"&amp;T590)=0,S590,""))</f>
        <v>6:1D 1-3|2:12|3:2X2|</v>
      </c>
    </row>
    <row r="591" spans="1:21" ht="38" customHeight="1">
      <c r="A591" s="8" t="s">
        <v>288</v>
      </c>
      <c r="B591" s="8" t="s">
        <v>30</v>
      </c>
      <c r="C591" s="12">
        <f>COUNTIFS('DEF_SELF_SCOUT_IMPORT'!$L$42:$L$1040,"Y",'DEF_SELF_SCOUT_IMPORT'!$E$42:$E$1040,SUBSTITUTE(SUBSTITUTE(SUBSTITUTE($B591,"~","~~"),"*","~*"),"?","~?"),'DEF_SELF_SCOUT_IMPORT'!$Q$42:$Q$1040,SUBSTITUTE(SUBSTITUTE(SUBSTITUTE($M591,"~","~~"),"*","~*"),"?","~?"),'DEF_SELF_SCOUT_IMPORT'!$F$42:$F$1040,SUBSTITUTE(SUBSTITUTE(SUBSTITUTE($N591,"~","~~"),"*","~*"),"?","~?"),'DEF_SELF_SCOUT_IMPORT'!$G$42:$G$1040,SUBSTITUTE(SUBSTITUTE(SUBSTITUTE($O591,"~","~~"),"*","~*"),"?","~?"))</f>
        <v>1</v>
      </c>
      <c r="D591" s="10">
        <f>IF($C591=0,"",SUMIFS('DEF_SELF_SCOUT_IMPORT'!$J$42:$J$1040,'DEF_SELF_SCOUT_IMPORT'!$L$42:$L$1040,"Y",'DEF_SELF_SCOUT_IMPORT'!$E$42:$E$1040,SUBSTITUTE(SUBSTITUTE(SUBSTITUTE($B591,"~","~~"),"*","~*"),"?","~?"),'DEF_SELF_SCOUT_IMPORT'!$Q$42:$Q$1040,SUBSTITUTE(SUBSTITUTE(SUBSTITUTE($M591,"~","~~"),"*","~*"),"?","~?"),'DEF_SELF_SCOUT_IMPORT'!$F$42:$F$1040,SUBSTITUTE(SUBSTITUTE(SUBSTITUTE($N591,"~","~~"),"*","~*"),"?","~?"),'DEF_SELF_SCOUT_IMPORT'!$G$42:$G$1040,SUBSTITUTE(SUBSTITUTE(SUBSTITUTE($O591,"~","~~"),"*","~*"),"?","~?"))/$C591)</f>
        <v>1.0</v>
      </c>
      <c r="E591" s="10">
        <f>IF($C591=0,"",SUMIFS('DEF_SELF_SCOUT_IMPORT'!$K$42:$K$1040,'DEF_SELF_SCOUT_IMPORT'!$L$42:$L$1040,"Y",'DEF_SELF_SCOUT_IMPORT'!$E$42:$E$1040,SUBSTITUTE(SUBSTITUTE(SUBSTITUTE($B591,"~","~~"),"*","~*"),"?","~?"),'DEF_SELF_SCOUT_IMPORT'!$Q$42:$Q$1040,SUBSTITUTE(SUBSTITUTE(SUBSTITUTE($M591,"~","~~"),"*","~*"),"?","~?"),'DEF_SELF_SCOUT_IMPORT'!$F$42:$F$1040,SUBSTITUTE(SUBSTITUTE(SUBSTITUTE($N591,"~","~~"),"*","~*"),"?","~?"),'DEF_SELF_SCOUT_IMPORT'!$G$42:$G$1040,SUBSTITUTE(SUBSTITUTE(SUBSTITUTE($O591,"~","~~"),"*","~*"),"?","~?"))/$C591)</f>
        <v>0.0</v>
      </c>
      <c r="F591" s="11">
        <f>IF($C591=0,"",AVERAGEIFS('DEF_SELF_SCOUT_IMPORT'!$I$42:$I$1040,'DEF_SELF_SCOUT_IMPORT'!$L$42:$L$1040,"Y",'DEF_SELF_SCOUT_IMPORT'!$E$42:$E$1040,SUBSTITUTE(SUBSTITUTE(SUBSTITUTE($B591,"~","~~"),"*","~*"),"?","~?"),'DEF_SELF_SCOUT_IMPORT'!$Q$42:$Q$1040,SUBSTITUTE(SUBSTITUTE(SUBSTITUTE($M591,"~","~~"),"*","~*"),"?","~?"),'DEF_SELF_SCOUT_IMPORT'!$F$42:$F$1040,SUBSTITUTE(SUBSTITUTE(SUBSTITUTE($N591,"~","~~"),"*","~*"),"?","~?"),'DEF_SELF_SCOUT_IMPORT'!$G$42:$G$1040,SUBSTITUTE(SUBSTITUTE(SUBSTITUTE($O591,"~","~~"),"*","~*"),"?","~?")))</f>
        <v>2.0</v>
      </c>
      <c r="G591" s="10">
        <f>IF($C591=0,"",COUNTIFS('DEF_SELF_SCOUT_IMPORT'!$L$42:$L$1040,"Y",'DEF_SELF_SCOUT_IMPORT'!$E$42:$E$1040,SUBSTITUTE(SUBSTITUTE(SUBSTITUTE($B591,"~","~~"),"*","~*"),"?","~?"),'DEF_SELF_SCOUT_IMPORT'!$Q$42:$Q$1040,SUBSTITUTE(SUBSTITUTE(SUBSTITUTE($M591,"~","~~"),"*","~*"),"?","~?"),'DEF_SELF_SCOUT_IMPORT'!$F$42:$F$1040,SUBSTITUTE(SUBSTITUTE(SUBSTITUTE($N591,"~","~~"),"*","~*"),"?","~?"),'DEF_SELF_SCOUT_IMPORT'!$G$42:$G$1040,SUBSTITUTE(SUBSTITUTE(SUBSTITUTE($O591,"~","~~"),"*","~*"),"?","~?"),'DEF_SELF_SCOUT_IMPORT'!$H$42:$H$1040,"RUSH")/$C591)</f>
        <v>1.0</v>
      </c>
      <c r="H591" s="10">
        <f>IF($C591=0,"",COUNTIFS('DEF_SELF_SCOUT_IMPORT'!$L$42:$L$1040,"Y",'DEF_SELF_SCOUT_IMPORT'!$E$42:$E$1040,SUBSTITUTE(SUBSTITUTE(SUBSTITUTE($B591,"~","~~"),"*","~*"),"?","~?"),'DEF_SELF_SCOUT_IMPORT'!$Q$42:$Q$1040,SUBSTITUTE(SUBSTITUTE(SUBSTITUTE($M591,"~","~~"),"*","~*"),"?","~?"),'DEF_SELF_SCOUT_IMPORT'!$F$42:$F$1040,SUBSTITUTE(SUBSTITUTE(SUBSTITUTE($N591,"~","~~"),"*","~*"),"?","~?"),'DEF_SELF_SCOUT_IMPORT'!$G$42:$G$1040,SUBSTITUTE(SUBSTITUTE(SUBSTITUTE($O591,"~","~~"),"*","~*"),"?","~?"),'DEF_SELF_SCOUT_IMPORT'!$H$42:$H$1040,"DROPBACK")/$C591)</f>
        <v>0.0</v>
      </c>
      <c r="I591" s="14" t="str">
        <f>IF(C591=0,"",IF(C591&lt;=2,"TRACK",IF(C591=3,"LOW",IF(C591&lt;=6,"MEDIUM","HIGH"))))</f>
        <v>TRACK</v>
      </c>
      <c r="J591" s="11">
        <f>IF(C591=0,"",ROUND(D591*70+(1-E591)*20+MAX(0,MIN(1,(10-F591)/10))*10,1))</f>
        <v>98.0</v>
      </c>
      <c r="K591" s="14" t="str">
        <f>IF(C591=0,"No Evidence",IF(C591&lt;=2,IF(E591&gt;0,"Explosive Alert","Track Only"),IF(C591=3,"Sample Watch",IF(E591&gt;=START_HERE!$B$31,"Explosive Alert",IF(J591&gt;=80,"Strong Candidate",IF(J591&gt;=65,"Good Candidate",IF(J591&gt;=50,"Mixed / Review","Problem Call")))))))</f>
        <v>Track Only</v>
      </c>
      <c r="L591" s="9" t="str">
        <f>IF(COUNTIFS('DEF_SELF_SCOUT_IMPORT'!$L$42:$L$1040,"Y",'DEF_SELF_SCOUT_IMPORT'!$E$42:$E$1040,SUBSTITUTE(SUBSTITUTE(SUBSTITUTE($B591,"~","~~"),"*","~*"),"?","~?"),'DEF_SELF_SCOUT_IMPORT'!$Q$42:$Q$1040,SUBSTITUTE(SUBSTITUTE(SUBSTITUTE($M591,"~","~~"),"*","~*"),"?","~?"),'DEF_SELF_SCOUT_IMPORT'!$F$42:$F$1040,SUBSTITUTE(SUBSTITUTE(SUBSTITUTE($N591,"~","~~"),"*","~*"),"?","~?"),'DEF_SELF_SCOUT_IMPORT'!$G$42:$G$1040,SUBSTITUTE(SUBSTITUTE(SUBSTITUTE($O591,"~","~~"),"*","~*"),"?","~?"),'DEF_SELF_SCOUT_IMPORT'!$J$42:$J$1040,"")&gt;0,"Unscored clean outcome; review result tags before using score.",IF(C591=0,"No matching defensive reps; film confirmation needed.",IF(K591="Explosive Alert","Explosive risk; review clips before using as answer.",IF(C591&lt;=2,"Track only; not enough sample.",IF(C591=3,IF(E591&gt;0,"Sample watch with explosive exposure; review clips and build the sample.",IF(J591&gt;=65,"Good signal, but sample is limited.","Sample watch; review clips and build the sample.")),IF(K591="Problem Call","Problem area; practice or call-sheet review.",IF(K591="Strong Candidate","Strong call-fit candidate; confirm on film.",IF(K591="Good Candidate","Good call-fit signal; confirm on film.","Mixed signal; review fit and execution on film."))))))))</f>
        <v>Track only; not enough sample.</v>
      </c>
      <c r="M591" s="8" t="s">
        <v>26</v>
      </c>
      <c r="N591" s="8" t="s">
        <v>123</v>
      </c>
      <c r="O591" s="8" t="s">
        <v>206</v>
      </c>
      <c r="P591" s="8"/>
      <c r="Q591" s="8"/>
      <c r="R591" s="8" t="s">
        <v>28</v>
      </c>
      <c r="S591" s="2" t="s">
        <v>289</v>
      </c>
      <c r="T591" s="2">
        <f>IF(C591=0,0,IF(C591&gt;=CALL_LOOKUP_BOARD!$B$7,IF(OR(K591="Problem Call",K591="Explosive Alert"),10000000,20000000),0)+IF(C591&gt;=CALL_LOOKUP_BOARD!$B$7,J591*1000+MIN(C591,999),C591*1000+J591)+0.00999700)</f>
        <v>1098.009997</v>
      </c>
      <c r="U591" s="2" t="str">
        <f>IF(C591=0,"",IF(COUNTIFS($S$589:$S$803,SUBSTITUTE(SUBSTITUTE(SUBSTITUTE(S591,"~","~~"),"*","~*"),"?","~?"),$T$589:$T$803,"&gt;"&amp;T591)=0,S591,""))</f>
        <v>6:1D 1-3|2:12|3:3X1|</v>
      </c>
    </row>
    <row r="592" spans="1:21" ht="38" customHeight="1">
      <c r="A592" s="8" t="s">
        <v>290</v>
      </c>
      <c r="B592" s="8" t="s">
        <v>32</v>
      </c>
      <c r="C592" s="12">
        <f>COUNTIFS('DEF_SELF_SCOUT_IMPORT'!$L$42:$L$1040,"Y",'DEF_SELF_SCOUT_IMPORT'!$E$42:$E$1040,SUBSTITUTE(SUBSTITUTE(SUBSTITUTE($B592,"~","~~"),"*","~*"),"?","~?"),'DEF_SELF_SCOUT_IMPORT'!$Q$42:$Q$1040,SUBSTITUTE(SUBSTITUTE(SUBSTITUTE($M592,"~","~~"),"*","~*"),"?","~?"),'DEF_SELF_SCOUT_IMPORT'!$F$42:$F$1040,SUBSTITUTE(SUBSTITUTE(SUBSTITUTE($N592,"~","~~"),"*","~*"),"?","~?"),'DEF_SELF_SCOUT_IMPORT'!$G$42:$G$1040,SUBSTITUTE(SUBSTITUTE(SUBSTITUTE($O592,"~","~~"),"*","~*"),"?","~?"))</f>
        <v>1</v>
      </c>
      <c r="D592" s="10">
        <f>IF($C592=0,"",SUMIFS('DEF_SELF_SCOUT_IMPORT'!$J$42:$J$1040,'DEF_SELF_SCOUT_IMPORT'!$L$42:$L$1040,"Y",'DEF_SELF_SCOUT_IMPORT'!$E$42:$E$1040,SUBSTITUTE(SUBSTITUTE(SUBSTITUTE($B592,"~","~~"),"*","~*"),"?","~?"),'DEF_SELF_SCOUT_IMPORT'!$Q$42:$Q$1040,SUBSTITUTE(SUBSTITUTE(SUBSTITUTE($M592,"~","~~"),"*","~*"),"?","~?"),'DEF_SELF_SCOUT_IMPORT'!$F$42:$F$1040,SUBSTITUTE(SUBSTITUTE(SUBSTITUTE($N592,"~","~~"),"*","~*"),"?","~?"),'DEF_SELF_SCOUT_IMPORT'!$G$42:$G$1040,SUBSTITUTE(SUBSTITUTE(SUBSTITUTE($O592,"~","~~"),"*","~*"),"?","~?"))/$C592)</f>
        <v>1.0</v>
      </c>
      <c r="E592" s="10">
        <f>IF($C592=0,"",SUMIFS('DEF_SELF_SCOUT_IMPORT'!$K$42:$K$1040,'DEF_SELF_SCOUT_IMPORT'!$L$42:$L$1040,"Y",'DEF_SELF_SCOUT_IMPORT'!$E$42:$E$1040,SUBSTITUTE(SUBSTITUTE(SUBSTITUTE($B592,"~","~~"),"*","~*"),"?","~?"),'DEF_SELF_SCOUT_IMPORT'!$Q$42:$Q$1040,SUBSTITUTE(SUBSTITUTE(SUBSTITUTE($M592,"~","~~"),"*","~*"),"?","~?"),'DEF_SELF_SCOUT_IMPORT'!$F$42:$F$1040,SUBSTITUTE(SUBSTITUTE(SUBSTITUTE($N592,"~","~~"),"*","~*"),"?","~?"),'DEF_SELF_SCOUT_IMPORT'!$G$42:$G$1040,SUBSTITUTE(SUBSTITUTE(SUBSTITUTE($O592,"~","~~"),"*","~*"),"?","~?"))/$C592)</f>
        <v>0.0</v>
      </c>
      <c r="F592" s="11">
        <f>IF($C592=0,"",AVERAGEIFS('DEF_SELF_SCOUT_IMPORT'!$I$42:$I$1040,'DEF_SELF_SCOUT_IMPORT'!$L$42:$L$1040,"Y",'DEF_SELF_SCOUT_IMPORT'!$E$42:$E$1040,SUBSTITUTE(SUBSTITUTE(SUBSTITUTE($B592,"~","~~"),"*","~*"),"?","~?"),'DEF_SELF_SCOUT_IMPORT'!$Q$42:$Q$1040,SUBSTITUTE(SUBSTITUTE(SUBSTITUTE($M592,"~","~~"),"*","~*"),"?","~?"),'DEF_SELF_SCOUT_IMPORT'!$F$42:$F$1040,SUBSTITUTE(SUBSTITUTE(SUBSTITUTE($N592,"~","~~"),"*","~*"),"?","~?"),'DEF_SELF_SCOUT_IMPORT'!$G$42:$G$1040,SUBSTITUTE(SUBSTITUTE(SUBSTITUTE($O592,"~","~~"),"*","~*"),"?","~?")))</f>
        <v>2.0</v>
      </c>
      <c r="G592" s="10">
        <f>IF($C592=0,"",COUNTIFS('DEF_SELF_SCOUT_IMPORT'!$L$42:$L$1040,"Y",'DEF_SELF_SCOUT_IMPORT'!$E$42:$E$1040,SUBSTITUTE(SUBSTITUTE(SUBSTITUTE($B592,"~","~~"),"*","~*"),"?","~?"),'DEF_SELF_SCOUT_IMPORT'!$Q$42:$Q$1040,SUBSTITUTE(SUBSTITUTE(SUBSTITUTE($M592,"~","~~"),"*","~*"),"?","~?"),'DEF_SELF_SCOUT_IMPORT'!$F$42:$F$1040,SUBSTITUTE(SUBSTITUTE(SUBSTITUTE($N592,"~","~~"),"*","~*"),"?","~?"),'DEF_SELF_SCOUT_IMPORT'!$G$42:$G$1040,SUBSTITUTE(SUBSTITUTE(SUBSTITUTE($O592,"~","~~"),"*","~*"),"?","~?"),'DEF_SELF_SCOUT_IMPORT'!$H$42:$H$1040,"RUSH")/$C592)</f>
        <v>1.0</v>
      </c>
      <c r="H592" s="10">
        <f>IF($C592=0,"",COUNTIFS('DEF_SELF_SCOUT_IMPORT'!$L$42:$L$1040,"Y",'DEF_SELF_SCOUT_IMPORT'!$E$42:$E$1040,SUBSTITUTE(SUBSTITUTE(SUBSTITUTE($B592,"~","~~"),"*","~*"),"?","~?"),'DEF_SELF_SCOUT_IMPORT'!$Q$42:$Q$1040,SUBSTITUTE(SUBSTITUTE(SUBSTITUTE($M592,"~","~~"),"*","~*"),"?","~?"),'DEF_SELF_SCOUT_IMPORT'!$F$42:$F$1040,SUBSTITUTE(SUBSTITUTE(SUBSTITUTE($N592,"~","~~"),"*","~*"),"?","~?"),'DEF_SELF_SCOUT_IMPORT'!$G$42:$G$1040,SUBSTITUTE(SUBSTITUTE(SUBSTITUTE($O592,"~","~~"),"*","~*"),"?","~?"),'DEF_SELF_SCOUT_IMPORT'!$H$42:$H$1040,"DROPBACK")/$C592)</f>
        <v>0.0</v>
      </c>
      <c r="I592" s="14" t="str">
        <f>IF(C592=0,"",IF(C592&lt;=2,"TRACK",IF(C592=3,"LOW",IF(C592&lt;=6,"MEDIUM","HIGH"))))</f>
        <v>TRACK</v>
      </c>
      <c r="J592" s="11">
        <f>IF(C592=0,"",ROUND(D592*70+(1-E592)*20+MAX(0,MIN(1,(10-F592)/10))*10,1))</f>
        <v>98.0</v>
      </c>
      <c r="K592" s="14" t="str">
        <f>IF(C592=0,"No Evidence",IF(C592&lt;=2,IF(E592&gt;0,"Explosive Alert","Track Only"),IF(C592=3,"Sample Watch",IF(E592&gt;=START_HERE!$B$31,"Explosive Alert",IF(J592&gt;=80,"Strong Candidate",IF(J592&gt;=65,"Good Candidate",IF(J592&gt;=50,"Mixed / Review","Problem Call")))))))</f>
        <v>Track Only</v>
      </c>
      <c r="L592" s="9" t="str">
        <f>IF(COUNTIFS('DEF_SELF_SCOUT_IMPORT'!$L$42:$L$1040,"Y",'DEF_SELF_SCOUT_IMPORT'!$E$42:$E$1040,SUBSTITUTE(SUBSTITUTE(SUBSTITUTE($B592,"~","~~"),"*","~*"),"?","~?"),'DEF_SELF_SCOUT_IMPORT'!$Q$42:$Q$1040,SUBSTITUTE(SUBSTITUTE(SUBSTITUTE($M592,"~","~~"),"*","~*"),"?","~?"),'DEF_SELF_SCOUT_IMPORT'!$F$42:$F$1040,SUBSTITUTE(SUBSTITUTE(SUBSTITUTE($N592,"~","~~"),"*","~*"),"?","~?"),'DEF_SELF_SCOUT_IMPORT'!$G$42:$G$1040,SUBSTITUTE(SUBSTITUTE(SUBSTITUTE($O592,"~","~~"),"*","~*"),"?","~?"),'DEF_SELF_SCOUT_IMPORT'!$J$42:$J$1040,"")&gt;0,"Unscored clean outcome; review result tags before using score.",IF(C592=0,"No matching defensive reps; film confirmation needed.",IF(K592="Explosive Alert","Explosive risk; review clips before using as answer.",IF(C592&lt;=2,"Track only; not enough sample.",IF(C592=3,IF(E592&gt;0,"Sample watch with explosive exposure; review clips and build the sample.",IF(J592&gt;=65,"Good signal, but sample is limited.","Sample watch; review clips and build the sample.")),IF(K592="Problem Call","Problem area; practice or call-sheet review.",IF(K592="Strong Candidate","Strong call-fit candidate; confirm on film.",IF(K592="Good Candidate","Good call-fit signal; confirm on film.","Mixed signal; review fit and execution on film."))))))))</f>
        <v>Track only; not enough sample.</v>
      </c>
      <c r="M592" s="8" t="s">
        <v>31</v>
      </c>
      <c r="N592" s="8" t="s">
        <v>120</v>
      </c>
      <c r="O592" s="8" t="s">
        <v>203</v>
      </c>
      <c r="P592" s="8"/>
      <c r="Q592" s="8"/>
      <c r="R592" s="8" t="s">
        <v>28</v>
      </c>
      <c r="S592" s="2" t="s">
        <v>291</v>
      </c>
      <c r="T592" s="2">
        <f>IF(C592=0,0,IF(C592&gt;=CALL_LOOKUP_BOARD!$B$7,IF(OR(K592="Problem Call",K592="Explosive Alert"),10000000,20000000),0)+IF(C592&gt;=CALL_LOOKUP_BOARD!$B$7,J592*1000+MIN(C592,999),C592*1000+J592)+0.00999600)</f>
        <v>1098.009996</v>
      </c>
      <c r="U592" s="2" t="str">
        <f>IF(C592=0,"",IF(COUNTIFS($S$589:$S$803,SUBSTITUTE(SUBSTITUTE(SUBSTITUTE(S592,"~","~~"),"*","~*"),"?","~?"),$T$589:$T$803,"&gt;"&amp;T592)=0,S592,""))</f>
        <v>6:1D 11+|2:11|3:2X2|</v>
      </c>
    </row>
    <row r="593" spans="1:21" ht="38" customHeight="1">
      <c r="A593" s="8" t="s">
        <v>292</v>
      </c>
      <c r="B593" s="8" t="s">
        <v>34</v>
      </c>
      <c r="C593" s="12">
        <f>COUNTIFS('DEF_SELF_SCOUT_IMPORT'!$L$42:$L$1040,"Y",'DEF_SELF_SCOUT_IMPORT'!$E$42:$E$1040,SUBSTITUTE(SUBSTITUTE(SUBSTITUTE($B593,"~","~~"),"*","~*"),"?","~?"),'DEF_SELF_SCOUT_IMPORT'!$Q$42:$Q$1040,SUBSTITUTE(SUBSTITUTE(SUBSTITUTE($M593,"~","~~"),"*","~*"),"?","~?"),'DEF_SELF_SCOUT_IMPORT'!$F$42:$F$1040,SUBSTITUTE(SUBSTITUTE(SUBSTITUTE($N593,"~","~~"),"*","~*"),"?","~?"),'DEF_SELF_SCOUT_IMPORT'!$G$42:$G$1040,SUBSTITUTE(SUBSTITUTE(SUBSTITUTE($O593,"~","~~"),"*","~*"),"?","~?"))</f>
        <v>1</v>
      </c>
      <c r="D593" s="10">
        <f>IF($C593=0,"",SUMIFS('DEF_SELF_SCOUT_IMPORT'!$J$42:$J$1040,'DEF_SELF_SCOUT_IMPORT'!$L$42:$L$1040,"Y",'DEF_SELF_SCOUT_IMPORT'!$E$42:$E$1040,SUBSTITUTE(SUBSTITUTE(SUBSTITUTE($B593,"~","~~"),"*","~*"),"?","~?"),'DEF_SELF_SCOUT_IMPORT'!$Q$42:$Q$1040,SUBSTITUTE(SUBSTITUTE(SUBSTITUTE($M593,"~","~~"),"*","~*"),"?","~?"),'DEF_SELF_SCOUT_IMPORT'!$F$42:$F$1040,SUBSTITUTE(SUBSTITUTE(SUBSTITUTE($N593,"~","~~"),"*","~*"),"?","~?"),'DEF_SELF_SCOUT_IMPORT'!$G$42:$G$1040,SUBSTITUTE(SUBSTITUTE(SUBSTITUTE($O593,"~","~~"),"*","~*"),"?","~?"))/$C593)</f>
        <v>1.0</v>
      </c>
      <c r="E593" s="10">
        <f>IF($C593=0,"",SUMIFS('DEF_SELF_SCOUT_IMPORT'!$K$42:$K$1040,'DEF_SELF_SCOUT_IMPORT'!$L$42:$L$1040,"Y",'DEF_SELF_SCOUT_IMPORT'!$E$42:$E$1040,SUBSTITUTE(SUBSTITUTE(SUBSTITUTE($B593,"~","~~"),"*","~*"),"?","~?"),'DEF_SELF_SCOUT_IMPORT'!$Q$42:$Q$1040,SUBSTITUTE(SUBSTITUTE(SUBSTITUTE($M593,"~","~~"),"*","~*"),"?","~?"),'DEF_SELF_SCOUT_IMPORT'!$F$42:$F$1040,SUBSTITUTE(SUBSTITUTE(SUBSTITUTE($N593,"~","~~"),"*","~*"),"?","~?"),'DEF_SELF_SCOUT_IMPORT'!$G$42:$G$1040,SUBSTITUTE(SUBSTITUTE(SUBSTITUTE($O593,"~","~~"),"*","~*"),"?","~?"))/$C593)</f>
        <v>0.0</v>
      </c>
      <c r="F593" s="11">
        <f>IF($C593=0,"",AVERAGEIFS('DEF_SELF_SCOUT_IMPORT'!$I$42:$I$1040,'DEF_SELF_SCOUT_IMPORT'!$L$42:$L$1040,"Y",'DEF_SELF_SCOUT_IMPORT'!$E$42:$E$1040,SUBSTITUTE(SUBSTITUTE(SUBSTITUTE($B593,"~","~~"),"*","~*"),"?","~?"),'DEF_SELF_SCOUT_IMPORT'!$Q$42:$Q$1040,SUBSTITUTE(SUBSTITUTE(SUBSTITUTE($M593,"~","~~"),"*","~*"),"?","~?"),'DEF_SELF_SCOUT_IMPORT'!$F$42:$F$1040,SUBSTITUTE(SUBSTITUTE(SUBSTITUTE($N593,"~","~~"),"*","~*"),"?","~?"),'DEF_SELF_SCOUT_IMPORT'!$G$42:$G$1040,SUBSTITUTE(SUBSTITUTE(SUBSTITUTE($O593,"~","~~"),"*","~*"),"?","~?")))</f>
        <v>3.0</v>
      </c>
      <c r="G593" s="10">
        <f>IF($C593=0,"",COUNTIFS('DEF_SELF_SCOUT_IMPORT'!$L$42:$L$1040,"Y",'DEF_SELF_SCOUT_IMPORT'!$E$42:$E$1040,SUBSTITUTE(SUBSTITUTE(SUBSTITUTE($B593,"~","~~"),"*","~*"),"?","~?"),'DEF_SELF_SCOUT_IMPORT'!$Q$42:$Q$1040,SUBSTITUTE(SUBSTITUTE(SUBSTITUTE($M593,"~","~~"),"*","~*"),"?","~?"),'DEF_SELF_SCOUT_IMPORT'!$F$42:$F$1040,SUBSTITUTE(SUBSTITUTE(SUBSTITUTE($N593,"~","~~"),"*","~*"),"?","~?"),'DEF_SELF_SCOUT_IMPORT'!$G$42:$G$1040,SUBSTITUTE(SUBSTITUTE(SUBSTITUTE($O593,"~","~~"),"*","~*"),"?","~?"),'DEF_SELF_SCOUT_IMPORT'!$H$42:$H$1040,"RUSH")/$C593)</f>
        <v>1.0</v>
      </c>
      <c r="H593" s="10">
        <f>IF($C593=0,"",COUNTIFS('DEF_SELF_SCOUT_IMPORT'!$L$42:$L$1040,"Y",'DEF_SELF_SCOUT_IMPORT'!$E$42:$E$1040,SUBSTITUTE(SUBSTITUTE(SUBSTITUTE($B593,"~","~~"),"*","~*"),"?","~?"),'DEF_SELF_SCOUT_IMPORT'!$Q$42:$Q$1040,SUBSTITUTE(SUBSTITUTE(SUBSTITUTE($M593,"~","~~"),"*","~*"),"?","~?"),'DEF_SELF_SCOUT_IMPORT'!$F$42:$F$1040,SUBSTITUTE(SUBSTITUTE(SUBSTITUTE($N593,"~","~~"),"*","~*"),"?","~?"),'DEF_SELF_SCOUT_IMPORT'!$G$42:$G$1040,SUBSTITUTE(SUBSTITUTE(SUBSTITUTE($O593,"~","~~"),"*","~*"),"?","~?"),'DEF_SELF_SCOUT_IMPORT'!$H$42:$H$1040,"DROPBACK")/$C593)</f>
        <v>0.0</v>
      </c>
      <c r="I593" s="14" t="str">
        <f>IF(C593=0,"",IF(C593&lt;=2,"TRACK",IF(C593=3,"LOW",IF(C593&lt;=6,"MEDIUM","HIGH"))))</f>
        <v>TRACK</v>
      </c>
      <c r="J593" s="11">
        <f>IF(C593=0,"",ROUND(D593*70+(1-E593)*20+MAX(0,MIN(1,(10-F593)/10))*10,1))</f>
        <v>97.0</v>
      </c>
      <c r="K593" s="14" t="str">
        <f>IF(C593=0,"No Evidence",IF(C593&lt;=2,IF(E593&gt;0,"Explosive Alert","Track Only"),IF(C593=3,"Sample Watch",IF(E593&gt;=START_HERE!$B$31,"Explosive Alert",IF(J593&gt;=80,"Strong Candidate",IF(J593&gt;=65,"Good Candidate",IF(J593&gt;=50,"Mixed / Review","Problem Call")))))))</f>
        <v>Track Only</v>
      </c>
      <c r="L593" s="9" t="str">
        <f>IF(COUNTIFS('DEF_SELF_SCOUT_IMPORT'!$L$42:$L$1040,"Y",'DEF_SELF_SCOUT_IMPORT'!$E$42:$E$1040,SUBSTITUTE(SUBSTITUTE(SUBSTITUTE($B593,"~","~~"),"*","~*"),"?","~?"),'DEF_SELF_SCOUT_IMPORT'!$Q$42:$Q$1040,SUBSTITUTE(SUBSTITUTE(SUBSTITUTE($M593,"~","~~"),"*","~*"),"?","~?"),'DEF_SELF_SCOUT_IMPORT'!$F$42:$F$1040,SUBSTITUTE(SUBSTITUTE(SUBSTITUTE($N593,"~","~~"),"*","~*"),"?","~?"),'DEF_SELF_SCOUT_IMPORT'!$G$42:$G$1040,SUBSTITUTE(SUBSTITUTE(SUBSTITUTE($O593,"~","~~"),"*","~*"),"?","~?"),'DEF_SELF_SCOUT_IMPORT'!$J$42:$J$1040,"")&gt;0,"Unscored clean outcome; review result tags before using score.",IF(C593=0,"No matching defensive reps; film confirmation needed.",IF(K593="Explosive Alert","Explosive risk; review clips before using as answer.",IF(C593&lt;=2,"Track only; not enough sample.",IF(C593=3,IF(E593&gt;0,"Sample watch with explosive exposure; review clips and build the sample.",IF(J593&gt;=65,"Good signal, but sample is limited.","Sample watch; review clips and build the sample.")),IF(K593="Problem Call","Problem area; practice or call-sheet review.",IF(K593="Strong Candidate","Strong call-fit candidate; confirm on film.",IF(K593="Good Candidate","Good call-fit signal; confirm on film.","Mixed signal; review fit and execution on film."))))))))</f>
        <v>Track only; not enough sample.</v>
      </c>
      <c r="M593" s="8" t="s">
        <v>31</v>
      </c>
      <c r="N593" s="8" t="s">
        <v>120</v>
      </c>
      <c r="O593" s="8" t="s">
        <v>206</v>
      </c>
      <c r="P593" s="8"/>
      <c r="Q593" s="8"/>
      <c r="R593" s="8" t="s">
        <v>28</v>
      </c>
      <c r="S593" s="2" t="s">
        <v>293</v>
      </c>
      <c r="T593" s="2">
        <f>IF(C593=0,0,IF(C593&gt;=CALL_LOOKUP_BOARD!$B$7,IF(OR(K593="Problem Call",K593="Explosive Alert"),10000000,20000000),0)+IF(C593&gt;=CALL_LOOKUP_BOARD!$B$7,J593*1000+MIN(C593,999),C593*1000+J593)+0.00999500)</f>
        <v>1097.009995</v>
      </c>
      <c r="U593" s="2" t="str">
        <f>IF(C593=0,"",IF(COUNTIFS($S$589:$S$803,SUBSTITUTE(SUBSTITUTE(SUBSTITUTE(S593,"~","~~"),"*","~*"),"?","~?"),$T$589:$T$803,"&gt;"&amp;T593)=0,S593,""))</f>
        <v>6:1D 11+|2:11|3:3X1|</v>
      </c>
    </row>
    <row r="594" spans="1:21" ht="38" customHeight="1">
      <c r="A594" s="8" t="s">
        <v>294</v>
      </c>
      <c r="B594" s="8" t="s">
        <v>35</v>
      </c>
      <c r="C594" s="12">
        <f>COUNTIFS('DEF_SELF_SCOUT_IMPORT'!$L$42:$L$1040,"Y",'DEF_SELF_SCOUT_IMPORT'!$E$42:$E$1040,SUBSTITUTE(SUBSTITUTE(SUBSTITUTE($B594,"~","~~"),"*","~*"),"?","~?"),'DEF_SELF_SCOUT_IMPORT'!$Q$42:$Q$1040,SUBSTITUTE(SUBSTITUTE(SUBSTITUTE($M594,"~","~~"),"*","~*"),"?","~?"),'DEF_SELF_SCOUT_IMPORT'!$F$42:$F$1040,SUBSTITUTE(SUBSTITUTE(SUBSTITUTE($N594,"~","~~"),"*","~*"),"?","~?"),'DEF_SELF_SCOUT_IMPORT'!$G$42:$G$1040,SUBSTITUTE(SUBSTITUTE(SUBSTITUTE($O594,"~","~~"),"*","~*"),"?","~?"))</f>
        <v>1</v>
      </c>
      <c r="D594" s="10">
        <f>IF($C594=0,"",SUMIFS('DEF_SELF_SCOUT_IMPORT'!$J$42:$J$1040,'DEF_SELF_SCOUT_IMPORT'!$L$42:$L$1040,"Y",'DEF_SELF_SCOUT_IMPORT'!$E$42:$E$1040,SUBSTITUTE(SUBSTITUTE(SUBSTITUTE($B594,"~","~~"),"*","~*"),"?","~?"),'DEF_SELF_SCOUT_IMPORT'!$Q$42:$Q$1040,SUBSTITUTE(SUBSTITUTE(SUBSTITUTE($M594,"~","~~"),"*","~*"),"?","~?"),'DEF_SELF_SCOUT_IMPORT'!$F$42:$F$1040,SUBSTITUTE(SUBSTITUTE(SUBSTITUTE($N594,"~","~~"),"*","~*"),"?","~?"),'DEF_SELF_SCOUT_IMPORT'!$G$42:$G$1040,SUBSTITUTE(SUBSTITUTE(SUBSTITUTE($O594,"~","~~"),"*","~*"),"?","~?"))/$C594)</f>
        <v>0.0</v>
      </c>
      <c r="E594" s="10">
        <f>IF($C594=0,"",SUMIFS('DEF_SELF_SCOUT_IMPORT'!$K$42:$K$1040,'DEF_SELF_SCOUT_IMPORT'!$L$42:$L$1040,"Y",'DEF_SELF_SCOUT_IMPORT'!$E$42:$E$1040,SUBSTITUTE(SUBSTITUTE(SUBSTITUTE($B594,"~","~~"),"*","~*"),"?","~?"),'DEF_SELF_SCOUT_IMPORT'!$Q$42:$Q$1040,SUBSTITUTE(SUBSTITUTE(SUBSTITUTE($M594,"~","~~"),"*","~*"),"?","~?"),'DEF_SELF_SCOUT_IMPORT'!$F$42:$F$1040,SUBSTITUTE(SUBSTITUTE(SUBSTITUTE($N594,"~","~~"),"*","~*"),"?","~?"),'DEF_SELF_SCOUT_IMPORT'!$G$42:$G$1040,SUBSTITUTE(SUBSTITUTE(SUBSTITUTE($O594,"~","~~"),"*","~*"),"?","~?"))/$C594)</f>
        <v>0.0</v>
      </c>
      <c r="F594" s="11">
        <f>IF($C594=0,"",AVERAGEIFS('DEF_SELF_SCOUT_IMPORT'!$I$42:$I$1040,'DEF_SELF_SCOUT_IMPORT'!$L$42:$L$1040,"Y",'DEF_SELF_SCOUT_IMPORT'!$E$42:$E$1040,SUBSTITUTE(SUBSTITUTE(SUBSTITUTE($B594,"~","~~"),"*","~*"),"?","~?"),'DEF_SELF_SCOUT_IMPORT'!$Q$42:$Q$1040,SUBSTITUTE(SUBSTITUTE(SUBSTITUTE($M594,"~","~~"),"*","~*"),"?","~?"),'DEF_SELF_SCOUT_IMPORT'!$F$42:$F$1040,SUBSTITUTE(SUBSTITUTE(SUBSTITUTE($N594,"~","~~"),"*","~*"),"?","~?"),'DEF_SELF_SCOUT_IMPORT'!$G$42:$G$1040,SUBSTITUTE(SUBSTITUTE(SUBSTITUTE($O594,"~","~~"),"*","~*"),"?","~?")))</f>
        <v>9.0</v>
      </c>
      <c r="G594" s="10">
        <f>IF($C594=0,"",COUNTIFS('DEF_SELF_SCOUT_IMPORT'!$L$42:$L$1040,"Y",'DEF_SELF_SCOUT_IMPORT'!$E$42:$E$1040,SUBSTITUTE(SUBSTITUTE(SUBSTITUTE($B594,"~","~~"),"*","~*"),"?","~?"),'DEF_SELF_SCOUT_IMPORT'!$Q$42:$Q$1040,SUBSTITUTE(SUBSTITUTE(SUBSTITUTE($M594,"~","~~"),"*","~*"),"?","~?"),'DEF_SELF_SCOUT_IMPORT'!$F$42:$F$1040,SUBSTITUTE(SUBSTITUTE(SUBSTITUTE($N594,"~","~~"),"*","~*"),"?","~?"),'DEF_SELF_SCOUT_IMPORT'!$G$42:$G$1040,SUBSTITUTE(SUBSTITUTE(SUBSTITUTE($O594,"~","~~"),"*","~*"),"?","~?"),'DEF_SELF_SCOUT_IMPORT'!$H$42:$H$1040,"RUSH")/$C594)</f>
        <v>1.0</v>
      </c>
      <c r="H594" s="10">
        <f>IF($C594=0,"",COUNTIFS('DEF_SELF_SCOUT_IMPORT'!$L$42:$L$1040,"Y",'DEF_SELF_SCOUT_IMPORT'!$E$42:$E$1040,SUBSTITUTE(SUBSTITUTE(SUBSTITUTE($B594,"~","~~"),"*","~*"),"?","~?"),'DEF_SELF_SCOUT_IMPORT'!$Q$42:$Q$1040,SUBSTITUTE(SUBSTITUTE(SUBSTITUTE($M594,"~","~~"),"*","~*"),"?","~?"),'DEF_SELF_SCOUT_IMPORT'!$F$42:$F$1040,SUBSTITUTE(SUBSTITUTE(SUBSTITUTE($N594,"~","~~"),"*","~*"),"?","~?"),'DEF_SELF_SCOUT_IMPORT'!$G$42:$G$1040,SUBSTITUTE(SUBSTITUTE(SUBSTITUTE($O594,"~","~~"),"*","~*"),"?","~?"),'DEF_SELF_SCOUT_IMPORT'!$H$42:$H$1040,"DROPBACK")/$C594)</f>
        <v>0.0</v>
      </c>
      <c r="I594" s="14" t="str">
        <f>IF(C594=0,"",IF(C594&lt;=2,"TRACK",IF(C594=3,"LOW",IF(C594&lt;=6,"MEDIUM","HIGH"))))</f>
        <v>TRACK</v>
      </c>
      <c r="J594" s="11">
        <f>IF(C594=0,"",ROUND(D594*70+(1-E594)*20+MAX(0,MIN(1,(10-F594)/10))*10,1))</f>
        <v>21.0</v>
      </c>
      <c r="K594" s="14" t="str">
        <f>IF(C594=0,"No Evidence",IF(C594&lt;=2,IF(E594&gt;0,"Explosive Alert","Track Only"),IF(C594=3,"Sample Watch",IF(E594&gt;=START_HERE!$B$31,"Explosive Alert",IF(J594&gt;=80,"Strong Candidate",IF(J594&gt;=65,"Good Candidate",IF(J594&gt;=50,"Mixed / Review","Problem Call")))))))</f>
        <v>Track Only</v>
      </c>
      <c r="L594" s="9" t="str">
        <f>IF(COUNTIFS('DEF_SELF_SCOUT_IMPORT'!$L$42:$L$1040,"Y",'DEF_SELF_SCOUT_IMPORT'!$E$42:$E$1040,SUBSTITUTE(SUBSTITUTE(SUBSTITUTE($B594,"~","~~"),"*","~*"),"?","~?"),'DEF_SELF_SCOUT_IMPORT'!$Q$42:$Q$1040,SUBSTITUTE(SUBSTITUTE(SUBSTITUTE($M594,"~","~~"),"*","~*"),"?","~?"),'DEF_SELF_SCOUT_IMPORT'!$F$42:$F$1040,SUBSTITUTE(SUBSTITUTE(SUBSTITUTE($N594,"~","~~"),"*","~*"),"?","~?"),'DEF_SELF_SCOUT_IMPORT'!$G$42:$G$1040,SUBSTITUTE(SUBSTITUTE(SUBSTITUTE($O594,"~","~~"),"*","~*"),"?","~?"),'DEF_SELF_SCOUT_IMPORT'!$J$42:$J$1040,"")&gt;0,"Unscored clean outcome; review result tags before using score.",IF(C594=0,"No matching defensive reps; film confirmation needed.",IF(K594="Explosive Alert","Explosive risk; review clips before using as answer.",IF(C594&lt;=2,"Track only; not enough sample.",IF(C594=3,IF(E594&gt;0,"Sample watch with explosive exposure; review clips and build the sample.",IF(J594&gt;=65,"Good signal, but sample is limited.","Sample watch; review clips and build the sample.")),IF(K594="Problem Call","Problem area; practice or call-sheet review.",IF(K594="Strong Candidate","Strong call-fit candidate; confirm on film.",IF(K594="Good Candidate","Good call-fit signal; confirm on film.","Mixed signal; review fit and execution on film."))))))))</f>
        <v>Track only; not enough sample.</v>
      </c>
      <c r="M594" s="8" t="s">
        <v>31</v>
      </c>
      <c r="N594" s="8" t="s">
        <v>123</v>
      </c>
      <c r="O594" s="8" t="s">
        <v>203</v>
      </c>
      <c r="P594" s="8"/>
      <c r="Q594" s="8"/>
      <c r="R594" s="8" t="s">
        <v>28</v>
      </c>
      <c r="S594" s="2" t="s">
        <v>295</v>
      </c>
      <c r="T594" s="2">
        <f>IF(C594=0,0,IF(C594&gt;=CALL_LOOKUP_BOARD!$B$7,IF(OR(K594="Problem Call",K594="Explosive Alert"),10000000,20000000),0)+IF(C594&gt;=CALL_LOOKUP_BOARD!$B$7,J594*1000+MIN(C594,999),C594*1000+J594)+0.00999400)</f>
        <v>1021.009994</v>
      </c>
      <c r="U594" s="2" t="str">
        <f>IF(C594=0,"",IF(COUNTIFS($S$589:$S$803,SUBSTITUTE(SUBSTITUTE(SUBSTITUTE(S594,"~","~~"),"*","~*"),"?","~?"),$T$589:$T$803,"&gt;"&amp;T594)=0,S594,""))</f>
        <v>6:1D 11+|2:12|3:2X2|</v>
      </c>
    </row>
    <row r="595" spans="1:21" ht="38" customHeight="1">
      <c r="A595" s="8" t="s">
        <v>296</v>
      </c>
      <c r="B595" s="8" t="s">
        <v>35</v>
      </c>
      <c r="C595" s="12">
        <f>COUNTIFS('DEF_SELF_SCOUT_IMPORT'!$L$42:$L$1040,"Y",'DEF_SELF_SCOUT_IMPORT'!$E$42:$E$1040,SUBSTITUTE(SUBSTITUTE(SUBSTITUTE($B595,"~","~~"),"*","~*"),"?","~?"),'DEF_SELF_SCOUT_IMPORT'!$Q$42:$Q$1040,SUBSTITUTE(SUBSTITUTE(SUBSTITUTE($M595,"~","~~"),"*","~*"),"?","~?"),'DEF_SELF_SCOUT_IMPORT'!$F$42:$F$1040,SUBSTITUTE(SUBSTITUTE(SUBSTITUTE($N595,"~","~~"),"*","~*"),"?","~?"),'DEF_SELF_SCOUT_IMPORT'!$G$42:$G$1040,SUBSTITUTE(SUBSTITUTE(SUBSTITUTE($O595,"~","~~"),"*","~*"),"?","~?"))</f>
        <v>1</v>
      </c>
      <c r="D595" s="10">
        <f>IF($C595=0,"",SUMIFS('DEF_SELF_SCOUT_IMPORT'!$J$42:$J$1040,'DEF_SELF_SCOUT_IMPORT'!$L$42:$L$1040,"Y",'DEF_SELF_SCOUT_IMPORT'!$E$42:$E$1040,SUBSTITUTE(SUBSTITUTE(SUBSTITUTE($B595,"~","~~"),"*","~*"),"?","~?"),'DEF_SELF_SCOUT_IMPORT'!$Q$42:$Q$1040,SUBSTITUTE(SUBSTITUTE(SUBSTITUTE($M595,"~","~~"),"*","~*"),"?","~?"),'DEF_SELF_SCOUT_IMPORT'!$F$42:$F$1040,SUBSTITUTE(SUBSTITUTE(SUBSTITUTE($N595,"~","~~"),"*","~*"),"?","~?"),'DEF_SELF_SCOUT_IMPORT'!$G$42:$G$1040,SUBSTITUTE(SUBSTITUTE(SUBSTITUTE($O595,"~","~~"),"*","~*"),"?","~?"))/$C595)</f>
        <v>1.0</v>
      </c>
      <c r="E595" s="10">
        <f>IF($C595=0,"",SUMIFS('DEF_SELF_SCOUT_IMPORT'!$K$42:$K$1040,'DEF_SELF_SCOUT_IMPORT'!$L$42:$L$1040,"Y",'DEF_SELF_SCOUT_IMPORT'!$E$42:$E$1040,SUBSTITUTE(SUBSTITUTE(SUBSTITUTE($B595,"~","~~"),"*","~*"),"?","~?"),'DEF_SELF_SCOUT_IMPORT'!$Q$42:$Q$1040,SUBSTITUTE(SUBSTITUTE(SUBSTITUTE($M595,"~","~~"),"*","~*"),"?","~?"),'DEF_SELF_SCOUT_IMPORT'!$F$42:$F$1040,SUBSTITUTE(SUBSTITUTE(SUBSTITUTE($N595,"~","~~"),"*","~*"),"?","~?"),'DEF_SELF_SCOUT_IMPORT'!$G$42:$G$1040,SUBSTITUTE(SUBSTITUTE(SUBSTITUTE($O595,"~","~~"),"*","~*"),"?","~?"))/$C595)</f>
        <v>0.0</v>
      </c>
      <c r="F595" s="11">
        <f>IF($C595=0,"",AVERAGEIFS('DEF_SELF_SCOUT_IMPORT'!$I$42:$I$1040,'DEF_SELF_SCOUT_IMPORT'!$L$42:$L$1040,"Y",'DEF_SELF_SCOUT_IMPORT'!$E$42:$E$1040,SUBSTITUTE(SUBSTITUTE(SUBSTITUTE($B595,"~","~~"),"*","~*"),"?","~?"),'DEF_SELF_SCOUT_IMPORT'!$Q$42:$Q$1040,SUBSTITUTE(SUBSTITUTE(SUBSTITUTE($M595,"~","~~"),"*","~*"),"?","~?"),'DEF_SELF_SCOUT_IMPORT'!$F$42:$F$1040,SUBSTITUTE(SUBSTITUTE(SUBSTITUTE($N595,"~","~~"),"*","~*"),"?","~?"),'DEF_SELF_SCOUT_IMPORT'!$G$42:$G$1040,SUBSTITUTE(SUBSTITUTE(SUBSTITUTE($O595,"~","~~"),"*","~*"),"?","~?")))</f>
        <v>5.0</v>
      </c>
      <c r="G595" s="10">
        <f>IF($C595=0,"",COUNTIFS('DEF_SELF_SCOUT_IMPORT'!$L$42:$L$1040,"Y",'DEF_SELF_SCOUT_IMPORT'!$E$42:$E$1040,SUBSTITUTE(SUBSTITUTE(SUBSTITUTE($B595,"~","~~"),"*","~*"),"?","~?"),'DEF_SELF_SCOUT_IMPORT'!$Q$42:$Q$1040,SUBSTITUTE(SUBSTITUTE(SUBSTITUTE($M595,"~","~~"),"*","~*"),"?","~?"),'DEF_SELF_SCOUT_IMPORT'!$F$42:$F$1040,SUBSTITUTE(SUBSTITUTE(SUBSTITUTE($N595,"~","~~"),"*","~*"),"?","~?"),'DEF_SELF_SCOUT_IMPORT'!$G$42:$G$1040,SUBSTITUTE(SUBSTITUTE(SUBSTITUTE($O595,"~","~~"),"*","~*"),"?","~?"),'DEF_SELF_SCOUT_IMPORT'!$H$42:$H$1040,"RUSH")/$C595)</f>
        <v>0.0</v>
      </c>
      <c r="H595" s="10">
        <f>IF($C595=0,"",COUNTIFS('DEF_SELF_SCOUT_IMPORT'!$L$42:$L$1040,"Y",'DEF_SELF_SCOUT_IMPORT'!$E$42:$E$1040,SUBSTITUTE(SUBSTITUTE(SUBSTITUTE($B595,"~","~~"),"*","~*"),"?","~?"),'DEF_SELF_SCOUT_IMPORT'!$Q$42:$Q$1040,SUBSTITUTE(SUBSTITUTE(SUBSTITUTE($M595,"~","~~"),"*","~*"),"?","~?"),'DEF_SELF_SCOUT_IMPORT'!$F$42:$F$1040,SUBSTITUTE(SUBSTITUTE(SUBSTITUTE($N595,"~","~~"),"*","~*"),"?","~?"),'DEF_SELF_SCOUT_IMPORT'!$G$42:$G$1040,SUBSTITUTE(SUBSTITUTE(SUBSTITUTE($O595,"~","~~"),"*","~*"),"?","~?"),'DEF_SELF_SCOUT_IMPORT'!$H$42:$H$1040,"DROPBACK")/$C595)</f>
        <v>1.0</v>
      </c>
      <c r="I595" s="14" t="str">
        <f>IF(C595=0,"",IF(C595&lt;=2,"TRACK",IF(C595=3,"LOW",IF(C595&lt;=6,"MEDIUM","HIGH"))))</f>
        <v>TRACK</v>
      </c>
      <c r="J595" s="11">
        <f>IF(C595=0,"",ROUND(D595*70+(1-E595)*20+MAX(0,MIN(1,(10-F595)/10))*10,1))</f>
        <v>95.0</v>
      </c>
      <c r="K595" s="14" t="str">
        <f>IF(C595=0,"No Evidence",IF(C595&lt;=2,IF(E595&gt;0,"Explosive Alert","Track Only"),IF(C595=3,"Sample Watch",IF(E595&gt;=START_HERE!$B$31,"Explosive Alert",IF(J595&gt;=80,"Strong Candidate",IF(J595&gt;=65,"Good Candidate",IF(J595&gt;=50,"Mixed / Review","Problem Call")))))))</f>
        <v>Track Only</v>
      </c>
      <c r="L595" s="9" t="str">
        <f>IF(COUNTIFS('DEF_SELF_SCOUT_IMPORT'!$L$42:$L$1040,"Y",'DEF_SELF_SCOUT_IMPORT'!$E$42:$E$1040,SUBSTITUTE(SUBSTITUTE(SUBSTITUTE($B595,"~","~~"),"*","~*"),"?","~?"),'DEF_SELF_SCOUT_IMPORT'!$Q$42:$Q$1040,SUBSTITUTE(SUBSTITUTE(SUBSTITUTE($M595,"~","~~"),"*","~*"),"?","~?"),'DEF_SELF_SCOUT_IMPORT'!$F$42:$F$1040,SUBSTITUTE(SUBSTITUTE(SUBSTITUTE($N595,"~","~~"),"*","~*"),"?","~?"),'DEF_SELF_SCOUT_IMPORT'!$G$42:$G$1040,SUBSTITUTE(SUBSTITUTE(SUBSTITUTE($O595,"~","~~"),"*","~*"),"?","~?"),'DEF_SELF_SCOUT_IMPORT'!$J$42:$J$1040,"")&gt;0,"Unscored clean outcome; review result tags before using score.",IF(C595=0,"No matching defensive reps; film confirmation needed.",IF(K595="Explosive Alert","Explosive risk; review clips before using as answer.",IF(C595&lt;=2,"Track only; not enough sample.",IF(C595=3,IF(E595&gt;0,"Sample watch with explosive exposure; review clips and build the sample.",IF(J595&gt;=65,"Good signal, but sample is limited.","Sample watch; review clips and build the sample.")),IF(K595="Problem Call","Problem area; practice or call-sheet review.",IF(K595="Strong Candidate","Strong call-fit candidate; confirm on film.",IF(K595="Good Candidate","Good call-fit signal; confirm on film.","Mixed signal; review fit and execution on film."))))))))</f>
        <v>Track only; not enough sample.</v>
      </c>
      <c r="M595" s="8" t="s">
        <v>36</v>
      </c>
      <c r="N595" s="8" t="s">
        <v>123</v>
      </c>
      <c r="O595" s="8" t="s">
        <v>203</v>
      </c>
      <c r="P595" s="8"/>
      <c r="Q595" s="8"/>
      <c r="R595" s="8" t="s">
        <v>28</v>
      </c>
      <c r="S595" s="2" t="s">
        <v>297</v>
      </c>
      <c r="T595" s="2">
        <f>IF(C595=0,0,IF(C595&gt;=CALL_LOOKUP_BOARD!$B$7,IF(OR(K595="Problem Call",K595="Explosive Alert"),10000000,20000000),0)+IF(C595&gt;=CALL_LOOKUP_BOARD!$B$7,J595*1000+MIN(C595,999),C595*1000+J595)+0.00999300)</f>
        <v>1095.009993</v>
      </c>
      <c r="U595" s="2" t="str">
        <f>IF(C595=0,"",IF(COUNTIFS($S$589:$S$803,SUBSTITUTE(SUBSTITUTE(SUBSTITUTE(S595,"~","~~"),"*","~*"),"?","~?"),$T$589:$T$803,"&gt;"&amp;T595)=0,S595,""))</f>
        <v>6:1D 4-6|2:12|3:2X2|</v>
      </c>
    </row>
    <row r="596" spans="1:21" ht="38" customHeight="1">
      <c r="A596" s="8" t="s">
        <v>298</v>
      </c>
      <c r="B596" s="8" t="s">
        <v>37</v>
      </c>
      <c r="C596" s="12">
        <f>COUNTIFS('DEF_SELF_SCOUT_IMPORT'!$L$42:$L$1040,"Y",'DEF_SELF_SCOUT_IMPORT'!$E$42:$E$1040,SUBSTITUTE(SUBSTITUTE(SUBSTITUTE($B596,"~","~~"),"*","~*"),"?","~?"),'DEF_SELF_SCOUT_IMPORT'!$Q$42:$Q$1040,SUBSTITUTE(SUBSTITUTE(SUBSTITUTE($M596,"~","~~"),"*","~*"),"?","~?"),'DEF_SELF_SCOUT_IMPORT'!$F$42:$F$1040,SUBSTITUTE(SUBSTITUTE(SUBSTITUTE($N596,"~","~~"),"*","~*"),"?","~?"),'DEF_SELF_SCOUT_IMPORT'!$G$42:$G$1040,SUBSTITUTE(SUBSTITUTE(SUBSTITUTE($O596,"~","~~"),"*","~*"),"?","~?"))</f>
        <v>1</v>
      </c>
      <c r="D596" s="10">
        <f>IF($C596=0,"",SUMIFS('DEF_SELF_SCOUT_IMPORT'!$J$42:$J$1040,'DEF_SELF_SCOUT_IMPORT'!$L$42:$L$1040,"Y",'DEF_SELF_SCOUT_IMPORT'!$E$42:$E$1040,SUBSTITUTE(SUBSTITUTE(SUBSTITUTE($B596,"~","~~"),"*","~*"),"?","~?"),'DEF_SELF_SCOUT_IMPORT'!$Q$42:$Q$1040,SUBSTITUTE(SUBSTITUTE(SUBSTITUTE($M596,"~","~~"),"*","~*"),"?","~?"),'DEF_SELF_SCOUT_IMPORT'!$F$42:$F$1040,SUBSTITUTE(SUBSTITUTE(SUBSTITUTE($N596,"~","~~"),"*","~*"),"?","~?"),'DEF_SELF_SCOUT_IMPORT'!$G$42:$G$1040,SUBSTITUTE(SUBSTITUTE(SUBSTITUTE($O596,"~","~~"),"*","~*"),"?","~?"))/$C596)</f>
        <v>0.0</v>
      </c>
      <c r="E596" s="10">
        <f>IF($C596=0,"",SUMIFS('DEF_SELF_SCOUT_IMPORT'!$K$42:$K$1040,'DEF_SELF_SCOUT_IMPORT'!$L$42:$L$1040,"Y",'DEF_SELF_SCOUT_IMPORT'!$E$42:$E$1040,SUBSTITUTE(SUBSTITUTE(SUBSTITUTE($B596,"~","~~"),"*","~*"),"?","~?"),'DEF_SELF_SCOUT_IMPORT'!$Q$42:$Q$1040,SUBSTITUTE(SUBSTITUTE(SUBSTITUTE($M596,"~","~~"),"*","~*"),"?","~?"),'DEF_SELF_SCOUT_IMPORT'!$F$42:$F$1040,SUBSTITUTE(SUBSTITUTE(SUBSTITUTE($N596,"~","~~"),"*","~*"),"?","~?"),'DEF_SELF_SCOUT_IMPORT'!$G$42:$G$1040,SUBSTITUTE(SUBSTITUTE(SUBSTITUTE($O596,"~","~~"),"*","~*"),"?","~?"))/$C596)</f>
        <v>0.0</v>
      </c>
      <c r="F596" s="11">
        <f>IF($C596=0,"",AVERAGEIFS('DEF_SELF_SCOUT_IMPORT'!$I$42:$I$1040,'DEF_SELF_SCOUT_IMPORT'!$L$42:$L$1040,"Y",'DEF_SELF_SCOUT_IMPORT'!$E$42:$E$1040,SUBSTITUTE(SUBSTITUTE(SUBSTITUTE($B596,"~","~~"),"*","~*"),"?","~?"),'DEF_SELF_SCOUT_IMPORT'!$Q$42:$Q$1040,SUBSTITUTE(SUBSTITUTE(SUBSTITUTE($M596,"~","~~"),"*","~*"),"?","~?"),'DEF_SELF_SCOUT_IMPORT'!$F$42:$F$1040,SUBSTITUTE(SUBSTITUTE(SUBSTITUTE($N596,"~","~~"),"*","~*"),"?","~?"),'DEF_SELF_SCOUT_IMPORT'!$G$42:$G$1040,SUBSTITUTE(SUBSTITUTE(SUBSTITUTE($O596,"~","~~"),"*","~*"),"?","~?")))</f>
        <v>5.0</v>
      </c>
      <c r="G596" s="10">
        <f>IF($C596=0,"",COUNTIFS('DEF_SELF_SCOUT_IMPORT'!$L$42:$L$1040,"Y",'DEF_SELF_SCOUT_IMPORT'!$E$42:$E$1040,SUBSTITUTE(SUBSTITUTE(SUBSTITUTE($B596,"~","~~"),"*","~*"),"?","~?"),'DEF_SELF_SCOUT_IMPORT'!$Q$42:$Q$1040,SUBSTITUTE(SUBSTITUTE(SUBSTITUTE($M596,"~","~~"),"*","~*"),"?","~?"),'DEF_SELF_SCOUT_IMPORT'!$F$42:$F$1040,SUBSTITUTE(SUBSTITUTE(SUBSTITUTE($N596,"~","~~"),"*","~*"),"?","~?"),'DEF_SELF_SCOUT_IMPORT'!$G$42:$G$1040,SUBSTITUTE(SUBSTITUTE(SUBSTITUTE($O596,"~","~~"),"*","~*"),"?","~?"),'DEF_SELF_SCOUT_IMPORT'!$H$42:$H$1040,"RUSH")/$C596)</f>
        <v>0.0</v>
      </c>
      <c r="H596" s="10">
        <f>IF($C596=0,"",COUNTIFS('DEF_SELF_SCOUT_IMPORT'!$L$42:$L$1040,"Y",'DEF_SELF_SCOUT_IMPORT'!$E$42:$E$1040,SUBSTITUTE(SUBSTITUTE(SUBSTITUTE($B596,"~","~~"),"*","~*"),"?","~?"),'DEF_SELF_SCOUT_IMPORT'!$Q$42:$Q$1040,SUBSTITUTE(SUBSTITUTE(SUBSTITUTE($M596,"~","~~"),"*","~*"),"?","~?"),'DEF_SELF_SCOUT_IMPORT'!$F$42:$F$1040,SUBSTITUTE(SUBSTITUTE(SUBSTITUTE($N596,"~","~~"),"*","~*"),"?","~?"),'DEF_SELF_SCOUT_IMPORT'!$G$42:$G$1040,SUBSTITUTE(SUBSTITUTE(SUBSTITUTE($O596,"~","~~"),"*","~*"),"?","~?"),'DEF_SELF_SCOUT_IMPORT'!$H$42:$H$1040,"DROPBACK")/$C596)</f>
        <v>0.0</v>
      </c>
      <c r="I596" s="14" t="str">
        <f>IF(C596=0,"",IF(C596&lt;=2,"TRACK",IF(C596=3,"LOW",IF(C596&lt;=6,"MEDIUM","HIGH"))))</f>
        <v>TRACK</v>
      </c>
      <c r="J596" s="11">
        <f>IF(C596=0,"",ROUND(D596*70+(1-E596)*20+MAX(0,MIN(1,(10-F596)/10))*10,1))</f>
        <v>25.0</v>
      </c>
      <c r="K596" s="14" t="str">
        <f>IF(C596=0,"No Evidence",IF(C596&lt;=2,IF(E596&gt;0,"Explosive Alert","Track Only"),IF(C596=3,"Sample Watch",IF(E596&gt;=START_HERE!$B$31,"Explosive Alert",IF(J596&gt;=80,"Strong Candidate",IF(J596&gt;=65,"Good Candidate",IF(J596&gt;=50,"Mixed / Review","Problem Call")))))))</f>
        <v>Track Only</v>
      </c>
      <c r="L596" s="9" t="str">
        <f>IF(COUNTIFS('DEF_SELF_SCOUT_IMPORT'!$L$42:$L$1040,"Y",'DEF_SELF_SCOUT_IMPORT'!$E$42:$E$1040,SUBSTITUTE(SUBSTITUTE(SUBSTITUTE($B596,"~","~~"),"*","~*"),"?","~?"),'DEF_SELF_SCOUT_IMPORT'!$Q$42:$Q$1040,SUBSTITUTE(SUBSTITUTE(SUBSTITUTE($M596,"~","~~"),"*","~*"),"?","~?"),'DEF_SELF_SCOUT_IMPORT'!$F$42:$F$1040,SUBSTITUTE(SUBSTITUTE(SUBSTITUTE($N596,"~","~~"),"*","~*"),"?","~?"),'DEF_SELF_SCOUT_IMPORT'!$G$42:$G$1040,SUBSTITUTE(SUBSTITUTE(SUBSTITUTE($O596,"~","~~"),"*","~*"),"?","~?"),'DEF_SELF_SCOUT_IMPORT'!$J$42:$J$1040,"")&gt;0,"Unscored clean outcome; review result tags before using score.",IF(C596=0,"No matching defensive reps; film confirmation needed.",IF(K596="Explosive Alert","Explosive risk; review clips before using as answer.",IF(C596&lt;=2,"Track only; not enough sample.",IF(C596=3,IF(E596&gt;0,"Sample watch with explosive exposure; review clips and build the sample.",IF(J596&gt;=65,"Good signal, but sample is limited.","Sample watch; review clips and build the sample.")),IF(K596="Problem Call","Problem area; practice or call-sheet review.",IF(K596="Strong Candidate","Strong call-fit candidate; confirm on film.",IF(K596="Good Candidate","Good call-fit signal; confirm on film.","Mixed signal; review fit and execution on film."))))))))</f>
        <v>Track only; not enough sample.</v>
      </c>
      <c r="M596" s="8" t="s">
        <v>36</v>
      </c>
      <c r="N596" s="8" t="s">
        <v>123</v>
      </c>
      <c r="O596" s="8" t="s">
        <v>215</v>
      </c>
      <c r="P596" s="8"/>
      <c r="Q596" s="8"/>
      <c r="R596" s="8" t="s">
        <v>28</v>
      </c>
      <c r="S596" s="2" t="s">
        <v>299</v>
      </c>
      <c r="T596" s="2">
        <f>IF(C596=0,0,IF(C596&gt;=CALL_LOOKUP_BOARD!$B$7,IF(OR(K596="Problem Call",K596="Explosive Alert"),10000000,20000000),0)+IF(C596&gt;=CALL_LOOKUP_BOARD!$B$7,J596*1000+MIN(C596,999),C596*1000+J596)+0.00999200)</f>
        <v>1025.009992</v>
      </c>
      <c r="U596" s="2" t="str">
        <f>IF(C596=0,"",IF(COUNTIFS($S$589:$S$803,SUBSTITUTE(SUBSTITUTE(SUBSTITUTE(S596,"~","~~"),"*","~*"),"?","~?"),$T$589:$T$803,"&gt;"&amp;T596)=0,S596,""))</f>
        <v>6:1D 4-6|2:12|3:4X1|</v>
      </c>
    </row>
    <row r="597" spans="1:21" ht="38" customHeight="1">
      <c r="A597" s="8" t="s">
        <v>300</v>
      </c>
      <c r="B597" s="8" t="s">
        <v>56</v>
      </c>
      <c r="C597" s="12">
        <f>COUNTIFS('DEF_SELF_SCOUT_IMPORT'!$L$42:$L$1040,"Y",'DEF_SELF_SCOUT_IMPORT'!$E$42:$E$1040,SUBSTITUTE(SUBSTITUTE(SUBSTITUTE($B597,"~","~~"),"*","~*"),"?","~?"),'DEF_SELF_SCOUT_IMPORT'!$Q$42:$Q$1040,SUBSTITUTE(SUBSTITUTE(SUBSTITUTE($M597,"~","~~"),"*","~*"),"?","~?"),'DEF_SELF_SCOUT_IMPORT'!$F$42:$F$1040,SUBSTITUTE(SUBSTITUTE(SUBSTITUTE($N597,"~","~~"),"*","~*"),"?","~?"),'DEF_SELF_SCOUT_IMPORT'!$G$42:$G$1040,SUBSTITUTE(SUBSTITUTE(SUBSTITUTE($O597,"~","~~"),"*","~*"),"?","~?"))</f>
        <v>1</v>
      </c>
      <c r="D597" s="10">
        <f>IF($C597=0,"",SUMIFS('DEF_SELF_SCOUT_IMPORT'!$J$42:$J$1040,'DEF_SELF_SCOUT_IMPORT'!$L$42:$L$1040,"Y",'DEF_SELF_SCOUT_IMPORT'!$E$42:$E$1040,SUBSTITUTE(SUBSTITUTE(SUBSTITUTE($B597,"~","~~"),"*","~*"),"?","~?"),'DEF_SELF_SCOUT_IMPORT'!$Q$42:$Q$1040,SUBSTITUTE(SUBSTITUTE(SUBSTITUTE($M597,"~","~~"),"*","~*"),"?","~?"),'DEF_SELF_SCOUT_IMPORT'!$F$42:$F$1040,SUBSTITUTE(SUBSTITUTE(SUBSTITUTE($N597,"~","~~"),"*","~*"),"?","~?"),'DEF_SELF_SCOUT_IMPORT'!$G$42:$G$1040,SUBSTITUTE(SUBSTITUTE(SUBSTITUTE($O597,"~","~~"),"*","~*"),"?","~?"))/$C597)</f>
        <v>0.0</v>
      </c>
      <c r="E597" s="10">
        <f>IF($C597=0,"",SUMIFS('DEF_SELF_SCOUT_IMPORT'!$K$42:$K$1040,'DEF_SELF_SCOUT_IMPORT'!$L$42:$L$1040,"Y",'DEF_SELF_SCOUT_IMPORT'!$E$42:$E$1040,SUBSTITUTE(SUBSTITUTE(SUBSTITUTE($B597,"~","~~"),"*","~*"),"?","~?"),'DEF_SELF_SCOUT_IMPORT'!$Q$42:$Q$1040,SUBSTITUTE(SUBSTITUTE(SUBSTITUTE($M597,"~","~~"),"*","~*"),"?","~?"),'DEF_SELF_SCOUT_IMPORT'!$F$42:$F$1040,SUBSTITUTE(SUBSTITUTE(SUBSTITUTE($N597,"~","~~"),"*","~*"),"?","~?"),'DEF_SELF_SCOUT_IMPORT'!$G$42:$G$1040,SUBSTITUTE(SUBSTITUTE(SUBSTITUTE($O597,"~","~~"),"*","~*"),"?","~?"))/$C597)</f>
        <v>0.0</v>
      </c>
      <c r="F597" s="11">
        <f>IF($C597=0,"",AVERAGEIFS('DEF_SELF_SCOUT_IMPORT'!$I$42:$I$1040,'DEF_SELF_SCOUT_IMPORT'!$L$42:$L$1040,"Y",'DEF_SELF_SCOUT_IMPORT'!$E$42:$E$1040,SUBSTITUTE(SUBSTITUTE(SUBSTITUTE($B597,"~","~~"),"*","~*"),"?","~?"),'DEF_SELF_SCOUT_IMPORT'!$Q$42:$Q$1040,SUBSTITUTE(SUBSTITUTE(SUBSTITUTE($M597,"~","~~"),"*","~*"),"?","~?"),'DEF_SELF_SCOUT_IMPORT'!$F$42:$F$1040,SUBSTITUTE(SUBSTITUTE(SUBSTITUTE($N597,"~","~~"),"*","~*"),"?","~?"),'DEF_SELF_SCOUT_IMPORT'!$G$42:$G$1040,SUBSTITUTE(SUBSTITUTE(SUBSTITUTE($O597,"~","~~"),"*","~*"),"?","~?")))</f>
        <v>4.0</v>
      </c>
      <c r="G597" s="10">
        <f>IF($C597=0,"",COUNTIFS('DEF_SELF_SCOUT_IMPORT'!$L$42:$L$1040,"Y",'DEF_SELF_SCOUT_IMPORT'!$E$42:$E$1040,SUBSTITUTE(SUBSTITUTE(SUBSTITUTE($B597,"~","~~"),"*","~*"),"?","~?"),'DEF_SELF_SCOUT_IMPORT'!$Q$42:$Q$1040,SUBSTITUTE(SUBSTITUTE(SUBSTITUTE($M597,"~","~~"),"*","~*"),"?","~?"),'DEF_SELF_SCOUT_IMPORT'!$F$42:$F$1040,SUBSTITUTE(SUBSTITUTE(SUBSTITUTE($N597,"~","~~"),"*","~*"),"?","~?"),'DEF_SELF_SCOUT_IMPORT'!$G$42:$G$1040,SUBSTITUTE(SUBSTITUTE(SUBSTITUTE($O597,"~","~~"),"*","~*"),"?","~?"),'DEF_SELF_SCOUT_IMPORT'!$H$42:$H$1040,"RUSH")/$C597)</f>
        <v>1.0</v>
      </c>
      <c r="H597" s="10">
        <f>IF($C597=0,"",COUNTIFS('DEF_SELF_SCOUT_IMPORT'!$L$42:$L$1040,"Y",'DEF_SELF_SCOUT_IMPORT'!$E$42:$E$1040,SUBSTITUTE(SUBSTITUTE(SUBSTITUTE($B597,"~","~~"),"*","~*"),"?","~?"),'DEF_SELF_SCOUT_IMPORT'!$Q$42:$Q$1040,SUBSTITUTE(SUBSTITUTE(SUBSTITUTE($M597,"~","~~"),"*","~*"),"?","~?"),'DEF_SELF_SCOUT_IMPORT'!$F$42:$F$1040,SUBSTITUTE(SUBSTITUTE(SUBSTITUTE($N597,"~","~~"),"*","~*"),"?","~?"),'DEF_SELF_SCOUT_IMPORT'!$G$42:$G$1040,SUBSTITUTE(SUBSTITUTE(SUBSTITUTE($O597,"~","~~"),"*","~*"),"?","~?"),'DEF_SELF_SCOUT_IMPORT'!$H$42:$H$1040,"DROPBACK")/$C597)</f>
        <v>0.0</v>
      </c>
      <c r="I597" s="14" t="str">
        <f>IF(C597=0,"",IF(C597&lt;=2,"TRACK",IF(C597=3,"LOW",IF(C597&lt;=6,"MEDIUM","HIGH"))))</f>
        <v>TRACK</v>
      </c>
      <c r="J597" s="11">
        <f>IF(C597=0,"",ROUND(D597*70+(1-E597)*20+MAX(0,MIN(1,(10-F597)/10))*10,1))</f>
        <v>26.0</v>
      </c>
      <c r="K597" s="14" t="str">
        <f>IF(C597=0,"No Evidence",IF(C597&lt;=2,IF(E597&gt;0,"Explosive Alert","Track Only"),IF(C597=3,"Sample Watch",IF(E597&gt;=START_HERE!$B$31,"Explosive Alert",IF(J597&gt;=80,"Strong Candidate",IF(J597&gt;=65,"Good Candidate",IF(J597&gt;=50,"Mixed / Review","Problem Call")))))))</f>
        <v>Track Only</v>
      </c>
      <c r="L597" s="9" t="str">
        <f>IF(COUNTIFS('DEF_SELF_SCOUT_IMPORT'!$L$42:$L$1040,"Y",'DEF_SELF_SCOUT_IMPORT'!$E$42:$E$1040,SUBSTITUTE(SUBSTITUTE(SUBSTITUTE($B597,"~","~~"),"*","~*"),"?","~?"),'DEF_SELF_SCOUT_IMPORT'!$Q$42:$Q$1040,SUBSTITUTE(SUBSTITUTE(SUBSTITUTE($M597,"~","~~"),"*","~*"),"?","~?"),'DEF_SELF_SCOUT_IMPORT'!$F$42:$F$1040,SUBSTITUTE(SUBSTITUTE(SUBSTITUTE($N597,"~","~~"),"*","~*"),"?","~?"),'DEF_SELF_SCOUT_IMPORT'!$G$42:$G$1040,SUBSTITUTE(SUBSTITUTE(SUBSTITUTE($O597,"~","~~"),"*","~*"),"?","~?"),'DEF_SELF_SCOUT_IMPORT'!$J$42:$J$1040,"")&gt;0,"Unscored clean outcome; review result tags before using score.",IF(C597=0,"No matching defensive reps; film confirmation needed.",IF(K597="Explosive Alert","Explosive risk; review clips before using as answer.",IF(C597&lt;=2,"Track only; not enough sample.",IF(C597=3,IF(E597&gt;0,"Sample watch with explosive exposure; review clips and build the sample.",IF(J597&gt;=65,"Good signal, but sample is limited.","Sample watch; review clips and build the sample.")),IF(K597="Problem Call","Problem area; practice or call-sheet review.",IF(K597="Strong Candidate","Strong call-fit candidate; confirm on film.",IF(K597="Good Candidate","Good call-fit signal; confirm on film.","Mixed signal; review fit and execution on film."))))))))</f>
        <v>Track only; not enough sample.</v>
      </c>
      <c r="M597" s="8" t="s">
        <v>39</v>
      </c>
      <c r="N597" s="8" t="s">
        <v>132</v>
      </c>
      <c r="O597" s="8" t="s">
        <v>203</v>
      </c>
      <c r="P597" s="8"/>
      <c r="Q597" s="8"/>
      <c r="R597" s="8" t="s">
        <v>28</v>
      </c>
      <c r="S597" s="2" t="s">
        <v>301</v>
      </c>
      <c r="T597" s="2">
        <f>IF(C597=0,0,IF(C597&gt;=CALL_LOOKUP_BOARD!$B$7,IF(OR(K597="Problem Call",K597="Explosive Alert"),10000000,20000000),0)+IF(C597&gt;=CALL_LOOKUP_BOARD!$B$7,J597*1000+MIN(C597,999),C597*1000+J597)+0.00999100)</f>
        <v>1026.009991</v>
      </c>
      <c r="U597" s="2" t="str">
        <f>IF(C597=0,"",IF(COUNTIFS($S$589:$S$803,SUBSTITUTE(SUBSTITUTE(SUBSTITUTE(S597,"~","~~"),"*","~*"),"?","~?"),$T$589:$T$803,"&gt;"&amp;T597)=0,S597,""))</f>
        <v>7:1D 7-10|2:00|3:2X2|</v>
      </c>
    </row>
    <row r="598" spans="1:21" ht="38" customHeight="1">
      <c r="A598" s="8" t="s">
        <v>302</v>
      </c>
      <c r="B598" s="8" t="s">
        <v>44</v>
      </c>
      <c r="C598" s="12">
        <f>COUNTIFS('DEF_SELF_SCOUT_IMPORT'!$L$42:$L$1040,"Y",'DEF_SELF_SCOUT_IMPORT'!$E$42:$E$1040,SUBSTITUTE(SUBSTITUTE(SUBSTITUTE($B598,"~","~~"),"*","~*"),"?","~?"),'DEF_SELF_SCOUT_IMPORT'!$Q$42:$Q$1040,SUBSTITUTE(SUBSTITUTE(SUBSTITUTE($M598,"~","~~"),"*","~*"),"?","~?"),'DEF_SELF_SCOUT_IMPORT'!$F$42:$F$1040,SUBSTITUTE(SUBSTITUTE(SUBSTITUTE($N598,"~","~~"),"*","~*"),"?","~?"),'DEF_SELF_SCOUT_IMPORT'!$G$42:$G$1040,SUBSTITUTE(SUBSTITUTE(SUBSTITUTE($O598,"~","~~"),"*","~*"),"?","~?"))</f>
        <v>2</v>
      </c>
      <c r="D598" s="10">
        <f>IF($C598=0,"",SUMIFS('DEF_SELF_SCOUT_IMPORT'!$J$42:$J$1040,'DEF_SELF_SCOUT_IMPORT'!$L$42:$L$1040,"Y",'DEF_SELF_SCOUT_IMPORT'!$E$42:$E$1040,SUBSTITUTE(SUBSTITUTE(SUBSTITUTE($B598,"~","~~"),"*","~*"),"?","~?"),'DEF_SELF_SCOUT_IMPORT'!$Q$42:$Q$1040,SUBSTITUTE(SUBSTITUTE(SUBSTITUTE($M598,"~","~~"),"*","~*"),"?","~?"),'DEF_SELF_SCOUT_IMPORT'!$F$42:$F$1040,SUBSTITUTE(SUBSTITUTE(SUBSTITUTE($N598,"~","~~"),"*","~*"),"?","~?"),'DEF_SELF_SCOUT_IMPORT'!$G$42:$G$1040,SUBSTITUTE(SUBSTITUTE(SUBSTITUTE($O598,"~","~~"),"*","~*"),"?","~?"))/$C598)</f>
        <v>0.0</v>
      </c>
      <c r="E598" s="10">
        <f>IF($C598=0,"",SUMIFS('DEF_SELF_SCOUT_IMPORT'!$K$42:$K$1040,'DEF_SELF_SCOUT_IMPORT'!$L$42:$L$1040,"Y",'DEF_SELF_SCOUT_IMPORT'!$E$42:$E$1040,SUBSTITUTE(SUBSTITUTE(SUBSTITUTE($B598,"~","~~"),"*","~*"),"?","~?"),'DEF_SELF_SCOUT_IMPORT'!$Q$42:$Q$1040,SUBSTITUTE(SUBSTITUTE(SUBSTITUTE($M598,"~","~~"),"*","~*"),"?","~?"),'DEF_SELF_SCOUT_IMPORT'!$F$42:$F$1040,SUBSTITUTE(SUBSTITUTE(SUBSTITUTE($N598,"~","~~"),"*","~*"),"?","~?"),'DEF_SELF_SCOUT_IMPORT'!$G$42:$G$1040,SUBSTITUTE(SUBSTITUTE(SUBSTITUTE($O598,"~","~~"),"*","~*"),"?","~?"))/$C598)</f>
        <v>0.0</v>
      </c>
      <c r="F598" s="11">
        <f>IF($C598=0,"",AVERAGEIFS('DEF_SELF_SCOUT_IMPORT'!$I$42:$I$1040,'DEF_SELF_SCOUT_IMPORT'!$L$42:$L$1040,"Y",'DEF_SELF_SCOUT_IMPORT'!$E$42:$E$1040,SUBSTITUTE(SUBSTITUTE(SUBSTITUTE($B598,"~","~~"),"*","~*"),"?","~?"),'DEF_SELF_SCOUT_IMPORT'!$Q$42:$Q$1040,SUBSTITUTE(SUBSTITUTE(SUBSTITUTE($M598,"~","~~"),"*","~*"),"?","~?"),'DEF_SELF_SCOUT_IMPORT'!$F$42:$F$1040,SUBSTITUTE(SUBSTITUTE(SUBSTITUTE($N598,"~","~~"),"*","~*"),"?","~?"),'DEF_SELF_SCOUT_IMPORT'!$G$42:$G$1040,SUBSTITUTE(SUBSTITUTE(SUBSTITUTE($O598,"~","~~"),"*","~*"),"?","~?")))</f>
        <v>6.0</v>
      </c>
      <c r="G598" s="10">
        <f>IF($C598=0,"",COUNTIFS('DEF_SELF_SCOUT_IMPORT'!$L$42:$L$1040,"Y",'DEF_SELF_SCOUT_IMPORT'!$E$42:$E$1040,SUBSTITUTE(SUBSTITUTE(SUBSTITUTE($B598,"~","~~"),"*","~*"),"?","~?"),'DEF_SELF_SCOUT_IMPORT'!$Q$42:$Q$1040,SUBSTITUTE(SUBSTITUTE(SUBSTITUTE($M598,"~","~~"),"*","~*"),"?","~?"),'DEF_SELF_SCOUT_IMPORT'!$F$42:$F$1040,SUBSTITUTE(SUBSTITUTE(SUBSTITUTE($N598,"~","~~"),"*","~*"),"?","~?"),'DEF_SELF_SCOUT_IMPORT'!$G$42:$G$1040,SUBSTITUTE(SUBSTITUTE(SUBSTITUTE($O598,"~","~~"),"*","~*"),"?","~?"),'DEF_SELF_SCOUT_IMPORT'!$H$42:$H$1040,"RUSH")/$C598)</f>
        <v>1.0</v>
      </c>
      <c r="H598" s="10">
        <f>IF($C598=0,"",COUNTIFS('DEF_SELF_SCOUT_IMPORT'!$L$42:$L$1040,"Y",'DEF_SELF_SCOUT_IMPORT'!$E$42:$E$1040,SUBSTITUTE(SUBSTITUTE(SUBSTITUTE($B598,"~","~~"),"*","~*"),"?","~?"),'DEF_SELF_SCOUT_IMPORT'!$Q$42:$Q$1040,SUBSTITUTE(SUBSTITUTE(SUBSTITUTE($M598,"~","~~"),"*","~*"),"?","~?"),'DEF_SELF_SCOUT_IMPORT'!$F$42:$F$1040,SUBSTITUTE(SUBSTITUTE(SUBSTITUTE($N598,"~","~~"),"*","~*"),"?","~?"),'DEF_SELF_SCOUT_IMPORT'!$G$42:$G$1040,SUBSTITUTE(SUBSTITUTE(SUBSTITUTE($O598,"~","~~"),"*","~*"),"?","~?"),'DEF_SELF_SCOUT_IMPORT'!$H$42:$H$1040,"DROPBACK")/$C598)</f>
        <v>0.0</v>
      </c>
      <c r="I598" s="14" t="str">
        <f>IF(C598=0,"",IF(C598&lt;=2,"TRACK",IF(C598=3,"LOW",IF(C598&lt;=6,"MEDIUM","HIGH"))))</f>
        <v>TRACK</v>
      </c>
      <c r="J598" s="11">
        <f>IF(C598=0,"",ROUND(D598*70+(1-E598)*20+MAX(0,MIN(1,(10-F598)/10))*10,1))</f>
        <v>24.0</v>
      </c>
      <c r="K598" s="14" t="str">
        <f>IF(C598=0,"No Evidence",IF(C598&lt;=2,IF(E598&gt;0,"Explosive Alert","Track Only"),IF(C598=3,"Sample Watch",IF(E598&gt;=START_HERE!$B$31,"Explosive Alert",IF(J598&gt;=80,"Strong Candidate",IF(J598&gt;=65,"Good Candidate",IF(J598&gt;=50,"Mixed / Review","Problem Call")))))))</f>
        <v>Track Only</v>
      </c>
      <c r="L598" s="9" t="str">
        <f>IF(COUNTIFS('DEF_SELF_SCOUT_IMPORT'!$L$42:$L$1040,"Y",'DEF_SELF_SCOUT_IMPORT'!$E$42:$E$1040,SUBSTITUTE(SUBSTITUTE(SUBSTITUTE($B598,"~","~~"),"*","~*"),"?","~?"),'DEF_SELF_SCOUT_IMPORT'!$Q$42:$Q$1040,SUBSTITUTE(SUBSTITUTE(SUBSTITUTE($M598,"~","~~"),"*","~*"),"?","~?"),'DEF_SELF_SCOUT_IMPORT'!$F$42:$F$1040,SUBSTITUTE(SUBSTITUTE(SUBSTITUTE($N598,"~","~~"),"*","~*"),"?","~?"),'DEF_SELF_SCOUT_IMPORT'!$G$42:$G$1040,SUBSTITUTE(SUBSTITUTE(SUBSTITUTE($O598,"~","~~"),"*","~*"),"?","~?"),'DEF_SELF_SCOUT_IMPORT'!$J$42:$J$1040,"")&gt;0,"Unscored clean outcome; review result tags before using score.",IF(C598=0,"No matching defensive reps; film confirmation needed.",IF(K598="Explosive Alert","Explosive risk; review clips before using as answer.",IF(C598&lt;=2,"Track only; not enough sample.",IF(C598=3,IF(E598&gt;0,"Sample watch with explosive exposure; review clips and build the sample.",IF(J598&gt;=65,"Good signal, but sample is limited.","Sample watch; review clips and build the sample.")),IF(K598="Problem Call","Problem area; practice or call-sheet review.",IF(K598="Strong Candidate","Strong call-fit candidate; confirm on film.",IF(K598="Good Candidate","Good call-fit signal; confirm on film.","Mixed signal; review fit and execution on film."))))))))</f>
        <v>Track only; not enough sample.</v>
      </c>
      <c r="M598" s="8" t="s">
        <v>39</v>
      </c>
      <c r="N598" s="8" t="s">
        <v>132</v>
      </c>
      <c r="O598" s="8" t="s">
        <v>206</v>
      </c>
      <c r="P598" s="8"/>
      <c r="Q598" s="8"/>
      <c r="R598" s="8" t="s">
        <v>28</v>
      </c>
      <c r="S598" s="2" t="s">
        <v>303</v>
      </c>
      <c r="T598" s="2">
        <f>IF(C598=0,0,IF(C598&gt;=CALL_LOOKUP_BOARD!$B$7,IF(OR(K598="Problem Call",K598="Explosive Alert"),10000000,20000000),0)+IF(C598&gt;=CALL_LOOKUP_BOARD!$B$7,J598*1000+MIN(C598,999),C598*1000+J598)+0.00999000)</f>
        <v>2024.00999</v>
      </c>
      <c r="U598" s="2" t="str">
        <f>IF(C598=0,"",IF(COUNTIFS($S$589:$S$803,SUBSTITUTE(SUBSTITUTE(SUBSTITUTE(S598,"~","~~"),"*","~*"),"?","~?"),$T$589:$T$803,"&gt;"&amp;T598)=0,S598,""))</f>
        <v>7:1D 7-10|2:00|3:3X1|</v>
      </c>
    </row>
    <row r="599" spans="1:21" ht="38" customHeight="1">
      <c r="A599" s="8" t="s">
        <v>302</v>
      </c>
      <c r="B599" s="8" t="s">
        <v>69</v>
      </c>
      <c r="C599" s="12">
        <f>COUNTIFS('DEF_SELF_SCOUT_IMPORT'!$L$42:$L$1040,"Y",'DEF_SELF_SCOUT_IMPORT'!$E$42:$E$1040,SUBSTITUTE(SUBSTITUTE(SUBSTITUTE($B599,"~","~~"),"*","~*"),"?","~?"),'DEF_SELF_SCOUT_IMPORT'!$Q$42:$Q$1040,SUBSTITUTE(SUBSTITUTE(SUBSTITUTE($M599,"~","~~"),"*","~*"),"?","~?"),'DEF_SELF_SCOUT_IMPORT'!$F$42:$F$1040,SUBSTITUTE(SUBSTITUTE(SUBSTITUTE($N599,"~","~~"),"*","~*"),"?","~?"),'DEF_SELF_SCOUT_IMPORT'!$G$42:$G$1040,SUBSTITUTE(SUBSTITUTE(SUBSTITUTE($O599,"~","~~"),"*","~*"),"?","~?"))</f>
        <v>1</v>
      </c>
      <c r="D599" s="10">
        <f>IF($C599=0,"",SUMIFS('DEF_SELF_SCOUT_IMPORT'!$J$42:$J$1040,'DEF_SELF_SCOUT_IMPORT'!$L$42:$L$1040,"Y",'DEF_SELF_SCOUT_IMPORT'!$E$42:$E$1040,SUBSTITUTE(SUBSTITUTE(SUBSTITUTE($B599,"~","~~"),"*","~*"),"?","~?"),'DEF_SELF_SCOUT_IMPORT'!$Q$42:$Q$1040,SUBSTITUTE(SUBSTITUTE(SUBSTITUTE($M599,"~","~~"),"*","~*"),"?","~?"),'DEF_SELF_SCOUT_IMPORT'!$F$42:$F$1040,SUBSTITUTE(SUBSTITUTE(SUBSTITUTE($N599,"~","~~"),"*","~*"),"?","~?"),'DEF_SELF_SCOUT_IMPORT'!$G$42:$G$1040,SUBSTITUTE(SUBSTITUTE(SUBSTITUTE($O599,"~","~~"),"*","~*"),"?","~?"))/$C599)</f>
        <v>1.0</v>
      </c>
      <c r="E599" s="10">
        <f>IF($C599=0,"",SUMIFS('DEF_SELF_SCOUT_IMPORT'!$K$42:$K$1040,'DEF_SELF_SCOUT_IMPORT'!$L$42:$L$1040,"Y",'DEF_SELF_SCOUT_IMPORT'!$E$42:$E$1040,SUBSTITUTE(SUBSTITUTE(SUBSTITUTE($B599,"~","~~"),"*","~*"),"?","~?"),'DEF_SELF_SCOUT_IMPORT'!$Q$42:$Q$1040,SUBSTITUTE(SUBSTITUTE(SUBSTITUTE($M599,"~","~~"),"*","~*"),"?","~?"),'DEF_SELF_SCOUT_IMPORT'!$F$42:$F$1040,SUBSTITUTE(SUBSTITUTE(SUBSTITUTE($N599,"~","~~"),"*","~*"),"?","~?"),'DEF_SELF_SCOUT_IMPORT'!$G$42:$G$1040,SUBSTITUTE(SUBSTITUTE(SUBSTITUTE($O599,"~","~~"),"*","~*"),"?","~?"))/$C599)</f>
        <v>0.0</v>
      </c>
      <c r="F599" s="11">
        <f>IF($C599=0,"",AVERAGEIFS('DEF_SELF_SCOUT_IMPORT'!$I$42:$I$1040,'DEF_SELF_SCOUT_IMPORT'!$L$42:$L$1040,"Y",'DEF_SELF_SCOUT_IMPORT'!$E$42:$E$1040,SUBSTITUTE(SUBSTITUTE(SUBSTITUTE($B599,"~","~~"),"*","~*"),"?","~?"),'DEF_SELF_SCOUT_IMPORT'!$Q$42:$Q$1040,SUBSTITUTE(SUBSTITUTE(SUBSTITUTE($M599,"~","~~"),"*","~*"),"?","~?"),'DEF_SELF_SCOUT_IMPORT'!$F$42:$F$1040,SUBSTITUTE(SUBSTITUTE(SUBSTITUTE($N599,"~","~~"),"*","~*"),"?","~?"),'DEF_SELF_SCOUT_IMPORT'!$G$42:$G$1040,SUBSTITUTE(SUBSTITUTE(SUBSTITUTE($O599,"~","~~"),"*","~*"),"?","~?")))</f>
        <v>0.0</v>
      </c>
      <c r="G599" s="10">
        <f>IF($C599=0,"",COUNTIFS('DEF_SELF_SCOUT_IMPORT'!$L$42:$L$1040,"Y",'DEF_SELF_SCOUT_IMPORT'!$E$42:$E$1040,SUBSTITUTE(SUBSTITUTE(SUBSTITUTE($B599,"~","~~"),"*","~*"),"?","~?"),'DEF_SELF_SCOUT_IMPORT'!$Q$42:$Q$1040,SUBSTITUTE(SUBSTITUTE(SUBSTITUTE($M599,"~","~~"),"*","~*"),"?","~?"),'DEF_SELF_SCOUT_IMPORT'!$F$42:$F$1040,SUBSTITUTE(SUBSTITUTE(SUBSTITUTE($N599,"~","~~"),"*","~*"),"?","~?"),'DEF_SELF_SCOUT_IMPORT'!$G$42:$G$1040,SUBSTITUTE(SUBSTITUTE(SUBSTITUTE($O599,"~","~~"),"*","~*"),"?","~?"),'DEF_SELF_SCOUT_IMPORT'!$H$42:$H$1040,"RUSH")/$C599)</f>
        <v>1.0</v>
      </c>
      <c r="H599" s="10">
        <f>IF($C599=0,"",COUNTIFS('DEF_SELF_SCOUT_IMPORT'!$L$42:$L$1040,"Y",'DEF_SELF_SCOUT_IMPORT'!$E$42:$E$1040,SUBSTITUTE(SUBSTITUTE(SUBSTITUTE($B599,"~","~~"),"*","~*"),"?","~?"),'DEF_SELF_SCOUT_IMPORT'!$Q$42:$Q$1040,SUBSTITUTE(SUBSTITUTE(SUBSTITUTE($M599,"~","~~"),"*","~*"),"?","~?"),'DEF_SELF_SCOUT_IMPORT'!$F$42:$F$1040,SUBSTITUTE(SUBSTITUTE(SUBSTITUTE($N599,"~","~~"),"*","~*"),"?","~?"),'DEF_SELF_SCOUT_IMPORT'!$G$42:$G$1040,SUBSTITUTE(SUBSTITUTE(SUBSTITUTE($O599,"~","~~"),"*","~*"),"?","~?"),'DEF_SELF_SCOUT_IMPORT'!$H$42:$H$1040,"DROPBACK")/$C599)</f>
        <v>0.0</v>
      </c>
      <c r="I599" s="14" t="str">
        <f>IF(C599=0,"",IF(C599&lt;=2,"TRACK",IF(C599=3,"LOW",IF(C599&lt;=6,"MEDIUM","HIGH"))))</f>
        <v>TRACK</v>
      </c>
      <c r="J599" s="11">
        <f>IF(C599=0,"",ROUND(D599*70+(1-E599)*20+MAX(0,MIN(1,(10-F599)/10))*10,1))</f>
        <v>100.0</v>
      </c>
      <c r="K599" s="14" t="str">
        <f>IF(C599=0,"No Evidence",IF(C599&lt;=2,IF(E599&gt;0,"Explosive Alert","Track Only"),IF(C599=3,"Sample Watch",IF(E599&gt;=START_HERE!$B$31,"Explosive Alert",IF(J599&gt;=80,"Strong Candidate",IF(J599&gt;=65,"Good Candidate",IF(J599&gt;=50,"Mixed / Review","Problem Call")))))))</f>
        <v>Track Only</v>
      </c>
      <c r="L599" s="9" t="str">
        <f>IF(COUNTIFS('DEF_SELF_SCOUT_IMPORT'!$L$42:$L$1040,"Y",'DEF_SELF_SCOUT_IMPORT'!$E$42:$E$1040,SUBSTITUTE(SUBSTITUTE(SUBSTITUTE($B599,"~","~~"),"*","~*"),"?","~?"),'DEF_SELF_SCOUT_IMPORT'!$Q$42:$Q$1040,SUBSTITUTE(SUBSTITUTE(SUBSTITUTE($M599,"~","~~"),"*","~*"),"?","~?"),'DEF_SELF_SCOUT_IMPORT'!$F$42:$F$1040,SUBSTITUTE(SUBSTITUTE(SUBSTITUTE($N599,"~","~~"),"*","~*"),"?","~?"),'DEF_SELF_SCOUT_IMPORT'!$G$42:$G$1040,SUBSTITUTE(SUBSTITUTE(SUBSTITUTE($O599,"~","~~"),"*","~*"),"?","~?"),'DEF_SELF_SCOUT_IMPORT'!$J$42:$J$1040,"")&gt;0,"Unscored clean outcome; review result tags before using score.",IF(C599=0,"No matching defensive reps; film confirmation needed.",IF(K599="Explosive Alert","Explosive risk; review clips before using as answer.",IF(C599&lt;=2,"Track only; not enough sample.",IF(C599=3,IF(E599&gt;0,"Sample watch with explosive exposure; review clips and build the sample.",IF(J599&gt;=65,"Good signal, but sample is limited.","Sample watch; review clips and build the sample.")),IF(K599="Problem Call","Problem area; practice or call-sheet review.",IF(K599="Strong Candidate","Strong call-fit candidate; confirm on film.",IF(K599="Good Candidate","Good call-fit signal; confirm on film.","Mixed signal; review fit and execution on film."))))))))</f>
        <v>Track only; not enough sample.</v>
      </c>
      <c r="M599" s="8" t="s">
        <v>39</v>
      </c>
      <c r="N599" s="8" t="s">
        <v>132</v>
      </c>
      <c r="O599" s="8" t="s">
        <v>206</v>
      </c>
      <c r="P599" s="8"/>
      <c r="Q599" s="8"/>
      <c r="R599" s="8" t="s">
        <v>28</v>
      </c>
      <c r="S599" s="2" t="s">
        <v>303</v>
      </c>
      <c r="T599" s="2">
        <f>IF(C599=0,0,IF(C599&gt;=CALL_LOOKUP_BOARD!$B$7,IF(OR(K599="Problem Call",K599="Explosive Alert"),10000000,20000000),0)+IF(C599&gt;=CALL_LOOKUP_BOARD!$B$7,J599*1000+MIN(C599,999),C599*1000+J599)+0.00998900)</f>
        <v>1100.009989</v>
      </c>
      <c r="U599" s="2">
        <f>IF(C599=0,"",IF(COUNTIFS($S$589:$S$803,SUBSTITUTE(SUBSTITUTE(SUBSTITUTE(S599,"~","~~"),"*","~*"),"?","~?"),$T$589:$T$803,"&gt;"&amp;T599)=0,S599,""))</f>
        <v/>
      </c>
    </row>
    <row r="600" spans="1:21" ht="38" customHeight="1">
      <c r="A600" s="8" t="s">
        <v>304</v>
      </c>
      <c r="B600" s="8" t="s">
        <v>40</v>
      </c>
      <c r="C600" s="12">
        <f>COUNTIFS('DEF_SELF_SCOUT_IMPORT'!$L$42:$L$1040,"Y",'DEF_SELF_SCOUT_IMPORT'!$E$42:$E$1040,SUBSTITUTE(SUBSTITUTE(SUBSTITUTE($B600,"~","~~"),"*","~*"),"?","~?"),'DEF_SELF_SCOUT_IMPORT'!$Q$42:$Q$1040,SUBSTITUTE(SUBSTITUTE(SUBSTITUTE($M600,"~","~~"),"*","~*"),"?","~?"),'DEF_SELF_SCOUT_IMPORT'!$F$42:$F$1040,SUBSTITUTE(SUBSTITUTE(SUBSTITUTE($N600,"~","~~"),"*","~*"),"?","~?"),'DEF_SELF_SCOUT_IMPORT'!$G$42:$G$1040,SUBSTITUTE(SUBSTITUTE(SUBSTITUTE($O600,"~","~~"),"*","~*"),"?","~?"))</f>
        <v>1</v>
      </c>
      <c r="D600" s="10">
        <f>IF($C600=0,"",SUMIFS('DEF_SELF_SCOUT_IMPORT'!$J$42:$J$1040,'DEF_SELF_SCOUT_IMPORT'!$L$42:$L$1040,"Y",'DEF_SELF_SCOUT_IMPORT'!$E$42:$E$1040,SUBSTITUTE(SUBSTITUTE(SUBSTITUTE($B600,"~","~~"),"*","~*"),"?","~?"),'DEF_SELF_SCOUT_IMPORT'!$Q$42:$Q$1040,SUBSTITUTE(SUBSTITUTE(SUBSTITUTE($M600,"~","~~"),"*","~*"),"?","~?"),'DEF_SELF_SCOUT_IMPORT'!$F$42:$F$1040,SUBSTITUTE(SUBSTITUTE(SUBSTITUTE($N600,"~","~~"),"*","~*"),"?","~?"),'DEF_SELF_SCOUT_IMPORT'!$G$42:$G$1040,SUBSTITUTE(SUBSTITUTE(SUBSTITUTE($O600,"~","~~"),"*","~*"),"?","~?"))/$C600)</f>
        <v>0.0</v>
      </c>
      <c r="E600" s="10">
        <f>IF($C600=0,"",SUMIFS('DEF_SELF_SCOUT_IMPORT'!$K$42:$K$1040,'DEF_SELF_SCOUT_IMPORT'!$L$42:$L$1040,"Y",'DEF_SELF_SCOUT_IMPORT'!$E$42:$E$1040,SUBSTITUTE(SUBSTITUTE(SUBSTITUTE($B600,"~","~~"),"*","~*"),"?","~?"),'DEF_SELF_SCOUT_IMPORT'!$Q$42:$Q$1040,SUBSTITUTE(SUBSTITUTE(SUBSTITUTE($M600,"~","~~"),"*","~*"),"?","~?"),'DEF_SELF_SCOUT_IMPORT'!$F$42:$F$1040,SUBSTITUTE(SUBSTITUTE(SUBSTITUTE($N600,"~","~~"),"*","~*"),"?","~?"),'DEF_SELF_SCOUT_IMPORT'!$G$42:$G$1040,SUBSTITUTE(SUBSTITUTE(SUBSTITUTE($O600,"~","~~"),"*","~*"),"?","~?"))/$C600)</f>
        <v>0.0</v>
      </c>
      <c r="F600" s="11">
        <f>IF($C600=0,"",AVERAGEIFS('DEF_SELF_SCOUT_IMPORT'!$I$42:$I$1040,'DEF_SELF_SCOUT_IMPORT'!$L$42:$L$1040,"Y",'DEF_SELF_SCOUT_IMPORT'!$E$42:$E$1040,SUBSTITUTE(SUBSTITUTE(SUBSTITUTE($B600,"~","~~"),"*","~*"),"?","~?"),'DEF_SELF_SCOUT_IMPORT'!$Q$42:$Q$1040,SUBSTITUTE(SUBSTITUTE(SUBSTITUTE($M600,"~","~~"),"*","~*"),"?","~?"),'DEF_SELF_SCOUT_IMPORT'!$F$42:$F$1040,SUBSTITUTE(SUBSTITUTE(SUBSTITUTE($N600,"~","~~"),"*","~*"),"?","~?"),'DEF_SELF_SCOUT_IMPORT'!$G$42:$G$1040,SUBSTITUTE(SUBSTITUTE(SUBSTITUTE($O600,"~","~~"),"*","~*"),"?","~?")))</f>
        <v>5.0</v>
      </c>
      <c r="G600" s="10">
        <f>IF($C600=0,"",COUNTIFS('DEF_SELF_SCOUT_IMPORT'!$L$42:$L$1040,"Y",'DEF_SELF_SCOUT_IMPORT'!$E$42:$E$1040,SUBSTITUTE(SUBSTITUTE(SUBSTITUTE($B600,"~","~~"),"*","~*"),"?","~?"),'DEF_SELF_SCOUT_IMPORT'!$Q$42:$Q$1040,SUBSTITUTE(SUBSTITUTE(SUBSTITUTE($M600,"~","~~"),"*","~*"),"?","~?"),'DEF_SELF_SCOUT_IMPORT'!$F$42:$F$1040,SUBSTITUTE(SUBSTITUTE(SUBSTITUTE($N600,"~","~~"),"*","~*"),"?","~?"),'DEF_SELF_SCOUT_IMPORT'!$G$42:$G$1040,SUBSTITUTE(SUBSTITUTE(SUBSTITUTE($O600,"~","~~"),"*","~*"),"?","~?"),'DEF_SELF_SCOUT_IMPORT'!$H$42:$H$1040,"RUSH")/$C600)</f>
        <v>1.0</v>
      </c>
      <c r="H600" s="10">
        <f>IF($C600=0,"",COUNTIFS('DEF_SELF_SCOUT_IMPORT'!$L$42:$L$1040,"Y",'DEF_SELF_SCOUT_IMPORT'!$E$42:$E$1040,SUBSTITUTE(SUBSTITUTE(SUBSTITUTE($B600,"~","~~"),"*","~*"),"?","~?"),'DEF_SELF_SCOUT_IMPORT'!$Q$42:$Q$1040,SUBSTITUTE(SUBSTITUTE(SUBSTITUTE($M600,"~","~~"),"*","~*"),"?","~?"),'DEF_SELF_SCOUT_IMPORT'!$F$42:$F$1040,SUBSTITUTE(SUBSTITUTE(SUBSTITUTE($N600,"~","~~"),"*","~*"),"?","~?"),'DEF_SELF_SCOUT_IMPORT'!$G$42:$G$1040,SUBSTITUTE(SUBSTITUTE(SUBSTITUTE($O600,"~","~~"),"*","~*"),"?","~?"),'DEF_SELF_SCOUT_IMPORT'!$H$42:$H$1040,"DROPBACK")/$C600)</f>
        <v>0.0</v>
      </c>
      <c r="I600" s="14" t="str">
        <f>IF(C600=0,"",IF(C600&lt;=2,"TRACK",IF(C600=3,"LOW",IF(C600&lt;=6,"MEDIUM","HIGH"))))</f>
        <v>TRACK</v>
      </c>
      <c r="J600" s="11">
        <f>IF(C600=0,"",ROUND(D600*70+(1-E600)*20+MAX(0,MIN(1,(10-F600)/10))*10,1))</f>
        <v>25.0</v>
      </c>
      <c r="K600" s="14" t="str">
        <f>IF(C600=0,"No Evidence",IF(C600&lt;=2,IF(E600&gt;0,"Explosive Alert","Track Only"),IF(C600=3,"Sample Watch",IF(E600&gt;=START_HERE!$B$31,"Explosive Alert",IF(J600&gt;=80,"Strong Candidate",IF(J600&gt;=65,"Good Candidate",IF(J600&gt;=50,"Mixed / Review","Problem Call")))))))</f>
        <v>Track Only</v>
      </c>
      <c r="L600" s="9" t="str">
        <f>IF(COUNTIFS('DEF_SELF_SCOUT_IMPORT'!$L$42:$L$1040,"Y",'DEF_SELF_SCOUT_IMPORT'!$E$42:$E$1040,SUBSTITUTE(SUBSTITUTE(SUBSTITUTE($B600,"~","~~"),"*","~*"),"?","~?"),'DEF_SELF_SCOUT_IMPORT'!$Q$42:$Q$1040,SUBSTITUTE(SUBSTITUTE(SUBSTITUTE($M600,"~","~~"),"*","~*"),"?","~?"),'DEF_SELF_SCOUT_IMPORT'!$F$42:$F$1040,SUBSTITUTE(SUBSTITUTE(SUBSTITUTE($N600,"~","~~"),"*","~*"),"?","~?"),'DEF_SELF_SCOUT_IMPORT'!$G$42:$G$1040,SUBSTITUTE(SUBSTITUTE(SUBSTITUTE($O600,"~","~~"),"*","~*"),"?","~?"),'DEF_SELF_SCOUT_IMPORT'!$J$42:$J$1040,"")&gt;0,"Unscored clean outcome; review result tags before using score.",IF(C600=0,"No matching defensive reps; film confirmation needed.",IF(K600="Explosive Alert","Explosive risk; review clips before using as answer.",IF(C600&lt;=2,"Track only; not enough sample.",IF(C600=3,IF(E600&gt;0,"Sample watch with explosive exposure; review clips and build the sample.",IF(J600&gt;=65,"Good signal, but sample is limited.","Sample watch; review clips and build the sample.")),IF(K600="Problem Call","Problem area; practice or call-sheet review.",IF(K600="Strong Candidate","Strong call-fit candidate; confirm on film.",IF(K600="Good Candidate","Good call-fit signal; confirm on film.","Mixed signal; review fit and execution on film."))))))))</f>
        <v>Track only; not enough sample.</v>
      </c>
      <c r="M600" s="8" t="s">
        <v>39</v>
      </c>
      <c r="N600" s="8" t="s">
        <v>120</v>
      </c>
      <c r="O600" s="8" t="s">
        <v>203</v>
      </c>
      <c r="P600" s="8"/>
      <c r="Q600" s="8"/>
      <c r="R600" s="8" t="s">
        <v>28</v>
      </c>
      <c r="S600" s="2" t="s">
        <v>305</v>
      </c>
      <c r="T600" s="2">
        <f>IF(C600=0,0,IF(C600&gt;=CALL_LOOKUP_BOARD!$B$7,IF(OR(K600="Problem Call",K600="Explosive Alert"),10000000,20000000),0)+IF(C600&gt;=CALL_LOOKUP_BOARD!$B$7,J600*1000+MIN(C600,999),C600*1000+J600)+0.00998800)</f>
        <v>1025.009988</v>
      </c>
      <c r="U600" s="2">
        <f>IF(C600=0,"",IF(COUNTIFS($S$589:$S$803,SUBSTITUTE(SUBSTITUTE(SUBSTITUTE(S600,"~","~~"),"*","~*"),"?","~?"),$T$589:$T$803,"&gt;"&amp;T600)=0,S600,""))</f>
        <v/>
      </c>
    </row>
    <row r="601" spans="1:21" ht="38" customHeight="1">
      <c r="A601" s="8" t="s">
        <v>304</v>
      </c>
      <c r="B601" s="8" t="s">
        <v>46</v>
      </c>
      <c r="C601" s="12">
        <f>COUNTIFS('DEF_SELF_SCOUT_IMPORT'!$L$42:$L$1040,"Y",'DEF_SELF_SCOUT_IMPORT'!$E$42:$E$1040,SUBSTITUTE(SUBSTITUTE(SUBSTITUTE($B601,"~","~~"),"*","~*"),"?","~?"),'DEF_SELF_SCOUT_IMPORT'!$Q$42:$Q$1040,SUBSTITUTE(SUBSTITUTE(SUBSTITUTE($M601,"~","~~"),"*","~*"),"?","~?"),'DEF_SELF_SCOUT_IMPORT'!$F$42:$F$1040,SUBSTITUTE(SUBSTITUTE(SUBSTITUTE($N601,"~","~~"),"*","~*"),"?","~?"),'DEF_SELF_SCOUT_IMPORT'!$G$42:$G$1040,SUBSTITUTE(SUBSTITUTE(SUBSTITUTE($O601,"~","~~"),"*","~*"),"?","~?"))</f>
        <v>2</v>
      </c>
      <c r="D601" s="10">
        <f>IF($C601=0,"",SUMIFS('DEF_SELF_SCOUT_IMPORT'!$J$42:$J$1040,'DEF_SELF_SCOUT_IMPORT'!$L$42:$L$1040,"Y",'DEF_SELF_SCOUT_IMPORT'!$E$42:$E$1040,SUBSTITUTE(SUBSTITUTE(SUBSTITUTE($B601,"~","~~"),"*","~*"),"?","~?"),'DEF_SELF_SCOUT_IMPORT'!$Q$42:$Q$1040,SUBSTITUTE(SUBSTITUTE(SUBSTITUTE($M601,"~","~~"),"*","~*"),"?","~?"),'DEF_SELF_SCOUT_IMPORT'!$F$42:$F$1040,SUBSTITUTE(SUBSTITUTE(SUBSTITUTE($N601,"~","~~"),"*","~*"),"?","~?"),'DEF_SELF_SCOUT_IMPORT'!$G$42:$G$1040,SUBSTITUTE(SUBSTITUTE(SUBSTITUTE($O601,"~","~~"),"*","~*"),"?","~?"))/$C601)</f>
        <v>0.5</v>
      </c>
      <c r="E601" s="10">
        <f>IF($C601=0,"",SUMIFS('DEF_SELF_SCOUT_IMPORT'!$K$42:$K$1040,'DEF_SELF_SCOUT_IMPORT'!$L$42:$L$1040,"Y",'DEF_SELF_SCOUT_IMPORT'!$E$42:$E$1040,SUBSTITUTE(SUBSTITUTE(SUBSTITUTE($B601,"~","~~"),"*","~*"),"?","~?"),'DEF_SELF_SCOUT_IMPORT'!$Q$42:$Q$1040,SUBSTITUTE(SUBSTITUTE(SUBSTITUTE($M601,"~","~~"),"*","~*"),"?","~?"),'DEF_SELF_SCOUT_IMPORT'!$F$42:$F$1040,SUBSTITUTE(SUBSTITUTE(SUBSTITUTE($N601,"~","~~"),"*","~*"),"?","~?"),'DEF_SELF_SCOUT_IMPORT'!$G$42:$G$1040,SUBSTITUTE(SUBSTITUTE(SUBSTITUTE($O601,"~","~~"),"*","~*"),"?","~?"))/$C601)</f>
        <v>0.5</v>
      </c>
      <c r="F601" s="11">
        <f>IF($C601=0,"",AVERAGEIFS('DEF_SELF_SCOUT_IMPORT'!$I$42:$I$1040,'DEF_SELF_SCOUT_IMPORT'!$L$42:$L$1040,"Y",'DEF_SELF_SCOUT_IMPORT'!$E$42:$E$1040,SUBSTITUTE(SUBSTITUTE(SUBSTITUTE($B601,"~","~~"),"*","~*"),"?","~?"),'DEF_SELF_SCOUT_IMPORT'!$Q$42:$Q$1040,SUBSTITUTE(SUBSTITUTE(SUBSTITUTE($M601,"~","~~"),"*","~*"),"?","~?"),'DEF_SELF_SCOUT_IMPORT'!$F$42:$F$1040,SUBSTITUTE(SUBSTITUTE(SUBSTITUTE($N601,"~","~~"),"*","~*"),"?","~?"),'DEF_SELF_SCOUT_IMPORT'!$G$42:$G$1040,SUBSTITUTE(SUBSTITUTE(SUBSTITUTE($O601,"~","~~"),"*","~*"),"?","~?")))</f>
        <v>12.0</v>
      </c>
      <c r="G601" s="10">
        <f>IF($C601=0,"",COUNTIFS('DEF_SELF_SCOUT_IMPORT'!$L$42:$L$1040,"Y",'DEF_SELF_SCOUT_IMPORT'!$E$42:$E$1040,SUBSTITUTE(SUBSTITUTE(SUBSTITUTE($B601,"~","~~"),"*","~*"),"?","~?"),'DEF_SELF_SCOUT_IMPORT'!$Q$42:$Q$1040,SUBSTITUTE(SUBSTITUTE(SUBSTITUTE($M601,"~","~~"),"*","~*"),"?","~?"),'DEF_SELF_SCOUT_IMPORT'!$F$42:$F$1040,SUBSTITUTE(SUBSTITUTE(SUBSTITUTE($N601,"~","~~"),"*","~*"),"?","~?"),'DEF_SELF_SCOUT_IMPORT'!$G$42:$G$1040,SUBSTITUTE(SUBSTITUTE(SUBSTITUTE($O601,"~","~~"),"*","~*"),"?","~?"),'DEF_SELF_SCOUT_IMPORT'!$H$42:$H$1040,"RUSH")/$C601)</f>
        <v>0.5</v>
      </c>
      <c r="H601" s="10">
        <f>IF($C601=0,"",COUNTIFS('DEF_SELF_SCOUT_IMPORT'!$L$42:$L$1040,"Y",'DEF_SELF_SCOUT_IMPORT'!$E$42:$E$1040,SUBSTITUTE(SUBSTITUTE(SUBSTITUTE($B601,"~","~~"),"*","~*"),"?","~?"),'DEF_SELF_SCOUT_IMPORT'!$Q$42:$Q$1040,SUBSTITUTE(SUBSTITUTE(SUBSTITUTE($M601,"~","~~"),"*","~*"),"?","~?"),'DEF_SELF_SCOUT_IMPORT'!$F$42:$F$1040,SUBSTITUTE(SUBSTITUTE(SUBSTITUTE($N601,"~","~~"),"*","~*"),"?","~?"),'DEF_SELF_SCOUT_IMPORT'!$G$42:$G$1040,SUBSTITUTE(SUBSTITUTE(SUBSTITUTE($O601,"~","~~"),"*","~*"),"?","~?"),'DEF_SELF_SCOUT_IMPORT'!$H$42:$H$1040,"DROPBACK")/$C601)</f>
        <v>0.5</v>
      </c>
      <c r="I601" s="14" t="str">
        <f>IF(C601=0,"",IF(C601&lt;=2,"TRACK",IF(C601=3,"LOW",IF(C601&lt;=6,"MEDIUM","HIGH"))))</f>
        <v>TRACK</v>
      </c>
      <c r="J601" s="11">
        <f>IF(C601=0,"",ROUND(D601*70+(1-E601)*20+MAX(0,MIN(1,(10-F601)/10))*10,1))</f>
        <v>45.0</v>
      </c>
      <c r="K601" s="14" t="str">
        <f>IF(C601=0,"No Evidence",IF(C601&lt;=2,IF(E601&gt;0,"Explosive Alert","Track Only"),IF(C601=3,"Sample Watch",IF(E601&gt;=START_HERE!$B$31,"Explosive Alert",IF(J601&gt;=80,"Strong Candidate",IF(J601&gt;=65,"Good Candidate",IF(J601&gt;=50,"Mixed / Review","Problem Call")))))))</f>
        <v>Explosive Alert</v>
      </c>
      <c r="L601" s="9" t="str">
        <f>IF(COUNTIFS('DEF_SELF_SCOUT_IMPORT'!$L$42:$L$1040,"Y",'DEF_SELF_SCOUT_IMPORT'!$E$42:$E$1040,SUBSTITUTE(SUBSTITUTE(SUBSTITUTE($B601,"~","~~"),"*","~*"),"?","~?"),'DEF_SELF_SCOUT_IMPORT'!$Q$42:$Q$1040,SUBSTITUTE(SUBSTITUTE(SUBSTITUTE($M601,"~","~~"),"*","~*"),"?","~?"),'DEF_SELF_SCOUT_IMPORT'!$F$42:$F$1040,SUBSTITUTE(SUBSTITUTE(SUBSTITUTE($N601,"~","~~"),"*","~*"),"?","~?"),'DEF_SELF_SCOUT_IMPORT'!$G$42:$G$1040,SUBSTITUTE(SUBSTITUTE(SUBSTITUTE($O601,"~","~~"),"*","~*"),"?","~?"),'DEF_SELF_SCOUT_IMPORT'!$J$42:$J$1040,"")&gt;0,"Unscored clean outcome; review result tags before using score.",IF(C601=0,"No matching defensive reps; film confirmation needed.",IF(K601="Explosive Alert","Explosive risk; review clips before using as answer.",IF(C601&lt;=2,"Track only; not enough sample.",IF(C601=3,IF(E601&gt;0,"Sample watch with explosive exposure; review clips and build the sample.",IF(J601&gt;=65,"Good signal, but sample is limited.","Sample watch; review clips and build the sample.")),IF(K601="Problem Call","Problem area; practice or call-sheet review.",IF(K601="Strong Candidate","Strong call-fit candidate; confirm on film.",IF(K601="Good Candidate","Good call-fit signal; confirm on film.","Mixed signal; review fit and execution on film."))))))))</f>
        <v>Explosive risk; review clips before using as answer.</v>
      </c>
      <c r="M601" s="8" t="s">
        <v>39</v>
      </c>
      <c r="N601" s="8" t="s">
        <v>120</v>
      </c>
      <c r="O601" s="8" t="s">
        <v>203</v>
      </c>
      <c r="P601" s="8"/>
      <c r="Q601" s="8"/>
      <c r="R601" s="8" t="s">
        <v>28</v>
      </c>
      <c r="S601" s="2" t="s">
        <v>305</v>
      </c>
      <c r="T601" s="2">
        <f>IF(C601=0,0,IF(C601&gt;=CALL_LOOKUP_BOARD!$B$7,IF(OR(K601="Problem Call",K601="Explosive Alert"),10000000,20000000),0)+IF(C601&gt;=CALL_LOOKUP_BOARD!$B$7,J601*1000+MIN(C601,999),C601*1000+J601)+0.00998700)</f>
        <v>2045.009987</v>
      </c>
      <c r="U601" s="2">
        <f>IF(C601=0,"",IF(COUNTIFS($S$589:$S$803,SUBSTITUTE(SUBSTITUTE(SUBSTITUTE(S601,"~","~~"),"*","~*"),"?","~?"),$T$589:$T$803,"&gt;"&amp;T601)=0,S601,""))</f>
        <v/>
      </c>
    </row>
    <row r="602" spans="1:21" ht="38" customHeight="1">
      <c r="A602" s="8" t="s">
        <v>304</v>
      </c>
      <c r="B602" s="8" t="s">
        <v>47</v>
      </c>
      <c r="C602" s="12">
        <f>COUNTIFS('DEF_SELF_SCOUT_IMPORT'!$L$42:$L$1040,"Y",'DEF_SELF_SCOUT_IMPORT'!$E$42:$E$1040,SUBSTITUTE(SUBSTITUTE(SUBSTITUTE($B602,"~","~~"),"*","~*"),"?","~?"),'DEF_SELF_SCOUT_IMPORT'!$Q$42:$Q$1040,SUBSTITUTE(SUBSTITUTE(SUBSTITUTE($M602,"~","~~"),"*","~*"),"?","~?"),'DEF_SELF_SCOUT_IMPORT'!$F$42:$F$1040,SUBSTITUTE(SUBSTITUTE(SUBSTITUTE($N602,"~","~~"),"*","~*"),"?","~?"),'DEF_SELF_SCOUT_IMPORT'!$G$42:$G$1040,SUBSTITUTE(SUBSTITUTE(SUBSTITUTE($O602,"~","~~"),"*","~*"),"?","~?"))</f>
        <v>1</v>
      </c>
      <c r="D602" s="10">
        <f>IF($C602=0,"",SUMIFS('DEF_SELF_SCOUT_IMPORT'!$J$42:$J$1040,'DEF_SELF_SCOUT_IMPORT'!$L$42:$L$1040,"Y",'DEF_SELF_SCOUT_IMPORT'!$E$42:$E$1040,SUBSTITUTE(SUBSTITUTE(SUBSTITUTE($B602,"~","~~"),"*","~*"),"?","~?"),'DEF_SELF_SCOUT_IMPORT'!$Q$42:$Q$1040,SUBSTITUTE(SUBSTITUTE(SUBSTITUTE($M602,"~","~~"),"*","~*"),"?","~?"),'DEF_SELF_SCOUT_IMPORT'!$F$42:$F$1040,SUBSTITUTE(SUBSTITUTE(SUBSTITUTE($N602,"~","~~"),"*","~*"),"?","~?"),'DEF_SELF_SCOUT_IMPORT'!$G$42:$G$1040,SUBSTITUTE(SUBSTITUTE(SUBSTITUTE($O602,"~","~~"),"*","~*"),"?","~?"))/$C602)</f>
        <v>1.0</v>
      </c>
      <c r="E602" s="10">
        <f>IF($C602=0,"",SUMIFS('DEF_SELF_SCOUT_IMPORT'!$K$42:$K$1040,'DEF_SELF_SCOUT_IMPORT'!$L$42:$L$1040,"Y",'DEF_SELF_SCOUT_IMPORT'!$E$42:$E$1040,SUBSTITUTE(SUBSTITUTE(SUBSTITUTE($B602,"~","~~"),"*","~*"),"?","~?"),'DEF_SELF_SCOUT_IMPORT'!$Q$42:$Q$1040,SUBSTITUTE(SUBSTITUTE(SUBSTITUTE($M602,"~","~~"),"*","~*"),"?","~?"),'DEF_SELF_SCOUT_IMPORT'!$F$42:$F$1040,SUBSTITUTE(SUBSTITUTE(SUBSTITUTE($N602,"~","~~"),"*","~*"),"?","~?"),'DEF_SELF_SCOUT_IMPORT'!$G$42:$G$1040,SUBSTITUTE(SUBSTITUTE(SUBSTITUTE($O602,"~","~~"),"*","~*"),"?","~?"))/$C602)</f>
        <v>0.0</v>
      </c>
      <c r="F602" s="11">
        <f>IF($C602=0,"",AVERAGEIFS('DEF_SELF_SCOUT_IMPORT'!$I$42:$I$1040,'DEF_SELF_SCOUT_IMPORT'!$L$42:$L$1040,"Y",'DEF_SELF_SCOUT_IMPORT'!$E$42:$E$1040,SUBSTITUTE(SUBSTITUTE(SUBSTITUTE($B602,"~","~~"),"*","~*"),"?","~?"),'DEF_SELF_SCOUT_IMPORT'!$Q$42:$Q$1040,SUBSTITUTE(SUBSTITUTE(SUBSTITUTE($M602,"~","~~"),"*","~*"),"?","~?"),'DEF_SELF_SCOUT_IMPORT'!$F$42:$F$1040,SUBSTITUTE(SUBSTITUTE(SUBSTITUTE($N602,"~","~~"),"*","~*"),"?","~?"),'DEF_SELF_SCOUT_IMPORT'!$G$42:$G$1040,SUBSTITUTE(SUBSTITUTE(SUBSTITUTE($O602,"~","~~"),"*","~*"),"?","~?")))</f>
        <v>2.0</v>
      </c>
      <c r="G602" s="10">
        <f>IF($C602=0,"",COUNTIFS('DEF_SELF_SCOUT_IMPORT'!$L$42:$L$1040,"Y",'DEF_SELF_SCOUT_IMPORT'!$E$42:$E$1040,SUBSTITUTE(SUBSTITUTE(SUBSTITUTE($B602,"~","~~"),"*","~*"),"?","~?"),'DEF_SELF_SCOUT_IMPORT'!$Q$42:$Q$1040,SUBSTITUTE(SUBSTITUTE(SUBSTITUTE($M602,"~","~~"),"*","~*"),"?","~?"),'DEF_SELF_SCOUT_IMPORT'!$F$42:$F$1040,SUBSTITUTE(SUBSTITUTE(SUBSTITUTE($N602,"~","~~"),"*","~*"),"?","~?"),'DEF_SELF_SCOUT_IMPORT'!$G$42:$G$1040,SUBSTITUTE(SUBSTITUTE(SUBSTITUTE($O602,"~","~~"),"*","~*"),"?","~?"),'DEF_SELF_SCOUT_IMPORT'!$H$42:$H$1040,"RUSH")/$C602)</f>
        <v>0.0</v>
      </c>
      <c r="H602" s="10">
        <f>IF($C602=0,"",COUNTIFS('DEF_SELF_SCOUT_IMPORT'!$L$42:$L$1040,"Y",'DEF_SELF_SCOUT_IMPORT'!$E$42:$E$1040,SUBSTITUTE(SUBSTITUTE(SUBSTITUTE($B602,"~","~~"),"*","~*"),"?","~?"),'DEF_SELF_SCOUT_IMPORT'!$Q$42:$Q$1040,SUBSTITUTE(SUBSTITUTE(SUBSTITUTE($M602,"~","~~"),"*","~*"),"?","~?"),'DEF_SELF_SCOUT_IMPORT'!$F$42:$F$1040,SUBSTITUTE(SUBSTITUTE(SUBSTITUTE($N602,"~","~~"),"*","~*"),"?","~?"),'DEF_SELF_SCOUT_IMPORT'!$G$42:$G$1040,SUBSTITUTE(SUBSTITUTE(SUBSTITUTE($O602,"~","~~"),"*","~*"),"?","~?"),'DEF_SELF_SCOUT_IMPORT'!$H$42:$H$1040,"DROPBACK")/$C602)</f>
        <v>1.0</v>
      </c>
      <c r="I602" s="14" t="str">
        <f>IF(C602=0,"",IF(C602&lt;=2,"TRACK",IF(C602=3,"LOW",IF(C602&lt;=6,"MEDIUM","HIGH"))))</f>
        <v>TRACK</v>
      </c>
      <c r="J602" s="11">
        <f>IF(C602=0,"",ROUND(D602*70+(1-E602)*20+MAX(0,MIN(1,(10-F602)/10))*10,1))</f>
        <v>98.0</v>
      </c>
      <c r="K602" s="14" t="str">
        <f>IF(C602=0,"No Evidence",IF(C602&lt;=2,IF(E602&gt;0,"Explosive Alert","Track Only"),IF(C602=3,"Sample Watch",IF(E602&gt;=START_HERE!$B$31,"Explosive Alert",IF(J602&gt;=80,"Strong Candidate",IF(J602&gt;=65,"Good Candidate",IF(J602&gt;=50,"Mixed / Review","Problem Call")))))))</f>
        <v>Track Only</v>
      </c>
      <c r="L602" s="9" t="str">
        <f>IF(COUNTIFS('DEF_SELF_SCOUT_IMPORT'!$L$42:$L$1040,"Y",'DEF_SELF_SCOUT_IMPORT'!$E$42:$E$1040,SUBSTITUTE(SUBSTITUTE(SUBSTITUTE($B602,"~","~~"),"*","~*"),"?","~?"),'DEF_SELF_SCOUT_IMPORT'!$Q$42:$Q$1040,SUBSTITUTE(SUBSTITUTE(SUBSTITUTE($M602,"~","~~"),"*","~*"),"?","~?"),'DEF_SELF_SCOUT_IMPORT'!$F$42:$F$1040,SUBSTITUTE(SUBSTITUTE(SUBSTITUTE($N602,"~","~~"),"*","~*"),"?","~?"),'DEF_SELF_SCOUT_IMPORT'!$G$42:$G$1040,SUBSTITUTE(SUBSTITUTE(SUBSTITUTE($O602,"~","~~"),"*","~*"),"?","~?"),'DEF_SELF_SCOUT_IMPORT'!$J$42:$J$1040,"")&gt;0,"Unscored clean outcome; review result tags before using score.",IF(C602=0,"No matching defensive reps; film confirmation needed.",IF(K602="Explosive Alert","Explosive risk; review clips before using as answer.",IF(C602&lt;=2,"Track only; not enough sample.",IF(C602=3,IF(E602&gt;0,"Sample watch with explosive exposure; review clips and build the sample.",IF(J602&gt;=65,"Good signal, but sample is limited.","Sample watch; review clips and build the sample.")),IF(K602="Problem Call","Problem area; practice or call-sheet review.",IF(K602="Strong Candidate","Strong call-fit candidate; confirm on film.",IF(K602="Good Candidate","Good call-fit signal; confirm on film.","Mixed signal; review fit and execution on film."))))))))</f>
        <v>Track only; not enough sample.</v>
      </c>
      <c r="M602" s="8" t="s">
        <v>39</v>
      </c>
      <c r="N602" s="8" t="s">
        <v>120</v>
      </c>
      <c r="O602" s="8" t="s">
        <v>203</v>
      </c>
      <c r="P602" s="8"/>
      <c r="Q602" s="8"/>
      <c r="R602" s="8" t="s">
        <v>28</v>
      </c>
      <c r="S602" s="2" t="s">
        <v>305</v>
      </c>
      <c r="T602" s="2">
        <f>IF(C602=0,0,IF(C602&gt;=CALL_LOOKUP_BOARD!$B$7,IF(OR(K602="Problem Call",K602="Explosive Alert"),10000000,20000000),0)+IF(C602&gt;=CALL_LOOKUP_BOARD!$B$7,J602*1000+MIN(C602,999),C602*1000+J602)+0.00998600)</f>
        <v>1098.009986</v>
      </c>
      <c r="U602" s="2">
        <f>IF(C602=0,"",IF(COUNTIFS($S$589:$S$803,SUBSTITUTE(SUBSTITUTE(SUBSTITUTE(S602,"~","~~"),"*","~*"),"?","~?"),$T$589:$T$803,"&gt;"&amp;T602)=0,S602,""))</f>
        <v/>
      </c>
    </row>
    <row r="603" spans="1:21" ht="38" customHeight="1">
      <c r="A603" s="8" t="s">
        <v>304</v>
      </c>
      <c r="B603" s="8" t="s">
        <v>48</v>
      </c>
      <c r="C603" s="12">
        <f>COUNTIFS('DEF_SELF_SCOUT_IMPORT'!$L$42:$L$1040,"Y",'DEF_SELF_SCOUT_IMPORT'!$E$42:$E$1040,SUBSTITUTE(SUBSTITUTE(SUBSTITUTE($B603,"~","~~"),"*","~*"),"?","~?"),'DEF_SELF_SCOUT_IMPORT'!$Q$42:$Q$1040,SUBSTITUTE(SUBSTITUTE(SUBSTITUTE($M603,"~","~~"),"*","~*"),"?","~?"),'DEF_SELF_SCOUT_IMPORT'!$F$42:$F$1040,SUBSTITUTE(SUBSTITUTE(SUBSTITUTE($N603,"~","~~"),"*","~*"),"?","~?"),'DEF_SELF_SCOUT_IMPORT'!$G$42:$G$1040,SUBSTITUTE(SUBSTITUTE(SUBSTITUTE($O603,"~","~~"),"*","~*"),"?","~?"))</f>
        <v>1</v>
      </c>
      <c r="D603" s="10">
        <f>IF($C603=0,"",SUMIFS('DEF_SELF_SCOUT_IMPORT'!$J$42:$J$1040,'DEF_SELF_SCOUT_IMPORT'!$L$42:$L$1040,"Y",'DEF_SELF_SCOUT_IMPORT'!$E$42:$E$1040,SUBSTITUTE(SUBSTITUTE(SUBSTITUTE($B603,"~","~~"),"*","~*"),"?","~?"),'DEF_SELF_SCOUT_IMPORT'!$Q$42:$Q$1040,SUBSTITUTE(SUBSTITUTE(SUBSTITUTE($M603,"~","~~"),"*","~*"),"?","~?"),'DEF_SELF_SCOUT_IMPORT'!$F$42:$F$1040,SUBSTITUTE(SUBSTITUTE(SUBSTITUTE($N603,"~","~~"),"*","~*"),"?","~?"),'DEF_SELF_SCOUT_IMPORT'!$G$42:$G$1040,SUBSTITUTE(SUBSTITUTE(SUBSTITUTE($O603,"~","~~"),"*","~*"),"?","~?"))/$C603)</f>
        <v>1.0</v>
      </c>
      <c r="E603" s="10">
        <f>IF($C603=0,"",SUMIFS('DEF_SELF_SCOUT_IMPORT'!$K$42:$K$1040,'DEF_SELF_SCOUT_IMPORT'!$L$42:$L$1040,"Y",'DEF_SELF_SCOUT_IMPORT'!$E$42:$E$1040,SUBSTITUTE(SUBSTITUTE(SUBSTITUTE($B603,"~","~~"),"*","~*"),"?","~?"),'DEF_SELF_SCOUT_IMPORT'!$Q$42:$Q$1040,SUBSTITUTE(SUBSTITUTE(SUBSTITUTE($M603,"~","~~"),"*","~*"),"?","~?"),'DEF_SELF_SCOUT_IMPORT'!$F$42:$F$1040,SUBSTITUTE(SUBSTITUTE(SUBSTITUTE($N603,"~","~~"),"*","~*"),"?","~?"),'DEF_SELF_SCOUT_IMPORT'!$G$42:$G$1040,SUBSTITUTE(SUBSTITUTE(SUBSTITUTE($O603,"~","~~"),"*","~*"),"?","~?"))/$C603)</f>
        <v>0.0</v>
      </c>
      <c r="F603" s="11">
        <f>IF($C603=0,"",AVERAGEIFS('DEF_SELF_SCOUT_IMPORT'!$I$42:$I$1040,'DEF_SELF_SCOUT_IMPORT'!$L$42:$L$1040,"Y",'DEF_SELF_SCOUT_IMPORT'!$E$42:$E$1040,SUBSTITUTE(SUBSTITUTE(SUBSTITUTE($B603,"~","~~"),"*","~*"),"?","~?"),'DEF_SELF_SCOUT_IMPORT'!$Q$42:$Q$1040,SUBSTITUTE(SUBSTITUTE(SUBSTITUTE($M603,"~","~~"),"*","~*"),"?","~?"),'DEF_SELF_SCOUT_IMPORT'!$F$42:$F$1040,SUBSTITUTE(SUBSTITUTE(SUBSTITUTE($N603,"~","~~"),"*","~*"),"?","~?"),'DEF_SELF_SCOUT_IMPORT'!$G$42:$G$1040,SUBSTITUTE(SUBSTITUTE(SUBSTITUTE($O603,"~","~~"),"*","~*"),"?","~?")))</f>
        <v>6.0</v>
      </c>
      <c r="G603" s="10">
        <f>IF($C603=0,"",COUNTIFS('DEF_SELF_SCOUT_IMPORT'!$L$42:$L$1040,"Y",'DEF_SELF_SCOUT_IMPORT'!$E$42:$E$1040,SUBSTITUTE(SUBSTITUTE(SUBSTITUTE($B603,"~","~~"),"*","~*"),"?","~?"),'DEF_SELF_SCOUT_IMPORT'!$Q$42:$Q$1040,SUBSTITUTE(SUBSTITUTE(SUBSTITUTE($M603,"~","~~"),"*","~*"),"?","~?"),'DEF_SELF_SCOUT_IMPORT'!$F$42:$F$1040,SUBSTITUTE(SUBSTITUTE(SUBSTITUTE($N603,"~","~~"),"*","~*"),"?","~?"),'DEF_SELF_SCOUT_IMPORT'!$G$42:$G$1040,SUBSTITUTE(SUBSTITUTE(SUBSTITUTE($O603,"~","~~"),"*","~*"),"?","~?"),'DEF_SELF_SCOUT_IMPORT'!$H$42:$H$1040,"RUSH")/$C603)</f>
        <v>0.0</v>
      </c>
      <c r="H603" s="10">
        <f>IF($C603=0,"",COUNTIFS('DEF_SELF_SCOUT_IMPORT'!$L$42:$L$1040,"Y",'DEF_SELF_SCOUT_IMPORT'!$E$42:$E$1040,SUBSTITUTE(SUBSTITUTE(SUBSTITUTE($B603,"~","~~"),"*","~*"),"?","~?"),'DEF_SELF_SCOUT_IMPORT'!$Q$42:$Q$1040,SUBSTITUTE(SUBSTITUTE(SUBSTITUTE($M603,"~","~~"),"*","~*"),"?","~?"),'DEF_SELF_SCOUT_IMPORT'!$F$42:$F$1040,SUBSTITUTE(SUBSTITUTE(SUBSTITUTE($N603,"~","~~"),"*","~*"),"?","~?"),'DEF_SELF_SCOUT_IMPORT'!$G$42:$G$1040,SUBSTITUTE(SUBSTITUTE(SUBSTITUTE($O603,"~","~~"),"*","~*"),"?","~?"),'DEF_SELF_SCOUT_IMPORT'!$H$42:$H$1040,"DROPBACK")/$C603)</f>
        <v>1.0</v>
      </c>
      <c r="I603" s="14" t="str">
        <f>IF(C603=0,"",IF(C603&lt;=2,"TRACK",IF(C603=3,"LOW",IF(C603&lt;=6,"MEDIUM","HIGH"))))</f>
        <v>TRACK</v>
      </c>
      <c r="J603" s="11">
        <f>IF(C603=0,"",ROUND(D603*70+(1-E603)*20+MAX(0,MIN(1,(10-F603)/10))*10,1))</f>
        <v>94.0</v>
      </c>
      <c r="K603" s="14" t="str">
        <f>IF(C603=0,"No Evidence",IF(C603&lt;=2,IF(E603&gt;0,"Explosive Alert","Track Only"),IF(C603=3,"Sample Watch",IF(E603&gt;=START_HERE!$B$31,"Explosive Alert",IF(J603&gt;=80,"Strong Candidate",IF(J603&gt;=65,"Good Candidate",IF(J603&gt;=50,"Mixed / Review","Problem Call")))))))</f>
        <v>Track Only</v>
      </c>
      <c r="L603" s="9" t="str">
        <f>IF(COUNTIFS('DEF_SELF_SCOUT_IMPORT'!$L$42:$L$1040,"Y",'DEF_SELF_SCOUT_IMPORT'!$E$42:$E$1040,SUBSTITUTE(SUBSTITUTE(SUBSTITUTE($B603,"~","~~"),"*","~*"),"?","~?"),'DEF_SELF_SCOUT_IMPORT'!$Q$42:$Q$1040,SUBSTITUTE(SUBSTITUTE(SUBSTITUTE($M603,"~","~~"),"*","~*"),"?","~?"),'DEF_SELF_SCOUT_IMPORT'!$F$42:$F$1040,SUBSTITUTE(SUBSTITUTE(SUBSTITUTE($N603,"~","~~"),"*","~*"),"?","~?"),'DEF_SELF_SCOUT_IMPORT'!$G$42:$G$1040,SUBSTITUTE(SUBSTITUTE(SUBSTITUTE($O603,"~","~~"),"*","~*"),"?","~?"),'DEF_SELF_SCOUT_IMPORT'!$J$42:$J$1040,"")&gt;0,"Unscored clean outcome; review result tags before using score.",IF(C603=0,"No matching defensive reps; film confirmation needed.",IF(K603="Explosive Alert","Explosive risk; review clips before using as answer.",IF(C603&lt;=2,"Track only; not enough sample.",IF(C603=3,IF(E603&gt;0,"Sample watch with explosive exposure; review clips and build the sample.",IF(J603&gt;=65,"Good signal, but sample is limited.","Sample watch; review clips and build the sample.")),IF(K603="Problem Call","Problem area; practice or call-sheet review.",IF(K603="Strong Candidate","Strong call-fit candidate; confirm on film.",IF(K603="Good Candidate","Good call-fit signal; confirm on film.","Mixed signal; review fit and execution on film."))))))))</f>
        <v>Track only; not enough sample.</v>
      </c>
      <c r="M603" s="8" t="s">
        <v>39</v>
      </c>
      <c r="N603" s="8" t="s">
        <v>120</v>
      </c>
      <c r="O603" s="8" t="s">
        <v>203</v>
      </c>
      <c r="P603" s="8"/>
      <c r="Q603" s="8"/>
      <c r="R603" s="8" t="s">
        <v>28</v>
      </c>
      <c r="S603" s="2" t="s">
        <v>305</v>
      </c>
      <c r="T603" s="2">
        <f>IF(C603=0,0,IF(C603&gt;=CALL_LOOKUP_BOARD!$B$7,IF(OR(K603="Problem Call",K603="Explosive Alert"),10000000,20000000),0)+IF(C603&gt;=CALL_LOOKUP_BOARD!$B$7,J603*1000+MIN(C603,999),C603*1000+J603)+0.00998500)</f>
        <v>1094.009985</v>
      </c>
      <c r="U603" s="2">
        <f>IF(C603=0,"",IF(COUNTIFS($S$589:$S$803,SUBSTITUTE(SUBSTITUTE(SUBSTITUTE(S603,"~","~~"),"*","~*"),"?","~?"),$T$589:$T$803,"&gt;"&amp;T603)=0,S603,""))</f>
        <v/>
      </c>
    </row>
    <row r="604" spans="1:21" ht="38" customHeight="1">
      <c r="A604" s="8" t="s">
        <v>304</v>
      </c>
      <c r="B604" s="8" t="s">
        <v>53</v>
      </c>
      <c r="C604" s="12">
        <f>COUNTIFS('DEF_SELF_SCOUT_IMPORT'!$L$42:$L$1040,"Y",'DEF_SELF_SCOUT_IMPORT'!$E$42:$E$1040,SUBSTITUTE(SUBSTITUTE(SUBSTITUTE($B604,"~","~~"),"*","~*"),"?","~?"),'DEF_SELF_SCOUT_IMPORT'!$Q$42:$Q$1040,SUBSTITUTE(SUBSTITUTE(SUBSTITUTE($M604,"~","~~"),"*","~*"),"?","~?"),'DEF_SELF_SCOUT_IMPORT'!$F$42:$F$1040,SUBSTITUTE(SUBSTITUTE(SUBSTITUTE($N604,"~","~~"),"*","~*"),"?","~?"),'DEF_SELF_SCOUT_IMPORT'!$G$42:$G$1040,SUBSTITUTE(SUBSTITUTE(SUBSTITUTE($O604,"~","~~"),"*","~*"),"?","~?"))</f>
        <v>4</v>
      </c>
      <c r="D604" s="10">
        <f>IF($C604=0,"",SUMIFS('DEF_SELF_SCOUT_IMPORT'!$J$42:$J$1040,'DEF_SELF_SCOUT_IMPORT'!$L$42:$L$1040,"Y",'DEF_SELF_SCOUT_IMPORT'!$E$42:$E$1040,SUBSTITUTE(SUBSTITUTE(SUBSTITUTE($B604,"~","~~"),"*","~*"),"?","~?"),'DEF_SELF_SCOUT_IMPORT'!$Q$42:$Q$1040,SUBSTITUTE(SUBSTITUTE(SUBSTITUTE($M604,"~","~~"),"*","~*"),"?","~?"),'DEF_SELF_SCOUT_IMPORT'!$F$42:$F$1040,SUBSTITUTE(SUBSTITUTE(SUBSTITUTE($N604,"~","~~"),"*","~*"),"?","~?"),'DEF_SELF_SCOUT_IMPORT'!$G$42:$G$1040,SUBSTITUTE(SUBSTITUTE(SUBSTITUTE($O604,"~","~~"),"*","~*"),"?","~?"))/$C604)</f>
        <v>1.0</v>
      </c>
      <c r="E604" s="10">
        <f>IF($C604=0,"",SUMIFS('DEF_SELF_SCOUT_IMPORT'!$K$42:$K$1040,'DEF_SELF_SCOUT_IMPORT'!$L$42:$L$1040,"Y",'DEF_SELF_SCOUT_IMPORT'!$E$42:$E$1040,SUBSTITUTE(SUBSTITUTE(SUBSTITUTE($B604,"~","~~"),"*","~*"),"?","~?"),'DEF_SELF_SCOUT_IMPORT'!$Q$42:$Q$1040,SUBSTITUTE(SUBSTITUTE(SUBSTITUTE($M604,"~","~~"),"*","~*"),"?","~?"),'DEF_SELF_SCOUT_IMPORT'!$F$42:$F$1040,SUBSTITUTE(SUBSTITUTE(SUBSTITUTE($N604,"~","~~"),"*","~*"),"?","~?"),'DEF_SELF_SCOUT_IMPORT'!$G$42:$G$1040,SUBSTITUTE(SUBSTITUTE(SUBSTITUTE($O604,"~","~~"),"*","~*"),"?","~?"))/$C604)</f>
        <v>0.0</v>
      </c>
      <c r="F604" s="11">
        <f>IF($C604=0,"",AVERAGEIFS('DEF_SELF_SCOUT_IMPORT'!$I$42:$I$1040,'DEF_SELF_SCOUT_IMPORT'!$L$42:$L$1040,"Y",'DEF_SELF_SCOUT_IMPORT'!$E$42:$E$1040,SUBSTITUTE(SUBSTITUTE(SUBSTITUTE($B604,"~","~~"),"*","~*"),"?","~?"),'DEF_SELF_SCOUT_IMPORT'!$Q$42:$Q$1040,SUBSTITUTE(SUBSTITUTE(SUBSTITUTE($M604,"~","~~"),"*","~*"),"?","~?"),'DEF_SELF_SCOUT_IMPORT'!$F$42:$F$1040,SUBSTITUTE(SUBSTITUTE(SUBSTITUTE($N604,"~","~~"),"*","~*"),"?","~?"),'DEF_SELF_SCOUT_IMPORT'!$G$42:$G$1040,SUBSTITUTE(SUBSTITUTE(SUBSTITUTE($O604,"~","~~"),"*","~*"),"?","~?")))</f>
        <v>4.0</v>
      </c>
      <c r="G604" s="10">
        <f>IF($C604=0,"",COUNTIFS('DEF_SELF_SCOUT_IMPORT'!$L$42:$L$1040,"Y",'DEF_SELF_SCOUT_IMPORT'!$E$42:$E$1040,SUBSTITUTE(SUBSTITUTE(SUBSTITUTE($B604,"~","~~"),"*","~*"),"?","~?"),'DEF_SELF_SCOUT_IMPORT'!$Q$42:$Q$1040,SUBSTITUTE(SUBSTITUTE(SUBSTITUTE($M604,"~","~~"),"*","~*"),"?","~?"),'DEF_SELF_SCOUT_IMPORT'!$F$42:$F$1040,SUBSTITUTE(SUBSTITUTE(SUBSTITUTE($N604,"~","~~"),"*","~*"),"?","~?"),'DEF_SELF_SCOUT_IMPORT'!$G$42:$G$1040,SUBSTITUTE(SUBSTITUTE(SUBSTITUTE($O604,"~","~~"),"*","~*"),"?","~?"),'DEF_SELF_SCOUT_IMPORT'!$H$42:$H$1040,"RUSH")/$C604)</f>
        <v>0.25</v>
      </c>
      <c r="H604" s="10">
        <f>IF($C604=0,"",COUNTIFS('DEF_SELF_SCOUT_IMPORT'!$L$42:$L$1040,"Y",'DEF_SELF_SCOUT_IMPORT'!$E$42:$E$1040,SUBSTITUTE(SUBSTITUTE(SUBSTITUTE($B604,"~","~~"),"*","~*"),"?","~?"),'DEF_SELF_SCOUT_IMPORT'!$Q$42:$Q$1040,SUBSTITUTE(SUBSTITUTE(SUBSTITUTE($M604,"~","~~"),"*","~*"),"?","~?"),'DEF_SELF_SCOUT_IMPORT'!$F$42:$F$1040,SUBSTITUTE(SUBSTITUTE(SUBSTITUTE($N604,"~","~~"),"*","~*"),"?","~?"),'DEF_SELF_SCOUT_IMPORT'!$G$42:$G$1040,SUBSTITUTE(SUBSTITUTE(SUBSTITUTE($O604,"~","~~"),"*","~*"),"?","~?"),'DEF_SELF_SCOUT_IMPORT'!$H$42:$H$1040,"DROPBACK")/$C604)</f>
        <v>0.75</v>
      </c>
      <c r="I604" s="14" t="str">
        <f>IF(C604=0,"",IF(C604&lt;=2,"TRACK",IF(C604=3,"LOW",IF(C604&lt;=6,"MEDIUM","HIGH"))))</f>
        <v>MEDIUM</v>
      </c>
      <c r="J604" s="11">
        <f>IF(C604=0,"",ROUND(D604*70+(1-E604)*20+MAX(0,MIN(1,(10-F604)/10))*10,1))</f>
        <v>96.0</v>
      </c>
      <c r="K604" s="14" t="str">
        <f>IF(C604=0,"No Evidence",IF(C604&lt;=2,IF(E604&gt;0,"Explosive Alert","Track Only"),IF(C604=3,"Sample Watch",IF(E604&gt;=START_HERE!$B$31,"Explosive Alert",IF(J604&gt;=80,"Strong Candidate",IF(J604&gt;=65,"Good Candidate",IF(J604&gt;=50,"Mixed / Review","Problem Call")))))))</f>
        <v>Strong Candidate</v>
      </c>
      <c r="L604" s="9" t="str">
        <f>IF(COUNTIFS('DEF_SELF_SCOUT_IMPORT'!$L$42:$L$1040,"Y",'DEF_SELF_SCOUT_IMPORT'!$E$42:$E$1040,SUBSTITUTE(SUBSTITUTE(SUBSTITUTE($B604,"~","~~"),"*","~*"),"?","~?"),'DEF_SELF_SCOUT_IMPORT'!$Q$42:$Q$1040,SUBSTITUTE(SUBSTITUTE(SUBSTITUTE($M604,"~","~~"),"*","~*"),"?","~?"),'DEF_SELF_SCOUT_IMPORT'!$F$42:$F$1040,SUBSTITUTE(SUBSTITUTE(SUBSTITUTE($N604,"~","~~"),"*","~*"),"?","~?"),'DEF_SELF_SCOUT_IMPORT'!$G$42:$G$1040,SUBSTITUTE(SUBSTITUTE(SUBSTITUTE($O604,"~","~~"),"*","~*"),"?","~?"),'DEF_SELF_SCOUT_IMPORT'!$J$42:$J$1040,"")&gt;0,"Unscored clean outcome; review result tags before using score.",IF(C604=0,"No matching defensive reps; film confirmation needed.",IF(K604="Explosive Alert","Explosive risk; review clips before using as answer.",IF(C604&lt;=2,"Track only; not enough sample.",IF(C604=3,IF(E604&gt;0,"Sample watch with explosive exposure; review clips and build the sample.",IF(J604&gt;=65,"Good signal, but sample is limited.","Sample watch; review clips and build the sample.")),IF(K604="Problem Call","Problem area; practice or call-sheet review.",IF(K604="Strong Candidate","Strong call-fit candidate; confirm on film.",IF(K604="Good Candidate","Good call-fit signal; confirm on film.","Mixed signal; review fit and execution on film."))))))))</f>
        <v>Strong call-fit candidate; confirm on film.</v>
      </c>
      <c r="M604" s="8" t="s">
        <v>39</v>
      </c>
      <c r="N604" s="8" t="s">
        <v>120</v>
      </c>
      <c r="O604" s="8" t="s">
        <v>203</v>
      </c>
      <c r="P604" s="8"/>
      <c r="Q604" s="8"/>
      <c r="R604" s="8" t="s">
        <v>45</v>
      </c>
      <c r="S604" s="2" t="s">
        <v>305</v>
      </c>
      <c r="T604" s="2">
        <f>IF(C604=0,0,IF(C604&gt;=CALL_LOOKUP_BOARD!$B$7,IF(OR(K604="Problem Call",K604="Explosive Alert"),10000000,20000000),0)+IF(C604&gt;=CALL_LOOKUP_BOARD!$B$7,J604*1000+MIN(C604,999),C604*1000+J604)+0.00998400)</f>
        <v>20096004.009984</v>
      </c>
      <c r="U604" s="2" t="str">
        <f>IF(C604=0,"",IF(COUNTIFS($S$589:$S$803,SUBSTITUTE(SUBSTITUTE(SUBSTITUTE(S604,"~","~~"),"*","~*"),"?","~?"),$T$589:$T$803,"&gt;"&amp;T604)=0,S604,""))</f>
        <v>7:1D 7-10|2:11|3:2X2|</v>
      </c>
    </row>
    <row r="605" spans="1:21" ht="38" customHeight="1">
      <c r="A605" s="8" t="s">
        <v>304</v>
      </c>
      <c r="B605" s="8" t="s">
        <v>54</v>
      </c>
      <c r="C605" s="12">
        <f>COUNTIFS('DEF_SELF_SCOUT_IMPORT'!$L$42:$L$1040,"Y",'DEF_SELF_SCOUT_IMPORT'!$E$42:$E$1040,SUBSTITUTE(SUBSTITUTE(SUBSTITUTE($B605,"~","~~"),"*","~*"),"?","~?"),'DEF_SELF_SCOUT_IMPORT'!$Q$42:$Q$1040,SUBSTITUTE(SUBSTITUTE(SUBSTITUTE($M605,"~","~~"),"*","~*"),"?","~?"),'DEF_SELF_SCOUT_IMPORT'!$F$42:$F$1040,SUBSTITUTE(SUBSTITUTE(SUBSTITUTE($N605,"~","~~"),"*","~*"),"?","~?"),'DEF_SELF_SCOUT_IMPORT'!$G$42:$G$1040,SUBSTITUTE(SUBSTITUTE(SUBSTITUTE($O605,"~","~~"),"*","~*"),"?","~?"))</f>
        <v>1</v>
      </c>
      <c r="D605" s="10">
        <f>IF($C605=0,"",SUMIFS('DEF_SELF_SCOUT_IMPORT'!$J$42:$J$1040,'DEF_SELF_SCOUT_IMPORT'!$L$42:$L$1040,"Y",'DEF_SELF_SCOUT_IMPORT'!$E$42:$E$1040,SUBSTITUTE(SUBSTITUTE(SUBSTITUTE($B605,"~","~~"),"*","~*"),"?","~?"),'DEF_SELF_SCOUT_IMPORT'!$Q$42:$Q$1040,SUBSTITUTE(SUBSTITUTE(SUBSTITUTE($M605,"~","~~"),"*","~*"),"?","~?"),'DEF_SELF_SCOUT_IMPORT'!$F$42:$F$1040,SUBSTITUTE(SUBSTITUTE(SUBSTITUTE($N605,"~","~~"),"*","~*"),"?","~?"),'DEF_SELF_SCOUT_IMPORT'!$G$42:$G$1040,SUBSTITUTE(SUBSTITUTE(SUBSTITUTE($O605,"~","~~"),"*","~*"),"?","~?"))/$C605)</f>
        <v>1.0</v>
      </c>
      <c r="E605" s="10">
        <f>IF($C605=0,"",SUMIFS('DEF_SELF_SCOUT_IMPORT'!$K$42:$K$1040,'DEF_SELF_SCOUT_IMPORT'!$L$42:$L$1040,"Y",'DEF_SELF_SCOUT_IMPORT'!$E$42:$E$1040,SUBSTITUTE(SUBSTITUTE(SUBSTITUTE($B605,"~","~~"),"*","~*"),"?","~?"),'DEF_SELF_SCOUT_IMPORT'!$Q$42:$Q$1040,SUBSTITUTE(SUBSTITUTE(SUBSTITUTE($M605,"~","~~"),"*","~*"),"?","~?"),'DEF_SELF_SCOUT_IMPORT'!$F$42:$F$1040,SUBSTITUTE(SUBSTITUTE(SUBSTITUTE($N605,"~","~~"),"*","~*"),"?","~?"),'DEF_SELF_SCOUT_IMPORT'!$G$42:$G$1040,SUBSTITUTE(SUBSTITUTE(SUBSTITUTE($O605,"~","~~"),"*","~*"),"?","~?"))/$C605)</f>
        <v>0.0</v>
      </c>
      <c r="F605" s="11">
        <f>IF($C605=0,"",AVERAGEIFS('DEF_SELF_SCOUT_IMPORT'!$I$42:$I$1040,'DEF_SELF_SCOUT_IMPORT'!$L$42:$L$1040,"Y",'DEF_SELF_SCOUT_IMPORT'!$E$42:$E$1040,SUBSTITUTE(SUBSTITUTE(SUBSTITUTE($B605,"~","~~"),"*","~*"),"?","~?"),'DEF_SELF_SCOUT_IMPORT'!$Q$42:$Q$1040,SUBSTITUTE(SUBSTITUTE(SUBSTITUTE($M605,"~","~~"),"*","~*"),"?","~?"),'DEF_SELF_SCOUT_IMPORT'!$F$42:$F$1040,SUBSTITUTE(SUBSTITUTE(SUBSTITUTE($N605,"~","~~"),"*","~*"),"?","~?"),'DEF_SELF_SCOUT_IMPORT'!$G$42:$G$1040,SUBSTITUTE(SUBSTITUTE(SUBSTITUTE($O605,"~","~~"),"*","~*"),"?","~?")))</f>
        <v>3.0</v>
      </c>
      <c r="G605" s="10">
        <f>IF($C605=0,"",COUNTIFS('DEF_SELF_SCOUT_IMPORT'!$L$42:$L$1040,"Y",'DEF_SELF_SCOUT_IMPORT'!$E$42:$E$1040,SUBSTITUTE(SUBSTITUTE(SUBSTITUTE($B605,"~","~~"),"*","~*"),"?","~?"),'DEF_SELF_SCOUT_IMPORT'!$Q$42:$Q$1040,SUBSTITUTE(SUBSTITUTE(SUBSTITUTE($M605,"~","~~"),"*","~*"),"?","~?"),'DEF_SELF_SCOUT_IMPORT'!$F$42:$F$1040,SUBSTITUTE(SUBSTITUTE(SUBSTITUTE($N605,"~","~~"),"*","~*"),"?","~?"),'DEF_SELF_SCOUT_IMPORT'!$G$42:$G$1040,SUBSTITUTE(SUBSTITUTE(SUBSTITUTE($O605,"~","~~"),"*","~*"),"?","~?"),'DEF_SELF_SCOUT_IMPORT'!$H$42:$H$1040,"RUSH")/$C605)</f>
        <v>0.0</v>
      </c>
      <c r="H605" s="10">
        <f>IF($C605=0,"",COUNTIFS('DEF_SELF_SCOUT_IMPORT'!$L$42:$L$1040,"Y",'DEF_SELF_SCOUT_IMPORT'!$E$42:$E$1040,SUBSTITUTE(SUBSTITUTE(SUBSTITUTE($B605,"~","~~"),"*","~*"),"?","~?"),'DEF_SELF_SCOUT_IMPORT'!$Q$42:$Q$1040,SUBSTITUTE(SUBSTITUTE(SUBSTITUTE($M605,"~","~~"),"*","~*"),"?","~?"),'DEF_SELF_SCOUT_IMPORT'!$F$42:$F$1040,SUBSTITUTE(SUBSTITUTE(SUBSTITUTE($N605,"~","~~"),"*","~*"),"?","~?"),'DEF_SELF_SCOUT_IMPORT'!$G$42:$G$1040,SUBSTITUTE(SUBSTITUTE(SUBSTITUTE($O605,"~","~~"),"*","~*"),"?","~?"),'DEF_SELF_SCOUT_IMPORT'!$H$42:$H$1040,"DROPBACK")/$C605)</f>
        <v>1.0</v>
      </c>
      <c r="I605" s="14" t="str">
        <f>IF(C605=0,"",IF(C605&lt;=2,"TRACK",IF(C605=3,"LOW",IF(C605&lt;=6,"MEDIUM","HIGH"))))</f>
        <v>TRACK</v>
      </c>
      <c r="J605" s="11">
        <f>IF(C605=0,"",ROUND(D605*70+(1-E605)*20+MAX(0,MIN(1,(10-F605)/10))*10,1))</f>
        <v>97.0</v>
      </c>
      <c r="K605" s="14" t="str">
        <f>IF(C605=0,"No Evidence",IF(C605&lt;=2,IF(E605&gt;0,"Explosive Alert","Track Only"),IF(C605=3,"Sample Watch",IF(E605&gt;=START_HERE!$B$31,"Explosive Alert",IF(J605&gt;=80,"Strong Candidate",IF(J605&gt;=65,"Good Candidate",IF(J605&gt;=50,"Mixed / Review","Problem Call")))))))</f>
        <v>Track Only</v>
      </c>
      <c r="L605" s="9" t="str">
        <f>IF(COUNTIFS('DEF_SELF_SCOUT_IMPORT'!$L$42:$L$1040,"Y",'DEF_SELF_SCOUT_IMPORT'!$E$42:$E$1040,SUBSTITUTE(SUBSTITUTE(SUBSTITUTE($B605,"~","~~"),"*","~*"),"?","~?"),'DEF_SELF_SCOUT_IMPORT'!$Q$42:$Q$1040,SUBSTITUTE(SUBSTITUTE(SUBSTITUTE($M605,"~","~~"),"*","~*"),"?","~?"),'DEF_SELF_SCOUT_IMPORT'!$F$42:$F$1040,SUBSTITUTE(SUBSTITUTE(SUBSTITUTE($N605,"~","~~"),"*","~*"),"?","~?"),'DEF_SELF_SCOUT_IMPORT'!$G$42:$G$1040,SUBSTITUTE(SUBSTITUTE(SUBSTITUTE($O605,"~","~~"),"*","~*"),"?","~?"),'DEF_SELF_SCOUT_IMPORT'!$J$42:$J$1040,"")&gt;0,"Unscored clean outcome; review result tags before using score.",IF(C605=0,"No matching defensive reps; film confirmation needed.",IF(K605="Explosive Alert","Explosive risk; review clips before using as answer.",IF(C605&lt;=2,"Track only; not enough sample.",IF(C605=3,IF(E605&gt;0,"Sample watch with explosive exposure; review clips and build the sample.",IF(J605&gt;=65,"Good signal, but sample is limited.","Sample watch; review clips and build the sample.")),IF(K605="Problem Call","Problem area; practice or call-sheet review.",IF(K605="Strong Candidate","Strong call-fit candidate; confirm on film.",IF(K605="Good Candidate","Good call-fit signal; confirm on film.","Mixed signal; review fit and execution on film."))))))))</f>
        <v>Track only; not enough sample.</v>
      </c>
      <c r="M605" s="8" t="s">
        <v>39</v>
      </c>
      <c r="N605" s="8" t="s">
        <v>120</v>
      </c>
      <c r="O605" s="8" t="s">
        <v>203</v>
      </c>
      <c r="P605" s="8"/>
      <c r="Q605" s="8"/>
      <c r="R605" s="8" t="s">
        <v>28</v>
      </c>
      <c r="S605" s="2" t="s">
        <v>305</v>
      </c>
      <c r="T605" s="2">
        <f>IF(C605=0,0,IF(C605&gt;=CALL_LOOKUP_BOARD!$B$7,IF(OR(K605="Problem Call",K605="Explosive Alert"),10000000,20000000),0)+IF(C605&gt;=CALL_LOOKUP_BOARD!$B$7,J605*1000+MIN(C605,999),C605*1000+J605)+0.00998300)</f>
        <v>1097.009983</v>
      </c>
      <c r="U605" s="2">
        <f>IF(C605=0,"",IF(COUNTIFS($S$589:$S$803,SUBSTITUTE(SUBSTITUTE(SUBSTITUTE(S605,"~","~~"),"*","~*"),"?","~?"),$T$589:$T$803,"&gt;"&amp;T605)=0,S605,""))</f>
        <v/>
      </c>
    </row>
    <row r="606" spans="1:21" ht="38" customHeight="1">
      <c r="A606" s="8" t="s">
        <v>304</v>
      </c>
      <c r="B606" s="8" t="s">
        <v>55</v>
      </c>
      <c r="C606" s="12">
        <f>COUNTIFS('DEF_SELF_SCOUT_IMPORT'!$L$42:$L$1040,"Y",'DEF_SELF_SCOUT_IMPORT'!$E$42:$E$1040,SUBSTITUTE(SUBSTITUTE(SUBSTITUTE($B606,"~","~~"),"*","~*"),"?","~?"),'DEF_SELF_SCOUT_IMPORT'!$Q$42:$Q$1040,SUBSTITUTE(SUBSTITUTE(SUBSTITUTE($M606,"~","~~"),"*","~*"),"?","~?"),'DEF_SELF_SCOUT_IMPORT'!$F$42:$F$1040,SUBSTITUTE(SUBSTITUTE(SUBSTITUTE($N606,"~","~~"),"*","~*"),"?","~?"),'DEF_SELF_SCOUT_IMPORT'!$G$42:$G$1040,SUBSTITUTE(SUBSTITUTE(SUBSTITUTE($O606,"~","~~"),"*","~*"),"?","~?"))</f>
        <v>1</v>
      </c>
      <c r="D606" s="10">
        <f>IF($C606=0,"",SUMIFS('DEF_SELF_SCOUT_IMPORT'!$J$42:$J$1040,'DEF_SELF_SCOUT_IMPORT'!$L$42:$L$1040,"Y",'DEF_SELF_SCOUT_IMPORT'!$E$42:$E$1040,SUBSTITUTE(SUBSTITUTE(SUBSTITUTE($B606,"~","~~"),"*","~*"),"?","~?"),'DEF_SELF_SCOUT_IMPORT'!$Q$42:$Q$1040,SUBSTITUTE(SUBSTITUTE(SUBSTITUTE($M606,"~","~~"),"*","~*"),"?","~?"),'DEF_SELF_SCOUT_IMPORT'!$F$42:$F$1040,SUBSTITUTE(SUBSTITUTE(SUBSTITUTE($N606,"~","~~"),"*","~*"),"?","~?"),'DEF_SELF_SCOUT_IMPORT'!$G$42:$G$1040,SUBSTITUTE(SUBSTITUTE(SUBSTITUTE($O606,"~","~~"),"*","~*"),"?","~?"))/$C606)</f>
        <v>0.0</v>
      </c>
      <c r="E606" s="10">
        <f>IF($C606=0,"",SUMIFS('DEF_SELF_SCOUT_IMPORT'!$K$42:$K$1040,'DEF_SELF_SCOUT_IMPORT'!$L$42:$L$1040,"Y",'DEF_SELF_SCOUT_IMPORT'!$E$42:$E$1040,SUBSTITUTE(SUBSTITUTE(SUBSTITUTE($B606,"~","~~"),"*","~*"),"?","~?"),'DEF_SELF_SCOUT_IMPORT'!$Q$42:$Q$1040,SUBSTITUTE(SUBSTITUTE(SUBSTITUTE($M606,"~","~~"),"*","~*"),"?","~?"),'DEF_SELF_SCOUT_IMPORT'!$F$42:$F$1040,SUBSTITUTE(SUBSTITUTE(SUBSTITUTE($N606,"~","~~"),"*","~*"),"?","~?"),'DEF_SELF_SCOUT_IMPORT'!$G$42:$G$1040,SUBSTITUTE(SUBSTITUTE(SUBSTITUTE($O606,"~","~~"),"*","~*"),"?","~?"))/$C606)</f>
        <v>0.0</v>
      </c>
      <c r="F606" s="11">
        <f>IF($C606=0,"",AVERAGEIFS('DEF_SELF_SCOUT_IMPORT'!$I$42:$I$1040,'DEF_SELF_SCOUT_IMPORT'!$L$42:$L$1040,"Y",'DEF_SELF_SCOUT_IMPORT'!$E$42:$E$1040,SUBSTITUTE(SUBSTITUTE(SUBSTITUTE($B606,"~","~~"),"*","~*"),"?","~?"),'DEF_SELF_SCOUT_IMPORT'!$Q$42:$Q$1040,SUBSTITUTE(SUBSTITUTE(SUBSTITUTE($M606,"~","~~"),"*","~*"),"?","~?"),'DEF_SELF_SCOUT_IMPORT'!$F$42:$F$1040,SUBSTITUTE(SUBSTITUTE(SUBSTITUTE($N606,"~","~~"),"*","~*"),"?","~?"),'DEF_SELF_SCOUT_IMPORT'!$G$42:$G$1040,SUBSTITUTE(SUBSTITUTE(SUBSTITUTE($O606,"~","~~"),"*","~*"),"?","~?")))</f>
        <v>9.0</v>
      </c>
      <c r="G606" s="10">
        <f>IF($C606=0,"",COUNTIFS('DEF_SELF_SCOUT_IMPORT'!$L$42:$L$1040,"Y",'DEF_SELF_SCOUT_IMPORT'!$E$42:$E$1040,SUBSTITUTE(SUBSTITUTE(SUBSTITUTE($B606,"~","~~"),"*","~*"),"?","~?"),'DEF_SELF_SCOUT_IMPORT'!$Q$42:$Q$1040,SUBSTITUTE(SUBSTITUTE(SUBSTITUTE($M606,"~","~~"),"*","~*"),"?","~?"),'DEF_SELF_SCOUT_IMPORT'!$F$42:$F$1040,SUBSTITUTE(SUBSTITUTE(SUBSTITUTE($N606,"~","~~"),"*","~*"),"?","~?"),'DEF_SELF_SCOUT_IMPORT'!$G$42:$G$1040,SUBSTITUTE(SUBSTITUTE(SUBSTITUTE($O606,"~","~~"),"*","~*"),"?","~?"),'DEF_SELF_SCOUT_IMPORT'!$H$42:$H$1040,"RUSH")/$C606)</f>
        <v>1.0</v>
      </c>
      <c r="H606" s="10">
        <f>IF($C606=0,"",COUNTIFS('DEF_SELF_SCOUT_IMPORT'!$L$42:$L$1040,"Y",'DEF_SELF_SCOUT_IMPORT'!$E$42:$E$1040,SUBSTITUTE(SUBSTITUTE(SUBSTITUTE($B606,"~","~~"),"*","~*"),"?","~?"),'DEF_SELF_SCOUT_IMPORT'!$Q$42:$Q$1040,SUBSTITUTE(SUBSTITUTE(SUBSTITUTE($M606,"~","~~"),"*","~*"),"?","~?"),'DEF_SELF_SCOUT_IMPORT'!$F$42:$F$1040,SUBSTITUTE(SUBSTITUTE(SUBSTITUTE($N606,"~","~~"),"*","~*"),"?","~?"),'DEF_SELF_SCOUT_IMPORT'!$G$42:$G$1040,SUBSTITUTE(SUBSTITUTE(SUBSTITUTE($O606,"~","~~"),"*","~*"),"?","~?"),'DEF_SELF_SCOUT_IMPORT'!$H$42:$H$1040,"DROPBACK")/$C606)</f>
        <v>0.0</v>
      </c>
      <c r="I606" s="14" t="str">
        <f>IF(C606=0,"",IF(C606&lt;=2,"TRACK",IF(C606=3,"LOW",IF(C606&lt;=6,"MEDIUM","HIGH"))))</f>
        <v>TRACK</v>
      </c>
      <c r="J606" s="11">
        <f>IF(C606=0,"",ROUND(D606*70+(1-E606)*20+MAX(0,MIN(1,(10-F606)/10))*10,1))</f>
        <v>21.0</v>
      </c>
      <c r="K606" s="14" t="str">
        <f>IF(C606=0,"No Evidence",IF(C606&lt;=2,IF(E606&gt;0,"Explosive Alert","Track Only"),IF(C606=3,"Sample Watch",IF(E606&gt;=START_HERE!$B$31,"Explosive Alert",IF(J606&gt;=80,"Strong Candidate",IF(J606&gt;=65,"Good Candidate",IF(J606&gt;=50,"Mixed / Review","Problem Call")))))))</f>
        <v>Track Only</v>
      </c>
      <c r="L606" s="9" t="str">
        <f>IF(COUNTIFS('DEF_SELF_SCOUT_IMPORT'!$L$42:$L$1040,"Y",'DEF_SELF_SCOUT_IMPORT'!$E$42:$E$1040,SUBSTITUTE(SUBSTITUTE(SUBSTITUTE($B606,"~","~~"),"*","~*"),"?","~?"),'DEF_SELF_SCOUT_IMPORT'!$Q$42:$Q$1040,SUBSTITUTE(SUBSTITUTE(SUBSTITUTE($M606,"~","~~"),"*","~*"),"?","~?"),'DEF_SELF_SCOUT_IMPORT'!$F$42:$F$1040,SUBSTITUTE(SUBSTITUTE(SUBSTITUTE($N606,"~","~~"),"*","~*"),"?","~?"),'DEF_SELF_SCOUT_IMPORT'!$G$42:$G$1040,SUBSTITUTE(SUBSTITUTE(SUBSTITUTE($O606,"~","~~"),"*","~*"),"?","~?"),'DEF_SELF_SCOUT_IMPORT'!$J$42:$J$1040,"")&gt;0,"Unscored clean outcome; review result tags before using score.",IF(C606=0,"No matching defensive reps; film confirmation needed.",IF(K606="Explosive Alert","Explosive risk; review clips before using as answer.",IF(C606&lt;=2,"Track only; not enough sample.",IF(C606=3,IF(E606&gt;0,"Sample watch with explosive exposure; review clips and build the sample.",IF(J606&gt;=65,"Good signal, but sample is limited.","Sample watch; review clips and build the sample.")),IF(K606="Problem Call","Problem area; practice or call-sheet review.",IF(K606="Strong Candidate","Strong call-fit candidate; confirm on film.",IF(K606="Good Candidate","Good call-fit signal; confirm on film.","Mixed signal; review fit and execution on film."))))))))</f>
        <v>Track only; not enough sample.</v>
      </c>
      <c r="M606" s="8" t="s">
        <v>39</v>
      </c>
      <c r="N606" s="8" t="s">
        <v>120</v>
      </c>
      <c r="O606" s="8" t="s">
        <v>203</v>
      </c>
      <c r="P606" s="8"/>
      <c r="Q606" s="8"/>
      <c r="R606" s="8" t="s">
        <v>28</v>
      </c>
      <c r="S606" s="2" t="s">
        <v>305</v>
      </c>
      <c r="T606" s="2">
        <f>IF(C606=0,0,IF(C606&gt;=CALL_LOOKUP_BOARD!$B$7,IF(OR(K606="Problem Call",K606="Explosive Alert"),10000000,20000000),0)+IF(C606&gt;=CALL_LOOKUP_BOARD!$B$7,J606*1000+MIN(C606,999),C606*1000+J606)+0.00998200)</f>
        <v>1021.009982</v>
      </c>
      <c r="U606" s="2">
        <f>IF(C606=0,"",IF(COUNTIFS($S$589:$S$803,SUBSTITUTE(SUBSTITUTE(SUBSTITUTE(S606,"~","~~"),"*","~*"),"?","~?"),$T$589:$T$803,"&gt;"&amp;T606)=0,S606,""))</f>
        <v/>
      </c>
    </row>
    <row r="607" spans="1:21" ht="38" customHeight="1">
      <c r="A607" s="8" t="s">
        <v>304</v>
      </c>
      <c r="B607" s="8" t="s">
        <v>58</v>
      </c>
      <c r="C607" s="12">
        <f>COUNTIFS('DEF_SELF_SCOUT_IMPORT'!$L$42:$L$1040,"Y",'DEF_SELF_SCOUT_IMPORT'!$E$42:$E$1040,SUBSTITUTE(SUBSTITUTE(SUBSTITUTE($B607,"~","~~"),"*","~*"),"?","~?"),'DEF_SELF_SCOUT_IMPORT'!$Q$42:$Q$1040,SUBSTITUTE(SUBSTITUTE(SUBSTITUTE($M607,"~","~~"),"*","~*"),"?","~?"),'DEF_SELF_SCOUT_IMPORT'!$F$42:$F$1040,SUBSTITUTE(SUBSTITUTE(SUBSTITUTE($N607,"~","~~"),"*","~*"),"?","~?"),'DEF_SELF_SCOUT_IMPORT'!$G$42:$G$1040,SUBSTITUTE(SUBSTITUTE(SUBSTITUTE($O607,"~","~~"),"*","~*"),"?","~?"))</f>
        <v>1</v>
      </c>
      <c r="D607" s="10">
        <f>IF($C607=0,"",SUMIFS('DEF_SELF_SCOUT_IMPORT'!$J$42:$J$1040,'DEF_SELF_SCOUT_IMPORT'!$L$42:$L$1040,"Y",'DEF_SELF_SCOUT_IMPORT'!$E$42:$E$1040,SUBSTITUTE(SUBSTITUTE(SUBSTITUTE($B607,"~","~~"),"*","~*"),"?","~?"),'DEF_SELF_SCOUT_IMPORT'!$Q$42:$Q$1040,SUBSTITUTE(SUBSTITUTE(SUBSTITUTE($M607,"~","~~"),"*","~*"),"?","~?"),'DEF_SELF_SCOUT_IMPORT'!$F$42:$F$1040,SUBSTITUTE(SUBSTITUTE(SUBSTITUTE($N607,"~","~~"),"*","~*"),"?","~?"),'DEF_SELF_SCOUT_IMPORT'!$G$42:$G$1040,SUBSTITUTE(SUBSTITUTE(SUBSTITUTE($O607,"~","~~"),"*","~*"),"?","~?"))/$C607)</f>
        <v>1.0</v>
      </c>
      <c r="E607" s="10">
        <f>IF($C607=0,"",SUMIFS('DEF_SELF_SCOUT_IMPORT'!$K$42:$K$1040,'DEF_SELF_SCOUT_IMPORT'!$L$42:$L$1040,"Y",'DEF_SELF_SCOUT_IMPORT'!$E$42:$E$1040,SUBSTITUTE(SUBSTITUTE(SUBSTITUTE($B607,"~","~~"),"*","~*"),"?","~?"),'DEF_SELF_SCOUT_IMPORT'!$Q$42:$Q$1040,SUBSTITUTE(SUBSTITUTE(SUBSTITUTE($M607,"~","~~"),"*","~*"),"?","~?"),'DEF_SELF_SCOUT_IMPORT'!$F$42:$F$1040,SUBSTITUTE(SUBSTITUTE(SUBSTITUTE($N607,"~","~~"),"*","~*"),"?","~?"),'DEF_SELF_SCOUT_IMPORT'!$G$42:$G$1040,SUBSTITUTE(SUBSTITUTE(SUBSTITUTE($O607,"~","~~"),"*","~*"),"?","~?"))/$C607)</f>
        <v>0.0</v>
      </c>
      <c r="F607" s="11">
        <f>IF($C607=0,"",AVERAGEIFS('DEF_SELF_SCOUT_IMPORT'!$I$42:$I$1040,'DEF_SELF_SCOUT_IMPORT'!$L$42:$L$1040,"Y",'DEF_SELF_SCOUT_IMPORT'!$E$42:$E$1040,SUBSTITUTE(SUBSTITUTE(SUBSTITUTE($B607,"~","~~"),"*","~*"),"?","~?"),'DEF_SELF_SCOUT_IMPORT'!$Q$42:$Q$1040,SUBSTITUTE(SUBSTITUTE(SUBSTITUTE($M607,"~","~~"),"*","~*"),"?","~?"),'DEF_SELF_SCOUT_IMPORT'!$F$42:$F$1040,SUBSTITUTE(SUBSTITUTE(SUBSTITUTE($N607,"~","~~"),"*","~*"),"?","~?"),'DEF_SELF_SCOUT_IMPORT'!$G$42:$G$1040,SUBSTITUTE(SUBSTITUTE(SUBSTITUTE($O607,"~","~~"),"*","~*"),"?","~?")))</f>
        <v>0.0</v>
      </c>
      <c r="G607" s="10">
        <f>IF($C607=0,"",COUNTIFS('DEF_SELF_SCOUT_IMPORT'!$L$42:$L$1040,"Y",'DEF_SELF_SCOUT_IMPORT'!$E$42:$E$1040,SUBSTITUTE(SUBSTITUTE(SUBSTITUTE($B607,"~","~~"),"*","~*"),"?","~?"),'DEF_SELF_SCOUT_IMPORT'!$Q$42:$Q$1040,SUBSTITUTE(SUBSTITUTE(SUBSTITUTE($M607,"~","~~"),"*","~*"),"?","~?"),'DEF_SELF_SCOUT_IMPORT'!$F$42:$F$1040,SUBSTITUTE(SUBSTITUTE(SUBSTITUTE($N607,"~","~~"),"*","~*"),"?","~?"),'DEF_SELF_SCOUT_IMPORT'!$G$42:$G$1040,SUBSTITUTE(SUBSTITUTE(SUBSTITUTE($O607,"~","~~"),"*","~*"),"?","~?"),'DEF_SELF_SCOUT_IMPORT'!$H$42:$H$1040,"RUSH")/$C607)</f>
        <v>0.0</v>
      </c>
      <c r="H607" s="10">
        <f>IF($C607=0,"",COUNTIFS('DEF_SELF_SCOUT_IMPORT'!$L$42:$L$1040,"Y",'DEF_SELF_SCOUT_IMPORT'!$E$42:$E$1040,SUBSTITUTE(SUBSTITUTE(SUBSTITUTE($B607,"~","~~"),"*","~*"),"?","~?"),'DEF_SELF_SCOUT_IMPORT'!$Q$42:$Q$1040,SUBSTITUTE(SUBSTITUTE(SUBSTITUTE($M607,"~","~~"),"*","~*"),"?","~?"),'DEF_SELF_SCOUT_IMPORT'!$F$42:$F$1040,SUBSTITUTE(SUBSTITUTE(SUBSTITUTE($N607,"~","~~"),"*","~*"),"?","~?"),'DEF_SELF_SCOUT_IMPORT'!$G$42:$G$1040,SUBSTITUTE(SUBSTITUTE(SUBSTITUTE($O607,"~","~~"),"*","~*"),"?","~?"),'DEF_SELF_SCOUT_IMPORT'!$H$42:$H$1040,"DROPBACK")/$C607)</f>
        <v>1.0</v>
      </c>
      <c r="I607" s="14" t="str">
        <f>IF(C607=0,"",IF(C607&lt;=2,"TRACK",IF(C607=3,"LOW",IF(C607&lt;=6,"MEDIUM","HIGH"))))</f>
        <v>TRACK</v>
      </c>
      <c r="J607" s="11">
        <f>IF(C607=0,"",ROUND(D607*70+(1-E607)*20+MAX(0,MIN(1,(10-F607)/10))*10,1))</f>
        <v>100.0</v>
      </c>
      <c r="K607" s="14" t="str">
        <f>IF(C607=0,"No Evidence",IF(C607&lt;=2,IF(E607&gt;0,"Explosive Alert","Track Only"),IF(C607=3,"Sample Watch",IF(E607&gt;=START_HERE!$B$31,"Explosive Alert",IF(J607&gt;=80,"Strong Candidate",IF(J607&gt;=65,"Good Candidate",IF(J607&gt;=50,"Mixed / Review","Problem Call")))))))</f>
        <v>Track Only</v>
      </c>
      <c r="L607" s="9" t="str">
        <f>IF(COUNTIFS('DEF_SELF_SCOUT_IMPORT'!$L$42:$L$1040,"Y",'DEF_SELF_SCOUT_IMPORT'!$E$42:$E$1040,SUBSTITUTE(SUBSTITUTE(SUBSTITUTE($B607,"~","~~"),"*","~*"),"?","~?"),'DEF_SELF_SCOUT_IMPORT'!$Q$42:$Q$1040,SUBSTITUTE(SUBSTITUTE(SUBSTITUTE($M607,"~","~~"),"*","~*"),"?","~?"),'DEF_SELF_SCOUT_IMPORT'!$F$42:$F$1040,SUBSTITUTE(SUBSTITUTE(SUBSTITUTE($N607,"~","~~"),"*","~*"),"?","~?"),'DEF_SELF_SCOUT_IMPORT'!$G$42:$G$1040,SUBSTITUTE(SUBSTITUTE(SUBSTITUTE($O607,"~","~~"),"*","~*"),"?","~?"),'DEF_SELF_SCOUT_IMPORT'!$J$42:$J$1040,"")&gt;0,"Unscored clean outcome; review result tags before using score.",IF(C607=0,"No matching defensive reps; film confirmation needed.",IF(K607="Explosive Alert","Explosive risk; review clips before using as answer.",IF(C607&lt;=2,"Track only; not enough sample.",IF(C607=3,IF(E607&gt;0,"Sample watch with explosive exposure; review clips and build the sample.",IF(J607&gt;=65,"Good signal, but sample is limited.","Sample watch; review clips and build the sample.")),IF(K607="Problem Call","Problem area; practice or call-sheet review.",IF(K607="Strong Candidate","Strong call-fit candidate; confirm on film.",IF(K607="Good Candidate","Good call-fit signal; confirm on film.","Mixed signal; review fit and execution on film."))))))))</f>
        <v>Track only; not enough sample.</v>
      </c>
      <c r="M607" s="8" t="s">
        <v>39</v>
      </c>
      <c r="N607" s="8" t="s">
        <v>120</v>
      </c>
      <c r="O607" s="8" t="s">
        <v>203</v>
      </c>
      <c r="P607" s="8"/>
      <c r="Q607" s="8"/>
      <c r="R607" s="8" t="s">
        <v>28</v>
      </c>
      <c r="S607" s="2" t="s">
        <v>305</v>
      </c>
      <c r="T607" s="2">
        <f>IF(C607=0,0,IF(C607&gt;=CALL_LOOKUP_BOARD!$B$7,IF(OR(K607="Problem Call",K607="Explosive Alert"),10000000,20000000),0)+IF(C607&gt;=CALL_LOOKUP_BOARD!$B$7,J607*1000+MIN(C607,999),C607*1000+J607)+0.00998100)</f>
        <v>1100.009981</v>
      </c>
      <c r="U607" s="2">
        <f>IF(C607=0,"",IF(COUNTIFS($S$589:$S$803,SUBSTITUTE(SUBSTITUTE(SUBSTITUTE(S607,"~","~~"),"*","~*"),"?","~?"),$T$589:$T$803,"&gt;"&amp;T607)=0,S607,""))</f>
        <v/>
      </c>
    </row>
    <row r="608" spans="1:21" ht="38" customHeight="1">
      <c r="A608" s="8" t="s">
        <v>304</v>
      </c>
      <c r="B608" s="8" t="s">
        <v>35</v>
      </c>
      <c r="C608" s="12">
        <f>COUNTIFS('DEF_SELF_SCOUT_IMPORT'!$L$42:$L$1040,"Y",'DEF_SELF_SCOUT_IMPORT'!$E$42:$E$1040,SUBSTITUTE(SUBSTITUTE(SUBSTITUTE($B608,"~","~~"),"*","~*"),"?","~?"),'DEF_SELF_SCOUT_IMPORT'!$Q$42:$Q$1040,SUBSTITUTE(SUBSTITUTE(SUBSTITUTE($M608,"~","~~"),"*","~*"),"?","~?"),'DEF_SELF_SCOUT_IMPORT'!$F$42:$F$1040,SUBSTITUTE(SUBSTITUTE(SUBSTITUTE($N608,"~","~~"),"*","~*"),"?","~?"),'DEF_SELF_SCOUT_IMPORT'!$G$42:$G$1040,SUBSTITUTE(SUBSTITUTE(SUBSTITUTE($O608,"~","~~"),"*","~*"),"?","~?"))</f>
        <v>2</v>
      </c>
      <c r="D608" s="10">
        <f>IF($C608=0,"",SUMIFS('DEF_SELF_SCOUT_IMPORT'!$J$42:$J$1040,'DEF_SELF_SCOUT_IMPORT'!$L$42:$L$1040,"Y",'DEF_SELF_SCOUT_IMPORT'!$E$42:$E$1040,SUBSTITUTE(SUBSTITUTE(SUBSTITUTE($B608,"~","~~"),"*","~*"),"?","~?"),'DEF_SELF_SCOUT_IMPORT'!$Q$42:$Q$1040,SUBSTITUTE(SUBSTITUTE(SUBSTITUTE($M608,"~","~~"),"*","~*"),"?","~?"),'DEF_SELF_SCOUT_IMPORT'!$F$42:$F$1040,SUBSTITUTE(SUBSTITUTE(SUBSTITUTE($N608,"~","~~"),"*","~*"),"?","~?"),'DEF_SELF_SCOUT_IMPORT'!$G$42:$G$1040,SUBSTITUTE(SUBSTITUTE(SUBSTITUTE($O608,"~","~~"),"*","~*"),"?","~?"))/$C608)</f>
        <v>1.0</v>
      </c>
      <c r="E608" s="10">
        <f>IF($C608=0,"",SUMIFS('DEF_SELF_SCOUT_IMPORT'!$K$42:$K$1040,'DEF_SELF_SCOUT_IMPORT'!$L$42:$L$1040,"Y",'DEF_SELF_SCOUT_IMPORT'!$E$42:$E$1040,SUBSTITUTE(SUBSTITUTE(SUBSTITUTE($B608,"~","~~"),"*","~*"),"?","~?"),'DEF_SELF_SCOUT_IMPORT'!$Q$42:$Q$1040,SUBSTITUTE(SUBSTITUTE(SUBSTITUTE($M608,"~","~~"),"*","~*"),"?","~?"),'DEF_SELF_SCOUT_IMPORT'!$F$42:$F$1040,SUBSTITUTE(SUBSTITUTE(SUBSTITUTE($N608,"~","~~"),"*","~*"),"?","~?"),'DEF_SELF_SCOUT_IMPORT'!$G$42:$G$1040,SUBSTITUTE(SUBSTITUTE(SUBSTITUTE($O608,"~","~~"),"*","~*"),"?","~?"))/$C608)</f>
        <v>0.0</v>
      </c>
      <c r="F608" s="11">
        <f>IF($C608=0,"",AVERAGEIFS('DEF_SELF_SCOUT_IMPORT'!$I$42:$I$1040,'DEF_SELF_SCOUT_IMPORT'!$L$42:$L$1040,"Y",'DEF_SELF_SCOUT_IMPORT'!$E$42:$E$1040,SUBSTITUTE(SUBSTITUTE(SUBSTITUTE($B608,"~","~~"),"*","~*"),"?","~?"),'DEF_SELF_SCOUT_IMPORT'!$Q$42:$Q$1040,SUBSTITUTE(SUBSTITUTE(SUBSTITUTE($M608,"~","~~"),"*","~*"),"?","~?"),'DEF_SELF_SCOUT_IMPORT'!$F$42:$F$1040,SUBSTITUTE(SUBSTITUTE(SUBSTITUTE($N608,"~","~~"),"*","~*"),"?","~?"),'DEF_SELF_SCOUT_IMPORT'!$G$42:$G$1040,SUBSTITUTE(SUBSTITUTE(SUBSTITUTE($O608,"~","~~"),"*","~*"),"?","~?")))</f>
        <v>0.0</v>
      </c>
      <c r="G608" s="10">
        <f>IF($C608=0,"",COUNTIFS('DEF_SELF_SCOUT_IMPORT'!$L$42:$L$1040,"Y",'DEF_SELF_SCOUT_IMPORT'!$E$42:$E$1040,SUBSTITUTE(SUBSTITUTE(SUBSTITUTE($B608,"~","~~"),"*","~*"),"?","~?"),'DEF_SELF_SCOUT_IMPORT'!$Q$42:$Q$1040,SUBSTITUTE(SUBSTITUTE(SUBSTITUTE($M608,"~","~~"),"*","~*"),"?","~?"),'DEF_SELF_SCOUT_IMPORT'!$F$42:$F$1040,SUBSTITUTE(SUBSTITUTE(SUBSTITUTE($N608,"~","~~"),"*","~*"),"?","~?"),'DEF_SELF_SCOUT_IMPORT'!$G$42:$G$1040,SUBSTITUTE(SUBSTITUTE(SUBSTITUTE($O608,"~","~~"),"*","~*"),"?","~?"),'DEF_SELF_SCOUT_IMPORT'!$H$42:$H$1040,"RUSH")/$C608)</f>
        <v>0.0</v>
      </c>
      <c r="H608" s="10">
        <f>IF($C608=0,"",COUNTIFS('DEF_SELF_SCOUT_IMPORT'!$L$42:$L$1040,"Y",'DEF_SELF_SCOUT_IMPORT'!$E$42:$E$1040,SUBSTITUTE(SUBSTITUTE(SUBSTITUTE($B608,"~","~~"),"*","~*"),"?","~?"),'DEF_SELF_SCOUT_IMPORT'!$Q$42:$Q$1040,SUBSTITUTE(SUBSTITUTE(SUBSTITUTE($M608,"~","~~"),"*","~*"),"?","~?"),'DEF_SELF_SCOUT_IMPORT'!$F$42:$F$1040,SUBSTITUTE(SUBSTITUTE(SUBSTITUTE($N608,"~","~~"),"*","~*"),"?","~?"),'DEF_SELF_SCOUT_IMPORT'!$G$42:$G$1040,SUBSTITUTE(SUBSTITUTE(SUBSTITUTE($O608,"~","~~"),"*","~*"),"?","~?"),'DEF_SELF_SCOUT_IMPORT'!$H$42:$H$1040,"DROPBACK")/$C608)</f>
        <v>1.0</v>
      </c>
      <c r="I608" s="14" t="str">
        <f>IF(C608=0,"",IF(C608&lt;=2,"TRACK",IF(C608=3,"LOW",IF(C608&lt;=6,"MEDIUM","HIGH"))))</f>
        <v>TRACK</v>
      </c>
      <c r="J608" s="11">
        <f>IF(C608=0,"",ROUND(D608*70+(1-E608)*20+MAX(0,MIN(1,(10-F608)/10))*10,1))</f>
        <v>100.0</v>
      </c>
      <c r="K608" s="14" t="str">
        <f>IF(C608=0,"No Evidence",IF(C608&lt;=2,IF(E608&gt;0,"Explosive Alert","Track Only"),IF(C608=3,"Sample Watch",IF(E608&gt;=START_HERE!$B$31,"Explosive Alert",IF(J608&gt;=80,"Strong Candidate",IF(J608&gt;=65,"Good Candidate",IF(J608&gt;=50,"Mixed / Review","Problem Call")))))))</f>
        <v>Track Only</v>
      </c>
      <c r="L608" s="9" t="str">
        <f>IF(COUNTIFS('DEF_SELF_SCOUT_IMPORT'!$L$42:$L$1040,"Y",'DEF_SELF_SCOUT_IMPORT'!$E$42:$E$1040,SUBSTITUTE(SUBSTITUTE(SUBSTITUTE($B608,"~","~~"),"*","~*"),"?","~?"),'DEF_SELF_SCOUT_IMPORT'!$Q$42:$Q$1040,SUBSTITUTE(SUBSTITUTE(SUBSTITUTE($M608,"~","~~"),"*","~*"),"?","~?"),'DEF_SELF_SCOUT_IMPORT'!$F$42:$F$1040,SUBSTITUTE(SUBSTITUTE(SUBSTITUTE($N608,"~","~~"),"*","~*"),"?","~?"),'DEF_SELF_SCOUT_IMPORT'!$G$42:$G$1040,SUBSTITUTE(SUBSTITUTE(SUBSTITUTE($O608,"~","~~"),"*","~*"),"?","~?"),'DEF_SELF_SCOUT_IMPORT'!$J$42:$J$1040,"")&gt;0,"Unscored clean outcome; review result tags before using score.",IF(C608=0,"No matching defensive reps; film confirmation needed.",IF(K608="Explosive Alert","Explosive risk; review clips before using as answer.",IF(C608&lt;=2,"Track only; not enough sample.",IF(C608=3,IF(E608&gt;0,"Sample watch with explosive exposure; review clips and build the sample.",IF(J608&gt;=65,"Good signal, but sample is limited.","Sample watch; review clips and build the sample.")),IF(K608="Problem Call","Problem area; practice or call-sheet review.",IF(K608="Strong Candidate","Strong call-fit candidate; confirm on film.",IF(K608="Good Candidate","Good call-fit signal; confirm on film.","Mixed signal; review fit and execution on film."))))))))</f>
        <v>Track only; not enough sample.</v>
      </c>
      <c r="M608" s="8" t="s">
        <v>39</v>
      </c>
      <c r="N608" s="8" t="s">
        <v>120</v>
      </c>
      <c r="O608" s="8" t="s">
        <v>203</v>
      </c>
      <c r="P608" s="8"/>
      <c r="Q608" s="8"/>
      <c r="R608" s="8" t="s">
        <v>28</v>
      </c>
      <c r="S608" s="2" t="s">
        <v>305</v>
      </c>
      <c r="T608" s="2">
        <f>IF(C608=0,0,IF(C608&gt;=CALL_LOOKUP_BOARD!$B$7,IF(OR(K608="Problem Call",K608="Explosive Alert"),10000000,20000000),0)+IF(C608&gt;=CALL_LOOKUP_BOARD!$B$7,J608*1000+MIN(C608,999),C608*1000+J608)+0.00998000)</f>
        <v>2100.00998</v>
      </c>
      <c r="U608" s="2">
        <f>IF(C608=0,"",IF(COUNTIFS($S$589:$S$803,SUBSTITUTE(SUBSTITUTE(SUBSTITUTE(S608,"~","~~"),"*","~*"),"?","~?"),$T$589:$T$803,"&gt;"&amp;T608)=0,S608,""))</f>
        <v/>
      </c>
    </row>
    <row r="609" spans="1:21" ht="38" customHeight="1">
      <c r="A609" s="8" t="s">
        <v>304</v>
      </c>
      <c r="B609" s="8" t="s">
        <v>60</v>
      </c>
      <c r="C609" s="12">
        <f>COUNTIFS('DEF_SELF_SCOUT_IMPORT'!$L$42:$L$1040,"Y",'DEF_SELF_SCOUT_IMPORT'!$E$42:$E$1040,SUBSTITUTE(SUBSTITUTE(SUBSTITUTE($B609,"~","~~"),"*","~*"),"?","~?"),'DEF_SELF_SCOUT_IMPORT'!$Q$42:$Q$1040,SUBSTITUTE(SUBSTITUTE(SUBSTITUTE($M609,"~","~~"),"*","~*"),"?","~?"),'DEF_SELF_SCOUT_IMPORT'!$F$42:$F$1040,SUBSTITUTE(SUBSTITUTE(SUBSTITUTE($N609,"~","~~"),"*","~*"),"?","~?"),'DEF_SELF_SCOUT_IMPORT'!$G$42:$G$1040,SUBSTITUTE(SUBSTITUTE(SUBSTITUTE($O609,"~","~~"),"*","~*"),"?","~?"))</f>
        <v>3</v>
      </c>
      <c r="D609" s="10">
        <f>IF($C609=0,"",SUMIFS('DEF_SELF_SCOUT_IMPORT'!$J$42:$J$1040,'DEF_SELF_SCOUT_IMPORT'!$L$42:$L$1040,"Y",'DEF_SELF_SCOUT_IMPORT'!$E$42:$E$1040,SUBSTITUTE(SUBSTITUTE(SUBSTITUTE($B609,"~","~~"),"*","~*"),"?","~?"),'DEF_SELF_SCOUT_IMPORT'!$Q$42:$Q$1040,SUBSTITUTE(SUBSTITUTE(SUBSTITUTE($M609,"~","~~"),"*","~*"),"?","~?"),'DEF_SELF_SCOUT_IMPORT'!$F$42:$F$1040,SUBSTITUTE(SUBSTITUTE(SUBSTITUTE($N609,"~","~~"),"*","~*"),"?","~?"),'DEF_SELF_SCOUT_IMPORT'!$G$42:$G$1040,SUBSTITUTE(SUBSTITUTE(SUBSTITUTE($O609,"~","~~"),"*","~*"),"?","~?"))/$C609)</f>
        <v>0.3333333333333333</v>
      </c>
      <c r="E609" s="10">
        <f>IF($C609=0,"",SUMIFS('DEF_SELF_SCOUT_IMPORT'!$K$42:$K$1040,'DEF_SELF_SCOUT_IMPORT'!$L$42:$L$1040,"Y",'DEF_SELF_SCOUT_IMPORT'!$E$42:$E$1040,SUBSTITUTE(SUBSTITUTE(SUBSTITUTE($B609,"~","~~"),"*","~*"),"?","~?"),'DEF_SELF_SCOUT_IMPORT'!$Q$42:$Q$1040,SUBSTITUTE(SUBSTITUTE(SUBSTITUTE($M609,"~","~~"),"*","~*"),"?","~?"),'DEF_SELF_SCOUT_IMPORT'!$F$42:$F$1040,SUBSTITUTE(SUBSTITUTE(SUBSTITUTE($N609,"~","~~"),"*","~*"),"?","~?"),'DEF_SELF_SCOUT_IMPORT'!$G$42:$G$1040,SUBSTITUTE(SUBSTITUTE(SUBSTITUTE($O609,"~","~~"),"*","~*"),"?","~?"))/$C609)</f>
        <v>0.3333333333333333</v>
      </c>
      <c r="F609" s="11">
        <f>IF($C609=0,"",AVERAGEIFS('DEF_SELF_SCOUT_IMPORT'!$I$42:$I$1040,'DEF_SELF_SCOUT_IMPORT'!$L$42:$L$1040,"Y",'DEF_SELF_SCOUT_IMPORT'!$E$42:$E$1040,SUBSTITUTE(SUBSTITUTE(SUBSTITUTE($B609,"~","~~"),"*","~*"),"?","~?"),'DEF_SELF_SCOUT_IMPORT'!$Q$42:$Q$1040,SUBSTITUTE(SUBSTITUTE(SUBSTITUTE($M609,"~","~~"),"*","~*"),"?","~?"),'DEF_SELF_SCOUT_IMPORT'!$F$42:$F$1040,SUBSTITUTE(SUBSTITUTE(SUBSTITUTE($N609,"~","~~"),"*","~*"),"?","~?"),'DEF_SELF_SCOUT_IMPORT'!$G$42:$G$1040,SUBSTITUTE(SUBSTITUTE(SUBSTITUTE($O609,"~","~~"),"*","~*"),"?","~?")))</f>
        <v>12.0</v>
      </c>
      <c r="G609" s="10">
        <f>IF($C609=0,"",COUNTIFS('DEF_SELF_SCOUT_IMPORT'!$L$42:$L$1040,"Y",'DEF_SELF_SCOUT_IMPORT'!$E$42:$E$1040,SUBSTITUTE(SUBSTITUTE(SUBSTITUTE($B609,"~","~~"),"*","~*"),"?","~?"),'DEF_SELF_SCOUT_IMPORT'!$Q$42:$Q$1040,SUBSTITUTE(SUBSTITUTE(SUBSTITUTE($M609,"~","~~"),"*","~*"),"?","~?"),'DEF_SELF_SCOUT_IMPORT'!$F$42:$F$1040,SUBSTITUTE(SUBSTITUTE(SUBSTITUTE($N609,"~","~~"),"*","~*"),"?","~?"),'DEF_SELF_SCOUT_IMPORT'!$G$42:$G$1040,SUBSTITUTE(SUBSTITUTE(SUBSTITUTE($O609,"~","~~"),"*","~*"),"?","~?"),'DEF_SELF_SCOUT_IMPORT'!$H$42:$H$1040,"RUSH")/$C609)</f>
        <v>0.3333333333333333</v>
      </c>
      <c r="H609" s="10">
        <f>IF($C609=0,"",COUNTIFS('DEF_SELF_SCOUT_IMPORT'!$L$42:$L$1040,"Y",'DEF_SELF_SCOUT_IMPORT'!$E$42:$E$1040,SUBSTITUTE(SUBSTITUTE(SUBSTITUTE($B609,"~","~~"),"*","~*"),"?","~?"),'DEF_SELF_SCOUT_IMPORT'!$Q$42:$Q$1040,SUBSTITUTE(SUBSTITUTE(SUBSTITUTE($M609,"~","~~"),"*","~*"),"?","~?"),'DEF_SELF_SCOUT_IMPORT'!$F$42:$F$1040,SUBSTITUTE(SUBSTITUTE(SUBSTITUTE($N609,"~","~~"),"*","~*"),"?","~?"),'DEF_SELF_SCOUT_IMPORT'!$G$42:$G$1040,SUBSTITUTE(SUBSTITUTE(SUBSTITUTE($O609,"~","~~"),"*","~*"),"?","~?"),'DEF_SELF_SCOUT_IMPORT'!$H$42:$H$1040,"DROPBACK")/$C609)</f>
        <v>0.3333333333333333</v>
      </c>
      <c r="I609" s="14" t="str">
        <f>IF(C609=0,"",IF(C609&lt;=2,"TRACK",IF(C609=3,"LOW",IF(C609&lt;=6,"MEDIUM","HIGH"))))</f>
        <v>LOW</v>
      </c>
      <c r="J609" s="11">
        <f>IF(C609=0,"",ROUND(D609*70+(1-E609)*20+MAX(0,MIN(1,(10-F609)/10))*10,1))</f>
        <v>36.7</v>
      </c>
      <c r="K609" s="14" t="str">
        <f>IF(C609=0,"No Evidence",IF(C609&lt;=2,IF(E609&gt;0,"Explosive Alert","Track Only"),IF(C609=3,"Sample Watch",IF(E609&gt;=START_HERE!$B$31,"Explosive Alert",IF(J609&gt;=80,"Strong Candidate",IF(J609&gt;=65,"Good Candidate",IF(J609&gt;=50,"Mixed / Review","Problem Call")))))))</f>
        <v>Sample Watch</v>
      </c>
      <c r="L609" s="9" t="str">
        <f>IF(COUNTIFS('DEF_SELF_SCOUT_IMPORT'!$L$42:$L$1040,"Y",'DEF_SELF_SCOUT_IMPORT'!$E$42:$E$1040,SUBSTITUTE(SUBSTITUTE(SUBSTITUTE($B609,"~","~~"),"*","~*"),"?","~?"),'DEF_SELF_SCOUT_IMPORT'!$Q$42:$Q$1040,SUBSTITUTE(SUBSTITUTE(SUBSTITUTE($M609,"~","~~"),"*","~*"),"?","~?"),'DEF_SELF_SCOUT_IMPORT'!$F$42:$F$1040,SUBSTITUTE(SUBSTITUTE(SUBSTITUTE($N609,"~","~~"),"*","~*"),"?","~?"),'DEF_SELF_SCOUT_IMPORT'!$G$42:$G$1040,SUBSTITUTE(SUBSTITUTE(SUBSTITUTE($O609,"~","~~"),"*","~*"),"?","~?"),'DEF_SELF_SCOUT_IMPORT'!$J$42:$J$1040,"")&gt;0,"Unscored clean outcome; review result tags before using score.",IF(C609=0,"No matching defensive reps; film confirmation needed.",IF(K609="Explosive Alert","Explosive risk; review clips before using as answer.",IF(C609&lt;=2,"Track only; not enough sample.",IF(C609=3,IF(E609&gt;0,"Sample watch with explosive exposure; review clips and build the sample.",IF(J609&gt;=65,"Good signal, but sample is limited.","Sample watch; review clips and build the sample.")),IF(K609="Problem Call","Problem area; practice or call-sheet review.",IF(K609="Strong Candidate","Strong call-fit candidate; confirm on film.",IF(K609="Good Candidate","Good call-fit signal; confirm on film.","Mixed signal; review fit and execution on film."))))))))</f>
        <v>Sample watch with explosive exposure; review clips and build the sample.</v>
      </c>
      <c r="M609" s="8" t="s">
        <v>39</v>
      </c>
      <c r="N609" s="8" t="s">
        <v>120</v>
      </c>
      <c r="O609" s="8" t="s">
        <v>203</v>
      </c>
      <c r="P609" s="8"/>
      <c r="Q609" s="8"/>
      <c r="R609" s="8" t="s">
        <v>28</v>
      </c>
      <c r="S609" s="2" t="s">
        <v>305</v>
      </c>
      <c r="T609" s="2">
        <f>IF(C609=0,0,IF(C609&gt;=CALL_LOOKUP_BOARD!$B$7,IF(OR(K609="Problem Call",K609="Explosive Alert"),10000000,20000000),0)+IF(C609&gt;=CALL_LOOKUP_BOARD!$B$7,J609*1000+MIN(C609,999),C609*1000+J609)+0.00997900)</f>
        <v>3036.7099789999997</v>
      </c>
      <c r="U609" s="2">
        <f>IF(C609=0,"",IF(COUNTIFS($S$589:$S$803,SUBSTITUTE(SUBSTITUTE(SUBSTITUTE(S609,"~","~~"),"*","~*"),"?","~?"),$T$589:$T$803,"&gt;"&amp;T609)=0,S609,""))</f>
        <v/>
      </c>
    </row>
    <row r="610" spans="1:21" ht="38" customHeight="1">
      <c r="A610" s="8" t="s">
        <v>304</v>
      </c>
      <c r="B610" s="8" t="s">
        <v>61</v>
      </c>
      <c r="C610" s="12">
        <f>COUNTIFS('DEF_SELF_SCOUT_IMPORT'!$L$42:$L$1040,"Y",'DEF_SELF_SCOUT_IMPORT'!$E$42:$E$1040,SUBSTITUTE(SUBSTITUTE(SUBSTITUTE($B610,"~","~~"),"*","~*"),"?","~?"),'DEF_SELF_SCOUT_IMPORT'!$Q$42:$Q$1040,SUBSTITUTE(SUBSTITUTE(SUBSTITUTE($M610,"~","~~"),"*","~*"),"?","~?"),'DEF_SELF_SCOUT_IMPORT'!$F$42:$F$1040,SUBSTITUTE(SUBSTITUTE(SUBSTITUTE($N610,"~","~~"),"*","~*"),"?","~?"),'DEF_SELF_SCOUT_IMPORT'!$G$42:$G$1040,SUBSTITUTE(SUBSTITUTE(SUBSTITUTE($O610,"~","~~"),"*","~*"),"?","~?"))</f>
        <v>2</v>
      </c>
      <c r="D610" s="10">
        <f>IF($C610=0,"",SUMIFS('DEF_SELF_SCOUT_IMPORT'!$J$42:$J$1040,'DEF_SELF_SCOUT_IMPORT'!$L$42:$L$1040,"Y",'DEF_SELF_SCOUT_IMPORT'!$E$42:$E$1040,SUBSTITUTE(SUBSTITUTE(SUBSTITUTE($B610,"~","~~"),"*","~*"),"?","~?"),'DEF_SELF_SCOUT_IMPORT'!$Q$42:$Q$1040,SUBSTITUTE(SUBSTITUTE(SUBSTITUTE($M610,"~","~~"),"*","~*"),"?","~?"),'DEF_SELF_SCOUT_IMPORT'!$F$42:$F$1040,SUBSTITUTE(SUBSTITUTE(SUBSTITUTE($N610,"~","~~"),"*","~*"),"?","~?"),'DEF_SELF_SCOUT_IMPORT'!$G$42:$G$1040,SUBSTITUTE(SUBSTITUTE(SUBSTITUTE($O610,"~","~~"),"*","~*"),"?","~?"))/$C610)</f>
        <v>1.0</v>
      </c>
      <c r="E610" s="10">
        <f>IF($C610=0,"",SUMIFS('DEF_SELF_SCOUT_IMPORT'!$K$42:$K$1040,'DEF_SELF_SCOUT_IMPORT'!$L$42:$L$1040,"Y",'DEF_SELF_SCOUT_IMPORT'!$E$42:$E$1040,SUBSTITUTE(SUBSTITUTE(SUBSTITUTE($B610,"~","~~"),"*","~*"),"?","~?"),'DEF_SELF_SCOUT_IMPORT'!$Q$42:$Q$1040,SUBSTITUTE(SUBSTITUTE(SUBSTITUTE($M610,"~","~~"),"*","~*"),"?","~?"),'DEF_SELF_SCOUT_IMPORT'!$F$42:$F$1040,SUBSTITUTE(SUBSTITUTE(SUBSTITUTE($N610,"~","~~"),"*","~*"),"?","~?"),'DEF_SELF_SCOUT_IMPORT'!$G$42:$G$1040,SUBSTITUTE(SUBSTITUTE(SUBSTITUTE($O610,"~","~~"),"*","~*"),"?","~?"))/$C610)</f>
        <v>0.0</v>
      </c>
      <c r="F610" s="11">
        <f>IF($C610=0,"",AVERAGEIFS('DEF_SELF_SCOUT_IMPORT'!$I$42:$I$1040,'DEF_SELF_SCOUT_IMPORT'!$L$42:$L$1040,"Y",'DEF_SELF_SCOUT_IMPORT'!$E$42:$E$1040,SUBSTITUTE(SUBSTITUTE(SUBSTITUTE($B610,"~","~~"),"*","~*"),"?","~?"),'DEF_SELF_SCOUT_IMPORT'!$Q$42:$Q$1040,SUBSTITUTE(SUBSTITUTE(SUBSTITUTE($M610,"~","~~"),"*","~*"),"?","~?"),'DEF_SELF_SCOUT_IMPORT'!$F$42:$F$1040,SUBSTITUTE(SUBSTITUTE(SUBSTITUTE($N610,"~","~~"),"*","~*"),"?","~?"),'DEF_SELF_SCOUT_IMPORT'!$G$42:$G$1040,SUBSTITUTE(SUBSTITUTE(SUBSTITUTE($O610,"~","~~"),"*","~*"),"?","~?")))</f>
        <v>1.5</v>
      </c>
      <c r="G610" s="10">
        <f>IF($C610=0,"",COUNTIFS('DEF_SELF_SCOUT_IMPORT'!$L$42:$L$1040,"Y",'DEF_SELF_SCOUT_IMPORT'!$E$42:$E$1040,SUBSTITUTE(SUBSTITUTE(SUBSTITUTE($B610,"~","~~"),"*","~*"),"?","~?"),'DEF_SELF_SCOUT_IMPORT'!$Q$42:$Q$1040,SUBSTITUTE(SUBSTITUTE(SUBSTITUTE($M610,"~","~~"),"*","~*"),"?","~?"),'DEF_SELF_SCOUT_IMPORT'!$F$42:$F$1040,SUBSTITUTE(SUBSTITUTE(SUBSTITUTE($N610,"~","~~"),"*","~*"),"?","~?"),'DEF_SELF_SCOUT_IMPORT'!$G$42:$G$1040,SUBSTITUTE(SUBSTITUTE(SUBSTITUTE($O610,"~","~~"),"*","~*"),"?","~?"),'DEF_SELF_SCOUT_IMPORT'!$H$42:$H$1040,"RUSH")/$C610)</f>
        <v>0.0</v>
      </c>
      <c r="H610" s="10">
        <f>IF($C610=0,"",COUNTIFS('DEF_SELF_SCOUT_IMPORT'!$L$42:$L$1040,"Y",'DEF_SELF_SCOUT_IMPORT'!$E$42:$E$1040,SUBSTITUTE(SUBSTITUTE(SUBSTITUTE($B610,"~","~~"),"*","~*"),"?","~?"),'DEF_SELF_SCOUT_IMPORT'!$Q$42:$Q$1040,SUBSTITUTE(SUBSTITUTE(SUBSTITUTE($M610,"~","~~"),"*","~*"),"?","~?"),'DEF_SELF_SCOUT_IMPORT'!$F$42:$F$1040,SUBSTITUTE(SUBSTITUTE(SUBSTITUTE($N610,"~","~~"),"*","~*"),"?","~?"),'DEF_SELF_SCOUT_IMPORT'!$G$42:$G$1040,SUBSTITUTE(SUBSTITUTE(SUBSTITUTE($O610,"~","~~"),"*","~*"),"?","~?"),'DEF_SELF_SCOUT_IMPORT'!$H$42:$H$1040,"DROPBACK")/$C610)</f>
        <v>1.0</v>
      </c>
      <c r="I610" s="14" t="str">
        <f>IF(C610=0,"",IF(C610&lt;=2,"TRACK",IF(C610=3,"LOW",IF(C610&lt;=6,"MEDIUM","HIGH"))))</f>
        <v>TRACK</v>
      </c>
      <c r="J610" s="11">
        <f>IF(C610=0,"",ROUND(D610*70+(1-E610)*20+MAX(0,MIN(1,(10-F610)/10))*10,1))</f>
        <v>98.5</v>
      </c>
      <c r="K610" s="14" t="str">
        <f>IF(C610=0,"No Evidence",IF(C610&lt;=2,IF(E610&gt;0,"Explosive Alert","Track Only"),IF(C610=3,"Sample Watch",IF(E610&gt;=START_HERE!$B$31,"Explosive Alert",IF(J610&gt;=80,"Strong Candidate",IF(J610&gt;=65,"Good Candidate",IF(J610&gt;=50,"Mixed / Review","Problem Call")))))))</f>
        <v>Track Only</v>
      </c>
      <c r="L610" s="9" t="str">
        <f>IF(COUNTIFS('DEF_SELF_SCOUT_IMPORT'!$L$42:$L$1040,"Y",'DEF_SELF_SCOUT_IMPORT'!$E$42:$E$1040,SUBSTITUTE(SUBSTITUTE(SUBSTITUTE($B610,"~","~~"),"*","~*"),"?","~?"),'DEF_SELF_SCOUT_IMPORT'!$Q$42:$Q$1040,SUBSTITUTE(SUBSTITUTE(SUBSTITUTE($M610,"~","~~"),"*","~*"),"?","~?"),'DEF_SELF_SCOUT_IMPORT'!$F$42:$F$1040,SUBSTITUTE(SUBSTITUTE(SUBSTITUTE($N610,"~","~~"),"*","~*"),"?","~?"),'DEF_SELF_SCOUT_IMPORT'!$G$42:$G$1040,SUBSTITUTE(SUBSTITUTE(SUBSTITUTE($O610,"~","~~"),"*","~*"),"?","~?"),'DEF_SELF_SCOUT_IMPORT'!$J$42:$J$1040,"")&gt;0,"Unscored clean outcome; review result tags before using score.",IF(C610=0,"No matching defensive reps; film confirmation needed.",IF(K610="Explosive Alert","Explosive risk; review clips before using as answer.",IF(C610&lt;=2,"Track only; not enough sample.",IF(C610=3,IF(E610&gt;0,"Sample watch with explosive exposure; review clips and build the sample.",IF(J610&gt;=65,"Good signal, but sample is limited.","Sample watch; review clips and build the sample.")),IF(K610="Problem Call","Problem area; practice or call-sheet review.",IF(K610="Strong Candidate","Strong call-fit candidate; confirm on film.",IF(K610="Good Candidate","Good call-fit signal; confirm on film.","Mixed signal; review fit and execution on film."))))))))</f>
        <v>Track only; not enough sample.</v>
      </c>
      <c r="M610" s="8" t="s">
        <v>39</v>
      </c>
      <c r="N610" s="8" t="s">
        <v>120</v>
      </c>
      <c r="O610" s="8" t="s">
        <v>203</v>
      </c>
      <c r="P610" s="8"/>
      <c r="Q610" s="8"/>
      <c r="R610" s="8" t="s">
        <v>28</v>
      </c>
      <c r="S610" s="2" t="s">
        <v>305</v>
      </c>
      <c r="T610" s="2">
        <f>IF(C610=0,0,IF(C610&gt;=CALL_LOOKUP_BOARD!$B$7,IF(OR(K610="Problem Call",K610="Explosive Alert"),10000000,20000000),0)+IF(C610&gt;=CALL_LOOKUP_BOARD!$B$7,J610*1000+MIN(C610,999),C610*1000+J610)+0.00997800)</f>
        <v>2098.509978</v>
      </c>
      <c r="U610" s="2">
        <f>IF(C610=0,"",IF(COUNTIFS($S$589:$S$803,SUBSTITUTE(SUBSTITUTE(SUBSTITUTE(S610,"~","~~"),"*","~*"),"?","~?"),$T$589:$T$803,"&gt;"&amp;T610)=0,S610,""))</f>
        <v/>
      </c>
    </row>
    <row r="611" spans="1:21" ht="38" customHeight="1">
      <c r="A611" s="8" t="s">
        <v>304</v>
      </c>
      <c r="B611" s="8" t="s">
        <v>63</v>
      </c>
      <c r="C611" s="12">
        <f>COUNTIFS('DEF_SELF_SCOUT_IMPORT'!$L$42:$L$1040,"Y",'DEF_SELF_SCOUT_IMPORT'!$E$42:$E$1040,SUBSTITUTE(SUBSTITUTE(SUBSTITUTE($B611,"~","~~"),"*","~*"),"?","~?"),'DEF_SELF_SCOUT_IMPORT'!$Q$42:$Q$1040,SUBSTITUTE(SUBSTITUTE(SUBSTITUTE($M611,"~","~~"),"*","~*"),"?","~?"),'DEF_SELF_SCOUT_IMPORT'!$F$42:$F$1040,SUBSTITUTE(SUBSTITUTE(SUBSTITUTE($N611,"~","~~"),"*","~*"),"?","~?"),'DEF_SELF_SCOUT_IMPORT'!$G$42:$G$1040,SUBSTITUTE(SUBSTITUTE(SUBSTITUTE($O611,"~","~~"),"*","~*"),"?","~?"))</f>
        <v>1</v>
      </c>
      <c r="D611" s="10">
        <f>IF($C611=0,"",SUMIFS('DEF_SELF_SCOUT_IMPORT'!$J$42:$J$1040,'DEF_SELF_SCOUT_IMPORT'!$L$42:$L$1040,"Y",'DEF_SELF_SCOUT_IMPORT'!$E$42:$E$1040,SUBSTITUTE(SUBSTITUTE(SUBSTITUTE($B611,"~","~~"),"*","~*"),"?","~?"),'DEF_SELF_SCOUT_IMPORT'!$Q$42:$Q$1040,SUBSTITUTE(SUBSTITUTE(SUBSTITUTE($M611,"~","~~"),"*","~*"),"?","~?"),'DEF_SELF_SCOUT_IMPORT'!$F$42:$F$1040,SUBSTITUTE(SUBSTITUTE(SUBSTITUTE($N611,"~","~~"),"*","~*"),"?","~?"),'DEF_SELF_SCOUT_IMPORT'!$G$42:$G$1040,SUBSTITUTE(SUBSTITUTE(SUBSTITUTE($O611,"~","~~"),"*","~*"),"?","~?"))/$C611)</f>
        <v>0.0</v>
      </c>
      <c r="E611" s="10">
        <f>IF($C611=0,"",SUMIFS('DEF_SELF_SCOUT_IMPORT'!$K$42:$K$1040,'DEF_SELF_SCOUT_IMPORT'!$L$42:$L$1040,"Y",'DEF_SELF_SCOUT_IMPORT'!$E$42:$E$1040,SUBSTITUTE(SUBSTITUTE(SUBSTITUTE($B611,"~","~~"),"*","~*"),"?","~?"),'DEF_SELF_SCOUT_IMPORT'!$Q$42:$Q$1040,SUBSTITUTE(SUBSTITUTE(SUBSTITUTE($M611,"~","~~"),"*","~*"),"?","~?"),'DEF_SELF_SCOUT_IMPORT'!$F$42:$F$1040,SUBSTITUTE(SUBSTITUTE(SUBSTITUTE($N611,"~","~~"),"*","~*"),"?","~?"),'DEF_SELF_SCOUT_IMPORT'!$G$42:$G$1040,SUBSTITUTE(SUBSTITUTE(SUBSTITUTE($O611,"~","~~"),"*","~*"),"?","~?"))/$C611)</f>
        <v>0.0</v>
      </c>
      <c r="F611" s="11">
        <f>IF($C611=0,"",AVERAGEIFS('DEF_SELF_SCOUT_IMPORT'!$I$42:$I$1040,'DEF_SELF_SCOUT_IMPORT'!$L$42:$L$1040,"Y",'DEF_SELF_SCOUT_IMPORT'!$E$42:$E$1040,SUBSTITUTE(SUBSTITUTE(SUBSTITUTE($B611,"~","~~"),"*","~*"),"?","~?"),'DEF_SELF_SCOUT_IMPORT'!$Q$42:$Q$1040,SUBSTITUTE(SUBSTITUTE(SUBSTITUTE($M611,"~","~~"),"*","~*"),"?","~?"),'DEF_SELF_SCOUT_IMPORT'!$F$42:$F$1040,SUBSTITUTE(SUBSTITUTE(SUBSTITUTE($N611,"~","~~"),"*","~*"),"?","~?"),'DEF_SELF_SCOUT_IMPORT'!$G$42:$G$1040,SUBSTITUTE(SUBSTITUTE(SUBSTITUTE($O611,"~","~~"),"*","~*"),"?","~?")))</f>
        <v>7.0</v>
      </c>
      <c r="G611" s="10">
        <f>IF($C611=0,"",COUNTIFS('DEF_SELF_SCOUT_IMPORT'!$L$42:$L$1040,"Y",'DEF_SELF_SCOUT_IMPORT'!$E$42:$E$1040,SUBSTITUTE(SUBSTITUTE(SUBSTITUTE($B611,"~","~~"),"*","~*"),"?","~?"),'DEF_SELF_SCOUT_IMPORT'!$Q$42:$Q$1040,SUBSTITUTE(SUBSTITUTE(SUBSTITUTE($M611,"~","~~"),"*","~*"),"?","~?"),'DEF_SELF_SCOUT_IMPORT'!$F$42:$F$1040,SUBSTITUTE(SUBSTITUTE(SUBSTITUTE($N611,"~","~~"),"*","~*"),"?","~?"),'DEF_SELF_SCOUT_IMPORT'!$G$42:$G$1040,SUBSTITUTE(SUBSTITUTE(SUBSTITUTE($O611,"~","~~"),"*","~*"),"?","~?"),'DEF_SELF_SCOUT_IMPORT'!$H$42:$H$1040,"RUSH")/$C611)</f>
        <v>1.0</v>
      </c>
      <c r="H611" s="10">
        <f>IF($C611=0,"",COUNTIFS('DEF_SELF_SCOUT_IMPORT'!$L$42:$L$1040,"Y",'DEF_SELF_SCOUT_IMPORT'!$E$42:$E$1040,SUBSTITUTE(SUBSTITUTE(SUBSTITUTE($B611,"~","~~"),"*","~*"),"?","~?"),'DEF_SELF_SCOUT_IMPORT'!$Q$42:$Q$1040,SUBSTITUTE(SUBSTITUTE(SUBSTITUTE($M611,"~","~~"),"*","~*"),"?","~?"),'DEF_SELF_SCOUT_IMPORT'!$F$42:$F$1040,SUBSTITUTE(SUBSTITUTE(SUBSTITUTE($N611,"~","~~"),"*","~*"),"?","~?"),'DEF_SELF_SCOUT_IMPORT'!$G$42:$G$1040,SUBSTITUTE(SUBSTITUTE(SUBSTITUTE($O611,"~","~~"),"*","~*"),"?","~?"),'DEF_SELF_SCOUT_IMPORT'!$H$42:$H$1040,"DROPBACK")/$C611)</f>
        <v>0.0</v>
      </c>
      <c r="I611" s="14" t="str">
        <f>IF(C611=0,"",IF(C611&lt;=2,"TRACK",IF(C611=3,"LOW",IF(C611&lt;=6,"MEDIUM","HIGH"))))</f>
        <v>TRACK</v>
      </c>
      <c r="J611" s="11">
        <f>IF(C611=0,"",ROUND(D611*70+(1-E611)*20+MAX(0,MIN(1,(10-F611)/10))*10,1))</f>
        <v>23.0</v>
      </c>
      <c r="K611" s="14" t="str">
        <f>IF(C611=0,"No Evidence",IF(C611&lt;=2,IF(E611&gt;0,"Explosive Alert","Track Only"),IF(C611=3,"Sample Watch",IF(E611&gt;=START_HERE!$B$31,"Explosive Alert",IF(J611&gt;=80,"Strong Candidate",IF(J611&gt;=65,"Good Candidate",IF(J611&gt;=50,"Mixed / Review","Problem Call")))))))</f>
        <v>Track Only</v>
      </c>
      <c r="L611" s="9" t="str">
        <f>IF(COUNTIFS('DEF_SELF_SCOUT_IMPORT'!$L$42:$L$1040,"Y",'DEF_SELF_SCOUT_IMPORT'!$E$42:$E$1040,SUBSTITUTE(SUBSTITUTE(SUBSTITUTE($B611,"~","~~"),"*","~*"),"?","~?"),'DEF_SELF_SCOUT_IMPORT'!$Q$42:$Q$1040,SUBSTITUTE(SUBSTITUTE(SUBSTITUTE($M611,"~","~~"),"*","~*"),"?","~?"),'DEF_SELF_SCOUT_IMPORT'!$F$42:$F$1040,SUBSTITUTE(SUBSTITUTE(SUBSTITUTE($N611,"~","~~"),"*","~*"),"?","~?"),'DEF_SELF_SCOUT_IMPORT'!$G$42:$G$1040,SUBSTITUTE(SUBSTITUTE(SUBSTITUTE($O611,"~","~~"),"*","~*"),"?","~?"),'DEF_SELF_SCOUT_IMPORT'!$J$42:$J$1040,"")&gt;0,"Unscored clean outcome; review result tags before using score.",IF(C611=0,"No matching defensive reps; film confirmation needed.",IF(K611="Explosive Alert","Explosive risk; review clips before using as answer.",IF(C611&lt;=2,"Track only; not enough sample.",IF(C611=3,IF(E611&gt;0,"Sample watch with explosive exposure; review clips and build the sample.",IF(J611&gt;=65,"Good signal, but sample is limited.","Sample watch; review clips and build the sample.")),IF(K611="Problem Call","Problem area; practice or call-sheet review.",IF(K611="Strong Candidate","Strong call-fit candidate; confirm on film.",IF(K611="Good Candidate","Good call-fit signal; confirm on film.","Mixed signal; review fit and execution on film."))))))))</f>
        <v>Track only; not enough sample.</v>
      </c>
      <c r="M611" s="8" t="s">
        <v>39</v>
      </c>
      <c r="N611" s="8" t="s">
        <v>120</v>
      </c>
      <c r="O611" s="8" t="s">
        <v>203</v>
      </c>
      <c r="P611" s="8"/>
      <c r="Q611" s="8"/>
      <c r="R611" s="8" t="s">
        <v>28</v>
      </c>
      <c r="S611" s="2" t="s">
        <v>305</v>
      </c>
      <c r="T611" s="2">
        <f>IF(C611=0,0,IF(C611&gt;=CALL_LOOKUP_BOARD!$B$7,IF(OR(K611="Problem Call",K611="Explosive Alert"),10000000,20000000),0)+IF(C611&gt;=CALL_LOOKUP_BOARD!$B$7,J611*1000+MIN(C611,999),C611*1000+J611)+0.00997700)</f>
        <v>1023.009977</v>
      </c>
      <c r="U611" s="2">
        <f>IF(C611=0,"",IF(COUNTIFS($S$589:$S$803,SUBSTITUTE(SUBSTITUTE(SUBSTITUTE(S611,"~","~~"),"*","~*"),"?","~?"),$T$589:$T$803,"&gt;"&amp;T611)=0,S611,""))</f>
        <v/>
      </c>
    </row>
    <row r="612" spans="1:21" ht="38" customHeight="1">
      <c r="A612" s="8" t="s">
        <v>304</v>
      </c>
      <c r="B612" s="8" t="s">
        <v>65</v>
      </c>
      <c r="C612" s="12">
        <f>COUNTIFS('DEF_SELF_SCOUT_IMPORT'!$L$42:$L$1040,"Y",'DEF_SELF_SCOUT_IMPORT'!$E$42:$E$1040,SUBSTITUTE(SUBSTITUTE(SUBSTITUTE($B612,"~","~~"),"*","~*"),"?","~?"),'DEF_SELF_SCOUT_IMPORT'!$Q$42:$Q$1040,SUBSTITUTE(SUBSTITUTE(SUBSTITUTE($M612,"~","~~"),"*","~*"),"?","~?"),'DEF_SELF_SCOUT_IMPORT'!$F$42:$F$1040,SUBSTITUTE(SUBSTITUTE(SUBSTITUTE($N612,"~","~~"),"*","~*"),"?","~?"),'DEF_SELF_SCOUT_IMPORT'!$G$42:$G$1040,SUBSTITUTE(SUBSTITUTE(SUBSTITUTE($O612,"~","~~"),"*","~*"),"?","~?"))</f>
        <v>1</v>
      </c>
      <c r="D612" s="10">
        <f>IF($C612=0,"",SUMIFS('DEF_SELF_SCOUT_IMPORT'!$J$42:$J$1040,'DEF_SELF_SCOUT_IMPORT'!$L$42:$L$1040,"Y",'DEF_SELF_SCOUT_IMPORT'!$E$42:$E$1040,SUBSTITUTE(SUBSTITUTE(SUBSTITUTE($B612,"~","~~"),"*","~*"),"?","~?"),'DEF_SELF_SCOUT_IMPORT'!$Q$42:$Q$1040,SUBSTITUTE(SUBSTITUTE(SUBSTITUTE($M612,"~","~~"),"*","~*"),"?","~?"),'DEF_SELF_SCOUT_IMPORT'!$F$42:$F$1040,SUBSTITUTE(SUBSTITUTE(SUBSTITUTE($N612,"~","~~"),"*","~*"),"?","~?"),'DEF_SELF_SCOUT_IMPORT'!$G$42:$G$1040,SUBSTITUTE(SUBSTITUTE(SUBSTITUTE($O612,"~","~~"),"*","~*"),"?","~?"))/$C612)</f>
        <v>1.0</v>
      </c>
      <c r="E612" s="10">
        <f>IF($C612=0,"",SUMIFS('DEF_SELF_SCOUT_IMPORT'!$K$42:$K$1040,'DEF_SELF_SCOUT_IMPORT'!$L$42:$L$1040,"Y",'DEF_SELF_SCOUT_IMPORT'!$E$42:$E$1040,SUBSTITUTE(SUBSTITUTE(SUBSTITUTE($B612,"~","~~"),"*","~*"),"?","~?"),'DEF_SELF_SCOUT_IMPORT'!$Q$42:$Q$1040,SUBSTITUTE(SUBSTITUTE(SUBSTITUTE($M612,"~","~~"),"*","~*"),"?","~?"),'DEF_SELF_SCOUT_IMPORT'!$F$42:$F$1040,SUBSTITUTE(SUBSTITUTE(SUBSTITUTE($N612,"~","~~"),"*","~*"),"?","~?"),'DEF_SELF_SCOUT_IMPORT'!$G$42:$G$1040,SUBSTITUTE(SUBSTITUTE(SUBSTITUTE($O612,"~","~~"),"*","~*"),"?","~?"))/$C612)</f>
        <v>0.0</v>
      </c>
      <c r="F612" s="11">
        <f>IF($C612=0,"",AVERAGEIFS('DEF_SELF_SCOUT_IMPORT'!$I$42:$I$1040,'DEF_SELF_SCOUT_IMPORT'!$L$42:$L$1040,"Y",'DEF_SELF_SCOUT_IMPORT'!$E$42:$E$1040,SUBSTITUTE(SUBSTITUTE(SUBSTITUTE($B612,"~","~~"),"*","~*"),"?","~?"),'DEF_SELF_SCOUT_IMPORT'!$Q$42:$Q$1040,SUBSTITUTE(SUBSTITUTE(SUBSTITUTE($M612,"~","~~"),"*","~*"),"?","~?"),'DEF_SELF_SCOUT_IMPORT'!$F$42:$F$1040,SUBSTITUTE(SUBSTITUTE(SUBSTITUTE($N612,"~","~~"),"*","~*"),"?","~?"),'DEF_SELF_SCOUT_IMPORT'!$G$42:$G$1040,SUBSTITUTE(SUBSTITUTE(SUBSTITUTE($O612,"~","~~"),"*","~*"),"?","~?")))</f>
        <v>0.0</v>
      </c>
      <c r="G612" s="10">
        <f>IF($C612=0,"",COUNTIFS('DEF_SELF_SCOUT_IMPORT'!$L$42:$L$1040,"Y",'DEF_SELF_SCOUT_IMPORT'!$E$42:$E$1040,SUBSTITUTE(SUBSTITUTE(SUBSTITUTE($B612,"~","~~"),"*","~*"),"?","~?"),'DEF_SELF_SCOUT_IMPORT'!$Q$42:$Q$1040,SUBSTITUTE(SUBSTITUTE(SUBSTITUTE($M612,"~","~~"),"*","~*"),"?","~?"),'DEF_SELF_SCOUT_IMPORT'!$F$42:$F$1040,SUBSTITUTE(SUBSTITUTE(SUBSTITUTE($N612,"~","~~"),"*","~*"),"?","~?"),'DEF_SELF_SCOUT_IMPORT'!$G$42:$G$1040,SUBSTITUTE(SUBSTITUTE(SUBSTITUTE($O612,"~","~~"),"*","~*"),"?","~?"),'DEF_SELF_SCOUT_IMPORT'!$H$42:$H$1040,"RUSH")/$C612)</f>
        <v>0.0</v>
      </c>
      <c r="H612" s="10">
        <f>IF($C612=0,"",COUNTIFS('DEF_SELF_SCOUT_IMPORT'!$L$42:$L$1040,"Y",'DEF_SELF_SCOUT_IMPORT'!$E$42:$E$1040,SUBSTITUTE(SUBSTITUTE(SUBSTITUTE($B612,"~","~~"),"*","~*"),"?","~?"),'DEF_SELF_SCOUT_IMPORT'!$Q$42:$Q$1040,SUBSTITUTE(SUBSTITUTE(SUBSTITUTE($M612,"~","~~"),"*","~*"),"?","~?"),'DEF_SELF_SCOUT_IMPORT'!$F$42:$F$1040,SUBSTITUTE(SUBSTITUTE(SUBSTITUTE($N612,"~","~~"),"*","~*"),"?","~?"),'DEF_SELF_SCOUT_IMPORT'!$G$42:$G$1040,SUBSTITUTE(SUBSTITUTE(SUBSTITUTE($O612,"~","~~"),"*","~*"),"?","~?"),'DEF_SELF_SCOUT_IMPORT'!$H$42:$H$1040,"DROPBACK")/$C612)</f>
        <v>1.0</v>
      </c>
      <c r="I612" s="14" t="str">
        <f>IF(C612=0,"",IF(C612&lt;=2,"TRACK",IF(C612=3,"LOW",IF(C612&lt;=6,"MEDIUM","HIGH"))))</f>
        <v>TRACK</v>
      </c>
      <c r="J612" s="11">
        <f>IF(C612=0,"",ROUND(D612*70+(1-E612)*20+MAX(0,MIN(1,(10-F612)/10))*10,1))</f>
        <v>100.0</v>
      </c>
      <c r="K612" s="14" t="str">
        <f>IF(C612=0,"No Evidence",IF(C612&lt;=2,IF(E612&gt;0,"Explosive Alert","Track Only"),IF(C612=3,"Sample Watch",IF(E612&gt;=START_HERE!$B$31,"Explosive Alert",IF(J612&gt;=80,"Strong Candidate",IF(J612&gt;=65,"Good Candidate",IF(J612&gt;=50,"Mixed / Review","Problem Call")))))))</f>
        <v>Track Only</v>
      </c>
      <c r="L612" s="9" t="str">
        <f>IF(COUNTIFS('DEF_SELF_SCOUT_IMPORT'!$L$42:$L$1040,"Y",'DEF_SELF_SCOUT_IMPORT'!$E$42:$E$1040,SUBSTITUTE(SUBSTITUTE(SUBSTITUTE($B612,"~","~~"),"*","~*"),"?","~?"),'DEF_SELF_SCOUT_IMPORT'!$Q$42:$Q$1040,SUBSTITUTE(SUBSTITUTE(SUBSTITUTE($M612,"~","~~"),"*","~*"),"?","~?"),'DEF_SELF_SCOUT_IMPORT'!$F$42:$F$1040,SUBSTITUTE(SUBSTITUTE(SUBSTITUTE($N612,"~","~~"),"*","~*"),"?","~?"),'DEF_SELF_SCOUT_IMPORT'!$G$42:$G$1040,SUBSTITUTE(SUBSTITUTE(SUBSTITUTE($O612,"~","~~"),"*","~*"),"?","~?"),'DEF_SELF_SCOUT_IMPORT'!$J$42:$J$1040,"")&gt;0,"Unscored clean outcome; review result tags before using score.",IF(C612=0,"No matching defensive reps; film confirmation needed.",IF(K612="Explosive Alert","Explosive risk; review clips before using as answer.",IF(C612&lt;=2,"Track only; not enough sample.",IF(C612=3,IF(E612&gt;0,"Sample watch with explosive exposure; review clips and build the sample.",IF(J612&gt;=65,"Good signal, but sample is limited.","Sample watch; review clips and build the sample.")),IF(K612="Problem Call","Problem area; practice or call-sheet review.",IF(K612="Strong Candidate","Strong call-fit candidate; confirm on film.",IF(K612="Good Candidate","Good call-fit signal; confirm on film.","Mixed signal; review fit and execution on film."))))))))</f>
        <v>Track only; not enough sample.</v>
      </c>
      <c r="M612" s="8" t="s">
        <v>39</v>
      </c>
      <c r="N612" s="8" t="s">
        <v>120</v>
      </c>
      <c r="O612" s="8" t="s">
        <v>203</v>
      </c>
      <c r="P612" s="8"/>
      <c r="Q612" s="8"/>
      <c r="R612" s="8" t="s">
        <v>28</v>
      </c>
      <c r="S612" s="2" t="s">
        <v>305</v>
      </c>
      <c r="T612" s="2">
        <f>IF(C612=0,0,IF(C612&gt;=CALL_LOOKUP_BOARD!$B$7,IF(OR(K612="Problem Call",K612="Explosive Alert"),10000000,20000000),0)+IF(C612&gt;=CALL_LOOKUP_BOARD!$B$7,J612*1000+MIN(C612,999),C612*1000+J612)+0.00997600)</f>
        <v>1100.009976</v>
      </c>
      <c r="U612" s="2">
        <f>IF(C612=0,"",IF(COUNTIFS($S$589:$S$803,SUBSTITUTE(SUBSTITUTE(SUBSTITUTE(S612,"~","~~"),"*","~*"),"?","~?"),$T$589:$T$803,"&gt;"&amp;T612)=0,S612,""))</f>
        <v/>
      </c>
    </row>
    <row r="613" spans="1:21" ht="38" customHeight="1">
      <c r="A613" s="8" t="s">
        <v>304</v>
      </c>
      <c r="B613" s="8" t="s">
        <v>67</v>
      </c>
      <c r="C613" s="12">
        <f>COUNTIFS('DEF_SELF_SCOUT_IMPORT'!$L$42:$L$1040,"Y",'DEF_SELF_SCOUT_IMPORT'!$E$42:$E$1040,SUBSTITUTE(SUBSTITUTE(SUBSTITUTE($B613,"~","~~"),"*","~*"),"?","~?"),'DEF_SELF_SCOUT_IMPORT'!$Q$42:$Q$1040,SUBSTITUTE(SUBSTITUTE(SUBSTITUTE($M613,"~","~~"),"*","~*"),"?","~?"),'DEF_SELF_SCOUT_IMPORT'!$F$42:$F$1040,SUBSTITUTE(SUBSTITUTE(SUBSTITUTE($N613,"~","~~"),"*","~*"),"?","~?"),'DEF_SELF_SCOUT_IMPORT'!$G$42:$G$1040,SUBSTITUTE(SUBSTITUTE(SUBSTITUTE($O613,"~","~~"),"*","~*"),"?","~?"))</f>
        <v>1</v>
      </c>
      <c r="D613" s="10">
        <f>IF($C613=0,"",SUMIFS('DEF_SELF_SCOUT_IMPORT'!$J$42:$J$1040,'DEF_SELF_SCOUT_IMPORT'!$L$42:$L$1040,"Y",'DEF_SELF_SCOUT_IMPORT'!$E$42:$E$1040,SUBSTITUTE(SUBSTITUTE(SUBSTITUTE($B613,"~","~~"),"*","~*"),"?","~?"),'DEF_SELF_SCOUT_IMPORT'!$Q$42:$Q$1040,SUBSTITUTE(SUBSTITUTE(SUBSTITUTE($M613,"~","~~"),"*","~*"),"?","~?"),'DEF_SELF_SCOUT_IMPORT'!$F$42:$F$1040,SUBSTITUTE(SUBSTITUTE(SUBSTITUTE($N613,"~","~~"),"*","~*"),"?","~?"),'DEF_SELF_SCOUT_IMPORT'!$G$42:$G$1040,SUBSTITUTE(SUBSTITUTE(SUBSTITUTE($O613,"~","~~"),"*","~*"),"?","~?"))/$C613)</f>
        <v>1.0</v>
      </c>
      <c r="E613" s="10">
        <f>IF($C613=0,"",SUMIFS('DEF_SELF_SCOUT_IMPORT'!$K$42:$K$1040,'DEF_SELF_SCOUT_IMPORT'!$L$42:$L$1040,"Y",'DEF_SELF_SCOUT_IMPORT'!$E$42:$E$1040,SUBSTITUTE(SUBSTITUTE(SUBSTITUTE($B613,"~","~~"),"*","~*"),"?","~?"),'DEF_SELF_SCOUT_IMPORT'!$Q$42:$Q$1040,SUBSTITUTE(SUBSTITUTE(SUBSTITUTE($M613,"~","~~"),"*","~*"),"?","~?"),'DEF_SELF_SCOUT_IMPORT'!$F$42:$F$1040,SUBSTITUTE(SUBSTITUTE(SUBSTITUTE($N613,"~","~~"),"*","~*"),"?","~?"),'DEF_SELF_SCOUT_IMPORT'!$G$42:$G$1040,SUBSTITUTE(SUBSTITUTE(SUBSTITUTE($O613,"~","~~"),"*","~*"),"?","~?"))/$C613)</f>
        <v>0.0</v>
      </c>
      <c r="F613" s="11">
        <f>IF($C613=0,"",AVERAGEIFS('DEF_SELF_SCOUT_IMPORT'!$I$42:$I$1040,'DEF_SELF_SCOUT_IMPORT'!$L$42:$L$1040,"Y",'DEF_SELF_SCOUT_IMPORT'!$E$42:$E$1040,SUBSTITUTE(SUBSTITUTE(SUBSTITUTE($B613,"~","~~"),"*","~*"),"?","~?"),'DEF_SELF_SCOUT_IMPORT'!$Q$42:$Q$1040,SUBSTITUTE(SUBSTITUTE(SUBSTITUTE($M613,"~","~~"),"*","~*"),"?","~?"),'DEF_SELF_SCOUT_IMPORT'!$F$42:$F$1040,SUBSTITUTE(SUBSTITUTE(SUBSTITUTE($N613,"~","~~"),"*","~*"),"?","~?"),'DEF_SELF_SCOUT_IMPORT'!$G$42:$G$1040,SUBSTITUTE(SUBSTITUTE(SUBSTITUTE($O613,"~","~~"),"*","~*"),"?","~?")))</f>
        <v>-5.0</v>
      </c>
      <c r="G613" s="10">
        <f>IF($C613=0,"",COUNTIFS('DEF_SELF_SCOUT_IMPORT'!$L$42:$L$1040,"Y",'DEF_SELF_SCOUT_IMPORT'!$E$42:$E$1040,SUBSTITUTE(SUBSTITUTE(SUBSTITUTE($B613,"~","~~"),"*","~*"),"?","~?"),'DEF_SELF_SCOUT_IMPORT'!$Q$42:$Q$1040,SUBSTITUTE(SUBSTITUTE(SUBSTITUTE($M613,"~","~~"),"*","~*"),"?","~?"),'DEF_SELF_SCOUT_IMPORT'!$F$42:$F$1040,SUBSTITUTE(SUBSTITUTE(SUBSTITUTE($N613,"~","~~"),"*","~*"),"?","~?"),'DEF_SELF_SCOUT_IMPORT'!$G$42:$G$1040,SUBSTITUTE(SUBSTITUTE(SUBSTITUTE($O613,"~","~~"),"*","~*"),"?","~?"),'DEF_SELF_SCOUT_IMPORT'!$H$42:$H$1040,"RUSH")/$C613)</f>
        <v>1.0</v>
      </c>
      <c r="H613" s="10">
        <f>IF($C613=0,"",COUNTIFS('DEF_SELF_SCOUT_IMPORT'!$L$42:$L$1040,"Y",'DEF_SELF_SCOUT_IMPORT'!$E$42:$E$1040,SUBSTITUTE(SUBSTITUTE(SUBSTITUTE($B613,"~","~~"),"*","~*"),"?","~?"),'DEF_SELF_SCOUT_IMPORT'!$Q$42:$Q$1040,SUBSTITUTE(SUBSTITUTE(SUBSTITUTE($M613,"~","~~"),"*","~*"),"?","~?"),'DEF_SELF_SCOUT_IMPORT'!$F$42:$F$1040,SUBSTITUTE(SUBSTITUTE(SUBSTITUTE($N613,"~","~~"),"*","~*"),"?","~?"),'DEF_SELF_SCOUT_IMPORT'!$G$42:$G$1040,SUBSTITUTE(SUBSTITUTE(SUBSTITUTE($O613,"~","~~"),"*","~*"),"?","~?"),'DEF_SELF_SCOUT_IMPORT'!$H$42:$H$1040,"DROPBACK")/$C613)</f>
        <v>0.0</v>
      </c>
      <c r="I613" s="14" t="str">
        <f>IF(C613=0,"",IF(C613&lt;=2,"TRACK",IF(C613=3,"LOW",IF(C613&lt;=6,"MEDIUM","HIGH"))))</f>
        <v>TRACK</v>
      </c>
      <c r="J613" s="11">
        <f>IF(C613=0,"",ROUND(D613*70+(1-E613)*20+MAX(0,MIN(1,(10-F613)/10))*10,1))</f>
        <v>100.0</v>
      </c>
      <c r="K613" s="14" t="str">
        <f>IF(C613=0,"No Evidence",IF(C613&lt;=2,IF(E613&gt;0,"Explosive Alert","Track Only"),IF(C613=3,"Sample Watch",IF(E613&gt;=START_HERE!$B$31,"Explosive Alert",IF(J613&gt;=80,"Strong Candidate",IF(J613&gt;=65,"Good Candidate",IF(J613&gt;=50,"Mixed / Review","Problem Call")))))))</f>
        <v>Track Only</v>
      </c>
      <c r="L613" s="9" t="str">
        <f>IF(COUNTIFS('DEF_SELF_SCOUT_IMPORT'!$L$42:$L$1040,"Y",'DEF_SELF_SCOUT_IMPORT'!$E$42:$E$1040,SUBSTITUTE(SUBSTITUTE(SUBSTITUTE($B613,"~","~~"),"*","~*"),"?","~?"),'DEF_SELF_SCOUT_IMPORT'!$Q$42:$Q$1040,SUBSTITUTE(SUBSTITUTE(SUBSTITUTE($M613,"~","~~"),"*","~*"),"?","~?"),'DEF_SELF_SCOUT_IMPORT'!$F$42:$F$1040,SUBSTITUTE(SUBSTITUTE(SUBSTITUTE($N613,"~","~~"),"*","~*"),"?","~?"),'DEF_SELF_SCOUT_IMPORT'!$G$42:$G$1040,SUBSTITUTE(SUBSTITUTE(SUBSTITUTE($O613,"~","~~"),"*","~*"),"?","~?"),'DEF_SELF_SCOUT_IMPORT'!$J$42:$J$1040,"")&gt;0,"Unscored clean outcome; review result tags before using score.",IF(C613=0,"No matching defensive reps; film confirmation needed.",IF(K613="Explosive Alert","Explosive risk; review clips before using as answer.",IF(C613&lt;=2,"Track only; not enough sample.",IF(C613=3,IF(E613&gt;0,"Sample watch with explosive exposure; review clips and build the sample.",IF(J613&gt;=65,"Good signal, but sample is limited.","Sample watch; review clips and build the sample.")),IF(K613="Problem Call","Problem area; practice or call-sheet review.",IF(K613="Strong Candidate","Strong call-fit candidate; confirm on film.",IF(K613="Good Candidate","Good call-fit signal; confirm on film.","Mixed signal; review fit and execution on film."))))))))</f>
        <v>Track only; not enough sample.</v>
      </c>
      <c r="M613" s="8" t="s">
        <v>39</v>
      </c>
      <c r="N613" s="8" t="s">
        <v>120</v>
      </c>
      <c r="O613" s="8" t="s">
        <v>203</v>
      </c>
      <c r="P613" s="8"/>
      <c r="Q613" s="8"/>
      <c r="R613" s="8" t="s">
        <v>28</v>
      </c>
      <c r="S613" s="2" t="s">
        <v>305</v>
      </c>
      <c r="T613" s="2">
        <f>IF(C613=0,0,IF(C613&gt;=CALL_LOOKUP_BOARD!$B$7,IF(OR(K613="Problem Call",K613="Explosive Alert"),10000000,20000000),0)+IF(C613&gt;=CALL_LOOKUP_BOARD!$B$7,J613*1000+MIN(C613,999),C613*1000+J613)+0.00997500)</f>
        <v>1100.009975</v>
      </c>
      <c r="U613" s="2">
        <f>IF(C613=0,"",IF(COUNTIFS($S$589:$S$803,SUBSTITUTE(SUBSTITUTE(SUBSTITUTE(S613,"~","~~"),"*","~*"),"?","~?"),$T$589:$T$803,"&gt;"&amp;T613)=0,S613,""))</f>
        <v/>
      </c>
    </row>
    <row r="614" spans="1:21" ht="38" customHeight="1">
      <c r="A614" s="8" t="s">
        <v>304</v>
      </c>
      <c r="B614" s="8" t="s">
        <v>68</v>
      </c>
      <c r="C614" s="12">
        <f>COUNTIFS('DEF_SELF_SCOUT_IMPORT'!$L$42:$L$1040,"Y",'DEF_SELF_SCOUT_IMPORT'!$E$42:$E$1040,SUBSTITUTE(SUBSTITUTE(SUBSTITUTE($B614,"~","~~"),"*","~*"),"?","~?"),'DEF_SELF_SCOUT_IMPORT'!$Q$42:$Q$1040,SUBSTITUTE(SUBSTITUTE(SUBSTITUTE($M614,"~","~~"),"*","~*"),"?","~?"),'DEF_SELF_SCOUT_IMPORT'!$F$42:$F$1040,SUBSTITUTE(SUBSTITUTE(SUBSTITUTE($N614,"~","~~"),"*","~*"),"?","~?"),'DEF_SELF_SCOUT_IMPORT'!$G$42:$G$1040,SUBSTITUTE(SUBSTITUTE(SUBSTITUTE($O614,"~","~~"),"*","~*"),"?","~?"))</f>
        <v>1</v>
      </c>
      <c r="D614" s="10">
        <f>IF($C614=0,"",SUMIFS('DEF_SELF_SCOUT_IMPORT'!$J$42:$J$1040,'DEF_SELF_SCOUT_IMPORT'!$L$42:$L$1040,"Y",'DEF_SELF_SCOUT_IMPORT'!$E$42:$E$1040,SUBSTITUTE(SUBSTITUTE(SUBSTITUTE($B614,"~","~~"),"*","~*"),"?","~?"),'DEF_SELF_SCOUT_IMPORT'!$Q$42:$Q$1040,SUBSTITUTE(SUBSTITUTE(SUBSTITUTE($M614,"~","~~"),"*","~*"),"?","~?"),'DEF_SELF_SCOUT_IMPORT'!$F$42:$F$1040,SUBSTITUTE(SUBSTITUTE(SUBSTITUTE($N614,"~","~~"),"*","~*"),"?","~?"),'DEF_SELF_SCOUT_IMPORT'!$G$42:$G$1040,SUBSTITUTE(SUBSTITUTE(SUBSTITUTE($O614,"~","~~"),"*","~*"),"?","~?"))/$C614)</f>
        <v>1.0</v>
      </c>
      <c r="E614" s="10">
        <f>IF($C614=0,"",SUMIFS('DEF_SELF_SCOUT_IMPORT'!$K$42:$K$1040,'DEF_SELF_SCOUT_IMPORT'!$L$42:$L$1040,"Y",'DEF_SELF_SCOUT_IMPORT'!$E$42:$E$1040,SUBSTITUTE(SUBSTITUTE(SUBSTITUTE($B614,"~","~~"),"*","~*"),"?","~?"),'DEF_SELF_SCOUT_IMPORT'!$Q$42:$Q$1040,SUBSTITUTE(SUBSTITUTE(SUBSTITUTE($M614,"~","~~"),"*","~*"),"?","~?"),'DEF_SELF_SCOUT_IMPORT'!$F$42:$F$1040,SUBSTITUTE(SUBSTITUTE(SUBSTITUTE($N614,"~","~~"),"*","~*"),"?","~?"),'DEF_SELF_SCOUT_IMPORT'!$G$42:$G$1040,SUBSTITUTE(SUBSTITUTE(SUBSTITUTE($O614,"~","~~"),"*","~*"),"?","~?"))/$C614)</f>
        <v>0.0</v>
      </c>
      <c r="F614" s="11">
        <f>IF($C614=0,"",AVERAGEIFS('DEF_SELF_SCOUT_IMPORT'!$I$42:$I$1040,'DEF_SELF_SCOUT_IMPORT'!$L$42:$L$1040,"Y",'DEF_SELF_SCOUT_IMPORT'!$E$42:$E$1040,SUBSTITUTE(SUBSTITUTE(SUBSTITUTE($B614,"~","~~"),"*","~*"),"?","~?"),'DEF_SELF_SCOUT_IMPORT'!$Q$42:$Q$1040,SUBSTITUTE(SUBSTITUTE(SUBSTITUTE($M614,"~","~~"),"*","~*"),"?","~?"),'DEF_SELF_SCOUT_IMPORT'!$F$42:$F$1040,SUBSTITUTE(SUBSTITUTE(SUBSTITUTE($N614,"~","~~"),"*","~*"),"?","~?"),'DEF_SELF_SCOUT_IMPORT'!$G$42:$G$1040,SUBSTITUTE(SUBSTITUTE(SUBSTITUTE($O614,"~","~~"),"*","~*"),"?","~?")))</f>
        <v>7.0</v>
      </c>
      <c r="G614" s="10">
        <f>IF($C614=0,"",COUNTIFS('DEF_SELF_SCOUT_IMPORT'!$L$42:$L$1040,"Y",'DEF_SELF_SCOUT_IMPORT'!$E$42:$E$1040,SUBSTITUTE(SUBSTITUTE(SUBSTITUTE($B614,"~","~~"),"*","~*"),"?","~?"),'DEF_SELF_SCOUT_IMPORT'!$Q$42:$Q$1040,SUBSTITUTE(SUBSTITUTE(SUBSTITUTE($M614,"~","~~"),"*","~*"),"?","~?"),'DEF_SELF_SCOUT_IMPORT'!$F$42:$F$1040,SUBSTITUTE(SUBSTITUTE(SUBSTITUTE($N614,"~","~~"),"*","~*"),"?","~?"),'DEF_SELF_SCOUT_IMPORT'!$G$42:$G$1040,SUBSTITUTE(SUBSTITUTE(SUBSTITUTE($O614,"~","~~"),"*","~*"),"?","~?"),'DEF_SELF_SCOUT_IMPORT'!$H$42:$H$1040,"RUSH")/$C614)</f>
        <v>0.0</v>
      </c>
      <c r="H614" s="10">
        <f>IF($C614=0,"",COUNTIFS('DEF_SELF_SCOUT_IMPORT'!$L$42:$L$1040,"Y",'DEF_SELF_SCOUT_IMPORT'!$E$42:$E$1040,SUBSTITUTE(SUBSTITUTE(SUBSTITUTE($B614,"~","~~"),"*","~*"),"?","~?"),'DEF_SELF_SCOUT_IMPORT'!$Q$42:$Q$1040,SUBSTITUTE(SUBSTITUTE(SUBSTITUTE($M614,"~","~~"),"*","~*"),"?","~?"),'DEF_SELF_SCOUT_IMPORT'!$F$42:$F$1040,SUBSTITUTE(SUBSTITUTE(SUBSTITUTE($N614,"~","~~"),"*","~*"),"?","~?"),'DEF_SELF_SCOUT_IMPORT'!$G$42:$G$1040,SUBSTITUTE(SUBSTITUTE(SUBSTITUTE($O614,"~","~~"),"*","~*"),"?","~?"),'DEF_SELF_SCOUT_IMPORT'!$H$42:$H$1040,"DROPBACK")/$C614)</f>
        <v>1.0</v>
      </c>
      <c r="I614" s="14" t="str">
        <f>IF(C614=0,"",IF(C614&lt;=2,"TRACK",IF(C614=3,"LOW",IF(C614&lt;=6,"MEDIUM","HIGH"))))</f>
        <v>TRACK</v>
      </c>
      <c r="J614" s="11">
        <f>IF(C614=0,"",ROUND(D614*70+(1-E614)*20+MAX(0,MIN(1,(10-F614)/10))*10,1))</f>
        <v>93.0</v>
      </c>
      <c r="K614" s="14" t="str">
        <f>IF(C614=0,"No Evidence",IF(C614&lt;=2,IF(E614&gt;0,"Explosive Alert","Track Only"),IF(C614=3,"Sample Watch",IF(E614&gt;=START_HERE!$B$31,"Explosive Alert",IF(J614&gt;=80,"Strong Candidate",IF(J614&gt;=65,"Good Candidate",IF(J614&gt;=50,"Mixed / Review","Problem Call")))))))</f>
        <v>Track Only</v>
      </c>
      <c r="L614" s="9" t="str">
        <f>IF(COUNTIFS('DEF_SELF_SCOUT_IMPORT'!$L$42:$L$1040,"Y",'DEF_SELF_SCOUT_IMPORT'!$E$42:$E$1040,SUBSTITUTE(SUBSTITUTE(SUBSTITUTE($B614,"~","~~"),"*","~*"),"?","~?"),'DEF_SELF_SCOUT_IMPORT'!$Q$42:$Q$1040,SUBSTITUTE(SUBSTITUTE(SUBSTITUTE($M614,"~","~~"),"*","~*"),"?","~?"),'DEF_SELF_SCOUT_IMPORT'!$F$42:$F$1040,SUBSTITUTE(SUBSTITUTE(SUBSTITUTE($N614,"~","~~"),"*","~*"),"?","~?"),'DEF_SELF_SCOUT_IMPORT'!$G$42:$G$1040,SUBSTITUTE(SUBSTITUTE(SUBSTITUTE($O614,"~","~~"),"*","~*"),"?","~?"),'DEF_SELF_SCOUT_IMPORT'!$J$42:$J$1040,"")&gt;0,"Unscored clean outcome; review result tags before using score.",IF(C614=0,"No matching defensive reps; film confirmation needed.",IF(K614="Explosive Alert","Explosive risk; review clips before using as answer.",IF(C614&lt;=2,"Track only; not enough sample.",IF(C614=3,IF(E614&gt;0,"Sample watch with explosive exposure; review clips and build the sample.",IF(J614&gt;=65,"Good signal, but sample is limited.","Sample watch; review clips and build the sample.")),IF(K614="Problem Call","Problem area; practice or call-sheet review.",IF(K614="Strong Candidate","Strong call-fit candidate; confirm on film.",IF(K614="Good Candidate","Good call-fit signal; confirm on film.","Mixed signal; review fit and execution on film."))))))))</f>
        <v>Track only; not enough sample.</v>
      </c>
      <c r="M614" s="8" t="s">
        <v>39</v>
      </c>
      <c r="N614" s="8" t="s">
        <v>120</v>
      </c>
      <c r="O614" s="8" t="s">
        <v>203</v>
      </c>
      <c r="P614" s="8"/>
      <c r="Q614" s="8"/>
      <c r="R614" s="8" t="s">
        <v>28</v>
      </c>
      <c r="S614" s="2" t="s">
        <v>305</v>
      </c>
      <c r="T614" s="2">
        <f>IF(C614=0,0,IF(C614&gt;=CALL_LOOKUP_BOARD!$B$7,IF(OR(K614="Problem Call",K614="Explosive Alert"),10000000,20000000),0)+IF(C614&gt;=CALL_LOOKUP_BOARD!$B$7,J614*1000+MIN(C614,999),C614*1000+J614)+0.00997400)</f>
        <v>1093.009974</v>
      </c>
      <c r="U614" s="2">
        <f>IF(C614=0,"",IF(COUNTIFS($S$589:$S$803,SUBSTITUTE(SUBSTITUTE(SUBSTITUTE(S614,"~","~~"),"*","~*"),"?","~?"),$T$589:$T$803,"&gt;"&amp;T614)=0,S614,""))</f>
        <v/>
      </c>
    </row>
    <row r="615" spans="1:21" ht="38" customHeight="1">
      <c r="A615" s="8" t="s">
        <v>304</v>
      </c>
      <c r="B615" s="8" t="s">
        <v>69</v>
      </c>
      <c r="C615" s="12">
        <f>COUNTIFS('DEF_SELF_SCOUT_IMPORT'!$L$42:$L$1040,"Y",'DEF_SELF_SCOUT_IMPORT'!$E$42:$E$1040,SUBSTITUTE(SUBSTITUTE(SUBSTITUTE($B615,"~","~~"),"*","~*"),"?","~?"),'DEF_SELF_SCOUT_IMPORT'!$Q$42:$Q$1040,SUBSTITUTE(SUBSTITUTE(SUBSTITUTE($M615,"~","~~"),"*","~*"),"?","~?"),'DEF_SELF_SCOUT_IMPORT'!$F$42:$F$1040,SUBSTITUTE(SUBSTITUTE(SUBSTITUTE($N615,"~","~~"),"*","~*"),"?","~?"),'DEF_SELF_SCOUT_IMPORT'!$G$42:$G$1040,SUBSTITUTE(SUBSTITUTE(SUBSTITUTE($O615,"~","~~"),"*","~*"),"?","~?"))</f>
        <v>1</v>
      </c>
      <c r="D615" s="10">
        <f>IF($C615=0,"",SUMIFS('DEF_SELF_SCOUT_IMPORT'!$J$42:$J$1040,'DEF_SELF_SCOUT_IMPORT'!$L$42:$L$1040,"Y",'DEF_SELF_SCOUT_IMPORT'!$E$42:$E$1040,SUBSTITUTE(SUBSTITUTE(SUBSTITUTE($B615,"~","~~"),"*","~*"),"?","~?"),'DEF_SELF_SCOUT_IMPORT'!$Q$42:$Q$1040,SUBSTITUTE(SUBSTITUTE(SUBSTITUTE($M615,"~","~~"),"*","~*"),"?","~?"),'DEF_SELF_SCOUT_IMPORT'!$F$42:$F$1040,SUBSTITUTE(SUBSTITUTE(SUBSTITUTE($N615,"~","~~"),"*","~*"),"?","~?"),'DEF_SELF_SCOUT_IMPORT'!$G$42:$G$1040,SUBSTITUTE(SUBSTITUTE(SUBSTITUTE($O615,"~","~~"),"*","~*"),"?","~?"))/$C615)</f>
        <v>1.0</v>
      </c>
      <c r="E615" s="10">
        <f>IF($C615=0,"",SUMIFS('DEF_SELF_SCOUT_IMPORT'!$K$42:$K$1040,'DEF_SELF_SCOUT_IMPORT'!$L$42:$L$1040,"Y",'DEF_SELF_SCOUT_IMPORT'!$E$42:$E$1040,SUBSTITUTE(SUBSTITUTE(SUBSTITUTE($B615,"~","~~"),"*","~*"),"?","~?"),'DEF_SELF_SCOUT_IMPORT'!$Q$42:$Q$1040,SUBSTITUTE(SUBSTITUTE(SUBSTITUTE($M615,"~","~~"),"*","~*"),"?","~?"),'DEF_SELF_SCOUT_IMPORT'!$F$42:$F$1040,SUBSTITUTE(SUBSTITUTE(SUBSTITUTE($N615,"~","~~"),"*","~*"),"?","~?"),'DEF_SELF_SCOUT_IMPORT'!$G$42:$G$1040,SUBSTITUTE(SUBSTITUTE(SUBSTITUTE($O615,"~","~~"),"*","~*"),"?","~?"))/$C615)</f>
        <v>0.0</v>
      </c>
      <c r="F615" s="11">
        <f>IF($C615=0,"",AVERAGEIFS('DEF_SELF_SCOUT_IMPORT'!$I$42:$I$1040,'DEF_SELF_SCOUT_IMPORT'!$L$42:$L$1040,"Y",'DEF_SELF_SCOUT_IMPORT'!$E$42:$E$1040,SUBSTITUTE(SUBSTITUTE(SUBSTITUTE($B615,"~","~~"),"*","~*"),"?","~?"),'DEF_SELF_SCOUT_IMPORT'!$Q$42:$Q$1040,SUBSTITUTE(SUBSTITUTE(SUBSTITUTE($M615,"~","~~"),"*","~*"),"?","~?"),'DEF_SELF_SCOUT_IMPORT'!$F$42:$F$1040,SUBSTITUTE(SUBSTITUTE(SUBSTITUTE($N615,"~","~~"),"*","~*"),"?","~?"),'DEF_SELF_SCOUT_IMPORT'!$G$42:$G$1040,SUBSTITUTE(SUBSTITUTE(SUBSTITUTE($O615,"~","~~"),"*","~*"),"?","~?")))</f>
        <v>0.0</v>
      </c>
      <c r="G615" s="10">
        <f>IF($C615=0,"",COUNTIFS('DEF_SELF_SCOUT_IMPORT'!$L$42:$L$1040,"Y",'DEF_SELF_SCOUT_IMPORT'!$E$42:$E$1040,SUBSTITUTE(SUBSTITUTE(SUBSTITUTE($B615,"~","~~"),"*","~*"),"?","~?"),'DEF_SELF_SCOUT_IMPORT'!$Q$42:$Q$1040,SUBSTITUTE(SUBSTITUTE(SUBSTITUTE($M615,"~","~~"),"*","~*"),"?","~?"),'DEF_SELF_SCOUT_IMPORT'!$F$42:$F$1040,SUBSTITUTE(SUBSTITUTE(SUBSTITUTE($N615,"~","~~"),"*","~*"),"?","~?"),'DEF_SELF_SCOUT_IMPORT'!$G$42:$G$1040,SUBSTITUTE(SUBSTITUTE(SUBSTITUTE($O615,"~","~~"),"*","~*"),"?","~?"),'DEF_SELF_SCOUT_IMPORT'!$H$42:$H$1040,"RUSH")/$C615)</f>
        <v>0.0</v>
      </c>
      <c r="H615" s="10">
        <f>IF($C615=0,"",COUNTIFS('DEF_SELF_SCOUT_IMPORT'!$L$42:$L$1040,"Y",'DEF_SELF_SCOUT_IMPORT'!$E$42:$E$1040,SUBSTITUTE(SUBSTITUTE(SUBSTITUTE($B615,"~","~~"),"*","~*"),"?","~?"),'DEF_SELF_SCOUT_IMPORT'!$Q$42:$Q$1040,SUBSTITUTE(SUBSTITUTE(SUBSTITUTE($M615,"~","~~"),"*","~*"),"?","~?"),'DEF_SELF_SCOUT_IMPORT'!$F$42:$F$1040,SUBSTITUTE(SUBSTITUTE(SUBSTITUTE($N615,"~","~~"),"*","~*"),"?","~?"),'DEF_SELF_SCOUT_IMPORT'!$G$42:$G$1040,SUBSTITUTE(SUBSTITUTE(SUBSTITUTE($O615,"~","~~"),"*","~*"),"?","~?"),'DEF_SELF_SCOUT_IMPORT'!$H$42:$H$1040,"DROPBACK")/$C615)</f>
        <v>1.0</v>
      </c>
      <c r="I615" s="14" t="str">
        <f>IF(C615=0,"",IF(C615&lt;=2,"TRACK",IF(C615=3,"LOW",IF(C615&lt;=6,"MEDIUM","HIGH"))))</f>
        <v>TRACK</v>
      </c>
      <c r="J615" s="11">
        <f>IF(C615=0,"",ROUND(D615*70+(1-E615)*20+MAX(0,MIN(1,(10-F615)/10))*10,1))</f>
        <v>100.0</v>
      </c>
      <c r="K615" s="14" t="str">
        <f>IF(C615=0,"No Evidence",IF(C615&lt;=2,IF(E615&gt;0,"Explosive Alert","Track Only"),IF(C615=3,"Sample Watch",IF(E615&gt;=START_HERE!$B$31,"Explosive Alert",IF(J615&gt;=80,"Strong Candidate",IF(J615&gt;=65,"Good Candidate",IF(J615&gt;=50,"Mixed / Review","Problem Call")))))))</f>
        <v>Track Only</v>
      </c>
      <c r="L615" s="9" t="str">
        <f>IF(COUNTIFS('DEF_SELF_SCOUT_IMPORT'!$L$42:$L$1040,"Y",'DEF_SELF_SCOUT_IMPORT'!$E$42:$E$1040,SUBSTITUTE(SUBSTITUTE(SUBSTITUTE($B615,"~","~~"),"*","~*"),"?","~?"),'DEF_SELF_SCOUT_IMPORT'!$Q$42:$Q$1040,SUBSTITUTE(SUBSTITUTE(SUBSTITUTE($M615,"~","~~"),"*","~*"),"?","~?"),'DEF_SELF_SCOUT_IMPORT'!$F$42:$F$1040,SUBSTITUTE(SUBSTITUTE(SUBSTITUTE($N615,"~","~~"),"*","~*"),"?","~?"),'DEF_SELF_SCOUT_IMPORT'!$G$42:$G$1040,SUBSTITUTE(SUBSTITUTE(SUBSTITUTE($O615,"~","~~"),"*","~*"),"?","~?"),'DEF_SELF_SCOUT_IMPORT'!$J$42:$J$1040,"")&gt;0,"Unscored clean outcome; review result tags before using score.",IF(C615=0,"No matching defensive reps; film confirmation needed.",IF(K615="Explosive Alert","Explosive risk; review clips before using as answer.",IF(C615&lt;=2,"Track only; not enough sample.",IF(C615=3,IF(E615&gt;0,"Sample watch with explosive exposure; review clips and build the sample.",IF(J615&gt;=65,"Good signal, but sample is limited.","Sample watch; review clips and build the sample.")),IF(K615="Problem Call","Problem area; practice or call-sheet review.",IF(K615="Strong Candidate","Strong call-fit candidate; confirm on film.",IF(K615="Good Candidate","Good call-fit signal; confirm on film.","Mixed signal; review fit and execution on film."))))))))</f>
        <v>Track only; not enough sample.</v>
      </c>
      <c r="M615" s="8" t="s">
        <v>39</v>
      </c>
      <c r="N615" s="8" t="s">
        <v>120</v>
      </c>
      <c r="O615" s="8" t="s">
        <v>203</v>
      </c>
      <c r="P615" s="8"/>
      <c r="Q615" s="8"/>
      <c r="R615" s="8" t="s">
        <v>28</v>
      </c>
      <c r="S615" s="2" t="s">
        <v>305</v>
      </c>
      <c r="T615" s="2">
        <f>IF(C615=0,0,IF(C615&gt;=CALL_LOOKUP_BOARD!$B$7,IF(OR(K615="Problem Call",K615="Explosive Alert"),10000000,20000000),0)+IF(C615&gt;=CALL_LOOKUP_BOARD!$B$7,J615*1000+MIN(C615,999),C615*1000+J615)+0.00997300)</f>
        <v>1100.009973</v>
      </c>
      <c r="U615" s="2">
        <f>IF(C615=0,"",IF(COUNTIFS($S$589:$S$803,SUBSTITUTE(SUBSTITUTE(SUBSTITUTE(S615,"~","~~"),"*","~*"),"?","~?"),$T$589:$T$803,"&gt;"&amp;T615)=0,S615,""))</f>
        <v/>
      </c>
    </row>
    <row r="616" spans="1:21" ht="38" customHeight="1">
      <c r="A616" s="8" t="s">
        <v>306</v>
      </c>
      <c r="B616" s="8" t="s">
        <v>42</v>
      </c>
      <c r="C616" s="12">
        <f>COUNTIFS('DEF_SELF_SCOUT_IMPORT'!$L$42:$L$1040,"Y",'DEF_SELF_SCOUT_IMPORT'!$E$42:$E$1040,SUBSTITUTE(SUBSTITUTE(SUBSTITUTE($B616,"~","~~"),"*","~*"),"?","~?"),'DEF_SELF_SCOUT_IMPORT'!$Q$42:$Q$1040,SUBSTITUTE(SUBSTITUTE(SUBSTITUTE($M616,"~","~~"),"*","~*"),"?","~?"),'DEF_SELF_SCOUT_IMPORT'!$F$42:$F$1040,SUBSTITUTE(SUBSTITUTE(SUBSTITUTE($N616,"~","~~"),"*","~*"),"?","~?"),'DEF_SELF_SCOUT_IMPORT'!$G$42:$G$1040,SUBSTITUTE(SUBSTITUTE(SUBSTITUTE($O616,"~","~~"),"*","~*"),"?","~?"))</f>
        <v>1</v>
      </c>
      <c r="D616" s="10">
        <f>IF($C616=0,"",SUMIFS('DEF_SELF_SCOUT_IMPORT'!$J$42:$J$1040,'DEF_SELF_SCOUT_IMPORT'!$L$42:$L$1040,"Y",'DEF_SELF_SCOUT_IMPORT'!$E$42:$E$1040,SUBSTITUTE(SUBSTITUTE(SUBSTITUTE($B616,"~","~~"),"*","~*"),"?","~?"),'DEF_SELF_SCOUT_IMPORT'!$Q$42:$Q$1040,SUBSTITUTE(SUBSTITUTE(SUBSTITUTE($M616,"~","~~"),"*","~*"),"?","~?"),'DEF_SELF_SCOUT_IMPORT'!$F$42:$F$1040,SUBSTITUTE(SUBSTITUTE(SUBSTITUTE($N616,"~","~~"),"*","~*"),"?","~?"),'DEF_SELF_SCOUT_IMPORT'!$G$42:$G$1040,SUBSTITUTE(SUBSTITUTE(SUBSTITUTE($O616,"~","~~"),"*","~*"),"?","~?"))/$C616)</f>
        <v>0.0</v>
      </c>
      <c r="E616" s="10">
        <f>IF($C616=0,"",SUMIFS('DEF_SELF_SCOUT_IMPORT'!$K$42:$K$1040,'DEF_SELF_SCOUT_IMPORT'!$L$42:$L$1040,"Y",'DEF_SELF_SCOUT_IMPORT'!$E$42:$E$1040,SUBSTITUTE(SUBSTITUTE(SUBSTITUTE($B616,"~","~~"),"*","~*"),"?","~?"),'DEF_SELF_SCOUT_IMPORT'!$Q$42:$Q$1040,SUBSTITUTE(SUBSTITUTE(SUBSTITUTE($M616,"~","~~"),"*","~*"),"?","~?"),'DEF_SELF_SCOUT_IMPORT'!$F$42:$F$1040,SUBSTITUTE(SUBSTITUTE(SUBSTITUTE($N616,"~","~~"),"*","~*"),"?","~?"),'DEF_SELF_SCOUT_IMPORT'!$G$42:$G$1040,SUBSTITUTE(SUBSTITUTE(SUBSTITUTE($O616,"~","~~"),"*","~*"),"?","~?"))/$C616)</f>
        <v>0.0</v>
      </c>
      <c r="F616" s="11">
        <f>IF($C616=0,"",AVERAGEIFS('DEF_SELF_SCOUT_IMPORT'!$I$42:$I$1040,'DEF_SELF_SCOUT_IMPORT'!$L$42:$L$1040,"Y",'DEF_SELF_SCOUT_IMPORT'!$E$42:$E$1040,SUBSTITUTE(SUBSTITUTE(SUBSTITUTE($B616,"~","~~"),"*","~*"),"?","~?"),'DEF_SELF_SCOUT_IMPORT'!$Q$42:$Q$1040,SUBSTITUTE(SUBSTITUTE(SUBSTITUTE($M616,"~","~~"),"*","~*"),"?","~?"),'DEF_SELF_SCOUT_IMPORT'!$F$42:$F$1040,SUBSTITUTE(SUBSTITUTE(SUBSTITUTE($N616,"~","~~"),"*","~*"),"?","~?"),'DEF_SELF_SCOUT_IMPORT'!$G$42:$G$1040,SUBSTITUTE(SUBSTITUTE(SUBSTITUTE($O616,"~","~~"),"*","~*"),"?","~?")))</f>
        <v>14.0</v>
      </c>
      <c r="G616" s="10">
        <f>IF($C616=0,"",COUNTIFS('DEF_SELF_SCOUT_IMPORT'!$L$42:$L$1040,"Y",'DEF_SELF_SCOUT_IMPORT'!$E$42:$E$1040,SUBSTITUTE(SUBSTITUTE(SUBSTITUTE($B616,"~","~~"),"*","~*"),"?","~?"),'DEF_SELF_SCOUT_IMPORT'!$Q$42:$Q$1040,SUBSTITUTE(SUBSTITUTE(SUBSTITUTE($M616,"~","~~"),"*","~*"),"?","~?"),'DEF_SELF_SCOUT_IMPORT'!$F$42:$F$1040,SUBSTITUTE(SUBSTITUTE(SUBSTITUTE($N616,"~","~~"),"*","~*"),"?","~?"),'DEF_SELF_SCOUT_IMPORT'!$G$42:$G$1040,SUBSTITUTE(SUBSTITUTE(SUBSTITUTE($O616,"~","~~"),"*","~*"),"?","~?"),'DEF_SELF_SCOUT_IMPORT'!$H$42:$H$1040,"RUSH")/$C616)</f>
        <v>0.0</v>
      </c>
      <c r="H616" s="10">
        <f>IF($C616=0,"",COUNTIFS('DEF_SELF_SCOUT_IMPORT'!$L$42:$L$1040,"Y",'DEF_SELF_SCOUT_IMPORT'!$E$42:$E$1040,SUBSTITUTE(SUBSTITUTE(SUBSTITUTE($B616,"~","~~"),"*","~*"),"?","~?"),'DEF_SELF_SCOUT_IMPORT'!$Q$42:$Q$1040,SUBSTITUTE(SUBSTITUTE(SUBSTITUTE($M616,"~","~~"),"*","~*"),"?","~?"),'DEF_SELF_SCOUT_IMPORT'!$F$42:$F$1040,SUBSTITUTE(SUBSTITUTE(SUBSTITUTE($N616,"~","~~"),"*","~*"),"?","~?"),'DEF_SELF_SCOUT_IMPORT'!$G$42:$G$1040,SUBSTITUTE(SUBSTITUTE(SUBSTITUTE($O616,"~","~~"),"*","~*"),"?","~?"),'DEF_SELF_SCOUT_IMPORT'!$H$42:$H$1040,"DROPBACK")/$C616)</f>
        <v>1.0</v>
      </c>
      <c r="I616" s="14" t="str">
        <f>IF(C616=0,"",IF(C616&lt;=2,"TRACK",IF(C616=3,"LOW",IF(C616&lt;=6,"MEDIUM","HIGH"))))</f>
        <v>TRACK</v>
      </c>
      <c r="J616" s="11">
        <f>IF(C616=0,"",ROUND(D616*70+(1-E616)*20+MAX(0,MIN(1,(10-F616)/10))*10,1))</f>
        <v>20.0</v>
      </c>
      <c r="K616" s="14" t="str">
        <f>IF(C616=0,"No Evidence",IF(C616&lt;=2,IF(E616&gt;0,"Explosive Alert","Track Only"),IF(C616=3,"Sample Watch",IF(E616&gt;=START_HERE!$B$31,"Explosive Alert",IF(J616&gt;=80,"Strong Candidate",IF(J616&gt;=65,"Good Candidate",IF(J616&gt;=50,"Mixed / Review","Problem Call")))))))</f>
        <v>Track Only</v>
      </c>
      <c r="L616" s="9" t="str">
        <f>IF(COUNTIFS('DEF_SELF_SCOUT_IMPORT'!$L$42:$L$1040,"Y",'DEF_SELF_SCOUT_IMPORT'!$E$42:$E$1040,SUBSTITUTE(SUBSTITUTE(SUBSTITUTE($B616,"~","~~"),"*","~*"),"?","~?"),'DEF_SELF_SCOUT_IMPORT'!$Q$42:$Q$1040,SUBSTITUTE(SUBSTITUTE(SUBSTITUTE($M616,"~","~~"),"*","~*"),"?","~?"),'DEF_SELF_SCOUT_IMPORT'!$F$42:$F$1040,SUBSTITUTE(SUBSTITUTE(SUBSTITUTE($N616,"~","~~"),"*","~*"),"?","~?"),'DEF_SELF_SCOUT_IMPORT'!$G$42:$G$1040,SUBSTITUTE(SUBSTITUTE(SUBSTITUTE($O616,"~","~~"),"*","~*"),"?","~?"),'DEF_SELF_SCOUT_IMPORT'!$J$42:$J$1040,"")&gt;0,"Unscored clean outcome; review result tags before using score.",IF(C616=0,"No matching defensive reps; film confirmation needed.",IF(K616="Explosive Alert","Explosive risk; review clips before using as answer.",IF(C616&lt;=2,"Track only; not enough sample.",IF(C616=3,IF(E616&gt;0,"Sample watch with explosive exposure; review clips and build the sample.",IF(J616&gt;=65,"Good signal, but sample is limited.","Sample watch; review clips and build the sample.")),IF(K616="Problem Call","Problem area; practice or call-sheet review.",IF(K616="Strong Candidate","Strong call-fit candidate; confirm on film.",IF(K616="Good Candidate","Good call-fit signal; confirm on film.","Mixed signal; review fit and execution on film."))))))))</f>
        <v>Track only; not enough sample.</v>
      </c>
      <c r="M616" s="8" t="s">
        <v>39</v>
      </c>
      <c r="N616" s="8" t="s">
        <v>120</v>
      </c>
      <c r="O616" s="8" t="s">
        <v>206</v>
      </c>
      <c r="P616" s="8"/>
      <c r="Q616" s="8"/>
      <c r="R616" s="8" t="s">
        <v>28</v>
      </c>
      <c r="S616" s="2" t="s">
        <v>307</v>
      </c>
      <c r="T616" s="2">
        <f>IF(C616=0,0,IF(C616&gt;=CALL_LOOKUP_BOARD!$B$7,IF(OR(K616="Problem Call",K616="Explosive Alert"),10000000,20000000),0)+IF(C616&gt;=CALL_LOOKUP_BOARD!$B$7,J616*1000+MIN(C616,999),C616*1000+J616)+0.00997200)</f>
        <v>1020.009972</v>
      </c>
      <c r="U616" s="2">
        <f>IF(C616=0,"",IF(COUNTIFS($S$589:$S$803,SUBSTITUTE(SUBSTITUTE(SUBSTITUTE(S616,"~","~~"),"*","~*"),"?","~?"),$T$589:$T$803,"&gt;"&amp;T616)=0,S616,""))</f>
        <v/>
      </c>
    </row>
    <row r="617" spans="1:21" ht="38" customHeight="1">
      <c r="A617" s="8" t="s">
        <v>306</v>
      </c>
      <c r="B617" s="8" t="s">
        <v>43</v>
      </c>
      <c r="C617" s="12">
        <f>COUNTIFS('DEF_SELF_SCOUT_IMPORT'!$L$42:$L$1040,"Y",'DEF_SELF_SCOUT_IMPORT'!$E$42:$E$1040,SUBSTITUTE(SUBSTITUTE(SUBSTITUTE($B617,"~","~~"),"*","~*"),"?","~?"),'DEF_SELF_SCOUT_IMPORT'!$Q$42:$Q$1040,SUBSTITUTE(SUBSTITUTE(SUBSTITUTE($M617,"~","~~"),"*","~*"),"?","~?"),'DEF_SELF_SCOUT_IMPORT'!$F$42:$F$1040,SUBSTITUTE(SUBSTITUTE(SUBSTITUTE($N617,"~","~~"),"*","~*"),"?","~?"),'DEF_SELF_SCOUT_IMPORT'!$G$42:$G$1040,SUBSTITUTE(SUBSTITUTE(SUBSTITUTE($O617,"~","~~"),"*","~*"),"?","~?"))</f>
        <v>2</v>
      </c>
      <c r="D617" s="10">
        <f>IF($C617=0,"",SUMIFS('DEF_SELF_SCOUT_IMPORT'!$J$42:$J$1040,'DEF_SELF_SCOUT_IMPORT'!$L$42:$L$1040,"Y",'DEF_SELF_SCOUT_IMPORT'!$E$42:$E$1040,SUBSTITUTE(SUBSTITUTE(SUBSTITUTE($B617,"~","~~"),"*","~*"),"?","~?"),'DEF_SELF_SCOUT_IMPORT'!$Q$42:$Q$1040,SUBSTITUTE(SUBSTITUTE(SUBSTITUTE($M617,"~","~~"),"*","~*"),"?","~?"),'DEF_SELF_SCOUT_IMPORT'!$F$42:$F$1040,SUBSTITUTE(SUBSTITUTE(SUBSTITUTE($N617,"~","~~"),"*","~*"),"?","~?"),'DEF_SELF_SCOUT_IMPORT'!$G$42:$G$1040,SUBSTITUTE(SUBSTITUTE(SUBSTITUTE($O617,"~","~~"),"*","~*"),"?","~?"))/$C617)</f>
        <v>1.0</v>
      </c>
      <c r="E617" s="10">
        <f>IF($C617=0,"",SUMIFS('DEF_SELF_SCOUT_IMPORT'!$K$42:$K$1040,'DEF_SELF_SCOUT_IMPORT'!$L$42:$L$1040,"Y",'DEF_SELF_SCOUT_IMPORT'!$E$42:$E$1040,SUBSTITUTE(SUBSTITUTE(SUBSTITUTE($B617,"~","~~"),"*","~*"),"?","~?"),'DEF_SELF_SCOUT_IMPORT'!$Q$42:$Q$1040,SUBSTITUTE(SUBSTITUTE(SUBSTITUTE($M617,"~","~~"),"*","~*"),"?","~?"),'DEF_SELF_SCOUT_IMPORT'!$F$42:$F$1040,SUBSTITUTE(SUBSTITUTE(SUBSTITUTE($N617,"~","~~"),"*","~*"),"?","~?"),'DEF_SELF_SCOUT_IMPORT'!$G$42:$G$1040,SUBSTITUTE(SUBSTITUTE(SUBSTITUTE($O617,"~","~~"),"*","~*"),"?","~?"))/$C617)</f>
        <v>0.0</v>
      </c>
      <c r="F617" s="11">
        <f>IF($C617=0,"",AVERAGEIFS('DEF_SELF_SCOUT_IMPORT'!$I$42:$I$1040,'DEF_SELF_SCOUT_IMPORT'!$L$42:$L$1040,"Y",'DEF_SELF_SCOUT_IMPORT'!$E$42:$E$1040,SUBSTITUTE(SUBSTITUTE(SUBSTITUTE($B617,"~","~~"),"*","~*"),"?","~?"),'DEF_SELF_SCOUT_IMPORT'!$Q$42:$Q$1040,SUBSTITUTE(SUBSTITUTE(SUBSTITUTE($M617,"~","~~"),"*","~*"),"?","~?"),'DEF_SELF_SCOUT_IMPORT'!$F$42:$F$1040,SUBSTITUTE(SUBSTITUTE(SUBSTITUTE($N617,"~","~~"),"*","~*"),"?","~?"),'DEF_SELF_SCOUT_IMPORT'!$G$42:$G$1040,SUBSTITUTE(SUBSTITUTE(SUBSTITUTE($O617,"~","~~"),"*","~*"),"?","~?")))</f>
        <v>0.5</v>
      </c>
      <c r="G617" s="10">
        <f>IF($C617=0,"",COUNTIFS('DEF_SELF_SCOUT_IMPORT'!$L$42:$L$1040,"Y",'DEF_SELF_SCOUT_IMPORT'!$E$42:$E$1040,SUBSTITUTE(SUBSTITUTE(SUBSTITUTE($B617,"~","~~"),"*","~*"),"?","~?"),'DEF_SELF_SCOUT_IMPORT'!$Q$42:$Q$1040,SUBSTITUTE(SUBSTITUTE(SUBSTITUTE($M617,"~","~~"),"*","~*"),"?","~?"),'DEF_SELF_SCOUT_IMPORT'!$F$42:$F$1040,SUBSTITUTE(SUBSTITUTE(SUBSTITUTE($N617,"~","~~"),"*","~*"),"?","~?"),'DEF_SELF_SCOUT_IMPORT'!$G$42:$G$1040,SUBSTITUTE(SUBSTITUTE(SUBSTITUTE($O617,"~","~~"),"*","~*"),"?","~?"),'DEF_SELF_SCOUT_IMPORT'!$H$42:$H$1040,"RUSH")/$C617)</f>
        <v>0.5</v>
      </c>
      <c r="H617" s="10">
        <f>IF($C617=0,"",COUNTIFS('DEF_SELF_SCOUT_IMPORT'!$L$42:$L$1040,"Y",'DEF_SELF_SCOUT_IMPORT'!$E$42:$E$1040,SUBSTITUTE(SUBSTITUTE(SUBSTITUTE($B617,"~","~~"),"*","~*"),"?","~?"),'DEF_SELF_SCOUT_IMPORT'!$Q$42:$Q$1040,SUBSTITUTE(SUBSTITUTE(SUBSTITUTE($M617,"~","~~"),"*","~*"),"?","~?"),'DEF_SELF_SCOUT_IMPORT'!$F$42:$F$1040,SUBSTITUTE(SUBSTITUTE(SUBSTITUTE($N617,"~","~~"),"*","~*"),"?","~?"),'DEF_SELF_SCOUT_IMPORT'!$G$42:$G$1040,SUBSTITUTE(SUBSTITUTE(SUBSTITUTE($O617,"~","~~"),"*","~*"),"?","~?"),'DEF_SELF_SCOUT_IMPORT'!$H$42:$H$1040,"DROPBACK")/$C617)</f>
        <v>0.5</v>
      </c>
      <c r="I617" s="14" t="str">
        <f>IF(C617=0,"",IF(C617&lt;=2,"TRACK",IF(C617=3,"LOW",IF(C617&lt;=6,"MEDIUM","HIGH"))))</f>
        <v>TRACK</v>
      </c>
      <c r="J617" s="11">
        <f>IF(C617=0,"",ROUND(D617*70+(1-E617)*20+MAX(0,MIN(1,(10-F617)/10))*10,1))</f>
        <v>99.5</v>
      </c>
      <c r="K617" s="14" t="str">
        <f>IF(C617=0,"No Evidence",IF(C617&lt;=2,IF(E617&gt;0,"Explosive Alert","Track Only"),IF(C617=3,"Sample Watch",IF(E617&gt;=START_HERE!$B$31,"Explosive Alert",IF(J617&gt;=80,"Strong Candidate",IF(J617&gt;=65,"Good Candidate",IF(J617&gt;=50,"Mixed / Review","Problem Call")))))))</f>
        <v>Track Only</v>
      </c>
      <c r="L617" s="9" t="str">
        <f>IF(COUNTIFS('DEF_SELF_SCOUT_IMPORT'!$L$42:$L$1040,"Y",'DEF_SELF_SCOUT_IMPORT'!$E$42:$E$1040,SUBSTITUTE(SUBSTITUTE(SUBSTITUTE($B617,"~","~~"),"*","~*"),"?","~?"),'DEF_SELF_SCOUT_IMPORT'!$Q$42:$Q$1040,SUBSTITUTE(SUBSTITUTE(SUBSTITUTE($M617,"~","~~"),"*","~*"),"?","~?"),'DEF_SELF_SCOUT_IMPORT'!$F$42:$F$1040,SUBSTITUTE(SUBSTITUTE(SUBSTITUTE($N617,"~","~~"),"*","~*"),"?","~?"),'DEF_SELF_SCOUT_IMPORT'!$G$42:$G$1040,SUBSTITUTE(SUBSTITUTE(SUBSTITUTE($O617,"~","~~"),"*","~*"),"?","~?"),'DEF_SELF_SCOUT_IMPORT'!$J$42:$J$1040,"")&gt;0,"Unscored clean outcome; review result tags before using score.",IF(C617=0,"No matching defensive reps; film confirmation needed.",IF(K617="Explosive Alert","Explosive risk; review clips before using as answer.",IF(C617&lt;=2,"Track only; not enough sample.",IF(C617=3,IF(E617&gt;0,"Sample watch with explosive exposure; review clips and build the sample.",IF(J617&gt;=65,"Good signal, but sample is limited.","Sample watch; review clips and build the sample.")),IF(K617="Problem Call","Problem area; practice or call-sheet review.",IF(K617="Strong Candidate","Strong call-fit candidate; confirm on film.",IF(K617="Good Candidate","Good call-fit signal; confirm on film.","Mixed signal; review fit and execution on film."))))))))</f>
        <v>Track only; not enough sample.</v>
      </c>
      <c r="M617" s="8" t="s">
        <v>39</v>
      </c>
      <c r="N617" s="8" t="s">
        <v>120</v>
      </c>
      <c r="O617" s="8" t="s">
        <v>206</v>
      </c>
      <c r="P617" s="8"/>
      <c r="Q617" s="8"/>
      <c r="R617" s="8" t="s">
        <v>28</v>
      </c>
      <c r="S617" s="2" t="s">
        <v>307</v>
      </c>
      <c r="T617" s="2">
        <f>IF(C617=0,0,IF(C617&gt;=CALL_LOOKUP_BOARD!$B$7,IF(OR(K617="Problem Call",K617="Explosive Alert"),10000000,20000000),0)+IF(C617&gt;=CALL_LOOKUP_BOARD!$B$7,J617*1000+MIN(C617,999),C617*1000+J617)+0.00997100)</f>
        <v>2099.509971</v>
      </c>
      <c r="U617" s="2">
        <f>IF(C617=0,"",IF(COUNTIFS($S$589:$S$803,SUBSTITUTE(SUBSTITUTE(SUBSTITUTE(S617,"~","~~"),"*","~*"),"?","~?"),$T$589:$T$803,"&gt;"&amp;T617)=0,S617,""))</f>
        <v/>
      </c>
    </row>
    <row r="618" spans="1:21" ht="38" customHeight="1">
      <c r="A618" s="8" t="s">
        <v>306</v>
      </c>
      <c r="B618" s="8" t="s">
        <v>44</v>
      </c>
      <c r="C618" s="12">
        <f>COUNTIFS('DEF_SELF_SCOUT_IMPORT'!$L$42:$L$1040,"Y",'DEF_SELF_SCOUT_IMPORT'!$E$42:$E$1040,SUBSTITUTE(SUBSTITUTE(SUBSTITUTE($B618,"~","~~"),"*","~*"),"?","~?"),'DEF_SELF_SCOUT_IMPORT'!$Q$42:$Q$1040,SUBSTITUTE(SUBSTITUTE(SUBSTITUTE($M618,"~","~~"),"*","~*"),"?","~?"),'DEF_SELF_SCOUT_IMPORT'!$F$42:$F$1040,SUBSTITUTE(SUBSTITUTE(SUBSTITUTE($N618,"~","~~"),"*","~*"),"?","~?"),'DEF_SELF_SCOUT_IMPORT'!$G$42:$G$1040,SUBSTITUTE(SUBSTITUTE(SUBSTITUTE($O618,"~","~~"),"*","~*"),"?","~?"))</f>
        <v>4</v>
      </c>
      <c r="D618" s="10">
        <f>IF($C618=0,"",SUMIFS('DEF_SELF_SCOUT_IMPORT'!$J$42:$J$1040,'DEF_SELF_SCOUT_IMPORT'!$L$42:$L$1040,"Y",'DEF_SELF_SCOUT_IMPORT'!$E$42:$E$1040,SUBSTITUTE(SUBSTITUTE(SUBSTITUTE($B618,"~","~~"),"*","~*"),"?","~?"),'DEF_SELF_SCOUT_IMPORT'!$Q$42:$Q$1040,SUBSTITUTE(SUBSTITUTE(SUBSTITUTE($M618,"~","~~"),"*","~*"),"?","~?"),'DEF_SELF_SCOUT_IMPORT'!$F$42:$F$1040,SUBSTITUTE(SUBSTITUTE(SUBSTITUTE($N618,"~","~~"),"*","~*"),"?","~?"),'DEF_SELF_SCOUT_IMPORT'!$G$42:$G$1040,SUBSTITUTE(SUBSTITUTE(SUBSTITUTE($O618,"~","~~"),"*","~*"),"?","~?"))/$C618)</f>
        <v>0.75</v>
      </c>
      <c r="E618" s="10">
        <f>IF($C618=0,"",SUMIFS('DEF_SELF_SCOUT_IMPORT'!$K$42:$K$1040,'DEF_SELF_SCOUT_IMPORT'!$L$42:$L$1040,"Y",'DEF_SELF_SCOUT_IMPORT'!$E$42:$E$1040,SUBSTITUTE(SUBSTITUTE(SUBSTITUTE($B618,"~","~~"),"*","~*"),"?","~?"),'DEF_SELF_SCOUT_IMPORT'!$Q$42:$Q$1040,SUBSTITUTE(SUBSTITUTE(SUBSTITUTE($M618,"~","~~"),"*","~*"),"?","~?"),'DEF_SELF_SCOUT_IMPORT'!$F$42:$F$1040,SUBSTITUTE(SUBSTITUTE(SUBSTITUTE($N618,"~","~~"),"*","~*"),"?","~?"),'DEF_SELF_SCOUT_IMPORT'!$G$42:$G$1040,SUBSTITUTE(SUBSTITUTE(SUBSTITUTE($O618,"~","~~"),"*","~*"),"?","~?"))/$C618)</f>
        <v>0.0</v>
      </c>
      <c r="F618" s="11">
        <f>IF($C618=0,"",AVERAGEIFS('DEF_SELF_SCOUT_IMPORT'!$I$42:$I$1040,'DEF_SELF_SCOUT_IMPORT'!$L$42:$L$1040,"Y",'DEF_SELF_SCOUT_IMPORT'!$E$42:$E$1040,SUBSTITUTE(SUBSTITUTE(SUBSTITUTE($B618,"~","~~"),"*","~*"),"?","~?"),'DEF_SELF_SCOUT_IMPORT'!$Q$42:$Q$1040,SUBSTITUTE(SUBSTITUTE(SUBSTITUTE($M618,"~","~~"),"*","~*"),"?","~?"),'DEF_SELF_SCOUT_IMPORT'!$F$42:$F$1040,SUBSTITUTE(SUBSTITUTE(SUBSTITUTE($N618,"~","~~"),"*","~*"),"?","~?"),'DEF_SELF_SCOUT_IMPORT'!$G$42:$G$1040,SUBSTITUTE(SUBSTITUTE(SUBSTITUTE($O618,"~","~~"),"*","~*"),"?","~?")))</f>
        <v>2.75</v>
      </c>
      <c r="G618" s="10">
        <f>IF($C618=0,"",COUNTIFS('DEF_SELF_SCOUT_IMPORT'!$L$42:$L$1040,"Y",'DEF_SELF_SCOUT_IMPORT'!$E$42:$E$1040,SUBSTITUTE(SUBSTITUTE(SUBSTITUTE($B618,"~","~~"),"*","~*"),"?","~?"),'DEF_SELF_SCOUT_IMPORT'!$Q$42:$Q$1040,SUBSTITUTE(SUBSTITUTE(SUBSTITUTE($M618,"~","~~"),"*","~*"),"?","~?"),'DEF_SELF_SCOUT_IMPORT'!$F$42:$F$1040,SUBSTITUTE(SUBSTITUTE(SUBSTITUTE($N618,"~","~~"),"*","~*"),"?","~?"),'DEF_SELF_SCOUT_IMPORT'!$G$42:$G$1040,SUBSTITUTE(SUBSTITUTE(SUBSTITUTE($O618,"~","~~"),"*","~*"),"?","~?"),'DEF_SELF_SCOUT_IMPORT'!$H$42:$H$1040,"RUSH")/$C618)</f>
        <v>0.5</v>
      </c>
      <c r="H618" s="10">
        <f>IF($C618=0,"",COUNTIFS('DEF_SELF_SCOUT_IMPORT'!$L$42:$L$1040,"Y",'DEF_SELF_SCOUT_IMPORT'!$E$42:$E$1040,SUBSTITUTE(SUBSTITUTE(SUBSTITUTE($B618,"~","~~"),"*","~*"),"?","~?"),'DEF_SELF_SCOUT_IMPORT'!$Q$42:$Q$1040,SUBSTITUTE(SUBSTITUTE(SUBSTITUTE($M618,"~","~~"),"*","~*"),"?","~?"),'DEF_SELF_SCOUT_IMPORT'!$F$42:$F$1040,SUBSTITUTE(SUBSTITUTE(SUBSTITUTE($N618,"~","~~"),"*","~*"),"?","~?"),'DEF_SELF_SCOUT_IMPORT'!$G$42:$G$1040,SUBSTITUTE(SUBSTITUTE(SUBSTITUTE($O618,"~","~~"),"*","~*"),"?","~?"),'DEF_SELF_SCOUT_IMPORT'!$H$42:$H$1040,"DROPBACK")/$C618)</f>
        <v>0.5</v>
      </c>
      <c r="I618" s="14" t="str">
        <f>IF(C618=0,"",IF(C618&lt;=2,"TRACK",IF(C618=3,"LOW",IF(C618&lt;=6,"MEDIUM","HIGH"))))</f>
        <v>MEDIUM</v>
      </c>
      <c r="J618" s="11">
        <f>IF(C618=0,"",ROUND(D618*70+(1-E618)*20+MAX(0,MIN(1,(10-F618)/10))*10,1))</f>
        <v>79.8</v>
      </c>
      <c r="K618" s="14" t="str">
        <f>IF(C618=0,"No Evidence",IF(C618&lt;=2,IF(E618&gt;0,"Explosive Alert","Track Only"),IF(C618=3,"Sample Watch",IF(E618&gt;=START_HERE!$B$31,"Explosive Alert",IF(J618&gt;=80,"Strong Candidate",IF(J618&gt;=65,"Good Candidate",IF(J618&gt;=50,"Mixed / Review","Problem Call")))))))</f>
        <v>Good Candidate</v>
      </c>
      <c r="L618" s="9" t="str">
        <f>IF(COUNTIFS('DEF_SELF_SCOUT_IMPORT'!$L$42:$L$1040,"Y",'DEF_SELF_SCOUT_IMPORT'!$E$42:$E$1040,SUBSTITUTE(SUBSTITUTE(SUBSTITUTE($B618,"~","~~"),"*","~*"),"?","~?"),'DEF_SELF_SCOUT_IMPORT'!$Q$42:$Q$1040,SUBSTITUTE(SUBSTITUTE(SUBSTITUTE($M618,"~","~~"),"*","~*"),"?","~?"),'DEF_SELF_SCOUT_IMPORT'!$F$42:$F$1040,SUBSTITUTE(SUBSTITUTE(SUBSTITUTE($N618,"~","~~"),"*","~*"),"?","~?"),'DEF_SELF_SCOUT_IMPORT'!$G$42:$G$1040,SUBSTITUTE(SUBSTITUTE(SUBSTITUTE($O618,"~","~~"),"*","~*"),"?","~?"),'DEF_SELF_SCOUT_IMPORT'!$J$42:$J$1040,"")&gt;0,"Unscored clean outcome; review result tags before using score.",IF(C618=0,"No matching defensive reps; film confirmation needed.",IF(K618="Explosive Alert","Explosive risk; review clips before using as answer.",IF(C618&lt;=2,"Track only; not enough sample.",IF(C618=3,IF(E618&gt;0,"Sample watch with explosive exposure; review clips and build the sample.",IF(J618&gt;=65,"Good signal, but sample is limited.","Sample watch; review clips and build the sample.")),IF(K618="Problem Call","Problem area; practice or call-sheet review.",IF(K618="Strong Candidate","Strong call-fit candidate; confirm on film.",IF(K618="Good Candidate","Good call-fit signal; confirm on film.","Mixed signal; review fit and execution on film."))))))))</f>
        <v>Good call-fit signal; confirm on film.</v>
      </c>
      <c r="M618" s="8" t="s">
        <v>39</v>
      </c>
      <c r="N618" s="8" t="s">
        <v>120</v>
      </c>
      <c r="O618" s="8" t="s">
        <v>206</v>
      </c>
      <c r="P618" s="8"/>
      <c r="Q618" s="8"/>
      <c r="R618" s="8" t="s">
        <v>45</v>
      </c>
      <c r="S618" s="2" t="s">
        <v>307</v>
      </c>
      <c r="T618" s="2">
        <f>IF(C618=0,0,IF(C618&gt;=CALL_LOOKUP_BOARD!$B$7,IF(OR(K618="Problem Call",K618="Explosive Alert"),10000000,20000000),0)+IF(C618&gt;=CALL_LOOKUP_BOARD!$B$7,J618*1000+MIN(C618,999),C618*1000+J618)+0.00997000)</f>
        <v>20079804.00997</v>
      </c>
      <c r="U618" s="2" t="str">
        <f>IF(C618=0,"",IF(COUNTIFS($S$589:$S$803,SUBSTITUTE(SUBSTITUTE(SUBSTITUTE(S618,"~","~~"),"*","~*"),"?","~?"),$T$589:$T$803,"&gt;"&amp;T618)=0,S618,""))</f>
        <v>7:1D 7-10|2:11|3:3X1|</v>
      </c>
    </row>
    <row r="619" spans="1:21" ht="38" customHeight="1">
      <c r="A619" s="8" t="s">
        <v>306</v>
      </c>
      <c r="B619" s="8" t="s">
        <v>34</v>
      </c>
      <c r="C619" s="12">
        <f>COUNTIFS('DEF_SELF_SCOUT_IMPORT'!$L$42:$L$1040,"Y",'DEF_SELF_SCOUT_IMPORT'!$E$42:$E$1040,SUBSTITUTE(SUBSTITUTE(SUBSTITUTE($B619,"~","~~"),"*","~*"),"?","~?"),'DEF_SELF_SCOUT_IMPORT'!$Q$42:$Q$1040,SUBSTITUTE(SUBSTITUTE(SUBSTITUTE($M619,"~","~~"),"*","~*"),"?","~?"),'DEF_SELF_SCOUT_IMPORT'!$F$42:$F$1040,SUBSTITUTE(SUBSTITUTE(SUBSTITUTE($N619,"~","~~"),"*","~*"),"?","~?"),'DEF_SELF_SCOUT_IMPORT'!$G$42:$G$1040,SUBSTITUTE(SUBSTITUTE(SUBSTITUTE($O619,"~","~~"),"*","~*"),"?","~?"))</f>
        <v>2</v>
      </c>
      <c r="D619" s="10">
        <f>IF($C619=0,"",SUMIFS('DEF_SELF_SCOUT_IMPORT'!$J$42:$J$1040,'DEF_SELF_SCOUT_IMPORT'!$L$42:$L$1040,"Y",'DEF_SELF_SCOUT_IMPORT'!$E$42:$E$1040,SUBSTITUTE(SUBSTITUTE(SUBSTITUTE($B619,"~","~~"),"*","~*"),"?","~?"),'DEF_SELF_SCOUT_IMPORT'!$Q$42:$Q$1040,SUBSTITUTE(SUBSTITUTE(SUBSTITUTE($M619,"~","~~"),"*","~*"),"?","~?"),'DEF_SELF_SCOUT_IMPORT'!$F$42:$F$1040,SUBSTITUTE(SUBSTITUTE(SUBSTITUTE($N619,"~","~~"),"*","~*"),"?","~?"),'DEF_SELF_SCOUT_IMPORT'!$G$42:$G$1040,SUBSTITUTE(SUBSTITUTE(SUBSTITUTE($O619,"~","~~"),"*","~*"),"?","~?"))/$C619)</f>
        <v>0.0</v>
      </c>
      <c r="E619" s="10">
        <f>IF($C619=0,"",SUMIFS('DEF_SELF_SCOUT_IMPORT'!$K$42:$K$1040,'DEF_SELF_SCOUT_IMPORT'!$L$42:$L$1040,"Y",'DEF_SELF_SCOUT_IMPORT'!$E$42:$E$1040,SUBSTITUTE(SUBSTITUTE(SUBSTITUTE($B619,"~","~~"),"*","~*"),"?","~?"),'DEF_SELF_SCOUT_IMPORT'!$Q$42:$Q$1040,SUBSTITUTE(SUBSTITUTE(SUBSTITUTE($M619,"~","~~"),"*","~*"),"?","~?"),'DEF_SELF_SCOUT_IMPORT'!$F$42:$F$1040,SUBSTITUTE(SUBSTITUTE(SUBSTITUTE($N619,"~","~~"),"*","~*"),"?","~?"),'DEF_SELF_SCOUT_IMPORT'!$G$42:$G$1040,SUBSTITUTE(SUBSTITUTE(SUBSTITUTE($O619,"~","~~"),"*","~*"),"?","~?"))/$C619)</f>
        <v>0.5</v>
      </c>
      <c r="F619" s="11">
        <f>IF($C619=0,"",AVERAGEIFS('DEF_SELF_SCOUT_IMPORT'!$I$42:$I$1040,'DEF_SELF_SCOUT_IMPORT'!$L$42:$L$1040,"Y",'DEF_SELF_SCOUT_IMPORT'!$E$42:$E$1040,SUBSTITUTE(SUBSTITUTE(SUBSTITUTE($B619,"~","~~"),"*","~*"),"?","~?"),'DEF_SELF_SCOUT_IMPORT'!$Q$42:$Q$1040,SUBSTITUTE(SUBSTITUTE(SUBSTITUTE($M619,"~","~~"),"*","~*"),"?","~?"),'DEF_SELF_SCOUT_IMPORT'!$F$42:$F$1040,SUBSTITUTE(SUBSTITUTE(SUBSTITUTE($N619,"~","~~"),"*","~*"),"?","~?"),'DEF_SELF_SCOUT_IMPORT'!$G$42:$G$1040,SUBSTITUTE(SUBSTITUTE(SUBSTITUTE($O619,"~","~~"),"*","~*"),"?","~?")))</f>
        <v>30.5</v>
      </c>
      <c r="G619" s="10">
        <f>IF($C619=0,"",COUNTIFS('DEF_SELF_SCOUT_IMPORT'!$L$42:$L$1040,"Y",'DEF_SELF_SCOUT_IMPORT'!$E$42:$E$1040,SUBSTITUTE(SUBSTITUTE(SUBSTITUTE($B619,"~","~~"),"*","~*"),"?","~?"),'DEF_SELF_SCOUT_IMPORT'!$Q$42:$Q$1040,SUBSTITUTE(SUBSTITUTE(SUBSTITUTE($M619,"~","~~"),"*","~*"),"?","~?"),'DEF_SELF_SCOUT_IMPORT'!$F$42:$F$1040,SUBSTITUTE(SUBSTITUTE(SUBSTITUTE($N619,"~","~~"),"*","~*"),"?","~?"),'DEF_SELF_SCOUT_IMPORT'!$G$42:$G$1040,SUBSTITUTE(SUBSTITUTE(SUBSTITUTE($O619,"~","~~"),"*","~*"),"?","~?"),'DEF_SELF_SCOUT_IMPORT'!$H$42:$H$1040,"RUSH")/$C619)</f>
        <v>0.5</v>
      </c>
      <c r="H619" s="10">
        <f>IF($C619=0,"",COUNTIFS('DEF_SELF_SCOUT_IMPORT'!$L$42:$L$1040,"Y",'DEF_SELF_SCOUT_IMPORT'!$E$42:$E$1040,SUBSTITUTE(SUBSTITUTE(SUBSTITUTE($B619,"~","~~"),"*","~*"),"?","~?"),'DEF_SELF_SCOUT_IMPORT'!$Q$42:$Q$1040,SUBSTITUTE(SUBSTITUTE(SUBSTITUTE($M619,"~","~~"),"*","~*"),"?","~?"),'DEF_SELF_SCOUT_IMPORT'!$F$42:$F$1040,SUBSTITUTE(SUBSTITUTE(SUBSTITUTE($N619,"~","~~"),"*","~*"),"?","~?"),'DEF_SELF_SCOUT_IMPORT'!$G$42:$G$1040,SUBSTITUTE(SUBSTITUTE(SUBSTITUTE($O619,"~","~~"),"*","~*"),"?","~?"),'DEF_SELF_SCOUT_IMPORT'!$H$42:$H$1040,"DROPBACK")/$C619)</f>
        <v>0.0</v>
      </c>
      <c r="I619" s="14" t="str">
        <f>IF(C619=0,"",IF(C619&lt;=2,"TRACK",IF(C619=3,"LOW",IF(C619&lt;=6,"MEDIUM","HIGH"))))</f>
        <v>TRACK</v>
      </c>
      <c r="J619" s="11">
        <f>IF(C619=0,"",ROUND(D619*70+(1-E619)*20+MAX(0,MIN(1,(10-F619)/10))*10,1))</f>
        <v>10.0</v>
      </c>
      <c r="K619" s="14" t="str">
        <f>IF(C619=0,"No Evidence",IF(C619&lt;=2,IF(E619&gt;0,"Explosive Alert","Track Only"),IF(C619=3,"Sample Watch",IF(E619&gt;=START_HERE!$B$31,"Explosive Alert",IF(J619&gt;=80,"Strong Candidate",IF(J619&gt;=65,"Good Candidate",IF(J619&gt;=50,"Mixed / Review","Problem Call")))))))</f>
        <v>Explosive Alert</v>
      </c>
      <c r="L619" s="9" t="str">
        <f>IF(COUNTIFS('DEF_SELF_SCOUT_IMPORT'!$L$42:$L$1040,"Y",'DEF_SELF_SCOUT_IMPORT'!$E$42:$E$1040,SUBSTITUTE(SUBSTITUTE(SUBSTITUTE($B619,"~","~~"),"*","~*"),"?","~?"),'DEF_SELF_SCOUT_IMPORT'!$Q$42:$Q$1040,SUBSTITUTE(SUBSTITUTE(SUBSTITUTE($M619,"~","~~"),"*","~*"),"?","~?"),'DEF_SELF_SCOUT_IMPORT'!$F$42:$F$1040,SUBSTITUTE(SUBSTITUTE(SUBSTITUTE($N619,"~","~~"),"*","~*"),"?","~?"),'DEF_SELF_SCOUT_IMPORT'!$G$42:$G$1040,SUBSTITUTE(SUBSTITUTE(SUBSTITUTE($O619,"~","~~"),"*","~*"),"?","~?"),'DEF_SELF_SCOUT_IMPORT'!$J$42:$J$1040,"")&gt;0,"Unscored clean outcome; review result tags before using score.",IF(C619=0,"No matching defensive reps; film confirmation needed.",IF(K619="Explosive Alert","Explosive risk; review clips before using as answer.",IF(C619&lt;=2,"Track only; not enough sample.",IF(C619=3,IF(E619&gt;0,"Sample watch with explosive exposure; review clips and build the sample.",IF(J619&gt;=65,"Good signal, but sample is limited.","Sample watch; review clips and build the sample.")),IF(K619="Problem Call","Problem area; practice or call-sheet review.",IF(K619="Strong Candidate","Strong call-fit candidate; confirm on film.",IF(K619="Good Candidate","Good call-fit signal; confirm on film.","Mixed signal; review fit and execution on film."))))))))</f>
        <v>Explosive risk; review clips before using as answer.</v>
      </c>
      <c r="M619" s="8" t="s">
        <v>39</v>
      </c>
      <c r="N619" s="8" t="s">
        <v>120</v>
      </c>
      <c r="O619" s="8" t="s">
        <v>206</v>
      </c>
      <c r="P619" s="8"/>
      <c r="Q619" s="8"/>
      <c r="R619" s="8" t="s">
        <v>28</v>
      </c>
      <c r="S619" s="2" t="s">
        <v>307</v>
      </c>
      <c r="T619" s="2">
        <f>IF(C619=0,0,IF(C619&gt;=CALL_LOOKUP_BOARD!$B$7,IF(OR(K619="Problem Call",K619="Explosive Alert"),10000000,20000000),0)+IF(C619&gt;=CALL_LOOKUP_BOARD!$B$7,J619*1000+MIN(C619,999),C619*1000+J619)+0.00996900)</f>
        <v>2010.009969</v>
      </c>
      <c r="U619" s="2">
        <f>IF(C619=0,"",IF(COUNTIFS($S$589:$S$803,SUBSTITUTE(SUBSTITUTE(SUBSTITUTE(S619,"~","~~"),"*","~*"),"?","~?"),$T$589:$T$803,"&gt;"&amp;T619)=0,S619,""))</f>
        <v/>
      </c>
    </row>
    <row r="620" spans="1:21" ht="38" customHeight="1">
      <c r="A620" s="8" t="s">
        <v>306</v>
      </c>
      <c r="B620" s="8" t="s">
        <v>49</v>
      </c>
      <c r="C620" s="12">
        <f>COUNTIFS('DEF_SELF_SCOUT_IMPORT'!$L$42:$L$1040,"Y",'DEF_SELF_SCOUT_IMPORT'!$E$42:$E$1040,SUBSTITUTE(SUBSTITUTE(SUBSTITUTE($B620,"~","~~"),"*","~*"),"?","~?"),'DEF_SELF_SCOUT_IMPORT'!$Q$42:$Q$1040,SUBSTITUTE(SUBSTITUTE(SUBSTITUTE($M620,"~","~~"),"*","~*"),"?","~?"),'DEF_SELF_SCOUT_IMPORT'!$F$42:$F$1040,SUBSTITUTE(SUBSTITUTE(SUBSTITUTE($N620,"~","~~"),"*","~*"),"?","~?"),'DEF_SELF_SCOUT_IMPORT'!$G$42:$G$1040,SUBSTITUTE(SUBSTITUTE(SUBSTITUTE($O620,"~","~~"),"*","~*"),"?","~?"))</f>
        <v>1</v>
      </c>
      <c r="D620" s="10">
        <f>IF($C620=0,"",SUMIFS('DEF_SELF_SCOUT_IMPORT'!$J$42:$J$1040,'DEF_SELF_SCOUT_IMPORT'!$L$42:$L$1040,"Y",'DEF_SELF_SCOUT_IMPORT'!$E$42:$E$1040,SUBSTITUTE(SUBSTITUTE(SUBSTITUTE($B620,"~","~~"),"*","~*"),"?","~?"),'DEF_SELF_SCOUT_IMPORT'!$Q$42:$Q$1040,SUBSTITUTE(SUBSTITUTE(SUBSTITUTE($M620,"~","~~"),"*","~*"),"?","~?"),'DEF_SELF_SCOUT_IMPORT'!$F$42:$F$1040,SUBSTITUTE(SUBSTITUTE(SUBSTITUTE($N620,"~","~~"),"*","~*"),"?","~?"),'DEF_SELF_SCOUT_IMPORT'!$G$42:$G$1040,SUBSTITUTE(SUBSTITUTE(SUBSTITUTE($O620,"~","~~"),"*","~*"),"?","~?"))/$C620)</f>
        <v>1.0</v>
      </c>
      <c r="E620" s="10">
        <f>IF($C620=0,"",SUMIFS('DEF_SELF_SCOUT_IMPORT'!$K$42:$K$1040,'DEF_SELF_SCOUT_IMPORT'!$L$42:$L$1040,"Y",'DEF_SELF_SCOUT_IMPORT'!$E$42:$E$1040,SUBSTITUTE(SUBSTITUTE(SUBSTITUTE($B620,"~","~~"),"*","~*"),"?","~?"),'DEF_SELF_SCOUT_IMPORT'!$Q$42:$Q$1040,SUBSTITUTE(SUBSTITUTE(SUBSTITUTE($M620,"~","~~"),"*","~*"),"?","~?"),'DEF_SELF_SCOUT_IMPORT'!$F$42:$F$1040,SUBSTITUTE(SUBSTITUTE(SUBSTITUTE($N620,"~","~~"),"*","~*"),"?","~?"),'DEF_SELF_SCOUT_IMPORT'!$G$42:$G$1040,SUBSTITUTE(SUBSTITUTE(SUBSTITUTE($O620,"~","~~"),"*","~*"),"?","~?"))/$C620)</f>
        <v>0.0</v>
      </c>
      <c r="F620" s="11">
        <f>IF($C620=0,"",AVERAGEIFS('DEF_SELF_SCOUT_IMPORT'!$I$42:$I$1040,'DEF_SELF_SCOUT_IMPORT'!$L$42:$L$1040,"Y",'DEF_SELF_SCOUT_IMPORT'!$E$42:$E$1040,SUBSTITUTE(SUBSTITUTE(SUBSTITUTE($B620,"~","~~"),"*","~*"),"?","~?"),'DEF_SELF_SCOUT_IMPORT'!$Q$42:$Q$1040,SUBSTITUTE(SUBSTITUTE(SUBSTITUTE($M620,"~","~~"),"*","~*"),"?","~?"),'DEF_SELF_SCOUT_IMPORT'!$F$42:$F$1040,SUBSTITUTE(SUBSTITUTE(SUBSTITUTE($N620,"~","~~"),"*","~*"),"?","~?"),'DEF_SELF_SCOUT_IMPORT'!$G$42:$G$1040,SUBSTITUTE(SUBSTITUTE(SUBSTITUTE($O620,"~","~~"),"*","~*"),"?","~?")))</f>
        <v>0.0</v>
      </c>
      <c r="G620" s="10">
        <f>IF($C620=0,"",COUNTIFS('DEF_SELF_SCOUT_IMPORT'!$L$42:$L$1040,"Y",'DEF_SELF_SCOUT_IMPORT'!$E$42:$E$1040,SUBSTITUTE(SUBSTITUTE(SUBSTITUTE($B620,"~","~~"),"*","~*"),"?","~?"),'DEF_SELF_SCOUT_IMPORT'!$Q$42:$Q$1040,SUBSTITUTE(SUBSTITUTE(SUBSTITUTE($M620,"~","~~"),"*","~*"),"?","~?"),'DEF_SELF_SCOUT_IMPORT'!$F$42:$F$1040,SUBSTITUTE(SUBSTITUTE(SUBSTITUTE($N620,"~","~~"),"*","~*"),"?","~?"),'DEF_SELF_SCOUT_IMPORT'!$G$42:$G$1040,SUBSTITUTE(SUBSTITUTE(SUBSTITUTE($O620,"~","~~"),"*","~*"),"?","~?"),'DEF_SELF_SCOUT_IMPORT'!$H$42:$H$1040,"RUSH")/$C620)</f>
        <v>0.0</v>
      </c>
      <c r="H620" s="10">
        <f>IF($C620=0,"",COUNTIFS('DEF_SELF_SCOUT_IMPORT'!$L$42:$L$1040,"Y",'DEF_SELF_SCOUT_IMPORT'!$E$42:$E$1040,SUBSTITUTE(SUBSTITUTE(SUBSTITUTE($B620,"~","~~"),"*","~*"),"?","~?"),'DEF_SELF_SCOUT_IMPORT'!$Q$42:$Q$1040,SUBSTITUTE(SUBSTITUTE(SUBSTITUTE($M620,"~","~~"),"*","~*"),"?","~?"),'DEF_SELF_SCOUT_IMPORT'!$F$42:$F$1040,SUBSTITUTE(SUBSTITUTE(SUBSTITUTE($N620,"~","~~"),"*","~*"),"?","~?"),'DEF_SELF_SCOUT_IMPORT'!$G$42:$G$1040,SUBSTITUTE(SUBSTITUTE(SUBSTITUTE($O620,"~","~~"),"*","~*"),"?","~?"),'DEF_SELF_SCOUT_IMPORT'!$H$42:$H$1040,"DROPBACK")/$C620)</f>
        <v>1.0</v>
      </c>
      <c r="I620" s="14" t="str">
        <f>IF(C620=0,"",IF(C620&lt;=2,"TRACK",IF(C620=3,"LOW",IF(C620&lt;=6,"MEDIUM","HIGH"))))</f>
        <v>TRACK</v>
      </c>
      <c r="J620" s="11">
        <f>IF(C620=0,"",ROUND(D620*70+(1-E620)*20+MAX(0,MIN(1,(10-F620)/10))*10,1))</f>
        <v>100.0</v>
      </c>
      <c r="K620" s="14" t="str">
        <f>IF(C620=0,"No Evidence",IF(C620&lt;=2,IF(E620&gt;0,"Explosive Alert","Track Only"),IF(C620=3,"Sample Watch",IF(E620&gt;=START_HERE!$B$31,"Explosive Alert",IF(J620&gt;=80,"Strong Candidate",IF(J620&gt;=65,"Good Candidate",IF(J620&gt;=50,"Mixed / Review","Problem Call")))))))</f>
        <v>Track Only</v>
      </c>
      <c r="L620" s="9" t="str">
        <f>IF(COUNTIFS('DEF_SELF_SCOUT_IMPORT'!$L$42:$L$1040,"Y",'DEF_SELF_SCOUT_IMPORT'!$E$42:$E$1040,SUBSTITUTE(SUBSTITUTE(SUBSTITUTE($B620,"~","~~"),"*","~*"),"?","~?"),'DEF_SELF_SCOUT_IMPORT'!$Q$42:$Q$1040,SUBSTITUTE(SUBSTITUTE(SUBSTITUTE($M620,"~","~~"),"*","~*"),"?","~?"),'DEF_SELF_SCOUT_IMPORT'!$F$42:$F$1040,SUBSTITUTE(SUBSTITUTE(SUBSTITUTE($N620,"~","~~"),"*","~*"),"?","~?"),'DEF_SELF_SCOUT_IMPORT'!$G$42:$G$1040,SUBSTITUTE(SUBSTITUTE(SUBSTITUTE($O620,"~","~~"),"*","~*"),"?","~?"),'DEF_SELF_SCOUT_IMPORT'!$J$42:$J$1040,"")&gt;0,"Unscored clean outcome; review result tags before using score.",IF(C620=0,"No matching defensive reps; film confirmation needed.",IF(K620="Explosive Alert","Explosive risk; review clips before using as answer.",IF(C620&lt;=2,"Track only; not enough sample.",IF(C620=3,IF(E620&gt;0,"Sample watch with explosive exposure; review clips and build the sample.",IF(J620&gt;=65,"Good signal, but sample is limited.","Sample watch; review clips and build the sample.")),IF(K620="Problem Call","Problem area; practice or call-sheet review.",IF(K620="Strong Candidate","Strong call-fit candidate; confirm on film.",IF(K620="Good Candidate","Good call-fit signal; confirm on film.","Mixed signal; review fit and execution on film."))))))))</f>
        <v>Track only; not enough sample.</v>
      </c>
      <c r="M620" s="8" t="s">
        <v>39</v>
      </c>
      <c r="N620" s="8" t="s">
        <v>120</v>
      </c>
      <c r="O620" s="8" t="s">
        <v>206</v>
      </c>
      <c r="P620" s="8"/>
      <c r="Q620" s="8"/>
      <c r="R620" s="8" t="s">
        <v>28</v>
      </c>
      <c r="S620" s="2" t="s">
        <v>307</v>
      </c>
      <c r="T620" s="2">
        <f>IF(C620=0,0,IF(C620&gt;=CALL_LOOKUP_BOARD!$B$7,IF(OR(K620="Problem Call",K620="Explosive Alert"),10000000,20000000),0)+IF(C620&gt;=CALL_LOOKUP_BOARD!$B$7,J620*1000+MIN(C620,999),C620*1000+J620)+0.00996800)</f>
        <v>1100.009968</v>
      </c>
      <c r="U620" s="2">
        <f>IF(C620=0,"",IF(COUNTIFS($S$589:$S$803,SUBSTITUTE(SUBSTITUTE(SUBSTITUTE(S620,"~","~~"),"*","~*"),"?","~?"),$T$589:$T$803,"&gt;"&amp;T620)=0,S620,""))</f>
        <v/>
      </c>
    </row>
    <row r="621" spans="1:21" ht="38" customHeight="1">
      <c r="A621" s="8" t="s">
        <v>306</v>
      </c>
      <c r="B621" s="8" t="s">
        <v>53</v>
      </c>
      <c r="C621" s="12">
        <f>COUNTIFS('DEF_SELF_SCOUT_IMPORT'!$L$42:$L$1040,"Y",'DEF_SELF_SCOUT_IMPORT'!$E$42:$E$1040,SUBSTITUTE(SUBSTITUTE(SUBSTITUTE($B621,"~","~~"),"*","~*"),"?","~?"),'DEF_SELF_SCOUT_IMPORT'!$Q$42:$Q$1040,SUBSTITUTE(SUBSTITUTE(SUBSTITUTE($M621,"~","~~"),"*","~*"),"?","~?"),'DEF_SELF_SCOUT_IMPORT'!$F$42:$F$1040,SUBSTITUTE(SUBSTITUTE(SUBSTITUTE($N621,"~","~~"),"*","~*"),"?","~?"),'DEF_SELF_SCOUT_IMPORT'!$G$42:$G$1040,SUBSTITUTE(SUBSTITUTE(SUBSTITUTE($O621,"~","~~"),"*","~*"),"?","~?"))</f>
        <v>4</v>
      </c>
      <c r="D621" s="10">
        <f>IF($C621=0,"",SUMIFS('DEF_SELF_SCOUT_IMPORT'!$J$42:$J$1040,'DEF_SELF_SCOUT_IMPORT'!$L$42:$L$1040,"Y",'DEF_SELF_SCOUT_IMPORT'!$E$42:$E$1040,SUBSTITUTE(SUBSTITUTE(SUBSTITUTE($B621,"~","~~"),"*","~*"),"?","~?"),'DEF_SELF_SCOUT_IMPORT'!$Q$42:$Q$1040,SUBSTITUTE(SUBSTITUTE(SUBSTITUTE($M621,"~","~~"),"*","~*"),"?","~?"),'DEF_SELF_SCOUT_IMPORT'!$F$42:$F$1040,SUBSTITUTE(SUBSTITUTE(SUBSTITUTE($N621,"~","~~"),"*","~*"),"?","~?"),'DEF_SELF_SCOUT_IMPORT'!$G$42:$G$1040,SUBSTITUTE(SUBSTITUTE(SUBSTITUTE($O621,"~","~~"),"*","~*"),"?","~?"))/$C621)</f>
        <v>0.25</v>
      </c>
      <c r="E621" s="10">
        <f>IF($C621=0,"",SUMIFS('DEF_SELF_SCOUT_IMPORT'!$K$42:$K$1040,'DEF_SELF_SCOUT_IMPORT'!$L$42:$L$1040,"Y",'DEF_SELF_SCOUT_IMPORT'!$E$42:$E$1040,SUBSTITUTE(SUBSTITUTE(SUBSTITUTE($B621,"~","~~"),"*","~*"),"?","~?"),'DEF_SELF_SCOUT_IMPORT'!$Q$42:$Q$1040,SUBSTITUTE(SUBSTITUTE(SUBSTITUTE($M621,"~","~~"),"*","~*"),"?","~?"),'DEF_SELF_SCOUT_IMPORT'!$F$42:$F$1040,SUBSTITUTE(SUBSTITUTE(SUBSTITUTE($N621,"~","~~"),"*","~*"),"?","~?"),'DEF_SELF_SCOUT_IMPORT'!$G$42:$G$1040,SUBSTITUTE(SUBSTITUTE(SUBSTITUTE($O621,"~","~~"),"*","~*"),"?","~?"))/$C621)</f>
        <v>0.0</v>
      </c>
      <c r="F621" s="11">
        <f>IF($C621=0,"",AVERAGEIFS('DEF_SELF_SCOUT_IMPORT'!$I$42:$I$1040,'DEF_SELF_SCOUT_IMPORT'!$L$42:$L$1040,"Y",'DEF_SELF_SCOUT_IMPORT'!$E$42:$E$1040,SUBSTITUTE(SUBSTITUTE(SUBSTITUTE($B621,"~","~~"),"*","~*"),"?","~?"),'DEF_SELF_SCOUT_IMPORT'!$Q$42:$Q$1040,SUBSTITUTE(SUBSTITUTE(SUBSTITUTE($M621,"~","~~"),"*","~*"),"?","~?"),'DEF_SELF_SCOUT_IMPORT'!$F$42:$F$1040,SUBSTITUTE(SUBSTITUTE(SUBSTITUTE($N621,"~","~~"),"*","~*"),"?","~?"),'DEF_SELF_SCOUT_IMPORT'!$G$42:$G$1040,SUBSTITUTE(SUBSTITUTE(SUBSTITUTE($O621,"~","~~"),"*","~*"),"?","~?")))</f>
        <v>5.75</v>
      </c>
      <c r="G621" s="10">
        <f>IF($C621=0,"",COUNTIFS('DEF_SELF_SCOUT_IMPORT'!$L$42:$L$1040,"Y",'DEF_SELF_SCOUT_IMPORT'!$E$42:$E$1040,SUBSTITUTE(SUBSTITUTE(SUBSTITUTE($B621,"~","~~"),"*","~*"),"?","~?"),'DEF_SELF_SCOUT_IMPORT'!$Q$42:$Q$1040,SUBSTITUTE(SUBSTITUTE(SUBSTITUTE($M621,"~","~~"),"*","~*"),"?","~?"),'DEF_SELF_SCOUT_IMPORT'!$F$42:$F$1040,SUBSTITUTE(SUBSTITUTE(SUBSTITUTE($N621,"~","~~"),"*","~*"),"?","~?"),'DEF_SELF_SCOUT_IMPORT'!$G$42:$G$1040,SUBSTITUTE(SUBSTITUTE(SUBSTITUTE($O621,"~","~~"),"*","~*"),"?","~?"),'DEF_SELF_SCOUT_IMPORT'!$H$42:$H$1040,"RUSH")/$C621)</f>
        <v>1.0</v>
      </c>
      <c r="H621" s="10">
        <f>IF($C621=0,"",COUNTIFS('DEF_SELF_SCOUT_IMPORT'!$L$42:$L$1040,"Y",'DEF_SELF_SCOUT_IMPORT'!$E$42:$E$1040,SUBSTITUTE(SUBSTITUTE(SUBSTITUTE($B621,"~","~~"),"*","~*"),"?","~?"),'DEF_SELF_SCOUT_IMPORT'!$Q$42:$Q$1040,SUBSTITUTE(SUBSTITUTE(SUBSTITUTE($M621,"~","~~"),"*","~*"),"?","~?"),'DEF_SELF_SCOUT_IMPORT'!$F$42:$F$1040,SUBSTITUTE(SUBSTITUTE(SUBSTITUTE($N621,"~","~~"),"*","~*"),"?","~?"),'DEF_SELF_SCOUT_IMPORT'!$G$42:$G$1040,SUBSTITUTE(SUBSTITUTE(SUBSTITUTE($O621,"~","~~"),"*","~*"),"?","~?"),'DEF_SELF_SCOUT_IMPORT'!$H$42:$H$1040,"DROPBACK")/$C621)</f>
        <v>0.0</v>
      </c>
      <c r="I621" s="14" t="str">
        <f>IF(C621=0,"",IF(C621&lt;=2,"TRACK",IF(C621=3,"LOW",IF(C621&lt;=6,"MEDIUM","HIGH"))))</f>
        <v>MEDIUM</v>
      </c>
      <c r="J621" s="11">
        <f>IF(C621=0,"",ROUND(D621*70+(1-E621)*20+MAX(0,MIN(1,(10-F621)/10))*10,1))</f>
        <v>41.8</v>
      </c>
      <c r="K621" s="14" t="str">
        <f>IF(C621=0,"No Evidence",IF(C621&lt;=2,IF(E621&gt;0,"Explosive Alert","Track Only"),IF(C621=3,"Sample Watch",IF(E621&gt;=START_HERE!$B$31,"Explosive Alert",IF(J621&gt;=80,"Strong Candidate",IF(J621&gt;=65,"Good Candidate",IF(J621&gt;=50,"Mixed / Review","Problem Call")))))))</f>
        <v>Problem Call</v>
      </c>
      <c r="L621" s="9" t="str">
        <f>IF(COUNTIFS('DEF_SELF_SCOUT_IMPORT'!$L$42:$L$1040,"Y",'DEF_SELF_SCOUT_IMPORT'!$E$42:$E$1040,SUBSTITUTE(SUBSTITUTE(SUBSTITUTE($B621,"~","~~"),"*","~*"),"?","~?"),'DEF_SELF_SCOUT_IMPORT'!$Q$42:$Q$1040,SUBSTITUTE(SUBSTITUTE(SUBSTITUTE($M621,"~","~~"),"*","~*"),"?","~?"),'DEF_SELF_SCOUT_IMPORT'!$F$42:$F$1040,SUBSTITUTE(SUBSTITUTE(SUBSTITUTE($N621,"~","~~"),"*","~*"),"?","~?"),'DEF_SELF_SCOUT_IMPORT'!$G$42:$G$1040,SUBSTITUTE(SUBSTITUTE(SUBSTITUTE($O621,"~","~~"),"*","~*"),"?","~?"),'DEF_SELF_SCOUT_IMPORT'!$J$42:$J$1040,"")&gt;0,"Unscored clean outcome; review result tags before using score.",IF(C621=0,"No matching defensive reps; film confirmation needed.",IF(K621="Explosive Alert","Explosive risk; review clips before using as answer.",IF(C621&lt;=2,"Track only; not enough sample.",IF(C621=3,IF(E621&gt;0,"Sample watch with explosive exposure; review clips and build the sample.",IF(J621&gt;=65,"Good signal, but sample is limited.","Sample watch; review clips and build the sample.")),IF(K621="Problem Call","Problem area; practice or call-sheet review.",IF(K621="Strong Candidate","Strong call-fit candidate; confirm on film.",IF(K621="Good Candidate","Good call-fit signal; confirm on film.","Mixed signal; review fit and execution on film."))))))))</f>
        <v>Problem area; practice or call-sheet review.</v>
      </c>
      <c r="M621" s="8" t="s">
        <v>39</v>
      </c>
      <c r="N621" s="8" t="s">
        <v>120</v>
      </c>
      <c r="O621" s="8" t="s">
        <v>206</v>
      </c>
      <c r="P621" s="8"/>
      <c r="Q621" s="8"/>
      <c r="R621" s="8" t="s">
        <v>45</v>
      </c>
      <c r="S621" s="2" t="s">
        <v>307</v>
      </c>
      <c r="T621" s="2">
        <f>IF(C621=0,0,IF(C621&gt;=CALL_LOOKUP_BOARD!$B$7,IF(OR(K621="Problem Call",K621="Explosive Alert"),10000000,20000000),0)+IF(C621&gt;=CALL_LOOKUP_BOARD!$B$7,J621*1000+MIN(C621,999),C621*1000+J621)+0.00996700)</f>
        <v>10041804.009967</v>
      </c>
      <c r="U621" s="2">
        <f>IF(C621=0,"",IF(COUNTIFS($S$589:$S$803,SUBSTITUTE(SUBSTITUTE(SUBSTITUTE(S621,"~","~~"),"*","~*"),"?","~?"),$T$589:$T$803,"&gt;"&amp;T621)=0,S621,""))</f>
        <v/>
      </c>
    </row>
    <row r="622" spans="1:21" ht="38" customHeight="1">
      <c r="A622" s="8" t="s">
        <v>306</v>
      </c>
      <c r="B622" s="8" t="s">
        <v>57</v>
      </c>
      <c r="C622" s="12">
        <f>COUNTIFS('DEF_SELF_SCOUT_IMPORT'!$L$42:$L$1040,"Y",'DEF_SELF_SCOUT_IMPORT'!$E$42:$E$1040,SUBSTITUTE(SUBSTITUTE(SUBSTITUTE($B622,"~","~~"),"*","~*"),"?","~?"),'DEF_SELF_SCOUT_IMPORT'!$Q$42:$Q$1040,SUBSTITUTE(SUBSTITUTE(SUBSTITUTE($M622,"~","~~"),"*","~*"),"?","~?"),'DEF_SELF_SCOUT_IMPORT'!$F$42:$F$1040,SUBSTITUTE(SUBSTITUTE(SUBSTITUTE($N622,"~","~~"),"*","~*"),"?","~?"),'DEF_SELF_SCOUT_IMPORT'!$G$42:$G$1040,SUBSTITUTE(SUBSTITUTE(SUBSTITUTE($O622,"~","~~"),"*","~*"),"?","~?"))</f>
        <v>1</v>
      </c>
      <c r="D622" s="10">
        <f>IF($C622=0,"",SUMIFS('DEF_SELF_SCOUT_IMPORT'!$J$42:$J$1040,'DEF_SELF_SCOUT_IMPORT'!$L$42:$L$1040,"Y",'DEF_SELF_SCOUT_IMPORT'!$E$42:$E$1040,SUBSTITUTE(SUBSTITUTE(SUBSTITUTE($B622,"~","~~"),"*","~*"),"?","~?"),'DEF_SELF_SCOUT_IMPORT'!$Q$42:$Q$1040,SUBSTITUTE(SUBSTITUTE(SUBSTITUTE($M622,"~","~~"),"*","~*"),"?","~?"),'DEF_SELF_SCOUT_IMPORT'!$F$42:$F$1040,SUBSTITUTE(SUBSTITUTE(SUBSTITUTE($N622,"~","~~"),"*","~*"),"?","~?"),'DEF_SELF_SCOUT_IMPORT'!$G$42:$G$1040,SUBSTITUTE(SUBSTITUTE(SUBSTITUTE($O622,"~","~~"),"*","~*"),"?","~?"))/$C622)</f>
        <v>0.0</v>
      </c>
      <c r="E622" s="10">
        <f>IF($C622=0,"",SUMIFS('DEF_SELF_SCOUT_IMPORT'!$K$42:$K$1040,'DEF_SELF_SCOUT_IMPORT'!$L$42:$L$1040,"Y",'DEF_SELF_SCOUT_IMPORT'!$E$42:$E$1040,SUBSTITUTE(SUBSTITUTE(SUBSTITUTE($B622,"~","~~"),"*","~*"),"?","~?"),'DEF_SELF_SCOUT_IMPORT'!$Q$42:$Q$1040,SUBSTITUTE(SUBSTITUTE(SUBSTITUTE($M622,"~","~~"),"*","~*"),"?","~?"),'DEF_SELF_SCOUT_IMPORT'!$F$42:$F$1040,SUBSTITUTE(SUBSTITUTE(SUBSTITUTE($N622,"~","~~"),"*","~*"),"?","~?"),'DEF_SELF_SCOUT_IMPORT'!$G$42:$G$1040,SUBSTITUTE(SUBSTITUTE(SUBSTITUTE($O622,"~","~~"),"*","~*"),"?","~?"))/$C622)</f>
        <v>0.0</v>
      </c>
      <c r="F622" s="11">
        <f>IF($C622=0,"",AVERAGEIFS('DEF_SELF_SCOUT_IMPORT'!$I$42:$I$1040,'DEF_SELF_SCOUT_IMPORT'!$L$42:$L$1040,"Y",'DEF_SELF_SCOUT_IMPORT'!$E$42:$E$1040,SUBSTITUTE(SUBSTITUTE(SUBSTITUTE($B622,"~","~~"),"*","~*"),"?","~?"),'DEF_SELF_SCOUT_IMPORT'!$Q$42:$Q$1040,SUBSTITUTE(SUBSTITUTE(SUBSTITUTE($M622,"~","~~"),"*","~*"),"?","~?"),'DEF_SELF_SCOUT_IMPORT'!$F$42:$F$1040,SUBSTITUTE(SUBSTITUTE(SUBSTITUTE($N622,"~","~~"),"*","~*"),"?","~?"),'DEF_SELF_SCOUT_IMPORT'!$G$42:$G$1040,SUBSTITUTE(SUBSTITUTE(SUBSTITUTE($O622,"~","~~"),"*","~*"),"?","~?")))</f>
        <v>13.0</v>
      </c>
      <c r="G622" s="10">
        <f>IF($C622=0,"",COUNTIFS('DEF_SELF_SCOUT_IMPORT'!$L$42:$L$1040,"Y",'DEF_SELF_SCOUT_IMPORT'!$E$42:$E$1040,SUBSTITUTE(SUBSTITUTE(SUBSTITUTE($B622,"~","~~"),"*","~*"),"?","~?"),'DEF_SELF_SCOUT_IMPORT'!$Q$42:$Q$1040,SUBSTITUTE(SUBSTITUTE(SUBSTITUTE($M622,"~","~~"),"*","~*"),"?","~?"),'DEF_SELF_SCOUT_IMPORT'!$F$42:$F$1040,SUBSTITUTE(SUBSTITUTE(SUBSTITUTE($N622,"~","~~"),"*","~*"),"?","~?"),'DEF_SELF_SCOUT_IMPORT'!$G$42:$G$1040,SUBSTITUTE(SUBSTITUTE(SUBSTITUTE($O622,"~","~~"),"*","~*"),"?","~?"),'DEF_SELF_SCOUT_IMPORT'!$H$42:$H$1040,"RUSH")/$C622)</f>
        <v>0.0</v>
      </c>
      <c r="H622" s="10">
        <f>IF($C622=0,"",COUNTIFS('DEF_SELF_SCOUT_IMPORT'!$L$42:$L$1040,"Y",'DEF_SELF_SCOUT_IMPORT'!$E$42:$E$1040,SUBSTITUTE(SUBSTITUTE(SUBSTITUTE($B622,"~","~~"),"*","~*"),"?","~?"),'DEF_SELF_SCOUT_IMPORT'!$Q$42:$Q$1040,SUBSTITUTE(SUBSTITUTE(SUBSTITUTE($M622,"~","~~"),"*","~*"),"?","~?"),'DEF_SELF_SCOUT_IMPORT'!$F$42:$F$1040,SUBSTITUTE(SUBSTITUTE(SUBSTITUTE($N622,"~","~~"),"*","~*"),"?","~?"),'DEF_SELF_SCOUT_IMPORT'!$G$42:$G$1040,SUBSTITUTE(SUBSTITUTE(SUBSTITUTE($O622,"~","~~"),"*","~*"),"?","~?"),'DEF_SELF_SCOUT_IMPORT'!$H$42:$H$1040,"DROPBACK")/$C622)</f>
        <v>1.0</v>
      </c>
      <c r="I622" s="14" t="str">
        <f>IF(C622=0,"",IF(C622&lt;=2,"TRACK",IF(C622=3,"LOW",IF(C622&lt;=6,"MEDIUM","HIGH"))))</f>
        <v>TRACK</v>
      </c>
      <c r="J622" s="11">
        <f>IF(C622=0,"",ROUND(D622*70+(1-E622)*20+MAX(0,MIN(1,(10-F622)/10))*10,1))</f>
        <v>20.0</v>
      </c>
      <c r="K622" s="14" t="str">
        <f>IF(C622=0,"No Evidence",IF(C622&lt;=2,IF(E622&gt;0,"Explosive Alert","Track Only"),IF(C622=3,"Sample Watch",IF(E622&gt;=START_HERE!$B$31,"Explosive Alert",IF(J622&gt;=80,"Strong Candidate",IF(J622&gt;=65,"Good Candidate",IF(J622&gt;=50,"Mixed / Review","Problem Call")))))))</f>
        <v>Track Only</v>
      </c>
      <c r="L622" s="9" t="str">
        <f>IF(COUNTIFS('DEF_SELF_SCOUT_IMPORT'!$L$42:$L$1040,"Y",'DEF_SELF_SCOUT_IMPORT'!$E$42:$E$1040,SUBSTITUTE(SUBSTITUTE(SUBSTITUTE($B622,"~","~~"),"*","~*"),"?","~?"),'DEF_SELF_SCOUT_IMPORT'!$Q$42:$Q$1040,SUBSTITUTE(SUBSTITUTE(SUBSTITUTE($M622,"~","~~"),"*","~*"),"?","~?"),'DEF_SELF_SCOUT_IMPORT'!$F$42:$F$1040,SUBSTITUTE(SUBSTITUTE(SUBSTITUTE($N622,"~","~~"),"*","~*"),"?","~?"),'DEF_SELF_SCOUT_IMPORT'!$G$42:$G$1040,SUBSTITUTE(SUBSTITUTE(SUBSTITUTE($O622,"~","~~"),"*","~*"),"?","~?"),'DEF_SELF_SCOUT_IMPORT'!$J$42:$J$1040,"")&gt;0,"Unscored clean outcome; review result tags before using score.",IF(C622=0,"No matching defensive reps; film confirmation needed.",IF(K622="Explosive Alert","Explosive risk; review clips before using as answer.",IF(C622&lt;=2,"Track only; not enough sample.",IF(C622=3,IF(E622&gt;0,"Sample watch with explosive exposure; review clips and build the sample.",IF(J622&gt;=65,"Good signal, but sample is limited.","Sample watch; review clips and build the sample.")),IF(K622="Problem Call","Problem area; practice or call-sheet review.",IF(K622="Strong Candidate","Strong call-fit candidate; confirm on film.",IF(K622="Good Candidate","Good call-fit signal; confirm on film.","Mixed signal; review fit and execution on film."))))))))</f>
        <v>Track only; not enough sample.</v>
      </c>
      <c r="M622" s="8" t="s">
        <v>39</v>
      </c>
      <c r="N622" s="8" t="s">
        <v>120</v>
      </c>
      <c r="O622" s="8" t="s">
        <v>206</v>
      </c>
      <c r="P622" s="8"/>
      <c r="Q622" s="8"/>
      <c r="R622" s="8" t="s">
        <v>28</v>
      </c>
      <c r="S622" s="2" t="s">
        <v>307</v>
      </c>
      <c r="T622" s="2">
        <f>IF(C622=0,0,IF(C622&gt;=CALL_LOOKUP_BOARD!$B$7,IF(OR(K622="Problem Call",K622="Explosive Alert"),10000000,20000000),0)+IF(C622&gt;=CALL_LOOKUP_BOARD!$B$7,J622*1000+MIN(C622,999),C622*1000+J622)+0.00996600)</f>
        <v>1020.009966</v>
      </c>
      <c r="U622" s="2">
        <f>IF(C622=0,"",IF(COUNTIFS($S$589:$S$803,SUBSTITUTE(SUBSTITUTE(SUBSTITUTE(S622,"~","~~"),"*","~*"),"?","~?"),$T$589:$T$803,"&gt;"&amp;T622)=0,S622,""))</f>
        <v/>
      </c>
    </row>
    <row r="623" spans="1:21" ht="38" customHeight="1">
      <c r="A623" s="8" t="s">
        <v>306</v>
      </c>
      <c r="B623" s="8" t="s">
        <v>58</v>
      </c>
      <c r="C623" s="12">
        <f>COUNTIFS('DEF_SELF_SCOUT_IMPORT'!$L$42:$L$1040,"Y",'DEF_SELF_SCOUT_IMPORT'!$E$42:$E$1040,SUBSTITUTE(SUBSTITUTE(SUBSTITUTE($B623,"~","~~"),"*","~*"),"?","~?"),'DEF_SELF_SCOUT_IMPORT'!$Q$42:$Q$1040,SUBSTITUTE(SUBSTITUTE(SUBSTITUTE($M623,"~","~~"),"*","~*"),"?","~?"),'DEF_SELF_SCOUT_IMPORT'!$F$42:$F$1040,SUBSTITUTE(SUBSTITUTE(SUBSTITUTE($N623,"~","~~"),"*","~*"),"?","~?"),'DEF_SELF_SCOUT_IMPORT'!$G$42:$G$1040,SUBSTITUTE(SUBSTITUTE(SUBSTITUTE($O623,"~","~~"),"*","~*"),"?","~?"))</f>
        <v>2</v>
      </c>
      <c r="D623" s="10">
        <f>IF($C623=0,"",SUMIFS('DEF_SELF_SCOUT_IMPORT'!$J$42:$J$1040,'DEF_SELF_SCOUT_IMPORT'!$L$42:$L$1040,"Y",'DEF_SELF_SCOUT_IMPORT'!$E$42:$E$1040,SUBSTITUTE(SUBSTITUTE(SUBSTITUTE($B623,"~","~~"),"*","~*"),"?","~?"),'DEF_SELF_SCOUT_IMPORT'!$Q$42:$Q$1040,SUBSTITUTE(SUBSTITUTE(SUBSTITUTE($M623,"~","~~"),"*","~*"),"?","~?"),'DEF_SELF_SCOUT_IMPORT'!$F$42:$F$1040,SUBSTITUTE(SUBSTITUTE(SUBSTITUTE($N623,"~","~~"),"*","~*"),"?","~?"),'DEF_SELF_SCOUT_IMPORT'!$G$42:$G$1040,SUBSTITUTE(SUBSTITUTE(SUBSTITUTE($O623,"~","~~"),"*","~*"),"?","~?"))/$C623)</f>
        <v>1.0</v>
      </c>
      <c r="E623" s="10">
        <f>IF($C623=0,"",SUMIFS('DEF_SELF_SCOUT_IMPORT'!$K$42:$K$1040,'DEF_SELF_SCOUT_IMPORT'!$L$42:$L$1040,"Y",'DEF_SELF_SCOUT_IMPORT'!$E$42:$E$1040,SUBSTITUTE(SUBSTITUTE(SUBSTITUTE($B623,"~","~~"),"*","~*"),"?","~?"),'DEF_SELF_SCOUT_IMPORT'!$Q$42:$Q$1040,SUBSTITUTE(SUBSTITUTE(SUBSTITUTE($M623,"~","~~"),"*","~*"),"?","~?"),'DEF_SELF_SCOUT_IMPORT'!$F$42:$F$1040,SUBSTITUTE(SUBSTITUTE(SUBSTITUTE($N623,"~","~~"),"*","~*"),"?","~?"),'DEF_SELF_SCOUT_IMPORT'!$G$42:$G$1040,SUBSTITUTE(SUBSTITUTE(SUBSTITUTE($O623,"~","~~"),"*","~*"),"?","~?"))/$C623)</f>
        <v>0.0</v>
      </c>
      <c r="F623" s="11">
        <f>IF($C623=0,"",AVERAGEIFS('DEF_SELF_SCOUT_IMPORT'!$I$42:$I$1040,'DEF_SELF_SCOUT_IMPORT'!$L$42:$L$1040,"Y",'DEF_SELF_SCOUT_IMPORT'!$E$42:$E$1040,SUBSTITUTE(SUBSTITUTE(SUBSTITUTE($B623,"~","~~"),"*","~*"),"?","~?"),'DEF_SELF_SCOUT_IMPORT'!$Q$42:$Q$1040,SUBSTITUTE(SUBSTITUTE(SUBSTITUTE($M623,"~","~~"),"*","~*"),"?","~?"),'DEF_SELF_SCOUT_IMPORT'!$F$42:$F$1040,SUBSTITUTE(SUBSTITUTE(SUBSTITUTE($N623,"~","~~"),"*","~*"),"?","~?"),'DEF_SELF_SCOUT_IMPORT'!$G$42:$G$1040,SUBSTITUTE(SUBSTITUTE(SUBSTITUTE($O623,"~","~~"),"*","~*"),"?","~?")))</f>
        <v>0.5</v>
      </c>
      <c r="G623" s="10">
        <f>IF($C623=0,"",COUNTIFS('DEF_SELF_SCOUT_IMPORT'!$L$42:$L$1040,"Y",'DEF_SELF_SCOUT_IMPORT'!$E$42:$E$1040,SUBSTITUTE(SUBSTITUTE(SUBSTITUTE($B623,"~","~~"),"*","~*"),"?","~?"),'DEF_SELF_SCOUT_IMPORT'!$Q$42:$Q$1040,SUBSTITUTE(SUBSTITUTE(SUBSTITUTE($M623,"~","~~"),"*","~*"),"?","~?"),'DEF_SELF_SCOUT_IMPORT'!$F$42:$F$1040,SUBSTITUTE(SUBSTITUTE(SUBSTITUTE($N623,"~","~~"),"*","~*"),"?","~?"),'DEF_SELF_SCOUT_IMPORT'!$G$42:$G$1040,SUBSTITUTE(SUBSTITUTE(SUBSTITUTE($O623,"~","~~"),"*","~*"),"?","~?"),'DEF_SELF_SCOUT_IMPORT'!$H$42:$H$1040,"RUSH")/$C623)</f>
        <v>0.5</v>
      </c>
      <c r="H623" s="10">
        <f>IF($C623=0,"",COUNTIFS('DEF_SELF_SCOUT_IMPORT'!$L$42:$L$1040,"Y",'DEF_SELF_SCOUT_IMPORT'!$E$42:$E$1040,SUBSTITUTE(SUBSTITUTE(SUBSTITUTE($B623,"~","~~"),"*","~*"),"?","~?"),'DEF_SELF_SCOUT_IMPORT'!$Q$42:$Q$1040,SUBSTITUTE(SUBSTITUTE(SUBSTITUTE($M623,"~","~~"),"*","~*"),"?","~?"),'DEF_SELF_SCOUT_IMPORT'!$F$42:$F$1040,SUBSTITUTE(SUBSTITUTE(SUBSTITUTE($N623,"~","~~"),"*","~*"),"?","~?"),'DEF_SELF_SCOUT_IMPORT'!$G$42:$G$1040,SUBSTITUTE(SUBSTITUTE(SUBSTITUTE($O623,"~","~~"),"*","~*"),"?","~?"),'DEF_SELF_SCOUT_IMPORT'!$H$42:$H$1040,"DROPBACK")/$C623)</f>
        <v>0.5</v>
      </c>
      <c r="I623" s="14" t="str">
        <f>IF(C623=0,"",IF(C623&lt;=2,"TRACK",IF(C623=3,"LOW",IF(C623&lt;=6,"MEDIUM","HIGH"))))</f>
        <v>TRACK</v>
      </c>
      <c r="J623" s="11">
        <f>IF(C623=0,"",ROUND(D623*70+(1-E623)*20+MAX(0,MIN(1,(10-F623)/10))*10,1))</f>
        <v>99.5</v>
      </c>
      <c r="K623" s="14" t="str">
        <f>IF(C623=0,"No Evidence",IF(C623&lt;=2,IF(E623&gt;0,"Explosive Alert","Track Only"),IF(C623=3,"Sample Watch",IF(E623&gt;=START_HERE!$B$31,"Explosive Alert",IF(J623&gt;=80,"Strong Candidate",IF(J623&gt;=65,"Good Candidate",IF(J623&gt;=50,"Mixed / Review","Problem Call")))))))</f>
        <v>Track Only</v>
      </c>
      <c r="L623" s="9" t="str">
        <f>IF(COUNTIFS('DEF_SELF_SCOUT_IMPORT'!$L$42:$L$1040,"Y",'DEF_SELF_SCOUT_IMPORT'!$E$42:$E$1040,SUBSTITUTE(SUBSTITUTE(SUBSTITUTE($B623,"~","~~"),"*","~*"),"?","~?"),'DEF_SELF_SCOUT_IMPORT'!$Q$42:$Q$1040,SUBSTITUTE(SUBSTITUTE(SUBSTITUTE($M623,"~","~~"),"*","~*"),"?","~?"),'DEF_SELF_SCOUT_IMPORT'!$F$42:$F$1040,SUBSTITUTE(SUBSTITUTE(SUBSTITUTE($N623,"~","~~"),"*","~*"),"?","~?"),'DEF_SELF_SCOUT_IMPORT'!$G$42:$G$1040,SUBSTITUTE(SUBSTITUTE(SUBSTITUTE($O623,"~","~~"),"*","~*"),"?","~?"),'DEF_SELF_SCOUT_IMPORT'!$J$42:$J$1040,"")&gt;0,"Unscored clean outcome; review result tags before using score.",IF(C623=0,"No matching defensive reps; film confirmation needed.",IF(K623="Explosive Alert","Explosive risk; review clips before using as answer.",IF(C623&lt;=2,"Track only; not enough sample.",IF(C623=3,IF(E623&gt;0,"Sample watch with explosive exposure; review clips and build the sample.",IF(J623&gt;=65,"Good signal, but sample is limited.","Sample watch; review clips and build the sample.")),IF(K623="Problem Call","Problem area; practice or call-sheet review.",IF(K623="Strong Candidate","Strong call-fit candidate; confirm on film.",IF(K623="Good Candidate","Good call-fit signal; confirm on film.","Mixed signal; review fit and execution on film."))))))))</f>
        <v>Track only; not enough sample.</v>
      </c>
      <c r="M623" s="8" t="s">
        <v>39</v>
      </c>
      <c r="N623" s="8" t="s">
        <v>120</v>
      </c>
      <c r="O623" s="8" t="s">
        <v>206</v>
      </c>
      <c r="P623" s="8"/>
      <c r="Q623" s="8"/>
      <c r="R623" s="8" t="s">
        <v>28</v>
      </c>
      <c r="S623" s="2" t="s">
        <v>307</v>
      </c>
      <c r="T623" s="2">
        <f>IF(C623=0,0,IF(C623&gt;=CALL_LOOKUP_BOARD!$B$7,IF(OR(K623="Problem Call",K623="Explosive Alert"),10000000,20000000),0)+IF(C623&gt;=CALL_LOOKUP_BOARD!$B$7,J623*1000+MIN(C623,999),C623*1000+J623)+0.00996500)</f>
        <v>2099.509965</v>
      </c>
      <c r="U623" s="2">
        <f>IF(C623=0,"",IF(COUNTIFS($S$589:$S$803,SUBSTITUTE(SUBSTITUTE(SUBSTITUTE(S623,"~","~~"),"*","~*"),"?","~?"),$T$589:$T$803,"&gt;"&amp;T623)=0,S623,""))</f>
        <v/>
      </c>
    </row>
    <row r="624" spans="1:21" ht="38" customHeight="1">
      <c r="A624" s="8" t="s">
        <v>306</v>
      </c>
      <c r="B624" s="8" t="s">
        <v>60</v>
      </c>
      <c r="C624" s="12">
        <f>COUNTIFS('DEF_SELF_SCOUT_IMPORT'!$L$42:$L$1040,"Y",'DEF_SELF_SCOUT_IMPORT'!$E$42:$E$1040,SUBSTITUTE(SUBSTITUTE(SUBSTITUTE($B624,"~","~~"),"*","~*"),"?","~?"),'DEF_SELF_SCOUT_IMPORT'!$Q$42:$Q$1040,SUBSTITUTE(SUBSTITUTE(SUBSTITUTE($M624,"~","~~"),"*","~*"),"?","~?"),'DEF_SELF_SCOUT_IMPORT'!$F$42:$F$1040,SUBSTITUTE(SUBSTITUTE(SUBSTITUTE($N624,"~","~~"),"*","~*"),"?","~?"),'DEF_SELF_SCOUT_IMPORT'!$G$42:$G$1040,SUBSTITUTE(SUBSTITUTE(SUBSTITUTE($O624,"~","~~"),"*","~*"),"?","~?"))</f>
        <v>1</v>
      </c>
      <c r="D624" s="10">
        <f>IF($C624=0,"",SUMIFS('DEF_SELF_SCOUT_IMPORT'!$J$42:$J$1040,'DEF_SELF_SCOUT_IMPORT'!$L$42:$L$1040,"Y",'DEF_SELF_SCOUT_IMPORT'!$E$42:$E$1040,SUBSTITUTE(SUBSTITUTE(SUBSTITUTE($B624,"~","~~"),"*","~*"),"?","~?"),'DEF_SELF_SCOUT_IMPORT'!$Q$42:$Q$1040,SUBSTITUTE(SUBSTITUTE(SUBSTITUTE($M624,"~","~~"),"*","~*"),"?","~?"),'DEF_SELF_SCOUT_IMPORT'!$F$42:$F$1040,SUBSTITUTE(SUBSTITUTE(SUBSTITUTE($N624,"~","~~"),"*","~*"),"?","~?"),'DEF_SELF_SCOUT_IMPORT'!$G$42:$G$1040,SUBSTITUTE(SUBSTITUTE(SUBSTITUTE($O624,"~","~~"),"*","~*"),"?","~?"))/$C624)</f>
        <v>0.0</v>
      </c>
      <c r="E624" s="10">
        <f>IF($C624=0,"",SUMIFS('DEF_SELF_SCOUT_IMPORT'!$K$42:$K$1040,'DEF_SELF_SCOUT_IMPORT'!$L$42:$L$1040,"Y",'DEF_SELF_SCOUT_IMPORT'!$E$42:$E$1040,SUBSTITUTE(SUBSTITUTE(SUBSTITUTE($B624,"~","~~"),"*","~*"),"?","~?"),'DEF_SELF_SCOUT_IMPORT'!$Q$42:$Q$1040,SUBSTITUTE(SUBSTITUTE(SUBSTITUTE($M624,"~","~~"),"*","~*"),"?","~?"),'DEF_SELF_SCOUT_IMPORT'!$F$42:$F$1040,SUBSTITUTE(SUBSTITUTE(SUBSTITUTE($N624,"~","~~"),"*","~*"),"?","~?"),'DEF_SELF_SCOUT_IMPORT'!$G$42:$G$1040,SUBSTITUTE(SUBSTITUTE(SUBSTITUTE($O624,"~","~~"),"*","~*"),"?","~?"))/$C624)</f>
        <v>0.0</v>
      </c>
      <c r="F624" s="11">
        <f>IF($C624=0,"",AVERAGEIFS('DEF_SELF_SCOUT_IMPORT'!$I$42:$I$1040,'DEF_SELF_SCOUT_IMPORT'!$L$42:$L$1040,"Y",'DEF_SELF_SCOUT_IMPORT'!$E$42:$E$1040,SUBSTITUTE(SUBSTITUTE(SUBSTITUTE($B624,"~","~~"),"*","~*"),"?","~?"),'DEF_SELF_SCOUT_IMPORT'!$Q$42:$Q$1040,SUBSTITUTE(SUBSTITUTE(SUBSTITUTE($M624,"~","~~"),"*","~*"),"?","~?"),'DEF_SELF_SCOUT_IMPORT'!$F$42:$F$1040,SUBSTITUTE(SUBSTITUTE(SUBSTITUTE($N624,"~","~~"),"*","~*"),"?","~?"),'DEF_SELF_SCOUT_IMPORT'!$G$42:$G$1040,SUBSTITUTE(SUBSTITUTE(SUBSTITUTE($O624,"~","~~"),"*","~*"),"?","~?")))</f>
        <v>14.0</v>
      </c>
      <c r="G624" s="10">
        <f>IF($C624=0,"",COUNTIFS('DEF_SELF_SCOUT_IMPORT'!$L$42:$L$1040,"Y",'DEF_SELF_SCOUT_IMPORT'!$E$42:$E$1040,SUBSTITUTE(SUBSTITUTE(SUBSTITUTE($B624,"~","~~"),"*","~*"),"?","~?"),'DEF_SELF_SCOUT_IMPORT'!$Q$42:$Q$1040,SUBSTITUTE(SUBSTITUTE(SUBSTITUTE($M624,"~","~~"),"*","~*"),"?","~?"),'DEF_SELF_SCOUT_IMPORT'!$F$42:$F$1040,SUBSTITUTE(SUBSTITUTE(SUBSTITUTE($N624,"~","~~"),"*","~*"),"?","~?"),'DEF_SELF_SCOUT_IMPORT'!$G$42:$G$1040,SUBSTITUTE(SUBSTITUTE(SUBSTITUTE($O624,"~","~~"),"*","~*"),"?","~?"),'DEF_SELF_SCOUT_IMPORT'!$H$42:$H$1040,"RUSH")/$C624)</f>
        <v>0.0</v>
      </c>
      <c r="H624" s="10">
        <f>IF($C624=0,"",COUNTIFS('DEF_SELF_SCOUT_IMPORT'!$L$42:$L$1040,"Y",'DEF_SELF_SCOUT_IMPORT'!$E$42:$E$1040,SUBSTITUTE(SUBSTITUTE(SUBSTITUTE($B624,"~","~~"),"*","~*"),"?","~?"),'DEF_SELF_SCOUT_IMPORT'!$Q$42:$Q$1040,SUBSTITUTE(SUBSTITUTE(SUBSTITUTE($M624,"~","~~"),"*","~*"),"?","~?"),'DEF_SELF_SCOUT_IMPORT'!$F$42:$F$1040,SUBSTITUTE(SUBSTITUTE(SUBSTITUTE($N624,"~","~~"),"*","~*"),"?","~?"),'DEF_SELF_SCOUT_IMPORT'!$G$42:$G$1040,SUBSTITUTE(SUBSTITUTE(SUBSTITUTE($O624,"~","~~"),"*","~*"),"?","~?"),'DEF_SELF_SCOUT_IMPORT'!$H$42:$H$1040,"DROPBACK")/$C624)</f>
        <v>1.0</v>
      </c>
      <c r="I624" s="14" t="str">
        <f>IF(C624=0,"",IF(C624&lt;=2,"TRACK",IF(C624=3,"LOW",IF(C624&lt;=6,"MEDIUM","HIGH"))))</f>
        <v>TRACK</v>
      </c>
      <c r="J624" s="11">
        <f>IF(C624=0,"",ROUND(D624*70+(1-E624)*20+MAX(0,MIN(1,(10-F624)/10))*10,1))</f>
        <v>20.0</v>
      </c>
      <c r="K624" s="14" t="str">
        <f>IF(C624=0,"No Evidence",IF(C624&lt;=2,IF(E624&gt;0,"Explosive Alert","Track Only"),IF(C624=3,"Sample Watch",IF(E624&gt;=START_HERE!$B$31,"Explosive Alert",IF(J624&gt;=80,"Strong Candidate",IF(J624&gt;=65,"Good Candidate",IF(J624&gt;=50,"Mixed / Review","Problem Call")))))))</f>
        <v>Track Only</v>
      </c>
      <c r="L624" s="9" t="str">
        <f>IF(COUNTIFS('DEF_SELF_SCOUT_IMPORT'!$L$42:$L$1040,"Y",'DEF_SELF_SCOUT_IMPORT'!$E$42:$E$1040,SUBSTITUTE(SUBSTITUTE(SUBSTITUTE($B624,"~","~~"),"*","~*"),"?","~?"),'DEF_SELF_SCOUT_IMPORT'!$Q$42:$Q$1040,SUBSTITUTE(SUBSTITUTE(SUBSTITUTE($M624,"~","~~"),"*","~*"),"?","~?"),'DEF_SELF_SCOUT_IMPORT'!$F$42:$F$1040,SUBSTITUTE(SUBSTITUTE(SUBSTITUTE($N624,"~","~~"),"*","~*"),"?","~?"),'DEF_SELF_SCOUT_IMPORT'!$G$42:$G$1040,SUBSTITUTE(SUBSTITUTE(SUBSTITUTE($O624,"~","~~"),"*","~*"),"?","~?"),'DEF_SELF_SCOUT_IMPORT'!$J$42:$J$1040,"")&gt;0,"Unscored clean outcome; review result tags before using score.",IF(C624=0,"No matching defensive reps; film confirmation needed.",IF(K624="Explosive Alert","Explosive risk; review clips before using as answer.",IF(C624&lt;=2,"Track only; not enough sample.",IF(C624=3,IF(E624&gt;0,"Sample watch with explosive exposure; review clips and build the sample.",IF(J624&gt;=65,"Good signal, but sample is limited.","Sample watch; review clips and build the sample.")),IF(K624="Problem Call","Problem area; practice or call-sheet review.",IF(K624="Strong Candidate","Strong call-fit candidate; confirm on film.",IF(K624="Good Candidate","Good call-fit signal; confirm on film.","Mixed signal; review fit and execution on film."))))))))</f>
        <v>Track only; not enough sample.</v>
      </c>
      <c r="M624" s="8" t="s">
        <v>39</v>
      </c>
      <c r="N624" s="8" t="s">
        <v>120</v>
      </c>
      <c r="O624" s="8" t="s">
        <v>206</v>
      </c>
      <c r="P624" s="8"/>
      <c r="Q624" s="8"/>
      <c r="R624" s="8" t="s">
        <v>28</v>
      </c>
      <c r="S624" s="2" t="s">
        <v>307</v>
      </c>
      <c r="T624" s="2">
        <f>IF(C624=0,0,IF(C624&gt;=CALL_LOOKUP_BOARD!$B$7,IF(OR(K624="Problem Call",K624="Explosive Alert"),10000000,20000000),0)+IF(C624&gt;=CALL_LOOKUP_BOARD!$B$7,J624*1000+MIN(C624,999),C624*1000+J624)+0.00996400)</f>
        <v>1020.009964</v>
      </c>
      <c r="U624" s="2">
        <f>IF(C624=0,"",IF(COUNTIFS($S$589:$S$803,SUBSTITUTE(SUBSTITUTE(SUBSTITUTE(S624,"~","~~"),"*","~*"),"?","~?"),$T$589:$T$803,"&gt;"&amp;T624)=0,S624,""))</f>
        <v/>
      </c>
    </row>
    <row r="625" spans="1:21" ht="38" customHeight="1">
      <c r="A625" s="8" t="s">
        <v>306</v>
      </c>
      <c r="B625" s="8" t="s">
        <v>61</v>
      </c>
      <c r="C625" s="12">
        <f>COUNTIFS('DEF_SELF_SCOUT_IMPORT'!$L$42:$L$1040,"Y",'DEF_SELF_SCOUT_IMPORT'!$E$42:$E$1040,SUBSTITUTE(SUBSTITUTE(SUBSTITUTE($B625,"~","~~"),"*","~*"),"?","~?"),'DEF_SELF_SCOUT_IMPORT'!$Q$42:$Q$1040,SUBSTITUTE(SUBSTITUTE(SUBSTITUTE($M625,"~","~~"),"*","~*"),"?","~?"),'DEF_SELF_SCOUT_IMPORT'!$F$42:$F$1040,SUBSTITUTE(SUBSTITUTE(SUBSTITUTE($N625,"~","~~"),"*","~*"),"?","~?"),'DEF_SELF_SCOUT_IMPORT'!$G$42:$G$1040,SUBSTITUTE(SUBSTITUTE(SUBSTITUTE($O625,"~","~~"),"*","~*"),"?","~?"))</f>
        <v>1</v>
      </c>
      <c r="D625" s="10">
        <f>IF($C625=0,"",SUMIFS('DEF_SELF_SCOUT_IMPORT'!$J$42:$J$1040,'DEF_SELF_SCOUT_IMPORT'!$L$42:$L$1040,"Y",'DEF_SELF_SCOUT_IMPORT'!$E$42:$E$1040,SUBSTITUTE(SUBSTITUTE(SUBSTITUTE($B625,"~","~~"),"*","~*"),"?","~?"),'DEF_SELF_SCOUT_IMPORT'!$Q$42:$Q$1040,SUBSTITUTE(SUBSTITUTE(SUBSTITUTE($M625,"~","~~"),"*","~*"),"?","~?"),'DEF_SELF_SCOUT_IMPORT'!$F$42:$F$1040,SUBSTITUTE(SUBSTITUTE(SUBSTITUTE($N625,"~","~~"),"*","~*"),"?","~?"),'DEF_SELF_SCOUT_IMPORT'!$G$42:$G$1040,SUBSTITUTE(SUBSTITUTE(SUBSTITUTE($O625,"~","~~"),"*","~*"),"?","~?"))/$C625)</f>
        <v>1.0</v>
      </c>
      <c r="E625" s="10">
        <f>IF($C625=0,"",SUMIFS('DEF_SELF_SCOUT_IMPORT'!$K$42:$K$1040,'DEF_SELF_SCOUT_IMPORT'!$L$42:$L$1040,"Y",'DEF_SELF_SCOUT_IMPORT'!$E$42:$E$1040,SUBSTITUTE(SUBSTITUTE(SUBSTITUTE($B625,"~","~~"),"*","~*"),"?","~?"),'DEF_SELF_SCOUT_IMPORT'!$Q$42:$Q$1040,SUBSTITUTE(SUBSTITUTE(SUBSTITUTE($M625,"~","~~"),"*","~*"),"?","~?"),'DEF_SELF_SCOUT_IMPORT'!$F$42:$F$1040,SUBSTITUTE(SUBSTITUTE(SUBSTITUTE($N625,"~","~~"),"*","~*"),"?","~?"),'DEF_SELF_SCOUT_IMPORT'!$G$42:$G$1040,SUBSTITUTE(SUBSTITUTE(SUBSTITUTE($O625,"~","~~"),"*","~*"),"?","~?"))/$C625)</f>
        <v>0.0</v>
      </c>
      <c r="F625" s="11">
        <f>IF($C625=0,"",AVERAGEIFS('DEF_SELF_SCOUT_IMPORT'!$I$42:$I$1040,'DEF_SELF_SCOUT_IMPORT'!$L$42:$L$1040,"Y",'DEF_SELF_SCOUT_IMPORT'!$E$42:$E$1040,SUBSTITUTE(SUBSTITUTE(SUBSTITUTE($B625,"~","~~"),"*","~*"),"?","~?"),'DEF_SELF_SCOUT_IMPORT'!$Q$42:$Q$1040,SUBSTITUTE(SUBSTITUTE(SUBSTITUTE($M625,"~","~~"),"*","~*"),"?","~?"),'DEF_SELF_SCOUT_IMPORT'!$F$42:$F$1040,SUBSTITUTE(SUBSTITUTE(SUBSTITUTE($N625,"~","~~"),"*","~*"),"?","~?"),'DEF_SELF_SCOUT_IMPORT'!$G$42:$G$1040,SUBSTITUTE(SUBSTITUTE(SUBSTITUTE($O625,"~","~~"),"*","~*"),"?","~?")))</f>
        <v>3.0</v>
      </c>
      <c r="G625" s="10">
        <f>IF($C625=0,"",COUNTIFS('DEF_SELF_SCOUT_IMPORT'!$L$42:$L$1040,"Y",'DEF_SELF_SCOUT_IMPORT'!$E$42:$E$1040,SUBSTITUTE(SUBSTITUTE(SUBSTITUTE($B625,"~","~~"),"*","~*"),"?","~?"),'DEF_SELF_SCOUT_IMPORT'!$Q$42:$Q$1040,SUBSTITUTE(SUBSTITUTE(SUBSTITUTE($M625,"~","~~"),"*","~*"),"?","~?"),'DEF_SELF_SCOUT_IMPORT'!$F$42:$F$1040,SUBSTITUTE(SUBSTITUTE(SUBSTITUTE($N625,"~","~~"),"*","~*"),"?","~?"),'DEF_SELF_SCOUT_IMPORT'!$G$42:$G$1040,SUBSTITUTE(SUBSTITUTE(SUBSTITUTE($O625,"~","~~"),"*","~*"),"?","~?"),'DEF_SELF_SCOUT_IMPORT'!$H$42:$H$1040,"RUSH")/$C625)</f>
        <v>1.0</v>
      </c>
      <c r="H625" s="10">
        <f>IF($C625=0,"",COUNTIFS('DEF_SELF_SCOUT_IMPORT'!$L$42:$L$1040,"Y",'DEF_SELF_SCOUT_IMPORT'!$E$42:$E$1040,SUBSTITUTE(SUBSTITUTE(SUBSTITUTE($B625,"~","~~"),"*","~*"),"?","~?"),'DEF_SELF_SCOUT_IMPORT'!$Q$42:$Q$1040,SUBSTITUTE(SUBSTITUTE(SUBSTITUTE($M625,"~","~~"),"*","~*"),"?","~?"),'DEF_SELF_SCOUT_IMPORT'!$F$42:$F$1040,SUBSTITUTE(SUBSTITUTE(SUBSTITUTE($N625,"~","~~"),"*","~*"),"?","~?"),'DEF_SELF_SCOUT_IMPORT'!$G$42:$G$1040,SUBSTITUTE(SUBSTITUTE(SUBSTITUTE($O625,"~","~~"),"*","~*"),"?","~?"),'DEF_SELF_SCOUT_IMPORT'!$H$42:$H$1040,"DROPBACK")/$C625)</f>
        <v>0.0</v>
      </c>
      <c r="I625" s="14" t="str">
        <f>IF(C625=0,"",IF(C625&lt;=2,"TRACK",IF(C625=3,"LOW",IF(C625&lt;=6,"MEDIUM","HIGH"))))</f>
        <v>TRACK</v>
      </c>
      <c r="J625" s="11">
        <f>IF(C625=0,"",ROUND(D625*70+(1-E625)*20+MAX(0,MIN(1,(10-F625)/10))*10,1))</f>
        <v>97.0</v>
      </c>
      <c r="K625" s="14" t="str">
        <f>IF(C625=0,"No Evidence",IF(C625&lt;=2,IF(E625&gt;0,"Explosive Alert","Track Only"),IF(C625=3,"Sample Watch",IF(E625&gt;=START_HERE!$B$31,"Explosive Alert",IF(J625&gt;=80,"Strong Candidate",IF(J625&gt;=65,"Good Candidate",IF(J625&gt;=50,"Mixed / Review","Problem Call")))))))</f>
        <v>Track Only</v>
      </c>
      <c r="L625" s="9" t="str">
        <f>IF(COUNTIFS('DEF_SELF_SCOUT_IMPORT'!$L$42:$L$1040,"Y",'DEF_SELF_SCOUT_IMPORT'!$E$42:$E$1040,SUBSTITUTE(SUBSTITUTE(SUBSTITUTE($B625,"~","~~"),"*","~*"),"?","~?"),'DEF_SELF_SCOUT_IMPORT'!$Q$42:$Q$1040,SUBSTITUTE(SUBSTITUTE(SUBSTITUTE($M625,"~","~~"),"*","~*"),"?","~?"),'DEF_SELF_SCOUT_IMPORT'!$F$42:$F$1040,SUBSTITUTE(SUBSTITUTE(SUBSTITUTE($N625,"~","~~"),"*","~*"),"?","~?"),'DEF_SELF_SCOUT_IMPORT'!$G$42:$G$1040,SUBSTITUTE(SUBSTITUTE(SUBSTITUTE($O625,"~","~~"),"*","~*"),"?","~?"),'DEF_SELF_SCOUT_IMPORT'!$J$42:$J$1040,"")&gt;0,"Unscored clean outcome; review result tags before using score.",IF(C625=0,"No matching defensive reps; film confirmation needed.",IF(K625="Explosive Alert","Explosive risk; review clips before using as answer.",IF(C625&lt;=2,"Track only; not enough sample.",IF(C625=3,IF(E625&gt;0,"Sample watch with explosive exposure; review clips and build the sample.",IF(J625&gt;=65,"Good signal, but sample is limited.","Sample watch; review clips and build the sample.")),IF(K625="Problem Call","Problem area; practice or call-sheet review.",IF(K625="Strong Candidate","Strong call-fit candidate; confirm on film.",IF(K625="Good Candidate","Good call-fit signal; confirm on film.","Mixed signal; review fit and execution on film."))))))))</f>
        <v>Track only; not enough sample.</v>
      </c>
      <c r="M625" s="8" t="s">
        <v>39</v>
      </c>
      <c r="N625" s="8" t="s">
        <v>120</v>
      </c>
      <c r="O625" s="8" t="s">
        <v>206</v>
      </c>
      <c r="P625" s="8"/>
      <c r="Q625" s="8"/>
      <c r="R625" s="8" t="s">
        <v>28</v>
      </c>
      <c r="S625" s="2" t="s">
        <v>307</v>
      </c>
      <c r="T625" s="2">
        <f>IF(C625=0,0,IF(C625&gt;=CALL_LOOKUP_BOARD!$B$7,IF(OR(K625="Problem Call",K625="Explosive Alert"),10000000,20000000),0)+IF(C625&gt;=CALL_LOOKUP_BOARD!$B$7,J625*1000+MIN(C625,999),C625*1000+J625)+0.00996300)</f>
        <v>1097.009963</v>
      </c>
      <c r="U625" s="2">
        <f>IF(C625=0,"",IF(COUNTIFS($S$589:$S$803,SUBSTITUTE(SUBSTITUTE(SUBSTITUTE(S625,"~","~~"),"*","~*"),"?","~?"),$T$589:$T$803,"&gt;"&amp;T625)=0,S625,""))</f>
        <v/>
      </c>
    </row>
    <row r="626" spans="1:21" ht="38" customHeight="1">
      <c r="A626" s="8" t="s">
        <v>306</v>
      </c>
      <c r="B626" s="8" t="s">
        <v>62</v>
      </c>
      <c r="C626" s="12">
        <f>COUNTIFS('DEF_SELF_SCOUT_IMPORT'!$L$42:$L$1040,"Y",'DEF_SELF_SCOUT_IMPORT'!$E$42:$E$1040,SUBSTITUTE(SUBSTITUTE(SUBSTITUTE($B626,"~","~~"),"*","~*"),"?","~?"),'DEF_SELF_SCOUT_IMPORT'!$Q$42:$Q$1040,SUBSTITUTE(SUBSTITUTE(SUBSTITUTE($M626,"~","~~"),"*","~*"),"?","~?"),'DEF_SELF_SCOUT_IMPORT'!$F$42:$F$1040,SUBSTITUTE(SUBSTITUTE(SUBSTITUTE($N626,"~","~~"),"*","~*"),"?","~?"),'DEF_SELF_SCOUT_IMPORT'!$G$42:$G$1040,SUBSTITUTE(SUBSTITUTE(SUBSTITUTE($O626,"~","~~"),"*","~*"),"?","~?"))</f>
        <v>2</v>
      </c>
      <c r="D626" s="10">
        <f>IF($C626=0,"",SUMIFS('DEF_SELF_SCOUT_IMPORT'!$J$42:$J$1040,'DEF_SELF_SCOUT_IMPORT'!$L$42:$L$1040,"Y",'DEF_SELF_SCOUT_IMPORT'!$E$42:$E$1040,SUBSTITUTE(SUBSTITUTE(SUBSTITUTE($B626,"~","~~"),"*","~*"),"?","~?"),'DEF_SELF_SCOUT_IMPORT'!$Q$42:$Q$1040,SUBSTITUTE(SUBSTITUTE(SUBSTITUTE($M626,"~","~~"),"*","~*"),"?","~?"),'DEF_SELF_SCOUT_IMPORT'!$F$42:$F$1040,SUBSTITUTE(SUBSTITUTE(SUBSTITUTE($N626,"~","~~"),"*","~*"),"?","~?"),'DEF_SELF_SCOUT_IMPORT'!$G$42:$G$1040,SUBSTITUTE(SUBSTITUTE(SUBSTITUTE($O626,"~","~~"),"*","~*"),"?","~?"))/$C626)</f>
        <v>0.0</v>
      </c>
      <c r="E626" s="10">
        <f>IF($C626=0,"",SUMIFS('DEF_SELF_SCOUT_IMPORT'!$K$42:$K$1040,'DEF_SELF_SCOUT_IMPORT'!$L$42:$L$1040,"Y",'DEF_SELF_SCOUT_IMPORT'!$E$42:$E$1040,SUBSTITUTE(SUBSTITUTE(SUBSTITUTE($B626,"~","~~"),"*","~*"),"?","~?"),'DEF_SELF_SCOUT_IMPORT'!$Q$42:$Q$1040,SUBSTITUTE(SUBSTITUTE(SUBSTITUTE($M626,"~","~~"),"*","~*"),"?","~?"),'DEF_SELF_SCOUT_IMPORT'!$F$42:$F$1040,SUBSTITUTE(SUBSTITUTE(SUBSTITUTE($N626,"~","~~"),"*","~*"),"?","~?"),'DEF_SELF_SCOUT_IMPORT'!$G$42:$G$1040,SUBSTITUTE(SUBSTITUTE(SUBSTITUTE($O626,"~","~~"),"*","~*"),"?","~?"))/$C626)</f>
        <v>0.5</v>
      </c>
      <c r="F626" s="11">
        <f>IF($C626=0,"",AVERAGEIFS('DEF_SELF_SCOUT_IMPORT'!$I$42:$I$1040,'DEF_SELF_SCOUT_IMPORT'!$L$42:$L$1040,"Y",'DEF_SELF_SCOUT_IMPORT'!$E$42:$E$1040,SUBSTITUTE(SUBSTITUTE(SUBSTITUTE($B626,"~","~~"),"*","~*"),"?","~?"),'DEF_SELF_SCOUT_IMPORT'!$Q$42:$Q$1040,SUBSTITUTE(SUBSTITUTE(SUBSTITUTE($M626,"~","~~"),"*","~*"),"?","~?"),'DEF_SELF_SCOUT_IMPORT'!$F$42:$F$1040,SUBSTITUTE(SUBSTITUTE(SUBSTITUTE($N626,"~","~~"),"*","~*"),"?","~?"),'DEF_SELF_SCOUT_IMPORT'!$G$42:$G$1040,SUBSTITUTE(SUBSTITUTE(SUBSTITUTE($O626,"~","~~"),"*","~*"),"?","~?")))</f>
        <v>18.5</v>
      </c>
      <c r="G626" s="10">
        <f>IF($C626=0,"",COUNTIFS('DEF_SELF_SCOUT_IMPORT'!$L$42:$L$1040,"Y",'DEF_SELF_SCOUT_IMPORT'!$E$42:$E$1040,SUBSTITUTE(SUBSTITUTE(SUBSTITUTE($B626,"~","~~"),"*","~*"),"?","~?"),'DEF_SELF_SCOUT_IMPORT'!$Q$42:$Q$1040,SUBSTITUTE(SUBSTITUTE(SUBSTITUTE($M626,"~","~~"),"*","~*"),"?","~?"),'DEF_SELF_SCOUT_IMPORT'!$F$42:$F$1040,SUBSTITUTE(SUBSTITUTE(SUBSTITUTE($N626,"~","~~"),"*","~*"),"?","~?"),'DEF_SELF_SCOUT_IMPORT'!$G$42:$G$1040,SUBSTITUTE(SUBSTITUTE(SUBSTITUTE($O626,"~","~~"),"*","~*"),"?","~?"),'DEF_SELF_SCOUT_IMPORT'!$H$42:$H$1040,"RUSH")/$C626)</f>
        <v>0.0</v>
      </c>
      <c r="H626" s="10">
        <f>IF($C626=0,"",COUNTIFS('DEF_SELF_SCOUT_IMPORT'!$L$42:$L$1040,"Y",'DEF_SELF_SCOUT_IMPORT'!$E$42:$E$1040,SUBSTITUTE(SUBSTITUTE(SUBSTITUTE($B626,"~","~~"),"*","~*"),"?","~?"),'DEF_SELF_SCOUT_IMPORT'!$Q$42:$Q$1040,SUBSTITUTE(SUBSTITUTE(SUBSTITUTE($M626,"~","~~"),"*","~*"),"?","~?"),'DEF_SELF_SCOUT_IMPORT'!$F$42:$F$1040,SUBSTITUTE(SUBSTITUTE(SUBSTITUTE($N626,"~","~~"),"*","~*"),"?","~?"),'DEF_SELF_SCOUT_IMPORT'!$G$42:$G$1040,SUBSTITUTE(SUBSTITUTE(SUBSTITUTE($O626,"~","~~"),"*","~*"),"?","~?"),'DEF_SELF_SCOUT_IMPORT'!$H$42:$H$1040,"DROPBACK")/$C626)</f>
        <v>0.5</v>
      </c>
      <c r="I626" s="14" t="str">
        <f>IF(C626=0,"",IF(C626&lt;=2,"TRACK",IF(C626=3,"LOW",IF(C626&lt;=6,"MEDIUM","HIGH"))))</f>
        <v>TRACK</v>
      </c>
      <c r="J626" s="11">
        <f>IF(C626=0,"",ROUND(D626*70+(1-E626)*20+MAX(0,MIN(1,(10-F626)/10))*10,1))</f>
        <v>10.0</v>
      </c>
      <c r="K626" s="14" t="str">
        <f>IF(C626=0,"No Evidence",IF(C626&lt;=2,IF(E626&gt;0,"Explosive Alert","Track Only"),IF(C626=3,"Sample Watch",IF(E626&gt;=START_HERE!$B$31,"Explosive Alert",IF(J626&gt;=80,"Strong Candidate",IF(J626&gt;=65,"Good Candidate",IF(J626&gt;=50,"Mixed / Review","Problem Call")))))))</f>
        <v>Explosive Alert</v>
      </c>
      <c r="L626" s="9" t="str">
        <f>IF(COUNTIFS('DEF_SELF_SCOUT_IMPORT'!$L$42:$L$1040,"Y",'DEF_SELF_SCOUT_IMPORT'!$E$42:$E$1040,SUBSTITUTE(SUBSTITUTE(SUBSTITUTE($B626,"~","~~"),"*","~*"),"?","~?"),'DEF_SELF_SCOUT_IMPORT'!$Q$42:$Q$1040,SUBSTITUTE(SUBSTITUTE(SUBSTITUTE($M626,"~","~~"),"*","~*"),"?","~?"),'DEF_SELF_SCOUT_IMPORT'!$F$42:$F$1040,SUBSTITUTE(SUBSTITUTE(SUBSTITUTE($N626,"~","~~"),"*","~*"),"?","~?"),'DEF_SELF_SCOUT_IMPORT'!$G$42:$G$1040,SUBSTITUTE(SUBSTITUTE(SUBSTITUTE($O626,"~","~~"),"*","~*"),"?","~?"),'DEF_SELF_SCOUT_IMPORT'!$J$42:$J$1040,"")&gt;0,"Unscored clean outcome; review result tags before using score.",IF(C626=0,"No matching defensive reps; film confirmation needed.",IF(K626="Explosive Alert","Explosive risk; review clips before using as answer.",IF(C626&lt;=2,"Track only; not enough sample.",IF(C626=3,IF(E626&gt;0,"Sample watch with explosive exposure; review clips and build the sample.",IF(J626&gt;=65,"Good signal, but sample is limited.","Sample watch; review clips and build the sample.")),IF(K626="Problem Call","Problem area; practice or call-sheet review.",IF(K626="Strong Candidate","Strong call-fit candidate; confirm on film.",IF(K626="Good Candidate","Good call-fit signal; confirm on film.","Mixed signal; review fit and execution on film."))))))))</f>
        <v>Explosive risk; review clips before using as answer.</v>
      </c>
      <c r="M626" s="8" t="s">
        <v>39</v>
      </c>
      <c r="N626" s="8" t="s">
        <v>120</v>
      </c>
      <c r="O626" s="8" t="s">
        <v>206</v>
      </c>
      <c r="P626" s="8"/>
      <c r="Q626" s="8"/>
      <c r="R626" s="8" t="s">
        <v>28</v>
      </c>
      <c r="S626" s="2" t="s">
        <v>307</v>
      </c>
      <c r="T626" s="2">
        <f>IF(C626=0,0,IF(C626&gt;=CALL_LOOKUP_BOARD!$B$7,IF(OR(K626="Problem Call",K626="Explosive Alert"),10000000,20000000),0)+IF(C626&gt;=CALL_LOOKUP_BOARD!$B$7,J626*1000+MIN(C626,999),C626*1000+J626)+0.00996200)</f>
        <v>2010.009962</v>
      </c>
      <c r="U626" s="2">
        <f>IF(C626=0,"",IF(COUNTIFS($S$589:$S$803,SUBSTITUTE(SUBSTITUTE(SUBSTITUTE(S626,"~","~~"),"*","~*"),"?","~?"),$T$589:$T$803,"&gt;"&amp;T626)=0,S626,""))</f>
        <v/>
      </c>
    </row>
    <row r="627" spans="1:21" ht="38" customHeight="1">
      <c r="A627" s="8" t="s">
        <v>306</v>
      </c>
      <c r="B627" s="8" t="s">
        <v>64</v>
      </c>
      <c r="C627" s="12">
        <f>COUNTIFS('DEF_SELF_SCOUT_IMPORT'!$L$42:$L$1040,"Y",'DEF_SELF_SCOUT_IMPORT'!$E$42:$E$1040,SUBSTITUTE(SUBSTITUTE(SUBSTITUTE($B627,"~","~~"),"*","~*"),"?","~?"),'DEF_SELF_SCOUT_IMPORT'!$Q$42:$Q$1040,SUBSTITUTE(SUBSTITUTE(SUBSTITUTE($M627,"~","~~"),"*","~*"),"?","~?"),'DEF_SELF_SCOUT_IMPORT'!$F$42:$F$1040,SUBSTITUTE(SUBSTITUTE(SUBSTITUTE($N627,"~","~~"),"*","~*"),"?","~?"),'DEF_SELF_SCOUT_IMPORT'!$G$42:$G$1040,SUBSTITUTE(SUBSTITUTE(SUBSTITUTE($O627,"~","~~"),"*","~*"),"?","~?"))</f>
        <v>1</v>
      </c>
      <c r="D627" s="10">
        <f>IF($C627=0,"",SUMIFS('DEF_SELF_SCOUT_IMPORT'!$J$42:$J$1040,'DEF_SELF_SCOUT_IMPORT'!$L$42:$L$1040,"Y",'DEF_SELF_SCOUT_IMPORT'!$E$42:$E$1040,SUBSTITUTE(SUBSTITUTE(SUBSTITUTE($B627,"~","~~"),"*","~*"),"?","~?"),'DEF_SELF_SCOUT_IMPORT'!$Q$42:$Q$1040,SUBSTITUTE(SUBSTITUTE(SUBSTITUTE($M627,"~","~~"),"*","~*"),"?","~?"),'DEF_SELF_SCOUT_IMPORT'!$F$42:$F$1040,SUBSTITUTE(SUBSTITUTE(SUBSTITUTE($N627,"~","~~"),"*","~*"),"?","~?"),'DEF_SELF_SCOUT_IMPORT'!$G$42:$G$1040,SUBSTITUTE(SUBSTITUTE(SUBSTITUTE($O627,"~","~~"),"*","~*"),"?","~?"))/$C627)</f>
        <v>1.0</v>
      </c>
      <c r="E627" s="10">
        <f>IF($C627=0,"",SUMIFS('DEF_SELF_SCOUT_IMPORT'!$K$42:$K$1040,'DEF_SELF_SCOUT_IMPORT'!$L$42:$L$1040,"Y",'DEF_SELF_SCOUT_IMPORT'!$E$42:$E$1040,SUBSTITUTE(SUBSTITUTE(SUBSTITUTE($B627,"~","~~"),"*","~*"),"?","~?"),'DEF_SELF_SCOUT_IMPORT'!$Q$42:$Q$1040,SUBSTITUTE(SUBSTITUTE(SUBSTITUTE($M627,"~","~~"),"*","~*"),"?","~?"),'DEF_SELF_SCOUT_IMPORT'!$F$42:$F$1040,SUBSTITUTE(SUBSTITUTE(SUBSTITUTE($N627,"~","~~"),"*","~*"),"?","~?"),'DEF_SELF_SCOUT_IMPORT'!$G$42:$G$1040,SUBSTITUTE(SUBSTITUTE(SUBSTITUTE($O627,"~","~~"),"*","~*"),"?","~?"))/$C627)</f>
        <v>0.0</v>
      </c>
      <c r="F627" s="11">
        <f>IF($C627=0,"",AVERAGEIFS('DEF_SELF_SCOUT_IMPORT'!$I$42:$I$1040,'DEF_SELF_SCOUT_IMPORT'!$L$42:$L$1040,"Y",'DEF_SELF_SCOUT_IMPORT'!$E$42:$E$1040,SUBSTITUTE(SUBSTITUTE(SUBSTITUTE($B627,"~","~~"),"*","~*"),"?","~?"),'DEF_SELF_SCOUT_IMPORT'!$Q$42:$Q$1040,SUBSTITUTE(SUBSTITUTE(SUBSTITUTE($M627,"~","~~"),"*","~*"),"?","~?"),'DEF_SELF_SCOUT_IMPORT'!$F$42:$F$1040,SUBSTITUTE(SUBSTITUTE(SUBSTITUTE($N627,"~","~~"),"*","~*"),"?","~?"),'DEF_SELF_SCOUT_IMPORT'!$G$42:$G$1040,SUBSTITUTE(SUBSTITUTE(SUBSTITUTE($O627,"~","~~"),"*","~*"),"?","~?")))</f>
        <v>1.0</v>
      </c>
      <c r="G627" s="10">
        <f>IF($C627=0,"",COUNTIFS('DEF_SELF_SCOUT_IMPORT'!$L$42:$L$1040,"Y",'DEF_SELF_SCOUT_IMPORT'!$E$42:$E$1040,SUBSTITUTE(SUBSTITUTE(SUBSTITUTE($B627,"~","~~"),"*","~*"),"?","~?"),'DEF_SELF_SCOUT_IMPORT'!$Q$42:$Q$1040,SUBSTITUTE(SUBSTITUTE(SUBSTITUTE($M627,"~","~~"),"*","~*"),"?","~?"),'DEF_SELF_SCOUT_IMPORT'!$F$42:$F$1040,SUBSTITUTE(SUBSTITUTE(SUBSTITUTE($N627,"~","~~"),"*","~*"),"?","~?"),'DEF_SELF_SCOUT_IMPORT'!$G$42:$G$1040,SUBSTITUTE(SUBSTITUTE(SUBSTITUTE($O627,"~","~~"),"*","~*"),"?","~?"),'DEF_SELF_SCOUT_IMPORT'!$H$42:$H$1040,"RUSH")/$C627)</f>
        <v>0.0</v>
      </c>
      <c r="H627" s="10">
        <f>IF($C627=0,"",COUNTIFS('DEF_SELF_SCOUT_IMPORT'!$L$42:$L$1040,"Y",'DEF_SELF_SCOUT_IMPORT'!$E$42:$E$1040,SUBSTITUTE(SUBSTITUTE(SUBSTITUTE($B627,"~","~~"),"*","~*"),"?","~?"),'DEF_SELF_SCOUT_IMPORT'!$Q$42:$Q$1040,SUBSTITUTE(SUBSTITUTE(SUBSTITUTE($M627,"~","~~"),"*","~*"),"?","~?"),'DEF_SELF_SCOUT_IMPORT'!$F$42:$F$1040,SUBSTITUTE(SUBSTITUTE(SUBSTITUTE($N627,"~","~~"),"*","~*"),"?","~?"),'DEF_SELF_SCOUT_IMPORT'!$G$42:$G$1040,SUBSTITUTE(SUBSTITUTE(SUBSTITUTE($O627,"~","~~"),"*","~*"),"?","~?"),'DEF_SELF_SCOUT_IMPORT'!$H$42:$H$1040,"DROPBACK")/$C627)</f>
        <v>1.0</v>
      </c>
      <c r="I627" s="14" t="str">
        <f>IF(C627=0,"",IF(C627&lt;=2,"TRACK",IF(C627=3,"LOW",IF(C627&lt;=6,"MEDIUM","HIGH"))))</f>
        <v>TRACK</v>
      </c>
      <c r="J627" s="11">
        <f>IF(C627=0,"",ROUND(D627*70+(1-E627)*20+MAX(0,MIN(1,(10-F627)/10))*10,1))</f>
        <v>99.0</v>
      </c>
      <c r="K627" s="14" t="str">
        <f>IF(C627=0,"No Evidence",IF(C627&lt;=2,IF(E627&gt;0,"Explosive Alert","Track Only"),IF(C627=3,"Sample Watch",IF(E627&gt;=START_HERE!$B$31,"Explosive Alert",IF(J627&gt;=80,"Strong Candidate",IF(J627&gt;=65,"Good Candidate",IF(J627&gt;=50,"Mixed / Review","Problem Call")))))))</f>
        <v>Track Only</v>
      </c>
      <c r="L627" s="9" t="str">
        <f>IF(COUNTIFS('DEF_SELF_SCOUT_IMPORT'!$L$42:$L$1040,"Y",'DEF_SELF_SCOUT_IMPORT'!$E$42:$E$1040,SUBSTITUTE(SUBSTITUTE(SUBSTITUTE($B627,"~","~~"),"*","~*"),"?","~?"),'DEF_SELF_SCOUT_IMPORT'!$Q$42:$Q$1040,SUBSTITUTE(SUBSTITUTE(SUBSTITUTE($M627,"~","~~"),"*","~*"),"?","~?"),'DEF_SELF_SCOUT_IMPORT'!$F$42:$F$1040,SUBSTITUTE(SUBSTITUTE(SUBSTITUTE($N627,"~","~~"),"*","~*"),"?","~?"),'DEF_SELF_SCOUT_IMPORT'!$G$42:$G$1040,SUBSTITUTE(SUBSTITUTE(SUBSTITUTE($O627,"~","~~"),"*","~*"),"?","~?"),'DEF_SELF_SCOUT_IMPORT'!$J$42:$J$1040,"")&gt;0,"Unscored clean outcome; review result tags before using score.",IF(C627=0,"No matching defensive reps; film confirmation needed.",IF(K627="Explosive Alert","Explosive risk; review clips before using as answer.",IF(C627&lt;=2,"Track only; not enough sample.",IF(C627=3,IF(E627&gt;0,"Sample watch with explosive exposure; review clips and build the sample.",IF(J627&gt;=65,"Good signal, but sample is limited.","Sample watch; review clips and build the sample.")),IF(K627="Problem Call","Problem area; practice or call-sheet review.",IF(K627="Strong Candidate","Strong call-fit candidate; confirm on film.",IF(K627="Good Candidate","Good call-fit signal; confirm on film.","Mixed signal; review fit and execution on film."))))))))</f>
        <v>Track only; not enough sample.</v>
      </c>
      <c r="M627" s="8" t="s">
        <v>39</v>
      </c>
      <c r="N627" s="8" t="s">
        <v>120</v>
      </c>
      <c r="O627" s="8" t="s">
        <v>206</v>
      </c>
      <c r="P627" s="8"/>
      <c r="Q627" s="8"/>
      <c r="R627" s="8" t="s">
        <v>28</v>
      </c>
      <c r="S627" s="2" t="s">
        <v>307</v>
      </c>
      <c r="T627" s="2">
        <f>IF(C627=0,0,IF(C627&gt;=CALL_LOOKUP_BOARD!$B$7,IF(OR(K627="Problem Call",K627="Explosive Alert"),10000000,20000000),0)+IF(C627&gt;=CALL_LOOKUP_BOARD!$B$7,J627*1000+MIN(C627,999),C627*1000+J627)+0.00996100)</f>
        <v>1099.009961</v>
      </c>
      <c r="U627" s="2">
        <f>IF(C627=0,"",IF(COUNTIFS($S$589:$S$803,SUBSTITUTE(SUBSTITUTE(SUBSTITUTE(S627,"~","~~"),"*","~*"),"?","~?"),$T$589:$T$803,"&gt;"&amp;T627)=0,S627,""))</f>
        <v/>
      </c>
    </row>
    <row r="628" spans="1:21" ht="38" customHeight="1">
      <c r="A628" s="8" t="s">
        <v>306</v>
      </c>
      <c r="B628" s="8" t="s">
        <v>66</v>
      </c>
      <c r="C628" s="12">
        <f>COUNTIFS('DEF_SELF_SCOUT_IMPORT'!$L$42:$L$1040,"Y",'DEF_SELF_SCOUT_IMPORT'!$E$42:$E$1040,SUBSTITUTE(SUBSTITUTE(SUBSTITUTE($B628,"~","~~"),"*","~*"),"?","~?"),'DEF_SELF_SCOUT_IMPORT'!$Q$42:$Q$1040,SUBSTITUTE(SUBSTITUTE(SUBSTITUTE($M628,"~","~~"),"*","~*"),"?","~?"),'DEF_SELF_SCOUT_IMPORT'!$F$42:$F$1040,SUBSTITUTE(SUBSTITUTE(SUBSTITUTE($N628,"~","~~"),"*","~*"),"?","~?"),'DEF_SELF_SCOUT_IMPORT'!$G$42:$G$1040,SUBSTITUTE(SUBSTITUTE(SUBSTITUTE($O628,"~","~~"),"*","~*"),"?","~?"))</f>
        <v>3</v>
      </c>
      <c r="D628" s="10">
        <f>IF($C628=0,"",SUMIFS('DEF_SELF_SCOUT_IMPORT'!$J$42:$J$1040,'DEF_SELF_SCOUT_IMPORT'!$L$42:$L$1040,"Y",'DEF_SELF_SCOUT_IMPORT'!$E$42:$E$1040,SUBSTITUTE(SUBSTITUTE(SUBSTITUTE($B628,"~","~~"),"*","~*"),"?","~?"),'DEF_SELF_SCOUT_IMPORT'!$Q$42:$Q$1040,SUBSTITUTE(SUBSTITUTE(SUBSTITUTE($M628,"~","~~"),"*","~*"),"?","~?"),'DEF_SELF_SCOUT_IMPORT'!$F$42:$F$1040,SUBSTITUTE(SUBSTITUTE(SUBSTITUTE($N628,"~","~~"),"*","~*"),"?","~?"),'DEF_SELF_SCOUT_IMPORT'!$G$42:$G$1040,SUBSTITUTE(SUBSTITUTE(SUBSTITUTE($O628,"~","~~"),"*","~*"),"?","~?"))/$C628)</f>
        <v>0.6666666666666666</v>
      </c>
      <c r="E628" s="10">
        <f>IF($C628=0,"",SUMIFS('DEF_SELF_SCOUT_IMPORT'!$K$42:$K$1040,'DEF_SELF_SCOUT_IMPORT'!$L$42:$L$1040,"Y",'DEF_SELF_SCOUT_IMPORT'!$E$42:$E$1040,SUBSTITUTE(SUBSTITUTE(SUBSTITUTE($B628,"~","~~"),"*","~*"),"?","~?"),'DEF_SELF_SCOUT_IMPORT'!$Q$42:$Q$1040,SUBSTITUTE(SUBSTITUTE(SUBSTITUTE($M628,"~","~~"),"*","~*"),"?","~?"),'DEF_SELF_SCOUT_IMPORT'!$F$42:$F$1040,SUBSTITUTE(SUBSTITUTE(SUBSTITUTE($N628,"~","~~"),"*","~*"),"?","~?"),'DEF_SELF_SCOUT_IMPORT'!$G$42:$G$1040,SUBSTITUTE(SUBSTITUTE(SUBSTITUTE($O628,"~","~~"),"*","~*"),"?","~?"))/$C628)</f>
        <v>0.3333333333333333</v>
      </c>
      <c r="F628" s="11">
        <f>IF($C628=0,"",AVERAGEIFS('DEF_SELF_SCOUT_IMPORT'!$I$42:$I$1040,'DEF_SELF_SCOUT_IMPORT'!$L$42:$L$1040,"Y",'DEF_SELF_SCOUT_IMPORT'!$E$42:$E$1040,SUBSTITUTE(SUBSTITUTE(SUBSTITUTE($B628,"~","~~"),"*","~*"),"?","~?"),'DEF_SELF_SCOUT_IMPORT'!$Q$42:$Q$1040,SUBSTITUTE(SUBSTITUTE(SUBSTITUTE($M628,"~","~~"),"*","~*"),"?","~?"),'DEF_SELF_SCOUT_IMPORT'!$F$42:$F$1040,SUBSTITUTE(SUBSTITUTE(SUBSTITUTE($N628,"~","~~"),"*","~*"),"?","~?"),'DEF_SELF_SCOUT_IMPORT'!$G$42:$G$1040,SUBSTITUTE(SUBSTITUTE(SUBSTITUTE($O628,"~","~~"),"*","~*"),"?","~?")))</f>
        <v>10.0</v>
      </c>
      <c r="G628" s="10">
        <f>IF($C628=0,"",COUNTIFS('DEF_SELF_SCOUT_IMPORT'!$L$42:$L$1040,"Y",'DEF_SELF_SCOUT_IMPORT'!$E$42:$E$1040,SUBSTITUTE(SUBSTITUTE(SUBSTITUTE($B628,"~","~~"),"*","~*"),"?","~?"),'DEF_SELF_SCOUT_IMPORT'!$Q$42:$Q$1040,SUBSTITUTE(SUBSTITUTE(SUBSTITUTE($M628,"~","~~"),"*","~*"),"?","~?"),'DEF_SELF_SCOUT_IMPORT'!$F$42:$F$1040,SUBSTITUTE(SUBSTITUTE(SUBSTITUTE($N628,"~","~~"),"*","~*"),"?","~?"),'DEF_SELF_SCOUT_IMPORT'!$G$42:$G$1040,SUBSTITUTE(SUBSTITUTE(SUBSTITUTE($O628,"~","~~"),"*","~*"),"?","~?"),'DEF_SELF_SCOUT_IMPORT'!$H$42:$H$1040,"RUSH")/$C628)</f>
        <v>0.3333333333333333</v>
      </c>
      <c r="H628" s="10">
        <f>IF($C628=0,"",COUNTIFS('DEF_SELF_SCOUT_IMPORT'!$L$42:$L$1040,"Y",'DEF_SELF_SCOUT_IMPORT'!$E$42:$E$1040,SUBSTITUTE(SUBSTITUTE(SUBSTITUTE($B628,"~","~~"),"*","~*"),"?","~?"),'DEF_SELF_SCOUT_IMPORT'!$Q$42:$Q$1040,SUBSTITUTE(SUBSTITUTE(SUBSTITUTE($M628,"~","~~"),"*","~*"),"?","~?"),'DEF_SELF_SCOUT_IMPORT'!$F$42:$F$1040,SUBSTITUTE(SUBSTITUTE(SUBSTITUTE($N628,"~","~~"),"*","~*"),"?","~?"),'DEF_SELF_SCOUT_IMPORT'!$G$42:$G$1040,SUBSTITUTE(SUBSTITUTE(SUBSTITUTE($O628,"~","~~"),"*","~*"),"?","~?"),'DEF_SELF_SCOUT_IMPORT'!$H$42:$H$1040,"DROPBACK")/$C628)</f>
        <v>0.6666666666666666</v>
      </c>
      <c r="I628" s="14" t="str">
        <f>IF(C628=0,"",IF(C628&lt;=2,"TRACK",IF(C628=3,"LOW",IF(C628&lt;=6,"MEDIUM","HIGH"))))</f>
        <v>LOW</v>
      </c>
      <c r="J628" s="11">
        <f>IF(C628=0,"",ROUND(D628*70+(1-E628)*20+MAX(0,MIN(1,(10-F628)/10))*10,1))</f>
        <v>60.0</v>
      </c>
      <c r="K628" s="14" t="str">
        <f>IF(C628=0,"No Evidence",IF(C628&lt;=2,IF(E628&gt;0,"Explosive Alert","Track Only"),IF(C628=3,"Sample Watch",IF(E628&gt;=START_HERE!$B$31,"Explosive Alert",IF(J628&gt;=80,"Strong Candidate",IF(J628&gt;=65,"Good Candidate",IF(J628&gt;=50,"Mixed / Review","Problem Call")))))))</f>
        <v>Sample Watch</v>
      </c>
      <c r="L628" s="9" t="str">
        <f>IF(COUNTIFS('DEF_SELF_SCOUT_IMPORT'!$L$42:$L$1040,"Y",'DEF_SELF_SCOUT_IMPORT'!$E$42:$E$1040,SUBSTITUTE(SUBSTITUTE(SUBSTITUTE($B628,"~","~~"),"*","~*"),"?","~?"),'DEF_SELF_SCOUT_IMPORT'!$Q$42:$Q$1040,SUBSTITUTE(SUBSTITUTE(SUBSTITUTE($M628,"~","~~"),"*","~*"),"?","~?"),'DEF_SELF_SCOUT_IMPORT'!$F$42:$F$1040,SUBSTITUTE(SUBSTITUTE(SUBSTITUTE($N628,"~","~~"),"*","~*"),"?","~?"),'DEF_SELF_SCOUT_IMPORT'!$G$42:$G$1040,SUBSTITUTE(SUBSTITUTE(SUBSTITUTE($O628,"~","~~"),"*","~*"),"?","~?"),'DEF_SELF_SCOUT_IMPORT'!$J$42:$J$1040,"")&gt;0,"Unscored clean outcome; review result tags before using score.",IF(C628=0,"No matching defensive reps; film confirmation needed.",IF(K628="Explosive Alert","Explosive risk; review clips before using as answer.",IF(C628&lt;=2,"Track only; not enough sample.",IF(C628=3,IF(E628&gt;0,"Sample watch with explosive exposure; review clips and build the sample.",IF(J628&gt;=65,"Good signal, but sample is limited.","Sample watch; review clips and build the sample.")),IF(K628="Problem Call","Problem area; practice or call-sheet review.",IF(K628="Strong Candidate","Strong call-fit candidate; confirm on film.",IF(K628="Good Candidate","Good call-fit signal; confirm on film.","Mixed signal; review fit and execution on film."))))))))</f>
        <v>Sample watch with explosive exposure; review clips and build the sample.</v>
      </c>
      <c r="M628" s="8" t="s">
        <v>39</v>
      </c>
      <c r="N628" s="8" t="s">
        <v>120</v>
      </c>
      <c r="O628" s="8" t="s">
        <v>206</v>
      </c>
      <c r="P628" s="8"/>
      <c r="Q628" s="8"/>
      <c r="R628" s="8" t="s">
        <v>28</v>
      </c>
      <c r="S628" s="2" t="s">
        <v>307</v>
      </c>
      <c r="T628" s="2">
        <f>IF(C628=0,0,IF(C628&gt;=CALL_LOOKUP_BOARD!$B$7,IF(OR(K628="Problem Call",K628="Explosive Alert"),10000000,20000000),0)+IF(C628&gt;=CALL_LOOKUP_BOARD!$B$7,J628*1000+MIN(C628,999),C628*1000+J628)+0.00996000)</f>
        <v>3060.00996</v>
      </c>
      <c r="U628" s="2">
        <f>IF(C628=0,"",IF(COUNTIFS($S$589:$S$803,SUBSTITUTE(SUBSTITUTE(SUBSTITUTE(S628,"~","~~"),"*","~*"),"?","~?"),$T$589:$T$803,"&gt;"&amp;T628)=0,S628,""))</f>
        <v/>
      </c>
    </row>
    <row r="629" spans="1:21" ht="38" customHeight="1">
      <c r="A629" s="8" t="s">
        <v>306</v>
      </c>
      <c r="B629" s="8" t="s">
        <v>67</v>
      </c>
      <c r="C629" s="12">
        <f>COUNTIFS('DEF_SELF_SCOUT_IMPORT'!$L$42:$L$1040,"Y",'DEF_SELF_SCOUT_IMPORT'!$E$42:$E$1040,SUBSTITUTE(SUBSTITUTE(SUBSTITUTE($B629,"~","~~"),"*","~*"),"?","~?"),'DEF_SELF_SCOUT_IMPORT'!$Q$42:$Q$1040,SUBSTITUTE(SUBSTITUTE(SUBSTITUTE($M629,"~","~~"),"*","~*"),"?","~?"),'DEF_SELF_SCOUT_IMPORT'!$F$42:$F$1040,SUBSTITUTE(SUBSTITUTE(SUBSTITUTE($N629,"~","~~"),"*","~*"),"?","~?"),'DEF_SELF_SCOUT_IMPORT'!$G$42:$G$1040,SUBSTITUTE(SUBSTITUTE(SUBSTITUTE($O629,"~","~~"),"*","~*"),"?","~?"))</f>
        <v>2</v>
      </c>
      <c r="D629" s="10">
        <f>IF($C629=0,"",SUMIFS('DEF_SELF_SCOUT_IMPORT'!$J$42:$J$1040,'DEF_SELF_SCOUT_IMPORT'!$L$42:$L$1040,"Y",'DEF_SELF_SCOUT_IMPORT'!$E$42:$E$1040,SUBSTITUTE(SUBSTITUTE(SUBSTITUTE($B629,"~","~~"),"*","~*"),"?","~?"),'DEF_SELF_SCOUT_IMPORT'!$Q$42:$Q$1040,SUBSTITUTE(SUBSTITUTE(SUBSTITUTE($M629,"~","~~"),"*","~*"),"?","~?"),'DEF_SELF_SCOUT_IMPORT'!$F$42:$F$1040,SUBSTITUTE(SUBSTITUTE(SUBSTITUTE($N629,"~","~~"),"*","~*"),"?","~?"),'DEF_SELF_SCOUT_IMPORT'!$G$42:$G$1040,SUBSTITUTE(SUBSTITUTE(SUBSTITUTE($O629,"~","~~"),"*","~*"),"?","~?"))/$C629)</f>
        <v>0.0</v>
      </c>
      <c r="E629" s="10">
        <f>IF($C629=0,"",SUMIFS('DEF_SELF_SCOUT_IMPORT'!$K$42:$K$1040,'DEF_SELF_SCOUT_IMPORT'!$L$42:$L$1040,"Y",'DEF_SELF_SCOUT_IMPORT'!$E$42:$E$1040,SUBSTITUTE(SUBSTITUTE(SUBSTITUTE($B629,"~","~~"),"*","~*"),"?","~?"),'DEF_SELF_SCOUT_IMPORT'!$Q$42:$Q$1040,SUBSTITUTE(SUBSTITUTE(SUBSTITUTE($M629,"~","~~"),"*","~*"),"?","~?"),'DEF_SELF_SCOUT_IMPORT'!$F$42:$F$1040,SUBSTITUTE(SUBSTITUTE(SUBSTITUTE($N629,"~","~~"),"*","~*"),"?","~?"),'DEF_SELF_SCOUT_IMPORT'!$G$42:$G$1040,SUBSTITUTE(SUBSTITUTE(SUBSTITUTE($O629,"~","~~"),"*","~*"),"?","~?"))/$C629)</f>
        <v>0.0</v>
      </c>
      <c r="F629" s="11">
        <f>IF($C629=0,"",AVERAGEIFS('DEF_SELF_SCOUT_IMPORT'!$I$42:$I$1040,'DEF_SELF_SCOUT_IMPORT'!$L$42:$L$1040,"Y",'DEF_SELF_SCOUT_IMPORT'!$E$42:$E$1040,SUBSTITUTE(SUBSTITUTE(SUBSTITUTE($B629,"~","~~"),"*","~*"),"?","~?"),'DEF_SELF_SCOUT_IMPORT'!$Q$42:$Q$1040,SUBSTITUTE(SUBSTITUTE(SUBSTITUTE($M629,"~","~~"),"*","~*"),"?","~?"),'DEF_SELF_SCOUT_IMPORT'!$F$42:$F$1040,SUBSTITUTE(SUBSTITUTE(SUBSTITUTE($N629,"~","~~"),"*","~*"),"?","~?"),'DEF_SELF_SCOUT_IMPORT'!$G$42:$G$1040,SUBSTITUTE(SUBSTITUTE(SUBSTITUTE($O629,"~","~~"),"*","~*"),"?","~?")))</f>
        <v>5.0</v>
      </c>
      <c r="G629" s="10">
        <f>IF($C629=0,"",COUNTIFS('DEF_SELF_SCOUT_IMPORT'!$L$42:$L$1040,"Y",'DEF_SELF_SCOUT_IMPORT'!$E$42:$E$1040,SUBSTITUTE(SUBSTITUTE(SUBSTITUTE($B629,"~","~~"),"*","~*"),"?","~?"),'DEF_SELF_SCOUT_IMPORT'!$Q$42:$Q$1040,SUBSTITUTE(SUBSTITUTE(SUBSTITUTE($M629,"~","~~"),"*","~*"),"?","~?"),'DEF_SELF_SCOUT_IMPORT'!$F$42:$F$1040,SUBSTITUTE(SUBSTITUTE(SUBSTITUTE($N629,"~","~~"),"*","~*"),"?","~?"),'DEF_SELF_SCOUT_IMPORT'!$G$42:$G$1040,SUBSTITUTE(SUBSTITUTE(SUBSTITUTE($O629,"~","~~"),"*","~*"),"?","~?"),'DEF_SELF_SCOUT_IMPORT'!$H$42:$H$1040,"RUSH")/$C629)</f>
        <v>1.0</v>
      </c>
      <c r="H629" s="10">
        <f>IF($C629=0,"",COUNTIFS('DEF_SELF_SCOUT_IMPORT'!$L$42:$L$1040,"Y",'DEF_SELF_SCOUT_IMPORT'!$E$42:$E$1040,SUBSTITUTE(SUBSTITUTE(SUBSTITUTE($B629,"~","~~"),"*","~*"),"?","~?"),'DEF_SELF_SCOUT_IMPORT'!$Q$42:$Q$1040,SUBSTITUTE(SUBSTITUTE(SUBSTITUTE($M629,"~","~~"),"*","~*"),"?","~?"),'DEF_SELF_SCOUT_IMPORT'!$F$42:$F$1040,SUBSTITUTE(SUBSTITUTE(SUBSTITUTE($N629,"~","~~"),"*","~*"),"?","~?"),'DEF_SELF_SCOUT_IMPORT'!$G$42:$G$1040,SUBSTITUTE(SUBSTITUTE(SUBSTITUTE($O629,"~","~~"),"*","~*"),"?","~?"),'DEF_SELF_SCOUT_IMPORT'!$H$42:$H$1040,"DROPBACK")/$C629)</f>
        <v>0.0</v>
      </c>
      <c r="I629" s="14" t="str">
        <f>IF(C629=0,"",IF(C629&lt;=2,"TRACK",IF(C629=3,"LOW",IF(C629&lt;=6,"MEDIUM","HIGH"))))</f>
        <v>TRACK</v>
      </c>
      <c r="J629" s="11">
        <f>IF(C629=0,"",ROUND(D629*70+(1-E629)*20+MAX(0,MIN(1,(10-F629)/10))*10,1))</f>
        <v>25.0</v>
      </c>
      <c r="K629" s="14" t="str">
        <f>IF(C629=0,"No Evidence",IF(C629&lt;=2,IF(E629&gt;0,"Explosive Alert","Track Only"),IF(C629=3,"Sample Watch",IF(E629&gt;=START_HERE!$B$31,"Explosive Alert",IF(J629&gt;=80,"Strong Candidate",IF(J629&gt;=65,"Good Candidate",IF(J629&gt;=50,"Mixed / Review","Problem Call")))))))</f>
        <v>Track Only</v>
      </c>
      <c r="L629" s="9" t="str">
        <f>IF(COUNTIFS('DEF_SELF_SCOUT_IMPORT'!$L$42:$L$1040,"Y",'DEF_SELF_SCOUT_IMPORT'!$E$42:$E$1040,SUBSTITUTE(SUBSTITUTE(SUBSTITUTE($B629,"~","~~"),"*","~*"),"?","~?"),'DEF_SELF_SCOUT_IMPORT'!$Q$42:$Q$1040,SUBSTITUTE(SUBSTITUTE(SUBSTITUTE($M629,"~","~~"),"*","~*"),"?","~?"),'DEF_SELF_SCOUT_IMPORT'!$F$42:$F$1040,SUBSTITUTE(SUBSTITUTE(SUBSTITUTE($N629,"~","~~"),"*","~*"),"?","~?"),'DEF_SELF_SCOUT_IMPORT'!$G$42:$G$1040,SUBSTITUTE(SUBSTITUTE(SUBSTITUTE($O629,"~","~~"),"*","~*"),"?","~?"),'DEF_SELF_SCOUT_IMPORT'!$J$42:$J$1040,"")&gt;0,"Unscored clean outcome; review result tags before using score.",IF(C629=0,"No matching defensive reps; film confirmation needed.",IF(K629="Explosive Alert","Explosive risk; review clips before using as answer.",IF(C629&lt;=2,"Track only; not enough sample.",IF(C629=3,IF(E629&gt;0,"Sample watch with explosive exposure; review clips and build the sample.",IF(J629&gt;=65,"Good signal, but sample is limited.","Sample watch; review clips and build the sample.")),IF(K629="Problem Call","Problem area; practice or call-sheet review.",IF(K629="Strong Candidate","Strong call-fit candidate; confirm on film.",IF(K629="Good Candidate","Good call-fit signal; confirm on film.","Mixed signal; review fit and execution on film."))))))))</f>
        <v>Track only; not enough sample.</v>
      </c>
      <c r="M629" s="8" t="s">
        <v>39</v>
      </c>
      <c r="N629" s="8" t="s">
        <v>120</v>
      </c>
      <c r="O629" s="8" t="s">
        <v>206</v>
      </c>
      <c r="P629" s="8"/>
      <c r="Q629" s="8"/>
      <c r="R629" s="8" t="s">
        <v>28</v>
      </c>
      <c r="S629" s="2" t="s">
        <v>307</v>
      </c>
      <c r="T629" s="2">
        <f>IF(C629=0,0,IF(C629&gt;=CALL_LOOKUP_BOARD!$B$7,IF(OR(K629="Problem Call",K629="Explosive Alert"),10000000,20000000),0)+IF(C629&gt;=CALL_LOOKUP_BOARD!$B$7,J629*1000+MIN(C629,999),C629*1000+J629)+0.00995900)</f>
        <v>2025.009959</v>
      </c>
      <c r="U629" s="2">
        <f>IF(C629=0,"",IF(COUNTIFS($S$589:$S$803,SUBSTITUTE(SUBSTITUTE(SUBSTITUTE(S629,"~","~~"),"*","~*"),"?","~?"),$T$589:$T$803,"&gt;"&amp;T629)=0,S629,""))</f>
        <v/>
      </c>
    </row>
    <row r="630" spans="1:21" ht="38" customHeight="1">
      <c r="A630" s="8" t="s">
        <v>306</v>
      </c>
      <c r="B630" s="8" t="s">
        <v>69</v>
      </c>
      <c r="C630" s="12">
        <f>COUNTIFS('DEF_SELF_SCOUT_IMPORT'!$L$42:$L$1040,"Y",'DEF_SELF_SCOUT_IMPORT'!$E$42:$E$1040,SUBSTITUTE(SUBSTITUTE(SUBSTITUTE($B630,"~","~~"),"*","~*"),"?","~?"),'DEF_SELF_SCOUT_IMPORT'!$Q$42:$Q$1040,SUBSTITUTE(SUBSTITUTE(SUBSTITUTE($M630,"~","~~"),"*","~*"),"?","~?"),'DEF_SELF_SCOUT_IMPORT'!$F$42:$F$1040,SUBSTITUTE(SUBSTITUTE(SUBSTITUTE($N630,"~","~~"),"*","~*"),"?","~?"),'DEF_SELF_SCOUT_IMPORT'!$G$42:$G$1040,SUBSTITUTE(SUBSTITUTE(SUBSTITUTE($O630,"~","~~"),"*","~*"),"?","~?"))</f>
        <v>1</v>
      </c>
      <c r="D630" s="10">
        <f>IF($C630=0,"",SUMIFS('DEF_SELF_SCOUT_IMPORT'!$J$42:$J$1040,'DEF_SELF_SCOUT_IMPORT'!$L$42:$L$1040,"Y",'DEF_SELF_SCOUT_IMPORT'!$E$42:$E$1040,SUBSTITUTE(SUBSTITUTE(SUBSTITUTE($B630,"~","~~"),"*","~*"),"?","~?"),'DEF_SELF_SCOUT_IMPORT'!$Q$42:$Q$1040,SUBSTITUTE(SUBSTITUTE(SUBSTITUTE($M630,"~","~~"),"*","~*"),"?","~?"),'DEF_SELF_SCOUT_IMPORT'!$F$42:$F$1040,SUBSTITUTE(SUBSTITUTE(SUBSTITUTE($N630,"~","~~"),"*","~*"),"?","~?"),'DEF_SELF_SCOUT_IMPORT'!$G$42:$G$1040,SUBSTITUTE(SUBSTITUTE(SUBSTITUTE($O630,"~","~~"),"*","~*"),"?","~?"))/$C630)</f>
        <v>1.0</v>
      </c>
      <c r="E630" s="10">
        <f>IF($C630=0,"",SUMIFS('DEF_SELF_SCOUT_IMPORT'!$K$42:$K$1040,'DEF_SELF_SCOUT_IMPORT'!$L$42:$L$1040,"Y",'DEF_SELF_SCOUT_IMPORT'!$E$42:$E$1040,SUBSTITUTE(SUBSTITUTE(SUBSTITUTE($B630,"~","~~"),"*","~*"),"?","~?"),'DEF_SELF_SCOUT_IMPORT'!$Q$42:$Q$1040,SUBSTITUTE(SUBSTITUTE(SUBSTITUTE($M630,"~","~~"),"*","~*"),"?","~?"),'DEF_SELF_SCOUT_IMPORT'!$F$42:$F$1040,SUBSTITUTE(SUBSTITUTE(SUBSTITUTE($N630,"~","~~"),"*","~*"),"?","~?"),'DEF_SELF_SCOUT_IMPORT'!$G$42:$G$1040,SUBSTITUTE(SUBSTITUTE(SUBSTITUTE($O630,"~","~~"),"*","~*"),"?","~?"))/$C630)</f>
        <v>0.0</v>
      </c>
      <c r="F630" s="11">
        <f>IF($C630=0,"",AVERAGEIFS('DEF_SELF_SCOUT_IMPORT'!$I$42:$I$1040,'DEF_SELF_SCOUT_IMPORT'!$L$42:$L$1040,"Y",'DEF_SELF_SCOUT_IMPORT'!$E$42:$E$1040,SUBSTITUTE(SUBSTITUTE(SUBSTITUTE($B630,"~","~~"),"*","~*"),"?","~?"),'DEF_SELF_SCOUT_IMPORT'!$Q$42:$Q$1040,SUBSTITUTE(SUBSTITUTE(SUBSTITUTE($M630,"~","~~"),"*","~*"),"?","~?"),'DEF_SELF_SCOUT_IMPORT'!$F$42:$F$1040,SUBSTITUTE(SUBSTITUTE(SUBSTITUTE($N630,"~","~~"),"*","~*"),"?","~?"),'DEF_SELF_SCOUT_IMPORT'!$G$42:$G$1040,SUBSTITUTE(SUBSTITUTE(SUBSTITUTE($O630,"~","~~"),"*","~*"),"?","~?")))</f>
        <v>2.0</v>
      </c>
      <c r="G630" s="10">
        <f>IF($C630=0,"",COUNTIFS('DEF_SELF_SCOUT_IMPORT'!$L$42:$L$1040,"Y",'DEF_SELF_SCOUT_IMPORT'!$E$42:$E$1040,SUBSTITUTE(SUBSTITUTE(SUBSTITUTE($B630,"~","~~"),"*","~*"),"?","~?"),'DEF_SELF_SCOUT_IMPORT'!$Q$42:$Q$1040,SUBSTITUTE(SUBSTITUTE(SUBSTITUTE($M630,"~","~~"),"*","~*"),"?","~?"),'DEF_SELF_SCOUT_IMPORT'!$F$42:$F$1040,SUBSTITUTE(SUBSTITUTE(SUBSTITUTE($N630,"~","~~"),"*","~*"),"?","~?"),'DEF_SELF_SCOUT_IMPORT'!$G$42:$G$1040,SUBSTITUTE(SUBSTITUTE(SUBSTITUTE($O630,"~","~~"),"*","~*"),"?","~?"),'DEF_SELF_SCOUT_IMPORT'!$H$42:$H$1040,"RUSH")/$C630)</f>
        <v>1.0</v>
      </c>
      <c r="H630" s="10">
        <f>IF($C630=0,"",COUNTIFS('DEF_SELF_SCOUT_IMPORT'!$L$42:$L$1040,"Y",'DEF_SELF_SCOUT_IMPORT'!$E$42:$E$1040,SUBSTITUTE(SUBSTITUTE(SUBSTITUTE($B630,"~","~~"),"*","~*"),"?","~?"),'DEF_SELF_SCOUT_IMPORT'!$Q$42:$Q$1040,SUBSTITUTE(SUBSTITUTE(SUBSTITUTE($M630,"~","~~"),"*","~*"),"?","~?"),'DEF_SELF_SCOUT_IMPORT'!$F$42:$F$1040,SUBSTITUTE(SUBSTITUTE(SUBSTITUTE($N630,"~","~~"),"*","~*"),"?","~?"),'DEF_SELF_SCOUT_IMPORT'!$G$42:$G$1040,SUBSTITUTE(SUBSTITUTE(SUBSTITUTE($O630,"~","~~"),"*","~*"),"?","~?"),'DEF_SELF_SCOUT_IMPORT'!$H$42:$H$1040,"DROPBACK")/$C630)</f>
        <v>0.0</v>
      </c>
      <c r="I630" s="14" t="str">
        <f>IF(C630=0,"",IF(C630&lt;=2,"TRACK",IF(C630=3,"LOW",IF(C630&lt;=6,"MEDIUM","HIGH"))))</f>
        <v>TRACK</v>
      </c>
      <c r="J630" s="11">
        <f>IF(C630=0,"",ROUND(D630*70+(1-E630)*20+MAX(0,MIN(1,(10-F630)/10))*10,1))</f>
        <v>98.0</v>
      </c>
      <c r="K630" s="14" t="str">
        <f>IF(C630=0,"No Evidence",IF(C630&lt;=2,IF(E630&gt;0,"Explosive Alert","Track Only"),IF(C630=3,"Sample Watch",IF(E630&gt;=START_HERE!$B$31,"Explosive Alert",IF(J630&gt;=80,"Strong Candidate",IF(J630&gt;=65,"Good Candidate",IF(J630&gt;=50,"Mixed / Review","Problem Call")))))))</f>
        <v>Track Only</v>
      </c>
      <c r="L630" s="9" t="str">
        <f>IF(COUNTIFS('DEF_SELF_SCOUT_IMPORT'!$L$42:$L$1040,"Y",'DEF_SELF_SCOUT_IMPORT'!$E$42:$E$1040,SUBSTITUTE(SUBSTITUTE(SUBSTITUTE($B630,"~","~~"),"*","~*"),"?","~?"),'DEF_SELF_SCOUT_IMPORT'!$Q$42:$Q$1040,SUBSTITUTE(SUBSTITUTE(SUBSTITUTE($M630,"~","~~"),"*","~*"),"?","~?"),'DEF_SELF_SCOUT_IMPORT'!$F$42:$F$1040,SUBSTITUTE(SUBSTITUTE(SUBSTITUTE($N630,"~","~~"),"*","~*"),"?","~?"),'DEF_SELF_SCOUT_IMPORT'!$G$42:$G$1040,SUBSTITUTE(SUBSTITUTE(SUBSTITUTE($O630,"~","~~"),"*","~*"),"?","~?"),'DEF_SELF_SCOUT_IMPORT'!$J$42:$J$1040,"")&gt;0,"Unscored clean outcome; review result tags before using score.",IF(C630=0,"No matching defensive reps; film confirmation needed.",IF(K630="Explosive Alert","Explosive risk; review clips before using as answer.",IF(C630&lt;=2,"Track only; not enough sample.",IF(C630=3,IF(E630&gt;0,"Sample watch with explosive exposure; review clips and build the sample.",IF(J630&gt;=65,"Good signal, but sample is limited.","Sample watch; review clips and build the sample.")),IF(K630="Problem Call","Problem area; practice or call-sheet review.",IF(K630="Strong Candidate","Strong call-fit candidate; confirm on film.",IF(K630="Good Candidate","Good call-fit signal; confirm on film.","Mixed signal; review fit and execution on film."))))))))</f>
        <v>Track only; not enough sample.</v>
      </c>
      <c r="M630" s="8" t="s">
        <v>39</v>
      </c>
      <c r="N630" s="8" t="s">
        <v>120</v>
      </c>
      <c r="O630" s="8" t="s">
        <v>206</v>
      </c>
      <c r="P630" s="8"/>
      <c r="Q630" s="8"/>
      <c r="R630" s="8" t="s">
        <v>28</v>
      </c>
      <c r="S630" s="2" t="s">
        <v>307</v>
      </c>
      <c r="T630" s="2">
        <f>IF(C630=0,0,IF(C630&gt;=CALL_LOOKUP_BOARD!$B$7,IF(OR(K630="Problem Call",K630="Explosive Alert"),10000000,20000000),0)+IF(C630&gt;=CALL_LOOKUP_BOARD!$B$7,J630*1000+MIN(C630,999),C630*1000+J630)+0.00995800)</f>
        <v>1098.009958</v>
      </c>
      <c r="U630" s="2">
        <f>IF(C630=0,"",IF(COUNTIFS($S$589:$S$803,SUBSTITUTE(SUBSTITUTE(SUBSTITUTE(S630,"~","~~"),"*","~*"),"?","~?"),$T$589:$T$803,"&gt;"&amp;T630)=0,S630,""))</f>
        <v/>
      </c>
    </row>
    <row r="631" spans="1:21" ht="38" customHeight="1">
      <c r="A631" s="8" t="s">
        <v>308</v>
      </c>
      <c r="B631" s="8" t="s">
        <v>44</v>
      </c>
      <c r="C631" s="12">
        <f>COUNTIFS('DEF_SELF_SCOUT_IMPORT'!$L$42:$L$1040,"Y",'DEF_SELF_SCOUT_IMPORT'!$E$42:$E$1040,SUBSTITUTE(SUBSTITUTE(SUBSTITUTE($B631,"~","~~"),"*","~*"),"?","~?"),'DEF_SELF_SCOUT_IMPORT'!$Q$42:$Q$1040,SUBSTITUTE(SUBSTITUTE(SUBSTITUTE($M631,"~","~~"),"*","~*"),"?","~?"),'DEF_SELF_SCOUT_IMPORT'!$F$42:$F$1040,SUBSTITUTE(SUBSTITUTE(SUBSTITUTE($N631,"~","~~"),"*","~*"),"?","~?"),'DEF_SELF_SCOUT_IMPORT'!$G$42:$G$1040,SUBSTITUTE(SUBSTITUTE(SUBSTITUTE($O631,"~","~~"),"*","~*"),"?","~?"))</f>
        <v>1</v>
      </c>
      <c r="D631" s="10">
        <f>IF($C631=0,"",SUMIFS('DEF_SELF_SCOUT_IMPORT'!$J$42:$J$1040,'DEF_SELF_SCOUT_IMPORT'!$L$42:$L$1040,"Y",'DEF_SELF_SCOUT_IMPORT'!$E$42:$E$1040,SUBSTITUTE(SUBSTITUTE(SUBSTITUTE($B631,"~","~~"),"*","~*"),"?","~?"),'DEF_SELF_SCOUT_IMPORT'!$Q$42:$Q$1040,SUBSTITUTE(SUBSTITUTE(SUBSTITUTE($M631,"~","~~"),"*","~*"),"?","~?"),'DEF_SELF_SCOUT_IMPORT'!$F$42:$F$1040,SUBSTITUTE(SUBSTITUTE(SUBSTITUTE($N631,"~","~~"),"*","~*"),"?","~?"),'DEF_SELF_SCOUT_IMPORT'!$G$42:$G$1040,SUBSTITUTE(SUBSTITUTE(SUBSTITUTE($O631,"~","~~"),"*","~*"),"?","~?"))/$C631)</f>
        <v>0.0</v>
      </c>
      <c r="E631" s="10">
        <f>IF($C631=0,"",SUMIFS('DEF_SELF_SCOUT_IMPORT'!$K$42:$K$1040,'DEF_SELF_SCOUT_IMPORT'!$L$42:$L$1040,"Y",'DEF_SELF_SCOUT_IMPORT'!$E$42:$E$1040,SUBSTITUTE(SUBSTITUTE(SUBSTITUTE($B631,"~","~~"),"*","~*"),"?","~?"),'DEF_SELF_SCOUT_IMPORT'!$Q$42:$Q$1040,SUBSTITUTE(SUBSTITUTE(SUBSTITUTE($M631,"~","~~"),"*","~*"),"?","~?"),'DEF_SELF_SCOUT_IMPORT'!$F$42:$F$1040,SUBSTITUTE(SUBSTITUTE(SUBSTITUTE($N631,"~","~~"),"*","~*"),"?","~?"),'DEF_SELF_SCOUT_IMPORT'!$G$42:$G$1040,SUBSTITUTE(SUBSTITUTE(SUBSTITUTE($O631,"~","~~"),"*","~*"),"?","~?"))/$C631)</f>
        <v>0.0</v>
      </c>
      <c r="F631" s="11">
        <f>IF($C631=0,"",AVERAGEIFS('DEF_SELF_SCOUT_IMPORT'!$I$42:$I$1040,'DEF_SELF_SCOUT_IMPORT'!$L$42:$L$1040,"Y",'DEF_SELF_SCOUT_IMPORT'!$E$42:$E$1040,SUBSTITUTE(SUBSTITUTE(SUBSTITUTE($B631,"~","~~"),"*","~*"),"?","~?"),'DEF_SELF_SCOUT_IMPORT'!$Q$42:$Q$1040,SUBSTITUTE(SUBSTITUTE(SUBSTITUTE($M631,"~","~~"),"*","~*"),"?","~?"),'DEF_SELF_SCOUT_IMPORT'!$F$42:$F$1040,SUBSTITUTE(SUBSTITUTE(SUBSTITUTE($N631,"~","~~"),"*","~*"),"?","~?"),'DEF_SELF_SCOUT_IMPORT'!$G$42:$G$1040,SUBSTITUTE(SUBSTITUTE(SUBSTITUTE($O631,"~","~~"),"*","~*"),"?","~?")))</f>
        <v>11.0</v>
      </c>
      <c r="G631" s="10">
        <f>IF($C631=0,"",COUNTIFS('DEF_SELF_SCOUT_IMPORT'!$L$42:$L$1040,"Y",'DEF_SELF_SCOUT_IMPORT'!$E$42:$E$1040,SUBSTITUTE(SUBSTITUTE(SUBSTITUTE($B631,"~","~~"),"*","~*"),"?","~?"),'DEF_SELF_SCOUT_IMPORT'!$Q$42:$Q$1040,SUBSTITUTE(SUBSTITUTE(SUBSTITUTE($M631,"~","~~"),"*","~*"),"?","~?"),'DEF_SELF_SCOUT_IMPORT'!$F$42:$F$1040,SUBSTITUTE(SUBSTITUTE(SUBSTITUTE($N631,"~","~~"),"*","~*"),"?","~?"),'DEF_SELF_SCOUT_IMPORT'!$G$42:$G$1040,SUBSTITUTE(SUBSTITUTE(SUBSTITUTE($O631,"~","~~"),"*","~*"),"?","~?"),'DEF_SELF_SCOUT_IMPORT'!$H$42:$H$1040,"RUSH")/$C631)</f>
        <v>0.0</v>
      </c>
      <c r="H631" s="10">
        <f>IF($C631=0,"",COUNTIFS('DEF_SELF_SCOUT_IMPORT'!$L$42:$L$1040,"Y",'DEF_SELF_SCOUT_IMPORT'!$E$42:$E$1040,SUBSTITUTE(SUBSTITUTE(SUBSTITUTE($B631,"~","~~"),"*","~*"),"?","~?"),'DEF_SELF_SCOUT_IMPORT'!$Q$42:$Q$1040,SUBSTITUTE(SUBSTITUTE(SUBSTITUTE($M631,"~","~~"),"*","~*"),"?","~?"),'DEF_SELF_SCOUT_IMPORT'!$F$42:$F$1040,SUBSTITUTE(SUBSTITUTE(SUBSTITUTE($N631,"~","~~"),"*","~*"),"?","~?"),'DEF_SELF_SCOUT_IMPORT'!$G$42:$G$1040,SUBSTITUTE(SUBSTITUTE(SUBSTITUTE($O631,"~","~~"),"*","~*"),"?","~?"),'DEF_SELF_SCOUT_IMPORT'!$H$42:$H$1040,"DROPBACK")/$C631)</f>
        <v>1.0</v>
      </c>
      <c r="I631" s="14" t="str">
        <f>IF(C631=0,"",IF(C631&lt;=2,"TRACK",IF(C631=3,"LOW",IF(C631&lt;=6,"MEDIUM","HIGH"))))</f>
        <v>TRACK</v>
      </c>
      <c r="J631" s="11">
        <f>IF(C631=0,"",ROUND(D631*70+(1-E631)*20+MAX(0,MIN(1,(10-F631)/10))*10,1))</f>
        <v>20.0</v>
      </c>
      <c r="K631" s="14" t="str">
        <f>IF(C631=0,"No Evidence",IF(C631&lt;=2,IF(E631&gt;0,"Explosive Alert","Track Only"),IF(C631=3,"Sample Watch",IF(E631&gt;=START_HERE!$B$31,"Explosive Alert",IF(J631&gt;=80,"Strong Candidate",IF(J631&gt;=65,"Good Candidate",IF(J631&gt;=50,"Mixed / Review","Problem Call")))))))</f>
        <v>Track Only</v>
      </c>
      <c r="L631" s="9" t="str">
        <f>IF(COUNTIFS('DEF_SELF_SCOUT_IMPORT'!$L$42:$L$1040,"Y",'DEF_SELF_SCOUT_IMPORT'!$E$42:$E$1040,SUBSTITUTE(SUBSTITUTE(SUBSTITUTE($B631,"~","~~"),"*","~*"),"?","~?"),'DEF_SELF_SCOUT_IMPORT'!$Q$42:$Q$1040,SUBSTITUTE(SUBSTITUTE(SUBSTITUTE($M631,"~","~~"),"*","~*"),"?","~?"),'DEF_SELF_SCOUT_IMPORT'!$F$42:$F$1040,SUBSTITUTE(SUBSTITUTE(SUBSTITUTE($N631,"~","~~"),"*","~*"),"?","~?"),'DEF_SELF_SCOUT_IMPORT'!$G$42:$G$1040,SUBSTITUTE(SUBSTITUTE(SUBSTITUTE($O631,"~","~~"),"*","~*"),"?","~?"),'DEF_SELF_SCOUT_IMPORT'!$J$42:$J$1040,"")&gt;0,"Unscored clean outcome; review result tags before using score.",IF(C631=0,"No matching defensive reps; film confirmation needed.",IF(K631="Explosive Alert","Explosive risk; review clips before using as answer.",IF(C631&lt;=2,"Track only; not enough sample.",IF(C631=3,IF(E631&gt;0,"Sample watch with explosive exposure; review clips and build the sample.",IF(J631&gt;=65,"Good signal, but sample is limited.","Sample watch; review clips and build the sample.")),IF(K631="Problem Call","Problem area; practice or call-sheet review.",IF(K631="Strong Candidate","Strong call-fit candidate; confirm on film.",IF(K631="Good Candidate","Good call-fit signal; confirm on film.","Mixed signal; review fit and execution on film."))))))))</f>
        <v>Track only; not enough sample.</v>
      </c>
      <c r="M631" s="8" t="s">
        <v>39</v>
      </c>
      <c r="N631" s="8" t="s">
        <v>120</v>
      </c>
      <c r="O631" s="8" t="s">
        <v>222</v>
      </c>
      <c r="P631" s="8"/>
      <c r="Q631" s="8"/>
      <c r="R631" s="8" t="s">
        <v>28</v>
      </c>
      <c r="S631" s="2" t="s">
        <v>309</v>
      </c>
      <c r="T631" s="2">
        <f>IF(C631=0,0,IF(C631&gt;=CALL_LOOKUP_BOARD!$B$7,IF(OR(K631="Problem Call",K631="Explosive Alert"),10000000,20000000),0)+IF(C631&gt;=CALL_LOOKUP_BOARD!$B$7,J631*1000+MIN(C631,999),C631*1000+J631)+0.00995700)</f>
        <v>1020.009957</v>
      </c>
      <c r="U631" s="2">
        <f>IF(C631=0,"",IF(COUNTIFS($S$589:$S$803,SUBSTITUTE(SUBSTITUTE(SUBSTITUTE(S631,"~","~~"),"*","~*"),"?","~?"),$T$589:$T$803,"&gt;"&amp;T631)=0,S631,""))</f>
        <v/>
      </c>
    </row>
    <row r="632" spans="1:21" ht="38" customHeight="1">
      <c r="A632" s="8" t="s">
        <v>308</v>
      </c>
      <c r="B632" s="8" t="s">
        <v>46</v>
      </c>
      <c r="C632" s="12">
        <f>COUNTIFS('DEF_SELF_SCOUT_IMPORT'!$L$42:$L$1040,"Y",'DEF_SELF_SCOUT_IMPORT'!$E$42:$E$1040,SUBSTITUTE(SUBSTITUTE(SUBSTITUTE($B632,"~","~~"),"*","~*"),"?","~?"),'DEF_SELF_SCOUT_IMPORT'!$Q$42:$Q$1040,SUBSTITUTE(SUBSTITUTE(SUBSTITUTE($M632,"~","~~"),"*","~*"),"?","~?"),'DEF_SELF_SCOUT_IMPORT'!$F$42:$F$1040,SUBSTITUTE(SUBSTITUTE(SUBSTITUTE($N632,"~","~~"),"*","~*"),"?","~?"),'DEF_SELF_SCOUT_IMPORT'!$G$42:$G$1040,SUBSTITUTE(SUBSTITUTE(SUBSTITUTE($O632,"~","~~"),"*","~*"),"?","~?"))</f>
        <v>1</v>
      </c>
      <c r="D632" s="10">
        <f>IF($C632=0,"",SUMIFS('DEF_SELF_SCOUT_IMPORT'!$J$42:$J$1040,'DEF_SELF_SCOUT_IMPORT'!$L$42:$L$1040,"Y",'DEF_SELF_SCOUT_IMPORT'!$E$42:$E$1040,SUBSTITUTE(SUBSTITUTE(SUBSTITUTE($B632,"~","~~"),"*","~*"),"?","~?"),'DEF_SELF_SCOUT_IMPORT'!$Q$42:$Q$1040,SUBSTITUTE(SUBSTITUTE(SUBSTITUTE($M632,"~","~~"),"*","~*"),"?","~?"),'DEF_SELF_SCOUT_IMPORT'!$F$42:$F$1040,SUBSTITUTE(SUBSTITUTE(SUBSTITUTE($N632,"~","~~"),"*","~*"),"?","~?"),'DEF_SELF_SCOUT_IMPORT'!$G$42:$G$1040,SUBSTITUTE(SUBSTITUTE(SUBSTITUTE($O632,"~","~~"),"*","~*"),"?","~?"))/$C632)</f>
        <v>1.0</v>
      </c>
      <c r="E632" s="10">
        <f>IF($C632=0,"",SUMIFS('DEF_SELF_SCOUT_IMPORT'!$K$42:$K$1040,'DEF_SELF_SCOUT_IMPORT'!$L$42:$L$1040,"Y",'DEF_SELF_SCOUT_IMPORT'!$E$42:$E$1040,SUBSTITUTE(SUBSTITUTE(SUBSTITUTE($B632,"~","~~"),"*","~*"),"?","~?"),'DEF_SELF_SCOUT_IMPORT'!$Q$42:$Q$1040,SUBSTITUTE(SUBSTITUTE(SUBSTITUTE($M632,"~","~~"),"*","~*"),"?","~?"),'DEF_SELF_SCOUT_IMPORT'!$F$42:$F$1040,SUBSTITUTE(SUBSTITUTE(SUBSTITUTE($N632,"~","~~"),"*","~*"),"?","~?"),'DEF_SELF_SCOUT_IMPORT'!$G$42:$G$1040,SUBSTITUTE(SUBSTITUTE(SUBSTITUTE($O632,"~","~~"),"*","~*"),"?","~?"))/$C632)</f>
        <v>0.0</v>
      </c>
      <c r="F632" s="11">
        <f>IF($C632=0,"",AVERAGEIFS('DEF_SELF_SCOUT_IMPORT'!$I$42:$I$1040,'DEF_SELF_SCOUT_IMPORT'!$L$42:$L$1040,"Y",'DEF_SELF_SCOUT_IMPORT'!$E$42:$E$1040,SUBSTITUTE(SUBSTITUTE(SUBSTITUTE($B632,"~","~~"),"*","~*"),"?","~?"),'DEF_SELF_SCOUT_IMPORT'!$Q$42:$Q$1040,SUBSTITUTE(SUBSTITUTE(SUBSTITUTE($M632,"~","~~"),"*","~*"),"?","~?"),'DEF_SELF_SCOUT_IMPORT'!$F$42:$F$1040,SUBSTITUTE(SUBSTITUTE(SUBSTITUTE($N632,"~","~~"),"*","~*"),"?","~?"),'DEF_SELF_SCOUT_IMPORT'!$G$42:$G$1040,SUBSTITUTE(SUBSTITUTE(SUBSTITUTE($O632,"~","~~"),"*","~*"),"?","~?")))</f>
        <v>-4.0</v>
      </c>
      <c r="G632" s="10">
        <f>IF($C632=0,"",COUNTIFS('DEF_SELF_SCOUT_IMPORT'!$L$42:$L$1040,"Y",'DEF_SELF_SCOUT_IMPORT'!$E$42:$E$1040,SUBSTITUTE(SUBSTITUTE(SUBSTITUTE($B632,"~","~~"),"*","~*"),"?","~?"),'DEF_SELF_SCOUT_IMPORT'!$Q$42:$Q$1040,SUBSTITUTE(SUBSTITUTE(SUBSTITUTE($M632,"~","~~"),"*","~*"),"?","~?"),'DEF_SELF_SCOUT_IMPORT'!$F$42:$F$1040,SUBSTITUTE(SUBSTITUTE(SUBSTITUTE($N632,"~","~~"),"*","~*"),"?","~?"),'DEF_SELF_SCOUT_IMPORT'!$G$42:$G$1040,SUBSTITUTE(SUBSTITUTE(SUBSTITUTE($O632,"~","~~"),"*","~*"),"?","~?"),'DEF_SELF_SCOUT_IMPORT'!$H$42:$H$1040,"RUSH")/$C632)</f>
        <v>0.0</v>
      </c>
      <c r="H632" s="10">
        <f>IF($C632=0,"",COUNTIFS('DEF_SELF_SCOUT_IMPORT'!$L$42:$L$1040,"Y",'DEF_SELF_SCOUT_IMPORT'!$E$42:$E$1040,SUBSTITUTE(SUBSTITUTE(SUBSTITUTE($B632,"~","~~"),"*","~*"),"?","~?"),'DEF_SELF_SCOUT_IMPORT'!$Q$42:$Q$1040,SUBSTITUTE(SUBSTITUTE(SUBSTITUTE($M632,"~","~~"),"*","~*"),"?","~?"),'DEF_SELF_SCOUT_IMPORT'!$F$42:$F$1040,SUBSTITUTE(SUBSTITUTE(SUBSTITUTE($N632,"~","~~"),"*","~*"),"?","~?"),'DEF_SELF_SCOUT_IMPORT'!$G$42:$G$1040,SUBSTITUTE(SUBSTITUTE(SUBSTITUTE($O632,"~","~~"),"*","~*"),"?","~?"),'DEF_SELF_SCOUT_IMPORT'!$H$42:$H$1040,"DROPBACK")/$C632)</f>
        <v>1.0</v>
      </c>
      <c r="I632" s="14" t="str">
        <f>IF(C632=0,"",IF(C632&lt;=2,"TRACK",IF(C632=3,"LOW",IF(C632&lt;=6,"MEDIUM","HIGH"))))</f>
        <v>TRACK</v>
      </c>
      <c r="J632" s="11">
        <f>IF(C632=0,"",ROUND(D632*70+(1-E632)*20+MAX(0,MIN(1,(10-F632)/10))*10,1))</f>
        <v>100.0</v>
      </c>
      <c r="K632" s="14" t="str">
        <f>IF(C632=0,"No Evidence",IF(C632&lt;=2,IF(E632&gt;0,"Explosive Alert","Track Only"),IF(C632=3,"Sample Watch",IF(E632&gt;=START_HERE!$B$31,"Explosive Alert",IF(J632&gt;=80,"Strong Candidate",IF(J632&gt;=65,"Good Candidate",IF(J632&gt;=50,"Mixed / Review","Problem Call")))))))</f>
        <v>Track Only</v>
      </c>
      <c r="L632" s="9" t="str">
        <f>IF(COUNTIFS('DEF_SELF_SCOUT_IMPORT'!$L$42:$L$1040,"Y",'DEF_SELF_SCOUT_IMPORT'!$E$42:$E$1040,SUBSTITUTE(SUBSTITUTE(SUBSTITUTE($B632,"~","~~"),"*","~*"),"?","~?"),'DEF_SELF_SCOUT_IMPORT'!$Q$42:$Q$1040,SUBSTITUTE(SUBSTITUTE(SUBSTITUTE($M632,"~","~~"),"*","~*"),"?","~?"),'DEF_SELF_SCOUT_IMPORT'!$F$42:$F$1040,SUBSTITUTE(SUBSTITUTE(SUBSTITUTE($N632,"~","~~"),"*","~*"),"?","~?"),'DEF_SELF_SCOUT_IMPORT'!$G$42:$G$1040,SUBSTITUTE(SUBSTITUTE(SUBSTITUTE($O632,"~","~~"),"*","~*"),"?","~?"),'DEF_SELF_SCOUT_IMPORT'!$J$42:$J$1040,"")&gt;0,"Unscored clean outcome; review result tags before using score.",IF(C632=0,"No matching defensive reps; film confirmation needed.",IF(K632="Explosive Alert","Explosive risk; review clips before using as answer.",IF(C632&lt;=2,"Track only; not enough sample.",IF(C632=3,IF(E632&gt;0,"Sample watch with explosive exposure; review clips and build the sample.",IF(J632&gt;=65,"Good signal, but sample is limited.","Sample watch; review clips and build the sample.")),IF(K632="Problem Call","Problem area; practice or call-sheet review.",IF(K632="Strong Candidate","Strong call-fit candidate; confirm on film.",IF(K632="Good Candidate","Good call-fit signal; confirm on film.","Mixed signal; review fit and execution on film."))))))))</f>
        <v>Track only; not enough sample.</v>
      </c>
      <c r="M632" s="8" t="s">
        <v>39</v>
      </c>
      <c r="N632" s="8" t="s">
        <v>120</v>
      </c>
      <c r="O632" s="8" t="s">
        <v>222</v>
      </c>
      <c r="P632" s="8"/>
      <c r="Q632" s="8"/>
      <c r="R632" s="8" t="s">
        <v>28</v>
      </c>
      <c r="S632" s="2" t="s">
        <v>309</v>
      </c>
      <c r="T632" s="2">
        <f>IF(C632=0,0,IF(C632&gt;=CALL_LOOKUP_BOARD!$B$7,IF(OR(K632="Problem Call",K632="Explosive Alert"),10000000,20000000),0)+IF(C632&gt;=CALL_LOOKUP_BOARD!$B$7,J632*1000+MIN(C632,999),C632*1000+J632)+0.00995600)</f>
        <v>1100.009956</v>
      </c>
      <c r="U632" s="2" t="str">
        <f>IF(C632=0,"",IF(COUNTIFS($S$589:$S$803,SUBSTITUTE(SUBSTITUTE(SUBSTITUTE(S632,"~","~~"),"*","~*"),"?","~?"),$T$589:$T$803,"&gt;"&amp;T632)=0,S632,""))</f>
        <v>7:1D 7-10|2:11|3:3X2|</v>
      </c>
    </row>
    <row r="633" spans="1:21" ht="38" customHeight="1">
      <c r="A633" s="8" t="s">
        <v>308</v>
      </c>
      <c r="B633" s="8" t="s">
        <v>47</v>
      </c>
      <c r="C633" s="12">
        <f>COUNTIFS('DEF_SELF_SCOUT_IMPORT'!$L$42:$L$1040,"Y",'DEF_SELF_SCOUT_IMPORT'!$E$42:$E$1040,SUBSTITUTE(SUBSTITUTE(SUBSTITUTE($B633,"~","~~"),"*","~*"),"?","~?"),'DEF_SELF_SCOUT_IMPORT'!$Q$42:$Q$1040,SUBSTITUTE(SUBSTITUTE(SUBSTITUTE($M633,"~","~~"),"*","~*"),"?","~?"),'DEF_SELF_SCOUT_IMPORT'!$F$42:$F$1040,SUBSTITUTE(SUBSTITUTE(SUBSTITUTE($N633,"~","~~"),"*","~*"),"?","~?"),'DEF_SELF_SCOUT_IMPORT'!$G$42:$G$1040,SUBSTITUTE(SUBSTITUTE(SUBSTITUTE($O633,"~","~~"),"*","~*"),"?","~?"))</f>
        <v>1</v>
      </c>
      <c r="D633" s="10">
        <f>IF($C633=0,"",SUMIFS('DEF_SELF_SCOUT_IMPORT'!$J$42:$J$1040,'DEF_SELF_SCOUT_IMPORT'!$L$42:$L$1040,"Y",'DEF_SELF_SCOUT_IMPORT'!$E$42:$E$1040,SUBSTITUTE(SUBSTITUTE(SUBSTITUTE($B633,"~","~~"),"*","~*"),"?","~?"),'DEF_SELF_SCOUT_IMPORT'!$Q$42:$Q$1040,SUBSTITUTE(SUBSTITUTE(SUBSTITUTE($M633,"~","~~"),"*","~*"),"?","~?"),'DEF_SELF_SCOUT_IMPORT'!$F$42:$F$1040,SUBSTITUTE(SUBSTITUTE(SUBSTITUTE($N633,"~","~~"),"*","~*"),"?","~?"),'DEF_SELF_SCOUT_IMPORT'!$G$42:$G$1040,SUBSTITUTE(SUBSTITUTE(SUBSTITUTE($O633,"~","~~"),"*","~*"),"?","~?"))/$C633)</f>
        <v>0.0</v>
      </c>
      <c r="E633" s="10">
        <f>IF($C633=0,"",SUMIFS('DEF_SELF_SCOUT_IMPORT'!$K$42:$K$1040,'DEF_SELF_SCOUT_IMPORT'!$L$42:$L$1040,"Y",'DEF_SELF_SCOUT_IMPORT'!$E$42:$E$1040,SUBSTITUTE(SUBSTITUTE(SUBSTITUTE($B633,"~","~~"),"*","~*"),"?","~?"),'DEF_SELF_SCOUT_IMPORT'!$Q$42:$Q$1040,SUBSTITUTE(SUBSTITUTE(SUBSTITUTE($M633,"~","~~"),"*","~*"),"?","~?"),'DEF_SELF_SCOUT_IMPORT'!$F$42:$F$1040,SUBSTITUTE(SUBSTITUTE(SUBSTITUTE($N633,"~","~~"),"*","~*"),"?","~?"),'DEF_SELF_SCOUT_IMPORT'!$G$42:$G$1040,SUBSTITUTE(SUBSTITUTE(SUBSTITUTE($O633,"~","~~"),"*","~*"),"?","~?"))/$C633)</f>
        <v>1.0</v>
      </c>
      <c r="F633" s="11">
        <f>IF($C633=0,"",AVERAGEIFS('DEF_SELF_SCOUT_IMPORT'!$I$42:$I$1040,'DEF_SELF_SCOUT_IMPORT'!$L$42:$L$1040,"Y",'DEF_SELF_SCOUT_IMPORT'!$E$42:$E$1040,SUBSTITUTE(SUBSTITUTE(SUBSTITUTE($B633,"~","~~"),"*","~*"),"?","~?"),'DEF_SELF_SCOUT_IMPORT'!$Q$42:$Q$1040,SUBSTITUTE(SUBSTITUTE(SUBSTITUTE($M633,"~","~~"),"*","~*"),"?","~?"),'DEF_SELF_SCOUT_IMPORT'!$F$42:$F$1040,SUBSTITUTE(SUBSTITUTE(SUBSTITUTE($N633,"~","~~"),"*","~*"),"?","~?"),'DEF_SELF_SCOUT_IMPORT'!$G$42:$G$1040,SUBSTITUTE(SUBSTITUTE(SUBSTITUTE($O633,"~","~~"),"*","~*"),"?","~?")))</f>
        <v>28.0</v>
      </c>
      <c r="G633" s="10">
        <f>IF($C633=0,"",COUNTIFS('DEF_SELF_SCOUT_IMPORT'!$L$42:$L$1040,"Y",'DEF_SELF_SCOUT_IMPORT'!$E$42:$E$1040,SUBSTITUTE(SUBSTITUTE(SUBSTITUTE($B633,"~","~~"),"*","~*"),"?","~?"),'DEF_SELF_SCOUT_IMPORT'!$Q$42:$Q$1040,SUBSTITUTE(SUBSTITUTE(SUBSTITUTE($M633,"~","~~"),"*","~*"),"?","~?"),'DEF_SELF_SCOUT_IMPORT'!$F$42:$F$1040,SUBSTITUTE(SUBSTITUTE(SUBSTITUTE($N633,"~","~~"),"*","~*"),"?","~?"),'DEF_SELF_SCOUT_IMPORT'!$G$42:$G$1040,SUBSTITUTE(SUBSTITUTE(SUBSTITUTE($O633,"~","~~"),"*","~*"),"?","~?"),'DEF_SELF_SCOUT_IMPORT'!$H$42:$H$1040,"RUSH")/$C633)</f>
        <v>0.0</v>
      </c>
      <c r="H633" s="10">
        <f>IF($C633=0,"",COUNTIFS('DEF_SELF_SCOUT_IMPORT'!$L$42:$L$1040,"Y",'DEF_SELF_SCOUT_IMPORT'!$E$42:$E$1040,SUBSTITUTE(SUBSTITUTE(SUBSTITUTE($B633,"~","~~"),"*","~*"),"?","~?"),'DEF_SELF_SCOUT_IMPORT'!$Q$42:$Q$1040,SUBSTITUTE(SUBSTITUTE(SUBSTITUTE($M633,"~","~~"),"*","~*"),"?","~?"),'DEF_SELF_SCOUT_IMPORT'!$F$42:$F$1040,SUBSTITUTE(SUBSTITUTE(SUBSTITUTE($N633,"~","~~"),"*","~*"),"?","~?"),'DEF_SELF_SCOUT_IMPORT'!$G$42:$G$1040,SUBSTITUTE(SUBSTITUTE(SUBSTITUTE($O633,"~","~~"),"*","~*"),"?","~?"),'DEF_SELF_SCOUT_IMPORT'!$H$42:$H$1040,"DROPBACK")/$C633)</f>
        <v>0.0</v>
      </c>
      <c r="I633" s="14" t="str">
        <f>IF(C633=0,"",IF(C633&lt;=2,"TRACK",IF(C633=3,"LOW",IF(C633&lt;=6,"MEDIUM","HIGH"))))</f>
        <v>TRACK</v>
      </c>
      <c r="J633" s="11">
        <f>IF(C633=0,"",ROUND(D633*70+(1-E633)*20+MAX(0,MIN(1,(10-F633)/10))*10,1))</f>
        <v>0.0</v>
      </c>
      <c r="K633" s="14" t="str">
        <f>IF(C633=0,"No Evidence",IF(C633&lt;=2,IF(E633&gt;0,"Explosive Alert","Track Only"),IF(C633=3,"Sample Watch",IF(E633&gt;=START_HERE!$B$31,"Explosive Alert",IF(J633&gt;=80,"Strong Candidate",IF(J633&gt;=65,"Good Candidate",IF(J633&gt;=50,"Mixed / Review","Problem Call")))))))</f>
        <v>Explosive Alert</v>
      </c>
      <c r="L633" s="9" t="str">
        <f>IF(COUNTIFS('DEF_SELF_SCOUT_IMPORT'!$L$42:$L$1040,"Y",'DEF_SELF_SCOUT_IMPORT'!$E$42:$E$1040,SUBSTITUTE(SUBSTITUTE(SUBSTITUTE($B633,"~","~~"),"*","~*"),"?","~?"),'DEF_SELF_SCOUT_IMPORT'!$Q$42:$Q$1040,SUBSTITUTE(SUBSTITUTE(SUBSTITUTE($M633,"~","~~"),"*","~*"),"?","~?"),'DEF_SELF_SCOUT_IMPORT'!$F$42:$F$1040,SUBSTITUTE(SUBSTITUTE(SUBSTITUTE($N633,"~","~~"),"*","~*"),"?","~?"),'DEF_SELF_SCOUT_IMPORT'!$G$42:$G$1040,SUBSTITUTE(SUBSTITUTE(SUBSTITUTE($O633,"~","~~"),"*","~*"),"?","~?"),'DEF_SELF_SCOUT_IMPORT'!$J$42:$J$1040,"")&gt;0,"Unscored clean outcome; review result tags before using score.",IF(C633=0,"No matching defensive reps; film confirmation needed.",IF(K633="Explosive Alert","Explosive risk; review clips before using as answer.",IF(C633&lt;=2,"Track only; not enough sample.",IF(C633=3,IF(E633&gt;0,"Sample watch with explosive exposure; review clips and build the sample.",IF(J633&gt;=65,"Good signal, but sample is limited.","Sample watch; review clips and build the sample.")),IF(K633="Problem Call","Problem area; practice or call-sheet review.",IF(K633="Strong Candidate","Strong call-fit candidate; confirm on film.",IF(K633="Good Candidate","Good call-fit signal; confirm on film.","Mixed signal; review fit and execution on film."))))))))</f>
        <v>Explosive risk; review clips before using as answer.</v>
      </c>
      <c r="M633" s="8" t="s">
        <v>39</v>
      </c>
      <c r="N633" s="8" t="s">
        <v>120</v>
      </c>
      <c r="O633" s="8" t="s">
        <v>222</v>
      </c>
      <c r="P633" s="8"/>
      <c r="Q633" s="8"/>
      <c r="R633" s="8" t="s">
        <v>28</v>
      </c>
      <c r="S633" s="2" t="s">
        <v>309</v>
      </c>
      <c r="T633" s="2">
        <f>IF(C633=0,0,IF(C633&gt;=CALL_LOOKUP_BOARD!$B$7,IF(OR(K633="Problem Call",K633="Explosive Alert"),10000000,20000000),0)+IF(C633&gt;=CALL_LOOKUP_BOARD!$B$7,J633*1000+MIN(C633,999),C633*1000+J633)+0.00995500)</f>
        <v>1000.009955</v>
      </c>
      <c r="U633" s="2">
        <f>IF(C633=0,"",IF(COUNTIFS($S$589:$S$803,SUBSTITUTE(SUBSTITUTE(SUBSTITUTE(S633,"~","~~"),"*","~*"),"?","~?"),$T$589:$T$803,"&gt;"&amp;T633)=0,S633,""))</f>
        <v/>
      </c>
    </row>
    <row r="634" spans="1:21" ht="38" customHeight="1">
      <c r="A634" s="8" t="s">
        <v>308</v>
      </c>
      <c r="B634" s="8" t="s">
        <v>53</v>
      </c>
      <c r="C634" s="12">
        <f>COUNTIFS('DEF_SELF_SCOUT_IMPORT'!$L$42:$L$1040,"Y",'DEF_SELF_SCOUT_IMPORT'!$E$42:$E$1040,SUBSTITUTE(SUBSTITUTE(SUBSTITUTE($B634,"~","~~"),"*","~*"),"?","~?"),'DEF_SELF_SCOUT_IMPORT'!$Q$42:$Q$1040,SUBSTITUTE(SUBSTITUTE(SUBSTITUTE($M634,"~","~~"),"*","~*"),"?","~?"),'DEF_SELF_SCOUT_IMPORT'!$F$42:$F$1040,SUBSTITUTE(SUBSTITUTE(SUBSTITUTE($N634,"~","~~"),"*","~*"),"?","~?"),'DEF_SELF_SCOUT_IMPORT'!$G$42:$G$1040,SUBSTITUTE(SUBSTITUTE(SUBSTITUTE($O634,"~","~~"),"*","~*"),"?","~?"))</f>
        <v>1</v>
      </c>
      <c r="D634" s="10">
        <f>IF($C634=0,"",SUMIFS('DEF_SELF_SCOUT_IMPORT'!$J$42:$J$1040,'DEF_SELF_SCOUT_IMPORT'!$L$42:$L$1040,"Y",'DEF_SELF_SCOUT_IMPORT'!$E$42:$E$1040,SUBSTITUTE(SUBSTITUTE(SUBSTITUTE($B634,"~","~~"),"*","~*"),"?","~?"),'DEF_SELF_SCOUT_IMPORT'!$Q$42:$Q$1040,SUBSTITUTE(SUBSTITUTE(SUBSTITUTE($M634,"~","~~"),"*","~*"),"?","~?"),'DEF_SELF_SCOUT_IMPORT'!$F$42:$F$1040,SUBSTITUTE(SUBSTITUTE(SUBSTITUTE($N634,"~","~~"),"*","~*"),"?","~?"),'DEF_SELF_SCOUT_IMPORT'!$G$42:$G$1040,SUBSTITUTE(SUBSTITUTE(SUBSTITUTE($O634,"~","~~"),"*","~*"),"?","~?"))/$C634)</f>
        <v>0.0</v>
      </c>
      <c r="E634" s="10">
        <f>IF($C634=0,"",SUMIFS('DEF_SELF_SCOUT_IMPORT'!$K$42:$K$1040,'DEF_SELF_SCOUT_IMPORT'!$L$42:$L$1040,"Y",'DEF_SELF_SCOUT_IMPORT'!$E$42:$E$1040,SUBSTITUTE(SUBSTITUTE(SUBSTITUTE($B634,"~","~~"),"*","~*"),"?","~?"),'DEF_SELF_SCOUT_IMPORT'!$Q$42:$Q$1040,SUBSTITUTE(SUBSTITUTE(SUBSTITUTE($M634,"~","~~"),"*","~*"),"?","~?"),'DEF_SELF_SCOUT_IMPORT'!$F$42:$F$1040,SUBSTITUTE(SUBSTITUTE(SUBSTITUTE($N634,"~","~~"),"*","~*"),"?","~?"),'DEF_SELF_SCOUT_IMPORT'!$G$42:$G$1040,SUBSTITUTE(SUBSTITUTE(SUBSTITUTE($O634,"~","~~"),"*","~*"),"?","~?"))/$C634)</f>
        <v>0.0</v>
      </c>
      <c r="F634" s="11">
        <f>IF($C634=0,"",AVERAGEIFS('DEF_SELF_SCOUT_IMPORT'!$I$42:$I$1040,'DEF_SELF_SCOUT_IMPORT'!$L$42:$L$1040,"Y",'DEF_SELF_SCOUT_IMPORT'!$E$42:$E$1040,SUBSTITUTE(SUBSTITUTE(SUBSTITUTE($B634,"~","~~"),"*","~*"),"?","~?"),'DEF_SELF_SCOUT_IMPORT'!$Q$42:$Q$1040,SUBSTITUTE(SUBSTITUTE(SUBSTITUTE($M634,"~","~~"),"*","~*"),"?","~?"),'DEF_SELF_SCOUT_IMPORT'!$F$42:$F$1040,SUBSTITUTE(SUBSTITUTE(SUBSTITUTE($N634,"~","~~"),"*","~*"),"?","~?"),'DEF_SELF_SCOUT_IMPORT'!$G$42:$G$1040,SUBSTITUTE(SUBSTITUTE(SUBSTITUTE($O634,"~","~~"),"*","~*"),"?","~?")))</f>
        <v>8.0</v>
      </c>
      <c r="G634" s="10">
        <f>IF($C634=0,"",COUNTIFS('DEF_SELF_SCOUT_IMPORT'!$L$42:$L$1040,"Y",'DEF_SELF_SCOUT_IMPORT'!$E$42:$E$1040,SUBSTITUTE(SUBSTITUTE(SUBSTITUTE($B634,"~","~~"),"*","~*"),"?","~?"),'DEF_SELF_SCOUT_IMPORT'!$Q$42:$Q$1040,SUBSTITUTE(SUBSTITUTE(SUBSTITUTE($M634,"~","~~"),"*","~*"),"?","~?"),'DEF_SELF_SCOUT_IMPORT'!$F$42:$F$1040,SUBSTITUTE(SUBSTITUTE(SUBSTITUTE($N634,"~","~~"),"*","~*"),"?","~?"),'DEF_SELF_SCOUT_IMPORT'!$G$42:$G$1040,SUBSTITUTE(SUBSTITUTE(SUBSTITUTE($O634,"~","~~"),"*","~*"),"?","~?"),'DEF_SELF_SCOUT_IMPORT'!$H$42:$H$1040,"RUSH")/$C634)</f>
        <v>0.0</v>
      </c>
      <c r="H634" s="10">
        <f>IF($C634=0,"",COUNTIFS('DEF_SELF_SCOUT_IMPORT'!$L$42:$L$1040,"Y",'DEF_SELF_SCOUT_IMPORT'!$E$42:$E$1040,SUBSTITUTE(SUBSTITUTE(SUBSTITUTE($B634,"~","~~"),"*","~*"),"?","~?"),'DEF_SELF_SCOUT_IMPORT'!$Q$42:$Q$1040,SUBSTITUTE(SUBSTITUTE(SUBSTITUTE($M634,"~","~~"),"*","~*"),"?","~?"),'DEF_SELF_SCOUT_IMPORT'!$F$42:$F$1040,SUBSTITUTE(SUBSTITUTE(SUBSTITUTE($N634,"~","~~"),"*","~*"),"?","~?"),'DEF_SELF_SCOUT_IMPORT'!$G$42:$G$1040,SUBSTITUTE(SUBSTITUTE(SUBSTITUTE($O634,"~","~~"),"*","~*"),"?","~?"),'DEF_SELF_SCOUT_IMPORT'!$H$42:$H$1040,"DROPBACK")/$C634)</f>
        <v>1.0</v>
      </c>
      <c r="I634" s="14" t="str">
        <f>IF(C634=0,"",IF(C634&lt;=2,"TRACK",IF(C634=3,"LOW",IF(C634&lt;=6,"MEDIUM","HIGH"))))</f>
        <v>TRACK</v>
      </c>
      <c r="J634" s="11">
        <f>IF(C634=0,"",ROUND(D634*70+(1-E634)*20+MAX(0,MIN(1,(10-F634)/10))*10,1))</f>
        <v>22.0</v>
      </c>
      <c r="K634" s="14" t="str">
        <f>IF(C634=0,"No Evidence",IF(C634&lt;=2,IF(E634&gt;0,"Explosive Alert","Track Only"),IF(C634=3,"Sample Watch",IF(E634&gt;=START_HERE!$B$31,"Explosive Alert",IF(J634&gt;=80,"Strong Candidate",IF(J634&gt;=65,"Good Candidate",IF(J634&gt;=50,"Mixed / Review","Problem Call")))))))</f>
        <v>Track Only</v>
      </c>
      <c r="L634" s="9" t="str">
        <f>IF(COUNTIFS('DEF_SELF_SCOUT_IMPORT'!$L$42:$L$1040,"Y",'DEF_SELF_SCOUT_IMPORT'!$E$42:$E$1040,SUBSTITUTE(SUBSTITUTE(SUBSTITUTE($B634,"~","~~"),"*","~*"),"?","~?"),'DEF_SELF_SCOUT_IMPORT'!$Q$42:$Q$1040,SUBSTITUTE(SUBSTITUTE(SUBSTITUTE($M634,"~","~~"),"*","~*"),"?","~?"),'DEF_SELF_SCOUT_IMPORT'!$F$42:$F$1040,SUBSTITUTE(SUBSTITUTE(SUBSTITUTE($N634,"~","~~"),"*","~*"),"?","~?"),'DEF_SELF_SCOUT_IMPORT'!$G$42:$G$1040,SUBSTITUTE(SUBSTITUTE(SUBSTITUTE($O634,"~","~~"),"*","~*"),"?","~?"),'DEF_SELF_SCOUT_IMPORT'!$J$42:$J$1040,"")&gt;0,"Unscored clean outcome; review result tags before using score.",IF(C634=0,"No matching defensive reps; film confirmation needed.",IF(K634="Explosive Alert","Explosive risk; review clips before using as answer.",IF(C634&lt;=2,"Track only; not enough sample.",IF(C634=3,IF(E634&gt;0,"Sample watch with explosive exposure; review clips and build the sample.",IF(J634&gt;=65,"Good signal, but sample is limited.","Sample watch; review clips and build the sample.")),IF(K634="Problem Call","Problem area; practice or call-sheet review.",IF(K634="Strong Candidate","Strong call-fit candidate; confirm on film.",IF(K634="Good Candidate","Good call-fit signal; confirm on film.","Mixed signal; review fit and execution on film."))))))))</f>
        <v>Track only; not enough sample.</v>
      </c>
      <c r="M634" s="8" t="s">
        <v>39</v>
      </c>
      <c r="N634" s="8" t="s">
        <v>120</v>
      </c>
      <c r="O634" s="8" t="s">
        <v>222</v>
      </c>
      <c r="P634" s="8"/>
      <c r="Q634" s="8"/>
      <c r="R634" s="8" t="s">
        <v>28</v>
      </c>
      <c r="S634" s="2" t="s">
        <v>309</v>
      </c>
      <c r="T634" s="2">
        <f>IF(C634=0,0,IF(C634&gt;=CALL_LOOKUP_BOARD!$B$7,IF(OR(K634="Problem Call",K634="Explosive Alert"),10000000,20000000),0)+IF(C634&gt;=CALL_LOOKUP_BOARD!$B$7,J634*1000+MIN(C634,999),C634*1000+J634)+0.00995400)</f>
        <v>1022.009954</v>
      </c>
      <c r="U634" s="2">
        <f>IF(C634=0,"",IF(COUNTIFS($S$589:$S$803,SUBSTITUTE(SUBSTITUTE(SUBSTITUTE(S634,"~","~~"),"*","~*"),"?","~?"),$T$589:$T$803,"&gt;"&amp;T634)=0,S634,""))</f>
        <v/>
      </c>
    </row>
    <row r="635" spans="1:21" ht="38" customHeight="1">
      <c r="A635" s="8" t="s">
        <v>310</v>
      </c>
      <c r="B635" s="8" t="s">
        <v>68</v>
      </c>
      <c r="C635" s="12">
        <f>COUNTIFS('DEF_SELF_SCOUT_IMPORT'!$L$42:$L$1040,"Y",'DEF_SELF_SCOUT_IMPORT'!$E$42:$E$1040,SUBSTITUTE(SUBSTITUTE(SUBSTITUTE($B635,"~","~~"),"*","~*"),"?","~?"),'DEF_SELF_SCOUT_IMPORT'!$Q$42:$Q$1040,SUBSTITUTE(SUBSTITUTE(SUBSTITUTE($M635,"~","~~"),"*","~*"),"?","~?"),'DEF_SELF_SCOUT_IMPORT'!$F$42:$F$1040,SUBSTITUTE(SUBSTITUTE(SUBSTITUTE($N635,"~","~~"),"*","~*"),"?","~?"),'DEF_SELF_SCOUT_IMPORT'!$G$42:$G$1040,SUBSTITUTE(SUBSTITUTE(SUBSTITUTE($O635,"~","~~"),"*","~*"),"?","~?"))</f>
        <v>1</v>
      </c>
      <c r="D635" s="10">
        <f>IF($C635=0,"",SUMIFS('DEF_SELF_SCOUT_IMPORT'!$J$42:$J$1040,'DEF_SELF_SCOUT_IMPORT'!$L$42:$L$1040,"Y",'DEF_SELF_SCOUT_IMPORT'!$E$42:$E$1040,SUBSTITUTE(SUBSTITUTE(SUBSTITUTE($B635,"~","~~"),"*","~*"),"?","~?"),'DEF_SELF_SCOUT_IMPORT'!$Q$42:$Q$1040,SUBSTITUTE(SUBSTITUTE(SUBSTITUTE($M635,"~","~~"),"*","~*"),"?","~?"),'DEF_SELF_SCOUT_IMPORT'!$F$42:$F$1040,SUBSTITUTE(SUBSTITUTE(SUBSTITUTE($N635,"~","~~"),"*","~*"),"?","~?"),'DEF_SELF_SCOUT_IMPORT'!$G$42:$G$1040,SUBSTITUTE(SUBSTITUTE(SUBSTITUTE($O635,"~","~~"),"*","~*"),"?","~?"))/$C635)</f>
        <v>0.0</v>
      </c>
      <c r="E635" s="10">
        <f>IF($C635=0,"",SUMIFS('DEF_SELF_SCOUT_IMPORT'!$K$42:$K$1040,'DEF_SELF_SCOUT_IMPORT'!$L$42:$L$1040,"Y",'DEF_SELF_SCOUT_IMPORT'!$E$42:$E$1040,SUBSTITUTE(SUBSTITUTE(SUBSTITUTE($B635,"~","~~"),"*","~*"),"?","~?"),'DEF_SELF_SCOUT_IMPORT'!$Q$42:$Q$1040,SUBSTITUTE(SUBSTITUTE(SUBSTITUTE($M635,"~","~~"),"*","~*"),"?","~?"),'DEF_SELF_SCOUT_IMPORT'!$F$42:$F$1040,SUBSTITUTE(SUBSTITUTE(SUBSTITUTE($N635,"~","~~"),"*","~*"),"?","~?"),'DEF_SELF_SCOUT_IMPORT'!$G$42:$G$1040,SUBSTITUTE(SUBSTITUTE(SUBSTITUTE($O635,"~","~~"),"*","~*"),"?","~?"))/$C635)</f>
        <v>0.0</v>
      </c>
      <c r="F635" s="11">
        <f>IF($C635=0,"",AVERAGEIFS('DEF_SELF_SCOUT_IMPORT'!$I$42:$I$1040,'DEF_SELF_SCOUT_IMPORT'!$L$42:$L$1040,"Y",'DEF_SELF_SCOUT_IMPORT'!$E$42:$E$1040,SUBSTITUTE(SUBSTITUTE(SUBSTITUTE($B635,"~","~~"),"*","~*"),"?","~?"),'DEF_SELF_SCOUT_IMPORT'!$Q$42:$Q$1040,SUBSTITUTE(SUBSTITUTE(SUBSTITUTE($M635,"~","~~"),"*","~*"),"?","~?"),'DEF_SELF_SCOUT_IMPORT'!$F$42:$F$1040,SUBSTITUTE(SUBSTITUTE(SUBSTITUTE($N635,"~","~~"),"*","~*"),"?","~?"),'DEF_SELF_SCOUT_IMPORT'!$G$42:$G$1040,SUBSTITUTE(SUBSTITUTE(SUBSTITUTE($O635,"~","~~"),"*","~*"),"?","~?")))</f>
        <v>8.0</v>
      </c>
      <c r="G635" s="10">
        <f>IF($C635=0,"",COUNTIFS('DEF_SELF_SCOUT_IMPORT'!$L$42:$L$1040,"Y",'DEF_SELF_SCOUT_IMPORT'!$E$42:$E$1040,SUBSTITUTE(SUBSTITUTE(SUBSTITUTE($B635,"~","~~"),"*","~*"),"?","~?"),'DEF_SELF_SCOUT_IMPORT'!$Q$42:$Q$1040,SUBSTITUTE(SUBSTITUTE(SUBSTITUTE($M635,"~","~~"),"*","~*"),"?","~?"),'DEF_SELF_SCOUT_IMPORT'!$F$42:$F$1040,SUBSTITUTE(SUBSTITUTE(SUBSTITUTE($N635,"~","~~"),"*","~*"),"?","~?"),'DEF_SELF_SCOUT_IMPORT'!$G$42:$G$1040,SUBSTITUTE(SUBSTITUTE(SUBSTITUTE($O635,"~","~~"),"*","~*"),"?","~?"),'DEF_SELF_SCOUT_IMPORT'!$H$42:$H$1040,"RUSH")/$C635)</f>
        <v>0.0</v>
      </c>
      <c r="H635" s="10">
        <f>IF($C635=0,"",COUNTIFS('DEF_SELF_SCOUT_IMPORT'!$L$42:$L$1040,"Y",'DEF_SELF_SCOUT_IMPORT'!$E$42:$E$1040,SUBSTITUTE(SUBSTITUTE(SUBSTITUTE($B635,"~","~~"),"*","~*"),"?","~?"),'DEF_SELF_SCOUT_IMPORT'!$Q$42:$Q$1040,SUBSTITUTE(SUBSTITUTE(SUBSTITUTE($M635,"~","~~"),"*","~*"),"?","~?"),'DEF_SELF_SCOUT_IMPORT'!$F$42:$F$1040,SUBSTITUTE(SUBSTITUTE(SUBSTITUTE($N635,"~","~~"),"*","~*"),"?","~?"),'DEF_SELF_SCOUT_IMPORT'!$G$42:$G$1040,SUBSTITUTE(SUBSTITUTE(SUBSTITUTE($O635,"~","~~"),"*","~*"),"?","~?"),'DEF_SELF_SCOUT_IMPORT'!$H$42:$H$1040,"DROPBACK")/$C635)</f>
        <v>0.0</v>
      </c>
      <c r="I635" s="14" t="str">
        <f>IF(C635=0,"",IF(C635&lt;=2,"TRACK",IF(C635=3,"LOW",IF(C635&lt;=6,"MEDIUM","HIGH"))))</f>
        <v>TRACK</v>
      </c>
      <c r="J635" s="11">
        <f>IF(C635=0,"",ROUND(D635*70+(1-E635)*20+MAX(0,MIN(1,(10-F635)/10))*10,1))</f>
        <v>22.0</v>
      </c>
      <c r="K635" s="14" t="str">
        <f>IF(C635=0,"No Evidence",IF(C635&lt;=2,IF(E635&gt;0,"Explosive Alert","Track Only"),IF(C635=3,"Sample Watch",IF(E635&gt;=START_HERE!$B$31,"Explosive Alert",IF(J635&gt;=80,"Strong Candidate",IF(J635&gt;=65,"Good Candidate",IF(J635&gt;=50,"Mixed / Review","Problem Call")))))))</f>
        <v>Track Only</v>
      </c>
      <c r="L635" s="9" t="str">
        <f>IF(COUNTIFS('DEF_SELF_SCOUT_IMPORT'!$L$42:$L$1040,"Y",'DEF_SELF_SCOUT_IMPORT'!$E$42:$E$1040,SUBSTITUTE(SUBSTITUTE(SUBSTITUTE($B635,"~","~~"),"*","~*"),"?","~?"),'DEF_SELF_SCOUT_IMPORT'!$Q$42:$Q$1040,SUBSTITUTE(SUBSTITUTE(SUBSTITUTE($M635,"~","~~"),"*","~*"),"?","~?"),'DEF_SELF_SCOUT_IMPORT'!$F$42:$F$1040,SUBSTITUTE(SUBSTITUTE(SUBSTITUTE($N635,"~","~~"),"*","~*"),"?","~?"),'DEF_SELF_SCOUT_IMPORT'!$G$42:$G$1040,SUBSTITUTE(SUBSTITUTE(SUBSTITUTE($O635,"~","~~"),"*","~*"),"?","~?"),'DEF_SELF_SCOUT_IMPORT'!$J$42:$J$1040,"")&gt;0,"Unscored clean outcome; review result tags before using score.",IF(C635=0,"No matching defensive reps; film confirmation needed.",IF(K635="Explosive Alert","Explosive risk; review clips before using as answer.",IF(C635&lt;=2,"Track only; not enough sample.",IF(C635=3,IF(E635&gt;0,"Sample watch with explosive exposure; review clips and build the sample.",IF(J635&gt;=65,"Good signal, but sample is limited.","Sample watch; review clips and build the sample.")),IF(K635="Problem Call","Problem area; practice or call-sheet review.",IF(K635="Strong Candidate","Strong call-fit candidate; confirm on film.",IF(K635="Good Candidate","Good call-fit signal; confirm on film.","Mixed signal; review fit and execution on film."))))))))</f>
        <v>Track only; not enough sample.</v>
      </c>
      <c r="M635" s="8" t="s">
        <v>39</v>
      </c>
      <c r="N635" s="8" t="s">
        <v>120</v>
      </c>
      <c r="O635" s="8" t="s">
        <v>215</v>
      </c>
      <c r="P635" s="8"/>
      <c r="Q635" s="8"/>
      <c r="R635" s="8" t="s">
        <v>28</v>
      </c>
      <c r="S635" s="2" t="s">
        <v>311</v>
      </c>
      <c r="T635" s="2">
        <f>IF(C635=0,0,IF(C635&gt;=CALL_LOOKUP_BOARD!$B$7,IF(OR(K635="Problem Call",K635="Explosive Alert"),10000000,20000000),0)+IF(C635&gt;=CALL_LOOKUP_BOARD!$B$7,J635*1000+MIN(C635,999),C635*1000+J635)+0.00995300)</f>
        <v>1022.009953</v>
      </c>
      <c r="U635" s="2" t="str">
        <f>IF(C635=0,"",IF(COUNTIFS($S$589:$S$803,SUBSTITUTE(SUBSTITUTE(SUBSTITUTE(S635,"~","~~"),"*","~*"),"?","~?"),$T$589:$T$803,"&gt;"&amp;T635)=0,S635,""))</f>
        <v>7:1D 7-10|2:11|3:4X1|</v>
      </c>
    </row>
    <row r="636" spans="1:21" ht="38" customHeight="1">
      <c r="A636" s="8" t="s">
        <v>312</v>
      </c>
      <c r="B636" s="8" t="s">
        <v>50</v>
      </c>
      <c r="C636" s="12">
        <f>COUNTIFS('DEF_SELF_SCOUT_IMPORT'!$L$42:$L$1040,"Y",'DEF_SELF_SCOUT_IMPORT'!$E$42:$E$1040,SUBSTITUTE(SUBSTITUTE(SUBSTITUTE($B636,"~","~~"),"*","~*"),"?","~?"),'DEF_SELF_SCOUT_IMPORT'!$Q$42:$Q$1040,SUBSTITUTE(SUBSTITUTE(SUBSTITUTE($M636,"~","~~"),"*","~*"),"?","~?"),'DEF_SELF_SCOUT_IMPORT'!$F$42:$F$1040,SUBSTITUTE(SUBSTITUTE(SUBSTITUTE($N636,"~","~~"),"*","~*"),"?","~?"),'DEF_SELF_SCOUT_IMPORT'!$G$42:$G$1040,SUBSTITUTE(SUBSTITUTE(SUBSTITUTE($O636,"~","~~"),"*","~*"),"?","~?"))</f>
        <v>1</v>
      </c>
      <c r="D636" s="10">
        <f>IF($C636=0,"",SUMIFS('DEF_SELF_SCOUT_IMPORT'!$J$42:$J$1040,'DEF_SELF_SCOUT_IMPORT'!$L$42:$L$1040,"Y",'DEF_SELF_SCOUT_IMPORT'!$E$42:$E$1040,SUBSTITUTE(SUBSTITUTE(SUBSTITUTE($B636,"~","~~"),"*","~*"),"?","~?"),'DEF_SELF_SCOUT_IMPORT'!$Q$42:$Q$1040,SUBSTITUTE(SUBSTITUTE(SUBSTITUTE($M636,"~","~~"),"*","~*"),"?","~?"),'DEF_SELF_SCOUT_IMPORT'!$F$42:$F$1040,SUBSTITUTE(SUBSTITUTE(SUBSTITUTE($N636,"~","~~"),"*","~*"),"?","~?"),'DEF_SELF_SCOUT_IMPORT'!$G$42:$G$1040,SUBSTITUTE(SUBSTITUTE(SUBSTITUTE($O636,"~","~~"),"*","~*"),"?","~?"))/$C636)</f>
        <v>1.0</v>
      </c>
      <c r="E636" s="10">
        <f>IF($C636=0,"",SUMIFS('DEF_SELF_SCOUT_IMPORT'!$K$42:$K$1040,'DEF_SELF_SCOUT_IMPORT'!$L$42:$L$1040,"Y",'DEF_SELF_SCOUT_IMPORT'!$E$42:$E$1040,SUBSTITUTE(SUBSTITUTE(SUBSTITUTE($B636,"~","~~"),"*","~*"),"?","~?"),'DEF_SELF_SCOUT_IMPORT'!$Q$42:$Q$1040,SUBSTITUTE(SUBSTITUTE(SUBSTITUTE($M636,"~","~~"),"*","~*"),"?","~?"),'DEF_SELF_SCOUT_IMPORT'!$F$42:$F$1040,SUBSTITUTE(SUBSTITUTE(SUBSTITUTE($N636,"~","~~"),"*","~*"),"?","~?"),'DEF_SELF_SCOUT_IMPORT'!$G$42:$G$1040,SUBSTITUTE(SUBSTITUTE(SUBSTITUTE($O636,"~","~~"),"*","~*"),"?","~?"))/$C636)</f>
        <v>0.0</v>
      </c>
      <c r="F636" s="11">
        <f>IF($C636=0,"",AVERAGEIFS('DEF_SELF_SCOUT_IMPORT'!$I$42:$I$1040,'DEF_SELF_SCOUT_IMPORT'!$L$42:$L$1040,"Y",'DEF_SELF_SCOUT_IMPORT'!$E$42:$E$1040,SUBSTITUTE(SUBSTITUTE(SUBSTITUTE($B636,"~","~~"),"*","~*"),"?","~?"),'DEF_SELF_SCOUT_IMPORT'!$Q$42:$Q$1040,SUBSTITUTE(SUBSTITUTE(SUBSTITUTE($M636,"~","~~"),"*","~*"),"?","~?"),'DEF_SELF_SCOUT_IMPORT'!$F$42:$F$1040,SUBSTITUTE(SUBSTITUTE(SUBSTITUTE($N636,"~","~~"),"*","~*"),"?","~?"),'DEF_SELF_SCOUT_IMPORT'!$G$42:$G$1040,SUBSTITUTE(SUBSTITUTE(SUBSTITUTE($O636,"~","~~"),"*","~*"),"?","~?")))</f>
        <v>3.0</v>
      </c>
      <c r="G636" s="10">
        <f>IF($C636=0,"",COUNTIFS('DEF_SELF_SCOUT_IMPORT'!$L$42:$L$1040,"Y",'DEF_SELF_SCOUT_IMPORT'!$E$42:$E$1040,SUBSTITUTE(SUBSTITUTE(SUBSTITUTE($B636,"~","~~"),"*","~*"),"?","~?"),'DEF_SELF_SCOUT_IMPORT'!$Q$42:$Q$1040,SUBSTITUTE(SUBSTITUTE(SUBSTITUTE($M636,"~","~~"),"*","~*"),"?","~?"),'DEF_SELF_SCOUT_IMPORT'!$F$42:$F$1040,SUBSTITUTE(SUBSTITUTE(SUBSTITUTE($N636,"~","~~"),"*","~*"),"?","~?"),'DEF_SELF_SCOUT_IMPORT'!$G$42:$G$1040,SUBSTITUTE(SUBSTITUTE(SUBSTITUTE($O636,"~","~~"),"*","~*"),"?","~?"),'DEF_SELF_SCOUT_IMPORT'!$H$42:$H$1040,"RUSH")/$C636)</f>
        <v>0.0</v>
      </c>
      <c r="H636" s="10">
        <f>IF($C636=0,"",COUNTIFS('DEF_SELF_SCOUT_IMPORT'!$L$42:$L$1040,"Y",'DEF_SELF_SCOUT_IMPORT'!$E$42:$E$1040,SUBSTITUTE(SUBSTITUTE(SUBSTITUTE($B636,"~","~~"),"*","~*"),"?","~?"),'DEF_SELF_SCOUT_IMPORT'!$Q$42:$Q$1040,SUBSTITUTE(SUBSTITUTE(SUBSTITUTE($M636,"~","~~"),"*","~*"),"?","~?"),'DEF_SELF_SCOUT_IMPORT'!$F$42:$F$1040,SUBSTITUTE(SUBSTITUTE(SUBSTITUTE($N636,"~","~~"),"*","~*"),"?","~?"),'DEF_SELF_SCOUT_IMPORT'!$G$42:$G$1040,SUBSTITUTE(SUBSTITUTE(SUBSTITUTE($O636,"~","~~"),"*","~*"),"?","~?"),'DEF_SELF_SCOUT_IMPORT'!$H$42:$H$1040,"DROPBACK")/$C636)</f>
        <v>1.0</v>
      </c>
      <c r="I636" s="14" t="str">
        <f>IF(C636=0,"",IF(C636&lt;=2,"TRACK",IF(C636=3,"LOW",IF(C636&lt;=6,"MEDIUM","HIGH"))))</f>
        <v>TRACK</v>
      </c>
      <c r="J636" s="11">
        <f>IF(C636=0,"",ROUND(D636*70+(1-E636)*20+MAX(0,MIN(1,(10-F636)/10))*10,1))</f>
        <v>97.0</v>
      </c>
      <c r="K636" s="14" t="str">
        <f>IF(C636=0,"No Evidence",IF(C636&lt;=2,IF(E636&gt;0,"Explosive Alert","Track Only"),IF(C636=3,"Sample Watch",IF(E636&gt;=START_HERE!$B$31,"Explosive Alert",IF(J636&gt;=80,"Strong Candidate",IF(J636&gt;=65,"Good Candidate",IF(J636&gt;=50,"Mixed / Review","Problem Call")))))))</f>
        <v>Track Only</v>
      </c>
      <c r="L636" s="9" t="str">
        <f>IF(COUNTIFS('DEF_SELF_SCOUT_IMPORT'!$L$42:$L$1040,"Y",'DEF_SELF_SCOUT_IMPORT'!$E$42:$E$1040,SUBSTITUTE(SUBSTITUTE(SUBSTITUTE($B636,"~","~~"),"*","~*"),"?","~?"),'DEF_SELF_SCOUT_IMPORT'!$Q$42:$Q$1040,SUBSTITUTE(SUBSTITUTE(SUBSTITUTE($M636,"~","~~"),"*","~*"),"?","~?"),'DEF_SELF_SCOUT_IMPORT'!$F$42:$F$1040,SUBSTITUTE(SUBSTITUTE(SUBSTITUTE($N636,"~","~~"),"*","~*"),"?","~?"),'DEF_SELF_SCOUT_IMPORT'!$G$42:$G$1040,SUBSTITUTE(SUBSTITUTE(SUBSTITUTE($O636,"~","~~"),"*","~*"),"?","~?"),'DEF_SELF_SCOUT_IMPORT'!$J$42:$J$1040,"")&gt;0,"Unscored clean outcome; review result tags before using score.",IF(C636=0,"No matching defensive reps; film confirmation needed.",IF(K636="Explosive Alert","Explosive risk; review clips before using as answer.",IF(C636&lt;=2,"Track only; not enough sample.",IF(C636=3,IF(E636&gt;0,"Sample watch with explosive exposure; review clips and build the sample.",IF(J636&gt;=65,"Good signal, but sample is limited.","Sample watch; review clips and build the sample.")),IF(K636="Problem Call","Problem area; practice or call-sheet review.",IF(K636="Strong Candidate","Strong call-fit candidate; confirm on film.",IF(K636="Good Candidate","Good call-fit signal; confirm on film.","Mixed signal; review fit and execution on film."))))))))</f>
        <v>Track only; not enough sample.</v>
      </c>
      <c r="M636" s="8" t="s">
        <v>39</v>
      </c>
      <c r="N636" s="8" t="s">
        <v>123</v>
      </c>
      <c r="O636" s="8" t="s">
        <v>203</v>
      </c>
      <c r="P636" s="8"/>
      <c r="Q636" s="8"/>
      <c r="R636" s="8" t="s">
        <v>28</v>
      </c>
      <c r="S636" s="2" t="s">
        <v>313</v>
      </c>
      <c r="T636" s="2">
        <f>IF(C636=0,0,IF(C636&gt;=CALL_LOOKUP_BOARD!$B$7,IF(OR(K636="Problem Call",K636="Explosive Alert"),10000000,20000000),0)+IF(C636&gt;=CALL_LOOKUP_BOARD!$B$7,J636*1000+MIN(C636,999),C636*1000+J636)+0.00995200)</f>
        <v>1097.009952</v>
      </c>
      <c r="U636" s="2">
        <f>IF(C636=0,"",IF(COUNTIFS($S$589:$S$803,SUBSTITUTE(SUBSTITUTE(SUBSTITUTE(S636,"~","~~"),"*","~*"),"?","~?"),$T$589:$T$803,"&gt;"&amp;T636)=0,S636,""))</f>
        <v/>
      </c>
    </row>
    <row r="637" spans="1:21" ht="38" customHeight="1">
      <c r="A637" s="8" t="s">
        <v>312</v>
      </c>
      <c r="B637" s="8" t="s">
        <v>51</v>
      </c>
      <c r="C637" s="12">
        <f>COUNTIFS('DEF_SELF_SCOUT_IMPORT'!$L$42:$L$1040,"Y",'DEF_SELF_SCOUT_IMPORT'!$E$42:$E$1040,SUBSTITUTE(SUBSTITUTE(SUBSTITUTE($B637,"~","~~"),"*","~*"),"?","~?"),'DEF_SELF_SCOUT_IMPORT'!$Q$42:$Q$1040,SUBSTITUTE(SUBSTITUTE(SUBSTITUTE($M637,"~","~~"),"*","~*"),"?","~?"),'DEF_SELF_SCOUT_IMPORT'!$F$42:$F$1040,SUBSTITUTE(SUBSTITUTE(SUBSTITUTE($N637,"~","~~"),"*","~*"),"?","~?"),'DEF_SELF_SCOUT_IMPORT'!$G$42:$G$1040,SUBSTITUTE(SUBSTITUTE(SUBSTITUTE($O637,"~","~~"),"*","~*"),"?","~?"))</f>
        <v>1</v>
      </c>
      <c r="D637" s="10">
        <f>IF($C637=0,"",SUMIFS('DEF_SELF_SCOUT_IMPORT'!$J$42:$J$1040,'DEF_SELF_SCOUT_IMPORT'!$L$42:$L$1040,"Y",'DEF_SELF_SCOUT_IMPORT'!$E$42:$E$1040,SUBSTITUTE(SUBSTITUTE(SUBSTITUTE($B637,"~","~~"),"*","~*"),"?","~?"),'DEF_SELF_SCOUT_IMPORT'!$Q$42:$Q$1040,SUBSTITUTE(SUBSTITUTE(SUBSTITUTE($M637,"~","~~"),"*","~*"),"?","~?"),'DEF_SELF_SCOUT_IMPORT'!$F$42:$F$1040,SUBSTITUTE(SUBSTITUTE(SUBSTITUTE($N637,"~","~~"),"*","~*"),"?","~?"),'DEF_SELF_SCOUT_IMPORT'!$G$42:$G$1040,SUBSTITUTE(SUBSTITUTE(SUBSTITUTE($O637,"~","~~"),"*","~*"),"?","~?"))/$C637)</f>
        <v>1.0</v>
      </c>
      <c r="E637" s="10">
        <f>IF($C637=0,"",SUMIFS('DEF_SELF_SCOUT_IMPORT'!$K$42:$K$1040,'DEF_SELF_SCOUT_IMPORT'!$L$42:$L$1040,"Y",'DEF_SELF_SCOUT_IMPORT'!$E$42:$E$1040,SUBSTITUTE(SUBSTITUTE(SUBSTITUTE($B637,"~","~~"),"*","~*"),"?","~?"),'DEF_SELF_SCOUT_IMPORT'!$Q$42:$Q$1040,SUBSTITUTE(SUBSTITUTE(SUBSTITUTE($M637,"~","~~"),"*","~*"),"?","~?"),'DEF_SELF_SCOUT_IMPORT'!$F$42:$F$1040,SUBSTITUTE(SUBSTITUTE(SUBSTITUTE($N637,"~","~~"),"*","~*"),"?","~?"),'DEF_SELF_SCOUT_IMPORT'!$G$42:$G$1040,SUBSTITUTE(SUBSTITUTE(SUBSTITUTE($O637,"~","~~"),"*","~*"),"?","~?"))/$C637)</f>
        <v>0.0</v>
      </c>
      <c r="F637" s="11">
        <f>IF($C637=0,"",AVERAGEIFS('DEF_SELF_SCOUT_IMPORT'!$I$42:$I$1040,'DEF_SELF_SCOUT_IMPORT'!$L$42:$L$1040,"Y",'DEF_SELF_SCOUT_IMPORT'!$E$42:$E$1040,SUBSTITUTE(SUBSTITUTE(SUBSTITUTE($B637,"~","~~"),"*","~*"),"?","~?"),'DEF_SELF_SCOUT_IMPORT'!$Q$42:$Q$1040,SUBSTITUTE(SUBSTITUTE(SUBSTITUTE($M637,"~","~~"),"*","~*"),"?","~?"),'DEF_SELF_SCOUT_IMPORT'!$F$42:$F$1040,SUBSTITUTE(SUBSTITUTE(SUBSTITUTE($N637,"~","~~"),"*","~*"),"?","~?"),'DEF_SELF_SCOUT_IMPORT'!$G$42:$G$1040,SUBSTITUTE(SUBSTITUTE(SUBSTITUTE($O637,"~","~~"),"*","~*"),"?","~?")))</f>
        <v>0.0</v>
      </c>
      <c r="G637" s="10">
        <f>IF($C637=0,"",COUNTIFS('DEF_SELF_SCOUT_IMPORT'!$L$42:$L$1040,"Y",'DEF_SELF_SCOUT_IMPORT'!$E$42:$E$1040,SUBSTITUTE(SUBSTITUTE(SUBSTITUTE($B637,"~","~~"),"*","~*"),"?","~?"),'DEF_SELF_SCOUT_IMPORT'!$Q$42:$Q$1040,SUBSTITUTE(SUBSTITUTE(SUBSTITUTE($M637,"~","~~"),"*","~*"),"?","~?"),'DEF_SELF_SCOUT_IMPORT'!$F$42:$F$1040,SUBSTITUTE(SUBSTITUTE(SUBSTITUTE($N637,"~","~~"),"*","~*"),"?","~?"),'DEF_SELF_SCOUT_IMPORT'!$G$42:$G$1040,SUBSTITUTE(SUBSTITUTE(SUBSTITUTE($O637,"~","~~"),"*","~*"),"?","~?"),'DEF_SELF_SCOUT_IMPORT'!$H$42:$H$1040,"RUSH")/$C637)</f>
        <v>0.0</v>
      </c>
      <c r="H637" s="10">
        <f>IF($C637=0,"",COUNTIFS('DEF_SELF_SCOUT_IMPORT'!$L$42:$L$1040,"Y",'DEF_SELF_SCOUT_IMPORT'!$E$42:$E$1040,SUBSTITUTE(SUBSTITUTE(SUBSTITUTE($B637,"~","~~"),"*","~*"),"?","~?"),'DEF_SELF_SCOUT_IMPORT'!$Q$42:$Q$1040,SUBSTITUTE(SUBSTITUTE(SUBSTITUTE($M637,"~","~~"),"*","~*"),"?","~?"),'DEF_SELF_SCOUT_IMPORT'!$F$42:$F$1040,SUBSTITUTE(SUBSTITUTE(SUBSTITUTE($N637,"~","~~"),"*","~*"),"?","~?"),'DEF_SELF_SCOUT_IMPORT'!$G$42:$G$1040,SUBSTITUTE(SUBSTITUTE(SUBSTITUTE($O637,"~","~~"),"*","~*"),"?","~?"),'DEF_SELF_SCOUT_IMPORT'!$H$42:$H$1040,"DROPBACK")/$C637)</f>
        <v>1.0</v>
      </c>
      <c r="I637" s="14" t="str">
        <f>IF(C637=0,"",IF(C637&lt;=2,"TRACK",IF(C637=3,"LOW",IF(C637&lt;=6,"MEDIUM","HIGH"))))</f>
        <v>TRACK</v>
      </c>
      <c r="J637" s="11">
        <f>IF(C637=0,"",ROUND(D637*70+(1-E637)*20+MAX(0,MIN(1,(10-F637)/10))*10,1))</f>
        <v>100.0</v>
      </c>
      <c r="K637" s="14" t="str">
        <f>IF(C637=0,"No Evidence",IF(C637&lt;=2,IF(E637&gt;0,"Explosive Alert","Track Only"),IF(C637=3,"Sample Watch",IF(E637&gt;=START_HERE!$B$31,"Explosive Alert",IF(J637&gt;=80,"Strong Candidate",IF(J637&gt;=65,"Good Candidate",IF(J637&gt;=50,"Mixed / Review","Problem Call")))))))</f>
        <v>Track Only</v>
      </c>
      <c r="L637" s="9" t="str">
        <f>IF(COUNTIFS('DEF_SELF_SCOUT_IMPORT'!$L$42:$L$1040,"Y",'DEF_SELF_SCOUT_IMPORT'!$E$42:$E$1040,SUBSTITUTE(SUBSTITUTE(SUBSTITUTE($B637,"~","~~"),"*","~*"),"?","~?"),'DEF_SELF_SCOUT_IMPORT'!$Q$42:$Q$1040,SUBSTITUTE(SUBSTITUTE(SUBSTITUTE($M637,"~","~~"),"*","~*"),"?","~?"),'DEF_SELF_SCOUT_IMPORT'!$F$42:$F$1040,SUBSTITUTE(SUBSTITUTE(SUBSTITUTE($N637,"~","~~"),"*","~*"),"?","~?"),'DEF_SELF_SCOUT_IMPORT'!$G$42:$G$1040,SUBSTITUTE(SUBSTITUTE(SUBSTITUTE($O637,"~","~~"),"*","~*"),"?","~?"),'DEF_SELF_SCOUT_IMPORT'!$J$42:$J$1040,"")&gt;0,"Unscored clean outcome; review result tags before using score.",IF(C637=0,"No matching defensive reps; film confirmation needed.",IF(K637="Explosive Alert","Explosive risk; review clips before using as answer.",IF(C637&lt;=2,"Track only; not enough sample.",IF(C637=3,IF(E637&gt;0,"Sample watch with explosive exposure; review clips and build the sample.",IF(J637&gt;=65,"Good signal, but sample is limited.","Sample watch; review clips and build the sample.")),IF(K637="Problem Call","Problem area; practice or call-sheet review.",IF(K637="Strong Candidate","Strong call-fit candidate; confirm on film.",IF(K637="Good Candidate","Good call-fit signal; confirm on film.","Mixed signal; review fit and execution on film."))))))))</f>
        <v>Track only; not enough sample.</v>
      </c>
      <c r="M637" s="8" t="s">
        <v>39</v>
      </c>
      <c r="N637" s="8" t="s">
        <v>123</v>
      </c>
      <c r="O637" s="8" t="s">
        <v>203</v>
      </c>
      <c r="P637" s="8"/>
      <c r="Q637" s="8"/>
      <c r="R637" s="8" t="s">
        <v>28</v>
      </c>
      <c r="S637" s="2" t="s">
        <v>313</v>
      </c>
      <c r="T637" s="2">
        <f>IF(C637=0,0,IF(C637&gt;=CALL_LOOKUP_BOARD!$B$7,IF(OR(K637="Problem Call",K637="Explosive Alert"),10000000,20000000),0)+IF(C637&gt;=CALL_LOOKUP_BOARD!$B$7,J637*1000+MIN(C637,999),C637*1000+J637)+0.00995100)</f>
        <v>1100.009951</v>
      </c>
      <c r="U637" s="2">
        <f>IF(C637=0,"",IF(COUNTIFS($S$589:$S$803,SUBSTITUTE(SUBSTITUTE(SUBSTITUTE(S637,"~","~~"),"*","~*"),"?","~?"),$T$589:$T$803,"&gt;"&amp;T637)=0,S637,""))</f>
        <v/>
      </c>
    </row>
    <row r="638" spans="1:21" ht="38" customHeight="1">
      <c r="A638" s="8" t="s">
        <v>312</v>
      </c>
      <c r="B638" s="8" t="s">
        <v>52</v>
      </c>
      <c r="C638" s="12">
        <f>COUNTIFS('DEF_SELF_SCOUT_IMPORT'!$L$42:$L$1040,"Y",'DEF_SELF_SCOUT_IMPORT'!$E$42:$E$1040,SUBSTITUTE(SUBSTITUTE(SUBSTITUTE($B638,"~","~~"),"*","~*"),"?","~?"),'DEF_SELF_SCOUT_IMPORT'!$Q$42:$Q$1040,SUBSTITUTE(SUBSTITUTE(SUBSTITUTE($M638,"~","~~"),"*","~*"),"?","~?"),'DEF_SELF_SCOUT_IMPORT'!$F$42:$F$1040,SUBSTITUTE(SUBSTITUTE(SUBSTITUTE($N638,"~","~~"),"*","~*"),"?","~?"),'DEF_SELF_SCOUT_IMPORT'!$G$42:$G$1040,SUBSTITUTE(SUBSTITUTE(SUBSTITUTE($O638,"~","~~"),"*","~*"),"?","~?"))</f>
        <v>6</v>
      </c>
      <c r="D638" s="10">
        <f>IF($C638=0,"",SUMIFS('DEF_SELF_SCOUT_IMPORT'!$J$42:$J$1040,'DEF_SELF_SCOUT_IMPORT'!$L$42:$L$1040,"Y",'DEF_SELF_SCOUT_IMPORT'!$E$42:$E$1040,SUBSTITUTE(SUBSTITUTE(SUBSTITUTE($B638,"~","~~"),"*","~*"),"?","~?"),'DEF_SELF_SCOUT_IMPORT'!$Q$42:$Q$1040,SUBSTITUTE(SUBSTITUTE(SUBSTITUTE($M638,"~","~~"),"*","~*"),"?","~?"),'DEF_SELF_SCOUT_IMPORT'!$F$42:$F$1040,SUBSTITUTE(SUBSTITUTE(SUBSTITUTE($N638,"~","~~"),"*","~*"),"?","~?"),'DEF_SELF_SCOUT_IMPORT'!$G$42:$G$1040,SUBSTITUTE(SUBSTITUTE(SUBSTITUTE($O638,"~","~~"),"*","~*"),"?","~?"))/$C638)</f>
        <v>0.8333333333333334</v>
      </c>
      <c r="E638" s="10">
        <f>IF($C638=0,"",SUMIFS('DEF_SELF_SCOUT_IMPORT'!$K$42:$K$1040,'DEF_SELF_SCOUT_IMPORT'!$L$42:$L$1040,"Y",'DEF_SELF_SCOUT_IMPORT'!$E$42:$E$1040,SUBSTITUTE(SUBSTITUTE(SUBSTITUTE($B638,"~","~~"),"*","~*"),"?","~?"),'DEF_SELF_SCOUT_IMPORT'!$Q$42:$Q$1040,SUBSTITUTE(SUBSTITUTE(SUBSTITUTE($M638,"~","~~"),"*","~*"),"?","~?"),'DEF_SELF_SCOUT_IMPORT'!$F$42:$F$1040,SUBSTITUTE(SUBSTITUTE(SUBSTITUTE($N638,"~","~~"),"*","~*"),"?","~?"),'DEF_SELF_SCOUT_IMPORT'!$G$42:$G$1040,SUBSTITUTE(SUBSTITUTE(SUBSTITUTE($O638,"~","~~"),"*","~*"),"?","~?"))/$C638)</f>
        <v>0.16666666666666666</v>
      </c>
      <c r="F638" s="11">
        <f>IF($C638=0,"",AVERAGEIFS('DEF_SELF_SCOUT_IMPORT'!$I$42:$I$1040,'DEF_SELF_SCOUT_IMPORT'!$L$42:$L$1040,"Y",'DEF_SELF_SCOUT_IMPORT'!$E$42:$E$1040,SUBSTITUTE(SUBSTITUTE(SUBSTITUTE($B638,"~","~~"),"*","~*"),"?","~?"),'DEF_SELF_SCOUT_IMPORT'!$Q$42:$Q$1040,SUBSTITUTE(SUBSTITUTE(SUBSTITUTE($M638,"~","~~"),"*","~*"),"?","~?"),'DEF_SELF_SCOUT_IMPORT'!$F$42:$F$1040,SUBSTITUTE(SUBSTITUTE(SUBSTITUTE($N638,"~","~~"),"*","~*"),"?","~?"),'DEF_SELF_SCOUT_IMPORT'!$G$42:$G$1040,SUBSTITUTE(SUBSTITUTE(SUBSTITUTE($O638,"~","~~"),"*","~*"),"?","~?")))</f>
        <v>3.3333333333333335</v>
      </c>
      <c r="G638" s="10">
        <f>IF($C638=0,"",COUNTIFS('DEF_SELF_SCOUT_IMPORT'!$L$42:$L$1040,"Y",'DEF_SELF_SCOUT_IMPORT'!$E$42:$E$1040,SUBSTITUTE(SUBSTITUTE(SUBSTITUTE($B638,"~","~~"),"*","~*"),"?","~?"),'DEF_SELF_SCOUT_IMPORT'!$Q$42:$Q$1040,SUBSTITUTE(SUBSTITUTE(SUBSTITUTE($M638,"~","~~"),"*","~*"),"?","~?"),'DEF_SELF_SCOUT_IMPORT'!$F$42:$F$1040,SUBSTITUTE(SUBSTITUTE(SUBSTITUTE($N638,"~","~~"),"*","~*"),"?","~?"),'DEF_SELF_SCOUT_IMPORT'!$G$42:$G$1040,SUBSTITUTE(SUBSTITUTE(SUBSTITUTE($O638,"~","~~"),"*","~*"),"?","~?"),'DEF_SELF_SCOUT_IMPORT'!$H$42:$H$1040,"RUSH")/$C638)</f>
        <v>0.16666666666666666</v>
      </c>
      <c r="H638" s="10">
        <f>IF($C638=0,"",COUNTIFS('DEF_SELF_SCOUT_IMPORT'!$L$42:$L$1040,"Y",'DEF_SELF_SCOUT_IMPORT'!$E$42:$E$1040,SUBSTITUTE(SUBSTITUTE(SUBSTITUTE($B638,"~","~~"),"*","~*"),"?","~?"),'DEF_SELF_SCOUT_IMPORT'!$Q$42:$Q$1040,SUBSTITUTE(SUBSTITUTE(SUBSTITUTE($M638,"~","~~"),"*","~*"),"?","~?"),'DEF_SELF_SCOUT_IMPORT'!$F$42:$F$1040,SUBSTITUTE(SUBSTITUTE(SUBSTITUTE($N638,"~","~~"),"*","~*"),"?","~?"),'DEF_SELF_SCOUT_IMPORT'!$G$42:$G$1040,SUBSTITUTE(SUBSTITUTE(SUBSTITUTE($O638,"~","~~"),"*","~*"),"?","~?"),'DEF_SELF_SCOUT_IMPORT'!$H$42:$H$1040,"DROPBACK")/$C638)</f>
        <v>0.8333333333333334</v>
      </c>
      <c r="I638" s="14" t="str">
        <f>IF(C638=0,"",IF(C638&lt;=2,"TRACK",IF(C638=3,"LOW",IF(C638&lt;=6,"MEDIUM","HIGH"))))</f>
        <v>MEDIUM</v>
      </c>
      <c r="J638" s="11">
        <f>IF(C638=0,"",ROUND(D638*70+(1-E638)*20+MAX(0,MIN(1,(10-F638)/10))*10,1))</f>
        <v>81.7</v>
      </c>
      <c r="K638" s="14" t="str">
        <f>IF(C638=0,"No Evidence",IF(C638&lt;=2,IF(E638&gt;0,"Explosive Alert","Track Only"),IF(C638=3,"Sample Watch",IF(E638&gt;=START_HERE!$B$31,"Explosive Alert",IF(J638&gt;=80,"Strong Candidate",IF(J638&gt;=65,"Good Candidate",IF(J638&gt;=50,"Mixed / Review","Problem Call")))))))</f>
        <v>Strong Candidate</v>
      </c>
      <c r="L638" s="9" t="str">
        <f>IF(COUNTIFS('DEF_SELF_SCOUT_IMPORT'!$L$42:$L$1040,"Y",'DEF_SELF_SCOUT_IMPORT'!$E$42:$E$1040,SUBSTITUTE(SUBSTITUTE(SUBSTITUTE($B638,"~","~~"),"*","~*"),"?","~?"),'DEF_SELF_SCOUT_IMPORT'!$Q$42:$Q$1040,SUBSTITUTE(SUBSTITUTE(SUBSTITUTE($M638,"~","~~"),"*","~*"),"?","~?"),'DEF_SELF_SCOUT_IMPORT'!$F$42:$F$1040,SUBSTITUTE(SUBSTITUTE(SUBSTITUTE($N638,"~","~~"),"*","~*"),"?","~?"),'DEF_SELF_SCOUT_IMPORT'!$G$42:$G$1040,SUBSTITUTE(SUBSTITUTE(SUBSTITUTE($O638,"~","~~"),"*","~*"),"?","~?"),'DEF_SELF_SCOUT_IMPORT'!$J$42:$J$1040,"")&gt;0,"Unscored clean outcome; review result tags before using score.",IF(C638=0,"No matching defensive reps; film confirmation needed.",IF(K638="Explosive Alert","Explosive risk; review clips before using as answer.",IF(C638&lt;=2,"Track only; not enough sample.",IF(C638=3,IF(E638&gt;0,"Sample watch with explosive exposure; review clips and build the sample.",IF(J638&gt;=65,"Good signal, but sample is limited.","Sample watch; review clips and build the sample.")),IF(K638="Problem Call","Problem area; practice or call-sheet review.",IF(K638="Strong Candidate","Strong call-fit candidate; confirm on film.",IF(K638="Good Candidate","Good call-fit signal; confirm on film.","Mixed signal; review fit and execution on film."))))))))</f>
        <v>Strong call-fit candidate; confirm on film.</v>
      </c>
      <c r="M638" s="8" t="s">
        <v>39</v>
      </c>
      <c r="N638" s="8" t="s">
        <v>123</v>
      </c>
      <c r="O638" s="8" t="s">
        <v>203</v>
      </c>
      <c r="P638" s="8"/>
      <c r="Q638" s="8"/>
      <c r="R638" s="8" t="s">
        <v>45</v>
      </c>
      <c r="S638" s="2" t="s">
        <v>313</v>
      </c>
      <c r="T638" s="2">
        <f>IF(C638=0,0,IF(C638&gt;=CALL_LOOKUP_BOARD!$B$7,IF(OR(K638="Problem Call",K638="Explosive Alert"),10000000,20000000),0)+IF(C638&gt;=CALL_LOOKUP_BOARD!$B$7,J638*1000+MIN(C638,999),C638*1000+J638)+0.00995000)</f>
        <v>20081706.00995</v>
      </c>
      <c r="U638" s="2" t="str">
        <f>IF(C638=0,"",IF(COUNTIFS($S$589:$S$803,SUBSTITUTE(SUBSTITUTE(SUBSTITUTE(S638,"~","~~"),"*","~*"),"?","~?"),$T$589:$T$803,"&gt;"&amp;T638)=0,S638,""))</f>
        <v>7:1D 7-10|2:12|3:2X2|</v>
      </c>
    </row>
    <row r="639" spans="1:21" ht="38" customHeight="1">
      <c r="A639" s="8" t="s">
        <v>312</v>
      </c>
      <c r="B639" s="8" t="s">
        <v>35</v>
      </c>
      <c r="C639" s="12">
        <f>COUNTIFS('DEF_SELF_SCOUT_IMPORT'!$L$42:$L$1040,"Y",'DEF_SELF_SCOUT_IMPORT'!$E$42:$E$1040,SUBSTITUTE(SUBSTITUTE(SUBSTITUTE($B639,"~","~~"),"*","~*"),"?","~?"),'DEF_SELF_SCOUT_IMPORT'!$Q$42:$Q$1040,SUBSTITUTE(SUBSTITUTE(SUBSTITUTE($M639,"~","~~"),"*","~*"),"?","~?"),'DEF_SELF_SCOUT_IMPORT'!$F$42:$F$1040,SUBSTITUTE(SUBSTITUTE(SUBSTITUTE($N639,"~","~~"),"*","~*"),"?","~?"),'DEF_SELF_SCOUT_IMPORT'!$G$42:$G$1040,SUBSTITUTE(SUBSTITUTE(SUBSTITUTE($O639,"~","~~"),"*","~*"),"?","~?"))</f>
        <v>1</v>
      </c>
      <c r="D639" s="10">
        <f>IF($C639=0,"",SUMIFS('DEF_SELF_SCOUT_IMPORT'!$J$42:$J$1040,'DEF_SELF_SCOUT_IMPORT'!$L$42:$L$1040,"Y",'DEF_SELF_SCOUT_IMPORT'!$E$42:$E$1040,SUBSTITUTE(SUBSTITUTE(SUBSTITUTE($B639,"~","~~"),"*","~*"),"?","~?"),'DEF_SELF_SCOUT_IMPORT'!$Q$42:$Q$1040,SUBSTITUTE(SUBSTITUTE(SUBSTITUTE($M639,"~","~~"),"*","~*"),"?","~?"),'DEF_SELF_SCOUT_IMPORT'!$F$42:$F$1040,SUBSTITUTE(SUBSTITUTE(SUBSTITUTE($N639,"~","~~"),"*","~*"),"?","~?"),'DEF_SELF_SCOUT_IMPORT'!$G$42:$G$1040,SUBSTITUTE(SUBSTITUTE(SUBSTITUTE($O639,"~","~~"),"*","~*"),"?","~?"))/$C639)</f>
        <v>1.0</v>
      </c>
      <c r="E639" s="10">
        <f>IF($C639=0,"",SUMIFS('DEF_SELF_SCOUT_IMPORT'!$K$42:$K$1040,'DEF_SELF_SCOUT_IMPORT'!$L$42:$L$1040,"Y",'DEF_SELF_SCOUT_IMPORT'!$E$42:$E$1040,SUBSTITUTE(SUBSTITUTE(SUBSTITUTE($B639,"~","~~"),"*","~*"),"?","~?"),'DEF_SELF_SCOUT_IMPORT'!$Q$42:$Q$1040,SUBSTITUTE(SUBSTITUTE(SUBSTITUTE($M639,"~","~~"),"*","~*"),"?","~?"),'DEF_SELF_SCOUT_IMPORT'!$F$42:$F$1040,SUBSTITUTE(SUBSTITUTE(SUBSTITUTE($N639,"~","~~"),"*","~*"),"?","~?"),'DEF_SELF_SCOUT_IMPORT'!$G$42:$G$1040,SUBSTITUTE(SUBSTITUTE(SUBSTITUTE($O639,"~","~~"),"*","~*"),"?","~?"))/$C639)</f>
        <v>0.0</v>
      </c>
      <c r="F639" s="11">
        <f>IF($C639=0,"",AVERAGEIFS('DEF_SELF_SCOUT_IMPORT'!$I$42:$I$1040,'DEF_SELF_SCOUT_IMPORT'!$L$42:$L$1040,"Y",'DEF_SELF_SCOUT_IMPORT'!$E$42:$E$1040,SUBSTITUTE(SUBSTITUTE(SUBSTITUTE($B639,"~","~~"),"*","~*"),"?","~?"),'DEF_SELF_SCOUT_IMPORT'!$Q$42:$Q$1040,SUBSTITUTE(SUBSTITUTE(SUBSTITUTE($M639,"~","~~"),"*","~*"),"?","~?"),'DEF_SELF_SCOUT_IMPORT'!$F$42:$F$1040,SUBSTITUTE(SUBSTITUTE(SUBSTITUTE($N639,"~","~~"),"*","~*"),"?","~?"),'DEF_SELF_SCOUT_IMPORT'!$G$42:$G$1040,SUBSTITUTE(SUBSTITUTE(SUBSTITUTE($O639,"~","~~"),"*","~*"),"?","~?")))</f>
        <v>0.0</v>
      </c>
      <c r="G639" s="10">
        <f>IF($C639=0,"",COUNTIFS('DEF_SELF_SCOUT_IMPORT'!$L$42:$L$1040,"Y",'DEF_SELF_SCOUT_IMPORT'!$E$42:$E$1040,SUBSTITUTE(SUBSTITUTE(SUBSTITUTE($B639,"~","~~"),"*","~*"),"?","~?"),'DEF_SELF_SCOUT_IMPORT'!$Q$42:$Q$1040,SUBSTITUTE(SUBSTITUTE(SUBSTITUTE($M639,"~","~~"),"*","~*"),"?","~?"),'DEF_SELF_SCOUT_IMPORT'!$F$42:$F$1040,SUBSTITUTE(SUBSTITUTE(SUBSTITUTE($N639,"~","~~"),"*","~*"),"?","~?"),'DEF_SELF_SCOUT_IMPORT'!$G$42:$G$1040,SUBSTITUTE(SUBSTITUTE(SUBSTITUTE($O639,"~","~~"),"*","~*"),"?","~?"),'DEF_SELF_SCOUT_IMPORT'!$H$42:$H$1040,"RUSH")/$C639)</f>
        <v>0.0</v>
      </c>
      <c r="H639" s="10">
        <f>IF($C639=0,"",COUNTIFS('DEF_SELF_SCOUT_IMPORT'!$L$42:$L$1040,"Y",'DEF_SELF_SCOUT_IMPORT'!$E$42:$E$1040,SUBSTITUTE(SUBSTITUTE(SUBSTITUTE($B639,"~","~~"),"*","~*"),"?","~?"),'DEF_SELF_SCOUT_IMPORT'!$Q$42:$Q$1040,SUBSTITUTE(SUBSTITUTE(SUBSTITUTE($M639,"~","~~"),"*","~*"),"?","~?"),'DEF_SELF_SCOUT_IMPORT'!$F$42:$F$1040,SUBSTITUTE(SUBSTITUTE(SUBSTITUTE($N639,"~","~~"),"*","~*"),"?","~?"),'DEF_SELF_SCOUT_IMPORT'!$G$42:$G$1040,SUBSTITUTE(SUBSTITUTE(SUBSTITUTE($O639,"~","~~"),"*","~*"),"?","~?"),'DEF_SELF_SCOUT_IMPORT'!$H$42:$H$1040,"DROPBACK")/$C639)</f>
        <v>1.0</v>
      </c>
      <c r="I639" s="14" t="str">
        <f>IF(C639=0,"",IF(C639&lt;=2,"TRACK",IF(C639=3,"LOW",IF(C639&lt;=6,"MEDIUM","HIGH"))))</f>
        <v>TRACK</v>
      </c>
      <c r="J639" s="11">
        <f>IF(C639=0,"",ROUND(D639*70+(1-E639)*20+MAX(0,MIN(1,(10-F639)/10))*10,1))</f>
        <v>100.0</v>
      </c>
      <c r="K639" s="14" t="str">
        <f>IF(C639=0,"No Evidence",IF(C639&lt;=2,IF(E639&gt;0,"Explosive Alert","Track Only"),IF(C639=3,"Sample Watch",IF(E639&gt;=START_HERE!$B$31,"Explosive Alert",IF(J639&gt;=80,"Strong Candidate",IF(J639&gt;=65,"Good Candidate",IF(J639&gt;=50,"Mixed / Review","Problem Call")))))))</f>
        <v>Track Only</v>
      </c>
      <c r="L639" s="9" t="str">
        <f>IF(COUNTIFS('DEF_SELF_SCOUT_IMPORT'!$L$42:$L$1040,"Y",'DEF_SELF_SCOUT_IMPORT'!$E$42:$E$1040,SUBSTITUTE(SUBSTITUTE(SUBSTITUTE($B639,"~","~~"),"*","~*"),"?","~?"),'DEF_SELF_SCOUT_IMPORT'!$Q$42:$Q$1040,SUBSTITUTE(SUBSTITUTE(SUBSTITUTE($M639,"~","~~"),"*","~*"),"?","~?"),'DEF_SELF_SCOUT_IMPORT'!$F$42:$F$1040,SUBSTITUTE(SUBSTITUTE(SUBSTITUTE($N639,"~","~~"),"*","~*"),"?","~?"),'DEF_SELF_SCOUT_IMPORT'!$G$42:$G$1040,SUBSTITUTE(SUBSTITUTE(SUBSTITUTE($O639,"~","~~"),"*","~*"),"?","~?"),'DEF_SELF_SCOUT_IMPORT'!$J$42:$J$1040,"")&gt;0,"Unscored clean outcome; review result tags before using score.",IF(C639=0,"No matching defensive reps; film confirmation needed.",IF(K639="Explosive Alert","Explosive risk; review clips before using as answer.",IF(C639&lt;=2,"Track only; not enough sample.",IF(C639=3,IF(E639&gt;0,"Sample watch with explosive exposure; review clips and build the sample.",IF(J639&gt;=65,"Good signal, but sample is limited.","Sample watch; review clips and build the sample.")),IF(K639="Problem Call","Problem area; practice or call-sheet review.",IF(K639="Strong Candidate","Strong call-fit candidate; confirm on film.",IF(K639="Good Candidate","Good call-fit signal; confirm on film.","Mixed signal; review fit and execution on film."))))))))</f>
        <v>Track only; not enough sample.</v>
      </c>
      <c r="M639" s="8" t="s">
        <v>39</v>
      </c>
      <c r="N639" s="8" t="s">
        <v>123</v>
      </c>
      <c r="O639" s="8" t="s">
        <v>203</v>
      </c>
      <c r="P639" s="8"/>
      <c r="Q639" s="8"/>
      <c r="R639" s="8" t="s">
        <v>28</v>
      </c>
      <c r="S639" s="2" t="s">
        <v>313</v>
      </c>
      <c r="T639" s="2">
        <f>IF(C639=0,0,IF(C639&gt;=CALL_LOOKUP_BOARD!$B$7,IF(OR(K639="Problem Call",K639="Explosive Alert"),10000000,20000000),0)+IF(C639&gt;=CALL_LOOKUP_BOARD!$B$7,J639*1000+MIN(C639,999),C639*1000+J639)+0.00994900)</f>
        <v>1100.009949</v>
      </c>
      <c r="U639" s="2">
        <f>IF(C639=0,"",IF(COUNTIFS($S$589:$S$803,SUBSTITUTE(SUBSTITUTE(SUBSTITUTE(S639,"~","~~"),"*","~*"),"?","~?"),$T$589:$T$803,"&gt;"&amp;T639)=0,S639,""))</f>
        <v/>
      </c>
    </row>
    <row r="640" spans="1:21" ht="38" customHeight="1">
      <c r="A640" s="8" t="s">
        <v>314</v>
      </c>
      <c r="B640" s="8" t="s">
        <v>51</v>
      </c>
      <c r="C640" s="12">
        <f>COUNTIFS('DEF_SELF_SCOUT_IMPORT'!$L$42:$L$1040,"Y",'DEF_SELF_SCOUT_IMPORT'!$E$42:$E$1040,SUBSTITUTE(SUBSTITUTE(SUBSTITUTE($B640,"~","~~"),"*","~*"),"?","~?"),'DEF_SELF_SCOUT_IMPORT'!$Q$42:$Q$1040,SUBSTITUTE(SUBSTITUTE(SUBSTITUTE($M640,"~","~~"),"*","~*"),"?","~?"),'DEF_SELF_SCOUT_IMPORT'!$F$42:$F$1040,SUBSTITUTE(SUBSTITUTE(SUBSTITUTE($N640,"~","~~"),"*","~*"),"?","~?"),'DEF_SELF_SCOUT_IMPORT'!$G$42:$G$1040,SUBSTITUTE(SUBSTITUTE(SUBSTITUTE($O640,"~","~~"),"*","~*"),"?","~?"))</f>
        <v>2</v>
      </c>
      <c r="D640" s="10">
        <f>IF($C640=0,"",SUMIFS('DEF_SELF_SCOUT_IMPORT'!$J$42:$J$1040,'DEF_SELF_SCOUT_IMPORT'!$L$42:$L$1040,"Y",'DEF_SELF_SCOUT_IMPORT'!$E$42:$E$1040,SUBSTITUTE(SUBSTITUTE(SUBSTITUTE($B640,"~","~~"),"*","~*"),"?","~?"),'DEF_SELF_SCOUT_IMPORT'!$Q$42:$Q$1040,SUBSTITUTE(SUBSTITUTE(SUBSTITUTE($M640,"~","~~"),"*","~*"),"?","~?"),'DEF_SELF_SCOUT_IMPORT'!$F$42:$F$1040,SUBSTITUTE(SUBSTITUTE(SUBSTITUTE($N640,"~","~~"),"*","~*"),"?","~?"),'DEF_SELF_SCOUT_IMPORT'!$G$42:$G$1040,SUBSTITUTE(SUBSTITUTE(SUBSTITUTE($O640,"~","~~"),"*","~*"),"?","~?"))/$C640)</f>
        <v>0.5</v>
      </c>
      <c r="E640" s="10">
        <f>IF($C640=0,"",SUMIFS('DEF_SELF_SCOUT_IMPORT'!$K$42:$K$1040,'DEF_SELF_SCOUT_IMPORT'!$L$42:$L$1040,"Y",'DEF_SELF_SCOUT_IMPORT'!$E$42:$E$1040,SUBSTITUTE(SUBSTITUTE(SUBSTITUTE($B640,"~","~~"),"*","~*"),"?","~?"),'DEF_SELF_SCOUT_IMPORT'!$Q$42:$Q$1040,SUBSTITUTE(SUBSTITUTE(SUBSTITUTE($M640,"~","~~"),"*","~*"),"?","~?"),'DEF_SELF_SCOUT_IMPORT'!$F$42:$F$1040,SUBSTITUTE(SUBSTITUTE(SUBSTITUTE($N640,"~","~~"),"*","~*"),"?","~?"),'DEF_SELF_SCOUT_IMPORT'!$G$42:$G$1040,SUBSTITUTE(SUBSTITUTE(SUBSTITUTE($O640,"~","~~"),"*","~*"),"?","~?"))/$C640)</f>
        <v>0.0</v>
      </c>
      <c r="F640" s="11">
        <f>IF($C640=0,"",AVERAGEIFS('DEF_SELF_SCOUT_IMPORT'!$I$42:$I$1040,'DEF_SELF_SCOUT_IMPORT'!$L$42:$L$1040,"Y",'DEF_SELF_SCOUT_IMPORT'!$E$42:$E$1040,SUBSTITUTE(SUBSTITUTE(SUBSTITUTE($B640,"~","~~"),"*","~*"),"?","~?"),'DEF_SELF_SCOUT_IMPORT'!$Q$42:$Q$1040,SUBSTITUTE(SUBSTITUTE(SUBSTITUTE($M640,"~","~~"),"*","~*"),"?","~?"),'DEF_SELF_SCOUT_IMPORT'!$F$42:$F$1040,SUBSTITUTE(SUBSTITUTE(SUBSTITUTE($N640,"~","~~"),"*","~*"),"?","~?"),'DEF_SELF_SCOUT_IMPORT'!$G$42:$G$1040,SUBSTITUTE(SUBSTITUTE(SUBSTITUTE($O640,"~","~~"),"*","~*"),"?","~?")))</f>
        <v>2.0</v>
      </c>
      <c r="G640" s="10">
        <f>IF($C640=0,"",COUNTIFS('DEF_SELF_SCOUT_IMPORT'!$L$42:$L$1040,"Y",'DEF_SELF_SCOUT_IMPORT'!$E$42:$E$1040,SUBSTITUTE(SUBSTITUTE(SUBSTITUTE($B640,"~","~~"),"*","~*"),"?","~?"),'DEF_SELF_SCOUT_IMPORT'!$Q$42:$Q$1040,SUBSTITUTE(SUBSTITUTE(SUBSTITUTE($M640,"~","~~"),"*","~*"),"?","~?"),'DEF_SELF_SCOUT_IMPORT'!$F$42:$F$1040,SUBSTITUTE(SUBSTITUTE(SUBSTITUTE($N640,"~","~~"),"*","~*"),"?","~?"),'DEF_SELF_SCOUT_IMPORT'!$G$42:$G$1040,SUBSTITUTE(SUBSTITUTE(SUBSTITUTE($O640,"~","~~"),"*","~*"),"?","~?"),'DEF_SELF_SCOUT_IMPORT'!$H$42:$H$1040,"RUSH")/$C640)</f>
        <v>0.5</v>
      </c>
      <c r="H640" s="10">
        <f>IF($C640=0,"",COUNTIFS('DEF_SELF_SCOUT_IMPORT'!$L$42:$L$1040,"Y",'DEF_SELF_SCOUT_IMPORT'!$E$42:$E$1040,SUBSTITUTE(SUBSTITUTE(SUBSTITUTE($B640,"~","~~"),"*","~*"),"?","~?"),'DEF_SELF_SCOUT_IMPORT'!$Q$42:$Q$1040,SUBSTITUTE(SUBSTITUTE(SUBSTITUTE($M640,"~","~~"),"*","~*"),"?","~?"),'DEF_SELF_SCOUT_IMPORT'!$F$42:$F$1040,SUBSTITUTE(SUBSTITUTE(SUBSTITUTE($N640,"~","~~"),"*","~*"),"?","~?"),'DEF_SELF_SCOUT_IMPORT'!$G$42:$G$1040,SUBSTITUTE(SUBSTITUTE(SUBSTITUTE($O640,"~","~~"),"*","~*"),"?","~?"),'DEF_SELF_SCOUT_IMPORT'!$H$42:$H$1040,"DROPBACK")/$C640)</f>
        <v>0.5</v>
      </c>
      <c r="I640" s="14" t="str">
        <f>IF(C640=0,"",IF(C640&lt;=2,"TRACK",IF(C640=3,"LOW",IF(C640&lt;=6,"MEDIUM","HIGH"))))</f>
        <v>TRACK</v>
      </c>
      <c r="J640" s="11">
        <f>IF(C640=0,"",ROUND(D640*70+(1-E640)*20+MAX(0,MIN(1,(10-F640)/10))*10,1))</f>
        <v>63.0</v>
      </c>
      <c r="K640" s="14" t="str">
        <f>IF(C640=0,"No Evidence",IF(C640&lt;=2,IF(E640&gt;0,"Explosive Alert","Track Only"),IF(C640=3,"Sample Watch",IF(E640&gt;=START_HERE!$B$31,"Explosive Alert",IF(J640&gt;=80,"Strong Candidate",IF(J640&gt;=65,"Good Candidate",IF(J640&gt;=50,"Mixed / Review","Problem Call")))))))</f>
        <v>Track Only</v>
      </c>
      <c r="L640" s="9" t="str">
        <f>IF(COUNTIFS('DEF_SELF_SCOUT_IMPORT'!$L$42:$L$1040,"Y",'DEF_SELF_SCOUT_IMPORT'!$E$42:$E$1040,SUBSTITUTE(SUBSTITUTE(SUBSTITUTE($B640,"~","~~"),"*","~*"),"?","~?"),'DEF_SELF_SCOUT_IMPORT'!$Q$42:$Q$1040,SUBSTITUTE(SUBSTITUTE(SUBSTITUTE($M640,"~","~~"),"*","~*"),"?","~?"),'DEF_SELF_SCOUT_IMPORT'!$F$42:$F$1040,SUBSTITUTE(SUBSTITUTE(SUBSTITUTE($N640,"~","~~"),"*","~*"),"?","~?"),'DEF_SELF_SCOUT_IMPORT'!$G$42:$G$1040,SUBSTITUTE(SUBSTITUTE(SUBSTITUTE($O640,"~","~~"),"*","~*"),"?","~?"),'DEF_SELF_SCOUT_IMPORT'!$J$42:$J$1040,"")&gt;0,"Unscored clean outcome; review result tags before using score.",IF(C640=0,"No matching defensive reps; film confirmation needed.",IF(K640="Explosive Alert","Explosive risk; review clips before using as answer.",IF(C640&lt;=2,"Track only; not enough sample.",IF(C640=3,IF(E640&gt;0,"Sample watch with explosive exposure; review clips and build the sample.",IF(J640&gt;=65,"Good signal, but sample is limited.","Sample watch; review clips and build the sample.")),IF(K640="Problem Call","Problem area; practice or call-sheet review.",IF(K640="Strong Candidate","Strong call-fit candidate; confirm on film.",IF(K640="Good Candidate","Good call-fit signal; confirm on film.","Mixed signal; review fit and execution on film."))))))))</f>
        <v>Track only; not enough sample.</v>
      </c>
      <c r="M640" s="8" t="s">
        <v>39</v>
      </c>
      <c r="N640" s="8" t="s">
        <v>123</v>
      </c>
      <c r="O640" s="8" t="s">
        <v>206</v>
      </c>
      <c r="P640" s="8"/>
      <c r="Q640" s="8"/>
      <c r="R640" s="8" t="s">
        <v>28</v>
      </c>
      <c r="S640" s="2" t="s">
        <v>315</v>
      </c>
      <c r="T640" s="2">
        <f>IF(C640=0,0,IF(C640&gt;=CALL_LOOKUP_BOARD!$B$7,IF(OR(K640="Problem Call",K640="Explosive Alert"),10000000,20000000),0)+IF(C640&gt;=CALL_LOOKUP_BOARD!$B$7,J640*1000+MIN(C640,999),C640*1000+J640)+0.00994800)</f>
        <v>2063.009948</v>
      </c>
      <c r="U640" s="2" t="str">
        <f>IF(C640=0,"",IF(COUNTIFS($S$589:$S$803,SUBSTITUTE(SUBSTITUTE(SUBSTITUTE(S640,"~","~~"),"*","~*"),"?","~?"),$T$589:$T$803,"&gt;"&amp;T640)=0,S640,""))</f>
        <v>7:1D 7-10|2:12|3:3X1|</v>
      </c>
    </row>
    <row r="641" spans="1:21" ht="38" customHeight="1">
      <c r="A641" s="8" t="s">
        <v>316</v>
      </c>
      <c r="B641" s="8" t="s">
        <v>35</v>
      </c>
      <c r="C641" s="12">
        <f>COUNTIFS('DEF_SELF_SCOUT_IMPORT'!$L$42:$L$1040,"Y",'DEF_SELF_SCOUT_IMPORT'!$E$42:$E$1040,SUBSTITUTE(SUBSTITUTE(SUBSTITUTE($B641,"~","~~"),"*","~*"),"?","~?"),'DEF_SELF_SCOUT_IMPORT'!$Q$42:$Q$1040,SUBSTITUTE(SUBSTITUTE(SUBSTITUTE($M641,"~","~~"),"*","~*"),"?","~?"),'DEF_SELF_SCOUT_IMPORT'!$F$42:$F$1040,SUBSTITUTE(SUBSTITUTE(SUBSTITUTE($N641,"~","~~"),"*","~*"),"?","~?"),'DEF_SELF_SCOUT_IMPORT'!$G$42:$G$1040,SUBSTITUTE(SUBSTITUTE(SUBSTITUTE($O641,"~","~~"),"*","~*"),"?","~?"))</f>
        <v>1</v>
      </c>
      <c r="D641" s="10">
        <f>IF($C641=0,"",SUMIFS('DEF_SELF_SCOUT_IMPORT'!$J$42:$J$1040,'DEF_SELF_SCOUT_IMPORT'!$L$42:$L$1040,"Y",'DEF_SELF_SCOUT_IMPORT'!$E$42:$E$1040,SUBSTITUTE(SUBSTITUTE(SUBSTITUTE($B641,"~","~~"),"*","~*"),"?","~?"),'DEF_SELF_SCOUT_IMPORT'!$Q$42:$Q$1040,SUBSTITUTE(SUBSTITUTE(SUBSTITUTE($M641,"~","~~"),"*","~*"),"?","~?"),'DEF_SELF_SCOUT_IMPORT'!$F$42:$F$1040,SUBSTITUTE(SUBSTITUTE(SUBSTITUTE($N641,"~","~~"),"*","~*"),"?","~?"),'DEF_SELF_SCOUT_IMPORT'!$G$42:$G$1040,SUBSTITUTE(SUBSTITUTE(SUBSTITUTE($O641,"~","~~"),"*","~*"),"?","~?"))/$C641)</f>
        <v>1.0</v>
      </c>
      <c r="E641" s="10">
        <f>IF($C641=0,"",SUMIFS('DEF_SELF_SCOUT_IMPORT'!$K$42:$K$1040,'DEF_SELF_SCOUT_IMPORT'!$L$42:$L$1040,"Y",'DEF_SELF_SCOUT_IMPORT'!$E$42:$E$1040,SUBSTITUTE(SUBSTITUTE(SUBSTITUTE($B641,"~","~~"),"*","~*"),"?","~?"),'DEF_SELF_SCOUT_IMPORT'!$Q$42:$Q$1040,SUBSTITUTE(SUBSTITUTE(SUBSTITUTE($M641,"~","~~"),"*","~*"),"?","~?"),'DEF_SELF_SCOUT_IMPORT'!$F$42:$F$1040,SUBSTITUTE(SUBSTITUTE(SUBSTITUTE($N641,"~","~~"),"*","~*"),"?","~?"),'DEF_SELF_SCOUT_IMPORT'!$G$42:$G$1040,SUBSTITUTE(SUBSTITUTE(SUBSTITUTE($O641,"~","~~"),"*","~*"),"?","~?"))/$C641)</f>
        <v>0.0</v>
      </c>
      <c r="F641" s="11">
        <f>IF($C641=0,"",AVERAGEIFS('DEF_SELF_SCOUT_IMPORT'!$I$42:$I$1040,'DEF_SELF_SCOUT_IMPORT'!$L$42:$L$1040,"Y",'DEF_SELF_SCOUT_IMPORT'!$E$42:$E$1040,SUBSTITUTE(SUBSTITUTE(SUBSTITUTE($B641,"~","~~"),"*","~*"),"?","~?"),'DEF_SELF_SCOUT_IMPORT'!$Q$42:$Q$1040,SUBSTITUTE(SUBSTITUTE(SUBSTITUTE($M641,"~","~~"),"*","~*"),"?","~?"),'DEF_SELF_SCOUT_IMPORT'!$F$42:$F$1040,SUBSTITUTE(SUBSTITUTE(SUBSTITUTE($N641,"~","~~"),"*","~*"),"?","~?"),'DEF_SELF_SCOUT_IMPORT'!$G$42:$G$1040,SUBSTITUTE(SUBSTITUTE(SUBSTITUTE($O641,"~","~~"),"*","~*"),"?","~?")))</f>
        <v>2.0</v>
      </c>
      <c r="G641" s="10">
        <f>IF($C641=0,"",COUNTIFS('DEF_SELF_SCOUT_IMPORT'!$L$42:$L$1040,"Y",'DEF_SELF_SCOUT_IMPORT'!$E$42:$E$1040,SUBSTITUTE(SUBSTITUTE(SUBSTITUTE($B641,"~","~~"),"*","~*"),"?","~?"),'DEF_SELF_SCOUT_IMPORT'!$Q$42:$Q$1040,SUBSTITUTE(SUBSTITUTE(SUBSTITUTE($M641,"~","~~"),"*","~*"),"?","~?"),'DEF_SELF_SCOUT_IMPORT'!$F$42:$F$1040,SUBSTITUTE(SUBSTITUTE(SUBSTITUTE($N641,"~","~~"),"*","~*"),"?","~?"),'DEF_SELF_SCOUT_IMPORT'!$G$42:$G$1040,SUBSTITUTE(SUBSTITUTE(SUBSTITUTE($O641,"~","~~"),"*","~*"),"?","~?"),'DEF_SELF_SCOUT_IMPORT'!$H$42:$H$1040,"RUSH")/$C641)</f>
        <v>0.0</v>
      </c>
      <c r="H641" s="10">
        <f>IF($C641=0,"",COUNTIFS('DEF_SELF_SCOUT_IMPORT'!$L$42:$L$1040,"Y",'DEF_SELF_SCOUT_IMPORT'!$E$42:$E$1040,SUBSTITUTE(SUBSTITUTE(SUBSTITUTE($B641,"~","~~"),"*","~*"),"?","~?"),'DEF_SELF_SCOUT_IMPORT'!$Q$42:$Q$1040,SUBSTITUTE(SUBSTITUTE(SUBSTITUTE($M641,"~","~~"),"*","~*"),"?","~?"),'DEF_SELF_SCOUT_IMPORT'!$F$42:$F$1040,SUBSTITUTE(SUBSTITUTE(SUBSTITUTE($N641,"~","~~"),"*","~*"),"?","~?"),'DEF_SELF_SCOUT_IMPORT'!$G$42:$G$1040,SUBSTITUTE(SUBSTITUTE(SUBSTITUTE($O641,"~","~~"),"*","~*"),"?","~?"),'DEF_SELF_SCOUT_IMPORT'!$H$42:$H$1040,"DROPBACK")/$C641)</f>
        <v>1.0</v>
      </c>
      <c r="I641" s="14" t="str">
        <f>IF(C641=0,"",IF(C641&lt;=2,"TRACK",IF(C641=3,"LOW",IF(C641&lt;=6,"MEDIUM","HIGH"))))</f>
        <v>TRACK</v>
      </c>
      <c r="J641" s="11">
        <f>IF(C641=0,"",ROUND(D641*70+(1-E641)*20+MAX(0,MIN(1,(10-F641)/10))*10,1))</f>
        <v>98.0</v>
      </c>
      <c r="K641" s="14" t="str">
        <f>IF(C641=0,"No Evidence",IF(C641&lt;=2,IF(E641&gt;0,"Explosive Alert","Track Only"),IF(C641=3,"Sample Watch",IF(E641&gt;=START_HERE!$B$31,"Explosive Alert",IF(J641&gt;=80,"Strong Candidate",IF(J641&gt;=65,"Good Candidate",IF(J641&gt;=50,"Mixed / Review","Problem Call")))))))</f>
        <v>Track Only</v>
      </c>
      <c r="L641" s="9" t="str">
        <f>IF(COUNTIFS('DEF_SELF_SCOUT_IMPORT'!$L$42:$L$1040,"Y",'DEF_SELF_SCOUT_IMPORT'!$E$42:$E$1040,SUBSTITUTE(SUBSTITUTE(SUBSTITUTE($B641,"~","~~"),"*","~*"),"?","~?"),'DEF_SELF_SCOUT_IMPORT'!$Q$42:$Q$1040,SUBSTITUTE(SUBSTITUTE(SUBSTITUTE($M641,"~","~~"),"*","~*"),"?","~?"),'DEF_SELF_SCOUT_IMPORT'!$F$42:$F$1040,SUBSTITUTE(SUBSTITUTE(SUBSTITUTE($N641,"~","~~"),"*","~*"),"?","~?"),'DEF_SELF_SCOUT_IMPORT'!$G$42:$G$1040,SUBSTITUTE(SUBSTITUTE(SUBSTITUTE($O641,"~","~~"),"*","~*"),"?","~?"),'DEF_SELF_SCOUT_IMPORT'!$J$42:$J$1040,"")&gt;0,"Unscored clean outcome; review result tags before using score.",IF(C641=0,"No matching defensive reps; film confirmation needed.",IF(K641="Explosive Alert","Explosive risk; review clips before using as answer.",IF(C641&lt;=2,"Track only; not enough sample.",IF(C641=3,IF(E641&gt;0,"Sample watch with explosive exposure; review clips and build the sample.",IF(J641&gt;=65,"Good signal, but sample is limited.","Sample watch; review clips and build the sample.")),IF(K641="Problem Call","Problem area; practice or call-sheet review.",IF(K641="Strong Candidate","Strong call-fit candidate; confirm on film.",IF(K641="Good Candidate","Good call-fit signal; confirm on film.","Mixed signal; review fit and execution on film."))))))))</f>
        <v>Track only; not enough sample.</v>
      </c>
      <c r="M641" s="8" t="s">
        <v>39</v>
      </c>
      <c r="N641" s="8" t="s">
        <v>123</v>
      </c>
      <c r="O641" s="8" t="s">
        <v>222</v>
      </c>
      <c r="P641" s="8"/>
      <c r="Q641" s="8"/>
      <c r="R641" s="8" t="s">
        <v>28</v>
      </c>
      <c r="S641" s="2" t="s">
        <v>317</v>
      </c>
      <c r="T641" s="2">
        <f>IF(C641=0,0,IF(C641&gt;=CALL_LOOKUP_BOARD!$B$7,IF(OR(K641="Problem Call",K641="Explosive Alert"),10000000,20000000),0)+IF(C641&gt;=CALL_LOOKUP_BOARD!$B$7,J641*1000+MIN(C641,999),C641*1000+J641)+0.00994700)</f>
        <v>1098.009947</v>
      </c>
      <c r="U641" s="2" t="str">
        <f>IF(C641=0,"",IF(COUNTIFS($S$589:$S$803,SUBSTITUTE(SUBSTITUTE(SUBSTITUTE(S641,"~","~~"),"*","~*"),"?","~?"),$T$589:$T$803,"&gt;"&amp;T641)=0,S641,""))</f>
        <v>7:1D 7-10|2:12|3:3X2|</v>
      </c>
    </row>
    <row r="642" spans="1:21" ht="38" customHeight="1">
      <c r="A642" s="8" t="s">
        <v>318</v>
      </c>
      <c r="B642" s="8" t="s">
        <v>59</v>
      </c>
      <c r="C642" s="12">
        <f>COUNTIFS('DEF_SELF_SCOUT_IMPORT'!$L$42:$L$1040,"Y",'DEF_SELF_SCOUT_IMPORT'!$E$42:$E$1040,SUBSTITUTE(SUBSTITUTE(SUBSTITUTE($B642,"~","~~"),"*","~*"),"?","~?"),'DEF_SELF_SCOUT_IMPORT'!$Q$42:$Q$1040,SUBSTITUTE(SUBSTITUTE(SUBSTITUTE($M642,"~","~~"),"*","~*"),"?","~?"),'DEF_SELF_SCOUT_IMPORT'!$F$42:$F$1040,SUBSTITUTE(SUBSTITUTE(SUBSTITUTE($N642,"~","~~"),"*","~*"),"?","~?"),'DEF_SELF_SCOUT_IMPORT'!$G$42:$G$1040,SUBSTITUTE(SUBSTITUTE(SUBSTITUTE($O642,"~","~~"),"*","~*"),"?","~?"))</f>
        <v>1</v>
      </c>
      <c r="D642" s="10">
        <f>IF($C642=0,"",SUMIFS('DEF_SELF_SCOUT_IMPORT'!$J$42:$J$1040,'DEF_SELF_SCOUT_IMPORT'!$L$42:$L$1040,"Y",'DEF_SELF_SCOUT_IMPORT'!$E$42:$E$1040,SUBSTITUTE(SUBSTITUTE(SUBSTITUTE($B642,"~","~~"),"*","~*"),"?","~?"),'DEF_SELF_SCOUT_IMPORT'!$Q$42:$Q$1040,SUBSTITUTE(SUBSTITUTE(SUBSTITUTE($M642,"~","~~"),"*","~*"),"?","~?"),'DEF_SELF_SCOUT_IMPORT'!$F$42:$F$1040,SUBSTITUTE(SUBSTITUTE(SUBSTITUTE($N642,"~","~~"),"*","~*"),"?","~?"),'DEF_SELF_SCOUT_IMPORT'!$G$42:$G$1040,SUBSTITUTE(SUBSTITUTE(SUBSTITUTE($O642,"~","~~"),"*","~*"),"?","~?"))/$C642)</f>
        <v>0.0</v>
      </c>
      <c r="E642" s="10">
        <f>IF($C642=0,"",SUMIFS('DEF_SELF_SCOUT_IMPORT'!$K$42:$K$1040,'DEF_SELF_SCOUT_IMPORT'!$L$42:$L$1040,"Y",'DEF_SELF_SCOUT_IMPORT'!$E$42:$E$1040,SUBSTITUTE(SUBSTITUTE(SUBSTITUTE($B642,"~","~~"),"*","~*"),"?","~?"),'DEF_SELF_SCOUT_IMPORT'!$Q$42:$Q$1040,SUBSTITUTE(SUBSTITUTE(SUBSTITUTE($M642,"~","~~"),"*","~*"),"?","~?"),'DEF_SELF_SCOUT_IMPORT'!$F$42:$F$1040,SUBSTITUTE(SUBSTITUTE(SUBSTITUTE($N642,"~","~~"),"*","~*"),"?","~?"),'DEF_SELF_SCOUT_IMPORT'!$G$42:$G$1040,SUBSTITUTE(SUBSTITUTE(SUBSTITUTE($O642,"~","~~"),"*","~*"),"?","~?"))/$C642)</f>
        <v>1.0</v>
      </c>
      <c r="F642" s="11">
        <f>IF($C642=0,"",AVERAGEIFS('DEF_SELF_SCOUT_IMPORT'!$I$42:$I$1040,'DEF_SELF_SCOUT_IMPORT'!$L$42:$L$1040,"Y",'DEF_SELF_SCOUT_IMPORT'!$E$42:$E$1040,SUBSTITUTE(SUBSTITUTE(SUBSTITUTE($B642,"~","~~"),"*","~*"),"?","~?"),'DEF_SELF_SCOUT_IMPORT'!$Q$42:$Q$1040,SUBSTITUTE(SUBSTITUTE(SUBSTITUTE($M642,"~","~~"),"*","~*"),"?","~?"),'DEF_SELF_SCOUT_IMPORT'!$F$42:$F$1040,SUBSTITUTE(SUBSTITUTE(SUBSTITUTE($N642,"~","~~"),"*","~*"),"?","~?"),'DEF_SELF_SCOUT_IMPORT'!$G$42:$G$1040,SUBSTITUTE(SUBSTITUTE(SUBSTITUTE($O642,"~","~~"),"*","~*"),"?","~?")))</f>
        <v>16.0</v>
      </c>
      <c r="G642" s="10">
        <f>IF($C642=0,"",COUNTIFS('DEF_SELF_SCOUT_IMPORT'!$L$42:$L$1040,"Y",'DEF_SELF_SCOUT_IMPORT'!$E$42:$E$1040,SUBSTITUTE(SUBSTITUTE(SUBSTITUTE($B642,"~","~~"),"*","~*"),"?","~?"),'DEF_SELF_SCOUT_IMPORT'!$Q$42:$Q$1040,SUBSTITUTE(SUBSTITUTE(SUBSTITUTE($M642,"~","~~"),"*","~*"),"?","~?"),'DEF_SELF_SCOUT_IMPORT'!$F$42:$F$1040,SUBSTITUTE(SUBSTITUTE(SUBSTITUTE($N642,"~","~~"),"*","~*"),"?","~?"),'DEF_SELF_SCOUT_IMPORT'!$G$42:$G$1040,SUBSTITUTE(SUBSTITUTE(SUBSTITUTE($O642,"~","~~"),"*","~*"),"?","~?"),'DEF_SELF_SCOUT_IMPORT'!$H$42:$H$1040,"RUSH")/$C642)</f>
        <v>1.0</v>
      </c>
      <c r="H642" s="10">
        <f>IF($C642=0,"",COUNTIFS('DEF_SELF_SCOUT_IMPORT'!$L$42:$L$1040,"Y",'DEF_SELF_SCOUT_IMPORT'!$E$42:$E$1040,SUBSTITUTE(SUBSTITUTE(SUBSTITUTE($B642,"~","~~"),"*","~*"),"?","~?"),'DEF_SELF_SCOUT_IMPORT'!$Q$42:$Q$1040,SUBSTITUTE(SUBSTITUTE(SUBSTITUTE($M642,"~","~~"),"*","~*"),"?","~?"),'DEF_SELF_SCOUT_IMPORT'!$F$42:$F$1040,SUBSTITUTE(SUBSTITUTE(SUBSTITUTE($N642,"~","~~"),"*","~*"),"?","~?"),'DEF_SELF_SCOUT_IMPORT'!$G$42:$G$1040,SUBSTITUTE(SUBSTITUTE(SUBSTITUTE($O642,"~","~~"),"*","~*"),"?","~?"),'DEF_SELF_SCOUT_IMPORT'!$H$42:$H$1040,"DROPBACK")/$C642)</f>
        <v>0.0</v>
      </c>
      <c r="I642" s="14" t="str">
        <f>IF(C642=0,"",IF(C642&lt;=2,"TRACK",IF(C642=3,"LOW",IF(C642&lt;=6,"MEDIUM","HIGH"))))</f>
        <v>TRACK</v>
      </c>
      <c r="J642" s="11">
        <f>IF(C642=0,"",ROUND(D642*70+(1-E642)*20+MAX(0,MIN(1,(10-F642)/10))*10,1))</f>
        <v>0.0</v>
      </c>
      <c r="K642" s="14" t="str">
        <f>IF(C642=0,"No Evidence",IF(C642&lt;=2,IF(E642&gt;0,"Explosive Alert","Track Only"),IF(C642=3,"Sample Watch",IF(E642&gt;=START_HERE!$B$31,"Explosive Alert",IF(J642&gt;=80,"Strong Candidate",IF(J642&gt;=65,"Good Candidate",IF(J642&gt;=50,"Mixed / Review","Problem Call")))))))</f>
        <v>Explosive Alert</v>
      </c>
      <c r="L642" s="9" t="str">
        <f>IF(COUNTIFS('DEF_SELF_SCOUT_IMPORT'!$L$42:$L$1040,"Y",'DEF_SELF_SCOUT_IMPORT'!$E$42:$E$1040,SUBSTITUTE(SUBSTITUTE(SUBSTITUTE($B642,"~","~~"),"*","~*"),"?","~?"),'DEF_SELF_SCOUT_IMPORT'!$Q$42:$Q$1040,SUBSTITUTE(SUBSTITUTE(SUBSTITUTE($M642,"~","~~"),"*","~*"),"?","~?"),'DEF_SELF_SCOUT_IMPORT'!$F$42:$F$1040,SUBSTITUTE(SUBSTITUTE(SUBSTITUTE($N642,"~","~~"),"*","~*"),"?","~?"),'DEF_SELF_SCOUT_IMPORT'!$G$42:$G$1040,SUBSTITUTE(SUBSTITUTE(SUBSTITUTE($O642,"~","~~"),"*","~*"),"?","~?"),'DEF_SELF_SCOUT_IMPORT'!$J$42:$J$1040,"")&gt;0,"Unscored clean outcome; review result tags before using score.",IF(C642=0,"No matching defensive reps; film confirmation needed.",IF(K642="Explosive Alert","Explosive risk; review clips before using as answer.",IF(C642&lt;=2,"Track only; not enough sample.",IF(C642=3,IF(E642&gt;0,"Sample watch with explosive exposure; review clips and build the sample.",IF(J642&gt;=65,"Good signal, but sample is limited.","Sample watch; review clips and build the sample.")),IF(K642="Problem Call","Problem area; practice or call-sheet review.",IF(K642="Strong Candidate","Strong call-fit candidate; confirm on film.",IF(K642="Good Candidate","Good call-fit signal; confirm on film.","Mixed signal; review fit and execution on film."))))))))</f>
        <v>Explosive risk; review clips before using as answer.</v>
      </c>
      <c r="M642" s="8" t="s">
        <v>39</v>
      </c>
      <c r="N642" s="8" t="s">
        <v>123</v>
      </c>
      <c r="O642" s="8" t="s">
        <v>215</v>
      </c>
      <c r="P642" s="8"/>
      <c r="Q642" s="8"/>
      <c r="R642" s="8" t="s">
        <v>28</v>
      </c>
      <c r="S642" s="2" t="s">
        <v>319</v>
      </c>
      <c r="T642" s="2">
        <f>IF(C642=0,0,IF(C642&gt;=CALL_LOOKUP_BOARD!$B$7,IF(OR(K642="Problem Call",K642="Explosive Alert"),10000000,20000000),0)+IF(C642&gt;=CALL_LOOKUP_BOARD!$B$7,J642*1000+MIN(C642,999),C642*1000+J642)+0.00994600)</f>
        <v>1000.009946</v>
      </c>
      <c r="U642" s="2" t="str">
        <f>IF(C642=0,"",IF(COUNTIFS($S$589:$S$803,SUBSTITUTE(SUBSTITUTE(SUBSTITUTE(S642,"~","~~"),"*","~*"),"?","~?"),$T$589:$T$803,"&gt;"&amp;T642)=0,S642,""))</f>
        <v>7:1D 7-10|2:12|3:4X1|</v>
      </c>
    </row>
    <row r="643" spans="1:21" ht="38" customHeight="1">
      <c r="A643" s="8" t="s">
        <v>320</v>
      </c>
      <c r="B643" s="8" t="s">
        <v>56</v>
      </c>
      <c r="C643" s="12">
        <f>COUNTIFS('DEF_SELF_SCOUT_IMPORT'!$L$42:$L$1040,"Y",'DEF_SELF_SCOUT_IMPORT'!$E$42:$E$1040,SUBSTITUTE(SUBSTITUTE(SUBSTITUTE($B643,"~","~~"),"*","~*"),"?","~?"),'DEF_SELF_SCOUT_IMPORT'!$Q$42:$Q$1040,SUBSTITUTE(SUBSTITUTE(SUBSTITUTE($M643,"~","~~"),"*","~*"),"?","~?"),'DEF_SELF_SCOUT_IMPORT'!$F$42:$F$1040,SUBSTITUTE(SUBSTITUTE(SUBSTITUTE($N643,"~","~~"),"*","~*"),"?","~?"),'DEF_SELF_SCOUT_IMPORT'!$G$42:$G$1040,SUBSTITUTE(SUBSTITUTE(SUBSTITUTE($O643,"~","~~"),"*","~*"),"?","~?"))</f>
        <v>1</v>
      </c>
      <c r="D643" s="10">
        <f>IF($C643=0,"",SUMIFS('DEF_SELF_SCOUT_IMPORT'!$J$42:$J$1040,'DEF_SELF_SCOUT_IMPORT'!$L$42:$L$1040,"Y",'DEF_SELF_SCOUT_IMPORT'!$E$42:$E$1040,SUBSTITUTE(SUBSTITUTE(SUBSTITUTE($B643,"~","~~"),"*","~*"),"?","~?"),'DEF_SELF_SCOUT_IMPORT'!$Q$42:$Q$1040,SUBSTITUTE(SUBSTITUTE(SUBSTITUTE($M643,"~","~~"),"*","~*"),"?","~?"),'DEF_SELF_SCOUT_IMPORT'!$F$42:$F$1040,SUBSTITUTE(SUBSTITUTE(SUBSTITUTE($N643,"~","~~"),"*","~*"),"?","~?"),'DEF_SELF_SCOUT_IMPORT'!$G$42:$G$1040,SUBSTITUTE(SUBSTITUTE(SUBSTITUTE($O643,"~","~~"),"*","~*"),"?","~?"))/$C643)</f>
        <v>1.0</v>
      </c>
      <c r="E643" s="10">
        <f>IF($C643=0,"",SUMIFS('DEF_SELF_SCOUT_IMPORT'!$K$42:$K$1040,'DEF_SELF_SCOUT_IMPORT'!$L$42:$L$1040,"Y",'DEF_SELF_SCOUT_IMPORT'!$E$42:$E$1040,SUBSTITUTE(SUBSTITUTE(SUBSTITUTE($B643,"~","~~"),"*","~*"),"?","~?"),'DEF_SELF_SCOUT_IMPORT'!$Q$42:$Q$1040,SUBSTITUTE(SUBSTITUTE(SUBSTITUTE($M643,"~","~~"),"*","~*"),"?","~?"),'DEF_SELF_SCOUT_IMPORT'!$F$42:$F$1040,SUBSTITUTE(SUBSTITUTE(SUBSTITUTE($N643,"~","~~"),"*","~*"),"?","~?"),'DEF_SELF_SCOUT_IMPORT'!$G$42:$G$1040,SUBSTITUTE(SUBSTITUTE(SUBSTITUTE($O643,"~","~~"),"*","~*"),"?","~?"))/$C643)</f>
        <v>0.0</v>
      </c>
      <c r="F643" s="11">
        <f>IF($C643=0,"",AVERAGEIFS('DEF_SELF_SCOUT_IMPORT'!$I$42:$I$1040,'DEF_SELF_SCOUT_IMPORT'!$L$42:$L$1040,"Y",'DEF_SELF_SCOUT_IMPORT'!$E$42:$E$1040,SUBSTITUTE(SUBSTITUTE(SUBSTITUTE($B643,"~","~~"),"*","~*"),"?","~?"),'DEF_SELF_SCOUT_IMPORT'!$Q$42:$Q$1040,SUBSTITUTE(SUBSTITUTE(SUBSTITUTE($M643,"~","~~"),"*","~*"),"?","~?"),'DEF_SELF_SCOUT_IMPORT'!$F$42:$F$1040,SUBSTITUTE(SUBSTITUTE(SUBSTITUTE($N643,"~","~~"),"*","~*"),"?","~?"),'DEF_SELF_SCOUT_IMPORT'!$G$42:$G$1040,SUBSTITUTE(SUBSTITUTE(SUBSTITUTE($O643,"~","~~"),"*","~*"),"?","~?")))</f>
        <v>-2.0</v>
      </c>
      <c r="G643" s="10">
        <f>IF($C643=0,"",COUNTIFS('DEF_SELF_SCOUT_IMPORT'!$L$42:$L$1040,"Y",'DEF_SELF_SCOUT_IMPORT'!$E$42:$E$1040,SUBSTITUTE(SUBSTITUTE(SUBSTITUTE($B643,"~","~~"),"*","~*"),"?","~?"),'DEF_SELF_SCOUT_IMPORT'!$Q$42:$Q$1040,SUBSTITUTE(SUBSTITUTE(SUBSTITUTE($M643,"~","~~"),"*","~*"),"?","~?"),'DEF_SELF_SCOUT_IMPORT'!$F$42:$F$1040,SUBSTITUTE(SUBSTITUTE(SUBSTITUTE($N643,"~","~~"),"*","~*"),"?","~?"),'DEF_SELF_SCOUT_IMPORT'!$G$42:$G$1040,SUBSTITUTE(SUBSTITUTE(SUBSTITUTE($O643,"~","~~"),"*","~*"),"?","~?"),'DEF_SELF_SCOUT_IMPORT'!$H$42:$H$1040,"RUSH")/$C643)</f>
        <v>1.0</v>
      </c>
      <c r="H643" s="10">
        <f>IF($C643=0,"",COUNTIFS('DEF_SELF_SCOUT_IMPORT'!$L$42:$L$1040,"Y",'DEF_SELF_SCOUT_IMPORT'!$E$42:$E$1040,SUBSTITUTE(SUBSTITUTE(SUBSTITUTE($B643,"~","~~"),"*","~*"),"?","~?"),'DEF_SELF_SCOUT_IMPORT'!$Q$42:$Q$1040,SUBSTITUTE(SUBSTITUTE(SUBSTITUTE($M643,"~","~~"),"*","~*"),"?","~?"),'DEF_SELF_SCOUT_IMPORT'!$F$42:$F$1040,SUBSTITUTE(SUBSTITUTE(SUBSTITUTE($N643,"~","~~"),"*","~*"),"?","~?"),'DEF_SELF_SCOUT_IMPORT'!$G$42:$G$1040,SUBSTITUTE(SUBSTITUTE(SUBSTITUTE($O643,"~","~~"),"*","~*"),"?","~?"),'DEF_SELF_SCOUT_IMPORT'!$H$42:$H$1040,"DROPBACK")/$C643)</f>
        <v>0.0</v>
      </c>
      <c r="I643" s="14" t="str">
        <f>IF(C643=0,"",IF(C643&lt;=2,"TRACK",IF(C643=3,"LOW",IF(C643&lt;=6,"MEDIUM","HIGH"))))</f>
        <v>TRACK</v>
      </c>
      <c r="J643" s="11">
        <f>IF(C643=0,"",ROUND(D643*70+(1-E643)*20+MAX(0,MIN(1,(10-F643)/10))*10,1))</f>
        <v>100.0</v>
      </c>
      <c r="K643" s="14" t="str">
        <f>IF(C643=0,"No Evidence",IF(C643&lt;=2,IF(E643&gt;0,"Explosive Alert","Track Only"),IF(C643=3,"Sample Watch",IF(E643&gt;=START_HERE!$B$31,"Explosive Alert",IF(J643&gt;=80,"Strong Candidate",IF(J643&gt;=65,"Good Candidate",IF(J643&gt;=50,"Mixed / Review","Problem Call")))))))</f>
        <v>Track Only</v>
      </c>
      <c r="L643" s="9" t="str">
        <f>IF(COUNTIFS('DEF_SELF_SCOUT_IMPORT'!$L$42:$L$1040,"Y",'DEF_SELF_SCOUT_IMPORT'!$E$42:$E$1040,SUBSTITUTE(SUBSTITUTE(SUBSTITUTE($B643,"~","~~"),"*","~*"),"?","~?"),'DEF_SELF_SCOUT_IMPORT'!$Q$42:$Q$1040,SUBSTITUTE(SUBSTITUTE(SUBSTITUTE($M643,"~","~~"),"*","~*"),"?","~?"),'DEF_SELF_SCOUT_IMPORT'!$F$42:$F$1040,SUBSTITUTE(SUBSTITUTE(SUBSTITUTE($N643,"~","~~"),"*","~*"),"?","~?"),'DEF_SELF_SCOUT_IMPORT'!$G$42:$G$1040,SUBSTITUTE(SUBSTITUTE(SUBSTITUTE($O643,"~","~~"),"*","~*"),"?","~?"),'DEF_SELF_SCOUT_IMPORT'!$J$42:$J$1040,"")&gt;0,"Unscored clean outcome; review result tags before using score.",IF(C643=0,"No matching defensive reps; film confirmation needed.",IF(K643="Explosive Alert","Explosive risk; review clips before using as answer.",IF(C643&lt;=2,"Track only; not enough sample.",IF(C643=3,IF(E643&gt;0,"Sample watch with explosive exposure; review clips and build the sample.",IF(J643&gt;=65,"Good signal, but sample is limited.","Sample watch; review clips and build the sample.")),IF(K643="Problem Call","Problem area; practice or call-sheet review.",IF(K643="Strong Candidate","Strong call-fit candidate; confirm on film.",IF(K643="Good Candidate","Good call-fit signal; confirm on film.","Mixed signal; review fit and execution on film."))))))))</f>
        <v>Track only; not enough sample.</v>
      </c>
      <c r="M643" s="8" t="s">
        <v>70</v>
      </c>
      <c r="N643" s="8" t="s">
        <v>132</v>
      </c>
      <c r="O643" s="8" t="s">
        <v>206</v>
      </c>
      <c r="P643" s="8"/>
      <c r="Q643" s="8"/>
      <c r="R643" s="8" t="s">
        <v>28</v>
      </c>
      <c r="S643" s="2" t="s">
        <v>321</v>
      </c>
      <c r="T643" s="2">
        <f>IF(C643=0,0,IF(C643&gt;=CALL_LOOKUP_BOARD!$B$7,IF(OR(K643="Problem Call",K643="Explosive Alert"),10000000,20000000),0)+IF(C643&gt;=CALL_LOOKUP_BOARD!$B$7,J643*1000+MIN(C643,999),C643*1000+J643)+0.00994500)</f>
        <v>1100.009945</v>
      </c>
      <c r="U643" s="2" t="str">
        <f>IF(C643=0,"",IF(COUNTIFS($S$589:$S$803,SUBSTITUTE(SUBSTITUTE(SUBSTITUTE(S643,"~","~~"),"*","~*"),"?","~?"),$T$589:$T$803,"&gt;"&amp;T643)=0,S643,""))</f>
        <v>6:2D 1-3|2:00|3:3X1|</v>
      </c>
    </row>
    <row r="644" spans="1:21" ht="38" customHeight="1">
      <c r="A644" s="8" t="s">
        <v>322</v>
      </c>
      <c r="B644" s="8" t="s">
        <v>30</v>
      </c>
      <c r="C644" s="12">
        <f>COUNTIFS('DEF_SELF_SCOUT_IMPORT'!$L$42:$L$1040,"Y",'DEF_SELF_SCOUT_IMPORT'!$E$42:$E$1040,SUBSTITUTE(SUBSTITUTE(SUBSTITUTE($B644,"~","~~"),"*","~*"),"?","~?"),'DEF_SELF_SCOUT_IMPORT'!$Q$42:$Q$1040,SUBSTITUTE(SUBSTITUTE(SUBSTITUTE($M644,"~","~~"),"*","~*"),"?","~?"),'DEF_SELF_SCOUT_IMPORT'!$F$42:$F$1040,SUBSTITUTE(SUBSTITUTE(SUBSTITUTE($N644,"~","~~"),"*","~*"),"?","~?"),'DEF_SELF_SCOUT_IMPORT'!$G$42:$G$1040,SUBSTITUTE(SUBSTITUTE(SUBSTITUTE($O644,"~","~~"),"*","~*"),"?","~?"))</f>
        <v>1</v>
      </c>
      <c r="D644" s="10">
        <f>IF($C644=0,"",SUMIFS('DEF_SELF_SCOUT_IMPORT'!$J$42:$J$1040,'DEF_SELF_SCOUT_IMPORT'!$L$42:$L$1040,"Y",'DEF_SELF_SCOUT_IMPORT'!$E$42:$E$1040,SUBSTITUTE(SUBSTITUTE(SUBSTITUTE($B644,"~","~~"),"*","~*"),"?","~?"),'DEF_SELF_SCOUT_IMPORT'!$Q$42:$Q$1040,SUBSTITUTE(SUBSTITUTE(SUBSTITUTE($M644,"~","~~"),"*","~*"),"?","~?"),'DEF_SELF_SCOUT_IMPORT'!$F$42:$F$1040,SUBSTITUTE(SUBSTITUTE(SUBSTITUTE($N644,"~","~~"),"*","~*"),"?","~?"),'DEF_SELF_SCOUT_IMPORT'!$G$42:$G$1040,SUBSTITUTE(SUBSTITUTE(SUBSTITUTE($O644,"~","~~"),"*","~*"),"?","~?"))/$C644)</f>
        <v>1.0</v>
      </c>
      <c r="E644" s="10">
        <f>IF($C644=0,"",SUMIFS('DEF_SELF_SCOUT_IMPORT'!$K$42:$K$1040,'DEF_SELF_SCOUT_IMPORT'!$L$42:$L$1040,"Y",'DEF_SELF_SCOUT_IMPORT'!$E$42:$E$1040,SUBSTITUTE(SUBSTITUTE(SUBSTITUTE($B644,"~","~~"),"*","~*"),"?","~?"),'DEF_SELF_SCOUT_IMPORT'!$Q$42:$Q$1040,SUBSTITUTE(SUBSTITUTE(SUBSTITUTE($M644,"~","~~"),"*","~*"),"?","~?"),'DEF_SELF_SCOUT_IMPORT'!$F$42:$F$1040,SUBSTITUTE(SUBSTITUTE(SUBSTITUTE($N644,"~","~~"),"*","~*"),"?","~?"),'DEF_SELF_SCOUT_IMPORT'!$G$42:$G$1040,SUBSTITUTE(SUBSTITUTE(SUBSTITUTE($O644,"~","~~"),"*","~*"),"?","~?"))/$C644)</f>
        <v>0.0</v>
      </c>
      <c r="F644" s="11">
        <f>IF($C644=0,"",AVERAGEIFS('DEF_SELF_SCOUT_IMPORT'!$I$42:$I$1040,'DEF_SELF_SCOUT_IMPORT'!$L$42:$L$1040,"Y",'DEF_SELF_SCOUT_IMPORT'!$E$42:$E$1040,SUBSTITUTE(SUBSTITUTE(SUBSTITUTE($B644,"~","~~"),"*","~*"),"?","~?"),'DEF_SELF_SCOUT_IMPORT'!$Q$42:$Q$1040,SUBSTITUTE(SUBSTITUTE(SUBSTITUTE($M644,"~","~~"),"*","~*"),"?","~?"),'DEF_SELF_SCOUT_IMPORT'!$F$42:$F$1040,SUBSTITUTE(SUBSTITUTE(SUBSTITUTE($N644,"~","~~"),"*","~*"),"?","~?"),'DEF_SELF_SCOUT_IMPORT'!$G$42:$G$1040,SUBSTITUTE(SUBSTITUTE(SUBSTITUTE($O644,"~","~~"),"*","~*"),"?","~?")))</f>
        <v>2.0</v>
      </c>
      <c r="G644" s="10">
        <f>IF($C644=0,"",COUNTIFS('DEF_SELF_SCOUT_IMPORT'!$L$42:$L$1040,"Y",'DEF_SELF_SCOUT_IMPORT'!$E$42:$E$1040,SUBSTITUTE(SUBSTITUTE(SUBSTITUTE($B644,"~","~~"),"*","~*"),"?","~?"),'DEF_SELF_SCOUT_IMPORT'!$Q$42:$Q$1040,SUBSTITUTE(SUBSTITUTE(SUBSTITUTE($M644,"~","~~"),"*","~*"),"?","~?"),'DEF_SELF_SCOUT_IMPORT'!$F$42:$F$1040,SUBSTITUTE(SUBSTITUTE(SUBSTITUTE($N644,"~","~~"),"*","~*"),"?","~?"),'DEF_SELF_SCOUT_IMPORT'!$G$42:$G$1040,SUBSTITUTE(SUBSTITUTE(SUBSTITUTE($O644,"~","~~"),"*","~*"),"?","~?"),'DEF_SELF_SCOUT_IMPORT'!$H$42:$H$1040,"RUSH")/$C644)</f>
        <v>1.0</v>
      </c>
      <c r="H644" s="10">
        <f>IF($C644=0,"",COUNTIFS('DEF_SELF_SCOUT_IMPORT'!$L$42:$L$1040,"Y",'DEF_SELF_SCOUT_IMPORT'!$E$42:$E$1040,SUBSTITUTE(SUBSTITUTE(SUBSTITUTE($B644,"~","~~"),"*","~*"),"?","~?"),'DEF_SELF_SCOUT_IMPORT'!$Q$42:$Q$1040,SUBSTITUTE(SUBSTITUTE(SUBSTITUTE($M644,"~","~~"),"*","~*"),"?","~?"),'DEF_SELF_SCOUT_IMPORT'!$F$42:$F$1040,SUBSTITUTE(SUBSTITUTE(SUBSTITUTE($N644,"~","~~"),"*","~*"),"?","~?"),'DEF_SELF_SCOUT_IMPORT'!$G$42:$G$1040,SUBSTITUTE(SUBSTITUTE(SUBSTITUTE($O644,"~","~~"),"*","~*"),"?","~?"),'DEF_SELF_SCOUT_IMPORT'!$H$42:$H$1040,"DROPBACK")/$C644)</f>
        <v>0.0</v>
      </c>
      <c r="I644" s="14" t="str">
        <f>IF(C644=0,"",IF(C644&lt;=2,"TRACK",IF(C644=3,"LOW",IF(C644&lt;=6,"MEDIUM","HIGH"))))</f>
        <v>TRACK</v>
      </c>
      <c r="J644" s="11">
        <f>IF(C644=0,"",ROUND(D644*70+(1-E644)*20+MAX(0,MIN(1,(10-F644)/10))*10,1))</f>
        <v>98.0</v>
      </c>
      <c r="K644" s="14" t="str">
        <f>IF(C644=0,"No Evidence",IF(C644&lt;=2,IF(E644&gt;0,"Explosive Alert","Track Only"),IF(C644=3,"Sample Watch",IF(E644&gt;=START_HERE!$B$31,"Explosive Alert",IF(J644&gt;=80,"Strong Candidate",IF(J644&gt;=65,"Good Candidate",IF(J644&gt;=50,"Mixed / Review","Problem Call")))))))</f>
        <v>Track Only</v>
      </c>
      <c r="L644" s="9" t="str">
        <f>IF(COUNTIFS('DEF_SELF_SCOUT_IMPORT'!$L$42:$L$1040,"Y",'DEF_SELF_SCOUT_IMPORT'!$E$42:$E$1040,SUBSTITUTE(SUBSTITUTE(SUBSTITUTE($B644,"~","~~"),"*","~*"),"?","~?"),'DEF_SELF_SCOUT_IMPORT'!$Q$42:$Q$1040,SUBSTITUTE(SUBSTITUTE(SUBSTITUTE($M644,"~","~~"),"*","~*"),"?","~?"),'DEF_SELF_SCOUT_IMPORT'!$F$42:$F$1040,SUBSTITUTE(SUBSTITUTE(SUBSTITUTE($N644,"~","~~"),"*","~*"),"?","~?"),'DEF_SELF_SCOUT_IMPORT'!$G$42:$G$1040,SUBSTITUTE(SUBSTITUTE(SUBSTITUTE($O644,"~","~~"),"*","~*"),"?","~?"),'DEF_SELF_SCOUT_IMPORT'!$J$42:$J$1040,"")&gt;0,"Unscored clean outcome; review result tags before using score.",IF(C644=0,"No matching defensive reps; film confirmation needed.",IF(K644="Explosive Alert","Explosive risk; review clips before using as answer.",IF(C644&lt;=2,"Track only; not enough sample.",IF(C644=3,IF(E644&gt;0,"Sample watch with explosive exposure; review clips and build the sample.",IF(J644&gt;=65,"Good signal, but sample is limited.","Sample watch; review clips and build the sample.")),IF(K644="Problem Call","Problem area; practice or call-sheet review.",IF(K644="Strong Candidate","Strong call-fit candidate; confirm on film.",IF(K644="Good Candidate","Good call-fit signal; confirm on film.","Mixed signal; review fit and execution on film."))))))))</f>
        <v>Track only; not enough sample.</v>
      </c>
      <c r="M644" s="8" t="s">
        <v>70</v>
      </c>
      <c r="N644" s="8" t="s">
        <v>120</v>
      </c>
      <c r="O644" s="8" t="s">
        <v>203</v>
      </c>
      <c r="P644" s="8"/>
      <c r="Q644" s="8"/>
      <c r="R644" s="8" t="s">
        <v>28</v>
      </c>
      <c r="S644" s="2" t="s">
        <v>323</v>
      </c>
      <c r="T644" s="2">
        <f>IF(C644=0,0,IF(C644&gt;=CALL_LOOKUP_BOARD!$B$7,IF(OR(K644="Problem Call",K644="Explosive Alert"),10000000,20000000),0)+IF(C644&gt;=CALL_LOOKUP_BOARD!$B$7,J644*1000+MIN(C644,999),C644*1000+J644)+0.00994400)</f>
        <v>1098.009944</v>
      </c>
      <c r="U644" s="2">
        <f>IF(C644=0,"",IF(COUNTIFS($S$589:$S$803,SUBSTITUTE(SUBSTITUTE(SUBSTITUTE(S644,"~","~~"),"*","~*"),"?","~?"),$T$589:$T$803,"&gt;"&amp;T644)=0,S644,""))</f>
        <v/>
      </c>
    </row>
    <row r="645" spans="1:21" ht="38" customHeight="1">
      <c r="A645" s="8" t="s">
        <v>322</v>
      </c>
      <c r="B645" s="8" t="s">
        <v>72</v>
      </c>
      <c r="C645" s="12">
        <f>COUNTIFS('DEF_SELF_SCOUT_IMPORT'!$L$42:$L$1040,"Y",'DEF_SELF_SCOUT_IMPORT'!$E$42:$E$1040,SUBSTITUTE(SUBSTITUTE(SUBSTITUTE($B645,"~","~~"),"*","~*"),"?","~?"),'DEF_SELF_SCOUT_IMPORT'!$Q$42:$Q$1040,SUBSTITUTE(SUBSTITUTE(SUBSTITUTE($M645,"~","~~"),"*","~*"),"?","~?"),'DEF_SELF_SCOUT_IMPORT'!$F$42:$F$1040,SUBSTITUTE(SUBSTITUTE(SUBSTITUTE($N645,"~","~~"),"*","~*"),"?","~?"),'DEF_SELF_SCOUT_IMPORT'!$G$42:$G$1040,SUBSTITUTE(SUBSTITUTE(SUBSTITUTE($O645,"~","~~"),"*","~*"),"?","~?"))</f>
        <v>1</v>
      </c>
      <c r="D645" s="10">
        <f>IF($C645=0,"",SUMIFS('DEF_SELF_SCOUT_IMPORT'!$J$42:$J$1040,'DEF_SELF_SCOUT_IMPORT'!$L$42:$L$1040,"Y",'DEF_SELF_SCOUT_IMPORT'!$E$42:$E$1040,SUBSTITUTE(SUBSTITUTE(SUBSTITUTE($B645,"~","~~"),"*","~*"),"?","~?"),'DEF_SELF_SCOUT_IMPORT'!$Q$42:$Q$1040,SUBSTITUTE(SUBSTITUTE(SUBSTITUTE($M645,"~","~~"),"*","~*"),"?","~?"),'DEF_SELF_SCOUT_IMPORT'!$F$42:$F$1040,SUBSTITUTE(SUBSTITUTE(SUBSTITUTE($N645,"~","~~"),"*","~*"),"?","~?"),'DEF_SELF_SCOUT_IMPORT'!$G$42:$G$1040,SUBSTITUTE(SUBSTITUTE(SUBSTITUTE($O645,"~","~~"),"*","~*"),"?","~?"))/$C645)</f>
        <v>0.0</v>
      </c>
      <c r="E645" s="10">
        <f>IF($C645=0,"",SUMIFS('DEF_SELF_SCOUT_IMPORT'!$K$42:$K$1040,'DEF_SELF_SCOUT_IMPORT'!$L$42:$L$1040,"Y",'DEF_SELF_SCOUT_IMPORT'!$E$42:$E$1040,SUBSTITUTE(SUBSTITUTE(SUBSTITUTE($B645,"~","~~"),"*","~*"),"?","~?"),'DEF_SELF_SCOUT_IMPORT'!$Q$42:$Q$1040,SUBSTITUTE(SUBSTITUTE(SUBSTITUTE($M645,"~","~~"),"*","~*"),"?","~?"),'DEF_SELF_SCOUT_IMPORT'!$F$42:$F$1040,SUBSTITUTE(SUBSTITUTE(SUBSTITUTE($N645,"~","~~"),"*","~*"),"?","~?"),'DEF_SELF_SCOUT_IMPORT'!$G$42:$G$1040,SUBSTITUTE(SUBSTITUTE(SUBSTITUTE($O645,"~","~~"),"*","~*"),"?","~?"))/$C645)</f>
        <v>0.0</v>
      </c>
      <c r="F645" s="11">
        <f>IF($C645=0,"",AVERAGEIFS('DEF_SELF_SCOUT_IMPORT'!$I$42:$I$1040,'DEF_SELF_SCOUT_IMPORT'!$L$42:$L$1040,"Y",'DEF_SELF_SCOUT_IMPORT'!$E$42:$E$1040,SUBSTITUTE(SUBSTITUTE(SUBSTITUTE($B645,"~","~~"),"*","~*"),"?","~?"),'DEF_SELF_SCOUT_IMPORT'!$Q$42:$Q$1040,SUBSTITUTE(SUBSTITUTE(SUBSTITUTE($M645,"~","~~"),"*","~*"),"?","~?"),'DEF_SELF_SCOUT_IMPORT'!$F$42:$F$1040,SUBSTITUTE(SUBSTITUTE(SUBSTITUTE($N645,"~","~~"),"*","~*"),"?","~?"),'DEF_SELF_SCOUT_IMPORT'!$G$42:$G$1040,SUBSTITUTE(SUBSTITUTE(SUBSTITUTE($O645,"~","~~"),"*","~*"),"?","~?")))</f>
        <v>9.0</v>
      </c>
      <c r="G645" s="10">
        <f>IF($C645=0,"",COUNTIFS('DEF_SELF_SCOUT_IMPORT'!$L$42:$L$1040,"Y",'DEF_SELF_SCOUT_IMPORT'!$E$42:$E$1040,SUBSTITUTE(SUBSTITUTE(SUBSTITUTE($B645,"~","~~"),"*","~*"),"?","~?"),'DEF_SELF_SCOUT_IMPORT'!$Q$42:$Q$1040,SUBSTITUTE(SUBSTITUTE(SUBSTITUTE($M645,"~","~~"),"*","~*"),"?","~?"),'DEF_SELF_SCOUT_IMPORT'!$F$42:$F$1040,SUBSTITUTE(SUBSTITUTE(SUBSTITUTE($N645,"~","~~"),"*","~*"),"?","~?"),'DEF_SELF_SCOUT_IMPORT'!$G$42:$G$1040,SUBSTITUTE(SUBSTITUTE(SUBSTITUTE($O645,"~","~~"),"*","~*"),"?","~?"),'DEF_SELF_SCOUT_IMPORT'!$H$42:$H$1040,"RUSH")/$C645)</f>
        <v>0.0</v>
      </c>
      <c r="H645" s="10">
        <f>IF($C645=0,"",COUNTIFS('DEF_SELF_SCOUT_IMPORT'!$L$42:$L$1040,"Y",'DEF_SELF_SCOUT_IMPORT'!$E$42:$E$1040,SUBSTITUTE(SUBSTITUTE(SUBSTITUTE($B645,"~","~~"),"*","~*"),"?","~?"),'DEF_SELF_SCOUT_IMPORT'!$Q$42:$Q$1040,SUBSTITUTE(SUBSTITUTE(SUBSTITUTE($M645,"~","~~"),"*","~*"),"?","~?"),'DEF_SELF_SCOUT_IMPORT'!$F$42:$F$1040,SUBSTITUTE(SUBSTITUTE(SUBSTITUTE($N645,"~","~~"),"*","~*"),"?","~?"),'DEF_SELF_SCOUT_IMPORT'!$G$42:$G$1040,SUBSTITUTE(SUBSTITUTE(SUBSTITUTE($O645,"~","~~"),"*","~*"),"?","~?"),'DEF_SELF_SCOUT_IMPORT'!$H$42:$H$1040,"DROPBACK")/$C645)</f>
        <v>1.0</v>
      </c>
      <c r="I645" s="14" t="str">
        <f>IF(C645=0,"",IF(C645&lt;=2,"TRACK",IF(C645=3,"LOW",IF(C645&lt;=6,"MEDIUM","HIGH"))))</f>
        <v>TRACK</v>
      </c>
      <c r="J645" s="11">
        <f>IF(C645=0,"",ROUND(D645*70+(1-E645)*20+MAX(0,MIN(1,(10-F645)/10))*10,1))</f>
        <v>21.0</v>
      </c>
      <c r="K645" s="14" t="str">
        <f>IF(C645=0,"No Evidence",IF(C645&lt;=2,IF(E645&gt;0,"Explosive Alert","Track Only"),IF(C645=3,"Sample Watch",IF(E645&gt;=START_HERE!$B$31,"Explosive Alert",IF(J645&gt;=80,"Strong Candidate",IF(J645&gt;=65,"Good Candidate",IF(J645&gt;=50,"Mixed / Review","Problem Call")))))))</f>
        <v>Track Only</v>
      </c>
      <c r="L645" s="9" t="str">
        <f>IF(COUNTIFS('DEF_SELF_SCOUT_IMPORT'!$L$42:$L$1040,"Y",'DEF_SELF_SCOUT_IMPORT'!$E$42:$E$1040,SUBSTITUTE(SUBSTITUTE(SUBSTITUTE($B645,"~","~~"),"*","~*"),"?","~?"),'DEF_SELF_SCOUT_IMPORT'!$Q$42:$Q$1040,SUBSTITUTE(SUBSTITUTE(SUBSTITUTE($M645,"~","~~"),"*","~*"),"?","~?"),'DEF_SELF_SCOUT_IMPORT'!$F$42:$F$1040,SUBSTITUTE(SUBSTITUTE(SUBSTITUTE($N645,"~","~~"),"*","~*"),"?","~?"),'DEF_SELF_SCOUT_IMPORT'!$G$42:$G$1040,SUBSTITUTE(SUBSTITUTE(SUBSTITUTE($O645,"~","~~"),"*","~*"),"?","~?"),'DEF_SELF_SCOUT_IMPORT'!$J$42:$J$1040,"")&gt;0,"Unscored clean outcome; review result tags before using score.",IF(C645=0,"No matching defensive reps; film confirmation needed.",IF(K645="Explosive Alert","Explosive risk; review clips before using as answer.",IF(C645&lt;=2,"Track only; not enough sample.",IF(C645=3,IF(E645&gt;0,"Sample watch with explosive exposure; review clips and build the sample.",IF(J645&gt;=65,"Good signal, but sample is limited.","Sample watch; review clips and build the sample.")),IF(K645="Problem Call","Problem area; practice or call-sheet review.",IF(K645="Strong Candidate","Strong call-fit candidate; confirm on film.",IF(K645="Good Candidate","Good call-fit signal; confirm on film.","Mixed signal; review fit and execution on film."))))))))</f>
        <v>Track only; not enough sample.</v>
      </c>
      <c r="M645" s="8" t="s">
        <v>70</v>
      </c>
      <c r="N645" s="8" t="s">
        <v>120</v>
      </c>
      <c r="O645" s="8" t="s">
        <v>203</v>
      </c>
      <c r="P645" s="8"/>
      <c r="Q645" s="8"/>
      <c r="R645" s="8" t="s">
        <v>28</v>
      </c>
      <c r="S645" s="2" t="s">
        <v>323</v>
      </c>
      <c r="T645" s="2">
        <f>IF(C645=0,0,IF(C645&gt;=CALL_LOOKUP_BOARD!$B$7,IF(OR(K645="Problem Call",K645="Explosive Alert"),10000000,20000000),0)+IF(C645&gt;=CALL_LOOKUP_BOARD!$B$7,J645*1000+MIN(C645,999),C645*1000+J645)+0.00994300)</f>
        <v>1021.009943</v>
      </c>
      <c r="U645" s="2">
        <f>IF(C645=0,"",IF(COUNTIFS($S$589:$S$803,SUBSTITUTE(SUBSTITUTE(SUBSTITUTE(S645,"~","~~"),"*","~*"),"?","~?"),$T$589:$T$803,"&gt;"&amp;T645)=0,S645,""))</f>
        <v/>
      </c>
    </row>
    <row r="646" spans="1:21" ht="38" customHeight="1">
      <c r="A646" s="8" t="s">
        <v>322</v>
      </c>
      <c r="B646" s="8" t="s">
        <v>75</v>
      </c>
      <c r="C646" s="12">
        <f>COUNTIFS('DEF_SELF_SCOUT_IMPORT'!$L$42:$L$1040,"Y",'DEF_SELF_SCOUT_IMPORT'!$E$42:$E$1040,SUBSTITUTE(SUBSTITUTE(SUBSTITUTE($B646,"~","~~"),"*","~*"),"?","~?"),'DEF_SELF_SCOUT_IMPORT'!$Q$42:$Q$1040,SUBSTITUTE(SUBSTITUTE(SUBSTITUTE($M646,"~","~~"),"*","~*"),"?","~?"),'DEF_SELF_SCOUT_IMPORT'!$F$42:$F$1040,SUBSTITUTE(SUBSTITUTE(SUBSTITUTE($N646,"~","~~"),"*","~*"),"?","~?"),'DEF_SELF_SCOUT_IMPORT'!$G$42:$G$1040,SUBSTITUTE(SUBSTITUTE(SUBSTITUTE($O646,"~","~~"),"*","~*"),"?","~?"))</f>
        <v>1</v>
      </c>
      <c r="D646" s="10">
        <f>IF($C646=0,"",SUMIFS('DEF_SELF_SCOUT_IMPORT'!$J$42:$J$1040,'DEF_SELF_SCOUT_IMPORT'!$L$42:$L$1040,"Y",'DEF_SELF_SCOUT_IMPORT'!$E$42:$E$1040,SUBSTITUTE(SUBSTITUTE(SUBSTITUTE($B646,"~","~~"),"*","~*"),"?","~?"),'DEF_SELF_SCOUT_IMPORT'!$Q$42:$Q$1040,SUBSTITUTE(SUBSTITUTE(SUBSTITUTE($M646,"~","~~"),"*","~*"),"?","~?"),'DEF_SELF_SCOUT_IMPORT'!$F$42:$F$1040,SUBSTITUTE(SUBSTITUTE(SUBSTITUTE($N646,"~","~~"),"*","~*"),"?","~?"),'DEF_SELF_SCOUT_IMPORT'!$G$42:$G$1040,SUBSTITUTE(SUBSTITUTE(SUBSTITUTE($O646,"~","~~"),"*","~*"),"?","~?"))/$C646)</f>
        <v>1.0</v>
      </c>
      <c r="E646" s="10">
        <f>IF($C646=0,"",SUMIFS('DEF_SELF_SCOUT_IMPORT'!$K$42:$K$1040,'DEF_SELF_SCOUT_IMPORT'!$L$42:$L$1040,"Y",'DEF_SELF_SCOUT_IMPORT'!$E$42:$E$1040,SUBSTITUTE(SUBSTITUTE(SUBSTITUTE($B646,"~","~~"),"*","~*"),"?","~?"),'DEF_SELF_SCOUT_IMPORT'!$Q$42:$Q$1040,SUBSTITUTE(SUBSTITUTE(SUBSTITUTE($M646,"~","~~"),"*","~*"),"?","~?"),'DEF_SELF_SCOUT_IMPORT'!$F$42:$F$1040,SUBSTITUTE(SUBSTITUTE(SUBSTITUTE($N646,"~","~~"),"*","~*"),"?","~?"),'DEF_SELF_SCOUT_IMPORT'!$G$42:$G$1040,SUBSTITUTE(SUBSTITUTE(SUBSTITUTE($O646,"~","~~"),"*","~*"),"?","~?"))/$C646)</f>
        <v>0.0</v>
      </c>
      <c r="F646" s="11">
        <f>IF($C646=0,"",AVERAGEIFS('DEF_SELF_SCOUT_IMPORT'!$I$42:$I$1040,'DEF_SELF_SCOUT_IMPORT'!$L$42:$L$1040,"Y",'DEF_SELF_SCOUT_IMPORT'!$E$42:$E$1040,SUBSTITUTE(SUBSTITUTE(SUBSTITUTE($B646,"~","~~"),"*","~*"),"?","~?"),'DEF_SELF_SCOUT_IMPORT'!$Q$42:$Q$1040,SUBSTITUTE(SUBSTITUTE(SUBSTITUTE($M646,"~","~~"),"*","~*"),"?","~?"),'DEF_SELF_SCOUT_IMPORT'!$F$42:$F$1040,SUBSTITUTE(SUBSTITUTE(SUBSTITUTE($N646,"~","~~"),"*","~*"),"?","~?"),'DEF_SELF_SCOUT_IMPORT'!$G$42:$G$1040,SUBSTITUTE(SUBSTITUTE(SUBSTITUTE($O646,"~","~~"),"*","~*"),"?","~?")))</f>
        <v>1.0</v>
      </c>
      <c r="G646" s="10">
        <f>IF($C646=0,"",COUNTIFS('DEF_SELF_SCOUT_IMPORT'!$L$42:$L$1040,"Y",'DEF_SELF_SCOUT_IMPORT'!$E$42:$E$1040,SUBSTITUTE(SUBSTITUTE(SUBSTITUTE($B646,"~","~~"),"*","~*"),"?","~?"),'DEF_SELF_SCOUT_IMPORT'!$Q$42:$Q$1040,SUBSTITUTE(SUBSTITUTE(SUBSTITUTE($M646,"~","~~"),"*","~*"),"?","~?"),'DEF_SELF_SCOUT_IMPORT'!$F$42:$F$1040,SUBSTITUTE(SUBSTITUTE(SUBSTITUTE($N646,"~","~~"),"*","~*"),"?","~?"),'DEF_SELF_SCOUT_IMPORT'!$G$42:$G$1040,SUBSTITUTE(SUBSTITUTE(SUBSTITUTE($O646,"~","~~"),"*","~*"),"?","~?"),'DEF_SELF_SCOUT_IMPORT'!$H$42:$H$1040,"RUSH")/$C646)</f>
        <v>1.0</v>
      </c>
      <c r="H646" s="10">
        <f>IF($C646=0,"",COUNTIFS('DEF_SELF_SCOUT_IMPORT'!$L$42:$L$1040,"Y",'DEF_SELF_SCOUT_IMPORT'!$E$42:$E$1040,SUBSTITUTE(SUBSTITUTE(SUBSTITUTE($B646,"~","~~"),"*","~*"),"?","~?"),'DEF_SELF_SCOUT_IMPORT'!$Q$42:$Q$1040,SUBSTITUTE(SUBSTITUTE(SUBSTITUTE($M646,"~","~~"),"*","~*"),"?","~?"),'DEF_SELF_SCOUT_IMPORT'!$F$42:$F$1040,SUBSTITUTE(SUBSTITUTE(SUBSTITUTE($N646,"~","~~"),"*","~*"),"?","~?"),'DEF_SELF_SCOUT_IMPORT'!$G$42:$G$1040,SUBSTITUTE(SUBSTITUTE(SUBSTITUTE($O646,"~","~~"),"*","~*"),"?","~?"),'DEF_SELF_SCOUT_IMPORT'!$H$42:$H$1040,"DROPBACK")/$C646)</f>
        <v>0.0</v>
      </c>
      <c r="I646" s="14" t="str">
        <f>IF(C646=0,"",IF(C646&lt;=2,"TRACK",IF(C646=3,"LOW",IF(C646&lt;=6,"MEDIUM","HIGH"))))</f>
        <v>TRACK</v>
      </c>
      <c r="J646" s="11">
        <f>IF(C646=0,"",ROUND(D646*70+(1-E646)*20+MAX(0,MIN(1,(10-F646)/10))*10,1))</f>
        <v>99.0</v>
      </c>
      <c r="K646" s="14" t="str">
        <f>IF(C646=0,"No Evidence",IF(C646&lt;=2,IF(E646&gt;0,"Explosive Alert","Track Only"),IF(C646=3,"Sample Watch",IF(E646&gt;=START_HERE!$B$31,"Explosive Alert",IF(J646&gt;=80,"Strong Candidate",IF(J646&gt;=65,"Good Candidate",IF(J646&gt;=50,"Mixed / Review","Problem Call")))))))</f>
        <v>Track Only</v>
      </c>
      <c r="L646" s="9" t="str">
        <f>IF(COUNTIFS('DEF_SELF_SCOUT_IMPORT'!$L$42:$L$1040,"Y",'DEF_SELF_SCOUT_IMPORT'!$E$42:$E$1040,SUBSTITUTE(SUBSTITUTE(SUBSTITUTE($B646,"~","~~"),"*","~*"),"?","~?"),'DEF_SELF_SCOUT_IMPORT'!$Q$42:$Q$1040,SUBSTITUTE(SUBSTITUTE(SUBSTITUTE($M646,"~","~~"),"*","~*"),"?","~?"),'DEF_SELF_SCOUT_IMPORT'!$F$42:$F$1040,SUBSTITUTE(SUBSTITUTE(SUBSTITUTE($N646,"~","~~"),"*","~*"),"?","~?"),'DEF_SELF_SCOUT_IMPORT'!$G$42:$G$1040,SUBSTITUTE(SUBSTITUTE(SUBSTITUTE($O646,"~","~~"),"*","~*"),"?","~?"),'DEF_SELF_SCOUT_IMPORT'!$J$42:$J$1040,"")&gt;0,"Unscored clean outcome; review result tags before using score.",IF(C646=0,"No matching defensive reps; film confirmation needed.",IF(K646="Explosive Alert","Explosive risk; review clips before using as answer.",IF(C646&lt;=2,"Track only; not enough sample.",IF(C646=3,IF(E646&gt;0,"Sample watch with explosive exposure; review clips and build the sample.",IF(J646&gt;=65,"Good signal, but sample is limited.","Sample watch; review clips and build the sample.")),IF(K646="Problem Call","Problem area; practice or call-sheet review.",IF(K646="Strong Candidate","Strong call-fit candidate; confirm on film.",IF(K646="Good Candidate","Good call-fit signal; confirm on film.","Mixed signal; review fit and execution on film."))))))))</f>
        <v>Track only; not enough sample.</v>
      </c>
      <c r="M646" s="8" t="s">
        <v>70</v>
      </c>
      <c r="N646" s="8" t="s">
        <v>120</v>
      </c>
      <c r="O646" s="8" t="s">
        <v>203</v>
      </c>
      <c r="P646" s="8"/>
      <c r="Q646" s="8"/>
      <c r="R646" s="8" t="s">
        <v>28</v>
      </c>
      <c r="S646" s="2" t="s">
        <v>323</v>
      </c>
      <c r="T646" s="2">
        <f>IF(C646=0,0,IF(C646&gt;=CALL_LOOKUP_BOARD!$B$7,IF(OR(K646="Problem Call",K646="Explosive Alert"),10000000,20000000),0)+IF(C646&gt;=CALL_LOOKUP_BOARD!$B$7,J646*1000+MIN(C646,999),C646*1000+J646)+0.00994200)</f>
        <v>1099.009942</v>
      </c>
      <c r="U646" s="2" t="str">
        <f>IF(C646=0,"",IF(COUNTIFS($S$589:$S$803,SUBSTITUTE(SUBSTITUTE(SUBSTITUTE(S646,"~","~~"),"*","~*"),"?","~?"),$T$589:$T$803,"&gt;"&amp;T646)=0,S646,""))</f>
        <v>6:2D 1-3|2:11|3:2X2|</v>
      </c>
    </row>
    <row r="647" spans="1:21" ht="38" customHeight="1">
      <c r="A647" s="8" t="s">
        <v>324</v>
      </c>
      <c r="B647" s="8" t="s">
        <v>46</v>
      </c>
      <c r="C647" s="12">
        <f>COUNTIFS('DEF_SELF_SCOUT_IMPORT'!$L$42:$L$1040,"Y",'DEF_SELF_SCOUT_IMPORT'!$E$42:$E$1040,SUBSTITUTE(SUBSTITUTE(SUBSTITUTE($B647,"~","~~"),"*","~*"),"?","~?"),'DEF_SELF_SCOUT_IMPORT'!$Q$42:$Q$1040,SUBSTITUTE(SUBSTITUTE(SUBSTITUTE($M647,"~","~~"),"*","~*"),"?","~?"),'DEF_SELF_SCOUT_IMPORT'!$F$42:$F$1040,SUBSTITUTE(SUBSTITUTE(SUBSTITUTE($N647,"~","~~"),"*","~*"),"?","~?"),'DEF_SELF_SCOUT_IMPORT'!$G$42:$G$1040,SUBSTITUTE(SUBSTITUTE(SUBSTITUTE($O647,"~","~~"),"*","~*"),"?","~?"))</f>
        <v>1</v>
      </c>
      <c r="D647" s="10">
        <f>IF($C647=0,"",SUMIFS('DEF_SELF_SCOUT_IMPORT'!$J$42:$J$1040,'DEF_SELF_SCOUT_IMPORT'!$L$42:$L$1040,"Y",'DEF_SELF_SCOUT_IMPORT'!$E$42:$E$1040,SUBSTITUTE(SUBSTITUTE(SUBSTITUTE($B647,"~","~~"),"*","~*"),"?","~?"),'DEF_SELF_SCOUT_IMPORT'!$Q$42:$Q$1040,SUBSTITUTE(SUBSTITUTE(SUBSTITUTE($M647,"~","~~"),"*","~*"),"?","~?"),'DEF_SELF_SCOUT_IMPORT'!$F$42:$F$1040,SUBSTITUTE(SUBSTITUTE(SUBSTITUTE($N647,"~","~~"),"*","~*"),"?","~?"),'DEF_SELF_SCOUT_IMPORT'!$G$42:$G$1040,SUBSTITUTE(SUBSTITUTE(SUBSTITUTE($O647,"~","~~"),"*","~*"),"?","~?"))/$C647)</f>
        <v>1.0</v>
      </c>
      <c r="E647" s="10">
        <f>IF($C647=0,"",SUMIFS('DEF_SELF_SCOUT_IMPORT'!$K$42:$K$1040,'DEF_SELF_SCOUT_IMPORT'!$L$42:$L$1040,"Y",'DEF_SELF_SCOUT_IMPORT'!$E$42:$E$1040,SUBSTITUTE(SUBSTITUTE(SUBSTITUTE($B647,"~","~~"),"*","~*"),"?","~?"),'DEF_SELF_SCOUT_IMPORT'!$Q$42:$Q$1040,SUBSTITUTE(SUBSTITUTE(SUBSTITUTE($M647,"~","~~"),"*","~*"),"?","~?"),'DEF_SELF_SCOUT_IMPORT'!$F$42:$F$1040,SUBSTITUTE(SUBSTITUTE(SUBSTITUTE($N647,"~","~~"),"*","~*"),"?","~?"),'DEF_SELF_SCOUT_IMPORT'!$G$42:$G$1040,SUBSTITUTE(SUBSTITUTE(SUBSTITUTE($O647,"~","~~"),"*","~*"),"?","~?"))/$C647)</f>
        <v>0.0</v>
      </c>
      <c r="F647" s="11">
        <f>IF($C647=0,"",AVERAGEIFS('DEF_SELF_SCOUT_IMPORT'!$I$42:$I$1040,'DEF_SELF_SCOUT_IMPORT'!$L$42:$L$1040,"Y",'DEF_SELF_SCOUT_IMPORT'!$E$42:$E$1040,SUBSTITUTE(SUBSTITUTE(SUBSTITUTE($B647,"~","~~"),"*","~*"),"?","~?"),'DEF_SELF_SCOUT_IMPORT'!$Q$42:$Q$1040,SUBSTITUTE(SUBSTITUTE(SUBSTITUTE($M647,"~","~~"),"*","~*"),"?","~?"),'DEF_SELF_SCOUT_IMPORT'!$F$42:$F$1040,SUBSTITUTE(SUBSTITUTE(SUBSTITUTE($N647,"~","~~"),"*","~*"),"?","~?"),'DEF_SELF_SCOUT_IMPORT'!$G$42:$G$1040,SUBSTITUTE(SUBSTITUTE(SUBSTITUTE($O647,"~","~~"),"*","~*"),"?","~?")))</f>
        <v>0.0</v>
      </c>
      <c r="G647" s="10">
        <f>IF($C647=0,"",COUNTIFS('DEF_SELF_SCOUT_IMPORT'!$L$42:$L$1040,"Y",'DEF_SELF_SCOUT_IMPORT'!$E$42:$E$1040,SUBSTITUTE(SUBSTITUTE(SUBSTITUTE($B647,"~","~~"),"*","~*"),"?","~?"),'DEF_SELF_SCOUT_IMPORT'!$Q$42:$Q$1040,SUBSTITUTE(SUBSTITUTE(SUBSTITUTE($M647,"~","~~"),"*","~*"),"?","~?"),'DEF_SELF_SCOUT_IMPORT'!$F$42:$F$1040,SUBSTITUTE(SUBSTITUTE(SUBSTITUTE($N647,"~","~~"),"*","~*"),"?","~?"),'DEF_SELF_SCOUT_IMPORT'!$G$42:$G$1040,SUBSTITUTE(SUBSTITUTE(SUBSTITUTE($O647,"~","~~"),"*","~*"),"?","~?"),'DEF_SELF_SCOUT_IMPORT'!$H$42:$H$1040,"RUSH")/$C647)</f>
        <v>0.0</v>
      </c>
      <c r="H647" s="10">
        <f>IF($C647=0,"",COUNTIFS('DEF_SELF_SCOUT_IMPORT'!$L$42:$L$1040,"Y",'DEF_SELF_SCOUT_IMPORT'!$E$42:$E$1040,SUBSTITUTE(SUBSTITUTE(SUBSTITUTE($B647,"~","~~"),"*","~*"),"?","~?"),'DEF_SELF_SCOUT_IMPORT'!$Q$42:$Q$1040,SUBSTITUTE(SUBSTITUTE(SUBSTITUTE($M647,"~","~~"),"*","~*"),"?","~?"),'DEF_SELF_SCOUT_IMPORT'!$F$42:$F$1040,SUBSTITUTE(SUBSTITUTE(SUBSTITUTE($N647,"~","~~"),"*","~*"),"?","~?"),'DEF_SELF_SCOUT_IMPORT'!$G$42:$G$1040,SUBSTITUTE(SUBSTITUTE(SUBSTITUTE($O647,"~","~~"),"*","~*"),"?","~?"),'DEF_SELF_SCOUT_IMPORT'!$H$42:$H$1040,"DROPBACK")/$C647)</f>
        <v>1.0</v>
      </c>
      <c r="I647" s="14" t="str">
        <f>IF(C647=0,"",IF(C647&lt;=2,"TRACK",IF(C647=3,"LOW",IF(C647&lt;=6,"MEDIUM","HIGH"))))</f>
        <v>TRACK</v>
      </c>
      <c r="J647" s="11">
        <f>IF(C647=0,"",ROUND(D647*70+(1-E647)*20+MAX(0,MIN(1,(10-F647)/10))*10,1))</f>
        <v>100.0</v>
      </c>
      <c r="K647" s="14" t="str">
        <f>IF(C647=0,"No Evidence",IF(C647&lt;=2,IF(E647&gt;0,"Explosive Alert","Track Only"),IF(C647=3,"Sample Watch",IF(E647&gt;=START_HERE!$B$31,"Explosive Alert",IF(J647&gt;=80,"Strong Candidate",IF(J647&gt;=65,"Good Candidate",IF(J647&gt;=50,"Mixed / Review","Problem Call")))))))</f>
        <v>Track Only</v>
      </c>
      <c r="L647" s="9" t="str">
        <f>IF(COUNTIFS('DEF_SELF_SCOUT_IMPORT'!$L$42:$L$1040,"Y",'DEF_SELF_SCOUT_IMPORT'!$E$42:$E$1040,SUBSTITUTE(SUBSTITUTE(SUBSTITUTE($B647,"~","~~"),"*","~*"),"?","~?"),'DEF_SELF_SCOUT_IMPORT'!$Q$42:$Q$1040,SUBSTITUTE(SUBSTITUTE(SUBSTITUTE($M647,"~","~~"),"*","~*"),"?","~?"),'DEF_SELF_SCOUT_IMPORT'!$F$42:$F$1040,SUBSTITUTE(SUBSTITUTE(SUBSTITUTE($N647,"~","~~"),"*","~*"),"?","~?"),'DEF_SELF_SCOUT_IMPORT'!$G$42:$G$1040,SUBSTITUTE(SUBSTITUTE(SUBSTITUTE($O647,"~","~~"),"*","~*"),"?","~?"),'DEF_SELF_SCOUT_IMPORT'!$J$42:$J$1040,"")&gt;0,"Unscored clean outcome; review result tags before using score.",IF(C647=0,"No matching defensive reps; film confirmation needed.",IF(K647="Explosive Alert","Explosive risk; review clips before using as answer.",IF(C647&lt;=2,"Track only; not enough sample.",IF(C647=3,IF(E647&gt;0,"Sample watch with explosive exposure; review clips and build the sample.",IF(J647&gt;=65,"Good signal, but sample is limited.","Sample watch; review clips and build the sample.")),IF(K647="Problem Call","Problem area; practice or call-sheet review.",IF(K647="Strong Candidate","Strong call-fit candidate; confirm on film.",IF(K647="Good Candidate","Good call-fit signal; confirm on film.","Mixed signal; review fit and execution on film."))))))))</f>
        <v>Track only; not enough sample.</v>
      </c>
      <c r="M647" s="8" t="s">
        <v>70</v>
      </c>
      <c r="N647" s="8" t="s">
        <v>120</v>
      </c>
      <c r="O647" s="8" t="s">
        <v>206</v>
      </c>
      <c r="P647" s="8"/>
      <c r="Q647" s="8"/>
      <c r="R647" s="8" t="s">
        <v>28</v>
      </c>
      <c r="S647" s="2" t="s">
        <v>325</v>
      </c>
      <c r="T647" s="2">
        <f>IF(C647=0,0,IF(C647&gt;=CALL_LOOKUP_BOARD!$B$7,IF(OR(K647="Problem Call",K647="Explosive Alert"),10000000,20000000),0)+IF(C647&gt;=CALL_LOOKUP_BOARD!$B$7,J647*1000+MIN(C647,999),C647*1000+J647)+0.00994100)</f>
        <v>1100.009941</v>
      </c>
      <c r="U647" s="2">
        <f>IF(C647=0,"",IF(COUNTIFS($S$589:$S$803,SUBSTITUTE(SUBSTITUTE(SUBSTITUTE(S647,"~","~~"),"*","~*"),"?","~?"),$T$589:$T$803,"&gt;"&amp;T647)=0,S647,""))</f>
        <v/>
      </c>
    </row>
    <row r="648" spans="1:21" ht="38" customHeight="1">
      <c r="A648" s="8" t="s">
        <v>324</v>
      </c>
      <c r="B648" s="8" t="s">
        <v>60</v>
      </c>
      <c r="C648" s="12">
        <f>COUNTIFS('DEF_SELF_SCOUT_IMPORT'!$L$42:$L$1040,"Y",'DEF_SELF_SCOUT_IMPORT'!$E$42:$E$1040,SUBSTITUTE(SUBSTITUTE(SUBSTITUTE($B648,"~","~~"),"*","~*"),"?","~?"),'DEF_SELF_SCOUT_IMPORT'!$Q$42:$Q$1040,SUBSTITUTE(SUBSTITUTE(SUBSTITUTE($M648,"~","~~"),"*","~*"),"?","~?"),'DEF_SELF_SCOUT_IMPORT'!$F$42:$F$1040,SUBSTITUTE(SUBSTITUTE(SUBSTITUTE($N648,"~","~~"),"*","~*"),"?","~?"),'DEF_SELF_SCOUT_IMPORT'!$G$42:$G$1040,SUBSTITUTE(SUBSTITUTE(SUBSTITUTE($O648,"~","~~"),"*","~*"),"?","~?"))</f>
        <v>2</v>
      </c>
      <c r="D648" s="10">
        <f>IF($C648=0,"",SUMIFS('DEF_SELF_SCOUT_IMPORT'!$J$42:$J$1040,'DEF_SELF_SCOUT_IMPORT'!$L$42:$L$1040,"Y",'DEF_SELF_SCOUT_IMPORT'!$E$42:$E$1040,SUBSTITUTE(SUBSTITUTE(SUBSTITUTE($B648,"~","~~"),"*","~*"),"?","~?"),'DEF_SELF_SCOUT_IMPORT'!$Q$42:$Q$1040,SUBSTITUTE(SUBSTITUTE(SUBSTITUTE($M648,"~","~~"),"*","~*"),"?","~?"),'DEF_SELF_SCOUT_IMPORT'!$F$42:$F$1040,SUBSTITUTE(SUBSTITUTE(SUBSTITUTE($N648,"~","~~"),"*","~*"),"?","~?"),'DEF_SELF_SCOUT_IMPORT'!$G$42:$G$1040,SUBSTITUTE(SUBSTITUTE(SUBSTITUTE($O648,"~","~~"),"*","~*"),"?","~?"))/$C648)</f>
        <v>0.5</v>
      </c>
      <c r="E648" s="10">
        <f>IF($C648=0,"",SUMIFS('DEF_SELF_SCOUT_IMPORT'!$K$42:$K$1040,'DEF_SELF_SCOUT_IMPORT'!$L$42:$L$1040,"Y",'DEF_SELF_SCOUT_IMPORT'!$E$42:$E$1040,SUBSTITUTE(SUBSTITUTE(SUBSTITUTE($B648,"~","~~"),"*","~*"),"?","~?"),'DEF_SELF_SCOUT_IMPORT'!$Q$42:$Q$1040,SUBSTITUTE(SUBSTITUTE(SUBSTITUTE($M648,"~","~~"),"*","~*"),"?","~?"),'DEF_SELF_SCOUT_IMPORT'!$F$42:$F$1040,SUBSTITUTE(SUBSTITUTE(SUBSTITUTE($N648,"~","~~"),"*","~*"),"?","~?"),'DEF_SELF_SCOUT_IMPORT'!$G$42:$G$1040,SUBSTITUTE(SUBSTITUTE(SUBSTITUTE($O648,"~","~~"),"*","~*"),"?","~?"))/$C648)</f>
        <v>0.0</v>
      </c>
      <c r="F648" s="11">
        <f>IF($C648=0,"",AVERAGEIFS('DEF_SELF_SCOUT_IMPORT'!$I$42:$I$1040,'DEF_SELF_SCOUT_IMPORT'!$L$42:$L$1040,"Y",'DEF_SELF_SCOUT_IMPORT'!$E$42:$E$1040,SUBSTITUTE(SUBSTITUTE(SUBSTITUTE($B648,"~","~~"),"*","~*"),"?","~?"),'DEF_SELF_SCOUT_IMPORT'!$Q$42:$Q$1040,SUBSTITUTE(SUBSTITUTE(SUBSTITUTE($M648,"~","~~"),"*","~*"),"?","~?"),'DEF_SELF_SCOUT_IMPORT'!$F$42:$F$1040,SUBSTITUTE(SUBSTITUTE(SUBSTITUTE($N648,"~","~~"),"*","~*"),"?","~?"),'DEF_SELF_SCOUT_IMPORT'!$G$42:$G$1040,SUBSTITUTE(SUBSTITUTE(SUBSTITUTE($O648,"~","~~"),"*","~*"),"?","~?")))</f>
        <v>6.0</v>
      </c>
      <c r="G648" s="10">
        <f>IF($C648=0,"",COUNTIFS('DEF_SELF_SCOUT_IMPORT'!$L$42:$L$1040,"Y",'DEF_SELF_SCOUT_IMPORT'!$E$42:$E$1040,SUBSTITUTE(SUBSTITUTE(SUBSTITUTE($B648,"~","~~"),"*","~*"),"?","~?"),'DEF_SELF_SCOUT_IMPORT'!$Q$42:$Q$1040,SUBSTITUTE(SUBSTITUTE(SUBSTITUTE($M648,"~","~~"),"*","~*"),"?","~?"),'DEF_SELF_SCOUT_IMPORT'!$F$42:$F$1040,SUBSTITUTE(SUBSTITUTE(SUBSTITUTE($N648,"~","~~"),"*","~*"),"?","~?"),'DEF_SELF_SCOUT_IMPORT'!$G$42:$G$1040,SUBSTITUTE(SUBSTITUTE(SUBSTITUTE($O648,"~","~~"),"*","~*"),"?","~?"),'DEF_SELF_SCOUT_IMPORT'!$H$42:$H$1040,"RUSH")/$C648)</f>
        <v>0.5</v>
      </c>
      <c r="H648" s="10">
        <f>IF($C648=0,"",COUNTIFS('DEF_SELF_SCOUT_IMPORT'!$L$42:$L$1040,"Y",'DEF_SELF_SCOUT_IMPORT'!$E$42:$E$1040,SUBSTITUTE(SUBSTITUTE(SUBSTITUTE($B648,"~","~~"),"*","~*"),"?","~?"),'DEF_SELF_SCOUT_IMPORT'!$Q$42:$Q$1040,SUBSTITUTE(SUBSTITUTE(SUBSTITUTE($M648,"~","~~"),"*","~*"),"?","~?"),'DEF_SELF_SCOUT_IMPORT'!$F$42:$F$1040,SUBSTITUTE(SUBSTITUTE(SUBSTITUTE($N648,"~","~~"),"*","~*"),"?","~?"),'DEF_SELF_SCOUT_IMPORT'!$G$42:$G$1040,SUBSTITUTE(SUBSTITUTE(SUBSTITUTE($O648,"~","~~"),"*","~*"),"?","~?"),'DEF_SELF_SCOUT_IMPORT'!$H$42:$H$1040,"DROPBACK")/$C648)</f>
        <v>0.5</v>
      </c>
      <c r="I648" s="14" t="str">
        <f>IF(C648=0,"",IF(C648&lt;=2,"TRACK",IF(C648=3,"LOW",IF(C648&lt;=6,"MEDIUM","HIGH"))))</f>
        <v>TRACK</v>
      </c>
      <c r="J648" s="11">
        <f>IF(C648=0,"",ROUND(D648*70+(1-E648)*20+MAX(0,MIN(1,(10-F648)/10))*10,1))</f>
        <v>59.0</v>
      </c>
      <c r="K648" s="14" t="str">
        <f>IF(C648=0,"No Evidence",IF(C648&lt;=2,IF(E648&gt;0,"Explosive Alert","Track Only"),IF(C648=3,"Sample Watch",IF(E648&gt;=START_HERE!$B$31,"Explosive Alert",IF(J648&gt;=80,"Strong Candidate",IF(J648&gt;=65,"Good Candidate",IF(J648&gt;=50,"Mixed / Review","Problem Call")))))))</f>
        <v>Track Only</v>
      </c>
      <c r="L648" s="9" t="str">
        <f>IF(COUNTIFS('DEF_SELF_SCOUT_IMPORT'!$L$42:$L$1040,"Y",'DEF_SELF_SCOUT_IMPORT'!$E$42:$E$1040,SUBSTITUTE(SUBSTITUTE(SUBSTITUTE($B648,"~","~~"),"*","~*"),"?","~?"),'DEF_SELF_SCOUT_IMPORT'!$Q$42:$Q$1040,SUBSTITUTE(SUBSTITUTE(SUBSTITUTE($M648,"~","~~"),"*","~*"),"?","~?"),'DEF_SELF_SCOUT_IMPORT'!$F$42:$F$1040,SUBSTITUTE(SUBSTITUTE(SUBSTITUTE($N648,"~","~~"),"*","~*"),"?","~?"),'DEF_SELF_SCOUT_IMPORT'!$G$42:$G$1040,SUBSTITUTE(SUBSTITUTE(SUBSTITUTE($O648,"~","~~"),"*","~*"),"?","~?"),'DEF_SELF_SCOUT_IMPORT'!$J$42:$J$1040,"")&gt;0,"Unscored clean outcome; review result tags before using score.",IF(C648=0,"No matching defensive reps; film confirmation needed.",IF(K648="Explosive Alert","Explosive risk; review clips before using as answer.",IF(C648&lt;=2,"Track only; not enough sample.",IF(C648=3,IF(E648&gt;0,"Sample watch with explosive exposure; review clips and build the sample.",IF(J648&gt;=65,"Good signal, but sample is limited.","Sample watch; review clips and build the sample.")),IF(K648="Problem Call","Problem area; practice or call-sheet review.",IF(K648="Strong Candidate","Strong call-fit candidate; confirm on film.",IF(K648="Good Candidate","Good call-fit signal; confirm on film.","Mixed signal; review fit and execution on film."))))))))</f>
        <v>Track only; not enough sample.</v>
      </c>
      <c r="M648" s="8" t="s">
        <v>70</v>
      </c>
      <c r="N648" s="8" t="s">
        <v>120</v>
      </c>
      <c r="O648" s="8" t="s">
        <v>206</v>
      </c>
      <c r="P648" s="8"/>
      <c r="Q648" s="8"/>
      <c r="R648" s="8" t="s">
        <v>28</v>
      </c>
      <c r="S648" s="2" t="s">
        <v>325</v>
      </c>
      <c r="T648" s="2">
        <f>IF(C648=0,0,IF(C648&gt;=CALL_LOOKUP_BOARD!$B$7,IF(OR(K648="Problem Call",K648="Explosive Alert"),10000000,20000000),0)+IF(C648&gt;=CALL_LOOKUP_BOARD!$B$7,J648*1000+MIN(C648,999),C648*1000+J648)+0.00994000)</f>
        <v>2059.00994</v>
      </c>
      <c r="U648" s="2" t="str">
        <f>IF(C648=0,"",IF(COUNTIFS($S$589:$S$803,SUBSTITUTE(SUBSTITUTE(SUBSTITUTE(S648,"~","~~"),"*","~*"),"?","~?"),$T$589:$T$803,"&gt;"&amp;T648)=0,S648,""))</f>
        <v>6:2D 1-3|2:11|3:3X1|</v>
      </c>
    </row>
    <row r="649" spans="1:21" ht="38" customHeight="1">
      <c r="A649" s="8" t="s">
        <v>324</v>
      </c>
      <c r="B649" s="8" t="s">
        <v>73</v>
      </c>
      <c r="C649" s="12">
        <f>COUNTIFS('DEF_SELF_SCOUT_IMPORT'!$L$42:$L$1040,"Y",'DEF_SELF_SCOUT_IMPORT'!$E$42:$E$1040,SUBSTITUTE(SUBSTITUTE(SUBSTITUTE($B649,"~","~~"),"*","~*"),"?","~?"),'DEF_SELF_SCOUT_IMPORT'!$Q$42:$Q$1040,SUBSTITUTE(SUBSTITUTE(SUBSTITUTE($M649,"~","~~"),"*","~*"),"?","~?"),'DEF_SELF_SCOUT_IMPORT'!$F$42:$F$1040,SUBSTITUTE(SUBSTITUTE(SUBSTITUTE($N649,"~","~~"),"*","~*"),"?","~?"),'DEF_SELF_SCOUT_IMPORT'!$G$42:$G$1040,SUBSTITUTE(SUBSTITUTE(SUBSTITUTE($O649,"~","~~"),"*","~*"),"?","~?"))</f>
        <v>1</v>
      </c>
      <c r="D649" s="10">
        <f>IF($C649=0,"",SUMIFS('DEF_SELF_SCOUT_IMPORT'!$J$42:$J$1040,'DEF_SELF_SCOUT_IMPORT'!$L$42:$L$1040,"Y",'DEF_SELF_SCOUT_IMPORT'!$E$42:$E$1040,SUBSTITUTE(SUBSTITUTE(SUBSTITUTE($B649,"~","~~"),"*","~*"),"?","~?"),'DEF_SELF_SCOUT_IMPORT'!$Q$42:$Q$1040,SUBSTITUTE(SUBSTITUTE(SUBSTITUTE($M649,"~","~~"),"*","~*"),"?","~?"),'DEF_SELF_SCOUT_IMPORT'!$F$42:$F$1040,SUBSTITUTE(SUBSTITUTE(SUBSTITUTE($N649,"~","~~"),"*","~*"),"?","~?"),'DEF_SELF_SCOUT_IMPORT'!$G$42:$G$1040,SUBSTITUTE(SUBSTITUTE(SUBSTITUTE($O649,"~","~~"),"*","~*"),"?","~?"))/$C649)</f>
        <v>1.0</v>
      </c>
      <c r="E649" s="10">
        <f>IF($C649=0,"",SUMIFS('DEF_SELF_SCOUT_IMPORT'!$K$42:$K$1040,'DEF_SELF_SCOUT_IMPORT'!$L$42:$L$1040,"Y",'DEF_SELF_SCOUT_IMPORT'!$E$42:$E$1040,SUBSTITUTE(SUBSTITUTE(SUBSTITUTE($B649,"~","~~"),"*","~*"),"?","~?"),'DEF_SELF_SCOUT_IMPORT'!$Q$42:$Q$1040,SUBSTITUTE(SUBSTITUTE(SUBSTITUTE($M649,"~","~~"),"*","~*"),"?","~?"),'DEF_SELF_SCOUT_IMPORT'!$F$42:$F$1040,SUBSTITUTE(SUBSTITUTE(SUBSTITUTE($N649,"~","~~"),"*","~*"),"?","~?"),'DEF_SELF_SCOUT_IMPORT'!$G$42:$G$1040,SUBSTITUTE(SUBSTITUTE(SUBSTITUTE($O649,"~","~~"),"*","~*"),"?","~?"))/$C649)</f>
        <v>0.0</v>
      </c>
      <c r="F649" s="11">
        <f>IF($C649=0,"",AVERAGEIFS('DEF_SELF_SCOUT_IMPORT'!$I$42:$I$1040,'DEF_SELF_SCOUT_IMPORT'!$L$42:$L$1040,"Y",'DEF_SELF_SCOUT_IMPORT'!$E$42:$E$1040,SUBSTITUTE(SUBSTITUTE(SUBSTITUTE($B649,"~","~~"),"*","~*"),"?","~?"),'DEF_SELF_SCOUT_IMPORT'!$Q$42:$Q$1040,SUBSTITUTE(SUBSTITUTE(SUBSTITUTE($M649,"~","~~"),"*","~*"),"?","~?"),'DEF_SELF_SCOUT_IMPORT'!$F$42:$F$1040,SUBSTITUTE(SUBSTITUTE(SUBSTITUTE($N649,"~","~~"),"*","~*"),"?","~?"),'DEF_SELF_SCOUT_IMPORT'!$G$42:$G$1040,SUBSTITUTE(SUBSTITUTE(SUBSTITUTE($O649,"~","~~"),"*","~*"),"?","~?")))</f>
        <v>6.0</v>
      </c>
      <c r="G649" s="10">
        <f>IF($C649=0,"",COUNTIFS('DEF_SELF_SCOUT_IMPORT'!$L$42:$L$1040,"Y",'DEF_SELF_SCOUT_IMPORT'!$E$42:$E$1040,SUBSTITUTE(SUBSTITUTE(SUBSTITUTE($B649,"~","~~"),"*","~*"),"?","~?"),'DEF_SELF_SCOUT_IMPORT'!$Q$42:$Q$1040,SUBSTITUTE(SUBSTITUTE(SUBSTITUTE($M649,"~","~~"),"*","~*"),"?","~?"),'DEF_SELF_SCOUT_IMPORT'!$F$42:$F$1040,SUBSTITUTE(SUBSTITUTE(SUBSTITUTE($N649,"~","~~"),"*","~*"),"?","~?"),'DEF_SELF_SCOUT_IMPORT'!$G$42:$G$1040,SUBSTITUTE(SUBSTITUTE(SUBSTITUTE($O649,"~","~~"),"*","~*"),"?","~?"),'DEF_SELF_SCOUT_IMPORT'!$H$42:$H$1040,"RUSH")/$C649)</f>
        <v>0.0</v>
      </c>
      <c r="H649" s="10">
        <f>IF($C649=0,"",COUNTIFS('DEF_SELF_SCOUT_IMPORT'!$L$42:$L$1040,"Y",'DEF_SELF_SCOUT_IMPORT'!$E$42:$E$1040,SUBSTITUTE(SUBSTITUTE(SUBSTITUTE($B649,"~","~~"),"*","~*"),"?","~?"),'DEF_SELF_SCOUT_IMPORT'!$Q$42:$Q$1040,SUBSTITUTE(SUBSTITUTE(SUBSTITUTE($M649,"~","~~"),"*","~*"),"?","~?"),'DEF_SELF_SCOUT_IMPORT'!$F$42:$F$1040,SUBSTITUTE(SUBSTITUTE(SUBSTITUTE($N649,"~","~~"),"*","~*"),"?","~?"),'DEF_SELF_SCOUT_IMPORT'!$G$42:$G$1040,SUBSTITUTE(SUBSTITUTE(SUBSTITUTE($O649,"~","~~"),"*","~*"),"?","~?"),'DEF_SELF_SCOUT_IMPORT'!$H$42:$H$1040,"DROPBACK")/$C649)</f>
        <v>1.0</v>
      </c>
      <c r="I649" s="14" t="str">
        <f>IF(C649=0,"",IF(C649&lt;=2,"TRACK",IF(C649=3,"LOW",IF(C649&lt;=6,"MEDIUM","HIGH"))))</f>
        <v>TRACK</v>
      </c>
      <c r="J649" s="11">
        <f>IF(C649=0,"",ROUND(D649*70+(1-E649)*20+MAX(0,MIN(1,(10-F649)/10))*10,1))</f>
        <v>94.0</v>
      </c>
      <c r="K649" s="14" t="str">
        <f>IF(C649=0,"No Evidence",IF(C649&lt;=2,IF(E649&gt;0,"Explosive Alert","Track Only"),IF(C649=3,"Sample Watch",IF(E649&gt;=START_HERE!$B$31,"Explosive Alert",IF(J649&gt;=80,"Strong Candidate",IF(J649&gt;=65,"Good Candidate",IF(J649&gt;=50,"Mixed / Review","Problem Call")))))))</f>
        <v>Track Only</v>
      </c>
      <c r="L649" s="9" t="str">
        <f>IF(COUNTIFS('DEF_SELF_SCOUT_IMPORT'!$L$42:$L$1040,"Y",'DEF_SELF_SCOUT_IMPORT'!$E$42:$E$1040,SUBSTITUTE(SUBSTITUTE(SUBSTITUTE($B649,"~","~~"),"*","~*"),"?","~?"),'DEF_SELF_SCOUT_IMPORT'!$Q$42:$Q$1040,SUBSTITUTE(SUBSTITUTE(SUBSTITUTE($M649,"~","~~"),"*","~*"),"?","~?"),'DEF_SELF_SCOUT_IMPORT'!$F$42:$F$1040,SUBSTITUTE(SUBSTITUTE(SUBSTITUTE($N649,"~","~~"),"*","~*"),"?","~?"),'DEF_SELF_SCOUT_IMPORT'!$G$42:$G$1040,SUBSTITUTE(SUBSTITUTE(SUBSTITUTE($O649,"~","~~"),"*","~*"),"?","~?"),'DEF_SELF_SCOUT_IMPORT'!$J$42:$J$1040,"")&gt;0,"Unscored clean outcome; review result tags before using score.",IF(C649=0,"No matching defensive reps; film confirmation needed.",IF(K649="Explosive Alert","Explosive risk; review clips before using as answer.",IF(C649&lt;=2,"Track only; not enough sample.",IF(C649=3,IF(E649&gt;0,"Sample watch with explosive exposure; review clips and build the sample.",IF(J649&gt;=65,"Good signal, but sample is limited.","Sample watch; review clips and build the sample.")),IF(K649="Problem Call","Problem area; practice or call-sheet review.",IF(K649="Strong Candidate","Strong call-fit candidate; confirm on film.",IF(K649="Good Candidate","Good call-fit signal; confirm on film.","Mixed signal; review fit and execution on film."))))))))</f>
        <v>Track only; not enough sample.</v>
      </c>
      <c r="M649" s="8" t="s">
        <v>70</v>
      </c>
      <c r="N649" s="8" t="s">
        <v>120</v>
      </c>
      <c r="O649" s="8" t="s">
        <v>206</v>
      </c>
      <c r="P649" s="8"/>
      <c r="Q649" s="8"/>
      <c r="R649" s="8" t="s">
        <v>28</v>
      </c>
      <c r="S649" s="2" t="s">
        <v>325</v>
      </c>
      <c r="T649" s="2">
        <f>IF(C649=0,0,IF(C649&gt;=CALL_LOOKUP_BOARD!$B$7,IF(OR(K649="Problem Call",K649="Explosive Alert"),10000000,20000000),0)+IF(C649&gt;=CALL_LOOKUP_BOARD!$B$7,J649*1000+MIN(C649,999),C649*1000+J649)+0.00993900)</f>
        <v>1094.009939</v>
      </c>
      <c r="U649" s="2">
        <f>IF(C649=0,"",IF(COUNTIFS($S$589:$S$803,SUBSTITUTE(SUBSTITUTE(SUBSTITUTE(S649,"~","~~"),"*","~*"),"?","~?"),$T$589:$T$803,"&gt;"&amp;T649)=0,S649,""))</f>
        <v/>
      </c>
    </row>
    <row r="650" spans="1:21" ht="38" customHeight="1">
      <c r="A650" s="8" t="s">
        <v>324</v>
      </c>
      <c r="B650" s="8" t="s">
        <v>63</v>
      </c>
      <c r="C650" s="12">
        <f>COUNTIFS('DEF_SELF_SCOUT_IMPORT'!$L$42:$L$1040,"Y",'DEF_SELF_SCOUT_IMPORT'!$E$42:$E$1040,SUBSTITUTE(SUBSTITUTE(SUBSTITUTE($B650,"~","~~"),"*","~*"),"?","~?"),'DEF_SELF_SCOUT_IMPORT'!$Q$42:$Q$1040,SUBSTITUTE(SUBSTITUTE(SUBSTITUTE($M650,"~","~~"),"*","~*"),"?","~?"),'DEF_SELF_SCOUT_IMPORT'!$F$42:$F$1040,SUBSTITUTE(SUBSTITUTE(SUBSTITUTE($N650,"~","~~"),"*","~*"),"?","~?"),'DEF_SELF_SCOUT_IMPORT'!$G$42:$G$1040,SUBSTITUTE(SUBSTITUTE(SUBSTITUTE($O650,"~","~~"),"*","~*"),"?","~?"))</f>
        <v>2</v>
      </c>
      <c r="D650" s="10">
        <f>IF($C650=0,"",SUMIFS('DEF_SELF_SCOUT_IMPORT'!$J$42:$J$1040,'DEF_SELF_SCOUT_IMPORT'!$L$42:$L$1040,"Y",'DEF_SELF_SCOUT_IMPORT'!$E$42:$E$1040,SUBSTITUTE(SUBSTITUTE(SUBSTITUTE($B650,"~","~~"),"*","~*"),"?","~?"),'DEF_SELF_SCOUT_IMPORT'!$Q$42:$Q$1040,SUBSTITUTE(SUBSTITUTE(SUBSTITUTE($M650,"~","~~"),"*","~*"),"?","~?"),'DEF_SELF_SCOUT_IMPORT'!$F$42:$F$1040,SUBSTITUTE(SUBSTITUTE(SUBSTITUTE($N650,"~","~~"),"*","~*"),"?","~?"),'DEF_SELF_SCOUT_IMPORT'!$G$42:$G$1040,SUBSTITUTE(SUBSTITUTE(SUBSTITUTE($O650,"~","~~"),"*","~*"),"?","~?"))/$C650)</f>
        <v>0.0</v>
      </c>
      <c r="E650" s="10">
        <f>IF($C650=0,"",SUMIFS('DEF_SELF_SCOUT_IMPORT'!$K$42:$K$1040,'DEF_SELF_SCOUT_IMPORT'!$L$42:$L$1040,"Y",'DEF_SELF_SCOUT_IMPORT'!$E$42:$E$1040,SUBSTITUTE(SUBSTITUTE(SUBSTITUTE($B650,"~","~~"),"*","~*"),"?","~?"),'DEF_SELF_SCOUT_IMPORT'!$Q$42:$Q$1040,SUBSTITUTE(SUBSTITUTE(SUBSTITUTE($M650,"~","~~"),"*","~*"),"?","~?"),'DEF_SELF_SCOUT_IMPORT'!$F$42:$F$1040,SUBSTITUTE(SUBSTITUTE(SUBSTITUTE($N650,"~","~~"),"*","~*"),"?","~?"),'DEF_SELF_SCOUT_IMPORT'!$G$42:$G$1040,SUBSTITUTE(SUBSTITUTE(SUBSTITUTE($O650,"~","~~"),"*","~*"),"?","~?"))/$C650)</f>
        <v>0.5</v>
      </c>
      <c r="F650" s="11">
        <f>IF($C650=0,"",AVERAGEIFS('DEF_SELF_SCOUT_IMPORT'!$I$42:$I$1040,'DEF_SELF_SCOUT_IMPORT'!$L$42:$L$1040,"Y",'DEF_SELF_SCOUT_IMPORT'!$E$42:$E$1040,SUBSTITUTE(SUBSTITUTE(SUBSTITUTE($B650,"~","~~"),"*","~*"),"?","~?"),'DEF_SELF_SCOUT_IMPORT'!$Q$42:$Q$1040,SUBSTITUTE(SUBSTITUTE(SUBSTITUTE($M650,"~","~~"),"*","~*"),"?","~?"),'DEF_SELF_SCOUT_IMPORT'!$F$42:$F$1040,SUBSTITUTE(SUBSTITUTE(SUBSTITUTE($N650,"~","~~"),"*","~*"),"?","~?"),'DEF_SELF_SCOUT_IMPORT'!$G$42:$G$1040,SUBSTITUTE(SUBSTITUTE(SUBSTITUTE($O650,"~","~~"),"*","~*"),"?","~?")))</f>
        <v>18.5</v>
      </c>
      <c r="G650" s="10">
        <f>IF($C650=0,"",COUNTIFS('DEF_SELF_SCOUT_IMPORT'!$L$42:$L$1040,"Y",'DEF_SELF_SCOUT_IMPORT'!$E$42:$E$1040,SUBSTITUTE(SUBSTITUTE(SUBSTITUTE($B650,"~","~~"),"*","~*"),"?","~?"),'DEF_SELF_SCOUT_IMPORT'!$Q$42:$Q$1040,SUBSTITUTE(SUBSTITUTE(SUBSTITUTE($M650,"~","~~"),"*","~*"),"?","~?"),'DEF_SELF_SCOUT_IMPORT'!$F$42:$F$1040,SUBSTITUTE(SUBSTITUTE(SUBSTITUTE($N650,"~","~~"),"*","~*"),"?","~?"),'DEF_SELF_SCOUT_IMPORT'!$G$42:$G$1040,SUBSTITUTE(SUBSTITUTE(SUBSTITUTE($O650,"~","~~"),"*","~*"),"?","~?"),'DEF_SELF_SCOUT_IMPORT'!$H$42:$H$1040,"RUSH")/$C650)</f>
        <v>0.0</v>
      </c>
      <c r="H650" s="10">
        <f>IF($C650=0,"",COUNTIFS('DEF_SELF_SCOUT_IMPORT'!$L$42:$L$1040,"Y",'DEF_SELF_SCOUT_IMPORT'!$E$42:$E$1040,SUBSTITUTE(SUBSTITUTE(SUBSTITUTE($B650,"~","~~"),"*","~*"),"?","~?"),'DEF_SELF_SCOUT_IMPORT'!$Q$42:$Q$1040,SUBSTITUTE(SUBSTITUTE(SUBSTITUTE($M650,"~","~~"),"*","~*"),"?","~?"),'DEF_SELF_SCOUT_IMPORT'!$F$42:$F$1040,SUBSTITUTE(SUBSTITUTE(SUBSTITUTE($N650,"~","~~"),"*","~*"),"?","~?"),'DEF_SELF_SCOUT_IMPORT'!$G$42:$G$1040,SUBSTITUTE(SUBSTITUTE(SUBSTITUTE($O650,"~","~~"),"*","~*"),"?","~?"),'DEF_SELF_SCOUT_IMPORT'!$H$42:$H$1040,"DROPBACK")/$C650)</f>
        <v>1.0</v>
      </c>
      <c r="I650" s="14" t="str">
        <f>IF(C650=0,"",IF(C650&lt;=2,"TRACK",IF(C650=3,"LOW",IF(C650&lt;=6,"MEDIUM","HIGH"))))</f>
        <v>TRACK</v>
      </c>
      <c r="J650" s="11">
        <f>IF(C650=0,"",ROUND(D650*70+(1-E650)*20+MAX(0,MIN(1,(10-F650)/10))*10,1))</f>
        <v>10.0</v>
      </c>
      <c r="K650" s="14" t="str">
        <f>IF(C650=0,"No Evidence",IF(C650&lt;=2,IF(E650&gt;0,"Explosive Alert","Track Only"),IF(C650=3,"Sample Watch",IF(E650&gt;=START_HERE!$B$31,"Explosive Alert",IF(J650&gt;=80,"Strong Candidate",IF(J650&gt;=65,"Good Candidate",IF(J650&gt;=50,"Mixed / Review","Problem Call")))))))</f>
        <v>Explosive Alert</v>
      </c>
      <c r="L650" s="9" t="str">
        <f>IF(COUNTIFS('DEF_SELF_SCOUT_IMPORT'!$L$42:$L$1040,"Y",'DEF_SELF_SCOUT_IMPORT'!$E$42:$E$1040,SUBSTITUTE(SUBSTITUTE(SUBSTITUTE($B650,"~","~~"),"*","~*"),"?","~?"),'DEF_SELF_SCOUT_IMPORT'!$Q$42:$Q$1040,SUBSTITUTE(SUBSTITUTE(SUBSTITUTE($M650,"~","~~"),"*","~*"),"?","~?"),'DEF_SELF_SCOUT_IMPORT'!$F$42:$F$1040,SUBSTITUTE(SUBSTITUTE(SUBSTITUTE($N650,"~","~~"),"*","~*"),"?","~?"),'DEF_SELF_SCOUT_IMPORT'!$G$42:$G$1040,SUBSTITUTE(SUBSTITUTE(SUBSTITUTE($O650,"~","~~"),"*","~*"),"?","~?"),'DEF_SELF_SCOUT_IMPORT'!$J$42:$J$1040,"")&gt;0,"Unscored clean outcome; review result tags before using score.",IF(C650=0,"No matching defensive reps; film confirmation needed.",IF(K650="Explosive Alert","Explosive risk; review clips before using as answer.",IF(C650&lt;=2,"Track only; not enough sample.",IF(C650=3,IF(E650&gt;0,"Sample watch with explosive exposure; review clips and build the sample.",IF(J650&gt;=65,"Good signal, but sample is limited.","Sample watch; review clips and build the sample.")),IF(K650="Problem Call","Problem area; practice or call-sheet review.",IF(K650="Strong Candidate","Strong call-fit candidate; confirm on film.",IF(K650="Good Candidate","Good call-fit signal; confirm on film.","Mixed signal; review fit and execution on film."))))))))</f>
        <v>Explosive risk; review clips before using as answer.</v>
      </c>
      <c r="M650" s="8" t="s">
        <v>70</v>
      </c>
      <c r="N650" s="8" t="s">
        <v>120</v>
      </c>
      <c r="O650" s="8" t="s">
        <v>206</v>
      </c>
      <c r="P650" s="8"/>
      <c r="Q650" s="8"/>
      <c r="R650" s="8" t="s">
        <v>28</v>
      </c>
      <c r="S650" s="2" t="s">
        <v>325</v>
      </c>
      <c r="T650" s="2">
        <f>IF(C650=0,0,IF(C650&gt;=CALL_LOOKUP_BOARD!$B$7,IF(OR(K650="Problem Call",K650="Explosive Alert"),10000000,20000000),0)+IF(C650&gt;=CALL_LOOKUP_BOARD!$B$7,J650*1000+MIN(C650,999),C650*1000+J650)+0.00993800)</f>
        <v>2010.009938</v>
      </c>
      <c r="U650" s="2">
        <f>IF(C650=0,"",IF(COUNTIFS($S$589:$S$803,SUBSTITUTE(SUBSTITUTE(SUBSTITUTE(S650,"~","~~"),"*","~*"),"?","~?"),$T$589:$T$803,"&gt;"&amp;T650)=0,S650,""))</f>
        <v/>
      </c>
    </row>
    <row r="651" spans="1:21" ht="38" customHeight="1">
      <c r="A651" s="8" t="s">
        <v>324</v>
      </c>
      <c r="B651" s="8" t="s">
        <v>74</v>
      </c>
      <c r="C651" s="12">
        <f>COUNTIFS('DEF_SELF_SCOUT_IMPORT'!$L$42:$L$1040,"Y",'DEF_SELF_SCOUT_IMPORT'!$E$42:$E$1040,SUBSTITUTE(SUBSTITUTE(SUBSTITUTE($B651,"~","~~"),"*","~*"),"?","~?"),'DEF_SELF_SCOUT_IMPORT'!$Q$42:$Q$1040,SUBSTITUTE(SUBSTITUTE(SUBSTITUTE($M651,"~","~~"),"*","~*"),"?","~?"),'DEF_SELF_SCOUT_IMPORT'!$F$42:$F$1040,SUBSTITUTE(SUBSTITUTE(SUBSTITUTE($N651,"~","~~"),"*","~*"),"?","~?"),'DEF_SELF_SCOUT_IMPORT'!$G$42:$G$1040,SUBSTITUTE(SUBSTITUTE(SUBSTITUTE($O651,"~","~~"),"*","~*"),"?","~?"))</f>
        <v>1</v>
      </c>
      <c r="D651" s="10">
        <f>IF($C651=0,"",SUMIFS('DEF_SELF_SCOUT_IMPORT'!$J$42:$J$1040,'DEF_SELF_SCOUT_IMPORT'!$L$42:$L$1040,"Y",'DEF_SELF_SCOUT_IMPORT'!$E$42:$E$1040,SUBSTITUTE(SUBSTITUTE(SUBSTITUTE($B651,"~","~~"),"*","~*"),"?","~?"),'DEF_SELF_SCOUT_IMPORT'!$Q$42:$Q$1040,SUBSTITUTE(SUBSTITUTE(SUBSTITUTE($M651,"~","~~"),"*","~*"),"?","~?"),'DEF_SELF_SCOUT_IMPORT'!$F$42:$F$1040,SUBSTITUTE(SUBSTITUTE(SUBSTITUTE($N651,"~","~~"),"*","~*"),"?","~?"),'DEF_SELF_SCOUT_IMPORT'!$G$42:$G$1040,SUBSTITUTE(SUBSTITUTE(SUBSTITUTE($O651,"~","~~"),"*","~*"),"?","~?"))/$C651)</f>
        <v>1.0</v>
      </c>
      <c r="E651" s="10">
        <f>IF($C651=0,"",SUMIFS('DEF_SELF_SCOUT_IMPORT'!$K$42:$K$1040,'DEF_SELF_SCOUT_IMPORT'!$L$42:$L$1040,"Y",'DEF_SELF_SCOUT_IMPORT'!$E$42:$E$1040,SUBSTITUTE(SUBSTITUTE(SUBSTITUTE($B651,"~","~~"),"*","~*"),"?","~?"),'DEF_SELF_SCOUT_IMPORT'!$Q$42:$Q$1040,SUBSTITUTE(SUBSTITUTE(SUBSTITUTE($M651,"~","~~"),"*","~*"),"?","~?"),'DEF_SELF_SCOUT_IMPORT'!$F$42:$F$1040,SUBSTITUTE(SUBSTITUTE(SUBSTITUTE($N651,"~","~~"),"*","~*"),"?","~?"),'DEF_SELF_SCOUT_IMPORT'!$G$42:$G$1040,SUBSTITUTE(SUBSTITUTE(SUBSTITUTE($O651,"~","~~"),"*","~*"),"?","~?"))/$C651)</f>
        <v>0.0</v>
      </c>
      <c r="F651" s="11">
        <f>IF($C651=0,"",AVERAGEIFS('DEF_SELF_SCOUT_IMPORT'!$I$42:$I$1040,'DEF_SELF_SCOUT_IMPORT'!$L$42:$L$1040,"Y",'DEF_SELF_SCOUT_IMPORT'!$E$42:$E$1040,SUBSTITUTE(SUBSTITUTE(SUBSTITUTE($B651,"~","~~"),"*","~*"),"?","~?"),'DEF_SELF_SCOUT_IMPORT'!$Q$42:$Q$1040,SUBSTITUTE(SUBSTITUTE(SUBSTITUTE($M651,"~","~~"),"*","~*"),"?","~?"),'DEF_SELF_SCOUT_IMPORT'!$F$42:$F$1040,SUBSTITUTE(SUBSTITUTE(SUBSTITUTE($N651,"~","~~"),"*","~*"),"?","~?"),'DEF_SELF_SCOUT_IMPORT'!$G$42:$G$1040,SUBSTITUTE(SUBSTITUTE(SUBSTITUTE($O651,"~","~~"),"*","~*"),"?","~?")))</f>
        <v>-8.0</v>
      </c>
      <c r="G651" s="10">
        <f>IF($C651=0,"",COUNTIFS('DEF_SELF_SCOUT_IMPORT'!$L$42:$L$1040,"Y",'DEF_SELF_SCOUT_IMPORT'!$E$42:$E$1040,SUBSTITUTE(SUBSTITUTE(SUBSTITUTE($B651,"~","~~"),"*","~*"),"?","~?"),'DEF_SELF_SCOUT_IMPORT'!$Q$42:$Q$1040,SUBSTITUTE(SUBSTITUTE(SUBSTITUTE($M651,"~","~~"),"*","~*"),"?","~?"),'DEF_SELF_SCOUT_IMPORT'!$F$42:$F$1040,SUBSTITUTE(SUBSTITUTE(SUBSTITUTE($N651,"~","~~"),"*","~*"),"?","~?"),'DEF_SELF_SCOUT_IMPORT'!$G$42:$G$1040,SUBSTITUTE(SUBSTITUTE(SUBSTITUTE($O651,"~","~~"),"*","~*"),"?","~?"),'DEF_SELF_SCOUT_IMPORT'!$H$42:$H$1040,"RUSH")/$C651)</f>
        <v>0.0</v>
      </c>
      <c r="H651" s="10">
        <f>IF($C651=0,"",COUNTIFS('DEF_SELF_SCOUT_IMPORT'!$L$42:$L$1040,"Y",'DEF_SELF_SCOUT_IMPORT'!$E$42:$E$1040,SUBSTITUTE(SUBSTITUTE(SUBSTITUTE($B651,"~","~~"),"*","~*"),"?","~?"),'DEF_SELF_SCOUT_IMPORT'!$Q$42:$Q$1040,SUBSTITUTE(SUBSTITUTE(SUBSTITUTE($M651,"~","~~"),"*","~*"),"?","~?"),'DEF_SELF_SCOUT_IMPORT'!$F$42:$F$1040,SUBSTITUTE(SUBSTITUTE(SUBSTITUTE($N651,"~","~~"),"*","~*"),"?","~?"),'DEF_SELF_SCOUT_IMPORT'!$G$42:$G$1040,SUBSTITUTE(SUBSTITUTE(SUBSTITUTE($O651,"~","~~"),"*","~*"),"?","~?"),'DEF_SELF_SCOUT_IMPORT'!$H$42:$H$1040,"DROPBACK")/$C651)</f>
        <v>1.0</v>
      </c>
      <c r="I651" s="14" t="str">
        <f>IF(C651=0,"",IF(C651&lt;=2,"TRACK",IF(C651=3,"LOW",IF(C651&lt;=6,"MEDIUM","HIGH"))))</f>
        <v>TRACK</v>
      </c>
      <c r="J651" s="11">
        <f>IF(C651=0,"",ROUND(D651*70+(1-E651)*20+MAX(0,MIN(1,(10-F651)/10))*10,1))</f>
        <v>100.0</v>
      </c>
      <c r="K651" s="14" t="str">
        <f>IF(C651=0,"No Evidence",IF(C651&lt;=2,IF(E651&gt;0,"Explosive Alert","Track Only"),IF(C651=3,"Sample Watch",IF(E651&gt;=START_HERE!$B$31,"Explosive Alert",IF(J651&gt;=80,"Strong Candidate",IF(J651&gt;=65,"Good Candidate",IF(J651&gt;=50,"Mixed / Review","Problem Call")))))))</f>
        <v>Track Only</v>
      </c>
      <c r="L651" s="9" t="str">
        <f>IF(COUNTIFS('DEF_SELF_SCOUT_IMPORT'!$L$42:$L$1040,"Y",'DEF_SELF_SCOUT_IMPORT'!$E$42:$E$1040,SUBSTITUTE(SUBSTITUTE(SUBSTITUTE($B651,"~","~~"),"*","~*"),"?","~?"),'DEF_SELF_SCOUT_IMPORT'!$Q$42:$Q$1040,SUBSTITUTE(SUBSTITUTE(SUBSTITUTE($M651,"~","~~"),"*","~*"),"?","~?"),'DEF_SELF_SCOUT_IMPORT'!$F$42:$F$1040,SUBSTITUTE(SUBSTITUTE(SUBSTITUTE($N651,"~","~~"),"*","~*"),"?","~?"),'DEF_SELF_SCOUT_IMPORT'!$G$42:$G$1040,SUBSTITUTE(SUBSTITUTE(SUBSTITUTE($O651,"~","~~"),"*","~*"),"?","~?"),'DEF_SELF_SCOUT_IMPORT'!$J$42:$J$1040,"")&gt;0,"Unscored clean outcome; review result tags before using score.",IF(C651=0,"No matching defensive reps; film confirmation needed.",IF(K651="Explosive Alert","Explosive risk; review clips before using as answer.",IF(C651&lt;=2,"Track only; not enough sample.",IF(C651=3,IF(E651&gt;0,"Sample watch with explosive exposure; review clips and build the sample.",IF(J651&gt;=65,"Good signal, but sample is limited.","Sample watch; review clips and build the sample.")),IF(K651="Problem Call","Problem area; practice or call-sheet review.",IF(K651="Strong Candidate","Strong call-fit candidate; confirm on film.",IF(K651="Good Candidate","Good call-fit signal; confirm on film.","Mixed signal; review fit and execution on film."))))))))</f>
        <v>Track only; not enough sample.</v>
      </c>
      <c r="M651" s="8" t="s">
        <v>70</v>
      </c>
      <c r="N651" s="8" t="s">
        <v>120</v>
      </c>
      <c r="O651" s="8" t="s">
        <v>206</v>
      </c>
      <c r="P651" s="8"/>
      <c r="Q651" s="8"/>
      <c r="R651" s="8" t="s">
        <v>28</v>
      </c>
      <c r="S651" s="2" t="s">
        <v>325</v>
      </c>
      <c r="T651" s="2">
        <f>IF(C651=0,0,IF(C651&gt;=CALL_LOOKUP_BOARD!$B$7,IF(OR(K651="Problem Call",K651="Explosive Alert"),10000000,20000000),0)+IF(C651&gt;=CALL_LOOKUP_BOARD!$B$7,J651*1000+MIN(C651,999),C651*1000+J651)+0.00993700)</f>
        <v>1100.009937</v>
      </c>
      <c r="U651" s="2">
        <f>IF(C651=0,"",IF(COUNTIFS($S$589:$S$803,SUBSTITUTE(SUBSTITUTE(SUBSTITUTE(S651,"~","~~"),"*","~*"),"?","~?"),$T$589:$T$803,"&gt;"&amp;T651)=0,S651,""))</f>
        <v/>
      </c>
    </row>
    <row r="652" spans="1:21" ht="38" customHeight="1">
      <c r="A652" s="8" t="s">
        <v>324</v>
      </c>
      <c r="B652" s="8" t="s">
        <v>68</v>
      </c>
      <c r="C652" s="12">
        <f>COUNTIFS('DEF_SELF_SCOUT_IMPORT'!$L$42:$L$1040,"Y",'DEF_SELF_SCOUT_IMPORT'!$E$42:$E$1040,SUBSTITUTE(SUBSTITUTE(SUBSTITUTE($B652,"~","~~"),"*","~*"),"?","~?"),'DEF_SELF_SCOUT_IMPORT'!$Q$42:$Q$1040,SUBSTITUTE(SUBSTITUTE(SUBSTITUTE($M652,"~","~~"),"*","~*"),"?","~?"),'DEF_SELF_SCOUT_IMPORT'!$F$42:$F$1040,SUBSTITUTE(SUBSTITUTE(SUBSTITUTE($N652,"~","~~"),"*","~*"),"?","~?"),'DEF_SELF_SCOUT_IMPORT'!$G$42:$G$1040,SUBSTITUTE(SUBSTITUTE(SUBSTITUTE($O652,"~","~~"),"*","~*"),"?","~?"))</f>
        <v>1</v>
      </c>
      <c r="D652" s="10">
        <f>IF($C652=0,"",SUMIFS('DEF_SELF_SCOUT_IMPORT'!$J$42:$J$1040,'DEF_SELF_SCOUT_IMPORT'!$L$42:$L$1040,"Y",'DEF_SELF_SCOUT_IMPORT'!$E$42:$E$1040,SUBSTITUTE(SUBSTITUTE(SUBSTITUTE($B652,"~","~~"),"*","~*"),"?","~?"),'DEF_SELF_SCOUT_IMPORT'!$Q$42:$Q$1040,SUBSTITUTE(SUBSTITUTE(SUBSTITUTE($M652,"~","~~"),"*","~*"),"?","~?"),'DEF_SELF_SCOUT_IMPORT'!$F$42:$F$1040,SUBSTITUTE(SUBSTITUTE(SUBSTITUTE($N652,"~","~~"),"*","~*"),"?","~?"),'DEF_SELF_SCOUT_IMPORT'!$G$42:$G$1040,SUBSTITUTE(SUBSTITUTE(SUBSTITUTE($O652,"~","~~"),"*","~*"),"?","~?"))/$C652)</f>
        <v>0.0</v>
      </c>
      <c r="E652" s="10">
        <f>IF($C652=0,"",SUMIFS('DEF_SELF_SCOUT_IMPORT'!$K$42:$K$1040,'DEF_SELF_SCOUT_IMPORT'!$L$42:$L$1040,"Y",'DEF_SELF_SCOUT_IMPORT'!$E$42:$E$1040,SUBSTITUTE(SUBSTITUTE(SUBSTITUTE($B652,"~","~~"),"*","~*"),"?","~?"),'DEF_SELF_SCOUT_IMPORT'!$Q$42:$Q$1040,SUBSTITUTE(SUBSTITUTE(SUBSTITUTE($M652,"~","~~"),"*","~*"),"?","~?"),'DEF_SELF_SCOUT_IMPORT'!$F$42:$F$1040,SUBSTITUTE(SUBSTITUTE(SUBSTITUTE($N652,"~","~~"),"*","~*"),"?","~?"),'DEF_SELF_SCOUT_IMPORT'!$G$42:$G$1040,SUBSTITUTE(SUBSTITUTE(SUBSTITUTE($O652,"~","~~"),"*","~*"),"?","~?"))/$C652)</f>
        <v>0.0</v>
      </c>
      <c r="F652" s="11">
        <f>IF($C652=0,"",AVERAGEIFS('DEF_SELF_SCOUT_IMPORT'!$I$42:$I$1040,'DEF_SELF_SCOUT_IMPORT'!$L$42:$L$1040,"Y",'DEF_SELF_SCOUT_IMPORT'!$E$42:$E$1040,SUBSTITUTE(SUBSTITUTE(SUBSTITUTE($B652,"~","~~"),"*","~*"),"?","~?"),'DEF_SELF_SCOUT_IMPORT'!$Q$42:$Q$1040,SUBSTITUTE(SUBSTITUTE(SUBSTITUTE($M652,"~","~~"),"*","~*"),"?","~?"),'DEF_SELF_SCOUT_IMPORT'!$F$42:$F$1040,SUBSTITUTE(SUBSTITUTE(SUBSTITUTE($N652,"~","~~"),"*","~*"),"?","~?"),'DEF_SELF_SCOUT_IMPORT'!$G$42:$G$1040,SUBSTITUTE(SUBSTITUTE(SUBSTITUTE($O652,"~","~~"),"*","~*"),"?","~?")))</f>
        <v>5.0</v>
      </c>
      <c r="G652" s="10">
        <f>IF($C652=0,"",COUNTIFS('DEF_SELF_SCOUT_IMPORT'!$L$42:$L$1040,"Y",'DEF_SELF_SCOUT_IMPORT'!$E$42:$E$1040,SUBSTITUTE(SUBSTITUTE(SUBSTITUTE($B652,"~","~~"),"*","~*"),"?","~?"),'DEF_SELF_SCOUT_IMPORT'!$Q$42:$Q$1040,SUBSTITUTE(SUBSTITUTE(SUBSTITUTE($M652,"~","~~"),"*","~*"),"?","~?"),'DEF_SELF_SCOUT_IMPORT'!$F$42:$F$1040,SUBSTITUTE(SUBSTITUTE(SUBSTITUTE($N652,"~","~~"),"*","~*"),"?","~?"),'DEF_SELF_SCOUT_IMPORT'!$G$42:$G$1040,SUBSTITUTE(SUBSTITUTE(SUBSTITUTE($O652,"~","~~"),"*","~*"),"?","~?"),'DEF_SELF_SCOUT_IMPORT'!$H$42:$H$1040,"RUSH")/$C652)</f>
        <v>1.0</v>
      </c>
      <c r="H652" s="10">
        <f>IF($C652=0,"",COUNTIFS('DEF_SELF_SCOUT_IMPORT'!$L$42:$L$1040,"Y",'DEF_SELF_SCOUT_IMPORT'!$E$42:$E$1040,SUBSTITUTE(SUBSTITUTE(SUBSTITUTE($B652,"~","~~"),"*","~*"),"?","~?"),'DEF_SELF_SCOUT_IMPORT'!$Q$42:$Q$1040,SUBSTITUTE(SUBSTITUTE(SUBSTITUTE($M652,"~","~~"),"*","~*"),"?","~?"),'DEF_SELF_SCOUT_IMPORT'!$F$42:$F$1040,SUBSTITUTE(SUBSTITUTE(SUBSTITUTE($N652,"~","~~"),"*","~*"),"?","~?"),'DEF_SELF_SCOUT_IMPORT'!$G$42:$G$1040,SUBSTITUTE(SUBSTITUTE(SUBSTITUTE($O652,"~","~~"),"*","~*"),"?","~?"),'DEF_SELF_SCOUT_IMPORT'!$H$42:$H$1040,"DROPBACK")/$C652)</f>
        <v>0.0</v>
      </c>
      <c r="I652" s="14" t="str">
        <f>IF(C652=0,"",IF(C652&lt;=2,"TRACK",IF(C652=3,"LOW",IF(C652&lt;=6,"MEDIUM","HIGH"))))</f>
        <v>TRACK</v>
      </c>
      <c r="J652" s="11">
        <f>IF(C652=0,"",ROUND(D652*70+(1-E652)*20+MAX(0,MIN(1,(10-F652)/10))*10,1))</f>
        <v>25.0</v>
      </c>
      <c r="K652" s="14" t="str">
        <f>IF(C652=0,"No Evidence",IF(C652&lt;=2,IF(E652&gt;0,"Explosive Alert","Track Only"),IF(C652=3,"Sample Watch",IF(E652&gt;=START_HERE!$B$31,"Explosive Alert",IF(J652&gt;=80,"Strong Candidate",IF(J652&gt;=65,"Good Candidate",IF(J652&gt;=50,"Mixed / Review","Problem Call")))))))</f>
        <v>Track Only</v>
      </c>
      <c r="L652" s="9" t="str">
        <f>IF(COUNTIFS('DEF_SELF_SCOUT_IMPORT'!$L$42:$L$1040,"Y",'DEF_SELF_SCOUT_IMPORT'!$E$42:$E$1040,SUBSTITUTE(SUBSTITUTE(SUBSTITUTE($B652,"~","~~"),"*","~*"),"?","~?"),'DEF_SELF_SCOUT_IMPORT'!$Q$42:$Q$1040,SUBSTITUTE(SUBSTITUTE(SUBSTITUTE($M652,"~","~~"),"*","~*"),"?","~?"),'DEF_SELF_SCOUT_IMPORT'!$F$42:$F$1040,SUBSTITUTE(SUBSTITUTE(SUBSTITUTE($N652,"~","~~"),"*","~*"),"?","~?"),'DEF_SELF_SCOUT_IMPORT'!$G$42:$G$1040,SUBSTITUTE(SUBSTITUTE(SUBSTITUTE($O652,"~","~~"),"*","~*"),"?","~?"),'DEF_SELF_SCOUT_IMPORT'!$J$42:$J$1040,"")&gt;0,"Unscored clean outcome; review result tags before using score.",IF(C652=0,"No matching defensive reps; film confirmation needed.",IF(K652="Explosive Alert","Explosive risk; review clips before using as answer.",IF(C652&lt;=2,"Track only; not enough sample.",IF(C652=3,IF(E652&gt;0,"Sample watch with explosive exposure; review clips and build the sample.",IF(J652&gt;=65,"Good signal, but sample is limited.","Sample watch; review clips and build the sample.")),IF(K652="Problem Call","Problem area; practice or call-sheet review.",IF(K652="Strong Candidate","Strong call-fit candidate; confirm on film.",IF(K652="Good Candidate","Good call-fit signal; confirm on film.","Mixed signal; review fit and execution on film."))))))))</f>
        <v>Track only; not enough sample.</v>
      </c>
      <c r="M652" s="8" t="s">
        <v>70</v>
      </c>
      <c r="N652" s="8" t="s">
        <v>120</v>
      </c>
      <c r="O652" s="8" t="s">
        <v>206</v>
      </c>
      <c r="P652" s="8"/>
      <c r="Q652" s="8"/>
      <c r="R652" s="8" t="s">
        <v>28</v>
      </c>
      <c r="S652" s="2" t="s">
        <v>325</v>
      </c>
      <c r="T652" s="2">
        <f>IF(C652=0,0,IF(C652&gt;=CALL_LOOKUP_BOARD!$B$7,IF(OR(K652="Problem Call",K652="Explosive Alert"),10000000,20000000),0)+IF(C652&gt;=CALL_LOOKUP_BOARD!$B$7,J652*1000+MIN(C652,999),C652*1000+J652)+0.00993600)</f>
        <v>1025.009936</v>
      </c>
      <c r="U652" s="2">
        <f>IF(C652=0,"",IF(COUNTIFS($S$589:$S$803,SUBSTITUTE(SUBSTITUTE(SUBSTITUTE(S652,"~","~~"),"*","~*"),"?","~?"),$T$589:$T$803,"&gt;"&amp;T652)=0,S652,""))</f>
        <v/>
      </c>
    </row>
    <row r="653" spans="1:21" ht="38" customHeight="1">
      <c r="A653" s="8" t="s">
        <v>326</v>
      </c>
      <c r="B653" s="8" t="s">
        <v>35</v>
      </c>
      <c r="C653" s="12">
        <f>COUNTIFS('DEF_SELF_SCOUT_IMPORT'!$L$42:$L$1040,"Y",'DEF_SELF_SCOUT_IMPORT'!$E$42:$E$1040,SUBSTITUTE(SUBSTITUTE(SUBSTITUTE($B653,"~","~~"),"*","~*"),"?","~?"),'DEF_SELF_SCOUT_IMPORT'!$Q$42:$Q$1040,SUBSTITUTE(SUBSTITUTE(SUBSTITUTE($M653,"~","~~"),"*","~*"),"?","~?"),'DEF_SELF_SCOUT_IMPORT'!$F$42:$F$1040,SUBSTITUTE(SUBSTITUTE(SUBSTITUTE($N653,"~","~~"),"*","~*"),"?","~?"),'DEF_SELF_SCOUT_IMPORT'!$G$42:$G$1040,SUBSTITUTE(SUBSTITUTE(SUBSTITUTE($O653,"~","~~"),"*","~*"),"?","~?"))</f>
        <v>1</v>
      </c>
      <c r="D653" s="10">
        <f>IF($C653=0,"",SUMIFS('DEF_SELF_SCOUT_IMPORT'!$J$42:$J$1040,'DEF_SELF_SCOUT_IMPORT'!$L$42:$L$1040,"Y",'DEF_SELF_SCOUT_IMPORT'!$E$42:$E$1040,SUBSTITUTE(SUBSTITUTE(SUBSTITUTE($B653,"~","~~"),"*","~*"),"?","~?"),'DEF_SELF_SCOUT_IMPORT'!$Q$42:$Q$1040,SUBSTITUTE(SUBSTITUTE(SUBSTITUTE($M653,"~","~~"),"*","~*"),"?","~?"),'DEF_SELF_SCOUT_IMPORT'!$F$42:$F$1040,SUBSTITUTE(SUBSTITUTE(SUBSTITUTE($N653,"~","~~"),"*","~*"),"?","~?"),'DEF_SELF_SCOUT_IMPORT'!$G$42:$G$1040,SUBSTITUTE(SUBSTITUTE(SUBSTITUTE($O653,"~","~~"),"*","~*"),"?","~?"))/$C653)</f>
        <v>0.0</v>
      </c>
      <c r="E653" s="10">
        <f>IF($C653=0,"",SUMIFS('DEF_SELF_SCOUT_IMPORT'!$K$42:$K$1040,'DEF_SELF_SCOUT_IMPORT'!$L$42:$L$1040,"Y",'DEF_SELF_SCOUT_IMPORT'!$E$42:$E$1040,SUBSTITUTE(SUBSTITUTE(SUBSTITUTE($B653,"~","~~"),"*","~*"),"?","~?"),'DEF_SELF_SCOUT_IMPORT'!$Q$42:$Q$1040,SUBSTITUTE(SUBSTITUTE(SUBSTITUTE($M653,"~","~~"),"*","~*"),"?","~?"),'DEF_SELF_SCOUT_IMPORT'!$F$42:$F$1040,SUBSTITUTE(SUBSTITUTE(SUBSTITUTE($N653,"~","~~"),"*","~*"),"?","~?"),'DEF_SELF_SCOUT_IMPORT'!$G$42:$G$1040,SUBSTITUTE(SUBSTITUTE(SUBSTITUTE($O653,"~","~~"),"*","~*"),"?","~?"))/$C653)</f>
        <v>1.0</v>
      </c>
      <c r="F653" s="11">
        <f>IF($C653=0,"",AVERAGEIFS('DEF_SELF_SCOUT_IMPORT'!$I$42:$I$1040,'DEF_SELF_SCOUT_IMPORT'!$L$42:$L$1040,"Y",'DEF_SELF_SCOUT_IMPORT'!$E$42:$E$1040,SUBSTITUTE(SUBSTITUTE(SUBSTITUTE($B653,"~","~~"),"*","~*"),"?","~?"),'DEF_SELF_SCOUT_IMPORT'!$Q$42:$Q$1040,SUBSTITUTE(SUBSTITUTE(SUBSTITUTE($M653,"~","~~"),"*","~*"),"?","~?"),'DEF_SELF_SCOUT_IMPORT'!$F$42:$F$1040,SUBSTITUTE(SUBSTITUTE(SUBSTITUTE($N653,"~","~~"),"*","~*"),"?","~?"),'DEF_SELF_SCOUT_IMPORT'!$G$42:$G$1040,SUBSTITUTE(SUBSTITUTE(SUBSTITUTE($O653,"~","~~"),"*","~*"),"?","~?")))</f>
        <v>16.0</v>
      </c>
      <c r="G653" s="10">
        <f>IF($C653=0,"",COUNTIFS('DEF_SELF_SCOUT_IMPORT'!$L$42:$L$1040,"Y",'DEF_SELF_SCOUT_IMPORT'!$E$42:$E$1040,SUBSTITUTE(SUBSTITUTE(SUBSTITUTE($B653,"~","~~"),"*","~*"),"?","~?"),'DEF_SELF_SCOUT_IMPORT'!$Q$42:$Q$1040,SUBSTITUTE(SUBSTITUTE(SUBSTITUTE($M653,"~","~~"),"*","~*"),"?","~?"),'DEF_SELF_SCOUT_IMPORT'!$F$42:$F$1040,SUBSTITUTE(SUBSTITUTE(SUBSTITUTE($N653,"~","~~"),"*","~*"),"?","~?"),'DEF_SELF_SCOUT_IMPORT'!$G$42:$G$1040,SUBSTITUTE(SUBSTITUTE(SUBSTITUTE($O653,"~","~~"),"*","~*"),"?","~?"),'DEF_SELF_SCOUT_IMPORT'!$H$42:$H$1040,"RUSH")/$C653)</f>
        <v>1.0</v>
      </c>
      <c r="H653" s="10">
        <f>IF($C653=0,"",COUNTIFS('DEF_SELF_SCOUT_IMPORT'!$L$42:$L$1040,"Y",'DEF_SELF_SCOUT_IMPORT'!$E$42:$E$1040,SUBSTITUTE(SUBSTITUTE(SUBSTITUTE($B653,"~","~~"),"*","~*"),"?","~?"),'DEF_SELF_SCOUT_IMPORT'!$Q$42:$Q$1040,SUBSTITUTE(SUBSTITUTE(SUBSTITUTE($M653,"~","~~"),"*","~*"),"?","~?"),'DEF_SELF_SCOUT_IMPORT'!$F$42:$F$1040,SUBSTITUTE(SUBSTITUTE(SUBSTITUTE($N653,"~","~~"),"*","~*"),"?","~?"),'DEF_SELF_SCOUT_IMPORT'!$G$42:$G$1040,SUBSTITUTE(SUBSTITUTE(SUBSTITUTE($O653,"~","~~"),"*","~*"),"?","~?"),'DEF_SELF_SCOUT_IMPORT'!$H$42:$H$1040,"DROPBACK")/$C653)</f>
        <v>0.0</v>
      </c>
      <c r="I653" s="14" t="str">
        <f>IF(C653=0,"",IF(C653&lt;=2,"TRACK",IF(C653=3,"LOW",IF(C653&lt;=6,"MEDIUM","HIGH"))))</f>
        <v>TRACK</v>
      </c>
      <c r="J653" s="11">
        <f>IF(C653=0,"",ROUND(D653*70+(1-E653)*20+MAX(0,MIN(1,(10-F653)/10))*10,1))</f>
        <v>0.0</v>
      </c>
      <c r="K653" s="14" t="str">
        <f>IF(C653=0,"No Evidence",IF(C653&lt;=2,IF(E653&gt;0,"Explosive Alert","Track Only"),IF(C653=3,"Sample Watch",IF(E653&gt;=START_HERE!$B$31,"Explosive Alert",IF(J653&gt;=80,"Strong Candidate",IF(J653&gt;=65,"Good Candidate",IF(J653&gt;=50,"Mixed / Review","Problem Call")))))))</f>
        <v>Explosive Alert</v>
      </c>
      <c r="L653" s="9" t="str">
        <f>IF(COUNTIFS('DEF_SELF_SCOUT_IMPORT'!$L$42:$L$1040,"Y",'DEF_SELF_SCOUT_IMPORT'!$E$42:$E$1040,SUBSTITUTE(SUBSTITUTE(SUBSTITUTE($B653,"~","~~"),"*","~*"),"?","~?"),'DEF_SELF_SCOUT_IMPORT'!$Q$42:$Q$1040,SUBSTITUTE(SUBSTITUTE(SUBSTITUTE($M653,"~","~~"),"*","~*"),"?","~?"),'DEF_SELF_SCOUT_IMPORT'!$F$42:$F$1040,SUBSTITUTE(SUBSTITUTE(SUBSTITUTE($N653,"~","~~"),"*","~*"),"?","~?"),'DEF_SELF_SCOUT_IMPORT'!$G$42:$G$1040,SUBSTITUTE(SUBSTITUTE(SUBSTITUTE($O653,"~","~~"),"*","~*"),"?","~?"),'DEF_SELF_SCOUT_IMPORT'!$J$42:$J$1040,"")&gt;0,"Unscored clean outcome; review result tags before using score.",IF(C653=0,"No matching defensive reps; film confirmation needed.",IF(K653="Explosive Alert","Explosive risk; review clips before using as answer.",IF(C653&lt;=2,"Track only; not enough sample.",IF(C653=3,IF(E653&gt;0,"Sample watch with explosive exposure; review clips and build the sample.",IF(J653&gt;=65,"Good signal, but sample is limited.","Sample watch; review clips and build the sample.")),IF(K653="Problem Call","Problem area; practice or call-sheet review.",IF(K653="Strong Candidate","Strong call-fit candidate; confirm on film.",IF(K653="Good Candidate","Good call-fit signal; confirm on film.","Mixed signal; review fit and execution on film."))))))))</f>
        <v>Explosive risk; review clips before using as answer.</v>
      </c>
      <c r="M653" s="8" t="s">
        <v>70</v>
      </c>
      <c r="N653" s="8" t="s">
        <v>123</v>
      </c>
      <c r="O653" s="8" t="s">
        <v>203</v>
      </c>
      <c r="P653" s="8"/>
      <c r="Q653" s="8"/>
      <c r="R653" s="8" t="s">
        <v>28</v>
      </c>
      <c r="S653" s="2" t="s">
        <v>327</v>
      </c>
      <c r="T653" s="2">
        <f>IF(C653=0,0,IF(C653&gt;=CALL_LOOKUP_BOARD!$B$7,IF(OR(K653="Problem Call",K653="Explosive Alert"),10000000,20000000),0)+IF(C653&gt;=CALL_LOOKUP_BOARD!$B$7,J653*1000+MIN(C653,999),C653*1000+J653)+0.00993500)</f>
        <v>1000.009935</v>
      </c>
      <c r="U653" s="2" t="str">
        <f>IF(C653=0,"",IF(COUNTIFS($S$589:$S$803,SUBSTITUTE(SUBSTITUTE(SUBSTITUTE(S653,"~","~~"),"*","~*"),"?","~?"),$T$589:$T$803,"&gt;"&amp;T653)=0,S653,""))</f>
        <v>6:2D 1-3|2:12|3:2X2|</v>
      </c>
    </row>
    <row r="654" spans="1:21" ht="38" customHeight="1">
      <c r="A654" s="8" t="s">
        <v>328</v>
      </c>
      <c r="B654" s="8" t="s">
        <v>27</v>
      </c>
      <c r="C654" s="12">
        <f>COUNTIFS('DEF_SELF_SCOUT_IMPORT'!$L$42:$L$1040,"Y",'DEF_SELF_SCOUT_IMPORT'!$E$42:$E$1040,SUBSTITUTE(SUBSTITUTE(SUBSTITUTE($B654,"~","~~"),"*","~*"),"?","~?"),'DEF_SELF_SCOUT_IMPORT'!$Q$42:$Q$1040,SUBSTITUTE(SUBSTITUTE(SUBSTITUTE($M654,"~","~~"),"*","~*"),"?","~?"),'DEF_SELF_SCOUT_IMPORT'!$F$42:$F$1040,SUBSTITUTE(SUBSTITUTE(SUBSTITUTE($N654,"~","~~"),"*","~*"),"?","~?"),'DEF_SELF_SCOUT_IMPORT'!$G$42:$G$1040,SUBSTITUTE(SUBSTITUTE(SUBSTITUTE($O654,"~","~~"),"*","~*"),"?","~?"))</f>
        <v>1</v>
      </c>
      <c r="D654" s="10">
        <f>IF($C654=0,"",SUMIFS('DEF_SELF_SCOUT_IMPORT'!$J$42:$J$1040,'DEF_SELF_SCOUT_IMPORT'!$L$42:$L$1040,"Y",'DEF_SELF_SCOUT_IMPORT'!$E$42:$E$1040,SUBSTITUTE(SUBSTITUTE(SUBSTITUTE($B654,"~","~~"),"*","~*"),"?","~?"),'DEF_SELF_SCOUT_IMPORT'!$Q$42:$Q$1040,SUBSTITUTE(SUBSTITUTE(SUBSTITUTE($M654,"~","~~"),"*","~*"),"?","~?"),'DEF_SELF_SCOUT_IMPORT'!$F$42:$F$1040,SUBSTITUTE(SUBSTITUTE(SUBSTITUTE($N654,"~","~~"),"*","~*"),"?","~?"),'DEF_SELF_SCOUT_IMPORT'!$G$42:$G$1040,SUBSTITUTE(SUBSTITUTE(SUBSTITUTE($O654,"~","~~"),"*","~*"),"?","~?"))/$C654)</f>
        <v>0.0</v>
      </c>
      <c r="E654" s="10">
        <f>IF($C654=0,"",SUMIFS('DEF_SELF_SCOUT_IMPORT'!$K$42:$K$1040,'DEF_SELF_SCOUT_IMPORT'!$L$42:$L$1040,"Y",'DEF_SELF_SCOUT_IMPORT'!$E$42:$E$1040,SUBSTITUTE(SUBSTITUTE(SUBSTITUTE($B654,"~","~~"),"*","~*"),"?","~?"),'DEF_SELF_SCOUT_IMPORT'!$Q$42:$Q$1040,SUBSTITUTE(SUBSTITUTE(SUBSTITUTE($M654,"~","~~"),"*","~*"),"?","~?"),'DEF_SELF_SCOUT_IMPORT'!$F$42:$F$1040,SUBSTITUTE(SUBSTITUTE(SUBSTITUTE($N654,"~","~~"),"*","~*"),"?","~?"),'DEF_SELF_SCOUT_IMPORT'!$G$42:$G$1040,SUBSTITUTE(SUBSTITUTE(SUBSTITUTE($O654,"~","~~"),"*","~*"),"?","~?"))/$C654)</f>
        <v>0.0</v>
      </c>
      <c r="F654" s="11">
        <f>IF($C654=0,"",AVERAGEIFS('DEF_SELF_SCOUT_IMPORT'!$I$42:$I$1040,'DEF_SELF_SCOUT_IMPORT'!$L$42:$L$1040,"Y",'DEF_SELF_SCOUT_IMPORT'!$E$42:$E$1040,SUBSTITUTE(SUBSTITUTE(SUBSTITUTE($B654,"~","~~"),"*","~*"),"?","~?"),'DEF_SELF_SCOUT_IMPORT'!$Q$42:$Q$1040,SUBSTITUTE(SUBSTITUTE(SUBSTITUTE($M654,"~","~~"),"*","~*"),"?","~?"),'DEF_SELF_SCOUT_IMPORT'!$F$42:$F$1040,SUBSTITUTE(SUBSTITUTE(SUBSTITUTE($N654,"~","~~"),"*","~*"),"?","~?"),'DEF_SELF_SCOUT_IMPORT'!$G$42:$G$1040,SUBSTITUTE(SUBSTITUTE(SUBSTITUTE($O654,"~","~~"),"*","~*"),"?","~?")))</f>
        <v>1.0</v>
      </c>
      <c r="G654" s="10">
        <f>IF($C654=0,"",COUNTIFS('DEF_SELF_SCOUT_IMPORT'!$L$42:$L$1040,"Y",'DEF_SELF_SCOUT_IMPORT'!$E$42:$E$1040,SUBSTITUTE(SUBSTITUTE(SUBSTITUTE($B654,"~","~~"),"*","~*"),"?","~?"),'DEF_SELF_SCOUT_IMPORT'!$Q$42:$Q$1040,SUBSTITUTE(SUBSTITUTE(SUBSTITUTE($M654,"~","~~"),"*","~*"),"?","~?"),'DEF_SELF_SCOUT_IMPORT'!$F$42:$F$1040,SUBSTITUTE(SUBSTITUTE(SUBSTITUTE($N654,"~","~~"),"*","~*"),"?","~?"),'DEF_SELF_SCOUT_IMPORT'!$G$42:$G$1040,SUBSTITUTE(SUBSTITUTE(SUBSTITUTE($O654,"~","~~"),"*","~*"),"?","~?"),'DEF_SELF_SCOUT_IMPORT'!$H$42:$H$1040,"RUSH")/$C654)</f>
        <v>0.0</v>
      </c>
      <c r="H654" s="10">
        <f>IF($C654=0,"",COUNTIFS('DEF_SELF_SCOUT_IMPORT'!$L$42:$L$1040,"Y",'DEF_SELF_SCOUT_IMPORT'!$E$42:$E$1040,SUBSTITUTE(SUBSTITUTE(SUBSTITUTE($B654,"~","~~"),"*","~*"),"?","~?"),'DEF_SELF_SCOUT_IMPORT'!$Q$42:$Q$1040,SUBSTITUTE(SUBSTITUTE(SUBSTITUTE($M654,"~","~~"),"*","~*"),"?","~?"),'DEF_SELF_SCOUT_IMPORT'!$F$42:$F$1040,SUBSTITUTE(SUBSTITUTE(SUBSTITUTE($N654,"~","~~"),"*","~*"),"?","~?"),'DEF_SELF_SCOUT_IMPORT'!$G$42:$G$1040,SUBSTITUTE(SUBSTITUTE(SUBSTITUTE($O654,"~","~~"),"*","~*"),"?","~?"),'DEF_SELF_SCOUT_IMPORT'!$H$42:$H$1040,"DROPBACK")/$C654)</f>
        <v>0.0</v>
      </c>
      <c r="I654" s="14" t="str">
        <f>IF(C654=0,"",IF(C654&lt;=2,"TRACK",IF(C654=3,"LOW",IF(C654&lt;=6,"MEDIUM","HIGH"))))</f>
        <v>TRACK</v>
      </c>
      <c r="J654" s="11">
        <f>IF(C654=0,"",ROUND(D654*70+(1-E654)*20+MAX(0,MIN(1,(10-F654)/10))*10,1))</f>
        <v>29.0</v>
      </c>
      <c r="K654" s="14" t="str">
        <f>IF(C654=0,"No Evidence",IF(C654&lt;=2,IF(E654&gt;0,"Explosive Alert","Track Only"),IF(C654=3,"Sample Watch",IF(E654&gt;=START_HERE!$B$31,"Explosive Alert",IF(J654&gt;=80,"Strong Candidate",IF(J654&gt;=65,"Good Candidate",IF(J654&gt;=50,"Mixed / Review","Problem Call")))))))</f>
        <v>Track Only</v>
      </c>
      <c r="L654" s="9" t="str">
        <f>IF(COUNTIFS('DEF_SELF_SCOUT_IMPORT'!$L$42:$L$1040,"Y",'DEF_SELF_SCOUT_IMPORT'!$E$42:$E$1040,SUBSTITUTE(SUBSTITUTE(SUBSTITUTE($B654,"~","~~"),"*","~*"),"?","~?"),'DEF_SELF_SCOUT_IMPORT'!$Q$42:$Q$1040,SUBSTITUTE(SUBSTITUTE(SUBSTITUTE($M654,"~","~~"),"*","~*"),"?","~?"),'DEF_SELF_SCOUT_IMPORT'!$F$42:$F$1040,SUBSTITUTE(SUBSTITUTE(SUBSTITUTE($N654,"~","~~"),"*","~*"),"?","~?"),'DEF_SELF_SCOUT_IMPORT'!$G$42:$G$1040,SUBSTITUTE(SUBSTITUTE(SUBSTITUTE($O654,"~","~~"),"*","~*"),"?","~?"),'DEF_SELF_SCOUT_IMPORT'!$J$42:$J$1040,"")&gt;0,"Unscored clean outcome; review result tags before using score.",IF(C654=0,"No matching defensive reps; film confirmation needed.",IF(K654="Explosive Alert","Explosive risk; review clips before using as answer.",IF(C654&lt;=2,"Track only; not enough sample.",IF(C654=3,IF(E654&gt;0,"Sample watch with explosive exposure; review clips and build the sample.",IF(J654&gt;=65,"Good signal, but sample is limited.","Sample watch; review clips and build the sample.")),IF(K654="Problem Call","Problem area; practice or call-sheet review.",IF(K654="Strong Candidate","Strong call-fit candidate; confirm on film.",IF(K654="Good Candidate","Good call-fit signal; confirm on film.","Mixed signal; review fit and execution on film."))))))))</f>
        <v>Track only; not enough sample.</v>
      </c>
      <c r="M654" s="8" t="s">
        <v>70</v>
      </c>
      <c r="N654" s="8" t="s">
        <v>123</v>
      </c>
      <c r="O654" s="8" t="s">
        <v>206</v>
      </c>
      <c r="P654" s="8"/>
      <c r="Q654" s="8"/>
      <c r="R654" s="8" t="s">
        <v>28</v>
      </c>
      <c r="S654" s="2" t="s">
        <v>329</v>
      </c>
      <c r="T654" s="2">
        <f>IF(C654=0,0,IF(C654&gt;=CALL_LOOKUP_BOARD!$B$7,IF(OR(K654="Problem Call",K654="Explosive Alert"),10000000,20000000),0)+IF(C654&gt;=CALL_LOOKUP_BOARD!$B$7,J654*1000+MIN(C654,999),C654*1000+J654)+0.00993400)</f>
        <v>1029.009934</v>
      </c>
      <c r="U654" s="2" t="str">
        <f>IF(C654=0,"",IF(COUNTIFS($S$589:$S$803,SUBSTITUTE(SUBSTITUTE(SUBSTITUTE(S654,"~","~~"),"*","~*"),"?","~?"),$T$589:$T$803,"&gt;"&amp;T654)=0,S654,""))</f>
        <v>6:2D 1-3|2:12|3:3X1|</v>
      </c>
    </row>
    <row r="655" spans="1:21" ht="38" customHeight="1">
      <c r="A655" s="8" t="s">
        <v>330</v>
      </c>
      <c r="B655" s="8" t="s">
        <v>30</v>
      </c>
      <c r="C655" s="12">
        <f>COUNTIFS('DEF_SELF_SCOUT_IMPORT'!$L$42:$L$1040,"Y",'DEF_SELF_SCOUT_IMPORT'!$E$42:$E$1040,SUBSTITUTE(SUBSTITUTE(SUBSTITUTE($B655,"~","~~"),"*","~*"),"?","~?"),'DEF_SELF_SCOUT_IMPORT'!$Q$42:$Q$1040,SUBSTITUTE(SUBSTITUTE(SUBSTITUTE($M655,"~","~~"),"*","~*"),"?","~?"),'DEF_SELF_SCOUT_IMPORT'!$F$42:$F$1040,SUBSTITUTE(SUBSTITUTE(SUBSTITUTE($N655,"~","~~"),"*","~*"),"?","~?"),'DEF_SELF_SCOUT_IMPORT'!$G$42:$G$1040,SUBSTITUTE(SUBSTITUTE(SUBSTITUTE($O655,"~","~~"),"*","~*"),"?","~?"))</f>
        <v>1</v>
      </c>
      <c r="D655" s="10">
        <f>IF($C655=0,"",SUMIFS('DEF_SELF_SCOUT_IMPORT'!$J$42:$J$1040,'DEF_SELF_SCOUT_IMPORT'!$L$42:$L$1040,"Y",'DEF_SELF_SCOUT_IMPORT'!$E$42:$E$1040,SUBSTITUTE(SUBSTITUTE(SUBSTITUTE($B655,"~","~~"),"*","~*"),"?","~?"),'DEF_SELF_SCOUT_IMPORT'!$Q$42:$Q$1040,SUBSTITUTE(SUBSTITUTE(SUBSTITUTE($M655,"~","~~"),"*","~*"),"?","~?"),'DEF_SELF_SCOUT_IMPORT'!$F$42:$F$1040,SUBSTITUTE(SUBSTITUTE(SUBSTITUTE($N655,"~","~~"),"*","~*"),"?","~?"),'DEF_SELF_SCOUT_IMPORT'!$G$42:$G$1040,SUBSTITUTE(SUBSTITUTE(SUBSTITUTE($O655,"~","~~"),"*","~*"),"?","~?"))/$C655)</f>
        <v>0.0</v>
      </c>
      <c r="E655" s="10">
        <f>IF($C655=0,"",SUMIFS('DEF_SELF_SCOUT_IMPORT'!$K$42:$K$1040,'DEF_SELF_SCOUT_IMPORT'!$L$42:$L$1040,"Y",'DEF_SELF_SCOUT_IMPORT'!$E$42:$E$1040,SUBSTITUTE(SUBSTITUTE(SUBSTITUTE($B655,"~","~~"),"*","~*"),"?","~?"),'DEF_SELF_SCOUT_IMPORT'!$Q$42:$Q$1040,SUBSTITUTE(SUBSTITUTE(SUBSTITUTE($M655,"~","~~"),"*","~*"),"?","~?"),'DEF_SELF_SCOUT_IMPORT'!$F$42:$F$1040,SUBSTITUTE(SUBSTITUTE(SUBSTITUTE($N655,"~","~~"),"*","~*"),"?","~?"),'DEF_SELF_SCOUT_IMPORT'!$G$42:$G$1040,SUBSTITUTE(SUBSTITUTE(SUBSTITUTE($O655,"~","~~"),"*","~*"),"?","~?"))/$C655)</f>
        <v>0.0</v>
      </c>
      <c r="F655" s="11">
        <f>IF($C655=0,"",AVERAGEIFS('DEF_SELF_SCOUT_IMPORT'!$I$42:$I$1040,'DEF_SELF_SCOUT_IMPORT'!$L$42:$L$1040,"Y",'DEF_SELF_SCOUT_IMPORT'!$E$42:$E$1040,SUBSTITUTE(SUBSTITUTE(SUBSTITUTE($B655,"~","~~"),"*","~*"),"?","~?"),'DEF_SELF_SCOUT_IMPORT'!$Q$42:$Q$1040,SUBSTITUTE(SUBSTITUTE(SUBSTITUTE($M655,"~","~~"),"*","~*"),"?","~?"),'DEF_SELF_SCOUT_IMPORT'!$F$42:$F$1040,SUBSTITUTE(SUBSTITUTE(SUBSTITUTE($N655,"~","~~"),"*","~*"),"?","~?"),'DEF_SELF_SCOUT_IMPORT'!$G$42:$G$1040,SUBSTITUTE(SUBSTITUTE(SUBSTITUTE($O655,"~","~~"),"*","~*"),"?","~?")))</f>
        <v>1.0</v>
      </c>
      <c r="G655" s="10">
        <f>IF($C655=0,"",COUNTIFS('DEF_SELF_SCOUT_IMPORT'!$L$42:$L$1040,"Y",'DEF_SELF_SCOUT_IMPORT'!$E$42:$E$1040,SUBSTITUTE(SUBSTITUTE(SUBSTITUTE($B655,"~","~~"),"*","~*"),"?","~?"),'DEF_SELF_SCOUT_IMPORT'!$Q$42:$Q$1040,SUBSTITUTE(SUBSTITUTE(SUBSTITUTE($M655,"~","~~"),"*","~*"),"?","~?"),'DEF_SELF_SCOUT_IMPORT'!$F$42:$F$1040,SUBSTITUTE(SUBSTITUTE(SUBSTITUTE($N655,"~","~~"),"*","~*"),"?","~?"),'DEF_SELF_SCOUT_IMPORT'!$G$42:$G$1040,SUBSTITUTE(SUBSTITUTE(SUBSTITUTE($O655,"~","~~"),"*","~*"),"?","~?"),'DEF_SELF_SCOUT_IMPORT'!$H$42:$H$1040,"RUSH")/$C655)</f>
        <v>0.0</v>
      </c>
      <c r="H655" s="10">
        <f>IF($C655=0,"",COUNTIFS('DEF_SELF_SCOUT_IMPORT'!$L$42:$L$1040,"Y",'DEF_SELF_SCOUT_IMPORT'!$E$42:$E$1040,SUBSTITUTE(SUBSTITUTE(SUBSTITUTE($B655,"~","~~"),"*","~*"),"?","~?"),'DEF_SELF_SCOUT_IMPORT'!$Q$42:$Q$1040,SUBSTITUTE(SUBSTITUTE(SUBSTITUTE($M655,"~","~~"),"*","~*"),"?","~?"),'DEF_SELF_SCOUT_IMPORT'!$F$42:$F$1040,SUBSTITUTE(SUBSTITUTE(SUBSTITUTE($N655,"~","~~"),"*","~*"),"?","~?"),'DEF_SELF_SCOUT_IMPORT'!$G$42:$G$1040,SUBSTITUTE(SUBSTITUTE(SUBSTITUTE($O655,"~","~~"),"*","~*"),"?","~?"),'DEF_SELF_SCOUT_IMPORT'!$H$42:$H$1040,"DROPBACK")/$C655)</f>
        <v>0.0</v>
      </c>
      <c r="I655" s="14" t="str">
        <f>IF(C655=0,"",IF(C655&lt;=2,"TRACK",IF(C655=3,"LOW",IF(C655&lt;=6,"MEDIUM","HIGH"))))</f>
        <v>TRACK</v>
      </c>
      <c r="J655" s="11">
        <f>IF(C655=0,"",ROUND(D655*70+(1-E655)*20+MAX(0,MIN(1,(10-F655)/10))*10,1))</f>
        <v>29.0</v>
      </c>
      <c r="K655" s="14" t="str">
        <f>IF(C655=0,"No Evidence",IF(C655&lt;=2,IF(E655&gt;0,"Explosive Alert","Track Only"),IF(C655=3,"Sample Watch",IF(E655&gt;=START_HERE!$B$31,"Explosive Alert",IF(J655&gt;=80,"Strong Candidate",IF(J655&gt;=65,"Good Candidate",IF(J655&gt;=50,"Mixed / Review","Problem Call")))))))</f>
        <v>Track Only</v>
      </c>
      <c r="L655" s="9" t="str">
        <f>IF(COUNTIFS('DEF_SELF_SCOUT_IMPORT'!$L$42:$L$1040,"Y",'DEF_SELF_SCOUT_IMPORT'!$E$42:$E$1040,SUBSTITUTE(SUBSTITUTE(SUBSTITUTE($B655,"~","~~"),"*","~*"),"?","~?"),'DEF_SELF_SCOUT_IMPORT'!$Q$42:$Q$1040,SUBSTITUTE(SUBSTITUTE(SUBSTITUTE($M655,"~","~~"),"*","~*"),"?","~?"),'DEF_SELF_SCOUT_IMPORT'!$F$42:$F$1040,SUBSTITUTE(SUBSTITUTE(SUBSTITUTE($N655,"~","~~"),"*","~*"),"?","~?"),'DEF_SELF_SCOUT_IMPORT'!$G$42:$G$1040,SUBSTITUTE(SUBSTITUTE(SUBSTITUTE($O655,"~","~~"),"*","~*"),"?","~?"),'DEF_SELF_SCOUT_IMPORT'!$J$42:$J$1040,"")&gt;0,"Unscored clean outcome; review result tags before using score.",IF(C655=0,"No matching defensive reps; film confirmation needed.",IF(K655="Explosive Alert","Explosive risk; review clips before using as answer.",IF(C655&lt;=2,"Track only; not enough sample.",IF(C655=3,IF(E655&gt;0,"Sample watch with explosive exposure; review clips and build the sample.",IF(J655&gt;=65,"Good signal, but sample is limited.","Sample watch; review clips and build the sample.")),IF(K655="Problem Call","Problem area; practice or call-sheet review.",IF(K655="Strong Candidate","Strong call-fit candidate; confirm on film.",IF(K655="Good Candidate","Good call-fit signal; confirm on film.","Mixed signal; review fit and execution on film."))))))))</f>
        <v>Track only; not enough sample.</v>
      </c>
      <c r="M655" s="8" t="s">
        <v>70</v>
      </c>
      <c r="N655" s="8" t="s">
        <v>145</v>
      </c>
      <c r="O655" s="8" t="s">
        <v>203</v>
      </c>
      <c r="P655" s="8"/>
      <c r="Q655" s="8"/>
      <c r="R655" s="8" t="s">
        <v>28</v>
      </c>
      <c r="S655" s="2" t="s">
        <v>331</v>
      </c>
      <c r="T655" s="2">
        <f>IF(C655=0,0,IF(C655&gt;=CALL_LOOKUP_BOARD!$B$7,IF(OR(K655="Problem Call",K655="Explosive Alert"),10000000,20000000),0)+IF(C655&gt;=CALL_LOOKUP_BOARD!$B$7,J655*1000+MIN(C655,999),C655*1000+J655)+0.00993300)</f>
        <v>1029.009933</v>
      </c>
      <c r="U655" s="2" t="str">
        <f>IF(C655=0,"",IF(COUNTIFS($S$589:$S$803,SUBSTITUTE(SUBSTITUTE(SUBSTITUTE(S655,"~","~~"),"*","~*"),"?","~?"),$T$589:$T$803,"&gt;"&amp;T655)=0,S655,""))</f>
        <v>6:2D 1-3|2:22|3:2X2|</v>
      </c>
    </row>
    <row r="656" spans="1:21" ht="38" customHeight="1">
      <c r="A656" s="8" t="s">
        <v>332</v>
      </c>
      <c r="B656" s="8" t="s">
        <v>46</v>
      </c>
      <c r="C656" s="12">
        <f>COUNTIFS('DEF_SELF_SCOUT_IMPORT'!$L$42:$L$1040,"Y",'DEF_SELF_SCOUT_IMPORT'!$E$42:$E$1040,SUBSTITUTE(SUBSTITUTE(SUBSTITUTE($B656,"~","~~"),"*","~*"),"?","~?"),'DEF_SELF_SCOUT_IMPORT'!$Q$42:$Q$1040,SUBSTITUTE(SUBSTITUTE(SUBSTITUTE($M656,"~","~~"),"*","~*"),"?","~?"),'DEF_SELF_SCOUT_IMPORT'!$F$42:$F$1040,SUBSTITUTE(SUBSTITUTE(SUBSTITUTE($N656,"~","~~"),"*","~*"),"?","~?"),'DEF_SELF_SCOUT_IMPORT'!$G$42:$G$1040,SUBSTITUTE(SUBSTITUTE(SUBSTITUTE($O656,"~","~~"),"*","~*"),"?","~?"))</f>
        <v>1</v>
      </c>
      <c r="D656" s="10">
        <f>IF($C656=0,"",SUMIFS('DEF_SELF_SCOUT_IMPORT'!$J$42:$J$1040,'DEF_SELF_SCOUT_IMPORT'!$L$42:$L$1040,"Y",'DEF_SELF_SCOUT_IMPORT'!$E$42:$E$1040,SUBSTITUTE(SUBSTITUTE(SUBSTITUTE($B656,"~","~~"),"*","~*"),"?","~?"),'DEF_SELF_SCOUT_IMPORT'!$Q$42:$Q$1040,SUBSTITUTE(SUBSTITUTE(SUBSTITUTE($M656,"~","~~"),"*","~*"),"?","~?"),'DEF_SELF_SCOUT_IMPORT'!$F$42:$F$1040,SUBSTITUTE(SUBSTITUTE(SUBSTITUTE($N656,"~","~~"),"*","~*"),"?","~?"),'DEF_SELF_SCOUT_IMPORT'!$G$42:$G$1040,SUBSTITUTE(SUBSTITUTE(SUBSTITUTE($O656,"~","~~"),"*","~*"),"?","~?"))/$C656)</f>
        <v>1.0</v>
      </c>
      <c r="E656" s="10">
        <f>IF($C656=0,"",SUMIFS('DEF_SELF_SCOUT_IMPORT'!$K$42:$K$1040,'DEF_SELF_SCOUT_IMPORT'!$L$42:$L$1040,"Y",'DEF_SELF_SCOUT_IMPORT'!$E$42:$E$1040,SUBSTITUTE(SUBSTITUTE(SUBSTITUTE($B656,"~","~~"),"*","~*"),"?","~?"),'DEF_SELF_SCOUT_IMPORT'!$Q$42:$Q$1040,SUBSTITUTE(SUBSTITUTE(SUBSTITUTE($M656,"~","~~"),"*","~*"),"?","~?"),'DEF_SELF_SCOUT_IMPORT'!$F$42:$F$1040,SUBSTITUTE(SUBSTITUTE(SUBSTITUTE($N656,"~","~~"),"*","~*"),"?","~?"),'DEF_SELF_SCOUT_IMPORT'!$G$42:$G$1040,SUBSTITUTE(SUBSTITUTE(SUBSTITUTE($O656,"~","~~"),"*","~*"),"?","~?"))/$C656)</f>
        <v>0.0</v>
      </c>
      <c r="F656" s="11">
        <f>IF($C656=0,"",AVERAGEIFS('DEF_SELF_SCOUT_IMPORT'!$I$42:$I$1040,'DEF_SELF_SCOUT_IMPORT'!$L$42:$L$1040,"Y",'DEF_SELF_SCOUT_IMPORT'!$E$42:$E$1040,SUBSTITUTE(SUBSTITUTE(SUBSTITUTE($B656,"~","~~"),"*","~*"),"?","~?"),'DEF_SELF_SCOUT_IMPORT'!$Q$42:$Q$1040,SUBSTITUTE(SUBSTITUTE(SUBSTITUTE($M656,"~","~~"),"*","~*"),"?","~?"),'DEF_SELF_SCOUT_IMPORT'!$F$42:$F$1040,SUBSTITUTE(SUBSTITUTE(SUBSTITUTE($N656,"~","~~"),"*","~*"),"?","~?"),'DEF_SELF_SCOUT_IMPORT'!$G$42:$G$1040,SUBSTITUTE(SUBSTITUTE(SUBSTITUTE($O656,"~","~~"),"*","~*"),"?","~?")))</f>
        <v>-2.0</v>
      </c>
      <c r="G656" s="10">
        <f>IF($C656=0,"",COUNTIFS('DEF_SELF_SCOUT_IMPORT'!$L$42:$L$1040,"Y",'DEF_SELF_SCOUT_IMPORT'!$E$42:$E$1040,SUBSTITUTE(SUBSTITUTE(SUBSTITUTE($B656,"~","~~"),"*","~*"),"?","~?"),'DEF_SELF_SCOUT_IMPORT'!$Q$42:$Q$1040,SUBSTITUTE(SUBSTITUTE(SUBSTITUTE($M656,"~","~~"),"*","~*"),"?","~?"),'DEF_SELF_SCOUT_IMPORT'!$F$42:$F$1040,SUBSTITUTE(SUBSTITUTE(SUBSTITUTE($N656,"~","~~"),"*","~*"),"?","~?"),'DEF_SELF_SCOUT_IMPORT'!$G$42:$G$1040,SUBSTITUTE(SUBSTITUTE(SUBSTITUTE($O656,"~","~~"),"*","~*"),"?","~?"),'DEF_SELF_SCOUT_IMPORT'!$H$42:$H$1040,"RUSH")/$C656)</f>
        <v>0.0</v>
      </c>
      <c r="H656" s="10">
        <f>IF($C656=0,"",COUNTIFS('DEF_SELF_SCOUT_IMPORT'!$L$42:$L$1040,"Y",'DEF_SELF_SCOUT_IMPORT'!$E$42:$E$1040,SUBSTITUTE(SUBSTITUTE(SUBSTITUTE($B656,"~","~~"),"*","~*"),"?","~?"),'DEF_SELF_SCOUT_IMPORT'!$Q$42:$Q$1040,SUBSTITUTE(SUBSTITUTE(SUBSTITUTE($M656,"~","~~"),"*","~*"),"?","~?"),'DEF_SELF_SCOUT_IMPORT'!$F$42:$F$1040,SUBSTITUTE(SUBSTITUTE(SUBSTITUTE($N656,"~","~~"),"*","~*"),"?","~?"),'DEF_SELF_SCOUT_IMPORT'!$G$42:$G$1040,SUBSTITUTE(SUBSTITUTE(SUBSTITUTE($O656,"~","~~"),"*","~*"),"?","~?"),'DEF_SELF_SCOUT_IMPORT'!$H$42:$H$1040,"DROPBACK")/$C656)</f>
        <v>1.0</v>
      </c>
      <c r="I656" s="14" t="str">
        <f>IF(C656=0,"",IF(C656&lt;=2,"TRACK",IF(C656=3,"LOW",IF(C656&lt;=6,"MEDIUM","HIGH"))))</f>
        <v>TRACK</v>
      </c>
      <c r="J656" s="11">
        <f>IF(C656=0,"",ROUND(D656*70+(1-E656)*20+MAX(0,MIN(1,(10-F656)/10))*10,1))</f>
        <v>100.0</v>
      </c>
      <c r="K656" s="14" t="str">
        <f>IF(C656=0,"No Evidence",IF(C656&lt;=2,IF(E656&gt;0,"Explosive Alert","Track Only"),IF(C656=3,"Sample Watch",IF(E656&gt;=START_HERE!$B$31,"Explosive Alert",IF(J656&gt;=80,"Strong Candidate",IF(J656&gt;=65,"Good Candidate",IF(J656&gt;=50,"Mixed / Review","Problem Call")))))))</f>
        <v>Track Only</v>
      </c>
      <c r="L656" s="9" t="str">
        <f>IF(COUNTIFS('DEF_SELF_SCOUT_IMPORT'!$L$42:$L$1040,"Y",'DEF_SELF_SCOUT_IMPORT'!$E$42:$E$1040,SUBSTITUTE(SUBSTITUTE(SUBSTITUTE($B656,"~","~~"),"*","~*"),"?","~?"),'DEF_SELF_SCOUT_IMPORT'!$Q$42:$Q$1040,SUBSTITUTE(SUBSTITUTE(SUBSTITUTE($M656,"~","~~"),"*","~*"),"?","~?"),'DEF_SELF_SCOUT_IMPORT'!$F$42:$F$1040,SUBSTITUTE(SUBSTITUTE(SUBSTITUTE($N656,"~","~~"),"*","~*"),"?","~?"),'DEF_SELF_SCOUT_IMPORT'!$G$42:$G$1040,SUBSTITUTE(SUBSTITUTE(SUBSTITUTE($O656,"~","~~"),"*","~*"),"?","~?"),'DEF_SELF_SCOUT_IMPORT'!$J$42:$J$1040,"")&gt;0,"Unscored clean outcome; review result tags before using score.",IF(C656=0,"No matching defensive reps; film confirmation needed.",IF(K656="Explosive Alert","Explosive risk; review clips before using as answer.",IF(C656&lt;=2,"Track only; not enough sample.",IF(C656=3,IF(E656&gt;0,"Sample watch with explosive exposure; review clips and build the sample.",IF(J656&gt;=65,"Good signal, but sample is limited.","Sample watch; review clips and build the sample.")),IF(K656="Problem Call","Problem area; practice or call-sheet review.",IF(K656="Strong Candidate","Strong call-fit candidate; confirm on film.",IF(K656="Good Candidate","Good call-fit signal; confirm on film.","Mixed signal; review fit and execution on film."))))))))</f>
        <v>Track only; not enough sample.</v>
      </c>
      <c r="M656" s="8" t="s">
        <v>76</v>
      </c>
      <c r="N656" s="8" t="s">
        <v>120</v>
      </c>
      <c r="O656" s="8" t="s">
        <v>203</v>
      </c>
      <c r="P656" s="8"/>
      <c r="Q656" s="8"/>
      <c r="R656" s="8" t="s">
        <v>28</v>
      </c>
      <c r="S656" s="2" t="s">
        <v>333</v>
      </c>
      <c r="T656" s="2">
        <f>IF(C656=0,0,IF(C656&gt;=CALL_LOOKUP_BOARD!$B$7,IF(OR(K656="Problem Call",K656="Explosive Alert"),10000000,20000000),0)+IF(C656&gt;=CALL_LOOKUP_BOARD!$B$7,J656*1000+MIN(C656,999),C656*1000+J656)+0.00993200)</f>
        <v>1100.009932</v>
      </c>
      <c r="U656" s="2" t="str">
        <f>IF(C656=0,"",IF(COUNTIFS($S$589:$S$803,SUBSTITUTE(SUBSTITUTE(SUBSTITUTE(S656,"~","~~"),"*","~*"),"?","~?"),$T$589:$T$803,"&gt;"&amp;T656)=0,S656,""))</f>
        <v>6:2D 11+|2:11|3:2X2|</v>
      </c>
    </row>
    <row r="657" spans="1:21" ht="38" customHeight="1">
      <c r="A657" s="8" t="s">
        <v>332</v>
      </c>
      <c r="B657" s="8" t="s">
        <v>79</v>
      </c>
      <c r="C657" s="12">
        <f>COUNTIFS('DEF_SELF_SCOUT_IMPORT'!$L$42:$L$1040,"Y",'DEF_SELF_SCOUT_IMPORT'!$E$42:$E$1040,SUBSTITUTE(SUBSTITUTE(SUBSTITUTE($B657,"~","~~"),"*","~*"),"?","~?"),'DEF_SELF_SCOUT_IMPORT'!$Q$42:$Q$1040,SUBSTITUTE(SUBSTITUTE(SUBSTITUTE($M657,"~","~~"),"*","~*"),"?","~?"),'DEF_SELF_SCOUT_IMPORT'!$F$42:$F$1040,SUBSTITUTE(SUBSTITUTE(SUBSTITUTE($N657,"~","~~"),"*","~*"),"?","~?"),'DEF_SELF_SCOUT_IMPORT'!$G$42:$G$1040,SUBSTITUTE(SUBSTITUTE(SUBSTITUTE($O657,"~","~~"),"*","~*"),"?","~?"))</f>
        <v>1</v>
      </c>
      <c r="D657" s="10">
        <f>IF($C657=0,"",SUMIFS('DEF_SELF_SCOUT_IMPORT'!$J$42:$J$1040,'DEF_SELF_SCOUT_IMPORT'!$L$42:$L$1040,"Y",'DEF_SELF_SCOUT_IMPORT'!$E$42:$E$1040,SUBSTITUTE(SUBSTITUTE(SUBSTITUTE($B657,"~","~~"),"*","~*"),"?","~?"),'DEF_SELF_SCOUT_IMPORT'!$Q$42:$Q$1040,SUBSTITUTE(SUBSTITUTE(SUBSTITUTE($M657,"~","~~"),"*","~*"),"?","~?"),'DEF_SELF_SCOUT_IMPORT'!$F$42:$F$1040,SUBSTITUTE(SUBSTITUTE(SUBSTITUTE($N657,"~","~~"),"*","~*"),"?","~?"),'DEF_SELF_SCOUT_IMPORT'!$G$42:$G$1040,SUBSTITUTE(SUBSTITUTE(SUBSTITUTE($O657,"~","~~"),"*","~*"),"?","~?"))/$C657)</f>
        <v>0.0</v>
      </c>
      <c r="E657" s="10">
        <f>IF($C657=0,"",SUMIFS('DEF_SELF_SCOUT_IMPORT'!$K$42:$K$1040,'DEF_SELF_SCOUT_IMPORT'!$L$42:$L$1040,"Y",'DEF_SELF_SCOUT_IMPORT'!$E$42:$E$1040,SUBSTITUTE(SUBSTITUTE(SUBSTITUTE($B657,"~","~~"),"*","~*"),"?","~?"),'DEF_SELF_SCOUT_IMPORT'!$Q$42:$Q$1040,SUBSTITUTE(SUBSTITUTE(SUBSTITUTE($M657,"~","~~"),"*","~*"),"?","~?"),'DEF_SELF_SCOUT_IMPORT'!$F$42:$F$1040,SUBSTITUTE(SUBSTITUTE(SUBSTITUTE($N657,"~","~~"),"*","~*"),"?","~?"),'DEF_SELF_SCOUT_IMPORT'!$G$42:$G$1040,SUBSTITUTE(SUBSTITUTE(SUBSTITUTE($O657,"~","~~"),"*","~*"),"?","~?"))/$C657)</f>
        <v>1.0</v>
      </c>
      <c r="F657" s="11">
        <f>IF($C657=0,"",AVERAGEIFS('DEF_SELF_SCOUT_IMPORT'!$I$42:$I$1040,'DEF_SELF_SCOUT_IMPORT'!$L$42:$L$1040,"Y",'DEF_SELF_SCOUT_IMPORT'!$E$42:$E$1040,SUBSTITUTE(SUBSTITUTE(SUBSTITUTE($B657,"~","~~"),"*","~*"),"?","~?"),'DEF_SELF_SCOUT_IMPORT'!$Q$42:$Q$1040,SUBSTITUTE(SUBSTITUTE(SUBSTITUTE($M657,"~","~~"),"*","~*"),"?","~?"),'DEF_SELF_SCOUT_IMPORT'!$F$42:$F$1040,SUBSTITUTE(SUBSTITUTE(SUBSTITUTE($N657,"~","~~"),"*","~*"),"?","~?"),'DEF_SELF_SCOUT_IMPORT'!$G$42:$G$1040,SUBSTITUTE(SUBSTITUTE(SUBSTITUTE($O657,"~","~~"),"*","~*"),"?","~?")))</f>
        <v>15.0</v>
      </c>
      <c r="G657" s="10">
        <f>IF($C657=0,"",COUNTIFS('DEF_SELF_SCOUT_IMPORT'!$L$42:$L$1040,"Y",'DEF_SELF_SCOUT_IMPORT'!$E$42:$E$1040,SUBSTITUTE(SUBSTITUTE(SUBSTITUTE($B657,"~","~~"),"*","~*"),"?","~?"),'DEF_SELF_SCOUT_IMPORT'!$Q$42:$Q$1040,SUBSTITUTE(SUBSTITUTE(SUBSTITUTE($M657,"~","~~"),"*","~*"),"?","~?"),'DEF_SELF_SCOUT_IMPORT'!$F$42:$F$1040,SUBSTITUTE(SUBSTITUTE(SUBSTITUTE($N657,"~","~~"),"*","~*"),"?","~?"),'DEF_SELF_SCOUT_IMPORT'!$G$42:$G$1040,SUBSTITUTE(SUBSTITUTE(SUBSTITUTE($O657,"~","~~"),"*","~*"),"?","~?"),'DEF_SELF_SCOUT_IMPORT'!$H$42:$H$1040,"RUSH")/$C657)</f>
        <v>0.0</v>
      </c>
      <c r="H657" s="10">
        <f>IF($C657=0,"",COUNTIFS('DEF_SELF_SCOUT_IMPORT'!$L$42:$L$1040,"Y",'DEF_SELF_SCOUT_IMPORT'!$E$42:$E$1040,SUBSTITUTE(SUBSTITUTE(SUBSTITUTE($B657,"~","~~"),"*","~*"),"?","~?"),'DEF_SELF_SCOUT_IMPORT'!$Q$42:$Q$1040,SUBSTITUTE(SUBSTITUTE(SUBSTITUTE($M657,"~","~~"),"*","~*"),"?","~?"),'DEF_SELF_SCOUT_IMPORT'!$F$42:$F$1040,SUBSTITUTE(SUBSTITUTE(SUBSTITUTE($N657,"~","~~"),"*","~*"),"?","~?"),'DEF_SELF_SCOUT_IMPORT'!$G$42:$G$1040,SUBSTITUTE(SUBSTITUTE(SUBSTITUTE($O657,"~","~~"),"*","~*"),"?","~?"),'DEF_SELF_SCOUT_IMPORT'!$H$42:$H$1040,"DROPBACK")/$C657)</f>
        <v>1.0</v>
      </c>
      <c r="I657" s="14" t="str">
        <f>IF(C657=0,"",IF(C657&lt;=2,"TRACK",IF(C657=3,"LOW",IF(C657&lt;=6,"MEDIUM","HIGH"))))</f>
        <v>TRACK</v>
      </c>
      <c r="J657" s="11">
        <f>IF(C657=0,"",ROUND(D657*70+(1-E657)*20+MAX(0,MIN(1,(10-F657)/10))*10,1))</f>
        <v>0.0</v>
      </c>
      <c r="K657" s="14" t="str">
        <f>IF(C657=0,"No Evidence",IF(C657&lt;=2,IF(E657&gt;0,"Explosive Alert","Track Only"),IF(C657=3,"Sample Watch",IF(E657&gt;=START_HERE!$B$31,"Explosive Alert",IF(J657&gt;=80,"Strong Candidate",IF(J657&gt;=65,"Good Candidate",IF(J657&gt;=50,"Mixed / Review","Problem Call")))))))</f>
        <v>Explosive Alert</v>
      </c>
      <c r="L657" s="9" t="str">
        <f>IF(COUNTIFS('DEF_SELF_SCOUT_IMPORT'!$L$42:$L$1040,"Y",'DEF_SELF_SCOUT_IMPORT'!$E$42:$E$1040,SUBSTITUTE(SUBSTITUTE(SUBSTITUTE($B657,"~","~~"),"*","~*"),"?","~?"),'DEF_SELF_SCOUT_IMPORT'!$Q$42:$Q$1040,SUBSTITUTE(SUBSTITUTE(SUBSTITUTE($M657,"~","~~"),"*","~*"),"?","~?"),'DEF_SELF_SCOUT_IMPORT'!$F$42:$F$1040,SUBSTITUTE(SUBSTITUTE(SUBSTITUTE($N657,"~","~~"),"*","~*"),"?","~?"),'DEF_SELF_SCOUT_IMPORT'!$G$42:$G$1040,SUBSTITUTE(SUBSTITUTE(SUBSTITUTE($O657,"~","~~"),"*","~*"),"?","~?"),'DEF_SELF_SCOUT_IMPORT'!$J$42:$J$1040,"")&gt;0,"Unscored clean outcome; review result tags before using score.",IF(C657=0,"No matching defensive reps; film confirmation needed.",IF(K657="Explosive Alert","Explosive risk; review clips before using as answer.",IF(C657&lt;=2,"Track only; not enough sample.",IF(C657=3,IF(E657&gt;0,"Sample watch with explosive exposure; review clips and build the sample.",IF(J657&gt;=65,"Good signal, but sample is limited.","Sample watch; review clips and build the sample.")),IF(K657="Problem Call","Problem area; practice or call-sheet review.",IF(K657="Strong Candidate","Strong call-fit candidate; confirm on film.",IF(K657="Good Candidate","Good call-fit signal; confirm on film.","Mixed signal; review fit and execution on film."))))))))</f>
        <v>Explosive risk; review clips before using as answer.</v>
      </c>
      <c r="M657" s="8" t="s">
        <v>76</v>
      </c>
      <c r="N657" s="8" t="s">
        <v>120</v>
      </c>
      <c r="O657" s="8" t="s">
        <v>203</v>
      </c>
      <c r="P657" s="8"/>
      <c r="Q657" s="8"/>
      <c r="R657" s="8" t="s">
        <v>28</v>
      </c>
      <c r="S657" s="2" t="s">
        <v>333</v>
      </c>
      <c r="T657" s="2">
        <f>IF(C657=0,0,IF(C657&gt;=CALL_LOOKUP_BOARD!$B$7,IF(OR(K657="Problem Call",K657="Explosive Alert"),10000000,20000000),0)+IF(C657&gt;=CALL_LOOKUP_BOARD!$B$7,J657*1000+MIN(C657,999),C657*1000+J657)+0.00993100)</f>
        <v>1000.009931</v>
      </c>
      <c r="U657" s="2">
        <f>IF(C657=0,"",IF(COUNTIFS($S$589:$S$803,SUBSTITUTE(SUBSTITUTE(SUBSTITUTE(S657,"~","~~"),"*","~*"),"?","~?"),$T$589:$T$803,"&gt;"&amp;T657)=0,S657,""))</f>
        <v/>
      </c>
    </row>
    <row r="658" spans="1:21" ht="38" customHeight="1">
      <c r="A658" s="8" t="s">
        <v>332</v>
      </c>
      <c r="B658" s="8" t="s">
        <v>55</v>
      </c>
      <c r="C658" s="12">
        <f>COUNTIFS('DEF_SELF_SCOUT_IMPORT'!$L$42:$L$1040,"Y",'DEF_SELF_SCOUT_IMPORT'!$E$42:$E$1040,SUBSTITUTE(SUBSTITUTE(SUBSTITUTE($B658,"~","~~"),"*","~*"),"?","~?"),'DEF_SELF_SCOUT_IMPORT'!$Q$42:$Q$1040,SUBSTITUTE(SUBSTITUTE(SUBSTITUTE($M658,"~","~~"),"*","~*"),"?","~?"),'DEF_SELF_SCOUT_IMPORT'!$F$42:$F$1040,SUBSTITUTE(SUBSTITUTE(SUBSTITUTE($N658,"~","~~"),"*","~*"),"?","~?"),'DEF_SELF_SCOUT_IMPORT'!$G$42:$G$1040,SUBSTITUTE(SUBSTITUTE(SUBSTITUTE($O658,"~","~~"),"*","~*"),"?","~?"))</f>
        <v>1</v>
      </c>
      <c r="D658" s="10">
        <f>IF($C658=0,"",SUMIFS('DEF_SELF_SCOUT_IMPORT'!$J$42:$J$1040,'DEF_SELF_SCOUT_IMPORT'!$L$42:$L$1040,"Y",'DEF_SELF_SCOUT_IMPORT'!$E$42:$E$1040,SUBSTITUTE(SUBSTITUTE(SUBSTITUTE($B658,"~","~~"),"*","~*"),"?","~?"),'DEF_SELF_SCOUT_IMPORT'!$Q$42:$Q$1040,SUBSTITUTE(SUBSTITUTE(SUBSTITUTE($M658,"~","~~"),"*","~*"),"?","~?"),'DEF_SELF_SCOUT_IMPORT'!$F$42:$F$1040,SUBSTITUTE(SUBSTITUTE(SUBSTITUTE($N658,"~","~~"),"*","~*"),"?","~?"),'DEF_SELF_SCOUT_IMPORT'!$G$42:$G$1040,SUBSTITUTE(SUBSTITUTE(SUBSTITUTE($O658,"~","~~"),"*","~*"),"?","~?"))/$C658)</f>
        <v>1.0</v>
      </c>
      <c r="E658" s="10">
        <f>IF($C658=0,"",SUMIFS('DEF_SELF_SCOUT_IMPORT'!$K$42:$K$1040,'DEF_SELF_SCOUT_IMPORT'!$L$42:$L$1040,"Y",'DEF_SELF_SCOUT_IMPORT'!$E$42:$E$1040,SUBSTITUTE(SUBSTITUTE(SUBSTITUTE($B658,"~","~~"),"*","~*"),"?","~?"),'DEF_SELF_SCOUT_IMPORT'!$Q$42:$Q$1040,SUBSTITUTE(SUBSTITUTE(SUBSTITUTE($M658,"~","~~"),"*","~*"),"?","~?"),'DEF_SELF_SCOUT_IMPORT'!$F$42:$F$1040,SUBSTITUTE(SUBSTITUTE(SUBSTITUTE($N658,"~","~~"),"*","~*"),"?","~?"),'DEF_SELF_SCOUT_IMPORT'!$G$42:$G$1040,SUBSTITUTE(SUBSTITUTE(SUBSTITUTE($O658,"~","~~"),"*","~*"),"?","~?"))/$C658)</f>
        <v>0.0</v>
      </c>
      <c r="F658" s="11">
        <f>IF($C658=0,"",AVERAGEIFS('DEF_SELF_SCOUT_IMPORT'!$I$42:$I$1040,'DEF_SELF_SCOUT_IMPORT'!$L$42:$L$1040,"Y",'DEF_SELF_SCOUT_IMPORT'!$E$42:$E$1040,SUBSTITUTE(SUBSTITUTE(SUBSTITUTE($B658,"~","~~"),"*","~*"),"?","~?"),'DEF_SELF_SCOUT_IMPORT'!$Q$42:$Q$1040,SUBSTITUTE(SUBSTITUTE(SUBSTITUTE($M658,"~","~~"),"*","~*"),"?","~?"),'DEF_SELF_SCOUT_IMPORT'!$F$42:$F$1040,SUBSTITUTE(SUBSTITUTE(SUBSTITUTE($N658,"~","~~"),"*","~*"),"?","~?"),'DEF_SELF_SCOUT_IMPORT'!$G$42:$G$1040,SUBSTITUTE(SUBSTITUTE(SUBSTITUTE($O658,"~","~~"),"*","~*"),"?","~?")))</f>
        <v>3.0</v>
      </c>
      <c r="G658" s="10">
        <f>IF($C658=0,"",COUNTIFS('DEF_SELF_SCOUT_IMPORT'!$L$42:$L$1040,"Y",'DEF_SELF_SCOUT_IMPORT'!$E$42:$E$1040,SUBSTITUTE(SUBSTITUTE(SUBSTITUTE($B658,"~","~~"),"*","~*"),"?","~?"),'DEF_SELF_SCOUT_IMPORT'!$Q$42:$Q$1040,SUBSTITUTE(SUBSTITUTE(SUBSTITUTE($M658,"~","~~"),"*","~*"),"?","~?"),'DEF_SELF_SCOUT_IMPORT'!$F$42:$F$1040,SUBSTITUTE(SUBSTITUTE(SUBSTITUTE($N658,"~","~~"),"*","~*"),"?","~?"),'DEF_SELF_SCOUT_IMPORT'!$G$42:$G$1040,SUBSTITUTE(SUBSTITUTE(SUBSTITUTE($O658,"~","~~"),"*","~*"),"?","~?"),'DEF_SELF_SCOUT_IMPORT'!$H$42:$H$1040,"RUSH")/$C658)</f>
        <v>1.0</v>
      </c>
      <c r="H658" s="10">
        <f>IF($C658=0,"",COUNTIFS('DEF_SELF_SCOUT_IMPORT'!$L$42:$L$1040,"Y",'DEF_SELF_SCOUT_IMPORT'!$E$42:$E$1040,SUBSTITUTE(SUBSTITUTE(SUBSTITUTE($B658,"~","~~"),"*","~*"),"?","~?"),'DEF_SELF_SCOUT_IMPORT'!$Q$42:$Q$1040,SUBSTITUTE(SUBSTITUTE(SUBSTITUTE($M658,"~","~~"),"*","~*"),"?","~?"),'DEF_SELF_SCOUT_IMPORT'!$F$42:$F$1040,SUBSTITUTE(SUBSTITUTE(SUBSTITUTE($N658,"~","~~"),"*","~*"),"?","~?"),'DEF_SELF_SCOUT_IMPORT'!$G$42:$G$1040,SUBSTITUTE(SUBSTITUTE(SUBSTITUTE($O658,"~","~~"),"*","~*"),"?","~?"),'DEF_SELF_SCOUT_IMPORT'!$H$42:$H$1040,"DROPBACK")/$C658)</f>
        <v>0.0</v>
      </c>
      <c r="I658" s="14" t="str">
        <f>IF(C658=0,"",IF(C658&lt;=2,"TRACK",IF(C658=3,"LOW",IF(C658&lt;=6,"MEDIUM","HIGH"))))</f>
        <v>TRACK</v>
      </c>
      <c r="J658" s="11">
        <f>IF(C658=0,"",ROUND(D658*70+(1-E658)*20+MAX(0,MIN(1,(10-F658)/10))*10,1))</f>
        <v>97.0</v>
      </c>
      <c r="K658" s="14" t="str">
        <f>IF(C658=0,"No Evidence",IF(C658&lt;=2,IF(E658&gt;0,"Explosive Alert","Track Only"),IF(C658=3,"Sample Watch",IF(E658&gt;=START_HERE!$B$31,"Explosive Alert",IF(J658&gt;=80,"Strong Candidate",IF(J658&gt;=65,"Good Candidate",IF(J658&gt;=50,"Mixed / Review","Problem Call")))))))</f>
        <v>Track Only</v>
      </c>
      <c r="L658" s="9" t="str">
        <f>IF(COUNTIFS('DEF_SELF_SCOUT_IMPORT'!$L$42:$L$1040,"Y",'DEF_SELF_SCOUT_IMPORT'!$E$42:$E$1040,SUBSTITUTE(SUBSTITUTE(SUBSTITUTE($B658,"~","~~"),"*","~*"),"?","~?"),'DEF_SELF_SCOUT_IMPORT'!$Q$42:$Q$1040,SUBSTITUTE(SUBSTITUTE(SUBSTITUTE($M658,"~","~~"),"*","~*"),"?","~?"),'DEF_SELF_SCOUT_IMPORT'!$F$42:$F$1040,SUBSTITUTE(SUBSTITUTE(SUBSTITUTE($N658,"~","~~"),"*","~*"),"?","~?"),'DEF_SELF_SCOUT_IMPORT'!$G$42:$G$1040,SUBSTITUTE(SUBSTITUTE(SUBSTITUTE($O658,"~","~~"),"*","~*"),"?","~?"),'DEF_SELF_SCOUT_IMPORT'!$J$42:$J$1040,"")&gt;0,"Unscored clean outcome; review result tags before using score.",IF(C658=0,"No matching defensive reps; film confirmation needed.",IF(K658="Explosive Alert","Explosive risk; review clips before using as answer.",IF(C658&lt;=2,"Track only; not enough sample.",IF(C658=3,IF(E658&gt;0,"Sample watch with explosive exposure; review clips and build the sample.",IF(J658&gt;=65,"Good signal, but sample is limited.","Sample watch; review clips and build the sample.")),IF(K658="Problem Call","Problem area; practice or call-sheet review.",IF(K658="Strong Candidate","Strong call-fit candidate; confirm on film.",IF(K658="Good Candidate","Good call-fit signal; confirm on film.","Mixed signal; review fit and execution on film."))))))))</f>
        <v>Track only; not enough sample.</v>
      </c>
      <c r="M658" s="8" t="s">
        <v>76</v>
      </c>
      <c r="N658" s="8" t="s">
        <v>120</v>
      </c>
      <c r="O658" s="8" t="s">
        <v>203</v>
      </c>
      <c r="P658" s="8"/>
      <c r="Q658" s="8"/>
      <c r="R658" s="8" t="s">
        <v>28</v>
      </c>
      <c r="S658" s="2" t="s">
        <v>333</v>
      </c>
      <c r="T658" s="2">
        <f>IF(C658=0,0,IF(C658&gt;=CALL_LOOKUP_BOARD!$B$7,IF(OR(K658="Problem Call",K658="Explosive Alert"),10000000,20000000),0)+IF(C658&gt;=CALL_LOOKUP_BOARD!$B$7,J658*1000+MIN(C658,999),C658*1000+J658)+0.00993000)</f>
        <v>1097.00993</v>
      </c>
      <c r="U658" s="2">
        <f>IF(C658=0,"",IF(COUNTIFS($S$589:$S$803,SUBSTITUTE(SUBSTITUTE(SUBSTITUTE(S658,"~","~~"),"*","~*"),"?","~?"),$T$589:$T$803,"&gt;"&amp;T658)=0,S658,""))</f>
        <v/>
      </c>
    </row>
    <row r="659" spans="1:21" ht="38" customHeight="1">
      <c r="A659" s="8" t="s">
        <v>332</v>
      </c>
      <c r="B659" s="8" t="s">
        <v>61</v>
      </c>
      <c r="C659" s="12">
        <f>COUNTIFS('DEF_SELF_SCOUT_IMPORT'!$L$42:$L$1040,"Y",'DEF_SELF_SCOUT_IMPORT'!$E$42:$E$1040,SUBSTITUTE(SUBSTITUTE(SUBSTITUTE($B659,"~","~~"),"*","~*"),"?","~?"),'DEF_SELF_SCOUT_IMPORT'!$Q$42:$Q$1040,SUBSTITUTE(SUBSTITUTE(SUBSTITUTE($M659,"~","~~"),"*","~*"),"?","~?"),'DEF_SELF_SCOUT_IMPORT'!$F$42:$F$1040,SUBSTITUTE(SUBSTITUTE(SUBSTITUTE($N659,"~","~~"),"*","~*"),"?","~?"),'DEF_SELF_SCOUT_IMPORT'!$G$42:$G$1040,SUBSTITUTE(SUBSTITUTE(SUBSTITUTE($O659,"~","~~"),"*","~*"),"?","~?"))</f>
        <v>1</v>
      </c>
      <c r="D659" s="10">
        <f>IF($C659=0,"",SUMIFS('DEF_SELF_SCOUT_IMPORT'!$J$42:$J$1040,'DEF_SELF_SCOUT_IMPORT'!$L$42:$L$1040,"Y",'DEF_SELF_SCOUT_IMPORT'!$E$42:$E$1040,SUBSTITUTE(SUBSTITUTE(SUBSTITUTE($B659,"~","~~"),"*","~*"),"?","~?"),'DEF_SELF_SCOUT_IMPORT'!$Q$42:$Q$1040,SUBSTITUTE(SUBSTITUTE(SUBSTITUTE($M659,"~","~~"),"*","~*"),"?","~?"),'DEF_SELF_SCOUT_IMPORT'!$F$42:$F$1040,SUBSTITUTE(SUBSTITUTE(SUBSTITUTE($N659,"~","~~"),"*","~*"),"?","~?"),'DEF_SELF_SCOUT_IMPORT'!$G$42:$G$1040,SUBSTITUTE(SUBSTITUTE(SUBSTITUTE($O659,"~","~~"),"*","~*"),"?","~?"))/$C659)</f>
        <v>0.0</v>
      </c>
      <c r="E659" s="10">
        <f>IF($C659=0,"",SUMIFS('DEF_SELF_SCOUT_IMPORT'!$K$42:$K$1040,'DEF_SELF_SCOUT_IMPORT'!$L$42:$L$1040,"Y",'DEF_SELF_SCOUT_IMPORT'!$E$42:$E$1040,SUBSTITUTE(SUBSTITUTE(SUBSTITUTE($B659,"~","~~"),"*","~*"),"?","~?"),'DEF_SELF_SCOUT_IMPORT'!$Q$42:$Q$1040,SUBSTITUTE(SUBSTITUTE(SUBSTITUTE($M659,"~","~~"),"*","~*"),"?","~?"),'DEF_SELF_SCOUT_IMPORT'!$F$42:$F$1040,SUBSTITUTE(SUBSTITUTE(SUBSTITUTE($N659,"~","~~"),"*","~*"),"?","~?"),'DEF_SELF_SCOUT_IMPORT'!$G$42:$G$1040,SUBSTITUTE(SUBSTITUTE(SUBSTITUTE($O659,"~","~~"),"*","~*"),"?","~?"))/$C659)</f>
        <v>0.0</v>
      </c>
      <c r="F659" s="11">
        <f>IF($C659=0,"",AVERAGEIFS('DEF_SELF_SCOUT_IMPORT'!$I$42:$I$1040,'DEF_SELF_SCOUT_IMPORT'!$L$42:$L$1040,"Y",'DEF_SELF_SCOUT_IMPORT'!$E$42:$E$1040,SUBSTITUTE(SUBSTITUTE(SUBSTITUTE($B659,"~","~~"),"*","~*"),"?","~?"),'DEF_SELF_SCOUT_IMPORT'!$Q$42:$Q$1040,SUBSTITUTE(SUBSTITUTE(SUBSTITUTE($M659,"~","~~"),"*","~*"),"?","~?"),'DEF_SELF_SCOUT_IMPORT'!$F$42:$F$1040,SUBSTITUTE(SUBSTITUTE(SUBSTITUTE($N659,"~","~~"),"*","~*"),"?","~?"),'DEF_SELF_SCOUT_IMPORT'!$G$42:$G$1040,SUBSTITUTE(SUBSTITUTE(SUBSTITUTE($O659,"~","~~"),"*","~*"),"?","~?")))</f>
        <v>6.0</v>
      </c>
      <c r="G659" s="10">
        <f>IF($C659=0,"",COUNTIFS('DEF_SELF_SCOUT_IMPORT'!$L$42:$L$1040,"Y",'DEF_SELF_SCOUT_IMPORT'!$E$42:$E$1040,SUBSTITUTE(SUBSTITUTE(SUBSTITUTE($B659,"~","~~"),"*","~*"),"?","~?"),'DEF_SELF_SCOUT_IMPORT'!$Q$42:$Q$1040,SUBSTITUTE(SUBSTITUTE(SUBSTITUTE($M659,"~","~~"),"*","~*"),"?","~?"),'DEF_SELF_SCOUT_IMPORT'!$F$42:$F$1040,SUBSTITUTE(SUBSTITUTE(SUBSTITUTE($N659,"~","~~"),"*","~*"),"?","~?"),'DEF_SELF_SCOUT_IMPORT'!$G$42:$G$1040,SUBSTITUTE(SUBSTITUTE(SUBSTITUTE($O659,"~","~~"),"*","~*"),"?","~?"),'DEF_SELF_SCOUT_IMPORT'!$H$42:$H$1040,"RUSH")/$C659)</f>
        <v>1.0</v>
      </c>
      <c r="H659" s="10">
        <f>IF($C659=0,"",COUNTIFS('DEF_SELF_SCOUT_IMPORT'!$L$42:$L$1040,"Y",'DEF_SELF_SCOUT_IMPORT'!$E$42:$E$1040,SUBSTITUTE(SUBSTITUTE(SUBSTITUTE($B659,"~","~~"),"*","~*"),"?","~?"),'DEF_SELF_SCOUT_IMPORT'!$Q$42:$Q$1040,SUBSTITUTE(SUBSTITUTE(SUBSTITUTE($M659,"~","~~"),"*","~*"),"?","~?"),'DEF_SELF_SCOUT_IMPORT'!$F$42:$F$1040,SUBSTITUTE(SUBSTITUTE(SUBSTITUTE($N659,"~","~~"),"*","~*"),"?","~?"),'DEF_SELF_SCOUT_IMPORT'!$G$42:$G$1040,SUBSTITUTE(SUBSTITUTE(SUBSTITUTE($O659,"~","~~"),"*","~*"),"?","~?"),'DEF_SELF_SCOUT_IMPORT'!$H$42:$H$1040,"DROPBACK")/$C659)</f>
        <v>0.0</v>
      </c>
      <c r="I659" s="14" t="str">
        <f>IF(C659=0,"",IF(C659&lt;=2,"TRACK",IF(C659=3,"LOW",IF(C659&lt;=6,"MEDIUM","HIGH"))))</f>
        <v>TRACK</v>
      </c>
      <c r="J659" s="11">
        <f>IF(C659=0,"",ROUND(D659*70+(1-E659)*20+MAX(0,MIN(1,(10-F659)/10))*10,1))</f>
        <v>24.0</v>
      </c>
      <c r="K659" s="14" t="str">
        <f>IF(C659=0,"No Evidence",IF(C659&lt;=2,IF(E659&gt;0,"Explosive Alert","Track Only"),IF(C659=3,"Sample Watch",IF(E659&gt;=START_HERE!$B$31,"Explosive Alert",IF(J659&gt;=80,"Strong Candidate",IF(J659&gt;=65,"Good Candidate",IF(J659&gt;=50,"Mixed / Review","Problem Call")))))))</f>
        <v>Track Only</v>
      </c>
      <c r="L659" s="9" t="str">
        <f>IF(COUNTIFS('DEF_SELF_SCOUT_IMPORT'!$L$42:$L$1040,"Y",'DEF_SELF_SCOUT_IMPORT'!$E$42:$E$1040,SUBSTITUTE(SUBSTITUTE(SUBSTITUTE($B659,"~","~~"),"*","~*"),"?","~?"),'DEF_SELF_SCOUT_IMPORT'!$Q$42:$Q$1040,SUBSTITUTE(SUBSTITUTE(SUBSTITUTE($M659,"~","~~"),"*","~*"),"?","~?"),'DEF_SELF_SCOUT_IMPORT'!$F$42:$F$1040,SUBSTITUTE(SUBSTITUTE(SUBSTITUTE($N659,"~","~~"),"*","~*"),"?","~?"),'DEF_SELF_SCOUT_IMPORT'!$G$42:$G$1040,SUBSTITUTE(SUBSTITUTE(SUBSTITUTE($O659,"~","~~"),"*","~*"),"?","~?"),'DEF_SELF_SCOUT_IMPORT'!$J$42:$J$1040,"")&gt;0,"Unscored clean outcome; review result tags before using score.",IF(C659=0,"No matching defensive reps; film confirmation needed.",IF(K659="Explosive Alert","Explosive risk; review clips before using as answer.",IF(C659&lt;=2,"Track only; not enough sample.",IF(C659=3,IF(E659&gt;0,"Sample watch with explosive exposure; review clips and build the sample.",IF(J659&gt;=65,"Good signal, but sample is limited.","Sample watch; review clips and build the sample.")),IF(K659="Problem Call","Problem area; practice or call-sheet review.",IF(K659="Strong Candidate","Strong call-fit candidate; confirm on film.",IF(K659="Good Candidate","Good call-fit signal; confirm on film.","Mixed signal; review fit and execution on film."))))))))</f>
        <v>Track only; not enough sample.</v>
      </c>
      <c r="M659" s="8" t="s">
        <v>76</v>
      </c>
      <c r="N659" s="8" t="s">
        <v>120</v>
      </c>
      <c r="O659" s="8" t="s">
        <v>203</v>
      </c>
      <c r="P659" s="8"/>
      <c r="Q659" s="8"/>
      <c r="R659" s="8" t="s">
        <v>28</v>
      </c>
      <c r="S659" s="2" t="s">
        <v>333</v>
      </c>
      <c r="T659" s="2">
        <f>IF(C659=0,0,IF(C659&gt;=CALL_LOOKUP_BOARD!$B$7,IF(OR(K659="Problem Call",K659="Explosive Alert"),10000000,20000000),0)+IF(C659&gt;=CALL_LOOKUP_BOARD!$B$7,J659*1000+MIN(C659,999),C659*1000+J659)+0.00992900)</f>
        <v>1024.009929</v>
      </c>
      <c r="U659" s="2">
        <f>IF(C659=0,"",IF(COUNTIFS($S$589:$S$803,SUBSTITUTE(SUBSTITUTE(SUBSTITUTE(S659,"~","~~"),"*","~*"),"?","~?"),$T$589:$T$803,"&gt;"&amp;T659)=0,S659,""))</f>
        <v/>
      </c>
    </row>
    <row r="660" spans="1:21" ht="38" customHeight="1">
      <c r="A660" s="8" t="s">
        <v>332</v>
      </c>
      <c r="B660" s="8" t="s">
        <v>63</v>
      </c>
      <c r="C660" s="12">
        <f>COUNTIFS('DEF_SELF_SCOUT_IMPORT'!$L$42:$L$1040,"Y",'DEF_SELF_SCOUT_IMPORT'!$E$42:$E$1040,SUBSTITUTE(SUBSTITUTE(SUBSTITUTE($B660,"~","~~"),"*","~*"),"?","~?"),'DEF_SELF_SCOUT_IMPORT'!$Q$42:$Q$1040,SUBSTITUTE(SUBSTITUTE(SUBSTITUTE($M660,"~","~~"),"*","~*"),"?","~?"),'DEF_SELF_SCOUT_IMPORT'!$F$42:$F$1040,SUBSTITUTE(SUBSTITUTE(SUBSTITUTE($N660,"~","~~"),"*","~*"),"?","~?"),'DEF_SELF_SCOUT_IMPORT'!$G$42:$G$1040,SUBSTITUTE(SUBSTITUTE(SUBSTITUTE($O660,"~","~~"),"*","~*"),"?","~?"))</f>
        <v>1</v>
      </c>
      <c r="D660" s="10">
        <f>IF($C660=0,"",SUMIFS('DEF_SELF_SCOUT_IMPORT'!$J$42:$J$1040,'DEF_SELF_SCOUT_IMPORT'!$L$42:$L$1040,"Y",'DEF_SELF_SCOUT_IMPORT'!$E$42:$E$1040,SUBSTITUTE(SUBSTITUTE(SUBSTITUTE($B660,"~","~~"),"*","~*"),"?","~?"),'DEF_SELF_SCOUT_IMPORT'!$Q$42:$Q$1040,SUBSTITUTE(SUBSTITUTE(SUBSTITUTE($M660,"~","~~"),"*","~*"),"?","~?"),'DEF_SELF_SCOUT_IMPORT'!$F$42:$F$1040,SUBSTITUTE(SUBSTITUTE(SUBSTITUTE($N660,"~","~~"),"*","~*"),"?","~?"),'DEF_SELF_SCOUT_IMPORT'!$G$42:$G$1040,SUBSTITUTE(SUBSTITUTE(SUBSTITUTE($O660,"~","~~"),"*","~*"),"?","~?"))/$C660)</f>
        <v>0.0</v>
      </c>
      <c r="E660" s="10">
        <f>IF($C660=0,"",SUMIFS('DEF_SELF_SCOUT_IMPORT'!$K$42:$K$1040,'DEF_SELF_SCOUT_IMPORT'!$L$42:$L$1040,"Y",'DEF_SELF_SCOUT_IMPORT'!$E$42:$E$1040,SUBSTITUTE(SUBSTITUTE(SUBSTITUTE($B660,"~","~~"),"*","~*"),"?","~?"),'DEF_SELF_SCOUT_IMPORT'!$Q$42:$Q$1040,SUBSTITUTE(SUBSTITUTE(SUBSTITUTE($M660,"~","~~"),"*","~*"),"?","~?"),'DEF_SELF_SCOUT_IMPORT'!$F$42:$F$1040,SUBSTITUTE(SUBSTITUTE(SUBSTITUTE($N660,"~","~~"),"*","~*"),"?","~?"),'DEF_SELF_SCOUT_IMPORT'!$G$42:$G$1040,SUBSTITUTE(SUBSTITUTE(SUBSTITUTE($O660,"~","~~"),"*","~*"),"?","~?"))/$C660)</f>
        <v>0.0</v>
      </c>
      <c r="F660" s="11">
        <f>IF($C660=0,"",AVERAGEIFS('DEF_SELF_SCOUT_IMPORT'!$I$42:$I$1040,'DEF_SELF_SCOUT_IMPORT'!$L$42:$L$1040,"Y",'DEF_SELF_SCOUT_IMPORT'!$E$42:$E$1040,SUBSTITUTE(SUBSTITUTE(SUBSTITUTE($B660,"~","~~"),"*","~*"),"?","~?"),'DEF_SELF_SCOUT_IMPORT'!$Q$42:$Q$1040,SUBSTITUTE(SUBSTITUTE(SUBSTITUTE($M660,"~","~~"),"*","~*"),"?","~?"),'DEF_SELF_SCOUT_IMPORT'!$F$42:$F$1040,SUBSTITUTE(SUBSTITUTE(SUBSTITUTE($N660,"~","~~"),"*","~*"),"?","~?"),'DEF_SELF_SCOUT_IMPORT'!$G$42:$G$1040,SUBSTITUTE(SUBSTITUTE(SUBSTITUTE($O660,"~","~~"),"*","~*"),"?","~?")))</f>
        <v>13.0</v>
      </c>
      <c r="G660" s="10">
        <f>IF($C660=0,"",COUNTIFS('DEF_SELF_SCOUT_IMPORT'!$L$42:$L$1040,"Y",'DEF_SELF_SCOUT_IMPORT'!$E$42:$E$1040,SUBSTITUTE(SUBSTITUTE(SUBSTITUTE($B660,"~","~~"),"*","~*"),"?","~?"),'DEF_SELF_SCOUT_IMPORT'!$Q$42:$Q$1040,SUBSTITUTE(SUBSTITUTE(SUBSTITUTE($M660,"~","~~"),"*","~*"),"?","~?"),'DEF_SELF_SCOUT_IMPORT'!$F$42:$F$1040,SUBSTITUTE(SUBSTITUTE(SUBSTITUTE($N660,"~","~~"),"*","~*"),"?","~?"),'DEF_SELF_SCOUT_IMPORT'!$G$42:$G$1040,SUBSTITUTE(SUBSTITUTE(SUBSTITUTE($O660,"~","~~"),"*","~*"),"?","~?"),'DEF_SELF_SCOUT_IMPORT'!$H$42:$H$1040,"RUSH")/$C660)</f>
        <v>0.0</v>
      </c>
      <c r="H660" s="10">
        <f>IF($C660=0,"",COUNTIFS('DEF_SELF_SCOUT_IMPORT'!$L$42:$L$1040,"Y",'DEF_SELF_SCOUT_IMPORT'!$E$42:$E$1040,SUBSTITUTE(SUBSTITUTE(SUBSTITUTE($B660,"~","~~"),"*","~*"),"?","~?"),'DEF_SELF_SCOUT_IMPORT'!$Q$42:$Q$1040,SUBSTITUTE(SUBSTITUTE(SUBSTITUTE($M660,"~","~~"),"*","~*"),"?","~?"),'DEF_SELF_SCOUT_IMPORT'!$F$42:$F$1040,SUBSTITUTE(SUBSTITUTE(SUBSTITUTE($N660,"~","~~"),"*","~*"),"?","~?"),'DEF_SELF_SCOUT_IMPORT'!$G$42:$G$1040,SUBSTITUTE(SUBSTITUTE(SUBSTITUTE($O660,"~","~~"),"*","~*"),"?","~?"),'DEF_SELF_SCOUT_IMPORT'!$H$42:$H$1040,"DROPBACK")/$C660)</f>
        <v>1.0</v>
      </c>
      <c r="I660" s="14" t="str">
        <f>IF(C660=0,"",IF(C660&lt;=2,"TRACK",IF(C660=3,"LOW",IF(C660&lt;=6,"MEDIUM","HIGH"))))</f>
        <v>TRACK</v>
      </c>
      <c r="J660" s="11">
        <f>IF(C660=0,"",ROUND(D660*70+(1-E660)*20+MAX(0,MIN(1,(10-F660)/10))*10,1))</f>
        <v>20.0</v>
      </c>
      <c r="K660" s="14" t="str">
        <f>IF(C660=0,"No Evidence",IF(C660&lt;=2,IF(E660&gt;0,"Explosive Alert","Track Only"),IF(C660=3,"Sample Watch",IF(E660&gt;=START_HERE!$B$31,"Explosive Alert",IF(J660&gt;=80,"Strong Candidate",IF(J660&gt;=65,"Good Candidate",IF(J660&gt;=50,"Mixed / Review","Problem Call")))))))</f>
        <v>Track Only</v>
      </c>
      <c r="L660" s="9" t="str">
        <f>IF(COUNTIFS('DEF_SELF_SCOUT_IMPORT'!$L$42:$L$1040,"Y",'DEF_SELF_SCOUT_IMPORT'!$E$42:$E$1040,SUBSTITUTE(SUBSTITUTE(SUBSTITUTE($B660,"~","~~"),"*","~*"),"?","~?"),'DEF_SELF_SCOUT_IMPORT'!$Q$42:$Q$1040,SUBSTITUTE(SUBSTITUTE(SUBSTITUTE($M660,"~","~~"),"*","~*"),"?","~?"),'DEF_SELF_SCOUT_IMPORT'!$F$42:$F$1040,SUBSTITUTE(SUBSTITUTE(SUBSTITUTE($N660,"~","~~"),"*","~*"),"?","~?"),'DEF_SELF_SCOUT_IMPORT'!$G$42:$G$1040,SUBSTITUTE(SUBSTITUTE(SUBSTITUTE($O660,"~","~~"),"*","~*"),"?","~?"),'DEF_SELF_SCOUT_IMPORT'!$J$42:$J$1040,"")&gt;0,"Unscored clean outcome; review result tags before using score.",IF(C660=0,"No matching defensive reps; film confirmation needed.",IF(K660="Explosive Alert","Explosive risk; review clips before using as answer.",IF(C660&lt;=2,"Track only; not enough sample.",IF(C660=3,IF(E660&gt;0,"Sample watch with explosive exposure; review clips and build the sample.",IF(J660&gt;=65,"Good signal, but sample is limited.","Sample watch; review clips and build the sample.")),IF(K660="Problem Call","Problem area; practice or call-sheet review.",IF(K660="Strong Candidate","Strong call-fit candidate; confirm on film.",IF(K660="Good Candidate","Good call-fit signal; confirm on film.","Mixed signal; review fit and execution on film."))))))))</f>
        <v>Track only; not enough sample.</v>
      </c>
      <c r="M660" s="8" t="s">
        <v>76</v>
      </c>
      <c r="N660" s="8" t="s">
        <v>120</v>
      </c>
      <c r="O660" s="8" t="s">
        <v>203</v>
      </c>
      <c r="P660" s="8"/>
      <c r="Q660" s="8"/>
      <c r="R660" s="8" t="s">
        <v>28</v>
      </c>
      <c r="S660" s="2" t="s">
        <v>333</v>
      </c>
      <c r="T660" s="2">
        <f>IF(C660=0,0,IF(C660&gt;=CALL_LOOKUP_BOARD!$B$7,IF(OR(K660="Problem Call",K660="Explosive Alert"),10000000,20000000),0)+IF(C660&gt;=CALL_LOOKUP_BOARD!$B$7,J660*1000+MIN(C660,999),C660*1000+J660)+0.00992800)</f>
        <v>1020.009928</v>
      </c>
      <c r="U660" s="2">
        <f>IF(C660=0,"",IF(COUNTIFS($S$589:$S$803,SUBSTITUTE(SUBSTITUTE(SUBSTITUTE(S660,"~","~~"),"*","~*"),"?","~?"),$T$589:$T$803,"&gt;"&amp;T660)=0,S660,""))</f>
        <v/>
      </c>
    </row>
    <row r="661" spans="1:21" ht="38" customHeight="1">
      <c r="A661" s="8" t="s">
        <v>332</v>
      </c>
      <c r="B661" s="8" t="s">
        <v>64</v>
      </c>
      <c r="C661" s="12">
        <f>COUNTIFS('DEF_SELF_SCOUT_IMPORT'!$L$42:$L$1040,"Y",'DEF_SELF_SCOUT_IMPORT'!$E$42:$E$1040,SUBSTITUTE(SUBSTITUTE(SUBSTITUTE($B661,"~","~~"),"*","~*"),"?","~?"),'DEF_SELF_SCOUT_IMPORT'!$Q$42:$Q$1040,SUBSTITUTE(SUBSTITUTE(SUBSTITUTE($M661,"~","~~"),"*","~*"),"?","~?"),'DEF_SELF_SCOUT_IMPORT'!$F$42:$F$1040,SUBSTITUTE(SUBSTITUTE(SUBSTITUTE($N661,"~","~~"),"*","~*"),"?","~?"),'DEF_SELF_SCOUT_IMPORT'!$G$42:$G$1040,SUBSTITUTE(SUBSTITUTE(SUBSTITUTE($O661,"~","~~"),"*","~*"),"?","~?"))</f>
        <v>1</v>
      </c>
      <c r="D661" s="10">
        <f>IF($C661=0,"",SUMIFS('DEF_SELF_SCOUT_IMPORT'!$J$42:$J$1040,'DEF_SELF_SCOUT_IMPORT'!$L$42:$L$1040,"Y",'DEF_SELF_SCOUT_IMPORT'!$E$42:$E$1040,SUBSTITUTE(SUBSTITUTE(SUBSTITUTE($B661,"~","~~"),"*","~*"),"?","~?"),'DEF_SELF_SCOUT_IMPORT'!$Q$42:$Q$1040,SUBSTITUTE(SUBSTITUTE(SUBSTITUTE($M661,"~","~~"),"*","~*"),"?","~?"),'DEF_SELF_SCOUT_IMPORT'!$F$42:$F$1040,SUBSTITUTE(SUBSTITUTE(SUBSTITUTE($N661,"~","~~"),"*","~*"),"?","~?"),'DEF_SELF_SCOUT_IMPORT'!$G$42:$G$1040,SUBSTITUTE(SUBSTITUTE(SUBSTITUTE($O661,"~","~~"),"*","~*"),"?","~?"))/$C661)</f>
        <v>1.0</v>
      </c>
      <c r="E661" s="10">
        <f>IF($C661=0,"",SUMIFS('DEF_SELF_SCOUT_IMPORT'!$K$42:$K$1040,'DEF_SELF_SCOUT_IMPORT'!$L$42:$L$1040,"Y",'DEF_SELF_SCOUT_IMPORT'!$E$42:$E$1040,SUBSTITUTE(SUBSTITUTE(SUBSTITUTE($B661,"~","~~"),"*","~*"),"?","~?"),'DEF_SELF_SCOUT_IMPORT'!$Q$42:$Q$1040,SUBSTITUTE(SUBSTITUTE(SUBSTITUTE($M661,"~","~~"),"*","~*"),"?","~?"),'DEF_SELF_SCOUT_IMPORT'!$F$42:$F$1040,SUBSTITUTE(SUBSTITUTE(SUBSTITUTE($N661,"~","~~"),"*","~*"),"?","~?"),'DEF_SELF_SCOUT_IMPORT'!$G$42:$G$1040,SUBSTITUTE(SUBSTITUTE(SUBSTITUTE($O661,"~","~~"),"*","~*"),"?","~?"))/$C661)</f>
        <v>0.0</v>
      </c>
      <c r="F661" s="11">
        <f>IF($C661=0,"",AVERAGEIFS('DEF_SELF_SCOUT_IMPORT'!$I$42:$I$1040,'DEF_SELF_SCOUT_IMPORT'!$L$42:$L$1040,"Y",'DEF_SELF_SCOUT_IMPORT'!$E$42:$E$1040,SUBSTITUTE(SUBSTITUTE(SUBSTITUTE($B661,"~","~~"),"*","~*"),"?","~?"),'DEF_SELF_SCOUT_IMPORT'!$Q$42:$Q$1040,SUBSTITUTE(SUBSTITUTE(SUBSTITUTE($M661,"~","~~"),"*","~*"),"?","~?"),'DEF_SELF_SCOUT_IMPORT'!$F$42:$F$1040,SUBSTITUTE(SUBSTITUTE(SUBSTITUTE($N661,"~","~~"),"*","~*"),"?","~?"),'DEF_SELF_SCOUT_IMPORT'!$G$42:$G$1040,SUBSTITUTE(SUBSTITUTE(SUBSTITUTE($O661,"~","~~"),"*","~*"),"?","~?")))</f>
        <v>5.0</v>
      </c>
      <c r="G661" s="10">
        <f>IF($C661=0,"",COUNTIFS('DEF_SELF_SCOUT_IMPORT'!$L$42:$L$1040,"Y",'DEF_SELF_SCOUT_IMPORT'!$E$42:$E$1040,SUBSTITUTE(SUBSTITUTE(SUBSTITUTE($B661,"~","~~"),"*","~*"),"?","~?"),'DEF_SELF_SCOUT_IMPORT'!$Q$42:$Q$1040,SUBSTITUTE(SUBSTITUTE(SUBSTITUTE($M661,"~","~~"),"*","~*"),"?","~?"),'DEF_SELF_SCOUT_IMPORT'!$F$42:$F$1040,SUBSTITUTE(SUBSTITUTE(SUBSTITUTE($N661,"~","~~"),"*","~*"),"?","~?"),'DEF_SELF_SCOUT_IMPORT'!$G$42:$G$1040,SUBSTITUTE(SUBSTITUTE(SUBSTITUTE($O661,"~","~~"),"*","~*"),"?","~?"),'DEF_SELF_SCOUT_IMPORT'!$H$42:$H$1040,"RUSH")/$C661)</f>
        <v>0.0</v>
      </c>
      <c r="H661" s="10">
        <f>IF($C661=0,"",COUNTIFS('DEF_SELF_SCOUT_IMPORT'!$L$42:$L$1040,"Y",'DEF_SELF_SCOUT_IMPORT'!$E$42:$E$1040,SUBSTITUTE(SUBSTITUTE(SUBSTITUTE($B661,"~","~~"),"*","~*"),"?","~?"),'DEF_SELF_SCOUT_IMPORT'!$Q$42:$Q$1040,SUBSTITUTE(SUBSTITUTE(SUBSTITUTE($M661,"~","~~"),"*","~*"),"?","~?"),'DEF_SELF_SCOUT_IMPORT'!$F$42:$F$1040,SUBSTITUTE(SUBSTITUTE(SUBSTITUTE($N661,"~","~~"),"*","~*"),"?","~?"),'DEF_SELF_SCOUT_IMPORT'!$G$42:$G$1040,SUBSTITUTE(SUBSTITUTE(SUBSTITUTE($O661,"~","~~"),"*","~*"),"?","~?"),'DEF_SELF_SCOUT_IMPORT'!$H$42:$H$1040,"DROPBACK")/$C661)</f>
        <v>1.0</v>
      </c>
      <c r="I661" s="14" t="str">
        <f>IF(C661=0,"",IF(C661&lt;=2,"TRACK",IF(C661=3,"LOW",IF(C661&lt;=6,"MEDIUM","HIGH"))))</f>
        <v>TRACK</v>
      </c>
      <c r="J661" s="11">
        <f>IF(C661=0,"",ROUND(D661*70+(1-E661)*20+MAX(0,MIN(1,(10-F661)/10))*10,1))</f>
        <v>95.0</v>
      </c>
      <c r="K661" s="14" t="str">
        <f>IF(C661=0,"No Evidence",IF(C661&lt;=2,IF(E661&gt;0,"Explosive Alert","Track Only"),IF(C661=3,"Sample Watch",IF(E661&gt;=START_HERE!$B$31,"Explosive Alert",IF(J661&gt;=80,"Strong Candidate",IF(J661&gt;=65,"Good Candidate",IF(J661&gt;=50,"Mixed / Review","Problem Call")))))))</f>
        <v>Track Only</v>
      </c>
      <c r="L661" s="9" t="str">
        <f>IF(COUNTIFS('DEF_SELF_SCOUT_IMPORT'!$L$42:$L$1040,"Y",'DEF_SELF_SCOUT_IMPORT'!$E$42:$E$1040,SUBSTITUTE(SUBSTITUTE(SUBSTITUTE($B661,"~","~~"),"*","~*"),"?","~?"),'DEF_SELF_SCOUT_IMPORT'!$Q$42:$Q$1040,SUBSTITUTE(SUBSTITUTE(SUBSTITUTE($M661,"~","~~"),"*","~*"),"?","~?"),'DEF_SELF_SCOUT_IMPORT'!$F$42:$F$1040,SUBSTITUTE(SUBSTITUTE(SUBSTITUTE($N661,"~","~~"),"*","~*"),"?","~?"),'DEF_SELF_SCOUT_IMPORT'!$G$42:$G$1040,SUBSTITUTE(SUBSTITUTE(SUBSTITUTE($O661,"~","~~"),"*","~*"),"?","~?"),'DEF_SELF_SCOUT_IMPORT'!$J$42:$J$1040,"")&gt;0,"Unscored clean outcome; review result tags before using score.",IF(C661=0,"No matching defensive reps; film confirmation needed.",IF(K661="Explosive Alert","Explosive risk; review clips before using as answer.",IF(C661&lt;=2,"Track only; not enough sample.",IF(C661=3,IF(E661&gt;0,"Sample watch with explosive exposure; review clips and build the sample.",IF(J661&gt;=65,"Good signal, but sample is limited.","Sample watch; review clips and build the sample.")),IF(K661="Problem Call","Problem area; practice or call-sheet review.",IF(K661="Strong Candidate","Strong call-fit candidate; confirm on film.",IF(K661="Good Candidate","Good call-fit signal; confirm on film.","Mixed signal; review fit and execution on film."))))))))</f>
        <v>Track only; not enough sample.</v>
      </c>
      <c r="M661" s="8" t="s">
        <v>76</v>
      </c>
      <c r="N661" s="8" t="s">
        <v>120</v>
      </c>
      <c r="O661" s="8" t="s">
        <v>203</v>
      </c>
      <c r="P661" s="8"/>
      <c r="Q661" s="8"/>
      <c r="R661" s="8" t="s">
        <v>28</v>
      </c>
      <c r="S661" s="2" t="s">
        <v>333</v>
      </c>
      <c r="T661" s="2">
        <f>IF(C661=0,0,IF(C661&gt;=CALL_LOOKUP_BOARD!$B$7,IF(OR(K661="Problem Call",K661="Explosive Alert"),10000000,20000000),0)+IF(C661&gt;=CALL_LOOKUP_BOARD!$B$7,J661*1000+MIN(C661,999),C661*1000+J661)+0.00992700)</f>
        <v>1095.009927</v>
      </c>
      <c r="U661" s="2">
        <f>IF(C661=0,"",IF(COUNTIFS($S$589:$S$803,SUBSTITUTE(SUBSTITUTE(SUBSTITUTE(S661,"~","~~"),"*","~*"),"?","~?"),$T$589:$T$803,"&gt;"&amp;T661)=0,S661,""))</f>
        <v/>
      </c>
    </row>
    <row r="662" spans="1:21" ht="38" customHeight="1">
      <c r="A662" s="8" t="s">
        <v>334</v>
      </c>
      <c r="B662" s="8" t="s">
        <v>77</v>
      </c>
      <c r="C662" s="12">
        <f>COUNTIFS('DEF_SELF_SCOUT_IMPORT'!$L$42:$L$1040,"Y",'DEF_SELF_SCOUT_IMPORT'!$E$42:$E$1040,SUBSTITUTE(SUBSTITUTE(SUBSTITUTE($B662,"~","~~"),"*","~*"),"?","~?"),'DEF_SELF_SCOUT_IMPORT'!$Q$42:$Q$1040,SUBSTITUTE(SUBSTITUTE(SUBSTITUTE($M662,"~","~~"),"*","~*"),"?","~?"),'DEF_SELF_SCOUT_IMPORT'!$F$42:$F$1040,SUBSTITUTE(SUBSTITUTE(SUBSTITUTE($N662,"~","~~"),"*","~*"),"?","~?"),'DEF_SELF_SCOUT_IMPORT'!$G$42:$G$1040,SUBSTITUTE(SUBSTITUTE(SUBSTITUTE($O662,"~","~~"),"*","~*"),"?","~?"))</f>
        <v>1</v>
      </c>
      <c r="D662" s="10">
        <f>IF($C662=0,"",SUMIFS('DEF_SELF_SCOUT_IMPORT'!$J$42:$J$1040,'DEF_SELF_SCOUT_IMPORT'!$L$42:$L$1040,"Y",'DEF_SELF_SCOUT_IMPORT'!$E$42:$E$1040,SUBSTITUTE(SUBSTITUTE(SUBSTITUTE($B662,"~","~~"),"*","~*"),"?","~?"),'DEF_SELF_SCOUT_IMPORT'!$Q$42:$Q$1040,SUBSTITUTE(SUBSTITUTE(SUBSTITUTE($M662,"~","~~"),"*","~*"),"?","~?"),'DEF_SELF_SCOUT_IMPORT'!$F$42:$F$1040,SUBSTITUTE(SUBSTITUTE(SUBSTITUTE($N662,"~","~~"),"*","~*"),"?","~?"),'DEF_SELF_SCOUT_IMPORT'!$G$42:$G$1040,SUBSTITUTE(SUBSTITUTE(SUBSTITUTE($O662,"~","~~"),"*","~*"),"?","~?"))/$C662)</f>
        <v>1.0</v>
      </c>
      <c r="E662" s="10">
        <f>IF($C662=0,"",SUMIFS('DEF_SELF_SCOUT_IMPORT'!$K$42:$K$1040,'DEF_SELF_SCOUT_IMPORT'!$L$42:$L$1040,"Y",'DEF_SELF_SCOUT_IMPORT'!$E$42:$E$1040,SUBSTITUTE(SUBSTITUTE(SUBSTITUTE($B662,"~","~~"),"*","~*"),"?","~?"),'DEF_SELF_SCOUT_IMPORT'!$Q$42:$Q$1040,SUBSTITUTE(SUBSTITUTE(SUBSTITUTE($M662,"~","~~"),"*","~*"),"?","~?"),'DEF_SELF_SCOUT_IMPORT'!$F$42:$F$1040,SUBSTITUTE(SUBSTITUTE(SUBSTITUTE($N662,"~","~~"),"*","~*"),"?","~?"),'DEF_SELF_SCOUT_IMPORT'!$G$42:$G$1040,SUBSTITUTE(SUBSTITUTE(SUBSTITUTE($O662,"~","~~"),"*","~*"),"?","~?"))/$C662)</f>
        <v>0.0</v>
      </c>
      <c r="F662" s="11">
        <f>IF($C662=0,"",AVERAGEIFS('DEF_SELF_SCOUT_IMPORT'!$I$42:$I$1040,'DEF_SELF_SCOUT_IMPORT'!$L$42:$L$1040,"Y",'DEF_SELF_SCOUT_IMPORT'!$E$42:$E$1040,SUBSTITUTE(SUBSTITUTE(SUBSTITUTE($B662,"~","~~"),"*","~*"),"?","~?"),'DEF_SELF_SCOUT_IMPORT'!$Q$42:$Q$1040,SUBSTITUTE(SUBSTITUTE(SUBSTITUTE($M662,"~","~~"),"*","~*"),"?","~?"),'DEF_SELF_SCOUT_IMPORT'!$F$42:$F$1040,SUBSTITUTE(SUBSTITUTE(SUBSTITUTE($N662,"~","~~"),"*","~*"),"?","~?"),'DEF_SELF_SCOUT_IMPORT'!$G$42:$G$1040,SUBSTITUTE(SUBSTITUTE(SUBSTITUTE($O662,"~","~~"),"*","~*"),"?","~?")))</f>
        <v>5.0</v>
      </c>
      <c r="G662" s="10">
        <f>IF($C662=0,"",COUNTIFS('DEF_SELF_SCOUT_IMPORT'!$L$42:$L$1040,"Y",'DEF_SELF_SCOUT_IMPORT'!$E$42:$E$1040,SUBSTITUTE(SUBSTITUTE(SUBSTITUTE($B662,"~","~~"),"*","~*"),"?","~?"),'DEF_SELF_SCOUT_IMPORT'!$Q$42:$Q$1040,SUBSTITUTE(SUBSTITUTE(SUBSTITUTE($M662,"~","~~"),"*","~*"),"?","~?"),'DEF_SELF_SCOUT_IMPORT'!$F$42:$F$1040,SUBSTITUTE(SUBSTITUTE(SUBSTITUTE($N662,"~","~~"),"*","~*"),"?","~?"),'DEF_SELF_SCOUT_IMPORT'!$G$42:$G$1040,SUBSTITUTE(SUBSTITUTE(SUBSTITUTE($O662,"~","~~"),"*","~*"),"?","~?"),'DEF_SELF_SCOUT_IMPORT'!$H$42:$H$1040,"RUSH")/$C662)</f>
        <v>0.0</v>
      </c>
      <c r="H662" s="10">
        <f>IF($C662=0,"",COUNTIFS('DEF_SELF_SCOUT_IMPORT'!$L$42:$L$1040,"Y",'DEF_SELF_SCOUT_IMPORT'!$E$42:$E$1040,SUBSTITUTE(SUBSTITUTE(SUBSTITUTE($B662,"~","~~"),"*","~*"),"?","~?"),'DEF_SELF_SCOUT_IMPORT'!$Q$42:$Q$1040,SUBSTITUTE(SUBSTITUTE(SUBSTITUTE($M662,"~","~~"),"*","~*"),"?","~?"),'DEF_SELF_SCOUT_IMPORT'!$F$42:$F$1040,SUBSTITUTE(SUBSTITUTE(SUBSTITUTE($N662,"~","~~"),"*","~*"),"?","~?"),'DEF_SELF_SCOUT_IMPORT'!$G$42:$G$1040,SUBSTITUTE(SUBSTITUTE(SUBSTITUTE($O662,"~","~~"),"*","~*"),"?","~?"),'DEF_SELF_SCOUT_IMPORT'!$H$42:$H$1040,"DROPBACK")/$C662)</f>
        <v>1.0</v>
      </c>
      <c r="I662" s="14" t="str">
        <f>IF(C662=0,"",IF(C662&lt;=2,"TRACK",IF(C662=3,"LOW",IF(C662&lt;=6,"MEDIUM","HIGH"))))</f>
        <v>TRACK</v>
      </c>
      <c r="J662" s="11">
        <f>IF(C662=0,"",ROUND(D662*70+(1-E662)*20+MAX(0,MIN(1,(10-F662)/10))*10,1))</f>
        <v>95.0</v>
      </c>
      <c r="K662" s="14" t="str">
        <f>IF(C662=0,"No Evidence",IF(C662&lt;=2,IF(E662&gt;0,"Explosive Alert","Track Only"),IF(C662=3,"Sample Watch",IF(E662&gt;=START_HERE!$B$31,"Explosive Alert",IF(J662&gt;=80,"Strong Candidate",IF(J662&gt;=65,"Good Candidate",IF(J662&gt;=50,"Mixed / Review","Problem Call")))))))</f>
        <v>Track Only</v>
      </c>
      <c r="L662" s="9" t="str">
        <f>IF(COUNTIFS('DEF_SELF_SCOUT_IMPORT'!$L$42:$L$1040,"Y",'DEF_SELF_SCOUT_IMPORT'!$E$42:$E$1040,SUBSTITUTE(SUBSTITUTE(SUBSTITUTE($B662,"~","~~"),"*","~*"),"?","~?"),'DEF_SELF_SCOUT_IMPORT'!$Q$42:$Q$1040,SUBSTITUTE(SUBSTITUTE(SUBSTITUTE($M662,"~","~~"),"*","~*"),"?","~?"),'DEF_SELF_SCOUT_IMPORT'!$F$42:$F$1040,SUBSTITUTE(SUBSTITUTE(SUBSTITUTE($N662,"~","~~"),"*","~*"),"?","~?"),'DEF_SELF_SCOUT_IMPORT'!$G$42:$G$1040,SUBSTITUTE(SUBSTITUTE(SUBSTITUTE($O662,"~","~~"),"*","~*"),"?","~?"),'DEF_SELF_SCOUT_IMPORT'!$J$42:$J$1040,"")&gt;0,"Unscored clean outcome; review result tags before using score.",IF(C662=0,"No matching defensive reps; film confirmation needed.",IF(K662="Explosive Alert","Explosive risk; review clips before using as answer.",IF(C662&lt;=2,"Track only; not enough sample.",IF(C662=3,IF(E662&gt;0,"Sample watch with explosive exposure; review clips and build the sample.",IF(J662&gt;=65,"Good signal, but sample is limited.","Sample watch; review clips and build the sample.")),IF(K662="Problem Call","Problem area; practice or call-sheet review.",IF(K662="Strong Candidate","Strong call-fit candidate; confirm on film.",IF(K662="Good Candidate","Good call-fit signal; confirm on film.","Mixed signal; review fit and execution on film."))))))))</f>
        <v>Track only; not enough sample.</v>
      </c>
      <c r="M662" s="8" t="s">
        <v>76</v>
      </c>
      <c r="N662" s="8" t="s">
        <v>120</v>
      </c>
      <c r="O662" s="8" t="s">
        <v>206</v>
      </c>
      <c r="P662" s="8"/>
      <c r="Q662" s="8"/>
      <c r="R662" s="8" t="s">
        <v>28</v>
      </c>
      <c r="S662" s="2" t="s">
        <v>335</v>
      </c>
      <c r="T662" s="2">
        <f>IF(C662=0,0,IF(C662&gt;=CALL_LOOKUP_BOARD!$B$7,IF(OR(K662="Problem Call",K662="Explosive Alert"),10000000,20000000),0)+IF(C662&gt;=CALL_LOOKUP_BOARD!$B$7,J662*1000+MIN(C662,999),C662*1000+J662)+0.00992600)</f>
        <v>1095.009926</v>
      </c>
      <c r="U662" s="2">
        <f>IF(C662=0,"",IF(COUNTIFS($S$589:$S$803,SUBSTITUTE(SUBSTITUTE(SUBSTITUTE(S662,"~","~~"),"*","~*"),"?","~?"),$T$589:$T$803,"&gt;"&amp;T662)=0,S662,""))</f>
        <v/>
      </c>
    </row>
    <row r="663" spans="1:21" ht="38" customHeight="1">
      <c r="A663" s="8" t="s">
        <v>334</v>
      </c>
      <c r="B663" s="8" t="s">
        <v>79</v>
      </c>
      <c r="C663" s="12">
        <f>COUNTIFS('DEF_SELF_SCOUT_IMPORT'!$L$42:$L$1040,"Y",'DEF_SELF_SCOUT_IMPORT'!$E$42:$E$1040,SUBSTITUTE(SUBSTITUTE(SUBSTITUTE($B663,"~","~~"),"*","~*"),"?","~?"),'DEF_SELF_SCOUT_IMPORT'!$Q$42:$Q$1040,SUBSTITUTE(SUBSTITUTE(SUBSTITUTE($M663,"~","~~"),"*","~*"),"?","~?"),'DEF_SELF_SCOUT_IMPORT'!$F$42:$F$1040,SUBSTITUTE(SUBSTITUTE(SUBSTITUTE($N663,"~","~~"),"*","~*"),"?","~?"),'DEF_SELF_SCOUT_IMPORT'!$G$42:$G$1040,SUBSTITUTE(SUBSTITUTE(SUBSTITUTE($O663,"~","~~"),"*","~*"),"?","~?"))</f>
        <v>1</v>
      </c>
      <c r="D663" s="10">
        <f>IF($C663=0,"",SUMIFS('DEF_SELF_SCOUT_IMPORT'!$J$42:$J$1040,'DEF_SELF_SCOUT_IMPORT'!$L$42:$L$1040,"Y",'DEF_SELF_SCOUT_IMPORT'!$E$42:$E$1040,SUBSTITUTE(SUBSTITUTE(SUBSTITUTE($B663,"~","~~"),"*","~*"),"?","~?"),'DEF_SELF_SCOUT_IMPORT'!$Q$42:$Q$1040,SUBSTITUTE(SUBSTITUTE(SUBSTITUTE($M663,"~","~~"),"*","~*"),"?","~?"),'DEF_SELF_SCOUT_IMPORT'!$F$42:$F$1040,SUBSTITUTE(SUBSTITUTE(SUBSTITUTE($N663,"~","~~"),"*","~*"),"?","~?"),'DEF_SELF_SCOUT_IMPORT'!$G$42:$G$1040,SUBSTITUTE(SUBSTITUTE(SUBSTITUTE($O663,"~","~~"),"*","~*"),"?","~?"))/$C663)</f>
        <v>0.0</v>
      </c>
      <c r="E663" s="10">
        <f>IF($C663=0,"",SUMIFS('DEF_SELF_SCOUT_IMPORT'!$K$42:$K$1040,'DEF_SELF_SCOUT_IMPORT'!$L$42:$L$1040,"Y",'DEF_SELF_SCOUT_IMPORT'!$E$42:$E$1040,SUBSTITUTE(SUBSTITUTE(SUBSTITUTE($B663,"~","~~"),"*","~*"),"?","~?"),'DEF_SELF_SCOUT_IMPORT'!$Q$42:$Q$1040,SUBSTITUTE(SUBSTITUTE(SUBSTITUTE($M663,"~","~~"),"*","~*"),"?","~?"),'DEF_SELF_SCOUT_IMPORT'!$F$42:$F$1040,SUBSTITUTE(SUBSTITUTE(SUBSTITUTE($N663,"~","~~"),"*","~*"),"?","~?"),'DEF_SELF_SCOUT_IMPORT'!$G$42:$G$1040,SUBSTITUTE(SUBSTITUTE(SUBSTITUTE($O663,"~","~~"),"*","~*"),"?","~?"))/$C663)</f>
        <v>0.0</v>
      </c>
      <c r="F663" s="11">
        <f>IF($C663=0,"",AVERAGEIFS('DEF_SELF_SCOUT_IMPORT'!$I$42:$I$1040,'DEF_SELF_SCOUT_IMPORT'!$L$42:$L$1040,"Y",'DEF_SELF_SCOUT_IMPORT'!$E$42:$E$1040,SUBSTITUTE(SUBSTITUTE(SUBSTITUTE($B663,"~","~~"),"*","~*"),"?","~?"),'DEF_SELF_SCOUT_IMPORT'!$Q$42:$Q$1040,SUBSTITUTE(SUBSTITUTE(SUBSTITUTE($M663,"~","~~"),"*","~*"),"?","~?"),'DEF_SELF_SCOUT_IMPORT'!$F$42:$F$1040,SUBSTITUTE(SUBSTITUTE(SUBSTITUTE($N663,"~","~~"),"*","~*"),"?","~?"),'DEF_SELF_SCOUT_IMPORT'!$G$42:$G$1040,SUBSTITUTE(SUBSTITUTE(SUBSTITUTE($O663,"~","~~"),"*","~*"),"?","~?")))</f>
        <v>6.0</v>
      </c>
      <c r="G663" s="10">
        <f>IF($C663=0,"",COUNTIFS('DEF_SELF_SCOUT_IMPORT'!$L$42:$L$1040,"Y",'DEF_SELF_SCOUT_IMPORT'!$E$42:$E$1040,SUBSTITUTE(SUBSTITUTE(SUBSTITUTE($B663,"~","~~"),"*","~*"),"?","~?"),'DEF_SELF_SCOUT_IMPORT'!$Q$42:$Q$1040,SUBSTITUTE(SUBSTITUTE(SUBSTITUTE($M663,"~","~~"),"*","~*"),"?","~?"),'DEF_SELF_SCOUT_IMPORT'!$F$42:$F$1040,SUBSTITUTE(SUBSTITUTE(SUBSTITUTE($N663,"~","~~"),"*","~*"),"?","~?"),'DEF_SELF_SCOUT_IMPORT'!$G$42:$G$1040,SUBSTITUTE(SUBSTITUTE(SUBSTITUTE($O663,"~","~~"),"*","~*"),"?","~?"),'DEF_SELF_SCOUT_IMPORT'!$H$42:$H$1040,"RUSH")/$C663)</f>
        <v>1.0</v>
      </c>
      <c r="H663" s="10">
        <f>IF($C663=0,"",COUNTIFS('DEF_SELF_SCOUT_IMPORT'!$L$42:$L$1040,"Y",'DEF_SELF_SCOUT_IMPORT'!$E$42:$E$1040,SUBSTITUTE(SUBSTITUTE(SUBSTITUTE($B663,"~","~~"),"*","~*"),"?","~?"),'DEF_SELF_SCOUT_IMPORT'!$Q$42:$Q$1040,SUBSTITUTE(SUBSTITUTE(SUBSTITUTE($M663,"~","~~"),"*","~*"),"?","~?"),'DEF_SELF_SCOUT_IMPORT'!$F$42:$F$1040,SUBSTITUTE(SUBSTITUTE(SUBSTITUTE($N663,"~","~~"),"*","~*"),"?","~?"),'DEF_SELF_SCOUT_IMPORT'!$G$42:$G$1040,SUBSTITUTE(SUBSTITUTE(SUBSTITUTE($O663,"~","~~"),"*","~*"),"?","~?"),'DEF_SELF_SCOUT_IMPORT'!$H$42:$H$1040,"DROPBACK")/$C663)</f>
        <v>0.0</v>
      </c>
      <c r="I663" s="14" t="str">
        <f>IF(C663=0,"",IF(C663&lt;=2,"TRACK",IF(C663=3,"LOW",IF(C663&lt;=6,"MEDIUM","HIGH"))))</f>
        <v>TRACK</v>
      </c>
      <c r="J663" s="11">
        <f>IF(C663=0,"",ROUND(D663*70+(1-E663)*20+MAX(0,MIN(1,(10-F663)/10))*10,1))</f>
        <v>24.0</v>
      </c>
      <c r="K663" s="14" t="str">
        <f>IF(C663=0,"No Evidence",IF(C663&lt;=2,IF(E663&gt;0,"Explosive Alert","Track Only"),IF(C663=3,"Sample Watch",IF(E663&gt;=START_HERE!$B$31,"Explosive Alert",IF(J663&gt;=80,"Strong Candidate",IF(J663&gt;=65,"Good Candidate",IF(J663&gt;=50,"Mixed / Review","Problem Call")))))))</f>
        <v>Track Only</v>
      </c>
      <c r="L663" s="9" t="str">
        <f>IF(COUNTIFS('DEF_SELF_SCOUT_IMPORT'!$L$42:$L$1040,"Y",'DEF_SELF_SCOUT_IMPORT'!$E$42:$E$1040,SUBSTITUTE(SUBSTITUTE(SUBSTITUTE($B663,"~","~~"),"*","~*"),"?","~?"),'DEF_SELF_SCOUT_IMPORT'!$Q$42:$Q$1040,SUBSTITUTE(SUBSTITUTE(SUBSTITUTE($M663,"~","~~"),"*","~*"),"?","~?"),'DEF_SELF_SCOUT_IMPORT'!$F$42:$F$1040,SUBSTITUTE(SUBSTITUTE(SUBSTITUTE($N663,"~","~~"),"*","~*"),"?","~?"),'DEF_SELF_SCOUT_IMPORT'!$G$42:$G$1040,SUBSTITUTE(SUBSTITUTE(SUBSTITUTE($O663,"~","~~"),"*","~*"),"?","~?"),'DEF_SELF_SCOUT_IMPORT'!$J$42:$J$1040,"")&gt;0,"Unscored clean outcome; review result tags before using score.",IF(C663=0,"No matching defensive reps; film confirmation needed.",IF(K663="Explosive Alert","Explosive risk; review clips before using as answer.",IF(C663&lt;=2,"Track only; not enough sample.",IF(C663=3,IF(E663&gt;0,"Sample watch with explosive exposure; review clips and build the sample.",IF(J663&gt;=65,"Good signal, but sample is limited.","Sample watch; review clips and build the sample.")),IF(K663="Problem Call","Problem area; practice or call-sheet review.",IF(K663="Strong Candidate","Strong call-fit candidate; confirm on film.",IF(K663="Good Candidate","Good call-fit signal; confirm on film.","Mixed signal; review fit and execution on film."))))))))</f>
        <v>Track only; not enough sample.</v>
      </c>
      <c r="M663" s="8" t="s">
        <v>76</v>
      </c>
      <c r="N663" s="8" t="s">
        <v>120</v>
      </c>
      <c r="O663" s="8" t="s">
        <v>206</v>
      </c>
      <c r="P663" s="8"/>
      <c r="Q663" s="8"/>
      <c r="R663" s="8" t="s">
        <v>28</v>
      </c>
      <c r="S663" s="2" t="s">
        <v>335</v>
      </c>
      <c r="T663" s="2">
        <f>IF(C663=0,0,IF(C663&gt;=CALL_LOOKUP_BOARD!$B$7,IF(OR(K663="Problem Call",K663="Explosive Alert"),10000000,20000000),0)+IF(C663&gt;=CALL_LOOKUP_BOARD!$B$7,J663*1000+MIN(C663,999),C663*1000+J663)+0.00992500)</f>
        <v>1024.009925</v>
      </c>
      <c r="U663" s="2">
        <f>IF(C663=0,"",IF(COUNTIFS($S$589:$S$803,SUBSTITUTE(SUBSTITUTE(SUBSTITUTE(S663,"~","~~"),"*","~*"),"?","~?"),$T$589:$T$803,"&gt;"&amp;T663)=0,S663,""))</f>
        <v/>
      </c>
    </row>
    <row r="664" spans="1:21" ht="38" customHeight="1">
      <c r="A664" s="8" t="s">
        <v>334</v>
      </c>
      <c r="B664" s="8" t="s">
        <v>80</v>
      </c>
      <c r="C664" s="12">
        <f>COUNTIFS('DEF_SELF_SCOUT_IMPORT'!$L$42:$L$1040,"Y",'DEF_SELF_SCOUT_IMPORT'!$E$42:$E$1040,SUBSTITUTE(SUBSTITUTE(SUBSTITUTE($B664,"~","~~"),"*","~*"),"?","~?"),'DEF_SELF_SCOUT_IMPORT'!$Q$42:$Q$1040,SUBSTITUTE(SUBSTITUTE(SUBSTITUTE($M664,"~","~~"),"*","~*"),"?","~?"),'DEF_SELF_SCOUT_IMPORT'!$F$42:$F$1040,SUBSTITUTE(SUBSTITUTE(SUBSTITUTE($N664,"~","~~"),"*","~*"),"?","~?"),'DEF_SELF_SCOUT_IMPORT'!$G$42:$G$1040,SUBSTITUTE(SUBSTITUTE(SUBSTITUTE($O664,"~","~~"),"*","~*"),"?","~?"))</f>
        <v>1</v>
      </c>
      <c r="D664" s="10">
        <f>IF($C664=0,"",SUMIFS('DEF_SELF_SCOUT_IMPORT'!$J$42:$J$1040,'DEF_SELF_SCOUT_IMPORT'!$L$42:$L$1040,"Y",'DEF_SELF_SCOUT_IMPORT'!$E$42:$E$1040,SUBSTITUTE(SUBSTITUTE(SUBSTITUTE($B664,"~","~~"),"*","~*"),"?","~?"),'DEF_SELF_SCOUT_IMPORT'!$Q$42:$Q$1040,SUBSTITUTE(SUBSTITUTE(SUBSTITUTE($M664,"~","~~"),"*","~*"),"?","~?"),'DEF_SELF_SCOUT_IMPORT'!$F$42:$F$1040,SUBSTITUTE(SUBSTITUTE(SUBSTITUTE($N664,"~","~~"),"*","~*"),"?","~?"),'DEF_SELF_SCOUT_IMPORT'!$G$42:$G$1040,SUBSTITUTE(SUBSTITUTE(SUBSTITUTE($O664,"~","~~"),"*","~*"),"?","~?"))/$C664)</f>
        <v>1.0</v>
      </c>
      <c r="E664" s="10">
        <f>IF($C664=0,"",SUMIFS('DEF_SELF_SCOUT_IMPORT'!$K$42:$K$1040,'DEF_SELF_SCOUT_IMPORT'!$L$42:$L$1040,"Y",'DEF_SELF_SCOUT_IMPORT'!$E$42:$E$1040,SUBSTITUTE(SUBSTITUTE(SUBSTITUTE($B664,"~","~~"),"*","~*"),"?","~?"),'DEF_SELF_SCOUT_IMPORT'!$Q$42:$Q$1040,SUBSTITUTE(SUBSTITUTE(SUBSTITUTE($M664,"~","~~"),"*","~*"),"?","~?"),'DEF_SELF_SCOUT_IMPORT'!$F$42:$F$1040,SUBSTITUTE(SUBSTITUTE(SUBSTITUTE($N664,"~","~~"),"*","~*"),"?","~?"),'DEF_SELF_SCOUT_IMPORT'!$G$42:$G$1040,SUBSTITUTE(SUBSTITUTE(SUBSTITUTE($O664,"~","~~"),"*","~*"),"?","~?"))/$C664)</f>
        <v>0.0</v>
      </c>
      <c r="F664" s="11">
        <f>IF($C664=0,"",AVERAGEIFS('DEF_SELF_SCOUT_IMPORT'!$I$42:$I$1040,'DEF_SELF_SCOUT_IMPORT'!$L$42:$L$1040,"Y",'DEF_SELF_SCOUT_IMPORT'!$E$42:$E$1040,SUBSTITUTE(SUBSTITUTE(SUBSTITUTE($B664,"~","~~"),"*","~*"),"?","~?"),'DEF_SELF_SCOUT_IMPORT'!$Q$42:$Q$1040,SUBSTITUTE(SUBSTITUTE(SUBSTITUTE($M664,"~","~~"),"*","~*"),"?","~?"),'DEF_SELF_SCOUT_IMPORT'!$F$42:$F$1040,SUBSTITUTE(SUBSTITUTE(SUBSTITUTE($N664,"~","~~"),"*","~*"),"?","~?"),'DEF_SELF_SCOUT_IMPORT'!$G$42:$G$1040,SUBSTITUTE(SUBSTITUTE(SUBSTITUTE($O664,"~","~~"),"*","~*"),"?","~?")))</f>
        <v>3.0</v>
      </c>
      <c r="G664" s="10">
        <f>IF($C664=0,"",COUNTIFS('DEF_SELF_SCOUT_IMPORT'!$L$42:$L$1040,"Y",'DEF_SELF_SCOUT_IMPORT'!$E$42:$E$1040,SUBSTITUTE(SUBSTITUTE(SUBSTITUTE($B664,"~","~~"),"*","~*"),"?","~?"),'DEF_SELF_SCOUT_IMPORT'!$Q$42:$Q$1040,SUBSTITUTE(SUBSTITUTE(SUBSTITUTE($M664,"~","~~"),"*","~*"),"?","~?"),'DEF_SELF_SCOUT_IMPORT'!$F$42:$F$1040,SUBSTITUTE(SUBSTITUTE(SUBSTITUTE($N664,"~","~~"),"*","~*"),"?","~?"),'DEF_SELF_SCOUT_IMPORT'!$G$42:$G$1040,SUBSTITUTE(SUBSTITUTE(SUBSTITUTE($O664,"~","~~"),"*","~*"),"?","~?"),'DEF_SELF_SCOUT_IMPORT'!$H$42:$H$1040,"RUSH")/$C664)</f>
        <v>0.0</v>
      </c>
      <c r="H664" s="10">
        <f>IF($C664=0,"",COUNTIFS('DEF_SELF_SCOUT_IMPORT'!$L$42:$L$1040,"Y",'DEF_SELF_SCOUT_IMPORT'!$E$42:$E$1040,SUBSTITUTE(SUBSTITUTE(SUBSTITUTE($B664,"~","~~"),"*","~*"),"?","~?"),'DEF_SELF_SCOUT_IMPORT'!$Q$42:$Q$1040,SUBSTITUTE(SUBSTITUTE(SUBSTITUTE($M664,"~","~~"),"*","~*"),"?","~?"),'DEF_SELF_SCOUT_IMPORT'!$F$42:$F$1040,SUBSTITUTE(SUBSTITUTE(SUBSTITUTE($N664,"~","~~"),"*","~*"),"?","~?"),'DEF_SELF_SCOUT_IMPORT'!$G$42:$G$1040,SUBSTITUTE(SUBSTITUTE(SUBSTITUTE($O664,"~","~~"),"*","~*"),"?","~?"),'DEF_SELF_SCOUT_IMPORT'!$H$42:$H$1040,"DROPBACK")/$C664)</f>
        <v>1.0</v>
      </c>
      <c r="I664" s="14" t="str">
        <f>IF(C664=0,"",IF(C664&lt;=2,"TRACK",IF(C664=3,"LOW",IF(C664&lt;=6,"MEDIUM","HIGH"))))</f>
        <v>TRACK</v>
      </c>
      <c r="J664" s="11">
        <f>IF(C664=0,"",ROUND(D664*70+(1-E664)*20+MAX(0,MIN(1,(10-F664)/10))*10,1))</f>
        <v>97.0</v>
      </c>
      <c r="K664" s="14" t="str">
        <f>IF(C664=0,"No Evidence",IF(C664&lt;=2,IF(E664&gt;0,"Explosive Alert","Track Only"),IF(C664=3,"Sample Watch",IF(E664&gt;=START_HERE!$B$31,"Explosive Alert",IF(J664&gt;=80,"Strong Candidate",IF(J664&gt;=65,"Good Candidate",IF(J664&gt;=50,"Mixed / Review","Problem Call")))))))</f>
        <v>Track Only</v>
      </c>
      <c r="L664" s="9" t="str">
        <f>IF(COUNTIFS('DEF_SELF_SCOUT_IMPORT'!$L$42:$L$1040,"Y",'DEF_SELF_SCOUT_IMPORT'!$E$42:$E$1040,SUBSTITUTE(SUBSTITUTE(SUBSTITUTE($B664,"~","~~"),"*","~*"),"?","~?"),'DEF_SELF_SCOUT_IMPORT'!$Q$42:$Q$1040,SUBSTITUTE(SUBSTITUTE(SUBSTITUTE($M664,"~","~~"),"*","~*"),"?","~?"),'DEF_SELF_SCOUT_IMPORT'!$F$42:$F$1040,SUBSTITUTE(SUBSTITUTE(SUBSTITUTE($N664,"~","~~"),"*","~*"),"?","~?"),'DEF_SELF_SCOUT_IMPORT'!$G$42:$G$1040,SUBSTITUTE(SUBSTITUTE(SUBSTITUTE($O664,"~","~~"),"*","~*"),"?","~?"),'DEF_SELF_SCOUT_IMPORT'!$J$42:$J$1040,"")&gt;0,"Unscored clean outcome; review result tags before using score.",IF(C664=0,"No matching defensive reps; film confirmation needed.",IF(K664="Explosive Alert","Explosive risk; review clips before using as answer.",IF(C664&lt;=2,"Track only; not enough sample.",IF(C664=3,IF(E664&gt;0,"Sample watch with explosive exposure; review clips and build the sample.",IF(J664&gt;=65,"Good signal, but sample is limited.","Sample watch; review clips and build the sample.")),IF(K664="Problem Call","Problem area; practice or call-sheet review.",IF(K664="Strong Candidate","Strong call-fit candidate; confirm on film.",IF(K664="Good Candidate","Good call-fit signal; confirm on film.","Mixed signal; review fit and execution on film."))))))))</f>
        <v>Track only; not enough sample.</v>
      </c>
      <c r="M664" s="8" t="s">
        <v>76</v>
      </c>
      <c r="N664" s="8" t="s">
        <v>120</v>
      </c>
      <c r="O664" s="8" t="s">
        <v>206</v>
      </c>
      <c r="P664" s="8"/>
      <c r="Q664" s="8"/>
      <c r="R664" s="8" t="s">
        <v>28</v>
      </c>
      <c r="S664" s="2" t="s">
        <v>335</v>
      </c>
      <c r="T664" s="2">
        <f>IF(C664=0,0,IF(C664&gt;=CALL_LOOKUP_BOARD!$B$7,IF(OR(K664="Problem Call",K664="Explosive Alert"),10000000,20000000),0)+IF(C664&gt;=CALL_LOOKUP_BOARD!$B$7,J664*1000+MIN(C664,999),C664*1000+J664)+0.00992400)</f>
        <v>1097.009924</v>
      </c>
      <c r="U664" s="2">
        <f>IF(C664=0,"",IF(COUNTIFS($S$589:$S$803,SUBSTITUTE(SUBSTITUTE(SUBSTITUTE(S664,"~","~~"),"*","~*"),"?","~?"),$T$589:$T$803,"&gt;"&amp;T664)=0,S664,""))</f>
        <v/>
      </c>
    </row>
    <row r="665" spans="1:21" ht="38" customHeight="1">
      <c r="A665" s="8" t="s">
        <v>334</v>
      </c>
      <c r="B665" s="8" t="s">
        <v>81</v>
      </c>
      <c r="C665" s="12">
        <f>COUNTIFS('DEF_SELF_SCOUT_IMPORT'!$L$42:$L$1040,"Y",'DEF_SELF_SCOUT_IMPORT'!$E$42:$E$1040,SUBSTITUTE(SUBSTITUTE(SUBSTITUTE($B665,"~","~~"),"*","~*"),"?","~?"),'DEF_SELF_SCOUT_IMPORT'!$Q$42:$Q$1040,SUBSTITUTE(SUBSTITUTE(SUBSTITUTE($M665,"~","~~"),"*","~*"),"?","~?"),'DEF_SELF_SCOUT_IMPORT'!$F$42:$F$1040,SUBSTITUTE(SUBSTITUTE(SUBSTITUTE($N665,"~","~~"),"*","~*"),"?","~?"),'DEF_SELF_SCOUT_IMPORT'!$G$42:$G$1040,SUBSTITUTE(SUBSTITUTE(SUBSTITUTE($O665,"~","~~"),"*","~*"),"?","~?"))</f>
        <v>1</v>
      </c>
      <c r="D665" s="10">
        <f>IF($C665=0,"",SUMIFS('DEF_SELF_SCOUT_IMPORT'!$J$42:$J$1040,'DEF_SELF_SCOUT_IMPORT'!$L$42:$L$1040,"Y",'DEF_SELF_SCOUT_IMPORT'!$E$42:$E$1040,SUBSTITUTE(SUBSTITUTE(SUBSTITUTE($B665,"~","~~"),"*","~*"),"?","~?"),'DEF_SELF_SCOUT_IMPORT'!$Q$42:$Q$1040,SUBSTITUTE(SUBSTITUTE(SUBSTITUTE($M665,"~","~~"),"*","~*"),"?","~?"),'DEF_SELF_SCOUT_IMPORT'!$F$42:$F$1040,SUBSTITUTE(SUBSTITUTE(SUBSTITUTE($N665,"~","~~"),"*","~*"),"?","~?"),'DEF_SELF_SCOUT_IMPORT'!$G$42:$G$1040,SUBSTITUTE(SUBSTITUTE(SUBSTITUTE($O665,"~","~~"),"*","~*"),"?","~?"))/$C665)</f>
        <v>1.0</v>
      </c>
      <c r="E665" s="10">
        <f>IF($C665=0,"",SUMIFS('DEF_SELF_SCOUT_IMPORT'!$K$42:$K$1040,'DEF_SELF_SCOUT_IMPORT'!$L$42:$L$1040,"Y",'DEF_SELF_SCOUT_IMPORT'!$E$42:$E$1040,SUBSTITUTE(SUBSTITUTE(SUBSTITUTE($B665,"~","~~"),"*","~*"),"?","~?"),'DEF_SELF_SCOUT_IMPORT'!$Q$42:$Q$1040,SUBSTITUTE(SUBSTITUTE(SUBSTITUTE($M665,"~","~~"),"*","~*"),"?","~?"),'DEF_SELF_SCOUT_IMPORT'!$F$42:$F$1040,SUBSTITUTE(SUBSTITUTE(SUBSTITUTE($N665,"~","~~"),"*","~*"),"?","~?"),'DEF_SELF_SCOUT_IMPORT'!$G$42:$G$1040,SUBSTITUTE(SUBSTITUTE(SUBSTITUTE($O665,"~","~~"),"*","~*"),"?","~?"))/$C665)</f>
        <v>0.0</v>
      </c>
      <c r="F665" s="11">
        <f>IF($C665=0,"",AVERAGEIFS('DEF_SELF_SCOUT_IMPORT'!$I$42:$I$1040,'DEF_SELF_SCOUT_IMPORT'!$L$42:$L$1040,"Y",'DEF_SELF_SCOUT_IMPORT'!$E$42:$E$1040,SUBSTITUTE(SUBSTITUTE(SUBSTITUTE($B665,"~","~~"),"*","~*"),"?","~?"),'DEF_SELF_SCOUT_IMPORT'!$Q$42:$Q$1040,SUBSTITUTE(SUBSTITUTE(SUBSTITUTE($M665,"~","~~"),"*","~*"),"?","~?"),'DEF_SELF_SCOUT_IMPORT'!$F$42:$F$1040,SUBSTITUTE(SUBSTITUTE(SUBSTITUTE($N665,"~","~~"),"*","~*"),"?","~?"),'DEF_SELF_SCOUT_IMPORT'!$G$42:$G$1040,SUBSTITUTE(SUBSTITUTE(SUBSTITUTE($O665,"~","~~"),"*","~*"),"?","~?")))</f>
        <v>0.0</v>
      </c>
      <c r="G665" s="10">
        <f>IF($C665=0,"",COUNTIFS('DEF_SELF_SCOUT_IMPORT'!$L$42:$L$1040,"Y",'DEF_SELF_SCOUT_IMPORT'!$E$42:$E$1040,SUBSTITUTE(SUBSTITUTE(SUBSTITUTE($B665,"~","~~"),"*","~*"),"?","~?"),'DEF_SELF_SCOUT_IMPORT'!$Q$42:$Q$1040,SUBSTITUTE(SUBSTITUTE(SUBSTITUTE($M665,"~","~~"),"*","~*"),"?","~?"),'DEF_SELF_SCOUT_IMPORT'!$F$42:$F$1040,SUBSTITUTE(SUBSTITUTE(SUBSTITUTE($N665,"~","~~"),"*","~*"),"?","~?"),'DEF_SELF_SCOUT_IMPORT'!$G$42:$G$1040,SUBSTITUTE(SUBSTITUTE(SUBSTITUTE($O665,"~","~~"),"*","~*"),"?","~?"),'DEF_SELF_SCOUT_IMPORT'!$H$42:$H$1040,"RUSH")/$C665)</f>
        <v>0.0</v>
      </c>
      <c r="H665" s="10">
        <f>IF($C665=0,"",COUNTIFS('DEF_SELF_SCOUT_IMPORT'!$L$42:$L$1040,"Y",'DEF_SELF_SCOUT_IMPORT'!$E$42:$E$1040,SUBSTITUTE(SUBSTITUTE(SUBSTITUTE($B665,"~","~~"),"*","~*"),"?","~?"),'DEF_SELF_SCOUT_IMPORT'!$Q$42:$Q$1040,SUBSTITUTE(SUBSTITUTE(SUBSTITUTE($M665,"~","~~"),"*","~*"),"?","~?"),'DEF_SELF_SCOUT_IMPORT'!$F$42:$F$1040,SUBSTITUTE(SUBSTITUTE(SUBSTITUTE($N665,"~","~~"),"*","~*"),"?","~?"),'DEF_SELF_SCOUT_IMPORT'!$G$42:$G$1040,SUBSTITUTE(SUBSTITUTE(SUBSTITUTE($O665,"~","~~"),"*","~*"),"?","~?"),'DEF_SELF_SCOUT_IMPORT'!$H$42:$H$1040,"DROPBACK")/$C665)</f>
        <v>1.0</v>
      </c>
      <c r="I665" s="14" t="str">
        <f>IF(C665=0,"",IF(C665&lt;=2,"TRACK",IF(C665=3,"LOW",IF(C665&lt;=6,"MEDIUM","HIGH"))))</f>
        <v>TRACK</v>
      </c>
      <c r="J665" s="11">
        <f>IF(C665=0,"",ROUND(D665*70+(1-E665)*20+MAX(0,MIN(1,(10-F665)/10))*10,1))</f>
        <v>100.0</v>
      </c>
      <c r="K665" s="14" t="str">
        <f>IF(C665=0,"No Evidence",IF(C665&lt;=2,IF(E665&gt;0,"Explosive Alert","Track Only"),IF(C665=3,"Sample Watch",IF(E665&gt;=START_HERE!$B$31,"Explosive Alert",IF(J665&gt;=80,"Strong Candidate",IF(J665&gt;=65,"Good Candidate",IF(J665&gt;=50,"Mixed / Review","Problem Call")))))))</f>
        <v>Track Only</v>
      </c>
      <c r="L665" s="9" t="str">
        <f>IF(COUNTIFS('DEF_SELF_SCOUT_IMPORT'!$L$42:$L$1040,"Y",'DEF_SELF_SCOUT_IMPORT'!$E$42:$E$1040,SUBSTITUTE(SUBSTITUTE(SUBSTITUTE($B665,"~","~~"),"*","~*"),"?","~?"),'DEF_SELF_SCOUT_IMPORT'!$Q$42:$Q$1040,SUBSTITUTE(SUBSTITUTE(SUBSTITUTE($M665,"~","~~"),"*","~*"),"?","~?"),'DEF_SELF_SCOUT_IMPORT'!$F$42:$F$1040,SUBSTITUTE(SUBSTITUTE(SUBSTITUTE($N665,"~","~~"),"*","~*"),"?","~?"),'DEF_SELF_SCOUT_IMPORT'!$G$42:$G$1040,SUBSTITUTE(SUBSTITUTE(SUBSTITUTE($O665,"~","~~"),"*","~*"),"?","~?"),'DEF_SELF_SCOUT_IMPORT'!$J$42:$J$1040,"")&gt;0,"Unscored clean outcome; review result tags before using score.",IF(C665=0,"No matching defensive reps; film confirmation needed.",IF(K665="Explosive Alert","Explosive risk; review clips before using as answer.",IF(C665&lt;=2,"Track only; not enough sample.",IF(C665=3,IF(E665&gt;0,"Sample watch with explosive exposure; review clips and build the sample.",IF(J665&gt;=65,"Good signal, but sample is limited.","Sample watch; review clips and build the sample.")),IF(K665="Problem Call","Problem area; practice or call-sheet review.",IF(K665="Strong Candidate","Strong call-fit candidate; confirm on film.",IF(K665="Good Candidate","Good call-fit signal; confirm on film.","Mixed signal; review fit and execution on film."))))))))</f>
        <v>Track only; not enough sample.</v>
      </c>
      <c r="M665" s="8" t="s">
        <v>76</v>
      </c>
      <c r="N665" s="8" t="s">
        <v>120</v>
      </c>
      <c r="O665" s="8" t="s">
        <v>206</v>
      </c>
      <c r="P665" s="8"/>
      <c r="Q665" s="8"/>
      <c r="R665" s="8" t="s">
        <v>28</v>
      </c>
      <c r="S665" s="2" t="s">
        <v>335</v>
      </c>
      <c r="T665" s="2">
        <f>IF(C665=0,0,IF(C665&gt;=CALL_LOOKUP_BOARD!$B$7,IF(OR(K665="Problem Call",K665="Explosive Alert"),10000000,20000000),0)+IF(C665&gt;=CALL_LOOKUP_BOARD!$B$7,J665*1000+MIN(C665,999),C665*1000+J665)+0.00992300)</f>
        <v>1100.009923</v>
      </c>
      <c r="U665" s="2">
        <f>IF(C665=0,"",IF(COUNTIFS($S$589:$S$803,SUBSTITUTE(SUBSTITUTE(SUBSTITUTE(S665,"~","~~"),"*","~*"),"?","~?"),$T$589:$T$803,"&gt;"&amp;T665)=0,S665,""))</f>
        <v/>
      </c>
    </row>
    <row r="666" spans="1:21" ht="38" customHeight="1">
      <c r="A666" s="8" t="s">
        <v>334</v>
      </c>
      <c r="B666" s="8" t="s">
        <v>61</v>
      </c>
      <c r="C666" s="12">
        <f>COUNTIFS('DEF_SELF_SCOUT_IMPORT'!$L$42:$L$1040,"Y",'DEF_SELF_SCOUT_IMPORT'!$E$42:$E$1040,SUBSTITUTE(SUBSTITUTE(SUBSTITUTE($B666,"~","~~"),"*","~*"),"?","~?"),'DEF_SELF_SCOUT_IMPORT'!$Q$42:$Q$1040,SUBSTITUTE(SUBSTITUTE(SUBSTITUTE($M666,"~","~~"),"*","~*"),"?","~?"),'DEF_SELF_SCOUT_IMPORT'!$F$42:$F$1040,SUBSTITUTE(SUBSTITUTE(SUBSTITUTE($N666,"~","~~"),"*","~*"),"?","~?"),'DEF_SELF_SCOUT_IMPORT'!$G$42:$G$1040,SUBSTITUTE(SUBSTITUTE(SUBSTITUTE($O666,"~","~~"),"*","~*"),"?","~?"))</f>
        <v>2</v>
      </c>
      <c r="D666" s="10">
        <f>IF($C666=0,"",SUMIFS('DEF_SELF_SCOUT_IMPORT'!$J$42:$J$1040,'DEF_SELF_SCOUT_IMPORT'!$L$42:$L$1040,"Y",'DEF_SELF_SCOUT_IMPORT'!$E$42:$E$1040,SUBSTITUTE(SUBSTITUTE(SUBSTITUTE($B666,"~","~~"),"*","~*"),"?","~?"),'DEF_SELF_SCOUT_IMPORT'!$Q$42:$Q$1040,SUBSTITUTE(SUBSTITUTE(SUBSTITUTE($M666,"~","~~"),"*","~*"),"?","~?"),'DEF_SELF_SCOUT_IMPORT'!$F$42:$F$1040,SUBSTITUTE(SUBSTITUTE(SUBSTITUTE($N666,"~","~~"),"*","~*"),"?","~?"),'DEF_SELF_SCOUT_IMPORT'!$G$42:$G$1040,SUBSTITUTE(SUBSTITUTE(SUBSTITUTE($O666,"~","~~"),"*","~*"),"?","~?"))/$C666)</f>
        <v>0.5</v>
      </c>
      <c r="E666" s="10">
        <f>IF($C666=0,"",SUMIFS('DEF_SELF_SCOUT_IMPORT'!$K$42:$K$1040,'DEF_SELF_SCOUT_IMPORT'!$L$42:$L$1040,"Y",'DEF_SELF_SCOUT_IMPORT'!$E$42:$E$1040,SUBSTITUTE(SUBSTITUTE(SUBSTITUTE($B666,"~","~~"),"*","~*"),"?","~?"),'DEF_SELF_SCOUT_IMPORT'!$Q$42:$Q$1040,SUBSTITUTE(SUBSTITUTE(SUBSTITUTE($M666,"~","~~"),"*","~*"),"?","~?"),'DEF_SELF_SCOUT_IMPORT'!$F$42:$F$1040,SUBSTITUTE(SUBSTITUTE(SUBSTITUTE($N666,"~","~~"),"*","~*"),"?","~?"),'DEF_SELF_SCOUT_IMPORT'!$G$42:$G$1040,SUBSTITUTE(SUBSTITUTE(SUBSTITUTE($O666,"~","~~"),"*","~*"),"?","~?"))/$C666)</f>
        <v>0.0</v>
      </c>
      <c r="F666" s="11">
        <f>IF($C666=0,"",AVERAGEIFS('DEF_SELF_SCOUT_IMPORT'!$I$42:$I$1040,'DEF_SELF_SCOUT_IMPORT'!$L$42:$L$1040,"Y",'DEF_SELF_SCOUT_IMPORT'!$E$42:$E$1040,SUBSTITUTE(SUBSTITUTE(SUBSTITUTE($B666,"~","~~"),"*","~*"),"?","~?"),'DEF_SELF_SCOUT_IMPORT'!$Q$42:$Q$1040,SUBSTITUTE(SUBSTITUTE(SUBSTITUTE($M666,"~","~~"),"*","~*"),"?","~?"),'DEF_SELF_SCOUT_IMPORT'!$F$42:$F$1040,SUBSTITUTE(SUBSTITUTE(SUBSTITUTE($N666,"~","~~"),"*","~*"),"?","~?"),'DEF_SELF_SCOUT_IMPORT'!$G$42:$G$1040,SUBSTITUTE(SUBSTITUTE(SUBSTITUTE($O666,"~","~~"),"*","~*"),"?","~?")))</f>
        <v>3.5</v>
      </c>
      <c r="G666" s="10">
        <f>IF($C666=0,"",COUNTIFS('DEF_SELF_SCOUT_IMPORT'!$L$42:$L$1040,"Y",'DEF_SELF_SCOUT_IMPORT'!$E$42:$E$1040,SUBSTITUTE(SUBSTITUTE(SUBSTITUTE($B666,"~","~~"),"*","~*"),"?","~?"),'DEF_SELF_SCOUT_IMPORT'!$Q$42:$Q$1040,SUBSTITUTE(SUBSTITUTE(SUBSTITUTE($M666,"~","~~"),"*","~*"),"?","~?"),'DEF_SELF_SCOUT_IMPORT'!$F$42:$F$1040,SUBSTITUTE(SUBSTITUTE(SUBSTITUTE($N666,"~","~~"),"*","~*"),"?","~?"),'DEF_SELF_SCOUT_IMPORT'!$G$42:$G$1040,SUBSTITUTE(SUBSTITUTE(SUBSTITUTE($O666,"~","~~"),"*","~*"),"?","~?"),'DEF_SELF_SCOUT_IMPORT'!$H$42:$H$1040,"RUSH")/$C666)</f>
        <v>0.5</v>
      </c>
      <c r="H666" s="10">
        <f>IF($C666=0,"",COUNTIFS('DEF_SELF_SCOUT_IMPORT'!$L$42:$L$1040,"Y",'DEF_SELF_SCOUT_IMPORT'!$E$42:$E$1040,SUBSTITUTE(SUBSTITUTE(SUBSTITUTE($B666,"~","~~"),"*","~*"),"?","~?"),'DEF_SELF_SCOUT_IMPORT'!$Q$42:$Q$1040,SUBSTITUTE(SUBSTITUTE(SUBSTITUTE($M666,"~","~~"),"*","~*"),"?","~?"),'DEF_SELF_SCOUT_IMPORT'!$F$42:$F$1040,SUBSTITUTE(SUBSTITUTE(SUBSTITUTE($N666,"~","~~"),"*","~*"),"?","~?"),'DEF_SELF_SCOUT_IMPORT'!$G$42:$G$1040,SUBSTITUTE(SUBSTITUTE(SUBSTITUTE($O666,"~","~~"),"*","~*"),"?","~?"),'DEF_SELF_SCOUT_IMPORT'!$H$42:$H$1040,"DROPBACK")/$C666)</f>
        <v>0.5</v>
      </c>
      <c r="I666" s="14" t="str">
        <f>IF(C666=0,"",IF(C666&lt;=2,"TRACK",IF(C666=3,"LOW",IF(C666&lt;=6,"MEDIUM","HIGH"))))</f>
        <v>TRACK</v>
      </c>
      <c r="J666" s="11">
        <f>IF(C666=0,"",ROUND(D666*70+(1-E666)*20+MAX(0,MIN(1,(10-F666)/10))*10,1))</f>
        <v>61.5</v>
      </c>
      <c r="K666" s="14" t="str">
        <f>IF(C666=0,"No Evidence",IF(C666&lt;=2,IF(E666&gt;0,"Explosive Alert","Track Only"),IF(C666=3,"Sample Watch",IF(E666&gt;=START_HERE!$B$31,"Explosive Alert",IF(J666&gt;=80,"Strong Candidate",IF(J666&gt;=65,"Good Candidate",IF(J666&gt;=50,"Mixed / Review","Problem Call")))))))</f>
        <v>Track Only</v>
      </c>
      <c r="L666" s="9" t="str">
        <f>IF(COUNTIFS('DEF_SELF_SCOUT_IMPORT'!$L$42:$L$1040,"Y",'DEF_SELF_SCOUT_IMPORT'!$E$42:$E$1040,SUBSTITUTE(SUBSTITUTE(SUBSTITUTE($B666,"~","~~"),"*","~*"),"?","~?"),'DEF_SELF_SCOUT_IMPORT'!$Q$42:$Q$1040,SUBSTITUTE(SUBSTITUTE(SUBSTITUTE($M666,"~","~~"),"*","~*"),"?","~?"),'DEF_SELF_SCOUT_IMPORT'!$F$42:$F$1040,SUBSTITUTE(SUBSTITUTE(SUBSTITUTE($N666,"~","~~"),"*","~*"),"?","~?"),'DEF_SELF_SCOUT_IMPORT'!$G$42:$G$1040,SUBSTITUTE(SUBSTITUTE(SUBSTITUTE($O666,"~","~~"),"*","~*"),"?","~?"),'DEF_SELF_SCOUT_IMPORT'!$J$42:$J$1040,"")&gt;0,"Unscored clean outcome; review result tags before using score.",IF(C666=0,"No matching defensive reps; film confirmation needed.",IF(K666="Explosive Alert","Explosive risk; review clips before using as answer.",IF(C666&lt;=2,"Track only; not enough sample.",IF(C666=3,IF(E666&gt;0,"Sample watch with explosive exposure; review clips and build the sample.",IF(J666&gt;=65,"Good signal, but sample is limited.","Sample watch; review clips and build the sample.")),IF(K666="Problem Call","Problem area; practice or call-sheet review.",IF(K666="Strong Candidate","Strong call-fit candidate; confirm on film.",IF(K666="Good Candidate","Good call-fit signal; confirm on film.","Mixed signal; review fit and execution on film."))))))))</f>
        <v>Track only; not enough sample.</v>
      </c>
      <c r="M666" s="8" t="s">
        <v>76</v>
      </c>
      <c r="N666" s="8" t="s">
        <v>120</v>
      </c>
      <c r="O666" s="8" t="s">
        <v>206</v>
      </c>
      <c r="P666" s="8"/>
      <c r="Q666" s="8"/>
      <c r="R666" s="8" t="s">
        <v>28</v>
      </c>
      <c r="S666" s="2" t="s">
        <v>335</v>
      </c>
      <c r="T666" s="2">
        <f>IF(C666=0,0,IF(C666&gt;=CALL_LOOKUP_BOARD!$B$7,IF(OR(K666="Problem Call",K666="Explosive Alert"),10000000,20000000),0)+IF(C666&gt;=CALL_LOOKUP_BOARD!$B$7,J666*1000+MIN(C666,999),C666*1000+J666)+0.00992200)</f>
        <v>2061.509922</v>
      </c>
      <c r="U666" s="2" t="str">
        <f>IF(C666=0,"",IF(COUNTIFS($S$589:$S$803,SUBSTITUTE(SUBSTITUTE(SUBSTITUTE(S666,"~","~~"),"*","~*"),"?","~?"),$T$589:$T$803,"&gt;"&amp;T666)=0,S666,""))</f>
        <v>6:2D 11+|2:11|3:3X1|</v>
      </c>
    </row>
    <row r="667" spans="1:21" ht="38" customHeight="1">
      <c r="A667" s="8" t="s">
        <v>336</v>
      </c>
      <c r="B667" s="8" t="s">
        <v>79</v>
      </c>
      <c r="C667" s="12">
        <f>COUNTIFS('DEF_SELF_SCOUT_IMPORT'!$L$42:$L$1040,"Y",'DEF_SELF_SCOUT_IMPORT'!$E$42:$E$1040,SUBSTITUTE(SUBSTITUTE(SUBSTITUTE($B667,"~","~~"),"*","~*"),"?","~?"),'DEF_SELF_SCOUT_IMPORT'!$Q$42:$Q$1040,SUBSTITUTE(SUBSTITUTE(SUBSTITUTE($M667,"~","~~"),"*","~*"),"?","~?"),'DEF_SELF_SCOUT_IMPORT'!$F$42:$F$1040,SUBSTITUTE(SUBSTITUTE(SUBSTITUTE($N667,"~","~~"),"*","~*"),"?","~?"),'DEF_SELF_SCOUT_IMPORT'!$G$42:$G$1040,SUBSTITUTE(SUBSTITUTE(SUBSTITUTE($O667,"~","~~"),"*","~*"),"?","~?"))</f>
        <v>1</v>
      </c>
      <c r="D667" s="10">
        <f>IF($C667=0,"",SUMIFS('DEF_SELF_SCOUT_IMPORT'!$J$42:$J$1040,'DEF_SELF_SCOUT_IMPORT'!$L$42:$L$1040,"Y",'DEF_SELF_SCOUT_IMPORT'!$E$42:$E$1040,SUBSTITUTE(SUBSTITUTE(SUBSTITUTE($B667,"~","~~"),"*","~*"),"?","~?"),'DEF_SELF_SCOUT_IMPORT'!$Q$42:$Q$1040,SUBSTITUTE(SUBSTITUTE(SUBSTITUTE($M667,"~","~~"),"*","~*"),"?","~?"),'DEF_SELF_SCOUT_IMPORT'!$F$42:$F$1040,SUBSTITUTE(SUBSTITUTE(SUBSTITUTE($N667,"~","~~"),"*","~*"),"?","~?"),'DEF_SELF_SCOUT_IMPORT'!$G$42:$G$1040,SUBSTITUTE(SUBSTITUTE(SUBSTITUTE($O667,"~","~~"),"*","~*"),"?","~?"))/$C667)</f>
        <v>1.0</v>
      </c>
      <c r="E667" s="10">
        <f>IF($C667=0,"",SUMIFS('DEF_SELF_SCOUT_IMPORT'!$K$42:$K$1040,'DEF_SELF_SCOUT_IMPORT'!$L$42:$L$1040,"Y",'DEF_SELF_SCOUT_IMPORT'!$E$42:$E$1040,SUBSTITUTE(SUBSTITUTE(SUBSTITUTE($B667,"~","~~"),"*","~*"),"?","~?"),'DEF_SELF_SCOUT_IMPORT'!$Q$42:$Q$1040,SUBSTITUTE(SUBSTITUTE(SUBSTITUTE($M667,"~","~~"),"*","~*"),"?","~?"),'DEF_SELF_SCOUT_IMPORT'!$F$42:$F$1040,SUBSTITUTE(SUBSTITUTE(SUBSTITUTE($N667,"~","~~"),"*","~*"),"?","~?"),'DEF_SELF_SCOUT_IMPORT'!$G$42:$G$1040,SUBSTITUTE(SUBSTITUTE(SUBSTITUTE($O667,"~","~~"),"*","~*"),"?","~?"))/$C667)</f>
        <v>0.0</v>
      </c>
      <c r="F667" s="11">
        <f>IF($C667=0,"",AVERAGEIFS('DEF_SELF_SCOUT_IMPORT'!$I$42:$I$1040,'DEF_SELF_SCOUT_IMPORT'!$L$42:$L$1040,"Y",'DEF_SELF_SCOUT_IMPORT'!$E$42:$E$1040,SUBSTITUTE(SUBSTITUTE(SUBSTITUTE($B667,"~","~~"),"*","~*"),"?","~?"),'DEF_SELF_SCOUT_IMPORT'!$Q$42:$Q$1040,SUBSTITUTE(SUBSTITUTE(SUBSTITUTE($M667,"~","~~"),"*","~*"),"?","~?"),'DEF_SELF_SCOUT_IMPORT'!$F$42:$F$1040,SUBSTITUTE(SUBSTITUTE(SUBSTITUTE($N667,"~","~~"),"*","~*"),"?","~?"),'DEF_SELF_SCOUT_IMPORT'!$G$42:$G$1040,SUBSTITUTE(SUBSTITUTE(SUBSTITUTE($O667,"~","~~"),"*","~*"),"?","~?")))</f>
        <v>5.0</v>
      </c>
      <c r="G667" s="10">
        <f>IF($C667=0,"",COUNTIFS('DEF_SELF_SCOUT_IMPORT'!$L$42:$L$1040,"Y",'DEF_SELF_SCOUT_IMPORT'!$E$42:$E$1040,SUBSTITUTE(SUBSTITUTE(SUBSTITUTE($B667,"~","~~"),"*","~*"),"?","~?"),'DEF_SELF_SCOUT_IMPORT'!$Q$42:$Q$1040,SUBSTITUTE(SUBSTITUTE(SUBSTITUTE($M667,"~","~~"),"*","~*"),"?","~?"),'DEF_SELF_SCOUT_IMPORT'!$F$42:$F$1040,SUBSTITUTE(SUBSTITUTE(SUBSTITUTE($N667,"~","~~"),"*","~*"),"?","~?"),'DEF_SELF_SCOUT_IMPORT'!$G$42:$G$1040,SUBSTITUTE(SUBSTITUTE(SUBSTITUTE($O667,"~","~~"),"*","~*"),"?","~?"),'DEF_SELF_SCOUT_IMPORT'!$H$42:$H$1040,"RUSH")/$C667)</f>
        <v>0.0</v>
      </c>
      <c r="H667" s="10">
        <f>IF($C667=0,"",COUNTIFS('DEF_SELF_SCOUT_IMPORT'!$L$42:$L$1040,"Y",'DEF_SELF_SCOUT_IMPORT'!$E$42:$E$1040,SUBSTITUTE(SUBSTITUTE(SUBSTITUTE($B667,"~","~~"),"*","~*"),"?","~?"),'DEF_SELF_SCOUT_IMPORT'!$Q$42:$Q$1040,SUBSTITUTE(SUBSTITUTE(SUBSTITUTE($M667,"~","~~"),"*","~*"),"?","~?"),'DEF_SELF_SCOUT_IMPORT'!$F$42:$F$1040,SUBSTITUTE(SUBSTITUTE(SUBSTITUTE($N667,"~","~~"),"*","~*"),"?","~?"),'DEF_SELF_SCOUT_IMPORT'!$G$42:$G$1040,SUBSTITUTE(SUBSTITUTE(SUBSTITUTE($O667,"~","~~"),"*","~*"),"?","~?"),'DEF_SELF_SCOUT_IMPORT'!$H$42:$H$1040,"DROPBACK")/$C667)</f>
        <v>1.0</v>
      </c>
      <c r="I667" s="14" t="str">
        <f>IF(C667=0,"",IF(C667&lt;=2,"TRACK",IF(C667=3,"LOW",IF(C667&lt;=6,"MEDIUM","HIGH"))))</f>
        <v>TRACK</v>
      </c>
      <c r="J667" s="11">
        <f>IF(C667=0,"",ROUND(D667*70+(1-E667)*20+MAX(0,MIN(1,(10-F667)/10))*10,1))</f>
        <v>95.0</v>
      </c>
      <c r="K667" s="14" t="str">
        <f>IF(C667=0,"No Evidence",IF(C667&lt;=2,IF(E667&gt;0,"Explosive Alert","Track Only"),IF(C667=3,"Sample Watch",IF(E667&gt;=START_HERE!$B$31,"Explosive Alert",IF(J667&gt;=80,"Strong Candidate",IF(J667&gt;=65,"Good Candidate",IF(J667&gt;=50,"Mixed / Review","Problem Call")))))))</f>
        <v>Track Only</v>
      </c>
      <c r="L667" s="9" t="str">
        <f>IF(COUNTIFS('DEF_SELF_SCOUT_IMPORT'!$L$42:$L$1040,"Y",'DEF_SELF_SCOUT_IMPORT'!$E$42:$E$1040,SUBSTITUTE(SUBSTITUTE(SUBSTITUTE($B667,"~","~~"),"*","~*"),"?","~?"),'DEF_SELF_SCOUT_IMPORT'!$Q$42:$Q$1040,SUBSTITUTE(SUBSTITUTE(SUBSTITUTE($M667,"~","~~"),"*","~*"),"?","~?"),'DEF_SELF_SCOUT_IMPORT'!$F$42:$F$1040,SUBSTITUTE(SUBSTITUTE(SUBSTITUTE($N667,"~","~~"),"*","~*"),"?","~?"),'DEF_SELF_SCOUT_IMPORT'!$G$42:$G$1040,SUBSTITUTE(SUBSTITUTE(SUBSTITUTE($O667,"~","~~"),"*","~*"),"?","~?"),'DEF_SELF_SCOUT_IMPORT'!$J$42:$J$1040,"")&gt;0,"Unscored clean outcome; review result tags before using score.",IF(C667=0,"No matching defensive reps; film confirmation needed.",IF(K667="Explosive Alert","Explosive risk; review clips before using as answer.",IF(C667&lt;=2,"Track only; not enough sample.",IF(C667=3,IF(E667&gt;0,"Sample watch with explosive exposure; review clips and build the sample.",IF(J667&gt;=65,"Good signal, but sample is limited.","Sample watch; review clips and build the sample.")),IF(K667="Problem Call","Problem area; practice or call-sheet review.",IF(K667="Strong Candidate","Strong call-fit candidate; confirm on film.",IF(K667="Good Candidate","Good call-fit signal; confirm on film.","Mixed signal; review fit and execution on film."))))))))</f>
        <v>Track only; not enough sample.</v>
      </c>
      <c r="M667" s="8" t="s">
        <v>82</v>
      </c>
      <c r="N667" s="8" t="s">
        <v>132</v>
      </c>
      <c r="O667" s="8" t="s">
        <v>203</v>
      </c>
      <c r="P667" s="8"/>
      <c r="Q667" s="8"/>
      <c r="R667" s="8" t="s">
        <v>28</v>
      </c>
      <c r="S667" s="2" t="s">
        <v>337</v>
      </c>
      <c r="T667" s="2">
        <f>IF(C667=0,0,IF(C667&gt;=CALL_LOOKUP_BOARD!$B$7,IF(OR(K667="Problem Call",K667="Explosive Alert"),10000000,20000000),0)+IF(C667&gt;=CALL_LOOKUP_BOARD!$B$7,J667*1000+MIN(C667,999),C667*1000+J667)+0.00992100)</f>
        <v>1095.009921</v>
      </c>
      <c r="U667" s="2">
        <f>IF(C667=0,"",IF(COUNTIFS($S$589:$S$803,SUBSTITUTE(SUBSTITUTE(SUBSTITUTE(S667,"~","~~"),"*","~*"),"?","~?"),$T$589:$T$803,"&gt;"&amp;T667)=0,S667,""))</f>
        <v/>
      </c>
    </row>
    <row r="668" spans="1:21" ht="38" customHeight="1">
      <c r="A668" s="8" t="s">
        <v>336</v>
      </c>
      <c r="B668" s="8" t="s">
        <v>53</v>
      </c>
      <c r="C668" s="12">
        <f>COUNTIFS('DEF_SELF_SCOUT_IMPORT'!$L$42:$L$1040,"Y",'DEF_SELF_SCOUT_IMPORT'!$E$42:$E$1040,SUBSTITUTE(SUBSTITUTE(SUBSTITUTE($B668,"~","~~"),"*","~*"),"?","~?"),'DEF_SELF_SCOUT_IMPORT'!$Q$42:$Q$1040,SUBSTITUTE(SUBSTITUTE(SUBSTITUTE($M668,"~","~~"),"*","~*"),"?","~?"),'DEF_SELF_SCOUT_IMPORT'!$F$42:$F$1040,SUBSTITUTE(SUBSTITUTE(SUBSTITUTE($N668,"~","~~"),"*","~*"),"?","~?"),'DEF_SELF_SCOUT_IMPORT'!$G$42:$G$1040,SUBSTITUTE(SUBSTITUTE(SUBSTITUTE($O668,"~","~~"),"*","~*"),"?","~?"))</f>
        <v>1</v>
      </c>
      <c r="D668" s="10">
        <f>IF($C668=0,"",SUMIFS('DEF_SELF_SCOUT_IMPORT'!$J$42:$J$1040,'DEF_SELF_SCOUT_IMPORT'!$L$42:$L$1040,"Y",'DEF_SELF_SCOUT_IMPORT'!$E$42:$E$1040,SUBSTITUTE(SUBSTITUTE(SUBSTITUTE($B668,"~","~~"),"*","~*"),"?","~?"),'DEF_SELF_SCOUT_IMPORT'!$Q$42:$Q$1040,SUBSTITUTE(SUBSTITUTE(SUBSTITUTE($M668,"~","~~"),"*","~*"),"?","~?"),'DEF_SELF_SCOUT_IMPORT'!$F$42:$F$1040,SUBSTITUTE(SUBSTITUTE(SUBSTITUTE($N668,"~","~~"),"*","~*"),"?","~?"),'DEF_SELF_SCOUT_IMPORT'!$G$42:$G$1040,SUBSTITUTE(SUBSTITUTE(SUBSTITUTE($O668,"~","~~"),"*","~*"),"?","~?"))/$C668)</f>
        <v>1.0</v>
      </c>
      <c r="E668" s="10">
        <f>IF($C668=0,"",SUMIFS('DEF_SELF_SCOUT_IMPORT'!$K$42:$K$1040,'DEF_SELF_SCOUT_IMPORT'!$L$42:$L$1040,"Y",'DEF_SELF_SCOUT_IMPORT'!$E$42:$E$1040,SUBSTITUTE(SUBSTITUTE(SUBSTITUTE($B668,"~","~~"),"*","~*"),"?","~?"),'DEF_SELF_SCOUT_IMPORT'!$Q$42:$Q$1040,SUBSTITUTE(SUBSTITUTE(SUBSTITUTE($M668,"~","~~"),"*","~*"),"?","~?"),'DEF_SELF_SCOUT_IMPORT'!$F$42:$F$1040,SUBSTITUTE(SUBSTITUTE(SUBSTITUTE($N668,"~","~~"),"*","~*"),"?","~?"),'DEF_SELF_SCOUT_IMPORT'!$G$42:$G$1040,SUBSTITUTE(SUBSTITUTE(SUBSTITUTE($O668,"~","~~"),"*","~*"),"?","~?"))/$C668)</f>
        <v>0.0</v>
      </c>
      <c r="F668" s="11">
        <f>IF($C668=0,"",AVERAGEIFS('DEF_SELF_SCOUT_IMPORT'!$I$42:$I$1040,'DEF_SELF_SCOUT_IMPORT'!$L$42:$L$1040,"Y",'DEF_SELF_SCOUT_IMPORT'!$E$42:$E$1040,SUBSTITUTE(SUBSTITUTE(SUBSTITUTE($B668,"~","~~"),"*","~*"),"?","~?"),'DEF_SELF_SCOUT_IMPORT'!$Q$42:$Q$1040,SUBSTITUTE(SUBSTITUTE(SUBSTITUTE($M668,"~","~~"),"*","~*"),"?","~?"),'DEF_SELF_SCOUT_IMPORT'!$F$42:$F$1040,SUBSTITUTE(SUBSTITUTE(SUBSTITUTE($N668,"~","~~"),"*","~*"),"?","~?"),'DEF_SELF_SCOUT_IMPORT'!$G$42:$G$1040,SUBSTITUTE(SUBSTITUTE(SUBSTITUTE($O668,"~","~~"),"*","~*"),"?","~?")))</f>
        <v>2.0</v>
      </c>
      <c r="G668" s="10">
        <f>IF($C668=0,"",COUNTIFS('DEF_SELF_SCOUT_IMPORT'!$L$42:$L$1040,"Y",'DEF_SELF_SCOUT_IMPORT'!$E$42:$E$1040,SUBSTITUTE(SUBSTITUTE(SUBSTITUTE($B668,"~","~~"),"*","~*"),"?","~?"),'DEF_SELF_SCOUT_IMPORT'!$Q$42:$Q$1040,SUBSTITUTE(SUBSTITUTE(SUBSTITUTE($M668,"~","~~"),"*","~*"),"?","~?"),'DEF_SELF_SCOUT_IMPORT'!$F$42:$F$1040,SUBSTITUTE(SUBSTITUTE(SUBSTITUTE($N668,"~","~~"),"*","~*"),"?","~?"),'DEF_SELF_SCOUT_IMPORT'!$G$42:$G$1040,SUBSTITUTE(SUBSTITUTE(SUBSTITUTE($O668,"~","~~"),"*","~*"),"?","~?"),'DEF_SELF_SCOUT_IMPORT'!$H$42:$H$1040,"RUSH")/$C668)</f>
        <v>1.0</v>
      </c>
      <c r="H668" s="10">
        <f>IF($C668=0,"",COUNTIFS('DEF_SELF_SCOUT_IMPORT'!$L$42:$L$1040,"Y",'DEF_SELF_SCOUT_IMPORT'!$E$42:$E$1040,SUBSTITUTE(SUBSTITUTE(SUBSTITUTE($B668,"~","~~"),"*","~*"),"?","~?"),'DEF_SELF_SCOUT_IMPORT'!$Q$42:$Q$1040,SUBSTITUTE(SUBSTITUTE(SUBSTITUTE($M668,"~","~~"),"*","~*"),"?","~?"),'DEF_SELF_SCOUT_IMPORT'!$F$42:$F$1040,SUBSTITUTE(SUBSTITUTE(SUBSTITUTE($N668,"~","~~"),"*","~*"),"?","~?"),'DEF_SELF_SCOUT_IMPORT'!$G$42:$G$1040,SUBSTITUTE(SUBSTITUTE(SUBSTITUTE($O668,"~","~~"),"*","~*"),"?","~?"),'DEF_SELF_SCOUT_IMPORT'!$H$42:$H$1040,"DROPBACK")/$C668)</f>
        <v>0.0</v>
      </c>
      <c r="I668" s="14" t="str">
        <f>IF(C668=0,"",IF(C668&lt;=2,"TRACK",IF(C668=3,"LOW",IF(C668&lt;=6,"MEDIUM","HIGH"))))</f>
        <v>TRACK</v>
      </c>
      <c r="J668" s="11">
        <f>IF(C668=0,"",ROUND(D668*70+(1-E668)*20+MAX(0,MIN(1,(10-F668)/10))*10,1))</f>
        <v>98.0</v>
      </c>
      <c r="K668" s="14" t="str">
        <f>IF(C668=0,"No Evidence",IF(C668&lt;=2,IF(E668&gt;0,"Explosive Alert","Track Only"),IF(C668=3,"Sample Watch",IF(E668&gt;=START_HERE!$B$31,"Explosive Alert",IF(J668&gt;=80,"Strong Candidate",IF(J668&gt;=65,"Good Candidate",IF(J668&gt;=50,"Mixed / Review","Problem Call")))))))</f>
        <v>Track Only</v>
      </c>
      <c r="L668" s="9" t="str">
        <f>IF(COUNTIFS('DEF_SELF_SCOUT_IMPORT'!$L$42:$L$1040,"Y",'DEF_SELF_SCOUT_IMPORT'!$E$42:$E$1040,SUBSTITUTE(SUBSTITUTE(SUBSTITUTE($B668,"~","~~"),"*","~*"),"?","~?"),'DEF_SELF_SCOUT_IMPORT'!$Q$42:$Q$1040,SUBSTITUTE(SUBSTITUTE(SUBSTITUTE($M668,"~","~~"),"*","~*"),"?","~?"),'DEF_SELF_SCOUT_IMPORT'!$F$42:$F$1040,SUBSTITUTE(SUBSTITUTE(SUBSTITUTE($N668,"~","~~"),"*","~*"),"?","~?"),'DEF_SELF_SCOUT_IMPORT'!$G$42:$G$1040,SUBSTITUTE(SUBSTITUTE(SUBSTITUTE($O668,"~","~~"),"*","~*"),"?","~?"),'DEF_SELF_SCOUT_IMPORT'!$J$42:$J$1040,"")&gt;0,"Unscored clean outcome; review result tags before using score.",IF(C668=0,"No matching defensive reps; film confirmation needed.",IF(K668="Explosive Alert","Explosive risk; review clips before using as answer.",IF(C668&lt;=2,"Track only; not enough sample.",IF(C668=3,IF(E668&gt;0,"Sample watch with explosive exposure; review clips and build the sample.",IF(J668&gt;=65,"Good signal, but sample is limited.","Sample watch; review clips and build the sample.")),IF(K668="Problem Call","Problem area; practice or call-sheet review.",IF(K668="Strong Candidate","Strong call-fit candidate; confirm on film.",IF(K668="Good Candidate","Good call-fit signal; confirm on film.","Mixed signal; review fit and execution on film."))))))))</f>
        <v>Track only; not enough sample.</v>
      </c>
      <c r="M668" s="8" t="s">
        <v>82</v>
      </c>
      <c r="N668" s="8" t="s">
        <v>132</v>
      </c>
      <c r="O668" s="8" t="s">
        <v>203</v>
      </c>
      <c r="P668" s="8"/>
      <c r="Q668" s="8"/>
      <c r="R668" s="8" t="s">
        <v>28</v>
      </c>
      <c r="S668" s="2" t="s">
        <v>337</v>
      </c>
      <c r="T668" s="2">
        <f>IF(C668=0,0,IF(C668&gt;=CALL_LOOKUP_BOARD!$B$7,IF(OR(K668="Problem Call",K668="Explosive Alert"),10000000,20000000),0)+IF(C668&gt;=CALL_LOOKUP_BOARD!$B$7,J668*1000+MIN(C668,999),C668*1000+J668)+0.00992000)</f>
        <v>1098.00992</v>
      </c>
      <c r="U668" s="2" t="str">
        <f>IF(C668=0,"",IF(COUNTIFS($S$589:$S$803,SUBSTITUTE(SUBSTITUTE(SUBSTITUTE(S668,"~","~~"),"*","~*"),"?","~?"),$T$589:$T$803,"&gt;"&amp;T668)=0,S668,""))</f>
        <v>6:2D 4-6|2:00|3:2X2|</v>
      </c>
    </row>
    <row r="669" spans="1:21" ht="38" customHeight="1">
      <c r="A669" s="8" t="s">
        <v>338</v>
      </c>
      <c r="B669" s="8" t="s">
        <v>56</v>
      </c>
      <c r="C669" s="12">
        <f>COUNTIFS('DEF_SELF_SCOUT_IMPORT'!$L$42:$L$1040,"Y",'DEF_SELF_SCOUT_IMPORT'!$E$42:$E$1040,SUBSTITUTE(SUBSTITUTE(SUBSTITUTE($B669,"~","~~"),"*","~*"),"?","~?"),'DEF_SELF_SCOUT_IMPORT'!$Q$42:$Q$1040,SUBSTITUTE(SUBSTITUTE(SUBSTITUTE($M669,"~","~~"),"*","~*"),"?","~?"),'DEF_SELF_SCOUT_IMPORT'!$F$42:$F$1040,SUBSTITUTE(SUBSTITUTE(SUBSTITUTE($N669,"~","~~"),"*","~*"),"?","~?"),'DEF_SELF_SCOUT_IMPORT'!$G$42:$G$1040,SUBSTITUTE(SUBSTITUTE(SUBSTITUTE($O669,"~","~~"),"*","~*"),"?","~?"))</f>
        <v>1</v>
      </c>
      <c r="D669" s="10">
        <f>IF($C669=0,"",SUMIFS('DEF_SELF_SCOUT_IMPORT'!$J$42:$J$1040,'DEF_SELF_SCOUT_IMPORT'!$L$42:$L$1040,"Y",'DEF_SELF_SCOUT_IMPORT'!$E$42:$E$1040,SUBSTITUTE(SUBSTITUTE(SUBSTITUTE($B669,"~","~~"),"*","~*"),"?","~?"),'DEF_SELF_SCOUT_IMPORT'!$Q$42:$Q$1040,SUBSTITUTE(SUBSTITUTE(SUBSTITUTE($M669,"~","~~"),"*","~*"),"?","~?"),'DEF_SELF_SCOUT_IMPORT'!$F$42:$F$1040,SUBSTITUTE(SUBSTITUTE(SUBSTITUTE($N669,"~","~~"),"*","~*"),"?","~?"),'DEF_SELF_SCOUT_IMPORT'!$G$42:$G$1040,SUBSTITUTE(SUBSTITUTE(SUBSTITUTE($O669,"~","~~"),"*","~*"),"?","~?"))/$C669)</f>
        <v>0.0</v>
      </c>
      <c r="E669" s="10">
        <f>IF($C669=0,"",SUMIFS('DEF_SELF_SCOUT_IMPORT'!$K$42:$K$1040,'DEF_SELF_SCOUT_IMPORT'!$L$42:$L$1040,"Y",'DEF_SELF_SCOUT_IMPORT'!$E$42:$E$1040,SUBSTITUTE(SUBSTITUTE(SUBSTITUTE($B669,"~","~~"),"*","~*"),"?","~?"),'DEF_SELF_SCOUT_IMPORT'!$Q$42:$Q$1040,SUBSTITUTE(SUBSTITUTE(SUBSTITUTE($M669,"~","~~"),"*","~*"),"?","~?"),'DEF_SELF_SCOUT_IMPORT'!$F$42:$F$1040,SUBSTITUTE(SUBSTITUTE(SUBSTITUTE($N669,"~","~~"),"*","~*"),"?","~?"),'DEF_SELF_SCOUT_IMPORT'!$G$42:$G$1040,SUBSTITUTE(SUBSTITUTE(SUBSTITUTE($O669,"~","~~"),"*","~*"),"?","~?"))/$C669)</f>
        <v>0.0</v>
      </c>
      <c r="F669" s="11">
        <f>IF($C669=0,"",AVERAGEIFS('DEF_SELF_SCOUT_IMPORT'!$I$42:$I$1040,'DEF_SELF_SCOUT_IMPORT'!$L$42:$L$1040,"Y",'DEF_SELF_SCOUT_IMPORT'!$E$42:$E$1040,SUBSTITUTE(SUBSTITUTE(SUBSTITUTE($B669,"~","~~"),"*","~*"),"?","~?"),'DEF_SELF_SCOUT_IMPORT'!$Q$42:$Q$1040,SUBSTITUTE(SUBSTITUTE(SUBSTITUTE($M669,"~","~~"),"*","~*"),"?","~?"),'DEF_SELF_SCOUT_IMPORT'!$F$42:$F$1040,SUBSTITUTE(SUBSTITUTE(SUBSTITUTE($N669,"~","~~"),"*","~*"),"?","~?"),'DEF_SELF_SCOUT_IMPORT'!$G$42:$G$1040,SUBSTITUTE(SUBSTITUTE(SUBSTITUTE($O669,"~","~~"),"*","~*"),"?","~?")))</f>
        <v>5.0</v>
      </c>
      <c r="G669" s="10">
        <f>IF($C669=0,"",COUNTIFS('DEF_SELF_SCOUT_IMPORT'!$L$42:$L$1040,"Y",'DEF_SELF_SCOUT_IMPORT'!$E$42:$E$1040,SUBSTITUTE(SUBSTITUTE(SUBSTITUTE($B669,"~","~~"),"*","~*"),"?","~?"),'DEF_SELF_SCOUT_IMPORT'!$Q$42:$Q$1040,SUBSTITUTE(SUBSTITUTE(SUBSTITUTE($M669,"~","~~"),"*","~*"),"?","~?"),'DEF_SELF_SCOUT_IMPORT'!$F$42:$F$1040,SUBSTITUTE(SUBSTITUTE(SUBSTITUTE($N669,"~","~~"),"*","~*"),"?","~?"),'DEF_SELF_SCOUT_IMPORT'!$G$42:$G$1040,SUBSTITUTE(SUBSTITUTE(SUBSTITUTE($O669,"~","~~"),"*","~*"),"?","~?"),'DEF_SELF_SCOUT_IMPORT'!$H$42:$H$1040,"RUSH")/$C669)</f>
        <v>1.0</v>
      </c>
      <c r="H669" s="10">
        <f>IF($C669=0,"",COUNTIFS('DEF_SELF_SCOUT_IMPORT'!$L$42:$L$1040,"Y",'DEF_SELF_SCOUT_IMPORT'!$E$42:$E$1040,SUBSTITUTE(SUBSTITUTE(SUBSTITUTE($B669,"~","~~"),"*","~*"),"?","~?"),'DEF_SELF_SCOUT_IMPORT'!$Q$42:$Q$1040,SUBSTITUTE(SUBSTITUTE(SUBSTITUTE($M669,"~","~~"),"*","~*"),"?","~?"),'DEF_SELF_SCOUT_IMPORT'!$F$42:$F$1040,SUBSTITUTE(SUBSTITUTE(SUBSTITUTE($N669,"~","~~"),"*","~*"),"?","~?"),'DEF_SELF_SCOUT_IMPORT'!$G$42:$G$1040,SUBSTITUTE(SUBSTITUTE(SUBSTITUTE($O669,"~","~~"),"*","~*"),"?","~?"),'DEF_SELF_SCOUT_IMPORT'!$H$42:$H$1040,"DROPBACK")/$C669)</f>
        <v>0.0</v>
      </c>
      <c r="I669" s="14" t="str">
        <f>IF(C669=0,"",IF(C669&lt;=2,"TRACK",IF(C669=3,"LOW",IF(C669&lt;=6,"MEDIUM","HIGH"))))</f>
        <v>TRACK</v>
      </c>
      <c r="J669" s="11">
        <f>IF(C669=0,"",ROUND(D669*70+(1-E669)*20+MAX(0,MIN(1,(10-F669)/10))*10,1))</f>
        <v>25.0</v>
      </c>
      <c r="K669" s="14" t="str">
        <f>IF(C669=0,"No Evidence",IF(C669&lt;=2,IF(E669&gt;0,"Explosive Alert","Track Only"),IF(C669=3,"Sample Watch",IF(E669&gt;=START_HERE!$B$31,"Explosive Alert",IF(J669&gt;=80,"Strong Candidate",IF(J669&gt;=65,"Good Candidate",IF(J669&gt;=50,"Mixed / Review","Problem Call")))))))</f>
        <v>Track Only</v>
      </c>
      <c r="L669" s="9" t="str">
        <f>IF(COUNTIFS('DEF_SELF_SCOUT_IMPORT'!$L$42:$L$1040,"Y",'DEF_SELF_SCOUT_IMPORT'!$E$42:$E$1040,SUBSTITUTE(SUBSTITUTE(SUBSTITUTE($B669,"~","~~"),"*","~*"),"?","~?"),'DEF_SELF_SCOUT_IMPORT'!$Q$42:$Q$1040,SUBSTITUTE(SUBSTITUTE(SUBSTITUTE($M669,"~","~~"),"*","~*"),"?","~?"),'DEF_SELF_SCOUT_IMPORT'!$F$42:$F$1040,SUBSTITUTE(SUBSTITUTE(SUBSTITUTE($N669,"~","~~"),"*","~*"),"?","~?"),'DEF_SELF_SCOUT_IMPORT'!$G$42:$G$1040,SUBSTITUTE(SUBSTITUTE(SUBSTITUTE($O669,"~","~~"),"*","~*"),"?","~?"),'DEF_SELF_SCOUT_IMPORT'!$J$42:$J$1040,"")&gt;0,"Unscored clean outcome; review result tags before using score.",IF(C669=0,"No matching defensive reps; film confirmation needed.",IF(K669="Explosive Alert","Explosive risk; review clips before using as answer.",IF(C669&lt;=2,"Track only; not enough sample.",IF(C669=3,IF(E669&gt;0,"Sample watch with explosive exposure; review clips and build the sample.",IF(J669&gt;=65,"Good signal, but sample is limited.","Sample watch; review clips and build the sample.")),IF(K669="Problem Call","Problem area; practice or call-sheet review.",IF(K669="Strong Candidate","Strong call-fit candidate; confirm on film.",IF(K669="Good Candidate","Good call-fit signal; confirm on film.","Mixed signal; review fit and execution on film."))))))))</f>
        <v>Track only; not enough sample.</v>
      </c>
      <c r="M669" s="8" t="s">
        <v>82</v>
      </c>
      <c r="N669" s="8" t="s">
        <v>132</v>
      </c>
      <c r="O669" s="8" t="s">
        <v>206</v>
      </c>
      <c r="P669" s="8"/>
      <c r="Q669" s="8"/>
      <c r="R669" s="8" t="s">
        <v>28</v>
      </c>
      <c r="S669" s="2" t="s">
        <v>339</v>
      </c>
      <c r="T669" s="2">
        <f>IF(C669=0,0,IF(C669&gt;=CALL_LOOKUP_BOARD!$B$7,IF(OR(K669="Problem Call",K669="Explosive Alert"),10000000,20000000),0)+IF(C669&gt;=CALL_LOOKUP_BOARD!$B$7,J669*1000+MIN(C669,999),C669*1000+J669)+0.00991900)</f>
        <v>1025.009919</v>
      </c>
      <c r="U669" s="2" t="str">
        <f>IF(C669=0,"",IF(COUNTIFS($S$589:$S$803,SUBSTITUTE(SUBSTITUTE(SUBSTITUTE(S669,"~","~~"),"*","~*"),"?","~?"),$T$589:$T$803,"&gt;"&amp;T669)=0,S669,""))</f>
        <v>6:2D 4-6|2:00|3:3X1|</v>
      </c>
    </row>
    <row r="670" spans="1:21" ht="38" customHeight="1">
      <c r="A670" s="8" t="s">
        <v>338</v>
      </c>
      <c r="B670" s="8" t="s">
        <v>60</v>
      </c>
      <c r="C670" s="12">
        <f>COUNTIFS('DEF_SELF_SCOUT_IMPORT'!$L$42:$L$1040,"Y",'DEF_SELF_SCOUT_IMPORT'!$E$42:$E$1040,SUBSTITUTE(SUBSTITUTE(SUBSTITUTE($B670,"~","~~"),"*","~*"),"?","~?"),'DEF_SELF_SCOUT_IMPORT'!$Q$42:$Q$1040,SUBSTITUTE(SUBSTITUTE(SUBSTITUTE($M670,"~","~~"),"*","~*"),"?","~?"),'DEF_SELF_SCOUT_IMPORT'!$F$42:$F$1040,SUBSTITUTE(SUBSTITUTE(SUBSTITUTE($N670,"~","~~"),"*","~*"),"?","~?"),'DEF_SELF_SCOUT_IMPORT'!$G$42:$G$1040,SUBSTITUTE(SUBSTITUTE(SUBSTITUTE($O670,"~","~~"),"*","~*"),"?","~?"))</f>
        <v>1</v>
      </c>
      <c r="D670" s="10">
        <f>IF($C670=0,"",SUMIFS('DEF_SELF_SCOUT_IMPORT'!$J$42:$J$1040,'DEF_SELF_SCOUT_IMPORT'!$L$42:$L$1040,"Y",'DEF_SELF_SCOUT_IMPORT'!$E$42:$E$1040,SUBSTITUTE(SUBSTITUTE(SUBSTITUTE($B670,"~","~~"),"*","~*"),"?","~?"),'DEF_SELF_SCOUT_IMPORT'!$Q$42:$Q$1040,SUBSTITUTE(SUBSTITUTE(SUBSTITUTE($M670,"~","~~"),"*","~*"),"?","~?"),'DEF_SELF_SCOUT_IMPORT'!$F$42:$F$1040,SUBSTITUTE(SUBSTITUTE(SUBSTITUTE($N670,"~","~~"),"*","~*"),"?","~?"),'DEF_SELF_SCOUT_IMPORT'!$G$42:$G$1040,SUBSTITUTE(SUBSTITUTE(SUBSTITUTE($O670,"~","~~"),"*","~*"),"?","~?"))/$C670)</f>
        <v>0.0</v>
      </c>
      <c r="E670" s="10">
        <f>IF($C670=0,"",SUMIFS('DEF_SELF_SCOUT_IMPORT'!$K$42:$K$1040,'DEF_SELF_SCOUT_IMPORT'!$L$42:$L$1040,"Y",'DEF_SELF_SCOUT_IMPORT'!$E$42:$E$1040,SUBSTITUTE(SUBSTITUTE(SUBSTITUTE($B670,"~","~~"),"*","~*"),"?","~?"),'DEF_SELF_SCOUT_IMPORT'!$Q$42:$Q$1040,SUBSTITUTE(SUBSTITUTE(SUBSTITUTE($M670,"~","~~"),"*","~*"),"?","~?"),'DEF_SELF_SCOUT_IMPORT'!$F$42:$F$1040,SUBSTITUTE(SUBSTITUTE(SUBSTITUTE($N670,"~","~~"),"*","~*"),"?","~?"),'DEF_SELF_SCOUT_IMPORT'!$G$42:$G$1040,SUBSTITUTE(SUBSTITUTE(SUBSTITUTE($O670,"~","~~"),"*","~*"),"?","~?"))/$C670)</f>
        <v>1.0</v>
      </c>
      <c r="F670" s="11">
        <f>IF($C670=0,"",AVERAGEIFS('DEF_SELF_SCOUT_IMPORT'!$I$42:$I$1040,'DEF_SELF_SCOUT_IMPORT'!$L$42:$L$1040,"Y",'DEF_SELF_SCOUT_IMPORT'!$E$42:$E$1040,SUBSTITUTE(SUBSTITUTE(SUBSTITUTE($B670,"~","~~"),"*","~*"),"?","~?"),'DEF_SELF_SCOUT_IMPORT'!$Q$42:$Q$1040,SUBSTITUTE(SUBSTITUTE(SUBSTITUTE($M670,"~","~~"),"*","~*"),"?","~?"),'DEF_SELF_SCOUT_IMPORT'!$F$42:$F$1040,SUBSTITUTE(SUBSTITUTE(SUBSTITUTE($N670,"~","~~"),"*","~*"),"?","~?"),'DEF_SELF_SCOUT_IMPORT'!$G$42:$G$1040,SUBSTITUTE(SUBSTITUTE(SUBSTITUTE($O670,"~","~~"),"*","~*"),"?","~?")))</f>
        <v>16.0</v>
      </c>
      <c r="G670" s="10">
        <f>IF($C670=0,"",COUNTIFS('DEF_SELF_SCOUT_IMPORT'!$L$42:$L$1040,"Y",'DEF_SELF_SCOUT_IMPORT'!$E$42:$E$1040,SUBSTITUTE(SUBSTITUTE(SUBSTITUTE($B670,"~","~~"),"*","~*"),"?","~?"),'DEF_SELF_SCOUT_IMPORT'!$Q$42:$Q$1040,SUBSTITUTE(SUBSTITUTE(SUBSTITUTE($M670,"~","~~"),"*","~*"),"?","~?"),'DEF_SELF_SCOUT_IMPORT'!$F$42:$F$1040,SUBSTITUTE(SUBSTITUTE(SUBSTITUTE($N670,"~","~~"),"*","~*"),"?","~?"),'DEF_SELF_SCOUT_IMPORT'!$G$42:$G$1040,SUBSTITUTE(SUBSTITUTE(SUBSTITUTE($O670,"~","~~"),"*","~*"),"?","~?"),'DEF_SELF_SCOUT_IMPORT'!$H$42:$H$1040,"RUSH")/$C670)</f>
        <v>1.0</v>
      </c>
      <c r="H670" s="10">
        <f>IF($C670=0,"",COUNTIFS('DEF_SELF_SCOUT_IMPORT'!$L$42:$L$1040,"Y",'DEF_SELF_SCOUT_IMPORT'!$E$42:$E$1040,SUBSTITUTE(SUBSTITUTE(SUBSTITUTE($B670,"~","~~"),"*","~*"),"?","~?"),'DEF_SELF_SCOUT_IMPORT'!$Q$42:$Q$1040,SUBSTITUTE(SUBSTITUTE(SUBSTITUTE($M670,"~","~~"),"*","~*"),"?","~?"),'DEF_SELF_SCOUT_IMPORT'!$F$42:$F$1040,SUBSTITUTE(SUBSTITUTE(SUBSTITUTE($N670,"~","~~"),"*","~*"),"?","~?"),'DEF_SELF_SCOUT_IMPORT'!$G$42:$G$1040,SUBSTITUTE(SUBSTITUTE(SUBSTITUTE($O670,"~","~~"),"*","~*"),"?","~?"),'DEF_SELF_SCOUT_IMPORT'!$H$42:$H$1040,"DROPBACK")/$C670)</f>
        <v>0.0</v>
      </c>
      <c r="I670" s="14" t="str">
        <f>IF(C670=0,"",IF(C670&lt;=2,"TRACK",IF(C670=3,"LOW",IF(C670&lt;=6,"MEDIUM","HIGH"))))</f>
        <v>TRACK</v>
      </c>
      <c r="J670" s="11">
        <f>IF(C670=0,"",ROUND(D670*70+(1-E670)*20+MAX(0,MIN(1,(10-F670)/10))*10,1))</f>
        <v>0.0</v>
      </c>
      <c r="K670" s="14" t="str">
        <f>IF(C670=0,"No Evidence",IF(C670&lt;=2,IF(E670&gt;0,"Explosive Alert","Track Only"),IF(C670=3,"Sample Watch",IF(E670&gt;=START_HERE!$B$31,"Explosive Alert",IF(J670&gt;=80,"Strong Candidate",IF(J670&gt;=65,"Good Candidate",IF(J670&gt;=50,"Mixed / Review","Problem Call")))))))</f>
        <v>Explosive Alert</v>
      </c>
      <c r="L670" s="9" t="str">
        <f>IF(COUNTIFS('DEF_SELF_SCOUT_IMPORT'!$L$42:$L$1040,"Y",'DEF_SELF_SCOUT_IMPORT'!$E$42:$E$1040,SUBSTITUTE(SUBSTITUTE(SUBSTITUTE($B670,"~","~~"),"*","~*"),"?","~?"),'DEF_SELF_SCOUT_IMPORT'!$Q$42:$Q$1040,SUBSTITUTE(SUBSTITUTE(SUBSTITUTE($M670,"~","~~"),"*","~*"),"?","~?"),'DEF_SELF_SCOUT_IMPORT'!$F$42:$F$1040,SUBSTITUTE(SUBSTITUTE(SUBSTITUTE($N670,"~","~~"),"*","~*"),"?","~?"),'DEF_SELF_SCOUT_IMPORT'!$G$42:$G$1040,SUBSTITUTE(SUBSTITUTE(SUBSTITUTE($O670,"~","~~"),"*","~*"),"?","~?"),'DEF_SELF_SCOUT_IMPORT'!$J$42:$J$1040,"")&gt;0,"Unscored clean outcome; review result tags before using score.",IF(C670=0,"No matching defensive reps; film confirmation needed.",IF(K670="Explosive Alert","Explosive risk; review clips before using as answer.",IF(C670&lt;=2,"Track only; not enough sample.",IF(C670=3,IF(E670&gt;0,"Sample watch with explosive exposure; review clips and build the sample.",IF(J670&gt;=65,"Good signal, but sample is limited.","Sample watch; review clips and build the sample.")),IF(K670="Problem Call","Problem area; practice or call-sheet review.",IF(K670="Strong Candidate","Strong call-fit candidate; confirm on film.",IF(K670="Good Candidate","Good call-fit signal; confirm on film.","Mixed signal; review fit and execution on film."))))))))</f>
        <v>Explosive risk; review clips before using as answer.</v>
      </c>
      <c r="M670" s="8" t="s">
        <v>82</v>
      </c>
      <c r="N670" s="8" t="s">
        <v>132</v>
      </c>
      <c r="O670" s="8" t="s">
        <v>206</v>
      </c>
      <c r="P670" s="8"/>
      <c r="Q670" s="8"/>
      <c r="R670" s="8" t="s">
        <v>28</v>
      </c>
      <c r="S670" s="2" t="s">
        <v>339</v>
      </c>
      <c r="T670" s="2">
        <f>IF(C670=0,0,IF(C670&gt;=CALL_LOOKUP_BOARD!$B$7,IF(OR(K670="Problem Call",K670="Explosive Alert"),10000000,20000000),0)+IF(C670&gt;=CALL_LOOKUP_BOARD!$B$7,J670*1000+MIN(C670,999),C670*1000+J670)+0.00991800)</f>
        <v>1000.009918</v>
      </c>
      <c r="U670" s="2">
        <f>IF(C670=0,"",IF(COUNTIFS($S$589:$S$803,SUBSTITUTE(SUBSTITUTE(SUBSTITUTE(S670,"~","~~"),"*","~*"),"?","~?"),$T$589:$T$803,"&gt;"&amp;T670)=0,S670,""))</f>
        <v/>
      </c>
    </row>
    <row r="671" spans="1:21" ht="38" customHeight="1">
      <c r="A671" s="8" t="s">
        <v>340</v>
      </c>
      <c r="B671" s="8" t="s">
        <v>75</v>
      </c>
      <c r="C671" s="12">
        <f>COUNTIFS('DEF_SELF_SCOUT_IMPORT'!$L$42:$L$1040,"Y",'DEF_SELF_SCOUT_IMPORT'!$E$42:$E$1040,SUBSTITUTE(SUBSTITUTE(SUBSTITUTE($B671,"~","~~"),"*","~*"),"?","~?"),'DEF_SELF_SCOUT_IMPORT'!$Q$42:$Q$1040,SUBSTITUTE(SUBSTITUTE(SUBSTITUTE($M671,"~","~~"),"*","~*"),"?","~?"),'DEF_SELF_SCOUT_IMPORT'!$F$42:$F$1040,SUBSTITUTE(SUBSTITUTE(SUBSTITUTE($N671,"~","~~"),"*","~*"),"?","~?"),'DEF_SELF_SCOUT_IMPORT'!$G$42:$G$1040,SUBSTITUTE(SUBSTITUTE(SUBSTITUTE($O671,"~","~~"),"*","~*"),"?","~?"))</f>
        <v>1</v>
      </c>
      <c r="D671" s="10">
        <f>IF($C671=0,"",SUMIFS('DEF_SELF_SCOUT_IMPORT'!$J$42:$J$1040,'DEF_SELF_SCOUT_IMPORT'!$L$42:$L$1040,"Y",'DEF_SELF_SCOUT_IMPORT'!$E$42:$E$1040,SUBSTITUTE(SUBSTITUTE(SUBSTITUTE($B671,"~","~~"),"*","~*"),"?","~?"),'DEF_SELF_SCOUT_IMPORT'!$Q$42:$Q$1040,SUBSTITUTE(SUBSTITUTE(SUBSTITUTE($M671,"~","~~"),"*","~*"),"?","~?"),'DEF_SELF_SCOUT_IMPORT'!$F$42:$F$1040,SUBSTITUTE(SUBSTITUTE(SUBSTITUTE($N671,"~","~~"),"*","~*"),"?","~?"),'DEF_SELF_SCOUT_IMPORT'!$G$42:$G$1040,SUBSTITUTE(SUBSTITUTE(SUBSTITUTE($O671,"~","~~"),"*","~*"),"?","~?"))/$C671)</f>
        <v>0.0</v>
      </c>
      <c r="E671" s="10">
        <f>IF($C671=0,"",SUMIFS('DEF_SELF_SCOUT_IMPORT'!$K$42:$K$1040,'DEF_SELF_SCOUT_IMPORT'!$L$42:$L$1040,"Y",'DEF_SELF_SCOUT_IMPORT'!$E$42:$E$1040,SUBSTITUTE(SUBSTITUTE(SUBSTITUTE($B671,"~","~~"),"*","~*"),"?","~?"),'DEF_SELF_SCOUT_IMPORT'!$Q$42:$Q$1040,SUBSTITUTE(SUBSTITUTE(SUBSTITUTE($M671,"~","~~"),"*","~*"),"?","~?"),'DEF_SELF_SCOUT_IMPORT'!$F$42:$F$1040,SUBSTITUTE(SUBSTITUTE(SUBSTITUTE($N671,"~","~~"),"*","~*"),"?","~?"),'DEF_SELF_SCOUT_IMPORT'!$G$42:$G$1040,SUBSTITUTE(SUBSTITUTE(SUBSTITUTE($O671,"~","~~"),"*","~*"),"?","~?"))/$C671)</f>
        <v>0.0</v>
      </c>
      <c r="F671" s="11">
        <f>IF($C671=0,"",AVERAGEIFS('DEF_SELF_SCOUT_IMPORT'!$I$42:$I$1040,'DEF_SELF_SCOUT_IMPORT'!$L$42:$L$1040,"Y",'DEF_SELF_SCOUT_IMPORT'!$E$42:$E$1040,SUBSTITUTE(SUBSTITUTE(SUBSTITUTE($B671,"~","~~"),"*","~*"),"?","~?"),'DEF_SELF_SCOUT_IMPORT'!$Q$42:$Q$1040,SUBSTITUTE(SUBSTITUTE(SUBSTITUTE($M671,"~","~~"),"*","~*"),"?","~?"),'DEF_SELF_SCOUT_IMPORT'!$F$42:$F$1040,SUBSTITUTE(SUBSTITUTE(SUBSTITUTE($N671,"~","~~"),"*","~*"),"?","~?"),'DEF_SELF_SCOUT_IMPORT'!$G$42:$G$1040,SUBSTITUTE(SUBSTITUTE(SUBSTITUTE($O671,"~","~~"),"*","~*"),"?","~?")))</f>
        <v>7.0</v>
      </c>
      <c r="G671" s="10">
        <f>IF($C671=0,"",COUNTIFS('DEF_SELF_SCOUT_IMPORT'!$L$42:$L$1040,"Y",'DEF_SELF_SCOUT_IMPORT'!$E$42:$E$1040,SUBSTITUTE(SUBSTITUTE(SUBSTITUTE($B671,"~","~~"),"*","~*"),"?","~?"),'DEF_SELF_SCOUT_IMPORT'!$Q$42:$Q$1040,SUBSTITUTE(SUBSTITUTE(SUBSTITUTE($M671,"~","~~"),"*","~*"),"?","~?"),'DEF_SELF_SCOUT_IMPORT'!$F$42:$F$1040,SUBSTITUTE(SUBSTITUTE(SUBSTITUTE($N671,"~","~~"),"*","~*"),"?","~?"),'DEF_SELF_SCOUT_IMPORT'!$G$42:$G$1040,SUBSTITUTE(SUBSTITUTE(SUBSTITUTE($O671,"~","~~"),"*","~*"),"?","~?"),'DEF_SELF_SCOUT_IMPORT'!$H$42:$H$1040,"RUSH")/$C671)</f>
        <v>1.0</v>
      </c>
      <c r="H671" s="10">
        <f>IF($C671=0,"",COUNTIFS('DEF_SELF_SCOUT_IMPORT'!$L$42:$L$1040,"Y",'DEF_SELF_SCOUT_IMPORT'!$E$42:$E$1040,SUBSTITUTE(SUBSTITUTE(SUBSTITUTE($B671,"~","~~"),"*","~*"),"?","~?"),'DEF_SELF_SCOUT_IMPORT'!$Q$42:$Q$1040,SUBSTITUTE(SUBSTITUTE(SUBSTITUTE($M671,"~","~~"),"*","~*"),"?","~?"),'DEF_SELF_SCOUT_IMPORT'!$F$42:$F$1040,SUBSTITUTE(SUBSTITUTE(SUBSTITUTE($N671,"~","~~"),"*","~*"),"?","~?"),'DEF_SELF_SCOUT_IMPORT'!$G$42:$G$1040,SUBSTITUTE(SUBSTITUTE(SUBSTITUTE($O671,"~","~~"),"*","~*"),"?","~?"),'DEF_SELF_SCOUT_IMPORT'!$H$42:$H$1040,"DROPBACK")/$C671)</f>
        <v>0.0</v>
      </c>
      <c r="I671" s="14" t="str">
        <f>IF(C671=0,"",IF(C671&lt;=2,"TRACK",IF(C671=3,"LOW",IF(C671&lt;=6,"MEDIUM","HIGH"))))</f>
        <v>TRACK</v>
      </c>
      <c r="J671" s="11">
        <f>IF(C671=0,"",ROUND(D671*70+(1-E671)*20+MAX(0,MIN(1,(10-F671)/10))*10,1))</f>
        <v>23.0</v>
      </c>
      <c r="K671" s="14" t="str">
        <f>IF(C671=0,"No Evidence",IF(C671&lt;=2,IF(E671&gt;0,"Explosive Alert","Track Only"),IF(C671=3,"Sample Watch",IF(E671&gt;=START_HERE!$B$31,"Explosive Alert",IF(J671&gt;=80,"Strong Candidate",IF(J671&gt;=65,"Good Candidate",IF(J671&gt;=50,"Mixed / Review","Problem Call")))))))</f>
        <v>Track Only</v>
      </c>
      <c r="L671" s="9" t="str">
        <f>IF(COUNTIFS('DEF_SELF_SCOUT_IMPORT'!$L$42:$L$1040,"Y",'DEF_SELF_SCOUT_IMPORT'!$E$42:$E$1040,SUBSTITUTE(SUBSTITUTE(SUBSTITUTE($B671,"~","~~"),"*","~*"),"?","~?"),'DEF_SELF_SCOUT_IMPORT'!$Q$42:$Q$1040,SUBSTITUTE(SUBSTITUTE(SUBSTITUTE($M671,"~","~~"),"*","~*"),"?","~?"),'DEF_SELF_SCOUT_IMPORT'!$F$42:$F$1040,SUBSTITUTE(SUBSTITUTE(SUBSTITUTE($N671,"~","~~"),"*","~*"),"?","~?"),'DEF_SELF_SCOUT_IMPORT'!$G$42:$G$1040,SUBSTITUTE(SUBSTITUTE(SUBSTITUTE($O671,"~","~~"),"*","~*"),"?","~?"),'DEF_SELF_SCOUT_IMPORT'!$J$42:$J$1040,"")&gt;0,"Unscored clean outcome; review result tags before using score.",IF(C671=0,"No matching defensive reps; film confirmation needed.",IF(K671="Explosive Alert","Explosive risk; review clips before using as answer.",IF(C671&lt;=2,"Track only; not enough sample.",IF(C671=3,IF(E671&gt;0,"Sample watch with explosive exposure; review clips and build the sample.",IF(J671&gt;=65,"Good signal, but sample is limited.","Sample watch; review clips and build the sample.")),IF(K671="Problem Call","Problem area; practice or call-sheet review.",IF(K671="Strong Candidate","Strong call-fit candidate; confirm on film.",IF(K671="Good Candidate","Good call-fit signal; confirm on film.","Mixed signal; review fit and execution on film."))))))))</f>
        <v>Track only; not enough sample.</v>
      </c>
      <c r="M671" s="8" t="s">
        <v>82</v>
      </c>
      <c r="N671" s="8" t="s">
        <v>120</v>
      </c>
      <c r="O671" s="8" t="s">
        <v>203</v>
      </c>
      <c r="P671" s="8"/>
      <c r="Q671" s="8"/>
      <c r="R671" s="8" t="s">
        <v>28</v>
      </c>
      <c r="S671" s="2" t="s">
        <v>341</v>
      </c>
      <c r="T671" s="2">
        <f>IF(C671=0,0,IF(C671&gt;=CALL_LOOKUP_BOARD!$B$7,IF(OR(K671="Problem Call",K671="Explosive Alert"),10000000,20000000),0)+IF(C671&gt;=CALL_LOOKUP_BOARD!$B$7,J671*1000+MIN(C671,999),C671*1000+J671)+0.00991700)</f>
        <v>1023.009917</v>
      </c>
      <c r="U671" s="2" t="str">
        <f>IF(C671=0,"",IF(COUNTIFS($S$589:$S$803,SUBSTITUTE(SUBSTITUTE(SUBSTITUTE(S671,"~","~~"),"*","~*"),"?","~?"),$T$589:$T$803,"&gt;"&amp;T671)=0,S671,""))</f>
        <v>6:2D 4-6|2:11|3:2X2|</v>
      </c>
    </row>
    <row r="672" spans="1:21" ht="38" customHeight="1">
      <c r="A672" s="8" t="s">
        <v>342</v>
      </c>
      <c r="B672" s="8" t="s">
        <v>40</v>
      </c>
      <c r="C672" s="12">
        <f>COUNTIFS('DEF_SELF_SCOUT_IMPORT'!$L$42:$L$1040,"Y",'DEF_SELF_SCOUT_IMPORT'!$E$42:$E$1040,SUBSTITUTE(SUBSTITUTE(SUBSTITUTE($B672,"~","~~"),"*","~*"),"?","~?"),'DEF_SELF_SCOUT_IMPORT'!$Q$42:$Q$1040,SUBSTITUTE(SUBSTITUTE(SUBSTITUTE($M672,"~","~~"),"*","~*"),"?","~?"),'DEF_SELF_SCOUT_IMPORT'!$F$42:$F$1040,SUBSTITUTE(SUBSTITUTE(SUBSTITUTE($N672,"~","~~"),"*","~*"),"?","~?"),'DEF_SELF_SCOUT_IMPORT'!$G$42:$G$1040,SUBSTITUTE(SUBSTITUTE(SUBSTITUTE($O672,"~","~~"),"*","~*"),"?","~?"))</f>
        <v>1</v>
      </c>
      <c r="D672" s="10">
        <f>IF($C672=0,"",SUMIFS('DEF_SELF_SCOUT_IMPORT'!$J$42:$J$1040,'DEF_SELF_SCOUT_IMPORT'!$L$42:$L$1040,"Y",'DEF_SELF_SCOUT_IMPORT'!$E$42:$E$1040,SUBSTITUTE(SUBSTITUTE(SUBSTITUTE($B672,"~","~~"),"*","~*"),"?","~?"),'DEF_SELF_SCOUT_IMPORT'!$Q$42:$Q$1040,SUBSTITUTE(SUBSTITUTE(SUBSTITUTE($M672,"~","~~"),"*","~*"),"?","~?"),'DEF_SELF_SCOUT_IMPORT'!$F$42:$F$1040,SUBSTITUTE(SUBSTITUTE(SUBSTITUTE($N672,"~","~~"),"*","~*"),"?","~?"),'DEF_SELF_SCOUT_IMPORT'!$G$42:$G$1040,SUBSTITUTE(SUBSTITUTE(SUBSTITUTE($O672,"~","~~"),"*","~*"),"?","~?"))/$C672)</f>
        <v>0.0</v>
      </c>
      <c r="E672" s="10">
        <f>IF($C672=0,"",SUMIFS('DEF_SELF_SCOUT_IMPORT'!$K$42:$K$1040,'DEF_SELF_SCOUT_IMPORT'!$L$42:$L$1040,"Y",'DEF_SELF_SCOUT_IMPORT'!$E$42:$E$1040,SUBSTITUTE(SUBSTITUTE(SUBSTITUTE($B672,"~","~~"),"*","~*"),"?","~?"),'DEF_SELF_SCOUT_IMPORT'!$Q$42:$Q$1040,SUBSTITUTE(SUBSTITUTE(SUBSTITUTE($M672,"~","~~"),"*","~*"),"?","~?"),'DEF_SELF_SCOUT_IMPORT'!$F$42:$F$1040,SUBSTITUTE(SUBSTITUTE(SUBSTITUTE($N672,"~","~~"),"*","~*"),"?","~?"),'DEF_SELF_SCOUT_IMPORT'!$G$42:$G$1040,SUBSTITUTE(SUBSTITUTE(SUBSTITUTE($O672,"~","~~"),"*","~*"),"?","~?"))/$C672)</f>
        <v>0.0</v>
      </c>
      <c r="F672" s="11">
        <f>IF($C672=0,"",AVERAGEIFS('DEF_SELF_SCOUT_IMPORT'!$I$42:$I$1040,'DEF_SELF_SCOUT_IMPORT'!$L$42:$L$1040,"Y",'DEF_SELF_SCOUT_IMPORT'!$E$42:$E$1040,SUBSTITUTE(SUBSTITUTE(SUBSTITUTE($B672,"~","~~"),"*","~*"),"?","~?"),'DEF_SELF_SCOUT_IMPORT'!$Q$42:$Q$1040,SUBSTITUTE(SUBSTITUTE(SUBSTITUTE($M672,"~","~~"),"*","~*"),"?","~?"),'DEF_SELF_SCOUT_IMPORT'!$F$42:$F$1040,SUBSTITUTE(SUBSTITUTE(SUBSTITUTE($N672,"~","~~"),"*","~*"),"?","~?"),'DEF_SELF_SCOUT_IMPORT'!$G$42:$G$1040,SUBSTITUTE(SUBSTITUTE(SUBSTITUTE($O672,"~","~~"),"*","~*"),"?","~?")))</f>
        <v>7.0</v>
      </c>
      <c r="G672" s="10">
        <f>IF($C672=0,"",COUNTIFS('DEF_SELF_SCOUT_IMPORT'!$L$42:$L$1040,"Y",'DEF_SELF_SCOUT_IMPORT'!$E$42:$E$1040,SUBSTITUTE(SUBSTITUTE(SUBSTITUTE($B672,"~","~~"),"*","~*"),"?","~?"),'DEF_SELF_SCOUT_IMPORT'!$Q$42:$Q$1040,SUBSTITUTE(SUBSTITUTE(SUBSTITUTE($M672,"~","~~"),"*","~*"),"?","~?"),'DEF_SELF_SCOUT_IMPORT'!$F$42:$F$1040,SUBSTITUTE(SUBSTITUTE(SUBSTITUTE($N672,"~","~~"),"*","~*"),"?","~?"),'DEF_SELF_SCOUT_IMPORT'!$G$42:$G$1040,SUBSTITUTE(SUBSTITUTE(SUBSTITUTE($O672,"~","~~"),"*","~*"),"?","~?"),'DEF_SELF_SCOUT_IMPORT'!$H$42:$H$1040,"RUSH")/$C672)</f>
        <v>1.0</v>
      </c>
      <c r="H672" s="10">
        <f>IF($C672=0,"",COUNTIFS('DEF_SELF_SCOUT_IMPORT'!$L$42:$L$1040,"Y",'DEF_SELF_SCOUT_IMPORT'!$E$42:$E$1040,SUBSTITUTE(SUBSTITUTE(SUBSTITUTE($B672,"~","~~"),"*","~*"),"?","~?"),'DEF_SELF_SCOUT_IMPORT'!$Q$42:$Q$1040,SUBSTITUTE(SUBSTITUTE(SUBSTITUTE($M672,"~","~~"),"*","~*"),"?","~?"),'DEF_SELF_SCOUT_IMPORT'!$F$42:$F$1040,SUBSTITUTE(SUBSTITUTE(SUBSTITUTE($N672,"~","~~"),"*","~*"),"?","~?"),'DEF_SELF_SCOUT_IMPORT'!$G$42:$G$1040,SUBSTITUTE(SUBSTITUTE(SUBSTITUTE($O672,"~","~~"),"*","~*"),"?","~?"),'DEF_SELF_SCOUT_IMPORT'!$H$42:$H$1040,"DROPBACK")/$C672)</f>
        <v>0.0</v>
      </c>
      <c r="I672" s="14" t="str">
        <f>IF(C672=0,"",IF(C672&lt;=2,"TRACK",IF(C672=3,"LOW",IF(C672&lt;=6,"MEDIUM","HIGH"))))</f>
        <v>TRACK</v>
      </c>
      <c r="J672" s="11">
        <f>IF(C672=0,"",ROUND(D672*70+(1-E672)*20+MAX(0,MIN(1,(10-F672)/10))*10,1))</f>
        <v>23.0</v>
      </c>
      <c r="K672" s="14" t="str">
        <f>IF(C672=0,"No Evidence",IF(C672&lt;=2,IF(E672&gt;0,"Explosive Alert","Track Only"),IF(C672=3,"Sample Watch",IF(E672&gt;=START_HERE!$B$31,"Explosive Alert",IF(J672&gt;=80,"Strong Candidate",IF(J672&gt;=65,"Good Candidate",IF(J672&gt;=50,"Mixed / Review","Problem Call")))))))</f>
        <v>Track Only</v>
      </c>
      <c r="L672" s="9" t="str">
        <f>IF(COUNTIFS('DEF_SELF_SCOUT_IMPORT'!$L$42:$L$1040,"Y",'DEF_SELF_SCOUT_IMPORT'!$E$42:$E$1040,SUBSTITUTE(SUBSTITUTE(SUBSTITUTE($B672,"~","~~"),"*","~*"),"?","~?"),'DEF_SELF_SCOUT_IMPORT'!$Q$42:$Q$1040,SUBSTITUTE(SUBSTITUTE(SUBSTITUTE($M672,"~","~~"),"*","~*"),"?","~?"),'DEF_SELF_SCOUT_IMPORT'!$F$42:$F$1040,SUBSTITUTE(SUBSTITUTE(SUBSTITUTE($N672,"~","~~"),"*","~*"),"?","~?"),'DEF_SELF_SCOUT_IMPORT'!$G$42:$G$1040,SUBSTITUTE(SUBSTITUTE(SUBSTITUTE($O672,"~","~~"),"*","~*"),"?","~?"),'DEF_SELF_SCOUT_IMPORT'!$J$42:$J$1040,"")&gt;0,"Unscored clean outcome; review result tags before using score.",IF(C672=0,"No matching defensive reps; film confirmation needed.",IF(K672="Explosive Alert","Explosive risk; review clips before using as answer.",IF(C672&lt;=2,"Track only; not enough sample.",IF(C672=3,IF(E672&gt;0,"Sample watch with explosive exposure; review clips and build the sample.",IF(J672&gt;=65,"Good signal, but sample is limited.","Sample watch; review clips and build the sample.")),IF(K672="Problem Call","Problem area; practice or call-sheet review.",IF(K672="Strong Candidate","Strong call-fit candidate; confirm on film.",IF(K672="Good Candidate","Good call-fit signal; confirm on film.","Mixed signal; review fit and execution on film."))))))))</f>
        <v>Track only; not enough sample.</v>
      </c>
      <c r="M672" s="8" t="s">
        <v>82</v>
      </c>
      <c r="N672" s="8" t="s">
        <v>120</v>
      </c>
      <c r="O672" s="8" t="s">
        <v>206</v>
      </c>
      <c r="P672" s="8"/>
      <c r="Q672" s="8"/>
      <c r="R672" s="8" t="s">
        <v>28</v>
      </c>
      <c r="S672" s="2" t="s">
        <v>343</v>
      </c>
      <c r="T672" s="2">
        <f>IF(C672=0,0,IF(C672&gt;=CALL_LOOKUP_BOARD!$B$7,IF(OR(K672="Problem Call",K672="Explosive Alert"),10000000,20000000),0)+IF(C672&gt;=CALL_LOOKUP_BOARD!$B$7,J672*1000+MIN(C672,999),C672*1000+J672)+0.00991600)</f>
        <v>1023.009916</v>
      </c>
      <c r="U672" s="2">
        <f>IF(C672=0,"",IF(COUNTIFS($S$589:$S$803,SUBSTITUTE(SUBSTITUTE(SUBSTITUTE(S672,"~","~~"),"*","~*"),"?","~?"),$T$589:$T$803,"&gt;"&amp;T672)=0,S672,""))</f>
        <v/>
      </c>
    </row>
    <row r="673" spans="1:21" ht="38" customHeight="1">
      <c r="A673" s="8" t="s">
        <v>342</v>
      </c>
      <c r="B673" s="8" t="s">
        <v>32</v>
      </c>
      <c r="C673" s="12">
        <f>COUNTIFS('DEF_SELF_SCOUT_IMPORT'!$L$42:$L$1040,"Y",'DEF_SELF_SCOUT_IMPORT'!$E$42:$E$1040,SUBSTITUTE(SUBSTITUTE(SUBSTITUTE($B673,"~","~~"),"*","~*"),"?","~?"),'DEF_SELF_SCOUT_IMPORT'!$Q$42:$Q$1040,SUBSTITUTE(SUBSTITUTE(SUBSTITUTE($M673,"~","~~"),"*","~*"),"?","~?"),'DEF_SELF_SCOUT_IMPORT'!$F$42:$F$1040,SUBSTITUTE(SUBSTITUTE(SUBSTITUTE($N673,"~","~~"),"*","~*"),"?","~?"),'DEF_SELF_SCOUT_IMPORT'!$G$42:$G$1040,SUBSTITUTE(SUBSTITUTE(SUBSTITUTE($O673,"~","~~"),"*","~*"),"?","~?"))</f>
        <v>1</v>
      </c>
      <c r="D673" s="10">
        <f>IF($C673=0,"",SUMIFS('DEF_SELF_SCOUT_IMPORT'!$J$42:$J$1040,'DEF_SELF_SCOUT_IMPORT'!$L$42:$L$1040,"Y",'DEF_SELF_SCOUT_IMPORT'!$E$42:$E$1040,SUBSTITUTE(SUBSTITUTE(SUBSTITUTE($B673,"~","~~"),"*","~*"),"?","~?"),'DEF_SELF_SCOUT_IMPORT'!$Q$42:$Q$1040,SUBSTITUTE(SUBSTITUTE(SUBSTITUTE($M673,"~","~~"),"*","~*"),"?","~?"),'DEF_SELF_SCOUT_IMPORT'!$F$42:$F$1040,SUBSTITUTE(SUBSTITUTE(SUBSTITUTE($N673,"~","~~"),"*","~*"),"?","~?"),'DEF_SELF_SCOUT_IMPORT'!$G$42:$G$1040,SUBSTITUTE(SUBSTITUTE(SUBSTITUTE($O673,"~","~~"),"*","~*"),"?","~?"))/$C673)</f>
        <v>0.0</v>
      </c>
      <c r="E673" s="10">
        <f>IF($C673=0,"",SUMIFS('DEF_SELF_SCOUT_IMPORT'!$K$42:$K$1040,'DEF_SELF_SCOUT_IMPORT'!$L$42:$L$1040,"Y",'DEF_SELF_SCOUT_IMPORT'!$E$42:$E$1040,SUBSTITUTE(SUBSTITUTE(SUBSTITUTE($B673,"~","~~"),"*","~*"),"?","~?"),'DEF_SELF_SCOUT_IMPORT'!$Q$42:$Q$1040,SUBSTITUTE(SUBSTITUTE(SUBSTITUTE($M673,"~","~~"),"*","~*"),"?","~?"),'DEF_SELF_SCOUT_IMPORT'!$F$42:$F$1040,SUBSTITUTE(SUBSTITUTE(SUBSTITUTE($N673,"~","~~"),"*","~*"),"?","~?"),'DEF_SELF_SCOUT_IMPORT'!$G$42:$G$1040,SUBSTITUTE(SUBSTITUTE(SUBSTITUTE($O673,"~","~~"),"*","~*"),"?","~?"))/$C673)</f>
        <v>1.0</v>
      </c>
      <c r="F673" s="11">
        <f>IF($C673=0,"",AVERAGEIFS('DEF_SELF_SCOUT_IMPORT'!$I$42:$I$1040,'DEF_SELF_SCOUT_IMPORT'!$L$42:$L$1040,"Y",'DEF_SELF_SCOUT_IMPORT'!$E$42:$E$1040,SUBSTITUTE(SUBSTITUTE(SUBSTITUTE($B673,"~","~~"),"*","~*"),"?","~?"),'DEF_SELF_SCOUT_IMPORT'!$Q$42:$Q$1040,SUBSTITUTE(SUBSTITUTE(SUBSTITUTE($M673,"~","~~"),"*","~*"),"?","~?"),'DEF_SELF_SCOUT_IMPORT'!$F$42:$F$1040,SUBSTITUTE(SUBSTITUTE(SUBSTITUTE($N673,"~","~~"),"*","~*"),"?","~?"),'DEF_SELF_SCOUT_IMPORT'!$G$42:$G$1040,SUBSTITUTE(SUBSTITUTE(SUBSTITUTE($O673,"~","~~"),"*","~*"),"?","~?")))</f>
        <v>16.0</v>
      </c>
      <c r="G673" s="10">
        <f>IF($C673=0,"",COUNTIFS('DEF_SELF_SCOUT_IMPORT'!$L$42:$L$1040,"Y",'DEF_SELF_SCOUT_IMPORT'!$E$42:$E$1040,SUBSTITUTE(SUBSTITUTE(SUBSTITUTE($B673,"~","~~"),"*","~*"),"?","~?"),'DEF_SELF_SCOUT_IMPORT'!$Q$42:$Q$1040,SUBSTITUTE(SUBSTITUTE(SUBSTITUTE($M673,"~","~~"),"*","~*"),"?","~?"),'DEF_SELF_SCOUT_IMPORT'!$F$42:$F$1040,SUBSTITUTE(SUBSTITUTE(SUBSTITUTE($N673,"~","~~"),"*","~*"),"?","~?"),'DEF_SELF_SCOUT_IMPORT'!$G$42:$G$1040,SUBSTITUTE(SUBSTITUTE(SUBSTITUTE($O673,"~","~~"),"*","~*"),"?","~?"),'DEF_SELF_SCOUT_IMPORT'!$H$42:$H$1040,"RUSH")/$C673)</f>
        <v>1.0</v>
      </c>
      <c r="H673" s="10">
        <f>IF($C673=0,"",COUNTIFS('DEF_SELF_SCOUT_IMPORT'!$L$42:$L$1040,"Y",'DEF_SELF_SCOUT_IMPORT'!$E$42:$E$1040,SUBSTITUTE(SUBSTITUTE(SUBSTITUTE($B673,"~","~~"),"*","~*"),"?","~?"),'DEF_SELF_SCOUT_IMPORT'!$Q$42:$Q$1040,SUBSTITUTE(SUBSTITUTE(SUBSTITUTE($M673,"~","~~"),"*","~*"),"?","~?"),'DEF_SELF_SCOUT_IMPORT'!$F$42:$F$1040,SUBSTITUTE(SUBSTITUTE(SUBSTITUTE($N673,"~","~~"),"*","~*"),"?","~?"),'DEF_SELF_SCOUT_IMPORT'!$G$42:$G$1040,SUBSTITUTE(SUBSTITUTE(SUBSTITUTE($O673,"~","~~"),"*","~*"),"?","~?"),'DEF_SELF_SCOUT_IMPORT'!$H$42:$H$1040,"DROPBACK")/$C673)</f>
        <v>0.0</v>
      </c>
      <c r="I673" s="14" t="str">
        <f>IF(C673=0,"",IF(C673&lt;=2,"TRACK",IF(C673=3,"LOW",IF(C673&lt;=6,"MEDIUM","HIGH"))))</f>
        <v>TRACK</v>
      </c>
      <c r="J673" s="11">
        <f>IF(C673=0,"",ROUND(D673*70+(1-E673)*20+MAX(0,MIN(1,(10-F673)/10))*10,1))</f>
        <v>0.0</v>
      </c>
      <c r="K673" s="14" t="str">
        <f>IF(C673=0,"No Evidence",IF(C673&lt;=2,IF(E673&gt;0,"Explosive Alert","Track Only"),IF(C673=3,"Sample Watch",IF(E673&gt;=START_HERE!$B$31,"Explosive Alert",IF(J673&gt;=80,"Strong Candidate",IF(J673&gt;=65,"Good Candidate",IF(J673&gt;=50,"Mixed / Review","Problem Call")))))))</f>
        <v>Explosive Alert</v>
      </c>
      <c r="L673" s="9" t="str">
        <f>IF(COUNTIFS('DEF_SELF_SCOUT_IMPORT'!$L$42:$L$1040,"Y",'DEF_SELF_SCOUT_IMPORT'!$E$42:$E$1040,SUBSTITUTE(SUBSTITUTE(SUBSTITUTE($B673,"~","~~"),"*","~*"),"?","~?"),'DEF_SELF_SCOUT_IMPORT'!$Q$42:$Q$1040,SUBSTITUTE(SUBSTITUTE(SUBSTITUTE($M673,"~","~~"),"*","~*"),"?","~?"),'DEF_SELF_SCOUT_IMPORT'!$F$42:$F$1040,SUBSTITUTE(SUBSTITUTE(SUBSTITUTE($N673,"~","~~"),"*","~*"),"?","~?"),'DEF_SELF_SCOUT_IMPORT'!$G$42:$G$1040,SUBSTITUTE(SUBSTITUTE(SUBSTITUTE($O673,"~","~~"),"*","~*"),"?","~?"),'DEF_SELF_SCOUT_IMPORT'!$J$42:$J$1040,"")&gt;0,"Unscored clean outcome; review result tags before using score.",IF(C673=0,"No matching defensive reps; film confirmation needed.",IF(K673="Explosive Alert","Explosive risk; review clips before using as answer.",IF(C673&lt;=2,"Track only; not enough sample.",IF(C673=3,IF(E673&gt;0,"Sample watch with explosive exposure; review clips and build the sample.",IF(J673&gt;=65,"Good signal, but sample is limited.","Sample watch; review clips and build the sample.")),IF(K673="Problem Call","Problem area; practice or call-sheet review.",IF(K673="Strong Candidate","Strong call-fit candidate; confirm on film.",IF(K673="Good Candidate","Good call-fit signal; confirm on film.","Mixed signal; review fit and execution on film."))))))))</f>
        <v>Explosive risk; review clips before using as answer.</v>
      </c>
      <c r="M673" s="8" t="s">
        <v>82</v>
      </c>
      <c r="N673" s="8" t="s">
        <v>120</v>
      </c>
      <c r="O673" s="8" t="s">
        <v>206</v>
      </c>
      <c r="P673" s="8"/>
      <c r="Q673" s="8"/>
      <c r="R673" s="8" t="s">
        <v>28</v>
      </c>
      <c r="S673" s="2" t="s">
        <v>343</v>
      </c>
      <c r="T673" s="2">
        <f>IF(C673=0,0,IF(C673&gt;=CALL_LOOKUP_BOARD!$B$7,IF(OR(K673="Problem Call",K673="Explosive Alert"),10000000,20000000),0)+IF(C673&gt;=CALL_LOOKUP_BOARD!$B$7,J673*1000+MIN(C673,999),C673*1000+J673)+0.00991500)</f>
        <v>1000.009915</v>
      </c>
      <c r="U673" s="2">
        <f>IF(C673=0,"",IF(COUNTIFS($S$589:$S$803,SUBSTITUTE(SUBSTITUTE(SUBSTITUTE(S673,"~","~~"),"*","~*"),"?","~?"),$T$589:$T$803,"&gt;"&amp;T673)=0,S673,""))</f>
        <v/>
      </c>
    </row>
    <row r="674" spans="1:21" ht="38" customHeight="1">
      <c r="A674" s="8" t="s">
        <v>342</v>
      </c>
      <c r="B674" s="8" t="s">
        <v>44</v>
      </c>
      <c r="C674" s="12">
        <f>COUNTIFS('DEF_SELF_SCOUT_IMPORT'!$L$42:$L$1040,"Y",'DEF_SELF_SCOUT_IMPORT'!$E$42:$E$1040,SUBSTITUTE(SUBSTITUTE(SUBSTITUTE($B674,"~","~~"),"*","~*"),"?","~?"),'DEF_SELF_SCOUT_IMPORT'!$Q$42:$Q$1040,SUBSTITUTE(SUBSTITUTE(SUBSTITUTE($M674,"~","~~"),"*","~*"),"?","~?"),'DEF_SELF_SCOUT_IMPORT'!$F$42:$F$1040,SUBSTITUTE(SUBSTITUTE(SUBSTITUTE($N674,"~","~~"),"*","~*"),"?","~?"),'DEF_SELF_SCOUT_IMPORT'!$G$42:$G$1040,SUBSTITUTE(SUBSTITUTE(SUBSTITUTE($O674,"~","~~"),"*","~*"),"?","~?"))</f>
        <v>2</v>
      </c>
      <c r="D674" s="10">
        <f>IF($C674=0,"",SUMIFS('DEF_SELF_SCOUT_IMPORT'!$J$42:$J$1040,'DEF_SELF_SCOUT_IMPORT'!$L$42:$L$1040,"Y",'DEF_SELF_SCOUT_IMPORT'!$E$42:$E$1040,SUBSTITUTE(SUBSTITUTE(SUBSTITUTE($B674,"~","~~"),"*","~*"),"?","~?"),'DEF_SELF_SCOUT_IMPORT'!$Q$42:$Q$1040,SUBSTITUTE(SUBSTITUTE(SUBSTITUTE($M674,"~","~~"),"*","~*"),"?","~?"),'DEF_SELF_SCOUT_IMPORT'!$F$42:$F$1040,SUBSTITUTE(SUBSTITUTE(SUBSTITUTE($N674,"~","~~"),"*","~*"),"?","~?"),'DEF_SELF_SCOUT_IMPORT'!$G$42:$G$1040,SUBSTITUTE(SUBSTITUTE(SUBSTITUTE($O674,"~","~~"),"*","~*"),"?","~?"))/$C674)</f>
        <v>0.5</v>
      </c>
      <c r="E674" s="10">
        <f>IF($C674=0,"",SUMIFS('DEF_SELF_SCOUT_IMPORT'!$K$42:$K$1040,'DEF_SELF_SCOUT_IMPORT'!$L$42:$L$1040,"Y",'DEF_SELF_SCOUT_IMPORT'!$E$42:$E$1040,SUBSTITUTE(SUBSTITUTE(SUBSTITUTE($B674,"~","~~"),"*","~*"),"?","~?"),'DEF_SELF_SCOUT_IMPORT'!$Q$42:$Q$1040,SUBSTITUTE(SUBSTITUTE(SUBSTITUTE($M674,"~","~~"),"*","~*"),"?","~?"),'DEF_SELF_SCOUT_IMPORT'!$F$42:$F$1040,SUBSTITUTE(SUBSTITUTE(SUBSTITUTE($N674,"~","~~"),"*","~*"),"?","~?"),'DEF_SELF_SCOUT_IMPORT'!$G$42:$G$1040,SUBSTITUTE(SUBSTITUTE(SUBSTITUTE($O674,"~","~~"),"*","~*"),"?","~?"))/$C674)</f>
        <v>0.0</v>
      </c>
      <c r="F674" s="11">
        <f>IF($C674=0,"",AVERAGEIFS('DEF_SELF_SCOUT_IMPORT'!$I$42:$I$1040,'DEF_SELF_SCOUT_IMPORT'!$L$42:$L$1040,"Y",'DEF_SELF_SCOUT_IMPORT'!$E$42:$E$1040,SUBSTITUTE(SUBSTITUTE(SUBSTITUTE($B674,"~","~~"),"*","~*"),"?","~?"),'DEF_SELF_SCOUT_IMPORT'!$Q$42:$Q$1040,SUBSTITUTE(SUBSTITUTE(SUBSTITUTE($M674,"~","~~"),"*","~*"),"?","~?"),'DEF_SELF_SCOUT_IMPORT'!$F$42:$F$1040,SUBSTITUTE(SUBSTITUTE(SUBSTITUTE($N674,"~","~~"),"*","~*"),"?","~?"),'DEF_SELF_SCOUT_IMPORT'!$G$42:$G$1040,SUBSTITUTE(SUBSTITUTE(SUBSTITUTE($O674,"~","~~"),"*","~*"),"?","~?")))</f>
        <v>4.5</v>
      </c>
      <c r="G674" s="10">
        <f>IF($C674=0,"",COUNTIFS('DEF_SELF_SCOUT_IMPORT'!$L$42:$L$1040,"Y",'DEF_SELF_SCOUT_IMPORT'!$E$42:$E$1040,SUBSTITUTE(SUBSTITUTE(SUBSTITUTE($B674,"~","~~"),"*","~*"),"?","~?"),'DEF_SELF_SCOUT_IMPORT'!$Q$42:$Q$1040,SUBSTITUTE(SUBSTITUTE(SUBSTITUTE($M674,"~","~~"),"*","~*"),"?","~?"),'DEF_SELF_SCOUT_IMPORT'!$F$42:$F$1040,SUBSTITUTE(SUBSTITUTE(SUBSTITUTE($N674,"~","~~"),"*","~*"),"?","~?"),'DEF_SELF_SCOUT_IMPORT'!$G$42:$G$1040,SUBSTITUTE(SUBSTITUTE(SUBSTITUTE($O674,"~","~~"),"*","~*"),"?","~?"),'DEF_SELF_SCOUT_IMPORT'!$H$42:$H$1040,"RUSH")/$C674)</f>
        <v>0.0</v>
      </c>
      <c r="H674" s="10">
        <f>IF($C674=0,"",COUNTIFS('DEF_SELF_SCOUT_IMPORT'!$L$42:$L$1040,"Y",'DEF_SELF_SCOUT_IMPORT'!$E$42:$E$1040,SUBSTITUTE(SUBSTITUTE(SUBSTITUTE($B674,"~","~~"),"*","~*"),"?","~?"),'DEF_SELF_SCOUT_IMPORT'!$Q$42:$Q$1040,SUBSTITUTE(SUBSTITUTE(SUBSTITUTE($M674,"~","~~"),"*","~*"),"?","~?"),'DEF_SELF_SCOUT_IMPORT'!$F$42:$F$1040,SUBSTITUTE(SUBSTITUTE(SUBSTITUTE($N674,"~","~~"),"*","~*"),"?","~?"),'DEF_SELF_SCOUT_IMPORT'!$G$42:$G$1040,SUBSTITUTE(SUBSTITUTE(SUBSTITUTE($O674,"~","~~"),"*","~*"),"?","~?"),'DEF_SELF_SCOUT_IMPORT'!$H$42:$H$1040,"DROPBACK")/$C674)</f>
        <v>1.0</v>
      </c>
      <c r="I674" s="14" t="str">
        <f>IF(C674=0,"",IF(C674&lt;=2,"TRACK",IF(C674=3,"LOW",IF(C674&lt;=6,"MEDIUM","HIGH"))))</f>
        <v>TRACK</v>
      </c>
      <c r="J674" s="11">
        <f>IF(C674=0,"",ROUND(D674*70+(1-E674)*20+MAX(0,MIN(1,(10-F674)/10))*10,1))</f>
        <v>60.5</v>
      </c>
      <c r="K674" s="14" t="str">
        <f>IF(C674=0,"No Evidence",IF(C674&lt;=2,IF(E674&gt;0,"Explosive Alert","Track Only"),IF(C674=3,"Sample Watch",IF(E674&gt;=START_HERE!$B$31,"Explosive Alert",IF(J674&gt;=80,"Strong Candidate",IF(J674&gt;=65,"Good Candidate",IF(J674&gt;=50,"Mixed / Review","Problem Call")))))))</f>
        <v>Track Only</v>
      </c>
      <c r="L674" s="9" t="str">
        <f>IF(COUNTIFS('DEF_SELF_SCOUT_IMPORT'!$L$42:$L$1040,"Y",'DEF_SELF_SCOUT_IMPORT'!$E$42:$E$1040,SUBSTITUTE(SUBSTITUTE(SUBSTITUTE($B674,"~","~~"),"*","~*"),"?","~?"),'DEF_SELF_SCOUT_IMPORT'!$Q$42:$Q$1040,SUBSTITUTE(SUBSTITUTE(SUBSTITUTE($M674,"~","~~"),"*","~*"),"?","~?"),'DEF_SELF_SCOUT_IMPORT'!$F$42:$F$1040,SUBSTITUTE(SUBSTITUTE(SUBSTITUTE($N674,"~","~~"),"*","~*"),"?","~?"),'DEF_SELF_SCOUT_IMPORT'!$G$42:$G$1040,SUBSTITUTE(SUBSTITUTE(SUBSTITUTE($O674,"~","~~"),"*","~*"),"?","~?"),'DEF_SELF_SCOUT_IMPORT'!$J$42:$J$1040,"")&gt;0,"Unscored clean outcome; review result tags before using score.",IF(C674=0,"No matching defensive reps; film confirmation needed.",IF(K674="Explosive Alert","Explosive risk; review clips before using as answer.",IF(C674&lt;=2,"Track only; not enough sample.",IF(C674=3,IF(E674&gt;0,"Sample watch with explosive exposure; review clips and build the sample.",IF(J674&gt;=65,"Good signal, but sample is limited.","Sample watch; review clips and build the sample.")),IF(K674="Problem Call","Problem area; practice or call-sheet review.",IF(K674="Strong Candidate","Strong call-fit candidate; confirm on film.",IF(K674="Good Candidate","Good call-fit signal; confirm on film.","Mixed signal; review fit and execution on film."))))))))</f>
        <v>Track only; not enough sample.</v>
      </c>
      <c r="M674" s="8" t="s">
        <v>82</v>
      </c>
      <c r="N674" s="8" t="s">
        <v>120</v>
      </c>
      <c r="O674" s="8" t="s">
        <v>206</v>
      </c>
      <c r="P674" s="8"/>
      <c r="Q674" s="8"/>
      <c r="R674" s="8" t="s">
        <v>28</v>
      </c>
      <c r="S674" s="2" t="s">
        <v>343</v>
      </c>
      <c r="T674" s="2">
        <f>IF(C674=0,0,IF(C674&gt;=CALL_LOOKUP_BOARD!$B$7,IF(OR(K674="Problem Call",K674="Explosive Alert"),10000000,20000000),0)+IF(C674&gt;=CALL_LOOKUP_BOARD!$B$7,J674*1000+MIN(C674,999),C674*1000+J674)+0.00991400)</f>
        <v>2060.509914</v>
      </c>
      <c r="U674" s="2" t="str">
        <f>IF(C674=0,"",IF(COUNTIFS($S$589:$S$803,SUBSTITUTE(SUBSTITUTE(SUBSTITUTE(S674,"~","~~"),"*","~*"),"?","~?"),$T$589:$T$803,"&gt;"&amp;T674)=0,S674,""))</f>
        <v>6:2D 4-6|2:11|3:3X1|</v>
      </c>
    </row>
    <row r="675" spans="1:21" ht="38" customHeight="1">
      <c r="A675" s="8" t="s">
        <v>342</v>
      </c>
      <c r="B675" s="8" t="s">
        <v>48</v>
      </c>
      <c r="C675" s="12">
        <f>COUNTIFS('DEF_SELF_SCOUT_IMPORT'!$L$42:$L$1040,"Y",'DEF_SELF_SCOUT_IMPORT'!$E$42:$E$1040,SUBSTITUTE(SUBSTITUTE(SUBSTITUTE($B675,"~","~~"),"*","~*"),"?","~?"),'DEF_SELF_SCOUT_IMPORT'!$Q$42:$Q$1040,SUBSTITUTE(SUBSTITUTE(SUBSTITUTE($M675,"~","~~"),"*","~*"),"?","~?"),'DEF_SELF_SCOUT_IMPORT'!$F$42:$F$1040,SUBSTITUTE(SUBSTITUTE(SUBSTITUTE($N675,"~","~~"),"*","~*"),"?","~?"),'DEF_SELF_SCOUT_IMPORT'!$G$42:$G$1040,SUBSTITUTE(SUBSTITUTE(SUBSTITUTE($O675,"~","~~"),"*","~*"),"?","~?"))</f>
        <v>1</v>
      </c>
      <c r="D675" s="10">
        <f>IF($C675=0,"",SUMIFS('DEF_SELF_SCOUT_IMPORT'!$J$42:$J$1040,'DEF_SELF_SCOUT_IMPORT'!$L$42:$L$1040,"Y",'DEF_SELF_SCOUT_IMPORT'!$E$42:$E$1040,SUBSTITUTE(SUBSTITUTE(SUBSTITUTE($B675,"~","~~"),"*","~*"),"?","~?"),'DEF_SELF_SCOUT_IMPORT'!$Q$42:$Q$1040,SUBSTITUTE(SUBSTITUTE(SUBSTITUTE($M675,"~","~~"),"*","~*"),"?","~?"),'DEF_SELF_SCOUT_IMPORT'!$F$42:$F$1040,SUBSTITUTE(SUBSTITUTE(SUBSTITUTE($N675,"~","~~"),"*","~*"),"?","~?"),'DEF_SELF_SCOUT_IMPORT'!$G$42:$G$1040,SUBSTITUTE(SUBSTITUTE(SUBSTITUTE($O675,"~","~~"),"*","~*"),"?","~?"))/$C675)</f>
        <v>1.0</v>
      </c>
      <c r="E675" s="10">
        <f>IF($C675=0,"",SUMIFS('DEF_SELF_SCOUT_IMPORT'!$K$42:$K$1040,'DEF_SELF_SCOUT_IMPORT'!$L$42:$L$1040,"Y",'DEF_SELF_SCOUT_IMPORT'!$E$42:$E$1040,SUBSTITUTE(SUBSTITUTE(SUBSTITUTE($B675,"~","~~"),"*","~*"),"?","~?"),'DEF_SELF_SCOUT_IMPORT'!$Q$42:$Q$1040,SUBSTITUTE(SUBSTITUTE(SUBSTITUTE($M675,"~","~~"),"*","~*"),"?","~?"),'DEF_SELF_SCOUT_IMPORT'!$F$42:$F$1040,SUBSTITUTE(SUBSTITUTE(SUBSTITUTE($N675,"~","~~"),"*","~*"),"?","~?"),'DEF_SELF_SCOUT_IMPORT'!$G$42:$G$1040,SUBSTITUTE(SUBSTITUTE(SUBSTITUTE($O675,"~","~~"),"*","~*"),"?","~?"))/$C675)</f>
        <v>0.0</v>
      </c>
      <c r="F675" s="11">
        <f>IF($C675=0,"",AVERAGEIFS('DEF_SELF_SCOUT_IMPORT'!$I$42:$I$1040,'DEF_SELF_SCOUT_IMPORT'!$L$42:$L$1040,"Y",'DEF_SELF_SCOUT_IMPORT'!$E$42:$E$1040,SUBSTITUTE(SUBSTITUTE(SUBSTITUTE($B675,"~","~~"),"*","~*"),"?","~?"),'DEF_SELF_SCOUT_IMPORT'!$Q$42:$Q$1040,SUBSTITUTE(SUBSTITUTE(SUBSTITUTE($M675,"~","~~"),"*","~*"),"?","~?"),'DEF_SELF_SCOUT_IMPORT'!$F$42:$F$1040,SUBSTITUTE(SUBSTITUTE(SUBSTITUTE($N675,"~","~~"),"*","~*"),"?","~?"),'DEF_SELF_SCOUT_IMPORT'!$G$42:$G$1040,SUBSTITUTE(SUBSTITUTE(SUBSTITUTE($O675,"~","~~"),"*","~*"),"?","~?")))</f>
        <v>-8.0</v>
      </c>
      <c r="G675" s="10">
        <f>IF($C675=0,"",COUNTIFS('DEF_SELF_SCOUT_IMPORT'!$L$42:$L$1040,"Y",'DEF_SELF_SCOUT_IMPORT'!$E$42:$E$1040,SUBSTITUTE(SUBSTITUTE(SUBSTITUTE($B675,"~","~~"),"*","~*"),"?","~?"),'DEF_SELF_SCOUT_IMPORT'!$Q$42:$Q$1040,SUBSTITUTE(SUBSTITUTE(SUBSTITUTE($M675,"~","~~"),"*","~*"),"?","~?"),'DEF_SELF_SCOUT_IMPORT'!$F$42:$F$1040,SUBSTITUTE(SUBSTITUTE(SUBSTITUTE($N675,"~","~~"),"*","~*"),"?","~?"),'DEF_SELF_SCOUT_IMPORT'!$G$42:$G$1040,SUBSTITUTE(SUBSTITUTE(SUBSTITUTE($O675,"~","~~"),"*","~*"),"?","~?"),'DEF_SELF_SCOUT_IMPORT'!$H$42:$H$1040,"RUSH")/$C675)</f>
        <v>0.0</v>
      </c>
      <c r="H675" s="10">
        <f>IF($C675=0,"",COUNTIFS('DEF_SELF_SCOUT_IMPORT'!$L$42:$L$1040,"Y",'DEF_SELF_SCOUT_IMPORT'!$E$42:$E$1040,SUBSTITUTE(SUBSTITUTE(SUBSTITUTE($B675,"~","~~"),"*","~*"),"?","~?"),'DEF_SELF_SCOUT_IMPORT'!$Q$42:$Q$1040,SUBSTITUTE(SUBSTITUTE(SUBSTITUTE($M675,"~","~~"),"*","~*"),"?","~?"),'DEF_SELF_SCOUT_IMPORT'!$F$42:$F$1040,SUBSTITUTE(SUBSTITUTE(SUBSTITUTE($N675,"~","~~"),"*","~*"),"?","~?"),'DEF_SELF_SCOUT_IMPORT'!$G$42:$G$1040,SUBSTITUTE(SUBSTITUTE(SUBSTITUTE($O675,"~","~~"),"*","~*"),"?","~?"),'DEF_SELF_SCOUT_IMPORT'!$H$42:$H$1040,"DROPBACK")/$C675)</f>
        <v>1.0</v>
      </c>
      <c r="I675" s="14" t="str">
        <f>IF(C675=0,"",IF(C675&lt;=2,"TRACK",IF(C675=3,"LOW",IF(C675&lt;=6,"MEDIUM","HIGH"))))</f>
        <v>TRACK</v>
      </c>
      <c r="J675" s="11">
        <f>IF(C675=0,"",ROUND(D675*70+(1-E675)*20+MAX(0,MIN(1,(10-F675)/10))*10,1))</f>
        <v>100.0</v>
      </c>
      <c r="K675" s="14" t="str">
        <f>IF(C675=0,"No Evidence",IF(C675&lt;=2,IF(E675&gt;0,"Explosive Alert","Track Only"),IF(C675=3,"Sample Watch",IF(E675&gt;=START_HERE!$B$31,"Explosive Alert",IF(J675&gt;=80,"Strong Candidate",IF(J675&gt;=65,"Good Candidate",IF(J675&gt;=50,"Mixed / Review","Problem Call")))))))</f>
        <v>Track Only</v>
      </c>
      <c r="L675" s="9" t="str">
        <f>IF(COUNTIFS('DEF_SELF_SCOUT_IMPORT'!$L$42:$L$1040,"Y",'DEF_SELF_SCOUT_IMPORT'!$E$42:$E$1040,SUBSTITUTE(SUBSTITUTE(SUBSTITUTE($B675,"~","~~"),"*","~*"),"?","~?"),'DEF_SELF_SCOUT_IMPORT'!$Q$42:$Q$1040,SUBSTITUTE(SUBSTITUTE(SUBSTITUTE($M675,"~","~~"),"*","~*"),"?","~?"),'DEF_SELF_SCOUT_IMPORT'!$F$42:$F$1040,SUBSTITUTE(SUBSTITUTE(SUBSTITUTE($N675,"~","~~"),"*","~*"),"?","~?"),'DEF_SELF_SCOUT_IMPORT'!$G$42:$G$1040,SUBSTITUTE(SUBSTITUTE(SUBSTITUTE($O675,"~","~~"),"*","~*"),"?","~?"),'DEF_SELF_SCOUT_IMPORT'!$J$42:$J$1040,"")&gt;0,"Unscored clean outcome; review result tags before using score.",IF(C675=0,"No matching defensive reps; film confirmation needed.",IF(K675="Explosive Alert","Explosive risk; review clips before using as answer.",IF(C675&lt;=2,"Track only; not enough sample.",IF(C675=3,IF(E675&gt;0,"Sample watch with explosive exposure; review clips and build the sample.",IF(J675&gt;=65,"Good signal, but sample is limited.","Sample watch; review clips and build the sample.")),IF(K675="Problem Call","Problem area; practice or call-sheet review.",IF(K675="Strong Candidate","Strong call-fit candidate; confirm on film.",IF(K675="Good Candidate","Good call-fit signal; confirm on film.","Mixed signal; review fit and execution on film."))))))))</f>
        <v>Track only; not enough sample.</v>
      </c>
      <c r="M675" s="8" t="s">
        <v>82</v>
      </c>
      <c r="N675" s="8" t="s">
        <v>120</v>
      </c>
      <c r="O675" s="8" t="s">
        <v>206</v>
      </c>
      <c r="P675" s="8"/>
      <c r="Q675" s="8"/>
      <c r="R675" s="8" t="s">
        <v>28</v>
      </c>
      <c r="S675" s="2" t="s">
        <v>343</v>
      </c>
      <c r="T675" s="2">
        <f>IF(C675=0,0,IF(C675&gt;=CALL_LOOKUP_BOARD!$B$7,IF(OR(K675="Problem Call",K675="Explosive Alert"),10000000,20000000),0)+IF(C675&gt;=CALL_LOOKUP_BOARD!$B$7,J675*1000+MIN(C675,999),C675*1000+J675)+0.00991300)</f>
        <v>1100.009913</v>
      </c>
      <c r="U675" s="2">
        <f>IF(C675=0,"",IF(COUNTIFS($S$589:$S$803,SUBSTITUTE(SUBSTITUTE(SUBSTITUTE(S675,"~","~~"),"*","~*"),"?","~?"),$T$589:$T$803,"&gt;"&amp;T675)=0,S675,""))</f>
        <v/>
      </c>
    </row>
    <row r="676" spans="1:21" ht="38" customHeight="1">
      <c r="A676" s="8" t="s">
        <v>342</v>
      </c>
      <c r="B676" s="8" t="s">
        <v>34</v>
      </c>
      <c r="C676" s="12">
        <f>COUNTIFS('DEF_SELF_SCOUT_IMPORT'!$L$42:$L$1040,"Y",'DEF_SELF_SCOUT_IMPORT'!$E$42:$E$1040,SUBSTITUTE(SUBSTITUTE(SUBSTITUTE($B676,"~","~~"),"*","~*"),"?","~?"),'DEF_SELF_SCOUT_IMPORT'!$Q$42:$Q$1040,SUBSTITUTE(SUBSTITUTE(SUBSTITUTE($M676,"~","~~"),"*","~*"),"?","~?"),'DEF_SELF_SCOUT_IMPORT'!$F$42:$F$1040,SUBSTITUTE(SUBSTITUTE(SUBSTITUTE($N676,"~","~~"),"*","~*"),"?","~?"),'DEF_SELF_SCOUT_IMPORT'!$G$42:$G$1040,SUBSTITUTE(SUBSTITUTE(SUBSTITUTE($O676,"~","~~"),"*","~*"),"?","~?"))</f>
        <v>1</v>
      </c>
      <c r="D676" s="10">
        <f>IF($C676=0,"",SUMIFS('DEF_SELF_SCOUT_IMPORT'!$J$42:$J$1040,'DEF_SELF_SCOUT_IMPORT'!$L$42:$L$1040,"Y",'DEF_SELF_SCOUT_IMPORT'!$E$42:$E$1040,SUBSTITUTE(SUBSTITUTE(SUBSTITUTE($B676,"~","~~"),"*","~*"),"?","~?"),'DEF_SELF_SCOUT_IMPORT'!$Q$42:$Q$1040,SUBSTITUTE(SUBSTITUTE(SUBSTITUTE($M676,"~","~~"),"*","~*"),"?","~?"),'DEF_SELF_SCOUT_IMPORT'!$F$42:$F$1040,SUBSTITUTE(SUBSTITUTE(SUBSTITUTE($N676,"~","~~"),"*","~*"),"?","~?"),'DEF_SELF_SCOUT_IMPORT'!$G$42:$G$1040,SUBSTITUTE(SUBSTITUTE(SUBSTITUTE($O676,"~","~~"),"*","~*"),"?","~?"))/$C676)</f>
        <v>0.0</v>
      </c>
      <c r="E676" s="10">
        <f>IF($C676=0,"",SUMIFS('DEF_SELF_SCOUT_IMPORT'!$K$42:$K$1040,'DEF_SELF_SCOUT_IMPORT'!$L$42:$L$1040,"Y",'DEF_SELF_SCOUT_IMPORT'!$E$42:$E$1040,SUBSTITUTE(SUBSTITUTE(SUBSTITUTE($B676,"~","~~"),"*","~*"),"?","~?"),'DEF_SELF_SCOUT_IMPORT'!$Q$42:$Q$1040,SUBSTITUTE(SUBSTITUTE(SUBSTITUTE($M676,"~","~~"),"*","~*"),"?","~?"),'DEF_SELF_SCOUT_IMPORT'!$F$42:$F$1040,SUBSTITUTE(SUBSTITUTE(SUBSTITUTE($N676,"~","~~"),"*","~*"),"?","~?"),'DEF_SELF_SCOUT_IMPORT'!$G$42:$G$1040,SUBSTITUTE(SUBSTITUTE(SUBSTITUTE($O676,"~","~~"),"*","~*"),"?","~?"))/$C676)</f>
        <v>0.0</v>
      </c>
      <c r="F676" s="11">
        <f>IF($C676=0,"",AVERAGEIFS('DEF_SELF_SCOUT_IMPORT'!$I$42:$I$1040,'DEF_SELF_SCOUT_IMPORT'!$L$42:$L$1040,"Y",'DEF_SELF_SCOUT_IMPORT'!$E$42:$E$1040,SUBSTITUTE(SUBSTITUTE(SUBSTITUTE($B676,"~","~~"),"*","~*"),"?","~?"),'DEF_SELF_SCOUT_IMPORT'!$Q$42:$Q$1040,SUBSTITUTE(SUBSTITUTE(SUBSTITUTE($M676,"~","~~"),"*","~*"),"?","~?"),'DEF_SELF_SCOUT_IMPORT'!$F$42:$F$1040,SUBSTITUTE(SUBSTITUTE(SUBSTITUTE($N676,"~","~~"),"*","~*"),"?","~?"),'DEF_SELF_SCOUT_IMPORT'!$G$42:$G$1040,SUBSTITUTE(SUBSTITUTE(SUBSTITUTE($O676,"~","~~"),"*","~*"),"?","~?")))</f>
        <v>10.0</v>
      </c>
      <c r="G676" s="10">
        <f>IF($C676=0,"",COUNTIFS('DEF_SELF_SCOUT_IMPORT'!$L$42:$L$1040,"Y",'DEF_SELF_SCOUT_IMPORT'!$E$42:$E$1040,SUBSTITUTE(SUBSTITUTE(SUBSTITUTE($B676,"~","~~"),"*","~*"),"?","~?"),'DEF_SELF_SCOUT_IMPORT'!$Q$42:$Q$1040,SUBSTITUTE(SUBSTITUTE(SUBSTITUTE($M676,"~","~~"),"*","~*"),"?","~?"),'DEF_SELF_SCOUT_IMPORT'!$F$42:$F$1040,SUBSTITUTE(SUBSTITUTE(SUBSTITUTE($N676,"~","~~"),"*","~*"),"?","~?"),'DEF_SELF_SCOUT_IMPORT'!$G$42:$G$1040,SUBSTITUTE(SUBSTITUTE(SUBSTITUTE($O676,"~","~~"),"*","~*"),"?","~?"),'DEF_SELF_SCOUT_IMPORT'!$H$42:$H$1040,"RUSH")/$C676)</f>
        <v>0.0</v>
      </c>
      <c r="H676" s="10">
        <f>IF($C676=0,"",COUNTIFS('DEF_SELF_SCOUT_IMPORT'!$L$42:$L$1040,"Y",'DEF_SELF_SCOUT_IMPORT'!$E$42:$E$1040,SUBSTITUTE(SUBSTITUTE(SUBSTITUTE($B676,"~","~~"),"*","~*"),"?","~?"),'DEF_SELF_SCOUT_IMPORT'!$Q$42:$Q$1040,SUBSTITUTE(SUBSTITUTE(SUBSTITUTE($M676,"~","~~"),"*","~*"),"?","~?"),'DEF_SELF_SCOUT_IMPORT'!$F$42:$F$1040,SUBSTITUTE(SUBSTITUTE(SUBSTITUTE($N676,"~","~~"),"*","~*"),"?","~?"),'DEF_SELF_SCOUT_IMPORT'!$G$42:$G$1040,SUBSTITUTE(SUBSTITUTE(SUBSTITUTE($O676,"~","~~"),"*","~*"),"?","~?"),'DEF_SELF_SCOUT_IMPORT'!$H$42:$H$1040,"DROPBACK")/$C676)</f>
        <v>1.0</v>
      </c>
      <c r="I676" s="14" t="str">
        <f>IF(C676=0,"",IF(C676&lt;=2,"TRACK",IF(C676=3,"LOW",IF(C676&lt;=6,"MEDIUM","HIGH"))))</f>
        <v>TRACK</v>
      </c>
      <c r="J676" s="11">
        <f>IF(C676=0,"",ROUND(D676*70+(1-E676)*20+MAX(0,MIN(1,(10-F676)/10))*10,1))</f>
        <v>20.0</v>
      </c>
      <c r="K676" s="14" t="str">
        <f>IF(C676=0,"No Evidence",IF(C676&lt;=2,IF(E676&gt;0,"Explosive Alert","Track Only"),IF(C676=3,"Sample Watch",IF(E676&gt;=START_HERE!$B$31,"Explosive Alert",IF(J676&gt;=80,"Strong Candidate",IF(J676&gt;=65,"Good Candidate",IF(J676&gt;=50,"Mixed / Review","Problem Call")))))))</f>
        <v>Track Only</v>
      </c>
      <c r="L676" s="9" t="str">
        <f>IF(COUNTIFS('DEF_SELF_SCOUT_IMPORT'!$L$42:$L$1040,"Y",'DEF_SELF_SCOUT_IMPORT'!$E$42:$E$1040,SUBSTITUTE(SUBSTITUTE(SUBSTITUTE($B676,"~","~~"),"*","~*"),"?","~?"),'DEF_SELF_SCOUT_IMPORT'!$Q$42:$Q$1040,SUBSTITUTE(SUBSTITUTE(SUBSTITUTE($M676,"~","~~"),"*","~*"),"?","~?"),'DEF_SELF_SCOUT_IMPORT'!$F$42:$F$1040,SUBSTITUTE(SUBSTITUTE(SUBSTITUTE($N676,"~","~~"),"*","~*"),"?","~?"),'DEF_SELF_SCOUT_IMPORT'!$G$42:$G$1040,SUBSTITUTE(SUBSTITUTE(SUBSTITUTE($O676,"~","~~"),"*","~*"),"?","~?"),'DEF_SELF_SCOUT_IMPORT'!$J$42:$J$1040,"")&gt;0,"Unscored clean outcome; review result tags before using score.",IF(C676=0,"No matching defensive reps; film confirmation needed.",IF(K676="Explosive Alert","Explosive risk; review clips before using as answer.",IF(C676&lt;=2,"Track only; not enough sample.",IF(C676=3,IF(E676&gt;0,"Sample watch with explosive exposure; review clips and build the sample.",IF(J676&gt;=65,"Good signal, but sample is limited.","Sample watch; review clips and build the sample.")),IF(K676="Problem Call","Problem area; practice or call-sheet review.",IF(K676="Strong Candidate","Strong call-fit candidate; confirm on film.",IF(K676="Good Candidate","Good call-fit signal; confirm on film.","Mixed signal; review fit and execution on film."))))))))</f>
        <v>Track only; not enough sample.</v>
      </c>
      <c r="M676" s="8" t="s">
        <v>82</v>
      </c>
      <c r="N676" s="8" t="s">
        <v>120</v>
      </c>
      <c r="O676" s="8" t="s">
        <v>206</v>
      </c>
      <c r="P676" s="8"/>
      <c r="Q676" s="8"/>
      <c r="R676" s="8" t="s">
        <v>28</v>
      </c>
      <c r="S676" s="2" t="s">
        <v>343</v>
      </c>
      <c r="T676" s="2">
        <f>IF(C676=0,0,IF(C676&gt;=CALL_LOOKUP_BOARD!$B$7,IF(OR(K676="Problem Call",K676="Explosive Alert"),10000000,20000000),0)+IF(C676&gt;=CALL_LOOKUP_BOARD!$B$7,J676*1000+MIN(C676,999),C676*1000+J676)+0.00991200)</f>
        <v>1020.009912</v>
      </c>
      <c r="U676" s="2">
        <f>IF(C676=0,"",IF(COUNTIFS($S$589:$S$803,SUBSTITUTE(SUBSTITUTE(SUBSTITUTE(S676,"~","~~"),"*","~*"),"?","~?"),$T$589:$T$803,"&gt;"&amp;T676)=0,S676,""))</f>
        <v/>
      </c>
    </row>
    <row r="677" spans="1:21" ht="38" customHeight="1">
      <c r="A677" s="8" t="s">
        <v>342</v>
      </c>
      <c r="B677" s="8" t="s">
        <v>79</v>
      </c>
      <c r="C677" s="12">
        <f>COUNTIFS('DEF_SELF_SCOUT_IMPORT'!$L$42:$L$1040,"Y",'DEF_SELF_SCOUT_IMPORT'!$E$42:$E$1040,SUBSTITUTE(SUBSTITUTE(SUBSTITUTE($B677,"~","~~"),"*","~*"),"?","~?"),'DEF_SELF_SCOUT_IMPORT'!$Q$42:$Q$1040,SUBSTITUTE(SUBSTITUTE(SUBSTITUTE($M677,"~","~~"),"*","~*"),"?","~?"),'DEF_SELF_SCOUT_IMPORT'!$F$42:$F$1040,SUBSTITUTE(SUBSTITUTE(SUBSTITUTE($N677,"~","~~"),"*","~*"),"?","~?"),'DEF_SELF_SCOUT_IMPORT'!$G$42:$G$1040,SUBSTITUTE(SUBSTITUTE(SUBSTITUTE($O677,"~","~~"),"*","~*"),"?","~?"))</f>
        <v>1</v>
      </c>
      <c r="D677" s="10">
        <f>IF($C677=0,"",SUMIFS('DEF_SELF_SCOUT_IMPORT'!$J$42:$J$1040,'DEF_SELF_SCOUT_IMPORT'!$L$42:$L$1040,"Y",'DEF_SELF_SCOUT_IMPORT'!$E$42:$E$1040,SUBSTITUTE(SUBSTITUTE(SUBSTITUTE($B677,"~","~~"),"*","~*"),"?","~?"),'DEF_SELF_SCOUT_IMPORT'!$Q$42:$Q$1040,SUBSTITUTE(SUBSTITUTE(SUBSTITUTE($M677,"~","~~"),"*","~*"),"?","~?"),'DEF_SELF_SCOUT_IMPORT'!$F$42:$F$1040,SUBSTITUTE(SUBSTITUTE(SUBSTITUTE($N677,"~","~~"),"*","~*"),"?","~?"),'DEF_SELF_SCOUT_IMPORT'!$G$42:$G$1040,SUBSTITUTE(SUBSTITUTE(SUBSTITUTE($O677,"~","~~"),"*","~*"),"?","~?"))/$C677)</f>
        <v>1.0</v>
      </c>
      <c r="E677" s="10">
        <f>IF($C677=0,"",SUMIFS('DEF_SELF_SCOUT_IMPORT'!$K$42:$K$1040,'DEF_SELF_SCOUT_IMPORT'!$L$42:$L$1040,"Y",'DEF_SELF_SCOUT_IMPORT'!$E$42:$E$1040,SUBSTITUTE(SUBSTITUTE(SUBSTITUTE($B677,"~","~~"),"*","~*"),"?","~?"),'DEF_SELF_SCOUT_IMPORT'!$Q$42:$Q$1040,SUBSTITUTE(SUBSTITUTE(SUBSTITUTE($M677,"~","~~"),"*","~*"),"?","~?"),'DEF_SELF_SCOUT_IMPORT'!$F$42:$F$1040,SUBSTITUTE(SUBSTITUTE(SUBSTITUTE($N677,"~","~~"),"*","~*"),"?","~?"),'DEF_SELF_SCOUT_IMPORT'!$G$42:$G$1040,SUBSTITUTE(SUBSTITUTE(SUBSTITUTE($O677,"~","~~"),"*","~*"),"?","~?"))/$C677)</f>
        <v>0.0</v>
      </c>
      <c r="F677" s="11">
        <f>IF($C677=0,"",AVERAGEIFS('DEF_SELF_SCOUT_IMPORT'!$I$42:$I$1040,'DEF_SELF_SCOUT_IMPORT'!$L$42:$L$1040,"Y",'DEF_SELF_SCOUT_IMPORT'!$E$42:$E$1040,SUBSTITUTE(SUBSTITUTE(SUBSTITUTE($B677,"~","~~"),"*","~*"),"?","~?"),'DEF_SELF_SCOUT_IMPORT'!$Q$42:$Q$1040,SUBSTITUTE(SUBSTITUTE(SUBSTITUTE($M677,"~","~~"),"*","~*"),"?","~?"),'DEF_SELF_SCOUT_IMPORT'!$F$42:$F$1040,SUBSTITUTE(SUBSTITUTE(SUBSTITUTE($N677,"~","~~"),"*","~*"),"?","~?"),'DEF_SELF_SCOUT_IMPORT'!$G$42:$G$1040,SUBSTITUTE(SUBSTITUTE(SUBSTITUTE($O677,"~","~~"),"*","~*"),"?","~?")))</f>
        <v>-1.0</v>
      </c>
      <c r="G677" s="10">
        <f>IF($C677=0,"",COUNTIFS('DEF_SELF_SCOUT_IMPORT'!$L$42:$L$1040,"Y",'DEF_SELF_SCOUT_IMPORT'!$E$42:$E$1040,SUBSTITUTE(SUBSTITUTE(SUBSTITUTE($B677,"~","~~"),"*","~*"),"?","~?"),'DEF_SELF_SCOUT_IMPORT'!$Q$42:$Q$1040,SUBSTITUTE(SUBSTITUTE(SUBSTITUTE($M677,"~","~~"),"*","~*"),"?","~?"),'DEF_SELF_SCOUT_IMPORT'!$F$42:$F$1040,SUBSTITUTE(SUBSTITUTE(SUBSTITUTE($N677,"~","~~"),"*","~*"),"?","~?"),'DEF_SELF_SCOUT_IMPORT'!$G$42:$G$1040,SUBSTITUTE(SUBSTITUTE(SUBSTITUTE($O677,"~","~~"),"*","~*"),"?","~?"),'DEF_SELF_SCOUT_IMPORT'!$H$42:$H$1040,"RUSH")/$C677)</f>
        <v>0.0</v>
      </c>
      <c r="H677" s="10">
        <f>IF($C677=0,"",COUNTIFS('DEF_SELF_SCOUT_IMPORT'!$L$42:$L$1040,"Y",'DEF_SELF_SCOUT_IMPORT'!$E$42:$E$1040,SUBSTITUTE(SUBSTITUTE(SUBSTITUTE($B677,"~","~~"),"*","~*"),"?","~?"),'DEF_SELF_SCOUT_IMPORT'!$Q$42:$Q$1040,SUBSTITUTE(SUBSTITUTE(SUBSTITUTE($M677,"~","~~"),"*","~*"),"?","~?"),'DEF_SELF_SCOUT_IMPORT'!$F$42:$F$1040,SUBSTITUTE(SUBSTITUTE(SUBSTITUTE($N677,"~","~~"),"*","~*"),"?","~?"),'DEF_SELF_SCOUT_IMPORT'!$G$42:$G$1040,SUBSTITUTE(SUBSTITUTE(SUBSTITUTE($O677,"~","~~"),"*","~*"),"?","~?"),'DEF_SELF_SCOUT_IMPORT'!$H$42:$H$1040,"DROPBACK")/$C677)</f>
        <v>1.0</v>
      </c>
      <c r="I677" s="14" t="str">
        <f>IF(C677=0,"",IF(C677&lt;=2,"TRACK",IF(C677=3,"LOW",IF(C677&lt;=6,"MEDIUM","HIGH"))))</f>
        <v>TRACK</v>
      </c>
      <c r="J677" s="11">
        <f>IF(C677=0,"",ROUND(D677*70+(1-E677)*20+MAX(0,MIN(1,(10-F677)/10))*10,1))</f>
        <v>100.0</v>
      </c>
      <c r="K677" s="14" t="str">
        <f>IF(C677=0,"No Evidence",IF(C677&lt;=2,IF(E677&gt;0,"Explosive Alert","Track Only"),IF(C677=3,"Sample Watch",IF(E677&gt;=START_HERE!$B$31,"Explosive Alert",IF(J677&gt;=80,"Strong Candidate",IF(J677&gt;=65,"Good Candidate",IF(J677&gt;=50,"Mixed / Review","Problem Call")))))))</f>
        <v>Track Only</v>
      </c>
      <c r="L677" s="9" t="str">
        <f>IF(COUNTIFS('DEF_SELF_SCOUT_IMPORT'!$L$42:$L$1040,"Y",'DEF_SELF_SCOUT_IMPORT'!$E$42:$E$1040,SUBSTITUTE(SUBSTITUTE(SUBSTITUTE($B677,"~","~~"),"*","~*"),"?","~?"),'DEF_SELF_SCOUT_IMPORT'!$Q$42:$Q$1040,SUBSTITUTE(SUBSTITUTE(SUBSTITUTE($M677,"~","~~"),"*","~*"),"?","~?"),'DEF_SELF_SCOUT_IMPORT'!$F$42:$F$1040,SUBSTITUTE(SUBSTITUTE(SUBSTITUTE($N677,"~","~~"),"*","~*"),"?","~?"),'DEF_SELF_SCOUT_IMPORT'!$G$42:$G$1040,SUBSTITUTE(SUBSTITUTE(SUBSTITUTE($O677,"~","~~"),"*","~*"),"?","~?"),'DEF_SELF_SCOUT_IMPORT'!$J$42:$J$1040,"")&gt;0,"Unscored clean outcome; review result tags before using score.",IF(C677=0,"No matching defensive reps; film confirmation needed.",IF(K677="Explosive Alert","Explosive risk; review clips before using as answer.",IF(C677&lt;=2,"Track only; not enough sample.",IF(C677=3,IF(E677&gt;0,"Sample watch with explosive exposure; review clips and build the sample.",IF(J677&gt;=65,"Good signal, but sample is limited.","Sample watch; review clips and build the sample.")),IF(K677="Problem Call","Problem area; practice or call-sheet review.",IF(K677="Strong Candidate","Strong call-fit candidate; confirm on film.",IF(K677="Good Candidate","Good call-fit signal; confirm on film.","Mixed signal; review fit and execution on film."))))))))</f>
        <v>Track only; not enough sample.</v>
      </c>
      <c r="M677" s="8" t="s">
        <v>82</v>
      </c>
      <c r="N677" s="8" t="s">
        <v>120</v>
      </c>
      <c r="O677" s="8" t="s">
        <v>206</v>
      </c>
      <c r="P677" s="8"/>
      <c r="Q677" s="8"/>
      <c r="R677" s="8" t="s">
        <v>28</v>
      </c>
      <c r="S677" s="2" t="s">
        <v>343</v>
      </c>
      <c r="T677" s="2">
        <f>IF(C677=0,0,IF(C677&gt;=CALL_LOOKUP_BOARD!$B$7,IF(OR(K677="Problem Call",K677="Explosive Alert"),10000000,20000000),0)+IF(C677&gt;=CALL_LOOKUP_BOARD!$B$7,J677*1000+MIN(C677,999),C677*1000+J677)+0.00991100)</f>
        <v>1100.009911</v>
      </c>
      <c r="U677" s="2">
        <f>IF(C677=0,"",IF(COUNTIFS($S$589:$S$803,SUBSTITUTE(SUBSTITUTE(SUBSTITUTE(S677,"~","~~"),"*","~*"),"?","~?"),$T$589:$T$803,"&gt;"&amp;T677)=0,S677,""))</f>
        <v/>
      </c>
    </row>
    <row r="678" spans="1:21" ht="38" customHeight="1">
      <c r="A678" s="8" t="s">
        <v>342</v>
      </c>
      <c r="B678" s="8" t="s">
        <v>80</v>
      </c>
      <c r="C678" s="12">
        <f>COUNTIFS('DEF_SELF_SCOUT_IMPORT'!$L$42:$L$1040,"Y",'DEF_SELF_SCOUT_IMPORT'!$E$42:$E$1040,SUBSTITUTE(SUBSTITUTE(SUBSTITUTE($B678,"~","~~"),"*","~*"),"?","~?"),'DEF_SELF_SCOUT_IMPORT'!$Q$42:$Q$1040,SUBSTITUTE(SUBSTITUTE(SUBSTITUTE($M678,"~","~~"),"*","~*"),"?","~?"),'DEF_SELF_SCOUT_IMPORT'!$F$42:$F$1040,SUBSTITUTE(SUBSTITUTE(SUBSTITUTE($N678,"~","~~"),"*","~*"),"?","~?"),'DEF_SELF_SCOUT_IMPORT'!$G$42:$G$1040,SUBSTITUTE(SUBSTITUTE(SUBSTITUTE($O678,"~","~~"),"*","~*"),"?","~?"))</f>
        <v>1</v>
      </c>
      <c r="D678" s="10">
        <f>IF($C678=0,"",SUMIFS('DEF_SELF_SCOUT_IMPORT'!$J$42:$J$1040,'DEF_SELF_SCOUT_IMPORT'!$L$42:$L$1040,"Y",'DEF_SELF_SCOUT_IMPORT'!$E$42:$E$1040,SUBSTITUTE(SUBSTITUTE(SUBSTITUTE($B678,"~","~~"),"*","~*"),"?","~?"),'DEF_SELF_SCOUT_IMPORT'!$Q$42:$Q$1040,SUBSTITUTE(SUBSTITUTE(SUBSTITUTE($M678,"~","~~"),"*","~*"),"?","~?"),'DEF_SELF_SCOUT_IMPORT'!$F$42:$F$1040,SUBSTITUTE(SUBSTITUTE(SUBSTITUTE($N678,"~","~~"),"*","~*"),"?","~?"),'DEF_SELF_SCOUT_IMPORT'!$G$42:$G$1040,SUBSTITUTE(SUBSTITUTE(SUBSTITUTE($O678,"~","~~"),"*","~*"),"?","~?"))/$C678)</f>
        <v>0.0</v>
      </c>
      <c r="E678" s="10">
        <f>IF($C678=0,"",SUMIFS('DEF_SELF_SCOUT_IMPORT'!$K$42:$K$1040,'DEF_SELF_SCOUT_IMPORT'!$L$42:$L$1040,"Y",'DEF_SELF_SCOUT_IMPORT'!$E$42:$E$1040,SUBSTITUTE(SUBSTITUTE(SUBSTITUTE($B678,"~","~~"),"*","~*"),"?","~?"),'DEF_SELF_SCOUT_IMPORT'!$Q$42:$Q$1040,SUBSTITUTE(SUBSTITUTE(SUBSTITUTE($M678,"~","~~"),"*","~*"),"?","~?"),'DEF_SELF_SCOUT_IMPORT'!$F$42:$F$1040,SUBSTITUTE(SUBSTITUTE(SUBSTITUTE($N678,"~","~~"),"*","~*"),"?","~?"),'DEF_SELF_SCOUT_IMPORT'!$G$42:$G$1040,SUBSTITUTE(SUBSTITUTE(SUBSTITUTE($O678,"~","~~"),"*","~*"),"?","~?"))/$C678)</f>
        <v>0.0</v>
      </c>
      <c r="F678" s="11">
        <f>IF($C678=0,"",AVERAGEIFS('DEF_SELF_SCOUT_IMPORT'!$I$42:$I$1040,'DEF_SELF_SCOUT_IMPORT'!$L$42:$L$1040,"Y",'DEF_SELF_SCOUT_IMPORT'!$E$42:$E$1040,SUBSTITUTE(SUBSTITUTE(SUBSTITUTE($B678,"~","~~"),"*","~*"),"?","~?"),'DEF_SELF_SCOUT_IMPORT'!$Q$42:$Q$1040,SUBSTITUTE(SUBSTITUTE(SUBSTITUTE($M678,"~","~~"),"*","~*"),"?","~?"),'DEF_SELF_SCOUT_IMPORT'!$F$42:$F$1040,SUBSTITUTE(SUBSTITUTE(SUBSTITUTE($N678,"~","~~"),"*","~*"),"?","~?"),'DEF_SELF_SCOUT_IMPORT'!$G$42:$G$1040,SUBSTITUTE(SUBSTITUTE(SUBSTITUTE($O678,"~","~~"),"*","~*"),"?","~?")))</f>
        <v>8.0</v>
      </c>
      <c r="G678" s="10">
        <f>IF($C678=0,"",COUNTIFS('DEF_SELF_SCOUT_IMPORT'!$L$42:$L$1040,"Y",'DEF_SELF_SCOUT_IMPORT'!$E$42:$E$1040,SUBSTITUTE(SUBSTITUTE(SUBSTITUTE($B678,"~","~~"),"*","~*"),"?","~?"),'DEF_SELF_SCOUT_IMPORT'!$Q$42:$Q$1040,SUBSTITUTE(SUBSTITUTE(SUBSTITUTE($M678,"~","~~"),"*","~*"),"?","~?"),'DEF_SELF_SCOUT_IMPORT'!$F$42:$F$1040,SUBSTITUTE(SUBSTITUTE(SUBSTITUTE($N678,"~","~~"),"*","~*"),"?","~?"),'DEF_SELF_SCOUT_IMPORT'!$G$42:$G$1040,SUBSTITUTE(SUBSTITUTE(SUBSTITUTE($O678,"~","~~"),"*","~*"),"?","~?"),'DEF_SELF_SCOUT_IMPORT'!$H$42:$H$1040,"RUSH")/$C678)</f>
        <v>1.0</v>
      </c>
      <c r="H678" s="10">
        <f>IF($C678=0,"",COUNTIFS('DEF_SELF_SCOUT_IMPORT'!$L$42:$L$1040,"Y",'DEF_SELF_SCOUT_IMPORT'!$E$42:$E$1040,SUBSTITUTE(SUBSTITUTE(SUBSTITUTE($B678,"~","~~"),"*","~*"),"?","~?"),'DEF_SELF_SCOUT_IMPORT'!$Q$42:$Q$1040,SUBSTITUTE(SUBSTITUTE(SUBSTITUTE($M678,"~","~~"),"*","~*"),"?","~?"),'DEF_SELF_SCOUT_IMPORT'!$F$42:$F$1040,SUBSTITUTE(SUBSTITUTE(SUBSTITUTE($N678,"~","~~"),"*","~*"),"?","~?"),'DEF_SELF_SCOUT_IMPORT'!$G$42:$G$1040,SUBSTITUTE(SUBSTITUTE(SUBSTITUTE($O678,"~","~~"),"*","~*"),"?","~?"),'DEF_SELF_SCOUT_IMPORT'!$H$42:$H$1040,"DROPBACK")/$C678)</f>
        <v>0.0</v>
      </c>
      <c r="I678" s="14" t="str">
        <f>IF(C678=0,"",IF(C678&lt;=2,"TRACK",IF(C678=3,"LOW",IF(C678&lt;=6,"MEDIUM","HIGH"))))</f>
        <v>TRACK</v>
      </c>
      <c r="J678" s="11">
        <f>IF(C678=0,"",ROUND(D678*70+(1-E678)*20+MAX(0,MIN(1,(10-F678)/10))*10,1))</f>
        <v>22.0</v>
      </c>
      <c r="K678" s="14" t="str">
        <f>IF(C678=0,"No Evidence",IF(C678&lt;=2,IF(E678&gt;0,"Explosive Alert","Track Only"),IF(C678=3,"Sample Watch",IF(E678&gt;=START_HERE!$B$31,"Explosive Alert",IF(J678&gt;=80,"Strong Candidate",IF(J678&gt;=65,"Good Candidate",IF(J678&gt;=50,"Mixed / Review","Problem Call")))))))</f>
        <v>Track Only</v>
      </c>
      <c r="L678" s="9" t="str">
        <f>IF(COUNTIFS('DEF_SELF_SCOUT_IMPORT'!$L$42:$L$1040,"Y",'DEF_SELF_SCOUT_IMPORT'!$E$42:$E$1040,SUBSTITUTE(SUBSTITUTE(SUBSTITUTE($B678,"~","~~"),"*","~*"),"?","~?"),'DEF_SELF_SCOUT_IMPORT'!$Q$42:$Q$1040,SUBSTITUTE(SUBSTITUTE(SUBSTITUTE($M678,"~","~~"),"*","~*"),"?","~?"),'DEF_SELF_SCOUT_IMPORT'!$F$42:$F$1040,SUBSTITUTE(SUBSTITUTE(SUBSTITUTE($N678,"~","~~"),"*","~*"),"?","~?"),'DEF_SELF_SCOUT_IMPORT'!$G$42:$G$1040,SUBSTITUTE(SUBSTITUTE(SUBSTITUTE($O678,"~","~~"),"*","~*"),"?","~?"),'DEF_SELF_SCOUT_IMPORT'!$J$42:$J$1040,"")&gt;0,"Unscored clean outcome; review result tags before using score.",IF(C678=0,"No matching defensive reps; film confirmation needed.",IF(K678="Explosive Alert","Explosive risk; review clips before using as answer.",IF(C678&lt;=2,"Track only; not enough sample.",IF(C678=3,IF(E678&gt;0,"Sample watch with explosive exposure; review clips and build the sample.",IF(J678&gt;=65,"Good signal, but sample is limited.","Sample watch; review clips and build the sample.")),IF(K678="Problem Call","Problem area; practice or call-sheet review.",IF(K678="Strong Candidate","Strong call-fit candidate; confirm on film.",IF(K678="Good Candidate","Good call-fit signal; confirm on film.","Mixed signal; review fit and execution on film."))))))))</f>
        <v>Track only; not enough sample.</v>
      </c>
      <c r="M678" s="8" t="s">
        <v>82</v>
      </c>
      <c r="N678" s="8" t="s">
        <v>120</v>
      </c>
      <c r="O678" s="8" t="s">
        <v>206</v>
      </c>
      <c r="P678" s="8"/>
      <c r="Q678" s="8"/>
      <c r="R678" s="8" t="s">
        <v>28</v>
      </c>
      <c r="S678" s="2" t="s">
        <v>343</v>
      </c>
      <c r="T678" s="2">
        <f>IF(C678=0,0,IF(C678&gt;=CALL_LOOKUP_BOARD!$B$7,IF(OR(K678="Problem Call",K678="Explosive Alert"),10000000,20000000),0)+IF(C678&gt;=CALL_LOOKUP_BOARD!$B$7,J678*1000+MIN(C678,999),C678*1000+J678)+0.00991000)</f>
        <v>1022.00991</v>
      </c>
      <c r="U678" s="2">
        <f>IF(C678=0,"",IF(COUNTIFS($S$589:$S$803,SUBSTITUTE(SUBSTITUTE(SUBSTITUTE(S678,"~","~~"),"*","~*"),"?","~?"),$T$589:$T$803,"&gt;"&amp;T678)=0,S678,""))</f>
        <v/>
      </c>
    </row>
    <row r="679" spans="1:21" ht="38" customHeight="1">
      <c r="A679" s="8" t="s">
        <v>342</v>
      </c>
      <c r="B679" s="8" t="s">
        <v>61</v>
      </c>
      <c r="C679" s="12">
        <f>COUNTIFS('DEF_SELF_SCOUT_IMPORT'!$L$42:$L$1040,"Y",'DEF_SELF_SCOUT_IMPORT'!$E$42:$E$1040,SUBSTITUTE(SUBSTITUTE(SUBSTITUTE($B679,"~","~~"),"*","~*"),"?","~?"),'DEF_SELF_SCOUT_IMPORT'!$Q$42:$Q$1040,SUBSTITUTE(SUBSTITUTE(SUBSTITUTE($M679,"~","~~"),"*","~*"),"?","~?"),'DEF_SELF_SCOUT_IMPORT'!$F$42:$F$1040,SUBSTITUTE(SUBSTITUTE(SUBSTITUTE($N679,"~","~~"),"*","~*"),"?","~?"),'DEF_SELF_SCOUT_IMPORT'!$G$42:$G$1040,SUBSTITUTE(SUBSTITUTE(SUBSTITUTE($O679,"~","~~"),"*","~*"),"?","~?"))</f>
        <v>1</v>
      </c>
      <c r="D679" s="10">
        <f>IF($C679=0,"",SUMIFS('DEF_SELF_SCOUT_IMPORT'!$J$42:$J$1040,'DEF_SELF_SCOUT_IMPORT'!$L$42:$L$1040,"Y",'DEF_SELF_SCOUT_IMPORT'!$E$42:$E$1040,SUBSTITUTE(SUBSTITUTE(SUBSTITUTE($B679,"~","~~"),"*","~*"),"?","~?"),'DEF_SELF_SCOUT_IMPORT'!$Q$42:$Q$1040,SUBSTITUTE(SUBSTITUTE(SUBSTITUTE($M679,"~","~~"),"*","~*"),"?","~?"),'DEF_SELF_SCOUT_IMPORT'!$F$42:$F$1040,SUBSTITUTE(SUBSTITUTE(SUBSTITUTE($N679,"~","~~"),"*","~*"),"?","~?"),'DEF_SELF_SCOUT_IMPORT'!$G$42:$G$1040,SUBSTITUTE(SUBSTITUTE(SUBSTITUTE($O679,"~","~~"),"*","~*"),"?","~?"))/$C679)</f>
        <v>0.0</v>
      </c>
      <c r="E679" s="10">
        <f>IF($C679=0,"",SUMIFS('DEF_SELF_SCOUT_IMPORT'!$K$42:$K$1040,'DEF_SELF_SCOUT_IMPORT'!$L$42:$L$1040,"Y",'DEF_SELF_SCOUT_IMPORT'!$E$42:$E$1040,SUBSTITUTE(SUBSTITUTE(SUBSTITUTE($B679,"~","~~"),"*","~*"),"?","~?"),'DEF_SELF_SCOUT_IMPORT'!$Q$42:$Q$1040,SUBSTITUTE(SUBSTITUTE(SUBSTITUTE($M679,"~","~~"),"*","~*"),"?","~?"),'DEF_SELF_SCOUT_IMPORT'!$F$42:$F$1040,SUBSTITUTE(SUBSTITUTE(SUBSTITUTE($N679,"~","~~"),"*","~*"),"?","~?"),'DEF_SELF_SCOUT_IMPORT'!$G$42:$G$1040,SUBSTITUTE(SUBSTITUTE(SUBSTITUTE($O679,"~","~~"),"*","~*"),"?","~?"))/$C679)</f>
        <v>0.0</v>
      </c>
      <c r="F679" s="11">
        <f>IF($C679=0,"",AVERAGEIFS('DEF_SELF_SCOUT_IMPORT'!$I$42:$I$1040,'DEF_SELF_SCOUT_IMPORT'!$L$42:$L$1040,"Y",'DEF_SELF_SCOUT_IMPORT'!$E$42:$E$1040,SUBSTITUTE(SUBSTITUTE(SUBSTITUTE($B679,"~","~~"),"*","~*"),"?","~?"),'DEF_SELF_SCOUT_IMPORT'!$Q$42:$Q$1040,SUBSTITUTE(SUBSTITUTE(SUBSTITUTE($M679,"~","~~"),"*","~*"),"?","~?"),'DEF_SELF_SCOUT_IMPORT'!$F$42:$F$1040,SUBSTITUTE(SUBSTITUTE(SUBSTITUTE($N679,"~","~~"),"*","~*"),"?","~?"),'DEF_SELF_SCOUT_IMPORT'!$G$42:$G$1040,SUBSTITUTE(SUBSTITUTE(SUBSTITUTE($O679,"~","~~"),"*","~*"),"?","~?")))</f>
        <v>11.0</v>
      </c>
      <c r="G679" s="10">
        <f>IF($C679=0,"",COUNTIFS('DEF_SELF_SCOUT_IMPORT'!$L$42:$L$1040,"Y",'DEF_SELF_SCOUT_IMPORT'!$E$42:$E$1040,SUBSTITUTE(SUBSTITUTE(SUBSTITUTE($B679,"~","~~"),"*","~*"),"?","~?"),'DEF_SELF_SCOUT_IMPORT'!$Q$42:$Q$1040,SUBSTITUTE(SUBSTITUTE(SUBSTITUTE($M679,"~","~~"),"*","~*"),"?","~?"),'DEF_SELF_SCOUT_IMPORT'!$F$42:$F$1040,SUBSTITUTE(SUBSTITUTE(SUBSTITUTE($N679,"~","~~"),"*","~*"),"?","~?"),'DEF_SELF_SCOUT_IMPORT'!$G$42:$G$1040,SUBSTITUTE(SUBSTITUTE(SUBSTITUTE($O679,"~","~~"),"*","~*"),"?","~?"),'DEF_SELF_SCOUT_IMPORT'!$H$42:$H$1040,"RUSH")/$C679)</f>
        <v>0.0</v>
      </c>
      <c r="H679" s="10">
        <f>IF($C679=0,"",COUNTIFS('DEF_SELF_SCOUT_IMPORT'!$L$42:$L$1040,"Y",'DEF_SELF_SCOUT_IMPORT'!$E$42:$E$1040,SUBSTITUTE(SUBSTITUTE(SUBSTITUTE($B679,"~","~~"),"*","~*"),"?","~?"),'DEF_SELF_SCOUT_IMPORT'!$Q$42:$Q$1040,SUBSTITUTE(SUBSTITUTE(SUBSTITUTE($M679,"~","~~"),"*","~*"),"?","~?"),'DEF_SELF_SCOUT_IMPORT'!$F$42:$F$1040,SUBSTITUTE(SUBSTITUTE(SUBSTITUTE($N679,"~","~~"),"*","~*"),"?","~?"),'DEF_SELF_SCOUT_IMPORT'!$G$42:$G$1040,SUBSTITUTE(SUBSTITUTE(SUBSTITUTE($O679,"~","~~"),"*","~*"),"?","~?"),'DEF_SELF_SCOUT_IMPORT'!$H$42:$H$1040,"DROPBACK")/$C679)</f>
        <v>1.0</v>
      </c>
      <c r="I679" s="14" t="str">
        <f>IF(C679=0,"",IF(C679&lt;=2,"TRACK",IF(C679=3,"LOW",IF(C679&lt;=6,"MEDIUM","HIGH"))))</f>
        <v>TRACK</v>
      </c>
      <c r="J679" s="11">
        <f>IF(C679=0,"",ROUND(D679*70+(1-E679)*20+MAX(0,MIN(1,(10-F679)/10))*10,1))</f>
        <v>20.0</v>
      </c>
      <c r="K679" s="14" t="str">
        <f>IF(C679=0,"No Evidence",IF(C679&lt;=2,IF(E679&gt;0,"Explosive Alert","Track Only"),IF(C679=3,"Sample Watch",IF(E679&gt;=START_HERE!$B$31,"Explosive Alert",IF(J679&gt;=80,"Strong Candidate",IF(J679&gt;=65,"Good Candidate",IF(J679&gt;=50,"Mixed / Review","Problem Call")))))))</f>
        <v>Track Only</v>
      </c>
      <c r="L679" s="9" t="str">
        <f>IF(COUNTIFS('DEF_SELF_SCOUT_IMPORT'!$L$42:$L$1040,"Y",'DEF_SELF_SCOUT_IMPORT'!$E$42:$E$1040,SUBSTITUTE(SUBSTITUTE(SUBSTITUTE($B679,"~","~~"),"*","~*"),"?","~?"),'DEF_SELF_SCOUT_IMPORT'!$Q$42:$Q$1040,SUBSTITUTE(SUBSTITUTE(SUBSTITUTE($M679,"~","~~"),"*","~*"),"?","~?"),'DEF_SELF_SCOUT_IMPORT'!$F$42:$F$1040,SUBSTITUTE(SUBSTITUTE(SUBSTITUTE($N679,"~","~~"),"*","~*"),"?","~?"),'DEF_SELF_SCOUT_IMPORT'!$G$42:$G$1040,SUBSTITUTE(SUBSTITUTE(SUBSTITUTE($O679,"~","~~"),"*","~*"),"?","~?"),'DEF_SELF_SCOUT_IMPORT'!$J$42:$J$1040,"")&gt;0,"Unscored clean outcome; review result tags before using score.",IF(C679=0,"No matching defensive reps; film confirmation needed.",IF(K679="Explosive Alert","Explosive risk; review clips before using as answer.",IF(C679&lt;=2,"Track only; not enough sample.",IF(C679=3,IF(E679&gt;0,"Sample watch with explosive exposure; review clips and build the sample.",IF(J679&gt;=65,"Good signal, but sample is limited.","Sample watch; review clips and build the sample.")),IF(K679="Problem Call","Problem area; practice or call-sheet review.",IF(K679="Strong Candidate","Strong call-fit candidate; confirm on film.",IF(K679="Good Candidate","Good call-fit signal; confirm on film.","Mixed signal; review fit and execution on film."))))))))</f>
        <v>Track only; not enough sample.</v>
      </c>
      <c r="M679" s="8" t="s">
        <v>82</v>
      </c>
      <c r="N679" s="8" t="s">
        <v>120</v>
      </c>
      <c r="O679" s="8" t="s">
        <v>206</v>
      </c>
      <c r="P679" s="8"/>
      <c r="Q679" s="8"/>
      <c r="R679" s="8" t="s">
        <v>28</v>
      </c>
      <c r="S679" s="2" t="s">
        <v>343</v>
      </c>
      <c r="T679" s="2">
        <f>IF(C679=0,0,IF(C679&gt;=CALL_LOOKUP_BOARD!$B$7,IF(OR(K679="Problem Call",K679="Explosive Alert"),10000000,20000000),0)+IF(C679&gt;=CALL_LOOKUP_BOARD!$B$7,J679*1000+MIN(C679,999),C679*1000+J679)+0.00990900)</f>
        <v>1020.009909</v>
      </c>
      <c r="U679" s="2">
        <f>IF(C679=0,"",IF(COUNTIFS($S$589:$S$803,SUBSTITUTE(SUBSTITUTE(SUBSTITUTE(S679,"~","~~"),"*","~*"),"?","~?"),$T$589:$T$803,"&gt;"&amp;T679)=0,S679,""))</f>
        <v/>
      </c>
    </row>
    <row r="680" spans="1:21" ht="38" customHeight="1">
      <c r="A680" s="8" t="s">
        <v>342</v>
      </c>
      <c r="B680" s="8" t="s">
        <v>68</v>
      </c>
      <c r="C680" s="12">
        <f>COUNTIFS('DEF_SELF_SCOUT_IMPORT'!$L$42:$L$1040,"Y",'DEF_SELF_SCOUT_IMPORT'!$E$42:$E$1040,SUBSTITUTE(SUBSTITUTE(SUBSTITUTE($B680,"~","~~"),"*","~*"),"?","~?"),'DEF_SELF_SCOUT_IMPORT'!$Q$42:$Q$1040,SUBSTITUTE(SUBSTITUTE(SUBSTITUTE($M680,"~","~~"),"*","~*"),"?","~?"),'DEF_SELF_SCOUT_IMPORT'!$F$42:$F$1040,SUBSTITUTE(SUBSTITUTE(SUBSTITUTE($N680,"~","~~"),"*","~*"),"?","~?"),'DEF_SELF_SCOUT_IMPORT'!$G$42:$G$1040,SUBSTITUTE(SUBSTITUTE(SUBSTITUTE($O680,"~","~~"),"*","~*"),"?","~?"))</f>
        <v>1</v>
      </c>
      <c r="D680" s="10">
        <f>IF($C680=0,"",SUMIFS('DEF_SELF_SCOUT_IMPORT'!$J$42:$J$1040,'DEF_SELF_SCOUT_IMPORT'!$L$42:$L$1040,"Y",'DEF_SELF_SCOUT_IMPORT'!$E$42:$E$1040,SUBSTITUTE(SUBSTITUTE(SUBSTITUTE($B680,"~","~~"),"*","~*"),"?","~?"),'DEF_SELF_SCOUT_IMPORT'!$Q$42:$Q$1040,SUBSTITUTE(SUBSTITUTE(SUBSTITUTE($M680,"~","~~"),"*","~*"),"?","~?"),'DEF_SELF_SCOUT_IMPORT'!$F$42:$F$1040,SUBSTITUTE(SUBSTITUTE(SUBSTITUTE($N680,"~","~~"),"*","~*"),"?","~?"),'DEF_SELF_SCOUT_IMPORT'!$G$42:$G$1040,SUBSTITUTE(SUBSTITUTE(SUBSTITUTE($O680,"~","~~"),"*","~*"),"?","~?"))/$C680)</f>
        <v>1.0</v>
      </c>
      <c r="E680" s="10">
        <f>IF($C680=0,"",SUMIFS('DEF_SELF_SCOUT_IMPORT'!$K$42:$K$1040,'DEF_SELF_SCOUT_IMPORT'!$L$42:$L$1040,"Y",'DEF_SELF_SCOUT_IMPORT'!$E$42:$E$1040,SUBSTITUTE(SUBSTITUTE(SUBSTITUTE($B680,"~","~~"),"*","~*"),"?","~?"),'DEF_SELF_SCOUT_IMPORT'!$Q$42:$Q$1040,SUBSTITUTE(SUBSTITUTE(SUBSTITUTE($M680,"~","~~"),"*","~*"),"?","~?"),'DEF_SELF_SCOUT_IMPORT'!$F$42:$F$1040,SUBSTITUTE(SUBSTITUTE(SUBSTITUTE($N680,"~","~~"),"*","~*"),"?","~?"),'DEF_SELF_SCOUT_IMPORT'!$G$42:$G$1040,SUBSTITUTE(SUBSTITUTE(SUBSTITUTE($O680,"~","~~"),"*","~*"),"?","~?"))/$C680)</f>
        <v>0.0</v>
      </c>
      <c r="F680" s="11">
        <f>IF($C680=0,"",AVERAGEIFS('DEF_SELF_SCOUT_IMPORT'!$I$42:$I$1040,'DEF_SELF_SCOUT_IMPORT'!$L$42:$L$1040,"Y",'DEF_SELF_SCOUT_IMPORT'!$E$42:$E$1040,SUBSTITUTE(SUBSTITUTE(SUBSTITUTE($B680,"~","~~"),"*","~*"),"?","~?"),'DEF_SELF_SCOUT_IMPORT'!$Q$42:$Q$1040,SUBSTITUTE(SUBSTITUTE(SUBSTITUTE($M680,"~","~~"),"*","~*"),"?","~?"),'DEF_SELF_SCOUT_IMPORT'!$F$42:$F$1040,SUBSTITUTE(SUBSTITUTE(SUBSTITUTE($N680,"~","~~"),"*","~*"),"?","~?"),'DEF_SELF_SCOUT_IMPORT'!$G$42:$G$1040,SUBSTITUTE(SUBSTITUTE(SUBSTITUTE($O680,"~","~~"),"*","~*"),"?","~?")))</f>
        <v>0.0</v>
      </c>
      <c r="G680" s="10">
        <f>IF($C680=0,"",COUNTIFS('DEF_SELF_SCOUT_IMPORT'!$L$42:$L$1040,"Y",'DEF_SELF_SCOUT_IMPORT'!$E$42:$E$1040,SUBSTITUTE(SUBSTITUTE(SUBSTITUTE($B680,"~","~~"),"*","~*"),"?","~?"),'DEF_SELF_SCOUT_IMPORT'!$Q$42:$Q$1040,SUBSTITUTE(SUBSTITUTE(SUBSTITUTE($M680,"~","~~"),"*","~*"),"?","~?"),'DEF_SELF_SCOUT_IMPORT'!$F$42:$F$1040,SUBSTITUTE(SUBSTITUTE(SUBSTITUTE($N680,"~","~~"),"*","~*"),"?","~?"),'DEF_SELF_SCOUT_IMPORT'!$G$42:$G$1040,SUBSTITUTE(SUBSTITUTE(SUBSTITUTE($O680,"~","~~"),"*","~*"),"?","~?"),'DEF_SELF_SCOUT_IMPORT'!$H$42:$H$1040,"RUSH")/$C680)</f>
        <v>0.0</v>
      </c>
      <c r="H680" s="10">
        <f>IF($C680=0,"",COUNTIFS('DEF_SELF_SCOUT_IMPORT'!$L$42:$L$1040,"Y",'DEF_SELF_SCOUT_IMPORT'!$E$42:$E$1040,SUBSTITUTE(SUBSTITUTE(SUBSTITUTE($B680,"~","~~"),"*","~*"),"?","~?"),'DEF_SELF_SCOUT_IMPORT'!$Q$42:$Q$1040,SUBSTITUTE(SUBSTITUTE(SUBSTITUTE($M680,"~","~~"),"*","~*"),"?","~?"),'DEF_SELF_SCOUT_IMPORT'!$F$42:$F$1040,SUBSTITUTE(SUBSTITUTE(SUBSTITUTE($N680,"~","~~"),"*","~*"),"?","~?"),'DEF_SELF_SCOUT_IMPORT'!$G$42:$G$1040,SUBSTITUTE(SUBSTITUTE(SUBSTITUTE($O680,"~","~~"),"*","~*"),"?","~?"),'DEF_SELF_SCOUT_IMPORT'!$H$42:$H$1040,"DROPBACK")/$C680)</f>
        <v>1.0</v>
      </c>
      <c r="I680" s="14" t="str">
        <f>IF(C680=0,"",IF(C680&lt;=2,"TRACK",IF(C680=3,"LOW",IF(C680&lt;=6,"MEDIUM","HIGH"))))</f>
        <v>TRACK</v>
      </c>
      <c r="J680" s="11">
        <f>IF(C680=0,"",ROUND(D680*70+(1-E680)*20+MAX(0,MIN(1,(10-F680)/10))*10,1))</f>
        <v>100.0</v>
      </c>
      <c r="K680" s="14" t="str">
        <f>IF(C680=0,"No Evidence",IF(C680&lt;=2,IF(E680&gt;0,"Explosive Alert","Track Only"),IF(C680=3,"Sample Watch",IF(E680&gt;=START_HERE!$B$31,"Explosive Alert",IF(J680&gt;=80,"Strong Candidate",IF(J680&gt;=65,"Good Candidate",IF(J680&gt;=50,"Mixed / Review","Problem Call")))))))</f>
        <v>Track Only</v>
      </c>
      <c r="L680" s="9" t="str">
        <f>IF(COUNTIFS('DEF_SELF_SCOUT_IMPORT'!$L$42:$L$1040,"Y",'DEF_SELF_SCOUT_IMPORT'!$E$42:$E$1040,SUBSTITUTE(SUBSTITUTE(SUBSTITUTE($B680,"~","~~"),"*","~*"),"?","~?"),'DEF_SELF_SCOUT_IMPORT'!$Q$42:$Q$1040,SUBSTITUTE(SUBSTITUTE(SUBSTITUTE($M680,"~","~~"),"*","~*"),"?","~?"),'DEF_SELF_SCOUT_IMPORT'!$F$42:$F$1040,SUBSTITUTE(SUBSTITUTE(SUBSTITUTE($N680,"~","~~"),"*","~*"),"?","~?"),'DEF_SELF_SCOUT_IMPORT'!$G$42:$G$1040,SUBSTITUTE(SUBSTITUTE(SUBSTITUTE($O680,"~","~~"),"*","~*"),"?","~?"),'DEF_SELF_SCOUT_IMPORT'!$J$42:$J$1040,"")&gt;0,"Unscored clean outcome; review result tags before using score.",IF(C680=0,"No matching defensive reps; film confirmation needed.",IF(K680="Explosive Alert","Explosive risk; review clips before using as answer.",IF(C680&lt;=2,"Track only; not enough sample.",IF(C680=3,IF(E680&gt;0,"Sample watch with explosive exposure; review clips and build the sample.",IF(J680&gt;=65,"Good signal, but sample is limited.","Sample watch; review clips and build the sample.")),IF(K680="Problem Call","Problem area; practice or call-sheet review.",IF(K680="Strong Candidate","Strong call-fit candidate; confirm on film.",IF(K680="Good Candidate","Good call-fit signal; confirm on film.","Mixed signal; review fit and execution on film."))))))))</f>
        <v>Track only; not enough sample.</v>
      </c>
      <c r="M680" s="8" t="s">
        <v>82</v>
      </c>
      <c r="N680" s="8" t="s">
        <v>120</v>
      </c>
      <c r="O680" s="8" t="s">
        <v>206</v>
      </c>
      <c r="P680" s="8"/>
      <c r="Q680" s="8"/>
      <c r="R680" s="8" t="s">
        <v>28</v>
      </c>
      <c r="S680" s="2" t="s">
        <v>343</v>
      </c>
      <c r="T680" s="2">
        <f>IF(C680=0,0,IF(C680&gt;=CALL_LOOKUP_BOARD!$B$7,IF(OR(K680="Problem Call",K680="Explosive Alert"),10000000,20000000),0)+IF(C680&gt;=CALL_LOOKUP_BOARD!$B$7,J680*1000+MIN(C680,999),C680*1000+J680)+0.00990800)</f>
        <v>1100.009908</v>
      </c>
      <c r="U680" s="2">
        <f>IF(C680=0,"",IF(COUNTIFS($S$589:$S$803,SUBSTITUTE(SUBSTITUTE(SUBSTITUTE(S680,"~","~~"),"*","~*"),"?","~?"),$T$589:$T$803,"&gt;"&amp;T680)=0,S680,""))</f>
        <v/>
      </c>
    </row>
    <row r="681" spans="1:21" ht="38" customHeight="1">
      <c r="A681" s="8" t="s">
        <v>342</v>
      </c>
      <c r="B681" s="8" t="s">
        <v>69</v>
      </c>
      <c r="C681" s="12">
        <f>COUNTIFS('DEF_SELF_SCOUT_IMPORT'!$L$42:$L$1040,"Y",'DEF_SELF_SCOUT_IMPORT'!$E$42:$E$1040,SUBSTITUTE(SUBSTITUTE(SUBSTITUTE($B681,"~","~~"),"*","~*"),"?","~?"),'DEF_SELF_SCOUT_IMPORT'!$Q$42:$Q$1040,SUBSTITUTE(SUBSTITUTE(SUBSTITUTE($M681,"~","~~"),"*","~*"),"?","~?"),'DEF_SELF_SCOUT_IMPORT'!$F$42:$F$1040,SUBSTITUTE(SUBSTITUTE(SUBSTITUTE($N681,"~","~~"),"*","~*"),"?","~?"),'DEF_SELF_SCOUT_IMPORT'!$G$42:$G$1040,SUBSTITUTE(SUBSTITUTE(SUBSTITUTE($O681,"~","~~"),"*","~*"),"?","~?"))</f>
        <v>1</v>
      </c>
      <c r="D681" s="10">
        <f>IF($C681=0,"",SUMIFS('DEF_SELF_SCOUT_IMPORT'!$J$42:$J$1040,'DEF_SELF_SCOUT_IMPORT'!$L$42:$L$1040,"Y",'DEF_SELF_SCOUT_IMPORT'!$E$42:$E$1040,SUBSTITUTE(SUBSTITUTE(SUBSTITUTE($B681,"~","~~"),"*","~*"),"?","~?"),'DEF_SELF_SCOUT_IMPORT'!$Q$42:$Q$1040,SUBSTITUTE(SUBSTITUTE(SUBSTITUTE($M681,"~","~~"),"*","~*"),"?","~?"),'DEF_SELF_SCOUT_IMPORT'!$F$42:$F$1040,SUBSTITUTE(SUBSTITUTE(SUBSTITUTE($N681,"~","~~"),"*","~*"),"?","~?"),'DEF_SELF_SCOUT_IMPORT'!$G$42:$G$1040,SUBSTITUTE(SUBSTITUTE(SUBSTITUTE($O681,"~","~~"),"*","~*"),"?","~?"))/$C681)</f>
        <v>1.0</v>
      </c>
      <c r="E681" s="10">
        <f>IF($C681=0,"",SUMIFS('DEF_SELF_SCOUT_IMPORT'!$K$42:$K$1040,'DEF_SELF_SCOUT_IMPORT'!$L$42:$L$1040,"Y",'DEF_SELF_SCOUT_IMPORT'!$E$42:$E$1040,SUBSTITUTE(SUBSTITUTE(SUBSTITUTE($B681,"~","~~"),"*","~*"),"?","~?"),'DEF_SELF_SCOUT_IMPORT'!$Q$42:$Q$1040,SUBSTITUTE(SUBSTITUTE(SUBSTITUTE($M681,"~","~~"),"*","~*"),"?","~?"),'DEF_SELF_SCOUT_IMPORT'!$F$42:$F$1040,SUBSTITUTE(SUBSTITUTE(SUBSTITUTE($N681,"~","~~"),"*","~*"),"?","~?"),'DEF_SELF_SCOUT_IMPORT'!$G$42:$G$1040,SUBSTITUTE(SUBSTITUTE(SUBSTITUTE($O681,"~","~~"),"*","~*"),"?","~?"))/$C681)</f>
        <v>0.0</v>
      </c>
      <c r="F681" s="11">
        <f>IF($C681=0,"",AVERAGEIFS('DEF_SELF_SCOUT_IMPORT'!$I$42:$I$1040,'DEF_SELF_SCOUT_IMPORT'!$L$42:$L$1040,"Y",'DEF_SELF_SCOUT_IMPORT'!$E$42:$E$1040,SUBSTITUTE(SUBSTITUTE(SUBSTITUTE($B681,"~","~~"),"*","~*"),"?","~?"),'DEF_SELF_SCOUT_IMPORT'!$Q$42:$Q$1040,SUBSTITUTE(SUBSTITUTE(SUBSTITUTE($M681,"~","~~"),"*","~*"),"?","~?"),'DEF_SELF_SCOUT_IMPORT'!$F$42:$F$1040,SUBSTITUTE(SUBSTITUTE(SUBSTITUTE($N681,"~","~~"),"*","~*"),"?","~?"),'DEF_SELF_SCOUT_IMPORT'!$G$42:$G$1040,SUBSTITUTE(SUBSTITUTE(SUBSTITUTE($O681,"~","~~"),"*","~*"),"?","~?")))</f>
        <v>2.0</v>
      </c>
      <c r="G681" s="10">
        <f>IF($C681=0,"",COUNTIFS('DEF_SELF_SCOUT_IMPORT'!$L$42:$L$1040,"Y",'DEF_SELF_SCOUT_IMPORT'!$E$42:$E$1040,SUBSTITUTE(SUBSTITUTE(SUBSTITUTE($B681,"~","~~"),"*","~*"),"?","~?"),'DEF_SELF_SCOUT_IMPORT'!$Q$42:$Q$1040,SUBSTITUTE(SUBSTITUTE(SUBSTITUTE($M681,"~","~~"),"*","~*"),"?","~?"),'DEF_SELF_SCOUT_IMPORT'!$F$42:$F$1040,SUBSTITUTE(SUBSTITUTE(SUBSTITUTE($N681,"~","~~"),"*","~*"),"?","~?"),'DEF_SELF_SCOUT_IMPORT'!$G$42:$G$1040,SUBSTITUTE(SUBSTITUTE(SUBSTITUTE($O681,"~","~~"),"*","~*"),"?","~?"),'DEF_SELF_SCOUT_IMPORT'!$H$42:$H$1040,"RUSH")/$C681)</f>
        <v>1.0</v>
      </c>
      <c r="H681" s="10">
        <f>IF($C681=0,"",COUNTIFS('DEF_SELF_SCOUT_IMPORT'!$L$42:$L$1040,"Y",'DEF_SELF_SCOUT_IMPORT'!$E$42:$E$1040,SUBSTITUTE(SUBSTITUTE(SUBSTITUTE($B681,"~","~~"),"*","~*"),"?","~?"),'DEF_SELF_SCOUT_IMPORT'!$Q$42:$Q$1040,SUBSTITUTE(SUBSTITUTE(SUBSTITUTE($M681,"~","~~"),"*","~*"),"?","~?"),'DEF_SELF_SCOUT_IMPORT'!$F$42:$F$1040,SUBSTITUTE(SUBSTITUTE(SUBSTITUTE($N681,"~","~~"),"*","~*"),"?","~?"),'DEF_SELF_SCOUT_IMPORT'!$G$42:$G$1040,SUBSTITUTE(SUBSTITUTE(SUBSTITUTE($O681,"~","~~"),"*","~*"),"?","~?"),'DEF_SELF_SCOUT_IMPORT'!$H$42:$H$1040,"DROPBACK")/$C681)</f>
        <v>0.0</v>
      </c>
      <c r="I681" s="14" t="str">
        <f>IF(C681=0,"",IF(C681&lt;=2,"TRACK",IF(C681=3,"LOW",IF(C681&lt;=6,"MEDIUM","HIGH"))))</f>
        <v>TRACK</v>
      </c>
      <c r="J681" s="11">
        <f>IF(C681=0,"",ROUND(D681*70+(1-E681)*20+MAX(0,MIN(1,(10-F681)/10))*10,1))</f>
        <v>98.0</v>
      </c>
      <c r="K681" s="14" t="str">
        <f>IF(C681=0,"No Evidence",IF(C681&lt;=2,IF(E681&gt;0,"Explosive Alert","Track Only"),IF(C681=3,"Sample Watch",IF(E681&gt;=START_HERE!$B$31,"Explosive Alert",IF(J681&gt;=80,"Strong Candidate",IF(J681&gt;=65,"Good Candidate",IF(J681&gt;=50,"Mixed / Review","Problem Call")))))))</f>
        <v>Track Only</v>
      </c>
      <c r="L681" s="9" t="str">
        <f>IF(COUNTIFS('DEF_SELF_SCOUT_IMPORT'!$L$42:$L$1040,"Y",'DEF_SELF_SCOUT_IMPORT'!$E$42:$E$1040,SUBSTITUTE(SUBSTITUTE(SUBSTITUTE($B681,"~","~~"),"*","~*"),"?","~?"),'DEF_SELF_SCOUT_IMPORT'!$Q$42:$Q$1040,SUBSTITUTE(SUBSTITUTE(SUBSTITUTE($M681,"~","~~"),"*","~*"),"?","~?"),'DEF_SELF_SCOUT_IMPORT'!$F$42:$F$1040,SUBSTITUTE(SUBSTITUTE(SUBSTITUTE($N681,"~","~~"),"*","~*"),"?","~?"),'DEF_SELF_SCOUT_IMPORT'!$G$42:$G$1040,SUBSTITUTE(SUBSTITUTE(SUBSTITUTE($O681,"~","~~"),"*","~*"),"?","~?"),'DEF_SELF_SCOUT_IMPORT'!$J$42:$J$1040,"")&gt;0,"Unscored clean outcome; review result tags before using score.",IF(C681=0,"No matching defensive reps; film confirmation needed.",IF(K681="Explosive Alert","Explosive risk; review clips before using as answer.",IF(C681&lt;=2,"Track only; not enough sample.",IF(C681=3,IF(E681&gt;0,"Sample watch with explosive exposure; review clips and build the sample.",IF(J681&gt;=65,"Good signal, but sample is limited.","Sample watch; review clips and build the sample.")),IF(K681="Problem Call","Problem area; practice or call-sheet review.",IF(K681="Strong Candidate","Strong call-fit candidate; confirm on film.",IF(K681="Good Candidate","Good call-fit signal; confirm on film.","Mixed signal; review fit and execution on film."))))))))</f>
        <v>Track only; not enough sample.</v>
      </c>
      <c r="M681" s="8" t="s">
        <v>82</v>
      </c>
      <c r="N681" s="8" t="s">
        <v>120</v>
      </c>
      <c r="O681" s="8" t="s">
        <v>206</v>
      </c>
      <c r="P681" s="8"/>
      <c r="Q681" s="8"/>
      <c r="R681" s="8" t="s">
        <v>28</v>
      </c>
      <c r="S681" s="2" t="s">
        <v>343</v>
      </c>
      <c r="T681" s="2">
        <f>IF(C681=0,0,IF(C681&gt;=CALL_LOOKUP_BOARD!$B$7,IF(OR(K681="Problem Call",K681="Explosive Alert"),10000000,20000000),0)+IF(C681&gt;=CALL_LOOKUP_BOARD!$B$7,J681*1000+MIN(C681,999),C681*1000+J681)+0.00990700)</f>
        <v>1098.009907</v>
      </c>
      <c r="U681" s="2">
        <f>IF(C681=0,"",IF(COUNTIFS($S$589:$S$803,SUBSTITUTE(SUBSTITUTE(SUBSTITUTE(S681,"~","~~"),"*","~*"),"?","~?"),$T$589:$T$803,"&gt;"&amp;T681)=0,S681,""))</f>
        <v/>
      </c>
    </row>
    <row r="682" spans="1:21" ht="38" customHeight="1">
      <c r="A682" s="8" t="s">
        <v>344</v>
      </c>
      <c r="B682" s="8" t="s">
        <v>60</v>
      </c>
      <c r="C682" s="12">
        <f>COUNTIFS('DEF_SELF_SCOUT_IMPORT'!$L$42:$L$1040,"Y",'DEF_SELF_SCOUT_IMPORT'!$E$42:$E$1040,SUBSTITUTE(SUBSTITUTE(SUBSTITUTE($B682,"~","~~"),"*","~*"),"?","~?"),'DEF_SELF_SCOUT_IMPORT'!$Q$42:$Q$1040,SUBSTITUTE(SUBSTITUTE(SUBSTITUTE($M682,"~","~~"),"*","~*"),"?","~?"),'DEF_SELF_SCOUT_IMPORT'!$F$42:$F$1040,SUBSTITUTE(SUBSTITUTE(SUBSTITUTE($N682,"~","~~"),"*","~*"),"?","~?"),'DEF_SELF_SCOUT_IMPORT'!$G$42:$G$1040,SUBSTITUTE(SUBSTITUTE(SUBSTITUTE($O682,"~","~~"),"*","~*"),"?","~?"))</f>
        <v>1</v>
      </c>
      <c r="D682" s="10">
        <f>IF($C682=0,"",SUMIFS('DEF_SELF_SCOUT_IMPORT'!$J$42:$J$1040,'DEF_SELF_SCOUT_IMPORT'!$L$42:$L$1040,"Y",'DEF_SELF_SCOUT_IMPORT'!$E$42:$E$1040,SUBSTITUTE(SUBSTITUTE(SUBSTITUTE($B682,"~","~~"),"*","~*"),"?","~?"),'DEF_SELF_SCOUT_IMPORT'!$Q$42:$Q$1040,SUBSTITUTE(SUBSTITUTE(SUBSTITUTE($M682,"~","~~"),"*","~*"),"?","~?"),'DEF_SELF_SCOUT_IMPORT'!$F$42:$F$1040,SUBSTITUTE(SUBSTITUTE(SUBSTITUTE($N682,"~","~~"),"*","~*"),"?","~?"),'DEF_SELF_SCOUT_IMPORT'!$G$42:$G$1040,SUBSTITUTE(SUBSTITUTE(SUBSTITUTE($O682,"~","~~"),"*","~*"),"?","~?"))/$C682)</f>
        <v>0.0</v>
      </c>
      <c r="E682" s="10">
        <f>IF($C682=0,"",SUMIFS('DEF_SELF_SCOUT_IMPORT'!$K$42:$K$1040,'DEF_SELF_SCOUT_IMPORT'!$L$42:$L$1040,"Y",'DEF_SELF_SCOUT_IMPORT'!$E$42:$E$1040,SUBSTITUTE(SUBSTITUTE(SUBSTITUTE($B682,"~","~~"),"*","~*"),"?","~?"),'DEF_SELF_SCOUT_IMPORT'!$Q$42:$Q$1040,SUBSTITUTE(SUBSTITUTE(SUBSTITUTE($M682,"~","~~"),"*","~*"),"?","~?"),'DEF_SELF_SCOUT_IMPORT'!$F$42:$F$1040,SUBSTITUTE(SUBSTITUTE(SUBSTITUTE($N682,"~","~~"),"*","~*"),"?","~?"),'DEF_SELF_SCOUT_IMPORT'!$G$42:$G$1040,SUBSTITUTE(SUBSTITUTE(SUBSTITUTE($O682,"~","~~"),"*","~*"),"?","~?"))/$C682)</f>
        <v>0.0</v>
      </c>
      <c r="F682" s="11">
        <f>IF($C682=0,"",AVERAGEIFS('DEF_SELF_SCOUT_IMPORT'!$I$42:$I$1040,'DEF_SELF_SCOUT_IMPORT'!$L$42:$L$1040,"Y",'DEF_SELF_SCOUT_IMPORT'!$E$42:$E$1040,SUBSTITUTE(SUBSTITUTE(SUBSTITUTE($B682,"~","~~"),"*","~*"),"?","~?"),'DEF_SELF_SCOUT_IMPORT'!$Q$42:$Q$1040,SUBSTITUTE(SUBSTITUTE(SUBSTITUTE($M682,"~","~~"),"*","~*"),"?","~?"),'DEF_SELF_SCOUT_IMPORT'!$F$42:$F$1040,SUBSTITUTE(SUBSTITUTE(SUBSTITUTE($N682,"~","~~"),"*","~*"),"?","~?"),'DEF_SELF_SCOUT_IMPORT'!$G$42:$G$1040,SUBSTITUTE(SUBSTITUTE(SUBSTITUTE($O682,"~","~~"),"*","~*"),"?","~?")))</f>
        <v>12.0</v>
      </c>
      <c r="G682" s="10">
        <f>IF($C682=0,"",COUNTIFS('DEF_SELF_SCOUT_IMPORT'!$L$42:$L$1040,"Y",'DEF_SELF_SCOUT_IMPORT'!$E$42:$E$1040,SUBSTITUTE(SUBSTITUTE(SUBSTITUTE($B682,"~","~~"),"*","~*"),"?","~?"),'DEF_SELF_SCOUT_IMPORT'!$Q$42:$Q$1040,SUBSTITUTE(SUBSTITUTE(SUBSTITUTE($M682,"~","~~"),"*","~*"),"?","~?"),'DEF_SELF_SCOUT_IMPORT'!$F$42:$F$1040,SUBSTITUTE(SUBSTITUTE(SUBSTITUTE($N682,"~","~~"),"*","~*"),"?","~?"),'DEF_SELF_SCOUT_IMPORT'!$G$42:$G$1040,SUBSTITUTE(SUBSTITUTE(SUBSTITUTE($O682,"~","~~"),"*","~*"),"?","~?"),'DEF_SELF_SCOUT_IMPORT'!$H$42:$H$1040,"RUSH")/$C682)</f>
        <v>0.0</v>
      </c>
      <c r="H682" s="10">
        <f>IF($C682=0,"",COUNTIFS('DEF_SELF_SCOUT_IMPORT'!$L$42:$L$1040,"Y",'DEF_SELF_SCOUT_IMPORT'!$E$42:$E$1040,SUBSTITUTE(SUBSTITUTE(SUBSTITUTE($B682,"~","~~"),"*","~*"),"?","~?"),'DEF_SELF_SCOUT_IMPORT'!$Q$42:$Q$1040,SUBSTITUTE(SUBSTITUTE(SUBSTITUTE($M682,"~","~~"),"*","~*"),"?","~?"),'DEF_SELF_SCOUT_IMPORT'!$F$42:$F$1040,SUBSTITUTE(SUBSTITUTE(SUBSTITUTE($N682,"~","~~"),"*","~*"),"?","~?"),'DEF_SELF_SCOUT_IMPORT'!$G$42:$G$1040,SUBSTITUTE(SUBSTITUTE(SUBSTITUTE($O682,"~","~~"),"*","~*"),"?","~?"),'DEF_SELF_SCOUT_IMPORT'!$H$42:$H$1040,"DROPBACK")/$C682)</f>
        <v>1.0</v>
      </c>
      <c r="I682" s="14" t="str">
        <f>IF(C682=0,"",IF(C682&lt;=2,"TRACK",IF(C682=3,"LOW",IF(C682&lt;=6,"MEDIUM","HIGH"))))</f>
        <v>TRACK</v>
      </c>
      <c r="J682" s="11">
        <f>IF(C682=0,"",ROUND(D682*70+(1-E682)*20+MAX(0,MIN(1,(10-F682)/10))*10,1))</f>
        <v>20.0</v>
      </c>
      <c r="K682" s="14" t="str">
        <f>IF(C682=0,"No Evidence",IF(C682&lt;=2,IF(E682&gt;0,"Explosive Alert","Track Only"),IF(C682=3,"Sample Watch",IF(E682&gt;=START_HERE!$B$31,"Explosive Alert",IF(J682&gt;=80,"Strong Candidate",IF(J682&gt;=65,"Good Candidate",IF(J682&gt;=50,"Mixed / Review","Problem Call")))))))</f>
        <v>Track Only</v>
      </c>
      <c r="L682" s="9" t="str">
        <f>IF(COUNTIFS('DEF_SELF_SCOUT_IMPORT'!$L$42:$L$1040,"Y",'DEF_SELF_SCOUT_IMPORT'!$E$42:$E$1040,SUBSTITUTE(SUBSTITUTE(SUBSTITUTE($B682,"~","~~"),"*","~*"),"?","~?"),'DEF_SELF_SCOUT_IMPORT'!$Q$42:$Q$1040,SUBSTITUTE(SUBSTITUTE(SUBSTITUTE($M682,"~","~~"),"*","~*"),"?","~?"),'DEF_SELF_SCOUT_IMPORT'!$F$42:$F$1040,SUBSTITUTE(SUBSTITUTE(SUBSTITUTE($N682,"~","~~"),"*","~*"),"?","~?"),'DEF_SELF_SCOUT_IMPORT'!$G$42:$G$1040,SUBSTITUTE(SUBSTITUTE(SUBSTITUTE($O682,"~","~~"),"*","~*"),"?","~?"),'DEF_SELF_SCOUT_IMPORT'!$J$42:$J$1040,"")&gt;0,"Unscored clean outcome; review result tags before using score.",IF(C682=0,"No matching defensive reps; film confirmation needed.",IF(K682="Explosive Alert","Explosive risk; review clips before using as answer.",IF(C682&lt;=2,"Track only; not enough sample.",IF(C682=3,IF(E682&gt;0,"Sample watch with explosive exposure; review clips and build the sample.",IF(J682&gt;=65,"Good signal, but sample is limited.","Sample watch; review clips and build the sample.")),IF(K682="Problem Call","Problem area; practice or call-sheet review.",IF(K682="Strong Candidate","Strong call-fit candidate; confirm on film.",IF(K682="Good Candidate","Good call-fit signal; confirm on film.","Mixed signal; review fit and execution on film."))))))))</f>
        <v>Track only; not enough sample.</v>
      </c>
      <c r="M682" s="8" t="s">
        <v>82</v>
      </c>
      <c r="N682" s="8" t="s">
        <v>120</v>
      </c>
      <c r="O682" s="8" t="s">
        <v>222</v>
      </c>
      <c r="P682" s="8"/>
      <c r="Q682" s="8"/>
      <c r="R682" s="8" t="s">
        <v>28</v>
      </c>
      <c r="S682" s="2" t="s">
        <v>345</v>
      </c>
      <c r="T682" s="2">
        <f>IF(C682=0,0,IF(C682&gt;=CALL_LOOKUP_BOARD!$B$7,IF(OR(K682="Problem Call",K682="Explosive Alert"),10000000,20000000),0)+IF(C682&gt;=CALL_LOOKUP_BOARD!$B$7,J682*1000+MIN(C682,999),C682*1000+J682)+0.00990600)</f>
        <v>1020.009906</v>
      </c>
      <c r="U682" s="2" t="str">
        <f>IF(C682=0,"",IF(COUNTIFS($S$589:$S$803,SUBSTITUTE(SUBSTITUTE(SUBSTITUTE(S682,"~","~~"),"*","~*"),"?","~?"),$T$589:$T$803,"&gt;"&amp;T682)=0,S682,""))</f>
        <v>6:2D 4-6|2:11|3:3X2|</v>
      </c>
    </row>
    <row r="683" spans="1:21" ht="38" customHeight="1">
      <c r="A683" s="8" t="s">
        <v>346</v>
      </c>
      <c r="B683" s="8" t="s">
        <v>27</v>
      </c>
      <c r="C683" s="12">
        <f>COUNTIFS('DEF_SELF_SCOUT_IMPORT'!$L$42:$L$1040,"Y",'DEF_SELF_SCOUT_IMPORT'!$E$42:$E$1040,SUBSTITUTE(SUBSTITUTE(SUBSTITUTE($B683,"~","~~"),"*","~*"),"?","~?"),'DEF_SELF_SCOUT_IMPORT'!$Q$42:$Q$1040,SUBSTITUTE(SUBSTITUTE(SUBSTITUTE($M683,"~","~~"),"*","~*"),"?","~?"),'DEF_SELF_SCOUT_IMPORT'!$F$42:$F$1040,SUBSTITUTE(SUBSTITUTE(SUBSTITUTE($N683,"~","~~"),"*","~*"),"?","~?"),'DEF_SELF_SCOUT_IMPORT'!$G$42:$G$1040,SUBSTITUTE(SUBSTITUTE(SUBSTITUTE($O683,"~","~~"),"*","~*"),"?","~?"))</f>
        <v>1</v>
      </c>
      <c r="D683" s="10">
        <f>IF($C683=0,"",SUMIFS('DEF_SELF_SCOUT_IMPORT'!$J$42:$J$1040,'DEF_SELF_SCOUT_IMPORT'!$L$42:$L$1040,"Y",'DEF_SELF_SCOUT_IMPORT'!$E$42:$E$1040,SUBSTITUTE(SUBSTITUTE(SUBSTITUTE($B683,"~","~~"),"*","~*"),"?","~?"),'DEF_SELF_SCOUT_IMPORT'!$Q$42:$Q$1040,SUBSTITUTE(SUBSTITUTE(SUBSTITUTE($M683,"~","~~"),"*","~*"),"?","~?"),'DEF_SELF_SCOUT_IMPORT'!$F$42:$F$1040,SUBSTITUTE(SUBSTITUTE(SUBSTITUTE($N683,"~","~~"),"*","~*"),"?","~?"),'DEF_SELF_SCOUT_IMPORT'!$G$42:$G$1040,SUBSTITUTE(SUBSTITUTE(SUBSTITUTE($O683,"~","~~"),"*","~*"),"?","~?"))/$C683)</f>
        <v>1.0</v>
      </c>
      <c r="E683" s="10">
        <f>IF($C683=0,"",SUMIFS('DEF_SELF_SCOUT_IMPORT'!$K$42:$K$1040,'DEF_SELF_SCOUT_IMPORT'!$L$42:$L$1040,"Y",'DEF_SELF_SCOUT_IMPORT'!$E$42:$E$1040,SUBSTITUTE(SUBSTITUTE(SUBSTITUTE($B683,"~","~~"),"*","~*"),"?","~?"),'DEF_SELF_SCOUT_IMPORT'!$Q$42:$Q$1040,SUBSTITUTE(SUBSTITUTE(SUBSTITUTE($M683,"~","~~"),"*","~*"),"?","~?"),'DEF_SELF_SCOUT_IMPORT'!$F$42:$F$1040,SUBSTITUTE(SUBSTITUTE(SUBSTITUTE($N683,"~","~~"),"*","~*"),"?","~?"),'DEF_SELF_SCOUT_IMPORT'!$G$42:$G$1040,SUBSTITUTE(SUBSTITUTE(SUBSTITUTE($O683,"~","~~"),"*","~*"),"?","~?"))/$C683)</f>
        <v>0.0</v>
      </c>
      <c r="F683" s="11">
        <f>IF($C683=0,"",AVERAGEIFS('DEF_SELF_SCOUT_IMPORT'!$I$42:$I$1040,'DEF_SELF_SCOUT_IMPORT'!$L$42:$L$1040,"Y",'DEF_SELF_SCOUT_IMPORT'!$E$42:$E$1040,SUBSTITUTE(SUBSTITUTE(SUBSTITUTE($B683,"~","~~"),"*","~*"),"?","~?"),'DEF_SELF_SCOUT_IMPORT'!$Q$42:$Q$1040,SUBSTITUTE(SUBSTITUTE(SUBSTITUTE($M683,"~","~~"),"*","~*"),"?","~?"),'DEF_SELF_SCOUT_IMPORT'!$F$42:$F$1040,SUBSTITUTE(SUBSTITUTE(SUBSTITUTE($N683,"~","~~"),"*","~*"),"?","~?"),'DEF_SELF_SCOUT_IMPORT'!$G$42:$G$1040,SUBSTITUTE(SUBSTITUTE(SUBSTITUTE($O683,"~","~~"),"*","~*"),"?","~?")))</f>
        <v>0.0</v>
      </c>
      <c r="G683" s="10">
        <f>IF($C683=0,"",COUNTIFS('DEF_SELF_SCOUT_IMPORT'!$L$42:$L$1040,"Y",'DEF_SELF_SCOUT_IMPORT'!$E$42:$E$1040,SUBSTITUTE(SUBSTITUTE(SUBSTITUTE($B683,"~","~~"),"*","~*"),"?","~?"),'DEF_SELF_SCOUT_IMPORT'!$Q$42:$Q$1040,SUBSTITUTE(SUBSTITUTE(SUBSTITUTE($M683,"~","~~"),"*","~*"),"?","~?"),'DEF_SELF_SCOUT_IMPORT'!$F$42:$F$1040,SUBSTITUTE(SUBSTITUTE(SUBSTITUTE($N683,"~","~~"),"*","~*"),"?","~?"),'DEF_SELF_SCOUT_IMPORT'!$G$42:$G$1040,SUBSTITUTE(SUBSTITUTE(SUBSTITUTE($O683,"~","~~"),"*","~*"),"?","~?"),'DEF_SELF_SCOUT_IMPORT'!$H$42:$H$1040,"RUSH")/$C683)</f>
        <v>1.0</v>
      </c>
      <c r="H683" s="10">
        <f>IF($C683=0,"",COUNTIFS('DEF_SELF_SCOUT_IMPORT'!$L$42:$L$1040,"Y",'DEF_SELF_SCOUT_IMPORT'!$E$42:$E$1040,SUBSTITUTE(SUBSTITUTE(SUBSTITUTE($B683,"~","~~"),"*","~*"),"?","~?"),'DEF_SELF_SCOUT_IMPORT'!$Q$42:$Q$1040,SUBSTITUTE(SUBSTITUTE(SUBSTITUTE($M683,"~","~~"),"*","~*"),"?","~?"),'DEF_SELF_SCOUT_IMPORT'!$F$42:$F$1040,SUBSTITUTE(SUBSTITUTE(SUBSTITUTE($N683,"~","~~"),"*","~*"),"?","~?"),'DEF_SELF_SCOUT_IMPORT'!$G$42:$G$1040,SUBSTITUTE(SUBSTITUTE(SUBSTITUTE($O683,"~","~~"),"*","~*"),"?","~?"),'DEF_SELF_SCOUT_IMPORT'!$H$42:$H$1040,"DROPBACK")/$C683)</f>
        <v>0.0</v>
      </c>
      <c r="I683" s="14" t="str">
        <f>IF(C683=0,"",IF(C683&lt;=2,"TRACK",IF(C683=3,"LOW",IF(C683&lt;=6,"MEDIUM","HIGH"))))</f>
        <v>TRACK</v>
      </c>
      <c r="J683" s="11">
        <f>IF(C683=0,"",ROUND(D683*70+(1-E683)*20+MAX(0,MIN(1,(10-F683)/10))*10,1))</f>
        <v>100.0</v>
      </c>
      <c r="K683" s="14" t="str">
        <f>IF(C683=0,"No Evidence",IF(C683&lt;=2,IF(E683&gt;0,"Explosive Alert","Track Only"),IF(C683=3,"Sample Watch",IF(E683&gt;=START_HERE!$B$31,"Explosive Alert",IF(J683&gt;=80,"Strong Candidate",IF(J683&gt;=65,"Good Candidate",IF(J683&gt;=50,"Mixed / Review","Problem Call")))))))</f>
        <v>Track Only</v>
      </c>
      <c r="L683" s="9" t="str">
        <f>IF(COUNTIFS('DEF_SELF_SCOUT_IMPORT'!$L$42:$L$1040,"Y",'DEF_SELF_SCOUT_IMPORT'!$E$42:$E$1040,SUBSTITUTE(SUBSTITUTE(SUBSTITUTE($B683,"~","~~"),"*","~*"),"?","~?"),'DEF_SELF_SCOUT_IMPORT'!$Q$42:$Q$1040,SUBSTITUTE(SUBSTITUTE(SUBSTITUTE($M683,"~","~~"),"*","~*"),"?","~?"),'DEF_SELF_SCOUT_IMPORT'!$F$42:$F$1040,SUBSTITUTE(SUBSTITUTE(SUBSTITUTE($N683,"~","~~"),"*","~*"),"?","~?"),'DEF_SELF_SCOUT_IMPORT'!$G$42:$G$1040,SUBSTITUTE(SUBSTITUTE(SUBSTITUTE($O683,"~","~~"),"*","~*"),"?","~?"),'DEF_SELF_SCOUT_IMPORT'!$J$42:$J$1040,"")&gt;0,"Unscored clean outcome; review result tags before using score.",IF(C683=0,"No matching defensive reps; film confirmation needed.",IF(K683="Explosive Alert","Explosive risk; review clips before using as answer.",IF(C683&lt;=2,"Track only; not enough sample.",IF(C683=3,IF(E683&gt;0,"Sample watch with explosive exposure; review clips and build the sample.",IF(J683&gt;=65,"Good signal, but sample is limited.","Sample watch; review clips and build the sample.")),IF(K683="Problem Call","Problem area; practice or call-sheet review.",IF(K683="Strong Candidate","Strong call-fit candidate; confirm on film.",IF(K683="Good Candidate","Good call-fit signal; confirm on film.","Mixed signal; review fit and execution on film."))))))))</f>
        <v>Track only; not enough sample.</v>
      </c>
      <c r="M683" s="8" t="s">
        <v>82</v>
      </c>
      <c r="N683" s="8" t="s">
        <v>123</v>
      </c>
      <c r="O683" s="8" t="s">
        <v>203</v>
      </c>
      <c r="P683" s="8"/>
      <c r="Q683" s="8"/>
      <c r="R683" s="8" t="s">
        <v>28</v>
      </c>
      <c r="S683" s="2" t="s">
        <v>347</v>
      </c>
      <c r="T683" s="2">
        <f>IF(C683=0,0,IF(C683&gt;=CALL_LOOKUP_BOARD!$B$7,IF(OR(K683="Problem Call",K683="Explosive Alert"),10000000,20000000),0)+IF(C683&gt;=CALL_LOOKUP_BOARD!$B$7,J683*1000+MIN(C683,999),C683*1000+J683)+0.00990500)</f>
        <v>1100.009905</v>
      </c>
      <c r="U683" s="2">
        <f>IF(C683=0,"",IF(COUNTIFS($S$589:$S$803,SUBSTITUTE(SUBSTITUTE(SUBSTITUTE(S683,"~","~~"),"*","~*"),"?","~?"),$T$589:$T$803,"&gt;"&amp;T683)=0,S683,""))</f>
        <v/>
      </c>
    </row>
    <row r="684" spans="1:21" ht="38" customHeight="1">
      <c r="A684" s="8" t="s">
        <v>346</v>
      </c>
      <c r="B684" s="8" t="s">
        <v>52</v>
      </c>
      <c r="C684" s="12">
        <f>COUNTIFS('DEF_SELF_SCOUT_IMPORT'!$L$42:$L$1040,"Y",'DEF_SELF_SCOUT_IMPORT'!$E$42:$E$1040,SUBSTITUTE(SUBSTITUTE(SUBSTITUTE($B684,"~","~~"),"*","~*"),"?","~?"),'DEF_SELF_SCOUT_IMPORT'!$Q$42:$Q$1040,SUBSTITUTE(SUBSTITUTE(SUBSTITUTE($M684,"~","~~"),"*","~*"),"?","~?"),'DEF_SELF_SCOUT_IMPORT'!$F$42:$F$1040,SUBSTITUTE(SUBSTITUTE(SUBSTITUTE($N684,"~","~~"),"*","~*"),"?","~?"),'DEF_SELF_SCOUT_IMPORT'!$G$42:$G$1040,SUBSTITUTE(SUBSTITUTE(SUBSTITUTE($O684,"~","~~"),"*","~*"),"?","~?"))</f>
        <v>3</v>
      </c>
      <c r="D684" s="10">
        <f>IF($C684=0,"",SUMIFS('DEF_SELF_SCOUT_IMPORT'!$J$42:$J$1040,'DEF_SELF_SCOUT_IMPORT'!$L$42:$L$1040,"Y",'DEF_SELF_SCOUT_IMPORT'!$E$42:$E$1040,SUBSTITUTE(SUBSTITUTE(SUBSTITUTE($B684,"~","~~"),"*","~*"),"?","~?"),'DEF_SELF_SCOUT_IMPORT'!$Q$42:$Q$1040,SUBSTITUTE(SUBSTITUTE(SUBSTITUTE($M684,"~","~~"),"*","~*"),"?","~?"),'DEF_SELF_SCOUT_IMPORT'!$F$42:$F$1040,SUBSTITUTE(SUBSTITUTE(SUBSTITUTE($N684,"~","~~"),"*","~*"),"?","~?"),'DEF_SELF_SCOUT_IMPORT'!$G$42:$G$1040,SUBSTITUTE(SUBSTITUTE(SUBSTITUTE($O684,"~","~~"),"*","~*"),"?","~?"))/$C684)</f>
        <v>0.6666666666666666</v>
      </c>
      <c r="E684" s="10">
        <f>IF($C684=0,"",SUMIFS('DEF_SELF_SCOUT_IMPORT'!$K$42:$K$1040,'DEF_SELF_SCOUT_IMPORT'!$L$42:$L$1040,"Y",'DEF_SELF_SCOUT_IMPORT'!$E$42:$E$1040,SUBSTITUTE(SUBSTITUTE(SUBSTITUTE($B684,"~","~~"),"*","~*"),"?","~?"),'DEF_SELF_SCOUT_IMPORT'!$Q$42:$Q$1040,SUBSTITUTE(SUBSTITUTE(SUBSTITUTE($M684,"~","~~"),"*","~*"),"?","~?"),'DEF_SELF_SCOUT_IMPORT'!$F$42:$F$1040,SUBSTITUTE(SUBSTITUTE(SUBSTITUTE($N684,"~","~~"),"*","~*"),"?","~?"),'DEF_SELF_SCOUT_IMPORT'!$G$42:$G$1040,SUBSTITUTE(SUBSTITUTE(SUBSTITUTE($O684,"~","~~"),"*","~*"),"?","~?"))/$C684)</f>
        <v>0.0</v>
      </c>
      <c r="F684" s="11">
        <f>IF($C684=0,"",AVERAGEIFS('DEF_SELF_SCOUT_IMPORT'!$I$42:$I$1040,'DEF_SELF_SCOUT_IMPORT'!$L$42:$L$1040,"Y",'DEF_SELF_SCOUT_IMPORT'!$E$42:$E$1040,SUBSTITUTE(SUBSTITUTE(SUBSTITUTE($B684,"~","~~"),"*","~*"),"?","~?"),'DEF_SELF_SCOUT_IMPORT'!$Q$42:$Q$1040,SUBSTITUTE(SUBSTITUTE(SUBSTITUTE($M684,"~","~~"),"*","~*"),"?","~?"),'DEF_SELF_SCOUT_IMPORT'!$F$42:$F$1040,SUBSTITUTE(SUBSTITUTE(SUBSTITUTE($N684,"~","~~"),"*","~*"),"?","~?"),'DEF_SELF_SCOUT_IMPORT'!$G$42:$G$1040,SUBSTITUTE(SUBSTITUTE(SUBSTITUTE($O684,"~","~~"),"*","~*"),"?","~?")))</f>
        <v>2.0</v>
      </c>
      <c r="G684" s="10">
        <f>IF($C684=0,"",COUNTIFS('DEF_SELF_SCOUT_IMPORT'!$L$42:$L$1040,"Y",'DEF_SELF_SCOUT_IMPORT'!$E$42:$E$1040,SUBSTITUTE(SUBSTITUTE(SUBSTITUTE($B684,"~","~~"),"*","~*"),"?","~?"),'DEF_SELF_SCOUT_IMPORT'!$Q$42:$Q$1040,SUBSTITUTE(SUBSTITUTE(SUBSTITUTE($M684,"~","~~"),"*","~*"),"?","~?"),'DEF_SELF_SCOUT_IMPORT'!$F$42:$F$1040,SUBSTITUTE(SUBSTITUTE(SUBSTITUTE($N684,"~","~~"),"*","~*"),"?","~?"),'DEF_SELF_SCOUT_IMPORT'!$G$42:$G$1040,SUBSTITUTE(SUBSTITUTE(SUBSTITUTE($O684,"~","~~"),"*","~*"),"?","~?"),'DEF_SELF_SCOUT_IMPORT'!$H$42:$H$1040,"RUSH")/$C684)</f>
        <v>0.6666666666666666</v>
      </c>
      <c r="H684" s="10">
        <f>IF($C684=0,"",COUNTIFS('DEF_SELF_SCOUT_IMPORT'!$L$42:$L$1040,"Y",'DEF_SELF_SCOUT_IMPORT'!$E$42:$E$1040,SUBSTITUTE(SUBSTITUTE(SUBSTITUTE($B684,"~","~~"),"*","~*"),"?","~?"),'DEF_SELF_SCOUT_IMPORT'!$Q$42:$Q$1040,SUBSTITUTE(SUBSTITUTE(SUBSTITUTE($M684,"~","~~"),"*","~*"),"?","~?"),'DEF_SELF_SCOUT_IMPORT'!$F$42:$F$1040,SUBSTITUTE(SUBSTITUTE(SUBSTITUTE($N684,"~","~~"),"*","~*"),"?","~?"),'DEF_SELF_SCOUT_IMPORT'!$G$42:$G$1040,SUBSTITUTE(SUBSTITUTE(SUBSTITUTE($O684,"~","~~"),"*","~*"),"?","~?"),'DEF_SELF_SCOUT_IMPORT'!$H$42:$H$1040,"DROPBACK")/$C684)</f>
        <v>0.3333333333333333</v>
      </c>
      <c r="I684" s="14" t="str">
        <f>IF(C684=0,"",IF(C684&lt;=2,"TRACK",IF(C684=3,"LOW",IF(C684&lt;=6,"MEDIUM","HIGH"))))</f>
        <v>LOW</v>
      </c>
      <c r="J684" s="11">
        <f>IF(C684=0,"",ROUND(D684*70+(1-E684)*20+MAX(0,MIN(1,(10-F684)/10))*10,1))</f>
        <v>74.7</v>
      </c>
      <c r="K684" s="14" t="str">
        <f>IF(C684=0,"No Evidence",IF(C684&lt;=2,IF(E684&gt;0,"Explosive Alert","Track Only"),IF(C684=3,"Sample Watch",IF(E684&gt;=START_HERE!$B$31,"Explosive Alert",IF(J684&gt;=80,"Strong Candidate",IF(J684&gt;=65,"Good Candidate",IF(J684&gt;=50,"Mixed / Review","Problem Call")))))))</f>
        <v>Sample Watch</v>
      </c>
      <c r="L684" s="9" t="str">
        <f>IF(COUNTIFS('DEF_SELF_SCOUT_IMPORT'!$L$42:$L$1040,"Y",'DEF_SELF_SCOUT_IMPORT'!$E$42:$E$1040,SUBSTITUTE(SUBSTITUTE(SUBSTITUTE($B684,"~","~~"),"*","~*"),"?","~?"),'DEF_SELF_SCOUT_IMPORT'!$Q$42:$Q$1040,SUBSTITUTE(SUBSTITUTE(SUBSTITUTE($M684,"~","~~"),"*","~*"),"?","~?"),'DEF_SELF_SCOUT_IMPORT'!$F$42:$F$1040,SUBSTITUTE(SUBSTITUTE(SUBSTITUTE($N684,"~","~~"),"*","~*"),"?","~?"),'DEF_SELF_SCOUT_IMPORT'!$G$42:$G$1040,SUBSTITUTE(SUBSTITUTE(SUBSTITUTE($O684,"~","~~"),"*","~*"),"?","~?"),'DEF_SELF_SCOUT_IMPORT'!$J$42:$J$1040,"")&gt;0,"Unscored clean outcome; review result tags before using score.",IF(C684=0,"No matching defensive reps; film confirmation needed.",IF(K684="Explosive Alert","Explosive risk; review clips before using as answer.",IF(C684&lt;=2,"Track only; not enough sample.",IF(C684=3,IF(E684&gt;0,"Sample watch with explosive exposure; review clips and build the sample.",IF(J684&gt;=65,"Good signal, but sample is limited.","Sample watch; review clips and build the sample.")),IF(K684="Problem Call","Problem area; practice or call-sheet review.",IF(K684="Strong Candidate","Strong call-fit candidate; confirm on film.",IF(K684="Good Candidate","Good call-fit signal; confirm on film.","Mixed signal; review fit and execution on film."))))))))</f>
        <v>Good signal, but sample is limited.</v>
      </c>
      <c r="M684" s="8" t="s">
        <v>82</v>
      </c>
      <c r="N684" s="8" t="s">
        <v>123</v>
      </c>
      <c r="O684" s="8" t="s">
        <v>203</v>
      </c>
      <c r="P684" s="8"/>
      <c r="Q684" s="8"/>
      <c r="R684" s="8" t="s">
        <v>28</v>
      </c>
      <c r="S684" s="2" t="s">
        <v>347</v>
      </c>
      <c r="T684" s="2">
        <f>IF(C684=0,0,IF(C684&gt;=CALL_LOOKUP_BOARD!$B$7,IF(OR(K684="Problem Call",K684="Explosive Alert"),10000000,20000000),0)+IF(C684&gt;=CALL_LOOKUP_BOARD!$B$7,J684*1000+MIN(C684,999),C684*1000+J684)+0.00990400)</f>
        <v>3074.709904</v>
      </c>
      <c r="U684" s="2" t="str">
        <f>IF(C684=0,"",IF(COUNTIFS($S$589:$S$803,SUBSTITUTE(SUBSTITUTE(SUBSTITUTE(S684,"~","~~"),"*","~*"),"?","~?"),$T$589:$T$803,"&gt;"&amp;T684)=0,S684,""))</f>
        <v>6:2D 4-6|2:12|3:2X2|</v>
      </c>
    </row>
    <row r="685" spans="1:21" ht="38" customHeight="1">
      <c r="A685" s="8" t="s">
        <v>346</v>
      </c>
      <c r="B685" s="8" t="s">
        <v>84</v>
      </c>
      <c r="C685" s="12">
        <f>COUNTIFS('DEF_SELF_SCOUT_IMPORT'!$L$42:$L$1040,"Y",'DEF_SELF_SCOUT_IMPORT'!$E$42:$E$1040,SUBSTITUTE(SUBSTITUTE(SUBSTITUTE($B685,"~","~~"),"*","~*"),"?","~?"),'DEF_SELF_SCOUT_IMPORT'!$Q$42:$Q$1040,SUBSTITUTE(SUBSTITUTE(SUBSTITUTE($M685,"~","~~"),"*","~*"),"?","~?"),'DEF_SELF_SCOUT_IMPORT'!$F$42:$F$1040,SUBSTITUTE(SUBSTITUTE(SUBSTITUTE($N685,"~","~~"),"*","~*"),"?","~?"),'DEF_SELF_SCOUT_IMPORT'!$G$42:$G$1040,SUBSTITUTE(SUBSTITUTE(SUBSTITUTE($O685,"~","~~"),"*","~*"),"?","~?"))</f>
        <v>1</v>
      </c>
      <c r="D685" s="10">
        <f>IF($C685=0,"",SUMIFS('DEF_SELF_SCOUT_IMPORT'!$J$42:$J$1040,'DEF_SELF_SCOUT_IMPORT'!$L$42:$L$1040,"Y",'DEF_SELF_SCOUT_IMPORT'!$E$42:$E$1040,SUBSTITUTE(SUBSTITUTE(SUBSTITUTE($B685,"~","~~"),"*","~*"),"?","~?"),'DEF_SELF_SCOUT_IMPORT'!$Q$42:$Q$1040,SUBSTITUTE(SUBSTITUTE(SUBSTITUTE($M685,"~","~~"),"*","~*"),"?","~?"),'DEF_SELF_SCOUT_IMPORT'!$F$42:$F$1040,SUBSTITUTE(SUBSTITUTE(SUBSTITUTE($N685,"~","~~"),"*","~*"),"?","~?"),'DEF_SELF_SCOUT_IMPORT'!$G$42:$G$1040,SUBSTITUTE(SUBSTITUTE(SUBSTITUTE($O685,"~","~~"),"*","~*"),"?","~?"))/$C685)</f>
        <v>0.0</v>
      </c>
      <c r="E685" s="10">
        <f>IF($C685=0,"",SUMIFS('DEF_SELF_SCOUT_IMPORT'!$K$42:$K$1040,'DEF_SELF_SCOUT_IMPORT'!$L$42:$L$1040,"Y",'DEF_SELF_SCOUT_IMPORT'!$E$42:$E$1040,SUBSTITUTE(SUBSTITUTE(SUBSTITUTE($B685,"~","~~"),"*","~*"),"?","~?"),'DEF_SELF_SCOUT_IMPORT'!$Q$42:$Q$1040,SUBSTITUTE(SUBSTITUTE(SUBSTITUTE($M685,"~","~~"),"*","~*"),"?","~?"),'DEF_SELF_SCOUT_IMPORT'!$F$42:$F$1040,SUBSTITUTE(SUBSTITUTE(SUBSTITUTE($N685,"~","~~"),"*","~*"),"?","~?"),'DEF_SELF_SCOUT_IMPORT'!$G$42:$G$1040,SUBSTITUTE(SUBSTITUTE(SUBSTITUTE($O685,"~","~~"),"*","~*"),"?","~?"))/$C685)</f>
        <v>1.0</v>
      </c>
      <c r="F685" s="11">
        <f>IF($C685=0,"",AVERAGEIFS('DEF_SELF_SCOUT_IMPORT'!$I$42:$I$1040,'DEF_SELF_SCOUT_IMPORT'!$L$42:$L$1040,"Y",'DEF_SELF_SCOUT_IMPORT'!$E$42:$E$1040,SUBSTITUTE(SUBSTITUTE(SUBSTITUTE($B685,"~","~~"),"*","~*"),"?","~?"),'DEF_SELF_SCOUT_IMPORT'!$Q$42:$Q$1040,SUBSTITUTE(SUBSTITUTE(SUBSTITUTE($M685,"~","~~"),"*","~*"),"?","~?"),'DEF_SELF_SCOUT_IMPORT'!$F$42:$F$1040,SUBSTITUTE(SUBSTITUTE(SUBSTITUTE($N685,"~","~~"),"*","~*"),"?","~?"),'DEF_SELF_SCOUT_IMPORT'!$G$42:$G$1040,SUBSTITUTE(SUBSTITUTE(SUBSTITUTE($O685,"~","~~"),"*","~*"),"?","~?")))</f>
        <v>42.0</v>
      </c>
      <c r="G685" s="10">
        <f>IF($C685=0,"",COUNTIFS('DEF_SELF_SCOUT_IMPORT'!$L$42:$L$1040,"Y",'DEF_SELF_SCOUT_IMPORT'!$E$42:$E$1040,SUBSTITUTE(SUBSTITUTE(SUBSTITUTE($B685,"~","~~"),"*","~*"),"?","~?"),'DEF_SELF_SCOUT_IMPORT'!$Q$42:$Q$1040,SUBSTITUTE(SUBSTITUTE(SUBSTITUTE($M685,"~","~~"),"*","~*"),"?","~?"),'DEF_SELF_SCOUT_IMPORT'!$F$42:$F$1040,SUBSTITUTE(SUBSTITUTE(SUBSTITUTE($N685,"~","~~"),"*","~*"),"?","~?"),'DEF_SELF_SCOUT_IMPORT'!$G$42:$G$1040,SUBSTITUTE(SUBSTITUTE(SUBSTITUTE($O685,"~","~~"),"*","~*"),"?","~?"),'DEF_SELF_SCOUT_IMPORT'!$H$42:$H$1040,"RUSH")/$C685)</f>
        <v>0.0</v>
      </c>
      <c r="H685" s="10">
        <f>IF($C685=0,"",COUNTIFS('DEF_SELF_SCOUT_IMPORT'!$L$42:$L$1040,"Y",'DEF_SELF_SCOUT_IMPORT'!$E$42:$E$1040,SUBSTITUTE(SUBSTITUTE(SUBSTITUTE($B685,"~","~~"),"*","~*"),"?","~?"),'DEF_SELF_SCOUT_IMPORT'!$Q$42:$Q$1040,SUBSTITUTE(SUBSTITUTE(SUBSTITUTE($M685,"~","~~"),"*","~*"),"?","~?"),'DEF_SELF_SCOUT_IMPORT'!$F$42:$F$1040,SUBSTITUTE(SUBSTITUTE(SUBSTITUTE($N685,"~","~~"),"*","~*"),"?","~?"),'DEF_SELF_SCOUT_IMPORT'!$G$42:$G$1040,SUBSTITUTE(SUBSTITUTE(SUBSTITUTE($O685,"~","~~"),"*","~*"),"?","~?"),'DEF_SELF_SCOUT_IMPORT'!$H$42:$H$1040,"DROPBACK")/$C685)</f>
        <v>1.0</v>
      </c>
      <c r="I685" s="14" t="str">
        <f>IF(C685=0,"",IF(C685&lt;=2,"TRACK",IF(C685=3,"LOW",IF(C685&lt;=6,"MEDIUM","HIGH"))))</f>
        <v>TRACK</v>
      </c>
      <c r="J685" s="11">
        <f>IF(C685=0,"",ROUND(D685*70+(1-E685)*20+MAX(0,MIN(1,(10-F685)/10))*10,1))</f>
        <v>0.0</v>
      </c>
      <c r="K685" s="14" t="str">
        <f>IF(C685=0,"No Evidence",IF(C685&lt;=2,IF(E685&gt;0,"Explosive Alert","Track Only"),IF(C685=3,"Sample Watch",IF(E685&gt;=START_HERE!$B$31,"Explosive Alert",IF(J685&gt;=80,"Strong Candidate",IF(J685&gt;=65,"Good Candidate",IF(J685&gt;=50,"Mixed / Review","Problem Call")))))))</f>
        <v>Explosive Alert</v>
      </c>
      <c r="L685" s="9" t="str">
        <f>IF(COUNTIFS('DEF_SELF_SCOUT_IMPORT'!$L$42:$L$1040,"Y",'DEF_SELF_SCOUT_IMPORT'!$E$42:$E$1040,SUBSTITUTE(SUBSTITUTE(SUBSTITUTE($B685,"~","~~"),"*","~*"),"?","~?"),'DEF_SELF_SCOUT_IMPORT'!$Q$42:$Q$1040,SUBSTITUTE(SUBSTITUTE(SUBSTITUTE($M685,"~","~~"),"*","~*"),"?","~?"),'DEF_SELF_SCOUT_IMPORT'!$F$42:$F$1040,SUBSTITUTE(SUBSTITUTE(SUBSTITUTE($N685,"~","~~"),"*","~*"),"?","~?"),'DEF_SELF_SCOUT_IMPORT'!$G$42:$G$1040,SUBSTITUTE(SUBSTITUTE(SUBSTITUTE($O685,"~","~~"),"*","~*"),"?","~?"),'DEF_SELF_SCOUT_IMPORT'!$J$42:$J$1040,"")&gt;0,"Unscored clean outcome; review result tags before using score.",IF(C685=0,"No matching defensive reps; film confirmation needed.",IF(K685="Explosive Alert","Explosive risk; review clips before using as answer.",IF(C685&lt;=2,"Track only; not enough sample.",IF(C685=3,IF(E685&gt;0,"Sample watch with explosive exposure; review clips and build the sample.",IF(J685&gt;=65,"Good signal, but sample is limited.","Sample watch; review clips and build the sample.")),IF(K685="Problem Call","Problem area; practice or call-sheet review.",IF(K685="Strong Candidate","Strong call-fit candidate; confirm on film.",IF(K685="Good Candidate","Good call-fit signal; confirm on film.","Mixed signal; review fit and execution on film."))))))))</f>
        <v>Explosive risk; review clips before using as answer.</v>
      </c>
      <c r="M685" s="8" t="s">
        <v>82</v>
      </c>
      <c r="N685" s="8" t="s">
        <v>123</v>
      </c>
      <c r="O685" s="8" t="s">
        <v>203</v>
      </c>
      <c r="P685" s="8"/>
      <c r="Q685" s="8"/>
      <c r="R685" s="8" t="s">
        <v>28</v>
      </c>
      <c r="S685" s="2" t="s">
        <v>347</v>
      </c>
      <c r="T685" s="2">
        <f>IF(C685=0,0,IF(C685&gt;=CALL_LOOKUP_BOARD!$B$7,IF(OR(K685="Problem Call",K685="Explosive Alert"),10000000,20000000),0)+IF(C685&gt;=CALL_LOOKUP_BOARD!$B$7,J685*1000+MIN(C685,999),C685*1000+J685)+0.00990300)</f>
        <v>1000.009903</v>
      </c>
      <c r="U685" s="2">
        <f>IF(C685=0,"",IF(COUNTIFS($S$589:$S$803,SUBSTITUTE(SUBSTITUTE(SUBSTITUTE(S685,"~","~~"),"*","~*"),"?","~?"),$T$589:$T$803,"&gt;"&amp;T685)=0,S685,""))</f>
        <v/>
      </c>
    </row>
    <row r="686" spans="1:21" ht="38" customHeight="1">
      <c r="A686" s="8" t="s">
        <v>348</v>
      </c>
      <c r="B686" s="8" t="s">
        <v>35</v>
      </c>
      <c r="C686" s="12">
        <f>COUNTIFS('DEF_SELF_SCOUT_IMPORT'!$L$42:$L$1040,"Y",'DEF_SELF_SCOUT_IMPORT'!$E$42:$E$1040,SUBSTITUTE(SUBSTITUTE(SUBSTITUTE($B686,"~","~~"),"*","~*"),"?","~?"),'DEF_SELF_SCOUT_IMPORT'!$Q$42:$Q$1040,SUBSTITUTE(SUBSTITUTE(SUBSTITUTE($M686,"~","~~"),"*","~*"),"?","~?"),'DEF_SELF_SCOUT_IMPORT'!$F$42:$F$1040,SUBSTITUTE(SUBSTITUTE(SUBSTITUTE($N686,"~","~~"),"*","~*"),"?","~?"),'DEF_SELF_SCOUT_IMPORT'!$G$42:$G$1040,SUBSTITUTE(SUBSTITUTE(SUBSTITUTE($O686,"~","~~"),"*","~*"),"?","~?"))</f>
        <v>1</v>
      </c>
      <c r="D686" s="10">
        <f>IF($C686=0,"",SUMIFS('DEF_SELF_SCOUT_IMPORT'!$J$42:$J$1040,'DEF_SELF_SCOUT_IMPORT'!$L$42:$L$1040,"Y",'DEF_SELF_SCOUT_IMPORT'!$E$42:$E$1040,SUBSTITUTE(SUBSTITUTE(SUBSTITUTE($B686,"~","~~"),"*","~*"),"?","~?"),'DEF_SELF_SCOUT_IMPORT'!$Q$42:$Q$1040,SUBSTITUTE(SUBSTITUTE(SUBSTITUTE($M686,"~","~~"),"*","~*"),"?","~?"),'DEF_SELF_SCOUT_IMPORT'!$F$42:$F$1040,SUBSTITUTE(SUBSTITUTE(SUBSTITUTE($N686,"~","~~"),"*","~*"),"?","~?"),'DEF_SELF_SCOUT_IMPORT'!$G$42:$G$1040,SUBSTITUTE(SUBSTITUTE(SUBSTITUTE($O686,"~","~~"),"*","~*"),"?","~?"))/$C686)</f>
        <v>1.0</v>
      </c>
      <c r="E686" s="10">
        <f>IF($C686=0,"",SUMIFS('DEF_SELF_SCOUT_IMPORT'!$K$42:$K$1040,'DEF_SELF_SCOUT_IMPORT'!$L$42:$L$1040,"Y",'DEF_SELF_SCOUT_IMPORT'!$E$42:$E$1040,SUBSTITUTE(SUBSTITUTE(SUBSTITUTE($B686,"~","~~"),"*","~*"),"?","~?"),'DEF_SELF_SCOUT_IMPORT'!$Q$42:$Q$1040,SUBSTITUTE(SUBSTITUTE(SUBSTITUTE($M686,"~","~~"),"*","~*"),"?","~?"),'DEF_SELF_SCOUT_IMPORT'!$F$42:$F$1040,SUBSTITUTE(SUBSTITUTE(SUBSTITUTE($N686,"~","~~"),"*","~*"),"?","~?"),'DEF_SELF_SCOUT_IMPORT'!$G$42:$G$1040,SUBSTITUTE(SUBSTITUTE(SUBSTITUTE($O686,"~","~~"),"*","~*"),"?","~?"))/$C686)</f>
        <v>0.0</v>
      </c>
      <c r="F686" s="11">
        <f>IF($C686=0,"",AVERAGEIFS('DEF_SELF_SCOUT_IMPORT'!$I$42:$I$1040,'DEF_SELF_SCOUT_IMPORT'!$L$42:$L$1040,"Y",'DEF_SELF_SCOUT_IMPORT'!$E$42:$E$1040,SUBSTITUTE(SUBSTITUTE(SUBSTITUTE($B686,"~","~~"),"*","~*"),"?","~?"),'DEF_SELF_SCOUT_IMPORT'!$Q$42:$Q$1040,SUBSTITUTE(SUBSTITUTE(SUBSTITUTE($M686,"~","~~"),"*","~*"),"?","~?"),'DEF_SELF_SCOUT_IMPORT'!$F$42:$F$1040,SUBSTITUTE(SUBSTITUTE(SUBSTITUTE($N686,"~","~~"),"*","~*"),"?","~?"),'DEF_SELF_SCOUT_IMPORT'!$G$42:$G$1040,SUBSTITUTE(SUBSTITUTE(SUBSTITUTE($O686,"~","~~"),"*","~*"),"?","~?")))</f>
        <v>0.0</v>
      </c>
      <c r="G686" s="10">
        <f>IF($C686=0,"",COUNTIFS('DEF_SELF_SCOUT_IMPORT'!$L$42:$L$1040,"Y",'DEF_SELF_SCOUT_IMPORT'!$E$42:$E$1040,SUBSTITUTE(SUBSTITUTE(SUBSTITUTE($B686,"~","~~"),"*","~*"),"?","~?"),'DEF_SELF_SCOUT_IMPORT'!$Q$42:$Q$1040,SUBSTITUTE(SUBSTITUTE(SUBSTITUTE($M686,"~","~~"),"*","~*"),"?","~?"),'DEF_SELF_SCOUT_IMPORT'!$F$42:$F$1040,SUBSTITUTE(SUBSTITUTE(SUBSTITUTE($N686,"~","~~"),"*","~*"),"?","~?"),'DEF_SELF_SCOUT_IMPORT'!$G$42:$G$1040,SUBSTITUTE(SUBSTITUTE(SUBSTITUTE($O686,"~","~~"),"*","~*"),"?","~?"),'DEF_SELF_SCOUT_IMPORT'!$H$42:$H$1040,"RUSH")/$C686)</f>
        <v>0.0</v>
      </c>
      <c r="H686" s="10">
        <f>IF($C686=0,"",COUNTIFS('DEF_SELF_SCOUT_IMPORT'!$L$42:$L$1040,"Y",'DEF_SELF_SCOUT_IMPORT'!$E$42:$E$1040,SUBSTITUTE(SUBSTITUTE(SUBSTITUTE($B686,"~","~~"),"*","~*"),"?","~?"),'DEF_SELF_SCOUT_IMPORT'!$Q$42:$Q$1040,SUBSTITUTE(SUBSTITUTE(SUBSTITUTE($M686,"~","~~"),"*","~*"),"?","~?"),'DEF_SELF_SCOUT_IMPORT'!$F$42:$F$1040,SUBSTITUTE(SUBSTITUTE(SUBSTITUTE($N686,"~","~~"),"*","~*"),"?","~?"),'DEF_SELF_SCOUT_IMPORT'!$G$42:$G$1040,SUBSTITUTE(SUBSTITUTE(SUBSTITUTE($O686,"~","~~"),"*","~*"),"?","~?"),'DEF_SELF_SCOUT_IMPORT'!$H$42:$H$1040,"DROPBACK")/$C686)</f>
        <v>1.0</v>
      </c>
      <c r="I686" s="14" t="str">
        <f>IF(C686=0,"",IF(C686&lt;=2,"TRACK",IF(C686=3,"LOW",IF(C686&lt;=6,"MEDIUM","HIGH"))))</f>
        <v>TRACK</v>
      </c>
      <c r="J686" s="11">
        <f>IF(C686=0,"",ROUND(D686*70+(1-E686)*20+MAX(0,MIN(1,(10-F686)/10))*10,1))</f>
        <v>100.0</v>
      </c>
      <c r="K686" s="14" t="str">
        <f>IF(C686=0,"No Evidence",IF(C686&lt;=2,IF(E686&gt;0,"Explosive Alert","Track Only"),IF(C686=3,"Sample Watch",IF(E686&gt;=START_HERE!$B$31,"Explosive Alert",IF(J686&gt;=80,"Strong Candidate",IF(J686&gt;=65,"Good Candidate",IF(J686&gt;=50,"Mixed / Review","Problem Call")))))))</f>
        <v>Track Only</v>
      </c>
      <c r="L686" s="9" t="str">
        <f>IF(COUNTIFS('DEF_SELF_SCOUT_IMPORT'!$L$42:$L$1040,"Y",'DEF_SELF_SCOUT_IMPORT'!$E$42:$E$1040,SUBSTITUTE(SUBSTITUTE(SUBSTITUTE($B686,"~","~~"),"*","~*"),"?","~?"),'DEF_SELF_SCOUT_IMPORT'!$Q$42:$Q$1040,SUBSTITUTE(SUBSTITUTE(SUBSTITUTE($M686,"~","~~"),"*","~*"),"?","~?"),'DEF_SELF_SCOUT_IMPORT'!$F$42:$F$1040,SUBSTITUTE(SUBSTITUTE(SUBSTITUTE($N686,"~","~~"),"*","~*"),"?","~?"),'DEF_SELF_SCOUT_IMPORT'!$G$42:$G$1040,SUBSTITUTE(SUBSTITUTE(SUBSTITUTE($O686,"~","~~"),"*","~*"),"?","~?"),'DEF_SELF_SCOUT_IMPORT'!$J$42:$J$1040,"")&gt;0,"Unscored clean outcome; review result tags before using score.",IF(C686=0,"No matching defensive reps; film confirmation needed.",IF(K686="Explosive Alert","Explosive risk; review clips before using as answer.",IF(C686&lt;=2,"Track only; not enough sample.",IF(C686=3,IF(E686&gt;0,"Sample watch with explosive exposure; review clips and build the sample.",IF(J686&gt;=65,"Good signal, but sample is limited.","Sample watch; review clips and build the sample.")),IF(K686="Problem Call","Problem area; practice or call-sheet review.",IF(K686="Strong Candidate","Strong call-fit candidate; confirm on film.",IF(K686="Good Candidate","Good call-fit signal; confirm on film.","Mixed signal; review fit and execution on film."))))))))</f>
        <v>Track only; not enough sample.</v>
      </c>
      <c r="M686" s="8" t="s">
        <v>82</v>
      </c>
      <c r="N686" s="8" t="s">
        <v>123</v>
      </c>
      <c r="O686" s="8" t="s">
        <v>206</v>
      </c>
      <c r="P686" s="8"/>
      <c r="Q686" s="8"/>
      <c r="R686" s="8" t="s">
        <v>28</v>
      </c>
      <c r="S686" s="2" t="s">
        <v>349</v>
      </c>
      <c r="T686" s="2">
        <f>IF(C686=0,0,IF(C686&gt;=CALL_LOOKUP_BOARD!$B$7,IF(OR(K686="Problem Call",K686="Explosive Alert"),10000000,20000000),0)+IF(C686&gt;=CALL_LOOKUP_BOARD!$B$7,J686*1000+MIN(C686,999),C686*1000+J686)+0.00990200)</f>
        <v>1100.009902</v>
      </c>
      <c r="U686" s="2" t="str">
        <f>IF(C686=0,"",IF(COUNTIFS($S$589:$S$803,SUBSTITUTE(SUBSTITUTE(SUBSTITUTE(S686,"~","~~"),"*","~*"),"?","~?"),$T$589:$T$803,"&gt;"&amp;T686)=0,S686,""))</f>
        <v>6:2D 4-6|2:12|3:3X1|</v>
      </c>
    </row>
    <row r="687" spans="1:21" ht="38" customHeight="1">
      <c r="A687" s="8" t="s">
        <v>350</v>
      </c>
      <c r="B687" s="8" t="s">
        <v>35</v>
      </c>
      <c r="C687" s="12">
        <f>COUNTIFS('DEF_SELF_SCOUT_IMPORT'!$L$42:$L$1040,"Y",'DEF_SELF_SCOUT_IMPORT'!$E$42:$E$1040,SUBSTITUTE(SUBSTITUTE(SUBSTITUTE($B687,"~","~~"),"*","~*"),"?","~?"),'DEF_SELF_SCOUT_IMPORT'!$Q$42:$Q$1040,SUBSTITUTE(SUBSTITUTE(SUBSTITUTE($M687,"~","~~"),"*","~*"),"?","~?"),'DEF_SELF_SCOUT_IMPORT'!$F$42:$F$1040,SUBSTITUTE(SUBSTITUTE(SUBSTITUTE($N687,"~","~~"),"*","~*"),"?","~?"),'DEF_SELF_SCOUT_IMPORT'!$G$42:$G$1040,SUBSTITUTE(SUBSTITUTE(SUBSTITUTE($O687,"~","~~"),"*","~*"),"?","~?"))</f>
        <v>1</v>
      </c>
      <c r="D687" s="10">
        <f>IF($C687=0,"",SUMIFS('DEF_SELF_SCOUT_IMPORT'!$J$42:$J$1040,'DEF_SELF_SCOUT_IMPORT'!$L$42:$L$1040,"Y",'DEF_SELF_SCOUT_IMPORT'!$E$42:$E$1040,SUBSTITUTE(SUBSTITUTE(SUBSTITUTE($B687,"~","~~"),"*","~*"),"?","~?"),'DEF_SELF_SCOUT_IMPORT'!$Q$42:$Q$1040,SUBSTITUTE(SUBSTITUTE(SUBSTITUTE($M687,"~","~~"),"*","~*"),"?","~?"),'DEF_SELF_SCOUT_IMPORT'!$F$42:$F$1040,SUBSTITUTE(SUBSTITUTE(SUBSTITUTE($N687,"~","~~"),"*","~*"),"?","~?"),'DEF_SELF_SCOUT_IMPORT'!$G$42:$G$1040,SUBSTITUTE(SUBSTITUTE(SUBSTITUTE($O687,"~","~~"),"*","~*"),"?","~?"))/$C687)</f>
        <v>1.0</v>
      </c>
      <c r="E687" s="10">
        <f>IF($C687=0,"",SUMIFS('DEF_SELF_SCOUT_IMPORT'!$K$42:$K$1040,'DEF_SELF_SCOUT_IMPORT'!$L$42:$L$1040,"Y",'DEF_SELF_SCOUT_IMPORT'!$E$42:$E$1040,SUBSTITUTE(SUBSTITUTE(SUBSTITUTE($B687,"~","~~"),"*","~*"),"?","~?"),'DEF_SELF_SCOUT_IMPORT'!$Q$42:$Q$1040,SUBSTITUTE(SUBSTITUTE(SUBSTITUTE($M687,"~","~~"),"*","~*"),"?","~?"),'DEF_SELF_SCOUT_IMPORT'!$F$42:$F$1040,SUBSTITUTE(SUBSTITUTE(SUBSTITUTE($N687,"~","~~"),"*","~*"),"?","~?"),'DEF_SELF_SCOUT_IMPORT'!$G$42:$G$1040,SUBSTITUTE(SUBSTITUTE(SUBSTITUTE($O687,"~","~~"),"*","~*"),"?","~?"))/$C687)</f>
        <v>0.0</v>
      </c>
      <c r="F687" s="11">
        <f>IF($C687=0,"",AVERAGEIFS('DEF_SELF_SCOUT_IMPORT'!$I$42:$I$1040,'DEF_SELF_SCOUT_IMPORT'!$L$42:$L$1040,"Y",'DEF_SELF_SCOUT_IMPORT'!$E$42:$E$1040,SUBSTITUTE(SUBSTITUTE(SUBSTITUTE($B687,"~","~~"),"*","~*"),"?","~?"),'DEF_SELF_SCOUT_IMPORT'!$Q$42:$Q$1040,SUBSTITUTE(SUBSTITUTE(SUBSTITUTE($M687,"~","~~"),"*","~*"),"?","~?"),'DEF_SELF_SCOUT_IMPORT'!$F$42:$F$1040,SUBSTITUTE(SUBSTITUTE(SUBSTITUTE($N687,"~","~~"),"*","~*"),"?","~?"),'DEF_SELF_SCOUT_IMPORT'!$G$42:$G$1040,SUBSTITUTE(SUBSTITUTE(SUBSTITUTE($O687,"~","~~"),"*","~*"),"?","~?")))</f>
        <v>1.0</v>
      </c>
      <c r="G687" s="10">
        <f>IF($C687=0,"",COUNTIFS('DEF_SELF_SCOUT_IMPORT'!$L$42:$L$1040,"Y",'DEF_SELF_SCOUT_IMPORT'!$E$42:$E$1040,SUBSTITUTE(SUBSTITUTE(SUBSTITUTE($B687,"~","~~"),"*","~*"),"?","~?"),'DEF_SELF_SCOUT_IMPORT'!$Q$42:$Q$1040,SUBSTITUTE(SUBSTITUTE(SUBSTITUTE($M687,"~","~~"),"*","~*"),"?","~?"),'DEF_SELF_SCOUT_IMPORT'!$F$42:$F$1040,SUBSTITUTE(SUBSTITUTE(SUBSTITUTE($N687,"~","~~"),"*","~*"),"?","~?"),'DEF_SELF_SCOUT_IMPORT'!$G$42:$G$1040,SUBSTITUTE(SUBSTITUTE(SUBSTITUTE($O687,"~","~~"),"*","~*"),"?","~?"),'DEF_SELF_SCOUT_IMPORT'!$H$42:$H$1040,"RUSH")/$C687)</f>
        <v>1.0</v>
      </c>
      <c r="H687" s="10">
        <f>IF($C687=0,"",COUNTIFS('DEF_SELF_SCOUT_IMPORT'!$L$42:$L$1040,"Y",'DEF_SELF_SCOUT_IMPORT'!$E$42:$E$1040,SUBSTITUTE(SUBSTITUTE(SUBSTITUTE($B687,"~","~~"),"*","~*"),"?","~?"),'DEF_SELF_SCOUT_IMPORT'!$Q$42:$Q$1040,SUBSTITUTE(SUBSTITUTE(SUBSTITUTE($M687,"~","~~"),"*","~*"),"?","~?"),'DEF_SELF_SCOUT_IMPORT'!$F$42:$F$1040,SUBSTITUTE(SUBSTITUTE(SUBSTITUTE($N687,"~","~~"),"*","~*"),"?","~?"),'DEF_SELF_SCOUT_IMPORT'!$G$42:$G$1040,SUBSTITUTE(SUBSTITUTE(SUBSTITUTE($O687,"~","~~"),"*","~*"),"?","~?"),'DEF_SELF_SCOUT_IMPORT'!$H$42:$H$1040,"DROPBACK")/$C687)</f>
        <v>0.0</v>
      </c>
      <c r="I687" s="14" t="str">
        <f>IF(C687=0,"",IF(C687&lt;=2,"TRACK",IF(C687=3,"LOW",IF(C687&lt;=6,"MEDIUM","HIGH"))))</f>
        <v>TRACK</v>
      </c>
      <c r="J687" s="11">
        <f>IF(C687=0,"",ROUND(D687*70+(1-E687)*20+MAX(0,MIN(1,(10-F687)/10))*10,1))</f>
        <v>99.0</v>
      </c>
      <c r="K687" s="14" t="str">
        <f>IF(C687=0,"No Evidence",IF(C687&lt;=2,IF(E687&gt;0,"Explosive Alert","Track Only"),IF(C687=3,"Sample Watch",IF(E687&gt;=START_HERE!$B$31,"Explosive Alert",IF(J687&gt;=80,"Strong Candidate",IF(J687&gt;=65,"Good Candidate",IF(J687&gt;=50,"Mixed / Review","Problem Call")))))))</f>
        <v>Track Only</v>
      </c>
      <c r="L687" s="9" t="str">
        <f>IF(COUNTIFS('DEF_SELF_SCOUT_IMPORT'!$L$42:$L$1040,"Y",'DEF_SELF_SCOUT_IMPORT'!$E$42:$E$1040,SUBSTITUTE(SUBSTITUTE(SUBSTITUTE($B687,"~","~~"),"*","~*"),"?","~?"),'DEF_SELF_SCOUT_IMPORT'!$Q$42:$Q$1040,SUBSTITUTE(SUBSTITUTE(SUBSTITUTE($M687,"~","~~"),"*","~*"),"?","~?"),'DEF_SELF_SCOUT_IMPORT'!$F$42:$F$1040,SUBSTITUTE(SUBSTITUTE(SUBSTITUTE($N687,"~","~~"),"*","~*"),"?","~?"),'DEF_SELF_SCOUT_IMPORT'!$G$42:$G$1040,SUBSTITUTE(SUBSTITUTE(SUBSTITUTE($O687,"~","~~"),"*","~*"),"?","~?"),'DEF_SELF_SCOUT_IMPORT'!$J$42:$J$1040,"")&gt;0,"Unscored clean outcome; review result tags before using score.",IF(C687=0,"No matching defensive reps; film confirmation needed.",IF(K687="Explosive Alert","Explosive risk; review clips before using as answer.",IF(C687&lt;=2,"Track only; not enough sample.",IF(C687=3,IF(E687&gt;0,"Sample watch with explosive exposure; review clips and build the sample.",IF(J687&gt;=65,"Good signal, but sample is limited.","Sample watch; review clips and build the sample.")),IF(K687="Problem Call","Problem area; practice or call-sheet review.",IF(K687="Strong Candidate","Strong call-fit candidate; confirm on film.",IF(K687="Good Candidate","Good call-fit signal; confirm on film.","Mixed signal; review fit and execution on film."))))))))</f>
        <v>Track only; not enough sample.</v>
      </c>
      <c r="M687" s="8" t="s">
        <v>82</v>
      </c>
      <c r="N687" s="8" t="s">
        <v>156</v>
      </c>
      <c r="O687" s="8" t="s">
        <v>235</v>
      </c>
      <c r="P687" s="8"/>
      <c r="Q687" s="8"/>
      <c r="R687" s="8" t="s">
        <v>28</v>
      </c>
      <c r="S687" s="2" t="s">
        <v>351</v>
      </c>
      <c r="T687" s="2">
        <f>IF(C687=0,0,IF(C687&gt;=CALL_LOOKUP_BOARD!$B$7,IF(OR(K687="Problem Call",K687="Explosive Alert"),10000000,20000000),0)+IF(C687&gt;=CALL_LOOKUP_BOARD!$B$7,J687*1000+MIN(C687,999),C687*1000+J687)+0.00990100)</f>
        <v>1099.009901</v>
      </c>
      <c r="U687" s="2" t="str">
        <f>IF(C687=0,"",IF(COUNTIFS($S$589:$S$803,SUBSTITUTE(SUBSTITUTE(SUBSTITUTE(S687,"~","~~"),"*","~*"),"?","~?"),$T$589:$T$803,"&gt;"&amp;T687)=0,S687,""))</f>
        <v>6:2D 4-6|2:20|3:2X1|</v>
      </c>
    </row>
    <row r="688" spans="1:21" ht="38" customHeight="1">
      <c r="A688" s="8" t="s">
        <v>352</v>
      </c>
      <c r="B688" s="8" t="s">
        <v>34</v>
      </c>
      <c r="C688" s="12">
        <f>COUNTIFS('DEF_SELF_SCOUT_IMPORT'!$L$42:$L$1040,"Y",'DEF_SELF_SCOUT_IMPORT'!$E$42:$E$1040,SUBSTITUTE(SUBSTITUTE(SUBSTITUTE($B688,"~","~~"),"*","~*"),"?","~?"),'DEF_SELF_SCOUT_IMPORT'!$Q$42:$Q$1040,SUBSTITUTE(SUBSTITUTE(SUBSTITUTE($M688,"~","~~"),"*","~*"),"?","~?"),'DEF_SELF_SCOUT_IMPORT'!$F$42:$F$1040,SUBSTITUTE(SUBSTITUTE(SUBSTITUTE($N688,"~","~~"),"*","~*"),"?","~?"),'DEF_SELF_SCOUT_IMPORT'!$G$42:$G$1040,SUBSTITUTE(SUBSTITUTE(SUBSTITUTE($O688,"~","~~"),"*","~*"),"?","~?"))</f>
        <v>1</v>
      </c>
      <c r="D688" s="10">
        <f>IF($C688=0,"",SUMIFS('DEF_SELF_SCOUT_IMPORT'!$J$42:$J$1040,'DEF_SELF_SCOUT_IMPORT'!$L$42:$L$1040,"Y",'DEF_SELF_SCOUT_IMPORT'!$E$42:$E$1040,SUBSTITUTE(SUBSTITUTE(SUBSTITUTE($B688,"~","~~"),"*","~*"),"?","~?"),'DEF_SELF_SCOUT_IMPORT'!$Q$42:$Q$1040,SUBSTITUTE(SUBSTITUTE(SUBSTITUTE($M688,"~","~~"),"*","~*"),"?","~?"),'DEF_SELF_SCOUT_IMPORT'!$F$42:$F$1040,SUBSTITUTE(SUBSTITUTE(SUBSTITUTE($N688,"~","~~"),"*","~*"),"?","~?"),'DEF_SELF_SCOUT_IMPORT'!$G$42:$G$1040,SUBSTITUTE(SUBSTITUTE(SUBSTITUTE($O688,"~","~~"),"*","~*"),"?","~?"))/$C688)</f>
        <v>0.0</v>
      </c>
      <c r="E688" s="10">
        <f>IF($C688=0,"",SUMIFS('DEF_SELF_SCOUT_IMPORT'!$K$42:$K$1040,'DEF_SELF_SCOUT_IMPORT'!$L$42:$L$1040,"Y",'DEF_SELF_SCOUT_IMPORT'!$E$42:$E$1040,SUBSTITUTE(SUBSTITUTE(SUBSTITUTE($B688,"~","~~"),"*","~*"),"?","~?"),'DEF_SELF_SCOUT_IMPORT'!$Q$42:$Q$1040,SUBSTITUTE(SUBSTITUTE(SUBSTITUTE($M688,"~","~~"),"*","~*"),"?","~?"),'DEF_SELF_SCOUT_IMPORT'!$F$42:$F$1040,SUBSTITUTE(SUBSTITUTE(SUBSTITUTE($N688,"~","~~"),"*","~*"),"?","~?"),'DEF_SELF_SCOUT_IMPORT'!$G$42:$G$1040,SUBSTITUTE(SUBSTITUTE(SUBSTITUTE($O688,"~","~~"),"*","~*"),"?","~?"))/$C688)</f>
        <v>1.0</v>
      </c>
      <c r="F688" s="11">
        <f>IF($C688=0,"",AVERAGEIFS('DEF_SELF_SCOUT_IMPORT'!$I$42:$I$1040,'DEF_SELF_SCOUT_IMPORT'!$L$42:$L$1040,"Y",'DEF_SELF_SCOUT_IMPORT'!$E$42:$E$1040,SUBSTITUTE(SUBSTITUTE(SUBSTITUTE($B688,"~","~~"),"*","~*"),"?","~?"),'DEF_SELF_SCOUT_IMPORT'!$Q$42:$Q$1040,SUBSTITUTE(SUBSTITUTE(SUBSTITUTE($M688,"~","~~"),"*","~*"),"?","~?"),'DEF_SELF_SCOUT_IMPORT'!$F$42:$F$1040,SUBSTITUTE(SUBSTITUTE(SUBSTITUTE($N688,"~","~~"),"*","~*"),"?","~?"),'DEF_SELF_SCOUT_IMPORT'!$G$42:$G$1040,SUBSTITUTE(SUBSTITUTE(SUBSTITUTE($O688,"~","~~"),"*","~*"),"?","~?")))</f>
        <v>12.0</v>
      </c>
      <c r="G688" s="10">
        <f>IF($C688=0,"",COUNTIFS('DEF_SELF_SCOUT_IMPORT'!$L$42:$L$1040,"Y",'DEF_SELF_SCOUT_IMPORT'!$E$42:$E$1040,SUBSTITUTE(SUBSTITUTE(SUBSTITUTE($B688,"~","~~"),"*","~*"),"?","~?"),'DEF_SELF_SCOUT_IMPORT'!$Q$42:$Q$1040,SUBSTITUTE(SUBSTITUTE(SUBSTITUTE($M688,"~","~~"),"*","~*"),"?","~?"),'DEF_SELF_SCOUT_IMPORT'!$F$42:$F$1040,SUBSTITUTE(SUBSTITUTE(SUBSTITUTE($N688,"~","~~"),"*","~*"),"?","~?"),'DEF_SELF_SCOUT_IMPORT'!$G$42:$G$1040,SUBSTITUTE(SUBSTITUTE(SUBSTITUTE($O688,"~","~~"),"*","~*"),"?","~?"),'DEF_SELF_SCOUT_IMPORT'!$H$42:$H$1040,"RUSH")/$C688)</f>
        <v>1.0</v>
      </c>
      <c r="H688" s="10">
        <f>IF($C688=0,"",COUNTIFS('DEF_SELF_SCOUT_IMPORT'!$L$42:$L$1040,"Y",'DEF_SELF_SCOUT_IMPORT'!$E$42:$E$1040,SUBSTITUTE(SUBSTITUTE(SUBSTITUTE($B688,"~","~~"),"*","~*"),"?","~?"),'DEF_SELF_SCOUT_IMPORT'!$Q$42:$Q$1040,SUBSTITUTE(SUBSTITUTE(SUBSTITUTE($M688,"~","~~"),"*","~*"),"?","~?"),'DEF_SELF_SCOUT_IMPORT'!$F$42:$F$1040,SUBSTITUTE(SUBSTITUTE(SUBSTITUTE($N688,"~","~~"),"*","~*"),"?","~?"),'DEF_SELF_SCOUT_IMPORT'!$G$42:$G$1040,SUBSTITUTE(SUBSTITUTE(SUBSTITUTE($O688,"~","~~"),"*","~*"),"?","~?"),'DEF_SELF_SCOUT_IMPORT'!$H$42:$H$1040,"DROPBACK")/$C688)</f>
        <v>0.0</v>
      </c>
      <c r="I688" s="14" t="str">
        <f>IF(C688=0,"",IF(C688&lt;=2,"TRACK",IF(C688=3,"LOW",IF(C688&lt;=6,"MEDIUM","HIGH"))))</f>
        <v>TRACK</v>
      </c>
      <c r="J688" s="11">
        <f>IF(C688=0,"",ROUND(D688*70+(1-E688)*20+MAX(0,MIN(1,(10-F688)/10))*10,1))</f>
        <v>0.0</v>
      </c>
      <c r="K688" s="14" t="str">
        <f>IF(C688=0,"No Evidence",IF(C688&lt;=2,IF(E688&gt;0,"Explosive Alert","Track Only"),IF(C688=3,"Sample Watch",IF(E688&gt;=START_HERE!$B$31,"Explosive Alert",IF(J688&gt;=80,"Strong Candidate",IF(J688&gt;=65,"Good Candidate",IF(J688&gt;=50,"Mixed / Review","Problem Call")))))))</f>
        <v>Explosive Alert</v>
      </c>
      <c r="L688" s="9" t="str">
        <f>IF(COUNTIFS('DEF_SELF_SCOUT_IMPORT'!$L$42:$L$1040,"Y",'DEF_SELF_SCOUT_IMPORT'!$E$42:$E$1040,SUBSTITUTE(SUBSTITUTE(SUBSTITUTE($B688,"~","~~"),"*","~*"),"?","~?"),'DEF_SELF_SCOUT_IMPORT'!$Q$42:$Q$1040,SUBSTITUTE(SUBSTITUTE(SUBSTITUTE($M688,"~","~~"),"*","~*"),"?","~?"),'DEF_SELF_SCOUT_IMPORT'!$F$42:$F$1040,SUBSTITUTE(SUBSTITUTE(SUBSTITUTE($N688,"~","~~"),"*","~*"),"?","~?"),'DEF_SELF_SCOUT_IMPORT'!$G$42:$G$1040,SUBSTITUTE(SUBSTITUTE(SUBSTITUTE($O688,"~","~~"),"*","~*"),"?","~?"),'DEF_SELF_SCOUT_IMPORT'!$J$42:$J$1040,"")&gt;0,"Unscored clean outcome; review result tags before using score.",IF(C688=0,"No matching defensive reps; film confirmation needed.",IF(K688="Explosive Alert","Explosive risk; review clips before using as answer.",IF(C688&lt;=2,"Track only; not enough sample.",IF(C688=3,IF(E688&gt;0,"Sample watch with explosive exposure; review clips and build the sample.",IF(J688&gt;=65,"Good signal, but sample is limited.","Sample watch; review clips and build the sample.")),IF(K688="Problem Call","Problem area; practice or call-sheet review.",IF(K688="Strong Candidate","Strong call-fit candidate; confirm on film.",IF(K688="Good Candidate","Good call-fit signal; confirm on film.","Mixed signal; review fit and execution on film."))))))))</f>
        <v>Explosive risk; review clips before using as answer.</v>
      </c>
      <c r="M688" s="8" t="s">
        <v>85</v>
      </c>
      <c r="N688" s="8" t="s">
        <v>132</v>
      </c>
      <c r="O688" s="8" t="s">
        <v>203</v>
      </c>
      <c r="P688" s="8"/>
      <c r="Q688" s="8"/>
      <c r="R688" s="8" t="s">
        <v>28</v>
      </c>
      <c r="S688" s="2" t="s">
        <v>353</v>
      </c>
      <c r="T688" s="2">
        <f>IF(C688=0,0,IF(C688&gt;=CALL_LOOKUP_BOARD!$B$7,IF(OR(K688="Problem Call",K688="Explosive Alert"),10000000,20000000),0)+IF(C688&gt;=CALL_LOOKUP_BOARD!$B$7,J688*1000+MIN(C688,999),C688*1000+J688)+0.00990000)</f>
        <v>1000.0099</v>
      </c>
      <c r="U688" s="2" t="str">
        <f>IF(C688=0,"",IF(COUNTIFS($S$589:$S$803,SUBSTITUTE(SUBSTITUTE(SUBSTITUTE(S688,"~","~~"),"*","~*"),"?","~?"),$T$589:$T$803,"&gt;"&amp;T688)=0,S688,""))</f>
        <v>7:2D 7-10|2:00|3:2X2|</v>
      </c>
    </row>
    <row r="689" spans="1:21" ht="38" customHeight="1">
      <c r="A689" s="8" t="s">
        <v>354</v>
      </c>
      <c r="B689" s="8" t="s">
        <v>40</v>
      </c>
      <c r="C689" s="12">
        <f>COUNTIFS('DEF_SELF_SCOUT_IMPORT'!$L$42:$L$1040,"Y",'DEF_SELF_SCOUT_IMPORT'!$E$42:$E$1040,SUBSTITUTE(SUBSTITUTE(SUBSTITUTE($B689,"~","~~"),"*","~*"),"?","~?"),'DEF_SELF_SCOUT_IMPORT'!$Q$42:$Q$1040,SUBSTITUTE(SUBSTITUTE(SUBSTITUTE($M689,"~","~~"),"*","~*"),"?","~?"),'DEF_SELF_SCOUT_IMPORT'!$F$42:$F$1040,SUBSTITUTE(SUBSTITUTE(SUBSTITUTE($N689,"~","~~"),"*","~*"),"?","~?"),'DEF_SELF_SCOUT_IMPORT'!$G$42:$G$1040,SUBSTITUTE(SUBSTITUTE(SUBSTITUTE($O689,"~","~~"),"*","~*"),"?","~?"))</f>
        <v>1</v>
      </c>
      <c r="D689" s="10">
        <f>IF($C689=0,"",SUMIFS('DEF_SELF_SCOUT_IMPORT'!$J$42:$J$1040,'DEF_SELF_SCOUT_IMPORT'!$L$42:$L$1040,"Y",'DEF_SELF_SCOUT_IMPORT'!$E$42:$E$1040,SUBSTITUTE(SUBSTITUTE(SUBSTITUTE($B689,"~","~~"),"*","~*"),"?","~?"),'DEF_SELF_SCOUT_IMPORT'!$Q$42:$Q$1040,SUBSTITUTE(SUBSTITUTE(SUBSTITUTE($M689,"~","~~"),"*","~*"),"?","~?"),'DEF_SELF_SCOUT_IMPORT'!$F$42:$F$1040,SUBSTITUTE(SUBSTITUTE(SUBSTITUTE($N689,"~","~~"),"*","~*"),"?","~?"),'DEF_SELF_SCOUT_IMPORT'!$G$42:$G$1040,SUBSTITUTE(SUBSTITUTE(SUBSTITUTE($O689,"~","~~"),"*","~*"),"?","~?"))/$C689)</f>
        <v>0.0</v>
      </c>
      <c r="E689" s="10">
        <f>IF($C689=0,"",SUMIFS('DEF_SELF_SCOUT_IMPORT'!$K$42:$K$1040,'DEF_SELF_SCOUT_IMPORT'!$L$42:$L$1040,"Y",'DEF_SELF_SCOUT_IMPORT'!$E$42:$E$1040,SUBSTITUTE(SUBSTITUTE(SUBSTITUTE($B689,"~","~~"),"*","~*"),"?","~?"),'DEF_SELF_SCOUT_IMPORT'!$Q$42:$Q$1040,SUBSTITUTE(SUBSTITUTE(SUBSTITUTE($M689,"~","~~"),"*","~*"),"?","~?"),'DEF_SELF_SCOUT_IMPORT'!$F$42:$F$1040,SUBSTITUTE(SUBSTITUTE(SUBSTITUTE($N689,"~","~~"),"*","~*"),"?","~?"),'DEF_SELF_SCOUT_IMPORT'!$G$42:$G$1040,SUBSTITUTE(SUBSTITUTE(SUBSTITUTE($O689,"~","~~"),"*","~*"),"?","~?"))/$C689)</f>
        <v>0.0</v>
      </c>
      <c r="F689" s="11">
        <f>IF($C689=0,"",AVERAGEIFS('DEF_SELF_SCOUT_IMPORT'!$I$42:$I$1040,'DEF_SELF_SCOUT_IMPORT'!$L$42:$L$1040,"Y",'DEF_SELF_SCOUT_IMPORT'!$E$42:$E$1040,SUBSTITUTE(SUBSTITUTE(SUBSTITUTE($B689,"~","~~"),"*","~*"),"?","~?"),'DEF_SELF_SCOUT_IMPORT'!$Q$42:$Q$1040,SUBSTITUTE(SUBSTITUTE(SUBSTITUTE($M689,"~","~~"),"*","~*"),"?","~?"),'DEF_SELF_SCOUT_IMPORT'!$F$42:$F$1040,SUBSTITUTE(SUBSTITUTE(SUBSTITUTE($N689,"~","~~"),"*","~*"),"?","~?"),'DEF_SELF_SCOUT_IMPORT'!$G$42:$G$1040,SUBSTITUTE(SUBSTITUTE(SUBSTITUTE($O689,"~","~~"),"*","~*"),"?","~?")))</f>
        <v>7.0</v>
      </c>
      <c r="G689" s="10">
        <f>IF($C689=0,"",COUNTIFS('DEF_SELF_SCOUT_IMPORT'!$L$42:$L$1040,"Y",'DEF_SELF_SCOUT_IMPORT'!$E$42:$E$1040,SUBSTITUTE(SUBSTITUTE(SUBSTITUTE($B689,"~","~~"),"*","~*"),"?","~?"),'DEF_SELF_SCOUT_IMPORT'!$Q$42:$Q$1040,SUBSTITUTE(SUBSTITUTE(SUBSTITUTE($M689,"~","~~"),"*","~*"),"?","~?"),'DEF_SELF_SCOUT_IMPORT'!$F$42:$F$1040,SUBSTITUTE(SUBSTITUTE(SUBSTITUTE($N689,"~","~~"),"*","~*"),"?","~?"),'DEF_SELF_SCOUT_IMPORT'!$G$42:$G$1040,SUBSTITUTE(SUBSTITUTE(SUBSTITUTE($O689,"~","~~"),"*","~*"),"?","~?"),'DEF_SELF_SCOUT_IMPORT'!$H$42:$H$1040,"RUSH")/$C689)</f>
        <v>1.0</v>
      </c>
      <c r="H689" s="10">
        <f>IF($C689=0,"",COUNTIFS('DEF_SELF_SCOUT_IMPORT'!$L$42:$L$1040,"Y",'DEF_SELF_SCOUT_IMPORT'!$E$42:$E$1040,SUBSTITUTE(SUBSTITUTE(SUBSTITUTE($B689,"~","~~"),"*","~*"),"?","~?"),'DEF_SELF_SCOUT_IMPORT'!$Q$42:$Q$1040,SUBSTITUTE(SUBSTITUTE(SUBSTITUTE($M689,"~","~~"),"*","~*"),"?","~?"),'DEF_SELF_SCOUT_IMPORT'!$F$42:$F$1040,SUBSTITUTE(SUBSTITUTE(SUBSTITUTE($N689,"~","~~"),"*","~*"),"?","~?"),'DEF_SELF_SCOUT_IMPORT'!$G$42:$G$1040,SUBSTITUTE(SUBSTITUTE(SUBSTITUTE($O689,"~","~~"),"*","~*"),"?","~?"),'DEF_SELF_SCOUT_IMPORT'!$H$42:$H$1040,"DROPBACK")/$C689)</f>
        <v>0.0</v>
      </c>
      <c r="I689" s="14" t="str">
        <f>IF(C689=0,"",IF(C689&lt;=2,"TRACK",IF(C689=3,"LOW",IF(C689&lt;=6,"MEDIUM","HIGH"))))</f>
        <v>TRACK</v>
      </c>
      <c r="J689" s="11">
        <f>IF(C689=0,"",ROUND(D689*70+(1-E689)*20+MAX(0,MIN(1,(10-F689)/10))*10,1))</f>
        <v>23.0</v>
      </c>
      <c r="K689" s="14" t="str">
        <f>IF(C689=0,"No Evidence",IF(C689&lt;=2,IF(E689&gt;0,"Explosive Alert","Track Only"),IF(C689=3,"Sample Watch",IF(E689&gt;=START_HERE!$B$31,"Explosive Alert",IF(J689&gt;=80,"Strong Candidate",IF(J689&gt;=65,"Good Candidate",IF(J689&gt;=50,"Mixed / Review","Problem Call")))))))</f>
        <v>Track Only</v>
      </c>
      <c r="L689" s="9" t="str">
        <f>IF(COUNTIFS('DEF_SELF_SCOUT_IMPORT'!$L$42:$L$1040,"Y",'DEF_SELF_SCOUT_IMPORT'!$E$42:$E$1040,SUBSTITUTE(SUBSTITUTE(SUBSTITUTE($B689,"~","~~"),"*","~*"),"?","~?"),'DEF_SELF_SCOUT_IMPORT'!$Q$42:$Q$1040,SUBSTITUTE(SUBSTITUTE(SUBSTITUTE($M689,"~","~~"),"*","~*"),"?","~?"),'DEF_SELF_SCOUT_IMPORT'!$F$42:$F$1040,SUBSTITUTE(SUBSTITUTE(SUBSTITUTE($N689,"~","~~"),"*","~*"),"?","~?"),'DEF_SELF_SCOUT_IMPORT'!$G$42:$G$1040,SUBSTITUTE(SUBSTITUTE(SUBSTITUTE($O689,"~","~~"),"*","~*"),"?","~?"),'DEF_SELF_SCOUT_IMPORT'!$J$42:$J$1040,"")&gt;0,"Unscored clean outcome; review result tags before using score.",IF(C689=0,"No matching defensive reps; film confirmation needed.",IF(K689="Explosive Alert","Explosive risk; review clips before using as answer.",IF(C689&lt;=2,"Track only; not enough sample.",IF(C689=3,IF(E689&gt;0,"Sample watch with explosive exposure; review clips and build the sample.",IF(J689&gt;=65,"Good signal, but sample is limited.","Sample watch; review clips and build the sample.")),IF(K689="Problem Call","Problem area; practice or call-sheet review.",IF(K689="Strong Candidate","Strong call-fit candidate; confirm on film.",IF(K689="Good Candidate","Good call-fit signal; confirm on film.","Mixed signal; review fit and execution on film."))))))))</f>
        <v>Track only; not enough sample.</v>
      </c>
      <c r="M689" s="8" t="s">
        <v>85</v>
      </c>
      <c r="N689" s="8" t="s">
        <v>120</v>
      </c>
      <c r="O689" s="8" t="s">
        <v>203</v>
      </c>
      <c r="P689" s="8"/>
      <c r="Q689" s="8"/>
      <c r="R689" s="8" t="s">
        <v>28</v>
      </c>
      <c r="S689" s="2" t="s">
        <v>355</v>
      </c>
      <c r="T689" s="2">
        <f>IF(C689=0,0,IF(C689&gt;=CALL_LOOKUP_BOARD!$B$7,IF(OR(K689="Problem Call",K689="Explosive Alert"),10000000,20000000),0)+IF(C689&gt;=CALL_LOOKUP_BOARD!$B$7,J689*1000+MIN(C689,999),C689*1000+J689)+0.00989900)</f>
        <v>1023.009899</v>
      </c>
      <c r="U689" s="2">
        <f>IF(C689=0,"",IF(COUNTIFS($S$589:$S$803,SUBSTITUTE(SUBSTITUTE(SUBSTITUTE(S689,"~","~~"),"*","~*"),"?","~?"),$T$589:$T$803,"&gt;"&amp;T689)=0,S689,""))</f>
        <v/>
      </c>
    </row>
    <row r="690" spans="1:21" ht="38" customHeight="1">
      <c r="A690" s="8" t="s">
        <v>354</v>
      </c>
      <c r="B690" s="8" t="s">
        <v>48</v>
      </c>
      <c r="C690" s="12">
        <f>COUNTIFS('DEF_SELF_SCOUT_IMPORT'!$L$42:$L$1040,"Y",'DEF_SELF_SCOUT_IMPORT'!$E$42:$E$1040,SUBSTITUTE(SUBSTITUTE(SUBSTITUTE($B690,"~","~~"),"*","~*"),"?","~?"),'DEF_SELF_SCOUT_IMPORT'!$Q$42:$Q$1040,SUBSTITUTE(SUBSTITUTE(SUBSTITUTE($M690,"~","~~"),"*","~*"),"?","~?"),'DEF_SELF_SCOUT_IMPORT'!$F$42:$F$1040,SUBSTITUTE(SUBSTITUTE(SUBSTITUTE($N690,"~","~~"),"*","~*"),"?","~?"),'DEF_SELF_SCOUT_IMPORT'!$G$42:$G$1040,SUBSTITUTE(SUBSTITUTE(SUBSTITUTE($O690,"~","~~"),"*","~*"),"?","~?"))</f>
        <v>1</v>
      </c>
      <c r="D690" s="10">
        <f>IF($C690=0,"",SUMIFS('DEF_SELF_SCOUT_IMPORT'!$J$42:$J$1040,'DEF_SELF_SCOUT_IMPORT'!$L$42:$L$1040,"Y",'DEF_SELF_SCOUT_IMPORT'!$E$42:$E$1040,SUBSTITUTE(SUBSTITUTE(SUBSTITUTE($B690,"~","~~"),"*","~*"),"?","~?"),'DEF_SELF_SCOUT_IMPORT'!$Q$42:$Q$1040,SUBSTITUTE(SUBSTITUTE(SUBSTITUTE($M690,"~","~~"),"*","~*"),"?","~?"),'DEF_SELF_SCOUT_IMPORT'!$F$42:$F$1040,SUBSTITUTE(SUBSTITUTE(SUBSTITUTE($N690,"~","~~"),"*","~*"),"?","~?"),'DEF_SELF_SCOUT_IMPORT'!$G$42:$G$1040,SUBSTITUTE(SUBSTITUTE(SUBSTITUTE($O690,"~","~~"),"*","~*"),"?","~?"))/$C690)</f>
        <v>0.0</v>
      </c>
      <c r="E690" s="10">
        <f>IF($C690=0,"",SUMIFS('DEF_SELF_SCOUT_IMPORT'!$K$42:$K$1040,'DEF_SELF_SCOUT_IMPORT'!$L$42:$L$1040,"Y",'DEF_SELF_SCOUT_IMPORT'!$E$42:$E$1040,SUBSTITUTE(SUBSTITUTE(SUBSTITUTE($B690,"~","~~"),"*","~*"),"?","~?"),'DEF_SELF_SCOUT_IMPORT'!$Q$42:$Q$1040,SUBSTITUTE(SUBSTITUTE(SUBSTITUTE($M690,"~","~~"),"*","~*"),"?","~?"),'DEF_SELF_SCOUT_IMPORT'!$F$42:$F$1040,SUBSTITUTE(SUBSTITUTE(SUBSTITUTE($N690,"~","~~"),"*","~*"),"?","~?"),'DEF_SELF_SCOUT_IMPORT'!$G$42:$G$1040,SUBSTITUTE(SUBSTITUTE(SUBSTITUTE($O690,"~","~~"),"*","~*"),"?","~?"))/$C690)</f>
        <v>0.0</v>
      </c>
      <c r="F690" s="11">
        <f>IF($C690=0,"",AVERAGEIFS('DEF_SELF_SCOUT_IMPORT'!$I$42:$I$1040,'DEF_SELF_SCOUT_IMPORT'!$L$42:$L$1040,"Y",'DEF_SELF_SCOUT_IMPORT'!$E$42:$E$1040,SUBSTITUTE(SUBSTITUTE(SUBSTITUTE($B690,"~","~~"),"*","~*"),"?","~?"),'DEF_SELF_SCOUT_IMPORT'!$Q$42:$Q$1040,SUBSTITUTE(SUBSTITUTE(SUBSTITUTE($M690,"~","~~"),"*","~*"),"?","~?"),'DEF_SELF_SCOUT_IMPORT'!$F$42:$F$1040,SUBSTITUTE(SUBSTITUTE(SUBSTITUTE($N690,"~","~~"),"*","~*"),"?","~?"),'DEF_SELF_SCOUT_IMPORT'!$G$42:$G$1040,SUBSTITUTE(SUBSTITUTE(SUBSTITUTE($O690,"~","~~"),"*","~*"),"?","~?")))</f>
        <v>11.0</v>
      </c>
      <c r="G690" s="10">
        <f>IF($C690=0,"",COUNTIFS('DEF_SELF_SCOUT_IMPORT'!$L$42:$L$1040,"Y",'DEF_SELF_SCOUT_IMPORT'!$E$42:$E$1040,SUBSTITUTE(SUBSTITUTE(SUBSTITUTE($B690,"~","~~"),"*","~*"),"?","~?"),'DEF_SELF_SCOUT_IMPORT'!$Q$42:$Q$1040,SUBSTITUTE(SUBSTITUTE(SUBSTITUTE($M690,"~","~~"),"*","~*"),"?","~?"),'DEF_SELF_SCOUT_IMPORT'!$F$42:$F$1040,SUBSTITUTE(SUBSTITUTE(SUBSTITUTE($N690,"~","~~"),"*","~*"),"?","~?"),'DEF_SELF_SCOUT_IMPORT'!$G$42:$G$1040,SUBSTITUTE(SUBSTITUTE(SUBSTITUTE($O690,"~","~~"),"*","~*"),"?","~?"),'DEF_SELF_SCOUT_IMPORT'!$H$42:$H$1040,"RUSH")/$C690)</f>
        <v>1.0</v>
      </c>
      <c r="H690" s="10">
        <f>IF($C690=0,"",COUNTIFS('DEF_SELF_SCOUT_IMPORT'!$L$42:$L$1040,"Y",'DEF_SELF_SCOUT_IMPORT'!$E$42:$E$1040,SUBSTITUTE(SUBSTITUTE(SUBSTITUTE($B690,"~","~~"),"*","~*"),"?","~?"),'DEF_SELF_SCOUT_IMPORT'!$Q$42:$Q$1040,SUBSTITUTE(SUBSTITUTE(SUBSTITUTE($M690,"~","~~"),"*","~*"),"?","~?"),'DEF_SELF_SCOUT_IMPORT'!$F$42:$F$1040,SUBSTITUTE(SUBSTITUTE(SUBSTITUTE($N690,"~","~~"),"*","~*"),"?","~?"),'DEF_SELF_SCOUT_IMPORT'!$G$42:$G$1040,SUBSTITUTE(SUBSTITUTE(SUBSTITUTE($O690,"~","~~"),"*","~*"),"?","~?"),'DEF_SELF_SCOUT_IMPORT'!$H$42:$H$1040,"DROPBACK")/$C690)</f>
        <v>0.0</v>
      </c>
      <c r="I690" s="14" t="str">
        <f>IF(C690=0,"",IF(C690&lt;=2,"TRACK",IF(C690=3,"LOW",IF(C690&lt;=6,"MEDIUM","HIGH"))))</f>
        <v>TRACK</v>
      </c>
      <c r="J690" s="11">
        <f>IF(C690=0,"",ROUND(D690*70+(1-E690)*20+MAX(0,MIN(1,(10-F690)/10))*10,1))</f>
        <v>20.0</v>
      </c>
      <c r="K690" s="14" t="str">
        <f>IF(C690=0,"No Evidence",IF(C690&lt;=2,IF(E690&gt;0,"Explosive Alert","Track Only"),IF(C690=3,"Sample Watch",IF(E690&gt;=START_HERE!$B$31,"Explosive Alert",IF(J690&gt;=80,"Strong Candidate",IF(J690&gt;=65,"Good Candidate",IF(J690&gt;=50,"Mixed / Review","Problem Call")))))))</f>
        <v>Track Only</v>
      </c>
      <c r="L690" s="9" t="str">
        <f>IF(COUNTIFS('DEF_SELF_SCOUT_IMPORT'!$L$42:$L$1040,"Y",'DEF_SELF_SCOUT_IMPORT'!$E$42:$E$1040,SUBSTITUTE(SUBSTITUTE(SUBSTITUTE($B690,"~","~~"),"*","~*"),"?","~?"),'DEF_SELF_SCOUT_IMPORT'!$Q$42:$Q$1040,SUBSTITUTE(SUBSTITUTE(SUBSTITUTE($M690,"~","~~"),"*","~*"),"?","~?"),'DEF_SELF_SCOUT_IMPORT'!$F$42:$F$1040,SUBSTITUTE(SUBSTITUTE(SUBSTITUTE($N690,"~","~~"),"*","~*"),"?","~?"),'DEF_SELF_SCOUT_IMPORT'!$G$42:$G$1040,SUBSTITUTE(SUBSTITUTE(SUBSTITUTE($O690,"~","~~"),"*","~*"),"?","~?"),'DEF_SELF_SCOUT_IMPORT'!$J$42:$J$1040,"")&gt;0,"Unscored clean outcome; review result tags before using score.",IF(C690=0,"No matching defensive reps; film confirmation needed.",IF(K690="Explosive Alert","Explosive risk; review clips before using as answer.",IF(C690&lt;=2,"Track only; not enough sample.",IF(C690=3,IF(E690&gt;0,"Sample watch with explosive exposure; review clips and build the sample.",IF(J690&gt;=65,"Good signal, but sample is limited.","Sample watch; review clips and build the sample.")),IF(K690="Problem Call","Problem area; practice or call-sheet review.",IF(K690="Strong Candidate","Strong call-fit candidate; confirm on film.",IF(K690="Good Candidate","Good call-fit signal; confirm on film.","Mixed signal; review fit and execution on film."))))))))</f>
        <v>Track only; not enough sample.</v>
      </c>
      <c r="M690" s="8" t="s">
        <v>85</v>
      </c>
      <c r="N690" s="8" t="s">
        <v>120</v>
      </c>
      <c r="O690" s="8" t="s">
        <v>203</v>
      </c>
      <c r="P690" s="8"/>
      <c r="Q690" s="8"/>
      <c r="R690" s="8" t="s">
        <v>28</v>
      </c>
      <c r="S690" s="2" t="s">
        <v>355</v>
      </c>
      <c r="T690" s="2">
        <f>IF(C690=0,0,IF(C690&gt;=CALL_LOOKUP_BOARD!$B$7,IF(OR(K690="Problem Call",K690="Explosive Alert"),10000000,20000000),0)+IF(C690&gt;=CALL_LOOKUP_BOARD!$B$7,J690*1000+MIN(C690,999),C690*1000+J690)+0.00989800)</f>
        <v>1020.009898</v>
      </c>
      <c r="U690" s="2">
        <f>IF(C690=0,"",IF(COUNTIFS($S$589:$S$803,SUBSTITUTE(SUBSTITUTE(SUBSTITUTE(S690,"~","~~"),"*","~*"),"?","~?"),$T$589:$T$803,"&gt;"&amp;T690)=0,S690,""))</f>
        <v/>
      </c>
    </row>
    <row r="691" spans="1:21" ht="38" customHeight="1">
      <c r="A691" s="8" t="s">
        <v>354</v>
      </c>
      <c r="B691" s="8" t="s">
        <v>79</v>
      </c>
      <c r="C691" s="12">
        <f>COUNTIFS('DEF_SELF_SCOUT_IMPORT'!$L$42:$L$1040,"Y",'DEF_SELF_SCOUT_IMPORT'!$E$42:$E$1040,SUBSTITUTE(SUBSTITUTE(SUBSTITUTE($B691,"~","~~"),"*","~*"),"?","~?"),'DEF_SELF_SCOUT_IMPORT'!$Q$42:$Q$1040,SUBSTITUTE(SUBSTITUTE(SUBSTITUTE($M691,"~","~~"),"*","~*"),"?","~?"),'DEF_SELF_SCOUT_IMPORT'!$F$42:$F$1040,SUBSTITUTE(SUBSTITUTE(SUBSTITUTE($N691,"~","~~"),"*","~*"),"?","~?"),'DEF_SELF_SCOUT_IMPORT'!$G$42:$G$1040,SUBSTITUTE(SUBSTITUTE(SUBSTITUTE($O691,"~","~~"),"*","~*"),"?","~?"))</f>
        <v>1</v>
      </c>
      <c r="D691" s="10">
        <f>IF($C691=0,"",SUMIFS('DEF_SELF_SCOUT_IMPORT'!$J$42:$J$1040,'DEF_SELF_SCOUT_IMPORT'!$L$42:$L$1040,"Y",'DEF_SELF_SCOUT_IMPORT'!$E$42:$E$1040,SUBSTITUTE(SUBSTITUTE(SUBSTITUTE($B691,"~","~~"),"*","~*"),"?","~?"),'DEF_SELF_SCOUT_IMPORT'!$Q$42:$Q$1040,SUBSTITUTE(SUBSTITUTE(SUBSTITUTE($M691,"~","~~"),"*","~*"),"?","~?"),'DEF_SELF_SCOUT_IMPORT'!$F$42:$F$1040,SUBSTITUTE(SUBSTITUTE(SUBSTITUTE($N691,"~","~~"),"*","~*"),"?","~?"),'DEF_SELF_SCOUT_IMPORT'!$G$42:$G$1040,SUBSTITUTE(SUBSTITUTE(SUBSTITUTE($O691,"~","~~"),"*","~*"),"?","~?"))/$C691)</f>
        <v>1.0</v>
      </c>
      <c r="E691" s="10">
        <f>IF($C691=0,"",SUMIFS('DEF_SELF_SCOUT_IMPORT'!$K$42:$K$1040,'DEF_SELF_SCOUT_IMPORT'!$L$42:$L$1040,"Y",'DEF_SELF_SCOUT_IMPORT'!$E$42:$E$1040,SUBSTITUTE(SUBSTITUTE(SUBSTITUTE($B691,"~","~~"),"*","~*"),"?","~?"),'DEF_SELF_SCOUT_IMPORT'!$Q$42:$Q$1040,SUBSTITUTE(SUBSTITUTE(SUBSTITUTE($M691,"~","~~"),"*","~*"),"?","~?"),'DEF_SELF_SCOUT_IMPORT'!$F$42:$F$1040,SUBSTITUTE(SUBSTITUTE(SUBSTITUTE($N691,"~","~~"),"*","~*"),"?","~?"),'DEF_SELF_SCOUT_IMPORT'!$G$42:$G$1040,SUBSTITUTE(SUBSTITUTE(SUBSTITUTE($O691,"~","~~"),"*","~*"),"?","~?"))/$C691)</f>
        <v>0.0</v>
      </c>
      <c r="F691" s="11">
        <f>IF($C691=0,"",AVERAGEIFS('DEF_SELF_SCOUT_IMPORT'!$I$42:$I$1040,'DEF_SELF_SCOUT_IMPORT'!$L$42:$L$1040,"Y",'DEF_SELF_SCOUT_IMPORT'!$E$42:$E$1040,SUBSTITUTE(SUBSTITUTE(SUBSTITUTE($B691,"~","~~"),"*","~*"),"?","~?"),'DEF_SELF_SCOUT_IMPORT'!$Q$42:$Q$1040,SUBSTITUTE(SUBSTITUTE(SUBSTITUTE($M691,"~","~~"),"*","~*"),"?","~?"),'DEF_SELF_SCOUT_IMPORT'!$F$42:$F$1040,SUBSTITUTE(SUBSTITUTE(SUBSTITUTE($N691,"~","~~"),"*","~*"),"?","~?"),'DEF_SELF_SCOUT_IMPORT'!$G$42:$G$1040,SUBSTITUTE(SUBSTITUTE(SUBSTITUTE($O691,"~","~~"),"*","~*"),"?","~?")))</f>
        <v>0.0</v>
      </c>
      <c r="G691" s="10">
        <f>IF($C691=0,"",COUNTIFS('DEF_SELF_SCOUT_IMPORT'!$L$42:$L$1040,"Y",'DEF_SELF_SCOUT_IMPORT'!$E$42:$E$1040,SUBSTITUTE(SUBSTITUTE(SUBSTITUTE($B691,"~","~~"),"*","~*"),"?","~?"),'DEF_SELF_SCOUT_IMPORT'!$Q$42:$Q$1040,SUBSTITUTE(SUBSTITUTE(SUBSTITUTE($M691,"~","~~"),"*","~*"),"?","~?"),'DEF_SELF_SCOUT_IMPORT'!$F$42:$F$1040,SUBSTITUTE(SUBSTITUTE(SUBSTITUTE($N691,"~","~~"),"*","~*"),"?","~?"),'DEF_SELF_SCOUT_IMPORT'!$G$42:$G$1040,SUBSTITUTE(SUBSTITUTE(SUBSTITUTE($O691,"~","~~"),"*","~*"),"?","~?"),'DEF_SELF_SCOUT_IMPORT'!$H$42:$H$1040,"RUSH")/$C691)</f>
        <v>0.0</v>
      </c>
      <c r="H691" s="10">
        <f>IF($C691=0,"",COUNTIFS('DEF_SELF_SCOUT_IMPORT'!$L$42:$L$1040,"Y",'DEF_SELF_SCOUT_IMPORT'!$E$42:$E$1040,SUBSTITUTE(SUBSTITUTE(SUBSTITUTE($B691,"~","~~"),"*","~*"),"?","~?"),'DEF_SELF_SCOUT_IMPORT'!$Q$42:$Q$1040,SUBSTITUTE(SUBSTITUTE(SUBSTITUTE($M691,"~","~~"),"*","~*"),"?","~?"),'DEF_SELF_SCOUT_IMPORT'!$F$42:$F$1040,SUBSTITUTE(SUBSTITUTE(SUBSTITUTE($N691,"~","~~"),"*","~*"),"?","~?"),'DEF_SELF_SCOUT_IMPORT'!$G$42:$G$1040,SUBSTITUTE(SUBSTITUTE(SUBSTITUTE($O691,"~","~~"),"*","~*"),"?","~?"),'DEF_SELF_SCOUT_IMPORT'!$H$42:$H$1040,"DROPBACK")/$C691)</f>
        <v>1.0</v>
      </c>
      <c r="I691" s="14" t="str">
        <f>IF(C691=0,"",IF(C691&lt;=2,"TRACK",IF(C691=3,"LOW",IF(C691&lt;=6,"MEDIUM","HIGH"))))</f>
        <v>TRACK</v>
      </c>
      <c r="J691" s="11">
        <f>IF(C691=0,"",ROUND(D691*70+(1-E691)*20+MAX(0,MIN(1,(10-F691)/10))*10,1))</f>
        <v>100.0</v>
      </c>
      <c r="K691" s="14" t="str">
        <f>IF(C691=0,"No Evidence",IF(C691&lt;=2,IF(E691&gt;0,"Explosive Alert","Track Only"),IF(C691=3,"Sample Watch",IF(E691&gt;=START_HERE!$B$31,"Explosive Alert",IF(J691&gt;=80,"Strong Candidate",IF(J691&gt;=65,"Good Candidate",IF(J691&gt;=50,"Mixed / Review","Problem Call")))))))</f>
        <v>Track Only</v>
      </c>
      <c r="L691" s="9" t="str">
        <f>IF(COUNTIFS('DEF_SELF_SCOUT_IMPORT'!$L$42:$L$1040,"Y",'DEF_SELF_SCOUT_IMPORT'!$E$42:$E$1040,SUBSTITUTE(SUBSTITUTE(SUBSTITUTE($B691,"~","~~"),"*","~*"),"?","~?"),'DEF_SELF_SCOUT_IMPORT'!$Q$42:$Q$1040,SUBSTITUTE(SUBSTITUTE(SUBSTITUTE($M691,"~","~~"),"*","~*"),"?","~?"),'DEF_SELF_SCOUT_IMPORT'!$F$42:$F$1040,SUBSTITUTE(SUBSTITUTE(SUBSTITUTE($N691,"~","~~"),"*","~*"),"?","~?"),'DEF_SELF_SCOUT_IMPORT'!$G$42:$G$1040,SUBSTITUTE(SUBSTITUTE(SUBSTITUTE($O691,"~","~~"),"*","~*"),"?","~?"),'DEF_SELF_SCOUT_IMPORT'!$J$42:$J$1040,"")&gt;0,"Unscored clean outcome; review result tags before using score.",IF(C691=0,"No matching defensive reps; film confirmation needed.",IF(K691="Explosive Alert","Explosive risk; review clips before using as answer.",IF(C691&lt;=2,"Track only; not enough sample.",IF(C691=3,IF(E691&gt;0,"Sample watch with explosive exposure; review clips and build the sample.",IF(J691&gt;=65,"Good signal, but sample is limited.","Sample watch; review clips and build the sample.")),IF(K691="Problem Call","Problem area; practice or call-sheet review.",IF(K691="Strong Candidate","Strong call-fit candidate; confirm on film.",IF(K691="Good Candidate","Good call-fit signal; confirm on film.","Mixed signal; review fit and execution on film."))))))))</f>
        <v>Track only; not enough sample.</v>
      </c>
      <c r="M691" s="8" t="s">
        <v>85</v>
      </c>
      <c r="N691" s="8" t="s">
        <v>120</v>
      </c>
      <c r="O691" s="8" t="s">
        <v>203</v>
      </c>
      <c r="P691" s="8"/>
      <c r="Q691" s="8"/>
      <c r="R691" s="8" t="s">
        <v>28</v>
      </c>
      <c r="S691" s="2" t="s">
        <v>355</v>
      </c>
      <c r="T691" s="2">
        <f>IF(C691=0,0,IF(C691&gt;=CALL_LOOKUP_BOARD!$B$7,IF(OR(K691="Problem Call",K691="Explosive Alert"),10000000,20000000),0)+IF(C691&gt;=CALL_LOOKUP_BOARD!$B$7,J691*1000+MIN(C691,999),C691*1000+J691)+0.00989700)</f>
        <v>1100.009897</v>
      </c>
      <c r="U691" s="2" t="str">
        <f>IF(C691=0,"",IF(COUNTIFS($S$589:$S$803,SUBSTITUTE(SUBSTITUTE(SUBSTITUTE(S691,"~","~~"),"*","~*"),"?","~?"),$T$589:$T$803,"&gt;"&amp;T691)=0,S691,""))</f>
        <v>7:2D 7-10|2:11|3:2X2|</v>
      </c>
    </row>
    <row r="692" spans="1:21" ht="38" customHeight="1">
      <c r="A692" s="8" t="s">
        <v>354</v>
      </c>
      <c r="B692" s="8" t="s">
        <v>53</v>
      </c>
      <c r="C692" s="12">
        <f>COUNTIFS('DEF_SELF_SCOUT_IMPORT'!$L$42:$L$1040,"Y",'DEF_SELF_SCOUT_IMPORT'!$E$42:$E$1040,SUBSTITUTE(SUBSTITUTE(SUBSTITUTE($B692,"~","~~"),"*","~*"),"?","~?"),'DEF_SELF_SCOUT_IMPORT'!$Q$42:$Q$1040,SUBSTITUTE(SUBSTITUTE(SUBSTITUTE($M692,"~","~~"),"*","~*"),"?","~?"),'DEF_SELF_SCOUT_IMPORT'!$F$42:$F$1040,SUBSTITUTE(SUBSTITUTE(SUBSTITUTE($N692,"~","~~"),"*","~*"),"?","~?"),'DEF_SELF_SCOUT_IMPORT'!$G$42:$G$1040,SUBSTITUTE(SUBSTITUTE(SUBSTITUTE($O692,"~","~~"),"*","~*"),"?","~?"))</f>
        <v>1</v>
      </c>
      <c r="D692" s="10">
        <f>IF($C692=0,"",SUMIFS('DEF_SELF_SCOUT_IMPORT'!$J$42:$J$1040,'DEF_SELF_SCOUT_IMPORT'!$L$42:$L$1040,"Y",'DEF_SELF_SCOUT_IMPORT'!$E$42:$E$1040,SUBSTITUTE(SUBSTITUTE(SUBSTITUTE($B692,"~","~~"),"*","~*"),"?","~?"),'DEF_SELF_SCOUT_IMPORT'!$Q$42:$Q$1040,SUBSTITUTE(SUBSTITUTE(SUBSTITUTE($M692,"~","~~"),"*","~*"),"?","~?"),'DEF_SELF_SCOUT_IMPORT'!$F$42:$F$1040,SUBSTITUTE(SUBSTITUTE(SUBSTITUTE($N692,"~","~~"),"*","~*"),"?","~?"),'DEF_SELF_SCOUT_IMPORT'!$G$42:$G$1040,SUBSTITUTE(SUBSTITUTE(SUBSTITUTE($O692,"~","~~"),"*","~*"),"?","~?"))/$C692)</f>
        <v>1.0</v>
      </c>
      <c r="E692" s="10">
        <f>IF($C692=0,"",SUMIFS('DEF_SELF_SCOUT_IMPORT'!$K$42:$K$1040,'DEF_SELF_SCOUT_IMPORT'!$L$42:$L$1040,"Y",'DEF_SELF_SCOUT_IMPORT'!$E$42:$E$1040,SUBSTITUTE(SUBSTITUTE(SUBSTITUTE($B692,"~","~~"),"*","~*"),"?","~?"),'DEF_SELF_SCOUT_IMPORT'!$Q$42:$Q$1040,SUBSTITUTE(SUBSTITUTE(SUBSTITUTE($M692,"~","~~"),"*","~*"),"?","~?"),'DEF_SELF_SCOUT_IMPORT'!$F$42:$F$1040,SUBSTITUTE(SUBSTITUTE(SUBSTITUTE($N692,"~","~~"),"*","~*"),"?","~?"),'DEF_SELF_SCOUT_IMPORT'!$G$42:$G$1040,SUBSTITUTE(SUBSTITUTE(SUBSTITUTE($O692,"~","~~"),"*","~*"),"?","~?"))/$C692)</f>
        <v>0.0</v>
      </c>
      <c r="F692" s="11">
        <f>IF($C692=0,"",AVERAGEIFS('DEF_SELF_SCOUT_IMPORT'!$I$42:$I$1040,'DEF_SELF_SCOUT_IMPORT'!$L$42:$L$1040,"Y",'DEF_SELF_SCOUT_IMPORT'!$E$42:$E$1040,SUBSTITUTE(SUBSTITUTE(SUBSTITUTE($B692,"~","~~"),"*","~*"),"?","~?"),'DEF_SELF_SCOUT_IMPORT'!$Q$42:$Q$1040,SUBSTITUTE(SUBSTITUTE(SUBSTITUTE($M692,"~","~~"),"*","~*"),"?","~?"),'DEF_SELF_SCOUT_IMPORT'!$F$42:$F$1040,SUBSTITUTE(SUBSTITUTE(SUBSTITUTE($N692,"~","~~"),"*","~*"),"?","~?"),'DEF_SELF_SCOUT_IMPORT'!$G$42:$G$1040,SUBSTITUTE(SUBSTITUTE(SUBSTITUTE($O692,"~","~~"),"*","~*"),"?","~?")))</f>
        <v>6.0</v>
      </c>
      <c r="G692" s="10">
        <f>IF($C692=0,"",COUNTIFS('DEF_SELF_SCOUT_IMPORT'!$L$42:$L$1040,"Y",'DEF_SELF_SCOUT_IMPORT'!$E$42:$E$1040,SUBSTITUTE(SUBSTITUTE(SUBSTITUTE($B692,"~","~~"),"*","~*"),"?","~?"),'DEF_SELF_SCOUT_IMPORT'!$Q$42:$Q$1040,SUBSTITUTE(SUBSTITUTE(SUBSTITUTE($M692,"~","~~"),"*","~*"),"?","~?"),'DEF_SELF_SCOUT_IMPORT'!$F$42:$F$1040,SUBSTITUTE(SUBSTITUTE(SUBSTITUTE($N692,"~","~~"),"*","~*"),"?","~?"),'DEF_SELF_SCOUT_IMPORT'!$G$42:$G$1040,SUBSTITUTE(SUBSTITUTE(SUBSTITUTE($O692,"~","~~"),"*","~*"),"?","~?"),'DEF_SELF_SCOUT_IMPORT'!$H$42:$H$1040,"RUSH")/$C692)</f>
        <v>0.0</v>
      </c>
      <c r="H692" s="10">
        <f>IF($C692=0,"",COUNTIFS('DEF_SELF_SCOUT_IMPORT'!$L$42:$L$1040,"Y",'DEF_SELF_SCOUT_IMPORT'!$E$42:$E$1040,SUBSTITUTE(SUBSTITUTE(SUBSTITUTE($B692,"~","~~"),"*","~*"),"?","~?"),'DEF_SELF_SCOUT_IMPORT'!$Q$42:$Q$1040,SUBSTITUTE(SUBSTITUTE(SUBSTITUTE($M692,"~","~~"),"*","~*"),"?","~?"),'DEF_SELF_SCOUT_IMPORT'!$F$42:$F$1040,SUBSTITUTE(SUBSTITUTE(SUBSTITUTE($N692,"~","~~"),"*","~*"),"?","~?"),'DEF_SELF_SCOUT_IMPORT'!$G$42:$G$1040,SUBSTITUTE(SUBSTITUTE(SUBSTITUTE($O692,"~","~~"),"*","~*"),"?","~?"),'DEF_SELF_SCOUT_IMPORT'!$H$42:$H$1040,"DROPBACK")/$C692)</f>
        <v>1.0</v>
      </c>
      <c r="I692" s="14" t="str">
        <f>IF(C692=0,"",IF(C692&lt;=2,"TRACK",IF(C692=3,"LOW",IF(C692&lt;=6,"MEDIUM","HIGH"))))</f>
        <v>TRACK</v>
      </c>
      <c r="J692" s="11">
        <f>IF(C692=0,"",ROUND(D692*70+(1-E692)*20+MAX(0,MIN(1,(10-F692)/10))*10,1))</f>
        <v>94.0</v>
      </c>
      <c r="K692" s="14" t="str">
        <f>IF(C692=0,"No Evidence",IF(C692&lt;=2,IF(E692&gt;0,"Explosive Alert","Track Only"),IF(C692=3,"Sample Watch",IF(E692&gt;=START_HERE!$B$31,"Explosive Alert",IF(J692&gt;=80,"Strong Candidate",IF(J692&gt;=65,"Good Candidate",IF(J692&gt;=50,"Mixed / Review","Problem Call")))))))</f>
        <v>Track Only</v>
      </c>
      <c r="L692" s="9" t="str">
        <f>IF(COUNTIFS('DEF_SELF_SCOUT_IMPORT'!$L$42:$L$1040,"Y",'DEF_SELF_SCOUT_IMPORT'!$E$42:$E$1040,SUBSTITUTE(SUBSTITUTE(SUBSTITUTE($B692,"~","~~"),"*","~*"),"?","~?"),'DEF_SELF_SCOUT_IMPORT'!$Q$42:$Q$1040,SUBSTITUTE(SUBSTITUTE(SUBSTITUTE($M692,"~","~~"),"*","~*"),"?","~?"),'DEF_SELF_SCOUT_IMPORT'!$F$42:$F$1040,SUBSTITUTE(SUBSTITUTE(SUBSTITUTE($N692,"~","~~"),"*","~*"),"?","~?"),'DEF_SELF_SCOUT_IMPORT'!$G$42:$G$1040,SUBSTITUTE(SUBSTITUTE(SUBSTITUTE($O692,"~","~~"),"*","~*"),"?","~?"),'DEF_SELF_SCOUT_IMPORT'!$J$42:$J$1040,"")&gt;0,"Unscored clean outcome; review result tags before using score.",IF(C692=0,"No matching defensive reps; film confirmation needed.",IF(K692="Explosive Alert","Explosive risk; review clips before using as answer.",IF(C692&lt;=2,"Track only; not enough sample.",IF(C692=3,IF(E692&gt;0,"Sample watch with explosive exposure; review clips and build the sample.",IF(J692&gt;=65,"Good signal, but sample is limited.","Sample watch; review clips and build the sample.")),IF(K692="Problem Call","Problem area; practice or call-sheet review.",IF(K692="Strong Candidate","Strong call-fit candidate; confirm on film.",IF(K692="Good Candidate","Good call-fit signal; confirm on film.","Mixed signal; review fit and execution on film."))))))))</f>
        <v>Track only; not enough sample.</v>
      </c>
      <c r="M692" s="8" t="s">
        <v>85</v>
      </c>
      <c r="N692" s="8" t="s">
        <v>120</v>
      </c>
      <c r="O692" s="8" t="s">
        <v>203</v>
      </c>
      <c r="P692" s="8"/>
      <c r="Q692" s="8"/>
      <c r="R692" s="8" t="s">
        <v>28</v>
      </c>
      <c r="S692" s="2" t="s">
        <v>355</v>
      </c>
      <c r="T692" s="2">
        <f>IF(C692=0,0,IF(C692&gt;=CALL_LOOKUP_BOARD!$B$7,IF(OR(K692="Problem Call",K692="Explosive Alert"),10000000,20000000),0)+IF(C692&gt;=CALL_LOOKUP_BOARD!$B$7,J692*1000+MIN(C692,999),C692*1000+J692)+0.00989600)</f>
        <v>1094.009896</v>
      </c>
      <c r="U692" s="2">
        <f>IF(C692=0,"",IF(COUNTIFS($S$589:$S$803,SUBSTITUTE(SUBSTITUTE(SUBSTITUTE(S692,"~","~~"),"*","~*"),"?","~?"),$T$589:$T$803,"&gt;"&amp;T692)=0,S692,""))</f>
        <v/>
      </c>
    </row>
    <row r="693" spans="1:21" ht="38" customHeight="1">
      <c r="A693" s="8" t="s">
        <v>354</v>
      </c>
      <c r="B693" s="8" t="s">
        <v>56</v>
      </c>
      <c r="C693" s="12">
        <f>COUNTIFS('DEF_SELF_SCOUT_IMPORT'!$L$42:$L$1040,"Y",'DEF_SELF_SCOUT_IMPORT'!$E$42:$E$1040,SUBSTITUTE(SUBSTITUTE(SUBSTITUTE($B693,"~","~~"),"*","~*"),"?","~?"),'DEF_SELF_SCOUT_IMPORT'!$Q$42:$Q$1040,SUBSTITUTE(SUBSTITUTE(SUBSTITUTE($M693,"~","~~"),"*","~*"),"?","~?"),'DEF_SELF_SCOUT_IMPORT'!$F$42:$F$1040,SUBSTITUTE(SUBSTITUTE(SUBSTITUTE($N693,"~","~~"),"*","~*"),"?","~?"),'DEF_SELF_SCOUT_IMPORT'!$G$42:$G$1040,SUBSTITUTE(SUBSTITUTE(SUBSTITUTE($O693,"~","~~"),"*","~*"),"?","~?"))</f>
        <v>1</v>
      </c>
      <c r="D693" s="10">
        <f>IF($C693=0,"",SUMIFS('DEF_SELF_SCOUT_IMPORT'!$J$42:$J$1040,'DEF_SELF_SCOUT_IMPORT'!$L$42:$L$1040,"Y",'DEF_SELF_SCOUT_IMPORT'!$E$42:$E$1040,SUBSTITUTE(SUBSTITUTE(SUBSTITUTE($B693,"~","~~"),"*","~*"),"?","~?"),'DEF_SELF_SCOUT_IMPORT'!$Q$42:$Q$1040,SUBSTITUTE(SUBSTITUTE(SUBSTITUTE($M693,"~","~~"),"*","~*"),"?","~?"),'DEF_SELF_SCOUT_IMPORT'!$F$42:$F$1040,SUBSTITUTE(SUBSTITUTE(SUBSTITUTE($N693,"~","~~"),"*","~*"),"?","~?"),'DEF_SELF_SCOUT_IMPORT'!$G$42:$G$1040,SUBSTITUTE(SUBSTITUTE(SUBSTITUTE($O693,"~","~~"),"*","~*"),"?","~?"))/$C693)</f>
        <v>0.0</v>
      </c>
      <c r="E693" s="10">
        <f>IF($C693=0,"",SUMIFS('DEF_SELF_SCOUT_IMPORT'!$K$42:$K$1040,'DEF_SELF_SCOUT_IMPORT'!$L$42:$L$1040,"Y",'DEF_SELF_SCOUT_IMPORT'!$E$42:$E$1040,SUBSTITUTE(SUBSTITUTE(SUBSTITUTE($B693,"~","~~"),"*","~*"),"?","~?"),'DEF_SELF_SCOUT_IMPORT'!$Q$42:$Q$1040,SUBSTITUTE(SUBSTITUTE(SUBSTITUTE($M693,"~","~~"),"*","~*"),"?","~?"),'DEF_SELF_SCOUT_IMPORT'!$F$42:$F$1040,SUBSTITUTE(SUBSTITUTE(SUBSTITUTE($N693,"~","~~"),"*","~*"),"?","~?"),'DEF_SELF_SCOUT_IMPORT'!$G$42:$G$1040,SUBSTITUTE(SUBSTITUTE(SUBSTITUTE($O693,"~","~~"),"*","~*"),"?","~?"))/$C693)</f>
        <v>0.0</v>
      </c>
      <c r="F693" s="11">
        <f>IF($C693=0,"",AVERAGEIFS('DEF_SELF_SCOUT_IMPORT'!$I$42:$I$1040,'DEF_SELF_SCOUT_IMPORT'!$L$42:$L$1040,"Y",'DEF_SELF_SCOUT_IMPORT'!$E$42:$E$1040,SUBSTITUTE(SUBSTITUTE(SUBSTITUTE($B693,"~","~~"),"*","~*"),"?","~?"),'DEF_SELF_SCOUT_IMPORT'!$Q$42:$Q$1040,SUBSTITUTE(SUBSTITUTE(SUBSTITUTE($M693,"~","~~"),"*","~*"),"?","~?"),'DEF_SELF_SCOUT_IMPORT'!$F$42:$F$1040,SUBSTITUTE(SUBSTITUTE(SUBSTITUTE($N693,"~","~~"),"*","~*"),"?","~?"),'DEF_SELF_SCOUT_IMPORT'!$G$42:$G$1040,SUBSTITUTE(SUBSTITUTE(SUBSTITUTE($O693,"~","~~"),"*","~*"),"?","~?")))</f>
        <v>9.0</v>
      </c>
      <c r="G693" s="10">
        <f>IF($C693=0,"",COUNTIFS('DEF_SELF_SCOUT_IMPORT'!$L$42:$L$1040,"Y",'DEF_SELF_SCOUT_IMPORT'!$E$42:$E$1040,SUBSTITUTE(SUBSTITUTE(SUBSTITUTE($B693,"~","~~"),"*","~*"),"?","~?"),'DEF_SELF_SCOUT_IMPORT'!$Q$42:$Q$1040,SUBSTITUTE(SUBSTITUTE(SUBSTITUTE($M693,"~","~~"),"*","~*"),"?","~?"),'DEF_SELF_SCOUT_IMPORT'!$F$42:$F$1040,SUBSTITUTE(SUBSTITUTE(SUBSTITUTE($N693,"~","~~"),"*","~*"),"?","~?"),'DEF_SELF_SCOUT_IMPORT'!$G$42:$G$1040,SUBSTITUTE(SUBSTITUTE(SUBSTITUTE($O693,"~","~~"),"*","~*"),"?","~?"),'DEF_SELF_SCOUT_IMPORT'!$H$42:$H$1040,"RUSH")/$C693)</f>
        <v>0.0</v>
      </c>
      <c r="H693" s="10">
        <f>IF($C693=0,"",COUNTIFS('DEF_SELF_SCOUT_IMPORT'!$L$42:$L$1040,"Y",'DEF_SELF_SCOUT_IMPORT'!$E$42:$E$1040,SUBSTITUTE(SUBSTITUTE(SUBSTITUTE($B693,"~","~~"),"*","~*"),"?","~?"),'DEF_SELF_SCOUT_IMPORT'!$Q$42:$Q$1040,SUBSTITUTE(SUBSTITUTE(SUBSTITUTE($M693,"~","~~"),"*","~*"),"?","~?"),'DEF_SELF_SCOUT_IMPORT'!$F$42:$F$1040,SUBSTITUTE(SUBSTITUTE(SUBSTITUTE($N693,"~","~~"),"*","~*"),"?","~?"),'DEF_SELF_SCOUT_IMPORT'!$G$42:$G$1040,SUBSTITUTE(SUBSTITUTE(SUBSTITUTE($O693,"~","~~"),"*","~*"),"?","~?"),'DEF_SELF_SCOUT_IMPORT'!$H$42:$H$1040,"DROPBACK")/$C693)</f>
        <v>1.0</v>
      </c>
      <c r="I693" s="14" t="str">
        <f>IF(C693=0,"",IF(C693&lt;=2,"TRACK",IF(C693=3,"LOW",IF(C693&lt;=6,"MEDIUM","HIGH"))))</f>
        <v>TRACK</v>
      </c>
      <c r="J693" s="11">
        <f>IF(C693=0,"",ROUND(D693*70+(1-E693)*20+MAX(0,MIN(1,(10-F693)/10))*10,1))</f>
        <v>21.0</v>
      </c>
      <c r="K693" s="14" t="str">
        <f>IF(C693=0,"No Evidence",IF(C693&lt;=2,IF(E693&gt;0,"Explosive Alert","Track Only"),IF(C693=3,"Sample Watch",IF(E693&gt;=START_HERE!$B$31,"Explosive Alert",IF(J693&gt;=80,"Strong Candidate",IF(J693&gt;=65,"Good Candidate",IF(J693&gt;=50,"Mixed / Review","Problem Call")))))))</f>
        <v>Track Only</v>
      </c>
      <c r="L693" s="9" t="str">
        <f>IF(COUNTIFS('DEF_SELF_SCOUT_IMPORT'!$L$42:$L$1040,"Y",'DEF_SELF_SCOUT_IMPORT'!$E$42:$E$1040,SUBSTITUTE(SUBSTITUTE(SUBSTITUTE($B693,"~","~~"),"*","~*"),"?","~?"),'DEF_SELF_SCOUT_IMPORT'!$Q$42:$Q$1040,SUBSTITUTE(SUBSTITUTE(SUBSTITUTE($M693,"~","~~"),"*","~*"),"?","~?"),'DEF_SELF_SCOUT_IMPORT'!$F$42:$F$1040,SUBSTITUTE(SUBSTITUTE(SUBSTITUTE($N693,"~","~~"),"*","~*"),"?","~?"),'DEF_SELF_SCOUT_IMPORT'!$G$42:$G$1040,SUBSTITUTE(SUBSTITUTE(SUBSTITUTE($O693,"~","~~"),"*","~*"),"?","~?"),'DEF_SELF_SCOUT_IMPORT'!$J$42:$J$1040,"")&gt;0,"Unscored clean outcome; review result tags before using score.",IF(C693=0,"No matching defensive reps; film confirmation needed.",IF(K693="Explosive Alert","Explosive risk; review clips before using as answer.",IF(C693&lt;=2,"Track only; not enough sample.",IF(C693=3,IF(E693&gt;0,"Sample watch with explosive exposure; review clips and build the sample.",IF(J693&gt;=65,"Good signal, but sample is limited.","Sample watch; review clips and build the sample.")),IF(K693="Problem Call","Problem area; practice or call-sheet review.",IF(K693="Strong Candidate","Strong call-fit candidate; confirm on film.",IF(K693="Good Candidate","Good call-fit signal; confirm on film.","Mixed signal; review fit and execution on film."))))))))</f>
        <v>Track only; not enough sample.</v>
      </c>
      <c r="M693" s="8" t="s">
        <v>85</v>
      </c>
      <c r="N693" s="8" t="s">
        <v>120</v>
      </c>
      <c r="O693" s="8" t="s">
        <v>203</v>
      </c>
      <c r="P693" s="8"/>
      <c r="Q693" s="8"/>
      <c r="R693" s="8" t="s">
        <v>28</v>
      </c>
      <c r="S693" s="2" t="s">
        <v>355</v>
      </c>
      <c r="T693" s="2">
        <f>IF(C693=0,0,IF(C693&gt;=CALL_LOOKUP_BOARD!$B$7,IF(OR(K693="Problem Call",K693="Explosive Alert"),10000000,20000000),0)+IF(C693&gt;=CALL_LOOKUP_BOARD!$B$7,J693*1000+MIN(C693,999),C693*1000+J693)+0.00989500)</f>
        <v>1021.009895</v>
      </c>
      <c r="U693" s="2">
        <f>IF(C693=0,"",IF(COUNTIFS($S$589:$S$803,SUBSTITUTE(SUBSTITUTE(SUBSTITUTE(S693,"~","~~"),"*","~*"),"?","~?"),$T$589:$T$803,"&gt;"&amp;T693)=0,S693,""))</f>
        <v/>
      </c>
    </row>
    <row r="694" spans="1:21" ht="38" customHeight="1">
      <c r="A694" s="8" t="s">
        <v>354</v>
      </c>
      <c r="B694" s="8" t="s">
        <v>60</v>
      </c>
      <c r="C694" s="12">
        <f>COUNTIFS('DEF_SELF_SCOUT_IMPORT'!$L$42:$L$1040,"Y",'DEF_SELF_SCOUT_IMPORT'!$E$42:$E$1040,SUBSTITUTE(SUBSTITUTE(SUBSTITUTE($B694,"~","~~"),"*","~*"),"?","~?"),'DEF_SELF_SCOUT_IMPORT'!$Q$42:$Q$1040,SUBSTITUTE(SUBSTITUTE(SUBSTITUTE($M694,"~","~~"),"*","~*"),"?","~?"),'DEF_SELF_SCOUT_IMPORT'!$F$42:$F$1040,SUBSTITUTE(SUBSTITUTE(SUBSTITUTE($N694,"~","~~"),"*","~*"),"?","~?"),'DEF_SELF_SCOUT_IMPORT'!$G$42:$G$1040,SUBSTITUTE(SUBSTITUTE(SUBSTITUTE($O694,"~","~~"),"*","~*"),"?","~?"))</f>
        <v>1</v>
      </c>
      <c r="D694" s="10">
        <f>IF($C694=0,"",SUMIFS('DEF_SELF_SCOUT_IMPORT'!$J$42:$J$1040,'DEF_SELF_SCOUT_IMPORT'!$L$42:$L$1040,"Y",'DEF_SELF_SCOUT_IMPORT'!$E$42:$E$1040,SUBSTITUTE(SUBSTITUTE(SUBSTITUTE($B694,"~","~~"),"*","~*"),"?","~?"),'DEF_SELF_SCOUT_IMPORT'!$Q$42:$Q$1040,SUBSTITUTE(SUBSTITUTE(SUBSTITUTE($M694,"~","~~"),"*","~*"),"?","~?"),'DEF_SELF_SCOUT_IMPORT'!$F$42:$F$1040,SUBSTITUTE(SUBSTITUTE(SUBSTITUTE($N694,"~","~~"),"*","~*"),"?","~?"),'DEF_SELF_SCOUT_IMPORT'!$G$42:$G$1040,SUBSTITUTE(SUBSTITUTE(SUBSTITUTE($O694,"~","~~"),"*","~*"),"?","~?"))/$C694)</f>
        <v>1.0</v>
      </c>
      <c r="E694" s="10">
        <f>IF($C694=0,"",SUMIFS('DEF_SELF_SCOUT_IMPORT'!$K$42:$K$1040,'DEF_SELF_SCOUT_IMPORT'!$L$42:$L$1040,"Y",'DEF_SELF_SCOUT_IMPORT'!$E$42:$E$1040,SUBSTITUTE(SUBSTITUTE(SUBSTITUTE($B694,"~","~~"),"*","~*"),"?","~?"),'DEF_SELF_SCOUT_IMPORT'!$Q$42:$Q$1040,SUBSTITUTE(SUBSTITUTE(SUBSTITUTE($M694,"~","~~"),"*","~*"),"?","~?"),'DEF_SELF_SCOUT_IMPORT'!$F$42:$F$1040,SUBSTITUTE(SUBSTITUTE(SUBSTITUTE($N694,"~","~~"),"*","~*"),"?","~?"),'DEF_SELF_SCOUT_IMPORT'!$G$42:$G$1040,SUBSTITUTE(SUBSTITUTE(SUBSTITUTE($O694,"~","~~"),"*","~*"),"?","~?"))/$C694)</f>
        <v>0.0</v>
      </c>
      <c r="F694" s="11">
        <f>IF($C694=0,"",AVERAGEIFS('DEF_SELF_SCOUT_IMPORT'!$I$42:$I$1040,'DEF_SELF_SCOUT_IMPORT'!$L$42:$L$1040,"Y",'DEF_SELF_SCOUT_IMPORT'!$E$42:$E$1040,SUBSTITUTE(SUBSTITUTE(SUBSTITUTE($B694,"~","~~"),"*","~*"),"?","~?"),'DEF_SELF_SCOUT_IMPORT'!$Q$42:$Q$1040,SUBSTITUTE(SUBSTITUTE(SUBSTITUTE($M694,"~","~~"),"*","~*"),"?","~?"),'DEF_SELF_SCOUT_IMPORT'!$F$42:$F$1040,SUBSTITUTE(SUBSTITUTE(SUBSTITUTE($N694,"~","~~"),"*","~*"),"?","~?"),'DEF_SELF_SCOUT_IMPORT'!$G$42:$G$1040,SUBSTITUTE(SUBSTITUTE(SUBSTITUTE($O694,"~","~~"),"*","~*"),"?","~?")))</f>
        <v>0.0</v>
      </c>
      <c r="G694" s="10">
        <f>IF($C694=0,"",COUNTIFS('DEF_SELF_SCOUT_IMPORT'!$L$42:$L$1040,"Y",'DEF_SELF_SCOUT_IMPORT'!$E$42:$E$1040,SUBSTITUTE(SUBSTITUTE(SUBSTITUTE($B694,"~","~~"),"*","~*"),"?","~?"),'DEF_SELF_SCOUT_IMPORT'!$Q$42:$Q$1040,SUBSTITUTE(SUBSTITUTE(SUBSTITUTE($M694,"~","~~"),"*","~*"),"?","~?"),'DEF_SELF_SCOUT_IMPORT'!$F$42:$F$1040,SUBSTITUTE(SUBSTITUTE(SUBSTITUTE($N694,"~","~~"),"*","~*"),"?","~?"),'DEF_SELF_SCOUT_IMPORT'!$G$42:$G$1040,SUBSTITUTE(SUBSTITUTE(SUBSTITUTE($O694,"~","~~"),"*","~*"),"?","~?"),'DEF_SELF_SCOUT_IMPORT'!$H$42:$H$1040,"RUSH")/$C694)</f>
        <v>1.0</v>
      </c>
      <c r="H694" s="10">
        <f>IF($C694=0,"",COUNTIFS('DEF_SELF_SCOUT_IMPORT'!$L$42:$L$1040,"Y",'DEF_SELF_SCOUT_IMPORT'!$E$42:$E$1040,SUBSTITUTE(SUBSTITUTE(SUBSTITUTE($B694,"~","~~"),"*","~*"),"?","~?"),'DEF_SELF_SCOUT_IMPORT'!$Q$42:$Q$1040,SUBSTITUTE(SUBSTITUTE(SUBSTITUTE($M694,"~","~~"),"*","~*"),"?","~?"),'DEF_SELF_SCOUT_IMPORT'!$F$42:$F$1040,SUBSTITUTE(SUBSTITUTE(SUBSTITUTE($N694,"~","~~"),"*","~*"),"?","~?"),'DEF_SELF_SCOUT_IMPORT'!$G$42:$G$1040,SUBSTITUTE(SUBSTITUTE(SUBSTITUTE($O694,"~","~~"),"*","~*"),"?","~?"),'DEF_SELF_SCOUT_IMPORT'!$H$42:$H$1040,"DROPBACK")/$C694)</f>
        <v>0.0</v>
      </c>
      <c r="I694" s="14" t="str">
        <f>IF(C694=0,"",IF(C694&lt;=2,"TRACK",IF(C694=3,"LOW",IF(C694&lt;=6,"MEDIUM","HIGH"))))</f>
        <v>TRACK</v>
      </c>
      <c r="J694" s="11">
        <f>IF(C694=0,"",ROUND(D694*70+(1-E694)*20+MAX(0,MIN(1,(10-F694)/10))*10,1))</f>
        <v>100.0</v>
      </c>
      <c r="K694" s="14" t="str">
        <f>IF(C694=0,"No Evidence",IF(C694&lt;=2,IF(E694&gt;0,"Explosive Alert","Track Only"),IF(C694=3,"Sample Watch",IF(E694&gt;=START_HERE!$B$31,"Explosive Alert",IF(J694&gt;=80,"Strong Candidate",IF(J694&gt;=65,"Good Candidate",IF(J694&gt;=50,"Mixed / Review","Problem Call")))))))</f>
        <v>Track Only</v>
      </c>
      <c r="L694" s="9" t="str">
        <f>IF(COUNTIFS('DEF_SELF_SCOUT_IMPORT'!$L$42:$L$1040,"Y",'DEF_SELF_SCOUT_IMPORT'!$E$42:$E$1040,SUBSTITUTE(SUBSTITUTE(SUBSTITUTE($B694,"~","~~"),"*","~*"),"?","~?"),'DEF_SELF_SCOUT_IMPORT'!$Q$42:$Q$1040,SUBSTITUTE(SUBSTITUTE(SUBSTITUTE($M694,"~","~~"),"*","~*"),"?","~?"),'DEF_SELF_SCOUT_IMPORT'!$F$42:$F$1040,SUBSTITUTE(SUBSTITUTE(SUBSTITUTE($N694,"~","~~"),"*","~*"),"?","~?"),'DEF_SELF_SCOUT_IMPORT'!$G$42:$G$1040,SUBSTITUTE(SUBSTITUTE(SUBSTITUTE($O694,"~","~~"),"*","~*"),"?","~?"),'DEF_SELF_SCOUT_IMPORT'!$J$42:$J$1040,"")&gt;0,"Unscored clean outcome; review result tags before using score.",IF(C694=0,"No matching defensive reps; film confirmation needed.",IF(K694="Explosive Alert","Explosive risk; review clips before using as answer.",IF(C694&lt;=2,"Track only; not enough sample.",IF(C694=3,IF(E694&gt;0,"Sample watch with explosive exposure; review clips and build the sample.",IF(J694&gt;=65,"Good signal, but sample is limited.","Sample watch; review clips and build the sample.")),IF(K694="Problem Call","Problem area; practice or call-sheet review.",IF(K694="Strong Candidate","Strong call-fit candidate; confirm on film.",IF(K694="Good Candidate","Good call-fit signal; confirm on film.","Mixed signal; review fit and execution on film."))))))))</f>
        <v>Track only; not enough sample.</v>
      </c>
      <c r="M694" s="8" t="s">
        <v>85</v>
      </c>
      <c r="N694" s="8" t="s">
        <v>120</v>
      </c>
      <c r="O694" s="8" t="s">
        <v>203</v>
      </c>
      <c r="P694" s="8"/>
      <c r="Q694" s="8"/>
      <c r="R694" s="8" t="s">
        <v>28</v>
      </c>
      <c r="S694" s="2" t="s">
        <v>355</v>
      </c>
      <c r="T694" s="2">
        <f>IF(C694=0,0,IF(C694&gt;=CALL_LOOKUP_BOARD!$B$7,IF(OR(K694="Problem Call",K694="Explosive Alert"),10000000,20000000),0)+IF(C694&gt;=CALL_LOOKUP_BOARD!$B$7,J694*1000+MIN(C694,999),C694*1000+J694)+0.00989400)</f>
        <v>1100.009894</v>
      </c>
      <c r="U694" s="2">
        <f>IF(C694=0,"",IF(COUNTIFS($S$589:$S$803,SUBSTITUTE(SUBSTITUTE(SUBSTITUTE(S694,"~","~~"),"*","~*"),"?","~?"),$T$589:$T$803,"&gt;"&amp;T694)=0,S694,""))</f>
        <v/>
      </c>
    </row>
    <row r="695" spans="1:21" ht="38" customHeight="1">
      <c r="A695" s="8" t="s">
        <v>354</v>
      </c>
      <c r="B695" s="8" t="s">
        <v>73</v>
      </c>
      <c r="C695" s="12">
        <f>COUNTIFS('DEF_SELF_SCOUT_IMPORT'!$L$42:$L$1040,"Y",'DEF_SELF_SCOUT_IMPORT'!$E$42:$E$1040,SUBSTITUTE(SUBSTITUTE(SUBSTITUTE($B695,"~","~~"),"*","~*"),"?","~?"),'DEF_SELF_SCOUT_IMPORT'!$Q$42:$Q$1040,SUBSTITUTE(SUBSTITUTE(SUBSTITUTE($M695,"~","~~"),"*","~*"),"?","~?"),'DEF_SELF_SCOUT_IMPORT'!$F$42:$F$1040,SUBSTITUTE(SUBSTITUTE(SUBSTITUTE($N695,"~","~~"),"*","~*"),"?","~?"),'DEF_SELF_SCOUT_IMPORT'!$G$42:$G$1040,SUBSTITUTE(SUBSTITUTE(SUBSTITUTE($O695,"~","~~"),"*","~*"),"?","~?"))</f>
        <v>1</v>
      </c>
      <c r="D695" s="10">
        <f>IF($C695=0,"",SUMIFS('DEF_SELF_SCOUT_IMPORT'!$J$42:$J$1040,'DEF_SELF_SCOUT_IMPORT'!$L$42:$L$1040,"Y",'DEF_SELF_SCOUT_IMPORT'!$E$42:$E$1040,SUBSTITUTE(SUBSTITUTE(SUBSTITUTE($B695,"~","~~"),"*","~*"),"?","~?"),'DEF_SELF_SCOUT_IMPORT'!$Q$42:$Q$1040,SUBSTITUTE(SUBSTITUTE(SUBSTITUTE($M695,"~","~~"),"*","~*"),"?","~?"),'DEF_SELF_SCOUT_IMPORT'!$F$42:$F$1040,SUBSTITUTE(SUBSTITUTE(SUBSTITUTE($N695,"~","~~"),"*","~*"),"?","~?"),'DEF_SELF_SCOUT_IMPORT'!$G$42:$G$1040,SUBSTITUTE(SUBSTITUTE(SUBSTITUTE($O695,"~","~~"),"*","~*"),"?","~?"))/$C695)</f>
        <v>0.0</v>
      </c>
      <c r="E695" s="10">
        <f>IF($C695=0,"",SUMIFS('DEF_SELF_SCOUT_IMPORT'!$K$42:$K$1040,'DEF_SELF_SCOUT_IMPORT'!$L$42:$L$1040,"Y",'DEF_SELF_SCOUT_IMPORT'!$E$42:$E$1040,SUBSTITUTE(SUBSTITUTE(SUBSTITUTE($B695,"~","~~"),"*","~*"),"?","~?"),'DEF_SELF_SCOUT_IMPORT'!$Q$42:$Q$1040,SUBSTITUTE(SUBSTITUTE(SUBSTITUTE($M695,"~","~~"),"*","~*"),"?","~?"),'DEF_SELF_SCOUT_IMPORT'!$F$42:$F$1040,SUBSTITUTE(SUBSTITUTE(SUBSTITUTE($N695,"~","~~"),"*","~*"),"?","~?"),'DEF_SELF_SCOUT_IMPORT'!$G$42:$G$1040,SUBSTITUTE(SUBSTITUTE(SUBSTITUTE($O695,"~","~~"),"*","~*"),"?","~?"))/$C695)</f>
        <v>1.0</v>
      </c>
      <c r="F695" s="11">
        <f>IF($C695=0,"",AVERAGEIFS('DEF_SELF_SCOUT_IMPORT'!$I$42:$I$1040,'DEF_SELF_SCOUT_IMPORT'!$L$42:$L$1040,"Y",'DEF_SELF_SCOUT_IMPORT'!$E$42:$E$1040,SUBSTITUTE(SUBSTITUTE(SUBSTITUTE($B695,"~","~~"),"*","~*"),"?","~?"),'DEF_SELF_SCOUT_IMPORT'!$Q$42:$Q$1040,SUBSTITUTE(SUBSTITUTE(SUBSTITUTE($M695,"~","~~"),"*","~*"),"?","~?"),'DEF_SELF_SCOUT_IMPORT'!$F$42:$F$1040,SUBSTITUTE(SUBSTITUTE(SUBSTITUTE($N695,"~","~~"),"*","~*"),"?","~?"),'DEF_SELF_SCOUT_IMPORT'!$G$42:$G$1040,SUBSTITUTE(SUBSTITUTE(SUBSTITUTE($O695,"~","~~"),"*","~*"),"?","~?")))</f>
        <v>16.0</v>
      </c>
      <c r="G695" s="10">
        <f>IF($C695=0,"",COUNTIFS('DEF_SELF_SCOUT_IMPORT'!$L$42:$L$1040,"Y",'DEF_SELF_SCOUT_IMPORT'!$E$42:$E$1040,SUBSTITUTE(SUBSTITUTE(SUBSTITUTE($B695,"~","~~"),"*","~*"),"?","~?"),'DEF_SELF_SCOUT_IMPORT'!$Q$42:$Q$1040,SUBSTITUTE(SUBSTITUTE(SUBSTITUTE($M695,"~","~~"),"*","~*"),"?","~?"),'DEF_SELF_SCOUT_IMPORT'!$F$42:$F$1040,SUBSTITUTE(SUBSTITUTE(SUBSTITUTE($N695,"~","~~"),"*","~*"),"?","~?"),'DEF_SELF_SCOUT_IMPORT'!$G$42:$G$1040,SUBSTITUTE(SUBSTITUTE(SUBSTITUTE($O695,"~","~~"),"*","~*"),"?","~?"),'DEF_SELF_SCOUT_IMPORT'!$H$42:$H$1040,"RUSH")/$C695)</f>
        <v>0.0</v>
      </c>
      <c r="H695" s="10">
        <f>IF($C695=0,"",COUNTIFS('DEF_SELF_SCOUT_IMPORT'!$L$42:$L$1040,"Y",'DEF_SELF_SCOUT_IMPORT'!$E$42:$E$1040,SUBSTITUTE(SUBSTITUTE(SUBSTITUTE($B695,"~","~~"),"*","~*"),"?","~?"),'DEF_SELF_SCOUT_IMPORT'!$Q$42:$Q$1040,SUBSTITUTE(SUBSTITUTE(SUBSTITUTE($M695,"~","~~"),"*","~*"),"?","~?"),'DEF_SELF_SCOUT_IMPORT'!$F$42:$F$1040,SUBSTITUTE(SUBSTITUTE(SUBSTITUTE($N695,"~","~~"),"*","~*"),"?","~?"),'DEF_SELF_SCOUT_IMPORT'!$G$42:$G$1040,SUBSTITUTE(SUBSTITUTE(SUBSTITUTE($O695,"~","~~"),"*","~*"),"?","~?"),'DEF_SELF_SCOUT_IMPORT'!$H$42:$H$1040,"DROPBACK")/$C695)</f>
        <v>1.0</v>
      </c>
      <c r="I695" s="14" t="str">
        <f>IF(C695=0,"",IF(C695&lt;=2,"TRACK",IF(C695=3,"LOW",IF(C695&lt;=6,"MEDIUM","HIGH"))))</f>
        <v>TRACK</v>
      </c>
      <c r="J695" s="11">
        <f>IF(C695=0,"",ROUND(D695*70+(1-E695)*20+MAX(0,MIN(1,(10-F695)/10))*10,1))</f>
        <v>0.0</v>
      </c>
      <c r="K695" s="14" t="str">
        <f>IF(C695=0,"No Evidence",IF(C695&lt;=2,IF(E695&gt;0,"Explosive Alert","Track Only"),IF(C695=3,"Sample Watch",IF(E695&gt;=START_HERE!$B$31,"Explosive Alert",IF(J695&gt;=80,"Strong Candidate",IF(J695&gt;=65,"Good Candidate",IF(J695&gt;=50,"Mixed / Review","Problem Call")))))))</f>
        <v>Explosive Alert</v>
      </c>
      <c r="L695" s="9" t="str">
        <f>IF(COUNTIFS('DEF_SELF_SCOUT_IMPORT'!$L$42:$L$1040,"Y",'DEF_SELF_SCOUT_IMPORT'!$E$42:$E$1040,SUBSTITUTE(SUBSTITUTE(SUBSTITUTE($B695,"~","~~"),"*","~*"),"?","~?"),'DEF_SELF_SCOUT_IMPORT'!$Q$42:$Q$1040,SUBSTITUTE(SUBSTITUTE(SUBSTITUTE($M695,"~","~~"),"*","~*"),"?","~?"),'DEF_SELF_SCOUT_IMPORT'!$F$42:$F$1040,SUBSTITUTE(SUBSTITUTE(SUBSTITUTE($N695,"~","~~"),"*","~*"),"?","~?"),'DEF_SELF_SCOUT_IMPORT'!$G$42:$G$1040,SUBSTITUTE(SUBSTITUTE(SUBSTITUTE($O695,"~","~~"),"*","~*"),"?","~?"),'DEF_SELF_SCOUT_IMPORT'!$J$42:$J$1040,"")&gt;0,"Unscored clean outcome; review result tags before using score.",IF(C695=0,"No matching defensive reps; film confirmation needed.",IF(K695="Explosive Alert","Explosive risk; review clips before using as answer.",IF(C695&lt;=2,"Track only; not enough sample.",IF(C695=3,IF(E695&gt;0,"Sample watch with explosive exposure; review clips and build the sample.",IF(J695&gt;=65,"Good signal, but sample is limited.","Sample watch; review clips and build the sample.")),IF(K695="Problem Call","Problem area; practice or call-sheet review.",IF(K695="Strong Candidate","Strong call-fit candidate; confirm on film.",IF(K695="Good Candidate","Good call-fit signal; confirm on film.","Mixed signal; review fit and execution on film."))))))))</f>
        <v>Explosive risk; review clips before using as answer.</v>
      </c>
      <c r="M695" s="8" t="s">
        <v>85</v>
      </c>
      <c r="N695" s="8" t="s">
        <v>120</v>
      </c>
      <c r="O695" s="8" t="s">
        <v>203</v>
      </c>
      <c r="P695" s="8"/>
      <c r="Q695" s="8"/>
      <c r="R695" s="8" t="s">
        <v>28</v>
      </c>
      <c r="S695" s="2" t="s">
        <v>355</v>
      </c>
      <c r="T695" s="2">
        <f>IF(C695=0,0,IF(C695&gt;=CALL_LOOKUP_BOARD!$B$7,IF(OR(K695="Problem Call",K695="Explosive Alert"),10000000,20000000),0)+IF(C695&gt;=CALL_LOOKUP_BOARD!$B$7,J695*1000+MIN(C695,999),C695*1000+J695)+0.00989300)</f>
        <v>1000.009893</v>
      </c>
      <c r="U695" s="2">
        <f>IF(C695=0,"",IF(COUNTIFS($S$589:$S$803,SUBSTITUTE(SUBSTITUTE(SUBSTITUTE(S695,"~","~~"),"*","~*"),"?","~?"),$T$589:$T$803,"&gt;"&amp;T695)=0,S695,""))</f>
        <v/>
      </c>
    </row>
    <row r="696" spans="1:21" ht="38" customHeight="1">
      <c r="A696" s="8" t="s">
        <v>354</v>
      </c>
      <c r="B696" s="8" t="s">
        <v>63</v>
      </c>
      <c r="C696" s="12">
        <f>COUNTIFS('DEF_SELF_SCOUT_IMPORT'!$L$42:$L$1040,"Y",'DEF_SELF_SCOUT_IMPORT'!$E$42:$E$1040,SUBSTITUTE(SUBSTITUTE(SUBSTITUTE($B696,"~","~~"),"*","~*"),"?","~?"),'DEF_SELF_SCOUT_IMPORT'!$Q$42:$Q$1040,SUBSTITUTE(SUBSTITUTE(SUBSTITUTE($M696,"~","~~"),"*","~*"),"?","~?"),'DEF_SELF_SCOUT_IMPORT'!$F$42:$F$1040,SUBSTITUTE(SUBSTITUTE(SUBSTITUTE($N696,"~","~~"),"*","~*"),"?","~?"),'DEF_SELF_SCOUT_IMPORT'!$G$42:$G$1040,SUBSTITUTE(SUBSTITUTE(SUBSTITUTE($O696,"~","~~"),"*","~*"),"?","~?"))</f>
        <v>1</v>
      </c>
      <c r="D696" s="10">
        <f>IF($C696=0,"",SUMIFS('DEF_SELF_SCOUT_IMPORT'!$J$42:$J$1040,'DEF_SELF_SCOUT_IMPORT'!$L$42:$L$1040,"Y",'DEF_SELF_SCOUT_IMPORT'!$E$42:$E$1040,SUBSTITUTE(SUBSTITUTE(SUBSTITUTE($B696,"~","~~"),"*","~*"),"?","~?"),'DEF_SELF_SCOUT_IMPORT'!$Q$42:$Q$1040,SUBSTITUTE(SUBSTITUTE(SUBSTITUTE($M696,"~","~~"),"*","~*"),"?","~?"),'DEF_SELF_SCOUT_IMPORT'!$F$42:$F$1040,SUBSTITUTE(SUBSTITUTE(SUBSTITUTE($N696,"~","~~"),"*","~*"),"?","~?"),'DEF_SELF_SCOUT_IMPORT'!$G$42:$G$1040,SUBSTITUTE(SUBSTITUTE(SUBSTITUTE($O696,"~","~~"),"*","~*"),"?","~?"))/$C696)</f>
        <v>1.0</v>
      </c>
      <c r="E696" s="10">
        <f>IF($C696=0,"",SUMIFS('DEF_SELF_SCOUT_IMPORT'!$K$42:$K$1040,'DEF_SELF_SCOUT_IMPORT'!$L$42:$L$1040,"Y",'DEF_SELF_SCOUT_IMPORT'!$E$42:$E$1040,SUBSTITUTE(SUBSTITUTE(SUBSTITUTE($B696,"~","~~"),"*","~*"),"?","~?"),'DEF_SELF_SCOUT_IMPORT'!$Q$42:$Q$1040,SUBSTITUTE(SUBSTITUTE(SUBSTITUTE($M696,"~","~~"),"*","~*"),"?","~?"),'DEF_SELF_SCOUT_IMPORT'!$F$42:$F$1040,SUBSTITUTE(SUBSTITUTE(SUBSTITUTE($N696,"~","~~"),"*","~*"),"?","~?"),'DEF_SELF_SCOUT_IMPORT'!$G$42:$G$1040,SUBSTITUTE(SUBSTITUTE(SUBSTITUTE($O696,"~","~~"),"*","~*"),"?","~?"))/$C696)</f>
        <v>0.0</v>
      </c>
      <c r="F696" s="11">
        <f>IF($C696=0,"",AVERAGEIFS('DEF_SELF_SCOUT_IMPORT'!$I$42:$I$1040,'DEF_SELF_SCOUT_IMPORT'!$L$42:$L$1040,"Y",'DEF_SELF_SCOUT_IMPORT'!$E$42:$E$1040,SUBSTITUTE(SUBSTITUTE(SUBSTITUTE($B696,"~","~~"),"*","~*"),"?","~?"),'DEF_SELF_SCOUT_IMPORT'!$Q$42:$Q$1040,SUBSTITUTE(SUBSTITUTE(SUBSTITUTE($M696,"~","~~"),"*","~*"),"?","~?"),'DEF_SELF_SCOUT_IMPORT'!$F$42:$F$1040,SUBSTITUTE(SUBSTITUTE(SUBSTITUTE($N696,"~","~~"),"*","~*"),"?","~?"),'DEF_SELF_SCOUT_IMPORT'!$G$42:$G$1040,SUBSTITUTE(SUBSTITUTE(SUBSTITUTE($O696,"~","~~"),"*","~*"),"?","~?")))</f>
        <v>0.0</v>
      </c>
      <c r="G696" s="10">
        <f>IF($C696=0,"",COUNTIFS('DEF_SELF_SCOUT_IMPORT'!$L$42:$L$1040,"Y",'DEF_SELF_SCOUT_IMPORT'!$E$42:$E$1040,SUBSTITUTE(SUBSTITUTE(SUBSTITUTE($B696,"~","~~"),"*","~*"),"?","~?"),'DEF_SELF_SCOUT_IMPORT'!$Q$42:$Q$1040,SUBSTITUTE(SUBSTITUTE(SUBSTITUTE($M696,"~","~~"),"*","~*"),"?","~?"),'DEF_SELF_SCOUT_IMPORT'!$F$42:$F$1040,SUBSTITUTE(SUBSTITUTE(SUBSTITUTE($N696,"~","~~"),"*","~*"),"?","~?"),'DEF_SELF_SCOUT_IMPORT'!$G$42:$G$1040,SUBSTITUTE(SUBSTITUTE(SUBSTITUTE($O696,"~","~~"),"*","~*"),"?","~?"),'DEF_SELF_SCOUT_IMPORT'!$H$42:$H$1040,"RUSH")/$C696)</f>
        <v>0.0</v>
      </c>
      <c r="H696" s="10">
        <f>IF($C696=0,"",COUNTIFS('DEF_SELF_SCOUT_IMPORT'!$L$42:$L$1040,"Y",'DEF_SELF_SCOUT_IMPORT'!$E$42:$E$1040,SUBSTITUTE(SUBSTITUTE(SUBSTITUTE($B696,"~","~~"),"*","~*"),"?","~?"),'DEF_SELF_SCOUT_IMPORT'!$Q$42:$Q$1040,SUBSTITUTE(SUBSTITUTE(SUBSTITUTE($M696,"~","~~"),"*","~*"),"?","~?"),'DEF_SELF_SCOUT_IMPORT'!$F$42:$F$1040,SUBSTITUTE(SUBSTITUTE(SUBSTITUTE($N696,"~","~~"),"*","~*"),"?","~?"),'DEF_SELF_SCOUT_IMPORT'!$G$42:$G$1040,SUBSTITUTE(SUBSTITUTE(SUBSTITUTE($O696,"~","~~"),"*","~*"),"?","~?"),'DEF_SELF_SCOUT_IMPORT'!$H$42:$H$1040,"DROPBACK")/$C696)</f>
        <v>1.0</v>
      </c>
      <c r="I696" s="14" t="str">
        <f>IF(C696=0,"",IF(C696&lt;=2,"TRACK",IF(C696=3,"LOW",IF(C696&lt;=6,"MEDIUM","HIGH"))))</f>
        <v>TRACK</v>
      </c>
      <c r="J696" s="11">
        <f>IF(C696=0,"",ROUND(D696*70+(1-E696)*20+MAX(0,MIN(1,(10-F696)/10))*10,1))</f>
        <v>100.0</v>
      </c>
      <c r="K696" s="14" t="str">
        <f>IF(C696=0,"No Evidence",IF(C696&lt;=2,IF(E696&gt;0,"Explosive Alert","Track Only"),IF(C696=3,"Sample Watch",IF(E696&gt;=START_HERE!$B$31,"Explosive Alert",IF(J696&gt;=80,"Strong Candidate",IF(J696&gt;=65,"Good Candidate",IF(J696&gt;=50,"Mixed / Review","Problem Call")))))))</f>
        <v>Track Only</v>
      </c>
      <c r="L696" s="9" t="str">
        <f>IF(COUNTIFS('DEF_SELF_SCOUT_IMPORT'!$L$42:$L$1040,"Y",'DEF_SELF_SCOUT_IMPORT'!$E$42:$E$1040,SUBSTITUTE(SUBSTITUTE(SUBSTITUTE($B696,"~","~~"),"*","~*"),"?","~?"),'DEF_SELF_SCOUT_IMPORT'!$Q$42:$Q$1040,SUBSTITUTE(SUBSTITUTE(SUBSTITUTE($M696,"~","~~"),"*","~*"),"?","~?"),'DEF_SELF_SCOUT_IMPORT'!$F$42:$F$1040,SUBSTITUTE(SUBSTITUTE(SUBSTITUTE($N696,"~","~~"),"*","~*"),"?","~?"),'DEF_SELF_SCOUT_IMPORT'!$G$42:$G$1040,SUBSTITUTE(SUBSTITUTE(SUBSTITUTE($O696,"~","~~"),"*","~*"),"?","~?"),'DEF_SELF_SCOUT_IMPORT'!$J$42:$J$1040,"")&gt;0,"Unscored clean outcome; review result tags before using score.",IF(C696=0,"No matching defensive reps; film confirmation needed.",IF(K696="Explosive Alert","Explosive risk; review clips before using as answer.",IF(C696&lt;=2,"Track only; not enough sample.",IF(C696=3,IF(E696&gt;0,"Sample watch with explosive exposure; review clips and build the sample.",IF(J696&gt;=65,"Good signal, but sample is limited.","Sample watch; review clips and build the sample.")),IF(K696="Problem Call","Problem area; practice or call-sheet review.",IF(K696="Strong Candidate","Strong call-fit candidate; confirm on film.",IF(K696="Good Candidate","Good call-fit signal; confirm on film.","Mixed signal; review fit and execution on film."))))))))</f>
        <v>Track only; not enough sample.</v>
      </c>
      <c r="M696" s="8" t="s">
        <v>85</v>
      </c>
      <c r="N696" s="8" t="s">
        <v>120</v>
      </c>
      <c r="O696" s="8" t="s">
        <v>203</v>
      </c>
      <c r="P696" s="8"/>
      <c r="Q696" s="8"/>
      <c r="R696" s="8" t="s">
        <v>28</v>
      </c>
      <c r="S696" s="2" t="s">
        <v>355</v>
      </c>
      <c r="T696" s="2">
        <f>IF(C696=0,0,IF(C696&gt;=CALL_LOOKUP_BOARD!$B$7,IF(OR(K696="Problem Call",K696="Explosive Alert"),10000000,20000000),0)+IF(C696&gt;=CALL_LOOKUP_BOARD!$B$7,J696*1000+MIN(C696,999),C696*1000+J696)+0.00989200)</f>
        <v>1100.009892</v>
      </c>
      <c r="U696" s="2">
        <f>IF(C696=0,"",IF(COUNTIFS($S$589:$S$803,SUBSTITUTE(SUBSTITUTE(SUBSTITUTE(S696,"~","~~"),"*","~*"),"?","~?"),$T$589:$T$803,"&gt;"&amp;T696)=0,S696,""))</f>
        <v/>
      </c>
    </row>
    <row r="697" spans="1:21" ht="38" customHeight="1">
      <c r="A697" s="8" t="s">
        <v>354</v>
      </c>
      <c r="B697" s="8" t="s">
        <v>65</v>
      </c>
      <c r="C697" s="12">
        <f>COUNTIFS('DEF_SELF_SCOUT_IMPORT'!$L$42:$L$1040,"Y",'DEF_SELF_SCOUT_IMPORT'!$E$42:$E$1040,SUBSTITUTE(SUBSTITUTE(SUBSTITUTE($B697,"~","~~"),"*","~*"),"?","~?"),'DEF_SELF_SCOUT_IMPORT'!$Q$42:$Q$1040,SUBSTITUTE(SUBSTITUTE(SUBSTITUTE($M697,"~","~~"),"*","~*"),"?","~?"),'DEF_SELF_SCOUT_IMPORT'!$F$42:$F$1040,SUBSTITUTE(SUBSTITUTE(SUBSTITUTE($N697,"~","~~"),"*","~*"),"?","~?"),'DEF_SELF_SCOUT_IMPORT'!$G$42:$G$1040,SUBSTITUTE(SUBSTITUTE(SUBSTITUTE($O697,"~","~~"),"*","~*"),"?","~?"))</f>
        <v>1</v>
      </c>
      <c r="D697" s="10">
        <f>IF($C697=0,"",SUMIFS('DEF_SELF_SCOUT_IMPORT'!$J$42:$J$1040,'DEF_SELF_SCOUT_IMPORT'!$L$42:$L$1040,"Y",'DEF_SELF_SCOUT_IMPORT'!$E$42:$E$1040,SUBSTITUTE(SUBSTITUTE(SUBSTITUTE($B697,"~","~~"),"*","~*"),"?","~?"),'DEF_SELF_SCOUT_IMPORT'!$Q$42:$Q$1040,SUBSTITUTE(SUBSTITUTE(SUBSTITUTE($M697,"~","~~"),"*","~*"),"?","~?"),'DEF_SELF_SCOUT_IMPORT'!$F$42:$F$1040,SUBSTITUTE(SUBSTITUTE(SUBSTITUTE($N697,"~","~~"),"*","~*"),"?","~?"),'DEF_SELF_SCOUT_IMPORT'!$G$42:$G$1040,SUBSTITUTE(SUBSTITUTE(SUBSTITUTE($O697,"~","~~"),"*","~*"),"?","~?"))/$C697)</f>
        <v>0.0</v>
      </c>
      <c r="E697" s="10">
        <f>IF($C697=0,"",SUMIFS('DEF_SELF_SCOUT_IMPORT'!$K$42:$K$1040,'DEF_SELF_SCOUT_IMPORT'!$L$42:$L$1040,"Y",'DEF_SELF_SCOUT_IMPORT'!$E$42:$E$1040,SUBSTITUTE(SUBSTITUTE(SUBSTITUTE($B697,"~","~~"),"*","~*"),"?","~?"),'DEF_SELF_SCOUT_IMPORT'!$Q$42:$Q$1040,SUBSTITUTE(SUBSTITUTE(SUBSTITUTE($M697,"~","~~"),"*","~*"),"?","~?"),'DEF_SELF_SCOUT_IMPORT'!$F$42:$F$1040,SUBSTITUTE(SUBSTITUTE(SUBSTITUTE($N697,"~","~~"),"*","~*"),"?","~?"),'DEF_SELF_SCOUT_IMPORT'!$G$42:$G$1040,SUBSTITUTE(SUBSTITUTE(SUBSTITUTE($O697,"~","~~"),"*","~*"),"?","~?"))/$C697)</f>
        <v>0.0</v>
      </c>
      <c r="F697" s="11">
        <f>IF($C697=0,"",AVERAGEIFS('DEF_SELF_SCOUT_IMPORT'!$I$42:$I$1040,'DEF_SELF_SCOUT_IMPORT'!$L$42:$L$1040,"Y",'DEF_SELF_SCOUT_IMPORT'!$E$42:$E$1040,SUBSTITUTE(SUBSTITUTE(SUBSTITUTE($B697,"~","~~"),"*","~*"),"?","~?"),'DEF_SELF_SCOUT_IMPORT'!$Q$42:$Q$1040,SUBSTITUTE(SUBSTITUTE(SUBSTITUTE($M697,"~","~~"),"*","~*"),"?","~?"),'DEF_SELF_SCOUT_IMPORT'!$F$42:$F$1040,SUBSTITUTE(SUBSTITUTE(SUBSTITUTE($N697,"~","~~"),"*","~*"),"?","~?"),'DEF_SELF_SCOUT_IMPORT'!$G$42:$G$1040,SUBSTITUTE(SUBSTITUTE(SUBSTITUTE($O697,"~","~~"),"*","~*"),"?","~?")))</f>
        <v>5.0</v>
      </c>
      <c r="G697" s="10">
        <f>IF($C697=0,"",COUNTIFS('DEF_SELF_SCOUT_IMPORT'!$L$42:$L$1040,"Y",'DEF_SELF_SCOUT_IMPORT'!$E$42:$E$1040,SUBSTITUTE(SUBSTITUTE(SUBSTITUTE($B697,"~","~~"),"*","~*"),"?","~?"),'DEF_SELF_SCOUT_IMPORT'!$Q$42:$Q$1040,SUBSTITUTE(SUBSTITUTE(SUBSTITUTE($M697,"~","~~"),"*","~*"),"?","~?"),'DEF_SELF_SCOUT_IMPORT'!$F$42:$F$1040,SUBSTITUTE(SUBSTITUTE(SUBSTITUTE($N697,"~","~~"),"*","~*"),"?","~?"),'DEF_SELF_SCOUT_IMPORT'!$G$42:$G$1040,SUBSTITUTE(SUBSTITUTE(SUBSTITUTE($O697,"~","~~"),"*","~*"),"?","~?"),'DEF_SELF_SCOUT_IMPORT'!$H$42:$H$1040,"RUSH")/$C697)</f>
        <v>1.0</v>
      </c>
      <c r="H697" s="10">
        <f>IF($C697=0,"",COUNTIFS('DEF_SELF_SCOUT_IMPORT'!$L$42:$L$1040,"Y",'DEF_SELF_SCOUT_IMPORT'!$E$42:$E$1040,SUBSTITUTE(SUBSTITUTE(SUBSTITUTE($B697,"~","~~"),"*","~*"),"?","~?"),'DEF_SELF_SCOUT_IMPORT'!$Q$42:$Q$1040,SUBSTITUTE(SUBSTITUTE(SUBSTITUTE($M697,"~","~~"),"*","~*"),"?","~?"),'DEF_SELF_SCOUT_IMPORT'!$F$42:$F$1040,SUBSTITUTE(SUBSTITUTE(SUBSTITUTE($N697,"~","~~"),"*","~*"),"?","~?"),'DEF_SELF_SCOUT_IMPORT'!$G$42:$G$1040,SUBSTITUTE(SUBSTITUTE(SUBSTITUTE($O697,"~","~~"),"*","~*"),"?","~?"),'DEF_SELF_SCOUT_IMPORT'!$H$42:$H$1040,"DROPBACK")/$C697)</f>
        <v>0.0</v>
      </c>
      <c r="I697" s="14" t="str">
        <f>IF(C697=0,"",IF(C697&lt;=2,"TRACK",IF(C697=3,"LOW",IF(C697&lt;=6,"MEDIUM","HIGH"))))</f>
        <v>TRACK</v>
      </c>
      <c r="J697" s="11">
        <f>IF(C697=0,"",ROUND(D697*70+(1-E697)*20+MAX(0,MIN(1,(10-F697)/10))*10,1))</f>
        <v>25.0</v>
      </c>
      <c r="K697" s="14" t="str">
        <f>IF(C697=0,"No Evidence",IF(C697&lt;=2,IF(E697&gt;0,"Explosive Alert","Track Only"),IF(C697=3,"Sample Watch",IF(E697&gt;=START_HERE!$B$31,"Explosive Alert",IF(J697&gt;=80,"Strong Candidate",IF(J697&gt;=65,"Good Candidate",IF(J697&gt;=50,"Mixed / Review","Problem Call")))))))</f>
        <v>Track Only</v>
      </c>
      <c r="L697" s="9" t="str">
        <f>IF(COUNTIFS('DEF_SELF_SCOUT_IMPORT'!$L$42:$L$1040,"Y",'DEF_SELF_SCOUT_IMPORT'!$E$42:$E$1040,SUBSTITUTE(SUBSTITUTE(SUBSTITUTE($B697,"~","~~"),"*","~*"),"?","~?"),'DEF_SELF_SCOUT_IMPORT'!$Q$42:$Q$1040,SUBSTITUTE(SUBSTITUTE(SUBSTITUTE($M697,"~","~~"),"*","~*"),"?","~?"),'DEF_SELF_SCOUT_IMPORT'!$F$42:$F$1040,SUBSTITUTE(SUBSTITUTE(SUBSTITUTE($N697,"~","~~"),"*","~*"),"?","~?"),'DEF_SELF_SCOUT_IMPORT'!$G$42:$G$1040,SUBSTITUTE(SUBSTITUTE(SUBSTITUTE($O697,"~","~~"),"*","~*"),"?","~?"),'DEF_SELF_SCOUT_IMPORT'!$J$42:$J$1040,"")&gt;0,"Unscored clean outcome; review result tags before using score.",IF(C697=0,"No matching defensive reps; film confirmation needed.",IF(K697="Explosive Alert","Explosive risk; review clips before using as answer.",IF(C697&lt;=2,"Track only; not enough sample.",IF(C697=3,IF(E697&gt;0,"Sample watch with explosive exposure; review clips and build the sample.",IF(J697&gt;=65,"Good signal, but sample is limited.","Sample watch; review clips and build the sample.")),IF(K697="Problem Call","Problem area; practice or call-sheet review.",IF(K697="Strong Candidate","Strong call-fit candidate; confirm on film.",IF(K697="Good Candidate","Good call-fit signal; confirm on film.","Mixed signal; review fit and execution on film."))))))))</f>
        <v>Track only; not enough sample.</v>
      </c>
      <c r="M697" s="8" t="s">
        <v>85</v>
      </c>
      <c r="N697" s="8" t="s">
        <v>120</v>
      </c>
      <c r="O697" s="8" t="s">
        <v>203</v>
      </c>
      <c r="P697" s="8"/>
      <c r="Q697" s="8"/>
      <c r="R697" s="8" t="s">
        <v>28</v>
      </c>
      <c r="S697" s="2" t="s">
        <v>355</v>
      </c>
      <c r="T697" s="2">
        <f>IF(C697=0,0,IF(C697&gt;=CALL_LOOKUP_BOARD!$B$7,IF(OR(K697="Problem Call",K697="Explosive Alert"),10000000,20000000),0)+IF(C697&gt;=CALL_LOOKUP_BOARD!$B$7,J697*1000+MIN(C697,999),C697*1000+J697)+0.00989100)</f>
        <v>1025.009891</v>
      </c>
      <c r="U697" s="2">
        <f>IF(C697=0,"",IF(COUNTIFS($S$589:$S$803,SUBSTITUTE(SUBSTITUTE(SUBSTITUTE(S697,"~","~~"),"*","~*"),"?","~?"),$T$589:$T$803,"&gt;"&amp;T697)=0,S697,""))</f>
        <v/>
      </c>
    </row>
    <row r="698" spans="1:21" ht="38" customHeight="1">
      <c r="A698" s="8" t="s">
        <v>354</v>
      </c>
      <c r="B698" s="8" t="s">
        <v>66</v>
      </c>
      <c r="C698" s="12">
        <f>COUNTIFS('DEF_SELF_SCOUT_IMPORT'!$L$42:$L$1040,"Y",'DEF_SELF_SCOUT_IMPORT'!$E$42:$E$1040,SUBSTITUTE(SUBSTITUTE(SUBSTITUTE($B698,"~","~~"),"*","~*"),"?","~?"),'DEF_SELF_SCOUT_IMPORT'!$Q$42:$Q$1040,SUBSTITUTE(SUBSTITUTE(SUBSTITUTE($M698,"~","~~"),"*","~*"),"?","~?"),'DEF_SELF_SCOUT_IMPORT'!$F$42:$F$1040,SUBSTITUTE(SUBSTITUTE(SUBSTITUTE($N698,"~","~~"),"*","~*"),"?","~?"),'DEF_SELF_SCOUT_IMPORT'!$G$42:$G$1040,SUBSTITUTE(SUBSTITUTE(SUBSTITUTE($O698,"~","~~"),"*","~*"),"?","~?"))</f>
        <v>1</v>
      </c>
      <c r="D698" s="10">
        <f>IF($C698=0,"",SUMIFS('DEF_SELF_SCOUT_IMPORT'!$J$42:$J$1040,'DEF_SELF_SCOUT_IMPORT'!$L$42:$L$1040,"Y",'DEF_SELF_SCOUT_IMPORT'!$E$42:$E$1040,SUBSTITUTE(SUBSTITUTE(SUBSTITUTE($B698,"~","~~"),"*","~*"),"?","~?"),'DEF_SELF_SCOUT_IMPORT'!$Q$42:$Q$1040,SUBSTITUTE(SUBSTITUTE(SUBSTITUTE($M698,"~","~~"),"*","~*"),"?","~?"),'DEF_SELF_SCOUT_IMPORT'!$F$42:$F$1040,SUBSTITUTE(SUBSTITUTE(SUBSTITUTE($N698,"~","~~"),"*","~*"),"?","~?"),'DEF_SELF_SCOUT_IMPORT'!$G$42:$G$1040,SUBSTITUTE(SUBSTITUTE(SUBSTITUTE($O698,"~","~~"),"*","~*"),"?","~?"))/$C698)</f>
        <v>1.0</v>
      </c>
      <c r="E698" s="10">
        <f>IF($C698=0,"",SUMIFS('DEF_SELF_SCOUT_IMPORT'!$K$42:$K$1040,'DEF_SELF_SCOUT_IMPORT'!$L$42:$L$1040,"Y",'DEF_SELF_SCOUT_IMPORT'!$E$42:$E$1040,SUBSTITUTE(SUBSTITUTE(SUBSTITUTE($B698,"~","~~"),"*","~*"),"?","~?"),'DEF_SELF_SCOUT_IMPORT'!$Q$42:$Q$1040,SUBSTITUTE(SUBSTITUTE(SUBSTITUTE($M698,"~","~~"),"*","~*"),"?","~?"),'DEF_SELF_SCOUT_IMPORT'!$F$42:$F$1040,SUBSTITUTE(SUBSTITUTE(SUBSTITUTE($N698,"~","~~"),"*","~*"),"?","~?"),'DEF_SELF_SCOUT_IMPORT'!$G$42:$G$1040,SUBSTITUTE(SUBSTITUTE(SUBSTITUTE($O698,"~","~~"),"*","~*"),"?","~?"))/$C698)</f>
        <v>0.0</v>
      </c>
      <c r="F698" s="11">
        <f>IF($C698=0,"",AVERAGEIFS('DEF_SELF_SCOUT_IMPORT'!$I$42:$I$1040,'DEF_SELF_SCOUT_IMPORT'!$L$42:$L$1040,"Y",'DEF_SELF_SCOUT_IMPORT'!$E$42:$E$1040,SUBSTITUTE(SUBSTITUTE(SUBSTITUTE($B698,"~","~~"),"*","~*"),"?","~?"),'DEF_SELF_SCOUT_IMPORT'!$Q$42:$Q$1040,SUBSTITUTE(SUBSTITUTE(SUBSTITUTE($M698,"~","~~"),"*","~*"),"?","~?"),'DEF_SELF_SCOUT_IMPORT'!$F$42:$F$1040,SUBSTITUTE(SUBSTITUTE(SUBSTITUTE($N698,"~","~~"),"*","~*"),"?","~?"),'DEF_SELF_SCOUT_IMPORT'!$G$42:$G$1040,SUBSTITUTE(SUBSTITUTE(SUBSTITUTE($O698,"~","~~"),"*","~*"),"?","~?")))</f>
        <v>2.0</v>
      </c>
      <c r="G698" s="10">
        <f>IF($C698=0,"",COUNTIFS('DEF_SELF_SCOUT_IMPORT'!$L$42:$L$1040,"Y",'DEF_SELF_SCOUT_IMPORT'!$E$42:$E$1040,SUBSTITUTE(SUBSTITUTE(SUBSTITUTE($B698,"~","~~"),"*","~*"),"?","~?"),'DEF_SELF_SCOUT_IMPORT'!$Q$42:$Q$1040,SUBSTITUTE(SUBSTITUTE(SUBSTITUTE($M698,"~","~~"),"*","~*"),"?","~?"),'DEF_SELF_SCOUT_IMPORT'!$F$42:$F$1040,SUBSTITUTE(SUBSTITUTE(SUBSTITUTE($N698,"~","~~"),"*","~*"),"?","~?"),'DEF_SELF_SCOUT_IMPORT'!$G$42:$G$1040,SUBSTITUTE(SUBSTITUTE(SUBSTITUTE($O698,"~","~~"),"*","~*"),"?","~?"),'DEF_SELF_SCOUT_IMPORT'!$H$42:$H$1040,"RUSH")/$C698)</f>
        <v>1.0</v>
      </c>
      <c r="H698" s="10">
        <f>IF($C698=0,"",COUNTIFS('DEF_SELF_SCOUT_IMPORT'!$L$42:$L$1040,"Y",'DEF_SELF_SCOUT_IMPORT'!$E$42:$E$1040,SUBSTITUTE(SUBSTITUTE(SUBSTITUTE($B698,"~","~~"),"*","~*"),"?","~?"),'DEF_SELF_SCOUT_IMPORT'!$Q$42:$Q$1040,SUBSTITUTE(SUBSTITUTE(SUBSTITUTE($M698,"~","~~"),"*","~*"),"?","~?"),'DEF_SELF_SCOUT_IMPORT'!$F$42:$F$1040,SUBSTITUTE(SUBSTITUTE(SUBSTITUTE($N698,"~","~~"),"*","~*"),"?","~?"),'DEF_SELF_SCOUT_IMPORT'!$G$42:$G$1040,SUBSTITUTE(SUBSTITUTE(SUBSTITUTE($O698,"~","~~"),"*","~*"),"?","~?"),'DEF_SELF_SCOUT_IMPORT'!$H$42:$H$1040,"DROPBACK")/$C698)</f>
        <v>0.0</v>
      </c>
      <c r="I698" s="14" t="str">
        <f>IF(C698=0,"",IF(C698&lt;=2,"TRACK",IF(C698=3,"LOW",IF(C698&lt;=6,"MEDIUM","HIGH"))))</f>
        <v>TRACK</v>
      </c>
      <c r="J698" s="11">
        <f>IF(C698=0,"",ROUND(D698*70+(1-E698)*20+MAX(0,MIN(1,(10-F698)/10))*10,1))</f>
        <v>98.0</v>
      </c>
      <c r="K698" s="14" t="str">
        <f>IF(C698=0,"No Evidence",IF(C698&lt;=2,IF(E698&gt;0,"Explosive Alert","Track Only"),IF(C698=3,"Sample Watch",IF(E698&gt;=START_HERE!$B$31,"Explosive Alert",IF(J698&gt;=80,"Strong Candidate",IF(J698&gt;=65,"Good Candidate",IF(J698&gt;=50,"Mixed / Review","Problem Call")))))))</f>
        <v>Track Only</v>
      </c>
      <c r="L698" s="9" t="str">
        <f>IF(COUNTIFS('DEF_SELF_SCOUT_IMPORT'!$L$42:$L$1040,"Y",'DEF_SELF_SCOUT_IMPORT'!$E$42:$E$1040,SUBSTITUTE(SUBSTITUTE(SUBSTITUTE($B698,"~","~~"),"*","~*"),"?","~?"),'DEF_SELF_SCOUT_IMPORT'!$Q$42:$Q$1040,SUBSTITUTE(SUBSTITUTE(SUBSTITUTE($M698,"~","~~"),"*","~*"),"?","~?"),'DEF_SELF_SCOUT_IMPORT'!$F$42:$F$1040,SUBSTITUTE(SUBSTITUTE(SUBSTITUTE($N698,"~","~~"),"*","~*"),"?","~?"),'DEF_SELF_SCOUT_IMPORT'!$G$42:$G$1040,SUBSTITUTE(SUBSTITUTE(SUBSTITUTE($O698,"~","~~"),"*","~*"),"?","~?"),'DEF_SELF_SCOUT_IMPORT'!$J$42:$J$1040,"")&gt;0,"Unscored clean outcome; review result tags before using score.",IF(C698=0,"No matching defensive reps; film confirmation needed.",IF(K698="Explosive Alert","Explosive risk; review clips before using as answer.",IF(C698&lt;=2,"Track only; not enough sample.",IF(C698=3,IF(E698&gt;0,"Sample watch with explosive exposure; review clips and build the sample.",IF(J698&gt;=65,"Good signal, but sample is limited.","Sample watch; review clips and build the sample.")),IF(K698="Problem Call","Problem area; practice or call-sheet review.",IF(K698="Strong Candidate","Strong call-fit candidate; confirm on film.",IF(K698="Good Candidate","Good call-fit signal; confirm on film.","Mixed signal; review fit and execution on film."))))))))</f>
        <v>Track only; not enough sample.</v>
      </c>
      <c r="M698" s="8" t="s">
        <v>85</v>
      </c>
      <c r="N698" s="8" t="s">
        <v>120</v>
      </c>
      <c r="O698" s="8" t="s">
        <v>203</v>
      </c>
      <c r="P698" s="8"/>
      <c r="Q698" s="8"/>
      <c r="R698" s="8" t="s">
        <v>28</v>
      </c>
      <c r="S698" s="2" t="s">
        <v>355</v>
      </c>
      <c r="T698" s="2">
        <f>IF(C698=0,0,IF(C698&gt;=CALL_LOOKUP_BOARD!$B$7,IF(OR(K698="Problem Call",K698="Explosive Alert"),10000000,20000000),0)+IF(C698&gt;=CALL_LOOKUP_BOARD!$B$7,J698*1000+MIN(C698,999),C698*1000+J698)+0.00989000)</f>
        <v>1098.00989</v>
      </c>
      <c r="U698" s="2">
        <f>IF(C698=0,"",IF(COUNTIFS($S$589:$S$803,SUBSTITUTE(SUBSTITUTE(SUBSTITUTE(S698,"~","~~"),"*","~*"),"?","~?"),$T$589:$T$803,"&gt;"&amp;T698)=0,S698,""))</f>
        <v/>
      </c>
    </row>
    <row r="699" spans="1:21" ht="38" customHeight="1">
      <c r="A699" s="8" t="s">
        <v>354</v>
      </c>
      <c r="B699" s="8" t="s">
        <v>69</v>
      </c>
      <c r="C699" s="12">
        <f>COUNTIFS('DEF_SELF_SCOUT_IMPORT'!$L$42:$L$1040,"Y",'DEF_SELF_SCOUT_IMPORT'!$E$42:$E$1040,SUBSTITUTE(SUBSTITUTE(SUBSTITUTE($B699,"~","~~"),"*","~*"),"?","~?"),'DEF_SELF_SCOUT_IMPORT'!$Q$42:$Q$1040,SUBSTITUTE(SUBSTITUTE(SUBSTITUTE($M699,"~","~~"),"*","~*"),"?","~?"),'DEF_SELF_SCOUT_IMPORT'!$F$42:$F$1040,SUBSTITUTE(SUBSTITUTE(SUBSTITUTE($N699,"~","~~"),"*","~*"),"?","~?"),'DEF_SELF_SCOUT_IMPORT'!$G$42:$G$1040,SUBSTITUTE(SUBSTITUTE(SUBSTITUTE($O699,"~","~~"),"*","~*"),"?","~?"))</f>
        <v>1</v>
      </c>
      <c r="D699" s="10">
        <f>IF($C699=0,"",SUMIFS('DEF_SELF_SCOUT_IMPORT'!$J$42:$J$1040,'DEF_SELF_SCOUT_IMPORT'!$L$42:$L$1040,"Y",'DEF_SELF_SCOUT_IMPORT'!$E$42:$E$1040,SUBSTITUTE(SUBSTITUTE(SUBSTITUTE($B699,"~","~~"),"*","~*"),"?","~?"),'DEF_SELF_SCOUT_IMPORT'!$Q$42:$Q$1040,SUBSTITUTE(SUBSTITUTE(SUBSTITUTE($M699,"~","~~"),"*","~*"),"?","~?"),'DEF_SELF_SCOUT_IMPORT'!$F$42:$F$1040,SUBSTITUTE(SUBSTITUTE(SUBSTITUTE($N699,"~","~~"),"*","~*"),"?","~?"),'DEF_SELF_SCOUT_IMPORT'!$G$42:$G$1040,SUBSTITUTE(SUBSTITUTE(SUBSTITUTE($O699,"~","~~"),"*","~*"),"?","~?"))/$C699)</f>
        <v>1.0</v>
      </c>
      <c r="E699" s="10">
        <f>IF($C699=0,"",SUMIFS('DEF_SELF_SCOUT_IMPORT'!$K$42:$K$1040,'DEF_SELF_SCOUT_IMPORT'!$L$42:$L$1040,"Y",'DEF_SELF_SCOUT_IMPORT'!$E$42:$E$1040,SUBSTITUTE(SUBSTITUTE(SUBSTITUTE($B699,"~","~~"),"*","~*"),"?","~?"),'DEF_SELF_SCOUT_IMPORT'!$Q$42:$Q$1040,SUBSTITUTE(SUBSTITUTE(SUBSTITUTE($M699,"~","~~"),"*","~*"),"?","~?"),'DEF_SELF_SCOUT_IMPORT'!$F$42:$F$1040,SUBSTITUTE(SUBSTITUTE(SUBSTITUTE($N699,"~","~~"),"*","~*"),"?","~?"),'DEF_SELF_SCOUT_IMPORT'!$G$42:$G$1040,SUBSTITUTE(SUBSTITUTE(SUBSTITUTE($O699,"~","~~"),"*","~*"),"?","~?"))/$C699)</f>
        <v>0.0</v>
      </c>
      <c r="F699" s="11">
        <f>IF($C699=0,"",AVERAGEIFS('DEF_SELF_SCOUT_IMPORT'!$I$42:$I$1040,'DEF_SELF_SCOUT_IMPORT'!$L$42:$L$1040,"Y",'DEF_SELF_SCOUT_IMPORT'!$E$42:$E$1040,SUBSTITUTE(SUBSTITUTE(SUBSTITUTE($B699,"~","~~"),"*","~*"),"?","~?"),'DEF_SELF_SCOUT_IMPORT'!$Q$42:$Q$1040,SUBSTITUTE(SUBSTITUTE(SUBSTITUTE($M699,"~","~~"),"*","~*"),"?","~?"),'DEF_SELF_SCOUT_IMPORT'!$F$42:$F$1040,SUBSTITUTE(SUBSTITUTE(SUBSTITUTE($N699,"~","~~"),"*","~*"),"?","~?"),'DEF_SELF_SCOUT_IMPORT'!$G$42:$G$1040,SUBSTITUTE(SUBSTITUTE(SUBSTITUTE($O699,"~","~~"),"*","~*"),"?","~?")))</f>
        <v>5.0</v>
      </c>
      <c r="G699" s="10">
        <f>IF($C699=0,"",COUNTIFS('DEF_SELF_SCOUT_IMPORT'!$L$42:$L$1040,"Y",'DEF_SELF_SCOUT_IMPORT'!$E$42:$E$1040,SUBSTITUTE(SUBSTITUTE(SUBSTITUTE($B699,"~","~~"),"*","~*"),"?","~?"),'DEF_SELF_SCOUT_IMPORT'!$Q$42:$Q$1040,SUBSTITUTE(SUBSTITUTE(SUBSTITUTE($M699,"~","~~"),"*","~*"),"?","~?"),'DEF_SELF_SCOUT_IMPORT'!$F$42:$F$1040,SUBSTITUTE(SUBSTITUTE(SUBSTITUTE($N699,"~","~~"),"*","~*"),"?","~?"),'DEF_SELF_SCOUT_IMPORT'!$G$42:$G$1040,SUBSTITUTE(SUBSTITUTE(SUBSTITUTE($O699,"~","~~"),"*","~*"),"?","~?"),'DEF_SELF_SCOUT_IMPORT'!$H$42:$H$1040,"RUSH")/$C699)</f>
        <v>0.0</v>
      </c>
      <c r="H699" s="10">
        <f>IF($C699=0,"",COUNTIFS('DEF_SELF_SCOUT_IMPORT'!$L$42:$L$1040,"Y",'DEF_SELF_SCOUT_IMPORT'!$E$42:$E$1040,SUBSTITUTE(SUBSTITUTE(SUBSTITUTE($B699,"~","~~"),"*","~*"),"?","~?"),'DEF_SELF_SCOUT_IMPORT'!$Q$42:$Q$1040,SUBSTITUTE(SUBSTITUTE(SUBSTITUTE($M699,"~","~~"),"*","~*"),"?","~?"),'DEF_SELF_SCOUT_IMPORT'!$F$42:$F$1040,SUBSTITUTE(SUBSTITUTE(SUBSTITUTE($N699,"~","~~"),"*","~*"),"?","~?"),'DEF_SELF_SCOUT_IMPORT'!$G$42:$G$1040,SUBSTITUTE(SUBSTITUTE(SUBSTITUTE($O699,"~","~~"),"*","~*"),"?","~?"),'DEF_SELF_SCOUT_IMPORT'!$H$42:$H$1040,"DROPBACK")/$C699)</f>
        <v>1.0</v>
      </c>
      <c r="I699" s="14" t="str">
        <f>IF(C699=0,"",IF(C699&lt;=2,"TRACK",IF(C699=3,"LOW",IF(C699&lt;=6,"MEDIUM","HIGH"))))</f>
        <v>TRACK</v>
      </c>
      <c r="J699" s="11">
        <f>IF(C699=0,"",ROUND(D699*70+(1-E699)*20+MAX(0,MIN(1,(10-F699)/10))*10,1))</f>
        <v>95.0</v>
      </c>
      <c r="K699" s="14" t="str">
        <f>IF(C699=0,"No Evidence",IF(C699&lt;=2,IF(E699&gt;0,"Explosive Alert","Track Only"),IF(C699=3,"Sample Watch",IF(E699&gt;=START_HERE!$B$31,"Explosive Alert",IF(J699&gt;=80,"Strong Candidate",IF(J699&gt;=65,"Good Candidate",IF(J699&gt;=50,"Mixed / Review","Problem Call")))))))</f>
        <v>Track Only</v>
      </c>
      <c r="L699" s="9" t="str">
        <f>IF(COUNTIFS('DEF_SELF_SCOUT_IMPORT'!$L$42:$L$1040,"Y",'DEF_SELF_SCOUT_IMPORT'!$E$42:$E$1040,SUBSTITUTE(SUBSTITUTE(SUBSTITUTE($B699,"~","~~"),"*","~*"),"?","~?"),'DEF_SELF_SCOUT_IMPORT'!$Q$42:$Q$1040,SUBSTITUTE(SUBSTITUTE(SUBSTITUTE($M699,"~","~~"),"*","~*"),"?","~?"),'DEF_SELF_SCOUT_IMPORT'!$F$42:$F$1040,SUBSTITUTE(SUBSTITUTE(SUBSTITUTE($N699,"~","~~"),"*","~*"),"?","~?"),'DEF_SELF_SCOUT_IMPORT'!$G$42:$G$1040,SUBSTITUTE(SUBSTITUTE(SUBSTITUTE($O699,"~","~~"),"*","~*"),"?","~?"),'DEF_SELF_SCOUT_IMPORT'!$J$42:$J$1040,"")&gt;0,"Unscored clean outcome; review result tags before using score.",IF(C699=0,"No matching defensive reps; film confirmation needed.",IF(K699="Explosive Alert","Explosive risk; review clips before using as answer.",IF(C699&lt;=2,"Track only; not enough sample.",IF(C699=3,IF(E699&gt;0,"Sample watch with explosive exposure; review clips and build the sample.",IF(J699&gt;=65,"Good signal, but sample is limited.","Sample watch; review clips and build the sample.")),IF(K699="Problem Call","Problem area; practice or call-sheet review.",IF(K699="Strong Candidate","Strong call-fit candidate; confirm on film.",IF(K699="Good Candidate","Good call-fit signal; confirm on film.","Mixed signal; review fit and execution on film."))))))))</f>
        <v>Track only; not enough sample.</v>
      </c>
      <c r="M699" s="8" t="s">
        <v>85</v>
      </c>
      <c r="N699" s="8" t="s">
        <v>120</v>
      </c>
      <c r="O699" s="8" t="s">
        <v>203</v>
      </c>
      <c r="P699" s="8"/>
      <c r="Q699" s="8"/>
      <c r="R699" s="8" t="s">
        <v>28</v>
      </c>
      <c r="S699" s="2" t="s">
        <v>355</v>
      </c>
      <c r="T699" s="2">
        <f>IF(C699=0,0,IF(C699&gt;=CALL_LOOKUP_BOARD!$B$7,IF(OR(K699="Problem Call",K699="Explosive Alert"),10000000,20000000),0)+IF(C699&gt;=CALL_LOOKUP_BOARD!$B$7,J699*1000+MIN(C699,999),C699*1000+J699)+0.00988900)</f>
        <v>1095.009889</v>
      </c>
      <c r="U699" s="2">
        <f>IF(C699=0,"",IF(COUNTIFS($S$589:$S$803,SUBSTITUTE(SUBSTITUTE(SUBSTITUTE(S699,"~","~~"),"*","~*"),"?","~?"),$T$589:$T$803,"&gt;"&amp;T699)=0,S699,""))</f>
        <v/>
      </c>
    </row>
    <row r="700" spans="1:21" ht="38" customHeight="1">
      <c r="A700" s="8" t="s">
        <v>356</v>
      </c>
      <c r="B700" s="8" t="s">
        <v>43</v>
      </c>
      <c r="C700" s="12">
        <f>COUNTIFS('DEF_SELF_SCOUT_IMPORT'!$L$42:$L$1040,"Y",'DEF_SELF_SCOUT_IMPORT'!$E$42:$E$1040,SUBSTITUTE(SUBSTITUTE(SUBSTITUTE($B700,"~","~~"),"*","~*"),"?","~?"),'DEF_SELF_SCOUT_IMPORT'!$Q$42:$Q$1040,SUBSTITUTE(SUBSTITUTE(SUBSTITUTE($M700,"~","~~"),"*","~*"),"?","~?"),'DEF_SELF_SCOUT_IMPORT'!$F$42:$F$1040,SUBSTITUTE(SUBSTITUTE(SUBSTITUTE($N700,"~","~~"),"*","~*"),"?","~?"),'DEF_SELF_SCOUT_IMPORT'!$G$42:$G$1040,SUBSTITUTE(SUBSTITUTE(SUBSTITUTE($O700,"~","~~"),"*","~*"),"?","~?"))</f>
        <v>1</v>
      </c>
      <c r="D700" s="10">
        <f>IF($C700=0,"",SUMIFS('DEF_SELF_SCOUT_IMPORT'!$J$42:$J$1040,'DEF_SELF_SCOUT_IMPORT'!$L$42:$L$1040,"Y",'DEF_SELF_SCOUT_IMPORT'!$E$42:$E$1040,SUBSTITUTE(SUBSTITUTE(SUBSTITUTE($B700,"~","~~"),"*","~*"),"?","~?"),'DEF_SELF_SCOUT_IMPORT'!$Q$42:$Q$1040,SUBSTITUTE(SUBSTITUTE(SUBSTITUTE($M700,"~","~~"),"*","~*"),"?","~?"),'DEF_SELF_SCOUT_IMPORT'!$F$42:$F$1040,SUBSTITUTE(SUBSTITUTE(SUBSTITUTE($N700,"~","~~"),"*","~*"),"?","~?"),'DEF_SELF_SCOUT_IMPORT'!$G$42:$G$1040,SUBSTITUTE(SUBSTITUTE(SUBSTITUTE($O700,"~","~~"),"*","~*"),"?","~?"))/$C700)</f>
        <v>1.0</v>
      </c>
      <c r="E700" s="10">
        <f>IF($C700=0,"",SUMIFS('DEF_SELF_SCOUT_IMPORT'!$K$42:$K$1040,'DEF_SELF_SCOUT_IMPORT'!$L$42:$L$1040,"Y",'DEF_SELF_SCOUT_IMPORT'!$E$42:$E$1040,SUBSTITUTE(SUBSTITUTE(SUBSTITUTE($B700,"~","~~"),"*","~*"),"?","~?"),'DEF_SELF_SCOUT_IMPORT'!$Q$42:$Q$1040,SUBSTITUTE(SUBSTITUTE(SUBSTITUTE($M700,"~","~~"),"*","~*"),"?","~?"),'DEF_SELF_SCOUT_IMPORT'!$F$42:$F$1040,SUBSTITUTE(SUBSTITUTE(SUBSTITUTE($N700,"~","~~"),"*","~*"),"?","~?"),'DEF_SELF_SCOUT_IMPORT'!$G$42:$G$1040,SUBSTITUTE(SUBSTITUTE(SUBSTITUTE($O700,"~","~~"),"*","~*"),"?","~?"))/$C700)</f>
        <v>0.0</v>
      </c>
      <c r="F700" s="11">
        <f>IF($C700=0,"",AVERAGEIFS('DEF_SELF_SCOUT_IMPORT'!$I$42:$I$1040,'DEF_SELF_SCOUT_IMPORT'!$L$42:$L$1040,"Y",'DEF_SELF_SCOUT_IMPORT'!$E$42:$E$1040,SUBSTITUTE(SUBSTITUTE(SUBSTITUTE($B700,"~","~~"),"*","~*"),"?","~?"),'DEF_SELF_SCOUT_IMPORT'!$Q$42:$Q$1040,SUBSTITUTE(SUBSTITUTE(SUBSTITUTE($M700,"~","~~"),"*","~*"),"?","~?"),'DEF_SELF_SCOUT_IMPORT'!$F$42:$F$1040,SUBSTITUTE(SUBSTITUTE(SUBSTITUTE($N700,"~","~~"),"*","~*"),"?","~?"),'DEF_SELF_SCOUT_IMPORT'!$G$42:$G$1040,SUBSTITUTE(SUBSTITUTE(SUBSTITUTE($O700,"~","~~"),"*","~*"),"?","~?")))</f>
        <v>5.0</v>
      </c>
      <c r="G700" s="10">
        <f>IF($C700=0,"",COUNTIFS('DEF_SELF_SCOUT_IMPORT'!$L$42:$L$1040,"Y",'DEF_SELF_SCOUT_IMPORT'!$E$42:$E$1040,SUBSTITUTE(SUBSTITUTE(SUBSTITUTE($B700,"~","~~"),"*","~*"),"?","~?"),'DEF_SELF_SCOUT_IMPORT'!$Q$42:$Q$1040,SUBSTITUTE(SUBSTITUTE(SUBSTITUTE($M700,"~","~~"),"*","~*"),"?","~?"),'DEF_SELF_SCOUT_IMPORT'!$F$42:$F$1040,SUBSTITUTE(SUBSTITUTE(SUBSTITUTE($N700,"~","~~"),"*","~*"),"?","~?"),'DEF_SELF_SCOUT_IMPORT'!$G$42:$G$1040,SUBSTITUTE(SUBSTITUTE(SUBSTITUTE($O700,"~","~~"),"*","~*"),"?","~?"),'DEF_SELF_SCOUT_IMPORT'!$H$42:$H$1040,"RUSH")/$C700)</f>
        <v>0.0</v>
      </c>
      <c r="H700" s="10">
        <f>IF($C700=0,"",COUNTIFS('DEF_SELF_SCOUT_IMPORT'!$L$42:$L$1040,"Y",'DEF_SELF_SCOUT_IMPORT'!$E$42:$E$1040,SUBSTITUTE(SUBSTITUTE(SUBSTITUTE($B700,"~","~~"),"*","~*"),"?","~?"),'DEF_SELF_SCOUT_IMPORT'!$Q$42:$Q$1040,SUBSTITUTE(SUBSTITUTE(SUBSTITUTE($M700,"~","~~"),"*","~*"),"?","~?"),'DEF_SELF_SCOUT_IMPORT'!$F$42:$F$1040,SUBSTITUTE(SUBSTITUTE(SUBSTITUTE($N700,"~","~~"),"*","~*"),"?","~?"),'DEF_SELF_SCOUT_IMPORT'!$G$42:$G$1040,SUBSTITUTE(SUBSTITUTE(SUBSTITUTE($O700,"~","~~"),"*","~*"),"?","~?"),'DEF_SELF_SCOUT_IMPORT'!$H$42:$H$1040,"DROPBACK")/$C700)</f>
        <v>1.0</v>
      </c>
      <c r="I700" s="14" t="str">
        <f>IF(C700=0,"",IF(C700&lt;=2,"TRACK",IF(C700=3,"LOW",IF(C700&lt;=6,"MEDIUM","HIGH"))))</f>
        <v>TRACK</v>
      </c>
      <c r="J700" s="11">
        <f>IF(C700=0,"",ROUND(D700*70+(1-E700)*20+MAX(0,MIN(1,(10-F700)/10))*10,1))</f>
        <v>95.0</v>
      </c>
      <c r="K700" s="14" t="str">
        <f>IF(C700=0,"No Evidence",IF(C700&lt;=2,IF(E700&gt;0,"Explosive Alert","Track Only"),IF(C700=3,"Sample Watch",IF(E700&gt;=START_HERE!$B$31,"Explosive Alert",IF(J700&gt;=80,"Strong Candidate",IF(J700&gt;=65,"Good Candidate",IF(J700&gt;=50,"Mixed / Review","Problem Call")))))))</f>
        <v>Track Only</v>
      </c>
      <c r="L700" s="9" t="str">
        <f>IF(COUNTIFS('DEF_SELF_SCOUT_IMPORT'!$L$42:$L$1040,"Y",'DEF_SELF_SCOUT_IMPORT'!$E$42:$E$1040,SUBSTITUTE(SUBSTITUTE(SUBSTITUTE($B700,"~","~~"),"*","~*"),"?","~?"),'DEF_SELF_SCOUT_IMPORT'!$Q$42:$Q$1040,SUBSTITUTE(SUBSTITUTE(SUBSTITUTE($M700,"~","~~"),"*","~*"),"?","~?"),'DEF_SELF_SCOUT_IMPORT'!$F$42:$F$1040,SUBSTITUTE(SUBSTITUTE(SUBSTITUTE($N700,"~","~~"),"*","~*"),"?","~?"),'DEF_SELF_SCOUT_IMPORT'!$G$42:$G$1040,SUBSTITUTE(SUBSTITUTE(SUBSTITUTE($O700,"~","~~"),"*","~*"),"?","~?"),'DEF_SELF_SCOUT_IMPORT'!$J$42:$J$1040,"")&gt;0,"Unscored clean outcome; review result tags before using score.",IF(C700=0,"No matching defensive reps; film confirmation needed.",IF(K700="Explosive Alert","Explosive risk; review clips before using as answer.",IF(C700&lt;=2,"Track only; not enough sample.",IF(C700=3,IF(E700&gt;0,"Sample watch with explosive exposure; review clips and build the sample.",IF(J700&gt;=65,"Good signal, but sample is limited.","Sample watch; review clips and build the sample.")),IF(K700="Problem Call","Problem area; practice or call-sheet review.",IF(K700="Strong Candidate","Strong call-fit candidate; confirm on film.",IF(K700="Good Candidate","Good call-fit signal; confirm on film.","Mixed signal; review fit and execution on film."))))))))</f>
        <v>Track only; not enough sample.</v>
      </c>
      <c r="M700" s="8" t="s">
        <v>85</v>
      </c>
      <c r="N700" s="8" t="s">
        <v>120</v>
      </c>
      <c r="O700" s="8" t="s">
        <v>206</v>
      </c>
      <c r="P700" s="8"/>
      <c r="Q700" s="8"/>
      <c r="R700" s="8" t="s">
        <v>28</v>
      </c>
      <c r="S700" s="2" t="s">
        <v>357</v>
      </c>
      <c r="T700" s="2">
        <f>IF(C700=0,0,IF(C700&gt;=CALL_LOOKUP_BOARD!$B$7,IF(OR(K700="Problem Call",K700="Explosive Alert"),10000000,20000000),0)+IF(C700&gt;=CALL_LOOKUP_BOARD!$B$7,J700*1000+MIN(C700,999),C700*1000+J700)+0.00988800)</f>
        <v>1095.009888</v>
      </c>
      <c r="U700" s="2">
        <f>IF(C700=0,"",IF(COUNTIFS($S$589:$S$803,SUBSTITUTE(SUBSTITUTE(SUBSTITUTE(S700,"~","~~"),"*","~*"),"?","~?"),$T$589:$T$803,"&gt;"&amp;T700)=0,S700,""))</f>
        <v/>
      </c>
    </row>
    <row r="701" spans="1:21" ht="38" customHeight="1">
      <c r="A701" s="8" t="s">
        <v>356</v>
      </c>
      <c r="B701" s="8" t="s">
        <v>48</v>
      </c>
      <c r="C701" s="12">
        <f>COUNTIFS('DEF_SELF_SCOUT_IMPORT'!$L$42:$L$1040,"Y",'DEF_SELF_SCOUT_IMPORT'!$E$42:$E$1040,SUBSTITUTE(SUBSTITUTE(SUBSTITUTE($B701,"~","~~"),"*","~*"),"?","~?"),'DEF_SELF_SCOUT_IMPORT'!$Q$42:$Q$1040,SUBSTITUTE(SUBSTITUTE(SUBSTITUTE($M701,"~","~~"),"*","~*"),"?","~?"),'DEF_SELF_SCOUT_IMPORT'!$F$42:$F$1040,SUBSTITUTE(SUBSTITUTE(SUBSTITUTE($N701,"~","~~"),"*","~*"),"?","~?"),'DEF_SELF_SCOUT_IMPORT'!$G$42:$G$1040,SUBSTITUTE(SUBSTITUTE(SUBSTITUTE($O701,"~","~~"),"*","~*"),"?","~?"))</f>
        <v>2</v>
      </c>
      <c r="D701" s="10">
        <f>IF($C701=0,"",SUMIFS('DEF_SELF_SCOUT_IMPORT'!$J$42:$J$1040,'DEF_SELF_SCOUT_IMPORT'!$L$42:$L$1040,"Y",'DEF_SELF_SCOUT_IMPORT'!$E$42:$E$1040,SUBSTITUTE(SUBSTITUTE(SUBSTITUTE($B701,"~","~~"),"*","~*"),"?","~?"),'DEF_SELF_SCOUT_IMPORT'!$Q$42:$Q$1040,SUBSTITUTE(SUBSTITUTE(SUBSTITUTE($M701,"~","~~"),"*","~*"),"?","~?"),'DEF_SELF_SCOUT_IMPORT'!$F$42:$F$1040,SUBSTITUTE(SUBSTITUTE(SUBSTITUTE($N701,"~","~~"),"*","~*"),"?","~?"),'DEF_SELF_SCOUT_IMPORT'!$G$42:$G$1040,SUBSTITUTE(SUBSTITUTE(SUBSTITUTE($O701,"~","~~"),"*","~*"),"?","~?"))/$C701)</f>
        <v>0.5</v>
      </c>
      <c r="E701" s="10">
        <f>IF($C701=0,"",SUMIFS('DEF_SELF_SCOUT_IMPORT'!$K$42:$K$1040,'DEF_SELF_SCOUT_IMPORT'!$L$42:$L$1040,"Y",'DEF_SELF_SCOUT_IMPORT'!$E$42:$E$1040,SUBSTITUTE(SUBSTITUTE(SUBSTITUTE($B701,"~","~~"),"*","~*"),"?","~?"),'DEF_SELF_SCOUT_IMPORT'!$Q$42:$Q$1040,SUBSTITUTE(SUBSTITUTE(SUBSTITUTE($M701,"~","~~"),"*","~*"),"?","~?"),'DEF_SELF_SCOUT_IMPORT'!$F$42:$F$1040,SUBSTITUTE(SUBSTITUTE(SUBSTITUTE($N701,"~","~~"),"*","~*"),"?","~?"),'DEF_SELF_SCOUT_IMPORT'!$G$42:$G$1040,SUBSTITUTE(SUBSTITUTE(SUBSTITUTE($O701,"~","~~"),"*","~*"),"?","~?"))/$C701)</f>
        <v>0.0</v>
      </c>
      <c r="F701" s="11">
        <f>IF($C701=0,"",AVERAGEIFS('DEF_SELF_SCOUT_IMPORT'!$I$42:$I$1040,'DEF_SELF_SCOUT_IMPORT'!$L$42:$L$1040,"Y",'DEF_SELF_SCOUT_IMPORT'!$E$42:$E$1040,SUBSTITUTE(SUBSTITUTE(SUBSTITUTE($B701,"~","~~"),"*","~*"),"?","~?"),'DEF_SELF_SCOUT_IMPORT'!$Q$42:$Q$1040,SUBSTITUTE(SUBSTITUTE(SUBSTITUTE($M701,"~","~~"),"*","~*"),"?","~?"),'DEF_SELF_SCOUT_IMPORT'!$F$42:$F$1040,SUBSTITUTE(SUBSTITUTE(SUBSTITUTE($N701,"~","~~"),"*","~*"),"?","~?"),'DEF_SELF_SCOUT_IMPORT'!$G$42:$G$1040,SUBSTITUTE(SUBSTITUTE(SUBSTITUTE($O701,"~","~~"),"*","~*"),"?","~?")))</f>
        <v>5.0</v>
      </c>
      <c r="G701" s="10">
        <f>IF($C701=0,"",COUNTIFS('DEF_SELF_SCOUT_IMPORT'!$L$42:$L$1040,"Y",'DEF_SELF_SCOUT_IMPORT'!$E$42:$E$1040,SUBSTITUTE(SUBSTITUTE(SUBSTITUTE($B701,"~","~~"),"*","~*"),"?","~?"),'DEF_SELF_SCOUT_IMPORT'!$Q$42:$Q$1040,SUBSTITUTE(SUBSTITUTE(SUBSTITUTE($M701,"~","~~"),"*","~*"),"?","~?"),'DEF_SELF_SCOUT_IMPORT'!$F$42:$F$1040,SUBSTITUTE(SUBSTITUTE(SUBSTITUTE($N701,"~","~~"),"*","~*"),"?","~?"),'DEF_SELF_SCOUT_IMPORT'!$G$42:$G$1040,SUBSTITUTE(SUBSTITUTE(SUBSTITUTE($O701,"~","~~"),"*","~*"),"?","~?"),'DEF_SELF_SCOUT_IMPORT'!$H$42:$H$1040,"RUSH")/$C701)</f>
        <v>0.0</v>
      </c>
      <c r="H701" s="10">
        <f>IF($C701=0,"",COUNTIFS('DEF_SELF_SCOUT_IMPORT'!$L$42:$L$1040,"Y",'DEF_SELF_SCOUT_IMPORT'!$E$42:$E$1040,SUBSTITUTE(SUBSTITUTE(SUBSTITUTE($B701,"~","~~"),"*","~*"),"?","~?"),'DEF_SELF_SCOUT_IMPORT'!$Q$42:$Q$1040,SUBSTITUTE(SUBSTITUTE(SUBSTITUTE($M701,"~","~~"),"*","~*"),"?","~?"),'DEF_SELF_SCOUT_IMPORT'!$F$42:$F$1040,SUBSTITUTE(SUBSTITUTE(SUBSTITUTE($N701,"~","~~"),"*","~*"),"?","~?"),'DEF_SELF_SCOUT_IMPORT'!$G$42:$G$1040,SUBSTITUTE(SUBSTITUTE(SUBSTITUTE($O701,"~","~~"),"*","~*"),"?","~?"),'DEF_SELF_SCOUT_IMPORT'!$H$42:$H$1040,"DROPBACK")/$C701)</f>
        <v>1.0</v>
      </c>
      <c r="I701" s="14" t="str">
        <f>IF(C701=0,"",IF(C701&lt;=2,"TRACK",IF(C701=3,"LOW",IF(C701&lt;=6,"MEDIUM","HIGH"))))</f>
        <v>TRACK</v>
      </c>
      <c r="J701" s="11">
        <f>IF(C701=0,"",ROUND(D701*70+(1-E701)*20+MAX(0,MIN(1,(10-F701)/10))*10,1))</f>
        <v>60.0</v>
      </c>
      <c r="K701" s="14" t="str">
        <f>IF(C701=0,"No Evidence",IF(C701&lt;=2,IF(E701&gt;0,"Explosive Alert","Track Only"),IF(C701=3,"Sample Watch",IF(E701&gt;=START_HERE!$B$31,"Explosive Alert",IF(J701&gt;=80,"Strong Candidate",IF(J701&gt;=65,"Good Candidate",IF(J701&gt;=50,"Mixed / Review","Problem Call")))))))</f>
        <v>Track Only</v>
      </c>
      <c r="L701" s="9" t="str">
        <f>IF(COUNTIFS('DEF_SELF_SCOUT_IMPORT'!$L$42:$L$1040,"Y",'DEF_SELF_SCOUT_IMPORT'!$E$42:$E$1040,SUBSTITUTE(SUBSTITUTE(SUBSTITUTE($B701,"~","~~"),"*","~*"),"?","~?"),'DEF_SELF_SCOUT_IMPORT'!$Q$42:$Q$1040,SUBSTITUTE(SUBSTITUTE(SUBSTITUTE($M701,"~","~~"),"*","~*"),"?","~?"),'DEF_SELF_SCOUT_IMPORT'!$F$42:$F$1040,SUBSTITUTE(SUBSTITUTE(SUBSTITUTE($N701,"~","~~"),"*","~*"),"?","~?"),'DEF_SELF_SCOUT_IMPORT'!$G$42:$G$1040,SUBSTITUTE(SUBSTITUTE(SUBSTITUTE($O701,"~","~~"),"*","~*"),"?","~?"),'DEF_SELF_SCOUT_IMPORT'!$J$42:$J$1040,"")&gt;0,"Unscored clean outcome; review result tags before using score.",IF(C701=0,"No matching defensive reps; film confirmation needed.",IF(K701="Explosive Alert","Explosive risk; review clips before using as answer.",IF(C701&lt;=2,"Track only; not enough sample.",IF(C701=3,IF(E701&gt;0,"Sample watch with explosive exposure; review clips and build the sample.",IF(J701&gt;=65,"Good signal, but sample is limited.","Sample watch; review clips and build the sample.")),IF(K701="Problem Call","Problem area; practice or call-sheet review.",IF(K701="Strong Candidate","Strong call-fit candidate; confirm on film.",IF(K701="Good Candidate","Good call-fit signal; confirm on film.","Mixed signal; review fit and execution on film."))))))))</f>
        <v>Track only; not enough sample.</v>
      </c>
      <c r="M701" s="8" t="s">
        <v>85</v>
      </c>
      <c r="N701" s="8" t="s">
        <v>120</v>
      </c>
      <c r="O701" s="8" t="s">
        <v>206</v>
      </c>
      <c r="P701" s="8"/>
      <c r="Q701" s="8"/>
      <c r="R701" s="8" t="s">
        <v>28</v>
      </c>
      <c r="S701" s="2" t="s">
        <v>357</v>
      </c>
      <c r="T701" s="2">
        <f>IF(C701=0,0,IF(C701&gt;=CALL_LOOKUP_BOARD!$B$7,IF(OR(K701="Problem Call",K701="Explosive Alert"),10000000,20000000),0)+IF(C701&gt;=CALL_LOOKUP_BOARD!$B$7,J701*1000+MIN(C701,999),C701*1000+J701)+0.00988700)</f>
        <v>2060.009887</v>
      </c>
      <c r="U701" s="2">
        <f>IF(C701=0,"",IF(COUNTIFS($S$589:$S$803,SUBSTITUTE(SUBSTITUTE(SUBSTITUTE(S701,"~","~~"),"*","~*"),"?","~?"),$T$589:$T$803,"&gt;"&amp;T701)=0,S701,""))</f>
        <v/>
      </c>
    </row>
    <row r="702" spans="1:21" ht="38" customHeight="1">
      <c r="A702" s="8" t="s">
        <v>356</v>
      </c>
      <c r="B702" s="8" t="s">
        <v>34</v>
      </c>
      <c r="C702" s="12">
        <f>COUNTIFS('DEF_SELF_SCOUT_IMPORT'!$L$42:$L$1040,"Y",'DEF_SELF_SCOUT_IMPORT'!$E$42:$E$1040,SUBSTITUTE(SUBSTITUTE(SUBSTITUTE($B702,"~","~~"),"*","~*"),"?","~?"),'DEF_SELF_SCOUT_IMPORT'!$Q$42:$Q$1040,SUBSTITUTE(SUBSTITUTE(SUBSTITUTE($M702,"~","~~"),"*","~*"),"?","~?"),'DEF_SELF_SCOUT_IMPORT'!$F$42:$F$1040,SUBSTITUTE(SUBSTITUTE(SUBSTITUTE($N702,"~","~~"),"*","~*"),"?","~?"),'DEF_SELF_SCOUT_IMPORT'!$G$42:$G$1040,SUBSTITUTE(SUBSTITUTE(SUBSTITUTE($O702,"~","~~"),"*","~*"),"?","~?"))</f>
        <v>1</v>
      </c>
      <c r="D702" s="10">
        <f>IF($C702=0,"",SUMIFS('DEF_SELF_SCOUT_IMPORT'!$J$42:$J$1040,'DEF_SELF_SCOUT_IMPORT'!$L$42:$L$1040,"Y",'DEF_SELF_SCOUT_IMPORT'!$E$42:$E$1040,SUBSTITUTE(SUBSTITUTE(SUBSTITUTE($B702,"~","~~"),"*","~*"),"?","~?"),'DEF_SELF_SCOUT_IMPORT'!$Q$42:$Q$1040,SUBSTITUTE(SUBSTITUTE(SUBSTITUTE($M702,"~","~~"),"*","~*"),"?","~?"),'DEF_SELF_SCOUT_IMPORT'!$F$42:$F$1040,SUBSTITUTE(SUBSTITUTE(SUBSTITUTE($N702,"~","~~"),"*","~*"),"?","~?"),'DEF_SELF_SCOUT_IMPORT'!$G$42:$G$1040,SUBSTITUTE(SUBSTITUTE(SUBSTITUTE($O702,"~","~~"),"*","~*"),"?","~?"))/$C702)</f>
        <v>1.0</v>
      </c>
      <c r="E702" s="10">
        <f>IF($C702=0,"",SUMIFS('DEF_SELF_SCOUT_IMPORT'!$K$42:$K$1040,'DEF_SELF_SCOUT_IMPORT'!$L$42:$L$1040,"Y",'DEF_SELF_SCOUT_IMPORT'!$E$42:$E$1040,SUBSTITUTE(SUBSTITUTE(SUBSTITUTE($B702,"~","~~"),"*","~*"),"?","~?"),'DEF_SELF_SCOUT_IMPORT'!$Q$42:$Q$1040,SUBSTITUTE(SUBSTITUTE(SUBSTITUTE($M702,"~","~~"),"*","~*"),"?","~?"),'DEF_SELF_SCOUT_IMPORT'!$F$42:$F$1040,SUBSTITUTE(SUBSTITUTE(SUBSTITUTE($N702,"~","~~"),"*","~*"),"?","~?"),'DEF_SELF_SCOUT_IMPORT'!$G$42:$G$1040,SUBSTITUTE(SUBSTITUTE(SUBSTITUTE($O702,"~","~~"),"*","~*"),"?","~?"))/$C702)</f>
        <v>0.0</v>
      </c>
      <c r="F702" s="11">
        <f>IF($C702=0,"",AVERAGEIFS('DEF_SELF_SCOUT_IMPORT'!$I$42:$I$1040,'DEF_SELF_SCOUT_IMPORT'!$L$42:$L$1040,"Y",'DEF_SELF_SCOUT_IMPORT'!$E$42:$E$1040,SUBSTITUTE(SUBSTITUTE(SUBSTITUTE($B702,"~","~~"),"*","~*"),"?","~?"),'DEF_SELF_SCOUT_IMPORT'!$Q$42:$Q$1040,SUBSTITUTE(SUBSTITUTE(SUBSTITUTE($M702,"~","~~"),"*","~*"),"?","~?"),'DEF_SELF_SCOUT_IMPORT'!$F$42:$F$1040,SUBSTITUTE(SUBSTITUTE(SUBSTITUTE($N702,"~","~~"),"*","~*"),"?","~?"),'DEF_SELF_SCOUT_IMPORT'!$G$42:$G$1040,SUBSTITUTE(SUBSTITUTE(SUBSTITUTE($O702,"~","~~"),"*","~*"),"?","~?")))</f>
        <v>0.0</v>
      </c>
      <c r="G702" s="10">
        <f>IF($C702=0,"",COUNTIFS('DEF_SELF_SCOUT_IMPORT'!$L$42:$L$1040,"Y",'DEF_SELF_SCOUT_IMPORT'!$E$42:$E$1040,SUBSTITUTE(SUBSTITUTE(SUBSTITUTE($B702,"~","~~"),"*","~*"),"?","~?"),'DEF_SELF_SCOUT_IMPORT'!$Q$42:$Q$1040,SUBSTITUTE(SUBSTITUTE(SUBSTITUTE($M702,"~","~~"),"*","~*"),"?","~?"),'DEF_SELF_SCOUT_IMPORT'!$F$42:$F$1040,SUBSTITUTE(SUBSTITUTE(SUBSTITUTE($N702,"~","~~"),"*","~*"),"?","~?"),'DEF_SELF_SCOUT_IMPORT'!$G$42:$G$1040,SUBSTITUTE(SUBSTITUTE(SUBSTITUTE($O702,"~","~~"),"*","~*"),"?","~?"),'DEF_SELF_SCOUT_IMPORT'!$H$42:$H$1040,"RUSH")/$C702)</f>
        <v>0.0</v>
      </c>
      <c r="H702" s="10">
        <f>IF($C702=0,"",COUNTIFS('DEF_SELF_SCOUT_IMPORT'!$L$42:$L$1040,"Y",'DEF_SELF_SCOUT_IMPORT'!$E$42:$E$1040,SUBSTITUTE(SUBSTITUTE(SUBSTITUTE($B702,"~","~~"),"*","~*"),"?","~?"),'DEF_SELF_SCOUT_IMPORT'!$Q$42:$Q$1040,SUBSTITUTE(SUBSTITUTE(SUBSTITUTE($M702,"~","~~"),"*","~*"),"?","~?"),'DEF_SELF_SCOUT_IMPORT'!$F$42:$F$1040,SUBSTITUTE(SUBSTITUTE(SUBSTITUTE($N702,"~","~~"),"*","~*"),"?","~?"),'DEF_SELF_SCOUT_IMPORT'!$G$42:$G$1040,SUBSTITUTE(SUBSTITUTE(SUBSTITUTE($O702,"~","~~"),"*","~*"),"?","~?"),'DEF_SELF_SCOUT_IMPORT'!$H$42:$H$1040,"DROPBACK")/$C702)</f>
        <v>1.0</v>
      </c>
      <c r="I702" s="14" t="str">
        <f>IF(C702=0,"",IF(C702&lt;=2,"TRACK",IF(C702=3,"LOW",IF(C702&lt;=6,"MEDIUM","HIGH"))))</f>
        <v>TRACK</v>
      </c>
      <c r="J702" s="11">
        <f>IF(C702=0,"",ROUND(D702*70+(1-E702)*20+MAX(0,MIN(1,(10-F702)/10))*10,1))</f>
        <v>100.0</v>
      </c>
      <c r="K702" s="14" t="str">
        <f>IF(C702=0,"No Evidence",IF(C702&lt;=2,IF(E702&gt;0,"Explosive Alert","Track Only"),IF(C702=3,"Sample Watch",IF(E702&gt;=START_HERE!$B$31,"Explosive Alert",IF(J702&gt;=80,"Strong Candidate",IF(J702&gt;=65,"Good Candidate",IF(J702&gt;=50,"Mixed / Review","Problem Call")))))))</f>
        <v>Track Only</v>
      </c>
      <c r="L702" s="9" t="str">
        <f>IF(COUNTIFS('DEF_SELF_SCOUT_IMPORT'!$L$42:$L$1040,"Y",'DEF_SELF_SCOUT_IMPORT'!$E$42:$E$1040,SUBSTITUTE(SUBSTITUTE(SUBSTITUTE($B702,"~","~~"),"*","~*"),"?","~?"),'DEF_SELF_SCOUT_IMPORT'!$Q$42:$Q$1040,SUBSTITUTE(SUBSTITUTE(SUBSTITUTE($M702,"~","~~"),"*","~*"),"?","~?"),'DEF_SELF_SCOUT_IMPORT'!$F$42:$F$1040,SUBSTITUTE(SUBSTITUTE(SUBSTITUTE($N702,"~","~~"),"*","~*"),"?","~?"),'DEF_SELF_SCOUT_IMPORT'!$G$42:$G$1040,SUBSTITUTE(SUBSTITUTE(SUBSTITUTE($O702,"~","~~"),"*","~*"),"?","~?"),'DEF_SELF_SCOUT_IMPORT'!$J$42:$J$1040,"")&gt;0,"Unscored clean outcome; review result tags before using score.",IF(C702=0,"No matching defensive reps; film confirmation needed.",IF(K702="Explosive Alert","Explosive risk; review clips before using as answer.",IF(C702&lt;=2,"Track only; not enough sample.",IF(C702=3,IF(E702&gt;0,"Sample watch with explosive exposure; review clips and build the sample.",IF(J702&gt;=65,"Good signal, but sample is limited.","Sample watch; review clips and build the sample.")),IF(K702="Problem Call","Problem area; practice or call-sheet review.",IF(K702="Strong Candidate","Strong call-fit candidate; confirm on film.",IF(K702="Good Candidate","Good call-fit signal; confirm on film.","Mixed signal; review fit and execution on film."))))))))</f>
        <v>Track only; not enough sample.</v>
      </c>
      <c r="M702" s="8" t="s">
        <v>85</v>
      </c>
      <c r="N702" s="8" t="s">
        <v>120</v>
      </c>
      <c r="O702" s="8" t="s">
        <v>206</v>
      </c>
      <c r="P702" s="8"/>
      <c r="Q702" s="8"/>
      <c r="R702" s="8" t="s">
        <v>28</v>
      </c>
      <c r="S702" s="2" t="s">
        <v>357</v>
      </c>
      <c r="T702" s="2">
        <f>IF(C702=0,0,IF(C702&gt;=CALL_LOOKUP_BOARD!$B$7,IF(OR(K702="Problem Call",K702="Explosive Alert"),10000000,20000000),0)+IF(C702&gt;=CALL_LOOKUP_BOARD!$B$7,J702*1000+MIN(C702,999),C702*1000+J702)+0.00988600)</f>
        <v>1100.009886</v>
      </c>
      <c r="U702" s="2">
        <f>IF(C702=0,"",IF(COUNTIFS($S$589:$S$803,SUBSTITUTE(SUBSTITUTE(SUBSTITUTE(S702,"~","~~"),"*","~*"),"?","~?"),$T$589:$T$803,"&gt;"&amp;T702)=0,S702,""))</f>
        <v/>
      </c>
    </row>
    <row r="703" spans="1:21" ht="38" customHeight="1">
      <c r="A703" s="8" t="s">
        <v>356</v>
      </c>
      <c r="B703" s="8" t="s">
        <v>49</v>
      </c>
      <c r="C703" s="12">
        <f>COUNTIFS('DEF_SELF_SCOUT_IMPORT'!$L$42:$L$1040,"Y",'DEF_SELF_SCOUT_IMPORT'!$E$42:$E$1040,SUBSTITUTE(SUBSTITUTE(SUBSTITUTE($B703,"~","~~"),"*","~*"),"?","~?"),'DEF_SELF_SCOUT_IMPORT'!$Q$42:$Q$1040,SUBSTITUTE(SUBSTITUTE(SUBSTITUTE($M703,"~","~~"),"*","~*"),"?","~?"),'DEF_SELF_SCOUT_IMPORT'!$F$42:$F$1040,SUBSTITUTE(SUBSTITUTE(SUBSTITUTE($N703,"~","~~"),"*","~*"),"?","~?"),'DEF_SELF_SCOUT_IMPORT'!$G$42:$G$1040,SUBSTITUTE(SUBSTITUTE(SUBSTITUTE($O703,"~","~~"),"*","~*"),"?","~?"))</f>
        <v>1</v>
      </c>
      <c r="D703" s="10">
        <f>IF($C703=0,"",SUMIFS('DEF_SELF_SCOUT_IMPORT'!$J$42:$J$1040,'DEF_SELF_SCOUT_IMPORT'!$L$42:$L$1040,"Y",'DEF_SELF_SCOUT_IMPORT'!$E$42:$E$1040,SUBSTITUTE(SUBSTITUTE(SUBSTITUTE($B703,"~","~~"),"*","~*"),"?","~?"),'DEF_SELF_SCOUT_IMPORT'!$Q$42:$Q$1040,SUBSTITUTE(SUBSTITUTE(SUBSTITUTE($M703,"~","~~"),"*","~*"),"?","~?"),'DEF_SELF_SCOUT_IMPORT'!$F$42:$F$1040,SUBSTITUTE(SUBSTITUTE(SUBSTITUTE($N703,"~","~~"),"*","~*"),"?","~?"),'DEF_SELF_SCOUT_IMPORT'!$G$42:$G$1040,SUBSTITUTE(SUBSTITUTE(SUBSTITUTE($O703,"~","~~"),"*","~*"),"?","~?"))/$C703)</f>
        <v>1.0</v>
      </c>
      <c r="E703" s="10">
        <f>IF($C703=0,"",SUMIFS('DEF_SELF_SCOUT_IMPORT'!$K$42:$K$1040,'DEF_SELF_SCOUT_IMPORT'!$L$42:$L$1040,"Y",'DEF_SELF_SCOUT_IMPORT'!$E$42:$E$1040,SUBSTITUTE(SUBSTITUTE(SUBSTITUTE($B703,"~","~~"),"*","~*"),"?","~?"),'DEF_SELF_SCOUT_IMPORT'!$Q$42:$Q$1040,SUBSTITUTE(SUBSTITUTE(SUBSTITUTE($M703,"~","~~"),"*","~*"),"?","~?"),'DEF_SELF_SCOUT_IMPORT'!$F$42:$F$1040,SUBSTITUTE(SUBSTITUTE(SUBSTITUTE($N703,"~","~~"),"*","~*"),"?","~?"),'DEF_SELF_SCOUT_IMPORT'!$G$42:$G$1040,SUBSTITUTE(SUBSTITUTE(SUBSTITUTE($O703,"~","~~"),"*","~*"),"?","~?"))/$C703)</f>
        <v>0.0</v>
      </c>
      <c r="F703" s="11">
        <f>IF($C703=0,"",AVERAGEIFS('DEF_SELF_SCOUT_IMPORT'!$I$42:$I$1040,'DEF_SELF_SCOUT_IMPORT'!$L$42:$L$1040,"Y",'DEF_SELF_SCOUT_IMPORT'!$E$42:$E$1040,SUBSTITUTE(SUBSTITUTE(SUBSTITUTE($B703,"~","~~"),"*","~*"),"?","~?"),'DEF_SELF_SCOUT_IMPORT'!$Q$42:$Q$1040,SUBSTITUTE(SUBSTITUTE(SUBSTITUTE($M703,"~","~~"),"*","~*"),"?","~?"),'DEF_SELF_SCOUT_IMPORT'!$F$42:$F$1040,SUBSTITUTE(SUBSTITUTE(SUBSTITUTE($N703,"~","~~"),"*","~*"),"?","~?"),'DEF_SELF_SCOUT_IMPORT'!$G$42:$G$1040,SUBSTITUTE(SUBSTITUTE(SUBSTITUTE($O703,"~","~~"),"*","~*"),"?","~?")))</f>
        <v>0.0</v>
      </c>
      <c r="G703" s="10">
        <f>IF($C703=0,"",COUNTIFS('DEF_SELF_SCOUT_IMPORT'!$L$42:$L$1040,"Y",'DEF_SELF_SCOUT_IMPORT'!$E$42:$E$1040,SUBSTITUTE(SUBSTITUTE(SUBSTITUTE($B703,"~","~~"),"*","~*"),"?","~?"),'DEF_SELF_SCOUT_IMPORT'!$Q$42:$Q$1040,SUBSTITUTE(SUBSTITUTE(SUBSTITUTE($M703,"~","~~"),"*","~*"),"?","~?"),'DEF_SELF_SCOUT_IMPORT'!$F$42:$F$1040,SUBSTITUTE(SUBSTITUTE(SUBSTITUTE($N703,"~","~~"),"*","~*"),"?","~?"),'DEF_SELF_SCOUT_IMPORT'!$G$42:$G$1040,SUBSTITUTE(SUBSTITUTE(SUBSTITUTE($O703,"~","~~"),"*","~*"),"?","~?"),'DEF_SELF_SCOUT_IMPORT'!$H$42:$H$1040,"RUSH")/$C703)</f>
        <v>0.0</v>
      </c>
      <c r="H703" s="10">
        <f>IF($C703=0,"",COUNTIFS('DEF_SELF_SCOUT_IMPORT'!$L$42:$L$1040,"Y",'DEF_SELF_SCOUT_IMPORT'!$E$42:$E$1040,SUBSTITUTE(SUBSTITUTE(SUBSTITUTE($B703,"~","~~"),"*","~*"),"?","~?"),'DEF_SELF_SCOUT_IMPORT'!$Q$42:$Q$1040,SUBSTITUTE(SUBSTITUTE(SUBSTITUTE($M703,"~","~~"),"*","~*"),"?","~?"),'DEF_SELF_SCOUT_IMPORT'!$F$42:$F$1040,SUBSTITUTE(SUBSTITUTE(SUBSTITUTE($N703,"~","~~"),"*","~*"),"?","~?"),'DEF_SELF_SCOUT_IMPORT'!$G$42:$G$1040,SUBSTITUTE(SUBSTITUTE(SUBSTITUTE($O703,"~","~~"),"*","~*"),"?","~?"),'DEF_SELF_SCOUT_IMPORT'!$H$42:$H$1040,"DROPBACK")/$C703)</f>
        <v>1.0</v>
      </c>
      <c r="I703" s="14" t="str">
        <f>IF(C703=0,"",IF(C703&lt;=2,"TRACK",IF(C703=3,"LOW",IF(C703&lt;=6,"MEDIUM","HIGH"))))</f>
        <v>TRACK</v>
      </c>
      <c r="J703" s="11">
        <f>IF(C703=0,"",ROUND(D703*70+(1-E703)*20+MAX(0,MIN(1,(10-F703)/10))*10,1))</f>
        <v>100.0</v>
      </c>
      <c r="K703" s="14" t="str">
        <f>IF(C703=0,"No Evidence",IF(C703&lt;=2,IF(E703&gt;0,"Explosive Alert","Track Only"),IF(C703=3,"Sample Watch",IF(E703&gt;=START_HERE!$B$31,"Explosive Alert",IF(J703&gt;=80,"Strong Candidate",IF(J703&gt;=65,"Good Candidate",IF(J703&gt;=50,"Mixed / Review","Problem Call")))))))</f>
        <v>Track Only</v>
      </c>
      <c r="L703" s="9" t="str">
        <f>IF(COUNTIFS('DEF_SELF_SCOUT_IMPORT'!$L$42:$L$1040,"Y",'DEF_SELF_SCOUT_IMPORT'!$E$42:$E$1040,SUBSTITUTE(SUBSTITUTE(SUBSTITUTE($B703,"~","~~"),"*","~*"),"?","~?"),'DEF_SELF_SCOUT_IMPORT'!$Q$42:$Q$1040,SUBSTITUTE(SUBSTITUTE(SUBSTITUTE($M703,"~","~~"),"*","~*"),"?","~?"),'DEF_SELF_SCOUT_IMPORT'!$F$42:$F$1040,SUBSTITUTE(SUBSTITUTE(SUBSTITUTE($N703,"~","~~"),"*","~*"),"?","~?"),'DEF_SELF_SCOUT_IMPORT'!$G$42:$G$1040,SUBSTITUTE(SUBSTITUTE(SUBSTITUTE($O703,"~","~~"),"*","~*"),"?","~?"),'DEF_SELF_SCOUT_IMPORT'!$J$42:$J$1040,"")&gt;0,"Unscored clean outcome; review result tags before using score.",IF(C703=0,"No matching defensive reps; film confirmation needed.",IF(K703="Explosive Alert","Explosive risk; review clips before using as answer.",IF(C703&lt;=2,"Track only; not enough sample.",IF(C703=3,IF(E703&gt;0,"Sample watch with explosive exposure; review clips and build the sample.",IF(J703&gt;=65,"Good signal, but sample is limited.","Sample watch; review clips and build the sample.")),IF(K703="Problem Call","Problem area; practice or call-sheet review.",IF(K703="Strong Candidate","Strong call-fit candidate; confirm on film.",IF(K703="Good Candidate","Good call-fit signal; confirm on film.","Mixed signal; review fit and execution on film."))))))))</f>
        <v>Track only; not enough sample.</v>
      </c>
      <c r="M703" s="8" t="s">
        <v>85</v>
      </c>
      <c r="N703" s="8" t="s">
        <v>120</v>
      </c>
      <c r="O703" s="8" t="s">
        <v>206</v>
      </c>
      <c r="P703" s="8"/>
      <c r="Q703" s="8"/>
      <c r="R703" s="8" t="s">
        <v>28</v>
      </c>
      <c r="S703" s="2" t="s">
        <v>357</v>
      </c>
      <c r="T703" s="2">
        <f>IF(C703=0,0,IF(C703&gt;=CALL_LOOKUP_BOARD!$B$7,IF(OR(K703="Problem Call",K703="Explosive Alert"),10000000,20000000),0)+IF(C703&gt;=CALL_LOOKUP_BOARD!$B$7,J703*1000+MIN(C703,999),C703*1000+J703)+0.00988500)</f>
        <v>1100.009885</v>
      </c>
      <c r="U703" s="2">
        <f>IF(C703=0,"",IF(COUNTIFS($S$589:$S$803,SUBSTITUTE(SUBSTITUTE(SUBSTITUTE(S703,"~","~~"),"*","~*"),"?","~?"),$T$589:$T$803,"&gt;"&amp;T703)=0,S703,""))</f>
        <v/>
      </c>
    </row>
    <row r="704" spans="1:21" ht="38" customHeight="1">
      <c r="A704" s="8" t="s">
        <v>356</v>
      </c>
      <c r="B704" s="8" t="s">
        <v>87</v>
      </c>
      <c r="C704" s="12">
        <f>COUNTIFS('DEF_SELF_SCOUT_IMPORT'!$L$42:$L$1040,"Y",'DEF_SELF_SCOUT_IMPORT'!$E$42:$E$1040,SUBSTITUTE(SUBSTITUTE(SUBSTITUTE($B704,"~","~~"),"*","~*"),"?","~?"),'DEF_SELF_SCOUT_IMPORT'!$Q$42:$Q$1040,SUBSTITUTE(SUBSTITUTE(SUBSTITUTE($M704,"~","~~"),"*","~*"),"?","~?"),'DEF_SELF_SCOUT_IMPORT'!$F$42:$F$1040,SUBSTITUTE(SUBSTITUTE(SUBSTITUTE($N704,"~","~~"),"*","~*"),"?","~?"),'DEF_SELF_SCOUT_IMPORT'!$G$42:$G$1040,SUBSTITUTE(SUBSTITUTE(SUBSTITUTE($O704,"~","~~"),"*","~*"),"?","~?"))</f>
        <v>1</v>
      </c>
      <c r="D704" s="10">
        <f>IF($C704=0,"",SUMIFS('DEF_SELF_SCOUT_IMPORT'!$J$42:$J$1040,'DEF_SELF_SCOUT_IMPORT'!$L$42:$L$1040,"Y",'DEF_SELF_SCOUT_IMPORT'!$E$42:$E$1040,SUBSTITUTE(SUBSTITUTE(SUBSTITUTE($B704,"~","~~"),"*","~*"),"?","~?"),'DEF_SELF_SCOUT_IMPORT'!$Q$42:$Q$1040,SUBSTITUTE(SUBSTITUTE(SUBSTITUTE($M704,"~","~~"),"*","~*"),"?","~?"),'DEF_SELF_SCOUT_IMPORT'!$F$42:$F$1040,SUBSTITUTE(SUBSTITUTE(SUBSTITUTE($N704,"~","~~"),"*","~*"),"?","~?"),'DEF_SELF_SCOUT_IMPORT'!$G$42:$G$1040,SUBSTITUTE(SUBSTITUTE(SUBSTITUTE($O704,"~","~~"),"*","~*"),"?","~?"))/$C704)</f>
        <v>0.0</v>
      </c>
      <c r="E704" s="10">
        <f>IF($C704=0,"",SUMIFS('DEF_SELF_SCOUT_IMPORT'!$K$42:$K$1040,'DEF_SELF_SCOUT_IMPORT'!$L$42:$L$1040,"Y",'DEF_SELF_SCOUT_IMPORT'!$E$42:$E$1040,SUBSTITUTE(SUBSTITUTE(SUBSTITUTE($B704,"~","~~"),"*","~*"),"?","~?"),'DEF_SELF_SCOUT_IMPORT'!$Q$42:$Q$1040,SUBSTITUTE(SUBSTITUTE(SUBSTITUTE($M704,"~","~~"),"*","~*"),"?","~?"),'DEF_SELF_SCOUT_IMPORT'!$F$42:$F$1040,SUBSTITUTE(SUBSTITUTE(SUBSTITUTE($N704,"~","~~"),"*","~*"),"?","~?"),'DEF_SELF_SCOUT_IMPORT'!$G$42:$G$1040,SUBSTITUTE(SUBSTITUTE(SUBSTITUTE($O704,"~","~~"),"*","~*"),"?","~?"))/$C704)</f>
        <v>0.0</v>
      </c>
      <c r="F704" s="11">
        <f>IF($C704=0,"",AVERAGEIFS('DEF_SELF_SCOUT_IMPORT'!$I$42:$I$1040,'DEF_SELF_SCOUT_IMPORT'!$L$42:$L$1040,"Y",'DEF_SELF_SCOUT_IMPORT'!$E$42:$E$1040,SUBSTITUTE(SUBSTITUTE(SUBSTITUTE($B704,"~","~~"),"*","~*"),"?","~?"),'DEF_SELF_SCOUT_IMPORT'!$Q$42:$Q$1040,SUBSTITUTE(SUBSTITUTE(SUBSTITUTE($M704,"~","~~"),"*","~*"),"?","~?"),'DEF_SELF_SCOUT_IMPORT'!$F$42:$F$1040,SUBSTITUTE(SUBSTITUTE(SUBSTITUTE($N704,"~","~~"),"*","~*"),"?","~?"),'DEF_SELF_SCOUT_IMPORT'!$G$42:$G$1040,SUBSTITUTE(SUBSTITUTE(SUBSTITUTE($O704,"~","~~"),"*","~*"),"?","~?")))</f>
        <v>5.0</v>
      </c>
      <c r="G704" s="10">
        <f>IF($C704=0,"",COUNTIFS('DEF_SELF_SCOUT_IMPORT'!$L$42:$L$1040,"Y",'DEF_SELF_SCOUT_IMPORT'!$E$42:$E$1040,SUBSTITUTE(SUBSTITUTE(SUBSTITUTE($B704,"~","~~"),"*","~*"),"?","~?"),'DEF_SELF_SCOUT_IMPORT'!$Q$42:$Q$1040,SUBSTITUTE(SUBSTITUTE(SUBSTITUTE($M704,"~","~~"),"*","~*"),"?","~?"),'DEF_SELF_SCOUT_IMPORT'!$F$42:$F$1040,SUBSTITUTE(SUBSTITUTE(SUBSTITUTE($N704,"~","~~"),"*","~*"),"?","~?"),'DEF_SELF_SCOUT_IMPORT'!$G$42:$G$1040,SUBSTITUTE(SUBSTITUTE(SUBSTITUTE($O704,"~","~~"),"*","~*"),"?","~?"),'DEF_SELF_SCOUT_IMPORT'!$H$42:$H$1040,"RUSH")/$C704)</f>
        <v>1.0</v>
      </c>
      <c r="H704" s="10">
        <f>IF($C704=0,"",COUNTIFS('DEF_SELF_SCOUT_IMPORT'!$L$42:$L$1040,"Y",'DEF_SELF_SCOUT_IMPORT'!$E$42:$E$1040,SUBSTITUTE(SUBSTITUTE(SUBSTITUTE($B704,"~","~~"),"*","~*"),"?","~?"),'DEF_SELF_SCOUT_IMPORT'!$Q$42:$Q$1040,SUBSTITUTE(SUBSTITUTE(SUBSTITUTE($M704,"~","~~"),"*","~*"),"?","~?"),'DEF_SELF_SCOUT_IMPORT'!$F$42:$F$1040,SUBSTITUTE(SUBSTITUTE(SUBSTITUTE($N704,"~","~~"),"*","~*"),"?","~?"),'DEF_SELF_SCOUT_IMPORT'!$G$42:$G$1040,SUBSTITUTE(SUBSTITUTE(SUBSTITUTE($O704,"~","~~"),"*","~*"),"?","~?"),'DEF_SELF_SCOUT_IMPORT'!$H$42:$H$1040,"DROPBACK")/$C704)</f>
        <v>0.0</v>
      </c>
      <c r="I704" s="14" t="str">
        <f>IF(C704=0,"",IF(C704&lt;=2,"TRACK",IF(C704=3,"LOW",IF(C704&lt;=6,"MEDIUM","HIGH"))))</f>
        <v>TRACK</v>
      </c>
      <c r="J704" s="11">
        <f>IF(C704=0,"",ROUND(D704*70+(1-E704)*20+MAX(0,MIN(1,(10-F704)/10))*10,1))</f>
        <v>25.0</v>
      </c>
      <c r="K704" s="14" t="str">
        <f>IF(C704=0,"No Evidence",IF(C704&lt;=2,IF(E704&gt;0,"Explosive Alert","Track Only"),IF(C704=3,"Sample Watch",IF(E704&gt;=START_HERE!$B$31,"Explosive Alert",IF(J704&gt;=80,"Strong Candidate",IF(J704&gt;=65,"Good Candidate",IF(J704&gt;=50,"Mixed / Review","Problem Call")))))))</f>
        <v>Track Only</v>
      </c>
      <c r="L704" s="9" t="str">
        <f>IF(COUNTIFS('DEF_SELF_SCOUT_IMPORT'!$L$42:$L$1040,"Y",'DEF_SELF_SCOUT_IMPORT'!$E$42:$E$1040,SUBSTITUTE(SUBSTITUTE(SUBSTITUTE($B704,"~","~~"),"*","~*"),"?","~?"),'DEF_SELF_SCOUT_IMPORT'!$Q$42:$Q$1040,SUBSTITUTE(SUBSTITUTE(SUBSTITUTE($M704,"~","~~"),"*","~*"),"?","~?"),'DEF_SELF_SCOUT_IMPORT'!$F$42:$F$1040,SUBSTITUTE(SUBSTITUTE(SUBSTITUTE($N704,"~","~~"),"*","~*"),"?","~?"),'DEF_SELF_SCOUT_IMPORT'!$G$42:$G$1040,SUBSTITUTE(SUBSTITUTE(SUBSTITUTE($O704,"~","~~"),"*","~*"),"?","~?"),'DEF_SELF_SCOUT_IMPORT'!$J$42:$J$1040,"")&gt;0,"Unscored clean outcome; review result tags before using score.",IF(C704=0,"No matching defensive reps; film confirmation needed.",IF(K704="Explosive Alert","Explosive risk; review clips before using as answer.",IF(C704&lt;=2,"Track only; not enough sample.",IF(C704=3,IF(E704&gt;0,"Sample watch with explosive exposure; review clips and build the sample.",IF(J704&gt;=65,"Good signal, but sample is limited.","Sample watch; review clips and build the sample.")),IF(K704="Problem Call","Problem area; practice or call-sheet review.",IF(K704="Strong Candidate","Strong call-fit candidate; confirm on film.",IF(K704="Good Candidate","Good call-fit signal; confirm on film.","Mixed signal; review fit and execution on film."))))))))</f>
        <v>Track only; not enough sample.</v>
      </c>
      <c r="M704" s="8" t="s">
        <v>85</v>
      </c>
      <c r="N704" s="8" t="s">
        <v>120</v>
      </c>
      <c r="O704" s="8" t="s">
        <v>206</v>
      </c>
      <c r="P704" s="8"/>
      <c r="Q704" s="8"/>
      <c r="R704" s="8" t="s">
        <v>28</v>
      </c>
      <c r="S704" s="2" t="s">
        <v>357</v>
      </c>
      <c r="T704" s="2">
        <f>IF(C704=0,0,IF(C704&gt;=CALL_LOOKUP_BOARD!$B$7,IF(OR(K704="Problem Call",K704="Explosive Alert"),10000000,20000000),0)+IF(C704&gt;=CALL_LOOKUP_BOARD!$B$7,J704*1000+MIN(C704,999),C704*1000+J704)+0.00988400)</f>
        <v>1025.009884</v>
      </c>
      <c r="U704" s="2">
        <f>IF(C704=0,"",IF(COUNTIFS($S$589:$S$803,SUBSTITUTE(SUBSTITUTE(SUBSTITUTE(S704,"~","~~"),"*","~*"),"?","~?"),$T$589:$T$803,"&gt;"&amp;T704)=0,S704,""))</f>
        <v/>
      </c>
    </row>
    <row r="705" spans="1:21" ht="38" customHeight="1">
      <c r="A705" s="8" t="s">
        <v>356</v>
      </c>
      <c r="B705" s="8" t="s">
        <v>60</v>
      </c>
      <c r="C705" s="12">
        <f>COUNTIFS('DEF_SELF_SCOUT_IMPORT'!$L$42:$L$1040,"Y",'DEF_SELF_SCOUT_IMPORT'!$E$42:$E$1040,SUBSTITUTE(SUBSTITUTE(SUBSTITUTE($B705,"~","~~"),"*","~*"),"?","~?"),'DEF_SELF_SCOUT_IMPORT'!$Q$42:$Q$1040,SUBSTITUTE(SUBSTITUTE(SUBSTITUTE($M705,"~","~~"),"*","~*"),"?","~?"),'DEF_SELF_SCOUT_IMPORT'!$F$42:$F$1040,SUBSTITUTE(SUBSTITUTE(SUBSTITUTE($N705,"~","~~"),"*","~*"),"?","~?"),'DEF_SELF_SCOUT_IMPORT'!$G$42:$G$1040,SUBSTITUTE(SUBSTITUTE(SUBSTITUTE($O705,"~","~~"),"*","~*"),"?","~?"))</f>
        <v>2</v>
      </c>
      <c r="D705" s="10">
        <f>IF($C705=0,"",SUMIFS('DEF_SELF_SCOUT_IMPORT'!$J$42:$J$1040,'DEF_SELF_SCOUT_IMPORT'!$L$42:$L$1040,"Y",'DEF_SELF_SCOUT_IMPORT'!$E$42:$E$1040,SUBSTITUTE(SUBSTITUTE(SUBSTITUTE($B705,"~","~~"),"*","~*"),"?","~?"),'DEF_SELF_SCOUT_IMPORT'!$Q$42:$Q$1040,SUBSTITUTE(SUBSTITUTE(SUBSTITUTE($M705,"~","~~"),"*","~*"),"?","~?"),'DEF_SELF_SCOUT_IMPORT'!$F$42:$F$1040,SUBSTITUTE(SUBSTITUTE(SUBSTITUTE($N705,"~","~~"),"*","~*"),"?","~?"),'DEF_SELF_SCOUT_IMPORT'!$G$42:$G$1040,SUBSTITUTE(SUBSTITUTE(SUBSTITUTE($O705,"~","~~"),"*","~*"),"?","~?"))/$C705)</f>
        <v>0.5</v>
      </c>
      <c r="E705" s="10">
        <f>IF($C705=0,"",SUMIFS('DEF_SELF_SCOUT_IMPORT'!$K$42:$K$1040,'DEF_SELF_SCOUT_IMPORT'!$L$42:$L$1040,"Y",'DEF_SELF_SCOUT_IMPORT'!$E$42:$E$1040,SUBSTITUTE(SUBSTITUTE(SUBSTITUTE($B705,"~","~~"),"*","~*"),"?","~?"),'DEF_SELF_SCOUT_IMPORT'!$Q$42:$Q$1040,SUBSTITUTE(SUBSTITUTE(SUBSTITUTE($M705,"~","~~"),"*","~*"),"?","~?"),'DEF_SELF_SCOUT_IMPORT'!$F$42:$F$1040,SUBSTITUTE(SUBSTITUTE(SUBSTITUTE($N705,"~","~~"),"*","~*"),"?","~?"),'DEF_SELF_SCOUT_IMPORT'!$G$42:$G$1040,SUBSTITUTE(SUBSTITUTE(SUBSTITUTE($O705,"~","~~"),"*","~*"),"?","~?"))/$C705)</f>
        <v>0.0</v>
      </c>
      <c r="F705" s="11">
        <f>IF($C705=0,"",AVERAGEIFS('DEF_SELF_SCOUT_IMPORT'!$I$42:$I$1040,'DEF_SELF_SCOUT_IMPORT'!$L$42:$L$1040,"Y",'DEF_SELF_SCOUT_IMPORT'!$E$42:$E$1040,SUBSTITUTE(SUBSTITUTE(SUBSTITUTE($B705,"~","~~"),"*","~*"),"?","~?"),'DEF_SELF_SCOUT_IMPORT'!$Q$42:$Q$1040,SUBSTITUTE(SUBSTITUTE(SUBSTITUTE($M705,"~","~~"),"*","~*"),"?","~?"),'DEF_SELF_SCOUT_IMPORT'!$F$42:$F$1040,SUBSTITUTE(SUBSTITUTE(SUBSTITUTE($N705,"~","~~"),"*","~*"),"?","~?"),'DEF_SELF_SCOUT_IMPORT'!$G$42:$G$1040,SUBSTITUTE(SUBSTITUTE(SUBSTITUTE($O705,"~","~~"),"*","~*"),"?","~?")))</f>
        <v>5.0</v>
      </c>
      <c r="G705" s="10">
        <f>IF($C705=0,"",COUNTIFS('DEF_SELF_SCOUT_IMPORT'!$L$42:$L$1040,"Y",'DEF_SELF_SCOUT_IMPORT'!$E$42:$E$1040,SUBSTITUTE(SUBSTITUTE(SUBSTITUTE($B705,"~","~~"),"*","~*"),"?","~?"),'DEF_SELF_SCOUT_IMPORT'!$Q$42:$Q$1040,SUBSTITUTE(SUBSTITUTE(SUBSTITUTE($M705,"~","~~"),"*","~*"),"?","~?"),'DEF_SELF_SCOUT_IMPORT'!$F$42:$F$1040,SUBSTITUTE(SUBSTITUTE(SUBSTITUTE($N705,"~","~~"),"*","~*"),"?","~?"),'DEF_SELF_SCOUT_IMPORT'!$G$42:$G$1040,SUBSTITUTE(SUBSTITUTE(SUBSTITUTE($O705,"~","~~"),"*","~*"),"?","~?"),'DEF_SELF_SCOUT_IMPORT'!$H$42:$H$1040,"RUSH")/$C705)</f>
        <v>0.0</v>
      </c>
      <c r="H705" s="10">
        <f>IF($C705=0,"",COUNTIFS('DEF_SELF_SCOUT_IMPORT'!$L$42:$L$1040,"Y",'DEF_SELF_SCOUT_IMPORT'!$E$42:$E$1040,SUBSTITUTE(SUBSTITUTE(SUBSTITUTE($B705,"~","~~"),"*","~*"),"?","~?"),'DEF_SELF_SCOUT_IMPORT'!$Q$42:$Q$1040,SUBSTITUTE(SUBSTITUTE(SUBSTITUTE($M705,"~","~~"),"*","~*"),"?","~?"),'DEF_SELF_SCOUT_IMPORT'!$F$42:$F$1040,SUBSTITUTE(SUBSTITUTE(SUBSTITUTE($N705,"~","~~"),"*","~*"),"?","~?"),'DEF_SELF_SCOUT_IMPORT'!$G$42:$G$1040,SUBSTITUTE(SUBSTITUTE(SUBSTITUTE($O705,"~","~~"),"*","~*"),"?","~?"),'DEF_SELF_SCOUT_IMPORT'!$H$42:$H$1040,"DROPBACK")/$C705)</f>
        <v>1.0</v>
      </c>
      <c r="I705" s="14" t="str">
        <f>IF(C705=0,"",IF(C705&lt;=2,"TRACK",IF(C705=3,"LOW",IF(C705&lt;=6,"MEDIUM","HIGH"))))</f>
        <v>TRACK</v>
      </c>
      <c r="J705" s="11">
        <f>IF(C705=0,"",ROUND(D705*70+(1-E705)*20+MAX(0,MIN(1,(10-F705)/10))*10,1))</f>
        <v>60.0</v>
      </c>
      <c r="K705" s="14" t="str">
        <f>IF(C705=0,"No Evidence",IF(C705&lt;=2,IF(E705&gt;0,"Explosive Alert","Track Only"),IF(C705=3,"Sample Watch",IF(E705&gt;=START_HERE!$B$31,"Explosive Alert",IF(J705&gt;=80,"Strong Candidate",IF(J705&gt;=65,"Good Candidate",IF(J705&gt;=50,"Mixed / Review","Problem Call")))))))</f>
        <v>Track Only</v>
      </c>
      <c r="L705" s="9" t="str">
        <f>IF(COUNTIFS('DEF_SELF_SCOUT_IMPORT'!$L$42:$L$1040,"Y",'DEF_SELF_SCOUT_IMPORT'!$E$42:$E$1040,SUBSTITUTE(SUBSTITUTE(SUBSTITUTE($B705,"~","~~"),"*","~*"),"?","~?"),'DEF_SELF_SCOUT_IMPORT'!$Q$42:$Q$1040,SUBSTITUTE(SUBSTITUTE(SUBSTITUTE($M705,"~","~~"),"*","~*"),"?","~?"),'DEF_SELF_SCOUT_IMPORT'!$F$42:$F$1040,SUBSTITUTE(SUBSTITUTE(SUBSTITUTE($N705,"~","~~"),"*","~*"),"?","~?"),'DEF_SELF_SCOUT_IMPORT'!$G$42:$G$1040,SUBSTITUTE(SUBSTITUTE(SUBSTITUTE($O705,"~","~~"),"*","~*"),"?","~?"),'DEF_SELF_SCOUT_IMPORT'!$J$42:$J$1040,"")&gt;0,"Unscored clean outcome; review result tags before using score.",IF(C705=0,"No matching defensive reps; film confirmation needed.",IF(K705="Explosive Alert","Explosive risk; review clips before using as answer.",IF(C705&lt;=2,"Track only; not enough sample.",IF(C705=3,IF(E705&gt;0,"Sample watch with explosive exposure; review clips and build the sample.",IF(J705&gt;=65,"Good signal, but sample is limited.","Sample watch; review clips and build the sample.")),IF(K705="Problem Call","Problem area; practice or call-sheet review.",IF(K705="Strong Candidate","Strong call-fit candidate; confirm on film.",IF(K705="Good Candidate","Good call-fit signal; confirm on film.","Mixed signal; review fit and execution on film."))))))))</f>
        <v>Track only; not enough sample.</v>
      </c>
      <c r="M705" s="8" t="s">
        <v>85</v>
      </c>
      <c r="N705" s="8" t="s">
        <v>120</v>
      </c>
      <c r="O705" s="8" t="s">
        <v>206</v>
      </c>
      <c r="P705" s="8"/>
      <c r="Q705" s="8"/>
      <c r="R705" s="8" t="s">
        <v>28</v>
      </c>
      <c r="S705" s="2" t="s">
        <v>357</v>
      </c>
      <c r="T705" s="2">
        <f>IF(C705=0,0,IF(C705&gt;=CALL_LOOKUP_BOARD!$B$7,IF(OR(K705="Problem Call",K705="Explosive Alert"),10000000,20000000),0)+IF(C705&gt;=CALL_LOOKUP_BOARD!$B$7,J705*1000+MIN(C705,999),C705*1000+J705)+0.00988300)</f>
        <v>2060.009883</v>
      </c>
      <c r="U705" s="2">
        <f>IF(C705=0,"",IF(COUNTIFS($S$589:$S$803,SUBSTITUTE(SUBSTITUTE(SUBSTITUTE(S705,"~","~~"),"*","~*"),"?","~?"),$T$589:$T$803,"&gt;"&amp;T705)=0,S705,""))</f>
        <v/>
      </c>
    </row>
    <row r="706" spans="1:21" ht="38" customHeight="1">
      <c r="A706" s="8" t="s">
        <v>356</v>
      </c>
      <c r="B706" s="8" t="s">
        <v>89</v>
      </c>
      <c r="C706" s="12">
        <f>COUNTIFS('DEF_SELF_SCOUT_IMPORT'!$L$42:$L$1040,"Y",'DEF_SELF_SCOUT_IMPORT'!$E$42:$E$1040,SUBSTITUTE(SUBSTITUTE(SUBSTITUTE($B706,"~","~~"),"*","~*"),"?","~?"),'DEF_SELF_SCOUT_IMPORT'!$Q$42:$Q$1040,SUBSTITUTE(SUBSTITUTE(SUBSTITUTE($M706,"~","~~"),"*","~*"),"?","~?"),'DEF_SELF_SCOUT_IMPORT'!$F$42:$F$1040,SUBSTITUTE(SUBSTITUTE(SUBSTITUTE($N706,"~","~~"),"*","~*"),"?","~?"),'DEF_SELF_SCOUT_IMPORT'!$G$42:$G$1040,SUBSTITUTE(SUBSTITUTE(SUBSTITUTE($O706,"~","~~"),"*","~*"),"?","~?"))</f>
        <v>1</v>
      </c>
      <c r="D706" s="10">
        <f>IF($C706=0,"",SUMIFS('DEF_SELF_SCOUT_IMPORT'!$J$42:$J$1040,'DEF_SELF_SCOUT_IMPORT'!$L$42:$L$1040,"Y",'DEF_SELF_SCOUT_IMPORT'!$E$42:$E$1040,SUBSTITUTE(SUBSTITUTE(SUBSTITUTE($B706,"~","~~"),"*","~*"),"?","~?"),'DEF_SELF_SCOUT_IMPORT'!$Q$42:$Q$1040,SUBSTITUTE(SUBSTITUTE(SUBSTITUTE($M706,"~","~~"),"*","~*"),"?","~?"),'DEF_SELF_SCOUT_IMPORT'!$F$42:$F$1040,SUBSTITUTE(SUBSTITUTE(SUBSTITUTE($N706,"~","~~"),"*","~*"),"?","~?"),'DEF_SELF_SCOUT_IMPORT'!$G$42:$G$1040,SUBSTITUTE(SUBSTITUTE(SUBSTITUTE($O706,"~","~~"),"*","~*"),"?","~?"))/$C706)</f>
        <v>1.0</v>
      </c>
      <c r="E706" s="10">
        <f>IF($C706=0,"",SUMIFS('DEF_SELF_SCOUT_IMPORT'!$K$42:$K$1040,'DEF_SELF_SCOUT_IMPORT'!$L$42:$L$1040,"Y",'DEF_SELF_SCOUT_IMPORT'!$E$42:$E$1040,SUBSTITUTE(SUBSTITUTE(SUBSTITUTE($B706,"~","~~"),"*","~*"),"?","~?"),'DEF_SELF_SCOUT_IMPORT'!$Q$42:$Q$1040,SUBSTITUTE(SUBSTITUTE(SUBSTITUTE($M706,"~","~~"),"*","~*"),"?","~?"),'DEF_SELF_SCOUT_IMPORT'!$F$42:$F$1040,SUBSTITUTE(SUBSTITUTE(SUBSTITUTE($N706,"~","~~"),"*","~*"),"?","~?"),'DEF_SELF_SCOUT_IMPORT'!$G$42:$G$1040,SUBSTITUTE(SUBSTITUTE(SUBSTITUTE($O706,"~","~~"),"*","~*"),"?","~?"))/$C706)</f>
        <v>0.0</v>
      </c>
      <c r="F706" s="11">
        <f>IF($C706=0,"",AVERAGEIFS('DEF_SELF_SCOUT_IMPORT'!$I$42:$I$1040,'DEF_SELF_SCOUT_IMPORT'!$L$42:$L$1040,"Y",'DEF_SELF_SCOUT_IMPORT'!$E$42:$E$1040,SUBSTITUTE(SUBSTITUTE(SUBSTITUTE($B706,"~","~~"),"*","~*"),"?","~?"),'DEF_SELF_SCOUT_IMPORT'!$Q$42:$Q$1040,SUBSTITUTE(SUBSTITUTE(SUBSTITUTE($M706,"~","~~"),"*","~*"),"?","~?"),'DEF_SELF_SCOUT_IMPORT'!$F$42:$F$1040,SUBSTITUTE(SUBSTITUTE(SUBSTITUTE($N706,"~","~~"),"*","~*"),"?","~?"),'DEF_SELF_SCOUT_IMPORT'!$G$42:$G$1040,SUBSTITUTE(SUBSTITUTE(SUBSTITUTE($O706,"~","~~"),"*","~*"),"?","~?")))</f>
        <v>3.0</v>
      </c>
      <c r="G706" s="10">
        <f>IF($C706=0,"",COUNTIFS('DEF_SELF_SCOUT_IMPORT'!$L$42:$L$1040,"Y",'DEF_SELF_SCOUT_IMPORT'!$E$42:$E$1040,SUBSTITUTE(SUBSTITUTE(SUBSTITUTE($B706,"~","~~"),"*","~*"),"?","~?"),'DEF_SELF_SCOUT_IMPORT'!$Q$42:$Q$1040,SUBSTITUTE(SUBSTITUTE(SUBSTITUTE($M706,"~","~~"),"*","~*"),"?","~?"),'DEF_SELF_SCOUT_IMPORT'!$F$42:$F$1040,SUBSTITUTE(SUBSTITUTE(SUBSTITUTE($N706,"~","~~"),"*","~*"),"?","~?"),'DEF_SELF_SCOUT_IMPORT'!$G$42:$G$1040,SUBSTITUTE(SUBSTITUTE(SUBSTITUTE($O706,"~","~~"),"*","~*"),"?","~?"),'DEF_SELF_SCOUT_IMPORT'!$H$42:$H$1040,"RUSH")/$C706)</f>
        <v>0.0</v>
      </c>
      <c r="H706" s="10">
        <f>IF($C706=0,"",COUNTIFS('DEF_SELF_SCOUT_IMPORT'!$L$42:$L$1040,"Y",'DEF_SELF_SCOUT_IMPORT'!$E$42:$E$1040,SUBSTITUTE(SUBSTITUTE(SUBSTITUTE($B706,"~","~~"),"*","~*"),"?","~?"),'DEF_SELF_SCOUT_IMPORT'!$Q$42:$Q$1040,SUBSTITUTE(SUBSTITUTE(SUBSTITUTE($M706,"~","~~"),"*","~*"),"?","~?"),'DEF_SELF_SCOUT_IMPORT'!$F$42:$F$1040,SUBSTITUTE(SUBSTITUTE(SUBSTITUTE($N706,"~","~~"),"*","~*"),"?","~?"),'DEF_SELF_SCOUT_IMPORT'!$G$42:$G$1040,SUBSTITUTE(SUBSTITUTE(SUBSTITUTE($O706,"~","~~"),"*","~*"),"?","~?"),'DEF_SELF_SCOUT_IMPORT'!$H$42:$H$1040,"DROPBACK")/$C706)</f>
        <v>1.0</v>
      </c>
      <c r="I706" s="14" t="str">
        <f>IF(C706=0,"",IF(C706&lt;=2,"TRACK",IF(C706=3,"LOW",IF(C706&lt;=6,"MEDIUM","HIGH"))))</f>
        <v>TRACK</v>
      </c>
      <c r="J706" s="11">
        <f>IF(C706=0,"",ROUND(D706*70+(1-E706)*20+MAX(0,MIN(1,(10-F706)/10))*10,1))</f>
        <v>97.0</v>
      </c>
      <c r="K706" s="14" t="str">
        <f>IF(C706=0,"No Evidence",IF(C706&lt;=2,IF(E706&gt;0,"Explosive Alert","Track Only"),IF(C706=3,"Sample Watch",IF(E706&gt;=START_HERE!$B$31,"Explosive Alert",IF(J706&gt;=80,"Strong Candidate",IF(J706&gt;=65,"Good Candidate",IF(J706&gt;=50,"Mixed / Review","Problem Call")))))))</f>
        <v>Track Only</v>
      </c>
      <c r="L706" s="9" t="str">
        <f>IF(COUNTIFS('DEF_SELF_SCOUT_IMPORT'!$L$42:$L$1040,"Y",'DEF_SELF_SCOUT_IMPORT'!$E$42:$E$1040,SUBSTITUTE(SUBSTITUTE(SUBSTITUTE($B706,"~","~~"),"*","~*"),"?","~?"),'DEF_SELF_SCOUT_IMPORT'!$Q$42:$Q$1040,SUBSTITUTE(SUBSTITUTE(SUBSTITUTE($M706,"~","~~"),"*","~*"),"?","~?"),'DEF_SELF_SCOUT_IMPORT'!$F$42:$F$1040,SUBSTITUTE(SUBSTITUTE(SUBSTITUTE($N706,"~","~~"),"*","~*"),"?","~?"),'DEF_SELF_SCOUT_IMPORT'!$G$42:$G$1040,SUBSTITUTE(SUBSTITUTE(SUBSTITUTE($O706,"~","~~"),"*","~*"),"?","~?"),'DEF_SELF_SCOUT_IMPORT'!$J$42:$J$1040,"")&gt;0,"Unscored clean outcome; review result tags before using score.",IF(C706=0,"No matching defensive reps; film confirmation needed.",IF(K706="Explosive Alert","Explosive risk; review clips before using as answer.",IF(C706&lt;=2,"Track only; not enough sample.",IF(C706=3,IF(E706&gt;0,"Sample watch with explosive exposure; review clips and build the sample.",IF(J706&gt;=65,"Good signal, but sample is limited.","Sample watch; review clips and build the sample.")),IF(K706="Problem Call","Problem area; practice or call-sheet review.",IF(K706="Strong Candidate","Strong call-fit candidate; confirm on film.",IF(K706="Good Candidate","Good call-fit signal; confirm on film.","Mixed signal; review fit and execution on film."))))))))</f>
        <v>Track only; not enough sample.</v>
      </c>
      <c r="M706" s="8" t="s">
        <v>85</v>
      </c>
      <c r="N706" s="8" t="s">
        <v>120</v>
      </c>
      <c r="O706" s="8" t="s">
        <v>206</v>
      </c>
      <c r="P706" s="8"/>
      <c r="Q706" s="8"/>
      <c r="R706" s="8" t="s">
        <v>28</v>
      </c>
      <c r="S706" s="2" t="s">
        <v>357</v>
      </c>
      <c r="T706" s="2">
        <f>IF(C706=0,0,IF(C706&gt;=CALL_LOOKUP_BOARD!$B$7,IF(OR(K706="Problem Call",K706="Explosive Alert"),10000000,20000000),0)+IF(C706&gt;=CALL_LOOKUP_BOARD!$B$7,J706*1000+MIN(C706,999),C706*1000+J706)+0.00988200)</f>
        <v>1097.009882</v>
      </c>
      <c r="U706" s="2">
        <f>IF(C706=0,"",IF(COUNTIFS($S$589:$S$803,SUBSTITUTE(SUBSTITUTE(SUBSTITUTE(S706,"~","~~"),"*","~*"),"?","~?"),$T$589:$T$803,"&gt;"&amp;T706)=0,S706,""))</f>
        <v/>
      </c>
    </row>
    <row r="707" spans="1:21" ht="38" customHeight="1">
      <c r="A707" s="8" t="s">
        <v>356</v>
      </c>
      <c r="B707" s="8" t="s">
        <v>61</v>
      </c>
      <c r="C707" s="12">
        <f>COUNTIFS('DEF_SELF_SCOUT_IMPORT'!$L$42:$L$1040,"Y",'DEF_SELF_SCOUT_IMPORT'!$E$42:$E$1040,SUBSTITUTE(SUBSTITUTE(SUBSTITUTE($B707,"~","~~"),"*","~*"),"?","~?"),'DEF_SELF_SCOUT_IMPORT'!$Q$42:$Q$1040,SUBSTITUTE(SUBSTITUTE(SUBSTITUTE($M707,"~","~~"),"*","~*"),"?","~?"),'DEF_SELF_SCOUT_IMPORT'!$F$42:$F$1040,SUBSTITUTE(SUBSTITUTE(SUBSTITUTE($N707,"~","~~"),"*","~*"),"?","~?"),'DEF_SELF_SCOUT_IMPORT'!$G$42:$G$1040,SUBSTITUTE(SUBSTITUTE(SUBSTITUTE($O707,"~","~~"),"*","~*"),"?","~?"))</f>
        <v>1</v>
      </c>
      <c r="D707" s="10">
        <f>IF($C707=0,"",SUMIFS('DEF_SELF_SCOUT_IMPORT'!$J$42:$J$1040,'DEF_SELF_SCOUT_IMPORT'!$L$42:$L$1040,"Y",'DEF_SELF_SCOUT_IMPORT'!$E$42:$E$1040,SUBSTITUTE(SUBSTITUTE(SUBSTITUTE($B707,"~","~~"),"*","~*"),"?","~?"),'DEF_SELF_SCOUT_IMPORT'!$Q$42:$Q$1040,SUBSTITUTE(SUBSTITUTE(SUBSTITUTE($M707,"~","~~"),"*","~*"),"?","~?"),'DEF_SELF_SCOUT_IMPORT'!$F$42:$F$1040,SUBSTITUTE(SUBSTITUTE(SUBSTITUTE($N707,"~","~~"),"*","~*"),"?","~?"),'DEF_SELF_SCOUT_IMPORT'!$G$42:$G$1040,SUBSTITUTE(SUBSTITUTE(SUBSTITUTE($O707,"~","~~"),"*","~*"),"?","~?"))/$C707)</f>
        <v>0.0</v>
      </c>
      <c r="E707" s="10">
        <f>IF($C707=0,"",SUMIFS('DEF_SELF_SCOUT_IMPORT'!$K$42:$K$1040,'DEF_SELF_SCOUT_IMPORT'!$L$42:$L$1040,"Y",'DEF_SELF_SCOUT_IMPORT'!$E$42:$E$1040,SUBSTITUTE(SUBSTITUTE(SUBSTITUTE($B707,"~","~~"),"*","~*"),"?","~?"),'DEF_SELF_SCOUT_IMPORT'!$Q$42:$Q$1040,SUBSTITUTE(SUBSTITUTE(SUBSTITUTE($M707,"~","~~"),"*","~*"),"?","~?"),'DEF_SELF_SCOUT_IMPORT'!$F$42:$F$1040,SUBSTITUTE(SUBSTITUTE(SUBSTITUTE($N707,"~","~~"),"*","~*"),"?","~?"),'DEF_SELF_SCOUT_IMPORT'!$G$42:$G$1040,SUBSTITUTE(SUBSTITUTE(SUBSTITUTE($O707,"~","~~"),"*","~*"),"?","~?"))/$C707)</f>
        <v>0.0</v>
      </c>
      <c r="F707" s="11">
        <f>IF($C707=0,"",AVERAGEIFS('DEF_SELF_SCOUT_IMPORT'!$I$42:$I$1040,'DEF_SELF_SCOUT_IMPORT'!$L$42:$L$1040,"Y",'DEF_SELF_SCOUT_IMPORT'!$E$42:$E$1040,SUBSTITUTE(SUBSTITUTE(SUBSTITUTE($B707,"~","~~"),"*","~*"),"?","~?"),'DEF_SELF_SCOUT_IMPORT'!$Q$42:$Q$1040,SUBSTITUTE(SUBSTITUTE(SUBSTITUTE($M707,"~","~~"),"*","~*"),"?","~?"),'DEF_SELF_SCOUT_IMPORT'!$F$42:$F$1040,SUBSTITUTE(SUBSTITUTE(SUBSTITUTE($N707,"~","~~"),"*","~*"),"?","~?"),'DEF_SELF_SCOUT_IMPORT'!$G$42:$G$1040,SUBSTITUTE(SUBSTITUTE(SUBSTITUTE($O707,"~","~~"),"*","~*"),"?","~?")))</f>
        <v>4.0</v>
      </c>
      <c r="G707" s="10">
        <f>IF($C707=0,"",COUNTIFS('DEF_SELF_SCOUT_IMPORT'!$L$42:$L$1040,"Y",'DEF_SELF_SCOUT_IMPORT'!$E$42:$E$1040,SUBSTITUTE(SUBSTITUTE(SUBSTITUTE($B707,"~","~~"),"*","~*"),"?","~?"),'DEF_SELF_SCOUT_IMPORT'!$Q$42:$Q$1040,SUBSTITUTE(SUBSTITUTE(SUBSTITUTE($M707,"~","~~"),"*","~*"),"?","~?"),'DEF_SELF_SCOUT_IMPORT'!$F$42:$F$1040,SUBSTITUTE(SUBSTITUTE(SUBSTITUTE($N707,"~","~~"),"*","~*"),"?","~?"),'DEF_SELF_SCOUT_IMPORT'!$G$42:$G$1040,SUBSTITUTE(SUBSTITUTE(SUBSTITUTE($O707,"~","~~"),"*","~*"),"?","~?"),'DEF_SELF_SCOUT_IMPORT'!$H$42:$H$1040,"RUSH")/$C707)</f>
        <v>1.0</v>
      </c>
      <c r="H707" s="10">
        <f>IF($C707=0,"",COUNTIFS('DEF_SELF_SCOUT_IMPORT'!$L$42:$L$1040,"Y",'DEF_SELF_SCOUT_IMPORT'!$E$42:$E$1040,SUBSTITUTE(SUBSTITUTE(SUBSTITUTE($B707,"~","~~"),"*","~*"),"?","~?"),'DEF_SELF_SCOUT_IMPORT'!$Q$42:$Q$1040,SUBSTITUTE(SUBSTITUTE(SUBSTITUTE($M707,"~","~~"),"*","~*"),"?","~?"),'DEF_SELF_SCOUT_IMPORT'!$F$42:$F$1040,SUBSTITUTE(SUBSTITUTE(SUBSTITUTE($N707,"~","~~"),"*","~*"),"?","~?"),'DEF_SELF_SCOUT_IMPORT'!$G$42:$G$1040,SUBSTITUTE(SUBSTITUTE(SUBSTITUTE($O707,"~","~~"),"*","~*"),"?","~?"),'DEF_SELF_SCOUT_IMPORT'!$H$42:$H$1040,"DROPBACK")/$C707)</f>
        <v>0.0</v>
      </c>
      <c r="I707" s="14" t="str">
        <f>IF(C707=0,"",IF(C707&lt;=2,"TRACK",IF(C707=3,"LOW",IF(C707&lt;=6,"MEDIUM","HIGH"))))</f>
        <v>TRACK</v>
      </c>
      <c r="J707" s="11">
        <f>IF(C707=0,"",ROUND(D707*70+(1-E707)*20+MAX(0,MIN(1,(10-F707)/10))*10,1))</f>
        <v>26.0</v>
      </c>
      <c r="K707" s="14" t="str">
        <f>IF(C707=0,"No Evidence",IF(C707&lt;=2,IF(E707&gt;0,"Explosive Alert","Track Only"),IF(C707=3,"Sample Watch",IF(E707&gt;=START_HERE!$B$31,"Explosive Alert",IF(J707&gt;=80,"Strong Candidate",IF(J707&gt;=65,"Good Candidate",IF(J707&gt;=50,"Mixed / Review","Problem Call")))))))</f>
        <v>Track Only</v>
      </c>
      <c r="L707" s="9" t="str">
        <f>IF(COUNTIFS('DEF_SELF_SCOUT_IMPORT'!$L$42:$L$1040,"Y",'DEF_SELF_SCOUT_IMPORT'!$E$42:$E$1040,SUBSTITUTE(SUBSTITUTE(SUBSTITUTE($B707,"~","~~"),"*","~*"),"?","~?"),'DEF_SELF_SCOUT_IMPORT'!$Q$42:$Q$1040,SUBSTITUTE(SUBSTITUTE(SUBSTITUTE($M707,"~","~~"),"*","~*"),"?","~?"),'DEF_SELF_SCOUT_IMPORT'!$F$42:$F$1040,SUBSTITUTE(SUBSTITUTE(SUBSTITUTE($N707,"~","~~"),"*","~*"),"?","~?"),'DEF_SELF_SCOUT_IMPORT'!$G$42:$G$1040,SUBSTITUTE(SUBSTITUTE(SUBSTITUTE($O707,"~","~~"),"*","~*"),"?","~?"),'DEF_SELF_SCOUT_IMPORT'!$J$42:$J$1040,"")&gt;0,"Unscored clean outcome; review result tags before using score.",IF(C707=0,"No matching defensive reps; film confirmation needed.",IF(K707="Explosive Alert","Explosive risk; review clips before using as answer.",IF(C707&lt;=2,"Track only; not enough sample.",IF(C707=3,IF(E707&gt;0,"Sample watch with explosive exposure; review clips and build the sample.",IF(J707&gt;=65,"Good signal, but sample is limited.","Sample watch; review clips and build the sample.")),IF(K707="Problem Call","Problem area; practice or call-sheet review.",IF(K707="Strong Candidate","Strong call-fit candidate; confirm on film.",IF(K707="Good Candidate","Good call-fit signal; confirm on film.","Mixed signal; review fit and execution on film."))))))))</f>
        <v>Track only; not enough sample.</v>
      </c>
      <c r="M707" s="8" t="s">
        <v>85</v>
      </c>
      <c r="N707" s="8" t="s">
        <v>120</v>
      </c>
      <c r="O707" s="8" t="s">
        <v>206</v>
      </c>
      <c r="P707" s="8"/>
      <c r="Q707" s="8"/>
      <c r="R707" s="8" t="s">
        <v>28</v>
      </c>
      <c r="S707" s="2" t="s">
        <v>357</v>
      </c>
      <c r="T707" s="2">
        <f>IF(C707=0,0,IF(C707&gt;=CALL_LOOKUP_BOARD!$B$7,IF(OR(K707="Problem Call",K707="Explosive Alert"),10000000,20000000),0)+IF(C707&gt;=CALL_LOOKUP_BOARD!$B$7,J707*1000+MIN(C707,999),C707*1000+J707)+0.00988100)</f>
        <v>1026.009881</v>
      </c>
      <c r="U707" s="2">
        <f>IF(C707=0,"",IF(COUNTIFS($S$589:$S$803,SUBSTITUTE(SUBSTITUTE(SUBSTITUTE(S707,"~","~~"),"*","~*"),"?","~?"),$T$589:$T$803,"&gt;"&amp;T707)=0,S707,""))</f>
        <v/>
      </c>
    </row>
    <row r="708" spans="1:21" ht="38" customHeight="1">
      <c r="A708" s="8" t="s">
        <v>356</v>
      </c>
      <c r="B708" s="8" t="s">
        <v>90</v>
      </c>
      <c r="C708" s="12">
        <f>COUNTIFS('DEF_SELF_SCOUT_IMPORT'!$L$42:$L$1040,"Y",'DEF_SELF_SCOUT_IMPORT'!$E$42:$E$1040,SUBSTITUTE(SUBSTITUTE(SUBSTITUTE($B708,"~","~~"),"*","~*"),"?","~?"),'DEF_SELF_SCOUT_IMPORT'!$Q$42:$Q$1040,SUBSTITUTE(SUBSTITUTE(SUBSTITUTE($M708,"~","~~"),"*","~*"),"?","~?"),'DEF_SELF_SCOUT_IMPORT'!$F$42:$F$1040,SUBSTITUTE(SUBSTITUTE(SUBSTITUTE($N708,"~","~~"),"*","~*"),"?","~?"),'DEF_SELF_SCOUT_IMPORT'!$G$42:$G$1040,SUBSTITUTE(SUBSTITUTE(SUBSTITUTE($O708,"~","~~"),"*","~*"),"?","~?"))</f>
        <v>1</v>
      </c>
      <c r="D708" s="10">
        <f>IF($C708=0,"",SUMIFS('DEF_SELF_SCOUT_IMPORT'!$J$42:$J$1040,'DEF_SELF_SCOUT_IMPORT'!$L$42:$L$1040,"Y",'DEF_SELF_SCOUT_IMPORT'!$E$42:$E$1040,SUBSTITUTE(SUBSTITUTE(SUBSTITUTE($B708,"~","~~"),"*","~*"),"?","~?"),'DEF_SELF_SCOUT_IMPORT'!$Q$42:$Q$1040,SUBSTITUTE(SUBSTITUTE(SUBSTITUTE($M708,"~","~~"),"*","~*"),"?","~?"),'DEF_SELF_SCOUT_IMPORT'!$F$42:$F$1040,SUBSTITUTE(SUBSTITUTE(SUBSTITUTE($N708,"~","~~"),"*","~*"),"?","~?"),'DEF_SELF_SCOUT_IMPORT'!$G$42:$G$1040,SUBSTITUTE(SUBSTITUTE(SUBSTITUTE($O708,"~","~~"),"*","~*"),"?","~?"))/$C708)</f>
        <v>1.0</v>
      </c>
      <c r="E708" s="10">
        <f>IF($C708=0,"",SUMIFS('DEF_SELF_SCOUT_IMPORT'!$K$42:$K$1040,'DEF_SELF_SCOUT_IMPORT'!$L$42:$L$1040,"Y",'DEF_SELF_SCOUT_IMPORT'!$E$42:$E$1040,SUBSTITUTE(SUBSTITUTE(SUBSTITUTE($B708,"~","~~"),"*","~*"),"?","~?"),'DEF_SELF_SCOUT_IMPORT'!$Q$42:$Q$1040,SUBSTITUTE(SUBSTITUTE(SUBSTITUTE($M708,"~","~~"),"*","~*"),"?","~?"),'DEF_SELF_SCOUT_IMPORT'!$F$42:$F$1040,SUBSTITUTE(SUBSTITUTE(SUBSTITUTE($N708,"~","~~"),"*","~*"),"?","~?"),'DEF_SELF_SCOUT_IMPORT'!$G$42:$G$1040,SUBSTITUTE(SUBSTITUTE(SUBSTITUTE($O708,"~","~~"),"*","~*"),"?","~?"))/$C708)</f>
        <v>0.0</v>
      </c>
      <c r="F708" s="11">
        <f>IF($C708=0,"",AVERAGEIFS('DEF_SELF_SCOUT_IMPORT'!$I$42:$I$1040,'DEF_SELF_SCOUT_IMPORT'!$L$42:$L$1040,"Y",'DEF_SELF_SCOUT_IMPORT'!$E$42:$E$1040,SUBSTITUTE(SUBSTITUTE(SUBSTITUTE($B708,"~","~~"),"*","~*"),"?","~?"),'DEF_SELF_SCOUT_IMPORT'!$Q$42:$Q$1040,SUBSTITUTE(SUBSTITUTE(SUBSTITUTE($M708,"~","~~"),"*","~*"),"?","~?"),'DEF_SELF_SCOUT_IMPORT'!$F$42:$F$1040,SUBSTITUTE(SUBSTITUTE(SUBSTITUTE($N708,"~","~~"),"*","~*"),"?","~?"),'DEF_SELF_SCOUT_IMPORT'!$G$42:$G$1040,SUBSTITUTE(SUBSTITUTE(SUBSTITUTE($O708,"~","~~"),"*","~*"),"?","~?")))</f>
        <v>0.0</v>
      </c>
      <c r="G708" s="10">
        <f>IF($C708=0,"",COUNTIFS('DEF_SELF_SCOUT_IMPORT'!$L$42:$L$1040,"Y",'DEF_SELF_SCOUT_IMPORT'!$E$42:$E$1040,SUBSTITUTE(SUBSTITUTE(SUBSTITUTE($B708,"~","~~"),"*","~*"),"?","~?"),'DEF_SELF_SCOUT_IMPORT'!$Q$42:$Q$1040,SUBSTITUTE(SUBSTITUTE(SUBSTITUTE($M708,"~","~~"),"*","~*"),"?","~?"),'DEF_SELF_SCOUT_IMPORT'!$F$42:$F$1040,SUBSTITUTE(SUBSTITUTE(SUBSTITUTE($N708,"~","~~"),"*","~*"),"?","~?"),'DEF_SELF_SCOUT_IMPORT'!$G$42:$G$1040,SUBSTITUTE(SUBSTITUTE(SUBSTITUTE($O708,"~","~~"),"*","~*"),"?","~?"),'DEF_SELF_SCOUT_IMPORT'!$H$42:$H$1040,"RUSH")/$C708)</f>
        <v>0.0</v>
      </c>
      <c r="H708" s="10">
        <f>IF($C708=0,"",COUNTIFS('DEF_SELF_SCOUT_IMPORT'!$L$42:$L$1040,"Y",'DEF_SELF_SCOUT_IMPORT'!$E$42:$E$1040,SUBSTITUTE(SUBSTITUTE(SUBSTITUTE($B708,"~","~~"),"*","~*"),"?","~?"),'DEF_SELF_SCOUT_IMPORT'!$Q$42:$Q$1040,SUBSTITUTE(SUBSTITUTE(SUBSTITUTE($M708,"~","~~"),"*","~*"),"?","~?"),'DEF_SELF_SCOUT_IMPORT'!$F$42:$F$1040,SUBSTITUTE(SUBSTITUTE(SUBSTITUTE($N708,"~","~~"),"*","~*"),"?","~?"),'DEF_SELF_SCOUT_IMPORT'!$G$42:$G$1040,SUBSTITUTE(SUBSTITUTE(SUBSTITUTE($O708,"~","~~"),"*","~*"),"?","~?"),'DEF_SELF_SCOUT_IMPORT'!$H$42:$H$1040,"DROPBACK")/$C708)</f>
        <v>1.0</v>
      </c>
      <c r="I708" s="14" t="str">
        <f>IF(C708=0,"",IF(C708&lt;=2,"TRACK",IF(C708=3,"LOW",IF(C708&lt;=6,"MEDIUM","HIGH"))))</f>
        <v>TRACK</v>
      </c>
      <c r="J708" s="11">
        <f>IF(C708=0,"",ROUND(D708*70+(1-E708)*20+MAX(0,MIN(1,(10-F708)/10))*10,1))</f>
        <v>100.0</v>
      </c>
      <c r="K708" s="14" t="str">
        <f>IF(C708=0,"No Evidence",IF(C708&lt;=2,IF(E708&gt;0,"Explosive Alert","Track Only"),IF(C708=3,"Sample Watch",IF(E708&gt;=START_HERE!$B$31,"Explosive Alert",IF(J708&gt;=80,"Strong Candidate",IF(J708&gt;=65,"Good Candidate",IF(J708&gt;=50,"Mixed / Review","Problem Call")))))))</f>
        <v>Track Only</v>
      </c>
      <c r="L708" s="9" t="str">
        <f>IF(COUNTIFS('DEF_SELF_SCOUT_IMPORT'!$L$42:$L$1040,"Y",'DEF_SELF_SCOUT_IMPORT'!$E$42:$E$1040,SUBSTITUTE(SUBSTITUTE(SUBSTITUTE($B708,"~","~~"),"*","~*"),"?","~?"),'DEF_SELF_SCOUT_IMPORT'!$Q$42:$Q$1040,SUBSTITUTE(SUBSTITUTE(SUBSTITUTE($M708,"~","~~"),"*","~*"),"?","~?"),'DEF_SELF_SCOUT_IMPORT'!$F$42:$F$1040,SUBSTITUTE(SUBSTITUTE(SUBSTITUTE($N708,"~","~~"),"*","~*"),"?","~?"),'DEF_SELF_SCOUT_IMPORT'!$G$42:$G$1040,SUBSTITUTE(SUBSTITUTE(SUBSTITUTE($O708,"~","~~"),"*","~*"),"?","~?"),'DEF_SELF_SCOUT_IMPORT'!$J$42:$J$1040,"")&gt;0,"Unscored clean outcome; review result tags before using score.",IF(C708=0,"No matching defensive reps; film confirmation needed.",IF(K708="Explosive Alert","Explosive risk; review clips before using as answer.",IF(C708&lt;=2,"Track only; not enough sample.",IF(C708=3,IF(E708&gt;0,"Sample watch with explosive exposure; review clips and build the sample.",IF(J708&gt;=65,"Good signal, but sample is limited.","Sample watch; review clips and build the sample.")),IF(K708="Problem Call","Problem area; practice or call-sheet review.",IF(K708="Strong Candidate","Strong call-fit candidate; confirm on film.",IF(K708="Good Candidate","Good call-fit signal; confirm on film.","Mixed signal; review fit and execution on film."))))))))</f>
        <v>Track only; not enough sample.</v>
      </c>
      <c r="M708" s="8" t="s">
        <v>85</v>
      </c>
      <c r="N708" s="8" t="s">
        <v>120</v>
      </c>
      <c r="O708" s="8" t="s">
        <v>206</v>
      </c>
      <c r="P708" s="8"/>
      <c r="Q708" s="8"/>
      <c r="R708" s="8" t="s">
        <v>28</v>
      </c>
      <c r="S708" s="2" t="s">
        <v>357</v>
      </c>
      <c r="T708" s="2">
        <f>IF(C708=0,0,IF(C708&gt;=CALL_LOOKUP_BOARD!$B$7,IF(OR(K708="Problem Call",K708="Explosive Alert"),10000000,20000000),0)+IF(C708&gt;=CALL_LOOKUP_BOARD!$B$7,J708*1000+MIN(C708,999),C708*1000+J708)+0.00988000)</f>
        <v>1100.00988</v>
      </c>
      <c r="U708" s="2">
        <f>IF(C708=0,"",IF(COUNTIFS($S$589:$S$803,SUBSTITUTE(SUBSTITUTE(SUBSTITUTE(S708,"~","~~"),"*","~*"),"?","~?"),$T$589:$T$803,"&gt;"&amp;T708)=0,S708,""))</f>
        <v/>
      </c>
    </row>
    <row r="709" spans="1:21" ht="38" customHeight="1">
      <c r="A709" s="8" t="s">
        <v>356</v>
      </c>
      <c r="B709" s="8" t="s">
        <v>63</v>
      </c>
      <c r="C709" s="12">
        <f>COUNTIFS('DEF_SELF_SCOUT_IMPORT'!$L$42:$L$1040,"Y",'DEF_SELF_SCOUT_IMPORT'!$E$42:$E$1040,SUBSTITUTE(SUBSTITUTE(SUBSTITUTE($B709,"~","~~"),"*","~*"),"?","~?"),'DEF_SELF_SCOUT_IMPORT'!$Q$42:$Q$1040,SUBSTITUTE(SUBSTITUTE(SUBSTITUTE($M709,"~","~~"),"*","~*"),"?","~?"),'DEF_SELF_SCOUT_IMPORT'!$F$42:$F$1040,SUBSTITUTE(SUBSTITUTE(SUBSTITUTE($N709,"~","~~"),"*","~*"),"?","~?"),'DEF_SELF_SCOUT_IMPORT'!$G$42:$G$1040,SUBSTITUTE(SUBSTITUTE(SUBSTITUTE($O709,"~","~~"),"*","~*"),"?","~?"))</f>
        <v>2</v>
      </c>
      <c r="D709" s="10">
        <f>IF($C709=0,"",SUMIFS('DEF_SELF_SCOUT_IMPORT'!$J$42:$J$1040,'DEF_SELF_SCOUT_IMPORT'!$L$42:$L$1040,"Y",'DEF_SELF_SCOUT_IMPORT'!$E$42:$E$1040,SUBSTITUTE(SUBSTITUTE(SUBSTITUTE($B709,"~","~~"),"*","~*"),"?","~?"),'DEF_SELF_SCOUT_IMPORT'!$Q$42:$Q$1040,SUBSTITUTE(SUBSTITUTE(SUBSTITUTE($M709,"~","~~"),"*","~*"),"?","~?"),'DEF_SELF_SCOUT_IMPORT'!$F$42:$F$1040,SUBSTITUTE(SUBSTITUTE(SUBSTITUTE($N709,"~","~~"),"*","~*"),"?","~?"),'DEF_SELF_SCOUT_IMPORT'!$G$42:$G$1040,SUBSTITUTE(SUBSTITUTE(SUBSTITUTE($O709,"~","~~"),"*","~*"),"?","~?"))/$C709)</f>
        <v>0.5</v>
      </c>
      <c r="E709" s="10">
        <f>IF($C709=0,"",SUMIFS('DEF_SELF_SCOUT_IMPORT'!$K$42:$K$1040,'DEF_SELF_SCOUT_IMPORT'!$L$42:$L$1040,"Y",'DEF_SELF_SCOUT_IMPORT'!$E$42:$E$1040,SUBSTITUTE(SUBSTITUTE(SUBSTITUTE($B709,"~","~~"),"*","~*"),"?","~?"),'DEF_SELF_SCOUT_IMPORT'!$Q$42:$Q$1040,SUBSTITUTE(SUBSTITUTE(SUBSTITUTE($M709,"~","~~"),"*","~*"),"?","~?"),'DEF_SELF_SCOUT_IMPORT'!$F$42:$F$1040,SUBSTITUTE(SUBSTITUTE(SUBSTITUTE($N709,"~","~~"),"*","~*"),"?","~?"),'DEF_SELF_SCOUT_IMPORT'!$G$42:$G$1040,SUBSTITUTE(SUBSTITUTE(SUBSTITUTE($O709,"~","~~"),"*","~*"),"?","~?"))/$C709)</f>
        <v>0.0</v>
      </c>
      <c r="F709" s="11">
        <f>IF($C709=0,"",AVERAGEIFS('DEF_SELF_SCOUT_IMPORT'!$I$42:$I$1040,'DEF_SELF_SCOUT_IMPORT'!$L$42:$L$1040,"Y",'DEF_SELF_SCOUT_IMPORT'!$E$42:$E$1040,SUBSTITUTE(SUBSTITUTE(SUBSTITUTE($B709,"~","~~"),"*","~*"),"?","~?"),'DEF_SELF_SCOUT_IMPORT'!$Q$42:$Q$1040,SUBSTITUTE(SUBSTITUTE(SUBSTITUTE($M709,"~","~~"),"*","~*"),"?","~?"),'DEF_SELF_SCOUT_IMPORT'!$F$42:$F$1040,SUBSTITUTE(SUBSTITUTE(SUBSTITUTE($N709,"~","~~"),"*","~*"),"?","~?"),'DEF_SELF_SCOUT_IMPORT'!$G$42:$G$1040,SUBSTITUTE(SUBSTITUTE(SUBSTITUTE($O709,"~","~~"),"*","~*"),"?","~?")))</f>
        <v>5.0</v>
      </c>
      <c r="G709" s="10">
        <f>IF($C709=0,"",COUNTIFS('DEF_SELF_SCOUT_IMPORT'!$L$42:$L$1040,"Y",'DEF_SELF_SCOUT_IMPORT'!$E$42:$E$1040,SUBSTITUTE(SUBSTITUTE(SUBSTITUTE($B709,"~","~~"),"*","~*"),"?","~?"),'DEF_SELF_SCOUT_IMPORT'!$Q$42:$Q$1040,SUBSTITUTE(SUBSTITUTE(SUBSTITUTE($M709,"~","~~"),"*","~*"),"?","~?"),'DEF_SELF_SCOUT_IMPORT'!$F$42:$F$1040,SUBSTITUTE(SUBSTITUTE(SUBSTITUTE($N709,"~","~~"),"*","~*"),"?","~?"),'DEF_SELF_SCOUT_IMPORT'!$G$42:$G$1040,SUBSTITUTE(SUBSTITUTE(SUBSTITUTE($O709,"~","~~"),"*","~*"),"?","~?"),'DEF_SELF_SCOUT_IMPORT'!$H$42:$H$1040,"RUSH")/$C709)</f>
        <v>0.0</v>
      </c>
      <c r="H709" s="10">
        <f>IF($C709=0,"",COUNTIFS('DEF_SELF_SCOUT_IMPORT'!$L$42:$L$1040,"Y",'DEF_SELF_SCOUT_IMPORT'!$E$42:$E$1040,SUBSTITUTE(SUBSTITUTE(SUBSTITUTE($B709,"~","~~"),"*","~*"),"?","~?"),'DEF_SELF_SCOUT_IMPORT'!$Q$42:$Q$1040,SUBSTITUTE(SUBSTITUTE(SUBSTITUTE($M709,"~","~~"),"*","~*"),"?","~?"),'DEF_SELF_SCOUT_IMPORT'!$F$42:$F$1040,SUBSTITUTE(SUBSTITUTE(SUBSTITUTE($N709,"~","~~"),"*","~*"),"?","~?"),'DEF_SELF_SCOUT_IMPORT'!$G$42:$G$1040,SUBSTITUTE(SUBSTITUTE(SUBSTITUTE($O709,"~","~~"),"*","~*"),"?","~?"),'DEF_SELF_SCOUT_IMPORT'!$H$42:$H$1040,"DROPBACK")/$C709)</f>
        <v>1.0</v>
      </c>
      <c r="I709" s="14" t="str">
        <f>IF(C709=0,"",IF(C709&lt;=2,"TRACK",IF(C709=3,"LOW",IF(C709&lt;=6,"MEDIUM","HIGH"))))</f>
        <v>TRACK</v>
      </c>
      <c r="J709" s="11">
        <f>IF(C709=0,"",ROUND(D709*70+(1-E709)*20+MAX(0,MIN(1,(10-F709)/10))*10,1))</f>
        <v>60.0</v>
      </c>
      <c r="K709" s="14" t="str">
        <f>IF(C709=0,"No Evidence",IF(C709&lt;=2,IF(E709&gt;0,"Explosive Alert","Track Only"),IF(C709=3,"Sample Watch",IF(E709&gt;=START_HERE!$B$31,"Explosive Alert",IF(J709&gt;=80,"Strong Candidate",IF(J709&gt;=65,"Good Candidate",IF(J709&gt;=50,"Mixed / Review","Problem Call")))))))</f>
        <v>Track Only</v>
      </c>
      <c r="L709" s="9" t="str">
        <f>IF(COUNTIFS('DEF_SELF_SCOUT_IMPORT'!$L$42:$L$1040,"Y",'DEF_SELF_SCOUT_IMPORT'!$E$42:$E$1040,SUBSTITUTE(SUBSTITUTE(SUBSTITUTE($B709,"~","~~"),"*","~*"),"?","~?"),'DEF_SELF_SCOUT_IMPORT'!$Q$42:$Q$1040,SUBSTITUTE(SUBSTITUTE(SUBSTITUTE($M709,"~","~~"),"*","~*"),"?","~?"),'DEF_SELF_SCOUT_IMPORT'!$F$42:$F$1040,SUBSTITUTE(SUBSTITUTE(SUBSTITUTE($N709,"~","~~"),"*","~*"),"?","~?"),'DEF_SELF_SCOUT_IMPORT'!$G$42:$G$1040,SUBSTITUTE(SUBSTITUTE(SUBSTITUTE($O709,"~","~~"),"*","~*"),"?","~?"),'DEF_SELF_SCOUT_IMPORT'!$J$42:$J$1040,"")&gt;0,"Unscored clean outcome; review result tags before using score.",IF(C709=0,"No matching defensive reps; film confirmation needed.",IF(K709="Explosive Alert","Explosive risk; review clips before using as answer.",IF(C709&lt;=2,"Track only; not enough sample.",IF(C709=3,IF(E709&gt;0,"Sample watch with explosive exposure; review clips and build the sample.",IF(J709&gt;=65,"Good signal, but sample is limited.","Sample watch; review clips and build the sample.")),IF(K709="Problem Call","Problem area; practice or call-sheet review.",IF(K709="Strong Candidate","Strong call-fit candidate; confirm on film.",IF(K709="Good Candidate","Good call-fit signal; confirm on film.","Mixed signal; review fit and execution on film."))))))))</f>
        <v>Track only; not enough sample.</v>
      </c>
      <c r="M709" s="8" t="s">
        <v>85</v>
      </c>
      <c r="N709" s="8" t="s">
        <v>120</v>
      </c>
      <c r="O709" s="8" t="s">
        <v>206</v>
      </c>
      <c r="P709" s="8"/>
      <c r="Q709" s="8"/>
      <c r="R709" s="8" t="s">
        <v>28</v>
      </c>
      <c r="S709" s="2" t="s">
        <v>357</v>
      </c>
      <c r="T709" s="2">
        <f>IF(C709=0,0,IF(C709&gt;=CALL_LOOKUP_BOARD!$B$7,IF(OR(K709="Problem Call",K709="Explosive Alert"),10000000,20000000),0)+IF(C709&gt;=CALL_LOOKUP_BOARD!$B$7,J709*1000+MIN(C709,999),C709*1000+J709)+0.00987900)</f>
        <v>2060.009879</v>
      </c>
      <c r="U709" s="2">
        <f>IF(C709=0,"",IF(COUNTIFS($S$589:$S$803,SUBSTITUTE(SUBSTITUTE(SUBSTITUTE(S709,"~","~~"),"*","~*"),"?","~?"),$T$589:$T$803,"&gt;"&amp;T709)=0,S709,""))</f>
        <v/>
      </c>
    </row>
    <row r="710" spans="1:21" ht="38" customHeight="1">
      <c r="A710" s="8" t="s">
        <v>356</v>
      </c>
      <c r="B710" s="8" t="s">
        <v>68</v>
      </c>
      <c r="C710" s="12">
        <f>COUNTIFS('DEF_SELF_SCOUT_IMPORT'!$L$42:$L$1040,"Y",'DEF_SELF_SCOUT_IMPORT'!$E$42:$E$1040,SUBSTITUTE(SUBSTITUTE(SUBSTITUTE($B710,"~","~~"),"*","~*"),"?","~?"),'DEF_SELF_SCOUT_IMPORT'!$Q$42:$Q$1040,SUBSTITUTE(SUBSTITUTE(SUBSTITUTE($M710,"~","~~"),"*","~*"),"?","~?"),'DEF_SELF_SCOUT_IMPORT'!$F$42:$F$1040,SUBSTITUTE(SUBSTITUTE(SUBSTITUTE($N710,"~","~~"),"*","~*"),"?","~?"),'DEF_SELF_SCOUT_IMPORT'!$G$42:$G$1040,SUBSTITUTE(SUBSTITUTE(SUBSTITUTE($O710,"~","~~"),"*","~*"),"?","~?"))</f>
        <v>2</v>
      </c>
      <c r="D710" s="10">
        <f>IF($C710=0,"",SUMIFS('DEF_SELF_SCOUT_IMPORT'!$J$42:$J$1040,'DEF_SELF_SCOUT_IMPORT'!$L$42:$L$1040,"Y",'DEF_SELF_SCOUT_IMPORT'!$E$42:$E$1040,SUBSTITUTE(SUBSTITUTE(SUBSTITUTE($B710,"~","~~"),"*","~*"),"?","~?"),'DEF_SELF_SCOUT_IMPORT'!$Q$42:$Q$1040,SUBSTITUTE(SUBSTITUTE(SUBSTITUTE($M710,"~","~~"),"*","~*"),"?","~?"),'DEF_SELF_SCOUT_IMPORT'!$F$42:$F$1040,SUBSTITUTE(SUBSTITUTE(SUBSTITUTE($N710,"~","~~"),"*","~*"),"?","~?"),'DEF_SELF_SCOUT_IMPORT'!$G$42:$G$1040,SUBSTITUTE(SUBSTITUTE(SUBSTITUTE($O710,"~","~~"),"*","~*"),"?","~?"))/$C710)</f>
        <v>0.5</v>
      </c>
      <c r="E710" s="10">
        <f>IF($C710=0,"",SUMIFS('DEF_SELF_SCOUT_IMPORT'!$K$42:$K$1040,'DEF_SELF_SCOUT_IMPORT'!$L$42:$L$1040,"Y",'DEF_SELF_SCOUT_IMPORT'!$E$42:$E$1040,SUBSTITUTE(SUBSTITUTE(SUBSTITUTE($B710,"~","~~"),"*","~*"),"?","~?"),'DEF_SELF_SCOUT_IMPORT'!$Q$42:$Q$1040,SUBSTITUTE(SUBSTITUTE(SUBSTITUTE($M710,"~","~~"),"*","~*"),"?","~?"),'DEF_SELF_SCOUT_IMPORT'!$F$42:$F$1040,SUBSTITUTE(SUBSTITUTE(SUBSTITUTE($N710,"~","~~"),"*","~*"),"?","~?"),'DEF_SELF_SCOUT_IMPORT'!$G$42:$G$1040,SUBSTITUTE(SUBSTITUTE(SUBSTITUTE($O710,"~","~~"),"*","~*"),"?","~?"))/$C710)</f>
        <v>0.0</v>
      </c>
      <c r="F710" s="11">
        <f>IF($C710=0,"",AVERAGEIFS('DEF_SELF_SCOUT_IMPORT'!$I$42:$I$1040,'DEF_SELF_SCOUT_IMPORT'!$L$42:$L$1040,"Y",'DEF_SELF_SCOUT_IMPORT'!$E$42:$E$1040,SUBSTITUTE(SUBSTITUTE(SUBSTITUTE($B710,"~","~~"),"*","~*"),"?","~?"),'DEF_SELF_SCOUT_IMPORT'!$Q$42:$Q$1040,SUBSTITUTE(SUBSTITUTE(SUBSTITUTE($M710,"~","~~"),"*","~*"),"?","~?"),'DEF_SELF_SCOUT_IMPORT'!$F$42:$F$1040,SUBSTITUTE(SUBSTITUTE(SUBSTITUTE($N710,"~","~~"),"*","~*"),"?","~?"),'DEF_SELF_SCOUT_IMPORT'!$G$42:$G$1040,SUBSTITUTE(SUBSTITUTE(SUBSTITUTE($O710,"~","~~"),"*","~*"),"?","~?")))</f>
        <v>5.0</v>
      </c>
      <c r="G710" s="10">
        <f>IF($C710=0,"",COUNTIFS('DEF_SELF_SCOUT_IMPORT'!$L$42:$L$1040,"Y",'DEF_SELF_SCOUT_IMPORT'!$E$42:$E$1040,SUBSTITUTE(SUBSTITUTE(SUBSTITUTE($B710,"~","~~"),"*","~*"),"?","~?"),'DEF_SELF_SCOUT_IMPORT'!$Q$42:$Q$1040,SUBSTITUTE(SUBSTITUTE(SUBSTITUTE($M710,"~","~~"),"*","~*"),"?","~?"),'DEF_SELF_SCOUT_IMPORT'!$F$42:$F$1040,SUBSTITUTE(SUBSTITUTE(SUBSTITUTE($N710,"~","~~"),"*","~*"),"?","~?"),'DEF_SELF_SCOUT_IMPORT'!$G$42:$G$1040,SUBSTITUTE(SUBSTITUTE(SUBSTITUTE($O710,"~","~~"),"*","~*"),"?","~?"),'DEF_SELF_SCOUT_IMPORT'!$H$42:$H$1040,"RUSH")/$C710)</f>
        <v>0.5</v>
      </c>
      <c r="H710" s="10">
        <f>IF($C710=0,"",COUNTIFS('DEF_SELF_SCOUT_IMPORT'!$L$42:$L$1040,"Y",'DEF_SELF_SCOUT_IMPORT'!$E$42:$E$1040,SUBSTITUTE(SUBSTITUTE(SUBSTITUTE($B710,"~","~~"),"*","~*"),"?","~?"),'DEF_SELF_SCOUT_IMPORT'!$Q$42:$Q$1040,SUBSTITUTE(SUBSTITUTE(SUBSTITUTE($M710,"~","~~"),"*","~*"),"?","~?"),'DEF_SELF_SCOUT_IMPORT'!$F$42:$F$1040,SUBSTITUTE(SUBSTITUTE(SUBSTITUTE($N710,"~","~~"),"*","~*"),"?","~?"),'DEF_SELF_SCOUT_IMPORT'!$G$42:$G$1040,SUBSTITUTE(SUBSTITUTE(SUBSTITUTE($O710,"~","~~"),"*","~*"),"?","~?"),'DEF_SELF_SCOUT_IMPORT'!$H$42:$H$1040,"DROPBACK")/$C710)</f>
        <v>0.5</v>
      </c>
      <c r="I710" s="14" t="str">
        <f>IF(C710=0,"",IF(C710&lt;=2,"TRACK",IF(C710=3,"LOW",IF(C710&lt;=6,"MEDIUM","HIGH"))))</f>
        <v>TRACK</v>
      </c>
      <c r="J710" s="11">
        <f>IF(C710=0,"",ROUND(D710*70+(1-E710)*20+MAX(0,MIN(1,(10-F710)/10))*10,1))</f>
        <v>60.0</v>
      </c>
      <c r="K710" s="14" t="str">
        <f>IF(C710=0,"No Evidence",IF(C710&lt;=2,IF(E710&gt;0,"Explosive Alert","Track Only"),IF(C710=3,"Sample Watch",IF(E710&gt;=START_HERE!$B$31,"Explosive Alert",IF(J710&gt;=80,"Strong Candidate",IF(J710&gt;=65,"Good Candidate",IF(J710&gt;=50,"Mixed / Review","Problem Call")))))))</f>
        <v>Track Only</v>
      </c>
      <c r="L710" s="9" t="str">
        <f>IF(COUNTIFS('DEF_SELF_SCOUT_IMPORT'!$L$42:$L$1040,"Y",'DEF_SELF_SCOUT_IMPORT'!$E$42:$E$1040,SUBSTITUTE(SUBSTITUTE(SUBSTITUTE($B710,"~","~~"),"*","~*"),"?","~?"),'DEF_SELF_SCOUT_IMPORT'!$Q$42:$Q$1040,SUBSTITUTE(SUBSTITUTE(SUBSTITUTE($M710,"~","~~"),"*","~*"),"?","~?"),'DEF_SELF_SCOUT_IMPORT'!$F$42:$F$1040,SUBSTITUTE(SUBSTITUTE(SUBSTITUTE($N710,"~","~~"),"*","~*"),"?","~?"),'DEF_SELF_SCOUT_IMPORT'!$G$42:$G$1040,SUBSTITUTE(SUBSTITUTE(SUBSTITUTE($O710,"~","~~"),"*","~*"),"?","~?"),'DEF_SELF_SCOUT_IMPORT'!$J$42:$J$1040,"")&gt;0,"Unscored clean outcome; review result tags before using score.",IF(C710=0,"No matching defensive reps; film confirmation needed.",IF(K710="Explosive Alert","Explosive risk; review clips before using as answer.",IF(C710&lt;=2,"Track only; not enough sample.",IF(C710=3,IF(E710&gt;0,"Sample watch with explosive exposure; review clips and build the sample.",IF(J710&gt;=65,"Good signal, but sample is limited.","Sample watch; review clips and build the sample.")),IF(K710="Problem Call","Problem area; practice or call-sheet review.",IF(K710="Strong Candidate","Strong call-fit candidate; confirm on film.",IF(K710="Good Candidate","Good call-fit signal; confirm on film.","Mixed signal; review fit and execution on film."))))))))</f>
        <v>Track only; not enough sample.</v>
      </c>
      <c r="M710" s="8" t="s">
        <v>85</v>
      </c>
      <c r="N710" s="8" t="s">
        <v>120</v>
      </c>
      <c r="O710" s="8" t="s">
        <v>206</v>
      </c>
      <c r="P710" s="8"/>
      <c r="Q710" s="8"/>
      <c r="R710" s="8" t="s">
        <v>28</v>
      </c>
      <c r="S710" s="2" t="s">
        <v>357</v>
      </c>
      <c r="T710" s="2">
        <f>IF(C710=0,0,IF(C710&gt;=CALL_LOOKUP_BOARD!$B$7,IF(OR(K710="Problem Call",K710="Explosive Alert"),10000000,20000000),0)+IF(C710&gt;=CALL_LOOKUP_BOARD!$B$7,J710*1000+MIN(C710,999),C710*1000+J710)+0.00987800)</f>
        <v>2060.009878</v>
      </c>
      <c r="U710" s="2">
        <f>IF(C710=0,"",IF(COUNTIFS($S$589:$S$803,SUBSTITUTE(SUBSTITUTE(SUBSTITUTE(S710,"~","~~"),"*","~*"),"?","~?"),$T$589:$T$803,"&gt;"&amp;T710)=0,S710,""))</f>
        <v/>
      </c>
    </row>
    <row r="711" spans="1:21" ht="38" customHeight="1">
      <c r="A711" s="8" t="s">
        <v>356</v>
      </c>
      <c r="B711" s="8" t="s">
        <v>75</v>
      </c>
      <c r="C711" s="12">
        <f>COUNTIFS('DEF_SELF_SCOUT_IMPORT'!$L$42:$L$1040,"Y",'DEF_SELF_SCOUT_IMPORT'!$E$42:$E$1040,SUBSTITUTE(SUBSTITUTE(SUBSTITUTE($B711,"~","~~"),"*","~*"),"?","~?"),'DEF_SELF_SCOUT_IMPORT'!$Q$42:$Q$1040,SUBSTITUTE(SUBSTITUTE(SUBSTITUTE($M711,"~","~~"),"*","~*"),"?","~?"),'DEF_SELF_SCOUT_IMPORT'!$F$42:$F$1040,SUBSTITUTE(SUBSTITUTE(SUBSTITUTE($N711,"~","~~"),"*","~*"),"?","~?"),'DEF_SELF_SCOUT_IMPORT'!$G$42:$G$1040,SUBSTITUTE(SUBSTITUTE(SUBSTITUTE($O711,"~","~~"),"*","~*"),"?","~?"))</f>
        <v>1</v>
      </c>
      <c r="D711" s="10">
        <f>IF($C711=0,"",SUMIFS('DEF_SELF_SCOUT_IMPORT'!$J$42:$J$1040,'DEF_SELF_SCOUT_IMPORT'!$L$42:$L$1040,"Y",'DEF_SELF_SCOUT_IMPORT'!$E$42:$E$1040,SUBSTITUTE(SUBSTITUTE(SUBSTITUTE($B711,"~","~~"),"*","~*"),"?","~?"),'DEF_SELF_SCOUT_IMPORT'!$Q$42:$Q$1040,SUBSTITUTE(SUBSTITUTE(SUBSTITUTE($M711,"~","~~"),"*","~*"),"?","~?"),'DEF_SELF_SCOUT_IMPORT'!$F$42:$F$1040,SUBSTITUTE(SUBSTITUTE(SUBSTITUTE($N711,"~","~~"),"*","~*"),"?","~?"),'DEF_SELF_SCOUT_IMPORT'!$G$42:$G$1040,SUBSTITUTE(SUBSTITUTE(SUBSTITUTE($O711,"~","~~"),"*","~*"),"?","~?"))/$C711)</f>
        <v>1.0</v>
      </c>
      <c r="E711" s="10">
        <f>IF($C711=0,"",SUMIFS('DEF_SELF_SCOUT_IMPORT'!$K$42:$K$1040,'DEF_SELF_SCOUT_IMPORT'!$L$42:$L$1040,"Y",'DEF_SELF_SCOUT_IMPORT'!$E$42:$E$1040,SUBSTITUTE(SUBSTITUTE(SUBSTITUTE($B711,"~","~~"),"*","~*"),"?","~?"),'DEF_SELF_SCOUT_IMPORT'!$Q$42:$Q$1040,SUBSTITUTE(SUBSTITUTE(SUBSTITUTE($M711,"~","~~"),"*","~*"),"?","~?"),'DEF_SELF_SCOUT_IMPORT'!$F$42:$F$1040,SUBSTITUTE(SUBSTITUTE(SUBSTITUTE($N711,"~","~~"),"*","~*"),"?","~?"),'DEF_SELF_SCOUT_IMPORT'!$G$42:$G$1040,SUBSTITUTE(SUBSTITUTE(SUBSTITUTE($O711,"~","~~"),"*","~*"),"?","~?"))/$C711)</f>
        <v>0.0</v>
      </c>
      <c r="F711" s="11">
        <f>IF($C711=0,"",AVERAGEIFS('DEF_SELF_SCOUT_IMPORT'!$I$42:$I$1040,'DEF_SELF_SCOUT_IMPORT'!$L$42:$L$1040,"Y",'DEF_SELF_SCOUT_IMPORT'!$E$42:$E$1040,SUBSTITUTE(SUBSTITUTE(SUBSTITUTE($B711,"~","~~"),"*","~*"),"?","~?"),'DEF_SELF_SCOUT_IMPORT'!$Q$42:$Q$1040,SUBSTITUTE(SUBSTITUTE(SUBSTITUTE($M711,"~","~~"),"*","~*"),"?","~?"),'DEF_SELF_SCOUT_IMPORT'!$F$42:$F$1040,SUBSTITUTE(SUBSTITUTE(SUBSTITUTE($N711,"~","~~"),"*","~*"),"?","~?"),'DEF_SELF_SCOUT_IMPORT'!$G$42:$G$1040,SUBSTITUTE(SUBSTITUTE(SUBSTITUTE($O711,"~","~~"),"*","~*"),"?","~?")))</f>
        <v>6.0</v>
      </c>
      <c r="G711" s="10">
        <f>IF($C711=0,"",COUNTIFS('DEF_SELF_SCOUT_IMPORT'!$L$42:$L$1040,"Y",'DEF_SELF_SCOUT_IMPORT'!$E$42:$E$1040,SUBSTITUTE(SUBSTITUTE(SUBSTITUTE($B711,"~","~~"),"*","~*"),"?","~?"),'DEF_SELF_SCOUT_IMPORT'!$Q$42:$Q$1040,SUBSTITUTE(SUBSTITUTE(SUBSTITUTE($M711,"~","~~"),"*","~*"),"?","~?"),'DEF_SELF_SCOUT_IMPORT'!$F$42:$F$1040,SUBSTITUTE(SUBSTITUTE(SUBSTITUTE($N711,"~","~~"),"*","~*"),"?","~?"),'DEF_SELF_SCOUT_IMPORT'!$G$42:$G$1040,SUBSTITUTE(SUBSTITUTE(SUBSTITUTE($O711,"~","~~"),"*","~*"),"?","~?"),'DEF_SELF_SCOUT_IMPORT'!$H$42:$H$1040,"RUSH")/$C711)</f>
        <v>0.0</v>
      </c>
      <c r="H711" s="10">
        <f>IF($C711=0,"",COUNTIFS('DEF_SELF_SCOUT_IMPORT'!$L$42:$L$1040,"Y",'DEF_SELF_SCOUT_IMPORT'!$E$42:$E$1040,SUBSTITUTE(SUBSTITUTE(SUBSTITUTE($B711,"~","~~"),"*","~*"),"?","~?"),'DEF_SELF_SCOUT_IMPORT'!$Q$42:$Q$1040,SUBSTITUTE(SUBSTITUTE(SUBSTITUTE($M711,"~","~~"),"*","~*"),"?","~?"),'DEF_SELF_SCOUT_IMPORT'!$F$42:$F$1040,SUBSTITUTE(SUBSTITUTE(SUBSTITUTE($N711,"~","~~"),"*","~*"),"?","~?"),'DEF_SELF_SCOUT_IMPORT'!$G$42:$G$1040,SUBSTITUTE(SUBSTITUTE(SUBSTITUTE($O711,"~","~~"),"*","~*"),"?","~?"),'DEF_SELF_SCOUT_IMPORT'!$H$42:$H$1040,"DROPBACK")/$C711)</f>
        <v>1.0</v>
      </c>
      <c r="I711" s="14" t="str">
        <f>IF(C711=0,"",IF(C711&lt;=2,"TRACK",IF(C711=3,"LOW",IF(C711&lt;=6,"MEDIUM","HIGH"))))</f>
        <v>TRACK</v>
      </c>
      <c r="J711" s="11">
        <f>IF(C711=0,"",ROUND(D711*70+(1-E711)*20+MAX(0,MIN(1,(10-F711)/10))*10,1))</f>
        <v>94.0</v>
      </c>
      <c r="K711" s="14" t="str">
        <f>IF(C711=0,"No Evidence",IF(C711&lt;=2,IF(E711&gt;0,"Explosive Alert","Track Only"),IF(C711=3,"Sample Watch",IF(E711&gt;=START_HERE!$B$31,"Explosive Alert",IF(J711&gt;=80,"Strong Candidate",IF(J711&gt;=65,"Good Candidate",IF(J711&gt;=50,"Mixed / Review","Problem Call")))))))</f>
        <v>Track Only</v>
      </c>
      <c r="L711" s="9" t="str">
        <f>IF(COUNTIFS('DEF_SELF_SCOUT_IMPORT'!$L$42:$L$1040,"Y",'DEF_SELF_SCOUT_IMPORT'!$E$42:$E$1040,SUBSTITUTE(SUBSTITUTE(SUBSTITUTE($B711,"~","~~"),"*","~*"),"?","~?"),'DEF_SELF_SCOUT_IMPORT'!$Q$42:$Q$1040,SUBSTITUTE(SUBSTITUTE(SUBSTITUTE($M711,"~","~~"),"*","~*"),"?","~?"),'DEF_SELF_SCOUT_IMPORT'!$F$42:$F$1040,SUBSTITUTE(SUBSTITUTE(SUBSTITUTE($N711,"~","~~"),"*","~*"),"?","~?"),'DEF_SELF_SCOUT_IMPORT'!$G$42:$G$1040,SUBSTITUTE(SUBSTITUTE(SUBSTITUTE($O711,"~","~~"),"*","~*"),"?","~?"),'DEF_SELF_SCOUT_IMPORT'!$J$42:$J$1040,"")&gt;0,"Unscored clean outcome; review result tags before using score.",IF(C711=0,"No matching defensive reps; film confirmation needed.",IF(K711="Explosive Alert","Explosive risk; review clips before using as answer.",IF(C711&lt;=2,"Track only; not enough sample.",IF(C711=3,IF(E711&gt;0,"Sample watch with explosive exposure; review clips and build the sample.",IF(J711&gt;=65,"Good signal, but sample is limited.","Sample watch; review clips and build the sample.")),IF(K711="Problem Call","Problem area; practice or call-sheet review.",IF(K711="Strong Candidate","Strong call-fit candidate; confirm on film.",IF(K711="Good Candidate","Good call-fit signal; confirm on film.","Mixed signal; review fit and execution on film."))))))))</f>
        <v>Track only; not enough sample.</v>
      </c>
      <c r="M711" s="8" t="s">
        <v>85</v>
      </c>
      <c r="N711" s="8" t="s">
        <v>120</v>
      </c>
      <c r="O711" s="8" t="s">
        <v>206</v>
      </c>
      <c r="P711" s="8"/>
      <c r="Q711" s="8"/>
      <c r="R711" s="8" t="s">
        <v>28</v>
      </c>
      <c r="S711" s="2" t="s">
        <v>357</v>
      </c>
      <c r="T711" s="2">
        <f>IF(C711=0,0,IF(C711&gt;=CALL_LOOKUP_BOARD!$B$7,IF(OR(K711="Problem Call",K711="Explosive Alert"),10000000,20000000),0)+IF(C711&gt;=CALL_LOOKUP_BOARD!$B$7,J711*1000+MIN(C711,999),C711*1000+J711)+0.00987700)</f>
        <v>1094.009877</v>
      </c>
      <c r="U711" s="2">
        <f>IF(C711=0,"",IF(COUNTIFS($S$589:$S$803,SUBSTITUTE(SUBSTITUTE(SUBSTITUTE(S711,"~","~~"),"*","~*"),"?","~?"),$T$589:$T$803,"&gt;"&amp;T711)=0,S711,""))</f>
        <v/>
      </c>
    </row>
    <row r="712" spans="1:21" ht="38" customHeight="1">
      <c r="A712" s="8" t="s">
        <v>356</v>
      </c>
      <c r="B712" s="8" t="s">
        <v>69</v>
      </c>
      <c r="C712" s="12">
        <f>COUNTIFS('DEF_SELF_SCOUT_IMPORT'!$L$42:$L$1040,"Y",'DEF_SELF_SCOUT_IMPORT'!$E$42:$E$1040,SUBSTITUTE(SUBSTITUTE(SUBSTITUTE($B712,"~","~~"),"*","~*"),"?","~?"),'DEF_SELF_SCOUT_IMPORT'!$Q$42:$Q$1040,SUBSTITUTE(SUBSTITUTE(SUBSTITUTE($M712,"~","~~"),"*","~*"),"?","~?"),'DEF_SELF_SCOUT_IMPORT'!$F$42:$F$1040,SUBSTITUTE(SUBSTITUTE(SUBSTITUTE($N712,"~","~~"),"*","~*"),"?","~?"),'DEF_SELF_SCOUT_IMPORT'!$G$42:$G$1040,SUBSTITUTE(SUBSTITUTE(SUBSTITUTE($O712,"~","~~"),"*","~*"),"?","~?"))</f>
        <v>2</v>
      </c>
      <c r="D712" s="10">
        <f>IF($C712=0,"",SUMIFS('DEF_SELF_SCOUT_IMPORT'!$J$42:$J$1040,'DEF_SELF_SCOUT_IMPORT'!$L$42:$L$1040,"Y",'DEF_SELF_SCOUT_IMPORT'!$E$42:$E$1040,SUBSTITUTE(SUBSTITUTE(SUBSTITUTE($B712,"~","~~"),"*","~*"),"?","~?"),'DEF_SELF_SCOUT_IMPORT'!$Q$42:$Q$1040,SUBSTITUTE(SUBSTITUTE(SUBSTITUTE($M712,"~","~~"),"*","~*"),"?","~?"),'DEF_SELF_SCOUT_IMPORT'!$F$42:$F$1040,SUBSTITUTE(SUBSTITUTE(SUBSTITUTE($N712,"~","~~"),"*","~*"),"?","~?"),'DEF_SELF_SCOUT_IMPORT'!$G$42:$G$1040,SUBSTITUTE(SUBSTITUTE(SUBSTITUTE($O712,"~","~~"),"*","~*"),"?","~?"))/$C712)</f>
        <v>1.0</v>
      </c>
      <c r="E712" s="10">
        <f>IF($C712=0,"",SUMIFS('DEF_SELF_SCOUT_IMPORT'!$K$42:$K$1040,'DEF_SELF_SCOUT_IMPORT'!$L$42:$L$1040,"Y",'DEF_SELF_SCOUT_IMPORT'!$E$42:$E$1040,SUBSTITUTE(SUBSTITUTE(SUBSTITUTE($B712,"~","~~"),"*","~*"),"?","~?"),'DEF_SELF_SCOUT_IMPORT'!$Q$42:$Q$1040,SUBSTITUTE(SUBSTITUTE(SUBSTITUTE($M712,"~","~~"),"*","~*"),"?","~?"),'DEF_SELF_SCOUT_IMPORT'!$F$42:$F$1040,SUBSTITUTE(SUBSTITUTE(SUBSTITUTE($N712,"~","~~"),"*","~*"),"?","~?"),'DEF_SELF_SCOUT_IMPORT'!$G$42:$G$1040,SUBSTITUTE(SUBSTITUTE(SUBSTITUTE($O712,"~","~~"),"*","~*"),"?","~?"))/$C712)</f>
        <v>0.0</v>
      </c>
      <c r="F712" s="11">
        <f>IF($C712=0,"",AVERAGEIFS('DEF_SELF_SCOUT_IMPORT'!$I$42:$I$1040,'DEF_SELF_SCOUT_IMPORT'!$L$42:$L$1040,"Y",'DEF_SELF_SCOUT_IMPORT'!$E$42:$E$1040,SUBSTITUTE(SUBSTITUTE(SUBSTITUTE($B712,"~","~~"),"*","~*"),"?","~?"),'DEF_SELF_SCOUT_IMPORT'!$Q$42:$Q$1040,SUBSTITUTE(SUBSTITUTE(SUBSTITUTE($M712,"~","~~"),"*","~*"),"?","~?"),'DEF_SELF_SCOUT_IMPORT'!$F$42:$F$1040,SUBSTITUTE(SUBSTITUTE(SUBSTITUTE($N712,"~","~~"),"*","~*"),"?","~?"),'DEF_SELF_SCOUT_IMPORT'!$G$42:$G$1040,SUBSTITUTE(SUBSTITUTE(SUBSTITUTE($O712,"~","~~"),"*","~*"),"?","~?")))</f>
        <v>0.5</v>
      </c>
      <c r="G712" s="10">
        <f>IF($C712=0,"",COUNTIFS('DEF_SELF_SCOUT_IMPORT'!$L$42:$L$1040,"Y",'DEF_SELF_SCOUT_IMPORT'!$E$42:$E$1040,SUBSTITUTE(SUBSTITUTE(SUBSTITUTE($B712,"~","~~"),"*","~*"),"?","~?"),'DEF_SELF_SCOUT_IMPORT'!$Q$42:$Q$1040,SUBSTITUTE(SUBSTITUTE(SUBSTITUTE($M712,"~","~~"),"*","~*"),"?","~?"),'DEF_SELF_SCOUT_IMPORT'!$F$42:$F$1040,SUBSTITUTE(SUBSTITUTE(SUBSTITUTE($N712,"~","~~"),"*","~*"),"?","~?"),'DEF_SELF_SCOUT_IMPORT'!$G$42:$G$1040,SUBSTITUTE(SUBSTITUTE(SUBSTITUTE($O712,"~","~~"),"*","~*"),"?","~?"),'DEF_SELF_SCOUT_IMPORT'!$H$42:$H$1040,"RUSH")/$C712)</f>
        <v>1.0</v>
      </c>
      <c r="H712" s="10">
        <f>IF($C712=0,"",COUNTIFS('DEF_SELF_SCOUT_IMPORT'!$L$42:$L$1040,"Y",'DEF_SELF_SCOUT_IMPORT'!$E$42:$E$1040,SUBSTITUTE(SUBSTITUTE(SUBSTITUTE($B712,"~","~~"),"*","~*"),"?","~?"),'DEF_SELF_SCOUT_IMPORT'!$Q$42:$Q$1040,SUBSTITUTE(SUBSTITUTE(SUBSTITUTE($M712,"~","~~"),"*","~*"),"?","~?"),'DEF_SELF_SCOUT_IMPORT'!$F$42:$F$1040,SUBSTITUTE(SUBSTITUTE(SUBSTITUTE($N712,"~","~~"),"*","~*"),"?","~?"),'DEF_SELF_SCOUT_IMPORT'!$G$42:$G$1040,SUBSTITUTE(SUBSTITUTE(SUBSTITUTE($O712,"~","~~"),"*","~*"),"?","~?"),'DEF_SELF_SCOUT_IMPORT'!$H$42:$H$1040,"DROPBACK")/$C712)</f>
        <v>0.0</v>
      </c>
      <c r="I712" s="14" t="str">
        <f>IF(C712=0,"",IF(C712&lt;=2,"TRACK",IF(C712=3,"LOW",IF(C712&lt;=6,"MEDIUM","HIGH"))))</f>
        <v>TRACK</v>
      </c>
      <c r="J712" s="11">
        <f>IF(C712=0,"",ROUND(D712*70+(1-E712)*20+MAX(0,MIN(1,(10-F712)/10))*10,1))</f>
        <v>99.5</v>
      </c>
      <c r="K712" s="14" t="str">
        <f>IF(C712=0,"No Evidence",IF(C712&lt;=2,IF(E712&gt;0,"Explosive Alert","Track Only"),IF(C712=3,"Sample Watch",IF(E712&gt;=START_HERE!$B$31,"Explosive Alert",IF(J712&gt;=80,"Strong Candidate",IF(J712&gt;=65,"Good Candidate",IF(J712&gt;=50,"Mixed / Review","Problem Call")))))))</f>
        <v>Track Only</v>
      </c>
      <c r="L712" s="9" t="str">
        <f>IF(COUNTIFS('DEF_SELF_SCOUT_IMPORT'!$L$42:$L$1040,"Y",'DEF_SELF_SCOUT_IMPORT'!$E$42:$E$1040,SUBSTITUTE(SUBSTITUTE(SUBSTITUTE($B712,"~","~~"),"*","~*"),"?","~?"),'DEF_SELF_SCOUT_IMPORT'!$Q$42:$Q$1040,SUBSTITUTE(SUBSTITUTE(SUBSTITUTE($M712,"~","~~"),"*","~*"),"?","~?"),'DEF_SELF_SCOUT_IMPORT'!$F$42:$F$1040,SUBSTITUTE(SUBSTITUTE(SUBSTITUTE($N712,"~","~~"),"*","~*"),"?","~?"),'DEF_SELF_SCOUT_IMPORT'!$G$42:$G$1040,SUBSTITUTE(SUBSTITUTE(SUBSTITUTE($O712,"~","~~"),"*","~*"),"?","~?"),'DEF_SELF_SCOUT_IMPORT'!$J$42:$J$1040,"")&gt;0,"Unscored clean outcome; review result tags before using score.",IF(C712=0,"No matching defensive reps; film confirmation needed.",IF(K712="Explosive Alert","Explosive risk; review clips before using as answer.",IF(C712&lt;=2,"Track only; not enough sample.",IF(C712=3,IF(E712&gt;0,"Sample watch with explosive exposure; review clips and build the sample.",IF(J712&gt;=65,"Good signal, but sample is limited.","Sample watch; review clips and build the sample.")),IF(K712="Problem Call","Problem area; practice or call-sheet review.",IF(K712="Strong Candidate","Strong call-fit candidate; confirm on film.",IF(K712="Good Candidate","Good call-fit signal; confirm on film.","Mixed signal; review fit and execution on film."))))))))</f>
        <v>Track only; not enough sample.</v>
      </c>
      <c r="M712" s="8" t="s">
        <v>85</v>
      </c>
      <c r="N712" s="8" t="s">
        <v>120</v>
      </c>
      <c r="O712" s="8" t="s">
        <v>206</v>
      </c>
      <c r="P712" s="8"/>
      <c r="Q712" s="8"/>
      <c r="R712" s="8" t="s">
        <v>28</v>
      </c>
      <c r="S712" s="2" t="s">
        <v>357</v>
      </c>
      <c r="T712" s="2">
        <f>IF(C712=0,0,IF(C712&gt;=CALL_LOOKUP_BOARD!$B$7,IF(OR(K712="Problem Call",K712="Explosive Alert"),10000000,20000000),0)+IF(C712&gt;=CALL_LOOKUP_BOARD!$B$7,J712*1000+MIN(C712,999),C712*1000+J712)+0.00987600)</f>
        <v>2099.509876</v>
      </c>
      <c r="U712" s="2" t="str">
        <f>IF(C712=0,"",IF(COUNTIFS($S$589:$S$803,SUBSTITUTE(SUBSTITUTE(SUBSTITUTE(S712,"~","~~"),"*","~*"),"?","~?"),$T$589:$T$803,"&gt;"&amp;T712)=0,S712,""))</f>
        <v>7:2D 7-10|2:11|3:3X1|</v>
      </c>
    </row>
    <row r="713" spans="1:21" ht="38" customHeight="1">
      <c r="A713" s="8" t="s">
        <v>358</v>
      </c>
      <c r="B713" s="8" t="s">
        <v>65</v>
      </c>
      <c r="C713" s="12">
        <f>COUNTIFS('DEF_SELF_SCOUT_IMPORT'!$L$42:$L$1040,"Y",'DEF_SELF_SCOUT_IMPORT'!$E$42:$E$1040,SUBSTITUTE(SUBSTITUTE(SUBSTITUTE($B713,"~","~~"),"*","~*"),"?","~?"),'DEF_SELF_SCOUT_IMPORT'!$Q$42:$Q$1040,SUBSTITUTE(SUBSTITUTE(SUBSTITUTE($M713,"~","~~"),"*","~*"),"?","~?"),'DEF_SELF_SCOUT_IMPORT'!$F$42:$F$1040,SUBSTITUTE(SUBSTITUTE(SUBSTITUTE($N713,"~","~~"),"*","~*"),"?","~?"),'DEF_SELF_SCOUT_IMPORT'!$G$42:$G$1040,SUBSTITUTE(SUBSTITUTE(SUBSTITUTE($O713,"~","~~"),"*","~*"),"?","~?"))</f>
        <v>1</v>
      </c>
      <c r="D713" s="10">
        <f>IF($C713=0,"",SUMIFS('DEF_SELF_SCOUT_IMPORT'!$J$42:$J$1040,'DEF_SELF_SCOUT_IMPORT'!$L$42:$L$1040,"Y",'DEF_SELF_SCOUT_IMPORT'!$E$42:$E$1040,SUBSTITUTE(SUBSTITUTE(SUBSTITUTE($B713,"~","~~"),"*","~*"),"?","~?"),'DEF_SELF_SCOUT_IMPORT'!$Q$42:$Q$1040,SUBSTITUTE(SUBSTITUTE(SUBSTITUTE($M713,"~","~~"),"*","~*"),"?","~?"),'DEF_SELF_SCOUT_IMPORT'!$F$42:$F$1040,SUBSTITUTE(SUBSTITUTE(SUBSTITUTE($N713,"~","~~"),"*","~*"),"?","~?"),'DEF_SELF_SCOUT_IMPORT'!$G$42:$G$1040,SUBSTITUTE(SUBSTITUTE(SUBSTITUTE($O713,"~","~~"),"*","~*"),"?","~?"))/$C713)</f>
        <v>1.0</v>
      </c>
      <c r="E713" s="10">
        <f>IF($C713=0,"",SUMIFS('DEF_SELF_SCOUT_IMPORT'!$K$42:$K$1040,'DEF_SELF_SCOUT_IMPORT'!$L$42:$L$1040,"Y",'DEF_SELF_SCOUT_IMPORT'!$E$42:$E$1040,SUBSTITUTE(SUBSTITUTE(SUBSTITUTE($B713,"~","~~"),"*","~*"),"?","~?"),'DEF_SELF_SCOUT_IMPORT'!$Q$42:$Q$1040,SUBSTITUTE(SUBSTITUTE(SUBSTITUTE($M713,"~","~~"),"*","~*"),"?","~?"),'DEF_SELF_SCOUT_IMPORT'!$F$42:$F$1040,SUBSTITUTE(SUBSTITUTE(SUBSTITUTE($N713,"~","~~"),"*","~*"),"?","~?"),'DEF_SELF_SCOUT_IMPORT'!$G$42:$G$1040,SUBSTITUTE(SUBSTITUTE(SUBSTITUTE($O713,"~","~~"),"*","~*"),"?","~?"))/$C713)</f>
        <v>0.0</v>
      </c>
      <c r="F713" s="11">
        <f>IF($C713=0,"",AVERAGEIFS('DEF_SELF_SCOUT_IMPORT'!$I$42:$I$1040,'DEF_SELF_SCOUT_IMPORT'!$L$42:$L$1040,"Y",'DEF_SELF_SCOUT_IMPORT'!$E$42:$E$1040,SUBSTITUTE(SUBSTITUTE(SUBSTITUTE($B713,"~","~~"),"*","~*"),"?","~?"),'DEF_SELF_SCOUT_IMPORT'!$Q$42:$Q$1040,SUBSTITUTE(SUBSTITUTE(SUBSTITUTE($M713,"~","~~"),"*","~*"),"?","~?"),'DEF_SELF_SCOUT_IMPORT'!$F$42:$F$1040,SUBSTITUTE(SUBSTITUTE(SUBSTITUTE($N713,"~","~~"),"*","~*"),"?","~?"),'DEF_SELF_SCOUT_IMPORT'!$G$42:$G$1040,SUBSTITUTE(SUBSTITUTE(SUBSTITUTE($O713,"~","~~"),"*","~*"),"?","~?")))</f>
        <v>-1.0</v>
      </c>
      <c r="G713" s="10">
        <f>IF($C713=0,"",COUNTIFS('DEF_SELF_SCOUT_IMPORT'!$L$42:$L$1040,"Y",'DEF_SELF_SCOUT_IMPORT'!$E$42:$E$1040,SUBSTITUTE(SUBSTITUTE(SUBSTITUTE($B713,"~","~~"),"*","~*"),"?","~?"),'DEF_SELF_SCOUT_IMPORT'!$Q$42:$Q$1040,SUBSTITUTE(SUBSTITUTE(SUBSTITUTE($M713,"~","~~"),"*","~*"),"?","~?"),'DEF_SELF_SCOUT_IMPORT'!$F$42:$F$1040,SUBSTITUTE(SUBSTITUTE(SUBSTITUTE($N713,"~","~~"),"*","~*"),"?","~?"),'DEF_SELF_SCOUT_IMPORT'!$G$42:$G$1040,SUBSTITUTE(SUBSTITUTE(SUBSTITUTE($O713,"~","~~"),"*","~*"),"?","~?"),'DEF_SELF_SCOUT_IMPORT'!$H$42:$H$1040,"RUSH")/$C713)</f>
        <v>1.0</v>
      </c>
      <c r="H713" s="10">
        <f>IF($C713=0,"",COUNTIFS('DEF_SELF_SCOUT_IMPORT'!$L$42:$L$1040,"Y",'DEF_SELF_SCOUT_IMPORT'!$E$42:$E$1040,SUBSTITUTE(SUBSTITUTE(SUBSTITUTE($B713,"~","~~"),"*","~*"),"?","~?"),'DEF_SELF_SCOUT_IMPORT'!$Q$42:$Q$1040,SUBSTITUTE(SUBSTITUTE(SUBSTITUTE($M713,"~","~~"),"*","~*"),"?","~?"),'DEF_SELF_SCOUT_IMPORT'!$F$42:$F$1040,SUBSTITUTE(SUBSTITUTE(SUBSTITUTE($N713,"~","~~"),"*","~*"),"?","~?"),'DEF_SELF_SCOUT_IMPORT'!$G$42:$G$1040,SUBSTITUTE(SUBSTITUTE(SUBSTITUTE($O713,"~","~~"),"*","~*"),"?","~?"),'DEF_SELF_SCOUT_IMPORT'!$H$42:$H$1040,"DROPBACK")/$C713)</f>
        <v>0.0</v>
      </c>
      <c r="I713" s="14" t="str">
        <f>IF(C713=0,"",IF(C713&lt;=2,"TRACK",IF(C713=3,"LOW",IF(C713&lt;=6,"MEDIUM","HIGH"))))</f>
        <v>TRACK</v>
      </c>
      <c r="J713" s="11">
        <f>IF(C713=0,"",ROUND(D713*70+(1-E713)*20+MAX(0,MIN(1,(10-F713)/10))*10,1))</f>
        <v>100.0</v>
      </c>
      <c r="K713" s="14" t="str">
        <f>IF(C713=0,"No Evidence",IF(C713&lt;=2,IF(E713&gt;0,"Explosive Alert","Track Only"),IF(C713=3,"Sample Watch",IF(E713&gt;=START_HERE!$B$31,"Explosive Alert",IF(J713&gt;=80,"Strong Candidate",IF(J713&gt;=65,"Good Candidate",IF(J713&gt;=50,"Mixed / Review","Problem Call")))))))</f>
        <v>Track Only</v>
      </c>
      <c r="L713" s="9" t="str">
        <f>IF(COUNTIFS('DEF_SELF_SCOUT_IMPORT'!$L$42:$L$1040,"Y",'DEF_SELF_SCOUT_IMPORT'!$E$42:$E$1040,SUBSTITUTE(SUBSTITUTE(SUBSTITUTE($B713,"~","~~"),"*","~*"),"?","~?"),'DEF_SELF_SCOUT_IMPORT'!$Q$42:$Q$1040,SUBSTITUTE(SUBSTITUTE(SUBSTITUTE($M713,"~","~~"),"*","~*"),"?","~?"),'DEF_SELF_SCOUT_IMPORT'!$F$42:$F$1040,SUBSTITUTE(SUBSTITUTE(SUBSTITUTE($N713,"~","~~"),"*","~*"),"?","~?"),'DEF_SELF_SCOUT_IMPORT'!$G$42:$G$1040,SUBSTITUTE(SUBSTITUTE(SUBSTITUTE($O713,"~","~~"),"*","~*"),"?","~?"),'DEF_SELF_SCOUT_IMPORT'!$J$42:$J$1040,"")&gt;0,"Unscored clean outcome; review result tags before using score.",IF(C713=0,"No matching defensive reps; film confirmation needed.",IF(K713="Explosive Alert","Explosive risk; review clips before using as answer.",IF(C713&lt;=2,"Track only; not enough sample.",IF(C713=3,IF(E713&gt;0,"Sample watch with explosive exposure; review clips and build the sample.",IF(J713&gt;=65,"Good signal, but sample is limited.","Sample watch; review clips and build the sample.")),IF(K713="Problem Call","Problem area; practice or call-sheet review.",IF(K713="Strong Candidate","Strong call-fit candidate; confirm on film.",IF(K713="Good Candidate","Good call-fit signal; confirm on film.","Mixed signal; review fit and execution on film."))))))))</f>
        <v>Track only; not enough sample.</v>
      </c>
      <c r="M713" s="8" t="s">
        <v>85</v>
      </c>
      <c r="N713" s="8" t="s">
        <v>120</v>
      </c>
      <c r="O713" s="8" t="s">
        <v>222</v>
      </c>
      <c r="P713" s="8"/>
      <c r="Q713" s="8"/>
      <c r="R713" s="8" t="s">
        <v>28</v>
      </c>
      <c r="S713" s="2" t="s">
        <v>359</v>
      </c>
      <c r="T713" s="2">
        <f>IF(C713=0,0,IF(C713&gt;=CALL_LOOKUP_BOARD!$B$7,IF(OR(K713="Problem Call",K713="Explosive Alert"),10000000,20000000),0)+IF(C713&gt;=CALL_LOOKUP_BOARD!$B$7,J713*1000+MIN(C713,999),C713*1000+J713)+0.00987500)</f>
        <v>1100.009875</v>
      </c>
      <c r="U713" s="2" t="str">
        <f>IF(C713=0,"",IF(COUNTIFS($S$589:$S$803,SUBSTITUTE(SUBSTITUTE(SUBSTITUTE(S713,"~","~~"),"*","~*"),"?","~?"),$T$589:$T$803,"&gt;"&amp;T713)=0,S713,""))</f>
        <v>7:2D 7-10|2:11|3:3X2|</v>
      </c>
    </row>
    <row r="714" spans="1:21" ht="38" customHeight="1">
      <c r="A714" s="8" t="s">
        <v>360</v>
      </c>
      <c r="B714" s="8" t="s">
        <v>51</v>
      </c>
      <c r="C714" s="12">
        <f>COUNTIFS('DEF_SELF_SCOUT_IMPORT'!$L$42:$L$1040,"Y",'DEF_SELF_SCOUT_IMPORT'!$E$42:$E$1040,SUBSTITUTE(SUBSTITUTE(SUBSTITUTE($B714,"~","~~"),"*","~*"),"?","~?"),'DEF_SELF_SCOUT_IMPORT'!$Q$42:$Q$1040,SUBSTITUTE(SUBSTITUTE(SUBSTITUTE($M714,"~","~~"),"*","~*"),"?","~?"),'DEF_SELF_SCOUT_IMPORT'!$F$42:$F$1040,SUBSTITUTE(SUBSTITUTE(SUBSTITUTE($N714,"~","~~"),"*","~*"),"?","~?"),'DEF_SELF_SCOUT_IMPORT'!$G$42:$G$1040,SUBSTITUTE(SUBSTITUTE(SUBSTITUTE($O714,"~","~~"),"*","~*"),"?","~?"))</f>
        <v>1</v>
      </c>
      <c r="D714" s="10">
        <f>IF($C714=0,"",SUMIFS('DEF_SELF_SCOUT_IMPORT'!$J$42:$J$1040,'DEF_SELF_SCOUT_IMPORT'!$L$42:$L$1040,"Y",'DEF_SELF_SCOUT_IMPORT'!$E$42:$E$1040,SUBSTITUTE(SUBSTITUTE(SUBSTITUTE($B714,"~","~~"),"*","~*"),"?","~?"),'DEF_SELF_SCOUT_IMPORT'!$Q$42:$Q$1040,SUBSTITUTE(SUBSTITUTE(SUBSTITUTE($M714,"~","~~"),"*","~*"),"?","~?"),'DEF_SELF_SCOUT_IMPORT'!$F$42:$F$1040,SUBSTITUTE(SUBSTITUTE(SUBSTITUTE($N714,"~","~~"),"*","~*"),"?","~?"),'DEF_SELF_SCOUT_IMPORT'!$G$42:$G$1040,SUBSTITUTE(SUBSTITUTE(SUBSTITUTE($O714,"~","~~"),"*","~*"),"?","~?"))/$C714)</f>
        <v>0.0</v>
      </c>
      <c r="E714" s="10">
        <f>IF($C714=0,"",SUMIFS('DEF_SELF_SCOUT_IMPORT'!$K$42:$K$1040,'DEF_SELF_SCOUT_IMPORT'!$L$42:$L$1040,"Y",'DEF_SELF_SCOUT_IMPORT'!$E$42:$E$1040,SUBSTITUTE(SUBSTITUTE(SUBSTITUTE($B714,"~","~~"),"*","~*"),"?","~?"),'DEF_SELF_SCOUT_IMPORT'!$Q$42:$Q$1040,SUBSTITUTE(SUBSTITUTE(SUBSTITUTE($M714,"~","~~"),"*","~*"),"?","~?"),'DEF_SELF_SCOUT_IMPORT'!$F$42:$F$1040,SUBSTITUTE(SUBSTITUTE(SUBSTITUTE($N714,"~","~~"),"*","~*"),"?","~?"),'DEF_SELF_SCOUT_IMPORT'!$G$42:$G$1040,SUBSTITUTE(SUBSTITUTE(SUBSTITUTE($O714,"~","~~"),"*","~*"),"?","~?"))/$C714)</f>
        <v>1.0</v>
      </c>
      <c r="F714" s="11">
        <f>IF($C714=0,"",AVERAGEIFS('DEF_SELF_SCOUT_IMPORT'!$I$42:$I$1040,'DEF_SELF_SCOUT_IMPORT'!$L$42:$L$1040,"Y",'DEF_SELF_SCOUT_IMPORT'!$E$42:$E$1040,SUBSTITUTE(SUBSTITUTE(SUBSTITUTE($B714,"~","~~"),"*","~*"),"?","~?"),'DEF_SELF_SCOUT_IMPORT'!$Q$42:$Q$1040,SUBSTITUTE(SUBSTITUTE(SUBSTITUTE($M714,"~","~~"),"*","~*"),"?","~?"),'DEF_SELF_SCOUT_IMPORT'!$F$42:$F$1040,SUBSTITUTE(SUBSTITUTE(SUBSTITUTE($N714,"~","~~"),"*","~*"),"?","~?"),'DEF_SELF_SCOUT_IMPORT'!$G$42:$G$1040,SUBSTITUTE(SUBSTITUTE(SUBSTITUTE($O714,"~","~~"),"*","~*"),"?","~?")))</f>
        <v>19.0</v>
      </c>
      <c r="G714" s="10">
        <f>IF($C714=0,"",COUNTIFS('DEF_SELF_SCOUT_IMPORT'!$L$42:$L$1040,"Y",'DEF_SELF_SCOUT_IMPORT'!$E$42:$E$1040,SUBSTITUTE(SUBSTITUTE(SUBSTITUTE($B714,"~","~~"),"*","~*"),"?","~?"),'DEF_SELF_SCOUT_IMPORT'!$Q$42:$Q$1040,SUBSTITUTE(SUBSTITUTE(SUBSTITUTE($M714,"~","~~"),"*","~*"),"?","~?"),'DEF_SELF_SCOUT_IMPORT'!$F$42:$F$1040,SUBSTITUTE(SUBSTITUTE(SUBSTITUTE($N714,"~","~~"),"*","~*"),"?","~?"),'DEF_SELF_SCOUT_IMPORT'!$G$42:$G$1040,SUBSTITUTE(SUBSTITUTE(SUBSTITUTE($O714,"~","~~"),"*","~*"),"?","~?"),'DEF_SELF_SCOUT_IMPORT'!$H$42:$H$1040,"RUSH")/$C714)</f>
        <v>0.0</v>
      </c>
      <c r="H714" s="10">
        <f>IF($C714=0,"",COUNTIFS('DEF_SELF_SCOUT_IMPORT'!$L$42:$L$1040,"Y",'DEF_SELF_SCOUT_IMPORT'!$E$42:$E$1040,SUBSTITUTE(SUBSTITUTE(SUBSTITUTE($B714,"~","~~"),"*","~*"),"?","~?"),'DEF_SELF_SCOUT_IMPORT'!$Q$42:$Q$1040,SUBSTITUTE(SUBSTITUTE(SUBSTITUTE($M714,"~","~~"),"*","~*"),"?","~?"),'DEF_SELF_SCOUT_IMPORT'!$F$42:$F$1040,SUBSTITUTE(SUBSTITUTE(SUBSTITUTE($N714,"~","~~"),"*","~*"),"?","~?"),'DEF_SELF_SCOUT_IMPORT'!$G$42:$G$1040,SUBSTITUTE(SUBSTITUTE(SUBSTITUTE($O714,"~","~~"),"*","~*"),"?","~?"),'DEF_SELF_SCOUT_IMPORT'!$H$42:$H$1040,"DROPBACK")/$C714)</f>
        <v>1.0</v>
      </c>
      <c r="I714" s="14" t="str">
        <f>IF(C714=0,"",IF(C714&lt;=2,"TRACK",IF(C714=3,"LOW",IF(C714&lt;=6,"MEDIUM","HIGH"))))</f>
        <v>TRACK</v>
      </c>
      <c r="J714" s="11">
        <f>IF(C714=0,"",ROUND(D714*70+(1-E714)*20+MAX(0,MIN(1,(10-F714)/10))*10,1))</f>
        <v>0.0</v>
      </c>
      <c r="K714" s="14" t="str">
        <f>IF(C714=0,"No Evidence",IF(C714&lt;=2,IF(E714&gt;0,"Explosive Alert","Track Only"),IF(C714=3,"Sample Watch",IF(E714&gt;=START_HERE!$B$31,"Explosive Alert",IF(J714&gt;=80,"Strong Candidate",IF(J714&gt;=65,"Good Candidate",IF(J714&gt;=50,"Mixed / Review","Problem Call")))))))</f>
        <v>Explosive Alert</v>
      </c>
      <c r="L714" s="9" t="str">
        <f>IF(COUNTIFS('DEF_SELF_SCOUT_IMPORT'!$L$42:$L$1040,"Y",'DEF_SELF_SCOUT_IMPORT'!$E$42:$E$1040,SUBSTITUTE(SUBSTITUTE(SUBSTITUTE($B714,"~","~~"),"*","~*"),"?","~?"),'DEF_SELF_SCOUT_IMPORT'!$Q$42:$Q$1040,SUBSTITUTE(SUBSTITUTE(SUBSTITUTE($M714,"~","~~"),"*","~*"),"?","~?"),'DEF_SELF_SCOUT_IMPORT'!$F$42:$F$1040,SUBSTITUTE(SUBSTITUTE(SUBSTITUTE($N714,"~","~~"),"*","~*"),"?","~?"),'DEF_SELF_SCOUT_IMPORT'!$G$42:$G$1040,SUBSTITUTE(SUBSTITUTE(SUBSTITUTE($O714,"~","~~"),"*","~*"),"?","~?"),'DEF_SELF_SCOUT_IMPORT'!$J$42:$J$1040,"")&gt;0,"Unscored clean outcome; review result tags before using score.",IF(C714=0,"No matching defensive reps; film confirmation needed.",IF(K714="Explosive Alert","Explosive risk; review clips before using as answer.",IF(C714&lt;=2,"Track only; not enough sample.",IF(C714=3,IF(E714&gt;0,"Sample watch with explosive exposure; review clips and build the sample.",IF(J714&gt;=65,"Good signal, but sample is limited.","Sample watch; review clips and build the sample.")),IF(K714="Problem Call","Problem area; practice or call-sheet review.",IF(K714="Strong Candidate","Strong call-fit candidate; confirm on film.",IF(K714="Good Candidate","Good call-fit signal; confirm on film.","Mixed signal; review fit and execution on film."))))))))</f>
        <v>Explosive risk; review clips before using as answer.</v>
      </c>
      <c r="M714" s="8" t="s">
        <v>85</v>
      </c>
      <c r="N714" s="8" t="s">
        <v>123</v>
      </c>
      <c r="O714" s="8" t="s">
        <v>203</v>
      </c>
      <c r="P714" s="8"/>
      <c r="Q714" s="8"/>
      <c r="R714" s="8" t="s">
        <v>28</v>
      </c>
      <c r="S714" s="2" t="s">
        <v>361</v>
      </c>
      <c r="T714" s="2">
        <f>IF(C714=0,0,IF(C714&gt;=CALL_LOOKUP_BOARD!$B$7,IF(OR(K714="Problem Call",K714="Explosive Alert"),10000000,20000000),0)+IF(C714&gt;=CALL_LOOKUP_BOARD!$B$7,J714*1000+MIN(C714,999),C714*1000+J714)+0.00987400)</f>
        <v>1000.009874</v>
      </c>
      <c r="U714" s="2">
        <f>IF(C714=0,"",IF(COUNTIFS($S$589:$S$803,SUBSTITUTE(SUBSTITUTE(SUBSTITUTE(S714,"~","~~"),"*","~*"),"?","~?"),$T$589:$T$803,"&gt;"&amp;T714)=0,S714,""))</f>
        <v/>
      </c>
    </row>
    <row r="715" spans="1:21" ht="38" customHeight="1">
      <c r="A715" s="8" t="s">
        <v>360</v>
      </c>
      <c r="B715" s="8" t="s">
        <v>84</v>
      </c>
      <c r="C715" s="12">
        <f>COUNTIFS('DEF_SELF_SCOUT_IMPORT'!$L$42:$L$1040,"Y",'DEF_SELF_SCOUT_IMPORT'!$E$42:$E$1040,SUBSTITUTE(SUBSTITUTE(SUBSTITUTE($B715,"~","~~"),"*","~*"),"?","~?"),'DEF_SELF_SCOUT_IMPORT'!$Q$42:$Q$1040,SUBSTITUTE(SUBSTITUTE(SUBSTITUTE($M715,"~","~~"),"*","~*"),"?","~?"),'DEF_SELF_SCOUT_IMPORT'!$F$42:$F$1040,SUBSTITUTE(SUBSTITUTE(SUBSTITUTE($N715,"~","~~"),"*","~*"),"?","~?"),'DEF_SELF_SCOUT_IMPORT'!$G$42:$G$1040,SUBSTITUTE(SUBSTITUTE(SUBSTITUTE($O715,"~","~~"),"*","~*"),"?","~?"))</f>
        <v>1</v>
      </c>
      <c r="D715" s="10">
        <f>IF($C715=0,"",SUMIFS('DEF_SELF_SCOUT_IMPORT'!$J$42:$J$1040,'DEF_SELF_SCOUT_IMPORT'!$L$42:$L$1040,"Y",'DEF_SELF_SCOUT_IMPORT'!$E$42:$E$1040,SUBSTITUTE(SUBSTITUTE(SUBSTITUTE($B715,"~","~~"),"*","~*"),"?","~?"),'DEF_SELF_SCOUT_IMPORT'!$Q$42:$Q$1040,SUBSTITUTE(SUBSTITUTE(SUBSTITUTE($M715,"~","~~"),"*","~*"),"?","~?"),'DEF_SELF_SCOUT_IMPORT'!$F$42:$F$1040,SUBSTITUTE(SUBSTITUTE(SUBSTITUTE($N715,"~","~~"),"*","~*"),"?","~?"),'DEF_SELF_SCOUT_IMPORT'!$G$42:$G$1040,SUBSTITUTE(SUBSTITUTE(SUBSTITUTE($O715,"~","~~"),"*","~*"),"?","~?"))/$C715)</f>
        <v>1.0</v>
      </c>
      <c r="E715" s="10">
        <f>IF($C715=0,"",SUMIFS('DEF_SELF_SCOUT_IMPORT'!$K$42:$K$1040,'DEF_SELF_SCOUT_IMPORT'!$L$42:$L$1040,"Y",'DEF_SELF_SCOUT_IMPORT'!$E$42:$E$1040,SUBSTITUTE(SUBSTITUTE(SUBSTITUTE($B715,"~","~~"),"*","~*"),"?","~?"),'DEF_SELF_SCOUT_IMPORT'!$Q$42:$Q$1040,SUBSTITUTE(SUBSTITUTE(SUBSTITUTE($M715,"~","~~"),"*","~*"),"?","~?"),'DEF_SELF_SCOUT_IMPORT'!$F$42:$F$1040,SUBSTITUTE(SUBSTITUTE(SUBSTITUTE($N715,"~","~~"),"*","~*"),"?","~?"),'DEF_SELF_SCOUT_IMPORT'!$G$42:$G$1040,SUBSTITUTE(SUBSTITUTE(SUBSTITUTE($O715,"~","~~"),"*","~*"),"?","~?"))/$C715)</f>
        <v>0.0</v>
      </c>
      <c r="F715" s="11">
        <f>IF($C715=0,"",AVERAGEIFS('DEF_SELF_SCOUT_IMPORT'!$I$42:$I$1040,'DEF_SELF_SCOUT_IMPORT'!$L$42:$L$1040,"Y",'DEF_SELF_SCOUT_IMPORT'!$E$42:$E$1040,SUBSTITUTE(SUBSTITUTE(SUBSTITUTE($B715,"~","~~"),"*","~*"),"?","~?"),'DEF_SELF_SCOUT_IMPORT'!$Q$42:$Q$1040,SUBSTITUTE(SUBSTITUTE(SUBSTITUTE($M715,"~","~~"),"*","~*"),"?","~?"),'DEF_SELF_SCOUT_IMPORT'!$F$42:$F$1040,SUBSTITUTE(SUBSTITUTE(SUBSTITUTE($N715,"~","~~"),"*","~*"),"?","~?"),'DEF_SELF_SCOUT_IMPORT'!$G$42:$G$1040,SUBSTITUTE(SUBSTITUTE(SUBSTITUTE($O715,"~","~~"),"*","~*"),"?","~?")))</f>
        <v>3.0</v>
      </c>
      <c r="G715" s="10">
        <f>IF($C715=0,"",COUNTIFS('DEF_SELF_SCOUT_IMPORT'!$L$42:$L$1040,"Y",'DEF_SELF_SCOUT_IMPORT'!$E$42:$E$1040,SUBSTITUTE(SUBSTITUTE(SUBSTITUTE($B715,"~","~~"),"*","~*"),"?","~?"),'DEF_SELF_SCOUT_IMPORT'!$Q$42:$Q$1040,SUBSTITUTE(SUBSTITUTE(SUBSTITUTE($M715,"~","~~"),"*","~*"),"?","~?"),'DEF_SELF_SCOUT_IMPORT'!$F$42:$F$1040,SUBSTITUTE(SUBSTITUTE(SUBSTITUTE($N715,"~","~~"),"*","~*"),"?","~?"),'DEF_SELF_SCOUT_IMPORT'!$G$42:$G$1040,SUBSTITUTE(SUBSTITUTE(SUBSTITUTE($O715,"~","~~"),"*","~*"),"?","~?"),'DEF_SELF_SCOUT_IMPORT'!$H$42:$H$1040,"RUSH")/$C715)</f>
        <v>1.0</v>
      </c>
      <c r="H715" s="10">
        <f>IF($C715=0,"",COUNTIFS('DEF_SELF_SCOUT_IMPORT'!$L$42:$L$1040,"Y",'DEF_SELF_SCOUT_IMPORT'!$E$42:$E$1040,SUBSTITUTE(SUBSTITUTE(SUBSTITUTE($B715,"~","~~"),"*","~*"),"?","~?"),'DEF_SELF_SCOUT_IMPORT'!$Q$42:$Q$1040,SUBSTITUTE(SUBSTITUTE(SUBSTITUTE($M715,"~","~~"),"*","~*"),"?","~?"),'DEF_SELF_SCOUT_IMPORT'!$F$42:$F$1040,SUBSTITUTE(SUBSTITUTE(SUBSTITUTE($N715,"~","~~"),"*","~*"),"?","~?"),'DEF_SELF_SCOUT_IMPORT'!$G$42:$G$1040,SUBSTITUTE(SUBSTITUTE(SUBSTITUTE($O715,"~","~~"),"*","~*"),"?","~?"),'DEF_SELF_SCOUT_IMPORT'!$H$42:$H$1040,"DROPBACK")/$C715)</f>
        <v>0.0</v>
      </c>
      <c r="I715" s="14" t="str">
        <f>IF(C715=0,"",IF(C715&lt;=2,"TRACK",IF(C715=3,"LOW",IF(C715&lt;=6,"MEDIUM","HIGH"))))</f>
        <v>TRACK</v>
      </c>
      <c r="J715" s="11">
        <f>IF(C715=0,"",ROUND(D715*70+(1-E715)*20+MAX(0,MIN(1,(10-F715)/10))*10,1))</f>
        <v>97.0</v>
      </c>
      <c r="K715" s="14" t="str">
        <f>IF(C715=0,"No Evidence",IF(C715&lt;=2,IF(E715&gt;0,"Explosive Alert","Track Only"),IF(C715=3,"Sample Watch",IF(E715&gt;=START_HERE!$B$31,"Explosive Alert",IF(J715&gt;=80,"Strong Candidate",IF(J715&gt;=65,"Good Candidate",IF(J715&gt;=50,"Mixed / Review","Problem Call")))))))</f>
        <v>Track Only</v>
      </c>
      <c r="L715" s="9" t="str">
        <f>IF(COUNTIFS('DEF_SELF_SCOUT_IMPORT'!$L$42:$L$1040,"Y",'DEF_SELF_SCOUT_IMPORT'!$E$42:$E$1040,SUBSTITUTE(SUBSTITUTE(SUBSTITUTE($B715,"~","~~"),"*","~*"),"?","~?"),'DEF_SELF_SCOUT_IMPORT'!$Q$42:$Q$1040,SUBSTITUTE(SUBSTITUTE(SUBSTITUTE($M715,"~","~~"),"*","~*"),"?","~?"),'DEF_SELF_SCOUT_IMPORT'!$F$42:$F$1040,SUBSTITUTE(SUBSTITUTE(SUBSTITUTE($N715,"~","~~"),"*","~*"),"?","~?"),'DEF_SELF_SCOUT_IMPORT'!$G$42:$G$1040,SUBSTITUTE(SUBSTITUTE(SUBSTITUTE($O715,"~","~~"),"*","~*"),"?","~?"),'DEF_SELF_SCOUT_IMPORT'!$J$42:$J$1040,"")&gt;0,"Unscored clean outcome; review result tags before using score.",IF(C715=0,"No matching defensive reps; film confirmation needed.",IF(K715="Explosive Alert","Explosive risk; review clips before using as answer.",IF(C715&lt;=2,"Track only; not enough sample.",IF(C715=3,IF(E715&gt;0,"Sample watch with explosive exposure; review clips and build the sample.",IF(J715&gt;=65,"Good signal, but sample is limited.","Sample watch; review clips and build the sample.")),IF(K715="Problem Call","Problem area; practice or call-sheet review.",IF(K715="Strong Candidate","Strong call-fit candidate; confirm on film.",IF(K715="Good Candidate","Good call-fit signal; confirm on film.","Mixed signal; review fit and execution on film."))))))))</f>
        <v>Track only; not enough sample.</v>
      </c>
      <c r="M715" s="8" t="s">
        <v>85</v>
      </c>
      <c r="N715" s="8" t="s">
        <v>123</v>
      </c>
      <c r="O715" s="8" t="s">
        <v>203</v>
      </c>
      <c r="P715" s="8"/>
      <c r="Q715" s="8"/>
      <c r="R715" s="8" t="s">
        <v>28</v>
      </c>
      <c r="S715" s="2" t="s">
        <v>361</v>
      </c>
      <c r="T715" s="2">
        <f>IF(C715=0,0,IF(C715&gt;=CALL_LOOKUP_BOARD!$B$7,IF(OR(K715="Problem Call",K715="Explosive Alert"),10000000,20000000),0)+IF(C715&gt;=CALL_LOOKUP_BOARD!$B$7,J715*1000+MIN(C715,999),C715*1000+J715)+0.00987300)</f>
        <v>1097.009873</v>
      </c>
      <c r="U715" s="2" t="str">
        <f>IF(C715=0,"",IF(COUNTIFS($S$589:$S$803,SUBSTITUTE(SUBSTITUTE(SUBSTITUTE(S715,"~","~~"),"*","~*"),"?","~?"),$T$589:$T$803,"&gt;"&amp;T715)=0,S715,""))</f>
        <v>7:2D 7-10|2:12|3:2X2|</v>
      </c>
    </row>
    <row r="716" spans="1:21" ht="38" customHeight="1">
      <c r="A716" s="8" t="s">
        <v>362</v>
      </c>
      <c r="B716" s="8" t="s">
        <v>27</v>
      </c>
      <c r="C716" s="12">
        <f>COUNTIFS('DEF_SELF_SCOUT_IMPORT'!$L$42:$L$1040,"Y",'DEF_SELF_SCOUT_IMPORT'!$E$42:$E$1040,SUBSTITUTE(SUBSTITUTE(SUBSTITUTE($B716,"~","~~"),"*","~*"),"?","~?"),'DEF_SELF_SCOUT_IMPORT'!$Q$42:$Q$1040,SUBSTITUTE(SUBSTITUTE(SUBSTITUTE($M716,"~","~~"),"*","~*"),"?","~?"),'DEF_SELF_SCOUT_IMPORT'!$F$42:$F$1040,SUBSTITUTE(SUBSTITUTE(SUBSTITUTE($N716,"~","~~"),"*","~*"),"?","~?"),'DEF_SELF_SCOUT_IMPORT'!$G$42:$G$1040,SUBSTITUTE(SUBSTITUTE(SUBSTITUTE($O716,"~","~~"),"*","~*"),"?","~?"))</f>
        <v>1</v>
      </c>
      <c r="D716" s="10">
        <f>IF($C716=0,"",SUMIFS('DEF_SELF_SCOUT_IMPORT'!$J$42:$J$1040,'DEF_SELF_SCOUT_IMPORT'!$L$42:$L$1040,"Y",'DEF_SELF_SCOUT_IMPORT'!$E$42:$E$1040,SUBSTITUTE(SUBSTITUTE(SUBSTITUTE($B716,"~","~~"),"*","~*"),"?","~?"),'DEF_SELF_SCOUT_IMPORT'!$Q$42:$Q$1040,SUBSTITUTE(SUBSTITUTE(SUBSTITUTE($M716,"~","~~"),"*","~*"),"?","~?"),'DEF_SELF_SCOUT_IMPORT'!$F$42:$F$1040,SUBSTITUTE(SUBSTITUTE(SUBSTITUTE($N716,"~","~~"),"*","~*"),"?","~?"),'DEF_SELF_SCOUT_IMPORT'!$G$42:$G$1040,SUBSTITUTE(SUBSTITUTE(SUBSTITUTE($O716,"~","~~"),"*","~*"),"?","~?"))/$C716)</f>
        <v>1.0</v>
      </c>
      <c r="E716" s="10">
        <f>IF($C716=0,"",SUMIFS('DEF_SELF_SCOUT_IMPORT'!$K$42:$K$1040,'DEF_SELF_SCOUT_IMPORT'!$L$42:$L$1040,"Y",'DEF_SELF_SCOUT_IMPORT'!$E$42:$E$1040,SUBSTITUTE(SUBSTITUTE(SUBSTITUTE($B716,"~","~~"),"*","~*"),"?","~?"),'DEF_SELF_SCOUT_IMPORT'!$Q$42:$Q$1040,SUBSTITUTE(SUBSTITUTE(SUBSTITUTE($M716,"~","~~"),"*","~*"),"?","~?"),'DEF_SELF_SCOUT_IMPORT'!$F$42:$F$1040,SUBSTITUTE(SUBSTITUTE(SUBSTITUTE($N716,"~","~~"),"*","~*"),"?","~?"),'DEF_SELF_SCOUT_IMPORT'!$G$42:$G$1040,SUBSTITUTE(SUBSTITUTE(SUBSTITUTE($O716,"~","~~"),"*","~*"),"?","~?"))/$C716)</f>
        <v>0.0</v>
      </c>
      <c r="F716" s="11">
        <f>IF($C716=0,"",AVERAGEIFS('DEF_SELF_SCOUT_IMPORT'!$I$42:$I$1040,'DEF_SELF_SCOUT_IMPORT'!$L$42:$L$1040,"Y",'DEF_SELF_SCOUT_IMPORT'!$E$42:$E$1040,SUBSTITUTE(SUBSTITUTE(SUBSTITUTE($B716,"~","~~"),"*","~*"),"?","~?"),'DEF_SELF_SCOUT_IMPORT'!$Q$42:$Q$1040,SUBSTITUTE(SUBSTITUTE(SUBSTITUTE($M716,"~","~~"),"*","~*"),"?","~?"),'DEF_SELF_SCOUT_IMPORT'!$F$42:$F$1040,SUBSTITUTE(SUBSTITUTE(SUBSTITUTE($N716,"~","~~"),"*","~*"),"?","~?"),'DEF_SELF_SCOUT_IMPORT'!$G$42:$G$1040,SUBSTITUTE(SUBSTITUTE(SUBSTITUTE($O716,"~","~~"),"*","~*"),"?","~?")))</f>
        <v>3.0</v>
      </c>
      <c r="G716" s="10">
        <f>IF($C716=0,"",COUNTIFS('DEF_SELF_SCOUT_IMPORT'!$L$42:$L$1040,"Y",'DEF_SELF_SCOUT_IMPORT'!$E$42:$E$1040,SUBSTITUTE(SUBSTITUTE(SUBSTITUTE($B716,"~","~~"),"*","~*"),"?","~?"),'DEF_SELF_SCOUT_IMPORT'!$Q$42:$Q$1040,SUBSTITUTE(SUBSTITUTE(SUBSTITUTE($M716,"~","~~"),"*","~*"),"?","~?"),'DEF_SELF_SCOUT_IMPORT'!$F$42:$F$1040,SUBSTITUTE(SUBSTITUTE(SUBSTITUTE($N716,"~","~~"),"*","~*"),"?","~?"),'DEF_SELF_SCOUT_IMPORT'!$G$42:$G$1040,SUBSTITUTE(SUBSTITUTE(SUBSTITUTE($O716,"~","~~"),"*","~*"),"?","~?"),'DEF_SELF_SCOUT_IMPORT'!$H$42:$H$1040,"RUSH")/$C716)</f>
        <v>1.0</v>
      </c>
      <c r="H716" s="10">
        <f>IF($C716=0,"",COUNTIFS('DEF_SELF_SCOUT_IMPORT'!$L$42:$L$1040,"Y",'DEF_SELF_SCOUT_IMPORT'!$E$42:$E$1040,SUBSTITUTE(SUBSTITUTE(SUBSTITUTE($B716,"~","~~"),"*","~*"),"?","~?"),'DEF_SELF_SCOUT_IMPORT'!$Q$42:$Q$1040,SUBSTITUTE(SUBSTITUTE(SUBSTITUTE($M716,"~","~~"),"*","~*"),"?","~?"),'DEF_SELF_SCOUT_IMPORT'!$F$42:$F$1040,SUBSTITUTE(SUBSTITUTE(SUBSTITUTE($N716,"~","~~"),"*","~*"),"?","~?"),'DEF_SELF_SCOUT_IMPORT'!$G$42:$G$1040,SUBSTITUTE(SUBSTITUTE(SUBSTITUTE($O716,"~","~~"),"*","~*"),"?","~?"),'DEF_SELF_SCOUT_IMPORT'!$H$42:$H$1040,"DROPBACK")/$C716)</f>
        <v>0.0</v>
      </c>
      <c r="I716" s="14" t="str">
        <f>IF(C716=0,"",IF(C716&lt;=2,"TRACK",IF(C716=3,"LOW",IF(C716&lt;=6,"MEDIUM","HIGH"))))</f>
        <v>TRACK</v>
      </c>
      <c r="J716" s="11">
        <f>IF(C716=0,"",ROUND(D716*70+(1-E716)*20+MAX(0,MIN(1,(10-F716)/10))*10,1))</f>
        <v>97.0</v>
      </c>
      <c r="K716" s="14" t="str">
        <f>IF(C716=0,"No Evidence",IF(C716&lt;=2,IF(E716&gt;0,"Explosive Alert","Track Only"),IF(C716=3,"Sample Watch",IF(E716&gt;=START_HERE!$B$31,"Explosive Alert",IF(J716&gt;=80,"Strong Candidate",IF(J716&gt;=65,"Good Candidate",IF(J716&gt;=50,"Mixed / Review","Problem Call")))))))</f>
        <v>Track Only</v>
      </c>
      <c r="L716" s="9" t="str">
        <f>IF(COUNTIFS('DEF_SELF_SCOUT_IMPORT'!$L$42:$L$1040,"Y",'DEF_SELF_SCOUT_IMPORT'!$E$42:$E$1040,SUBSTITUTE(SUBSTITUTE(SUBSTITUTE($B716,"~","~~"),"*","~*"),"?","~?"),'DEF_SELF_SCOUT_IMPORT'!$Q$42:$Q$1040,SUBSTITUTE(SUBSTITUTE(SUBSTITUTE($M716,"~","~~"),"*","~*"),"?","~?"),'DEF_SELF_SCOUT_IMPORT'!$F$42:$F$1040,SUBSTITUTE(SUBSTITUTE(SUBSTITUTE($N716,"~","~~"),"*","~*"),"?","~?"),'DEF_SELF_SCOUT_IMPORT'!$G$42:$G$1040,SUBSTITUTE(SUBSTITUTE(SUBSTITUTE($O716,"~","~~"),"*","~*"),"?","~?"),'DEF_SELF_SCOUT_IMPORT'!$J$42:$J$1040,"")&gt;0,"Unscored clean outcome; review result tags before using score.",IF(C716=0,"No matching defensive reps; film confirmation needed.",IF(K716="Explosive Alert","Explosive risk; review clips before using as answer.",IF(C716&lt;=2,"Track only; not enough sample.",IF(C716=3,IF(E716&gt;0,"Sample watch with explosive exposure; review clips and build the sample.",IF(J716&gt;=65,"Good signal, but sample is limited.","Sample watch; review clips and build the sample.")),IF(K716="Problem Call","Problem area; practice or call-sheet review.",IF(K716="Strong Candidate","Strong call-fit candidate; confirm on film.",IF(K716="Good Candidate","Good call-fit signal; confirm on film.","Mixed signal; review fit and execution on film."))))))))</f>
        <v>Track only; not enough sample.</v>
      </c>
      <c r="M716" s="8" t="s">
        <v>85</v>
      </c>
      <c r="N716" s="8" t="s">
        <v>123</v>
      </c>
      <c r="O716" s="8" t="s">
        <v>206</v>
      </c>
      <c r="P716" s="8"/>
      <c r="Q716" s="8"/>
      <c r="R716" s="8" t="s">
        <v>28</v>
      </c>
      <c r="S716" s="2" t="s">
        <v>363</v>
      </c>
      <c r="T716" s="2">
        <f>IF(C716=0,0,IF(C716&gt;=CALL_LOOKUP_BOARD!$B$7,IF(OR(K716="Problem Call",K716="Explosive Alert"),10000000,20000000),0)+IF(C716&gt;=CALL_LOOKUP_BOARD!$B$7,J716*1000+MIN(C716,999),C716*1000+J716)+0.00987200)</f>
        <v>1097.009872</v>
      </c>
      <c r="U716" s="2">
        <f>IF(C716=0,"",IF(COUNTIFS($S$589:$S$803,SUBSTITUTE(SUBSTITUTE(SUBSTITUTE(S716,"~","~~"),"*","~*"),"?","~?"),$T$589:$T$803,"&gt;"&amp;T716)=0,S716,""))</f>
        <v/>
      </c>
    </row>
    <row r="717" spans="1:21" ht="38" customHeight="1">
      <c r="A717" s="8" t="s">
        <v>362</v>
      </c>
      <c r="B717" s="8" t="s">
        <v>35</v>
      </c>
      <c r="C717" s="12">
        <f>COUNTIFS('DEF_SELF_SCOUT_IMPORT'!$L$42:$L$1040,"Y",'DEF_SELF_SCOUT_IMPORT'!$E$42:$E$1040,SUBSTITUTE(SUBSTITUTE(SUBSTITUTE($B717,"~","~~"),"*","~*"),"?","~?"),'DEF_SELF_SCOUT_IMPORT'!$Q$42:$Q$1040,SUBSTITUTE(SUBSTITUTE(SUBSTITUTE($M717,"~","~~"),"*","~*"),"?","~?"),'DEF_SELF_SCOUT_IMPORT'!$F$42:$F$1040,SUBSTITUTE(SUBSTITUTE(SUBSTITUTE($N717,"~","~~"),"*","~*"),"?","~?"),'DEF_SELF_SCOUT_IMPORT'!$G$42:$G$1040,SUBSTITUTE(SUBSTITUTE(SUBSTITUTE($O717,"~","~~"),"*","~*"),"?","~?"))</f>
        <v>2</v>
      </c>
      <c r="D717" s="10">
        <f>IF($C717=0,"",SUMIFS('DEF_SELF_SCOUT_IMPORT'!$J$42:$J$1040,'DEF_SELF_SCOUT_IMPORT'!$L$42:$L$1040,"Y",'DEF_SELF_SCOUT_IMPORT'!$E$42:$E$1040,SUBSTITUTE(SUBSTITUTE(SUBSTITUTE($B717,"~","~~"),"*","~*"),"?","~?"),'DEF_SELF_SCOUT_IMPORT'!$Q$42:$Q$1040,SUBSTITUTE(SUBSTITUTE(SUBSTITUTE($M717,"~","~~"),"*","~*"),"?","~?"),'DEF_SELF_SCOUT_IMPORT'!$F$42:$F$1040,SUBSTITUTE(SUBSTITUTE(SUBSTITUTE($N717,"~","~~"),"*","~*"),"?","~?"),'DEF_SELF_SCOUT_IMPORT'!$G$42:$G$1040,SUBSTITUTE(SUBSTITUTE(SUBSTITUTE($O717,"~","~~"),"*","~*"),"?","~?"))/$C717)</f>
        <v>0.0</v>
      </c>
      <c r="E717" s="10">
        <f>IF($C717=0,"",SUMIFS('DEF_SELF_SCOUT_IMPORT'!$K$42:$K$1040,'DEF_SELF_SCOUT_IMPORT'!$L$42:$L$1040,"Y",'DEF_SELF_SCOUT_IMPORT'!$E$42:$E$1040,SUBSTITUTE(SUBSTITUTE(SUBSTITUTE($B717,"~","~~"),"*","~*"),"?","~?"),'DEF_SELF_SCOUT_IMPORT'!$Q$42:$Q$1040,SUBSTITUTE(SUBSTITUTE(SUBSTITUTE($M717,"~","~~"),"*","~*"),"?","~?"),'DEF_SELF_SCOUT_IMPORT'!$F$42:$F$1040,SUBSTITUTE(SUBSTITUTE(SUBSTITUTE($N717,"~","~~"),"*","~*"),"?","~?"),'DEF_SELF_SCOUT_IMPORT'!$G$42:$G$1040,SUBSTITUTE(SUBSTITUTE(SUBSTITUTE($O717,"~","~~"),"*","~*"),"?","~?"))/$C717)</f>
        <v>0.0</v>
      </c>
      <c r="F717" s="11">
        <f>IF($C717=0,"",AVERAGEIFS('DEF_SELF_SCOUT_IMPORT'!$I$42:$I$1040,'DEF_SELF_SCOUT_IMPORT'!$L$42:$L$1040,"Y",'DEF_SELF_SCOUT_IMPORT'!$E$42:$E$1040,SUBSTITUTE(SUBSTITUTE(SUBSTITUTE($B717,"~","~~"),"*","~*"),"?","~?"),'DEF_SELF_SCOUT_IMPORT'!$Q$42:$Q$1040,SUBSTITUTE(SUBSTITUTE(SUBSTITUTE($M717,"~","~~"),"*","~*"),"?","~?"),'DEF_SELF_SCOUT_IMPORT'!$F$42:$F$1040,SUBSTITUTE(SUBSTITUTE(SUBSTITUTE($N717,"~","~~"),"*","~*"),"?","~?"),'DEF_SELF_SCOUT_IMPORT'!$G$42:$G$1040,SUBSTITUTE(SUBSTITUTE(SUBSTITUTE($O717,"~","~~"),"*","~*"),"?","~?")))</f>
        <v>7.5</v>
      </c>
      <c r="G717" s="10">
        <f>IF($C717=0,"",COUNTIFS('DEF_SELF_SCOUT_IMPORT'!$L$42:$L$1040,"Y",'DEF_SELF_SCOUT_IMPORT'!$E$42:$E$1040,SUBSTITUTE(SUBSTITUTE(SUBSTITUTE($B717,"~","~~"),"*","~*"),"?","~?"),'DEF_SELF_SCOUT_IMPORT'!$Q$42:$Q$1040,SUBSTITUTE(SUBSTITUTE(SUBSTITUTE($M717,"~","~~"),"*","~*"),"?","~?"),'DEF_SELF_SCOUT_IMPORT'!$F$42:$F$1040,SUBSTITUTE(SUBSTITUTE(SUBSTITUTE($N717,"~","~~"),"*","~*"),"?","~?"),'DEF_SELF_SCOUT_IMPORT'!$G$42:$G$1040,SUBSTITUTE(SUBSTITUTE(SUBSTITUTE($O717,"~","~~"),"*","~*"),"?","~?"),'DEF_SELF_SCOUT_IMPORT'!$H$42:$H$1040,"RUSH")/$C717)</f>
        <v>0.5</v>
      </c>
      <c r="H717" s="10">
        <f>IF($C717=0,"",COUNTIFS('DEF_SELF_SCOUT_IMPORT'!$L$42:$L$1040,"Y",'DEF_SELF_SCOUT_IMPORT'!$E$42:$E$1040,SUBSTITUTE(SUBSTITUTE(SUBSTITUTE($B717,"~","~~"),"*","~*"),"?","~?"),'DEF_SELF_SCOUT_IMPORT'!$Q$42:$Q$1040,SUBSTITUTE(SUBSTITUTE(SUBSTITUTE($M717,"~","~~"),"*","~*"),"?","~?"),'DEF_SELF_SCOUT_IMPORT'!$F$42:$F$1040,SUBSTITUTE(SUBSTITUTE(SUBSTITUTE($N717,"~","~~"),"*","~*"),"?","~?"),'DEF_SELF_SCOUT_IMPORT'!$G$42:$G$1040,SUBSTITUTE(SUBSTITUTE(SUBSTITUTE($O717,"~","~~"),"*","~*"),"?","~?"),'DEF_SELF_SCOUT_IMPORT'!$H$42:$H$1040,"DROPBACK")/$C717)</f>
        <v>0.0</v>
      </c>
      <c r="I717" s="14" t="str">
        <f>IF(C717=0,"",IF(C717&lt;=2,"TRACK",IF(C717=3,"LOW",IF(C717&lt;=6,"MEDIUM","HIGH"))))</f>
        <v>TRACK</v>
      </c>
      <c r="J717" s="11">
        <f>IF(C717=0,"",ROUND(D717*70+(1-E717)*20+MAX(0,MIN(1,(10-F717)/10))*10,1))</f>
        <v>22.5</v>
      </c>
      <c r="K717" s="14" t="str">
        <f>IF(C717=0,"No Evidence",IF(C717&lt;=2,IF(E717&gt;0,"Explosive Alert","Track Only"),IF(C717=3,"Sample Watch",IF(E717&gt;=START_HERE!$B$31,"Explosive Alert",IF(J717&gt;=80,"Strong Candidate",IF(J717&gt;=65,"Good Candidate",IF(J717&gt;=50,"Mixed / Review","Problem Call")))))))</f>
        <v>Track Only</v>
      </c>
      <c r="L717" s="9" t="str">
        <f>IF(COUNTIFS('DEF_SELF_SCOUT_IMPORT'!$L$42:$L$1040,"Y",'DEF_SELF_SCOUT_IMPORT'!$E$42:$E$1040,SUBSTITUTE(SUBSTITUTE(SUBSTITUTE($B717,"~","~~"),"*","~*"),"?","~?"),'DEF_SELF_SCOUT_IMPORT'!$Q$42:$Q$1040,SUBSTITUTE(SUBSTITUTE(SUBSTITUTE($M717,"~","~~"),"*","~*"),"?","~?"),'DEF_SELF_SCOUT_IMPORT'!$F$42:$F$1040,SUBSTITUTE(SUBSTITUTE(SUBSTITUTE($N717,"~","~~"),"*","~*"),"?","~?"),'DEF_SELF_SCOUT_IMPORT'!$G$42:$G$1040,SUBSTITUTE(SUBSTITUTE(SUBSTITUTE($O717,"~","~~"),"*","~*"),"?","~?"),'DEF_SELF_SCOUT_IMPORT'!$J$42:$J$1040,"")&gt;0,"Unscored clean outcome; review result tags before using score.",IF(C717=0,"No matching defensive reps; film confirmation needed.",IF(K717="Explosive Alert","Explosive risk; review clips before using as answer.",IF(C717&lt;=2,"Track only; not enough sample.",IF(C717=3,IF(E717&gt;0,"Sample watch with explosive exposure; review clips and build the sample.",IF(J717&gt;=65,"Good signal, but sample is limited.","Sample watch; review clips and build the sample.")),IF(K717="Problem Call","Problem area; practice or call-sheet review.",IF(K717="Strong Candidate","Strong call-fit candidate; confirm on film.",IF(K717="Good Candidate","Good call-fit signal; confirm on film.","Mixed signal; review fit and execution on film."))))))))</f>
        <v>Track only; not enough sample.</v>
      </c>
      <c r="M717" s="8" t="s">
        <v>85</v>
      </c>
      <c r="N717" s="8" t="s">
        <v>123</v>
      </c>
      <c r="O717" s="8" t="s">
        <v>206</v>
      </c>
      <c r="P717" s="8"/>
      <c r="Q717" s="8"/>
      <c r="R717" s="8" t="s">
        <v>28</v>
      </c>
      <c r="S717" s="2" t="s">
        <v>363</v>
      </c>
      <c r="T717" s="2">
        <f>IF(C717=0,0,IF(C717&gt;=CALL_LOOKUP_BOARD!$B$7,IF(OR(K717="Problem Call",K717="Explosive Alert"),10000000,20000000),0)+IF(C717&gt;=CALL_LOOKUP_BOARD!$B$7,J717*1000+MIN(C717,999),C717*1000+J717)+0.00987100)</f>
        <v>2022.509871</v>
      </c>
      <c r="U717" s="2" t="str">
        <f>IF(C717=0,"",IF(COUNTIFS($S$589:$S$803,SUBSTITUTE(SUBSTITUTE(SUBSTITUTE(S717,"~","~~"),"*","~*"),"?","~?"),$T$589:$T$803,"&gt;"&amp;T717)=0,S717,""))</f>
        <v>7:2D 7-10|2:12|3:3X1|</v>
      </c>
    </row>
    <row r="718" spans="1:21" ht="38" customHeight="1">
      <c r="A718" s="8" t="s">
        <v>362</v>
      </c>
      <c r="B718" s="8" t="s">
        <v>91</v>
      </c>
      <c r="C718" s="12">
        <f>COUNTIFS('DEF_SELF_SCOUT_IMPORT'!$L$42:$L$1040,"Y",'DEF_SELF_SCOUT_IMPORT'!$E$42:$E$1040,SUBSTITUTE(SUBSTITUTE(SUBSTITUTE($B718,"~","~~"),"*","~*"),"?","~?"),'DEF_SELF_SCOUT_IMPORT'!$Q$42:$Q$1040,SUBSTITUTE(SUBSTITUTE(SUBSTITUTE($M718,"~","~~"),"*","~*"),"?","~?"),'DEF_SELF_SCOUT_IMPORT'!$F$42:$F$1040,SUBSTITUTE(SUBSTITUTE(SUBSTITUTE($N718,"~","~~"),"*","~*"),"?","~?"),'DEF_SELF_SCOUT_IMPORT'!$G$42:$G$1040,SUBSTITUTE(SUBSTITUTE(SUBSTITUTE($O718,"~","~~"),"*","~*"),"?","~?"))</f>
        <v>1</v>
      </c>
      <c r="D718" s="10">
        <f>IF($C718=0,"",SUMIFS('DEF_SELF_SCOUT_IMPORT'!$J$42:$J$1040,'DEF_SELF_SCOUT_IMPORT'!$L$42:$L$1040,"Y",'DEF_SELF_SCOUT_IMPORT'!$E$42:$E$1040,SUBSTITUTE(SUBSTITUTE(SUBSTITUTE($B718,"~","~~"),"*","~*"),"?","~?"),'DEF_SELF_SCOUT_IMPORT'!$Q$42:$Q$1040,SUBSTITUTE(SUBSTITUTE(SUBSTITUTE($M718,"~","~~"),"*","~*"),"?","~?"),'DEF_SELF_SCOUT_IMPORT'!$F$42:$F$1040,SUBSTITUTE(SUBSTITUTE(SUBSTITUTE($N718,"~","~~"),"*","~*"),"?","~?"),'DEF_SELF_SCOUT_IMPORT'!$G$42:$G$1040,SUBSTITUTE(SUBSTITUTE(SUBSTITUTE($O718,"~","~~"),"*","~*"),"?","~?"))/$C718)</f>
        <v>0.0</v>
      </c>
      <c r="E718" s="10">
        <f>IF($C718=0,"",SUMIFS('DEF_SELF_SCOUT_IMPORT'!$K$42:$K$1040,'DEF_SELF_SCOUT_IMPORT'!$L$42:$L$1040,"Y",'DEF_SELF_SCOUT_IMPORT'!$E$42:$E$1040,SUBSTITUTE(SUBSTITUTE(SUBSTITUTE($B718,"~","~~"),"*","~*"),"?","~?"),'DEF_SELF_SCOUT_IMPORT'!$Q$42:$Q$1040,SUBSTITUTE(SUBSTITUTE(SUBSTITUTE($M718,"~","~~"),"*","~*"),"?","~?"),'DEF_SELF_SCOUT_IMPORT'!$F$42:$F$1040,SUBSTITUTE(SUBSTITUTE(SUBSTITUTE($N718,"~","~~"),"*","~*"),"?","~?"),'DEF_SELF_SCOUT_IMPORT'!$G$42:$G$1040,SUBSTITUTE(SUBSTITUTE(SUBSTITUTE($O718,"~","~~"),"*","~*"),"?","~?"))/$C718)</f>
        <v>0.0</v>
      </c>
      <c r="F718" s="11">
        <f>IF($C718=0,"",AVERAGEIFS('DEF_SELF_SCOUT_IMPORT'!$I$42:$I$1040,'DEF_SELF_SCOUT_IMPORT'!$L$42:$L$1040,"Y",'DEF_SELF_SCOUT_IMPORT'!$E$42:$E$1040,SUBSTITUTE(SUBSTITUTE(SUBSTITUTE($B718,"~","~~"),"*","~*"),"?","~?"),'DEF_SELF_SCOUT_IMPORT'!$Q$42:$Q$1040,SUBSTITUTE(SUBSTITUTE(SUBSTITUTE($M718,"~","~~"),"*","~*"),"?","~?"),'DEF_SELF_SCOUT_IMPORT'!$F$42:$F$1040,SUBSTITUTE(SUBSTITUTE(SUBSTITUTE($N718,"~","~~"),"*","~*"),"?","~?"),'DEF_SELF_SCOUT_IMPORT'!$G$42:$G$1040,SUBSTITUTE(SUBSTITUTE(SUBSTITUTE($O718,"~","~~"),"*","~*"),"?","~?")))</f>
        <v>4.0</v>
      </c>
      <c r="G718" s="10">
        <f>IF($C718=0,"",COUNTIFS('DEF_SELF_SCOUT_IMPORT'!$L$42:$L$1040,"Y",'DEF_SELF_SCOUT_IMPORT'!$E$42:$E$1040,SUBSTITUTE(SUBSTITUTE(SUBSTITUTE($B718,"~","~~"),"*","~*"),"?","~?"),'DEF_SELF_SCOUT_IMPORT'!$Q$42:$Q$1040,SUBSTITUTE(SUBSTITUTE(SUBSTITUTE($M718,"~","~~"),"*","~*"),"?","~?"),'DEF_SELF_SCOUT_IMPORT'!$F$42:$F$1040,SUBSTITUTE(SUBSTITUTE(SUBSTITUTE($N718,"~","~~"),"*","~*"),"?","~?"),'DEF_SELF_SCOUT_IMPORT'!$G$42:$G$1040,SUBSTITUTE(SUBSTITUTE(SUBSTITUTE($O718,"~","~~"),"*","~*"),"?","~?"),'DEF_SELF_SCOUT_IMPORT'!$H$42:$H$1040,"RUSH")/$C718)</f>
        <v>1.0</v>
      </c>
      <c r="H718" s="10">
        <f>IF($C718=0,"",COUNTIFS('DEF_SELF_SCOUT_IMPORT'!$L$42:$L$1040,"Y",'DEF_SELF_SCOUT_IMPORT'!$E$42:$E$1040,SUBSTITUTE(SUBSTITUTE(SUBSTITUTE($B718,"~","~~"),"*","~*"),"?","~?"),'DEF_SELF_SCOUT_IMPORT'!$Q$42:$Q$1040,SUBSTITUTE(SUBSTITUTE(SUBSTITUTE($M718,"~","~~"),"*","~*"),"?","~?"),'DEF_SELF_SCOUT_IMPORT'!$F$42:$F$1040,SUBSTITUTE(SUBSTITUTE(SUBSTITUTE($N718,"~","~~"),"*","~*"),"?","~?"),'DEF_SELF_SCOUT_IMPORT'!$G$42:$G$1040,SUBSTITUTE(SUBSTITUTE(SUBSTITUTE($O718,"~","~~"),"*","~*"),"?","~?"),'DEF_SELF_SCOUT_IMPORT'!$H$42:$H$1040,"DROPBACK")/$C718)</f>
        <v>0.0</v>
      </c>
      <c r="I718" s="14" t="str">
        <f>IF(C718=0,"",IF(C718&lt;=2,"TRACK",IF(C718=3,"LOW",IF(C718&lt;=6,"MEDIUM","HIGH"))))</f>
        <v>TRACK</v>
      </c>
      <c r="J718" s="11">
        <f>IF(C718=0,"",ROUND(D718*70+(1-E718)*20+MAX(0,MIN(1,(10-F718)/10))*10,1))</f>
        <v>26.0</v>
      </c>
      <c r="K718" s="14" t="str">
        <f>IF(C718=0,"No Evidence",IF(C718&lt;=2,IF(E718&gt;0,"Explosive Alert","Track Only"),IF(C718=3,"Sample Watch",IF(E718&gt;=START_HERE!$B$31,"Explosive Alert",IF(J718&gt;=80,"Strong Candidate",IF(J718&gt;=65,"Good Candidate",IF(J718&gt;=50,"Mixed / Review","Problem Call")))))))</f>
        <v>Track Only</v>
      </c>
      <c r="L718" s="9" t="str">
        <f>IF(COUNTIFS('DEF_SELF_SCOUT_IMPORT'!$L$42:$L$1040,"Y",'DEF_SELF_SCOUT_IMPORT'!$E$42:$E$1040,SUBSTITUTE(SUBSTITUTE(SUBSTITUTE($B718,"~","~~"),"*","~*"),"?","~?"),'DEF_SELF_SCOUT_IMPORT'!$Q$42:$Q$1040,SUBSTITUTE(SUBSTITUTE(SUBSTITUTE($M718,"~","~~"),"*","~*"),"?","~?"),'DEF_SELF_SCOUT_IMPORT'!$F$42:$F$1040,SUBSTITUTE(SUBSTITUTE(SUBSTITUTE($N718,"~","~~"),"*","~*"),"?","~?"),'DEF_SELF_SCOUT_IMPORT'!$G$42:$G$1040,SUBSTITUTE(SUBSTITUTE(SUBSTITUTE($O718,"~","~~"),"*","~*"),"?","~?"),'DEF_SELF_SCOUT_IMPORT'!$J$42:$J$1040,"")&gt;0,"Unscored clean outcome; review result tags before using score.",IF(C718=0,"No matching defensive reps; film confirmation needed.",IF(K718="Explosive Alert","Explosive risk; review clips before using as answer.",IF(C718&lt;=2,"Track only; not enough sample.",IF(C718=3,IF(E718&gt;0,"Sample watch with explosive exposure; review clips and build the sample.",IF(J718&gt;=65,"Good signal, but sample is limited.","Sample watch; review clips and build the sample.")),IF(K718="Problem Call","Problem area; practice or call-sheet review.",IF(K718="Strong Candidate","Strong call-fit candidate; confirm on film.",IF(K718="Good Candidate","Good call-fit signal; confirm on film.","Mixed signal; review fit and execution on film."))))))))</f>
        <v>Track only; not enough sample.</v>
      </c>
      <c r="M718" s="8" t="s">
        <v>85</v>
      </c>
      <c r="N718" s="8" t="s">
        <v>123</v>
      </c>
      <c r="O718" s="8" t="s">
        <v>206</v>
      </c>
      <c r="P718" s="8"/>
      <c r="Q718" s="8"/>
      <c r="R718" s="8" t="s">
        <v>28</v>
      </c>
      <c r="S718" s="2" t="s">
        <v>363</v>
      </c>
      <c r="T718" s="2">
        <f>IF(C718=0,0,IF(C718&gt;=CALL_LOOKUP_BOARD!$B$7,IF(OR(K718="Problem Call",K718="Explosive Alert"),10000000,20000000),0)+IF(C718&gt;=CALL_LOOKUP_BOARD!$B$7,J718*1000+MIN(C718,999),C718*1000+J718)+0.00987000)</f>
        <v>1026.00987</v>
      </c>
      <c r="U718" s="2">
        <f>IF(C718=0,"",IF(COUNTIFS($S$589:$S$803,SUBSTITUTE(SUBSTITUTE(SUBSTITUTE(S718,"~","~~"),"*","~*"),"?","~?"),$T$589:$T$803,"&gt;"&amp;T718)=0,S718,""))</f>
        <v/>
      </c>
    </row>
    <row r="719" spans="1:21" ht="38" customHeight="1">
      <c r="A719" s="8" t="s">
        <v>364</v>
      </c>
      <c r="B719" s="8" t="s">
        <v>27</v>
      </c>
      <c r="C719" s="12">
        <f>COUNTIFS('DEF_SELF_SCOUT_IMPORT'!$L$42:$L$1040,"Y",'DEF_SELF_SCOUT_IMPORT'!$E$42:$E$1040,SUBSTITUTE(SUBSTITUTE(SUBSTITUTE($B719,"~","~~"),"*","~*"),"?","~?"),'DEF_SELF_SCOUT_IMPORT'!$Q$42:$Q$1040,SUBSTITUTE(SUBSTITUTE(SUBSTITUTE($M719,"~","~~"),"*","~*"),"?","~?"),'DEF_SELF_SCOUT_IMPORT'!$F$42:$F$1040,SUBSTITUTE(SUBSTITUTE(SUBSTITUTE($N719,"~","~~"),"*","~*"),"?","~?"),'DEF_SELF_SCOUT_IMPORT'!$G$42:$G$1040,SUBSTITUTE(SUBSTITUTE(SUBSTITUTE($O719,"~","~~"),"*","~*"),"?","~?"))</f>
        <v>1</v>
      </c>
      <c r="D719" s="10">
        <f>IF($C719=0,"",SUMIFS('DEF_SELF_SCOUT_IMPORT'!$J$42:$J$1040,'DEF_SELF_SCOUT_IMPORT'!$L$42:$L$1040,"Y",'DEF_SELF_SCOUT_IMPORT'!$E$42:$E$1040,SUBSTITUTE(SUBSTITUTE(SUBSTITUTE($B719,"~","~~"),"*","~*"),"?","~?"),'DEF_SELF_SCOUT_IMPORT'!$Q$42:$Q$1040,SUBSTITUTE(SUBSTITUTE(SUBSTITUTE($M719,"~","~~"),"*","~*"),"?","~?"),'DEF_SELF_SCOUT_IMPORT'!$F$42:$F$1040,SUBSTITUTE(SUBSTITUTE(SUBSTITUTE($N719,"~","~~"),"*","~*"),"?","~?"),'DEF_SELF_SCOUT_IMPORT'!$G$42:$G$1040,SUBSTITUTE(SUBSTITUTE(SUBSTITUTE($O719,"~","~~"),"*","~*"),"?","~?"))/$C719)</f>
        <v>1.0</v>
      </c>
      <c r="E719" s="10">
        <f>IF($C719=0,"",SUMIFS('DEF_SELF_SCOUT_IMPORT'!$K$42:$K$1040,'DEF_SELF_SCOUT_IMPORT'!$L$42:$L$1040,"Y",'DEF_SELF_SCOUT_IMPORT'!$E$42:$E$1040,SUBSTITUTE(SUBSTITUTE(SUBSTITUTE($B719,"~","~~"),"*","~*"),"?","~?"),'DEF_SELF_SCOUT_IMPORT'!$Q$42:$Q$1040,SUBSTITUTE(SUBSTITUTE(SUBSTITUTE($M719,"~","~~"),"*","~*"),"?","~?"),'DEF_SELF_SCOUT_IMPORT'!$F$42:$F$1040,SUBSTITUTE(SUBSTITUTE(SUBSTITUTE($N719,"~","~~"),"*","~*"),"?","~?"),'DEF_SELF_SCOUT_IMPORT'!$G$42:$G$1040,SUBSTITUTE(SUBSTITUTE(SUBSTITUTE($O719,"~","~~"),"*","~*"),"?","~?"))/$C719)</f>
        <v>0.0</v>
      </c>
      <c r="F719" s="11">
        <f>IF($C719=0,"",AVERAGEIFS('DEF_SELF_SCOUT_IMPORT'!$I$42:$I$1040,'DEF_SELF_SCOUT_IMPORT'!$L$42:$L$1040,"Y",'DEF_SELF_SCOUT_IMPORT'!$E$42:$E$1040,SUBSTITUTE(SUBSTITUTE(SUBSTITUTE($B719,"~","~~"),"*","~*"),"?","~?"),'DEF_SELF_SCOUT_IMPORT'!$Q$42:$Q$1040,SUBSTITUTE(SUBSTITUTE(SUBSTITUTE($M719,"~","~~"),"*","~*"),"?","~?"),'DEF_SELF_SCOUT_IMPORT'!$F$42:$F$1040,SUBSTITUTE(SUBSTITUTE(SUBSTITUTE($N719,"~","~~"),"*","~*"),"?","~?"),'DEF_SELF_SCOUT_IMPORT'!$G$42:$G$1040,SUBSTITUTE(SUBSTITUTE(SUBSTITUTE($O719,"~","~~"),"*","~*"),"?","~?")))</f>
        <v>0.0</v>
      </c>
      <c r="G719" s="10">
        <f>IF($C719=0,"",COUNTIFS('DEF_SELF_SCOUT_IMPORT'!$L$42:$L$1040,"Y",'DEF_SELF_SCOUT_IMPORT'!$E$42:$E$1040,SUBSTITUTE(SUBSTITUTE(SUBSTITUTE($B719,"~","~~"),"*","~*"),"?","~?"),'DEF_SELF_SCOUT_IMPORT'!$Q$42:$Q$1040,SUBSTITUTE(SUBSTITUTE(SUBSTITUTE($M719,"~","~~"),"*","~*"),"?","~?"),'DEF_SELF_SCOUT_IMPORT'!$F$42:$F$1040,SUBSTITUTE(SUBSTITUTE(SUBSTITUTE($N719,"~","~~"),"*","~*"),"?","~?"),'DEF_SELF_SCOUT_IMPORT'!$G$42:$G$1040,SUBSTITUTE(SUBSTITUTE(SUBSTITUTE($O719,"~","~~"),"*","~*"),"?","~?"),'DEF_SELF_SCOUT_IMPORT'!$H$42:$H$1040,"RUSH")/$C719)</f>
        <v>0.0</v>
      </c>
      <c r="H719" s="10">
        <f>IF($C719=0,"",COUNTIFS('DEF_SELF_SCOUT_IMPORT'!$L$42:$L$1040,"Y",'DEF_SELF_SCOUT_IMPORT'!$E$42:$E$1040,SUBSTITUTE(SUBSTITUTE(SUBSTITUTE($B719,"~","~~"),"*","~*"),"?","~?"),'DEF_SELF_SCOUT_IMPORT'!$Q$42:$Q$1040,SUBSTITUTE(SUBSTITUTE(SUBSTITUTE($M719,"~","~~"),"*","~*"),"?","~?"),'DEF_SELF_SCOUT_IMPORT'!$F$42:$F$1040,SUBSTITUTE(SUBSTITUTE(SUBSTITUTE($N719,"~","~~"),"*","~*"),"?","~?"),'DEF_SELF_SCOUT_IMPORT'!$G$42:$G$1040,SUBSTITUTE(SUBSTITUTE(SUBSTITUTE($O719,"~","~~"),"*","~*"),"?","~?"),'DEF_SELF_SCOUT_IMPORT'!$H$42:$H$1040,"DROPBACK")/$C719)</f>
        <v>1.0</v>
      </c>
      <c r="I719" s="14" t="str">
        <f>IF(C719=0,"",IF(C719&lt;=2,"TRACK",IF(C719=3,"LOW",IF(C719&lt;=6,"MEDIUM","HIGH"))))</f>
        <v>TRACK</v>
      </c>
      <c r="J719" s="11">
        <f>IF(C719=0,"",ROUND(D719*70+(1-E719)*20+MAX(0,MIN(1,(10-F719)/10))*10,1))</f>
        <v>100.0</v>
      </c>
      <c r="K719" s="14" t="str">
        <f>IF(C719=0,"No Evidence",IF(C719&lt;=2,IF(E719&gt;0,"Explosive Alert","Track Only"),IF(C719=3,"Sample Watch",IF(E719&gt;=START_HERE!$B$31,"Explosive Alert",IF(J719&gt;=80,"Strong Candidate",IF(J719&gt;=65,"Good Candidate",IF(J719&gt;=50,"Mixed / Review","Problem Call")))))))</f>
        <v>Track Only</v>
      </c>
      <c r="L719" s="9" t="str">
        <f>IF(COUNTIFS('DEF_SELF_SCOUT_IMPORT'!$L$42:$L$1040,"Y",'DEF_SELF_SCOUT_IMPORT'!$E$42:$E$1040,SUBSTITUTE(SUBSTITUTE(SUBSTITUTE($B719,"~","~~"),"*","~*"),"?","~?"),'DEF_SELF_SCOUT_IMPORT'!$Q$42:$Q$1040,SUBSTITUTE(SUBSTITUTE(SUBSTITUTE($M719,"~","~~"),"*","~*"),"?","~?"),'DEF_SELF_SCOUT_IMPORT'!$F$42:$F$1040,SUBSTITUTE(SUBSTITUTE(SUBSTITUTE($N719,"~","~~"),"*","~*"),"?","~?"),'DEF_SELF_SCOUT_IMPORT'!$G$42:$G$1040,SUBSTITUTE(SUBSTITUTE(SUBSTITUTE($O719,"~","~~"),"*","~*"),"?","~?"),'DEF_SELF_SCOUT_IMPORT'!$J$42:$J$1040,"")&gt;0,"Unscored clean outcome; review result tags before using score.",IF(C719=0,"No matching defensive reps; film confirmation needed.",IF(K719="Explosive Alert","Explosive risk; review clips before using as answer.",IF(C719&lt;=2,"Track only; not enough sample.",IF(C719=3,IF(E719&gt;0,"Sample watch with explosive exposure; review clips and build the sample.",IF(J719&gt;=65,"Good signal, but sample is limited.","Sample watch; review clips and build the sample.")),IF(K719="Problem Call","Problem area; practice or call-sheet review.",IF(K719="Strong Candidate","Strong call-fit candidate; confirm on film.",IF(K719="Good Candidate","Good call-fit signal; confirm on film.","Mixed signal; review fit and execution on film."))))))))</f>
        <v>Track only; not enough sample.</v>
      </c>
      <c r="M719" s="8" t="s">
        <v>85</v>
      </c>
      <c r="N719" s="8" t="s">
        <v>123</v>
      </c>
      <c r="O719" s="8" t="s">
        <v>222</v>
      </c>
      <c r="P719" s="8"/>
      <c r="Q719" s="8"/>
      <c r="R719" s="8" t="s">
        <v>28</v>
      </c>
      <c r="S719" s="2" t="s">
        <v>365</v>
      </c>
      <c r="T719" s="2">
        <f>IF(C719=0,0,IF(C719&gt;=CALL_LOOKUP_BOARD!$B$7,IF(OR(K719="Problem Call",K719="Explosive Alert"),10000000,20000000),0)+IF(C719&gt;=CALL_LOOKUP_BOARD!$B$7,J719*1000+MIN(C719,999),C719*1000+J719)+0.00986900)</f>
        <v>1100.009869</v>
      </c>
      <c r="U719" s="2" t="str">
        <f>IF(C719=0,"",IF(COUNTIFS($S$589:$S$803,SUBSTITUTE(SUBSTITUTE(SUBSTITUTE(S719,"~","~~"),"*","~*"),"?","~?"),$T$589:$T$803,"&gt;"&amp;T719)=0,S719,""))</f>
        <v>7:2D 7-10|2:12|3:3X2|</v>
      </c>
    </row>
    <row r="720" spans="1:21" ht="38" customHeight="1">
      <c r="A720" s="8" t="s">
        <v>366</v>
      </c>
      <c r="B720" s="8" t="s">
        <v>88</v>
      </c>
      <c r="C720" s="12">
        <f>COUNTIFS('DEF_SELF_SCOUT_IMPORT'!$L$42:$L$1040,"Y",'DEF_SELF_SCOUT_IMPORT'!$E$42:$E$1040,SUBSTITUTE(SUBSTITUTE(SUBSTITUTE($B720,"~","~~"),"*","~*"),"?","~?"),'DEF_SELF_SCOUT_IMPORT'!$Q$42:$Q$1040,SUBSTITUTE(SUBSTITUTE(SUBSTITUTE($M720,"~","~~"),"*","~*"),"?","~?"),'DEF_SELF_SCOUT_IMPORT'!$F$42:$F$1040,SUBSTITUTE(SUBSTITUTE(SUBSTITUTE($N720,"~","~~"),"*","~*"),"?","~?"),'DEF_SELF_SCOUT_IMPORT'!$G$42:$G$1040,SUBSTITUTE(SUBSTITUTE(SUBSTITUTE($O720,"~","~~"),"*","~*"),"?","~?"))</f>
        <v>1</v>
      </c>
      <c r="D720" s="10">
        <f>IF($C720=0,"",SUMIFS('DEF_SELF_SCOUT_IMPORT'!$J$42:$J$1040,'DEF_SELF_SCOUT_IMPORT'!$L$42:$L$1040,"Y",'DEF_SELF_SCOUT_IMPORT'!$E$42:$E$1040,SUBSTITUTE(SUBSTITUTE(SUBSTITUTE($B720,"~","~~"),"*","~*"),"?","~?"),'DEF_SELF_SCOUT_IMPORT'!$Q$42:$Q$1040,SUBSTITUTE(SUBSTITUTE(SUBSTITUTE($M720,"~","~~"),"*","~*"),"?","~?"),'DEF_SELF_SCOUT_IMPORT'!$F$42:$F$1040,SUBSTITUTE(SUBSTITUTE(SUBSTITUTE($N720,"~","~~"),"*","~*"),"?","~?"),'DEF_SELF_SCOUT_IMPORT'!$G$42:$G$1040,SUBSTITUTE(SUBSTITUTE(SUBSTITUTE($O720,"~","~~"),"*","~*"),"?","~?"))/$C720)</f>
        <v>1.0</v>
      </c>
      <c r="E720" s="10">
        <f>IF($C720=0,"",SUMIFS('DEF_SELF_SCOUT_IMPORT'!$K$42:$K$1040,'DEF_SELF_SCOUT_IMPORT'!$L$42:$L$1040,"Y",'DEF_SELF_SCOUT_IMPORT'!$E$42:$E$1040,SUBSTITUTE(SUBSTITUTE(SUBSTITUTE($B720,"~","~~"),"*","~*"),"?","~?"),'DEF_SELF_SCOUT_IMPORT'!$Q$42:$Q$1040,SUBSTITUTE(SUBSTITUTE(SUBSTITUTE($M720,"~","~~"),"*","~*"),"?","~?"),'DEF_SELF_SCOUT_IMPORT'!$F$42:$F$1040,SUBSTITUTE(SUBSTITUTE(SUBSTITUTE($N720,"~","~~"),"*","~*"),"?","~?"),'DEF_SELF_SCOUT_IMPORT'!$G$42:$G$1040,SUBSTITUTE(SUBSTITUTE(SUBSTITUTE($O720,"~","~~"),"*","~*"),"?","~?"))/$C720)</f>
        <v>0.0</v>
      </c>
      <c r="F720" s="11">
        <f>IF($C720=0,"",AVERAGEIFS('DEF_SELF_SCOUT_IMPORT'!$I$42:$I$1040,'DEF_SELF_SCOUT_IMPORT'!$L$42:$L$1040,"Y",'DEF_SELF_SCOUT_IMPORT'!$E$42:$E$1040,SUBSTITUTE(SUBSTITUTE(SUBSTITUTE($B720,"~","~~"),"*","~*"),"?","~?"),'DEF_SELF_SCOUT_IMPORT'!$Q$42:$Q$1040,SUBSTITUTE(SUBSTITUTE(SUBSTITUTE($M720,"~","~~"),"*","~*"),"?","~?"),'DEF_SELF_SCOUT_IMPORT'!$F$42:$F$1040,SUBSTITUTE(SUBSTITUTE(SUBSTITUTE($N720,"~","~~"),"*","~*"),"?","~?"),'DEF_SELF_SCOUT_IMPORT'!$G$42:$G$1040,SUBSTITUTE(SUBSTITUTE(SUBSTITUTE($O720,"~","~~"),"*","~*"),"?","~?")))</f>
        <v>3.0</v>
      </c>
      <c r="G720" s="10">
        <f>IF($C720=0,"",COUNTIFS('DEF_SELF_SCOUT_IMPORT'!$L$42:$L$1040,"Y",'DEF_SELF_SCOUT_IMPORT'!$E$42:$E$1040,SUBSTITUTE(SUBSTITUTE(SUBSTITUTE($B720,"~","~~"),"*","~*"),"?","~?"),'DEF_SELF_SCOUT_IMPORT'!$Q$42:$Q$1040,SUBSTITUTE(SUBSTITUTE(SUBSTITUTE($M720,"~","~~"),"*","~*"),"?","~?"),'DEF_SELF_SCOUT_IMPORT'!$F$42:$F$1040,SUBSTITUTE(SUBSTITUTE(SUBSTITUTE($N720,"~","~~"),"*","~*"),"?","~?"),'DEF_SELF_SCOUT_IMPORT'!$G$42:$G$1040,SUBSTITUTE(SUBSTITUTE(SUBSTITUTE($O720,"~","~~"),"*","~*"),"?","~?"),'DEF_SELF_SCOUT_IMPORT'!$H$42:$H$1040,"RUSH")/$C720)</f>
        <v>1.0</v>
      </c>
      <c r="H720" s="10">
        <f>IF($C720=0,"",COUNTIFS('DEF_SELF_SCOUT_IMPORT'!$L$42:$L$1040,"Y",'DEF_SELF_SCOUT_IMPORT'!$E$42:$E$1040,SUBSTITUTE(SUBSTITUTE(SUBSTITUTE($B720,"~","~~"),"*","~*"),"?","~?"),'DEF_SELF_SCOUT_IMPORT'!$Q$42:$Q$1040,SUBSTITUTE(SUBSTITUTE(SUBSTITUTE($M720,"~","~~"),"*","~*"),"?","~?"),'DEF_SELF_SCOUT_IMPORT'!$F$42:$F$1040,SUBSTITUTE(SUBSTITUTE(SUBSTITUTE($N720,"~","~~"),"*","~*"),"?","~?"),'DEF_SELF_SCOUT_IMPORT'!$G$42:$G$1040,SUBSTITUTE(SUBSTITUTE(SUBSTITUTE($O720,"~","~~"),"*","~*"),"?","~?"),'DEF_SELF_SCOUT_IMPORT'!$H$42:$H$1040,"DROPBACK")/$C720)</f>
        <v>0.0</v>
      </c>
      <c r="I720" s="14" t="str">
        <f>IF(C720=0,"",IF(C720&lt;=2,"TRACK",IF(C720=3,"LOW",IF(C720&lt;=6,"MEDIUM","HIGH"))))</f>
        <v>TRACK</v>
      </c>
      <c r="J720" s="11">
        <f>IF(C720=0,"",ROUND(D720*70+(1-E720)*20+MAX(0,MIN(1,(10-F720)/10))*10,1))</f>
        <v>97.0</v>
      </c>
      <c r="K720" s="14" t="str">
        <f>IF(C720=0,"No Evidence",IF(C720&lt;=2,IF(E720&gt;0,"Explosive Alert","Track Only"),IF(C720=3,"Sample Watch",IF(E720&gt;=START_HERE!$B$31,"Explosive Alert",IF(J720&gt;=80,"Strong Candidate",IF(J720&gt;=65,"Good Candidate",IF(J720&gt;=50,"Mixed / Review","Problem Call")))))))</f>
        <v>Track Only</v>
      </c>
      <c r="L720" s="9" t="str">
        <f>IF(COUNTIFS('DEF_SELF_SCOUT_IMPORT'!$L$42:$L$1040,"Y",'DEF_SELF_SCOUT_IMPORT'!$E$42:$E$1040,SUBSTITUTE(SUBSTITUTE(SUBSTITUTE($B720,"~","~~"),"*","~*"),"?","~?"),'DEF_SELF_SCOUT_IMPORT'!$Q$42:$Q$1040,SUBSTITUTE(SUBSTITUTE(SUBSTITUTE($M720,"~","~~"),"*","~*"),"?","~?"),'DEF_SELF_SCOUT_IMPORT'!$F$42:$F$1040,SUBSTITUTE(SUBSTITUTE(SUBSTITUTE($N720,"~","~~"),"*","~*"),"?","~?"),'DEF_SELF_SCOUT_IMPORT'!$G$42:$G$1040,SUBSTITUTE(SUBSTITUTE(SUBSTITUTE($O720,"~","~~"),"*","~*"),"?","~?"),'DEF_SELF_SCOUT_IMPORT'!$J$42:$J$1040,"")&gt;0,"Unscored clean outcome; review result tags before using score.",IF(C720=0,"No matching defensive reps; film confirmation needed.",IF(K720="Explosive Alert","Explosive risk; review clips before using as answer.",IF(C720&lt;=2,"Track only; not enough sample.",IF(C720=3,IF(E720&gt;0,"Sample watch with explosive exposure; review clips and build the sample.",IF(J720&gt;=65,"Good signal, but sample is limited.","Sample watch; review clips and build the sample.")),IF(K720="Problem Call","Problem area; practice or call-sheet review.",IF(K720="Strong Candidate","Strong call-fit candidate; confirm on film.",IF(K720="Good Candidate","Good call-fit signal; confirm on film.","Mixed signal; review fit and execution on film."))))))))</f>
        <v>Track only; not enough sample.</v>
      </c>
      <c r="M720" s="8" t="s">
        <v>85</v>
      </c>
      <c r="N720" s="8" t="s">
        <v>123</v>
      </c>
      <c r="O720" s="8" t="s">
        <v>215</v>
      </c>
      <c r="P720" s="8"/>
      <c r="Q720" s="8"/>
      <c r="R720" s="8" t="s">
        <v>28</v>
      </c>
      <c r="S720" s="2" t="s">
        <v>367</v>
      </c>
      <c r="T720" s="2">
        <f>IF(C720=0,0,IF(C720&gt;=CALL_LOOKUP_BOARD!$B$7,IF(OR(K720="Problem Call",K720="Explosive Alert"),10000000,20000000),0)+IF(C720&gt;=CALL_LOOKUP_BOARD!$B$7,J720*1000+MIN(C720,999),C720*1000+J720)+0.00986800)</f>
        <v>1097.009868</v>
      </c>
      <c r="U720" s="2" t="str">
        <f>IF(C720=0,"",IF(COUNTIFS($S$589:$S$803,SUBSTITUTE(SUBSTITUTE(SUBSTITUTE(S720,"~","~~"),"*","~*"),"?","~?"),$T$589:$T$803,"&gt;"&amp;T720)=0,S720,""))</f>
        <v>7:2D 7-10|2:12|3:4X1|</v>
      </c>
    </row>
    <row r="721" spans="1:21" ht="38" customHeight="1">
      <c r="A721" s="8" t="s">
        <v>368</v>
      </c>
      <c r="B721" s="8" t="s">
        <v>32</v>
      </c>
      <c r="C721" s="12">
        <f>COUNTIFS('DEF_SELF_SCOUT_IMPORT'!$L$42:$L$1040,"Y",'DEF_SELF_SCOUT_IMPORT'!$E$42:$E$1040,SUBSTITUTE(SUBSTITUTE(SUBSTITUTE($B721,"~","~~"),"*","~*"),"?","~?"),'DEF_SELF_SCOUT_IMPORT'!$Q$42:$Q$1040,SUBSTITUTE(SUBSTITUTE(SUBSTITUTE($M721,"~","~~"),"*","~*"),"?","~?"),'DEF_SELF_SCOUT_IMPORT'!$F$42:$F$1040,SUBSTITUTE(SUBSTITUTE(SUBSTITUTE($N721,"~","~~"),"*","~*"),"?","~?"),'DEF_SELF_SCOUT_IMPORT'!$G$42:$G$1040,SUBSTITUTE(SUBSTITUTE(SUBSTITUTE($O721,"~","~~"),"*","~*"),"?","~?"))</f>
        <v>1</v>
      </c>
      <c r="D721" s="10">
        <f>IF($C721=0,"",SUMIFS('DEF_SELF_SCOUT_IMPORT'!$J$42:$J$1040,'DEF_SELF_SCOUT_IMPORT'!$L$42:$L$1040,"Y",'DEF_SELF_SCOUT_IMPORT'!$E$42:$E$1040,SUBSTITUTE(SUBSTITUTE(SUBSTITUTE($B721,"~","~~"),"*","~*"),"?","~?"),'DEF_SELF_SCOUT_IMPORT'!$Q$42:$Q$1040,SUBSTITUTE(SUBSTITUTE(SUBSTITUTE($M721,"~","~~"),"*","~*"),"?","~?"),'DEF_SELF_SCOUT_IMPORT'!$F$42:$F$1040,SUBSTITUTE(SUBSTITUTE(SUBSTITUTE($N721,"~","~~"),"*","~*"),"?","~?"),'DEF_SELF_SCOUT_IMPORT'!$G$42:$G$1040,SUBSTITUTE(SUBSTITUTE(SUBSTITUTE($O721,"~","~~"),"*","~*"),"?","~?"))/$C721)</f>
        <v>0.0</v>
      </c>
      <c r="E721" s="10">
        <f>IF($C721=0,"",SUMIFS('DEF_SELF_SCOUT_IMPORT'!$K$42:$K$1040,'DEF_SELF_SCOUT_IMPORT'!$L$42:$L$1040,"Y",'DEF_SELF_SCOUT_IMPORT'!$E$42:$E$1040,SUBSTITUTE(SUBSTITUTE(SUBSTITUTE($B721,"~","~~"),"*","~*"),"?","~?"),'DEF_SELF_SCOUT_IMPORT'!$Q$42:$Q$1040,SUBSTITUTE(SUBSTITUTE(SUBSTITUTE($M721,"~","~~"),"*","~*"),"?","~?"),'DEF_SELF_SCOUT_IMPORT'!$F$42:$F$1040,SUBSTITUTE(SUBSTITUTE(SUBSTITUTE($N721,"~","~~"),"*","~*"),"?","~?"),'DEF_SELF_SCOUT_IMPORT'!$G$42:$G$1040,SUBSTITUTE(SUBSTITUTE(SUBSTITUTE($O721,"~","~~"),"*","~*"),"?","~?"))/$C721)</f>
        <v>0.0</v>
      </c>
      <c r="F721" s="11">
        <f>IF($C721=0,"",AVERAGEIFS('DEF_SELF_SCOUT_IMPORT'!$I$42:$I$1040,'DEF_SELF_SCOUT_IMPORT'!$L$42:$L$1040,"Y",'DEF_SELF_SCOUT_IMPORT'!$E$42:$E$1040,SUBSTITUTE(SUBSTITUTE(SUBSTITUTE($B721,"~","~~"),"*","~*"),"?","~?"),'DEF_SELF_SCOUT_IMPORT'!$Q$42:$Q$1040,SUBSTITUTE(SUBSTITUTE(SUBSTITUTE($M721,"~","~~"),"*","~*"),"?","~?"),'DEF_SELF_SCOUT_IMPORT'!$F$42:$F$1040,SUBSTITUTE(SUBSTITUTE(SUBSTITUTE($N721,"~","~~"),"*","~*"),"?","~?"),'DEF_SELF_SCOUT_IMPORT'!$G$42:$G$1040,SUBSTITUTE(SUBSTITUTE(SUBSTITUTE($O721,"~","~~"),"*","~*"),"?","~?")))</f>
        <v>8.0</v>
      </c>
      <c r="G721" s="10">
        <f>IF($C721=0,"",COUNTIFS('DEF_SELF_SCOUT_IMPORT'!$L$42:$L$1040,"Y",'DEF_SELF_SCOUT_IMPORT'!$E$42:$E$1040,SUBSTITUTE(SUBSTITUTE(SUBSTITUTE($B721,"~","~~"),"*","~*"),"?","~?"),'DEF_SELF_SCOUT_IMPORT'!$Q$42:$Q$1040,SUBSTITUTE(SUBSTITUTE(SUBSTITUTE($M721,"~","~~"),"*","~*"),"?","~?"),'DEF_SELF_SCOUT_IMPORT'!$F$42:$F$1040,SUBSTITUTE(SUBSTITUTE(SUBSTITUTE($N721,"~","~~"),"*","~*"),"?","~?"),'DEF_SELF_SCOUT_IMPORT'!$G$42:$G$1040,SUBSTITUTE(SUBSTITUTE(SUBSTITUTE($O721,"~","~~"),"*","~*"),"?","~?"),'DEF_SELF_SCOUT_IMPORT'!$H$42:$H$1040,"RUSH")/$C721)</f>
        <v>1.0</v>
      </c>
      <c r="H721" s="10">
        <f>IF($C721=0,"",COUNTIFS('DEF_SELF_SCOUT_IMPORT'!$L$42:$L$1040,"Y",'DEF_SELF_SCOUT_IMPORT'!$E$42:$E$1040,SUBSTITUTE(SUBSTITUTE(SUBSTITUTE($B721,"~","~~"),"*","~*"),"?","~?"),'DEF_SELF_SCOUT_IMPORT'!$Q$42:$Q$1040,SUBSTITUTE(SUBSTITUTE(SUBSTITUTE($M721,"~","~~"),"*","~*"),"?","~?"),'DEF_SELF_SCOUT_IMPORT'!$F$42:$F$1040,SUBSTITUTE(SUBSTITUTE(SUBSTITUTE($N721,"~","~~"),"*","~*"),"?","~?"),'DEF_SELF_SCOUT_IMPORT'!$G$42:$G$1040,SUBSTITUTE(SUBSTITUTE(SUBSTITUTE($O721,"~","~~"),"*","~*"),"?","~?"),'DEF_SELF_SCOUT_IMPORT'!$H$42:$H$1040,"DROPBACK")/$C721)</f>
        <v>0.0</v>
      </c>
      <c r="I721" s="14" t="str">
        <f>IF(C721=0,"",IF(C721&lt;=2,"TRACK",IF(C721=3,"LOW",IF(C721&lt;=6,"MEDIUM","HIGH"))))</f>
        <v>TRACK</v>
      </c>
      <c r="J721" s="11">
        <f>IF(C721=0,"",ROUND(D721*70+(1-E721)*20+MAX(0,MIN(1,(10-F721)/10))*10,1))</f>
        <v>22.0</v>
      </c>
      <c r="K721" s="14" t="str">
        <f>IF(C721=0,"No Evidence",IF(C721&lt;=2,IF(E721&gt;0,"Explosive Alert","Track Only"),IF(C721=3,"Sample Watch",IF(E721&gt;=START_HERE!$B$31,"Explosive Alert",IF(J721&gt;=80,"Strong Candidate",IF(J721&gt;=65,"Good Candidate",IF(J721&gt;=50,"Mixed / Review","Problem Call")))))))</f>
        <v>Track Only</v>
      </c>
      <c r="L721" s="9" t="str">
        <f>IF(COUNTIFS('DEF_SELF_SCOUT_IMPORT'!$L$42:$L$1040,"Y",'DEF_SELF_SCOUT_IMPORT'!$E$42:$E$1040,SUBSTITUTE(SUBSTITUTE(SUBSTITUTE($B721,"~","~~"),"*","~*"),"?","~?"),'DEF_SELF_SCOUT_IMPORT'!$Q$42:$Q$1040,SUBSTITUTE(SUBSTITUTE(SUBSTITUTE($M721,"~","~~"),"*","~*"),"?","~?"),'DEF_SELF_SCOUT_IMPORT'!$F$42:$F$1040,SUBSTITUTE(SUBSTITUTE(SUBSTITUTE($N721,"~","~~"),"*","~*"),"?","~?"),'DEF_SELF_SCOUT_IMPORT'!$G$42:$G$1040,SUBSTITUTE(SUBSTITUTE(SUBSTITUTE($O721,"~","~~"),"*","~*"),"?","~?"),'DEF_SELF_SCOUT_IMPORT'!$J$42:$J$1040,"")&gt;0,"Unscored clean outcome; review result tags before using score.",IF(C721=0,"No matching defensive reps; film confirmation needed.",IF(K721="Explosive Alert","Explosive risk; review clips before using as answer.",IF(C721&lt;=2,"Track only; not enough sample.",IF(C721=3,IF(E721&gt;0,"Sample watch with explosive exposure; review clips and build the sample.",IF(J721&gt;=65,"Good signal, but sample is limited.","Sample watch; review clips and build the sample.")),IF(K721="Problem Call","Problem area; practice or call-sheet review.",IF(K721="Strong Candidate","Strong call-fit candidate; confirm on film.",IF(K721="Good Candidate","Good call-fit signal; confirm on film.","Mixed signal; review fit and execution on film."))))))))</f>
        <v>Track only; not enough sample.</v>
      </c>
      <c r="M721" s="8" t="s">
        <v>92</v>
      </c>
      <c r="N721" s="8" t="s">
        <v>132</v>
      </c>
      <c r="O721" s="8" t="s">
        <v>206</v>
      </c>
      <c r="P721" s="8"/>
      <c r="Q721" s="8"/>
      <c r="R721" s="8" t="s">
        <v>28</v>
      </c>
      <c r="S721" s="2" t="s">
        <v>369</v>
      </c>
      <c r="T721" s="2">
        <f>IF(C721=0,0,IF(C721&gt;=CALL_LOOKUP_BOARD!$B$7,IF(OR(K721="Problem Call",K721="Explosive Alert"),10000000,20000000),0)+IF(C721&gt;=CALL_LOOKUP_BOARD!$B$7,J721*1000+MIN(C721,999),C721*1000+J721)+0.00986700)</f>
        <v>1022.009867</v>
      </c>
      <c r="U721" s="2" t="str">
        <f>IF(C721=0,"",IF(COUNTIFS($S$589:$S$803,SUBSTITUTE(SUBSTITUTE(SUBSTITUTE(S721,"~","~~"),"*","~*"),"?","~?"),$T$589:$T$803,"&gt;"&amp;T721)=0,S721,""))</f>
        <v>6:3D 1-3|2:00|3:3X1|</v>
      </c>
    </row>
    <row r="722" spans="1:21" ht="38" customHeight="1">
      <c r="A722" s="8" t="s">
        <v>368</v>
      </c>
      <c r="B722" s="8" t="s">
        <v>53</v>
      </c>
      <c r="C722" s="12">
        <f>COUNTIFS('DEF_SELF_SCOUT_IMPORT'!$L$42:$L$1040,"Y",'DEF_SELF_SCOUT_IMPORT'!$E$42:$E$1040,SUBSTITUTE(SUBSTITUTE(SUBSTITUTE($B722,"~","~~"),"*","~*"),"?","~?"),'DEF_SELF_SCOUT_IMPORT'!$Q$42:$Q$1040,SUBSTITUTE(SUBSTITUTE(SUBSTITUTE($M722,"~","~~"),"*","~*"),"?","~?"),'DEF_SELF_SCOUT_IMPORT'!$F$42:$F$1040,SUBSTITUTE(SUBSTITUTE(SUBSTITUTE($N722,"~","~~"),"*","~*"),"?","~?"),'DEF_SELF_SCOUT_IMPORT'!$G$42:$G$1040,SUBSTITUTE(SUBSTITUTE(SUBSTITUTE($O722,"~","~~"),"*","~*"),"?","~?"))</f>
        <v>1</v>
      </c>
      <c r="D722" s="10">
        <f>IF($C722=0,"",SUMIFS('DEF_SELF_SCOUT_IMPORT'!$J$42:$J$1040,'DEF_SELF_SCOUT_IMPORT'!$L$42:$L$1040,"Y",'DEF_SELF_SCOUT_IMPORT'!$E$42:$E$1040,SUBSTITUTE(SUBSTITUTE(SUBSTITUTE($B722,"~","~~"),"*","~*"),"?","~?"),'DEF_SELF_SCOUT_IMPORT'!$Q$42:$Q$1040,SUBSTITUTE(SUBSTITUTE(SUBSTITUTE($M722,"~","~~"),"*","~*"),"?","~?"),'DEF_SELF_SCOUT_IMPORT'!$F$42:$F$1040,SUBSTITUTE(SUBSTITUTE(SUBSTITUTE($N722,"~","~~"),"*","~*"),"?","~?"),'DEF_SELF_SCOUT_IMPORT'!$G$42:$G$1040,SUBSTITUTE(SUBSTITUTE(SUBSTITUTE($O722,"~","~~"),"*","~*"),"?","~?"))/$C722)</f>
        <v>0.0</v>
      </c>
      <c r="E722" s="10">
        <f>IF($C722=0,"",SUMIFS('DEF_SELF_SCOUT_IMPORT'!$K$42:$K$1040,'DEF_SELF_SCOUT_IMPORT'!$L$42:$L$1040,"Y",'DEF_SELF_SCOUT_IMPORT'!$E$42:$E$1040,SUBSTITUTE(SUBSTITUTE(SUBSTITUTE($B722,"~","~~"),"*","~*"),"?","~?"),'DEF_SELF_SCOUT_IMPORT'!$Q$42:$Q$1040,SUBSTITUTE(SUBSTITUTE(SUBSTITUTE($M722,"~","~~"),"*","~*"),"?","~?"),'DEF_SELF_SCOUT_IMPORT'!$F$42:$F$1040,SUBSTITUTE(SUBSTITUTE(SUBSTITUTE($N722,"~","~~"),"*","~*"),"?","~?"),'DEF_SELF_SCOUT_IMPORT'!$G$42:$G$1040,SUBSTITUTE(SUBSTITUTE(SUBSTITUTE($O722,"~","~~"),"*","~*"),"?","~?"))/$C722)</f>
        <v>0.0</v>
      </c>
      <c r="F722" s="11">
        <f>IF($C722=0,"",AVERAGEIFS('DEF_SELF_SCOUT_IMPORT'!$I$42:$I$1040,'DEF_SELF_SCOUT_IMPORT'!$L$42:$L$1040,"Y",'DEF_SELF_SCOUT_IMPORT'!$E$42:$E$1040,SUBSTITUTE(SUBSTITUTE(SUBSTITUTE($B722,"~","~~"),"*","~*"),"?","~?"),'DEF_SELF_SCOUT_IMPORT'!$Q$42:$Q$1040,SUBSTITUTE(SUBSTITUTE(SUBSTITUTE($M722,"~","~~"),"*","~*"),"?","~?"),'DEF_SELF_SCOUT_IMPORT'!$F$42:$F$1040,SUBSTITUTE(SUBSTITUTE(SUBSTITUTE($N722,"~","~~"),"*","~*"),"?","~?"),'DEF_SELF_SCOUT_IMPORT'!$G$42:$G$1040,SUBSTITUTE(SUBSTITUTE(SUBSTITUTE($O722,"~","~~"),"*","~*"),"?","~?")))</f>
        <v>11.0</v>
      </c>
      <c r="G722" s="10">
        <f>IF($C722=0,"",COUNTIFS('DEF_SELF_SCOUT_IMPORT'!$L$42:$L$1040,"Y",'DEF_SELF_SCOUT_IMPORT'!$E$42:$E$1040,SUBSTITUTE(SUBSTITUTE(SUBSTITUTE($B722,"~","~~"),"*","~*"),"?","~?"),'DEF_SELF_SCOUT_IMPORT'!$Q$42:$Q$1040,SUBSTITUTE(SUBSTITUTE(SUBSTITUTE($M722,"~","~~"),"*","~*"),"?","~?"),'DEF_SELF_SCOUT_IMPORT'!$F$42:$F$1040,SUBSTITUTE(SUBSTITUTE(SUBSTITUTE($N722,"~","~~"),"*","~*"),"?","~?"),'DEF_SELF_SCOUT_IMPORT'!$G$42:$G$1040,SUBSTITUTE(SUBSTITUTE(SUBSTITUTE($O722,"~","~~"),"*","~*"),"?","~?"),'DEF_SELF_SCOUT_IMPORT'!$H$42:$H$1040,"RUSH")/$C722)</f>
        <v>1.0</v>
      </c>
      <c r="H722" s="10">
        <f>IF($C722=0,"",COUNTIFS('DEF_SELF_SCOUT_IMPORT'!$L$42:$L$1040,"Y",'DEF_SELF_SCOUT_IMPORT'!$E$42:$E$1040,SUBSTITUTE(SUBSTITUTE(SUBSTITUTE($B722,"~","~~"),"*","~*"),"?","~?"),'DEF_SELF_SCOUT_IMPORT'!$Q$42:$Q$1040,SUBSTITUTE(SUBSTITUTE(SUBSTITUTE($M722,"~","~~"),"*","~*"),"?","~?"),'DEF_SELF_SCOUT_IMPORT'!$F$42:$F$1040,SUBSTITUTE(SUBSTITUTE(SUBSTITUTE($N722,"~","~~"),"*","~*"),"?","~?"),'DEF_SELF_SCOUT_IMPORT'!$G$42:$G$1040,SUBSTITUTE(SUBSTITUTE(SUBSTITUTE($O722,"~","~~"),"*","~*"),"?","~?"),'DEF_SELF_SCOUT_IMPORT'!$H$42:$H$1040,"DROPBACK")/$C722)</f>
        <v>0.0</v>
      </c>
      <c r="I722" s="14" t="str">
        <f>IF(C722=0,"",IF(C722&lt;=2,"TRACK",IF(C722=3,"LOW",IF(C722&lt;=6,"MEDIUM","HIGH"))))</f>
        <v>TRACK</v>
      </c>
      <c r="J722" s="11">
        <f>IF(C722=0,"",ROUND(D722*70+(1-E722)*20+MAX(0,MIN(1,(10-F722)/10))*10,1))</f>
        <v>20.0</v>
      </c>
      <c r="K722" s="14" t="str">
        <f>IF(C722=0,"No Evidence",IF(C722&lt;=2,IF(E722&gt;0,"Explosive Alert","Track Only"),IF(C722=3,"Sample Watch",IF(E722&gt;=START_HERE!$B$31,"Explosive Alert",IF(J722&gt;=80,"Strong Candidate",IF(J722&gt;=65,"Good Candidate",IF(J722&gt;=50,"Mixed / Review","Problem Call")))))))</f>
        <v>Track Only</v>
      </c>
      <c r="L722" s="9" t="str">
        <f>IF(COUNTIFS('DEF_SELF_SCOUT_IMPORT'!$L$42:$L$1040,"Y",'DEF_SELF_SCOUT_IMPORT'!$E$42:$E$1040,SUBSTITUTE(SUBSTITUTE(SUBSTITUTE($B722,"~","~~"),"*","~*"),"?","~?"),'DEF_SELF_SCOUT_IMPORT'!$Q$42:$Q$1040,SUBSTITUTE(SUBSTITUTE(SUBSTITUTE($M722,"~","~~"),"*","~*"),"?","~?"),'DEF_SELF_SCOUT_IMPORT'!$F$42:$F$1040,SUBSTITUTE(SUBSTITUTE(SUBSTITUTE($N722,"~","~~"),"*","~*"),"?","~?"),'DEF_SELF_SCOUT_IMPORT'!$G$42:$G$1040,SUBSTITUTE(SUBSTITUTE(SUBSTITUTE($O722,"~","~~"),"*","~*"),"?","~?"),'DEF_SELF_SCOUT_IMPORT'!$J$42:$J$1040,"")&gt;0,"Unscored clean outcome; review result tags before using score.",IF(C722=0,"No matching defensive reps; film confirmation needed.",IF(K722="Explosive Alert","Explosive risk; review clips before using as answer.",IF(C722&lt;=2,"Track only; not enough sample.",IF(C722=3,IF(E722&gt;0,"Sample watch with explosive exposure; review clips and build the sample.",IF(J722&gt;=65,"Good signal, but sample is limited.","Sample watch; review clips and build the sample.")),IF(K722="Problem Call","Problem area; practice or call-sheet review.",IF(K722="Strong Candidate","Strong call-fit candidate; confirm on film.",IF(K722="Good Candidate","Good call-fit signal; confirm on film.","Mixed signal; review fit and execution on film."))))))))</f>
        <v>Track only; not enough sample.</v>
      </c>
      <c r="M722" s="8" t="s">
        <v>92</v>
      </c>
      <c r="N722" s="8" t="s">
        <v>132</v>
      </c>
      <c r="O722" s="8" t="s">
        <v>206</v>
      </c>
      <c r="P722" s="8"/>
      <c r="Q722" s="8"/>
      <c r="R722" s="8" t="s">
        <v>28</v>
      </c>
      <c r="S722" s="2" t="s">
        <v>369</v>
      </c>
      <c r="T722" s="2">
        <f>IF(C722=0,0,IF(C722&gt;=CALL_LOOKUP_BOARD!$B$7,IF(OR(K722="Problem Call",K722="Explosive Alert"),10000000,20000000),0)+IF(C722&gt;=CALL_LOOKUP_BOARD!$B$7,J722*1000+MIN(C722,999),C722*1000+J722)+0.00986600)</f>
        <v>1020.009866</v>
      </c>
      <c r="U722" s="2">
        <f>IF(C722=0,"",IF(COUNTIFS($S$589:$S$803,SUBSTITUTE(SUBSTITUTE(SUBSTITUTE(S722,"~","~~"),"*","~*"),"?","~?"),$T$589:$T$803,"&gt;"&amp;T722)=0,S722,""))</f>
        <v/>
      </c>
    </row>
    <row r="723" spans="1:21" ht="38" customHeight="1">
      <c r="A723" s="8" t="s">
        <v>370</v>
      </c>
      <c r="B723" s="8" t="s">
        <v>93</v>
      </c>
      <c r="C723" s="12">
        <f>COUNTIFS('DEF_SELF_SCOUT_IMPORT'!$L$42:$L$1040,"Y",'DEF_SELF_SCOUT_IMPORT'!$E$42:$E$1040,SUBSTITUTE(SUBSTITUTE(SUBSTITUTE($B723,"~","~~"),"*","~*"),"?","~?"),'DEF_SELF_SCOUT_IMPORT'!$Q$42:$Q$1040,SUBSTITUTE(SUBSTITUTE(SUBSTITUTE($M723,"~","~~"),"*","~*"),"?","~?"),'DEF_SELF_SCOUT_IMPORT'!$F$42:$F$1040,SUBSTITUTE(SUBSTITUTE(SUBSTITUTE($N723,"~","~~"),"*","~*"),"?","~?"),'DEF_SELF_SCOUT_IMPORT'!$G$42:$G$1040,SUBSTITUTE(SUBSTITUTE(SUBSTITUTE($O723,"~","~~"),"*","~*"),"?","~?"))</f>
        <v>1</v>
      </c>
      <c r="D723" s="10">
        <f>IF($C723=0,"",SUMIFS('DEF_SELF_SCOUT_IMPORT'!$J$42:$J$1040,'DEF_SELF_SCOUT_IMPORT'!$L$42:$L$1040,"Y",'DEF_SELF_SCOUT_IMPORT'!$E$42:$E$1040,SUBSTITUTE(SUBSTITUTE(SUBSTITUTE($B723,"~","~~"),"*","~*"),"?","~?"),'DEF_SELF_SCOUT_IMPORT'!$Q$42:$Q$1040,SUBSTITUTE(SUBSTITUTE(SUBSTITUTE($M723,"~","~~"),"*","~*"),"?","~?"),'DEF_SELF_SCOUT_IMPORT'!$F$42:$F$1040,SUBSTITUTE(SUBSTITUTE(SUBSTITUTE($N723,"~","~~"),"*","~*"),"?","~?"),'DEF_SELF_SCOUT_IMPORT'!$G$42:$G$1040,SUBSTITUTE(SUBSTITUTE(SUBSTITUTE($O723,"~","~~"),"*","~*"),"?","~?"))/$C723)</f>
        <v>1.0</v>
      </c>
      <c r="E723" s="10">
        <f>IF($C723=0,"",SUMIFS('DEF_SELF_SCOUT_IMPORT'!$K$42:$K$1040,'DEF_SELF_SCOUT_IMPORT'!$L$42:$L$1040,"Y",'DEF_SELF_SCOUT_IMPORT'!$E$42:$E$1040,SUBSTITUTE(SUBSTITUTE(SUBSTITUTE($B723,"~","~~"),"*","~*"),"?","~?"),'DEF_SELF_SCOUT_IMPORT'!$Q$42:$Q$1040,SUBSTITUTE(SUBSTITUTE(SUBSTITUTE($M723,"~","~~"),"*","~*"),"?","~?"),'DEF_SELF_SCOUT_IMPORT'!$F$42:$F$1040,SUBSTITUTE(SUBSTITUTE(SUBSTITUTE($N723,"~","~~"),"*","~*"),"?","~?"),'DEF_SELF_SCOUT_IMPORT'!$G$42:$G$1040,SUBSTITUTE(SUBSTITUTE(SUBSTITUTE($O723,"~","~~"),"*","~*"),"?","~?"))/$C723)</f>
        <v>0.0</v>
      </c>
      <c r="F723" s="11">
        <f>IF($C723=0,"",AVERAGEIFS('DEF_SELF_SCOUT_IMPORT'!$I$42:$I$1040,'DEF_SELF_SCOUT_IMPORT'!$L$42:$L$1040,"Y",'DEF_SELF_SCOUT_IMPORT'!$E$42:$E$1040,SUBSTITUTE(SUBSTITUTE(SUBSTITUTE($B723,"~","~~"),"*","~*"),"?","~?"),'DEF_SELF_SCOUT_IMPORT'!$Q$42:$Q$1040,SUBSTITUTE(SUBSTITUTE(SUBSTITUTE($M723,"~","~~"),"*","~*"),"?","~?"),'DEF_SELF_SCOUT_IMPORT'!$F$42:$F$1040,SUBSTITUTE(SUBSTITUTE(SUBSTITUTE($N723,"~","~~"),"*","~*"),"?","~?"),'DEF_SELF_SCOUT_IMPORT'!$G$42:$G$1040,SUBSTITUTE(SUBSTITUTE(SUBSTITUTE($O723,"~","~~"),"*","~*"),"?","~?")))</f>
        <v>0.0</v>
      </c>
      <c r="G723" s="10">
        <f>IF($C723=0,"",COUNTIFS('DEF_SELF_SCOUT_IMPORT'!$L$42:$L$1040,"Y",'DEF_SELF_SCOUT_IMPORT'!$E$42:$E$1040,SUBSTITUTE(SUBSTITUTE(SUBSTITUTE($B723,"~","~~"),"*","~*"),"?","~?"),'DEF_SELF_SCOUT_IMPORT'!$Q$42:$Q$1040,SUBSTITUTE(SUBSTITUTE(SUBSTITUTE($M723,"~","~~"),"*","~*"),"?","~?"),'DEF_SELF_SCOUT_IMPORT'!$F$42:$F$1040,SUBSTITUTE(SUBSTITUTE(SUBSTITUTE($N723,"~","~~"),"*","~*"),"?","~?"),'DEF_SELF_SCOUT_IMPORT'!$G$42:$G$1040,SUBSTITUTE(SUBSTITUTE(SUBSTITUTE($O723,"~","~~"),"*","~*"),"?","~?"),'DEF_SELF_SCOUT_IMPORT'!$H$42:$H$1040,"RUSH")/$C723)</f>
        <v>0.0</v>
      </c>
      <c r="H723" s="10">
        <f>IF($C723=0,"",COUNTIFS('DEF_SELF_SCOUT_IMPORT'!$L$42:$L$1040,"Y",'DEF_SELF_SCOUT_IMPORT'!$E$42:$E$1040,SUBSTITUTE(SUBSTITUTE(SUBSTITUTE($B723,"~","~~"),"*","~*"),"?","~?"),'DEF_SELF_SCOUT_IMPORT'!$Q$42:$Q$1040,SUBSTITUTE(SUBSTITUTE(SUBSTITUTE($M723,"~","~~"),"*","~*"),"?","~?"),'DEF_SELF_SCOUT_IMPORT'!$F$42:$F$1040,SUBSTITUTE(SUBSTITUTE(SUBSTITUTE($N723,"~","~~"),"*","~*"),"?","~?"),'DEF_SELF_SCOUT_IMPORT'!$G$42:$G$1040,SUBSTITUTE(SUBSTITUTE(SUBSTITUTE($O723,"~","~~"),"*","~*"),"?","~?"),'DEF_SELF_SCOUT_IMPORT'!$H$42:$H$1040,"DROPBACK")/$C723)</f>
        <v>1.0</v>
      </c>
      <c r="I723" s="14" t="str">
        <f>IF(C723=0,"",IF(C723&lt;=2,"TRACK",IF(C723=3,"LOW",IF(C723&lt;=6,"MEDIUM","HIGH"))))</f>
        <v>TRACK</v>
      </c>
      <c r="J723" s="11">
        <f>IF(C723=0,"",ROUND(D723*70+(1-E723)*20+MAX(0,MIN(1,(10-F723)/10))*10,1))</f>
        <v>100.0</v>
      </c>
      <c r="K723" s="14" t="str">
        <f>IF(C723=0,"No Evidence",IF(C723&lt;=2,IF(E723&gt;0,"Explosive Alert","Track Only"),IF(C723=3,"Sample Watch",IF(E723&gt;=START_HERE!$B$31,"Explosive Alert",IF(J723&gt;=80,"Strong Candidate",IF(J723&gt;=65,"Good Candidate",IF(J723&gt;=50,"Mixed / Review","Problem Call")))))))</f>
        <v>Track Only</v>
      </c>
      <c r="L723" s="9" t="str">
        <f>IF(COUNTIFS('DEF_SELF_SCOUT_IMPORT'!$L$42:$L$1040,"Y",'DEF_SELF_SCOUT_IMPORT'!$E$42:$E$1040,SUBSTITUTE(SUBSTITUTE(SUBSTITUTE($B723,"~","~~"),"*","~*"),"?","~?"),'DEF_SELF_SCOUT_IMPORT'!$Q$42:$Q$1040,SUBSTITUTE(SUBSTITUTE(SUBSTITUTE($M723,"~","~~"),"*","~*"),"?","~?"),'DEF_SELF_SCOUT_IMPORT'!$F$42:$F$1040,SUBSTITUTE(SUBSTITUTE(SUBSTITUTE($N723,"~","~~"),"*","~*"),"?","~?"),'DEF_SELF_SCOUT_IMPORT'!$G$42:$G$1040,SUBSTITUTE(SUBSTITUTE(SUBSTITUTE($O723,"~","~~"),"*","~*"),"?","~?"),'DEF_SELF_SCOUT_IMPORT'!$J$42:$J$1040,"")&gt;0,"Unscored clean outcome; review result tags before using score.",IF(C723=0,"No matching defensive reps; film confirmation needed.",IF(K723="Explosive Alert","Explosive risk; review clips before using as answer.",IF(C723&lt;=2,"Track only; not enough sample.",IF(C723=3,IF(E723&gt;0,"Sample watch with explosive exposure; review clips and build the sample.",IF(J723&gt;=65,"Good signal, but sample is limited.","Sample watch; review clips and build the sample.")),IF(K723="Problem Call","Problem area; practice or call-sheet review.",IF(K723="Strong Candidate","Strong call-fit candidate; confirm on film.",IF(K723="Good Candidate","Good call-fit signal; confirm on film.","Mixed signal; review fit and execution on film."))))))))</f>
        <v>Track only; not enough sample.</v>
      </c>
      <c r="M723" s="8" t="s">
        <v>92</v>
      </c>
      <c r="N723" s="8" t="s">
        <v>120</v>
      </c>
      <c r="O723" s="8" t="s">
        <v>203</v>
      </c>
      <c r="P723" s="8"/>
      <c r="Q723" s="8"/>
      <c r="R723" s="8" t="s">
        <v>28</v>
      </c>
      <c r="S723" s="2" t="s">
        <v>371</v>
      </c>
      <c r="T723" s="2">
        <f>IF(C723=0,0,IF(C723&gt;=CALL_LOOKUP_BOARD!$B$7,IF(OR(K723="Problem Call",K723="Explosive Alert"),10000000,20000000),0)+IF(C723&gt;=CALL_LOOKUP_BOARD!$B$7,J723*1000+MIN(C723,999),C723*1000+J723)+0.00986500)</f>
        <v>1100.009865</v>
      </c>
      <c r="U723" s="2" t="str">
        <f>IF(C723=0,"",IF(COUNTIFS($S$589:$S$803,SUBSTITUTE(SUBSTITUTE(SUBSTITUTE(S723,"~","~~"),"*","~*"),"?","~?"),$T$589:$T$803,"&gt;"&amp;T723)=0,S723,""))</f>
        <v>6:3D 1-3|2:11|3:2X2|</v>
      </c>
    </row>
    <row r="724" spans="1:21" ht="38" customHeight="1">
      <c r="A724" s="8" t="s">
        <v>370</v>
      </c>
      <c r="B724" s="8" t="s">
        <v>60</v>
      </c>
      <c r="C724" s="12">
        <f>COUNTIFS('DEF_SELF_SCOUT_IMPORT'!$L$42:$L$1040,"Y",'DEF_SELF_SCOUT_IMPORT'!$E$42:$E$1040,SUBSTITUTE(SUBSTITUTE(SUBSTITUTE($B724,"~","~~"),"*","~*"),"?","~?"),'DEF_SELF_SCOUT_IMPORT'!$Q$42:$Q$1040,SUBSTITUTE(SUBSTITUTE(SUBSTITUTE($M724,"~","~~"),"*","~*"),"?","~?"),'DEF_SELF_SCOUT_IMPORT'!$F$42:$F$1040,SUBSTITUTE(SUBSTITUTE(SUBSTITUTE($N724,"~","~~"),"*","~*"),"?","~?"),'DEF_SELF_SCOUT_IMPORT'!$G$42:$G$1040,SUBSTITUTE(SUBSTITUTE(SUBSTITUTE($O724,"~","~~"),"*","~*"),"?","~?"))</f>
        <v>1</v>
      </c>
      <c r="D724" s="10">
        <f>IF($C724=0,"",SUMIFS('DEF_SELF_SCOUT_IMPORT'!$J$42:$J$1040,'DEF_SELF_SCOUT_IMPORT'!$L$42:$L$1040,"Y",'DEF_SELF_SCOUT_IMPORT'!$E$42:$E$1040,SUBSTITUTE(SUBSTITUTE(SUBSTITUTE($B724,"~","~~"),"*","~*"),"?","~?"),'DEF_SELF_SCOUT_IMPORT'!$Q$42:$Q$1040,SUBSTITUTE(SUBSTITUTE(SUBSTITUTE($M724,"~","~~"),"*","~*"),"?","~?"),'DEF_SELF_SCOUT_IMPORT'!$F$42:$F$1040,SUBSTITUTE(SUBSTITUTE(SUBSTITUTE($N724,"~","~~"),"*","~*"),"?","~?"),'DEF_SELF_SCOUT_IMPORT'!$G$42:$G$1040,SUBSTITUTE(SUBSTITUTE(SUBSTITUTE($O724,"~","~~"),"*","~*"),"?","~?"))/$C724)</f>
        <v>0.0</v>
      </c>
      <c r="E724" s="10">
        <f>IF($C724=0,"",SUMIFS('DEF_SELF_SCOUT_IMPORT'!$K$42:$K$1040,'DEF_SELF_SCOUT_IMPORT'!$L$42:$L$1040,"Y",'DEF_SELF_SCOUT_IMPORT'!$E$42:$E$1040,SUBSTITUTE(SUBSTITUTE(SUBSTITUTE($B724,"~","~~"),"*","~*"),"?","~?"),'DEF_SELF_SCOUT_IMPORT'!$Q$42:$Q$1040,SUBSTITUTE(SUBSTITUTE(SUBSTITUTE($M724,"~","~~"),"*","~*"),"?","~?"),'DEF_SELF_SCOUT_IMPORT'!$F$42:$F$1040,SUBSTITUTE(SUBSTITUTE(SUBSTITUTE($N724,"~","~~"),"*","~*"),"?","~?"),'DEF_SELF_SCOUT_IMPORT'!$G$42:$G$1040,SUBSTITUTE(SUBSTITUTE(SUBSTITUTE($O724,"~","~~"),"*","~*"),"?","~?"))/$C724)</f>
        <v>0.0</v>
      </c>
      <c r="F724" s="11">
        <f>IF($C724=0,"",AVERAGEIFS('DEF_SELF_SCOUT_IMPORT'!$I$42:$I$1040,'DEF_SELF_SCOUT_IMPORT'!$L$42:$L$1040,"Y",'DEF_SELF_SCOUT_IMPORT'!$E$42:$E$1040,SUBSTITUTE(SUBSTITUTE(SUBSTITUTE($B724,"~","~~"),"*","~*"),"?","~?"),'DEF_SELF_SCOUT_IMPORT'!$Q$42:$Q$1040,SUBSTITUTE(SUBSTITUTE(SUBSTITUTE($M724,"~","~~"),"*","~*"),"?","~?"),'DEF_SELF_SCOUT_IMPORT'!$F$42:$F$1040,SUBSTITUTE(SUBSTITUTE(SUBSTITUTE($N724,"~","~~"),"*","~*"),"?","~?"),'DEF_SELF_SCOUT_IMPORT'!$G$42:$G$1040,SUBSTITUTE(SUBSTITUTE(SUBSTITUTE($O724,"~","~~"),"*","~*"),"?","~?")))</f>
        <v>2.0</v>
      </c>
      <c r="G724" s="10">
        <f>IF($C724=0,"",COUNTIFS('DEF_SELF_SCOUT_IMPORT'!$L$42:$L$1040,"Y",'DEF_SELF_SCOUT_IMPORT'!$E$42:$E$1040,SUBSTITUTE(SUBSTITUTE(SUBSTITUTE($B724,"~","~~"),"*","~*"),"?","~?"),'DEF_SELF_SCOUT_IMPORT'!$Q$42:$Q$1040,SUBSTITUTE(SUBSTITUTE(SUBSTITUTE($M724,"~","~~"),"*","~*"),"?","~?"),'DEF_SELF_SCOUT_IMPORT'!$F$42:$F$1040,SUBSTITUTE(SUBSTITUTE(SUBSTITUTE($N724,"~","~~"),"*","~*"),"?","~?"),'DEF_SELF_SCOUT_IMPORT'!$G$42:$G$1040,SUBSTITUTE(SUBSTITUTE(SUBSTITUTE($O724,"~","~~"),"*","~*"),"?","~?"),'DEF_SELF_SCOUT_IMPORT'!$H$42:$H$1040,"RUSH")/$C724)</f>
        <v>1.0</v>
      </c>
      <c r="H724" s="10">
        <f>IF($C724=0,"",COUNTIFS('DEF_SELF_SCOUT_IMPORT'!$L$42:$L$1040,"Y",'DEF_SELF_SCOUT_IMPORT'!$E$42:$E$1040,SUBSTITUTE(SUBSTITUTE(SUBSTITUTE($B724,"~","~~"),"*","~*"),"?","~?"),'DEF_SELF_SCOUT_IMPORT'!$Q$42:$Q$1040,SUBSTITUTE(SUBSTITUTE(SUBSTITUTE($M724,"~","~~"),"*","~*"),"?","~?"),'DEF_SELF_SCOUT_IMPORT'!$F$42:$F$1040,SUBSTITUTE(SUBSTITUTE(SUBSTITUTE($N724,"~","~~"),"*","~*"),"?","~?"),'DEF_SELF_SCOUT_IMPORT'!$G$42:$G$1040,SUBSTITUTE(SUBSTITUTE(SUBSTITUTE($O724,"~","~~"),"*","~*"),"?","~?"),'DEF_SELF_SCOUT_IMPORT'!$H$42:$H$1040,"DROPBACK")/$C724)</f>
        <v>0.0</v>
      </c>
      <c r="I724" s="14" t="str">
        <f>IF(C724=0,"",IF(C724&lt;=2,"TRACK",IF(C724=3,"LOW",IF(C724&lt;=6,"MEDIUM","HIGH"))))</f>
        <v>TRACK</v>
      </c>
      <c r="J724" s="11">
        <f>IF(C724=0,"",ROUND(D724*70+(1-E724)*20+MAX(0,MIN(1,(10-F724)/10))*10,1))</f>
        <v>28.0</v>
      </c>
      <c r="K724" s="14" t="str">
        <f>IF(C724=0,"No Evidence",IF(C724&lt;=2,IF(E724&gt;0,"Explosive Alert","Track Only"),IF(C724=3,"Sample Watch",IF(E724&gt;=START_HERE!$B$31,"Explosive Alert",IF(J724&gt;=80,"Strong Candidate",IF(J724&gt;=65,"Good Candidate",IF(J724&gt;=50,"Mixed / Review","Problem Call")))))))</f>
        <v>Track Only</v>
      </c>
      <c r="L724" s="9" t="str">
        <f>IF(COUNTIFS('DEF_SELF_SCOUT_IMPORT'!$L$42:$L$1040,"Y",'DEF_SELF_SCOUT_IMPORT'!$E$42:$E$1040,SUBSTITUTE(SUBSTITUTE(SUBSTITUTE($B724,"~","~~"),"*","~*"),"?","~?"),'DEF_SELF_SCOUT_IMPORT'!$Q$42:$Q$1040,SUBSTITUTE(SUBSTITUTE(SUBSTITUTE($M724,"~","~~"),"*","~*"),"?","~?"),'DEF_SELF_SCOUT_IMPORT'!$F$42:$F$1040,SUBSTITUTE(SUBSTITUTE(SUBSTITUTE($N724,"~","~~"),"*","~*"),"?","~?"),'DEF_SELF_SCOUT_IMPORT'!$G$42:$G$1040,SUBSTITUTE(SUBSTITUTE(SUBSTITUTE($O724,"~","~~"),"*","~*"),"?","~?"),'DEF_SELF_SCOUT_IMPORT'!$J$42:$J$1040,"")&gt;0,"Unscored clean outcome; review result tags before using score.",IF(C724=0,"No matching defensive reps; film confirmation needed.",IF(K724="Explosive Alert","Explosive risk; review clips before using as answer.",IF(C724&lt;=2,"Track only; not enough sample.",IF(C724=3,IF(E724&gt;0,"Sample watch with explosive exposure; review clips and build the sample.",IF(J724&gt;=65,"Good signal, but sample is limited.","Sample watch; review clips and build the sample.")),IF(K724="Problem Call","Problem area; practice or call-sheet review.",IF(K724="Strong Candidate","Strong call-fit candidate; confirm on film.",IF(K724="Good Candidate","Good call-fit signal; confirm on film.","Mixed signal; review fit and execution on film."))))))))</f>
        <v>Track only; not enough sample.</v>
      </c>
      <c r="M724" s="8" t="s">
        <v>92</v>
      </c>
      <c r="N724" s="8" t="s">
        <v>120</v>
      </c>
      <c r="O724" s="8" t="s">
        <v>203</v>
      </c>
      <c r="P724" s="8"/>
      <c r="Q724" s="8"/>
      <c r="R724" s="8" t="s">
        <v>28</v>
      </c>
      <c r="S724" s="2" t="s">
        <v>371</v>
      </c>
      <c r="T724" s="2">
        <f>IF(C724=0,0,IF(C724&gt;=CALL_LOOKUP_BOARD!$B$7,IF(OR(K724="Problem Call",K724="Explosive Alert"),10000000,20000000),0)+IF(C724&gt;=CALL_LOOKUP_BOARD!$B$7,J724*1000+MIN(C724,999),C724*1000+J724)+0.00986400)</f>
        <v>1028.009864</v>
      </c>
      <c r="U724" s="2">
        <f>IF(C724=0,"",IF(COUNTIFS($S$589:$S$803,SUBSTITUTE(SUBSTITUTE(SUBSTITUTE(S724,"~","~~"),"*","~*"),"?","~?"),$T$589:$T$803,"&gt;"&amp;T724)=0,S724,""))</f>
        <v/>
      </c>
    </row>
    <row r="725" spans="1:21" ht="38" customHeight="1">
      <c r="A725" s="8" t="s">
        <v>370</v>
      </c>
      <c r="B725" s="8" t="s">
        <v>66</v>
      </c>
      <c r="C725" s="12">
        <f>COUNTIFS('DEF_SELF_SCOUT_IMPORT'!$L$42:$L$1040,"Y",'DEF_SELF_SCOUT_IMPORT'!$E$42:$E$1040,SUBSTITUTE(SUBSTITUTE(SUBSTITUTE($B725,"~","~~"),"*","~*"),"?","~?"),'DEF_SELF_SCOUT_IMPORT'!$Q$42:$Q$1040,SUBSTITUTE(SUBSTITUTE(SUBSTITUTE($M725,"~","~~"),"*","~*"),"?","~?"),'DEF_SELF_SCOUT_IMPORT'!$F$42:$F$1040,SUBSTITUTE(SUBSTITUTE(SUBSTITUTE($N725,"~","~~"),"*","~*"),"?","~?"),'DEF_SELF_SCOUT_IMPORT'!$G$42:$G$1040,SUBSTITUTE(SUBSTITUTE(SUBSTITUTE($O725,"~","~~"),"*","~*"),"?","~?"))</f>
        <v>1</v>
      </c>
      <c r="D725" s="10">
        <f>IF($C725=0,"",SUMIFS('DEF_SELF_SCOUT_IMPORT'!$J$42:$J$1040,'DEF_SELF_SCOUT_IMPORT'!$L$42:$L$1040,"Y",'DEF_SELF_SCOUT_IMPORT'!$E$42:$E$1040,SUBSTITUTE(SUBSTITUTE(SUBSTITUTE($B725,"~","~~"),"*","~*"),"?","~?"),'DEF_SELF_SCOUT_IMPORT'!$Q$42:$Q$1040,SUBSTITUTE(SUBSTITUTE(SUBSTITUTE($M725,"~","~~"),"*","~*"),"?","~?"),'DEF_SELF_SCOUT_IMPORT'!$F$42:$F$1040,SUBSTITUTE(SUBSTITUTE(SUBSTITUTE($N725,"~","~~"),"*","~*"),"?","~?"),'DEF_SELF_SCOUT_IMPORT'!$G$42:$G$1040,SUBSTITUTE(SUBSTITUTE(SUBSTITUTE($O725,"~","~~"),"*","~*"),"?","~?"))/$C725)</f>
        <v>0.0</v>
      </c>
      <c r="E725" s="10">
        <f>IF($C725=0,"",SUMIFS('DEF_SELF_SCOUT_IMPORT'!$K$42:$K$1040,'DEF_SELF_SCOUT_IMPORT'!$L$42:$L$1040,"Y",'DEF_SELF_SCOUT_IMPORT'!$E$42:$E$1040,SUBSTITUTE(SUBSTITUTE(SUBSTITUTE($B725,"~","~~"),"*","~*"),"?","~?"),'DEF_SELF_SCOUT_IMPORT'!$Q$42:$Q$1040,SUBSTITUTE(SUBSTITUTE(SUBSTITUTE($M725,"~","~~"),"*","~*"),"?","~?"),'DEF_SELF_SCOUT_IMPORT'!$F$42:$F$1040,SUBSTITUTE(SUBSTITUTE(SUBSTITUTE($N725,"~","~~"),"*","~*"),"?","~?"),'DEF_SELF_SCOUT_IMPORT'!$G$42:$G$1040,SUBSTITUTE(SUBSTITUTE(SUBSTITUTE($O725,"~","~~"),"*","~*"),"?","~?"))/$C725)</f>
        <v>0.0</v>
      </c>
      <c r="F725" s="11">
        <f>IF($C725=0,"",AVERAGEIFS('DEF_SELF_SCOUT_IMPORT'!$I$42:$I$1040,'DEF_SELF_SCOUT_IMPORT'!$L$42:$L$1040,"Y",'DEF_SELF_SCOUT_IMPORT'!$E$42:$E$1040,SUBSTITUTE(SUBSTITUTE(SUBSTITUTE($B725,"~","~~"),"*","~*"),"?","~?"),'DEF_SELF_SCOUT_IMPORT'!$Q$42:$Q$1040,SUBSTITUTE(SUBSTITUTE(SUBSTITUTE($M725,"~","~~"),"*","~*"),"?","~?"),'DEF_SELF_SCOUT_IMPORT'!$F$42:$F$1040,SUBSTITUTE(SUBSTITUTE(SUBSTITUTE($N725,"~","~~"),"*","~*"),"?","~?"),'DEF_SELF_SCOUT_IMPORT'!$G$42:$G$1040,SUBSTITUTE(SUBSTITUTE(SUBSTITUTE($O725,"~","~~"),"*","~*"),"?","~?")))</f>
        <v>1.0</v>
      </c>
      <c r="G725" s="10">
        <f>IF($C725=0,"",COUNTIFS('DEF_SELF_SCOUT_IMPORT'!$L$42:$L$1040,"Y",'DEF_SELF_SCOUT_IMPORT'!$E$42:$E$1040,SUBSTITUTE(SUBSTITUTE(SUBSTITUTE($B725,"~","~~"),"*","~*"),"?","~?"),'DEF_SELF_SCOUT_IMPORT'!$Q$42:$Q$1040,SUBSTITUTE(SUBSTITUTE(SUBSTITUTE($M725,"~","~~"),"*","~*"),"?","~?"),'DEF_SELF_SCOUT_IMPORT'!$F$42:$F$1040,SUBSTITUTE(SUBSTITUTE(SUBSTITUTE($N725,"~","~~"),"*","~*"),"?","~?"),'DEF_SELF_SCOUT_IMPORT'!$G$42:$G$1040,SUBSTITUTE(SUBSTITUTE(SUBSTITUTE($O725,"~","~~"),"*","~*"),"?","~?"),'DEF_SELF_SCOUT_IMPORT'!$H$42:$H$1040,"RUSH")/$C725)</f>
        <v>1.0</v>
      </c>
      <c r="H725" s="10">
        <f>IF($C725=0,"",COUNTIFS('DEF_SELF_SCOUT_IMPORT'!$L$42:$L$1040,"Y",'DEF_SELF_SCOUT_IMPORT'!$E$42:$E$1040,SUBSTITUTE(SUBSTITUTE(SUBSTITUTE($B725,"~","~~"),"*","~*"),"?","~?"),'DEF_SELF_SCOUT_IMPORT'!$Q$42:$Q$1040,SUBSTITUTE(SUBSTITUTE(SUBSTITUTE($M725,"~","~~"),"*","~*"),"?","~?"),'DEF_SELF_SCOUT_IMPORT'!$F$42:$F$1040,SUBSTITUTE(SUBSTITUTE(SUBSTITUTE($N725,"~","~~"),"*","~*"),"?","~?"),'DEF_SELF_SCOUT_IMPORT'!$G$42:$G$1040,SUBSTITUTE(SUBSTITUTE(SUBSTITUTE($O725,"~","~~"),"*","~*"),"?","~?"),'DEF_SELF_SCOUT_IMPORT'!$H$42:$H$1040,"DROPBACK")/$C725)</f>
        <v>0.0</v>
      </c>
      <c r="I725" s="14" t="str">
        <f>IF(C725=0,"",IF(C725&lt;=2,"TRACK",IF(C725=3,"LOW",IF(C725&lt;=6,"MEDIUM","HIGH"))))</f>
        <v>TRACK</v>
      </c>
      <c r="J725" s="11">
        <f>IF(C725=0,"",ROUND(D725*70+(1-E725)*20+MAX(0,MIN(1,(10-F725)/10))*10,1))</f>
        <v>29.0</v>
      </c>
      <c r="K725" s="14" t="str">
        <f>IF(C725=0,"No Evidence",IF(C725&lt;=2,IF(E725&gt;0,"Explosive Alert","Track Only"),IF(C725=3,"Sample Watch",IF(E725&gt;=START_HERE!$B$31,"Explosive Alert",IF(J725&gt;=80,"Strong Candidate",IF(J725&gt;=65,"Good Candidate",IF(J725&gt;=50,"Mixed / Review","Problem Call")))))))</f>
        <v>Track Only</v>
      </c>
      <c r="L725" s="9" t="str">
        <f>IF(COUNTIFS('DEF_SELF_SCOUT_IMPORT'!$L$42:$L$1040,"Y",'DEF_SELF_SCOUT_IMPORT'!$E$42:$E$1040,SUBSTITUTE(SUBSTITUTE(SUBSTITUTE($B725,"~","~~"),"*","~*"),"?","~?"),'DEF_SELF_SCOUT_IMPORT'!$Q$42:$Q$1040,SUBSTITUTE(SUBSTITUTE(SUBSTITUTE($M725,"~","~~"),"*","~*"),"?","~?"),'DEF_SELF_SCOUT_IMPORT'!$F$42:$F$1040,SUBSTITUTE(SUBSTITUTE(SUBSTITUTE($N725,"~","~~"),"*","~*"),"?","~?"),'DEF_SELF_SCOUT_IMPORT'!$G$42:$G$1040,SUBSTITUTE(SUBSTITUTE(SUBSTITUTE($O725,"~","~~"),"*","~*"),"?","~?"),'DEF_SELF_SCOUT_IMPORT'!$J$42:$J$1040,"")&gt;0,"Unscored clean outcome; review result tags before using score.",IF(C725=0,"No matching defensive reps; film confirmation needed.",IF(K725="Explosive Alert","Explosive risk; review clips before using as answer.",IF(C725&lt;=2,"Track only; not enough sample.",IF(C725=3,IF(E725&gt;0,"Sample watch with explosive exposure; review clips and build the sample.",IF(J725&gt;=65,"Good signal, but sample is limited.","Sample watch; review clips and build the sample.")),IF(K725="Problem Call","Problem area; practice or call-sheet review.",IF(K725="Strong Candidate","Strong call-fit candidate; confirm on film.",IF(K725="Good Candidate","Good call-fit signal; confirm on film.","Mixed signal; review fit and execution on film."))))))))</f>
        <v>Track only; not enough sample.</v>
      </c>
      <c r="M725" s="8" t="s">
        <v>92</v>
      </c>
      <c r="N725" s="8" t="s">
        <v>120</v>
      </c>
      <c r="O725" s="8" t="s">
        <v>203</v>
      </c>
      <c r="P725" s="8"/>
      <c r="Q725" s="8"/>
      <c r="R725" s="8" t="s">
        <v>28</v>
      </c>
      <c r="S725" s="2" t="s">
        <v>371</v>
      </c>
      <c r="T725" s="2">
        <f>IF(C725=0,0,IF(C725&gt;=CALL_LOOKUP_BOARD!$B$7,IF(OR(K725="Problem Call",K725="Explosive Alert"),10000000,20000000),0)+IF(C725&gt;=CALL_LOOKUP_BOARD!$B$7,J725*1000+MIN(C725,999),C725*1000+J725)+0.00986300)</f>
        <v>1029.009863</v>
      </c>
      <c r="U725" s="2">
        <f>IF(C725=0,"",IF(COUNTIFS($S$589:$S$803,SUBSTITUTE(SUBSTITUTE(SUBSTITUTE(S725,"~","~~"),"*","~*"),"?","~?"),$T$589:$T$803,"&gt;"&amp;T725)=0,S725,""))</f>
        <v/>
      </c>
    </row>
    <row r="726" spans="1:21" ht="38" customHeight="1">
      <c r="A726" s="8" t="s">
        <v>372</v>
      </c>
      <c r="B726" s="8" t="s">
        <v>77</v>
      </c>
      <c r="C726" s="12">
        <f>COUNTIFS('DEF_SELF_SCOUT_IMPORT'!$L$42:$L$1040,"Y",'DEF_SELF_SCOUT_IMPORT'!$E$42:$E$1040,SUBSTITUTE(SUBSTITUTE(SUBSTITUTE($B726,"~","~~"),"*","~*"),"?","~?"),'DEF_SELF_SCOUT_IMPORT'!$Q$42:$Q$1040,SUBSTITUTE(SUBSTITUTE(SUBSTITUTE($M726,"~","~~"),"*","~*"),"?","~?"),'DEF_SELF_SCOUT_IMPORT'!$F$42:$F$1040,SUBSTITUTE(SUBSTITUTE(SUBSTITUTE($N726,"~","~~"),"*","~*"),"?","~?"),'DEF_SELF_SCOUT_IMPORT'!$G$42:$G$1040,SUBSTITUTE(SUBSTITUTE(SUBSTITUTE($O726,"~","~~"),"*","~*"),"?","~?"))</f>
        <v>1</v>
      </c>
      <c r="D726" s="10">
        <f>IF($C726=0,"",SUMIFS('DEF_SELF_SCOUT_IMPORT'!$J$42:$J$1040,'DEF_SELF_SCOUT_IMPORT'!$L$42:$L$1040,"Y",'DEF_SELF_SCOUT_IMPORT'!$E$42:$E$1040,SUBSTITUTE(SUBSTITUTE(SUBSTITUTE($B726,"~","~~"),"*","~*"),"?","~?"),'DEF_SELF_SCOUT_IMPORT'!$Q$42:$Q$1040,SUBSTITUTE(SUBSTITUTE(SUBSTITUTE($M726,"~","~~"),"*","~*"),"?","~?"),'DEF_SELF_SCOUT_IMPORT'!$F$42:$F$1040,SUBSTITUTE(SUBSTITUTE(SUBSTITUTE($N726,"~","~~"),"*","~*"),"?","~?"),'DEF_SELF_SCOUT_IMPORT'!$G$42:$G$1040,SUBSTITUTE(SUBSTITUTE(SUBSTITUTE($O726,"~","~~"),"*","~*"),"?","~?"))/$C726)</f>
        <v>0.0</v>
      </c>
      <c r="E726" s="10">
        <f>IF($C726=0,"",SUMIFS('DEF_SELF_SCOUT_IMPORT'!$K$42:$K$1040,'DEF_SELF_SCOUT_IMPORT'!$L$42:$L$1040,"Y",'DEF_SELF_SCOUT_IMPORT'!$E$42:$E$1040,SUBSTITUTE(SUBSTITUTE(SUBSTITUTE($B726,"~","~~"),"*","~*"),"?","~?"),'DEF_SELF_SCOUT_IMPORT'!$Q$42:$Q$1040,SUBSTITUTE(SUBSTITUTE(SUBSTITUTE($M726,"~","~~"),"*","~*"),"?","~?"),'DEF_SELF_SCOUT_IMPORT'!$F$42:$F$1040,SUBSTITUTE(SUBSTITUTE(SUBSTITUTE($N726,"~","~~"),"*","~*"),"?","~?"),'DEF_SELF_SCOUT_IMPORT'!$G$42:$G$1040,SUBSTITUTE(SUBSTITUTE(SUBSTITUTE($O726,"~","~~"),"*","~*"),"?","~?"))/$C726)</f>
        <v>0.0</v>
      </c>
      <c r="F726" s="11">
        <f>IF($C726=0,"",AVERAGEIFS('DEF_SELF_SCOUT_IMPORT'!$I$42:$I$1040,'DEF_SELF_SCOUT_IMPORT'!$L$42:$L$1040,"Y",'DEF_SELF_SCOUT_IMPORT'!$E$42:$E$1040,SUBSTITUTE(SUBSTITUTE(SUBSTITUTE($B726,"~","~~"),"*","~*"),"?","~?"),'DEF_SELF_SCOUT_IMPORT'!$Q$42:$Q$1040,SUBSTITUTE(SUBSTITUTE(SUBSTITUTE($M726,"~","~~"),"*","~*"),"?","~?"),'DEF_SELF_SCOUT_IMPORT'!$F$42:$F$1040,SUBSTITUTE(SUBSTITUTE(SUBSTITUTE($N726,"~","~~"),"*","~*"),"?","~?"),'DEF_SELF_SCOUT_IMPORT'!$G$42:$G$1040,SUBSTITUTE(SUBSTITUTE(SUBSTITUTE($O726,"~","~~"),"*","~*"),"?","~?")))</f>
        <v>1.0</v>
      </c>
      <c r="G726" s="10">
        <f>IF($C726=0,"",COUNTIFS('DEF_SELF_SCOUT_IMPORT'!$L$42:$L$1040,"Y",'DEF_SELF_SCOUT_IMPORT'!$E$42:$E$1040,SUBSTITUTE(SUBSTITUTE(SUBSTITUTE($B726,"~","~~"),"*","~*"),"?","~?"),'DEF_SELF_SCOUT_IMPORT'!$Q$42:$Q$1040,SUBSTITUTE(SUBSTITUTE(SUBSTITUTE($M726,"~","~~"),"*","~*"),"?","~?"),'DEF_SELF_SCOUT_IMPORT'!$F$42:$F$1040,SUBSTITUTE(SUBSTITUTE(SUBSTITUTE($N726,"~","~~"),"*","~*"),"?","~?"),'DEF_SELF_SCOUT_IMPORT'!$G$42:$G$1040,SUBSTITUTE(SUBSTITUTE(SUBSTITUTE($O726,"~","~~"),"*","~*"),"?","~?"),'DEF_SELF_SCOUT_IMPORT'!$H$42:$H$1040,"RUSH")/$C726)</f>
        <v>1.0</v>
      </c>
      <c r="H726" s="10">
        <f>IF($C726=0,"",COUNTIFS('DEF_SELF_SCOUT_IMPORT'!$L$42:$L$1040,"Y",'DEF_SELF_SCOUT_IMPORT'!$E$42:$E$1040,SUBSTITUTE(SUBSTITUTE(SUBSTITUTE($B726,"~","~~"),"*","~*"),"?","~?"),'DEF_SELF_SCOUT_IMPORT'!$Q$42:$Q$1040,SUBSTITUTE(SUBSTITUTE(SUBSTITUTE($M726,"~","~~"),"*","~*"),"?","~?"),'DEF_SELF_SCOUT_IMPORT'!$F$42:$F$1040,SUBSTITUTE(SUBSTITUTE(SUBSTITUTE($N726,"~","~~"),"*","~*"),"?","~?"),'DEF_SELF_SCOUT_IMPORT'!$G$42:$G$1040,SUBSTITUTE(SUBSTITUTE(SUBSTITUTE($O726,"~","~~"),"*","~*"),"?","~?"),'DEF_SELF_SCOUT_IMPORT'!$H$42:$H$1040,"DROPBACK")/$C726)</f>
        <v>0.0</v>
      </c>
      <c r="I726" s="14" t="str">
        <f>IF(C726=0,"",IF(C726&lt;=2,"TRACK",IF(C726=3,"LOW",IF(C726&lt;=6,"MEDIUM","HIGH"))))</f>
        <v>TRACK</v>
      </c>
      <c r="J726" s="11">
        <f>IF(C726=0,"",ROUND(D726*70+(1-E726)*20+MAX(0,MIN(1,(10-F726)/10))*10,1))</f>
        <v>29.0</v>
      </c>
      <c r="K726" s="14" t="str">
        <f>IF(C726=0,"No Evidence",IF(C726&lt;=2,IF(E726&gt;0,"Explosive Alert","Track Only"),IF(C726=3,"Sample Watch",IF(E726&gt;=START_HERE!$B$31,"Explosive Alert",IF(J726&gt;=80,"Strong Candidate",IF(J726&gt;=65,"Good Candidate",IF(J726&gt;=50,"Mixed / Review","Problem Call")))))))</f>
        <v>Track Only</v>
      </c>
      <c r="L726" s="9" t="str">
        <f>IF(COUNTIFS('DEF_SELF_SCOUT_IMPORT'!$L$42:$L$1040,"Y",'DEF_SELF_SCOUT_IMPORT'!$E$42:$E$1040,SUBSTITUTE(SUBSTITUTE(SUBSTITUTE($B726,"~","~~"),"*","~*"),"?","~?"),'DEF_SELF_SCOUT_IMPORT'!$Q$42:$Q$1040,SUBSTITUTE(SUBSTITUTE(SUBSTITUTE($M726,"~","~~"),"*","~*"),"?","~?"),'DEF_SELF_SCOUT_IMPORT'!$F$42:$F$1040,SUBSTITUTE(SUBSTITUTE(SUBSTITUTE($N726,"~","~~"),"*","~*"),"?","~?"),'DEF_SELF_SCOUT_IMPORT'!$G$42:$G$1040,SUBSTITUTE(SUBSTITUTE(SUBSTITUTE($O726,"~","~~"),"*","~*"),"?","~?"),'DEF_SELF_SCOUT_IMPORT'!$J$42:$J$1040,"")&gt;0,"Unscored clean outcome; review result tags before using score.",IF(C726=0,"No matching defensive reps; film confirmation needed.",IF(K726="Explosive Alert","Explosive risk; review clips before using as answer.",IF(C726&lt;=2,"Track only; not enough sample.",IF(C726=3,IF(E726&gt;0,"Sample watch with explosive exposure; review clips and build the sample.",IF(J726&gt;=65,"Good signal, but sample is limited.","Sample watch; review clips and build the sample.")),IF(K726="Problem Call","Problem area; practice or call-sheet review.",IF(K726="Strong Candidate","Strong call-fit candidate; confirm on film.",IF(K726="Good Candidate","Good call-fit signal; confirm on film.","Mixed signal; review fit and execution on film."))))))))</f>
        <v>Track only; not enough sample.</v>
      </c>
      <c r="M726" s="8" t="s">
        <v>92</v>
      </c>
      <c r="N726" s="8" t="s">
        <v>120</v>
      </c>
      <c r="O726" s="8" t="s">
        <v>206</v>
      </c>
      <c r="P726" s="8"/>
      <c r="Q726" s="8"/>
      <c r="R726" s="8" t="s">
        <v>28</v>
      </c>
      <c r="S726" s="2" t="s">
        <v>373</v>
      </c>
      <c r="T726" s="2">
        <f>IF(C726=0,0,IF(C726&gt;=CALL_LOOKUP_BOARD!$B$7,IF(OR(K726="Problem Call",K726="Explosive Alert"),10000000,20000000),0)+IF(C726&gt;=CALL_LOOKUP_BOARD!$B$7,J726*1000+MIN(C726,999),C726*1000+J726)+0.00986200)</f>
        <v>1029.009862</v>
      </c>
      <c r="U726" s="2" t="str">
        <f>IF(C726=0,"",IF(COUNTIFS($S$589:$S$803,SUBSTITUTE(SUBSTITUTE(SUBSTITUTE(S726,"~","~~"),"*","~*"),"?","~?"),$T$589:$T$803,"&gt;"&amp;T726)=0,S726,""))</f>
        <v>6:3D 1-3|2:11|3:3X1|</v>
      </c>
    </row>
    <row r="727" spans="1:21" ht="38" customHeight="1">
      <c r="A727" s="8" t="s">
        <v>374</v>
      </c>
      <c r="B727" s="8" t="s">
        <v>95</v>
      </c>
      <c r="C727" s="12">
        <f>COUNTIFS('DEF_SELF_SCOUT_IMPORT'!$L$42:$L$1040,"Y",'DEF_SELF_SCOUT_IMPORT'!$E$42:$E$1040,SUBSTITUTE(SUBSTITUTE(SUBSTITUTE($B727,"~","~~"),"*","~*"),"?","~?"),'DEF_SELF_SCOUT_IMPORT'!$Q$42:$Q$1040,SUBSTITUTE(SUBSTITUTE(SUBSTITUTE($M727,"~","~~"),"*","~*"),"?","~?"),'DEF_SELF_SCOUT_IMPORT'!$F$42:$F$1040,SUBSTITUTE(SUBSTITUTE(SUBSTITUTE($N727,"~","~~"),"*","~*"),"?","~?"),'DEF_SELF_SCOUT_IMPORT'!$G$42:$G$1040,SUBSTITUTE(SUBSTITUTE(SUBSTITUTE($O727,"~","~~"),"*","~*"),"?","~?"))</f>
        <v>1</v>
      </c>
      <c r="D727" s="10">
        <f>IF($C727=0,"",SUMIFS('DEF_SELF_SCOUT_IMPORT'!$J$42:$J$1040,'DEF_SELF_SCOUT_IMPORT'!$L$42:$L$1040,"Y",'DEF_SELF_SCOUT_IMPORT'!$E$42:$E$1040,SUBSTITUTE(SUBSTITUTE(SUBSTITUTE($B727,"~","~~"),"*","~*"),"?","~?"),'DEF_SELF_SCOUT_IMPORT'!$Q$42:$Q$1040,SUBSTITUTE(SUBSTITUTE(SUBSTITUTE($M727,"~","~~"),"*","~*"),"?","~?"),'DEF_SELF_SCOUT_IMPORT'!$F$42:$F$1040,SUBSTITUTE(SUBSTITUTE(SUBSTITUTE($N727,"~","~~"),"*","~*"),"?","~?"),'DEF_SELF_SCOUT_IMPORT'!$G$42:$G$1040,SUBSTITUTE(SUBSTITUTE(SUBSTITUTE($O727,"~","~~"),"*","~*"),"?","~?"))/$C727)</f>
        <v>0.0</v>
      </c>
      <c r="E727" s="10">
        <f>IF($C727=0,"",SUMIFS('DEF_SELF_SCOUT_IMPORT'!$K$42:$K$1040,'DEF_SELF_SCOUT_IMPORT'!$L$42:$L$1040,"Y",'DEF_SELF_SCOUT_IMPORT'!$E$42:$E$1040,SUBSTITUTE(SUBSTITUTE(SUBSTITUTE($B727,"~","~~"),"*","~*"),"?","~?"),'DEF_SELF_SCOUT_IMPORT'!$Q$42:$Q$1040,SUBSTITUTE(SUBSTITUTE(SUBSTITUTE($M727,"~","~~"),"*","~*"),"?","~?"),'DEF_SELF_SCOUT_IMPORT'!$F$42:$F$1040,SUBSTITUTE(SUBSTITUTE(SUBSTITUTE($N727,"~","~~"),"*","~*"),"?","~?"),'DEF_SELF_SCOUT_IMPORT'!$G$42:$G$1040,SUBSTITUTE(SUBSTITUTE(SUBSTITUTE($O727,"~","~~"),"*","~*"),"?","~?"))/$C727)</f>
        <v>0.0</v>
      </c>
      <c r="F727" s="11">
        <f>IF($C727=0,"",AVERAGEIFS('DEF_SELF_SCOUT_IMPORT'!$I$42:$I$1040,'DEF_SELF_SCOUT_IMPORT'!$L$42:$L$1040,"Y",'DEF_SELF_SCOUT_IMPORT'!$E$42:$E$1040,SUBSTITUTE(SUBSTITUTE(SUBSTITUTE($B727,"~","~~"),"*","~*"),"?","~?"),'DEF_SELF_SCOUT_IMPORT'!$Q$42:$Q$1040,SUBSTITUTE(SUBSTITUTE(SUBSTITUTE($M727,"~","~~"),"*","~*"),"?","~?"),'DEF_SELF_SCOUT_IMPORT'!$F$42:$F$1040,SUBSTITUTE(SUBSTITUTE(SUBSTITUTE($N727,"~","~~"),"*","~*"),"?","~?"),'DEF_SELF_SCOUT_IMPORT'!$G$42:$G$1040,SUBSTITUTE(SUBSTITUTE(SUBSTITUTE($O727,"~","~~"),"*","~*"),"?","~?")))</f>
        <v>6.0</v>
      </c>
      <c r="G727" s="10">
        <f>IF($C727=0,"",COUNTIFS('DEF_SELF_SCOUT_IMPORT'!$L$42:$L$1040,"Y",'DEF_SELF_SCOUT_IMPORT'!$E$42:$E$1040,SUBSTITUTE(SUBSTITUTE(SUBSTITUTE($B727,"~","~~"),"*","~*"),"?","~?"),'DEF_SELF_SCOUT_IMPORT'!$Q$42:$Q$1040,SUBSTITUTE(SUBSTITUTE(SUBSTITUTE($M727,"~","~~"),"*","~*"),"?","~?"),'DEF_SELF_SCOUT_IMPORT'!$F$42:$F$1040,SUBSTITUTE(SUBSTITUTE(SUBSTITUTE($N727,"~","~~"),"*","~*"),"?","~?"),'DEF_SELF_SCOUT_IMPORT'!$G$42:$G$1040,SUBSTITUTE(SUBSTITUTE(SUBSTITUTE($O727,"~","~~"),"*","~*"),"?","~?"),'DEF_SELF_SCOUT_IMPORT'!$H$42:$H$1040,"RUSH")/$C727)</f>
        <v>1.0</v>
      </c>
      <c r="H727" s="10">
        <f>IF($C727=0,"",COUNTIFS('DEF_SELF_SCOUT_IMPORT'!$L$42:$L$1040,"Y",'DEF_SELF_SCOUT_IMPORT'!$E$42:$E$1040,SUBSTITUTE(SUBSTITUTE(SUBSTITUTE($B727,"~","~~"),"*","~*"),"?","~?"),'DEF_SELF_SCOUT_IMPORT'!$Q$42:$Q$1040,SUBSTITUTE(SUBSTITUTE(SUBSTITUTE($M727,"~","~~"),"*","~*"),"?","~?"),'DEF_SELF_SCOUT_IMPORT'!$F$42:$F$1040,SUBSTITUTE(SUBSTITUTE(SUBSTITUTE($N727,"~","~~"),"*","~*"),"?","~?"),'DEF_SELF_SCOUT_IMPORT'!$G$42:$G$1040,SUBSTITUTE(SUBSTITUTE(SUBSTITUTE($O727,"~","~~"),"*","~*"),"?","~?"),'DEF_SELF_SCOUT_IMPORT'!$H$42:$H$1040,"DROPBACK")/$C727)</f>
        <v>0.0</v>
      </c>
      <c r="I727" s="14" t="str">
        <f>IF(C727=0,"",IF(C727&lt;=2,"TRACK",IF(C727=3,"LOW",IF(C727&lt;=6,"MEDIUM","HIGH"))))</f>
        <v>TRACK</v>
      </c>
      <c r="J727" s="11">
        <f>IF(C727=0,"",ROUND(D727*70+(1-E727)*20+MAX(0,MIN(1,(10-F727)/10))*10,1))</f>
        <v>24.0</v>
      </c>
      <c r="K727" s="14" t="str">
        <f>IF(C727=0,"No Evidence",IF(C727&lt;=2,IF(E727&gt;0,"Explosive Alert","Track Only"),IF(C727=3,"Sample Watch",IF(E727&gt;=START_HERE!$B$31,"Explosive Alert",IF(J727&gt;=80,"Strong Candidate",IF(J727&gt;=65,"Good Candidate",IF(J727&gt;=50,"Mixed / Review","Problem Call")))))))</f>
        <v>Track Only</v>
      </c>
      <c r="L727" s="9" t="str">
        <f>IF(COUNTIFS('DEF_SELF_SCOUT_IMPORT'!$L$42:$L$1040,"Y",'DEF_SELF_SCOUT_IMPORT'!$E$42:$E$1040,SUBSTITUTE(SUBSTITUTE(SUBSTITUTE($B727,"~","~~"),"*","~*"),"?","~?"),'DEF_SELF_SCOUT_IMPORT'!$Q$42:$Q$1040,SUBSTITUTE(SUBSTITUTE(SUBSTITUTE($M727,"~","~~"),"*","~*"),"?","~?"),'DEF_SELF_SCOUT_IMPORT'!$F$42:$F$1040,SUBSTITUTE(SUBSTITUTE(SUBSTITUTE($N727,"~","~~"),"*","~*"),"?","~?"),'DEF_SELF_SCOUT_IMPORT'!$G$42:$G$1040,SUBSTITUTE(SUBSTITUTE(SUBSTITUTE($O727,"~","~~"),"*","~*"),"?","~?"),'DEF_SELF_SCOUT_IMPORT'!$J$42:$J$1040,"")&gt;0,"Unscored clean outcome; review result tags before using score.",IF(C727=0,"No matching defensive reps; film confirmation needed.",IF(K727="Explosive Alert","Explosive risk; review clips before using as answer.",IF(C727&lt;=2,"Track only; not enough sample.",IF(C727=3,IF(E727&gt;0,"Sample watch with explosive exposure; review clips and build the sample.",IF(J727&gt;=65,"Good signal, but sample is limited.","Sample watch; review clips and build the sample.")),IF(K727="Problem Call","Problem area; practice or call-sheet review.",IF(K727="Strong Candidate","Strong call-fit candidate; confirm on film.",IF(K727="Good Candidate","Good call-fit signal; confirm on film.","Mixed signal; review fit and execution on film."))))))))</f>
        <v>Track only; not enough sample.</v>
      </c>
      <c r="M727" s="8" t="s">
        <v>92</v>
      </c>
      <c r="N727" s="8" t="s">
        <v>123</v>
      </c>
      <c r="O727" s="8" t="s">
        <v>203</v>
      </c>
      <c r="P727" s="8"/>
      <c r="Q727" s="8"/>
      <c r="R727" s="8" t="s">
        <v>28</v>
      </c>
      <c r="S727" s="2" t="s">
        <v>375</v>
      </c>
      <c r="T727" s="2">
        <f>IF(C727=0,0,IF(C727&gt;=CALL_LOOKUP_BOARD!$B$7,IF(OR(K727="Problem Call",K727="Explosive Alert"),10000000,20000000),0)+IF(C727&gt;=CALL_LOOKUP_BOARD!$B$7,J727*1000+MIN(C727,999),C727*1000+J727)+0.00986100)</f>
        <v>1024.009861</v>
      </c>
      <c r="U727" s="2">
        <f>IF(C727=0,"",IF(COUNTIFS($S$589:$S$803,SUBSTITUTE(SUBSTITUTE(SUBSTITUTE(S727,"~","~~"),"*","~*"),"?","~?"),$T$589:$T$803,"&gt;"&amp;T727)=0,S727,""))</f>
        <v/>
      </c>
    </row>
    <row r="728" spans="1:21" ht="38" customHeight="1">
      <c r="A728" s="8" t="s">
        <v>374</v>
      </c>
      <c r="B728" s="8" t="s">
        <v>35</v>
      </c>
      <c r="C728" s="12">
        <f>COUNTIFS('DEF_SELF_SCOUT_IMPORT'!$L$42:$L$1040,"Y",'DEF_SELF_SCOUT_IMPORT'!$E$42:$E$1040,SUBSTITUTE(SUBSTITUTE(SUBSTITUTE($B728,"~","~~"),"*","~*"),"?","~?"),'DEF_SELF_SCOUT_IMPORT'!$Q$42:$Q$1040,SUBSTITUTE(SUBSTITUTE(SUBSTITUTE($M728,"~","~~"),"*","~*"),"?","~?"),'DEF_SELF_SCOUT_IMPORT'!$F$42:$F$1040,SUBSTITUTE(SUBSTITUTE(SUBSTITUTE($N728,"~","~~"),"*","~*"),"?","~?"),'DEF_SELF_SCOUT_IMPORT'!$G$42:$G$1040,SUBSTITUTE(SUBSTITUTE(SUBSTITUTE($O728,"~","~~"),"*","~*"),"?","~?"))</f>
        <v>1</v>
      </c>
      <c r="D728" s="10">
        <f>IF($C728=0,"",SUMIFS('DEF_SELF_SCOUT_IMPORT'!$J$42:$J$1040,'DEF_SELF_SCOUT_IMPORT'!$L$42:$L$1040,"Y",'DEF_SELF_SCOUT_IMPORT'!$E$42:$E$1040,SUBSTITUTE(SUBSTITUTE(SUBSTITUTE($B728,"~","~~"),"*","~*"),"?","~?"),'DEF_SELF_SCOUT_IMPORT'!$Q$42:$Q$1040,SUBSTITUTE(SUBSTITUTE(SUBSTITUTE($M728,"~","~~"),"*","~*"),"?","~?"),'DEF_SELF_SCOUT_IMPORT'!$F$42:$F$1040,SUBSTITUTE(SUBSTITUTE(SUBSTITUTE($N728,"~","~~"),"*","~*"),"?","~?"),'DEF_SELF_SCOUT_IMPORT'!$G$42:$G$1040,SUBSTITUTE(SUBSTITUTE(SUBSTITUTE($O728,"~","~~"),"*","~*"),"?","~?"))/$C728)</f>
        <v>0.0</v>
      </c>
      <c r="E728" s="10">
        <f>IF($C728=0,"",SUMIFS('DEF_SELF_SCOUT_IMPORT'!$K$42:$K$1040,'DEF_SELF_SCOUT_IMPORT'!$L$42:$L$1040,"Y",'DEF_SELF_SCOUT_IMPORT'!$E$42:$E$1040,SUBSTITUTE(SUBSTITUTE(SUBSTITUTE($B728,"~","~~"),"*","~*"),"?","~?"),'DEF_SELF_SCOUT_IMPORT'!$Q$42:$Q$1040,SUBSTITUTE(SUBSTITUTE(SUBSTITUTE($M728,"~","~~"),"*","~*"),"?","~?"),'DEF_SELF_SCOUT_IMPORT'!$F$42:$F$1040,SUBSTITUTE(SUBSTITUTE(SUBSTITUTE($N728,"~","~~"),"*","~*"),"?","~?"),'DEF_SELF_SCOUT_IMPORT'!$G$42:$G$1040,SUBSTITUTE(SUBSTITUTE(SUBSTITUTE($O728,"~","~~"),"*","~*"),"?","~?"))/$C728)</f>
        <v>0.0</v>
      </c>
      <c r="F728" s="11">
        <f>IF($C728=0,"",AVERAGEIFS('DEF_SELF_SCOUT_IMPORT'!$I$42:$I$1040,'DEF_SELF_SCOUT_IMPORT'!$L$42:$L$1040,"Y",'DEF_SELF_SCOUT_IMPORT'!$E$42:$E$1040,SUBSTITUTE(SUBSTITUTE(SUBSTITUTE($B728,"~","~~"),"*","~*"),"?","~?"),'DEF_SELF_SCOUT_IMPORT'!$Q$42:$Q$1040,SUBSTITUTE(SUBSTITUTE(SUBSTITUTE($M728,"~","~~"),"*","~*"),"?","~?"),'DEF_SELF_SCOUT_IMPORT'!$F$42:$F$1040,SUBSTITUTE(SUBSTITUTE(SUBSTITUTE($N728,"~","~~"),"*","~*"),"?","~?"),'DEF_SELF_SCOUT_IMPORT'!$G$42:$G$1040,SUBSTITUTE(SUBSTITUTE(SUBSTITUTE($O728,"~","~~"),"*","~*"),"?","~?")))</f>
        <v>5.0</v>
      </c>
      <c r="G728" s="10">
        <f>IF($C728=0,"",COUNTIFS('DEF_SELF_SCOUT_IMPORT'!$L$42:$L$1040,"Y",'DEF_SELF_SCOUT_IMPORT'!$E$42:$E$1040,SUBSTITUTE(SUBSTITUTE(SUBSTITUTE($B728,"~","~~"),"*","~*"),"?","~?"),'DEF_SELF_SCOUT_IMPORT'!$Q$42:$Q$1040,SUBSTITUTE(SUBSTITUTE(SUBSTITUTE($M728,"~","~~"),"*","~*"),"?","~?"),'DEF_SELF_SCOUT_IMPORT'!$F$42:$F$1040,SUBSTITUTE(SUBSTITUTE(SUBSTITUTE($N728,"~","~~"),"*","~*"),"?","~?"),'DEF_SELF_SCOUT_IMPORT'!$G$42:$G$1040,SUBSTITUTE(SUBSTITUTE(SUBSTITUTE($O728,"~","~~"),"*","~*"),"?","~?"),'DEF_SELF_SCOUT_IMPORT'!$H$42:$H$1040,"RUSH")/$C728)</f>
        <v>1.0</v>
      </c>
      <c r="H728" s="10">
        <f>IF($C728=0,"",COUNTIFS('DEF_SELF_SCOUT_IMPORT'!$L$42:$L$1040,"Y",'DEF_SELF_SCOUT_IMPORT'!$E$42:$E$1040,SUBSTITUTE(SUBSTITUTE(SUBSTITUTE($B728,"~","~~"),"*","~*"),"?","~?"),'DEF_SELF_SCOUT_IMPORT'!$Q$42:$Q$1040,SUBSTITUTE(SUBSTITUTE(SUBSTITUTE($M728,"~","~~"),"*","~*"),"?","~?"),'DEF_SELF_SCOUT_IMPORT'!$F$42:$F$1040,SUBSTITUTE(SUBSTITUTE(SUBSTITUTE($N728,"~","~~"),"*","~*"),"?","~?"),'DEF_SELF_SCOUT_IMPORT'!$G$42:$G$1040,SUBSTITUTE(SUBSTITUTE(SUBSTITUTE($O728,"~","~~"),"*","~*"),"?","~?"),'DEF_SELF_SCOUT_IMPORT'!$H$42:$H$1040,"DROPBACK")/$C728)</f>
        <v>0.0</v>
      </c>
      <c r="I728" s="14" t="str">
        <f>IF(C728=0,"",IF(C728&lt;=2,"TRACK",IF(C728=3,"LOW",IF(C728&lt;=6,"MEDIUM","HIGH"))))</f>
        <v>TRACK</v>
      </c>
      <c r="J728" s="11">
        <f>IF(C728=0,"",ROUND(D728*70+(1-E728)*20+MAX(0,MIN(1,(10-F728)/10))*10,1))</f>
        <v>25.0</v>
      </c>
      <c r="K728" s="14" t="str">
        <f>IF(C728=0,"No Evidence",IF(C728&lt;=2,IF(E728&gt;0,"Explosive Alert","Track Only"),IF(C728=3,"Sample Watch",IF(E728&gt;=START_HERE!$B$31,"Explosive Alert",IF(J728&gt;=80,"Strong Candidate",IF(J728&gt;=65,"Good Candidate",IF(J728&gt;=50,"Mixed / Review","Problem Call")))))))</f>
        <v>Track Only</v>
      </c>
      <c r="L728" s="9" t="str">
        <f>IF(COUNTIFS('DEF_SELF_SCOUT_IMPORT'!$L$42:$L$1040,"Y",'DEF_SELF_SCOUT_IMPORT'!$E$42:$E$1040,SUBSTITUTE(SUBSTITUTE(SUBSTITUTE($B728,"~","~~"),"*","~*"),"?","~?"),'DEF_SELF_SCOUT_IMPORT'!$Q$42:$Q$1040,SUBSTITUTE(SUBSTITUTE(SUBSTITUTE($M728,"~","~~"),"*","~*"),"?","~?"),'DEF_SELF_SCOUT_IMPORT'!$F$42:$F$1040,SUBSTITUTE(SUBSTITUTE(SUBSTITUTE($N728,"~","~~"),"*","~*"),"?","~?"),'DEF_SELF_SCOUT_IMPORT'!$G$42:$G$1040,SUBSTITUTE(SUBSTITUTE(SUBSTITUTE($O728,"~","~~"),"*","~*"),"?","~?"),'DEF_SELF_SCOUT_IMPORT'!$J$42:$J$1040,"")&gt;0,"Unscored clean outcome; review result tags before using score.",IF(C728=0,"No matching defensive reps; film confirmation needed.",IF(K728="Explosive Alert","Explosive risk; review clips before using as answer.",IF(C728&lt;=2,"Track only; not enough sample.",IF(C728=3,IF(E728&gt;0,"Sample watch with explosive exposure; review clips and build the sample.",IF(J728&gt;=65,"Good signal, but sample is limited.","Sample watch; review clips and build the sample.")),IF(K728="Problem Call","Problem area; practice or call-sheet review.",IF(K728="Strong Candidate","Strong call-fit candidate; confirm on film.",IF(K728="Good Candidate","Good call-fit signal; confirm on film.","Mixed signal; review fit and execution on film."))))))))</f>
        <v>Track only; not enough sample.</v>
      </c>
      <c r="M728" s="8" t="s">
        <v>92</v>
      </c>
      <c r="N728" s="8" t="s">
        <v>123</v>
      </c>
      <c r="O728" s="8" t="s">
        <v>203</v>
      </c>
      <c r="P728" s="8"/>
      <c r="Q728" s="8"/>
      <c r="R728" s="8" t="s">
        <v>28</v>
      </c>
      <c r="S728" s="2" t="s">
        <v>375</v>
      </c>
      <c r="T728" s="2">
        <f>IF(C728=0,0,IF(C728&gt;=CALL_LOOKUP_BOARD!$B$7,IF(OR(K728="Problem Call",K728="Explosive Alert"),10000000,20000000),0)+IF(C728&gt;=CALL_LOOKUP_BOARD!$B$7,J728*1000+MIN(C728,999),C728*1000+J728)+0.00986000)</f>
        <v>1025.00986</v>
      </c>
      <c r="U728" s="2" t="str">
        <f>IF(C728=0,"",IF(COUNTIFS($S$589:$S$803,SUBSTITUTE(SUBSTITUTE(SUBSTITUTE(S728,"~","~~"),"*","~*"),"?","~?"),$T$589:$T$803,"&gt;"&amp;T728)=0,S728,""))</f>
        <v>6:3D 1-3|2:12|3:2X2|</v>
      </c>
    </row>
    <row r="729" spans="1:21" ht="38" customHeight="1">
      <c r="A729" s="8" t="s">
        <v>376</v>
      </c>
      <c r="B729" s="8" t="s">
        <v>97</v>
      </c>
      <c r="C729" s="12">
        <f>COUNTIFS('DEF_SELF_SCOUT_IMPORT'!$L$42:$L$1040,"Y",'DEF_SELF_SCOUT_IMPORT'!$E$42:$E$1040,SUBSTITUTE(SUBSTITUTE(SUBSTITUTE($B729,"~","~~"),"*","~*"),"?","~?"),'DEF_SELF_SCOUT_IMPORT'!$Q$42:$Q$1040,SUBSTITUTE(SUBSTITUTE(SUBSTITUTE($M729,"~","~~"),"*","~*"),"?","~?"),'DEF_SELF_SCOUT_IMPORT'!$F$42:$F$1040,SUBSTITUTE(SUBSTITUTE(SUBSTITUTE($N729,"~","~~"),"*","~*"),"?","~?"),'DEF_SELF_SCOUT_IMPORT'!$G$42:$G$1040,SUBSTITUTE(SUBSTITUTE(SUBSTITUTE($O729,"~","~~"),"*","~*"),"?","~?"))</f>
        <v>1</v>
      </c>
      <c r="D729" s="10">
        <f>IF($C729=0,"",SUMIFS('DEF_SELF_SCOUT_IMPORT'!$J$42:$J$1040,'DEF_SELF_SCOUT_IMPORT'!$L$42:$L$1040,"Y",'DEF_SELF_SCOUT_IMPORT'!$E$42:$E$1040,SUBSTITUTE(SUBSTITUTE(SUBSTITUTE($B729,"~","~~"),"*","~*"),"?","~?"),'DEF_SELF_SCOUT_IMPORT'!$Q$42:$Q$1040,SUBSTITUTE(SUBSTITUTE(SUBSTITUTE($M729,"~","~~"),"*","~*"),"?","~?"),'DEF_SELF_SCOUT_IMPORT'!$F$42:$F$1040,SUBSTITUTE(SUBSTITUTE(SUBSTITUTE($N729,"~","~~"),"*","~*"),"?","~?"),'DEF_SELF_SCOUT_IMPORT'!$G$42:$G$1040,SUBSTITUTE(SUBSTITUTE(SUBSTITUTE($O729,"~","~~"),"*","~*"),"?","~?"))/$C729)</f>
        <v>1.0</v>
      </c>
      <c r="E729" s="10">
        <f>IF($C729=0,"",SUMIFS('DEF_SELF_SCOUT_IMPORT'!$K$42:$K$1040,'DEF_SELF_SCOUT_IMPORT'!$L$42:$L$1040,"Y",'DEF_SELF_SCOUT_IMPORT'!$E$42:$E$1040,SUBSTITUTE(SUBSTITUTE(SUBSTITUTE($B729,"~","~~"),"*","~*"),"?","~?"),'DEF_SELF_SCOUT_IMPORT'!$Q$42:$Q$1040,SUBSTITUTE(SUBSTITUTE(SUBSTITUTE($M729,"~","~~"),"*","~*"),"?","~?"),'DEF_SELF_SCOUT_IMPORT'!$F$42:$F$1040,SUBSTITUTE(SUBSTITUTE(SUBSTITUTE($N729,"~","~~"),"*","~*"),"?","~?"),'DEF_SELF_SCOUT_IMPORT'!$G$42:$G$1040,SUBSTITUTE(SUBSTITUTE(SUBSTITUTE($O729,"~","~~"),"*","~*"),"?","~?"))/$C729)</f>
        <v>0.0</v>
      </c>
      <c r="F729" s="11">
        <f>IF($C729=0,"",AVERAGEIFS('DEF_SELF_SCOUT_IMPORT'!$I$42:$I$1040,'DEF_SELF_SCOUT_IMPORT'!$L$42:$L$1040,"Y",'DEF_SELF_SCOUT_IMPORT'!$E$42:$E$1040,SUBSTITUTE(SUBSTITUTE(SUBSTITUTE($B729,"~","~~"),"*","~*"),"?","~?"),'DEF_SELF_SCOUT_IMPORT'!$Q$42:$Q$1040,SUBSTITUTE(SUBSTITUTE(SUBSTITUTE($M729,"~","~~"),"*","~*"),"?","~?"),'DEF_SELF_SCOUT_IMPORT'!$F$42:$F$1040,SUBSTITUTE(SUBSTITUTE(SUBSTITUTE($N729,"~","~~"),"*","~*"),"?","~?"),'DEF_SELF_SCOUT_IMPORT'!$G$42:$G$1040,SUBSTITUTE(SUBSTITUTE(SUBSTITUTE($O729,"~","~~"),"*","~*"),"?","~?")))</f>
        <v>4.0</v>
      </c>
      <c r="G729" s="10">
        <f>IF($C729=0,"",COUNTIFS('DEF_SELF_SCOUT_IMPORT'!$L$42:$L$1040,"Y",'DEF_SELF_SCOUT_IMPORT'!$E$42:$E$1040,SUBSTITUTE(SUBSTITUTE(SUBSTITUTE($B729,"~","~~"),"*","~*"),"?","~?"),'DEF_SELF_SCOUT_IMPORT'!$Q$42:$Q$1040,SUBSTITUTE(SUBSTITUTE(SUBSTITUTE($M729,"~","~~"),"*","~*"),"?","~?"),'DEF_SELF_SCOUT_IMPORT'!$F$42:$F$1040,SUBSTITUTE(SUBSTITUTE(SUBSTITUTE($N729,"~","~~"),"*","~*"),"?","~?"),'DEF_SELF_SCOUT_IMPORT'!$G$42:$G$1040,SUBSTITUTE(SUBSTITUTE(SUBSTITUTE($O729,"~","~~"),"*","~*"),"?","~?"),'DEF_SELF_SCOUT_IMPORT'!$H$42:$H$1040,"RUSH")/$C729)</f>
        <v>0.0</v>
      </c>
      <c r="H729" s="10">
        <f>IF($C729=0,"",COUNTIFS('DEF_SELF_SCOUT_IMPORT'!$L$42:$L$1040,"Y",'DEF_SELF_SCOUT_IMPORT'!$E$42:$E$1040,SUBSTITUTE(SUBSTITUTE(SUBSTITUTE($B729,"~","~~"),"*","~*"),"?","~?"),'DEF_SELF_SCOUT_IMPORT'!$Q$42:$Q$1040,SUBSTITUTE(SUBSTITUTE(SUBSTITUTE($M729,"~","~~"),"*","~*"),"?","~?"),'DEF_SELF_SCOUT_IMPORT'!$F$42:$F$1040,SUBSTITUTE(SUBSTITUTE(SUBSTITUTE($N729,"~","~~"),"*","~*"),"?","~?"),'DEF_SELF_SCOUT_IMPORT'!$G$42:$G$1040,SUBSTITUTE(SUBSTITUTE(SUBSTITUTE($O729,"~","~~"),"*","~*"),"?","~?"),'DEF_SELF_SCOUT_IMPORT'!$H$42:$H$1040,"DROPBACK")/$C729)</f>
        <v>1.0</v>
      </c>
      <c r="I729" s="14" t="str">
        <f>IF(C729=0,"",IF(C729&lt;=2,"TRACK",IF(C729=3,"LOW",IF(C729&lt;=6,"MEDIUM","HIGH"))))</f>
        <v>TRACK</v>
      </c>
      <c r="J729" s="11">
        <f>IF(C729=0,"",ROUND(D729*70+(1-E729)*20+MAX(0,MIN(1,(10-F729)/10))*10,1))</f>
        <v>96.0</v>
      </c>
      <c r="K729" s="14" t="str">
        <f>IF(C729=0,"No Evidence",IF(C729&lt;=2,IF(E729&gt;0,"Explosive Alert","Track Only"),IF(C729=3,"Sample Watch",IF(E729&gt;=START_HERE!$B$31,"Explosive Alert",IF(J729&gt;=80,"Strong Candidate",IF(J729&gt;=65,"Good Candidate",IF(J729&gt;=50,"Mixed / Review","Problem Call")))))))</f>
        <v>Track Only</v>
      </c>
      <c r="L729" s="9" t="str">
        <f>IF(COUNTIFS('DEF_SELF_SCOUT_IMPORT'!$L$42:$L$1040,"Y",'DEF_SELF_SCOUT_IMPORT'!$E$42:$E$1040,SUBSTITUTE(SUBSTITUTE(SUBSTITUTE($B729,"~","~~"),"*","~*"),"?","~?"),'DEF_SELF_SCOUT_IMPORT'!$Q$42:$Q$1040,SUBSTITUTE(SUBSTITUTE(SUBSTITUTE($M729,"~","~~"),"*","~*"),"?","~?"),'DEF_SELF_SCOUT_IMPORT'!$F$42:$F$1040,SUBSTITUTE(SUBSTITUTE(SUBSTITUTE($N729,"~","~~"),"*","~*"),"?","~?"),'DEF_SELF_SCOUT_IMPORT'!$G$42:$G$1040,SUBSTITUTE(SUBSTITUTE(SUBSTITUTE($O729,"~","~~"),"*","~*"),"?","~?"),'DEF_SELF_SCOUT_IMPORT'!$J$42:$J$1040,"")&gt;0,"Unscored clean outcome; review result tags before using score.",IF(C729=0,"No matching defensive reps; film confirmation needed.",IF(K729="Explosive Alert","Explosive risk; review clips before using as answer.",IF(C729&lt;=2,"Track only; not enough sample.",IF(C729=3,IF(E729&gt;0,"Sample watch with explosive exposure; review clips and build the sample.",IF(J729&gt;=65,"Good signal, but sample is limited.","Sample watch; review clips and build the sample.")),IF(K729="Problem Call","Problem area; practice or call-sheet review.",IF(K729="Strong Candidate","Strong call-fit candidate; confirm on film.",IF(K729="Good Candidate","Good call-fit signal; confirm on film.","Mixed signal; review fit and execution on film."))))))))</f>
        <v>Track only; not enough sample.</v>
      </c>
      <c r="M729" s="8" t="s">
        <v>96</v>
      </c>
      <c r="N729" s="8" t="s">
        <v>120</v>
      </c>
      <c r="O729" s="8" t="s">
        <v>203</v>
      </c>
      <c r="P729" s="8"/>
      <c r="Q729" s="8"/>
      <c r="R729" s="8" t="s">
        <v>28</v>
      </c>
      <c r="S729" s="2" t="s">
        <v>377</v>
      </c>
      <c r="T729" s="2">
        <f>IF(C729=0,0,IF(C729&gt;=CALL_LOOKUP_BOARD!$B$7,IF(OR(K729="Problem Call",K729="Explosive Alert"),10000000,20000000),0)+IF(C729&gt;=CALL_LOOKUP_BOARD!$B$7,J729*1000+MIN(C729,999),C729*1000+J729)+0.00985900)</f>
        <v>1096.009859</v>
      </c>
      <c r="U729" s="2">
        <f>IF(C729=0,"",IF(COUNTIFS($S$589:$S$803,SUBSTITUTE(SUBSTITUTE(SUBSTITUTE(S729,"~","~~"),"*","~*"),"?","~?"),$T$589:$T$803,"&gt;"&amp;T729)=0,S729,""))</f>
        <v/>
      </c>
    </row>
    <row r="730" spans="1:21" ht="38" customHeight="1">
      <c r="A730" s="8" t="s">
        <v>376</v>
      </c>
      <c r="B730" s="8" t="s">
        <v>100</v>
      </c>
      <c r="C730" s="12">
        <f>COUNTIFS('DEF_SELF_SCOUT_IMPORT'!$L$42:$L$1040,"Y",'DEF_SELF_SCOUT_IMPORT'!$E$42:$E$1040,SUBSTITUTE(SUBSTITUTE(SUBSTITUTE($B730,"~","~~"),"*","~*"),"?","~?"),'DEF_SELF_SCOUT_IMPORT'!$Q$42:$Q$1040,SUBSTITUTE(SUBSTITUTE(SUBSTITUTE($M730,"~","~~"),"*","~*"),"?","~?"),'DEF_SELF_SCOUT_IMPORT'!$F$42:$F$1040,SUBSTITUTE(SUBSTITUTE(SUBSTITUTE($N730,"~","~~"),"*","~*"),"?","~?"),'DEF_SELF_SCOUT_IMPORT'!$G$42:$G$1040,SUBSTITUTE(SUBSTITUTE(SUBSTITUTE($O730,"~","~~"),"*","~*"),"?","~?"))</f>
        <v>1</v>
      </c>
      <c r="D730" s="10">
        <f>IF($C730=0,"",SUMIFS('DEF_SELF_SCOUT_IMPORT'!$J$42:$J$1040,'DEF_SELF_SCOUT_IMPORT'!$L$42:$L$1040,"Y",'DEF_SELF_SCOUT_IMPORT'!$E$42:$E$1040,SUBSTITUTE(SUBSTITUTE(SUBSTITUTE($B730,"~","~~"),"*","~*"),"?","~?"),'DEF_SELF_SCOUT_IMPORT'!$Q$42:$Q$1040,SUBSTITUTE(SUBSTITUTE(SUBSTITUTE($M730,"~","~~"),"*","~*"),"?","~?"),'DEF_SELF_SCOUT_IMPORT'!$F$42:$F$1040,SUBSTITUTE(SUBSTITUTE(SUBSTITUTE($N730,"~","~~"),"*","~*"),"?","~?"),'DEF_SELF_SCOUT_IMPORT'!$G$42:$G$1040,SUBSTITUTE(SUBSTITUTE(SUBSTITUTE($O730,"~","~~"),"*","~*"),"?","~?"))/$C730)</f>
        <v>1.0</v>
      </c>
      <c r="E730" s="10">
        <f>IF($C730=0,"",SUMIFS('DEF_SELF_SCOUT_IMPORT'!$K$42:$K$1040,'DEF_SELF_SCOUT_IMPORT'!$L$42:$L$1040,"Y",'DEF_SELF_SCOUT_IMPORT'!$E$42:$E$1040,SUBSTITUTE(SUBSTITUTE(SUBSTITUTE($B730,"~","~~"),"*","~*"),"?","~?"),'DEF_SELF_SCOUT_IMPORT'!$Q$42:$Q$1040,SUBSTITUTE(SUBSTITUTE(SUBSTITUTE($M730,"~","~~"),"*","~*"),"?","~?"),'DEF_SELF_SCOUT_IMPORT'!$F$42:$F$1040,SUBSTITUTE(SUBSTITUTE(SUBSTITUTE($N730,"~","~~"),"*","~*"),"?","~?"),'DEF_SELF_SCOUT_IMPORT'!$G$42:$G$1040,SUBSTITUTE(SUBSTITUTE(SUBSTITUTE($O730,"~","~~"),"*","~*"),"?","~?"))/$C730)</f>
        <v>0.0</v>
      </c>
      <c r="F730" s="11">
        <f>IF($C730=0,"",AVERAGEIFS('DEF_SELF_SCOUT_IMPORT'!$I$42:$I$1040,'DEF_SELF_SCOUT_IMPORT'!$L$42:$L$1040,"Y",'DEF_SELF_SCOUT_IMPORT'!$E$42:$E$1040,SUBSTITUTE(SUBSTITUTE(SUBSTITUTE($B730,"~","~~"),"*","~*"),"?","~?"),'DEF_SELF_SCOUT_IMPORT'!$Q$42:$Q$1040,SUBSTITUTE(SUBSTITUTE(SUBSTITUTE($M730,"~","~~"),"*","~*"),"?","~?"),'DEF_SELF_SCOUT_IMPORT'!$F$42:$F$1040,SUBSTITUTE(SUBSTITUTE(SUBSTITUTE($N730,"~","~~"),"*","~*"),"?","~?"),'DEF_SELF_SCOUT_IMPORT'!$G$42:$G$1040,SUBSTITUTE(SUBSTITUTE(SUBSTITUTE($O730,"~","~~"),"*","~*"),"?","~?")))</f>
        <v>0.0</v>
      </c>
      <c r="G730" s="10">
        <f>IF($C730=0,"",COUNTIFS('DEF_SELF_SCOUT_IMPORT'!$L$42:$L$1040,"Y",'DEF_SELF_SCOUT_IMPORT'!$E$42:$E$1040,SUBSTITUTE(SUBSTITUTE(SUBSTITUTE($B730,"~","~~"),"*","~*"),"?","~?"),'DEF_SELF_SCOUT_IMPORT'!$Q$42:$Q$1040,SUBSTITUTE(SUBSTITUTE(SUBSTITUTE($M730,"~","~~"),"*","~*"),"?","~?"),'DEF_SELF_SCOUT_IMPORT'!$F$42:$F$1040,SUBSTITUTE(SUBSTITUTE(SUBSTITUTE($N730,"~","~~"),"*","~*"),"?","~?"),'DEF_SELF_SCOUT_IMPORT'!$G$42:$G$1040,SUBSTITUTE(SUBSTITUTE(SUBSTITUTE($O730,"~","~~"),"*","~*"),"?","~?"),'DEF_SELF_SCOUT_IMPORT'!$H$42:$H$1040,"RUSH")/$C730)</f>
        <v>0.0</v>
      </c>
      <c r="H730" s="10">
        <f>IF($C730=0,"",COUNTIFS('DEF_SELF_SCOUT_IMPORT'!$L$42:$L$1040,"Y",'DEF_SELF_SCOUT_IMPORT'!$E$42:$E$1040,SUBSTITUTE(SUBSTITUTE(SUBSTITUTE($B730,"~","~~"),"*","~*"),"?","~?"),'DEF_SELF_SCOUT_IMPORT'!$Q$42:$Q$1040,SUBSTITUTE(SUBSTITUTE(SUBSTITUTE($M730,"~","~~"),"*","~*"),"?","~?"),'DEF_SELF_SCOUT_IMPORT'!$F$42:$F$1040,SUBSTITUTE(SUBSTITUTE(SUBSTITUTE($N730,"~","~~"),"*","~*"),"?","~?"),'DEF_SELF_SCOUT_IMPORT'!$G$42:$G$1040,SUBSTITUTE(SUBSTITUTE(SUBSTITUTE($O730,"~","~~"),"*","~*"),"?","~?"),'DEF_SELF_SCOUT_IMPORT'!$H$42:$H$1040,"DROPBACK")/$C730)</f>
        <v>1.0</v>
      </c>
      <c r="I730" s="14" t="str">
        <f>IF(C730=0,"",IF(C730&lt;=2,"TRACK",IF(C730=3,"LOW",IF(C730&lt;=6,"MEDIUM","HIGH"))))</f>
        <v>TRACK</v>
      </c>
      <c r="J730" s="11">
        <f>IF(C730=0,"",ROUND(D730*70+(1-E730)*20+MAX(0,MIN(1,(10-F730)/10))*10,1))</f>
        <v>100.0</v>
      </c>
      <c r="K730" s="14" t="str">
        <f>IF(C730=0,"No Evidence",IF(C730&lt;=2,IF(E730&gt;0,"Explosive Alert","Track Only"),IF(C730=3,"Sample Watch",IF(E730&gt;=START_HERE!$B$31,"Explosive Alert",IF(J730&gt;=80,"Strong Candidate",IF(J730&gt;=65,"Good Candidate",IF(J730&gt;=50,"Mixed / Review","Problem Call")))))))</f>
        <v>Track Only</v>
      </c>
      <c r="L730" s="9" t="str">
        <f>IF(COUNTIFS('DEF_SELF_SCOUT_IMPORT'!$L$42:$L$1040,"Y",'DEF_SELF_SCOUT_IMPORT'!$E$42:$E$1040,SUBSTITUTE(SUBSTITUTE(SUBSTITUTE($B730,"~","~~"),"*","~*"),"?","~?"),'DEF_SELF_SCOUT_IMPORT'!$Q$42:$Q$1040,SUBSTITUTE(SUBSTITUTE(SUBSTITUTE($M730,"~","~~"),"*","~*"),"?","~?"),'DEF_SELF_SCOUT_IMPORT'!$F$42:$F$1040,SUBSTITUTE(SUBSTITUTE(SUBSTITUTE($N730,"~","~~"),"*","~*"),"?","~?"),'DEF_SELF_SCOUT_IMPORT'!$G$42:$G$1040,SUBSTITUTE(SUBSTITUTE(SUBSTITUTE($O730,"~","~~"),"*","~*"),"?","~?"),'DEF_SELF_SCOUT_IMPORT'!$J$42:$J$1040,"")&gt;0,"Unscored clean outcome; review result tags before using score.",IF(C730=0,"No matching defensive reps; film confirmation needed.",IF(K730="Explosive Alert","Explosive risk; review clips before using as answer.",IF(C730&lt;=2,"Track only; not enough sample.",IF(C730=3,IF(E730&gt;0,"Sample watch with explosive exposure; review clips and build the sample.",IF(J730&gt;=65,"Good signal, but sample is limited.","Sample watch; review clips and build the sample.")),IF(K730="Problem Call","Problem area; practice or call-sheet review.",IF(K730="Strong Candidate","Strong call-fit candidate; confirm on film.",IF(K730="Good Candidate","Good call-fit signal; confirm on film.","Mixed signal; review fit and execution on film."))))))))</f>
        <v>Track only; not enough sample.</v>
      </c>
      <c r="M730" s="8" t="s">
        <v>96</v>
      </c>
      <c r="N730" s="8" t="s">
        <v>120</v>
      </c>
      <c r="O730" s="8" t="s">
        <v>203</v>
      </c>
      <c r="P730" s="8"/>
      <c r="Q730" s="8"/>
      <c r="R730" s="8" t="s">
        <v>28</v>
      </c>
      <c r="S730" s="2" t="s">
        <v>377</v>
      </c>
      <c r="T730" s="2">
        <f>IF(C730=0,0,IF(C730&gt;=CALL_LOOKUP_BOARD!$B$7,IF(OR(K730="Problem Call",K730="Explosive Alert"),10000000,20000000),0)+IF(C730&gt;=CALL_LOOKUP_BOARD!$B$7,J730*1000+MIN(C730,999),C730*1000+J730)+0.00985800)</f>
        <v>1100.009858</v>
      </c>
      <c r="U730" s="2">
        <f>IF(C730=0,"",IF(COUNTIFS($S$589:$S$803,SUBSTITUTE(SUBSTITUTE(SUBSTITUTE(S730,"~","~~"),"*","~*"),"?","~?"),$T$589:$T$803,"&gt;"&amp;T730)=0,S730,""))</f>
        <v/>
      </c>
    </row>
    <row r="731" spans="1:21" ht="38" customHeight="1">
      <c r="A731" s="8" t="s">
        <v>376</v>
      </c>
      <c r="B731" s="8" t="s">
        <v>101</v>
      </c>
      <c r="C731" s="12">
        <f>COUNTIFS('DEF_SELF_SCOUT_IMPORT'!$L$42:$L$1040,"Y",'DEF_SELF_SCOUT_IMPORT'!$E$42:$E$1040,SUBSTITUTE(SUBSTITUTE(SUBSTITUTE($B731,"~","~~"),"*","~*"),"?","~?"),'DEF_SELF_SCOUT_IMPORT'!$Q$42:$Q$1040,SUBSTITUTE(SUBSTITUTE(SUBSTITUTE($M731,"~","~~"),"*","~*"),"?","~?"),'DEF_SELF_SCOUT_IMPORT'!$F$42:$F$1040,SUBSTITUTE(SUBSTITUTE(SUBSTITUTE($N731,"~","~~"),"*","~*"),"?","~?"),'DEF_SELF_SCOUT_IMPORT'!$G$42:$G$1040,SUBSTITUTE(SUBSTITUTE(SUBSTITUTE($O731,"~","~~"),"*","~*"),"?","~?"))</f>
        <v>4</v>
      </c>
      <c r="D731" s="10">
        <f>IF($C731=0,"",SUMIFS('DEF_SELF_SCOUT_IMPORT'!$J$42:$J$1040,'DEF_SELF_SCOUT_IMPORT'!$L$42:$L$1040,"Y",'DEF_SELF_SCOUT_IMPORT'!$E$42:$E$1040,SUBSTITUTE(SUBSTITUTE(SUBSTITUTE($B731,"~","~~"),"*","~*"),"?","~?"),'DEF_SELF_SCOUT_IMPORT'!$Q$42:$Q$1040,SUBSTITUTE(SUBSTITUTE(SUBSTITUTE($M731,"~","~~"),"*","~*"),"?","~?"),'DEF_SELF_SCOUT_IMPORT'!$F$42:$F$1040,SUBSTITUTE(SUBSTITUTE(SUBSTITUTE($N731,"~","~~"),"*","~*"),"?","~?"),'DEF_SELF_SCOUT_IMPORT'!$G$42:$G$1040,SUBSTITUTE(SUBSTITUTE(SUBSTITUTE($O731,"~","~~"),"*","~*"),"?","~?"))/$C731)</f>
        <v>0.75</v>
      </c>
      <c r="E731" s="10">
        <f>IF($C731=0,"",SUMIFS('DEF_SELF_SCOUT_IMPORT'!$K$42:$K$1040,'DEF_SELF_SCOUT_IMPORT'!$L$42:$L$1040,"Y",'DEF_SELF_SCOUT_IMPORT'!$E$42:$E$1040,SUBSTITUTE(SUBSTITUTE(SUBSTITUTE($B731,"~","~~"),"*","~*"),"?","~?"),'DEF_SELF_SCOUT_IMPORT'!$Q$42:$Q$1040,SUBSTITUTE(SUBSTITUTE(SUBSTITUTE($M731,"~","~~"),"*","~*"),"?","~?"),'DEF_SELF_SCOUT_IMPORT'!$F$42:$F$1040,SUBSTITUTE(SUBSTITUTE(SUBSTITUTE($N731,"~","~~"),"*","~*"),"?","~?"),'DEF_SELF_SCOUT_IMPORT'!$G$42:$G$1040,SUBSTITUTE(SUBSTITUTE(SUBSTITUTE($O731,"~","~~"),"*","~*"),"?","~?"))/$C731)</f>
        <v>0.0</v>
      </c>
      <c r="F731" s="11">
        <f>IF($C731=0,"",AVERAGEIFS('DEF_SELF_SCOUT_IMPORT'!$I$42:$I$1040,'DEF_SELF_SCOUT_IMPORT'!$L$42:$L$1040,"Y",'DEF_SELF_SCOUT_IMPORT'!$E$42:$E$1040,SUBSTITUTE(SUBSTITUTE(SUBSTITUTE($B731,"~","~~"),"*","~*"),"?","~?"),'DEF_SELF_SCOUT_IMPORT'!$Q$42:$Q$1040,SUBSTITUTE(SUBSTITUTE(SUBSTITUTE($M731,"~","~~"),"*","~*"),"?","~?"),'DEF_SELF_SCOUT_IMPORT'!$F$42:$F$1040,SUBSTITUTE(SUBSTITUTE(SUBSTITUTE($N731,"~","~~"),"*","~*"),"?","~?"),'DEF_SELF_SCOUT_IMPORT'!$G$42:$G$1040,SUBSTITUTE(SUBSTITUTE(SUBSTITUTE($O731,"~","~~"),"*","~*"),"?","~?")))</f>
        <v>4.75</v>
      </c>
      <c r="G731" s="10">
        <f>IF($C731=0,"",COUNTIFS('DEF_SELF_SCOUT_IMPORT'!$L$42:$L$1040,"Y",'DEF_SELF_SCOUT_IMPORT'!$E$42:$E$1040,SUBSTITUTE(SUBSTITUTE(SUBSTITUTE($B731,"~","~~"),"*","~*"),"?","~?"),'DEF_SELF_SCOUT_IMPORT'!$Q$42:$Q$1040,SUBSTITUTE(SUBSTITUTE(SUBSTITUTE($M731,"~","~~"),"*","~*"),"?","~?"),'DEF_SELF_SCOUT_IMPORT'!$F$42:$F$1040,SUBSTITUTE(SUBSTITUTE(SUBSTITUTE($N731,"~","~~"),"*","~*"),"?","~?"),'DEF_SELF_SCOUT_IMPORT'!$G$42:$G$1040,SUBSTITUTE(SUBSTITUTE(SUBSTITUTE($O731,"~","~~"),"*","~*"),"?","~?"),'DEF_SELF_SCOUT_IMPORT'!$H$42:$H$1040,"RUSH")/$C731)</f>
        <v>0.0</v>
      </c>
      <c r="H731" s="10">
        <f>IF($C731=0,"",COUNTIFS('DEF_SELF_SCOUT_IMPORT'!$L$42:$L$1040,"Y",'DEF_SELF_SCOUT_IMPORT'!$E$42:$E$1040,SUBSTITUTE(SUBSTITUTE(SUBSTITUTE($B731,"~","~~"),"*","~*"),"?","~?"),'DEF_SELF_SCOUT_IMPORT'!$Q$42:$Q$1040,SUBSTITUTE(SUBSTITUTE(SUBSTITUTE($M731,"~","~~"),"*","~*"),"?","~?"),'DEF_SELF_SCOUT_IMPORT'!$F$42:$F$1040,SUBSTITUTE(SUBSTITUTE(SUBSTITUTE($N731,"~","~~"),"*","~*"),"?","~?"),'DEF_SELF_SCOUT_IMPORT'!$G$42:$G$1040,SUBSTITUTE(SUBSTITUTE(SUBSTITUTE($O731,"~","~~"),"*","~*"),"?","~?"),'DEF_SELF_SCOUT_IMPORT'!$H$42:$H$1040,"DROPBACK")/$C731)</f>
        <v>1.0</v>
      </c>
      <c r="I731" s="14" t="str">
        <f>IF(C731=0,"",IF(C731&lt;=2,"TRACK",IF(C731=3,"LOW",IF(C731&lt;=6,"MEDIUM","HIGH"))))</f>
        <v>MEDIUM</v>
      </c>
      <c r="J731" s="11">
        <f>IF(C731=0,"",ROUND(D731*70+(1-E731)*20+MAX(0,MIN(1,(10-F731)/10))*10,1))</f>
        <v>77.8</v>
      </c>
      <c r="K731" s="14" t="str">
        <f>IF(C731=0,"No Evidence",IF(C731&lt;=2,IF(E731&gt;0,"Explosive Alert","Track Only"),IF(C731=3,"Sample Watch",IF(E731&gt;=START_HERE!$B$31,"Explosive Alert",IF(J731&gt;=80,"Strong Candidate",IF(J731&gt;=65,"Good Candidate",IF(J731&gt;=50,"Mixed / Review","Problem Call")))))))</f>
        <v>Good Candidate</v>
      </c>
      <c r="L731" s="9" t="str">
        <f>IF(COUNTIFS('DEF_SELF_SCOUT_IMPORT'!$L$42:$L$1040,"Y",'DEF_SELF_SCOUT_IMPORT'!$E$42:$E$1040,SUBSTITUTE(SUBSTITUTE(SUBSTITUTE($B731,"~","~~"),"*","~*"),"?","~?"),'DEF_SELF_SCOUT_IMPORT'!$Q$42:$Q$1040,SUBSTITUTE(SUBSTITUTE(SUBSTITUTE($M731,"~","~~"),"*","~*"),"?","~?"),'DEF_SELF_SCOUT_IMPORT'!$F$42:$F$1040,SUBSTITUTE(SUBSTITUTE(SUBSTITUTE($N731,"~","~~"),"*","~*"),"?","~?"),'DEF_SELF_SCOUT_IMPORT'!$G$42:$G$1040,SUBSTITUTE(SUBSTITUTE(SUBSTITUTE($O731,"~","~~"),"*","~*"),"?","~?"),'DEF_SELF_SCOUT_IMPORT'!$J$42:$J$1040,"")&gt;0,"Unscored clean outcome; review result tags before using score.",IF(C731=0,"No matching defensive reps; film confirmation needed.",IF(K731="Explosive Alert","Explosive risk; review clips before using as answer.",IF(C731&lt;=2,"Track only; not enough sample.",IF(C731=3,IF(E731&gt;0,"Sample watch with explosive exposure; review clips and build the sample.",IF(J731&gt;=65,"Good signal, but sample is limited.","Sample watch; review clips and build the sample.")),IF(K731="Problem Call","Problem area; practice or call-sheet review.",IF(K731="Strong Candidate","Strong call-fit candidate; confirm on film.",IF(K731="Good Candidate","Good call-fit signal; confirm on film.","Mixed signal; review fit and execution on film."))))))))</f>
        <v>Good call-fit signal; confirm on film.</v>
      </c>
      <c r="M731" s="8" t="s">
        <v>96</v>
      </c>
      <c r="N731" s="8" t="s">
        <v>120</v>
      </c>
      <c r="O731" s="8" t="s">
        <v>203</v>
      </c>
      <c r="P731" s="8"/>
      <c r="Q731" s="8"/>
      <c r="R731" s="8" t="s">
        <v>45</v>
      </c>
      <c r="S731" s="2" t="s">
        <v>377</v>
      </c>
      <c r="T731" s="2">
        <f>IF(C731=0,0,IF(C731&gt;=CALL_LOOKUP_BOARD!$B$7,IF(OR(K731="Problem Call",K731="Explosive Alert"),10000000,20000000),0)+IF(C731&gt;=CALL_LOOKUP_BOARD!$B$7,J731*1000+MIN(C731,999),C731*1000+J731)+0.00985700)</f>
        <v>20077804.009857</v>
      </c>
      <c r="U731" s="2" t="str">
        <f>IF(C731=0,"",IF(COUNTIFS($S$589:$S$803,SUBSTITUTE(SUBSTITUTE(SUBSTITUTE(S731,"~","~~"),"*","~*"),"?","~?"),$T$589:$T$803,"&gt;"&amp;T731)=0,S731,""))</f>
        <v>6:3D 11+|2:11|3:2X2|</v>
      </c>
    </row>
    <row r="732" spans="1:21" ht="38" customHeight="1">
      <c r="A732" s="8" t="s">
        <v>376</v>
      </c>
      <c r="B732" s="8" t="s">
        <v>102</v>
      </c>
      <c r="C732" s="12">
        <f>COUNTIFS('DEF_SELF_SCOUT_IMPORT'!$L$42:$L$1040,"Y",'DEF_SELF_SCOUT_IMPORT'!$E$42:$E$1040,SUBSTITUTE(SUBSTITUTE(SUBSTITUTE($B732,"~","~~"),"*","~*"),"?","~?"),'DEF_SELF_SCOUT_IMPORT'!$Q$42:$Q$1040,SUBSTITUTE(SUBSTITUTE(SUBSTITUTE($M732,"~","~~"),"*","~*"),"?","~?"),'DEF_SELF_SCOUT_IMPORT'!$F$42:$F$1040,SUBSTITUTE(SUBSTITUTE(SUBSTITUTE($N732,"~","~~"),"*","~*"),"?","~?"),'DEF_SELF_SCOUT_IMPORT'!$G$42:$G$1040,SUBSTITUTE(SUBSTITUTE(SUBSTITUTE($O732,"~","~~"),"*","~*"),"?","~?"))</f>
        <v>1</v>
      </c>
      <c r="D732" s="10">
        <f>IF($C732=0,"",SUMIFS('DEF_SELF_SCOUT_IMPORT'!$J$42:$J$1040,'DEF_SELF_SCOUT_IMPORT'!$L$42:$L$1040,"Y",'DEF_SELF_SCOUT_IMPORT'!$E$42:$E$1040,SUBSTITUTE(SUBSTITUTE(SUBSTITUTE($B732,"~","~~"),"*","~*"),"?","~?"),'DEF_SELF_SCOUT_IMPORT'!$Q$42:$Q$1040,SUBSTITUTE(SUBSTITUTE(SUBSTITUTE($M732,"~","~~"),"*","~*"),"?","~?"),'DEF_SELF_SCOUT_IMPORT'!$F$42:$F$1040,SUBSTITUTE(SUBSTITUTE(SUBSTITUTE($N732,"~","~~"),"*","~*"),"?","~?"),'DEF_SELF_SCOUT_IMPORT'!$G$42:$G$1040,SUBSTITUTE(SUBSTITUTE(SUBSTITUTE($O732,"~","~~"),"*","~*"),"?","~?"))/$C732)</f>
        <v>1.0</v>
      </c>
      <c r="E732" s="10">
        <f>IF($C732=0,"",SUMIFS('DEF_SELF_SCOUT_IMPORT'!$K$42:$K$1040,'DEF_SELF_SCOUT_IMPORT'!$L$42:$L$1040,"Y",'DEF_SELF_SCOUT_IMPORT'!$E$42:$E$1040,SUBSTITUTE(SUBSTITUTE(SUBSTITUTE($B732,"~","~~"),"*","~*"),"?","~?"),'DEF_SELF_SCOUT_IMPORT'!$Q$42:$Q$1040,SUBSTITUTE(SUBSTITUTE(SUBSTITUTE($M732,"~","~~"),"*","~*"),"?","~?"),'DEF_SELF_SCOUT_IMPORT'!$F$42:$F$1040,SUBSTITUTE(SUBSTITUTE(SUBSTITUTE($N732,"~","~~"),"*","~*"),"?","~?"),'DEF_SELF_SCOUT_IMPORT'!$G$42:$G$1040,SUBSTITUTE(SUBSTITUTE(SUBSTITUTE($O732,"~","~~"),"*","~*"),"?","~?"))/$C732)</f>
        <v>0.0</v>
      </c>
      <c r="F732" s="11">
        <f>IF($C732=0,"",AVERAGEIFS('DEF_SELF_SCOUT_IMPORT'!$I$42:$I$1040,'DEF_SELF_SCOUT_IMPORT'!$L$42:$L$1040,"Y",'DEF_SELF_SCOUT_IMPORT'!$E$42:$E$1040,SUBSTITUTE(SUBSTITUTE(SUBSTITUTE($B732,"~","~~"),"*","~*"),"?","~?"),'DEF_SELF_SCOUT_IMPORT'!$Q$42:$Q$1040,SUBSTITUTE(SUBSTITUTE(SUBSTITUTE($M732,"~","~~"),"*","~*"),"?","~?"),'DEF_SELF_SCOUT_IMPORT'!$F$42:$F$1040,SUBSTITUTE(SUBSTITUTE(SUBSTITUTE($N732,"~","~~"),"*","~*"),"?","~?"),'DEF_SELF_SCOUT_IMPORT'!$G$42:$G$1040,SUBSTITUTE(SUBSTITUTE(SUBSTITUTE($O732,"~","~~"),"*","~*"),"?","~?")))</f>
        <v>-5.0</v>
      </c>
      <c r="G732" s="10">
        <f>IF($C732=0,"",COUNTIFS('DEF_SELF_SCOUT_IMPORT'!$L$42:$L$1040,"Y",'DEF_SELF_SCOUT_IMPORT'!$E$42:$E$1040,SUBSTITUTE(SUBSTITUTE(SUBSTITUTE($B732,"~","~~"),"*","~*"),"?","~?"),'DEF_SELF_SCOUT_IMPORT'!$Q$42:$Q$1040,SUBSTITUTE(SUBSTITUTE(SUBSTITUTE($M732,"~","~~"),"*","~*"),"?","~?"),'DEF_SELF_SCOUT_IMPORT'!$F$42:$F$1040,SUBSTITUTE(SUBSTITUTE(SUBSTITUTE($N732,"~","~~"),"*","~*"),"?","~?"),'DEF_SELF_SCOUT_IMPORT'!$G$42:$G$1040,SUBSTITUTE(SUBSTITUTE(SUBSTITUTE($O732,"~","~~"),"*","~*"),"?","~?"),'DEF_SELF_SCOUT_IMPORT'!$H$42:$H$1040,"RUSH")/$C732)</f>
        <v>0.0</v>
      </c>
      <c r="H732" s="10">
        <f>IF($C732=0,"",COUNTIFS('DEF_SELF_SCOUT_IMPORT'!$L$42:$L$1040,"Y",'DEF_SELF_SCOUT_IMPORT'!$E$42:$E$1040,SUBSTITUTE(SUBSTITUTE(SUBSTITUTE($B732,"~","~~"),"*","~*"),"?","~?"),'DEF_SELF_SCOUT_IMPORT'!$Q$42:$Q$1040,SUBSTITUTE(SUBSTITUTE(SUBSTITUTE($M732,"~","~~"),"*","~*"),"?","~?"),'DEF_SELF_SCOUT_IMPORT'!$F$42:$F$1040,SUBSTITUTE(SUBSTITUTE(SUBSTITUTE($N732,"~","~~"),"*","~*"),"?","~?"),'DEF_SELF_SCOUT_IMPORT'!$G$42:$G$1040,SUBSTITUTE(SUBSTITUTE(SUBSTITUTE($O732,"~","~~"),"*","~*"),"?","~?"),'DEF_SELF_SCOUT_IMPORT'!$H$42:$H$1040,"DROPBACK")/$C732)</f>
        <v>1.0</v>
      </c>
      <c r="I732" s="14" t="str">
        <f>IF(C732=0,"",IF(C732&lt;=2,"TRACK",IF(C732=3,"LOW",IF(C732&lt;=6,"MEDIUM","HIGH"))))</f>
        <v>TRACK</v>
      </c>
      <c r="J732" s="11">
        <f>IF(C732=0,"",ROUND(D732*70+(1-E732)*20+MAX(0,MIN(1,(10-F732)/10))*10,1))</f>
        <v>100.0</v>
      </c>
      <c r="K732" s="14" t="str">
        <f>IF(C732=0,"No Evidence",IF(C732&lt;=2,IF(E732&gt;0,"Explosive Alert","Track Only"),IF(C732=3,"Sample Watch",IF(E732&gt;=START_HERE!$B$31,"Explosive Alert",IF(J732&gt;=80,"Strong Candidate",IF(J732&gt;=65,"Good Candidate",IF(J732&gt;=50,"Mixed / Review","Problem Call")))))))</f>
        <v>Track Only</v>
      </c>
      <c r="L732" s="9" t="str">
        <f>IF(COUNTIFS('DEF_SELF_SCOUT_IMPORT'!$L$42:$L$1040,"Y",'DEF_SELF_SCOUT_IMPORT'!$E$42:$E$1040,SUBSTITUTE(SUBSTITUTE(SUBSTITUTE($B732,"~","~~"),"*","~*"),"?","~?"),'DEF_SELF_SCOUT_IMPORT'!$Q$42:$Q$1040,SUBSTITUTE(SUBSTITUTE(SUBSTITUTE($M732,"~","~~"),"*","~*"),"?","~?"),'DEF_SELF_SCOUT_IMPORT'!$F$42:$F$1040,SUBSTITUTE(SUBSTITUTE(SUBSTITUTE($N732,"~","~~"),"*","~*"),"?","~?"),'DEF_SELF_SCOUT_IMPORT'!$G$42:$G$1040,SUBSTITUTE(SUBSTITUTE(SUBSTITUTE($O732,"~","~~"),"*","~*"),"?","~?"),'DEF_SELF_SCOUT_IMPORT'!$J$42:$J$1040,"")&gt;0,"Unscored clean outcome; review result tags before using score.",IF(C732=0,"No matching defensive reps; film confirmation needed.",IF(K732="Explosive Alert","Explosive risk; review clips before using as answer.",IF(C732&lt;=2,"Track only; not enough sample.",IF(C732=3,IF(E732&gt;0,"Sample watch with explosive exposure; review clips and build the sample.",IF(J732&gt;=65,"Good signal, but sample is limited.","Sample watch; review clips and build the sample.")),IF(K732="Problem Call","Problem area; practice or call-sheet review.",IF(K732="Strong Candidate","Strong call-fit candidate; confirm on film.",IF(K732="Good Candidate","Good call-fit signal; confirm on film.","Mixed signal; review fit and execution on film."))))))))</f>
        <v>Track only; not enough sample.</v>
      </c>
      <c r="M732" s="8" t="s">
        <v>96</v>
      </c>
      <c r="N732" s="8" t="s">
        <v>120</v>
      </c>
      <c r="O732" s="8" t="s">
        <v>203</v>
      </c>
      <c r="P732" s="8"/>
      <c r="Q732" s="8"/>
      <c r="R732" s="8" t="s">
        <v>28</v>
      </c>
      <c r="S732" s="2" t="s">
        <v>377</v>
      </c>
      <c r="T732" s="2">
        <f>IF(C732=0,0,IF(C732&gt;=CALL_LOOKUP_BOARD!$B$7,IF(OR(K732="Problem Call",K732="Explosive Alert"),10000000,20000000),0)+IF(C732&gt;=CALL_LOOKUP_BOARD!$B$7,J732*1000+MIN(C732,999),C732*1000+J732)+0.00985600)</f>
        <v>1100.009856</v>
      </c>
      <c r="U732" s="2">
        <f>IF(C732=0,"",IF(COUNTIFS($S$589:$S$803,SUBSTITUTE(SUBSTITUTE(SUBSTITUTE(S732,"~","~~"),"*","~*"),"?","~?"),$T$589:$T$803,"&gt;"&amp;T732)=0,S732,""))</f>
        <v/>
      </c>
    </row>
    <row r="733" spans="1:21" ht="38" customHeight="1">
      <c r="A733" s="8" t="s">
        <v>378</v>
      </c>
      <c r="B733" s="8" t="s">
        <v>99</v>
      </c>
      <c r="C733" s="12">
        <f>COUNTIFS('DEF_SELF_SCOUT_IMPORT'!$L$42:$L$1040,"Y",'DEF_SELF_SCOUT_IMPORT'!$E$42:$E$1040,SUBSTITUTE(SUBSTITUTE(SUBSTITUTE($B733,"~","~~"),"*","~*"),"?","~?"),'DEF_SELF_SCOUT_IMPORT'!$Q$42:$Q$1040,SUBSTITUTE(SUBSTITUTE(SUBSTITUTE($M733,"~","~~"),"*","~*"),"?","~?"),'DEF_SELF_SCOUT_IMPORT'!$F$42:$F$1040,SUBSTITUTE(SUBSTITUTE(SUBSTITUTE($N733,"~","~~"),"*","~*"),"?","~?"),'DEF_SELF_SCOUT_IMPORT'!$G$42:$G$1040,SUBSTITUTE(SUBSTITUTE(SUBSTITUTE($O733,"~","~~"),"*","~*"),"?","~?"))</f>
        <v>2</v>
      </c>
      <c r="D733" s="10">
        <f>IF($C733=0,"",SUMIFS('DEF_SELF_SCOUT_IMPORT'!$J$42:$J$1040,'DEF_SELF_SCOUT_IMPORT'!$L$42:$L$1040,"Y",'DEF_SELF_SCOUT_IMPORT'!$E$42:$E$1040,SUBSTITUTE(SUBSTITUTE(SUBSTITUTE($B733,"~","~~"),"*","~*"),"?","~?"),'DEF_SELF_SCOUT_IMPORT'!$Q$42:$Q$1040,SUBSTITUTE(SUBSTITUTE(SUBSTITUTE($M733,"~","~~"),"*","~*"),"?","~?"),'DEF_SELF_SCOUT_IMPORT'!$F$42:$F$1040,SUBSTITUTE(SUBSTITUTE(SUBSTITUTE($N733,"~","~~"),"*","~*"),"?","~?"),'DEF_SELF_SCOUT_IMPORT'!$G$42:$G$1040,SUBSTITUTE(SUBSTITUTE(SUBSTITUTE($O733,"~","~~"),"*","~*"),"?","~?"))/$C733)</f>
        <v>0.5</v>
      </c>
      <c r="E733" s="10">
        <f>IF($C733=0,"",SUMIFS('DEF_SELF_SCOUT_IMPORT'!$K$42:$K$1040,'DEF_SELF_SCOUT_IMPORT'!$L$42:$L$1040,"Y",'DEF_SELF_SCOUT_IMPORT'!$E$42:$E$1040,SUBSTITUTE(SUBSTITUTE(SUBSTITUTE($B733,"~","~~"),"*","~*"),"?","~?"),'DEF_SELF_SCOUT_IMPORT'!$Q$42:$Q$1040,SUBSTITUTE(SUBSTITUTE(SUBSTITUTE($M733,"~","~~"),"*","~*"),"?","~?"),'DEF_SELF_SCOUT_IMPORT'!$F$42:$F$1040,SUBSTITUTE(SUBSTITUTE(SUBSTITUTE($N733,"~","~~"),"*","~*"),"?","~?"),'DEF_SELF_SCOUT_IMPORT'!$G$42:$G$1040,SUBSTITUTE(SUBSTITUTE(SUBSTITUTE($O733,"~","~~"),"*","~*"),"?","~?"))/$C733)</f>
        <v>0.0</v>
      </c>
      <c r="F733" s="11">
        <f>IF($C733=0,"",AVERAGEIFS('DEF_SELF_SCOUT_IMPORT'!$I$42:$I$1040,'DEF_SELF_SCOUT_IMPORT'!$L$42:$L$1040,"Y",'DEF_SELF_SCOUT_IMPORT'!$E$42:$E$1040,SUBSTITUTE(SUBSTITUTE(SUBSTITUTE($B733,"~","~~"),"*","~*"),"?","~?"),'DEF_SELF_SCOUT_IMPORT'!$Q$42:$Q$1040,SUBSTITUTE(SUBSTITUTE(SUBSTITUTE($M733,"~","~~"),"*","~*"),"?","~?"),'DEF_SELF_SCOUT_IMPORT'!$F$42:$F$1040,SUBSTITUTE(SUBSTITUTE(SUBSTITUTE($N733,"~","~~"),"*","~*"),"?","~?"),'DEF_SELF_SCOUT_IMPORT'!$G$42:$G$1040,SUBSTITUTE(SUBSTITUTE(SUBSTITUTE($O733,"~","~~"),"*","~*"),"?","~?")))</f>
        <v>7.0</v>
      </c>
      <c r="G733" s="10">
        <f>IF($C733=0,"",COUNTIFS('DEF_SELF_SCOUT_IMPORT'!$L$42:$L$1040,"Y",'DEF_SELF_SCOUT_IMPORT'!$E$42:$E$1040,SUBSTITUTE(SUBSTITUTE(SUBSTITUTE($B733,"~","~~"),"*","~*"),"?","~?"),'DEF_SELF_SCOUT_IMPORT'!$Q$42:$Q$1040,SUBSTITUTE(SUBSTITUTE(SUBSTITUTE($M733,"~","~~"),"*","~*"),"?","~?"),'DEF_SELF_SCOUT_IMPORT'!$F$42:$F$1040,SUBSTITUTE(SUBSTITUTE(SUBSTITUTE($N733,"~","~~"),"*","~*"),"?","~?"),'DEF_SELF_SCOUT_IMPORT'!$G$42:$G$1040,SUBSTITUTE(SUBSTITUTE(SUBSTITUTE($O733,"~","~~"),"*","~*"),"?","~?"),'DEF_SELF_SCOUT_IMPORT'!$H$42:$H$1040,"RUSH")/$C733)</f>
        <v>0.0</v>
      </c>
      <c r="H733" s="10">
        <f>IF($C733=0,"",COUNTIFS('DEF_SELF_SCOUT_IMPORT'!$L$42:$L$1040,"Y",'DEF_SELF_SCOUT_IMPORT'!$E$42:$E$1040,SUBSTITUTE(SUBSTITUTE(SUBSTITUTE($B733,"~","~~"),"*","~*"),"?","~?"),'DEF_SELF_SCOUT_IMPORT'!$Q$42:$Q$1040,SUBSTITUTE(SUBSTITUTE(SUBSTITUTE($M733,"~","~~"),"*","~*"),"?","~?"),'DEF_SELF_SCOUT_IMPORT'!$F$42:$F$1040,SUBSTITUTE(SUBSTITUTE(SUBSTITUTE($N733,"~","~~"),"*","~*"),"?","~?"),'DEF_SELF_SCOUT_IMPORT'!$G$42:$G$1040,SUBSTITUTE(SUBSTITUTE(SUBSTITUTE($O733,"~","~~"),"*","~*"),"?","~?"),'DEF_SELF_SCOUT_IMPORT'!$H$42:$H$1040,"DROPBACK")/$C733)</f>
        <v>1.0</v>
      </c>
      <c r="I733" s="14" t="str">
        <f>IF(C733=0,"",IF(C733&lt;=2,"TRACK",IF(C733=3,"LOW",IF(C733&lt;=6,"MEDIUM","HIGH"))))</f>
        <v>TRACK</v>
      </c>
      <c r="J733" s="11">
        <f>IF(C733=0,"",ROUND(D733*70+(1-E733)*20+MAX(0,MIN(1,(10-F733)/10))*10,1))</f>
        <v>58.0</v>
      </c>
      <c r="K733" s="14" t="str">
        <f>IF(C733=0,"No Evidence",IF(C733&lt;=2,IF(E733&gt;0,"Explosive Alert","Track Only"),IF(C733=3,"Sample Watch",IF(E733&gt;=START_HERE!$B$31,"Explosive Alert",IF(J733&gt;=80,"Strong Candidate",IF(J733&gt;=65,"Good Candidate",IF(J733&gt;=50,"Mixed / Review","Problem Call")))))))</f>
        <v>Track Only</v>
      </c>
      <c r="L733" s="9" t="str">
        <f>IF(COUNTIFS('DEF_SELF_SCOUT_IMPORT'!$L$42:$L$1040,"Y",'DEF_SELF_SCOUT_IMPORT'!$E$42:$E$1040,SUBSTITUTE(SUBSTITUTE(SUBSTITUTE($B733,"~","~~"),"*","~*"),"?","~?"),'DEF_SELF_SCOUT_IMPORT'!$Q$42:$Q$1040,SUBSTITUTE(SUBSTITUTE(SUBSTITUTE($M733,"~","~~"),"*","~*"),"?","~?"),'DEF_SELF_SCOUT_IMPORT'!$F$42:$F$1040,SUBSTITUTE(SUBSTITUTE(SUBSTITUTE($N733,"~","~~"),"*","~*"),"?","~?"),'DEF_SELF_SCOUT_IMPORT'!$G$42:$G$1040,SUBSTITUTE(SUBSTITUTE(SUBSTITUTE($O733,"~","~~"),"*","~*"),"?","~?"),'DEF_SELF_SCOUT_IMPORT'!$J$42:$J$1040,"")&gt;0,"Unscored clean outcome; review result tags before using score.",IF(C733=0,"No matching defensive reps; film confirmation needed.",IF(K733="Explosive Alert","Explosive risk; review clips before using as answer.",IF(C733&lt;=2,"Track only; not enough sample.",IF(C733=3,IF(E733&gt;0,"Sample watch with explosive exposure; review clips and build the sample.",IF(J733&gt;=65,"Good signal, but sample is limited.","Sample watch; review clips and build the sample.")),IF(K733="Problem Call","Problem area; practice or call-sheet review.",IF(K733="Strong Candidate","Strong call-fit candidate; confirm on film.",IF(K733="Good Candidate","Good call-fit signal; confirm on film.","Mixed signal; review fit and execution on film."))))))))</f>
        <v>Track only; not enough sample.</v>
      </c>
      <c r="M733" s="8" t="s">
        <v>96</v>
      </c>
      <c r="N733" s="8" t="s">
        <v>120</v>
      </c>
      <c r="O733" s="8" t="s">
        <v>206</v>
      </c>
      <c r="P733" s="8"/>
      <c r="Q733" s="8"/>
      <c r="R733" s="8" t="s">
        <v>28</v>
      </c>
      <c r="S733" s="2" t="s">
        <v>379</v>
      </c>
      <c r="T733" s="2">
        <f>IF(C733=0,0,IF(C733&gt;=CALL_LOOKUP_BOARD!$B$7,IF(OR(K733="Problem Call",K733="Explosive Alert"),10000000,20000000),0)+IF(C733&gt;=CALL_LOOKUP_BOARD!$B$7,J733*1000+MIN(C733,999),C733*1000+J733)+0.00985500)</f>
        <v>2058.009855</v>
      </c>
      <c r="U733" s="2" t="str">
        <f>IF(C733=0,"",IF(COUNTIFS($S$589:$S$803,SUBSTITUTE(SUBSTITUTE(SUBSTITUTE(S733,"~","~~"),"*","~*"),"?","~?"),$T$589:$T$803,"&gt;"&amp;T733)=0,S733,""))</f>
        <v>6:3D 11+|2:11|3:3X1|</v>
      </c>
    </row>
    <row r="734" spans="1:21" ht="38" customHeight="1">
      <c r="A734" s="8" t="s">
        <v>378</v>
      </c>
      <c r="B734" s="8" t="s">
        <v>101</v>
      </c>
      <c r="C734" s="12">
        <f>COUNTIFS('DEF_SELF_SCOUT_IMPORT'!$L$42:$L$1040,"Y",'DEF_SELF_SCOUT_IMPORT'!$E$42:$E$1040,SUBSTITUTE(SUBSTITUTE(SUBSTITUTE($B734,"~","~~"),"*","~*"),"?","~?"),'DEF_SELF_SCOUT_IMPORT'!$Q$42:$Q$1040,SUBSTITUTE(SUBSTITUTE(SUBSTITUTE($M734,"~","~~"),"*","~*"),"?","~?"),'DEF_SELF_SCOUT_IMPORT'!$F$42:$F$1040,SUBSTITUTE(SUBSTITUTE(SUBSTITUTE($N734,"~","~~"),"*","~*"),"?","~?"),'DEF_SELF_SCOUT_IMPORT'!$G$42:$G$1040,SUBSTITUTE(SUBSTITUTE(SUBSTITUTE($O734,"~","~~"),"*","~*"),"?","~?"))</f>
        <v>2</v>
      </c>
      <c r="D734" s="10">
        <f>IF($C734=0,"",SUMIFS('DEF_SELF_SCOUT_IMPORT'!$J$42:$J$1040,'DEF_SELF_SCOUT_IMPORT'!$L$42:$L$1040,"Y",'DEF_SELF_SCOUT_IMPORT'!$E$42:$E$1040,SUBSTITUTE(SUBSTITUTE(SUBSTITUTE($B734,"~","~~"),"*","~*"),"?","~?"),'DEF_SELF_SCOUT_IMPORT'!$Q$42:$Q$1040,SUBSTITUTE(SUBSTITUTE(SUBSTITUTE($M734,"~","~~"),"*","~*"),"?","~?"),'DEF_SELF_SCOUT_IMPORT'!$F$42:$F$1040,SUBSTITUTE(SUBSTITUTE(SUBSTITUTE($N734,"~","~~"),"*","~*"),"?","~?"),'DEF_SELF_SCOUT_IMPORT'!$G$42:$G$1040,SUBSTITUTE(SUBSTITUTE(SUBSTITUTE($O734,"~","~~"),"*","~*"),"?","~?"))/$C734)</f>
        <v>0.5</v>
      </c>
      <c r="E734" s="10">
        <f>IF($C734=0,"",SUMIFS('DEF_SELF_SCOUT_IMPORT'!$K$42:$K$1040,'DEF_SELF_SCOUT_IMPORT'!$L$42:$L$1040,"Y",'DEF_SELF_SCOUT_IMPORT'!$E$42:$E$1040,SUBSTITUTE(SUBSTITUTE(SUBSTITUTE($B734,"~","~~"),"*","~*"),"?","~?"),'DEF_SELF_SCOUT_IMPORT'!$Q$42:$Q$1040,SUBSTITUTE(SUBSTITUTE(SUBSTITUTE($M734,"~","~~"),"*","~*"),"?","~?"),'DEF_SELF_SCOUT_IMPORT'!$F$42:$F$1040,SUBSTITUTE(SUBSTITUTE(SUBSTITUTE($N734,"~","~~"),"*","~*"),"?","~?"),'DEF_SELF_SCOUT_IMPORT'!$G$42:$G$1040,SUBSTITUTE(SUBSTITUTE(SUBSTITUTE($O734,"~","~~"),"*","~*"),"?","~?"))/$C734)</f>
        <v>0.5</v>
      </c>
      <c r="F734" s="11">
        <f>IF($C734=0,"",AVERAGEIFS('DEF_SELF_SCOUT_IMPORT'!$I$42:$I$1040,'DEF_SELF_SCOUT_IMPORT'!$L$42:$L$1040,"Y",'DEF_SELF_SCOUT_IMPORT'!$E$42:$E$1040,SUBSTITUTE(SUBSTITUTE(SUBSTITUTE($B734,"~","~~"),"*","~*"),"?","~?"),'DEF_SELF_SCOUT_IMPORT'!$Q$42:$Q$1040,SUBSTITUTE(SUBSTITUTE(SUBSTITUTE($M734,"~","~~"),"*","~*"),"?","~?"),'DEF_SELF_SCOUT_IMPORT'!$F$42:$F$1040,SUBSTITUTE(SUBSTITUTE(SUBSTITUTE($N734,"~","~~"),"*","~*"),"?","~?"),'DEF_SELF_SCOUT_IMPORT'!$G$42:$G$1040,SUBSTITUTE(SUBSTITUTE(SUBSTITUTE($O734,"~","~~"),"*","~*"),"?","~?")))</f>
        <v>27.0</v>
      </c>
      <c r="G734" s="10">
        <f>IF($C734=0,"",COUNTIFS('DEF_SELF_SCOUT_IMPORT'!$L$42:$L$1040,"Y",'DEF_SELF_SCOUT_IMPORT'!$E$42:$E$1040,SUBSTITUTE(SUBSTITUTE(SUBSTITUTE($B734,"~","~~"),"*","~*"),"?","~?"),'DEF_SELF_SCOUT_IMPORT'!$Q$42:$Q$1040,SUBSTITUTE(SUBSTITUTE(SUBSTITUTE($M734,"~","~~"),"*","~*"),"?","~?"),'DEF_SELF_SCOUT_IMPORT'!$F$42:$F$1040,SUBSTITUTE(SUBSTITUTE(SUBSTITUTE($N734,"~","~~"),"*","~*"),"?","~?"),'DEF_SELF_SCOUT_IMPORT'!$G$42:$G$1040,SUBSTITUTE(SUBSTITUTE(SUBSTITUTE($O734,"~","~~"),"*","~*"),"?","~?"),'DEF_SELF_SCOUT_IMPORT'!$H$42:$H$1040,"RUSH")/$C734)</f>
        <v>0.0</v>
      </c>
      <c r="H734" s="10">
        <f>IF($C734=0,"",COUNTIFS('DEF_SELF_SCOUT_IMPORT'!$L$42:$L$1040,"Y",'DEF_SELF_SCOUT_IMPORT'!$E$42:$E$1040,SUBSTITUTE(SUBSTITUTE(SUBSTITUTE($B734,"~","~~"),"*","~*"),"?","~?"),'DEF_SELF_SCOUT_IMPORT'!$Q$42:$Q$1040,SUBSTITUTE(SUBSTITUTE(SUBSTITUTE($M734,"~","~~"),"*","~*"),"?","~?"),'DEF_SELF_SCOUT_IMPORT'!$F$42:$F$1040,SUBSTITUTE(SUBSTITUTE(SUBSTITUTE($N734,"~","~~"),"*","~*"),"?","~?"),'DEF_SELF_SCOUT_IMPORT'!$G$42:$G$1040,SUBSTITUTE(SUBSTITUTE(SUBSTITUTE($O734,"~","~~"),"*","~*"),"?","~?"),'DEF_SELF_SCOUT_IMPORT'!$H$42:$H$1040,"DROPBACK")/$C734)</f>
        <v>1.0</v>
      </c>
      <c r="I734" s="14" t="str">
        <f>IF(C734=0,"",IF(C734&lt;=2,"TRACK",IF(C734=3,"LOW",IF(C734&lt;=6,"MEDIUM","HIGH"))))</f>
        <v>TRACK</v>
      </c>
      <c r="J734" s="11">
        <f>IF(C734=0,"",ROUND(D734*70+(1-E734)*20+MAX(0,MIN(1,(10-F734)/10))*10,1))</f>
        <v>45.0</v>
      </c>
      <c r="K734" s="14" t="str">
        <f>IF(C734=0,"No Evidence",IF(C734&lt;=2,IF(E734&gt;0,"Explosive Alert","Track Only"),IF(C734=3,"Sample Watch",IF(E734&gt;=START_HERE!$B$31,"Explosive Alert",IF(J734&gt;=80,"Strong Candidate",IF(J734&gt;=65,"Good Candidate",IF(J734&gt;=50,"Mixed / Review","Problem Call")))))))</f>
        <v>Explosive Alert</v>
      </c>
      <c r="L734" s="9" t="str">
        <f>IF(COUNTIFS('DEF_SELF_SCOUT_IMPORT'!$L$42:$L$1040,"Y",'DEF_SELF_SCOUT_IMPORT'!$E$42:$E$1040,SUBSTITUTE(SUBSTITUTE(SUBSTITUTE($B734,"~","~~"),"*","~*"),"?","~?"),'DEF_SELF_SCOUT_IMPORT'!$Q$42:$Q$1040,SUBSTITUTE(SUBSTITUTE(SUBSTITUTE($M734,"~","~~"),"*","~*"),"?","~?"),'DEF_SELF_SCOUT_IMPORT'!$F$42:$F$1040,SUBSTITUTE(SUBSTITUTE(SUBSTITUTE($N734,"~","~~"),"*","~*"),"?","~?"),'DEF_SELF_SCOUT_IMPORT'!$G$42:$G$1040,SUBSTITUTE(SUBSTITUTE(SUBSTITUTE($O734,"~","~~"),"*","~*"),"?","~?"),'DEF_SELF_SCOUT_IMPORT'!$J$42:$J$1040,"")&gt;0,"Unscored clean outcome; review result tags before using score.",IF(C734=0,"No matching defensive reps; film confirmation needed.",IF(K734="Explosive Alert","Explosive risk; review clips before using as answer.",IF(C734&lt;=2,"Track only; not enough sample.",IF(C734=3,IF(E734&gt;0,"Sample watch with explosive exposure; review clips and build the sample.",IF(J734&gt;=65,"Good signal, but sample is limited.","Sample watch; review clips and build the sample.")),IF(K734="Problem Call","Problem area; practice or call-sheet review.",IF(K734="Strong Candidate","Strong call-fit candidate; confirm on film.",IF(K734="Good Candidate","Good call-fit signal; confirm on film.","Mixed signal; review fit and execution on film."))))))))</f>
        <v>Explosive risk; review clips before using as answer.</v>
      </c>
      <c r="M734" s="8" t="s">
        <v>96</v>
      </c>
      <c r="N734" s="8" t="s">
        <v>120</v>
      </c>
      <c r="O734" s="8" t="s">
        <v>206</v>
      </c>
      <c r="P734" s="8"/>
      <c r="Q734" s="8"/>
      <c r="R734" s="8" t="s">
        <v>28</v>
      </c>
      <c r="S734" s="2" t="s">
        <v>379</v>
      </c>
      <c r="T734" s="2">
        <f>IF(C734=0,0,IF(C734&gt;=CALL_LOOKUP_BOARD!$B$7,IF(OR(K734="Problem Call",K734="Explosive Alert"),10000000,20000000),0)+IF(C734&gt;=CALL_LOOKUP_BOARD!$B$7,J734*1000+MIN(C734,999),C734*1000+J734)+0.00985400)</f>
        <v>2045.009854</v>
      </c>
      <c r="U734" s="2">
        <f>IF(C734=0,"",IF(COUNTIFS($S$589:$S$803,SUBSTITUTE(SUBSTITUTE(SUBSTITUTE(S734,"~","~~"),"*","~*"),"?","~?"),$T$589:$T$803,"&gt;"&amp;T734)=0,S734,""))</f>
        <v/>
      </c>
    </row>
    <row r="735" spans="1:21" ht="38" customHeight="1">
      <c r="A735" s="8" t="s">
        <v>380</v>
      </c>
      <c r="B735" s="8" t="s">
        <v>77</v>
      </c>
      <c r="C735" s="12">
        <f>COUNTIFS('DEF_SELF_SCOUT_IMPORT'!$L$42:$L$1040,"Y",'DEF_SELF_SCOUT_IMPORT'!$E$42:$E$1040,SUBSTITUTE(SUBSTITUTE(SUBSTITUTE($B735,"~","~~"),"*","~*"),"?","~?"),'DEF_SELF_SCOUT_IMPORT'!$Q$42:$Q$1040,SUBSTITUTE(SUBSTITUTE(SUBSTITUTE($M735,"~","~~"),"*","~*"),"?","~?"),'DEF_SELF_SCOUT_IMPORT'!$F$42:$F$1040,SUBSTITUTE(SUBSTITUTE(SUBSTITUTE($N735,"~","~~"),"*","~*"),"?","~?"),'DEF_SELF_SCOUT_IMPORT'!$G$42:$G$1040,SUBSTITUTE(SUBSTITUTE(SUBSTITUTE($O735,"~","~~"),"*","~*"),"?","~?"))</f>
        <v>1</v>
      </c>
      <c r="D735" s="10">
        <f>IF($C735=0,"",SUMIFS('DEF_SELF_SCOUT_IMPORT'!$J$42:$J$1040,'DEF_SELF_SCOUT_IMPORT'!$L$42:$L$1040,"Y",'DEF_SELF_SCOUT_IMPORT'!$E$42:$E$1040,SUBSTITUTE(SUBSTITUTE(SUBSTITUTE($B735,"~","~~"),"*","~*"),"?","~?"),'DEF_SELF_SCOUT_IMPORT'!$Q$42:$Q$1040,SUBSTITUTE(SUBSTITUTE(SUBSTITUTE($M735,"~","~~"),"*","~*"),"?","~?"),'DEF_SELF_SCOUT_IMPORT'!$F$42:$F$1040,SUBSTITUTE(SUBSTITUTE(SUBSTITUTE($N735,"~","~~"),"*","~*"),"?","~?"),'DEF_SELF_SCOUT_IMPORT'!$G$42:$G$1040,SUBSTITUTE(SUBSTITUTE(SUBSTITUTE($O735,"~","~~"),"*","~*"),"?","~?"))/$C735)</f>
        <v>1.0</v>
      </c>
      <c r="E735" s="10">
        <f>IF($C735=0,"",SUMIFS('DEF_SELF_SCOUT_IMPORT'!$K$42:$K$1040,'DEF_SELF_SCOUT_IMPORT'!$L$42:$L$1040,"Y",'DEF_SELF_SCOUT_IMPORT'!$E$42:$E$1040,SUBSTITUTE(SUBSTITUTE(SUBSTITUTE($B735,"~","~~"),"*","~*"),"?","~?"),'DEF_SELF_SCOUT_IMPORT'!$Q$42:$Q$1040,SUBSTITUTE(SUBSTITUTE(SUBSTITUTE($M735,"~","~~"),"*","~*"),"?","~?"),'DEF_SELF_SCOUT_IMPORT'!$F$42:$F$1040,SUBSTITUTE(SUBSTITUTE(SUBSTITUTE($N735,"~","~~"),"*","~*"),"?","~?"),'DEF_SELF_SCOUT_IMPORT'!$G$42:$G$1040,SUBSTITUTE(SUBSTITUTE(SUBSTITUTE($O735,"~","~~"),"*","~*"),"?","~?"))/$C735)</f>
        <v>0.0</v>
      </c>
      <c r="F735" s="11">
        <f>IF($C735=0,"",AVERAGEIFS('DEF_SELF_SCOUT_IMPORT'!$I$42:$I$1040,'DEF_SELF_SCOUT_IMPORT'!$L$42:$L$1040,"Y",'DEF_SELF_SCOUT_IMPORT'!$E$42:$E$1040,SUBSTITUTE(SUBSTITUTE(SUBSTITUTE($B735,"~","~~"),"*","~*"),"?","~?"),'DEF_SELF_SCOUT_IMPORT'!$Q$42:$Q$1040,SUBSTITUTE(SUBSTITUTE(SUBSTITUTE($M735,"~","~~"),"*","~*"),"?","~?"),'DEF_SELF_SCOUT_IMPORT'!$F$42:$F$1040,SUBSTITUTE(SUBSTITUTE(SUBSTITUTE($N735,"~","~~"),"*","~*"),"?","~?"),'DEF_SELF_SCOUT_IMPORT'!$G$42:$G$1040,SUBSTITUTE(SUBSTITUTE(SUBSTITUTE($O735,"~","~~"),"*","~*"),"?","~?")))</f>
        <v>-1.0</v>
      </c>
      <c r="G735" s="10">
        <f>IF($C735=0,"",COUNTIFS('DEF_SELF_SCOUT_IMPORT'!$L$42:$L$1040,"Y",'DEF_SELF_SCOUT_IMPORT'!$E$42:$E$1040,SUBSTITUTE(SUBSTITUTE(SUBSTITUTE($B735,"~","~~"),"*","~*"),"?","~?"),'DEF_SELF_SCOUT_IMPORT'!$Q$42:$Q$1040,SUBSTITUTE(SUBSTITUTE(SUBSTITUTE($M735,"~","~~"),"*","~*"),"?","~?"),'DEF_SELF_SCOUT_IMPORT'!$F$42:$F$1040,SUBSTITUTE(SUBSTITUTE(SUBSTITUTE($N735,"~","~~"),"*","~*"),"?","~?"),'DEF_SELF_SCOUT_IMPORT'!$G$42:$G$1040,SUBSTITUTE(SUBSTITUTE(SUBSTITUTE($O735,"~","~~"),"*","~*"),"?","~?"),'DEF_SELF_SCOUT_IMPORT'!$H$42:$H$1040,"RUSH")/$C735)</f>
        <v>1.0</v>
      </c>
      <c r="H735" s="10">
        <f>IF($C735=0,"",COUNTIFS('DEF_SELF_SCOUT_IMPORT'!$L$42:$L$1040,"Y",'DEF_SELF_SCOUT_IMPORT'!$E$42:$E$1040,SUBSTITUTE(SUBSTITUTE(SUBSTITUTE($B735,"~","~~"),"*","~*"),"?","~?"),'DEF_SELF_SCOUT_IMPORT'!$Q$42:$Q$1040,SUBSTITUTE(SUBSTITUTE(SUBSTITUTE($M735,"~","~~"),"*","~*"),"?","~?"),'DEF_SELF_SCOUT_IMPORT'!$F$42:$F$1040,SUBSTITUTE(SUBSTITUTE(SUBSTITUTE($N735,"~","~~"),"*","~*"),"?","~?"),'DEF_SELF_SCOUT_IMPORT'!$G$42:$G$1040,SUBSTITUTE(SUBSTITUTE(SUBSTITUTE($O735,"~","~~"),"*","~*"),"?","~?"),'DEF_SELF_SCOUT_IMPORT'!$H$42:$H$1040,"DROPBACK")/$C735)</f>
        <v>0.0</v>
      </c>
      <c r="I735" s="14" t="str">
        <f>IF(C735=0,"",IF(C735&lt;=2,"TRACK",IF(C735=3,"LOW",IF(C735&lt;=6,"MEDIUM","HIGH"))))</f>
        <v>TRACK</v>
      </c>
      <c r="J735" s="11">
        <f>IF(C735=0,"",ROUND(D735*70+(1-E735)*20+MAX(0,MIN(1,(10-F735)/10))*10,1))</f>
        <v>100.0</v>
      </c>
      <c r="K735" s="14" t="str">
        <f>IF(C735=0,"No Evidence",IF(C735&lt;=2,IF(E735&gt;0,"Explosive Alert","Track Only"),IF(C735=3,"Sample Watch",IF(E735&gt;=START_HERE!$B$31,"Explosive Alert",IF(J735&gt;=80,"Strong Candidate",IF(J735&gt;=65,"Good Candidate",IF(J735&gt;=50,"Mixed / Review","Problem Call")))))))</f>
        <v>Track Only</v>
      </c>
      <c r="L735" s="9" t="str">
        <f>IF(COUNTIFS('DEF_SELF_SCOUT_IMPORT'!$L$42:$L$1040,"Y",'DEF_SELF_SCOUT_IMPORT'!$E$42:$E$1040,SUBSTITUTE(SUBSTITUTE(SUBSTITUTE($B735,"~","~~"),"*","~*"),"?","~?"),'DEF_SELF_SCOUT_IMPORT'!$Q$42:$Q$1040,SUBSTITUTE(SUBSTITUTE(SUBSTITUTE($M735,"~","~~"),"*","~*"),"?","~?"),'DEF_SELF_SCOUT_IMPORT'!$F$42:$F$1040,SUBSTITUTE(SUBSTITUTE(SUBSTITUTE($N735,"~","~~"),"*","~*"),"?","~?"),'DEF_SELF_SCOUT_IMPORT'!$G$42:$G$1040,SUBSTITUTE(SUBSTITUTE(SUBSTITUTE($O735,"~","~~"),"*","~*"),"?","~?"),'DEF_SELF_SCOUT_IMPORT'!$J$42:$J$1040,"")&gt;0,"Unscored clean outcome; review result tags before using score.",IF(C735=0,"No matching defensive reps; film confirmation needed.",IF(K735="Explosive Alert","Explosive risk; review clips before using as answer.",IF(C735&lt;=2,"Track only; not enough sample.",IF(C735=3,IF(E735&gt;0,"Sample watch with explosive exposure; review clips and build the sample.",IF(J735&gt;=65,"Good signal, but sample is limited.","Sample watch; review clips and build the sample.")),IF(K735="Problem Call","Problem area; practice or call-sheet review.",IF(K735="Strong Candidate","Strong call-fit candidate; confirm on film.",IF(K735="Good Candidate","Good call-fit signal; confirm on film.","Mixed signal; review fit and execution on film."))))))))</f>
        <v>Track only; not enough sample.</v>
      </c>
      <c r="M735" s="8" t="s">
        <v>103</v>
      </c>
      <c r="N735" s="8" t="s">
        <v>132</v>
      </c>
      <c r="O735" s="8" t="s">
        <v>206</v>
      </c>
      <c r="P735" s="8"/>
      <c r="Q735" s="8"/>
      <c r="R735" s="8" t="s">
        <v>28</v>
      </c>
      <c r="S735" s="2" t="s">
        <v>381</v>
      </c>
      <c r="T735" s="2">
        <f>IF(C735=0,0,IF(C735&gt;=CALL_LOOKUP_BOARD!$B$7,IF(OR(K735="Problem Call",K735="Explosive Alert"),10000000,20000000),0)+IF(C735&gt;=CALL_LOOKUP_BOARD!$B$7,J735*1000+MIN(C735,999),C735*1000+J735)+0.00985300)</f>
        <v>1100.009853</v>
      </c>
      <c r="U735" s="2" t="str">
        <f>IF(C735=0,"",IF(COUNTIFS($S$589:$S$803,SUBSTITUTE(SUBSTITUTE(SUBSTITUTE(S735,"~","~~"),"*","~*"),"?","~?"),$T$589:$T$803,"&gt;"&amp;T735)=0,S735,""))</f>
        <v>6:3D 4-6|2:00|3:3X1|</v>
      </c>
    </row>
    <row r="736" spans="1:21" ht="38" customHeight="1">
      <c r="A736" s="8" t="s">
        <v>382</v>
      </c>
      <c r="B736" s="8" t="s">
        <v>80</v>
      </c>
      <c r="C736" s="12">
        <f>COUNTIFS('DEF_SELF_SCOUT_IMPORT'!$L$42:$L$1040,"Y",'DEF_SELF_SCOUT_IMPORT'!$E$42:$E$1040,SUBSTITUTE(SUBSTITUTE(SUBSTITUTE($B736,"~","~~"),"*","~*"),"?","~?"),'DEF_SELF_SCOUT_IMPORT'!$Q$42:$Q$1040,SUBSTITUTE(SUBSTITUTE(SUBSTITUTE($M736,"~","~~"),"*","~*"),"?","~?"),'DEF_SELF_SCOUT_IMPORT'!$F$42:$F$1040,SUBSTITUTE(SUBSTITUTE(SUBSTITUTE($N736,"~","~~"),"*","~*"),"?","~?"),'DEF_SELF_SCOUT_IMPORT'!$G$42:$G$1040,SUBSTITUTE(SUBSTITUTE(SUBSTITUTE($O736,"~","~~"),"*","~*"),"?","~?"))</f>
        <v>1</v>
      </c>
      <c r="D736" s="10">
        <f>IF($C736=0,"",SUMIFS('DEF_SELF_SCOUT_IMPORT'!$J$42:$J$1040,'DEF_SELF_SCOUT_IMPORT'!$L$42:$L$1040,"Y",'DEF_SELF_SCOUT_IMPORT'!$E$42:$E$1040,SUBSTITUTE(SUBSTITUTE(SUBSTITUTE($B736,"~","~~"),"*","~*"),"?","~?"),'DEF_SELF_SCOUT_IMPORT'!$Q$42:$Q$1040,SUBSTITUTE(SUBSTITUTE(SUBSTITUTE($M736,"~","~~"),"*","~*"),"?","~?"),'DEF_SELF_SCOUT_IMPORT'!$F$42:$F$1040,SUBSTITUTE(SUBSTITUTE(SUBSTITUTE($N736,"~","~~"),"*","~*"),"?","~?"),'DEF_SELF_SCOUT_IMPORT'!$G$42:$G$1040,SUBSTITUTE(SUBSTITUTE(SUBSTITUTE($O736,"~","~~"),"*","~*"),"?","~?"))/$C736)</f>
        <v>1.0</v>
      </c>
      <c r="E736" s="10">
        <f>IF($C736=0,"",SUMIFS('DEF_SELF_SCOUT_IMPORT'!$K$42:$K$1040,'DEF_SELF_SCOUT_IMPORT'!$L$42:$L$1040,"Y",'DEF_SELF_SCOUT_IMPORT'!$E$42:$E$1040,SUBSTITUTE(SUBSTITUTE(SUBSTITUTE($B736,"~","~~"),"*","~*"),"?","~?"),'DEF_SELF_SCOUT_IMPORT'!$Q$42:$Q$1040,SUBSTITUTE(SUBSTITUTE(SUBSTITUTE($M736,"~","~~"),"*","~*"),"?","~?"),'DEF_SELF_SCOUT_IMPORT'!$F$42:$F$1040,SUBSTITUTE(SUBSTITUTE(SUBSTITUTE($N736,"~","~~"),"*","~*"),"?","~?"),'DEF_SELF_SCOUT_IMPORT'!$G$42:$G$1040,SUBSTITUTE(SUBSTITUTE(SUBSTITUTE($O736,"~","~~"),"*","~*"),"?","~?"))/$C736)</f>
        <v>0.0</v>
      </c>
      <c r="F736" s="11">
        <f>IF($C736=0,"",AVERAGEIFS('DEF_SELF_SCOUT_IMPORT'!$I$42:$I$1040,'DEF_SELF_SCOUT_IMPORT'!$L$42:$L$1040,"Y",'DEF_SELF_SCOUT_IMPORT'!$E$42:$E$1040,SUBSTITUTE(SUBSTITUTE(SUBSTITUTE($B736,"~","~~"),"*","~*"),"?","~?"),'DEF_SELF_SCOUT_IMPORT'!$Q$42:$Q$1040,SUBSTITUTE(SUBSTITUTE(SUBSTITUTE($M736,"~","~~"),"*","~*"),"?","~?"),'DEF_SELF_SCOUT_IMPORT'!$F$42:$F$1040,SUBSTITUTE(SUBSTITUTE(SUBSTITUTE($N736,"~","~~"),"*","~*"),"?","~?"),'DEF_SELF_SCOUT_IMPORT'!$G$42:$G$1040,SUBSTITUTE(SUBSTITUTE(SUBSTITUTE($O736,"~","~~"),"*","~*"),"?","~?")))</f>
        <v>2.0</v>
      </c>
      <c r="G736" s="10">
        <f>IF($C736=0,"",COUNTIFS('DEF_SELF_SCOUT_IMPORT'!$L$42:$L$1040,"Y",'DEF_SELF_SCOUT_IMPORT'!$E$42:$E$1040,SUBSTITUTE(SUBSTITUTE(SUBSTITUTE($B736,"~","~~"),"*","~*"),"?","~?"),'DEF_SELF_SCOUT_IMPORT'!$Q$42:$Q$1040,SUBSTITUTE(SUBSTITUTE(SUBSTITUTE($M736,"~","~~"),"*","~*"),"?","~?"),'DEF_SELF_SCOUT_IMPORT'!$F$42:$F$1040,SUBSTITUTE(SUBSTITUTE(SUBSTITUTE($N736,"~","~~"),"*","~*"),"?","~?"),'DEF_SELF_SCOUT_IMPORT'!$G$42:$G$1040,SUBSTITUTE(SUBSTITUTE(SUBSTITUTE($O736,"~","~~"),"*","~*"),"?","~?"),'DEF_SELF_SCOUT_IMPORT'!$H$42:$H$1040,"RUSH")/$C736)</f>
        <v>1.0</v>
      </c>
      <c r="H736" s="10">
        <f>IF($C736=0,"",COUNTIFS('DEF_SELF_SCOUT_IMPORT'!$L$42:$L$1040,"Y",'DEF_SELF_SCOUT_IMPORT'!$E$42:$E$1040,SUBSTITUTE(SUBSTITUTE(SUBSTITUTE($B736,"~","~~"),"*","~*"),"?","~?"),'DEF_SELF_SCOUT_IMPORT'!$Q$42:$Q$1040,SUBSTITUTE(SUBSTITUTE(SUBSTITUTE($M736,"~","~~"),"*","~*"),"?","~?"),'DEF_SELF_SCOUT_IMPORT'!$F$42:$F$1040,SUBSTITUTE(SUBSTITUTE(SUBSTITUTE($N736,"~","~~"),"*","~*"),"?","~?"),'DEF_SELF_SCOUT_IMPORT'!$G$42:$G$1040,SUBSTITUTE(SUBSTITUTE(SUBSTITUTE($O736,"~","~~"),"*","~*"),"?","~?"),'DEF_SELF_SCOUT_IMPORT'!$H$42:$H$1040,"DROPBACK")/$C736)</f>
        <v>0.0</v>
      </c>
      <c r="I736" s="14" t="str">
        <f>IF(C736=0,"",IF(C736&lt;=2,"TRACK",IF(C736=3,"LOW",IF(C736&lt;=6,"MEDIUM","HIGH"))))</f>
        <v>TRACK</v>
      </c>
      <c r="J736" s="11">
        <f>IF(C736=0,"",ROUND(D736*70+(1-E736)*20+MAX(0,MIN(1,(10-F736)/10))*10,1))</f>
        <v>98.0</v>
      </c>
      <c r="K736" s="14" t="str">
        <f>IF(C736=0,"No Evidence",IF(C736&lt;=2,IF(E736&gt;0,"Explosive Alert","Track Only"),IF(C736=3,"Sample Watch",IF(E736&gt;=START_HERE!$B$31,"Explosive Alert",IF(J736&gt;=80,"Strong Candidate",IF(J736&gt;=65,"Good Candidate",IF(J736&gt;=50,"Mixed / Review","Problem Call")))))))</f>
        <v>Track Only</v>
      </c>
      <c r="L736" s="9" t="str">
        <f>IF(COUNTIFS('DEF_SELF_SCOUT_IMPORT'!$L$42:$L$1040,"Y",'DEF_SELF_SCOUT_IMPORT'!$E$42:$E$1040,SUBSTITUTE(SUBSTITUTE(SUBSTITUTE($B736,"~","~~"),"*","~*"),"?","~?"),'DEF_SELF_SCOUT_IMPORT'!$Q$42:$Q$1040,SUBSTITUTE(SUBSTITUTE(SUBSTITUTE($M736,"~","~~"),"*","~*"),"?","~?"),'DEF_SELF_SCOUT_IMPORT'!$F$42:$F$1040,SUBSTITUTE(SUBSTITUTE(SUBSTITUTE($N736,"~","~~"),"*","~*"),"?","~?"),'DEF_SELF_SCOUT_IMPORT'!$G$42:$G$1040,SUBSTITUTE(SUBSTITUTE(SUBSTITUTE($O736,"~","~~"),"*","~*"),"?","~?"),'DEF_SELF_SCOUT_IMPORT'!$J$42:$J$1040,"")&gt;0,"Unscored clean outcome; review result tags before using score.",IF(C736=0,"No matching defensive reps; film confirmation needed.",IF(K736="Explosive Alert","Explosive risk; review clips before using as answer.",IF(C736&lt;=2,"Track only; not enough sample.",IF(C736=3,IF(E736&gt;0,"Sample watch with explosive exposure; review clips and build the sample.",IF(J736&gt;=65,"Good signal, but sample is limited.","Sample watch; review clips and build the sample.")),IF(K736="Problem Call","Problem area; practice or call-sheet review.",IF(K736="Strong Candidate","Strong call-fit candidate; confirm on film.",IF(K736="Good Candidate","Good call-fit signal; confirm on film.","Mixed signal; review fit and execution on film."))))))))</f>
        <v>Track only; not enough sample.</v>
      </c>
      <c r="M736" s="8" t="s">
        <v>103</v>
      </c>
      <c r="N736" s="8" t="s">
        <v>175</v>
      </c>
      <c r="O736" s="8" t="s">
        <v>206</v>
      </c>
      <c r="P736" s="8"/>
      <c r="Q736" s="8"/>
      <c r="R736" s="8" t="s">
        <v>28</v>
      </c>
      <c r="S736" s="2" t="s">
        <v>383</v>
      </c>
      <c r="T736" s="2">
        <f>IF(C736=0,0,IF(C736&gt;=CALL_LOOKUP_BOARD!$B$7,IF(OR(K736="Problem Call",K736="Explosive Alert"),10000000,20000000),0)+IF(C736&gt;=CALL_LOOKUP_BOARD!$B$7,J736*1000+MIN(C736,999),C736*1000+J736)+0.00985200)</f>
        <v>1098.009852</v>
      </c>
      <c r="U736" s="2" t="str">
        <f>IF(C736=0,"",IF(COUNTIFS($S$589:$S$803,SUBSTITUTE(SUBSTITUTE(SUBSTITUTE(S736,"~","~~"),"*","~*"),"?","~?"),$T$589:$T$803,"&gt;"&amp;T736)=0,S736,""))</f>
        <v>6:3D 4-6|2:10|3:3X1|</v>
      </c>
    </row>
    <row r="737" spans="1:21" ht="38" customHeight="1">
      <c r="A737" s="8" t="s">
        <v>384</v>
      </c>
      <c r="B737" s="8" t="s">
        <v>27</v>
      </c>
      <c r="C737" s="12">
        <f>COUNTIFS('DEF_SELF_SCOUT_IMPORT'!$L$42:$L$1040,"Y",'DEF_SELF_SCOUT_IMPORT'!$E$42:$E$1040,SUBSTITUTE(SUBSTITUTE(SUBSTITUTE($B737,"~","~~"),"*","~*"),"?","~?"),'DEF_SELF_SCOUT_IMPORT'!$Q$42:$Q$1040,SUBSTITUTE(SUBSTITUTE(SUBSTITUTE($M737,"~","~~"),"*","~*"),"?","~?"),'DEF_SELF_SCOUT_IMPORT'!$F$42:$F$1040,SUBSTITUTE(SUBSTITUTE(SUBSTITUTE($N737,"~","~~"),"*","~*"),"?","~?"),'DEF_SELF_SCOUT_IMPORT'!$G$42:$G$1040,SUBSTITUTE(SUBSTITUTE(SUBSTITUTE($O737,"~","~~"),"*","~*"),"?","~?"))</f>
        <v>1</v>
      </c>
      <c r="D737" s="10">
        <f>IF($C737=0,"",SUMIFS('DEF_SELF_SCOUT_IMPORT'!$J$42:$J$1040,'DEF_SELF_SCOUT_IMPORT'!$L$42:$L$1040,"Y",'DEF_SELF_SCOUT_IMPORT'!$E$42:$E$1040,SUBSTITUTE(SUBSTITUTE(SUBSTITUTE($B737,"~","~~"),"*","~*"),"?","~?"),'DEF_SELF_SCOUT_IMPORT'!$Q$42:$Q$1040,SUBSTITUTE(SUBSTITUTE(SUBSTITUTE($M737,"~","~~"),"*","~*"),"?","~?"),'DEF_SELF_SCOUT_IMPORT'!$F$42:$F$1040,SUBSTITUTE(SUBSTITUTE(SUBSTITUTE($N737,"~","~~"),"*","~*"),"?","~?"),'DEF_SELF_SCOUT_IMPORT'!$G$42:$G$1040,SUBSTITUTE(SUBSTITUTE(SUBSTITUTE($O737,"~","~~"),"*","~*"),"?","~?"))/$C737)</f>
        <v>1.0</v>
      </c>
      <c r="E737" s="10">
        <f>IF($C737=0,"",SUMIFS('DEF_SELF_SCOUT_IMPORT'!$K$42:$K$1040,'DEF_SELF_SCOUT_IMPORT'!$L$42:$L$1040,"Y",'DEF_SELF_SCOUT_IMPORT'!$E$42:$E$1040,SUBSTITUTE(SUBSTITUTE(SUBSTITUTE($B737,"~","~~"),"*","~*"),"?","~?"),'DEF_SELF_SCOUT_IMPORT'!$Q$42:$Q$1040,SUBSTITUTE(SUBSTITUTE(SUBSTITUTE($M737,"~","~~"),"*","~*"),"?","~?"),'DEF_SELF_SCOUT_IMPORT'!$F$42:$F$1040,SUBSTITUTE(SUBSTITUTE(SUBSTITUTE($N737,"~","~~"),"*","~*"),"?","~?"),'DEF_SELF_SCOUT_IMPORT'!$G$42:$G$1040,SUBSTITUTE(SUBSTITUTE(SUBSTITUTE($O737,"~","~~"),"*","~*"),"?","~?"))/$C737)</f>
        <v>0.0</v>
      </c>
      <c r="F737" s="11">
        <f>IF($C737=0,"",AVERAGEIFS('DEF_SELF_SCOUT_IMPORT'!$I$42:$I$1040,'DEF_SELF_SCOUT_IMPORT'!$L$42:$L$1040,"Y",'DEF_SELF_SCOUT_IMPORT'!$E$42:$E$1040,SUBSTITUTE(SUBSTITUTE(SUBSTITUTE($B737,"~","~~"),"*","~*"),"?","~?"),'DEF_SELF_SCOUT_IMPORT'!$Q$42:$Q$1040,SUBSTITUTE(SUBSTITUTE(SUBSTITUTE($M737,"~","~~"),"*","~*"),"?","~?"),'DEF_SELF_SCOUT_IMPORT'!$F$42:$F$1040,SUBSTITUTE(SUBSTITUTE(SUBSTITUTE($N737,"~","~~"),"*","~*"),"?","~?"),'DEF_SELF_SCOUT_IMPORT'!$G$42:$G$1040,SUBSTITUTE(SUBSTITUTE(SUBSTITUTE($O737,"~","~~"),"*","~*"),"?","~?")))</f>
        <v>0.0</v>
      </c>
      <c r="G737" s="10">
        <f>IF($C737=0,"",COUNTIFS('DEF_SELF_SCOUT_IMPORT'!$L$42:$L$1040,"Y",'DEF_SELF_SCOUT_IMPORT'!$E$42:$E$1040,SUBSTITUTE(SUBSTITUTE(SUBSTITUTE($B737,"~","~~"),"*","~*"),"?","~?"),'DEF_SELF_SCOUT_IMPORT'!$Q$42:$Q$1040,SUBSTITUTE(SUBSTITUTE(SUBSTITUTE($M737,"~","~~"),"*","~*"),"?","~?"),'DEF_SELF_SCOUT_IMPORT'!$F$42:$F$1040,SUBSTITUTE(SUBSTITUTE(SUBSTITUTE($N737,"~","~~"),"*","~*"),"?","~?"),'DEF_SELF_SCOUT_IMPORT'!$G$42:$G$1040,SUBSTITUTE(SUBSTITUTE(SUBSTITUTE($O737,"~","~~"),"*","~*"),"?","~?"),'DEF_SELF_SCOUT_IMPORT'!$H$42:$H$1040,"RUSH")/$C737)</f>
        <v>0.0</v>
      </c>
      <c r="H737" s="10">
        <f>IF($C737=0,"",COUNTIFS('DEF_SELF_SCOUT_IMPORT'!$L$42:$L$1040,"Y",'DEF_SELF_SCOUT_IMPORT'!$E$42:$E$1040,SUBSTITUTE(SUBSTITUTE(SUBSTITUTE($B737,"~","~~"),"*","~*"),"?","~?"),'DEF_SELF_SCOUT_IMPORT'!$Q$42:$Q$1040,SUBSTITUTE(SUBSTITUTE(SUBSTITUTE($M737,"~","~~"),"*","~*"),"?","~?"),'DEF_SELF_SCOUT_IMPORT'!$F$42:$F$1040,SUBSTITUTE(SUBSTITUTE(SUBSTITUTE($N737,"~","~~"),"*","~*"),"?","~?"),'DEF_SELF_SCOUT_IMPORT'!$G$42:$G$1040,SUBSTITUTE(SUBSTITUTE(SUBSTITUTE($O737,"~","~~"),"*","~*"),"?","~?"),'DEF_SELF_SCOUT_IMPORT'!$H$42:$H$1040,"DROPBACK")/$C737)</f>
        <v>1.0</v>
      </c>
      <c r="I737" s="14" t="str">
        <f>IF(C737=0,"",IF(C737&lt;=2,"TRACK",IF(C737=3,"LOW",IF(C737&lt;=6,"MEDIUM","HIGH"))))</f>
        <v>TRACK</v>
      </c>
      <c r="J737" s="11">
        <f>IF(C737=0,"",ROUND(D737*70+(1-E737)*20+MAX(0,MIN(1,(10-F737)/10))*10,1))</f>
        <v>100.0</v>
      </c>
      <c r="K737" s="14" t="str">
        <f>IF(C737=0,"No Evidence",IF(C737&lt;=2,IF(E737&gt;0,"Explosive Alert","Track Only"),IF(C737=3,"Sample Watch",IF(E737&gt;=START_HERE!$B$31,"Explosive Alert",IF(J737&gt;=80,"Strong Candidate",IF(J737&gt;=65,"Good Candidate",IF(J737&gt;=50,"Mixed / Review","Problem Call")))))))</f>
        <v>Track Only</v>
      </c>
      <c r="L737" s="9" t="str">
        <f>IF(COUNTIFS('DEF_SELF_SCOUT_IMPORT'!$L$42:$L$1040,"Y",'DEF_SELF_SCOUT_IMPORT'!$E$42:$E$1040,SUBSTITUTE(SUBSTITUTE(SUBSTITUTE($B737,"~","~~"),"*","~*"),"?","~?"),'DEF_SELF_SCOUT_IMPORT'!$Q$42:$Q$1040,SUBSTITUTE(SUBSTITUTE(SUBSTITUTE($M737,"~","~~"),"*","~*"),"?","~?"),'DEF_SELF_SCOUT_IMPORT'!$F$42:$F$1040,SUBSTITUTE(SUBSTITUTE(SUBSTITUTE($N737,"~","~~"),"*","~*"),"?","~?"),'DEF_SELF_SCOUT_IMPORT'!$G$42:$G$1040,SUBSTITUTE(SUBSTITUTE(SUBSTITUTE($O737,"~","~~"),"*","~*"),"?","~?"),'DEF_SELF_SCOUT_IMPORT'!$J$42:$J$1040,"")&gt;0,"Unscored clean outcome; review result tags before using score.",IF(C737=0,"No matching defensive reps; film confirmation needed.",IF(K737="Explosive Alert","Explosive risk; review clips before using as answer.",IF(C737&lt;=2,"Track only; not enough sample.",IF(C737=3,IF(E737&gt;0,"Sample watch with explosive exposure; review clips and build the sample.",IF(J737&gt;=65,"Good signal, but sample is limited.","Sample watch; review clips and build the sample.")),IF(K737="Problem Call","Problem area; practice or call-sheet review.",IF(K737="Strong Candidate","Strong call-fit candidate; confirm on film.",IF(K737="Good Candidate","Good call-fit signal; confirm on film.","Mixed signal; review fit and execution on film."))))))))</f>
        <v>Track only; not enough sample.</v>
      </c>
      <c r="M737" s="8" t="s">
        <v>103</v>
      </c>
      <c r="N737" s="8" t="s">
        <v>120</v>
      </c>
      <c r="O737" s="8" t="s">
        <v>203</v>
      </c>
      <c r="P737" s="8"/>
      <c r="Q737" s="8"/>
      <c r="R737" s="8" t="s">
        <v>28</v>
      </c>
      <c r="S737" s="2" t="s">
        <v>385</v>
      </c>
      <c r="T737" s="2">
        <f>IF(C737=0,0,IF(C737&gt;=CALL_LOOKUP_BOARD!$B$7,IF(OR(K737="Problem Call",K737="Explosive Alert"),10000000,20000000),0)+IF(C737&gt;=CALL_LOOKUP_BOARD!$B$7,J737*1000+MIN(C737,999),C737*1000+J737)+0.00985100)</f>
        <v>1100.009851</v>
      </c>
      <c r="U737" s="2" t="str">
        <f>IF(C737=0,"",IF(COUNTIFS($S$589:$S$803,SUBSTITUTE(SUBSTITUTE(SUBSTITUTE(S737,"~","~~"),"*","~*"),"?","~?"),$T$589:$T$803,"&gt;"&amp;T737)=0,S737,""))</f>
        <v>6:3D 4-6|2:11|3:2X2|</v>
      </c>
    </row>
    <row r="738" spans="1:21" ht="38" customHeight="1">
      <c r="A738" s="8" t="s">
        <v>384</v>
      </c>
      <c r="B738" s="8" t="s">
        <v>42</v>
      </c>
      <c r="C738" s="12">
        <f>COUNTIFS('DEF_SELF_SCOUT_IMPORT'!$L$42:$L$1040,"Y",'DEF_SELF_SCOUT_IMPORT'!$E$42:$E$1040,SUBSTITUTE(SUBSTITUTE(SUBSTITUTE($B738,"~","~~"),"*","~*"),"?","~?"),'DEF_SELF_SCOUT_IMPORT'!$Q$42:$Q$1040,SUBSTITUTE(SUBSTITUTE(SUBSTITUTE($M738,"~","~~"),"*","~*"),"?","~?"),'DEF_SELF_SCOUT_IMPORT'!$F$42:$F$1040,SUBSTITUTE(SUBSTITUTE(SUBSTITUTE($N738,"~","~~"),"*","~*"),"?","~?"),'DEF_SELF_SCOUT_IMPORT'!$G$42:$G$1040,SUBSTITUTE(SUBSTITUTE(SUBSTITUTE($O738,"~","~~"),"*","~*"),"?","~?"))</f>
        <v>1</v>
      </c>
      <c r="D738" s="10">
        <f>IF($C738=0,"",SUMIFS('DEF_SELF_SCOUT_IMPORT'!$J$42:$J$1040,'DEF_SELF_SCOUT_IMPORT'!$L$42:$L$1040,"Y",'DEF_SELF_SCOUT_IMPORT'!$E$42:$E$1040,SUBSTITUTE(SUBSTITUTE(SUBSTITUTE($B738,"~","~~"),"*","~*"),"?","~?"),'DEF_SELF_SCOUT_IMPORT'!$Q$42:$Q$1040,SUBSTITUTE(SUBSTITUTE(SUBSTITUTE($M738,"~","~~"),"*","~*"),"?","~?"),'DEF_SELF_SCOUT_IMPORT'!$F$42:$F$1040,SUBSTITUTE(SUBSTITUTE(SUBSTITUTE($N738,"~","~~"),"*","~*"),"?","~?"),'DEF_SELF_SCOUT_IMPORT'!$G$42:$G$1040,SUBSTITUTE(SUBSTITUTE(SUBSTITUTE($O738,"~","~~"),"*","~*"),"?","~?"))/$C738)</f>
        <v>1.0</v>
      </c>
      <c r="E738" s="10">
        <f>IF($C738=0,"",SUMIFS('DEF_SELF_SCOUT_IMPORT'!$K$42:$K$1040,'DEF_SELF_SCOUT_IMPORT'!$L$42:$L$1040,"Y",'DEF_SELF_SCOUT_IMPORT'!$E$42:$E$1040,SUBSTITUTE(SUBSTITUTE(SUBSTITUTE($B738,"~","~~"),"*","~*"),"?","~?"),'DEF_SELF_SCOUT_IMPORT'!$Q$42:$Q$1040,SUBSTITUTE(SUBSTITUTE(SUBSTITUTE($M738,"~","~~"),"*","~*"),"?","~?"),'DEF_SELF_SCOUT_IMPORT'!$F$42:$F$1040,SUBSTITUTE(SUBSTITUTE(SUBSTITUTE($N738,"~","~~"),"*","~*"),"?","~?"),'DEF_SELF_SCOUT_IMPORT'!$G$42:$G$1040,SUBSTITUTE(SUBSTITUTE(SUBSTITUTE($O738,"~","~~"),"*","~*"),"?","~?"))/$C738)</f>
        <v>0.0</v>
      </c>
      <c r="F738" s="11">
        <f>IF($C738=0,"",AVERAGEIFS('DEF_SELF_SCOUT_IMPORT'!$I$42:$I$1040,'DEF_SELF_SCOUT_IMPORT'!$L$42:$L$1040,"Y",'DEF_SELF_SCOUT_IMPORT'!$E$42:$E$1040,SUBSTITUTE(SUBSTITUTE(SUBSTITUTE($B738,"~","~~"),"*","~*"),"?","~?"),'DEF_SELF_SCOUT_IMPORT'!$Q$42:$Q$1040,SUBSTITUTE(SUBSTITUTE(SUBSTITUTE($M738,"~","~~"),"*","~*"),"?","~?"),'DEF_SELF_SCOUT_IMPORT'!$F$42:$F$1040,SUBSTITUTE(SUBSTITUTE(SUBSTITUTE($N738,"~","~~"),"*","~*"),"?","~?"),'DEF_SELF_SCOUT_IMPORT'!$G$42:$G$1040,SUBSTITUTE(SUBSTITUTE(SUBSTITUTE($O738,"~","~~"),"*","~*"),"?","~?")))</f>
        <v>-7.0</v>
      </c>
      <c r="G738" s="10">
        <f>IF($C738=0,"",COUNTIFS('DEF_SELF_SCOUT_IMPORT'!$L$42:$L$1040,"Y",'DEF_SELF_SCOUT_IMPORT'!$E$42:$E$1040,SUBSTITUTE(SUBSTITUTE(SUBSTITUTE($B738,"~","~~"),"*","~*"),"?","~?"),'DEF_SELF_SCOUT_IMPORT'!$Q$42:$Q$1040,SUBSTITUTE(SUBSTITUTE(SUBSTITUTE($M738,"~","~~"),"*","~*"),"?","~?"),'DEF_SELF_SCOUT_IMPORT'!$F$42:$F$1040,SUBSTITUTE(SUBSTITUTE(SUBSTITUTE($N738,"~","~~"),"*","~*"),"?","~?"),'DEF_SELF_SCOUT_IMPORT'!$G$42:$G$1040,SUBSTITUTE(SUBSTITUTE(SUBSTITUTE($O738,"~","~~"),"*","~*"),"?","~?"),'DEF_SELF_SCOUT_IMPORT'!$H$42:$H$1040,"RUSH")/$C738)</f>
        <v>0.0</v>
      </c>
      <c r="H738" s="10">
        <f>IF($C738=0,"",COUNTIFS('DEF_SELF_SCOUT_IMPORT'!$L$42:$L$1040,"Y",'DEF_SELF_SCOUT_IMPORT'!$E$42:$E$1040,SUBSTITUTE(SUBSTITUTE(SUBSTITUTE($B738,"~","~~"),"*","~*"),"?","~?"),'DEF_SELF_SCOUT_IMPORT'!$Q$42:$Q$1040,SUBSTITUTE(SUBSTITUTE(SUBSTITUTE($M738,"~","~~"),"*","~*"),"?","~?"),'DEF_SELF_SCOUT_IMPORT'!$F$42:$F$1040,SUBSTITUTE(SUBSTITUTE(SUBSTITUTE($N738,"~","~~"),"*","~*"),"?","~?"),'DEF_SELF_SCOUT_IMPORT'!$G$42:$G$1040,SUBSTITUTE(SUBSTITUTE(SUBSTITUTE($O738,"~","~~"),"*","~*"),"?","~?"),'DEF_SELF_SCOUT_IMPORT'!$H$42:$H$1040,"DROPBACK")/$C738)</f>
        <v>1.0</v>
      </c>
      <c r="I738" s="14" t="str">
        <f>IF(C738=0,"",IF(C738&lt;=2,"TRACK",IF(C738=3,"LOW",IF(C738&lt;=6,"MEDIUM","HIGH"))))</f>
        <v>TRACK</v>
      </c>
      <c r="J738" s="11">
        <f>IF(C738=0,"",ROUND(D738*70+(1-E738)*20+MAX(0,MIN(1,(10-F738)/10))*10,1))</f>
        <v>100.0</v>
      </c>
      <c r="K738" s="14" t="str">
        <f>IF(C738=0,"No Evidence",IF(C738&lt;=2,IF(E738&gt;0,"Explosive Alert","Track Only"),IF(C738=3,"Sample Watch",IF(E738&gt;=START_HERE!$B$31,"Explosive Alert",IF(J738&gt;=80,"Strong Candidate",IF(J738&gt;=65,"Good Candidate",IF(J738&gt;=50,"Mixed / Review","Problem Call")))))))</f>
        <v>Track Only</v>
      </c>
      <c r="L738" s="9" t="str">
        <f>IF(COUNTIFS('DEF_SELF_SCOUT_IMPORT'!$L$42:$L$1040,"Y",'DEF_SELF_SCOUT_IMPORT'!$E$42:$E$1040,SUBSTITUTE(SUBSTITUTE(SUBSTITUTE($B738,"~","~~"),"*","~*"),"?","~?"),'DEF_SELF_SCOUT_IMPORT'!$Q$42:$Q$1040,SUBSTITUTE(SUBSTITUTE(SUBSTITUTE($M738,"~","~~"),"*","~*"),"?","~?"),'DEF_SELF_SCOUT_IMPORT'!$F$42:$F$1040,SUBSTITUTE(SUBSTITUTE(SUBSTITUTE($N738,"~","~~"),"*","~*"),"?","~?"),'DEF_SELF_SCOUT_IMPORT'!$G$42:$G$1040,SUBSTITUTE(SUBSTITUTE(SUBSTITUTE($O738,"~","~~"),"*","~*"),"?","~?"),'DEF_SELF_SCOUT_IMPORT'!$J$42:$J$1040,"")&gt;0,"Unscored clean outcome; review result tags before using score.",IF(C738=0,"No matching defensive reps; film confirmation needed.",IF(K738="Explosive Alert","Explosive risk; review clips before using as answer.",IF(C738&lt;=2,"Track only; not enough sample.",IF(C738=3,IF(E738&gt;0,"Sample watch with explosive exposure; review clips and build the sample.",IF(J738&gt;=65,"Good signal, but sample is limited.","Sample watch; review clips and build the sample.")),IF(K738="Problem Call","Problem area; practice or call-sheet review.",IF(K738="Strong Candidate","Strong call-fit candidate; confirm on film.",IF(K738="Good Candidate","Good call-fit signal; confirm on film.","Mixed signal; review fit and execution on film."))))))))</f>
        <v>Track only; not enough sample.</v>
      </c>
      <c r="M738" s="8" t="s">
        <v>103</v>
      </c>
      <c r="N738" s="8" t="s">
        <v>120</v>
      </c>
      <c r="O738" s="8" t="s">
        <v>203</v>
      </c>
      <c r="P738" s="8"/>
      <c r="Q738" s="8"/>
      <c r="R738" s="8" t="s">
        <v>28</v>
      </c>
      <c r="S738" s="2" t="s">
        <v>385</v>
      </c>
      <c r="T738" s="2">
        <f>IF(C738=0,0,IF(C738&gt;=CALL_LOOKUP_BOARD!$B$7,IF(OR(K738="Problem Call",K738="Explosive Alert"),10000000,20000000),0)+IF(C738&gt;=CALL_LOOKUP_BOARD!$B$7,J738*1000+MIN(C738,999),C738*1000+J738)+0.00985000)</f>
        <v>1100.00985</v>
      </c>
      <c r="U738" s="2">
        <f>IF(C738=0,"",IF(COUNTIFS($S$589:$S$803,SUBSTITUTE(SUBSTITUTE(SUBSTITUTE(S738,"~","~~"),"*","~*"),"?","~?"),$T$589:$T$803,"&gt;"&amp;T738)=0,S738,""))</f>
        <v/>
      </c>
    </row>
    <row r="739" spans="1:21" ht="38" customHeight="1">
      <c r="A739" s="8" t="s">
        <v>384</v>
      </c>
      <c r="B739" s="8" t="s">
        <v>48</v>
      </c>
      <c r="C739" s="12">
        <f>COUNTIFS('DEF_SELF_SCOUT_IMPORT'!$L$42:$L$1040,"Y",'DEF_SELF_SCOUT_IMPORT'!$E$42:$E$1040,SUBSTITUTE(SUBSTITUTE(SUBSTITUTE($B739,"~","~~"),"*","~*"),"?","~?"),'DEF_SELF_SCOUT_IMPORT'!$Q$42:$Q$1040,SUBSTITUTE(SUBSTITUTE(SUBSTITUTE($M739,"~","~~"),"*","~*"),"?","~?"),'DEF_SELF_SCOUT_IMPORT'!$F$42:$F$1040,SUBSTITUTE(SUBSTITUTE(SUBSTITUTE($N739,"~","~~"),"*","~*"),"?","~?"),'DEF_SELF_SCOUT_IMPORT'!$G$42:$G$1040,SUBSTITUTE(SUBSTITUTE(SUBSTITUTE($O739,"~","~~"),"*","~*"),"?","~?"))</f>
        <v>1</v>
      </c>
      <c r="D739" s="10">
        <f>IF($C739=0,"",SUMIFS('DEF_SELF_SCOUT_IMPORT'!$J$42:$J$1040,'DEF_SELF_SCOUT_IMPORT'!$L$42:$L$1040,"Y",'DEF_SELF_SCOUT_IMPORT'!$E$42:$E$1040,SUBSTITUTE(SUBSTITUTE(SUBSTITUTE($B739,"~","~~"),"*","~*"),"?","~?"),'DEF_SELF_SCOUT_IMPORT'!$Q$42:$Q$1040,SUBSTITUTE(SUBSTITUTE(SUBSTITUTE($M739,"~","~~"),"*","~*"),"?","~?"),'DEF_SELF_SCOUT_IMPORT'!$F$42:$F$1040,SUBSTITUTE(SUBSTITUTE(SUBSTITUTE($N739,"~","~~"),"*","~*"),"?","~?"),'DEF_SELF_SCOUT_IMPORT'!$G$42:$G$1040,SUBSTITUTE(SUBSTITUTE(SUBSTITUTE($O739,"~","~~"),"*","~*"),"?","~?"))/$C739)</f>
        <v>0.0</v>
      </c>
      <c r="E739" s="10">
        <f>IF($C739=0,"",SUMIFS('DEF_SELF_SCOUT_IMPORT'!$K$42:$K$1040,'DEF_SELF_SCOUT_IMPORT'!$L$42:$L$1040,"Y",'DEF_SELF_SCOUT_IMPORT'!$E$42:$E$1040,SUBSTITUTE(SUBSTITUTE(SUBSTITUTE($B739,"~","~~"),"*","~*"),"?","~?"),'DEF_SELF_SCOUT_IMPORT'!$Q$42:$Q$1040,SUBSTITUTE(SUBSTITUTE(SUBSTITUTE($M739,"~","~~"),"*","~*"),"?","~?"),'DEF_SELF_SCOUT_IMPORT'!$F$42:$F$1040,SUBSTITUTE(SUBSTITUTE(SUBSTITUTE($N739,"~","~~"),"*","~*"),"?","~?"),'DEF_SELF_SCOUT_IMPORT'!$G$42:$G$1040,SUBSTITUTE(SUBSTITUTE(SUBSTITUTE($O739,"~","~~"),"*","~*"),"?","~?"))/$C739)</f>
        <v>0.0</v>
      </c>
      <c r="F739" s="11">
        <f>IF($C739=0,"",AVERAGEIFS('DEF_SELF_SCOUT_IMPORT'!$I$42:$I$1040,'DEF_SELF_SCOUT_IMPORT'!$L$42:$L$1040,"Y",'DEF_SELF_SCOUT_IMPORT'!$E$42:$E$1040,SUBSTITUTE(SUBSTITUTE(SUBSTITUTE($B739,"~","~~"),"*","~*"),"?","~?"),'DEF_SELF_SCOUT_IMPORT'!$Q$42:$Q$1040,SUBSTITUTE(SUBSTITUTE(SUBSTITUTE($M739,"~","~~"),"*","~*"),"?","~?"),'DEF_SELF_SCOUT_IMPORT'!$F$42:$F$1040,SUBSTITUTE(SUBSTITUTE(SUBSTITUTE($N739,"~","~~"),"*","~*"),"?","~?"),'DEF_SELF_SCOUT_IMPORT'!$G$42:$G$1040,SUBSTITUTE(SUBSTITUTE(SUBSTITUTE($O739,"~","~~"),"*","~*"),"?","~?")))</f>
        <v>14.0</v>
      </c>
      <c r="G739" s="10">
        <f>IF($C739=0,"",COUNTIFS('DEF_SELF_SCOUT_IMPORT'!$L$42:$L$1040,"Y",'DEF_SELF_SCOUT_IMPORT'!$E$42:$E$1040,SUBSTITUTE(SUBSTITUTE(SUBSTITUTE($B739,"~","~~"),"*","~*"),"?","~?"),'DEF_SELF_SCOUT_IMPORT'!$Q$42:$Q$1040,SUBSTITUTE(SUBSTITUTE(SUBSTITUTE($M739,"~","~~"),"*","~*"),"?","~?"),'DEF_SELF_SCOUT_IMPORT'!$F$42:$F$1040,SUBSTITUTE(SUBSTITUTE(SUBSTITUTE($N739,"~","~~"),"*","~*"),"?","~?"),'DEF_SELF_SCOUT_IMPORT'!$G$42:$G$1040,SUBSTITUTE(SUBSTITUTE(SUBSTITUTE($O739,"~","~~"),"*","~*"),"?","~?"),'DEF_SELF_SCOUT_IMPORT'!$H$42:$H$1040,"RUSH")/$C739)</f>
        <v>0.0</v>
      </c>
      <c r="H739" s="10">
        <f>IF($C739=0,"",COUNTIFS('DEF_SELF_SCOUT_IMPORT'!$L$42:$L$1040,"Y",'DEF_SELF_SCOUT_IMPORT'!$E$42:$E$1040,SUBSTITUTE(SUBSTITUTE(SUBSTITUTE($B739,"~","~~"),"*","~*"),"?","~?"),'DEF_SELF_SCOUT_IMPORT'!$Q$42:$Q$1040,SUBSTITUTE(SUBSTITUTE(SUBSTITUTE($M739,"~","~~"),"*","~*"),"?","~?"),'DEF_SELF_SCOUT_IMPORT'!$F$42:$F$1040,SUBSTITUTE(SUBSTITUTE(SUBSTITUTE($N739,"~","~~"),"*","~*"),"?","~?"),'DEF_SELF_SCOUT_IMPORT'!$G$42:$G$1040,SUBSTITUTE(SUBSTITUTE(SUBSTITUTE($O739,"~","~~"),"*","~*"),"?","~?"),'DEF_SELF_SCOUT_IMPORT'!$H$42:$H$1040,"DROPBACK")/$C739)</f>
        <v>1.0</v>
      </c>
      <c r="I739" s="14" t="str">
        <f>IF(C739=0,"",IF(C739&lt;=2,"TRACK",IF(C739=3,"LOW",IF(C739&lt;=6,"MEDIUM","HIGH"))))</f>
        <v>TRACK</v>
      </c>
      <c r="J739" s="11">
        <f>IF(C739=0,"",ROUND(D739*70+(1-E739)*20+MAX(0,MIN(1,(10-F739)/10))*10,1))</f>
        <v>20.0</v>
      </c>
      <c r="K739" s="14" t="str">
        <f>IF(C739=0,"No Evidence",IF(C739&lt;=2,IF(E739&gt;0,"Explosive Alert","Track Only"),IF(C739=3,"Sample Watch",IF(E739&gt;=START_HERE!$B$31,"Explosive Alert",IF(J739&gt;=80,"Strong Candidate",IF(J739&gt;=65,"Good Candidate",IF(J739&gt;=50,"Mixed / Review","Problem Call")))))))</f>
        <v>Track Only</v>
      </c>
      <c r="L739" s="9" t="str">
        <f>IF(COUNTIFS('DEF_SELF_SCOUT_IMPORT'!$L$42:$L$1040,"Y",'DEF_SELF_SCOUT_IMPORT'!$E$42:$E$1040,SUBSTITUTE(SUBSTITUTE(SUBSTITUTE($B739,"~","~~"),"*","~*"),"?","~?"),'DEF_SELF_SCOUT_IMPORT'!$Q$42:$Q$1040,SUBSTITUTE(SUBSTITUTE(SUBSTITUTE($M739,"~","~~"),"*","~*"),"?","~?"),'DEF_SELF_SCOUT_IMPORT'!$F$42:$F$1040,SUBSTITUTE(SUBSTITUTE(SUBSTITUTE($N739,"~","~~"),"*","~*"),"?","~?"),'DEF_SELF_SCOUT_IMPORT'!$G$42:$G$1040,SUBSTITUTE(SUBSTITUTE(SUBSTITUTE($O739,"~","~~"),"*","~*"),"?","~?"),'DEF_SELF_SCOUT_IMPORT'!$J$42:$J$1040,"")&gt;0,"Unscored clean outcome; review result tags before using score.",IF(C739=0,"No matching defensive reps; film confirmation needed.",IF(K739="Explosive Alert","Explosive risk; review clips before using as answer.",IF(C739&lt;=2,"Track only; not enough sample.",IF(C739=3,IF(E739&gt;0,"Sample watch with explosive exposure; review clips and build the sample.",IF(J739&gt;=65,"Good signal, but sample is limited.","Sample watch; review clips and build the sample.")),IF(K739="Problem Call","Problem area; practice or call-sheet review.",IF(K739="Strong Candidate","Strong call-fit candidate; confirm on film.",IF(K739="Good Candidate","Good call-fit signal; confirm on film.","Mixed signal; review fit and execution on film."))))))))</f>
        <v>Track only; not enough sample.</v>
      </c>
      <c r="M739" s="8" t="s">
        <v>103</v>
      </c>
      <c r="N739" s="8" t="s">
        <v>120</v>
      </c>
      <c r="O739" s="8" t="s">
        <v>203</v>
      </c>
      <c r="P739" s="8"/>
      <c r="Q739" s="8"/>
      <c r="R739" s="8" t="s">
        <v>28</v>
      </c>
      <c r="S739" s="2" t="s">
        <v>385</v>
      </c>
      <c r="T739" s="2">
        <f>IF(C739=0,0,IF(C739&gt;=CALL_LOOKUP_BOARD!$B$7,IF(OR(K739="Problem Call",K739="Explosive Alert"),10000000,20000000),0)+IF(C739&gt;=CALL_LOOKUP_BOARD!$B$7,J739*1000+MIN(C739,999),C739*1000+J739)+0.00984900)</f>
        <v>1020.009849</v>
      </c>
      <c r="U739" s="2">
        <f>IF(C739=0,"",IF(COUNTIFS($S$589:$S$803,SUBSTITUTE(SUBSTITUTE(SUBSTITUTE(S739,"~","~~"),"*","~*"),"?","~?"),$T$589:$T$803,"&gt;"&amp;T739)=0,S739,""))</f>
        <v/>
      </c>
    </row>
    <row r="740" spans="1:21" ht="38" customHeight="1">
      <c r="A740" s="8" t="s">
        <v>384</v>
      </c>
      <c r="B740" s="8" t="s">
        <v>95</v>
      </c>
      <c r="C740" s="12">
        <f>COUNTIFS('DEF_SELF_SCOUT_IMPORT'!$L$42:$L$1040,"Y",'DEF_SELF_SCOUT_IMPORT'!$E$42:$E$1040,SUBSTITUTE(SUBSTITUTE(SUBSTITUTE($B740,"~","~~"),"*","~*"),"?","~?"),'DEF_SELF_SCOUT_IMPORT'!$Q$42:$Q$1040,SUBSTITUTE(SUBSTITUTE(SUBSTITUTE($M740,"~","~~"),"*","~*"),"?","~?"),'DEF_SELF_SCOUT_IMPORT'!$F$42:$F$1040,SUBSTITUTE(SUBSTITUTE(SUBSTITUTE($N740,"~","~~"),"*","~*"),"?","~?"),'DEF_SELF_SCOUT_IMPORT'!$G$42:$G$1040,SUBSTITUTE(SUBSTITUTE(SUBSTITUTE($O740,"~","~~"),"*","~*"),"?","~?"))</f>
        <v>1</v>
      </c>
      <c r="D740" s="10">
        <f>IF($C740=0,"",SUMIFS('DEF_SELF_SCOUT_IMPORT'!$J$42:$J$1040,'DEF_SELF_SCOUT_IMPORT'!$L$42:$L$1040,"Y",'DEF_SELF_SCOUT_IMPORT'!$E$42:$E$1040,SUBSTITUTE(SUBSTITUTE(SUBSTITUTE($B740,"~","~~"),"*","~*"),"?","~?"),'DEF_SELF_SCOUT_IMPORT'!$Q$42:$Q$1040,SUBSTITUTE(SUBSTITUTE(SUBSTITUTE($M740,"~","~~"),"*","~*"),"?","~?"),'DEF_SELF_SCOUT_IMPORT'!$F$42:$F$1040,SUBSTITUTE(SUBSTITUTE(SUBSTITUTE($N740,"~","~~"),"*","~*"),"?","~?"),'DEF_SELF_SCOUT_IMPORT'!$G$42:$G$1040,SUBSTITUTE(SUBSTITUTE(SUBSTITUTE($O740,"~","~~"),"*","~*"),"?","~?"))/$C740)</f>
        <v>0.0</v>
      </c>
      <c r="E740" s="10">
        <f>IF($C740=0,"",SUMIFS('DEF_SELF_SCOUT_IMPORT'!$K$42:$K$1040,'DEF_SELF_SCOUT_IMPORT'!$L$42:$L$1040,"Y",'DEF_SELF_SCOUT_IMPORT'!$E$42:$E$1040,SUBSTITUTE(SUBSTITUTE(SUBSTITUTE($B740,"~","~~"),"*","~*"),"?","~?"),'DEF_SELF_SCOUT_IMPORT'!$Q$42:$Q$1040,SUBSTITUTE(SUBSTITUTE(SUBSTITUTE($M740,"~","~~"),"*","~*"),"?","~?"),'DEF_SELF_SCOUT_IMPORT'!$F$42:$F$1040,SUBSTITUTE(SUBSTITUTE(SUBSTITUTE($N740,"~","~~"),"*","~*"),"?","~?"),'DEF_SELF_SCOUT_IMPORT'!$G$42:$G$1040,SUBSTITUTE(SUBSTITUTE(SUBSTITUTE($O740,"~","~~"),"*","~*"),"?","~?"))/$C740)</f>
        <v>0.0</v>
      </c>
      <c r="F740" s="11">
        <f>IF($C740=0,"",AVERAGEIFS('DEF_SELF_SCOUT_IMPORT'!$I$42:$I$1040,'DEF_SELF_SCOUT_IMPORT'!$L$42:$L$1040,"Y",'DEF_SELF_SCOUT_IMPORT'!$E$42:$E$1040,SUBSTITUTE(SUBSTITUTE(SUBSTITUTE($B740,"~","~~"),"*","~*"),"?","~?"),'DEF_SELF_SCOUT_IMPORT'!$Q$42:$Q$1040,SUBSTITUTE(SUBSTITUTE(SUBSTITUTE($M740,"~","~~"),"*","~*"),"?","~?"),'DEF_SELF_SCOUT_IMPORT'!$F$42:$F$1040,SUBSTITUTE(SUBSTITUTE(SUBSTITUTE($N740,"~","~~"),"*","~*"),"?","~?"),'DEF_SELF_SCOUT_IMPORT'!$G$42:$G$1040,SUBSTITUTE(SUBSTITUTE(SUBSTITUTE($O740,"~","~~"),"*","~*"),"?","~?")))</f>
        <v>10.0</v>
      </c>
      <c r="G740" s="10">
        <f>IF($C740=0,"",COUNTIFS('DEF_SELF_SCOUT_IMPORT'!$L$42:$L$1040,"Y",'DEF_SELF_SCOUT_IMPORT'!$E$42:$E$1040,SUBSTITUTE(SUBSTITUTE(SUBSTITUTE($B740,"~","~~"),"*","~*"),"?","~?"),'DEF_SELF_SCOUT_IMPORT'!$Q$42:$Q$1040,SUBSTITUTE(SUBSTITUTE(SUBSTITUTE($M740,"~","~~"),"*","~*"),"?","~?"),'DEF_SELF_SCOUT_IMPORT'!$F$42:$F$1040,SUBSTITUTE(SUBSTITUTE(SUBSTITUTE($N740,"~","~~"),"*","~*"),"?","~?"),'DEF_SELF_SCOUT_IMPORT'!$G$42:$G$1040,SUBSTITUTE(SUBSTITUTE(SUBSTITUTE($O740,"~","~~"),"*","~*"),"?","~?"),'DEF_SELF_SCOUT_IMPORT'!$H$42:$H$1040,"RUSH")/$C740)</f>
        <v>0.0</v>
      </c>
      <c r="H740" s="10">
        <f>IF($C740=0,"",COUNTIFS('DEF_SELF_SCOUT_IMPORT'!$L$42:$L$1040,"Y",'DEF_SELF_SCOUT_IMPORT'!$E$42:$E$1040,SUBSTITUTE(SUBSTITUTE(SUBSTITUTE($B740,"~","~~"),"*","~*"),"?","~?"),'DEF_SELF_SCOUT_IMPORT'!$Q$42:$Q$1040,SUBSTITUTE(SUBSTITUTE(SUBSTITUTE($M740,"~","~~"),"*","~*"),"?","~?"),'DEF_SELF_SCOUT_IMPORT'!$F$42:$F$1040,SUBSTITUTE(SUBSTITUTE(SUBSTITUTE($N740,"~","~~"),"*","~*"),"?","~?"),'DEF_SELF_SCOUT_IMPORT'!$G$42:$G$1040,SUBSTITUTE(SUBSTITUTE(SUBSTITUTE($O740,"~","~~"),"*","~*"),"?","~?"),'DEF_SELF_SCOUT_IMPORT'!$H$42:$H$1040,"DROPBACK")/$C740)</f>
        <v>1.0</v>
      </c>
      <c r="I740" s="14" t="str">
        <f>IF(C740=0,"",IF(C740&lt;=2,"TRACK",IF(C740=3,"LOW",IF(C740&lt;=6,"MEDIUM","HIGH"))))</f>
        <v>TRACK</v>
      </c>
      <c r="J740" s="11">
        <f>IF(C740=0,"",ROUND(D740*70+(1-E740)*20+MAX(0,MIN(1,(10-F740)/10))*10,1))</f>
        <v>20.0</v>
      </c>
      <c r="K740" s="14" t="str">
        <f>IF(C740=0,"No Evidence",IF(C740&lt;=2,IF(E740&gt;0,"Explosive Alert","Track Only"),IF(C740=3,"Sample Watch",IF(E740&gt;=START_HERE!$B$31,"Explosive Alert",IF(J740&gt;=80,"Strong Candidate",IF(J740&gt;=65,"Good Candidate",IF(J740&gt;=50,"Mixed / Review","Problem Call")))))))</f>
        <v>Track Only</v>
      </c>
      <c r="L740" s="9" t="str">
        <f>IF(COUNTIFS('DEF_SELF_SCOUT_IMPORT'!$L$42:$L$1040,"Y",'DEF_SELF_SCOUT_IMPORT'!$E$42:$E$1040,SUBSTITUTE(SUBSTITUTE(SUBSTITUTE($B740,"~","~~"),"*","~*"),"?","~?"),'DEF_SELF_SCOUT_IMPORT'!$Q$42:$Q$1040,SUBSTITUTE(SUBSTITUTE(SUBSTITUTE($M740,"~","~~"),"*","~*"),"?","~?"),'DEF_SELF_SCOUT_IMPORT'!$F$42:$F$1040,SUBSTITUTE(SUBSTITUTE(SUBSTITUTE($N740,"~","~~"),"*","~*"),"?","~?"),'DEF_SELF_SCOUT_IMPORT'!$G$42:$G$1040,SUBSTITUTE(SUBSTITUTE(SUBSTITUTE($O740,"~","~~"),"*","~*"),"?","~?"),'DEF_SELF_SCOUT_IMPORT'!$J$42:$J$1040,"")&gt;0,"Unscored clean outcome; review result tags before using score.",IF(C740=0,"No matching defensive reps; film confirmation needed.",IF(K740="Explosive Alert","Explosive risk; review clips before using as answer.",IF(C740&lt;=2,"Track only; not enough sample.",IF(C740=3,IF(E740&gt;0,"Sample watch with explosive exposure; review clips and build the sample.",IF(J740&gt;=65,"Good signal, but sample is limited.","Sample watch; review clips and build the sample.")),IF(K740="Problem Call","Problem area; practice or call-sheet review.",IF(K740="Strong Candidate","Strong call-fit candidate; confirm on film.",IF(K740="Good Candidate","Good call-fit signal; confirm on film.","Mixed signal; review fit and execution on film."))))))))</f>
        <v>Track only; not enough sample.</v>
      </c>
      <c r="M740" s="8" t="s">
        <v>103</v>
      </c>
      <c r="N740" s="8" t="s">
        <v>120</v>
      </c>
      <c r="O740" s="8" t="s">
        <v>203</v>
      </c>
      <c r="P740" s="8"/>
      <c r="Q740" s="8"/>
      <c r="R740" s="8" t="s">
        <v>28</v>
      </c>
      <c r="S740" s="2" t="s">
        <v>385</v>
      </c>
      <c r="T740" s="2">
        <f>IF(C740=0,0,IF(C740&gt;=CALL_LOOKUP_BOARD!$B$7,IF(OR(K740="Problem Call",K740="Explosive Alert"),10000000,20000000),0)+IF(C740&gt;=CALL_LOOKUP_BOARD!$B$7,J740*1000+MIN(C740,999),C740*1000+J740)+0.00984800)</f>
        <v>1020.009848</v>
      </c>
      <c r="U740" s="2">
        <f>IF(C740=0,"",IF(COUNTIFS($S$589:$S$803,SUBSTITUTE(SUBSTITUTE(SUBSTITUTE(S740,"~","~~"),"*","~*"),"?","~?"),$T$589:$T$803,"&gt;"&amp;T740)=0,S740,""))</f>
        <v/>
      </c>
    </row>
    <row r="741" spans="1:21" ht="38" customHeight="1">
      <c r="A741" s="8" t="s">
        <v>386</v>
      </c>
      <c r="B741" s="8" t="s">
        <v>37</v>
      </c>
      <c r="C741" s="12">
        <f>COUNTIFS('DEF_SELF_SCOUT_IMPORT'!$L$42:$L$1040,"Y",'DEF_SELF_SCOUT_IMPORT'!$E$42:$E$1040,SUBSTITUTE(SUBSTITUTE(SUBSTITUTE($B741,"~","~~"),"*","~*"),"?","~?"),'DEF_SELF_SCOUT_IMPORT'!$Q$42:$Q$1040,SUBSTITUTE(SUBSTITUTE(SUBSTITUTE($M741,"~","~~"),"*","~*"),"?","~?"),'DEF_SELF_SCOUT_IMPORT'!$F$42:$F$1040,SUBSTITUTE(SUBSTITUTE(SUBSTITUTE($N741,"~","~~"),"*","~*"),"?","~?"),'DEF_SELF_SCOUT_IMPORT'!$G$42:$G$1040,SUBSTITUTE(SUBSTITUTE(SUBSTITUTE($O741,"~","~~"),"*","~*"),"?","~?"))</f>
        <v>1</v>
      </c>
      <c r="D741" s="10">
        <f>IF($C741=0,"",SUMIFS('DEF_SELF_SCOUT_IMPORT'!$J$42:$J$1040,'DEF_SELF_SCOUT_IMPORT'!$L$42:$L$1040,"Y",'DEF_SELF_SCOUT_IMPORT'!$E$42:$E$1040,SUBSTITUTE(SUBSTITUTE(SUBSTITUTE($B741,"~","~~"),"*","~*"),"?","~?"),'DEF_SELF_SCOUT_IMPORT'!$Q$42:$Q$1040,SUBSTITUTE(SUBSTITUTE(SUBSTITUTE($M741,"~","~~"),"*","~*"),"?","~?"),'DEF_SELF_SCOUT_IMPORT'!$F$42:$F$1040,SUBSTITUTE(SUBSTITUTE(SUBSTITUTE($N741,"~","~~"),"*","~*"),"?","~?"),'DEF_SELF_SCOUT_IMPORT'!$G$42:$G$1040,SUBSTITUTE(SUBSTITUTE(SUBSTITUTE($O741,"~","~~"),"*","~*"),"?","~?"))/$C741)</f>
        <v>0.0</v>
      </c>
      <c r="E741" s="10">
        <f>IF($C741=0,"",SUMIFS('DEF_SELF_SCOUT_IMPORT'!$K$42:$K$1040,'DEF_SELF_SCOUT_IMPORT'!$L$42:$L$1040,"Y",'DEF_SELF_SCOUT_IMPORT'!$E$42:$E$1040,SUBSTITUTE(SUBSTITUTE(SUBSTITUTE($B741,"~","~~"),"*","~*"),"?","~?"),'DEF_SELF_SCOUT_IMPORT'!$Q$42:$Q$1040,SUBSTITUTE(SUBSTITUTE(SUBSTITUTE($M741,"~","~~"),"*","~*"),"?","~?"),'DEF_SELF_SCOUT_IMPORT'!$F$42:$F$1040,SUBSTITUTE(SUBSTITUTE(SUBSTITUTE($N741,"~","~~"),"*","~*"),"?","~?"),'DEF_SELF_SCOUT_IMPORT'!$G$42:$G$1040,SUBSTITUTE(SUBSTITUTE(SUBSTITUTE($O741,"~","~~"),"*","~*"),"?","~?"))/$C741)</f>
        <v>0.0</v>
      </c>
      <c r="F741" s="11">
        <f>IF($C741=0,"",AVERAGEIFS('DEF_SELF_SCOUT_IMPORT'!$I$42:$I$1040,'DEF_SELF_SCOUT_IMPORT'!$L$42:$L$1040,"Y",'DEF_SELF_SCOUT_IMPORT'!$E$42:$E$1040,SUBSTITUTE(SUBSTITUTE(SUBSTITUTE($B741,"~","~~"),"*","~*"),"?","~?"),'DEF_SELF_SCOUT_IMPORT'!$Q$42:$Q$1040,SUBSTITUTE(SUBSTITUTE(SUBSTITUTE($M741,"~","~~"),"*","~*"),"?","~?"),'DEF_SELF_SCOUT_IMPORT'!$F$42:$F$1040,SUBSTITUTE(SUBSTITUTE(SUBSTITUTE($N741,"~","~~"),"*","~*"),"?","~?"),'DEF_SELF_SCOUT_IMPORT'!$G$42:$G$1040,SUBSTITUTE(SUBSTITUTE(SUBSTITUTE($O741,"~","~~"),"*","~*"),"?","~?")))</f>
        <v>6.0</v>
      </c>
      <c r="G741" s="10">
        <f>IF($C741=0,"",COUNTIFS('DEF_SELF_SCOUT_IMPORT'!$L$42:$L$1040,"Y",'DEF_SELF_SCOUT_IMPORT'!$E$42:$E$1040,SUBSTITUTE(SUBSTITUTE(SUBSTITUTE($B741,"~","~~"),"*","~*"),"?","~?"),'DEF_SELF_SCOUT_IMPORT'!$Q$42:$Q$1040,SUBSTITUTE(SUBSTITUTE(SUBSTITUTE($M741,"~","~~"),"*","~*"),"?","~?"),'DEF_SELF_SCOUT_IMPORT'!$F$42:$F$1040,SUBSTITUTE(SUBSTITUTE(SUBSTITUTE($N741,"~","~~"),"*","~*"),"?","~?"),'DEF_SELF_SCOUT_IMPORT'!$G$42:$G$1040,SUBSTITUTE(SUBSTITUTE(SUBSTITUTE($O741,"~","~~"),"*","~*"),"?","~?"),'DEF_SELF_SCOUT_IMPORT'!$H$42:$H$1040,"RUSH")/$C741)</f>
        <v>0.0</v>
      </c>
      <c r="H741" s="10">
        <f>IF($C741=0,"",COUNTIFS('DEF_SELF_SCOUT_IMPORT'!$L$42:$L$1040,"Y",'DEF_SELF_SCOUT_IMPORT'!$E$42:$E$1040,SUBSTITUTE(SUBSTITUTE(SUBSTITUTE($B741,"~","~~"),"*","~*"),"?","~?"),'DEF_SELF_SCOUT_IMPORT'!$Q$42:$Q$1040,SUBSTITUTE(SUBSTITUTE(SUBSTITUTE($M741,"~","~~"),"*","~*"),"?","~?"),'DEF_SELF_SCOUT_IMPORT'!$F$42:$F$1040,SUBSTITUTE(SUBSTITUTE(SUBSTITUTE($N741,"~","~~"),"*","~*"),"?","~?"),'DEF_SELF_SCOUT_IMPORT'!$G$42:$G$1040,SUBSTITUTE(SUBSTITUTE(SUBSTITUTE($O741,"~","~~"),"*","~*"),"?","~?"),'DEF_SELF_SCOUT_IMPORT'!$H$42:$H$1040,"DROPBACK")/$C741)</f>
        <v>1.0</v>
      </c>
      <c r="I741" s="14" t="str">
        <f>IF(C741=0,"",IF(C741&lt;=2,"TRACK",IF(C741=3,"LOW",IF(C741&lt;=6,"MEDIUM","HIGH"))))</f>
        <v>TRACK</v>
      </c>
      <c r="J741" s="11">
        <f>IF(C741=0,"",ROUND(D741*70+(1-E741)*20+MAX(0,MIN(1,(10-F741)/10))*10,1))</f>
        <v>24.0</v>
      </c>
      <c r="K741" s="14" t="str">
        <f>IF(C741=0,"No Evidence",IF(C741&lt;=2,IF(E741&gt;0,"Explosive Alert","Track Only"),IF(C741=3,"Sample Watch",IF(E741&gt;=START_HERE!$B$31,"Explosive Alert",IF(J741&gt;=80,"Strong Candidate",IF(J741&gt;=65,"Good Candidate",IF(J741&gt;=50,"Mixed / Review","Problem Call")))))))</f>
        <v>Track Only</v>
      </c>
      <c r="L741" s="9" t="str">
        <f>IF(COUNTIFS('DEF_SELF_SCOUT_IMPORT'!$L$42:$L$1040,"Y",'DEF_SELF_SCOUT_IMPORT'!$E$42:$E$1040,SUBSTITUTE(SUBSTITUTE(SUBSTITUTE($B741,"~","~~"),"*","~*"),"?","~?"),'DEF_SELF_SCOUT_IMPORT'!$Q$42:$Q$1040,SUBSTITUTE(SUBSTITUTE(SUBSTITUTE($M741,"~","~~"),"*","~*"),"?","~?"),'DEF_SELF_SCOUT_IMPORT'!$F$42:$F$1040,SUBSTITUTE(SUBSTITUTE(SUBSTITUTE($N741,"~","~~"),"*","~*"),"?","~?"),'DEF_SELF_SCOUT_IMPORT'!$G$42:$G$1040,SUBSTITUTE(SUBSTITUTE(SUBSTITUTE($O741,"~","~~"),"*","~*"),"?","~?"),'DEF_SELF_SCOUT_IMPORT'!$J$42:$J$1040,"")&gt;0,"Unscored clean outcome; review result tags before using score.",IF(C741=0,"No matching defensive reps; film confirmation needed.",IF(K741="Explosive Alert","Explosive risk; review clips before using as answer.",IF(C741&lt;=2,"Track only; not enough sample.",IF(C741=3,IF(E741&gt;0,"Sample watch with explosive exposure; review clips and build the sample.",IF(J741&gt;=65,"Good signal, but sample is limited.","Sample watch; review clips and build the sample.")),IF(K741="Problem Call","Problem area; practice or call-sheet review.",IF(K741="Strong Candidate","Strong call-fit candidate; confirm on film.",IF(K741="Good Candidate","Good call-fit signal; confirm on film.","Mixed signal; review fit and execution on film."))))))))</f>
        <v>Track only; not enough sample.</v>
      </c>
      <c r="M741" s="8" t="s">
        <v>103</v>
      </c>
      <c r="N741" s="8" t="s">
        <v>120</v>
      </c>
      <c r="O741" s="8" t="s">
        <v>206</v>
      </c>
      <c r="P741" s="8"/>
      <c r="Q741" s="8"/>
      <c r="R741" s="8" t="s">
        <v>28</v>
      </c>
      <c r="S741" s="2" t="s">
        <v>387</v>
      </c>
      <c r="T741" s="2">
        <f>IF(C741=0,0,IF(C741&gt;=CALL_LOOKUP_BOARD!$B$7,IF(OR(K741="Problem Call",K741="Explosive Alert"),10000000,20000000),0)+IF(C741&gt;=CALL_LOOKUP_BOARD!$B$7,J741*1000+MIN(C741,999),C741*1000+J741)+0.00984700)</f>
        <v>1024.009847</v>
      </c>
      <c r="U741" s="2">
        <f>IF(C741=0,"",IF(COUNTIFS($S$589:$S$803,SUBSTITUTE(SUBSTITUTE(SUBSTITUTE(S741,"~","~~"),"*","~*"),"?","~?"),$T$589:$T$803,"&gt;"&amp;T741)=0,S741,""))</f>
        <v/>
      </c>
    </row>
    <row r="742" spans="1:21" ht="38" customHeight="1">
      <c r="A742" s="8" t="s">
        <v>386</v>
      </c>
      <c r="B742" s="8" t="s">
        <v>42</v>
      </c>
      <c r="C742" s="12">
        <f>COUNTIFS('DEF_SELF_SCOUT_IMPORT'!$L$42:$L$1040,"Y",'DEF_SELF_SCOUT_IMPORT'!$E$42:$E$1040,SUBSTITUTE(SUBSTITUTE(SUBSTITUTE($B742,"~","~~"),"*","~*"),"?","~?"),'DEF_SELF_SCOUT_IMPORT'!$Q$42:$Q$1040,SUBSTITUTE(SUBSTITUTE(SUBSTITUTE($M742,"~","~~"),"*","~*"),"?","~?"),'DEF_SELF_SCOUT_IMPORT'!$F$42:$F$1040,SUBSTITUTE(SUBSTITUTE(SUBSTITUTE($N742,"~","~~"),"*","~*"),"?","~?"),'DEF_SELF_SCOUT_IMPORT'!$G$42:$G$1040,SUBSTITUTE(SUBSTITUTE(SUBSTITUTE($O742,"~","~~"),"*","~*"),"?","~?"))</f>
        <v>1</v>
      </c>
      <c r="D742" s="10">
        <f>IF($C742=0,"",SUMIFS('DEF_SELF_SCOUT_IMPORT'!$J$42:$J$1040,'DEF_SELF_SCOUT_IMPORT'!$L$42:$L$1040,"Y",'DEF_SELF_SCOUT_IMPORT'!$E$42:$E$1040,SUBSTITUTE(SUBSTITUTE(SUBSTITUTE($B742,"~","~~"),"*","~*"),"?","~?"),'DEF_SELF_SCOUT_IMPORT'!$Q$42:$Q$1040,SUBSTITUTE(SUBSTITUTE(SUBSTITUTE($M742,"~","~~"),"*","~*"),"?","~?"),'DEF_SELF_SCOUT_IMPORT'!$F$42:$F$1040,SUBSTITUTE(SUBSTITUTE(SUBSTITUTE($N742,"~","~~"),"*","~*"),"?","~?"),'DEF_SELF_SCOUT_IMPORT'!$G$42:$G$1040,SUBSTITUTE(SUBSTITUTE(SUBSTITUTE($O742,"~","~~"),"*","~*"),"?","~?"))/$C742)</f>
        <v>1.0</v>
      </c>
      <c r="E742" s="10">
        <f>IF($C742=0,"",SUMIFS('DEF_SELF_SCOUT_IMPORT'!$K$42:$K$1040,'DEF_SELF_SCOUT_IMPORT'!$L$42:$L$1040,"Y",'DEF_SELF_SCOUT_IMPORT'!$E$42:$E$1040,SUBSTITUTE(SUBSTITUTE(SUBSTITUTE($B742,"~","~~"),"*","~*"),"?","~?"),'DEF_SELF_SCOUT_IMPORT'!$Q$42:$Q$1040,SUBSTITUTE(SUBSTITUTE(SUBSTITUTE($M742,"~","~~"),"*","~*"),"?","~?"),'DEF_SELF_SCOUT_IMPORT'!$F$42:$F$1040,SUBSTITUTE(SUBSTITUTE(SUBSTITUTE($N742,"~","~~"),"*","~*"),"?","~?"),'DEF_SELF_SCOUT_IMPORT'!$G$42:$G$1040,SUBSTITUTE(SUBSTITUTE(SUBSTITUTE($O742,"~","~~"),"*","~*"),"?","~?"))/$C742)</f>
        <v>0.0</v>
      </c>
      <c r="F742" s="11">
        <f>IF($C742=0,"",AVERAGEIFS('DEF_SELF_SCOUT_IMPORT'!$I$42:$I$1040,'DEF_SELF_SCOUT_IMPORT'!$L$42:$L$1040,"Y",'DEF_SELF_SCOUT_IMPORT'!$E$42:$E$1040,SUBSTITUTE(SUBSTITUTE(SUBSTITUTE($B742,"~","~~"),"*","~*"),"?","~?"),'DEF_SELF_SCOUT_IMPORT'!$Q$42:$Q$1040,SUBSTITUTE(SUBSTITUTE(SUBSTITUTE($M742,"~","~~"),"*","~*"),"?","~?"),'DEF_SELF_SCOUT_IMPORT'!$F$42:$F$1040,SUBSTITUTE(SUBSTITUTE(SUBSTITUTE($N742,"~","~~"),"*","~*"),"?","~?"),'DEF_SELF_SCOUT_IMPORT'!$G$42:$G$1040,SUBSTITUTE(SUBSTITUTE(SUBSTITUTE($O742,"~","~~"),"*","~*"),"?","~?")))</f>
        <v>3.0</v>
      </c>
      <c r="G742" s="10">
        <f>IF($C742=0,"",COUNTIFS('DEF_SELF_SCOUT_IMPORT'!$L$42:$L$1040,"Y",'DEF_SELF_SCOUT_IMPORT'!$E$42:$E$1040,SUBSTITUTE(SUBSTITUTE(SUBSTITUTE($B742,"~","~~"),"*","~*"),"?","~?"),'DEF_SELF_SCOUT_IMPORT'!$Q$42:$Q$1040,SUBSTITUTE(SUBSTITUTE(SUBSTITUTE($M742,"~","~~"),"*","~*"),"?","~?"),'DEF_SELF_SCOUT_IMPORT'!$F$42:$F$1040,SUBSTITUTE(SUBSTITUTE(SUBSTITUTE($N742,"~","~~"),"*","~*"),"?","~?"),'DEF_SELF_SCOUT_IMPORT'!$G$42:$G$1040,SUBSTITUTE(SUBSTITUTE(SUBSTITUTE($O742,"~","~~"),"*","~*"),"?","~?"),'DEF_SELF_SCOUT_IMPORT'!$H$42:$H$1040,"RUSH")/$C742)</f>
        <v>0.0</v>
      </c>
      <c r="H742" s="10">
        <f>IF($C742=0,"",COUNTIFS('DEF_SELF_SCOUT_IMPORT'!$L$42:$L$1040,"Y",'DEF_SELF_SCOUT_IMPORT'!$E$42:$E$1040,SUBSTITUTE(SUBSTITUTE(SUBSTITUTE($B742,"~","~~"),"*","~*"),"?","~?"),'DEF_SELF_SCOUT_IMPORT'!$Q$42:$Q$1040,SUBSTITUTE(SUBSTITUTE(SUBSTITUTE($M742,"~","~~"),"*","~*"),"?","~?"),'DEF_SELF_SCOUT_IMPORT'!$F$42:$F$1040,SUBSTITUTE(SUBSTITUTE(SUBSTITUTE($N742,"~","~~"),"*","~*"),"?","~?"),'DEF_SELF_SCOUT_IMPORT'!$G$42:$G$1040,SUBSTITUTE(SUBSTITUTE(SUBSTITUTE($O742,"~","~~"),"*","~*"),"?","~?"),'DEF_SELF_SCOUT_IMPORT'!$H$42:$H$1040,"DROPBACK")/$C742)</f>
        <v>1.0</v>
      </c>
      <c r="I742" s="14" t="str">
        <f>IF(C742=0,"",IF(C742&lt;=2,"TRACK",IF(C742=3,"LOW",IF(C742&lt;=6,"MEDIUM","HIGH"))))</f>
        <v>TRACK</v>
      </c>
      <c r="J742" s="11">
        <f>IF(C742=0,"",ROUND(D742*70+(1-E742)*20+MAX(0,MIN(1,(10-F742)/10))*10,1))</f>
        <v>97.0</v>
      </c>
      <c r="K742" s="14" t="str">
        <f>IF(C742=0,"No Evidence",IF(C742&lt;=2,IF(E742&gt;0,"Explosive Alert","Track Only"),IF(C742=3,"Sample Watch",IF(E742&gt;=START_HERE!$B$31,"Explosive Alert",IF(J742&gt;=80,"Strong Candidate",IF(J742&gt;=65,"Good Candidate",IF(J742&gt;=50,"Mixed / Review","Problem Call")))))))</f>
        <v>Track Only</v>
      </c>
      <c r="L742" s="9" t="str">
        <f>IF(COUNTIFS('DEF_SELF_SCOUT_IMPORT'!$L$42:$L$1040,"Y",'DEF_SELF_SCOUT_IMPORT'!$E$42:$E$1040,SUBSTITUTE(SUBSTITUTE(SUBSTITUTE($B742,"~","~~"),"*","~*"),"?","~?"),'DEF_SELF_SCOUT_IMPORT'!$Q$42:$Q$1040,SUBSTITUTE(SUBSTITUTE(SUBSTITUTE($M742,"~","~~"),"*","~*"),"?","~?"),'DEF_SELF_SCOUT_IMPORT'!$F$42:$F$1040,SUBSTITUTE(SUBSTITUTE(SUBSTITUTE($N742,"~","~~"),"*","~*"),"?","~?"),'DEF_SELF_SCOUT_IMPORT'!$G$42:$G$1040,SUBSTITUTE(SUBSTITUTE(SUBSTITUTE($O742,"~","~~"),"*","~*"),"?","~?"),'DEF_SELF_SCOUT_IMPORT'!$J$42:$J$1040,"")&gt;0,"Unscored clean outcome; review result tags before using score.",IF(C742=0,"No matching defensive reps; film confirmation needed.",IF(K742="Explosive Alert","Explosive risk; review clips before using as answer.",IF(C742&lt;=2,"Track only; not enough sample.",IF(C742=3,IF(E742&gt;0,"Sample watch with explosive exposure; review clips and build the sample.",IF(J742&gt;=65,"Good signal, but sample is limited.","Sample watch; review clips and build the sample.")),IF(K742="Problem Call","Problem area; practice or call-sheet review.",IF(K742="Strong Candidate","Strong call-fit candidate; confirm on film.",IF(K742="Good Candidate","Good call-fit signal; confirm on film.","Mixed signal; review fit and execution on film."))))))))</f>
        <v>Track only; not enough sample.</v>
      </c>
      <c r="M742" s="8" t="s">
        <v>103</v>
      </c>
      <c r="N742" s="8" t="s">
        <v>120</v>
      </c>
      <c r="O742" s="8" t="s">
        <v>206</v>
      </c>
      <c r="P742" s="8"/>
      <c r="Q742" s="8"/>
      <c r="R742" s="8" t="s">
        <v>28</v>
      </c>
      <c r="S742" s="2" t="s">
        <v>387</v>
      </c>
      <c r="T742" s="2">
        <f>IF(C742=0,0,IF(C742&gt;=CALL_LOOKUP_BOARD!$B$7,IF(OR(K742="Problem Call",K742="Explosive Alert"),10000000,20000000),0)+IF(C742&gt;=CALL_LOOKUP_BOARD!$B$7,J742*1000+MIN(C742,999),C742*1000+J742)+0.00984600)</f>
        <v>1097.009846</v>
      </c>
      <c r="U742" s="2">
        <f>IF(C742=0,"",IF(COUNTIFS($S$589:$S$803,SUBSTITUTE(SUBSTITUTE(SUBSTITUTE(S742,"~","~~"),"*","~*"),"?","~?"),$T$589:$T$803,"&gt;"&amp;T742)=0,S742,""))</f>
        <v/>
      </c>
    </row>
    <row r="743" spans="1:21" ht="38" customHeight="1">
      <c r="A743" s="8" t="s">
        <v>386</v>
      </c>
      <c r="B743" s="8" t="s">
        <v>77</v>
      </c>
      <c r="C743" s="12">
        <f>COUNTIFS('DEF_SELF_SCOUT_IMPORT'!$L$42:$L$1040,"Y",'DEF_SELF_SCOUT_IMPORT'!$E$42:$E$1040,SUBSTITUTE(SUBSTITUTE(SUBSTITUTE($B743,"~","~~"),"*","~*"),"?","~?"),'DEF_SELF_SCOUT_IMPORT'!$Q$42:$Q$1040,SUBSTITUTE(SUBSTITUTE(SUBSTITUTE($M743,"~","~~"),"*","~*"),"?","~?"),'DEF_SELF_SCOUT_IMPORT'!$F$42:$F$1040,SUBSTITUTE(SUBSTITUTE(SUBSTITUTE($N743,"~","~~"),"*","~*"),"?","~?"),'DEF_SELF_SCOUT_IMPORT'!$G$42:$G$1040,SUBSTITUTE(SUBSTITUTE(SUBSTITUTE($O743,"~","~~"),"*","~*"),"?","~?"))</f>
        <v>1</v>
      </c>
      <c r="D743" s="10">
        <f>IF($C743=0,"",SUMIFS('DEF_SELF_SCOUT_IMPORT'!$J$42:$J$1040,'DEF_SELF_SCOUT_IMPORT'!$L$42:$L$1040,"Y",'DEF_SELF_SCOUT_IMPORT'!$E$42:$E$1040,SUBSTITUTE(SUBSTITUTE(SUBSTITUTE($B743,"~","~~"),"*","~*"),"?","~?"),'DEF_SELF_SCOUT_IMPORT'!$Q$42:$Q$1040,SUBSTITUTE(SUBSTITUTE(SUBSTITUTE($M743,"~","~~"),"*","~*"),"?","~?"),'DEF_SELF_SCOUT_IMPORT'!$F$42:$F$1040,SUBSTITUTE(SUBSTITUTE(SUBSTITUTE($N743,"~","~~"),"*","~*"),"?","~?"),'DEF_SELF_SCOUT_IMPORT'!$G$42:$G$1040,SUBSTITUTE(SUBSTITUTE(SUBSTITUTE($O743,"~","~~"),"*","~*"),"?","~?"))/$C743)</f>
        <v>1.0</v>
      </c>
      <c r="E743" s="10">
        <f>IF($C743=0,"",SUMIFS('DEF_SELF_SCOUT_IMPORT'!$K$42:$K$1040,'DEF_SELF_SCOUT_IMPORT'!$L$42:$L$1040,"Y",'DEF_SELF_SCOUT_IMPORT'!$E$42:$E$1040,SUBSTITUTE(SUBSTITUTE(SUBSTITUTE($B743,"~","~~"),"*","~*"),"?","~?"),'DEF_SELF_SCOUT_IMPORT'!$Q$42:$Q$1040,SUBSTITUTE(SUBSTITUTE(SUBSTITUTE($M743,"~","~~"),"*","~*"),"?","~?"),'DEF_SELF_SCOUT_IMPORT'!$F$42:$F$1040,SUBSTITUTE(SUBSTITUTE(SUBSTITUTE($N743,"~","~~"),"*","~*"),"?","~?"),'DEF_SELF_SCOUT_IMPORT'!$G$42:$G$1040,SUBSTITUTE(SUBSTITUTE(SUBSTITUTE($O743,"~","~~"),"*","~*"),"?","~?"))/$C743)</f>
        <v>0.0</v>
      </c>
      <c r="F743" s="11">
        <f>IF($C743=0,"",AVERAGEIFS('DEF_SELF_SCOUT_IMPORT'!$I$42:$I$1040,'DEF_SELF_SCOUT_IMPORT'!$L$42:$L$1040,"Y",'DEF_SELF_SCOUT_IMPORT'!$E$42:$E$1040,SUBSTITUTE(SUBSTITUTE(SUBSTITUTE($B743,"~","~~"),"*","~*"),"?","~?"),'DEF_SELF_SCOUT_IMPORT'!$Q$42:$Q$1040,SUBSTITUTE(SUBSTITUTE(SUBSTITUTE($M743,"~","~~"),"*","~*"),"?","~?"),'DEF_SELF_SCOUT_IMPORT'!$F$42:$F$1040,SUBSTITUTE(SUBSTITUTE(SUBSTITUTE($N743,"~","~~"),"*","~*"),"?","~?"),'DEF_SELF_SCOUT_IMPORT'!$G$42:$G$1040,SUBSTITUTE(SUBSTITUTE(SUBSTITUTE($O743,"~","~~"),"*","~*"),"?","~?")))</f>
        <v>5.0</v>
      </c>
      <c r="G743" s="10">
        <f>IF($C743=0,"",COUNTIFS('DEF_SELF_SCOUT_IMPORT'!$L$42:$L$1040,"Y",'DEF_SELF_SCOUT_IMPORT'!$E$42:$E$1040,SUBSTITUTE(SUBSTITUTE(SUBSTITUTE($B743,"~","~~"),"*","~*"),"?","~?"),'DEF_SELF_SCOUT_IMPORT'!$Q$42:$Q$1040,SUBSTITUTE(SUBSTITUTE(SUBSTITUTE($M743,"~","~~"),"*","~*"),"?","~?"),'DEF_SELF_SCOUT_IMPORT'!$F$42:$F$1040,SUBSTITUTE(SUBSTITUTE(SUBSTITUTE($N743,"~","~~"),"*","~*"),"?","~?"),'DEF_SELF_SCOUT_IMPORT'!$G$42:$G$1040,SUBSTITUTE(SUBSTITUTE(SUBSTITUTE($O743,"~","~~"),"*","~*"),"?","~?"),'DEF_SELF_SCOUT_IMPORT'!$H$42:$H$1040,"RUSH")/$C743)</f>
        <v>0.0</v>
      </c>
      <c r="H743" s="10">
        <f>IF($C743=0,"",COUNTIFS('DEF_SELF_SCOUT_IMPORT'!$L$42:$L$1040,"Y",'DEF_SELF_SCOUT_IMPORT'!$E$42:$E$1040,SUBSTITUTE(SUBSTITUTE(SUBSTITUTE($B743,"~","~~"),"*","~*"),"?","~?"),'DEF_SELF_SCOUT_IMPORT'!$Q$42:$Q$1040,SUBSTITUTE(SUBSTITUTE(SUBSTITUTE($M743,"~","~~"),"*","~*"),"?","~?"),'DEF_SELF_SCOUT_IMPORT'!$F$42:$F$1040,SUBSTITUTE(SUBSTITUTE(SUBSTITUTE($N743,"~","~~"),"*","~*"),"?","~?"),'DEF_SELF_SCOUT_IMPORT'!$G$42:$G$1040,SUBSTITUTE(SUBSTITUTE(SUBSTITUTE($O743,"~","~~"),"*","~*"),"?","~?"),'DEF_SELF_SCOUT_IMPORT'!$H$42:$H$1040,"DROPBACK")/$C743)</f>
        <v>1.0</v>
      </c>
      <c r="I743" s="14" t="str">
        <f>IF(C743=0,"",IF(C743&lt;=2,"TRACK",IF(C743=3,"LOW",IF(C743&lt;=6,"MEDIUM","HIGH"))))</f>
        <v>TRACK</v>
      </c>
      <c r="J743" s="11">
        <f>IF(C743=0,"",ROUND(D743*70+(1-E743)*20+MAX(0,MIN(1,(10-F743)/10))*10,1))</f>
        <v>95.0</v>
      </c>
      <c r="K743" s="14" t="str">
        <f>IF(C743=0,"No Evidence",IF(C743&lt;=2,IF(E743&gt;0,"Explosive Alert","Track Only"),IF(C743=3,"Sample Watch",IF(E743&gt;=START_HERE!$B$31,"Explosive Alert",IF(J743&gt;=80,"Strong Candidate",IF(J743&gt;=65,"Good Candidate",IF(J743&gt;=50,"Mixed / Review","Problem Call")))))))</f>
        <v>Track Only</v>
      </c>
      <c r="L743" s="9" t="str">
        <f>IF(COUNTIFS('DEF_SELF_SCOUT_IMPORT'!$L$42:$L$1040,"Y",'DEF_SELF_SCOUT_IMPORT'!$E$42:$E$1040,SUBSTITUTE(SUBSTITUTE(SUBSTITUTE($B743,"~","~~"),"*","~*"),"?","~?"),'DEF_SELF_SCOUT_IMPORT'!$Q$42:$Q$1040,SUBSTITUTE(SUBSTITUTE(SUBSTITUTE($M743,"~","~~"),"*","~*"),"?","~?"),'DEF_SELF_SCOUT_IMPORT'!$F$42:$F$1040,SUBSTITUTE(SUBSTITUTE(SUBSTITUTE($N743,"~","~~"),"*","~*"),"?","~?"),'DEF_SELF_SCOUT_IMPORT'!$G$42:$G$1040,SUBSTITUTE(SUBSTITUTE(SUBSTITUTE($O743,"~","~~"),"*","~*"),"?","~?"),'DEF_SELF_SCOUT_IMPORT'!$J$42:$J$1040,"")&gt;0,"Unscored clean outcome; review result tags before using score.",IF(C743=0,"No matching defensive reps; film confirmation needed.",IF(K743="Explosive Alert","Explosive risk; review clips before using as answer.",IF(C743&lt;=2,"Track only; not enough sample.",IF(C743=3,IF(E743&gt;0,"Sample watch with explosive exposure; review clips and build the sample.",IF(J743&gt;=65,"Good signal, but sample is limited.","Sample watch; review clips and build the sample.")),IF(K743="Problem Call","Problem area; practice or call-sheet review.",IF(K743="Strong Candidate","Strong call-fit candidate; confirm on film.",IF(K743="Good Candidate","Good call-fit signal; confirm on film.","Mixed signal; review fit and execution on film."))))))))</f>
        <v>Track only; not enough sample.</v>
      </c>
      <c r="M743" s="8" t="s">
        <v>103</v>
      </c>
      <c r="N743" s="8" t="s">
        <v>120</v>
      </c>
      <c r="O743" s="8" t="s">
        <v>206</v>
      </c>
      <c r="P743" s="8"/>
      <c r="Q743" s="8"/>
      <c r="R743" s="8" t="s">
        <v>28</v>
      </c>
      <c r="S743" s="2" t="s">
        <v>387</v>
      </c>
      <c r="T743" s="2">
        <f>IF(C743=0,0,IF(C743&gt;=CALL_LOOKUP_BOARD!$B$7,IF(OR(K743="Problem Call",K743="Explosive Alert"),10000000,20000000),0)+IF(C743&gt;=CALL_LOOKUP_BOARD!$B$7,J743*1000+MIN(C743,999),C743*1000+J743)+0.00984500)</f>
        <v>1095.009845</v>
      </c>
      <c r="U743" s="2">
        <f>IF(C743=0,"",IF(COUNTIFS($S$589:$S$803,SUBSTITUTE(SUBSTITUTE(SUBSTITUTE(S743,"~","~~"),"*","~*"),"?","~?"),$T$589:$T$803,"&gt;"&amp;T743)=0,S743,""))</f>
        <v/>
      </c>
    </row>
    <row r="744" spans="1:21" ht="38" customHeight="1">
      <c r="A744" s="8" t="s">
        <v>386</v>
      </c>
      <c r="B744" s="8" t="s">
        <v>48</v>
      </c>
      <c r="C744" s="12">
        <f>COUNTIFS('DEF_SELF_SCOUT_IMPORT'!$L$42:$L$1040,"Y",'DEF_SELF_SCOUT_IMPORT'!$E$42:$E$1040,SUBSTITUTE(SUBSTITUTE(SUBSTITUTE($B744,"~","~~"),"*","~*"),"?","~?"),'DEF_SELF_SCOUT_IMPORT'!$Q$42:$Q$1040,SUBSTITUTE(SUBSTITUTE(SUBSTITUTE($M744,"~","~~"),"*","~*"),"?","~?"),'DEF_SELF_SCOUT_IMPORT'!$F$42:$F$1040,SUBSTITUTE(SUBSTITUTE(SUBSTITUTE($N744,"~","~~"),"*","~*"),"?","~?"),'DEF_SELF_SCOUT_IMPORT'!$G$42:$G$1040,SUBSTITUTE(SUBSTITUTE(SUBSTITUTE($O744,"~","~~"),"*","~*"),"?","~?"))</f>
        <v>1</v>
      </c>
      <c r="D744" s="10">
        <f>IF($C744=0,"",SUMIFS('DEF_SELF_SCOUT_IMPORT'!$J$42:$J$1040,'DEF_SELF_SCOUT_IMPORT'!$L$42:$L$1040,"Y",'DEF_SELF_SCOUT_IMPORT'!$E$42:$E$1040,SUBSTITUTE(SUBSTITUTE(SUBSTITUTE($B744,"~","~~"),"*","~*"),"?","~?"),'DEF_SELF_SCOUT_IMPORT'!$Q$42:$Q$1040,SUBSTITUTE(SUBSTITUTE(SUBSTITUTE($M744,"~","~~"),"*","~*"),"?","~?"),'DEF_SELF_SCOUT_IMPORT'!$F$42:$F$1040,SUBSTITUTE(SUBSTITUTE(SUBSTITUTE($N744,"~","~~"),"*","~*"),"?","~?"),'DEF_SELF_SCOUT_IMPORT'!$G$42:$G$1040,SUBSTITUTE(SUBSTITUTE(SUBSTITUTE($O744,"~","~~"),"*","~*"),"?","~?"))/$C744)</f>
        <v>0.0</v>
      </c>
      <c r="E744" s="10">
        <f>IF($C744=0,"",SUMIFS('DEF_SELF_SCOUT_IMPORT'!$K$42:$K$1040,'DEF_SELF_SCOUT_IMPORT'!$L$42:$L$1040,"Y",'DEF_SELF_SCOUT_IMPORT'!$E$42:$E$1040,SUBSTITUTE(SUBSTITUTE(SUBSTITUTE($B744,"~","~~"),"*","~*"),"?","~?"),'DEF_SELF_SCOUT_IMPORT'!$Q$42:$Q$1040,SUBSTITUTE(SUBSTITUTE(SUBSTITUTE($M744,"~","~~"),"*","~*"),"?","~?"),'DEF_SELF_SCOUT_IMPORT'!$F$42:$F$1040,SUBSTITUTE(SUBSTITUTE(SUBSTITUTE($N744,"~","~~"),"*","~*"),"?","~?"),'DEF_SELF_SCOUT_IMPORT'!$G$42:$G$1040,SUBSTITUTE(SUBSTITUTE(SUBSTITUTE($O744,"~","~~"),"*","~*"),"?","~?"))/$C744)</f>
        <v>0.0</v>
      </c>
      <c r="F744" s="11">
        <f>IF($C744=0,"",AVERAGEIFS('DEF_SELF_SCOUT_IMPORT'!$I$42:$I$1040,'DEF_SELF_SCOUT_IMPORT'!$L$42:$L$1040,"Y",'DEF_SELF_SCOUT_IMPORT'!$E$42:$E$1040,SUBSTITUTE(SUBSTITUTE(SUBSTITUTE($B744,"~","~~"),"*","~*"),"?","~?"),'DEF_SELF_SCOUT_IMPORT'!$Q$42:$Q$1040,SUBSTITUTE(SUBSTITUTE(SUBSTITUTE($M744,"~","~~"),"*","~*"),"?","~?"),'DEF_SELF_SCOUT_IMPORT'!$F$42:$F$1040,SUBSTITUTE(SUBSTITUTE(SUBSTITUTE($N744,"~","~~"),"*","~*"),"?","~?"),'DEF_SELF_SCOUT_IMPORT'!$G$42:$G$1040,SUBSTITUTE(SUBSTITUTE(SUBSTITUTE($O744,"~","~~"),"*","~*"),"?","~?")))</f>
        <v>7.0</v>
      </c>
      <c r="G744" s="10">
        <f>IF($C744=0,"",COUNTIFS('DEF_SELF_SCOUT_IMPORT'!$L$42:$L$1040,"Y",'DEF_SELF_SCOUT_IMPORT'!$E$42:$E$1040,SUBSTITUTE(SUBSTITUTE(SUBSTITUTE($B744,"~","~~"),"*","~*"),"?","~?"),'DEF_SELF_SCOUT_IMPORT'!$Q$42:$Q$1040,SUBSTITUTE(SUBSTITUTE(SUBSTITUTE($M744,"~","~~"),"*","~*"),"?","~?"),'DEF_SELF_SCOUT_IMPORT'!$F$42:$F$1040,SUBSTITUTE(SUBSTITUTE(SUBSTITUTE($N744,"~","~~"),"*","~*"),"?","~?"),'DEF_SELF_SCOUT_IMPORT'!$G$42:$G$1040,SUBSTITUTE(SUBSTITUTE(SUBSTITUTE($O744,"~","~~"),"*","~*"),"?","~?"),'DEF_SELF_SCOUT_IMPORT'!$H$42:$H$1040,"RUSH")/$C744)</f>
        <v>0.0</v>
      </c>
      <c r="H744" s="10">
        <f>IF($C744=0,"",COUNTIFS('DEF_SELF_SCOUT_IMPORT'!$L$42:$L$1040,"Y",'DEF_SELF_SCOUT_IMPORT'!$E$42:$E$1040,SUBSTITUTE(SUBSTITUTE(SUBSTITUTE($B744,"~","~~"),"*","~*"),"?","~?"),'DEF_SELF_SCOUT_IMPORT'!$Q$42:$Q$1040,SUBSTITUTE(SUBSTITUTE(SUBSTITUTE($M744,"~","~~"),"*","~*"),"?","~?"),'DEF_SELF_SCOUT_IMPORT'!$F$42:$F$1040,SUBSTITUTE(SUBSTITUTE(SUBSTITUTE($N744,"~","~~"),"*","~*"),"?","~?"),'DEF_SELF_SCOUT_IMPORT'!$G$42:$G$1040,SUBSTITUTE(SUBSTITUTE(SUBSTITUTE($O744,"~","~~"),"*","~*"),"?","~?"),'DEF_SELF_SCOUT_IMPORT'!$H$42:$H$1040,"DROPBACK")/$C744)</f>
        <v>1.0</v>
      </c>
      <c r="I744" s="14" t="str">
        <f>IF(C744=0,"",IF(C744&lt;=2,"TRACK",IF(C744=3,"LOW",IF(C744&lt;=6,"MEDIUM","HIGH"))))</f>
        <v>TRACK</v>
      </c>
      <c r="J744" s="11">
        <f>IF(C744=0,"",ROUND(D744*70+(1-E744)*20+MAX(0,MIN(1,(10-F744)/10))*10,1))</f>
        <v>23.0</v>
      </c>
      <c r="K744" s="14" t="str">
        <f>IF(C744=0,"No Evidence",IF(C744&lt;=2,IF(E744&gt;0,"Explosive Alert","Track Only"),IF(C744=3,"Sample Watch",IF(E744&gt;=START_HERE!$B$31,"Explosive Alert",IF(J744&gt;=80,"Strong Candidate",IF(J744&gt;=65,"Good Candidate",IF(J744&gt;=50,"Mixed / Review","Problem Call")))))))</f>
        <v>Track Only</v>
      </c>
      <c r="L744" s="9" t="str">
        <f>IF(COUNTIFS('DEF_SELF_SCOUT_IMPORT'!$L$42:$L$1040,"Y",'DEF_SELF_SCOUT_IMPORT'!$E$42:$E$1040,SUBSTITUTE(SUBSTITUTE(SUBSTITUTE($B744,"~","~~"),"*","~*"),"?","~?"),'DEF_SELF_SCOUT_IMPORT'!$Q$42:$Q$1040,SUBSTITUTE(SUBSTITUTE(SUBSTITUTE($M744,"~","~~"),"*","~*"),"?","~?"),'DEF_SELF_SCOUT_IMPORT'!$F$42:$F$1040,SUBSTITUTE(SUBSTITUTE(SUBSTITUTE($N744,"~","~~"),"*","~*"),"?","~?"),'DEF_SELF_SCOUT_IMPORT'!$G$42:$G$1040,SUBSTITUTE(SUBSTITUTE(SUBSTITUTE($O744,"~","~~"),"*","~*"),"?","~?"),'DEF_SELF_SCOUT_IMPORT'!$J$42:$J$1040,"")&gt;0,"Unscored clean outcome; review result tags before using score.",IF(C744=0,"No matching defensive reps; film confirmation needed.",IF(K744="Explosive Alert","Explosive risk; review clips before using as answer.",IF(C744&lt;=2,"Track only; not enough sample.",IF(C744=3,IF(E744&gt;0,"Sample watch with explosive exposure; review clips and build the sample.",IF(J744&gt;=65,"Good signal, but sample is limited.","Sample watch; review clips and build the sample.")),IF(K744="Problem Call","Problem area; practice or call-sheet review.",IF(K744="Strong Candidate","Strong call-fit candidate; confirm on film.",IF(K744="Good Candidate","Good call-fit signal; confirm on film.","Mixed signal; review fit and execution on film."))))))))</f>
        <v>Track only; not enough sample.</v>
      </c>
      <c r="M744" s="8" t="s">
        <v>103</v>
      </c>
      <c r="N744" s="8" t="s">
        <v>120</v>
      </c>
      <c r="O744" s="8" t="s">
        <v>206</v>
      </c>
      <c r="P744" s="8"/>
      <c r="Q744" s="8"/>
      <c r="R744" s="8" t="s">
        <v>28</v>
      </c>
      <c r="S744" s="2" t="s">
        <v>387</v>
      </c>
      <c r="T744" s="2">
        <f>IF(C744=0,0,IF(C744&gt;=CALL_LOOKUP_BOARD!$B$7,IF(OR(K744="Problem Call",K744="Explosive Alert"),10000000,20000000),0)+IF(C744&gt;=CALL_LOOKUP_BOARD!$B$7,J744*1000+MIN(C744,999),C744*1000+J744)+0.00984400)</f>
        <v>1023.009844</v>
      </c>
      <c r="U744" s="2">
        <f>IF(C744=0,"",IF(COUNTIFS($S$589:$S$803,SUBSTITUTE(SUBSTITUTE(SUBSTITUTE(S744,"~","~~"),"*","~*"),"?","~?"),$T$589:$T$803,"&gt;"&amp;T744)=0,S744,""))</f>
        <v/>
      </c>
    </row>
    <row r="745" spans="1:21" ht="38" customHeight="1">
      <c r="A745" s="8" t="s">
        <v>386</v>
      </c>
      <c r="B745" s="8" t="s">
        <v>100</v>
      </c>
      <c r="C745" s="12">
        <f>COUNTIFS('DEF_SELF_SCOUT_IMPORT'!$L$42:$L$1040,"Y",'DEF_SELF_SCOUT_IMPORT'!$E$42:$E$1040,SUBSTITUTE(SUBSTITUTE(SUBSTITUTE($B745,"~","~~"),"*","~*"),"?","~?"),'DEF_SELF_SCOUT_IMPORT'!$Q$42:$Q$1040,SUBSTITUTE(SUBSTITUTE(SUBSTITUTE($M745,"~","~~"),"*","~*"),"?","~?"),'DEF_SELF_SCOUT_IMPORT'!$F$42:$F$1040,SUBSTITUTE(SUBSTITUTE(SUBSTITUTE($N745,"~","~~"),"*","~*"),"?","~?"),'DEF_SELF_SCOUT_IMPORT'!$G$42:$G$1040,SUBSTITUTE(SUBSTITUTE(SUBSTITUTE($O745,"~","~~"),"*","~*"),"?","~?"))</f>
        <v>2</v>
      </c>
      <c r="D745" s="10">
        <f>IF($C745=0,"",SUMIFS('DEF_SELF_SCOUT_IMPORT'!$J$42:$J$1040,'DEF_SELF_SCOUT_IMPORT'!$L$42:$L$1040,"Y",'DEF_SELF_SCOUT_IMPORT'!$E$42:$E$1040,SUBSTITUTE(SUBSTITUTE(SUBSTITUTE($B745,"~","~~"),"*","~*"),"?","~?"),'DEF_SELF_SCOUT_IMPORT'!$Q$42:$Q$1040,SUBSTITUTE(SUBSTITUTE(SUBSTITUTE($M745,"~","~~"),"*","~*"),"?","~?"),'DEF_SELF_SCOUT_IMPORT'!$F$42:$F$1040,SUBSTITUTE(SUBSTITUTE(SUBSTITUTE($N745,"~","~~"),"*","~*"),"?","~?"),'DEF_SELF_SCOUT_IMPORT'!$G$42:$G$1040,SUBSTITUTE(SUBSTITUTE(SUBSTITUTE($O745,"~","~~"),"*","~*"),"?","~?"))/$C745)</f>
        <v>0.5</v>
      </c>
      <c r="E745" s="10">
        <f>IF($C745=0,"",SUMIFS('DEF_SELF_SCOUT_IMPORT'!$K$42:$K$1040,'DEF_SELF_SCOUT_IMPORT'!$L$42:$L$1040,"Y",'DEF_SELF_SCOUT_IMPORT'!$E$42:$E$1040,SUBSTITUTE(SUBSTITUTE(SUBSTITUTE($B745,"~","~~"),"*","~*"),"?","~?"),'DEF_SELF_SCOUT_IMPORT'!$Q$42:$Q$1040,SUBSTITUTE(SUBSTITUTE(SUBSTITUTE($M745,"~","~~"),"*","~*"),"?","~?"),'DEF_SELF_SCOUT_IMPORT'!$F$42:$F$1040,SUBSTITUTE(SUBSTITUTE(SUBSTITUTE($N745,"~","~~"),"*","~*"),"?","~?"),'DEF_SELF_SCOUT_IMPORT'!$G$42:$G$1040,SUBSTITUTE(SUBSTITUTE(SUBSTITUTE($O745,"~","~~"),"*","~*"),"?","~?"))/$C745)</f>
        <v>0.0</v>
      </c>
      <c r="F745" s="11">
        <f>IF($C745=0,"",AVERAGEIFS('DEF_SELF_SCOUT_IMPORT'!$I$42:$I$1040,'DEF_SELF_SCOUT_IMPORT'!$L$42:$L$1040,"Y",'DEF_SELF_SCOUT_IMPORT'!$E$42:$E$1040,SUBSTITUTE(SUBSTITUTE(SUBSTITUTE($B745,"~","~~"),"*","~*"),"?","~?"),'DEF_SELF_SCOUT_IMPORT'!$Q$42:$Q$1040,SUBSTITUTE(SUBSTITUTE(SUBSTITUTE($M745,"~","~~"),"*","~*"),"?","~?"),'DEF_SELF_SCOUT_IMPORT'!$F$42:$F$1040,SUBSTITUTE(SUBSTITUTE(SUBSTITUTE($N745,"~","~~"),"*","~*"),"?","~?"),'DEF_SELF_SCOUT_IMPORT'!$G$42:$G$1040,SUBSTITUTE(SUBSTITUTE(SUBSTITUTE($O745,"~","~~"),"*","~*"),"?","~?")))</f>
        <v>6.0</v>
      </c>
      <c r="G745" s="10">
        <f>IF($C745=0,"",COUNTIFS('DEF_SELF_SCOUT_IMPORT'!$L$42:$L$1040,"Y",'DEF_SELF_SCOUT_IMPORT'!$E$42:$E$1040,SUBSTITUTE(SUBSTITUTE(SUBSTITUTE($B745,"~","~~"),"*","~*"),"?","~?"),'DEF_SELF_SCOUT_IMPORT'!$Q$42:$Q$1040,SUBSTITUTE(SUBSTITUTE(SUBSTITUTE($M745,"~","~~"),"*","~*"),"?","~?"),'DEF_SELF_SCOUT_IMPORT'!$F$42:$F$1040,SUBSTITUTE(SUBSTITUTE(SUBSTITUTE($N745,"~","~~"),"*","~*"),"?","~?"),'DEF_SELF_SCOUT_IMPORT'!$G$42:$G$1040,SUBSTITUTE(SUBSTITUTE(SUBSTITUTE($O745,"~","~~"),"*","~*"),"?","~?"),'DEF_SELF_SCOUT_IMPORT'!$H$42:$H$1040,"RUSH")/$C745)</f>
        <v>0.5</v>
      </c>
      <c r="H745" s="10">
        <f>IF($C745=0,"",COUNTIFS('DEF_SELF_SCOUT_IMPORT'!$L$42:$L$1040,"Y",'DEF_SELF_SCOUT_IMPORT'!$E$42:$E$1040,SUBSTITUTE(SUBSTITUTE(SUBSTITUTE($B745,"~","~~"),"*","~*"),"?","~?"),'DEF_SELF_SCOUT_IMPORT'!$Q$42:$Q$1040,SUBSTITUTE(SUBSTITUTE(SUBSTITUTE($M745,"~","~~"),"*","~*"),"?","~?"),'DEF_SELF_SCOUT_IMPORT'!$F$42:$F$1040,SUBSTITUTE(SUBSTITUTE(SUBSTITUTE($N745,"~","~~"),"*","~*"),"?","~?"),'DEF_SELF_SCOUT_IMPORT'!$G$42:$G$1040,SUBSTITUTE(SUBSTITUTE(SUBSTITUTE($O745,"~","~~"),"*","~*"),"?","~?"),'DEF_SELF_SCOUT_IMPORT'!$H$42:$H$1040,"DROPBACK")/$C745)</f>
        <v>0.5</v>
      </c>
      <c r="I745" s="14" t="str">
        <f>IF(C745=0,"",IF(C745&lt;=2,"TRACK",IF(C745=3,"LOW",IF(C745&lt;=6,"MEDIUM","HIGH"))))</f>
        <v>TRACK</v>
      </c>
      <c r="J745" s="11">
        <f>IF(C745=0,"",ROUND(D745*70+(1-E745)*20+MAX(0,MIN(1,(10-F745)/10))*10,1))</f>
        <v>59.0</v>
      </c>
      <c r="K745" s="14" t="str">
        <f>IF(C745=0,"No Evidence",IF(C745&lt;=2,IF(E745&gt;0,"Explosive Alert","Track Only"),IF(C745=3,"Sample Watch",IF(E745&gt;=START_HERE!$B$31,"Explosive Alert",IF(J745&gt;=80,"Strong Candidate",IF(J745&gt;=65,"Good Candidate",IF(J745&gt;=50,"Mixed / Review","Problem Call")))))))</f>
        <v>Track Only</v>
      </c>
      <c r="L745" s="9" t="str">
        <f>IF(COUNTIFS('DEF_SELF_SCOUT_IMPORT'!$L$42:$L$1040,"Y",'DEF_SELF_SCOUT_IMPORT'!$E$42:$E$1040,SUBSTITUTE(SUBSTITUTE(SUBSTITUTE($B745,"~","~~"),"*","~*"),"?","~?"),'DEF_SELF_SCOUT_IMPORT'!$Q$42:$Q$1040,SUBSTITUTE(SUBSTITUTE(SUBSTITUTE($M745,"~","~~"),"*","~*"),"?","~?"),'DEF_SELF_SCOUT_IMPORT'!$F$42:$F$1040,SUBSTITUTE(SUBSTITUTE(SUBSTITUTE($N745,"~","~~"),"*","~*"),"?","~?"),'DEF_SELF_SCOUT_IMPORT'!$G$42:$G$1040,SUBSTITUTE(SUBSTITUTE(SUBSTITUTE($O745,"~","~~"),"*","~*"),"?","~?"),'DEF_SELF_SCOUT_IMPORT'!$J$42:$J$1040,"")&gt;0,"Unscored clean outcome; review result tags before using score.",IF(C745=0,"No matching defensive reps; film confirmation needed.",IF(K745="Explosive Alert","Explosive risk; review clips before using as answer.",IF(C745&lt;=2,"Track only; not enough sample.",IF(C745=3,IF(E745&gt;0,"Sample watch with explosive exposure; review clips and build the sample.",IF(J745&gt;=65,"Good signal, but sample is limited.","Sample watch; review clips and build the sample.")),IF(K745="Problem Call","Problem area; practice or call-sheet review.",IF(K745="Strong Candidate","Strong call-fit candidate; confirm on film.",IF(K745="Good Candidate","Good call-fit signal; confirm on film.","Mixed signal; review fit and execution on film."))))))))</f>
        <v>Track only; not enough sample.</v>
      </c>
      <c r="M745" s="8" t="s">
        <v>103</v>
      </c>
      <c r="N745" s="8" t="s">
        <v>120</v>
      </c>
      <c r="O745" s="8" t="s">
        <v>206</v>
      </c>
      <c r="P745" s="8"/>
      <c r="Q745" s="8"/>
      <c r="R745" s="8" t="s">
        <v>28</v>
      </c>
      <c r="S745" s="2" t="s">
        <v>387</v>
      </c>
      <c r="T745" s="2">
        <f>IF(C745=0,0,IF(C745&gt;=CALL_LOOKUP_BOARD!$B$7,IF(OR(K745="Problem Call",K745="Explosive Alert"),10000000,20000000),0)+IF(C745&gt;=CALL_LOOKUP_BOARD!$B$7,J745*1000+MIN(C745,999),C745*1000+J745)+0.00984300)</f>
        <v>2059.009843</v>
      </c>
      <c r="U745" s="2" t="str">
        <f>IF(C745=0,"",IF(COUNTIFS($S$589:$S$803,SUBSTITUTE(SUBSTITUTE(SUBSTITUTE(S745,"~","~~"),"*","~*"),"?","~?"),$T$589:$T$803,"&gt;"&amp;T745)=0,S745,""))</f>
        <v>6:3D 4-6|2:11|3:3X1|</v>
      </c>
    </row>
    <row r="746" spans="1:21" ht="38" customHeight="1">
      <c r="A746" s="8" t="s">
        <v>386</v>
      </c>
      <c r="B746" s="8" t="s">
        <v>105</v>
      </c>
      <c r="C746" s="12">
        <f>COUNTIFS('DEF_SELF_SCOUT_IMPORT'!$L$42:$L$1040,"Y",'DEF_SELF_SCOUT_IMPORT'!$E$42:$E$1040,SUBSTITUTE(SUBSTITUTE(SUBSTITUTE($B746,"~","~~"),"*","~*"),"?","~?"),'DEF_SELF_SCOUT_IMPORT'!$Q$42:$Q$1040,SUBSTITUTE(SUBSTITUTE(SUBSTITUTE($M746,"~","~~"),"*","~*"),"?","~?"),'DEF_SELF_SCOUT_IMPORT'!$F$42:$F$1040,SUBSTITUTE(SUBSTITUTE(SUBSTITUTE($N746,"~","~~"),"*","~*"),"?","~?"),'DEF_SELF_SCOUT_IMPORT'!$G$42:$G$1040,SUBSTITUTE(SUBSTITUTE(SUBSTITUTE($O746,"~","~~"),"*","~*"),"?","~?"))</f>
        <v>1</v>
      </c>
      <c r="D746" s="10">
        <f>IF($C746=0,"",SUMIFS('DEF_SELF_SCOUT_IMPORT'!$J$42:$J$1040,'DEF_SELF_SCOUT_IMPORT'!$L$42:$L$1040,"Y",'DEF_SELF_SCOUT_IMPORT'!$E$42:$E$1040,SUBSTITUTE(SUBSTITUTE(SUBSTITUTE($B746,"~","~~"),"*","~*"),"?","~?"),'DEF_SELF_SCOUT_IMPORT'!$Q$42:$Q$1040,SUBSTITUTE(SUBSTITUTE(SUBSTITUTE($M746,"~","~~"),"*","~*"),"?","~?"),'DEF_SELF_SCOUT_IMPORT'!$F$42:$F$1040,SUBSTITUTE(SUBSTITUTE(SUBSTITUTE($N746,"~","~~"),"*","~*"),"?","~?"),'DEF_SELF_SCOUT_IMPORT'!$G$42:$G$1040,SUBSTITUTE(SUBSTITUTE(SUBSTITUTE($O746,"~","~~"),"*","~*"),"?","~?"))/$C746)</f>
        <v>1.0</v>
      </c>
      <c r="E746" s="10">
        <f>IF($C746=0,"",SUMIFS('DEF_SELF_SCOUT_IMPORT'!$K$42:$K$1040,'DEF_SELF_SCOUT_IMPORT'!$L$42:$L$1040,"Y",'DEF_SELF_SCOUT_IMPORT'!$E$42:$E$1040,SUBSTITUTE(SUBSTITUTE(SUBSTITUTE($B746,"~","~~"),"*","~*"),"?","~?"),'DEF_SELF_SCOUT_IMPORT'!$Q$42:$Q$1040,SUBSTITUTE(SUBSTITUTE(SUBSTITUTE($M746,"~","~~"),"*","~*"),"?","~?"),'DEF_SELF_SCOUT_IMPORT'!$F$42:$F$1040,SUBSTITUTE(SUBSTITUTE(SUBSTITUTE($N746,"~","~~"),"*","~*"),"?","~?"),'DEF_SELF_SCOUT_IMPORT'!$G$42:$G$1040,SUBSTITUTE(SUBSTITUTE(SUBSTITUTE($O746,"~","~~"),"*","~*"),"?","~?"))/$C746)</f>
        <v>0.0</v>
      </c>
      <c r="F746" s="11">
        <f>IF($C746=0,"",AVERAGEIFS('DEF_SELF_SCOUT_IMPORT'!$I$42:$I$1040,'DEF_SELF_SCOUT_IMPORT'!$L$42:$L$1040,"Y",'DEF_SELF_SCOUT_IMPORT'!$E$42:$E$1040,SUBSTITUTE(SUBSTITUTE(SUBSTITUTE($B746,"~","~~"),"*","~*"),"?","~?"),'DEF_SELF_SCOUT_IMPORT'!$Q$42:$Q$1040,SUBSTITUTE(SUBSTITUTE(SUBSTITUTE($M746,"~","~~"),"*","~*"),"?","~?"),'DEF_SELF_SCOUT_IMPORT'!$F$42:$F$1040,SUBSTITUTE(SUBSTITUTE(SUBSTITUTE($N746,"~","~~"),"*","~*"),"?","~?"),'DEF_SELF_SCOUT_IMPORT'!$G$42:$G$1040,SUBSTITUTE(SUBSTITUTE(SUBSTITUTE($O746,"~","~~"),"*","~*"),"?","~?")))</f>
        <v>0.0</v>
      </c>
      <c r="G746" s="10">
        <f>IF($C746=0,"",COUNTIFS('DEF_SELF_SCOUT_IMPORT'!$L$42:$L$1040,"Y",'DEF_SELF_SCOUT_IMPORT'!$E$42:$E$1040,SUBSTITUTE(SUBSTITUTE(SUBSTITUTE($B746,"~","~~"),"*","~*"),"?","~?"),'DEF_SELF_SCOUT_IMPORT'!$Q$42:$Q$1040,SUBSTITUTE(SUBSTITUTE(SUBSTITUTE($M746,"~","~~"),"*","~*"),"?","~?"),'DEF_SELF_SCOUT_IMPORT'!$F$42:$F$1040,SUBSTITUTE(SUBSTITUTE(SUBSTITUTE($N746,"~","~~"),"*","~*"),"?","~?"),'DEF_SELF_SCOUT_IMPORT'!$G$42:$G$1040,SUBSTITUTE(SUBSTITUTE(SUBSTITUTE($O746,"~","~~"),"*","~*"),"?","~?"),'DEF_SELF_SCOUT_IMPORT'!$H$42:$H$1040,"RUSH")/$C746)</f>
        <v>0.0</v>
      </c>
      <c r="H746" s="10">
        <f>IF($C746=0,"",COUNTIFS('DEF_SELF_SCOUT_IMPORT'!$L$42:$L$1040,"Y",'DEF_SELF_SCOUT_IMPORT'!$E$42:$E$1040,SUBSTITUTE(SUBSTITUTE(SUBSTITUTE($B746,"~","~~"),"*","~*"),"?","~?"),'DEF_SELF_SCOUT_IMPORT'!$Q$42:$Q$1040,SUBSTITUTE(SUBSTITUTE(SUBSTITUTE($M746,"~","~~"),"*","~*"),"?","~?"),'DEF_SELF_SCOUT_IMPORT'!$F$42:$F$1040,SUBSTITUTE(SUBSTITUTE(SUBSTITUTE($N746,"~","~~"),"*","~*"),"?","~?"),'DEF_SELF_SCOUT_IMPORT'!$G$42:$G$1040,SUBSTITUTE(SUBSTITUTE(SUBSTITUTE($O746,"~","~~"),"*","~*"),"?","~?"),'DEF_SELF_SCOUT_IMPORT'!$H$42:$H$1040,"DROPBACK")/$C746)</f>
        <v>1.0</v>
      </c>
      <c r="I746" s="14" t="str">
        <f>IF(C746=0,"",IF(C746&lt;=2,"TRACK",IF(C746=3,"LOW",IF(C746&lt;=6,"MEDIUM","HIGH"))))</f>
        <v>TRACK</v>
      </c>
      <c r="J746" s="11">
        <f>IF(C746=0,"",ROUND(D746*70+(1-E746)*20+MAX(0,MIN(1,(10-F746)/10))*10,1))</f>
        <v>100.0</v>
      </c>
      <c r="K746" s="14" t="str">
        <f>IF(C746=0,"No Evidence",IF(C746&lt;=2,IF(E746&gt;0,"Explosive Alert","Track Only"),IF(C746=3,"Sample Watch",IF(E746&gt;=START_HERE!$B$31,"Explosive Alert",IF(J746&gt;=80,"Strong Candidate",IF(J746&gt;=65,"Good Candidate",IF(J746&gt;=50,"Mixed / Review","Problem Call")))))))</f>
        <v>Track Only</v>
      </c>
      <c r="L746" s="9" t="str">
        <f>IF(COUNTIFS('DEF_SELF_SCOUT_IMPORT'!$L$42:$L$1040,"Y",'DEF_SELF_SCOUT_IMPORT'!$E$42:$E$1040,SUBSTITUTE(SUBSTITUTE(SUBSTITUTE($B746,"~","~~"),"*","~*"),"?","~?"),'DEF_SELF_SCOUT_IMPORT'!$Q$42:$Q$1040,SUBSTITUTE(SUBSTITUTE(SUBSTITUTE($M746,"~","~~"),"*","~*"),"?","~?"),'DEF_SELF_SCOUT_IMPORT'!$F$42:$F$1040,SUBSTITUTE(SUBSTITUTE(SUBSTITUTE($N746,"~","~~"),"*","~*"),"?","~?"),'DEF_SELF_SCOUT_IMPORT'!$G$42:$G$1040,SUBSTITUTE(SUBSTITUTE(SUBSTITUTE($O746,"~","~~"),"*","~*"),"?","~?"),'DEF_SELF_SCOUT_IMPORT'!$J$42:$J$1040,"")&gt;0,"Unscored clean outcome; review result tags before using score.",IF(C746=0,"No matching defensive reps; film confirmation needed.",IF(K746="Explosive Alert","Explosive risk; review clips before using as answer.",IF(C746&lt;=2,"Track only; not enough sample.",IF(C746=3,IF(E746&gt;0,"Sample watch with explosive exposure; review clips and build the sample.",IF(J746&gt;=65,"Good signal, but sample is limited.","Sample watch; review clips and build the sample.")),IF(K746="Problem Call","Problem area; practice or call-sheet review.",IF(K746="Strong Candidate","Strong call-fit candidate; confirm on film.",IF(K746="Good Candidate","Good call-fit signal; confirm on film.","Mixed signal; review fit and execution on film."))))))))</f>
        <v>Track only; not enough sample.</v>
      </c>
      <c r="M746" s="8" t="s">
        <v>103</v>
      </c>
      <c r="N746" s="8" t="s">
        <v>120</v>
      </c>
      <c r="O746" s="8" t="s">
        <v>206</v>
      </c>
      <c r="P746" s="8"/>
      <c r="Q746" s="8"/>
      <c r="R746" s="8" t="s">
        <v>28</v>
      </c>
      <c r="S746" s="2" t="s">
        <v>387</v>
      </c>
      <c r="T746" s="2">
        <f>IF(C746=0,0,IF(C746&gt;=CALL_LOOKUP_BOARD!$B$7,IF(OR(K746="Problem Call",K746="Explosive Alert"),10000000,20000000),0)+IF(C746&gt;=CALL_LOOKUP_BOARD!$B$7,J746*1000+MIN(C746,999),C746*1000+J746)+0.00984200)</f>
        <v>1100.009842</v>
      </c>
      <c r="U746" s="2">
        <f>IF(C746=0,"",IF(COUNTIFS($S$589:$S$803,SUBSTITUTE(SUBSTITUTE(SUBSTITUTE(S746,"~","~~"),"*","~*"),"?","~?"),$T$589:$T$803,"&gt;"&amp;T746)=0,S746,""))</f>
        <v/>
      </c>
    </row>
    <row r="747" spans="1:21" ht="38" customHeight="1">
      <c r="A747" s="8" t="s">
        <v>386</v>
      </c>
      <c r="B747" s="8" t="s">
        <v>61</v>
      </c>
      <c r="C747" s="12">
        <f>COUNTIFS('DEF_SELF_SCOUT_IMPORT'!$L$42:$L$1040,"Y",'DEF_SELF_SCOUT_IMPORT'!$E$42:$E$1040,SUBSTITUTE(SUBSTITUTE(SUBSTITUTE($B747,"~","~~"),"*","~*"),"?","~?"),'DEF_SELF_SCOUT_IMPORT'!$Q$42:$Q$1040,SUBSTITUTE(SUBSTITUTE(SUBSTITUTE($M747,"~","~~"),"*","~*"),"?","~?"),'DEF_SELF_SCOUT_IMPORT'!$F$42:$F$1040,SUBSTITUTE(SUBSTITUTE(SUBSTITUTE($N747,"~","~~"),"*","~*"),"?","~?"),'DEF_SELF_SCOUT_IMPORT'!$G$42:$G$1040,SUBSTITUTE(SUBSTITUTE(SUBSTITUTE($O747,"~","~~"),"*","~*"),"?","~?"))</f>
        <v>1</v>
      </c>
      <c r="D747" s="10">
        <f>IF($C747=0,"",SUMIFS('DEF_SELF_SCOUT_IMPORT'!$J$42:$J$1040,'DEF_SELF_SCOUT_IMPORT'!$L$42:$L$1040,"Y",'DEF_SELF_SCOUT_IMPORT'!$E$42:$E$1040,SUBSTITUTE(SUBSTITUTE(SUBSTITUTE($B747,"~","~~"),"*","~*"),"?","~?"),'DEF_SELF_SCOUT_IMPORT'!$Q$42:$Q$1040,SUBSTITUTE(SUBSTITUTE(SUBSTITUTE($M747,"~","~~"),"*","~*"),"?","~?"),'DEF_SELF_SCOUT_IMPORT'!$F$42:$F$1040,SUBSTITUTE(SUBSTITUTE(SUBSTITUTE($N747,"~","~~"),"*","~*"),"?","~?"),'DEF_SELF_SCOUT_IMPORT'!$G$42:$G$1040,SUBSTITUTE(SUBSTITUTE(SUBSTITUTE($O747,"~","~~"),"*","~*"),"?","~?"))/$C747)</f>
        <v>0.0</v>
      </c>
      <c r="E747" s="10">
        <f>IF($C747=0,"",SUMIFS('DEF_SELF_SCOUT_IMPORT'!$K$42:$K$1040,'DEF_SELF_SCOUT_IMPORT'!$L$42:$L$1040,"Y",'DEF_SELF_SCOUT_IMPORT'!$E$42:$E$1040,SUBSTITUTE(SUBSTITUTE(SUBSTITUTE($B747,"~","~~"),"*","~*"),"?","~?"),'DEF_SELF_SCOUT_IMPORT'!$Q$42:$Q$1040,SUBSTITUTE(SUBSTITUTE(SUBSTITUTE($M747,"~","~~"),"*","~*"),"?","~?"),'DEF_SELF_SCOUT_IMPORT'!$F$42:$F$1040,SUBSTITUTE(SUBSTITUTE(SUBSTITUTE($N747,"~","~~"),"*","~*"),"?","~?"),'DEF_SELF_SCOUT_IMPORT'!$G$42:$G$1040,SUBSTITUTE(SUBSTITUTE(SUBSTITUTE($O747,"~","~~"),"*","~*"),"?","~?"))/$C747)</f>
        <v>1.0</v>
      </c>
      <c r="F747" s="11">
        <f>IF($C747=0,"",AVERAGEIFS('DEF_SELF_SCOUT_IMPORT'!$I$42:$I$1040,'DEF_SELF_SCOUT_IMPORT'!$L$42:$L$1040,"Y",'DEF_SELF_SCOUT_IMPORT'!$E$42:$E$1040,SUBSTITUTE(SUBSTITUTE(SUBSTITUTE($B747,"~","~~"),"*","~*"),"?","~?"),'DEF_SELF_SCOUT_IMPORT'!$Q$42:$Q$1040,SUBSTITUTE(SUBSTITUTE(SUBSTITUTE($M747,"~","~~"),"*","~*"),"?","~?"),'DEF_SELF_SCOUT_IMPORT'!$F$42:$F$1040,SUBSTITUTE(SUBSTITUTE(SUBSTITUTE($N747,"~","~~"),"*","~*"),"?","~?"),'DEF_SELF_SCOUT_IMPORT'!$G$42:$G$1040,SUBSTITUTE(SUBSTITUTE(SUBSTITUTE($O747,"~","~~"),"*","~*"),"?","~?")))</f>
        <v>21.0</v>
      </c>
      <c r="G747" s="10">
        <f>IF($C747=0,"",COUNTIFS('DEF_SELF_SCOUT_IMPORT'!$L$42:$L$1040,"Y",'DEF_SELF_SCOUT_IMPORT'!$E$42:$E$1040,SUBSTITUTE(SUBSTITUTE(SUBSTITUTE($B747,"~","~~"),"*","~*"),"?","~?"),'DEF_SELF_SCOUT_IMPORT'!$Q$42:$Q$1040,SUBSTITUTE(SUBSTITUTE(SUBSTITUTE($M747,"~","~~"),"*","~*"),"?","~?"),'DEF_SELF_SCOUT_IMPORT'!$F$42:$F$1040,SUBSTITUTE(SUBSTITUTE(SUBSTITUTE($N747,"~","~~"),"*","~*"),"?","~?"),'DEF_SELF_SCOUT_IMPORT'!$G$42:$G$1040,SUBSTITUTE(SUBSTITUTE(SUBSTITUTE($O747,"~","~~"),"*","~*"),"?","~?"),'DEF_SELF_SCOUT_IMPORT'!$H$42:$H$1040,"RUSH")/$C747)</f>
        <v>0.0</v>
      </c>
      <c r="H747" s="10">
        <f>IF($C747=0,"",COUNTIFS('DEF_SELF_SCOUT_IMPORT'!$L$42:$L$1040,"Y",'DEF_SELF_SCOUT_IMPORT'!$E$42:$E$1040,SUBSTITUTE(SUBSTITUTE(SUBSTITUTE($B747,"~","~~"),"*","~*"),"?","~?"),'DEF_SELF_SCOUT_IMPORT'!$Q$42:$Q$1040,SUBSTITUTE(SUBSTITUTE(SUBSTITUTE($M747,"~","~~"),"*","~*"),"?","~?"),'DEF_SELF_SCOUT_IMPORT'!$F$42:$F$1040,SUBSTITUTE(SUBSTITUTE(SUBSTITUTE($N747,"~","~~"),"*","~*"),"?","~?"),'DEF_SELF_SCOUT_IMPORT'!$G$42:$G$1040,SUBSTITUTE(SUBSTITUTE(SUBSTITUTE($O747,"~","~~"),"*","~*"),"?","~?"),'DEF_SELF_SCOUT_IMPORT'!$H$42:$H$1040,"DROPBACK")/$C747)</f>
        <v>1.0</v>
      </c>
      <c r="I747" s="14" t="str">
        <f>IF(C747=0,"",IF(C747&lt;=2,"TRACK",IF(C747=3,"LOW",IF(C747&lt;=6,"MEDIUM","HIGH"))))</f>
        <v>TRACK</v>
      </c>
      <c r="J747" s="11">
        <f>IF(C747=0,"",ROUND(D747*70+(1-E747)*20+MAX(0,MIN(1,(10-F747)/10))*10,1))</f>
        <v>0.0</v>
      </c>
      <c r="K747" s="14" t="str">
        <f>IF(C747=0,"No Evidence",IF(C747&lt;=2,IF(E747&gt;0,"Explosive Alert","Track Only"),IF(C747=3,"Sample Watch",IF(E747&gt;=START_HERE!$B$31,"Explosive Alert",IF(J747&gt;=80,"Strong Candidate",IF(J747&gt;=65,"Good Candidate",IF(J747&gt;=50,"Mixed / Review","Problem Call")))))))</f>
        <v>Explosive Alert</v>
      </c>
      <c r="L747" s="9" t="str">
        <f>IF(COUNTIFS('DEF_SELF_SCOUT_IMPORT'!$L$42:$L$1040,"Y",'DEF_SELF_SCOUT_IMPORT'!$E$42:$E$1040,SUBSTITUTE(SUBSTITUTE(SUBSTITUTE($B747,"~","~~"),"*","~*"),"?","~?"),'DEF_SELF_SCOUT_IMPORT'!$Q$42:$Q$1040,SUBSTITUTE(SUBSTITUTE(SUBSTITUTE($M747,"~","~~"),"*","~*"),"?","~?"),'DEF_SELF_SCOUT_IMPORT'!$F$42:$F$1040,SUBSTITUTE(SUBSTITUTE(SUBSTITUTE($N747,"~","~~"),"*","~*"),"?","~?"),'DEF_SELF_SCOUT_IMPORT'!$G$42:$G$1040,SUBSTITUTE(SUBSTITUTE(SUBSTITUTE($O747,"~","~~"),"*","~*"),"?","~?"),'DEF_SELF_SCOUT_IMPORT'!$J$42:$J$1040,"")&gt;0,"Unscored clean outcome; review result tags before using score.",IF(C747=0,"No matching defensive reps; film confirmation needed.",IF(K747="Explosive Alert","Explosive risk; review clips before using as answer.",IF(C747&lt;=2,"Track only; not enough sample.",IF(C747=3,IF(E747&gt;0,"Sample watch with explosive exposure; review clips and build the sample.",IF(J747&gt;=65,"Good signal, but sample is limited.","Sample watch; review clips and build the sample.")),IF(K747="Problem Call","Problem area; practice or call-sheet review.",IF(K747="Strong Candidate","Strong call-fit candidate; confirm on film.",IF(K747="Good Candidate","Good call-fit signal; confirm on film.","Mixed signal; review fit and execution on film."))))))))</f>
        <v>Explosive risk; review clips before using as answer.</v>
      </c>
      <c r="M747" s="8" t="s">
        <v>103</v>
      </c>
      <c r="N747" s="8" t="s">
        <v>120</v>
      </c>
      <c r="O747" s="8" t="s">
        <v>206</v>
      </c>
      <c r="P747" s="8"/>
      <c r="Q747" s="8"/>
      <c r="R747" s="8" t="s">
        <v>28</v>
      </c>
      <c r="S747" s="2" t="s">
        <v>387</v>
      </c>
      <c r="T747" s="2">
        <f>IF(C747=0,0,IF(C747&gt;=CALL_LOOKUP_BOARD!$B$7,IF(OR(K747="Problem Call",K747="Explosive Alert"),10000000,20000000),0)+IF(C747&gt;=CALL_LOOKUP_BOARD!$B$7,J747*1000+MIN(C747,999),C747*1000+J747)+0.00984100)</f>
        <v>1000.009841</v>
      </c>
      <c r="U747" s="2">
        <f>IF(C747=0,"",IF(COUNTIFS($S$589:$S$803,SUBSTITUTE(SUBSTITUTE(SUBSTITUTE(S747,"~","~~"),"*","~*"),"?","~?"),$T$589:$T$803,"&gt;"&amp;T747)=0,S747,""))</f>
        <v/>
      </c>
    </row>
    <row r="748" spans="1:21" ht="38" customHeight="1">
      <c r="A748" s="8" t="s">
        <v>386</v>
      </c>
      <c r="B748" s="8" t="s">
        <v>106</v>
      </c>
      <c r="C748" s="12">
        <f>COUNTIFS('DEF_SELF_SCOUT_IMPORT'!$L$42:$L$1040,"Y",'DEF_SELF_SCOUT_IMPORT'!$E$42:$E$1040,SUBSTITUTE(SUBSTITUTE(SUBSTITUTE($B748,"~","~~"),"*","~*"),"?","~?"),'DEF_SELF_SCOUT_IMPORT'!$Q$42:$Q$1040,SUBSTITUTE(SUBSTITUTE(SUBSTITUTE($M748,"~","~~"),"*","~*"),"?","~?"),'DEF_SELF_SCOUT_IMPORT'!$F$42:$F$1040,SUBSTITUTE(SUBSTITUTE(SUBSTITUTE($N748,"~","~~"),"*","~*"),"?","~?"),'DEF_SELF_SCOUT_IMPORT'!$G$42:$G$1040,SUBSTITUTE(SUBSTITUTE(SUBSTITUTE($O748,"~","~~"),"*","~*"),"?","~?"))</f>
        <v>1</v>
      </c>
      <c r="D748" s="10">
        <f>IF($C748=0,"",SUMIFS('DEF_SELF_SCOUT_IMPORT'!$J$42:$J$1040,'DEF_SELF_SCOUT_IMPORT'!$L$42:$L$1040,"Y",'DEF_SELF_SCOUT_IMPORT'!$E$42:$E$1040,SUBSTITUTE(SUBSTITUTE(SUBSTITUTE($B748,"~","~~"),"*","~*"),"?","~?"),'DEF_SELF_SCOUT_IMPORT'!$Q$42:$Q$1040,SUBSTITUTE(SUBSTITUTE(SUBSTITUTE($M748,"~","~~"),"*","~*"),"?","~?"),'DEF_SELF_SCOUT_IMPORT'!$F$42:$F$1040,SUBSTITUTE(SUBSTITUTE(SUBSTITUTE($N748,"~","~~"),"*","~*"),"?","~?"),'DEF_SELF_SCOUT_IMPORT'!$G$42:$G$1040,SUBSTITUTE(SUBSTITUTE(SUBSTITUTE($O748,"~","~~"),"*","~*"),"?","~?"))/$C748)</f>
        <v>0.0</v>
      </c>
      <c r="E748" s="10">
        <f>IF($C748=0,"",SUMIFS('DEF_SELF_SCOUT_IMPORT'!$K$42:$K$1040,'DEF_SELF_SCOUT_IMPORT'!$L$42:$L$1040,"Y",'DEF_SELF_SCOUT_IMPORT'!$E$42:$E$1040,SUBSTITUTE(SUBSTITUTE(SUBSTITUTE($B748,"~","~~"),"*","~*"),"?","~?"),'DEF_SELF_SCOUT_IMPORT'!$Q$42:$Q$1040,SUBSTITUTE(SUBSTITUTE(SUBSTITUTE($M748,"~","~~"),"*","~*"),"?","~?"),'DEF_SELF_SCOUT_IMPORT'!$F$42:$F$1040,SUBSTITUTE(SUBSTITUTE(SUBSTITUTE($N748,"~","~~"),"*","~*"),"?","~?"),'DEF_SELF_SCOUT_IMPORT'!$G$42:$G$1040,SUBSTITUTE(SUBSTITUTE(SUBSTITUTE($O748,"~","~~"),"*","~*"),"?","~?"))/$C748)</f>
        <v>1.0</v>
      </c>
      <c r="F748" s="11">
        <f>IF($C748=0,"",AVERAGEIFS('DEF_SELF_SCOUT_IMPORT'!$I$42:$I$1040,'DEF_SELF_SCOUT_IMPORT'!$L$42:$L$1040,"Y",'DEF_SELF_SCOUT_IMPORT'!$E$42:$E$1040,SUBSTITUTE(SUBSTITUTE(SUBSTITUTE($B748,"~","~~"),"*","~*"),"?","~?"),'DEF_SELF_SCOUT_IMPORT'!$Q$42:$Q$1040,SUBSTITUTE(SUBSTITUTE(SUBSTITUTE($M748,"~","~~"),"*","~*"),"?","~?"),'DEF_SELF_SCOUT_IMPORT'!$F$42:$F$1040,SUBSTITUTE(SUBSTITUTE(SUBSTITUTE($N748,"~","~~"),"*","~*"),"?","~?"),'DEF_SELF_SCOUT_IMPORT'!$G$42:$G$1040,SUBSTITUTE(SUBSTITUTE(SUBSTITUTE($O748,"~","~~"),"*","~*"),"?","~?")))</f>
        <v>22.0</v>
      </c>
      <c r="G748" s="10">
        <f>IF($C748=0,"",COUNTIFS('DEF_SELF_SCOUT_IMPORT'!$L$42:$L$1040,"Y",'DEF_SELF_SCOUT_IMPORT'!$E$42:$E$1040,SUBSTITUTE(SUBSTITUTE(SUBSTITUTE($B748,"~","~~"),"*","~*"),"?","~?"),'DEF_SELF_SCOUT_IMPORT'!$Q$42:$Q$1040,SUBSTITUTE(SUBSTITUTE(SUBSTITUTE($M748,"~","~~"),"*","~*"),"?","~?"),'DEF_SELF_SCOUT_IMPORT'!$F$42:$F$1040,SUBSTITUTE(SUBSTITUTE(SUBSTITUTE($N748,"~","~~"),"*","~*"),"?","~?"),'DEF_SELF_SCOUT_IMPORT'!$G$42:$G$1040,SUBSTITUTE(SUBSTITUTE(SUBSTITUTE($O748,"~","~~"),"*","~*"),"?","~?"),'DEF_SELF_SCOUT_IMPORT'!$H$42:$H$1040,"RUSH")/$C748)</f>
        <v>0.0</v>
      </c>
      <c r="H748" s="10">
        <f>IF($C748=0,"",COUNTIFS('DEF_SELF_SCOUT_IMPORT'!$L$42:$L$1040,"Y",'DEF_SELF_SCOUT_IMPORT'!$E$42:$E$1040,SUBSTITUTE(SUBSTITUTE(SUBSTITUTE($B748,"~","~~"),"*","~*"),"?","~?"),'DEF_SELF_SCOUT_IMPORT'!$Q$42:$Q$1040,SUBSTITUTE(SUBSTITUTE(SUBSTITUTE($M748,"~","~~"),"*","~*"),"?","~?"),'DEF_SELF_SCOUT_IMPORT'!$F$42:$F$1040,SUBSTITUTE(SUBSTITUTE(SUBSTITUTE($N748,"~","~~"),"*","~*"),"?","~?"),'DEF_SELF_SCOUT_IMPORT'!$G$42:$G$1040,SUBSTITUTE(SUBSTITUTE(SUBSTITUTE($O748,"~","~~"),"*","~*"),"?","~?"),'DEF_SELF_SCOUT_IMPORT'!$H$42:$H$1040,"DROPBACK")/$C748)</f>
        <v>1.0</v>
      </c>
      <c r="I748" s="14" t="str">
        <f>IF(C748=0,"",IF(C748&lt;=2,"TRACK",IF(C748=3,"LOW",IF(C748&lt;=6,"MEDIUM","HIGH"))))</f>
        <v>TRACK</v>
      </c>
      <c r="J748" s="11">
        <f>IF(C748=0,"",ROUND(D748*70+(1-E748)*20+MAX(0,MIN(1,(10-F748)/10))*10,1))</f>
        <v>0.0</v>
      </c>
      <c r="K748" s="14" t="str">
        <f>IF(C748=0,"No Evidence",IF(C748&lt;=2,IF(E748&gt;0,"Explosive Alert","Track Only"),IF(C748=3,"Sample Watch",IF(E748&gt;=START_HERE!$B$31,"Explosive Alert",IF(J748&gt;=80,"Strong Candidate",IF(J748&gt;=65,"Good Candidate",IF(J748&gt;=50,"Mixed / Review","Problem Call")))))))</f>
        <v>Explosive Alert</v>
      </c>
      <c r="L748" s="9" t="str">
        <f>IF(COUNTIFS('DEF_SELF_SCOUT_IMPORT'!$L$42:$L$1040,"Y",'DEF_SELF_SCOUT_IMPORT'!$E$42:$E$1040,SUBSTITUTE(SUBSTITUTE(SUBSTITUTE($B748,"~","~~"),"*","~*"),"?","~?"),'DEF_SELF_SCOUT_IMPORT'!$Q$42:$Q$1040,SUBSTITUTE(SUBSTITUTE(SUBSTITUTE($M748,"~","~~"),"*","~*"),"?","~?"),'DEF_SELF_SCOUT_IMPORT'!$F$42:$F$1040,SUBSTITUTE(SUBSTITUTE(SUBSTITUTE($N748,"~","~~"),"*","~*"),"?","~?"),'DEF_SELF_SCOUT_IMPORT'!$G$42:$G$1040,SUBSTITUTE(SUBSTITUTE(SUBSTITUTE($O748,"~","~~"),"*","~*"),"?","~?"),'DEF_SELF_SCOUT_IMPORT'!$J$42:$J$1040,"")&gt;0,"Unscored clean outcome; review result tags before using score.",IF(C748=0,"No matching defensive reps; film confirmation needed.",IF(K748="Explosive Alert","Explosive risk; review clips before using as answer.",IF(C748&lt;=2,"Track only; not enough sample.",IF(C748=3,IF(E748&gt;0,"Sample watch with explosive exposure; review clips and build the sample.",IF(J748&gt;=65,"Good signal, but sample is limited.","Sample watch; review clips and build the sample.")),IF(K748="Problem Call","Problem area; practice or call-sheet review.",IF(K748="Strong Candidate","Strong call-fit candidate; confirm on film.",IF(K748="Good Candidate","Good call-fit signal; confirm on film.","Mixed signal; review fit and execution on film."))))))))</f>
        <v>Explosive risk; review clips before using as answer.</v>
      </c>
      <c r="M748" s="8" t="s">
        <v>103</v>
      </c>
      <c r="N748" s="8" t="s">
        <v>120</v>
      </c>
      <c r="O748" s="8" t="s">
        <v>206</v>
      </c>
      <c r="P748" s="8"/>
      <c r="Q748" s="8"/>
      <c r="R748" s="8" t="s">
        <v>28</v>
      </c>
      <c r="S748" s="2" t="s">
        <v>387</v>
      </c>
      <c r="T748" s="2">
        <f>IF(C748=0,0,IF(C748&gt;=CALL_LOOKUP_BOARD!$B$7,IF(OR(K748="Problem Call",K748="Explosive Alert"),10000000,20000000),0)+IF(C748&gt;=CALL_LOOKUP_BOARD!$B$7,J748*1000+MIN(C748,999),C748*1000+J748)+0.00984000)</f>
        <v>1000.00984</v>
      </c>
      <c r="U748" s="2">
        <f>IF(C748=0,"",IF(COUNTIFS($S$589:$S$803,SUBSTITUTE(SUBSTITUTE(SUBSTITUTE(S748,"~","~~"),"*","~*"),"?","~?"),$T$589:$T$803,"&gt;"&amp;T748)=0,S748,""))</f>
        <v/>
      </c>
    </row>
    <row r="749" spans="1:21" ht="38" customHeight="1">
      <c r="A749" s="8" t="s">
        <v>386</v>
      </c>
      <c r="B749" s="8" t="s">
        <v>84</v>
      </c>
      <c r="C749" s="12">
        <f>COUNTIFS('DEF_SELF_SCOUT_IMPORT'!$L$42:$L$1040,"Y",'DEF_SELF_SCOUT_IMPORT'!$E$42:$E$1040,SUBSTITUTE(SUBSTITUTE(SUBSTITUTE($B749,"~","~~"),"*","~*"),"?","~?"),'DEF_SELF_SCOUT_IMPORT'!$Q$42:$Q$1040,SUBSTITUTE(SUBSTITUTE(SUBSTITUTE($M749,"~","~~"),"*","~*"),"?","~?"),'DEF_SELF_SCOUT_IMPORT'!$F$42:$F$1040,SUBSTITUTE(SUBSTITUTE(SUBSTITUTE($N749,"~","~~"),"*","~*"),"?","~?"),'DEF_SELF_SCOUT_IMPORT'!$G$42:$G$1040,SUBSTITUTE(SUBSTITUTE(SUBSTITUTE($O749,"~","~~"),"*","~*"),"?","~?"))</f>
        <v>1</v>
      </c>
      <c r="D749" s="10">
        <f>IF($C749=0,"",SUMIFS('DEF_SELF_SCOUT_IMPORT'!$J$42:$J$1040,'DEF_SELF_SCOUT_IMPORT'!$L$42:$L$1040,"Y",'DEF_SELF_SCOUT_IMPORT'!$E$42:$E$1040,SUBSTITUTE(SUBSTITUTE(SUBSTITUTE($B749,"~","~~"),"*","~*"),"?","~?"),'DEF_SELF_SCOUT_IMPORT'!$Q$42:$Q$1040,SUBSTITUTE(SUBSTITUTE(SUBSTITUTE($M749,"~","~~"),"*","~*"),"?","~?"),'DEF_SELF_SCOUT_IMPORT'!$F$42:$F$1040,SUBSTITUTE(SUBSTITUTE(SUBSTITUTE($N749,"~","~~"),"*","~*"),"?","~?"),'DEF_SELF_SCOUT_IMPORT'!$G$42:$G$1040,SUBSTITUTE(SUBSTITUTE(SUBSTITUTE($O749,"~","~~"),"*","~*"),"?","~?"))/$C749)</f>
        <v>1.0</v>
      </c>
      <c r="E749" s="10">
        <f>IF($C749=0,"",SUMIFS('DEF_SELF_SCOUT_IMPORT'!$K$42:$K$1040,'DEF_SELF_SCOUT_IMPORT'!$L$42:$L$1040,"Y",'DEF_SELF_SCOUT_IMPORT'!$E$42:$E$1040,SUBSTITUTE(SUBSTITUTE(SUBSTITUTE($B749,"~","~~"),"*","~*"),"?","~?"),'DEF_SELF_SCOUT_IMPORT'!$Q$42:$Q$1040,SUBSTITUTE(SUBSTITUTE(SUBSTITUTE($M749,"~","~~"),"*","~*"),"?","~?"),'DEF_SELF_SCOUT_IMPORT'!$F$42:$F$1040,SUBSTITUTE(SUBSTITUTE(SUBSTITUTE($N749,"~","~~"),"*","~*"),"?","~?"),'DEF_SELF_SCOUT_IMPORT'!$G$42:$G$1040,SUBSTITUTE(SUBSTITUTE(SUBSTITUTE($O749,"~","~~"),"*","~*"),"?","~?"))/$C749)</f>
        <v>0.0</v>
      </c>
      <c r="F749" s="11">
        <f>IF($C749=0,"",AVERAGEIFS('DEF_SELF_SCOUT_IMPORT'!$I$42:$I$1040,'DEF_SELF_SCOUT_IMPORT'!$L$42:$L$1040,"Y",'DEF_SELF_SCOUT_IMPORT'!$E$42:$E$1040,SUBSTITUTE(SUBSTITUTE(SUBSTITUTE($B749,"~","~~"),"*","~*"),"?","~?"),'DEF_SELF_SCOUT_IMPORT'!$Q$42:$Q$1040,SUBSTITUTE(SUBSTITUTE(SUBSTITUTE($M749,"~","~~"),"*","~*"),"?","~?"),'DEF_SELF_SCOUT_IMPORT'!$F$42:$F$1040,SUBSTITUTE(SUBSTITUTE(SUBSTITUTE($N749,"~","~~"),"*","~*"),"?","~?"),'DEF_SELF_SCOUT_IMPORT'!$G$42:$G$1040,SUBSTITUTE(SUBSTITUTE(SUBSTITUTE($O749,"~","~~"),"*","~*"),"?","~?")))</f>
        <v>0.0</v>
      </c>
      <c r="G749" s="10">
        <f>IF($C749=0,"",COUNTIFS('DEF_SELF_SCOUT_IMPORT'!$L$42:$L$1040,"Y",'DEF_SELF_SCOUT_IMPORT'!$E$42:$E$1040,SUBSTITUTE(SUBSTITUTE(SUBSTITUTE($B749,"~","~~"),"*","~*"),"?","~?"),'DEF_SELF_SCOUT_IMPORT'!$Q$42:$Q$1040,SUBSTITUTE(SUBSTITUTE(SUBSTITUTE($M749,"~","~~"),"*","~*"),"?","~?"),'DEF_SELF_SCOUT_IMPORT'!$F$42:$F$1040,SUBSTITUTE(SUBSTITUTE(SUBSTITUTE($N749,"~","~~"),"*","~*"),"?","~?"),'DEF_SELF_SCOUT_IMPORT'!$G$42:$G$1040,SUBSTITUTE(SUBSTITUTE(SUBSTITUTE($O749,"~","~~"),"*","~*"),"?","~?"),'DEF_SELF_SCOUT_IMPORT'!$H$42:$H$1040,"RUSH")/$C749)</f>
        <v>0.0</v>
      </c>
      <c r="H749" s="10">
        <f>IF($C749=0,"",COUNTIFS('DEF_SELF_SCOUT_IMPORT'!$L$42:$L$1040,"Y",'DEF_SELF_SCOUT_IMPORT'!$E$42:$E$1040,SUBSTITUTE(SUBSTITUTE(SUBSTITUTE($B749,"~","~~"),"*","~*"),"?","~?"),'DEF_SELF_SCOUT_IMPORT'!$Q$42:$Q$1040,SUBSTITUTE(SUBSTITUTE(SUBSTITUTE($M749,"~","~~"),"*","~*"),"?","~?"),'DEF_SELF_SCOUT_IMPORT'!$F$42:$F$1040,SUBSTITUTE(SUBSTITUTE(SUBSTITUTE($N749,"~","~~"),"*","~*"),"?","~?"),'DEF_SELF_SCOUT_IMPORT'!$G$42:$G$1040,SUBSTITUTE(SUBSTITUTE(SUBSTITUTE($O749,"~","~~"),"*","~*"),"?","~?"),'DEF_SELF_SCOUT_IMPORT'!$H$42:$H$1040,"DROPBACK")/$C749)</f>
        <v>1.0</v>
      </c>
      <c r="I749" s="14" t="str">
        <f>IF(C749=0,"",IF(C749&lt;=2,"TRACK",IF(C749=3,"LOW",IF(C749&lt;=6,"MEDIUM","HIGH"))))</f>
        <v>TRACK</v>
      </c>
      <c r="J749" s="11">
        <f>IF(C749=0,"",ROUND(D749*70+(1-E749)*20+MAX(0,MIN(1,(10-F749)/10))*10,1))</f>
        <v>100.0</v>
      </c>
      <c r="K749" s="14" t="str">
        <f>IF(C749=0,"No Evidence",IF(C749&lt;=2,IF(E749&gt;0,"Explosive Alert","Track Only"),IF(C749=3,"Sample Watch",IF(E749&gt;=START_HERE!$B$31,"Explosive Alert",IF(J749&gt;=80,"Strong Candidate",IF(J749&gt;=65,"Good Candidate",IF(J749&gt;=50,"Mixed / Review","Problem Call")))))))</f>
        <v>Track Only</v>
      </c>
      <c r="L749" s="9" t="str">
        <f>IF(COUNTIFS('DEF_SELF_SCOUT_IMPORT'!$L$42:$L$1040,"Y",'DEF_SELF_SCOUT_IMPORT'!$E$42:$E$1040,SUBSTITUTE(SUBSTITUTE(SUBSTITUTE($B749,"~","~~"),"*","~*"),"?","~?"),'DEF_SELF_SCOUT_IMPORT'!$Q$42:$Q$1040,SUBSTITUTE(SUBSTITUTE(SUBSTITUTE($M749,"~","~~"),"*","~*"),"?","~?"),'DEF_SELF_SCOUT_IMPORT'!$F$42:$F$1040,SUBSTITUTE(SUBSTITUTE(SUBSTITUTE($N749,"~","~~"),"*","~*"),"?","~?"),'DEF_SELF_SCOUT_IMPORT'!$G$42:$G$1040,SUBSTITUTE(SUBSTITUTE(SUBSTITUTE($O749,"~","~~"),"*","~*"),"?","~?"),'DEF_SELF_SCOUT_IMPORT'!$J$42:$J$1040,"")&gt;0,"Unscored clean outcome; review result tags before using score.",IF(C749=0,"No matching defensive reps; film confirmation needed.",IF(K749="Explosive Alert","Explosive risk; review clips before using as answer.",IF(C749&lt;=2,"Track only; not enough sample.",IF(C749=3,IF(E749&gt;0,"Sample watch with explosive exposure; review clips and build the sample.",IF(J749&gt;=65,"Good signal, but sample is limited.","Sample watch; review clips and build the sample.")),IF(K749="Problem Call","Problem area; practice or call-sheet review.",IF(K749="Strong Candidate","Strong call-fit candidate; confirm on film.",IF(K749="Good Candidate","Good call-fit signal; confirm on film.","Mixed signal; review fit and execution on film."))))))))</f>
        <v>Track only; not enough sample.</v>
      </c>
      <c r="M749" s="8" t="s">
        <v>103</v>
      </c>
      <c r="N749" s="8" t="s">
        <v>120</v>
      </c>
      <c r="O749" s="8" t="s">
        <v>206</v>
      </c>
      <c r="P749" s="8"/>
      <c r="Q749" s="8"/>
      <c r="R749" s="8" t="s">
        <v>28</v>
      </c>
      <c r="S749" s="2" t="s">
        <v>387</v>
      </c>
      <c r="T749" s="2">
        <f>IF(C749=0,0,IF(C749&gt;=CALL_LOOKUP_BOARD!$B$7,IF(OR(K749="Problem Call",K749="Explosive Alert"),10000000,20000000),0)+IF(C749&gt;=CALL_LOOKUP_BOARD!$B$7,J749*1000+MIN(C749,999),C749*1000+J749)+0.00983900)</f>
        <v>1100.009839</v>
      </c>
      <c r="U749" s="2">
        <f>IF(C749=0,"",IF(COUNTIFS($S$589:$S$803,SUBSTITUTE(SUBSTITUTE(SUBSTITUTE(S749,"~","~~"),"*","~*"),"?","~?"),$T$589:$T$803,"&gt;"&amp;T749)=0,S749,""))</f>
        <v/>
      </c>
    </row>
    <row r="750" spans="1:21" ht="38" customHeight="1">
      <c r="A750" s="8" t="s">
        <v>386</v>
      </c>
      <c r="B750" s="8" t="s">
        <v>102</v>
      </c>
      <c r="C750" s="12">
        <f>COUNTIFS('DEF_SELF_SCOUT_IMPORT'!$L$42:$L$1040,"Y",'DEF_SELF_SCOUT_IMPORT'!$E$42:$E$1040,SUBSTITUTE(SUBSTITUTE(SUBSTITUTE($B750,"~","~~"),"*","~*"),"?","~?"),'DEF_SELF_SCOUT_IMPORT'!$Q$42:$Q$1040,SUBSTITUTE(SUBSTITUTE(SUBSTITUTE($M750,"~","~~"),"*","~*"),"?","~?"),'DEF_SELF_SCOUT_IMPORT'!$F$42:$F$1040,SUBSTITUTE(SUBSTITUTE(SUBSTITUTE($N750,"~","~~"),"*","~*"),"?","~?"),'DEF_SELF_SCOUT_IMPORT'!$G$42:$G$1040,SUBSTITUTE(SUBSTITUTE(SUBSTITUTE($O750,"~","~~"),"*","~*"),"?","~?"))</f>
        <v>1</v>
      </c>
      <c r="D750" s="10">
        <f>IF($C750=0,"",SUMIFS('DEF_SELF_SCOUT_IMPORT'!$J$42:$J$1040,'DEF_SELF_SCOUT_IMPORT'!$L$42:$L$1040,"Y",'DEF_SELF_SCOUT_IMPORT'!$E$42:$E$1040,SUBSTITUTE(SUBSTITUTE(SUBSTITUTE($B750,"~","~~"),"*","~*"),"?","~?"),'DEF_SELF_SCOUT_IMPORT'!$Q$42:$Q$1040,SUBSTITUTE(SUBSTITUTE(SUBSTITUTE($M750,"~","~~"),"*","~*"),"?","~?"),'DEF_SELF_SCOUT_IMPORT'!$F$42:$F$1040,SUBSTITUTE(SUBSTITUTE(SUBSTITUTE($N750,"~","~~"),"*","~*"),"?","~?"),'DEF_SELF_SCOUT_IMPORT'!$G$42:$G$1040,SUBSTITUTE(SUBSTITUTE(SUBSTITUTE($O750,"~","~~"),"*","~*"),"?","~?"))/$C750)</f>
        <v>1.0</v>
      </c>
      <c r="E750" s="10">
        <f>IF($C750=0,"",SUMIFS('DEF_SELF_SCOUT_IMPORT'!$K$42:$K$1040,'DEF_SELF_SCOUT_IMPORT'!$L$42:$L$1040,"Y",'DEF_SELF_SCOUT_IMPORT'!$E$42:$E$1040,SUBSTITUTE(SUBSTITUTE(SUBSTITUTE($B750,"~","~~"),"*","~*"),"?","~?"),'DEF_SELF_SCOUT_IMPORT'!$Q$42:$Q$1040,SUBSTITUTE(SUBSTITUTE(SUBSTITUTE($M750,"~","~~"),"*","~*"),"?","~?"),'DEF_SELF_SCOUT_IMPORT'!$F$42:$F$1040,SUBSTITUTE(SUBSTITUTE(SUBSTITUTE($N750,"~","~~"),"*","~*"),"?","~?"),'DEF_SELF_SCOUT_IMPORT'!$G$42:$G$1040,SUBSTITUTE(SUBSTITUTE(SUBSTITUTE($O750,"~","~~"),"*","~*"),"?","~?"))/$C750)</f>
        <v>0.0</v>
      </c>
      <c r="F750" s="11">
        <f>IF($C750=0,"",AVERAGEIFS('DEF_SELF_SCOUT_IMPORT'!$I$42:$I$1040,'DEF_SELF_SCOUT_IMPORT'!$L$42:$L$1040,"Y",'DEF_SELF_SCOUT_IMPORT'!$E$42:$E$1040,SUBSTITUTE(SUBSTITUTE(SUBSTITUTE($B750,"~","~~"),"*","~*"),"?","~?"),'DEF_SELF_SCOUT_IMPORT'!$Q$42:$Q$1040,SUBSTITUTE(SUBSTITUTE(SUBSTITUTE($M750,"~","~~"),"*","~*"),"?","~?"),'DEF_SELF_SCOUT_IMPORT'!$F$42:$F$1040,SUBSTITUTE(SUBSTITUTE(SUBSTITUTE($N750,"~","~~"),"*","~*"),"?","~?"),'DEF_SELF_SCOUT_IMPORT'!$G$42:$G$1040,SUBSTITUTE(SUBSTITUTE(SUBSTITUTE($O750,"~","~~"),"*","~*"),"?","~?")))</f>
        <v>1.0</v>
      </c>
      <c r="G750" s="10">
        <f>IF($C750=0,"",COUNTIFS('DEF_SELF_SCOUT_IMPORT'!$L$42:$L$1040,"Y",'DEF_SELF_SCOUT_IMPORT'!$E$42:$E$1040,SUBSTITUTE(SUBSTITUTE(SUBSTITUTE($B750,"~","~~"),"*","~*"),"?","~?"),'DEF_SELF_SCOUT_IMPORT'!$Q$42:$Q$1040,SUBSTITUTE(SUBSTITUTE(SUBSTITUTE($M750,"~","~~"),"*","~*"),"?","~?"),'DEF_SELF_SCOUT_IMPORT'!$F$42:$F$1040,SUBSTITUTE(SUBSTITUTE(SUBSTITUTE($N750,"~","~~"),"*","~*"),"?","~?"),'DEF_SELF_SCOUT_IMPORT'!$G$42:$G$1040,SUBSTITUTE(SUBSTITUTE(SUBSTITUTE($O750,"~","~~"),"*","~*"),"?","~?"),'DEF_SELF_SCOUT_IMPORT'!$H$42:$H$1040,"RUSH")/$C750)</f>
        <v>0.0</v>
      </c>
      <c r="H750" s="10">
        <f>IF($C750=0,"",COUNTIFS('DEF_SELF_SCOUT_IMPORT'!$L$42:$L$1040,"Y",'DEF_SELF_SCOUT_IMPORT'!$E$42:$E$1040,SUBSTITUTE(SUBSTITUTE(SUBSTITUTE($B750,"~","~~"),"*","~*"),"?","~?"),'DEF_SELF_SCOUT_IMPORT'!$Q$42:$Q$1040,SUBSTITUTE(SUBSTITUTE(SUBSTITUTE($M750,"~","~~"),"*","~*"),"?","~?"),'DEF_SELF_SCOUT_IMPORT'!$F$42:$F$1040,SUBSTITUTE(SUBSTITUTE(SUBSTITUTE($N750,"~","~~"),"*","~*"),"?","~?"),'DEF_SELF_SCOUT_IMPORT'!$G$42:$G$1040,SUBSTITUTE(SUBSTITUTE(SUBSTITUTE($O750,"~","~~"),"*","~*"),"?","~?"),'DEF_SELF_SCOUT_IMPORT'!$H$42:$H$1040,"DROPBACK")/$C750)</f>
        <v>1.0</v>
      </c>
      <c r="I750" s="14" t="str">
        <f>IF(C750=0,"",IF(C750&lt;=2,"TRACK",IF(C750=3,"LOW",IF(C750&lt;=6,"MEDIUM","HIGH"))))</f>
        <v>TRACK</v>
      </c>
      <c r="J750" s="11">
        <f>IF(C750=0,"",ROUND(D750*70+(1-E750)*20+MAX(0,MIN(1,(10-F750)/10))*10,1))</f>
        <v>99.0</v>
      </c>
      <c r="K750" s="14" t="str">
        <f>IF(C750=0,"No Evidence",IF(C750&lt;=2,IF(E750&gt;0,"Explosive Alert","Track Only"),IF(C750=3,"Sample Watch",IF(E750&gt;=START_HERE!$B$31,"Explosive Alert",IF(J750&gt;=80,"Strong Candidate",IF(J750&gt;=65,"Good Candidate",IF(J750&gt;=50,"Mixed / Review","Problem Call")))))))</f>
        <v>Track Only</v>
      </c>
      <c r="L750" s="9" t="str">
        <f>IF(COUNTIFS('DEF_SELF_SCOUT_IMPORT'!$L$42:$L$1040,"Y",'DEF_SELF_SCOUT_IMPORT'!$E$42:$E$1040,SUBSTITUTE(SUBSTITUTE(SUBSTITUTE($B750,"~","~~"),"*","~*"),"?","~?"),'DEF_SELF_SCOUT_IMPORT'!$Q$42:$Q$1040,SUBSTITUTE(SUBSTITUTE(SUBSTITUTE($M750,"~","~~"),"*","~*"),"?","~?"),'DEF_SELF_SCOUT_IMPORT'!$F$42:$F$1040,SUBSTITUTE(SUBSTITUTE(SUBSTITUTE($N750,"~","~~"),"*","~*"),"?","~?"),'DEF_SELF_SCOUT_IMPORT'!$G$42:$G$1040,SUBSTITUTE(SUBSTITUTE(SUBSTITUTE($O750,"~","~~"),"*","~*"),"?","~?"),'DEF_SELF_SCOUT_IMPORT'!$J$42:$J$1040,"")&gt;0,"Unscored clean outcome; review result tags before using score.",IF(C750=0,"No matching defensive reps; film confirmation needed.",IF(K750="Explosive Alert","Explosive risk; review clips before using as answer.",IF(C750&lt;=2,"Track only; not enough sample.",IF(C750=3,IF(E750&gt;0,"Sample watch with explosive exposure; review clips and build the sample.",IF(J750&gt;=65,"Good signal, but sample is limited.","Sample watch; review clips and build the sample.")),IF(K750="Problem Call","Problem area; practice or call-sheet review.",IF(K750="Strong Candidate","Strong call-fit candidate; confirm on film.",IF(K750="Good Candidate","Good call-fit signal; confirm on film.","Mixed signal; review fit and execution on film."))))))))</f>
        <v>Track only; not enough sample.</v>
      </c>
      <c r="M750" s="8" t="s">
        <v>103</v>
      </c>
      <c r="N750" s="8" t="s">
        <v>120</v>
      </c>
      <c r="O750" s="8" t="s">
        <v>206</v>
      </c>
      <c r="P750" s="8"/>
      <c r="Q750" s="8"/>
      <c r="R750" s="8" t="s">
        <v>28</v>
      </c>
      <c r="S750" s="2" t="s">
        <v>387</v>
      </c>
      <c r="T750" s="2">
        <f>IF(C750=0,0,IF(C750&gt;=CALL_LOOKUP_BOARD!$B$7,IF(OR(K750="Problem Call",K750="Explosive Alert"),10000000,20000000),0)+IF(C750&gt;=CALL_LOOKUP_BOARD!$B$7,J750*1000+MIN(C750,999),C750*1000+J750)+0.00983800)</f>
        <v>1099.009838</v>
      </c>
      <c r="U750" s="2">
        <f>IF(C750=0,"",IF(COUNTIFS($S$589:$S$803,SUBSTITUTE(SUBSTITUTE(SUBSTITUTE(S750,"~","~~"),"*","~*"),"?","~?"),$T$589:$T$803,"&gt;"&amp;T750)=0,S750,""))</f>
        <v/>
      </c>
    </row>
    <row r="751" spans="1:21" ht="38" customHeight="1">
      <c r="A751" s="8" t="s">
        <v>386</v>
      </c>
      <c r="B751" s="8" t="s">
        <v>65</v>
      </c>
      <c r="C751" s="12">
        <f>COUNTIFS('DEF_SELF_SCOUT_IMPORT'!$L$42:$L$1040,"Y",'DEF_SELF_SCOUT_IMPORT'!$E$42:$E$1040,SUBSTITUTE(SUBSTITUTE(SUBSTITUTE($B751,"~","~~"),"*","~*"),"?","~?"),'DEF_SELF_SCOUT_IMPORT'!$Q$42:$Q$1040,SUBSTITUTE(SUBSTITUTE(SUBSTITUTE($M751,"~","~~"),"*","~*"),"?","~?"),'DEF_SELF_SCOUT_IMPORT'!$F$42:$F$1040,SUBSTITUTE(SUBSTITUTE(SUBSTITUTE($N751,"~","~~"),"*","~*"),"?","~?"),'DEF_SELF_SCOUT_IMPORT'!$G$42:$G$1040,SUBSTITUTE(SUBSTITUTE(SUBSTITUTE($O751,"~","~~"),"*","~*"),"?","~?"))</f>
        <v>1</v>
      </c>
      <c r="D751" s="10">
        <f>IF($C751=0,"",SUMIFS('DEF_SELF_SCOUT_IMPORT'!$J$42:$J$1040,'DEF_SELF_SCOUT_IMPORT'!$L$42:$L$1040,"Y",'DEF_SELF_SCOUT_IMPORT'!$E$42:$E$1040,SUBSTITUTE(SUBSTITUTE(SUBSTITUTE($B751,"~","~~"),"*","~*"),"?","~?"),'DEF_SELF_SCOUT_IMPORT'!$Q$42:$Q$1040,SUBSTITUTE(SUBSTITUTE(SUBSTITUTE($M751,"~","~~"),"*","~*"),"?","~?"),'DEF_SELF_SCOUT_IMPORT'!$F$42:$F$1040,SUBSTITUTE(SUBSTITUTE(SUBSTITUTE($N751,"~","~~"),"*","~*"),"?","~?"),'DEF_SELF_SCOUT_IMPORT'!$G$42:$G$1040,SUBSTITUTE(SUBSTITUTE(SUBSTITUTE($O751,"~","~~"),"*","~*"),"?","~?"))/$C751)</f>
        <v>0.0</v>
      </c>
      <c r="E751" s="10">
        <f>IF($C751=0,"",SUMIFS('DEF_SELF_SCOUT_IMPORT'!$K$42:$K$1040,'DEF_SELF_SCOUT_IMPORT'!$L$42:$L$1040,"Y",'DEF_SELF_SCOUT_IMPORT'!$E$42:$E$1040,SUBSTITUTE(SUBSTITUTE(SUBSTITUTE($B751,"~","~~"),"*","~*"),"?","~?"),'DEF_SELF_SCOUT_IMPORT'!$Q$42:$Q$1040,SUBSTITUTE(SUBSTITUTE(SUBSTITUTE($M751,"~","~~"),"*","~*"),"?","~?"),'DEF_SELF_SCOUT_IMPORT'!$F$42:$F$1040,SUBSTITUTE(SUBSTITUTE(SUBSTITUTE($N751,"~","~~"),"*","~*"),"?","~?"),'DEF_SELF_SCOUT_IMPORT'!$G$42:$G$1040,SUBSTITUTE(SUBSTITUTE(SUBSTITUTE($O751,"~","~~"),"*","~*"),"?","~?"))/$C751)</f>
        <v>0.0</v>
      </c>
      <c r="F751" s="11">
        <f>IF($C751=0,"",AVERAGEIFS('DEF_SELF_SCOUT_IMPORT'!$I$42:$I$1040,'DEF_SELF_SCOUT_IMPORT'!$L$42:$L$1040,"Y",'DEF_SELF_SCOUT_IMPORT'!$E$42:$E$1040,SUBSTITUTE(SUBSTITUTE(SUBSTITUTE($B751,"~","~~"),"*","~*"),"?","~?"),'DEF_SELF_SCOUT_IMPORT'!$Q$42:$Q$1040,SUBSTITUTE(SUBSTITUTE(SUBSTITUTE($M751,"~","~~"),"*","~*"),"?","~?"),'DEF_SELF_SCOUT_IMPORT'!$F$42:$F$1040,SUBSTITUTE(SUBSTITUTE(SUBSTITUTE($N751,"~","~~"),"*","~*"),"?","~?"),'DEF_SELF_SCOUT_IMPORT'!$G$42:$G$1040,SUBSTITUTE(SUBSTITUTE(SUBSTITUTE($O751,"~","~~"),"*","~*"),"?","~?")))</f>
        <v>5.0</v>
      </c>
      <c r="G751" s="10">
        <f>IF($C751=0,"",COUNTIFS('DEF_SELF_SCOUT_IMPORT'!$L$42:$L$1040,"Y",'DEF_SELF_SCOUT_IMPORT'!$E$42:$E$1040,SUBSTITUTE(SUBSTITUTE(SUBSTITUTE($B751,"~","~~"),"*","~*"),"?","~?"),'DEF_SELF_SCOUT_IMPORT'!$Q$42:$Q$1040,SUBSTITUTE(SUBSTITUTE(SUBSTITUTE($M751,"~","~~"),"*","~*"),"?","~?"),'DEF_SELF_SCOUT_IMPORT'!$F$42:$F$1040,SUBSTITUTE(SUBSTITUTE(SUBSTITUTE($N751,"~","~~"),"*","~*"),"?","~?"),'DEF_SELF_SCOUT_IMPORT'!$G$42:$G$1040,SUBSTITUTE(SUBSTITUTE(SUBSTITUTE($O751,"~","~~"),"*","~*"),"?","~?"),'DEF_SELF_SCOUT_IMPORT'!$H$42:$H$1040,"RUSH")/$C751)</f>
        <v>0.0</v>
      </c>
      <c r="H751" s="10">
        <f>IF($C751=0,"",COUNTIFS('DEF_SELF_SCOUT_IMPORT'!$L$42:$L$1040,"Y",'DEF_SELF_SCOUT_IMPORT'!$E$42:$E$1040,SUBSTITUTE(SUBSTITUTE(SUBSTITUTE($B751,"~","~~"),"*","~*"),"?","~?"),'DEF_SELF_SCOUT_IMPORT'!$Q$42:$Q$1040,SUBSTITUTE(SUBSTITUTE(SUBSTITUTE($M751,"~","~~"),"*","~*"),"?","~?"),'DEF_SELF_SCOUT_IMPORT'!$F$42:$F$1040,SUBSTITUTE(SUBSTITUTE(SUBSTITUTE($N751,"~","~~"),"*","~*"),"?","~?"),'DEF_SELF_SCOUT_IMPORT'!$G$42:$G$1040,SUBSTITUTE(SUBSTITUTE(SUBSTITUTE($O751,"~","~~"),"*","~*"),"?","~?"),'DEF_SELF_SCOUT_IMPORT'!$H$42:$H$1040,"DROPBACK")/$C751)</f>
        <v>1.0</v>
      </c>
      <c r="I751" s="14" t="str">
        <f>IF(C751=0,"",IF(C751&lt;=2,"TRACK",IF(C751=3,"LOW",IF(C751&lt;=6,"MEDIUM","HIGH"))))</f>
        <v>TRACK</v>
      </c>
      <c r="J751" s="11">
        <f>IF(C751=0,"",ROUND(D751*70+(1-E751)*20+MAX(0,MIN(1,(10-F751)/10))*10,1))</f>
        <v>25.0</v>
      </c>
      <c r="K751" s="14" t="str">
        <f>IF(C751=0,"No Evidence",IF(C751&lt;=2,IF(E751&gt;0,"Explosive Alert","Track Only"),IF(C751=3,"Sample Watch",IF(E751&gt;=START_HERE!$B$31,"Explosive Alert",IF(J751&gt;=80,"Strong Candidate",IF(J751&gt;=65,"Good Candidate",IF(J751&gt;=50,"Mixed / Review","Problem Call")))))))</f>
        <v>Track Only</v>
      </c>
      <c r="L751" s="9" t="str">
        <f>IF(COUNTIFS('DEF_SELF_SCOUT_IMPORT'!$L$42:$L$1040,"Y",'DEF_SELF_SCOUT_IMPORT'!$E$42:$E$1040,SUBSTITUTE(SUBSTITUTE(SUBSTITUTE($B751,"~","~~"),"*","~*"),"?","~?"),'DEF_SELF_SCOUT_IMPORT'!$Q$42:$Q$1040,SUBSTITUTE(SUBSTITUTE(SUBSTITUTE($M751,"~","~~"),"*","~*"),"?","~?"),'DEF_SELF_SCOUT_IMPORT'!$F$42:$F$1040,SUBSTITUTE(SUBSTITUTE(SUBSTITUTE($N751,"~","~~"),"*","~*"),"?","~?"),'DEF_SELF_SCOUT_IMPORT'!$G$42:$G$1040,SUBSTITUTE(SUBSTITUTE(SUBSTITUTE($O751,"~","~~"),"*","~*"),"?","~?"),'DEF_SELF_SCOUT_IMPORT'!$J$42:$J$1040,"")&gt;0,"Unscored clean outcome; review result tags before using score.",IF(C751=0,"No matching defensive reps; film confirmation needed.",IF(K751="Explosive Alert","Explosive risk; review clips before using as answer.",IF(C751&lt;=2,"Track only; not enough sample.",IF(C751=3,IF(E751&gt;0,"Sample watch with explosive exposure; review clips and build the sample.",IF(J751&gt;=65,"Good signal, but sample is limited.","Sample watch; review clips and build the sample.")),IF(K751="Problem Call","Problem area; practice or call-sheet review.",IF(K751="Strong Candidate","Strong call-fit candidate; confirm on film.",IF(K751="Good Candidate","Good call-fit signal; confirm on film.","Mixed signal; review fit and execution on film."))))))))</f>
        <v>Track only; not enough sample.</v>
      </c>
      <c r="M751" s="8" t="s">
        <v>103</v>
      </c>
      <c r="N751" s="8" t="s">
        <v>120</v>
      </c>
      <c r="O751" s="8" t="s">
        <v>206</v>
      </c>
      <c r="P751" s="8"/>
      <c r="Q751" s="8"/>
      <c r="R751" s="8" t="s">
        <v>28</v>
      </c>
      <c r="S751" s="2" t="s">
        <v>387</v>
      </c>
      <c r="T751" s="2">
        <f>IF(C751=0,0,IF(C751&gt;=CALL_LOOKUP_BOARD!$B$7,IF(OR(K751="Problem Call",K751="Explosive Alert"),10000000,20000000),0)+IF(C751&gt;=CALL_LOOKUP_BOARD!$B$7,J751*1000+MIN(C751,999),C751*1000+J751)+0.00983700)</f>
        <v>1025.009837</v>
      </c>
      <c r="U751" s="2">
        <f>IF(C751=0,"",IF(COUNTIFS($S$589:$S$803,SUBSTITUTE(SUBSTITUTE(SUBSTITUTE(S751,"~","~~"),"*","~*"),"?","~?"),$T$589:$T$803,"&gt;"&amp;T751)=0,S751,""))</f>
        <v/>
      </c>
    </row>
    <row r="752" spans="1:21" ht="38" customHeight="1">
      <c r="A752" s="8" t="s">
        <v>388</v>
      </c>
      <c r="B752" s="8" t="s">
        <v>60</v>
      </c>
      <c r="C752" s="12">
        <f>COUNTIFS('DEF_SELF_SCOUT_IMPORT'!$L$42:$L$1040,"Y",'DEF_SELF_SCOUT_IMPORT'!$E$42:$E$1040,SUBSTITUTE(SUBSTITUTE(SUBSTITUTE($B752,"~","~~"),"*","~*"),"?","~?"),'DEF_SELF_SCOUT_IMPORT'!$Q$42:$Q$1040,SUBSTITUTE(SUBSTITUTE(SUBSTITUTE($M752,"~","~~"),"*","~*"),"?","~?"),'DEF_SELF_SCOUT_IMPORT'!$F$42:$F$1040,SUBSTITUTE(SUBSTITUTE(SUBSTITUTE($N752,"~","~~"),"*","~*"),"?","~?"),'DEF_SELF_SCOUT_IMPORT'!$G$42:$G$1040,SUBSTITUTE(SUBSTITUTE(SUBSTITUTE($O752,"~","~~"),"*","~*"),"?","~?"))</f>
        <v>1</v>
      </c>
      <c r="D752" s="10">
        <f>IF($C752=0,"",SUMIFS('DEF_SELF_SCOUT_IMPORT'!$J$42:$J$1040,'DEF_SELF_SCOUT_IMPORT'!$L$42:$L$1040,"Y",'DEF_SELF_SCOUT_IMPORT'!$E$42:$E$1040,SUBSTITUTE(SUBSTITUTE(SUBSTITUTE($B752,"~","~~"),"*","~*"),"?","~?"),'DEF_SELF_SCOUT_IMPORT'!$Q$42:$Q$1040,SUBSTITUTE(SUBSTITUTE(SUBSTITUTE($M752,"~","~~"),"*","~*"),"?","~?"),'DEF_SELF_SCOUT_IMPORT'!$F$42:$F$1040,SUBSTITUTE(SUBSTITUTE(SUBSTITUTE($N752,"~","~~"),"*","~*"),"?","~?"),'DEF_SELF_SCOUT_IMPORT'!$G$42:$G$1040,SUBSTITUTE(SUBSTITUTE(SUBSTITUTE($O752,"~","~~"),"*","~*"),"?","~?"))/$C752)</f>
        <v>1.0</v>
      </c>
      <c r="E752" s="10">
        <f>IF($C752=0,"",SUMIFS('DEF_SELF_SCOUT_IMPORT'!$K$42:$K$1040,'DEF_SELF_SCOUT_IMPORT'!$L$42:$L$1040,"Y",'DEF_SELF_SCOUT_IMPORT'!$E$42:$E$1040,SUBSTITUTE(SUBSTITUTE(SUBSTITUTE($B752,"~","~~"),"*","~*"),"?","~?"),'DEF_SELF_SCOUT_IMPORT'!$Q$42:$Q$1040,SUBSTITUTE(SUBSTITUTE(SUBSTITUTE($M752,"~","~~"),"*","~*"),"?","~?"),'DEF_SELF_SCOUT_IMPORT'!$F$42:$F$1040,SUBSTITUTE(SUBSTITUTE(SUBSTITUTE($N752,"~","~~"),"*","~*"),"?","~?"),'DEF_SELF_SCOUT_IMPORT'!$G$42:$G$1040,SUBSTITUTE(SUBSTITUTE(SUBSTITUTE($O752,"~","~~"),"*","~*"),"?","~?"))/$C752)</f>
        <v>0.0</v>
      </c>
      <c r="F752" s="11">
        <f>IF($C752=0,"",AVERAGEIFS('DEF_SELF_SCOUT_IMPORT'!$I$42:$I$1040,'DEF_SELF_SCOUT_IMPORT'!$L$42:$L$1040,"Y",'DEF_SELF_SCOUT_IMPORT'!$E$42:$E$1040,SUBSTITUTE(SUBSTITUTE(SUBSTITUTE($B752,"~","~~"),"*","~*"),"?","~?"),'DEF_SELF_SCOUT_IMPORT'!$Q$42:$Q$1040,SUBSTITUTE(SUBSTITUTE(SUBSTITUTE($M752,"~","~~"),"*","~*"),"?","~?"),'DEF_SELF_SCOUT_IMPORT'!$F$42:$F$1040,SUBSTITUTE(SUBSTITUTE(SUBSTITUTE($N752,"~","~~"),"*","~*"),"?","~?"),'DEF_SELF_SCOUT_IMPORT'!$G$42:$G$1040,SUBSTITUTE(SUBSTITUTE(SUBSTITUTE($O752,"~","~~"),"*","~*"),"?","~?")))</f>
        <v>0.0</v>
      </c>
      <c r="G752" s="10">
        <f>IF($C752=0,"",COUNTIFS('DEF_SELF_SCOUT_IMPORT'!$L$42:$L$1040,"Y",'DEF_SELF_SCOUT_IMPORT'!$E$42:$E$1040,SUBSTITUTE(SUBSTITUTE(SUBSTITUTE($B752,"~","~~"),"*","~*"),"?","~?"),'DEF_SELF_SCOUT_IMPORT'!$Q$42:$Q$1040,SUBSTITUTE(SUBSTITUTE(SUBSTITUTE($M752,"~","~~"),"*","~*"),"?","~?"),'DEF_SELF_SCOUT_IMPORT'!$F$42:$F$1040,SUBSTITUTE(SUBSTITUTE(SUBSTITUTE($N752,"~","~~"),"*","~*"),"?","~?"),'DEF_SELF_SCOUT_IMPORT'!$G$42:$G$1040,SUBSTITUTE(SUBSTITUTE(SUBSTITUTE($O752,"~","~~"),"*","~*"),"?","~?"),'DEF_SELF_SCOUT_IMPORT'!$H$42:$H$1040,"RUSH")/$C752)</f>
        <v>0.0</v>
      </c>
      <c r="H752" s="10">
        <f>IF($C752=0,"",COUNTIFS('DEF_SELF_SCOUT_IMPORT'!$L$42:$L$1040,"Y",'DEF_SELF_SCOUT_IMPORT'!$E$42:$E$1040,SUBSTITUTE(SUBSTITUTE(SUBSTITUTE($B752,"~","~~"),"*","~*"),"?","~?"),'DEF_SELF_SCOUT_IMPORT'!$Q$42:$Q$1040,SUBSTITUTE(SUBSTITUTE(SUBSTITUTE($M752,"~","~~"),"*","~*"),"?","~?"),'DEF_SELF_SCOUT_IMPORT'!$F$42:$F$1040,SUBSTITUTE(SUBSTITUTE(SUBSTITUTE($N752,"~","~~"),"*","~*"),"?","~?"),'DEF_SELF_SCOUT_IMPORT'!$G$42:$G$1040,SUBSTITUTE(SUBSTITUTE(SUBSTITUTE($O752,"~","~~"),"*","~*"),"?","~?"),'DEF_SELF_SCOUT_IMPORT'!$H$42:$H$1040,"DROPBACK")/$C752)</f>
        <v>1.0</v>
      </c>
      <c r="I752" s="14" t="str">
        <f>IF(C752=0,"",IF(C752&lt;=2,"TRACK",IF(C752=3,"LOW",IF(C752&lt;=6,"MEDIUM","HIGH"))))</f>
        <v>TRACK</v>
      </c>
      <c r="J752" s="11">
        <f>IF(C752=0,"",ROUND(D752*70+(1-E752)*20+MAX(0,MIN(1,(10-F752)/10))*10,1))</f>
        <v>100.0</v>
      </c>
      <c r="K752" s="14" t="str">
        <f>IF(C752=0,"No Evidence",IF(C752&lt;=2,IF(E752&gt;0,"Explosive Alert","Track Only"),IF(C752=3,"Sample Watch",IF(E752&gt;=START_HERE!$B$31,"Explosive Alert",IF(J752&gt;=80,"Strong Candidate",IF(J752&gt;=65,"Good Candidate",IF(J752&gt;=50,"Mixed / Review","Problem Call")))))))</f>
        <v>Track Only</v>
      </c>
      <c r="L752" s="9" t="str">
        <f>IF(COUNTIFS('DEF_SELF_SCOUT_IMPORT'!$L$42:$L$1040,"Y",'DEF_SELF_SCOUT_IMPORT'!$E$42:$E$1040,SUBSTITUTE(SUBSTITUTE(SUBSTITUTE($B752,"~","~~"),"*","~*"),"?","~?"),'DEF_SELF_SCOUT_IMPORT'!$Q$42:$Q$1040,SUBSTITUTE(SUBSTITUTE(SUBSTITUTE($M752,"~","~~"),"*","~*"),"?","~?"),'DEF_SELF_SCOUT_IMPORT'!$F$42:$F$1040,SUBSTITUTE(SUBSTITUTE(SUBSTITUTE($N752,"~","~~"),"*","~*"),"?","~?"),'DEF_SELF_SCOUT_IMPORT'!$G$42:$G$1040,SUBSTITUTE(SUBSTITUTE(SUBSTITUTE($O752,"~","~~"),"*","~*"),"?","~?"),'DEF_SELF_SCOUT_IMPORT'!$J$42:$J$1040,"")&gt;0,"Unscored clean outcome; review result tags before using score.",IF(C752=0,"No matching defensive reps; film confirmation needed.",IF(K752="Explosive Alert","Explosive risk; review clips before using as answer.",IF(C752&lt;=2,"Track only; not enough sample.",IF(C752=3,IF(E752&gt;0,"Sample watch with explosive exposure; review clips and build the sample.",IF(J752&gt;=65,"Good signal, but sample is limited.","Sample watch; review clips and build the sample.")),IF(K752="Problem Call","Problem area; practice or call-sheet review.",IF(K752="Strong Candidate","Strong call-fit candidate; confirm on film.",IF(K752="Good Candidate","Good call-fit signal; confirm on film.","Mixed signal; review fit and execution on film."))))))))</f>
        <v>Track only; not enough sample.</v>
      </c>
      <c r="M752" s="8" t="s">
        <v>103</v>
      </c>
      <c r="N752" s="8" t="s">
        <v>120</v>
      </c>
      <c r="O752" s="8" t="s">
        <v>215</v>
      </c>
      <c r="P752" s="8"/>
      <c r="Q752" s="8"/>
      <c r="R752" s="8" t="s">
        <v>28</v>
      </c>
      <c r="S752" s="2" t="s">
        <v>389</v>
      </c>
      <c r="T752" s="2">
        <f>IF(C752=0,0,IF(C752&gt;=CALL_LOOKUP_BOARD!$B$7,IF(OR(K752="Problem Call",K752="Explosive Alert"),10000000,20000000),0)+IF(C752&gt;=CALL_LOOKUP_BOARD!$B$7,J752*1000+MIN(C752,999),C752*1000+J752)+0.00983600)</f>
        <v>1100.009836</v>
      </c>
      <c r="U752" s="2" t="str">
        <f>IF(C752=0,"",IF(COUNTIFS($S$589:$S$803,SUBSTITUTE(SUBSTITUTE(SUBSTITUTE(S752,"~","~~"),"*","~*"),"?","~?"),$T$589:$T$803,"&gt;"&amp;T752)=0,S752,""))</f>
        <v>6:3D 4-6|2:11|3:4X1|</v>
      </c>
    </row>
    <row r="753" spans="1:21" ht="38" customHeight="1">
      <c r="A753" s="8" t="s">
        <v>390</v>
      </c>
      <c r="B753" s="8" t="s">
        <v>95</v>
      </c>
      <c r="C753" s="12">
        <f>COUNTIFS('DEF_SELF_SCOUT_IMPORT'!$L$42:$L$1040,"Y",'DEF_SELF_SCOUT_IMPORT'!$E$42:$E$1040,SUBSTITUTE(SUBSTITUTE(SUBSTITUTE($B753,"~","~~"),"*","~*"),"?","~?"),'DEF_SELF_SCOUT_IMPORT'!$Q$42:$Q$1040,SUBSTITUTE(SUBSTITUTE(SUBSTITUTE($M753,"~","~~"),"*","~*"),"?","~?"),'DEF_SELF_SCOUT_IMPORT'!$F$42:$F$1040,SUBSTITUTE(SUBSTITUTE(SUBSTITUTE($N753,"~","~~"),"*","~*"),"?","~?"),'DEF_SELF_SCOUT_IMPORT'!$G$42:$G$1040,SUBSTITUTE(SUBSTITUTE(SUBSTITUTE($O753,"~","~~"),"*","~*"),"?","~?"))</f>
        <v>1</v>
      </c>
      <c r="D753" s="10">
        <f>IF($C753=0,"",SUMIFS('DEF_SELF_SCOUT_IMPORT'!$J$42:$J$1040,'DEF_SELF_SCOUT_IMPORT'!$L$42:$L$1040,"Y",'DEF_SELF_SCOUT_IMPORT'!$E$42:$E$1040,SUBSTITUTE(SUBSTITUTE(SUBSTITUTE($B753,"~","~~"),"*","~*"),"?","~?"),'DEF_SELF_SCOUT_IMPORT'!$Q$42:$Q$1040,SUBSTITUTE(SUBSTITUTE(SUBSTITUTE($M753,"~","~~"),"*","~*"),"?","~?"),'DEF_SELF_SCOUT_IMPORT'!$F$42:$F$1040,SUBSTITUTE(SUBSTITUTE(SUBSTITUTE($N753,"~","~~"),"*","~*"),"?","~?"),'DEF_SELF_SCOUT_IMPORT'!$G$42:$G$1040,SUBSTITUTE(SUBSTITUTE(SUBSTITUTE($O753,"~","~~"),"*","~*"),"?","~?"))/$C753)</f>
        <v>1.0</v>
      </c>
      <c r="E753" s="10">
        <f>IF($C753=0,"",SUMIFS('DEF_SELF_SCOUT_IMPORT'!$K$42:$K$1040,'DEF_SELF_SCOUT_IMPORT'!$L$42:$L$1040,"Y",'DEF_SELF_SCOUT_IMPORT'!$E$42:$E$1040,SUBSTITUTE(SUBSTITUTE(SUBSTITUTE($B753,"~","~~"),"*","~*"),"?","~?"),'DEF_SELF_SCOUT_IMPORT'!$Q$42:$Q$1040,SUBSTITUTE(SUBSTITUTE(SUBSTITUTE($M753,"~","~~"),"*","~*"),"?","~?"),'DEF_SELF_SCOUT_IMPORT'!$F$42:$F$1040,SUBSTITUTE(SUBSTITUTE(SUBSTITUTE($N753,"~","~~"),"*","~*"),"?","~?"),'DEF_SELF_SCOUT_IMPORT'!$G$42:$G$1040,SUBSTITUTE(SUBSTITUTE(SUBSTITUTE($O753,"~","~~"),"*","~*"),"?","~?"))/$C753)</f>
        <v>0.0</v>
      </c>
      <c r="F753" s="11">
        <f>IF($C753=0,"",AVERAGEIFS('DEF_SELF_SCOUT_IMPORT'!$I$42:$I$1040,'DEF_SELF_SCOUT_IMPORT'!$L$42:$L$1040,"Y",'DEF_SELF_SCOUT_IMPORT'!$E$42:$E$1040,SUBSTITUTE(SUBSTITUTE(SUBSTITUTE($B753,"~","~~"),"*","~*"),"?","~?"),'DEF_SELF_SCOUT_IMPORT'!$Q$42:$Q$1040,SUBSTITUTE(SUBSTITUTE(SUBSTITUTE($M753,"~","~~"),"*","~*"),"?","~?"),'DEF_SELF_SCOUT_IMPORT'!$F$42:$F$1040,SUBSTITUTE(SUBSTITUTE(SUBSTITUTE($N753,"~","~~"),"*","~*"),"?","~?"),'DEF_SELF_SCOUT_IMPORT'!$G$42:$G$1040,SUBSTITUTE(SUBSTITUTE(SUBSTITUTE($O753,"~","~~"),"*","~*"),"?","~?")))</f>
        <v>-1.0</v>
      </c>
      <c r="G753" s="10">
        <f>IF($C753=0,"",COUNTIFS('DEF_SELF_SCOUT_IMPORT'!$L$42:$L$1040,"Y",'DEF_SELF_SCOUT_IMPORT'!$E$42:$E$1040,SUBSTITUTE(SUBSTITUTE(SUBSTITUTE($B753,"~","~~"),"*","~*"),"?","~?"),'DEF_SELF_SCOUT_IMPORT'!$Q$42:$Q$1040,SUBSTITUTE(SUBSTITUTE(SUBSTITUTE($M753,"~","~~"),"*","~*"),"?","~?"),'DEF_SELF_SCOUT_IMPORT'!$F$42:$F$1040,SUBSTITUTE(SUBSTITUTE(SUBSTITUTE($N753,"~","~~"),"*","~*"),"?","~?"),'DEF_SELF_SCOUT_IMPORT'!$G$42:$G$1040,SUBSTITUTE(SUBSTITUTE(SUBSTITUTE($O753,"~","~~"),"*","~*"),"?","~?"),'DEF_SELF_SCOUT_IMPORT'!$H$42:$H$1040,"RUSH")/$C753)</f>
        <v>1.0</v>
      </c>
      <c r="H753" s="10">
        <f>IF($C753=0,"",COUNTIFS('DEF_SELF_SCOUT_IMPORT'!$L$42:$L$1040,"Y",'DEF_SELF_SCOUT_IMPORT'!$E$42:$E$1040,SUBSTITUTE(SUBSTITUTE(SUBSTITUTE($B753,"~","~~"),"*","~*"),"?","~?"),'DEF_SELF_SCOUT_IMPORT'!$Q$42:$Q$1040,SUBSTITUTE(SUBSTITUTE(SUBSTITUTE($M753,"~","~~"),"*","~*"),"?","~?"),'DEF_SELF_SCOUT_IMPORT'!$F$42:$F$1040,SUBSTITUTE(SUBSTITUTE(SUBSTITUTE($N753,"~","~~"),"*","~*"),"?","~?"),'DEF_SELF_SCOUT_IMPORT'!$G$42:$G$1040,SUBSTITUTE(SUBSTITUTE(SUBSTITUTE($O753,"~","~~"),"*","~*"),"?","~?"),'DEF_SELF_SCOUT_IMPORT'!$H$42:$H$1040,"DROPBACK")/$C753)</f>
        <v>0.0</v>
      </c>
      <c r="I753" s="14" t="str">
        <f>IF(C753=0,"",IF(C753&lt;=2,"TRACK",IF(C753=3,"LOW",IF(C753&lt;=6,"MEDIUM","HIGH"))))</f>
        <v>TRACK</v>
      </c>
      <c r="J753" s="11">
        <f>IF(C753=0,"",ROUND(D753*70+(1-E753)*20+MAX(0,MIN(1,(10-F753)/10))*10,1))</f>
        <v>100.0</v>
      </c>
      <c r="K753" s="14" t="str">
        <f>IF(C753=0,"No Evidence",IF(C753&lt;=2,IF(E753&gt;0,"Explosive Alert","Track Only"),IF(C753=3,"Sample Watch",IF(E753&gt;=START_HERE!$B$31,"Explosive Alert",IF(J753&gt;=80,"Strong Candidate",IF(J753&gt;=65,"Good Candidate",IF(J753&gt;=50,"Mixed / Review","Problem Call")))))))</f>
        <v>Track Only</v>
      </c>
      <c r="L753" s="9" t="str">
        <f>IF(COUNTIFS('DEF_SELF_SCOUT_IMPORT'!$L$42:$L$1040,"Y",'DEF_SELF_SCOUT_IMPORT'!$E$42:$E$1040,SUBSTITUTE(SUBSTITUTE(SUBSTITUTE($B753,"~","~~"),"*","~*"),"?","~?"),'DEF_SELF_SCOUT_IMPORT'!$Q$42:$Q$1040,SUBSTITUTE(SUBSTITUTE(SUBSTITUTE($M753,"~","~~"),"*","~*"),"?","~?"),'DEF_SELF_SCOUT_IMPORT'!$F$42:$F$1040,SUBSTITUTE(SUBSTITUTE(SUBSTITUTE($N753,"~","~~"),"*","~*"),"?","~?"),'DEF_SELF_SCOUT_IMPORT'!$G$42:$G$1040,SUBSTITUTE(SUBSTITUTE(SUBSTITUTE($O753,"~","~~"),"*","~*"),"?","~?"),'DEF_SELF_SCOUT_IMPORT'!$J$42:$J$1040,"")&gt;0,"Unscored clean outcome; review result tags before using score.",IF(C753=0,"No matching defensive reps; film confirmation needed.",IF(K753="Explosive Alert","Explosive risk; review clips before using as answer.",IF(C753&lt;=2,"Track only; not enough sample.",IF(C753=3,IF(E753&gt;0,"Sample watch with explosive exposure; review clips and build the sample.",IF(J753&gt;=65,"Good signal, but sample is limited.","Sample watch; review clips and build the sample.")),IF(K753="Problem Call","Problem area; practice or call-sheet review.",IF(K753="Strong Candidate","Strong call-fit candidate; confirm on film.",IF(K753="Good Candidate","Good call-fit signal; confirm on film.","Mixed signal; review fit and execution on film."))))))))</f>
        <v>Track only; not enough sample.</v>
      </c>
      <c r="M753" s="8" t="s">
        <v>103</v>
      </c>
      <c r="N753" s="8" t="s">
        <v>123</v>
      </c>
      <c r="O753" s="8" t="s">
        <v>203</v>
      </c>
      <c r="P753" s="8"/>
      <c r="Q753" s="8"/>
      <c r="R753" s="8" t="s">
        <v>28</v>
      </c>
      <c r="S753" s="2" t="s">
        <v>391</v>
      </c>
      <c r="T753" s="2">
        <f>IF(C753=0,0,IF(C753&gt;=CALL_LOOKUP_BOARD!$B$7,IF(OR(K753="Problem Call",K753="Explosive Alert"),10000000,20000000),0)+IF(C753&gt;=CALL_LOOKUP_BOARD!$B$7,J753*1000+MIN(C753,999),C753*1000+J753)+0.00983500)</f>
        <v>1100.009835</v>
      </c>
      <c r="U753" s="2" t="str">
        <f>IF(C753=0,"",IF(COUNTIFS($S$589:$S$803,SUBSTITUTE(SUBSTITUTE(SUBSTITUTE(S753,"~","~~"),"*","~*"),"?","~?"),$T$589:$T$803,"&gt;"&amp;T753)=0,S753,""))</f>
        <v>6:3D 4-6|2:12|3:2X2|</v>
      </c>
    </row>
    <row r="754" spans="1:21" ht="38" customHeight="1">
      <c r="A754" s="8" t="s">
        <v>390</v>
      </c>
      <c r="B754" s="8" t="s">
        <v>69</v>
      </c>
      <c r="C754" s="12">
        <f>COUNTIFS('DEF_SELF_SCOUT_IMPORT'!$L$42:$L$1040,"Y",'DEF_SELF_SCOUT_IMPORT'!$E$42:$E$1040,SUBSTITUTE(SUBSTITUTE(SUBSTITUTE($B754,"~","~~"),"*","~*"),"?","~?"),'DEF_SELF_SCOUT_IMPORT'!$Q$42:$Q$1040,SUBSTITUTE(SUBSTITUTE(SUBSTITUTE($M754,"~","~~"),"*","~*"),"?","~?"),'DEF_SELF_SCOUT_IMPORT'!$F$42:$F$1040,SUBSTITUTE(SUBSTITUTE(SUBSTITUTE($N754,"~","~~"),"*","~*"),"?","~?"),'DEF_SELF_SCOUT_IMPORT'!$G$42:$G$1040,SUBSTITUTE(SUBSTITUTE(SUBSTITUTE($O754,"~","~~"),"*","~*"),"?","~?"))</f>
        <v>1</v>
      </c>
      <c r="D754" s="10">
        <f>IF($C754=0,"",SUMIFS('DEF_SELF_SCOUT_IMPORT'!$J$42:$J$1040,'DEF_SELF_SCOUT_IMPORT'!$L$42:$L$1040,"Y",'DEF_SELF_SCOUT_IMPORT'!$E$42:$E$1040,SUBSTITUTE(SUBSTITUTE(SUBSTITUTE($B754,"~","~~"),"*","~*"),"?","~?"),'DEF_SELF_SCOUT_IMPORT'!$Q$42:$Q$1040,SUBSTITUTE(SUBSTITUTE(SUBSTITUTE($M754,"~","~~"),"*","~*"),"?","~?"),'DEF_SELF_SCOUT_IMPORT'!$F$42:$F$1040,SUBSTITUTE(SUBSTITUTE(SUBSTITUTE($N754,"~","~~"),"*","~*"),"?","~?"),'DEF_SELF_SCOUT_IMPORT'!$G$42:$G$1040,SUBSTITUTE(SUBSTITUTE(SUBSTITUTE($O754,"~","~~"),"*","~*"),"?","~?"))/$C754)</f>
        <v>0.0</v>
      </c>
      <c r="E754" s="10">
        <f>IF($C754=0,"",SUMIFS('DEF_SELF_SCOUT_IMPORT'!$K$42:$K$1040,'DEF_SELF_SCOUT_IMPORT'!$L$42:$L$1040,"Y",'DEF_SELF_SCOUT_IMPORT'!$E$42:$E$1040,SUBSTITUTE(SUBSTITUTE(SUBSTITUTE($B754,"~","~~"),"*","~*"),"?","~?"),'DEF_SELF_SCOUT_IMPORT'!$Q$42:$Q$1040,SUBSTITUTE(SUBSTITUTE(SUBSTITUTE($M754,"~","~~"),"*","~*"),"?","~?"),'DEF_SELF_SCOUT_IMPORT'!$F$42:$F$1040,SUBSTITUTE(SUBSTITUTE(SUBSTITUTE($N754,"~","~~"),"*","~*"),"?","~?"),'DEF_SELF_SCOUT_IMPORT'!$G$42:$G$1040,SUBSTITUTE(SUBSTITUTE(SUBSTITUTE($O754,"~","~~"),"*","~*"),"?","~?"))/$C754)</f>
        <v>1.0</v>
      </c>
      <c r="F754" s="11">
        <f>IF($C754=0,"",AVERAGEIFS('DEF_SELF_SCOUT_IMPORT'!$I$42:$I$1040,'DEF_SELF_SCOUT_IMPORT'!$L$42:$L$1040,"Y",'DEF_SELF_SCOUT_IMPORT'!$E$42:$E$1040,SUBSTITUTE(SUBSTITUTE(SUBSTITUTE($B754,"~","~~"),"*","~*"),"?","~?"),'DEF_SELF_SCOUT_IMPORT'!$Q$42:$Q$1040,SUBSTITUTE(SUBSTITUTE(SUBSTITUTE($M754,"~","~~"),"*","~*"),"?","~?"),'DEF_SELF_SCOUT_IMPORT'!$F$42:$F$1040,SUBSTITUTE(SUBSTITUTE(SUBSTITUTE($N754,"~","~~"),"*","~*"),"?","~?"),'DEF_SELF_SCOUT_IMPORT'!$G$42:$G$1040,SUBSTITUTE(SUBSTITUTE(SUBSTITUTE($O754,"~","~~"),"*","~*"),"?","~?")))</f>
        <v>19.0</v>
      </c>
      <c r="G754" s="10">
        <f>IF($C754=0,"",COUNTIFS('DEF_SELF_SCOUT_IMPORT'!$L$42:$L$1040,"Y",'DEF_SELF_SCOUT_IMPORT'!$E$42:$E$1040,SUBSTITUTE(SUBSTITUTE(SUBSTITUTE($B754,"~","~~"),"*","~*"),"?","~?"),'DEF_SELF_SCOUT_IMPORT'!$Q$42:$Q$1040,SUBSTITUTE(SUBSTITUTE(SUBSTITUTE($M754,"~","~~"),"*","~*"),"?","~?"),'DEF_SELF_SCOUT_IMPORT'!$F$42:$F$1040,SUBSTITUTE(SUBSTITUTE(SUBSTITUTE($N754,"~","~~"),"*","~*"),"?","~?"),'DEF_SELF_SCOUT_IMPORT'!$G$42:$G$1040,SUBSTITUTE(SUBSTITUTE(SUBSTITUTE($O754,"~","~~"),"*","~*"),"?","~?"),'DEF_SELF_SCOUT_IMPORT'!$H$42:$H$1040,"RUSH")/$C754)</f>
        <v>1.0</v>
      </c>
      <c r="H754" s="10">
        <f>IF($C754=0,"",COUNTIFS('DEF_SELF_SCOUT_IMPORT'!$L$42:$L$1040,"Y",'DEF_SELF_SCOUT_IMPORT'!$E$42:$E$1040,SUBSTITUTE(SUBSTITUTE(SUBSTITUTE($B754,"~","~~"),"*","~*"),"?","~?"),'DEF_SELF_SCOUT_IMPORT'!$Q$42:$Q$1040,SUBSTITUTE(SUBSTITUTE(SUBSTITUTE($M754,"~","~~"),"*","~*"),"?","~?"),'DEF_SELF_SCOUT_IMPORT'!$F$42:$F$1040,SUBSTITUTE(SUBSTITUTE(SUBSTITUTE($N754,"~","~~"),"*","~*"),"?","~?"),'DEF_SELF_SCOUT_IMPORT'!$G$42:$G$1040,SUBSTITUTE(SUBSTITUTE(SUBSTITUTE($O754,"~","~~"),"*","~*"),"?","~?"),'DEF_SELF_SCOUT_IMPORT'!$H$42:$H$1040,"DROPBACK")/$C754)</f>
        <v>0.0</v>
      </c>
      <c r="I754" s="14" t="str">
        <f>IF(C754=0,"",IF(C754&lt;=2,"TRACK",IF(C754=3,"LOW",IF(C754&lt;=6,"MEDIUM","HIGH"))))</f>
        <v>TRACK</v>
      </c>
      <c r="J754" s="11">
        <f>IF(C754=0,"",ROUND(D754*70+(1-E754)*20+MAX(0,MIN(1,(10-F754)/10))*10,1))</f>
        <v>0.0</v>
      </c>
      <c r="K754" s="14" t="str">
        <f>IF(C754=0,"No Evidence",IF(C754&lt;=2,IF(E754&gt;0,"Explosive Alert","Track Only"),IF(C754=3,"Sample Watch",IF(E754&gt;=START_HERE!$B$31,"Explosive Alert",IF(J754&gt;=80,"Strong Candidate",IF(J754&gt;=65,"Good Candidate",IF(J754&gt;=50,"Mixed / Review","Problem Call")))))))</f>
        <v>Explosive Alert</v>
      </c>
      <c r="L754" s="9" t="str">
        <f>IF(COUNTIFS('DEF_SELF_SCOUT_IMPORT'!$L$42:$L$1040,"Y",'DEF_SELF_SCOUT_IMPORT'!$E$42:$E$1040,SUBSTITUTE(SUBSTITUTE(SUBSTITUTE($B754,"~","~~"),"*","~*"),"?","~?"),'DEF_SELF_SCOUT_IMPORT'!$Q$42:$Q$1040,SUBSTITUTE(SUBSTITUTE(SUBSTITUTE($M754,"~","~~"),"*","~*"),"?","~?"),'DEF_SELF_SCOUT_IMPORT'!$F$42:$F$1040,SUBSTITUTE(SUBSTITUTE(SUBSTITUTE($N754,"~","~~"),"*","~*"),"?","~?"),'DEF_SELF_SCOUT_IMPORT'!$G$42:$G$1040,SUBSTITUTE(SUBSTITUTE(SUBSTITUTE($O754,"~","~~"),"*","~*"),"?","~?"),'DEF_SELF_SCOUT_IMPORT'!$J$42:$J$1040,"")&gt;0,"Unscored clean outcome; review result tags before using score.",IF(C754=0,"No matching defensive reps; film confirmation needed.",IF(K754="Explosive Alert","Explosive risk; review clips before using as answer.",IF(C754&lt;=2,"Track only; not enough sample.",IF(C754=3,IF(E754&gt;0,"Sample watch with explosive exposure; review clips and build the sample.",IF(J754&gt;=65,"Good signal, but sample is limited.","Sample watch; review clips and build the sample.")),IF(K754="Problem Call","Problem area; practice or call-sheet review.",IF(K754="Strong Candidate","Strong call-fit candidate; confirm on film.",IF(K754="Good Candidate","Good call-fit signal; confirm on film.","Mixed signal; review fit and execution on film."))))))))</f>
        <v>Explosive risk; review clips before using as answer.</v>
      </c>
      <c r="M754" s="8" t="s">
        <v>103</v>
      </c>
      <c r="N754" s="8" t="s">
        <v>123</v>
      </c>
      <c r="O754" s="8" t="s">
        <v>203</v>
      </c>
      <c r="P754" s="8"/>
      <c r="Q754" s="8"/>
      <c r="R754" s="8" t="s">
        <v>28</v>
      </c>
      <c r="S754" s="2" t="s">
        <v>391</v>
      </c>
      <c r="T754" s="2">
        <f>IF(C754=0,0,IF(C754&gt;=CALL_LOOKUP_BOARD!$B$7,IF(OR(K754="Problem Call",K754="Explosive Alert"),10000000,20000000),0)+IF(C754&gt;=CALL_LOOKUP_BOARD!$B$7,J754*1000+MIN(C754,999),C754*1000+J754)+0.00983400)</f>
        <v>1000.009834</v>
      </c>
      <c r="U754" s="2">
        <f>IF(C754=0,"",IF(COUNTIFS($S$589:$S$803,SUBSTITUTE(SUBSTITUTE(SUBSTITUTE(S754,"~","~~"),"*","~*"),"?","~?"),$T$589:$T$803,"&gt;"&amp;T754)=0,S754,""))</f>
        <v/>
      </c>
    </row>
    <row r="755" spans="1:21" ht="38" customHeight="1">
      <c r="A755" s="8" t="s">
        <v>392</v>
      </c>
      <c r="B755" s="8" t="s">
        <v>66</v>
      </c>
      <c r="C755" s="12">
        <f>COUNTIFS('DEF_SELF_SCOUT_IMPORT'!$L$42:$L$1040,"Y",'DEF_SELF_SCOUT_IMPORT'!$E$42:$E$1040,SUBSTITUTE(SUBSTITUTE(SUBSTITUTE($B755,"~","~~"),"*","~*"),"?","~?"),'DEF_SELF_SCOUT_IMPORT'!$Q$42:$Q$1040,SUBSTITUTE(SUBSTITUTE(SUBSTITUTE($M755,"~","~~"),"*","~*"),"?","~?"),'DEF_SELF_SCOUT_IMPORT'!$F$42:$F$1040,SUBSTITUTE(SUBSTITUTE(SUBSTITUTE($N755,"~","~~"),"*","~*"),"?","~?"),'DEF_SELF_SCOUT_IMPORT'!$G$42:$G$1040,SUBSTITUTE(SUBSTITUTE(SUBSTITUTE($O755,"~","~~"),"*","~*"),"?","~?"))</f>
        <v>1</v>
      </c>
      <c r="D755" s="10">
        <f>IF($C755=0,"",SUMIFS('DEF_SELF_SCOUT_IMPORT'!$J$42:$J$1040,'DEF_SELF_SCOUT_IMPORT'!$L$42:$L$1040,"Y",'DEF_SELF_SCOUT_IMPORT'!$E$42:$E$1040,SUBSTITUTE(SUBSTITUTE(SUBSTITUTE($B755,"~","~~"),"*","~*"),"?","~?"),'DEF_SELF_SCOUT_IMPORT'!$Q$42:$Q$1040,SUBSTITUTE(SUBSTITUTE(SUBSTITUTE($M755,"~","~~"),"*","~*"),"?","~?"),'DEF_SELF_SCOUT_IMPORT'!$F$42:$F$1040,SUBSTITUTE(SUBSTITUTE(SUBSTITUTE($N755,"~","~~"),"*","~*"),"?","~?"),'DEF_SELF_SCOUT_IMPORT'!$G$42:$G$1040,SUBSTITUTE(SUBSTITUTE(SUBSTITUTE($O755,"~","~~"),"*","~*"),"?","~?"))/$C755)</f>
        <v>1.0</v>
      </c>
      <c r="E755" s="10">
        <f>IF($C755=0,"",SUMIFS('DEF_SELF_SCOUT_IMPORT'!$K$42:$K$1040,'DEF_SELF_SCOUT_IMPORT'!$L$42:$L$1040,"Y",'DEF_SELF_SCOUT_IMPORT'!$E$42:$E$1040,SUBSTITUTE(SUBSTITUTE(SUBSTITUTE($B755,"~","~~"),"*","~*"),"?","~?"),'DEF_SELF_SCOUT_IMPORT'!$Q$42:$Q$1040,SUBSTITUTE(SUBSTITUTE(SUBSTITUTE($M755,"~","~~"),"*","~*"),"?","~?"),'DEF_SELF_SCOUT_IMPORT'!$F$42:$F$1040,SUBSTITUTE(SUBSTITUTE(SUBSTITUTE($N755,"~","~~"),"*","~*"),"?","~?"),'DEF_SELF_SCOUT_IMPORT'!$G$42:$G$1040,SUBSTITUTE(SUBSTITUTE(SUBSTITUTE($O755,"~","~~"),"*","~*"),"?","~?"))/$C755)</f>
        <v>0.0</v>
      </c>
      <c r="F755" s="11">
        <f>IF($C755=0,"",AVERAGEIFS('DEF_SELF_SCOUT_IMPORT'!$I$42:$I$1040,'DEF_SELF_SCOUT_IMPORT'!$L$42:$L$1040,"Y",'DEF_SELF_SCOUT_IMPORT'!$E$42:$E$1040,SUBSTITUTE(SUBSTITUTE(SUBSTITUTE($B755,"~","~~"),"*","~*"),"?","~?"),'DEF_SELF_SCOUT_IMPORT'!$Q$42:$Q$1040,SUBSTITUTE(SUBSTITUTE(SUBSTITUTE($M755,"~","~~"),"*","~*"),"?","~?"),'DEF_SELF_SCOUT_IMPORT'!$F$42:$F$1040,SUBSTITUTE(SUBSTITUTE(SUBSTITUTE($N755,"~","~~"),"*","~*"),"?","~?"),'DEF_SELF_SCOUT_IMPORT'!$G$42:$G$1040,SUBSTITUTE(SUBSTITUTE(SUBSTITUTE($O755,"~","~~"),"*","~*"),"?","~?")))</f>
        <v>0.0</v>
      </c>
      <c r="G755" s="10">
        <f>IF($C755=0,"",COUNTIFS('DEF_SELF_SCOUT_IMPORT'!$L$42:$L$1040,"Y",'DEF_SELF_SCOUT_IMPORT'!$E$42:$E$1040,SUBSTITUTE(SUBSTITUTE(SUBSTITUTE($B755,"~","~~"),"*","~*"),"?","~?"),'DEF_SELF_SCOUT_IMPORT'!$Q$42:$Q$1040,SUBSTITUTE(SUBSTITUTE(SUBSTITUTE($M755,"~","~~"),"*","~*"),"?","~?"),'DEF_SELF_SCOUT_IMPORT'!$F$42:$F$1040,SUBSTITUTE(SUBSTITUTE(SUBSTITUTE($N755,"~","~~"),"*","~*"),"?","~?"),'DEF_SELF_SCOUT_IMPORT'!$G$42:$G$1040,SUBSTITUTE(SUBSTITUTE(SUBSTITUTE($O755,"~","~~"),"*","~*"),"?","~?"),'DEF_SELF_SCOUT_IMPORT'!$H$42:$H$1040,"RUSH")/$C755)</f>
        <v>1.0</v>
      </c>
      <c r="H755" s="10">
        <f>IF($C755=0,"",COUNTIFS('DEF_SELF_SCOUT_IMPORT'!$L$42:$L$1040,"Y",'DEF_SELF_SCOUT_IMPORT'!$E$42:$E$1040,SUBSTITUTE(SUBSTITUTE(SUBSTITUTE($B755,"~","~~"),"*","~*"),"?","~?"),'DEF_SELF_SCOUT_IMPORT'!$Q$42:$Q$1040,SUBSTITUTE(SUBSTITUTE(SUBSTITUTE($M755,"~","~~"),"*","~*"),"?","~?"),'DEF_SELF_SCOUT_IMPORT'!$F$42:$F$1040,SUBSTITUTE(SUBSTITUTE(SUBSTITUTE($N755,"~","~~"),"*","~*"),"?","~?"),'DEF_SELF_SCOUT_IMPORT'!$G$42:$G$1040,SUBSTITUTE(SUBSTITUTE(SUBSTITUTE($O755,"~","~~"),"*","~*"),"?","~?"),'DEF_SELF_SCOUT_IMPORT'!$H$42:$H$1040,"DROPBACK")/$C755)</f>
        <v>0.0</v>
      </c>
      <c r="I755" s="14" t="str">
        <f>IF(C755=0,"",IF(C755&lt;=2,"TRACK",IF(C755=3,"LOW",IF(C755&lt;=6,"MEDIUM","HIGH"))))</f>
        <v>TRACK</v>
      </c>
      <c r="J755" s="11">
        <f>IF(C755=0,"",ROUND(D755*70+(1-E755)*20+MAX(0,MIN(1,(10-F755)/10))*10,1))</f>
        <v>100.0</v>
      </c>
      <c r="K755" s="14" t="str">
        <f>IF(C755=0,"No Evidence",IF(C755&lt;=2,IF(E755&gt;0,"Explosive Alert","Track Only"),IF(C755=3,"Sample Watch",IF(E755&gt;=START_HERE!$B$31,"Explosive Alert",IF(J755&gt;=80,"Strong Candidate",IF(J755&gt;=65,"Good Candidate",IF(J755&gt;=50,"Mixed / Review","Problem Call")))))))</f>
        <v>Track Only</v>
      </c>
      <c r="L755" s="9" t="str">
        <f>IF(COUNTIFS('DEF_SELF_SCOUT_IMPORT'!$L$42:$L$1040,"Y",'DEF_SELF_SCOUT_IMPORT'!$E$42:$E$1040,SUBSTITUTE(SUBSTITUTE(SUBSTITUTE($B755,"~","~~"),"*","~*"),"?","~?"),'DEF_SELF_SCOUT_IMPORT'!$Q$42:$Q$1040,SUBSTITUTE(SUBSTITUTE(SUBSTITUTE($M755,"~","~~"),"*","~*"),"?","~?"),'DEF_SELF_SCOUT_IMPORT'!$F$42:$F$1040,SUBSTITUTE(SUBSTITUTE(SUBSTITUTE($N755,"~","~~"),"*","~*"),"?","~?"),'DEF_SELF_SCOUT_IMPORT'!$G$42:$G$1040,SUBSTITUTE(SUBSTITUTE(SUBSTITUTE($O755,"~","~~"),"*","~*"),"?","~?"),'DEF_SELF_SCOUT_IMPORT'!$J$42:$J$1040,"")&gt;0,"Unscored clean outcome; review result tags before using score.",IF(C755=0,"No matching defensive reps; film confirmation needed.",IF(K755="Explosive Alert","Explosive risk; review clips before using as answer.",IF(C755&lt;=2,"Track only; not enough sample.",IF(C755=3,IF(E755&gt;0,"Sample watch with explosive exposure; review clips and build the sample.",IF(J755&gt;=65,"Good signal, but sample is limited.","Sample watch; review clips and build the sample.")),IF(K755="Problem Call","Problem area; practice or call-sheet review.",IF(K755="Strong Candidate","Strong call-fit candidate; confirm on film.",IF(K755="Good Candidate","Good call-fit signal; confirm on film.","Mixed signal; review fit and execution on film."))))))))</f>
        <v>Track only; not enough sample.</v>
      </c>
      <c r="M755" s="8" t="s">
        <v>103</v>
      </c>
      <c r="N755" s="8" t="s">
        <v>123</v>
      </c>
      <c r="O755" s="8" t="s">
        <v>206</v>
      </c>
      <c r="P755" s="8"/>
      <c r="Q755" s="8"/>
      <c r="R755" s="8" t="s">
        <v>28</v>
      </c>
      <c r="S755" s="2" t="s">
        <v>393</v>
      </c>
      <c r="T755" s="2">
        <f>IF(C755=0,0,IF(C755&gt;=CALL_LOOKUP_BOARD!$B$7,IF(OR(K755="Problem Call",K755="Explosive Alert"),10000000,20000000),0)+IF(C755&gt;=CALL_LOOKUP_BOARD!$B$7,J755*1000+MIN(C755,999),C755*1000+J755)+0.00983300)</f>
        <v>1100.009833</v>
      </c>
      <c r="U755" s="2" t="str">
        <f>IF(C755=0,"",IF(COUNTIFS($S$589:$S$803,SUBSTITUTE(SUBSTITUTE(SUBSTITUTE(S755,"~","~~"),"*","~*"),"?","~?"),$T$589:$T$803,"&gt;"&amp;T755)=0,S755,""))</f>
        <v>6:3D 4-6|2:12|3:3X1|</v>
      </c>
    </row>
    <row r="756" spans="1:21" ht="38" customHeight="1">
      <c r="A756" s="8" t="s">
        <v>394</v>
      </c>
      <c r="B756" s="8" t="s">
        <v>46</v>
      </c>
      <c r="C756" s="12">
        <f>COUNTIFS('DEF_SELF_SCOUT_IMPORT'!$L$42:$L$1040,"Y",'DEF_SELF_SCOUT_IMPORT'!$E$42:$E$1040,SUBSTITUTE(SUBSTITUTE(SUBSTITUTE($B756,"~","~~"),"*","~*"),"?","~?"),'DEF_SELF_SCOUT_IMPORT'!$Q$42:$Q$1040,SUBSTITUTE(SUBSTITUTE(SUBSTITUTE($M756,"~","~~"),"*","~*"),"?","~?"),'DEF_SELF_SCOUT_IMPORT'!$F$42:$F$1040,SUBSTITUTE(SUBSTITUTE(SUBSTITUTE($N756,"~","~~"),"*","~*"),"?","~?"),'DEF_SELF_SCOUT_IMPORT'!$G$42:$G$1040,SUBSTITUTE(SUBSTITUTE(SUBSTITUTE($O756,"~","~~"),"*","~*"),"?","~?"))</f>
        <v>1</v>
      </c>
      <c r="D756" s="10">
        <f>IF($C756=0,"",SUMIFS('DEF_SELF_SCOUT_IMPORT'!$J$42:$J$1040,'DEF_SELF_SCOUT_IMPORT'!$L$42:$L$1040,"Y",'DEF_SELF_SCOUT_IMPORT'!$E$42:$E$1040,SUBSTITUTE(SUBSTITUTE(SUBSTITUTE($B756,"~","~~"),"*","~*"),"?","~?"),'DEF_SELF_SCOUT_IMPORT'!$Q$42:$Q$1040,SUBSTITUTE(SUBSTITUTE(SUBSTITUTE($M756,"~","~~"),"*","~*"),"?","~?"),'DEF_SELF_SCOUT_IMPORT'!$F$42:$F$1040,SUBSTITUTE(SUBSTITUTE(SUBSTITUTE($N756,"~","~~"),"*","~*"),"?","~?"),'DEF_SELF_SCOUT_IMPORT'!$G$42:$G$1040,SUBSTITUTE(SUBSTITUTE(SUBSTITUTE($O756,"~","~~"),"*","~*"),"?","~?"))/$C756)</f>
        <v>0.0</v>
      </c>
      <c r="E756" s="10">
        <f>IF($C756=0,"",SUMIFS('DEF_SELF_SCOUT_IMPORT'!$K$42:$K$1040,'DEF_SELF_SCOUT_IMPORT'!$L$42:$L$1040,"Y",'DEF_SELF_SCOUT_IMPORT'!$E$42:$E$1040,SUBSTITUTE(SUBSTITUTE(SUBSTITUTE($B756,"~","~~"),"*","~*"),"?","~?"),'DEF_SELF_SCOUT_IMPORT'!$Q$42:$Q$1040,SUBSTITUTE(SUBSTITUTE(SUBSTITUTE($M756,"~","~~"),"*","~*"),"?","~?"),'DEF_SELF_SCOUT_IMPORT'!$F$42:$F$1040,SUBSTITUTE(SUBSTITUTE(SUBSTITUTE($N756,"~","~~"),"*","~*"),"?","~?"),'DEF_SELF_SCOUT_IMPORT'!$G$42:$G$1040,SUBSTITUTE(SUBSTITUTE(SUBSTITUTE($O756,"~","~~"),"*","~*"),"?","~?"))/$C756)</f>
        <v>0.0</v>
      </c>
      <c r="F756" s="11">
        <f>IF($C756=0,"",AVERAGEIFS('DEF_SELF_SCOUT_IMPORT'!$I$42:$I$1040,'DEF_SELF_SCOUT_IMPORT'!$L$42:$L$1040,"Y",'DEF_SELF_SCOUT_IMPORT'!$E$42:$E$1040,SUBSTITUTE(SUBSTITUTE(SUBSTITUTE($B756,"~","~~"),"*","~*"),"?","~?"),'DEF_SELF_SCOUT_IMPORT'!$Q$42:$Q$1040,SUBSTITUTE(SUBSTITUTE(SUBSTITUTE($M756,"~","~~"),"*","~*"),"?","~?"),'DEF_SELF_SCOUT_IMPORT'!$F$42:$F$1040,SUBSTITUTE(SUBSTITUTE(SUBSTITUTE($N756,"~","~~"),"*","~*"),"?","~?"),'DEF_SELF_SCOUT_IMPORT'!$G$42:$G$1040,SUBSTITUTE(SUBSTITUTE(SUBSTITUTE($O756,"~","~~"),"*","~*"),"?","~?")))</f>
        <v>7.0</v>
      </c>
      <c r="G756" s="10">
        <f>IF($C756=0,"",COUNTIFS('DEF_SELF_SCOUT_IMPORT'!$L$42:$L$1040,"Y",'DEF_SELF_SCOUT_IMPORT'!$E$42:$E$1040,SUBSTITUTE(SUBSTITUTE(SUBSTITUTE($B756,"~","~~"),"*","~*"),"?","~?"),'DEF_SELF_SCOUT_IMPORT'!$Q$42:$Q$1040,SUBSTITUTE(SUBSTITUTE(SUBSTITUTE($M756,"~","~~"),"*","~*"),"?","~?"),'DEF_SELF_SCOUT_IMPORT'!$F$42:$F$1040,SUBSTITUTE(SUBSTITUTE(SUBSTITUTE($N756,"~","~~"),"*","~*"),"?","~?"),'DEF_SELF_SCOUT_IMPORT'!$G$42:$G$1040,SUBSTITUTE(SUBSTITUTE(SUBSTITUTE($O756,"~","~~"),"*","~*"),"?","~?"),'DEF_SELF_SCOUT_IMPORT'!$H$42:$H$1040,"RUSH")/$C756)</f>
        <v>0.0</v>
      </c>
      <c r="H756" s="10">
        <f>IF($C756=0,"",COUNTIFS('DEF_SELF_SCOUT_IMPORT'!$L$42:$L$1040,"Y",'DEF_SELF_SCOUT_IMPORT'!$E$42:$E$1040,SUBSTITUTE(SUBSTITUTE(SUBSTITUTE($B756,"~","~~"),"*","~*"),"?","~?"),'DEF_SELF_SCOUT_IMPORT'!$Q$42:$Q$1040,SUBSTITUTE(SUBSTITUTE(SUBSTITUTE($M756,"~","~~"),"*","~*"),"?","~?"),'DEF_SELF_SCOUT_IMPORT'!$F$42:$F$1040,SUBSTITUTE(SUBSTITUTE(SUBSTITUTE($N756,"~","~~"),"*","~*"),"?","~?"),'DEF_SELF_SCOUT_IMPORT'!$G$42:$G$1040,SUBSTITUTE(SUBSTITUTE(SUBSTITUTE($O756,"~","~~"),"*","~*"),"?","~?"),'DEF_SELF_SCOUT_IMPORT'!$H$42:$H$1040,"DROPBACK")/$C756)</f>
        <v>1.0</v>
      </c>
      <c r="I756" s="14" t="str">
        <f>IF(C756=0,"",IF(C756&lt;=2,"TRACK",IF(C756=3,"LOW",IF(C756&lt;=6,"MEDIUM","HIGH"))))</f>
        <v>TRACK</v>
      </c>
      <c r="J756" s="11">
        <f>IF(C756=0,"",ROUND(D756*70+(1-E756)*20+MAX(0,MIN(1,(10-F756)/10))*10,1))</f>
        <v>23.0</v>
      </c>
      <c r="K756" s="14" t="str">
        <f>IF(C756=0,"No Evidence",IF(C756&lt;=2,IF(E756&gt;0,"Explosive Alert","Track Only"),IF(C756=3,"Sample Watch",IF(E756&gt;=START_HERE!$B$31,"Explosive Alert",IF(J756&gt;=80,"Strong Candidate",IF(J756&gt;=65,"Good Candidate",IF(J756&gt;=50,"Mixed / Review","Problem Call")))))))</f>
        <v>Track Only</v>
      </c>
      <c r="L756" s="9" t="str">
        <f>IF(COUNTIFS('DEF_SELF_SCOUT_IMPORT'!$L$42:$L$1040,"Y",'DEF_SELF_SCOUT_IMPORT'!$E$42:$E$1040,SUBSTITUTE(SUBSTITUTE(SUBSTITUTE($B756,"~","~~"),"*","~*"),"?","~?"),'DEF_SELF_SCOUT_IMPORT'!$Q$42:$Q$1040,SUBSTITUTE(SUBSTITUTE(SUBSTITUTE($M756,"~","~~"),"*","~*"),"?","~?"),'DEF_SELF_SCOUT_IMPORT'!$F$42:$F$1040,SUBSTITUTE(SUBSTITUTE(SUBSTITUTE($N756,"~","~~"),"*","~*"),"?","~?"),'DEF_SELF_SCOUT_IMPORT'!$G$42:$G$1040,SUBSTITUTE(SUBSTITUTE(SUBSTITUTE($O756,"~","~~"),"*","~*"),"?","~?"),'DEF_SELF_SCOUT_IMPORT'!$J$42:$J$1040,"")&gt;0,"Unscored clean outcome; review result tags before using score.",IF(C756=0,"No matching defensive reps; film confirmation needed.",IF(K756="Explosive Alert","Explosive risk; review clips before using as answer.",IF(C756&lt;=2,"Track only; not enough sample.",IF(C756=3,IF(E756&gt;0,"Sample watch with explosive exposure; review clips and build the sample.",IF(J756&gt;=65,"Good signal, but sample is limited.","Sample watch; review clips and build the sample.")),IF(K756="Problem Call","Problem area; practice or call-sheet review.",IF(K756="Strong Candidate","Strong call-fit candidate; confirm on film.",IF(K756="Good Candidate","Good call-fit signal; confirm on film.","Mixed signal; review fit and execution on film."))))))))</f>
        <v>Track only; not enough sample.</v>
      </c>
      <c r="M756" s="8" t="s">
        <v>107</v>
      </c>
      <c r="N756" s="8" t="s">
        <v>132</v>
      </c>
      <c r="O756" s="8" t="s">
        <v>206</v>
      </c>
      <c r="P756" s="8"/>
      <c r="Q756" s="8"/>
      <c r="R756" s="8" t="s">
        <v>28</v>
      </c>
      <c r="S756" s="2" t="s">
        <v>395</v>
      </c>
      <c r="T756" s="2">
        <f>IF(C756=0,0,IF(C756&gt;=CALL_LOOKUP_BOARD!$B$7,IF(OR(K756="Problem Call",K756="Explosive Alert"),10000000,20000000),0)+IF(C756&gt;=CALL_LOOKUP_BOARD!$B$7,J756*1000+MIN(C756,999),C756*1000+J756)+0.00983200)</f>
        <v>1023.009832</v>
      </c>
      <c r="U756" s="2" t="str">
        <f>IF(C756=0,"",IF(COUNTIFS($S$589:$S$803,SUBSTITUTE(SUBSTITUTE(SUBSTITUTE(S756,"~","~~"),"*","~*"),"?","~?"),$T$589:$T$803,"&gt;"&amp;T756)=0,S756,""))</f>
        <v>7:3D 7-10|2:00|3:3X1|</v>
      </c>
    </row>
    <row r="757" spans="1:21" ht="38" customHeight="1">
      <c r="A757" s="8" t="s">
        <v>396</v>
      </c>
      <c r="B757" s="8" t="s">
        <v>93</v>
      </c>
      <c r="C757" s="12">
        <f>COUNTIFS('DEF_SELF_SCOUT_IMPORT'!$L$42:$L$1040,"Y",'DEF_SELF_SCOUT_IMPORT'!$E$42:$E$1040,SUBSTITUTE(SUBSTITUTE(SUBSTITUTE($B757,"~","~~"),"*","~*"),"?","~?"),'DEF_SELF_SCOUT_IMPORT'!$Q$42:$Q$1040,SUBSTITUTE(SUBSTITUTE(SUBSTITUTE($M757,"~","~~"),"*","~*"),"?","~?"),'DEF_SELF_SCOUT_IMPORT'!$F$42:$F$1040,SUBSTITUTE(SUBSTITUTE(SUBSTITUTE($N757,"~","~~"),"*","~*"),"?","~?"),'DEF_SELF_SCOUT_IMPORT'!$G$42:$G$1040,SUBSTITUTE(SUBSTITUTE(SUBSTITUTE($O757,"~","~~"),"*","~*"),"?","~?"))</f>
        <v>1</v>
      </c>
      <c r="D757" s="10">
        <f>IF($C757=0,"",SUMIFS('DEF_SELF_SCOUT_IMPORT'!$J$42:$J$1040,'DEF_SELF_SCOUT_IMPORT'!$L$42:$L$1040,"Y",'DEF_SELF_SCOUT_IMPORT'!$E$42:$E$1040,SUBSTITUTE(SUBSTITUTE(SUBSTITUTE($B757,"~","~~"),"*","~*"),"?","~?"),'DEF_SELF_SCOUT_IMPORT'!$Q$42:$Q$1040,SUBSTITUTE(SUBSTITUTE(SUBSTITUTE($M757,"~","~~"),"*","~*"),"?","~?"),'DEF_SELF_SCOUT_IMPORT'!$F$42:$F$1040,SUBSTITUTE(SUBSTITUTE(SUBSTITUTE($N757,"~","~~"),"*","~*"),"?","~?"),'DEF_SELF_SCOUT_IMPORT'!$G$42:$G$1040,SUBSTITUTE(SUBSTITUTE(SUBSTITUTE($O757,"~","~~"),"*","~*"),"?","~?"))/$C757)</f>
        <v>0.0</v>
      </c>
      <c r="E757" s="10">
        <f>IF($C757=0,"",SUMIFS('DEF_SELF_SCOUT_IMPORT'!$K$42:$K$1040,'DEF_SELF_SCOUT_IMPORT'!$L$42:$L$1040,"Y",'DEF_SELF_SCOUT_IMPORT'!$E$42:$E$1040,SUBSTITUTE(SUBSTITUTE(SUBSTITUTE($B757,"~","~~"),"*","~*"),"?","~?"),'DEF_SELF_SCOUT_IMPORT'!$Q$42:$Q$1040,SUBSTITUTE(SUBSTITUTE(SUBSTITUTE($M757,"~","~~"),"*","~*"),"?","~?"),'DEF_SELF_SCOUT_IMPORT'!$F$42:$F$1040,SUBSTITUTE(SUBSTITUTE(SUBSTITUTE($N757,"~","~~"),"*","~*"),"?","~?"),'DEF_SELF_SCOUT_IMPORT'!$G$42:$G$1040,SUBSTITUTE(SUBSTITUTE(SUBSTITUTE($O757,"~","~~"),"*","~*"),"?","~?"))/$C757)</f>
        <v>1.0</v>
      </c>
      <c r="F757" s="11">
        <f>IF($C757=0,"",AVERAGEIFS('DEF_SELF_SCOUT_IMPORT'!$I$42:$I$1040,'DEF_SELF_SCOUT_IMPORT'!$L$42:$L$1040,"Y",'DEF_SELF_SCOUT_IMPORT'!$E$42:$E$1040,SUBSTITUTE(SUBSTITUTE(SUBSTITUTE($B757,"~","~~"),"*","~*"),"?","~?"),'DEF_SELF_SCOUT_IMPORT'!$Q$42:$Q$1040,SUBSTITUTE(SUBSTITUTE(SUBSTITUTE($M757,"~","~~"),"*","~*"),"?","~?"),'DEF_SELF_SCOUT_IMPORT'!$F$42:$F$1040,SUBSTITUTE(SUBSTITUTE(SUBSTITUTE($N757,"~","~~"),"*","~*"),"?","~?"),'DEF_SELF_SCOUT_IMPORT'!$G$42:$G$1040,SUBSTITUTE(SUBSTITUTE(SUBSTITUTE($O757,"~","~~"),"*","~*"),"?","~?")))</f>
        <v>21.0</v>
      </c>
      <c r="G757" s="10">
        <f>IF($C757=0,"",COUNTIFS('DEF_SELF_SCOUT_IMPORT'!$L$42:$L$1040,"Y",'DEF_SELF_SCOUT_IMPORT'!$E$42:$E$1040,SUBSTITUTE(SUBSTITUTE(SUBSTITUTE($B757,"~","~~"),"*","~*"),"?","~?"),'DEF_SELF_SCOUT_IMPORT'!$Q$42:$Q$1040,SUBSTITUTE(SUBSTITUTE(SUBSTITUTE($M757,"~","~~"),"*","~*"),"?","~?"),'DEF_SELF_SCOUT_IMPORT'!$F$42:$F$1040,SUBSTITUTE(SUBSTITUTE(SUBSTITUTE($N757,"~","~~"),"*","~*"),"?","~?"),'DEF_SELF_SCOUT_IMPORT'!$G$42:$G$1040,SUBSTITUTE(SUBSTITUTE(SUBSTITUTE($O757,"~","~~"),"*","~*"),"?","~?"),'DEF_SELF_SCOUT_IMPORT'!$H$42:$H$1040,"RUSH")/$C757)</f>
        <v>0.0</v>
      </c>
      <c r="H757" s="10">
        <f>IF($C757=0,"",COUNTIFS('DEF_SELF_SCOUT_IMPORT'!$L$42:$L$1040,"Y",'DEF_SELF_SCOUT_IMPORT'!$E$42:$E$1040,SUBSTITUTE(SUBSTITUTE(SUBSTITUTE($B757,"~","~~"),"*","~*"),"?","~?"),'DEF_SELF_SCOUT_IMPORT'!$Q$42:$Q$1040,SUBSTITUTE(SUBSTITUTE(SUBSTITUTE($M757,"~","~~"),"*","~*"),"?","~?"),'DEF_SELF_SCOUT_IMPORT'!$F$42:$F$1040,SUBSTITUTE(SUBSTITUTE(SUBSTITUTE($N757,"~","~~"),"*","~*"),"?","~?"),'DEF_SELF_SCOUT_IMPORT'!$G$42:$G$1040,SUBSTITUTE(SUBSTITUTE(SUBSTITUTE($O757,"~","~~"),"*","~*"),"?","~?"),'DEF_SELF_SCOUT_IMPORT'!$H$42:$H$1040,"DROPBACK")/$C757)</f>
        <v>1.0</v>
      </c>
      <c r="I757" s="14" t="str">
        <f>IF(C757=0,"",IF(C757&lt;=2,"TRACK",IF(C757=3,"LOW",IF(C757&lt;=6,"MEDIUM","HIGH"))))</f>
        <v>TRACK</v>
      </c>
      <c r="J757" s="11">
        <f>IF(C757=0,"",ROUND(D757*70+(1-E757)*20+MAX(0,MIN(1,(10-F757)/10))*10,1))</f>
        <v>0.0</v>
      </c>
      <c r="K757" s="14" t="str">
        <f>IF(C757=0,"No Evidence",IF(C757&lt;=2,IF(E757&gt;0,"Explosive Alert","Track Only"),IF(C757=3,"Sample Watch",IF(E757&gt;=START_HERE!$B$31,"Explosive Alert",IF(J757&gt;=80,"Strong Candidate",IF(J757&gt;=65,"Good Candidate",IF(J757&gt;=50,"Mixed / Review","Problem Call")))))))</f>
        <v>Explosive Alert</v>
      </c>
      <c r="L757" s="9" t="str">
        <f>IF(COUNTIFS('DEF_SELF_SCOUT_IMPORT'!$L$42:$L$1040,"Y",'DEF_SELF_SCOUT_IMPORT'!$E$42:$E$1040,SUBSTITUTE(SUBSTITUTE(SUBSTITUTE($B757,"~","~~"),"*","~*"),"?","~?"),'DEF_SELF_SCOUT_IMPORT'!$Q$42:$Q$1040,SUBSTITUTE(SUBSTITUTE(SUBSTITUTE($M757,"~","~~"),"*","~*"),"?","~?"),'DEF_SELF_SCOUT_IMPORT'!$F$42:$F$1040,SUBSTITUTE(SUBSTITUTE(SUBSTITUTE($N757,"~","~~"),"*","~*"),"?","~?"),'DEF_SELF_SCOUT_IMPORT'!$G$42:$G$1040,SUBSTITUTE(SUBSTITUTE(SUBSTITUTE($O757,"~","~~"),"*","~*"),"?","~?"),'DEF_SELF_SCOUT_IMPORT'!$J$42:$J$1040,"")&gt;0,"Unscored clean outcome; review result tags before using score.",IF(C757=0,"No matching defensive reps; film confirmation needed.",IF(K757="Explosive Alert","Explosive risk; review clips before using as answer.",IF(C757&lt;=2,"Track only; not enough sample.",IF(C757=3,IF(E757&gt;0,"Sample watch with explosive exposure; review clips and build the sample.",IF(J757&gt;=65,"Good signal, but sample is limited.","Sample watch; review clips and build the sample.")),IF(K757="Problem Call","Problem area; practice or call-sheet review.",IF(K757="Strong Candidate","Strong call-fit candidate; confirm on film.",IF(K757="Good Candidate","Good call-fit signal; confirm on film.","Mixed signal; review fit and execution on film."))))))))</f>
        <v>Explosive risk; review clips before using as answer.</v>
      </c>
      <c r="M757" s="8" t="s">
        <v>107</v>
      </c>
      <c r="N757" s="8" t="s">
        <v>120</v>
      </c>
      <c r="O757" s="8" t="s">
        <v>203</v>
      </c>
      <c r="P757" s="8"/>
      <c r="Q757" s="8"/>
      <c r="R757" s="8" t="s">
        <v>28</v>
      </c>
      <c r="S757" s="2" t="s">
        <v>397</v>
      </c>
      <c r="T757" s="2">
        <f>IF(C757=0,0,IF(C757&gt;=CALL_LOOKUP_BOARD!$B$7,IF(OR(K757="Problem Call",K757="Explosive Alert"),10000000,20000000),0)+IF(C757&gt;=CALL_LOOKUP_BOARD!$B$7,J757*1000+MIN(C757,999),C757*1000+J757)+0.00983100)</f>
        <v>1000.009831</v>
      </c>
      <c r="U757" s="2">
        <f>IF(C757=0,"",IF(COUNTIFS($S$589:$S$803,SUBSTITUTE(SUBSTITUTE(SUBSTITUTE(S757,"~","~~"),"*","~*"),"?","~?"),$T$589:$T$803,"&gt;"&amp;T757)=0,S757,""))</f>
        <v/>
      </c>
    </row>
    <row r="758" spans="1:21" ht="38" customHeight="1">
      <c r="A758" s="8" t="s">
        <v>396</v>
      </c>
      <c r="B758" s="8" t="s">
        <v>27</v>
      </c>
      <c r="C758" s="12">
        <f>COUNTIFS('DEF_SELF_SCOUT_IMPORT'!$L$42:$L$1040,"Y",'DEF_SELF_SCOUT_IMPORT'!$E$42:$E$1040,SUBSTITUTE(SUBSTITUTE(SUBSTITUTE($B758,"~","~~"),"*","~*"),"?","~?"),'DEF_SELF_SCOUT_IMPORT'!$Q$42:$Q$1040,SUBSTITUTE(SUBSTITUTE(SUBSTITUTE($M758,"~","~~"),"*","~*"),"?","~?"),'DEF_SELF_SCOUT_IMPORT'!$F$42:$F$1040,SUBSTITUTE(SUBSTITUTE(SUBSTITUTE($N758,"~","~~"),"*","~*"),"?","~?"),'DEF_SELF_SCOUT_IMPORT'!$G$42:$G$1040,SUBSTITUTE(SUBSTITUTE(SUBSTITUTE($O758,"~","~~"),"*","~*"),"?","~?"))</f>
        <v>1</v>
      </c>
      <c r="D758" s="10">
        <f>IF($C758=0,"",SUMIFS('DEF_SELF_SCOUT_IMPORT'!$J$42:$J$1040,'DEF_SELF_SCOUT_IMPORT'!$L$42:$L$1040,"Y",'DEF_SELF_SCOUT_IMPORT'!$E$42:$E$1040,SUBSTITUTE(SUBSTITUTE(SUBSTITUTE($B758,"~","~~"),"*","~*"),"?","~?"),'DEF_SELF_SCOUT_IMPORT'!$Q$42:$Q$1040,SUBSTITUTE(SUBSTITUTE(SUBSTITUTE($M758,"~","~~"),"*","~*"),"?","~?"),'DEF_SELF_SCOUT_IMPORT'!$F$42:$F$1040,SUBSTITUTE(SUBSTITUTE(SUBSTITUTE($N758,"~","~~"),"*","~*"),"?","~?"),'DEF_SELF_SCOUT_IMPORT'!$G$42:$G$1040,SUBSTITUTE(SUBSTITUTE(SUBSTITUTE($O758,"~","~~"),"*","~*"),"?","~?"))/$C758)</f>
        <v>1.0</v>
      </c>
      <c r="E758" s="10">
        <f>IF($C758=0,"",SUMIFS('DEF_SELF_SCOUT_IMPORT'!$K$42:$K$1040,'DEF_SELF_SCOUT_IMPORT'!$L$42:$L$1040,"Y",'DEF_SELF_SCOUT_IMPORT'!$E$42:$E$1040,SUBSTITUTE(SUBSTITUTE(SUBSTITUTE($B758,"~","~~"),"*","~*"),"?","~?"),'DEF_SELF_SCOUT_IMPORT'!$Q$42:$Q$1040,SUBSTITUTE(SUBSTITUTE(SUBSTITUTE($M758,"~","~~"),"*","~*"),"?","~?"),'DEF_SELF_SCOUT_IMPORT'!$F$42:$F$1040,SUBSTITUTE(SUBSTITUTE(SUBSTITUTE($N758,"~","~~"),"*","~*"),"?","~?"),'DEF_SELF_SCOUT_IMPORT'!$G$42:$G$1040,SUBSTITUTE(SUBSTITUTE(SUBSTITUTE($O758,"~","~~"),"*","~*"),"?","~?"))/$C758)</f>
        <v>0.0</v>
      </c>
      <c r="F758" s="11">
        <f>IF($C758=0,"",AVERAGEIFS('DEF_SELF_SCOUT_IMPORT'!$I$42:$I$1040,'DEF_SELF_SCOUT_IMPORT'!$L$42:$L$1040,"Y",'DEF_SELF_SCOUT_IMPORT'!$E$42:$E$1040,SUBSTITUTE(SUBSTITUTE(SUBSTITUTE($B758,"~","~~"),"*","~*"),"?","~?"),'DEF_SELF_SCOUT_IMPORT'!$Q$42:$Q$1040,SUBSTITUTE(SUBSTITUTE(SUBSTITUTE($M758,"~","~~"),"*","~*"),"?","~?"),'DEF_SELF_SCOUT_IMPORT'!$F$42:$F$1040,SUBSTITUTE(SUBSTITUTE(SUBSTITUTE($N758,"~","~~"),"*","~*"),"?","~?"),'DEF_SELF_SCOUT_IMPORT'!$G$42:$G$1040,SUBSTITUTE(SUBSTITUTE(SUBSTITUTE($O758,"~","~~"),"*","~*"),"?","~?")))</f>
        <v>1.0</v>
      </c>
      <c r="G758" s="10">
        <f>IF($C758=0,"",COUNTIFS('DEF_SELF_SCOUT_IMPORT'!$L$42:$L$1040,"Y",'DEF_SELF_SCOUT_IMPORT'!$E$42:$E$1040,SUBSTITUTE(SUBSTITUTE(SUBSTITUTE($B758,"~","~~"),"*","~*"),"?","~?"),'DEF_SELF_SCOUT_IMPORT'!$Q$42:$Q$1040,SUBSTITUTE(SUBSTITUTE(SUBSTITUTE($M758,"~","~~"),"*","~*"),"?","~?"),'DEF_SELF_SCOUT_IMPORT'!$F$42:$F$1040,SUBSTITUTE(SUBSTITUTE(SUBSTITUTE($N758,"~","~~"),"*","~*"),"?","~?"),'DEF_SELF_SCOUT_IMPORT'!$G$42:$G$1040,SUBSTITUTE(SUBSTITUTE(SUBSTITUTE($O758,"~","~~"),"*","~*"),"?","~?"),'DEF_SELF_SCOUT_IMPORT'!$H$42:$H$1040,"RUSH")/$C758)</f>
        <v>1.0</v>
      </c>
      <c r="H758" s="10">
        <f>IF($C758=0,"",COUNTIFS('DEF_SELF_SCOUT_IMPORT'!$L$42:$L$1040,"Y",'DEF_SELF_SCOUT_IMPORT'!$E$42:$E$1040,SUBSTITUTE(SUBSTITUTE(SUBSTITUTE($B758,"~","~~"),"*","~*"),"?","~?"),'DEF_SELF_SCOUT_IMPORT'!$Q$42:$Q$1040,SUBSTITUTE(SUBSTITUTE(SUBSTITUTE($M758,"~","~~"),"*","~*"),"?","~?"),'DEF_SELF_SCOUT_IMPORT'!$F$42:$F$1040,SUBSTITUTE(SUBSTITUTE(SUBSTITUTE($N758,"~","~~"),"*","~*"),"?","~?"),'DEF_SELF_SCOUT_IMPORT'!$G$42:$G$1040,SUBSTITUTE(SUBSTITUTE(SUBSTITUTE($O758,"~","~~"),"*","~*"),"?","~?"),'DEF_SELF_SCOUT_IMPORT'!$H$42:$H$1040,"DROPBACK")/$C758)</f>
        <v>0.0</v>
      </c>
      <c r="I758" s="14" t="str">
        <f>IF(C758=0,"",IF(C758&lt;=2,"TRACK",IF(C758=3,"LOW",IF(C758&lt;=6,"MEDIUM","HIGH"))))</f>
        <v>TRACK</v>
      </c>
      <c r="J758" s="11">
        <f>IF(C758=0,"",ROUND(D758*70+(1-E758)*20+MAX(0,MIN(1,(10-F758)/10))*10,1))</f>
        <v>99.0</v>
      </c>
      <c r="K758" s="14" t="str">
        <f>IF(C758=0,"No Evidence",IF(C758&lt;=2,IF(E758&gt;0,"Explosive Alert","Track Only"),IF(C758=3,"Sample Watch",IF(E758&gt;=START_HERE!$B$31,"Explosive Alert",IF(J758&gt;=80,"Strong Candidate",IF(J758&gt;=65,"Good Candidate",IF(J758&gt;=50,"Mixed / Review","Problem Call")))))))</f>
        <v>Track Only</v>
      </c>
      <c r="L758" s="9" t="str">
        <f>IF(COUNTIFS('DEF_SELF_SCOUT_IMPORT'!$L$42:$L$1040,"Y",'DEF_SELF_SCOUT_IMPORT'!$E$42:$E$1040,SUBSTITUTE(SUBSTITUTE(SUBSTITUTE($B758,"~","~~"),"*","~*"),"?","~?"),'DEF_SELF_SCOUT_IMPORT'!$Q$42:$Q$1040,SUBSTITUTE(SUBSTITUTE(SUBSTITUTE($M758,"~","~~"),"*","~*"),"?","~?"),'DEF_SELF_SCOUT_IMPORT'!$F$42:$F$1040,SUBSTITUTE(SUBSTITUTE(SUBSTITUTE($N758,"~","~~"),"*","~*"),"?","~?"),'DEF_SELF_SCOUT_IMPORT'!$G$42:$G$1040,SUBSTITUTE(SUBSTITUTE(SUBSTITUTE($O758,"~","~~"),"*","~*"),"?","~?"),'DEF_SELF_SCOUT_IMPORT'!$J$42:$J$1040,"")&gt;0,"Unscored clean outcome; review result tags before using score.",IF(C758=0,"No matching defensive reps; film confirmation needed.",IF(K758="Explosive Alert","Explosive risk; review clips before using as answer.",IF(C758&lt;=2,"Track only; not enough sample.",IF(C758=3,IF(E758&gt;0,"Sample watch with explosive exposure; review clips and build the sample.",IF(J758&gt;=65,"Good signal, but sample is limited.","Sample watch; review clips and build the sample.")),IF(K758="Problem Call","Problem area; practice or call-sheet review.",IF(K758="Strong Candidate","Strong call-fit candidate; confirm on film.",IF(K758="Good Candidate","Good call-fit signal; confirm on film.","Mixed signal; review fit and execution on film."))))))))</f>
        <v>Track only; not enough sample.</v>
      </c>
      <c r="M758" s="8" t="s">
        <v>107</v>
      </c>
      <c r="N758" s="8" t="s">
        <v>120</v>
      </c>
      <c r="O758" s="8" t="s">
        <v>203</v>
      </c>
      <c r="P758" s="8"/>
      <c r="Q758" s="8"/>
      <c r="R758" s="8" t="s">
        <v>28</v>
      </c>
      <c r="S758" s="2" t="s">
        <v>397</v>
      </c>
      <c r="T758" s="2">
        <f>IF(C758=0,0,IF(C758&gt;=CALL_LOOKUP_BOARD!$B$7,IF(OR(K758="Problem Call",K758="Explosive Alert"),10000000,20000000),0)+IF(C758&gt;=CALL_LOOKUP_BOARD!$B$7,J758*1000+MIN(C758,999),C758*1000+J758)+0.00983000)</f>
        <v>1099.00983</v>
      </c>
      <c r="U758" s="2">
        <f>IF(C758=0,"",IF(COUNTIFS($S$589:$S$803,SUBSTITUTE(SUBSTITUTE(SUBSTITUTE(S758,"~","~~"),"*","~*"),"?","~?"),$T$589:$T$803,"&gt;"&amp;T758)=0,S758,""))</f>
        <v/>
      </c>
    </row>
    <row r="759" spans="1:21" ht="38" customHeight="1">
      <c r="A759" s="8" t="s">
        <v>396</v>
      </c>
      <c r="B759" s="8" t="s">
        <v>109</v>
      </c>
      <c r="C759" s="12">
        <f>COUNTIFS('DEF_SELF_SCOUT_IMPORT'!$L$42:$L$1040,"Y",'DEF_SELF_SCOUT_IMPORT'!$E$42:$E$1040,SUBSTITUTE(SUBSTITUTE(SUBSTITUTE($B759,"~","~~"),"*","~*"),"?","~?"),'DEF_SELF_SCOUT_IMPORT'!$Q$42:$Q$1040,SUBSTITUTE(SUBSTITUTE(SUBSTITUTE($M759,"~","~~"),"*","~*"),"?","~?"),'DEF_SELF_SCOUT_IMPORT'!$F$42:$F$1040,SUBSTITUTE(SUBSTITUTE(SUBSTITUTE($N759,"~","~~"),"*","~*"),"?","~?"),'DEF_SELF_SCOUT_IMPORT'!$G$42:$G$1040,SUBSTITUTE(SUBSTITUTE(SUBSTITUTE($O759,"~","~~"),"*","~*"),"?","~?"))</f>
        <v>1</v>
      </c>
      <c r="D759" s="10">
        <f>IF($C759=0,"",SUMIFS('DEF_SELF_SCOUT_IMPORT'!$J$42:$J$1040,'DEF_SELF_SCOUT_IMPORT'!$L$42:$L$1040,"Y",'DEF_SELF_SCOUT_IMPORT'!$E$42:$E$1040,SUBSTITUTE(SUBSTITUTE(SUBSTITUTE($B759,"~","~~"),"*","~*"),"?","~?"),'DEF_SELF_SCOUT_IMPORT'!$Q$42:$Q$1040,SUBSTITUTE(SUBSTITUTE(SUBSTITUTE($M759,"~","~~"),"*","~*"),"?","~?"),'DEF_SELF_SCOUT_IMPORT'!$F$42:$F$1040,SUBSTITUTE(SUBSTITUTE(SUBSTITUTE($N759,"~","~~"),"*","~*"),"?","~?"),'DEF_SELF_SCOUT_IMPORT'!$G$42:$G$1040,SUBSTITUTE(SUBSTITUTE(SUBSTITUTE($O759,"~","~~"),"*","~*"),"?","~?"))/$C759)</f>
        <v>0.0</v>
      </c>
      <c r="E759" s="10">
        <f>IF($C759=0,"",SUMIFS('DEF_SELF_SCOUT_IMPORT'!$K$42:$K$1040,'DEF_SELF_SCOUT_IMPORT'!$L$42:$L$1040,"Y",'DEF_SELF_SCOUT_IMPORT'!$E$42:$E$1040,SUBSTITUTE(SUBSTITUTE(SUBSTITUTE($B759,"~","~~"),"*","~*"),"?","~?"),'DEF_SELF_SCOUT_IMPORT'!$Q$42:$Q$1040,SUBSTITUTE(SUBSTITUTE(SUBSTITUTE($M759,"~","~~"),"*","~*"),"?","~?"),'DEF_SELF_SCOUT_IMPORT'!$F$42:$F$1040,SUBSTITUTE(SUBSTITUTE(SUBSTITUTE($N759,"~","~~"),"*","~*"),"?","~?"),'DEF_SELF_SCOUT_IMPORT'!$G$42:$G$1040,SUBSTITUTE(SUBSTITUTE(SUBSTITUTE($O759,"~","~~"),"*","~*"),"?","~?"))/$C759)</f>
        <v>1.0</v>
      </c>
      <c r="F759" s="11">
        <f>IF($C759=0,"",AVERAGEIFS('DEF_SELF_SCOUT_IMPORT'!$I$42:$I$1040,'DEF_SELF_SCOUT_IMPORT'!$L$42:$L$1040,"Y",'DEF_SELF_SCOUT_IMPORT'!$E$42:$E$1040,SUBSTITUTE(SUBSTITUTE(SUBSTITUTE($B759,"~","~~"),"*","~*"),"?","~?"),'DEF_SELF_SCOUT_IMPORT'!$Q$42:$Q$1040,SUBSTITUTE(SUBSTITUTE(SUBSTITUTE($M759,"~","~~"),"*","~*"),"?","~?"),'DEF_SELF_SCOUT_IMPORT'!$F$42:$F$1040,SUBSTITUTE(SUBSTITUTE(SUBSTITUTE($N759,"~","~~"),"*","~*"),"?","~?"),'DEF_SELF_SCOUT_IMPORT'!$G$42:$G$1040,SUBSTITUTE(SUBSTITUTE(SUBSTITUTE($O759,"~","~~"),"*","~*"),"?","~?")))</f>
        <v>16.0</v>
      </c>
      <c r="G759" s="10">
        <f>IF($C759=0,"",COUNTIFS('DEF_SELF_SCOUT_IMPORT'!$L$42:$L$1040,"Y",'DEF_SELF_SCOUT_IMPORT'!$E$42:$E$1040,SUBSTITUTE(SUBSTITUTE(SUBSTITUTE($B759,"~","~~"),"*","~*"),"?","~?"),'DEF_SELF_SCOUT_IMPORT'!$Q$42:$Q$1040,SUBSTITUTE(SUBSTITUTE(SUBSTITUTE($M759,"~","~~"),"*","~*"),"?","~?"),'DEF_SELF_SCOUT_IMPORT'!$F$42:$F$1040,SUBSTITUTE(SUBSTITUTE(SUBSTITUTE($N759,"~","~~"),"*","~*"),"?","~?"),'DEF_SELF_SCOUT_IMPORT'!$G$42:$G$1040,SUBSTITUTE(SUBSTITUTE(SUBSTITUTE($O759,"~","~~"),"*","~*"),"?","~?"),'DEF_SELF_SCOUT_IMPORT'!$H$42:$H$1040,"RUSH")/$C759)</f>
        <v>0.0</v>
      </c>
      <c r="H759" s="10">
        <f>IF($C759=0,"",COUNTIFS('DEF_SELF_SCOUT_IMPORT'!$L$42:$L$1040,"Y",'DEF_SELF_SCOUT_IMPORT'!$E$42:$E$1040,SUBSTITUTE(SUBSTITUTE(SUBSTITUTE($B759,"~","~~"),"*","~*"),"?","~?"),'DEF_SELF_SCOUT_IMPORT'!$Q$42:$Q$1040,SUBSTITUTE(SUBSTITUTE(SUBSTITUTE($M759,"~","~~"),"*","~*"),"?","~?"),'DEF_SELF_SCOUT_IMPORT'!$F$42:$F$1040,SUBSTITUTE(SUBSTITUTE(SUBSTITUTE($N759,"~","~~"),"*","~*"),"?","~?"),'DEF_SELF_SCOUT_IMPORT'!$G$42:$G$1040,SUBSTITUTE(SUBSTITUTE(SUBSTITUTE($O759,"~","~~"),"*","~*"),"?","~?"),'DEF_SELF_SCOUT_IMPORT'!$H$42:$H$1040,"DROPBACK")/$C759)</f>
        <v>1.0</v>
      </c>
      <c r="I759" s="14" t="str">
        <f>IF(C759=0,"",IF(C759&lt;=2,"TRACK",IF(C759=3,"LOW",IF(C759&lt;=6,"MEDIUM","HIGH"))))</f>
        <v>TRACK</v>
      </c>
      <c r="J759" s="11">
        <f>IF(C759=0,"",ROUND(D759*70+(1-E759)*20+MAX(0,MIN(1,(10-F759)/10))*10,1))</f>
        <v>0.0</v>
      </c>
      <c r="K759" s="14" t="str">
        <f>IF(C759=0,"No Evidence",IF(C759&lt;=2,IF(E759&gt;0,"Explosive Alert","Track Only"),IF(C759=3,"Sample Watch",IF(E759&gt;=START_HERE!$B$31,"Explosive Alert",IF(J759&gt;=80,"Strong Candidate",IF(J759&gt;=65,"Good Candidate",IF(J759&gt;=50,"Mixed / Review","Problem Call")))))))</f>
        <v>Explosive Alert</v>
      </c>
      <c r="L759" s="9" t="str">
        <f>IF(COUNTIFS('DEF_SELF_SCOUT_IMPORT'!$L$42:$L$1040,"Y",'DEF_SELF_SCOUT_IMPORT'!$E$42:$E$1040,SUBSTITUTE(SUBSTITUTE(SUBSTITUTE($B759,"~","~~"),"*","~*"),"?","~?"),'DEF_SELF_SCOUT_IMPORT'!$Q$42:$Q$1040,SUBSTITUTE(SUBSTITUTE(SUBSTITUTE($M759,"~","~~"),"*","~*"),"?","~?"),'DEF_SELF_SCOUT_IMPORT'!$F$42:$F$1040,SUBSTITUTE(SUBSTITUTE(SUBSTITUTE($N759,"~","~~"),"*","~*"),"?","~?"),'DEF_SELF_SCOUT_IMPORT'!$G$42:$G$1040,SUBSTITUTE(SUBSTITUTE(SUBSTITUTE($O759,"~","~~"),"*","~*"),"?","~?"),'DEF_SELF_SCOUT_IMPORT'!$J$42:$J$1040,"")&gt;0,"Unscored clean outcome; review result tags before using score.",IF(C759=0,"No matching defensive reps; film confirmation needed.",IF(K759="Explosive Alert","Explosive risk; review clips before using as answer.",IF(C759&lt;=2,"Track only; not enough sample.",IF(C759=3,IF(E759&gt;0,"Sample watch with explosive exposure; review clips and build the sample.",IF(J759&gt;=65,"Good signal, but sample is limited.","Sample watch; review clips and build the sample.")),IF(K759="Problem Call","Problem area; practice or call-sheet review.",IF(K759="Strong Candidate","Strong call-fit candidate; confirm on film.",IF(K759="Good Candidate","Good call-fit signal; confirm on film.","Mixed signal; review fit and execution on film."))))))))</f>
        <v>Explosive risk; review clips before using as answer.</v>
      </c>
      <c r="M759" s="8" t="s">
        <v>107</v>
      </c>
      <c r="N759" s="8" t="s">
        <v>120</v>
      </c>
      <c r="O759" s="8" t="s">
        <v>203</v>
      </c>
      <c r="P759" s="8"/>
      <c r="Q759" s="8"/>
      <c r="R759" s="8" t="s">
        <v>28</v>
      </c>
      <c r="S759" s="2" t="s">
        <v>397</v>
      </c>
      <c r="T759" s="2">
        <f>IF(C759=0,0,IF(C759&gt;=CALL_LOOKUP_BOARD!$B$7,IF(OR(K759="Problem Call",K759="Explosive Alert"),10000000,20000000),0)+IF(C759&gt;=CALL_LOOKUP_BOARD!$B$7,J759*1000+MIN(C759,999),C759*1000+J759)+0.00982900)</f>
        <v>1000.009829</v>
      </c>
      <c r="U759" s="2">
        <f>IF(C759=0,"",IF(COUNTIFS($S$589:$S$803,SUBSTITUTE(SUBSTITUTE(SUBSTITUTE(S759,"~","~~"),"*","~*"),"?","~?"),$T$589:$T$803,"&gt;"&amp;T759)=0,S759,""))</f>
        <v/>
      </c>
    </row>
    <row r="760" spans="1:21" ht="38" customHeight="1">
      <c r="A760" s="8" t="s">
        <v>396</v>
      </c>
      <c r="B760" s="8" t="s">
        <v>61</v>
      </c>
      <c r="C760" s="12">
        <f>COUNTIFS('DEF_SELF_SCOUT_IMPORT'!$L$42:$L$1040,"Y",'DEF_SELF_SCOUT_IMPORT'!$E$42:$E$1040,SUBSTITUTE(SUBSTITUTE(SUBSTITUTE($B760,"~","~~"),"*","~*"),"?","~?"),'DEF_SELF_SCOUT_IMPORT'!$Q$42:$Q$1040,SUBSTITUTE(SUBSTITUTE(SUBSTITUTE($M760,"~","~~"),"*","~*"),"?","~?"),'DEF_SELF_SCOUT_IMPORT'!$F$42:$F$1040,SUBSTITUTE(SUBSTITUTE(SUBSTITUTE($N760,"~","~~"),"*","~*"),"?","~?"),'DEF_SELF_SCOUT_IMPORT'!$G$42:$G$1040,SUBSTITUTE(SUBSTITUTE(SUBSTITUTE($O760,"~","~~"),"*","~*"),"?","~?"))</f>
        <v>1</v>
      </c>
      <c r="D760" s="10">
        <f>IF($C760=0,"",SUMIFS('DEF_SELF_SCOUT_IMPORT'!$J$42:$J$1040,'DEF_SELF_SCOUT_IMPORT'!$L$42:$L$1040,"Y",'DEF_SELF_SCOUT_IMPORT'!$E$42:$E$1040,SUBSTITUTE(SUBSTITUTE(SUBSTITUTE($B760,"~","~~"),"*","~*"),"?","~?"),'DEF_SELF_SCOUT_IMPORT'!$Q$42:$Q$1040,SUBSTITUTE(SUBSTITUTE(SUBSTITUTE($M760,"~","~~"),"*","~*"),"?","~?"),'DEF_SELF_SCOUT_IMPORT'!$F$42:$F$1040,SUBSTITUTE(SUBSTITUTE(SUBSTITUTE($N760,"~","~~"),"*","~*"),"?","~?"),'DEF_SELF_SCOUT_IMPORT'!$G$42:$G$1040,SUBSTITUTE(SUBSTITUTE(SUBSTITUTE($O760,"~","~~"),"*","~*"),"?","~?"))/$C760)</f>
        <v>0.0</v>
      </c>
      <c r="E760" s="10">
        <f>IF($C760=0,"",SUMIFS('DEF_SELF_SCOUT_IMPORT'!$K$42:$K$1040,'DEF_SELF_SCOUT_IMPORT'!$L$42:$L$1040,"Y",'DEF_SELF_SCOUT_IMPORT'!$E$42:$E$1040,SUBSTITUTE(SUBSTITUTE(SUBSTITUTE($B760,"~","~~"),"*","~*"),"?","~?"),'DEF_SELF_SCOUT_IMPORT'!$Q$42:$Q$1040,SUBSTITUTE(SUBSTITUTE(SUBSTITUTE($M760,"~","~~"),"*","~*"),"?","~?"),'DEF_SELF_SCOUT_IMPORT'!$F$42:$F$1040,SUBSTITUTE(SUBSTITUTE(SUBSTITUTE($N760,"~","~~"),"*","~*"),"?","~?"),'DEF_SELF_SCOUT_IMPORT'!$G$42:$G$1040,SUBSTITUTE(SUBSTITUTE(SUBSTITUTE($O760,"~","~~"),"*","~*"),"?","~?"))/$C760)</f>
        <v>0.0</v>
      </c>
      <c r="F760" s="11">
        <f>IF($C760=0,"",AVERAGEIFS('DEF_SELF_SCOUT_IMPORT'!$I$42:$I$1040,'DEF_SELF_SCOUT_IMPORT'!$L$42:$L$1040,"Y",'DEF_SELF_SCOUT_IMPORT'!$E$42:$E$1040,SUBSTITUTE(SUBSTITUTE(SUBSTITUTE($B760,"~","~~"),"*","~*"),"?","~?"),'DEF_SELF_SCOUT_IMPORT'!$Q$42:$Q$1040,SUBSTITUTE(SUBSTITUTE(SUBSTITUTE($M760,"~","~~"),"*","~*"),"?","~?"),'DEF_SELF_SCOUT_IMPORT'!$F$42:$F$1040,SUBSTITUTE(SUBSTITUTE(SUBSTITUTE($N760,"~","~~"),"*","~*"),"?","~?"),'DEF_SELF_SCOUT_IMPORT'!$G$42:$G$1040,SUBSTITUTE(SUBSTITUTE(SUBSTITUTE($O760,"~","~~"),"*","~*"),"?","~?")))</f>
        <v>13.0</v>
      </c>
      <c r="G760" s="10">
        <f>IF($C760=0,"",COUNTIFS('DEF_SELF_SCOUT_IMPORT'!$L$42:$L$1040,"Y",'DEF_SELF_SCOUT_IMPORT'!$E$42:$E$1040,SUBSTITUTE(SUBSTITUTE(SUBSTITUTE($B760,"~","~~"),"*","~*"),"?","~?"),'DEF_SELF_SCOUT_IMPORT'!$Q$42:$Q$1040,SUBSTITUTE(SUBSTITUTE(SUBSTITUTE($M760,"~","~~"),"*","~*"),"?","~?"),'DEF_SELF_SCOUT_IMPORT'!$F$42:$F$1040,SUBSTITUTE(SUBSTITUTE(SUBSTITUTE($N760,"~","~~"),"*","~*"),"?","~?"),'DEF_SELF_SCOUT_IMPORT'!$G$42:$G$1040,SUBSTITUTE(SUBSTITUTE(SUBSTITUTE($O760,"~","~~"),"*","~*"),"?","~?"),'DEF_SELF_SCOUT_IMPORT'!$H$42:$H$1040,"RUSH")/$C760)</f>
        <v>0.0</v>
      </c>
      <c r="H760" s="10">
        <f>IF($C760=0,"",COUNTIFS('DEF_SELF_SCOUT_IMPORT'!$L$42:$L$1040,"Y",'DEF_SELF_SCOUT_IMPORT'!$E$42:$E$1040,SUBSTITUTE(SUBSTITUTE(SUBSTITUTE($B760,"~","~~"),"*","~*"),"?","~?"),'DEF_SELF_SCOUT_IMPORT'!$Q$42:$Q$1040,SUBSTITUTE(SUBSTITUTE(SUBSTITUTE($M760,"~","~~"),"*","~*"),"?","~?"),'DEF_SELF_SCOUT_IMPORT'!$F$42:$F$1040,SUBSTITUTE(SUBSTITUTE(SUBSTITUTE($N760,"~","~~"),"*","~*"),"?","~?"),'DEF_SELF_SCOUT_IMPORT'!$G$42:$G$1040,SUBSTITUTE(SUBSTITUTE(SUBSTITUTE($O760,"~","~~"),"*","~*"),"?","~?"),'DEF_SELF_SCOUT_IMPORT'!$H$42:$H$1040,"DROPBACK")/$C760)</f>
        <v>1.0</v>
      </c>
      <c r="I760" s="14" t="str">
        <f>IF(C760=0,"",IF(C760&lt;=2,"TRACK",IF(C760=3,"LOW",IF(C760&lt;=6,"MEDIUM","HIGH"))))</f>
        <v>TRACK</v>
      </c>
      <c r="J760" s="11">
        <f>IF(C760=0,"",ROUND(D760*70+(1-E760)*20+MAX(0,MIN(1,(10-F760)/10))*10,1))</f>
        <v>20.0</v>
      </c>
      <c r="K760" s="14" t="str">
        <f>IF(C760=0,"No Evidence",IF(C760&lt;=2,IF(E760&gt;0,"Explosive Alert","Track Only"),IF(C760=3,"Sample Watch",IF(E760&gt;=START_HERE!$B$31,"Explosive Alert",IF(J760&gt;=80,"Strong Candidate",IF(J760&gt;=65,"Good Candidate",IF(J760&gt;=50,"Mixed / Review","Problem Call")))))))</f>
        <v>Track Only</v>
      </c>
      <c r="L760" s="9" t="str">
        <f>IF(COUNTIFS('DEF_SELF_SCOUT_IMPORT'!$L$42:$L$1040,"Y",'DEF_SELF_SCOUT_IMPORT'!$E$42:$E$1040,SUBSTITUTE(SUBSTITUTE(SUBSTITUTE($B760,"~","~~"),"*","~*"),"?","~?"),'DEF_SELF_SCOUT_IMPORT'!$Q$42:$Q$1040,SUBSTITUTE(SUBSTITUTE(SUBSTITUTE($M760,"~","~~"),"*","~*"),"?","~?"),'DEF_SELF_SCOUT_IMPORT'!$F$42:$F$1040,SUBSTITUTE(SUBSTITUTE(SUBSTITUTE($N760,"~","~~"),"*","~*"),"?","~?"),'DEF_SELF_SCOUT_IMPORT'!$G$42:$G$1040,SUBSTITUTE(SUBSTITUTE(SUBSTITUTE($O760,"~","~~"),"*","~*"),"?","~?"),'DEF_SELF_SCOUT_IMPORT'!$J$42:$J$1040,"")&gt;0,"Unscored clean outcome; review result tags before using score.",IF(C760=0,"No matching defensive reps; film confirmation needed.",IF(K760="Explosive Alert","Explosive risk; review clips before using as answer.",IF(C760&lt;=2,"Track only; not enough sample.",IF(C760=3,IF(E760&gt;0,"Sample watch with explosive exposure; review clips and build the sample.",IF(J760&gt;=65,"Good signal, but sample is limited.","Sample watch; review clips and build the sample.")),IF(K760="Problem Call","Problem area; practice or call-sheet review.",IF(K760="Strong Candidate","Strong call-fit candidate; confirm on film.",IF(K760="Good Candidate","Good call-fit signal; confirm on film.","Mixed signal; review fit and execution on film."))))))))</f>
        <v>Track only; not enough sample.</v>
      </c>
      <c r="M760" s="8" t="s">
        <v>107</v>
      </c>
      <c r="N760" s="8" t="s">
        <v>120</v>
      </c>
      <c r="O760" s="8" t="s">
        <v>203</v>
      </c>
      <c r="P760" s="8"/>
      <c r="Q760" s="8"/>
      <c r="R760" s="8" t="s">
        <v>28</v>
      </c>
      <c r="S760" s="2" t="s">
        <v>397</v>
      </c>
      <c r="T760" s="2">
        <f>IF(C760=0,0,IF(C760&gt;=CALL_LOOKUP_BOARD!$B$7,IF(OR(K760="Problem Call",K760="Explosive Alert"),10000000,20000000),0)+IF(C760&gt;=CALL_LOOKUP_BOARD!$B$7,J760*1000+MIN(C760,999),C760*1000+J760)+0.00982800)</f>
        <v>1020.009828</v>
      </c>
      <c r="U760" s="2">
        <f>IF(C760=0,"",IF(COUNTIFS($S$589:$S$803,SUBSTITUTE(SUBSTITUTE(SUBSTITUTE(S760,"~","~~"),"*","~*"),"?","~?"),$T$589:$T$803,"&gt;"&amp;T760)=0,S760,""))</f>
        <v/>
      </c>
    </row>
    <row r="761" spans="1:21" ht="38" customHeight="1">
      <c r="A761" s="8" t="s">
        <v>396</v>
      </c>
      <c r="B761" s="8" t="s">
        <v>102</v>
      </c>
      <c r="C761" s="12">
        <f>COUNTIFS('DEF_SELF_SCOUT_IMPORT'!$L$42:$L$1040,"Y",'DEF_SELF_SCOUT_IMPORT'!$E$42:$E$1040,SUBSTITUTE(SUBSTITUTE(SUBSTITUTE($B761,"~","~~"),"*","~*"),"?","~?"),'DEF_SELF_SCOUT_IMPORT'!$Q$42:$Q$1040,SUBSTITUTE(SUBSTITUTE(SUBSTITUTE($M761,"~","~~"),"*","~*"),"?","~?"),'DEF_SELF_SCOUT_IMPORT'!$F$42:$F$1040,SUBSTITUTE(SUBSTITUTE(SUBSTITUTE($N761,"~","~~"),"*","~*"),"?","~?"),'DEF_SELF_SCOUT_IMPORT'!$G$42:$G$1040,SUBSTITUTE(SUBSTITUTE(SUBSTITUTE($O761,"~","~~"),"*","~*"),"?","~?"))</f>
        <v>1</v>
      </c>
      <c r="D761" s="10">
        <f>IF($C761=0,"",SUMIFS('DEF_SELF_SCOUT_IMPORT'!$J$42:$J$1040,'DEF_SELF_SCOUT_IMPORT'!$L$42:$L$1040,"Y",'DEF_SELF_SCOUT_IMPORT'!$E$42:$E$1040,SUBSTITUTE(SUBSTITUTE(SUBSTITUTE($B761,"~","~~"),"*","~*"),"?","~?"),'DEF_SELF_SCOUT_IMPORT'!$Q$42:$Q$1040,SUBSTITUTE(SUBSTITUTE(SUBSTITUTE($M761,"~","~~"),"*","~*"),"?","~?"),'DEF_SELF_SCOUT_IMPORT'!$F$42:$F$1040,SUBSTITUTE(SUBSTITUTE(SUBSTITUTE($N761,"~","~~"),"*","~*"),"?","~?"),'DEF_SELF_SCOUT_IMPORT'!$G$42:$G$1040,SUBSTITUTE(SUBSTITUTE(SUBSTITUTE($O761,"~","~~"),"*","~*"),"?","~?"))/$C761)</f>
        <v>1.0</v>
      </c>
      <c r="E761" s="10">
        <f>IF($C761=0,"",SUMIFS('DEF_SELF_SCOUT_IMPORT'!$K$42:$K$1040,'DEF_SELF_SCOUT_IMPORT'!$L$42:$L$1040,"Y",'DEF_SELF_SCOUT_IMPORT'!$E$42:$E$1040,SUBSTITUTE(SUBSTITUTE(SUBSTITUTE($B761,"~","~~"),"*","~*"),"?","~?"),'DEF_SELF_SCOUT_IMPORT'!$Q$42:$Q$1040,SUBSTITUTE(SUBSTITUTE(SUBSTITUTE($M761,"~","~~"),"*","~*"),"?","~?"),'DEF_SELF_SCOUT_IMPORT'!$F$42:$F$1040,SUBSTITUTE(SUBSTITUTE(SUBSTITUTE($N761,"~","~~"),"*","~*"),"?","~?"),'DEF_SELF_SCOUT_IMPORT'!$G$42:$G$1040,SUBSTITUTE(SUBSTITUTE(SUBSTITUTE($O761,"~","~~"),"*","~*"),"?","~?"))/$C761)</f>
        <v>0.0</v>
      </c>
      <c r="F761" s="11">
        <f>IF($C761=0,"",AVERAGEIFS('DEF_SELF_SCOUT_IMPORT'!$I$42:$I$1040,'DEF_SELF_SCOUT_IMPORT'!$L$42:$L$1040,"Y",'DEF_SELF_SCOUT_IMPORT'!$E$42:$E$1040,SUBSTITUTE(SUBSTITUTE(SUBSTITUTE($B761,"~","~~"),"*","~*"),"?","~?"),'DEF_SELF_SCOUT_IMPORT'!$Q$42:$Q$1040,SUBSTITUTE(SUBSTITUTE(SUBSTITUTE($M761,"~","~~"),"*","~*"),"?","~?"),'DEF_SELF_SCOUT_IMPORT'!$F$42:$F$1040,SUBSTITUTE(SUBSTITUTE(SUBSTITUTE($N761,"~","~~"),"*","~*"),"?","~?"),'DEF_SELF_SCOUT_IMPORT'!$G$42:$G$1040,SUBSTITUTE(SUBSTITUTE(SUBSTITUTE($O761,"~","~~"),"*","~*"),"?","~?")))</f>
        <v>3.0</v>
      </c>
      <c r="G761" s="10">
        <f>IF($C761=0,"",COUNTIFS('DEF_SELF_SCOUT_IMPORT'!$L$42:$L$1040,"Y",'DEF_SELF_SCOUT_IMPORT'!$E$42:$E$1040,SUBSTITUTE(SUBSTITUTE(SUBSTITUTE($B761,"~","~~"),"*","~*"),"?","~?"),'DEF_SELF_SCOUT_IMPORT'!$Q$42:$Q$1040,SUBSTITUTE(SUBSTITUTE(SUBSTITUTE($M761,"~","~~"),"*","~*"),"?","~?"),'DEF_SELF_SCOUT_IMPORT'!$F$42:$F$1040,SUBSTITUTE(SUBSTITUTE(SUBSTITUTE($N761,"~","~~"),"*","~*"),"?","~?"),'DEF_SELF_SCOUT_IMPORT'!$G$42:$G$1040,SUBSTITUTE(SUBSTITUTE(SUBSTITUTE($O761,"~","~~"),"*","~*"),"?","~?"),'DEF_SELF_SCOUT_IMPORT'!$H$42:$H$1040,"RUSH")/$C761)</f>
        <v>1.0</v>
      </c>
      <c r="H761" s="10">
        <f>IF($C761=0,"",COUNTIFS('DEF_SELF_SCOUT_IMPORT'!$L$42:$L$1040,"Y",'DEF_SELF_SCOUT_IMPORT'!$E$42:$E$1040,SUBSTITUTE(SUBSTITUTE(SUBSTITUTE($B761,"~","~~"),"*","~*"),"?","~?"),'DEF_SELF_SCOUT_IMPORT'!$Q$42:$Q$1040,SUBSTITUTE(SUBSTITUTE(SUBSTITUTE($M761,"~","~~"),"*","~*"),"?","~?"),'DEF_SELF_SCOUT_IMPORT'!$F$42:$F$1040,SUBSTITUTE(SUBSTITUTE(SUBSTITUTE($N761,"~","~~"),"*","~*"),"?","~?"),'DEF_SELF_SCOUT_IMPORT'!$G$42:$G$1040,SUBSTITUTE(SUBSTITUTE(SUBSTITUTE($O761,"~","~~"),"*","~*"),"?","~?"),'DEF_SELF_SCOUT_IMPORT'!$H$42:$H$1040,"DROPBACK")/$C761)</f>
        <v>0.0</v>
      </c>
      <c r="I761" s="14" t="str">
        <f>IF(C761=0,"",IF(C761&lt;=2,"TRACK",IF(C761=3,"LOW",IF(C761&lt;=6,"MEDIUM","HIGH"))))</f>
        <v>TRACK</v>
      </c>
      <c r="J761" s="11">
        <f>IF(C761=0,"",ROUND(D761*70+(1-E761)*20+MAX(0,MIN(1,(10-F761)/10))*10,1))</f>
        <v>97.0</v>
      </c>
      <c r="K761" s="14" t="str">
        <f>IF(C761=0,"No Evidence",IF(C761&lt;=2,IF(E761&gt;0,"Explosive Alert","Track Only"),IF(C761=3,"Sample Watch",IF(E761&gt;=START_HERE!$B$31,"Explosive Alert",IF(J761&gt;=80,"Strong Candidate",IF(J761&gt;=65,"Good Candidate",IF(J761&gt;=50,"Mixed / Review","Problem Call")))))))</f>
        <v>Track Only</v>
      </c>
      <c r="L761" s="9" t="str">
        <f>IF(COUNTIFS('DEF_SELF_SCOUT_IMPORT'!$L$42:$L$1040,"Y",'DEF_SELF_SCOUT_IMPORT'!$E$42:$E$1040,SUBSTITUTE(SUBSTITUTE(SUBSTITUTE($B761,"~","~~"),"*","~*"),"?","~?"),'DEF_SELF_SCOUT_IMPORT'!$Q$42:$Q$1040,SUBSTITUTE(SUBSTITUTE(SUBSTITUTE($M761,"~","~~"),"*","~*"),"?","~?"),'DEF_SELF_SCOUT_IMPORT'!$F$42:$F$1040,SUBSTITUTE(SUBSTITUTE(SUBSTITUTE($N761,"~","~~"),"*","~*"),"?","~?"),'DEF_SELF_SCOUT_IMPORT'!$G$42:$G$1040,SUBSTITUTE(SUBSTITUTE(SUBSTITUTE($O761,"~","~~"),"*","~*"),"?","~?"),'DEF_SELF_SCOUT_IMPORT'!$J$42:$J$1040,"")&gt;0,"Unscored clean outcome; review result tags before using score.",IF(C761=0,"No matching defensive reps; film confirmation needed.",IF(K761="Explosive Alert","Explosive risk; review clips before using as answer.",IF(C761&lt;=2,"Track only; not enough sample.",IF(C761=3,IF(E761&gt;0,"Sample watch with explosive exposure; review clips and build the sample.",IF(J761&gt;=65,"Good signal, but sample is limited.","Sample watch; review clips and build the sample.")),IF(K761="Problem Call","Problem area; practice or call-sheet review.",IF(K761="Strong Candidate","Strong call-fit candidate; confirm on film.",IF(K761="Good Candidate","Good call-fit signal; confirm on film.","Mixed signal; review fit and execution on film."))))))))</f>
        <v>Track only; not enough sample.</v>
      </c>
      <c r="M761" s="8" t="s">
        <v>107</v>
      </c>
      <c r="N761" s="8" t="s">
        <v>120</v>
      </c>
      <c r="O761" s="8" t="s">
        <v>203</v>
      </c>
      <c r="P761" s="8"/>
      <c r="Q761" s="8"/>
      <c r="R761" s="8" t="s">
        <v>28</v>
      </c>
      <c r="S761" s="2" t="s">
        <v>397</v>
      </c>
      <c r="T761" s="2">
        <f>IF(C761=0,0,IF(C761&gt;=CALL_LOOKUP_BOARD!$B$7,IF(OR(K761="Problem Call",K761="Explosive Alert"),10000000,20000000),0)+IF(C761&gt;=CALL_LOOKUP_BOARD!$B$7,J761*1000+MIN(C761,999),C761*1000+J761)+0.00982700)</f>
        <v>1097.009827</v>
      </c>
      <c r="U761" s="2">
        <f>IF(C761=0,"",IF(COUNTIFS($S$589:$S$803,SUBSTITUTE(SUBSTITUTE(SUBSTITUTE(S761,"~","~~"),"*","~*"),"?","~?"),$T$589:$T$803,"&gt;"&amp;T761)=0,S761,""))</f>
        <v/>
      </c>
    </row>
    <row r="762" spans="1:21" ht="38" customHeight="1">
      <c r="A762" s="8" t="s">
        <v>396</v>
      </c>
      <c r="B762" s="8" t="s">
        <v>91</v>
      </c>
      <c r="C762" s="12">
        <f>COUNTIFS('DEF_SELF_SCOUT_IMPORT'!$L$42:$L$1040,"Y",'DEF_SELF_SCOUT_IMPORT'!$E$42:$E$1040,SUBSTITUTE(SUBSTITUTE(SUBSTITUTE($B762,"~","~~"),"*","~*"),"?","~?"),'DEF_SELF_SCOUT_IMPORT'!$Q$42:$Q$1040,SUBSTITUTE(SUBSTITUTE(SUBSTITUTE($M762,"~","~~"),"*","~*"),"?","~?"),'DEF_SELF_SCOUT_IMPORT'!$F$42:$F$1040,SUBSTITUTE(SUBSTITUTE(SUBSTITUTE($N762,"~","~~"),"*","~*"),"?","~?"),'DEF_SELF_SCOUT_IMPORT'!$G$42:$G$1040,SUBSTITUTE(SUBSTITUTE(SUBSTITUTE($O762,"~","~~"),"*","~*"),"?","~?"))</f>
        <v>1</v>
      </c>
      <c r="D762" s="10">
        <f>IF($C762=0,"",SUMIFS('DEF_SELF_SCOUT_IMPORT'!$J$42:$J$1040,'DEF_SELF_SCOUT_IMPORT'!$L$42:$L$1040,"Y",'DEF_SELF_SCOUT_IMPORT'!$E$42:$E$1040,SUBSTITUTE(SUBSTITUTE(SUBSTITUTE($B762,"~","~~"),"*","~*"),"?","~?"),'DEF_SELF_SCOUT_IMPORT'!$Q$42:$Q$1040,SUBSTITUTE(SUBSTITUTE(SUBSTITUTE($M762,"~","~~"),"*","~*"),"?","~?"),'DEF_SELF_SCOUT_IMPORT'!$F$42:$F$1040,SUBSTITUTE(SUBSTITUTE(SUBSTITUTE($N762,"~","~~"),"*","~*"),"?","~?"),'DEF_SELF_SCOUT_IMPORT'!$G$42:$G$1040,SUBSTITUTE(SUBSTITUTE(SUBSTITUTE($O762,"~","~~"),"*","~*"),"?","~?"))/$C762)</f>
        <v>1.0</v>
      </c>
      <c r="E762" s="10">
        <f>IF($C762=0,"",SUMIFS('DEF_SELF_SCOUT_IMPORT'!$K$42:$K$1040,'DEF_SELF_SCOUT_IMPORT'!$L$42:$L$1040,"Y",'DEF_SELF_SCOUT_IMPORT'!$E$42:$E$1040,SUBSTITUTE(SUBSTITUTE(SUBSTITUTE($B762,"~","~~"),"*","~*"),"?","~?"),'DEF_SELF_SCOUT_IMPORT'!$Q$42:$Q$1040,SUBSTITUTE(SUBSTITUTE(SUBSTITUTE($M762,"~","~~"),"*","~*"),"?","~?"),'DEF_SELF_SCOUT_IMPORT'!$F$42:$F$1040,SUBSTITUTE(SUBSTITUTE(SUBSTITUTE($N762,"~","~~"),"*","~*"),"?","~?"),'DEF_SELF_SCOUT_IMPORT'!$G$42:$G$1040,SUBSTITUTE(SUBSTITUTE(SUBSTITUTE($O762,"~","~~"),"*","~*"),"?","~?"))/$C762)</f>
        <v>0.0</v>
      </c>
      <c r="F762" s="11">
        <f>IF($C762=0,"",AVERAGEIFS('DEF_SELF_SCOUT_IMPORT'!$I$42:$I$1040,'DEF_SELF_SCOUT_IMPORT'!$L$42:$L$1040,"Y",'DEF_SELF_SCOUT_IMPORT'!$E$42:$E$1040,SUBSTITUTE(SUBSTITUTE(SUBSTITUTE($B762,"~","~~"),"*","~*"),"?","~?"),'DEF_SELF_SCOUT_IMPORT'!$Q$42:$Q$1040,SUBSTITUTE(SUBSTITUTE(SUBSTITUTE($M762,"~","~~"),"*","~*"),"?","~?"),'DEF_SELF_SCOUT_IMPORT'!$F$42:$F$1040,SUBSTITUTE(SUBSTITUTE(SUBSTITUTE($N762,"~","~~"),"*","~*"),"?","~?"),'DEF_SELF_SCOUT_IMPORT'!$G$42:$G$1040,SUBSTITUTE(SUBSTITUTE(SUBSTITUTE($O762,"~","~~"),"*","~*"),"?","~?")))</f>
        <v>0.0</v>
      </c>
      <c r="G762" s="10">
        <f>IF($C762=0,"",COUNTIFS('DEF_SELF_SCOUT_IMPORT'!$L$42:$L$1040,"Y",'DEF_SELF_SCOUT_IMPORT'!$E$42:$E$1040,SUBSTITUTE(SUBSTITUTE(SUBSTITUTE($B762,"~","~~"),"*","~*"),"?","~?"),'DEF_SELF_SCOUT_IMPORT'!$Q$42:$Q$1040,SUBSTITUTE(SUBSTITUTE(SUBSTITUTE($M762,"~","~~"),"*","~*"),"?","~?"),'DEF_SELF_SCOUT_IMPORT'!$F$42:$F$1040,SUBSTITUTE(SUBSTITUTE(SUBSTITUTE($N762,"~","~~"),"*","~*"),"?","~?"),'DEF_SELF_SCOUT_IMPORT'!$G$42:$G$1040,SUBSTITUTE(SUBSTITUTE(SUBSTITUTE($O762,"~","~~"),"*","~*"),"?","~?"),'DEF_SELF_SCOUT_IMPORT'!$H$42:$H$1040,"RUSH")/$C762)</f>
        <v>0.0</v>
      </c>
      <c r="H762" s="10">
        <f>IF($C762=0,"",COUNTIFS('DEF_SELF_SCOUT_IMPORT'!$L$42:$L$1040,"Y",'DEF_SELF_SCOUT_IMPORT'!$E$42:$E$1040,SUBSTITUTE(SUBSTITUTE(SUBSTITUTE($B762,"~","~~"),"*","~*"),"?","~?"),'DEF_SELF_SCOUT_IMPORT'!$Q$42:$Q$1040,SUBSTITUTE(SUBSTITUTE(SUBSTITUTE($M762,"~","~~"),"*","~*"),"?","~?"),'DEF_SELF_SCOUT_IMPORT'!$F$42:$F$1040,SUBSTITUTE(SUBSTITUTE(SUBSTITUTE($N762,"~","~~"),"*","~*"),"?","~?"),'DEF_SELF_SCOUT_IMPORT'!$G$42:$G$1040,SUBSTITUTE(SUBSTITUTE(SUBSTITUTE($O762,"~","~~"),"*","~*"),"?","~?"),'DEF_SELF_SCOUT_IMPORT'!$H$42:$H$1040,"DROPBACK")/$C762)</f>
        <v>1.0</v>
      </c>
      <c r="I762" s="14" t="str">
        <f>IF(C762=0,"",IF(C762&lt;=2,"TRACK",IF(C762=3,"LOW",IF(C762&lt;=6,"MEDIUM","HIGH"))))</f>
        <v>TRACK</v>
      </c>
      <c r="J762" s="11">
        <f>IF(C762=0,"",ROUND(D762*70+(1-E762)*20+MAX(0,MIN(1,(10-F762)/10))*10,1))</f>
        <v>100.0</v>
      </c>
      <c r="K762" s="14" t="str">
        <f>IF(C762=0,"No Evidence",IF(C762&lt;=2,IF(E762&gt;0,"Explosive Alert","Track Only"),IF(C762=3,"Sample Watch",IF(E762&gt;=START_HERE!$B$31,"Explosive Alert",IF(J762&gt;=80,"Strong Candidate",IF(J762&gt;=65,"Good Candidate",IF(J762&gt;=50,"Mixed / Review","Problem Call")))))))</f>
        <v>Track Only</v>
      </c>
      <c r="L762" s="9" t="str">
        <f>IF(COUNTIFS('DEF_SELF_SCOUT_IMPORT'!$L$42:$L$1040,"Y",'DEF_SELF_SCOUT_IMPORT'!$E$42:$E$1040,SUBSTITUTE(SUBSTITUTE(SUBSTITUTE($B762,"~","~~"),"*","~*"),"?","~?"),'DEF_SELF_SCOUT_IMPORT'!$Q$42:$Q$1040,SUBSTITUTE(SUBSTITUTE(SUBSTITUTE($M762,"~","~~"),"*","~*"),"?","~?"),'DEF_SELF_SCOUT_IMPORT'!$F$42:$F$1040,SUBSTITUTE(SUBSTITUTE(SUBSTITUTE($N762,"~","~~"),"*","~*"),"?","~?"),'DEF_SELF_SCOUT_IMPORT'!$G$42:$G$1040,SUBSTITUTE(SUBSTITUTE(SUBSTITUTE($O762,"~","~~"),"*","~*"),"?","~?"),'DEF_SELF_SCOUT_IMPORT'!$J$42:$J$1040,"")&gt;0,"Unscored clean outcome; review result tags before using score.",IF(C762=0,"No matching defensive reps; film confirmation needed.",IF(K762="Explosive Alert","Explosive risk; review clips before using as answer.",IF(C762&lt;=2,"Track only; not enough sample.",IF(C762=3,IF(E762&gt;0,"Sample watch with explosive exposure; review clips and build the sample.",IF(J762&gt;=65,"Good signal, but sample is limited.","Sample watch; review clips and build the sample.")),IF(K762="Problem Call","Problem area; practice or call-sheet review.",IF(K762="Strong Candidate","Strong call-fit candidate; confirm on film.",IF(K762="Good Candidate","Good call-fit signal; confirm on film.","Mixed signal; review fit and execution on film."))))))))</f>
        <v>Track only; not enough sample.</v>
      </c>
      <c r="M762" s="8" t="s">
        <v>107</v>
      </c>
      <c r="N762" s="8" t="s">
        <v>120</v>
      </c>
      <c r="O762" s="8" t="s">
        <v>203</v>
      </c>
      <c r="P762" s="8"/>
      <c r="Q762" s="8"/>
      <c r="R762" s="8" t="s">
        <v>28</v>
      </c>
      <c r="S762" s="2" t="s">
        <v>397</v>
      </c>
      <c r="T762" s="2">
        <f>IF(C762=0,0,IF(C762&gt;=CALL_LOOKUP_BOARD!$B$7,IF(OR(K762="Problem Call",K762="Explosive Alert"),10000000,20000000),0)+IF(C762&gt;=CALL_LOOKUP_BOARD!$B$7,J762*1000+MIN(C762,999),C762*1000+J762)+0.00982600)</f>
        <v>1100.009826</v>
      </c>
      <c r="U762" s="2" t="str">
        <f>IF(C762=0,"",IF(COUNTIFS($S$589:$S$803,SUBSTITUTE(SUBSTITUTE(SUBSTITUTE(S762,"~","~~"),"*","~*"),"?","~?"),$T$589:$T$803,"&gt;"&amp;T762)=0,S762,""))</f>
        <v>7:3D 7-10|2:11|3:2X2|</v>
      </c>
    </row>
    <row r="763" spans="1:21" ht="38" customHeight="1">
      <c r="A763" s="8" t="s">
        <v>398</v>
      </c>
      <c r="B763" s="8" t="s">
        <v>99</v>
      </c>
      <c r="C763" s="12">
        <f>COUNTIFS('DEF_SELF_SCOUT_IMPORT'!$L$42:$L$1040,"Y",'DEF_SELF_SCOUT_IMPORT'!$E$42:$E$1040,SUBSTITUTE(SUBSTITUTE(SUBSTITUTE($B763,"~","~~"),"*","~*"),"?","~?"),'DEF_SELF_SCOUT_IMPORT'!$Q$42:$Q$1040,SUBSTITUTE(SUBSTITUTE(SUBSTITUTE($M763,"~","~~"),"*","~*"),"?","~?"),'DEF_SELF_SCOUT_IMPORT'!$F$42:$F$1040,SUBSTITUTE(SUBSTITUTE(SUBSTITUTE($N763,"~","~~"),"*","~*"),"?","~?"),'DEF_SELF_SCOUT_IMPORT'!$G$42:$G$1040,SUBSTITUTE(SUBSTITUTE(SUBSTITUTE($O763,"~","~~"),"*","~*"),"?","~?"))</f>
        <v>1</v>
      </c>
      <c r="D763" s="10">
        <f>IF($C763=0,"",SUMIFS('DEF_SELF_SCOUT_IMPORT'!$J$42:$J$1040,'DEF_SELF_SCOUT_IMPORT'!$L$42:$L$1040,"Y",'DEF_SELF_SCOUT_IMPORT'!$E$42:$E$1040,SUBSTITUTE(SUBSTITUTE(SUBSTITUTE($B763,"~","~~"),"*","~*"),"?","~?"),'DEF_SELF_SCOUT_IMPORT'!$Q$42:$Q$1040,SUBSTITUTE(SUBSTITUTE(SUBSTITUTE($M763,"~","~~"),"*","~*"),"?","~?"),'DEF_SELF_SCOUT_IMPORT'!$F$42:$F$1040,SUBSTITUTE(SUBSTITUTE(SUBSTITUTE($N763,"~","~~"),"*","~*"),"?","~?"),'DEF_SELF_SCOUT_IMPORT'!$G$42:$G$1040,SUBSTITUTE(SUBSTITUTE(SUBSTITUTE($O763,"~","~~"),"*","~*"),"?","~?"))/$C763)</f>
        <v>0.0</v>
      </c>
      <c r="E763" s="10">
        <f>IF($C763=0,"",SUMIFS('DEF_SELF_SCOUT_IMPORT'!$K$42:$K$1040,'DEF_SELF_SCOUT_IMPORT'!$L$42:$L$1040,"Y",'DEF_SELF_SCOUT_IMPORT'!$E$42:$E$1040,SUBSTITUTE(SUBSTITUTE(SUBSTITUTE($B763,"~","~~"),"*","~*"),"?","~?"),'DEF_SELF_SCOUT_IMPORT'!$Q$42:$Q$1040,SUBSTITUTE(SUBSTITUTE(SUBSTITUTE($M763,"~","~~"),"*","~*"),"?","~?"),'DEF_SELF_SCOUT_IMPORT'!$F$42:$F$1040,SUBSTITUTE(SUBSTITUTE(SUBSTITUTE($N763,"~","~~"),"*","~*"),"?","~?"),'DEF_SELF_SCOUT_IMPORT'!$G$42:$G$1040,SUBSTITUTE(SUBSTITUTE(SUBSTITUTE($O763,"~","~~"),"*","~*"),"?","~?"))/$C763)</f>
        <v>0.0</v>
      </c>
      <c r="F763" s="11">
        <f>IF($C763=0,"",AVERAGEIFS('DEF_SELF_SCOUT_IMPORT'!$I$42:$I$1040,'DEF_SELF_SCOUT_IMPORT'!$L$42:$L$1040,"Y",'DEF_SELF_SCOUT_IMPORT'!$E$42:$E$1040,SUBSTITUTE(SUBSTITUTE(SUBSTITUTE($B763,"~","~~"),"*","~*"),"?","~?"),'DEF_SELF_SCOUT_IMPORT'!$Q$42:$Q$1040,SUBSTITUTE(SUBSTITUTE(SUBSTITUTE($M763,"~","~~"),"*","~*"),"?","~?"),'DEF_SELF_SCOUT_IMPORT'!$F$42:$F$1040,SUBSTITUTE(SUBSTITUTE(SUBSTITUTE($N763,"~","~~"),"*","~*"),"?","~?"),'DEF_SELF_SCOUT_IMPORT'!$G$42:$G$1040,SUBSTITUTE(SUBSTITUTE(SUBSTITUTE($O763,"~","~~"),"*","~*"),"?","~?")))</f>
        <v>12.0</v>
      </c>
      <c r="G763" s="10">
        <f>IF($C763=0,"",COUNTIFS('DEF_SELF_SCOUT_IMPORT'!$L$42:$L$1040,"Y",'DEF_SELF_SCOUT_IMPORT'!$E$42:$E$1040,SUBSTITUTE(SUBSTITUTE(SUBSTITUTE($B763,"~","~~"),"*","~*"),"?","~?"),'DEF_SELF_SCOUT_IMPORT'!$Q$42:$Q$1040,SUBSTITUTE(SUBSTITUTE(SUBSTITUTE($M763,"~","~~"),"*","~*"),"?","~?"),'DEF_SELF_SCOUT_IMPORT'!$F$42:$F$1040,SUBSTITUTE(SUBSTITUTE(SUBSTITUTE($N763,"~","~~"),"*","~*"),"?","~?"),'DEF_SELF_SCOUT_IMPORT'!$G$42:$G$1040,SUBSTITUTE(SUBSTITUTE(SUBSTITUTE($O763,"~","~~"),"*","~*"),"?","~?"),'DEF_SELF_SCOUT_IMPORT'!$H$42:$H$1040,"RUSH")/$C763)</f>
        <v>0.0</v>
      </c>
      <c r="H763" s="10">
        <f>IF($C763=0,"",COUNTIFS('DEF_SELF_SCOUT_IMPORT'!$L$42:$L$1040,"Y",'DEF_SELF_SCOUT_IMPORT'!$E$42:$E$1040,SUBSTITUTE(SUBSTITUTE(SUBSTITUTE($B763,"~","~~"),"*","~*"),"?","~?"),'DEF_SELF_SCOUT_IMPORT'!$Q$42:$Q$1040,SUBSTITUTE(SUBSTITUTE(SUBSTITUTE($M763,"~","~~"),"*","~*"),"?","~?"),'DEF_SELF_SCOUT_IMPORT'!$F$42:$F$1040,SUBSTITUTE(SUBSTITUTE(SUBSTITUTE($N763,"~","~~"),"*","~*"),"?","~?"),'DEF_SELF_SCOUT_IMPORT'!$G$42:$G$1040,SUBSTITUTE(SUBSTITUTE(SUBSTITUTE($O763,"~","~~"),"*","~*"),"?","~?"),'DEF_SELF_SCOUT_IMPORT'!$H$42:$H$1040,"DROPBACK")/$C763)</f>
        <v>1.0</v>
      </c>
      <c r="I763" s="14" t="str">
        <f>IF(C763=0,"",IF(C763&lt;=2,"TRACK",IF(C763=3,"LOW",IF(C763&lt;=6,"MEDIUM","HIGH"))))</f>
        <v>TRACK</v>
      </c>
      <c r="J763" s="11">
        <f>IF(C763=0,"",ROUND(D763*70+(1-E763)*20+MAX(0,MIN(1,(10-F763)/10))*10,1))</f>
        <v>20.0</v>
      </c>
      <c r="K763" s="14" t="str">
        <f>IF(C763=0,"No Evidence",IF(C763&lt;=2,IF(E763&gt;0,"Explosive Alert","Track Only"),IF(C763=3,"Sample Watch",IF(E763&gt;=START_HERE!$B$31,"Explosive Alert",IF(J763&gt;=80,"Strong Candidate",IF(J763&gt;=65,"Good Candidate",IF(J763&gt;=50,"Mixed / Review","Problem Call")))))))</f>
        <v>Track Only</v>
      </c>
      <c r="L763" s="9" t="str">
        <f>IF(COUNTIFS('DEF_SELF_SCOUT_IMPORT'!$L$42:$L$1040,"Y",'DEF_SELF_SCOUT_IMPORT'!$E$42:$E$1040,SUBSTITUTE(SUBSTITUTE(SUBSTITUTE($B763,"~","~~"),"*","~*"),"?","~?"),'DEF_SELF_SCOUT_IMPORT'!$Q$42:$Q$1040,SUBSTITUTE(SUBSTITUTE(SUBSTITUTE($M763,"~","~~"),"*","~*"),"?","~?"),'DEF_SELF_SCOUT_IMPORT'!$F$42:$F$1040,SUBSTITUTE(SUBSTITUTE(SUBSTITUTE($N763,"~","~~"),"*","~*"),"?","~?"),'DEF_SELF_SCOUT_IMPORT'!$G$42:$G$1040,SUBSTITUTE(SUBSTITUTE(SUBSTITUTE($O763,"~","~~"),"*","~*"),"?","~?"),'DEF_SELF_SCOUT_IMPORT'!$J$42:$J$1040,"")&gt;0,"Unscored clean outcome; review result tags before using score.",IF(C763=0,"No matching defensive reps; film confirmation needed.",IF(K763="Explosive Alert","Explosive risk; review clips before using as answer.",IF(C763&lt;=2,"Track only; not enough sample.",IF(C763=3,IF(E763&gt;0,"Sample watch with explosive exposure; review clips and build the sample.",IF(J763&gt;=65,"Good signal, but sample is limited.","Sample watch; review clips and build the sample.")),IF(K763="Problem Call","Problem area; practice or call-sheet review.",IF(K763="Strong Candidate","Strong call-fit candidate; confirm on film.",IF(K763="Good Candidate","Good call-fit signal; confirm on film.","Mixed signal; review fit and execution on film."))))))))</f>
        <v>Track only; not enough sample.</v>
      </c>
      <c r="M763" s="8" t="s">
        <v>107</v>
      </c>
      <c r="N763" s="8" t="s">
        <v>120</v>
      </c>
      <c r="O763" s="8" t="s">
        <v>206</v>
      </c>
      <c r="P763" s="8"/>
      <c r="Q763" s="8"/>
      <c r="R763" s="8" t="s">
        <v>28</v>
      </c>
      <c r="S763" s="2" t="s">
        <v>399</v>
      </c>
      <c r="T763" s="2">
        <f>IF(C763=0,0,IF(C763&gt;=CALL_LOOKUP_BOARD!$B$7,IF(OR(K763="Problem Call",K763="Explosive Alert"),10000000,20000000),0)+IF(C763&gt;=CALL_LOOKUP_BOARD!$B$7,J763*1000+MIN(C763,999),C763*1000+J763)+0.00982500)</f>
        <v>1020.009825</v>
      </c>
      <c r="U763" s="2" t="str">
        <f>IF(C763=0,"",IF(COUNTIFS($S$589:$S$803,SUBSTITUTE(SUBSTITUTE(SUBSTITUTE(S763,"~","~~"),"*","~*"),"?","~?"),$T$589:$T$803,"&gt;"&amp;T763)=0,S763,""))</f>
        <v>7:3D 7-10|2:11|3:3X1|</v>
      </c>
    </row>
    <row r="764" spans="1:21" ht="38" customHeight="1">
      <c r="A764" s="8" t="s">
        <v>398</v>
      </c>
      <c r="B764" s="8" t="s">
        <v>110</v>
      </c>
      <c r="C764" s="12">
        <f>COUNTIFS('DEF_SELF_SCOUT_IMPORT'!$L$42:$L$1040,"Y",'DEF_SELF_SCOUT_IMPORT'!$E$42:$E$1040,SUBSTITUTE(SUBSTITUTE(SUBSTITUTE($B764,"~","~~"),"*","~*"),"?","~?"),'DEF_SELF_SCOUT_IMPORT'!$Q$42:$Q$1040,SUBSTITUTE(SUBSTITUTE(SUBSTITUTE($M764,"~","~~"),"*","~*"),"?","~?"),'DEF_SELF_SCOUT_IMPORT'!$F$42:$F$1040,SUBSTITUTE(SUBSTITUTE(SUBSTITUTE($N764,"~","~~"),"*","~*"),"?","~?"),'DEF_SELF_SCOUT_IMPORT'!$G$42:$G$1040,SUBSTITUTE(SUBSTITUTE(SUBSTITUTE($O764,"~","~~"),"*","~*"),"?","~?"))</f>
        <v>1</v>
      </c>
      <c r="D764" s="10">
        <f>IF($C764=0,"",SUMIFS('DEF_SELF_SCOUT_IMPORT'!$J$42:$J$1040,'DEF_SELF_SCOUT_IMPORT'!$L$42:$L$1040,"Y",'DEF_SELF_SCOUT_IMPORT'!$E$42:$E$1040,SUBSTITUTE(SUBSTITUTE(SUBSTITUTE($B764,"~","~~"),"*","~*"),"?","~?"),'DEF_SELF_SCOUT_IMPORT'!$Q$42:$Q$1040,SUBSTITUTE(SUBSTITUTE(SUBSTITUTE($M764,"~","~~"),"*","~*"),"?","~?"),'DEF_SELF_SCOUT_IMPORT'!$F$42:$F$1040,SUBSTITUTE(SUBSTITUTE(SUBSTITUTE($N764,"~","~~"),"*","~*"),"?","~?"),'DEF_SELF_SCOUT_IMPORT'!$G$42:$G$1040,SUBSTITUTE(SUBSTITUTE(SUBSTITUTE($O764,"~","~~"),"*","~*"),"?","~?"))/$C764)</f>
        <v>0.0</v>
      </c>
      <c r="E764" s="10">
        <f>IF($C764=0,"",SUMIFS('DEF_SELF_SCOUT_IMPORT'!$K$42:$K$1040,'DEF_SELF_SCOUT_IMPORT'!$L$42:$L$1040,"Y",'DEF_SELF_SCOUT_IMPORT'!$E$42:$E$1040,SUBSTITUTE(SUBSTITUTE(SUBSTITUTE($B764,"~","~~"),"*","~*"),"?","~?"),'DEF_SELF_SCOUT_IMPORT'!$Q$42:$Q$1040,SUBSTITUTE(SUBSTITUTE(SUBSTITUTE($M764,"~","~~"),"*","~*"),"?","~?"),'DEF_SELF_SCOUT_IMPORT'!$F$42:$F$1040,SUBSTITUTE(SUBSTITUTE(SUBSTITUTE($N764,"~","~~"),"*","~*"),"?","~?"),'DEF_SELF_SCOUT_IMPORT'!$G$42:$G$1040,SUBSTITUTE(SUBSTITUTE(SUBSTITUTE($O764,"~","~~"),"*","~*"),"?","~?"))/$C764)</f>
        <v>1.0</v>
      </c>
      <c r="F764" s="11">
        <f>IF($C764=0,"",AVERAGEIFS('DEF_SELF_SCOUT_IMPORT'!$I$42:$I$1040,'DEF_SELF_SCOUT_IMPORT'!$L$42:$L$1040,"Y",'DEF_SELF_SCOUT_IMPORT'!$E$42:$E$1040,SUBSTITUTE(SUBSTITUTE(SUBSTITUTE($B764,"~","~~"),"*","~*"),"?","~?"),'DEF_SELF_SCOUT_IMPORT'!$Q$42:$Q$1040,SUBSTITUTE(SUBSTITUTE(SUBSTITUTE($M764,"~","~~"),"*","~*"),"?","~?"),'DEF_SELF_SCOUT_IMPORT'!$F$42:$F$1040,SUBSTITUTE(SUBSTITUTE(SUBSTITUTE($N764,"~","~~"),"*","~*"),"?","~?"),'DEF_SELF_SCOUT_IMPORT'!$G$42:$G$1040,SUBSTITUTE(SUBSTITUTE(SUBSTITUTE($O764,"~","~~"),"*","~*"),"?","~?")))</f>
        <v>19.0</v>
      </c>
      <c r="G764" s="10">
        <f>IF($C764=0,"",COUNTIFS('DEF_SELF_SCOUT_IMPORT'!$L$42:$L$1040,"Y",'DEF_SELF_SCOUT_IMPORT'!$E$42:$E$1040,SUBSTITUTE(SUBSTITUTE(SUBSTITUTE($B764,"~","~~"),"*","~*"),"?","~?"),'DEF_SELF_SCOUT_IMPORT'!$Q$42:$Q$1040,SUBSTITUTE(SUBSTITUTE(SUBSTITUTE($M764,"~","~~"),"*","~*"),"?","~?"),'DEF_SELF_SCOUT_IMPORT'!$F$42:$F$1040,SUBSTITUTE(SUBSTITUTE(SUBSTITUTE($N764,"~","~~"),"*","~*"),"?","~?"),'DEF_SELF_SCOUT_IMPORT'!$G$42:$G$1040,SUBSTITUTE(SUBSTITUTE(SUBSTITUTE($O764,"~","~~"),"*","~*"),"?","~?"),'DEF_SELF_SCOUT_IMPORT'!$H$42:$H$1040,"RUSH")/$C764)</f>
        <v>0.0</v>
      </c>
      <c r="H764" s="10">
        <f>IF($C764=0,"",COUNTIFS('DEF_SELF_SCOUT_IMPORT'!$L$42:$L$1040,"Y",'DEF_SELF_SCOUT_IMPORT'!$E$42:$E$1040,SUBSTITUTE(SUBSTITUTE(SUBSTITUTE($B764,"~","~~"),"*","~*"),"?","~?"),'DEF_SELF_SCOUT_IMPORT'!$Q$42:$Q$1040,SUBSTITUTE(SUBSTITUTE(SUBSTITUTE($M764,"~","~~"),"*","~*"),"?","~?"),'DEF_SELF_SCOUT_IMPORT'!$F$42:$F$1040,SUBSTITUTE(SUBSTITUTE(SUBSTITUTE($N764,"~","~~"),"*","~*"),"?","~?"),'DEF_SELF_SCOUT_IMPORT'!$G$42:$G$1040,SUBSTITUTE(SUBSTITUTE(SUBSTITUTE($O764,"~","~~"),"*","~*"),"?","~?"),'DEF_SELF_SCOUT_IMPORT'!$H$42:$H$1040,"DROPBACK")/$C764)</f>
        <v>1.0</v>
      </c>
      <c r="I764" s="14" t="str">
        <f>IF(C764=0,"",IF(C764&lt;=2,"TRACK",IF(C764=3,"LOW",IF(C764&lt;=6,"MEDIUM","HIGH"))))</f>
        <v>TRACK</v>
      </c>
      <c r="J764" s="11">
        <f>IF(C764=0,"",ROUND(D764*70+(1-E764)*20+MAX(0,MIN(1,(10-F764)/10))*10,1))</f>
        <v>0.0</v>
      </c>
      <c r="K764" s="14" t="str">
        <f>IF(C764=0,"No Evidence",IF(C764&lt;=2,IF(E764&gt;0,"Explosive Alert","Track Only"),IF(C764=3,"Sample Watch",IF(E764&gt;=START_HERE!$B$31,"Explosive Alert",IF(J764&gt;=80,"Strong Candidate",IF(J764&gt;=65,"Good Candidate",IF(J764&gt;=50,"Mixed / Review","Problem Call")))))))</f>
        <v>Explosive Alert</v>
      </c>
      <c r="L764" s="9" t="str">
        <f>IF(COUNTIFS('DEF_SELF_SCOUT_IMPORT'!$L$42:$L$1040,"Y",'DEF_SELF_SCOUT_IMPORT'!$E$42:$E$1040,SUBSTITUTE(SUBSTITUTE(SUBSTITUTE($B764,"~","~~"),"*","~*"),"?","~?"),'DEF_SELF_SCOUT_IMPORT'!$Q$42:$Q$1040,SUBSTITUTE(SUBSTITUTE(SUBSTITUTE($M764,"~","~~"),"*","~*"),"?","~?"),'DEF_SELF_SCOUT_IMPORT'!$F$42:$F$1040,SUBSTITUTE(SUBSTITUTE(SUBSTITUTE($N764,"~","~~"),"*","~*"),"?","~?"),'DEF_SELF_SCOUT_IMPORT'!$G$42:$G$1040,SUBSTITUTE(SUBSTITUTE(SUBSTITUTE($O764,"~","~~"),"*","~*"),"?","~?"),'DEF_SELF_SCOUT_IMPORT'!$J$42:$J$1040,"")&gt;0,"Unscored clean outcome; review result tags before using score.",IF(C764=0,"No matching defensive reps; film confirmation needed.",IF(K764="Explosive Alert","Explosive risk; review clips before using as answer.",IF(C764&lt;=2,"Track only; not enough sample.",IF(C764=3,IF(E764&gt;0,"Sample watch with explosive exposure; review clips and build the sample.",IF(J764&gt;=65,"Good signal, but sample is limited.","Sample watch; review clips and build the sample.")),IF(K764="Problem Call","Problem area; practice or call-sheet review.",IF(K764="Strong Candidate","Strong call-fit candidate; confirm on film.",IF(K764="Good Candidate","Good call-fit signal; confirm on film.","Mixed signal; review fit and execution on film."))))))))</f>
        <v>Explosive risk; review clips before using as answer.</v>
      </c>
      <c r="M764" s="8" t="s">
        <v>107</v>
      </c>
      <c r="N764" s="8" t="s">
        <v>120</v>
      </c>
      <c r="O764" s="8" t="s">
        <v>206</v>
      </c>
      <c r="P764" s="8"/>
      <c r="Q764" s="8"/>
      <c r="R764" s="8" t="s">
        <v>28</v>
      </c>
      <c r="S764" s="2" t="s">
        <v>399</v>
      </c>
      <c r="T764" s="2">
        <f>IF(C764=0,0,IF(C764&gt;=CALL_LOOKUP_BOARD!$B$7,IF(OR(K764="Problem Call",K764="Explosive Alert"),10000000,20000000),0)+IF(C764&gt;=CALL_LOOKUP_BOARD!$B$7,J764*1000+MIN(C764,999),C764*1000+J764)+0.00982400)</f>
        <v>1000.009824</v>
      </c>
      <c r="U764" s="2">
        <f>IF(C764=0,"",IF(COUNTIFS($S$589:$S$803,SUBSTITUTE(SUBSTITUTE(SUBSTITUTE(S764,"~","~~"),"*","~*"),"?","~?"),$T$589:$T$803,"&gt;"&amp;T764)=0,S764,""))</f>
        <v/>
      </c>
    </row>
    <row r="765" spans="1:21" ht="38" customHeight="1">
      <c r="A765" s="8" t="s">
        <v>400</v>
      </c>
      <c r="B765" s="8" t="s">
        <v>42</v>
      </c>
      <c r="C765" s="12">
        <f>COUNTIFS('DEF_SELF_SCOUT_IMPORT'!$L$42:$L$1040,"Y",'DEF_SELF_SCOUT_IMPORT'!$E$42:$E$1040,SUBSTITUTE(SUBSTITUTE(SUBSTITUTE($B765,"~","~~"),"*","~*"),"?","~?"),'DEF_SELF_SCOUT_IMPORT'!$Q$42:$Q$1040,SUBSTITUTE(SUBSTITUTE(SUBSTITUTE($M765,"~","~~"),"*","~*"),"?","~?"),'DEF_SELF_SCOUT_IMPORT'!$F$42:$F$1040,SUBSTITUTE(SUBSTITUTE(SUBSTITUTE($N765,"~","~~"),"*","~*"),"?","~?"),'DEF_SELF_SCOUT_IMPORT'!$G$42:$G$1040,SUBSTITUTE(SUBSTITUTE(SUBSTITUTE($O765,"~","~~"),"*","~*"),"?","~?"))</f>
        <v>1</v>
      </c>
      <c r="D765" s="10">
        <f>IF($C765=0,"",SUMIFS('DEF_SELF_SCOUT_IMPORT'!$J$42:$J$1040,'DEF_SELF_SCOUT_IMPORT'!$L$42:$L$1040,"Y",'DEF_SELF_SCOUT_IMPORT'!$E$42:$E$1040,SUBSTITUTE(SUBSTITUTE(SUBSTITUTE($B765,"~","~~"),"*","~*"),"?","~?"),'DEF_SELF_SCOUT_IMPORT'!$Q$42:$Q$1040,SUBSTITUTE(SUBSTITUTE(SUBSTITUTE($M765,"~","~~"),"*","~*"),"?","~?"),'DEF_SELF_SCOUT_IMPORT'!$F$42:$F$1040,SUBSTITUTE(SUBSTITUTE(SUBSTITUTE($N765,"~","~~"),"*","~*"),"?","~?"),'DEF_SELF_SCOUT_IMPORT'!$G$42:$G$1040,SUBSTITUTE(SUBSTITUTE(SUBSTITUTE($O765,"~","~~"),"*","~*"),"?","~?"))/$C765)</f>
        <v>0.0</v>
      </c>
      <c r="E765" s="10">
        <f>IF($C765=0,"",SUMIFS('DEF_SELF_SCOUT_IMPORT'!$K$42:$K$1040,'DEF_SELF_SCOUT_IMPORT'!$L$42:$L$1040,"Y",'DEF_SELF_SCOUT_IMPORT'!$E$42:$E$1040,SUBSTITUTE(SUBSTITUTE(SUBSTITUTE($B765,"~","~~"),"*","~*"),"?","~?"),'DEF_SELF_SCOUT_IMPORT'!$Q$42:$Q$1040,SUBSTITUTE(SUBSTITUTE(SUBSTITUTE($M765,"~","~~"),"*","~*"),"?","~?"),'DEF_SELF_SCOUT_IMPORT'!$F$42:$F$1040,SUBSTITUTE(SUBSTITUTE(SUBSTITUTE($N765,"~","~~"),"*","~*"),"?","~?"),'DEF_SELF_SCOUT_IMPORT'!$G$42:$G$1040,SUBSTITUTE(SUBSTITUTE(SUBSTITUTE($O765,"~","~~"),"*","~*"),"?","~?"))/$C765)</f>
        <v>0.0</v>
      </c>
      <c r="F765" s="11">
        <f>IF($C765=0,"",AVERAGEIFS('DEF_SELF_SCOUT_IMPORT'!$I$42:$I$1040,'DEF_SELF_SCOUT_IMPORT'!$L$42:$L$1040,"Y",'DEF_SELF_SCOUT_IMPORT'!$E$42:$E$1040,SUBSTITUTE(SUBSTITUTE(SUBSTITUTE($B765,"~","~~"),"*","~*"),"?","~?"),'DEF_SELF_SCOUT_IMPORT'!$Q$42:$Q$1040,SUBSTITUTE(SUBSTITUTE(SUBSTITUTE($M765,"~","~~"),"*","~*"),"?","~?"),'DEF_SELF_SCOUT_IMPORT'!$F$42:$F$1040,SUBSTITUTE(SUBSTITUTE(SUBSTITUTE($N765,"~","~~"),"*","~*"),"?","~?"),'DEF_SELF_SCOUT_IMPORT'!$G$42:$G$1040,SUBSTITUTE(SUBSTITUTE(SUBSTITUTE($O765,"~","~~"),"*","~*"),"?","~?")))</f>
        <v>8.0</v>
      </c>
      <c r="G765" s="10">
        <f>IF($C765=0,"",COUNTIFS('DEF_SELF_SCOUT_IMPORT'!$L$42:$L$1040,"Y",'DEF_SELF_SCOUT_IMPORT'!$E$42:$E$1040,SUBSTITUTE(SUBSTITUTE(SUBSTITUTE($B765,"~","~~"),"*","~*"),"?","~?"),'DEF_SELF_SCOUT_IMPORT'!$Q$42:$Q$1040,SUBSTITUTE(SUBSTITUTE(SUBSTITUTE($M765,"~","~~"),"*","~*"),"?","~?"),'DEF_SELF_SCOUT_IMPORT'!$F$42:$F$1040,SUBSTITUTE(SUBSTITUTE(SUBSTITUTE($N765,"~","~~"),"*","~*"),"?","~?"),'DEF_SELF_SCOUT_IMPORT'!$G$42:$G$1040,SUBSTITUTE(SUBSTITUTE(SUBSTITUTE($O765,"~","~~"),"*","~*"),"?","~?"),'DEF_SELF_SCOUT_IMPORT'!$H$42:$H$1040,"RUSH")/$C765)</f>
        <v>0.0</v>
      </c>
      <c r="H765" s="10">
        <f>IF($C765=0,"",COUNTIFS('DEF_SELF_SCOUT_IMPORT'!$L$42:$L$1040,"Y",'DEF_SELF_SCOUT_IMPORT'!$E$42:$E$1040,SUBSTITUTE(SUBSTITUTE(SUBSTITUTE($B765,"~","~~"),"*","~*"),"?","~?"),'DEF_SELF_SCOUT_IMPORT'!$Q$42:$Q$1040,SUBSTITUTE(SUBSTITUTE(SUBSTITUTE($M765,"~","~~"),"*","~*"),"?","~?"),'DEF_SELF_SCOUT_IMPORT'!$F$42:$F$1040,SUBSTITUTE(SUBSTITUTE(SUBSTITUTE($N765,"~","~~"),"*","~*"),"?","~?"),'DEF_SELF_SCOUT_IMPORT'!$G$42:$G$1040,SUBSTITUTE(SUBSTITUTE(SUBSTITUTE($O765,"~","~~"),"*","~*"),"?","~?"),'DEF_SELF_SCOUT_IMPORT'!$H$42:$H$1040,"DROPBACK")/$C765)</f>
        <v>1.0</v>
      </c>
      <c r="I765" s="14" t="str">
        <f>IF(C765=0,"",IF(C765&lt;=2,"TRACK",IF(C765=3,"LOW",IF(C765&lt;=6,"MEDIUM","HIGH"))))</f>
        <v>TRACK</v>
      </c>
      <c r="J765" s="11">
        <f>IF(C765=0,"",ROUND(D765*70+(1-E765)*20+MAX(0,MIN(1,(10-F765)/10))*10,1))</f>
        <v>22.0</v>
      </c>
      <c r="K765" s="14" t="str">
        <f>IF(C765=0,"No Evidence",IF(C765&lt;=2,IF(E765&gt;0,"Explosive Alert","Track Only"),IF(C765=3,"Sample Watch",IF(E765&gt;=START_HERE!$B$31,"Explosive Alert",IF(J765&gt;=80,"Strong Candidate",IF(J765&gt;=65,"Good Candidate",IF(J765&gt;=50,"Mixed / Review","Problem Call")))))))</f>
        <v>Track Only</v>
      </c>
      <c r="L765" s="9" t="str">
        <f>IF(COUNTIFS('DEF_SELF_SCOUT_IMPORT'!$L$42:$L$1040,"Y",'DEF_SELF_SCOUT_IMPORT'!$E$42:$E$1040,SUBSTITUTE(SUBSTITUTE(SUBSTITUTE($B765,"~","~~"),"*","~*"),"?","~?"),'DEF_SELF_SCOUT_IMPORT'!$Q$42:$Q$1040,SUBSTITUTE(SUBSTITUTE(SUBSTITUTE($M765,"~","~~"),"*","~*"),"?","~?"),'DEF_SELF_SCOUT_IMPORT'!$F$42:$F$1040,SUBSTITUTE(SUBSTITUTE(SUBSTITUTE($N765,"~","~~"),"*","~*"),"?","~?"),'DEF_SELF_SCOUT_IMPORT'!$G$42:$G$1040,SUBSTITUTE(SUBSTITUTE(SUBSTITUTE($O765,"~","~~"),"*","~*"),"?","~?"),'DEF_SELF_SCOUT_IMPORT'!$J$42:$J$1040,"")&gt;0,"Unscored clean outcome; review result tags before using score.",IF(C765=0,"No matching defensive reps; film confirmation needed.",IF(K765="Explosive Alert","Explosive risk; review clips before using as answer.",IF(C765&lt;=2,"Track only; not enough sample.",IF(C765=3,IF(E765&gt;0,"Sample watch with explosive exposure; review clips and build the sample.",IF(J765&gt;=65,"Good signal, but sample is limited.","Sample watch; review clips and build the sample.")),IF(K765="Problem Call","Problem area; practice or call-sheet review.",IF(K765="Strong Candidate","Strong call-fit candidate; confirm on film.",IF(K765="Good Candidate","Good call-fit signal; confirm on film.","Mixed signal; review fit and execution on film."))))))))</f>
        <v>Track only; not enough sample.</v>
      </c>
      <c r="M765" s="8" t="s">
        <v>107</v>
      </c>
      <c r="N765" s="8" t="s">
        <v>120</v>
      </c>
      <c r="O765" s="8" t="s">
        <v>222</v>
      </c>
      <c r="P765" s="8"/>
      <c r="Q765" s="8"/>
      <c r="R765" s="8" t="s">
        <v>28</v>
      </c>
      <c r="S765" s="2" t="s">
        <v>401</v>
      </c>
      <c r="T765" s="2">
        <f>IF(C765=0,0,IF(C765&gt;=CALL_LOOKUP_BOARD!$B$7,IF(OR(K765="Problem Call",K765="Explosive Alert"),10000000,20000000),0)+IF(C765&gt;=CALL_LOOKUP_BOARD!$B$7,J765*1000+MIN(C765,999),C765*1000+J765)+0.00982300)</f>
        <v>1022.009823</v>
      </c>
      <c r="U765" s="2">
        <f>IF(C765=0,"",IF(COUNTIFS($S$589:$S$803,SUBSTITUTE(SUBSTITUTE(SUBSTITUTE(S765,"~","~~"),"*","~*"),"?","~?"),$T$589:$T$803,"&gt;"&amp;T765)=0,S765,""))</f>
        <v/>
      </c>
    </row>
    <row r="766" spans="1:21" ht="38" customHeight="1">
      <c r="A766" s="8" t="s">
        <v>400</v>
      </c>
      <c r="B766" s="8" t="s">
        <v>97</v>
      </c>
      <c r="C766" s="12">
        <f>COUNTIFS('DEF_SELF_SCOUT_IMPORT'!$L$42:$L$1040,"Y",'DEF_SELF_SCOUT_IMPORT'!$E$42:$E$1040,SUBSTITUTE(SUBSTITUTE(SUBSTITUTE($B766,"~","~~"),"*","~*"),"?","~?"),'DEF_SELF_SCOUT_IMPORT'!$Q$42:$Q$1040,SUBSTITUTE(SUBSTITUTE(SUBSTITUTE($M766,"~","~~"),"*","~*"),"?","~?"),'DEF_SELF_SCOUT_IMPORT'!$F$42:$F$1040,SUBSTITUTE(SUBSTITUTE(SUBSTITUTE($N766,"~","~~"),"*","~*"),"?","~?"),'DEF_SELF_SCOUT_IMPORT'!$G$42:$G$1040,SUBSTITUTE(SUBSTITUTE(SUBSTITUTE($O766,"~","~~"),"*","~*"),"?","~?"))</f>
        <v>1</v>
      </c>
      <c r="D766" s="10">
        <f>IF($C766=0,"",SUMIFS('DEF_SELF_SCOUT_IMPORT'!$J$42:$J$1040,'DEF_SELF_SCOUT_IMPORT'!$L$42:$L$1040,"Y",'DEF_SELF_SCOUT_IMPORT'!$E$42:$E$1040,SUBSTITUTE(SUBSTITUTE(SUBSTITUTE($B766,"~","~~"),"*","~*"),"?","~?"),'DEF_SELF_SCOUT_IMPORT'!$Q$42:$Q$1040,SUBSTITUTE(SUBSTITUTE(SUBSTITUTE($M766,"~","~~"),"*","~*"),"?","~?"),'DEF_SELF_SCOUT_IMPORT'!$F$42:$F$1040,SUBSTITUTE(SUBSTITUTE(SUBSTITUTE($N766,"~","~~"),"*","~*"),"?","~?"),'DEF_SELF_SCOUT_IMPORT'!$G$42:$G$1040,SUBSTITUTE(SUBSTITUTE(SUBSTITUTE($O766,"~","~~"),"*","~*"),"?","~?"))/$C766)</f>
        <v>0.0</v>
      </c>
      <c r="E766" s="10">
        <f>IF($C766=0,"",SUMIFS('DEF_SELF_SCOUT_IMPORT'!$K$42:$K$1040,'DEF_SELF_SCOUT_IMPORT'!$L$42:$L$1040,"Y",'DEF_SELF_SCOUT_IMPORT'!$E$42:$E$1040,SUBSTITUTE(SUBSTITUTE(SUBSTITUTE($B766,"~","~~"),"*","~*"),"?","~?"),'DEF_SELF_SCOUT_IMPORT'!$Q$42:$Q$1040,SUBSTITUTE(SUBSTITUTE(SUBSTITUTE($M766,"~","~~"),"*","~*"),"?","~?"),'DEF_SELF_SCOUT_IMPORT'!$F$42:$F$1040,SUBSTITUTE(SUBSTITUTE(SUBSTITUTE($N766,"~","~~"),"*","~*"),"?","~?"),'DEF_SELF_SCOUT_IMPORT'!$G$42:$G$1040,SUBSTITUTE(SUBSTITUTE(SUBSTITUTE($O766,"~","~~"),"*","~*"),"?","~?"))/$C766)</f>
        <v>1.0</v>
      </c>
      <c r="F766" s="11">
        <f>IF($C766=0,"",AVERAGEIFS('DEF_SELF_SCOUT_IMPORT'!$I$42:$I$1040,'DEF_SELF_SCOUT_IMPORT'!$L$42:$L$1040,"Y",'DEF_SELF_SCOUT_IMPORT'!$E$42:$E$1040,SUBSTITUTE(SUBSTITUTE(SUBSTITUTE($B766,"~","~~"),"*","~*"),"?","~?"),'DEF_SELF_SCOUT_IMPORT'!$Q$42:$Q$1040,SUBSTITUTE(SUBSTITUTE(SUBSTITUTE($M766,"~","~~"),"*","~*"),"?","~?"),'DEF_SELF_SCOUT_IMPORT'!$F$42:$F$1040,SUBSTITUTE(SUBSTITUTE(SUBSTITUTE($N766,"~","~~"),"*","~*"),"?","~?"),'DEF_SELF_SCOUT_IMPORT'!$G$42:$G$1040,SUBSTITUTE(SUBSTITUTE(SUBSTITUTE($O766,"~","~~"),"*","~*"),"?","~?")))</f>
        <v>26.0</v>
      </c>
      <c r="G766" s="10">
        <f>IF($C766=0,"",COUNTIFS('DEF_SELF_SCOUT_IMPORT'!$L$42:$L$1040,"Y",'DEF_SELF_SCOUT_IMPORT'!$E$42:$E$1040,SUBSTITUTE(SUBSTITUTE(SUBSTITUTE($B766,"~","~~"),"*","~*"),"?","~?"),'DEF_SELF_SCOUT_IMPORT'!$Q$42:$Q$1040,SUBSTITUTE(SUBSTITUTE(SUBSTITUTE($M766,"~","~~"),"*","~*"),"?","~?"),'DEF_SELF_SCOUT_IMPORT'!$F$42:$F$1040,SUBSTITUTE(SUBSTITUTE(SUBSTITUTE($N766,"~","~~"),"*","~*"),"?","~?"),'DEF_SELF_SCOUT_IMPORT'!$G$42:$G$1040,SUBSTITUTE(SUBSTITUTE(SUBSTITUTE($O766,"~","~~"),"*","~*"),"?","~?"),'DEF_SELF_SCOUT_IMPORT'!$H$42:$H$1040,"RUSH")/$C766)</f>
        <v>0.0</v>
      </c>
      <c r="H766" s="10">
        <f>IF($C766=0,"",COUNTIFS('DEF_SELF_SCOUT_IMPORT'!$L$42:$L$1040,"Y",'DEF_SELF_SCOUT_IMPORT'!$E$42:$E$1040,SUBSTITUTE(SUBSTITUTE(SUBSTITUTE($B766,"~","~~"),"*","~*"),"?","~?"),'DEF_SELF_SCOUT_IMPORT'!$Q$42:$Q$1040,SUBSTITUTE(SUBSTITUTE(SUBSTITUTE($M766,"~","~~"),"*","~*"),"?","~?"),'DEF_SELF_SCOUT_IMPORT'!$F$42:$F$1040,SUBSTITUTE(SUBSTITUTE(SUBSTITUTE($N766,"~","~~"),"*","~*"),"?","~?"),'DEF_SELF_SCOUT_IMPORT'!$G$42:$G$1040,SUBSTITUTE(SUBSTITUTE(SUBSTITUTE($O766,"~","~~"),"*","~*"),"?","~?"),'DEF_SELF_SCOUT_IMPORT'!$H$42:$H$1040,"DROPBACK")/$C766)</f>
        <v>1.0</v>
      </c>
      <c r="I766" s="14" t="str">
        <f>IF(C766=0,"",IF(C766&lt;=2,"TRACK",IF(C766=3,"LOW",IF(C766&lt;=6,"MEDIUM","HIGH"))))</f>
        <v>TRACK</v>
      </c>
      <c r="J766" s="11">
        <f>IF(C766=0,"",ROUND(D766*70+(1-E766)*20+MAX(0,MIN(1,(10-F766)/10))*10,1))</f>
        <v>0.0</v>
      </c>
      <c r="K766" s="14" t="str">
        <f>IF(C766=0,"No Evidence",IF(C766&lt;=2,IF(E766&gt;0,"Explosive Alert","Track Only"),IF(C766=3,"Sample Watch",IF(E766&gt;=START_HERE!$B$31,"Explosive Alert",IF(J766&gt;=80,"Strong Candidate",IF(J766&gt;=65,"Good Candidate",IF(J766&gt;=50,"Mixed / Review","Problem Call")))))))</f>
        <v>Explosive Alert</v>
      </c>
      <c r="L766" s="9" t="str">
        <f>IF(COUNTIFS('DEF_SELF_SCOUT_IMPORT'!$L$42:$L$1040,"Y",'DEF_SELF_SCOUT_IMPORT'!$E$42:$E$1040,SUBSTITUTE(SUBSTITUTE(SUBSTITUTE($B766,"~","~~"),"*","~*"),"?","~?"),'DEF_SELF_SCOUT_IMPORT'!$Q$42:$Q$1040,SUBSTITUTE(SUBSTITUTE(SUBSTITUTE($M766,"~","~~"),"*","~*"),"?","~?"),'DEF_SELF_SCOUT_IMPORT'!$F$42:$F$1040,SUBSTITUTE(SUBSTITUTE(SUBSTITUTE($N766,"~","~~"),"*","~*"),"?","~?"),'DEF_SELF_SCOUT_IMPORT'!$G$42:$G$1040,SUBSTITUTE(SUBSTITUTE(SUBSTITUTE($O766,"~","~~"),"*","~*"),"?","~?"),'DEF_SELF_SCOUT_IMPORT'!$J$42:$J$1040,"")&gt;0,"Unscored clean outcome; review result tags before using score.",IF(C766=0,"No matching defensive reps; film confirmation needed.",IF(K766="Explosive Alert","Explosive risk; review clips before using as answer.",IF(C766&lt;=2,"Track only; not enough sample.",IF(C766=3,IF(E766&gt;0,"Sample watch with explosive exposure; review clips and build the sample.",IF(J766&gt;=65,"Good signal, but sample is limited.","Sample watch; review clips and build the sample.")),IF(K766="Problem Call","Problem area; practice or call-sheet review.",IF(K766="Strong Candidate","Strong call-fit candidate; confirm on film.",IF(K766="Good Candidate","Good call-fit signal; confirm on film.","Mixed signal; review fit and execution on film."))))))))</f>
        <v>Explosive risk; review clips before using as answer.</v>
      </c>
      <c r="M766" s="8" t="s">
        <v>107</v>
      </c>
      <c r="N766" s="8" t="s">
        <v>120</v>
      </c>
      <c r="O766" s="8" t="s">
        <v>222</v>
      </c>
      <c r="P766" s="8"/>
      <c r="Q766" s="8"/>
      <c r="R766" s="8" t="s">
        <v>28</v>
      </c>
      <c r="S766" s="2" t="s">
        <v>401</v>
      </c>
      <c r="T766" s="2">
        <f>IF(C766=0,0,IF(C766&gt;=CALL_LOOKUP_BOARD!$B$7,IF(OR(K766="Problem Call",K766="Explosive Alert"),10000000,20000000),0)+IF(C766&gt;=CALL_LOOKUP_BOARD!$B$7,J766*1000+MIN(C766,999),C766*1000+J766)+0.00982200)</f>
        <v>1000.009822</v>
      </c>
      <c r="U766" s="2">
        <f>IF(C766=0,"",IF(COUNTIFS($S$589:$S$803,SUBSTITUTE(SUBSTITUTE(SUBSTITUTE(S766,"~","~~"),"*","~*"),"?","~?"),$T$589:$T$803,"&gt;"&amp;T766)=0,S766,""))</f>
        <v/>
      </c>
    </row>
    <row r="767" spans="1:21" ht="38" customHeight="1">
      <c r="A767" s="8" t="s">
        <v>400</v>
      </c>
      <c r="B767" s="8" t="s">
        <v>102</v>
      </c>
      <c r="C767" s="12">
        <f>COUNTIFS('DEF_SELF_SCOUT_IMPORT'!$L$42:$L$1040,"Y",'DEF_SELF_SCOUT_IMPORT'!$E$42:$E$1040,SUBSTITUTE(SUBSTITUTE(SUBSTITUTE($B767,"~","~~"),"*","~*"),"?","~?"),'DEF_SELF_SCOUT_IMPORT'!$Q$42:$Q$1040,SUBSTITUTE(SUBSTITUTE(SUBSTITUTE($M767,"~","~~"),"*","~*"),"?","~?"),'DEF_SELF_SCOUT_IMPORT'!$F$42:$F$1040,SUBSTITUTE(SUBSTITUTE(SUBSTITUTE($N767,"~","~~"),"*","~*"),"?","~?"),'DEF_SELF_SCOUT_IMPORT'!$G$42:$G$1040,SUBSTITUTE(SUBSTITUTE(SUBSTITUTE($O767,"~","~~"),"*","~*"),"?","~?"))</f>
        <v>1</v>
      </c>
      <c r="D767" s="10">
        <f>IF($C767=0,"",SUMIFS('DEF_SELF_SCOUT_IMPORT'!$J$42:$J$1040,'DEF_SELF_SCOUT_IMPORT'!$L$42:$L$1040,"Y",'DEF_SELF_SCOUT_IMPORT'!$E$42:$E$1040,SUBSTITUTE(SUBSTITUTE(SUBSTITUTE($B767,"~","~~"),"*","~*"),"?","~?"),'DEF_SELF_SCOUT_IMPORT'!$Q$42:$Q$1040,SUBSTITUTE(SUBSTITUTE(SUBSTITUTE($M767,"~","~~"),"*","~*"),"?","~?"),'DEF_SELF_SCOUT_IMPORT'!$F$42:$F$1040,SUBSTITUTE(SUBSTITUTE(SUBSTITUTE($N767,"~","~~"),"*","~*"),"?","~?"),'DEF_SELF_SCOUT_IMPORT'!$G$42:$G$1040,SUBSTITUTE(SUBSTITUTE(SUBSTITUTE($O767,"~","~~"),"*","~*"),"?","~?"))/$C767)</f>
        <v>1.0</v>
      </c>
      <c r="E767" s="10">
        <f>IF($C767=0,"",SUMIFS('DEF_SELF_SCOUT_IMPORT'!$K$42:$K$1040,'DEF_SELF_SCOUT_IMPORT'!$L$42:$L$1040,"Y",'DEF_SELF_SCOUT_IMPORT'!$E$42:$E$1040,SUBSTITUTE(SUBSTITUTE(SUBSTITUTE($B767,"~","~~"),"*","~*"),"?","~?"),'DEF_SELF_SCOUT_IMPORT'!$Q$42:$Q$1040,SUBSTITUTE(SUBSTITUTE(SUBSTITUTE($M767,"~","~~"),"*","~*"),"?","~?"),'DEF_SELF_SCOUT_IMPORT'!$F$42:$F$1040,SUBSTITUTE(SUBSTITUTE(SUBSTITUTE($N767,"~","~~"),"*","~*"),"?","~?"),'DEF_SELF_SCOUT_IMPORT'!$G$42:$G$1040,SUBSTITUTE(SUBSTITUTE(SUBSTITUTE($O767,"~","~~"),"*","~*"),"?","~?"))/$C767)</f>
        <v>0.0</v>
      </c>
      <c r="F767" s="11">
        <f>IF($C767=0,"",AVERAGEIFS('DEF_SELF_SCOUT_IMPORT'!$I$42:$I$1040,'DEF_SELF_SCOUT_IMPORT'!$L$42:$L$1040,"Y",'DEF_SELF_SCOUT_IMPORT'!$E$42:$E$1040,SUBSTITUTE(SUBSTITUTE(SUBSTITUTE($B767,"~","~~"),"*","~*"),"?","~?"),'DEF_SELF_SCOUT_IMPORT'!$Q$42:$Q$1040,SUBSTITUTE(SUBSTITUTE(SUBSTITUTE($M767,"~","~~"),"*","~*"),"?","~?"),'DEF_SELF_SCOUT_IMPORT'!$F$42:$F$1040,SUBSTITUTE(SUBSTITUTE(SUBSTITUTE($N767,"~","~~"),"*","~*"),"?","~?"),'DEF_SELF_SCOUT_IMPORT'!$G$42:$G$1040,SUBSTITUTE(SUBSTITUTE(SUBSTITUTE($O767,"~","~~"),"*","~*"),"?","~?")))</f>
        <v>5.0</v>
      </c>
      <c r="G767" s="10">
        <f>IF($C767=0,"",COUNTIFS('DEF_SELF_SCOUT_IMPORT'!$L$42:$L$1040,"Y",'DEF_SELF_SCOUT_IMPORT'!$E$42:$E$1040,SUBSTITUTE(SUBSTITUTE(SUBSTITUTE($B767,"~","~~"),"*","~*"),"?","~?"),'DEF_SELF_SCOUT_IMPORT'!$Q$42:$Q$1040,SUBSTITUTE(SUBSTITUTE(SUBSTITUTE($M767,"~","~~"),"*","~*"),"?","~?"),'DEF_SELF_SCOUT_IMPORT'!$F$42:$F$1040,SUBSTITUTE(SUBSTITUTE(SUBSTITUTE($N767,"~","~~"),"*","~*"),"?","~?"),'DEF_SELF_SCOUT_IMPORT'!$G$42:$G$1040,SUBSTITUTE(SUBSTITUTE(SUBSTITUTE($O767,"~","~~"),"*","~*"),"?","~?"),'DEF_SELF_SCOUT_IMPORT'!$H$42:$H$1040,"RUSH")/$C767)</f>
        <v>0.0</v>
      </c>
      <c r="H767" s="10">
        <f>IF($C767=0,"",COUNTIFS('DEF_SELF_SCOUT_IMPORT'!$L$42:$L$1040,"Y",'DEF_SELF_SCOUT_IMPORT'!$E$42:$E$1040,SUBSTITUTE(SUBSTITUTE(SUBSTITUTE($B767,"~","~~"),"*","~*"),"?","~?"),'DEF_SELF_SCOUT_IMPORT'!$Q$42:$Q$1040,SUBSTITUTE(SUBSTITUTE(SUBSTITUTE($M767,"~","~~"),"*","~*"),"?","~?"),'DEF_SELF_SCOUT_IMPORT'!$F$42:$F$1040,SUBSTITUTE(SUBSTITUTE(SUBSTITUTE($N767,"~","~~"),"*","~*"),"?","~?"),'DEF_SELF_SCOUT_IMPORT'!$G$42:$G$1040,SUBSTITUTE(SUBSTITUTE(SUBSTITUTE($O767,"~","~~"),"*","~*"),"?","~?"),'DEF_SELF_SCOUT_IMPORT'!$H$42:$H$1040,"DROPBACK")/$C767)</f>
        <v>1.0</v>
      </c>
      <c r="I767" s="14" t="str">
        <f>IF(C767=0,"",IF(C767&lt;=2,"TRACK",IF(C767=3,"LOW",IF(C767&lt;=6,"MEDIUM","HIGH"))))</f>
        <v>TRACK</v>
      </c>
      <c r="J767" s="11">
        <f>IF(C767=0,"",ROUND(D767*70+(1-E767)*20+MAX(0,MIN(1,(10-F767)/10))*10,1))</f>
        <v>95.0</v>
      </c>
      <c r="K767" s="14" t="str">
        <f>IF(C767=0,"No Evidence",IF(C767&lt;=2,IF(E767&gt;0,"Explosive Alert","Track Only"),IF(C767=3,"Sample Watch",IF(E767&gt;=START_HERE!$B$31,"Explosive Alert",IF(J767&gt;=80,"Strong Candidate",IF(J767&gt;=65,"Good Candidate",IF(J767&gt;=50,"Mixed / Review","Problem Call")))))))</f>
        <v>Track Only</v>
      </c>
      <c r="L767" s="9" t="str">
        <f>IF(COUNTIFS('DEF_SELF_SCOUT_IMPORT'!$L$42:$L$1040,"Y",'DEF_SELF_SCOUT_IMPORT'!$E$42:$E$1040,SUBSTITUTE(SUBSTITUTE(SUBSTITUTE($B767,"~","~~"),"*","~*"),"?","~?"),'DEF_SELF_SCOUT_IMPORT'!$Q$42:$Q$1040,SUBSTITUTE(SUBSTITUTE(SUBSTITUTE($M767,"~","~~"),"*","~*"),"?","~?"),'DEF_SELF_SCOUT_IMPORT'!$F$42:$F$1040,SUBSTITUTE(SUBSTITUTE(SUBSTITUTE($N767,"~","~~"),"*","~*"),"?","~?"),'DEF_SELF_SCOUT_IMPORT'!$G$42:$G$1040,SUBSTITUTE(SUBSTITUTE(SUBSTITUTE($O767,"~","~~"),"*","~*"),"?","~?"),'DEF_SELF_SCOUT_IMPORT'!$J$42:$J$1040,"")&gt;0,"Unscored clean outcome; review result tags before using score.",IF(C767=0,"No matching defensive reps; film confirmation needed.",IF(K767="Explosive Alert","Explosive risk; review clips before using as answer.",IF(C767&lt;=2,"Track only; not enough sample.",IF(C767=3,IF(E767&gt;0,"Sample watch with explosive exposure; review clips and build the sample.",IF(J767&gt;=65,"Good signal, but sample is limited.","Sample watch; review clips and build the sample.")),IF(K767="Problem Call","Problem area; practice or call-sheet review.",IF(K767="Strong Candidate","Strong call-fit candidate; confirm on film.",IF(K767="Good Candidate","Good call-fit signal; confirm on film.","Mixed signal; review fit and execution on film."))))))))</f>
        <v>Track only; not enough sample.</v>
      </c>
      <c r="M767" s="8" t="s">
        <v>107</v>
      </c>
      <c r="N767" s="8" t="s">
        <v>120</v>
      </c>
      <c r="O767" s="8" t="s">
        <v>222</v>
      </c>
      <c r="P767" s="8"/>
      <c r="Q767" s="8"/>
      <c r="R767" s="8" t="s">
        <v>28</v>
      </c>
      <c r="S767" s="2" t="s">
        <v>401</v>
      </c>
      <c r="T767" s="2">
        <f>IF(C767=0,0,IF(C767&gt;=CALL_LOOKUP_BOARD!$B$7,IF(OR(K767="Problem Call",K767="Explosive Alert"),10000000,20000000),0)+IF(C767&gt;=CALL_LOOKUP_BOARD!$B$7,J767*1000+MIN(C767,999),C767*1000+J767)+0.00982100)</f>
        <v>1095.009821</v>
      </c>
      <c r="U767" s="2" t="str">
        <f>IF(C767=0,"",IF(COUNTIFS($S$589:$S$803,SUBSTITUTE(SUBSTITUTE(SUBSTITUTE(S767,"~","~~"),"*","~*"),"?","~?"),$T$589:$T$803,"&gt;"&amp;T767)=0,S767,""))</f>
        <v>7:3D 7-10|2:11|3:3X2|</v>
      </c>
    </row>
    <row r="768" spans="1:21" ht="38" customHeight="1">
      <c r="A768" s="8" t="s">
        <v>402</v>
      </c>
      <c r="B768" s="8" t="s">
        <v>35</v>
      </c>
      <c r="C768" s="12">
        <f>COUNTIFS('DEF_SELF_SCOUT_IMPORT'!$L$42:$L$1040,"Y",'DEF_SELF_SCOUT_IMPORT'!$E$42:$E$1040,SUBSTITUTE(SUBSTITUTE(SUBSTITUTE($B768,"~","~~"),"*","~*"),"?","~?"),'DEF_SELF_SCOUT_IMPORT'!$Q$42:$Q$1040,SUBSTITUTE(SUBSTITUTE(SUBSTITUTE($M768,"~","~~"),"*","~*"),"?","~?"),'DEF_SELF_SCOUT_IMPORT'!$F$42:$F$1040,SUBSTITUTE(SUBSTITUTE(SUBSTITUTE($N768,"~","~~"),"*","~*"),"?","~?"),'DEF_SELF_SCOUT_IMPORT'!$G$42:$G$1040,SUBSTITUTE(SUBSTITUTE(SUBSTITUTE($O768,"~","~~"),"*","~*"),"?","~?"))</f>
        <v>1</v>
      </c>
      <c r="D768" s="10">
        <f>IF($C768=0,"",SUMIFS('DEF_SELF_SCOUT_IMPORT'!$J$42:$J$1040,'DEF_SELF_SCOUT_IMPORT'!$L$42:$L$1040,"Y",'DEF_SELF_SCOUT_IMPORT'!$E$42:$E$1040,SUBSTITUTE(SUBSTITUTE(SUBSTITUTE($B768,"~","~~"),"*","~*"),"?","~?"),'DEF_SELF_SCOUT_IMPORT'!$Q$42:$Q$1040,SUBSTITUTE(SUBSTITUTE(SUBSTITUTE($M768,"~","~~"),"*","~*"),"?","~?"),'DEF_SELF_SCOUT_IMPORT'!$F$42:$F$1040,SUBSTITUTE(SUBSTITUTE(SUBSTITUTE($N768,"~","~~"),"*","~*"),"?","~?"),'DEF_SELF_SCOUT_IMPORT'!$G$42:$G$1040,SUBSTITUTE(SUBSTITUTE(SUBSTITUTE($O768,"~","~~"),"*","~*"),"?","~?"))/$C768)</f>
        <v>1.0</v>
      </c>
      <c r="E768" s="10">
        <f>IF($C768=0,"",SUMIFS('DEF_SELF_SCOUT_IMPORT'!$K$42:$K$1040,'DEF_SELF_SCOUT_IMPORT'!$L$42:$L$1040,"Y",'DEF_SELF_SCOUT_IMPORT'!$E$42:$E$1040,SUBSTITUTE(SUBSTITUTE(SUBSTITUTE($B768,"~","~~"),"*","~*"),"?","~?"),'DEF_SELF_SCOUT_IMPORT'!$Q$42:$Q$1040,SUBSTITUTE(SUBSTITUTE(SUBSTITUTE($M768,"~","~~"),"*","~*"),"?","~?"),'DEF_SELF_SCOUT_IMPORT'!$F$42:$F$1040,SUBSTITUTE(SUBSTITUTE(SUBSTITUTE($N768,"~","~~"),"*","~*"),"?","~?"),'DEF_SELF_SCOUT_IMPORT'!$G$42:$G$1040,SUBSTITUTE(SUBSTITUTE(SUBSTITUTE($O768,"~","~~"),"*","~*"),"?","~?"))/$C768)</f>
        <v>0.0</v>
      </c>
      <c r="F768" s="11">
        <f>IF($C768=0,"",AVERAGEIFS('DEF_SELF_SCOUT_IMPORT'!$I$42:$I$1040,'DEF_SELF_SCOUT_IMPORT'!$L$42:$L$1040,"Y",'DEF_SELF_SCOUT_IMPORT'!$E$42:$E$1040,SUBSTITUTE(SUBSTITUTE(SUBSTITUTE($B768,"~","~~"),"*","~*"),"?","~?"),'DEF_SELF_SCOUT_IMPORT'!$Q$42:$Q$1040,SUBSTITUTE(SUBSTITUTE(SUBSTITUTE($M768,"~","~~"),"*","~*"),"?","~?"),'DEF_SELF_SCOUT_IMPORT'!$F$42:$F$1040,SUBSTITUTE(SUBSTITUTE(SUBSTITUTE($N768,"~","~~"),"*","~*"),"?","~?"),'DEF_SELF_SCOUT_IMPORT'!$G$42:$G$1040,SUBSTITUTE(SUBSTITUTE(SUBSTITUTE($O768,"~","~~"),"*","~*"),"?","~?")))</f>
        <v>0.0</v>
      </c>
      <c r="G768" s="10">
        <f>IF($C768=0,"",COUNTIFS('DEF_SELF_SCOUT_IMPORT'!$L$42:$L$1040,"Y",'DEF_SELF_SCOUT_IMPORT'!$E$42:$E$1040,SUBSTITUTE(SUBSTITUTE(SUBSTITUTE($B768,"~","~~"),"*","~*"),"?","~?"),'DEF_SELF_SCOUT_IMPORT'!$Q$42:$Q$1040,SUBSTITUTE(SUBSTITUTE(SUBSTITUTE($M768,"~","~~"),"*","~*"),"?","~?"),'DEF_SELF_SCOUT_IMPORT'!$F$42:$F$1040,SUBSTITUTE(SUBSTITUTE(SUBSTITUTE($N768,"~","~~"),"*","~*"),"?","~?"),'DEF_SELF_SCOUT_IMPORT'!$G$42:$G$1040,SUBSTITUTE(SUBSTITUTE(SUBSTITUTE($O768,"~","~~"),"*","~*"),"?","~?"),'DEF_SELF_SCOUT_IMPORT'!$H$42:$H$1040,"RUSH")/$C768)</f>
        <v>1.0</v>
      </c>
      <c r="H768" s="10">
        <f>IF($C768=0,"",COUNTIFS('DEF_SELF_SCOUT_IMPORT'!$L$42:$L$1040,"Y",'DEF_SELF_SCOUT_IMPORT'!$E$42:$E$1040,SUBSTITUTE(SUBSTITUTE(SUBSTITUTE($B768,"~","~~"),"*","~*"),"?","~?"),'DEF_SELF_SCOUT_IMPORT'!$Q$42:$Q$1040,SUBSTITUTE(SUBSTITUTE(SUBSTITUTE($M768,"~","~~"),"*","~*"),"?","~?"),'DEF_SELF_SCOUT_IMPORT'!$F$42:$F$1040,SUBSTITUTE(SUBSTITUTE(SUBSTITUTE($N768,"~","~~"),"*","~*"),"?","~?"),'DEF_SELF_SCOUT_IMPORT'!$G$42:$G$1040,SUBSTITUTE(SUBSTITUTE(SUBSTITUTE($O768,"~","~~"),"*","~*"),"?","~?"),'DEF_SELF_SCOUT_IMPORT'!$H$42:$H$1040,"DROPBACK")/$C768)</f>
        <v>0.0</v>
      </c>
      <c r="I768" s="14" t="str">
        <f>IF(C768=0,"",IF(C768&lt;=2,"TRACK",IF(C768=3,"LOW",IF(C768&lt;=6,"MEDIUM","HIGH"))))</f>
        <v>TRACK</v>
      </c>
      <c r="J768" s="11">
        <f>IF(C768=0,"",ROUND(D768*70+(1-E768)*20+MAX(0,MIN(1,(10-F768)/10))*10,1))</f>
        <v>100.0</v>
      </c>
      <c r="K768" s="14" t="str">
        <f>IF(C768=0,"No Evidence",IF(C768&lt;=2,IF(E768&gt;0,"Explosive Alert","Track Only"),IF(C768=3,"Sample Watch",IF(E768&gt;=START_HERE!$B$31,"Explosive Alert",IF(J768&gt;=80,"Strong Candidate",IF(J768&gt;=65,"Good Candidate",IF(J768&gt;=50,"Mixed / Review","Problem Call")))))))</f>
        <v>Track Only</v>
      </c>
      <c r="L768" s="9" t="str">
        <f>IF(COUNTIFS('DEF_SELF_SCOUT_IMPORT'!$L$42:$L$1040,"Y",'DEF_SELF_SCOUT_IMPORT'!$E$42:$E$1040,SUBSTITUTE(SUBSTITUTE(SUBSTITUTE($B768,"~","~~"),"*","~*"),"?","~?"),'DEF_SELF_SCOUT_IMPORT'!$Q$42:$Q$1040,SUBSTITUTE(SUBSTITUTE(SUBSTITUTE($M768,"~","~~"),"*","~*"),"?","~?"),'DEF_SELF_SCOUT_IMPORT'!$F$42:$F$1040,SUBSTITUTE(SUBSTITUTE(SUBSTITUTE($N768,"~","~~"),"*","~*"),"?","~?"),'DEF_SELF_SCOUT_IMPORT'!$G$42:$G$1040,SUBSTITUTE(SUBSTITUTE(SUBSTITUTE($O768,"~","~~"),"*","~*"),"?","~?"),'DEF_SELF_SCOUT_IMPORT'!$J$42:$J$1040,"")&gt;0,"Unscored clean outcome; review result tags before using score.",IF(C768=0,"No matching defensive reps; film confirmation needed.",IF(K768="Explosive Alert","Explosive risk; review clips before using as answer.",IF(C768&lt;=2,"Track only; not enough sample.",IF(C768=3,IF(E768&gt;0,"Sample watch with explosive exposure; review clips and build the sample.",IF(J768&gt;=65,"Good signal, but sample is limited.","Sample watch; review clips and build the sample.")),IF(K768="Problem Call","Problem area; practice or call-sheet review.",IF(K768="Strong Candidate","Strong call-fit candidate; confirm on film.",IF(K768="Good Candidate","Good call-fit signal; confirm on film.","Mixed signal; review fit and execution on film."))))))))</f>
        <v>Track only; not enough sample.</v>
      </c>
      <c r="M768" s="8" t="s">
        <v>107</v>
      </c>
      <c r="N768" s="8" t="s">
        <v>123</v>
      </c>
      <c r="O768" s="8" t="s">
        <v>203</v>
      </c>
      <c r="P768" s="8"/>
      <c r="Q768" s="8"/>
      <c r="R768" s="8" t="s">
        <v>28</v>
      </c>
      <c r="S768" s="2" t="s">
        <v>403</v>
      </c>
      <c r="T768" s="2">
        <f>IF(C768=0,0,IF(C768&gt;=CALL_LOOKUP_BOARD!$B$7,IF(OR(K768="Problem Call",K768="Explosive Alert"),10000000,20000000),0)+IF(C768&gt;=CALL_LOOKUP_BOARD!$B$7,J768*1000+MIN(C768,999),C768*1000+J768)+0.00982000)</f>
        <v>1100.00982</v>
      </c>
      <c r="U768" s="2" t="str">
        <f>IF(C768=0,"",IF(COUNTIFS($S$589:$S$803,SUBSTITUTE(SUBSTITUTE(SUBSTITUTE(S768,"~","~~"),"*","~*"),"?","~?"),$T$589:$T$803,"&gt;"&amp;T768)=0,S768,""))</f>
        <v>7:3D 7-10|2:12|3:2X2|</v>
      </c>
    </row>
    <row r="769" spans="1:21" ht="38" customHeight="1">
      <c r="A769" s="8" t="s">
        <v>404</v>
      </c>
      <c r="B769" s="8" t="s">
        <v>60</v>
      </c>
      <c r="C769" s="12">
        <f>COUNTIFS('DEF_SELF_SCOUT_IMPORT'!$L$42:$L$1040,"Y",'DEF_SELF_SCOUT_IMPORT'!$E$42:$E$1040,SUBSTITUTE(SUBSTITUTE(SUBSTITUTE($B769,"~","~~"),"*","~*"),"?","~?"),'DEF_SELF_SCOUT_IMPORT'!$Q$42:$Q$1040,SUBSTITUTE(SUBSTITUTE(SUBSTITUTE($M769,"~","~~"),"*","~*"),"?","~?"),'DEF_SELF_SCOUT_IMPORT'!$F$42:$F$1040,SUBSTITUTE(SUBSTITUTE(SUBSTITUTE($N769,"~","~~"),"*","~*"),"?","~?"),'DEF_SELF_SCOUT_IMPORT'!$G$42:$G$1040,SUBSTITUTE(SUBSTITUTE(SUBSTITUTE($O769,"~","~~"),"*","~*"),"?","~?"))</f>
        <v>1</v>
      </c>
      <c r="D769" s="10">
        <f>IF($C769=0,"",SUMIFS('DEF_SELF_SCOUT_IMPORT'!$J$42:$J$1040,'DEF_SELF_SCOUT_IMPORT'!$L$42:$L$1040,"Y",'DEF_SELF_SCOUT_IMPORT'!$E$42:$E$1040,SUBSTITUTE(SUBSTITUTE(SUBSTITUTE($B769,"~","~~"),"*","~*"),"?","~?"),'DEF_SELF_SCOUT_IMPORT'!$Q$42:$Q$1040,SUBSTITUTE(SUBSTITUTE(SUBSTITUTE($M769,"~","~~"),"*","~*"),"?","~?"),'DEF_SELF_SCOUT_IMPORT'!$F$42:$F$1040,SUBSTITUTE(SUBSTITUTE(SUBSTITUTE($N769,"~","~~"),"*","~*"),"?","~?"),'DEF_SELF_SCOUT_IMPORT'!$G$42:$G$1040,SUBSTITUTE(SUBSTITUTE(SUBSTITUTE($O769,"~","~~"),"*","~*"),"?","~?"))/$C769)</f>
        <v>1.0</v>
      </c>
      <c r="E769" s="10">
        <f>IF($C769=0,"",SUMIFS('DEF_SELF_SCOUT_IMPORT'!$K$42:$K$1040,'DEF_SELF_SCOUT_IMPORT'!$L$42:$L$1040,"Y",'DEF_SELF_SCOUT_IMPORT'!$E$42:$E$1040,SUBSTITUTE(SUBSTITUTE(SUBSTITUTE($B769,"~","~~"),"*","~*"),"?","~?"),'DEF_SELF_SCOUT_IMPORT'!$Q$42:$Q$1040,SUBSTITUTE(SUBSTITUTE(SUBSTITUTE($M769,"~","~~"),"*","~*"),"?","~?"),'DEF_SELF_SCOUT_IMPORT'!$F$42:$F$1040,SUBSTITUTE(SUBSTITUTE(SUBSTITUTE($N769,"~","~~"),"*","~*"),"?","~?"),'DEF_SELF_SCOUT_IMPORT'!$G$42:$G$1040,SUBSTITUTE(SUBSTITUTE(SUBSTITUTE($O769,"~","~~"),"*","~*"),"?","~?"))/$C769)</f>
        <v>0.0</v>
      </c>
      <c r="F769" s="11">
        <f>IF($C769=0,"",AVERAGEIFS('DEF_SELF_SCOUT_IMPORT'!$I$42:$I$1040,'DEF_SELF_SCOUT_IMPORT'!$L$42:$L$1040,"Y",'DEF_SELF_SCOUT_IMPORT'!$E$42:$E$1040,SUBSTITUTE(SUBSTITUTE(SUBSTITUTE($B769,"~","~~"),"*","~*"),"?","~?"),'DEF_SELF_SCOUT_IMPORT'!$Q$42:$Q$1040,SUBSTITUTE(SUBSTITUTE(SUBSTITUTE($M769,"~","~~"),"*","~*"),"?","~?"),'DEF_SELF_SCOUT_IMPORT'!$F$42:$F$1040,SUBSTITUTE(SUBSTITUTE(SUBSTITUTE($N769,"~","~~"),"*","~*"),"?","~?"),'DEF_SELF_SCOUT_IMPORT'!$G$42:$G$1040,SUBSTITUTE(SUBSTITUTE(SUBSTITUTE($O769,"~","~~"),"*","~*"),"?","~?")))</f>
        <v>1.0</v>
      </c>
      <c r="G769" s="10">
        <f>IF($C769=0,"",COUNTIFS('DEF_SELF_SCOUT_IMPORT'!$L$42:$L$1040,"Y",'DEF_SELF_SCOUT_IMPORT'!$E$42:$E$1040,SUBSTITUTE(SUBSTITUTE(SUBSTITUTE($B769,"~","~~"),"*","~*"),"?","~?"),'DEF_SELF_SCOUT_IMPORT'!$Q$42:$Q$1040,SUBSTITUTE(SUBSTITUTE(SUBSTITUTE($M769,"~","~~"),"*","~*"),"?","~?"),'DEF_SELF_SCOUT_IMPORT'!$F$42:$F$1040,SUBSTITUTE(SUBSTITUTE(SUBSTITUTE($N769,"~","~~"),"*","~*"),"?","~?"),'DEF_SELF_SCOUT_IMPORT'!$G$42:$G$1040,SUBSTITUTE(SUBSTITUTE(SUBSTITUTE($O769,"~","~~"),"*","~*"),"?","~?"),'DEF_SELF_SCOUT_IMPORT'!$H$42:$H$1040,"RUSH")/$C769)</f>
        <v>1.0</v>
      </c>
      <c r="H769" s="10">
        <f>IF($C769=0,"",COUNTIFS('DEF_SELF_SCOUT_IMPORT'!$L$42:$L$1040,"Y",'DEF_SELF_SCOUT_IMPORT'!$E$42:$E$1040,SUBSTITUTE(SUBSTITUTE(SUBSTITUTE($B769,"~","~~"),"*","~*"),"?","~?"),'DEF_SELF_SCOUT_IMPORT'!$Q$42:$Q$1040,SUBSTITUTE(SUBSTITUTE(SUBSTITUTE($M769,"~","~~"),"*","~*"),"?","~?"),'DEF_SELF_SCOUT_IMPORT'!$F$42:$F$1040,SUBSTITUTE(SUBSTITUTE(SUBSTITUTE($N769,"~","~~"),"*","~*"),"?","~?"),'DEF_SELF_SCOUT_IMPORT'!$G$42:$G$1040,SUBSTITUTE(SUBSTITUTE(SUBSTITUTE($O769,"~","~~"),"*","~*"),"?","~?"),'DEF_SELF_SCOUT_IMPORT'!$H$42:$H$1040,"DROPBACK")/$C769)</f>
        <v>0.0</v>
      </c>
      <c r="I769" s="14" t="str">
        <f>IF(C769=0,"",IF(C769&lt;=2,"TRACK",IF(C769=3,"LOW",IF(C769&lt;=6,"MEDIUM","HIGH"))))</f>
        <v>TRACK</v>
      </c>
      <c r="J769" s="11">
        <f>IF(C769=0,"",ROUND(D769*70+(1-E769)*20+MAX(0,MIN(1,(10-F769)/10))*10,1))</f>
        <v>99.0</v>
      </c>
      <c r="K769" s="14" t="str">
        <f>IF(C769=0,"No Evidence",IF(C769&lt;=2,IF(E769&gt;0,"Explosive Alert","Track Only"),IF(C769=3,"Sample Watch",IF(E769&gt;=START_HERE!$B$31,"Explosive Alert",IF(J769&gt;=80,"Strong Candidate",IF(J769&gt;=65,"Good Candidate",IF(J769&gt;=50,"Mixed / Review","Problem Call")))))))</f>
        <v>Track Only</v>
      </c>
      <c r="L769" s="9" t="str">
        <f>IF(COUNTIFS('DEF_SELF_SCOUT_IMPORT'!$L$42:$L$1040,"Y",'DEF_SELF_SCOUT_IMPORT'!$E$42:$E$1040,SUBSTITUTE(SUBSTITUTE(SUBSTITUTE($B769,"~","~~"),"*","~*"),"?","~?"),'DEF_SELF_SCOUT_IMPORT'!$Q$42:$Q$1040,SUBSTITUTE(SUBSTITUTE(SUBSTITUTE($M769,"~","~~"),"*","~*"),"?","~?"),'DEF_SELF_SCOUT_IMPORT'!$F$42:$F$1040,SUBSTITUTE(SUBSTITUTE(SUBSTITUTE($N769,"~","~~"),"*","~*"),"?","~?"),'DEF_SELF_SCOUT_IMPORT'!$G$42:$G$1040,SUBSTITUTE(SUBSTITUTE(SUBSTITUTE($O769,"~","~~"),"*","~*"),"?","~?"),'DEF_SELF_SCOUT_IMPORT'!$J$42:$J$1040,"")&gt;0,"Unscored clean outcome; review result tags before using score.",IF(C769=0,"No matching defensive reps; film confirmation needed.",IF(K769="Explosive Alert","Explosive risk; review clips before using as answer.",IF(C769&lt;=2,"Track only; not enough sample.",IF(C769=3,IF(E769&gt;0,"Sample watch with explosive exposure; review clips and build the sample.",IF(J769&gt;=65,"Good signal, but sample is limited.","Sample watch; review clips and build the sample.")),IF(K769="Problem Call","Problem area; practice or call-sheet review.",IF(K769="Strong Candidate","Strong call-fit candidate; confirm on film.",IF(K769="Good Candidate","Good call-fit signal; confirm on film.","Mixed signal; review fit and execution on film."))))))))</f>
        <v>Track only; not enough sample.</v>
      </c>
      <c r="M769" s="8" t="s">
        <v>111</v>
      </c>
      <c r="N769" s="8" t="s">
        <v>120</v>
      </c>
      <c r="O769" s="8" t="s">
        <v>203</v>
      </c>
      <c r="P769" s="8"/>
      <c r="Q769" s="8"/>
      <c r="R769" s="8" t="s">
        <v>28</v>
      </c>
      <c r="S769" s="2" t="s">
        <v>405</v>
      </c>
      <c r="T769" s="2">
        <f>IF(C769=0,0,IF(C769&gt;=CALL_LOOKUP_BOARD!$B$7,IF(OR(K769="Problem Call",K769="Explosive Alert"),10000000,20000000),0)+IF(C769&gt;=CALL_LOOKUP_BOARD!$B$7,J769*1000+MIN(C769,999),C769*1000+J769)+0.00981900)</f>
        <v>1099.009819</v>
      </c>
      <c r="U769" s="2" t="str">
        <f>IF(C769=0,"",IF(COUNTIFS($S$589:$S$803,SUBSTITUTE(SUBSTITUTE(SUBSTITUTE(S769,"~","~~"),"*","~*"),"?","~?"),$T$589:$T$803,"&gt;"&amp;T769)=0,S769,""))</f>
        <v>6:4D 1-3|2:11|3:2X2|</v>
      </c>
    </row>
    <row r="770" spans="1:21" ht="38" customHeight="1">
      <c r="A770" s="8" t="s">
        <v>406</v>
      </c>
      <c r="B770" s="8" t="s">
        <v>27</v>
      </c>
      <c r="C770" s="12">
        <f>COUNTIFS('DEF_SELF_SCOUT_IMPORT'!$L$42:$L$1040,"Y",'DEF_SELF_SCOUT_IMPORT'!$E$42:$E$1040,SUBSTITUTE(SUBSTITUTE(SUBSTITUTE($B770,"~","~~"),"*","~*"),"?","~?"),'DEF_SELF_SCOUT_IMPORT'!$Q$42:$Q$1040,SUBSTITUTE(SUBSTITUTE(SUBSTITUTE($M770,"~","~~"),"*","~*"),"?","~?"),'DEF_SELF_SCOUT_IMPORT'!$F$42:$F$1040,SUBSTITUTE(SUBSTITUTE(SUBSTITUTE($N770,"~","~~"),"*","~*"),"?","~?"),'DEF_SELF_SCOUT_IMPORT'!$G$42:$G$1040,SUBSTITUTE(SUBSTITUTE(SUBSTITUTE($O770,"~","~~"),"*","~*"),"?","~?"))</f>
        <v>1</v>
      </c>
      <c r="D770" s="10">
        <f>IF($C770=0,"",SUMIFS('DEF_SELF_SCOUT_IMPORT'!$J$42:$J$1040,'DEF_SELF_SCOUT_IMPORT'!$L$42:$L$1040,"Y",'DEF_SELF_SCOUT_IMPORT'!$E$42:$E$1040,SUBSTITUTE(SUBSTITUTE(SUBSTITUTE($B770,"~","~~"),"*","~*"),"?","~?"),'DEF_SELF_SCOUT_IMPORT'!$Q$42:$Q$1040,SUBSTITUTE(SUBSTITUTE(SUBSTITUTE($M770,"~","~~"),"*","~*"),"?","~?"),'DEF_SELF_SCOUT_IMPORT'!$F$42:$F$1040,SUBSTITUTE(SUBSTITUTE(SUBSTITUTE($N770,"~","~~"),"*","~*"),"?","~?"),'DEF_SELF_SCOUT_IMPORT'!$G$42:$G$1040,SUBSTITUTE(SUBSTITUTE(SUBSTITUTE($O770,"~","~~"),"*","~*"),"?","~?"))/$C770)</f>
        <v>0.0</v>
      </c>
      <c r="E770" s="10">
        <f>IF($C770=0,"",SUMIFS('DEF_SELF_SCOUT_IMPORT'!$K$42:$K$1040,'DEF_SELF_SCOUT_IMPORT'!$L$42:$L$1040,"Y",'DEF_SELF_SCOUT_IMPORT'!$E$42:$E$1040,SUBSTITUTE(SUBSTITUTE(SUBSTITUTE($B770,"~","~~"),"*","~*"),"?","~?"),'DEF_SELF_SCOUT_IMPORT'!$Q$42:$Q$1040,SUBSTITUTE(SUBSTITUTE(SUBSTITUTE($M770,"~","~~"),"*","~*"),"?","~?"),'DEF_SELF_SCOUT_IMPORT'!$F$42:$F$1040,SUBSTITUTE(SUBSTITUTE(SUBSTITUTE($N770,"~","~~"),"*","~*"),"?","~?"),'DEF_SELF_SCOUT_IMPORT'!$G$42:$G$1040,SUBSTITUTE(SUBSTITUTE(SUBSTITUTE($O770,"~","~~"),"*","~*"),"?","~?"))/$C770)</f>
        <v>0.0</v>
      </c>
      <c r="F770" s="11">
        <f>IF($C770=0,"",AVERAGEIFS('DEF_SELF_SCOUT_IMPORT'!$I$42:$I$1040,'DEF_SELF_SCOUT_IMPORT'!$L$42:$L$1040,"Y",'DEF_SELF_SCOUT_IMPORT'!$E$42:$E$1040,SUBSTITUTE(SUBSTITUTE(SUBSTITUTE($B770,"~","~~"),"*","~*"),"?","~?"),'DEF_SELF_SCOUT_IMPORT'!$Q$42:$Q$1040,SUBSTITUTE(SUBSTITUTE(SUBSTITUTE($M770,"~","~~"),"*","~*"),"?","~?"),'DEF_SELF_SCOUT_IMPORT'!$F$42:$F$1040,SUBSTITUTE(SUBSTITUTE(SUBSTITUTE($N770,"~","~~"),"*","~*"),"?","~?"),'DEF_SELF_SCOUT_IMPORT'!$G$42:$G$1040,SUBSTITUTE(SUBSTITUTE(SUBSTITUTE($O770,"~","~~"),"*","~*"),"?","~?")))</f>
        <v>4.0</v>
      </c>
      <c r="G770" s="10">
        <f>IF($C770=0,"",COUNTIFS('DEF_SELF_SCOUT_IMPORT'!$L$42:$L$1040,"Y",'DEF_SELF_SCOUT_IMPORT'!$E$42:$E$1040,SUBSTITUTE(SUBSTITUTE(SUBSTITUTE($B770,"~","~~"),"*","~*"),"?","~?"),'DEF_SELF_SCOUT_IMPORT'!$Q$42:$Q$1040,SUBSTITUTE(SUBSTITUTE(SUBSTITUTE($M770,"~","~~"),"*","~*"),"?","~?"),'DEF_SELF_SCOUT_IMPORT'!$F$42:$F$1040,SUBSTITUTE(SUBSTITUTE(SUBSTITUTE($N770,"~","~~"),"*","~*"),"?","~?"),'DEF_SELF_SCOUT_IMPORT'!$G$42:$G$1040,SUBSTITUTE(SUBSTITUTE(SUBSTITUTE($O770,"~","~~"),"*","~*"),"?","~?"),'DEF_SELF_SCOUT_IMPORT'!$H$42:$H$1040,"RUSH")/$C770)</f>
        <v>0.0</v>
      </c>
      <c r="H770" s="10">
        <f>IF($C770=0,"",COUNTIFS('DEF_SELF_SCOUT_IMPORT'!$L$42:$L$1040,"Y",'DEF_SELF_SCOUT_IMPORT'!$E$42:$E$1040,SUBSTITUTE(SUBSTITUTE(SUBSTITUTE($B770,"~","~~"),"*","~*"),"?","~?"),'DEF_SELF_SCOUT_IMPORT'!$Q$42:$Q$1040,SUBSTITUTE(SUBSTITUTE(SUBSTITUTE($M770,"~","~~"),"*","~*"),"?","~?"),'DEF_SELF_SCOUT_IMPORT'!$F$42:$F$1040,SUBSTITUTE(SUBSTITUTE(SUBSTITUTE($N770,"~","~~"),"*","~*"),"?","~?"),'DEF_SELF_SCOUT_IMPORT'!$G$42:$G$1040,SUBSTITUTE(SUBSTITUTE(SUBSTITUTE($O770,"~","~~"),"*","~*"),"?","~?"),'DEF_SELF_SCOUT_IMPORT'!$H$42:$H$1040,"DROPBACK")/$C770)</f>
        <v>1.0</v>
      </c>
      <c r="I770" s="14" t="str">
        <f>IF(C770=0,"",IF(C770&lt;=2,"TRACK",IF(C770=3,"LOW",IF(C770&lt;=6,"MEDIUM","HIGH"))))</f>
        <v>TRACK</v>
      </c>
      <c r="J770" s="11">
        <f>IF(C770=0,"",ROUND(D770*70+(1-E770)*20+MAX(0,MIN(1,(10-F770)/10))*10,1))</f>
        <v>26.0</v>
      </c>
      <c r="K770" s="14" t="str">
        <f>IF(C770=0,"No Evidence",IF(C770&lt;=2,IF(E770&gt;0,"Explosive Alert","Track Only"),IF(C770=3,"Sample Watch",IF(E770&gt;=START_HERE!$B$31,"Explosive Alert",IF(J770&gt;=80,"Strong Candidate",IF(J770&gt;=65,"Good Candidate",IF(J770&gt;=50,"Mixed / Review","Problem Call")))))))</f>
        <v>Track Only</v>
      </c>
      <c r="L770" s="9" t="str">
        <f>IF(COUNTIFS('DEF_SELF_SCOUT_IMPORT'!$L$42:$L$1040,"Y",'DEF_SELF_SCOUT_IMPORT'!$E$42:$E$1040,SUBSTITUTE(SUBSTITUTE(SUBSTITUTE($B770,"~","~~"),"*","~*"),"?","~?"),'DEF_SELF_SCOUT_IMPORT'!$Q$42:$Q$1040,SUBSTITUTE(SUBSTITUTE(SUBSTITUTE($M770,"~","~~"),"*","~*"),"?","~?"),'DEF_SELF_SCOUT_IMPORT'!$F$42:$F$1040,SUBSTITUTE(SUBSTITUTE(SUBSTITUTE($N770,"~","~~"),"*","~*"),"?","~?"),'DEF_SELF_SCOUT_IMPORT'!$G$42:$G$1040,SUBSTITUTE(SUBSTITUTE(SUBSTITUTE($O770,"~","~~"),"*","~*"),"?","~?"),'DEF_SELF_SCOUT_IMPORT'!$J$42:$J$1040,"")&gt;0,"Unscored clean outcome; review result tags before using score.",IF(C770=0,"No matching defensive reps; film confirmation needed.",IF(K770="Explosive Alert","Explosive risk; review clips before using as answer.",IF(C770&lt;=2,"Track only; not enough sample.",IF(C770=3,IF(E770&gt;0,"Sample watch with explosive exposure; review clips and build the sample.",IF(J770&gt;=65,"Good signal, but sample is limited.","Sample watch; review clips and build the sample.")),IF(K770="Problem Call","Problem area; practice or call-sheet review.",IF(K770="Strong Candidate","Strong call-fit candidate; confirm on film.",IF(K770="Good Candidate","Good call-fit signal; confirm on film.","Mixed signal; review fit and execution on film."))))))))</f>
        <v>Track only; not enough sample.</v>
      </c>
      <c r="M770" s="8" t="s">
        <v>111</v>
      </c>
      <c r="N770" s="8" t="s">
        <v>120</v>
      </c>
      <c r="O770" s="8" t="s">
        <v>206</v>
      </c>
      <c r="P770" s="8"/>
      <c r="Q770" s="8"/>
      <c r="R770" s="8" t="s">
        <v>28</v>
      </c>
      <c r="S770" s="2" t="s">
        <v>407</v>
      </c>
      <c r="T770" s="2">
        <f>IF(C770=0,0,IF(C770&gt;=CALL_LOOKUP_BOARD!$B$7,IF(OR(K770="Problem Call",K770="Explosive Alert"),10000000,20000000),0)+IF(C770&gt;=CALL_LOOKUP_BOARD!$B$7,J770*1000+MIN(C770,999),C770*1000+J770)+0.00981800)</f>
        <v>1026.009818</v>
      </c>
      <c r="U770" s="2" t="str">
        <f>IF(C770=0,"",IF(COUNTIFS($S$589:$S$803,SUBSTITUTE(SUBSTITUTE(SUBSTITUTE(S770,"~","~~"),"*","~*"),"?","~?"),$T$589:$T$803,"&gt;"&amp;T770)=0,S770,""))</f>
        <v>6:4D 1-3|2:11|3:3X1|</v>
      </c>
    </row>
    <row r="771" spans="1:21" ht="38" customHeight="1">
      <c r="A771" s="8" t="s">
        <v>406</v>
      </c>
      <c r="B771" s="8" t="s">
        <v>35</v>
      </c>
      <c r="C771" s="12">
        <f>COUNTIFS('DEF_SELF_SCOUT_IMPORT'!$L$42:$L$1040,"Y",'DEF_SELF_SCOUT_IMPORT'!$E$42:$E$1040,SUBSTITUTE(SUBSTITUTE(SUBSTITUTE($B771,"~","~~"),"*","~*"),"?","~?"),'DEF_SELF_SCOUT_IMPORT'!$Q$42:$Q$1040,SUBSTITUTE(SUBSTITUTE(SUBSTITUTE($M771,"~","~~"),"*","~*"),"?","~?"),'DEF_SELF_SCOUT_IMPORT'!$F$42:$F$1040,SUBSTITUTE(SUBSTITUTE(SUBSTITUTE($N771,"~","~~"),"*","~*"),"?","~?"),'DEF_SELF_SCOUT_IMPORT'!$G$42:$G$1040,SUBSTITUTE(SUBSTITUTE(SUBSTITUTE($O771,"~","~~"),"*","~*"),"?","~?"))</f>
        <v>1</v>
      </c>
      <c r="D771" s="10">
        <f>IF($C771=0,"",SUMIFS('DEF_SELF_SCOUT_IMPORT'!$J$42:$J$1040,'DEF_SELF_SCOUT_IMPORT'!$L$42:$L$1040,"Y",'DEF_SELF_SCOUT_IMPORT'!$E$42:$E$1040,SUBSTITUTE(SUBSTITUTE(SUBSTITUTE($B771,"~","~~"),"*","~*"),"?","~?"),'DEF_SELF_SCOUT_IMPORT'!$Q$42:$Q$1040,SUBSTITUTE(SUBSTITUTE(SUBSTITUTE($M771,"~","~~"),"*","~*"),"?","~?"),'DEF_SELF_SCOUT_IMPORT'!$F$42:$F$1040,SUBSTITUTE(SUBSTITUTE(SUBSTITUTE($N771,"~","~~"),"*","~*"),"?","~?"),'DEF_SELF_SCOUT_IMPORT'!$G$42:$G$1040,SUBSTITUTE(SUBSTITUTE(SUBSTITUTE($O771,"~","~~"),"*","~*"),"?","~?"))/$C771)</f>
        <v>0.0</v>
      </c>
      <c r="E771" s="10">
        <f>IF($C771=0,"",SUMIFS('DEF_SELF_SCOUT_IMPORT'!$K$42:$K$1040,'DEF_SELF_SCOUT_IMPORT'!$L$42:$L$1040,"Y",'DEF_SELF_SCOUT_IMPORT'!$E$42:$E$1040,SUBSTITUTE(SUBSTITUTE(SUBSTITUTE($B771,"~","~~"),"*","~*"),"?","~?"),'DEF_SELF_SCOUT_IMPORT'!$Q$42:$Q$1040,SUBSTITUTE(SUBSTITUTE(SUBSTITUTE($M771,"~","~~"),"*","~*"),"?","~?"),'DEF_SELF_SCOUT_IMPORT'!$F$42:$F$1040,SUBSTITUTE(SUBSTITUTE(SUBSTITUTE($N771,"~","~~"),"*","~*"),"?","~?"),'DEF_SELF_SCOUT_IMPORT'!$G$42:$G$1040,SUBSTITUTE(SUBSTITUTE(SUBSTITUTE($O771,"~","~~"),"*","~*"),"?","~?"))/$C771)</f>
        <v>0.0</v>
      </c>
      <c r="F771" s="11">
        <f>IF($C771=0,"",AVERAGEIFS('DEF_SELF_SCOUT_IMPORT'!$I$42:$I$1040,'DEF_SELF_SCOUT_IMPORT'!$L$42:$L$1040,"Y",'DEF_SELF_SCOUT_IMPORT'!$E$42:$E$1040,SUBSTITUTE(SUBSTITUTE(SUBSTITUTE($B771,"~","~~"),"*","~*"),"?","~?"),'DEF_SELF_SCOUT_IMPORT'!$Q$42:$Q$1040,SUBSTITUTE(SUBSTITUTE(SUBSTITUTE($M771,"~","~~"),"*","~*"),"?","~?"),'DEF_SELF_SCOUT_IMPORT'!$F$42:$F$1040,SUBSTITUTE(SUBSTITUTE(SUBSTITUTE($N771,"~","~~"),"*","~*"),"?","~?"),'DEF_SELF_SCOUT_IMPORT'!$G$42:$G$1040,SUBSTITUTE(SUBSTITUTE(SUBSTITUTE($O771,"~","~~"),"*","~*"),"?","~?")))</f>
        <v>5.0</v>
      </c>
      <c r="G771" s="10">
        <f>IF($C771=0,"",COUNTIFS('DEF_SELF_SCOUT_IMPORT'!$L$42:$L$1040,"Y",'DEF_SELF_SCOUT_IMPORT'!$E$42:$E$1040,SUBSTITUTE(SUBSTITUTE(SUBSTITUTE($B771,"~","~~"),"*","~*"),"?","~?"),'DEF_SELF_SCOUT_IMPORT'!$Q$42:$Q$1040,SUBSTITUTE(SUBSTITUTE(SUBSTITUTE($M771,"~","~~"),"*","~*"),"?","~?"),'DEF_SELF_SCOUT_IMPORT'!$F$42:$F$1040,SUBSTITUTE(SUBSTITUTE(SUBSTITUTE($N771,"~","~~"),"*","~*"),"?","~?"),'DEF_SELF_SCOUT_IMPORT'!$G$42:$G$1040,SUBSTITUTE(SUBSTITUTE(SUBSTITUTE($O771,"~","~~"),"*","~*"),"?","~?"),'DEF_SELF_SCOUT_IMPORT'!$H$42:$H$1040,"RUSH")/$C771)</f>
        <v>1.0</v>
      </c>
      <c r="H771" s="10">
        <f>IF($C771=0,"",COUNTIFS('DEF_SELF_SCOUT_IMPORT'!$L$42:$L$1040,"Y",'DEF_SELF_SCOUT_IMPORT'!$E$42:$E$1040,SUBSTITUTE(SUBSTITUTE(SUBSTITUTE($B771,"~","~~"),"*","~*"),"?","~?"),'DEF_SELF_SCOUT_IMPORT'!$Q$42:$Q$1040,SUBSTITUTE(SUBSTITUTE(SUBSTITUTE($M771,"~","~~"),"*","~*"),"?","~?"),'DEF_SELF_SCOUT_IMPORT'!$F$42:$F$1040,SUBSTITUTE(SUBSTITUTE(SUBSTITUTE($N771,"~","~~"),"*","~*"),"?","~?"),'DEF_SELF_SCOUT_IMPORT'!$G$42:$G$1040,SUBSTITUTE(SUBSTITUTE(SUBSTITUTE($O771,"~","~~"),"*","~*"),"?","~?"),'DEF_SELF_SCOUT_IMPORT'!$H$42:$H$1040,"DROPBACK")/$C771)</f>
        <v>0.0</v>
      </c>
      <c r="I771" s="14" t="str">
        <f>IF(C771=0,"",IF(C771&lt;=2,"TRACK",IF(C771=3,"LOW",IF(C771&lt;=6,"MEDIUM","HIGH"))))</f>
        <v>TRACK</v>
      </c>
      <c r="J771" s="11">
        <f>IF(C771=0,"",ROUND(D771*70+(1-E771)*20+MAX(0,MIN(1,(10-F771)/10))*10,1))</f>
        <v>25.0</v>
      </c>
      <c r="K771" s="14" t="str">
        <f>IF(C771=0,"No Evidence",IF(C771&lt;=2,IF(E771&gt;0,"Explosive Alert","Track Only"),IF(C771=3,"Sample Watch",IF(E771&gt;=START_HERE!$B$31,"Explosive Alert",IF(J771&gt;=80,"Strong Candidate",IF(J771&gt;=65,"Good Candidate",IF(J771&gt;=50,"Mixed / Review","Problem Call")))))))</f>
        <v>Track Only</v>
      </c>
      <c r="L771" s="9" t="str">
        <f>IF(COUNTIFS('DEF_SELF_SCOUT_IMPORT'!$L$42:$L$1040,"Y",'DEF_SELF_SCOUT_IMPORT'!$E$42:$E$1040,SUBSTITUTE(SUBSTITUTE(SUBSTITUTE($B771,"~","~~"),"*","~*"),"?","~?"),'DEF_SELF_SCOUT_IMPORT'!$Q$42:$Q$1040,SUBSTITUTE(SUBSTITUTE(SUBSTITUTE($M771,"~","~~"),"*","~*"),"?","~?"),'DEF_SELF_SCOUT_IMPORT'!$F$42:$F$1040,SUBSTITUTE(SUBSTITUTE(SUBSTITUTE($N771,"~","~~"),"*","~*"),"?","~?"),'DEF_SELF_SCOUT_IMPORT'!$G$42:$G$1040,SUBSTITUTE(SUBSTITUTE(SUBSTITUTE($O771,"~","~~"),"*","~*"),"?","~?"),'DEF_SELF_SCOUT_IMPORT'!$J$42:$J$1040,"")&gt;0,"Unscored clean outcome; review result tags before using score.",IF(C771=0,"No matching defensive reps; film confirmation needed.",IF(K771="Explosive Alert","Explosive risk; review clips before using as answer.",IF(C771&lt;=2,"Track only; not enough sample.",IF(C771=3,IF(E771&gt;0,"Sample watch with explosive exposure; review clips and build the sample.",IF(J771&gt;=65,"Good signal, but sample is limited.","Sample watch; review clips and build the sample.")),IF(K771="Problem Call","Problem area; practice or call-sheet review.",IF(K771="Strong Candidate","Strong call-fit candidate; confirm on film.",IF(K771="Good Candidate","Good call-fit signal; confirm on film.","Mixed signal; review fit and execution on film."))))))))</f>
        <v>Track only; not enough sample.</v>
      </c>
      <c r="M771" s="8" t="s">
        <v>111</v>
      </c>
      <c r="N771" s="8" t="s">
        <v>120</v>
      </c>
      <c r="O771" s="8" t="s">
        <v>206</v>
      </c>
      <c r="P771" s="8"/>
      <c r="Q771" s="8"/>
      <c r="R771" s="8" t="s">
        <v>28</v>
      </c>
      <c r="S771" s="2" t="s">
        <v>407</v>
      </c>
      <c r="T771" s="2">
        <f>IF(C771=0,0,IF(C771&gt;=CALL_LOOKUP_BOARD!$B$7,IF(OR(K771="Problem Call",K771="Explosive Alert"),10000000,20000000),0)+IF(C771&gt;=CALL_LOOKUP_BOARD!$B$7,J771*1000+MIN(C771,999),C771*1000+J771)+0.00981700)</f>
        <v>1025.009817</v>
      </c>
      <c r="U771" s="2">
        <f>IF(C771=0,"",IF(COUNTIFS($S$589:$S$803,SUBSTITUTE(SUBSTITUTE(SUBSTITUTE(S771,"~","~~"),"*","~*"),"?","~?"),$T$589:$T$803,"&gt;"&amp;T771)=0,S771,""))</f>
        <v/>
      </c>
    </row>
    <row r="772" spans="1:21" ht="38" customHeight="1">
      <c r="A772" s="8" t="s">
        <v>408</v>
      </c>
      <c r="B772" s="8" t="s">
        <v>27</v>
      </c>
      <c r="C772" s="12">
        <f>COUNTIFS('DEF_SELF_SCOUT_IMPORT'!$L$42:$L$1040,"Y",'DEF_SELF_SCOUT_IMPORT'!$E$42:$E$1040,SUBSTITUTE(SUBSTITUTE(SUBSTITUTE($B772,"~","~~"),"*","~*"),"?","~?"),'DEF_SELF_SCOUT_IMPORT'!$Q$42:$Q$1040,SUBSTITUTE(SUBSTITUTE(SUBSTITUTE($M772,"~","~~"),"*","~*"),"?","~?"),'DEF_SELF_SCOUT_IMPORT'!$F$42:$F$1040,SUBSTITUTE(SUBSTITUTE(SUBSTITUTE($N772,"~","~~"),"*","~*"),"?","~?"),'DEF_SELF_SCOUT_IMPORT'!$G$42:$G$1040,SUBSTITUTE(SUBSTITUTE(SUBSTITUTE($O772,"~","~~"),"*","~*"),"?","~?"))</f>
        <v>1</v>
      </c>
      <c r="D772" s="10">
        <f>IF($C772=0,"",SUMIFS('DEF_SELF_SCOUT_IMPORT'!$J$42:$J$1040,'DEF_SELF_SCOUT_IMPORT'!$L$42:$L$1040,"Y",'DEF_SELF_SCOUT_IMPORT'!$E$42:$E$1040,SUBSTITUTE(SUBSTITUTE(SUBSTITUTE($B772,"~","~~"),"*","~*"),"?","~?"),'DEF_SELF_SCOUT_IMPORT'!$Q$42:$Q$1040,SUBSTITUTE(SUBSTITUTE(SUBSTITUTE($M772,"~","~~"),"*","~*"),"?","~?"),'DEF_SELF_SCOUT_IMPORT'!$F$42:$F$1040,SUBSTITUTE(SUBSTITUTE(SUBSTITUTE($N772,"~","~~"),"*","~*"),"?","~?"),'DEF_SELF_SCOUT_IMPORT'!$G$42:$G$1040,SUBSTITUTE(SUBSTITUTE(SUBSTITUTE($O772,"~","~~"),"*","~*"),"?","~?"))/$C772)</f>
        <v>0.0</v>
      </c>
      <c r="E772" s="10">
        <f>IF($C772=0,"",SUMIFS('DEF_SELF_SCOUT_IMPORT'!$K$42:$K$1040,'DEF_SELF_SCOUT_IMPORT'!$L$42:$L$1040,"Y",'DEF_SELF_SCOUT_IMPORT'!$E$42:$E$1040,SUBSTITUTE(SUBSTITUTE(SUBSTITUTE($B772,"~","~~"),"*","~*"),"?","~?"),'DEF_SELF_SCOUT_IMPORT'!$Q$42:$Q$1040,SUBSTITUTE(SUBSTITUTE(SUBSTITUTE($M772,"~","~~"),"*","~*"),"?","~?"),'DEF_SELF_SCOUT_IMPORT'!$F$42:$F$1040,SUBSTITUTE(SUBSTITUTE(SUBSTITUTE($N772,"~","~~"),"*","~*"),"?","~?"),'DEF_SELF_SCOUT_IMPORT'!$G$42:$G$1040,SUBSTITUTE(SUBSTITUTE(SUBSTITUTE($O772,"~","~~"),"*","~*"),"?","~?"))/$C772)</f>
        <v>1.0</v>
      </c>
      <c r="F772" s="11">
        <f>IF($C772=0,"",AVERAGEIFS('DEF_SELF_SCOUT_IMPORT'!$I$42:$I$1040,'DEF_SELF_SCOUT_IMPORT'!$L$42:$L$1040,"Y",'DEF_SELF_SCOUT_IMPORT'!$E$42:$E$1040,SUBSTITUTE(SUBSTITUTE(SUBSTITUTE($B772,"~","~~"),"*","~*"),"?","~?"),'DEF_SELF_SCOUT_IMPORT'!$Q$42:$Q$1040,SUBSTITUTE(SUBSTITUTE(SUBSTITUTE($M772,"~","~~"),"*","~*"),"?","~?"),'DEF_SELF_SCOUT_IMPORT'!$F$42:$F$1040,SUBSTITUTE(SUBSTITUTE(SUBSTITUTE($N772,"~","~~"),"*","~*"),"?","~?"),'DEF_SELF_SCOUT_IMPORT'!$G$42:$G$1040,SUBSTITUTE(SUBSTITUTE(SUBSTITUTE($O772,"~","~~"),"*","~*"),"?","~?")))</f>
        <v>23.0</v>
      </c>
      <c r="G772" s="10">
        <f>IF($C772=0,"",COUNTIFS('DEF_SELF_SCOUT_IMPORT'!$L$42:$L$1040,"Y",'DEF_SELF_SCOUT_IMPORT'!$E$42:$E$1040,SUBSTITUTE(SUBSTITUTE(SUBSTITUTE($B772,"~","~~"),"*","~*"),"?","~?"),'DEF_SELF_SCOUT_IMPORT'!$Q$42:$Q$1040,SUBSTITUTE(SUBSTITUTE(SUBSTITUTE($M772,"~","~~"),"*","~*"),"?","~?"),'DEF_SELF_SCOUT_IMPORT'!$F$42:$F$1040,SUBSTITUTE(SUBSTITUTE(SUBSTITUTE($N772,"~","~~"),"*","~*"),"?","~?"),'DEF_SELF_SCOUT_IMPORT'!$G$42:$G$1040,SUBSTITUTE(SUBSTITUTE(SUBSTITUTE($O772,"~","~~"),"*","~*"),"?","~?"),'DEF_SELF_SCOUT_IMPORT'!$H$42:$H$1040,"RUSH")/$C772)</f>
        <v>0.0</v>
      </c>
      <c r="H772" s="10">
        <f>IF($C772=0,"",COUNTIFS('DEF_SELF_SCOUT_IMPORT'!$L$42:$L$1040,"Y",'DEF_SELF_SCOUT_IMPORT'!$E$42:$E$1040,SUBSTITUTE(SUBSTITUTE(SUBSTITUTE($B772,"~","~~"),"*","~*"),"?","~?"),'DEF_SELF_SCOUT_IMPORT'!$Q$42:$Q$1040,SUBSTITUTE(SUBSTITUTE(SUBSTITUTE($M772,"~","~~"),"*","~*"),"?","~?"),'DEF_SELF_SCOUT_IMPORT'!$F$42:$F$1040,SUBSTITUTE(SUBSTITUTE(SUBSTITUTE($N772,"~","~~"),"*","~*"),"?","~?"),'DEF_SELF_SCOUT_IMPORT'!$G$42:$G$1040,SUBSTITUTE(SUBSTITUTE(SUBSTITUTE($O772,"~","~~"),"*","~*"),"?","~?"),'DEF_SELF_SCOUT_IMPORT'!$H$42:$H$1040,"DROPBACK")/$C772)</f>
        <v>1.0</v>
      </c>
      <c r="I772" s="14" t="str">
        <f>IF(C772=0,"",IF(C772&lt;=2,"TRACK",IF(C772=3,"LOW",IF(C772&lt;=6,"MEDIUM","HIGH"))))</f>
        <v>TRACK</v>
      </c>
      <c r="J772" s="11">
        <f>IF(C772=0,"",ROUND(D772*70+(1-E772)*20+MAX(0,MIN(1,(10-F772)/10))*10,1))</f>
        <v>0.0</v>
      </c>
      <c r="K772" s="14" t="str">
        <f>IF(C772=0,"No Evidence",IF(C772&lt;=2,IF(E772&gt;0,"Explosive Alert","Track Only"),IF(C772=3,"Sample Watch",IF(E772&gt;=START_HERE!$B$31,"Explosive Alert",IF(J772&gt;=80,"Strong Candidate",IF(J772&gt;=65,"Good Candidate",IF(J772&gt;=50,"Mixed / Review","Problem Call")))))))</f>
        <v>Explosive Alert</v>
      </c>
      <c r="L772" s="9" t="str">
        <f>IF(COUNTIFS('DEF_SELF_SCOUT_IMPORT'!$L$42:$L$1040,"Y",'DEF_SELF_SCOUT_IMPORT'!$E$42:$E$1040,SUBSTITUTE(SUBSTITUTE(SUBSTITUTE($B772,"~","~~"),"*","~*"),"?","~?"),'DEF_SELF_SCOUT_IMPORT'!$Q$42:$Q$1040,SUBSTITUTE(SUBSTITUTE(SUBSTITUTE($M772,"~","~~"),"*","~*"),"?","~?"),'DEF_SELF_SCOUT_IMPORT'!$F$42:$F$1040,SUBSTITUTE(SUBSTITUTE(SUBSTITUTE($N772,"~","~~"),"*","~*"),"?","~?"),'DEF_SELF_SCOUT_IMPORT'!$G$42:$G$1040,SUBSTITUTE(SUBSTITUTE(SUBSTITUTE($O772,"~","~~"),"*","~*"),"?","~?"),'DEF_SELF_SCOUT_IMPORT'!$J$42:$J$1040,"")&gt;0,"Unscored clean outcome; review result tags before using score.",IF(C772=0,"No matching defensive reps; film confirmation needed.",IF(K772="Explosive Alert","Explosive risk; review clips before using as answer.",IF(C772&lt;=2,"Track only; not enough sample.",IF(C772=3,IF(E772&gt;0,"Sample watch with explosive exposure; review clips and build the sample.",IF(J772&gt;=65,"Good signal, but sample is limited.","Sample watch; review clips and build the sample.")),IF(K772="Problem Call","Problem area; practice or call-sheet review.",IF(K772="Strong Candidate","Strong call-fit candidate; confirm on film.",IF(K772="Good Candidate","Good call-fit signal; confirm on film.","Mixed signal; review fit and execution on film."))))))))</f>
        <v>Explosive risk; review clips before using as answer.</v>
      </c>
      <c r="M772" s="8" t="s">
        <v>111</v>
      </c>
      <c r="N772" s="8" t="s">
        <v>123</v>
      </c>
      <c r="O772" s="8" t="s">
        <v>203</v>
      </c>
      <c r="P772" s="8"/>
      <c r="Q772" s="8"/>
      <c r="R772" s="8" t="s">
        <v>28</v>
      </c>
      <c r="S772" s="2" t="s">
        <v>409</v>
      </c>
      <c r="T772" s="2">
        <f>IF(C772=0,0,IF(C772&gt;=CALL_LOOKUP_BOARD!$B$7,IF(OR(K772="Problem Call",K772="Explosive Alert"),10000000,20000000),0)+IF(C772&gt;=CALL_LOOKUP_BOARD!$B$7,J772*1000+MIN(C772,999),C772*1000+J772)+0.00981600)</f>
        <v>1000.009816</v>
      </c>
      <c r="U772" s="2">
        <f>IF(C772=0,"",IF(COUNTIFS($S$589:$S$803,SUBSTITUTE(SUBSTITUTE(SUBSTITUTE(S772,"~","~~"),"*","~*"),"?","~?"),$T$589:$T$803,"&gt;"&amp;T772)=0,S772,""))</f>
        <v/>
      </c>
    </row>
    <row r="773" spans="1:21" ht="38" customHeight="1">
      <c r="A773" s="8" t="s">
        <v>408</v>
      </c>
      <c r="B773" s="8" t="s">
        <v>95</v>
      </c>
      <c r="C773" s="12">
        <f>COUNTIFS('DEF_SELF_SCOUT_IMPORT'!$L$42:$L$1040,"Y",'DEF_SELF_SCOUT_IMPORT'!$E$42:$E$1040,SUBSTITUTE(SUBSTITUTE(SUBSTITUTE($B773,"~","~~"),"*","~*"),"?","~?"),'DEF_SELF_SCOUT_IMPORT'!$Q$42:$Q$1040,SUBSTITUTE(SUBSTITUTE(SUBSTITUTE($M773,"~","~~"),"*","~*"),"?","~?"),'DEF_SELF_SCOUT_IMPORT'!$F$42:$F$1040,SUBSTITUTE(SUBSTITUTE(SUBSTITUTE($N773,"~","~~"),"*","~*"),"?","~?"),'DEF_SELF_SCOUT_IMPORT'!$G$42:$G$1040,SUBSTITUTE(SUBSTITUTE(SUBSTITUTE($O773,"~","~~"),"*","~*"),"?","~?"))</f>
        <v>1</v>
      </c>
      <c r="D773" s="10">
        <f>IF($C773=0,"",SUMIFS('DEF_SELF_SCOUT_IMPORT'!$J$42:$J$1040,'DEF_SELF_SCOUT_IMPORT'!$L$42:$L$1040,"Y",'DEF_SELF_SCOUT_IMPORT'!$E$42:$E$1040,SUBSTITUTE(SUBSTITUTE(SUBSTITUTE($B773,"~","~~"),"*","~*"),"?","~?"),'DEF_SELF_SCOUT_IMPORT'!$Q$42:$Q$1040,SUBSTITUTE(SUBSTITUTE(SUBSTITUTE($M773,"~","~~"),"*","~*"),"?","~?"),'DEF_SELF_SCOUT_IMPORT'!$F$42:$F$1040,SUBSTITUTE(SUBSTITUTE(SUBSTITUTE($N773,"~","~~"),"*","~*"),"?","~?"),'DEF_SELF_SCOUT_IMPORT'!$G$42:$G$1040,SUBSTITUTE(SUBSTITUTE(SUBSTITUTE($O773,"~","~~"),"*","~*"),"?","~?"))/$C773)</f>
        <v>0.0</v>
      </c>
      <c r="E773" s="10">
        <f>IF($C773=0,"",SUMIFS('DEF_SELF_SCOUT_IMPORT'!$K$42:$K$1040,'DEF_SELF_SCOUT_IMPORT'!$L$42:$L$1040,"Y",'DEF_SELF_SCOUT_IMPORT'!$E$42:$E$1040,SUBSTITUTE(SUBSTITUTE(SUBSTITUTE($B773,"~","~~"),"*","~*"),"?","~?"),'DEF_SELF_SCOUT_IMPORT'!$Q$42:$Q$1040,SUBSTITUTE(SUBSTITUTE(SUBSTITUTE($M773,"~","~~"),"*","~*"),"?","~?"),'DEF_SELF_SCOUT_IMPORT'!$F$42:$F$1040,SUBSTITUTE(SUBSTITUTE(SUBSTITUTE($N773,"~","~~"),"*","~*"),"?","~?"),'DEF_SELF_SCOUT_IMPORT'!$G$42:$G$1040,SUBSTITUTE(SUBSTITUTE(SUBSTITUTE($O773,"~","~~"),"*","~*"),"?","~?"))/$C773)</f>
        <v>0.0</v>
      </c>
      <c r="F773" s="11">
        <f>IF($C773=0,"",AVERAGEIFS('DEF_SELF_SCOUT_IMPORT'!$I$42:$I$1040,'DEF_SELF_SCOUT_IMPORT'!$L$42:$L$1040,"Y",'DEF_SELF_SCOUT_IMPORT'!$E$42:$E$1040,SUBSTITUTE(SUBSTITUTE(SUBSTITUTE($B773,"~","~~"),"*","~*"),"?","~?"),'DEF_SELF_SCOUT_IMPORT'!$Q$42:$Q$1040,SUBSTITUTE(SUBSTITUTE(SUBSTITUTE($M773,"~","~~"),"*","~*"),"?","~?"),'DEF_SELF_SCOUT_IMPORT'!$F$42:$F$1040,SUBSTITUTE(SUBSTITUTE(SUBSTITUTE($N773,"~","~~"),"*","~*"),"?","~?"),'DEF_SELF_SCOUT_IMPORT'!$G$42:$G$1040,SUBSTITUTE(SUBSTITUTE(SUBSTITUTE($O773,"~","~~"),"*","~*"),"?","~?")))</f>
        <v>3.0</v>
      </c>
      <c r="G773" s="10">
        <f>IF($C773=0,"",COUNTIFS('DEF_SELF_SCOUT_IMPORT'!$L$42:$L$1040,"Y",'DEF_SELF_SCOUT_IMPORT'!$E$42:$E$1040,SUBSTITUTE(SUBSTITUTE(SUBSTITUTE($B773,"~","~~"),"*","~*"),"?","~?"),'DEF_SELF_SCOUT_IMPORT'!$Q$42:$Q$1040,SUBSTITUTE(SUBSTITUTE(SUBSTITUTE($M773,"~","~~"),"*","~*"),"?","~?"),'DEF_SELF_SCOUT_IMPORT'!$F$42:$F$1040,SUBSTITUTE(SUBSTITUTE(SUBSTITUTE($N773,"~","~~"),"*","~*"),"?","~?"),'DEF_SELF_SCOUT_IMPORT'!$G$42:$G$1040,SUBSTITUTE(SUBSTITUTE(SUBSTITUTE($O773,"~","~~"),"*","~*"),"?","~?"),'DEF_SELF_SCOUT_IMPORT'!$H$42:$H$1040,"RUSH")/$C773)</f>
        <v>1.0</v>
      </c>
      <c r="H773" s="10">
        <f>IF($C773=0,"",COUNTIFS('DEF_SELF_SCOUT_IMPORT'!$L$42:$L$1040,"Y",'DEF_SELF_SCOUT_IMPORT'!$E$42:$E$1040,SUBSTITUTE(SUBSTITUTE(SUBSTITUTE($B773,"~","~~"),"*","~*"),"?","~?"),'DEF_SELF_SCOUT_IMPORT'!$Q$42:$Q$1040,SUBSTITUTE(SUBSTITUTE(SUBSTITUTE($M773,"~","~~"),"*","~*"),"?","~?"),'DEF_SELF_SCOUT_IMPORT'!$F$42:$F$1040,SUBSTITUTE(SUBSTITUTE(SUBSTITUTE($N773,"~","~~"),"*","~*"),"?","~?"),'DEF_SELF_SCOUT_IMPORT'!$G$42:$G$1040,SUBSTITUTE(SUBSTITUTE(SUBSTITUTE($O773,"~","~~"),"*","~*"),"?","~?"),'DEF_SELF_SCOUT_IMPORT'!$H$42:$H$1040,"DROPBACK")/$C773)</f>
        <v>0.0</v>
      </c>
      <c r="I773" s="14" t="str">
        <f>IF(C773=0,"",IF(C773&lt;=2,"TRACK",IF(C773=3,"LOW",IF(C773&lt;=6,"MEDIUM","HIGH"))))</f>
        <v>TRACK</v>
      </c>
      <c r="J773" s="11">
        <f>IF(C773=0,"",ROUND(D773*70+(1-E773)*20+MAX(0,MIN(1,(10-F773)/10))*10,1))</f>
        <v>27.0</v>
      </c>
      <c r="K773" s="14" t="str">
        <f>IF(C773=0,"No Evidence",IF(C773&lt;=2,IF(E773&gt;0,"Explosive Alert","Track Only"),IF(C773=3,"Sample Watch",IF(E773&gt;=START_HERE!$B$31,"Explosive Alert",IF(J773&gt;=80,"Strong Candidate",IF(J773&gt;=65,"Good Candidate",IF(J773&gt;=50,"Mixed / Review","Problem Call")))))))</f>
        <v>Track Only</v>
      </c>
      <c r="L773" s="9" t="str">
        <f>IF(COUNTIFS('DEF_SELF_SCOUT_IMPORT'!$L$42:$L$1040,"Y",'DEF_SELF_SCOUT_IMPORT'!$E$42:$E$1040,SUBSTITUTE(SUBSTITUTE(SUBSTITUTE($B773,"~","~~"),"*","~*"),"?","~?"),'DEF_SELF_SCOUT_IMPORT'!$Q$42:$Q$1040,SUBSTITUTE(SUBSTITUTE(SUBSTITUTE($M773,"~","~~"),"*","~*"),"?","~?"),'DEF_SELF_SCOUT_IMPORT'!$F$42:$F$1040,SUBSTITUTE(SUBSTITUTE(SUBSTITUTE($N773,"~","~~"),"*","~*"),"?","~?"),'DEF_SELF_SCOUT_IMPORT'!$G$42:$G$1040,SUBSTITUTE(SUBSTITUTE(SUBSTITUTE($O773,"~","~~"),"*","~*"),"?","~?"),'DEF_SELF_SCOUT_IMPORT'!$J$42:$J$1040,"")&gt;0,"Unscored clean outcome; review result tags before using score.",IF(C773=0,"No matching defensive reps; film confirmation needed.",IF(K773="Explosive Alert","Explosive risk; review clips before using as answer.",IF(C773&lt;=2,"Track only; not enough sample.",IF(C773=3,IF(E773&gt;0,"Sample watch with explosive exposure; review clips and build the sample.",IF(J773&gt;=65,"Good signal, but sample is limited.","Sample watch; review clips and build the sample.")),IF(K773="Problem Call","Problem area; practice or call-sheet review.",IF(K773="Strong Candidate","Strong call-fit candidate; confirm on film.",IF(K773="Good Candidate","Good call-fit signal; confirm on film.","Mixed signal; review fit and execution on film."))))))))</f>
        <v>Track only; not enough sample.</v>
      </c>
      <c r="M773" s="8" t="s">
        <v>111</v>
      </c>
      <c r="N773" s="8" t="s">
        <v>123</v>
      </c>
      <c r="O773" s="8" t="s">
        <v>203</v>
      </c>
      <c r="P773" s="8"/>
      <c r="Q773" s="8"/>
      <c r="R773" s="8" t="s">
        <v>28</v>
      </c>
      <c r="S773" s="2" t="s">
        <v>409</v>
      </c>
      <c r="T773" s="2">
        <f>IF(C773=0,0,IF(C773&gt;=CALL_LOOKUP_BOARD!$B$7,IF(OR(K773="Problem Call",K773="Explosive Alert"),10000000,20000000),0)+IF(C773&gt;=CALL_LOOKUP_BOARD!$B$7,J773*1000+MIN(C773,999),C773*1000+J773)+0.00981500)</f>
        <v>1027.009815</v>
      </c>
      <c r="U773" s="2" t="str">
        <f>IF(C773=0,"",IF(COUNTIFS($S$589:$S$803,SUBSTITUTE(SUBSTITUTE(SUBSTITUTE(S773,"~","~~"),"*","~*"),"?","~?"),$T$589:$T$803,"&gt;"&amp;T773)=0,S773,""))</f>
        <v>6:4D 1-3|2:12|3:2X2|</v>
      </c>
    </row>
    <row r="774" spans="1:21" ht="38" customHeight="1">
      <c r="A774" s="8" t="s">
        <v>410</v>
      </c>
      <c r="B774" s="8" t="s">
        <v>27</v>
      </c>
      <c r="C774" s="12">
        <f>COUNTIFS('DEF_SELF_SCOUT_IMPORT'!$L$42:$L$1040,"Y",'DEF_SELF_SCOUT_IMPORT'!$E$42:$E$1040,SUBSTITUTE(SUBSTITUTE(SUBSTITUTE($B774,"~","~~"),"*","~*"),"?","~?"),'DEF_SELF_SCOUT_IMPORT'!$Q$42:$Q$1040,SUBSTITUTE(SUBSTITUTE(SUBSTITUTE($M774,"~","~~"),"*","~*"),"?","~?"),'DEF_SELF_SCOUT_IMPORT'!$F$42:$F$1040,SUBSTITUTE(SUBSTITUTE(SUBSTITUTE($N774,"~","~~"),"*","~*"),"?","~?"),'DEF_SELF_SCOUT_IMPORT'!$G$42:$G$1040,SUBSTITUTE(SUBSTITUTE(SUBSTITUTE($O774,"~","~~"),"*","~*"),"?","~?"))</f>
        <v>1</v>
      </c>
      <c r="D774" s="10">
        <f>IF($C774=0,"",SUMIFS('DEF_SELF_SCOUT_IMPORT'!$J$42:$J$1040,'DEF_SELF_SCOUT_IMPORT'!$L$42:$L$1040,"Y",'DEF_SELF_SCOUT_IMPORT'!$E$42:$E$1040,SUBSTITUTE(SUBSTITUTE(SUBSTITUTE($B774,"~","~~"),"*","~*"),"?","~?"),'DEF_SELF_SCOUT_IMPORT'!$Q$42:$Q$1040,SUBSTITUTE(SUBSTITUTE(SUBSTITUTE($M774,"~","~~"),"*","~*"),"?","~?"),'DEF_SELF_SCOUT_IMPORT'!$F$42:$F$1040,SUBSTITUTE(SUBSTITUTE(SUBSTITUTE($N774,"~","~~"),"*","~*"),"?","~?"),'DEF_SELF_SCOUT_IMPORT'!$G$42:$G$1040,SUBSTITUTE(SUBSTITUTE(SUBSTITUTE($O774,"~","~~"),"*","~*"),"?","~?"))/$C774)</f>
        <v>1.0</v>
      </c>
      <c r="E774" s="10">
        <f>IF($C774=0,"",SUMIFS('DEF_SELF_SCOUT_IMPORT'!$K$42:$K$1040,'DEF_SELF_SCOUT_IMPORT'!$L$42:$L$1040,"Y",'DEF_SELF_SCOUT_IMPORT'!$E$42:$E$1040,SUBSTITUTE(SUBSTITUTE(SUBSTITUTE($B774,"~","~~"),"*","~*"),"?","~?"),'DEF_SELF_SCOUT_IMPORT'!$Q$42:$Q$1040,SUBSTITUTE(SUBSTITUTE(SUBSTITUTE($M774,"~","~~"),"*","~*"),"?","~?"),'DEF_SELF_SCOUT_IMPORT'!$F$42:$F$1040,SUBSTITUTE(SUBSTITUTE(SUBSTITUTE($N774,"~","~~"),"*","~*"),"?","~?"),'DEF_SELF_SCOUT_IMPORT'!$G$42:$G$1040,SUBSTITUTE(SUBSTITUTE(SUBSTITUTE($O774,"~","~~"),"*","~*"),"?","~?"))/$C774)</f>
        <v>0.0</v>
      </c>
      <c r="F774" s="11">
        <f>IF($C774=0,"",AVERAGEIFS('DEF_SELF_SCOUT_IMPORT'!$I$42:$I$1040,'DEF_SELF_SCOUT_IMPORT'!$L$42:$L$1040,"Y",'DEF_SELF_SCOUT_IMPORT'!$E$42:$E$1040,SUBSTITUTE(SUBSTITUTE(SUBSTITUTE($B774,"~","~~"),"*","~*"),"?","~?"),'DEF_SELF_SCOUT_IMPORT'!$Q$42:$Q$1040,SUBSTITUTE(SUBSTITUTE(SUBSTITUTE($M774,"~","~~"),"*","~*"),"?","~?"),'DEF_SELF_SCOUT_IMPORT'!$F$42:$F$1040,SUBSTITUTE(SUBSTITUTE(SUBSTITUTE($N774,"~","~~"),"*","~*"),"?","~?"),'DEF_SELF_SCOUT_IMPORT'!$G$42:$G$1040,SUBSTITUTE(SUBSTITUTE(SUBSTITUTE($O774,"~","~~"),"*","~*"),"?","~?")))</f>
        <v>0.0</v>
      </c>
      <c r="G774" s="10">
        <f>IF($C774=0,"",COUNTIFS('DEF_SELF_SCOUT_IMPORT'!$L$42:$L$1040,"Y",'DEF_SELF_SCOUT_IMPORT'!$E$42:$E$1040,SUBSTITUTE(SUBSTITUTE(SUBSTITUTE($B774,"~","~~"),"*","~*"),"?","~?"),'DEF_SELF_SCOUT_IMPORT'!$Q$42:$Q$1040,SUBSTITUTE(SUBSTITUTE(SUBSTITUTE($M774,"~","~~"),"*","~*"),"?","~?"),'DEF_SELF_SCOUT_IMPORT'!$F$42:$F$1040,SUBSTITUTE(SUBSTITUTE(SUBSTITUTE($N774,"~","~~"),"*","~*"),"?","~?"),'DEF_SELF_SCOUT_IMPORT'!$G$42:$G$1040,SUBSTITUTE(SUBSTITUTE(SUBSTITUTE($O774,"~","~~"),"*","~*"),"?","~?"),'DEF_SELF_SCOUT_IMPORT'!$H$42:$H$1040,"RUSH")/$C774)</f>
        <v>0.0</v>
      </c>
      <c r="H774" s="10">
        <f>IF($C774=0,"",COUNTIFS('DEF_SELF_SCOUT_IMPORT'!$L$42:$L$1040,"Y",'DEF_SELF_SCOUT_IMPORT'!$E$42:$E$1040,SUBSTITUTE(SUBSTITUTE(SUBSTITUTE($B774,"~","~~"),"*","~*"),"?","~?"),'DEF_SELF_SCOUT_IMPORT'!$Q$42:$Q$1040,SUBSTITUTE(SUBSTITUTE(SUBSTITUTE($M774,"~","~~"),"*","~*"),"?","~?"),'DEF_SELF_SCOUT_IMPORT'!$F$42:$F$1040,SUBSTITUTE(SUBSTITUTE(SUBSTITUTE($N774,"~","~~"),"*","~*"),"?","~?"),'DEF_SELF_SCOUT_IMPORT'!$G$42:$G$1040,SUBSTITUTE(SUBSTITUTE(SUBSTITUTE($O774,"~","~~"),"*","~*"),"?","~?"),'DEF_SELF_SCOUT_IMPORT'!$H$42:$H$1040,"DROPBACK")/$C774)</f>
        <v>1.0</v>
      </c>
      <c r="I774" s="14" t="str">
        <f>IF(C774=0,"",IF(C774&lt;=2,"TRACK",IF(C774=3,"LOW",IF(C774&lt;=6,"MEDIUM","HIGH"))))</f>
        <v>TRACK</v>
      </c>
      <c r="J774" s="11">
        <f>IF(C774=0,"",ROUND(D774*70+(1-E774)*20+MAX(0,MIN(1,(10-F774)/10))*10,1))</f>
        <v>100.0</v>
      </c>
      <c r="K774" s="14" t="str">
        <f>IF(C774=0,"No Evidence",IF(C774&lt;=2,IF(E774&gt;0,"Explosive Alert","Track Only"),IF(C774=3,"Sample Watch",IF(E774&gt;=START_HERE!$B$31,"Explosive Alert",IF(J774&gt;=80,"Strong Candidate",IF(J774&gt;=65,"Good Candidate",IF(J774&gt;=50,"Mixed / Review","Problem Call")))))))</f>
        <v>Track Only</v>
      </c>
      <c r="L774" s="9" t="str">
        <f>IF(COUNTIFS('DEF_SELF_SCOUT_IMPORT'!$L$42:$L$1040,"Y",'DEF_SELF_SCOUT_IMPORT'!$E$42:$E$1040,SUBSTITUTE(SUBSTITUTE(SUBSTITUTE($B774,"~","~~"),"*","~*"),"?","~?"),'DEF_SELF_SCOUT_IMPORT'!$Q$42:$Q$1040,SUBSTITUTE(SUBSTITUTE(SUBSTITUTE($M774,"~","~~"),"*","~*"),"?","~?"),'DEF_SELF_SCOUT_IMPORT'!$F$42:$F$1040,SUBSTITUTE(SUBSTITUTE(SUBSTITUTE($N774,"~","~~"),"*","~*"),"?","~?"),'DEF_SELF_SCOUT_IMPORT'!$G$42:$G$1040,SUBSTITUTE(SUBSTITUTE(SUBSTITUTE($O774,"~","~~"),"*","~*"),"?","~?"),'DEF_SELF_SCOUT_IMPORT'!$J$42:$J$1040,"")&gt;0,"Unscored clean outcome; review result tags before using score.",IF(C774=0,"No matching defensive reps; film confirmation needed.",IF(K774="Explosive Alert","Explosive risk; review clips before using as answer.",IF(C774&lt;=2,"Track only; not enough sample.",IF(C774=3,IF(E774&gt;0,"Sample watch with explosive exposure; review clips and build the sample.",IF(J774&gt;=65,"Good signal, but sample is limited.","Sample watch; review clips and build the sample.")),IF(K774="Problem Call","Problem area; practice or call-sheet review.",IF(K774="Strong Candidate","Strong call-fit candidate; confirm on film.",IF(K774="Good Candidate","Good call-fit signal; confirm on film.","Mixed signal; review fit and execution on film."))))))))</f>
        <v>Track only; not enough sample.</v>
      </c>
      <c r="M774" s="8" t="s">
        <v>113</v>
      </c>
      <c r="N774" s="8" t="s">
        <v>132</v>
      </c>
      <c r="O774" s="8" t="s">
        <v>222</v>
      </c>
      <c r="P774" s="8"/>
      <c r="Q774" s="8"/>
      <c r="R774" s="8" t="s">
        <v>28</v>
      </c>
      <c r="S774" s="2" t="s">
        <v>411</v>
      </c>
      <c r="T774" s="2">
        <f>IF(C774=0,0,IF(C774&gt;=CALL_LOOKUP_BOARD!$B$7,IF(OR(K774="Problem Call",K774="Explosive Alert"),10000000,20000000),0)+IF(C774&gt;=CALL_LOOKUP_BOARD!$B$7,J774*1000+MIN(C774,999),C774*1000+J774)+0.00981400)</f>
        <v>1100.009814</v>
      </c>
      <c r="U774" s="2" t="str">
        <f>IF(C774=0,"",IF(COUNTIFS($S$589:$S$803,SUBSTITUTE(SUBSTITUTE(SUBSTITUTE(S774,"~","~~"),"*","~*"),"?","~?"),$T$589:$T$803,"&gt;"&amp;T774)=0,S774,""))</f>
        <v>6:4D 4-6|2:00|3:3X2|</v>
      </c>
    </row>
    <row r="775" spans="1:21" ht="38" customHeight="1">
      <c r="A775" s="8" t="s">
        <v>412</v>
      </c>
      <c r="B775" s="8" t="s">
        <v>42</v>
      </c>
      <c r="C775" s="12">
        <f>COUNTIFS('DEF_SELF_SCOUT_IMPORT'!$L$42:$L$1040,"Y",'DEF_SELF_SCOUT_IMPORT'!$E$42:$E$1040,SUBSTITUTE(SUBSTITUTE(SUBSTITUTE($B775,"~","~~"),"*","~*"),"?","~?"),'DEF_SELF_SCOUT_IMPORT'!$Q$42:$Q$1040,SUBSTITUTE(SUBSTITUTE(SUBSTITUTE($M775,"~","~~"),"*","~*"),"?","~?"),'DEF_SELF_SCOUT_IMPORT'!$F$42:$F$1040,SUBSTITUTE(SUBSTITUTE(SUBSTITUTE($N775,"~","~~"),"*","~*"),"?","~?"),'DEF_SELF_SCOUT_IMPORT'!$G$42:$G$1040,SUBSTITUTE(SUBSTITUTE(SUBSTITUTE($O775,"~","~~"),"*","~*"),"?","~?"))</f>
        <v>1</v>
      </c>
      <c r="D775" s="10">
        <f>IF($C775=0,"",SUMIFS('DEF_SELF_SCOUT_IMPORT'!$J$42:$J$1040,'DEF_SELF_SCOUT_IMPORT'!$L$42:$L$1040,"Y",'DEF_SELF_SCOUT_IMPORT'!$E$42:$E$1040,SUBSTITUTE(SUBSTITUTE(SUBSTITUTE($B775,"~","~~"),"*","~*"),"?","~?"),'DEF_SELF_SCOUT_IMPORT'!$Q$42:$Q$1040,SUBSTITUTE(SUBSTITUTE(SUBSTITUTE($M775,"~","~~"),"*","~*"),"?","~?"),'DEF_SELF_SCOUT_IMPORT'!$F$42:$F$1040,SUBSTITUTE(SUBSTITUTE(SUBSTITUTE($N775,"~","~~"),"*","~*"),"?","~?"),'DEF_SELF_SCOUT_IMPORT'!$G$42:$G$1040,SUBSTITUTE(SUBSTITUTE(SUBSTITUTE($O775,"~","~~"),"*","~*"),"?","~?"))/$C775)</f>
        <v>0.0</v>
      </c>
      <c r="E775" s="10">
        <f>IF($C775=0,"",SUMIFS('DEF_SELF_SCOUT_IMPORT'!$K$42:$K$1040,'DEF_SELF_SCOUT_IMPORT'!$L$42:$L$1040,"Y",'DEF_SELF_SCOUT_IMPORT'!$E$42:$E$1040,SUBSTITUTE(SUBSTITUTE(SUBSTITUTE($B775,"~","~~"),"*","~*"),"?","~?"),'DEF_SELF_SCOUT_IMPORT'!$Q$42:$Q$1040,SUBSTITUTE(SUBSTITUTE(SUBSTITUTE($M775,"~","~~"),"*","~*"),"?","~?"),'DEF_SELF_SCOUT_IMPORT'!$F$42:$F$1040,SUBSTITUTE(SUBSTITUTE(SUBSTITUTE($N775,"~","~~"),"*","~*"),"?","~?"),'DEF_SELF_SCOUT_IMPORT'!$G$42:$G$1040,SUBSTITUTE(SUBSTITUTE(SUBSTITUTE($O775,"~","~~"),"*","~*"),"?","~?"))/$C775)</f>
        <v>1.0</v>
      </c>
      <c r="F775" s="11">
        <f>IF($C775=0,"",AVERAGEIFS('DEF_SELF_SCOUT_IMPORT'!$I$42:$I$1040,'DEF_SELF_SCOUT_IMPORT'!$L$42:$L$1040,"Y",'DEF_SELF_SCOUT_IMPORT'!$E$42:$E$1040,SUBSTITUTE(SUBSTITUTE(SUBSTITUTE($B775,"~","~~"),"*","~*"),"?","~?"),'DEF_SELF_SCOUT_IMPORT'!$Q$42:$Q$1040,SUBSTITUTE(SUBSTITUTE(SUBSTITUTE($M775,"~","~~"),"*","~*"),"?","~?"),'DEF_SELF_SCOUT_IMPORT'!$F$42:$F$1040,SUBSTITUTE(SUBSTITUTE(SUBSTITUTE($N775,"~","~~"),"*","~*"),"?","~?"),'DEF_SELF_SCOUT_IMPORT'!$G$42:$G$1040,SUBSTITUTE(SUBSTITUTE(SUBSTITUTE($O775,"~","~~"),"*","~*"),"?","~?")))</f>
        <v>29.0</v>
      </c>
      <c r="G775" s="10">
        <f>IF($C775=0,"",COUNTIFS('DEF_SELF_SCOUT_IMPORT'!$L$42:$L$1040,"Y",'DEF_SELF_SCOUT_IMPORT'!$E$42:$E$1040,SUBSTITUTE(SUBSTITUTE(SUBSTITUTE($B775,"~","~~"),"*","~*"),"?","~?"),'DEF_SELF_SCOUT_IMPORT'!$Q$42:$Q$1040,SUBSTITUTE(SUBSTITUTE(SUBSTITUTE($M775,"~","~~"),"*","~*"),"?","~?"),'DEF_SELF_SCOUT_IMPORT'!$F$42:$F$1040,SUBSTITUTE(SUBSTITUTE(SUBSTITUTE($N775,"~","~~"),"*","~*"),"?","~?"),'DEF_SELF_SCOUT_IMPORT'!$G$42:$G$1040,SUBSTITUTE(SUBSTITUTE(SUBSTITUTE($O775,"~","~~"),"*","~*"),"?","~?"),'DEF_SELF_SCOUT_IMPORT'!$H$42:$H$1040,"RUSH")/$C775)</f>
        <v>0.0</v>
      </c>
      <c r="H775" s="10">
        <f>IF($C775=0,"",COUNTIFS('DEF_SELF_SCOUT_IMPORT'!$L$42:$L$1040,"Y",'DEF_SELF_SCOUT_IMPORT'!$E$42:$E$1040,SUBSTITUTE(SUBSTITUTE(SUBSTITUTE($B775,"~","~~"),"*","~*"),"?","~?"),'DEF_SELF_SCOUT_IMPORT'!$Q$42:$Q$1040,SUBSTITUTE(SUBSTITUTE(SUBSTITUTE($M775,"~","~~"),"*","~*"),"?","~?"),'DEF_SELF_SCOUT_IMPORT'!$F$42:$F$1040,SUBSTITUTE(SUBSTITUTE(SUBSTITUTE($N775,"~","~~"),"*","~*"),"?","~?"),'DEF_SELF_SCOUT_IMPORT'!$G$42:$G$1040,SUBSTITUTE(SUBSTITUTE(SUBSTITUTE($O775,"~","~~"),"*","~*"),"?","~?"),'DEF_SELF_SCOUT_IMPORT'!$H$42:$H$1040,"DROPBACK")/$C775)</f>
        <v>1.0</v>
      </c>
      <c r="I775" s="14" t="str">
        <f>IF(C775=0,"",IF(C775&lt;=2,"TRACK",IF(C775=3,"LOW",IF(C775&lt;=6,"MEDIUM","HIGH"))))</f>
        <v>TRACK</v>
      </c>
      <c r="J775" s="11">
        <f>IF(C775=0,"",ROUND(D775*70+(1-E775)*20+MAX(0,MIN(1,(10-F775)/10))*10,1))</f>
        <v>0.0</v>
      </c>
      <c r="K775" s="14" t="str">
        <f>IF(C775=0,"No Evidence",IF(C775&lt;=2,IF(E775&gt;0,"Explosive Alert","Track Only"),IF(C775=3,"Sample Watch",IF(E775&gt;=START_HERE!$B$31,"Explosive Alert",IF(J775&gt;=80,"Strong Candidate",IF(J775&gt;=65,"Good Candidate",IF(J775&gt;=50,"Mixed / Review","Problem Call")))))))</f>
        <v>Explosive Alert</v>
      </c>
      <c r="L775" s="9" t="str">
        <f>IF(COUNTIFS('DEF_SELF_SCOUT_IMPORT'!$L$42:$L$1040,"Y",'DEF_SELF_SCOUT_IMPORT'!$E$42:$E$1040,SUBSTITUTE(SUBSTITUTE(SUBSTITUTE($B775,"~","~~"),"*","~*"),"?","~?"),'DEF_SELF_SCOUT_IMPORT'!$Q$42:$Q$1040,SUBSTITUTE(SUBSTITUTE(SUBSTITUTE($M775,"~","~~"),"*","~*"),"?","~?"),'DEF_SELF_SCOUT_IMPORT'!$F$42:$F$1040,SUBSTITUTE(SUBSTITUTE(SUBSTITUTE($N775,"~","~~"),"*","~*"),"?","~?"),'DEF_SELF_SCOUT_IMPORT'!$G$42:$G$1040,SUBSTITUTE(SUBSTITUTE(SUBSTITUTE($O775,"~","~~"),"*","~*"),"?","~?"),'DEF_SELF_SCOUT_IMPORT'!$J$42:$J$1040,"")&gt;0,"Unscored clean outcome; review result tags before using score.",IF(C775=0,"No matching defensive reps; film confirmation needed.",IF(K775="Explosive Alert","Explosive risk; review clips before using as answer.",IF(C775&lt;=2,"Track only; not enough sample.",IF(C775=3,IF(E775&gt;0,"Sample watch with explosive exposure; review clips and build the sample.",IF(J775&gt;=65,"Good signal, but sample is limited.","Sample watch; review clips and build the sample.")),IF(K775="Problem Call","Problem area; practice or call-sheet review.",IF(K775="Strong Candidate","Strong call-fit candidate; confirm on film.",IF(K775="Good Candidate","Good call-fit signal; confirm on film.","Mixed signal; review fit and execution on film."))))))))</f>
        <v>Explosive risk; review clips before using as answer.</v>
      </c>
      <c r="M775" s="8" t="s">
        <v>113</v>
      </c>
      <c r="N775" s="8" t="s">
        <v>120</v>
      </c>
      <c r="O775" s="8" t="s">
        <v>206</v>
      </c>
      <c r="P775" s="8"/>
      <c r="Q775" s="8"/>
      <c r="R775" s="8" t="s">
        <v>28</v>
      </c>
      <c r="S775" s="2" t="s">
        <v>413</v>
      </c>
      <c r="T775" s="2">
        <f>IF(C775=0,0,IF(C775&gt;=CALL_LOOKUP_BOARD!$B$7,IF(OR(K775="Problem Call",K775="Explosive Alert"),10000000,20000000),0)+IF(C775&gt;=CALL_LOOKUP_BOARD!$B$7,J775*1000+MIN(C775,999),C775*1000+J775)+0.00981300)</f>
        <v>1000.009813</v>
      </c>
      <c r="U775" s="2" t="str">
        <f>IF(C775=0,"",IF(COUNTIFS($S$589:$S$803,SUBSTITUTE(SUBSTITUTE(SUBSTITUTE(S775,"~","~~"),"*","~*"),"?","~?"),$T$589:$T$803,"&gt;"&amp;T775)=0,S775,""))</f>
        <v>6:4D 4-6|2:11|3:3X1|</v>
      </c>
    </row>
    <row r="776" spans="1:21" ht="38" customHeight="1">
      <c r="A776" s="8" t="s">
        <v>414</v>
      </c>
      <c r="B776" s="8" t="s">
        <v>44</v>
      </c>
      <c r="C776" s="12">
        <f>COUNTIFS('DEF_SELF_SCOUT_IMPORT'!$L$42:$L$1040,"Y",'DEF_SELF_SCOUT_IMPORT'!$E$42:$E$1040,SUBSTITUTE(SUBSTITUTE(SUBSTITUTE($B776,"~","~~"),"*","~*"),"?","~?"),'DEF_SELF_SCOUT_IMPORT'!$Q$42:$Q$1040,SUBSTITUTE(SUBSTITUTE(SUBSTITUTE($M776,"~","~~"),"*","~*"),"?","~?"),'DEF_SELF_SCOUT_IMPORT'!$F$42:$F$1040,SUBSTITUTE(SUBSTITUTE(SUBSTITUTE($N776,"~","~~"),"*","~*"),"?","~?"),'DEF_SELF_SCOUT_IMPORT'!$G$42:$G$1040,SUBSTITUTE(SUBSTITUTE(SUBSTITUTE($O776,"~","~~"),"*","~*"),"?","~?"))</f>
        <v>2</v>
      </c>
      <c r="D776" s="10">
        <f>IF($C776=0,"",SUMIFS('DEF_SELF_SCOUT_IMPORT'!$J$42:$J$1040,'DEF_SELF_SCOUT_IMPORT'!$L$42:$L$1040,"Y",'DEF_SELF_SCOUT_IMPORT'!$E$42:$E$1040,SUBSTITUTE(SUBSTITUTE(SUBSTITUTE($B776,"~","~~"),"*","~*"),"?","~?"),'DEF_SELF_SCOUT_IMPORT'!$Q$42:$Q$1040,SUBSTITUTE(SUBSTITUTE(SUBSTITUTE($M776,"~","~~"),"*","~*"),"?","~?"),'DEF_SELF_SCOUT_IMPORT'!$F$42:$F$1040,SUBSTITUTE(SUBSTITUTE(SUBSTITUTE($N776,"~","~~"),"*","~*"),"?","~?"),'DEF_SELF_SCOUT_IMPORT'!$G$42:$G$1040,SUBSTITUTE(SUBSTITUTE(SUBSTITUTE($O776,"~","~~"),"*","~*"),"?","~?"))/$C776)</f>
        <v>0.0</v>
      </c>
      <c r="E776" s="10">
        <f>IF($C776=0,"",SUMIFS('DEF_SELF_SCOUT_IMPORT'!$K$42:$K$1040,'DEF_SELF_SCOUT_IMPORT'!$L$42:$L$1040,"Y",'DEF_SELF_SCOUT_IMPORT'!$E$42:$E$1040,SUBSTITUTE(SUBSTITUTE(SUBSTITUTE($B776,"~","~~"),"*","~*"),"?","~?"),'DEF_SELF_SCOUT_IMPORT'!$Q$42:$Q$1040,SUBSTITUTE(SUBSTITUTE(SUBSTITUTE($M776,"~","~~"),"*","~*"),"?","~?"),'DEF_SELF_SCOUT_IMPORT'!$F$42:$F$1040,SUBSTITUTE(SUBSTITUTE(SUBSTITUTE($N776,"~","~~"),"*","~*"),"?","~?"),'DEF_SELF_SCOUT_IMPORT'!$G$42:$G$1040,SUBSTITUTE(SUBSTITUTE(SUBSTITUTE($O776,"~","~~"),"*","~*"),"?","~?"))/$C776)</f>
        <v>0.5</v>
      </c>
      <c r="F776" s="11">
        <f>IF($C776=0,"",AVERAGEIFS('DEF_SELF_SCOUT_IMPORT'!$I$42:$I$1040,'DEF_SELF_SCOUT_IMPORT'!$L$42:$L$1040,"Y",'DEF_SELF_SCOUT_IMPORT'!$E$42:$E$1040,SUBSTITUTE(SUBSTITUTE(SUBSTITUTE($B776,"~","~~"),"*","~*"),"?","~?"),'DEF_SELF_SCOUT_IMPORT'!$Q$42:$Q$1040,SUBSTITUTE(SUBSTITUTE(SUBSTITUTE($M776,"~","~~"),"*","~*"),"?","~?"),'DEF_SELF_SCOUT_IMPORT'!$F$42:$F$1040,SUBSTITUTE(SUBSTITUTE(SUBSTITUTE($N776,"~","~~"),"*","~*"),"?","~?"),'DEF_SELF_SCOUT_IMPORT'!$G$42:$G$1040,SUBSTITUTE(SUBSTITUTE(SUBSTITUTE($O776,"~","~~"),"*","~*"),"?","~?")))</f>
        <v>26.5</v>
      </c>
      <c r="G776" s="10">
        <f>IF($C776=0,"",COUNTIFS('DEF_SELF_SCOUT_IMPORT'!$L$42:$L$1040,"Y",'DEF_SELF_SCOUT_IMPORT'!$E$42:$E$1040,SUBSTITUTE(SUBSTITUTE(SUBSTITUTE($B776,"~","~~"),"*","~*"),"?","~?"),'DEF_SELF_SCOUT_IMPORT'!$Q$42:$Q$1040,SUBSTITUTE(SUBSTITUTE(SUBSTITUTE($M776,"~","~~"),"*","~*"),"?","~?"),'DEF_SELF_SCOUT_IMPORT'!$F$42:$F$1040,SUBSTITUTE(SUBSTITUTE(SUBSTITUTE($N776,"~","~~"),"*","~*"),"?","~?"),'DEF_SELF_SCOUT_IMPORT'!$G$42:$G$1040,SUBSTITUTE(SUBSTITUTE(SUBSTITUTE($O776,"~","~~"),"*","~*"),"?","~?"),'DEF_SELF_SCOUT_IMPORT'!$H$42:$H$1040,"RUSH")/$C776)</f>
        <v>0.5</v>
      </c>
      <c r="H776" s="10">
        <f>IF($C776=0,"",COUNTIFS('DEF_SELF_SCOUT_IMPORT'!$L$42:$L$1040,"Y",'DEF_SELF_SCOUT_IMPORT'!$E$42:$E$1040,SUBSTITUTE(SUBSTITUTE(SUBSTITUTE($B776,"~","~~"),"*","~*"),"?","~?"),'DEF_SELF_SCOUT_IMPORT'!$Q$42:$Q$1040,SUBSTITUTE(SUBSTITUTE(SUBSTITUTE($M776,"~","~~"),"*","~*"),"?","~?"),'DEF_SELF_SCOUT_IMPORT'!$F$42:$F$1040,SUBSTITUTE(SUBSTITUTE(SUBSTITUTE($N776,"~","~~"),"*","~*"),"?","~?"),'DEF_SELF_SCOUT_IMPORT'!$G$42:$G$1040,SUBSTITUTE(SUBSTITUTE(SUBSTITUTE($O776,"~","~~"),"*","~*"),"?","~?"),'DEF_SELF_SCOUT_IMPORT'!$H$42:$H$1040,"DROPBACK")/$C776)</f>
        <v>0.5</v>
      </c>
      <c r="I776" s="14" t="str">
        <f>IF(C776=0,"",IF(C776&lt;=2,"TRACK",IF(C776=3,"LOW",IF(C776&lt;=6,"MEDIUM","HIGH"))))</f>
        <v>TRACK</v>
      </c>
      <c r="J776" s="11">
        <f>IF(C776=0,"",ROUND(D776*70+(1-E776)*20+MAX(0,MIN(1,(10-F776)/10))*10,1))</f>
        <v>10.0</v>
      </c>
      <c r="K776" s="14" t="str">
        <f>IF(C776=0,"No Evidence",IF(C776&lt;=2,IF(E776&gt;0,"Explosive Alert","Track Only"),IF(C776=3,"Sample Watch",IF(E776&gt;=START_HERE!$B$31,"Explosive Alert",IF(J776&gt;=80,"Strong Candidate",IF(J776&gt;=65,"Good Candidate",IF(J776&gt;=50,"Mixed / Review","Problem Call")))))))</f>
        <v>Explosive Alert</v>
      </c>
      <c r="L776" s="9" t="str">
        <f>IF(COUNTIFS('DEF_SELF_SCOUT_IMPORT'!$L$42:$L$1040,"Y",'DEF_SELF_SCOUT_IMPORT'!$E$42:$E$1040,SUBSTITUTE(SUBSTITUTE(SUBSTITUTE($B776,"~","~~"),"*","~*"),"?","~?"),'DEF_SELF_SCOUT_IMPORT'!$Q$42:$Q$1040,SUBSTITUTE(SUBSTITUTE(SUBSTITUTE($M776,"~","~~"),"*","~*"),"?","~?"),'DEF_SELF_SCOUT_IMPORT'!$F$42:$F$1040,SUBSTITUTE(SUBSTITUTE(SUBSTITUTE($N776,"~","~~"),"*","~*"),"?","~?"),'DEF_SELF_SCOUT_IMPORT'!$G$42:$G$1040,SUBSTITUTE(SUBSTITUTE(SUBSTITUTE($O776,"~","~~"),"*","~*"),"?","~?"),'DEF_SELF_SCOUT_IMPORT'!$J$42:$J$1040,"")&gt;0,"Unscored clean outcome; review result tags before using score.",IF(C776=0,"No matching defensive reps; film confirmation needed.",IF(K776="Explosive Alert","Explosive risk; review clips before using as answer.",IF(C776&lt;=2,"Track only; not enough sample.",IF(C776=3,IF(E776&gt;0,"Sample watch with explosive exposure; review clips and build the sample.",IF(J776&gt;=65,"Good signal, but sample is limited.","Sample watch; review clips and build the sample.")),IF(K776="Problem Call","Problem area; practice or call-sheet review.",IF(K776="Strong Candidate","Strong call-fit candidate; confirm on film.",IF(K776="Good Candidate","Good call-fit signal; confirm on film.","Mixed signal; review fit and execution on film."))))))))</f>
        <v>Explosive risk; review clips before using as answer.</v>
      </c>
      <c r="M776" s="8" t="s">
        <v>115</v>
      </c>
      <c r="N776" s="8" t="s">
        <v>132</v>
      </c>
      <c r="O776" s="8" t="s">
        <v>203</v>
      </c>
      <c r="P776" s="8"/>
      <c r="Q776" s="8"/>
      <c r="R776" s="8" t="s">
        <v>28</v>
      </c>
      <c r="S776" s="2" t="s">
        <v>415</v>
      </c>
      <c r="T776" s="2">
        <f>IF(C776=0,0,IF(C776&gt;=CALL_LOOKUP_BOARD!$B$7,IF(OR(K776="Problem Call",K776="Explosive Alert"),10000000,20000000),0)+IF(C776&gt;=CALL_LOOKUP_BOARD!$B$7,J776*1000+MIN(C776,999),C776*1000+J776)+0.00981200)</f>
        <v>2010.009812</v>
      </c>
      <c r="U776" s="2" t="str">
        <f>IF(C776=0,"",IF(COUNTIFS($S$589:$S$803,SUBSTITUTE(SUBSTITUTE(SUBSTITUTE(S776,"~","~~"),"*","~*"),"?","~?"),$T$589:$T$803,"&gt;"&amp;T776)=0,S776,""))</f>
        <v>4:P&amp;10|2:00|3:2X2|</v>
      </c>
    </row>
    <row r="777" spans="1:21" ht="38" customHeight="1">
      <c r="A777" s="8" t="s">
        <v>416</v>
      </c>
      <c r="B777" s="8" t="s">
        <v>44</v>
      </c>
      <c r="C777" s="12">
        <f>COUNTIFS('DEF_SELF_SCOUT_IMPORT'!$L$42:$L$1040,"Y",'DEF_SELF_SCOUT_IMPORT'!$E$42:$E$1040,SUBSTITUTE(SUBSTITUTE(SUBSTITUTE($B777,"~","~~"),"*","~*"),"?","~?"),'DEF_SELF_SCOUT_IMPORT'!$Q$42:$Q$1040,SUBSTITUTE(SUBSTITUTE(SUBSTITUTE($M777,"~","~~"),"*","~*"),"?","~?"),'DEF_SELF_SCOUT_IMPORT'!$F$42:$F$1040,SUBSTITUTE(SUBSTITUTE(SUBSTITUTE($N777,"~","~~"),"*","~*"),"?","~?"),'DEF_SELF_SCOUT_IMPORT'!$G$42:$G$1040,SUBSTITUTE(SUBSTITUTE(SUBSTITUTE($O777,"~","~~"),"*","~*"),"?","~?"))</f>
        <v>1</v>
      </c>
      <c r="D777" s="10">
        <f>IF($C777=0,"",SUMIFS('DEF_SELF_SCOUT_IMPORT'!$J$42:$J$1040,'DEF_SELF_SCOUT_IMPORT'!$L$42:$L$1040,"Y",'DEF_SELF_SCOUT_IMPORT'!$E$42:$E$1040,SUBSTITUTE(SUBSTITUTE(SUBSTITUTE($B777,"~","~~"),"*","~*"),"?","~?"),'DEF_SELF_SCOUT_IMPORT'!$Q$42:$Q$1040,SUBSTITUTE(SUBSTITUTE(SUBSTITUTE($M777,"~","~~"),"*","~*"),"?","~?"),'DEF_SELF_SCOUT_IMPORT'!$F$42:$F$1040,SUBSTITUTE(SUBSTITUTE(SUBSTITUTE($N777,"~","~~"),"*","~*"),"?","~?"),'DEF_SELF_SCOUT_IMPORT'!$G$42:$G$1040,SUBSTITUTE(SUBSTITUTE(SUBSTITUTE($O777,"~","~~"),"*","~*"),"?","~?"))/$C777)</f>
        <v>0.0</v>
      </c>
      <c r="E777" s="10">
        <f>IF($C777=0,"",SUMIFS('DEF_SELF_SCOUT_IMPORT'!$K$42:$K$1040,'DEF_SELF_SCOUT_IMPORT'!$L$42:$L$1040,"Y",'DEF_SELF_SCOUT_IMPORT'!$E$42:$E$1040,SUBSTITUTE(SUBSTITUTE(SUBSTITUTE($B777,"~","~~"),"*","~*"),"?","~?"),'DEF_SELF_SCOUT_IMPORT'!$Q$42:$Q$1040,SUBSTITUTE(SUBSTITUTE(SUBSTITUTE($M777,"~","~~"),"*","~*"),"?","~?"),'DEF_SELF_SCOUT_IMPORT'!$F$42:$F$1040,SUBSTITUTE(SUBSTITUTE(SUBSTITUTE($N777,"~","~~"),"*","~*"),"?","~?"),'DEF_SELF_SCOUT_IMPORT'!$G$42:$G$1040,SUBSTITUTE(SUBSTITUTE(SUBSTITUTE($O777,"~","~~"),"*","~*"),"?","~?"))/$C777)</f>
        <v>0.0</v>
      </c>
      <c r="F777" s="11">
        <f>IF($C777=0,"",AVERAGEIFS('DEF_SELF_SCOUT_IMPORT'!$I$42:$I$1040,'DEF_SELF_SCOUT_IMPORT'!$L$42:$L$1040,"Y",'DEF_SELF_SCOUT_IMPORT'!$E$42:$E$1040,SUBSTITUTE(SUBSTITUTE(SUBSTITUTE($B777,"~","~~"),"*","~*"),"?","~?"),'DEF_SELF_SCOUT_IMPORT'!$Q$42:$Q$1040,SUBSTITUTE(SUBSTITUTE(SUBSTITUTE($M777,"~","~~"),"*","~*"),"?","~?"),'DEF_SELF_SCOUT_IMPORT'!$F$42:$F$1040,SUBSTITUTE(SUBSTITUTE(SUBSTITUTE($N777,"~","~~"),"*","~*"),"?","~?"),'DEF_SELF_SCOUT_IMPORT'!$G$42:$G$1040,SUBSTITUTE(SUBSTITUTE(SUBSTITUTE($O777,"~","~~"),"*","~*"),"?","~?")))</f>
        <v>4.0</v>
      </c>
      <c r="G777" s="10">
        <f>IF($C777=0,"",COUNTIFS('DEF_SELF_SCOUT_IMPORT'!$L$42:$L$1040,"Y",'DEF_SELF_SCOUT_IMPORT'!$E$42:$E$1040,SUBSTITUTE(SUBSTITUTE(SUBSTITUTE($B777,"~","~~"),"*","~*"),"?","~?"),'DEF_SELF_SCOUT_IMPORT'!$Q$42:$Q$1040,SUBSTITUTE(SUBSTITUTE(SUBSTITUTE($M777,"~","~~"),"*","~*"),"?","~?"),'DEF_SELF_SCOUT_IMPORT'!$F$42:$F$1040,SUBSTITUTE(SUBSTITUTE(SUBSTITUTE($N777,"~","~~"),"*","~*"),"?","~?"),'DEF_SELF_SCOUT_IMPORT'!$G$42:$G$1040,SUBSTITUTE(SUBSTITUTE(SUBSTITUTE($O777,"~","~~"),"*","~*"),"?","~?"),'DEF_SELF_SCOUT_IMPORT'!$H$42:$H$1040,"RUSH")/$C777)</f>
        <v>1.0</v>
      </c>
      <c r="H777" s="10">
        <f>IF($C777=0,"",COUNTIFS('DEF_SELF_SCOUT_IMPORT'!$L$42:$L$1040,"Y",'DEF_SELF_SCOUT_IMPORT'!$E$42:$E$1040,SUBSTITUTE(SUBSTITUTE(SUBSTITUTE($B777,"~","~~"),"*","~*"),"?","~?"),'DEF_SELF_SCOUT_IMPORT'!$Q$42:$Q$1040,SUBSTITUTE(SUBSTITUTE(SUBSTITUTE($M777,"~","~~"),"*","~*"),"?","~?"),'DEF_SELF_SCOUT_IMPORT'!$F$42:$F$1040,SUBSTITUTE(SUBSTITUTE(SUBSTITUTE($N777,"~","~~"),"*","~*"),"?","~?"),'DEF_SELF_SCOUT_IMPORT'!$G$42:$G$1040,SUBSTITUTE(SUBSTITUTE(SUBSTITUTE($O777,"~","~~"),"*","~*"),"?","~?"),'DEF_SELF_SCOUT_IMPORT'!$H$42:$H$1040,"DROPBACK")/$C777)</f>
        <v>0.0</v>
      </c>
      <c r="I777" s="14" t="str">
        <f>IF(C777=0,"",IF(C777&lt;=2,"TRACK",IF(C777=3,"LOW",IF(C777&lt;=6,"MEDIUM","HIGH"))))</f>
        <v>TRACK</v>
      </c>
      <c r="J777" s="11">
        <f>IF(C777=0,"",ROUND(D777*70+(1-E777)*20+MAX(0,MIN(1,(10-F777)/10))*10,1))</f>
        <v>26.0</v>
      </c>
      <c r="K777" s="14" t="str">
        <f>IF(C777=0,"No Evidence",IF(C777&lt;=2,IF(E777&gt;0,"Explosive Alert","Track Only"),IF(C777=3,"Sample Watch",IF(E777&gt;=START_HERE!$B$31,"Explosive Alert",IF(J777&gt;=80,"Strong Candidate",IF(J777&gt;=65,"Good Candidate",IF(J777&gt;=50,"Mixed / Review","Problem Call")))))))</f>
        <v>Track Only</v>
      </c>
      <c r="L777" s="9" t="str">
        <f>IF(COUNTIFS('DEF_SELF_SCOUT_IMPORT'!$L$42:$L$1040,"Y",'DEF_SELF_SCOUT_IMPORT'!$E$42:$E$1040,SUBSTITUTE(SUBSTITUTE(SUBSTITUTE($B777,"~","~~"),"*","~*"),"?","~?"),'DEF_SELF_SCOUT_IMPORT'!$Q$42:$Q$1040,SUBSTITUTE(SUBSTITUTE(SUBSTITUTE($M777,"~","~~"),"*","~*"),"?","~?"),'DEF_SELF_SCOUT_IMPORT'!$F$42:$F$1040,SUBSTITUTE(SUBSTITUTE(SUBSTITUTE($N777,"~","~~"),"*","~*"),"?","~?"),'DEF_SELF_SCOUT_IMPORT'!$G$42:$G$1040,SUBSTITUTE(SUBSTITUTE(SUBSTITUTE($O777,"~","~~"),"*","~*"),"?","~?"),'DEF_SELF_SCOUT_IMPORT'!$J$42:$J$1040,"")&gt;0,"Unscored clean outcome; review result tags before using score.",IF(C777=0,"No matching defensive reps; film confirmation needed.",IF(K777="Explosive Alert","Explosive risk; review clips before using as answer.",IF(C777&lt;=2,"Track only; not enough sample.",IF(C777=3,IF(E777&gt;0,"Sample watch with explosive exposure; review clips and build the sample.",IF(J777&gt;=65,"Good signal, but sample is limited.","Sample watch; review clips and build the sample.")),IF(K777="Problem Call","Problem area; practice or call-sheet review.",IF(K777="Strong Candidate","Strong call-fit candidate; confirm on film.",IF(K777="Good Candidate","Good call-fit signal; confirm on film.","Mixed signal; review fit and execution on film."))))))))</f>
        <v>Track only; not enough sample.</v>
      </c>
      <c r="M777" s="8" t="s">
        <v>115</v>
      </c>
      <c r="N777" s="8" t="s">
        <v>132</v>
      </c>
      <c r="O777" s="8" t="s">
        <v>206</v>
      </c>
      <c r="P777" s="8"/>
      <c r="Q777" s="8"/>
      <c r="R777" s="8" t="s">
        <v>28</v>
      </c>
      <c r="S777" s="2" t="s">
        <v>417</v>
      </c>
      <c r="T777" s="2">
        <f>IF(C777=0,0,IF(C777&gt;=CALL_LOOKUP_BOARD!$B$7,IF(OR(K777="Problem Call",K777="Explosive Alert"),10000000,20000000),0)+IF(C777&gt;=CALL_LOOKUP_BOARD!$B$7,J777*1000+MIN(C777,999),C777*1000+J777)+0.00981100)</f>
        <v>1026.009811</v>
      </c>
      <c r="U777" s="2" t="str">
        <f>IF(C777=0,"",IF(COUNTIFS($S$589:$S$803,SUBSTITUTE(SUBSTITUTE(SUBSTITUTE(S777,"~","~~"),"*","~*"),"?","~?"),$T$589:$T$803,"&gt;"&amp;T777)=0,S777,""))</f>
        <v>4:P&amp;10|2:00|3:3X1|</v>
      </c>
    </row>
    <row r="778" spans="1:21" ht="38" customHeight="1">
      <c r="A778" s="8" t="s">
        <v>418</v>
      </c>
      <c r="B778" s="8" t="s">
        <v>32</v>
      </c>
      <c r="C778" s="12">
        <f>COUNTIFS('DEF_SELF_SCOUT_IMPORT'!$L$42:$L$1040,"Y",'DEF_SELF_SCOUT_IMPORT'!$E$42:$E$1040,SUBSTITUTE(SUBSTITUTE(SUBSTITUTE($B778,"~","~~"),"*","~*"),"?","~?"),'DEF_SELF_SCOUT_IMPORT'!$Q$42:$Q$1040,SUBSTITUTE(SUBSTITUTE(SUBSTITUTE($M778,"~","~~"),"*","~*"),"?","~?"),'DEF_SELF_SCOUT_IMPORT'!$F$42:$F$1040,SUBSTITUTE(SUBSTITUTE(SUBSTITUTE($N778,"~","~~"),"*","~*"),"?","~?"),'DEF_SELF_SCOUT_IMPORT'!$G$42:$G$1040,SUBSTITUTE(SUBSTITUTE(SUBSTITUTE($O778,"~","~~"),"*","~*"),"?","~?"))</f>
        <v>1</v>
      </c>
      <c r="D778" s="10">
        <f>IF($C778=0,"",SUMIFS('DEF_SELF_SCOUT_IMPORT'!$J$42:$J$1040,'DEF_SELF_SCOUT_IMPORT'!$L$42:$L$1040,"Y",'DEF_SELF_SCOUT_IMPORT'!$E$42:$E$1040,SUBSTITUTE(SUBSTITUTE(SUBSTITUTE($B778,"~","~~"),"*","~*"),"?","~?"),'DEF_SELF_SCOUT_IMPORT'!$Q$42:$Q$1040,SUBSTITUTE(SUBSTITUTE(SUBSTITUTE($M778,"~","~~"),"*","~*"),"?","~?"),'DEF_SELF_SCOUT_IMPORT'!$F$42:$F$1040,SUBSTITUTE(SUBSTITUTE(SUBSTITUTE($N778,"~","~~"),"*","~*"),"?","~?"),'DEF_SELF_SCOUT_IMPORT'!$G$42:$G$1040,SUBSTITUTE(SUBSTITUTE(SUBSTITUTE($O778,"~","~~"),"*","~*"),"?","~?"))/$C778)</f>
        <v>0.0</v>
      </c>
      <c r="E778" s="10">
        <f>IF($C778=0,"",SUMIFS('DEF_SELF_SCOUT_IMPORT'!$K$42:$K$1040,'DEF_SELF_SCOUT_IMPORT'!$L$42:$L$1040,"Y",'DEF_SELF_SCOUT_IMPORT'!$E$42:$E$1040,SUBSTITUTE(SUBSTITUTE(SUBSTITUTE($B778,"~","~~"),"*","~*"),"?","~?"),'DEF_SELF_SCOUT_IMPORT'!$Q$42:$Q$1040,SUBSTITUTE(SUBSTITUTE(SUBSTITUTE($M778,"~","~~"),"*","~*"),"?","~?"),'DEF_SELF_SCOUT_IMPORT'!$F$42:$F$1040,SUBSTITUTE(SUBSTITUTE(SUBSTITUTE($N778,"~","~~"),"*","~*"),"?","~?"),'DEF_SELF_SCOUT_IMPORT'!$G$42:$G$1040,SUBSTITUTE(SUBSTITUTE(SUBSTITUTE($O778,"~","~~"),"*","~*"),"?","~?"))/$C778)</f>
        <v>1.0</v>
      </c>
      <c r="F778" s="11">
        <f>IF($C778=0,"",AVERAGEIFS('DEF_SELF_SCOUT_IMPORT'!$I$42:$I$1040,'DEF_SELF_SCOUT_IMPORT'!$L$42:$L$1040,"Y",'DEF_SELF_SCOUT_IMPORT'!$E$42:$E$1040,SUBSTITUTE(SUBSTITUTE(SUBSTITUTE($B778,"~","~~"),"*","~*"),"?","~?"),'DEF_SELF_SCOUT_IMPORT'!$Q$42:$Q$1040,SUBSTITUTE(SUBSTITUTE(SUBSTITUTE($M778,"~","~~"),"*","~*"),"?","~?"),'DEF_SELF_SCOUT_IMPORT'!$F$42:$F$1040,SUBSTITUTE(SUBSTITUTE(SUBSTITUTE($N778,"~","~~"),"*","~*"),"?","~?"),'DEF_SELF_SCOUT_IMPORT'!$G$42:$G$1040,SUBSTITUTE(SUBSTITUTE(SUBSTITUTE($O778,"~","~~"),"*","~*"),"?","~?")))</f>
        <v>72.0</v>
      </c>
      <c r="G778" s="10">
        <f>IF($C778=0,"",COUNTIFS('DEF_SELF_SCOUT_IMPORT'!$L$42:$L$1040,"Y",'DEF_SELF_SCOUT_IMPORT'!$E$42:$E$1040,SUBSTITUTE(SUBSTITUTE(SUBSTITUTE($B778,"~","~~"),"*","~*"),"?","~?"),'DEF_SELF_SCOUT_IMPORT'!$Q$42:$Q$1040,SUBSTITUTE(SUBSTITUTE(SUBSTITUTE($M778,"~","~~"),"*","~*"),"?","~?"),'DEF_SELF_SCOUT_IMPORT'!$F$42:$F$1040,SUBSTITUTE(SUBSTITUTE(SUBSTITUTE($N778,"~","~~"),"*","~*"),"?","~?"),'DEF_SELF_SCOUT_IMPORT'!$G$42:$G$1040,SUBSTITUTE(SUBSTITUTE(SUBSTITUTE($O778,"~","~~"),"*","~*"),"?","~?"),'DEF_SELF_SCOUT_IMPORT'!$H$42:$H$1040,"RUSH")/$C778)</f>
        <v>0.0</v>
      </c>
      <c r="H778" s="10">
        <f>IF($C778=0,"",COUNTIFS('DEF_SELF_SCOUT_IMPORT'!$L$42:$L$1040,"Y",'DEF_SELF_SCOUT_IMPORT'!$E$42:$E$1040,SUBSTITUTE(SUBSTITUTE(SUBSTITUTE($B778,"~","~~"),"*","~*"),"?","~?"),'DEF_SELF_SCOUT_IMPORT'!$Q$42:$Q$1040,SUBSTITUTE(SUBSTITUTE(SUBSTITUTE($M778,"~","~~"),"*","~*"),"?","~?"),'DEF_SELF_SCOUT_IMPORT'!$F$42:$F$1040,SUBSTITUTE(SUBSTITUTE(SUBSTITUTE($N778,"~","~~"),"*","~*"),"?","~?"),'DEF_SELF_SCOUT_IMPORT'!$G$42:$G$1040,SUBSTITUTE(SUBSTITUTE(SUBSTITUTE($O778,"~","~~"),"*","~*"),"?","~?"),'DEF_SELF_SCOUT_IMPORT'!$H$42:$H$1040,"DROPBACK")/$C778)</f>
        <v>1.0</v>
      </c>
      <c r="I778" s="14" t="str">
        <f>IF(C778=0,"",IF(C778&lt;=2,"TRACK",IF(C778=3,"LOW",IF(C778&lt;=6,"MEDIUM","HIGH"))))</f>
        <v>TRACK</v>
      </c>
      <c r="J778" s="11">
        <f>IF(C778=0,"",ROUND(D778*70+(1-E778)*20+MAX(0,MIN(1,(10-F778)/10))*10,1))</f>
        <v>0.0</v>
      </c>
      <c r="K778" s="14" t="str">
        <f>IF(C778=0,"No Evidence",IF(C778&lt;=2,IF(E778&gt;0,"Explosive Alert","Track Only"),IF(C778=3,"Sample Watch",IF(E778&gt;=START_HERE!$B$31,"Explosive Alert",IF(J778&gt;=80,"Strong Candidate",IF(J778&gt;=65,"Good Candidate",IF(J778&gt;=50,"Mixed / Review","Problem Call")))))))</f>
        <v>Explosive Alert</v>
      </c>
      <c r="L778" s="9" t="str">
        <f>IF(COUNTIFS('DEF_SELF_SCOUT_IMPORT'!$L$42:$L$1040,"Y",'DEF_SELF_SCOUT_IMPORT'!$E$42:$E$1040,SUBSTITUTE(SUBSTITUTE(SUBSTITUTE($B778,"~","~~"),"*","~*"),"?","~?"),'DEF_SELF_SCOUT_IMPORT'!$Q$42:$Q$1040,SUBSTITUTE(SUBSTITUTE(SUBSTITUTE($M778,"~","~~"),"*","~*"),"?","~?"),'DEF_SELF_SCOUT_IMPORT'!$F$42:$F$1040,SUBSTITUTE(SUBSTITUTE(SUBSTITUTE($N778,"~","~~"),"*","~*"),"?","~?"),'DEF_SELF_SCOUT_IMPORT'!$G$42:$G$1040,SUBSTITUTE(SUBSTITUTE(SUBSTITUTE($O778,"~","~~"),"*","~*"),"?","~?"),'DEF_SELF_SCOUT_IMPORT'!$J$42:$J$1040,"")&gt;0,"Unscored clean outcome; review result tags before using score.",IF(C778=0,"No matching defensive reps; film confirmation needed.",IF(K778="Explosive Alert","Explosive risk; review clips before using as answer.",IF(C778&lt;=2,"Track only; not enough sample.",IF(C778=3,IF(E778&gt;0,"Sample watch with explosive exposure; review clips and build the sample.",IF(J778&gt;=65,"Good signal, but sample is limited.","Sample watch; review clips and build the sample.")),IF(K778="Problem Call","Problem area; practice or call-sheet review.",IF(K778="Strong Candidate","Strong call-fit candidate; confirm on film.",IF(K778="Good Candidate","Good call-fit signal; confirm on film.","Mixed signal; review fit and execution on film."))))))))</f>
        <v>Explosive risk; review clips before using as answer.</v>
      </c>
      <c r="M778" s="8" t="s">
        <v>115</v>
      </c>
      <c r="N778" s="8" t="s">
        <v>120</v>
      </c>
      <c r="O778" s="8" t="s">
        <v>203</v>
      </c>
      <c r="P778" s="8"/>
      <c r="Q778" s="8"/>
      <c r="R778" s="8" t="s">
        <v>28</v>
      </c>
      <c r="S778" s="2" t="s">
        <v>419</v>
      </c>
      <c r="T778" s="2">
        <f>IF(C778=0,0,IF(C778&gt;=CALL_LOOKUP_BOARD!$B$7,IF(OR(K778="Problem Call",K778="Explosive Alert"),10000000,20000000),0)+IF(C778&gt;=CALL_LOOKUP_BOARD!$B$7,J778*1000+MIN(C778,999),C778*1000+J778)+0.00981000)</f>
        <v>1000.00981</v>
      </c>
      <c r="U778" s="2">
        <f>IF(C778=0,"",IF(COUNTIFS($S$589:$S$803,SUBSTITUTE(SUBSTITUTE(SUBSTITUTE(S778,"~","~~"),"*","~*"),"?","~?"),$T$589:$T$803,"&gt;"&amp;T778)=0,S778,""))</f>
        <v/>
      </c>
    </row>
    <row r="779" spans="1:21" ht="38" customHeight="1">
      <c r="A779" s="8" t="s">
        <v>418</v>
      </c>
      <c r="B779" s="8" t="s">
        <v>44</v>
      </c>
      <c r="C779" s="12">
        <f>COUNTIFS('DEF_SELF_SCOUT_IMPORT'!$L$42:$L$1040,"Y",'DEF_SELF_SCOUT_IMPORT'!$E$42:$E$1040,SUBSTITUTE(SUBSTITUTE(SUBSTITUTE($B779,"~","~~"),"*","~*"),"?","~?"),'DEF_SELF_SCOUT_IMPORT'!$Q$42:$Q$1040,SUBSTITUTE(SUBSTITUTE(SUBSTITUTE($M779,"~","~~"),"*","~*"),"?","~?"),'DEF_SELF_SCOUT_IMPORT'!$F$42:$F$1040,SUBSTITUTE(SUBSTITUTE(SUBSTITUTE($N779,"~","~~"),"*","~*"),"?","~?"),'DEF_SELF_SCOUT_IMPORT'!$G$42:$G$1040,SUBSTITUTE(SUBSTITUTE(SUBSTITUTE($O779,"~","~~"),"*","~*"),"?","~?"))</f>
        <v>3</v>
      </c>
      <c r="D779" s="10">
        <f>IF($C779=0,"",SUMIFS('DEF_SELF_SCOUT_IMPORT'!$J$42:$J$1040,'DEF_SELF_SCOUT_IMPORT'!$L$42:$L$1040,"Y",'DEF_SELF_SCOUT_IMPORT'!$E$42:$E$1040,SUBSTITUTE(SUBSTITUTE(SUBSTITUTE($B779,"~","~~"),"*","~*"),"?","~?"),'DEF_SELF_SCOUT_IMPORT'!$Q$42:$Q$1040,SUBSTITUTE(SUBSTITUTE(SUBSTITUTE($M779,"~","~~"),"*","~*"),"?","~?"),'DEF_SELF_SCOUT_IMPORT'!$F$42:$F$1040,SUBSTITUTE(SUBSTITUTE(SUBSTITUTE($N779,"~","~~"),"*","~*"),"?","~?"),'DEF_SELF_SCOUT_IMPORT'!$G$42:$G$1040,SUBSTITUTE(SUBSTITUTE(SUBSTITUTE($O779,"~","~~"),"*","~*"),"?","~?"))/$C779)</f>
        <v>0.0</v>
      </c>
      <c r="E779" s="10">
        <f>IF($C779=0,"",SUMIFS('DEF_SELF_SCOUT_IMPORT'!$K$42:$K$1040,'DEF_SELF_SCOUT_IMPORT'!$L$42:$L$1040,"Y",'DEF_SELF_SCOUT_IMPORT'!$E$42:$E$1040,SUBSTITUTE(SUBSTITUTE(SUBSTITUTE($B779,"~","~~"),"*","~*"),"?","~?"),'DEF_SELF_SCOUT_IMPORT'!$Q$42:$Q$1040,SUBSTITUTE(SUBSTITUTE(SUBSTITUTE($M779,"~","~~"),"*","~*"),"?","~?"),'DEF_SELF_SCOUT_IMPORT'!$F$42:$F$1040,SUBSTITUTE(SUBSTITUTE(SUBSTITUTE($N779,"~","~~"),"*","~*"),"?","~?"),'DEF_SELF_SCOUT_IMPORT'!$G$42:$G$1040,SUBSTITUTE(SUBSTITUTE(SUBSTITUTE($O779,"~","~~"),"*","~*"),"?","~?"))/$C779)</f>
        <v>0.3333333333333333</v>
      </c>
      <c r="F779" s="11">
        <f>IF($C779=0,"",AVERAGEIFS('DEF_SELF_SCOUT_IMPORT'!$I$42:$I$1040,'DEF_SELF_SCOUT_IMPORT'!$L$42:$L$1040,"Y",'DEF_SELF_SCOUT_IMPORT'!$E$42:$E$1040,SUBSTITUTE(SUBSTITUTE(SUBSTITUTE($B779,"~","~~"),"*","~*"),"?","~?"),'DEF_SELF_SCOUT_IMPORT'!$Q$42:$Q$1040,SUBSTITUTE(SUBSTITUTE(SUBSTITUTE($M779,"~","~~"),"*","~*"),"?","~?"),'DEF_SELF_SCOUT_IMPORT'!$F$42:$F$1040,SUBSTITUTE(SUBSTITUTE(SUBSTITUTE($N779,"~","~~"),"*","~*"),"?","~?"),'DEF_SELF_SCOUT_IMPORT'!$G$42:$G$1040,SUBSTITUTE(SUBSTITUTE(SUBSTITUTE($O779,"~","~~"),"*","~*"),"?","~?")))</f>
        <v>8.333333333333334</v>
      </c>
      <c r="G779" s="10">
        <f>IF($C779=0,"",COUNTIFS('DEF_SELF_SCOUT_IMPORT'!$L$42:$L$1040,"Y",'DEF_SELF_SCOUT_IMPORT'!$E$42:$E$1040,SUBSTITUTE(SUBSTITUTE(SUBSTITUTE($B779,"~","~~"),"*","~*"),"?","~?"),'DEF_SELF_SCOUT_IMPORT'!$Q$42:$Q$1040,SUBSTITUTE(SUBSTITUTE(SUBSTITUTE($M779,"~","~~"),"*","~*"),"?","~?"),'DEF_SELF_SCOUT_IMPORT'!$F$42:$F$1040,SUBSTITUTE(SUBSTITUTE(SUBSTITUTE($N779,"~","~~"),"*","~*"),"?","~?"),'DEF_SELF_SCOUT_IMPORT'!$G$42:$G$1040,SUBSTITUTE(SUBSTITUTE(SUBSTITUTE($O779,"~","~~"),"*","~*"),"?","~?"),'DEF_SELF_SCOUT_IMPORT'!$H$42:$H$1040,"RUSH")/$C779)</f>
        <v>1.0</v>
      </c>
      <c r="H779" s="10">
        <f>IF($C779=0,"",COUNTIFS('DEF_SELF_SCOUT_IMPORT'!$L$42:$L$1040,"Y",'DEF_SELF_SCOUT_IMPORT'!$E$42:$E$1040,SUBSTITUTE(SUBSTITUTE(SUBSTITUTE($B779,"~","~~"),"*","~*"),"?","~?"),'DEF_SELF_SCOUT_IMPORT'!$Q$42:$Q$1040,SUBSTITUTE(SUBSTITUTE(SUBSTITUTE($M779,"~","~~"),"*","~*"),"?","~?"),'DEF_SELF_SCOUT_IMPORT'!$F$42:$F$1040,SUBSTITUTE(SUBSTITUTE(SUBSTITUTE($N779,"~","~~"),"*","~*"),"?","~?"),'DEF_SELF_SCOUT_IMPORT'!$G$42:$G$1040,SUBSTITUTE(SUBSTITUTE(SUBSTITUTE($O779,"~","~~"),"*","~*"),"?","~?"),'DEF_SELF_SCOUT_IMPORT'!$H$42:$H$1040,"DROPBACK")/$C779)</f>
        <v>0.0</v>
      </c>
      <c r="I779" s="14" t="str">
        <f>IF(C779=0,"",IF(C779&lt;=2,"TRACK",IF(C779=3,"LOW",IF(C779&lt;=6,"MEDIUM","HIGH"))))</f>
        <v>LOW</v>
      </c>
      <c r="J779" s="11">
        <f>IF(C779=0,"",ROUND(D779*70+(1-E779)*20+MAX(0,MIN(1,(10-F779)/10))*10,1))</f>
        <v>15.0</v>
      </c>
      <c r="K779" s="14" t="str">
        <f>IF(C779=0,"No Evidence",IF(C779&lt;=2,IF(E779&gt;0,"Explosive Alert","Track Only"),IF(C779=3,"Sample Watch",IF(E779&gt;=START_HERE!$B$31,"Explosive Alert",IF(J779&gt;=80,"Strong Candidate",IF(J779&gt;=65,"Good Candidate",IF(J779&gt;=50,"Mixed / Review","Problem Call")))))))</f>
        <v>Sample Watch</v>
      </c>
      <c r="L779" s="9" t="str">
        <f>IF(COUNTIFS('DEF_SELF_SCOUT_IMPORT'!$L$42:$L$1040,"Y",'DEF_SELF_SCOUT_IMPORT'!$E$42:$E$1040,SUBSTITUTE(SUBSTITUTE(SUBSTITUTE($B779,"~","~~"),"*","~*"),"?","~?"),'DEF_SELF_SCOUT_IMPORT'!$Q$42:$Q$1040,SUBSTITUTE(SUBSTITUTE(SUBSTITUTE($M779,"~","~~"),"*","~*"),"?","~?"),'DEF_SELF_SCOUT_IMPORT'!$F$42:$F$1040,SUBSTITUTE(SUBSTITUTE(SUBSTITUTE($N779,"~","~~"),"*","~*"),"?","~?"),'DEF_SELF_SCOUT_IMPORT'!$G$42:$G$1040,SUBSTITUTE(SUBSTITUTE(SUBSTITUTE($O779,"~","~~"),"*","~*"),"?","~?"),'DEF_SELF_SCOUT_IMPORT'!$J$42:$J$1040,"")&gt;0,"Unscored clean outcome; review result tags before using score.",IF(C779=0,"No matching defensive reps; film confirmation needed.",IF(K779="Explosive Alert","Explosive risk; review clips before using as answer.",IF(C779&lt;=2,"Track only; not enough sample.",IF(C779=3,IF(E779&gt;0,"Sample watch with explosive exposure; review clips and build the sample.",IF(J779&gt;=65,"Good signal, but sample is limited.","Sample watch; review clips and build the sample.")),IF(K779="Problem Call","Problem area; practice or call-sheet review.",IF(K779="Strong Candidate","Strong call-fit candidate; confirm on film.",IF(K779="Good Candidate","Good call-fit signal; confirm on film.","Mixed signal; review fit and execution on film."))))))))</f>
        <v>Sample watch with explosive exposure; review clips and build the sample.</v>
      </c>
      <c r="M779" s="8" t="s">
        <v>115</v>
      </c>
      <c r="N779" s="8" t="s">
        <v>120</v>
      </c>
      <c r="O779" s="8" t="s">
        <v>203</v>
      </c>
      <c r="P779" s="8"/>
      <c r="Q779" s="8"/>
      <c r="R779" s="8" t="s">
        <v>28</v>
      </c>
      <c r="S779" s="2" t="s">
        <v>419</v>
      </c>
      <c r="T779" s="2">
        <f>IF(C779=0,0,IF(C779&gt;=CALL_LOOKUP_BOARD!$B$7,IF(OR(K779="Problem Call",K779="Explosive Alert"),10000000,20000000),0)+IF(C779&gt;=CALL_LOOKUP_BOARD!$B$7,J779*1000+MIN(C779,999),C779*1000+J779)+0.00980900)</f>
        <v>3015.009809</v>
      </c>
      <c r="U779" s="2">
        <f>IF(C779=0,"",IF(COUNTIFS($S$589:$S$803,SUBSTITUTE(SUBSTITUTE(SUBSTITUTE(S779,"~","~~"),"*","~*"),"?","~?"),$T$589:$T$803,"&gt;"&amp;T779)=0,S779,""))</f>
        <v/>
      </c>
    </row>
    <row r="780" spans="1:21" ht="38" customHeight="1">
      <c r="A780" s="8" t="s">
        <v>418</v>
      </c>
      <c r="B780" s="8" t="s">
        <v>54</v>
      </c>
      <c r="C780" s="12">
        <f>COUNTIFS('DEF_SELF_SCOUT_IMPORT'!$L$42:$L$1040,"Y",'DEF_SELF_SCOUT_IMPORT'!$E$42:$E$1040,SUBSTITUTE(SUBSTITUTE(SUBSTITUTE($B780,"~","~~"),"*","~*"),"?","~?"),'DEF_SELF_SCOUT_IMPORT'!$Q$42:$Q$1040,SUBSTITUTE(SUBSTITUTE(SUBSTITUTE($M780,"~","~~"),"*","~*"),"?","~?"),'DEF_SELF_SCOUT_IMPORT'!$F$42:$F$1040,SUBSTITUTE(SUBSTITUTE(SUBSTITUTE($N780,"~","~~"),"*","~*"),"?","~?"),'DEF_SELF_SCOUT_IMPORT'!$G$42:$G$1040,SUBSTITUTE(SUBSTITUTE(SUBSTITUTE($O780,"~","~~"),"*","~*"),"?","~?"))</f>
        <v>1</v>
      </c>
      <c r="D780" s="10">
        <f>IF($C780=0,"",SUMIFS('DEF_SELF_SCOUT_IMPORT'!$J$42:$J$1040,'DEF_SELF_SCOUT_IMPORT'!$L$42:$L$1040,"Y",'DEF_SELF_SCOUT_IMPORT'!$E$42:$E$1040,SUBSTITUTE(SUBSTITUTE(SUBSTITUTE($B780,"~","~~"),"*","~*"),"?","~?"),'DEF_SELF_SCOUT_IMPORT'!$Q$42:$Q$1040,SUBSTITUTE(SUBSTITUTE(SUBSTITUTE($M780,"~","~~"),"*","~*"),"?","~?"),'DEF_SELF_SCOUT_IMPORT'!$F$42:$F$1040,SUBSTITUTE(SUBSTITUTE(SUBSTITUTE($N780,"~","~~"),"*","~*"),"?","~?"),'DEF_SELF_SCOUT_IMPORT'!$G$42:$G$1040,SUBSTITUTE(SUBSTITUTE(SUBSTITUTE($O780,"~","~~"),"*","~*"),"?","~?"))/$C780)</f>
        <v>0.0</v>
      </c>
      <c r="E780" s="10">
        <f>IF($C780=0,"",SUMIFS('DEF_SELF_SCOUT_IMPORT'!$K$42:$K$1040,'DEF_SELF_SCOUT_IMPORT'!$L$42:$L$1040,"Y",'DEF_SELF_SCOUT_IMPORT'!$E$42:$E$1040,SUBSTITUTE(SUBSTITUTE(SUBSTITUTE($B780,"~","~~"),"*","~*"),"?","~?"),'DEF_SELF_SCOUT_IMPORT'!$Q$42:$Q$1040,SUBSTITUTE(SUBSTITUTE(SUBSTITUTE($M780,"~","~~"),"*","~*"),"?","~?"),'DEF_SELF_SCOUT_IMPORT'!$F$42:$F$1040,SUBSTITUTE(SUBSTITUTE(SUBSTITUTE($N780,"~","~~"),"*","~*"),"?","~?"),'DEF_SELF_SCOUT_IMPORT'!$G$42:$G$1040,SUBSTITUTE(SUBSTITUTE(SUBSTITUTE($O780,"~","~~"),"*","~*"),"?","~?"))/$C780)</f>
        <v>1.0</v>
      </c>
      <c r="F780" s="11">
        <f>IF($C780=0,"",AVERAGEIFS('DEF_SELF_SCOUT_IMPORT'!$I$42:$I$1040,'DEF_SELF_SCOUT_IMPORT'!$L$42:$L$1040,"Y",'DEF_SELF_SCOUT_IMPORT'!$E$42:$E$1040,SUBSTITUTE(SUBSTITUTE(SUBSTITUTE($B780,"~","~~"),"*","~*"),"?","~?"),'DEF_SELF_SCOUT_IMPORT'!$Q$42:$Q$1040,SUBSTITUTE(SUBSTITUTE(SUBSTITUTE($M780,"~","~~"),"*","~*"),"?","~?"),'DEF_SELF_SCOUT_IMPORT'!$F$42:$F$1040,SUBSTITUTE(SUBSTITUTE(SUBSTITUTE($N780,"~","~~"),"*","~*"),"?","~?"),'DEF_SELF_SCOUT_IMPORT'!$G$42:$G$1040,SUBSTITUTE(SUBSTITUTE(SUBSTITUTE($O780,"~","~~"),"*","~*"),"?","~?")))</f>
        <v>17.0</v>
      </c>
      <c r="G780" s="10">
        <f>IF($C780=0,"",COUNTIFS('DEF_SELF_SCOUT_IMPORT'!$L$42:$L$1040,"Y",'DEF_SELF_SCOUT_IMPORT'!$E$42:$E$1040,SUBSTITUTE(SUBSTITUTE(SUBSTITUTE($B780,"~","~~"),"*","~*"),"?","~?"),'DEF_SELF_SCOUT_IMPORT'!$Q$42:$Q$1040,SUBSTITUTE(SUBSTITUTE(SUBSTITUTE($M780,"~","~~"),"*","~*"),"?","~?"),'DEF_SELF_SCOUT_IMPORT'!$F$42:$F$1040,SUBSTITUTE(SUBSTITUTE(SUBSTITUTE($N780,"~","~~"),"*","~*"),"?","~?"),'DEF_SELF_SCOUT_IMPORT'!$G$42:$G$1040,SUBSTITUTE(SUBSTITUTE(SUBSTITUTE($O780,"~","~~"),"*","~*"),"?","~?"),'DEF_SELF_SCOUT_IMPORT'!$H$42:$H$1040,"RUSH")/$C780)</f>
        <v>1.0</v>
      </c>
      <c r="H780" s="10">
        <f>IF($C780=0,"",COUNTIFS('DEF_SELF_SCOUT_IMPORT'!$L$42:$L$1040,"Y",'DEF_SELF_SCOUT_IMPORT'!$E$42:$E$1040,SUBSTITUTE(SUBSTITUTE(SUBSTITUTE($B780,"~","~~"),"*","~*"),"?","~?"),'DEF_SELF_SCOUT_IMPORT'!$Q$42:$Q$1040,SUBSTITUTE(SUBSTITUTE(SUBSTITUTE($M780,"~","~~"),"*","~*"),"?","~?"),'DEF_SELF_SCOUT_IMPORT'!$F$42:$F$1040,SUBSTITUTE(SUBSTITUTE(SUBSTITUTE($N780,"~","~~"),"*","~*"),"?","~?"),'DEF_SELF_SCOUT_IMPORT'!$G$42:$G$1040,SUBSTITUTE(SUBSTITUTE(SUBSTITUTE($O780,"~","~~"),"*","~*"),"?","~?"),'DEF_SELF_SCOUT_IMPORT'!$H$42:$H$1040,"DROPBACK")/$C780)</f>
        <v>0.0</v>
      </c>
      <c r="I780" s="14" t="str">
        <f>IF(C780=0,"",IF(C780&lt;=2,"TRACK",IF(C780=3,"LOW",IF(C780&lt;=6,"MEDIUM","HIGH"))))</f>
        <v>TRACK</v>
      </c>
      <c r="J780" s="11">
        <f>IF(C780=0,"",ROUND(D780*70+(1-E780)*20+MAX(0,MIN(1,(10-F780)/10))*10,1))</f>
        <v>0.0</v>
      </c>
      <c r="K780" s="14" t="str">
        <f>IF(C780=0,"No Evidence",IF(C780&lt;=2,IF(E780&gt;0,"Explosive Alert","Track Only"),IF(C780=3,"Sample Watch",IF(E780&gt;=START_HERE!$B$31,"Explosive Alert",IF(J780&gt;=80,"Strong Candidate",IF(J780&gt;=65,"Good Candidate",IF(J780&gt;=50,"Mixed / Review","Problem Call")))))))</f>
        <v>Explosive Alert</v>
      </c>
      <c r="L780" s="9" t="str">
        <f>IF(COUNTIFS('DEF_SELF_SCOUT_IMPORT'!$L$42:$L$1040,"Y",'DEF_SELF_SCOUT_IMPORT'!$E$42:$E$1040,SUBSTITUTE(SUBSTITUTE(SUBSTITUTE($B780,"~","~~"),"*","~*"),"?","~?"),'DEF_SELF_SCOUT_IMPORT'!$Q$42:$Q$1040,SUBSTITUTE(SUBSTITUTE(SUBSTITUTE($M780,"~","~~"),"*","~*"),"?","~?"),'DEF_SELF_SCOUT_IMPORT'!$F$42:$F$1040,SUBSTITUTE(SUBSTITUTE(SUBSTITUTE($N780,"~","~~"),"*","~*"),"?","~?"),'DEF_SELF_SCOUT_IMPORT'!$G$42:$G$1040,SUBSTITUTE(SUBSTITUTE(SUBSTITUTE($O780,"~","~~"),"*","~*"),"?","~?"),'DEF_SELF_SCOUT_IMPORT'!$J$42:$J$1040,"")&gt;0,"Unscored clean outcome; review result tags before using score.",IF(C780=0,"No matching defensive reps; film confirmation needed.",IF(K780="Explosive Alert","Explosive risk; review clips before using as answer.",IF(C780&lt;=2,"Track only; not enough sample.",IF(C780=3,IF(E780&gt;0,"Sample watch with explosive exposure; review clips and build the sample.",IF(J780&gt;=65,"Good signal, but sample is limited.","Sample watch; review clips and build the sample.")),IF(K780="Problem Call","Problem area; practice or call-sheet review.",IF(K780="Strong Candidate","Strong call-fit candidate; confirm on film.",IF(K780="Good Candidate","Good call-fit signal; confirm on film.","Mixed signal; review fit and execution on film."))))))))</f>
        <v>Explosive risk; review clips before using as answer.</v>
      </c>
      <c r="M780" s="8" t="s">
        <v>115</v>
      </c>
      <c r="N780" s="8" t="s">
        <v>120</v>
      </c>
      <c r="O780" s="8" t="s">
        <v>203</v>
      </c>
      <c r="P780" s="8"/>
      <c r="Q780" s="8"/>
      <c r="R780" s="8" t="s">
        <v>28</v>
      </c>
      <c r="S780" s="2" t="s">
        <v>419</v>
      </c>
      <c r="T780" s="2">
        <f>IF(C780=0,0,IF(C780&gt;=CALL_LOOKUP_BOARD!$B$7,IF(OR(K780="Problem Call",K780="Explosive Alert"),10000000,20000000),0)+IF(C780&gt;=CALL_LOOKUP_BOARD!$B$7,J780*1000+MIN(C780,999),C780*1000+J780)+0.00980800)</f>
        <v>1000.009808</v>
      </c>
      <c r="U780" s="2">
        <f>IF(C780=0,"",IF(COUNTIFS($S$589:$S$803,SUBSTITUTE(SUBSTITUTE(SUBSTITUTE(S780,"~","~~"),"*","~*"),"?","~?"),$T$589:$T$803,"&gt;"&amp;T780)=0,S780,""))</f>
        <v/>
      </c>
    </row>
    <row r="781" spans="1:21" ht="38" customHeight="1">
      <c r="A781" s="8" t="s">
        <v>418</v>
      </c>
      <c r="B781" s="8" t="s">
        <v>56</v>
      </c>
      <c r="C781" s="12">
        <f>COUNTIFS('DEF_SELF_SCOUT_IMPORT'!$L$42:$L$1040,"Y",'DEF_SELF_SCOUT_IMPORT'!$E$42:$E$1040,SUBSTITUTE(SUBSTITUTE(SUBSTITUTE($B781,"~","~~"),"*","~*"),"?","~?"),'DEF_SELF_SCOUT_IMPORT'!$Q$42:$Q$1040,SUBSTITUTE(SUBSTITUTE(SUBSTITUTE($M781,"~","~~"),"*","~*"),"?","~?"),'DEF_SELF_SCOUT_IMPORT'!$F$42:$F$1040,SUBSTITUTE(SUBSTITUTE(SUBSTITUTE($N781,"~","~~"),"*","~*"),"?","~?"),'DEF_SELF_SCOUT_IMPORT'!$G$42:$G$1040,SUBSTITUTE(SUBSTITUTE(SUBSTITUTE($O781,"~","~~"),"*","~*"),"?","~?"))</f>
        <v>1</v>
      </c>
      <c r="D781" s="10">
        <f>IF($C781=0,"",SUMIFS('DEF_SELF_SCOUT_IMPORT'!$J$42:$J$1040,'DEF_SELF_SCOUT_IMPORT'!$L$42:$L$1040,"Y",'DEF_SELF_SCOUT_IMPORT'!$E$42:$E$1040,SUBSTITUTE(SUBSTITUTE(SUBSTITUTE($B781,"~","~~"),"*","~*"),"?","~?"),'DEF_SELF_SCOUT_IMPORT'!$Q$42:$Q$1040,SUBSTITUTE(SUBSTITUTE(SUBSTITUTE($M781,"~","~~"),"*","~*"),"?","~?"),'DEF_SELF_SCOUT_IMPORT'!$F$42:$F$1040,SUBSTITUTE(SUBSTITUTE(SUBSTITUTE($N781,"~","~~"),"*","~*"),"?","~?"),'DEF_SELF_SCOUT_IMPORT'!$G$42:$G$1040,SUBSTITUTE(SUBSTITUTE(SUBSTITUTE($O781,"~","~~"),"*","~*"),"?","~?"))/$C781)</f>
        <v>0.0</v>
      </c>
      <c r="E781" s="10">
        <f>IF($C781=0,"",SUMIFS('DEF_SELF_SCOUT_IMPORT'!$K$42:$K$1040,'DEF_SELF_SCOUT_IMPORT'!$L$42:$L$1040,"Y",'DEF_SELF_SCOUT_IMPORT'!$E$42:$E$1040,SUBSTITUTE(SUBSTITUTE(SUBSTITUTE($B781,"~","~~"),"*","~*"),"?","~?"),'DEF_SELF_SCOUT_IMPORT'!$Q$42:$Q$1040,SUBSTITUTE(SUBSTITUTE(SUBSTITUTE($M781,"~","~~"),"*","~*"),"?","~?"),'DEF_SELF_SCOUT_IMPORT'!$F$42:$F$1040,SUBSTITUTE(SUBSTITUTE(SUBSTITUTE($N781,"~","~~"),"*","~*"),"?","~?"),'DEF_SELF_SCOUT_IMPORT'!$G$42:$G$1040,SUBSTITUTE(SUBSTITUTE(SUBSTITUTE($O781,"~","~~"),"*","~*"),"?","~?"))/$C781)</f>
        <v>0.0</v>
      </c>
      <c r="F781" s="11">
        <f>IF($C781=0,"",AVERAGEIFS('DEF_SELF_SCOUT_IMPORT'!$I$42:$I$1040,'DEF_SELF_SCOUT_IMPORT'!$L$42:$L$1040,"Y",'DEF_SELF_SCOUT_IMPORT'!$E$42:$E$1040,SUBSTITUTE(SUBSTITUTE(SUBSTITUTE($B781,"~","~~"),"*","~*"),"?","~?"),'DEF_SELF_SCOUT_IMPORT'!$Q$42:$Q$1040,SUBSTITUTE(SUBSTITUTE(SUBSTITUTE($M781,"~","~~"),"*","~*"),"?","~?"),'DEF_SELF_SCOUT_IMPORT'!$F$42:$F$1040,SUBSTITUTE(SUBSTITUTE(SUBSTITUTE($N781,"~","~~"),"*","~*"),"?","~?"),'DEF_SELF_SCOUT_IMPORT'!$G$42:$G$1040,SUBSTITUTE(SUBSTITUTE(SUBSTITUTE($O781,"~","~~"),"*","~*"),"?","~?")))</f>
        <v>4.0</v>
      </c>
      <c r="G781" s="10">
        <f>IF($C781=0,"",COUNTIFS('DEF_SELF_SCOUT_IMPORT'!$L$42:$L$1040,"Y",'DEF_SELF_SCOUT_IMPORT'!$E$42:$E$1040,SUBSTITUTE(SUBSTITUTE(SUBSTITUTE($B781,"~","~~"),"*","~*"),"?","~?"),'DEF_SELF_SCOUT_IMPORT'!$Q$42:$Q$1040,SUBSTITUTE(SUBSTITUTE(SUBSTITUTE($M781,"~","~~"),"*","~*"),"?","~?"),'DEF_SELF_SCOUT_IMPORT'!$F$42:$F$1040,SUBSTITUTE(SUBSTITUTE(SUBSTITUTE($N781,"~","~~"),"*","~*"),"?","~?"),'DEF_SELF_SCOUT_IMPORT'!$G$42:$G$1040,SUBSTITUTE(SUBSTITUTE(SUBSTITUTE($O781,"~","~~"),"*","~*"),"?","~?"),'DEF_SELF_SCOUT_IMPORT'!$H$42:$H$1040,"RUSH")/$C781)</f>
        <v>1.0</v>
      </c>
      <c r="H781" s="10">
        <f>IF($C781=0,"",COUNTIFS('DEF_SELF_SCOUT_IMPORT'!$L$42:$L$1040,"Y",'DEF_SELF_SCOUT_IMPORT'!$E$42:$E$1040,SUBSTITUTE(SUBSTITUTE(SUBSTITUTE($B781,"~","~~"),"*","~*"),"?","~?"),'DEF_SELF_SCOUT_IMPORT'!$Q$42:$Q$1040,SUBSTITUTE(SUBSTITUTE(SUBSTITUTE($M781,"~","~~"),"*","~*"),"?","~?"),'DEF_SELF_SCOUT_IMPORT'!$F$42:$F$1040,SUBSTITUTE(SUBSTITUTE(SUBSTITUTE($N781,"~","~~"),"*","~*"),"?","~?"),'DEF_SELF_SCOUT_IMPORT'!$G$42:$G$1040,SUBSTITUTE(SUBSTITUTE(SUBSTITUTE($O781,"~","~~"),"*","~*"),"?","~?"),'DEF_SELF_SCOUT_IMPORT'!$H$42:$H$1040,"DROPBACK")/$C781)</f>
        <v>0.0</v>
      </c>
      <c r="I781" s="14" t="str">
        <f>IF(C781=0,"",IF(C781&lt;=2,"TRACK",IF(C781=3,"LOW",IF(C781&lt;=6,"MEDIUM","HIGH"))))</f>
        <v>TRACK</v>
      </c>
      <c r="J781" s="11">
        <f>IF(C781=0,"",ROUND(D781*70+(1-E781)*20+MAX(0,MIN(1,(10-F781)/10))*10,1))</f>
        <v>26.0</v>
      </c>
      <c r="K781" s="14" t="str">
        <f>IF(C781=0,"No Evidence",IF(C781&lt;=2,IF(E781&gt;0,"Explosive Alert","Track Only"),IF(C781=3,"Sample Watch",IF(E781&gt;=START_HERE!$B$31,"Explosive Alert",IF(J781&gt;=80,"Strong Candidate",IF(J781&gt;=65,"Good Candidate",IF(J781&gt;=50,"Mixed / Review","Problem Call")))))))</f>
        <v>Track Only</v>
      </c>
      <c r="L781" s="9" t="str">
        <f>IF(COUNTIFS('DEF_SELF_SCOUT_IMPORT'!$L$42:$L$1040,"Y",'DEF_SELF_SCOUT_IMPORT'!$E$42:$E$1040,SUBSTITUTE(SUBSTITUTE(SUBSTITUTE($B781,"~","~~"),"*","~*"),"?","~?"),'DEF_SELF_SCOUT_IMPORT'!$Q$42:$Q$1040,SUBSTITUTE(SUBSTITUTE(SUBSTITUTE($M781,"~","~~"),"*","~*"),"?","~?"),'DEF_SELF_SCOUT_IMPORT'!$F$42:$F$1040,SUBSTITUTE(SUBSTITUTE(SUBSTITUTE($N781,"~","~~"),"*","~*"),"?","~?"),'DEF_SELF_SCOUT_IMPORT'!$G$42:$G$1040,SUBSTITUTE(SUBSTITUTE(SUBSTITUTE($O781,"~","~~"),"*","~*"),"?","~?"),'DEF_SELF_SCOUT_IMPORT'!$J$42:$J$1040,"")&gt;0,"Unscored clean outcome; review result tags before using score.",IF(C781=0,"No matching defensive reps; film confirmation needed.",IF(K781="Explosive Alert","Explosive risk; review clips before using as answer.",IF(C781&lt;=2,"Track only; not enough sample.",IF(C781=3,IF(E781&gt;0,"Sample watch with explosive exposure; review clips and build the sample.",IF(J781&gt;=65,"Good signal, but sample is limited.","Sample watch; review clips and build the sample.")),IF(K781="Problem Call","Problem area; practice or call-sheet review.",IF(K781="Strong Candidate","Strong call-fit candidate; confirm on film.",IF(K781="Good Candidate","Good call-fit signal; confirm on film.","Mixed signal; review fit and execution on film."))))))))</f>
        <v>Track only; not enough sample.</v>
      </c>
      <c r="M781" s="8" t="s">
        <v>115</v>
      </c>
      <c r="N781" s="8" t="s">
        <v>120</v>
      </c>
      <c r="O781" s="8" t="s">
        <v>203</v>
      </c>
      <c r="P781" s="8"/>
      <c r="Q781" s="8"/>
      <c r="R781" s="8" t="s">
        <v>28</v>
      </c>
      <c r="S781" s="2" t="s">
        <v>419</v>
      </c>
      <c r="T781" s="2">
        <f>IF(C781=0,0,IF(C781&gt;=CALL_LOOKUP_BOARD!$B$7,IF(OR(K781="Problem Call",K781="Explosive Alert"),10000000,20000000),0)+IF(C781&gt;=CALL_LOOKUP_BOARD!$B$7,J781*1000+MIN(C781,999),C781*1000+J781)+0.00980700)</f>
        <v>1026.009807</v>
      </c>
      <c r="U781" s="2">
        <f>IF(C781=0,"",IF(COUNTIFS($S$589:$S$803,SUBSTITUTE(SUBSTITUTE(SUBSTITUTE(S781,"~","~~"),"*","~*"),"?","~?"),$T$589:$T$803,"&gt;"&amp;T781)=0,S781,""))</f>
        <v/>
      </c>
    </row>
    <row r="782" spans="1:21" ht="38" customHeight="1">
      <c r="A782" s="8" t="s">
        <v>418</v>
      </c>
      <c r="B782" s="8" t="s">
        <v>35</v>
      </c>
      <c r="C782" s="12">
        <f>COUNTIFS('DEF_SELF_SCOUT_IMPORT'!$L$42:$L$1040,"Y",'DEF_SELF_SCOUT_IMPORT'!$E$42:$E$1040,SUBSTITUTE(SUBSTITUTE(SUBSTITUTE($B782,"~","~~"),"*","~*"),"?","~?"),'DEF_SELF_SCOUT_IMPORT'!$Q$42:$Q$1040,SUBSTITUTE(SUBSTITUTE(SUBSTITUTE($M782,"~","~~"),"*","~*"),"?","~?"),'DEF_SELF_SCOUT_IMPORT'!$F$42:$F$1040,SUBSTITUTE(SUBSTITUTE(SUBSTITUTE($N782,"~","~~"),"*","~*"),"?","~?"),'DEF_SELF_SCOUT_IMPORT'!$G$42:$G$1040,SUBSTITUTE(SUBSTITUTE(SUBSTITUTE($O782,"~","~~"),"*","~*"),"?","~?"))</f>
        <v>3</v>
      </c>
      <c r="D782" s="10">
        <f>IF($C782=0,"",SUMIFS('DEF_SELF_SCOUT_IMPORT'!$J$42:$J$1040,'DEF_SELF_SCOUT_IMPORT'!$L$42:$L$1040,"Y",'DEF_SELF_SCOUT_IMPORT'!$E$42:$E$1040,SUBSTITUTE(SUBSTITUTE(SUBSTITUTE($B782,"~","~~"),"*","~*"),"?","~?"),'DEF_SELF_SCOUT_IMPORT'!$Q$42:$Q$1040,SUBSTITUTE(SUBSTITUTE(SUBSTITUTE($M782,"~","~~"),"*","~*"),"?","~?"),'DEF_SELF_SCOUT_IMPORT'!$F$42:$F$1040,SUBSTITUTE(SUBSTITUTE(SUBSTITUTE($N782,"~","~~"),"*","~*"),"?","~?"),'DEF_SELF_SCOUT_IMPORT'!$G$42:$G$1040,SUBSTITUTE(SUBSTITUTE(SUBSTITUTE($O782,"~","~~"),"*","~*"),"?","~?"))/$C782)</f>
        <v>0.6666666666666666</v>
      </c>
      <c r="E782" s="10">
        <f>IF($C782=0,"",SUMIFS('DEF_SELF_SCOUT_IMPORT'!$K$42:$K$1040,'DEF_SELF_SCOUT_IMPORT'!$L$42:$L$1040,"Y",'DEF_SELF_SCOUT_IMPORT'!$E$42:$E$1040,SUBSTITUTE(SUBSTITUTE(SUBSTITUTE($B782,"~","~~"),"*","~*"),"?","~?"),'DEF_SELF_SCOUT_IMPORT'!$Q$42:$Q$1040,SUBSTITUTE(SUBSTITUTE(SUBSTITUTE($M782,"~","~~"),"*","~*"),"?","~?"),'DEF_SELF_SCOUT_IMPORT'!$F$42:$F$1040,SUBSTITUTE(SUBSTITUTE(SUBSTITUTE($N782,"~","~~"),"*","~*"),"?","~?"),'DEF_SELF_SCOUT_IMPORT'!$G$42:$G$1040,SUBSTITUTE(SUBSTITUTE(SUBSTITUTE($O782,"~","~~"),"*","~*"),"?","~?"))/$C782)</f>
        <v>0.0</v>
      </c>
      <c r="F782" s="11">
        <f>IF($C782=0,"",AVERAGEIFS('DEF_SELF_SCOUT_IMPORT'!$I$42:$I$1040,'DEF_SELF_SCOUT_IMPORT'!$L$42:$L$1040,"Y",'DEF_SELF_SCOUT_IMPORT'!$E$42:$E$1040,SUBSTITUTE(SUBSTITUTE(SUBSTITUTE($B782,"~","~~"),"*","~*"),"?","~?"),'DEF_SELF_SCOUT_IMPORT'!$Q$42:$Q$1040,SUBSTITUTE(SUBSTITUTE(SUBSTITUTE($M782,"~","~~"),"*","~*"),"?","~?"),'DEF_SELF_SCOUT_IMPORT'!$F$42:$F$1040,SUBSTITUTE(SUBSTITUTE(SUBSTITUTE($N782,"~","~~"),"*","~*"),"?","~?"),'DEF_SELF_SCOUT_IMPORT'!$G$42:$G$1040,SUBSTITUTE(SUBSTITUTE(SUBSTITUTE($O782,"~","~~"),"*","~*"),"?","~?")))</f>
        <v>4.666666666666667</v>
      </c>
      <c r="G782" s="10">
        <f>IF($C782=0,"",COUNTIFS('DEF_SELF_SCOUT_IMPORT'!$L$42:$L$1040,"Y",'DEF_SELF_SCOUT_IMPORT'!$E$42:$E$1040,SUBSTITUTE(SUBSTITUTE(SUBSTITUTE($B782,"~","~~"),"*","~*"),"?","~?"),'DEF_SELF_SCOUT_IMPORT'!$Q$42:$Q$1040,SUBSTITUTE(SUBSTITUTE(SUBSTITUTE($M782,"~","~~"),"*","~*"),"?","~?"),'DEF_SELF_SCOUT_IMPORT'!$F$42:$F$1040,SUBSTITUTE(SUBSTITUTE(SUBSTITUTE($N782,"~","~~"),"*","~*"),"?","~?"),'DEF_SELF_SCOUT_IMPORT'!$G$42:$G$1040,SUBSTITUTE(SUBSTITUTE(SUBSTITUTE($O782,"~","~~"),"*","~*"),"?","~?"),'DEF_SELF_SCOUT_IMPORT'!$H$42:$H$1040,"RUSH")/$C782)</f>
        <v>0.3333333333333333</v>
      </c>
      <c r="H782" s="10">
        <f>IF($C782=0,"",COUNTIFS('DEF_SELF_SCOUT_IMPORT'!$L$42:$L$1040,"Y",'DEF_SELF_SCOUT_IMPORT'!$E$42:$E$1040,SUBSTITUTE(SUBSTITUTE(SUBSTITUTE($B782,"~","~~"),"*","~*"),"?","~?"),'DEF_SELF_SCOUT_IMPORT'!$Q$42:$Q$1040,SUBSTITUTE(SUBSTITUTE(SUBSTITUTE($M782,"~","~~"),"*","~*"),"?","~?"),'DEF_SELF_SCOUT_IMPORT'!$F$42:$F$1040,SUBSTITUTE(SUBSTITUTE(SUBSTITUTE($N782,"~","~~"),"*","~*"),"?","~?"),'DEF_SELF_SCOUT_IMPORT'!$G$42:$G$1040,SUBSTITUTE(SUBSTITUTE(SUBSTITUTE($O782,"~","~~"),"*","~*"),"?","~?"),'DEF_SELF_SCOUT_IMPORT'!$H$42:$H$1040,"DROPBACK")/$C782)</f>
        <v>0.6666666666666666</v>
      </c>
      <c r="I782" s="14" t="str">
        <f>IF(C782=0,"",IF(C782&lt;=2,"TRACK",IF(C782=3,"LOW",IF(C782&lt;=6,"MEDIUM","HIGH"))))</f>
        <v>LOW</v>
      </c>
      <c r="J782" s="11">
        <f>IF(C782=0,"",ROUND(D782*70+(1-E782)*20+MAX(0,MIN(1,(10-F782)/10))*10,1))</f>
        <v>72.0</v>
      </c>
      <c r="K782" s="14" t="str">
        <f>IF(C782=0,"No Evidence",IF(C782&lt;=2,IF(E782&gt;0,"Explosive Alert","Track Only"),IF(C782=3,"Sample Watch",IF(E782&gt;=START_HERE!$B$31,"Explosive Alert",IF(J782&gt;=80,"Strong Candidate",IF(J782&gt;=65,"Good Candidate",IF(J782&gt;=50,"Mixed / Review","Problem Call")))))))</f>
        <v>Sample Watch</v>
      </c>
      <c r="L782" s="9" t="str">
        <f>IF(COUNTIFS('DEF_SELF_SCOUT_IMPORT'!$L$42:$L$1040,"Y",'DEF_SELF_SCOUT_IMPORT'!$E$42:$E$1040,SUBSTITUTE(SUBSTITUTE(SUBSTITUTE($B782,"~","~~"),"*","~*"),"?","~?"),'DEF_SELF_SCOUT_IMPORT'!$Q$42:$Q$1040,SUBSTITUTE(SUBSTITUTE(SUBSTITUTE($M782,"~","~~"),"*","~*"),"?","~?"),'DEF_SELF_SCOUT_IMPORT'!$F$42:$F$1040,SUBSTITUTE(SUBSTITUTE(SUBSTITUTE($N782,"~","~~"),"*","~*"),"?","~?"),'DEF_SELF_SCOUT_IMPORT'!$G$42:$G$1040,SUBSTITUTE(SUBSTITUTE(SUBSTITUTE($O782,"~","~~"),"*","~*"),"?","~?"),'DEF_SELF_SCOUT_IMPORT'!$J$42:$J$1040,"")&gt;0,"Unscored clean outcome; review result tags before using score.",IF(C782=0,"No matching defensive reps; film confirmation needed.",IF(K782="Explosive Alert","Explosive risk; review clips before using as answer.",IF(C782&lt;=2,"Track only; not enough sample.",IF(C782=3,IF(E782&gt;0,"Sample watch with explosive exposure; review clips and build the sample.",IF(J782&gt;=65,"Good signal, but sample is limited.","Sample watch; review clips and build the sample.")),IF(K782="Problem Call","Problem area; practice or call-sheet review.",IF(K782="Strong Candidate","Strong call-fit candidate; confirm on film.",IF(K782="Good Candidate","Good call-fit signal; confirm on film.","Mixed signal; review fit and execution on film."))))))))</f>
        <v>Good signal, but sample is limited.</v>
      </c>
      <c r="M782" s="8" t="s">
        <v>115</v>
      </c>
      <c r="N782" s="8" t="s">
        <v>120</v>
      </c>
      <c r="O782" s="8" t="s">
        <v>203</v>
      </c>
      <c r="P782" s="8"/>
      <c r="Q782" s="8"/>
      <c r="R782" s="8" t="s">
        <v>28</v>
      </c>
      <c r="S782" s="2" t="s">
        <v>419</v>
      </c>
      <c r="T782" s="2">
        <f>IF(C782=0,0,IF(C782&gt;=CALL_LOOKUP_BOARD!$B$7,IF(OR(K782="Problem Call",K782="Explosive Alert"),10000000,20000000),0)+IF(C782&gt;=CALL_LOOKUP_BOARD!$B$7,J782*1000+MIN(C782,999),C782*1000+J782)+0.00980600)</f>
        <v>3072.009806</v>
      </c>
      <c r="U782" s="2" t="str">
        <f>IF(C782=0,"",IF(COUNTIFS($S$589:$S$803,SUBSTITUTE(SUBSTITUTE(SUBSTITUTE(S782,"~","~~"),"*","~*"),"?","~?"),$T$589:$T$803,"&gt;"&amp;T782)=0,S782,""))</f>
        <v>4:P&amp;10|2:11|3:2X2|</v>
      </c>
    </row>
    <row r="783" spans="1:21" ht="38" customHeight="1">
      <c r="A783" s="8" t="s">
        <v>418</v>
      </c>
      <c r="B783" s="8" t="s">
        <v>60</v>
      </c>
      <c r="C783" s="12">
        <f>COUNTIFS('DEF_SELF_SCOUT_IMPORT'!$L$42:$L$1040,"Y",'DEF_SELF_SCOUT_IMPORT'!$E$42:$E$1040,SUBSTITUTE(SUBSTITUTE(SUBSTITUTE($B783,"~","~~"),"*","~*"),"?","~?"),'DEF_SELF_SCOUT_IMPORT'!$Q$42:$Q$1040,SUBSTITUTE(SUBSTITUTE(SUBSTITUTE($M783,"~","~~"),"*","~*"),"?","~?"),'DEF_SELF_SCOUT_IMPORT'!$F$42:$F$1040,SUBSTITUTE(SUBSTITUTE(SUBSTITUTE($N783,"~","~~"),"*","~*"),"?","~?"),'DEF_SELF_SCOUT_IMPORT'!$G$42:$G$1040,SUBSTITUTE(SUBSTITUTE(SUBSTITUTE($O783,"~","~~"),"*","~*"),"?","~?"))</f>
        <v>2</v>
      </c>
      <c r="D783" s="10">
        <f>IF($C783=0,"",SUMIFS('DEF_SELF_SCOUT_IMPORT'!$J$42:$J$1040,'DEF_SELF_SCOUT_IMPORT'!$L$42:$L$1040,"Y",'DEF_SELF_SCOUT_IMPORT'!$E$42:$E$1040,SUBSTITUTE(SUBSTITUTE(SUBSTITUTE($B783,"~","~~"),"*","~*"),"?","~?"),'DEF_SELF_SCOUT_IMPORT'!$Q$42:$Q$1040,SUBSTITUTE(SUBSTITUTE(SUBSTITUTE($M783,"~","~~"),"*","~*"),"?","~?"),'DEF_SELF_SCOUT_IMPORT'!$F$42:$F$1040,SUBSTITUTE(SUBSTITUTE(SUBSTITUTE($N783,"~","~~"),"*","~*"),"?","~?"),'DEF_SELF_SCOUT_IMPORT'!$G$42:$G$1040,SUBSTITUTE(SUBSTITUTE(SUBSTITUTE($O783,"~","~~"),"*","~*"),"?","~?"))/$C783)</f>
        <v>1.0</v>
      </c>
      <c r="E783" s="10">
        <f>IF($C783=0,"",SUMIFS('DEF_SELF_SCOUT_IMPORT'!$K$42:$K$1040,'DEF_SELF_SCOUT_IMPORT'!$L$42:$L$1040,"Y",'DEF_SELF_SCOUT_IMPORT'!$E$42:$E$1040,SUBSTITUTE(SUBSTITUTE(SUBSTITUTE($B783,"~","~~"),"*","~*"),"?","~?"),'DEF_SELF_SCOUT_IMPORT'!$Q$42:$Q$1040,SUBSTITUTE(SUBSTITUTE(SUBSTITUTE($M783,"~","~~"),"*","~*"),"?","~?"),'DEF_SELF_SCOUT_IMPORT'!$F$42:$F$1040,SUBSTITUTE(SUBSTITUTE(SUBSTITUTE($N783,"~","~~"),"*","~*"),"?","~?"),'DEF_SELF_SCOUT_IMPORT'!$G$42:$G$1040,SUBSTITUTE(SUBSTITUTE(SUBSTITUTE($O783,"~","~~"),"*","~*"),"?","~?"))/$C783)</f>
        <v>0.0</v>
      </c>
      <c r="F783" s="11">
        <f>IF($C783=0,"",AVERAGEIFS('DEF_SELF_SCOUT_IMPORT'!$I$42:$I$1040,'DEF_SELF_SCOUT_IMPORT'!$L$42:$L$1040,"Y",'DEF_SELF_SCOUT_IMPORT'!$E$42:$E$1040,SUBSTITUTE(SUBSTITUTE(SUBSTITUTE($B783,"~","~~"),"*","~*"),"?","~?"),'DEF_SELF_SCOUT_IMPORT'!$Q$42:$Q$1040,SUBSTITUTE(SUBSTITUTE(SUBSTITUTE($M783,"~","~~"),"*","~*"),"?","~?"),'DEF_SELF_SCOUT_IMPORT'!$F$42:$F$1040,SUBSTITUTE(SUBSTITUTE(SUBSTITUTE($N783,"~","~~"),"*","~*"),"?","~?"),'DEF_SELF_SCOUT_IMPORT'!$G$42:$G$1040,SUBSTITUTE(SUBSTITUTE(SUBSTITUTE($O783,"~","~~"),"*","~*"),"?","~?")))</f>
        <v>0.5</v>
      </c>
      <c r="G783" s="10">
        <f>IF($C783=0,"",COUNTIFS('DEF_SELF_SCOUT_IMPORT'!$L$42:$L$1040,"Y",'DEF_SELF_SCOUT_IMPORT'!$E$42:$E$1040,SUBSTITUTE(SUBSTITUTE(SUBSTITUTE($B783,"~","~~"),"*","~*"),"?","~?"),'DEF_SELF_SCOUT_IMPORT'!$Q$42:$Q$1040,SUBSTITUTE(SUBSTITUTE(SUBSTITUTE($M783,"~","~~"),"*","~*"),"?","~?"),'DEF_SELF_SCOUT_IMPORT'!$F$42:$F$1040,SUBSTITUTE(SUBSTITUTE(SUBSTITUTE($N783,"~","~~"),"*","~*"),"?","~?"),'DEF_SELF_SCOUT_IMPORT'!$G$42:$G$1040,SUBSTITUTE(SUBSTITUTE(SUBSTITUTE($O783,"~","~~"),"*","~*"),"?","~?"),'DEF_SELF_SCOUT_IMPORT'!$H$42:$H$1040,"RUSH")/$C783)</f>
        <v>0.5</v>
      </c>
      <c r="H783" s="10">
        <f>IF($C783=0,"",COUNTIFS('DEF_SELF_SCOUT_IMPORT'!$L$42:$L$1040,"Y",'DEF_SELF_SCOUT_IMPORT'!$E$42:$E$1040,SUBSTITUTE(SUBSTITUTE(SUBSTITUTE($B783,"~","~~"),"*","~*"),"?","~?"),'DEF_SELF_SCOUT_IMPORT'!$Q$42:$Q$1040,SUBSTITUTE(SUBSTITUTE(SUBSTITUTE($M783,"~","~~"),"*","~*"),"?","~?"),'DEF_SELF_SCOUT_IMPORT'!$F$42:$F$1040,SUBSTITUTE(SUBSTITUTE(SUBSTITUTE($N783,"~","~~"),"*","~*"),"?","~?"),'DEF_SELF_SCOUT_IMPORT'!$G$42:$G$1040,SUBSTITUTE(SUBSTITUTE(SUBSTITUTE($O783,"~","~~"),"*","~*"),"?","~?"),'DEF_SELF_SCOUT_IMPORT'!$H$42:$H$1040,"DROPBACK")/$C783)</f>
        <v>0.5</v>
      </c>
      <c r="I783" s="14" t="str">
        <f>IF(C783=0,"",IF(C783&lt;=2,"TRACK",IF(C783=3,"LOW",IF(C783&lt;=6,"MEDIUM","HIGH"))))</f>
        <v>TRACK</v>
      </c>
      <c r="J783" s="11">
        <f>IF(C783=0,"",ROUND(D783*70+(1-E783)*20+MAX(0,MIN(1,(10-F783)/10))*10,1))</f>
        <v>99.5</v>
      </c>
      <c r="K783" s="14" t="str">
        <f>IF(C783=0,"No Evidence",IF(C783&lt;=2,IF(E783&gt;0,"Explosive Alert","Track Only"),IF(C783=3,"Sample Watch",IF(E783&gt;=START_HERE!$B$31,"Explosive Alert",IF(J783&gt;=80,"Strong Candidate",IF(J783&gt;=65,"Good Candidate",IF(J783&gt;=50,"Mixed / Review","Problem Call")))))))</f>
        <v>Track Only</v>
      </c>
      <c r="L783" s="9" t="str">
        <f>IF(COUNTIFS('DEF_SELF_SCOUT_IMPORT'!$L$42:$L$1040,"Y",'DEF_SELF_SCOUT_IMPORT'!$E$42:$E$1040,SUBSTITUTE(SUBSTITUTE(SUBSTITUTE($B783,"~","~~"),"*","~*"),"?","~?"),'DEF_SELF_SCOUT_IMPORT'!$Q$42:$Q$1040,SUBSTITUTE(SUBSTITUTE(SUBSTITUTE($M783,"~","~~"),"*","~*"),"?","~?"),'DEF_SELF_SCOUT_IMPORT'!$F$42:$F$1040,SUBSTITUTE(SUBSTITUTE(SUBSTITUTE($N783,"~","~~"),"*","~*"),"?","~?"),'DEF_SELF_SCOUT_IMPORT'!$G$42:$G$1040,SUBSTITUTE(SUBSTITUTE(SUBSTITUTE($O783,"~","~~"),"*","~*"),"?","~?"),'DEF_SELF_SCOUT_IMPORT'!$J$42:$J$1040,"")&gt;0,"Unscored clean outcome; review result tags before using score.",IF(C783=0,"No matching defensive reps; film confirmation needed.",IF(K783="Explosive Alert","Explosive risk; review clips before using as answer.",IF(C783&lt;=2,"Track only; not enough sample.",IF(C783=3,IF(E783&gt;0,"Sample watch with explosive exposure; review clips and build the sample.",IF(J783&gt;=65,"Good signal, but sample is limited.","Sample watch; review clips and build the sample.")),IF(K783="Problem Call","Problem area; practice or call-sheet review.",IF(K783="Strong Candidate","Strong call-fit candidate; confirm on film.",IF(K783="Good Candidate","Good call-fit signal; confirm on film.","Mixed signal; review fit and execution on film."))))))))</f>
        <v>Track only; not enough sample.</v>
      </c>
      <c r="M783" s="8" t="s">
        <v>115</v>
      </c>
      <c r="N783" s="8" t="s">
        <v>120</v>
      </c>
      <c r="O783" s="8" t="s">
        <v>203</v>
      </c>
      <c r="P783" s="8"/>
      <c r="Q783" s="8"/>
      <c r="R783" s="8" t="s">
        <v>28</v>
      </c>
      <c r="S783" s="2" t="s">
        <v>419</v>
      </c>
      <c r="T783" s="2">
        <f>IF(C783=0,0,IF(C783&gt;=CALL_LOOKUP_BOARD!$B$7,IF(OR(K783="Problem Call",K783="Explosive Alert"),10000000,20000000),0)+IF(C783&gt;=CALL_LOOKUP_BOARD!$B$7,J783*1000+MIN(C783,999),C783*1000+J783)+0.00980500)</f>
        <v>2099.509805</v>
      </c>
      <c r="U783" s="2">
        <f>IF(C783=0,"",IF(COUNTIFS($S$589:$S$803,SUBSTITUTE(SUBSTITUTE(SUBSTITUTE(S783,"~","~~"),"*","~*"),"?","~?"),$T$589:$T$803,"&gt;"&amp;T783)=0,S783,""))</f>
        <v/>
      </c>
    </row>
    <row r="784" spans="1:21" ht="38" customHeight="1">
      <c r="A784" s="8" t="s">
        <v>418</v>
      </c>
      <c r="B784" s="8" t="s">
        <v>73</v>
      </c>
      <c r="C784" s="12">
        <f>COUNTIFS('DEF_SELF_SCOUT_IMPORT'!$L$42:$L$1040,"Y",'DEF_SELF_SCOUT_IMPORT'!$E$42:$E$1040,SUBSTITUTE(SUBSTITUTE(SUBSTITUTE($B784,"~","~~"),"*","~*"),"?","~?"),'DEF_SELF_SCOUT_IMPORT'!$Q$42:$Q$1040,SUBSTITUTE(SUBSTITUTE(SUBSTITUTE($M784,"~","~~"),"*","~*"),"?","~?"),'DEF_SELF_SCOUT_IMPORT'!$F$42:$F$1040,SUBSTITUTE(SUBSTITUTE(SUBSTITUTE($N784,"~","~~"),"*","~*"),"?","~?"),'DEF_SELF_SCOUT_IMPORT'!$G$42:$G$1040,SUBSTITUTE(SUBSTITUTE(SUBSTITUTE($O784,"~","~~"),"*","~*"),"?","~?"))</f>
        <v>1</v>
      </c>
      <c r="D784" s="10">
        <f>IF($C784=0,"",SUMIFS('DEF_SELF_SCOUT_IMPORT'!$J$42:$J$1040,'DEF_SELF_SCOUT_IMPORT'!$L$42:$L$1040,"Y",'DEF_SELF_SCOUT_IMPORT'!$E$42:$E$1040,SUBSTITUTE(SUBSTITUTE(SUBSTITUTE($B784,"~","~~"),"*","~*"),"?","~?"),'DEF_SELF_SCOUT_IMPORT'!$Q$42:$Q$1040,SUBSTITUTE(SUBSTITUTE(SUBSTITUTE($M784,"~","~~"),"*","~*"),"?","~?"),'DEF_SELF_SCOUT_IMPORT'!$F$42:$F$1040,SUBSTITUTE(SUBSTITUTE(SUBSTITUTE($N784,"~","~~"),"*","~*"),"?","~?"),'DEF_SELF_SCOUT_IMPORT'!$G$42:$G$1040,SUBSTITUTE(SUBSTITUTE(SUBSTITUTE($O784,"~","~~"),"*","~*"),"?","~?"))/$C784)</f>
        <v>1.0</v>
      </c>
      <c r="E784" s="10">
        <f>IF($C784=0,"",SUMIFS('DEF_SELF_SCOUT_IMPORT'!$K$42:$K$1040,'DEF_SELF_SCOUT_IMPORT'!$L$42:$L$1040,"Y",'DEF_SELF_SCOUT_IMPORT'!$E$42:$E$1040,SUBSTITUTE(SUBSTITUTE(SUBSTITUTE($B784,"~","~~"),"*","~*"),"?","~?"),'DEF_SELF_SCOUT_IMPORT'!$Q$42:$Q$1040,SUBSTITUTE(SUBSTITUTE(SUBSTITUTE($M784,"~","~~"),"*","~*"),"?","~?"),'DEF_SELF_SCOUT_IMPORT'!$F$42:$F$1040,SUBSTITUTE(SUBSTITUTE(SUBSTITUTE($N784,"~","~~"),"*","~*"),"?","~?"),'DEF_SELF_SCOUT_IMPORT'!$G$42:$G$1040,SUBSTITUTE(SUBSTITUTE(SUBSTITUTE($O784,"~","~~"),"*","~*"),"?","~?"))/$C784)</f>
        <v>0.0</v>
      </c>
      <c r="F784" s="11">
        <f>IF($C784=0,"",AVERAGEIFS('DEF_SELF_SCOUT_IMPORT'!$I$42:$I$1040,'DEF_SELF_SCOUT_IMPORT'!$L$42:$L$1040,"Y",'DEF_SELF_SCOUT_IMPORT'!$E$42:$E$1040,SUBSTITUTE(SUBSTITUTE(SUBSTITUTE($B784,"~","~~"),"*","~*"),"?","~?"),'DEF_SELF_SCOUT_IMPORT'!$Q$42:$Q$1040,SUBSTITUTE(SUBSTITUTE(SUBSTITUTE($M784,"~","~~"),"*","~*"),"?","~?"),'DEF_SELF_SCOUT_IMPORT'!$F$42:$F$1040,SUBSTITUTE(SUBSTITUTE(SUBSTITUTE($N784,"~","~~"),"*","~*"),"?","~?"),'DEF_SELF_SCOUT_IMPORT'!$G$42:$G$1040,SUBSTITUTE(SUBSTITUTE(SUBSTITUTE($O784,"~","~~"),"*","~*"),"?","~?")))</f>
        <v>0.0</v>
      </c>
      <c r="G784" s="10">
        <f>IF($C784=0,"",COUNTIFS('DEF_SELF_SCOUT_IMPORT'!$L$42:$L$1040,"Y",'DEF_SELF_SCOUT_IMPORT'!$E$42:$E$1040,SUBSTITUTE(SUBSTITUTE(SUBSTITUTE($B784,"~","~~"),"*","~*"),"?","~?"),'DEF_SELF_SCOUT_IMPORT'!$Q$42:$Q$1040,SUBSTITUTE(SUBSTITUTE(SUBSTITUTE($M784,"~","~~"),"*","~*"),"?","~?"),'DEF_SELF_SCOUT_IMPORT'!$F$42:$F$1040,SUBSTITUTE(SUBSTITUTE(SUBSTITUTE($N784,"~","~~"),"*","~*"),"?","~?"),'DEF_SELF_SCOUT_IMPORT'!$G$42:$G$1040,SUBSTITUTE(SUBSTITUTE(SUBSTITUTE($O784,"~","~~"),"*","~*"),"?","~?"),'DEF_SELF_SCOUT_IMPORT'!$H$42:$H$1040,"RUSH")/$C784)</f>
        <v>0.0</v>
      </c>
      <c r="H784" s="10">
        <f>IF($C784=0,"",COUNTIFS('DEF_SELF_SCOUT_IMPORT'!$L$42:$L$1040,"Y",'DEF_SELF_SCOUT_IMPORT'!$E$42:$E$1040,SUBSTITUTE(SUBSTITUTE(SUBSTITUTE($B784,"~","~~"),"*","~*"),"?","~?"),'DEF_SELF_SCOUT_IMPORT'!$Q$42:$Q$1040,SUBSTITUTE(SUBSTITUTE(SUBSTITUTE($M784,"~","~~"),"*","~*"),"?","~?"),'DEF_SELF_SCOUT_IMPORT'!$F$42:$F$1040,SUBSTITUTE(SUBSTITUTE(SUBSTITUTE($N784,"~","~~"),"*","~*"),"?","~?"),'DEF_SELF_SCOUT_IMPORT'!$G$42:$G$1040,SUBSTITUTE(SUBSTITUTE(SUBSTITUTE($O784,"~","~~"),"*","~*"),"?","~?"),'DEF_SELF_SCOUT_IMPORT'!$H$42:$H$1040,"DROPBACK")/$C784)</f>
        <v>1.0</v>
      </c>
      <c r="I784" s="14" t="str">
        <f>IF(C784=0,"",IF(C784&lt;=2,"TRACK",IF(C784=3,"LOW",IF(C784&lt;=6,"MEDIUM","HIGH"))))</f>
        <v>TRACK</v>
      </c>
      <c r="J784" s="11">
        <f>IF(C784=0,"",ROUND(D784*70+(1-E784)*20+MAX(0,MIN(1,(10-F784)/10))*10,1))</f>
        <v>100.0</v>
      </c>
      <c r="K784" s="14" t="str">
        <f>IF(C784=0,"No Evidence",IF(C784&lt;=2,IF(E784&gt;0,"Explosive Alert","Track Only"),IF(C784=3,"Sample Watch",IF(E784&gt;=START_HERE!$B$31,"Explosive Alert",IF(J784&gt;=80,"Strong Candidate",IF(J784&gt;=65,"Good Candidate",IF(J784&gt;=50,"Mixed / Review","Problem Call")))))))</f>
        <v>Track Only</v>
      </c>
      <c r="L784" s="9" t="str">
        <f>IF(COUNTIFS('DEF_SELF_SCOUT_IMPORT'!$L$42:$L$1040,"Y",'DEF_SELF_SCOUT_IMPORT'!$E$42:$E$1040,SUBSTITUTE(SUBSTITUTE(SUBSTITUTE($B784,"~","~~"),"*","~*"),"?","~?"),'DEF_SELF_SCOUT_IMPORT'!$Q$42:$Q$1040,SUBSTITUTE(SUBSTITUTE(SUBSTITUTE($M784,"~","~~"),"*","~*"),"?","~?"),'DEF_SELF_SCOUT_IMPORT'!$F$42:$F$1040,SUBSTITUTE(SUBSTITUTE(SUBSTITUTE($N784,"~","~~"),"*","~*"),"?","~?"),'DEF_SELF_SCOUT_IMPORT'!$G$42:$G$1040,SUBSTITUTE(SUBSTITUTE(SUBSTITUTE($O784,"~","~~"),"*","~*"),"?","~?"),'DEF_SELF_SCOUT_IMPORT'!$J$42:$J$1040,"")&gt;0,"Unscored clean outcome; review result tags before using score.",IF(C784=0,"No matching defensive reps; film confirmation needed.",IF(K784="Explosive Alert","Explosive risk; review clips before using as answer.",IF(C784&lt;=2,"Track only; not enough sample.",IF(C784=3,IF(E784&gt;0,"Sample watch with explosive exposure; review clips and build the sample.",IF(J784&gt;=65,"Good signal, but sample is limited.","Sample watch; review clips and build the sample.")),IF(K784="Problem Call","Problem area; practice or call-sheet review.",IF(K784="Strong Candidate","Strong call-fit candidate; confirm on film.",IF(K784="Good Candidate","Good call-fit signal; confirm on film.","Mixed signal; review fit and execution on film."))))))))</f>
        <v>Track only; not enough sample.</v>
      </c>
      <c r="M784" s="8" t="s">
        <v>115</v>
      </c>
      <c r="N784" s="8" t="s">
        <v>120</v>
      </c>
      <c r="O784" s="8" t="s">
        <v>203</v>
      </c>
      <c r="P784" s="8"/>
      <c r="Q784" s="8"/>
      <c r="R784" s="8" t="s">
        <v>28</v>
      </c>
      <c r="S784" s="2" t="s">
        <v>419</v>
      </c>
      <c r="T784" s="2">
        <f>IF(C784=0,0,IF(C784&gt;=CALL_LOOKUP_BOARD!$B$7,IF(OR(K784="Problem Call",K784="Explosive Alert"),10000000,20000000),0)+IF(C784&gt;=CALL_LOOKUP_BOARD!$B$7,J784*1000+MIN(C784,999),C784*1000+J784)+0.00980400)</f>
        <v>1100.009804</v>
      </c>
      <c r="U784" s="2">
        <f>IF(C784=0,"",IF(COUNTIFS($S$589:$S$803,SUBSTITUTE(SUBSTITUTE(SUBSTITUTE(S784,"~","~~"),"*","~*"),"?","~?"),$T$589:$T$803,"&gt;"&amp;T784)=0,S784,""))</f>
        <v/>
      </c>
    </row>
    <row r="785" spans="1:21" ht="38" customHeight="1">
      <c r="A785" s="8" t="s">
        <v>418</v>
      </c>
      <c r="B785" s="8" t="s">
        <v>63</v>
      </c>
      <c r="C785" s="12">
        <f>COUNTIFS('DEF_SELF_SCOUT_IMPORT'!$L$42:$L$1040,"Y",'DEF_SELF_SCOUT_IMPORT'!$E$42:$E$1040,SUBSTITUTE(SUBSTITUTE(SUBSTITUTE($B785,"~","~~"),"*","~*"),"?","~?"),'DEF_SELF_SCOUT_IMPORT'!$Q$42:$Q$1040,SUBSTITUTE(SUBSTITUTE(SUBSTITUTE($M785,"~","~~"),"*","~*"),"?","~?"),'DEF_SELF_SCOUT_IMPORT'!$F$42:$F$1040,SUBSTITUTE(SUBSTITUTE(SUBSTITUTE($N785,"~","~~"),"*","~*"),"?","~?"),'DEF_SELF_SCOUT_IMPORT'!$G$42:$G$1040,SUBSTITUTE(SUBSTITUTE(SUBSTITUTE($O785,"~","~~"),"*","~*"),"?","~?"))</f>
        <v>1</v>
      </c>
      <c r="D785" s="10">
        <f>IF($C785=0,"",SUMIFS('DEF_SELF_SCOUT_IMPORT'!$J$42:$J$1040,'DEF_SELF_SCOUT_IMPORT'!$L$42:$L$1040,"Y",'DEF_SELF_SCOUT_IMPORT'!$E$42:$E$1040,SUBSTITUTE(SUBSTITUTE(SUBSTITUTE($B785,"~","~~"),"*","~*"),"?","~?"),'DEF_SELF_SCOUT_IMPORT'!$Q$42:$Q$1040,SUBSTITUTE(SUBSTITUTE(SUBSTITUTE($M785,"~","~~"),"*","~*"),"?","~?"),'DEF_SELF_SCOUT_IMPORT'!$F$42:$F$1040,SUBSTITUTE(SUBSTITUTE(SUBSTITUTE($N785,"~","~~"),"*","~*"),"?","~?"),'DEF_SELF_SCOUT_IMPORT'!$G$42:$G$1040,SUBSTITUTE(SUBSTITUTE(SUBSTITUTE($O785,"~","~~"),"*","~*"),"?","~?"))/$C785)</f>
        <v>0.0</v>
      </c>
      <c r="E785" s="10">
        <f>IF($C785=0,"",SUMIFS('DEF_SELF_SCOUT_IMPORT'!$K$42:$K$1040,'DEF_SELF_SCOUT_IMPORT'!$L$42:$L$1040,"Y",'DEF_SELF_SCOUT_IMPORT'!$E$42:$E$1040,SUBSTITUTE(SUBSTITUTE(SUBSTITUTE($B785,"~","~~"),"*","~*"),"?","~?"),'DEF_SELF_SCOUT_IMPORT'!$Q$42:$Q$1040,SUBSTITUTE(SUBSTITUTE(SUBSTITUTE($M785,"~","~~"),"*","~*"),"?","~?"),'DEF_SELF_SCOUT_IMPORT'!$F$42:$F$1040,SUBSTITUTE(SUBSTITUTE(SUBSTITUTE($N785,"~","~~"),"*","~*"),"?","~?"),'DEF_SELF_SCOUT_IMPORT'!$G$42:$G$1040,SUBSTITUTE(SUBSTITUTE(SUBSTITUTE($O785,"~","~~"),"*","~*"),"?","~?"))/$C785)</f>
        <v>0.0</v>
      </c>
      <c r="F785" s="11">
        <f>IF($C785=0,"",AVERAGEIFS('DEF_SELF_SCOUT_IMPORT'!$I$42:$I$1040,'DEF_SELF_SCOUT_IMPORT'!$L$42:$L$1040,"Y",'DEF_SELF_SCOUT_IMPORT'!$E$42:$E$1040,SUBSTITUTE(SUBSTITUTE(SUBSTITUTE($B785,"~","~~"),"*","~*"),"?","~?"),'DEF_SELF_SCOUT_IMPORT'!$Q$42:$Q$1040,SUBSTITUTE(SUBSTITUTE(SUBSTITUTE($M785,"~","~~"),"*","~*"),"?","~?"),'DEF_SELF_SCOUT_IMPORT'!$F$42:$F$1040,SUBSTITUTE(SUBSTITUTE(SUBSTITUTE($N785,"~","~~"),"*","~*"),"?","~?"),'DEF_SELF_SCOUT_IMPORT'!$G$42:$G$1040,SUBSTITUTE(SUBSTITUTE(SUBSTITUTE($O785,"~","~~"),"*","~*"),"?","~?")))</f>
        <v>7.0</v>
      </c>
      <c r="G785" s="10">
        <f>IF($C785=0,"",COUNTIFS('DEF_SELF_SCOUT_IMPORT'!$L$42:$L$1040,"Y",'DEF_SELF_SCOUT_IMPORT'!$E$42:$E$1040,SUBSTITUTE(SUBSTITUTE(SUBSTITUTE($B785,"~","~~"),"*","~*"),"?","~?"),'DEF_SELF_SCOUT_IMPORT'!$Q$42:$Q$1040,SUBSTITUTE(SUBSTITUTE(SUBSTITUTE($M785,"~","~~"),"*","~*"),"?","~?"),'DEF_SELF_SCOUT_IMPORT'!$F$42:$F$1040,SUBSTITUTE(SUBSTITUTE(SUBSTITUTE($N785,"~","~~"),"*","~*"),"?","~?"),'DEF_SELF_SCOUT_IMPORT'!$G$42:$G$1040,SUBSTITUTE(SUBSTITUTE(SUBSTITUTE($O785,"~","~~"),"*","~*"),"?","~?"),'DEF_SELF_SCOUT_IMPORT'!$H$42:$H$1040,"RUSH")/$C785)</f>
        <v>1.0</v>
      </c>
      <c r="H785" s="10">
        <f>IF($C785=0,"",COUNTIFS('DEF_SELF_SCOUT_IMPORT'!$L$42:$L$1040,"Y",'DEF_SELF_SCOUT_IMPORT'!$E$42:$E$1040,SUBSTITUTE(SUBSTITUTE(SUBSTITUTE($B785,"~","~~"),"*","~*"),"?","~?"),'DEF_SELF_SCOUT_IMPORT'!$Q$42:$Q$1040,SUBSTITUTE(SUBSTITUTE(SUBSTITUTE($M785,"~","~~"),"*","~*"),"?","~?"),'DEF_SELF_SCOUT_IMPORT'!$F$42:$F$1040,SUBSTITUTE(SUBSTITUTE(SUBSTITUTE($N785,"~","~~"),"*","~*"),"?","~?"),'DEF_SELF_SCOUT_IMPORT'!$G$42:$G$1040,SUBSTITUTE(SUBSTITUTE(SUBSTITUTE($O785,"~","~~"),"*","~*"),"?","~?"),'DEF_SELF_SCOUT_IMPORT'!$H$42:$H$1040,"DROPBACK")/$C785)</f>
        <v>0.0</v>
      </c>
      <c r="I785" s="14" t="str">
        <f>IF(C785=0,"",IF(C785&lt;=2,"TRACK",IF(C785=3,"LOW",IF(C785&lt;=6,"MEDIUM","HIGH"))))</f>
        <v>TRACK</v>
      </c>
      <c r="J785" s="11">
        <f>IF(C785=0,"",ROUND(D785*70+(1-E785)*20+MAX(0,MIN(1,(10-F785)/10))*10,1))</f>
        <v>23.0</v>
      </c>
      <c r="K785" s="14" t="str">
        <f>IF(C785=0,"No Evidence",IF(C785&lt;=2,IF(E785&gt;0,"Explosive Alert","Track Only"),IF(C785=3,"Sample Watch",IF(E785&gt;=START_HERE!$B$31,"Explosive Alert",IF(J785&gt;=80,"Strong Candidate",IF(J785&gt;=65,"Good Candidate",IF(J785&gt;=50,"Mixed / Review","Problem Call")))))))</f>
        <v>Track Only</v>
      </c>
      <c r="L785" s="9" t="str">
        <f>IF(COUNTIFS('DEF_SELF_SCOUT_IMPORT'!$L$42:$L$1040,"Y",'DEF_SELF_SCOUT_IMPORT'!$E$42:$E$1040,SUBSTITUTE(SUBSTITUTE(SUBSTITUTE($B785,"~","~~"),"*","~*"),"?","~?"),'DEF_SELF_SCOUT_IMPORT'!$Q$42:$Q$1040,SUBSTITUTE(SUBSTITUTE(SUBSTITUTE($M785,"~","~~"),"*","~*"),"?","~?"),'DEF_SELF_SCOUT_IMPORT'!$F$42:$F$1040,SUBSTITUTE(SUBSTITUTE(SUBSTITUTE($N785,"~","~~"),"*","~*"),"?","~?"),'DEF_SELF_SCOUT_IMPORT'!$G$42:$G$1040,SUBSTITUTE(SUBSTITUTE(SUBSTITUTE($O785,"~","~~"),"*","~*"),"?","~?"),'DEF_SELF_SCOUT_IMPORT'!$J$42:$J$1040,"")&gt;0,"Unscored clean outcome; review result tags before using score.",IF(C785=0,"No matching defensive reps; film confirmation needed.",IF(K785="Explosive Alert","Explosive risk; review clips before using as answer.",IF(C785&lt;=2,"Track only; not enough sample.",IF(C785=3,IF(E785&gt;0,"Sample watch with explosive exposure; review clips and build the sample.",IF(J785&gt;=65,"Good signal, but sample is limited.","Sample watch; review clips and build the sample.")),IF(K785="Problem Call","Problem area; practice or call-sheet review.",IF(K785="Strong Candidate","Strong call-fit candidate; confirm on film.",IF(K785="Good Candidate","Good call-fit signal; confirm on film.","Mixed signal; review fit and execution on film."))))))))</f>
        <v>Track only; not enough sample.</v>
      </c>
      <c r="M785" s="8" t="s">
        <v>115</v>
      </c>
      <c r="N785" s="8" t="s">
        <v>120</v>
      </c>
      <c r="O785" s="8" t="s">
        <v>203</v>
      </c>
      <c r="P785" s="8"/>
      <c r="Q785" s="8"/>
      <c r="R785" s="8" t="s">
        <v>28</v>
      </c>
      <c r="S785" s="2" t="s">
        <v>419</v>
      </c>
      <c r="T785" s="2">
        <f>IF(C785=0,0,IF(C785&gt;=CALL_LOOKUP_BOARD!$B$7,IF(OR(K785="Problem Call",K785="Explosive Alert"),10000000,20000000),0)+IF(C785&gt;=CALL_LOOKUP_BOARD!$B$7,J785*1000+MIN(C785,999),C785*1000+J785)+0.00980300)</f>
        <v>1023.009803</v>
      </c>
      <c r="U785" s="2">
        <f>IF(C785=0,"",IF(COUNTIFS($S$589:$S$803,SUBSTITUTE(SUBSTITUTE(SUBSTITUTE(S785,"~","~~"),"*","~*"),"?","~?"),$T$589:$T$803,"&gt;"&amp;T785)=0,S785,""))</f>
        <v/>
      </c>
    </row>
    <row r="786" spans="1:21" ht="38" customHeight="1">
      <c r="A786" s="8" t="s">
        <v>418</v>
      </c>
      <c r="B786" s="8" t="s">
        <v>67</v>
      </c>
      <c r="C786" s="12">
        <f>COUNTIFS('DEF_SELF_SCOUT_IMPORT'!$L$42:$L$1040,"Y",'DEF_SELF_SCOUT_IMPORT'!$E$42:$E$1040,SUBSTITUTE(SUBSTITUTE(SUBSTITUTE($B786,"~","~~"),"*","~*"),"?","~?"),'DEF_SELF_SCOUT_IMPORT'!$Q$42:$Q$1040,SUBSTITUTE(SUBSTITUTE(SUBSTITUTE($M786,"~","~~"),"*","~*"),"?","~?"),'DEF_SELF_SCOUT_IMPORT'!$F$42:$F$1040,SUBSTITUTE(SUBSTITUTE(SUBSTITUTE($N786,"~","~~"),"*","~*"),"?","~?"),'DEF_SELF_SCOUT_IMPORT'!$G$42:$G$1040,SUBSTITUTE(SUBSTITUTE(SUBSTITUTE($O786,"~","~~"),"*","~*"),"?","~?"))</f>
        <v>1</v>
      </c>
      <c r="D786" s="10">
        <f>IF($C786=0,"",SUMIFS('DEF_SELF_SCOUT_IMPORT'!$J$42:$J$1040,'DEF_SELF_SCOUT_IMPORT'!$L$42:$L$1040,"Y",'DEF_SELF_SCOUT_IMPORT'!$E$42:$E$1040,SUBSTITUTE(SUBSTITUTE(SUBSTITUTE($B786,"~","~~"),"*","~*"),"?","~?"),'DEF_SELF_SCOUT_IMPORT'!$Q$42:$Q$1040,SUBSTITUTE(SUBSTITUTE(SUBSTITUTE($M786,"~","~~"),"*","~*"),"?","~?"),'DEF_SELF_SCOUT_IMPORT'!$F$42:$F$1040,SUBSTITUTE(SUBSTITUTE(SUBSTITUTE($N786,"~","~~"),"*","~*"),"?","~?"),'DEF_SELF_SCOUT_IMPORT'!$G$42:$G$1040,SUBSTITUTE(SUBSTITUTE(SUBSTITUTE($O786,"~","~~"),"*","~*"),"?","~?"))/$C786)</f>
        <v>1.0</v>
      </c>
      <c r="E786" s="10">
        <f>IF($C786=0,"",SUMIFS('DEF_SELF_SCOUT_IMPORT'!$K$42:$K$1040,'DEF_SELF_SCOUT_IMPORT'!$L$42:$L$1040,"Y",'DEF_SELF_SCOUT_IMPORT'!$E$42:$E$1040,SUBSTITUTE(SUBSTITUTE(SUBSTITUTE($B786,"~","~~"),"*","~*"),"?","~?"),'DEF_SELF_SCOUT_IMPORT'!$Q$42:$Q$1040,SUBSTITUTE(SUBSTITUTE(SUBSTITUTE($M786,"~","~~"),"*","~*"),"?","~?"),'DEF_SELF_SCOUT_IMPORT'!$F$42:$F$1040,SUBSTITUTE(SUBSTITUTE(SUBSTITUTE($N786,"~","~~"),"*","~*"),"?","~?"),'DEF_SELF_SCOUT_IMPORT'!$G$42:$G$1040,SUBSTITUTE(SUBSTITUTE(SUBSTITUTE($O786,"~","~~"),"*","~*"),"?","~?"))/$C786)</f>
        <v>0.0</v>
      </c>
      <c r="F786" s="11">
        <f>IF($C786=0,"",AVERAGEIFS('DEF_SELF_SCOUT_IMPORT'!$I$42:$I$1040,'DEF_SELF_SCOUT_IMPORT'!$L$42:$L$1040,"Y",'DEF_SELF_SCOUT_IMPORT'!$E$42:$E$1040,SUBSTITUTE(SUBSTITUTE(SUBSTITUTE($B786,"~","~~"),"*","~*"),"?","~?"),'DEF_SELF_SCOUT_IMPORT'!$Q$42:$Q$1040,SUBSTITUTE(SUBSTITUTE(SUBSTITUTE($M786,"~","~~"),"*","~*"),"?","~?"),'DEF_SELF_SCOUT_IMPORT'!$F$42:$F$1040,SUBSTITUTE(SUBSTITUTE(SUBSTITUTE($N786,"~","~~"),"*","~*"),"?","~?"),'DEF_SELF_SCOUT_IMPORT'!$G$42:$G$1040,SUBSTITUTE(SUBSTITUTE(SUBSTITUTE($O786,"~","~~"),"*","~*"),"?","~?")))</f>
        <v>3.0</v>
      </c>
      <c r="G786" s="10">
        <f>IF($C786=0,"",COUNTIFS('DEF_SELF_SCOUT_IMPORT'!$L$42:$L$1040,"Y",'DEF_SELF_SCOUT_IMPORT'!$E$42:$E$1040,SUBSTITUTE(SUBSTITUTE(SUBSTITUTE($B786,"~","~~"),"*","~*"),"?","~?"),'DEF_SELF_SCOUT_IMPORT'!$Q$42:$Q$1040,SUBSTITUTE(SUBSTITUTE(SUBSTITUTE($M786,"~","~~"),"*","~*"),"?","~?"),'DEF_SELF_SCOUT_IMPORT'!$F$42:$F$1040,SUBSTITUTE(SUBSTITUTE(SUBSTITUTE($N786,"~","~~"),"*","~*"),"?","~?"),'DEF_SELF_SCOUT_IMPORT'!$G$42:$G$1040,SUBSTITUTE(SUBSTITUTE(SUBSTITUTE($O786,"~","~~"),"*","~*"),"?","~?"),'DEF_SELF_SCOUT_IMPORT'!$H$42:$H$1040,"RUSH")/$C786)</f>
        <v>1.0</v>
      </c>
      <c r="H786" s="10">
        <f>IF($C786=0,"",COUNTIFS('DEF_SELF_SCOUT_IMPORT'!$L$42:$L$1040,"Y",'DEF_SELF_SCOUT_IMPORT'!$E$42:$E$1040,SUBSTITUTE(SUBSTITUTE(SUBSTITUTE($B786,"~","~~"),"*","~*"),"?","~?"),'DEF_SELF_SCOUT_IMPORT'!$Q$42:$Q$1040,SUBSTITUTE(SUBSTITUTE(SUBSTITUTE($M786,"~","~~"),"*","~*"),"?","~?"),'DEF_SELF_SCOUT_IMPORT'!$F$42:$F$1040,SUBSTITUTE(SUBSTITUTE(SUBSTITUTE($N786,"~","~~"),"*","~*"),"?","~?"),'DEF_SELF_SCOUT_IMPORT'!$G$42:$G$1040,SUBSTITUTE(SUBSTITUTE(SUBSTITUTE($O786,"~","~~"),"*","~*"),"?","~?"),'DEF_SELF_SCOUT_IMPORT'!$H$42:$H$1040,"DROPBACK")/$C786)</f>
        <v>0.0</v>
      </c>
      <c r="I786" s="14" t="str">
        <f>IF(C786=0,"",IF(C786&lt;=2,"TRACK",IF(C786=3,"LOW",IF(C786&lt;=6,"MEDIUM","HIGH"))))</f>
        <v>TRACK</v>
      </c>
      <c r="J786" s="11">
        <f>IF(C786=0,"",ROUND(D786*70+(1-E786)*20+MAX(0,MIN(1,(10-F786)/10))*10,1))</f>
        <v>97.0</v>
      </c>
      <c r="K786" s="14" t="str">
        <f>IF(C786=0,"No Evidence",IF(C786&lt;=2,IF(E786&gt;0,"Explosive Alert","Track Only"),IF(C786=3,"Sample Watch",IF(E786&gt;=START_HERE!$B$31,"Explosive Alert",IF(J786&gt;=80,"Strong Candidate",IF(J786&gt;=65,"Good Candidate",IF(J786&gt;=50,"Mixed / Review","Problem Call")))))))</f>
        <v>Track Only</v>
      </c>
      <c r="L786" s="9" t="str">
        <f>IF(COUNTIFS('DEF_SELF_SCOUT_IMPORT'!$L$42:$L$1040,"Y",'DEF_SELF_SCOUT_IMPORT'!$E$42:$E$1040,SUBSTITUTE(SUBSTITUTE(SUBSTITUTE($B786,"~","~~"),"*","~*"),"?","~?"),'DEF_SELF_SCOUT_IMPORT'!$Q$42:$Q$1040,SUBSTITUTE(SUBSTITUTE(SUBSTITUTE($M786,"~","~~"),"*","~*"),"?","~?"),'DEF_SELF_SCOUT_IMPORT'!$F$42:$F$1040,SUBSTITUTE(SUBSTITUTE(SUBSTITUTE($N786,"~","~~"),"*","~*"),"?","~?"),'DEF_SELF_SCOUT_IMPORT'!$G$42:$G$1040,SUBSTITUTE(SUBSTITUTE(SUBSTITUTE($O786,"~","~~"),"*","~*"),"?","~?"),'DEF_SELF_SCOUT_IMPORT'!$J$42:$J$1040,"")&gt;0,"Unscored clean outcome; review result tags before using score.",IF(C786=0,"No matching defensive reps; film confirmation needed.",IF(K786="Explosive Alert","Explosive risk; review clips before using as answer.",IF(C786&lt;=2,"Track only; not enough sample.",IF(C786=3,IF(E786&gt;0,"Sample watch with explosive exposure; review clips and build the sample.",IF(J786&gt;=65,"Good signal, but sample is limited.","Sample watch; review clips and build the sample.")),IF(K786="Problem Call","Problem area; practice or call-sheet review.",IF(K786="Strong Candidate","Strong call-fit candidate; confirm on film.",IF(K786="Good Candidate","Good call-fit signal; confirm on film.","Mixed signal; review fit and execution on film."))))))))</f>
        <v>Track only; not enough sample.</v>
      </c>
      <c r="M786" s="8" t="s">
        <v>115</v>
      </c>
      <c r="N786" s="8" t="s">
        <v>120</v>
      </c>
      <c r="O786" s="8" t="s">
        <v>203</v>
      </c>
      <c r="P786" s="8"/>
      <c r="Q786" s="8"/>
      <c r="R786" s="8" t="s">
        <v>28</v>
      </c>
      <c r="S786" s="2" t="s">
        <v>419</v>
      </c>
      <c r="T786" s="2">
        <f>IF(C786=0,0,IF(C786&gt;=CALL_LOOKUP_BOARD!$B$7,IF(OR(K786="Problem Call",K786="Explosive Alert"),10000000,20000000),0)+IF(C786&gt;=CALL_LOOKUP_BOARD!$B$7,J786*1000+MIN(C786,999),C786*1000+J786)+0.00980200)</f>
        <v>1097.009802</v>
      </c>
      <c r="U786" s="2">
        <f>IF(C786=0,"",IF(COUNTIFS($S$589:$S$803,SUBSTITUTE(SUBSTITUTE(SUBSTITUTE(S786,"~","~~"),"*","~*"),"?","~?"),$T$589:$T$803,"&gt;"&amp;T786)=0,S786,""))</f>
        <v/>
      </c>
    </row>
    <row r="787" spans="1:21" ht="38" customHeight="1">
      <c r="A787" s="8" t="s">
        <v>418</v>
      </c>
      <c r="B787" s="8" t="s">
        <v>68</v>
      </c>
      <c r="C787" s="12">
        <f>COUNTIFS('DEF_SELF_SCOUT_IMPORT'!$L$42:$L$1040,"Y",'DEF_SELF_SCOUT_IMPORT'!$E$42:$E$1040,SUBSTITUTE(SUBSTITUTE(SUBSTITUTE($B787,"~","~~"),"*","~*"),"?","~?"),'DEF_SELF_SCOUT_IMPORT'!$Q$42:$Q$1040,SUBSTITUTE(SUBSTITUTE(SUBSTITUTE($M787,"~","~~"),"*","~*"),"?","~?"),'DEF_SELF_SCOUT_IMPORT'!$F$42:$F$1040,SUBSTITUTE(SUBSTITUTE(SUBSTITUTE($N787,"~","~~"),"*","~*"),"?","~?"),'DEF_SELF_SCOUT_IMPORT'!$G$42:$G$1040,SUBSTITUTE(SUBSTITUTE(SUBSTITUTE($O787,"~","~~"),"*","~*"),"?","~?"))</f>
        <v>1</v>
      </c>
      <c r="D787" s="10">
        <f>IF($C787=0,"",SUMIFS('DEF_SELF_SCOUT_IMPORT'!$J$42:$J$1040,'DEF_SELF_SCOUT_IMPORT'!$L$42:$L$1040,"Y",'DEF_SELF_SCOUT_IMPORT'!$E$42:$E$1040,SUBSTITUTE(SUBSTITUTE(SUBSTITUTE($B787,"~","~~"),"*","~*"),"?","~?"),'DEF_SELF_SCOUT_IMPORT'!$Q$42:$Q$1040,SUBSTITUTE(SUBSTITUTE(SUBSTITUTE($M787,"~","~~"),"*","~*"),"?","~?"),'DEF_SELF_SCOUT_IMPORT'!$F$42:$F$1040,SUBSTITUTE(SUBSTITUTE(SUBSTITUTE($N787,"~","~~"),"*","~*"),"?","~?"),'DEF_SELF_SCOUT_IMPORT'!$G$42:$G$1040,SUBSTITUTE(SUBSTITUTE(SUBSTITUTE($O787,"~","~~"),"*","~*"),"?","~?"))/$C787)</f>
        <v>0.0</v>
      </c>
      <c r="E787" s="10">
        <f>IF($C787=0,"",SUMIFS('DEF_SELF_SCOUT_IMPORT'!$K$42:$K$1040,'DEF_SELF_SCOUT_IMPORT'!$L$42:$L$1040,"Y",'DEF_SELF_SCOUT_IMPORT'!$E$42:$E$1040,SUBSTITUTE(SUBSTITUTE(SUBSTITUTE($B787,"~","~~"),"*","~*"),"?","~?"),'DEF_SELF_SCOUT_IMPORT'!$Q$42:$Q$1040,SUBSTITUTE(SUBSTITUTE(SUBSTITUTE($M787,"~","~~"),"*","~*"),"?","~?"),'DEF_SELF_SCOUT_IMPORT'!$F$42:$F$1040,SUBSTITUTE(SUBSTITUTE(SUBSTITUTE($N787,"~","~~"),"*","~*"),"?","~?"),'DEF_SELF_SCOUT_IMPORT'!$G$42:$G$1040,SUBSTITUTE(SUBSTITUTE(SUBSTITUTE($O787,"~","~~"),"*","~*"),"?","~?"))/$C787)</f>
        <v>0.0</v>
      </c>
      <c r="F787" s="11">
        <f>IF($C787=0,"",AVERAGEIFS('DEF_SELF_SCOUT_IMPORT'!$I$42:$I$1040,'DEF_SELF_SCOUT_IMPORT'!$L$42:$L$1040,"Y",'DEF_SELF_SCOUT_IMPORT'!$E$42:$E$1040,SUBSTITUTE(SUBSTITUTE(SUBSTITUTE($B787,"~","~~"),"*","~*"),"?","~?"),'DEF_SELF_SCOUT_IMPORT'!$Q$42:$Q$1040,SUBSTITUTE(SUBSTITUTE(SUBSTITUTE($M787,"~","~~"),"*","~*"),"?","~?"),'DEF_SELF_SCOUT_IMPORT'!$F$42:$F$1040,SUBSTITUTE(SUBSTITUTE(SUBSTITUTE($N787,"~","~~"),"*","~*"),"?","~?"),'DEF_SELF_SCOUT_IMPORT'!$G$42:$G$1040,SUBSTITUTE(SUBSTITUTE(SUBSTITUTE($O787,"~","~~"),"*","~*"),"?","~?")))</f>
        <v>4.0</v>
      </c>
      <c r="G787" s="10">
        <f>IF($C787=0,"",COUNTIFS('DEF_SELF_SCOUT_IMPORT'!$L$42:$L$1040,"Y",'DEF_SELF_SCOUT_IMPORT'!$E$42:$E$1040,SUBSTITUTE(SUBSTITUTE(SUBSTITUTE($B787,"~","~~"),"*","~*"),"?","~?"),'DEF_SELF_SCOUT_IMPORT'!$Q$42:$Q$1040,SUBSTITUTE(SUBSTITUTE(SUBSTITUTE($M787,"~","~~"),"*","~*"),"?","~?"),'DEF_SELF_SCOUT_IMPORT'!$F$42:$F$1040,SUBSTITUTE(SUBSTITUTE(SUBSTITUTE($N787,"~","~~"),"*","~*"),"?","~?"),'DEF_SELF_SCOUT_IMPORT'!$G$42:$G$1040,SUBSTITUTE(SUBSTITUTE(SUBSTITUTE($O787,"~","~~"),"*","~*"),"?","~?"),'DEF_SELF_SCOUT_IMPORT'!$H$42:$H$1040,"RUSH")/$C787)</f>
        <v>1.0</v>
      </c>
      <c r="H787" s="10">
        <f>IF($C787=0,"",COUNTIFS('DEF_SELF_SCOUT_IMPORT'!$L$42:$L$1040,"Y",'DEF_SELF_SCOUT_IMPORT'!$E$42:$E$1040,SUBSTITUTE(SUBSTITUTE(SUBSTITUTE($B787,"~","~~"),"*","~*"),"?","~?"),'DEF_SELF_SCOUT_IMPORT'!$Q$42:$Q$1040,SUBSTITUTE(SUBSTITUTE(SUBSTITUTE($M787,"~","~~"),"*","~*"),"?","~?"),'DEF_SELF_SCOUT_IMPORT'!$F$42:$F$1040,SUBSTITUTE(SUBSTITUTE(SUBSTITUTE($N787,"~","~~"),"*","~*"),"?","~?"),'DEF_SELF_SCOUT_IMPORT'!$G$42:$G$1040,SUBSTITUTE(SUBSTITUTE(SUBSTITUTE($O787,"~","~~"),"*","~*"),"?","~?"),'DEF_SELF_SCOUT_IMPORT'!$H$42:$H$1040,"DROPBACK")/$C787)</f>
        <v>0.0</v>
      </c>
      <c r="I787" s="14" t="str">
        <f>IF(C787=0,"",IF(C787&lt;=2,"TRACK",IF(C787=3,"LOW",IF(C787&lt;=6,"MEDIUM","HIGH"))))</f>
        <v>TRACK</v>
      </c>
      <c r="J787" s="11">
        <f>IF(C787=0,"",ROUND(D787*70+(1-E787)*20+MAX(0,MIN(1,(10-F787)/10))*10,1))</f>
        <v>26.0</v>
      </c>
      <c r="K787" s="14" t="str">
        <f>IF(C787=0,"No Evidence",IF(C787&lt;=2,IF(E787&gt;0,"Explosive Alert","Track Only"),IF(C787=3,"Sample Watch",IF(E787&gt;=START_HERE!$B$31,"Explosive Alert",IF(J787&gt;=80,"Strong Candidate",IF(J787&gt;=65,"Good Candidate",IF(J787&gt;=50,"Mixed / Review","Problem Call")))))))</f>
        <v>Track Only</v>
      </c>
      <c r="L787" s="9" t="str">
        <f>IF(COUNTIFS('DEF_SELF_SCOUT_IMPORT'!$L$42:$L$1040,"Y",'DEF_SELF_SCOUT_IMPORT'!$E$42:$E$1040,SUBSTITUTE(SUBSTITUTE(SUBSTITUTE($B787,"~","~~"),"*","~*"),"?","~?"),'DEF_SELF_SCOUT_IMPORT'!$Q$42:$Q$1040,SUBSTITUTE(SUBSTITUTE(SUBSTITUTE($M787,"~","~~"),"*","~*"),"?","~?"),'DEF_SELF_SCOUT_IMPORT'!$F$42:$F$1040,SUBSTITUTE(SUBSTITUTE(SUBSTITUTE($N787,"~","~~"),"*","~*"),"?","~?"),'DEF_SELF_SCOUT_IMPORT'!$G$42:$G$1040,SUBSTITUTE(SUBSTITUTE(SUBSTITUTE($O787,"~","~~"),"*","~*"),"?","~?"),'DEF_SELF_SCOUT_IMPORT'!$J$42:$J$1040,"")&gt;0,"Unscored clean outcome; review result tags before using score.",IF(C787=0,"No matching defensive reps; film confirmation needed.",IF(K787="Explosive Alert","Explosive risk; review clips before using as answer.",IF(C787&lt;=2,"Track only; not enough sample.",IF(C787=3,IF(E787&gt;0,"Sample watch with explosive exposure; review clips and build the sample.",IF(J787&gt;=65,"Good signal, but sample is limited.","Sample watch; review clips and build the sample.")),IF(K787="Problem Call","Problem area; practice or call-sheet review.",IF(K787="Strong Candidate","Strong call-fit candidate; confirm on film.",IF(K787="Good Candidate","Good call-fit signal; confirm on film.","Mixed signal; review fit and execution on film."))))))))</f>
        <v>Track only; not enough sample.</v>
      </c>
      <c r="M787" s="8" t="s">
        <v>115</v>
      </c>
      <c r="N787" s="8" t="s">
        <v>120</v>
      </c>
      <c r="O787" s="8" t="s">
        <v>203</v>
      </c>
      <c r="P787" s="8"/>
      <c r="Q787" s="8"/>
      <c r="R787" s="8" t="s">
        <v>28</v>
      </c>
      <c r="S787" s="2" t="s">
        <v>419</v>
      </c>
      <c r="T787" s="2">
        <f>IF(C787=0,0,IF(C787&gt;=CALL_LOOKUP_BOARD!$B$7,IF(OR(K787="Problem Call",K787="Explosive Alert"),10000000,20000000),0)+IF(C787&gt;=CALL_LOOKUP_BOARD!$B$7,J787*1000+MIN(C787,999),C787*1000+J787)+0.00980100)</f>
        <v>1026.009801</v>
      </c>
      <c r="U787" s="2">
        <f>IF(C787=0,"",IF(COUNTIFS($S$589:$S$803,SUBSTITUTE(SUBSTITUTE(SUBSTITUTE(S787,"~","~~"),"*","~*"),"?","~?"),$T$589:$T$803,"&gt;"&amp;T787)=0,S787,""))</f>
        <v/>
      </c>
    </row>
    <row r="788" spans="1:21" ht="38" customHeight="1">
      <c r="A788" s="8" t="s">
        <v>420</v>
      </c>
      <c r="B788" s="8" t="s">
        <v>43</v>
      </c>
      <c r="C788" s="12">
        <f>COUNTIFS('DEF_SELF_SCOUT_IMPORT'!$L$42:$L$1040,"Y",'DEF_SELF_SCOUT_IMPORT'!$E$42:$E$1040,SUBSTITUTE(SUBSTITUTE(SUBSTITUTE($B788,"~","~~"),"*","~*"),"?","~?"),'DEF_SELF_SCOUT_IMPORT'!$Q$42:$Q$1040,SUBSTITUTE(SUBSTITUTE(SUBSTITUTE($M788,"~","~~"),"*","~*"),"?","~?"),'DEF_SELF_SCOUT_IMPORT'!$F$42:$F$1040,SUBSTITUTE(SUBSTITUTE(SUBSTITUTE($N788,"~","~~"),"*","~*"),"?","~?"),'DEF_SELF_SCOUT_IMPORT'!$G$42:$G$1040,SUBSTITUTE(SUBSTITUTE(SUBSTITUTE($O788,"~","~~"),"*","~*"),"?","~?"))</f>
        <v>1</v>
      </c>
      <c r="D788" s="10">
        <f>IF($C788=0,"",SUMIFS('DEF_SELF_SCOUT_IMPORT'!$J$42:$J$1040,'DEF_SELF_SCOUT_IMPORT'!$L$42:$L$1040,"Y",'DEF_SELF_SCOUT_IMPORT'!$E$42:$E$1040,SUBSTITUTE(SUBSTITUTE(SUBSTITUTE($B788,"~","~~"),"*","~*"),"?","~?"),'DEF_SELF_SCOUT_IMPORT'!$Q$42:$Q$1040,SUBSTITUTE(SUBSTITUTE(SUBSTITUTE($M788,"~","~~"),"*","~*"),"?","~?"),'DEF_SELF_SCOUT_IMPORT'!$F$42:$F$1040,SUBSTITUTE(SUBSTITUTE(SUBSTITUTE($N788,"~","~~"),"*","~*"),"?","~?"),'DEF_SELF_SCOUT_IMPORT'!$G$42:$G$1040,SUBSTITUTE(SUBSTITUTE(SUBSTITUTE($O788,"~","~~"),"*","~*"),"?","~?"))/$C788)</f>
        <v>1.0</v>
      </c>
      <c r="E788" s="10">
        <f>IF($C788=0,"",SUMIFS('DEF_SELF_SCOUT_IMPORT'!$K$42:$K$1040,'DEF_SELF_SCOUT_IMPORT'!$L$42:$L$1040,"Y",'DEF_SELF_SCOUT_IMPORT'!$E$42:$E$1040,SUBSTITUTE(SUBSTITUTE(SUBSTITUTE($B788,"~","~~"),"*","~*"),"?","~?"),'DEF_SELF_SCOUT_IMPORT'!$Q$42:$Q$1040,SUBSTITUTE(SUBSTITUTE(SUBSTITUTE($M788,"~","~~"),"*","~*"),"?","~?"),'DEF_SELF_SCOUT_IMPORT'!$F$42:$F$1040,SUBSTITUTE(SUBSTITUTE(SUBSTITUTE($N788,"~","~~"),"*","~*"),"?","~?"),'DEF_SELF_SCOUT_IMPORT'!$G$42:$G$1040,SUBSTITUTE(SUBSTITUTE(SUBSTITUTE($O788,"~","~~"),"*","~*"),"?","~?"))/$C788)</f>
        <v>0.0</v>
      </c>
      <c r="F788" s="11">
        <f>IF($C788=0,"",AVERAGEIFS('DEF_SELF_SCOUT_IMPORT'!$I$42:$I$1040,'DEF_SELF_SCOUT_IMPORT'!$L$42:$L$1040,"Y",'DEF_SELF_SCOUT_IMPORT'!$E$42:$E$1040,SUBSTITUTE(SUBSTITUTE(SUBSTITUTE($B788,"~","~~"),"*","~*"),"?","~?"),'DEF_SELF_SCOUT_IMPORT'!$Q$42:$Q$1040,SUBSTITUTE(SUBSTITUTE(SUBSTITUTE($M788,"~","~~"),"*","~*"),"?","~?"),'DEF_SELF_SCOUT_IMPORT'!$F$42:$F$1040,SUBSTITUTE(SUBSTITUTE(SUBSTITUTE($N788,"~","~~"),"*","~*"),"?","~?"),'DEF_SELF_SCOUT_IMPORT'!$G$42:$G$1040,SUBSTITUTE(SUBSTITUTE(SUBSTITUTE($O788,"~","~~"),"*","~*"),"?","~?")))</f>
        <v>3.0</v>
      </c>
      <c r="G788" s="10">
        <f>IF($C788=0,"",COUNTIFS('DEF_SELF_SCOUT_IMPORT'!$L$42:$L$1040,"Y",'DEF_SELF_SCOUT_IMPORT'!$E$42:$E$1040,SUBSTITUTE(SUBSTITUTE(SUBSTITUTE($B788,"~","~~"),"*","~*"),"?","~?"),'DEF_SELF_SCOUT_IMPORT'!$Q$42:$Q$1040,SUBSTITUTE(SUBSTITUTE(SUBSTITUTE($M788,"~","~~"),"*","~*"),"?","~?"),'DEF_SELF_SCOUT_IMPORT'!$F$42:$F$1040,SUBSTITUTE(SUBSTITUTE(SUBSTITUTE($N788,"~","~~"),"*","~*"),"?","~?"),'DEF_SELF_SCOUT_IMPORT'!$G$42:$G$1040,SUBSTITUTE(SUBSTITUTE(SUBSTITUTE($O788,"~","~~"),"*","~*"),"?","~?"),'DEF_SELF_SCOUT_IMPORT'!$H$42:$H$1040,"RUSH")/$C788)</f>
        <v>0.0</v>
      </c>
      <c r="H788" s="10">
        <f>IF($C788=0,"",COUNTIFS('DEF_SELF_SCOUT_IMPORT'!$L$42:$L$1040,"Y",'DEF_SELF_SCOUT_IMPORT'!$E$42:$E$1040,SUBSTITUTE(SUBSTITUTE(SUBSTITUTE($B788,"~","~~"),"*","~*"),"?","~?"),'DEF_SELF_SCOUT_IMPORT'!$Q$42:$Q$1040,SUBSTITUTE(SUBSTITUTE(SUBSTITUTE($M788,"~","~~"),"*","~*"),"?","~?"),'DEF_SELF_SCOUT_IMPORT'!$F$42:$F$1040,SUBSTITUTE(SUBSTITUTE(SUBSTITUTE($N788,"~","~~"),"*","~*"),"?","~?"),'DEF_SELF_SCOUT_IMPORT'!$G$42:$G$1040,SUBSTITUTE(SUBSTITUTE(SUBSTITUTE($O788,"~","~~"),"*","~*"),"?","~?"),'DEF_SELF_SCOUT_IMPORT'!$H$42:$H$1040,"DROPBACK")/$C788)</f>
        <v>1.0</v>
      </c>
      <c r="I788" s="14" t="str">
        <f>IF(C788=0,"",IF(C788&lt;=2,"TRACK",IF(C788=3,"LOW",IF(C788&lt;=6,"MEDIUM","HIGH"))))</f>
        <v>TRACK</v>
      </c>
      <c r="J788" s="11">
        <f>IF(C788=0,"",ROUND(D788*70+(1-E788)*20+MAX(0,MIN(1,(10-F788)/10))*10,1))</f>
        <v>97.0</v>
      </c>
      <c r="K788" s="14" t="str">
        <f>IF(C788=0,"No Evidence",IF(C788&lt;=2,IF(E788&gt;0,"Explosive Alert","Track Only"),IF(C788=3,"Sample Watch",IF(E788&gt;=START_HERE!$B$31,"Explosive Alert",IF(J788&gt;=80,"Strong Candidate",IF(J788&gt;=65,"Good Candidate",IF(J788&gt;=50,"Mixed / Review","Problem Call")))))))</f>
        <v>Track Only</v>
      </c>
      <c r="L788" s="9" t="str">
        <f>IF(COUNTIFS('DEF_SELF_SCOUT_IMPORT'!$L$42:$L$1040,"Y",'DEF_SELF_SCOUT_IMPORT'!$E$42:$E$1040,SUBSTITUTE(SUBSTITUTE(SUBSTITUTE($B788,"~","~~"),"*","~*"),"?","~?"),'DEF_SELF_SCOUT_IMPORT'!$Q$42:$Q$1040,SUBSTITUTE(SUBSTITUTE(SUBSTITUTE($M788,"~","~~"),"*","~*"),"?","~?"),'DEF_SELF_SCOUT_IMPORT'!$F$42:$F$1040,SUBSTITUTE(SUBSTITUTE(SUBSTITUTE($N788,"~","~~"),"*","~*"),"?","~?"),'DEF_SELF_SCOUT_IMPORT'!$G$42:$G$1040,SUBSTITUTE(SUBSTITUTE(SUBSTITUTE($O788,"~","~~"),"*","~*"),"?","~?"),'DEF_SELF_SCOUT_IMPORT'!$J$42:$J$1040,"")&gt;0,"Unscored clean outcome; review result tags before using score.",IF(C788=0,"No matching defensive reps; film confirmation needed.",IF(K788="Explosive Alert","Explosive risk; review clips before using as answer.",IF(C788&lt;=2,"Track only; not enough sample.",IF(C788=3,IF(E788&gt;0,"Sample watch with explosive exposure; review clips and build the sample.",IF(J788&gt;=65,"Good signal, but sample is limited.","Sample watch; review clips and build the sample.")),IF(K788="Problem Call","Problem area; practice or call-sheet review.",IF(K788="Strong Candidate","Strong call-fit candidate; confirm on film.",IF(K788="Good Candidate","Good call-fit signal; confirm on film.","Mixed signal; review fit and execution on film."))))))))</f>
        <v>Track only; not enough sample.</v>
      </c>
      <c r="M788" s="8" t="s">
        <v>115</v>
      </c>
      <c r="N788" s="8" t="s">
        <v>120</v>
      </c>
      <c r="O788" s="8" t="s">
        <v>206</v>
      </c>
      <c r="P788" s="8"/>
      <c r="Q788" s="8"/>
      <c r="R788" s="8" t="s">
        <v>28</v>
      </c>
      <c r="S788" s="2" t="s">
        <v>421</v>
      </c>
      <c r="T788" s="2">
        <f>IF(C788=0,0,IF(C788&gt;=CALL_LOOKUP_BOARD!$B$7,IF(OR(K788="Problem Call",K788="Explosive Alert"),10000000,20000000),0)+IF(C788&gt;=CALL_LOOKUP_BOARD!$B$7,J788*1000+MIN(C788,999),C788*1000+J788)+0.00980000)</f>
        <v>1097.0098</v>
      </c>
      <c r="U788" s="2">
        <f>IF(C788=0,"",IF(COUNTIFS($S$589:$S$803,SUBSTITUTE(SUBSTITUTE(SUBSTITUTE(S788,"~","~~"),"*","~*"),"?","~?"),$T$589:$T$803,"&gt;"&amp;T788)=0,S788,""))</f>
        <v/>
      </c>
    </row>
    <row r="789" spans="1:21" ht="38" customHeight="1">
      <c r="A789" s="8" t="s">
        <v>420</v>
      </c>
      <c r="B789" s="8" t="s">
        <v>53</v>
      </c>
      <c r="C789" s="12">
        <f>COUNTIFS('DEF_SELF_SCOUT_IMPORT'!$L$42:$L$1040,"Y",'DEF_SELF_SCOUT_IMPORT'!$E$42:$E$1040,SUBSTITUTE(SUBSTITUTE(SUBSTITUTE($B789,"~","~~"),"*","~*"),"?","~?"),'DEF_SELF_SCOUT_IMPORT'!$Q$42:$Q$1040,SUBSTITUTE(SUBSTITUTE(SUBSTITUTE($M789,"~","~~"),"*","~*"),"?","~?"),'DEF_SELF_SCOUT_IMPORT'!$F$42:$F$1040,SUBSTITUTE(SUBSTITUTE(SUBSTITUTE($N789,"~","~~"),"*","~*"),"?","~?"),'DEF_SELF_SCOUT_IMPORT'!$G$42:$G$1040,SUBSTITUTE(SUBSTITUTE(SUBSTITUTE($O789,"~","~~"),"*","~*"),"?","~?"))</f>
        <v>1</v>
      </c>
      <c r="D789" s="10">
        <f>IF($C789=0,"",SUMIFS('DEF_SELF_SCOUT_IMPORT'!$J$42:$J$1040,'DEF_SELF_SCOUT_IMPORT'!$L$42:$L$1040,"Y",'DEF_SELF_SCOUT_IMPORT'!$E$42:$E$1040,SUBSTITUTE(SUBSTITUTE(SUBSTITUTE($B789,"~","~~"),"*","~*"),"?","~?"),'DEF_SELF_SCOUT_IMPORT'!$Q$42:$Q$1040,SUBSTITUTE(SUBSTITUTE(SUBSTITUTE($M789,"~","~~"),"*","~*"),"?","~?"),'DEF_SELF_SCOUT_IMPORT'!$F$42:$F$1040,SUBSTITUTE(SUBSTITUTE(SUBSTITUTE($N789,"~","~~"),"*","~*"),"?","~?"),'DEF_SELF_SCOUT_IMPORT'!$G$42:$G$1040,SUBSTITUTE(SUBSTITUTE(SUBSTITUTE($O789,"~","~~"),"*","~*"),"?","~?"))/$C789)</f>
        <v>0.0</v>
      </c>
      <c r="E789" s="10">
        <f>IF($C789=0,"",SUMIFS('DEF_SELF_SCOUT_IMPORT'!$K$42:$K$1040,'DEF_SELF_SCOUT_IMPORT'!$L$42:$L$1040,"Y",'DEF_SELF_SCOUT_IMPORT'!$E$42:$E$1040,SUBSTITUTE(SUBSTITUTE(SUBSTITUTE($B789,"~","~~"),"*","~*"),"?","~?"),'DEF_SELF_SCOUT_IMPORT'!$Q$42:$Q$1040,SUBSTITUTE(SUBSTITUTE(SUBSTITUTE($M789,"~","~~"),"*","~*"),"?","~?"),'DEF_SELF_SCOUT_IMPORT'!$F$42:$F$1040,SUBSTITUTE(SUBSTITUTE(SUBSTITUTE($N789,"~","~~"),"*","~*"),"?","~?"),'DEF_SELF_SCOUT_IMPORT'!$G$42:$G$1040,SUBSTITUTE(SUBSTITUTE(SUBSTITUTE($O789,"~","~~"),"*","~*"),"?","~?"))/$C789)</f>
        <v>0.0</v>
      </c>
      <c r="F789" s="11">
        <f>IF($C789=0,"",AVERAGEIFS('DEF_SELF_SCOUT_IMPORT'!$I$42:$I$1040,'DEF_SELF_SCOUT_IMPORT'!$L$42:$L$1040,"Y",'DEF_SELF_SCOUT_IMPORT'!$E$42:$E$1040,SUBSTITUTE(SUBSTITUTE(SUBSTITUTE($B789,"~","~~"),"*","~*"),"?","~?"),'DEF_SELF_SCOUT_IMPORT'!$Q$42:$Q$1040,SUBSTITUTE(SUBSTITUTE(SUBSTITUTE($M789,"~","~~"),"*","~*"),"?","~?"),'DEF_SELF_SCOUT_IMPORT'!$F$42:$F$1040,SUBSTITUTE(SUBSTITUTE(SUBSTITUTE($N789,"~","~~"),"*","~*"),"?","~?"),'DEF_SELF_SCOUT_IMPORT'!$G$42:$G$1040,SUBSTITUTE(SUBSTITUTE(SUBSTITUTE($O789,"~","~~"),"*","~*"),"?","~?")))</f>
        <v>8.0</v>
      </c>
      <c r="G789" s="10">
        <f>IF($C789=0,"",COUNTIFS('DEF_SELF_SCOUT_IMPORT'!$L$42:$L$1040,"Y",'DEF_SELF_SCOUT_IMPORT'!$E$42:$E$1040,SUBSTITUTE(SUBSTITUTE(SUBSTITUTE($B789,"~","~~"),"*","~*"),"?","~?"),'DEF_SELF_SCOUT_IMPORT'!$Q$42:$Q$1040,SUBSTITUTE(SUBSTITUTE(SUBSTITUTE($M789,"~","~~"),"*","~*"),"?","~?"),'DEF_SELF_SCOUT_IMPORT'!$F$42:$F$1040,SUBSTITUTE(SUBSTITUTE(SUBSTITUTE($N789,"~","~~"),"*","~*"),"?","~?"),'DEF_SELF_SCOUT_IMPORT'!$G$42:$G$1040,SUBSTITUTE(SUBSTITUTE(SUBSTITUTE($O789,"~","~~"),"*","~*"),"?","~?"),'DEF_SELF_SCOUT_IMPORT'!$H$42:$H$1040,"RUSH")/$C789)</f>
        <v>0.0</v>
      </c>
      <c r="H789" s="10">
        <f>IF($C789=0,"",COUNTIFS('DEF_SELF_SCOUT_IMPORT'!$L$42:$L$1040,"Y",'DEF_SELF_SCOUT_IMPORT'!$E$42:$E$1040,SUBSTITUTE(SUBSTITUTE(SUBSTITUTE($B789,"~","~~"),"*","~*"),"?","~?"),'DEF_SELF_SCOUT_IMPORT'!$Q$42:$Q$1040,SUBSTITUTE(SUBSTITUTE(SUBSTITUTE($M789,"~","~~"),"*","~*"),"?","~?"),'DEF_SELF_SCOUT_IMPORT'!$F$42:$F$1040,SUBSTITUTE(SUBSTITUTE(SUBSTITUTE($N789,"~","~~"),"*","~*"),"?","~?"),'DEF_SELF_SCOUT_IMPORT'!$G$42:$G$1040,SUBSTITUTE(SUBSTITUTE(SUBSTITUTE($O789,"~","~~"),"*","~*"),"?","~?"),'DEF_SELF_SCOUT_IMPORT'!$H$42:$H$1040,"DROPBACK")/$C789)</f>
        <v>1.0</v>
      </c>
      <c r="I789" s="14" t="str">
        <f>IF(C789=0,"",IF(C789&lt;=2,"TRACK",IF(C789=3,"LOW",IF(C789&lt;=6,"MEDIUM","HIGH"))))</f>
        <v>TRACK</v>
      </c>
      <c r="J789" s="11">
        <f>IF(C789=0,"",ROUND(D789*70+(1-E789)*20+MAX(0,MIN(1,(10-F789)/10))*10,1))</f>
        <v>22.0</v>
      </c>
      <c r="K789" s="14" t="str">
        <f>IF(C789=0,"No Evidence",IF(C789&lt;=2,IF(E789&gt;0,"Explosive Alert","Track Only"),IF(C789=3,"Sample Watch",IF(E789&gt;=START_HERE!$B$31,"Explosive Alert",IF(J789&gt;=80,"Strong Candidate",IF(J789&gt;=65,"Good Candidate",IF(J789&gt;=50,"Mixed / Review","Problem Call")))))))</f>
        <v>Track Only</v>
      </c>
      <c r="L789" s="9" t="str">
        <f>IF(COUNTIFS('DEF_SELF_SCOUT_IMPORT'!$L$42:$L$1040,"Y",'DEF_SELF_SCOUT_IMPORT'!$E$42:$E$1040,SUBSTITUTE(SUBSTITUTE(SUBSTITUTE($B789,"~","~~"),"*","~*"),"?","~?"),'DEF_SELF_SCOUT_IMPORT'!$Q$42:$Q$1040,SUBSTITUTE(SUBSTITUTE(SUBSTITUTE($M789,"~","~~"),"*","~*"),"?","~?"),'DEF_SELF_SCOUT_IMPORT'!$F$42:$F$1040,SUBSTITUTE(SUBSTITUTE(SUBSTITUTE($N789,"~","~~"),"*","~*"),"?","~?"),'DEF_SELF_SCOUT_IMPORT'!$G$42:$G$1040,SUBSTITUTE(SUBSTITUTE(SUBSTITUTE($O789,"~","~~"),"*","~*"),"?","~?"),'DEF_SELF_SCOUT_IMPORT'!$J$42:$J$1040,"")&gt;0,"Unscored clean outcome; review result tags before using score.",IF(C789=0,"No matching defensive reps; film confirmation needed.",IF(K789="Explosive Alert","Explosive risk; review clips before using as answer.",IF(C789&lt;=2,"Track only; not enough sample.",IF(C789=3,IF(E789&gt;0,"Sample watch with explosive exposure; review clips and build the sample.",IF(J789&gt;=65,"Good signal, but sample is limited.","Sample watch; review clips and build the sample.")),IF(K789="Problem Call","Problem area; practice or call-sheet review.",IF(K789="Strong Candidate","Strong call-fit candidate; confirm on film.",IF(K789="Good Candidate","Good call-fit signal; confirm on film.","Mixed signal; review fit and execution on film."))))))))</f>
        <v>Track only; not enough sample.</v>
      </c>
      <c r="M789" s="8" t="s">
        <v>115</v>
      </c>
      <c r="N789" s="8" t="s">
        <v>120</v>
      </c>
      <c r="O789" s="8" t="s">
        <v>206</v>
      </c>
      <c r="P789" s="8"/>
      <c r="Q789" s="8"/>
      <c r="R789" s="8" t="s">
        <v>28</v>
      </c>
      <c r="S789" s="2" t="s">
        <v>421</v>
      </c>
      <c r="T789" s="2">
        <f>IF(C789=0,0,IF(C789&gt;=CALL_LOOKUP_BOARD!$B$7,IF(OR(K789="Problem Call",K789="Explosive Alert"),10000000,20000000),0)+IF(C789&gt;=CALL_LOOKUP_BOARD!$B$7,J789*1000+MIN(C789,999),C789*1000+J789)+0.00979900)</f>
        <v>1022.009799</v>
      </c>
      <c r="U789" s="2">
        <f>IF(C789=0,"",IF(COUNTIFS($S$589:$S$803,SUBSTITUTE(SUBSTITUTE(SUBSTITUTE(S789,"~","~~"),"*","~*"),"?","~?"),$T$589:$T$803,"&gt;"&amp;T789)=0,S789,""))</f>
        <v/>
      </c>
    </row>
    <row r="790" spans="1:21" ht="38" customHeight="1">
      <c r="A790" s="8" t="s">
        <v>420</v>
      </c>
      <c r="B790" s="8" t="s">
        <v>81</v>
      </c>
      <c r="C790" s="12">
        <f>COUNTIFS('DEF_SELF_SCOUT_IMPORT'!$L$42:$L$1040,"Y",'DEF_SELF_SCOUT_IMPORT'!$E$42:$E$1040,SUBSTITUTE(SUBSTITUTE(SUBSTITUTE($B790,"~","~~"),"*","~*"),"?","~?"),'DEF_SELF_SCOUT_IMPORT'!$Q$42:$Q$1040,SUBSTITUTE(SUBSTITUTE(SUBSTITUTE($M790,"~","~~"),"*","~*"),"?","~?"),'DEF_SELF_SCOUT_IMPORT'!$F$42:$F$1040,SUBSTITUTE(SUBSTITUTE(SUBSTITUTE($N790,"~","~~"),"*","~*"),"?","~?"),'DEF_SELF_SCOUT_IMPORT'!$G$42:$G$1040,SUBSTITUTE(SUBSTITUTE(SUBSTITUTE($O790,"~","~~"),"*","~*"),"?","~?"))</f>
        <v>1</v>
      </c>
      <c r="D790" s="10">
        <f>IF($C790=0,"",SUMIFS('DEF_SELF_SCOUT_IMPORT'!$J$42:$J$1040,'DEF_SELF_SCOUT_IMPORT'!$L$42:$L$1040,"Y",'DEF_SELF_SCOUT_IMPORT'!$E$42:$E$1040,SUBSTITUTE(SUBSTITUTE(SUBSTITUTE($B790,"~","~~"),"*","~*"),"?","~?"),'DEF_SELF_SCOUT_IMPORT'!$Q$42:$Q$1040,SUBSTITUTE(SUBSTITUTE(SUBSTITUTE($M790,"~","~~"),"*","~*"),"?","~?"),'DEF_SELF_SCOUT_IMPORT'!$F$42:$F$1040,SUBSTITUTE(SUBSTITUTE(SUBSTITUTE($N790,"~","~~"),"*","~*"),"?","~?"),'DEF_SELF_SCOUT_IMPORT'!$G$42:$G$1040,SUBSTITUTE(SUBSTITUTE(SUBSTITUTE($O790,"~","~~"),"*","~*"),"?","~?"))/$C790)</f>
        <v>0.0</v>
      </c>
      <c r="E790" s="10">
        <f>IF($C790=0,"",SUMIFS('DEF_SELF_SCOUT_IMPORT'!$K$42:$K$1040,'DEF_SELF_SCOUT_IMPORT'!$L$42:$L$1040,"Y",'DEF_SELF_SCOUT_IMPORT'!$E$42:$E$1040,SUBSTITUTE(SUBSTITUTE(SUBSTITUTE($B790,"~","~~"),"*","~*"),"?","~?"),'DEF_SELF_SCOUT_IMPORT'!$Q$42:$Q$1040,SUBSTITUTE(SUBSTITUTE(SUBSTITUTE($M790,"~","~~"),"*","~*"),"?","~?"),'DEF_SELF_SCOUT_IMPORT'!$F$42:$F$1040,SUBSTITUTE(SUBSTITUTE(SUBSTITUTE($N790,"~","~~"),"*","~*"),"?","~?"),'DEF_SELF_SCOUT_IMPORT'!$G$42:$G$1040,SUBSTITUTE(SUBSTITUTE(SUBSTITUTE($O790,"~","~~"),"*","~*"),"?","~?"))/$C790)</f>
        <v>0.0</v>
      </c>
      <c r="F790" s="11">
        <f>IF($C790=0,"",AVERAGEIFS('DEF_SELF_SCOUT_IMPORT'!$I$42:$I$1040,'DEF_SELF_SCOUT_IMPORT'!$L$42:$L$1040,"Y",'DEF_SELF_SCOUT_IMPORT'!$E$42:$E$1040,SUBSTITUTE(SUBSTITUTE(SUBSTITUTE($B790,"~","~~"),"*","~*"),"?","~?"),'DEF_SELF_SCOUT_IMPORT'!$Q$42:$Q$1040,SUBSTITUTE(SUBSTITUTE(SUBSTITUTE($M790,"~","~~"),"*","~*"),"?","~?"),'DEF_SELF_SCOUT_IMPORT'!$F$42:$F$1040,SUBSTITUTE(SUBSTITUTE(SUBSTITUTE($N790,"~","~~"),"*","~*"),"?","~?"),'DEF_SELF_SCOUT_IMPORT'!$G$42:$G$1040,SUBSTITUTE(SUBSTITUTE(SUBSTITUTE($O790,"~","~~"),"*","~*"),"?","~?")))</f>
        <v>4.0</v>
      </c>
      <c r="G790" s="10">
        <f>IF($C790=0,"",COUNTIFS('DEF_SELF_SCOUT_IMPORT'!$L$42:$L$1040,"Y",'DEF_SELF_SCOUT_IMPORT'!$E$42:$E$1040,SUBSTITUTE(SUBSTITUTE(SUBSTITUTE($B790,"~","~~"),"*","~*"),"?","~?"),'DEF_SELF_SCOUT_IMPORT'!$Q$42:$Q$1040,SUBSTITUTE(SUBSTITUTE(SUBSTITUTE($M790,"~","~~"),"*","~*"),"?","~?"),'DEF_SELF_SCOUT_IMPORT'!$F$42:$F$1040,SUBSTITUTE(SUBSTITUTE(SUBSTITUTE($N790,"~","~~"),"*","~*"),"?","~?"),'DEF_SELF_SCOUT_IMPORT'!$G$42:$G$1040,SUBSTITUTE(SUBSTITUTE(SUBSTITUTE($O790,"~","~~"),"*","~*"),"?","~?"),'DEF_SELF_SCOUT_IMPORT'!$H$42:$H$1040,"RUSH")/$C790)</f>
        <v>1.0</v>
      </c>
      <c r="H790" s="10">
        <f>IF($C790=0,"",COUNTIFS('DEF_SELF_SCOUT_IMPORT'!$L$42:$L$1040,"Y",'DEF_SELF_SCOUT_IMPORT'!$E$42:$E$1040,SUBSTITUTE(SUBSTITUTE(SUBSTITUTE($B790,"~","~~"),"*","~*"),"?","~?"),'DEF_SELF_SCOUT_IMPORT'!$Q$42:$Q$1040,SUBSTITUTE(SUBSTITUTE(SUBSTITUTE($M790,"~","~~"),"*","~*"),"?","~?"),'DEF_SELF_SCOUT_IMPORT'!$F$42:$F$1040,SUBSTITUTE(SUBSTITUTE(SUBSTITUTE($N790,"~","~~"),"*","~*"),"?","~?"),'DEF_SELF_SCOUT_IMPORT'!$G$42:$G$1040,SUBSTITUTE(SUBSTITUTE(SUBSTITUTE($O790,"~","~~"),"*","~*"),"?","~?"),'DEF_SELF_SCOUT_IMPORT'!$H$42:$H$1040,"DROPBACK")/$C790)</f>
        <v>0.0</v>
      </c>
      <c r="I790" s="14" t="str">
        <f>IF(C790=0,"",IF(C790&lt;=2,"TRACK",IF(C790=3,"LOW",IF(C790&lt;=6,"MEDIUM","HIGH"))))</f>
        <v>TRACK</v>
      </c>
      <c r="J790" s="11">
        <f>IF(C790=0,"",ROUND(D790*70+(1-E790)*20+MAX(0,MIN(1,(10-F790)/10))*10,1))</f>
        <v>26.0</v>
      </c>
      <c r="K790" s="14" t="str">
        <f>IF(C790=0,"No Evidence",IF(C790&lt;=2,IF(E790&gt;0,"Explosive Alert","Track Only"),IF(C790=3,"Sample Watch",IF(E790&gt;=START_HERE!$B$31,"Explosive Alert",IF(J790&gt;=80,"Strong Candidate",IF(J790&gt;=65,"Good Candidate",IF(J790&gt;=50,"Mixed / Review","Problem Call")))))))</f>
        <v>Track Only</v>
      </c>
      <c r="L790" s="9" t="str">
        <f>IF(COUNTIFS('DEF_SELF_SCOUT_IMPORT'!$L$42:$L$1040,"Y",'DEF_SELF_SCOUT_IMPORT'!$E$42:$E$1040,SUBSTITUTE(SUBSTITUTE(SUBSTITUTE($B790,"~","~~"),"*","~*"),"?","~?"),'DEF_SELF_SCOUT_IMPORT'!$Q$42:$Q$1040,SUBSTITUTE(SUBSTITUTE(SUBSTITUTE($M790,"~","~~"),"*","~*"),"?","~?"),'DEF_SELF_SCOUT_IMPORT'!$F$42:$F$1040,SUBSTITUTE(SUBSTITUTE(SUBSTITUTE($N790,"~","~~"),"*","~*"),"?","~?"),'DEF_SELF_SCOUT_IMPORT'!$G$42:$G$1040,SUBSTITUTE(SUBSTITUTE(SUBSTITUTE($O790,"~","~~"),"*","~*"),"?","~?"),'DEF_SELF_SCOUT_IMPORT'!$J$42:$J$1040,"")&gt;0,"Unscored clean outcome; review result tags before using score.",IF(C790=0,"No matching defensive reps; film confirmation needed.",IF(K790="Explosive Alert","Explosive risk; review clips before using as answer.",IF(C790&lt;=2,"Track only; not enough sample.",IF(C790=3,IF(E790&gt;0,"Sample watch with explosive exposure; review clips and build the sample.",IF(J790&gt;=65,"Good signal, but sample is limited.","Sample watch; review clips and build the sample.")),IF(K790="Problem Call","Problem area; practice or call-sheet review.",IF(K790="Strong Candidate","Strong call-fit candidate; confirm on film.",IF(K790="Good Candidate","Good call-fit signal; confirm on film.","Mixed signal; review fit and execution on film."))))))))</f>
        <v>Track only; not enough sample.</v>
      </c>
      <c r="M790" s="8" t="s">
        <v>115</v>
      </c>
      <c r="N790" s="8" t="s">
        <v>120</v>
      </c>
      <c r="O790" s="8" t="s">
        <v>206</v>
      </c>
      <c r="P790" s="8"/>
      <c r="Q790" s="8"/>
      <c r="R790" s="8" t="s">
        <v>28</v>
      </c>
      <c r="S790" s="2" t="s">
        <v>421</v>
      </c>
      <c r="T790" s="2">
        <f>IF(C790=0,0,IF(C790&gt;=CALL_LOOKUP_BOARD!$B$7,IF(OR(K790="Problem Call",K790="Explosive Alert"),10000000,20000000),0)+IF(C790&gt;=CALL_LOOKUP_BOARD!$B$7,J790*1000+MIN(C790,999),C790*1000+J790)+0.00979800)</f>
        <v>1026.009798</v>
      </c>
      <c r="U790" s="2">
        <f>IF(C790=0,"",IF(COUNTIFS($S$589:$S$803,SUBSTITUTE(SUBSTITUTE(SUBSTITUTE(S790,"~","~~"),"*","~*"),"?","~?"),$T$589:$T$803,"&gt;"&amp;T790)=0,S790,""))</f>
        <v/>
      </c>
    </row>
    <row r="791" spans="1:21" ht="38" customHeight="1">
      <c r="A791" s="8" t="s">
        <v>420</v>
      </c>
      <c r="B791" s="8" t="s">
        <v>56</v>
      </c>
      <c r="C791" s="12">
        <f>COUNTIFS('DEF_SELF_SCOUT_IMPORT'!$L$42:$L$1040,"Y",'DEF_SELF_SCOUT_IMPORT'!$E$42:$E$1040,SUBSTITUTE(SUBSTITUTE(SUBSTITUTE($B791,"~","~~"),"*","~*"),"?","~?"),'DEF_SELF_SCOUT_IMPORT'!$Q$42:$Q$1040,SUBSTITUTE(SUBSTITUTE(SUBSTITUTE($M791,"~","~~"),"*","~*"),"?","~?"),'DEF_SELF_SCOUT_IMPORT'!$F$42:$F$1040,SUBSTITUTE(SUBSTITUTE(SUBSTITUTE($N791,"~","~~"),"*","~*"),"?","~?"),'DEF_SELF_SCOUT_IMPORT'!$G$42:$G$1040,SUBSTITUTE(SUBSTITUTE(SUBSTITUTE($O791,"~","~~"),"*","~*"),"?","~?"))</f>
        <v>1</v>
      </c>
      <c r="D791" s="10">
        <f>IF($C791=0,"",SUMIFS('DEF_SELF_SCOUT_IMPORT'!$J$42:$J$1040,'DEF_SELF_SCOUT_IMPORT'!$L$42:$L$1040,"Y",'DEF_SELF_SCOUT_IMPORT'!$E$42:$E$1040,SUBSTITUTE(SUBSTITUTE(SUBSTITUTE($B791,"~","~~"),"*","~*"),"?","~?"),'DEF_SELF_SCOUT_IMPORT'!$Q$42:$Q$1040,SUBSTITUTE(SUBSTITUTE(SUBSTITUTE($M791,"~","~~"),"*","~*"),"?","~?"),'DEF_SELF_SCOUT_IMPORT'!$F$42:$F$1040,SUBSTITUTE(SUBSTITUTE(SUBSTITUTE($N791,"~","~~"),"*","~*"),"?","~?"),'DEF_SELF_SCOUT_IMPORT'!$G$42:$G$1040,SUBSTITUTE(SUBSTITUTE(SUBSTITUTE($O791,"~","~~"),"*","~*"),"?","~?"))/$C791)</f>
        <v>0.0</v>
      </c>
      <c r="E791" s="10">
        <f>IF($C791=0,"",SUMIFS('DEF_SELF_SCOUT_IMPORT'!$K$42:$K$1040,'DEF_SELF_SCOUT_IMPORT'!$L$42:$L$1040,"Y",'DEF_SELF_SCOUT_IMPORT'!$E$42:$E$1040,SUBSTITUTE(SUBSTITUTE(SUBSTITUTE($B791,"~","~~"),"*","~*"),"?","~?"),'DEF_SELF_SCOUT_IMPORT'!$Q$42:$Q$1040,SUBSTITUTE(SUBSTITUTE(SUBSTITUTE($M791,"~","~~"),"*","~*"),"?","~?"),'DEF_SELF_SCOUT_IMPORT'!$F$42:$F$1040,SUBSTITUTE(SUBSTITUTE(SUBSTITUTE($N791,"~","~~"),"*","~*"),"?","~?"),'DEF_SELF_SCOUT_IMPORT'!$G$42:$G$1040,SUBSTITUTE(SUBSTITUTE(SUBSTITUTE($O791,"~","~~"),"*","~*"),"?","~?"))/$C791)</f>
        <v>0.0</v>
      </c>
      <c r="F791" s="11">
        <f>IF($C791=0,"",AVERAGEIFS('DEF_SELF_SCOUT_IMPORT'!$I$42:$I$1040,'DEF_SELF_SCOUT_IMPORT'!$L$42:$L$1040,"Y",'DEF_SELF_SCOUT_IMPORT'!$E$42:$E$1040,SUBSTITUTE(SUBSTITUTE(SUBSTITUTE($B791,"~","~~"),"*","~*"),"?","~?"),'DEF_SELF_SCOUT_IMPORT'!$Q$42:$Q$1040,SUBSTITUTE(SUBSTITUTE(SUBSTITUTE($M791,"~","~~"),"*","~*"),"?","~?"),'DEF_SELF_SCOUT_IMPORT'!$F$42:$F$1040,SUBSTITUTE(SUBSTITUTE(SUBSTITUTE($N791,"~","~~"),"*","~*"),"?","~?"),'DEF_SELF_SCOUT_IMPORT'!$G$42:$G$1040,SUBSTITUTE(SUBSTITUTE(SUBSTITUTE($O791,"~","~~"),"*","~*"),"?","~?")))</f>
        <v>13.0</v>
      </c>
      <c r="G791" s="10">
        <f>IF($C791=0,"",COUNTIFS('DEF_SELF_SCOUT_IMPORT'!$L$42:$L$1040,"Y",'DEF_SELF_SCOUT_IMPORT'!$E$42:$E$1040,SUBSTITUTE(SUBSTITUTE(SUBSTITUTE($B791,"~","~~"),"*","~*"),"?","~?"),'DEF_SELF_SCOUT_IMPORT'!$Q$42:$Q$1040,SUBSTITUTE(SUBSTITUTE(SUBSTITUTE($M791,"~","~~"),"*","~*"),"?","~?"),'DEF_SELF_SCOUT_IMPORT'!$F$42:$F$1040,SUBSTITUTE(SUBSTITUTE(SUBSTITUTE($N791,"~","~~"),"*","~*"),"?","~?"),'DEF_SELF_SCOUT_IMPORT'!$G$42:$G$1040,SUBSTITUTE(SUBSTITUTE(SUBSTITUTE($O791,"~","~~"),"*","~*"),"?","~?"),'DEF_SELF_SCOUT_IMPORT'!$H$42:$H$1040,"RUSH")/$C791)</f>
        <v>0.0</v>
      </c>
      <c r="H791" s="10">
        <f>IF($C791=0,"",COUNTIFS('DEF_SELF_SCOUT_IMPORT'!$L$42:$L$1040,"Y",'DEF_SELF_SCOUT_IMPORT'!$E$42:$E$1040,SUBSTITUTE(SUBSTITUTE(SUBSTITUTE($B791,"~","~~"),"*","~*"),"?","~?"),'DEF_SELF_SCOUT_IMPORT'!$Q$42:$Q$1040,SUBSTITUTE(SUBSTITUTE(SUBSTITUTE($M791,"~","~~"),"*","~*"),"?","~?"),'DEF_SELF_SCOUT_IMPORT'!$F$42:$F$1040,SUBSTITUTE(SUBSTITUTE(SUBSTITUTE($N791,"~","~~"),"*","~*"),"?","~?"),'DEF_SELF_SCOUT_IMPORT'!$G$42:$G$1040,SUBSTITUTE(SUBSTITUTE(SUBSTITUTE($O791,"~","~~"),"*","~*"),"?","~?"),'DEF_SELF_SCOUT_IMPORT'!$H$42:$H$1040,"DROPBACK")/$C791)</f>
        <v>1.0</v>
      </c>
      <c r="I791" s="14" t="str">
        <f>IF(C791=0,"",IF(C791&lt;=2,"TRACK",IF(C791=3,"LOW",IF(C791&lt;=6,"MEDIUM","HIGH"))))</f>
        <v>TRACK</v>
      </c>
      <c r="J791" s="11">
        <f>IF(C791=0,"",ROUND(D791*70+(1-E791)*20+MAX(0,MIN(1,(10-F791)/10))*10,1))</f>
        <v>20.0</v>
      </c>
      <c r="K791" s="14" t="str">
        <f>IF(C791=0,"No Evidence",IF(C791&lt;=2,IF(E791&gt;0,"Explosive Alert","Track Only"),IF(C791=3,"Sample Watch",IF(E791&gt;=START_HERE!$B$31,"Explosive Alert",IF(J791&gt;=80,"Strong Candidate",IF(J791&gt;=65,"Good Candidate",IF(J791&gt;=50,"Mixed / Review","Problem Call")))))))</f>
        <v>Track Only</v>
      </c>
      <c r="L791" s="9" t="str">
        <f>IF(COUNTIFS('DEF_SELF_SCOUT_IMPORT'!$L$42:$L$1040,"Y",'DEF_SELF_SCOUT_IMPORT'!$E$42:$E$1040,SUBSTITUTE(SUBSTITUTE(SUBSTITUTE($B791,"~","~~"),"*","~*"),"?","~?"),'DEF_SELF_SCOUT_IMPORT'!$Q$42:$Q$1040,SUBSTITUTE(SUBSTITUTE(SUBSTITUTE($M791,"~","~~"),"*","~*"),"?","~?"),'DEF_SELF_SCOUT_IMPORT'!$F$42:$F$1040,SUBSTITUTE(SUBSTITUTE(SUBSTITUTE($N791,"~","~~"),"*","~*"),"?","~?"),'DEF_SELF_SCOUT_IMPORT'!$G$42:$G$1040,SUBSTITUTE(SUBSTITUTE(SUBSTITUTE($O791,"~","~~"),"*","~*"),"?","~?"),'DEF_SELF_SCOUT_IMPORT'!$J$42:$J$1040,"")&gt;0,"Unscored clean outcome; review result tags before using score.",IF(C791=0,"No matching defensive reps; film confirmation needed.",IF(K791="Explosive Alert","Explosive risk; review clips before using as answer.",IF(C791&lt;=2,"Track only; not enough sample.",IF(C791=3,IF(E791&gt;0,"Sample watch with explosive exposure; review clips and build the sample.",IF(J791&gt;=65,"Good signal, but sample is limited.","Sample watch; review clips and build the sample.")),IF(K791="Problem Call","Problem area; practice or call-sheet review.",IF(K791="Strong Candidate","Strong call-fit candidate; confirm on film.",IF(K791="Good Candidate","Good call-fit signal; confirm on film.","Mixed signal; review fit and execution on film."))))))))</f>
        <v>Track only; not enough sample.</v>
      </c>
      <c r="M791" s="8" t="s">
        <v>115</v>
      </c>
      <c r="N791" s="8" t="s">
        <v>120</v>
      </c>
      <c r="O791" s="8" t="s">
        <v>206</v>
      </c>
      <c r="P791" s="8"/>
      <c r="Q791" s="8"/>
      <c r="R791" s="8" t="s">
        <v>28</v>
      </c>
      <c r="S791" s="2" t="s">
        <v>421</v>
      </c>
      <c r="T791" s="2">
        <f>IF(C791=0,0,IF(C791&gt;=CALL_LOOKUP_BOARD!$B$7,IF(OR(K791="Problem Call",K791="Explosive Alert"),10000000,20000000),0)+IF(C791&gt;=CALL_LOOKUP_BOARD!$B$7,J791*1000+MIN(C791,999),C791*1000+J791)+0.00979700)</f>
        <v>1020.009797</v>
      </c>
      <c r="U791" s="2">
        <f>IF(C791=0,"",IF(COUNTIFS($S$589:$S$803,SUBSTITUTE(SUBSTITUTE(SUBSTITUTE(S791,"~","~~"),"*","~*"),"?","~?"),$T$589:$T$803,"&gt;"&amp;T791)=0,S791,""))</f>
        <v/>
      </c>
    </row>
    <row r="792" spans="1:21" ht="38" customHeight="1">
      <c r="A792" s="8" t="s">
        <v>420</v>
      </c>
      <c r="B792" s="8" t="s">
        <v>35</v>
      </c>
      <c r="C792" s="12">
        <f>COUNTIFS('DEF_SELF_SCOUT_IMPORT'!$L$42:$L$1040,"Y",'DEF_SELF_SCOUT_IMPORT'!$E$42:$E$1040,SUBSTITUTE(SUBSTITUTE(SUBSTITUTE($B792,"~","~~"),"*","~*"),"?","~?"),'DEF_SELF_SCOUT_IMPORT'!$Q$42:$Q$1040,SUBSTITUTE(SUBSTITUTE(SUBSTITUTE($M792,"~","~~"),"*","~*"),"?","~?"),'DEF_SELF_SCOUT_IMPORT'!$F$42:$F$1040,SUBSTITUTE(SUBSTITUTE(SUBSTITUTE($N792,"~","~~"),"*","~*"),"?","~?"),'DEF_SELF_SCOUT_IMPORT'!$G$42:$G$1040,SUBSTITUTE(SUBSTITUTE(SUBSTITUTE($O792,"~","~~"),"*","~*"),"?","~?"))</f>
        <v>3</v>
      </c>
      <c r="D792" s="10">
        <f>IF($C792=0,"",SUMIFS('DEF_SELF_SCOUT_IMPORT'!$J$42:$J$1040,'DEF_SELF_SCOUT_IMPORT'!$L$42:$L$1040,"Y",'DEF_SELF_SCOUT_IMPORT'!$E$42:$E$1040,SUBSTITUTE(SUBSTITUTE(SUBSTITUTE($B792,"~","~~"),"*","~*"),"?","~?"),'DEF_SELF_SCOUT_IMPORT'!$Q$42:$Q$1040,SUBSTITUTE(SUBSTITUTE(SUBSTITUTE($M792,"~","~~"),"*","~*"),"?","~?"),'DEF_SELF_SCOUT_IMPORT'!$F$42:$F$1040,SUBSTITUTE(SUBSTITUTE(SUBSTITUTE($N792,"~","~~"),"*","~*"),"?","~?"),'DEF_SELF_SCOUT_IMPORT'!$G$42:$G$1040,SUBSTITUTE(SUBSTITUTE(SUBSTITUTE($O792,"~","~~"),"*","~*"),"?","~?"))/$C792)</f>
        <v>0.6666666666666666</v>
      </c>
      <c r="E792" s="10">
        <f>IF($C792=0,"",SUMIFS('DEF_SELF_SCOUT_IMPORT'!$K$42:$K$1040,'DEF_SELF_SCOUT_IMPORT'!$L$42:$L$1040,"Y",'DEF_SELF_SCOUT_IMPORT'!$E$42:$E$1040,SUBSTITUTE(SUBSTITUTE(SUBSTITUTE($B792,"~","~~"),"*","~*"),"?","~?"),'DEF_SELF_SCOUT_IMPORT'!$Q$42:$Q$1040,SUBSTITUTE(SUBSTITUTE(SUBSTITUTE($M792,"~","~~"),"*","~*"),"?","~?"),'DEF_SELF_SCOUT_IMPORT'!$F$42:$F$1040,SUBSTITUTE(SUBSTITUTE(SUBSTITUTE($N792,"~","~~"),"*","~*"),"?","~?"),'DEF_SELF_SCOUT_IMPORT'!$G$42:$G$1040,SUBSTITUTE(SUBSTITUTE(SUBSTITUTE($O792,"~","~~"),"*","~*"),"?","~?"))/$C792)</f>
        <v>0.3333333333333333</v>
      </c>
      <c r="F792" s="11">
        <f>IF($C792=0,"",AVERAGEIFS('DEF_SELF_SCOUT_IMPORT'!$I$42:$I$1040,'DEF_SELF_SCOUT_IMPORT'!$L$42:$L$1040,"Y",'DEF_SELF_SCOUT_IMPORT'!$E$42:$E$1040,SUBSTITUTE(SUBSTITUTE(SUBSTITUTE($B792,"~","~~"),"*","~*"),"?","~?"),'DEF_SELF_SCOUT_IMPORT'!$Q$42:$Q$1040,SUBSTITUTE(SUBSTITUTE(SUBSTITUTE($M792,"~","~~"),"*","~*"),"?","~?"),'DEF_SELF_SCOUT_IMPORT'!$F$42:$F$1040,SUBSTITUTE(SUBSTITUTE(SUBSTITUTE($N792,"~","~~"),"*","~*"),"?","~?"),'DEF_SELF_SCOUT_IMPORT'!$G$42:$G$1040,SUBSTITUTE(SUBSTITUTE(SUBSTITUTE($O792,"~","~~"),"*","~*"),"?","~?")))</f>
        <v>18.0</v>
      </c>
      <c r="G792" s="10">
        <f>IF($C792=0,"",COUNTIFS('DEF_SELF_SCOUT_IMPORT'!$L$42:$L$1040,"Y",'DEF_SELF_SCOUT_IMPORT'!$E$42:$E$1040,SUBSTITUTE(SUBSTITUTE(SUBSTITUTE($B792,"~","~~"),"*","~*"),"?","~?"),'DEF_SELF_SCOUT_IMPORT'!$Q$42:$Q$1040,SUBSTITUTE(SUBSTITUTE(SUBSTITUTE($M792,"~","~~"),"*","~*"),"?","~?"),'DEF_SELF_SCOUT_IMPORT'!$F$42:$F$1040,SUBSTITUTE(SUBSTITUTE(SUBSTITUTE($N792,"~","~~"),"*","~*"),"?","~?"),'DEF_SELF_SCOUT_IMPORT'!$G$42:$G$1040,SUBSTITUTE(SUBSTITUTE(SUBSTITUTE($O792,"~","~~"),"*","~*"),"?","~?"),'DEF_SELF_SCOUT_IMPORT'!$H$42:$H$1040,"RUSH")/$C792)</f>
        <v>0.3333333333333333</v>
      </c>
      <c r="H792" s="10">
        <f>IF($C792=0,"",COUNTIFS('DEF_SELF_SCOUT_IMPORT'!$L$42:$L$1040,"Y",'DEF_SELF_SCOUT_IMPORT'!$E$42:$E$1040,SUBSTITUTE(SUBSTITUTE(SUBSTITUTE($B792,"~","~~"),"*","~*"),"?","~?"),'DEF_SELF_SCOUT_IMPORT'!$Q$42:$Q$1040,SUBSTITUTE(SUBSTITUTE(SUBSTITUTE($M792,"~","~~"),"*","~*"),"?","~?"),'DEF_SELF_SCOUT_IMPORT'!$F$42:$F$1040,SUBSTITUTE(SUBSTITUTE(SUBSTITUTE($N792,"~","~~"),"*","~*"),"?","~?"),'DEF_SELF_SCOUT_IMPORT'!$G$42:$G$1040,SUBSTITUTE(SUBSTITUTE(SUBSTITUTE($O792,"~","~~"),"*","~*"),"?","~?"),'DEF_SELF_SCOUT_IMPORT'!$H$42:$H$1040,"DROPBACK")/$C792)</f>
        <v>0.6666666666666666</v>
      </c>
      <c r="I792" s="14" t="str">
        <f>IF(C792=0,"",IF(C792&lt;=2,"TRACK",IF(C792=3,"LOW",IF(C792&lt;=6,"MEDIUM","HIGH"))))</f>
        <v>LOW</v>
      </c>
      <c r="J792" s="11">
        <f>IF(C792=0,"",ROUND(D792*70+(1-E792)*20+MAX(0,MIN(1,(10-F792)/10))*10,1))</f>
        <v>60.0</v>
      </c>
      <c r="K792" s="14" t="str">
        <f>IF(C792=0,"No Evidence",IF(C792&lt;=2,IF(E792&gt;0,"Explosive Alert","Track Only"),IF(C792=3,"Sample Watch",IF(E792&gt;=START_HERE!$B$31,"Explosive Alert",IF(J792&gt;=80,"Strong Candidate",IF(J792&gt;=65,"Good Candidate",IF(J792&gt;=50,"Mixed / Review","Problem Call")))))))</f>
        <v>Sample Watch</v>
      </c>
      <c r="L792" s="9" t="str">
        <f>IF(COUNTIFS('DEF_SELF_SCOUT_IMPORT'!$L$42:$L$1040,"Y",'DEF_SELF_SCOUT_IMPORT'!$E$42:$E$1040,SUBSTITUTE(SUBSTITUTE(SUBSTITUTE($B792,"~","~~"),"*","~*"),"?","~?"),'DEF_SELF_SCOUT_IMPORT'!$Q$42:$Q$1040,SUBSTITUTE(SUBSTITUTE(SUBSTITUTE($M792,"~","~~"),"*","~*"),"?","~?"),'DEF_SELF_SCOUT_IMPORT'!$F$42:$F$1040,SUBSTITUTE(SUBSTITUTE(SUBSTITUTE($N792,"~","~~"),"*","~*"),"?","~?"),'DEF_SELF_SCOUT_IMPORT'!$G$42:$G$1040,SUBSTITUTE(SUBSTITUTE(SUBSTITUTE($O792,"~","~~"),"*","~*"),"?","~?"),'DEF_SELF_SCOUT_IMPORT'!$J$42:$J$1040,"")&gt;0,"Unscored clean outcome; review result tags before using score.",IF(C792=0,"No matching defensive reps; film confirmation needed.",IF(K792="Explosive Alert","Explosive risk; review clips before using as answer.",IF(C792&lt;=2,"Track only; not enough sample.",IF(C792=3,IF(E792&gt;0,"Sample watch with explosive exposure; review clips and build the sample.",IF(J792&gt;=65,"Good signal, but sample is limited.","Sample watch; review clips and build the sample.")),IF(K792="Problem Call","Problem area; practice or call-sheet review.",IF(K792="Strong Candidate","Strong call-fit candidate; confirm on film.",IF(K792="Good Candidate","Good call-fit signal; confirm on film.","Mixed signal; review fit and execution on film."))))))))</f>
        <v>Sample watch with explosive exposure; review clips and build the sample.</v>
      </c>
      <c r="M792" s="8" t="s">
        <v>115</v>
      </c>
      <c r="N792" s="8" t="s">
        <v>120</v>
      </c>
      <c r="O792" s="8" t="s">
        <v>206</v>
      </c>
      <c r="P792" s="8"/>
      <c r="Q792" s="8"/>
      <c r="R792" s="8" t="s">
        <v>28</v>
      </c>
      <c r="S792" s="2" t="s">
        <v>421</v>
      </c>
      <c r="T792" s="2">
        <f>IF(C792=0,0,IF(C792&gt;=CALL_LOOKUP_BOARD!$B$7,IF(OR(K792="Problem Call",K792="Explosive Alert"),10000000,20000000),0)+IF(C792&gt;=CALL_LOOKUP_BOARD!$B$7,J792*1000+MIN(C792,999),C792*1000+J792)+0.00979600)</f>
        <v>3060.009796</v>
      </c>
      <c r="U792" s="2">
        <f>IF(C792=0,"",IF(COUNTIFS($S$589:$S$803,SUBSTITUTE(SUBSTITUTE(SUBSTITUTE(S792,"~","~~"),"*","~*"),"?","~?"),$T$589:$T$803,"&gt;"&amp;T792)=0,S792,""))</f>
        <v/>
      </c>
    </row>
    <row r="793" spans="1:21" ht="38" customHeight="1">
      <c r="A793" s="8" t="s">
        <v>420</v>
      </c>
      <c r="B793" s="8" t="s">
        <v>60</v>
      </c>
      <c r="C793" s="12">
        <f>COUNTIFS('DEF_SELF_SCOUT_IMPORT'!$L$42:$L$1040,"Y",'DEF_SELF_SCOUT_IMPORT'!$E$42:$E$1040,SUBSTITUTE(SUBSTITUTE(SUBSTITUTE($B793,"~","~~"),"*","~*"),"?","~?"),'DEF_SELF_SCOUT_IMPORT'!$Q$42:$Q$1040,SUBSTITUTE(SUBSTITUTE(SUBSTITUTE($M793,"~","~~"),"*","~*"),"?","~?"),'DEF_SELF_SCOUT_IMPORT'!$F$42:$F$1040,SUBSTITUTE(SUBSTITUTE(SUBSTITUTE($N793,"~","~~"),"*","~*"),"?","~?"),'DEF_SELF_SCOUT_IMPORT'!$G$42:$G$1040,SUBSTITUTE(SUBSTITUTE(SUBSTITUTE($O793,"~","~~"),"*","~*"),"?","~?"))</f>
        <v>1</v>
      </c>
      <c r="D793" s="10">
        <f>IF($C793=0,"",SUMIFS('DEF_SELF_SCOUT_IMPORT'!$J$42:$J$1040,'DEF_SELF_SCOUT_IMPORT'!$L$42:$L$1040,"Y",'DEF_SELF_SCOUT_IMPORT'!$E$42:$E$1040,SUBSTITUTE(SUBSTITUTE(SUBSTITUTE($B793,"~","~~"),"*","~*"),"?","~?"),'DEF_SELF_SCOUT_IMPORT'!$Q$42:$Q$1040,SUBSTITUTE(SUBSTITUTE(SUBSTITUTE($M793,"~","~~"),"*","~*"),"?","~?"),'DEF_SELF_SCOUT_IMPORT'!$F$42:$F$1040,SUBSTITUTE(SUBSTITUTE(SUBSTITUTE($N793,"~","~~"),"*","~*"),"?","~?"),'DEF_SELF_SCOUT_IMPORT'!$G$42:$G$1040,SUBSTITUTE(SUBSTITUTE(SUBSTITUTE($O793,"~","~~"),"*","~*"),"?","~?"))/$C793)</f>
        <v>1.0</v>
      </c>
      <c r="E793" s="10">
        <f>IF($C793=0,"",SUMIFS('DEF_SELF_SCOUT_IMPORT'!$K$42:$K$1040,'DEF_SELF_SCOUT_IMPORT'!$L$42:$L$1040,"Y",'DEF_SELF_SCOUT_IMPORT'!$E$42:$E$1040,SUBSTITUTE(SUBSTITUTE(SUBSTITUTE($B793,"~","~~"),"*","~*"),"?","~?"),'DEF_SELF_SCOUT_IMPORT'!$Q$42:$Q$1040,SUBSTITUTE(SUBSTITUTE(SUBSTITUTE($M793,"~","~~"),"*","~*"),"?","~?"),'DEF_SELF_SCOUT_IMPORT'!$F$42:$F$1040,SUBSTITUTE(SUBSTITUTE(SUBSTITUTE($N793,"~","~~"),"*","~*"),"?","~?"),'DEF_SELF_SCOUT_IMPORT'!$G$42:$G$1040,SUBSTITUTE(SUBSTITUTE(SUBSTITUTE($O793,"~","~~"),"*","~*"),"?","~?"))/$C793)</f>
        <v>0.0</v>
      </c>
      <c r="F793" s="11">
        <f>IF($C793=0,"",AVERAGEIFS('DEF_SELF_SCOUT_IMPORT'!$I$42:$I$1040,'DEF_SELF_SCOUT_IMPORT'!$L$42:$L$1040,"Y",'DEF_SELF_SCOUT_IMPORT'!$E$42:$E$1040,SUBSTITUTE(SUBSTITUTE(SUBSTITUTE($B793,"~","~~"),"*","~*"),"?","~?"),'DEF_SELF_SCOUT_IMPORT'!$Q$42:$Q$1040,SUBSTITUTE(SUBSTITUTE(SUBSTITUTE($M793,"~","~~"),"*","~*"),"?","~?"),'DEF_SELF_SCOUT_IMPORT'!$F$42:$F$1040,SUBSTITUTE(SUBSTITUTE(SUBSTITUTE($N793,"~","~~"),"*","~*"),"?","~?"),'DEF_SELF_SCOUT_IMPORT'!$G$42:$G$1040,SUBSTITUTE(SUBSTITUTE(SUBSTITUTE($O793,"~","~~"),"*","~*"),"?","~?")))</f>
        <v>3.0</v>
      </c>
      <c r="G793" s="10">
        <f>IF($C793=0,"",COUNTIFS('DEF_SELF_SCOUT_IMPORT'!$L$42:$L$1040,"Y",'DEF_SELF_SCOUT_IMPORT'!$E$42:$E$1040,SUBSTITUTE(SUBSTITUTE(SUBSTITUTE($B793,"~","~~"),"*","~*"),"?","~?"),'DEF_SELF_SCOUT_IMPORT'!$Q$42:$Q$1040,SUBSTITUTE(SUBSTITUTE(SUBSTITUTE($M793,"~","~~"),"*","~*"),"?","~?"),'DEF_SELF_SCOUT_IMPORT'!$F$42:$F$1040,SUBSTITUTE(SUBSTITUTE(SUBSTITUTE($N793,"~","~~"),"*","~*"),"?","~?"),'DEF_SELF_SCOUT_IMPORT'!$G$42:$G$1040,SUBSTITUTE(SUBSTITUTE(SUBSTITUTE($O793,"~","~~"),"*","~*"),"?","~?"),'DEF_SELF_SCOUT_IMPORT'!$H$42:$H$1040,"RUSH")/$C793)</f>
        <v>1.0</v>
      </c>
      <c r="H793" s="10">
        <f>IF($C793=0,"",COUNTIFS('DEF_SELF_SCOUT_IMPORT'!$L$42:$L$1040,"Y",'DEF_SELF_SCOUT_IMPORT'!$E$42:$E$1040,SUBSTITUTE(SUBSTITUTE(SUBSTITUTE($B793,"~","~~"),"*","~*"),"?","~?"),'DEF_SELF_SCOUT_IMPORT'!$Q$42:$Q$1040,SUBSTITUTE(SUBSTITUTE(SUBSTITUTE($M793,"~","~~"),"*","~*"),"?","~?"),'DEF_SELF_SCOUT_IMPORT'!$F$42:$F$1040,SUBSTITUTE(SUBSTITUTE(SUBSTITUTE($N793,"~","~~"),"*","~*"),"?","~?"),'DEF_SELF_SCOUT_IMPORT'!$G$42:$G$1040,SUBSTITUTE(SUBSTITUTE(SUBSTITUTE($O793,"~","~~"),"*","~*"),"?","~?"),'DEF_SELF_SCOUT_IMPORT'!$H$42:$H$1040,"DROPBACK")/$C793)</f>
        <v>0.0</v>
      </c>
      <c r="I793" s="14" t="str">
        <f>IF(C793=0,"",IF(C793&lt;=2,"TRACK",IF(C793=3,"LOW",IF(C793&lt;=6,"MEDIUM","HIGH"))))</f>
        <v>TRACK</v>
      </c>
      <c r="J793" s="11">
        <f>IF(C793=0,"",ROUND(D793*70+(1-E793)*20+MAX(0,MIN(1,(10-F793)/10))*10,1))</f>
        <v>97.0</v>
      </c>
      <c r="K793" s="14" t="str">
        <f>IF(C793=0,"No Evidence",IF(C793&lt;=2,IF(E793&gt;0,"Explosive Alert","Track Only"),IF(C793=3,"Sample Watch",IF(E793&gt;=START_HERE!$B$31,"Explosive Alert",IF(J793&gt;=80,"Strong Candidate",IF(J793&gt;=65,"Good Candidate",IF(J793&gt;=50,"Mixed / Review","Problem Call")))))))</f>
        <v>Track Only</v>
      </c>
      <c r="L793" s="9" t="str">
        <f>IF(COUNTIFS('DEF_SELF_SCOUT_IMPORT'!$L$42:$L$1040,"Y",'DEF_SELF_SCOUT_IMPORT'!$E$42:$E$1040,SUBSTITUTE(SUBSTITUTE(SUBSTITUTE($B793,"~","~~"),"*","~*"),"?","~?"),'DEF_SELF_SCOUT_IMPORT'!$Q$42:$Q$1040,SUBSTITUTE(SUBSTITUTE(SUBSTITUTE($M793,"~","~~"),"*","~*"),"?","~?"),'DEF_SELF_SCOUT_IMPORT'!$F$42:$F$1040,SUBSTITUTE(SUBSTITUTE(SUBSTITUTE($N793,"~","~~"),"*","~*"),"?","~?"),'DEF_SELF_SCOUT_IMPORT'!$G$42:$G$1040,SUBSTITUTE(SUBSTITUTE(SUBSTITUTE($O793,"~","~~"),"*","~*"),"?","~?"),'DEF_SELF_SCOUT_IMPORT'!$J$42:$J$1040,"")&gt;0,"Unscored clean outcome; review result tags before using score.",IF(C793=0,"No matching defensive reps; film confirmation needed.",IF(K793="Explosive Alert","Explosive risk; review clips before using as answer.",IF(C793&lt;=2,"Track only; not enough sample.",IF(C793=3,IF(E793&gt;0,"Sample watch with explosive exposure; review clips and build the sample.",IF(J793&gt;=65,"Good signal, but sample is limited.","Sample watch; review clips and build the sample.")),IF(K793="Problem Call","Problem area; practice or call-sheet review.",IF(K793="Strong Candidate","Strong call-fit candidate; confirm on film.",IF(K793="Good Candidate","Good call-fit signal; confirm on film.","Mixed signal; review fit and execution on film."))))))))</f>
        <v>Track only; not enough sample.</v>
      </c>
      <c r="M793" s="8" t="s">
        <v>115</v>
      </c>
      <c r="N793" s="8" t="s">
        <v>120</v>
      </c>
      <c r="O793" s="8" t="s">
        <v>206</v>
      </c>
      <c r="P793" s="8"/>
      <c r="Q793" s="8"/>
      <c r="R793" s="8" t="s">
        <v>28</v>
      </c>
      <c r="S793" s="2" t="s">
        <v>421</v>
      </c>
      <c r="T793" s="2">
        <f>IF(C793=0,0,IF(C793&gt;=CALL_LOOKUP_BOARD!$B$7,IF(OR(K793="Problem Call",K793="Explosive Alert"),10000000,20000000),0)+IF(C793&gt;=CALL_LOOKUP_BOARD!$B$7,J793*1000+MIN(C793,999),C793*1000+J793)+0.00979500)</f>
        <v>1097.009795</v>
      </c>
      <c r="U793" s="2">
        <f>IF(C793=0,"",IF(COUNTIFS($S$589:$S$803,SUBSTITUTE(SUBSTITUTE(SUBSTITUTE(S793,"~","~~"),"*","~*"),"?","~?"),$T$589:$T$803,"&gt;"&amp;T793)=0,S793,""))</f>
        <v/>
      </c>
    </row>
    <row r="794" spans="1:21" ht="38" customHeight="1">
      <c r="A794" s="8" t="s">
        <v>420</v>
      </c>
      <c r="B794" s="8" t="s">
        <v>62</v>
      </c>
      <c r="C794" s="12">
        <f>COUNTIFS('DEF_SELF_SCOUT_IMPORT'!$L$42:$L$1040,"Y",'DEF_SELF_SCOUT_IMPORT'!$E$42:$E$1040,SUBSTITUTE(SUBSTITUTE(SUBSTITUTE($B794,"~","~~"),"*","~*"),"?","~?"),'DEF_SELF_SCOUT_IMPORT'!$Q$42:$Q$1040,SUBSTITUTE(SUBSTITUTE(SUBSTITUTE($M794,"~","~~"),"*","~*"),"?","~?"),'DEF_SELF_SCOUT_IMPORT'!$F$42:$F$1040,SUBSTITUTE(SUBSTITUTE(SUBSTITUTE($N794,"~","~~"),"*","~*"),"?","~?"),'DEF_SELF_SCOUT_IMPORT'!$G$42:$G$1040,SUBSTITUTE(SUBSTITUTE(SUBSTITUTE($O794,"~","~~"),"*","~*"),"?","~?"))</f>
        <v>1</v>
      </c>
      <c r="D794" s="10">
        <f>IF($C794=0,"",SUMIFS('DEF_SELF_SCOUT_IMPORT'!$J$42:$J$1040,'DEF_SELF_SCOUT_IMPORT'!$L$42:$L$1040,"Y",'DEF_SELF_SCOUT_IMPORT'!$E$42:$E$1040,SUBSTITUTE(SUBSTITUTE(SUBSTITUTE($B794,"~","~~"),"*","~*"),"?","~?"),'DEF_SELF_SCOUT_IMPORT'!$Q$42:$Q$1040,SUBSTITUTE(SUBSTITUTE(SUBSTITUTE($M794,"~","~~"),"*","~*"),"?","~?"),'DEF_SELF_SCOUT_IMPORT'!$F$42:$F$1040,SUBSTITUTE(SUBSTITUTE(SUBSTITUTE($N794,"~","~~"),"*","~*"),"?","~?"),'DEF_SELF_SCOUT_IMPORT'!$G$42:$G$1040,SUBSTITUTE(SUBSTITUTE(SUBSTITUTE($O794,"~","~~"),"*","~*"),"?","~?"))/$C794)</f>
        <v>0.0</v>
      </c>
      <c r="E794" s="10">
        <f>IF($C794=0,"",SUMIFS('DEF_SELF_SCOUT_IMPORT'!$K$42:$K$1040,'DEF_SELF_SCOUT_IMPORT'!$L$42:$L$1040,"Y",'DEF_SELF_SCOUT_IMPORT'!$E$42:$E$1040,SUBSTITUTE(SUBSTITUTE(SUBSTITUTE($B794,"~","~~"),"*","~*"),"?","~?"),'DEF_SELF_SCOUT_IMPORT'!$Q$42:$Q$1040,SUBSTITUTE(SUBSTITUTE(SUBSTITUTE($M794,"~","~~"),"*","~*"),"?","~?"),'DEF_SELF_SCOUT_IMPORT'!$F$42:$F$1040,SUBSTITUTE(SUBSTITUTE(SUBSTITUTE($N794,"~","~~"),"*","~*"),"?","~?"),'DEF_SELF_SCOUT_IMPORT'!$G$42:$G$1040,SUBSTITUTE(SUBSTITUTE(SUBSTITUTE($O794,"~","~~"),"*","~*"),"?","~?"))/$C794)</f>
        <v>1.0</v>
      </c>
      <c r="F794" s="11">
        <f>IF($C794=0,"",AVERAGEIFS('DEF_SELF_SCOUT_IMPORT'!$I$42:$I$1040,'DEF_SELF_SCOUT_IMPORT'!$L$42:$L$1040,"Y",'DEF_SELF_SCOUT_IMPORT'!$E$42:$E$1040,SUBSTITUTE(SUBSTITUTE(SUBSTITUTE($B794,"~","~~"),"*","~*"),"?","~?"),'DEF_SELF_SCOUT_IMPORT'!$Q$42:$Q$1040,SUBSTITUTE(SUBSTITUTE(SUBSTITUTE($M794,"~","~~"),"*","~*"),"?","~?"),'DEF_SELF_SCOUT_IMPORT'!$F$42:$F$1040,SUBSTITUTE(SUBSTITUTE(SUBSTITUTE($N794,"~","~~"),"*","~*"),"?","~?"),'DEF_SELF_SCOUT_IMPORT'!$G$42:$G$1040,SUBSTITUTE(SUBSTITUTE(SUBSTITUTE($O794,"~","~~"),"*","~*"),"?","~?")))</f>
        <v>25.0</v>
      </c>
      <c r="G794" s="10">
        <f>IF($C794=0,"",COUNTIFS('DEF_SELF_SCOUT_IMPORT'!$L$42:$L$1040,"Y",'DEF_SELF_SCOUT_IMPORT'!$E$42:$E$1040,SUBSTITUTE(SUBSTITUTE(SUBSTITUTE($B794,"~","~~"),"*","~*"),"?","~?"),'DEF_SELF_SCOUT_IMPORT'!$Q$42:$Q$1040,SUBSTITUTE(SUBSTITUTE(SUBSTITUTE($M794,"~","~~"),"*","~*"),"?","~?"),'DEF_SELF_SCOUT_IMPORT'!$F$42:$F$1040,SUBSTITUTE(SUBSTITUTE(SUBSTITUTE($N794,"~","~~"),"*","~*"),"?","~?"),'DEF_SELF_SCOUT_IMPORT'!$G$42:$G$1040,SUBSTITUTE(SUBSTITUTE(SUBSTITUTE($O794,"~","~~"),"*","~*"),"?","~?"),'DEF_SELF_SCOUT_IMPORT'!$H$42:$H$1040,"RUSH")/$C794)</f>
        <v>1.0</v>
      </c>
      <c r="H794" s="10">
        <f>IF($C794=0,"",COUNTIFS('DEF_SELF_SCOUT_IMPORT'!$L$42:$L$1040,"Y",'DEF_SELF_SCOUT_IMPORT'!$E$42:$E$1040,SUBSTITUTE(SUBSTITUTE(SUBSTITUTE($B794,"~","~~"),"*","~*"),"?","~?"),'DEF_SELF_SCOUT_IMPORT'!$Q$42:$Q$1040,SUBSTITUTE(SUBSTITUTE(SUBSTITUTE($M794,"~","~~"),"*","~*"),"?","~?"),'DEF_SELF_SCOUT_IMPORT'!$F$42:$F$1040,SUBSTITUTE(SUBSTITUTE(SUBSTITUTE($N794,"~","~~"),"*","~*"),"?","~?"),'DEF_SELF_SCOUT_IMPORT'!$G$42:$G$1040,SUBSTITUTE(SUBSTITUTE(SUBSTITUTE($O794,"~","~~"),"*","~*"),"?","~?"),'DEF_SELF_SCOUT_IMPORT'!$H$42:$H$1040,"DROPBACK")/$C794)</f>
        <v>0.0</v>
      </c>
      <c r="I794" s="14" t="str">
        <f>IF(C794=0,"",IF(C794&lt;=2,"TRACK",IF(C794=3,"LOW",IF(C794&lt;=6,"MEDIUM","HIGH"))))</f>
        <v>TRACK</v>
      </c>
      <c r="J794" s="11">
        <f>IF(C794=0,"",ROUND(D794*70+(1-E794)*20+MAX(0,MIN(1,(10-F794)/10))*10,1))</f>
        <v>0.0</v>
      </c>
      <c r="K794" s="14" t="str">
        <f>IF(C794=0,"No Evidence",IF(C794&lt;=2,IF(E794&gt;0,"Explosive Alert","Track Only"),IF(C794=3,"Sample Watch",IF(E794&gt;=START_HERE!$B$31,"Explosive Alert",IF(J794&gt;=80,"Strong Candidate",IF(J794&gt;=65,"Good Candidate",IF(J794&gt;=50,"Mixed / Review","Problem Call")))))))</f>
        <v>Explosive Alert</v>
      </c>
      <c r="L794" s="9" t="str">
        <f>IF(COUNTIFS('DEF_SELF_SCOUT_IMPORT'!$L$42:$L$1040,"Y",'DEF_SELF_SCOUT_IMPORT'!$E$42:$E$1040,SUBSTITUTE(SUBSTITUTE(SUBSTITUTE($B794,"~","~~"),"*","~*"),"?","~?"),'DEF_SELF_SCOUT_IMPORT'!$Q$42:$Q$1040,SUBSTITUTE(SUBSTITUTE(SUBSTITUTE($M794,"~","~~"),"*","~*"),"?","~?"),'DEF_SELF_SCOUT_IMPORT'!$F$42:$F$1040,SUBSTITUTE(SUBSTITUTE(SUBSTITUTE($N794,"~","~~"),"*","~*"),"?","~?"),'DEF_SELF_SCOUT_IMPORT'!$G$42:$G$1040,SUBSTITUTE(SUBSTITUTE(SUBSTITUTE($O794,"~","~~"),"*","~*"),"?","~?"),'DEF_SELF_SCOUT_IMPORT'!$J$42:$J$1040,"")&gt;0,"Unscored clean outcome; review result tags before using score.",IF(C794=0,"No matching defensive reps; film confirmation needed.",IF(K794="Explosive Alert","Explosive risk; review clips before using as answer.",IF(C794&lt;=2,"Track only; not enough sample.",IF(C794=3,IF(E794&gt;0,"Sample watch with explosive exposure; review clips and build the sample.",IF(J794&gt;=65,"Good signal, but sample is limited.","Sample watch; review clips and build the sample.")),IF(K794="Problem Call","Problem area; practice or call-sheet review.",IF(K794="Strong Candidate","Strong call-fit candidate; confirm on film.",IF(K794="Good Candidate","Good call-fit signal; confirm on film.","Mixed signal; review fit and execution on film."))))))))</f>
        <v>Explosive risk; review clips before using as answer.</v>
      </c>
      <c r="M794" s="8" t="s">
        <v>115</v>
      </c>
      <c r="N794" s="8" t="s">
        <v>120</v>
      </c>
      <c r="O794" s="8" t="s">
        <v>206</v>
      </c>
      <c r="P794" s="8"/>
      <c r="Q794" s="8"/>
      <c r="R794" s="8" t="s">
        <v>28</v>
      </c>
      <c r="S794" s="2" t="s">
        <v>421</v>
      </c>
      <c r="T794" s="2">
        <f>IF(C794=0,0,IF(C794&gt;=CALL_LOOKUP_BOARD!$B$7,IF(OR(K794="Problem Call",K794="Explosive Alert"),10000000,20000000),0)+IF(C794&gt;=CALL_LOOKUP_BOARD!$B$7,J794*1000+MIN(C794,999),C794*1000+J794)+0.00979400)</f>
        <v>1000.009794</v>
      </c>
      <c r="U794" s="2">
        <f>IF(C794=0,"",IF(COUNTIFS($S$589:$S$803,SUBSTITUTE(SUBSTITUTE(SUBSTITUTE(S794,"~","~~"),"*","~*"),"?","~?"),$T$589:$T$803,"&gt;"&amp;T794)=0,S794,""))</f>
        <v/>
      </c>
    </row>
    <row r="795" spans="1:21" ht="38" customHeight="1">
      <c r="A795" s="8" t="s">
        <v>420</v>
      </c>
      <c r="B795" s="8" t="s">
        <v>63</v>
      </c>
      <c r="C795" s="12">
        <f>COUNTIFS('DEF_SELF_SCOUT_IMPORT'!$L$42:$L$1040,"Y",'DEF_SELF_SCOUT_IMPORT'!$E$42:$E$1040,SUBSTITUTE(SUBSTITUTE(SUBSTITUTE($B795,"~","~~"),"*","~*"),"?","~?"),'DEF_SELF_SCOUT_IMPORT'!$Q$42:$Q$1040,SUBSTITUTE(SUBSTITUTE(SUBSTITUTE($M795,"~","~~"),"*","~*"),"?","~?"),'DEF_SELF_SCOUT_IMPORT'!$F$42:$F$1040,SUBSTITUTE(SUBSTITUTE(SUBSTITUTE($N795,"~","~~"),"*","~*"),"?","~?"),'DEF_SELF_SCOUT_IMPORT'!$G$42:$G$1040,SUBSTITUTE(SUBSTITUTE(SUBSTITUTE($O795,"~","~~"),"*","~*"),"?","~?"))</f>
        <v>2</v>
      </c>
      <c r="D795" s="10">
        <f>IF($C795=0,"",SUMIFS('DEF_SELF_SCOUT_IMPORT'!$J$42:$J$1040,'DEF_SELF_SCOUT_IMPORT'!$L$42:$L$1040,"Y",'DEF_SELF_SCOUT_IMPORT'!$E$42:$E$1040,SUBSTITUTE(SUBSTITUTE(SUBSTITUTE($B795,"~","~~"),"*","~*"),"?","~?"),'DEF_SELF_SCOUT_IMPORT'!$Q$42:$Q$1040,SUBSTITUTE(SUBSTITUTE(SUBSTITUTE($M795,"~","~~"),"*","~*"),"?","~?"),'DEF_SELF_SCOUT_IMPORT'!$F$42:$F$1040,SUBSTITUTE(SUBSTITUTE(SUBSTITUTE($N795,"~","~~"),"*","~*"),"?","~?"),'DEF_SELF_SCOUT_IMPORT'!$G$42:$G$1040,SUBSTITUTE(SUBSTITUTE(SUBSTITUTE($O795,"~","~~"),"*","~*"),"?","~?"))/$C795)</f>
        <v>0.5</v>
      </c>
      <c r="E795" s="10">
        <f>IF($C795=0,"",SUMIFS('DEF_SELF_SCOUT_IMPORT'!$K$42:$K$1040,'DEF_SELF_SCOUT_IMPORT'!$L$42:$L$1040,"Y",'DEF_SELF_SCOUT_IMPORT'!$E$42:$E$1040,SUBSTITUTE(SUBSTITUTE(SUBSTITUTE($B795,"~","~~"),"*","~*"),"?","~?"),'DEF_SELF_SCOUT_IMPORT'!$Q$42:$Q$1040,SUBSTITUTE(SUBSTITUTE(SUBSTITUTE($M795,"~","~~"),"*","~*"),"?","~?"),'DEF_SELF_SCOUT_IMPORT'!$F$42:$F$1040,SUBSTITUTE(SUBSTITUTE(SUBSTITUTE($N795,"~","~~"),"*","~*"),"?","~?"),'DEF_SELF_SCOUT_IMPORT'!$G$42:$G$1040,SUBSTITUTE(SUBSTITUTE(SUBSTITUTE($O795,"~","~~"),"*","~*"),"?","~?"))/$C795)</f>
        <v>0.5</v>
      </c>
      <c r="F795" s="11">
        <f>IF($C795=0,"",AVERAGEIFS('DEF_SELF_SCOUT_IMPORT'!$I$42:$I$1040,'DEF_SELF_SCOUT_IMPORT'!$L$42:$L$1040,"Y",'DEF_SELF_SCOUT_IMPORT'!$E$42:$E$1040,SUBSTITUTE(SUBSTITUTE(SUBSTITUTE($B795,"~","~~"),"*","~*"),"?","~?"),'DEF_SELF_SCOUT_IMPORT'!$Q$42:$Q$1040,SUBSTITUTE(SUBSTITUTE(SUBSTITUTE($M795,"~","~~"),"*","~*"),"?","~?"),'DEF_SELF_SCOUT_IMPORT'!$F$42:$F$1040,SUBSTITUTE(SUBSTITUTE(SUBSTITUTE($N795,"~","~~"),"*","~*"),"?","~?"),'DEF_SELF_SCOUT_IMPORT'!$G$42:$G$1040,SUBSTITUTE(SUBSTITUTE(SUBSTITUTE($O795,"~","~~"),"*","~*"),"?","~?")))</f>
        <v>10.0</v>
      </c>
      <c r="G795" s="10">
        <f>IF($C795=0,"",COUNTIFS('DEF_SELF_SCOUT_IMPORT'!$L$42:$L$1040,"Y",'DEF_SELF_SCOUT_IMPORT'!$E$42:$E$1040,SUBSTITUTE(SUBSTITUTE(SUBSTITUTE($B795,"~","~~"),"*","~*"),"?","~?"),'DEF_SELF_SCOUT_IMPORT'!$Q$42:$Q$1040,SUBSTITUTE(SUBSTITUTE(SUBSTITUTE($M795,"~","~~"),"*","~*"),"?","~?"),'DEF_SELF_SCOUT_IMPORT'!$F$42:$F$1040,SUBSTITUTE(SUBSTITUTE(SUBSTITUTE($N795,"~","~~"),"*","~*"),"?","~?"),'DEF_SELF_SCOUT_IMPORT'!$G$42:$G$1040,SUBSTITUTE(SUBSTITUTE(SUBSTITUTE($O795,"~","~~"),"*","~*"),"?","~?"),'DEF_SELF_SCOUT_IMPORT'!$H$42:$H$1040,"RUSH")/$C795)</f>
        <v>0.0</v>
      </c>
      <c r="H795" s="10">
        <f>IF($C795=0,"",COUNTIFS('DEF_SELF_SCOUT_IMPORT'!$L$42:$L$1040,"Y",'DEF_SELF_SCOUT_IMPORT'!$E$42:$E$1040,SUBSTITUTE(SUBSTITUTE(SUBSTITUTE($B795,"~","~~"),"*","~*"),"?","~?"),'DEF_SELF_SCOUT_IMPORT'!$Q$42:$Q$1040,SUBSTITUTE(SUBSTITUTE(SUBSTITUTE($M795,"~","~~"),"*","~*"),"?","~?"),'DEF_SELF_SCOUT_IMPORT'!$F$42:$F$1040,SUBSTITUTE(SUBSTITUTE(SUBSTITUTE($N795,"~","~~"),"*","~*"),"?","~?"),'DEF_SELF_SCOUT_IMPORT'!$G$42:$G$1040,SUBSTITUTE(SUBSTITUTE(SUBSTITUTE($O795,"~","~~"),"*","~*"),"?","~?"),'DEF_SELF_SCOUT_IMPORT'!$H$42:$H$1040,"DROPBACK")/$C795)</f>
        <v>1.0</v>
      </c>
      <c r="I795" s="14" t="str">
        <f>IF(C795=0,"",IF(C795&lt;=2,"TRACK",IF(C795=3,"LOW",IF(C795&lt;=6,"MEDIUM","HIGH"))))</f>
        <v>TRACK</v>
      </c>
      <c r="J795" s="11">
        <f>IF(C795=0,"",ROUND(D795*70+(1-E795)*20+MAX(0,MIN(1,(10-F795)/10))*10,1))</f>
        <v>45.0</v>
      </c>
      <c r="K795" s="14" t="str">
        <f>IF(C795=0,"No Evidence",IF(C795&lt;=2,IF(E795&gt;0,"Explosive Alert","Track Only"),IF(C795=3,"Sample Watch",IF(E795&gt;=START_HERE!$B$31,"Explosive Alert",IF(J795&gt;=80,"Strong Candidate",IF(J795&gt;=65,"Good Candidate",IF(J795&gt;=50,"Mixed / Review","Problem Call")))))))</f>
        <v>Explosive Alert</v>
      </c>
      <c r="L795" s="9" t="str">
        <f>IF(COUNTIFS('DEF_SELF_SCOUT_IMPORT'!$L$42:$L$1040,"Y",'DEF_SELF_SCOUT_IMPORT'!$E$42:$E$1040,SUBSTITUTE(SUBSTITUTE(SUBSTITUTE($B795,"~","~~"),"*","~*"),"?","~?"),'DEF_SELF_SCOUT_IMPORT'!$Q$42:$Q$1040,SUBSTITUTE(SUBSTITUTE(SUBSTITUTE($M795,"~","~~"),"*","~*"),"?","~?"),'DEF_SELF_SCOUT_IMPORT'!$F$42:$F$1040,SUBSTITUTE(SUBSTITUTE(SUBSTITUTE($N795,"~","~~"),"*","~*"),"?","~?"),'DEF_SELF_SCOUT_IMPORT'!$G$42:$G$1040,SUBSTITUTE(SUBSTITUTE(SUBSTITUTE($O795,"~","~~"),"*","~*"),"?","~?"),'DEF_SELF_SCOUT_IMPORT'!$J$42:$J$1040,"")&gt;0,"Unscored clean outcome; review result tags before using score.",IF(C795=0,"No matching defensive reps; film confirmation needed.",IF(K795="Explosive Alert","Explosive risk; review clips before using as answer.",IF(C795&lt;=2,"Track only; not enough sample.",IF(C795=3,IF(E795&gt;0,"Sample watch with explosive exposure; review clips and build the sample.",IF(J795&gt;=65,"Good signal, but sample is limited.","Sample watch; review clips and build the sample.")),IF(K795="Problem Call","Problem area; practice or call-sheet review.",IF(K795="Strong Candidate","Strong call-fit candidate; confirm on film.",IF(K795="Good Candidate","Good call-fit signal; confirm on film.","Mixed signal; review fit and execution on film."))))))))</f>
        <v>Explosive risk; review clips before using as answer.</v>
      </c>
      <c r="M795" s="8" t="s">
        <v>115</v>
      </c>
      <c r="N795" s="8" t="s">
        <v>120</v>
      </c>
      <c r="O795" s="8" t="s">
        <v>206</v>
      </c>
      <c r="P795" s="8"/>
      <c r="Q795" s="8"/>
      <c r="R795" s="8" t="s">
        <v>28</v>
      </c>
      <c r="S795" s="2" t="s">
        <v>421</v>
      </c>
      <c r="T795" s="2">
        <f>IF(C795=0,0,IF(C795&gt;=CALL_LOOKUP_BOARD!$B$7,IF(OR(K795="Problem Call",K795="Explosive Alert"),10000000,20000000),0)+IF(C795&gt;=CALL_LOOKUP_BOARD!$B$7,J795*1000+MIN(C795,999),C795*1000+J795)+0.00979300)</f>
        <v>2045.009793</v>
      </c>
      <c r="U795" s="2">
        <f>IF(C795=0,"",IF(COUNTIFS($S$589:$S$803,SUBSTITUTE(SUBSTITUTE(SUBSTITUTE(S795,"~","~~"),"*","~*"),"?","~?"),$T$589:$T$803,"&gt;"&amp;T795)=0,S795,""))</f>
        <v/>
      </c>
    </row>
    <row r="796" spans="1:21" ht="38" customHeight="1">
      <c r="A796" s="8" t="s">
        <v>420</v>
      </c>
      <c r="B796" s="8" t="s">
        <v>68</v>
      </c>
      <c r="C796" s="12">
        <f>COUNTIFS('DEF_SELF_SCOUT_IMPORT'!$L$42:$L$1040,"Y",'DEF_SELF_SCOUT_IMPORT'!$E$42:$E$1040,SUBSTITUTE(SUBSTITUTE(SUBSTITUTE($B796,"~","~~"),"*","~*"),"?","~?"),'DEF_SELF_SCOUT_IMPORT'!$Q$42:$Q$1040,SUBSTITUTE(SUBSTITUTE(SUBSTITUTE($M796,"~","~~"),"*","~*"),"?","~?"),'DEF_SELF_SCOUT_IMPORT'!$F$42:$F$1040,SUBSTITUTE(SUBSTITUTE(SUBSTITUTE($N796,"~","~~"),"*","~*"),"?","~?"),'DEF_SELF_SCOUT_IMPORT'!$G$42:$G$1040,SUBSTITUTE(SUBSTITUTE(SUBSTITUTE($O796,"~","~~"),"*","~*"),"?","~?"))</f>
        <v>3</v>
      </c>
      <c r="D796" s="10">
        <f>IF($C796=0,"",SUMIFS('DEF_SELF_SCOUT_IMPORT'!$J$42:$J$1040,'DEF_SELF_SCOUT_IMPORT'!$L$42:$L$1040,"Y",'DEF_SELF_SCOUT_IMPORT'!$E$42:$E$1040,SUBSTITUTE(SUBSTITUTE(SUBSTITUTE($B796,"~","~~"),"*","~*"),"?","~?"),'DEF_SELF_SCOUT_IMPORT'!$Q$42:$Q$1040,SUBSTITUTE(SUBSTITUTE(SUBSTITUTE($M796,"~","~~"),"*","~*"),"?","~?"),'DEF_SELF_SCOUT_IMPORT'!$F$42:$F$1040,SUBSTITUTE(SUBSTITUTE(SUBSTITUTE($N796,"~","~~"),"*","~*"),"?","~?"),'DEF_SELF_SCOUT_IMPORT'!$G$42:$G$1040,SUBSTITUTE(SUBSTITUTE(SUBSTITUTE($O796,"~","~~"),"*","~*"),"?","~?"))/$C796)</f>
        <v>1.0</v>
      </c>
      <c r="E796" s="10">
        <f>IF($C796=0,"",SUMIFS('DEF_SELF_SCOUT_IMPORT'!$K$42:$K$1040,'DEF_SELF_SCOUT_IMPORT'!$L$42:$L$1040,"Y",'DEF_SELF_SCOUT_IMPORT'!$E$42:$E$1040,SUBSTITUTE(SUBSTITUTE(SUBSTITUTE($B796,"~","~~"),"*","~*"),"?","~?"),'DEF_SELF_SCOUT_IMPORT'!$Q$42:$Q$1040,SUBSTITUTE(SUBSTITUTE(SUBSTITUTE($M796,"~","~~"),"*","~*"),"?","~?"),'DEF_SELF_SCOUT_IMPORT'!$F$42:$F$1040,SUBSTITUTE(SUBSTITUTE(SUBSTITUTE($N796,"~","~~"),"*","~*"),"?","~?"),'DEF_SELF_SCOUT_IMPORT'!$G$42:$G$1040,SUBSTITUTE(SUBSTITUTE(SUBSTITUTE($O796,"~","~~"),"*","~*"),"?","~?"))/$C796)</f>
        <v>0.0</v>
      </c>
      <c r="F796" s="11">
        <f>IF($C796=0,"",AVERAGEIFS('DEF_SELF_SCOUT_IMPORT'!$I$42:$I$1040,'DEF_SELF_SCOUT_IMPORT'!$L$42:$L$1040,"Y",'DEF_SELF_SCOUT_IMPORT'!$E$42:$E$1040,SUBSTITUTE(SUBSTITUTE(SUBSTITUTE($B796,"~","~~"),"*","~*"),"?","~?"),'DEF_SELF_SCOUT_IMPORT'!$Q$42:$Q$1040,SUBSTITUTE(SUBSTITUTE(SUBSTITUTE($M796,"~","~~"),"*","~*"),"?","~?"),'DEF_SELF_SCOUT_IMPORT'!$F$42:$F$1040,SUBSTITUTE(SUBSTITUTE(SUBSTITUTE($N796,"~","~~"),"*","~*"),"?","~?"),'DEF_SELF_SCOUT_IMPORT'!$G$42:$G$1040,SUBSTITUTE(SUBSTITUTE(SUBSTITUTE($O796,"~","~~"),"*","~*"),"?","~?")))</f>
        <v>-2.3333333333333335</v>
      </c>
      <c r="G796" s="10">
        <f>IF($C796=0,"",COUNTIFS('DEF_SELF_SCOUT_IMPORT'!$L$42:$L$1040,"Y",'DEF_SELF_SCOUT_IMPORT'!$E$42:$E$1040,SUBSTITUTE(SUBSTITUTE(SUBSTITUTE($B796,"~","~~"),"*","~*"),"?","~?"),'DEF_SELF_SCOUT_IMPORT'!$Q$42:$Q$1040,SUBSTITUTE(SUBSTITUTE(SUBSTITUTE($M796,"~","~~"),"*","~*"),"?","~?"),'DEF_SELF_SCOUT_IMPORT'!$F$42:$F$1040,SUBSTITUTE(SUBSTITUTE(SUBSTITUTE($N796,"~","~~"),"*","~*"),"?","~?"),'DEF_SELF_SCOUT_IMPORT'!$G$42:$G$1040,SUBSTITUTE(SUBSTITUTE(SUBSTITUTE($O796,"~","~~"),"*","~*"),"?","~?"),'DEF_SELF_SCOUT_IMPORT'!$H$42:$H$1040,"RUSH")/$C796)</f>
        <v>0.3333333333333333</v>
      </c>
      <c r="H796" s="10">
        <f>IF($C796=0,"",COUNTIFS('DEF_SELF_SCOUT_IMPORT'!$L$42:$L$1040,"Y",'DEF_SELF_SCOUT_IMPORT'!$E$42:$E$1040,SUBSTITUTE(SUBSTITUTE(SUBSTITUTE($B796,"~","~~"),"*","~*"),"?","~?"),'DEF_SELF_SCOUT_IMPORT'!$Q$42:$Q$1040,SUBSTITUTE(SUBSTITUTE(SUBSTITUTE($M796,"~","~~"),"*","~*"),"?","~?"),'DEF_SELF_SCOUT_IMPORT'!$F$42:$F$1040,SUBSTITUTE(SUBSTITUTE(SUBSTITUTE($N796,"~","~~"),"*","~*"),"?","~?"),'DEF_SELF_SCOUT_IMPORT'!$G$42:$G$1040,SUBSTITUTE(SUBSTITUTE(SUBSTITUTE($O796,"~","~~"),"*","~*"),"?","~?"),'DEF_SELF_SCOUT_IMPORT'!$H$42:$H$1040,"DROPBACK")/$C796)</f>
        <v>0.6666666666666666</v>
      </c>
      <c r="I796" s="14" t="str">
        <f>IF(C796=0,"",IF(C796&lt;=2,"TRACK",IF(C796=3,"LOW",IF(C796&lt;=6,"MEDIUM","HIGH"))))</f>
        <v>LOW</v>
      </c>
      <c r="J796" s="11">
        <f>IF(C796=0,"",ROUND(D796*70+(1-E796)*20+MAX(0,MIN(1,(10-F796)/10))*10,1))</f>
        <v>100.0</v>
      </c>
      <c r="K796" s="14" t="str">
        <f>IF(C796=0,"No Evidence",IF(C796&lt;=2,IF(E796&gt;0,"Explosive Alert","Track Only"),IF(C796=3,"Sample Watch",IF(E796&gt;=START_HERE!$B$31,"Explosive Alert",IF(J796&gt;=80,"Strong Candidate",IF(J796&gt;=65,"Good Candidate",IF(J796&gt;=50,"Mixed / Review","Problem Call")))))))</f>
        <v>Sample Watch</v>
      </c>
      <c r="L796" s="9" t="str">
        <f>IF(COUNTIFS('DEF_SELF_SCOUT_IMPORT'!$L$42:$L$1040,"Y",'DEF_SELF_SCOUT_IMPORT'!$E$42:$E$1040,SUBSTITUTE(SUBSTITUTE(SUBSTITUTE($B796,"~","~~"),"*","~*"),"?","~?"),'DEF_SELF_SCOUT_IMPORT'!$Q$42:$Q$1040,SUBSTITUTE(SUBSTITUTE(SUBSTITUTE($M796,"~","~~"),"*","~*"),"?","~?"),'DEF_SELF_SCOUT_IMPORT'!$F$42:$F$1040,SUBSTITUTE(SUBSTITUTE(SUBSTITUTE($N796,"~","~~"),"*","~*"),"?","~?"),'DEF_SELF_SCOUT_IMPORT'!$G$42:$G$1040,SUBSTITUTE(SUBSTITUTE(SUBSTITUTE($O796,"~","~~"),"*","~*"),"?","~?"),'DEF_SELF_SCOUT_IMPORT'!$J$42:$J$1040,"")&gt;0,"Unscored clean outcome; review result tags before using score.",IF(C796=0,"No matching defensive reps; film confirmation needed.",IF(K796="Explosive Alert","Explosive risk; review clips before using as answer.",IF(C796&lt;=2,"Track only; not enough sample.",IF(C796=3,IF(E796&gt;0,"Sample watch with explosive exposure; review clips and build the sample.",IF(J796&gt;=65,"Good signal, but sample is limited.","Sample watch; review clips and build the sample.")),IF(K796="Problem Call","Problem area; practice or call-sheet review.",IF(K796="Strong Candidate","Strong call-fit candidate; confirm on film.",IF(K796="Good Candidate","Good call-fit signal; confirm on film.","Mixed signal; review fit and execution on film."))))))))</f>
        <v>Good signal, but sample is limited.</v>
      </c>
      <c r="M796" s="8" t="s">
        <v>115</v>
      </c>
      <c r="N796" s="8" t="s">
        <v>120</v>
      </c>
      <c r="O796" s="8" t="s">
        <v>206</v>
      </c>
      <c r="P796" s="8"/>
      <c r="Q796" s="8"/>
      <c r="R796" s="8" t="s">
        <v>28</v>
      </c>
      <c r="S796" s="2" t="s">
        <v>421</v>
      </c>
      <c r="T796" s="2">
        <f>IF(C796=0,0,IF(C796&gt;=CALL_LOOKUP_BOARD!$B$7,IF(OR(K796="Problem Call",K796="Explosive Alert"),10000000,20000000),0)+IF(C796&gt;=CALL_LOOKUP_BOARD!$B$7,J796*1000+MIN(C796,999),C796*1000+J796)+0.00979200)</f>
        <v>3100.009792</v>
      </c>
      <c r="U796" s="2" t="str">
        <f>IF(C796=0,"",IF(COUNTIFS($S$589:$S$803,SUBSTITUTE(SUBSTITUTE(SUBSTITUTE(S796,"~","~~"),"*","~*"),"?","~?"),$T$589:$T$803,"&gt;"&amp;T796)=0,S796,""))</f>
        <v>4:P&amp;10|2:11|3:3X1|</v>
      </c>
    </row>
    <row r="797" spans="1:21" ht="38" customHeight="1">
      <c r="A797" s="8" t="s">
        <v>420</v>
      </c>
      <c r="B797" s="8" t="s">
        <v>75</v>
      </c>
      <c r="C797" s="12">
        <f>COUNTIFS('DEF_SELF_SCOUT_IMPORT'!$L$42:$L$1040,"Y",'DEF_SELF_SCOUT_IMPORT'!$E$42:$E$1040,SUBSTITUTE(SUBSTITUTE(SUBSTITUTE($B797,"~","~~"),"*","~*"),"?","~?"),'DEF_SELF_SCOUT_IMPORT'!$Q$42:$Q$1040,SUBSTITUTE(SUBSTITUTE(SUBSTITUTE($M797,"~","~~"),"*","~*"),"?","~?"),'DEF_SELF_SCOUT_IMPORT'!$F$42:$F$1040,SUBSTITUTE(SUBSTITUTE(SUBSTITUTE($N797,"~","~~"),"*","~*"),"?","~?"),'DEF_SELF_SCOUT_IMPORT'!$G$42:$G$1040,SUBSTITUTE(SUBSTITUTE(SUBSTITUTE($O797,"~","~~"),"*","~*"),"?","~?"))</f>
        <v>1</v>
      </c>
      <c r="D797" s="10">
        <f>IF($C797=0,"",SUMIFS('DEF_SELF_SCOUT_IMPORT'!$J$42:$J$1040,'DEF_SELF_SCOUT_IMPORT'!$L$42:$L$1040,"Y",'DEF_SELF_SCOUT_IMPORT'!$E$42:$E$1040,SUBSTITUTE(SUBSTITUTE(SUBSTITUTE($B797,"~","~~"),"*","~*"),"?","~?"),'DEF_SELF_SCOUT_IMPORT'!$Q$42:$Q$1040,SUBSTITUTE(SUBSTITUTE(SUBSTITUTE($M797,"~","~~"),"*","~*"),"?","~?"),'DEF_SELF_SCOUT_IMPORT'!$F$42:$F$1040,SUBSTITUTE(SUBSTITUTE(SUBSTITUTE($N797,"~","~~"),"*","~*"),"?","~?"),'DEF_SELF_SCOUT_IMPORT'!$G$42:$G$1040,SUBSTITUTE(SUBSTITUTE(SUBSTITUTE($O797,"~","~~"),"*","~*"),"?","~?"))/$C797)</f>
        <v>0.0</v>
      </c>
      <c r="E797" s="10">
        <f>IF($C797=0,"",SUMIFS('DEF_SELF_SCOUT_IMPORT'!$K$42:$K$1040,'DEF_SELF_SCOUT_IMPORT'!$L$42:$L$1040,"Y",'DEF_SELF_SCOUT_IMPORT'!$E$42:$E$1040,SUBSTITUTE(SUBSTITUTE(SUBSTITUTE($B797,"~","~~"),"*","~*"),"?","~?"),'DEF_SELF_SCOUT_IMPORT'!$Q$42:$Q$1040,SUBSTITUTE(SUBSTITUTE(SUBSTITUTE($M797,"~","~~"),"*","~*"),"?","~?"),'DEF_SELF_SCOUT_IMPORT'!$F$42:$F$1040,SUBSTITUTE(SUBSTITUTE(SUBSTITUTE($N797,"~","~~"),"*","~*"),"?","~?"),'DEF_SELF_SCOUT_IMPORT'!$G$42:$G$1040,SUBSTITUTE(SUBSTITUTE(SUBSTITUTE($O797,"~","~~"),"*","~*"),"?","~?"))/$C797)</f>
        <v>0.0</v>
      </c>
      <c r="F797" s="11">
        <f>IF($C797=0,"",AVERAGEIFS('DEF_SELF_SCOUT_IMPORT'!$I$42:$I$1040,'DEF_SELF_SCOUT_IMPORT'!$L$42:$L$1040,"Y",'DEF_SELF_SCOUT_IMPORT'!$E$42:$E$1040,SUBSTITUTE(SUBSTITUTE(SUBSTITUTE($B797,"~","~~"),"*","~*"),"?","~?"),'DEF_SELF_SCOUT_IMPORT'!$Q$42:$Q$1040,SUBSTITUTE(SUBSTITUTE(SUBSTITUTE($M797,"~","~~"),"*","~*"),"?","~?"),'DEF_SELF_SCOUT_IMPORT'!$F$42:$F$1040,SUBSTITUTE(SUBSTITUTE(SUBSTITUTE($N797,"~","~~"),"*","~*"),"?","~?"),'DEF_SELF_SCOUT_IMPORT'!$G$42:$G$1040,SUBSTITUTE(SUBSTITUTE(SUBSTITUTE($O797,"~","~~"),"*","~*"),"?","~?")))</f>
        <v>9.0</v>
      </c>
      <c r="G797" s="10">
        <f>IF($C797=0,"",COUNTIFS('DEF_SELF_SCOUT_IMPORT'!$L$42:$L$1040,"Y",'DEF_SELF_SCOUT_IMPORT'!$E$42:$E$1040,SUBSTITUTE(SUBSTITUTE(SUBSTITUTE($B797,"~","~~"),"*","~*"),"?","~?"),'DEF_SELF_SCOUT_IMPORT'!$Q$42:$Q$1040,SUBSTITUTE(SUBSTITUTE(SUBSTITUTE($M797,"~","~~"),"*","~*"),"?","~?"),'DEF_SELF_SCOUT_IMPORT'!$F$42:$F$1040,SUBSTITUTE(SUBSTITUTE(SUBSTITUTE($N797,"~","~~"),"*","~*"),"?","~?"),'DEF_SELF_SCOUT_IMPORT'!$G$42:$G$1040,SUBSTITUTE(SUBSTITUTE(SUBSTITUTE($O797,"~","~~"),"*","~*"),"?","~?"),'DEF_SELF_SCOUT_IMPORT'!$H$42:$H$1040,"RUSH")/$C797)</f>
        <v>1.0</v>
      </c>
      <c r="H797" s="10">
        <f>IF($C797=0,"",COUNTIFS('DEF_SELF_SCOUT_IMPORT'!$L$42:$L$1040,"Y",'DEF_SELF_SCOUT_IMPORT'!$E$42:$E$1040,SUBSTITUTE(SUBSTITUTE(SUBSTITUTE($B797,"~","~~"),"*","~*"),"?","~?"),'DEF_SELF_SCOUT_IMPORT'!$Q$42:$Q$1040,SUBSTITUTE(SUBSTITUTE(SUBSTITUTE($M797,"~","~~"),"*","~*"),"?","~?"),'DEF_SELF_SCOUT_IMPORT'!$F$42:$F$1040,SUBSTITUTE(SUBSTITUTE(SUBSTITUTE($N797,"~","~~"),"*","~*"),"?","~?"),'DEF_SELF_SCOUT_IMPORT'!$G$42:$G$1040,SUBSTITUTE(SUBSTITUTE(SUBSTITUTE($O797,"~","~~"),"*","~*"),"?","~?"),'DEF_SELF_SCOUT_IMPORT'!$H$42:$H$1040,"DROPBACK")/$C797)</f>
        <v>0.0</v>
      </c>
      <c r="I797" s="14" t="str">
        <f>IF(C797=0,"",IF(C797&lt;=2,"TRACK",IF(C797=3,"LOW",IF(C797&lt;=6,"MEDIUM","HIGH"))))</f>
        <v>TRACK</v>
      </c>
      <c r="J797" s="11">
        <f>IF(C797=0,"",ROUND(D797*70+(1-E797)*20+MAX(0,MIN(1,(10-F797)/10))*10,1))</f>
        <v>21.0</v>
      </c>
      <c r="K797" s="14" t="str">
        <f>IF(C797=0,"No Evidence",IF(C797&lt;=2,IF(E797&gt;0,"Explosive Alert","Track Only"),IF(C797=3,"Sample Watch",IF(E797&gt;=START_HERE!$B$31,"Explosive Alert",IF(J797&gt;=80,"Strong Candidate",IF(J797&gt;=65,"Good Candidate",IF(J797&gt;=50,"Mixed / Review","Problem Call")))))))</f>
        <v>Track Only</v>
      </c>
      <c r="L797" s="9" t="str">
        <f>IF(COUNTIFS('DEF_SELF_SCOUT_IMPORT'!$L$42:$L$1040,"Y",'DEF_SELF_SCOUT_IMPORT'!$E$42:$E$1040,SUBSTITUTE(SUBSTITUTE(SUBSTITUTE($B797,"~","~~"),"*","~*"),"?","~?"),'DEF_SELF_SCOUT_IMPORT'!$Q$42:$Q$1040,SUBSTITUTE(SUBSTITUTE(SUBSTITUTE($M797,"~","~~"),"*","~*"),"?","~?"),'DEF_SELF_SCOUT_IMPORT'!$F$42:$F$1040,SUBSTITUTE(SUBSTITUTE(SUBSTITUTE($N797,"~","~~"),"*","~*"),"?","~?"),'DEF_SELF_SCOUT_IMPORT'!$G$42:$G$1040,SUBSTITUTE(SUBSTITUTE(SUBSTITUTE($O797,"~","~~"),"*","~*"),"?","~?"),'DEF_SELF_SCOUT_IMPORT'!$J$42:$J$1040,"")&gt;0,"Unscored clean outcome; review result tags before using score.",IF(C797=0,"No matching defensive reps; film confirmation needed.",IF(K797="Explosive Alert","Explosive risk; review clips before using as answer.",IF(C797&lt;=2,"Track only; not enough sample.",IF(C797=3,IF(E797&gt;0,"Sample watch with explosive exposure; review clips and build the sample.",IF(J797&gt;=65,"Good signal, but sample is limited.","Sample watch; review clips and build the sample.")),IF(K797="Problem Call","Problem area; practice or call-sheet review.",IF(K797="Strong Candidate","Strong call-fit candidate; confirm on film.",IF(K797="Good Candidate","Good call-fit signal; confirm on film.","Mixed signal; review fit and execution on film."))))))))</f>
        <v>Track only; not enough sample.</v>
      </c>
      <c r="M797" s="8" t="s">
        <v>115</v>
      </c>
      <c r="N797" s="8" t="s">
        <v>120</v>
      </c>
      <c r="O797" s="8" t="s">
        <v>206</v>
      </c>
      <c r="P797" s="8"/>
      <c r="Q797" s="8"/>
      <c r="R797" s="8" t="s">
        <v>28</v>
      </c>
      <c r="S797" s="2" t="s">
        <v>421</v>
      </c>
      <c r="T797" s="2">
        <f>IF(C797=0,0,IF(C797&gt;=CALL_LOOKUP_BOARD!$B$7,IF(OR(K797="Problem Call",K797="Explosive Alert"),10000000,20000000),0)+IF(C797&gt;=CALL_LOOKUP_BOARD!$B$7,J797*1000+MIN(C797,999),C797*1000+J797)+0.00979100)</f>
        <v>1021.009791</v>
      </c>
      <c r="U797" s="2">
        <f>IF(C797=0,"",IF(COUNTIFS($S$589:$S$803,SUBSTITUTE(SUBSTITUTE(SUBSTITUTE(S797,"~","~~"),"*","~*"),"?","~?"),$T$589:$T$803,"&gt;"&amp;T797)=0,S797,""))</f>
        <v/>
      </c>
    </row>
    <row r="798" spans="1:21" ht="38" customHeight="1">
      <c r="A798" s="8" t="s">
        <v>422</v>
      </c>
      <c r="B798" s="8" t="s">
        <v>52</v>
      </c>
      <c r="C798" s="12">
        <f>COUNTIFS('DEF_SELF_SCOUT_IMPORT'!$L$42:$L$1040,"Y",'DEF_SELF_SCOUT_IMPORT'!$E$42:$E$1040,SUBSTITUTE(SUBSTITUTE(SUBSTITUTE($B798,"~","~~"),"*","~*"),"?","~?"),'DEF_SELF_SCOUT_IMPORT'!$Q$42:$Q$1040,SUBSTITUTE(SUBSTITUTE(SUBSTITUTE($M798,"~","~~"),"*","~*"),"?","~?"),'DEF_SELF_SCOUT_IMPORT'!$F$42:$F$1040,SUBSTITUTE(SUBSTITUTE(SUBSTITUTE($N798,"~","~~"),"*","~*"),"?","~?"),'DEF_SELF_SCOUT_IMPORT'!$G$42:$G$1040,SUBSTITUTE(SUBSTITUTE(SUBSTITUTE($O798,"~","~~"),"*","~*"),"?","~?"))</f>
        <v>2</v>
      </c>
      <c r="D798" s="10">
        <f>IF($C798=0,"",SUMIFS('DEF_SELF_SCOUT_IMPORT'!$J$42:$J$1040,'DEF_SELF_SCOUT_IMPORT'!$L$42:$L$1040,"Y",'DEF_SELF_SCOUT_IMPORT'!$E$42:$E$1040,SUBSTITUTE(SUBSTITUTE(SUBSTITUTE($B798,"~","~~"),"*","~*"),"?","~?"),'DEF_SELF_SCOUT_IMPORT'!$Q$42:$Q$1040,SUBSTITUTE(SUBSTITUTE(SUBSTITUTE($M798,"~","~~"),"*","~*"),"?","~?"),'DEF_SELF_SCOUT_IMPORT'!$F$42:$F$1040,SUBSTITUTE(SUBSTITUTE(SUBSTITUTE($N798,"~","~~"),"*","~*"),"?","~?"),'DEF_SELF_SCOUT_IMPORT'!$G$42:$G$1040,SUBSTITUTE(SUBSTITUTE(SUBSTITUTE($O798,"~","~~"),"*","~*"),"?","~?"))/$C798)</f>
        <v>0.5</v>
      </c>
      <c r="E798" s="10">
        <f>IF($C798=0,"",SUMIFS('DEF_SELF_SCOUT_IMPORT'!$K$42:$K$1040,'DEF_SELF_SCOUT_IMPORT'!$L$42:$L$1040,"Y",'DEF_SELF_SCOUT_IMPORT'!$E$42:$E$1040,SUBSTITUTE(SUBSTITUTE(SUBSTITUTE($B798,"~","~~"),"*","~*"),"?","~?"),'DEF_SELF_SCOUT_IMPORT'!$Q$42:$Q$1040,SUBSTITUTE(SUBSTITUTE(SUBSTITUTE($M798,"~","~~"),"*","~*"),"?","~?"),'DEF_SELF_SCOUT_IMPORT'!$F$42:$F$1040,SUBSTITUTE(SUBSTITUTE(SUBSTITUTE($N798,"~","~~"),"*","~*"),"?","~?"),'DEF_SELF_SCOUT_IMPORT'!$G$42:$G$1040,SUBSTITUTE(SUBSTITUTE(SUBSTITUTE($O798,"~","~~"),"*","~*"),"?","~?"))/$C798)</f>
        <v>0.0</v>
      </c>
      <c r="F798" s="11">
        <f>IF($C798=0,"",AVERAGEIFS('DEF_SELF_SCOUT_IMPORT'!$I$42:$I$1040,'DEF_SELF_SCOUT_IMPORT'!$L$42:$L$1040,"Y",'DEF_SELF_SCOUT_IMPORT'!$E$42:$E$1040,SUBSTITUTE(SUBSTITUTE(SUBSTITUTE($B798,"~","~~"),"*","~*"),"?","~?"),'DEF_SELF_SCOUT_IMPORT'!$Q$42:$Q$1040,SUBSTITUTE(SUBSTITUTE(SUBSTITUTE($M798,"~","~~"),"*","~*"),"?","~?"),'DEF_SELF_SCOUT_IMPORT'!$F$42:$F$1040,SUBSTITUTE(SUBSTITUTE(SUBSTITUTE($N798,"~","~~"),"*","~*"),"?","~?"),'DEF_SELF_SCOUT_IMPORT'!$G$42:$G$1040,SUBSTITUTE(SUBSTITUTE(SUBSTITUTE($O798,"~","~~"),"*","~*"),"?","~?")))</f>
        <v>4.0</v>
      </c>
      <c r="G798" s="10">
        <f>IF($C798=0,"",COUNTIFS('DEF_SELF_SCOUT_IMPORT'!$L$42:$L$1040,"Y",'DEF_SELF_SCOUT_IMPORT'!$E$42:$E$1040,SUBSTITUTE(SUBSTITUTE(SUBSTITUTE($B798,"~","~~"),"*","~*"),"?","~?"),'DEF_SELF_SCOUT_IMPORT'!$Q$42:$Q$1040,SUBSTITUTE(SUBSTITUTE(SUBSTITUTE($M798,"~","~~"),"*","~*"),"?","~?"),'DEF_SELF_SCOUT_IMPORT'!$F$42:$F$1040,SUBSTITUTE(SUBSTITUTE(SUBSTITUTE($N798,"~","~~"),"*","~*"),"?","~?"),'DEF_SELF_SCOUT_IMPORT'!$G$42:$G$1040,SUBSTITUTE(SUBSTITUTE(SUBSTITUTE($O798,"~","~~"),"*","~*"),"?","~?"),'DEF_SELF_SCOUT_IMPORT'!$H$42:$H$1040,"RUSH")/$C798)</f>
        <v>1.0</v>
      </c>
      <c r="H798" s="10">
        <f>IF($C798=0,"",COUNTIFS('DEF_SELF_SCOUT_IMPORT'!$L$42:$L$1040,"Y",'DEF_SELF_SCOUT_IMPORT'!$E$42:$E$1040,SUBSTITUTE(SUBSTITUTE(SUBSTITUTE($B798,"~","~~"),"*","~*"),"?","~?"),'DEF_SELF_SCOUT_IMPORT'!$Q$42:$Q$1040,SUBSTITUTE(SUBSTITUTE(SUBSTITUTE($M798,"~","~~"),"*","~*"),"?","~?"),'DEF_SELF_SCOUT_IMPORT'!$F$42:$F$1040,SUBSTITUTE(SUBSTITUTE(SUBSTITUTE($N798,"~","~~"),"*","~*"),"?","~?"),'DEF_SELF_SCOUT_IMPORT'!$G$42:$G$1040,SUBSTITUTE(SUBSTITUTE(SUBSTITUTE($O798,"~","~~"),"*","~*"),"?","~?"),'DEF_SELF_SCOUT_IMPORT'!$H$42:$H$1040,"DROPBACK")/$C798)</f>
        <v>0.0</v>
      </c>
      <c r="I798" s="14" t="str">
        <f>IF(C798=0,"",IF(C798&lt;=2,"TRACK",IF(C798=3,"LOW",IF(C798&lt;=6,"MEDIUM","HIGH"))))</f>
        <v>TRACK</v>
      </c>
      <c r="J798" s="11">
        <f>IF(C798=0,"",ROUND(D798*70+(1-E798)*20+MAX(0,MIN(1,(10-F798)/10))*10,1))</f>
        <v>61.0</v>
      </c>
      <c r="K798" s="14" t="str">
        <f>IF(C798=0,"No Evidence",IF(C798&lt;=2,IF(E798&gt;0,"Explosive Alert","Track Only"),IF(C798=3,"Sample Watch",IF(E798&gt;=START_HERE!$B$31,"Explosive Alert",IF(J798&gt;=80,"Strong Candidate",IF(J798&gt;=65,"Good Candidate",IF(J798&gt;=50,"Mixed / Review","Problem Call")))))))</f>
        <v>Track Only</v>
      </c>
      <c r="L798" s="9" t="str">
        <f>IF(COUNTIFS('DEF_SELF_SCOUT_IMPORT'!$L$42:$L$1040,"Y",'DEF_SELF_SCOUT_IMPORT'!$E$42:$E$1040,SUBSTITUTE(SUBSTITUTE(SUBSTITUTE($B798,"~","~~"),"*","~*"),"?","~?"),'DEF_SELF_SCOUT_IMPORT'!$Q$42:$Q$1040,SUBSTITUTE(SUBSTITUTE(SUBSTITUTE($M798,"~","~~"),"*","~*"),"?","~?"),'DEF_SELF_SCOUT_IMPORT'!$F$42:$F$1040,SUBSTITUTE(SUBSTITUTE(SUBSTITUTE($N798,"~","~~"),"*","~*"),"?","~?"),'DEF_SELF_SCOUT_IMPORT'!$G$42:$G$1040,SUBSTITUTE(SUBSTITUTE(SUBSTITUTE($O798,"~","~~"),"*","~*"),"?","~?"),'DEF_SELF_SCOUT_IMPORT'!$J$42:$J$1040,"")&gt;0,"Unscored clean outcome; review result tags before using score.",IF(C798=0,"No matching defensive reps; film confirmation needed.",IF(K798="Explosive Alert","Explosive risk; review clips before using as answer.",IF(C798&lt;=2,"Track only; not enough sample.",IF(C798=3,IF(E798&gt;0,"Sample watch with explosive exposure; review clips and build the sample.",IF(J798&gt;=65,"Good signal, but sample is limited.","Sample watch; review clips and build the sample.")),IF(K798="Problem Call","Problem area; practice or call-sheet review.",IF(K798="Strong Candidate","Strong call-fit candidate; confirm on film.",IF(K798="Good Candidate","Good call-fit signal; confirm on film.","Mixed signal; review fit and execution on film."))))))))</f>
        <v>Track only; not enough sample.</v>
      </c>
      <c r="M798" s="8" t="s">
        <v>115</v>
      </c>
      <c r="N798" s="8" t="s">
        <v>123</v>
      </c>
      <c r="O798" s="8" t="s">
        <v>203</v>
      </c>
      <c r="P798" s="8"/>
      <c r="Q798" s="8"/>
      <c r="R798" s="8" t="s">
        <v>28</v>
      </c>
      <c r="S798" s="2" t="s">
        <v>423</v>
      </c>
      <c r="T798" s="2">
        <f>IF(C798=0,0,IF(C798&gt;=CALL_LOOKUP_BOARD!$B$7,IF(OR(K798="Problem Call",K798="Explosive Alert"),10000000,20000000),0)+IF(C798&gt;=CALL_LOOKUP_BOARD!$B$7,J798*1000+MIN(C798,999),C798*1000+J798)+0.00979000)</f>
        <v>2061.00979</v>
      </c>
      <c r="U798" s="2" t="str">
        <f>IF(C798=0,"",IF(COUNTIFS($S$589:$S$803,SUBSTITUTE(SUBSTITUTE(SUBSTITUTE(S798,"~","~~"),"*","~*"),"?","~?"),$T$589:$T$803,"&gt;"&amp;T798)=0,S798,""))</f>
        <v>4:P&amp;10|2:12|3:2X2|</v>
      </c>
    </row>
    <row r="799" spans="1:21" ht="38" customHeight="1">
      <c r="A799" s="8" t="s">
        <v>422</v>
      </c>
      <c r="B799" s="8" t="s">
        <v>88</v>
      </c>
      <c r="C799" s="12">
        <f>COUNTIFS('DEF_SELF_SCOUT_IMPORT'!$L$42:$L$1040,"Y",'DEF_SELF_SCOUT_IMPORT'!$E$42:$E$1040,SUBSTITUTE(SUBSTITUTE(SUBSTITUTE($B799,"~","~~"),"*","~*"),"?","~?"),'DEF_SELF_SCOUT_IMPORT'!$Q$42:$Q$1040,SUBSTITUTE(SUBSTITUTE(SUBSTITUTE($M799,"~","~~"),"*","~*"),"?","~?"),'DEF_SELF_SCOUT_IMPORT'!$F$42:$F$1040,SUBSTITUTE(SUBSTITUTE(SUBSTITUTE($N799,"~","~~"),"*","~*"),"?","~?"),'DEF_SELF_SCOUT_IMPORT'!$G$42:$G$1040,SUBSTITUTE(SUBSTITUTE(SUBSTITUTE($O799,"~","~~"),"*","~*"),"?","~?"))</f>
        <v>1</v>
      </c>
      <c r="D799" s="10">
        <f>IF($C799=0,"",SUMIFS('DEF_SELF_SCOUT_IMPORT'!$J$42:$J$1040,'DEF_SELF_SCOUT_IMPORT'!$L$42:$L$1040,"Y",'DEF_SELF_SCOUT_IMPORT'!$E$42:$E$1040,SUBSTITUTE(SUBSTITUTE(SUBSTITUTE($B799,"~","~~"),"*","~*"),"?","~?"),'DEF_SELF_SCOUT_IMPORT'!$Q$42:$Q$1040,SUBSTITUTE(SUBSTITUTE(SUBSTITUTE($M799,"~","~~"),"*","~*"),"?","~?"),'DEF_SELF_SCOUT_IMPORT'!$F$42:$F$1040,SUBSTITUTE(SUBSTITUTE(SUBSTITUTE($N799,"~","~~"),"*","~*"),"?","~?"),'DEF_SELF_SCOUT_IMPORT'!$G$42:$G$1040,SUBSTITUTE(SUBSTITUTE(SUBSTITUTE($O799,"~","~~"),"*","~*"),"?","~?"))/$C799)</f>
        <v>0.0</v>
      </c>
      <c r="E799" s="10">
        <f>IF($C799=0,"",SUMIFS('DEF_SELF_SCOUT_IMPORT'!$K$42:$K$1040,'DEF_SELF_SCOUT_IMPORT'!$L$42:$L$1040,"Y",'DEF_SELF_SCOUT_IMPORT'!$E$42:$E$1040,SUBSTITUTE(SUBSTITUTE(SUBSTITUTE($B799,"~","~~"),"*","~*"),"?","~?"),'DEF_SELF_SCOUT_IMPORT'!$Q$42:$Q$1040,SUBSTITUTE(SUBSTITUTE(SUBSTITUTE($M799,"~","~~"),"*","~*"),"?","~?"),'DEF_SELF_SCOUT_IMPORT'!$F$42:$F$1040,SUBSTITUTE(SUBSTITUTE(SUBSTITUTE($N799,"~","~~"),"*","~*"),"?","~?"),'DEF_SELF_SCOUT_IMPORT'!$G$42:$G$1040,SUBSTITUTE(SUBSTITUTE(SUBSTITUTE($O799,"~","~~"),"*","~*"),"?","~?"))/$C799)</f>
        <v>0.0</v>
      </c>
      <c r="F799" s="11">
        <f>IF($C799=0,"",AVERAGEIFS('DEF_SELF_SCOUT_IMPORT'!$I$42:$I$1040,'DEF_SELF_SCOUT_IMPORT'!$L$42:$L$1040,"Y",'DEF_SELF_SCOUT_IMPORT'!$E$42:$E$1040,SUBSTITUTE(SUBSTITUTE(SUBSTITUTE($B799,"~","~~"),"*","~*"),"?","~?"),'DEF_SELF_SCOUT_IMPORT'!$Q$42:$Q$1040,SUBSTITUTE(SUBSTITUTE(SUBSTITUTE($M799,"~","~~"),"*","~*"),"?","~?"),'DEF_SELF_SCOUT_IMPORT'!$F$42:$F$1040,SUBSTITUTE(SUBSTITUTE(SUBSTITUTE($N799,"~","~~"),"*","~*"),"?","~?"),'DEF_SELF_SCOUT_IMPORT'!$G$42:$G$1040,SUBSTITUTE(SUBSTITUTE(SUBSTITUTE($O799,"~","~~"),"*","~*"),"?","~?")))</f>
        <v>4.0</v>
      </c>
      <c r="G799" s="10">
        <f>IF($C799=0,"",COUNTIFS('DEF_SELF_SCOUT_IMPORT'!$L$42:$L$1040,"Y",'DEF_SELF_SCOUT_IMPORT'!$E$42:$E$1040,SUBSTITUTE(SUBSTITUTE(SUBSTITUTE($B799,"~","~~"),"*","~*"),"?","~?"),'DEF_SELF_SCOUT_IMPORT'!$Q$42:$Q$1040,SUBSTITUTE(SUBSTITUTE(SUBSTITUTE($M799,"~","~~"),"*","~*"),"?","~?"),'DEF_SELF_SCOUT_IMPORT'!$F$42:$F$1040,SUBSTITUTE(SUBSTITUTE(SUBSTITUTE($N799,"~","~~"),"*","~*"),"?","~?"),'DEF_SELF_SCOUT_IMPORT'!$G$42:$G$1040,SUBSTITUTE(SUBSTITUTE(SUBSTITUTE($O799,"~","~~"),"*","~*"),"?","~?"),'DEF_SELF_SCOUT_IMPORT'!$H$42:$H$1040,"RUSH")/$C799)</f>
        <v>1.0</v>
      </c>
      <c r="H799" s="10">
        <f>IF($C799=0,"",COUNTIFS('DEF_SELF_SCOUT_IMPORT'!$L$42:$L$1040,"Y",'DEF_SELF_SCOUT_IMPORT'!$E$42:$E$1040,SUBSTITUTE(SUBSTITUTE(SUBSTITUTE($B799,"~","~~"),"*","~*"),"?","~?"),'DEF_SELF_SCOUT_IMPORT'!$Q$42:$Q$1040,SUBSTITUTE(SUBSTITUTE(SUBSTITUTE($M799,"~","~~"),"*","~*"),"?","~?"),'DEF_SELF_SCOUT_IMPORT'!$F$42:$F$1040,SUBSTITUTE(SUBSTITUTE(SUBSTITUTE($N799,"~","~~"),"*","~*"),"?","~?"),'DEF_SELF_SCOUT_IMPORT'!$G$42:$G$1040,SUBSTITUTE(SUBSTITUTE(SUBSTITUTE($O799,"~","~~"),"*","~*"),"?","~?"),'DEF_SELF_SCOUT_IMPORT'!$H$42:$H$1040,"DROPBACK")/$C799)</f>
        <v>0.0</v>
      </c>
      <c r="I799" s="14" t="str">
        <f>IF(C799=0,"",IF(C799&lt;=2,"TRACK",IF(C799=3,"LOW",IF(C799&lt;=6,"MEDIUM","HIGH"))))</f>
        <v>TRACK</v>
      </c>
      <c r="J799" s="11">
        <f>IF(C799=0,"",ROUND(D799*70+(1-E799)*20+MAX(0,MIN(1,(10-F799)/10))*10,1))</f>
        <v>26.0</v>
      </c>
      <c r="K799" s="14" t="str">
        <f>IF(C799=0,"No Evidence",IF(C799&lt;=2,IF(E799&gt;0,"Explosive Alert","Track Only"),IF(C799=3,"Sample Watch",IF(E799&gt;=START_HERE!$B$31,"Explosive Alert",IF(J799&gt;=80,"Strong Candidate",IF(J799&gt;=65,"Good Candidate",IF(J799&gt;=50,"Mixed / Review","Problem Call")))))))</f>
        <v>Track Only</v>
      </c>
      <c r="L799" s="9" t="str">
        <f>IF(COUNTIFS('DEF_SELF_SCOUT_IMPORT'!$L$42:$L$1040,"Y",'DEF_SELF_SCOUT_IMPORT'!$E$42:$E$1040,SUBSTITUTE(SUBSTITUTE(SUBSTITUTE($B799,"~","~~"),"*","~*"),"?","~?"),'DEF_SELF_SCOUT_IMPORT'!$Q$42:$Q$1040,SUBSTITUTE(SUBSTITUTE(SUBSTITUTE($M799,"~","~~"),"*","~*"),"?","~?"),'DEF_SELF_SCOUT_IMPORT'!$F$42:$F$1040,SUBSTITUTE(SUBSTITUTE(SUBSTITUTE($N799,"~","~~"),"*","~*"),"?","~?"),'DEF_SELF_SCOUT_IMPORT'!$G$42:$G$1040,SUBSTITUTE(SUBSTITUTE(SUBSTITUTE($O799,"~","~~"),"*","~*"),"?","~?"),'DEF_SELF_SCOUT_IMPORT'!$J$42:$J$1040,"")&gt;0,"Unscored clean outcome; review result tags before using score.",IF(C799=0,"No matching defensive reps; film confirmation needed.",IF(K799="Explosive Alert","Explosive risk; review clips before using as answer.",IF(C799&lt;=2,"Track only; not enough sample.",IF(C799=3,IF(E799&gt;0,"Sample watch with explosive exposure; review clips and build the sample.",IF(J799&gt;=65,"Good signal, but sample is limited.","Sample watch; review clips and build the sample.")),IF(K799="Problem Call","Problem area; practice or call-sheet review.",IF(K799="Strong Candidate","Strong call-fit candidate; confirm on film.",IF(K799="Good Candidate","Good call-fit signal; confirm on film.","Mixed signal; review fit and execution on film."))))))))</f>
        <v>Track only; not enough sample.</v>
      </c>
      <c r="M799" s="8" t="s">
        <v>115</v>
      </c>
      <c r="N799" s="8" t="s">
        <v>123</v>
      </c>
      <c r="O799" s="8" t="s">
        <v>203</v>
      </c>
      <c r="P799" s="8"/>
      <c r="Q799" s="8"/>
      <c r="R799" s="8" t="s">
        <v>28</v>
      </c>
      <c r="S799" s="2" t="s">
        <v>423</v>
      </c>
      <c r="T799" s="2">
        <f>IF(C799=0,0,IF(C799&gt;=CALL_LOOKUP_BOARD!$B$7,IF(OR(K799="Problem Call",K799="Explosive Alert"),10000000,20000000),0)+IF(C799&gt;=CALL_LOOKUP_BOARD!$B$7,J799*1000+MIN(C799,999),C799*1000+J799)+0.00978900)</f>
        <v>1026.009789</v>
      </c>
      <c r="U799" s="2">
        <f>IF(C799=0,"",IF(COUNTIFS($S$589:$S$803,SUBSTITUTE(SUBSTITUTE(SUBSTITUTE(S799,"~","~~"),"*","~*"),"?","~?"),$T$589:$T$803,"&gt;"&amp;T799)=0,S799,""))</f>
        <v/>
      </c>
    </row>
    <row r="800" spans="1:21" ht="38" customHeight="1">
      <c r="A800" s="8" t="s">
        <v>422</v>
      </c>
      <c r="B800" s="8" t="s">
        <v>54</v>
      </c>
      <c r="C800" s="12">
        <f>COUNTIFS('DEF_SELF_SCOUT_IMPORT'!$L$42:$L$1040,"Y",'DEF_SELF_SCOUT_IMPORT'!$E$42:$E$1040,SUBSTITUTE(SUBSTITUTE(SUBSTITUTE($B800,"~","~~"),"*","~*"),"?","~?"),'DEF_SELF_SCOUT_IMPORT'!$Q$42:$Q$1040,SUBSTITUTE(SUBSTITUTE(SUBSTITUTE($M800,"~","~~"),"*","~*"),"?","~?"),'DEF_SELF_SCOUT_IMPORT'!$F$42:$F$1040,SUBSTITUTE(SUBSTITUTE(SUBSTITUTE($N800,"~","~~"),"*","~*"),"?","~?"),'DEF_SELF_SCOUT_IMPORT'!$G$42:$G$1040,SUBSTITUTE(SUBSTITUTE(SUBSTITUTE($O800,"~","~~"),"*","~*"),"?","~?"))</f>
        <v>1</v>
      </c>
      <c r="D800" s="10">
        <f>IF($C800=0,"",SUMIFS('DEF_SELF_SCOUT_IMPORT'!$J$42:$J$1040,'DEF_SELF_SCOUT_IMPORT'!$L$42:$L$1040,"Y",'DEF_SELF_SCOUT_IMPORT'!$E$42:$E$1040,SUBSTITUTE(SUBSTITUTE(SUBSTITUTE($B800,"~","~~"),"*","~*"),"?","~?"),'DEF_SELF_SCOUT_IMPORT'!$Q$42:$Q$1040,SUBSTITUTE(SUBSTITUTE(SUBSTITUTE($M800,"~","~~"),"*","~*"),"?","~?"),'DEF_SELF_SCOUT_IMPORT'!$F$42:$F$1040,SUBSTITUTE(SUBSTITUTE(SUBSTITUTE($N800,"~","~~"),"*","~*"),"?","~?"),'DEF_SELF_SCOUT_IMPORT'!$G$42:$G$1040,SUBSTITUTE(SUBSTITUTE(SUBSTITUTE($O800,"~","~~"),"*","~*"),"?","~?"))/$C800)</f>
        <v>0.0</v>
      </c>
      <c r="E800" s="10">
        <f>IF($C800=0,"",SUMIFS('DEF_SELF_SCOUT_IMPORT'!$K$42:$K$1040,'DEF_SELF_SCOUT_IMPORT'!$L$42:$L$1040,"Y",'DEF_SELF_SCOUT_IMPORT'!$E$42:$E$1040,SUBSTITUTE(SUBSTITUTE(SUBSTITUTE($B800,"~","~~"),"*","~*"),"?","~?"),'DEF_SELF_SCOUT_IMPORT'!$Q$42:$Q$1040,SUBSTITUTE(SUBSTITUTE(SUBSTITUTE($M800,"~","~~"),"*","~*"),"?","~?"),'DEF_SELF_SCOUT_IMPORT'!$F$42:$F$1040,SUBSTITUTE(SUBSTITUTE(SUBSTITUTE($N800,"~","~~"),"*","~*"),"?","~?"),'DEF_SELF_SCOUT_IMPORT'!$G$42:$G$1040,SUBSTITUTE(SUBSTITUTE(SUBSTITUTE($O800,"~","~~"),"*","~*"),"?","~?"))/$C800)</f>
        <v>0.0</v>
      </c>
      <c r="F800" s="11">
        <f>IF($C800=0,"",AVERAGEIFS('DEF_SELF_SCOUT_IMPORT'!$I$42:$I$1040,'DEF_SELF_SCOUT_IMPORT'!$L$42:$L$1040,"Y",'DEF_SELF_SCOUT_IMPORT'!$E$42:$E$1040,SUBSTITUTE(SUBSTITUTE(SUBSTITUTE($B800,"~","~~"),"*","~*"),"?","~?"),'DEF_SELF_SCOUT_IMPORT'!$Q$42:$Q$1040,SUBSTITUTE(SUBSTITUTE(SUBSTITUTE($M800,"~","~~"),"*","~*"),"?","~?"),'DEF_SELF_SCOUT_IMPORT'!$F$42:$F$1040,SUBSTITUTE(SUBSTITUTE(SUBSTITUTE($N800,"~","~~"),"*","~*"),"?","~?"),'DEF_SELF_SCOUT_IMPORT'!$G$42:$G$1040,SUBSTITUTE(SUBSTITUTE(SUBSTITUTE($O800,"~","~~"),"*","~*"),"?","~?")))</f>
        <v>6.0</v>
      </c>
      <c r="G800" s="10">
        <f>IF($C800=0,"",COUNTIFS('DEF_SELF_SCOUT_IMPORT'!$L$42:$L$1040,"Y",'DEF_SELF_SCOUT_IMPORT'!$E$42:$E$1040,SUBSTITUTE(SUBSTITUTE(SUBSTITUTE($B800,"~","~~"),"*","~*"),"?","~?"),'DEF_SELF_SCOUT_IMPORT'!$Q$42:$Q$1040,SUBSTITUTE(SUBSTITUTE(SUBSTITUTE($M800,"~","~~"),"*","~*"),"?","~?"),'DEF_SELF_SCOUT_IMPORT'!$F$42:$F$1040,SUBSTITUTE(SUBSTITUTE(SUBSTITUTE($N800,"~","~~"),"*","~*"),"?","~?"),'DEF_SELF_SCOUT_IMPORT'!$G$42:$G$1040,SUBSTITUTE(SUBSTITUTE(SUBSTITUTE($O800,"~","~~"),"*","~*"),"?","~?"),'DEF_SELF_SCOUT_IMPORT'!$H$42:$H$1040,"RUSH")/$C800)</f>
        <v>1.0</v>
      </c>
      <c r="H800" s="10">
        <f>IF($C800=0,"",COUNTIFS('DEF_SELF_SCOUT_IMPORT'!$L$42:$L$1040,"Y",'DEF_SELF_SCOUT_IMPORT'!$E$42:$E$1040,SUBSTITUTE(SUBSTITUTE(SUBSTITUTE($B800,"~","~~"),"*","~*"),"?","~?"),'DEF_SELF_SCOUT_IMPORT'!$Q$42:$Q$1040,SUBSTITUTE(SUBSTITUTE(SUBSTITUTE($M800,"~","~~"),"*","~*"),"?","~?"),'DEF_SELF_SCOUT_IMPORT'!$F$42:$F$1040,SUBSTITUTE(SUBSTITUTE(SUBSTITUTE($N800,"~","~~"),"*","~*"),"?","~?"),'DEF_SELF_SCOUT_IMPORT'!$G$42:$G$1040,SUBSTITUTE(SUBSTITUTE(SUBSTITUTE($O800,"~","~~"),"*","~*"),"?","~?"),'DEF_SELF_SCOUT_IMPORT'!$H$42:$H$1040,"DROPBACK")/$C800)</f>
        <v>0.0</v>
      </c>
      <c r="I800" s="14" t="str">
        <f>IF(C800=0,"",IF(C800&lt;=2,"TRACK",IF(C800=3,"LOW",IF(C800&lt;=6,"MEDIUM","HIGH"))))</f>
        <v>TRACK</v>
      </c>
      <c r="J800" s="11">
        <f>IF(C800=0,"",ROUND(D800*70+(1-E800)*20+MAX(0,MIN(1,(10-F800)/10))*10,1))</f>
        <v>24.0</v>
      </c>
      <c r="K800" s="14" t="str">
        <f>IF(C800=0,"No Evidence",IF(C800&lt;=2,IF(E800&gt;0,"Explosive Alert","Track Only"),IF(C800=3,"Sample Watch",IF(E800&gt;=START_HERE!$B$31,"Explosive Alert",IF(J800&gt;=80,"Strong Candidate",IF(J800&gt;=65,"Good Candidate",IF(J800&gt;=50,"Mixed / Review","Problem Call")))))))</f>
        <v>Track Only</v>
      </c>
      <c r="L800" s="9" t="str">
        <f>IF(COUNTIFS('DEF_SELF_SCOUT_IMPORT'!$L$42:$L$1040,"Y",'DEF_SELF_SCOUT_IMPORT'!$E$42:$E$1040,SUBSTITUTE(SUBSTITUTE(SUBSTITUTE($B800,"~","~~"),"*","~*"),"?","~?"),'DEF_SELF_SCOUT_IMPORT'!$Q$42:$Q$1040,SUBSTITUTE(SUBSTITUTE(SUBSTITUTE($M800,"~","~~"),"*","~*"),"?","~?"),'DEF_SELF_SCOUT_IMPORT'!$F$42:$F$1040,SUBSTITUTE(SUBSTITUTE(SUBSTITUTE($N800,"~","~~"),"*","~*"),"?","~?"),'DEF_SELF_SCOUT_IMPORT'!$G$42:$G$1040,SUBSTITUTE(SUBSTITUTE(SUBSTITUTE($O800,"~","~~"),"*","~*"),"?","~?"),'DEF_SELF_SCOUT_IMPORT'!$J$42:$J$1040,"")&gt;0,"Unscored clean outcome; review result tags before using score.",IF(C800=0,"No matching defensive reps; film confirmation needed.",IF(K800="Explosive Alert","Explosive risk; review clips before using as answer.",IF(C800&lt;=2,"Track only; not enough sample.",IF(C800=3,IF(E800&gt;0,"Sample watch with explosive exposure; review clips and build the sample.",IF(J800&gt;=65,"Good signal, but sample is limited.","Sample watch; review clips and build the sample.")),IF(K800="Problem Call","Problem area; practice or call-sheet review.",IF(K800="Strong Candidate","Strong call-fit candidate; confirm on film.",IF(K800="Good Candidate","Good call-fit signal; confirm on film.","Mixed signal; review fit and execution on film."))))))))</f>
        <v>Track only; not enough sample.</v>
      </c>
      <c r="M800" s="8" t="s">
        <v>115</v>
      </c>
      <c r="N800" s="8" t="s">
        <v>123</v>
      </c>
      <c r="O800" s="8" t="s">
        <v>203</v>
      </c>
      <c r="P800" s="8"/>
      <c r="Q800" s="8"/>
      <c r="R800" s="8" t="s">
        <v>28</v>
      </c>
      <c r="S800" s="2" t="s">
        <v>423</v>
      </c>
      <c r="T800" s="2">
        <f>IF(C800=0,0,IF(C800&gt;=CALL_LOOKUP_BOARD!$B$7,IF(OR(K800="Problem Call",K800="Explosive Alert"),10000000,20000000),0)+IF(C800&gt;=CALL_LOOKUP_BOARD!$B$7,J800*1000+MIN(C800,999),C800*1000+J800)+0.00978800)</f>
        <v>1024.009788</v>
      </c>
      <c r="U800" s="2">
        <f>IF(C800=0,"",IF(COUNTIFS($S$589:$S$803,SUBSTITUTE(SUBSTITUTE(SUBSTITUTE(S800,"~","~~"),"*","~*"),"?","~?"),$T$589:$T$803,"&gt;"&amp;T800)=0,S800,""))</f>
        <v/>
      </c>
    </row>
    <row r="801" spans="1:21" ht="38" customHeight="1">
      <c r="A801" s="8" t="s">
        <v>422</v>
      </c>
      <c r="B801" s="8" t="s">
        <v>117</v>
      </c>
      <c r="C801" s="12">
        <f>COUNTIFS('DEF_SELF_SCOUT_IMPORT'!$L$42:$L$1040,"Y",'DEF_SELF_SCOUT_IMPORT'!$E$42:$E$1040,SUBSTITUTE(SUBSTITUTE(SUBSTITUTE($B801,"~","~~"),"*","~*"),"?","~?"),'DEF_SELF_SCOUT_IMPORT'!$Q$42:$Q$1040,SUBSTITUTE(SUBSTITUTE(SUBSTITUTE($M801,"~","~~"),"*","~*"),"?","~?"),'DEF_SELF_SCOUT_IMPORT'!$F$42:$F$1040,SUBSTITUTE(SUBSTITUTE(SUBSTITUTE($N801,"~","~~"),"*","~*"),"?","~?"),'DEF_SELF_SCOUT_IMPORT'!$G$42:$G$1040,SUBSTITUTE(SUBSTITUTE(SUBSTITUTE($O801,"~","~~"),"*","~*"),"?","~?"))</f>
        <v>1</v>
      </c>
      <c r="D801" s="10">
        <f>IF($C801=0,"",SUMIFS('DEF_SELF_SCOUT_IMPORT'!$J$42:$J$1040,'DEF_SELF_SCOUT_IMPORT'!$L$42:$L$1040,"Y",'DEF_SELF_SCOUT_IMPORT'!$E$42:$E$1040,SUBSTITUTE(SUBSTITUTE(SUBSTITUTE($B801,"~","~~"),"*","~*"),"?","~?"),'DEF_SELF_SCOUT_IMPORT'!$Q$42:$Q$1040,SUBSTITUTE(SUBSTITUTE(SUBSTITUTE($M801,"~","~~"),"*","~*"),"?","~?"),'DEF_SELF_SCOUT_IMPORT'!$F$42:$F$1040,SUBSTITUTE(SUBSTITUTE(SUBSTITUTE($N801,"~","~~"),"*","~*"),"?","~?"),'DEF_SELF_SCOUT_IMPORT'!$G$42:$G$1040,SUBSTITUTE(SUBSTITUTE(SUBSTITUTE($O801,"~","~~"),"*","~*"),"?","~?"))/$C801)</f>
        <v>0.0</v>
      </c>
      <c r="E801" s="10">
        <f>IF($C801=0,"",SUMIFS('DEF_SELF_SCOUT_IMPORT'!$K$42:$K$1040,'DEF_SELF_SCOUT_IMPORT'!$L$42:$L$1040,"Y",'DEF_SELF_SCOUT_IMPORT'!$E$42:$E$1040,SUBSTITUTE(SUBSTITUTE(SUBSTITUTE($B801,"~","~~"),"*","~*"),"?","~?"),'DEF_SELF_SCOUT_IMPORT'!$Q$42:$Q$1040,SUBSTITUTE(SUBSTITUTE(SUBSTITUTE($M801,"~","~~"),"*","~*"),"?","~?"),'DEF_SELF_SCOUT_IMPORT'!$F$42:$F$1040,SUBSTITUTE(SUBSTITUTE(SUBSTITUTE($N801,"~","~~"),"*","~*"),"?","~?"),'DEF_SELF_SCOUT_IMPORT'!$G$42:$G$1040,SUBSTITUTE(SUBSTITUTE(SUBSTITUTE($O801,"~","~~"),"*","~*"),"?","~?"))/$C801)</f>
        <v>1.0</v>
      </c>
      <c r="F801" s="11">
        <f>IF($C801=0,"",AVERAGEIFS('DEF_SELF_SCOUT_IMPORT'!$I$42:$I$1040,'DEF_SELF_SCOUT_IMPORT'!$L$42:$L$1040,"Y",'DEF_SELF_SCOUT_IMPORT'!$E$42:$E$1040,SUBSTITUTE(SUBSTITUTE(SUBSTITUTE($B801,"~","~~"),"*","~*"),"?","~?"),'DEF_SELF_SCOUT_IMPORT'!$Q$42:$Q$1040,SUBSTITUTE(SUBSTITUTE(SUBSTITUTE($M801,"~","~~"),"*","~*"),"?","~?"),'DEF_SELF_SCOUT_IMPORT'!$F$42:$F$1040,SUBSTITUTE(SUBSTITUTE(SUBSTITUTE($N801,"~","~~"),"*","~*"),"?","~?"),'DEF_SELF_SCOUT_IMPORT'!$G$42:$G$1040,SUBSTITUTE(SUBSTITUTE(SUBSTITUTE($O801,"~","~~"),"*","~*"),"?","~?")))</f>
        <v>16.0</v>
      </c>
      <c r="G801" s="10">
        <f>IF($C801=0,"",COUNTIFS('DEF_SELF_SCOUT_IMPORT'!$L$42:$L$1040,"Y",'DEF_SELF_SCOUT_IMPORT'!$E$42:$E$1040,SUBSTITUTE(SUBSTITUTE(SUBSTITUTE($B801,"~","~~"),"*","~*"),"?","~?"),'DEF_SELF_SCOUT_IMPORT'!$Q$42:$Q$1040,SUBSTITUTE(SUBSTITUTE(SUBSTITUTE($M801,"~","~~"),"*","~*"),"?","~?"),'DEF_SELF_SCOUT_IMPORT'!$F$42:$F$1040,SUBSTITUTE(SUBSTITUTE(SUBSTITUTE($N801,"~","~~"),"*","~*"),"?","~?"),'DEF_SELF_SCOUT_IMPORT'!$G$42:$G$1040,SUBSTITUTE(SUBSTITUTE(SUBSTITUTE($O801,"~","~~"),"*","~*"),"?","~?"),'DEF_SELF_SCOUT_IMPORT'!$H$42:$H$1040,"RUSH")/$C801)</f>
        <v>0.0</v>
      </c>
      <c r="H801" s="10">
        <f>IF($C801=0,"",COUNTIFS('DEF_SELF_SCOUT_IMPORT'!$L$42:$L$1040,"Y",'DEF_SELF_SCOUT_IMPORT'!$E$42:$E$1040,SUBSTITUTE(SUBSTITUTE(SUBSTITUTE($B801,"~","~~"),"*","~*"),"?","~?"),'DEF_SELF_SCOUT_IMPORT'!$Q$42:$Q$1040,SUBSTITUTE(SUBSTITUTE(SUBSTITUTE($M801,"~","~~"),"*","~*"),"?","~?"),'DEF_SELF_SCOUT_IMPORT'!$F$42:$F$1040,SUBSTITUTE(SUBSTITUTE(SUBSTITUTE($N801,"~","~~"),"*","~*"),"?","~?"),'DEF_SELF_SCOUT_IMPORT'!$G$42:$G$1040,SUBSTITUTE(SUBSTITUTE(SUBSTITUTE($O801,"~","~~"),"*","~*"),"?","~?"),'DEF_SELF_SCOUT_IMPORT'!$H$42:$H$1040,"DROPBACK")/$C801)</f>
        <v>1.0</v>
      </c>
      <c r="I801" s="14" t="str">
        <f>IF(C801=0,"",IF(C801&lt;=2,"TRACK",IF(C801=3,"LOW",IF(C801&lt;=6,"MEDIUM","HIGH"))))</f>
        <v>TRACK</v>
      </c>
      <c r="J801" s="11">
        <f>IF(C801=0,"",ROUND(D801*70+(1-E801)*20+MAX(0,MIN(1,(10-F801)/10))*10,1))</f>
        <v>0.0</v>
      </c>
      <c r="K801" s="14" t="str">
        <f>IF(C801=0,"No Evidence",IF(C801&lt;=2,IF(E801&gt;0,"Explosive Alert","Track Only"),IF(C801=3,"Sample Watch",IF(E801&gt;=START_HERE!$B$31,"Explosive Alert",IF(J801&gt;=80,"Strong Candidate",IF(J801&gt;=65,"Good Candidate",IF(J801&gt;=50,"Mixed / Review","Problem Call")))))))</f>
        <v>Explosive Alert</v>
      </c>
      <c r="L801" s="9" t="str">
        <f>IF(COUNTIFS('DEF_SELF_SCOUT_IMPORT'!$L$42:$L$1040,"Y",'DEF_SELF_SCOUT_IMPORT'!$E$42:$E$1040,SUBSTITUTE(SUBSTITUTE(SUBSTITUTE($B801,"~","~~"),"*","~*"),"?","~?"),'DEF_SELF_SCOUT_IMPORT'!$Q$42:$Q$1040,SUBSTITUTE(SUBSTITUTE(SUBSTITUTE($M801,"~","~~"),"*","~*"),"?","~?"),'DEF_SELF_SCOUT_IMPORT'!$F$42:$F$1040,SUBSTITUTE(SUBSTITUTE(SUBSTITUTE($N801,"~","~~"),"*","~*"),"?","~?"),'DEF_SELF_SCOUT_IMPORT'!$G$42:$G$1040,SUBSTITUTE(SUBSTITUTE(SUBSTITUTE($O801,"~","~~"),"*","~*"),"?","~?"),'DEF_SELF_SCOUT_IMPORT'!$J$42:$J$1040,"")&gt;0,"Unscored clean outcome; review result tags before using score.",IF(C801=0,"No matching defensive reps; film confirmation needed.",IF(K801="Explosive Alert","Explosive risk; review clips before using as answer.",IF(C801&lt;=2,"Track only; not enough sample.",IF(C801=3,IF(E801&gt;0,"Sample watch with explosive exposure; review clips and build the sample.",IF(J801&gt;=65,"Good signal, but sample is limited.","Sample watch; review clips and build the sample.")),IF(K801="Problem Call","Problem area; practice or call-sheet review.",IF(K801="Strong Candidate","Strong call-fit candidate; confirm on film.",IF(K801="Good Candidate","Good call-fit signal; confirm on film.","Mixed signal; review fit and execution on film."))))))))</f>
        <v>Explosive risk; review clips before using as answer.</v>
      </c>
      <c r="M801" s="8" t="s">
        <v>115</v>
      </c>
      <c r="N801" s="8" t="s">
        <v>123</v>
      </c>
      <c r="O801" s="8" t="s">
        <v>203</v>
      </c>
      <c r="P801" s="8"/>
      <c r="Q801" s="8"/>
      <c r="R801" s="8" t="s">
        <v>28</v>
      </c>
      <c r="S801" s="2" t="s">
        <v>423</v>
      </c>
      <c r="T801" s="2">
        <f>IF(C801=0,0,IF(C801&gt;=CALL_LOOKUP_BOARD!$B$7,IF(OR(K801="Problem Call",K801="Explosive Alert"),10000000,20000000),0)+IF(C801&gt;=CALL_LOOKUP_BOARD!$B$7,J801*1000+MIN(C801,999),C801*1000+J801)+0.00978700)</f>
        <v>1000.009787</v>
      </c>
      <c r="U801" s="2">
        <f>IF(C801=0,"",IF(COUNTIFS($S$589:$S$803,SUBSTITUTE(SUBSTITUTE(SUBSTITUTE(S801,"~","~~"),"*","~*"),"?","~?"),$T$589:$T$803,"&gt;"&amp;T801)=0,S801,""))</f>
        <v/>
      </c>
    </row>
    <row r="802" spans="1:21" ht="38" customHeight="1">
      <c r="A802" s="8" t="s">
        <v>424</v>
      </c>
      <c r="B802" s="8" t="s">
        <v>51</v>
      </c>
      <c r="C802" s="12">
        <f>COUNTIFS('DEF_SELF_SCOUT_IMPORT'!$L$42:$L$1040,"Y",'DEF_SELF_SCOUT_IMPORT'!$E$42:$E$1040,SUBSTITUTE(SUBSTITUTE(SUBSTITUTE($B802,"~","~~"),"*","~*"),"?","~?"),'DEF_SELF_SCOUT_IMPORT'!$Q$42:$Q$1040,SUBSTITUTE(SUBSTITUTE(SUBSTITUTE($M802,"~","~~"),"*","~*"),"?","~?"),'DEF_SELF_SCOUT_IMPORT'!$F$42:$F$1040,SUBSTITUTE(SUBSTITUTE(SUBSTITUTE($N802,"~","~~"),"*","~*"),"?","~?"),'DEF_SELF_SCOUT_IMPORT'!$G$42:$G$1040,SUBSTITUTE(SUBSTITUTE(SUBSTITUTE($O802,"~","~~"),"*","~*"),"?","~?"))</f>
        <v>1</v>
      </c>
      <c r="D802" s="10">
        <f>IF($C802=0,"",SUMIFS('DEF_SELF_SCOUT_IMPORT'!$J$42:$J$1040,'DEF_SELF_SCOUT_IMPORT'!$L$42:$L$1040,"Y",'DEF_SELF_SCOUT_IMPORT'!$E$42:$E$1040,SUBSTITUTE(SUBSTITUTE(SUBSTITUTE($B802,"~","~~"),"*","~*"),"?","~?"),'DEF_SELF_SCOUT_IMPORT'!$Q$42:$Q$1040,SUBSTITUTE(SUBSTITUTE(SUBSTITUTE($M802,"~","~~"),"*","~*"),"?","~?"),'DEF_SELF_SCOUT_IMPORT'!$F$42:$F$1040,SUBSTITUTE(SUBSTITUTE(SUBSTITUTE($N802,"~","~~"),"*","~*"),"?","~?"),'DEF_SELF_SCOUT_IMPORT'!$G$42:$G$1040,SUBSTITUTE(SUBSTITUTE(SUBSTITUTE($O802,"~","~~"),"*","~*"),"?","~?"))/$C802)</f>
        <v>0.0</v>
      </c>
      <c r="E802" s="10">
        <f>IF($C802=0,"",SUMIFS('DEF_SELF_SCOUT_IMPORT'!$K$42:$K$1040,'DEF_SELF_SCOUT_IMPORT'!$L$42:$L$1040,"Y",'DEF_SELF_SCOUT_IMPORT'!$E$42:$E$1040,SUBSTITUTE(SUBSTITUTE(SUBSTITUTE($B802,"~","~~"),"*","~*"),"?","~?"),'DEF_SELF_SCOUT_IMPORT'!$Q$42:$Q$1040,SUBSTITUTE(SUBSTITUTE(SUBSTITUTE($M802,"~","~~"),"*","~*"),"?","~?"),'DEF_SELF_SCOUT_IMPORT'!$F$42:$F$1040,SUBSTITUTE(SUBSTITUTE(SUBSTITUTE($N802,"~","~~"),"*","~*"),"?","~?"),'DEF_SELF_SCOUT_IMPORT'!$G$42:$G$1040,SUBSTITUTE(SUBSTITUTE(SUBSTITUTE($O802,"~","~~"),"*","~*"),"?","~?"))/$C802)</f>
        <v>0.0</v>
      </c>
      <c r="F802" s="11">
        <f>IF($C802=0,"",AVERAGEIFS('DEF_SELF_SCOUT_IMPORT'!$I$42:$I$1040,'DEF_SELF_SCOUT_IMPORT'!$L$42:$L$1040,"Y",'DEF_SELF_SCOUT_IMPORT'!$E$42:$E$1040,SUBSTITUTE(SUBSTITUTE(SUBSTITUTE($B802,"~","~~"),"*","~*"),"?","~?"),'DEF_SELF_SCOUT_IMPORT'!$Q$42:$Q$1040,SUBSTITUTE(SUBSTITUTE(SUBSTITUTE($M802,"~","~~"),"*","~*"),"?","~?"),'DEF_SELF_SCOUT_IMPORT'!$F$42:$F$1040,SUBSTITUTE(SUBSTITUTE(SUBSTITUTE($N802,"~","~~"),"*","~*"),"?","~?"),'DEF_SELF_SCOUT_IMPORT'!$G$42:$G$1040,SUBSTITUTE(SUBSTITUTE(SUBSTITUTE($O802,"~","~~"),"*","~*"),"?","~?")))</f>
        <v>14.0</v>
      </c>
      <c r="G802" s="10">
        <f>IF($C802=0,"",COUNTIFS('DEF_SELF_SCOUT_IMPORT'!$L$42:$L$1040,"Y",'DEF_SELF_SCOUT_IMPORT'!$E$42:$E$1040,SUBSTITUTE(SUBSTITUTE(SUBSTITUTE($B802,"~","~~"),"*","~*"),"?","~?"),'DEF_SELF_SCOUT_IMPORT'!$Q$42:$Q$1040,SUBSTITUTE(SUBSTITUTE(SUBSTITUTE($M802,"~","~~"),"*","~*"),"?","~?"),'DEF_SELF_SCOUT_IMPORT'!$F$42:$F$1040,SUBSTITUTE(SUBSTITUTE(SUBSTITUTE($N802,"~","~~"),"*","~*"),"?","~?"),'DEF_SELF_SCOUT_IMPORT'!$G$42:$G$1040,SUBSTITUTE(SUBSTITUTE(SUBSTITUTE($O802,"~","~~"),"*","~*"),"?","~?"),'DEF_SELF_SCOUT_IMPORT'!$H$42:$H$1040,"RUSH")/$C802)</f>
        <v>0.0</v>
      </c>
      <c r="H802" s="10">
        <f>IF($C802=0,"",COUNTIFS('DEF_SELF_SCOUT_IMPORT'!$L$42:$L$1040,"Y",'DEF_SELF_SCOUT_IMPORT'!$E$42:$E$1040,SUBSTITUTE(SUBSTITUTE(SUBSTITUTE($B802,"~","~~"),"*","~*"),"?","~?"),'DEF_SELF_SCOUT_IMPORT'!$Q$42:$Q$1040,SUBSTITUTE(SUBSTITUTE(SUBSTITUTE($M802,"~","~~"),"*","~*"),"?","~?"),'DEF_SELF_SCOUT_IMPORT'!$F$42:$F$1040,SUBSTITUTE(SUBSTITUTE(SUBSTITUTE($N802,"~","~~"),"*","~*"),"?","~?"),'DEF_SELF_SCOUT_IMPORT'!$G$42:$G$1040,SUBSTITUTE(SUBSTITUTE(SUBSTITUTE($O802,"~","~~"),"*","~*"),"?","~?"),'DEF_SELF_SCOUT_IMPORT'!$H$42:$H$1040,"DROPBACK")/$C802)</f>
        <v>1.0</v>
      </c>
      <c r="I802" s="14" t="str">
        <f>IF(C802=0,"",IF(C802&lt;=2,"TRACK",IF(C802=3,"LOW",IF(C802&lt;=6,"MEDIUM","HIGH"))))</f>
        <v>TRACK</v>
      </c>
      <c r="J802" s="11">
        <f>IF(C802=0,"",ROUND(D802*70+(1-E802)*20+MAX(0,MIN(1,(10-F802)/10))*10,1))</f>
        <v>20.0</v>
      </c>
      <c r="K802" s="14" t="str">
        <f>IF(C802=0,"No Evidence",IF(C802&lt;=2,IF(E802&gt;0,"Explosive Alert","Track Only"),IF(C802=3,"Sample Watch",IF(E802&gt;=START_HERE!$B$31,"Explosive Alert",IF(J802&gt;=80,"Strong Candidate",IF(J802&gt;=65,"Good Candidate",IF(J802&gt;=50,"Mixed / Review","Problem Call")))))))</f>
        <v>Track Only</v>
      </c>
      <c r="L802" s="9" t="str">
        <f>IF(COUNTIFS('DEF_SELF_SCOUT_IMPORT'!$L$42:$L$1040,"Y",'DEF_SELF_SCOUT_IMPORT'!$E$42:$E$1040,SUBSTITUTE(SUBSTITUTE(SUBSTITUTE($B802,"~","~~"),"*","~*"),"?","~?"),'DEF_SELF_SCOUT_IMPORT'!$Q$42:$Q$1040,SUBSTITUTE(SUBSTITUTE(SUBSTITUTE($M802,"~","~~"),"*","~*"),"?","~?"),'DEF_SELF_SCOUT_IMPORT'!$F$42:$F$1040,SUBSTITUTE(SUBSTITUTE(SUBSTITUTE($N802,"~","~~"),"*","~*"),"?","~?"),'DEF_SELF_SCOUT_IMPORT'!$G$42:$G$1040,SUBSTITUTE(SUBSTITUTE(SUBSTITUTE($O802,"~","~~"),"*","~*"),"?","~?"),'DEF_SELF_SCOUT_IMPORT'!$J$42:$J$1040,"")&gt;0,"Unscored clean outcome; review result tags before using score.",IF(C802=0,"No matching defensive reps; film confirmation needed.",IF(K802="Explosive Alert","Explosive risk; review clips before using as answer.",IF(C802&lt;=2,"Track only; not enough sample.",IF(C802=3,IF(E802&gt;0,"Sample watch with explosive exposure; review clips and build the sample.",IF(J802&gt;=65,"Good signal, but sample is limited.","Sample watch; review clips and build the sample.")),IF(K802="Problem Call","Problem area; practice or call-sheet review.",IF(K802="Strong Candidate","Strong call-fit candidate; confirm on film.",IF(K802="Good Candidate","Good call-fit signal; confirm on film.","Mixed signal; review fit and execution on film."))))))))</f>
        <v>Track only; not enough sample.</v>
      </c>
      <c r="M802" s="8" t="s">
        <v>115</v>
      </c>
      <c r="N802" s="8" t="s">
        <v>123</v>
      </c>
      <c r="O802" s="8" t="s">
        <v>206</v>
      </c>
      <c r="P802" s="8"/>
      <c r="Q802" s="8"/>
      <c r="R802" s="8" t="s">
        <v>28</v>
      </c>
      <c r="S802" s="2" t="s">
        <v>425</v>
      </c>
      <c r="T802" s="2">
        <f>IF(C802=0,0,IF(C802&gt;=CALL_LOOKUP_BOARD!$B$7,IF(OR(K802="Problem Call",K802="Explosive Alert"),10000000,20000000),0)+IF(C802&gt;=CALL_LOOKUP_BOARD!$B$7,J802*1000+MIN(C802,999),C802*1000+J802)+0.00978600)</f>
        <v>1020.009786</v>
      </c>
      <c r="U802" s="2">
        <f>IF(C802=0,"",IF(COUNTIFS($S$589:$S$803,SUBSTITUTE(SUBSTITUTE(SUBSTITUTE(S802,"~","~~"),"*","~*"),"?","~?"),$T$589:$T$803,"&gt;"&amp;T802)=0,S802,""))</f>
        <v/>
      </c>
    </row>
    <row r="803" spans="1:21" ht="38" customHeight="1">
      <c r="A803" s="8" t="s">
        <v>424</v>
      </c>
      <c r="B803" s="8" t="s">
        <v>52</v>
      </c>
      <c r="C803" s="12">
        <f>COUNTIFS('DEF_SELF_SCOUT_IMPORT'!$L$42:$L$1040,"Y",'DEF_SELF_SCOUT_IMPORT'!$E$42:$E$1040,SUBSTITUTE(SUBSTITUTE(SUBSTITUTE($B803,"~","~~"),"*","~*"),"?","~?"),'DEF_SELF_SCOUT_IMPORT'!$Q$42:$Q$1040,SUBSTITUTE(SUBSTITUTE(SUBSTITUTE($M803,"~","~~"),"*","~*"),"?","~?"),'DEF_SELF_SCOUT_IMPORT'!$F$42:$F$1040,SUBSTITUTE(SUBSTITUTE(SUBSTITUTE($N803,"~","~~"),"*","~*"),"?","~?"),'DEF_SELF_SCOUT_IMPORT'!$G$42:$G$1040,SUBSTITUTE(SUBSTITUTE(SUBSTITUTE($O803,"~","~~"),"*","~*"),"?","~?"))</f>
        <v>2</v>
      </c>
      <c r="D803" s="10">
        <f>IF($C803=0,"",SUMIFS('DEF_SELF_SCOUT_IMPORT'!$J$42:$J$1040,'DEF_SELF_SCOUT_IMPORT'!$L$42:$L$1040,"Y",'DEF_SELF_SCOUT_IMPORT'!$E$42:$E$1040,SUBSTITUTE(SUBSTITUTE(SUBSTITUTE($B803,"~","~~"),"*","~*"),"?","~?"),'DEF_SELF_SCOUT_IMPORT'!$Q$42:$Q$1040,SUBSTITUTE(SUBSTITUTE(SUBSTITUTE($M803,"~","~~"),"*","~*"),"?","~?"),'DEF_SELF_SCOUT_IMPORT'!$F$42:$F$1040,SUBSTITUTE(SUBSTITUTE(SUBSTITUTE($N803,"~","~~"),"*","~*"),"?","~?"),'DEF_SELF_SCOUT_IMPORT'!$G$42:$G$1040,SUBSTITUTE(SUBSTITUTE(SUBSTITUTE($O803,"~","~~"),"*","~*"),"?","~?"))/$C803)</f>
        <v>0.5</v>
      </c>
      <c r="E803" s="10">
        <f>IF($C803=0,"",SUMIFS('DEF_SELF_SCOUT_IMPORT'!$K$42:$K$1040,'DEF_SELF_SCOUT_IMPORT'!$L$42:$L$1040,"Y",'DEF_SELF_SCOUT_IMPORT'!$E$42:$E$1040,SUBSTITUTE(SUBSTITUTE(SUBSTITUTE($B803,"~","~~"),"*","~*"),"?","~?"),'DEF_SELF_SCOUT_IMPORT'!$Q$42:$Q$1040,SUBSTITUTE(SUBSTITUTE(SUBSTITUTE($M803,"~","~~"),"*","~*"),"?","~?"),'DEF_SELF_SCOUT_IMPORT'!$F$42:$F$1040,SUBSTITUTE(SUBSTITUTE(SUBSTITUTE($N803,"~","~~"),"*","~*"),"?","~?"),'DEF_SELF_SCOUT_IMPORT'!$G$42:$G$1040,SUBSTITUTE(SUBSTITUTE(SUBSTITUTE($O803,"~","~~"),"*","~*"),"?","~?"))/$C803)</f>
        <v>0.0</v>
      </c>
      <c r="F803" s="11">
        <f>IF($C803=0,"",AVERAGEIFS('DEF_SELF_SCOUT_IMPORT'!$I$42:$I$1040,'DEF_SELF_SCOUT_IMPORT'!$L$42:$L$1040,"Y",'DEF_SELF_SCOUT_IMPORT'!$E$42:$E$1040,SUBSTITUTE(SUBSTITUTE(SUBSTITUTE($B803,"~","~~"),"*","~*"),"?","~?"),'DEF_SELF_SCOUT_IMPORT'!$Q$42:$Q$1040,SUBSTITUTE(SUBSTITUTE(SUBSTITUTE($M803,"~","~~"),"*","~*"),"?","~?"),'DEF_SELF_SCOUT_IMPORT'!$F$42:$F$1040,SUBSTITUTE(SUBSTITUTE(SUBSTITUTE($N803,"~","~~"),"*","~*"),"?","~?"),'DEF_SELF_SCOUT_IMPORT'!$G$42:$G$1040,SUBSTITUTE(SUBSTITUTE(SUBSTITUTE($O803,"~","~~"),"*","~*"),"?","~?")))</f>
        <v>-1.0</v>
      </c>
      <c r="G803" s="10">
        <f>IF($C803=0,"",COUNTIFS('DEF_SELF_SCOUT_IMPORT'!$L$42:$L$1040,"Y",'DEF_SELF_SCOUT_IMPORT'!$E$42:$E$1040,SUBSTITUTE(SUBSTITUTE(SUBSTITUTE($B803,"~","~~"),"*","~*"),"?","~?"),'DEF_SELF_SCOUT_IMPORT'!$Q$42:$Q$1040,SUBSTITUTE(SUBSTITUTE(SUBSTITUTE($M803,"~","~~"),"*","~*"),"?","~?"),'DEF_SELF_SCOUT_IMPORT'!$F$42:$F$1040,SUBSTITUTE(SUBSTITUTE(SUBSTITUTE($N803,"~","~~"),"*","~*"),"?","~?"),'DEF_SELF_SCOUT_IMPORT'!$G$42:$G$1040,SUBSTITUTE(SUBSTITUTE(SUBSTITUTE($O803,"~","~~"),"*","~*"),"?","~?"),'DEF_SELF_SCOUT_IMPORT'!$H$42:$H$1040,"RUSH")/$C803)</f>
        <v>0.5</v>
      </c>
      <c r="H803" s="10">
        <f>IF($C803=0,"",COUNTIFS('DEF_SELF_SCOUT_IMPORT'!$L$42:$L$1040,"Y",'DEF_SELF_SCOUT_IMPORT'!$E$42:$E$1040,SUBSTITUTE(SUBSTITUTE(SUBSTITUTE($B803,"~","~~"),"*","~*"),"?","~?"),'DEF_SELF_SCOUT_IMPORT'!$Q$42:$Q$1040,SUBSTITUTE(SUBSTITUTE(SUBSTITUTE($M803,"~","~~"),"*","~*"),"?","~?"),'DEF_SELF_SCOUT_IMPORT'!$F$42:$F$1040,SUBSTITUTE(SUBSTITUTE(SUBSTITUTE($N803,"~","~~"),"*","~*"),"?","~?"),'DEF_SELF_SCOUT_IMPORT'!$G$42:$G$1040,SUBSTITUTE(SUBSTITUTE(SUBSTITUTE($O803,"~","~~"),"*","~*"),"?","~?"),'DEF_SELF_SCOUT_IMPORT'!$H$42:$H$1040,"DROPBACK")/$C803)</f>
        <v>0.5</v>
      </c>
      <c r="I803" s="14" t="str">
        <f>IF(C803=0,"",IF(C803&lt;=2,"TRACK",IF(C803=3,"LOW",IF(C803&lt;=6,"MEDIUM","HIGH"))))</f>
        <v>TRACK</v>
      </c>
      <c r="J803" s="11">
        <f>IF(C803=0,"",ROUND(D803*70+(1-E803)*20+MAX(0,MIN(1,(10-F803)/10))*10,1))</f>
        <v>65.0</v>
      </c>
      <c r="K803" s="14" t="str">
        <f>IF(C803=0,"No Evidence",IF(C803&lt;=2,IF(E803&gt;0,"Explosive Alert","Track Only"),IF(C803=3,"Sample Watch",IF(E803&gt;=START_HERE!$B$31,"Explosive Alert",IF(J803&gt;=80,"Strong Candidate",IF(J803&gt;=65,"Good Candidate",IF(J803&gt;=50,"Mixed / Review","Problem Call")))))))</f>
        <v>Track Only</v>
      </c>
      <c r="L803" s="9" t="str">
        <f>IF(COUNTIFS('DEF_SELF_SCOUT_IMPORT'!$L$42:$L$1040,"Y",'DEF_SELF_SCOUT_IMPORT'!$E$42:$E$1040,SUBSTITUTE(SUBSTITUTE(SUBSTITUTE($B803,"~","~~"),"*","~*"),"?","~?"),'DEF_SELF_SCOUT_IMPORT'!$Q$42:$Q$1040,SUBSTITUTE(SUBSTITUTE(SUBSTITUTE($M803,"~","~~"),"*","~*"),"?","~?"),'DEF_SELF_SCOUT_IMPORT'!$F$42:$F$1040,SUBSTITUTE(SUBSTITUTE(SUBSTITUTE($N803,"~","~~"),"*","~*"),"?","~?"),'DEF_SELF_SCOUT_IMPORT'!$G$42:$G$1040,SUBSTITUTE(SUBSTITUTE(SUBSTITUTE($O803,"~","~~"),"*","~*"),"?","~?"),'DEF_SELF_SCOUT_IMPORT'!$J$42:$J$1040,"")&gt;0,"Unscored clean outcome; review result tags before using score.",IF(C803=0,"No matching defensive reps; film confirmation needed.",IF(K803="Explosive Alert","Explosive risk; review clips before using as answer.",IF(C803&lt;=2,"Track only; not enough sample.",IF(C803=3,IF(E803&gt;0,"Sample watch with explosive exposure; review clips and build the sample.",IF(J803&gt;=65,"Good signal, but sample is limited.","Sample watch; review clips and build the sample.")),IF(K803="Problem Call","Problem area; practice or call-sheet review.",IF(K803="Strong Candidate","Strong call-fit candidate; confirm on film.",IF(K803="Good Candidate","Good call-fit signal; confirm on film.","Mixed signal; review fit and execution on film."))))))))</f>
        <v>Track only; not enough sample.</v>
      </c>
      <c r="M803" s="8" t="s">
        <v>115</v>
      </c>
      <c r="N803" s="8" t="s">
        <v>123</v>
      </c>
      <c r="O803" s="8" t="s">
        <v>206</v>
      </c>
      <c r="P803" s="8"/>
      <c r="Q803" s="8"/>
      <c r="R803" s="8" t="s">
        <v>28</v>
      </c>
      <c r="S803" s="2" t="s">
        <v>425</v>
      </c>
      <c r="T803" s="2">
        <f>IF(C803=0,0,IF(C803&gt;=CALL_LOOKUP_BOARD!$B$7,IF(OR(K803="Problem Call",K803="Explosive Alert"),10000000,20000000),0)+IF(C803&gt;=CALL_LOOKUP_BOARD!$B$7,J803*1000+MIN(C803,999),C803*1000+J803)+0.00978500)</f>
        <v>2065.009785</v>
      </c>
      <c r="U803" s="2" t="str">
        <f>IF(C803=0,"",IF(COUNTIFS($S$589:$S$803,SUBSTITUTE(SUBSTITUTE(SUBSTITUTE(S803,"~","~~"),"*","~*"),"?","~?"),$T$589:$T$803,"&gt;"&amp;T803)=0,S803,""))</f>
        <v>4:P&amp;10|2:12|3:3X1|</v>
      </c>
    </row>
    <row r="808" spans="1:21" ht="27" customHeight="1">
      <c r="A808" s="5" t="s">
        <v>426</v>
      </c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spans="1:21" ht="36" customHeight="1">
      <c r="A809" s="9" t="s">
        <v>7</v>
      </c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spans="1:21" ht="46" customHeight="1">
      <c r="A810" s="6" t="s">
        <v>8</v>
      </c>
      <c r="B810" s="6" t="s">
        <v>9</v>
      </c>
      <c r="C810" s="6" t="s">
        <v>10</v>
      </c>
      <c r="D810" s="6" t="s">
        <v>11</v>
      </c>
      <c r="E810" s="6" t="s">
        <v>12</v>
      </c>
      <c r="F810" s="6" t="s">
        <v>13</v>
      </c>
      <c r="G810" s="6" t="s">
        <v>14</v>
      </c>
      <c r="H810" s="6" t="s">
        <v>15</v>
      </c>
      <c r="I810" s="6" t="s">
        <v>16</v>
      </c>
      <c r="J810" s="6" t="s">
        <v>17</v>
      </c>
      <c r="K810" s="6" t="s">
        <v>18</v>
      </c>
      <c r="L810" s="6" t="s">
        <v>19</v>
      </c>
      <c r="M810" s="6" t="s">
        <v>20</v>
      </c>
      <c r="N810" s="6" t="s">
        <v>21</v>
      </c>
      <c r="O810" s="6" t="s">
        <v>22</v>
      </c>
      <c r="P810" s="6" t="s">
        <v>23</v>
      </c>
      <c r="Q810" s="6" t="s">
        <v>24</v>
      </c>
      <c r="R810" s="6" t="s">
        <v>25</v>
      </c>
    </row>
    <row r="811" spans="1:21" ht="38" customHeight="1">
      <c r="A811" s="8" t="s">
        <v>427</v>
      </c>
      <c r="B811" s="8" t="s">
        <v>27</v>
      </c>
      <c r="C811" s="12">
        <f>COUNTIFS('DEF_SELF_SCOUT_IMPORT'!$L$42:$L$1040,"Y",'DEF_SELF_SCOUT_IMPORT'!$E$42:$E$1040,SUBSTITUTE(SUBSTITUTE(SUBSTITUTE($B811,"~","~~"),"*","~*"),"?","~?"),'DEF_SELF_SCOUT_IMPORT'!$Q$42:$Q$1040,SUBSTITUTE(SUBSTITUTE(SUBSTITUTE($M811,"~","~~"),"*","~*"),"?","~?"),'DEF_SELF_SCOUT_IMPORT'!$D$42:$D$1040,SUBSTITUTE(SUBSTITUTE(SUBSTITUTE($P811,"~","~~"),"*","~*"),"?","~?"))</f>
        <v>1</v>
      </c>
      <c r="D811" s="10">
        <f>IF($C811=0,"",SUMIFS('DEF_SELF_SCOUT_IMPORT'!$J$42:$J$1040,'DEF_SELF_SCOUT_IMPORT'!$L$42:$L$1040,"Y",'DEF_SELF_SCOUT_IMPORT'!$E$42:$E$1040,SUBSTITUTE(SUBSTITUTE(SUBSTITUTE($B811,"~","~~"),"*","~*"),"?","~?"),'DEF_SELF_SCOUT_IMPORT'!$Q$42:$Q$1040,SUBSTITUTE(SUBSTITUTE(SUBSTITUTE($M811,"~","~~"),"*","~*"),"?","~?"),'DEF_SELF_SCOUT_IMPORT'!$D$42:$D$1040,SUBSTITUTE(SUBSTITUTE(SUBSTITUTE($P811,"~","~~"),"*","~*"),"?","~?"))/$C811)</f>
        <v>0.0</v>
      </c>
      <c r="E811" s="10">
        <f>IF($C811=0,"",SUMIFS('DEF_SELF_SCOUT_IMPORT'!$K$42:$K$1040,'DEF_SELF_SCOUT_IMPORT'!$L$42:$L$1040,"Y",'DEF_SELF_SCOUT_IMPORT'!$E$42:$E$1040,SUBSTITUTE(SUBSTITUTE(SUBSTITUTE($B811,"~","~~"),"*","~*"),"?","~?"),'DEF_SELF_SCOUT_IMPORT'!$Q$42:$Q$1040,SUBSTITUTE(SUBSTITUTE(SUBSTITUTE($M811,"~","~~"),"*","~*"),"?","~?"),'DEF_SELF_SCOUT_IMPORT'!$D$42:$D$1040,SUBSTITUTE(SUBSTITUTE(SUBSTITUTE($P811,"~","~~"),"*","~*"),"?","~?"))/$C811)</f>
        <v>0.0</v>
      </c>
      <c r="F811" s="11">
        <f>IF($C811=0,"",AVERAGEIFS('DEF_SELF_SCOUT_IMPORT'!$I$42:$I$1040,'DEF_SELF_SCOUT_IMPORT'!$L$42:$L$1040,"Y",'DEF_SELF_SCOUT_IMPORT'!$E$42:$E$1040,SUBSTITUTE(SUBSTITUTE(SUBSTITUTE($B811,"~","~~"),"*","~*"),"?","~?"),'DEF_SELF_SCOUT_IMPORT'!$Q$42:$Q$1040,SUBSTITUTE(SUBSTITUTE(SUBSTITUTE($M811,"~","~~"),"*","~*"),"?","~?"),'DEF_SELF_SCOUT_IMPORT'!$D$42:$D$1040,SUBSTITUTE(SUBSTITUTE(SUBSTITUTE($P811,"~","~~"),"*","~*"),"?","~?")))</f>
        <v>1.0</v>
      </c>
      <c r="G811" s="10">
        <f>IF($C811=0,"",COUNTIFS('DEF_SELF_SCOUT_IMPORT'!$L$42:$L$1040,"Y",'DEF_SELF_SCOUT_IMPORT'!$E$42:$E$1040,SUBSTITUTE(SUBSTITUTE(SUBSTITUTE($B811,"~","~~"),"*","~*"),"?","~?"),'DEF_SELF_SCOUT_IMPORT'!$Q$42:$Q$1040,SUBSTITUTE(SUBSTITUTE(SUBSTITUTE($M811,"~","~~"),"*","~*"),"?","~?"),'DEF_SELF_SCOUT_IMPORT'!$D$42:$D$1040,SUBSTITUTE(SUBSTITUTE(SUBSTITUTE($P811,"~","~~"),"*","~*"),"?","~?"),'DEF_SELF_SCOUT_IMPORT'!$H$42:$H$1040,"RUSH")/$C811)</f>
        <v>0.0</v>
      </c>
      <c r="H811" s="10">
        <f>IF($C811=0,"",COUNTIFS('DEF_SELF_SCOUT_IMPORT'!$L$42:$L$1040,"Y",'DEF_SELF_SCOUT_IMPORT'!$E$42:$E$1040,SUBSTITUTE(SUBSTITUTE(SUBSTITUTE($B811,"~","~~"),"*","~*"),"?","~?"),'DEF_SELF_SCOUT_IMPORT'!$Q$42:$Q$1040,SUBSTITUTE(SUBSTITUTE(SUBSTITUTE($M811,"~","~~"),"*","~*"),"?","~?"),'DEF_SELF_SCOUT_IMPORT'!$D$42:$D$1040,SUBSTITUTE(SUBSTITUTE(SUBSTITUTE($P811,"~","~~"),"*","~*"),"?","~?"),'DEF_SELF_SCOUT_IMPORT'!$H$42:$H$1040,"DROPBACK")/$C811)</f>
        <v>0.0</v>
      </c>
      <c r="I811" s="14" t="str">
        <f>IF(C811=0,"",IF(C811&lt;=2,"TRACK",IF(C811=3,"LOW",IF(C811&lt;=6,"MEDIUM","HIGH"))))</f>
        <v>TRACK</v>
      </c>
      <c r="J811" s="11">
        <f>IF(C811=0,"",ROUND(D811*70+(1-E811)*20+MAX(0,MIN(1,(10-F811)/10))*10,1))</f>
        <v>29.0</v>
      </c>
      <c r="K811" s="14" t="str">
        <f>IF(C811=0,"No Evidence",IF(C811&lt;=2,IF(E811&gt;0,"Explosive Alert","Track Only"),IF(C811=3,"Sample Watch",IF(E811&gt;=START_HERE!$B$31,"Explosive Alert",IF(J811&gt;=80,"Strong Candidate",IF(J811&gt;=65,"Good Candidate",IF(J811&gt;=50,"Mixed / Review","Problem Call")))))))</f>
        <v>Track Only</v>
      </c>
      <c r="L811" s="9" t="str">
        <f>IF(COUNTIFS('DEF_SELF_SCOUT_IMPORT'!$L$42:$L$1040,"Y",'DEF_SELF_SCOUT_IMPORT'!$E$42:$E$1040,SUBSTITUTE(SUBSTITUTE(SUBSTITUTE($B811,"~","~~"),"*","~*"),"?","~?"),'DEF_SELF_SCOUT_IMPORT'!$Q$42:$Q$1040,SUBSTITUTE(SUBSTITUTE(SUBSTITUTE($M811,"~","~~"),"*","~*"),"?","~?"),'DEF_SELF_SCOUT_IMPORT'!$D$42:$D$1040,SUBSTITUTE(SUBSTITUTE(SUBSTITUTE($P811,"~","~~"),"*","~*"),"?","~?"),'DEF_SELF_SCOUT_IMPORT'!$J$42:$J$1040,"")&gt;0,"Unscored clean outcome; review result tags before using score.",IF(C811=0,"No matching defensive reps; film confirmation needed.",IF(K811="Explosive Alert","Explosive risk; review clips before using as answer.",IF(C811&lt;=2,"Track only; not enough sample.",IF(C811=3,IF(E811&gt;0,"Sample watch with explosive exposure; review clips and build the sample.",IF(J811&gt;=65,"Good signal, but sample is limited.","Sample watch; review clips and build the sample.")),IF(K811="Problem Call","Problem area; practice or call-sheet review.",IF(K811="Strong Candidate","Strong call-fit candidate; confirm on film.",IF(K811="Good Candidate","Good call-fit signal; confirm on film.","Mixed signal; review fit and execution on film."))))))))</f>
        <v>Track only; not enough sample.</v>
      </c>
      <c r="M811" s="8" t="s">
        <v>26</v>
      </c>
      <c r="N811" s="8"/>
      <c r="O811" s="8"/>
      <c r="P811" s="8" t="s">
        <v>428</v>
      </c>
      <c r="Q811" s="8"/>
      <c r="R811" s="8" t="s">
        <v>429</v>
      </c>
      <c r="S811" s="2" t="s">
        <v>430</v>
      </c>
      <c r="T811" s="2">
        <f>IF(C811=0,0,IF(C811&gt;=CALL_LOOKUP_BOARD!$B$7,IF(OR(K811="Problem Call",K811="Explosive Alert"),10000000,20000000),0)+IF(C811&gt;=CALL_LOOKUP_BOARD!$B$7,J811*1000+MIN(C811,999),C811*1000+J811)+0.00999900)</f>
        <v>1029.009999</v>
      </c>
      <c r="U811" s="2">
        <f>IF(C811=0,"",IF(COUNTIFS($S$811:$S$1055,SUBSTITUTE(SUBSTITUTE(SUBSTITUTE(S811,"~","~~"),"*","~*"),"?","~?"),$T$811:$T$1055,"&gt;"&amp;T811)=0,S811,""))</f>
        <v/>
      </c>
    </row>
    <row r="812" spans="1:21" ht="38" customHeight="1">
      <c r="A812" s="8" t="s">
        <v>427</v>
      </c>
      <c r="B812" s="8" t="s">
        <v>30</v>
      </c>
      <c r="C812" s="12">
        <f>COUNTIFS('DEF_SELF_SCOUT_IMPORT'!$L$42:$L$1040,"Y",'DEF_SELF_SCOUT_IMPORT'!$E$42:$E$1040,SUBSTITUTE(SUBSTITUTE(SUBSTITUTE($B812,"~","~~"),"*","~*"),"?","~?"),'DEF_SELF_SCOUT_IMPORT'!$Q$42:$Q$1040,SUBSTITUTE(SUBSTITUTE(SUBSTITUTE($M812,"~","~~"),"*","~*"),"?","~?"),'DEF_SELF_SCOUT_IMPORT'!$D$42:$D$1040,SUBSTITUTE(SUBSTITUTE(SUBSTITUTE($P812,"~","~~"),"*","~*"),"?","~?"))</f>
        <v>2</v>
      </c>
      <c r="D812" s="10">
        <f>IF($C812=0,"",SUMIFS('DEF_SELF_SCOUT_IMPORT'!$J$42:$J$1040,'DEF_SELF_SCOUT_IMPORT'!$L$42:$L$1040,"Y",'DEF_SELF_SCOUT_IMPORT'!$E$42:$E$1040,SUBSTITUTE(SUBSTITUTE(SUBSTITUTE($B812,"~","~~"),"*","~*"),"?","~?"),'DEF_SELF_SCOUT_IMPORT'!$Q$42:$Q$1040,SUBSTITUTE(SUBSTITUTE(SUBSTITUTE($M812,"~","~~"),"*","~*"),"?","~?"),'DEF_SELF_SCOUT_IMPORT'!$D$42:$D$1040,SUBSTITUTE(SUBSTITUTE(SUBSTITUTE($P812,"~","~~"),"*","~*"),"?","~?"))/$C812)</f>
        <v>1.0</v>
      </c>
      <c r="E812" s="10">
        <f>IF($C812=0,"",SUMIFS('DEF_SELF_SCOUT_IMPORT'!$K$42:$K$1040,'DEF_SELF_SCOUT_IMPORT'!$L$42:$L$1040,"Y",'DEF_SELF_SCOUT_IMPORT'!$E$42:$E$1040,SUBSTITUTE(SUBSTITUTE(SUBSTITUTE($B812,"~","~~"),"*","~*"),"?","~?"),'DEF_SELF_SCOUT_IMPORT'!$Q$42:$Q$1040,SUBSTITUTE(SUBSTITUTE(SUBSTITUTE($M812,"~","~~"),"*","~*"),"?","~?"),'DEF_SELF_SCOUT_IMPORT'!$D$42:$D$1040,SUBSTITUTE(SUBSTITUTE(SUBSTITUTE($P812,"~","~~"),"*","~*"),"?","~?"))/$C812)</f>
        <v>0.0</v>
      </c>
      <c r="F812" s="11">
        <f>IF($C812=0,"",AVERAGEIFS('DEF_SELF_SCOUT_IMPORT'!$I$42:$I$1040,'DEF_SELF_SCOUT_IMPORT'!$L$42:$L$1040,"Y",'DEF_SELF_SCOUT_IMPORT'!$E$42:$E$1040,SUBSTITUTE(SUBSTITUTE(SUBSTITUTE($B812,"~","~~"),"*","~*"),"?","~?"),'DEF_SELF_SCOUT_IMPORT'!$Q$42:$Q$1040,SUBSTITUTE(SUBSTITUTE(SUBSTITUTE($M812,"~","~~"),"*","~*"),"?","~?"),'DEF_SELF_SCOUT_IMPORT'!$D$42:$D$1040,SUBSTITUTE(SUBSTITUTE(SUBSTITUTE($P812,"~","~~"),"*","~*"),"?","~?")))</f>
        <v>1.5</v>
      </c>
      <c r="G812" s="10">
        <f>IF($C812=0,"",COUNTIFS('DEF_SELF_SCOUT_IMPORT'!$L$42:$L$1040,"Y",'DEF_SELF_SCOUT_IMPORT'!$E$42:$E$1040,SUBSTITUTE(SUBSTITUTE(SUBSTITUTE($B812,"~","~~"),"*","~*"),"?","~?"),'DEF_SELF_SCOUT_IMPORT'!$Q$42:$Q$1040,SUBSTITUTE(SUBSTITUTE(SUBSTITUTE($M812,"~","~~"),"*","~*"),"?","~?"),'DEF_SELF_SCOUT_IMPORT'!$D$42:$D$1040,SUBSTITUTE(SUBSTITUTE(SUBSTITUTE($P812,"~","~~"),"*","~*"),"?","~?"),'DEF_SELF_SCOUT_IMPORT'!$H$42:$H$1040,"RUSH")/$C812)</f>
        <v>1.0</v>
      </c>
      <c r="H812" s="10">
        <f>IF($C812=0,"",COUNTIFS('DEF_SELF_SCOUT_IMPORT'!$L$42:$L$1040,"Y",'DEF_SELF_SCOUT_IMPORT'!$E$42:$E$1040,SUBSTITUTE(SUBSTITUTE(SUBSTITUTE($B812,"~","~~"),"*","~*"),"?","~?"),'DEF_SELF_SCOUT_IMPORT'!$Q$42:$Q$1040,SUBSTITUTE(SUBSTITUTE(SUBSTITUTE($M812,"~","~~"),"*","~*"),"?","~?"),'DEF_SELF_SCOUT_IMPORT'!$D$42:$D$1040,SUBSTITUTE(SUBSTITUTE(SUBSTITUTE($P812,"~","~~"),"*","~*"),"?","~?"),'DEF_SELF_SCOUT_IMPORT'!$H$42:$H$1040,"DROPBACK")/$C812)</f>
        <v>0.0</v>
      </c>
      <c r="I812" s="14" t="str">
        <f>IF(C812=0,"",IF(C812&lt;=2,"TRACK",IF(C812=3,"LOW",IF(C812&lt;=6,"MEDIUM","HIGH"))))</f>
        <v>TRACK</v>
      </c>
      <c r="J812" s="11">
        <f>IF(C812=0,"",ROUND(D812*70+(1-E812)*20+MAX(0,MIN(1,(10-F812)/10))*10,1))</f>
        <v>98.5</v>
      </c>
      <c r="K812" s="14" t="str">
        <f>IF(C812=0,"No Evidence",IF(C812&lt;=2,IF(E812&gt;0,"Explosive Alert","Track Only"),IF(C812=3,"Sample Watch",IF(E812&gt;=START_HERE!$B$31,"Explosive Alert",IF(J812&gt;=80,"Strong Candidate",IF(J812&gt;=65,"Good Candidate",IF(J812&gt;=50,"Mixed / Review","Problem Call")))))))</f>
        <v>Track Only</v>
      </c>
      <c r="L812" s="9" t="str">
        <f>IF(COUNTIFS('DEF_SELF_SCOUT_IMPORT'!$L$42:$L$1040,"Y",'DEF_SELF_SCOUT_IMPORT'!$E$42:$E$1040,SUBSTITUTE(SUBSTITUTE(SUBSTITUTE($B812,"~","~~"),"*","~*"),"?","~?"),'DEF_SELF_SCOUT_IMPORT'!$Q$42:$Q$1040,SUBSTITUTE(SUBSTITUTE(SUBSTITUTE($M812,"~","~~"),"*","~*"),"?","~?"),'DEF_SELF_SCOUT_IMPORT'!$D$42:$D$1040,SUBSTITUTE(SUBSTITUTE(SUBSTITUTE($P812,"~","~~"),"*","~*"),"?","~?"),'DEF_SELF_SCOUT_IMPORT'!$J$42:$J$1040,"")&gt;0,"Unscored clean outcome; review result tags before using score.",IF(C812=0,"No matching defensive reps; film confirmation needed.",IF(K812="Explosive Alert","Explosive risk; review clips before using as answer.",IF(C812&lt;=2,"Track only; not enough sample.",IF(C812=3,IF(E812&gt;0,"Sample watch with explosive exposure; review clips and build the sample.",IF(J812&gt;=65,"Good signal, but sample is limited.","Sample watch; review clips and build the sample.")),IF(K812="Problem Call","Problem area; practice or call-sheet review.",IF(K812="Strong Candidate","Strong call-fit candidate; confirm on film.",IF(K812="Good Candidate","Good call-fit signal; confirm on film.","Mixed signal; review fit and execution on film."))))))))</f>
        <v>Track only; not enough sample.</v>
      </c>
      <c r="M812" s="8" t="s">
        <v>26</v>
      </c>
      <c r="N812" s="8"/>
      <c r="O812" s="8"/>
      <c r="P812" s="8" t="s">
        <v>428</v>
      </c>
      <c r="Q812" s="8"/>
      <c r="R812" s="8" t="s">
        <v>429</v>
      </c>
      <c r="S812" s="2" t="s">
        <v>430</v>
      </c>
      <c r="T812" s="2">
        <f>IF(C812=0,0,IF(C812&gt;=CALL_LOOKUP_BOARD!$B$7,IF(OR(K812="Problem Call",K812="Explosive Alert"),10000000,20000000),0)+IF(C812&gt;=CALL_LOOKUP_BOARD!$B$7,J812*1000+MIN(C812,999),C812*1000+J812)+0.00999800)</f>
        <v>2098.509998</v>
      </c>
      <c r="U812" s="2" t="str">
        <f>IF(C812=0,"",IF(COUNTIFS($S$811:$S$1055,SUBSTITUTE(SUBSTITUTE(SUBSTITUTE(S812,"~","~~"),"*","~*"),"?","~?"),$T$811:$T$1055,"&gt;"&amp;T812)=0,S812,""))</f>
        <v>6:1D 1-3|11:INSIDE ZONE|</v>
      </c>
    </row>
    <row r="813" spans="1:21" ht="38" customHeight="1">
      <c r="A813" s="8" t="s">
        <v>431</v>
      </c>
      <c r="B813" s="8" t="s">
        <v>32</v>
      </c>
      <c r="C813" s="12">
        <f>COUNTIFS('DEF_SELF_SCOUT_IMPORT'!$L$42:$L$1040,"Y",'DEF_SELF_SCOUT_IMPORT'!$E$42:$E$1040,SUBSTITUTE(SUBSTITUTE(SUBSTITUTE($B813,"~","~~"),"*","~*"),"?","~?"),'DEF_SELF_SCOUT_IMPORT'!$Q$42:$Q$1040,SUBSTITUTE(SUBSTITUTE(SUBSTITUTE($M813,"~","~~"),"*","~*"),"?","~?"),'DEF_SELF_SCOUT_IMPORT'!$D$42:$D$1040,SUBSTITUTE(SUBSTITUTE(SUBSTITUTE($P813,"~","~~"),"*","~*"),"?","~?"))</f>
        <v>1</v>
      </c>
      <c r="D813" s="10">
        <f>IF($C813=0,"",SUMIFS('DEF_SELF_SCOUT_IMPORT'!$J$42:$J$1040,'DEF_SELF_SCOUT_IMPORT'!$L$42:$L$1040,"Y",'DEF_SELF_SCOUT_IMPORT'!$E$42:$E$1040,SUBSTITUTE(SUBSTITUTE(SUBSTITUTE($B813,"~","~~"),"*","~*"),"?","~?"),'DEF_SELF_SCOUT_IMPORT'!$Q$42:$Q$1040,SUBSTITUTE(SUBSTITUTE(SUBSTITUTE($M813,"~","~~"),"*","~*"),"?","~?"),'DEF_SELF_SCOUT_IMPORT'!$D$42:$D$1040,SUBSTITUTE(SUBSTITUTE(SUBSTITUTE($P813,"~","~~"),"*","~*"),"?","~?"))/$C813)</f>
        <v>1.0</v>
      </c>
      <c r="E813" s="10">
        <f>IF($C813=0,"",SUMIFS('DEF_SELF_SCOUT_IMPORT'!$K$42:$K$1040,'DEF_SELF_SCOUT_IMPORT'!$L$42:$L$1040,"Y",'DEF_SELF_SCOUT_IMPORT'!$E$42:$E$1040,SUBSTITUTE(SUBSTITUTE(SUBSTITUTE($B813,"~","~~"),"*","~*"),"?","~?"),'DEF_SELF_SCOUT_IMPORT'!$Q$42:$Q$1040,SUBSTITUTE(SUBSTITUTE(SUBSTITUTE($M813,"~","~~"),"*","~*"),"?","~?"),'DEF_SELF_SCOUT_IMPORT'!$D$42:$D$1040,SUBSTITUTE(SUBSTITUTE(SUBSTITUTE($P813,"~","~~"),"*","~*"),"?","~?"))/$C813)</f>
        <v>0.0</v>
      </c>
      <c r="F813" s="11">
        <f>IF($C813=0,"",AVERAGEIFS('DEF_SELF_SCOUT_IMPORT'!$I$42:$I$1040,'DEF_SELF_SCOUT_IMPORT'!$L$42:$L$1040,"Y",'DEF_SELF_SCOUT_IMPORT'!$E$42:$E$1040,SUBSTITUTE(SUBSTITUTE(SUBSTITUTE($B813,"~","~~"),"*","~*"),"?","~?"),'DEF_SELF_SCOUT_IMPORT'!$Q$42:$Q$1040,SUBSTITUTE(SUBSTITUTE(SUBSTITUTE($M813,"~","~~"),"*","~*"),"?","~?"),'DEF_SELF_SCOUT_IMPORT'!$D$42:$D$1040,SUBSTITUTE(SUBSTITUTE(SUBSTITUTE($P813,"~","~~"),"*","~*"),"?","~?")))</f>
        <v>2.0</v>
      </c>
      <c r="G813" s="10">
        <f>IF($C813=0,"",COUNTIFS('DEF_SELF_SCOUT_IMPORT'!$L$42:$L$1040,"Y",'DEF_SELF_SCOUT_IMPORT'!$E$42:$E$1040,SUBSTITUTE(SUBSTITUTE(SUBSTITUTE($B813,"~","~~"),"*","~*"),"?","~?"),'DEF_SELF_SCOUT_IMPORT'!$Q$42:$Q$1040,SUBSTITUTE(SUBSTITUTE(SUBSTITUTE($M813,"~","~~"),"*","~*"),"?","~?"),'DEF_SELF_SCOUT_IMPORT'!$D$42:$D$1040,SUBSTITUTE(SUBSTITUTE(SUBSTITUTE($P813,"~","~~"),"*","~*"),"?","~?"),'DEF_SELF_SCOUT_IMPORT'!$H$42:$H$1040,"RUSH")/$C813)</f>
        <v>1.0</v>
      </c>
      <c r="H813" s="10">
        <f>IF($C813=0,"",COUNTIFS('DEF_SELF_SCOUT_IMPORT'!$L$42:$L$1040,"Y",'DEF_SELF_SCOUT_IMPORT'!$E$42:$E$1040,SUBSTITUTE(SUBSTITUTE(SUBSTITUTE($B813,"~","~~"),"*","~*"),"?","~?"),'DEF_SELF_SCOUT_IMPORT'!$Q$42:$Q$1040,SUBSTITUTE(SUBSTITUTE(SUBSTITUTE($M813,"~","~~"),"*","~*"),"?","~?"),'DEF_SELF_SCOUT_IMPORT'!$D$42:$D$1040,SUBSTITUTE(SUBSTITUTE(SUBSTITUTE($P813,"~","~~"),"*","~*"),"?","~?"),'DEF_SELF_SCOUT_IMPORT'!$H$42:$H$1040,"DROPBACK")/$C813)</f>
        <v>0.0</v>
      </c>
      <c r="I813" s="14" t="str">
        <f>IF(C813=0,"",IF(C813&lt;=2,"TRACK",IF(C813=3,"LOW",IF(C813&lt;=6,"MEDIUM","HIGH"))))</f>
        <v>TRACK</v>
      </c>
      <c r="J813" s="11">
        <f>IF(C813=0,"",ROUND(D813*70+(1-E813)*20+MAX(0,MIN(1,(10-F813)/10))*10,1))</f>
        <v>98.0</v>
      </c>
      <c r="K813" s="14" t="str">
        <f>IF(C813=0,"No Evidence",IF(C813&lt;=2,IF(E813&gt;0,"Explosive Alert","Track Only"),IF(C813=3,"Sample Watch",IF(E813&gt;=START_HERE!$B$31,"Explosive Alert",IF(J813&gt;=80,"Strong Candidate",IF(J813&gt;=65,"Good Candidate",IF(J813&gt;=50,"Mixed / Review","Problem Call")))))))</f>
        <v>Track Only</v>
      </c>
      <c r="L813" s="9" t="str">
        <f>IF(COUNTIFS('DEF_SELF_SCOUT_IMPORT'!$L$42:$L$1040,"Y",'DEF_SELF_SCOUT_IMPORT'!$E$42:$E$1040,SUBSTITUTE(SUBSTITUTE(SUBSTITUTE($B813,"~","~~"),"*","~*"),"?","~?"),'DEF_SELF_SCOUT_IMPORT'!$Q$42:$Q$1040,SUBSTITUTE(SUBSTITUTE(SUBSTITUTE($M813,"~","~~"),"*","~*"),"?","~?"),'DEF_SELF_SCOUT_IMPORT'!$D$42:$D$1040,SUBSTITUTE(SUBSTITUTE(SUBSTITUTE($P813,"~","~~"),"*","~*"),"?","~?"),'DEF_SELF_SCOUT_IMPORT'!$J$42:$J$1040,"")&gt;0,"Unscored clean outcome; review result tags before using score.",IF(C813=0,"No matching defensive reps; film confirmation needed.",IF(K813="Explosive Alert","Explosive risk; review clips before using as answer.",IF(C813&lt;=2,"Track only; not enough sample.",IF(C813=3,IF(E813&gt;0,"Sample watch with explosive exposure; review clips and build the sample.",IF(J813&gt;=65,"Good signal, but sample is limited.","Sample watch; review clips and build the sample.")),IF(K813="Problem Call","Problem area; practice or call-sheet review.",IF(K813="Strong Candidate","Strong call-fit candidate; confirm on film.",IF(K813="Good Candidate","Good call-fit signal; confirm on film.","Mixed signal; review fit and execution on film."))))))))</f>
        <v>Track only; not enough sample.</v>
      </c>
      <c r="M813" s="8" t="s">
        <v>31</v>
      </c>
      <c r="N813" s="8"/>
      <c r="O813" s="8"/>
      <c r="P813" s="8" t="s">
        <v>432</v>
      </c>
      <c r="Q813" s="8"/>
      <c r="R813" s="8" t="s">
        <v>429</v>
      </c>
      <c r="S813" s="2" t="s">
        <v>433</v>
      </c>
      <c r="T813" s="2">
        <f>IF(C813=0,0,IF(C813&gt;=CALL_LOOKUP_BOARD!$B$7,IF(OR(K813="Problem Call",K813="Explosive Alert"),10000000,20000000),0)+IF(C813&gt;=CALL_LOOKUP_BOARD!$B$7,J813*1000+MIN(C813,999),C813*1000+J813)+0.00999700)</f>
        <v>1098.009997</v>
      </c>
      <c r="U813" s="2" t="str">
        <f>IF(C813=0,"",IF(COUNTIFS($S$811:$S$1055,SUBSTITUTE(SUBSTITUTE(SUBSTITUTE(S813,"~","~~"),"*","~*"),"?","~?"),$T$811:$T$1055,"&gt;"&amp;T813)=0,S813,""))</f>
        <v>6:1D 11+|7:COUNTER|</v>
      </c>
    </row>
    <row r="814" spans="1:21" ht="38" customHeight="1">
      <c r="A814" s="8" t="s">
        <v>434</v>
      </c>
      <c r="B814" s="8" t="s">
        <v>35</v>
      </c>
      <c r="C814" s="12">
        <f>COUNTIFS('DEF_SELF_SCOUT_IMPORT'!$L$42:$L$1040,"Y",'DEF_SELF_SCOUT_IMPORT'!$E$42:$E$1040,SUBSTITUTE(SUBSTITUTE(SUBSTITUTE($B814,"~","~~"),"*","~*"),"?","~?"),'DEF_SELF_SCOUT_IMPORT'!$Q$42:$Q$1040,SUBSTITUTE(SUBSTITUTE(SUBSTITUTE($M814,"~","~~"),"*","~*"),"?","~?"),'DEF_SELF_SCOUT_IMPORT'!$D$42:$D$1040,SUBSTITUTE(SUBSTITUTE(SUBSTITUTE($P814,"~","~~"),"*","~*"),"?","~?"))</f>
        <v>1</v>
      </c>
      <c r="D814" s="10">
        <f>IF($C814=0,"",SUMIFS('DEF_SELF_SCOUT_IMPORT'!$J$42:$J$1040,'DEF_SELF_SCOUT_IMPORT'!$L$42:$L$1040,"Y",'DEF_SELF_SCOUT_IMPORT'!$E$42:$E$1040,SUBSTITUTE(SUBSTITUTE(SUBSTITUTE($B814,"~","~~"),"*","~*"),"?","~?"),'DEF_SELF_SCOUT_IMPORT'!$Q$42:$Q$1040,SUBSTITUTE(SUBSTITUTE(SUBSTITUTE($M814,"~","~~"),"*","~*"),"?","~?"),'DEF_SELF_SCOUT_IMPORT'!$D$42:$D$1040,SUBSTITUTE(SUBSTITUTE(SUBSTITUTE($P814,"~","~~"),"*","~*"),"?","~?"))/$C814)</f>
        <v>0.0</v>
      </c>
      <c r="E814" s="10">
        <f>IF($C814=0,"",SUMIFS('DEF_SELF_SCOUT_IMPORT'!$K$42:$K$1040,'DEF_SELF_SCOUT_IMPORT'!$L$42:$L$1040,"Y",'DEF_SELF_SCOUT_IMPORT'!$E$42:$E$1040,SUBSTITUTE(SUBSTITUTE(SUBSTITUTE($B814,"~","~~"),"*","~*"),"?","~?"),'DEF_SELF_SCOUT_IMPORT'!$Q$42:$Q$1040,SUBSTITUTE(SUBSTITUTE(SUBSTITUTE($M814,"~","~~"),"*","~*"),"?","~?"),'DEF_SELF_SCOUT_IMPORT'!$D$42:$D$1040,SUBSTITUTE(SUBSTITUTE(SUBSTITUTE($P814,"~","~~"),"*","~*"),"?","~?"))/$C814)</f>
        <v>0.0</v>
      </c>
      <c r="F814" s="11">
        <f>IF($C814=0,"",AVERAGEIFS('DEF_SELF_SCOUT_IMPORT'!$I$42:$I$1040,'DEF_SELF_SCOUT_IMPORT'!$L$42:$L$1040,"Y",'DEF_SELF_SCOUT_IMPORT'!$E$42:$E$1040,SUBSTITUTE(SUBSTITUTE(SUBSTITUTE($B814,"~","~~"),"*","~*"),"?","~?"),'DEF_SELF_SCOUT_IMPORT'!$Q$42:$Q$1040,SUBSTITUTE(SUBSTITUTE(SUBSTITUTE($M814,"~","~~"),"*","~*"),"?","~?"),'DEF_SELF_SCOUT_IMPORT'!$D$42:$D$1040,SUBSTITUTE(SUBSTITUTE(SUBSTITUTE($P814,"~","~~"),"*","~*"),"?","~?")))</f>
        <v>9.0</v>
      </c>
      <c r="G814" s="10">
        <f>IF($C814=0,"",COUNTIFS('DEF_SELF_SCOUT_IMPORT'!$L$42:$L$1040,"Y",'DEF_SELF_SCOUT_IMPORT'!$E$42:$E$1040,SUBSTITUTE(SUBSTITUTE(SUBSTITUTE($B814,"~","~~"),"*","~*"),"?","~?"),'DEF_SELF_SCOUT_IMPORT'!$Q$42:$Q$1040,SUBSTITUTE(SUBSTITUTE(SUBSTITUTE($M814,"~","~~"),"*","~*"),"?","~?"),'DEF_SELF_SCOUT_IMPORT'!$D$42:$D$1040,SUBSTITUTE(SUBSTITUTE(SUBSTITUTE($P814,"~","~~"),"*","~*"),"?","~?"),'DEF_SELF_SCOUT_IMPORT'!$H$42:$H$1040,"RUSH")/$C814)</f>
        <v>1.0</v>
      </c>
      <c r="H814" s="10">
        <f>IF($C814=0,"",COUNTIFS('DEF_SELF_SCOUT_IMPORT'!$L$42:$L$1040,"Y",'DEF_SELF_SCOUT_IMPORT'!$E$42:$E$1040,SUBSTITUTE(SUBSTITUTE(SUBSTITUTE($B814,"~","~~"),"*","~*"),"?","~?"),'DEF_SELF_SCOUT_IMPORT'!$Q$42:$Q$1040,SUBSTITUTE(SUBSTITUTE(SUBSTITUTE($M814,"~","~~"),"*","~*"),"?","~?"),'DEF_SELF_SCOUT_IMPORT'!$D$42:$D$1040,SUBSTITUTE(SUBSTITUTE(SUBSTITUTE($P814,"~","~~"),"*","~*"),"?","~?"),'DEF_SELF_SCOUT_IMPORT'!$H$42:$H$1040,"DROPBACK")/$C814)</f>
        <v>0.0</v>
      </c>
      <c r="I814" s="14" t="str">
        <f>IF(C814=0,"",IF(C814&lt;=2,"TRACK",IF(C814=3,"LOW",IF(C814&lt;=6,"MEDIUM","HIGH"))))</f>
        <v>TRACK</v>
      </c>
      <c r="J814" s="11">
        <f>IF(C814=0,"",ROUND(D814*70+(1-E814)*20+MAX(0,MIN(1,(10-F814)/10))*10,1))</f>
        <v>21.0</v>
      </c>
      <c r="K814" s="14" t="str">
        <f>IF(C814=0,"No Evidence",IF(C814&lt;=2,IF(E814&gt;0,"Explosive Alert","Track Only"),IF(C814=3,"Sample Watch",IF(E814&gt;=START_HERE!$B$31,"Explosive Alert",IF(J814&gt;=80,"Strong Candidate",IF(J814&gt;=65,"Good Candidate",IF(J814&gt;=50,"Mixed / Review","Problem Call")))))))</f>
        <v>Track Only</v>
      </c>
      <c r="L814" s="9" t="str">
        <f>IF(COUNTIFS('DEF_SELF_SCOUT_IMPORT'!$L$42:$L$1040,"Y",'DEF_SELF_SCOUT_IMPORT'!$E$42:$E$1040,SUBSTITUTE(SUBSTITUTE(SUBSTITUTE($B814,"~","~~"),"*","~*"),"?","~?"),'DEF_SELF_SCOUT_IMPORT'!$Q$42:$Q$1040,SUBSTITUTE(SUBSTITUTE(SUBSTITUTE($M814,"~","~~"),"*","~*"),"?","~?"),'DEF_SELF_SCOUT_IMPORT'!$D$42:$D$1040,SUBSTITUTE(SUBSTITUTE(SUBSTITUTE($P814,"~","~~"),"*","~*"),"?","~?"),'DEF_SELF_SCOUT_IMPORT'!$J$42:$J$1040,"")&gt;0,"Unscored clean outcome; review result tags before using score.",IF(C814=0,"No matching defensive reps; film confirmation needed.",IF(K814="Explosive Alert","Explosive risk; review clips before using as answer.",IF(C814&lt;=2,"Track only; not enough sample.",IF(C814=3,IF(E814&gt;0,"Sample watch with explosive exposure; review clips and build the sample.",IF(J814&gt;=65,"Good signal, but sample is limited.","Sample watch; review clips and build the sample.")),IF(K814="Problem Call","Problem area; practice or call-sheet review.",IF(K814="Strong Candidate","Strong call-fit candidate; confirm on film.",IF(K814="Good Candidate","Good call-fit signal; confirm on film.","Mixed signal; review fit and execution on film."))))))))</f>
        <v>Track only; not enough sample.</v>
      </c>
      <c r="M814" s="8" t="s">
        <v>31</v>
      </c>
      <c r="N814" s="8"/>
      <c r="O814" s="8"/>
      <c r="P814" s="8" t="s">
        <v>435</v>
      </c>
      <c r="Q814" s="8"/>
      <c r="R814" s="8" t="s">
        <v>429</v>
      </c>
      <c r="S814" s="2" t="s">
        <v>436</v>
      </c>
      <c r="T814" s="2">
        <f>IF(C814=0,0,IF(C814&gt;=CALL_LOOKUP_BOARD!$B$7,IF(OR(K814="Problem Call",K814="Explosive Alert"),10000000,20000000),0)+IF(C814&gt;=CALL_LOOKUP_BOARD!$B$7,J814*1000+MIN(C814,999),C814*1000+J814)+0.00999600)</f>
        <v>1021.009996</v>
      </c>
      <c r="U814" s="2" t="str">
        <f>IF(C814=0,"",IF(COUNTIFS($S$811:$S$1055,SUBSTITUTE(SUBSTITUTE(SUBSTITUTE(S814,"~","~~"),"*","~*"),"?","~?"),$T$811:$T$1055,"&gt;"&amp;T814)=0,S814,""))</f>
        <v>6:1D 11+|3:MAN|</v>
      </c>
    </row>
    <row r="815" spans="1:21" ht="38" customHeight="1">
      <c r="A815" s="8" t="s">
        <v>437</v>
      </c>
      <c r="B815" s="8" t="s">
        <v>34</v>
      </c>
      <c r="C815" s="12">
        <f>COUNTIFS('DEF_SELF_SCOUT_IMPORT'!$L$42:$L$1040,"Y",'DEF_SELF_SCOUT_IMPORT'!$E$42:$E$1040,SUBSTITUTE(SUBSTITUTE(SUBSTITUTE($B815,"~","~~"),"*","~*"),"?","~?"),'DEF_SELF_SCOUT_IMPORT'!$Q$42:$Q$1040,SUBSTITUTE(SUBSTITUTE(SUBSTITUTE($M815,"~","~~"),"*","~*"),"?","~?"),'DEF_SELF_SCOUT_IMPORT'!$D$42:$D$1040,SUBSTITUTE(SUBSTITUTE(SUBSTITUTE($P815,"~","~~"),"*","~*"),"?","~?"))</f>
        <v>1</v>
      </c>
      <c r="D815" s="10">
        <f>IF($C815=0,"",SUMIFS('DEF_SELF_SCOUT_IMPORT'!$J$42:$J$1040,'DEF_SELF_SCOUT_IMPORT'!$L$42:$L$1040,"Y",'DEF_SELF_SCOUT_IMPORT'!$E$42:$E$1040,SUBSTITUTE(SUBSTITUTE(SUBSTITUTE($B815,"~","~~"),"*","~*"),"?","~?"),'DEF_SELF_SCOUT_IMPORT'!$Q$42:$Q$1040,SUBSTITUTE(SUBSTITUTE(SUBSTITUTE($M815,"~","~~"),"*","~*"),"?","~?"),'DEF_SELF_SCOUT_IMPORT'!$D$42:$D$1040,SUBSTITUTE(SUBSTITUTE(SUBSTITUTE($P815,"~","~~"),"*","~*"),"?","~?"))/$C815)</f>
        <v>1.0</v>
      </c>
      <c r="E815" s="10">
        <f>IF($C815=0,"",SUMIFS('DEF_SELF_SCOUT_IMPORT'!$K$42:$K$1040,'DEF_SELF_SCOUT_IMPORT'!$L$42:$L$1040,"Y",'DEF_SELF_SCOUT_IMPORT'!$E$42:$E$1040,SUBSTITUTE(SUBSTITUTE(SUBSTITUTE($B815,"~","~~"),"*","~*"),"?","~?"),'DEF_SELF_SCOUT_IMPORT'!$Q$42:$Q$1040,SUBSTITUTE(SUBSTITUTE(SUBSTITUTE($M815,"~","~~"),"*","~*"),"?","~?"),'DEF_SELF_SCOUT_IMPORT'!$D$42:$D$1040,SUBSTITUTE(SUBSTITUTE(SUBSTITUTE($P815,"~","~~"),"*","~*"),"?","~?"))/$C815)</f>
        <v>0.0</v>
      </c>
      <c r="F815" s="11">
        <f>IF($C815=0,"",AVERAGEIFS('DEF_SELF_SCOUT_IMPORT'!$I$42:$I$1040,'DEF_SELF_SCOUT_IMPORT'!$L$42:$L$1040,"Y",'DEF_SELF_SCOUT_IMPORT'!$E$42:$E$1040,SUBSTITUTE(SUBSTITUTE(SUBSTITUTE($B815,"~","~~"),"*","~*"),"?","~?"),'DEF_SELF_SCOUT_IMPORT'!$Q$42:$Q$1040,SUBSTITUTE(SUBSTITUTE(SUBSTITUTE($M815,"~","~~"),"*","~*"),"?","~?"),'DEF_SELF_SCOUT_IMPORT'!$D$42:$D$1040,SUBSTITUTE(SUBSTITUTE(SUBSTITUTE($P815,"~","~~"),"*","~*"),"?","~?")))</f>
        <v>3.0</v>
      </c>
      <c r="G815" s="10">
        <f>IF($C815=0,"",COUNTIFS('DEF_SELF_SCOUT_IMPORT'!$L$42:$L$1040,"Y",'DEF_SELF_SCOUT_IMPORT'!$E$42:$E$1040,SUBSTITUTE(SUBSTITUTE(SUBSTITUTE($B815,"~","~~"),"*","~*"),"?","~?"),'DEF_SELF_SCOUT_IMPORT'!$Q$42:$Q$1040,SUBSTITUTE(SUBSTITUTE(SUBSTITUTE($M815,"~","~~"),"*","~*"),"?","~?"),'DEF_SELF_SCOUT_IMPORT'!$D$42:$D$1040,SUBSTITUTE(SUBSTITUTE(SUBSTITUTE($P815,"~","~~"),"*","~*"),"?","~?"),'DEF_SELF_SCOUT_IMPORT'!$H$42:$H$1040,"RUSH")/$C815)</f>
        <v>1.0</v>
      </c>
      <c r="H815" s="10">
        <f>IF($C815=0,"",COUNTIFS('DEF_SELF_SCOUT_IMPORT'!$L$42:$L$1040,"Y",'DEF_SELF_SCOUT_IMPORT'!$E$42:$E$1040,SUBSTITUTE(SUBSTITUTE(SUBSTITUTE($B815,"~","~~"),"*","~*"),"?","~?"),'DEF_SELF_SCOUT_IMPORT'!$Q$42:$Q$1040,SUBSTITUTE(SUBSTITUTE(SUBSTITUTE($M815,"~","~~"),"*","~*"),"?","~?"),'DEF_SELF_SCOUT_IMPORT'!$D$42:$D$1040,SUBSTITUTE(SUBSTITUTE(SUBSTITUTE($P815,"~","~~"),"*","~*"),"?","~?"),'DEF_SELF_SCOUT_IMPORT'!$H$42:$H$1040,"DROPBACK")/$C815)</f>
        <v>0.0</v>
      </c>
      <c r="I815" s="14" t="str">
        <f>IF(C815=0,"",IF(C815&lt;=2,"TRACK",IF(C815=3,"LOW",IF(C815&lt;=6,"MEDIUM","HIGH"))))</f>
        <v>TRACK</v>
      </c>
      <c r="J815" s="11">
        <f>IF(C815=0,"",ROUND(D815*70+(1-E815)*20+MAX(0,MIN(1,(10-F815)/10))*10,1))</f>
        <v>97.0</v>
      </c>
      <c r="K815" s="14" t="str">
        <f>IF(C815=0,"No Evidence",IF(C815&lt;=2,IF(E815&gt;0,"Explosive Alert","Track Only"),IF(C815=3,"Sample Watch",IF(E815&gt;=START_HERE!$B$31,"Explosive Alert",IF(J815&gt;=80,"Strong Candidate",IF(J815&gt;=65,"Good Candidate",IF(J815&gt;=50,"Mixed / Review","Problem Call")))))))</f>
        <v>Track Only</v>
      </c>
      <c r="L815" s="9" t="str">
        <f>IF(COUNTIFS('DEF_SELF_SCOUT_IMPORT'!$L$42:$L$1040,"Y",'DEF_SELF_SCOUT_IMPORT'!$E$42:$E$1040,SUBSTITUTE(SUBSTITUTE(SUBSTITUTE($B815,"~","~~"),"*","~*"),"?","~?"),'DEF_SELF_SCOUT_IMPORT'!$Q$42:$Q$1040,SUBSTITUTE(SUBSTITUTE(SUBSTITUTE($M815,"~","~~"),"*","~*"),"?","~?"),'DEF_SELF_SCOUT_IMPORT'!$D$42:$D$1040,SUBSTITUTE(SUBSTITUTE(SUBSTITUTE($P815,"~","~~"),"*","~*"),"?","~?"),'DEF_SELF_SCOUT_IMPORT'!$J$42:$J$1040,"")&gt;0,"Unscored clean outcome; review result tags before using score.",IF(C815=0,"No matching defensive reps; film confirmation needed.",IF(K815="Explosive Alert","Explosive risk; review clips before using as answer.",IF(C815&lt;=2,"Track only; not enough sample.",IF(C815=3,IF(E815&gt;0,"Sample watch with explosive exposure; review clips and build the sample.",IF(J815&gt;=65,"Good signal, but sample is limited.","Sample watch; review clips and build the sample.")),IF(K815="Problem Call","Problem area; practice or call-sheet review.",IF(K815="Strong Candidate","Strong call-fit candidate; confirm on film.",IF(K815="Good Candidate","Good call-fit signal; confirm on film.","Mixed signal; review fit and execution on film."))))))))</f>
        <v>Track only; not enough sample.</v>
      </c>
      <c r="M815" s="8" t="s">
        <v>31</v>
      </c>
      <c r="N815" s="8"/>
      <c r="O815" s="8"/>
      <c r="P815" s="8" t="s">
        <v>438</v>
      </c>
      <c r="Q815" s="8"/>
      <c r="R815" s="8" t="s">
        <v>429</v>
      </c>
      <c r="S815" s="2" t="s">
        <v>439</v>
      </c>
      <c r="T815" s="2">
        <f>IF(C815=0,0,IF(C815&gt;=CALL_LOOKUP_BOARD!$B$7,IF(OR(K815="Problem Call",K815="Explosive Alert"),10000000,20000000),0)+IF(C815&gt;=CALL_LOOKUP_BOARD!$B$7,J815*1000+MIN(C815,999),C815*1000+J815)+0.00999500)</f>
        <v>1097.009995</v>
      </c>
      <c r="U815" s="2" t="str">
        <f>IF(C815=0,"",IF(COUNTIFS($S$811:$S$1055,SUBSTITUTE(SUBSTITUTE(SUBSTITUTE(S815,"~","~~"),"*","~*"),"?","~?"),$T$811:$T$1055,"&gt;"&amp;T815)=0,S815,""))</f>
        <v>6:1D 11+|8:PIN PULL|</v>
      </c>
    </row>
    <row r="816" spans="1:21" ht="38" customHeight="1">
      <c r="A816" s="8" t="s">
        <v>440</v>
      </c>
      <c r="B816" s="8" t="s">
        <v>37</v>
      </c>
      <c r="C816" s="12">
        <f>COUNTIFS('DEF_SELF_SCOUT_IMPORT'!$L$42:$L$1040,"Y",'DEF_SELF_SCOUT_IMPORT'!$E$42:$E$1040,SUBSTITUTE(SUBSTITUTE(SUBSTITUTE($B816,"~","~~"),"*","~*"),"?","~?"),'DEF_SELF_SCOUT_IMPORT'!$Q$42:$Q$1040,SUBSTITUTE(SUBSTITUTE(SUBSTITUTE($M816,"~","~~"),"*","~*"),"?","~?"),'DEF_SELF_SCOUT_IMPORT'!$D$42:$D$1040,SUBSTITUTE(SUBSTITUTE(SUBSTITUTE($P816,"~","~~"),"*","~*"),"?","~?"))</f>
        <v>1</v>
      </c>
      <c r="D816" s="10">
        <f>IF($C816=0,"",SUMIFS('DEF_SELF_SCOUT_IMPORT'!$J$42:$J$1040,'DEF_SELF_SCOUT_IMPORT'!$L$42:$L$1040,"Y",'DEF_SELF_SCOUT_IMPORT'!$E$42:$E$1040,SUBSTITUTE(SUBSTITUTE(SUBSTITUTE($B816,"~","~~"),"*","~*"),"?","~?"),'DEF_SELF_SCOUT_IMPORT'!$Q$42:$Q$1040,SUBSTITUTE(SUBSTITUTE(SUBSTITUTE($M816,"~","~~"),"*","~*"),"?","~?"),'DEF_SELF_SCOUT_IMPORT'!$D$42:$D$1040,SUBSTITUTE(SUBSTITUTE(SUBSTITUTE($P816,"~","~~"),"*","~*"),"?","~?"))/$C816)</f>
        <v>0.0</v>
      </c>
      <c r="E816" s="10">
        <f>IF($C816=0,"",SUMIFS('DEF_SELF_SCOUT_IMPORT'!$K$42:$K$1040,'DEF_SELF_SCOUT_IMPORT'!$L$42:$L$1040,"Y",'DEF_SELF_SCOUT_IMPORT'!$E$42:$E$1040,SUBSTITUTE(SUBSTITUTE(SUBSTITUTE($B816,"~","~~"),"*","~*"),"?","~?"),'DEF_SELF_SCOUT_IMPORT'!$Q$42:$Q$1040,SUBSTITUTE(SUBSTITUTE(SUBSTITUTE($M816,"~","~~"),"*","~*"),"?","~?"),'DEF_SELF_SCOUT_IMPORT'!$D$42:$D$1040,SUBSTITUTE(SUBSTITUTE(SUBSTITUTE($P816,"~","~~"),"*","~*"),"?","~?"))/$C816)</f>
        <v>0.0</v>
      </c>
      <c r="F816" s="11">
        <f>IF($C816=0,"",AVERAGEIFS('DEF_SELF_SCOUT_IMPORT'!$I$42:$I$1040,'DEF_SELF_SCOUT_IMPORT'!$L$42:$L$1040,"Y",'DEF_SELF_SCOUT_IMPORT'!$E$42:$E$1040,SUBSTITUTE(SUBSTITUTE(SUBSTITUTE($B816,"~","~~"),"*","~*"),"?","~?"),'DEF_SELF_SCOUT_IMPORT'!$Q$42:$Q$1040,SUBSTITUTE(SUBSTITUTE(SUBSTITUTE($M816,"~","~~"),"*","~*"),"?","~?"),'DEF_SELF_SCOUT_IMPORT'!$D$42:$D$1040,SUBSTITUTE(SUBSTITUTE(SUBSTITUTE($P816,"~","~~"),"*","~*"),"?","~?")))</f>
        <v>5.0</v>
      </c>
      <c r="G816" s="10">
        <f>IF($C816=0,"",COUNTIFS('DEF_SELF_SCOUT_IMPORT'!$L$42:$L$1040,"Y",'DEF_SELF_SCOUT_IMPORT'!$E$42:$E$1040,SUBSTITUTE(SUBSTITUTE(SUBSTITUTE($B816,"~","~~"),"*","~*"),"?","~?"),'DEF_SELF_SCOUT_IMPORT'!$Q$42:$Q$1040,SUBSTITUTE(SUBSTITUTE(SUBSTITUTE($M816,"~","~~"),"*","~*"),"?","~?"),'DEF_SELF_SCOUT_IMPORT'!$D$42:$D$1040,SUBSTITUTE(SUBSTITUTE(SUBSTITUTE($P816,"~","~~"),"*","~*"),"?","~?"),'DEF_SELF_SCOUT_IMPORT'!$H$42:$H$1040,"RUSH")/$C816)</f>
        <v>0.0</v>
      </c>
      <c r="H816" s="10">
        <f>IF($C816=0,"",COUNTIFS('DEF_SELF_SCOUT_IMPORT'!$L$42:$L$1040,"Y",'DEF_SELF_SCOUT_IMPORT'!$E$42:$E$1040,SUBSTITUTE(SUBSTITUTE(SUBSTITUTE($B816,"~","~~"),"*","~*"),"?","~?"),'DEF_SELF_SCOUT_IMPORT'!$Q$42:$Q$1040,SUBSTITUTE(SUBSTITUTE(SUBSTITUTE($M816,"~","~~"),"*","~*"),"?","~?"),'DEF_SELF_SCOUT_IMPORT'!$D$42:$D$1040,SUBSTITUTE(SUBSTITUTE(SUBSTITUTE($P816,"~","~~"),"*","~*"),"?","~?"),'DEF_SELF_SCOUT_IMPORT'!$H$42:$H$1040,"DROPBACK")/$C816)</f>
        <v>0.0</v>
      </c>
      <c r="I816" s="14" t="str">
        <f>IF(C816=0,"",IF(C816&lt;=2,"TRACK",IF(C816=3,"LOW",IF(C816&lt;=6,"MEDIUM","HIGH"))))</f>
        <v>TRACK</v>
      </c>
      <c r="J816" s="11">
        <f>IF(C816=0,"",ROUND(D816*70+(1-E816)*20+MAX(0,MIN(1,(10-F816)/10))*10,1))</f>
        <v>25.0</v>
      </c>
      <c r="K816" s="14" t="str">
        <f>IF(C816=0,"No Evidence",IF(C816&lt;=2,IF(E816&gt;0,"Explosive Alert","Track Only"),IF(C816=3,"Sample Watch",IF(E816&gt;=START_HERE!$B$31,"Explosive Alert",IF(J816&gt;=80,"Strong Candidate",IF(J816&gt;=65,"Good Candidate",IF(J816&gt;=50,"Mixed / Review","Problem Call")))))))</f>
        <v>Track Only</v>
      </c>
      <c r="L816" s="9" t="str">
        <f>IF(COUNTIFS('DEF_SELF_SCOUT_IMPORT'!$L$42:$L$1040,"Y",'DEF_SELF_SCOUT_IMPORT'!$E$42:$E$1040,SUBSTITUTE(SUBSTITUTE(SUBSTITUTE($B816,"~","~~"),"*","~*"),"?","~?"),'DEF_SELF_SCOUT_IMPORT'!$Q$42:$Q$1040,SUBSTITUTE(SUBSTITUTE(SUBSTITUTE($M816,"~","~~"),"*","~*"),"?","~?"),'DEF_SELF_SCOUT_IMPORT'!$D$42:$D$1040,SUBSTITUTE(SUBSTITUTE(SUBSTITUTE($P816,"~","~~"),"*","~*"),"?","~?"),'DEF_SELF_SCOUT_IMPORT'!$J$42:$J$1040,"")&gt;0,"Unscored clean outcome; review result tags before using score.",IF(C816=0,"No matching defensive reps; film confirmation needed.",IF(K816="Explosive Alert","Explosive risk; review clips before using as answer.",IF(C816&lt;=2,"Track only; not enough sample.",IF(C816=3,IF(E816&gt;0,"Sample watch with explosive exposure; review clips and build the sample.",IF(J816&gt;=65,"Good signal, but sample is limited.","Sample watch; review clips and build the sample.")),IF(K816="Problem Call","Problem area; practice or call-sheet review.",IF(K816="Strong Candidate","Strong call-fit candidate; confirm on film.",IF(K816="Good Candidate","Good call-fit signal; confirm on film.","Mixed signal; review fit and execution on film."))))))))</f>
        <v>Track only; not enough sample.</v>
      </c>
      <c r="M816" s="8" t="s">
        <v>36</v>
      </c>
      <c r="N816" s="8"/>
      <c r="O816" s="8"/>
      <c r="P816" s="8" t="s">
        <v>428</v>
      </c>
      <c r="Q816" s="8"/>
      <c r="R816" s="8" t="s">
        <v>429</v>
      </c>
      <c r="S816" s="2" t="s">
        <v>441</v>
      </c>
      <c r="T816" s="2">
        <f>IF(C816=0,0,IF(C816&gt;=CALL_LOOKUP_BOARD!$B$7,IF(OR(K816="Problem Call",K816="Explosive Alert"),10000000,20000000),0)+IF(C816&gt;=CALL_LOOKUP_BOARD!$B$7,J816*1000+MIN(C816,999),C816*1000+J816)+0.00999400)</f>
        <v>1025.009994</v>
      </c>
      <c r="U816" s="2" t="str">
        <f>IF(C816=0,"",IF(COUNTIFS($S$811:$S$1055,SUBSTITUTE(SUBSTITUTE(SUBSTITUTE(S816,"~","~~"),"*","~*"),"?","~?"),$T$811:$T$1055,"&gt;"&amp;T816)=0,S816,""))</f>
        <v>6:1D 4-6|11:INSIDE ZONE|</v>
      </c>
    </row>
    <row r="817" spans="1:21" ht="38" customHeight="1">
      <c r="A817" s="8" t="s">
        <v>442</v>
      </c>
      <c r="B817" s="8" t="s">
        <v>35</v>
      </c>
      <c r="C817" s="12">
        <f>COUNTIFS('DEF_SELF_SCOUT_IMPORT'!$L$42:$L$1040,"Y",'DEF_SELF_SCOUT_IMPORT'!$E$42:$E$1040,SUBSTITUTE(SUBSTITUTE(SUBSTITUTE($B817,"~","~~"),"*","~*"),"?","~?"),'DEF_SELF_SCOUT_IMPORT'!$Q$42:$Q$1040,SUBSTITUTE(SUBSTITUTE(SUBSTITUTE($M817,"~","~~"),"*","~*"),"?","~?"),'DEF_SELF_SCOUT_IMPORT'!$D$42:$D$1040,SUBSTITUTE(SUBSTITUTE(SUBSTITUTE($P817,"~","~~"),"*","~*"),"?","~?"))</f>
        <v>1</v>
      </c>
      <c r="D817" s="10">
        <f>IF($C817=0,"",SUMIFS('DEF_SELF_SCOUT_IMPORT'!$J$42:$J$1040,'DEF_SELF_SCOUT_IMPORT'!$L$42:$L$1040,"Y",'DEF_SELF_SCOUT_IMPORT'!$E$42:$E$1040,SUBSTITUTE(SUBSTITUTE(SUBSTITUTE($B817,"~","~~"),"*","~*"),"?","~?"),'DEF_SELF_SCOUT_IMPORT'!$Q$42:$Q$1040,SUBSTITUTE(SUBSTITUTE(SUBSTITUTE($M817,"~","~~"),"*","~*"),"?","~?"),'DEF_SELF_SCOUT_IMPORT'!$D$42:$D$1040,SUBSTITUTE(SUBSTITUTE(SUBSTITUTE($P817,"~","~~"),"*","~*"),"?","~?"))/$C817)</f>
        <v>1.0</v>
      </c>
      <c r="E817" s="10">
        <f>IF($C817=0,"",SUMIFS('DEF_SELF_SCOUT_IMPORT'!$K$42:$K$1040,'DEF_SELF_SCOUT_IMPORT'!$L$42:$L$1040,"Y",'DEF_SELF_SCOUT_IMPORT'!$E$42:$E$1040,SUBSTITUTE(SUBSTITUTE(SUBSTITUTE($B817,"~","~~"),"*","~*"),"?","~?"),'DEF_SELF_SCOUT_IMPORT'!$Q$42:$Q$1040,SUBSTITUTE(SUBSTITUTE(SUBSTITUTE($M817,"~","~~"),"*","~*"),"?","~?"),'DEF_SELF_SCOUT_IMPORT'!$D$42:$D$1040,SUBSTITUTE(SUBSTITUTE(SUBSTITUTE($P817,"~","~~"),"*","~*"),"?","~?"))/$C817)</f>
        <v>0.0</v>
      </c>
      <c r="F817" s="11">
        <f>IF($C817=0,"",AVERAGEIFS('DEF_SELF_SCOUT_IMPORT'!$I$42:$I$1040,'DEF_SELF_SCOUT_IMPORT'!$L$42:$L$1040,"Y",'DEF_SELF_SCOUT_IMPORT'!$E$42:$E$1040,SUBSTITUTE(SUBSTITUTE(SUBSTITUTE($B817,"~","~~"),"*","~*"),"?","~?"),'DEF_SELF_SCOUT_IMPORT'!$Q$42:$Q$1040,SUBSTITUTE(SUBSTITUTE(SUBSTITUTE($M817,"~","~~"),"*","~*"),"?","~?"),'DEF_SELF_SCOUT_IMPORT'!$D$42:$D$1040,SUBSTITUTE(SUBSTITUTE(SUBSTITUTE($P817,"~","~~"),"*","~*"),"?","~?")))</f>
        <v>5.0</v>
      </c>
      <c r="G817" s="10">
        <f>IF($C817=0,"",COUNTIFS('DEF_SELF_SCOUT_IMPORT'!$L$42:$L$1040,"Y",'DEF_SELF_SCOUT_IMPORT'!$E$42:$E$1040,SUBSTITUTE(SUBSTITUTE(SUBSTITUTE($B817,"~","~~"),"*","~*"),"?","~?"),'DEF_SELF_SCOUT_IMPORT'!$Q$42:$Q$1040,SUBSTITUTE(SUBSTITUTE(SUBSTITUTE($M817,"~","~~"),"*","~*"),"?","~?"),'DEF_SELF_SCOUT_IMPORT'!$D$42:$D$1040,SUBSTITUTE(SUBSTITUTE(SUBSTITUTE($P817,"~","~~"),"*","~*"),"?","~?"),'DEF_SELF_SCOUT_IMPORT'!$H$42:$H$1040,"RUSH")/$C817)</f>
        <v>0.0</v>
      </c>
      <c r="H817" s="10">
        <f>IF($C817=0,"",COUNTIFS('DEF_SELF_SCOUT_IMPORT'!$L$42:$L$1040,"Y",'DEF_SELF_SCOUT_IMPORT'!$E$42:$E$1040,SUBSTITUTE(SUBSTITUTE(SUBSTITUTE($B817,"~","~~"),"*","~*"),"?","~?"),'DEF_SELF_SCOUT_IMPORT'!$Q$42:$Q$1040,SUBSTITUTE(SUBSTITUTE(SUBSTITUTE($M817,"~","~~"),"*","~*"),"?","~?"),'DEF_SELF_SCOUT_IMPORT'!$D$42:$D$1040,SUBSTITUTE(SUBSTITUTE(SUBSTITUTE($P817,"~","~~"),"*","~*"),"?","~?"),'DEF_SELF_SCOUT_IMPORT'!$H$42:$H$1040,"DROPBACK")/$C817)</f>
        <v>1.0</v>
      </c>
      <c r="I817" s="14" t="str">
        <f>IF(C817=0,"",IF(C817&lt;=2,"TRACK",IF(C817=3,"LOW",IF(C817&lt;=6,"MEDIUM","HIGH"))))</f>
        <v>TRACK</v>
      </c>
      <c r="J817" s="11">
        <f>IF(C817=0,"",ROUND(D817*70+(1-E817)*20+MAX(0,MIN(1,(10-F817)/10))*10,1))</f>
        <v>95.0</v>
      </c>
      <c r="K817" s="14" t="str">
        <f>IF(C817=0,"No Evidence",IF(C817&lt;=2,IF(E817&gt;0,"Explosive Alert","Track Only"),IF(C817=3,"Sample Watch",IF(E817&gt;=START_HERE!$B$31,"Explosive Alert",IF(J817&gt;=80,"Strong Candidate",IF(J817&gt;=65,"Good Candidate",IF(J817&gt;=50,"Mixed / Review","Problem Call")))))))</f>
        <v>Track Only</v>
      </c>
      <c r="L817" s="9" t="str">
        <f>IF(COUNTIFS('DEF_SELF_SCOUT_IMPORT'!$L$42:$L$1040,"Y",'DEF_SELF_SCOUT_IMPORT'!$E$42:$E$1040,SUBSTITUTE(SUBSTITUTE(SUBSTITUTE($B817,"~","~~"),"*","~*"),"?","~?"),'DEF_SELF_SCOUT_IMPORT'!$Q$42:$Q$1040,SUBSTITUTE(SUBSTITUTE(SUBSTITUTE($M817,"~","~~"),"*","~*"),"?","~?"),'DEF_SELF_SCOUT_IMPORT'!$D$42:$D$1040,SUBSTITUTE(SUBSTITUTE(SUBSTITUTE($P817,"~","~~"),"*","~*"),"?","~?"),'DEF_SELF_SCOUT_IMPORT'!$J$42:$J$1040,"")&gt;0,"Unscored clean outcome; review result tags before using score.",IF(C817=0,"No matching defensive reps; film confirmation needed.",IF(K817="Explosive Alert","Explosive risk; review clips before using as answer.",IF(C817&lt;=2,"Track only; not enough sample.",IF(C817=3,IF(E817&gt;0,"Sample watch with explosive exposure; review clips and build the sample.",IF(J817&gt;=65,"Good signal, but sample is limited.","Sample watch; review clips and build the sample.")),IF(K817="Problem Call","Problem area; practice or call-sheet review.",IF(K817="Strong Candidate","Strong call-fit candidate; confirm on film.",IF(K817="Good Candidate","Good call-fit signal; confirm on film.","Mixed signal; review fit and execution on film."))))))))</f>
        <v>Track only; not enough sample.</v>
      </c>
      <c r="M817" s="8" t="s">
        <v>36</v>
      </c>
      <c r="N817" s="8"/>
      <c r="O817" s="8"/>
      <c r="P817" s="8" t="s">
        <v>443</v>
      </c>
      <c r="Q817" s="8"/>
      <c r="R817" s="8" t="s">
        <v>429</v>
      </c>
      <c r="S817" s="2" t="s">
        <v>444</v>
      </c>
      <c r="T817" s="2">
        <f>IF(C817=0,0,IF(C817&gt;=CALL_LOOKUP_BOARD!$B$7,IF(OR(K817="Problem Call",K817="Explosive Alert"),10000000,20000000),0)+IF(C817&gt;=CALL_LOOKUP_BOARD!$B$7,J817*1000+MIN(C817,999),C817*1000+J817)+0.00999300)</f>
        <v>1095.009993</v>
      </c>
      <c r="U817" s="2" t="str">
        <f>IF(C817=0,"",IF(COUNTIFS($S$811:$S$1055,SUBSTITUTE(SUBSTITUTE(SUBSTITUTE(S817,"~","~~"),"*","~*"),"?","~?"),$T$811:$T$1055,"&gt;"&amp;T817)=0,S817,""))</f>
        <v>6:1D 4-6|3:SOP|</v>
      </c>
    </row>
    <row r="818" spans="1:21" ht="38" customHeight="1">
      <c r="A818" s="8" t="s">
        <v>445</v>
      </c>
      <c r="B818" s="8" t="s">
        <v>42</v>
      </c>
      <c r="C818" s="12">
        <f>COUNTIFS('DEF_SELF_SCOUT_IMPORT'!$L$42:$L$1040,"Y",'DEF_SELF_SCOUT_IMPORT'!$E$42:$E$1040,SUBSTITUTE(SUBSTITUTE(SUBSTITUTE($B818,"~","~~"),"*","~*"),"?","~?"),'DEF_SELF_SCOUT_IMPORT'!$Q$42:$Q$1040,SUBSTITUTE(SUBSTITUTE(SUBSTITUTE($M818,"~","~~"),"*","~*"),"?","~?"),'DEF_SELF_SCOUT_IMPORT'!$D$42:$D$1040,SUBSTITUTE(SUBSTITUTE(SUBSTITUTE($P818,"~","~~"),"*","~*"),"?","~?"))</f>
        <v>1</v>
      </c>
      <c r="D818" s="10">
        <f>IF($C818=0,"",SUMIFS('DEF_SELF_SCOUT_IMPORT'!$J$42:$J$1040,'DEF_SELF_SCOUT_IMPORT'!$L$42:$L$1040,"Y",'DEF_SELF_SCOUT_IMPORT'!$E$42:$E$1040,SUBSTITUTE(SUBSTITUTE(SUBSTITUTE($B818,"~","~~"),"*","~*"),"?","~?"),'DEF_SELF_SCOUT_IMPORT'!$Q$42:$Q$1040,SUBSTITUTE(SUBSTITUTE(SUBSTITUTE($M818,"~","~~"),"*","~*"),"?","~?"),'DEF_SELF_SCOUT_IMPORT'!$D$42:$D$1040,SUBSTITUTE(SUBSTITUTE(SUBSTITUTE($P818,"~","~~"),"*","~*"),"?","~?"))/$C818)</f>
        <v>0.0</v>
      </c>
      <c r="E818" s="10">
        <f>IF($C818=0,"",SUMIFS('DEF_SELF_SCOUT_IMPORT'!$K$42:$K$1040,'DEF_SELF_SCOUT_IMPORT'!$L$42:$L$1040,"Y",'DEF_SELF_SCOUT_IMPORT'!$E$42:$E$1040,SUBSTITUTE(SUBSTITUTE(SUBSTITUTE($B818,"~","~~"),"*","~*"),"?","~?"),'DEF_SELF_SCOUT_IMPORT'!$Q$42:$Q$1040,SUBSTITUTE(SUBSTITUTE(SUBSTITUTE($M818,"~","~~"),"*","~*"),"?","~?"),'DEF_SELF_SCOUT_IMPORT'!$D$42:$D$1040,SUBSTITUTE(SUBSTITUTE(SUBSTITUTE($P818,"~","~~"),"*","~*"),"?","~?"))/$C818)</f>
        <v>0.0</v>
      </c>
      <c r="F818" s="11">
        <f>IF($C818=0,"",AVERAGEIFS('DEF_SELF_SCOUT_IMPORT'!$I$42:$I$1040,'DEF_SELF_SCOUT_IMPORT'!$L$42:$L$1040,"Y",'DEF_SELF_SCOUT_IMPORT'!$E$42:$E$1040,SUBSTITUTE(SUBSTITUTE(SUBSTITUTE($B818,"~","~~"),"*","~*"),"?","~?"),'DEF_SELF_SCOUT_IMPORT'!$Q$42:$Q$1040,SUBSTITUTE(SUBSTITUTE(SUBSTITUTE($M818,"~","~~"),"*","~*"),"?","~?"),'DEF_SELF_SCOUT_IMPORT'!$D$42:$D$1040,SUBSTITUTE(SUBSTITUTE(SUBSTITUTE($P818,"~","~~"),"*","~*"),"?","~?")))</f>
        <v>14.0</v>
      </c>
      <c r="G818" s="10">
        <f>IF($C818=0,"",COUNTIFS('DEF_SELF_SCOUT_IMPORT'!$L$42:$L$1040,"Y",'DEF_SELF_SCOUT_IMPORT'!$E$42:$E$1040,SUBSTITUTE(SUBSTITUTE(SUBSTITUTE($B818,"~","~~"),"*","~*"),"?","~?"),'DEF_SELF_SCOUT_IMPORT'!$Q$42:$Q$1040,SUBSTITUTE(SUBSTITUTE(SUBSTITUTE($M818,"~","~~"),"*","~*"),"?","~?"),'DEF_SELF_SCOUT_IMPORT'!$D$42:$D$1040,SUBSTITUTE(SUBSTITUTE(SUBSTITUTE($P818,"~","~~"),"*","~*"),"?","~?"),'DEF_SELF_SCOUT_IMPORT'!$H$42:$H$1040,"RUSH")/$C818)</f>
        <v>0.0</v>
      </c>
      <c r="H818" s="10">
        <f>IF($C818=0,"",COUNTIFS('DEF_SELF_SCOUT_IMPORT'!$L$42:$L$1040,"Y",'DEF_SELF_SCOUT_IMPORT'!$E$42:$E$1040,SUBSTITUTE(SUBSTITUTE(SUBSTITUTE($B818,"~","~~"),"*","~*"),"?","~?"),'DEF_SELF_SCOUT_IMPORT'!$Q$42:$Q$1040,SUBSTITUTE(SUBSTITUTE(SUBSTITUTE($M818,"~","~~"),"*","~*"),"?","~?"),'DEF_SELF_SCOUT_IMPORT'!$D$42:$D$1040,SUBSTITUTE(SUBSTITUTE(SUBSTITUTE($P818,"~","~~"),"*","~*"),"?","~?"),'DEF_SELF_SCOUT_IMPORT'!$H$42:$H$1040,"DROPBACK")/$C818)</f>
        <v>1.0</v>
      </c>
      <c r="I818" s="14" t="str">
        <f>IF(C818=0,"",IF(C818&lt;=2,"TRACK",IF(C818=3,"LOW",IF(C818&lt;=6,"MEDIUM","HIGH"))))</f>
        <v>TRACK</v>
      </c>
      <c r="J818" s="11">
        <f>IF(C818=0,"",ROUND(D818*70+(1-E818)*20+MAX(0,MIN(1,(10-F818)/10))*10,1))</f>
        <v>20.0</v>
      </c>
      <c r="K818" s="14" t="str">
        <f>IF(C818=0,"No Evidence",IF(C818&lt;=2,IF(E818&gt;0,"Explosive Alert","Track Only"),IF(C818=3,"Sample Watch",IF(E818&gt;=START_HERE!$B$31,"Explosive Alert",IF(J818&gt;=80,"Strong Candidate",IF(J818&gt;=65,"Good Candidate",IF(J818&gt;=50,"Mixed / Review","Problem Call")))))))</f>
        <v>Track Only</v>
      </c>
      <c r="L818" s="9" t="str">
        <f>IF(COUNTIFS('DEF_SELF_SCOUT_IMPORT'!$L$42:$L$1040,"Y",'DEF_SELF_SCOUT_IMPORT'!$E$42:$E$1040,SUBSTITUTE(SUBSTITUTE(SUBSTITUTE($B818,"~","~~"),"*","~*"),"?","~?"),'DEF_SELF_SCOUT_IMPORT'!$Q$42:$Q$1040,SUBSTITUTE(SUBSTITUTE(SUBSTITUTE($M818,"~","~~"),"*","~*"),"?","~?"),'DEF_SELF_SCOUT_IMPORT'!$D$42:$D$1040,SUBSTITUTE(SUBSTITUTE(SUBSTITUTE($P818,"~","~~"),"*","~*"),"?","~?"),'DEF_SELF_SCOUT_IMPORT'!$J$42:$J$1040,"")&gt;0,"Unscored clean outcome; review result tags before using score.",IF(C818=0,"No matching defensive reps; film confirmation needed.",IF(K818="Explosive Alert","Explosive risk; review clips before using as answer.",IF(C818&lt;=2,"Track only; not enough sample.",IF(C818=3,IF(E818&gt;0,"Sample watch with explosive exposure; review clips and build the sample.",IF(J818&gt;=65,"Good signal, but sample is limited.","Sample watch; review clips and build the sample.")),IF(K818="Problem Call","Problem area; practice or call-sheet review.",IF(K818="Strong Candidate","Strong call-fit candidate; confirm on film.",IF(K818="Good Candidate","Good call-fit signal; confirm on film.","Mixed signal; review fit and execution on film."))))))))</f>
        <v>Track only; not enough sample.</v>
      </c>
      <c r="M818" s="8" t="s">
        <v>39</v>
      </c>
      <c r="N818" s="8"/>
      <c r="O818" s="8"/>
      <c r="P818" s="8" t="s">
        <v>446</v>
      </c>
      <c r="Q818" s="8"/>
      <c r="R818" s="8" t="s">
        <v>429</v>
      </c>
      <c r="S818" s="2" t="s">
        <v>447</v>
      </c>
      <c r="T818" s="2">
        <f>IF(C818=0,0,IF(C818&gt;=CALL_LOOKUP_BOARD!$B$7,IF(OR(K818="Problem Call",K818="Explosive Alert"),10000000,20000000),0)+IF(C818&gt;=CALL_LOOKUP_BOARD!$B$7,J818*1000+MIN(C818,999),C818*1000+J818)+0.00999200)</f>
        <v>1020.009992</v>
      </c>
      <c r="U818" s="2">
        <f>IF(C818=0,"",IF(COUNTIFS($S$811:$S$1055,SUBSTITUTE(SUBSTITUTE(SUBSTITUTE(S818,"~","~~"),"*","~*"),"?","~?"),$T$811:$T$1055,"&gt;"&amp;T818)=0,S818,""))</f>
        <v/>
      </c>
    </row>
    <row r="819" spans="1:21" ht="38" customHeight="1">
      <c r="A819" s="8" t="s">
        <v>445</v>
      </c>
      <c r="B819" s="8" t="s">
        <v>44</v>
      </c>
      <c r="C819" s="12">
        <f>COUNTIFS('DEF_SELF_SCOUT_IMPORT'!$L$42:$L$1040,"Y",'DEF_SELF_SCOUT_IMPORT'!$E$42:$E$1040,SUBSTITUTE(SUBSTITUTE(SUBSTITUTE($B819,"~","~~"),"*","~*"),"?","~?"),'DEF_SELF_SCOUT_IMPORT'!$Q$42:$Q$1040,SUBSTITUTE(SUBSTITUTE(SUBSTITUTE($M819,"~","~~"),"*","~*"),"?","~?"),'DEF_SELF_SCOUT_IMPORT'!$D$42:$D$1040,SUBSTITUTE(SUBSTITUTE(SUBSTITUTE($P819,"~","~~"),"*","~*"),"?","~?"))</f>
        <v>1</v>
      </c>
      <c r="D819" s="10">
        <f>IF($C819=0,"",SUMIFS('DEF_SELF_SCOUT_IMPORT'!$J$42:$J$1040,'DEF_SELF_SCOUT_IMPORT'!$L$42:$L$1040,"Y",'DEF_SELF_SCOUT_IMPORT'!$E$42:$E$1040,SUBSTITUTE(SUBSTITUTE(SUBSTITUTE($B819,"~","~~"),"*","~*"),"?","~?"),'DEF_SELF_SCOUT_IMPORT'!$Q$42:$Q$1040,SUBSTITUTE(SUBSTITUTE(SUBSTITUTE($M819,"~","~~"),"*","~*"),"?","~?"),'DEF_SELF_SCOUT_IMPORT'!$D$42:$D$1040,SUBSTITUTE(SUBSTITUTE(SUBSTITUTE($P819,"~","~~"),"*","~*"),"?","~?"))/$C819)</f>
        <v>0.0</v>
      </c>
      <c r="E819" s="10">
        <f>IF($C819=0,"",SUMIFS('DEF_SELF_SCOUT_IMPORT'!$K$42:$K$1040,'DEF_SELF_SCOUT_IMPORT'!$L$42:$L$1040,"Y",'DEF_SELF_SCOUT_IMPORT'!$E$42:$E$1040,SUBSTITUTE(SUBSTITUTE(SUBSTITUTE($B819,"~","~~"),"*","~*"),"?","~?"),'DEF_SELF_SCOUT_IMPORT'!$Q$42:$Q$1040,SUBSTITUTE(SUBSTITUTE(SUBSTITUTE($M819,"~","~~"),"*","~*"),"?","~?"),'DEF_SELF_SCOUT_IMPORT'!$D$42:$D$1040,SUBSTITUTE(SUBSTITUTE(SUBSTITUTE($P819,"~","~~"),"*","~*"),"?","~?"))/$C819)</f>
        <v>0.0</v>
      </c>
      <c r="F819" s="11">
        <f>IF($C819=0,"",AVERAGEIFS('DEF_SELF_SCOUT_IMPORT'!$I$42:$I$1040,'DEF_SELF_SCOUT_IMPORT'!$L$42:$L$1040,"Y",'DEF_SELF_SCOUT_IMPORT'!$E$42:$E$1040,SUBSTITUTE(SUBSTITUTE(SUBSTITUTE($B819,"~","~~"),"*","~*"),"?","~?"),'DEF_SELF_SCOUT_IMPORT'!$Q$42:$Q$1040,SUBSTITUTE(SUBSTITUTE(SUBSTITUTE($M819,"~","~~"),"*","~*"),"?","~?"),'DEF_SELF_SCOUT_IMPORT'!$D$42:$D$1040,SUBSTITUTE(SUBSTITUTE(SUBSTITUTE($P819,"~","~~"),"*","~*"),"?","~?")))</f>
        <v>11.0</v>
      </c>
      <c r="G819" s="10">
        <f>IF($C819=0,"",COUNTIFS('DEF_SELF_SCOUT_IMPORT'!$L$42:$L$1040,"Y",'DEF_SELF_SCOUT_IMPORT'!$E$42:$E$1040,SUBSTITUTE(SUBSTITUTE(SUBSTITUTE($B819,"~","~~"),"*","~*"),"?","~?"),'DEF_SELF_SCOUT_IMPORT'!$Q$42:$Q$1040,SUBSTITUTE(SUBSTITUTE(SUBSTITUTE($M819,"~","~~"),"*","~*"),"?","~?"),'DEF_SELF_SCOUT_IMPORT'!$D$42:$D$1040,SUBSTITUTE(SUBSTITUTE(SUBSTITUTE($P819,"~","~~"),"*","~*"),"?","~?"),'DEF_SELF_SCOUT_IMPORT'!$H$42:$H$1040,"RUSH")/$C819)</f>
        <v>0.0</v>
      </c>
      <c r="H819" s="10">
        <f>IF($C819=0,"",COUNTIFS('DEF_SELF_SCOUT_IMPORT'!$L$42:$L$1040,"Y",'DEF_SELF_SCOUT_IMPORT'!$E$42:$E$1040,SUBSTITUTE(SUBSTITUTE(SUBSTITUTE($B819,"~","~~"),"*","~*"),"?","~?"),'DEF_SELF_SCOUT_IMPORT'!$Q$42:$Q$1040,SUBSTITUTE(SUBSTITUTE(SUBSTITUTE($M819,"~","~~"),"*","~*"),"?","~?"),'DEF_SELF_SCOUT_IMPORT'!$D$42:$D$1040,SUBSTITUTE(SUBSTITUTE(SUBSTITUTE($P819,"~","~~"),"*","~*"),"?","~?"),'DEF_SELF_SCOUT_IMPORT'!$H$42:$H$1040,"DROPBACK")/$C819)</f>
        <v>1.0</v>
      </c>
      <c r="I819" s="14" t="str">
        <f>IF(C819=0,"",IF(C819&lt;=2,"TRACK",IF(C819=3,"LOW",IF(C819&lt;=6,"MEDIUM","HIGH"))))</f>
        <v>TRACK</v>
      </c>
      <c r="J819" s="11">
        <f>IF(C819=0,"",ROUND(D819*70+(1-E819)*20+MAX(0,MIN(1,(10-F819)/10))*10,1))</f>
        <v>20.0</v>
      </c>
      <c r="K819" s="14" t="str">
        <f>IF(C819=0,"No Evidence",IF(C819&lt;=2,IF(E819&gt;0,"Explosive Alert","Track Only"),IF(C819=3,"Sample Watch",IF(E819&gt;=START_HERE!$B$31,"Explosive Alert",IF(J819&gt;=80,"Strong Candidate",IF(J819&gt;=65,"Good Candidate",IF(J819&gt;=50,"Mixed / Review","Problem Call")))))))</f>
        <v>Track Only</v>
      </c>
      <c r="L819" s="9" t="str">
        <f>IF(COUNTIFS('DEF_SELF_SCOUT_IMPORT'!$L$42:$L$1040,"Y",'DEF_SELF_SCOUT_IMPORT'!$E$42:$E$1040,SUBSTITUTE(SUBSTITUTE(SUBSTITUTE($B819,"~","~~"),"*","~*"),"?","~?"),'DEF_SELF_SCOUT_IMPORT'!$Q$42:$Q$1040,SUBSTITUTE(SUBSTITUTE(SUBSTITUTE($M819,"~","~~"),"*","~*"),"?","~?"),'DEF_SELF_SCOUT_IMPORT'!$D$42:$D$1040,SUBSTITUTE(SUBSTITUTE(SUBSTITUTE($P819,"~","~~"),"*","~*"),"?","~?"),'DEF_SELF_SCOUT_IMPORT'!$J$42:$J$1040,"")&gt;0,"Unscored clean outcome; review result tags before using score.",IF(C819=0,"No matching defensive reps; film confirmation needed.",IF(K819="Explosive Alert","Explosive risk; review clips before using as answer.",IF(C819&lt;=2,"Track only; not enough sample.",IF(C819=3,IF(E819&gt;0,"Sample watch with explosive exposure; review clips and build the sample.",IF(J819&gt;=65,"Good signal, but sample is limited.","Sample watch; review clips and build the sample.")),IF(K819="Problem Call","Problem area; practice or call-sheet review.",IF(K819="Strong Candidate","Strong call-fit candidate; confirm on film.",IF(K819="Good Candidate","Good call-fit signal; confirm on film.","Mixed signal; review fit and execution on film."))))))))</f>
        <v>Track only; not enough sample.</v>
      </c>
      <c r="M819" s="8" t="s">
        <v>39</v>
      </c>
      <c r="N819" s="8"/>
      <c r="O819" s="8"/>
      <c r="P819" s="8" t="s">
        <v>446</v>
      </c>
      <c r="Q819" s="8"/>
      <c r="R819" s="8" t="s">
        <v>429</v>
      </c>
      <c r="S819" s="2" t="s">
        <v>447</v>
      </c>
      <c r="T819" s="2">
        <f>IF(C819=0,0,IF(C819&gt;=CALL_LOOKUP_BOARD!$B$7,IF(OR(K819="Problem Call",K819="Explosive Alert"),10000000,20000000),0)+IF(C819&gt;=CALL_LOOKUP_BOARD!$B$7,J819*1000+MIN(C819,999),C819*1000+J819)+0.00999100)</f>
        <v>1020.009991</v>
      </c>
      <c r="U819" s="2">
        <f>IF(C819=0,"",IF(COUNTIFS($S$811:$S$1055,SUBSTITUTE(SUBSTITUTE(SUBSTITUTE(S819,"~","~~"),"*","~*"),"?","~?"),$T$811:$T$1055,"&gt;"&amp;T819)=0,S819,""))</f>
        <v/>
      </c>
    </row>
    <row r="820" spans="1:21" ht="38" customHeight="1">
      <c r="A820" s="8" t="s">
        <v>445</v>
      </c>
      <c r="B820" s="8" t="s">
        <v>48</v>
      </c>
      <c r="C820" s="12">
        <f>COUNTIFS('DEF_SELF_SCOUT_IMPORT'!$L$42:$L$1040,"Y",'DEF_SELF_SCOUT_IMPORT'!$E$42:$E$1040,SUBSTITUTE(SUBSTITUTE(SUBSTITUTE($B820,"~","~~"),"*","~*"),"?","~?"),'DEF_SELF_SCOUT_IMPORT'!$Q$42:$Q$1040,SUBSTITUTE(SUBSTITUTE(SUBSTITUTE($M820,"~","~~"),"*","~*"),"?","~?"),'DEF_SELF_SCOUT_IMPORT'!$D$42:$D$1040,SUBSTITUTE(SUBSTITUTE(SUBSTITUTE($P820,"~","~~"),"*","~*"),"?","~?"))</f>
        <v>1</v>
      </c>
      <c r="D820" s="10">
        <f>IF($C820=0,"",SUMIFS('DEF_SELF_SCOUT_IMPORT'!$J$42:$J$1040,'DEF_SELF_SCOUT_IMPORT'!$L$42:$L$1040,"Y",'DEF_SELF_SCOUT_IMPORT'!$E$42:$E$1040,SUBSTITUTE(SUBSTITUTE(SUBSTITUTE($B820,"~","~~"),"*","~*"),"?","~?"),'DEF_SELF_SCOUT_IMPORT'!$Q$42:$Q$1040,SUBSTITUTE(SUBSTITUTE(SUBSTITUTE($M820,"~","~~"),"*","~*"),"?","~?"),'DEF_SELF_SCOUT_IMPORT'!$D$42:$D$1040,SUBSTITUTE(SUBSTITUTE(SUBSTITUTE($P820,"~","~~"),"*","~*"),"?","~?"))/$C820)</f>
        <v>1.0</v>
      </c>
      <c r="E820" s="10">
        <f>IF($C820=0,"",SUMIFS('DEF_SELF_SCOUT_IMPORT'!$K$42:$K$1040,'DEF_SELF_SCOUT_IMPORT'!$L$42:$L$1040,"Y",'DEF_SELF_SCOUT_IMPORT'!$E$42:$E$1040,SUBSTITUTE(SUBSTITUTE(SUBSTITUTE($B820,"~","~~"),"*","~*"),"?","~?"),'DEF_SELF_SCOUT_IMPORT'!$Q$42:$Q$1040,SUBSTITUTE(SUBSTITUTE(SUBSTITUTE($M820,"~","~~"),"*","~*"),"?","~?"),'DEF_SELF_SCOUT_IMPORT'!$D$42:$D$1040,SUBSTITUTE(SUBSTITUTE(SUBSTITUTE($P820,"~","~~"),"*","~*"),"?","~?"))/$C820)</f>
        <v>0.0</v>
      </c>
      <c r="F820" s="11">
        <f>IF($C820=0,"",AVERAGEIFS('DEF_SELF_SCOUT_IMPORT'!$I$42:$I$1040,'DEF_SELF_SCOUT_IMPORT'!$L$42:$L$1040,"Y",'DEF_SELF_SCOUT_IMPORT'!$E$42:$E$1040,SUBSTITUTE(SUBSTITUTE(SUBSTITUTE($B820,"~","~~"),"*","~*"),"?","~?"),'DEF_SELF_SCOUT_IMPORT'!$Q$42:$Q$1040,SUBSTITUTE(SUBSTITUTE(SUBSTITUTE($M820,"~","~~"),"*","~*"),"?","~?"),'DEF_SELF_SCOUT_IMPORT'!$D$42:$D$1040,SUBSTITUTE(SUBSTITUTE(SUBSTITUTE($P820,"~","~~"),"*","~*"),"?","~?")))</f>
        <v>6.0</v>
      </c>
      <c r="G820" s="10">
        <f>IF($C820=0,"",COUNTIFS('DEF_SELF_SCOUT_IMPORT'!$L$42:$L$1040,"Y",'DEF_SELF_SCOUT_IMPORT'!$E$42:$E$1040,SUBSTITUTE(SUBSTITUTE(SUBSTITUTE($B820,"~","~~"),"*","~*"),"?","~?"),'DEF_SELF_SCOUT_IMPORT'!$Q$42:$Q$1040,SUBSTITUTE(SUBSTITUTE(SUBSTITUTE($M820,"~","~~"),"*","~*"),"?","~?"),'DEF_SELF_SCOUT_IMPORT'!$D$42:$D$1040,SUBSTITUTE(SUBSTITUTE(SUBSTITUTE($P820,"~","~~"),"*","~*"),"?","~?"),'DEF_SELF_SCOUT_IMPORT'!$H$42:$H$1040,"RUSH")/$C820)</f>
        <v>0.0</v>
      </c>
      <c r="H820" s="10">
        <f>IF($C820=0,"",COUNTIFS('DEF_SELF_SCOUT_IMPORT'!$L$42:$L$1040,"Y",'DEF_SELF_SCOUT_IMPORT'!$E$42:$E$1040,SUBSTITUTE(SUBSTITUTE(SUBSTITUTE($B820,"~","~~"),"*","~*"),"?","~?"),'DEF_SELF_SCOUT_IMPORT'!$Q$42:$Q$1040,SUBSTITUTE(SUBSTITUTE(SUBSTITUTE($M820,"~","~~"),"*","~*"),"?","~?"),'DEF_SELF_SCOUT_IMPORT'!$D$42:$D$1040,SUBSTITUTE(SUBSTITUTE(SUBSTITUTE($P820,"~","~~"),"*","~*"),"?","~?"),'DEF_SELF_SCOUT_IMPORT'!$H$42:$H$1040,"DROPBACK")/$C820)</f>
        <v>1.0</v>
      </c>
      <c r="I820" s="14" t="str">
        <f>IF(C820=0,"",IF(C820&lt;=2,"TRACK",IF(C820=3,"LOW",IF(C820&lt;=6,"MEDIUM","HIGH"))))</f>
        <v>TRACK</v>
      </c>
      <c r="J820" s="11">
        <f>IF(C820=0,"",ROUND(D820*70+(1-E820)*20+MAX(0,MIN(1,(10-F820)/10))*10,1))</f>
        <v>94.0</v>
      </c>
      <c r="K820" s="14" t="str">
        <f>IF(C820=0,"No Evidence",IF(C820&lt;=2,IF(E820&gt;0,"Explosive Alert","Track Only"),IF(C820=3,"Sample Watch",IF(E820&gt;=START_HERE!$B$31,"Explosive Alert",IF(J820&gt;=80,"Strong Candidate",IF(J820&gt;=65,"Good Candidate",IF(J820&gt;=50,"Mixed / Review","Problem Call")))))))</f>
        <v>Track Only</v>
      </c>
      <c r="L820" s="9" t="str">
        <f>IF(COUNTIFS('DEF_SELF_SCOUT_IMPORT'!$L$42:$L$1040,"Y",'DEF_SELF_SCOUT_IMPORT'!$E$42:$E$1040,SUBSTITUTE(SUBSTITUTE(SUBSTITUTE($B820,"~","~~"),"*","~*"),"?","~?"),'DEF_SELF_SCOUT_IMPORT'!$Q$42:$Q$1040,SUBSTITUTE(SUBSTITUTE(SUBSTITUTE($M820,"~","~~"),"*","~*"),"?","~?"),'DEF_SELF_SCOUT_IMPORT'!$D$42:$D$1040,SUBSTITUTE(SUBSTITUTE(SUBSTITUTE($P820,"~","~~"),"*","~*"),"?","~?"),'DEF_SELF_SCOUT_IMPORT'!$J$42:$J$1040,"")&gt;0,"Unscored clean outcome; review result tags before using score.",IF(C820=0,"No matching defensive reps; film confirmation needed.",IF(K820="Explosive Alert","Explosive risk; review clips before using as answer.",IF(C820&lt;=2,"Track only; not enough sample.",IF(C820=3,IF(E820&gt;0,"Sample watch with explosive exposure; review clips and build the sample.",IF(J820&gt;=65,"Good signal, but sample is limited.","Sample watch; review clips and build the sample.")),IF(K820="Problem Call","Problem area; practice or call-sheet review.",IF(K820="Strong Candidate","Strong call-fit candidate; confirm on film.",IF(K820="Good Candidate","Good call-fit signal; confirm on film.","Mixed signal; review fit and execution on film."))))))))</f>
        <v>Track only; not enough sample.</v>
      </c>
      <c r="M820" s="8" t="s">
        <v>39</v>
      </c>
      <c r="N820" s="8"/>
      <c r="O820" s="8"/>
      <c r="P820" s="8" t="s">
        <v>446</v>
      </c>
      <c r="Q820" s="8"/>
      <c r="R820" s="8" t="s">
        <v>429</v>
      </c>
      <c r="S820" s="2" t="s">
        <v>447</v>
      </c>
      <c r="T820" s="2">
        <f>IF(C820=0,0,IF(C820&gt;=CALL_LOOKUP_BOARD!$B$7,IF(OR(K820="Problem Call",K820="Explosive Alert"),10000000,20000000),0)+IF(C820&gt;=CALL_LOOKUP_BOARD!$B$7,J820*1000+MIN(C820,999),C820*1000+J820)+0.00999000)</f>
        <v>1094.00999</v>
      </c>
      <c r="U820" s="2">
        <f>IF(C820=0,"",IF(COUNTIFS($S$811:$S$1055,SUBSTITUTE(SUBSTITUTE(SUBSTITUTE(S820,"~","~~"),"*","~*"),"?","~?"),$T$811:$T$1055,"&gt;"&amp;T820)=0,S820,""))</f>
        <v/>
      </c>
    </row>
    <row r="821" spans="1:21" ht="38" customHeight="1">
      <c r="A821" s="8" t="s">
        <v>445</v>
      </c>
      <c r="B821" s="8" t="s">
        <v>53</v>
      </c>
      <c r="C821" s="12">
        <f>COUNTIFS('DEF_SELF_SCOUT_IMPORT'!$L$42:$L$1040,"Y",'DEF_SELF_SCOUT_IMPORT'!$E$42:$E$1040,SUBSTITUTE(SUBSTITUTE(SUBSTITUTE($B821,"~","~~"),"*","~*"),"?","~?"),'DEF_SELF_SCOUT_IMPORT'!$Q$42:$Q$1040,SUBSTITUTE(SUBSTITUTE(SUBSTITUTE($M821,"~","~~"),"*","~*"),"?","~?"),'DEF_SELF_SCOUT_IMPORT'!$D$42:$D$1040,SUBSTITUTE(SUBSTITUTE(SUBSTITUTE($P821,"~","~~"),"*","~*"),"?","~?"))</f>
        <v>1</v>
      </c>
      <c r="D821" s="10">
        <f>IF($C821=0,"",SUMIFS('DEF_SELF_SCOUT_IMPORT'!$J$42:$J$1040,'DEF_SELF_SCOUT_IMPORT'!$L$42:$L$1040,"Y",'DEF_SELF_SCOUT_IMPORT'!$E$42:$E$1040,SUBSTITUTE(SUBSTITUTE(SUBSTITUTE($B821,"~","~~"),"*","~*"),"?","~?"),'DEF_SELF_SCOUT_IMPORT'!$Q$42:$Q$1040,SUBSTITUTE(SUBSTITUTE(SUBSTITUTE($M821,"~","~~"),"*","~*"),"?","~?"),'DEF_SELF_SCOUT_IMPORT'!$D$42:$D$1040,SUBSTITUTE(SUBSTITUTE(SUBSTITUTE($P821,"~","~~"),"*","~*"),"?","~?"))/$C821)</f>
        <v>1.0</v>
      </c>
      <c r="E821" s="10">
        <f>IF($C821=0,"",SUMIFS('DEF_SELF_SCOUT_IMPORT'!$K$42:$K$1040,'DEF_SELF_SCOUT_IMPORT'!$L$42:$L$1040,"Y",'DEF_SELF_SCOUT_IMPORT'!$E$42:$E$1040,SUBSTITUTE(SUBSTITUTE(SUBSTITUTE($B821,"~","~~"),"*","~*"),"?","~?"),'DEF_SELF_SCOUT_IMPORT'!$Q$42:$Q$1040,SUBSTITUTE(SUBSTITUTE(SUBSTITUTE($M821,"~","~~"),"*","~*"),"?","~?"),'DEF_SELF_SCOUT_IMPORT'!$D$42:$D$1040,SUBSTITUTE(SUBSTITUTE(SUBSTITUTE($P821,"~","~~"),"*","~*"),"?","~?"))/$C821)</f>
        <v>0.0</v>
      </c>
      <c r="F821" s="11">
        <f>IF($C821=0,"",AVERAGEIFS('DEF_SELF_SCOUT_IMPORT'!$I$42:$I$1040,'DEF_SELF_SCOUT_IMPORT'!$L$42:$L$1040,"Y",'DEF_SELF_SCOUT_IMPORT'!$E$42:$E$1040,SUBSTITUTE(SUBSTITUTE(SUBSTITUTE($B821,"~","~~"),"*","~*"),"?","~?"),'DEF_SELF_SCOUT_IMPORT'!$Q$42:$Q$1040,SUBSTITUTE(SUBSTITUTE(SUBSTITUTE($M821,"~","~~"),"*","~*"),"?","~?"),'DEF_SELF_SCOUT_IMPORT'!$D$42:$D$1040,SUBSTITUTE(SUBSTITUTE(SUBSTITUTE($P821,"~","~~"),"*","~*"),"?","~?")))</f>
        <v>6.0</v>
      </c>
      <c r="G821" s="10">
        <f>IF($C821=0,"",COUNTIFS('DEF_SELF_SCOUT_IMPORT'!$L$42:$L$1040,"Y",'DEF_SELF_SCOUT_IMPORT'!$E$42:$E$1040,SUBSTITUTE(SUBSTITUTE(SUBSTITUTE($B821,"~","~~"),"*","~*"),"?","~?"),'DEF_SELF_SCOUT_IMPORT'!$Q$42:$Q$1040,SUBSTITUTE(SUBSTITUTE(SUBSTITUTE($M821,"~","~~"),"*","~*"),"?","~?"),'DEF_SELF_SCOUT_IMPORT'!$D$42:$D$1040,SUBSTITUTE(SUBSTITUTE(SUBSTITUTE($P821,"~","~~"),"*","~*"),"?","~?"),'DEF_SELF_SCOUT_IMPORT'!$H$42:$H$1040,"RUSH")/$C821)</f>
        <v>0.0</v>
      </c>
      <c r="H821" s="10">
        <f>IF($C821=0,"",COUNTIFS('DEF_SELF_SCOUT_IMPORT'!$L$42:$L$1040,"Y",'DEF_SELF_SCOUT_IMPORT'!$E$42:$E$1040,SUBSTITUTE(SUBSTITUTE(SUBSTITUTE($B821,"~","~~"),"*","~*"),"?","~?"),'DEF_SELF_SCOUT_IMPORT'!$Q$42:$Q$1040,SUBSTITUTE(SUBSTITUTE(SUBSTITUTE($M821,"~","~~"),"*","~*"),"?","~?"),'DEF_SELF_SCOUT_IMPORT'!$D$42:$D$1040,SUBSTITUTE(SUBSTITUTE(SUBSTITUTE($P821,"~","~~"),"*","~*"),"?","~?"),'DEF_SELF_SCOUT_IMPORT'!$H$42:$H$1040,"DROPBACK")/$C821)</f>
        <v>1.0</v>
      </c>
      <c r="I821" s="14" t="str">
        <f>IF(C821=0,"",IF(C821&lt;=2,"TRACK",IF(C821=3,"LOW",IF(C821&lt;=6,"MEDIUM","HIGH"))))</f>
        <v>TRACK</v>
      </c>
      <c r="J821" s="11">
        <f>IF(C821=0,"",ROUND(D821*70+(1-E821)*20+MAX(0,MIN(1,(10-F821)/10))*10,1))</f>
        <v>94.0</v>
      </c>
      <c r="K821" s="14" t="str">
        <f>IF(C821=0,"No Evidence",IF(C821&lt;=2,IF(E821&gt;0,"Explosive Alert","Track Only"),IF(C821=3,"Sample Watch",IF(E821&gt;=START_HERE!$B$31,"Explosive Alert",IF(J821&gt;=80,"Strong Candidate",IF(J821&gt;=65,"Good Candidate",IF(J821&gt;=50,"Mixed / Review","Problem Call")))))))</f>
        <v>Track Only</v>
      </c>
      <c r="L821" s="9" t="str">
        <f>IF(COUNTIFS('DEF_SELF_SCOUT_IMPORT'!$L$42:$L$1040,"Y",'DEF_SELF_SCOUT_IMPORT'!$E$42:$E$1040,SUBSTITUTE(SUBSTITUTE(SUBSTITUTE($B821,"~","~~"),"*","~*"),"?","~?"),'DEF_SELF_SCOUT_IMPORT'!$Q$42:$Q$1040,SUBSTITUTE(SUBSTITUTE(SUBSTITUTE($M821,"~","~~"),"*","~*"),"?","~?"),'DEF_SELF_SCOUT_IMPORT'!$D$42:$D$1040,SUBSTITUTE(SUBSTITUTE(SUBSTITUTE($P821,"~","~~"),"*","~*"),"?","~?"),'DEF_SELF_SCOUT_IMPORT'!$J$42:$J$1040,"")&gt;0,"Unscored clean outcome; review result tags before using score.",IF(C821=0,"No matching defensive reps; film confirmation needed.",IF(K821="Explosive Alert","Explosive risk; review clips before using as answer.",IF(C821&lt;=2,"Track only; not enough sample.",IF(C821=3,IF(E821&gt;0,"Sample watch with explosive exposure; review clips and build the sample.",IF(J821&gt;=65,"Good signal, but sample is limited.","Sample watch; review clips and build the sample.")),IF(K821="Problem Call","Problem area; practice or call-sheet review.",IF(K821="Strong Candidate","Strong call-fit candidate; confirm on film.",IF(K821="Good Candidate","Good call-fit signal; confirm on film.","Mixed signal; review fit and execution on film."))))))))</f>
        <v>Track only; not enough sample.</v>
      </c>
      <c r="M821" s="8" t="s">
        <v>39</v>
      </c>
      <c r="N821" s="8"/>
      <c r="O821" s="8"/>
      <c r="P821" s="8" t="s">
        <v>446</v>
      </c>
      <c r="Q821" s="8"/>
      <c r="R821" s="8" t="s">
        <v>429</v>
      </c>
      <c r="S821" s="2" t="s">
        <v>447</v>
      </c>
      <c r="T821" s="2">
        <f>IF(C821=0,0,IF(C821&gt;=CALL_LOOKUP_BOARD!$B$7,IF(OR(K821="Problem Call",K821="Explosive Alert"),10000000,20000000),0)+IF(C821&gt;=CALL_LOOKUP_BOARD!$B$7,J821*1000+MIN(C821,999),C821*1000+J821)+0.00998900)</f>
        <v>1094.009989</v>
      </c>
      <c r="U821" s="2">
        <f>IF(C821=0,"",IF(COUNTIFS($S$811:$S$1055,SUBSTITUTE(SUBSTITUTE(SUBSTITUTE(S821,"~","~~"),"*","~*"),"?","~?"),$T$811:$T$1055,"&gt;"&amp;T821)=0,S821,""))</f>
        <v/>
      </c>
    </row>
    <row r="822" spans="1:21" ht="38" customHeight="1">
      <c r="A822" s="8" t="s">
        <v>445</v>
      </c>
      <c r="B822" s="8" t="s">
        <v>60</v>
      </c>
      <c r="C822" s="12">
        <f>COUNTIFS('DEF_SELF_SCOUT_IMPORT'!$L$42:$L$1040,"Y",'DEF_SELF_SCOUT_IMPORT'!$E$42:$E$1040,SUBSTITUTE(SUBSTITUTE(SUBSTITUTE($B822,"~","~~"),"*","~*"),"?","~?"),'DEF_SELF_SCOUT_IMPORT'!$Q$42:$Q$1040,SUBSTITUTE(SUBSTITUTE(SUBSTITUTE($M822,"~","~~"),"*","~*"),"?","~?"),'DEF_SELF_SCOUT_IMPORT'!$D$42:$D$1040,SUBSTITUTE(SUBSTITUTE(SUBSTITUTE($P822,"~","~~"),"*","~*"),"?","~?"))</f>
        <v>1</v>
      </c>
      <c r="D822" s="10">
        <f>IF($C822=0,"",SUMIFS('DEF_SELF_SCOUT_IMPORT'!$J$42:$J$1040,'DEF_SELF_SCOUT_IMPORT'!$L$42:$L$1040,"Y",'DEF_SELF_SCOUT_IMPORT'!$E$42:$E$1040,SUBSTITUTE(SUBSTITUTE(SUBSTITUTE($B822,"~","~~"),"*","~*"),"?","~?"),'DEF_SELF_SCOUT_IMPORT'!$Q$42:$Q$1040,SUBSTITUTE(SUBSTITUTE(SUBSTITUTE($M822,"~","~~"),"*","~*"),"?","~?"),'DEF_SELF_SCOUT_IMPORT'!$D$42:$D$1040,SUBSTITUTE(SUBSTITUTE(SUBSTITUTE($P822,"~","~~"),"*","~*"),"?","~?"))/$C822)</f>
        <v>1.0</v>
      </c>
      <c r="E822" s="10">
        <f>IF($C822=0,"",SUMIFS('DEF_SELF_SCOUT_IMPORT'!$K$42:$K$1040,'DEF_SELF_SCOUT_IMPORT'!$L$42:$L$1040,"Y",'DEF_SELF_SCOUT_IMPORT'!$E$42:$E$1040,SUBSTITUTE(SUBSTITUTE(SUBSTITUTE($B822,"~","~~"),"*","~*"),"?","~?"),'DEF_SELF_SCOUT_IMPORT'!$Q$42:$Q$1040,SUBSTITUTE(SUBSTITUTE(SUBSTITUTE($M822,"~","~~"),"*","~*"),"?","~?"),'DEF_SELF_SCOUT_IMPORT'!$D$42:$D$1040,SUBSTITUTE(SUBSTITUTE(SUBSTITUTE($P822,"~","~~"),"*","~*"),"?","~?"))/$C822)</f>
        <v>0.0</v>
      </c>
      <c r="F822" s="11">
        <f>IF($C822=0,"",AVERAGEIFS('DEF_SELF_SCOUT_IMPORT'!$I$42:$I$1040,'DEF_SELF_SCOUT_IMPORT'!$L$42:$L$1040,"Y",'DEF_SELF_SCOUT_IMPORT'!$E$42:$E$1040,SUBSTITUTE(SUBSTITUTE(SUBSTITUTE($B822,"~","~~"),"*","~*"),"?","~?"),'DEF_SELF_SCOUT_IMPORT'!$Q$42:$Q$1040,SUBSTITUTE(SUBSTITUTE(SUBSTITUTE($M822,"~","~~"),"*","~*"),"?","~?"),'DEF_SELF_SCOUT_IMPORT'!$D$42:$D$1040,SUBSTITUTE(SUBSTITUTE(SUBSTITUTE($P822,"~","~~"),"*","~*"),"?","~?")))</f>
        <v>3.0</v>
      </c>
      <c r="G822" s="10">
        <f>IF($C822=0,"",COUNTIFS('DEF_SELF_SCOUT_IMPORT'!$L$42:$L$1040,"Y",'DEF_SELF_SCOUT_IMPORT'!$E$42:$E$1040,SUBSTITUTE(SUBSTITUTE(SUBSTITUTE($B822,"~","~~"),"*","~*"),"?","~?"),'DEF_SELF_SCOUT_IMPORT'!$Q$42:$Q$1040,SUBSTITUTE(SUBSTITUTE(SUBSTITUTE($M822,"~","~~"),"*","~*"),"?","~?"),'DEF_SELF_SCOUT_IMPORT'!$D$42:$D$1040,SUBSTITUTE(SUBSTITUTE(SUBSTITUTE($P822,"~","~~"),"*","~*"),"?","~?"),'DEF_SELF_SCOUT_IMPORT'!$H$42:$H$1040,"RUSH")/$C822)</f>
        <v>0.0</v>
      </c>
      <c r="H822" s="10">
        <f>IF($C822=0,"",COUNTIFS('DEF_SELF_SCOUT_IMPORT'!$L$42:$L$1040,"Y",'DEF_SELF_SCOUT_IMPORT'!$E$42:$E$1040,SUBSTITUTE(SUBSTITUTE(SUBSTITUTE($B822,"~","~~"),"*","~*"),"?","~?"),'DEF_SELF_SCOUT_IMPORT'!$Q$42:$Q$1040,SUBSTITUTE(SUBSTITUTE(SUBSTITUTE($M822,"~","~~"),"*","~*"),"?","~?"),'DEF_SELF_SCOUT_IMPORT'!$D$42:$D$1040,SUBSTITUTE(SUBSTITUTE(SUBSTITUTE($P822,"~","~~"),"*","~*"),"?","~?"),'DEF_SELF_SCOUT_IMPORT'!$H$42:$H$1040,"DROPBACK")/$C822)</f>
        <v>1.0</v>
      </c>
      <c r="I822" s="14" t="str">
        <f>IF(C822=0,"",IF(C822&lt;=2,"TRACK",IF(C822=3,"LOW",IF(C822&lt;=6,"MEDIUM","HIGH"))))</f>
        <v>TRACK</v>
      </c>
      <c r="J822" s="11">
        <f>IF(C822=0,"",ROUND(D822*70+(1-E822)*20+MAX(0,MIN(1,(10-F822)/10))*10,1))</f>
        <v>97.0</v>
      </c>
      <c r="K822" s="14" t="str">
        <f>IF(C822=0,"No Evidence",IF(C822&lt;=2,IF(E822&gt;0,"Explosive Alert","Track Only"),IF(C822=3,"Sample Watch",IF(E822&gt;=START_HERE!$B$31,"Explosive Alert",IF(J822&gt;=80,"Strong Candidate",IF(J822&gt;=65,"Good Candidate",IF(J822&gt;=50,"Mixed / Review","Problem Call")))))))</f>
        <v>Track Only</v>
      </c>
      <c r="L822" s="9" t="str">
        <f>IF(COUNTIFS('DEF_SELF_SCOUT_IMPORT'!$L$42:$L$1040,"Y",'DEF_SELF_SCOUT_IMPORT'!$E$42:$E$1040,SUBSTITUTE(SUBSTITUTE(SUBSTITUTE($B822,"~","~~"),"*","~*"),"?","~?"),'DEF_SELF_SCOUT_IMPORT'!$Q$42:$Q$1040,SUBSTITUTE(SUBSTITUTE(SUBSTITUTE($M822,"~","~~"),"*","~*"),"?","~?"),'DEF_SELF_SCOUT_IMPORT'!$D$42:$D$1040,SUBSTITUTE(SUBSTITUTE(SUBSTITUTE($P822,"~","~~"),"*","~*"),"?","~?"),'DEF_SELF_SCOUT_IMPORT'!$J$42:$J$1040,"")&gt;0,"Unscored clean outcome; review result tags before using score.",IF(C822=0,"No matching defensive reps; film confirmation needed.",IF(K822="Explosive Alert","Explosive risk; review clips before using as answer.",IF(C822&lt;=2,"Track only; not enough sample.",IF(C822=3,IF(E822&gt;0,"Sample watch with explosive exposure; review clips and build the sample.",IF(J822&gt;=65,"Good signal, but sample is limited.","Sample watch; review clips and build the sample.")),IF(K822="Problem Call","Problem area; practice or call-sheet review.",IF(K822="Strong Candidate","Strong call-fit candidate; confirm on film.",IF(K822="Good Candidate","Good call-fit signal; confirm on film.","Mixed signal; review fit and execution on film."))))))))</f>
        <v>Track only; not enough sample.</v>
      </c>
      <c r="M822" s="8" t="s">
        <v>39</v>
      </c>
      <c r="N822" s="8"/>
      <c r="O822" s="8"/>
      <c r="P822" s="8" t="s">
        <v>446</v>
      </c>
      <c r="Q822" s="8"/>
      <c r="R822" s="8" t="s">
        <v>429</v>
      </c>
      <c r="S822" s="2" t="s">
        <v>447</v>
      </c>
      <c r="T822" s="2">
        <f>IF(C822=0,0,IF(C822&gt;=CALL_LOOKUP_BOARD!$B$7,IF(OR(K822="Problem Call",K822="Explosive Alert"),10000000,20000000),0)+IF(C822&gt;=CALL_LOOKUP_BOARD!$B$7,J822*1000+MIN(C822,999),C822*1000+J822)+0.00998800)</f>
        <v>1097.009988</v>
      </c>
      <c r="U822" s="2">
        <f>IF(C822=0,"",IF(COUNTIFS($S$811:$S$1055,SUBSTITUTE(SUBSTITUTE(SUBSTITUTE(S822,"~","~~"),"*","~*"),"?","~?"),$T$811:$T$1055,"&gt;"&amp;T822)=0,S822,""))</f>
        <v/>
      </c>
    </row>
    <row r="823" spans="1:21" ht="38" customHeight="1">
      <c r="A823" s="8" t="s">
        <v>445</v>
      </c>
      <c r="B823" s="8" t="s">
        <v>65</v>
      </c>
      <c r="C823" s="12">
        <f>COUNTIFS('DEF_SELF_SCOUT_IMPORT'!$L$42:$L$1040,"Y",'DEF_SELF_SCOUT_IMPORT'!$E$42:$E$1040,SUBSTITUTE(SUBSTITUTE(SUBSTITUTE($B823,"~","~~"),"*","~*"),"?","~?"),'DEF_SELF_SCOUT_IMPORT'!$Q$42:$Q$1040,SUBSTITUTE(SUBSTITUTE(SUBSTITUTE($M823,"~","~~"),"*","~*"),"?","~?"),'DEF_SELF_SCOUT_IMPORT'!$D$42:$D$1040,SUBSTITUTE(SUBSTITUTE(SUBSTITUTE($P823,"~","~~"),"*","~*"),"?","~?"))</f>
        <v>1</v>
      </c>
      <c r="D823" s="10">
        <f>IF($C823=0,"",SUMIFS('DEF_SELF_SCOUT_IMPORT'!$J$42:$J$1040,'DEF_SELF_SCOUT_IMPORT'!$L$42:$L$1040,"Y",'DEF_SELF_SCOUT_IMPORT'!$E$42:$E$1040,SUBSTITUTE(SUBSTITUTE(SUBSTITUTE($B823,"~","~~"),"*","~*"),"?","~?"),'DEF_SELF_SCOUT_IMPORT'!$Q$42:$Q$1040,SUBSTITUTE(SUBSTITUTE(SUBSTITUTE($M823,"~","~~"),"*","~*"),"?","~?"),'DEF_SELF_SCOUT_IMPORT'!$D$42:$D$1040,SUBSTITUTE(SUBSTITUTE(SUBSTITUTE($P823,"~","~~"),"*","~*"),"?","~?"))/$C823)</f>
        <v>1.0</v>
      </c>
      <c r="E823" s="10">
        <f>IF($C823=0,"",SUMIFS('DEF_SELF_SCOUT_IMPORT'!$K$42:$K$1040,'DEF_SELF_SCOUT_IMPORT'!$L$42:$L$1040,"Y",'DEF_SELF_SCOUT_IMPORT'!$E$42:$E$1040,SUBSTITUTE(SUBSTITUTE(SUBSTITUTE($B823,"~","~~"),"*","~*"),"?","~?"),'DEF_SELF_SCOUT_IMPORT'!$Q$42:$Q$1040,SUBSTITUTE(SUBSTITUTE(SUBSTITUTE($M823,"~","~~"),"*","~*"),"?","~?"),'DEF_SELF_SCOUT_IMPORT'!$D$42:$D$1040,SUBSTITUTE(SUBSTITUTE(SUBSTITUTE($P823,"~","~~"),"*","~*"),"?","~?"))/$C823)</f>
        <v>0.0</v>
      </c>
      <c r="F823" s="11">
        <f>IF($C823=0,"",AVERAGEIFS('DEF_SELF_SCOUT_IMPORT'!$I$42:$I$1040,'DEF_SELF_SCOUT_IMPORT'!$L$42:$L$1040,"Y",'DEF_SELF_SCOUT_IMPORT'!$E$42:$E$1040,SUBSTITUTE(SUBSTITUTE(SUBSTITUTE($B823,"~","~~"),"*","~*"),"?","~?"),'DEF_SELF_SCOUT_IMPORT'!$Q$42:$Q$1040,SUBSTITUTE(SUBSTITUTE(SUBSTITUTE($M823,"~","~~"),"*","~*"),"?","~?"),'DEF_SELF_SCOUT_IMPORT'!$D$42:$D$1040,SUBSTITUTE(SUBSTITUTE(SUBSTITUTE($P823,"~","~~"),"*","~*"),"?","~?")))</f>
        <v>0.0</v>
      </c>
      <c r="G823" s="10">
        <f>IF($C823=0,"",COUNTIFS('DEF_SELF_SCOUT_IMPORT'!$L$42:$L$1040,"Y",'DEF_SELF_SCOUT_IMPORT'!$E$42:$E$1040,SUBSTITUTE(SUBSTITUTE(SUBSTITUTE($B823,"~","~~"),"*","~*"),"?","~?"),'DEF_SELF_SCOUT_IMPORT'!$Q$42:$Q$1040,SUBSTITUTE(SUBSTITUTE(SUBSTITUTE($M823,"~","~~"),"*","~*"),"?","~?"),'DEF_SELF_SCOUT_IMPORT'!$D$42:$D$1040,SUBSTITUTE(SUBSTITUTE(SUBSTITUTE($P823,"~","~~"),"*","~*"),"?","~?"),'DEF_SELF_SCOUT_IMPORT'!$H$42:$H$1040,"RUSH")/$C823)</f>
        <v>0.0</v>
      </c>
      <c r="H823" s="10">
        <f>IF($C823=0,"",COUNTIFS('DEF_SELF_SCOUT_IMPORT'!$L$42:$L$1040,"Y",'DEF_SELF_SCOUT_IMPORT'!$E$42:$E$1040,SUBSTITUTE(SUBSTITUTE(SUBSTITUTE($B823,"~","~~"),"*","~*"),"?","~?"),'DEF_SELF_SCOUT_IMPORT'!$Q$42:$Q$1040,SUBSTITUTE(SUBSTITUTE(SUBSTITUTE($M823,"~","~~"),"*","~*"),"?","~?"),'DEF_SELF_SCOUT_IMPORT'!$D$42:$D$1040,SUBSTITUTE(SUBSTITUTE(SUBSTITUTE($P823,"~","~~"),"*","~*"),"?","~?"),'DEF_SELF_SCOUT_IMPORT'!$H$42:$H$1040,"DROPBACK")/$C823)</f>
        <v>1.0</v>
      </c>
      <c r="I823" s="14" t="str">
        <f>IF(C823=0,"",IF(C823&lt;=2,"TRACK",IF(C823=3,"LOW",IF(C823&lt;=6,"MEDIUM","HIGH"))))</f>
        <v>TRACK</v>
      </c>
      <c r="J823" s="11">
        <f>IF(C823=0,"",ROUND(D823*70+(1-E823)*20+MAX(0,MIN(1,(10-F823)/10))*10,1))</f>
        <v>100.0</v>
      </c>
      <c r="K823" s="14" t="str">
        <f>IF(C823=0,"No Evidence",IF(C823&lt;=2,IF(E823&gt;0,"Explosive Alert","Track Only"),IF(C823=3,"Sample Watch",IF(E823&gt;=START_HERE!$B$31,"Explosive Alert",IF(J823&gt;=80,"Strong Candidate",IF(J823&gt;=65,"Good Candidate",IF(J823&gt;=50,"Mixed / Review","Problem Call")))))))</f>
        <v>Track Only</v>
      </c>
      <c r="L823" s="9" t="str">
        <f>IF(COUNTIFS('DEF_SELF_SCOUT_IMPORT'!$L$42:$L$1040,"Y",'DEF_SELF_SCOUT_IMPORT'!$E$42:$E$1040,SUBSTITUTE(SUBSTITUTE(SUBSTITUTE($B823,"~","~~"),"*","~*"),"?","~?"),'DEF_SELF_SCOUT_IMPORT'!$Q$42:$Q$1040,SUBSTITUTE(SUBSTITUTE(SUBSTITUTE($M823,"~","~~"),"*","~*"),"?","~?"),'DEF_SELF_SCOUT_IMPORT'!$D$42:$D$1040,SUBSTITUTE(SUBSTITUTE(SUBSTITUTE($P823,"~","~~"),"*","~*"),"?","~?"),'DEF_SELF_SCOUT_IMPORT'!$J$42:$J$1040,"")&gt;0,"Unscored clean outcome; review result tags before using score.",IF(C823=0,"No matching defensive reps; film confirmation needed.",IF(K823="Explosive Alert","Explosive risk; review clips before using as answer.",IF(C823&lt;=2,"Track only; not enough sample.",IF(C823=3,IF(E823&gt;0,"Sample watch with explosive exposure; review clips and build the sample.",IF(J823&gt;=65,"Good signal, but sample is limited.","Sample watch; review clips and build the sample.")),IF(K823="Problem Call","Problem area; practice or call-sheet review.",IF(K823="Strong Candidate","Strong call-fit candidate; confirm on film.",IF(K823="Good Candidate","Good call-fit signal; confirm on film.","Mixed signal; review fit and execution on film."))))))))</f>
        <v>Track only; not enough sample.</v>
      </c>
      <c r="M823" s="8" t="s">
        <v>39</v>
      </c>
      <c r="N823" s="8"/>
      <c r="O823" s="8"/>
      <c r="P823" s="8" t="s">
        <v>446</v>
      </c>
      <c r="Q823" s="8"/>
      <c r="R823" s="8" t="s">
        <v>429</v>
      </c>
      <c r="S823" s="2" t="s">
        <v>447</v>
      </c>
      <c r="T823" s="2">
        <f>IF(C823=0,0,IF(C823&gt;=CALL_LOOKUP_BOARD!$B$7,IF(OR(K823="Problem Call",K823="Explosive Alert"),10000000,20000000),0)+IF(C823&gt;=CALL_LOOKUP_BOARD!$B$7,J823*1000+MIN(C823,999),C823*1000+J823)+0.00998700)</f>
        <v>1100.009987</v>
      </c>
      <c r="U823" s="2" t="str">
        <f>IF(C823=0,"",IF(COUNTIFS($S$811:$S$1055,SUBSTITUTE(SUBSTITUTE(SUBSTITUTE(S823,"~","~~"),"*","~*"),"?","~?"),$T$811:$T$1055,"&gt;"&amp;T823)=0,S823,""))</f>
        <v>7:1D 7-10|6:3 STEP|</v>
      </c>
    </row>
    <row r="824" spans="1:21" ht="38" customHeight="1">
      <c r="A824" s="8" t="s">
        <v>448</v>
      </c>
      <c r="B824" s="8" t="s">
        <v>44</v>
      </c>
      <c r="C824" s="12">
        <f>COUNTIFS('DEF_SELF_SCOUT_IMPORT'!$L$42:$L$1040,"Y",'DEF_SELF_SCOUT_IMPORT'!$E$42:$E$1040,SUBSTITUTE(SUBSTITUTE(SUBSTITUTE($B824,"~","~~"),"*","~*"),"?","~?"),'DEF_SELF_SCOUT_IMPORT'!$Q$42:$Q$1040,SUBSTITUTE(SUBSTITUTE(SUBSTITUTE($M824,"~","~~"),"*","~*"),"?","~?"),'DEF_SELF_SCOUT_IMPORT'!$D$42:$D$1040,SUBSTITUTE(SUBSTITUTE(SUBSTITUTE($P824,"~","~~"),"*","~*"),"?","~?"))</f>
        <v>1</v>
      </c>
      <c r="D824" s="10">
        <f>IF($C824=0,"",SUMIFS('DEF_SELF_SCOUT_IMPORT'!$J$42:$J$1040,'DEF_SELF_SCOUT_IMPORT'!$L$42:$L$1040,"Y",'DEF_SELF_SCOUT_IMPORT'!$E$42:$E$1040,SUBSTITUTE(SUBSTITUTE(SUBSTITUTE($B824,"~","~~"),"*","~*"),"?","~?"),'DEF_SELF_SCOUT_IMPORT'!$Q$42:$Q$1040,SUBSTITUTE(SUBSTITUTE(SUBSTITUTE($M824,"~","~~"),"*","~*"),"?","~?"),'DEF_SELF_SCOUT_IMPORT'!$D$42:$D$1040,SUBSTITUTE(SUBSTITUTE(SUBSTITUTE($P824,"~","~~"),"*","~*"),"?","~?"))/$C824)</f>
        <v>1.0</v>
      </c>
      <c r="E824" s="10">
        <f>IF($C824=0,"",SUMIFS('DEF_SELF_SCOUT_IMPORT'!$K$42:$K$1040,'DEF_SELF_SCOUT_IMPORT'!$L$42:$L$1040,"Y",'DEF_SELF_SCOUT_IMPORT'!$E$42:$E$1040,SUBSTITUTE(SUBSTITUTE(SUBSTITUTE($B824,"~","~~"),"*","~*"),"?","~?"),'DEF_SELF_SCOUT_IMPORT'!$Q$42:$Q$1040,SUBSTITUTE(SUBSTITUTE(SUBSTITUTE($M824,"~","~~"),"*","~*"),"?","~?"),'DEF_SELF_SCOUT_IMPORT'!$D$42:$D$1040,SUBSTITUTE(SUBSTITUTE(SUBSTITUTE($P824,"~","~~"),"*","~*"),"?","~?"))/$C824)</f>
        <v>0.0</v>
      </c>
      <c r="F824" s="11">
        <f>IF($C824=0,"",AVERAGEIFS('DEF_SELF_SCOUT_IMPORT'!$I$42:$I$1040,'DEF_SELF_SCOUT_IMPORT'!$L$42:$L$1040,"Y",'DEF_SELF_SCOUT_IMPORT'!$E$42:$E$1040,SUBSTITUTE(SUBSTITUTE(SUBSTITUTE($B824,"~","~~"),"*","~*"),"?","~?"),'DEF_SELF_SCOUT_IMPORT'!$Q$42:$Q$1040,SUBSTITUTE(SUBSTITUTE(SUBSTITUTE($M824,"~","~~"),"*","~*"),"?","~?"),'DEF_SELF_SCOUT_IMPORT'!$D$42:$D$1040,SUBSTITUTE(SUBSTITUTE(SUBSTITUTE($P824,"~","~~"),"*","~*"),"?","~?")))</f>
        <v>0.0</v>
      </c>
      <c r="G824" s="10">
        <f>IF($C824=0,"",COUNTIFS('DEF_SELF_SCOUT_IMPORT'!$L$42:$L$1040,"Y",'DEF_SELF_SCOUT_IMPORT'!$E$42:$E$1040,SUBSTITUTE(SUBSTITUTE(SUBSTITUTE($B824,"~","~~"),"*","~*"),"?","~?"),'DEF_SELF_SCOUT_IMPORT'!$Q$42:$Q$1040,SUBSTITUTE(SUBSTITUTE(SUBSTITUTE($M824,"~","~~"),"*","~*"),"?","~?"),'DEF_SELF_SCOUT_IMPORT'!$D$42:$D$1040,SUBSTITUTE(SUBSTITUTE(SUBSTITUTE($P824,"~","~~"),"*","~*"),"?","~?"),'DEF_SELF_SCOUT_IMPORT'!$H$42:$H$1040,"RUSH")/$C824)</f>
        <v>0.0</v>
      </c>
      <c r="H824" s="10">
        <f>IF($C824=0,"",COUNTIFS('DEF_SELF_SCOUT_IMPORT'!$L$42:$L$1040,"Y",'DEF_SELF_SCOUT_IMPORT'!$E$42:$E$1040,SUBSTITUTE(SUBSTITUTE(SUBSTITUTE($B824,"~","~~"),"*","~*"),"?","~?"),'DEF_SELF_SCOUT_IMPORT'!$Q$42:$Q$1040,SUBSTITUTE(SUBSTITUTE(SUBSTITUTE($M824,"~","~~"),"*","~*"),"?","~?"),'DEF_SELF_SCOUT_IMPORT'!$D$42:$D$1040,SUBSTITUTE(SUBSTITUTE(SUBSTITUTE($P824,"~","~~"),"*","~*"),"?","~?"),'DEF_SELF_SCOUT_IMPORT'!$H$42:$H$1040,"DROPBACK")/$C824)</f>
        <v>1.0</v>
      </c>
      <c r="I824" s="14" t="str">
        <f>IF(C824=0,"",IF(C824&lt;=2,"TRACK",IF(C824=3,"LOW",IF(C824&lt;=6,"MEDIUM","HIGH"))))</f>
        <v>TRACK</v>
      </c>
      <c r="J824" s="11">
        <f>IF(C824=0,"",ROUND(D824*70+(1-E824)*20+MAX(0,MIN(1,(10-F824)/10))*10,1))</f>
        <v>100.0</v>
      </c>
      <c r="K824" s="14" t="str">
        <f>IF(C824=0,"No Evidence",IF(C824&lt;=2,IF(E824&gt;0,"Explosive Alert","Track Only"),IF(C824=3,"Sample Watch",IF(E824&gt;=START_HERE!$B$31,"Explosive Alert",IF(J824&gt;=80,"Strong Candidate",IF(J824&gt;=65,"Good Candidate",IF(J824&gt;=50,"Mixed / Review","Problem Call")))))))</f>
        <v>Track Only</v>
      </c>
      <c r="L824" s="9" t="str">
        <f>IF(COUNTIFS('DEF_SELF_SCOUT_IMPORT'!$L$42:$L$1040,"Y",'DEF_SELF_SCOUT_IMPORT'!$E$42:$E$1040,SUBSTITUTE(SUBSTITUTE(SUBSTITUTE($B824,"~","~~"),"*","~*"),"?","~?"),'DEF_SELF_SCOUT_IMPORT'!$Q$42:$Q$1040,SUBSTITUTE(SUBSTITUTE(SUBSTITUTE($M824,"~","~~"),"*","~*"),"?","~?"),'DEF_SELF_SCOUT_IMPORT'!$D$42:$D$1040,SUBSTITUTE(SUBSTITUTE(SUBSTITUTE($P824,"~","~~"),"*","~*"),"?","~?"),'DEF_SELF_SCOUT_IMPORT'!$J$42:$J$1040,"")&gt;0,"Unscored clean outcome; review result tags before using score.",IF(C824=0,"No matching defensive reps; film confirmation needed.",IF(K824="Explosive Alert","Explosive risk; review clips before using as answer.",IF(C824&lt;=2,"Track only; not enough sample.",IF(C824=3,IF(E824&gt;0,"Sample watch with explosive exposure; review clips and build the sample.",IF(J824&gt;=65,"Good signal, but sample is limited.","Sample watch; review clips and build the sample.")),IF(K824="Problem Call","Problem area; practice or call-sheet review.",IF(K824="Strong Candidate","Strong call-fit candidate; confirm on film.",IF(K824="Good Candidate","Good call-fit signal; confirm on film.","Mixed signal; review fit and execution on film."))))))))</f>
        <v>Track only; not enough sample.</v>
      </c>
      <c r="M824" s="8" t="s">
        <v>39</v>
      </c>
      <c r="N824" s="8"/>
      <c r="O824" s="8"/>
      <c r="P824" s="8" t="s">
        <v>449</v>
      </c>
      <c r="Q824" s="8"/>
      <c r="R824" s="8" t="s">
        <v>429</v>
      </c>
      <c r="S824" s="2" t="s">
        <v>450</v>
      </c>
      <c r="T824" s="2">
        <f>IF(C824=0,0,IF(C824&gt;=CALL_LOOKUP_BOARD!$B$7,IF(OR(K824="Problem Call",K824="Explosive Alert"),10000000,20000000),0)+IF(C824&gt;=CALL_LOOKUP_BOARD!$B$7,J824*1000+MIN(C824,999),C824*1000+J824)+0.00998600)</f>
        <v>1100.009986</v>
      </c>
      <c r="U824" s="2">
        <f>IF(C824=0,"",IF(COUNTIFS($S$811:$S$1055,SUBSTITUTE(SUBSTITUTE(SUBSTITUTE(S824,"~","~~"),"*","~*"),"?","~?"),$T$811:$T$1055,"&gt;"&amp;T824)=0,S824,""))</f>
        <v/>
      </c>
    </row>
    <row r="825" spans="1:21" ht="38" customHeight="1">
      <c r="A825" s="8" t="s">
        <v>448</v>
      </c>
      <c r="B825" s="8" t="s">
        <v>46</v>
      </c>
      <c r="C825" s="12">
        <f>COUNTIFS('DEF_SELF_SCOUT_IMPORT'!$L$42:$L$1040,"Y",'DEF_SELF_SCOUT_IMPORT'!$E$42:$E$1040,SUBSTITUTE(SUBSTITUTE(SUBSTITUTE($B825,"~","~~"),"*","~*"),"?","~?"),'DEF_SELF_SCOUT_IMPORT'!$Q$42:$Q$1040,SUBSTITUTE(SUBSTITUTE(SUBSTITUTE($M825,"~","~~"),"*","~*"),"?","~?"),'DEF_SELF_SCOUT_IMPORT'!$D$42:$D$1040,SUBSTITUTE(SUBSTITUTE(SUBSTITUTE($P825,"~","~~"),"*","~*"),"?","~?"))</f>
        <v>1</v>
      </c>
      <c r="D825" s="10">
        <f>IF($C825=0,"",SUMIFS('DEF_SELF_SCOUT_IMPORT'!$J$42:$J$1040,'DEF_SELF_SCOUT_IMPORT'!$L$42:$L$1040,"Y",'DEF_SELF_SCOUT_IMPORT'!$E$42:$E$1040,SUBSTITUTE(SUBSTITUTE(SUBSTITUTE($B825,"~","~~"),"*","~*"),"?","~?"),'DEF_SELF_SCOUT_IMPORT'!$Q$42:$Q$1040,SUBSTITUTE(SUBSTITUTE(SUBSTITUTE($M825,"~","~~"),"*","~*"),"?","~?"),'DEF_SELF_SCOUT_IMPORT'!$D$42:$D$1040,SUBSTITUTE(SUBSTITUTE(SUBSTITUTE($P825,"~","~~"),"*","~*"),"?","~?"))/$C825)</f>
        <v>1.0</v>
      </c>
      <c r="E825" s="10">
        <f>IF($C825=0,"",SUMIFS('DEF_SELF_SCOUT_IMPORT'!$K$42:$K$1040,'DEF_SELF_SCOUT_IMPORT'!$L$42:$L$1040,"Y",'DEF_SELF_SCOUT_IMPORT'!$E$42:$E$1040,SUBSTITUTE(SUBSTITUTE(SUBSTITUTE($B825,"~","~~"),"*","~*"),"?","~?"),'DEF_SELF_SCOUT_IMPORT'!$Q$42:$Q$1040,SUBSTITUTE(SUBSTITUTE(SUBSTITUTE($M825,"~","~~"),"*","~*"),"?","~?"),'DEF_SELF_SCOUT_IMPORT'!$D$42:$D$1040,SUBSTITUTE(SUBSTITUTE(SUBSTITUTE($P825,"~","~~"),"*","~*"),"?","~?"))/$C825)</f>
        <v>0.0</v>
      </c>
      <c r="F825" s="11">
        <f>IF($C825=0,"",AVERAGEIFS('DEF_SELF_SCOUT_IMPORT'!$I$42:$I$1040,'DEF_SELF_SCOUT_IMPORT'!$L$42:$L$1040,"Y",'DEF_SELF_SCOUT_IMPORT'!$E$42:$E$1040,SUBSTITUTE(SUBSTITUTE(SUBSTITUTE($B825,"~","~~"),"*","~*"),"?","~?"),'DEF_SELF_SCOUT_IMPORT'!$Q$42:$Q$1040,SUBSTITUTE(SUBSTITUTE(SUBSTITUTE($M825,"~","~~"),"*","~*"),"?","~?"),'DEF_SELF_SCOUT_IMPORT'!$D$42:$D$1040,SUBSTITUTE(SUBSTITUTE(SUBSTITUTE($P825,"~","~~"),"*","~*"),"?","~?")))</f>
        <v>-4.0</v>
      </c>
      <c r="G825" s="10">
        <f>IF($C825=0,"",COUNTIFS('DEF_SELF_SCOUT_IMPORT'!$L$42:$L$1040,"Y",'DEF_SELF_SCOUT_IMPORT'!$E$42:$E$1040,SUBSTITUTE(SUBSTITUTE(SUBSTITUTE($B825,"~","~~"),"*","~*"),"?","~?"),'DEF_SELF_SCOUT_IMPORT'!$Q$42:$Q$1040,SUBSTITUTE(SUBSTITUTE(SUBSTITUTE($M825,"~","~~"),"*","~*"),"?","~?"),'DEF_SELF_SCOUT_IMPORT'!$D$42:$D$1040,SUBSTITUTE(SUBSTITUTE(SUBSTITUTE($P825,"~","~~"),"*","~*"),"?","~?"),'DEF_SELF_SCOUT_IMPORT'!$H$42:$H$1040,"RUSH")/$C825)</f>
        <v>0.0</v>
      </c>
      <c r="H825" s="10">
        <f>IF($C825=0,"",COUNTIFS('DEF_SELF_SCOUT_IMPORT'!$L$42:$L$1040,"Y",'DEF_SELF_SCOUT_IMPORT'!$E$42:$E$1040,SUBSTITUTE(SUBSTITUTE(SUBSTITUTE($B825,"~","~~"),"*","~*"),"?","~?"),'DEF_SELF_SCOUT_IMPORT'!$Q$42:$Q$1040,SUBSTITUTE(SUBSTITUTE(SUBSTITUTE($M825,"~","~~"),"*","~*"),"?","~?"),'DEF_SELF_SCOUT_IMPORT'!$D$42:$D$1040,SUBSTITUTE(SUBSTITUTE(SUBSTITUTE($P825,"~","~~"),"*","~*"),"?","~?"),'DEF_SELF_SCOUT_IMPORT'!$H$42:$H$1040,"DROPBACK")/$C825)</f>
        <v>1.0</v>
      </c>
      <c r="I825" s="14" t="str">
        <f>IF(C825=0,"",IF(C825&lt;=2,"TRACK",IF(C825=3,"LOW",IF(C825&lt;=6,"MEDIUM","HIGH"))))</f>
        <v>TRACK</v>
      </c>
      <c r="J825" s="11">
        <f>IF(C825=0,"",ROUND(D825*70+(1-E825)*20+MAX(0,MIN(1,(10-F825)/10))*10,1))</f>
        <v>100.0</v>
      </c>
      <c r="K825" s="14" t="str">
        <f>IF(C825=0,"No Evidence",IF(C825&lt;=2,IF(E825&gt;0,"Explosive Alert","Track Only"),IF(C825=3,"Sample Watch",IF(E825&gt;=START_HERE!$B$31,"Explosive Alert",IF(J825&gt;=80,"Strong Candidate",IF(J825&gt;=65,"Good Candidate",IF(J825&gt;=50,"Mixed / Review","Problem Call")))))))</f>
        <v>Track Only</v>
      </c>
      <c r="L825" s="9" t="str">
        <f>IF(COUNTIFS('DEF_SELF_SCOUT_IMPORT'!$L$42:$L$1040,"Y",'DEF_SELF_SCOUT_IMPORT'!$E$42:$E$1040,SUBSTITUTE(SUBSTITUTE(SUBSTITUTE($B825,"~","~~"),"*","~*"),"?","~?"),'DEF_SELF_SCOUT_IMPORT'!$Q$42:$Q$1040,SUBSTITUTE(SUBSTITUTE(SUBSTITUTE($M825,"~","~~"),"*","~*"),"?","~?"),'DEF_SELF_SCOUT_IMPORT'!$D$42:$D$1040,SUBSTITUTE(SUBSTITUTE(SUBSTITUTE($P825,"~","~~"),"*","~*"),"?","~?"),'DEF_SELF_SCOUT_IMPORT'!$J$42:$J$1040,"")&gt;0,"Unscored clean outcome; review result tags before using score.",IF(C825=0,"No matching defensive reps; film confirmation needed.",IF(K825="Explosive Alert","Explosive risk; review clips before using as answer.",IF(C825&lt;=2,"Track only; not enough sample.",IF(C825=3,IF(E825&gt;0,"Sample watch with explosive exposure; review clips and build the sample.",IF(J825&gt;=65,"Good signal, but sample is limited.","Sample watch; review clips and build the sample.")),IF(K825="Problem Call","Problem area; practice or call-sheet review.",IF(K825="Strong Candidate","Strong call-fit candidate; confirm on film.",IF(K825="Good Candidate","Good call-fit signal; confirm on film.","Mixed signal; review fit and execution on film."))))))))</f>
        <v>Track only; not enough sample.</v>
      </c>
      <c r="M825" s="8" t="s">
        <v>39</v>
      </c>
      <c r="N825" s="8"/>
      <c r="O825" s="8"/>
      <c r="P825" s="8" t="s">
        <v>449</v>
      </c>
      <c r="Q825" s="8"/>
      <c r="R825" s="8" t="s">
        <v>429</v>
      </c>
      <c r="S825" s="2" t="s">
        <v>450</v>
      </c>
      <c r="T825" s="2">
        <f>IF(C825=0,0,IF(C825&gt;=CALL_LOOKUP_BOARD!$B$7,IF(OR(K825="Problem Call",K825="Explosive Alert"),10000000,20000000),0)+IF(C825&gt;=CALL_LOOKUP_BOARD!$B$7,J825*1000+MIN(C825,999),C825*1000+J825)+0.00998500)</f>
        <v>1100.009985</v>
      </c>
      <c r="U825" s="2">
        <f>IF(C825=0,"",IF(COUNTIFS($S$811:$S$1055,SUBSTITUTE(SUBSTITUTE(SUBSTITUTE(S825,"~","~~"),"*","~*"),"?","~?"),$T$811:$T$1055,"&gt;"&amp;T825)=0,S825,""))</f>
        <v/>
      </c>
    </row>
    <row r="826" spans="1:21" ht="38" customHeight="1">
      <c r="A826" s="8" t="s">
        <v>448</v>
      </c>
      <c r="B826" s="8" t="s">
        <v>47</v>
      </c>
      <c r="C826" s="12">
        <f>COUNTIFS('DEF_SELF_SCOUT_IMPORT'!$L$42:$L$1040,"Y",'DEF_SELF_SCOUT_IMPORT'!$E$42:$E$1040,SUBSTITUTE(SUBSTITUTE(SUBSTITUTE($B826,"~","~~"),"*","~*"),"?","~?"),'DEF_SELF_SCOUT_IMPORT'!$Q$42:$Q$1040,SUBSTITUTE(SUBSTITUTE(SUBSTITUTE($M826,"~","~~"),"*","~*"),"?","~?"),'DEF_SELF_SCOUT_IMPORT'!$D$42:$D$1040,SUBSTITUTE(SUBSTITUTE(SUBSTITUTE($P826,"~","~~"),"*","~*"),"?","~?"))</f>
        <v>2</v>
      </c>
      <c r="D826" s="10">
        <f>IF($C826=0,"",SUMIFS('DEF_SELF_SCOUT_IMPORT'!$J$42:$J$1040,'DEF_SELF_SCOUT_IMPORT'!$L$42:$L$1040,"Y",'DEF_SELF_SCOUT_IMPORT'!$E$42:$E$1040,SUBSTITUTE(SUBSTITUTE(SUBSTITUTE($B826,"~","~~"),"*","~*"),"?","~?"),'DEF_SELF_SCOUT_IMPORT'!$Q$42:$Q$1040,SUBSTITUTE(SUBSTITUTE(SUBSTITUTE($M826,"~","~~"),"*","~*"),"?","~?"),'DEF_SELF_SCOUT_IMPORT'!$D$42:$D$1040,SUBSTITUTE(SUBSTITUTE(SUBSTITUTE($P826,"~","~~"),"*","~*"),"?","~?"))/$C826)</f>
        <v>0.5</v>
      </c>
      <c r="E826" s="10">
        <f>IF($C826=0,"",SUMIFS('DEF_SELF_SCOUT_IMPORT'!$K$42:$K$1040,'DEF_SELF_SCOUT_IMPORT'!$L$42:$L$1040,"Y",'DEF_SELF_SCOUT_IMPORT'!$E$42:$E$1040,SUBSTITUTE(SUBSTITUTE(SUBSTITUTE($B826,"~","~~"),"*","~*"),"?","~?"),'DEF_SELF_SCOUT_IMPORT'!$Q$42:$Q$1040,SUBSTITUTE(SUBSTITUTE(SUBSTITUTE($M826,"~","~~"),"*","~*"),"?","~?"),'DEF_SELF_SCOUT_IMPORT'!$D$42:$D$1040,SUBSTITUTE(SUBSTITUTE(SUBSTITUTE($P826,"~","~~"),"*","~*"),"?","~?"))/$C826)</f>
        <v>0.5</v>
      </c>
      <c r="F826" s="11">
        <f>IF($C826=0,"",AVERAGEIFS('DEF_SELF_SCOUT_IMPORT'!$I$42:$I$1040,'DEF_SELF_SCOUT_IMPORT'!$L$42:$L$1040,"Y",'DEF_SELF_SCOUT_IMPORT'!$E$42:$E$1040,SUBSTITUTE(SUBSTITUTE(SUBSTITUTE($B826,"~","~~"),"*","~*"),"?","~?"),'DEF_SELF_SCOUT_IMPORT'!$Q$42:$Q$1040,SUBSTITUTE(SUBSTITUTE(SUBSTITUTE($M826,"~","~~"),"*","~*"),"?","~?"),'DEF_SELF_SCOUT_IMPORT'!$D$42:$D$1040,SUBSTITUTE(SUBSTITUTE(SUBSTITUTE($P826,"~","~~"),"*","~*"),"?","~?")))</f>
        <v>15.0</v>
      </c>
      <c r="G826" s="10">
        <f>IF($C826=0,"",COUNTIFS('DEF_SELF_SCOUT_IMPORT'!$L$42:$L$1040,"Y",'DEF_SELF_SCOUT_IMPORT'!$E$42:$E$1040,SUBSTITUTE(SUBSTITUTE(SUBSTITUTE($B826,"~","~~"),"*","~*"),"?","~?"),'DEF_SELF_SCOUT_IMPORT'!$Q$42:$Q$1040,SUBSTITUTE(SUBSTITUTE(SUBSTITUTE($M826,"~","~~"),"*","~*"),"?","~?"),'DEF_SELF_SCOUT_IMPORT'!$D$42:$D$1040,SUBSTITUTE(SUBSTITUTE(SUBSTITUTE($P826,"~","~~"),"*","~*"),"?","~?"),'DEF_SELF_SCOUT_IMPORT'!$H$42:$H$1040,"RUSH")/$C826)</f>
        <v>0.0</v>
      </c>
      <c r="H826" s="10">
        <f>IF($C826=0,"",COUNTIFS('DEF_SELF_SCOUT_IMPORT'!$L$42:$L$1040,"Y",'DEF_SELF_SCOUT_IMPORT'!$E$42:$E$1040,SUBSTITUTE(SUBSTITUTE(SUBSTITUTE($B826,"~","~~"),"*","~*"),"?","~?"),'DEF_SELF_SCOUT_IMPORT'!$Q$42:$Q$1040,SUBSTITUTE(SUBSTITUTE(SUBSTITUTE($M826,"~","~~"),"*","~*"),"?","~?"),'DEF_SELF_SCOUT_IMPORT'!$D$42:$D$1040,SUBSTITUTE(SUBSTITUTE(SUBSTITUTE($P826,"~","~~"),"*","~*"),"?","~?"),'DEF_SELF_SCOUT_IMPORT'!$H$42:$H$1040,"DROPBACK")/$C826)</f>
        <v>0.5</v>
      </c>
      <c r="I826" s="14" t="str">
        <f>IF(C826=0,"",IF(C826&lt;=2,"TRACK",IF(C826=3,"LOW",IF(C826&lt;=6,"MEDIUM","HIGH"))))</f>
        <v>TRACK</v>
      </c>
      <c r="J826" s="11">
        <f>IF(C826=0,"",ROUND(D826*70+(1-E826)*20+MAX(0,MIN(1,(10-F826)/10))*10,1))</f>
        <v>45.0</v>
      </c>
      <c r="K826" s="14" t="str">
        <f>IF(C826=0,"No Evidence",IF(C826&lt;=2,IF(E826&gt;0,"Explosive Alert","Track Only"),IF(C826=3,"Sample Watch",IF(E826&gt;=START_HERE!$B$31,"Explosive Alert",IF(J826&gt;=80,"Strong Candidate",IF(J826&gt;=65,"Good Candidate",IF(J826&gt;=50,"Mixed / Review","Problem Call")))))))</f>
        <v>Explosive Alert</v>
      </c>
      <c r="L826" s="9" t="str">
        <f>IF(COUNTIFS('DEF_SELF_SCOUT_IMPORT'!$L$42:$L$1040,"Y",'DEF_SELF_SCOUT_IMPORT'!$E$42:$E$1040,SUBSTITUTE(SUBSTITUTE(SUBSTITUTE($B826,"~","~~"),"*","~*"),"?","~?"),'DEF_SELF_SCOUT_IMPORT'!$Q$42:$Q$1040,SUBSTITUTE(SUBSTITUTE(SUBSTITUTE($M826,"~","~~"),"*","~*"),"?","~?"),'DEF_SELF_SCOUT_IMPORT'!$D$42:$D$1040,SUBSTITUTE(SUBSTITUTE(SUBSTITUTE($P826,"~","~~"),"*","~*"),"?","~?"),'DEF_SELF_SCOUT_IMPORT'!$J$42:$J$1040,"")&gt;0,"Unscored clean outcome; review result tags before using score.",IF(C826=0,"No matching defensive reps; film confirmation needed.",IF(K826="Explosive Alert","Explosive risk; review clips before using as answer.",IF(C826&lt;=2,"Track only; not enough sample.",IF(C826=3,IF(E826&gt;0,"Sample watch with explosive exposure; review clips and build the sample.",IF(J826&gt;=65,"Good signal, but sample is limited.","Sample watch; review clips and build the sample.")),IF(K826="Problem Call","Problem area; practice or call-sheet review.",IF(K826="Strong Candidate","Strong call-fit candidate; confirm on film.",IF(K826="Good Candidate","Good call-fit signal; confirm on film.","Mixed signal; review fit and execution on film."))))))))</f>
        <v>Explosive risk; review clips before using as answer.</v>
      </c>
      <c r="M826" s="8" t="s">
        <v>39</v>
      </c>
      <c r="N826" s="8"/>
      <c r="O826" s="8"/>
      <c r="P826" s="8" t="s">
        <v>449</v>
      </c>
      <c r="Q826" s="8"/>
      <c r="R826" s="8" t="s">
        <v>429</v>
      </c>
      <c r="S826" s="2" t="s">
        <v>450</v>
      </c>
      <c r="T826" s="2">
        <f>IF(C826=0,0,IF(C826&gt;=CALL_LOOKUP_BOARD!$B$7,IF(OR(K826="Problem Call",K826="Explosive Alert"),10000000,20000000),0)+IF(C826&gt;=CALL_LOOKUP_BOARD!$B$7,J826*1000+MIN(C826,999),C826*1000+J826)+0.00998400)</f>
        <v>2045.009984</v>
      </c>
      <c r="U826" s="2">
        <f>IF(C826=0,"",IF(COUNTIFS($S$811:$S$1055,SUBSTITUTE(SUBSTITUTE(SUBSTITUTE(S826,"~","~~"),"*","~*"),"?","~?"),$T$811:$T$1055,"&gt;"&amp;T826)=0,S826,""))</f>
        <v/>
      </c>
    </row>
    <row r="827" spans="1:21" ht="38" customHeight="1">
      <c r="A827" s="8" t="s">
        <v>448</v>
      </c>
      <c r="B827" s="8" t="s">
        <v>49</v>
      </c>
      <c r="C827" s="12">
        <f>COUNTIFS('DEF_SELF_SCOUT_IMPORT'!$L$42:$L$1040,"Y",'DEF_SELF_SCOUT_IMPORT'!$E$42:$E$1040,SUBSTITUTE(SUBSTITUTE(SUBSTITUTE($B827,"~","~~"),"*","~*"),"?","~?"),'DEF_SELF_SCOUT_IMPORT'!$Q$42:$Q$1040,SUBSTITUTE(SUBSTITUTE(SUBSTITUTE($M827,"~","~~"),"*","~*"),"?","~?"),'DEF_SELF_SCOUT_IMPORT'!$D$42:$D$1040,SUBSTITUTE(SUBSTITUTE(SUBSTITUTE($P827,"~","~~"),"*","~*"),"?","~?"))</f>
        <v>1</v>
      </c>
      <c r="D827" s="10">
        <f>IF($C827=0,"",SUMIFS('DEF_SELF_SCOUT_IMPORT'!$J$42:$J$1040,'DEF_SELF_SCOUT_IMPORT'!$L$42:$L$1040,"Y",'DEF_SELF_SCOUT_IMPORT'!$E$42:$E$1040,SUBSTITUTE(SUBSTITUTE(SUBSTITUTE($B827,"~","~~"),"*","~*"),"?","~?"),'DEF_SELF_SCOUT_IMPORT'!$Q$42:$Q$1040,SUBSTITUTE(SUBSTITUTE(SUBSTITUTE($M827,"~","~~"),"*","~*"),"?","~?"),'DEF_SELF_SCOUT_IMPORT'!$D$42:$D$1040,SUBSTITUTE(SUBSTITUTE(SUBSTITUTE($P827,"~","~~"),"*","~*"),"?","~?"))/$C827)</f>
        <v>1.0</v>
      </c>
      <c r="E827" s="10">
        <f>IF($C827=0,"",SUMIFS('DEF_SELF_SCOUT_IMPORT'!$K$42:$K$1040,'DEF_SELF_SCOUT_IMPORT'!$L$42:$L$1040,"Y",'DEF_SELF_SCOUT_IMPORT'!$E$42:$E$1040,SUBSTITUTE(SUBSTITUTE(SUBSTITUTE($B827,"~","~~"),"*","~*"),"?","~?"),'DEF_SELF_SCOUT_IMPORT'!$Q$42:$Q$1040,SUBSTITUTE(SUBSTITUTE(SUBSTITUTE($M827,"~","~~"),"*","~*"),"?","~?"),'DEF_SELF_SCOUT_IMPORT'!$D$42:$D$1040,SUBSTITUTE(SUBSTITUTE(SUBSTITUTE($P827,"~","~~"),"*","~*"),"?","~?"))/$C827)</f>
        <v>0.0</v>
      </c>
      <c r="F827" s="11">
        <f>IF($C827=0,"",AVERAGEIFS('DEF_SELF_SCOUT_IMPORT'!$I$42:$I$1040,'DEF_SELF_SCOUT_IMPORT'!$L$42:$L$1040,"Y",'DEF_SELF_SCOUT_IMPORT'!$E$42:$E$1040,SUBSTITUTE(SUBSTITUTE(SUBSTITUTE($B827,"~","~~"),"*","~*"),"?","~?"),'DEF_SELF_SCOUT_IMPORT'!$Q$42:$Q$1040,SUBSTITUTE(SUBSTITUTE(SUBSTITUTE($M827,"~","~~"),"*","~*"),"?","~?"),'DEF_SELF_SCOUT_IMPORT'!$D$42:$D$1040,SUBSTITUTE(SUBSTITUTE(SUBSTITUTE($P827,"~","~~"),"*","~*"),"?","~?")))</f>
        <v>0.0</v>
      </c>
      <c r="G827" s="10">
        <f>IF($C827=0,"",COUNTIFS('DEF_SELF_SCOUT_IMPORT'!$L$42:$L$1040,"Y",'DEF_SELF_SCOUT_IMPORT'!$E$42:$E$1040,SUBSTITUTE(SUBSTITUTE(SUBSTITUTE($B827,"~","~~"),"*","~*"),"?","~?"),'DEF_SELF_SCOUT_IMPORT'!$Q$42:$Q$1040,SUBSTITUTE(SUBSTITUTE(SUBSTITUTE($M827,"~","~~"),"*","~*"),"?","~?"),'DEF_SELF_SCOUT_IMPORT'!$D$42:$D$1040,SUBSTITUTE(SUBSTITUTE(SUBSTITUTE($P827,"~","~~"),"*","~*"),"?","~?"),'DEF_SELF_SCOUT_IMPORT'!$H$42:$H$1040,"RUSH")/$C827)</f>
        <v>0.0</v>
      </c>
      <c r="H827" s="10">
        <f>IF($C827=0,"",COUNTIFS('DEF_SELF_SCOUT_IMPORT'!$L$42:$L$1040,"Y",'DEF_SELF_SCOUT_IMPORT'!$E$42:$E$1040,SUBSTITUTE(SUBSTITUTE(SUBSTITUTE($B827,"~","~~"),"*","~*"),"?","~?"),'DEF_SELF_SCOUT_IMPORT'!$Q$42:$Q$1040,SUBSTITUTE(SUBSTITUTE(SUBSTITUTE($M827,"~","~~"),"*","~*"),"?","~?"),'DEF_SELF_SCOUT_IMPORT'!$D$42:$D$1040,SUBSTITUTE(SUBSTITUTE(SUBSTITUTE($P827,"~","~~"),"*","~*"),"?","~?"),'DEF_SELF_SCOUT_IMPORT'!$H$42:$H$1040,"DROPBACK")/$C827)</f>
        <v>1.0</v>
      </c>
      <c r="I827" s="14" t="str">
        <f>IF(C827=0,"",IF(C827&lt;=2,"TRACK",IF(C827=3,"LOW",IF(C827&lt;=6,"MEDIUM","HIGH"))))</f>
        <v>TRACK</v>
      </c>
      <c r="J827" s="11">
        <f>IF(C827=0,"",ROUND(D827*70+(1-E827)*20+MAX(0,MIN(1,(10-F827)/10))*10,1))</f>
        <v>100.0</v>
      </c>
      <c r="K827" s="14" t="str">
        <f>IF(C827=0,"No Evidence",IF(C827&lt;=2,IF(E827&gt;0,"Explosive Alert","Track Only"),IF(C827=3,"Sample Watch",IF(E827&gt;=START_HERE!$B$31,"Explosive Alert",IF(J827&gt;=80,"Strong Candidate",IF(J827&gt;=65,"Good Candidate",IF(J827&gt;=50,"Mixed / Review","Problem Call")))))))</f>
        <v>Track Only</v>
      </c>
      <c r="L827" s="9" t="str">
        <f>IF(COUNTIFS('DEF_SELF_SCOUT_IMPORT'!$L$42:$L$1040,"Y",'DEF_SELF_SCOUT_IMPORT'!$E$42:$E$1040,SUBSTITUTE(SUBSTITUTE(SUBSTITUTE($B827,"~","~~"),"*","~*"),"?","~?"),'DEF_SELF_SCOUT_IMPORT'!$Q$42:$Q$1040,SUBSTITUTE(SUBSTITUTE(SUBSTITUTE($M827,"~","~~"),"*","~*"),"?","~?"),'DEF_SELF_SCOUT_IMPORT'!$D$42:$D$1040,SUBSTITUTE(SUBSTITUTE(SUBSTITUTE($P827,"~","~~"),"*","~*"),"?","~?"),'DEF_SELF_SCOUT_IMPORT'!$J$42:$J$1040,"")&gt;0,"Unscored clean outcome; review result tags before using score.",IF(C827=0,"No matching defensive reps; film confirmation needed.",IF(K827="Explosive Alert","Explosive risk; review clips before using as answer.",IF(C827&lt;=2,"Track only; not enough sample.",IF(C827=3,IF(E827&gt;0,"Sample watch with explosive exposure; review clips and build the sample.",IF(J827&gt;=65,"Good signal, but sample is limited.","Sample watch; review clips and build the sample.")),IF(K827="Problem Call","Problem area; practice or call-sheet review.",IF(K827="Strong Candidate","Strong call-fit candidate; confirm on film.",IF(K827="Good Candidate","Good call-fit signal; confirm on film.","Mixed signal; review fit and execution on film."))))))))</f>
        <v>Track only; not enough sample.</v>
      </c>
      <c r="M827" s="8" t="s">
        <v>39</v>
      </c>
      <c r="N827" s="8"/>
      <c r="O827" s="8"/>
      <c r="P827" s="8" t="s">
        <v>449</v>
      </c>
      <c r="Q827" s="8"/>
      <c r="R827" s="8" t="s">
        <v>429</v>
      </c>
      <c r="S827" s="2" t="s">
        <v>450</v>
      </c>
      <c r="T827" s="2">
        <f>IF(C827=0,0,IF(C827&gt;=CALL_LOOKUP_BOARD!$B$7,IF(OR(K827="Problem Call",K827="Explosive Alert"),10000000,20000000),0)+IF(C827&gt;=CALL_LOOKUP_BOARD!$B$7,J827*1000+MIN(C827,999),C827*1000+J827)+0.00998300)</f>
        <v>1100.009983</v>
      </c>
      <c r="U827" s="2">
        <f>IF(C827=0,"",IF(COUNTIFS($S$811:$S$1055,SUBSTITUTE(SUBSTITUTE(SUBSTITUTE(S827,"~","~~"),"*","~*"),"?","~?"),$T$811:$T$1055,"&gt;"&amp;T827)=0,S827,""))</f>
        <v/>
      </c>
    </row>
    <row r="828" spans="1:21" ht="38" customHeight="1">
      <c r="A828" s="8" t="s">
        <v>448</v>
      </c>
      <c r="B828" s="8" t="s">
        <v>52</v>
      </c>
      <c r="C828" s="12">
        <f>COUNTIFS('DEF_SELF_SCOUT_IMPORT'!$L$42:$L$1040,"Y",'DEF_SELF_SCOUT_IMPORT'!$E$42:$E$1040,SUBSTITUTE(SUBSTITUTE(SUBSTITUTE($B828,"~","~~"),"*","~*"),"?","~?"),'DEF_SELF_SCOUT_IMPORT'!$Q$42:$Q$1040,SUBSTITUTE(SUBSTITUTE(SUBSTITUTE($M828,"~","~~"),"*","~*"),"?","~?"),'DEF_SELF_SCOUT_IMPORT'!$D$42:$D$1040,SUBSTITUTE(SUBSTITUTE(SUBSTITUTE($P828,"~","~~"),"*","~*"),"?","~?"))</f>
        <v>1</v>
      </c>
      <c r="D828" s="10">
        <f>IF($C828=0,"",SUMIFS('DEF_SELF_SCOUT_IMPORT'!$J$42:$J$1040,'DEF_SELF_SCOUT_IMPORT'!$L$42:$L$1040,"Y",'DEF_SELF_SCOUT_IMPORT'!$E$42:$E$1040,SUBSTITUTE(SUBSTITUTE(SUBSTITUTE($B828,"~","~~"),"*","~*"),"?","~?"),'DEF_SELF_SCOUT_IMPORT'!$Q$42:$Q$1040,SUBSTITUTE(SUBSTITUTE(SUBSTITUTE($M828,"~","~~"),"*","~*"),"?","~?"),'DEF_SELF_SCOUT_IMPORT'!$D$42:$D$1040,SUBSTITUTE(SUBSTITUTE(SUBSTITUTE($P828,"~","~~"),"*","~*"),"?","~?"))/$C828)</f>
        <v>0.0</v>
      </c>
      <c r="E828" s="10">
        <f>IF($C828=0,"",SUMIFS('DEF_SELF_SCOUT_IMPORT'!$K$42:$K$1040,'DEF_SELF_SCOUT_IMPORT'!$L$42:$L$1040,"Y",'DEF_SELF_SCOUT_IMPORT'!$E$42:$E$1040,SUBSTITUTE(SUBSTITUTE(SUBSTITUTE($B828,"~","~~"),"*","~*"),"?","~?"),'DEF_SELF_SCOUT_IMPORT'!$Q$42:$Q$1040,SUBSTITUTE(SUBSTITUTE(SUBSTITUTE($M828,"~","~~"),"*","~*"),"?","~?"),'DEF_SELF_SCOUT_IMPORT'!$D$42:$D$1040,SUBSTITUTE(SUBSTITUTE(SUBSTITUTE($P828,"~","~~"),"*","~*"),"?","~?"))/$C828)</f>
        <v>1.0</v>
      </c>
      <c r="F828" s="11">
        <f>IF($C828=0,"",AVERAGEIFS('DEF_SELF_SCOUT_IMPORT'!$I$42:$I$1040,'DEF_SELF_SCOUT_IMPORT'!$L$42:$L$1040,"Y",'DEF_SELF_SCOUT_IMPORT'!$E$42:$E$1040,SUBSTITUTE(SUBSTITUTE(SUBSTITUTE($B828,"~","~~"),"*","~*"),"?","~?"),'DEF_SELF_SCOUT_IMPORT'!$Q$42:$Q$1040,SUBSTITUTE(SUBSTITUTE(SUBSTITUTE($M828,"~","~~"),"*","~*"),"?","~?"),'DEF_SELF_SCOUT_IMPORT'!$D$42:$D$1040,SUBSTITUTE(SUBSTITUTE(SUBSTITUTE($P828,"~","~~"),"*","~*"),"?","~?")))</f>
        <v>15.0</v>
      </c>
      <c r="G828" s="10">
        <f>IF($C828=0,"",COUNTIFS('DEF_SELF_SCOUT_IMPORT'!$L$42:$L$1040,"Y",'DEF_SELF_SCOUT_IMPORT'!$E$42:$E$1040,SUBSTITUTE(SUBSTITUTE(SUBSTITUTE($B828,"~","~~"),"*","~*"),"?","~?"),'DEF_SELF_SCOUT_IMPORT'!$Q$42:$Q$1040,SUBSTITUTE(SUBSTITUTE(SUBSTITUTE($M828,"~","~~"),"*","~*"),"?","~?"),'DEF_SELF_SCOUT_IMPORT'!$D$42:$D$1040,SUBSTITUTE(SUBSTITUTE(SUBSTITUTE($P828,"~","~~"),"*","~*"),"?","~?"),'DEF_SELF_SCOUT_IMPORT'!$H$42:$H$1040,"RUSH")/$C828)</f>
        <v>0.0</v>
      </c>
      <c r="H828" s="10">
        <f>IF($C828=0,"",COUNTIFS('DEF_SELF_SCOUT_IMPORT'!$L$42:$L$1040,"Y",'DEF_SELF_SCOUT_IMPORT'!$E$42:$E$1040,SUBSTITUTE(SUBSTITUTE(SUBSTITUTE($B828,"~","~~"),"*","~*"),"?","~?"),'DEF_SELF_SCOUT_IMPORT'!$Q$42:$Q$1040,SUBSTITUTE(SUBSTITUTE(SUBSTITUTE($M828,"~","~~"),"*","~*"),"?","~?"),'DEF_SELF_SCOUT_IMPORT'!$D$42:$D$1040,SUBSTITUTE(SUBSTITUTE(SUBSTITUTE($P828,"~","~~"),"*","~*"),"?","~?"),'DEF_SELF_SCOUT_IMPORT'!$H$42:$H$1040,"DROPBACK")/$C828)</f>
        <v>1.0</v>
      </c>
      <c r="I828" s="14" t="str">
        <f>IF(C828=0,"",IF(C828&lt;=2,"TRACK",IF(C828=3,"LOW",IF(C828&lt;=6,"MEDIUM","HIGH"))))</f>
        <v>TRACK</v>
      </c>
      <c r="J828" s="11">
        <f>IF(C828=0,"",ROUND(D828*70+(1-E828)*20+MAX(0,MIN(1,(10-F828)/10))*10,1))</f>
        <v>0.0</v>
      </c>
      <c r="K828" s="14" t="str">
        <f>IF(C828=0,"No Evidence",IF(C828&lt;=2,IF(E828&gt;0,"Explosive Alert","Track Only"),IF(C828=3,"Sample Watch",IF(E828&gt;=START_HERE!$B$31,"Explosive Alert",IF(J828&gt;=80,"Strong Candidate",IF(J828&gt;=65,"Good Candidate",IF(J828&gt;=50,"Mixed / Review","Problem Call")))))))</f>
        <v>Explosive Alert</v>
      </c>
      <c r="L828" s="9" t="str">
        <f>IF(COUNTIFS('DEF_SELF_SCOUT_IMPORT'!$L$42:$L$1040,"Y",'DEF_SELF_SCOUT_IMPORT'!$E$42:$E$1040,SUBSTITUTE(SUBSTITUTE(SUBSTITUTE($B828,"~","~~"),"*","~*"),"?","~?"),'DEF_SELF_SCOUT_IMPORT'!$Q$42:$Q$1040,SUBSTITUTE(SUBSTITUTE(SUBSTITUTE($M828,"~","~~"),"*","~*"),"?","~?"),'DEF_SELF_SCOUT_IMPORT'!$D$42:$D$1040,SUBSTITUTE(SUBSTITUTE(SUBSTITUTE($P828,"~","~~"),"*","~*"),"?","~?"),'DEF_SELF_SCOUT_IMPORT'!$J$42:$J$1040,"")&gt;0,"Unscored clean outcome; review result tags before using score.",IF(C828=0,"No matching defensive reps; film confirmation needed.",IF(K828="Explosive Alert","Explosive risk; review clips before using as answer.",IF(C828&lt;=2,"Track only; not enough sample.",IF(C828=3,IF(E828&gt;0,"Sample watch with explosive exposure; review clips and build the sample.",IF(J828&gt;=65,"Good signal, but sample is limited.","Sample watch; review clips and build the sample.")),IF(K828="Problem Call","Problem area; practice or call-sheet review.",IF(K828="Strong Candidate","Strong call-fit candidate; confirm on film.",IF(K828="Good Candidate","Good call-fit signal; confirm on film.","Mixed signal; review fit and execution on film."))))))))</f>
        <v>Explosive risk; review clips before using as answer.</v>
      </c>
      <c r="M828" s="8" t="s">
        <v>39</v>
      </c>
      <c r="N828" s="8"/>
      <c r="O828" s="8"/>
      <c r="P828" s="8" t="s">
        <v>449</v>
      </c>
      <c r="Q828" s="8"/>
      <c r="R828" s="8" t="s">
        <v>429</v>
      </c>
      <c r="S828" s="2" t="s">
        <v>450</v>
      </c>
      <c r="T828" s="2">
        <f>IF(C828=0,0,IF(C828&gt;=CALL_LOOKUP_BOARD!$B$7,IF(OR(K828="Problem Call",K828="Explosive Alert"),10000000,20000000),0)+IF(C828&gt;=CALL_LOOKUP_BOARD!$B$7,J828*1000+MIN(C828,999),C828*1000+J828)+0.00998200)</f>
        <v>1000.009982</v>
      </c>
      <c r="U828" s="2">
        <f>IF(C828=0,"",IF(COUNTIFS($S$811:$S$1055,SUBSTITUTE(SUBSTITUTE(SUBSTITUTE(S828,"~","~~"),"*","~*"),"?","~?"),$T$811:$T$1055,"&gt;"&amp;T828)=0,S828,""))</f>
        <v/>
      </c>
    </row>
    <row r="829" spans="1:21" ht="38" customHeight="1">
      <c r="A829" s="8" t="s">
        <v>448</v>
      </c>
      <c r="B829" s="8" t="s">
        <v>53</v>
      </c>
      <c r="C829" s="12">
        <f>COUNTIFS('DEF_SELF_SCOUT_IMPORT'!$L$42:$L$1040,"Y",'DEF_SELF_SCOUT_IMPORT'!$E$42:$E$1040,SUBSTITUTE(SUBSTITUTE(SUBSTITUTE($B829,"~","~~"),"*","~*"),"?","~?"),'DEF_SELF_SCOUT_IMPORT'!$Q$42:$Q$1040,SUBSTITUTE(SUBSTITUTE(SUBSTITUTE($M829,"~","~~"),"*","~*"),"?","~?"),'DEF_SELF_SCOUT_IMPORT'!$D$42:$D$1040,SUBSTITUTE(SUBSTITUTE(SUBSTITUTE($P829,"~","~~"),"*","~*"),"?","~?"))</f>
        <v>2</v>
      </c>
      <c r="D829" s="10">
        <f>IF($C829=0,"",SUMIFS('DEF_SELF_SCOUT_IMPORT'!$J$42:$J$1040,'DEF_SELF_SCOUT_IMPORT'!$L$42:$L$1040,"Y",'DEF_SELF_SCOUT_IMPORT'!$E$42:$E$1040,SUBSTITUTE(SUBSTITUTE(SUBSTITUTE($B829,"~","~~"),"*","~*"),"?","~?"),'DEF_SELF_SCOUT_IMPORT'!$Q$42:$Q$1040,SUBSTITUTE(SUBSTITUTE(SUBSTITUTE($M829,"~","~~"),"*","~*"),"?","~?"),'DEF_SELF_SCOUT_IMPORT'!$D$42:$D$1040,SUBSTITUTE(SUBSTITUTE(SUBSTITUTE($P829,"~","~~"),"*","~*"),"?","~?"))/$C829)</f>
        <v>0.5</v>
      </c>
      <c r="E829" s="10">
        <f>IF($C829=0,"",SUMIFS('DEF_SELF_SCOUT_IMPORT'!$K$42:$K$1040,'DEF_SELF_SCOUT_IMPORT'!$L$42:$L$1040,"Y",'DEF_SELF_SCOUT_IMPORT'!$E$42:$E$1040,SUBSTITUTE(SUBSTITUTE(SUBSTITUTE($B829,"~","~~"),"*","~*"),"?","~?"),'DEF_SELF_SCOUT_IMPORT'!$Q$42:$Q$1040,SUBSTITUTE(SUBSTITUTE(SUBSTITUTE($M829,"~","~~"),"*","~*"),"?","~?"),'DEF_SELF_SCOUT_IMPORT'!$D$42:$D$1040,SUBSTITUTE(SUBSTITUTE(SUBSTITUTE($P829,"~","~~"),"*","~*"),"?","~?"))/$C829)</f>
        <v>0.0</v>
      </c>
      <c r="F829" s="11">
        <f>IF($C829=0,"",AVERAGEIFS('DEF_SELF_SCOUT_IMPORT'!$I$42:$I$1040,'DEF_SELF_SCOUT_IMPORT'!$L$42:$L$1040,"Y",'DEF_SELF_SCOUT_IMPORT'!$E$42:$E$1040,SUBSTITUTE(SUBSTITUTE(SUBSTITUTE($B829,"~","~~"),"*","~*"),"?","~?"),'DEF_SELF_SCOUT_IMPORT'!$Q$42:$Q$1040,SUBSTITUTE(SUBSTITUTE(SUBSTITUTE($M829,"~","~~"),"*","~*"),"?","~?"),'DEF_SELF_SCOUT_IMPORT'!$D$42:$D$1040,SUBSTITUTE(SUBSTITUTE(SUBSTITUTE($P829,"~","~~"),"*","~*"),"?","~?")))</f>
        <v>6.5</v>
      </c>
      <c r="G829" s="10">
        <f>IF($C829=0,"",COUNTIFS('DEF_SELF_SCOUT_IMPORT'!$L$42:$L$1040,"Y",'DEF_SELF_SCOUT_IMPORT'!$E$42:$E$1040,SUBSTITUTE(SUBSTITUTE(SUBSTITUTE($B829,"~","~~"),"*","~*"),"?","~?"),'DEF_SELF_SCOUT_IMPORT'!$Q$42:$Q$1040,SUBSTITUTE(SUBSTITUTE(SUBSTITUTE($M829,"~","~~"),"*","~*"),"?","~?"),'DEF_SELF_SCOUT_IMPORT'!$D$42:$D$1040,SUBSTITUTE(SUBSTITUTE(SUBSTITUTE($P829,"~","~~"),"*","~*"),"?","~?"),'DEF_SELF_SCOUT_IMPORT'!$H$42:$H$1040,"RUSH")/$C829)</f>
        <v>0.0</v>
      </c>
      <c r="H829" s="10">
        <f>IF($C829=0,"",COUNTIFS('DEF_SELF_SCOUT_IMPORT'!$L$42:$L$1040,"Y",'DEF_SELF_SCOUT_IMPORT'!$E$42:$E$1040,SUBSTITUTE(SUBSTITUTE(SUBSTITUTE($B829,"~","~~"),"*","~*"),"?","~?"),'DEF_SELF_SCOUT_IMPORT'!$Q$42:$Q$1040,SUBSTITUTE(SUBSTITUTE(SUBSTITUTE($M829,"~","~~"),"*","~*"),"?","~?"),'DEF_SELF_SCOUT_IMPORT'!$D$42:$D$1040,SUBSTITUTE(SUBSTITUTE(SUBSTITUTE($P829,"~","~~"),"*","~*"),"?","~?"),'DEF_SELF_SCOUT_IMPORT'!$H$42:$H$1040,"DROPBACK")/$C829)</f>
        <v>1.0</v>
      </c>
      <c r="I829" s="14" t="str">
        <f>IF(C829=0,"",IF(C829&lt;=2,"TRACK",IF(C829=3,"LOW",IF(C829&lt;=6,"MEDIUM","HIGH"))))</f>
        <v>TRACK</v>
      </c>
      <c r="J829" s="11">
        <f>IF(C829=0,"",ROUND(D829*70+(1-E829)*20+MAX(0,MIN(1,(10-F829)/10))*10,1))</f>
        <v>58.5</v>
      </c>
      <c r="K829" s="14" t="str">
        <f>IF(C829=0,"No Evidence",IF(C829&lt;=2,IF(E829&gt;0,"Explosive Alert","Track Only"),IF(C829=3,"Sample Watch",IF(E829&gt;=START_HERE!$B$31,"Explosive Alert",IF(J829&gt;=80,"Strong Candidate",IF(J829&gt;=65,"Good Candidate",IF(J829&gt;=50,"Mixed / Review","Problem Call")))))))</f>
        <v>Track Only</v>
      </c>
      <c r="L829" s="9" t="str">
        <f>IF(COUNTIFS('DEF_SELF_SCOUT_IMPORT'!$L$42:$L$1040,"Y",'DEF_SELF_SCOUT_IMPORT'!$E$42:$E$1040,SUBSTITUTE(SUBSTITUTE(SUBSTITUTE($B829,"~","~~"),"*","~*"),"?","~?"),'DEF_SELF_SCOUT_IMPORT'!$Q$42:$Q$1040,SUBSTITUTE(SUBSTITUTE(SUBSTITUTE($M829,"~","~~"),"*","~*"),"?","~?"),'DEF_SELF_SCOUT_IMPORT'!$D$42:$D$1040,SUBSTITUTE(SUBSTITUTE(SUBSTITUTE($P829,"~","~~"),"*","~*"),"?","~?"),'DEF_SELF_SCOUT_IMPORT'!$J$42:$J$1040,"")&gt;0,"Unscored clean outcome; review result tags before using score.",IF(C829=0,"No matching defensive reps; film confirmation needed.",IF(K829="Explosive Alert","Explosive risk; review clips before using as answer.",IF(C829&lt;=2,"Track only; not enough sample.",IF(C829=3,IF(E829&gt;0,"Sample watch with explosive exposure; review clips and build the sample.",IF(J829&gt;=65,"Good signal, but sample is limited.","Sample watch; review clips and build the sample.")),IF(K829="Problem Call","Problem area; practice or call-sheet review.",IF(K829="Strong Candidate","Strong call-fit candidate; confirm on film.",IF(K829="Good Candidate","Good call-fit signal; confirm on film.","Mixed signal; review fit and execution on film."))))))))</f>
        <v>Track only; not enough sample.</v>
      </c>
      <c r="M829" s="8" t="s">
        <v>39</v>
      </c>
      <c r="N829" s="8"/>
      <c r="O829" s="8"/>
      <c r="P829" s="8" t="s">
        <v>449</v>
      </c>
      <c r="Q829" s="8"/>
      <c r="R829" s="8" t="s">
        <v>429</v>
      </c>
      <c r="S829" s="2" t="s">
        <v>450</v>
      </c>
      <c r="T829" s="2">
        <f>IF(C829=0,0,IF(C829&gt;=CALL_LOOKUP_BOARD!$B$7,IF(OR(K829="Problem Call",K829="Explosive Alert"),10000000,20000000),0)+IF(C829&gt;=CALL_LOOKUP_BOARD!$B$7,J829*1000+MIN(C829,999),C829*1000+J829)+0.00998100)</f>
        <v>2058.509981</v>
      </c>
      <c r="U829" s="2">
        <f>IF(C829=0,"",IF(COUNTIFS($S$811:$S$1055,SUBSTITUTE(SUBSTITUTE(SUBSTITUTE(S829,"~","~~"),"*","~*"),"?","~?"),$T$811:$T$1055,"&gt;"&amp;T829)=0,S829,""))</f>
        <v/>
      </c>
    </row>
    <row r="830" spans="1:21" ht="38" customHeight="1">
      <c r="A830" s="8" t="s">
        <v>448</v>
      </c>
      <c r="B830" s="8" t="s">
        <v>58</v>
      </c>
      <c r="C830" s="12">
        <f>COUNTIFS('DEF_SELF_SCOUT_IMPORT'!$L$42:$L$1040,"Y",'DEF_SELF_SCOUT_IMPORT'!$E$42:$E$1040,SUBSTITUTE(SUBSTITUTE(SUBSTITUTE($B830,"~","~~"),"*","~*"),"?","~?"),'DEF_SELF_SCOUT_IMPORT'!$Q$42:$Q$1040,SUBSTITUTE(SUBSTITUTE(SUBSTITUTE($M830,"~","~~"),"*","~*"),"?","~?"),'DEF_SELF_SCOUT_IMPORT'!$D$42:$D$1040,SUBSTITUTE(SUBSTITUTE(SUBSTITUTE($P830,"~","~~"),"*","~*"),"?","~?"))</f>
        <v>2</v>
      </c>
      <c r="D830" s="10">
        <f>IF($C830=0,"",SUMIFS('DEF_SELF_SCOUT_IMPORT'!$J$42:$J$1040,'DEF_SELF_SCOUT_IMPORT'!$L$42:$L$1040,"Y",'DEF_SELF_SCOUT_IMPORT'!$E$42:$E$1040,SUBSTITUTE(SUBSTITUTE(SUBSTITUTE($B830,"~","~~"),"*","~*"),"?","~?"),'DEF_SELF_SCOUT_IMPORT'!$Q$42:$Q$1040,SUBSTITUTE(SUBSTITUTE(SUBSTITUTE($M830,"~","~~"),"*","~*"),"?","~?"),'DEF_SELF_SCOUT_IMPORT'!$D$42:$D$1040,SUBSTITUTE(SUBSTITUTE(SUBSTITUTE($P830,"~","~~"),"*","~*"),"?","~?"))/$C830)</f>
        <v>1.0</v>
      </c>
      <c r="E830" s="10">
        <f>IF($C830=0,"",SUMIFS('DEF_SELF_SCOUT_IMPORT'!$K$42:$K$1040,'DEF_SELF_SCOUT_IMPORT'!$L$42:$L$1040,"Y",'DEF_SELF_SCOUT_IMPORT'!$E$42:$E$1040,SUBSTITUTE(SUBSTITUTE(SUBSTITUTE($B830,"~","~~"),"*","~*"),"?","~?"),'DEF_SELF_SCOUT_IMPORT'!$Q$42:$Q$1040,SUBSTITUTE(SUBSTITUTE(SUBSTITUTE($M830,"~","~~"),"*","~*"),"?","~?"),'DEF_SELF_SCOUT_IMPORT'!$D$42:$D$1040,SUBSTITUTE(SUBSTITUTE(SUBSTITUTE($P830,"~","~~"),"*","~*"),"?","~?"))/$C830)</f>
        <v>0.0</v>
      </c>
      <c r="F830" s="11">
        <f>IF($C830=0,"",AVERAGEIFS('DEF_SELF_SCOUT_IMPORT'!$I$42:$I$1040,'DEF_SELF_SCOUT_IMPORT'!$L$42:$L$1040,"Y",'DEF_SELF_SCOUT_IMPORT'!$E$42:$E$1040,SUBSTITUTE(SUBSTITUTE(SUBSTITUTE($B830,"~","~~"),"*","~*"),"?","~?"),'DEF_SELF_SCOUT_IMPORT'!$Q$42:$Q$1040,SUBSTITUTE(SUBSTITUTE(SUBSTITUTE($M830,"~","~~"),"*","~*"),"?","~?"),'DEF_SELF_SCOUT_IMPORT'!$D$42:$D$1040,SUBSTITUTE(SUBSTITUTE(SUBSTITUTE($P830,"~","~~"),"*","~*"),"?","~?")))</f>
        <v>0.0</v>
      </c>
      <c r="G830" s="10">
        <f>IF($C830=0,"",COUNTIFS('DEF_SELF_SCOUT_IMPORT'!$L$42:$L$1040,"Y",'DEF_SELF_SCOUT_IMPORT'!$E$42:$E$1040,SUBSTITUTE(SUBSTITUTE(SUBSTITUTE($B830,"~","~~"),"*","~*"),"?","~?"),'DEF_SELF_SCOUT_IMPORT'!$Q$42:$Q$1040,SUBSTITUTE(SUBSTITUTE(SUBSTITUTE($M830,"~","~~"),"*","~*"),"?","~?"),'DEF_SELF_SCOUT_IMPORT'!$D$42:$D$1040,SUBSTITUTE(SUBSTITUTE(SUBSTITUTE($P830,"~","~~"),"*","~*"),"?","~?"),'DEF_SELF_SCOUT_IMPORT'!$H$42:$H$1040,"RUSH")/$C830)</f>
        <v>0.0</v>
      </c>
      <c r="H830" s="10">
        <f>IF($C830=0,"",COUNTIFS('DEF_SELF_SCOUT_IMPORT'!$L$42:$L$1040,"Y",'DEF_SELF_SCOUT_IMPORT'!$E$42:$E$1040,SUBSTITUTE(SUBSTITUTE(SUBSTITUTE($B830,"~","~~"),"*","~*"),"?","~?"),'DEF_SELF_SCOUT_IMPORT'!$Q$42:$Q$1040,SUBSTITUTE(SUBSTITUTE(SUBSTITUTE($M830,"~","~~"),"*","~*"),"?","~?"),'DEF_SELF_SCOUT_IMPORT'!$D$42:$D$1040,SUBSTITUTE(SUBSTITUTE(SUBSTITUTE($P830,"~","~~"),"*","~*"),"?","~?"),'DEF_SELF_SCOUT_IMPORT'!$H$42:$H$1040,"DROPBACK")/$C830)</f>
        <v>1.0</v>
      </c>
      <c r="I830" s="14" t="str">
        <f>IF(C830=0,"",IF(C830&lt;=2,"TRACK",IF(C830=3,"LOW",IF(C830&lt;=6,"MEDIUM","HIGH"))))</f>
        <v>TRACK</v>
      </c>
      <c r="J830" s="11">
        <f>IF(C830=0,"",ROUND(D830*70+(1-E830)*20+MAX(0,MIN(1,(10-F830)/10))*10,1))</f>
        <v>100.0</v>
      </c>
      <c r="K830" s="14" t="str">
        <f>IF(C830=0,"No Evidence",IF(C830&lt;=2,IF(E830&gt;0,"Explosive Alert","Track Only"),IF(C830=3,"Sample Watch",IF(E830&gt;=START_HERE!$B$31,"Explosive Alert",IF(J830&gt;=80,"Strong Candidate",IF(J830&gt;=65,"Good Candidate",IF(J830&gt;=50,"Mixed / Review","Problem Call")))))))</f>
        <v>Track Only</v>
      </c>
      <c r="L830" s="9" t="str">
        <f>IF(COUNTIFS('DEF_SELF_SCOUT_IMPORT'!$L$42:$L$1040,"Y",'DEF_SELF_SCOUT_IMPORT'!$E$42:$E$1040,SUBSTITUTE(SUBSTITUTE(SUBSTITUTE($B830,"~","~~"),"*","~*"),"?","~?"),'DEF_SELF_SCOUT_IMPORT'!$Q$42:$Q$1040,SUBSTITUTE(SUBSTITUTE(SUBSTITUTE($M830,"~","~~"),"*","~*"),"?","~?"),'DEF_SELF_SCOUT_IMPORT'!$D$42:$D$1040,SUBSTITUTE(SUBSTITUTE(SUBSTITUTE($P830,"~","~~"),"*","~*"),"?","~?"),'DEF_SELF_SCOUT_IMPORT'!$J$42:$J$1040,"")&gt;0,"Unscored clean outcome; review result tags before using score.",IF(C830=0,"No matching defensive reps; film confirmation needed.",IF(K830="Explosive Alert","Explosive risk; review clips before using as answer.",IF(C830&lt;=2,"Track only; not enough sample.",IF(C830=3,IF(E830&gt;0,"Sample watch with explosive exposure; review clips and build the sample.",IF(J830&gt;=65,"Good signal, but sample is limited.","Sample watch; review clips and build the sample.")),IF(K830="Problem Call","Problem area; practice or call-sheet review.",IF(K830="Strong Candidate","Strong call-fit candidate; confirm on film.",IF(K830="Good Candidate","Good call-fit signal; confirm on film.","Mixed signal; review fit and execution on film."))))))))</f>
        <v>Track only; not enough sample.</v>
      </c>
      <c r="M830" s="8" t="s">
        <v>39</v>
      </c>
      <c r="N830" s="8"/>
      <c r="O830" s="8"/>
      <c r="P830" s="8" t="s">
        <v>449</v>
      </c>
      <c r="Q830" s="8"/>
      <c r="R830" s="8" t="s">
        <v>429</v>
      </c>
      <c r="S830" s="2" t="s">
        <v>450</v>
      </c>
      <c r="T830" s="2">
        <f>IF(C830=0,0,IF(C830&gt;=CALL_LOOKUP_BOARD!$B$7,IF(OR(K830="Problem Call",K830="Explosive Alert"),10000000,20000000),0)+IF(C830&gt;=CALL_LOOKUP_BOARD!$B$7,J830*1000+MIN(C830,999),C830*1000+J830)+0.00998000)</f>
        <v>2100.00998</v>
      </c>
      <c r="U830" s="2">
        <f>IF(C830=0,"",IF(COUNTIFS($S$811:$S$1055,SUBSTITUTE(SUBSTITUTE(SUBSTITUTE(S830,"~","~~"),"*","~*"),"?","~?"),$T$811:$T$1055,"&gt;"&amp;T830)=0,S830,""))</f>
        <v/>
      </c>
    </row>
    <row r="831" spans="1:21" ht="38" customHeight="1">
      <c r="A831" s="8" t="s">
        <v>448</v>
      </c>
      <c r="B831" s="8" t="s">
        <v>35</v>
      </c>
      <c r="C831" s="12">
        <f>COUNTIFS('DEF_SELF_SCOUT_IMPORT'!$L$42:$L$1040,"Y",'DEF_SELF_SCOUT_IMPORT'!$E$42:$E$1040,SUBSTITUTE(SUBSTITUTE(SUBSTITUTE($B831,"~","~~"),"*","~*"),"?","~?"),'DEF_SELF_SCOUT_IMPORT'!$Q$42:$Q$1040,SUBSTITUTE(SUBSTITUTE(SUBSTITUTE($M831,"~","~~"),"*","~*"),"?","~?"),'DEF_SELF_SCOUT_IMPORT'!$D$42:$D$1040,SUBSTITUTE(SUBSTITUTE(SUBSTITUTE($P831,"~","~~"),"*","~*"),"?","~?"))</f>
        <v>3</v>
      </c>
      <c r="D831" s="10">
        <f>IF($C831=0,"",SUMIFS('DEF_SELF_SCOUT_IMPORT'!$J$42:$J$1040,'DEF_SELF_SCOUT_IMPORT'!$L$42:$L$1040,"Y",'DEF_SELF_SCOUT_IMPORT'!$E$42:$E$1040,SUBSTITUTE(SUBSTITUTE(SUBSTITUTE($B831,"~","~~"),"*","~*"),"?","~?"),'DEF_SELF_SCOUT_IMPORT'!$Q$42:$Q$1040,SUBSTITUTE(SUBSTITUTE(SUBSTITUTE($M831,"~","~~"),"*","~*"),"?","~?"),'DEF_SELF_SCOUT_IMPORT'!$D$42:$D$1040,SUBSTITUTE(SUBSTITUTE(SUBSTITUTE($P831,"~","~~"),"*","~*"),"?","~?"))/$C831)</f>
        <v>1.0</v>
      </c>
      <c r="E831" s="10">
        <f>IF($C831=0,"",SUMIFS('DEF_SELF_SCOUT_IMPORT'!$K$42:$K$1040,'DEF_SELF_SCOUT_IMPORT'!$L$42:$L$1040,"Y",'DEF_SELF_SCOUT_IMPORT'!$E$42:$E$1040,SUBSTITUTE(SUBSTITUTE(SUBSTITUTE($B831,"~","~~"),"*","~*"),"?","~?"),'DEF_SELF_SCOUT_IMPORT'!$Q$42:$Q$1040,SUBSTITUTE(SUBSTITUTE(SUBSTITUTE($M831,"~","~~"),"*","~*"),"?","~?"),'DEF_SELF_SCOUT_IMPORT'!$D$42:$D$1040,SUBSTITUTE(SUBSTITUTE(SUBSTITUTE($P831,"~","~~"),"*","~*"),"?","~?"))/$C831)</f>
        <v>0.0</v>
      </c>
      <c r="F831" s="11">
        <f>IF($C831=0,"",AVERAGEIFS('DEF_SELF_SCOUT_IMPORT'!$I$42:$I$1040,'DEF_SELF_SCOUT_IMPORT'!$L$42:$L$1040,"Y",'DEF_SELF_SCOUT_IMPORT'!$E$42:$E$1040,SUBSTITUTE(SUBSTITUTE(SUBSTITUTE($B831,"~","~~"),"*","~*"),"?","~?"),'DEF_SELF_SCOUT_IMPORT'!$Q$42:$Q$1040,SUBSTITUTE(SUBSTITUTE(SUBSTITUTE($M831,"~","~~"),"*","~*"),"?","~?"),'DEF_SELF_SCOUT_IMPORT'!$D$42:$D$1040,SUBSTITUTE(SUBSTITUTE(SUBSTITUTE($P831,"~","~~"),"*","~*"),"?","~?")))</f>
        <v>0.6666666666666666</v>
      </c>
      <c r="G831" s="10">
        <f>IF($C831=0,"",COUNTIFS('DEF_SELF_SCOUT_IMPORT'!$L$42:$L$1040,"Y",'DEF_SELF_SCOUT_IMPORT'!$E$42:$E$1040,SUBSTITUTE(SUBSTITUTE(SUBSTITUTE($B831,"~","~~"),"*","~*"),"?","~?"),'DEF_SELF_SCOUT_IMPORT'!$Q$42:$Q$1040,SUBSTITUTE(SUBSTITUTE(SUBSTITUTE($M831,"~","~~"),"*","~*"),"?","~?"),'DEF_SELF_SCOUT_IMPORT'!$D$42:$D$1040,SUBSTITUTE(SUBSTITUTE(SUBSTITUTE($P831,"~","~~"),"*","~*"),"?","~?"),'DEF_SELF_SCOUT_IMPORT'!$H$42:$H$1040,"RUSH")/$C831)</f>
        <v>0.0</v>
      </c>
      <c r="H831" s="10">
        <f>IF($C831=0,"",COUNTIFS('DEF_SELF_SCOUT_IMPORT'!$L$42:$L$1040,"Y",'DEF_SELF_SCOUT_IMPORT'!$E$42:$E$1040,SUBSTITUTE(SUBSTITUTE(SUBSTITUTE($B831,"~","~~"),"*","~*"),"?","~?"),'DEF_SELF_SCOUT_IMPORT'!$Q$42:$Q$1040,SUBSTITUTE(SUBSTITUTE(SUBSTITUTE($M831,"~","~~"),"*","~*"),"?","~?"),'DEF_SELF_SCOUT_IMPORT'!$D$42:$D$1040,SUBSTITUTE(SUBSTITUTE(SUBSTITUTE($P831,"~","~~"),"*","~*"),"?","~?"),'DEF_SELF_SCOUT_IMPORT'!$H$42:$H$1040,"DROPBACK")/$C831)</f>
        <v>1.0</v>
      </c>
      <c r="I831" s="14" t="str">
        <f>IF(C831=0,"",IF(C831&lt;=2,"TRACK",IF(C831=3,"LOW",IF(C831&lt;=6,"MEDIUM","HIGH"))))</f>
        <v>LOW</v>
      </c>
      <c r="J831" s="11">
        <f>IF(C831=0,"",ROUND(D831*70+(1-E831)*20+MAX(0,MIN(1,(10-F831)/10))*10,1))</f>
        <v>99.3</v>
      </c>
      <c r="K831" s="14" t="str">
        <f>IF(C831=0,"No Evidence",IF(C831&lt;=2,IF(E831&gt;0,"Explosive Alert","Track Only"),IF(C831=3,"Sample Watch",IF(E831&gt;=START_HERE!$B$31,"Explosive Alert",IF(J831&gt;=80,"Strong Candidate",IF(J831&gt;=65,"Good Candidate",IF(J831&gt;=50,"Mixed / Review","Problem Call")))))))</f>
        <v>Sample Watch</v>
      </c>
      <c r="L831" s="9" t="str">
        <f>IF(COUNTIFS('DEF_SELF_SCOUT_IMPORT'!$L$42:$L$1040,"Y",'DEF_SELF_SCOUT_IMPORT'!$E$42:$E$1040,SUBSTITUTE(SUBSTITUTE(SUBSTITUTE($B831,"~","~~"),"*","~*"),"?","~?"),'DEF_SELF_SCOUT_IMPORT'!$Q$42:$Q$1040,SUBSTITUTE(SUBSTITUTE(SUBSTITUTE($M831,"~","~~"),"*","~*"),"?","~?"),'DEF_SELF_SCOUT_IMPORT'!$D$42:$D$1040,SUBSTITUTE(SUBSTITUTE(SUBSTITUTE($P831,"~","~~"),"*","~*"),"?","~?"),'DEF_SELF_SCOUT_IMPORT'!$J$42:$J$1040,"")&gt;0,"Unscored clean outcome; review result tags before using score.",IF(C831=0,"No matching defensive reps; film confirmation needed.",IF(K831="Explosive Alert","Explosive risk; review clips before using as answer.",IF(C831&lt;=2,"Track only; not enough sample.",IF(C831=3,IF(E831&gt;0,"Sample watch with explosive exposure; review clips and build the sample.",IF(J831&gt;=65,"Good signal, but sample is limited.","Sample watch; review clips and build the sample.")),IF(K831="Problem Call","Problem area; practice or call-sheet review.",IF(K831="Strong Candidate","Strong call-fit candidate; confirm on film.",IF(K831="Good Candidate","Good call-fit signal; confirm on film.","Mixed signal; review fit and execution on film."))))))))</f>
        <v>Good signal, but sample is limited.</v>
      </c>
      <c r="M831" s="8" t="s">
        <v>39</v>
      </c>
      <c r="N831" s="8"/>
      <c r="O831" s="8"/>
      <c r="P831" s="8" t="s">
        <v>449</v>
      </c>
      <c r="Q831" s="8"/>
      <c r="R831" s="8" t="s">
        <v>429</v>
      </c>
      <c r="S831" s="2" t="s">
        <v>450</v>
      </c>
      <c r="T831" s="2">
        <f>IF(C831=0,0,IF(C831&gt;=CALL_LOOKUP_BOARD!$B$7,IF(OR(K831="Problem Call",K831="Explosive Alert"),10000000,20000000),0)+IF(C831&gt;=CALL_LOOKUP_BOARD!$B$7,J831*1000+MIN(C831,999),C831*1000+J831)+0.00997900)</f>
        <v>3099.309979</v>
      </c>
      <c r="U831" s="2" t="str">
        <f>IF(C831=0,"",IF(COUNTIFS($S$811:$S$1055,SUBSTITUTE(SUBSTITUTE(SUBSTITUTE(S831,"~","~~"),"*","~*"),"?","~?"),$T$811:$T$1055,"&gt;"&amp;T831)=0,S831,""))</f>
        <v>7:1D 7-10|6:5 STEP|</v>
      </c>
    </row>
    <row r="832" spans="1:21" ht="38" customHeight="1">
      <c r="A832" s="8" t="s">
        <v>448</v>
      </c>
      <c r="B832" s="8" t="s">
        <v>60</v>
      </c>
      <c r="C832" s="12">
        <f>COUNTIFS('DEF_SELF_SCOUT_IMPORT'!$L$42:$L$1040,"Y",'DEF_SELF_SCOUT_IMPORT'!$E$42:$E$1040,SUBSTITUTE(SUBSTITUTE(SUBSTITUTE($B832,"~","~~"),"*","~*"),"?","~?"),'DEF_SELF_SCOUT_IMPORT'!$Q$42:$Q$1040,SUBSTITUTE(SUBSTITUTE(SUBSTITUTE($M832,"~","~~"),"*","~*"),"?","~?"),'DEF_SELF_SCOUT_IMPORT'!$D$42:$D$1040,SUBSTITUTE(SUBSTITUTE(SUBSTITUTE($P832,"~","~~"),"*","~*"),"?","~?"))</f>
        <v>2</v>
      </c>
      <c r="D832" s="10">
        <f>IF($C832=0,"",SUMIFS('DEF_SELF_SCOUT_IMPORT'!$J$42:$J$1040,'DEF_SELF_SCOUT_IMPORT'!$L$42:$L$1040,"Y",'DEF_SELF_SCOUT_IMPORT'!$E$42:$E$1040,SUBSTITUTE(SUBSTITUTE(SUBSTITUTE($B832,"~","~~"),"*","~*"),"?","~?"),'DEF_SELF_SCOUT_IMPORT'!$Q$42:$Q$1040,SUBSTITUTE(SUBSTITUTE(SUBSTITUTE($M832,"~","~~"),"*","~*"),"?","~?"),'DEF_SELF_SCOUT_IMPORT'!$D$42:$D$1040,SUBSTITUTE(SUBSTITUTE(SUBSTITUTE($P832,"~","~~"),"*","~*"),"?","~?"))/$C832)</f>
        <v>0.0</v>
      </c>
      <c r="E832" s="10">
        <f>IF($C832=0,"",SUMIFS('DEF_SELF_SCOUT_IMPORT'!$K$42:$K$1040,'DEF_SELF_SCOUT_IMPORT'!$L$42:$L$1040,"Y",'DEF_SELF_SCOUT_IMPORT'!$E$42:$E$1040,SUBSTITUTE(SUBSTITUTE(SUBSTITUTE($B832,"~","~~"),"*","~*"),"?","~?"),'DEF_SELF_SCOUT_IMPORT'!$Q$42:$Q$1040,SUBSTITUTE(SUBSTITUTE(SUBSTITUTE($M832,"~","~~"),"*","~*"),"?","~?"),'DEF_SELF_SCOUT_IMPORT'!$D$42:$D$1040,SUBSTITUTE(SUBSTITUTE(SUBSTITUTE($P832,"~","~~"),"*","~*"),"?","~?"))/$C832)</f>
        <v>0.5</v>
      </c>
      <c r="F832" s="11">
        <f>IF($C832=0,"",AVERAGEIFS('DEF_SELF_SCOUT_IMPORT'!$I$42:$I$1040,'DEF_SELF_SCOUT_IMPORT'!$L$42:$L$1040,"Y",'DEF_SELF_SCOUT_IMPORT'!$E$42:$E$1040,SUBSTITUTE(SUBSTITUTE(SUBSTITUTE($B832,"~","~~"),"*","~*"),"?","~?"),'DEF_SELF_SCOUT_IMPORT'!$Q$42:$Q$1040,SUBSTITUTE(SUBSTITUTE(SUBSTITUTE($M832,"~","~~"),"*","~*"),"?","~?"),'DEF_SELF_SCOUT_IMPORT'!$D$42:$D$1040,SUBSTITUTE(SUBSTITUTE(SUBSTITUTE($P832,"~","~~"),"*","~*"),"?","~?")))</f>
        <v>21.5</v>
      </c>
      <c r="G832" s="10">
        <f>IF($C832=0,"",COUNTIFS('DEF_SELF_SCOUT_IMPORT'!$L$42:$L$1040,"Y",'DEF_SELF_SCOUT_IMPORT'!$E$42:$E$1040,SUBSTITUTE(SUBSTITUTE(SUBSTITUTE($B832,"~","~~"),"*","~*"),"?","~?"),'DEF_SELF_SCOUT_IMPORT'!$Q$42:$Q$1040,SUBSTITUTE(SUBSTITUTE(SUBSTITUTE($M832,"~","~~"),"*","~*"),"?","~?"),'DEF_SELF_SCOUT_IMPORT'!$D$42:$D$1040,SUBSTITUTE(SUBSTITUTE(SUBSTITUTE($P832,"~","~~"),"*","~*"),"?","~?"),'DEF_SELF_SCOUT_IMPORT'!$H$42:$H$1040,"RUSH")/$C832)</f>
        <v>0.0</v>
      </c>
      <c r="H832" s="10">
        <f>IF($C832=0,"",COUNTIFS('DEF_SELF_SCOUT_IMPORT'!$L$42:$L$1040,"Y",'DEF_SELF_SCOUT_IMPORT'!$E$42:$E$1040,SUBSTITUTE(SUBSTITUTE(SUBSTITUTE($B832,"~","~~"),"*","~*"),"?","~?"),'DEF_SELF_SCOUT_IMPORT'!$Q$42:$Q$1040,SUBSTITUTE(SUBSTITUTE(SUBSTITUTE($M832,"~","~~"),"*","~*"),"?","~?"),'DEF_SELF_SCOUT_IMPORT'!$D$42:$D$1040,SUBSTITUTE(SUBSTITUTE(SUBSTITUTE($P832,"~","~~"),"*","~*"),"?","~?"),'DEF_SELF_SCOUT_IMPORT'!$H$42:$H$1040,"DROPBACK")/$C832)</f>
        <v>0.5</v>
      </c>
      <c r="I832" s="14" t="str">
        <f>IF(C832=0,"",IF(C832&lt;=2,"TRACK",IF(C832=3,"LOW",IF(C832&lt;=6,"MEDIUM","HIGH"))))</f>
        <v>TRACK</v>
      </c>
      <c r="J832" s="11">
        <f>IF(C832=0,"",ROUND(D832*70+(1-E832)*20+MAX(0,MIN(1,(10-F832)/10))*10,1))</f>
        <v>10.0</v>
      </c>
      <c r="K832" s="14" t="str">
        <f>IF(C832=0,"No Evidence",IF(C832&lt;=2,IF(E832&gt;0,"Explosive Alert","Track Only"),IF(C832=3,"Sample Watch",IF(E832&gt;=START_HERE!$B$31,"Explosive Alert",IF(J832&gt;=80,"Strong Candidate",IF(J832&gt;=65,"Good Candidate",IF(J832&gt;=50,"Mixed / Review","Problem Call")))))))</f>
        <v>Explosive Alert</v>
      </c>
      <c r="L832" s="9" t="str">
        <f>IF(COUNTIFS('DEF_SELF_SCOUT_IMPORT'!$L$42:$L$1040,"Y",'DEF_SELF_SCOUT_IMPORT'!$E$42:$E$1040,SUBSTITUTE(SUBSTITUTE(SUBSTITUTE($B832,"~","~~"),"*","~*"),"?","~?"),'DEF_SELF_SCOUT_IMPORT'!$Q$42:$Q$1040,SUBSTITUTE(SUBSTITUTE(SUBSTITUTE($M832,"~","~~"),"*","~*"),"?","~?"),'DEF_SELF_SCOUT_IMPORT'!$D$42:$D$1040,SUBSTITUTE(SUBSTITUTE(SUBSTITUTE($P832,"~","~~"),"*","~*"),"?","~?"),'DEF_SELF_SCOUT_IMPORT'!$J$42:$J$1040,"")&gt;0,"Unscored clean outcome; review result tags before using score.",IF(C832=0,"No matching defensive reps; film confirmation needed.",IF(K832="Explosive Alert","Explosive risk; review clips before using as answer.",IF(C832&lt;=2,"Track only; not enough sample.",IF(C832=3,IF(E832&gt;0,"Sample watch with explosive exposure; review clips and build the sample.",IF(J832&gt;=65,"Good signal, but sample is limited.","Sample watch; review clips and build the sample.")),IF(K832="Problem Call","Problem area; practice or call-sheet review.",IF(K832="Strong Candidate","Strong call-fit candidate; confirm on film.",IF(K832="Good Candidate","Good call-fit signal; confirm on film.","Mixed signal; review fit and execution on film."))))))))</f>
        <v>Explosive risk; review clips before using as answer.</v>
      </c>
      <c r="M832" s="8" t="s">
        <v>39</v>
      </c>
      <c r="N832" s="8"/>
      <c r="O832" s="8"/>
      <c r="P832" s="8" t="s">
        <v>449</v>
      </c>
      <c r="Q832" s="8"/>
      <c r="R832" s="8" t="s">
        <v>429</v>
      </c>
      <c r="S832" s="2" t="s">
        <v>450</v>
      </c>
      <c r="T832" s="2">
        <f>IF(C832=0,0,IF(C832&gt;=CALL_LOOKUP_BOARD!$B$7,IF(OR(K832="Problem Call",K832="Explosive Alert"),10000000,20000000),0)+IF(C832&gt;=CALL_LOOKUP_BOARD!$B$7,J832*1000+MIN(C832,999),C832*1000+J832)+0.00997800)</f>
        <v>2010.009978</v>
      </c>
      <c r="U832" s="2">
        <f>IF(C832=0,"",IF(COUNTIFS($S$811:$S$1055,SUBSTITUTE(SUBSTITUTE(SUBSTITUTE(S832,"~","~~"),"*","~*"),"?","~?"),$T$811:$T$1055,"&gt;"&amp;T832)=0,S832,""))</f>
        <v/>
      </c>
    </row>
    <row r="833" spans="1:21" ht="38" customHeight="1">
      <c r="A833" s="8" t="s">
        <v>448</v>
      </c>
      <c r="B833" s="8" t="s">
        <v>61</v>
      </c>
      <c r="C833" s="12">
        <f>COUNTIFS('DEF_SELF_SCOUT_IMPORT'!$L$42:$L$1040,"Y",'DEF_SELF_SCOUT_IMPORT'!$E$42:$E$1040,SUBSTITUTE(SUBSTITUTE(SUBSTITUTE($B833,"~","~~"),"*","~*"),"?","~?"),'DEF_SELF_SCOUT_IMPORT'!$Q$42:$Q$1040,SUBSTITUTE(SUBSTITUTE(SUBSTITUTE($M833,"~","~~"),"*","~*"),"?","~?"),'DEF_SELF_SCOUT_IMPORT'!$D$42:$D$1040,SUBSTITUTE(SUBSTITUTE(SUBSTITUTE($P833,"~","~~"),"*","~*"),"?","~?"))</f>
        <v>1</v>
      </c>
      <c r="D833" s="10">
        <f>IF($C833=0,"",SUMIFS('DEF_SELF_SCOUT_IMPORT'!$J$42:$J$1040,'DEF_SELF_SCOUT_IMPORT'!$L$42:$L$1040,"Y",'DEF_SELF_SCOUT_IMPORT'!$E$42:$E$1040,SUBSTITUTE(SUBSTITUTE(SUBSTITUTE($B833,"~","~~"),"*","~*"),"?","~?"),'DEF_SELF_SCOUT_IMPORT'!$Q$42:$Q$1040,SUBSTITUTE(SUBSTITUTE(SUBSTITUTE($M833,"~","~~"),"*","~*"),"?","~?"),'DEF_SELF_SCOUT_IMPORT'!$D$42:$D$1040,SUBSTITUTE(SUBSTITUTE(SUBSTITUTE($P833,"~","~~"),"*","~*"),"?","~?"))/$C833)</f>
        <v>1.0</v>
      </c>
      <c r="E833" s="10">
        <f>IF($C833=0,"",SUMIFS('DEF_SELF_SCOUT_IMPORT'!$K$42:$K$1040,'DEF_SELF_SCOUT_IMPORT'!$L$42:$L$1040,"Y",'DEF_SELF_SCOUT_IMPORT'!$E$42:$E$1040,SUBSTITUTE(SUBSTITUTE(SUBSTITUTE($B833,"~","~~"),"*","~*"),"?","~?"),'DEF_SELF_SCOUT_IMPORT'!$Q$42:$Q$1040,SUBSTITUTE(SUBSTITUTE(SUBSTITUTE($M833,"~","~~"),"*","~*"),"?","~?"),'DEF_SELF_SCOUT_IMPORT'!$D$42:$D$1040,SUBSTITUTE(SUBSTITUTE(SUBSTITUTE($P833,"~","~~"),"*","~*"),"?","~?"))/$C833)</f>
        <v>0.0</v>
      </c>
      <c r="F833" s="11">
        <f>IF($C833=0,"",AVERAGEIFS('DEF_SELF_SCOUT_IMPORT'!$I$42:$I$1040,'DEF_SELF_SCOUT_IMPORT'!$L$42:$L$1040,"Y",'DEF_SELF_SCOUT_IMPORT'!$E$42:$E$1040,SUBSTITUTE(SUBSTITUTE(SUBSTITUTE($B833,"~","~~"),"*","~*"),"?","~?"),'DEF_SELF_SCOUT_IMPORT'!$Q$42:$Q$1040,SUBSTITUTE(SUBSTITUTE(SUBSTITUTE($M833,"~","~~"),"*","~*"),"?","~?"),'DEF_SELF_SCOUT_IMPORT'!$D$42:$D$1040,SUBSTITUTE(SUBSTITUTE(SUBSTITUTE($P833,"~","~~"),"*","~*"),"?","~?")))</f>
        <v>0.0</v>
      </c>
      <c r="G833" s="10">
        <f>IF($C833=0,"",COUNTIFS('DEF_SELF_SCOUT_IMPORT'!$L$42:$L$1040,"Y",'DEF_SELF_SCOUT_IMPORT'!$E$42:$E$1040,SUBSTITUTE(SUBSTITUTE(SUBSTITUTE($B833,"~","~~"),"*","~*"),"?","~?"),'DEF_SELF_SCOUT_IMPORT'!$Q$42:$Q$1040,SUBSTITUTE(SUBSTITUTE(SUBSTITUTE($M833,"~","~~"),"*","~*"),"?","~?"),'DEF_SELF_SCOUT_IMPORT'!$D$42:$D$1040,SUBSTITUTE(SUBSTITUTE(SUBSTITUTE($P833,"~","~~"),"*","~*"),"?","~?"),'DEF_SELF_SCOUT_IMPORT'!$H$42:$H$1040,"RUSH")/$C833)</f>
        <v>0.0</v>
      </c>
      <c r="H833" s="10">
        <f>IF($C833=0,"",COUNTIFS('DEF_SELF_SCOUT_IMPORT'!$L$42:$L$1040,"Y",'DEF_SELF_SCOUT_IMPORT'!$E$42:$E$1040,SUBSTITUTE(SUBSTITUTE(SUBSTITUTE($B833,"~","~~"),"*","~*"),"?","~?"),'DEF_SELF_SCOUT_IMPORT'!$Q$42:$Q$1040,SUBSTITUTE(SUBSTITUTE(SUBSTITUTE($M833,"~","~~"),"*","~*"),"?","~?"),'DEF_SELF_SCOUT_IMPORT'!$D$42:$D$1040,SUBSTITUTE(SUBSTITUTE(SUBSTITUTE($P833,"~","~~"),"*","~*"),"?","~?"),'DEF_SELF_SCOUT_IMPORT'!$H$42:$H$1040,"DROPBACK")/$C833)</f>
        <v>1.0</v>
      </c>
      <c r="I833" s="14" t="str">
        <f>IF(C833=0,"",IF(C833&lt;=2,"TRACK",IF(C833=3,"LOW",IF(C833&lt;=6,"MEDIUM","HIGH"))))</f>
        <v>TRACK</v>
      </c>
      <c r="J833" s="11">
        <f>IF(C833=0,"",ROUND(D833*70+(1-E833)*20+MAX(0,MIN(1,(10-F833)/10))*10,1))</f>
        <v>100.0</v>
      </c>
      <c r="K833" s="14" t="str">
        <f>IF(C833=0,"No Evidence",IF(C833&lt;=2,IF(E833&gt;0,"Explosive Alert","Track Only"),IF(C833=3,"Sample Watch",IF(E833&gt;=START_HERE!$B$31,"Explosive Alert",IF(J833&gt;=80,"Strong Candidate",IF(J833&gt;=65,"Good Candidate",IF(J833&gt;=50,"Mixed / Review","Problem Call")))))))</f>
        <v>Track Only</v>
      </c>
      <c r="L833" s="9" t="str">
        <f>IF(COUNTIFS('DEF_SELF_SCOUT_IMPORT'!$L$42:$L$1040,"Y",'DEF_SELF_SCOUT_IMPORT'!$E$42:$E$1040,SUBSTITUTE(SUBSTITUTE(SUBSTITUTE($B833,"~","~~"),"*","~*"),"?","~?"),'DEF_SELF_SCOUT_IMPORT'!$Q$42:$Q$1040,SUBSTITUTE(SUBSTITUTE(SUBSTITUTE($M833,"~","~~"),"*","~*"),"?","~?"),'DEF_SELF_SCOUT_IMPORT'!$D$42:$D$1040,SUBSTITUTE(SUBSTITUTE(SUBSTITUTE($P833,"~","~~"),"*","~*"),"?","~?"),'DEF_SELF_SCOUT_IMPORT'!$J$42:$J$1040,"")&gt;0,"Unscored clean outcome; review result tags before using score.",IF(C833=0,"No matching defensive reps; film confirmation needed.",IF(K833="Explosive Alert","Explosive risk; review clips before using as answer.",IF(C833&lt;=2,"Track only; not enough sample.",IF(C833=3,IF(E833&gt;0,"Sample watch with explosive exposure; review clips and build the sample.",IF(J833&gt;=65,"Good signal, but sample is limited.","Sample watch; review clips and build the sample.")),IF(K833="Problem Call","Problem area; practice or call-sheet review.",IF(K833="Strong Candidate","Strong call-fit candidate; confirm on film.",IF(K833="Good Candidate","Good call-fit signal; confirm on film.","Mixed signal; review fit and execution on film."))))))))</f>
        <v>Track only; not enough sample.</v>
      </c>
      <c r="M833" s="8" t="s">
        <v>39</v>
      </c>
      <c r="N833" s="8"/>
      <c r="O833" s="8"/>
      <c r="P833" s="8" t="s">
        <v>449</v>
      </c>
      <c r="Q833" s="8"/>
      <c r="R833" s="8" t="s">
        <v>429</v>
      </c>
      <c r="S833" s="2" t="s">
        <v>450</v>
      </c>
      <c r="T833" s="2">
        <f>IF(C833=0,0,IF(C833&gt;=CALL_LOOKUP_BOARD!$B$7,IF(OR(K833="Problem Call",K833="Explosive Alert"),10000000,20000000),0)+IF(C833&gt;=CALL_LOOKUP_BOARD!$B$7,J833*1000+MIN(C833,999),C833*1000+J833)+0.00997700)</f>
        <v>1100.009977</v>
      </c>
      <c r="U833" s="2">
        <f>IF(C833=0,"",IF(COUNTIFS($S$811:$S$1055,SUBSTITUTE(SUBSTITUTE(SUBSTITUTE(S833,"~","~~"),"*","~*"),"?","~?"),$T$811:$T$1055,"&gt;"&amp;T833)=0,S833,""))</f>
        <v/>
      </c>
    </row>
    <row r="834" spans="1:21" ht="38" customHeight="1">
      <c r="A834" s="8" t="s">
        <v>448</v>
      </c>
      <c r="B834" s="8" t="s">
        <v>66</v>
      </c>
      <c r="C834" s="12">
        <f>COUNTIFS('DEF_SELF_SCOUT_IMPORT'!$L$42:$L$1040,"Y",'DEF_SELF_SCOUT_IMPORT'!$E$42:$E$1040,SUBSTITUTE(SUBSTITUTE(SUBSTITUTE($B834,"~","~~"),"*","~*"),"?","~?"),'DEF_SELF_SCOUT_IMPORT'!$Q$42:$Q$1040,SUBSTITUTE(SUBSTITUTE(SUBSTITUTE($M834,"~","~~"),"*","~*"),"?","~?"),'DEF_SELF_SCOUT_IMPORT'!$D$42:$D$1040,SUBSTITUTE(SUBSTITUTE(SUBSTITUTE($P834,"~","~~"),"*","~*"),"?","~?"))</f>
        <v>1</v>
      </c>
      <c r="D834" s="10">
        <f>IF($C834=0,"",SUMIFS('DEF_SELF_SCOUT_IMPORT'!$J$42:$J$1040,'DEF_SELF_SCOUT_IMPORT'!$L$42:$L$1040,"Y",'DEF_SELF_SCOUT_IMPORT'!$E$42:$E$1040,SUBSTITUTE(SUBSTITUTE(SUBSTITUTE($B834,"~","~~"),"*","~*"),"?","~?"),'DEF_SELF_SCOUT_IMPORT'!$Q$42:$Q$1040,SUBSTITUTE(SUBSTITUTE(SUBSTITUTE($M834,"~","~~"),"*","~*"),"?","~?"),'DEF_SELF_SCOUT_IMPORT'!$D$42:$D$1040,SUBSTITUTE(SUBSTITUTE(SUBSTITUTE($P834,"~","~~"),"*","~*"),"?","~?"))/$C834)</f>
        <v>0.0</v>
      </c>
      <c r="E834" s="10">
        <f>IF($C834=0,"",SUMIFS('DEF_SELF_SCOUT_IMPORT'!$K$42:$K$1040,'DEF_SELF_SCOUT_IMPORT'!$L$42:$L$1040,"Y",'DEF_SELF_SCOUT_IMPORT'!$E$42:$E$1040,SUBSTITUTE(SUBSTITUTE(SUBSTITUTE($B834,"~","~~"),"*","~*"),"?","~?"),'DEF_SELF_SCOUT_IMPORT'!$Q$42:$Q$1040,SUBSTITUTE(SUBSTITUTE(SUBSTITUTE($M834,"~","~~"),"*","~*"),"?","~?"),'DEF_SELF_SCOUT_IMPORT'!$D$42:$D$1040,SUBSTITUTE(SUBSTITUTE(SUBSTITUTE($P834,"~","~~"),"*","~*"),"?","~?"))/$C834)</f>
        <v>1.0</v>
      </c>
      <c r="F834" s="11">
        <f>IF($C834=0,"",AVERAGEIFS('DEF_SELF_SCOUT_IMPORT'!$I$42:$I$1040,'DEF_SELF_SCOUT_IMPORT'!$L$42:$L$1040,"Y",'DEF_SELF_SCOUT_IMPORT'!$E$42:$E$1040,SUBSTITUTE(SUBSTITUTE(SUBSTITUTE($B834,"~","~~"),"*","~*"),"?","~?"),'DEF_SELF_SCOUT_IMPORT'!$Q$42:$Q$1040,SUBSTITUTE(SUBSTITUTE(SUBSTITUTE($M834,"~","~~"),"*","~*"),"?","~?"),'DEF_SELF_SCOUT_IMPORT'!$D$42:$D$1040,SUBSTITUTE(SUBSTITUTE(SUBSTITUTE($P834,"~","~~"),"*","~*"),"?","~?")))</f>
        <v>23.0</v>
      </c>
      <c r="G834" s="10">
        <f>IF($C834=0,"",COUNTIFS('DEF_SELF_SCOUT_IMPORT'!$L$42:$L$1040,"Y",'DEF_SELF_SCOUT_IMPORT'!$E$42:$E$1040,SUBSTITUTE(SUBSTITUTE(SUBSTITUTE($B834,"~","~~"),"*","~*"),"?","~?"),'DEF_SELF_SCOUT_IMPORT'!$Q$42:$Q$1040,SUBSTITUTE(SUBSTITUTE(SUBSTITUTE($M834,"~","~~"),"*","~*"),"?","~?"),'DEF_SELF_SCOUT_IMPORT'!$D$42:$D$1040,SUBSTITUTE(SUBSTITUTE(SUBSTITUTE($P834,"~","~~"),"*","~*"),"?","~?"),'DEF_SELF_SCOUT_IMPORT'!$H$42:$H$1040,"RUSH")/$C834)</f>
        <v>0.0</v>
      </c>
      <c r="H834" s="10">
        <f>IF($C834=0,"",COUNTIFS('DEF_SELF_SCOUT_IMPORT'!$L$42:$L$1040,"Y",'DEF_SELF_SCOUT_IMPORT'!$E$42:$E$1040,SUBSTITUTE(SUBSTITUTE(SUBSTITUTE($B834,"~","~~"),"*","~*"),"?","~?"),'DEF_SELF_SCOUT_IMPORT'!$Q$42:$Q$1040,SUBSTITUTE(SUBSTITUTE(SUBSTITUTE($M834,"~","~~"),"*","~*"),"?","~?"),'DEF_SELF_SCOUT_IMPORT'!$D$42:$D$1040,SUBSTITUTE(SUBSTITUTE(SUBSTITUTE($P834,"~","~~"),"*","~*"),"?","~?"),'DEF_SELF_SCOUT_IMPORT'!$H$42:$H$1040,"DROPBACK")/$C834)</f>
        <v>1.0</v>
      </c>
      <c r="I834" s="14" t="str">
        <f>IF(C834=0,"",IF(C834&lt;=2,"TRACK",IF(C834=3,"LOW",IF(C834&lt;=6,"MEDIUM","HIGH"))))</f>
        <v>TRACK</v>
      </c>
      <c r="J834" s="11">
        <f>IF(C834=0,"",ROUND(D834*70+(1-E834)*20+MAX(0,MIN(1,(10-F834)/10))*10,1))</f>
        <v>0.0</v>
      </c>
      <c r="K834" s="14" t="str">
        <f>IF(C834=0,"No Evidence",IF(C834&lt;=2,IF(E834&gt;0,"Explosive Alert","Track Only"),IF(C834=3,"Sample Watch",IF(E834&gt;=START_HERE!$B$31,"Explosive Alert",IF(J834&gt;=80,"Strong Candidate",IF(J834&gt;=65,"Good Candidate",IF(J834&gt;=50,"Mixed / Review","Problem Call")))))))</f>
        <v>Explosive Alert</v>
      </c>
      <c r="L834" s="9" t="str">
        <f>IF(COUNTIFS('DEF_SELF_SCOUT_IMPORT'!$L$42:$L$1040,"Y",'DEF_SELF_SCOUT_IMPORT'!$E$42:$E$1040,SUBSTITUTE(SUBSTITUTE(SUBSTITUTE($B834,"~","~~"),"*","~*"),"?","~?"),'DEF_SELF_SCOUT_IMPORT'!$Q$42:$Q$1040,SUBSTITUTE(SUBSTITUTE(SUBSTITUTE($M834,"~","~~"),"*","~*"),"?","~?"),'DEF_SELF_SCOUT_IMPORT'!$D$42:$D$1040,SUBSTITUTE(SUBSTITUTE(SUBSTITUTE($P834,"~","~~"),"*","~*"),"?","~?"),'DEF_SELF_SCOUT_IMPORT'!$J$42:$J$1040,"")&gt;0,"Unscored clean outcome; review result tags before using score.",IF(C834=0,"No matching defensive reps; film confirmation needed.",IF(K834="Explosive Alert","Explosive risk; review clips before using as answer.",IF(C834&lt;=2,"Track only; not enough sample.",IF(C834=3,IF(E834&gt;0,"Sample watch with explosive exposure; review clips and build the sample.",IF(J834&gt;=65,"Good signal, but sample is limited.","Sample watch; review clips and build the sample.")),IF(K834="Problem Call","Problem area; practice or call-sheet review.",IF(K834="Strong Candidate","Strong call-fit candidate; confirm on film.",IF(K834="Good Candidate","Good call-fit signal; confirm on film.","Mixed signal; review fit and execution on film."))))))))</f>
        <v>Explosive risk; review clips before using as answer.</v>
      </c>
      <c r="M834" s="8" t="s">
        <v>39</v>
      </c>
      <c r="N834" s="8"/>
      <c r="O834" s="8"/>
      <c r="P834" s="8" t="s">
        <v>449</v>
      </c>
      <c r="Q834" s="8"/>
      <c r="R834" s="8" t="s">
        <v>429</v>
      </c>
      <c r="S834" s="2" t="s">
        <v>450</v>
      </c>
      <c r="T834" s="2">
        <f>IF(C834=0,0,IF(C834&gt;=CALL_LOOKUP_BOARD!$B$7,IF(OR(K834="Problem Call",K834="Explosive Alert"),10000000,20000000),0)+IF(C834&gt;=CALL_LOOKUP_BOARD!$B$7,J834*1000+MIN(C834,999),C834*1000+J834)+0.00997600)</f>
        <v>1000.009976</v>
      </c>
      <c r="U834" s="2">
        <f>IF(C834=0,"",IF(COUNTIFS($S$811:$S$1055,SUBSTITUTE(SUBSTITUTE(SUBSTITUTE(S834,"~","~~"),"*","~*"),"?","~?"),$T$811:$T$1055,"&gt;"&amp;T834)=0,S834,""))</f>
        <v/>
      </c>
    </row>
    <row r="835" spans="1:21" ht="38" customHeight="1">
      <c r="A835" s="8" t="s">
        <v>448</v>
      </c>
      <c r="B835" s="8" t="s">
        <v>68</v>
      </c>
      <c r="C835" s="12">
        <f>COUNTIFS('DEF_SELF_SCOUT_IMPORT'!$L$42:$L$1040,"Y",'DEF_SELF_SCOUT_IMPORT'!$E$42:$E$1040,SUBSTITUTE(SUBSTITUTE(SUBSTITUTE($B835,"~","~~"),"*","~*"),"?","~?"),'DEF_SELF_SCOUT_IMPORT'!$Q$42:$Q$1040,SUBSTITUTE(SUBSTITUTE(SUBSTITUTE($M835,"~","~~"),"*","~*"),"?","~?"),'DEF_SELF_SCOUT_IMPORT'!$D$42:$D$1040,SUBSTITUTE(SUBSTITUTE(SUBSTITUTE($P835,"~","~~"),"*","~*"),"?","~?"))</f>
        <v>1</v>
      </c>
      <c r="D835" s="10">
        <f>IF($C835=0,"",SUMIFS('DEF_SELF_SCOUT_IMPORT'!$J$42:$J$1040,'DEF_SELF_SCOUT_IMPORT'!$L$42:$L$1040,"Y",'DEF_SELF_SCOUT_IMPORT'!$E$42:$E$1040,SUBSTITUTE(SUBSTITUTE(SUBSTITUTE($B835,"~","~~"),"*","~*"),"?","~?"),'DEF_SELF_SCOUT_IMPORT'!$Q$42:$Q$1040,SUBSTITUTE(SUBSTITUTE(SUBSTITUTE($M835,"~","~~"),"*","~*"),"?","~?"),'DEF_SELF_SCOUT_IMPORT'!$D$42:$D$1040,SUBSTITUTE(SUBSTITUTE(SUBSTITUTE($P835,"~","~~"),"*","~*"),"?","~?"))/$C835)</f>
        <v>1.0</v>
      </c>
      <c r="E835" s="10">
        <f>IF($C835=0,"",SUMIFS('DEF_SELF_SCOUT_IMPORT'!$K$42:$K$1040,'DEF_SELF_SCOUT_IMPORT'!$L$42:$L$1040,"Y",'DEF_SELF_SCOUT_IMPORT'!$E$42:$E$1040,SUBSTITUTE(SUBSTITUTE(SUBSTITUTE($B835,"~","~~"),"*","~*"),"?","~?"),'DEF_SELF_SCOUT_IMPORT'!$Q$42:$Q$1040,SUBSTITUTE(SUBSTITUTE(SUBSTITUTE($M835,"~","~~"),"*","~*"),"?","~?"),'DEF_SELF_SCOUT_IMPORT'!$D$42:$D$1040,SUBSTITUTE(SUBSTITUTE(SUBSTITUTE($P835,"~","~~"),"*","~*"),"?","~?"))/$C835)</f>
        <v>0.0</v>
      </c>
      <c r="F835" s="11">
        <f>IF($C835=0,"",AVERAGEIFS('DEF_SELF_SCOUT_IMPORT'!$I$42:$I$1040,'DEF_SELF_SCOUT_IMPORT'!$L$42:$L$1040,"Y",'DEF_SELF_SCOUT_IMPORT'!$E$42:$E$1040,SUBSTITUTE(SUBSTITUTE(SUBSTITUTE($B835,"~","~~"),"*","~*"),"?","~?"),'DEF_SELF_SCOUT_IMPORT'!$Q$42:$Q$1040,SUBSTITUTE(SUBSTITUTE(SUBSTITUTE($M835,"~","~~"),"*","~*"),"?","~?"),'DEF_SELF_SCOUT_IMPORT'!$D$42:$D$1040,SUBSTITUTE(SUBSTITUTE(SUBSTITUTE($P835,"~","~~"),"*","~*"),"?","~?")))</f>
        <v>7.0</v>
      </c>
      <c r="G835" s="10">
        <f>IF($C835=0,"",COUNTIFS('DEF_SELF_SCOUT_IMPORT'!$L$42:$L$1040,"Y",'DEF_SELF_SCOUT_IMPORT'!$E$42:$E$1040,SUBSTITUTE(SUBSTITUTE(SUBSTITUTE($B835,"~","~~"),"*","~*"),"?","~?"),'DEF_SELF_SCOUT_IMPORT'!$Q$42:$Q$1040,SUBSTITUTE(SUBSTITUTE(SUBSTITUTE($M835,"~","~~"),"*","~*"),"?","~?"),'DEF_SELF_SCOUT_IMPORT'!$D$42:$D$1040,SUBSTITUTE(SUBSTITUTE(SUBSTITUTE($P835,"~","~~"),"*","~*"),"?","~?"),'DEF_SELF_SCOUT_IMPORT'!$H$42:$H$1040,"RUSH")/$C835)</f>
        <v>0.0</v>
      </c>
      <c r="H835" s="10">
        <f>IF($C835=0,"",COUNTIFS('DEF_SELF_SCOUT_IMPORT'!$L$42:$L$1040,"Y",'DEF_SELF_SCOUT_IMPORT'!$E$42:$E$1040,SUBSTITUTE(SUBSTITUTE(SUBSTITUTE($B835,"~","~~"),"*","~*"),"?","~?"),'DEF_SELF_SCOUT_IMPORT'!$Q$42:$Q$1040,SUBSTITUTE(SUBSTITUTE(SUBSTITUTE($M835,"~","~~"),"*","~*"),"?","~?"),'DEF_SELF_SCOUT_IMPORT'!$D$42:$D$1040,SUBSTITUTE(SUBSTITUTE(SUBSTITUTE($P835,"~","~~"),"*","~*"),"?","~?"),'DEF_SELF_SCOUT_IMPORT'!$H$42:$H$1040,"DROPBACK")/$C835)</f>
        <v>1.0</v>
      </c>
      <c r="I835" s="14" t="str">
        <f>IF(C835=0,"",IF(C835&lt;=2,"TRACK",IF(C835=3,"LOW",IF(C835&lt;=6,"MEDIUM","HIGH"))))</f>
        <v>TRACK</v>
      </c>
      <c r="J835" s="11">
        <f>IF(C835=0,"",ROUND(D835*70+(1-E835)*20+MAX(0,MIN(1,(10-F835)/10))*10,1))</f>
        <v>93.0</v>
      </c>
      <c r="K835" s="14" t="str">
        <f>IF(C835=0,"No Evidence",IF(C835&lt;=2,IF(E835&gt;0,"Explosive Alert","Track Only"),IF(C835=3,"Sample Watch",IF(E835&gt;=START_HERE!$B$31,"Explosive Alert",IF(J835&gt;=80,"Strong Candidate",IF(J835&gt;=65,"Good Candidate",IF(J835&gt;=50,"Mixed / Review","Problem Call")))))))</f>
        <v>Track Only</v>
      </c>
      <c r="L835" s="9" t="str">
        <f>IF(COUNTIFS('DEF_SELF_SCOUT_IMPORT'!$L$42:$L$1040,"Y",'DEF_SELF_SCOUT_IMPORT'!$E$42:$E$1040,SUBSTITUTE(SUBSTITUTE(SUBSTITUTE($B835,"~","~~"),"*","~*"),"?","~?"),'DEF_SELF_SCOUT_IMPORT'!$Q$42:$Q$1040,SUBSTITUTE(SUBSTITUTE(SUBSTITUTE($M835,"~","~~"),"*","~*"),"?","~?"),'DEF_SELF_SCOUT_IMPORT'!$D$42:$D$1040,SUBSTITUTE(SUBSTITUTE(SUBSTITUTE($P835,"~","~~"),"*","~*"),"?","~?"),'DEF_SELF_SCOUT_IMPORT'!$J$42:$J$1040,"")&gt;0,"Unscored clean outcome; review result tags before using score.",IF(C835=0,"No matching defensive reps; film confirmation needed.",IF(K835="Explosive Alert","Explosive risk; review clips before using as answer.",IF(C835&lt;=2,"Track only; not enough sample.",IF(C835=3,IF(E835&gt;0,"Sample watch with explosive exposure; review clips and build the sample.",IF(J835&gt;=65,"Good signal, but sample is limited.","Sample watch; review clips and build the sample.")),IF(K835="Problem Call","Problem area; practice or call-sheet review.",IF(K835="Strong Candidate","Strong call-fit candidate; confirm on film.",IF(K835="Good Candidate","Good call-fit signal; confirm on film.","Mixed signal; review fit and execution on film."))))))))</f>
        <v>Track only; not enough sample.</v>
      </c>
      <c r="M835" s="8" t="s">
        <v>39</v>
      </c>
      <c r="N835" s="8"/>
      <c r="O835" s="8"/>
      <c r="P835" s="8" t="s">
        <v>449</v>
      </c>
      <c r="Q835" s="8"/>
      <c r="R835" s="8" t="s">
        <v>429</v>
      </c>
      <c r="S835" s="2" t="s">
        <v>450</v>
      </c>
      <c r="T835" s="2">
        <f>IF(C835=0,0,IF(C835&gt;=CALL_LOOKUP_BOARD!$B$7,IF(OR(K835="Problem Call",K835="Explosive Alert"),10000000,20000000),0)+IF(C835&gt;=CALL_LOOKUP_BOARD!$B$7,J835*1000+MIN(C835,999),C835*1000+J835)+0.00997500)</f>
        <v>1093.009975</v>
      </c>
      <c r="U835" s="2">
        <f>IF(C835=0,"",IF(COUNTIFS($S$811:$S$1055,SUBSTITUTE(SUBSTITUTE(SUBSTITUTE(S835,"~","~~"),"*","~*"),"?","~?"),$T$811:$T$1055,"&gt;"&amp;T835)=0,S835,""))</f>
        <v/>
      </c>
    </row>
    <row r="836" spans="1:21" ht="38" customHeight="1">
      <c r="A836" s="8" t="s">
        <v>448</v>
      </c>
      <c r="B836" s="8" t="s">
        <v>69</v>
      </c>
      <c r="C836" s="12">
        <f>COUNTIFS('DEF_SELF_SCOUT_IMPORT'!$L$42:$L$1040,"Y",'DEF_SELF_SCOUT_IMPORT'!$E$42:$E$1040,SUBSTITUTE(SUBSTITUTE(SUBSTITUTE($B836,"~","~~"),"*","~*"),"?","~?"),'DEF_SELF_SCOUT_IMPORT'!$Q$42:$Q$1040,SUBSTITUTE(SUBSTITUTE(SUBSTITUTE($M836,"~","~~"),"*","~*"),"?","~?"),'DEF_SELF_SCOUT_IMPORT'!$D$42:$D$1040,SUBSTITUTE(SUBSTITUTE(SUBSTITUTE($P836,"~","~~"),"*","~*"),"?","~?"))</f>
        <v>1</v>
      </c>
      <c r="D836" s="10">
        <f>IF($C836=0,"",SUMIFS('DEF_SELF_SCOUT_IMPORT'!$J$42:$J$1040,'DEF_SELF_SCOUT_IMPORT'!$L$42:$L$1040,"Y",'DEF_SELF_SCOUT_IMPORT'!$E$42:$E$1040,SUBSTITUTE(SUBSTITUTE(SUBSTITUTE($B836,"~","~~"),"*","~*"),"?","~?"),'DEF_SELF_SCOUT_IMPORT'!$Q$42:$Q$1040,SUBSTITUTE(SUBSTITUTE(SUBSTITUTE($M836,"~","~~"),"*","~*"),"?","~?"),'DEF_SELF_SCOUT_IMPORT'!$D$42:$D$1040,SUBSTITUTE(SUBSTITUTE(SUBSTITUTE($P836,"~","~~"),"*","~*"),"?","~?"))/$C836)</f>
        <v>1.0</v>
      </c>
      <c r="E836" s="10">
        <f>IF($C836=0,"",SUMIFS('DEF_SELF_SCOUT_IMPORT'!$K$42:$K$1040,'DEF_SELF_SCOUT_IMPORT'!$L$42:$L$1040,"Y",'DEF_SELF_SCOUT_IMPORT'!$E$42:$E$1040,SUBSTITUTE(SUBSTITUTE(SUBSTITUTE($B836,"~","~~"),"*","~*"),"?","~?"),'DEF_SELF_SCOUT_IMPORT'!$Q$42:$Q$1040,SUBSTITUTE(SUBSTITUTE(SUBSTITUTE($M836,"~","~~"),"*","~*"),"?","~?"),'DEF_SELF_SCOUT_IMPORT'!$D$42:$D$1040,SUBSTITUTE(SUBSTITUTE(SUBSTITUTE($P836,"~","~~"),"*","~*"),"?","~?"))/$C836)</f>
        <v>0.0</v>
      </c>
      <c r="F836" s="11">
        <f>IF($C836=0,"",AVERAGEIFS('DEF_SELF_SCOUT_IMPORT'!$I$42:$I$1040,'DEF_SELF_SCOUT_IMPORT'!$L$42:$L$1040,"Y",'DEF_SELF_SCOUT_IMPORT'!$E$42:$E$1040,SUBSTITUTE(SUBSTITUTE(SUBSTITUTE($B836,"~","~~"),"*","~*"),"?","~?"),'DEF_SELF_SCOUT_IMPORT'!$Q$42:$Q$1040,SUBSTITUTE(SUBSTITUTE(SUBSTITUTE($M836,"~","~~"),"*","~*"),"?","~?"),'DEF_SELF_SCOUT_IMPORT'!$D$42:$D$1040,SUBSTITUTE(SUBSTITUTE(SUBSTITUTE($P836,"~","~~"),"*","~*"),"?","~?")))</f>
        <v>0.0</v>
      </c>
      <c r="G836" s="10">
        <f>IF($C836=0,"",COUNTIFS('DEF_SELF_SCOUT_IMPORT'!$L$42:$L$1040,"Y",'DEF_SELF_SCOUT_IMPORT'!$E$42:$E$1040,SUBSTITUTE(SUBSTITUTE(SUBSTITUTE($B836,"~","~~"),"*","~*"),"?","~?"),'DEF_SELF_SCOUT_IMPORT'!$Q$42:$Q$1040,SUBSTITUTE(SUBSTITUTE(SUBSTITUTE($M836,"~","~~"),"*","~*"),"?","~?"),'DEF_SELF_SCOUT_IMPORT'!$D$42:$D$1040,SUBSTITUTE(SUBSTITUTE(SUBSTITUTE($P836,"~","~~"),"*","~*"),"?","~?"),'DEF_SELF_SCOUT_IMPORT'!$H$42:$H$1040,"RUSH")/$C836)</f>
        <v>0.0</v>
      </c>
      <c r="H836" s="10">
        <f>IF($C836=0,"",COUNTIFS('DEF_SELF_SCOUT_IMPORT'!$L$42:$L$1040,"Y",'DEF_SELF_SCOUT_IMPORT'!$E$42:$E$1040,SUBSTITUTE(SUBSTITUTE(SUBSTITUTE($B836,"~","~~"),"*","~*"),"?","~?"),'DEF_SELF_SCOUT_IMPORT'!$Q$42:$Q$1040,SUBSTITUTE(SUBSTITUTE(SUBSTITUTE($M836,"~","~~"),"*","~*"),"?","~?"),'DEF_SELF_SCOUT_IMPORT'!$D$42:$D$1040,SUBSTITUTE(SUBSTITUTE(SUBSTITUTE($P836,"~","~~"),"*","~*"),"?","~?"),'DEF_SELF_SCOUT_IMPORT'!$H$42:$H$1040,"DROPBACK")/$C836)</f>
        <v>1.0</v>
      </c>
      <c r="I836" s="14" t="str">
        <f>IF(C836=0,"",IF(C836&lt;=2,"TRACK",IF(C836=3,"LOW",IF(C836&lt;=6,"MEDIUM","HIGH"))))</f>
        <v>TRACK</v>
      </c>
      <c r="J836" s="11">
        <f>IF(C836=0,"",ROUND(D836*70+(1-E836)*20+MAX(0,MIN(1,(10-F836)/10))*10,1))</f>
        <v>100.0</v>
      </c>
      <c r="K836" s="14" t="str">
        <f>IF(C836=0,"No Evidence",IF(C836&lt;=2,IF(E836&gt;0,"Explosive Alert","Track Only"),IF(C836=3,"Sample Watch",IF(E836&gt;=START_HERE!$B$31,"Explosive Alert",IF(J836&gt;=80,"Strong Candidate",IF(J836&gt;=65,"Good Candidate",IF(J836&gt;=50,"Mixed / Review","Problem Call")))))))</f>
        <v>Track Only</v>
      </c>
      <c r="L836" s="9" t="str">
        <f>IF(COUNTIFS('DEF_SELF_SCOUT_IMPORT'!$L$42:$L$1040,"Y",'DEF_SELF_SCOUT_IMPORT'!$E$42:$E$1040,SUBSTITUTE(SUBSTITUTE(SUBSTITUTE($B836,"~","~~"),"*","~*"),"?","~?"),'DEF_SELF_SCOUT_IMPORT'!$Q$42:$Q$1040,SUBSTITUTE(SUBSTITUTE(SUBSTITUTE($M836,"~","~~"),"*","~*"),"?","~?"),'DEF_SELF_SCOUT_IMPORT'!$D$42:$D$1040,SUBSTITUTE(SUBSTITUTE(SUBSTITUTE($P836,"~","~~"),"*","~*"),"?","~?"),'DEF_SELF_SCOUT_IMPORT'!$J$42:$J$1040,"")&gt;0,"Unscored clean outcome; review result tags before using score.",IF(C836=0,"No matching defensive reps; film confirmation needed.",IF(K836="Explosive Alert","Explosive risk; review clips before using as answer.",IF(C836&lt;=2,"Track only; not enough sample.",IF(C836=3,IF(E836&gt;0,"Sample watch with explosive exposure; review clips and build the sample.",IF(J836&gt;=65,"Good signal, but sample is limited.","Sample watch; review clips and build the sample.")),IF(K836="Problem Call","Problem area; practice or call-sheet review.",IF(K836="Strong Candidate","Strong call-fit candidate; confirm on film.",IF(K836="Good Candidate","Good call-fit signal; confirm on film.","Mixed signal; review fit and execution on film."))))))))</f>
        <v>Track only; not enough sample.</v>
      </c>
      <c r="M836" s="8" t="s">
        <v>39</v>
      </c>
      <c r="N836" s="8"/>
      <c r="O836" s="8"/>
      <c r="P836" s="8" t="s">
        <v>449</v>
      </c>
      <c r="Q836" s="8"/>
      <c r="R836" s="8" t="s">
        <v>429</v>
      </c>
      <c r="S836" s="2" t="s">
        <v>450</v>
      </c>
      <c r="T836" s="2">
        <f>IF(C836=0,0,IF(C836&gt;=CALL_LOOKUP_BOARD!$B$7,IF(OR(K836="Problem Call",K836="Explosive Alert"),10000000,20000000),0)+IF(C836&gt;=CALL_LOOKUP_BOARD!$B$7,J836*1000+MIN(C836,999),C836*1000+J836)+0.00997400)</f>
        <v>1100.009974</v>
      </c>
      <c r="U836" s="2">
        <f>IF(C836=0,"",IF(COUNTIFS($S$811:$S$1055,SUBSTITUTE(SUBSTITUTE(SUBSTITUTE(S836,"~","~~"),"*","~*"),"?","~?"),$T$811:$T$1055,"&gt;"&amp;T836)=0,S836,""))</f>
        <v/>
      </c>
    </row>
    <row r="837" spans="1:21" ht="38" customHeight="1">
      <c r="A837" s="8" t="s">
        <v>451</v>
      </c>
      <c r="B837" s="8" t="s">
        <v>52</v>
      </c>
      <c r="C837" s="12">
        <f>COUNTIFS('DEF_SELF_SCOUT_IMPORT'!$L$42:$L$1040,"Y",'DEF_SELF_SCOUT_IMPORT'!$E$42:$E$1040,SUBSTITUTE(SUBSTITUTE(SUBSTITUTE($B837,"~","~~"),"*","~*"),"?","~?"),'DEF_SELF_SCOUT_IMPORT'!$Q$42:$Q$1040,SUBSTITUTE(SUBSTITUTE(SUBSTITUTE($M837,"~","~~"),"*","~*"),"?","~?"),'DEF_SELF_SCOUT_IMPORT'!$D$42:$D$1040,SUBSTITUTE(SUBSTITUTE(SUBSTITUTE($P837,"~","~~"),"*","~*"),"?","~?"))</f>
        <v>1</v>
      </c>
      <c r="D837" s="10">
        <f>IF($C837=0,"",SUMIFS('DEF_SELF_SCOUT_IMPORT'!$J$42:$J$1040,'DEF_SELF_SCOUT_IMPORT'!$L$42:$L$1040,"Y",'DEF_SELF_SCOUT_IMPORT'!$E$42:$E$1040,SUBSTITUTE(SUBSTITUTE(SUBSTITUTE($B837,"~","~~"),"*","~*"),"?","~?"),'DEF_SELF_SCOUT_IMPORT'!$Q$42:$Q$1040,SUBSTITUTE(SUBSTITUTE(SUBSTITUTE($M837,"~","~~"),"*","~*"),"?","~?"),'DEF_SELF_SCOUT_IMPORT'!$D$42:$D$1040,SUBSTITUTE(SUBSTITUTE(SUBSTITUTE($P837,"~","~~"),"*","~*"),"?","~?"))/$C837)</f>
        <v>1.0</v>
      </c>
      <c r="E837" s="10">
        <f>IF($C837=0,"",SUMIFS('DEF_SELF_SCOUT_IMPORT'!$K$42:$K$1040,'DEF_SELF_SCOUT_IMPORT'!$L$42:$L$1040,"Y",'DEF_SELF_SCOUT_IMPORT'!$E$42:$E$1040,SUBSTITUTE(SUBSTITUTE(SUBSTITUTE($B837,"~","~~"),"*","~*"),"?","~?"),'DEF_SELF_SCOUT_IMPORT'!$Q$42:$Q$1040,SUBSTITUTE(SUBSTITUTE(SUBSTITUTE($M837,"~","~~"),"*","~*"),"?","~?"),'DEF_SELF_SCOUT_IMPORT'!$D$42:$D$1040,SUBSTITUTE(SUBSTITUTE(SUBSTITUTE($P837,"~","~~"),"*","~*"),"?","~?"))/$C837)</f>
        <v>0.0</v>
      </c>
      <c r="F837" s="11">
        <f>IF($C837=0,"",AVERAGEIFS('DEF_SELF_SCOUT_IMPORT'!$I$42:$I$1040,'DEF_SELF_SCOUT_IMPORT'!$L$42:$L$1040,"Y",'DEF_SELF_SCOUT_IMPORT'!$E$42:$E$1040,SUBSTITUTE(SUBSTITUTE(SUBSTITUTE($B837,"~","~~"),"*","~*"),"?","~?"),'DEF_SELF_SCOUT_IMPORT'!$Q$42:$Q$1040,SUBSTITUTE(SUBSTITUTE(SUBSTITUTE($M837,"~","~~"),"*","~*"),"?","~?"),'DEF_SELF_SCOUT_IMPORT'!$D$42:$D$1040,SUBSTITUTE(SUBSTITUTE(SUBSTITUTE($P837,"~","~~"),"*","~*"),"?","~?")))</f>
        <v>0.0</v>
      </c>
      <c r="G837" s="10">
        <f>IF($C837=0,"",COUNTIFS('DEF_SELF_SCOUT_IMPORT'!$L$42:$L$1040,"Y",'DEF_SELF_SCOUT_IMPORT'!$E$42:$E$1040,SUBSTITUTE(SUBSTITUTE(SUBSTITUTE($B837,"~","~~"),"*","~*"),"?","~?"),'DEF_SELF_SCOUT_IMPORT'!$Q$42:$Q$1040,SUBSTITUTE(SUBSTITUTE(SUBSTITUTE($M837,"~","~~"),"*","~*"),"?","~?"),'DEF_SELF_SCOUT_IMPORT'!$D$42:$D$1040,SUBSTITUTE(SUBSTITUTE(SUBSTITUTE($P837,"~","~~"),"*","~*"),"?","~?"),'DEF_SELF_SCOUT_IMPORT'!$H$42:$H$1040,"RUSH")/$C837)</f>
        <v>0.0</v>
      </c>
      <c r="H837" s="10">
        <f>IF($C837=0,"",COUNTIFS('DEF_SELF_SCOUT_IMPORT'!$L$42:$L$1040,"Y",'DEF_SELF_SCOUT_IMPORT'!$E$42:$E$1040,SUBSTITUTE(SUBSTITUTE(SUBSTITUTE($B837,"~","~~"),"*","~*"),"?","~?"),'DEF_SELF_SCOUT_IMPORT'!$Q$42:$Q$1040,SUBSTITUTE(SUBSTITUTE(SUBSTITUTE($M837,"~","~~"),"*","~*"),"?","~?"),'DEF_SELF_SCOUT_IMPORT'!$D$42:$D$1040,SUBSTITUTE(SUBSTITUTE(SUBSTITUTE($P837,"~","~~"),"*","~*"),"?","~?"),'DEF_SELF_SCOUT_IMPORT'!$H$42:$H$1040,"DROPBACK")/$C837)</f>
        <v>1.0</v>
      </c>
      <c r="I837" s="14" t="str">
        <f>IF(C837=0,"",IF(C837&lt;=2,"TRACK",IF(C837=3,"LOW",IF(C837&lt;=6,"MEDIUM","HIGH"))))</f>
        <v>TRACK</v>
      </c>
      <c r="J837" s="11">
        <f>IF(C837=0,"",ROUND(D837*70+(1-E837)*20+MAX(0,MIN(1,(10-F837)/10))*10,1))</f>
        <v>100.0</v>
      </c>
      <c r="K837" s="14" t="str">
        <f>IF(C837=0,"No Evidence",IF(C837&lt;=2,IF(E837&gt;0,"Explosive Alert","Track Only"),IF(C837=3,"Sample Watch",IF(E837&gt;=START_HERE!$B$31,"Explosive Alert",IF(J837&gt;=80,"Strong Candidate",IF(J837&gt;=65,"Good Candidate",IF(J837&gt;=50,"Mixed / Review","Problem Call")))))))</f>
        <v>Track Only</v>
      </c>
      <c r="L837" s="9" t="str">
        <f>IF(COUNTIFS('DEF_SELF_SCOUT_IMPORT'!$L$42:$L$1040,"Y",'DEF_SELF_SCOUT_IMPORT'!$E$42:$E$1040,SUBSTITUTE(SUBSTITUTE(SUBSTITUTE($B837,"~","~~"),"*","~*"),"?","~?"),'DEF_SELF_SCOUT_IMPORT'!$Q$42:$Q$1040,SUBSTITUTE(SUBSTITUTE(SUBSTITUTE($M837,"~","~~"),"*","~*"),"?","~?"),'DEF_SELF_SCOUT_IMPORT'!$D$42:$D$1040,SUBSTITUTE(SUBSTITUTE(SUBSTITUTE($P837,"~","~~"),"*","~*"),"?","~?"),'DEF_SELF_SCOUT_IMPORT'!$J$42:$J$1040,"")&gt;0,"Unscored clean outcome; review result tags before using score.",IF(C837=0,"No matching defensive reps; film confirmation needed.",IF(K837="Explosive Alert","Explosive risk; review clips before using as answer.",IF(C837&lt;=2,"Track only; not enough sample.",IF(C837=3,IF(E837&gt;0,"Sample watch with explosive exposure; review clips and build the sample.",IF(J837&gt;=65,"Good signal, but sample is limited.","Sample watch; review clips and build the sample.")),IF(K837="Problem Call","Problem area; practice or call-sheet review.",IF(K837="Strong Candidate","Strong call-fit candidate; confirm on film.",IF(K837="Good Candidate","Good call-fit signal; confirm on film.","Mixed signal; review fit and execution on film."))))))))</f>
        <v>Track only; not enough sample.</v>
      </c>
      <c r="M837" s="8" t="s">
        <v>39</v>
      </c>
      <c r="N837" s="8"/>
      <c r="O837" s="8"/>
      <c r="P837" s="8" t="s">
        <v>452</v>
      </c>
      <c r="Q837" s="8"/>
      <c r="R837" s="8" t="s">
        <v>429</v>
      </c>
      <c r="S837" s="2" t="s">
        <v>453</v>
      </c>
      <c r="T837" s="2">
        <f>IF(C837=0,0,IF(C837&gt;=CALL_LOOKUP_BOARD!$B$7,IF(OR(K837="Problem Call",K837="Explosive Alert"),10000000,20000000),0)+IF(C837&gt;=CALL_LOOKUP_BOARD!$B$7,J837*1000+MIN(C837,999),C837*1000+J837)+0.00997300)</f>
        <v>1100.009973</v>
      </c>
      <c r="U837" s="2" t="str">
        <f>IF(C837=0,"",IF(COUNTIFS($S$811:$S$1055,SUBSTITUTE(SUBSTITUTE(SUBSTITUTE(S837,"~","~~"),"*","~*"),"?","~?"),$T$811:$T$1055,"&gt;"&amp;T837)=0,S837,""))</f>
        <v>7:1D 7-10|4:BOOT|</v>
      </c>
    </row>
    <row r="838" spans="1:21" ht="38" customHeight="1">
      <c r="A838" s="8" t="s">
        <v>454</v>
      </c>
      <c r="B838" s="8" t="s">
        <v>44</v>
      </c>
      <c r="C838" s="12">
        <f>COUNTIFS('DEF_SELF_SCOUT_IMPORT'!$L$42:$L$1040,"Y",'DEF_SELF_SCOUT_IMPORT'!$E$42:$E$1040,SUBSTITUTE(SUBSTITUTE(SUBSTITUTE($B838,"~","~~"),"*","~*"),"?","~?"),'DEF_SELF_SCOUT_IMPORT'!$Q$42:$Q$1040,SUBSTITUTE(SUBSTITUTE(SUBSTITUTE($M838,"~","~~"),"*","~*"),"?","~?"),'DEF_SELF_SCOUT_IMPORT'!$D$42:$D$1040,SUBSTITUTE(SUBSTITUTE(SUBSTITUTE($P838,"~","~~"),"*","~*"),"?","~?"))</f>
        <v>1</v>
      </c>
      <c r="D838" s="10">
        <f>IF($C838=0,"",SUMIFS('DEF_SELF_SCOUT_IMPORT'!$J$42:$J$1040,'DEF_SELF_SCOUT_IMPORT'!$L$42:$L$1040,"Y",'DEF_SELF_SCOUT_IMPORT'!$E$42:$E$1040,SUBSTITUTE(SUBSTITUTE(SUBSTITUTE($B838,"~","~~"),"*","~*"),"?","~?"),'DEF_SELF_SCOUT_IMPORT'!$Q$42:$Q$1040,SUBSTITUTE(SUBSTITUTE(SUBSTITUTE($M838,"~","~~"),"*","~*"),"?","~?"),'DEF_SELF_SCOUT_IMPORT'!$D$42:$D$1040,SUBSTITUTE(SUBSTITUTE(SUBSTITUTE($P838,"~","~~"),"*","~*"),"?","~?"))/$C838)</f>
        <v>0.0</v>
      </c>
      <c r="E838" s="10">
        <f>IF($C838=0,"",SUMIFS('DEF_SELF_SCOUT_IMPORT'!$K$42:$K$1040,'DEF_SELF_SCOUT_IMPORT'!$L$42:$L$1040,"Y",'DEF_SELF_SCOUT_IMPORT'!$E$42:$E$1040,SUBSTITUTE(SUBSTITUTE(SUBSTITUTE($B838,"~","~~"),"*","~*"),"?","~?"),'DEF_SELF_SCOUT_IMPORT'!$Q$42:$Q$1040,SUBSTITUTE(SUBSTITUTE(SUBSTITUTE($M838,"~","~~"),"*","~*"),"?","~?"),'DEF_SELF_SCOUT_IMPORT'!$D$42:$D$1040,SUBSTITUTE(SUBSTITUTE(SUBSTITUTE($P838,"~","~~"),"*","~*"),"?","~?"))/$C838)</f>
        <v>0.0</v>
      </c>
      <c r="F838" s="11">
        <f>IF($C838=0,"",AVERAGEIFS('DEF_SELF_SCOUT_IMPORT'!$I$42:$I$1040,'DEF_SELF_SCOUT_IMPORT'!$L$42:$L$1040,"Y",'DEF_SELF_SCOUT_IMPORT'!$E$42:$E$1040,SUBSTITUTE(SUBSTITUTE(SUBSTITUTE($B838,"~","~~"),"*","~*"),"?","~?"),'DEF_SELF_SCOUT_IMPORT'!$Q$42:$Q$1040,SUBSTITUTE(SUBSTITUTE(SUBSTITUTE($M838,"~","~~"),"*","~*"),"?","~?"),'DEF_SELF_SCOUT_IMPORT'!$D$42:$D$1040,SUBSTITUTE(SUBSTITUTE(SUBSTITUTE($P838,"~","~~"),"*","~*"),"?","~?")))</f>
        <v>7.0</v>
      </c>
      <c r="G838" s="10">
        <f>IF($C838=0,"",COUNTIFS('DEF_SELF_SCOUT_IMPORT'!$L$42:$L$1040,"Y",'DEF_SELF_SCOUT_IMPORT'!$E$42:$E$1040,SUBSTITUTE(SUBSTITUTE(SUBSTITUTE($B838,"~","~~"),"*","~*"),"?","~?"),'DEF_SELF_SCOUT_IMPORT'!$Q$42:$Q$1040,SUBSTITUTE(SUBSTITUTE(SUBSTITUTE($M838,"~","~~"),"*","~*"),"?","~?"),'DEF_SELF_SCOUT_IMPORT'!$D$42:$D$1040,SUBSTITUTE(SUBSTITUTE(SUBSTITUTE($P838,"~","~~"),"*","~*"),"?","~?"),'DEF_SELF_SCOUT_IMPORT'!$H$42:$H$1040,"RUSH")/$C838)</f>
        <v>1.0</v>
      </c>
      <c r="H838" s="10">
        <f>IF($C838=0,"",COUNTIFS('DEF_SELF_SCOUT_IMPORT'!$L$42:$L$1040,"Y",'DEF_SELF_SCOUT_IMPORT'!$E$42:$E$1040,SUBSTITUTE(SUBSTITUTE(SUBSTITUTE($B838,"~","~~"),"*","~*"),"?","~?"),'DEF_SELF_SCOUT_IMPORT'!$Q$42:$Q$1040,SUBSTITUTE(SUBSTITUTE(SUBSTITUTE($M838,"~","~~"),"*","~*"),"?","~?"),'DEF_SELF_SCOUT_IMPORT'!$D$42:$D$1040,SUBSTITUTE(SUBSTITUTE(SUBSTITUTE($P838,"~","~~"),"*","~*"),"?","~?"),'DEF_SELF_SCOUT_IMPORT'!$H$42:$H$1040,"DROPBACK")/$C838)</f>
        <v>0.0</v>
      </c>
      <c r="I838" s="14" t="str">
        <f>IF(C838=0,"",IF(C838&lt;=2,"TRACK",IF(C838=3,"LOW",IF(C838&lt;=6,"MEDIUM","HIGH"))))</f>
        <v>TRACK</v>
      </c>
      <c r="J838" s="11">
        <f>IF(C838=0,"",ROUND(D838*70+(1-E838)*20+MAX(0,MIN(1,(10-F838)/10))*10,1))</f>
        <v>23.0</v>
      </c>
      <c r="K838" s="14" t="str">
        <f>IF(C838=0,"No Evidence",IF(C838&lt;=2,IF(E838&gt;0,"Explosive Alert","Track Only"),IF(C838=3,"Sample Watch",IF(E838&gt;=START_HERE!$B$31,"Explosive Alert",IF(J838&gt;=80,"Strong Candidate",IF(J838&gt;=65,"Good Candidate",IF(J838&gt;=50,"Mixed / Review","Problem Call")))))))</f>
        <v>Track Only</v>
      </c>
      <c r="L838" s="9" t="str">
        <f>IF(COUNTIFS('DEF_SELF_SCOUT_IMPORT'!$L$42:$L$1040,"Y",'DEF_SELF_SCOUT_IMPORT'!$E$42:$E$1040,SUBSTITUTE(SUBSTITUTE(SUBSTITUTE($B838,"~","~~"),"*","~*"),"?","~?"),'DEF_SELF_SCOUT_IMPORT'!$Q$42:$Q$1040,SUBSTITUTE(SUBSTITUTE(SUBSTITUTE($M838,"~","~~"),"*","~*"),"?","~?"),'DEF_SELF_SCOUT_IMPORT'!$D$42:$D$1040,SUBSTITUTE(SUBSTITUTE(SUBSTITUTE($P838,"~","~~"),"*","~*"),"?","~?"),'DEF_SELF_SCOUT_IMPORT'!$J$42:$J$1040,"")&gt;0,"Unscored clean outcome; review result tags before using score.",IF(C838=0,"No matching defensive reps; film confirmation needed.",IF(K838="Explosive Alert","Explosive risk; review clips before using as answer.",IF(C838&lt;=2,"Track only; not enough sample.",IF(C838=3,IF(E838&gt;0,"Sample watch with explosive exposure; review clips and build the sample.",IF(J838&gt;=65,"Good signal, but sample is limited.","Sample watch; review clips and build the sample.")),IF(K838="Problem Call","Problem area; practice or call-sheet review.",IF(K838="Strong Candidate","Strong call-fit candidate; confirm on film.",IF(K838="Good Candidate","Good call-fit signal; confirm on film.","Mixed signal; review fit and execution on film."))))))))</f>
        <v>Track only; not enough sample.</v>
      </c>
      <c r="M838" s="8" t="s">
        <v>39</v>
      </c>
      <c r="N838" s="8"/>
      <c r="O838" s="8"/>
      <c r="P838" s="8" t="s">
        <v>432</v>
      </c>
      <c r="Q838" s="8"/>
      <c r="R838" s="8" t="s">
        <v>429</v>
      </c>
      <c r="S838" s="2" t="s">
        <v>455</v>
      </c>
      <c r="T838" s="2">
        <f>IF(C838=0,0,IF(C838&gt;=CALL_LOOKUP_BOARD!$B$7,IF(OR(K838="Problem Call",K838="Explosive Alert"),10000000,20000000),0)+IF(C838&gt;=CALL_LOOKUP_BOARD!$B$7,J838*1000+MIN(C838,999),C838*1000+J838)+0.00997200)</f>
        <v>1023.009972</v>
      </c>
      <c r="U838" s="2">
        <f>IF(C838=0,"",IF(COUNTIFS($S$811:$S$1055,SUBSTITUTE(SUBSTITUTE(SUBSTITUTE(S838,"~","~~"),"*","~*"),"?","~?"),$T$811:$T$1055,"&gt;"&amp;T838)=0,S838,""))</f>
        <v/>
      </c>
    </row>
    <row r="839" spans="1:21" ht="38" customHeight="1">
      <c r="A839" s="8" t="s">
        <v>454</v>
      </c>
      <c r="B839" s="8" t="s">
        <v>53</v>
      </c>
      <c r="C839" s="12">
        <f>COUNTIFS('DEF_SELF_SCOUT_IMPORT'!$L$42:$L$1040,"Y",'DEF_SELF_SCOUT_IMPORT'!$E$42:$E$1040,SUBSTITUTE(SUBSTITUTE(SUBSTITUTE($B839,"~","~~"),"*","~*"),"?","~?"),'DEF_SELF_SCOUT_IMPORT'!$Q$42:$Q$1040,SUBSTITUTE(SUBSTITUTE(SUBSTITUTE($M839,"~","~~"),"*","~*"),"?","~?"),'DEF_SELF_SCOUT_IMPORT'!$D$42:$D$1040,SUBSTITUTE(SUBSTITUTE(SUBSTITUTE($P839,"~","~~"),"*","~*"),"?","~?"))</f>
        <v>1</v>
      </c>
      <c r="D839" s="10">
        <f>IF($C839=0,"",SUMIFS('DEF_SELF_SCOUT_IMPORT'!$J$42:$J$1040,'DEF_SELF_SCOUT_IMPORT'!$L$42:$L$1040,"Y",'DEF_SELF_SCOUT_IMPORT'!$E$42:$E$1040,SUBSTITUTE(SUBSTITUTE(SUBSTITUTE($B839,"~","~~"),"*","~*"),"?","~?"),'DEF_SELF_SCOUT_IMPORT'!$Q$42:$Q$1040,SUBSTITUTE(SUBSTITUTE(SUBSTITUTE($M839,"~","~~"),"*","~*"),"?","~?"),'DEF_SELF_SCOUT_IMPORT'!$D$42:$D$1040,SUBSTITUTE(SUBSTITUTE(SUBSTITUTE($P839,"~","~~"),"*","~*"),"?","~?"))/$C839)</f>
        <v>0.0</v>
      </c>
      <c r="E839" s="10">
        <f>IF($C839=0,"",SUMIFS('DEF_SELF_SCOUT_IMPORT'!$K$42:$K$1040,'DEF_SELF_SCOUT_IMPORT'!$L$42:$L$1040,"Y",'DEF_SELF_SCOUT_IMPORT'!$E$42:$E$1040,SUBSTITUTE(SUBSTITUTE(SUBSTITUTE($B839,"~","~~"),"*","~*"),"?","~?"),'DEF_SELF_SCOUT_IMPORT'!$Q$42:$Q$1040,SUBSTITUTE(SUBSTITUTE(SUBSTITUTE($M839,"~","~~"),"*","~*"),"?","~?"),'DEF_SELF_SCOUT_IMPORT'!$D$42:$D$1040,SUBSTITUTE(SUBSTITUTE(SUBSTITUTE($P839,"~","~~"),"*","~*"),"?","~?"))/$C839)</f>
        <v>0.0</v>
      </c>
      <c r="F839" s="11">
        <f>IF($C839=0,"",AVERAGEIFS('DEF_SELF_SCOUT_IMPORT'!$I$42:$I$1040,'DEF_SELF_SCOUT_IMPORT'!$L$42:$L$1040,"Y",'DEF_SELF_SCOUT_IMPORT'!$E$42:$E$1040,SUBSTITUTE(SUBSTITUTE(SUBSTITUTE($B839,"~","~~"),"*","~*"),"?","~?"),'DEF_SELF_SCOUT_IMPORT'!$Q$42:$Q$1040,SUBSTITUTE(SUBSTITUTE(SUBSTITUTE($M839,"~","~~"),"*","~*"),"?","~?"),'DEF_SELF_SCOUT_IMPORT'!$D$42:$D$1040,SUBSTITUTE(SUBSTITUTE(SUBSTITUTE($P839,"~","~~"),"*","~*"),"?","~?")))</f>
        <v>8.0</v>
      </c>
      <c r="G839" s="10">
        <f>IF($C839=0,"",COUNTIFS('DEF_SELF_SCOUT_IMPORT'!$L$42:$L$1040,"Y",'DEF_SELF_SCOUT_IMPORT'!$E$42:$E$1040,SUBSTITUTE(SUBSTITUTE(SUBSTITUTE($B839,"~","~~"),"*","~*"),"?","~?"),'DEF_SELF_SCOUT_IMPORT'!$Q$42:$Q$1040,SUBSTITUTE(SUBSTITUTE(SUBSTITUTE($M839,"~","~~"),"*","~*"),"?","~?"),'DEF_SELF_SCOUT_IMPORT'!$D$42:$D$1040,SUBSTITUTE(SUBSTITUTE(SUBSTITUTE($P839,"~","~~"),"*","~*"),"?","~?"),'DEF_SELF_SCOUT_IMPORT'!$H$42:$H$1040,"RUSH")/$C839)</f>
        <v>1.0</v>
      </c>
      <c r="H839" s="10">
        <f>IF($C839=0,"",COUNTIFS('DEF_SELF_SCOUT_IMPORT'!$L$42:$L$1040,"Y",'DEF_SELF_SCOUT_IMPORT'!$E$42:$E$1040,SUBSTITUTE(SUBSTITUTE(SUBSTITUTE($B839,"~","~~"),"*","~*"),"?","~?"),'DEF_SELF_SCOUT_IMPORT'!$Q$42:$Q$1040,SUBSTITUTE(SUBSTITUTE(SUBSTITUTE($M839,"~","~~"),"*","~*"),"?","~?"),'DEF_SELF_SCOUT_IMPORT'!$D$42:$D$1040,SUBSTITUTE(SUBSTITUTE(SUBSTITUTE($P839,"~","~~"),"*","~*"),"?","~?"),'DEF_SELF_SCOUT_IMPORT'!$H$42:$H$1040,"DROPBACK")/$C839)</f>
        <v>0.0</v>
      </c>
      <c r="I839" s="14" t="str">
        <f>IF(C839=0,"",IF(C839&lt;=2,"TRACK",IF(C839=3,"LOW",IF(C839&lt;=6,"MEDIUM","HIGH"))))</f>
        <v>TRACK</v>
      </c>
      <c r="J839" s="11">
        <f>IF(C839=0,"",ROUND(D839*70+(1-E839)*20+MAX(0,MIN(1,(10-F839)/10))*10,1))</f>
        <v>22.0</v>
      </c>
      <c r="K839" s="14" t="str">
        <f>IF(C839=0,"No Evidence",IF(C839&lt;=2,IF(E839&gt;0,"Explosive Alert","Track Only"),IF(C839=3,"Sample Watch",IF(E839&gt;=START_HERE!$B$31,"Explosive Alert",IF(J839&gt;=80,"Strong Candidate",IF(J839&gt;=65,"Good Candidate",IF(J839&gt;=50,"Mixed / Review","Problem Call")))))))</f>
        <v>Track Only</v>
      </c>
      <c r="L839" s="9" t="str">
        <f>IF(COUNTIFS('DEF_SELF_SCOUT_IMPORT'!$L$42:$L$1040,"Y",'DEF_SELF_SCOUT_IMPORT'!$E$42:$E$1040,SUBSTITUTE(SUBSTITUTE(SUBSTITUTE($B839,"~","~~"),"*","~*"),"?","~?"),'DEF_SELF_SCOUT_IMPORT'!$Q$42:$Q$1040,SUBSTITUTE(SUBSTITUTE(SUBSTITUTE($M839,"~","~~"),"*","~*"),"?","~?"),'DEF_SELF_SCOUT_IMPORT'!$D$42:$D$1040,SUBSTITUTE(SUBSTITUTE(SUBSTITUTE($P839,"~","~~"),"*","~*"),"?","~?"),'DEF_SELF_SCOUT_IMPORT'!$J$42:$J$1040,"")&gt;0,"Unscored clean outcome; review result tags before using score.",IF(C839=0,"No matching defensive reps; film confirmation needed.",IF(K839="Explosive Alert","Explosive risk; review clips before using as answer.",IF(C839&lt;=2,"Track only; not enough sample.",IF(C839=3,IF(E839&gt;0,"Sample watch with explosive exposure; review clips and build the sample.",IF(J839&gt;=65,"Good signal, but sample is limited.","Sample watch; review clips and build the sample.")),IF(K839="Problem Call","Problem area; practice or call-sheet review.",IF(K839="Strong Candidate","Strong call-fit candidate; confirm on film.",IF(K839="Good Candidate","Good call-fit signal; confirm on film.","Mixed signal; review fit and execution on film."))))))))</f>
        <v>Track only; not enough sample.</v>
      </c>
      <c r="M839" s="8" t="s">
        <v>39</v>
      </c>
      <c r="N839" s="8"/>
      <c r="O839" s="8"/>
      <c r="P839" s="8" t="s">
        <v>432</v>
      </c>
      <c r="Q839" s="8"/>
      <c r="R839" s="8" t="s">
        <v>429</v>
      </c>
      <c r="S839" s="2" t="s">
        <v>455</v>
      </c>
      <c r="T839" s="2">
        <f>IF(C839=0,0,IF(C839&gt;=CALL_LOOKUP_BOARD!$B$7,IF(OR(K839="Problem Call",K839="Explosive Alert"),10000000,20000000),0)+IF(C839&gt;=CALL_LOOKUP_BOARD!$B$7,J839*1000+MIN(C839,999),C839*1000+J839)+0.00997100)</f>
        <v>1022.009971</v>
      </c>
      <c r="U839" s="2">
        <f>IF(C839=0,"",IF(COUNTIFS($S$811:$S$1055,SUBSTITUTE(SUBSTITUTE(SUBSTITUTE(S839,"~","~~"),"*","~*"),"?","~?"),$T$811:$T$1055,"&gt;"&amp;T839)=0,S839,""))</f>
        <v/>
      </c>
    </row>
    <row r="840" spans="1:21" ht="38" customHeight="1">
      <c r="A840" s="8" t="s">
        <v>454</v>
      </c>
      <c r="B840" s="8" t="s">
        <v>59</v>
      </c>
      <c r="C840" s="12">
        <f>COUNTIFS('DEF_SELF_SCOUT_IMPORT'!$L$42:$L$1040,"Y",'DEF_SELF_SCOUT_IMPORT'!$E$42:$E$1040,SUBSTITUTE(SUBSTITUTE(SUBSTITUTE($B840,"~","~~"),"*","~*"),"?","~?"),'DEF_SELF_SCOUT_IMPORT'!$Q$42:$Q$1040,SUBSTITUTE(SUBSTITUTE(SUBSTITUTE($M840,"~","~~"),"*","~*"),"?","~?"),'DEF_SELF_SCOUT_IMPORT'!$D$42:$D$1040,SUBSTITUTE(SUBSTITUTE(SUBSTITUTE($P840,"~","~~"),"*","~*"),"?","~?"))</f>
        <v>1</v>
      </c>
      <c r="D840" s="10">
        <f>IF($C840=0,"",SUMIFS('DEF_SELF_SCOUT_IMPORT'!$J$42:$J$1040,'DEF_SELF_SCOUT_IMPORT'!$L$42:$L$1040,"Y",'DEF_SELF_SCOUT_IMPORT'!$E$42:$E$1040,SUBSTITUTE(SUBSTITUTE(SUBSTITUTE($B840,"~","~~"),"*","~*"),"?","~?"),'DEF_SELF_SCOUT_IMPORT'!$Q$42:$Q$1040,SUBSTITUTE(SUBSTITUTE(SUBSTITUTE($M840,"~","~~"),"*","~*"),"?","~?"),'DEF_SELF_SCOUT_IMPORT'!$D$42:$D$1040,SUBSTITUTE(SUBSTITUTE(SUBSTITUTE($P840,"~","~~"),"*","~*"),"?","~?"))/$C840)</f>
        <v>0.0</v>
      </c>
      <c r="E840" s="10">
        <f>IF($C840=0,"",SUMIFS('DEF_SELF_SCOUT_IMPORT'!$K$42:$K$1040,'DEF_SELF_SCOUT_IMPORT'!$L$42:$L$1040,"Y",'DEF_SELF_SCOUT_IMPORT'!$E$42:$E$1040,SUBSTITUTE(SUBSTITUTE(SUBSTITUTE($B840,"~","~~"),"*","~*"),"?","~?"),'DEF_SELF_SCOUT_IMPORT'!$Q$42:$Q$1040,SUBSTITUTE(SUBSTITUTE(SUBSTITUTE($M840,"~","~~"),"*","~*"),"?","~?"),'DEF_SELF_SCOUT_IMPORT'!$D$42:$D$1040,SUBSTITUTE(SUBSTITUTE(SUBSTITUTE($P840,"~","~~"),"*","~*"),"?","~?"))/$C840)</f>
        <v>1.0</v>
      </c>
      <c r="F840" s="11">
        <f>IF($C840=0,"",AVERAGEIFS('DEF_SELF_SCOUT_IMPORT'!$I$42:$I$1040,'DEF_SELF_SCOUT_IMPORT'!$L$42:$L$1040,"Y",'DEF_SELF_SCOUT_IMPORT'!$E$42:$E$1040,SUBSTITUTE(SUBSTITUTE(SUBSTITUTE($B840,"~","~~"),"*","~*"),"?","~?"),'DEF_SELF_SCOUT_IMPORT'!$Q$42:$Q$1040,SUBSTITUTE(SUBSTITUTE(SUBSTITUTE($M840,"~","~~"),"*","~*"),"?","~?"),'DEF_SELF_SCOUT_IMPORT'!$D$42:$D$1040,SUBSTITUTE(SUBSTITUTE(SUBSTITUTE($P840,"~","~~"),"*","~*"),"?","~?")))</f>
        <v>16.0</v>
      </c>
      <c r="G840" s="10">
        <f>IF($C840=0,"",COUNTIFS('DEF_SELF_SCOUT_IMPORT'!$L$42:$L$1040,"Y",'DEF_SELF_SCOUT_IMPORT'!$E$42:$E$1040,SUBSTITUTE(SUBSTITUTE(SUBSTITUTE($B840,"~","~~"),"*","~*"),"?","~?"),'DEF_SELF_SCOUT_IMPORT'!$Q$42:$Q$1040,SUBSTITUTE(SUBSTITUTE(SUBSTITUTE($M840,"~","~~"),"*","~*"),"?","~?"),'DEF_SELF_SCOUT_IMPORT'!$D$42:$D$1040,SUBSTITUTE(SUBSTITUTE(SUBSTITUTE($P840,"~","~~"),"*","~*"),"?","~?"),'DEF_SELF_SCOUT_IMPORT'!$H$42:$H$1040,"RUSH")/$C840)</f>
        <v>1.0</v>
      </c>
      <c r="H840" s="10">
        <f>IF($C840=0,"",COUNTIFS('DEF_SELF_SCOUT_IMPORT'!$L$42:$L$1040,"Y",'DEF_SELF_SCOUT_IMPORT'!$E$42:$E$1040,SUBSTITUTE(SUBSTITUTE(SUBSTITUTE($B840,"~","~~"),"*","~*"),"?","~?"),'DEF_SELF_SCOUT_IMPORT'!$Q$42:$Q$1040,SUBSTITUTE(SUBSTITUTE(SUBSTITUTE($M840,"~","~~"),"*","~*"),"?","~?"),'DEF_SELF_SCOUT_IMPORT'!$D$42:$D$1040,SUBSTITUTE(SUBSTITUTE(SUBSTITUTE($P840,"~","~~"),"*","~*"),"?","~?"),'DEF_SELF_SCOUT_IMPORT'!$H$42:$H$1040,"DROPBACK")/$C840)</f>
        <v>0.0</v>
      </c>
      <c r="I840" s="14" t="str">
        <f>IF(C840=0,"",IF(C840&lt;=2,"TRACK",IF(C840=3,"LOW",IF(C840&lt;=6,"MEDIUM","HIGH"))))</f>
        <v>TRACK</v>
      </c>
      <c r="J840" s="11">
        <f>IF(C840=0,"",ROUND(D840*70+(1-E840)*20+MAX(0,MIN(1,(10-F840)/10))*10,1))</f>
        <v>0.0</v>
      </c>
      <c r="K840" s="14" t="str">
        <f>IF(C840=0,"No Evidence",IF(C840&lt;=2,IF(E840&gt;0,"Explosive Alert","Track Only"),IF(C840=3,"Sample Watch",IF(E840&gt;=START_HERE!$B$31,"Explosive Alert",IF(J840&gt;=80,"Strong Candidate",IF(J840&gt;=65,"Good Candidate",IF(J840&gt;=50,"Mixed / Review","Problem Call")))))))</f>
        <v>Explosive Alert</v>
      </c>
      <c r="L840" s="9" t="str">
        <f>IF(COUNTIFS('DEF_SELF_SCOUT_IMPORT'!$L$42:$L$1040,"Y",'DEF_SELF_SCOUT_IMPORT'!$E$42:$E$1040,SUBSTITUTE(SUBSTITUTE(SUBSTITUTE($B840,"~","~~"),"*","~*"),"?","~?"),'DEF_SELF_SCOUT_IMPORT'!$Q$42:$Q$1040,SUBSTITUTE(SUBSTITUTE(SUBSTITUTE($M840,"~","~~"),"*","~*"),"?","~?"),'DEF_SELF_SCOUT_IMPORT'!$D$42:$D$1040,SUBSTITUTE(SUBSTITUTE(SUBSTITUTE($P840,"~","~~"),"*","~*"),"?","~?"),'DEF_SELF_SCOUT_IMPORT'!$J$42:$J$1040,"")&gt;0,"Unscored clean outcome; review result tags before using score.",IF(C840=0,"No matching defensive reps; film confirmation needed.",IF(K840="Explosive Alert","Explosive risk; review clips before using as answer.",IF(C840&lt;=2,"Track only; not enough sample.",IF(C840=3,IF(E840&gt;0,"Sample watch with explosive exposure; review clips and build the sample.",IF(J840&gt;=65,"Good signal, but sample is limited.","Sample watch; review clips and build the sample.")),IF(K840="Problem Call","Problem area; practice or call-sheet review.",IF(K840="Strong Candidate","Strong call-fit candidate; confirm on film.",IF(K840="Good Candidate","Good call-fit signal; confirm on film.","Mixed signal; review fit and execution on film."))))))))</f>
        <v>Explosive risk; review clips before using as answer.</v>
      </c>
      <c r="M840" s="8" t="s">
        <v>39</v>
      </c>
      <c r="N840" s="8"/>
      <c r="O840" s="8"/>
      <c r="P840" s="8" t="s">
        <v>432</v>
      </c>
      <c r="Q840" s="8"/>
      <c r="R840" s="8" t="s">
        <v>429</v>
      </c>
      <c r="S840" s="2" t="s">
        <v>455</v>
      </c>
      <c r="T840" s="2">
        <f>IF(C840=0,0,IF(C840&gt;=CALL_LOOKUP_BOARD!$B$7,IF(OR(K840="Problem Call",K840="Explosive Alert"),10000000,20000000),0)+IF(C840&gt;=CALL_LOOKUP_BOARD!$B$7,J840*1000+MIN(C840,999),C840*1000+J840)+0.00997000)</f>
        <v>1000.00997</v>
      </c>
      <c r="U840" s="2">
        <f>IF(C840=0,"",IF(COUNTIFS($S$811:$S$1055,SUBSTITUTE(SUBSTITUTE(SUBSTITUTE(S840,"~","~~"),"*","~*"),"?","~?"),$T$811:$T$1055,"&gt;"&amp;T840)=0,S840,""))</f>
        <v/>
      </c>
    </row>
    <row r="841" spans="1:21" ht="38" customHeight="1">
      <c r="A841" s="8" t="s">
        <v>454</v>
      </c>
      <c r="B841" s="8" t="s">
        <v>67</v>
      </c>
      <c r="C841" s="12">
        <f>COUNTIFS('DEF_SELF_SCOUT_IMPORT'!$L$42:$L$1040,"Y",'DEF_SELF_SCOUT_IMPORT'!$E$42:$E$1040,SUBSTITUTE(SUBSTITUTE(SUBSTITUTE($B841,"~","~~"),"*","~*"),"?","~?"),'DEF_SELF_SCOUT_IMPORT'!$Q$42:$Q$1040,SUBSTITUTE(SUBSTITUTE(SUBSTITUTE($M841,"~","~~"),"*","~*"),"?","~?"),'DEF_SELF_SCOUT_IMPORT'!$D$42:$D$1040,SUBSTITUTE(SUBSTITUTE(SUBSTITUTE($P841,"~","~~"),"*","~*"),"?","~?"))</f>
        <v>1</v>
      </c>
      <c r="D841" s="10">
        <f>IF($C841=0,"",SUMIFS('DEF_SELF_SCOUT_IMPORT'!$J$42:$J$1040,'DEF_SELF_SCOUT_IMPORT'!$L$42:$L$1040,"Y",'DEF_SELF_SCOUT_IMPORT'!$E$42:$E$1040,SUBSTITUTE(SUBSTITUTE(SUBSTITUTE($B841,"~","~~"),"*","~*"),"?","~?"),'DEF_SELF_SCOUT_IMPORT'!$Q$42:$Q$1040,SUBSTITUTE(SUBSTITUTE(SUBSTITUTE($M841,"~","~~"),"*","~*"),"?","~?"),'DEF_SELF_SCOUT_IMPORT'!$D$42:$D$1040,SUBSTITUTE(SUBSTITUTE(SUBSTITUTE($P841,"~","~~"),"*","~*"),"?","~?"))/$C841)</f>
        <v>0.0</v>
      </c>
      <c r="E841" s="10">
        <f>IF($C841=0,"",SUMIFS('DEF_SELF_SCOUT_IMPORT'!$K$42:$K$1040,'DEF_SELF_SCOUT_IMPORT'!$L$42:$L$1040,"Y",'DEF_SELF_SCOUT_IMPORT'!$E$42:$E$1040,SUBSTITUTE(SUBSTITUTE(SUBSTITUTE($B841,"~","~~"),"*","~*"),"?","~?"),'DEF_SELF_SCOUT_IMPORT'!$Q$42:$Q$1040,SUBSTITUTE(SUBSTITUTE(SUBSTITUTE($M841,"~","~~"),"*","~*"),"?","~?"),'DEF_SELF_SCOUT_IMPORT'!$D$42:$D$1040,SUBSTITUTE(SUBSTITUTE(SUBSTITUTE($P841,"~","~~"),"*","~*"),"?","~?"))/$C841)</f>
        <v>0.0</v>
      </c>
      <c r="F841" s="11">
        <f>IF($C841=0,"",AVERAGEIFS('DEF_SELF_SCOUT_IMPORT'!$I$42:$I$1040,'DEF_SELF_SCOUT_IMPORT'!$L$42:$L$1040,"Y",'DEF_SELF_SCOUT_IMPORT'!$E$42:$E$1040,SUBSTITUTE(SUBSTITUTE(SUBSTITUTE($B841,"~","~~"),"*","~*"),"?","~?"),'DEF_SELF_SCOUT_IMPORT'!$Q$42:$Q$1040,SUBSTITUTE(SUBSTITUTE(SUBSTITUTE($M841,"~","~~"),"*","~*"),"?","~?"),'DEF_SELF_SCOUT_IMPORT'!$D$42:$D$1040,SUBSTITUTE(SUBSTITUTE(SUBSTITUTE($P841,"~","~~"),"*","~*"),"?","~?")))</f>
        <v>6.0</v>
      </c>
      <c r="G841" s="10">
        <f>IF($C841=0,"",COUNTIFS('DEF_SELF_SCOUT_IMPORT'!$L$42:$L$1040,"Y",'DEF_SELF_SCOUT_IMPORT'!$E$42:$E$1040,SUBSTITUTE(SUBSTITUTE(SUBSTITUTE($B841,"~","~~"),"*","~*"),"?","~?"),'DEF_SELF_SCOUT_IMPORT'!$Q$42:$Q$1040,SUBSTITUTE(SUBSTITUTE(SUBSTITUTE($M841,"~","~~"),"*","~*"),"?","~?"),'DEF_SELF_SCOUT_IMPORT'!$D$42:$D$1040,SUBSTITUTE(SUBSTITUTE(SUBSTITUTE($P841,"~","~~"),"*","~*"),"?","~?"),'DEF_SELF_SCOUT_IMPORT'!$H$42:$H$1040,"RUSH")/$C841)</f>
        <v>1.0</v>
      </c>
      <c r="H841" s="10">
        <f>IF($C841=0,"",COUNTIFS('DEF_SELF_SCOUT_IMPORT'!$L$42:$L$1040,"Y",'DEF_SELF_SCOUT_IMPORT'!$E$42:$E$1040,SUBSTITUTE(SUBSTITUTE(SUBSTITUTE($B841,"~","~~"),"*","~*"),"?","~?"),'DEF_SELF_SCOUT_IMPORT'!$Q$42:$Q$1040,SUBSTITUTE(SUBSTITUTE(SUBSTITUTE($M841,"~","~~"),"*","~*"),"?","~?"),'DEF_SELF_SCOUT_IMPORT'!$D$42:$D$1040,SUBSTITUTE(SUBSTITUTE(SUBSTITUTE($P841,"~","~~"),"*","~*"),"?","~?"),'DEF_SELF_SCOUT_IMPORT'!$H$42:$H$1040,"DROPBACK")/$C841)</f>
        <v>0.0</v>
      </c>
      <c r="I841" s="14" t="str">
        <f>IF(C841=0,"",IF(C841&lt;=2,"TRACK",IF(C841=3,"LOW",IF(C841&lt;=6,"MEDIUM","HIGH"))))</f>
        <v>TRACK</v>
      </c>
      <c r="J841" s="11">
        <f>IF(C841=0,"",ROUND(D841*70+(1-E841)*20+MAX(0,MIN(1,(10-F841)/10))*10,1))</f>
        <v>24.0</v>
      </c>
      <c r="K841" s="14" t="str">
        <f>IF(C841=0,"No Evidence",IF(C841&lt;=2,IF(E841&gt;0,"Explosive Alert","Track Only"),IF(C841=3,"Sample Watch",IF(E841&gt;=START_HERE!$B$31,"Explosive Alert",IF(J841&gt;=80,"Strong Candidate",IF(J841&gt;=65,"Good Candidate",IF(J841&gt;=50,"Mixed / Review","Problem Call")))))))</f>
        <v>Track Only</v>
      </c>
      <c r="L841" s="9" t="str">
        <f>IF(COUNTIFS('DEF_SELF_SCOUT_IMPORT'!$L$42:$L$1040,"Y",'DEF_SELF_SCOUT_IMPORT'!$E$42:$E$1040,SUBSTITUTE(SUBSTITUTE(SUBSTITUTE($B841,"~","~~"),"*","~*"),"?","~?"),'DEF_SELF_SCOUT_IMPORT'!$Q$42:$Q$1040,SUBSTITUTE(SUBSTITUTE(SUBSTITUTE($M841,"~","~~"),"*","~*"),"?","~?"),'DEF_SELF_SCOUT_IMPORT'!$D$42:$D$1040,SUBSTITUTE(SUBSTITUTE(SUBSTITUTE($P841,"~","~~"),"*","~*"),"?","~?"),'DEF_SELF_SCOUT_IMPORT'!$J$42:$J$1040,"")&gt;0,"Unscored clean outcome; review result tags before using score.",IF(C841=0,"No matching defensive reps; film confirmation needed.",IF(K841="Explosive Alert","Explosive risk; review clips before using as answer.",IF(C841&lt;=2,"Track only; not enough sample.",IF(C841=3,IF(E841&gt;0,"Sample watch with explosive exposure; review clips and build the sample.",IF(J841&gt;=65,"Good signal, but sample is limited.","Sample watch; review clips and build the sample.")),IF(K841="Problem Call","Problem area; practice or call-sheet review.",IF(K841="Strong Candidate","Strong call-fit candidate; confirm on film.",IF(K841="Good Candidate","Good call-fit signal; confirm on film.","Mixed signal; review fit and execution on film."))))))))</f>
        <v>Track only; not enough sample.</v>
      </c>
      <c r="M841" s="8" t="s">
        <v>39</v>
      </c>
      <c r="N841" s="8"/>
      <c r="O841" s="8"/>
      <c r="P841" s="8" t="s">
        <v>432</v>
      </c>
      <c r="Q841" s="8"/>
      <c r="R841" s="8" t="s">
        <v>429</v>
      </c>
      <c r="S841" s="2" t="s">
        <v>455</v>
      </c>
      <c r="T841" s="2">
        <f>IF(C841=0,0,IF(C841&gt;=CALL_LOOKUP_BOARD!$B$7,IF(OR(K841="Problem Call",K841="Explosive Alert"),10000000,20000000),0)+IF(C841&gt;=CALL_LOOKUP_BOARD!$B$7,J841*1000+MIN(C841,999),C841*1000+J841)+0.00996900)</f>
        <v>1024.009969</v>
      </c>
      <c r="U841" s="2" t="str">
        <f>IF(C841=0,"",IF(COUNTIFS($S$811:$S$1055,SUBSTITUTE(SUBSTITUTE(SUBSTITUTE(S841,"~","~~"),"*","~*"),"?","~?"),$T$811:$T$1055,"&gt;"&amp;T841)=0,S841,""))</f>
        <v>7:1D 7-10|7:COUNTER|</v>
      </c>
    </row>
    <row r="842" spans="1:21" ht="38" customHeight="1">
      <c r="A842" s="8" t="s">
        <v>456</v>
      </c>
      <c r="B842" s="8" t="s">
        <v>61</v>
      </c>
      <c r="C842" s="12">
        <f>COUNTIFS('DEF_SELF_SCOUT_IMPORT'!$L$42:$L$1040,"Y",'DEF_SELF_SCOUT_IMPORT'!$E$42:$E$1040,SUBSTITUTE(SUBSTITUTE(SUBSTITUTE($B842,"~","~~"),"*","~*"),"?","~?"),'DEF_SELF_SCOUT_IMPORT'!$Q$42:$Q$1040,SUBSTITUTE(SUBSTITUTE(SUBSTITUTE($M842,"~","~~"),"*","~*"),"?","~?"),'DEF_SELF_SCOUT_IMPORT'!$D$42:$D$1040,SUBSTITUTE(SUBSTITUTE(SUBSTITUTE($P842,"~","~~"),"*","~*"),"?","~?"))</f>
        <v>1</v>
      </c>
      <c r="D842" s="10">
        <f>IF($C842=0,"",SUMIFS('DEF_SELF_SCOUT_IMPORT'!$J$42:$J$1040,'DEF_SELF_SCOUT_IMPORT'!$L$42:$L$1040,"Y",'DEF_SELF_SCOUT_IMPORT'!$E$42:$E$1040,SUBSTITUTE(SUBSTITUTE(SUBSTITUTE($B842,"~","~~"),"*","~*"),"?","~?"),'DEF_SELF_SCOUT_IMPORT'!$Q$42:$Q$1040,SUBSTITUTE(SUBSTITUTE(SUBSTITUTE($M842,"~","~~"),"*","~*"),"?","~?"),'DEF_SELF_SCOUT_IMPORT'!$D$42:$D$1040,SUBSTITUTE(SUBSTITUTE(SUBSTITUTE($P842,"~","~~"),"*","~*"),"?","~?"))/$C842)</f>
        <v>1.0</v>
      </c>
      <c r="E842" s="10">
        <f>IF($C842=0,"",SUMIFS('DEF_SELF_SCOUT_IMPORT'!$K$42:$K$1040,'DEF_SELF_SCOUT_IMPORT'!$L$42:$L$1040,"Y",'DEF_SELF_SCOUT_IMPORT'!$E$42:$E$1040,SUBSTITUTE(SUBSTITUTE(SUBSTITUTE($B842,"~","~~"),"*","~*"),"?","~?"),'DEF_SELF_SCOUT_IMPORT'!$Q$42:$Q$1040,SUBSTITUTE(SUBSTITUTE(SUBSTITUTE($M842,"~","~~"),"*","~*"),"?","~?"),'DEF_SELF_SCOUT_IMPORT'!$D$42:$D$1040,SUBSTITUTE(SUBSTITUTE(SUBSTITUTE($P842,"~","~~"),"*","~*"),"?","~?"))/$C842)</f>
        <v>0.0</v>
      </c>
      <c r="F842" s="11">
        <f>IF($C842=0,"",AVERAGEIFS('DEF_SELF_SCOUT_IMPORT'!$I$42:$I$1040,'DEF_SELF_SCOUT_IMPORT'!$L$42:$L$1040,"Y",'DEF_SELF_SCOUT_IMPORT'!$E$42:$E$1040,SUBSTITUTE(SUBSTITUTE(SUBSTITUTE($B842,"~","~~"),"*","~*"),"?","~?"),'DEF_SELF_SCOUT_IMPORT'!$Q$42:$Q$1040,SUBSTITUTE(SUBSTITUTE(SUBSTITUTE($M842,"~","~~"),"*","~*"),"?","~?"),'DEF_SELF_SCOUT_IMPORT'!$D$42:$D$1040,SUBSTITUTE(SUBSTITUTE(SUBSTITUTE($P842,"~","~~"),"*","~*"),"?","~?")))</f>
        <v>3.0</v>
      </c>
      <c r="G842" s="10">
        <f>IF($C842=0,"",COUNTIFS('DEF_SELF_SCOUT_IMPORT'!$L$42:$L$1040,"Y",'DEF_SELF_SCOUT_IMPORT'!$E$42:$E$1040,SUBSTITUTE(SUBSTITUTE(SUBSTITUTE($B842,"~","~~"),"*","~*"),"?","~?"),'DEF_SELF_SCOUT_IMPORT'!$Q$42:$Q$1040,SUBSTITUTE(SUBSTITUTE(SUBSTITUTE($M842,"~","~~"),"*","~*"),"?","~?"),'DEF_SELF_SCOUT_IMPORT'!$D$42:$D$1040,SUBSTITUTE(SUBSTITUTE(SUBSTITUTE($P842,"~","~~"),"*","~*"),"?","~?"),'DEF_SELF_SCOUT_IMPORT'!$H$42:$H$1040,"RUSH")/$C842)</f>
        <v>1.0</v>
      </c>
      <c r="H842" s="10">
        <f>IF($C842=0,"",COUNTIFS('DEF_SELF_SCOUT_IMPORT'!$L$42:$L$1040,"Y",'DEF_SELF_SCOUT_IMPORT'!$E$42:$E$1040,SUBSTITUTE(SUBSTITUTE(SUBSTITUTE($B842,"~","~~"),"*","~*"),"?","~?"),'DEF_SELF_SCOUT_IMPORT'!$Q$42:$Q$1040,SUBSTITUTE(SUBSTITUTE(SUBSTITUTE($M842,"~","~~"),"*","~*"),"?","~?"),'DEF_SELF_SCOUT_IMPORT'!$D$42:$D$1040,SUBSTITUTE(SUBSTITUTE(SUBSTITUTE($P842,"~","~~"),"*","~*"),"?","~?"),'DEF_SELF_SCOUT_IMPORT'!$H$42:$H$1040,"DROPBACK")/$C842)</f>
        <v>0.0</v>
      </c>
      <c r="I842" s="14" t="str">
        <f>IF(C842=0,"",IF(C842&lt;=2,"TRACK",IF(C842=3,"LOW",IF(C842&lt;=6,"MEDIUM","HIGH"))))</f>
        <v>TRACK</v>
      </c>
      <c r="J842" s="11">
        <f>IF(C842=0,"",ROUND(D842*70+(1-E842)*20+MAX(0,MIN(1,(10-F842)/10))*10,1))</f>
        <v>97.0</v>
      </c>
      <c r="K842" s="14" t="str">
        <f>IF(C842=0,"No Evidence",IF(C842&lt;=2,IF(E842&gt;0,"Explosive Alert","Track Only"),IF(C842=3,"Sample Watch",IF(E842&gt;=START_HERE!$B$31,"Explosive Alert",IF(J842&gt;=80,"Strong Candidate",IF(J842&gt;=65,"Good Candidate",IF(J842&gt;=50,"Mixed / Review","Problem Call")))))))</f>
        <v>Track Only</v>
      </c>
      <c r="L842" s="9" t="str">
        <f>IF(COUNTIFS('DEF_SELF_SCOUT_IMPORT'!$L$42:$L$1040,"Y",'DEF_SELF_SCOUT_IMPORT'!$E$42:$E$1040,SUBSTITUTE(SUBSTITUTE(SUBSTITUTE($B842,"~","~~"),"*","~*"),"?","~?"),'DEF_SELF_SCOUT_IMPORT'!$Q$42:$Q$1040,SUBSTITUTE(SUBSTITUTE(SUBSTITUTE($M842,"~","~~"),"*","~*"),"?","~?"),'DEF_SELF_SCOUT_IMPORT'!$D$42:$D$1040,SUBSTITUTE(SUBSTITUTE(SUBSTITUTE($P842,"~","~~"),"*","~*"),"?","~?"),'DEF_SELF_SCOUT_IMPORT'!$J$42:$J$1040,"")&gt;0,"Unscored clean outcome; review result tags before using score.",IF(C842=0,"No matching defensive reps; film confirmation needed.",IF(K842="Explosive Alert","Explosive risk; review clips before using as answer.",IF(C842&lt;=2,"Track only; not enough sample.",IF(C842=3,IF(E842&gt;0,"Sample watch with explosive exposure; review clips and build the sample.",IF(J842&gt;=65,"Good signal, but sample is limited.","Sample watch; review clips and build the sample.")),IF(K842="Problem Call","Problem area; practice or call-sheet review.",IF(K842="Strong Candidate","Strong call-fit candidate; confirm on film.",IF(K842="Good Candidate","Good call-fit signal; confirm on film.","Mixed signal; review fit and execution on film."))))))))</f>
        <v>Track only; not enough sample.</v>
      </c>
      <c r="M842" s="8" t="s">
        <v>39</v>
      </c>
      <c r="N842" s="8"/>
      <c r="O842" s="8"/>
      <c r="P842" s="8" t="s">
        <v>457</v>
      </c>
      <c r="Q842" s="8"/>
      <c r="R842" s="8" t="s">
        <v>429</v>
      </c>
      <c r="S842" s="2" t="s">
        <v>458</v>
      </c>
      <c r="T842" s="2">
        <f>IF(C842=0,0,IF(C842&gt;=CALL_LOOKUP_BOARD!$B$7,IF(OR(K842="Problem Call",K842="Explosive Alert"),10000000,20000000),0)+IF(C842&gt;=CALL_LOOKUP_BOARD!$B$7,J842*1000+MIN(C842,999),C842*1000+J842)+0.00996800)</f>
        <v>1097.009968</v>
      </c>
      <c r="U842" s="2" t="str">
        <f>IF(C842=0,"",IF(COUNTIFS($S$811:$S$1055,SUBSTITUTE(SUBSTITUTE(SUBSTITUTE(S842,"~","~~"),"*","~*"),"?","~?"),$T$811:$T$1055,"&gt;"&amp;T842)=0,S842,""))</f>
        <v>7:1D 7-10|3:DUO|</v>
      </c>
    </row>
    <row r="843" spans="1:21" ht="38" customHeight="1">
      <c r="A843" s="8" t="s">
        <v>459</v>
      </c>
      <c r="B843" s="8" t="s">
        <v>52</v>
      </c>
      <c r="C843" s="12">
        <f>COUNTIFS('DEF_SELF_SCOUT_IMPORT'!$L$42:$L$1040,"Y",'DEF_SELF_SCOUT_IMPORT'!$E$42:$E$1040,SUBSTITUTE(SUBSTITUTE(SUBSTITUTE($B843,"~","~~"),"*","~*"),"?","~?"),'DEF_SELF_SCOUT_IMPORT'!$Q$42:$Q$1040,SUBSTITUTE(SUBSTITUTE(SUBSTITUTE($M843,"~","~~"),"*","~*"),"?","~?"),'DEF_SELF_SCOUT_IMPORT'!$D$42:$D$1040,SUBSTITUTE(SUBSTITUTE(SUBSTITUTE($P843,"~","~~"),"*","~*"),"?","~?"))</f>
        <v>1</v>
      </c>
      <c r="D843" s="10">
        <f>IF($C843=0,"",SUMIFS('DEF_SELF_SCOUT_IMPORT'!$J$42:$J$1040,'DEF_SELF_SCOUT_IMPORT'!$L$42:$L$1040,"Y",'DEF_SELF_SCOUT_IMPORT'!$E$42:$E$1040,SUBSTITUTE(SUBSTITUTE(SUBSTITUTE($B843,"~","~~"),"*","~*"),"?","~?"),'DEF_SELF_SCOUT_IMPORT'!$Q$42:$Q$1040,SUBSTITUTE(SUBSTITUTE(SUBSTITUTE($M843,"~","~~"),"*","~*"),"?","~?"),'DEF_SELF_SCOUT_IMPORT'!$D$42:$D$1040,SUBSTITUTE(SUBSTITUTE(SUBSTITUTE($P843,"~","~~"),"*","~*"),"?","~?"))/$C843)</f>
        <v>1.0</v>
      </c>
      <c r="E843" s="10">
        <f>IF($C843=0,"",SUMIFS('DEF_SELF_SCOUT_IMPORT'!$K$42:$K$1040,'DEF_SELF_SCOUT_IMPORT'!$L$42:$L$1040,"Y",'DEF_SELF_SCOUT_IMPORT'!$E$42:$E$1040,SUBSTITUTE(SUBSTITUTE(SUBSTITUTE($B843,"~","~~"),"*","~*"),"?","~?"),'DEF_SELF_SCOUT_IMPORT'!$Q$42:$Q$1040,SUBSTITUTE(SUBSTITUTE(SUBSTITUTE($M843,"~","~~"),"*","~*"),"?","~?"),'DEF_SELF_SCOUT_IMPORT'!$D$42:$D$1040,SUBSTITUTE(SUBSTITUTE(SUBSTITUTE($P843,"~","~~"),"*","~*"),"?","~?"))/$C843)</f>
        <v>0.0</v>
      </c>
      <c r="F843" s="11">
        <f>IF($C843=0,"",AVERAGEIFS('DEF_SELF_SCOUT_IMPORT'!$I$42:$I$1040,'DEF_SELF_SCOUT_IMPORT'!$L$42:$L$1040,"Y",'DEF_SELF_SCOUT_IMPORT'!$E$42:$E$1040,SUBSTITUTE(SUBSTITUTE(SUBSTITUTE($B843,"~","~~"),"*","~*"),"?","~?"),'DEF_SELF_SCOUT_IMPORT'!$Q$42:$Q$1040,SUBSTITUTE(SUBSTITUTE(SUBSTITUTE($M843,"~","~~"),"*","~*"),"?","~?"),'DEF_SELF_SCOUT_IMPORT'!$D$42:$D$1040,SUBSTITUTE(SUBSTITUTE(SUBSTITUTE($P843,"~","~~"),"*","~*"),"?","~?")))</f>
        <v>2.0</v>
      </c>
      <c r="G843" s="10">
        <f>IF($C843=0,"",COUNTIFS('DEF_SELF_SCOUT_IMPORT'!$L$42:$L$1040,"Y",'DEF_SELF_SCOUT_IMPORT'!$E$42:$E$1040,SUBSTITUTE(SUBSTITUTE(SUBSTITUTE($B843,"~","~~"),"*","~*"),"?","~?"),'DEF_SELF_SCOUT_IMPORT'!$Q$42:$Q$1040,SUBSTITUTE(SUBSTITUTE(SUBSTITUTE($M843,"~","~~"),"*","~*"),"?","~?"),'DEF_SELF_SCOUT_IMPORT'!$D$42:$D$1040,SUBSTITUTE(SUBSTITUTE(SUBSTITUTE($P843,"~","~~"),"*","~*"),"?","~?"),'DEF_SELF_SCOUT_IMPORT'!$H$42:$H$1040,"RUSH")/$C843)</f>
        <v>0.0</v>
      </c>
      <c r="H843" s="10">
        <f>IF($C843=0,"",COUNTIFS('DEF_SELF_SCOUT_IMPORT'!$L$42:$L$1040,"Y",'DEF_SELF_SCOUT_IMPORT'!$E$42:$E$1040,SUBSTITUTE(SUBSTITUTE(SUBSTITUTE($B843,"~","~~"),"*","~*"),"?","~?"),'DEF_SELF_SCOUT_IMPORT'!$Q$42:$Q$1040,SUBSTITUTE(SUBSTITUTE(SUBSTITUTE($M843,"~","~~"),"*","~*"),"?","~?"),'DEF_SELF_SCOUT_IMPORT'!$D$42:$D$1040,SUBSTITUTE(SUBSTITUTE(SUBSTITUTE($P843,"~","~~"),"*","~*"),"?","~?"),'DEF_SELF_SCOUT_IMPORT'!$H$42:$H$1040,"DROPBACK")/$C843)</f>
        <v>1.0</v>
      </c>
      <c r="I843" s="14" t="str">
        <f>IF(C843=0,"",IF(C843&lt;=2,"TRACK",IF(C843=3,"LOW",IF(C843&lt;=6,"MEDIUM","HIGH"))))</f>
        <v>TRACK</v>
      </c>
      <c r="J843" s="11">
        <f>IF(C843=0,"",ROUND(D843*70+(1-E843)*20+MAX(0,MIN(1,(10-F843)/10))*10,1))</f>
        <v>98.0</v>
      </c>
      <c r="K843" s="14" t="str">
        <f>IF(C843=0,"No Evidence",IF(C843&lt;=2,IF(E843&gt;0,"Explosive Alert","Track Only"),IF(C843=3,"Sample Watch",IF(E843&gt;=START_HERE!$B$31,"Explosive Alert",IF(J843&gt;=80,"Strong Candidate",IF(J843&gt;=65,"Good Candidate",IF(J843&gt;=50,"Mixed / Review","Problem Call")))))))</f>
        <v>Track Only</v>
      </c>
      <c r="L843" s="9" t="str">
        <f>IF(COUNTIFS('DEF_SELF_SCOUT_IMPORT'!$L$42:$L$1040,"Y",'DEF_SELF_SCOUT_IMPORT'!$E$42:$E$1040,SUBSTITUTE(SUBSTITUTE(SUBSTITUTE($B843,"~","~~"),"*","~*"),"?","~?"),'DEF_SELF_SCOUT_IMPORT'!$Q$42:$Q$1040,SUBSTITUTE(SUBSTITUTE(SUBSTITUTE($M843,"~","~~"),"*","~*"),"?","~?"),'DEF_SELF_SCOUT_IMPORT'!$D$42:$D$1040,SUBSTITUTE(SUBSTITUTE(SUBSTITUTE($P843,"~","~~"),"*","~*"),"?","~?"),'DEF_SELF_SCOUT_IMPORT'!$J$42:$J$1040,"")&gt;0,"Unscored clean outcome; review result tags before using score.",IF(C843=0,"No matching defensive reps; film confirmation needed.",IF(K843="Explosive Alert","Explosive risk; review clips before using as answer.",IF(C843&lt;=2,"Track only; not enough sample.",IF(C843=3,IF(E843&gt;0,"Sample watch with explosive exposure; review clips and build the sample.",IF(J843&gt;=65,"Good signal, but sample is limited.","Sample watch; review clips and build the sample.")),IF(K843="Problem Call","Problem area; practice or call-sheet review.",IF(K843="Strong Candidate","Strong call-fit candidate; confirm on film.",IF(K843="Good Candidate","Good call-fit signal; confirm on film.","Mixed signal; review fit and execution on film."))))))))</f>
        <v>Track only; not enough sample.</v>
      </c>
      <c r="M843" s="8" t="s">
        <v>39</v>
      </c>
      <c r="N843" s="8"/>
      <c r="O843" s="8"/>
      <c r="P843" s="8" t="s">
        <v>460</v>
      </c>
      <c r="Q843" s="8"/>
      <c r="R843" s="8" t="s">
        <v>429</v>
      </c>
      <c r="S843" s="2" t="s">
        <v>461</v>
      </c>
      <c r="T843" s="2">
        <f>IF(C843=0,0,IF(C843&gt;=CALL_LOOKUP_BOARD!$B$7,IF(OR(K843="Problem Call",K843="Explosive Alert"),10000000,20000000),0)+IF(C843&gt;=CALL_LOOKUP_BOARD!$B$7,J843*1000+MIN(C843,999),C843*1000+J843)+0.00996700)</f>
        <v>1098.009967</v>
      </c>
      <c r="U843" s="2" t="str">
        <f>IF(C843=0,"",IF(COUNTIFS($S$811:$S$1055,SUBSTITUTE(SUBSTITUTE(SUBSTITUTE(S843,"~","~~"),"*","~*"),"?","~?"),$T$811:$T$1055,"&gt;"&amp;T843)=0,S843,""))</f>
        <v>7:1D 7-10|8:FLY TOSS|</v>
      </c>
    </row>
    <row r="844" spans="1:21" ht="38" customHeight="1">
      <c r="A844" s="8" t="s">
        <v>459</v>
      </c>
      <c r="B844" s="8" t="s">
        <v>53</v>
      </c>
      <c r="C844" s="12">
        <f>COUNTIFS('DEF_SELF_SCOUT_IMPORT'!$L$42:$L$1040,"Y",'DEF_SELF_SCOUT_IMPORT'!$E$42:$E$1040,SUBSTITUTE(SUBSTITUTE(SUBSTITUTE($B844,"~","~~"),"*","~*"),"?","~?"),'DEF_SELF_SCOUT_IMPORT'!$Q$42:$Q$1040,SUBSTITUTE(SUBSTITUTE(SUBSTITUTE($M844,"~","~~"),"*","~*"),"?","~?"),'DEF_SELF_SCOUT_IMPORT'!$D$42:$D$1040,SUBSTITUTE(SUBSTITUTE(SUBSTITUTE($P844,"~","~~"),"*","~*"),"?","~?"))</f>
        <v>1</v>
      </c>
      <c r="D844" s="10">
        <f>IF($C844=0,"",SUMIFS('DEF_SELF_SCOUT_IMPORT'!$J$42:$J$1040,'DEF_SELF_SCOUT_IMPORT'!$L$42:$L$1040,"Y",'DEF_SELF_SCOUT_IMPORT'!$E$42:$E$1040,SUBSTITUTE(SUBSTITUTE(SUBSTITUTE($B844,"~","~~"),"*","~*"),"?","~?"),'DEF_SELF_SCOUT_IMPORT'!$Q$42:$Q$1040,SUBSTITUTE(SUBSTITUTE(SUBSTITUTE($M844,"~","~~"),"*","~*"),"?","~?"),'DEF_SELF_SCOUT_IMPORT'!$D$42:$D$1040,SUBSTITUTE(SUBSTITUTE(SUBSTITUTE($P844,"~","~~"),"*","~*"),"?","~?"))/$C844)</f>
        <v>1.0</v>
      </c>
      <c r="E844" s="10">
        <f>IF($C844=0,"",SUMIFS('DEF_SELF_SCOUT_IMPORT'!$K$42:$K$1040,'DEF_SELF_SCOUT_IMPORT'!$L$42:$L$1040,"Y",'DEF_SELF_SCOUT_IMPORT'!$E$42:$E$1040,SUBSTITUTE(SUBSTITUTE(SUBSTITUTE($B844,"~","~~"),"*","~*"),"?","~?"),'DEF_SELF_SCOUT_IMPORT'!$Q$42:$Q$1040,SUBSTITUTE(SUBSTITUTE(SUBSTITUTE($M844,"~","~~"),"*","~*"),"?","~?"),'DEF_SELF_SCOUT_IMPORT'!$D$42:$D$1040,SUBSTITUTE(SUBSTITUTE(SUBSTITUTE($P844,"~","~~"),"*","~*"),"?","~?"))/$C844)</f>
        <v>0.0</v>
      </c>
      <c r="F844" s="11">
        <f>IF($C844=0,"",AVERAGEIFS('DEF_SELF_SCOUT_IMPORT'!$I$42:$I$1040,'DEF_SELF_SCOUT_IMPORT'!$L$42:$L$1040,"Y",'DEF_SELF_SCOUT_IMPORT'!$E$42:$E$1040,SUBSTITUTE(SUBSTITUTE(SUBSTITUTE($B844,"~","~~"),"*","~*"),"?","~?"),'DEF_SELF_SCOUT_IMPORT'!$Q$42:$Q$1040,SUBSTITUTE(SUBSTITUTE(SUBSTITUTE($M844,"~","~~"),"*","~*"),"?","~?"),'DEF_SELF_SCOUT_IMPORT'!$D$42:$D$1040,SUBSTITUTE(SUBSTITUTE(SUBSTITUTE($P844,"~","~~"),"*","~*"),"?","~?")))</f>
        <v>6.0</v>
      </c>
      <c r="G844" s="10">
        <f>IF($C844=0,"",COUNTIFS('DEF_SELF_SCOUT_IMPORT'!$L$42:$L$1040,"Y",'DEF_SELF_SCOUT_IMPORT'!$E$42:$E$1040,SUBSTITUTE(SUBSTITUTE(SUBSTITUTE($B844,"~","~~"),"*","~*"),"?","~?"),'DEF_SELF_SCOUT_IMPORT'!$Q$42:$Q$1040,SUBSTITUTE(SUBSTITUTE(SUBSTITUTE($M844,"~","~~"),"*","~*"),"?","~?"),'DEF_SELF_SCOUT_IMPORT'!$D$42:$D$1040,SUBSTITUTE(SUBSTITUTE(SUBSTITUTE($P844,"~","~~"),"*","~*"),"?","~?"),'DEF_SELF_SCOUT_IMPORT'!$H$42:$H$1040,"RUSH")/$C844)</f>
        <v>0.0</v>
      </c>
      <c r="H844" s="10">
        <f>IF($C844=0,"",COUNTIFS('DEF_SELF_SCOUT_IMPORT'!$L$42:$L$1040,"Y",'DEF_SELF_SCOUT_IMPORT'!$E$42:$E$1040,SUBSTITUTE(SUBSTITUTE(SUBSTITUTE($B844,"~","~~"),"*","~*"),"?","~?"),'DEF_SELF_SCOUT_IMPORT'!$Q$42:$Q$1040,SUBSTITUTE(SUBSTITUTE(SUBSTITUTE($M844,"~","~~"),"*","~*"),"?","~?"),'DEF_SELF_SCOUT_IMPORT'!$D$42:$D$1040,SUBSTITUTE(SUBSTITUTE(SUBSTITUTE($P844,"~","~~"),"*","~*"),"?","~?"),'DEF_SELF_SCOUT_IMPORT'!$H$42:$H$1040,"DROPBACK")/$C844)</f>
        <v>1.0</v>
      </c>
      <c r="I844" s="14" t="str">
        <f>IF(C844=0,"",IF(C844&lt;=2,"TRACK",IF(C844=3,"LOW",IF(C844&lt;=6,"MEDIUM","HIGH"))))</f>
        <v>TRACK</v>
      </c>
      <c r="J844" s="11">
        <f>IF(C844=0,"",ROUND(D844*70+(1-E844)*20+MAX(0,MIN(1,(10-F844)/10))*10,1))</f>
        <v>94.0</v>
      </c>
      <c r="K844" s="14" t="str">
        <f>IF(C844=0,"No Evidence",IF(C844&lt;=2,IF(E844&gt;0,"Explosive Alert","Track Only"),IF(C844=3,"Sample Watch",IF(E844&gt;=START_HERE!$B$31,"Explosive Alert",IF(J844&gt;=80,"Strong Candidate",IF(J844&gt;=65,"Good Candidate",IF(J844&gt;=50,"Mixed / Review","Problem Call")))))))</f>
        <v>Track Only</v>
      </c>
      <c r="L844" s="9" t="str">
        <f>IF(COUNTIFS('DEF_SELF_SCOUT_IMPORT'!$L$42:$L$1040,"Y",'DEF_SELF_SCOUT_IMPORT'!$E$42:$E$1040,SUBSTITUTE(SUBSTITUTE(SUBSTITUTE($B844,"~","~~"),"*","~*"),"?","~?"),'DEF_SELF_SCOUT_IMPORT'!$Q$42:$Q$1040,SUBSTITUTE(SUBSTITUTE(SUBSTITUTE($M844,"~","~~"),"*","~*"),"?","~?"),'DEF_SELF_SCOUT_IMPORT'!$D$42:$D$1040,SUBSTITUTE(SUBSTITUTE(SUBSTITUTE($P844,"~","~~"),"*","~*"),"?","~?"),'DEF_SELF_SCOUT_IMPORT'!$J$42:$J$1040,"")&gt;0,"Unscored clean outcome; review result tags before using score.",IF(C844=0,"No matching defensive reps; film confirmation needed.",IF(K844="Explosive Alert","Explosive risk; review clips before using as answer.",IF(C844&lt;=2,"Track only; not enough sample.",IF(C844=3,IF(E844&gt;0,"Sample watch with explosive exposure; review clips and build the sample.",IF(J844&gt;=65,"Good signal, but sample is limited.","Sample watch; review clips and build the sample.")),IF(K844="Problem Call","Problem area; practice or call-sheet review.",IF(K844="Strong Candidate","Strong call-fit candidate; confirm on film.",IF(K844="Good Candidate","Good call-fit signal; confirm on film.","Mixed signal; review fit and execution on film."))))))))</f>
        <v>Track only; not enough sample.</v>
      </c>
      <c r="M844" s="8" t="s">
        <v>39</v>
      </c>
      <c r="N844" s="8"/>
      <c r="O844" s="8"/>
      <c r="P844" s="8" t="s">
        <v>460</v>
      </c>
      <c r="Q844" s="8"/>
      <c r="R844" s="8" t="s">
        <v>429</v>
      </c>
      <c r="S844" s="2" t="s">
        <v>461</v>
      </c>
      <c r="T844" s="2">
        <f>IF(C844=0,0,IF(C844&gt;=CALL_LOOKUP_BOARD!$B$7,IF(OR(K844="Problem Call",K844="Explosive Alert"),10000000,20000000),0)+IF(C844&gt;=CALL_LOOKUP_BOARD!$B$7,J844*1000+MIN(C844,999),C844*1000+J844)+0.00996600)</f>
        <v>1094.009966</v>
      </c>
      <c r="U844" s="2">
        <f>IF(C844=0,"",IF(COUNTIFS($S$811:$S$1055,SUBSTITUTE(SUBSTITUTE(SUBSTITUTE(S844,"~","~~"),"*","~*"),"?","~?"),$T$811:$T$1055,"&gt;"&amp;T844)=0,S844,""))</f>
        <v/>
      </c>
    </row>
    <row r="845" spans="1:21" ht="38" customHeight="1">
      <c r="A845" s="8" t="s">
        <v>462</v>
      </c>
      <c r="B845" s="8" t="s">
        <v>40</v>
      </c>
      <c r="C845" s="12">
        <f>COUNTIFS('DEF_SELF_SCOUT_IMPORT'!$L$42:$L$1040,"Y",'DEF_SELF_SCOUT_IMPORT'!$E$42:$E$1040,SUBSTITUTE(SUBSTITUTE(SUBSTITUTE($B845,"~","~~"),"*","~*"),"?","~?"),'DEF_SELF_SCOUT_IMPORT'!$Q$42:$Q$1040,SUBSTITUTE(SUBSTITUTE(SUBSTITUTE($M845,"~","~~"),"*","~*"),"?","~?"),'DEF_SELF_SCOUT_IMPORT'!$D$42:$D$1040,SUBSTITUTE(SUBSTITUTE(SUBSTITUTE($P845,"~","~~"),"*","~*"),"?","~?"))</f>
        <v>1</v>
      </c>
      <c r="D845" s="10">
        <f>IF($C845=0,"",SUMIFS('DEF_SELF_SCOUT_IMPORT'!$J$42:$J$1040,'DEF_SELF_SCOUT_IMPORT'!$L$42:$L$1040,"Y",'DEF_SELF_SCOUT_IMPORT'!$E$42:$E$1040,SUBSTITUTE(SUBSTITUTE(SUBSTITUTE($B845,"~","~~"),"*","~*"),"?","~?"),'DEF_SELF_SCOUT_IMPORT'!$Q$42:$Q$1040,SUBSTITUTE(SUBSTITUTE(SUBSTITUTE($M845,"~","~~"),"*","~*"),"?","~?"),'DEF_SELF_SCOUT_IMPORT'!$D$42:$D$1040,SUBSTITUTE(SUBSTITUTE(SUBSTITUTE($P845,"~","~~"),"*","~*"),"?","~?"))/$C845)</f>
        <v>0.0</v>
      </c>
      <c r="E845" s="10">
        <f>IF($C845=0,"",SUMIFS('DEF_SELF_SCOUT_IMPORT'!$K$42:$K$1040,'DEF_SELF_SCOUT_IMPORT'!$L$42:$L$1040,"Y",'DEF_SELF_SCOUT_IMPORT'!$E$42:$E$1040,SUBSTITUTE(SUBSTITUTE(SUBSTITUTE($B845,"~","~~"),"*","~*"),"?","~?"),'DEF_SELF_SCOUT_IMPORT'!$Q$42:$Q$1040,SUBSTITUTE(SUBSTITUTE(SUBSTITUTE($M845,"~","~~"),"*","~*"),"?","~?"),'DEF_SELF_SCOUT_IMPORT'!$D$42:$D$1040,SUBSTITUTE(SUBSTITUTE(SUBSTITUTE($P845,"~","~~"),"*","~*"),"?","~?"))/$C845)</f>
        <v>0.0</v>
      </c>
      <c r="F845" s="11">
        <f>IF($C845=0,"",AVERAGEIFS('DEF_SELF_SCOUT_IMPORT'!$I$42:$I$1040,'DEF_SELF_SCOUT_IMPORT'!$L$42:$L$1040,"Y",'DEF_SELF_SCOUT_IMPORT'!$E$42:$E$1040,SUBSTITUTE(SUBSTITUTE(SUBSTITUTE($B845,"~","~~"),"*","~*"),"?","~?"),'DEF_SELF_SCOUT_IMPORT'!$Q$42:$Q$1040,SUBSTITUTE(SUBSTITUTE(SUBSTITUTE($M845,"~","~~"),"*","~*"),"?","~?"),'DEF_SELF_SCOUT_IMPORT'!$D$42:$D$1040,SUBSTITUTE(SUBSTITUTE(SUBSTITUTE($P845,"~","~~"),"*","~*"),"?","~?")))</f>
        <v>5.0</v>
      </c>
      <c r="G845" s="10">
        <f>IF($C845=0,"",COUNTIFS('DEF_SELF_SCOUT_IMPORT'!$L$42:$L$1040,"Y",'DEF_SELF_SCOUT_IMPORT'!$E$42:$E$1040,SUBSTITUTE(SUBSTITUTE(SUBSTITUTE($B845,"~","~~"),"*","~*"),"?","~?"),'DEF_SELF_SCOUT_IMPORT'!$Q$42:$Q$1040,SUBSTITUTE(SUBSTITUTE(SUBSTITUTE($M845,"~","~~"),"*","~*"),"?","~?"),'DEF_SELF_SCOUT_IMPORT'!$D$42:$D$1040,SUBSTITUTE(SUBSTITUTE(SUBSTITUTE($P845,"~","~~"),"*","~*"),"?","~?"),'DEF_SELF_SCOUT_IMPORT'!$H$42:$H$1040,"RUSH")/$C845)</f>
        <v>1.0</v>
      </c>
      <c r="H845" s="10">
        <f>IF($C845=0,"",COUNTIFS('DEF_SELF_SCOUT_IMPORT'!$L$42:$L$1040,"Y",'DEF_SELF_SCOUT_IMPORT'!$E$42:$E$1040,SUBSTITUTE(SUBSTITUTE(SUBSTITUTE($B845,"~","~~"),"*","~*"),"?","~?"),'DEF_SELF_SCOUT_IMPORT'!$Q$42:$Q$1040,SUBSTITUTE(SUBSTITUTE(SUBSTITUTE($M845,"~","~~"),"*","~*"),"?","~?"),'DEF_SELF_SCOUT_IMPORT'!$D$42:$D$1040,SUBSTITUTE(SUBSTITUTE(SUBSTITUTE($P845,"~","~~"),"*","~*"),"?","~?"),'DEF_SELF_SCOUT_IMPORT'!$H$42:$H$1040,"DROPBACK")/$C845)</f>
        <v>0.0</v>
      </c>
      <c r="I845" s="14" t="str">
        <f>IF(C845=0,"",IF(C845&lt;=2,"TRACK",IF(C845=3,"LOW",IF(C845&lt;=6,"MEDIUM","HIGH"))))</f>
        <v>TRACK</v>
      </c>
      <c r="J845" s="11">
        <f>IF(C845=0,"",ROUND(D845*70+(1-E845)*20+MAX(0,MIN(1,(10-F845)/10))*10,1))</f>
        <v>25.0</v>
      </c>
      <c r="K845" s="14" t="str">
        <f>IF(C845=0,"No Evidence",IF(C845&lt;=2,IF(E845&gt;0,"Explosive Alert","Track Only"),IF(C845=3,"Sample Watch",IF(E845&gt;=START_HERE!$B$31,"Explosive Alert",IF(J845&gt;=80,"Strong Candidate",IF(J845&gt;=65,"Good Candidate",IF(J845&gt;=50,"Mixed / Review","Problem Call")))))))</f>
        <v>Track Only</v>
      </c>
      <c r="L845" s="9" t="str">
        <f>IF(COUNTIFS('DEF_SELF_SCOUT_IMPORT'!$L$42:$L$1040,"Y",'DEF_SELF_SCOUT_IMPORT'!$E$42:$E$1040,SUBSTITUTE(SUBSTITUTE(SUBSTITUTE($B845,"~","~~"),"*","~*"),"?","~?"),'DEF_SELF_SCOUT_IMPORT'!$Q$42:$Q$1040,SUBSTITUTE(SUBSTITUTE(SUBSTITUTE($M845,"~","~~"),"*","~*"),"?","~?"),'DEF_SELF_SCOUT_IMPORT'!$D$42:$D$1040,SUBSTITUTE(SUBSTITUTE(SUBSTITUTE($P845,"~","~~"),"*","~*"),"?","~?"),'DEF_SELF_SCOUT_IMPORT'!$J$42:$J$1040,"")&gt;0,"Unscored clean outcome; review result tags before using score.",IF(C845=0,"No matching defensive reps; film confirmation needed.",IF(K845="Explosive Alert","Explosive risk; review clips before using as answer.",IF(C845&lt;=2,"Track only; not enough sample.",IF(C845=3,IF(E845&gt;0,"Sample watch with explosive exposure; review clips and build the sample.",IF(J845&gt;=65,"Good signal, but sample is limited.","Sample watch; review clips and build the sample.")),IF(K845="Problem Call","Problem area; practice or call-sheet review.",IF(K845="Strong Candidate","Strong call-fit candidate; confirm on film.",IF(K845="Good Candidate","Good call-fit signal; confirm on film.","Mixed signal; review fit and execution on film."))))))))</f>
        <v>Track only; not enough sample.</v>
      </c>
      <c r="M845" s="8" t="s">
        <v>39</v>
      </c>
      <c r="N845" s="8"/>
      <c r="O845" s="8"/>
      <c r="P845" s="8" t="s">
        <v>428</v>
      </c>
      <c r="Q845" s="8"/>
      <c r="R845" s="8" t="s">
        <v>429</v>
      </c>
      <c r="S845" s="2" t="s">
        <v>463</v>
      </c>
      <c r="T845" s="2">
        <f>IF(C845=0,0,IF(C845&gt;=CALL_LOOKUP_BOARD!$B$7,IF(OR(K845="Problem Call",K845="Explosive Alert"),10000000,20000000),0)+IF(C845&gt;=CALL_LOOKUP_BOARD!$B$7,J845*1000+MIN(C845,999),C845*1000+J845)+0.00996500)</f>
        <v>1025.009965</v>
      </c>
      <c r="U845" s="2">
        <f>IF(C845=0,"",IF(COUNTIFS($S$811:$S$1055,SUBSTITUTE(SUBSTITUTE(SUBSTITUTE(S845,"~","~~"),"*","~*"),"?","~?"),$T$811:$T$1055,"&gt;"&amp;T845)=0,S845,""))</f>
        <v/>
      </c>
    </row>
    <row r="846" spans="1:21" ht="38" customHeight="1">
      <c r="A846" s="8" t="s">
        <v>462</v>
      </c>
      <c r="B846" s="8" t="s">
        <v>43</v>
      </c>
      <c r="C846" s="12">
        <f>COUNTIFS('DEF_SELF_SCOUT_IMPORT'!$L$42:$L$1040,"Y",'DEF_SELF_SCOUT_IMPORT'!$E$42:$E$1040,SUBSTITUTE(SUBSTITUTE(SUBSTITUTE($B846,"~","~~"),"*","~*"),"?","~?"),'DEF_SELF_SCOUT_IMPORT'!$Q$42:$Q$1040,SUBSTITUTE(SUBSTITUTE(SUBSTITUTE($M846,"~","~~"),"*","~*"),"?","~?"),'DEF_SELF_SCOUT_IMPORT'!$D$42:$D$1040,SUBSTITUTE(SUBSTITUTE(SUBSTITUTE($P846,"~","~~"),"*","~*"),"?","~?"))</f>
        <v>1</v>
      </c>
      <c r="D846" s="10">
        <f>IF($C846=0,"",SUMIFS('DEF_SELF_SCOUT_IMPORT'!$J$42:$J$1040,'DEF_SELF_SCOUT_IMPORT'!$L$42:$L$1040,"Y",'DEF_SELF_SCOUT_IMPORT'!$E$42:$E$1040,SUBSTITUTE(SUBSTITUTE(SUBSTITUTE($B846,"~","~~"),"*","~*"),"?","~?"),'DEF_SELF_SCOUT_IMPORT'!$Q$42:$Q$1040,SUBSTITUTE(SUBSTITUTE(SUBSTITUTE($M846,"~","~~"),"*","~*"),"?","~?"),'DEF_SELF_SCOUT_IMPORT'!$D$42:$D$1040,SUBSTITUTE(SUBSTITUTE(SUBSTITUTE($P846,"~","~~"),"*","~*"),"?","~?"))/$C846)</f>
        <v>1.0</v>
      </c>
      <c r="E846" s="10">
        <f>IF($C846=0,"",SUMIFS('DEF_SELF_SCOUT_IMPORT'!$K$42:$K$1040,'DEF_SELF_SCOUT_IMPORT'!$L$42:$L$1040,"Y",'DEF_SELF_SCOUT_IMPORT'!$E$42:$E$1040,SUBSTITUTE(SUBSTITUTE(SUBSTITUTE($B846,"~","~~"),"*","~*"),"?","~?"),'DEF_SELF_SCOUT_IMPORT'!$Q$42:$Q$1040,SUBSTITUTE(SUBSTITUTE(SUBSTITUTE($M846,"~","~~"),"*","~*"),"?","~?"),'DEF_SELF_SCOUT_IMPORT'!$D$42:$D$1040,SUBSTITUTE(SUBSTITUTE(SUBSTITUTE($P846,"~","~~"),"*","~*"),"?","~?"))/$C846)</f>
        <v>0.0</v>
      </c>
      <c r="F846" s="11">
        <f>IF($C846=0,"",AVERAGEIFS('DEF_SELF_SCOUT_IMPORT'!$I$42:$I$1040,'DEF_SELF_SCOUT_IMPORT'!$L$42:$L$1040,"Y",'DEF_SELF_SCOUT_IMPORT'!$E$42:$E$1040,SUBSTITUTE(SUBSTITUTE(SUBSTITUTE($B846,"~","~~"),"*","~*"),"?","~?"),'DEF_SELF_SCOUT_IMPORT'!$Q$42:$Q$1040,SUBSTITUTE(SUBSTITUTE(SUBSTITUTE($M846,"~","~~"),"*","~*"),"?","~?"),'DEF_SELF_SCOUT_IMPORT'!$D$42:$D$1040,SUBSTITUTE(SUBSTITUTE(SUBSTITUTE($P846,"~","~~"),"*","~*"),"?","~?")))</f>
        <v>-5.0</v>
      </c>
      <c r="G846" s="10">
        <f>IF($C846=0,"",COUNTIFS('DEF_SELF_SCOUT_IMPORT'!$L$42:$L$1040,"Y",'DEF_SELF_SCOUT_IMPORT'!$E$42:$E$1040,SUBSTITUTE(SUBSTITUTE(SUBSTITUTE($B846,"~","~~"),"*","~*"),"?","~?"),'DEF_SELF_SCOUT_IMPORT'!$Q$42:$Q$1040,SUBSTITUTE(SUBSTITUTE(SUBSTITUTE($M846,"~","~~"),"*","~*"),"?","~?"),'DEF_SELF_SCOUT_IMPORT'!$D$42:$D$1040,SUBSTITUTE(SUBSTITUTE(SUBSTITUTE($P846,"~","~~"),"*","~*"),"?","~?"),'DEF_SELF_SCOUT_IMPORT'!$H$42:$H$1040,"RUSH")/$C846)</f>
        <v>1.0</v>
      </c>
      <c r="H846" s="10">
        <f>IF($C846=0,"",COUNTIFS('DEF_SELF_SCOUT_IMPORT'!$L$42:$L$1040,"Y",'DEF_SELF_SCOUT_IMPORT'!$E$42:$E$1040,SUBSTITUTE(SUBSTITUTE(SUBSTITUTE($B846,"~","~~"),"*","~*"),"?","~?"),'DEF_SELF_SCOUT_IMPORT'!$Q$42:$Q$1040,SUBSTITUTE(SUBSTITUTE(SUBSTITUTE($M846,"~","~~"),"*","~*"),"?","~?"),'DEF_SELF_SCOUT_IMPORT'!$D$42:$D$1040,SUBSTITUTE(SUBSTITUTE(SUBSTITUTE($P846,"~","~~"),"*","~*"),"?","~?"),'DEF_SELF_SCOUT_IMPORT'!$H$42:$H$1040,"DROPBACK")/$C846)</f>
        <v>0.0</v>
      </c>
      <c r="I846" s="14" t="str">
        <f>IF(C846=0,"",IF(C846&lt;=2,"TRACK",IF(C846=3,"LOW",IF(C846&lt;=6,"MEDIUM","HIGH"))))</f>
        <v>TRACK</v>
      </c>
      <c r="J846" s="11">
        <f>IF(C846=0,"",ROUND(D846*70+(1-E846)*20+MAX(0,MIN(1,(10-F846)/10))*10,1))</f>
        <v>100.0</v>
      </c>
      <c r="K846" s="14" t="str">
        <f>IF(C846=0,"No Evidence",IF(C846&lt;=2,IF(E846&gt;0,"Explosive Alert","Track Only"),IF(C846=3,"Sample Watch",IF(E846&gt;=START_HERE!$B$31,"Explosive Alert",IF(J846&gt;=80,"Strong Candidate",IF(J846&gt;=65,"Good Candidate",IF(J846&gt;=50,"Mixed / Review","Problem Call")))))))</f>
        <v>Track Only</v>
      </c>
      <c r="L846" s="9" t="str">
        <f>IF(COUNTIFS('DEF_SELF_SCOUT_IMPORT'!$L$42:$L$1040,"Y",'DEF_SELF_SCOUT_IMPORT'!$E$42:$E$1040,SUBSTITUTE(SUBSTITUTE(SUBSTITUTE($B846,"~","~~"),"*","~*"),"?","~?"),'DEF_SELF_SCOUT_IMPORT'!$Q$42:$Q$1040,SUBSTITUTE(SUBSTITUTE(SUBSTITUTE($M846,"~","~~"),"*","~*"),"?","~?"),'DEF_SELF_SCOUT_IMPORT'!$D$42:$D$1040,SUBSTITUTE(SUBSTITUTE(SUBSTITUTE($P846,"~","~~"),"*","~*"),"?","~?"),'DEF_SELF_SCOUT_IMPORT'!$J$42:$J$1040,"")&gt;0,"Unscored clean outcome; review result tags before using score.",IF(C846=0,"No matching defensive reps; film confirmation needed.",IF(K846="Explosive Alert","Explosive risk; review clips before using as answer.",IF(C846&lt;=2,"Track only; not enough sample.",IF(C846=3,IF(E846&gt;0,"Sample watch with explosive exposure; review clips and build the sample.",IF(J846&gt;=65,"Good signal, but sample is limited.","Sample watch; review clips and build the sample.")),IF(K846="Problem Call","Problem area; practice or call-sheet review.",IF(K846="Strong Candidate","Strong call-fit candidate; confirm on film.",IF(K846="Good Candidate","Good call-fit signal; confirm on film.","Mixed signal; review fit and execution on film."))))))))</f>
        <v>Track only; not enough sample.</v>
      </c>
      <c r="M846" s="8" t="s">
        <v>39</v>
      </c>
      <c r="N846" s="8"/>
      <c r="O846" s="8"/>
      <c r="P846" s="8" t="s">
        <v>428</v>
      </c>
      <c r="Q846" s="8"/>
      <c r="R846" s="8" t="s">
        <v>429</v>
      </c>
      <c r="S846" s="2" t="s">
        <v>463</v>
      </c>
      <c r="T846" s="2">
        <f>IF(C846=0,0,IF(C846&gt;=CALL_LOOKUP_BOARD!$B$7,IF(OR(K846="Problem Call",K846="Explosive Alert"),10000000,20000000),0)+IF(C846&gt;=CALL_LOOKUP_BOARD!$B$7,J846*1000+MIN(C846,999),C846*1000+J846)+0.00996400)</f>
        <v>1100.009964</v>
      </c>
      <c r="U846" s="2">
        <f>IF(C846=0,"",IF(COUNTIFS($S$811:$S$1055,SUBSTITUTE(SUBSTITUTE(SUBSTITUTE(S846,"~","~~"),"*","~*"),"?","~?"),$T$811:$T$1055,"&gt;"&amp;T846)=0,S846,""))</f>
        <v/>
      </c>
    </row>
    <row r="847" spans="1:21" ht="38" customHeight="1">
      <c r="A847" s="8" t="s">
        <v>462</v>
      </c>
      <c r="B847" s="8" t="s">
        <v>46</v>
      </c>
      <c r="C847" s="12">
        <f>COUNTIFS('DEF_SELF_SCOUT_IMPORT'!$L$42:$L$1040,"Y",'DEF_SELF_SCOUT_IMPORT'!$E$42:$E$1040,SUBSTITUTE(SUBSTITUTE(SUBSTITUTE($B847,"~","~~"),"*","~*"),"?","~?"),'DEF_SELF_SCOUT_IMPORT'!$Q$42:$Q$1040,SUBSTITUTE(SUBSTITUTE(SUBSTITUTE($M847,"~","~~"),"*","~*"),"?","~?"),'DEF_SELF_SCOUT_IMPORT'!$D$42:$D$1040,SUBSTITUTE(SUBSTITUTE(SUBSTITUTE($P847,"~","~~"),"*","~*"),"?","~?"))</f>
        <v>1</v>
      </c>
      <c r="D847" s="10">
        <f>IF($C847=0,"",SUMIFS('DEF_SELF_SCOUT_IMPORT'!$J$42:$J$1040,'DEF_SELF_SCOUT_IMPORT'!$L$42:$L$1040,"Y",'DEF_SELF_SCOUT_IMPORT'!$E$42:$E$1040,SUBSTITUTE(SUBSTITUTE(SUBSTITUTE($B847,"~","~~"),"*","~*"),"?","~?"),'DEF_SELF_SCOUT_IMPORT'!$Q$42:$Q$1040,SUBSTITUTE(SUBSTITUTE(SUBSTITUTE($M847,"~","~~"),"*","~*"),"?","~?"),'DEF_SELF_SCOUT_IMPORT'!$D$42:$D$1040,SUBSTITUTE(SUBSTITUTE(SUBSTITUTE($P847,"~","~~"),"*","~*"),"?","~?"))/$C847)</f>
        <v>1.0</v>
      </c>
      <c r="E847" s="10">
        <f>IF($C847=0,"",SUMIFS('DEF_SELF_SCOUT_IMPORT'!$K$42:$K$1040,'DEF_SELF_SCOUT_IMPORT'!$L$42:$L$1040,"Y",'DEF_SELF_SCOUT_IMPORT'!$E$42:$E$1040,SUBSTITUTE(SUBSTITUTE(SUBSTITUTE($B847,"~","~~"),"*","~*"),"?","~?"),'DEF_SELF_SCOUT_IMPORT'!$Q$42:$Q$1040,SUBSTITUTE(SUBSTITUTE(SUBSTITUTE($M847,"~","~~"),"*","~*"),"?","~?"),'DEF_SELF_SCOUT_IMPORT'!$D$42:$D$1040,SUBSTITUTE(SUBSTITUTE(SUBSTITUTE($P847,"~","~~"),"*","~*"),"?","~?"))/$C847)</f>
        <v>0.0</v>
      </c>
      <c r="F847" s="11">
        <f>IF($C847=0,"",AVERAGEIFS('DEF_SELF_SCOUT_IMPORT'!$I$42:$I$1040,'DEF_SELF_SCOUT_IMPORT'!$L$42:$L$1040,"Y",'DEF_SELF_SCOUT_IMPORT'!$E$42:$E$1040,SUBSTITUTE(SUBSTITUTE(SUBSTITUTE($B847,"~","~~"),"*","~*"),"?","~?"),'DEF_SELF_SCOUT_IMPORT'!$Q$42:$Q$1040,SUBSTITUTE(SUBSTITUTE(SUBSTITUTE($M847,"~","~~"),"*","~*"),"?","~?"),'DEF_SELF_SCOUT_IMPORT'!$D$42:$D$1040,SUBSTITUTE(SUBSTITUTE(SUBSTITUTE($P847,"~","~~"),"*","~*"),"?","~?")))</f>
        <v>0.0</v>
      </c>
      <c r="G847" s="10">
        <f>IF($C847=0,"",COUNTIFS('DEF_SELF_SCOUT_IMPORT'!$L$42:$L$1040,"Y",'DEF_SELF_SCOUT_IMPORT'!$E$42:$E$1040,SUBSTITUTE(SUBSTITUTE(SUBSTITUTE($B847,"~","~~"),"*","~*"),"?","~?"),'DEF_SELF_SCOUT_IMPORT'!$Q$42:$Q$1040,SUBSTITUTE(SUBSTITUTE(SUBSTITUTE($M847,"~","~~"),"*","~*"),"?","~?"),'DEF_SELF_SCOUT_IMPORT'!$D$42:$D$1040,SUBSTITUTE(SUBSTITUTE(SUBSTITUTE($P847,"~","~~"),"*","~*"),"?","~?"),'DEF_SELF_SCOUT_IMPORT'!$H$42:$H$1040,"RUSH")/$C847)</f>
        <v>1.0</v>
      </c>
      <c r="H847" s="10">
        <f>IF($C847=0,"",COUNTIFS('DEF_SELF_SCOUT_IMPORT'!$L$42:$L$1040,"Y",'DEF_SELF_SCOUT_IMPORT'!$E$42:$E$1040,SUBSTITUTE(SUBSTITUTE(SUBSTITUTE($B847,"~","~~"),"*","~*"),"?","~?"),'DEF_SELF_SCOUT_IMPORT'!$Q$42:$Q$1040,SUBSTITUTE(SUBSTITUTE(SUBSTITUTE($M847,"~","~~"),"*","~*"),"?","~?"),'DEF_SELF_SCOUT_IMPORT'!$D$42:$D$1040,SUBSTITUTE(SUBSTITUTE(SUBSTITUTE($P847,"~","~~"),"*","~*"),"?","~?"),'DEF_SELF_SCOUT_IMPORT'!$H$42:$H$1040,"DROPBACK")/$C847)</f>
        <v>0.0</v>
      </c>
      <c r="I847" s="14" t="str">
        <f>IF(C847=0,"",IF(C847&lt;=2,"TRACK",IF(C847=3,"LOW",IF(C847&lt;=6,"MEDIUM","HIGH"))))</f>
        <v>TRACK</v>
      </c>
      <c r="J847" s="11">
        <f>IF(C847=0,"",ROUND(D847*70+(1-E847)*20+MAX(0,MIN(1,(10-F847)/10))*10,1))</f>
        <v>100.0</v>
      </c>
      <c r="K847" s="14" t="str">
        <f>IF(C847=0,"No Evidence",IF(C847&lt;=2,IF(E847&gt;0,"Explosive Alert","Track Only"),IF(C847=3,"Sample Watch",IF(E847&gt;=START_HERE!$B$31,"Explosive Alert",IF(J847&gt;=80,"Strong Candidate",IF(J847&gt;=65,"Good Candidate",IF(J847&gt;=50,"Mixed / Review","Problem Call")))))))</f>
        <v>Track Only</v>
      </c>
      <c r="L847" s="9" t="str">
        <f>IF(COUNTIFS('DEF_SELF_SCOUT_IMPORT'!$L$42:$L$1040,"Y",'DEF_SELF_SCOUT_IMPORT'!$E$42:$E$1040,SUBSTITUTE(SUBSTITUTE(SUBSTITUTE($B847,"~","~~"),"*","~*"),"?","~?"),'DEF_SELF_SCOUT_IMPORT'!$Q$42:$Q$1040,SUBSTITUTE(SUBSTITUTE(SUBSTITUTE($M847,"~","~~"),"*","~*"),"?","~?"),'DEF_SELF_SCOUT_IMPORT'!$D$42:$D$1040,SUBSTITUTE(SUBSTITUTE(SUBSTITUTE($P847,"~","~~"),"*","~*"),"?","~?"),'DEF_SELF_SCOUT_IMPORT'!$J$42:$J$1040,"")&gt;0,"Unscored clean outcome; review result tags before using score.",IF(C847=0,"No matching defensive reps; film confirmation needed.",IF(K847="Explosive Alert","Explosive risk; review clips before using as answer.",IF(C847&lt;=2,"Track only; not enough sample.",IF(C847=3,IF(E847&gt;0,"Sample watch with explosive exposure; review clips and build the sample.",IF(J847&gt;=65,"Good signal, but sample is limited.","Sample watch; review clips and build the sample.")),IF(K847="Problem Call","Problem area; practice or call-sheet review.",IF(K847="Strong Candidate","Strong call-fit candidate; confirm on film.",IF(K847="Good Candidate","Good call-fit signal; confirm on film.","Mixed signal; review fit and execution on film."))))))))</f>
        <v>Track only; not enough sample.</v>
      </c>
      <c r="M847" s="8" t="s">
        <v>39</v>
      </c>
      <c r="N847" s="8"/>
      <c r="O847" s="8"/>
      <c r="P847" s="8" t="s">
        <v>428</v>
      </c>
      <c r="Q847" s="8"/>
      <c r="R847" s="8" t="s">
        <v>429</v>
      </c>
      <c r="S847" s="2" t="s">
        <v>463</v>
      </c>
      <c r="T847" s="2">
        <f>IF(C847=0,0,IF(C847&gt;=CALL_LOOKUP_BOARD!$B$7,IF(OR(K847="Problem Call",K847="Explosive Alert"),10000000,20000000),0)+IF(C847&gt;=CALL_LOOKUP_BOARD!$B$7,J847*1000+MIN(C847,999),C847*1000+J847)+0.00996300)</f>
        <v>1100.009963</v>
      </c>
      <c r="U847" s="2">
        <f>IF(C847=0,"",IF(COUNTIFS($S$811:$S$1055,SUBSTITUTE(SUBSTITUTE(SUBSTITUTE(S847,"~","~~"),"*","~*"),"?","~?"),$T$811:$T$1055,"&gt;"&amp;T847)=0,S847,""))</f>
        <v/>
      </c>
    </row>
    <row r="848" spans="1:21" ht="38" customHeight="1">
      <c r="A848" s="8" t="s">
        <v>462</v>
      </c>
      <c r="B848" s="8" t="s">
        <v>34</v>
      </c>
      <c r="C848" s="12">
        <f>COUNTIFS('DEF_SELF_SCOUT_IMPORT'!$L$42:$L$1040,"Y",'DEF_SELF_SCOUT_IMPORT'!$E$42:$E$1040,SUBSTITUTE(SUBSTITUTE(SUBSTITUTE($B848,"~","~~"),"*","~*"),"?","~?"),'DEF_SELF_SCOUT_IMPORT'!$Q$42:$Q$1040,SUBSTITUTE(SUBSTITUTE(SUBSTITUTE($M848,"~","~~"),"*","~*"),"?","~?"),'DEF_SELF_SCOUT_IMPORT'!$D$42:$D$1040,SUBSTITUTE(SUBSTITUTE(SUBSTITUTE($P848,"~","~~"),"*","~*"),"?","~?"))</f>
        <v>1</v>
      </c>
      <c r="D848" s="10">
        <f>IF($C848=0,"",SUMIFS('DEF_SELF_SCOUT_IMPORT'!$J$42:$J$1040,'DEF_SELF_SCOUT_IMPORT'!$L$42:$L$1040,"Y",'DEF_SELF_SCOUT_IMPORT'!$E$42:$E$1040,SUBSTITUTE(SUBSTITUTE(SUBSTITUTE($B848,"~","~~"),"*","~*"),"?","~?"),'DEF_SELF_SCOUT_IMPORT'!$Q$42:$Q$1040,SUBSTITUTE(SUBSTITUTE(SUBSTITUTE($M848,"~","~~"),"*","~*"),"?","~?"),'DEF_SELF_SCOUT_IMPORT'!$D$42:$D$1040,SUBSTITUTE(SUBSTITUTE(SUBSTITUTE($P848,"~","~~"),"*","~*"),"?","~?"))/$C848)</f>
        <v>0.0</v>
      </c>
      <c r="E848" s="10">
        <f>IF($C848=0,"",SUMIFS('DEF_SELF_SCOUT_IMPORT'!$K$42:$K$1040,'DEF_SELF_SCOUT_IMPORT'!$L$42:$L$1040,"Y",'DEF_SELF_SCOUT_IMPORT'!$E$42:$E$1040,SUBSTITUTE(SUBSTITUTE(SUBSTITUTE($B848,"~","~~"),"*","~*"),"?","~?"),'DEF_SELF_SCOUT_IMPORT'!$Q$42:$Q$1040,SUBSTITUTE(SUBSTITUTE(SUBSTITUTE($M848,"~","~~"),"*","~*"),"?","~?"),'DEF_SELF_SCOUT_IMPORT'!$D$42:$D$1040,SUBSTITUTE(SUBSTITUTE(SUBSTITUTE($P848,"~","~~"),"*","~*"),"?","~?"))/$C848)</f>
        <v>1.0</v>
      </c>
      <c r="F848" s="11">
        <f>IF($C848=0,"",AVERAGEIFS('DEF_SELF_SCOUT_IMPORT'!$I$42:$I$1040,'DEF_SELF_SCOUT_IMPORT'!$L$42:$L$1040,"Y",'DEF_SELF_SCOUT_IMPORT'!$E$42:$E$1040,SUBSTITUTE(SUBSTITUTE(SUBSTITUTE($B848,"~","~~"),"*","~*"),"?","~?"),'DEF_SELF_SCOUT_IMPORT'!$Q$42:$Q$1040,SUBSTITUTE(SUBSTITUTE(SUBSTITUTE($M848,"~","~~"),"*","~*"),"?","~?"),'DEF_SELF_SCOUT_IMPORT'!$D$42:$D$1040,SUBSTITUTE(SUBSTITUTE(SUBSTITUTE($P848,"~","~~"),"*","~*"),"?","~?")))</f>
        <v>52.0</v>
      </c>
      <c r="G848" s="10">
        <f>IF($C848=0,"",COUNTIFS('DEF_SELF_SCOUT_IMPORT'!$L$42:$L$1040,"Y",'DEF_SELF_SCOUT_IMPORT'!$E$42:$E$1040,SUBSTITUTE(SUBSTITUTE(SUBSTITUTE($B848,"~","~~"),"*","~*"),"?","~?"),'DEF_SELF_SCOUT_IMPORT'!$Q$42:$Q$1040,SUBSTITUTE(SUBSTITUTE(SUBSTITUTE($M848,"~","~~"),"*","~*"),"?","~?"),'DEF_SELF_SCOUT_IMPORT'!$D$42:$D$1040,SUBSTITUTE(SUBSTITUTE(SUBSTITUTE($P848,"~","~~"),"*","~*"),"?","~?"),'DEF_SELF_SCOUT_IMPORT'!$H$42:$H$1040,"RUSH")/$C848)</f>
        <v>0.0</v>
      </c>
      <c r="H848" s="10">
        <f>IF($C848=0,"",COUNTIFS('DEF_SELF_SCOUT_IMPORT'!$L$42:$L$1040,"Y",'DEF_SELF_SCOUT_IMPORT'!$E$42:$E$1040,SUBSTITUTE(SUBSTITUTE(SUBSTITUTE($B848,"~","~~"),"*","~*"),"?","~?"),'DEF_SELF_SCOUT_IMPORT'!$Q$42:$Q$1040,SUBSTITUTE(SUBSTITUTE(SUBSTITUTE($M848,"~","~~"),"*","~*"),"?","~?"),'DEF_SELF_SCOUT_IMPORT'!$D$42:$D$1040,SUBSTITUTE(SUBSTITUTE(SUBSTITUTE($P848,"~","~~"),"*","~*"),"?","~?"),'DEF_SELF_SCOUT_IMPORT'!$H$42:$H$1040,"DROPBACK")/$C848)</f>
        <v>0.0</v>
      </c>
      <c r="I848" s="14" t="str">
        <f>IF(C848=0,"",IF(C848&lt;=2,"TRACK",IF(C848=3,"LOW",IF(C848&lt;=6,"MEDIUM","HIGH"))))</f>
        <v>TRACK</v>
      </c>
      <c r="J848" s="11">
        <f>IF(C848=0,"",ROUND(D848*70+(1-E848)*20+MAX(0,MIN(1,(10-F848)/10))*10,1))</f>
        <v>0.0</v>
      </c>
      <c r="K848" s="14" t="str">
        <f>IF(C848=0,"No Evidence",IF(C848&lt;=2,IF(E848&gt;0,"Explosive Alert","Track Only"),IF(C848=3,"Sample Watch",IF(E848&gt;=START_HERE!$B$31,"Explosive Alert",IF(J848&gt;=80,"Strong Candidate",IF(J848&gt;=65,"Good Candidate",IF(J848&gt;=50,"Mixed / Review","Problem Call")))))))</f>
        <v>Explosive Alert</v>
      </c>
      <c r="L848" s="9" t="str">
        <f>IF(COUNTIFS('DEF_SELF_SCOUT_IMPORT'!$L$42:$L$1040,"Y",'DEF_SELF_SCOUT_IMPORT'!$E$42:$E$1040,SUBSTITUTE(SUBSTITUTE(SUBSTITUTE($B848,"~","~~"),"*","~*"),"?","~?"),'DEF_SELF_SCOUT_IMPORT'!$Q$42:$Q$1040,SUBSTITUTE(SUBSTITUTE(SUBSTITUTE($M848,"~","~~"),"*","~*"),"?","~?"),'DEF_SELF_SCOUT_IMPORT'!$D$42:$D$1040,SUBSTITUTE(SUBSTITUTE(SUBSTITUTE($P848,"~","~~"),"*","~*"),"?","~?"),'DEF_SELF_SCOUT_IMPORT'!$J$42:$J$1040,"")&gt;0,"Unscored clean outcome; review result tags before using score.",IF(C848=0,"No matching defensive reps; film confirmation needed.",IF(K848="Explosive Alert","Explosive risk; review clips before using as answer.",IF(C848&lt;=2,"Track only; not enough sample.",IF(C848=3,IF(E848&gt;0,"Sample watch with explosive exposure; review clips and build the sample.",IF(J848&gt;=65,"Good signal, but sample is limited.","Sample watch; review clips and build the sample.")),IF(K848="Problem Call","Problem area; practice or call-sheet review.",IF(K848="Strong Candidate","Strong call-fit candidate; confirm on film.",IF(K848="Good Candidate","Good call-fit signal; confirm on film.","Mixed signal; review fit and execution on film."))))))))</f>
        <v>Explosive risk; review clips before using as answer.</v>
      </c>
      <c r="M848" s="8" t="s">
        <v>39</v>
      </c>
      <c r="N848" s="8"/>
      <c r="O848" s="8"/>
      <c r="P848" s="8" t="s">
        <v>428</v>
      </c>
      <c r="Q848" s="8"/>
      <c r="R848" s="8" t="s">
        <v>429</v>
      </c>
      <c r="S848" s="2" t="s">
        <v>463</v>
      </c>
      <c r="T848" s="2">
        <f>IF(C848=0,0,IF(C848&gt;=CALL_LOOKUP_BOARD!$B$7,IF(OR(K848="Problem Call",K848="Explosive Alert"),10000000,20000000),0)+IF(C848&gt;=CALL_LOOKUP_BOARD!$B$7,J848*1000+MIN(C848,999),C848*1000+J848)+0.00996200)</f>
        <v>1000.009962</v>
      </c>
      <c r="U848" s="2">
        <f>IF(C848=0,"",IF(COUNTIFS($S$811:$S$1055,SUBSTITUTE(SUBSTITUTE(SUBSTITUTE(S848,"~","~~"),"*","~*"),"?","~?"),$T$811:$T$1055,"&gt;"&amp;T848)=0,S848,""))</f>
        <v/>
      </c>
    </row>
    <row r="849" spans="1:21" ht="38" customHeight="1">
      <c r="A849" s="8" t="s">
        <v>462</v>
      </c>
      <c r="B849" s="8" t="s">
        <v>51</v>
      </c>
      <c r="C849" s="12">
        <f>COUNTIFS('DEF_SELF_SCOUT_IMPORT'!$L$42:$L$1040,"Y",'DEF_SELF_SCOUT_IMPORT'!$E$42:$E$1040,SUBSTITUTE(SUBSTITUTE(SUBSTITUTE($B849,"~","~~"),"*","~*"),"?","~?"),'DEF_SELF_SCOUT_IMPORT'!$Q$42:$Q$1040,SUBSTITUTE(SUBSTITUTE(SUBSTITUTE($M849,"~","~~"),"*","~*"),"?","~?"),'DEF_SELF_SCOUT_IMPORT'!$D$42:$D$1040,SUBSTITUTE(SUBSTITUTE(SUBSTITUTE($P849,"~","~~"),"*","~*"),"?","~?"))</f>
        <v>1</v>
      </c>
      <c r="D849" s="10">
        <f>IF($C849=0,"",SUMIFS('DEF_SELF_SCOUT_IMPORT'!$J$42:$J$1040,'DEF_SELF_SCOUT_IMPORT'!$L$42:$L$1040,"Y",'DEF_SELF_SCOUT_IMPORT'!$E$42:$E$1040,SUBSTITUTE(SUBSTITUTE(SUBSTITUTE($B849,"~","~~"),"*","~*"),"?","~?"),'DEF_SELF_SCOUT_IMPORT'!$Q$42:$Q$1040,SUBSTITUTE(SUBSTITUTE(SUBSTITUTE($M849,"~","~~"),"*","~*"),"?","~?"),'DEF_SELF_SCOUT_IMPORT'!$D$42:$D$1040,SUBSTITUTE(SUBSTITUTE(SUBSTITUTE($P849,"~","~~"),"*","~*"),"?","~?"))/$C849)</f>
        <v>0.0</v>
      </c>
      <c r="E849" s="10">
        <f>IF($C849=0,"",SUMIFS('DEF_SELF_SCOUT_IMPORT'!$K$42:$K$1040,'DEF_SELF_SCOUT_IMPORT'!$L$42:$L$1040,"Y",'DEF_SELF_SCOUT_IMPORT'!$E$42:$E$1040,SUBSTITUTE(SUBSTITUTE(SUBSTITUTE($B849,"~","~~"),"*","~*"),"?","~?"),'DEF_SELF_SCOUT_IMPORT'!$Q$42:$Q$1040,SUBSTITUTE(SUBSTITUTE(SUBSTITUTE($M849,"~","~~"),"*","~*"),"?","~?"),'DEF_SELF_SCOUT_IMPORT'!$D$42:$D$1040,SUBSTITUTE(SUBSTITUTE(SUBSTITUTE($P849,"~","~~"),"*","~*"),"?","~?"))/$C849)</f>
        <v>0.0</v>
      </c>
      <c r="F849" s="11">
        <f>IF($C849=0,"",AVERAGEIFS('DEF_SELF_SCOUT_IMPORT'!$I$42:$I$1040,'DEF_SELF_SCOUT_IMPORT'!$L$42:$L$1040,"Y",'DEF_SELF_SCOUT_IMPORT'!$E$42:$E$1040,SUBSTITUTE(SUBSTITUTE(SUBSTITUTE($B849,"~","~~"),"*","~*"),"?","~?"),'DEF_SELF_SCOUT_IMPORT'!$Q$42:$Q$1040,SUBSTITUTE(SUBSTITUTE(SUBSTITUTE($M849,"~","~~"),"*","~*"),"?","~?"),'DEF_SELF_SCOUT_IMPORT'!$D$42:$D$1040,SUBSTITUTE(SUBSTITUTE(SUBSTITUTE($P849,"~","~~"),"*","~*"),"?","~?")))</f>
        <v>4.0</v>
      </c>
      <c r="G849" s="10">
        <f>IF($C849=0,"",COUNTIFS('DEF_SELF_SCOUT_IMPORT'!$L$42:$L$1040,"Y",'DEF_SELF_SCOUT_IMPORT'!$E$42:$E$1040,SUBSTITUTE(SUBSTITUTE(SUBSTITUTE($B849,"~","~~"),"*","~*"),"?","~?"),'DEF_SELF_SCOUT_IMPORT'!$Q$42:$Q$1040,SUBSTITUTE(SUBSTITUTE(SUBSTITUTE($M849,"~","~~"),"*","~*"),"?","~?"),'DEF_SELF_SCOUT_IMPORT'!$D$42:$D$1040,SUBSTITUTE(SUBSTITUTE(SUBSTITUTE($P849,"~","~~"),"*","~*"),"?","~?"),'DEF_SELF_SCOUT_IMPORT'!$H$42:$H$1040,"RUSH")/$C849)</f>
        <v>1.0</v>
      </c>
      <c r="H849" s="10">
        <f>IF($C849=0,"",COUNTIFS('DEF_SELF_SCOUT_IMPORT'!$L$42:$L$1040,"Y",'DEF_SELF_SCOUT_IMPORT'!$E$42:$E$1040,SUBSTITUTE(SUBSTITUTE(SUBSTITUTE($B849,"~","~~"),"*","~*"),"?","~?"),'DEF_SELF_SCOUT_IMPORT'!$Q$42:$Q$1040,SUBSTITUTE(SUBSTITUTE(SUBSTITUTE($M849,"~","~~"),"*","~*"),"?","~?"),'DEF_SELF_SCOUT_IMPORT'!$D$42:$D$1040,SUBSTITUTE(SUBSTITUTE(SUBSTITUTE($P849,"~","~~"),"*","~*"),"?","~?"),'DEF_SELF_SCOUT_IMPORT'!$H$42:$H$1040,"DROPBACK")/$C849)</f>
        <v>0.0</v>
      </c>
      <c r="I849" s="14" t="str">
        <f>IF(C849=0,"",IF(C849&lt;=2,"TRACK",IF(C849=3,"LOW",IF(C849&lt;=6,"MEDIUM","HIGH"))))</f>
        <v>TRACK</v>
      </c>
      <c r="J849" s="11">
        <f>IF(C849=0,"",ROUND(D849*70+(1-E849)*20+MAX(0,MIN(1,(10-F849)/10))*10,1))</f>
        <v>26.0</v>
      </c>
      <c r="K849" s="14" t="str">
        <f>IF(C849=0,"No Evidence",IF(C849&lt;=2,IF(E849&gt;0,"Explosive Alert","Track Only"),IF(C849=3,"Sample Watch",IF(E849&gt;=START_HERE!$B$31,"Explosive Alert",IF(J849&gt;=80,"Strong Candidate",IF(J849&gt;=65,"Good Candidate",IF(J849&gt;=50,"Mixed / Review","Problem Call")))))))</f>
        <v>Track Only</v>
      </c>
      <c r="L849" s="9" t="str">
        <f>IF(COUNTIFS('DEF_SELF_SCOUT_IMPORT'!$L$42:$L$1040,"Y",'DEF_SELF_SCOUT_IMPORT'!$E$42:$E$1040,SUBSTITUTE(SUBSTITUTE(SUBSTITUTE($B849,"~","~~"),"*","~*"),"?","~?"),'DEF_SELF_SCOUT_IMPORT'!$Q$42:$Q$1040,SUBSTITUTE(SUBSTITUTE(SUBSTITUTE($M849,"~","~~"),"*","~*"),"?","~?"),'DEF_SELF_SCOUT_IMPORT'!$D$42:$D$1040,SUBSTITUTE(SUBSTITUTE(SUBSTITUTE($P849,"~","~~"),"*","~*"),"?","~?"),'DEF_SELF_SCOUT_IMPORT'!$J$42:$J$1040,"")&gt;0,"Unscored clean outcome; review result tags before using score.",IF(C849=0,"No matching defensive reps; film confirmation needed.",IF(K849="Explosive Alert","Explosive risk; review clips before using as answer.",IF(C849&lt;=2,"Track only; not enough sample.",IF(C849=3,IF(E849&gt;0,"Sample watch with explosive exposure; review clips and build the sample.",IF(J849&gt;=65,"Good signal, but sample is limited.","Sample watch; review clips and build the sample.")),IF(K849="Problem Call","Problem area; practice or call-sheet review.",IF(K849="Strong Candidate","Strong call-fit candidate; confirm on film.",IF(K849="Good Candidate","Good call-fit signal; confirm on film.","Mixed signal; review fit and execution on film."))))))))</f>
        <v>Track only; not enough sample.</v>
      </c>
      <c r="M849" s="8" t="s">
        <v>39</v>
      </c>
      <c r="N849" s="8"/>
      <c r="O849" s="8"/>
      <c r="P849" s="8" t="s">
        <v>428</v>
      </c>
      <c r="Q849" s="8"/>
      <c r="R849" s="8" t="s">
        <v>429</v>
      </c>
      <c r="S849" s="2" t="s">
        <v>463</v>
      </c>
      <c r="T849" s="2">
        <f>IF(C849=0,0,IF(C849&gt;=CALL_LOOKUP_BOARD!$B$7,IF(OR(K849="Problem Call",K849="Explosive Alert"),10000000,20000000),0)+IF(C849&gt;=CALL_LOOKUP_BOARD!$B$7,J849*1000+MIN(C849,999),C849*1000+J849)+0.00996100)</f>
        <v>1026.009961</v>
      </c>
      <c r="U849" s="2">
        <f>IF(C849=0,"",IF(COUNTIFS($S$811:$S$1055,SUBSTITUTE(SUBSTITUTE(SUBSTITUTE(S849,"~","~~"),"*","~*"),"?","~?"),$T$811:$T$1055,"&gt;"&amp;T849)=0,S849,""))</f>
        <v/>
      </c>
    </row>
    <row r="850" spans="1:21" ht="38" customHeight="1">
      <c r="A850" s="8" t="s">
        <v>462</v>
      </c>
      <c r="B850" s="8" t="s">
        <v>52</v>
      </c>
      <c r="C850" s="12">
        <f>COUNTIFS('DEF_SELF_SCOUT_IMPORT'!$L$42:$L$1040,"Y",'DEF_SELF_SCOUT_IMPORT'!$E$42:$E$1040,SUBSTITUTE(SUBSTITUTE(SUBSTITUTE($B850,"~","~~"),"*","~*"),"?","~?"),'DEF_SELF_SCOUT_IMPORT'!$Q$42:$Q$1040,SUBSTITUTE(SUBSTITUTE(SUBSTITUTE($M850,"~","~~"),"*","~*"),"?","~?"),'DEF_SELF_SCOUT_IMPORT'!$D$42:$D$1040,SUBSTITUTE(SUBSTITUTE(SUBSTITUTE($P850,"~","~~"),"*","~*"),"?","~?"))</f>
        <v>1</v>
      </c>
      <c r="D850" s="10">
        <f>IF($C850=0,"",SUMIFS('DEF_SELF_SCOUT_IMPORT'!$J$42:$J$1040,'DEF_SELF_SCOUT_IMPORT'!$L$42:$L$1040,"Y",'DEF_SELF_SCOUT_IMPORT'!$E$42:$E$1040,SUBSTITUTE(SUBSTITUTE(SUBSTITUTE($B850,"~","~~"),"*","~*"),"?","~?"),'DEF_SELF_SCOUT_IMPORT'!$Q$42:$Q$1040,SUBSTITUTE(SUBSTITUTE(SUBSTITUTE($M850,"~","~~"),"*","~*"),"?","~?"),'DEF_SELF_SCOUT_IMPORT'!$D$42:$D$1040,SUBSTITUTE(SUBSTITUTE(SUBSTITUTE($P850,"~","~~"),"*","~*"),"?","~?"))/$C850)</f>
        <v>1.0</v>
      </c>
      <c r="E850" s="10">
        <f>IF($C850=0,"",SUMIFS('DEF_SELF_SCOUT_IMPORT'!$K$42:$K$1040,'DEF_SELF_SCOUT_IMPORT'!$L$42:$L$1040,"Y",'DEF_SELF_SCOUT_IMPORT'!$E$42:$E$1040,SUBSTITUTE(SUBSTITUTE(SUBSTITUTE($B850,"~","~~"),"*","~*"),"?","~?"),'DEF_SELF_SCOUT_IMPORT'!$Q$42:$Q$1040,SUBSTITUTE(SUBSTITUTE(SUBSTITUTE($M850,"~","~~"),"*","~*"),"?","~?"),'DEF_SELF_SCOUT_IMPORT'!$D$42:$D$1040,SUBSTITUTE(SUBSTITUTE(SUBSTITUTE($P850,"~","~~"),"*","~*"),"?","~?"))/$C850)</f>
        <v>0.0</v>
      </c>
      <c r="F850" s="11">
        <f>IF($C850=0,"",AVERAGEIFS('DEF_SELF_SCOUT_IMPORT'!$I$42:$I$1040,'DEF_SELF_SCOUT_IMPORT'!$L$42:$L$1040,"Y",'DEF_SELF_SCOUT_IMPORT'!$E$42:$E$1040,SUBSTITUTE(SUBSTITUTE(SUBSTITUTE($B850,"~","~~"),"*","~*"),"?","~?"),'DEF_SELF_SCOUT_IMPORT'!$Q$42:$Q$1040,SUBSTITUTE(SUBSTITUTE(SUBSTITUTE($M850,"~","~~"),"*","~*"),"?","~?"),'DEF_SELF_SCOUT_IMPORT'!$D$42:$D$1040,SUBSTITUTE(SUBSTITUTE(SUBSTITUTE($P850,"~","~~"),"*","~*"),"?","~?")))</f>
        <v>3.0</v>
      </c>
      <c r="G850" s="10">
        <f>IF($C850=0,"",COUNTIFS('DEF_SELF_SCOUT_IMPORT'!$L$42:$L$1040,"Y",'DEF_SELF_SCOUT_IMPORT'!$E$42:$E$1040,SUBSTITUTE(SUBSTITUTE(SUBSTITUTE($B850,"~","~~"),"*","~*"),"?","~?"),'DEF_SELF_SCOUT_IMPORT'!$Q$42:$Q$1040,SUBSTITUTE(SUBSTITUTE(SUBSTITUTE($M850,"~","~~"),"*","~*"),"?","~?"),'DEF_SELF_SCOUT_IMPORT'!$D$42:$D$1040,SUBSTITUTE(SUBSTITUTE(SUBSTITUTE($P850,"~","~~"),"*","~*"),"?","~?"),'DEF_SELF_SCOUT_IMPORT'!$H$42:$H$1040,"RUSH")/$C850)</f>
        <v>1.0</v>
      </c>
      <c r="H850" s="10">
        <f>IF($C850=0,"",COUNTIFS('DEF_SELF_SCOUT_IMPORT'!$L$42:$L$1040,"Y",'DEF_SELF_SCOUT_IMPORT'!$E$42:$E$1040,SUBSTITUTE(SUBSTITUTE(SUBSTITUTE($B850,"~","~~"),"*","~*"),"?","~?"),'DEF_SELF_SCOUT_IMPORT'!$Q$42:$Q$1040,SUBSTITUTE(SUBSTITUTE(SUBSTITUTE($M850,"~","~~"),"*","~*"),"?","~?"),'DEF_SELF_SCOUT_IMPORT'!$D$42:$D$1040,SUBSTITUTE(SUBSTITUTE(SUBSTITUTE($P850,"~","~~"),"*","~*"),"?","~?"),'DEF_SELF_SCOUT_IMPORT'!$H$42:$H$1040,"DROPBACK")/$C850)</f>
        <v>0.0</v>
      </c>
      <c r="I850" s="14" t="str">
        <f>IF(C850=0,"",IF(C850&lt;=2,"TRACK",IF(C850=3,"LOW",IF(C850&lt;=6,"MEDIUM","HIGH"))))</f>
        <v>TRACK</v>
      </c>
      <c r="J850" s="11">
        <f>IF(C850=0,"",ROUND(D850*70+(1-E850)*20+MAX(0,MIN(1,(10-F850)/10))*10,1))</f>
        <v>97.0</v>
      </c>
      <c r="K850" s="14" t="str">
        <f>IF(C850=0,"No Evidence",IF(C850&lt;=2,IF(E850&gt;0,"Explosive Alert","Track Only"),IF(C850=3,"Sample Watch",IF(E850&gt;=START_HERE!$B$31,"Explosive Alert",IF(J850&gt;=80,"Strong Candidate",IF(J850&gt;=65,"Good Candidate",IF(J850&gt;=50,"Mixed / Review","Problem Call")))))))</f>
        <v>Track Only</v>
      </c>
      <c r="L850" s="9" t="str">
        <f>IF(COUNTIFS('DEF_SELF_SCOUT_IMPORT'!$L$42:$L$1040,"Y",'DEF_SELF_SCOUT_IMPORT'!$E$42:$E$1040,SUBSTITUTE(SUBSTITUTE(SUBSTITUTE($B850,"~","~~"),"*","~*"),"?","~?"),'DEF_SELF_SCOUT_IMPORT'!$Q$42:$Q$1040,SUBSTITUTE(SUBSTITUTE(SUBSTITUTE($M850,"~","~~"),"*","~*"),"?","~?"),'DEF_SELF_SCOUT_IMPORT'!$D$42:$D$1040,SUBSTITUTE(SUBSTITUTE(SUBSTITUTE($P850,"~","~~"),"*","~*"),"?","~?"),'DEF_SELF_SCOUT_IMPORT'!$J$42:$J$1040,"")&gt;0,"Unscored clean outcome; review result tags before using score.",IF(C850=0,"No matching defensive reps; film confirmation needed.",IF(K850="Explosive Alert","Explosive risk; review clips before using as answer.",IF(C850&lt;=2,"Track only; not enough sample.",IF(C850=3,IF(E850&gt;0,"Sample watch with explosive exposure; review clips and build the sample.",IF(J850&gt;=65,"Good signal, but sample is limited.","Sample watch; review clips and build the sample.")),IF(K850="Problem Call","Problem area; practice or call-sheet review.",IF(K850="Strong Candidate","Strong call-fit candidate; confirm on film.",IF(K850="Good Candidate","Good call-fit signal; confirm on film.","Mixed signal; review fit and execution on film."))))))))</f>
        <v>Track only; not enough sample.</v>
      </c>
      <c r="M850" s="8" t="s">
        <v>39</v>
      </c>
      <c r="N850" s="8"/>
      <c r="O850" s="8"/>
      <c r="P850" s="8" t="s">
        <v>428</v>
      </c>
      <c r="Q850" s="8"/>
      <c r="R850" s="8" t="s">
        <v>429</v>
      </c>
      <c r="S850" s="2" t="s">
        <v>463</v>
      </c>
      <c r="T850" s="2">
        <f>IF(C850=0,0,IF(C850&gt;=CALL_LOOKUP_BOARD!$B$7,IF(OR(K850="Problem Call",K850="Explosive Alert"),10000000,20000000),0)+IF(C850&gt;=CALL_LOOKUP_BOARD!$B$7,J850*1000+MIN(C850,999),C850*1000+J850)+0.00996000)</f>
        <v>1097.00996</v>
      </c>
      <c r="U850" s="2">
        <f>IF(C850=0,"",IF(COUNTIFS($S$811:$S$1055,SUBSTITUTE(SUBSTITUTE(SUBSTITUTE(S850,"~","~~"),"*","~*"),"?","~?"),$T$811:$T$1055,"&gt;"&amp;T850)=0,S850,""))</f>
        <v/>
      </c>
    </row>
    <row r="851" spans="1:21" ht="38" customHeight="1">
      <c r="A851" s="8" t="s">
        <v>462</v>
      </c>
      <c r="B851" s="8" t="s">
        <v>53</v>
      </c>
      <c r="C851" s="12">
        <f>COUNTIFS('DEF_SELF_SCOUT_IMPORT'!$L$42:$L$1040,"Y",'DEF_SELF_SCOUT_IMPORT'!$E$42:$E$1040,SUBSTITUTE(SUBSTITUTE(SUBSTITUTE($B851,"~","~~"),"*","~*"),"?","~?"),'DEF_SELF_SCOUT_IMPORT'!$Q$42:$Q$1040,SUBSTITUTE(SUBSTITUTE(SUBSTITUTE($M851,"~","~~"),"*","~*"),"?","~?"),'DEF_SELF_SCOUT_IMPORT'!$D$42:$D$1040,SUBSTITUTE(SUBSTITUTE(SUBSTITUTE($P851,"~","~~"),"*","~*"),"?","~?"))</f>
        <v>3</v>
      </c>
      <c r="D851" s="10">
        <f>IF($C851=0,"",SUMIFS('DEF_SELF_SCOUT_IMPORT'!$J$42:$J$1040,'DEF_SELF_SCOUT_IMPORT'!$L$42:$L$1040,"Y",'DEF_SELF_SCOUT_IMPORT'!$E$42:$E$1040,SUBSTITUTE(SUBSTITUTE(SUBSTITUTE($B851,"~","~~"),"*","~*"),"?","~?"),'DEF_SELF_SCOUT_IMPORT'!$Q$42:$Q$1040,SUBSTITUTE(SUBSTITUTE(SUBSTITUTE($M851,"~","~~"),"*","~*"),"?","~?"),'DEF_SELF_SCOUT_IMPORT'!$D$42:$D$1040,SUBSTITUTE(SUBSTITUTE(SUBSTITUTE($P851,"~","~~"),"*","~*"),"?","~?"))/$C851)</f>
        <v>0.3333333333333333</v>
      </c>
      <c r="E851" s="10">
        <f>IF($C851=0,"",SUMIFS('DEF_SELF_SCOUT_IMPORT'!$K$42:$K$1040,'DEF_SELF_SCOUT_IMPORT'!$L$42:$L$1040,"Y",'DEF_SELF_SCOUT_IMPORT'!$E$42:$E$1040,SUBSTITUTE(SUBSTITUTE(SUBSTITUTE($B851,"~","~~"),"*","~*"),"?","~?"),'DEF_SELF_SCOUT_IMPORT'!$Q$42:$Q$1040,SUBSTITUTE(SUBSTITUTE(SUBSTITUTE($M851,"~","~~"),"*","~*"),"?","~?"),'DEF_SELF_SCOUT_IMPORT'!$D$42:$D$1040,SUBSTITUTE(SUBSTITUTE(SUBSTITUTE($P851,"~","~~"),"*","~*"),"?","~?"))/$C851)</f>
        <v>0.0</v>
      </c>
      <c r="F851" s="11">
        <f>IF($C851=0,"",AVERAGEIFS('DEF_SELF_SCOUT_IMPORT'!$I$42:$I$1040,'DEF_SELF_SCOUT_IMPORT'!$L$42:$L$1040,"Y",'DEF_SELF_SCOUT_IMPORT'!$E$42:$E$1040,SUBSTITUTE(SUBSTITUTE(SUBSTITUTE($B851,"~","~~"),"*","~*"),"?","~?"),'DEF_SELF_SCOUT_IMPORT'!$Q$42:$Q$1040,SUBSTITUTE(SUBSTITUTE(SUBSTITUTE($M851,"~","~~"),"*","~*"),"?","~?"),'DEF_SELF_SCOUT_IMPORT'!$D$42:$D$1040,SUBSTITUTE(SUBSTITUTE(SUBSTITUTE($P851,"~","~~"),"*","~*"),"?","~?")))</f>
        <v>5.0</v>
      </c>
      <c r="G851" s="10">
        <f>IF($C851=0,"",COUNTIFS('DEF_SELF_SCOUT_IMPORT'!$L$42:$L$1040,"Y",'DEF_SELF_SCOUT_IMPORT'!$E$42:$E$1040,SUBSTITUTE(SUBSTITUTE(SUBSTITUTE($B851,"~","~~"),"*","~*"),"?","~?"),'DEF_SELF_SCOUT_IMPORT'!$Q$42:$Q$1040,SUBSTITUTE(SUBSTITUTE(SUBSTITUTE($M851,"~","~~"),"*","~*"),"?","~?"),'DEF_SELF_SCOUT_IMPORT'!$D$42:$D$1040,SUBSTITUTE(SUBSTITUTE(SUBSTITUTE($P851,"~","~~"),"*","~*"),"?","~?"),'DEF_SELF_SCOUT_IMPORT'!$H$42:$H$1040,"RUSH")/$C851)</f>
        <v>1.0</v>
      </c>
      <c r="H851" s="10">
        <f>IF($C851=0,"",COUNTIFS('DEF_SELF_SCOUT_IMPORT'!$L$42:$L$1040,"Y",'DEF_SELF_SCOUT_IMPORT'!$E$42:$E$1040,SUBSTITUTE(SUBSTITUTE(SUBSTITUTE($B851,"~","~~"),"*","~*"),"?","~?"),'DEF_SELF_SCOUT_IMPORT'!$Q$42:$Q$1040,SUBSTITUTE(SUBSTITUTE(SUBSTITUTE($M851,"~","~~"),"*","~*"),"?","~?"),'DEF_SELF_SCOUT_IMPORT'!$D$42:$D$1040,SUBSTITUTE(SUBSTITUTE(SUBSTITUTE($P851,"~","~~"),"*","~*"),"?","~?"),'DEF_SELF_SCOUT_IMPORT'!$H$42:$H$1040,"DROPBACK")/$C851)</f>
        <v>0.0</v>
      </c>
      <c r="I851" s="14" t="str">
        <f>IF(C851=0,"",IF(C851&lt;=2,"TRACK",IF(C851=3,"LOW",IF(C851&lt;=6,"MEDIUM","HIGH"))))</f>
        <v>LOW</v>
      </c>
      <c r="J851" s="11">
        <f>IF(C851=0,"",ROUND(D851*70+(1-E851)*20+MAX(0,MIN(1,(10-F851)/10))*10,1))</f>
        <v>48.3</v>
      </c>
      <c r="K851" s="14" t="str">
        <f>IF(C851=0,"No Evidence",IF(C851&lt;=2,IF(E851&gt;0,"Explosive Alert","Track Only"),IF(C851=3,"Sample Watch",IF(E851&gt;=START_HERE!$B$31,"Explosive Alert",IF(J851&gt;=80,"Strong Candidate",IF(J851&gt;=65,"Good Candidate",IF(J851&gt;=50,"Mixed / Review","Problem Call")))))))</f>
        <v>Sample Watch</v>
      </c>
      <c r="L851" s="9" t="str">
        <f>IF(COUNTIFS('DEF_SELF_SCOUT_IMPORT'!$L$42:$L$1040,"Y",'DEF_SELF_SCOUT_IMPORT'!$E$42:$E$1040,SUBSTITUTE(SUBSTITUTE(SUBSTITUTE($B851,"~","~~"),"*","~*"),"?","~?"),'DEF_SELF_SCOUT_IMPORT'!$Q$42:$Q$1040,SUBSTITUTE(SUBSTITUTE(SUBSTITUTE($M851,"~","~~"),"*","~*"),"?","~?"),'DEF_SELF_SCOUT_IMPORT'!$D$42:$D$1040,SUBSTITUTE(SUBSTITUTE(SUBSTITUTE($P851,"~","~~"),"*","~*"),"?","~?"),'DEF_SELF_SCOUT_IMPORT'!$J$42:$J$1040,"")&gt;0,"Unscored clean outcome; review result tags before using score.",IF(C851=0,"No matching defensive reps; film confirmation needed.",IF(K851="Explosive Alert","Explosive risk; review clips before using as answer.",IF(C851&lt;=2,"Track only; not enough sample.",IF(C851=3,IF(E851&gt;0,"Sample watch with explosive exposure; review clips and build the sample.",IF(J851&gt;=65,"Good signal, but sample is limited.","Sample watch; review clips and build the sample.")),IF(K851="Problem Call","Problem area; practice or call-sheet review.",IF(K851="Strong Candidate","Strong call-fit candidate; confirm on film.",IF(K851="Good Candidate","Good call-fit signal; confirm on film.","Mixed signal; review fit and execution on film."))))))))</f>
        <v>Sample watch; review clips and build the sample.</v>
      </c>
      <c r="M851" s="8" t="s">
        <v>39</v>
      </c>
      <c r="N851" s="8"/>
      <c r="O851" s="8"/>
      <c r="P851" s="8" t="s">
        <v>428</v>
      </c>
      <c r="Q851" s="8"/>
      <c r="R851" s="8" t="s">
        <v>429</v>
      </c>
      <c r="S851" s="2" t="s">
        <v>463</v>
      </c>
      <c r="T851" s="2">
        <f>IF(C851=0,0,IF(C851&gt;=CALL_LOOKUP_BOARD!$B$7,IF(OR(K851="Problem Call",K851="Explosive Alert"),10000000,20000000),0)+IF(C851&gt;=CALL_LOOKUP_BOARD!$B$7,J851*1000+MIN(C851,999),C851*1000+J851)+0.00995900)</f>
        <v>3048.309959</v>
      </c>
      <c r="U851" s="2" t="str">
        <f>IF(C851=0,"",IF(COUNTIFS($S$811:$S$1055,SUBSTITUTE(SUBSTITUTE(SUBSTITUTE(S851,"~","~~"),"*","~*"),"?","~?"),$T$811:$T$1055,"&gt;"&amp;T851)=0,S851,""))</f>
        <v>7:1D 7-10|11:INSIDE ZONE|</v>
      </c>
    </row>
    <row r="852" spans="1:21" ht="38" customHeight="1">
      <c r="A852" s="8" t="s">
        <v>462</v>
      </c>
      <c r="B852" s="8" t="s">
        <v>56</v>
      </c>
      <c r="C852" s="12">
        <f>COUNTIFS('DEF_SELF_SCOUT_IMPORT'!$L$42:$L$1040,"Y",'DEF_SELF_SCOUT_IMPORT'!$E$42:$E$1040,SUBSTITUTE(SUBSTITUTE(SUBSTITUTE($B852,"~","~~"),"*","~*"),"?","~?"),'DEF_SELF_SCOUT_IMPORT'!$Q$42:$Q$1040,SUBSTITUTE(SUBSTITUTE(SUBSTITUTE($M852,"~","~~"),"*","~*"),"?","~?"),'DEF_SELF_SCOUT_IMPORT'!$D$42:$D$1040,SUBSTITUTE(SUBSTITUTE(SUBSTITUTE($P852,"~","~~"),"*","~*"),"?","~?"))</f>
        <v>1</v>
      </c>
      <c r="D852" s="10">
        <f>IF($C852=0,"",SUMIFS('DEF_SELF_SCOUT_IMPORT'!$J$42:$J$1040,'DEF_SELF_SCOUT_IMPORT'!$L$42:$L$1040,"Y",'DEF_SELF_SCOUT_IMPORT'!$E$42:$E$1040,SUBSTITUTE(SUBSTITUTE(SUBSTITUTE($B852,"~","~~"),"*","~*"),"?","~?"),'DEF_SELF_SCOUT_IMPORT'!$Q$42:$Q$1040,SUBSTITUTE(SUBSTITUTE(SUBSTITUTE($M852,"~","~~"),"*","~*"),"?","~?"),'DEF_SELF_SCOUT_IMPORT'!$D$42:$D$1040,SUBSTITUTE(SUBSTITUTE(SUBSTITUTE($P852,"~","~~"),"*","~*"),"?","~?"))/$C852)</f>
        <v>0.0</v>
      </c>
      <c r="E852" s="10">
        <f>IF($C852=0,"",SUMIFS('DEF_SELF_SCOUT_IMPORT'!$K$42:$K$1040,'DEF_SELF_SCOUT_IMPORT'!$L$42:$L$1040,"Y",'DEF_SELF_SCOUT_IMPORT'!$E$42:$E$1040,SUBSTITUTE(SUBSTITUTE(SUBSTITUTE($B852,"~","~~"),"*","~*"),"?","~?"),'DEF_SELF_SCOUT_IMPORT'!$Q$42:$Q$1040,SUBSTITUTE(SUBSTITUTE(SUBSTITUTE($M852,"~","~~"),"*","~*"),"?","~?"),'DEF_SELF_SCOUT_IMPORT'!$D$42:$D$1040,SUBSTITUTE(SUBSTITUTE(SUBSTITUTE($P852,"~","~~"),"*","~*"),"?","~?"))/$C852)</f>
        <v>0.0</v>
      </c>
      <c r="F852" s="11">
        <f>IF($C852=0,"",AVERAGEIFS('DEF_SELF_SCOUT_IMPORT'!$I$42:$I$1040,'DEF_SELF_SCOUT_IMPORT'!$L$42:$L$1040,"Y",'DEF_SELF_SCOUT_IMPORT'!$E$42:$E$1040,SUBSTITUTE(SUBSTITUTE(SUBSTITUTE($B852,"~","~~"),"*","~*"),"?","~?"),'DEF_SELF_SCOUT_IMPORT'!$Q$42:$Q$1040,SUBSTITUTE(SUBSTITUTE(SUBSTITUTE($M852,"~","~~"),"*","~*"),"?","~?"),'DEF_SELF_SCOUT_IMPORT'!$D$42:$D$1040,SUBSTITUTE(SUBSTITUTE(SUBSTITUTE($P852,"~","~~"),"*","~*"),"?","~?")))</f>
        <v>4.0</v>
      </c>
      <c r="G852" s="10">
        <f>IF($C852=0,"",COUNTIFS('DEF_SELF_SCOUT_IMPORT'!$L$42:$L$1040,"Y",'DEF_SELF_SCOUT_IMPORT'!$E$42:$E$1040,SUBSTITUTE(SUBSTITUTE(SUBSTITUTE($B852,"~","~~"),"*","~*"),"?","~?"),'DEF_SELF_SCOUT_IMPORT'!$Q$42:$Q$1040,SUBSTITUTE(SUBSTITUTE(SUBSTITUTE($M852,"~","~~"),"*","~*"),"?","~?"),'DEF_SELF_SCOUT_IMPORT'!$D$42:$D$1040,SUBSTITUTE(SUBSTITUTE(SUBSTITUTE($P852,"~","~~"),"*","~*"),"?","~?"),'DEF_SELF_SCOUT_IMPORT'!$H$42:$H$1040,"RUSH")/$C852)</f>
        <v>1.0</v>
      </c>
      <c r="H852" s="10">
        <f>IF($C852=0,"",COUNTIFS('DEF_SELF_SCOUT_IMPORT'!$L$42:$L$1040,"Y",'DEF_SELF_SCOUT_IMPORT'!$E$42:$E$1040,SUBSTITUTE(SUBSTITUTE(SUBSTITUTE($B852,"~","~~"),"*","~*"),"?","~?"),'DEF_SELF_SCOUT_IMPORT'!$Q$42:$Q$1040,SUBSTITUTE(SUBSTITUTE(SUBSTITUTE($M852,"~","~~"),"*","~*"),"?","~?"),'DEF_SELF_SCOUT_IMPORT'!$D$42:$D$1040,SUBSTITUTE(SUBSTITUTE(SUBSTITUTE($P852,"~","~~"),"*","~*"),"?","~?"),'DEF_SELF_SCOUT_IMPORT'!$H$42:$H$1040,"DROPBACK")/$C852)</f>
        <v>0.0</v>
      </c>
      <c r="I852" s="14" t="str">
        <f>IF(C852=0,"",IF(C852&lt;=2,"TRACK",IF(C852=3,"LOW",IF(C852&lt;=6,"MEDIUM","HIGH"))))</f>
        <v>TRACK</v>
      </c>
      <c r="J852" s="11">
        <f>IF(C852=0,"",ROUND(D852*70+(1-E852)*20+MAX(0,MIN(1,(10-F852)/10))*10,1))</f>
        <v>26.0</v>
      </c>
      <c r="K852" s="14" t="str">
        <f>IF(C852=0,"No Evidence",IF(C852&lt;=2,IF(E852&gt;0,"Explosive Alert","Track Only"),IF(C852=3,"Sample Watch",IF(E852&gt;=START_HERE!$B$31,"Explosive Alert",IF(J852&gt;=80,"Strong Candidate",IF(J852&gt;=65,"Good Candidate",IF(J852&gt;=50,"Mixed / Review","Problem Call")))))))</f>
        <v>Track Only</v>
      </c>
      <c r="L852" s="9" t="str">
        <f>IF(COUNTIFS('DEF_SELF_SCOUT_IMPORT'!$L$42:$L$1040,"Y",'DEF_SELF_SCOUT_IMPORT'!$E$42:$E$1040,SUBSTITUTE(SUBSTITUTE(SUBSTITUTE($B852,"~","~~"),"*","~*"),"?","~?"),'DEF_SELF_SCOUT_IMPORT'!$Q$42:$Q$1040,SUBSTITUTE(SUBSTITUTE(SUBSTITUTE($M852,"~","~~"),"*","~*"),"?","~?"),'DEF_SELF_SCOUT_IMPORT'!$D$42:$D$1040,SUBSTITUTE(SUBSTITUTE(SUBSTITUTE($P852,"~","~~"),"*","~*"),"?","~?"),'DEF_SELF_SCOUT_IMPORT'!$J$42:$J$1040,"")&gt;0,"Unscored clean outcome; review result tags before using score.",IF(C852=0,"No matching defensive reps; film confirmation needed.",IF(K852="Explosive Alert","Explosive risk; review clips before using as answer.",IF(C852&lt;=2,"Track only; not enough sample.",IF(C852=3,IF(E852&gt;0,"Sample watch with explosive exposure; review clips and build the sample.",IF(J852&gt;=65,"Good signal, but sample is limited.","Sample watch; review clips and build the sample.")),IF(K852="Problem Call","Problem area; practice or call-sheet review.",IF(K852="Strong Candidate","Strong call-fit candidate; confirm on film.",IF(K852="Good Candidate","Good call-fit signal; confirm on film.","Mixed signal; review fit and execution on film."))))))))</f>
        <v>Track only; not enough sample.</v>
      </c>
      <c r="M852" s="8" t="s">
        <v>39</v>
      </c>
      <c r="N852" s="8"/>
      <c r="O852" s="8"/>
      <c r="P852" s="8" t="s">
        <v>428</v>
      </c>
      <c r="Q852" s="8"/>
      <c r="R852" s="8" t="s">
        <v>429</v>
      </c>
      <c r="S852" s="2" t="s">
        <v>463</v>
      </c>
      <c r="T852" s="2">
        <f>IF(C852=0,0,IF(C852&gt;=CALL_LOOKUP_BOARD!$B$7,IF(OR(K852="Problem Call",K852="Explosive Alert"),10000000,20000000),0)+IF(C852&gt;=CALL_LOOKUP_BOARD!$B$7,J852*1000+MIN(C852,999),C852*1000+J852)+0.00995800)</f>
        <v>1026.009958</v>
      </c>
      <c r="U852" s="2">
        <f>IF(C852=0,"",IF(COUNTIFS($S$811:$S$1055,SUBSTITUTE(SUBSTITUTE(SUBSTITUTE(S852,"~","~~"),"*","~*"),"?","~?"),$T$811:$T$1055,"&gt;"&amp;T852)=0,S852,""))</f>
        <v/>
      </c>
    </row>
    <row r="853" spans="1:21" ht="38" customHeight="1">
      <c r="A853" s="8" t="s">
        <v>462</v>
      </c>
      <c r="B853" s="8" t="s">
        <v>58</v>
      </c>
      <c r="C853" s="12">
        <f>COUNTIFS('DEF_SELF_SCOUT_IMPORT'!$L$42:$L$1040,"Y",'DEF_SELF_SCOUT_IMPORT'!$E$42:$E$1040,SUBSTITUTE(SUBSTITUTE(SUBSTITUTE($B853,"~","~~"),"*","~*"),"?","~?"),'DEF_SELF_SCOUT_IMPORT'!$Q$42:$Q$1040,SUBSTITUTE(SUBSTITUTE(SUBSTITUTE($M853,"~","~~"),"*","~*"),"?","~?"),'DEF_SELF_SCOUT_IMPORT'!$D$42:$D$1040,SUBSTITUTE(SUBSTITUTE(SUBSTITUTE($P853,"~","~~"),"*","~*"),"?","~?"))</f>
        <v>1</v>
      </c>
      <c r="D853" s="10">
        <f>IF($C853=0,"",SUMIFS('DEF_SELF_SCOUT_IMPORT'!$J$42:$J$1040,'DEF_SELF_SCOUT_IMPORT'!$L$42:$L$1040,"Y",'DEF_SELF_SCOUT_IMPORT'!$E$42:$E$1040,SUBSTITUTE(SUBSTITUTE(SUBSTITUTE($B853,"~","~~"),"*","~*"),"?","~?"),'DEF_SELF_SCOUT_IMPORT'!$Q$42:$Q$1040,SUBSTITUTE(SUBSTITUTE(SUBSTITUTE($M853,"~","~~"),"*","~*"),"?","~?"),'DEF_SELF_SCOUT_IMPORT'!$D$42:$D$1040,SUBSTITUTE(SUBSTITUTE(SUBSTITUTE($P853,"~","~~"),"*","~*"),"?","~?"))/$C853)</f>
        <v>1.0</v>
      </c>
      <c r="E853" s="10">
        <f>IF($C853=0,"",SUMIFS('DEF_SELF_SCOUT_IMPORT'!$K$42:$K$1040,'DEF_SELF_SCOUT_IMPORT'!$L$42:$L$1040,"Y",'DEF_SELF_SCOUT_IMPORT'!$E$42:$E$1040,SUBSTITUTE(SUBSTITUTE(SUBSTITUTE($B853,"~","~~"),"*","~*"),"?","~?"),'DEF_SELF_SCOUT_IMPORT'!$Q$42:$Q$1040,SUBSTITUTE(SUBSTITUTE(SUBSTITUTE($M853,"~","~~"),"*","~*"),"?","~?"),'DEF_SELF_SCOUT_IMPORT'!$D$42:$D$1040,SUBSTITUTE(SUBSTITUTE(SUBSTITUTE($P853,"~","~~"),"*","~*"),"?","~?"))/$C853)</f>
        <v>0.0</v>
      </c>
      <c r="F853" s="11">
        <f>IF($C853=0,"",AVERAGEIFS('DEF_SELF_SCOUT_IMPORT'!$I$42:$I$1040,'DEF_SELF_SCOUT_IMPORT'!$L$42:$L$1040,"Y",'DEF_SELF_SCOUT_IMPORT'!$E$42:$E$1040,SUBSTITUTE(SUBSTITUTE(SUBSTITUTE($B853,"~","~~"),"*","~*"),"?","~?"),'DEF_SELF_SCOUT_IMPORT'!$Q$42:$Q$1040,SUBSTITUTE(SUBSTITUTE(SUBSTITUTE($M853,"~","~~"),"*","~*"),"?","~?"),'DEF_SELF_SCOUT_IMPORT'!$D$42:$D$1040,SUBSTITUTE(SUBSTITUTE(SUBSTITUTE($P853,"~","~~"),"*","~*"),"?","~?")))</f>
        <v>1.0</v>
      </c>
      <c r="G853" s="10">
        <f>IF($C853=0,"",COUNTIFS('DEF_SELF_SCOUT_IMPORT'!$L$42:$L$1040,"Y",'DEF_SELF_SCOUT_IMPORT'!$E$42:$E$1040,SUBSTITUTE(SUBSTITUTE(SUBSTITUTE($B853,"~","~~"),"*","~*"),"?","~?"),'DEF_SELF_SCOUT_IMPORT'!$Q$42:$Q$1040,SUBSTITUTE(SUBSTITUTE(SUBSTITUTE($M853,"~","~~"),"*","~*"),"?","~?"),'DEF_SELF_SCOUT_IMPORT'!$D$42:$D$1040,SUBSTITUTE(SUBSTITUTE(SUBSTITUTE($P853,"~","~~"),"*","~*"),"?","~?"),'DEF_SELF_SCOUT_IMPORT'!$H$42:$H$1040,"RUSH")/$C853)</f>
        <v>1.0</v>
      </c>
      <c r="H853" s="10">
        <f>IF($C853=0,"",COUNTIFS('DEF_SELF_SCOUT_IMPORT'!$L$42:$L$1040,"Y",'DEF_SELF_SCOUT_IMPORT'!$E$42:$E$1040,SUBSTITUTE(SUBSTITUTE(SUBSTITUTE($B853,"~","~~"),"*","~*"),"?","~?"),'DEF_SELF_SCOUT_IMPORT'!$Q$42:$Q$1040,SUBSTITUTE(SUBSTITUTE(SUBSTITUTE($M853,"~","~~"),"*","~*"),"?","~?"),'DEF_SELF_SCOUT_IMPORT'!$D$42:$D$1040,SUBSTITUTE(SUBSTITUTE(SUBSTITUTE($P853,"~","~~"),"*","~*"),"?","~?"),'DEF_SELF_SCOUT_IMPORT'!$H$42:$H$1040,"DROPBACK")/$C853)</f>
        <v>0.0</v>
      </c>
      <c r="I853" s="14" t="str">
        <f>IF(C853=0,"",IF(C853&lt;=2,"TRACK",IF(C853=3,"LOW",IF(C853&lt;=6,"MEDIUM","HIGH"))))</f>
        <v>TRACK</v>
      </c>
      <c r="J853" s="11">
        <f>IF(C853=0,"",ROUND(D853*70+(1-E853)*20+MAX(0,MIN(1,(10-F853)/10))*10,1))</f>
        <v>99.0</v>
      </c>
      <c r="K853" s="14" t="str">
        <f>IF(C853=0,"No Evidence",IF(C853&lt;=2,IF(E853&gt;0,"Explosive Alert","Track Only"),IF(C853=3,"Sample Watch",IF(E853&gt;=START_HERE!$B$31,"Explosive Alert",IF(J853&gt;=80,"Strong Candidate",IF(J853&gt;=65,"Good Candidate",IF(J853&gt;=50,"Mixed / Review","Problem Call")))))))</f>
        <v>Track Only</v>
      </c>
      <c r="L853" s="9" t="str">
        <f>IF(COUNTIFS('DEF_SELF_SCOUT_IMPORT'!$L$42:$L$1040,"Y",'DEF_SELF_SCOUT_IMPORT'!$E$42:$E$1040,SUBSTITUTE(SUBSTITUTE(SUBSTITUTE($B853,"~","~~"),"*","~*"),"?","~?"),'DEF_SELF_SCOUT_IMPORT'!$Q$42:$Q$1040,SUBSTITUTE(SUBSTITUTE(SUBSTITUTE($M853,"~","~~"),"*","~*"),"?","~?"),'DEF_SELF_SCOUT_IMPORT'!$D$42:$D$1040,SUBSTITUTE(SUBSTITUTE(SUBSTITUTE($P853,"~","~~"),"*","~*"),"?","~?"),'DEF_SELF_SCOUT_IMPORT'!$J$42:$J$1040,"")&gt;0,"Unscored clean outcome; review result tags before using score.",IF(C853=0,"No matching defensive reps; film confirmation needed.",IF(K853="Explosive Alert","Explosive risk; review clips before using as answer.",IF(C853&lt;=2,"Track only; not enough sample.",IF(C853=3,IF(E853&gt;0,"Sample watch with explosive exposure; review clips and build the sample.",IF(J853&gt;=65,"Good signal, but sample is limited.","Sample watch; review clips and build the sample.")),IF(K853="Problem Call","Problem area; practice or call-sheet review.",IF(K853="Strong Candidate","Strong call-fit candidate; confirm on film.",IF(K853="Good Candidate","Good call-fit signal; confirm on film.","Mixed signal; review fit and execution on film."))))))))</f>
        <v>Track only; not enough sample.</v>
      </c>
      <c r="M853" s="8" t="s">
        <v>39</v>
      </c>
      <c r="N853" s="8"/>
      <c r="O853" s="8"/>
      <c r="P853" s="8" t="s">
        <v>428</v>
      </c>
      <c r="Q853" s="8"/>
      <c r="R853" s="8" t="s">
        <v>429</v>
      </c>
      <c r="S853" s="2" t="s">
        <v>463</v>
      </c>
      <c r="T853" s="2">
        <f>IF(C853=0,0,IF(C853&gt;=CALL_LOOKUP_BOARD!$B$7,IF(OR(K853="Problem Call",K853="Explosive Alert"),10000000,20000000),0)+IF(C853&gt;=CALL_LOOKUP_BOARD!$B$7,J853*1000+MIN(C853,999),C853*1000+J853)+0.00995700)</f>
        <v>1099.009957</v>
      </c>
      <c r="U853" s="2">
        <f>IF(C853=0,"",IF(COUNTIFS($S$811:$S$1055,SUBSTITUTE(SUBSTITUTE(SUBSTITUTE(S853,"~","~~"),"*","~*"),"?","~?"),$T$811:$T$1055,"&gt;"&amp;T853)=0,S853,""))</f>
        <v/>
      </c>
    </row>
    <row r="854" spans="1:21" ht="38" customHeight="1">
      <c r="A854" s="8" t="s">
        <v>462</v>
      </c>
      <c r="B854" s="8" t="s">
        <v>60</v>
      </c>
      <c r="C854" s="12">
        <f>COUNTIFS('DEF_SELF_SCOUT_IMPORT'!$L$42:$L$1040,"Y",'DEF_SELF_SCOUT_IMPORT'!$E$42:$E$1040,SUBSTITUTE(SUBSTITUTE(SUBSTITUTE($B854,"~","~~"),"*","~*"),"?","~?"),'DEF_SELF_SCOUT_IMPORT'!$Q$42:$Q$1040,SUBSTITUTE(SUBSTITUTE(SUBSTITUTE($M854,"~","~~"),"*","~*"),"?","~?"),'DEF_SELF_SCOUT_IMPORT'!$D$42:$D$1040,SUBSTITUTE(SUBSTITUTE(SUBSTITUTE($P854,"~","~~"),"*","~*"),"?","~?"))</f>
        <v>1</v>
      </c>
      <c r="D854" s="10">
        <f>IF($C854=0,"",SUMIFS('DEF_SELF_SCOUT_IMPORT'!$J$42:$J$1040,'DEF_SELF_SCOUT_IMPORT'!$L$42:$L$1040,"Y",'DEF_SELF_SCOUT_IMPORT'!$E$42:$E$1040,SUBSTITUTE(SUBSTITUTE(SUBSTITUTE($B854,"~","~~"),"*","~*"),"?","~?"),'DEF_SELF_SCOUT_IMPORT'!$Q$42:$Q$1040,SUBSTITUTE(SUBSTITUTE(SUBSTITUTE($M854,"~","~~"),"*","~*"),"?","~?"),'DEF_SELF_SCOUT_IMPORT'!$D$42:$D$1040,SUBSTITUTE(SUBSTITUTE(SUBSTITUTE($P854,"~","~~"),"*","~*"),"?","~?"))/$C854)</f>
        <v>0.0</v>
      </c>
      <c r="E854" s="10">
        <f>IF($C854=0,"",SUMIFS('DEF_SELF_SCOUT_IMPORT'!$K$42:$K$1040,'DEF_SELF_SCOUT_IMPORT'!$L$42:$L$1040,"Y",'DEF_SELF_SCOUT_IMPORT'!$E$42:$E$1040,SUBSTITUTE(SUBSTITUTE(SUBSTITUTE($B854,"~","~~"),"*","~*"),"?","~?"),'DEF_SELF_SCOUT_IMPORT'!$Q$42:$Q$1040,SUBSTITUTE(SUBSTITUTE(SUBSTITUTE($M854,"~","~~"),"*","~*"),"?","~?"),'DEF_SELF_SCOUT_IMPORT'!$D$42:$D$1040,SUBSTITUTE(SUBSTITUTE(SUBSTITUTE($P854,"~","~~"),"*","~*"),"?","~?"))/$C854)</f>
        <v>0.0</v>
      </c>
      <c r="F854" s="11">
        <f>IF($C854=0,"",AVERAGEIFS('DEF_SELF_SCOUT_IMPORT'!$I$42:$I$1040,'DEF_SELF_SCOUT_IMPORT'!$L$42:$L$1040,"Y",'DEF_SELF_SCOUT_IMPORT'!$E$42:$E$1040,SUBSTITUTE(SUBSTITUTE(SUBSTITUTE($B854,"~","~~"),"*","~*"),"?","~?"),'DEF_SELF_SCOUT_IMPORT'!$Q$42:$Q$1040,SUBSTITUTE(SUBSTITUTE(SUBSTITUTE($M854,"~","~~"),"*","~*"),"?","~?"),'DEF_SELF_SCOUT_IMPORT'!$D$42:$D$1040,SUBSTITUTE(SUBSTITUTE(SUBSTITUTE($P854,"~","~~"),"*","~*"),"?","~?")))</f>
        <v>4.0</v>
      </c>
      <c r="G854" s="10">
        <f>IF($C854=0,"",COUNTIFS('DEF_SELF_SCOUT_IMPORT'!$L$42:$L$1040,"Y",'DEF_SELF_SCOUT_IMPORT'!$E$42:$E$1040,SUBSTITUTE(SUBSTITUTE(SUBSTITUTE($B854,"~","~~"),"*","~*"),"?","~?"),'DEF_SELF_SCOUT_IMPORT'!$Q$42:$Q$1040,SUBSTITUTE(SUBSTITUTE(SUBSTITUTE($M854,"~","~~"),"*","~*"),"?","~?"),'DEF_SELF_SCOUT_IMPORT'!$D$42:$D$1040,SUBSTITUTE(SUBSTITUTE(SUBSTITUTE($P854,"~","~~"),"*","~*"),"?","~?"),'DEF_SELF_SCOUT_IMPORT'!$H$42:$H$1040,"RUSH")/$C854)</f>
        <v>1.0</v>
      </c>
      <c r="H854" s="10">
        <f>IF($C854=0,"",COUNTIFS('DEF_SELF_SCOUT_IMPORT'!$L$42:$L$1040,"Y",'DEF_SELF_SCOUT_IMPORT'!$E$42:$E$1040,SUBSTITUTE(SUBSTITUTE(SUBSTITUTE($B854,"~","~~"),"*","~*"),"?","~?"),'DEF_SELF_SCOUT_IMPORT'!$Q$42:$Q$1040,SUBSTITUTE(SUBSTITUTE(SUBSTITUTE($M854,"~","~~"),"*","~*"),"?","~?"),'DEF_SELF_SCOUT_IMPORT'!$D$42:$D$1040,SUBSTITUTE(SUBSTITUTE(SUBSTITUTE($P854,"~","~~"),"*","~*"),"?","~?"),'DEF_SELF_SCOUT_IMPORT'!$H$42:$H$1040,"DROPBACK")/$C854)</f>
        <v>0.0</v>
      </c>
      <c r="I854" s="14" t="str">
        <f>IF(C854=0,"",IF(C854&lt;=2,"TRACK",IF(C854=3,"LOW",IF(C854&lt;=6,"MEDIUM","HIGH"))))</f>
        <v>TRACK</v>
      </c>
      <c r="J854" s="11">
        <f>IF(C854=0,"",ROUND(D854*70+(1-E854)*20+MAX(0,MIN(1,(10-F854)/10))*10,1))</f>
        <v>26.0</v>
      </c>
      <c r="K854" s="14" t="str">
        <f>IF(C854=0,"No Evidence",IF(C854&lt;=2,IF(E854&gt;0,"Explosive Alert","Track Only"),IF(C854=3,"Sample Watch",IF(E854&gt;=START_HERE!$B$31,"Explosive Alert",IF(J854&gt;=80,"Strong Candidate",IF(J854&gt;=65,"Good Candidate",IF(J854&gt;=50,"Mixed / Review","Problem Call")))))))</f>
        <v>Track Only</v>
      </c>
      <c r="L854" s="9" t="str">
        <f>IF(COUNTIFS('DEF_SELF_SCOUT_IMPORT'!$L$42:$L$1040,"Y",'DEF_SELF_SCOUT_IMPORT'!$E$42:$E$1040,SUBSTITUTE(SUBSTITUTE(SUBSTITUTE($B854,"~","~~"),"*","~*"),"?","~?"),'DEF_SELF_SCOUT_IMPORT'!$Q$42:$Q$1040,SUBSTITUTE(SUBSTITUTE(SUBSTITUTE($M854,"~","~~"),"*","~*"),"?","~?"),'DEF_SELF_SCOUT_IMPORT'!$D$42:$D$1040,SUBSTITUTE(SUBSTITUTE(SUBSTITUTE($P854,"~","~~"),"*","~*"),"?","~?"),'DEF_SELF_SCOUT_IMPORT'!$J$42:$J$1040,"")&gt;0,"Unscored clean outcome; review result tags before using score.",IF(C854=0,"No matching defensive reps; film confirmation needed.",IF(K854="Explosive Alert","Explosive risk; review clips before using as answer.",IF(C854&lt;=2,"Track only; not enough sample.",IF(C854=3,IF(E854&gt;0,"Sample watch with explosive exposure; review clips and build the sample.",IF(J854&gt;=65,"Good signal, but sample is limited.","Sample watch; review clips and build the sample.")),IF(K854="Problem Call","Problem area; practice or call-sheet review.",IF(K854="Strong Candidate","Strong call-fit candidate; confirm on film.",IF(K854="Good Candidate","Good call-fit signal; confirm on film.","Mixed signal; review fit and execution on film."))))))))</f>
        <v>Track only; not enough sample.</v>
      </c>
      <c r="M854" s="8" t="s">
        <v>39</v>
      </c>
      <c r="N854" s="8"/>
      <c r="O854" s="8"/>
      <c r="P854" s="8" t="s">
        <v>428</v>
      </c>
      <c r="Q854" s="8"/>
      <c r="R854" s="8" t="s">
        <v>429</v>
      </c>
      <c r="S854" s="2" t="s">
        <v>463</v>
      </c>
      <c r="T854" s="2">
        <f>IF(C854=0,0,IF(C854&gt;=CALL_LOOKUP_BOARD!$B$7,IF(OR(K854="Problem Call",K854="Explosive Alert"),10000000,20000000),0)+IF(C854&gt;=CALL_LOOKUP_BOARD!$B$7,J854*1000+MIN(C854,999),C854*1000+J854)+0.00995600)</f>
        <v>1026.009956</v>
      </c>
      <c r="U854" s="2">
        <f>IF(C854=0,"",IF(COUNTIFS($S$811:$S$1055,SUBSTITUTE(SUBSTITUTE(SUBSTITUTE(S854,"~","~~"),"*","~*"),"?","~?"),$T$811:$T$1055,"&gt;"&amp;T854)=0,S854,""))</f>
        <v/>
      </c>
    </row>
    <row r="855" spans="1:21" ht="38" customHeight="1">
      <c r="A855" s="8" t="s">
        <v>462</v>
      </c>
      <c r="B855" s="8" t="s">
        <v>63</v>
      </c>
      <c r="C855" s="12">
        <f>COUNTIFS('DEF_SELF_SCOUT_IMPORT'!$L$42:$L$1040,"Y",'DEF_SELF_SCOUT_IMPORT'!$E$42:$E$1040,SUBSTITUTE(SUBSTITUTE(SUBSTITUTE($B855,"~","~~"),"*","~*"),"?","~?"),'DEF_SELF_SCOUT_IMPORT'!$Q$42:$Q$1040,SUBSTITUTE(SUBSTITUTE(SUBSTITUTE($M855,"~","~~"),"*","~*"),"?","~?"),'DEF_SELF_SCOUT_IMPORT'!$D$42:$D$1040,SUBSTITUTE(SUBSTITUTE(SUBSTITUTE($P855,"~","~~"),"*","~*"),"?","~?"))</f>
        <v>1</v>
      </c>
      <c r="D855" s="10">
        <f>IF($C855=0,"",SUMIFS('DEF_SELF_SCOUT_IMPORT'!$J$42:$J$1040,'DEF_SELF_SCOUT_IMPORT'!$L$42:$L$1040,"Y",'DEF_SELF_SCOUT_IMPORT'!$E$42:$E$1040,SUBSTITUTE(SUBSTITUTE(SUBSTITUTE($B855,"~","~~"),"*","~*"),"?","~?"),'DEF_SELF_SCOUT_IMPORT'!$Q$42:$Q$1040,SUBSTITUTE(SUBSTITUTE(SUBSTITUTE($M855,"~","~~"),"*","~*"),"?","~?"),'DEF_SELF_SCOUT_IMPORT'!$D$42:$D$1040,SUBSTITUTE(SUBSTITUTE(SUBSTITUTE($P855,"~","~~"),"*","~*"),"?","~?"))/$C855)</f>
        <v>0.0</v>
      </c>
      <c r="E855" s="10">
        <f>IF($C855=0,"",SUMIFS('DEF_SELF_SCOUT_IMPORT'!$K$42:$K$1040,'DEF_SELF_SCOUT_IMPORT'!$L$42:$L$1040,"Y",'DEF_SELF_SCOUT_IMPORT'!$E$42:$E$1040,SUBSTITUTE(SUBSTITUTE(SUBSTITUTE($B855,"~","~~"),"*","~*"),"?","~?"),'DEF_SELF_SCOUT_IMPORT'!$Q$42:$Q$1040,SUBSTITUTE(SUBSTITUTE(SUBSTITUTE($M855,"~","~~"),"*","~*"),"?","~?"),'DEF_SELF_SCOUT_IMPORT'!$D$42:$D$1040,SUBSTITUTE(SUBSTITUTE(SUBSTITUTE($P855,"~","~~"),"*","~*"),"?","~?"))/$C855)</f>
        <v>0.0</v>
      </c>
      <c r="F855" s="11">
        <f>IF($C855=0,"",AVERAGEIFS('DEF_SELF_SCOUT_IMPORT'!$I$42:$I$1040,'DEF_SELF_SCOUT_IMPORT'!$L$42:$L$1040,"Y",'DEF_SELF_SCOUT_IMPORT'!$E$42:$E$1040,SUBSTITUTE(SUBSTITUTE(SUBSTITUTE($B855,"~","~~"),"*","~*"),"?","~?"),'DEF_SELF_SCOUT_IMPORT'!$Q$42:$Q$1040,SUBSTITUTE(SUBSTITUTE(SUBSTITUTE($M855,"~","~~"),"*","~*"),"?","~?"),'DEF_SELF_SCOUT_IMPORT'!$D$42:$D$1040,SUBSTITUTE(SUBSTITUTE(SUBSTITUTE($P855,"~","~~"),"*","~*"),"?","~?")))</f>
        <v>7.0</v>
      </c>
      <c r="G855" s="10">
        <f>IF($C855=0,"",COUNTIFS('DEF_SELF_SCOUT_IMPORT'!$L$42:$L$1040,"Y",'DEF_SELF_SCOUT_IMPORT'!$E$42:$E$1040,SUBSTITUTE(SUBSTITUTE(SUBSTITUTE($B855,"~","~~"),"*","~*"),"?","~?"),'DEF_SELF_SCOUT_IMPORT'!$Q$42:$Q$1040,SUBSTITUTE(SUBSTITUTE(SUBSTITUTE($M855,"~","~~"),"*","~*"),"?","~?"),'DEF_SELF_SCOUT_IMPORT'!$D$42:$D$1040,SUBSTITUTE(SUBSTITUTE(SUBSTITUTE($P855,"~","~~"),"*","~*"),"?","~?"),'DEF_SELF_SCOUT_IMPORT'!$H$42:$H$1040,"RUSH")/$C855)</f>
        <v>1.0</v>
      </c>
      <c r="H855" s="10">
        <f>IF($C855=0,"",COUNTIFS('DEF_SELF_SCOUT_IMPORT'!$L$42:$L$1040,"Y",'DEF_SELF_SCOUT_IMPORT'!$E$42:$E$1040,SUBSTITUTE(SUBSTITUTE(SUBSTITUTE($B855,"~","~~"),"*","~*"),"?","~?"),'DEF_SELF_SCOUT_IMPORT'!$Q$42:$Q$1040,SUBSTITUTE(SUBSTITUTE(SUBSTITUTE($M855,"~","~~"),"*","~*"),"?","~?"),'DEF_SELF_SCOUT_IMPORT'!$D$42:$D$1040,SUBSTITUTE(SUBSTITUTE(SUBSTITUTE($P855,"~","~~"),"*","~*"),"?","~?"),'DEF_SELF_SCOUT_IMPORT'!$H$42:$H$1040,"DROPBACK")/$C855)</f>
        <v>0.0</v>
      </c>
      <c r="I855" s="14" t="str">
        <f>IF(C855=0,"",IF(C855&lt;=2,"TRACK",IF(C855=3,"LOW",IF(C855&lt;=6,"MEDIUM","HIGH"))))</f>
        <v>TRACK</v>
      </c>
      <c r="J855" s="11">
        <f>IF(C855=0,"",ROUND(D855*70+(1-E855)*20+MAX(0,MIN(1,(10-F855)/10))*10,1))</f>
        <v>23.0</v>
      </c>
      <c r="K855" s="14" t="str">
        <f>IF(C855=0,"No Evidence",IF(C855&lt;=2,IF(E855&gt;0,"Explosive Alert","Track Only"),IF(C855=3,"Sample Watch",IF(E855&gt;=START_HERE!$B$31,"Explosive Alert",IF(J855&gt;=80,"Strong Candidate",IF(J855&gt;=65,"Good Candidate",IF(J855&gt;=50,"Mixed / Review","Problem Call")))))))</f>
        <v>Track Only</v>
      </c>
      <c r="L855" s="9" t="str">
        <f>IF(COUNTIFS('DEF_SELF_SCOUT_IMPORT'!$L$42:$L$1040,"Y",'DEF_SELF_SCOUT_IMPORT'!$E$42:$E$1040,SUBSTITUTE(SUBSTITUTE(SUBSTITUTE($B855,"~","~~"),"*","~*"),"?","~?"),'DEF_SELF_SCOUT_IMPORT'!$Q$42:$Q$1040,SUBSTITUTE(SUBSTITUTE(SUBSTITUTE($M855,"~","~~"),"*","~*"),"?","~?"),'DEF_SELF_SCOUT_IMPORT'!$D$42:$D$1040,SUBSTITUTE(SUBSTITUTE(SUBSTITUTE($P855,"~","~~"),"*","~*"),"?","~?"),'DEF_SELF_SCOUT_IMPORT'!$J$42:$J$1040,"")&gt;0,"Unscored clean outcome; review result tags before using score.",IF(C855=0,"No matching defensive reps; film confirmation needed.",IF(K855="Explosive Alert","Explosive risk; review clips before using as answer.",IF(C855&lt;=2,"Track only; not enough sample.",IF(C855=3,IF(E855&gt;0,"Sample watch with explosive exposure; review clips and build the sample.",IF(J855&gt;=65,"Good signal, but sample is limited.","Sample watch; review clips and build the sample.")),IF(K855="Problem Call","Problem area; practice or call-sheet review.",IF(K855="Strong Candidate","Strong call-fit candidate; confirm on film.",IF(K855="Good Candidate","Good call-fit signal; confirm on film.","Mixed signal; review fit and execution on film."))))))))</f>
        <v>Track only; not enough sample.</v>
      </c>
      <c r="M855" s="8" t="s">
        <v>39</v>
      </c>
      <c r="N855" s="8"/>
      <c r="O855" s="8"/>
      <c r="P855" s="8" t="s">
        <v>428</v>
      </c>
      <c r="Q855" s="8"/>
      <c r="R855" s="8" t="s">
        <v>429</v>
      </c>
      <c r="S855" s="2" t="s">
        <v>463</v>
      </c>
      <c r="T855" s="2">
        <f>IF(C855=0,0,IF(C855&gt;=CALL_LOOKUP_BOARD!$B$7,IF(OR(K855="Problem Call",K855="Explosive Alert"),10000000,20000000),0)+IF(C855&gt;=CALL_LOOKUP_BOARD!$B$7,J855*1000+MIN(C855,999),C855*1000+J855)+0.00995500)</f>
        <v>1023.009955</v>
      </c>
      <c r="U855" s="2">
        <f>IF(C855=0,"",IF(COUNTIFS($S$811:$S$1055,SUBSTITUTE(SUBSTITUTE(SUBSTITUTE(S855,"~","~~"),"*","~*"),"?","~?"),$T$811:$T$1055,"&gt;"&amp;T855)=0,S855,""))</f>
        <v/>
      </c>
    </row>
    <row r="856" spans="1:21" ht="38" customHeight="1">
      <c r="A856" s="8" t="s">
        <v>462</v>
      </c>
      <c r="B856" s="8" t="s">
        <v>66</v>
      </c>
      <c r="C856" s="12">
        <f>COUNTIFS('DEF_SELF_SCOUT_IMPORT'!$L$42:$L$1040,"Y",'DEF_SELF_SCOUT_IMPORT'!$E$42:$E$1040,SUBSTITUTE(SUBSTITUTE(SUBSTITUTE($B856,"~","~~"),"*","~*"),"?","~?"),'DEF_SELF_SCOUT_IMPORT'!$Q$42:$Q$1040,SUBSTITUTE(SUBSTITUTE(SUBSTITUTE($M856,"~","~~"),"*","~*"),"?","~?"),'DEF_SELF_SCOUT_IMPORT'!$D$42:$D$1040,SUBSTITUTE(SUBSTITUTE(SUBSTITUTE($P856,"~","~~"),"*","~*"),"?","~?"))</f>
        <v>1</v>
      </c>
      <c r="D856" s="10">
        <f>IF($C856=0,"",SUMIFS('DEF_SELF_SCOUT_IMPORT'!$J$42:$J$1040,'DEF_SELF_SCOUT_IMPORT'!$L$42:$L$1040,"Y",'DEF_SELF_SCOUT_IMPORT'!$E$42:$E$1040,SUBSTITUTE(SUBSTITUTE(SUBSTITUTE($B856,"~","~~"),"*","~*"),"?","~?"),'DEF_SELF_SCOUT_IMPORT'!$Q$42:$Q$1040,SUBSTITUTE(SUBSTITUTE(SUBSTITUTE($M856,"~","~~"),"*","~*"),"?","~?"),'DEF_SELF_SCOUT_IMPORT'!$D$42:$D$1040,SUBSTITUTE(SUBSTITUTE(SUBSTITUTE($P856,"~","~~"),"*","~*"),"?","~?"))/$C856)</f>
        <v>1.0</v>
      </c>
      <c r="E856" s="10">
        <f>IF($C856=0,"",SUMIFS('DEF_SELF_SCOUT_IMPORT'!$K$42:$K$1040,'DEF_SELF_SCOUT_IMPORT'!$L$42:$L$1040,"Y",'DEF_SELF_SCOUT_IMPORT'!$E$42:$E$1040,SUBSTITUTE(SUBSTITUTE(SUBSTITUTE($B856,"~","~~"),"*","~*"),"?","~?"),'DEF_SELF_SCOUT_IMPORT'!$Q$42:$Q$1040,SUBSTITUTE(SUBSTITUTE(SUBSTITUTE($M856,"~","~~"),"*","~*"),"?","~?"),'DEF_SELF_SCOUT_IMPORT'!$D$42:$D$1040,SUBSTITUTE(SUBSTITUTE(SUBSTITUTE($P856,"~","~~"),"*","~*"),"?","~?"))/$C856)</f>
        <v>0.0</v>
      </c>
      <c r="F856" s="11">
        <f>IF($C856=0,"",AVERAGEIFS('DEF_SELF_SCOUT_IMPORT'!$I$42:$I$1040,'DEF_SELF_SCOUT_IMPORT'!$L$42:$L$1040,"Y",'DEF_SELF_SCOUT_IMPORT'!$E$42:$E$1040,SUBSTITUTE(SUBSTITUTE(SUBSTITUTE($B856,"~","~~"),"*","~*"),"?","~?"),'DEF_SELF_SCOUT_IMPORT'!$Q$42:$Q$1040,SUBSTITUTE(SUBSTITUTE(SUBSTITUTE($M856,"~","~~"),"*","~*"),"?","~?"),'DEF_SELF_SCOUT_IMPORT'!$D$42:$D$1040,SUBSTITUTE(SUBSTITUTE(SUBSTITUTE($P856,"~","~~"),"*","~*"),"?","~?")))</f>
        <v>3.0</v>
      </c>
      <c r="G856" s="10">
        <f>IF($C856=0,"",COUNTIFS('DEF_SELF_SCOUT_IMPORT'!$L$42:$L$1040,"Y",'DEF_SELF_SCOUT_IMPORT'!$E$42:$E$1040,SUBSTITUTE(SUBSTITUTE(SUBSTITUTE($B856,"~","~~"),"*","~*"),"?","~?"),'DEF_SELF_SCOUT_IMPORT'!$Q$42:$Q$1040,SUBSTITUTE(SUBSTITUTE(SUBSTITUTE($M856,"~","~~"),"*","~*"),"?","~?"),'DEF_SELF_SCOUT_IMPORT'!$D$42:$D$1040,SUBSTITUTE(SUBSTITUTE(SUBSTITUTE($P856,"~","~~"),"*","~*"),"?","~?"),'DEF_SELF_SCOUT_IMPORT'!$H$42:$H$1040,"RUSH")/$C856)</f>
        <v>1.0</v>
      </c>
      <c r="H856" s="10">
        <f>IF($C856=0,"",COUNTIFS('DEF_SELF_SCOUT_IMPORT'!$L$42:$L$1040,"Y",'DEF_SELF_SCOUT_IMPORT'!$E$42:$E$1040,SUBSTITUTE(SUBSTITUTE(SUBSTITUTE($B856,"~","~~"),"*","~*"),"?","~?"),'DEF_SELF_SCOUT_IMPORT'!$Q$42:$Q$1040,SUBSTITUTE(SUBSTITUTE(SUBSTITUTE($M856,"~","~~"),"*","~*"),"?","~?"),'DEF_SELF_SCOUT_IMPORT'!$D$42:$D$1040,SUBSTITUTE(SUBSTITUTE(SUBSTITUTE($P856,"~","~~"),"*","~*"),"?","~?"),'DEF_SELF_SCOUT_IMPORT'!$H$42:$H$1040,"DROPBACK")/$C856)</f>
        <v>0.0</v>
      </c>
      <c r="I856" s="14" t="str">
        <f>IF(C856=0,"",IF(C856&lt;=2,"TRACK",IF(C856=3,"LOW",IF(C856&lt;=6,"MEDIUM","HIGH"))))</f>
        <v>TRACK</v>
      </c>
      <c r="J856" s="11">
        <f>IF(C856=0,"",ROUND(D856*70+(1-E856)*20+MAX(0,MIN(1,(10-F856)/10))*10,1))</f>
        <v>97.0</v>
      </c>
      <c r="K856" s="14" t="str">
        <f>IF(C856=0,"No Evidence",IF(C856&lt;=2,IF(E856&gt;0,"Explosive Alert","Track Only"),IF(C856=3,"Sample Watch",IF(E856&gt;=START_HERE!$B$31,"Explosive Alert",IF(J856&gt;=80,"Strong Candidate",IF(J856&gt;=65,"Good Candidate",IF(J856&gt;=50,"Mixed / Review","Problem Call")))))))</f>
        <v>Track Only</v>
      </c>
      <c r="L856" s="9" t="str">
        <f>IF(COUNTIFS('DEF_SELF_SCOUT_IMPORT'!$L$42:$L$1040,"Y",'DEF_SELF_SCOUT_IMPORT'!$E$42:$E$1040,SUBSTITUTE(SUBSTITUTE(SUBSTITUTE($B856,"~","~~"),"*","~*"),"?","~?"),'DEF_SELF_SCOUT_IMPORT'!$Q$42:$Q$1040,SUBSTITUTE(SUBSTITUTE(SUBSTITUTE($M856,"~","~~"),"*","~*"),"?","~?"),'DEF_SELF_SCOUT_IMPORT'!$D$42:$D$1040,SUBSTITUTE(SUBSTITUTE(SUBSTITUTE($P856,"~","~~"),"*","~*"),"?","~?"),'DEF_SELF_SCOUT_IMPORT'!$J$42:$J$1040,"")&gt;0,"Unscored clean outcome; review result tags before using score.",IF(C856=0,"No matching defensive reps; film confirmation needed.",IF(K856="Explosive Alert","Explosive risk; review clips before using as answer.",IF(C856&lt;=2,"Track only; not enough sample.",IF(C856=3,IF(E856&gt;0,"Sample watch with explosive exposure; review clips and build the sample.",IF(J856&gt;=65,"Good signal, but sample is limited.","Sample watch; review clips and build the sample.")),IF(K856="Problem Call","Problem area; practice or call-sheet review.",IF(K856="Strong Candidate","Strong call-fit candidate; confirm on film.",IF(K856="Good Candidate","Good call-fit signal; confirm on film.","Mixed signal; review fit and execution on film."))))))))</f>
        <v>Track only; not enough sample.</v>
      </c>
      <c r="M856" s="8" t="s">
        <v>39</v>
      </c>
      <c r="N856" s="8"/>
      <c r="O856" s="8"/>
      <c r="P856" s="8" t="s">
        <v>428</v>
      </c>
      <c r="Q856" s="8"/>
      <c r="R856" s="8" t="s">
        <v>429</v>
      </c>
      <c r="S856" s="2" t="s">
        <v>463</v>
      </c>
      <c r="T856" s="2">
        <f>IF(C856=0,0,IF(C856&gt;=CALL_LOOKUP_BOARD!$B$7,IF(OR(K856="Problem Call",K856="Explosive Alert"),10000000,20000000),0)+IF(C856&gt;=CALL_LOOKUP_BOARD!$B$7,J856*1000+MIN(C856,999),C856*1000+J856)+0.00995400)</f>
        <v>1097.009954</v>
      </c>
      <c r="U856" s="2">
        <f>IF(C856=0,"",IF(COUNTIFS($S$811:$S$1055,SUBSTITUTE(SUBSTITUTE(SUBSTITUTE(S856,"~","~~"),"*","~*"),"?","~?"),$T$811:$T$1055,"&gt;"&amp;T856)=0,S856,""))</f>
        <v/>
      </c>
    </row>
    <row r="857" spans="1:21" ht="38" customHeight="1">
      <c r="A857" s="8" t="s">
        <v>462</v>
      </c>
      <c r="B857" s="8" t="s">
        <v>67</v>
      </c>
      <c r="C857" s="12">
        <f>COUNTIFS('DEF_SELF_SCOUT_IMPORT'!$L$42:$L$1040,"Y",'DEF_SELF_SCOUT_IMPORT'!$E$42:$E$1040,SUBSTITUTE(SUBSTITUTE(SUBSTITUTE($B857,"~","~~"),"*","~*"),"?","~?"),'DEF_SELF_SCOUT_IMPORT'!$Q$42:$Q$1040,SUBSTITUTE(SUBSTITUTE(SUBSTITUTE($M857,"~","~~"),"*","~*"),"?","~?"),'DEF_SELF_SCOUT_IMPORT'!$D$42:$D$1040,SUBSTITUTE(SUBSTITUTE(SUBSTITUTE($P857,"~","~~"),"*","~*"),"?","~?"))</f>
        <v>1</v>
      </c>
      <c r="D857" s="10">
        <f>IF($C857=0,"",SUMIFS('DEF_SELF_SCOUT_IMPORT'!$J$42:$J$1040,'DEF_SELF_SCOUT_IMPORT'!$L$42:$L$1040,"Y",'DEF_SELF_SCOUT_IMPORT'!$E$42:$E$1040,SUBSTITUTE(SUBSTITUTE(SUBSTITUTE($B857,"~","~~"),"*","~*"),"?","~?"),'DEF_SELF_SCOUT_IMPORT'!$Q$42:$Q$1040,SUBSTITUTE(SUBSTITUTE(SUBSTITUTE($M857,"~","~~"),"*","~*"),"?","~?"),'DEF_SELF_SCOUT_IMPORT'!$D$42:$D$1040,SUBSTITUTE(SUBSTITUTE(SUBSTITUTE($P857,"~","~~"),"*","~*"),"?","~?"))/$C857)</f>
        <v>1.0</v>
      </c>
      <c r="E857" s="10">
        <f>IF($C857=0,"",SUMIFS('DEF_SELF_SCOUT_IMPORT'!$K$42:$K$1040,'DEF_SELF_SCOUT_IMPORT'!$L$42:$L$1040,"Y",'DEF_SELF_SCOUT_IMPORT'!$E$42:$E$1040,SUBSTITUTE(SUBSTITUTE(SUBSTITUTE($B857,"~","~~"),"*","~*"),"?","~?"),'DEF_SELF_SCOUT_IMPORT'!$Q$42:$Q$1040,SUBSTITUTE(SUBSTITUTE(SUBSTITUTE($M857,"~","~~"),"*","~*"),"?","~?"),'DEF_SELF_SCOUT_IMPORT'!$D$42:$D$1040,SUBSTITUTE(SUBSTITUTE(SUBSTITUTE($P857,"~","~~"),"*","~*"),"?","~?"))/$C857)</f>
        <v>0.0</v>
      </c>
      <c r="F857" s="11">
        <f>IF($C857=0,"",AVERAGEIFS('DEF_SELF_SCOUT_IMPORT'!$I$42:$I$1040,'DEF_SELF_SCOUT_IMPORT'!$L$42:$L$1040,"Y",'DEF_SELF_SCOUT_IMPORT'!$E$42:$E$1040,SUBSTITUTE(SUBSTITUTE(SUBSTITUTE($B857,"~","~~"),"*","~*"),"?","~?"),'DEF_SELF_SCOUT_IMPORT'!$Q$42:$Q$1040,SUBSTITUTE(SUBSTITUTE(SUBSTITUTE($M857,"~","~~"),"*","~*"),"?","~?"),'DEF_SELF_SCOUT_IMPORT'!$D$42:$D$1040,SUBSTITUTE(SUBSTITUTE(SUBSTITUTE($P857,"~","~~"),"*","~*"),"?","~?")))</f>
        <v>-5.0</v>
      </c>
      <c r="G857" s="10">
        <f>IF($C857=0,"",COUNTIFS('DEF_SELF_SCOUT_IMPORT'!$L$42:$L$1040,"Y",'DEF_SELF_SCOUT_IMPORT'!$E$42:$E$1040,SUBSTITUTE(SUBSTITUTE(SUBSTITUTE($B857,"~","~~"),"*","~*"),"?","~?"),'DEF_SELF_SCOUT_IMPORT'!$Q$42:$Q$1040,SUBSTITUTE(SUBSTITUTE(SUBSTITUTE($M857,"~","~~"),"*","~*"),"?","~?"),'DEF_SELF_SCOUT_IMPORT'!$D$42:$D$1040,SUBSTITUTE(SUBSTITUTE(SUBSTITUTE($P857,"~","~~"),"*","~*"),"?","~?"),'DEF_SELF_SCOUT_IMPORT'!$H$42:$H$1040,"RUSH")/$C857)</f>
        <v>1.0</v>
      </c>
      <c r="H857" s="10">
        <f>IF($C857=0,"",COUNTIFS('DEF_SELF_SCOUT_IMPORT'!$L$42:$L$1040,"Y",'DEF_SELF_SCOUT_IMPORT'!$E$42:$E$1040,SUBSTITUTE(SUBSTITUTE(SUBSTITUTE($B857,"~","~~"),"*","~*"),"?","~?"),'DEF_SELF_SCOUT_IMPORT'!$Q$42:$Q$1040,SUBSTITUTE(SUBSTITUTE(SUBSTITUTE($M857,"~","~~"),"*","~*"),"?","~?"),'DEF_SELF_SCOUT_IMPORT'!$D$42:$D$1040,SUBSTITUTE(SUBSTITUTE(SUBSTITUTE($P857,"~","~~"),"*","~*"),"?","~?"),'DEF_SELF_SCOUT_IMPORT'!$H$42:$H$1040,"DROPBACK")/$C857)</f>
        <v>0.0</v>
      </c>
      <c r="I857" s="14" t="str">
        <f>IF(C857=0,"",IF(C857&lt;=2,"TRACK",IF(C857=3,"LOW",IF(C857&lt;=6,"MEDIUM","HIGH"))))</f>
        <v>TRACK</v>
      </c>
      <c r="J857" s="11">
        <f>IF(C857=0,"",ROUND(D857*70+(1-E857)*20+MAX(0,MIN(1,(10-F857)/10))*10,1))</f>
        <v>100.0</v>
      </c>
      <c r="K857" s="14" t="str">
        <f>IF(C857=0,"No Evidence",IF(C857&lt;=2,IF(E857&gt;0,"Explosive Alert","Track Only"),IF(C857=3,"Sample Watch",IF(E857&gt;=START_HERE!$B$31,"Explosive Alert",IF(J857&gt;=80,"Strong Candidate",IF(J857&gt;=65,"Good Candidate",IF(J857&gt;=50,"Mixed / Review","Problem Call")))))))</f>
        <v>Track Only</v>
      </c>
      <c r="L857" s="9" t="str">
        <f>IF(COUNTIFS('DEF_SELF_SCOUT_IMPORT'!$L$42:$L$1040,"Y",'DEF_SELF_SCOUT_IMPORT'!$E$42:$E$1040,SUBSTITUTE(SUBSTITUTE(SUBSTITUTE($B857,"~","~~"),"*","~*"),"?","~?"),'DEF_SELF_SCOUT_IMPORT'!$Q$42:$Q$1040,SUBSTITUTE(SUBSTITUTE(SUBSTITUTE($M857,"~","~~"),"*","~*"),"?","~?"),'DEF_SELF_SCOUT_IMPORT'!$D$42:$D$1040,SUBSTITUTE(SUBSTITUTE(SUBSTITUTE($P857,"~","~~"),"*","~*"),"?","~?"),'DEF_SELF_SCOUT_IMPORT'!$J$42:$J$1040,"")&gt;0,"Unscored clean outcome; review result tags before using score.",IF(C857=0,"No matching defensive reps; film confirmation needed.",IF(K857="Explosive Alert","Explosive risk; review clips before using as answer.",IF(C857&lt;=2,"Track only; not enough sample.",IF(C857=3,IF(E857&gt;0,"Sample watch with explosive exposure; review clips and build the sample.",IF(J857&gt;=65,"Good signal, but sample is limited.","Sample watch; review clips and build the sample.")),IF(K857="Problem Call","Problem area; practice or call-sheet review.",IF(K857="Strong Candidate","Strong call-fit candidate; confirm on film.",IF(K857="Good Candidate","Good call-fit signal; confirm on film.","Mixed signal; review fit and execution on film."))))))))</f>
        <v>Track only; not enough sample.</v>
      </c>
      <c r="M857" s="8" t="s">
        <v>39</v>
      </c>
      <c r="N857" s="8"/>
      <c r="O857" s="8"/>
      <c r="P857" s="8" t="s">
        <v>428</v>
      </c>
      <c r="Q857" s="8"/>
      <c r="R857" s="8" t="s">
        <v>429</v>
      </c>
      <c r="S857" s="2" t="s">
        <v>463</v>
      </c>
      <c r="T857" s="2">
        <f>IF(C857=0,0,IF(C857&gt;=CALL_LOOKUP_BOARD!$B$7,IF(OR(K857="Problem Call",K857="Explosive Alert"),10000000,20000000),0)+IF(C857&gt;=CALL_LOOKUP_BOARD!$B$7,J857*1000+MIN(C857,999),C857*1000+J857)+0.00995300)</f>
        <v>1100.009953</v>
      </c>
      <c r="U857" s="2">
        <f>IF(C857=0,"",IF(COUNTIFS($S$811:$S$1055,SUBSTITUTE(SUBSTITUTE(SUBSTITUTE(S857,"~","~~"),"*","~*"),"?","~?"),$T$811:$T$1055,"&gt;"&amp;T857)=0,S857,""))</f>
        <v/>
      </c>
    </row>
    <row r="858" spans="1:21" ht="38" customHeight="1">
      <c r="A858" s="8" t="s">
        <v>462</v>
      </c>
      <c r="B858" s="8" t="s">
        <v>68</v>
      </c>
      <c r="C858" s="12">
        <f>COUNTIFS('DEF_SELF_SCOUT_IMPORT'!$L$42:$L$1040,"Y",'DEF_SELF_SCOUT_IMPORT'!$E$42:$E$1040,SUBSTITUTE(SUBSTITUTE(SUBSTITUTE($B858,"~","~~"),"*","~*"),"?","~?"),'DEF_SELF_SCOUT_IMPORT'!$Q$42:$Q$1040,SUBSTITUTE(SUBSTITUTE(SUBSTITUTE($M858,"~","~~"),"*","~*"),"?","~?"),'DEF_SELF_SCOUT_IMPORT'!$D$42:$D$1040,SUBSTITUTE(SUBSTITUTE(SUBSTITUTE($P858,"~","~~"),"*","~*"),"?","~?"))</f>
        <v>1</v>
      </c>
      <c r="D858" s="10">
        <f>IF($C858=0,"",SUMIFS('DEF_SELF_SCOUT_IMPORT'!$J$42:$J$1040,'DEF_SELF_SCOUT_IMPORT'!$L$42:$L$1040,"Y",'DEF_SELF_SCOUT_IMPORT'!$E$42:$E$1040,SUBSTITUTE(SUBSTITUTE(SUBSTITUTE($B858,"~","~~"),"*","~*"),"?","~?"),'DEF_SELF_SCOUT_IMPORT'!$Q$42:$Q$1040,SUBSTITUTE(SUBSTITUTE(SUBSTITUTE($M858,"~","~~"),"*","~*"),"?","~?"),'DEF_SELF_SCOUT_IMPORT'!$D$42:$D$1040,SUBSTITUTE(SUBSTITUTE(SUBSTITUTE($P858,"~","~~"),"*","~*"),"?","~?"))/$C858)</f>
        <v>0.0</v>
      </c>
      <c r="E858" s="10">
        <f>IF($C858=0,"",SUMIFS('DEF_SELF_SCOUT_IMPORT'!$K$42:$K$1040,'DEF_SELF_SCOUT_IMPORT'!$L$42:$L$1040,"Y",'DEF_SELF_SCOUT_IMPORT'!$E$42:$E$1040,SUBSTITUTE(SUBSTITUTE(SUBSTITUTE($B858,"~","~~"),"*","~*"),"?","~?"),'DEF_SELF_SCOUT_IMPORT'!$Q$42:$Q$1040,SUBSTITUTE(SUBSTITUTE(SUBSTITUTE($M858,"~","~~"),"*","~*"),"?","~?"),'DEF_SELF_SCOUT_IMPORT'!$D$42:$D$1040,SUBSTITUTE(SUBSTITUTE(SUBSTITUTE($P858,"~","~~"),"*","~*"),"?","~?"))/$C858)</f>
        <v>0.0</v>
      </c>
      <c r="F858" s="11">
        <f>IF($C858=0,"",AVERAGEIFS('DEF_SELF_SCOUT_IMPORT'!$I$42:$I$1040,'DEF_SELF_SCOUT_IMPORT'!$L$42:$L$1040,"Y",'DEF_SELF_SCOUT_IMPORT'!$E$42:$E$1040,SUBSTITUTE(SUBSTITUTE(SUBSTITUTE($B858,"~","~~"),"*","~*"),"?","~?"),'DEF_SELF_SCOUT_IMPORT'!$Q$42:$Q$1040,SUBSTITUTE(SUBSTITUTE(SUBSTITUTE($M858,"~","~~"),"*","~*"),"?","~?"),'DEF_SELF_SCOUT_IMPORT'!$D$42:$D$1040,SUBSTITUTE(SUBSTITUTE(SUBSTITUTE($P858,"~","~~"),"*","~*"),"?","~?")))</f>
        <v>8.0</v>
      </c>
      <c r="G858" s="10">
        <f>IF($C858=0,"",COUNTIFS('DEF_SELF_SCOUT_IMPORT'!$L$42:$L$1040,"Y",'DEF_SELF_SCOUT_IMPORT'!$E$42:$E$1040,SUBSTITUTE(SUBSTITUTE(SUBSTITUTE($B858,"~","~~"),"*","~*"),"?","~?"),'DEF_SELF_SCOUT_IMPORT'!$Q$42:$Q$1040,SUBSTITUTE(SUBSTITUTE(SUBSTITUTE($M858,"~","~~"),"*","~*"),"?","~?"),'DEF_SELF_SCOUT_IMPORT'!$D$42:$D$1040,SUBSTITUTE(SUBSTITUTE(SUBSTITUTE($P858,"~","~~"),"*","~*"),"?","~?"),'DEF_SELF_SCOUT_IMPORT'!$H$42:$H$1040,"RUSH")/$C858)</f>
        <v>0.0</v>
      </c>
      <c r="H858" s="10">
        <f>IF($C858=0,"",COUNTIFS('DEF_SELF_SCOUT_IMPORT'!$L$42:$L$1040,"Y",'DEF_SELF_SCOUT_IMPORT'!$E$42:$E$1040,SUBSTITUTE(SUBSTITUTE(SUBSTITUTE($B858,"~","~~"),"*","~*"),"?","~?"),'DEF_SELF_SCOUT_IMPORT'!$Q$42:$Q$1040,SUBSTITUTE(SUBSTITUTE(SUBSTITUTE($M858,"~","~~"),"*","~*"),"?","~?"),'DEF_SELF_SCOUT_IMPORT'!$D$42:$D$1040,SUBSTITUTE(SUBSTITUTE(SUBSTITUTE($P858,"~","~~"),"*","~*"),"?","~?"),'DEF_SELF_SCOUT_IMPORT'!$H$42:$H$1040,"DROPBACK")/$C858)</f>
        <v>0.0</v>
      </c>
      <c r="I858" s="14" t="str">
        <f>IF(C858=0,"",IF(C858&lt;=2,"TRACK",IF(C858=3,"LOW",IF(C858&lt;=6,"MEDIUM","HIGH"))))</f>
        <v>TRACK</v>
      </c>
      <c r="J858" s="11">
        <f>IF(C858=0,"",ROUND(D858*70+(1-E858)*20+MAX(0,MIN(1,(10-F858)/10))*10,1))</f>
        <v>22.0</v>
      </c>
      <c r="K858" s="14" t="str">
        <f>IF(C858=0,"No Evidence",IF(C858&lt;=2,IF(E858&gt;0,"Explosive Alert","Track Only"),IF(C858=3,"Sample Watch",IF(E858&gt;=START_HERE!$B$31,"Explosive Alert",IF(J858&gt;=80,"Strong Candidate",IF(J858&gt;=65,"Good Candidate",IF(J858&gt;=50,"Mixed / Review","Problem Call")))))))</f>
        <v>Track Only</v>
      </c>
      <c r="L858" s="9" t="str">
        <f>IF(COUNTIFS('DEF_SELF_SCOUT_IMPORT'!$L$42:$L$1040,"Y",'DEF_SELF_SCOUT_IMPORT'!$E$42:$E$1040,SUBSTITUTE(SUBSTITUTE(SUBSTITUTE($B858,"~","~~"),"*","~*"),"?","~?"),'DEF_SELF_SCOUT_IMPORT'!$Q$42:$Q$1040,SUBSTITUTE(SUBSTITUTE(SUBSTITUTE($M858,"~","~~"),"*","~*"),"?","~?"),'DEF_SELF_SCOUT_IMPORT'!$D$42:$D$1040,SUBSTITUTE(SUBSTITUTE(SUBSTITUTE($P858,"~","~~"),"*","~*"),"?","~?"),'DEF_SELF_SCOUT_IMPORT'!$J$42:$J$1040,"")&gt;0,"Unscored clean outcome; review result tags before using score.",IF(C858=0,"No matching defensive reps; film confirmation needed.",IF(K858="Explosive Alert","Explosive risk; review clips before using as answer.",IF(C858&lt;=2,"Track only; not enough sample.",IF(C858=3,IF(E858&gt;0,"Sample watch with explosive exposure; review clips and build the sample.",IF(J858&gt;=65,"Good signal, but sample is limited.","Sample watch; review clips and build the sample.")),IF(K858="Problem Call","Problem area; practice or call-sheet review.",IF(K858="Strong Candidate","Strong call-fit candidate; confirm on film.",IF(K858="Good Candidate","Good call-fit signal; confirm on film.","Mixed signal; review fit and execution on film."))))))))</f>
        <v>Track only; not enough sample.</v>
      </c>
      <c r="M858" s="8" t="s">
        <v>39</v>
      </c>
      <c r="N858" s="8"/>
      <c r="O858" s="8"/>
      <c r="P858" s="8" t="s">
        <v>428</v>
      </c>
      <c r="Q858" s="8"/>
      <c r="R858" s="8" t="s">
        <v>429</v>
      </c>
      <c r="S858" s="2" t="s">
        <v>463</v>
      </c>
      <c r="T858" s="2">
        <f>IF(C858=0,0,IF(C858&gt;=CALL_LOOKUP_BOARD!$B$7,IF(OR(K858="Problem Call",K858="Explosive Alert"),10000000,20000000),0)+IF(C858&gt;=CALL_LOOKUP_BOARD!$B$7,J858*1000+MIN(C858,999),C858*1000+J858)+0.00995200)</f>
        <v>1022.009952</v>
      </c>
      <c r="U858" s="2">
        <f>IF(C858=0,"",IF(COUNTIFS($S$811:$S$1055,SUBSTITUTE(SUBSTITUTE(SUBSTITUTE(S858,"~","~~"),"*","~*"),"?","~?"),$T$811:$T$1055,"&gt;"&amp;T858)=0,S858,""))</f>
        <v/>
      </c>
    </row>
    <row r="859" spans="1:21" ht="38" customHeight="1">
      <c r="A859" s="8" t="s">
        <v>462</v>
      </c>
      <c r="B859" s="8" t="s">
        <v>69</v>
      </c>
      <c r="C859" s="12">
        <f>COUNTIFS('DEF_SELF_SCOUT_IMPORT'!$L$42:$L$1040,"Y",'DEF_SELF_SCOUT_IMPORT'!$E$42:$E$1040,SUBSTITUTE(SUBSTITUTE(SUBSTITUTE($B859,"~","~~"),"*","~*"),"?","~?"),'DEF_SELF_SCOUT_IMPORT'!$Q$42:$Q$1040,SUBSTITUTE(SUBSTITUTE(SUBSTITUTE($M859,"~","~~"),"*","~*"),"?","~?"),'DEF_SELF_SCOUT_IMPORT'!$D$42:$D$1040,SUBSTITUTE(SUBSTITUTE(SUBSTITUTE($P859,"~","~~"),"*","~*"),"?","~?"))</f>
        <v>1</v>
      </c>
      <c r="D859" s="10">
        <f>IF($C859=0,"",SUMIFS('DEF_SELF_SCOUT_IMPORT'!$J$42:$J$1040,'DEF_SELF_SCOUT_IMPORT'!$L$42:$L$1040,"Y",'DEF_SELF_SCOUT_IMPORT'!$E$42:$E$1040,SUBSTITUTE(SUBSTITUTE(SUBSTITUTE($B859,"~","~~"),"*","~*"),"?","~?"),'DEF_SELF_SCOUT_IMPORT'!$Q$42:$Q$1040,SUBSTITUTE(SUBSTITUTE(SUBSTITUTE($M859,"~","~~"),"*","~*"),"?","~?"),'DEF_SELF_SCOUT_IMPORT'!$D$42:$D$1040,SUBSTITUTE(SUBSTITUTE(SUBSTITUTE($P859,"~","~~"),"*","~*"),"?","~?"))/$C859)</f>
        <v>1.0</v>
      </c>
      <c r="E859" s="10">
        <f>IF($C859=0,"",SUMIFS('DEF_SELF_SCOUT_IMPORT'!$K$42:$K$1040,'DEF_SELF_SCOUT_IMPORT'!$L$42:$L$1040,"Y",'DEF_SELF_SCOUT_IMPORT'!$E$42:$E$1040,SUBSTITUTE(SUBSTITUTE(SUBSTITUTE($B859,"~","~~"),"*","~*"),"?","~?"),'DEF_SELF_SCOUT_IMPORT'!$Q$42:$Q$1040,SUBSTITUTE(SUBSTITUTE(SUBSTITUTE($M859,"~","~~"),"*","~*"),"?","~?"),'DEF_SELF_SCOUT_IMPORT'!$D$42:$D$1040,SUBSTITUTE(SUBSTITUTE(SUBSTITUTE($P859,"~","~~"),"*","~*"),"?","~?"))/$C859)</f>
        <v>0.0</v>
      </c>
      <c r="F859" s="11">
        <f>IF($C859=0,"",AVERAGEIFS('DEF_SELF_SCOUT_IMPORT'!$I$42:$I$1040,'DEF_SELF_SCOUT_IMPORT'!$L$42:$L$1040,"Y",'DEF_SELF_SCOUT_IMPORT'!$E$42:$E$1040,SUBSTITUTE(SUBSTITUTE(SUBSTITUTE($B859,"~","~~"),"*","~*"),"?","~?"),'DEF_SELF_SCOUT_IMPORT'!$Q$42:$Q$1040,SUBSTITUTE(SUBSTITUTE(SUBSTITUTE($M859,"~","~~"),"*","~*"),"?","~?"),'DEF_SELF_SCOUT_IMPORT'!$D$42:$D$1040,SUBSTITUTE(SUBSTITUTE(SUBSTITUTE($P859,"~","~~"),"*","~*"),"?","~?")))</f>
        <v>0.0</v>
      </c>
      <c r="G859" s="10">
        <f>IF($C859=0,"",COUNTIFS('DEF_SELF_SCOUT_IMPORT'!$L$42:$L$1040,"Y",'DEF_SELF_SCOUT_IMPORT'!$E$42:$E$1040,SUBSTITUTE(SUBSTITUTE(SUBSTITUTE($B859,"~","~~"),"*","~*"),"?","~?"),'DEF_SELF_SCOUT_IMPORT'!$Q$42:$Q$1040,SUBSTITUTE(SUBSTITUTE(SUBSTITUTE($M859,"~","~~"),"*","~*"),"?","~?"),'DEF_SELF_SCOUT_IMPORT'!$D$42:$D$1040,SUBSTITUTE(SUBSTITUTE(SUBSTITUTE($P859,"~","~~"),"*","~*"),"?","~?"),'DEF_SELF_SCOUT_IMPORT'!$H$42:$H$1040,"RUSH")/$C859)</f>
        <v>1.0</v>
      </c>
      <c r="H859" s="10">
        <f>IF($C859=0,"",COUNTIFS('DEF_SELF_SCOUT_IMPORT'!$L$42:$L$1040,"Y",'DEF_SELF_SCOUT_IMPORT'!$E$42:$E$1040,SUBSTITUTE(SUBSTITUTE(SUBSTITUTE($B859,"~","~~"),"*","~*"),"?","~?"),'DEF_SELF_SCOUT_IMPORT'!$Q$42:$Q$1040,SUBSTITUTE(SUBSTITUTE(SUBSTITUTE($M859,"~","~~"),"*","~*"),"?","~?"),'DEF_SELF_SCOUT_IMPORT'!$D$42:$D$1040,SUBSTITUTE(SUBSTITUTE(SUBSTITUTE($P859,"~","~~"),"*","~*"),"?","~?"),'DEF_SELF_SCOUT_IMPORT'!$H$42:$H$1040,"DROPBACK")/$C859)</f>
        <v>0.0</v>
      </c>
      <c r="I859" s="14" t="str">
        <f>IF(C859=0,"",IF(C859&lt;=2,"TRACK",IF(C859=3,"LOW",IF(C859&lt;=6,"MEDIUM","HIGH"))))</f>
        <v>TRACK</v>
      </c>
      <c r="J859" s="11">
        <f>IF(C859=0,"",ROUND(D859*70+(1-E859)*20+MAX(0,MIN(1,(10-F859)/10))*10,1))</f>
        <v>100.0</v>
      </c>
      <c r="K859" s="14" t="str">
        <f>IF(C859=0,"No Evidence",IF(C859&lt;=2,IF(E859&gt;0,"Explosive Alert","Track Only"),IF(C859=3,"Sample Watch",IF(E859&gt;=START_HERE!$B$31,"Explosive Alert",IF(J859&gt;=80,"Strong Candidate",IF(J859&gt;=65,"Good Candidate",IF(J859&gt;=50,"Mixed / Review","Problem Call")))))))</f>
        <v>Track Only</v>
      </c>
      <c r="L859" s="9" t="str">
        <f>IF(COUNTIFS('DEF_SELF_SCOUT_IMPORT'!$L$42:$L$1040,"Y",'DEF_SELF_SCOUT_IMPORT'!$E$42:$E$1040,SUBSTITUTE(SUBSTITUTE(SUBSTITUTE($B859,"~","~~"),"*","~*"),"?","~?"),'DEF_SELF_SCOUT_IMPORT'!$Q$42:$Q$1040,SUBSTITUTE(SUBSTITUTE(SUBSTITUTE($M859,"~","~~"),"*","~*"),"?","~?"),'DEF_SELF_SCOUT_IMPORT'!$D$42:$D$1040,SUBSTITUTE(SUBSTITUTE(SUBSTITUTE($P859,"~","~~"),"*","~*"),"?","~?"),'DEF_SELF_SCOUT_IMPORT'!$J$42:$J$1040,"")&gt;0,"Unscored clean outcome; review result tags before using score.",IF(C859=0,"No matching defensive reps; film confirmation needed.",IF(K859="Explosive Alert","Explosive risk; review clips before using as answer.",IF(C859&lt;=2,"Track only; not enough sample.",IF(C859=3,IF(E859&gt;0,"Sample watch with explosive exposure; review clips and build the sample.",IF(J859&gt;=65,"Good signal, but sample is limited.","Sample watch; review clips and build the sample.")),IF(K859="Problem Call","Problem area; practice or call-sheet review.",IF(K859="Strong Candidate","Strong call-fit candidate; confirm on film.",IF(K859="Good Candidate","Good call-fit signal; confirm on film.","Mixed signal; review fit and execution on film."))))))))</f>
        <v>Track only; not enough sample.</v>
      </c>
      <c r="M859" s="8" t="s">
        <v>39</v>
      </c>
      <c r="N859" s="8"/>
      <c r="O859" s="8"/>
      <c r="P859" s="8" t="s">
        <v>428</v>
      </c>
      <c r="Q859" s="8"/>
      <c r="R859" s="8" t="s">
        <v>429</v>
      </c>
      <c r="S859" s="2" t="s">
        <v>463</v>
      </c>
      <c r="T859" s="2">
        <f>IF(C859=0,0,IF(C859&gt;=CALL_LOOKUP_BOARD!$B$7,IF(OR(K859="Problem Call",K859="Explosive Alert"),10000000,20000000),0)+IF(C859&gt;=CALL_LOOKUP_BOARD!$B$7,J859*1000+MIN(C859,999),C859*1000+J859)+0.00995100)</f>
        <v>1100.009951</v>
      </c>
      <c r="U859" s="2">
        <f>IF(C859=0,"",IF(COUNTIFS($S$811:$S$1055,SUBSTITUTE(SUBSTITUTE(SUBSTITUTE(S859,"~","~~"),"*","~*"),"?","~?"),$T$811:$T$1055,"&gt;"&amp;T859)=0,S859,""))</f>
        <v/>
      </c>
    </row>
    <row r="860" spans="1:21" ht="38" customHeight="1">
      <c r="A860" s="8" t="s">
        <v>464</v>
      </c>
      <c r="B860" s="8" t="s">
        <v>44</v>
      </c>
      <c r="C860" s="12">
        <f>COUNTIFS('DEF_SELF_SCOUT_IMPORT'!$L$42:$L$1040,"Y",'DEF_SELF_SCOUT_IMPORT'!$E$42:$E$1040,SUBSTITUTE(SUBSTITUTE(SUBSTITUTE($B860,"~","~~"),"*","~*"),"?","~?"),'DEF_SELF_SCOUT_IMPORT'!$Q$42:$Q$1040,SUBSTITUTE(SUBSTITUTE(SUBSTITUTE($M860,"~","~~"),"*","~*"),"?","~?"),'DEF_SELF_SCOUT_IMPORT'!$D$42:$D$1040,SUBSTITUTE(SUBSTITUTE(SUBSTITUTE($P860,"~","~~"),"*","~*"),"?","~?"))</f>
        <v>3</v>
      </c>
      <c r="D860" s="10">
        <f>IF($C860=0,"",SUMIFS('DEF_SELF_SCOUT_IMPORT'!$J$42:$J$1040,'DEF_SELF_SCOUT_IMPORT'!$L$42:$L$1040,"Y",'DEF_SELF_SCOUT_IMPORT'!$E$42:$E$1040,SUBSTITUTE(SUBSTITUTE(SUBSTITUTE($B860,"~","~~"),"*","~*"),"?","~?"),'DEF_SELF_SCOUT_IMPORT'!$Q$42:$Q$1040,SUBSTITUTE(SUBSTITUTE(SUBSTITUTE($M860,"~","~~"),"*","~*"),"?","~?"),'DEF_SELF_SCOUT_IMPORT'!$D$42:$D$1040,SUBSTITUTE(SUBSTITUTE(SUBSTITUTE($P860,"~","~~"),"*","~*"),"?","~?"))/$C860)</f>
        <v>0.3333333333333333</v>
      </c>
      <c r="E860" s="10">
        <f>IF($C860=0,"",SUMIFS('DEF_SELF_SCOUT_IMPORT'!$K$42:$K$1040,'DEF_SELF_SCOUT_IMPORT'!$L$42:$L$1040,"Y",'DEF_SELF_SCOUT_IMPORT'!$E$42:$E$1040,SUBSTITUTE(SUBSTITUTE(SUBSTITUTE($B860,"~","~~"),"*","~*"),"?","~?"),'DEF_SELF_SCOUT_IMPORT'!$Q$42:$Q$1040,SUBSTITUTE(SUBSTITUTE(SUBSTITUTE($M860,"~","~~"),"*","~*"),"?","~?"),'DEF_SELF_SCOUT_IMPORT'!$D$42:$D$1040,SUBSTITUTE(SUBSTITUTE(SUBSTITUTE($P860,"~","~~"),"*","~*"),"?","~?"))/$C860)</f>
        <v>0.0</v>
      </c>
      <c r="F860" s="11">
        <f>IF($C860=0,"",AVERAGEIFS('DEF_SELF_SCOUT_IMPORT'!$I$42:$I$1040,'DEF_SELF_SCOUT_IMPORT'!$L$42:$L$1040,"Y",'DEF_SELF_SCOUT_IMPORT'!$E$42:$E$1040,SUBSTITUTE(SUBSTITUTE(SUBSTITUTE($B860,"~","~~"),"*","~*"),"?","~?"),'DEF_SELF_SCOUT_IMPORT'!$Q$42:$Q$1040,SUBSTITUTE(SUBSTITUTE(SUBSTITUTE($M860,"~","~~"),"*","~*"),"?","~?"),'DEF_SELF_SCOUT_IMPORT'!$D$42:$D$1040,SUBSTITUTE(SUBSTITUTE(SUBSTITUTE($P860,"~","~~"),"*","~*"),"?","~?")))</f>
        <v>5.333333333333333</v>
      </c>
      <c r="G860" s="10">
        <f>IF($C860=0,"",COUNTIFS('DEF_SELF_SCOUT_IMPORT'!$L$42:$L$1040,"Y",'DEF_SELF_SCOUT_IMPORT'!$E$42:$E$1040,SUBSTITUTE(SUBSTITUTE(SUBSTITUTE($B860,"~","~~"),"*","~*"),"?","~?"),'DEF_SELF_SCOUT_IMPORT'!$Q$42:$Q$1040,SUBSTITUTE(SUBSTITUTE(SUBSTITUTE($M860,"~","~~"),"*","~*"),"?","~?"),'DEF_SELF_SCOUT_IMPORT'!$D$42:$D$1040,SUBSTITUTE(SUBSTITUTE(SUBSTITUTE($P860,"~","~~"),"*","~*"),"?","~?"),'DEF_SELF_SCOUT_IMPORT'!$H$42:$H$1040,"RUSH")/$C860)</f>
        <v>1.0</v>
      </c>
      <c r="H860" s="10">
        <f>IF($C860=0,"",COUNTIFS('DEF_SELF_SCOUT_IMPORT'!$L$42:$L$1040,"Y",'DEF_SELF_SCOUT_IMPORT'!$E$42:$E$1040,SUBSTITUTE(SUBSTITUTE(SUBSTITUTE($B860,"~","~~"),"*","~*"),"?","~?"),'DEF_SELF_SCOUT_IMPORT'!$Q$42:$Q$1040,SUBSTITUTE(SUBSTITUTE(SUBSTITUTE($M860,"~","~~"),"*","~*"),"?","~?"),'DEF_SELF_SCOUT_IMPORT'!$D$42:$D$1040,SUBSTITUTE(SUBSTITUTE(SUBSTITUTE($P860,"~","~~"),"*","~*"),"?","~?"),'DEF_SELF_SCOUT_IMPORT'!$H$42:$H$1040,"DROPBACK")/$C860)</f>
        <v>0.0</v>
      </c>
      <c r="I860" s="14" t="str">
        <f>IF(C860=0,"",IF(C860&lt;=2,"TRACK",IF(C860=3,"LOW",IF(C860&lt;=6,"MEDIUM","HIGH"))))</f>
        <v>LOW</v>
      </c>
      <c r="J860" s="11">
        <f>IF(C860=0,"",ROUND(D860*70+(1-E860)*20+MAX(0,MIN(1,(10-F860)/10))*10,1))</f>
        <v>48.0</v>
      </c>
      <c r="K860" s="14" t="str">
        <f>IF(C860=0,"No Evidence",IF(C860&lt;=2,IF(E860&gt;0,"Explosive Alert","Track Only"),IF(C860=3,"Sample Watch",IF(E860&gt;=START_HERE!$B$31,"Explosive Alert",IF(J860&gt;=80,"Strong Candidate",IF(J860&gt;=65,"Good Candidate",IF(J860&gt;=50,"Mixed / Review","Problem Call")))))))</f>
        <v>Sample Watch</v>
      </c>
      <c r="L860" s="9" t="str">
        <f>IF(COUNTIFS('DEF_SELF_SCOUT_IMPORT'!$L$42:$L$1040,"Y",'DEF_SELF_SCOUT_IMPORT'!$E$42:$E$1040,SUBSTITUTE(SUBSTITUTE(SUBSTITUTE($B860,"~","~~"),"*","~*"),"?","~?"),'DEF_SELF_SCOUT_IMPORT'!$Q$42:$Q$1040,SUBSTITUTE(SUBSTITUTE(SUBSTITUTE($M860,"~","~~"),"*","~*"),"?","~?"),'DEF_SELF_SCOUT_IMPORT'!$D$42:$D$1040,SUBSTITUTE(SUBSTITUTE(SUBSTITUTE($P860,"~","~~"),"*","~*"),"?","~?"),'DEF_SELF_SCOUT_IMPORT'!$J$42:$J$1040,"")&gt;0,"Unscored clean outcome; review result tags before using score.",IF(C860=0,"No matching defensive reps; film confirmation needed.",IF(K860="Explosive Alert","Explosive risk; review clips before using as answer.",IF(C860&lt;=2,"Track only; not enough sample.",IF(C860=3,IF(E860&gt;0,"Sample watch with explosive exposure; review clips and build the sample.",IF(J860&gt;=65,"Good signal, but sample is limited.","Sample watch; review clips and build the sample.")),IF(K860="Problem Call","Problem area; practice or call-sheet review.",IF(K860="Strong Candidate","Strong call-fit candidate; confirm on film.",IF(K860="Good Candidate","Good call-fit signal; confirm on film.","Mixed signal; review fit and execution on film."))))))))</f>
        <v>Sample watch; review clips and build the sample.</v>
      </c>
      <c r="M860" s="8" t="s">
        <v>39</v>
      </c>
      <c r="N860" s="8"/>
      <c r="O860" s="8"/>
      <c r="P860" s="8" t="s">
        <v>465</v>
      </c>
      <c r="Q860" s="8"/>
      <c r="R860" s="8" t="s">
        <v>429</v>
      </c>
      <c r="S860" s="2" t="s">
        <v>466</v>
      </c>
      <c r="T860" s="2">
        <f>IF(C860=0,0,IF(C860&gt;=CALL_LOOKUP_BOARD!$B$7,IF(OR(K860="Problem Call",K860="Explosive Alert"),10000000,20000000),0)+IF(C860&gt;=CALL_LOOKUP_BOARD!$B$7,J860*1000+MIN(C860,999),C860*1000+J860)+0.00995000)</f>
        <v>3048.00995</v>
      </c>
      <c r="U860" s="2" t="str">
        <f>IF(C860=0,"",IF(COUNTIFS($S$811:$S$1055,SUBSTITUTE(SUBSTITUTE(SUBSTITUTE(S860,"~","~~"),"*","~*"),"?","~?"),$T$811:$T$1055,"&gt;"&amp;T860)=0,S860,""))</f>
        <v>7:1D 7-10|12:OUTSIDE ZONE|</v>
      </c>
    </row>
    <row r="861" spans="1:21" ht="38" customHeight="1">
      <c r="A861" s="8" t="s">
        <v>464</v>
      </c>
      <c r="B861" s="8" t="s">
        <v>34</v>
      </c>
      <c r="C861" s="12">
        <f>COUNTIFS('DEF_SELF_SCOUT_IMPORT'!$L$42:$L$1040,"Y",'DEF_SELF_SCOUT_IMPORT'!$E$42:$E$1040,SUBSTITUTE(SUBSTITUTE(SUBSTITUTE($B861,"~","~~"),"*","~*"),"?","~?"),'DEF_SELF_SCOUT_IMPORT'!$Q$42:$Q$1040,SUBSTITUTE(SUBSTITUTE(SUBSTITUTE($M861,"~","~~"),"*","~*"),"?","~?"),'DEF_SELF_SCOUT_IMPORT'!$D$42:$D$1040,SUBSTITUTE(SUBSTITUTE(SUBSTITUTE($P861,"~","~~"),"*","~*"),"?","~?"))</f>
        <v>1</v>
      </c>
      <c r="D861" s="10">
        <f>IF($C861=0,"",SUMIFS('DEF_SELF_SCOUT_IMPORT'!$J$42:$J$1040,'DEF_SELF_SCOUT_IMPORT'!$L$42:$L$1040,"Y",'DEF_SELF_SCOUT_IMPORT'!$E$42:$E$1040,SUBSTITUTE(SUBSTITUTE(SUBSTITUTE($B861,"~","~~"),"*","~*"),"?","~?"),'DEF_SELF_SCOUT_IMPORT'!$Q$42:$Q$1040,SUBSTITUTE(SUBSTITUTE(SUBSTITUTE($M861,"~","~~"),"*","~*"),"?","~?"),'DEF_SELF_SCOUT_IMPORT'!$D$42:$D$1040,SUBSTITUTE(SUBSTITUTE(SUBSTITUTE($P861,"~","~~"),"*","~*"),"?","~?"))/$C861)</f>
        <v>0.0</v>
      </c>
      <c r="E861" s="10">
        <f>IF($C861=0,"",SUMIFS('DEF_SELF_SCOUT_IMPORT'!$K$42:$K$1040,'DEF_SELF_SCOUT_IMPORT'!$L$42:$L$1040,"Y",'DEF_SELF_SCOUT_IMPORT'!$E$42:$E$1040,SUBSTITUTE(SUBSTITUTE(SUBSTITUTE($B861,"~","~~"),"*","~*"),"?","~?"),'DEF_SELF_SCOUT_IMPORT'!$Q$42:$Q$1040,SUBSTITUTE(SUBSTITUTE(SUBSTITUTE($M861,"~","~~"),"*","~*"),"?","~?"),'DEF_SELF_SCOUT_IMPORT'!$D$42:$D$1040,SUBSTITUTE(SUBSTITUTE(SUBSTITUTE($P861,"~","~~"),"*","~*"),"?","~?"))/$C861)</f>
        <v>0.0</v>
      </c>
      <c r="F861" s="11">
        <f>IF($C861=0,"",AVERAGEIFS('DEF_SELF_SCOUT_IMPORT'!$I$42:$I$1040,'DEF_SELF_SCOUT_IMPORT'!$L$42:$L$1040,"Y",'DEF_SELF_SCOUT_IMPORT'!$E$42:$E$1040,SUBSTITUTE(SUBSTITUTE(SUBSTITUTE($B861,"~","~~"),"*","~*"),"?","~?"),'DEF_SELF_SCOUT_IMPORT'!$Q$42:$Q$1040,SUBSTITUTE(SUBSTITUTE(SUBSTITUTE($M861,"~","~~"),"*","~*"),"?","~?"),'DEF_SELF_SCOUT_IMPORT'!$D$42:$D$1040,SUBSTITUTE(SUBSTITUTE(SUBSTITUTE($P861,"~","~~"),"*","~*"),"?","~?")))</f>
        <v>9.0</v>
      </c>
      <c r="G861" s="10">
        <f>IF($C861=0,"",COUNTIFS('DEF_SELF_SCOUT_IMPORT'!$L$42:$L$1040,"Y",'DEF_SELF_SCOUT_IMPORT'!$E$42:$E$1040,SUBSTITUTE(SUBSTITUTE(SUBSTITUTE($B861,"~","~~"),"*","~*"),"?","~?"),'DEF_SELF_SCOUT_IMPORT'!$Q$42:$Q$1040,SUBSTITUTE(SUBSTITUTE(SUBSTITUTE($M861,"~","~~"),"*","~*"),"?","~?"),'DEF_SELF_SCOUT_IMPORT'!$D$42:$D$1040,SUBSTITUTE(SUBSTITUTE(SUBSTITUTE($P861,"~","~~"),"*","~*"),"?","~?"),'DEF_SELF_SCOUT_IMPORT'!$H$42:$H$1040,"RUSH")/$C861)</f>
        <v>1.0</v>
      </c>
      <c r="H861" s="10">
        <f>IF($C861=0,"",COUNTIFS('DEF_SELF_SCOUT_IMPORT'!$L$42:$L$1040,"Y",'DEF_SELF_SCOUT_IMPORT'!$E$42:$E$1040,SUBSTITUTE(SUBSTITUTE(SUBSTITUTE($B861,"~","~~"),"*","~*"),"?","~?"),'DEF_SELF_SCOUT_IMPORT'!$Q$42:$Q$1040,SUBSTITUTE(SUBSTITUTE(SUBSTITUTE($M861,"~","~~"),"*","~*"),"?","~?"),'DEF_SELF_SCOUT_IMPORT'!$D$42:$D$1040,SUBSTITUTE(SUBSTITUTE(SUBSTITUTE($P861,"~","~~"),"*","~*"),"?","~?"),'DEF_SELF_SCOUT_IMPORT'!$H$42:$H$1040,"DROPBACK")/$C861)</f>
        <v>0.0</v>
      </c>
      <c r="I861" s="14" t="str">
        <f>IF(C861=0,"",IF(C861&lt;=2,"TRACK",IF(C861=3,"LOW",IF(C861&lt;=6,"MEDIUM","HIGH"))))</f>
        <v>TRACK</v>
      </c>
      <c r="J861" s="11">
        <f>IF(C861=0,"",ROUND(D861*70+(1-E861)*20+MAX(0,MIN(1,(10-F861)/10))*10,1))</f>
        <v>21.0</v>
      </c>
      <c r="K861" s="14" t="str">
        <f>IF(C861=0,"No Evidence",IF(C861&lt;=2,IF(E861&gt;0,"Explosive Alert","Track Only"),IF(C861=3,"Sample Watch",IF(E861&gt;=START_HERE!$B$31,"Explosive Alert",IF(J861&gt;=80,"Strong Candidate",IF(J861&gt;=65,"Good Candidate",IF(J861&gt;=50,"Mixed / Review","Problem Call")))))))</f>
        <v>Track Only</v>
      </c>
      <c r="L861" s="9" t="str">
        <f>IF(COUNTIFS('DEF_SELF_SCOUT_IMPORT'!$L$42:$L$1040,"Y",'DEF_SELF_SCOUT_IMPORT'!$E$42:$E$1040,SUBSTITUTE(SUBSTITUTE(SUBSTITUTE($B861,"~","~~"),"*","~*"),"?","~?"),'DEF_SELF_SCOUT_IMPORT'!$Q$42:$Q$1040,SUBSTITUTE(SUBSTITUTE(SUBSTITUTE($M861,"~","~~"),"*","~*"),"?","~?"),'DEF_SELF_SCOUT_IMPORT'!$D$42:$D$1040,SUBSTITUTE(SUBSTITUTE(SUBSTITUTE($P861,"~","~~"),"*","~*"),"?","~?"),'DEF_SELF_SCOUT_IMPORT'!$J$42:$J$1040,"")&gt;0,"Unscored clean outcome; review result tags before using score.",IF(C861=0,"No matching defensive reps; film confirmation needed.",IF(K861="Explosive Alert","Explosive risk; review clips before using as answer.",IF(C861&lt;=2,"Track only; not enough sample.",IF(C861=3,IF(E861&gt;0,"Sample watch with explosive exposure; review clips and build the sample.",IF(J861&gt;=65,"Good signal, but sample is limited.","Sample watch; review clips and build the sample.")),IF(K861="Problem Call","Problem area; practice or call-sheet review.",IF(K861="Strong Candidate","Strong call-fit candidate; confirm on film.",IF(K861="Good Candidate","Good call-fit signal; confirm on film.","Mixed signal; review fit and execution on film."))))))))</f>
        <v>Track only; not enough sample.</v>
      </c>
      <c r="M861" s="8" t="s">
        <v>39</v>
      </c>
      <c r="N861" s="8"/>
      <c r="O861" s="8"/>
      <c r="P861" s="8" t="s">
        <v>465</v>
      </c>
      <c r="Q861" s="8"/>
      <c r="R861" s="8" t="s">
        <v>429</v>
      </c>
      <c r="S861" s="2" t="s">
        <v>466</v>
      </c>
      <c r="T861" s="2">
        <f>IF(C861=0,0,IF(C861&gt;=CALL_LOOKUP_BOARD!$B$7,IF(OR(K861="Problem Call",K861="Explosive Alert"),10000000,20000000),0)+IF(C861&gt;=CALL_LOOKUP_BOARD!$B$7,J861*1000+MIN(C861,999),C861*1000+J861)+0.00994900)</f>
        <v>1021.009949</v>
      </c>
      <c r="U861" s="2">
        <f>IF(C861=0,"",IF(COUNTIFS($S$811:$S$1055,SUBSTITUTE(SUBSTITUTE(SUBSTITUTE(S861,"~","~~"),"*","~*"),"?","~?"),$T$811:$T$1055,"&gt;"&amp;T861)=0,S861,""))</f>
        <v/>
      </c>
    </row>
    <row r="862" spans="1:21" ht="38" customHeight="1">
      <c r="A862" s="8" t="s">
        <v>464</v>
      </c>
      <c r="B862" s="8" t="s">
        <v>53</v>
      </c>
      <c r="C862" s="12">
        <f>COUNTIFS('DEF_SELF_SCOUT_IMPORT'!$L$42:$L$1040,"Y",'DEF_SELF_SCOUT_IMPORT'!$E$42:$E$1040,SUBSTITUTE(SUBSTITUTE(SUBSTITUTE($B862,"~","~~"),"*","~*"),"?","~?"),'DEF_SELF_SCOUT_IMPORT'!$Q$42:$Q$1040,SUBSTITUTE(SUBSTITUTE(SUBSTITUTE($M862,"~","~~"),"*","~*"),"?","~?"),'DEF_SELF_SCOUT_IMPORT'!$D$42:$D$1040,SUBSTITUTE(SUBSTITUTE(SUBSTITUTE($P862,"~","~~"),"*","~*"),"?","~?"))</f>
        <v>1</v>
      </c>
      <c r="D862" s="10">
        <f>IF($C862=0,"",SUMIFS('DEF_SELF_SCOUT_IMPORT'!$J$42:$J$1040,'DEF_SELF_SCOUT_IMPORT'!$L$42:$L$1040,"Y",'DEF_SELF_SCOUT_IMPORT'!$E$42:$E$1040,SUBSTITUTE(SUBSTITUTE(SUBSTITUTE($B862,"~","~~"),"*","~*"),"?","~?"),'DEF_SELF_SCOUT_IMPORT'!$Q$42:$Q$1040,SUBSTITUTE(SUBSTITUTE(SUBSTITUTE($M862,"~","~~"),"*","~*"),"?","~?"),'DEF_SELF_SCOUT_IMPORT'!$D$42:$D$1040,SUBSTITUTE(SUBSTITUTE(SUBSTITUTE($P862,"~","~~"),"*","~*"),"?","~?"))/$C862)</f>
        <v>1.0</v>
      </c>
      <c r="E862" s="10">
        <f>IF($C862=0,"",SUMIFS('DEF_SELF_SCOUT_IMPORT'!$K$42:$K$1040,'DEF_SELF_SCOUT_IMPORT'!$L$42:$L$1040,"Y",'DEF_SELF_SCOUT_IMPORT'!$E$42:$E$1040,SUBSTITUTE(SUBSTITUTE(SUBSTITUTE($B862,"~","~~"),"*","~*"),"?","~?"),'DEF_SELF_SCOUT_IMPORT'!$Q$42:$Q$1040,SUBSTITUTE(SUBSTITUTE(SUBSTITUTE($M862,"~","~~"),"*","~*"),"?","~?"),'DEF_SELF_SCOUT_IMPORT'!$D$42:$D$1040,SUBSTITUTE(SUBSTITUTE(SUBSTITUTE($P862,"~","~~"),"*","~*"),"?","~?"))/$C862)</f>
        <v>0.0</v>
      </c>
      <c r="F862" s="11">
        <f>IF($C862=0,"",AVERAGEIFS('DEF_SELF_SCOUT_IMPORT'!$I$42:$I$1040,'DEF_SELF_SCOUT_IMPORT'!$L$42:$L$1040,"Y",'DEF_SELF_SCOUT_IMPORT'!$E$42:$E$1040,SUBSTITUTE(SUBSTITUTE(SUBSTITUTE($B862,"~","~~"),"*","~*"),"?","~?"),'DEF_SELF_SCOUT_IMPORT'!$Q$42:$Q$1040,SUBSTITUTE(SUBSTITUTE(SUBSTITUTE($M862,"~","~~"),"*","~*"),"?","~?"),'DEF_SELF_SCOUT_IMPORT'!$D$42:$D$1040,SUBSTITUTE(SUBSTITUTE(SUBSTITUTE($P862,"~","~~"),"*","~*"),"?","~?")))</f>
        <v>-1.0</v>
      </c>
      <c r="G862" s="10">
        <f>IF($C862=0,"",COUNTIFS('DEF_SELF_SCOUT_IMPORT'!$L$42:$L$1040,"Y",'DEF_SELF_SCOUT_IMPORT'!$E$42:$E$1040,SUBSTITUTE(SUBSTITUTE(SUBSTITUTE($B862,"~","~~"),"*","~*"),"?","~?"),'DEF_SELF_SCOUT_IMPORT'!$Q$42:$Q$1040,SUBSTITUTE(SUBSTITUTE(SUBSTITUTE($M862,"~","~~"),"*","~*"),"?","~?"),'DEF_SELF_SCOUT_IMPORT'!$D$42:$D$1040,SUBSTITUTE(SUBSTITUTE(SUBSTITUTE($P862,"~","~~"),"*","~*"),"?","~?"),'DEF_SELF_SCOUT_IMPORT'!$H$42:$H$1040,"RUSH")/$C862)</f>
        <v>1.0</v>
      </c>
      <c r="H862" s="10">
        <f>IF($C862=0,"",COUNTIFS('DEF_SELF_SCOUT_IMPORT'!$L$42:$L$1040,"Y",'DEF_SELF_SCOUT_IMPORT'!$E$42:$E$1040,SUBSTITUTE(SUBSTITUTE(SUBSTITUTE($B862,"~","~~"),"*","~*"),"?","~?"),'DEF_SELF_SCOUT_IMPORT'!$Q$42:$Q$1040,SUBSTITUTE(SUBSTITUTE(SUBSTITUTE($M862,"~","~~"),"*","~*"),"?","~?"),'DEF_SELF_SCOUT_IMPORT'!$D$42:$D$1040,SUBSTITUTE(SUBSTITUTE(SUBSTITUTE($P862,"~","~~"),"*","~*"),"?","~?"),'DEF_SELF_SCOUT_IMPORT'!$H$42:$H$1040,"DROPBACK")/$C862)</f>
        <v>0.0</v>
      </c>
      <c r="I862" s="14" t="str">
        <f>IF(C862=0,"",IF(C862&lt;=2,"TRACK",IF(C862=3,"LOW",IF(C862&lt;=6,"MEDIUM","HIGH"))))</f>
        <v>TRACK</v>
      </c>
      <c r="J862" s="11">
        <f>IF(C862=0,"",ROUND(D862*70+(1-E862)*20+MAX(0,MIN(1,(10-F862)/10))*10,1))</f>
        <v>100.0</v>
      </c>
      <c r="K862" s="14" t="str">
        <f>IF(C862=0,"No Evidence",IF(C862&lt;=2,IF(E862&gt;0,"Explosive Alert","Track Only"),IF(C862=3,"Sample Watch",IF(E862&gt;=START_HERE!$B$31,"Explosive Alert",IF(J862&gt;=80,"Strong Candidate",IF(J862&gt;=65,"Good Candidate",IF(J862&gt;=50,"Mixed / Review","Problem Call")))))))</f>
        <v>Track Only</v>
      </c>
      <c r="L862" s="9" t="str">
        <f>IF(COUNTIFS('DEF_SELF_SCOUT_IMPORT'!$L$42:$L$1040,"Y",'DEF_SELF_SCOUT_IMPORT'!$E$42:$E$1040,SUBSTITUTE(SUBSTITUTE(SUBSTITUTE($B862,"~","~~"),"*","~*"),"?","~?"),'DEF_SELF_SCOUT_IMPORT'!$Q$42:$Q$1040,SUBSTITUTE(SUBSTITUTE(SUBSTITUTE($M862,"~","~~"),"*","~*"),"?","~?"),'DEF_SELF_SCOUT_IMPORT'!$D$42:$D$1040,SUBSTITUTE(SUBSTITUTE(SUBSTITUTE($P862,"~","~~"),"*","~*"),"?","~?"),'DEF_SELF_SCOUT_IMPORT'!$J$42:$J$1040,"")&gt;0,"Unscored clean outcome; review result tags before using score.",IF(C862=0,"No matching defensive reps; film confirmation needed.",IF(K862="Explosive Alert","Explosive risk; review clips before using as answer.",IF(C862&lt;=2,"Track only; not enough sample.",IF(C862=3,IF(E862&gt;0,"Sample watch with explosive exposure; review clips and build the sample.",IF(J862&gt;=65,"Good signal, but sample is limited.","Sample watch; review clips and build the sample.")),IF(K862="Problem Call","Problem area; practice or call-sheet review.",IF(K862="Strong Candidate","Strong call-fit candidate; confirm on film.",IF(K862="Good Candidate","Good call-fit signal; confirm on film.","Mixed signal; review fit and execution on film."))))))))</f>
        <v>Track only; not enough sample.</v>
      </c>
      <c r="M862" s="8" t="s">
        <v>39</v>
      </c>
      <c r="N862" s="8"/>
      <c r="O862" s="8"/>
      <c r="P862" s="8" t="s">
        <v>465</v>
      </c>
      <c r="Q862" s="8"/>
      <c r="R862" s="8" t="s">
        <v>429</v>
      </c>
      <c r="S862" s="2" t="s">
        <v>466</v>
      </c>
      <c r="T862" s="2">
        <f>IF(C862=0,0,IF(C862&gt;=CALL_LOOKUP_BOARD!$B$7,IF(OR(K862="Problem Call",K862="Explosive Alert"),10000000,20000000),0)+IF(C862&gt;=CALL_LOOKUP_BOARD!$B$7,J862*1000+MIN(C862,999),C862*1000+J862)+0.00994800)</f>
        <v>1100.009948</v>
      </c>
      <c r="U862" s="2">
        <f>IF(C862=0,"",IF(COUNTIFS($S$811:$S$1055,SUBSTITUTE(SUBSTITUTE(SUBSTITUTE(S862,"~","~~"),"*","~*"),"?","~?"),$T$811:$T$1055,"&gt;"&amp;T862)=0,S862,""))</f>
        <v/>
      </c>
    </row>
    <row r="863" spans="1:21" ht="38" customHeight="1">
      <c r="A863" s="8" t="s">
        <v>464</v>
      </c>
      <c r="B863" s="8" t="s">
        <v>55</v>
      </c>
      <c r="C863" s="12">
        <f>COUNTIFS('DEF_SELF_SCOUT_IMPORT'!$L$42:$L$1040,"Y",'DEF_SELF_SCOUT_IMPORT'!$E$42:$E$1040,SUBSTITUTE(SUBSTITUTE(SUBSTITUTE($B863,"~","~~"),"*","~*"),"?","~?"),'DEF_SELF_SCOUT_IMPORT'!$Q$42:$Q$1040,SUBSTITUTE(SUBSTITUTE(SUBSTITUTE($M863,"~","~~"),"*","~*"),"?","~?"),'DEF_SELF_SCOUT_IMPORT'!$D$42:$D$1040,SUBSTITUTE(SUBSTITUTE(SUBSTITUTE($P863,"~","~~"),"*","~*"),"?","~?"))</f>
        <v>1</v>
      </c>
      <c r="D863" s="10">
        <f>IF($C863=0,"",SUMIFS('DEF_SELF_SCOUT_IMPORT'!$J$42:$J$1040,'DEF_SELF_SCOUT_IMPORT'!$L$42:$L$1040,"Y",'DEF_SELF_SCOUT_IMPORT'!$E$42:$E$1040,SUBSTITUTE(SUBSTITUTE(SUBSTITUTE($B863,"~","~~"),"*","~*"),"?","~?"),'DEF_SELF_SCOUT_IMPORT'!$Q$42:$Q$1040,SUBSTITUTE(SUBSTITUTE(SUBSTITUTE($M863,"~","~~"),"*","~*"),"?","~?"),'DEF_SELF_SCOUT_IMPORT'!$D$42:$D$1040,SUBSTITUTE(SUBSTITUTE(SUBSTITUTE($P863,"~","~~"),"*","~*"),"?","~?"))/$C863)</f>
        <v>0.0</v>
      </c>
      <c r="E863" s="10">
        <f>IF($C863=0,"",SUMIFS('DEF_SELF_SCOUT_IMPORT'!$K$42:$K$1040,'DEF_SELF_SCOUT_IMPORT'!$L$42:$L$1040,"Y",'DEF_SELF_SCOUT_IMPORT'!$E$42:$E$1040,SUBSTITUTE(SUBSTITUTE(SUBSTITUTE($B863,"~","~~"),"*","~*"),"?","~?"),'DEF_SELF_SCOUT_IMPORT'!$Q$42:$Q$1040,SUBSTITUTE(SUBSTITUTE(SUBSTITUTE($M863,"~","~~"),"*","~*"),"?","~?"),'DEF_SELF_SCOUT_IMPORT'!$D$42:$D$1040,SUBSTITUTE(SUBSTITUTE(SUBSTITUTE($P863,"~","~~"),"*","~*"),"?","~?"))/$C863)</f>
        <v>0.0</v>
      </c>
      <c r="F863" s="11">
        <f>IF($C863=0,"",AVERAGEIFS('DEF_SELF_SCOUT_IMPORT'!$I$42:$I$1040,'DEF_SELF_SCOUT_IMPORT'!$L$42:$L$1040,"Y",'DEF_SELF_SCOUT_IMPORT'!$E$42:$E$1040,SUBSTITUTE(SUBSTITUTE(SUBSTITUTE($B863,"~","~~"),"*","~*"),"?","~?"),'DEF_SELF_SCOUT_IMPORT'!$Q$42:$Q$1040,SUBSTITUTE(SUBSTITUTE(SUBSTITUTE($M863,"~","~~"),"*","~*"),"?","~?"),'DEF_SELF_SCOUT_IMPORT'!$D$42:$D$1040,SUBSTITUTE(SUBSTITUTE(SUBSTITUTE($P863,"~","~~"),"*","~*"),"?","~?")))</f>
        <v>9.0</v>
      </c>
      <c r="G863" s="10">
        <f>IF($C863=0,"",COUNTIFS('DEF_SELF_SCOUT_IMPORT'!$L$42:$L$1040,"Y",'DEF_SELF_SCOUT_IMPORT'!$E$42:$E$1040,SUBSTITUTE(SUBSTITUTE(SUBSTITUTE($B863,"~","~~"),"*","~*"),"?","~?"),'DEF_SELF_SCOUT_IMPORT'!$Q$42:$Q$1040,SUBSTITUTE(SUBSTITUTE(SUBSTITUTE($M863,"~","~~"),"*","~*"),"?","~?"),'DEF_SELF_SCOUT_IMPORT'!$D$42:$D$1040,SUBSTITUTE(SUBSTITUTE(SUBSTITUTE($P863,"~","~~"),"*","~*"),"?","~?"),'DEF_SELF_SCOUT_IMPORT'!$H$42:$H$1040,"RUSH")/$C863)</f>
        <v>1.0</v>
      </c>
      <c r="H863" s="10">
        <f>IF($C863=0,"",COUNTIFS('DEF_SELF_SCOUT_IMPORT'!$L$42:$L$1040,"Y",'DEF_SELF_SCOUT_IMPORT'!$E$42:$E$1040,SUBSTITUTE(SUBSTITUTE(SUBSTITUTE($B863,"~","~~"),"*","~*"),"?","~?"),'DEF_SELF_SCOUT_IMPORT'!$Q$42:$Q$1040,SUBSTITUTE(SUBSTITUTE(SUBSTITUTE($M863,"~","~~"),"*","~*"),"?","~?"),'DEF_SELF_SCOUT_IMPORT'!$D$42:$D$1040,SUBSTITUTE(SUBSTITUTE(SUBSTITUTE($P863,"~","~~"),"*","~*"),"?","~?"),'DEF_SELF_SCOUT_IMPORT'!$H$42:$H$1040,"DROPBACK")/$C863)</f>
        <v>0.0</v>
      </c>
      <c r="I863" s="14" t="str">
        <f>IF(C863=0,"",IF(C863&lt;=2,"TRACK",IF(C863=3,"LOW",IF(C863&lt;=6,"MEDIUM","HIGH"))))</f>
        <v>TRACK</v>
      </c>
      <c r="J863" s="11">
        <f>IF(C863=0,"",ROUND(D863*70+(1-E863)*20+MAX(0,MIN(1,(10-F863)/10))*10,1))</f>
        <v>21.0</v>
      </c>
      <c r="K863" s="14" t="str">
        <f>IF(C863=0,"No Evidence",IF(C863&lt;=2,IF(E863&gt;0,"Explosive Alert","Track Only"),IF(C863=3,"Sample Watch",IF(E863&gt;=START_HERE!$B$31,"Explosive Alert",IF(J863&gt;=80,"Strong Candidate",IF(J863&gt;=65,"Good Candidate",IF(J863&gt;=50,"Mixed / Review","Problem Call")))))))</f>
        <v>Track Only</v>
      </c>
      <c r="L863" s="9" t="str">
        <f>IF(COUNTIFS('DEF_SELF_SCOUT_IMPORT'!$L$42:$L$1040,"Y",'DEF_SELF_SCOUT_IMPORT'!$E$42:$E$1040,SUBSTITUTE(SUBSTITUTE(SUBSTITUTE($B863,"~","~~"),"*","~*"),"?","~?"),'DEF_SELF_SCOUT_IMPORT'!$Q$42:$Q$1040,SUBSTITUTE(SUBSTITUTE(SUBSTITUTE($M863,"~","~~"),"*","~*"),"?","~?"),'DEF_SELF_SCOUT_IMPORT'!$D$42:$D$1040,SUBSTITUTE(SUBSTITUTE(SUBSTITUTE($P863,"~","~~"),"*","~*"),"?","~?"),'DEF_SELF_SCOUT_IMPORT'!$J$42:$J$1040,"")&gt;0,"Unscored clean outcome; review result tags before using score.",IF(C863=0,"No matching defensive reps; film confirmation needed.",IF(K863="Explosive Alert","Explosive risk; review clips before using as answer.",IF(C863&lt;=2,"Track only; not enough sample.",IF(C863=3,IF(E863&gt;0,"Sample watch with explosive exposure; review clips and build the sample.",IF(J863&gt;=65,"Good signal, but sample is limited.","Sample watch; review clips and build the sample.")),IF(K863="Problem Call","Problem area; practice or call-sheet review.",IF(K863="Strong Candidate","Strong call-fit candidate; confirm on film.",IF(K863="Good Candidate","Good call-fit signal; confirm on film.","Mixed signal; review fit and execution on film."))))))))</f>
        <v>Track only; not enough sample.</v>
      </c>
      <c r="M863" s="8" t="s">
        <v>39</v>
      </c>
      <c r="N863" s="8"/>
      <c r="O863" s="8"/>
      <c r="P863" s="8" t="s">
        <v>465</v>
      </c>
      <c r="Q863" s="8"/>
      <c r="R863" s="8" t="s">
        <v>429</v>
      </c>
      <c r="S863" s="2" t="s">
        <v>466</v>
      </c>
      <c r="T863" s="2">
        <f>IF(C863=0,0,IF(C863&gt;=CALL_LOOKUP_BOARD!$B$7,IF(OR(K863="Problem Call",K863="Explosive Alert"),10000000,20000000),0)+IF(C863&gt;=CALL_LOOKUP_BOARD!$B$7,J863*1000+MIN(C863,999),C863*1000+J863)+0.00994700)</f>
        <v>1021.009947</v>
      </c>
      <c r="U863" s="2">
        <f>IF(C863=0,"",IF(COUNTIFS($S$811:$S$1055,SUBSTITUTE(SUBSTITUTE(SUBSTITUTE(S863,"~","~~"),"*","~*"),"?","~?"),$T$811:$T$1055,"&gt;"&amp;T863)=0,S863,""))</f>
        <v/>
      </c>
    </row>
    <row r="864" spans="1:21" ht="38" customHeight="1">
      <c r="A864" s="8" t="s">
        <v>464</v>
      </c>
      <c r="B864" s="8" t="s">
        <v>67</v>
      </c>
      <c r="C864" s="12">
        <f>COUNTIFS('DEF_SELF_SCOUT_IMPORT'!$L$42:$L$1040,"Y",'DEF_SELF_SCOUT_IMPORT'!$E$42:$E$1040,SUBSTITUTE(SUBSTITUTE(SUBSTITUTE($B864,"~","~~"),"*","~*"),"?","~?"),'DEF_SELF_SCOUT_IMPORT'!$Q$42:$Q$1040,SUBSTITUTE(SUBSTITUTE(SUBSTITUTE($M864,"~","~~"),"*","~*"),"?","~?"),'DEF_SELF_SCOUT_IMPORT'!$D$42:$D$1040,SUBSTITUTE(SUBSTITUTE(SUBSTITUTE($P864,"~","~~"),"*","~*"),"?","~?"))</f>
        <v>1</v>
      </c>
      <c r="D864" s="10">
        <f>IF($C864=0,"",SUMIFS('DEF_SELF_SCOUT_IMPORT'!$J$42:$J$1040,'DEF_SELF_SCOUT_IMPORT'!$L$42:$L$1040,"Y",'DEF_SELF_SCOUT_IMPORT'!$E$42:$E$1040,SUBSTITUTE(SUBSTITUTE(SUBSTITUTE($B864,"~","~~"),"*","~*"),"?","~?"),'DEF_SELF_SCOUT_IMPORT'!$Q$42:$Q$1040,SUBSTITUTE(SUBSTITUTE(SUBSTITUTE($M864,"~","~~"),"*","~*"),"?","~?"),'DEF_SELF_SCOUT_IMPORT'!$D$42:$D$1040,SUBSTITUTE(SUBSTITUTE(SUBSTITUTE($P864,"~","~~"),"*","~*"),"?","~?"))/$C864)</f>
        <v>0.0</v>
      </c>
      <c r="E864" s="10">
        <f>IF($C864=0,"",SUMIFS('DEF_SELF_SCOUT_IMPORT'!$K$42:$K$1040,'DEF_SELF_SCOUT_IMPORT'!$L$42:$L$1040,"Y",'DEF_SELF_SCOUT_IMPORT'!$E$42:$E$1040,SUBSTITUTE(SUBSTITUTE(SUBSTITUTE($B864,"~","~~"),"*","~*"),"?","~?"),'DEF_SELF_SCOUT_IMPORT'!$Q$42:$Q$1040,SUBSTITUTE(SUBSTITUTE(SUBSTITUTE($M864,"~","~~"),"*","~*"),"?","~?"),'DEF_SELF_SCOUT_IMPORT'!$D$42:$D$1040,SUBSTITUTE(SUBSTITUTE(SUBSTITUTE($P864,"~","~~"),"*","~*"),"?","~?"))/$C864)</f>
        <v>0.0</v>
      </c>
      <c r="F864" s="11">
        <f>IF($C864=0,"",AVERAGEIFS('DEF_SELF_SCOUT_IMPORT'!$I$42:$I$1040,'DEF_SELF_SCOUT_IMPORT'!$L$42:$L$1040,"Y",'DEF_SELF_SCOUT_IMPORT'!$E$42:$E$1040,SUBSTITUTE(SUBSTITUTE(SUBSTITUTE($B864,"~","~~"),"*","~*"),"?","~?"),'DEF_SELF_SCOUT_IMPORT'!$Q$42:$Q$1040,SUBSTITUTE(SUBSTITUTE(SUBSTITUTE($M864,"~","~~"),"*","~*"),"?","~?"),'DEF_SELF_SCOUT_IMPORT'!$D$42:$D$1040,SUBSTITUTE(SUBSTITUTE(SUBSTITUTE($P864,"~","~~"),"*","~*"),"?","~?")))</f>
        <v>4.0</v>
      </c>
      <c r="G864" s="10">
        <f>IF($C864=0,"",COUNTIFS('DEF_SELF_SCOUT_IMPORT'!$L$42:$L$1040,"Y",'DEF_SELF_SCOUT_IMPORT'!$E$42:$E$1040,SUBSTITUTE(SUBSTITUTE(SUBSTITUTE($B864,"~","~~"),"*","~*"),"?","~?"),'DEF_SELF_SCOUT_IMPORT'!$Q$42:$Q$1040,SUBSTITUTE(SUBSTITUTE(SUBSTITUTE($M864,"~","~~"),"*","~*"),"?","~?"),'DEF_SELF_SCOUT_IMPORT'!$D$42:$D$1040,SUBSTITUTE(SUBSTITUTE(SUBSTITUTE($P864,"~","~~"),"*","~*"),"?","~?"),'DEF_SELF_SCOUT_IMPORT'!$H$42:$H$1040,"RUSH")/$C864)</f>
        <v>1.0</v>
      </c>
      <c r="H864" s="10">
        <f>IF($C864=0,"",COUNTIFS('DEF_SELF_SCOUT_IMPORT'!$L$42:$L$1040,"Y",'DEF_SELF_SCOUT_IMPORT'!$E$42:$E$1040,SUBSTITUTE(SUBSTITUTE(SUBSTITUTE($B864,"~","~~"),"*","~*"),"?","~?"),'DEF_SELF_SCOUT_IMPORT'!$Q$42:$Q$1040,SUBSTITUTE(SUBSTITUTE(SUBSTITUTE($M864,"~","~~"),"*","~*"),"?","~?"),'DEF_SELF_SCOUT_IMPORT'!$D$42:$D$1040,SUBSTITUTE(SUBSTITUTE(SUBSTITUTE($P864,"~","~~"),"*","~*"),"?","~?"),'DEF_SELF_SCOUT_IMPORT'!$H$42:$H$1040,"DROPBACK")/$C864)</f>
        <v>0.0</v>
      </c>
      <c r="I864" s="14" t="str">
        <f>IF(C864=0,"",IF(C864&lt;=2,"TRACK",IF(C864=3,"LOW",IF(C864&lt;=6,"MEDIUM","HIGH"))))</f>
        <v>TRACK</v>
      </c>
      <c r="J864" s="11">
        <f>IF(C864=0,"",ROUND(D864*70+(1-E864)*20+MAX(0,MIN(1,(10-F864)/10))*10,1))</f>
        <v>26.0</v>
      </c>
      <c r="K864" s="14" t="str">
        <f>IF(C864=0,"No Evidence",IF(C864&lt;=2,IF(E864&gt;0,"Explosive Alert","Track Only"),IF(C864=3,"Sample Watch",IF(E864&gt;=START_HERE!$B$31,"Explosive Alert",IF(J864&gt;=80,"Strong Candidate",IF(J864&gt;=65,"Good Candidate",IF(J864&gt;=50,"Mixed / Review","Problem Call")))))))</f>
        <v>Track Only</v>
      </c>
      <c r="L864" s="9" t="str">
        <f>IF(COUNTIFS('DEF_SELF_SCOUT_IMPORT'!$L$42:$L$1040,"Y",'DEF_SELF_SCOUT_IMPORT'!$E$42:$E$1040,SUBSTITUTE(SUBSTITUTE(SUBSTITUTE($B864,"~","~~"),"*","~*"),"?","~?"),'DEF_SELF_SCOUT_IMPORT'!$Q$42:$Q$1040,SUBSTITUTE(SUBSTITUTE(SUBSTITUTE($M864,"~","~~"),"*","~*"),"?","~?"),'DEF_SELF_SCOUT_IMPORT'!$D$42:$D$1040,SUBSTITUTE(SUBSTITUTE(SUBSTITUTE($P864,"~","~~"),"*","~*"),"?","~?"),'DEF_SELF_SCOUT_IMPORT'!$J$42:$J$1040,"")&gt;0,"Unscored clean outcome; review result tags before using score.",IF(C864=0,"No matching defensive reps; film confirmation needed.",IF(K864="Explosive Alert","Explosive risk; review clips before using as answer.",IF(C864&lt;=2,"Track only; not enough sample.",IF(C864=3,IF(E864&gt;0,"Sample watch with explosive exposure; review clips and build the sample.",IF(J864&gt;=65,"Good signal, but sample is limited.","Sample watch; review clips and build the sample.")),IF(K864="Problem Call","Problem area; practice or call-sheet review.",IF(K864="Strong Candidate","Strong call-fit candidate; confirm on film.",IF(K864="Good Candidate","Good call-fit signal; confirm on film.","Mixed signal; review fit and execution on film."))))))))</f>
        <v>Track only; not enough sample.</v>
      </c>
      <c r="M864" s="8" t="s">
        <v>39</v>
      </c>
      <c r="N864" s="8"/>
      <c r="O864" s="8"/>
      <c r="P864" s="8" t="s">
        <v>465</v>
      </c>
      <c r="Q864" s="8"/>
      <c r="R864" s="8" t="s">
        <v>429</v>
      </c>
      <c r="S864" s="2" t="s">
        <v>466</v>
      </c>
      <c r="T864" s="2">
        <f>IF(C864=0,0,IF(C864&gt;=CALL_LOOKUP_BOARD!$B$7,IF(OR(K864="Problem Call",K864="Explosive Alert"),10000000,20000000),0)+IF(C864&gt;=CALL_LOOKUP_BOARD!$B$7,J864*1000+MIN(C864,999),C864*1000+J864)+0.00994600)</f>
        <v>1026.009946</v>
      </c>
      <c r="U864" s="2">
        <f>IF(C864=0,"",IF(COUNTIFS($S$811:$S$1055,SUBSTITUTE(SUBSTITUTE(SUBSTITUTE(S864,"~","~~"),"*","~*"),"?","~?"),$T$811:$T$1055,"&gt;"&amp;T864)=0,S864,""))</f>
        <v/>
      </c>
    </row>
    <row r="865" spans="1:21" ht="38" customHeight="1">
      <c r="A865" s="8" t="s">
        <v>467</v>
      </c>
      <c r="B865" s="8" t="s">
        <v>43</v>
      </c>
      <c r="C865" s="12">
        <f>COUNTIFS('DEF_SELF_SCOUT_IMPORT'!$L$42:$L$1040,"Y",'DEF_SELF_SCOUT_IMPORT'!$E$42:$E$1040,SUBSTITUTE(SUBSTITUTE(SUBSTITUTE($B865,"~","~~"),"*","~*"),"?","~?"),'DEF_SELF_SCOUT_IMPORT'!$Q$42:$Q$1040,SUBSTITUTE(SUBSTITUTE(SUBSTITUTE($M865,"~","~~"),"*","~*"),"?","~?"),'DEF_SELF_SCOUT_IMPORT'!$D$42:$D$1040,SUBSTITUTE(SUBSTITUTE(SUBSTITUTE($P865,"~","~~"),"*","~*"),"?","~?"))</f>
        <v>1</v>
      </c>
      <c r="D865" s="10">
        <f>IF($C865=0,"",SUMIFS('DEF_SELF_SCOUT_IMPORT'!$J$42:$J$1040,'DEF_SELF_SCOUT_IMPORT'!$L$42:$L$1040,"Y",'DEF_SELF_SCOUT_IMPORT'!$E$42:$E$1040,SUBSTITUTE(SUBSTITUTE(SUBSTITUTE($B865,"~","~~"),"*","~*"),"?","~?"),'DEF_SELF_SCOUT_IMPORT'!$Q$42:$Q$1040,SUBSTITUTE(SUBSTITUTE(SUBSTITUTE($M865,"~","~~"),"*","~*"),"?","~?"),'DEF_SELF_SCOUT_IMPORT'!$D$42:$D$1040,SUBSTITUTE(SUBSTITUTE(SUBSTITUTE($P865,"~","~~"),"*","~*"),"?","~?"))/$C865)</f>
        <v>1.0</v>
      </c>
      <c r="E865" s="10">
        <f>IF($C865=0,"",SUMIFS('DEF_SELF_SCOUT_IMPORT'!$K$42:$K$1040,'DEF_SELF_SCOUT_IMPORT'!$L$42:$L$1040,"Y",'DEF_SELF_SCOUT_IMPORT'!$E$42:$E$1040,SUBSTITUTE(SUBSTITUTE(SUBSTITUTE($B865,"~","~~"),"*","~*"),"?","~?"),'DEF_SELF_SCOUT_IMPORT'!$Q$42:$Q$1040,SUBSTITUTE(SUBSTITUTE(SUBSTITUTE($M865,"~","~~"),"*","~*"),"?","~?"),'DEF_SELF_SCOUT_IMPORT'!$D$42:$D$1040,SUBSTITUTE(SUBSTITUTE(SUBSTITUTE($P865,"~","~~"),"*","~*"),"?","~?"))/$C865)</f>
        <v>0.0</v>
      </c>
      <c r="F865" s="11">
        <f>IF($C865=0,"",AVERAGEIFS('DEF_SELF_SCOUT_IMPORT'!$I$42:$I$1040,'DEF_SELF_SCOUT_IMPORT'!$L$42:$L$1040,"Y",'DEF_SELF_SCOUT_IMPORT'!$E$42:$E$1040,SUBSTITUTE(SUBSTITUTE(SUBSTITUTE($B865,"~","~~"),"*","~*"),"?","~?"),'DEF_SELF_SCOUT_IMPORT'!$Q$42:$Q$1040,SUBSTITUTE(SUBSTITUTE(SUBSTITUTE($M865,"~","~~"),"*","~*"),"?","~?"),'DEF_SELF_SCOUT_IMPORT'!$D$42:$D$1040,SUBSTITUTE(SUBSTITUTE(SUBSTITUTE($P865,"~","~~"),"*","~*"),"?","~?")))</f>
        <v>6.0</v>
      </c>
      <c r="G865" s="10">
        <f>IF($C865=0,"",COUNTIFS('DEF_SELF_SCOUT_IMPORT'!$L$42:$L$1040,"Y",'DEF_SELF_SCOUT_IMPORT'!$E$42:$E$1040,SUBSTITUTE(SUBSTITUTE(SUBSTITUTE($B865,"~","~~"),"*","~*"),"?","~?"),'DEF_SELF_SCOUT_IMPORT'!$Q$42:$Q$1040,SUBSTITUTE(SUBSTITUTE(SUBSTITUTE($M865,"~","~~"),"*","~*"),"?","~?"),'DEF_SELF_SCOUT_IMPORT'!$D$42:$D$1040,SUBSTITUTE(SUBSTITUTE(SUBSTITUTE($P865,"~","~~"),"*","~*"),"?","~?"),'DEF_SELF_SCOUT_IMPORT'!$H$42:$H$1040,"RUSH")/$C865)</f>
        <v>0.0</v>
      </c>
      <c r="H865" s="10">
        <f>IF($C865=0,"",COUNTIFS('DEF_SELF_SCOUT_IMPORT'!$L$42:$L$1040,"Y",'DEF_SELF_SCOUT_IMPORT'!$E$42:$E$1040,SUBSTITUTE(SUBSTITUTE(SUBSTITUTE($B865,"~","~~"),"*","~*"),"?","~?"),'DEF_SELF_SCOUT_IMPORT'!$Q$42:$Q$1040,SUBSTITUTE(SUBSTITUTE(SUBSTITUTE($M865,"~","~~"),"*","~*"),"?","~?"),'DEF_SELF_SCOUT_IMPORT'!$D$42:$D$1040,SUBSTITUTE(SUBSTITUTE(SUBSTITUTE($P865,"~","~~"),"*","~*"),"?","~?"),'DEF_SELF_SCOUT_IMPORT'!$H$42:$H$1040,"DROPBACK")/$C865)</f>
        <v>1.0</v>
      </c>
      <c r="I865" s="14" t="str">
        <f>IF(C865=0,"",IF(C865&lt;=2,"TRACK",IF(C865=3,"LOW",IF(C865&lt;=6,"MEDIUM","HIGH"))))</f>
        <v>TRACK</v>
      </c>
      <c r="J865" s="11">
        <f>IF(C865=0,"",ROUND(D865*70+(1-E865)*20+MAX(0,MIN(1,(10-F865)/10))*10,1))</f>
        <v>94.0</v>
      </c>
      <c r="K865" s="14" t="str">
        <f>IF(C865=0,"No Evidence",IF(C865&lt;=2,IF(E865&gt;0,"Explosive Alert","Track Only"),IF(C865=3,"Sample Watch",IF(E865&gt;=START_HERE!$B$31,"Explosive Alert",IF(J865&gt;=80,"Strong Candidate",IF(J865&gt;=65,"Good Candidate",IF(J865&gt;=50,"Mixed / Review","Problem Call")))))))</f>
        <v>Track Only</v>
      </c>
      <c r="L865" s="9" t="str">
        <f>IF(COUNTIFS('DEF_SELF_SCOUT_IMPORT'!$L$42:$L$1040,"Y",'DEF_SELF_SCOUT_IMPORT'!$E$42:$E$1040,SUBSTITUTE(SUBSTITUTE(SUBSTITUTE($B865,"~","~~"),"*","~*"),"?","~?"),'DEF_SELF_SCOUT_IMPORT'!$Q$42:$Q$1040,SUBSTITUTE(SUBSTITUTE(SUBSTITUTE($M865,"~","~~"),"*","~*"),"?","~?"),'DEF_SELF_SCOUT_IMPORT'!$D$42:$D$1040,SUBSTITUTE(SUBSTITUTE(SUBSTITUTE($P865,"~","~~"),"*","~*"),"?","~?"),'DEF_SELF_SCOUT_IMPORT'!$J$42:$J$1040,"")&gt;0,"Unscored clean outcome; review result tags before using score.",IF(C865=0,"No matching defensive reps; film confirmation needed.",IF(K865="Explosive Alert","Explosive risk; review clips before using as answer.",IF(C865&lt;=2,"Track only; not enough sample.",IF(C865=3,IF(E865&gt;0,"Sample watch with explosive exposure; review clips and build the sample.",IF(J865&gt;=65,"Good signal, but sample is limited.","Sample watch; review clips and build the sample.")),IF(K865="Problem Call","Problem area; practice or call-sheet review.",IF(K865="Strong Candidate","Strong call-fit candidate; confirm on film.",IF(K865="Good Candidate","Good call-fit signal; confirm on film.","Mixed signal; review fit and execution on film."))))))))</f>
        <v>Track only; not enough sample.</v>
      </c>
      <c r="M865" s="8" t="s">
        <v>39</v>
      </c>
      <c r="N865" s="8"/>
      <c r="O865" s="8"/>
      <c r="P865" s="8" t="s">
        <v>468</v>
      </c>
      <c r="Q865" s="8"/>
      <c r="R865" s="8" t="s">
        <v>429</v>
      </c>
      <c r="S865" s="2" t="s">
        <v>469</v>
      </c>
      <c r="T865" s="2">
        <f>IF(C865=0,0,IF(C865&gt;=CALL_LOOKUP_BOARD!$B$7,IF(OR(K865="Problem Call",K865="Explosive Alert"),10000000,20000000),0)+IF(C865&gt;=CALL_LOOKUP_BOARD!$B$7,J865*1000+MIN(C865,999),C865*1000+J865)+0.00994500)</f>
        <v>1094.009945</v>
      </c>
      <c r="U865" s="2">
        <f>IF(C865=0,"",IF(COUNTIFS($S$811:$S$1055,SUBSTITUTE(SUBSTITUTE(SUBSTITUTE(S865,"~","~~"),"*","~*"),"?","~?"),$T$811:$T$1055,"&gt;"&amp;T865)=0,S865,""))</f>
        <v/>
      </c>
    </row>
    <row r="866" spans="1:21" ht="38" customHeight="1">
      <c r="A866" s="8" t="s">
        <v>467</v>
      </c>
      <c r="B866" s="8" t="s">
        <v>50</v>
      </c>
      <c r="C866" s="12">
        <f>COUNTIFS('DEF_SELF_SCOUT_IMPORT'!$L$42:$L$1040,"Y",'DEF_SELF_SCOUT_IMPORT'!$E$42:$E$1040,SUBSTITUTE(SUBSTITUTE(SUBSTITUTE($B866,"~","~~"),"*","~*"),"?","~?"),'DEF_SELF_SCOUT_IMPORT'!$Q$42:$Q$1040,SUBSTITUTE(SUBSTITUTE(SUBSTITUTE($M866,"~","~~"),"*","~*"),"?","~?"),'DEF_SELF_SCOUT_IMPORT'!$D$42:$D$1040,SUBSTITUTE(SUBSTITUTE(SUBSTITUTE($P866,"~","~~"),"*","~*"),"?","~?"))</f>
        <v>1</v>
      </c>
      <c r="D866" s="10">
        <f>IF($C866=0,"",SUMIFS('DEF_SELF_SCOUT_IMPORT'!$J$42:$J$1040,'DEF_SELF_SCOUT_IMPORT'!$L$42:$L$1040,"Y",'DEF_SELF_SCOUT_IMPORT'!$E$42:$E$1040,SUBSTITUTE(SUBSTITUTE(SUBSTITUTE($B866,"~","~~"),"*","~*"),"?","~?"),'DEF_SELF_SCOUT_IMPORT'!$Q$42:$Q$1040,SUBSTITUTE(SUBSTITUTE(SUBSTITUTE($M866,"~","~~"),"*","~*"),"?","~?"),'DEF_SELF_SCOUT_IMPORT'!$D$42:$D$1040,SUBSTITUTE(SUBSTITUTE(SUBSTITUTE($P866,"~","~~"),"*","~*"),"?","~?"))/$C866)</f>
        <v>1.0</v>
      </c>
      <c r="E866" s="10">
        <f>IF($C866=0,"",SUMIFS('DEF_SELF_SCOUT_IMPORT'!$K$42:$K$1040,'DEF_SELF_SCOUT_IMPORT'!$L$42:$L$1040,"Y",'DEF_SELF_SCOUT_IMPORT'!$E$42:$E$1040,SUBSTITUTE(SUBSTITUTE(SUBSTITUTE($B866,"~","~~"),"*","~*"),"?","~?"),'DEF_SELF_SCOUT_IMPORT'!$Q$42:$Q$1040,SUBSTITUTE(SUBSTITUTE(SUBSTITUTE($M866,"~","~~"),"*","~*"),"?","~?"),'DEF_SELF_SCOUT_IMPORT'!$D$42:$D$1040,SUBSTITUTE(SUBSTITUTE(SUBSTITUTE($P866,"~","~~"),"*","~*"),"?","~?"))/$C866)</f>
        <v>0.0</v>
      </c>
      <c r="F866" s="11">
        <f>IF($C866=0,"",AVERAGEIFS('DEF_SELF_SCOUT_IMPORT'!$I$42:$I$1040,'DEF_SELF_SCOUT_IMPORT'!$L$42:$L$1040,"Y",'DEF_SELF_SCOUT_IMPORT'!$E$42:$E$1040,SUBSTITUTE(SUBSTITUTE(SUBSTITUTE($B866,"~","~~"),"*","~*"),"?","~?"),'DEF_SELF_SCOUT_IMPORT'!$Q$42:$Q$1040,SUBSTITUTE(SUBSTITUTE(SUBSTITUTE($M866,"~","~~"),"*","~*"),"?","~?"),'DEF_SELF_SCOUT_IMPORT'!$D$42:$D$1040,SUBSTITUTE(SUBSTITUTE(SUBSTITUTE($P866,"~","~~"),"*","~*"),"?","~?")))</f>
        <v>3.0</v>
      </c>
      <c r="G866" s="10">
        <f>IF($C866=0,"",COUNTIFS('DEF_SELF_SCOUT_IMPORT'!$L$42:$L$1040,"Y",'DEF_SELF_SCOUT_IMPORT'!$E$42:$E$1040,SUBSTITUTE(SUBSTITUTE(SUBSTITUTE($B866,"~","~~"),"*","~*"),"?","~?"),'DEF_SELF_SCOUT_IMPORT'!$Q$42:$Q$1040,SUBSTITUTE(SUBSTITUTE(SUBSTITUTE($M866,"~","~~"),"*","~*"),"?","~?"),'DEF_SELF_SCOUT_IMPORT'!$D$42:$D$1040,SUBSTITUTE(SUBSTITUTE(SUBSTITUTE($P866,"~","~~"),"*","~*"),"?","~?"),'DEF_SELF_SCOUT_IMPORT'!$H$42:$H$1040,"RUSH")/$C866)</f>
        <v>0.0</v>
      </c>
      <c r="H866" s="10">
        <f>IF($C866=0,"",COUNTIFS('DEF_SELF_SCOUT_IMPORT'!$L$42:$L$1040,"Y",'DEF_SELF_SCOUT_IMPORT'!$E$42:$E$1040,SUBSTITUTE(SUBSTITUTE(SUBSTITUTE($B866,"~","~~"),"*","~*"),"?","~?"),'DEF_SELF_SCOUT_IMPORT'!$Q$42:$Q$1040,SUBSTITUTE(SUBSTITUTE(SUBSTITUTE($M866,"~","~~"),"*","~*"),"?","~?"),'DEF_SELF_SCOUT_IMPORT'!$D$42:$D$1040,SUBSTITUTE(SUBSTITUTE(SUBSTITUTE($P866,"~","~~"),"*","~*"),"?","~?"),'DEF_SELF_SCOUT_IMPORT'!$H$42:$H$1040,"DROPBACK")/$C866)</f>
        <v>1.0</v>
      </c>
      <c r="I866" s="14" t="str">
        <f>IF(C866=0,"",IF(C866&lt;=2,"TRACK",IF(C866=3,"LOW",IF(C866&lt;=6,"MEDIUM","HIGH"))))</f>
        <v>TRACK</v>
      </c>
      <c r="J866" s="11">
        <f>IF(C866=0,"",ROUND(D866*70+(1-E866)*20+MAX(0,MIN(1,(10-F866)/10))*10,1))</f>
        <v>97.0</v>
      </c>
      <c r="K866" s="14" t="str">
        <f>IF(C866=0,"No Evidence",IF(C866&lt;=2,IF(E866&gt;0,"Explosive Alert","Track Only"),IF(C866=3,"Sample Watch",IF(E866&gt;=START_HERE!$B$31,"Explosive Alert",IF(J866&gt;=80,"Strong Candidate",IF(J866&gt;=65,"Good Candidate",IF(J866&gt;=50,"Mixed / Review","Problem Call")))))))</f>
        <v>Track Only</v>
      </c>
      <c r="L866" s="9" t="str">
        <f>IF(COUNTIFS('DEF_SELF_SCOUT_IMPORT'!$L$42:$L$1040,"Y",'DEF_SELF_SCOUT_IMPORT'!$E$42:$E$1040,SUBSTITUTE(SUBSTITUTE(SUBSTITUTE($B866,"~","~~"),"*","~*"),"?","~?"),'DEF_SELF_SCOUT_IMPORT'!$Q$42:$Q$1040,SUBSTITUTE(SUBSTITUTE(SUBSTITUTE($M866,"~","~~"),"*","~*"),"?","~?"),'DEF_SELF_SCOUT_IMPORT'!$D$42:$D$1040,SUBSTITUTE(SUBSTITUTE(SUBSTITUTE($P866,"~","~~"),"*","~*"),"?","~?"),'DEF_SELF_SCOUT_IMPORT'!$J$42:$J$1040,"")&gt;0,"Unscored clean outcome; review result tags before using score.",IF(C866=0,"No matching defensive reps; film confirmation needed.",IF(K866="Explosive Alert","Explosive risk; review clips before using as answer.",IF(C866&lt;=2,"Track only; not enough sample.",IF(C866=3,IF(E866&gt;0,"Sample watch with explosive exposure; review clips and build the sample.",IF(J866&gt;=65,"Good signal, but sample is limited.","Sample watch; review clips and build the sample.")),IF(K866="Problem Call","Problem area; practice or call-sheet review.",IF(K866="Strong Candidate","Strong call-fit candidate; confirm on film.",IF(K866="Good Candidate","Good call-fit signal; confirm on film.","Mixed signal; review fit and execution on film."))))))))</f>
        <v>Track only; not enough sample.</v>
      </c>
      <c r="M866" s="8" t="s">
        <v>39</v>
      </c>
      <c r="N866" s="8"/>
      <c r="O866" s="8"/>
      <c r="P866" s="8" t="s">
        <v>468</v>
      </c>
      <c r="Q866" s="8"/>
      <c r="R866" s="8" t="s">
        <v>429</v>
      </c>
      <c r="S866" s="2" t="s">
        <v>469</v>
      </c>
      <c r="T866" s="2">
        <f>IF(C866=0,0,IF(C866&gt;=CALL_LOOKUP_BOARD!$B$7,IF(OR(K866="Problem Call",K866="Explosive Alert"),10000000,20000000),0)+IF(C866&gt;=CALL_LOOKUP_BOARD!$B$7,J866*1000+MIN(C866,999),C866*1000+J866)+0.00994400)</f>
        <v>1097.009944</v>
      </c>
      <c r="U866" s="2">
        <f>IF(C866=0,"",IF(COUNTIFS($S$811:$S$1055,SUBSTITUTE(SUBSTITUTE(SUBSTITUTE(S866,"~","~~"),"*","~*"),"?","~?"),$T$811:$T$1055,"&gt;"&amp;T866)=0,S866,""))</f>
        <v/>
      </c>
    </row>
    <row r="867" spans="1:21" ht="38" customHeight="1">
      <c r="A867" s="8" t="s">
        <v>467</v>
      </c>
      <c r="B867" s="8" t="s">
        <v>52</v>
      </c>
      <c r="C867" s="12">
        <f>COUNTIFS('DEF_SELF_SCOUT_IMPORT'!$L$42:$L$1040,"Y",'DEF_SELF_SCOUT_IMPORT'!$E$42:$E$1040,SUBSTITUTE(SUBSTITUTE(SUBSTITUTE($B867,"~","~~"),"*","~*"),"?","~?"),'DEF_SELF_SCOUT_IMPORT'!$Q$42:$Q$1040,SUBSTITUTE(SUBSTITUTE(SUBSTITUTE($M867,"~","~~"),"*","~*"),"?","~?"),'DEF_SELF_SCOUT_IMPORT'!$D$42:$D$1040,SUBSTITUTE(SUBSTITUTE(SUBSTITUTE($P867,"~","~~"),"*","~*"),"?","~?"))</f>
        <v>2</v>
      </c>
      <c r="D867" s="10">
        <f>IF($C867=0,"",SUMIFS('DEF_SELF_SCOUT_IMPORT'!$J$42:$J$1040,'DEF_SELF_SCOUT_IMPORT'!$L$42:$L$1040,"Y",'DEF_SELF_SCOUT_IMPORT'!$E$42:$E$1040,SUBSTITUTE(SUBSTITUTE(SUBSTITUTE($B867,"~","~~"),"*","~*"),"?","~?"),'DEF_SELF_SCOUT_IMPORT'!$Q$42:$Q$1040,SUBSTITUTE(SUBSTITUTE(SUBSTITUTE($M867,"~","~~"),"*","~*"),"?","~?"),'DEF_SELF_SCOUT_IMPORT'!$D$42:$D$1040,SUBSTITUTE(SUBSTITUTE(SUBSTITUTE($P867,"~","~~"),"*","~*"),"?","~?"))/$C867)</f>
        <v>1.0</v>
      </c>
      <c r="E867" s="10">
        <f>IF($C867=0,"",SUMIFS('DEF_SELF_SCOUT_IMPORT'!$K$42:$K$1040,'DEF_SELF_SCOUT_IMPORT'!$L$42:$L$1040,"Y",'DEF_SELF_SCOUT_IMPORT'!$E$42:$E$1040,SUBSTITUTE(SUBSTITUTE(SUBSTITUTE($B867,"~","~~"),"*","~*"),"?","~?"),'DEF_SELF_SCOUT_IMPORT'!$Q$42:$Q$1040,SUBSTITUTE(SUBSTITUTE(SUBSTITUTE($M867,"~","~~"),"*","~*"),"?","~?"),'DEF_SELF_SCOUT_IMPORT'!$D$42:$D$1040,SUBSTITUTE(SUBSTITUTE(SUBSTITUTE($P867,"~","~~"),"*","~*"),"?","~?"))/$C867)</f>
        <v>0.0</v>
      </c>
      <c r="F867" s="11">
        <f>IF($C867=0,"",AVERAGEIFS('DEF_SELF_SCOUT_IMPORT'!$I$42:$I$1040,'DEF_SELF_SCOUT_IMPORT'!$L$42:$L$1040,"Y",'DEF_SELF_SCOUT_IMPORT'!$E$42:$E$1040,SUBSTITUTE(SUBSTITUTE(SUBSTITUTE($B867,"~","~~"),"*","~*"),"?","~?"),'DEF_SELF_SCOUT_IMPORT'!$Q$42:$Q$1040,SUBSTITUTE(SUBSTITUTE(SUBSTITUTE($M867,"~","~~"),"*","~*"),"?","~?"),'DEF_SELF_SCOUT_IMPORT'!$D$42:$D$1040,SUBSTITUTE(SUBSTITUTE(SUBSTITUTE($P867,"~","~~"),"*","~*"),"?","~?")))</f>
        <v>0.0</v>
      </c>
      <c r="G867" s="10">
        <f>IF($C867=0,"",COUNTIFS('DEF_SELF_SCOUT_IMPORT'!$L$42:$L$1040,"Y",'DEF_SELF_SCOUT_IMPORT'!$E$42:$E$1040,SUBSTITUTE(SUBSTITUTE(SUBSTITUTE($B867,"~","~~"),"*","~*"),"?","~?"),'DEF_SELF_SCOUT_IMPORT'!$Q$42:$Q$1040,SUBSTITUTE(SUBSTITUTE(SUBSTITUTE($M867,"~","~~"),"*","~*"),"?","~?"),'DEF_SELF_SCOUT_IMPORT'!$D$42:$D$1040,SUBSTITUTE(SUBSTITUTE(SUBSTITUTE($P867,"~","~~"),"*","~*"),"?","~?"),'DEF_SELF_SCOUT_IMPORT'!$H$42:$H$1040,"RUSH")/$C867)</f>
        <v>0.0</v>
      </c>
      <c r="H867" s="10">
        <f>IF($C867=0,"",COUNTIFS('DEF_SELF_SCOUT_IMPORT'!$L$42:$L$1040,"Y",'DEF_SELF_SCOUT_IMPORT'!$E$42:$E$1040,SUBSTITUTE(SUBSTITUTE(SUBSTITUTE($B867,"~","~~"),"*","~*"),"?","~?"),'DEF_SELF_SCOUT_IMPORT'!$Q$42:$Q$1040,SUBSTITUTE(SUBSTITUTE(SUBSTITUTE($M867,"~","~~"),"*","~*"),"?","~?"),'DEF_SELF_SCOUT_IMPORT'!$D$42:$D$1040,SUBSTITUTE(SUBSTITUTE(SUBSTITUTE($P867,"~","~~"),"*","~*"),"?","~?"),'DEF_SELF_SCOUT_IMPORT'!$H$42:$H$1040,"DROPBACK")/$C867)</f>
        <v>1.0</v>
      </c>
      <c r="I867" s="14" t="str">
        <f>IF(C867=0,"",IF(C867&lt;=2,"TRACK",IF(C867=3,"LOW",IF(C867&lt;=6,"MEDIUM","HIGH"))))</f>
        <v>TRACK</v>
      </c>
      <c r="J867" s="11">
        <f>IF(C867=0,"",ROUND(D867*70+(1-E867)*20+MAX(0,MIN(1,(10-F867)/10))*10,1))</f>
        <v>100.0</v>
      </c>
      <c r="K867" s="14" t="str">
        <f>IF(C867=0,"No Evidence",IF(C867&lt;=2,IF(E867&gt;0,"Explosive Alert","Track Only"),IF(C867=3,"Sample Watch",IF(E867&gt;=START_HERE!$B$31,"Explosive Alert",IF(J867&gt;=80,"Strong Candidate",IF(J867&gt;=65,"Good Candidate",IF(J867&gt;=50,"Mixed / Review","Problem Call")))))))</f>
        <v>Track Only</v>
      </c>
      <c r="L867" s="9" t="str">
        <f>IF(COUNTIFS('DEF_SELF_SCOUT_IMPORT'!$L$42:$L$1040,"Y",'DEF_SELF_SCOUT_IMPORT'!$E$42:$E$1040,SUBSTITUTE(SUBSTITUTE(SUBSTITUTE($B867,"~","~~"),"*","~*"),"?","~?"),'DEF_SELF_SCOUT_IMPORT'!$Q$42:$Q$1040,SUBSTITUTE(SUBSTITUTE(SUBSTITUTE($M867,"~","~~"),"*","~*"),"?","~?"),'DEF_SELF_SCOUT_IMPORT'!$D$42:$D$1040,SUBSTITUTE(SUBSTITUTE(SUBSTITUTE($P867,"~","~~"),"*","~*"),"?","~?"),'DEF_SELF_SCOUT_IMPORT'!$J$42:$J$1040,"")&gt;0,"Unscored clean outcome; review result tags before using score.",IF(C867=0,"No matching defensive reps; film confirmation needed.",IF(K867="Explosive Alert","Explosive risk; review clips before using as answer.",IF(C867&lt;=2,"Track only; not enough sample.",IF(C867=3,IF(E867&gt;0,"Sample watch with explosive exposure; review clips and build the sample.",IF(J867&gt;=65,"Good signal, but sample is limited.","Sample watch; review clips and build the sample.")),IF(K867="Problem Call","Problem area; practice or call-sheet review.",IF(K867="Strong Candidate","Strong call-fit candidate; confirm on film.",IF(K867="Good Candidate","Good call-fit signal; confirm on film.","Mixed signal; review fit and execution on film."))))))))</f>
        <v>Track only; not enough sample.</v>
      </c>
      <c r="M867" s="8" t="s">
        <v>39</v>
      </c>
      <c r="N867" s="8"/>
      <c r="O867" s="8"/>
      <c r="P867" s="8" t="s">
        <v>468</v>
      </c>
      <c r="Q867" s="8"/>
      <c r="R867" s="8" t="s">
        <v>429</v>
      </c>
      <c r="S867" s="2" t="s">
        <v>469</v>
      </c>
      <c r="T867" s="2">
        <f>IF(C867=0,0,IF(C867&gt;=CALL_LOOKUP_BOARD!$B$7,IF(OR(K867="Problem Call",K867="Explosive Alert"),10000000,20000000),0)+IF(C867&gt;=CALL_LOOKUP_BOARD!$B$7,J867*1000+MIN(C867,999),C867*1000+J867)+0.00994300)</f>
        <v>2100.009943</v>
      </c>
      <c r="U867" s="2" t="str">
        <f>IF(C867=0,"",IF(COUNTIFS($S$811:$S$1055,SUBSTITUTE(SUBSTITUTE(SUBSTITUTE(S867,"~","~~"),"*","~*"),"?","~?"),$T$811:$T$1055,"&gt;"&amp;T867)=0,S867,""))</f>
        <v>7:1D 7-10|3:PAP|</v>
      </c>
    </row>
    <row r="868" spans="1:21" ht="38" customHeight="1">
      <c r="A868" s="8" t="s">
        <v>467</v>
      </c>
      <c r="B868" s="8" t="s">
        <v>57</v>
      </c>
      <c r="C868" s="12">
        <f>COUNTIFS('DEF_SELF_SCOUT_IMPORT'!$L$42:$L$1040,"Y",'DEF_SELF_SCOUT_IMPORT'!$E$42:$E$1040,SUBSTITUTE(SUBSTITUTE(SUBSTITUTE($B868,"~","~~"),"*","~*"),"?","~?"),'DEF_SELF_SCOUT_IMPORT'!$Q$42:$Q$1040,SUBSTITUTE(SUBSTITUTE(SUBSTITUTE($M868,"~","~~"),"*","~*"),"?","~?"),'DEF_SELF_SCOUT_IMPORT'!$D$42:$D$1040,SUBSTITUTE(SUBSTITUTE(SUBSTITUTE($P868,"~","~~"),"*","~*"),"?","~?"))</f>
        <v>1</v>
      </c>
      <c r="D868" s="10">
        <f>IF($C868=0,"",SUMIFS('DEF_SELF_SCOUT_IMPORT'!$J$42:$J$1040,'DEF_SELF_SCOUT_IMPORT'!$L$42:$L$1040,"Y",'DEF_SELF_SCOUT_IMPORT'!$E$42:$E$1040,SUBSTITUTE(SUBSTITUTE(SUBSTITUTE($B868,"~","~~"),"*","~*"),"?","~?"),'DEF_SELF_SCOUT_IMPORT'!$Q$42:$Q$1040,SUBSTITUTE(SUBSTITUTE(SUBSTITUTE($M868,"~","~~"),"*","~*"),"?","~?"),'DEF_SELF_SCOUT_IMPORT'!$D$42:$D$1040,SUBSTITUTE(SUBSTITUTE(SUBSTITUTE($P868,"~","~~"),"*","~*"),"?","~?"))/$C868)</f>
        <v>0.0</v>
      </c>
      <c r="E868" s="10">
        <f>IF($C868=0,"",SUMIFS('DEF_SELF_SCOUT_IMPORT'!$K$42:$K$1040,'DEF_SELF_SCOUT_IMPORT'!$L$42:$L$1040,"Y",'DEF_SELF_SCOUT_IMPORT'!$E$42:$E$1040,SUBSTITUTE(SUBSTITUTE(SUBSTITUTE($B868,"~","~~"),"*","~*"),"?","~?"),'DEF_SELF_SCOUT_IMPORT'!$Q$42:$Q$1040,SUBSTITUTE(SUBSTITUTE(SUBSTITUTE($M868,"~","~~"),"*","~*"),"?","~?"),'DEF_SELF_SCOUT_IMPORT'!$D$42:$D$1040,SUBSTITUTE(SUBSTITUTE(SUBSTITUTE($P868,"~","~~"),"*","~*"),"?","~?"))/$C868)</f>
        <v>0.0</v>
      </c>
      <c r="F868" s="11">
        <f>IF($C868=0,"",AVERAGEIFS('DEF_SELF_SCOUT_IMPORT'!$I$42:$I$1040,'DEF_SELF_SCOUT_IMPORT'!$L$42:$L$1040,"Y",'DEF_SELF_SCOUT_IMPORT'!$E$42:$E$1040,SUBSTITUTE(SUBSTITUTE(SUBSTITUTE($B868,"~","~~"),"*","~*"),"?","~?"),'DEF_SELF_SCOUT_IMPORT'!$Q$42:$Q$1040,SUBSTITUTE(SUBSTITUTE(SUBSTITUTE($M868,"~","~~"),"*","~*"),"?","~?"),'DEF_SELF_SCOUT_IMPORT'!$D$42:$D$1040,SUBSTITUTE(SUBSTITUTE(SUBSTITUTE($P868,"~","~~"),"*","~*"),"?","~?")))</f>
        <v>13.0</v>
      </c>
      <c r="G868" s="10">
        <f>IF($C868=0,"",COUNTIFS('DEF_SELF_SCOUT_IMPORT'!$L$42:$L$1040,"Y",'DEF_SELF_SCOUT_IMPORT'!$E$42:$E$1040,SUBSTITUTE(SUBSTITUTE(SUBSTITUTE($B868,"~","~~"),"*","~*"),"?","~?"),'DEF_SELF_SCOUT_IMPORT'!$Q$42:$Q$1040,SUBSTITUTE(SUBSTITUTE(SUBSTITUTE($M868,"~","~~"),"*","~*"),"?","~?"),'DEF_SELF_SCOUT_IMPORT'!$D$42:$D$1040,SUBSTITUTE(SUBSTITUTE(SUBSTITUTE($P868,"~","~~"),"*","~*"),"?","~?"),'DEF_SELF_SCOUT_IMPORT'!$H$42:$H$1040,"RUSH")/$C868)</f>
        <v>0.0</v>
      </c>
      <c r="H868" s="10">
        <f>IF($C868=0,"",COUNTIFS('DEF_SELF_SCOUT_IMPORT'!$L$42:$L$1040,"Y",'DEF_SELF_SCOUT_IMPORT'!$E$42:$E$1040,SUBSTITUTE(SUBSTITUTE(SUBSTITUTE($B868,"~","~~"),"*","~*"),"?","~?"),'DEF_SELF_SCOUT_IMPORT'!$Q$42:$Q$1040,SUBSTITUTE(SUBSTITUTE(SUBSTITUTE($M868,"~","~~"),"*","~*"),"?","~?"),'DEF_SELF_SCOUT_IMPORT'!$D$42:$D$1040,SUBSTITUTE(SUBSTITUTE(SUBSTITUTE($P868,"~","~~"),"*","~*"),"?","~?"),'DEF_SELF_SCOUT_IMPORT'!$H$42:$H$1040,"DROPBACK")/$C868)</f>
        <v>1.0</v>
      </c>
      <c r="I868" s="14" t="str">
        <f>IF(C868=0,"",IF(C868&lt;=2,"TRACK",IF(C868=3,"LOW",IF(C868&lt;=6,"MEDIUM","HIGH"))))</f>
        <v>TRACK</v>
      </c>
      <c r="J868" s="11">
        <f>IF(C868=0,"",ROUND(D868*70+(1-E868)*20+MAX(0,MIN(1,(10-F868)/10))*10,1))</f>
        <v>20.0</v>
      </c>
      <c r="K868" s="14" t="str">
        <f>IF(C868=0,"No Evidence",IF(C868&lt;=2,IF(E868&gt;0,"Explosive Alert","Track Only"),IF(C868=3,"Sample Watch",IF(E868&gt;=START_HERE!$B$31,"Explosive Alert",IF(J868&gt;=80,"Strong Candidate",IF(J868&gt;=65,"Good Candidate",IF(J868&gt;=50,"Mixed / Review","Problem Call")))))))</f>
        <v>Track Only</v>
      </c>
      <c r="L868" s="9" t="str">
        <f>IF(COUNTIFS('DEF_SELF_SCOUT_IMPORT'!$L$42:$L$1040,"Y",'DEF_SELF_SCOUT_IMPORT'!$E$42:$E$1040,SUBSTITUTE(SUBSTITUTE(SUBSTITUTE($B868,"~","~~"),"*","~*"),"?","~?"),'DEF_SELF_SCOUT_IMPORT'!$Q$42:$Q$1040,SUBSTITUTE(SUBSTITUTE(SUBSTITUTE($M868,"~","~~"),"*","~*"),"?","~?"),'DEF_SELF_SCOUT_IMPORT'!$D$42:$D$1040,SUBSTITUTE(SUBSTITUTE(SUBSTITUTE($P868,"~","~~"),"*","~*"),"?","~?"),'DEF_SELF_SCOUT_IMPORT'!$J$42:$J$1040,"")&gt;0,"Unscored clean outcome; review result tags before using score.",IF(C868=0,"No matching defensive reps; film confirmation needed.",IF(K868="Explosive Alert","Explosive risk; review clips before using as answer.",IF(C868&lt;=2,"Track only; not enough sample.",IF(C868=3,IF(E868&gt;0,"Sample watch with explosive exposure; review clips and build the sample.",IF(J868&gt;=65,"Good signal, but sample is limited.","Sample watch; review clips and build the sample.")),IF(K868="Problem Call","Problem area; practice or call-sheet review.",IF(K868="Strong Candidate","Strong call-fit candidate; confirm on film.",IF(K868="Good Candidate","Good call-fit signal; confirm on film.","Mixed signal; review fit and execution on film."))))))))</f>
        <v>Track only; not enough sample.</v>
      </c>
      <c r="M868" s="8" t="s">
        <v>39</v>
      </c>
      <c r="N868" s="8"/>
      <c r="O868" s="8"/>
      <c r="P868" s="8" t="s">
        <v>468</v>
      </c>
      <c r="Q868" s="8"/>
      <c r="R868" s="8" t="s">
        <v>429</v>
      </c>
      <c r="S868" s="2" t="s">
        <v>469</v>
      </c>
      <c r="T868" s="2">
        <f>IF(C868=0,0,IF(C868&gt;=CALL_LOOKUP_BOARD!$B$7,IF(OR(K868="Problem Call",K868="Explosive Alert"),10000000,20000000),0)+IF(C868&gt;=CALL_LOOKUP_BOARD!$B$7,J868*1000+MIN(C868,999),C868*1000+J868)+0.00994200)</f>
        <v>1020.009942</v>
      </c>
      <c r="U868" s="2">
        <f>IF(C868=0,"",IF(COUNTIFS($S$811:$S$1055,SUBSTITUTE(SUBSTITUTE(SUBSTITUTE(S868,"~","~~"),"*","~*"),"?","~?"),$T$811:$T$1055,"&gt;"&amp;T868)=0,S868,""))</f>
        <v/>
      </c>
    </row>
    <row r="869" spans="1:21" ht="38" customHeight="1">
      <c r="A869" s="8" t="s">
        <v>467</v>
      </c>
      <c r="B869" s="8" t="s">
        <v>35</v>
      </c>
      <c r="C869" s="12">
        <f>COUNTIFS('DEF_SELF_SCOUT_IMPORT'!$L$42:$L$1040,"Y",'DEF_SELF_SCOUT_IMPORT'!$E$42:$E$1040,SUBSTITUTE(SUBSTITUTE(SUBSTITUTE($B869,"~","~~"),"*","~*"),"?","~?"),'DEF_SELF_SCOUT_IMPORT'!$Q$42:$Q$1040,SUBSTITUTE(SUBSTITUTE(SUBSTITUTE($M869,"~","~~"),"*","~*"),"?","~?"),'DEF_SELF_SCOUT_IMPORT'!$D$42:$D$1040,SUBSTITUTE(SUBSTITUTE(SUBSTITUTE($P869,"~","~~"),"*","~*"),"?","~?"))</f>
        <v>1</v>
      </c>
      <c r="D869" s="10">
        <f>IF($C869=0,"",SUMIFS('DEF_SELF_SCOUT_IMPORT'!$J$42:$J$1040,'DEF_SELF_SCOUT_IMPORT'!$L$42:$L$1040,"Y",'DEF_SELF_SCOUT_IMPORT'!$E$42:$E$1040,SUBSTITUTE(SUBSTITUTE(SUBSTITUTE($B869,"~","~~"),"*","~*"),"?","~?"),'DEF_SELF_SCOUT_IMPORT'!$Q$42:$Q$1040,SUBSTITUTE(SUBSTITUTE(SUBSTITUTE($M869,"~","~~"),"*","~*"),"?","~?"),'DEF_SELF_SCOUT_IMPORT'!$D$42:$D$1040,SUBSTITUTE(SUBSTITUTE(SUBSTITUTE($P869,"~","~~"),"*","~*"),"?","~?"))/$C869)</f>
        <v>1.0</v>
      </c>
      <c r="E869" s="10">
        <f>IF($C869=0,"",SUMIFS('DEF_SELF_SCOUT_IMPORT'!$K$42:$K$1040,'DEF_SELF_SCOUT_IMPORT'!$L$42:$L$1040,"Y",'DEF_SELF_SCOUT_IMPORT'!$E$42:$E$1040,SUBSTITUTE(SUBSTITUTE(SUBSTITUTE($B869,"~","~~"),"*","~*"),"?","~?"),'DEF_SELF_SCOUT_IMPORT'!$Q$42:$Q$1040,SUBSTITUTE(SUBSTITUTE(SUBSTITUTE($M869,"~","~~"),"*","~*"),"?","~?"),'DEF_SELF_SCOUT_IMPORT'!$D$42:$D$1040,SUBSTITUTE(SUBSTITUTE(SUBSTITUTE($P869,"~","~~"),"*","~*"),"?","~?"))/$C869)</f>
        <v>0.0</v>
      </c>
      <c r="F869" s="11">
        <f>IF($C869=0,"",AVERAGEIFS('DEF_SELF_SCOUT_IMPORT'!$I$42:$I$1040,'DEF_SELF_SCOUT_IMPORT'!$L$42:$L$1040,"Y",'DEF_SELF_SCOUT_IMPORT'!$E$42:$E$1040,SUBSTITUTE(SUBSTITUTE(SUBSTITUTE($B869,"~","~~"),"*","~*"),"?","~?"),'DEF_SELF_SCOUT_IMPORT'!$Q$42:$Q$1040,SUBSTITUTE(SUBSTITUTE(SUBSTITUTE($M869,"~","~~"),"*","~*"),"?","~?"),'DEF_SELF_SCOUT_IMPORT'!$D$42:$D$1040,SUBSTITUTE(SUBSTITUTE(SUBSTITUTE($P869,"~","~~"),"*","~*"),"?","~?")))</f>
        <v>0.0</v>
      </c>
      <c r="G869" s="10">
        <f>IF($C869=0,"",COUNTIFS('DEF_SELF_SCOUT_IMPORT'!$L$42:$L$1040,"Y",'DEF_SELF_SCOUT_IMPORT'!$E$42:$E$1040,SUBSTITUTE(SUBSTITUTE(SUBSTITUTE($B869,"~","~~"),"*","~*"),"?","~?"),'DEF_SELF_SCOUT_IMPORT'!$Q$42:$Q$1040,SUBSTITUTE(SUBSTITUTE(SUBSTITUTE($M869,"~","~~"),"*","~*"),"?","~?"),'DEF_SELF_SCOUT_IMPORT'!$D$42:$D$1040,SUBSTITUTE(SUBSTITUTE(SUBSTITUTE($P869,"~","~~"),"*","~*"),"?","~?"),'DEF_SELF_SCOUT_IMPORT'!$H$42:$H$1040,"RUSH")/$C869)</f>
        <v>0.0</v>
      </c>
      <c r="H869" s="10">
        <f>IF($C869=0,"",COUNTIFS('DEF_SELF_SCOUT_IMPORT'!$L$42:$L$1040,"Y",'DEF_SELF_SCOUT_IMPORT'!$E$42:$E$1040,SUBSTITUTE(SUBSTITUTE(SUBSTITUTE($B869,"~","~~"),"*","~*"),"?","~?"),'DEF_SELF_SCOUT_IMPORT'!$Q$42:$Q$1040,SUBSTITUTE(SUBSTITUTE(SUBSTITUTE($M869,"~","~~"),"*","~*"),"?","~?"),'DEF_SELF_SCOUT_IMPORT'!$D$42:$D$1040,SUBSTITUTE(SUBSTITUTE(SUBSTITUTE($P869,"~","~~"),"*","~*"),"?","~?"),'DEF_SELF_SCOUT_IMPORT'!$H$42:$H$1040,"DROPBACK")/$C869)</f>
        <v>1.0</v>
      </c>
      <c r="I869" s="14" t="str">
        <f>IF(C869=0,"",IF(C869&lt;=2,"TRACK",IF(C869=3,"LOW",IF(C869&lt;=6,"MEDIUM","HIGH"))))</f>
        <v>TRACK</v>
      </c>
      <c r="J869" s="11">
        <f>IF(C869=0,"",ROUND(D869*70+(1-E869)*20+MAX(0,MIN(1,(10-F869)/10))*10,1))</f>
        <v>100.0</v>
      </c>
      <c r="K869" s="14" t="str">
        <f>IF(C869=0,"No Evidence",IF(C869&lt;=2,IF(E869&gt;0,"Explosive Alert","Track Only"),IF(C869=3,"Sample Watch",IF(E869&gt;=START_HERE!$B$31,"Explosive Alert",IF(J869&gt;=80,"Strong Candidate",IF(J869&gt;=65,"Good Candidate",IF(J869&gt;=50,"Mixed / Review","Problem Call")))))))</f>
        <v>Track Only</v>
      </c>
      <c r="L869" s="9" t="str">
        <f>IF(COUNTIFS('DEF_SELF_SCOUT_IMPORT'!$L$42:$L$1040,"Y",'DEF_SELF_SCOUT_IMPORT'!$E$42:$E$1040,SUBSTITUTE(SUBSTITUTE(SUBSTITUTE($B869,"~","~~"),"*","~*"),"?","~?"),'DEF_SELF_SCOUT_IMPORT'!$Q$42:$Q$1040,SUBSTITUTE(SUBSTITUTE(SUBSTITUTE($M869,"~","~~"),"*","~*"),"?","~?"),'DEF_SELF_SCOUT_IMPORT'!$D$42:$D$1040,SUBSTITUTE(SUBSTITUTE(SUBSTITUTE($P869,"~","~~"),"*","~*"),"?","~?"),'DEF_SELF_SCOUT_IMPORT'!$J$42:$J$1040,"")&gt;0,"Unscored clean outcome; review result tags before using score.",IF(C869=0,"No matching defensive reps; film confirmation needed.",IF(K869="Explosive Alert","Explosive risk; review clips before using as answer.",IF(C869&lt;=2,"Track only; not enough sample.",IF(C869=3,IF(E869&gt;0,"Sample watch with explosive exposure; review clips and build the sample.",IF(J869&gt;=65,"Good signal, but sample is limited.","Sample watch; review clips and build the sample.")),IF(K869="Problem Call","Problem area; practice or call-sheet review.",IF(K869="Strong Candidate","Strong call-fit candidate; confirm on film.",IF(K869="Good Candidate","Good call-fit signal; confirm on film.","Mixed signal; review fit and execution on film."))))))))</f>
        <v>Track only; not enough sample.</v>
      </c>
      <c r="M869" s="8" t="s">
        <v>39</v>
      </c>
      <c r="N869" s="8"/>
      <c r="O869" s="8"/>
      <c r="P869" s="8" t="s">
        <v>468</v>
      </c>
      <c r="Q869" s="8"/>
      <c r="R869" s="8" t="s">
        <v>429</v>
      </c>
      <c r="S869" s="2" t="s">
        <v>469</v>
      </c>
      <c r="T869" s="2">
        <f>IF(C869=0,0,IF(C869&gt;=CALL_LOOKUP_BOARD!$B$7,IF(OR(K869="Problem Call",K869="Explosive Alert"),10000000,20000000),0)+IF(C869&gt;=CALL_LOOKUP_BOARD!$B$7,J869*1000+MIN(C869,999),C869*1000+J869)+0.00994100)</f>
        <v>1100.009941</v>
      </c>
      <c r="U869" s="2">
        <f>IF(C869=0,"",IF(COUNTIFS($S$811:$S$1055,SUBSTITUTE(SUBSTITUTE(SUBSTITUTE(S869,"~","~~"),"*","~*"),"?","~?"),$T$811:$T$1055,"&gt;"&amp;T869)=0,S869,""))</f>
        <v/>
      </c>
    </row>
    <row r="870" spans="1:21" ht="38" customHeight="1">
      <c r="A870" s="8" t="s">
        <v>467</v>
      </c>
      <c r="B870" s="8" t="s">
        <v>61</v>
      </c>
      <c r="C870" s="12">
        <f>COUNTIFS('DEF_SELF_SCOUT_IMPORT'!$L$42:$L$1040,"Y",'DEF_SELF_SCOUT_IMPORT'!$E$42:$E$1040,SUBSTITUTE(SUBSTITUTE(SUBSTITUTE($B870,"~","~~"),"*","~*"),"?","~?"),'DEF_SELF_SCOUT_IMPORT'!$Q$42:$Q$1040,SUBSTITUTE(SUBSTITUTE(SUBSTITUTE($M870,"~","~~"),"*","~*"),"?","~?"),'DEF_SELF_SCOUT_IMPORT'!$D$42:$D$1040,SUBSTITUTE(SUBSTITUTE(SUBSTITUTE($P870,"~","~~"),"*","~*"),"?","~?"))</f>
        <v>1</v>
      </c>
      <c r="D870" s="10">
        <f>IF($C870=0,"",SUMIFS('DEF_SELF_SCOUT_IMPORT'!$J$42:$J$1040,'DEF_SELF_SCOUT_IMPORT'!$L$42:$L$1040,"Y",'DEF_SELF_SCOUT_IMPORT'!$E$42:$E$1040,SUBSTITUTE(SUBSTITUTE(SUBSTITUTE($B870,"~","~~"),"*","~*"),"?","~?"),'DEF_SELF_SCOUT_IMPORT'!$Q$42:$Q$1040,SUBSTITUTE(SUBSTITUTE(SUBSTITUTE($M870,"~","~~"),"*","~*"),"?","~?"),'DEF_SELF_SCOUT_IMPORT'!$D$42:$D$1040,SUBSTITUTE(SUBSTITUTE(SUBSTITUTE($P870,"~","~~"),"*","~*"),"?","~?"))/$C870)</f>
        <v>1.0</v>
      </c>
      <c r="E870" s="10">
        <f>IF($C870=0,"",SUMIFS('DEF_SELF_SCOUT_IMPORT'!$K$42:$K$1040,'DEF_SELF_SCOUT_IMPORT'!$L$42:$L$1040,"Y",'DEF_SELF_SCOUT_IMPORT'!$E$42:$E$1040,SUBSTITUTE(SUBSTITUTE(SUBSTITUTE($B870,"~","~~"),"*","~*"),"?","~?"),'DEF_SELF_SCOUT_IMPORT'!$Q$42:$Q$1040,SUBSTITUTE(SUBSTITUTE(SUBSTITUTE($M870,"~","~~"),"*","~*"),"?","~?"),'DEF_SELF_SCOUT_IMPORT'!$D$42:$D$1040,SUBSTITUTE(SUBSTITUTE(SUBSTITUTE($P870,"~","~~"),"*","~*"),"?","~?"))/$C870)</f>
        <v>0.0</v>
      </c>
      <c r="F870" s="11">
        <f>IF($C870=0,"",AVERAGEIFS('DEF_SELF_SCOUT_IMPORT'!$I$42:$I$1040,'DEF_SELF_SCOUT_IMPORT'!$L$42:$L$1040,"Y",'DEF_SELF_SCOUT_IMPORT'!$E$42:$E$1040,SUBSTITUTE(SUBSTITUTE(SUBSTITUTE($B870,"~","~~"),"*","~*"),"?","~?"),'DEF_SELF_SCOUT_IMPORT'!$Q$42:$Q$1040,SUBSTITUTE(SUBSTITUTE(SUBSTITUTE($M870,"~","~~"),"*","~*"),"?","~?"),'DEF_SELF_SCOUT_IMPORT'!$D$42:$D$1040,SUBSTITUTE(SUBSTITUTE(SUBSTITUTE($P870,"~","~~"),"*","~*"),"?","~?")))</f>
        <v>3.0</v>
      </c>
      <c r="G870" s="10">
        <f>IF($C870=0,"",COUNTIFS('DEF_SELF_SCOUT_IMPORT'!$L$42:$L$1040,"Y",'DEF_SELF_SCOUT_IMPORT'!$E$42:$E$1040,SUBSTITUTE(SUBSTITUTE(SUBSTITUTE($B870,"~","~~"),"*","~*"),"?","~?"),'DEF_SELF_SCOUT_IMPORT'!$Q$42:$Q$1040,SUBSTITUTE(SUBSTITUTE(SUBSTITUTE($M870,"~","~~"),"*","~*"),"?","~?"),'DEF_SELF_SCOUT_IMPORT'!$D$42:$D$1040,SUBSTITUTE(SUBSTITUTE(SUBSTITUTE($P870,"~","~~"),"*","~*"),"?","~?"),'DEF_SELF_SCOUT_IMPORT'!$H$42:$H$1040,"RUSH")/$C870)</f>
        <v>0.0</v>
      </c>
      <c r="H870" s="10">
        <f>IF($C870=0,"",COUNTIFS('DEF_SELF_SCOUT_IMPORT'!$L$42:$L$1040,"Y",'DEF_SELF_SCOUT_IMPORT'!$E$42:$E$1040,SUBSTITUTE(SUBSTITUTE(SUBSTITUTE($B870,"~","~~"),"*","~*"),"?","~?"),'DEF_SELF_SCOUT_IMPORT'!$Q$42:$Q$1040,SUBSTITUTE(SUBSTITUTE(SUBSTITUTE($M870,"~","~~"),"*","~*"),"?","~?"),'DEF_SELF_SCOUT_IMPORT'!$D$42:$D$1040,SUBSTITUTE(SUBSTITUTE(SUBSTITUTE($P870,"~","~~"),"*","~*"),"?","~?"),'DEF_SELF_SCOUT_IMPORT'!$H$42:$H$1040,"DROPBACK")/$C870)</f>
        <v>1.0</v>
      </c>
      <c r="I870" s="14" t="str">
        <f>IF(C870=0,"",IF(C870&lt;=2,"TRACK",IF(C870=3,"LOW",IF(C870&lt;=6,"MEDIUM","HIGH"))))</f>
        <v>TRACK</v>
      </c>
      <c r="J870" s="11">
        <f>IF(C870=0,"",ROUND(D870*70+(1-E870)*20+MAX(0,MIN(1,(10-F870)/10))*10,1))</f>
        <v>97.0</v>
      </c>
      <c r="K870" s="14" t="str">
        <f>IF(C870=0,"No Evidence",IF(C870&lt;=2,IF(E870&gt;0,"Explosive Alert","Track Only"),IF(C870=3,"Sample Watch",IF(E870&gt;=START_HERE!$B$31,"Explosive Alert",IF(J870&gt;=80,"Strong Candidate",IF(J870&gt;=65,"Good Candidate",IF(J870&gt;=50,"Mixed / Review","Problem Call")))))))</f>
        <v>Track Only</v>
      </c>
      <c r="L870" s="9" t="str">
        <f>IF(COUNTIFS('DEF_SELF_SCOUT_IMPORT'!$L$42:$L$1040,"Y",'DEF_SELF_SCOUT_IMPORT'!$E$42:$E$1040,SUBSTITUTE(SUBSTITUTE(SUBSTITUTE($B870,"~","~~"),"*","~*"),"?","~?"),'DEF_SELF_SCOUT_IMPORT'!$Q$42:$Q$1040,SUBSTITUTE(SUBSTITUTE(SUBSTITUTE($M870,"~","~~"),"*","~*"),"?","~?"),'DEF_SELF_SCOUT_IMPORT'!$D$42:$D$1040,SUBSTITUTE(SUBSTITUTE(SUBSTITUTE($P870,"~","~~"),"*","~*"),"?","~?"),'DEF_SELF_SCOUT_IMPORT'!$J$42:$J$1040,"")&gt;0,"Unscored clean outcome; review result tags before using score.",IF(C870=0,"No matching defensive reps; film confirmation needed.",IF(K870="Explosive Alert","Explosive risk; review clips before using as answer.",IF(C870&lt;=2,"Track only; not enough sample.",IF(C870=3,IF(E870&gt;0,"Sample watch with explosive exposure; review clips and build the sample.",IF(J870&gt;=65,"Good signal, but sample is limited.","Sample watch; review clips and build the sample.")),IF(K870="Problem Call","Problem area; practice or call-sheet review.",IF(K870="Strong Candidate","Strong call-fit candidate; confirm on film.",IF(K870="Good Candidate","Good call-fit signal; confirm on film.","Mixed signal; review fit and execution on film."))))))))</f>
        <v>Track only; not enough sample.</v>
      </c>
      <c r="M870" s="8" t="s">
        <v>39</v>
      </c>
      <c r="N870" s="8"/>
      <c r="O870" s="8"/>
      <c r="P870" s="8" t="s">
        <v>468</v>
      </c>
      <c r="Q870" s="8"/>
      <c r="R870" s="8" t="s">
        <v>429</v>
      </c>
      <c r="S870" s="2" t="s">
        <v>469</v>
      </c>
      <c r="T870" s="2">
        <f>IF(C870=0,0,IF(C870&gt;=CALL_LOOKUP_BOARD!$B$7,IF(OR(K870="Problem Call",K870="Explosive Alert"),10000000,20000000),0)+IF(C870&gt;=CALL_LOOKUP_BOARD!$B$7,J870*1000+MIN(C870,999),C870*1000+J870)+0.00994000)</f>
        <v>1097.00994</v>
      </c>
      <c r="U870" s="2">
        <f>IF(C870=0,"",IF(COUNTIFS($S$811:$S$1055,SUBSTITUTE(SUBSTITUTE(SUBSTITUTE(S870,"~","~~"),"*","~*"),"?","~?"),$T$811:$T$1055,"&gt;"&amp;T870)=0,S870,""))</f>
        <v/>
      </c>
    </row>
    <row r="871" spans="1:21" ht="38" customHeight="1">
      <c r="A871" s="8" t="s">
        <v>467</v>
      </c>
      <c r="B871" s="8" t="s">
        <v>64</v>
      </c>
      <c r="C871" s="12">
        <f>COUNTIFS('DEF_SELF_SCOUT_IMPORT'!$L$42:$L$1040,"Y",'DEF_SELF_SCOUT_IMPORT'!$E$42:$E$1040,SUBSTITUTE(SUBSTITUTE(SUBSTITUTE($B871,"~","~~"),"*","~*"),"?","~?"),'DEF_SELF_SCOUT_IMPORT'!$Q$42:$Q$1040,SUBSTITUTE(SUBSTITUTE(SUBSTITUTE($M871,"~","~~"),"*","~*"),"?","~?"),'DEF_SELF_SCOUT_IMPORT'!$D$42:$D$1040,SUBSTITUTE(SUBSTITUTE(SUBSTITUTE($P871,"~","~~"),"*","~*"),"?","~?"))</f>
        <v>1</v>
      </c>
      <c r="D871" s="10">
        <f>IF($C871=0,"",SUMIFS('DEF_SELF_SCOUT_IMPORT'!$J$42:$J$1040,'DEF_SELF_SCOUT_IMPORT'!$L$42:$L$1040,"Y",'DEF_SELF_SCOUT_IMPORT'!$E$42:$E$1040,SUBSTITUTE(SUBSTITUTE(SUBSTITUTE($B871,"~","~~"),"*","~*"),"?","~?"),'DEF_SELF_SCOUT_IMPORT'!$Q$42:$Q$1040,SUBSTITUTE(SUBSTITUTE(SUBSTITUTE($M871,"~","~~"),"*","~*"),"?","~?"),'DEF_SELF_SCOUT_IMPORT'!$D$42:$D$1040,SUBSTITUTE(SUBSTITUTE(SUBSTITUTE($P871,"~","~~"),"*","~*"),"?","~?"))/$C871)</f>
        <v>1.0</v>
      </c>
      <c r="E871" s="10">
        <f>IF($C871=0,"",SUMIFS('DEF_SELF_SCOUT_IMPORT'!$K$42:$K$1040,'DEF_SELF_SCOUT_IMPORT'!$L$42:$L$1040,"Y",'DEF_SELF_SCOUT_IMPORT'!$E$42:$E$1040,SUBSTITUTE(SUBSTITUTE(SUBSTITUTE($B871,"~","~~"),"*","~*"),"?","~?"),'DEF_SELF_SCOUT_IMPORT'!$Q$42:$Q$1040,SUBSTITUTE(SUBSTITUTE(SUBSTITUTE($M871,"~","~~"),"*","~*"),"?","~?"),'DEF_SELF_SCOUT_IMPORT'!$D$42:$D$1040,SUBSTITUTE(SUBSTITUTE(SUBSTITUTE($P871,"~","~~"),"*","~*"),"?","~?"))/$C871)</f>
        <v>0.0</v>
      </c>
      <c r="F871" s="11">
        <f>IF($C871=0,"",AVERAGEIFS('DEF_SELF_SCOUT_IMPORT'!$I$42:$I$1040,'DEF_SELF_SCOUT_IMPORT'!$L$42:$L$1040,"Y",'DEF_SELF_SCOUT_IMPORT'!$E$42:$E$1040,SUBSTITUTE(SUBSTITUTE(SUBSTITUTE($B871,"~","~~"),"*","~*"),"?","~?"),'DEF_SELF_SCOUT_IMPORT'!$Q$42:$Q$1040,SUBSTITUTE(SUBSTITUTE(SUBSTITUTE($M871,"~","~~"),"*","~*"),"?","~?"),'DEF_SELF_SCOUT_IMPORT'!$D$42:$D$1040,SUBSTITUTE(SUBSTITUTE(SUBSTITUTE($P871,"~","~~"),"*","~*"),"?","~?")))</f>
        <v>1.0</v>
      </c>
      <c r="G871" s="10">
        <f>IF($C871=0,"",COUNTIFS('DEF_SELF_SCOUT_IMPORT'!$L$42:$L$1040,"Y",'DEF_SELF_SCOUT_IMPORT'!$E$42:$E$1040,SUBSTITUTE(SUBSTITUTE(SUBSTITUTE($B871,"~","~~"),"*","~*"),"?","~?"),'DEF_SELF_SCOUT_IMPORT'!$Q$42:$Q$1040,SUBSTITUTE(SUBSTITUTE(SUBSTITUTE($M871,"~","~~"),"*","~*"),"?","~?"),'DEF_SELF_SCOUT_IMPORT'!$D$42:$D$1040,SUBSTITUTE(SUBSTITUTE(SUBSTITUTE($P871,"~","~~"),"*","~*"),"?","~?"),'DEF_SELF_SCOUT_IMPORT'!$H$42:$H$1040,"RUSH")/$C871)</f>
        <v>0.0</v>
      </c>
      <c r="H871" s="10">
        <f>IF($C871=0,"",COUNTIFS('DEF_SELF_SCOUT_IMPORT'!$L$42:$L$1040,"Y",'DEF_SELF_SCOUT_IMPORT'!$E$42:$E$1040,SUBSTITUTE(SUBSTITUTE(SUBSTITUTE($B871,"~","~~"),"*","~*"),"?","~?"),'DEF_SELF_SCOUT_IMPORT'!$Q$42:$Q$1040,SUBSTITUTE(SUBSTITUTE(SUBSTITUTE($M871,"~","~~"),"*","~*"),"?","~?"),'DEF_SELF_SCOUT_IMPORT'!$D$42:$D$1040,SUBSTITUTE(SUBSTITUTE(SUBSTITUTE($P871,"~","~~"),"*","~*"),"?","~?"),'DEF_SELF_SCOUT_IMPORT'!$H$42:$H$1040,"DROPBACK")/$C871)</f>
        <v>1.0</v>
      </c>
      <c r="I871" s="14" t="str">
        <f>IF(C871=0,"",IF(C871&lt;=2,"TRACK",IF(C871=3,"LOW",IF(C871&lt;=6,"MEDIUM","HIGH"))))</f>
        <v>TRACK</v>
      </c>
      <c r="J871" s="11">
        <f>IF(C871=0,"",ROUND(D871*70+(1-E871)*20+MAX(0,MIN(1,(10-F871)/10))*10,1))</f>
        <v>99.0</v>
      </c>
      <c r="K871" s="14" t="str">
        <f>IF(C871=0,"No Evidence",IF(C871&lt;=2,IF(E871&gt;0,"Explosive Alert","Track Only"),IF(C871=3,"Sample Watch",IF(E871&gt;=START_HERE!$B$31,"Explosive Alert",IF(J871&gt;=80,"Strong Candidate",IF(J871&gt;=65,"Good Candidate",IF(J871&gt;=50,"Mixed / Review","Problem Call")))))))</f>
        <v>Track Only</v>
      </c>
      <c r="L871" s="9" t="str">
        <f>IF(COUNTIFS('DEF_SELF_SCOUT_IMPORT'!$L$42:$L$1040,"Y",'DEF_SELF_SCOUT_IMPORT'!$E$42:$E$1040,SUBSTITUTE(SUBSTITUTE(SUBSTITUTE($B871,"~","~~"),"*","~*"),"?","~?"),'DEF_SELF_SCOUT_IMPORT'!$Q$42:$Q$1040,SUBSTITUTE(SUBSTITUTE(SUBSTITUTE($M871,"~","~~"),"*","~*"),"?","~?"),'DEF_SELF_SCOUT_IMPORT'!$D$42:$D$1040,SUBSTITUTE(SUBSTITUTE(SUBSTITUTE($P871,"~","~~"),"*","~*"),"?","~?"),'DEF_SELF_SCOUT_IMPORT'!$J$42:$J$1040,"")&gt;0,"Unscored clean outcome; review result tags before using score.",IF(C871=0,"No matching defensive reps; film confirmation needed.",IF(K871="Explosive Alert","Explosive risk; review clips before using as answer.",IF(C871&lt;=2,"Track only; not enough sample.",IF(C871=3,IF(E871&gt;0,"Sample watch with explosive exposure; review clips and build the sample.",IF(J871&gt;=65,"Good signal, but sample is limited.","Sample watch; review clips and build the sample.")),IF(K871="Problem Call","Problem area; practice or call-sheet review.",IF(K871="Strong Candidate","Strong call-fit candidate; confirm on film.",IF(K871="Good Candidate","Good call-fit signal; confirm on film.","Mixed signal; review fit and execution on film."))))))))</f>
        <v>Track only; not enough sample.</v>
      </c>
      <c r="M871" s="8" t="s">
        <v>39</v>
      </c>
      <c r="N871" s="8"/>
      <c r="O871" s="8"/>
      <c r="P871" s="8" t="s">
        <v>468</v>
      </c>
      <c r="Q871" s="8"/>
      <c r="R871" s="8" t="s">
        <v>429</v>
      </c>
      <c r="S871" s="2" t="s">
        <v>469</v>
      </c>
      <c r="T871" s="2">
        <f>IF(C871=0,0,IF(C871&gt;=CALL_LOOKUP_BOARD!$B$7,IF(OR(K871="Problem Call",K871="Explosive Alert"),10000000,20000000),0)+IF(C871&gt;=CALL_LOOKUP_BOARD!$B$7,J871*1000+MIN(C871,999),C871*1000+J871)+0.00993900)</f>
        <v>1099.009939</v>
      </c>
      <c r="U871" s="2">
        <f>IF(C871=0,"",IF(COUNTIFS($S$811:$S$1055,SUBSTITUTE(SUBSTITUTE(SUBSTITUTE(S871,"~","~~"),"*","~*"),"?","~?"),$T$811:$T$1055,"&gt;"&amp;T871)=0,S871,""))</f>
        <v/>
      </c>
    </row>
    <row r="872" spans="1:21" ht="38" customHeight="1">
      <c r="A872" s="8" t="s">
        <v>470</v>
      </c>
      <c r="B872" s="8" t="s">
        <v>46</v>
      </c>
      <c r="C872" s="12">
        <f>COUNTIFS('DEF_SELF_SCOUT_IMPORT'!$L$42:$L$1040,"Y",'DEF_SELF_SCOUT_IMPORT'!$E$42:$E$1040,SUBSTITUTE(SUBSTITUTE(SUBSTITUTE($B872,"~","~~"),"*","~*"),"?","~?"),'DEF_SELF_SCOUT_IMPORT'!$Q$42:$Q$1040,SUBSTITUTE(SUBSTITUTE(SUBSTITUTE($M872,"~","~~"),"*","~*"),"?","~?"),'DEF_SELF_SCOUT_IMPORT'!$D$42:$D$1040,SUBSTITUTE(SUBSTITUTE(SUBSTITUTE($P872,"~","~~"),"*","~*"),"?","~?"))</f>
        <v>1</v>
      </c>
      <c r="D872" s="10">
        <f>IF($C872=0,"",SUMIFS('DEF_SELF_SCOUT_IMPORT'!$J$42:$J$1040,'DEF_SELF_SCOUT_IMPORT'!$L$42:$L$1040,"Y",'DEF_SELF_SCOUT_IMPORT'!$E$42:$E$1040,SUBSTITUTE(SUBSTITUTE(SUBSTITUTE($B872,"~","~~"),"*","~*"),"?","~?"),'DEF_SELF_SCOUT_IMPORT'!$Q$42:$Q$1040,SUBSTITUTE(SUBSTITUTE(SUBSTITUTE($M872,"~","~~"),"*","~*"),"?","~?"),'DEF_SELF_SCOUT_IMPORT'!$D$42:$D$1040,SUBSTITUTE(SUBSTITUTE(SUBSTITUTE($P872,"~","~~"),"*","~*"),"?","~?"))/$C872)</f>
        <v>0.0</v>
      </c>
      <c r="E872" s="10">
        <f>IF($C872=0,"",SUMIFS('DEF_SELF_SCOUT_IMPORT'!$K$42:$K$1040,'DEF_SELF_SCOUT_IMPORT'!$L$42:$L$1040,"Y",'DEF_SELF_SCOUT_IMPORT'!$E$42:$E$1040,SUBSTITUTE(SUBSTITUTE(SUBSTITUTE($B872,"~","~~"),"*","~*"),"?","~?"),'DEF_SELF_SCOUT_IMPORT'!$Q$42:$Q$1040,SUBSTITUTE(SUBSTITUTE(SUBSTITUTE($M872,"~","~~"),"*","~*"),"?","~?"),'DEF_SELF_SCOUT_IMPORT'!$D$42:$D$1040,SUBSTITUTE(SUBSTITUTE(SUBSTITUTE($P872,"~","~~"),"*","~*"),"?","~?"))/$C872)</f>
        <v>1.0</v>
      </c>
      <c r="F872" s="11">
        <f>IF($C872=0,"",AVERAGEIFS('DEF_SELF_SCOUT_IMPORT'!$I$42:$I$1040,'DEF_SELF_SCOUT_IMPORT'!$L$42:$L$1040,"Y",'DEF_SELF_SCOUT_IMPORT'!$E$42:$E$1040,SUBSTITUTE(SUBSTITUTE(SUBSTITUTE($B872,"~","~~"),"*","~*"),"?","~?"),'DEF_SELF_SCOUT_IMPORT'!$Q$42:$Q$1040,SUBSTITUTE(SUBSTITUTE(SUBSTITUTE($M872,"~","~~"),"*","~*"),"?","~?"),'DEF_SELF_SCOUT_IMPORT'!$D$42:$D$1040,SUBSTITUTE(SUBSTITUTE(SUBSTITUTE($P872,"~","~~"),"*","~*"),"?","~?")))</f>
        <v>24.0</v>
      </c>
      <c r="G872" s="10">
        <f>IF($C872=0,"",COUNTIFS('DEF_SELF_SCOUT_IMPORT'!$L$42:$L$1040,"Y",'DEF_SELF_SCOUT_IMPORT'!$E$42:$E$1040,SUBSTITUTE(SUBSTITUTE(SUBSTITUTE($B872,"~","~~"),"*","~*"),"?","~?"),'DEF_SELF_SCOUT_IMPORT'!$Q$42:$Q$1040,SUBSTITUTE(SUBSTITUTE(SUBSTITUTE($M872,"~","~~"),"*","~*"),"?","~?"),'DEF_SELF_SCOUT_IMPORT'!$D$42:$D$1040,SUBSTITUTE(SUBSTITUTE(SUBSTITUTE($P872,"~","~~"),"*","~*"),"?","~?"),'DEF_SELF_SCOUT_IMPORT'!$H$42:$H$1040,"RUSH")/$C872)</f>
        <v>0.0</v>
      </c>
      <c r="H872" s="10">
        <f>IF($C872=0,"",COUNTIFS('DEF_SELF_SCOUT_IMPORT'!$L$42:$L$1040,"Y",'DEF_SELF_SCOUT_IMPORT'!$E$42:$E$1040,SUBSTITUTE(SUBSTITUTE(SUBSTITUTE($B872,"~","~~"),"*","~*"),"?","~?"),'DEF_SELF_SCOUT_IMPORT'!$Q$42:$Q$1040,SUBSTITUTE(SUBSTITUTE(SUBSTITUTE($M872,"~","~~"),"*","~*"),"?","~?"),'DEF_SELF_SCOUT_IMPORT'!$D$42:$D$1040,SUBSTITUTE(SUBSTITUTE(SUBSTITUTE($P872,"~","~~"),"*","~*"),"?","~?"),'DEF_SELF_SCOUT_IMPORT'!$H$42:$H$1040,"DROPBACK")/$C872)</f>
        <v>1.0</v>
      </c>
      <c r="I872" s="14" t="str">
        <f>IF(C872=0,"",IF(C872&lt;=2,"TRACK",IF(C872=3,"LOW",IF(C872&lt;=6,"MEDIUM","HIGH"))))</f>
        <v>TRACK</v>
      </c>
      <c r="J872" s="11">
        <f>IF(C872=0,"",ROUND(D872*70+(1-E872)*20+MAX(0,MIN(1,(10-F872)/10))*10,1))</f>
        <v>0.0</v>
      </c>
      <c r="K872" s="14" t="str">
        <f>IF(C872=0,"No Evidence",IF(C872&lt;=2,IF(E872&gt;0,"Explosive Alert","Track Only"),IF(C872=3,"Sample Watch",IF(E872&gt;=START_HERE!$B$31,"Explosive Alert",IF(J872&gt;=80,"Strong Candidate",IF(J872&gt;=65,"Good Candidate",IF(J872&gt;=50,"Mixed / Review","Problem Call")))))))</f>
        <v>Explosive Alert</v>
      </c>
      <c r="L872" s="9" t="str">
        <f>IF(COUNTIFS('DEF_SELF_SCOUT_IMPORT'!$L$42:$L$1040,"Y",'DEF_SELF_SCOUT_IMPORT'!$E$42:$E$1040,SUBSTITUTE(SUBSTITUTE(SUBSTITUTE($B872,"~","~~"),"*","~*"),"?","~?"),'DEF_SELF_SCOUT_IMPORT'!$Q$42:$Q$1040,SUBSTITUTE(SUBSTITUTE(SUBSTITUTE($M872,"~","~~"),"*","~*"),"?","~?"),'DEF_SELF_SCOUT_IMPORT'!$D$42:$D$1040,SUBSTITUTE(SUBSTITUTE(SUBSTITUTE($P872,"~","~~"),"*","~*"),"?","~?"),'DEF_SELF_SCOUT_IMPORT'!$J$42:$J$1040,"")&gt;0,"Unscored clean outcome; review result tags before using score.",IF(C872=0,"No matching defensive reps; film confirmation needed.",IF(K872="Explosive Alert","Explosive risk; review clips before using as answer.",IF(C872&lt;=2,"Track only; not enough sample.",IF(C872=3,IF(E872&gt;0,"Sample watch with explosive exposure; review clips and build the sample.",IF(J872&gt;=65,"Good signal, but sample is limited.","Sample watch; review clips and build the sample.")),IF(K872="Problem Call","Problem area; practice or call-sheet review.",IF(K872="Strong Candidate","Strong call-fit candidate; confirm on film.",IF(K872="Good Candidate","Good call-fit signal; confirm on film.","Mixed signal; review fit and execution on film."))))))))</f>
        <v>Explosive risk; review clips before using as answer.</v>
      </c>
      <c r="M872" s="8" t="s">
        <v>39</v>
      </c>
      <c r="N872" s="8"/>
      <c r="O872" s="8"/>
      <c r="P872" s="8" t="s">
        <v>471</v>
      </c>
      <c r="Q872" s="8"/>
      <c r="R872" s="8" t="s">
        <v>429</v>
      </c>
      <c r="S872" s="2" t="s">
        <v>472</v>
      </c>
      <c r="T872" s="2">
        <f>IF(C872=0,0,IF(C872&gt;=CALL_LOOKUP_BOARD!$B$7,IF(OR(K872="Problem Call",K872="Explosive Alert"),10000000,20000000),0)+IF(C872&gt;=CALL_LOOKUP_BOARD!$B$7,J872*1000+MIN(C872,999),C872*1000+J872)+0.00993800)</f>
        <v>1000.009938</v>
      </c>
      <c r="U872" s="2">
        <f>IF(C872=0,"",IF(COUNTIFS($S$811:$S$1055,SUBSTITUTE(SUBSTITUTE(SUBSTITUTE(S872,"~","~~"),"*","~*"),"?","~?"),$T$811:$T$1055,"&gt;"&amp;T872)=0,S872,""))</f>
        <v/>
      </c>
    </row>
    <row r="873" spans="1:21" ht="38" customHeight="1">
      <c r="A873" s="8" t="s">
        <v>470</v>
      </c>
      <c r="B873" s="8" t="s">
        <v>51</v>
      </c>
      <c r="C873" s="12">
        <f>COUNTIFS('DEF_SELF_SCOUT_IMPORT'!$L$42:$L$1040,"Y",'DEF_SELF_SCOUT_IMPORT'!$E$42:$E$1040,SUBSTITUTE(SUBSTITUTE(SUBSTITUTE($B873,"~","~~"),"*","~*"),"?","~?"),'DEF_SELF_SCOUT_IMPORT'!$Q$42:$Q$1040,SUBSTITUTE(SUBSTITUTE(SUBSTITUTE($M873,"~","~~"),"*","~*"),"?","~?"),'DEF_SELF_SCOUT_IMPORT'!$D$42:$D$1040,SUBSTITUTE(SUBSTITUTE(SUBSTITUTE($P873,"~","~~"),"*","~*"),"?","~?"))</f>
        <v>1</v>
      </c>
      <c r="D873" s="10">
        <f>IF($C873=0,"",SUMIFS('DEF_SELF_SCOUT_IMPORT'!$J$42:$J$1040,'DEF_SELF_SCOUT_IMPORT'!$L$42:$L$1040,"Y",'DEF_SELF_SCOUT_IMPORT'!$E$42:$E$1040,SUBSTITUTE(SUBSTITUTE(SUBSTITUTE($B873,"~","~~"),"*","~*"),"?","~?"),'DEF_SELF_SCOUT_IMPORT'!$Q$42:$Q$1040,SUBSTITUTE(SUBSTITUTE(SUBSTITUTE($M873,"~","~~"),"*","~*"),"?","~?"),'DEF_SELF_SCOUT_IMPORT'!$D$42:$D$1040,SUBSTITUTE(SUBSTITUTE(SUBSTITUTE($P873,"~","~~"),"*","~*"),"?","~?"))/$C873)</f>
        <v>1.0</v>
      </c>
      <c r="E873" s="10">
        <f>IF($C873=0,"",SUMIFS('DEF_SELF_SCOUT_IMPORT'!$K$42:$K$1040,'DEF_SELF_SCOUT_IMPORT'!$L$42:$L$1040,"Y",'DEF_SELF_SCOUT_IMPORT'!$E$42:$E$1040,SUBSTITUTE(SUBSTITUTE(SUBSTITUTE($B873,"~","~~"),"*","~*"),"?","~?"),'DEF_SELF_SCOUT_IMPORT'!$Q$42:$Q$1040,SUBSTITUTE(SUBSTITUTE(SUBSTITUTE($M873,"~","~~"),"*","~*"),"?","~?"),'DEF_SELF_SCOUT_IMPORT'!$D$42:$D$1040,SUBSTITUTE(SUBSTITUTE(SUBSTITUTE($P873,"~","~~"),"*","~*"),"?","~?"))/$C873)</f>
        <v>0.0</v>
      </c>
      <c r="F873" s="11">
        <f>IF($C873=0,"",AVERAGEIFS('DEF_SELF_SCOUT_IMPORT'!$I$42:$I$1040,'DEF_SELF_SCOUT_IMPORT'!$L$42:$L$1040,"Y",'DEF_SELF_SCOUT_IMPORT'!$E$42:$E$1040,SUBSTITUTE(SUBSTITUTE(SUBSTITUTE($B873,"~","~~"),"*","~*"),"?","~?"),'DEF_SELF_SCOUT_IMPORT'!$Q$42:$Q$1040,SUBSTITUTE(SUBSTITUTE(SUBSTITUTE($M873,"~","~~"),"*","~*"),"?","~?"),'DEF_SELF_SCOUT_IMPORT'!$D$42:$D$1040,SUBSTITUTE(SUBSTITUTE(SUBSTITUTE($P873,"~","~~"),"*","~*"),"?","~?")))</f>
        <v>0.0</v>
      </c>
      <c r="G873" s="10">
        <f>IF($C873=0,"",COUNTIFS('DEF_SELF_SCOUT_IMPORT'!$L$42:$L$1040,"Y",'DEF_SELF_SCOUT_IMPORT'!$E$42:$E$1040,SUBSTITUTE(SUBSTITUTE(SUBSTITUTE($B873,"~","~~"),"*","~*"),"?","~?"),'DEF_SELF_SCOUT_IMPORT'!$Q$42:$Q$1040,SUBSTITUTE(SUBSTITUTE(SUBSTITUTE($M873,"~","~~"),"*","~*"),"?","~?"),'DEF_SELF_SCOUT_IMPORT'!$D$42:$D$1040,SUBSTITUTE(SUBSTITUTE(SUBSTITUTE($P873,"~","~~"),"*","~*"),"?","~?"),'DEF_SELF_SCOUT_IMPORT'!$H$42:$H$1040,"RUSH")/$C873)</f>
        <v>0.0</v>
      </c>
      <c r="H873" s="10">
        <f>IF($C873=0,"",COUNTIFS('DEF_SELF_SCOUT_IMPORT'!$L$42:$L$1040,"Y",'DEF_SELF_SCOUT_IMPORT'!$E$42:$E$1040,SUBSTITUTE(SUBSTITUTE(SUBSTITUTE($B873,"~","~~"),"*","~*"),"?","~?"),'DEF_SELF_SCOUT_IMPORT'!$Q$42:$Q$1040,SUBSTITUTE(SUBSTITUTE(SUBSTITUTE($M873,"~","~~"),"*","~*"),"?","~?"),'DEF_SELF_SCOUT_IMPORT'!$D$42:$D$1040,SUBSTITUTE(SUBSTITUTE(SUBSTITUTE($P873,"~","~~"),"*","~*"),"?","~?"),'DEF_SELF_SCOUT_IMPORT'!$H$42:$H$1040,"DROPBACK")/$C873)</f>
        <v>1.0</v>
      </c>
      <c r="I873" s="14" t="str">
        <f>IF(C873=0,"",IF(C873&lt;=2,"TRACK",IF(C873=3,"LOW",IF(C873&lt;=6,"MEDIUM","HIGH"))))</f>
        <v>TRACK</v>
      </c>
      <c r="J873" s="11">
        <f>IF(C873=0,"",ROUND(D873*70+(1-E873)*20+MAX(0,MIN(1,(10-F873)/10))*10,1))</f>
        <v>100.0</v>
      </c>
      <c r="K873" s="14" t="str">
        <f>IF(C873=0,"No Evidence",IF(C873&lt;=2,IF(E873&gt;0,"Explosive Alert","Track Only"),IF(C873=3,"Sample Watch",IF(E873&gt;=START_HERE!$B$31,"Explosive Alert",IF(J873&gt;=80,"Strong Candidate",IF(J873&gt;=65,"Good Candidate",IF(J873&gt;=50,"Mixed / Review","Problem Call")))))))</f>
        <v>Track Only</v>
      </c>
      <c r="L873" s="9" t="str">
        <f>IF(COUNTIFS('DEF_SELF_SCOUT_IMPORT'!$L$42:$L$1040,"Y",'DEF_SELF_SCOUT_IMPORT'!$E$42:$E$1040,SUBSTITUTE(SUBSTITUTE(SUBSTITUTE($B873,"~","~~"),"*","~*"),"?","~?"),'DEF_SELF_SCOUT_IMPORT'!$Q$42:$Q$1040,SUBSTITUTE(SUBSTITUTE(SUBSTITUTE($M873,"~","~~"),"*","~*"),"?","~?"),'DEF_SELF_SCOUT_IMPORT'!$D$42:$D$1040,SUBSTITUTE(SUBSTITUTE(SUBSTITUTE($P873,"~","~~"),"*","~*"),"?","~?"),'DEF_SELF_SCOUT_IMPORT'!$J$42:$J$1040,"")&gt;0,"Unscored clean outcome; review result tags before using score.",IF(C873=0,"No matching defensive reps; film confirmation needed.",IF(K873="Explosive Alert","Explosive risk; review clips before using as answer.",IF(C873&lt;=2,"Track only; not enough sample.",IF(C873=3,IF(E873&gt;0,"Sample watch with explosive exposure; review clips and build the sample.",IF(J873&gt;=65,"Good signal, but sample is limited.","Sample watch; review clips and build the sample.")),IF(K873="Problem Call","Problem area; practice or call-sheet review.",IF(K873="Strong Candidate","Strong call-fit candidate; confirm on film.",IF(K873="Good Candidate","Good call-fit signal; confirm on film.","Mixed signal; review fit and execution on film."))))))))</f>
        <v>Track only; not enough sample.</v>
      </c>
      <c r="M873" s="8" t="s">
        <v>39</v>
      </c>
      <c r="N873" s="8"/>
      <c r="O873" s="8"/>
      <c r="P873" s="8" t="s">
        <v>471</v>
      </c>
      <c r="Q873" s="8"/>
      <c r="R873" s="8" t="s">
        <v>429</v>
      </c>
      <c r="S873" s="2" t="s">
        <v>472</v>
      </c>
      <c r="T873" s="2">
        <f>IF(C873=0,0,IF(C873&gt;=CALL_LOOKUP_BOARD!$B$7,IF(OR(K873="Problem Call",K873="Explosive Alert"),10000000,20000000),0)+IF(C873&gt;=CALL_LOOKUP_BOARD!$B$7,J873*1000+MIN(C873,999),C873*1000+J873)+0.00993700)</f>
        <v>1100.009937</v>
      </c>
      <c r="U873" s="2">
        <f>IF(C873=0,"",IF(COUNTIFS($S$811:$S$1055,SUBSTITUTE(SUBSTITUTE(SUBSTITUTE(S873,"~","~~"),"*","~*"),"?","~?"),$T$811:$T$1055,"&gt;"&amp;T873)=0,S873,""))</f>
        <v/>
      </c>
    </row>
    <row r="874" spans="1:21" ht="38" customHeight="1">
      <c r="A874" s="8" t="s">
        <v>470</v>
      </c>
      <c r="B874" s="8" t="s">
        <v>62</v>
      </c>
      <c r="C874" s="12">
        <f>COUNTIFS('DEF_SELF_SCOUT_IMPORT'!$L$42:$L$1040,"Y",'DEF_SELF_SCOUT_IMPORT'!$E$42:$E$1040,SUBSTITUTE(SUBSTITUTE(SUBSTITUTE($B874,"~","~~"),"*","~*"),"?","~?"),'DEF_SELF_SCOUT_IMPORT'!$Q$42:$Q$1040,SUBSTITUTE(SUBSTITUTE(SUBSTITUTE($M874,"~","~~"),"*","~*"),"?","~?"),'DEF_SELF_SCOUT_IMPORT'!$D$42:$D$1040,SUBSTITUTE(SUBSTITUTE(SUBSTITUTE($P874,"~","~~"),"*","~*"),"?","~?"))</f>
        <v>2</v>
      </c>
      <c r="D874" s="10">
        <f>IF($C874=0,"",SUMIFS('DEF_SELF_SCOUT_IMPORT'!$J$42:$J$1040,'DEF_SELF_SCOUT_IMPORT'!$L$42:$L$1040,"Y",'DEF_SELF_SCOUT_IMPORT'!$E$42:$E$1040,SUBSTITUTE(SUBSTITUTE(SUBSTITUTE($B874,"~","~~"),"*","~*"),"?","~?"),'DEF_SELF_SCOUT_IMPORT'!$Q$42:$Q$1040,SUBSTITUTE(SUBSTITUTE(SUBSTITUTE($M874,"~","~~"),"*","~*"),"?","~?"),'DEF_SELF_SCOUT_IMPORT'!$D$42:$D$1040,SUBSTITUTE(SUBSTITUTE(SUBSTITUTE($P874,"~","~~"),"*","~*"),"?","~?"))/$C874)</f>
        <v>0.0</v>
      </c>
      <c r="E874" s="10">
        <f>IF($C874=0,"",SUMIFS('DEF_SELF_SCOUT_IMPORT'!$K$42:$K$1040,'DEF_SELF_SCOUT_IMPORT'!$L$42:$L$1040,"Y",'DEF_SELF_SCOUT_IMPORT'!$E$42:$E$1040,SUBSTITUTE(SUBSTITUTE(SUBSTITUTE($B874,"~","~~"),"*","~*"),"?","~?"),'DEF_SELF_SCOUT_IMPORT'!$Q$42:$Q$1040,SUBSTITUTE(SUBSTITUTE(SUBSTITUTE($M874,"~","~~"),"*","~*"),"?","~?"),'DEF_SELF_SCOUT_IMPORT'!$D$42:$D$1040,SUBSTITUTE(SUBSTITUTE(SUBSTITUTE($P874,"~","~~"),"*","~*"),"?","~?"))/$C874)</f>
        <v>0.5</v>
      </c>
      <c r="F874" s="11">
        <f>IF($C874=0,"",AVERAGEIFS('DEF_SELF_SCOUT_IMPORT'!$I$42:$I$1040,'DEF_SELF_SCOUT_IMPORT'!$L$42:$L$1040,"Y",'DEF_SELF_SCOUT_IMPORT'!$E$42:$E$1040,SUBSTITUTE(SUBSTITUTE(SUBSTITUTE($B874,"~","~~"),"*","~*"),"?","~?"),'DEF_SELF_SCOUT_IMPORT'!$Q$42:$Q$1040,SUBSTITUTE(SUBSTITUTE(SUBSTITUTE($M874,"~","~~"),"*","~*"),"?","~?"),'DEF_SELF_SCOUT_IMPORT'!$D$42:$D$1040,SUBSTITUTE(SUBSTITUTE(SUBSTITUTE($P874,"~","~~"),"*","~*"),"?","~?")))</f>
        <v>18.5</v>
      </c>
      <c r="G874" s="10">
        <f>IF($C874=0,"",COUNTIFS('DEF_SELF_SCOUT_IMPORT'!$L$42:$L$1040,"Y",'DEF_SELF_SCOUT_IMPORT'!$E$42:$E$1040,SUBSTITUTE(SUBSTITUTE(SUBSTITUTE($B874,"~","~~"),"*","~*"),"?","~?"),'DEF_SELF_SCOUT_IMPORT'!$Q$42:$Q$1040,SUBSTITUTE(SUBSTITUTE(SUBSTITUTE($M874,"~","~~"),"*","~*"),"?","~?"),'DEF_SELF_SCOUT_IMPORT'!$D$42:$D$1040,SUBSTITUTE(SUBSTITUTE(SUBSTITUTE($P874,"~","~~"),"*","~*"),"?","~?"),'DEF_SELF_SCOUT_IMPORT'!$H$42:$H$1040,"RUSH")/$C874)</f>
        <v>0.0</v>
      </c>
      <c r="H874" s="10">
        <f>IF($C874=0,"",COUNTIFS('DEF_SELF_SCOUT_IMPORT'!$L$42:$L$1040,"Y",'DEF_SELF_SCOUT_IMPORT'!$E$42:$E$1040,SUBSTITUTE(SUBSTITUTE(SUBSTITUTE($B874,"~","~~"),"*","~*"),"?","~?"),'DEF_SELF_SCOUT_IMPORT'!$Q$42:$Q$1040,SUBSTITUTE(SUBSTITUTE(SUBSTITUTE($M874,"~","~~"),"*","~*"),"?","~?"),'DEF_SELF_SCOUT_IMPORT'!$D$42:$D$1040,SUBSTITUTE(SUBSTITUTE(SUBSTITUTE($P874,"~","~~"),"*","~*"),"?","~?"),'DEF_SELF_SCOUT_IMPORT'!$H$42:$H$1040,"DROPBACK")/$C874)</f>
        <v>0.5</v>
      </c>
      <c r="I874" s="14" t="str">
        <f>IF(C874=0,"",IF(C874&lt;=2,"TRACK",IF(C874=3,"LOW",IF(C874&lt;=6,"MEDIUM","HIGH"))))</f>
        <v>TRACK</v>
      </c>
      <c r="J874" s="11">
        <f>IF(C874=0,"",ROUND(D874*70+(1-E874)*20+MAX(0,MIN(1,(10-F874)/10))*10,1))</f>
        <v>10.0</v>
      </c>
      <c r="K874" s="14" t="str">
        <f>IF(C874=0,"No Evidence",IF(C874&lt;=2,IF(E874&gt;0,"Explosive Alert","Track Only"),IF(C874=3,"Sample Watch",IF(E874&gt;=START_HERE!$B$31,"Explosive Alert",IF(J874&gt;=80,"Strong Candidate",IF(J874&gt;=65,"Good Candidate",IF(J874&gt;=50,"Mixed / Review","Problem Call")))))))</f>
        <v>Explosive Alert</v>
      </c>
      <c r="L874" s="9" t="str">
        <f>IF(COUNTIFS('DEF_SELF_SCOUT_IMPORT'!$L$42:$L$1040,"Y",'DEF_SELF_SCOUT_IMPORT'!$E$42:$E$1040,SUBSTITUTE(SUBSTITUTE(SUBSTITUTE($B874,"~","~~"),"*","~*"),"?","~?"),'DEF_SELF_SCOUT_IMPORT'!$Q$42:$Q$1040,SUBSTITUTE(SUBSTITUTE(SUBSTITUTE($M874,"~","~~"),"*","~*"),"?","~?"),'DEF_SELF_SCOUT_IMPORT'!$D$42:$D$1040,SUBSTITUTE(SUBSTITUTE(SUBSTITUTE($P874,"~","~~"),"*","~*"),"?","~?"),'DEF_SELF_SCOUT_IMPORT'!$J$42:$J$1040,"")&gt;0,"Unscored clean outcome; review result tags before using score.",IF(C874=0,"No matching defensive reps; film confirmation needed.",IF(K874="Explosive Alert","Explosive risk; review clips before using as answer.",IF(C874&lt;=2,"Track only; not enough sample.",IF(C874=3,IF(E874&gt;0,"Sample watch with explosive exposure; review clips and build the sample.",IF(J874&gt;=65,"Good signal, but sample is limited.","Sample watch; review clips and build the sample.")),IF(K874="Problem Call","Problem area; practice or call-sheet review.",IF(K874="Strong Candidate","Strong call-fit candidate; confirm on film.",IF(K874="Good Candidate","Good call-fit signal; confirm on film.","Mixed signal; review fit and execution on film."))))))))</f>
        <v>Explosive risk; review clips before using as answer.</v>
      </c>
      <c r="M874" s="8" t="s">
        <v>39</v>
      </c>
      <c r="N874" s="8"/>
      <c r="O874" s="8"/>
      <c r="P874" s="8" t="s">
        <v>471</v>
      </c>
      <c r="Q874" s="8"/>
      <c r="R874" s="8" t="s">
        <v>429</v>
      </c>
      <c r="S874" s="2" t="s">
        <v>472</v>
      </c>
      <c r="T874" s="2">
        <f>IF(C874=0,0,IF(C874&gt;=CALL_LOOKUP_BOARD!$B$7,IF(OR(K874="Problem Call",K874="Explosive Alert"),10000000,20000000),0)+IF(C874&gt;=CALL_LOOKUP_BOARD!$B$7,J874*1000+MIN(C874,999),C874*1000+J874)+0.00993600)</f>
        <v>2010.009936</v>
      </c>
      <c r="U874" s="2" t="str">
        <f>IF(C874=0,"",IF(COUNTIFS($S$811:$S$1055,SUBSTITUTE(SUBSTITUTE(SUBSTITUTE(S874,"~","~~"),"*","~*"),"?","~?"),$T$811:$T$1055,"&gt;"&amp;T874)=0,S874,""))</f>
        <v>7:1D 7-10|3:RPO|</v>
      </c>
    </row>
    <row r="875" spans="1:21" ht="38" customHeight="1">
      <c r="A875" s="8" t="s">
        <v>470</v>
      </c>
      <c r="B875" s="8" t="s">
        <v>66</v>
      </c>
      <c r="C875" s="12">
        <f>COUNTIFS('DEF_SELF_SCOUT_IMPORT'!$L$42:$L$1040,"Y",'DEF_SELF_SCOUT_IMPORT'!$E$42:$E$1040,SUBSTITUTE(SUBSTITUTE(SUBSTITUTE($B875,"~","~~"),"*","~*"),"?","~?"),'DEF_SELF_SCOUT_IMPORT'!$Q$42:$Q$1040,SUBSTITUTE(SUBSTITUTE(SUBSTITUTE($M875,"~","~~"),"*","~*"),"?","~?"),'DEF_SELF_SCOUT_IMPORT'!$D$42:$D$1040,SUBSTITUTE(SUBSTITUTE(SUBSTITUTE($P875,"~","~~"),"*","~*"),"?","~?"))</f>
        <v>1</v>
      </c>
      <c r="D875" s="10">
        <f>IF($C875=0,"",SUMIFS('DEF_SELF_SCOUT_IMPORT'!$J$42:$J$1040,'DEF_SELF_SCOUT_IMPORT'!$L$42:$L$1040,"Y",'DEF_SELF_SCOUT_IMPORT'!$E$42:$E$1040,SUBSTITUTE(SUBSTITUTE(SUBSTITUTE($B875,"~","~~"),"*","~*"),"?","~?"),'DEF_SELF_SCOUT_IMPORT'!$Q$42:$Q$1040,SUBSTITUTE(SUBSTITUTE(SUBSTITUTE($M875,"~","~~"),"*","~*"),"?","~?"),'DEF_SELF_SCOUT_IMPORT'!$D$42:$D$1040,SUBSTITUTE(SUBSTITUTE(SUBSTITUTE($P875,"~","~~"),"*","~*"),"?","~?"))/$C875)</f>
        <v>1.0</v>
      </c>
      <c r="E875" s="10">
        <f>IF($C875=0,"",SUMIFS('DEF_SELF_SCOUT_IMPORT'!$K$42:$K$1040,'DEF_SELF_SCOUT_IMPORT'!$L$42:$L$1040,"Y",'DEF_SELF_SCOUT_IMPORT'!$E$42:$E$1040,SUBSTITUTE(SUBSTITUTE(SUBSTITUTE($B875,"~","~~"),"*","~*"),"?","~?"),'DEF_SELF_SCOUT_IMPORT'!$Q$42:$Q$1040,SUBSTITUTE(SUBSTITUTE(SUBSTITUTE($M875,"~","~~"),"*","~*"),"?","~?"),'DEF_SELF_SCOUT_IMPORT'!$D$42:$D$1040,SUBSTITUTE(SUBSTITUTE(SUBSTITUTE($P875,"~","~~"),"*","~*"),"?","~?"))/$C875)</f>
        <v>0.0</v>
      </c>
      <c r="F875" s="11">
        <f>IF($C875=0,"",AVERAGEIFS('DEF_SELF_SCOUT_IMPORT'!$I$42:$I$1040,'DEF_SELF_SCOUT_IMPORT'!$L$42:$L$1040,"Y",'DEF_SELF_SCOUT_IMPORT'!$E$42:$E$1040,SUBSTITUTE(SUBSTITUTE(SUBSTITUTE($B875,"~","~~"),"*","~*"),"?","~?"),'DEF_SELF_SCOUT_IMPORT'!$Q$42:$Q$1040,SUBSTITUTE(SUBSTITUTE(SUBSTITUTE($M875,"~","~~"),"*","~*"),"?","~?"),'DEF_SELF_SCOUT_IMPORT'!$D$42:$D$1040,SUBSTITUTE(SUBSTITUTE(SUBSTITUTE($P875,"~","~~"),"*","~*"),"?","~?")))</f>
        <v>4.0</v>
      </c>
      <c r="G875" s="10">
        <f>IF($C875=0,"",COUNTIFS('DEF_SELF_SCOUT_IMPORT'!$L$42:$L$1040,"Y",'DEF_SELF_SCOUT_IMPORT'!$E$42:$E$1040,SUBSTITUTE(SUBSTITUTE(SUBSTITUTE($B875,"~","~~"),"*","~*"),"?","~?"),'DEF_SELF_SCOUT_IMPORT'!$Q$42:$Q$1040,SUBSTITUTE(SUBSTITUTE(SUBSTITUTE($M875,"~","~~"),"*","~*"),"?","~?"),'DEF_SELF_SCOUT_IMPORT'!$D$42:$D$1040,SUBSTITUTE(SUBSTITUTE(SUBSTITUTE($P875,"~","~~"),"*","~*"),"?","~?"),'DEF_SELF_SCOUT_IMPORT'!$H$42:$H$1040,"RUSH")/$C875)</f>
        <v>0.0</v>
      </c>
      <c r="H875" s="10">
        <f>IF($C875=0,"",COUNTIFS('DEF_SELF_SCOUT_IMPORT'!$L$42:$L$1040,"Y",'DEF_SELF_SCOUT_IMPORT'!$E$42:$E$1040,SUBSTITUTE(SUBSTITUTE(SUBSTITUTE($B875,"~","~~"),"*","~*"),"?","~?"),'DEF_SELF_SCOUT_IMPORT'!$Q$42:$Q$1040,SUBSTITUTE(SUBSTITUTE(SUBSTITUTE($M875,"~","~~"),"*","~*"),"?","~?"),'DEF_SELF_SCOUT_IMPORT'!$D$42:$D$1040,SUBSTITUTE(SUBSTITUTE(SUBSTITUTE($P875,"~","~~"),"*","~*"),"?","~?"),'DEF_SELF_SCOUT_IMPORT'!$H$42:$H$1040,"DROPBACK")/$C875)</f>
        <v>1.0</v>
      </c>
      <c r="I875" s="14" t="str">
        <f>IF(C875=0,"",IF(C875&lt;=2,"TRACK",IF(C875=3,"LOW",IF(C875&lt;=6,"MEDIUM","HIGH"))))</f>
        <v>TRACK</v>
      </c>
      <c r="J875" s="11">
        <f>IF(C875=0,"",ROUND(D875*70+(1-E875)*20+MAX(0,MIN(1,(10-F875)/10))*10,1))</f>
        <v>96.0</v>
      </c>
      <c r="K875" s="14" t="str">
        <f>IF(C875=0,"No Evidence",IF(C875&lt;=2,IF(E875&gt;0,"Explosive Alert","Track Only"),IF(C875=3,"Sample Watch",IF(E875&gt;=START_HERE!$B$31,"Explosive Alert",IF(J875&gt;=80,"Strong Candidate",IF(J875&gt;=65,"Good Candidate",IF(J875&gt;=50,"Mixed / Review","Problem Call")))))))</f>
        <v>Track Only</v>
      </c>
      <c r="L875" s="9" t="str">
        <f>IF(COUNTIFS('DEF_SELF_SCOUT_IMPORT'!$L$42:$L$1040,"Y",'DEF_SELF_SCOUT_IMPORT'!$E$42:$E$1040,SUBSTITUTE(SUBSTITUTE(SUBSTITUTE($B875,"~","~~"),"*","~*"),"?","~?"),'DEF_SELF_SCOUT_IMPORT'!$Q$42:$Q$1040,SUBSTITUTE(SUBSTITUTE(SUBSTITUTE($M875,"~","~~"),"*","~*"),"?","~?"),'DEF_SELF_SCOUT_IMPORT'!$D$42:$D$1040,SUBSTITUTE(SUBSTITUTE(SUBSTITUTE($P875,"~","~~"),"*","~*"),"?","~?"),'DEF_SELF_SCOUT_IMPORT'!$J$42:$J$1040,"")&gt;0,"Unscored clean outcome; review result tags before using score.",IF(C875=0,"No matching defensive reps; film confirmation needed.",IF(K875="Explosive Alert","Explosive risk; review clips before using as answer.",IF(C875&lt;=2,"Track only; not enough sample.",IF(C875=3,IF(E875&gt;0,"Sample watch with explosive exposure; review clips and build the sample.",IF(J875&gt;=65,"Good signal, but sample is limited.","Sample watch; review clips and build the sample.")),IF(K875="Problem Call","Problem area; practice or call-sheet review.",IF(K875="Strong Candidate","Strong call-fit candidate; confirm on film.",IF(K875="Good Candidate","Good call-fit signal; confirm on film.","Mixed signal; review fit and execution on film."))))))))</f>
        <v>Track only; not enough sample.</v>
      </c>
      <c r="M875" s="8" t="s">
        <v>39</v>
      </c>
      <c r="N875" s="8"/>
      <c r="O875" s="8"/>
      <c r="P875" s="8" t="s">
        <v>471</v>
      </c>
      <c r="Q875" s="8"/>
      <c r="R875" s="8" t="s">
        <v>429</v>
      </c>
      <c r="S875" s="2" t="s">
        <v>472</v>
      </c>
      <c r="T875" s="2">
        <f>IF(C875=0,0,IF(C875&gt;=CALL_LOOKUP_BOARD!$B$7,IF(OR(K875="Problem Call",K875="Explosive Alert"),10000000,20000000),0)+IF(C875&gt;=CALL_LOOKUP_BOARD!$B$7,J875*1000+MIN(C875,999),C875*1000+J875)+0.00993500)</f>
        <v>1096.009935</v>
      </c>
      <c r="U875" s="2">
        <f>IF(C875=0,"",IF(COUNTIFS($S$811:$S$1055,SUBSTITUTE(SUBSTITUTE(SUBSTITUTE(S875,"~","~~"),"*","~*"),"?","~?"),$T$811:$T$1055,"&gt;"&amp;T875)=0,S875,""))</f>
        <v/>
      </c>
    </row>
    <row r="876" spans="1:21" ht="38" customHeight="1">
      <c r="A876" s="8" t="s">
        <v>473</v>
      </c>
      <c r="B876" s="8" t="s">
        <v>44</v>
      </c>
      <c r="C876" s="12">
        <f>COUNTIFS('DEF_SELF_SCOUT_IMPORT'!$L$42:$L$1040,"Y",'DEF_SELF_SCOUT_IMPORT'!$E$42:$E$1040,SUBSTITUTE(SUBSTITUTE(SUBSTITUTE($B876,"~","~~"),"*","~*"),"?","~?"),'DEF_SELF_SCOUT_IMPORT'!$Q$42:$Q$1040,SUBSTITUTE(SUBSTITUTE(SUBSTITUTE($M876,"~","~~"),"*","~*"),"?","~?"),'DEF_SELF_SCOUT_IMPORT'!$D$42:$D$1040,SUBSTITUTE(SUBSTITUTE(SUBSTITUTE($P876,"~","~~"),"*","~*"),"?","~?"))</f>
        <v>1</v>
      </c>
      <c r="D876" s="10">
        <f>IF($C876=0,"",SUMIFS('DEF_SELF_SCOUT_IMPORT'!$J$42:$J$1040,'DEF_SELF_SCOUT_IMPORT'!$L$42:$L$1040,"Y",'DEF_SELF_SCOUT_IMPORT'!$E$42:$E$1040,SUBSTITUTE(SUBSTITUTE(SUBSTITUTE($B876,"~","~~"),"*","~*"),"?","~?"),'DEF_SELF_SCOUT_IMPORT'!$Q$42:$Q$1040,SUBSTITUTE(SUBSTITUTE(SUBSTITUTE($M876,"~","~~"),"*","~*"),"?","~?"),'DEF_SELF_SCOUT_IMPORT'!$D$42:$D$1040,SUBSTITUTE(SUBSTITUTE(SUBSTITUTE($P876,"~","~~"),"*","~*"),"?","~?"))/$C876)</f>
        <v>1.0</v>
      </c>
      <c r="E876" s="10">
        <f>IF($C876=0,"",SUMIFS('DEF_SELF_SCOUT_IMPORT'!$K$42:$K$1040,'DEF_SELF_SCOUT_IMPORT'!$L$42:$L$1040,"Y",'DEF_SELF_SCOUT_IMPORT'!$E$42:$E$1040,SUBSTITUTE(SUBSTITUTE(SUBSTITUTE($B876,"~","~~"),"*","~*"),"?","~?"),'DEF_SELF_SCOUT_IMPORT'!$Q$42:$Q$1040,SUBSTITUTE(SUBSTITUTE(SUBSTITUTE($M876,"~","~~"),"*","~*"),"?","~?"),'DEF_SELF_SCOUT_IMPORT'!$D$42:$D$1040,SUBSTITUTE(SUBSTITUTE(SUBSTITUTE($P876,"~","~~"),"*","~*"),"?","~?"))/$C876)</f>
        <v>0.0</v>
      </c>
      <c r="F876" s="11">
        <f>IF($C876=0,"",AVERAGEIFS('DEF_SELF_SCOUT_IMPORT'!$I$42:$I$1040,'DEF_SELF_SCOUT_IMPORT'!$L$42:$L$1040,"Y",'DEF_SELF_SCOUT_IMPORT'!$E$42:$E$1040,SUBSTITUTE(SUBSTITUTE(SUBSTITUTE($B876,"~","~~"),"*","~*"),"?","~?"),'DEF_SELF_SCOUT_IMPORT'!$Q$42:$Q$1040,SUBSTITUTE(SUBSTITUTE(SUBSTITUTE($M876,"~","~~"),"*","~*"),"?","~?"),'DEF_SELF_SCOUT_IMPORT'!$D$42:$D$1040,SUBSTITUTE(SUBSTITUTE(SUBSTITUTE($P876,"~","~~"),"*","~*"),"?","~?")))</f>
        <v>0.0</v>
      </c>
      <c r="G876" s="10">
        <f>IF($C876=0,"",COUNTIFS('DEF_SELF_SCOUT_IMPORT'!$L$42:$L$1040,"Y",'DEF_SELF_SCOUT_IMPORT'!$E$42:$E$1040,SUBSTITUTE(SUBSTITUTE(SUBSTITUTE($B876,"~","~~"),"*","~*"),"?","~?"),'DEF_SELF_SCOUT_IMPORT'!$Q$42:$Q$1040,SUBSTITUTE(SUBSTITUTE(SUBSTITUTE($M876,"~","~~"),"*","~*"),"?","~?"),'DEF_SELF_SCOUT_IMPORT'!$D$42:$D$1040,SUBSTITUTE(SUBSTITUTE(SUBSTITUTE($P876,"~","~~"),"*","~*"),"?","~?"),'DEF_SELF_SCOUT_IMPORT'!$H$42:$H$1040,"RUSH")/$C876)</f>
        <v>0.0</v>
      </c>
      <c r="H876" s="10">
        <f>IF($C876=0,"",COUNTIFS('DEF_SELF_SCOUT_IMPORT'!$L$42:$L$1040,"Y",'DEF_SELF_SCOUT_IMPORT'!$E$42:$E$1040,SUBSTITUTE(SUBSTITUTE(SUBSTITUTE($B876,"~","~~"),"*","~*"),"?","~?"),'DEF_SELF_SCOUT_IMPORT'!$Q$42:$Q$1040,SUBSTITUTE(SUBSTITUTE(SUBSTITUTE($M876,"~","~~"),"*","~*"),"?","~?"),'DEF_SELF_SCOUT_IMPORT'!$D$42:$D$1040,SUBSTITUTE(SUBSTITUTE(SUBSTITUTE($P876,"~","~~"),"*","~*"),"?","~?"),'DEF_SELF_SCOUT_IMPORT'!$H$42:$H$1040,"DROPBACK")/$C876)</f>
        <v>1.0</v>
      </c>
      <c r="I876" s="14" t="str">
        <f>IF(C876=0,"",IF(C876&lt;=2,"TRACK",IF(C876=3,"LOW",IF(C876&lt;=6,"MEDIUM","HIGH"))))</f>
        <v>TRACK</v>
      </c>
      <c r="J876" s="11">
        <f>IF(C876=0,"",ROUND(D876*70+(1-E876)*20+MAX(0,MIN(1,(10-F876)/10))*10,1))</f>
        <v>100.0</v>
      </c>
      <c r="K876" s="14" t="str">
        <f>IF(C876=0,"No Evidence",IF(C876&lt;=2,IF(E876&gt;0,"Explosive Alert","Track Only"),IF(C876=3,"Sample Watch",IF(E876&gt;=START_HERE!$B$31,"Explosive Alert",IF(J876&gt;=80,"Strong Candidate",IF(J876&gt;=65,"Good Candidate",IF(J876&gt;=50,"Mixed / Review","Problem Call")))))))</f>
        <v>Track Only</v>
      </c>
      <c r="L876" s="9" t="str">
        <f>IF(COUNTIFS('DEF_SELF_SCOUT_IMPORT'!$L$42:$L$1040,"Y",'DEF_SELF_SCOUT_IMPORT'!$E$42:$E$1040,SUBSTITUTE(SUBSTITUTE(SUBSTITUTE($B876,"~","~~"),"*","~*"),"?","~?"),'DEF_SELF_SCOUT_IMPORT'!$Q$42:$Q$1040,SUBSTITUTE(SUBSTITUTE(SUBSTITUTE($M876,"~","~~"),"*","~*"),"?","~?"),'DEF_SELF_SCOUT_IMPORT'!$D$42:$D$1040,SUBSTITUTE(SUBSTITUTE(SUBSTITUTE($P876,"~","~~"),"*","~*"),"?","~?"),'DEF_SELF_SCOUT_IMPORT'!$J$42:$J$1040,"")&gt;0,"Unscored clean outcome; review result tags before using score.",IF(C876=0,"No matching defensive reps; film confirmation needed.",IF(K876="Explosive Alert","Explosive risk; review clips before using as answer.",IF(C876&lt;=2,"Track only; not enough sample.",IF(C876=3,IF(E876&gt;0,"Sample watch with explosive exposure; review clips and build the sample.",IF(J876&gt;=65,"Good signal, but sample is limited.","Sample watch; review clips and build the sample.")),IF(K876="Problem Call","Problem area; practice or call-sheet review.",IF(K876="Strong Candidate","Strong call-fit candidate; confirm on film.",IF(K876="Good Candidate","Good call-fit signal; confirm on film.","Mixed signal; review fit and execution on film."))))))))</f>
        <v>Track only; not enough sample.</v>
      </c>
      <c r="M876" s="8" t="s">
        <v>39</v>
      </c>
      <c r="N876" s="8"/>
      <c r="O876" s="8"/>
      <c r="P876" s="8" t="s">
        <v>474</v>
      </c>
      <c r="Q876" s="8"/>
      <c r="R876" s="8" t="s">
        <v>429</v>
      </c>
      <c r="S876" s="2" t="s">
        <v>475</v>
      </c>
      <c r="T876" s="2">
        <f>IF(C876=0,0,IF(C876&gt;=CALL_LOOKUP_BOARD!$B$7,IF(OR(K876="Problem Call",K876="Explosive Alert"),10000000,20000000),0)+IF(C876&gt;=CALL_LOOKUP_BOARD!$B$7,J876*1000+MIN(C876,999),C876*1000+J876)+0.00993400)</f>
        <v>1100.009934</v>
      </c>
      <c r="U876" s="2" t="str">
        <f>IF(C876=0,"",IF(COUNTIFS($S$811:$S$1055,SUBSTITUTE(SUBSTITUTE(SUBSTITUTE(S876,"~","~~"),"*","~*"),"?","~?"),$T$811:$T$1055,"&gt;"&amp;T876)=0,S876,""))</f>
        <v>7:1D 7-10|6:SCREEN|</v>
      </c>
    </row>
    <row r="877" spans="1:21" ht="38" customHeight="1">
      <c r="A877" s="8" t="s">
        <v>473</v>
      </c>
      <c r="B877" s="8" t="s">
        <v>54</v>
      </c>
      <c r="C877" s="12">
        <f>COUNTIFS('DEF_SELF_SCOUT_IMPORT'!$L$42:$L$1040,"Y",'DEF_SELF_SCOUT_IMPORT'!$E$42:$E$1040,SUBSTITUTE(SUBSTITUTE(SUBSTITUTE($B877,"~","~~"),"*","~*"),"?","~?"),'DEF_SELF_SCOUT_IMPORT'!$Q$42:$Q$1040,SUBSTITUTE(SUBSTITUTE(SUBSTITUTE($M877,"~","~~"),"*","~*"),"?","~?"),'DEF_SELF_SCOUT_IMPORT'!$D$42:$D$1040,SUBSTITUTE(SUBSTITUTE(SUBSTITUTE($P877,"~","~~"),"*","~*"),"?","~?"))</f>
        <v>1</v>
      </c>
      <c r="D877" s="10">
        <f>IF($C877=0,"",SUMIFS('DEF_SELF_SCOUT_IMPORT'!$J$42:$J$1040,'DEF_SELF_SCOUT_IMPORT'!$L$42:$L$1040,"Y",'DEF_SELF_SCOUT_IMPORT'!$E$42:$E$1040,SUBSTITUTE(SUBSTITUTE(SUBSTITUTE($B877,"~","~~"),"*","~*"),"?","~?"),'DEF_SELF_SCOUT_IMPORT'!$Q$42:$Q$1040,SUBSTITUTE(SUBSTITUTE(SUBSTITUTE($M877,"~","~~"),"*","~*"),"?","~?"),'DEF_SELF_SCOUT_IMPORT'!$D$42:$D$1040,SUBSTITUTE(SUBSTITUTE(SUBSTITUTE($P877,"~","~~"),"*","~*"),"?","~?"))/$C877)</f>
        <v>1.0</v>
      </c>
      <c r="E877" s="10">
        <f>IF($C877=0,"",SUMIFS('DEF_SELF_SCOUT_IMPORT'!$K$42:$K$1040,'DEF_SELF_SCOUT_IMPORT'!$L$42:$L$1040,"Y",'DEF_SELF_SCOUT_IMPORT'!$E$42:$E$1040,SUBSTITUTE(SUBSTITUTE(SUBSTITUTE($B877,"~","~~"),"*","~*"),"?","~?"),'DEF_SELF_SCOUT_IMPORT'!$Q$42:$Q$1040,SUBSTITUTE(SUBSTITUTE(SUBSTITUTE($M877,"~","~~"),"*","~*"),"?","~?"),'DEF_SELF_SCOUT_IMPORT'!$D$42:$D$1040,SUBSTITUTE(SUBSTITUTE(SUBSTITUTE($P877,"~","~~"),"*","~*"),"?","~?"))/$C877)</f>
        <v>0.0</v>
      </c>
      <c r="F877" s="11">
        <f>IF($C877=0,"",AVERAGEIFS('DEF_SELF_SCOUT_IMPORT'!$I$42:$I$1040,'DEF_SELF_SCOUT_IMPORT'!$L$42:$L$1040,"Y",'DEF_SELF_SCOUT_IMPORT'!$E$42:$E$1040,SUBSTITUTE(SUBSTITUTE(SUBSTITUTE($B877,"~","~~"),"*","~*"),"?","~?"),'DEF_SELF_SCOUT_IMPORT'!$Q$42:$Q$1040,SUBSTITUTE(SUBSTITUTE(SUBSTITUTE($M877,"~","~~"),"*","~*"),"?","~?"),'DEF_SELF_SCOUT_IMPORT'!$D$42:$D$1040,SUBSTITUTE(SUBSTITUTE(SUBSTITUTE($P877,"~","~~"),"*","~*"),"?","~?")))</f>
        <v>3.0</v>
      </c>
      <c r="G877" s="10">
        <f>IF($C877=0,"",COUNTIFS('DEF_SELF_SCOUT_IMPORT'!$L$42:$L$1040,"Y",'DEF_SELF_SCOUT_IMPORT'!$E$42:$E$1040,SUBSTITUTE(SUBSTITUTE(SUBSTITUTE($B877,"~","~~"),"*","~*"),"?","~?"),'DEF_SELF_SCOUT_IMPORT'!$Q$42:$Q$1040,SUBSTITUTE(SUBSTITUTE(SUBSTITUTE($M877,"~","~~"),"*","~*"),"?","~?"),'DEF_SELF_SCOUT_IMPORT'!$D$42:$D$1040,SUBSTITUTE(SUBSTITUTE(SUBSTITUTE($P877,"~","~~"),"*","~*"),"?","~?"),'DEF_SELF_SCOUT_IMPORT'!$H$42:$H$1040,"RUSH")/$C877)</f>
        <v>0.0</v>
      </c>
      <c r="H877" s="10">
        <f>IF($C877=0,"",COUNTIFS('DEF_SELF_SCOUT_IMPORT'!$L$42:$L$1040,"Y",'DEF_SELF_SCOUT_IMPORT'!$E$42:$E$1040,SUBSTITUTE(SUBSTITUTE(SUBSTITUTE($B877,"~","~~"),"*","~*"),"?","~?"),'DEF_SELF_SCOUT_IMPORT'!$Q$42:$Q$1040,SUBSTITUTE(SUBSTITUTE(SUBSTITUTE($M877,"~","~~"),"*","~*"),"?","~?"),'DEF_SELF_SCOUT_IMPORT'!$D$42:$D$1040,SUBSTITUTE(SUBSTITUTE(SUBSTITUTE($P877,"~","~~"),"*","~*"),"?","~?"),'DEF_SELF_SCOUT_IMPORT'!$H$42:$H$1040,"DROPBACK")/$C877)</f>
        <v>1.0</v>
      </c>
      <c r="I877" s="14" t="str">
        <f>IF(C877=0,"",IF(C877&lt;=2,"TRACK",IF(C877=3,"LOW",IF(C877&lt;=6,"MEDIUM","HIGH"))))</f>
        <v>TRACK</v>
      </c>
      <c r="J877" s="11">
        <f>IF(C877=0,"",ROUND(D877*70+(1-E877)*20+MAX(0,MIN(1,(10-F877)/10))*10,1))</f>
        <v>97.0</v>
      </c>
      <c r="K877" s="14" t="str">
        <f>IF(C877=0,"No Evidence",IF(C877&lt;=2,IF(E877&gt;0,"Explosive Alert","Track Only"),IF(C877=3,"Sample Watch",IF(E877&gt;=START_HERE!$B$31,"Explosive Alert",IF(J877&gt;=80,"Strong Candidate",IF(J877&gt;=65,"Good Candidate",IF(J877&gt;=50,"Mixed / Review","Problem Call")))))))</f>
        <v>Track Only</v>
      </c>
      <c r="L877" s="9" t="str">
        <f>IF(COUNTIFS('DEF_SELF_SCOUT_IMPORT'!$L$42:$L$1040,"Y",'DEF_SELF_SCOUT_IMPORT'!$E$42:$E$1040,SUBSTITUTE(SUBSTITUTE(SUBSTITUTE($B877,"~","~~"),"*","~*"),"?","~?"),'DEF_SELF_SCOUT_IMPORT'!$Q$42:$Q$1040,SUBSTITUTE(SUBSTITUTE(SUBSTITUTE($M877,"~","~~"),"*","~*"),"?","~?"),'DEF_SELF_SCOUT_IMPORT'!$D$42:$D$1040,SUBSTITUTE(SUBSTITUTE(SUBSTITUTE($P877,"~","~~"),"*","~*"),"?","~?"),'DEF_SELF_SCOUT_IMPORT'!$J$42:$J$1040,"")&gt;0,"Unscored clean outcome; review result tags before using score.",IF(C877=0,"No matching defensive reps; film confirmation needed.",IF(K877="Explosive Alert","Explosive risk; review clips before using as answer.",IF(C877&lt;=2,"Track only; not enough sample.",IF(C877=3,IF(E877&gt;0,"Sample watch with explosive exposure; review clips and build the sample.",IF(J877&gt;=65,"Good signal, but sample is limited.","Sample watch; review clips and build the sample.")),IF(K877="Problem Call","Problem area; practice or call-sheet review.",IF(K877="Strong Candidate","Strong call-fit candidate; confirm on film.",IF(K877="Good Candidate","Good call-fit signal; confirm on film.","Mixed signal; review fit and execution on film."))))))))</f>
        <v>Track only; not enough sample.</v>
      </c>
      <c r="M877" s="8" t="s">
        <v>39</v>
      </c>
      <c r="N877" s="8"/>
      <c r="O877" s="8"/>
      <c r="P877" s="8" t="s">
        <v>474</v>
      </c>
      <c r="Q877" s="8"/>
      <c r="R877" s="8" t="s">
        <v>429</v>
      </c>
      <c r="S877" s="2" t="s">
        <v>475</v>
      </c>
      <c r="T877" s="2">
        <f>IF(C877=0,0,IF(C877&gt;=CALL_LOOKUP_BOARD!$B$7,IF(OR(K877="Problem Call",K877="Explosive Alert"),10000000,20000000),0)+IF(C877&gt;=CALL_LOOKUP_BOARD!$B$7,J877*1000+MIN(C877,999),C877*1000+J877)+0.00993300)</f>
        <v>1097.009933</v>
      </c>
      <c r="U877" s="2">
        <f>IF(C877=0,"",IF(COUNTIFS($S$811:$S$1055,SUBSTITUTE(SUBSTITUTE(SUBSTITUTE(S877,"~","~~"),"*","~*"),"?","~?"),$T$811:$T$1055,"&gt;"&amp;T877)=0,S877,""))</f>
        <v/>
      </c>
    </row>
    <row r="878" spans="1:21" ht="38" customHeight="1">
      <c r="A878" s="8" t="s">
        <v>476</v>
      </c>
      <c r="B878" s="8" t="s">
        <v>69</v>
      </c>
      <c r="C878" s="12">
        <f>COUNTIFS('DEF_SELF_SCOUT_IMPORT'!$L$42:$L$1040,"Y",'DEF_SELF_SCOUT_IMPORT'!$E$42:$E$1040,SUBSTITUTE(SUBSTITUTE(SUBSTITUTE($B878,"~","~~"),"*","~*"),"?","~?"),'DEF_SELF_SCOUT_IMPORT'!$Q$42:$Q$1040,SUBSTITUTE(SUBSTITUTE(SUBSTITUTE($M878,"~","~~"),"*","~*"),"?","~?"),'DEF_SELF_SCOUT_IMPORT'!$D$42:$D$1040,SUBSTITUTE(SUBSTITUTE(SUBSTITUTE($P878,"~","~~"),"*","~*"),"?","~?"))</f>
        <v>1</v>
      </c>
      <c r="D878" s="10">
        <f>IF($C878=0,"",SUMIFS('DEF_SELF_SCOUT_IMPORT'!$J$42:$J$1040,'DEF_SELF_SCOUT_IMPORT'!$L$42:$L$1040,"Y",'DEF_SELF_SCOUT_IMPORT'!$E$42:$E$1040,SUBSTITUTE(SUBSTITUTE(SUBSTITUTE($B878,"~","~~"),"*","~*"),"?","~?"),'DEF_SELF_SCOUT_IMPORT'!$Q$42:$Q$1040,SUBSTITUTE(SUBSTITUTE(SUBSTITUTE($M878,"~","~~"),"*","~*"),"?","~?"),'DEF_SELF_SCOUT_IMPORT'!$D$42:$D$1040,SUBSTITUTE(SUBSTITUTE(SUBSTITUTE($P878,"~","~~"),"*","~*"),"?","~?"))/$C878)</f>
        <v>1.0</v>
      </c>
      <c r="E878" s="10">
        <f>IF($C878=0,"",SUMIFS('DEF_SELF_SCOUT_IMPORT'!$K$42:$K$1040,'DEF_SELF_SCOUT_IMPORT'!$L$42:$L$1040,"Y",'DEF_SELF_SCOUT_IMPORT'!$E$42:$E$1040,SUBSTITUTE(SUBSTITUTE(SUBSTITUTE($B878,"~","~~"),"*","~*"),"?","~?"),'DEF_SELF_SCOUT_IMPORT'!$Q$42:$Q$1040,SUBSTITUTE(SUBSTITUTE(SUBSTITUTE($M878,"~","~~"),"*","~*"),"?","~?"),'DEF_SELF_SCOUT_IMPORT'!$D$42:$D$1040,SUBSTITUTE(SUBSTITUTE(SUBSTITUTE($P878,"~","~~"),"*","~*"),"?","~?"))/$C878)</f>
        <v>0.0</v>
      </c>
      <c r="F878" s="11">
        <f>IF($C878=0,"",AVERAGEIFS('DEF_SELF_SCOUT_IMPORT'!$I$42:$I$1040,'DEF_SELF_SCOUT_IMPORT'!$L$42:$L$1040,"Y",'DEF_SELF_SCOUT_IMPORT'!$E$42:$E$1040,SUBSTITUTE(SUBSTITUTE(SUBSTITUTE($B878,"~","~~"),"*","~*"),"?","~?"),'DEF_SELF_SCOUT_IMPORT'!$Q$42:$Q$1040,SUBSTITUTE(SUBSTITUTE(SUBSTITUTE($M878,"~","~~"),"*","~*"),"?","~?"),'DEF_SELF_SCOUT_IMPORT'!$D$42:$D$1040,SUBSTITUTE(SUBSTITUTE(SUBSTITUTE($P878,"~","~~"),"*","~*"),"?","~?")))</f>
        <v>2.0</v>
      </c>
      <c r="G878" s="10">
        <f>IF($C878=0,"",COUNTIFS('DEF_SELF_SCOUT_IMPORT'!$L$42:$L$1040,"Y",'DEF_SELF_SCOUT_IMPORT'!$E$42:$E$1040,SUBSTITUTE(SUBSTITUTE(SUBSTITUTE($B878,"~","~~"),"*","~*"),"?","~?"),'DEF_SELF_SCOUT_IMPORT'!$Q$42:$Q$1040,SUBSTITUTE(SUBSTITUTE(SUBSTITUTE($M878,"~","~~"),"*","~*"),"?","~?"),'DEF_SELF_SCOUT_IMPORT'!$D$42:$D$1040,SUBSTITUTE(SUBSTITUTE(SUBSTITUTE($P878,"~","~~"),"*","~*"),"?","~?"),'DEF_SELF_SCOUT_IMPORT'!$H$42:$H$1040,"RUSH")/$C878)</f>
        <v>1.0</v>
      </c>
      <c r="H878" s="10">
        <f>IF($C878=0,"",COUNTIFS('DEF_SELF_SCOUT_IMPORT'!$L$42:$L$1040,"Y",'DEF_SELF_SCOUT_IMPORT'!$E$42:$E$1040,SUBSTITUTE(SUBSTITUTE(SUBSTITUTE($B878,"~","~~"),"*","~*"),"?","~?"),'DEF_SELF_SCOUT_IMPORT'!$Q$42:$Q$1040,SUBSTITUTE(SUBSTITUTE(SUBSTITUTE($M878,"~","~~"),"*","~*"),"?","~?"),'DEF_SELF_SCOUT_IMPORT'!$D$42:$D$1040,SUBSTITUTE(SUBSTITUTE(SUBSTITUTE($P878,"~","~~"),"*","~*"),"?","~?"),'DEF_SELF_SCOUT_IMPORT'!$H$42:$H$1040,"DROPBACK")/$C878)</f>
        <v>0.0</v>
      </c>
      <c r="I878" s="14" t="str">
        <f>IF(C878=0,"",IF(C878&lt;=2,"TRACK",IF(C878=3,"LOW",IF(C878&lt;=6,"MEDIUM","HIGH"))))</f>
        <v>TRACK</v>
      </c>
      <c r="J878" s="11">
        <f>IF(C878=0,"",ROUND(D878*70+(1-E878)*20+MAX(0,MIN(1,(10-F878)/10))*10,1))</f>
        <v>98.0</v>
      </c>
      <c r="K878" s="14" t="str">
        <f>IF(C878=0,"No Evidence",IF(C878&lt;=2,IF(E878&gt;0,"Explosive Alert","Track Only"),IF(C878=3,"Sample Watch",IF(E878&gt;=START_HERE!$B$31,"Explosive Alert",IF(J878&gt;=80,"Strong Candidate",IF(J878&gt;=65,"Good Candidate",IF(J878&gt;=50,"Mixed / Review","Problem Call")))))))</f>
        <v>Track Only</v>
      </c>
      <c r="L878" s="9" t="str">
        <f>IF(COUNTIFS('DEF_SELF_SCOUT_IMPORT'!$L$42:$L$1040,"Y",'DEF_SELF_SCOUT_IMPORT'!$E$42:$E$1040,SUBSTITUTE(SUBSTITUTE(SUBSTITUTE($B878,"~","~~"),"*","~*"),"?","~?"),'DEF_SELF_SCOUT_IMPORT'!$Q$42:$Q$1040,SUBSTITUTE(SUBSTITUTE(SUBSTITUTE($M878,"~","~~"),"*","~*"),"?","~?"),'DEF_SELF_SCOUT_IMPORT'!$D$42:$D$1040,SUBSTITUTE(SUBSTITUTE(SUBSTITUTE($P878,"~","~~"),"*","~*"),"?","~?"),'DEF_SELF_SCOUT_IMPORT'!$J$42:$J$1040,"")&gt;0,"Unscored clean outcome; review result tags before using score.",IF(C878=0,"No matching defensive reps; film confirmation needed.",IF(K878="Explosive Alert","Explosive risk; review clips before using as answer.",IF(C878&lt;=2,"Track only; not enough sample.",IF(C878=3,IF(E878&gt;0,"Sample watch with explosive exposure; review clips and build the sample.",IF(J878&gt;=65,"Good signal, but sample is limited.","Sample watch; review clips and build the sample.")),IF(K878="Problem Call","Problem area; practice or call-sheet review.",IF(K878="Strong Candidate","Strong call-fit candidate; confirm on film.",IF(K878="Good Candidate","Good call-fit signal; confirm on film.","Mixed signal; review fit and execution on film."))))))))</f>
        <v>Track only; not enough sample.</v>
      </c>
      <c r="M878" s="8" t="s">
        <v>39</v>
      </c>
      <c r="N878" s="8"/>
      <c r="O878" s="8"/>
      <c r="P878" s="8" t="s">
        <v>477</v>
      </c>
      <c r="Q878" s="8"/>
      <c r="R878" s="8" t="s">
        <v>429</v>
      </c>
      <c r="S878" s="2" t="s">
        <v>478</v>
      </c>
      <c r="T878" s="2">
        <f>IF(C878=0,0,IF(C878&gt;=CALL_LOOKUP_BOARD!$B$7,IF(OR(K878="Problem Call",K878="Explosive Alert"),10000000,20000000),0)+IF(C878&gt;=CALL_LOOKUP_BOARD!$B$7,J878*1000+MIN(C878,999),C878*1000+J878)+0.00993200)</f>
        <v>1098.009932</v>
      </c>
      <c r="U878" s="2" t="str">
        <f>IF(C878=0,"",IF(COUNTIFS($S$811:$S$1055,SUBSTITUTE(SUBSTITUTE(SUBSTITUTE(S878,"~","~~"),"*","~*"),"?","~?"),$T$811:$T$1055,"&gt;"&amp;T878)=0,S878,""))</f>
        <v>7:1D 7-10|10:SPLIT ZONE|</v>
      </c>
    </row>
    <row r="879" spans="1:21" ht="38" customHeight="1">
      <c r="A879" s="8" t="s">
        <v>479</v>
      </c>
      <c r="B879" s="8" t="s">
        <v>51</v>
      </c>
      <c r="C879" s="12">
        <f>COUNTIFS('DEF_SELF_SCOUT_IMPORT'!$L$42:$L$1040,"Y",'DEF_SELF_SCOUT_IMPORT'!$E$42:$E$1040,SUBSTITUTE(SUBSTITUTE(SUBSTITUTE($B879,"~","~~"),"*","~*"),"?","~?"),'DEF_SELF_SCOUT_IMPORT'!$Q$42:$Q$1040,SUBSTITUTE(SUBSTITUTE(SUBSTITUTE($M879,"~","~~"),"*","~*"),"?","~?"),'DEF_SELF_SCOUT_IMPORT'!$D$42:$D$1040,SUBSTITUTE(SUBSTITUTE(SUBSTITUTE($P879,"~","~~"),"*","~*"),"?","~?"))</f>
        <v>1</v>
      </c>
      <c r="D879" s="10">
        <f>IF($C879=0,"",SUMIFS('DEF_SELF_SCOUT_IMPORT'!$J$42:$J$1040,'DEF_SELF_SCOUT_IMPORT'!$L$42:$L$1040,"Y",'DEF_SELF_SCOUT_IMPORT'!$E$42:$E$1040,SUBSTITUTE(SUBSTITUTE(SUBSTITUTE($B879,"~","~~"),"*","~*"),"?","~?"),'DEF_SELF_SCOUT_IMPORT'!$Q$42:$Q$1040,SUBSTITUTE(SUBSTITUTE(SUBSTITUTE($M879,"~","~~"),"*","~*"),"?","~?"),'DEF_SELF_SCOUT_IMPORT'!$D$42:$D$1040,SUBSTITUTE(SUBSTITUTE(SUBSTITUTE($P879,"~","~~"),"*","~*"),"?","~?"))/$C879)</f>
        <v>1.0</v>
      </c>
      <c r="E879" s="10">
        <f>IF($C879=0,"",SUMIFS('DEF_SELF_SCOUT_IMPORT'!$K$42:$K$1040,'DEF_SELF_SCOUT_IMPORT'!$L$42:$L$1040,"Y",'DEF_SELF_SCOUT_IMPORT'!$E$42:$E$1040,SUBSTITUTE(SUBSTITUTE(SUBSTITUTE($B879,"~","~~"),"*","~*"),"?","~?"),'DEF_SELF_SCOUT_IMPORT'!$Q$42:$Q$1040,SUBSTITUTE(SUBSTITUTE(SUBSTITUTE($M879,"~","~~"),"*","~*"),"?","~?"),'DEF_SELF_SCOUT_IMPORT'!$D$42:$D$1040,SUBSTITUTE(SUBSTITUTE(SUBSTITUTE($P879,"~","~~"),"*","~*"),"?","~?"))/$C879)</f>
        <v>0.0</v>
      </c>
      <c r="F879" s="11">
        <f>IF($C879=0,"",AVERAGEIFS('DEF_SELF_SCOUT_IMPORT'!$I$42:$I$1040,'DEF_SELF_SCOUT_IMPORT'!$L$42:$L$1040,"Y",'DEF_SELF_SCOUT_IMPORT'!$E$42:$E$1040,SUBSTITUTE(SUBSTITUTE(SUBSTITUTE($B879,"~","~~"),"*","~*"),"?","~?"),'DEF_SELF_SCOUT_IMPORT'!$Q$42:$Q$1040,SUBSTITUTE(SUBSTITUTE(SUBSTITUTE($M879,"~","~~"),"*","~*"),"?","~?"),'DEF_SELF_SCOUT_IMPORT'!$D$42:$D$1040,SUBSTITUTE(SUBSTITUTE(SUBSTITUTE($P879,"~","~~"),"*","~*"),"?","~?")))</f>
        <v>0.0</v>
      </c>
      <c r="G879" s="10">
        <f>IF($C879=0,"",COUNTIFS('DEF_SELF_SCOUT_IMPORT'!$L$42:$L$1040,"Y",'DEF_SELF_SCOUT_IMPORT'!$E$42:$E$1040,SUBSTITUTE(SUBSTITUTE(SUBSTITUTE($B879,"~","~~"),"*","~*"),"?","~?"),'DEF_SELF_SCOUT_IMPORT'!$Q$42:$Q$1040,SUBSTITUTE(SUBSTITUTE(SUBSTITUTE($M879,"~","~~"),"*","~*"),"?","~?"),'DEF_SELF_SCOUT_IMPORT'!$D$42:$D$1040,SUBSTITUTE(SUBSTITUTE(SUBSTITUTE($P879,"~","~~"),"*","~*"),"?","~?"),'DEF_SELF_SCOUT_IMPORT'!$H$42:$H$1040,"RUSH")/$C879)</f>
        <v>0.0</v>
      </c>
      <c r="H879" s="10">
        <f>IF($C879=0,"",COUNTIFS('DEF_SELF_SCOUT_IMPORT'!$L$42:$L$1040,"Y",'DEF_SELF_SCOUT_IMPORT'!$E$42:$E$1040,SUBSTITUTE(SUBSTITUTE(SUBSTITUTE($B879,"~","~~"),"*","~*"),"?","~?"),'DEF_SELF_SCOUT_IMPORT'!$Q$42:$Q$1040,SUBSTITUTE(SUBSTITUTE(SUBSTITUTE($M879,"~","~~"),"*","~*"),"?","~?"),'DEF_SELF_SCOUT_IMPORT'!$D$42:$D$1040,SUBSTITUTE(SUBSTITUTE(SUBSTITUTE($P879,"~","~~"),"*","~*"),"?","~?"),'DEF_SELF_SCOUT_IMPORT'!$H$42:$H$1040,"DROPBACK")/$C879)</f>
        <v>1.0</v>
      </c>
      <c r="I879" s="14" t="str">
        <f>IF(C879=0,"",IF(C879&lt;=2,"TRACK",IF(C879=3,"LOW",IF(C879&lt;=6,"MEDIUM","HIGH"))))</f>
        <v>TRACK</v>
      </c>
      <c r="J879" s="11">
        <f>IF(C879=0,"",ROUND(D879*70+(1-E879)*20+MAX(0,MIN(1,(10-F879)/10))*10,1))</f>
        <v>100.0</v>
      </c>
      <c r="K879" s="14" t="str">
        <f>IF(C879=0,"No Evidence",IF(C879&lt;=2,IF(E879&gt;0,"Explosive Alert","Track Only"),IF(C879=3,"Sample Watch",IF(E879&gt;=START_HERE!$B$31,"Explosive Alert",IF(J879&gt;=80,"Strong Candidate",IF(J879&gt;=65,"Good Candidate",IF(J879&gt;=50,"Mixed / Review","Problem Call")))))))</f>
        <v>Track Only</v>
      </c>
      <c r="L879" s="9" t="str">
        <f>IF(COUNTIFS('DEF_SELF_SCOUT_IMPORT'!$L$42:$L$1040,"Y",'DEF_SELF_SCOUT_IMPORT'!$E$42:$E$1040,SUBSTITUTE(SUBSTITUTE(SUBSTITUTE($B879,"~","~~"),"*","~*"),"?","~?"),'DEF_SELF_SCOUT_IMPORT'!$Q$42:$Q$1040,SUBSTITUTE(SUBSTITUTE(SUBSTITUTE($M879,"~","~~"),"*","~*"),"?","~?"),'DEF_SELF_SCOUT_IMPORT'!$D$42:$D$1040,SUBSTITUTE(SUBSTITUTE(SUBSTITUTE($P879,"~","~~"),"*","~*"),"?","~?"),'DEF_SELF_SCOUT_IMPORT'!$J$42:$J$1040,"")&gt;0,"Unscored clean outcome; review result tags before using score.",IF(C879=0,"No matching defensive reps; film confirmation needed.",IF(K879="Explosive Alert","Explosive risk; review clips before using as answer.",IF(C879&lt;=2,"Track only; not enough sample.",IF(C879=3,IF(E879&gt;0,"Sample watch with explosive exposure; review clips and build the sample.",IF(J879&gt;=65,"Good signal, but sample is limited.","Sample watch; review clips and build the sample.")),IF(K879="Problem Call","Problem area; practice or call-sheet review.",IF(K879="Strong Candidate","Strong call-fit candidate; confirm on film.",IF(K879="Good Candidate","Good call-fit signal; confirm on film.","Mixed signal; review fit and execution on film."))))))))</f>
        <v>Track only; not enough sample.</v>
      </c>
      <c r="M879" s="8" t="s">
        <v>39</v>
      </c>
      <c r="N879" s="8"/>
      <c r="O879" s="8"/>
      <c r="P879" s="8" t="s">
        <v>480</v>
      </c>
      <c r="Q879" s="8"/>
      <c r="R879" s="8" t="s">
        <v>429</v>
      </c>
      <c r="S879" s="2" t="s">
        <v>481</v>
      </c>
      <c r="T879" s="2">
        <f>IF(C879=0,0,IF(C879&gt;=CALL_LOOKUP_BOARD!$B$7,IF(OR(K879="Problem Call",K879="Explosive Alert"),10000000,20000000),0)+IF(C879&gt;=CALL_LOOKUP_BOARD!$B$7,J879*1000+MIN(C879,999),C879*1000+J879)+0.00993100)</f>
        <v>1100.009931</v>
      </c>
      <c r="U879" s="2" t="str">
        <f>IF(C879=0,"",IF(COUNTIFS($S$811:$S$1055,SUBSTITUTE(SUBSTITUTE(SUBSTITUTE(S879,"~","~~"),"*","~*"),"?","~?"),$T$811:$T$1055,"&gt;"&amp;T879)=0,S879,""))</f>
        <v>7:1D 7-10|9:TOSS PASS|</v>
      </c>
    </row>
    <row r="880" spans="1:21" ht="38" customHeight="1">
      <c r="A880" s="8" t="s">
        <v>482</v>
      </c>
      <c r="B880" s="8" t="s">
        <v>63</v>
      </c>
      <c r="C880" s="12">
        <f>COUNTIFS('DEF_SELF_SCOUT_IMPORT'!$L$42:$L$1040,"Y",'DEF_SELF_SCOUT_IMPORT'!$E$42:$E$1040,SUBSTITUTE(SUBSTITUTE(SUBSTITUTE($B880,"~","~~"),"*","~*"),"?","~?"),'DEF_SELF_SCOUT_IMPORT'!$Q$42:$Q$1040,SUBSTITUTE(SUBSTITUTE(SUBSTITUTE($M880,"~","~~"),"*","~*"),"?","~?"),'DEF_SELF_SCOUT_IMPORT'!$D$42:$D$1040,SUBSTITUTE(SUBSTITUTE(SUBSTITUTE($P880,"~","~~"),"*","~*"),"?","~?"))</f>
        <v>1</v>
      </c>
      <c r="D880" s="10">
        <f>IF($C880=0,"",SUMIFS('DEF_SELF_SCOUT_IMPORT'!$J$42:$J$1040,'DEF_SELF_SCOUT_IMPORT'!$L$42:$L$1040,"Y",'DEF_SELF_SCOUT_IMPORT'!$E$42:$E$1040,SUBSTITUTE(SUBSTITUTE(SUBSTITUTE($B880,"~","~~"),"*","~*"),"?","~?"),'DEF_SELF_SCOUT_IMPORT'!$Q$42:$Q$1040,SUBSTITUTE(SUBSTITUTE(SUBSTITUTE($M880,"~","~~"),"*","~*"),"?","~?"),'DEF_SELF_SCOUT_IMPORT'!$D$42:$D$1040,SUBSTITUTE(SUBSTITUTE(SUBSTITUTE($P880,"~","~~"),"*","~*"),"?","~?"))/$C880)</f>
        <v>0.0</v>
      </c>
      <c r="E880" s="10">
        <f>IF($C880=0,"",SUMIFS('DEF_SELF_SCOUT_IMPORT'!$K$42:$K$1040,'DEF_SELF_SCOUT_IMPORT'!$L$42:$L$1040,"Y",'DEF_SELF_SCOUT_IMPORT'!$E$42:$E$1040,SUBSTITUTE(SUBSTITUTE(SUBSTITUTE($B880,"~","~~"),"*","~*"),"?","~?"),'DEF_SELF_SCOUT_IMPORT'!$Q$42:$Q$1040,SUBSTITUTE(SUBSTITUTE(SUBSTITUTE($M880,"~","~~"),"*","~*"),"?","~?"),'DEF_SELF_SCOUT_IMPORT'!$D$42:$D$1040,SUBSTITUTE(SUBSTITUTE(SUBSTITUTE($P880,"~","~~"),"*","~*"),"?","~?"))/$C880)</f>
        <v>0.0</v>
      </c>
      <c r="F880" s="11">
        <f>IF($C880=0,"",AVERAGEIFS('DEF_SELF_SCOUT_IMPORT'!$I$42:$I$1040,'DEF_SELF_SCOUT_IMPORT'!$L$42:$L$1040,"Y",'DEF_SELF_SCOUT_IMPORT'!$E$42:$E$1040,SUBSTITUTE(SUBSTITUTE(SUBSTITUTE($B880,"~","~~"),"*","~*"),"?","~?"),'DEF_SELF_SCOUT_IMPORT'!$Q$42:$Q$1040,SUBSTITUTE(SUBSTITUTE(SUBSTITUTE($M880,"~","~~"),"*","~*"),"?","~?"),'DEF_SELF_SCOUT_IMPORT'!$D$42:$D$1040,SUBSTITUTE(SUBSTITUTE(SUBSTITUTE($P880,"~","~~"),"*","~*"),"?","~?")))</f>
        <v>9.0</v>
      </c>
      <c r="G880" s="10">
        <f>IF($C880=0,"",COUNTIFS('DEF_SELF_SCOUT_IMPORT'!$L$42:$L$1040,"Y",'DEF_SELF_SCOUT_IMPORT'!$E$42:$E$1040,SUBSTITUTE(SUBSTITUTE(SUBSTITUTE($B880,"~","~~"),"*","~*"),"?","~?"),'DEF_SELF_SCOUT_IMPORT'!$Q$42:$Q$1040,SUBSTITUTE(SUBSTITUTE(SUBSTITUTE($M880,"~","~~"),"*","~*"),"?","~?"),'DEF_SELF_SCOUT_IMPORT'!$D$42:$D$1040,SUBSTITUTE(SUBSTITUTE(SUBSTITUTE($P880,"~","~~"),"*","~*"),"?","~?"),'DEF_SELF_SCOUT_IMPORT'!$H$42:$H$1040,"RUSH")/$C880)</f>
        <v>0.0</v>
      </c>
      <c r="H880" s="10">
        <f>IF($C880=0,"",COUNTIFS('DEF_SELF_SCOUT_IMPORT'!$L$42:$L$1040,"Y",'DEF_SELF_SCOUT_IMPORT'!$E$42:$E$1040,SUBSTITUTE(SUBSTITUTE(SUBSTITUTE($B880,"~","~~"),"*","~*"),"?","~?"),'DEF_SELF_SCOUT_IMPORT'!$Q$42:$Q$1040,SUBSTITUTE(SUBSTITUTE(SUBSTITUTE($M880,"~","~~"),"*","~*"),"?","~?"),'DEF_SELF_SCOUT_IMPORT'!$D$42:$D$1040,SUBSTITUTE(SUBSTITUTE(SUBSTITUTE($P880,"~","~~"),"*","~*"),"?","~?"),'DEF_SELF_SCOUT_IMPORT'!$H$42:$H$1040,"DROPBACK")/$C880)</f>
        <v>1.0</v>
      </c>
      <c r="I880" s="14" t="str">
        <f>IF(C880=0,"",IF(C880&lt;=2,"TRACK",IF(C880=3,"LOW",IF(C880&lt;=6,"MEDIUM","HIGH"))))</f>
        <v>TRACK</v>
      </c>
      <c r="J880" s="11">
        <f>IF(C880=0,"",ROUND(D880*70+(1-E880)*20+MAX(0,MIN(1,(10-F880)/10))*10,1))</f>
        <v>21.0</v>
      </c>
      <c r="K880" s="14" t="str">
        <f>IF(C880=0,"No Evidence",IF(C880&lt;=2,IF(E880&gt;0,"Explosive Alert","Track Only"),IF(C880=3,"Sample Watch",IF(E880&gt;=START_HERE!$B$31,"Explosive Alert",IF(J880&gt;=80,"Strong Candidate",IF(J880&gt;=65,"Good Candidate",IF(J880&gt;=50,"Mixed / Review","Problem Call")))))))</f>
        <v>Track Only</v>
      </c>
      <c r="L880" s="9" t="str">
        <f>IF(COUNTIFS('DEF_SELF_SCOUT_IMPORT'!$L$42:$L$1040,"Y",'DEF_SELF_SCOUT_IMPORT'!$E$42:$E$1040,SUBSTITUTE(SUBSTITUTE(SUBSTITUTE($B880,"~","~~"),"*","~*"),"?","~?"),'DEF_SELF_SCOUT_IMPORT'!$Q$42:$Q$1040,SUBSTITUTE(SUBSTITUTE(SUBSTITUTE($M880,"~","~~"),"*","~*"),"?","~?"),'DEF_SELF_SCOUT_IMPORT'!$D$42:$D$1040,SUBSTITUTE(SUBSTITUTE(SUBSTITUTE($P880,"~","~~"),"*","~*"),"?","~?"),'DEF_SELF_SCOUT_IMPORT'!$J$42:$J$1040,"")&gt;0,"Unscored clean outcome; review result tags before using score.",IF(C880=0,"No matching defensive reps; film confirmation needed.",IF(K880="Explosive Alert","Explosive risk; review clips before using as answer.",IF(C880&lt;=2,"Track only; not enough sample.",IF(C880=3,IF(E880&gt;0,"Sample watch with explosive exposure; review clips and build the sample.",IF(J880&gt;=65,"Good signal, but sample is limited.","Sample watch; review clips and build the sample.")),IF(K880="Problem Call","Problem area; practice or call-sheet review.",IF(K880="Strong Candidate","Strong call-fit candidate; confirm on film.",IF(K880="Good Candidate","Good call-fit signal; confirm on film.","Mixed signal; review fit and execution on film."))))))))</f>
        <v>Track only; not enough sample.</v>
      </c>
      <c r="M880" s="8" t="s">
        <v>70</v>
      </c>
      <c r="N880" s="8"/>
      <c r="O880" s="8"/>
      <c r="P880" s="8" t="s">
        <v>446</v>
      </c>
      <c r="Q880" s="8"/>
      <c r="R880" s="8" t="s">
        <v>429</v>
      </c>
      <c r="S880" s="2" t="s">
        <v>483</v>
      </c>
      <c r="T880" s="2">
        <f>IF(C880=0,0,IF(C880&gt;=CALL_LOOKUP_BOARD!$B$7,IF(OR(K880="Problem Call",K880="Explosive Alert"),10000000,20000000),0)+IF(C880&gt;=CALL_LOOKUP_BOARD!$B$7,J880*1000+MIN(C880,999),C880*1000+J880)+0.00993000)</f>
        <v>1021.00993</v>
      </c>
      <c r="U880" s="2" t="str">
        <f>IF(C880=0,"",IF(COUNTIFS($S$811:$S$1055,SUBSTITUTE(SUBSTITUTE(SUBSTITUTE(S880,"~","~~"),"*","~*"),"?","~?"),$T$811:$T$1055,"&gt;"&amp;T880)=0,S880,""))</f>
        <v>6:2D 1-3|6:3 STEP|</v>
      </c>
    </row>
    <row r="881" spans="1:21" ht="38" customHeight="1">
      <c r="A881" s="8" t="s">
        <v>484</v>
      </c>
      <c r="B881" s="8" t="s">
        <v>72</v>
      </c>
      <c r="C881" s="12">
        <f>COUNTIFS('DEF_SELF_SCOUT_IMPORT'!$L$42:$L$1040,"Y",'DEF_SELF_SCOUT_IMPORT'!$E$42:$E$1040,SUBSTITUTE(SUBSTITUTE(SUBSTITUTE($B881,"~","~~"),"*","~*"),"?","~?"),'DEF_SELF_SCOUT_IMPORT'!$Q$42:$Q$1040,SUBSTITUTE(SUBSTITUTE(SUBSTITUTE($M881,"~","~~"),"*","~*"),"?","~?"),'DEF_SELF_SCOUT_IMPORT'!$D$42:$D$1040,SUBSTITUTE(SUBSTITUTE(SUBSTITUTE($P881,"~","~~"),"*","~*"),"?","~?"))</f>
        <v>1</v>
      </c>
      <c r="D881" s="10">
        <f>IF($C881=0,"",SUMIFS('DEF_SELF_SCOUT_IMPORT'!$J$42:$J$1040,'DEF_SELF_SCOUT_IMPORT'!$L$42:$L$1040,"Y",'DEF_SELF_SCOUT_IMPORT'!$E$42:$E$1040,SUBSTITUTE(SUBSTITUTE(SUBSTITUTE($B881,"~","~~"),"*","~*"),"?","~?"),'DEF_SELF_SCOUT_IMPORT'!$Q$42:$Q$1040,SUBSTITUTE(SUBSTITUTE(SUBSTITUTE($M881,"~","~~"),"*","~*"),"?","~?"),'DEF_SELF_SCOUT_IMPORT'!$D$42:$D$1040,SUBSTITUTE(SUBSTITUTE(SUBSTITUTE($P881,"~","~~"),"*","~*"),"?","~?"))/$C881)</f>
        <v>0.0</v>
      </c>
      <c r="E881" s="10">
        <f>IF($C881=0,"",SUMIFS('DEF_SELF_SCOUT_IMPORT'!$K$42:$K$1040,'DEF_SELF_SCOUT_IMPORT'!$L$42:$L$1040,"Y",'DEF_SELF_SCOUT_IMPORT'!$E$42:$E$1040,SUBSTITUTE(SUBSTITUTE(SUBSTITUTE($B881,"~","~~"),"*","~*"),"?","~?"),'DEF_SELF_SCOUT_IMPORT'!$Q$42:$Q$1040,SUBSTITUTE(SUBSTITUTE(SUBSTITUTE($M881,"~","~~"),"*","~*"),"?","~?"),'DEF_SELF_SCOUT_IMPORT'!$D$42:$D$1040,SUBSTITUTE(SUBSTITUTE(SUBSTITUTE($P881,"~","~~"),"*","~*"),"?","~?"))/$C881)</f>
        <v>0.0</v>
      </c>
      <c r="F881" s="11">
        <f>IF($C881=0,"",AVERAGEIFS('DEF_SELF_SCOUT_IMPORT'!$I$42:$I$1040,'DEF_SELF_SCOUT_IMPORT'!$L$42:$L$1040,"Y",'DEF_SELF_SCOUT_IMPORT'!$E$42:$E$1040,SUBSTITUTE(SUBSTITUTE(SUBSTITUTE($B881,"~","~~"),"*","~*"),"?","~?"),'DEF_SELF_SCOUT_IMPORT'!$Q$42:$Q$1040,SUBSTITUTE(SUBSTITUTE(SUBSTITUTE($M881,"~","~~"),"*","~*"),"?","~?"),'DEF_SELF_SCOUT_IMPORT'!$D$42:$D$1040,SUBSTITUTE(SUBSTITUTE(SUBSTITUTE($P881,"~","~~"),"*","~*"),"?","~?")))</f>
        <v>9.0</v>
      </c>
      <c r="G881" s="10">
        <f>IF($C881=0,"",COUNTIFS('DEF_SELF_SCOUT_IMPORT'!$L$42:$L$1040,"Y",'DEF_SELF_SCOUT_IMPORT'!$E$42:$E$1040,SUBSTITUTE(SUBSTITUTE(SUBSTITUTE($B881,"~","~~"),"*","~*"),"?","~?"),'DEF_SELF_SCOUT_IMPORT'!$Q$42:$Q$1040,SUBSTITUTE(SUBSTITUTE(SUBSTITUTE($M881,"~","~~"),"*","~*"),"?","~?"),'DEF_SELF_SCOUT_IMPORT'!$D$42:$D$1040,SUBSTITUTE(SUBSTITUTE(SUBSTITUTE($P881,"~","~~"),"*","~*"),"?","~?"),'DEF_SELF_SCOUT_IMPORT'!$H$42:$H$1040,"RUSH")/$C881)</f>
        <v>0.0</v>
      </c>
      <c r="H881" s="10">
        <f>IF($C881=0,"",COUNTIFS('DEF_SELF_SCOUT_IMPORT'!$L$42:$L$1040,"Y",'DEF_SELF_SCOUT_IMPORT'!$E$42:$E$1040,SUBSTITUTE(SUBSTITUTE(SUBSTITUTE($B881,"~","~~"),"*","~*"),"?","~?"),'DEF_SELF_SCOUT_IMPORT'!$Q$42:$Q$1040,SUBSTITUTE(SUBSTITUTE(SUBSTITUTE($M881,"~","~~"),"*","~*"),"?","~?"),'DEF_SELF_SCOUT_IMPORT'!$D$42:$D$1040,SUBSTITUTE(SUBSTITUTE(SUBSTITUTE($P881,"~","~~"),"*","~*"),"?","~?"),'DEF_SELF_SCOUT_IMPORT'!$H$42:$H$1040,"DROPBACK")/$C881)</f>
        <v>1.0</v>
      </c>
      <c r="I881" s="14" t="str">
        <f>IF(C881=0,"",IF(C881&lt;=2,"TRACK",IF(C881=3,"LOW",IF(C881&lt;=6,"MEDIUM","HIGH"))))</f>
        <v>TRACK</v>
      </c>
      <c r="J881" s="11">
        <f>IF(C881=0,"",ROUND(D881*70+(1-E881)*20+MAX(0,MIN(1,(10-F881)/10))*10,1))</f>
        <v>21.0</v>
      </c>
      <c r="K881" s="14" t="str">
        <f>IF(C881=0,"No Evidence",IF(C881&lt;=2,IF(E881&gt;0,"Explosive Alert","Track Only"),IF(C881=3,"Sample Watch",IF(E881&gt;=START_HERE!$B$31,"Explosive Alert",IF(J881&gt;=80,"Strong Candidate",IF(J881&gt;=65,"Good Candidate",IF(J881&gt;=50,"Mixed / Review","Problem Call")))))))</f>
        <v>Track Only</v>
      </c>
      <c r="L881" s="9" t="str">
        <f>IF(COUNTIFS('DEF_SELF_SCOUT_IMPORT'!$L$42:$L$1040,"Y",'DEF_SELF_SCOUT_IMPORT'!$E$42:$E$1040,SUBSTITUTE(SUBSTITUTE(SUBSTITUTE($B881,"~","~~"),"*","~*"),"?","~?"),'DEF_SELF_SCOUT_IMPORT'!$Q$42:$Q$1040,SUBSTITUTE(SUBSTITUTE(SUBSTITUTE($M881,"~","~~"),"*","~*"),"?","~?"),'DEF_SELF_SCOUT_IMPORT'!$D$42:$D$1040,SUBSTITUTE(SUBSTITUTE(SUBSTITUTE($P881,"~","~~"),"*","~*"),"?","~?"),'DEF_SELF_SCOUT_IMPORT'!$J$42:$J$1040,"")&gt;0,"Unscored clean outcome; review result tags before using score.",IF(C881=0,"No matching defensive reps; film confirmation needed.",IF(K881="Explosive Alert","Explosive risk; review clips before using as answer.",IF(C881&lt;=2,"Track only; not enough sample.",IF(C881=3,IF(E881&gt;0,"Sample watch with explosive exposure; review clips and build the sample.",IF(J881&gt;=65,"Good signal, but sample is limited.","Sample watch; review clips and build the sample.")),IF(K881="Problem Call","Problem area; practice or call-sheet review.",IF(K881="Strong Candidate","Strong call-fit candidate; confirm on film.",IF(K881="Good Candidate","Good call-fit signal; confirm on film.","Mixed signal; review fit and execution on film."))))))))</f>
        <v>Track only; not enough sample.</v>
      </c>
      <c r="M881" s="8" t="s">
        <v>70</v>
      </c>
      <c r="N881" s="8"/>
      <c r="O881" s="8"/>
      <c r="P881" s="8" t="s">
        <v>449</v>
      </c>
      <c r="Q881" s="8"/>
      <c r="R881" s="8" t="s">
        <v>429</v>
      </c>
      <c r="S881" s="2" t="s">
        <v>485</v>
      </c>
      <c r="T881" s="2">
        <f>IF(C881=0,0,IF(C881&gt;=CALL_LOOKUP_BOARD!$B$7,IF(OR(K881="Problem Call",K881="Explosive Alert"),10000000,20000000),0)+IF(C881&gt;=CALL_LOOKUP_BOARD!$B$7,J881*1000+MIN(C881,999),C881*1000+J881)+0.00992900)</f>
        <v>1021.009929</v>
      </c>
      <c r="U881" s="2" t="str">
        <f>IF(C881=0,"",IF(COUNTIFS($S$811:$S$1055,SUBSTITUTE(SUBSTITUTE(SUBSTITUTE(S881,"~","~~"),"*","~*"),"?","~?"),$T$811:$T$1055,"&gt;"&amp;T881)=0,S881,""))</f>
        <v>6:2D 1-3|6:5 STEP|</v>
      </c>
    </row>
    <row r="882" spans="1:21" ht="38" customHeight="1">
      <c r="A882" s="8" t="s">
        <v>486</v>
      </c>
      <c r="B882" s="8" t="s">
        <v>30</v>
      </c>
      <c r="C882" s="12">
        <f>COUNTIFS('DEF_SELF_SCOUT_IMPORT'!$L$42:$L$1040,"Y",'DEF_SELF_SCOUT_IMPORT'!$E$42:$E$1040,SUBSTITUTE(SUBSTITUTE(SUBSTITUTE($B882,"~","~~"),"*","~*"),"?","~?"),'DEF_SELF_SCOUT_IMPORT'!$Q$42:$Q$1040,SUBSTITUTE(SUBSTITUTE(SUBSTITUTE($M882,"~","~~"),"*","~*"),"?","~?"),'DEF_SELF_SCOUT_IMPORT'!$D$42:$D$1040,SUBSTITUTE(SUBSTITUTE(SUBSTITUTE($P882,"~","~~"),"*","~*"),"?","~?"))</f>
        <v>1</v>
      </c>
      <c r="D882" s="10">
        <f>IF($C882=0,"",SUMIFS('DEF_SELF_SCOUT_IMPORT'!$J$42:$J$1040,'DEF_SELF_SCOUT_IMPORT'!$L$42:$L$1040,"Y",'DEF_SELF_SCOUT_IMPORT'!$E$42:$E$1040,SUBSTITUTE(SUBSTITUTE(SUBSTITUTE($B882,"~","~~"),"*","~*"),"?","~?"),'DEF_SELF_SCOUT_IMPORT'!$Q$42:$Q$1040,SUBSTITUTE(SUBSTITUTE(SUBSTITUTE($M882,"~","~~"),"*","~*"),"?","~?"),'DEF_SELF_SCOUT_IMPORT'!$D$42:$D$1040,SUBSTITUTE(SUBSTITUTE(SUBSTITUTE($P882,"~","~~"),"*","~*"),"?","~?"))/$C882)</f>
        <v>0.0</v>
      </c>
      <c r="E882" s="10">
        <f>IF($C882=0,"",SUMIFS('DEF_SELF_SCOUT_IMPORT'!$K$42:$K$1040,'DEF_SELF_SCOUT_IMPORT'!$L$42:$L$1040,"Y",'DEF_SELF_SCOUT_IMPORT'!$E$42:$E$1040,SUBSTITUTE(SUBSTITUTE(SUBSTITUTE($B882,"~","~~"),"*","~*"),"?","~?"),'DEF_SELF_SCOUT_IMPORT'!$Q$42:$Q$1040,SUBSTITUTE(SUBSTITUTE(SUBSTITUTE($M882,"~","~~"),"*","~*"),"?","~?"),'DEF_SELF_SCOUT_IMPORT'!$D$42:$D$1040,SUBSTITUTE(SUBSTITUTE(SUBSTITUTE($P882,"~","~~"),"*","~*"),"?","~?"))/$C882)</f>
        <v>0.0</v>
      </c>
      <c r="F882" s="11">
        <f>IF($C882=0,"",AVERAGEIFS('DEF_SELF_SCOUT_IMPORT'!$I$42:$I$1040,'DEF_SELF_SCOUT_IMPORT'!$L$42:$L$1040,"Y",'DEF_SELF_SCOUT_IMPORT'!$E$42:$E$1040,SUBSTITUTE(SUBSTITUTE(SUBSTITUTE($B882,"~","~~"),"*","~*"),"?","~?"),'DEF_SELF_SCOUT_IMPORT'!$Q$42:$Q$1040,SUBSTITUTE(SUBSTITUTE(SUBSTITUTE($M882,"~","~~"),"*","~*"),"?","~?"),'DEF_SELF_SCOUT_IMPORT'!$D$42:$D$1040,SUBSTITUTE(SUBSTITUTE(SUBSTITUTE($P882,"~","~~"),"*","~*"),"?","~?")))</f>
        <v>1.0</v>
      </c>
      <c r="G882" s="10">
        <f>IF($C882=0,"",COUNTIFS('DEF_SELF_SCOUT_IMPORT'!$L$42:$L$1040,"Y",'DEF_SELF_SCOUT_IMPORT'!$E$42:$E$1040,SUBSTITUTE(SUBSTITUTE(SUBSTITUTE($B882,"~","~~"),"*","~*"),"?","~?"),'DEF_SELF_SCOUT_IMPORT'!$Q$42:$Q$1040,SUBSTITUTE(SUBSTITUTE(SUBSTITUTE($M882,"~","~~"),"*","~*"),"?","~?"),'DEF_SELF_SCOUT_IMPORT'!$D$42:$D$1040,SUBSTITUTE(SUBSTITUTE(SUBSTITUTE($P882,"~","~~"),"*","~*"),"?","~?"),'DEF_SELF_SCOUT_IMPORT'!$H$42:$H$1040,"RUSH")/$C882)</f>
        <v>0.0</v>
      </c>
      <c r="H882" s="10">
        <f>IF($C882=0,"",COUNTIFS('DEF_SELF_SCOUT_IMPORT'!$L$42:$L$1040,"Y",'DEF_SELF_SCOUT_IMPORT'!$E$42:$E$1040,SUBSTITUTE(SUBSTITUTE(SUBSTITUTE($B882,"~","~~"),"*","~*"),"?","~?"),'DEF_SELF_SCOUT_IMPORT'!$Q$42:$Q$1040,SUBSTITUTE(SUBSTITUTE(SUBSTITUTE($M882,"~","~~"),"*","~*"),"?","~?"),'DEF_SELF_SCOUT_IMPORT'!$D$42:$D$1040,SUBSTITUTE(SUBSTITUTE(SUBSTITUTE($P882,"~","~~"),"*","~*"),"?","~?"),'DEF_SELF_SCOUT_IMPORT'!$H$42:$H$1040,"DROPBACK")/$C882)</f>
        <v>0.0</v>
      </c>
      <c r="I882" s="14" t="str">
        <f>IF(C882=0,"",IF(C882&lt;=2,"TRACK",IF(C882=3,"LOW",IF(C882&lt;=6,"MEDIUM","HIGH"))))</f>
        <v>TRACK</v>
      </c>
      <c r="J882" s="11">
        <f>IF(C882=0,"",ROUND(D882*70+(1-E882)*20+MAX(0,MIN(1,(10-F882)/10))*10,1))</f>
        <v>29.0</v>
      </c>
      <c r="K882" s="14" t="str">
        <f>IF(C882=0,"No Evidence",IF(C882&lt;=2,IF(E882&gt;0,"Explosive Alert","Track Only"),IF(C882=3,"Sample Watch",IF(E882&gt;=START_HERE!$B$31,"Explosive Alert",IF(J882&gt;=80,"Strong Candidate",IF(J882&gt;=65,"Good Candidate",IF(J882&gt;=50,"Mixed / Review","Problem Call")))))))</f>
        <v>Track Only</v>
      </c>
      <c r="L882" s="9" t="str">
        <f>IF(COUNTIFS('DEF_SELF_SCOUT_IMPORT'!$L$42:$L$1040,"Y",'DEF_SELF_SCOUT_IMPORT'!$E$42:$E$1040,SUBSTITUTE(SUBSTITUTE(SUBSTITUTE($B882,"~","~~"),"*","~*"),"?","~?"),'DEF_SELF_SCOUT_IMPORT'!$Q$42:$Q$1040,SUBSTITUTE(SUBSTITUTE(SUBSTITUTE($M882,"~","~~"),"*","~*"),"?","~?"),'DEF_SELF_SCOUT_IMPORT'!$D$42:$D$1040,SUBSTITUTE(SUBSTITUTE(SUBSTITUTE($P882,"~","~~"),"*","~*"),"?","~?"),'DEF_SELF_SCOUT_IMPORT'!$J$42:$J$1040,"")&gt;0,"Unscored clean outcome; review result tags before using score.",IF(C882=0,"No matching defensive reps; film confirmation needed.",IF(K882="Explosive Alert","Explosive risk; review clips before using as answer.",IF(C882&lt;=2,"Track only; not enough sample.",IF(C882=3,IF(E882&gt;0,"Sample watch with explosive exposure; review clips and build the sample.",IF(J882&gt;=65,"Good signal, but sample is limited.","Sample watch; review clips and build the sample.")),IF(K882="Problem Call","Problem area; practice or call-sheet review.",IF(K882="Strong Candidate","Strong call-fit candidate; confirm on film.",IF(K882="Good Candidate","Good call-fit signal; confirm on film.","Mixed signal; review fit and execution on film."))))))))</f>
        <v>Track only; not enough sample.</v>
      </c>
      <c r="M882" s="8" t="s">
        <v>70</v>
      </c>
      <c r="N882" s="8"/>
      <c r="O882" s="8"/>
      <c r="P882" s="8" t="s">
        <v>487</v>
      </c>
      <c r="Q882" s="8"/>
      <c r="R882" s="8" t="s">
        <v>429</v>
      </c>
      <c r="S882" s="2" t="s">
        <v>488</v>
      </c>
      <c r="T882" s="2">
        <f>IF(C882=0,0,IF(C882&gt;=CALL_LOOKUP_BOARD!$B$7,IF(OR(K882="Problem Call",K882="Explosive Alert"),10000000,20000000),0)+IF(C882&gt;=CALL_LOOKUP_BOARD!$B$7,J882*1000+MIN(C882,999),C882*1000+J882)+0.00992800)</f>
        <v>1029.009928</v>
      </c>
      <c r="U882" s="2" t="str">
        <f>IF(C882=0,"",IF(COUNTIFS($S$811:$S$1055,SUBSTITUTE(SUBSTITUTE(SUBSTITUTE(S882,"~","~~"),"*","~*"),"?","~?"),$T$811:$T$1055,"&gt;"&amp;T882)=0,S882,""))</f>
        <v>6:2D 1-3|5:BELLY|</v>
      </c>
    </row>
    <row r="883" spans="1:21" ht="38" customHeight="1">
      <c r="A883" s="8" t="s">
        <v>489</v>
      </c>
      <c r="B883" s="8" t="s">
        <v>68</v>
      </c>
      <c r="C883" s="12">
        <f>COUNTIFS('DEF_SELF_SCOUT_IMPORT'!$L$42:$L$1040,"Y",'DEF_SELF_SCOUT_IMPORT'!$E$42:$E$1040,SUBSTITUTE(SUBSTITUTE(SUBSTITUTE($B883,"~","~~"),"*","~*"),"?","~?"),'DEF_SELF_SCOUT_IMPORT'!$Q$42:$Q$1040,SUBSTITUTE(SUBSTITUTE(SUBSTITUTE($M883,"~","~~"),"*","~*"),"?","~?"),'DEF_SELF_SCOUT_IMPORT'!$D$42:$D$1040,SUBSTITUTE(SUBSTITUTE(SUBSTITUTE($P883,"~","~~"),"*","~*"),"?","~?"))</f>
        <v>1</v>
      </c>
      <c r="D883" s="10">
        <f>IF($C883=0,"",SUMIFS('DEF_SELF_SCOUT_IMPORT'!$J$42:$J$1040,'DEF_SELF_SCOUT_IMPORT'!$L$42:$L$1040,"Y",'DEF_SELF_SCOUT_IMPORT'!$E$42:$E$1040,SUBSTITUTE(SUBSTITUTE(SUBSTITUTE($B883,"~","~~"),"*","~*"),"?","~?"),'DEF_SELF_SCOUT_IMPORT'!$Q$42:$Q$1040,SUBSTITUTE(SUBSTITUTE(SUBSTITUTE($M883,"~","~~"),"*","~*"),"?","~?"),'DEF_SELF_SCOUT_IMPORT'!$D$42:$D$1040,SUBSTITUTE(SUBSTITUTE(SUBSTITUTE($P883,"~","~~"),"*","~*"),"?","~?"))/$C883)</f>
        <v>0.0</v>
      </c>
      <c r="E883" s="10">
        <f>IF($C883=0,"",SUMIFS('DEF_SELF_SCOUT_IMPORT'!$K$42:$K$1040,'DEF_SELF_SCOUT_IMPORT'!$L$42:$L$1040,"Y",'DEF_SELF_SCOUT_IMPORT'!$E$42:$E$1040,SUBSTITUTE(SUBSTITUTE(SUBSTITUTE($B883,"~","~~"),"*","~*"),"?","~?"),'DEF_SELF_SCOUT_IMPORT'!$Q$42:$Q$1040,SUBSTITUTE(SUBSTITUTE(SUBSTITUTE($M883,"~","~~"),"*","~*"),"?","~?"),'DEF_SELF_SCOUT_IMPORT'!$D$42:$D$1040,SUBSTITUTE(SUBSTITUTE(SUBSTITUTE($P883,"~","~~"),"*","~*"),"?","~?"))/$C883)</f>
        <v>0.0</v>
      </c>
      <c r="F883" s="11">
        <f>IF($C883=0,"",AVERAGEIFS('DEF_SELF_SCOUT_IMPORT'!$I$42:$I$1040,'DEF_SELF_SCOUT_IMPORT'!$L$42:$L$1040,"Y",'DEF_SELF_SCOUT_IMPORT'!$E$42:$E$1040,SUBSTITUTE(SUBSTITUTE(SUBSTITUTE($B883,"~","~~"),"*","~*"),"?","~?"),'DEF_SELF_SCOUT_IMPORT'!$Q$42:$Q$1040,SUBSTITUTE(SUBSTITUTE(SUBSTITUTE($M883,"~","~~"),"*","~*"),"?","~?"),'DEF_SELF_SCOUT_IMPORT'!$D$42:$D$1040,SUBSTITUTE(SUBSTITUTE(SUBSTITUTE($P883,"~","~~"),"*","~*"),"?","~?")))</f>
        <v>5.0</v>
      </c>
      <c r="G883" s="10">
        <f>IF($C883=0,"",COUNTIFS('DEF_SELF_SCOUT_IMPORT'!$L$42:$L$1040,"Y",'DEF_SELF_SCOUT_IMPORT'!$E$42:$E$1040,SUBSTITUTE(SUBSTITUTE(SUBSTITUTE($B883,"~","~~"),"*","~*"),"?","~?"),'DEF_SELF_SCOUT_IMPORT'!$Q$42:$Q$1040,SUBSTITUTE(SUBSTITUTE(SUBSTITUTE($M883,"~","~~"),"*","~*"),"?","~?"),'DEF_SELF_SCOUT_IMPORT'!$D$42:$D$1040,SUBSTITUTE(SUBSTITUTE(SUBSTITUTE($P883,"~","~~"),"*","~*"),"?","~?"),'DEF_SELF_SCOUT_IMPORT'!$H$42:$H$1040,"RUSH")/$C883)</f>
        <v>1.0</v>
      </c>
      <c r="H883" s="10">
        <f>IF($C883=0,"",COUNTIFS('DEF_SELF_SCOUT_IMPORT'!$L$42:$L$1040,"Y",'DEF_SELF_SCOUT_IMPORT'!$E$42:$E$1040,SUBSTITUTE(SUBSTITUTE(SUBSTITUTE($B883,"~","~~"),"*","~*"),"?","~?"),'DEF_SELF_SCOUT_IMPORT'!$Q$42:$Q$1040,SUBSTITUTE(SUBSTITUTE(SUBSTITUTE($M883,"~","~~"),"*","~*"),"?","~?"),'DEF_SELF_SCOUT_IMPORT'!$D$42:$D$1040,SUBSTITUTE(SUBSTITUTE(SUBSTITUTE($P883,"~","~~"),"*","~*"),"?","~?"),'DEF_SELF_SCOUT_IMPORT'!$H$42:$H$1040,"DROPBACK")/$C883)</f>
        <v>0.0</v>
      </c>
      <c r="I883" s="14" t="str">
        <f>IF(C883=0,"",IF(C883&lt;=2,"TRACK",IF(C883=3,"LOW",IF(C883&lt;=6,"MEDIUM","HIGH"))))</f>
        <v>TRACK</v>
      </c>
      <c r="J883" s="11">
        <f>IF(C883=0,"",ROUND(D883*70+(1-E883)*20+MAX(0,MIN(1,(10-F883)/10))*10,1))</f>
        <v>25.0</v>
      </c>
      <c r="K883" s="14" t="str">
        <f>IF(C883=0,"No Evidence",IF(C883&lt;=2,IF(E883&gt;0,"Explosive Alert","Track Only"),IF(C883=3,"Sample Watch",IF(E883&gt;=START_HERE!$B$31,"Explosive Alert",IF(J883&gt;=80,"Strong Candidate",IF(J883&gt;=65,"Good Candidate",IF(J883&gt;=50,"Mixed / Review","Problem Call")))))))</f>
        <v>Track Only</v>
      </c>
      <c r="L883" s="9" t="str">
        <f>IF(COUNTIFS('DEF_SELF_SCOUT_IMPORT'!$L$42:$L$1040,"Y",'DEF_SELF_SCOUT_IMPORT'!$E$42:$E$1040,SUBSTITUTE(SUBSTITUTE(SUBSTITUTE($B883,"~","~~"),"*","~*"),"?","~?"),'DEF_SELF_SCOUT_IMPORT'!$Q$42:$Q$1040,SUBSTITUTE(SUBSTITUTE(SUBSTITUTE($M883,"~","~~"),"*","~*"),"?","~?"),'DEF_SELF_SCOUT_IMPORT'!$D$42:$D$1040,SUBSTITUTE(SUBSTITUTE(SUBSTITUTE($P883,"~","~~"),"*","~*"),"?","~?"),'DEF_SELF_SCOUT_IMPORT'!$J$42:$J$1040,"")&gt;0,"Unscored clean outcome; review result tags before using score.",IF(C883=0,"No matching defensive reps; film confirmation needed.",IF(K883="Explosive Alert","Explosive risk; review clips before using as answer.",IF(C883&lt;=2,"Track only; not enough sample.",IF(C883=3,IF(E883&gt;0,"Sample watch with explosive exposure; review clips and build the sample.",IF(J883&gt;=65,"Good signal, but sample is limited.","Sample watch; review clips and build the sample.")),IF(K883="Problem Call","Problem area; practice or call-sheet review.",IF(K883="Strong Candidate","Strong call-fit candidate; confirm on film.",IF(K883="Good Candidate","Good call-fit signal; confirm on film.","Mixed signal; review fit and execution on film."))))))))</f>
        <v>Track only; not enough sample.</v>
      </c>
      <c r="M883" s="8" t="s">
        <v>70</v>
      </c>
      <c r="N883" s="8"/>
      <c r="O883" s="8"/>
      <c r="P883" s="8" t="s">
        <v>432</v>
      </c>
      <c r="Q883" s="8"/>
      <c r="R883" s="8" t="s">
        <v>429</v>
      </c>
      <c r="S883" s="2" t="s">
        <v>490</v>
      </c>
      <c r="T883" s="2">
        <f>IF(C883=0,0,IF(C883&gt;=CALL_LOOKUP_BOARD!$B$7,IF(OR(K883="Problem Call",K883="Explosive Alert"),10000000,20000000),0)+IF(C883&gt;=CALL_LOOKUP_BOARD!$B$7,J883*1000+MIN(C883,999),C883*1000+J883)+0.00992700)</f>
        <v>1025.009927</v>
      </c>
      <c r="U883" s="2" t="str">
        <f>IF(C883=0,"",IF(COUNTIFS($S$811:$S$1055,SUBSTITUTE(SUBSTITUTE(SUBSTITUTE(S883,"~","~~"),"*","~*"),"?","~?"),$T$811:$T$1055,"&gt;"&amp;T883)=0,S883,""))</f>
        <v>6:2D 1-3|7:COUNTER|</v>
      </c>
    </row>
    <row r="884" spans="1:21" ht="38" customHeight="1">
      <c r="A884" s="8" t="s">
        <v>491</v>
      </c>
      <c r="B884" s="8" t="s">
        <v>27</v>
      </c>
      <c r="C884" s="12">
        <f>COUNTIFS('DEF_SELF_SCOUT_IMPORT'!$L$42:$L$1040,"Y",'DEF_SELF_SCOUT_IMPORT'!$E$42:$E$1040,SUBSTITUTE(SUBSTITUTE(SUBSTITUTE($B884,"~","~~"),"*","~*"),"?","~?"),'DEF_SELF_SCOUT_IMPORT'!$Q$42:$Q$1040,SUBSTITUTE(SUBSTITUTE(SUBSTITUTE($M884,"~","~~"),"*","~*"),"?","~?"),'DEF_SELF_SCOUT_IMPORT'!$D$42:$D$1040,SUBSTITUTE(SUBSTITUTE(SUBSTITUTE($P884,"~","~~"),"*","~*"),"?","~?"))</f>
        <v>1</v>
      </c>
      <c r="D884" s="10">
        <f>IF($C884=0,"",SUMIFS('DEF_SELF_SCOUT_IMPORT'!$J$42:$J$1040,'DEF_SELF_SCOUT_IMPORT'!$L$42:$L$1040,"Y",'DEF_SELF_SCOUT_IMPORT'!$E$42:$E$1040,SUBSTITUTE(SUBSTITUTE(SUBSTITUTE($B884,"~","~~"),"*","~*"),"?","~?"),'DEF_SELF_SCOUT_IMPORT'!$Q$42:$Q$1040,SUBSTITUTE(SUBSTITUTE(SUBSTITUTE($M884,"~","~~"),"*","~*"),"?","~?"),'DEF_SELF_SCOUT_IMPORT'!$D$42:$D$1040,SUBSTITUTE(SUBSTITUTE(SUBSTITUTE($P884,"~","~~"),"*","~*"),"?","~?"))/$C884)</f>
        <v>0.0</v>
      </c>
      <c r="E884" s="10">
        <f>IF($C884=0,"",SUMIFS('DEF_SELF_SCOUT_IMPORT'!$K$42:$K$1040,'DEF_SELF_SCOUT_IMPORT'!$L$42:$L$1040,"Y",'DEF_SELF_SCOUT_IMPORT'!$E$42:$E$1040,SUBSTITUTE(SUBSTITUTE(SUBSTITUTE($B884,"~","~~"),"*","~*"),"?","~?"),'DEF_SELF_SCOUT_IMPORT'!$Q$42:$Q$1040,SUBSTITUTE(SUBSTITUTE(SUBSTITUTE($M884,"~","~~"),"*","~*"),"?","~?"),'DEF_SELF_SCOUT_IMPORT'!$D$42:$D$1040,SUBSTITUTE(SUBSTITUTE(SUBSTITUTE($P884,"~","~~"),"*","~*"),"?","~?"))/$C884)</f>
        <v>0.0</v>
      </c>
      <c r="F884" s="11">
        <f>IF($C884=0,"",AVERAGEIFS('DEF_SELF_SCOUT_IMPORT'!$I$42:$I$1040,'DEF_SELF_SCOUT_IMPORT'!$L$42:$L$1040,"Y",'DEF_SELF_SCOUT_IMPORT'!$E$42:$E$1040,SUBSTITUTE(SUBSTITUTE(SUBSTITUTE($B884,"~","~~"),"*","~*"),"?","~?"),'DEF_SELF_SCOUT_IMPORT'!$Q$42:$Q$1040,SUBSTITUTE(SUBSTITUTE(SUBSTITUTE($M884,"~","~~"),"*","~*"),"?","~?"),'DEF_SELF_SCOUT_IMPORT'!$D$42:$D$1040,SUBSTITUTE(SUBSTITUTE(SUBSTITUTE($P884,"~","~~"),"*","~*"),"?","~?")))</f>
        <v>1.0</v>
      </c>
      <c r="G884" s="10">
        <f>IF($C884=0,"",COUNTIFS('DEF_SELF_SCOUT_IMPORT'!$L$42:$L$1040,"Y",'DEF_SELF_SCOUT_IMPORT'!$E$42:$E$1040,SUBSTITUTE(SUBSTITUTE(SUBSTITUTE($B884,"~","~~"),"*","~*"),"?","~?"),'DEF_SELF_SCOUT_IMPORT'!$Q$42:$Q$1040,SUBSTITUTE(SUBSTITUTE(SUBSTITUTE($M884,"~","~~"),"*","~*"),"?","~?"),'DEF_SELF_SCOUT_IMPORT'!$D$42:$D$1040,SUBSTITUTE(SUBSTITUTE(SUBSTITUTE($P884,"~","~~"),"*","~*"),"?","~?"),'DEF_SELF_SCOUT_IMPORT'!$H$42:$H$1040,"RUSH")/$C884)</f>
        <v>0.0</v>
      </c>
      <c r="H884" s="10">
        <f>IF($C884=0,"",COUNTIFS('DEF_SELF_SCOUT_IMPORT'!$L$42:$L$1040,"Y",'DEF_SELF_SCOUT_IMPORT'!$E$42:$E$1040,SUBSTITUTE(SUBSTITUTE(SUBSTITUTE($B884,"~","~~"),"*","~*"),"?","~?"),'DEF_SELF_SCOUT_IMPORT'!$Q$42:$Q$1040,SUBSTITUTE(SUBSTITUTE(SUBSTITUTE($M884,"~","~~"),"*","~*"),"?","~?"),'DEF_SELF_SCOUT_IMPORT'!$D$42:$D$1040,SUBSTITUTE(SUBSTITUTE(SUBSTITUTE($P884,"~","~~"),"*","~*"),"?","~?"),'DEF_SELF_SCOUT_IMPORT'!$H$42:$H$1040,"DROPBACK")/$C884)</f>
        <v>0.0</v>
      </c>
      <c r="I884" s="14" t="str">
        <f>IF(C884=0,"",IF(C884&lt;=2,"TRACK",IF(C884=3,"LOW",IF(C884&lt;=6,"MEDIUM","HIGH"))))</f>
        <v>TRACK</v>
      </c>
      <c r="J884" s="11">
        <f>IF(C884=0,"",ROUND(D884*70+(1-E884)*20+MAX(0,MIN(1,(10-F884)/10))*10,1))</f>
        <v>29.0</v>
      </c>
      <c r="K884" s="14" t="str">
        <f>IF(C884=0,"No Evidence",IF(C884&lt;=2,IF(E884&gt;0,"Explosive Alert","Track Only"),IF(C884=3,"Sample Watch",IF(E884&gt;=START_HERE!$B$31,"Explosive Alert",IF(J884&gt;=80,"Strong Candidate",IF(J884&gt;=65,"Good Candidate",IF(J884&gt;=50,"Mixed / Review","Problem Call")))))))</f>
        <v>Track Only</v>
      </c>
      <c r="L884" s="9" t="str">
        <f>IF(COUNTIFS('DEF_SELF_SCOUT_IMPORT'!$L$42:$L$1040,"Y",'DEF_SELF_SCOUT_IMPORT'!$E$42:$E$1040,SUBSTITUTE(SUBSTITUTE(SUBSTITUTE($B884,"~","~~"),"*","~*"),"?","~?"),'DEF_SELF_SCOUT_IMPORT'!$Q$42:$Q$1040,SUBSTITUTE(SUBSTITUTE(SUBSTITUTE($M884,"~","~~"),"*","~*"),"?","~?"),'DEF_SELF_SCOUT_IMPORT'!$D$42:$D$1040,SUBSTITUTE(SUBSTITUTE(SUBSTITUTE($P884,"~","~~"),"*","~*"),"?","~?"),'DEF_SELF_SCOUT_IMPORT'!$J$42:$J$1040,"")&gt;0,"Unscored clean outcome; review result tags before using score.",IF(C884=0,"No matching defensive reps; film confirmation needed.",IF(K884="Explosive Alert","Explosive risk; review clips before using as answer.",IF(C884&lt;=2,"Track only; not enough sample.",IF(C884=3,IF(E884&gt;0,"Sample watch with explosive exposure; review clips and build the sample.",IF(J884&gt;=65,"Good signal, but sample is limited.","Sample watch; review clips and build the sample.")),IF(K884="Problem Call","Problem area; practice or call-sheet review.",IF(K884="Strong Candidate","Strong call-fit candidate; confirm on film.",IF(K884="Good Candidate","Good call-fit signal; confirm on film.","Mixed signal; review fit and execution on film."))))))))</f>
        <v>Track only; not enough sample.</v>
      </c>
      <c r="M884" s="8" t="s">
        <v>70</v>
      </c>
      <c r="N884" s="8"/>
      <c r="O884" s="8"/>
      <c r="P884" s="8" t="s">
        <v>428</v>
      </c>
      <c r="Q884" s="8"/>
      <c r="R884" s="8" t="s">
        <v>429</v>
      </c>
      <c r="S884" s="2" t="s">
        <v>492</v>
      </c>
      <c r="T884" s="2">
        <f>IF(C884=0,0,IF(C884&gt;=CALL_LOOKUP_BOARD!$B$7,IF(OR(K884="Problem Call",K884="Explosive Alert"),10000000,20000000),0)+IF(C884&gt;=CALL_LOOKUP_BOARD!$B$7,J884*1000+MIN(C884,999),C884*1000+J884)+0.00992600)</f>
        <v>1029.009926</v>
      </c>
      <c r="U884" s="2">
        <f>IF(C884=0,"",IF(COUNTIFS($S$811:$S$1055,SUBSTITUTE(SUBSTITUTE(SUBSTITUTE(S884,"~","~~"),"*","~*"),"?","~?"),$T$811:$T$1055,"&gt;"&amp;T884)=0,S884,""))</f>
        <v/>
      </c>
    </row>
    <row r="885" spans="1:21" ht="38" customHeight="1">
      <c r="A885" s="8" t="s">
        <v>491</v>
      </c>
      <c r="B885" s="8" t="s">
        <v>30</v>
      </c>
      <c r="C885" s="12">
        <f>COUNTIFS('DEF_SELF_SCOUT_IMPORT'!$L$42:$L$1040,"Y",'DEF_SELF_SCOUT_IMPORT'!$E$42:$E$1040,SUBSTITUTE(SUBSTITUTE(SUBSTITUTE($B885,"~","~~"),"*","~*"),"?","~?"),'DEF_SELF_SCOUT_IMPORT'!$Q$42:$Q$1040,SUBSTITUTE(SUBSTITUTE(SUBSTITUTE($M885,"~","~~"),"*","~*"),"?","~?"),'DEF_SELF_SCOUT_IMPORT'!$D$42:$D$1040,SUBSTITUTE(SUBSTITUTE(SUBSTITUTE($P885,"~","~~"),"*","~*"),"?","~?"))</f>
        <v>1</v>
      </c>
      <c r="D885" s="10">
        <f>IF($C885=0,"",SUMIFS('DEF_SELF_SCOUT_IMPORT'!$J$42:$J$1040,'DEF_SELF_SCOUT_IMPORT'!$L$42:$L$1040,"Y",'DEF_SELF_SCOUT_IMPORT'!$E$42:$E$1040,SUBSTITUTE(SUBSTITUTE(SUBSTITUTE($B885,"~","~~"),"*","~*"),"?","~?"),'DEF_SELF_SCOUT_IMPORT'!$Q$42:$Q$1040,SUBSTITUTE(SUBSTITUTE(SUBSTITUTE($M885,"~","~~"),"*","~*"),"?","~?"),'DEF_SELF_SCOUT_IMPORT'!$D$42:$D$1040,SUBSTITUTE(SUBSTITUTE(SUBSTITUTE($P885,"~","~~"),"*","~*"),"?","~?"))/$C885)</f>
        <v>1.0</v>
      </c>
      <c r="E885" s="10">
        <f>IF($C885=0,"",SUMIFS('DEF_SELF_SCOUT_IMPORT'!$K$42:$K$1040,'DEF_SELF_SCOUT_IMPORT'!$L$42:$L$1040,"Y",'DEF_SELF_SCOUT_IMPORT'!$E$42:$E$1040,SUBSTITUTE(SUBSTITUTE(SUBSTITUTE($B885,"~","~~"),"*","~*"),"?","~?"),'DEF_SELF_SCOUT_IMPORT'!$Q$42:$Q$1040,SUBSTITUTE(SUBSTITUTE(SUBSTITUTE($M885,"~","~~"),"*","~*"),"?","~?"),'DEF_SELF_SCOUT_IMPORT'!$D$42:$D$1040,SUBSTITUTE(SUBSTITUTE(SUBSTITUTE($P885,"~","~~"),"*","~*"),"?","~?"))/$C885)</f>
        <v>0.0</v>
      </c>
      <c r="F885" s="11">
        <f>IF($C885=0,"",AVERAGEIFS('DEF_SELF_SCOUT_IMPORT'!$I$42:$I$1040,'DEF_SELF_SCOUT_IMPORT'!$L$42:$L$1040,"Y",'DEF_SELF_SCOUT_IMPORT'!$E$42:$E$1040,SUBSTITUTE(SUBSTITUTE(SUBSTITUTE($B885,"~","~~"),"*","~*"),"?","~?"),'DEF_SELF_SCOUT_IMPORT'!$Q$42:$Q$1040,SUBSTITUTE(SUBSTITUTE(SUBSTITUTE($M885,"~","~~"),"*","~*"),"?","~?"),'DEF_SELF_SCOUT_IMPORT'!$D$42:$D$1040,SUBSTITUTE(SUBSTITUTE(SUBSTITUTE($P885,"~","~~"),"*","~*"),"?","~?")))</f>
        <v>2.0</v>
      </c>
      <c r="G885" s="10">
        <f>IF($C885=0,"",COUNTIFS('DEF_SELF_SCOUT_IMPORT'!$L$42:$L$1040,"Y",'DEF_SELF_SCOUT_IMPORT'!$E$42:$E$1040,SUBSTITUTE(SUBSTITUTE(SUBSTITUTE($B885,"~","~~"),"*","~*"),"?","~?"),'DEF_SELF_SCOUT_IMPORT'!$Q$42:$Q$1040,SUBSTITUTE(SUBSTITUTE(SUBSTITUTE($M885,"~","~~"),"*","~*"),"?","~?"),'DEF_SELF_SCOUT_IMPORT'!$D$42:$D$1040,SUBSTITUTE(SUBSTITUTE(SUBSTITUTE($P885,"~","~~"),"*","~*"),"?","~?"),'DEF_SELF_SCOUT_IMPORT'!$H$42:$H$1040,"RUSH")/$C885)</f>
        <v>1.0</v>
      </c>
      <c r="H885" s="10">
        <f>IF($C885=0,"",COUNTIFS('DEF_SELF_SCOUT_IMPORT'!$L$42:$L$1040,"Y",'DEF_SELF_SCOUT_IMPORT'!$E$42:$E$1040,SUBSTITUTE(SUBSTITUTE(SUBSTITUTE($B885,"~","~~"),"*","~*"),"?","~?"),'DEF_SELF_SCOUT_IMPORT'!$Q$42:$Q$1040,SUBSTITUTE(SUBSTITUTE(SUBSTITUTE($M885,"~","~~"),"*","~*"),"?","~?"),'DEF_SELF_SCOUT_IMPORT'!$D$42:$D$1040,SUBSTITUTE(SUBSTITUTE(SUBSTITUTE($P885,"~","~~"),"*","~*"),"?","~?"),'DEF_SELF_SCOUT_IMPORT'!$H$42:$H$1040,"DROPBACK")/$C885)</f>
        <v>0.0</v>
      </c>
      <c r="I885" s="14" t="str">
        <f>IF(C885=0,"",IF(C885&lt;=2,"TRACK",IF(C885=3,"LOW",IF(C885&lt;=6,"MEDIUM","HIGH"))))</f>
        <v>TRACK</v>
      </c>
      <c r="J885" s="11">
        <f>IF(C885=0,"",ROUND(D885*70+(1-E885)*20+MAX(0,MIN(1,(10-F885)/10))*10,1))</f>
        <v>98.0</v>
      </c>
      <c r="K885" s="14" t="str">
        <f>IF(C885=0,"No Evidence",IF(C885&lt;=2,IF(E885&gt;0,"Explosive Alert","Track Only"),IF(C885=3,"Sample Watch",IF(E885&gt;=START_HERE!$B$31,"Explosive Alert",IF(J885&gt;=80,"Strong Candidate",IF(J885&gt;=65,"Good Candidate",IF(J885&gt;=50,"Mixed / Review","Problem Call")))))))</f>
        <v>Track Only</v>
      </c>
      <c r="L885" s="9" t="str">
        <f>IF(COUNTIFS('DEF_SELF_SCOUT_IMPORT'!$L$42:$L$1040,"Y",'DEF_SELF_SCOUT_IMPORT'!$E$42:$E$1040,SUBSTITUTE(SUBSTITUTE(SUBSTITUTE($B885,"~","~~"),"*","~*"),"?","~?"),'DEF_SELF_SCOUT_IMPORT'!$Q$42:$Q$1040,SUBSTITUTE(SUBSTITUTE(SUBSTITUTE($M885,"~","~~"),"*","~*"),"?","~?"),'DEF_SELF_SCOUT_IMPORT'!$D$42:$D$1040,SUBSTITUTE(SUBSTITUTE(SUBSTITUTE($P885,"~","~~"),"*","~*"),"?","~?"),'DEF_SELF_SCOUT_IMPORT'!$J$42:$J$1040,"")&gt;0,"Unscored clean outcome; review result tags before using score.",IF(C885=0,"No matching defensive reps; film confirmation needed.",IF(K885="Explosive Alert","Explosive risk; review clips before using as answer.",IF(C885&lt;=2,"Track only; not enough sample.",IF(C885=3,IF(E885&gt;0,"Sample watch with explosive exposure; review clips and build the sample.",IF(J885&gt;=65,"Good signal, but sample is limited.","Sample watch; review clips and build the sample.")),IF(K885="Problem Call","Problem area; practice or call-sheet review.",IF(K885="Strong Candidate","Strong call-fit candidate; confirm on film.",IF(K885="Good Candidate","Good call-fit signal; confirm on film.","Mixed signal; review fit and execution on film."))))))))</f>
        <v>Track only; not enough sample.</v>
      </c>
      <c r="M885" s="8" t="s">
        <v>70</v>
      </c>
      <c r="N885" s="8"/>
      <c r="O885" s="8"/>
      <c r="P885" s="8" t="s">
        <v>428</v>
      </c>
      <c r="Q885" s="8"/>
      <c r="R885" s="8" t="s">
        <v>429</v>
      </c>
      <c r="S885" s="2" t="s">
        <v>492</v>
      </c>
      <c r="T885" s="2">
        <f>IF(C885=0,0,IF(C885&gt;=CALL_LOOKUP_BOARD!$B$7,IF(OR(K885="Problem Call",K885="Explosive Alert"),10000000,20000000),0)+IF(C885&gt;=CALL_LOOKUP_BOARD!$B$7,J885*1000+MIN(C885,999),C885*1000+J885)+0.00992500)</f>
        <v>1098.009925</v>
      </c>
      <c r="U885" s="2">
        <f>IF(C885=0,"",IF(COUNTIFS($S$811:$S$1055,SUBSTITUTE(SUBSTITUTE(SUBSTITUTE(S885,"~","~~"),"*","~*"),"?","~?"),$T$811:$T$1055,"&gt;"&amp;T885)=0,S885,""))</f>
        <v/>
      </c>
    </row>
    <row r="886" spans="1:21" ht="38" customHeight="1">
      <c r="A886" s="8" t="s">
        <v>491</v>
      </c>
      <c r="B886" s="8" t="s">
        <v>56</v>
      </c>
      <c r="C886" s="12">
        <f>COUNTIFS('DEF_SELF_SCOUT_IMPORT'!$L$42:$L$1040,"Y",'DEF_SELF_SCOUT_IMPORT'!$E$42:$E$1040,SUBSTITUTE(SUBSTITUTE(SUBSTITUTE($B886,"~","~~"),"*","~*"),"?","~?"),'DEF_SELF_SCOUT_IMPORT'!$Q$42:$Q$1040,SUBSTITUTE(SUBSTITUTE(SUBSTITUTE($M886,"~","~~"),"*","~*"),"?","~?"),'DEF_SELF_SCOUT_IMPORT'!$D$42:$D$1040,SUBSTITUTE(SUBSTITUTE(SUBSTITUTE($P886,"~","~~"),"*","~*"),"?","~?"))</f>
        <v>1</v>
      </c>
      <c r="D886" s="10">
        <f>IF($C886=0,"",SUMIFS('DEF_SELF_SCOUT_IMPORT'!$J$42:$J$1040,'DEF_SELF_SCOUT_IMPORT'!$L$42:$L$1040,"Y",'DEF_SELF_SCOUT_IMPORT'!$E$42:$E$1040,SUBSTITUTE(SUBSTITUTE(SUBSTITUTE($B886,"~","~~"),"*","~*"),"?","~?"),'DEF_SELF_SCOUT_IMPORT'!$Q$42:$Q$1040,SUBSTITUTE(SUBSTITUTE(SUBSTITUTE($M886,"~","~~"),"*","~*"),"?","~?"),'DEF_SELF_SCOUT_IMPORT'!$D$42:$D$1040,SUBSTITUTE(SUBSTITUTE(SUBSTITUTE($P886,"~","~~"),"*","~*"),"?","~?"))/$C886)</f>
        <v>1.0</v>
      </c>
      <c r="E886" s="10">
        <f>IF($C886=0,"",SUMIFS('DEF_SELF_SCOUT_IMPORT'!$K$42:$K$1040,'DEF_SELF_SCOUT_IMPORT'!$L$42:$L$1040,"Y",'DEF_SELF_SCOUT_IMPORT'!$E$42:$E$1040,SUBSTITUTE(SUBSTITUTE(SUBSTITUTE($B886,"~","~~"),"*","~*"),"?","~?"),'DEF_SELF_SCOUT_IMPORT'!$Q$42:$Q$1040,SUBSTITUTE(SUBSTITUTE(SUBSTITUTE($M886,"~","~~"),"*","~*"),"?","~?"),'DEF_SELF_SCOUT_IMPORT'!$D$42:$D$1040,SUBSTITUTE(SUBSTITUTE(SUBSTITUTE($P886,"~","~~"),"*","~*"),"?","~?"))/$C886)</f>
        <v>0.0</v>
      </c>
      <c r="F886" s="11">
        <f>IF($C886=0,"",AVERAGEIFS('DEF_SELF_SCOUT_IMPORT'!$I$42:$I$1040,'DEF_SELF_SCOUT_IMPORT'!$L$42:$L$1040,"Y",'DEF_SELF_SCOUT_IMPORT'!$E$42:$E$1040,SUBSTITUTE(SUBSTITUTE(SUBSTITUTE($B886,"~","~~"),"*","~*"),"?","~?"),'DEF_SELF_SCOUT_IMPORT'!$Q$42:$Q$1040,SUBSTITUTE(SUBSTITUTE(SUBSTITUTE($M886,"~","~~"),"*","~*"),"?","~?"),'DEF_SELF_SCOUT_IMPORT'!$D$42:$D$1040,SUBSTITUTE(SUBSTITUTE(SUBSTITUTE($P886,"~","~~"),"*","~*"),"?","~?")))</f>
        <v>-2.0</v>
      </c>
      <c r="G886" s="10">
        <f>IF($C886=0,"",COUNTIFS('DEF_SELF_SCOUT_IMPORT'!$L$42:$L$1040,"Y",'DEF_SELF_SCOUT_IMPORT'!$E$42:$E$1040,SUBSTITUTE(SUBSTITUTE(SUBSTITUTE($B886,"~","~~"),"*","~*"),"?","~?"),'DEF_SELF_SCOUT_IMPORT'!$Q$42:$Q$1040,SUBSTITUTE(SUBSTITUTE(SUBSTITUTE($M886,"~","~~"),"*","~*"),"?","~?"),'DEF_SELF_SCOUT_IMPORT'!$D$42:$D$1040,SUBSTITUTE(SUBSTITUTE(SUBSTITUTE($P886,"~","~~"),"*","~*"),"?","~?"),'DEF_SELF_SCOUT_IMPORT'!$H$42:$H$1040,"RUSH")/$C886)</f>
        <v>1.0</v>
      </c>
      <c r="H886" s="10">
        <f>IF($C886=0,"",COUNTIFS('DEF_SELF_SCOUT_IMPORT'!$L$42:$L$1040,"Y",'DEF_SELF_SCOUT_IMPORT'!$E$42:$E$1040,SUBSTITUTE(SUBSTITUTE(SUBSTITUTE($B886,"~","~~"),"*","~*"),"?","~?"),'DEF_SELF_SCOUT_IMPORT'!$Q$42:$Q$1040,SUBSTITUTE(SUBSTITUTE(SUBSTITUTE($M886,"~","~~"),"*","~*"),"?","~?"),'DEF_SELF_SCOUT_IMPORT'!$D$42:$D$1040,SUBSTITUTE(SUBSTITUTE(SUBSTITUTE($P886,"~","~~"),"*","~*"),"?","~?"),'DEF_SELF_SCOUT_IMPORT'!$H$42:$H$1040,"DROPBACK")/$C886)</f>
        <v>0.0</v>
      </c>
      <c r="I886" s="14" t="str">
        <f>IF(C886=0,"",IF(C886&lt;=2,"TRACK",IF(C886=3,"LOW",IF(C886&lt;=6,"MEDIUM","HIGH"))))</f>
        <v>TRACK</v>
      </c>
      <c r="J886" s="11">
        <f>IF(C886=0,"",ROUND(D886*70+(1-E886)*20+MAX(0,MIN(1,(10-F886)/10))*10,1))</f>
        <v>100.0</v>
      </c>
      <c r="K886" s="14" t="str">
        <f>IF(C886=0,"No Evidence",IF(C886&lt;=2,IF(E886&gt;0,"Explosive Alert","Track Only"),IF(C886=3,"Sample Watch",IF(E886&gt;=START_HERE!$B$31,"Explosive Alert",IF(J886&gt;=80,"Strong Candidate",IF(J886&gt;=65,"Good Candidate",IF(J886&gt;=50,"Mixed / Review","Problem Call")))))))</f>
        <v>Track Only</v>
      </c>
      <c r="L886" s="9" t="str">
        <f>IF(COUNTIFS('DEF_SELF_SCOUT_IMPORT'!$L$42:$L$1040,"Y",'DEF_SELF_SCOUT_IMPORT'!$E$42:$E$1040,SUBSTITUTE(SUBSTITUTE(SUBSTITUTE($B886,"~","~~"),"*","~*"),"?","~?"),'DEF_SELF_SCOUT_IMPORT'!$Q$42:$Q$1040,SUBSTITUTE(SUBSTITUTE(SUBSTITUTE($M886,"~","~~"),"*","~*"),"?","~?"),'DEF_SELF_SCOUT_IMPORT'!$D$42:$D$1040,SUBSTITUTE(SUBSTITUTE(SUBSTITUTE($P886,"~","~~"),"*","~*"),"?","~?"),'DEF_SELF_SCOUT_IMPORT'!$J$42:$J$1040,"")&gt;0,"Unscored clean outcome; review result tags before using score.",IF(C886=0,"No matching defensive reps; film confirmation needed.",IF(K886="Explosive Alert","Explosive risk; review clips before using as answer.",IF(C886&lt;=2,"Track only; not enough sample.",IF(C886=3,IF(E886&gt;0,"Sample watch with explosive exposure; review clips and build the sample.",IF(J886&gt;=65,"Good signal, but sample is limited.","Sample watch; review clips and build the sample.")),IF(K886="Problem Call","Problem area; practice or call-sheet review.",IF(K886="Strong Candidate","Strong call-fit candidate; confirm on film.",IF(K886="Good Candidate","Good call-fit signal; confirm on film.","Mixed signal; review fit and execution on film."))))))))</f>
        <v>Track only; not enough sample.</v>
      </c>
      <c r="M886" s="8" t="s">
        <v>70</v>
      </c>
      <c r="N886" s="8"/>
      <c r="O886" s="8"/>
      <c r="P886" s="8" t="s">
        <v>428</v>
      </c>
      <c r="Q886" s="8"/>
      <c r="R886" s="8" t="s">
        <v>429</v>
      </c>
      <c r="S886" s="2" t="s">
        <v>492</v>
      </c>
      <c r="T886" s="2">
        <f>IF(C886=0,0,IF(C886&gt;=CALL_LOOKUP_BOARD!$B$7,IF(OR(K886="Problem Call",K886="Explosive Alert"),10000000,20000000),0)+IF(C886&gt;=CALL_LOOKUP_BOARD!$B$7,J886*1000+MIN(C886,999),C886*1000+J886)+0.00992400)</f>
        <v>1100.009924</v>
      </c>
      <c r="U886" s="2" t="str">
        <f>IF(C886=0,"",IF(COUNTIFS($S$811:$S$1055,SUBSTITUTE(SUBSTITUTE(SUBSTITUTE(S886,"~","~~"),"*","~*"),"?","~?"),$T$811:$T$1055,"&gt;"&amp;T886)=0,S886,""))</f>
        <v>6:2D 1-3|11:INSIDE ZONE|</v>
      </c>
    </row>
    <row r="887" spans="1:21" ht="38" customHeight="1">
      <c r="A887" s="8" t="s">
        <v>491</v>
      </c>
      <c r="B887" s="8" t="s">
        <v>35</v>
      </c>
      <c r="C887" s="12">
        <f>COUNTIFS('DEF_SELF_SCOUT_IMPORT'!$L$42:$L$1040,"Y",'DEF_SELF_SCOUT_IMPORT'!$E$42:$E$1040,SUBSTITUTE(SUBSTITUTE(SUBSTITUTE($B887,"~","~~"),"*","~*"),"?","~?"),'DEF_SELF_SCOUT_IMPORT'!$Q$42:$Q$1040,SUBSTITUTE(SUBSTITUTE(SUBSTITUTE($M887,"~","~~"),"*","~*"),"?","~?"),'DEF_SELF_SCOUT_IMPORT'!$D$42:$D$1040,SUBSTITUTE(SUBSTITUTE(SUBSTITUTE($P887,"~","~~"),"*","~*"),"?","~?"))</f>
        <v>1</v>
      </c>
      <c r="D887" s="10">
        <f>IF($C887=0,"",SUMIFS('DEF_SELF_SCOUT_IMPORT'!$J$42:$J$1040,'DEF_SELF_SCOUT_IMPORT'!$L$42:$L$1040,"Y",'DEF_SELF_SCOUT_IMPORT'!$E$42:$E$1040,SUBSTITUTE(SUBSTITUTE(SUBSTITUTE($B887,"~","~~"),"*","~*"),"?","~?"),'DEF_SELF_SCOUT_IMPORT'!$Q$42:$Q$1040,SUBSTITUTE(SUBSTITUTE(SUBSTITUTE($M887,"~","~~"),"*","~*"),"?","~?"),'DEF_SELF_SCOUT_IMPORT'!$D$42:$D$1040,SUBSTITUTE(SUBSTITUTE(SUBSTITUTE($P887,"~","~~"),"*","~*"),"?","~?"))/$C887)</f>
        <v>0.0</v>
      </c>
      <c r="E887" s="10">
        <f>IF($C887=0,"",SUMIFS('DEF_SELF_SCOUT_IMPORT'!$K$42:$K$1040,'DEF_SELF_SCOUT_IMPORT'!$L$42:$L$1040,"Y",'DEF_SELF_SCOUT_IMPORT'!$E$42:$E$1040,SUBSTITUTE(SUBSTITUTE(SUBSTITUTE($B887,"~","~~"),"*","~*"),"?","~?"),'DEF_SELF_SCOUT_IMPORT'!$Q$42:$Q$1040,SUBSTITUTE(SUBSTITUTE(SUBSTITUTE($M887,"~","~~"),"*","~*"),"?","~?"),'DEF_SELF_SCOUT_IMPORT'!$D$42:$D$1040,SUBSTITUTE(SUBSTITUTE(SUBSTITUTE($P887,"~","~~"),"*","~*"),"?","~?"))/$C887)</f>
        <v>1.0</v>
      </c>
      <c r="F887" s="11">
        <f>IF($C887=0,"",AVERAGEIFS('DEF_SELF_SCOUT_IMPORT'!$I$42:$I$1040,'DEF_SELF_SCOUT_IMPORT'!$L$42:$L$1040,"Y",'DEF_SELF_SCOUT_IMPORT'!$E$42:$E$1040,SUBSTITUTE(SUBSTITUTE(SUBSTITUTE($B887,"~","~~"),"*","~*"),"?","~?"),'DEF_SELF_SCOUT_IMPORT'!$Q$42:$Q$1040,SUBSTITUTE(SUBSTITUTE(SUBSTITUTE($M887,"~","~~"),"*","~*"),"?","~?"),'DEF_SELF_SCOUT_IMPORT'!$D$42:$D$1040,SUBSTITUTE(SUBSTITUTE(SUBSTITUTE($P887,"~","~~"),"*","~*"),"?","~?")))</f>
        <v>16.0</v>
      </c>
      <c r="G887" s="10">
        <f>IF($C887=0,"",COUNTIFS('DEF_SELF_SCOUT_IMPORT'!$L$42:$L$1040,"Y",'DEF_SELF_SCOUT_IMPORT'!$E$42:$E$1040,SUBSTITUTE(SUBSTITUTE(SUBSTITUTE($B887,"~","~~"),"*","~*"),"?","~?"),'DEF_SELF_SCOUT_IMPORT'!$Q$42:$Q$1040,SUBSTITUTE(SUBSTITUTE(SUBSTITUTE($M887,"~","~~"),"*","~*"),"?","~?"),'DEF_SELF_SCOUT_IMPORT'!$D$42:$D$1040,SUBSTITUTE(SUBSTITUTE(SUBSTITUTE($P887,"~","~~"),"*","~*"),"?","~?"),'DEF_SELF_SCOUT_IMPORT'!$H$42:$H$1040,"RUSH")/$C887)</f>
        <v>1.0</v>
      </c>
      <c r="H887" s="10">
        <f>IF($C887=0,"",COUNTIFS('DEF_SELF_SCOUT_IMPORT'!$L$42:$L$1040,"Y",'DEF_SELF_SCOUT_IMPORT'!$E$42:$E$1040,SUBSTITUTE(SUBSTITUTE(SUBSTITUTE($B887,"~","~~"),"*","~*"),"?","~?"),'DEF_SELF_SCOUT_IMPORT'!$Q$42:$Q$1040,SUBSTITUTE(SUBSTITUTE(SUBSTITUTE($M887,"~","~~"),"*","~*"),"?","~?"),'DEF_SELF_SCOUT_IMPORT'!$D$42:$D$1040,SUBSTITUTE(SUBSTITUTE(SUBSTITUTE($P887,"~","~~"),"*","~*"),"?","~?"),'DEF_SELF_SCOUT_IMPORT'!$H$42:$H$1040,"DROPBACK")/$C887)</f>
        <v>0.0</v>
      </c>
      <c r="I887" s="14" t="str">
        <f>IF(C887=0,"",IF(C887&lt;=2,"TRACK",IF(C887=3,"LOW",IF(C887&lt;=6,"MEDIUM","HIGH"))))</f>
        <v>TRACK</v>
      </c>
      <c r="J887" s="11">
        <f>IF(C887=0,"",ROUND(D887*70+(1-E887)*20+MAX(0,MIN(1,(10-F887)/10))*10,1))</f>
        <v>0.0</v>
      </c>
      <c r="K887" s="14" t="str">
        <f>IF(C887=0,"No Evidence",IF(C887&lt;=2,IF(E887&gt;0,"Explosive Alert","Track Only"),IF(C887=3,"Sample Watch",IF(E887&gt;=START_HERE!$B$31,"Explosive Alert",IF(J887&gt;=80,"Strong Candidate",IF(J887&gt;=65,"Good Candidate",IF(J887&gt;=50,"Mixed / Review","Problem Call")))))))</f>
        <v>Explosive Alert</v>
      </c>
      <c r="L887" s="9" t="str">
        <f>IF(COUNTIFS('DEF_SELF_SCOUT_IMPORT'!$L$42:$L$1040,"Y",'DEF_SELF_SCOUT_IMPORT'!$E$42:$E$1040,SUBSTITUTE(SUBSTITUTE(SUBSTITUTE($B887,"~","~~"),"*","~*"),"?","~?"),'DEF_SELF_SCOUT_IMPORT'!$Q$42:$Q$1040,SUBSTITUTE(SUBSTITUTE(SUBSTITUTE($M887,"~","~~"),"*","~*"),"?","~?"),'DEF_SELF_SCOUT_IMPORT'!$D$42:$D$1040,SUBSTITUTE(SUBSTITUTE(SUBSTITUTE($P887,"~","~~"),"*","~*"),"?","~?"),'DEF_SELF_SCOUT_IMPORT'!$J$42:$J$1040,"")&gt;0,"Unscored clean outcome; review result tags before using score.",IF(C887=0,"No matching defensive reps; film confirmation needed.",IF(K887="Explosive Alert","Explosive risk; review clips before using as answer.",IF(C887&lt;=2,"Track only; not enough sample.",IF(C887=3,IF(E887&gt;0,"Sample watch with explosive exposure; review clips and build the sample.",IF(J887&gt;=65,"Good signal, but sample is limited.","Sample watch; review clips and build the sample.")),IF(K887="Problem Call","Problem area; practice or call-sheet review.",IF(K887="Strong Candidate","Strong call-fit candidate; confirm on film.",IF(K887="Good Candidate","Good call-fit signal; confirm on film.","Mixed signal; review fit and execution on film."))))))))</f>
        <v>Explosive risk; review clips before using as answer.</v>
      </c>
      <c r="M887" s="8" t="s">
        <v>70</v>
      </c>
      <c r="N887" s="8"/>
      <c r="O887" s="8"/>
      <c r="P887" s="8" t="s">
        <v>428</v>
      </c>
      <c r="Q887" s="8"/>
      <c r="R887" s="8" t="s">
        <v>429</v>
      </c>
      <c r="S887" s="2" t="s">
        <v>492</v>
      </c>
      <c r="T887" s="2">
        <f>IF(C887=0,0,IF(C887&gt;=CALL_LOOKUP_BOARD!$B$7,IF(OR(K887="Problem Call",K887="Explosive Alert"),10000000,20000000),0)+IF(C887&gt;=CALL_LOOKUP_BOARD!$B$7,J887*1000+MIN(C887,999),C887*1000+J887)+0.00992300)</f>
        <v>1000.009923</v>
      </c>
      <c r="U887" s="2">
        <f>IF(C887=0,"",IF(COUNTIFS($S$811:$S$1055,SUBSTITUTE(SUBSTITUTE(SUBSTITUTE(S887,"~","~~"),"*","~*"),"?","~?"),$T$811:$T$1055,"&gt;"&amp;T887)=0,S887,""))</f>
        <v/>
      </c>
    </row>
    <row r="888" spans="1:21" ht="38" customHeight="1">
      <c r="A888" s="8" t="s">
        <v>491</v>
      </c>
      <c r="B888" s="8" t="s">
        <v>60</v>
      </c>
      <c r="C888" s="12">
        <f>COUNTIFS('DEF_SELF_SCOUT_IMPORT'!$L$42:$L$1040,"Y",'DEF_SELF_SCOUT_IMPORT'!$E$42:$E$1040,SUBSTITUTE(SUBSTITUTE(SUBSTITUTE($B888,"~","~~"),"*","~*"),"?","~?"),'DEF_SELF_SCOUT_IMPORT'!$Q$42:$Q$1040,SUBSTITUTE(SUBSTITUTE(SUBSTITUTE($M888,"~","~~"),"*","~*"),"?","~?"),'DEF_SELF_SCOUT_IMPORT'!$D$42:$D$1040,SUBSTITUTE(SUBSTITUTE(SUBSTITUTE($P888,"~","~~"),"*","~*"),"?","~?"))</f>
        <v>1</v>
      </c>
      <c r="D888" s="10">
        <f>IF($C888=0,"",SUMIFS('DEF_SELF_SCOUT_IMPORT'!$J$42:$J$1040,'DEF_SELF_SCOUT_IMPORT'!$L$42:$L$1040,"Y",'DEF_SELF_SCOUT_IMPORT'!$E$42:$E$1040,SUBSTITUTE(SUBSTITUTE(SUBSTITUTE($B888,"~","~~"),"*","~*"),"?","~?"),'DEF_SELF_SCOUT_IMPORT'!$Q$42:$Q$1040,SUBSTITUTE(SUBSTITUTE(SUBSTITUTE($M888,"~","~~"),"*","~*"),"?","~?"),'DEF_SELF_SCOUT_IMPORT'!$D$42:$D$1040,SUBSTITUTE(SUBSTITUTE(SUBSTITUTE($P888,"~","~~"),"*","~*"),"?","~?"))/$C888)</f>
        <v>0.0</v>
      </c>
      <c r="E888" s="10">
        <f>IF($C888=0,"",SUMIFS('DEF_SELF_SCOUT_IMPORT'!$K$42:$K$1040,'DEF_SELF_SCOUT_IMPORT'!$L$42:$L$1040,"Y",'DEF_SELF_SCOUT_IMPORT'!$E$42:$E$1040,SUBSTITUTE(SUBSTITUTE(SUBSTITUTE($B888,"~","~~"),"*","~*"),"?","~?"),'DEF_SELF_SCOUT_IMPORT'!$Q$42:$Q$1040,SUBSTITUTE(SUBSTITUTE(SUBSTITUTE($M888,"~","~~"),"*","~*"),"?","~?"),'DEF_SELF_SCOUT_IMPORT'!$D$42:$D$1040,SUBSTITUTE(SUBSTITUTE(SUBSTITUTE($P888,"~","~~"),"*","~*"),"?","~?"))/$C888)</f>
        <v>0.0</v>
      </c>
      <c r="F888" s="11">
        <f>IF($C888=0,"",AVERAGEIFS('DEF_SELF_SCOUT_IMPORT'!$I$42:$I$1040,'DEF_SELF_SCOUT_IMPORT'!$L$42:$L$1040,"Y",'DEF_SELF_SCOUT_IMPORT'!$E$42:$E$1040,SUBSTITUTE(SUBSTITUTE(SUBSTITUTE($B888,"~","~~"),"*","~*"),"?","~?"),'DEF_SELF_SCOUT_IMPORT'!$Q$42:$Q$1040,SUBSTITUTE(SUBSTITUTE(SUBSTITUTE($M888,"~","~~"),"*","~*"),"?","~?"),'DEF_SELF_SCOUT_IMPORT'!$D$42:$D$1040,SUBSTITUTE(SUBSTITUTE(SUBSTITUTE($P888,"~","~~"),"*","~*"),"?","~?")))</f>
        <v>5.0</v>
      </c>
      <c r="G888" s="10">
        <f>IF($C888=0,"",COUNTIFS('DEF_SELF_SCOUT_IMPORT'!$L$42:$L$1040,"Y",'DEF_SELF_SCOUT_IMPORT'!$E$42:$E$1040,SUBSTITUTE(SUBSTITUTE(SUBSTITUTE($B888,"~","~~"),"*","~*"),"?","~?"),'DEF_SELF_SCOUT_IMPORT'!$Q$42:$Q$1040,SUBSTITUTE(SUBSTITUTE(SUBSTITUTE($M888,"~","~~"),"*","~*"),"?","~?"),'DEF_SELF_SCOUT_IMPORT'!$D$42:$D$1040,SUBSTITUTE(SUBSTITUTE(SUBSTITUTE($P888,"~","~~"),"*","~*"),"?","~?"),'DEF_SELF_SCOUT_IMPORT'!$H$42:$H$1040,"RUSH")/$C888)</f>
        <v>1.0</v>
      </c>
      <c r="H888" s="10">
        <f>IF($C888=0,"",COUNTIFS('DEF_SELF_SCOUT_IMPORT'!$L$42:$L$1040,"Y",'DEF_SELF_SCOUT_IMPORT'!$E$42:$E$1040,SUBSTITUTE(SUBSTITUTE(SUBSTITUTE($B888,"~","~~"),"*","~*"),"?","~?"),'DEF_SELF_SCOUT_IMPORT'!$Q$42:$Q$1040,SUBSTITUTE(SUBSTITUTE(SUBSTITUTE($M888,"~","~~"),"*","~*"),"?","~?"),'DEF_SELF_SCOUT_IMPORT'!$D$42:$D$1040,SUBSTITUTE(SUBSTITUTE(SUBSTITUTE($P888,"~","~~"),"*","~*"),"?","~?"),'DEF_SELF_SCOUT_IMPORT'!$H$42:$H$1040,"DROPBACK")/$C888)</f>
        <v>0.0</v>
      </c>
      <c r="I888" s="14" t="str">
        <f>IF(C888=0,"",IF(C888&lt;=2,"TRACK",IF(C888=3,"LOW",IF(C888&lt;=6,"MEDIUM","HIGH"))))</f>
        <v>TRACK</v>
      </c>
      <c r="J888" s="11">
        <f>IF(C888=0,"",ROUND(D888*70+(1-E888)*20+MAX(0,MIN(1,(10-F888)/10))*10,1))</f>
        <v>25.0</v>
      </c>
      <c r="K888" s="14" t="str">
        <f>IF(C888=0,"No Evidence",IF(C888&lt;=2,IF(E888&gt;0,"Explosive Alert","Track Only"),IF(C888=3,"Sample Watch",IF(E888&gt;=START_HERE!$B$31,"Explosive Alert",IF(J888&gt;=80,"Strong Candidate",IF(J888&gt;=65,"Good Candidate",IF(J888&gt;=50,"Mixed / Review","Problem Call")))))))</f>
        <v>Track Only</v>
      </c>
      <c r="L888" s="9" t="str">
        <f>IF(COUNTIFS('DEF_SELF_SCOUT_IMPORT'!$L$42:$L$1040,"Y",'DEF_SELF_SCOUT_IMPORT'!$E$42:$E$1040,SUBSTITUTE(SUBSTITUTE(SUBSTITUTE($B888,"~","~~"),"*","~*"),"?","~?"),'DEF_SELF_SCOUT_IMPORT'!$Q$42:$Q$1040,SUBSTITUTE(SUBSTITUTE(SUBSTITUTE($M888,"~","~~"),"*","~*"),"?","~?"),'DEF_SELF_SCOUT_IMPORT'!$D$42:$D$1040,SUBSTITUTE(SUBSTITUTE(SUBSTITUTE($P888,"~","~~"),"*","~*"),"?","~?"),'DEF_SELF_SCOUT_IMPORT'!$J$42:$J$1040,"")&gt;0,"Unscored clean outcome; review result tags before using score.",IF(C888=0,"No matching defensive reps; film confirmation needed.",IF(K888="Explosive Alert","Explosive risk; review clips before using as answer.",IF(C888&lt;=2,"Track only; not enough sample.",IF(C888=3,IF(E888&gt;0,"Sample watch with explosive exposure; review clips and build the sample.",IF(J888&gt;=65,"Good signal, but sample is limited.","Sample watch; review clips and build the sample.")),IF(K888="Problem Call","Problem area; practice or call-sheet review.",IF(K888="Strong Candidate","Strong call-fit candidate; confirm on film.",IF(K888="Good Candidate","Good call-fit signal; confirm on film.","Mixed signal; review fit and execution on film."))))))))</f>
        <v>Track only; not enough sample.</v>
      </c>
      <c r="M888" s="8" t="s">
        <v>70</v>
      </c>
      <c r="N888" s="8"/>
      <c r="O888" s="8"/>
      <c r="P888" s="8" t="s">
        <v>428</v>
      </c>
      <c r="Q888" s="8"/>
      <c r="R888" s="8" t="s">
        <v>429</v>
      </c>
      <c r="S888" s="2" t="s">
        <v>492</v>
      </c>
      <c r="T888" s="2">
        <f>IF(C888=0,0,IF(C888&gt;=CALL_LOOKUP_BOARD!$B$7,IF(OR(K888="Problem Call",K888="Explosive Alert"),10000000,20000000),0)+IF(C888&gt;=CALL_LOOKUP_BOARD!$B$7,J888*1000+MIN(C888,999),C888*1000+J888)+0.00992200)</f>
        <v>1025.009922</v>
      </c>
      <c r="U888" s="2">
        <f>IF(C888=0,"",IF(COUNTIFS($S$811:$S$1055,SUBSTITUTE(SUBSTITUTE(SUBSTITUTE(S888,"~","~~"),"*","~*"),"?","~?"),$T$811:$T$1055,"&gt;"&amp;T888)=0,S888,""))</f>
        <v/>
      </c>
    </row>
    <row r="889" spans="1:21" ht="38" customHeight="1">
      <c r="A889" s="8" t="s">
        <v>491</v>
      </c>
      <c r="B889" s="8" t="s">
        <v>75</v>
      </c>
      <c r="C889" s="12">
        <f>COUNTIFS('DEF_SELF_SCOUT_IMPORT'!$L$42:$L$1040,"Y",'DEF_SELF_SCOUT_IMPORT'!$E$42:$E$1040,SUBSTITUTE(SUBSTITUTE(SUBSTITUTE($B889,"~","~~"),"*","~*"),"?","~?"),'DEF_SELF_SCOUT_IMPORT'!$Q$42:$Q$1040,SUBSTITUTE(SUBSTITUTE(SUBSTITUTE($M889,"~","~~"),"*","~*"),"?","~?"),'DEF_SELF_SCOUT_IMPORT'!$D$42:$D$1040,SUBSTITUTE(SUBSTITUTE(SUBSTITUTE($P889,"~","~~"),"*","~*"),"?","~?"))</f>
        <v>1</v>
      </c>
      <c r="D889" s="10">
        <f>IF($C889=0,"",SUMIFS('DEF_SELF_SCOUT_IMPORT'!$J$42:$J$1040,'DEF_SELF_SCOUT_IMPORT'!$L$42:$L$1040,"Y",'DEF_SELF_SCOUT_IMPORT'!$E$42:$E$1040,SUBSTITUTE(SUBSTITUTE(SUBSTITUTE($B889,"~","~~"),"*","~*"),"?","~?"),'DEF_SELF_SCOUT_IMPORT'!$Q$42:$Q$1040,SUBSTITUTE(SUBSTITUTE(SUBSTITUTE($M889,"~","~~"),"*","~*"),"?","~?"),'DEF_SELF_SCOUT_IMPORT'!$D$42:$D$1040,SUBSTITUTE(SUBSTITUTE(SUBSTITUTE($P889,"~","~~"),"*","~*"),"?","~?"))/$C889)</f>
        <v>1.0</v>
      </c>
      <c r="E889" s="10">
        <f>IF($C889=0,"",SUMIFS('DEF_SELF_SCOUT_IMPORT'!$K$42:$K$1040,'DEF_SELF_SCOUT_IMPORT'!$L$42:$L$1040,"Y",'DEF_SELF_SCOUT_IMPORT'!$E$42:$E$1040,SUBSTITUTE(SUBSTITUTE(SUBSTITUTE($B889,"~","~~"),"*","~*"),"?","~?"),'DEF_SELF_SCOUT_IMPORT'!$Q$42:$Q$1040,SUBSTITUTE(SUBSTITUTE(SUBSTITUTE($M889,"~","~~"),"*","~*"),"?","~?"),'DEF_SELF_SCOUT_IMPORT'!$D$42:$D$1040,SUBSTITUTE(SUBSTITUTE(SUBSTITUTE($P889,"~","~~"),"*","~*"),"?","~?"))/$C889)</f>
        <v>0.0</v>
      </c>
      <c r="F889" s="11">
        <f>IF($C889=0,"",AVERAGEIFS('DEF_SELF_SCOUT_IMPORT'!$I$42:$I$1040,'DEF_SELF_SCOUT_IMPORT'!$L$42:$L$1040,"Y",'DEF_SELF_SCOUT_IMPORT'!$E$42:$E$1040,SUBSTITUTE(SUBSTITUTE(SUBSTITUTE($B889,"~","~~"),"*","~*"),"?","~?"),'DEF_SELF_SCOUT_IMPORT'!$Q$42:$Q$1040,SUBSTITUTE(SUBSTITUTE(SUBSTITUTE($M889,"~","~~"),"*","~*"),"?","~?"),'DEF_SELF_SCOUT_IMPORT'!$D$42:$D$1040,SUBSTITUTE(SUBSTITUTE(SUBSTITUTE($P889,"~","~~"),"*","~*"),"?","~?")))</f>
        <v>1.0</v>
      </c>
      <c r="G889" s="10">
        <f>IF($C889=0,"",COUNTIFS('DEF_SELF_SCOUT_IMPORT'!$L$42:$L$1040,"Y",'DEF_SELF_SCOUT_IMPORT'!$E$42:$E$1040,SUBSTITUTE(SUBSTITUTE(SUBSTITUTE($B889,"~","~~"),"*","~*"),"?","~?"),'DEF_SELF_SCOUT_IMPORT'!$Q$42:$Q$1040,SUBSTITUTE(SUBSTITUTE(SUBSTITUTE($M889,"~","~~"),"*","~*"),"?","~?"),'DEF_SELF_SCOUT_IMPORT'!$D$42:$D$1040,SUBSTITUTE(SUBSTITUTE(SUBSTITUTE($P889,"~","~~"),"*","~*"),"?","~?"),'DEF_SELF_SCOUT_IMPORT'!$H$42:$H$1040,"RUSH")/$C889)</f>
        <v>1.0</v>
      </c>
      <c r="H889" s="10">
        <f>IF($C889=0,"",COUNTIFS('DEF_SELF_SCOUT_IMPORT'!$L$42:$L$1040,"Y",'DEF_SELF_SCOUT_IMPORT'!$E$42:$E$1040,SUBSTITUTE(SUBSTITUTE(SUBSTITUTE($B889,"~","~~"),"*","~*"),"?","~?"),'DEF_SELF_SCOUT_IMPORT'!$Q$42:$Q$1040,SUBSTITUTE(SUBSTITUTE(SUBSTITUTE($M889,"~","~~"),"*","~*"),"?","~?"),'DEF_SELF_SCOUT_IMPORT'!$D$42:$D$1040,SUBSTITUTE(SUBSTITUTE(SUBSTITUTE($P889,"~","~~"),"*","~*"),"?","~?"),'DEF_SELF_SCOUT_IMPORT'!$H$42:$H$1040,"DROPBACK")/$C889)</f>
        <v>0.0</v>
      </c>
      <c r="I889" s="14" t="str">
        <f>IF(C889=0,"",IF(C889&lt;=2,"TRACK",IF(C889=3,"LOW",IF(C889&lt;=6,"MEDIUM","HIGH"))))</f>
        <v>TRACK</v>
      </c>
      <c r="J889" s="11">
        <f>IF(C889=0,"",ROUND(D889*70+(1-E889)*20+MAX(0,MIN(1,(10-F889)/10))*10,1))</f>
        <v>99.0</v>
      </c>
      <c r="K889" s="14" t="str">
        <f>IF(C889=0,"No Evidence",IF(C889&lt;=2,IF(E889&gt;0,"Explosive Alert","Track Only"),IF(C889=3,"Sample Watch",IF(E889&gt;=START_HERE!$B$31,"Explosive Alert",IF(J889&gt;=80,"Strong Candidate",IF(J889&gt;=65,"Good Candidate",IF(J889&gt;=50,"Mixed / Review","Problem Call")))))))</f>
        <v>Track Only</v>
      </c>
      <c r="L889" s="9" t="str">
        <f>IF(COUNTIFS('DEF_SELF_SCOUT_IMPORT'!$L$42:$L$1040,"Y",'DEF_SELF_SCOUT_IMPORT'!$E$42:$E$1040,SUBSTITUTE(SUBSTITUTE(SUBSTITUTE($B889,"~","~~"),"*","~*"),"?","~?"),'DEF_SELF_SCOUT_IMPORT'!$Q$42:$Q$1040,SUBSTITUTE(SUBSTITUTE(SUBSTITUTE($M889,"~","~~"),"*","~*"),"?","~?"),'DEF_SELF_SCOUT_IMPORT'!$D$42:$D$1040,SUBSTITUTE(SUBSTITUTE(SUBSTITUTE($P889,"~","~~"),"*","~*"),"?","~?"),'DEF_SELF_SCOUT_IMPORT'!$J$42:$J$1040,"")&gt;0,"Unscored clean outcome; review result tags before using score.",IF(C889=0,"No matching defensive reps; film confirmation needed.",IF(K889="Explosive Alert","Explosive risk; review clips before using as answer.",IF(C889&lt;=2,"Track only; not enough sample.",IF(C889=3,IF(E889&gt;0,"Sample watch with explosive exposure; review clips and build the sample.",IF(J889&gt;=65,"Good signal, but sample is limited.","Sample watch; review clips and build the sample.")),IF(K889="Problem Call","Problem area; practice or call-sheet review.",IF(K889="Strong Candidate","Strong call-fit candidate; confirm on film.",IF(K889="Good Candidate","Good call-fit signal; confirm on film.","Mixed signal; review fit and execution on film."))))))))</f>
        <v>Track only; not enough sample.</v>
      </c>
      <c r="M889" s="8" t="s">
        <v>70</v>
      </c>
      <c r="N889" s="8"/>
      <c r="O889" s="8"/>
      <c r="P889" s="8" t="s">
        <v>428</v>
      </c>
      <c r="Q889" s="8"/>
      <c r="R889" s="8" t="s">
        <v>429</v>
      </c>
      <c r="S889" s="2" t="s">
        <v>492</v>
      </c>
      <c r="T889" s="2">
        <f>IF(C889=0,0,IF(C889&gt;=CALL_LOOKUP_BOARD!$B$7,IF(OR(K889="Problem Call",K889="Explosive Alert"),10000000,20000000),0)+IF(C889&gt;=CALL_LOOKUP_BOARD!$B$7,J889*1000+MIN(C889,999),C889*1000+J889)+0.00992100)</f>
        <v>1099.009921</v>
      </c>
      <c r="U889" s="2">
        <f>IF(C889=0,"",IF(COUNTIFS($S$811:$S$1055,SUBSTITUTE(SUBSTITUTE(SUBSTITUTE(S889,"~","~~"),"*","~*"),"?","~?"),$T$811:$T$1055,"&gt;"&amp;T889)=0,S889,""))</f>
        <v/>
      </c>
    </row>
    <row r="890" spans="1:21" ht="38" customHeight="1">
      <c r="A890" s="8" t="s">
        <v>493</v>
      </c>
      <c r="B890" s="8" t="s">
        <v>46</v>
      </c>
      <c r="C890" s="12">
        <f>COUNTIFS('DEF_SELF_SCOUT_IMPORT'!$L$42:$L$1040,"Y",'DEF_SELF_SCOUT_IMPORT'!$E$42:$E$1040,SUBSTITUTE(SUBSTITUTE(SUBSTITUTE($B890,"~","~~"),"*","~*"),"?","~?"),'DEF_SELF_SCOUT_IMPORT'!$Q$42:$Q$1040,SUBSTITUTE(SUBSTITUTE(SUBSTITUTE($M890,"~","~~"),"*","~*"),"?","~?"),'DEF_SELF_SCOUT_IMPORT'!$D$42:$D$1040,SUBSTITUTE(SUBSTITUTE(SUBSTITUTE($P890,"~","~~"),"*","~*"),"?","~?"))</f>
        <v>1</v>
      </c>
      <c r="D890" s="10">
        <f>IF($C890=0,"",SUMIFS('DEF_SELF_SCOUT_IMPORT'!$J$42:$J$1040,'DEF_SELF_SCOUT_IMPORT'!$L$42:$L$1040,"Y",'DEF_SELF_SCOUT_IMPORT'!$E$42:$E$1040,SUBSTITUTE(SUBSTITUTE(SUBSTITUTE($B890,"~","~~"),"*","~*"),"?","~?"),'DEF_SELF_SCOUT_IMPORT'!$Q$42:$Q$1040,SUBSTITUTE(SUBSTITUTE(SUBSTITUTE($M890,"~","~~"),"*","~*"),"?","~?"),'DEF_SELF_SCOUT_IMPORT'!$D$42:$D$1040,SUBSTITUTE(SUBSTITUTE(SUBSTITUTE($P890,"~","~~"),"*","~*"),"?","~?"))/$C890)</f>
        <v>1.0</v>
      </c>
      <c r="E890" s="10">
        <f>IF($C890=0,"",SUMIFS('DEF_SELF_SCOUT_IMPORT'!$K$42:$K$1040,'DEF_SELF_SCOUT_IMPORT'!$L$42:$L$1040,"Y",'DEF_SELF_SCOUT_IMPORT'!$E$42:$E$1040,SUBSTITUTE(SUBSTITUTE(SUBSTITUTE($B890,"~","~~"),"*","~*"),"?","~?"),'DEF_SELF_SCOUT_IMPORT'!$Q$42:$Q$1040,SUBSTITUTE(SUBSTITUTE(SUBSTITUTE($M890,"~","~~"),"*","~*"),"?","~?"),'DEF_SELF_SCOUT_IMPORT'!$D$42:$D$1040,SUBSTITUTE(SUBSTITUTE(SUBSTITUTE($P890,"~","~~"),"*","~*"),"?","~?"))/$C890)</f>
        <v>0.0</v>
      </c>
      <c r="F890" s="11">
        <f>IF($C890=0,"",AVERAGEIFS('DEF_SELF_SCOUT_IMPORT'!$I$42:$I$1040,'DEF_SELF_SCOUT_IMPORT'!$L$42:$L$1040,"Y",'DEF_SELF_SCOUT_IMPORT'!$E$42:$E$1040,SUBSTITUTE(SUBSTITUTE(SUBSTITUTE($B890,"~","~~"),"*","~*"),"?","~?"),'DEF_SELF_SCOUT_IMPORT'!$Q$42:$Q$1040,SUBSTITUTE(SUBSTITUTE(SUBSTITUTE($M890,"~","~~"),"*","~*"),"?","~?"),'DEF_SELF_SCOUT_IMPORT'!$D$42:$D$1040,SUBSTITUTE(SUBSTITUTE(SUBSTITUTE($P890,"~","~~"),"*","~*"),"?","~?")))</f>
        <v>0.0</v>
      </c>
      <c r="G890" s="10">
        <f>IF($C890=0,"",COUNTIFS('DEF_SELF_SCOUT_IMPORT'!$L$42:$L$1040,"Y",'DEF_SELF_SCOUT_IMPORT'!$E$42:$E$1040,SUBSTITUTE(SUBSTITUTE(SUBSTITUTE($B890,"~","~~"),"*","~*"),"?","~?"),'DEF_SELF_SCOUT_IMPORT'!$Q$42:$Q$1040,SUBSTITUTE(SUBSTITUTE(SUBSTITUTE($M890,"~","~~"),"*","~*"),"?","~?"),'DEF_SELF_SCOUT_IMPORT'!$D$42:$D$1040,SUBSTITUTE(SUBSTITUTE(SUBSTITUTE($P890,"~","~~"),"*","~*"),"?","~?"),'DEF_SELF_SCOUT_IMPORT'!$H$42:$H$1040,"RUSH")/$C890)</f>
        <v>0.0</v>
      </c>
      <c r="H890" s="10">
        <f>IF($C890=0,"",COUNTIFS('DEF_SELF_SCOUT_IMPORT'!$L$42:$L$1040,"Y",'DEF_SELF_SCOUT_IMPORT'!$E$42:$E$1040,SUBSTITUTE(SUBSTITUTE(SUBSTITUTE($B890,"~","~~"),"*","~*"),"?","~?"),'DEF_SELF_SCOUT_IMPORT'!$Q$42:$Q$1040,SUBSTITUTE(SUBSTITUTE(SUBSTITUTE($M890,"~","~~"),"*","~*"),"?","~?"),'DEF_SELF_SCOUT_IMPORT'!$D$42:$D$1040,SUBSTITUTE(SUBSTITUTE(SUBSTITUTE($P890,"~","~~"),"*","~*"),"?","~?"),'DEF_SELF_SCOUT_IMPORT'!$H$42:$H$1040,"DROPBACK")/$C890)</f>
        <v>1.0</v>
      </c>
      <c r="I890" s="14" t="str">
        <f>IF(C890=0,"",IF(C890&lt;=2,"TRACK",IF(C890=3,"LOW",IF(C890&lt;=6,"MEDIUM","HIGH"))))</f>
        <v>TRACK</v>
      </c>
      <c r="J890" s="11">
        <f>IF(C890=0,"",ROUND(D890*70+(1-E890)*20+MAX(0,MIN(1,(10-F890)/10))*10,1))</f>
        <v>100.0</v>
      </c>
      <c r="K890" s="14" t="str">
        <f>IF(C890=0,"No Evidence",IF(C890&lt;=2,IF(E890&gt;0,"Explosive Alert","Track Only"),IF(C890=3,"Sample Watch",IF(E890&gt;=START_HERE!$B$31,"Explosive Alert",IF(J890&gt;=80,"Strong Candidate",IF(J890&gt;=65,"Good Candidate",IF(J890&gt;=50,"Mixed / Review","Problem Call")))))))</f>
        <v>Track Only</v>
      </c>
      <c r="L890" s="9" t="str">
        <f>IF(COUNTIFS('DEF_SELF_SCOUT_IMPORT'!$L$42:$L$1040,"Y",'DEF_SELF_SCOUT_IMPORT'!$E$42:$E$1040,SUBSTITUTE(SUBSTITUTE(SUBSTITUTE($B890,"~","~~"),"*","~*"),"?","~?"),'DEF_SELF_SCOUT_IMPORT'!$Q$42:$Q$1040,SUBSTITUTE(SUBSTITUTE(SUBSTITUTE($M890,"~","~~"),"*","~*"),"?","~?"),'DEF_SELF_SCOUT_IMPORT'!$D$42:$D$1040,SUBSTITUTE(SUBSTITUTE(SUBSTITUTE($P890,"~","~~"),"*","~*"),"?","~?"),'DEF_SELF_SCOUT_IMPORT'!$J$42:$J$1040,"")&gt;0,"Unscored clean outcome; review result tags before using score.",IF(C890=0,"No matching defensive reps; film confirmation needed.",IF(K890="Explosive Alert","Explosive risk; review clips before using as answer.",IF(C890&lt;=2,"Track only; not enough sample.",IF(C890=3,IF(E890&gt;0,"Sample watch with explosive exposure; review clips and build the sample.",IF(J890&gt;=65,"Good signal, but sample is limited.","Sample watch; review clips and build the sample.")),IF(K890="Problem Call","Problem area; practice or call-sheet review.",IF(K890="Strong Candidate","Strong call-fit candidate; confirm on film.",IF(K890="Good Candidate","Good call-fit signal; confirm on film.","Mixed signal; review fit and execution on film."))))))))</f>
        <v>Track only; not enough sample.</v>
      </c>
      <c r="M890" s="8" t="s">
        <v>70</v>
      </c>
      <c r="N890" s="8"/>
      <c r="O890" s="8"/>
      <c r="P890" s="8" t="s">
        <v>468</v>
      </c>
      <c r="Q890" s="8"/>
      <c r="R890" s="8" t="s">
        <v>429</v>
      </c>
      <c r="S890" s="2" t="s">
        <v>494</v>
      </c>
      <c r="T890" s="2">
        <f>IF(C890=0,0,IF(C890&gt;=CALL_LOOKUP_BOARD!$B$7,IF(OR(K890="Problem Call",K890="Explosive Alert"),10000000,20000000),0)+IF(C890&gt;=CALL_LOOKUP_BOARD!$B$7,J890*1000+MIN(C890,999),C890*1000+J890)+0.00992000)</f>
        <v>1100.00992</v>
      </c>
      <c r="U890" s="2" t="str">
        <f>IF(C890=0,"",IF(COUNTIFS($S$811:$S$1055,SUBSTITUTE(SUBSTITUTE(SUBSTITUTE(S890,"~","~~"),"*","~*"),"?","~?"),$T$811:$T$1055,"&gt;"&amp;T890)=0,S890,""))</f>
        <v>6:2D 1-3|3:PAP|</v>
      </c>
    </row>
    <row r="891" spans="1:21" ht="38" customHeight="1">
      <c r="A891" s="8" t="s">
        <v>493</v>
      </c>
      <c r="B891" s="8" t="s">
        <v>63</v>
      </c>
      <c r="C891" s="12">
        <f>COUNTIFS('DEF_SELF_SCOUT_IMPORT'!$L$42:$L$1040,"Y",'DEF_SELF_SCOUT_IMPORT'!$E$42:$E$1040,SUBSTITUTE(SUBSTITUTE(SUBSTITUTE($B891,"~","~~"),"*","~*"),"?","~?"),'DEF_SELF_SCOUT_IMPORT'!$Q$42:$Q$1040,SUBSTITUTE(SUBSTITUTE(SUBSTITUTE($M891,"~","~~"),"*","~*"),"?","~?"),'DEF_SELF_SCOUT_IMPORT'!$D$42:$D$1040,SUBSTITUTE(SUBSTITUTE(SUBSTITUTE($P891,"~","~~"),"*","~*"),"?","~?"))</f>
        <v>1</v>
      </c>
      <c r="D891" s="10">
        <f>IF($C891=0,"",SUMIFS('DEF_SELF_SCOUT_IMPORT'!$J$42:$J$1040,'DEF_SELF_SCOUT_IMPORT'!$L$42:$L$1040,"Y",'DEF_SELF_SCOUT_IMPORT'!$E$42:$E$1040,SUBSTITUTE(SUBSTITUTE(SUBSTITUTE($B891,"~","~~"),"*","~*"),"?","~?"),'DEF_SELF_SCOUT_IMPORT'!$Q$42:$Q$1040,SUBSTITUTE(SUBSTITUTE(SUBSTITUTE($M891,"~","~~"),"*","~*"),"?","~?"),'DEF_SELF_SCOUT_IMPORT'!$D$42:$D$1040,SUBSTITUTE(SUBSTITUTE(SUBSTITUTE($P891,"~","~~"),"*","~*"),"?","~?"))/$C891)</f>
        <v>0.0</v>
      </c>
      <c r="E891" s="10">
        <f>IF($C891=0,"",SUMIFS('DEF_SELF_SCOUT_IMPORT'!$K$42:$K$1040,'DEF_SELF_SCOUT_IMPORT'!$L$42:$L$1040,"Y",'DEF_SELF_SCOUT_IMPORT'!$E$42:$E$1040,SUBSTITUTE(SUBSTITUTE(SUBSTITUTE($B891,"~","~~"),"*","~*"),"?","~?"),'DEF_SELF_SCOUT_IMPORT'!$Q$42:$Q$1040,SUBSTITUTE(SUBSTITUTE(SUBSTITUTE($M891,"~","~~"),"*","~*"),"?","~?"),'DEF_SELF_SCOUT_IMPORT'!$D$42:$D$1040,SUBSTITUTE(SUBSTITUTE(SUBSTITUTE($P891,"~","~~"),"*","~*"),"?","~?"))/$C891)</f>
        <v>1.0</v>
      </c>
      <c r="F891" s="11">
        <f>IF($C891=0,"",AVERAGEIFS('DEF_SELF_SCOUT_IMPORT'!$I$42:$I$1040,'DEF_SELF_SCOUT_IMPORT'!$L$42:$L$1040,"Y",'DEF_SELF_SCOUT_IMPORT'!$E$42:$E$1040,SUBSTITUTE(SUBSTITUTE(SUBSTITUTE($B891,"~","~~"),"*","~*"),"?","~?"),'DEF_SELF_SCOUT_IMPORT'!$Q$42:$Q$1040,SUBSTITUTE(SUBSTITUTE(SUBSTITUTE($M891,"~","~~"),"*","~*"),"?","~?"),'DEF_SELF_SCOUT_IMPORT'!$D$42:$D$1040,SUBSTITUTE(SUBSTITUTE(SUBSTITUTE($P891,"~","~~"),"*","~*"),"?","~?")))</f>
        <v>28.0</v>
      </c>
      <c r="G891" s="10">
        <f>IF($C891=0,"",COUNTIFS('DEF_SELF_SCOUT_IMPORT'!$L$42:$L$1040,"Y",'DEF_SELF_SCOUT_IMPORT'!$E$42:$E$1040,SUBSTITUTE(SUBSTITUTE(SUBSTITUTE($B891,"~","~~"),"*","~*"),"?","~?"),'DEF_SELF_SCOUT_IMPORT'!$Q$42:$Q$1040,SUBSTITUTE(SUBSTITUTE(SUBSTITUTE($M891,"~","~~"),"*","~*"),"?","~?"),'DEF_SELF_SCOUT_IMPORT'!$D$42:$D$1040,SUBSTITUTE(SUBSTITUTE(SUBSTITUTE($P891,"~","~~"),"*","~*"),"?","~?"),'DEF_SELF_SCOUT_IMPORT'!$H$42:$H$1040,"RUSH")/$C891)</f>
        <v>0.0</v>
      </c>
      <c r="H891" s="10">
        <f>IF($C891=0,"",COUNTIFS('DEF_SELF_SCOUT_IMPORT'!$L$42:$L$1040,"Y",'DEF_SELF_SCOUT_IMPORT'!$E$42:$E$1040,SUBSTITUTE(SUBSTITUTE(SUBSTITUTE($B891,"~","~~"),"*","~*"),"?","~?"),'DEF_SELF_SCOUT_IMPORT'!$Q$42:$Q$1040,SUBSTITUTE(SUBSTITUTE(SUBSTITUTE($M891,"~","~~"),"*","~*"),"?","~?"),'DEF_SELF_SCOUT_IMPORT'!$D$42:$D$1040,SUBSTITUTE(SUBSTITUTE(SUBSTITUTE($P891,"~","~~"),"*","~*"),"?","~?"),'DEF_SELF_SCOUT_IMPORT'!$H$42:$H$1040,"DROPBACK")/$C891)</f>
        <v>1.0</v>
      </c>
      <c r="I891" s="14" t="str">
        <f>IF(C891=0,"",IF(C891&lt;=2,"TRACK",IF(C891=3,"LOW",IF(C891&lt;=6,"MEDIUM","HIGH"))))</f>
        <v>TRACK</v>
      </c>
      <c r="J891" s="11">
        <f>IF(C891=0,"",ROUND(D891*70+(1-E891)*20+MAX(0,MIN(1,(10-F891)/10))*10,1))</f>
        <v>0.0</v>
      </c>
      <c r="K891" s="14" t="str">
        <f>IF(C891=0,"No Evidence",IF(C891&lt;=2,IF(E891&gt;0,"Explosive Alert","Track Only"),IF(C891=3,"Sample Watch",IF(E891&gt;=START_HERE!$B$31,"Explosive Alert",IF(J891&gt;=80,"Strong Candidate",IF(J891&gt;=65,"Good Candidate",IF(J891&gt;=50,"Mixed / Review","Problem Call")))))))</f>
        <v>Explosive Alert</v>
      </c>
      <c r="L891" s="9" t="str">
        <f>IF(COUNTIFS('DEF_SELF_SCOUT_IMPORT'!$L$42:$L$1040,"Y",'DEF_SELF_SCOUT_IMPORT'!$E$42:$E$1040,SUBSTITUTE(SUBSTITUTE(SUBSTITUTE($B891,"~","~~"),"*","~*"),"?","~?"),'DEF_SELF_SCOUT_IMPORT'!$Q$42:$Q$1040,SUBSTITUTE(SUBSTITUTE(SUBSTITUTE($M891,"~","~~"),"*","~*"),"?","~?"),'DEF_SELF_SCOUT_IMPORT'!$D$42:$D$1040,SUBSTITUTE(SUBSTITUTE(SUBSTITUTE($P891,"~","~~"),"*","~*"),"?","~?"),'DEF_SELF_SCOUT_IMPORT'!$J$42:$J$1040,"")&gt;0,"Unscored clean outcome; review result tags before using score.",IF(C891=0,"No matching defensive reps; film confirmation needed.",IF(K891="Explosive Alert","Explosive risk; review clips before using as answer.",IF(C891&lt;=2,"Track only; not enough sample.",IF(C891=3,IF(E891&gt;0,"Sample watch with explosive exposure; review clips and build the sample.",IF(J891&gt;=65,"Good signal, but sample is limited.","Sample watch; review clips and build the sample.")),IF(K891="Problem Call","Problem area; practice or call-sheet review.",IF(K891="Strong Candidate","Strong call-fit candidate; confirm on film.",IF(K891="Good Candidate","Good call-fit signal; confirm on film.","Mixed signal; review fit and execution on film."))))))))</f>
        <v>Explosive risk; review clips before using as answer.</v>
      </c>
      <c r="M891" s="8" t="s">
        <v>70</v>
      </c>
      <c r="N891" s="8"/>
      <c r="O891" s="8"/>
      <c r="P891" s="8" t="s">
        <v>468</v>
      </c>
      <c r="Q891" s="8"/>
      <c r="R891" s="8" t="s">
        <v>429</v>
      </c>
      <c r="S891" s="2" t="s">
        <v>494</v>
      </c>
      <c r="T891" s="2">
        <f>IF(C891=0,0,IF(C891&gt;=CALL_LOOKUP_BOARD!$B$7,IF(OR(K891="Problem Call",K891="Explosive Alert"),10000000,20000000),0)+IF(C891&gt;=CALL_LOOKUP_BOARD!$B$7,J891*1000+MIN(C891,999),C891*1000+J891)+0.00991900)</f>
        <v>1000.009919</v>
      </c>
      <c r="U891" s="2">
        <f>IF(C891=0,"",IF(COUNTIFS($S$811:$S$1055,SUBSTITUTE(SUBSTITUTE(SUBSTITUTE(S891,"~","~~"),"*","~*"),"?","~?"),$T$811:$T$1055,"&gt;"&amp;T891)=0,S891,""))</f>
        <v/>
      </c>
    </row>
    <row r="892" spans="1:21" ht="38" customHeight="1">
      <c r="A892" s="8" t="s">
        <v>493</v>
      </c>
      <c r="B892" s="8" t="s">
        <v>74</v>
      </c>
      <c r="C892" s="12">
        <f>COUNTIFS('DEF_SELF_SCOUT_IMPORT'!$L$42:$L$1040,"Y",'DEF_SELF_SCOUT_IMPORT'!$E$42:$E$1040,SUBSTITUTE(SUBSTITUTE(SUBSTITUTE($B892,"~","~~"),"*","~*"),"?","~?"),'DEF_SELF_SCOUT_IMPORT'!$Q$42:$Q$1040,SUBSTITUTE(SUBSTITUTE(SUBSTITUTE($M892,"~","~~"),"*","~*"),"?","~?"),'DEF_SELF_SCOUT_IMPORT'!$D$42:$D$1040,SUBSTITUTE(SUBSTITUTE(SUBSTITUTE($P892,"~","~~"),"*","~*"),"?","~?"))</f>
        <v>1</v>
      </c>
      <c r="D892" s="10">
        <f>IF($C892=0,"",SUMIFS('DEF_SELF_SCOUT_IMPORT'!$J$42:$J$1040,'DEF_SELF_SCOUT_IMPORT'!$L$42:$L$1040,"Y",'DEF_SELF_SCOUT_IMPORT'!$E$42:$E$1040,SUBSTITUTE(SUBSTITUTE(SUBSTITUTE($B892,"~","~~"),"*","~*"),"?","~?"),'DEF_SELF_SCOUT_IMPORT'!$Q$42:$Q$1040,SUBSTITUTE(SUBSTITUTE(SUBSTITUTE($M892,"~","~~"),"*","~*"),"?","~?"),'DEF_SELF_SCOUT_IMPORT'!$D$42:$D$1040,SUBSTITUTE(SUBSTITUTE(SUBSTITUTE($P892,"~","~~"),"*","~*"),"?","~?"))/$C892)</f>
        <v>1.0</v>
      </c>
      <c r="E892" s="10">
        <f>IF($C892=0,"",SUMIFS('DEF_SELF_SCOUT_IMPORT'!$K$42:$K$1040,'DEF_SELF_SCOUT_IMPORT'!$L$42:$L$1040,"Y",'DEF_SELF_SCOUT_IMPORT'!$E$42:$E$1040,SUBSTITUTE(SUBSTITUTE(SUBSTITUTE($B892,"~","~~"),"*","~*"),"?","~?"),'DEF_SELF_SCOUT_IMPORT'!$Q$42:$Q$1040,SUBSTITUTE(SUBSTITUTE(SUBSTITUTE($M892,"~","~~"),"*","~*"),"?","~?"),'DEF_SELF_SCOUT_IMPORT'!$D$42:$D$1040,SUBSTITUTE(SUBSTITUTE(SUBSTITUTE($P892,"~","~~"),"*","~*"),"?","~?"))/$C892)</f>
        <v>0.0</v>
      </c>
      <c r="F892" s="11">
        <f>IF($C892=0,"",AVERAGEIFS('DEF_SELF_SCOUT_IMPORT'!$I$42:$I$1040,'DEF_SELF_SCOUT_IMPORT'!$L$42:$L$1040,"Y",'DEF_SELF_SCOUT_IMPORT'!$E$42:$E$1040,SUBSTITUTE(SUBSTITUTE(SUBSTITUTE($B892,"~","~~"),"*","~*"),"?","~?"),'DEF_SELF_SCOUT_IMPORT'!$Q$42:$Q$1040,SUBSTITUTE(SUBSTITUTE(SUBSTITUTE($M892,"~","~~"),"*","~*"),"?","~?"),'DEF_SELF_SCOUT_IMPORT'!$D$42:$D$1040,SUBSTITUTE(SUBSTITUTE(SUBSTITUTE($P892,"~","~~"),"*","~*"),"?","~?")))</f>
        <v>-8.0</v>
      </c>
      <c r="G892" s="10">
        <f>IF($C892=0,"",COUNTIFS('DEF_SELF_SCOUT_IMPORT'!$L$42:$L$1040,"Y",'DEF_SELF_SCOUT_IMPORT'!$E$42:$E$1040,SUBSTITUTE(SUBSTITUTE(SUBSTITUTE($B892,"~","~~"),"*","~*"),"?","~?"),'DEF_SELF_SCOUT_IMPORT'!$Q$42:$Q$1040,SUBSTITUTE(SUBSTITUTE(SUBSTITUTE($M892,"~","~~"),"*","~*"),"?","~?"),'DEF_SELF_SCOUT_IMPORT'!$D$42:$D$1040,SUBSTITUTE(SUBSTITUTE(SUBSTITUTE($P892,"~","~~"),"*","~*"),"?","~?"),'DEF_SELF_SCOUT_IMPORT'!$H$42:$H$1040,"RUSH")/$C892)</f>
        <v>0.0</v>
      </c>
      <c r="H892" s="10">
        <f>IF($C892=0,"",COUNTIFS('DEF_SELF_SCOUT_IMPORT'!$L$42:$L$1040,"Y",'DEF_SELF_SCOUT_IMPORT'!$E$42:$E$1040,SUBSTITUTE(SUBSTITUTE(SUBSTITUTE($B892,"~","~~"),"*","~*"),"?","~?"),'DEF_SELF_SCOUT_IMPORT'!$Q$42:$Q$1040,SUBSTITUTE(SUBSTITUTE(SUBSTITUTE($M892,"~","~~"),"*","~*"),"?","~?"),'DEF_SELF_SCOUT_IMPORT'!$D$42:$D$1040,SUBSTITUTE(SUBSTITUTE(SUBSTITUTE($P892,"~","~~"),"*","~*"),"?","~?"),'DEF_SELF_SCOUT_IMPORT'!$H$42:$H$1040,"DROPBACK")/$C892)</f>
        <v>1.0</v>
      </c>
      <c r="I892" s="14" t="str">
        <f>IF(C892=0,"",IF(C892&lt;=2,"TRACK",IF(C892=3,"LOW",IF(C892&lt;=6,"MEDIUM","HIGH"))))</f>
        <v>TRACK</v>
      </c>
      <c r="J892" s="11">
        <f>IF(C892=0,"",ROUND(D892*70+(1-E892)*20+MAX(0,MIN(1,(10-F892)/10))*10,1))</f>
        <v>100.0</v>
      </c>
      <c r="K892" s="14" t="str">
        <f>IF(C892=0,"No Evidence",IF(C892&lt;=2,IF(E892&gt;0,"Explosive Alert","Track Only"),IF(C892=3,"Sample Watch",IF(E892&gt;=START_HERE!$B$31,"Explosive Alert",IF(J892&gt;=80,"Strong Candidate",IF(J892&gt;=65,"Good Candidate",IF(J892&gt;=50,"Mixed / Review","Problem Call")))))))</f>
        <v>Track Only</v>
      </c>
      <c r="L892" s="9" t="str">
        <f>IF(COUNTIFS('DEF_SELF_SCOUT_IMPORT'!$L$42:$L$1040,"Y",'DEF_SELF_SCOUT_IMPORT'!$E$42:$E$1040,SUBSTITUTE(SUBSTITUTE(SUBSTITUTE($B892,"~","~~"),"*","~*"),"?","~?"),'DEF_SELF_SCOUT_IMPORT'!$Q$42:$Q$1040,SUBSTITUTE(SUBSTITUTE(SUBSTITUTE($M892,"~","~~"),"*","~*"),"?","~?"),'DEF_SELF_SCOUT_IMPORT'!$D$42:$D$1040,SUBSTITUTE(SUBSTITUTE(SUBSTITUTE($P892,"~","~~"),"*","~*"),"?","~?"),'DEF_SELF_SCOUT_IMPORT'!$J$42:$J$1040,"")&gt;0,"Unscored clean outcome; review result tags before using score.",IF(C892=0,"No matching defensive reps; film confirmation needed.",IF(K892="Explosive Alert","Explosive risk; review clips before using as answer.",IF(C892&lt;=2,"Track only; not enough sample.",IF(C892=3,IF(E892&gt;0,"Sample watch with explosive exposure; review clips and build the sample.",IF(J892&gt;=65,"Good signal, but sample is limited.","Sample watch; review clips and build the sample.")),IF(K892="Problem Call","Problem area; practice or call-sheet review.",IF(K892="Strong Candidate","Strong call-fit candidate; confirm on film.",IF(K892="Good Candidate","Good call-fit signal; confirm on film.","Mixed signal; review fit and execution on film."))))))))</f>
        <v>Track only; not enough sample.</v>
      </c>
      <c r="M892" s="8" t="s">
        <v>70</v>
      </c>
      <c r="N892" s="8"/>
      <c r="O892" s="8"/>
      <c r="P892" s="8" t="s">
        <v>468</v>
      </c>
      <c r="Q892" s="8"/>
      <c r="R892" s="8" t="s">
        <v>429</v>
      </c>
      <c r="S892" s="2" t="s">
        <v>494</v>
      </c>
      <c r="T892" s="2">
        <f>IF(C892=0,0,IF(C892&gt;=CALL_LOOKUP_BOARD!$B$7,IF(OR(K892="Problem Call",K892="Explosive Alert"),10000000,20000000),0)+IF(C892&gt;=CALL_LOOKUP_BOARD!$B$7,J892*1000+MIN(C892,999),C892*1000+J892)+0.00991800)</f>
        <v>1100.009918</v>
      </c>
      <c r="U892" s="2">
        <f>IF(C892=0,"",IF(COUNTIFS($S$811:$S$1055,SUBSTITUTE(SUBSTITUTE(SUBSTITUTE(S892,"~","~~"),"*","~*"),"?","~?"),$T$811:$T$1055,"&gt;"&amp;T892)=0,S892,""))</f>
        <v/>
      </c>
    </row>
    <row r="893" spans="1:21" ht="38" customHeight="1">
      <c r="A893" s="8" t="s">
        <v>495</v>
      </c>
      <c r="B893" s="8" t="s">
        <v>60</v>
      </c>
      <c r="C893" s="12">
        <f>COUNTIFS('DEF_SELF_SCOUT_IMPORT'!$L$42:$L$1040,"Y",'DEF_SELF_SCOUT_IMPORT'!$E$42:$E$1040,SUBSTITUTE(SUBSTITUTE(SUBSTITUTE($B893,"~","~~"),"*","~*"),"?","~?"),'DEF_SELF_SCOUT_IMPORT'!$Q$42:$Q$1040,SUBSTITUTE(SUBSTITUTE(SUBSTITUTE($M893,"~","~~"),"*","~*"),"?","~?"),'DEF_SELF_SCOUT_IMPORT'!$D$42:$D$1040,SUBSTITUTE(SUBSTITUTE(SUBSTITUTE($P893,"~","~~"),"*","~*"),"?","~?"))</f>
        <v>1</v>
      </c>
      <c r="D893" s="10">
        <f>IF($C893=0,"",SUMIFS('DEF_SELF_SCOUT_IMPORT'!$J$42:$J$1040,'DEF_SELF_SCOUT_IMPORT'!$L$42:$L$1040,"Y",'DEF_SELF_SCOUT_IMPORT'!$E$42:$E$1040,SUBSTITUTE(SUBSTITUTE(SUBSTITUTE($B893,"~","~~"),"*","~*"),"?","~?"),'DEF_SELF_SCOUT_IMPORT'!$Q$42:$Q$1040,SUBSTITUTE(SUBSTITUTE(SUBSTITUTE($M893,"~","~~"),"*","~*"),"?","~?"),'DEF_SELF_SCOUT_IMPORT'!$D$42:$D$1040,SUBSTITUTE(SUBSTITUTE(SUBSTITUTE($P893,"~","~~"),"*","~*"),"?","~?"))/$C893)</f>
        <v>1.0</v>
      </c>
      <c r="E893" s="10">
        <f>IF($C893=0,"",SUMIFS('DEF_SELF_SCOUT_IMPORT'!$K$42:$K$1040,'DEF_SELF_SCOUT_IMPORT'!$L$42:$L$1040,"Y",'DEF_SELF_SCOUT_IMPORT'!$E$42:$E$1040,SUBSTITUTE(SUBSTITUTE(SUBSTITUTE($B893,"~","~~"),"*","~*"),"?","~?"),'DEF_SELF_SCOUT_IMPORT'!$Q$42:$Q$1040,SUBSTITUTE(SUBSTITUTE(SUBSTITUTE($M893,"~","~~"),"*","~*"),"?","~?"),'DEF_SELF_SCOUT_IMPORT'!$D$42:$D$1040,SUBSTITUTE(SUBSTITUTE(SUBSTITUTE($P893,"~","~~"),"*","~*"),"?","~?"))/$C893)</f>
        <v>0.0</v>
      </c>
      <c r="F893" s="11">
        <f>IF($C893=0,"",AVERAGEIFS('DEF_SELF_SCOUT_IMPORT'!$I$42:$I$1040,'DEF_SELF_SCOUT_IMPORT'!$L$42:$L$1040,"Y",'DEF_SELF_SCOUT_IMPORT'!$E$42:$E$1040,SUBSTITUTE(SUBSTITUTE(SUBSTITUTE($B893,"~","~~"),"*","~*"),"?","~?"),'DEF_SELF_SCOUT_IMPORT'!$Q$42:$Q$1040,SUBSTITUTE(SUBSTITUTE(SUBSTITUTE($M893,"~","~~"),"*","~*"),"?","~?"),'DEF_SELF_SCOUT_IMPORT'!$D$42:$D$1040,SUBSTITUTE(SUBSTITUTE(SUBSTITUTE($P893,"~","~~"),"*","~*"),"?","~?")))</f>
        <v>7.0</v>
      </c>
      <c r="G893" s="10">
        <f>IF($C893=0,"",COUNTIFS('DEF_SELF_SCOUT_IMPORT'!$L$42:$L$1040,"Y",'DEF_SELF_SCOUT_IMPORT'!$E$42:$E$1040,SUBSTITUTE(SUBSTITUTE(SUBSTITUTE($B893,"~","~~"),"*","~*"),"?","~?"),'DEF_SELF_SCOUT_IMPORT'!$Q$42:$Q$1040,SUBSTITUTE(SUBSTITUTE(SUBSTITUTE($M893,"~","~~"),"*","~*"),"?","~?"),'DEF_SELF_SCOUT_IMPORT'!$D$42:$D$1040,SUBSTITUTE(SUBSTITUTE(SUBSTITUTE($P893,"~","~~"),"*","~*"),"?","~?"),'DEF_SELF_SCOUT_IMPORT'!$H$42:$H$1040,"RUSH")/$C893)</f>
        <v>0.0</v>
      </c>
      <c r="H893" s="10">
        <f>IF($C893=0,"",COUNTIFS('DEF_SELF_SCOUT_IMPORT'!$L$42:$L$1040,"Y",'DEF_SELF_SCOUT_IMPORT'!$E$42:$E$1040,SUBSTITUTE(SUBSTITUTE(SUBSTITUTE($B893,"~","~~"),"*","~*"),"?","~?"),'DEF_SELF_SCOUT_IMPORT'!$Q$42:$Q$1040,SUBSTITUTE(SUBSTITUTE(SUBSTITUTE($M893,"~","~~"),"*","~*"),"?","~?"),'DEF_SELF_SCOUT_IMPORT'!$D$42:$D$1040,SUBSTITUTE(SUBSTITUTE(SUBSTITUTE($P893,"~","~~"),"*","~*"),"?","~?"),'DEF_SELF_SCOUT_IMPORT'!$H$42:$H$1040,"DROPBACK")/$C893)</f>
        <v>1.0</v>
      </c>
      <c r="I893" s="14" t="str">
        <f>IF(C893=0,"",IF(C893&lt;=2,"TRACK",IF(C893=3,"LOW",IF(C893&lt;=6,"MEDIUM","HIGH"))))</f>
        <v>TRACK</v>
      </c>
      <c r="J893" s="11">
        <f>IF(C893=0,"",ROUND(D893*70+(1-E893)*20+MAX(0,MIN(1,(10-F893)/10))*10,1))</f>
        <v>93.0</v>
      </c>
      <c r="K893" s="14" t="str">
        <f>IF(C893=0,"No Evidence",IF(C893&lt;=2,IF(E893&gt;0,"Explosive Alert","Track Only"),IF(C893=3,"Sample Watch",IF(E893&gt;=START_HERE!$B$31,"Explosive Alert",IF(J893&gt;=80,"Strong Candidate",IF(J893&gt;=65,"Good Candidate",IF(J893&gt;=50,"Mixed / Review","Problem Call")))))))</f>
        <v>Track Only</v>
      </c>
      <c r="L893" s="9" t="str">
        <f>IF(COUNTIFS('DEF_SELF_SCOUT_IMPORT'!$L$42:$L$1040,"Y",'DEF_SELF_SCOUT_IMPORT'!$E$42:$E$1040,SUBSTITUTE(SUBSTITUTE(SUBSTITUTE($B893,"~","~~"),"*","~*"),"?","~?"),'DEF_SELF_SCOUT_IMPORT'!$Q$42:$Q$1040,SUBSTITUTE(SUBSTITUTE(SUBSTITUTE($M893,"~","~~"),"*","~*"),"?","~?"),'DEF_SELF_SCOUT_IMPORT'!$D$42:$D$1040,SUBSTITUTE(SUBSTITUTE(SUBSTITUTE($P893,"~","~~"),"*","~*"),"?","~?"),'DEF_SELF_SCOUT_IMPORT'!$J$42:$J$1040,"")&gt;0,"Unscored clean outcome; review result tags before using score.",IF(C893=0,"No matching defensive reps; film confirmation needed.",IF(K893="Explosive Alert","Explosive risk; review clips before using as answer.",IF(C893&lt;=2,"Track only; not enough sample.",IF(C893=3,IF(E893&gt;0,"Sample watch with explosive exposure; review clips and build the sample.",IF(J893&gt;=65,"Good signal, but sample is limited.","Sample watch; review clips and build the sample.")),IF(K893="Problem Call","Problem area; practice or call-sheet review.",IF(K893="Strong Candidate","Strong call-fit candidate; confirm on film.",IF(K893="Good Candidate","Good call-fit signal; confirm on film.","Mixed signal; review fit and execution on film."))))))))</f>
        <v>Track only; not enough sample.</v>
      </c>
      <c r="M893" s="8" t="s">
        <v>70</v>
      </c>
      <c r="N893" s="8"/>
      <c r="O893" s="8"/>
      <c r="P893" s="8" t="s">
        <v>471</v>
      </c>
      <c r="Q893" s="8"/>
      <c r="R893" s="8" t="s">
        <v>429</v>
      </c>
      <c r="S893" s="2" t="s">
        <v>496</v>
      </c>
      <c r="T893" s="2">
        <f>IF(C893=0,0,IF(C893&gt;=CALL_LOOKUP_BOARD!$B$7,IF(OR(K893="Problem Call",K893="Explosive Alert"),10000000,20000000),0)+IF(C893&gt;=CALL_LOOKUP_BOARD!$B$7,J893*1000+MIN(C893,999),C893*1000+J893)+0.00991700)</f>
        <v>1093.009917</v>
      </c>
      <c r="U893" s="2">
        <f>IF(C893=0,"",IF(COUNTIFS($S$811:$S$1055,SUBSTITUTE(SUBSTITUTE(SUBSTITUTE(S893,"~","~~"),"*","~*"),"?","~?"),$T$811:$T$1055,"&gt;"&amp;T893)=0,S893,""))</f>
        <v/>
      </c>
    </row>
    <row r="894" spans="1:21" ht="38" customHeight="1">
      <c r="A894" s="8" t="s">
        <v>495</v>
      </c>
      <c r="B894" s="8" t="s">
        <v>73</v>
      </c>
      <c r="C894" s="12">
        <f>COUNTIFS('DEF_SELF_SCOUT_IMPORT'!$L$42:$L$1040,"Y",'DEF_SELF_SCOUT_IMPORT'!$E$42:$E$1040,SUBSTITUTE(SUBSTITUTE(SUBSTITUTE($B894,"~","~~"),"*","~*"),"?","~?"),'DEF_SELF_SCOUT_IMPORT'!$Q$42:$Q$1040,SUBSTITUTE(SUBSTITUTE(SUBSTITUTE($M894,"~","~~"),"*","~*"),"?","~?"),'DEF_SELF_SCOUT_IMPORT'!$D$42:$D$1040,SUBSTITUTE(SUBSTITUTE(SUBSTITUTE($P894,"~","~~"),"*","~*"),"?","~?"))</f>
        <v>1</v>
      </c>
      <c r="D894" s="10">
        <f>IF($C894=0,"",SUMIFS('DEF_SELF_SCOUT_IMPORT'!$J$42:$J$1040,'DEF_SELF_SCOUT_IMPORT'!$L$42:$L$1040,"Y",'DEF_SELF_SCOUT_IMPORT'!$E$42:$E$1040,SUBSTITUTE(SUBSTITUTE(SUBSTITUTE($B894,"~","~~"),"*","~*"),"?","~?"),'DEF_SELF_SCOUT_IMPORT'!$Q$42:$Q$1040,SUBSTITUTE(SUBSTITUTE(SUBSTITUTE($M894,"~","~~"),"*","~*"),"?","~?"),'DEF_SELF_SCOUT_IMPORT'!$D$42:$D$1040,SUBSTITUTE(SUBSTITUTE(SUBSTITUTE($P894,"~","~~"),"*","~*"),"?","~?"))/$C894)</f>
        <v>1.0</v>
      </c>
      <c r="E894" s="10">
        <f>IF($C894=0,"",SUMIFS('DEF_SELF_SCOUT_IMPORT'!$K$42:$K$1040,'DEF_SELF_SCOUT_IMPORT'!$L$42:$L$1040,"Y",'DEF_SELF_SCOUT_IMPORT'!$E$42:$E$1040,SUBSTITUTE(SUBSTITUTE(SUBSTITUTE($B894,"~","~~"),"*","~*"),"?","~?"),'DEF_SELF_SCOUT_IMPORT'!$Q$42:$Q$1040,SUBSTITUTE(SUBSTITUTE(SUBSTITUTE($M894,"~","~~"),"*","~*"),"?","~?"),'DEF_SELF_SCOUT_IMPORT'!$D$42:$D$1040,SUBSTITUTE(SUBSTITUTE(SUBSTITUTE($P894,"~","~~"),"*","~*"),"?","~?"))/$C894)</f>
        <v>0.0</v>
      </c>
      <c r="F894" s="11">
        <f>IF($C894=0,"",AVERAGEIFS('DEF_SELF_SCOUT_IMPORT'!$I$42:$I$1040,'DEF_SELF_SCOUT_IMPORT'!$L$42:$L$1040,"Y",'DEF_SELF_SCOUT_IMPORT'!$E$42:$E$1040,SUBSTITUTE(SUBSTITUTE(SUBSTITUTE($B894,"~","~~"),"*","~*"),"?","~?"),'DEF_SELF_SCOUT_IMPORT'!$Q$42:$Q$1040,SUBSTITUTE(SUBSTITUTE(SUBSTITUTE($M894,"~","~~"),"*","~*"),"?","~?"),'DEF_SELF_SCOUT_IMPORT'!$D$42:$D$1040,SUBSTITUTE(SUBSTITUTE(SUBSTITUTE($P894,"~","~~"),"*","~*"),"?","~?")))</f>
        <v>6.0</v>
      </c>
      <c r="G894" s="10">
        <f>IF($C894=0,"",COUNTIFS('DEF_SELF_SCOUT_IMPORT'!$L$42:$L$1040,"Y",'DEF_SELF_SCOUT_IMPORT'!$E$42:$E$1040,SUBSTITUTE(SUBSTITUTE(SUBSTITUTE($B894,"~","~~"),"*","~*"),"?","~?"),'DEF_SELF_SCOUT_IMPORT'!$Q$42:$Q$1040,SUBSTITUTE(SUBSTITUTE(SUBSTITUTE($M894,"~","~~"),"*","~*"),"?","~?"),'DEF_SELF_SCOUT_IMPORT'!$D$42:$D$1040,SUBSTITUTE(SUBSTITUTE(SUBSTITUTE($P894,"~","~~"),"*","~*"),"?","~?"),'DEF_SELF_SCOUT_IMPORT'!$H$42:$H$1040,"RUSH")/$C894)</f>
        <v>0.0</v>
      </c>
      <c r="H894" s="10">
        <f>IF($C894=0,"",COUNTIFS('DEF_SELF_SCOUT_IMPORT'!$L$42:$L$1040,"Y",'DEF_SELF_SCOUT_IMPORT'!$E$42:$E$1040,SUBSTITUTE(SUBSTITUTE(SUBSTITUTE($B894,"~","~~"),"*","~*"),"?","~?"),'DEF_SELF_SCOUT_IMPORT'!$Q$42:$Q$1040,SUBSTITUTE(SUBSTITUTE(SUBSTITUTE($M894,"~","~~"),"*","~*"),"?","~?"),'DEF_SELF_SCOUT_IMPORT'!$D$42:$D$1040,SUBSTITUTE(SUBSTITUTE(SUBSTITUTE($P894,"~","~~"),"*","~*"),"?","~?"),'DEF_SELF_SCOUT_IMPORT'!$H$42:$H$1040,"DROPBACK")/$C894)</f>
        <v>1.0</v>
      </c>
      <c r="I894" s="14" t="str">
        <f>IF(C894=0,"",IF(C894&lt;=2,"TRACK",IF(C894=3,"LOW",IF(C894&lt;=6,"MEDIUM","HIGH"))))</f>
        <v>TRACK</v>
      </c>
      <c r="J894" s="11">
        <f>IF(C894=0,"",ROUND(D894*70+(1-E894)*20+MAX(0,MIN(1,(10-F894)/10))*10,1))</f>
        <v>94.0</v>
      </c>
      <c r="K894" s="14" t="str">
        <f>IF(C894=0,"No Evidence",IF(C894&lt;=2,IF(E894&gt;0,"Explosive Alert","Track Only"),IF(C894=3,"Sample Watch",IF(E894&gt;=START_HERE!$B$31,"Explosive Alert",IF(J894&gt;=80,"Strong Candidate",IF(J894&gt;=65,"Good Candidate",IF(J894&gt;=50,"Mixed / Review","Problem Call")))))))</f>
        <v>Track Only</v>
      </c>
      <c r="L894" s="9" t="str">
        <f>IF(COUNTIFS('DEF_SELF_SCOUT_IMPORT'!$L$42:$L$1040,"Y",'DEF_SELF_SCOUT_IMPORT'!$E$42:$E$1040,SUBSTITUTE(SUBSTITUTE(SUBSTITUTE($B894,"~","~~"),"*","~*"),"?","~?"),'DEF_SELF_SCOUT_IMPORT'!$Q$42:$Q$1040,SUBSTITUTE(SUBSTITUTE(SUBSTITUTE($M894,"~","~~"),"*","~*"),"?","~?"),'DEF_SELF_SCOUT_IMPORT'!$D$42:$D$1040,SUBSTITUTE(SUBSTITUTE(SUBSTITUTE($P894,"~","~~"),"*","~*"),"?","~?"),'DEF_SELF_SCOUT_IMPORT'!$J$42:$J$1040,"")&gt;0,"Unscored clean outcome; review result tags before using score.",IF(C894=0,"No matching defensive reps; film confirmation needed.",IF(K894="Explosive Alert","Explosive risk; review clips before using as answer.",IF(C894&lt;=2,"Track only; not enough sample.",IF(C894=3,IF(E894&gt;0,"Sample watch with explosive exposure; review clips and build the sample.",IF(J894&gt;=65,"Good signal, but sample is limited.","Sample watch; review clips and build the sample.")),IF(K894="Problem Call","Problem area; practice or call-sheet review.",IF(K894="Strong Candidate","Strong call-fit candidate; confirm on film.",IF(K894="Good Candidate","Good call-fit signal; confirm on film.","Mixed signal; review fit and execution on film."))))))))</f>
        <v>Track only; not enough sample.</v>
      </c>
      <c r="M894" s="8" t="s">
        <v>70</v>
      </c>
      <c r="N894" s="8"/>
      <c r="O894" s="8"/>
      <c r="P894" s="8" t="s">
        <v>471</v>
      </c>
      <c r="Q894" s="8"/>
      <c r="R894" s="8" t="s">
        <v>429</v>
      </c>
      <c r="S894" s="2" t="s">
        <v>496</v>
      </c>
      <c r="T894" s="2">
        <f>IF(C894=0,0,IF(C894&gt;=CALL_LOOKUP_BOARD!$B$7,IF(OR(K894="Problem Call",K894="Explosive Alert"),10000000,20000000),0)+IF(C894&gt;=CALL_LOOKUP_BOARD!$B$7,J894*1000+MIN(C894,999),C894*1000+J894)+0.00991600)</f>
        <v>1094.009916</v>
      </c>
      <c r="U894" s="2" t="str">
        <f>IF(C894=0,"",IF(COUNTIFS($S$811:$S$1055,SUBSTITUTE(SUBSTITUTE(SUBSTITUTE(S894,"~","~~"),"*","~*"),"?","~?"),$T$811:$T$1055,"&gt;"&amp;T894)=0,S894,""))</f>
        <v>6:2D 1-3|3:RPO|</v>
      </c>
    </row>
    <row r="895" spans="1:21" ht="38" customHeight="1">
      <c r="A895" s="8" t="s">
        <v>497</v>
      </c>
      <c r="B895" s="8" t="s">
        <v>61</v>
      </c>
      <c r="C895" s="12">
        <f>COUNTIFS('DEF_SELF_SCOUT_IMPORT'!$L$42:$L$1040,"Y",'DEF_SELF_SCOUT_IMPORT'!$E$42:$E$1040,SUBSTITUTE(SUBSTITUTE(SUBSTITUTE($B895,"~","~~"),"*","~*"),"?","~?"),'DEF_SELF_SCOUT_IMPORT'!$Q$42:$Q$1040,SUBSTITUTE(SUBSTITUTE(SUBSTITUTE($M895,"~","~~"),"*","~*"),"?","~?"),'DEF_SELF_SCOUT_IMPORT'!$D$42:$D$1040,SUBSTITUTE(SUBSTITUTE(SUBSTITUTE($P895,"~","~~"),"*","~*"),"?","~?"))</f>
        <v>1</v>
      </c>
      <c r="D895" s="10">
        <f>IF($C895=0,"",SUMIFS('DEF_SELF_SCOUT_IMPORT'!$J$42:$J$1040,'DEF_SELF_SCOUT_IMPORT'!$L$42:$L$1040,"Y",'DEF_SELF_SCOUT_IMPORT'!$E$42:$E$1040,SUBSTITUTE(SUBSTITUTE(SUBSTITUTE($B895,"~","~~"),"*","~*"),"?","~?"),'DEF_SELF_SCOUT_IMPORT'!$Q$42:$Q$1040,SUBSTITUTE(SUBSTITUTE(SUBSTITUTE($M895,"~","~~"),"*","~*"),"?","~?"),'DEF_SELF_SCOUT_IMPORT'!$D$42:$D$1040,SUBSTITUTE(SUBSTITUTE(SUBSTITUTE($P895,"~","~~"),"*","~*"),"?","~?"))/$C895)</f>
        <v>1.0</v>
      </c>
      <c r="E895" s="10">
        <f>IF($C895=0,"",SUMIFS('DEF_SELF_SCOUT_IMPORT'!$K$42:$K$1040,'DEF_SELF_SCOUT_IMPORT'!$L$42:$L$1040,"Y",'DEF_SELF_SCOUT_IMPORT'!$E$42:$E$1040,SUBSTITUTE(SUBSTITUTE(SUBSTITUTE($B895,"~","~~"),"*","~*"),"?","~?"),'DEF_SELF_SCOUT_IMPORT'!$Q$42:$Q$1040,SUBSTITUTE(SUBSTITUTE(SUBSTITUTE($M895,"~","~~"),"*","~*"),"?","~?"),'DEF_SELF_SCOUT_IMPORT'!$D$42:$D$1040,SUBSTITUTE(SUBSTITUTE(SUBSTITUTE($P895,"~","~~"),"*","~*"),"?","~?"))/$C895)</f>
        <v>0.0</v>
      </c>
      <c r="F895" s="11">
        <f>IF($C895=0,"",AVERAGEIFS('DEF_SELF_SCOUT_IMPORT'!$I$42:$I$1040,'DEF_SELF_SCOUT_IMPORT'!$L$42:$L$1040,"Y",'DEF_SELF_SCOUT_IMPORT'!$E$42:$E$1040,SUBSTITUTE(SUBSTITUTE(SUBSTITUTE($B895,"~","~~"),"*","~*"),"?","~?"),'DEF_SELF_SCOUT_IMPORT'!$Q$42:$Q$1040,SUBSTITUTE(SUBSTITUTE(SUBSTITUTE($M895,"~","~~"),"*","~*"),"?","~?"),'DEF_SELF_SCOUT_IMPORT'!$D$42:$D$1040,SUBSTITUTE(SUBSTITUTE(SUBSTITUTE($P895,"~","~~"),"*","~*"),"?","~?")))</f>
        <v>0.0</v>
      </c>
      <c r="G895" s="10">
        <f>IF($C895=0,"",COUNTIFS('DEF_SELF_SCOUT_IMPORT'!$L$42:$L$1040,"Y",'DEF_SELF_SCOUT_IMPORT'!$E$42:$E$1040,SUBSTITUTE(SUBSTITUTE(SUBSTITUTE($B895,"~","~~"),"*","~*"),"?","~?"),'DEF_SELF_SCOUT_IMPORT'!$Q$42:$Q$1040,SUBSTITUTE(SUBSTITUTE(SUBSTITUTE($M895,"~","~~"),"*","~*"),"?","~?"),'DEF_SELF_SCOUT_IMPORT'!$D$42:$D$1040,SUBSTITUTE(SUBSTITUTE(SUBSTITUTE($P895,"~","~~"),"*","~*"),"?","~?"),'DEF_SELF_SCOUT_IMPORT'!$H$42:$H$1040,"RUSH")/$C895)</f>
        <v>0.0</v>
      </c>
      <c r="H895" s="10">
        <f>IF($C895=0,"",COUNTIFS('DEF_SELF_SCOUT_IMPORT'!$L$42:$L$1040,"Y",'DEF_SELF_SCOUT_IMPORT'!$E$42:$E$1040,SUBSTITUTE(SUBSTITUTE(SUBSTITUTE($B895,"~","~~"),"*","~*"),"?","~?"),'DEF_SELF_SCOUT_IMPORT'!$Q$42:$Q$1040,SUBSTITUTE(SUBSTITUTE(SUBSTITUTE($M895,"~","~~"),"*","~*"),"?","~?"),'DEF_SELF_SCOUT_IMPORT'!$D$42:$D$1040,SUBSTITUTE(SUBSTITUTE(SUBSTITUTE($P895,"~","~~"),"*","~*"),"?","~?"),'DEF_SELF_SCOUT_IMPORT'!$H$42:$H$1040,"DROPBACK")/$C895)</f>
        <v>1.0</v>
      </c>
      <c r="I895" s="14" t="str">
        <f>IF(C895=0,"",IF(C895&lt;=2,"TRACK",IF(C895=3,"LOW",IF(C895&lt;=6,"MEDIUM","HIGH"))))</f>
        <v>TRACK</v>
      </c>
      <c r="J895" s="11">
        <f>IF(C895=0,"",ROUND(D895*70+(1-E895)*20+MAX(0,MIN(1,(10-F895)/10))*10,1))</f>
        <v>100.0</v>
      </c>
      <c r="K895" s="14" t="str">
        <f>IF(C895=0,"No Evidence",IF(C895&lt;=2,IF(E895&gt;0,"Explosive Alert","Track Only"),IF(C895=3,"Sample Watch",IF(E895&gt;=START_HERE!$B$31,"Explosive Alert",IF(J895&gt;=80,"Strong Candidate",IF(J895&gt;=65,"Good Candidate",IF(J895&gt;=50,"Mixed / Review","Problem Call")))))))</f>
        <v>Track Only</v>
      </c>
      <c r="L895" s="9" t="str">
        <f>IF(COUNTIFS('DEF_SELF_SCOUT_IMPORT'!$L$42:$L$1040,"Y",'DEF_SELF_SCOUT_IMPORT'!$E$42:$E$1040,SUBSTITUTE(SUBSTITUTE(SUBSTITUTE($B895,"~","~~"),"*","~*"),"?","~?"),'DEF_SELF_SCOUT_IMPORT'!$Q$42:$Q$1040,SUBSTITUTE(SUBSTITUTE(SUBSTITUTE($M895,"~","~~"),"*","~*"),"?","~?"),'DEF_SELF_SCOUT_IMPORT'!$D$42:$D$1040,SUBSTITUTE(SUBSTITUTE(SUBSTITUTE($P895,"~","~~"),"*","~*"),"?","~?"),'DEF_SELF_SCOUT_IMPORT'!$J$42:$J$1040,"")&gt;0,"Unscored clean outcome; review result tags before using score.",IF(C895=0,"No matching defensive reps; film confirmation needed.",IF(K895="Explosive Alert","Explosive risk; review clips before using as answer.",IF(C895&lt;=2,"Track only; not enough sample.",IF(C895=3,IF(E895&gt;0,"Sample watch with explosive exposure; review clips and build the sample.",IF(J895&gt;=65,"Good signal, but sample is limited.","Sample watch; review clips and build the sample.")),IF(K895="Problem Call","Problem area; practice or call-sheet review.",IF(K895="Strong Candidate","Strong call-fit candidate; confirm on film.",IF(K895="Good Candidate","Good call-fit signal; confirm on film.","Mixed signal; review fit and execution on film."))))))))</f>
        <v>Track only; not enough sample.</v>
      </c>
      <c r="M895" s="8" t="s">
        <v>76</v>
      </c>
      <c r="N895" s="8"/>
      <c r="O895" s="8"/>
      <c r="P895" s="8" t="s">
        <v>498</v>
      </c>
      <c r="Q895" s="8"/>
      <c r="R895" s="8" t="s">
        <v>429</v>
      </c>
      <c r="S895" s="2" t="s">
        <v>499</v>
      </c>
      <c r="T895" s="2">
        <f>IF(C895=0,0,IF(C895&gt;=CALL_LOOKUP_BOARD!$B$7,IF(OR(K895="Problem Call",K895="Explosive Alert"),10000000,20000000),0)+IF(C895&gt;=CALL_LOOKUP_BOARD!$B$7,J895*1000+MIN(C895,999),C895*1000+J895)+0.00991500)</f>
        <v>1100.009915</v>
      </c>
      <c r="U895" s="2" t="str">
        <f>IF(C895=0,"",IF(COUNTIFS($S$811:$S$1055,SUBSTITUTE(SUBSTITUTE(SUBSTITUTE(S895,"~","~~"),"*","~*"),"?","~?"),$T$811:$T$1055,"&gt;"&amp;T895)=0,S895,""))</f>
        <v>6:2D 11+|13:(UNSPECIFIED)|</v>
      </c>
    </row>
    <row r="896" spans="1:21" ht="38" customHeight="1">
      <c r="A896" s="8" t="s">
        <v>500</v>
      </c>
      <c r="B896" s="8" t="s">
        <v>79</v>
      </c>
      <c r="C896" s="12">
        <f>COUNTIFS('DEF_SELF_SCOUT_IMPORT'!$L$42:$L$1040,"Y",'DEF_SELF_SCOUT_IMPORT'!$E$42:$E$1040,SUBSTITUTE(SUBSTITUTE(SUBSTITUTE($B896,"~","~~"),"*","~*"),"?","~?"),'DEF_SELF_SCOUT_IMPORT'!$Q$42:$Q$1040,SUBSTITUTE(SUBSTITUTE(SUBSTITUTE($M896,"~","~~"),"*","~*"),"?","~?"),'DEF_SELF_SCOUT_IMPORT'!$D$42:$D$1040,SUBSTITUTE(SUBSTITUTE(SUBSTITUTE($P896,"~","~~"),"*","~*"),"?","~?"))</f>
        <v>1</v>
      </c>
      <c r="D896" s="10">
        <f>IF($C896=0,"",SUMIFS('DEF_SELF_SCOUT_IMPORT'!$J$42:$J$1040,'DEF_SELF_SCOUT_IMPORT'!$L$42:$L$1040,"Y",'DEF_SELF_SCOUT_IMPORT'!$E$42:$E$1040,SUBSTITUTE(SUBSTITUTE(SUBSTITUTE($B896,"~","~~"),"*","~*"),"?","~?"),'DEF_SELF_SCOUT_IMPORT'!$Q$42:$Q$1040,SUBSTITUTE(SUBSTITUTE(SUBSTITUTE($M896,"~","~~"),"*","~*"),"?","~?"),'DEF_SELF_SCOUT_IMPORT'!$D$42:$D$1040,SUBSTITUTE(SUBSTITUTE(SUBSTITUTE($P896,"~","~~"),"*","~*"),"?","~?"))/$C896)</f>
        <v>0.0</v>
      </c>
      <c r="E896" s="10">
        <f>IF($C896=0,"",SUMIFS('DEF_SELF_SCOUT_IMPORT'!$K$42:$K$1040,'DEF_SELF_SCOUT_IMPORT'!$L$42:$L$1040,"Y",'DEF_SELF_SCOUT_IMPORT'!$E$42:$E$1040,SUBSTITUTE(SUBSTITUTE(SUBSTITUTE($B896,"~","~~"),"*","~*"),"?","~?"),'DEF_SELF_SCOUT_IMPORT'!$Q$42:$Q$1040,SUBSTITUTE(SUBSTITUTE(SUBSTITUTE($M896,"~","~~"),"*","~*"),"?","~?"),'DEF_SELF_SCOUT_IMPORT'!$D$42:$D$1040,SUBSTITUTE(SUBSTITUTE(SUBSTITUTE($P896,"~","~~"),"*","~*"),"?","~?"))/$C896)</f>
        <v>1.0</v>
      </c>
      <c r="F896" s="11">
        <f>IF($C896=0,"",AVERAGEIFS('DEF_SELF_SCOUT_IMPORT'!$I$42:$I$1040,'DEF_SELF_SCOUT_IMPORT'!$L$42:$L$1040,"Y",'DEF_SELF_SCOUT_IMPORT'!$E$42:$E$1040,SUBSTITUTE(SUBSTITUTE(SUBSTITUTE($B896,"~","~~"),"*","~*"),"?","~?"),'DEF_SELF_SCOUT_IMPORT'!$Q$42:$Q$1040,SUBSTITUTE(SUBSTITUTE(SUBSTITUTE($M896,"~","~~"),"*","~*"),"?","~?"),'DEF_SELF_SCOUT_IMPORT'!$D$42:$D$1040,SUBSTITUTE(SUBSTITUTE(SUBSTITUTE($P896,"~","~~"),"*","~*"),"?","~?")))</f>
        <v>15.0</v>
      </c>
      <c r="G896" s="10">
        <f>IF($C896=0,"",COUNTIFS('DEF_SELF_SCOUT_IMPORT'!$L$42:$L$1040,"Y",'DEF_SELF_SCOUT_IMPORT'!$E$42:$E$1040,SUBSTITUTE(SUBSTITUTE(SUBSTITUTE($B896,"~","~~"),"*","~*"),"?","~?"),'DEF_SELF_SCOUT_IMPORT'!$Q$42:$Q$1040,SUBSTITUTE(SUBSTITUTE(SUBSTITUTE($M896,"~","~~"),"*","~*"),"?","~?"),'DEF_SELF_SCOUT_IMPORT'!$D$42:$D$1040,SUBSTITUTE(SUBSTITUTE(SUBSTITUTE($P896,"~","~~"),"*","~*"),"?","~?"),'DEF_SELF_SCOUT_IMPORT'!$H$42:$H$1040,"RUSH")/$C896)</f>
        <v>0.0</v>
      </c>
      <c r="H896" s="10">
        <f>IF($C896=0,"",COUNTIFS('DEF_SELF_SCOUT_IMPORT'!$L$42:$L$1040,"Y",'DEF_SELF_SCOUT_IMPORT'!$E$42:$E$1040,SUBSTITUTE(SUBSTITUTE(SUBSTITUTE($B896,"~","~~"),"*","~*"),"?","~?"),'DEF_SELF_SCOUT_IMPORT'!$Q$42:$Q$1040,SUBSTITUTE(SUBSTITUTE(SUBSTITUTE($M896,"~","~~"),"*","~*"),"?","~?"),'DEF_SELF_SCOUT_IMPORT'!$D$42:$D$1040,SUBSTITUTE(SUBSTITUTE(SUBSTITUTE($P896,"~","~~"),"*","~*"),"?","~?"),'DEF_SELF_SCOUT_IMPORT'!$H$42:$H$1040,"DROPBACK")/$C896)</f>
        <v>1.0</v>
      </c>
      <c r="I896" s="14" t="str">
        <f>IF(C896=0,"",IF(C896&lt;=2,"TRACK",IF(C896=3,"LOW",IF(C896&lt;=6,"MEDIUM","HIGH"))))</f>
        <v>TRACK</v>
      </c>
      <c r="J896" s="11">
        <f>IF(C896=0,"",ROUND(D896*70+(1-E896)*20+MAX(0,MIN(1,(10-F896)/10))*10,1))</f>
        <v>0.0</v>
      </c>
      <c r="K896" s="14" t="str">
        <f>IF(C896=0,"No Evidence",IF(C896&lt;=2,IF(E896&gt;0,"Explosive Alert","Track Only"),IF(C896=3,"Sample Watch",IF(E896&gt;=START_HERE!$B$31,"Explosive Alert",IF(J896&gt;=80,"Strong Candidate",IF(J896&gt;=65,"Good Candidate",IF(J896&gt;=50,"Mixed / Review","Problem Call")))))))</f>
        <v>Explosive Alert</v>
      </c>
      <c r="L896" s="9" t="str">
        <f>IF(COUNTIFS('DEF_SELF_SCOUT_IMPORT'!$L$42:$L$1040,"Y",'DEF_SELF_SCOUT_IMPORT'!$E$42:$E$1040,SUBSTITUTE(SUBSTITUTE(SUBSTITUTE($B896,"~","~~"),"*","~*"),"?","~?"),'DEF_SELF_SCOUT_IMPORT'!$Q$42:$Q$1040,SUBSTITUTE(SUBSTITUTE(SUBSTITUTE($M896,"~","~~"),"*","~*"),"?","~?"),'DEF_SELF_SCOUT_IMPORT'!$D$42:$D$1040,SUBSTITUTE(SUBSTITUTE(SUBSTITUTE($P896,"~","~~"),"*","~*"),"?","~?"),'DEF_SELF_SCOUT_IMPORT'!$J$42:$J$1040,"")&gt;0,"Unscored clean outcome; review result tags before using score.",IF(C896=0,"No matching defensive reps; film confirmation needed.",IF(K896="Explosive Alert","Explosive risk; review clips before using as answer.",IF(C896&lt;=2,"Track only; not enough sample.",IF(C896=3,IF(E896&gt;0,"Sample watch with explosive exposure; review clips and build the sample.",IF(J896&gt;=65,"Good signal, but sample is limited.","Sample watch; review clips and build the sample.")),IF(K896="Problem Call","Problem area; practice or call-sheet review.",IF(K896="Strong Candidate","Strong call-fit candidate; confirm on film.",IF(K896="Good Candidate","Good call-fit signal; confirm on film.","Mixed signal; review fit and execution on film."))))))))</f>
        <v>Explosive risk; review clips before using as answer.</v>
      </c>
      <c r="M896" s="8" t="s">
        <v>76</v>
      </c>
      <c r="N896" s="8"/>
      <c r="O896" s="8"/>
      <c r="P896" s="8" t="s">
        <v>446</v>
      </c>
      <c r="Q896" s="8"/>
      <c r="R896" s="8" t="s">
        <v>429</v>
      </c>
      <c r="S896" s="2" t="s">
        <v>501</v>
      </c>
      <c r="T896" s="2">
        <f>IF(C896=0,0,IF(C896&gt;=CALL_LOOKUP_BOARD!$B$7,IF(OR(K896="Problem Call",K896="Explosive Alert"),10000000,20000000),0)+IF(C896&gt;=CALL_LOOKUP_BOARD!$B$7,J896*1000+MIN(C896,999),C896*1000+J896)+0.00991400)</f>
        <v>1000.009914</v>
      </c>
      <c r="U896" s="2" t="str">
        <f>IF(C896=0,"",IF(COUNTIFS($S$811:$S$1055,SUBSTITUTE(SUBSTITUTE(SUBSTITUTE(S896,"~","~~"),"*","~*"),"?","~?"),$T$811:$T$1055,"&gt;"&amp;T896)=0,S896,""))</f>
        <v>6:2D 11+|6:3 STEP|</v>
      </c>
    </row>
    <row r="897" spans="1:21" ht="38" customHeight="1">
      <c r="A897" s="8" t="s">
        <v>502</v>
      </c>
      <c r="B897" s="8" t="s">
        <v>46</v>
      </c>
      <c r="C897" s="12">
        <f>COUNTIFS('DEF_SELF_SCOUT_IMPORT'!$L$42:$L$1040,"Y",'DEF_SELF_SCOUT_IMPORT'!$E$42:$E$1040,SUBSTITUTE(SUBSTITUTE(SUBSTITUTE($B897,"~","~~"),"*","~*"),"?","~?"),'DEF_SELF_SCOUT_IMPORT'!$Q$42:$Q$1040,SUBSTITUTE(SUBSTITUTE(SUBSTITUTE($M897,"~","~~"),"*","~*"),"?","~?"),'DEF_SELF_SCOUT_IMPORT'!$D$42:$D$1040,SUBSTITUTE(SUBSTITUTE(SUBSTITUTE($P897,"~","~~"),"*","~*"),"?","~?"))</f>
        <v>1</v>
      </c>
      <c r="D897" s="10">
        <f>IF($C897=0,"",SUMIFS('DEF_SELF_SCOUT_IMPORT'!$J$42:$J$1040,'DEF_SELF_SCOUT_IMPORT'!$L$42:$L$1040,"Y",'DEF_SELF_SCOUT_IMPORT'!$E$42:$E$1040,SUBSTITUTE(SUBSTITUTE(SUBSTITUTE($B897,"~","~~"),"*","~*"),"?","~?"),'DEF_SELF_SCOUT_IMPORT'!$Q$42:$Q$1040,SUBSTITUTE(SUBSTITUTE(SUBSTITUTE($M897,"~","~~"),"*","~*"),"?","~?"),'DEF_SELF_SCOUT_IMPORT'!$D$42:$D$1040,SUBSTITUTE(SUBSTITUTE(SUBSTITUTE($P897,"~","~~"),"*","~*"),"?","~?"))/$C897)</f>
        <v>1.0</v>
      </c>
      <c r="E897" s="10">
        <f>IF($C897=0,"",SUMIFS('DEF_SELF_SCOUT_IMPORT'!$K$42:$K$1040,'DEF_SELF_SCOUT_IMPORT'!$L$42:$L$1040,"Y",'DEF_SELF_SCOUT_IMPORT'!$E$42:$E$1040,SUBSTITUTE(SUBSTITUTE(SUBSTITUTE($B897,"~","~~"),"*","~*"),"?","~?"),'DEF_SELF_SCOUT_IMPORT'!$Q$42:$Q$1040,SUBSTITUTE(SUBSTITUTE(SUBSTITUTE($M897,"~","~~"),"*","~*"),"?","~?"),'DEF_SELF_SCOUT_IMPORT'!$D$42:$D$1040,SUBSTITUTE(SUBSTITUTE(SUBSTITUTE($P897,"~","~~"),"*","~*"),"?","~?"))/$C897)</f>
        <v>0.0</v>
      </c>
      <c r="F897" s="11">
        <f>IF($C897=0,"",AVERAGEIFS('DEF_SELF_SCOUT_IMPORT'!$I$42:$I$1040,'DEF_SELF_SCOUT_IMPORT'!$L$42:$L$1040,"Y",'DEF_SELF_SCOUT_IMPORT'!$E$42:$E$1040,SUBSTITUTE(SUBSTITUTE(SUBSTITUTE($B897,"~","~~"),"*","~*"),"?","~?"),'DEF_SELF_SCOUT_IMPORT'!$Q$42:$Q$1040,SUBSTITUTE(SUBSTITUTE(SUBSTITUTE($M897,"~","~~"),"*","~*"),"?","~?"),'DEF_SELF_SCOUT_IMPORT'!$D$42:$D$1040,SUBSTITUTE(SUBSTITUTE(SUBSTITUTE($P897,"~","~~"),"*","~*"),"?","~?")))</f>
        <v>-2.0</v>
      </c>
      <c r="G897" s="10">
        <f>IF($C897=0,"",COUNTIFS('DEF_SELF_SCOUT_IMPORT'!$L$42:$L$1040,"Y",'DEF_SELF_SCOUT_IMPORT'!$E$42:$E$1040,SUBSTITUTE(SUBSTITUTE(SUBSTITUTE($B897,"~","~~"),"*","~*"),"?","~?"),'DEF_SELF_SCOUT_IMPORT'!$Q$42:$Q$1040,SUBSTITUTE(SUBSTITUTE(SUBSTITUTE($M897,"~","~~"),"*","~*"),"?","~?"),'DEF_SELF_SCOUT_IMPORT'!$D$42:$D$1040,SUBSTITUTE(SUBSTITUTE(SUBSTITUTE($P897,"~","~~"),"*","~*"),"?","~?"),'DEF_SELF_SCOUT_IMPORT'!$H$42:$H$1040,"RUSH")/$C897)</f>
        <v>0.0</v>
      </c>
      <c r="H897" s="10">
        <f>IF($C897=0,"",COUNTIFS('DEF_SELF_SCOUT_IMPORT'!$L$42:$L$1040,"Y",'DEF_SELF_SCOUT_IMPORT'!$E$42:$E$1040,SUBSTITUTE(SUBSTITUTE(SUBSTITUTE($B897,"~","~~"),"*","~*"),"?","~?"),'DEF_SELF_SCOUT_IMPORT'!$Q$42:$Q$1040,SUBSTITUTE(SUBSTITUTE(SUBSTITUTE($M897,"~","~~"),"*","~*"),"?","~?"),'DEF_SELF_SCOUT_IMPORT'!$D$42:$D$1040,SUBSTITUTE(SUBSTITUTE(SUBSTITUTE($P897,"~","~~"),"*","~*"),"?","~?"),'DEF_SELF_SCOUT_IMPORT'!$H$42:$H$1040,"DROPBACK")/$C897)</f>
        <v>1.0</v>
      </c>
      <c r="I897" s="14" t="str">
        <f>IF(C897=0,"",IF(C897&lt;=2,"TRACK",IF(C897=3,"LOW",IF(C897&lt;=6,"MEDIUM","HIGH"))))</f>
        <v>TRACK</v>
      </c>
      <c r="J897" s="11">
        <f>IF(C897=0,"",ROUND(D897*70+(1-E897)*20+MAX(0,MIN(1,(10-F897)/10))*10,1))</f>
        <v>100.0</v>
      </c>
      <c r="K897" s="14" t="str">
        <f>IF(C897=0,"No Evidence",IF(C897&lt;=2,IF(E897&gt;0,"Explosive Alert","Track Only"),IF(C897=3,"Sample Watch",IF(E897&gt;=START_HERE!$B$31,"Explosive Alert",IF(J897&gt;=80,"Strong Candidate",IF(J897&gt;=65,"Good Candidate",IF(J897&gt;=50,"Mixed / Review","Problem Call")))))))</f>
        <v>Track Only</v>
      </c>
      <c r="L897" s="9" t="str">
        <f>IF(COUNTIFS('DEF_SELF_SCOUT_IMPORT'!$L$42:$L$1040,"Y",'DEF_SELF_SCOUT_IMPORT'!$E$42:$E$1040,SUBSTITUTE(SUBSTITUTE(SUBSTITUTE($B897,"~","~~"),"*","~*"),"?","~?"),'DEF_SELF_SCOUT_IMPORT'!$Q$42:$Q$1040,SUBSTITUTE(SUBSTITUTE(SUBSTITUTE($M897,"~","~~"),"*","~*"),"?","~?"),'DEF_SELF_SCOUT_IMPORT'!$D$42:$D$1040,SUBSTITUTE(SUBSTITUTE(SUBSTITUTE($P897,"~","~~"),"*","~*"),"?","~?"),'DEF_SELF_SCOUT_IMPORT'!$J$42:$J$1040,"")&gt;0,"Unscored clean outcome; review result tags before using score.",IF(C897=0,"No matching defensive reps; film confirmation needed.",IF(K897="Explosive Alert","Explosive risk; review clips before using as answer.",IF(C897&lt;=2,"Track only; not enough sample.",IF(C897=3,IF(E897&gt;0,"Sample watch with explosive exposure; review clips and build the sample.",IF(J897&gt;=65,"Good signal, but sample is limited.","Sample watch; review clips and build the sample.")),IF(K897="Problem Call","Problem area; practice or call-sheet review.",IF(K897="Strong Candidate","Strong call-fit candidate; confirm on film.",IF(K897="Good Candidate","Good call-fit signal; confirm on film.","Mixed signal; review fit and execution on film."))))))))</f>
        <v>Track only; not enough sample.</v>
      </c>
      <c r="M897" s="8" t="s">
        <v>76</v>
      </c>
      <c r="N897" s="8"/>
      <c r="O897" s="8"/>
      <c r="P897" s="8" t="s">
        <v>449</v>
      </c>
      <c r="Q897" s="8"/>
      <c r="R897" s="8" t="s">
        <v>429</v>
      </c>
      <c r="S897" s="2" t="s">
        <v>503</v>
      </c>
      <c r="T897" s="2">
        <f>IF(C897=0,0,IF(C897&gt;=CALL_LOOKUP_BOARD!$B$7,IF(OR(K897="Problem Call",K897="Explosive Alert"),10000000,20000000),0)+IF(C897&gt;=CALL_LOOKUP_BOARD!$B$7,J897*1000+MIN(C897,999),C897*1000+J897)+0.00991300)</f>
        <v>1100.009913</v>
      </c>
      <c r="U897" s="2" t="str">
        <f>IF(C897=0,"",IF(COUNTIFS($S$811:$S$1055,SUBSTITUTE(SUBSTITUTE(SUBSTITUTE(S897,"~","~~"),"*","~*"),"?","~?"),$T$811:$T$1055,"&gt;"&amp;T897)=0,S897,""))</f>
        <v>6:2D 11+|6:5 STEP|</v>
      </c>
    </row>
    <row r="898" spans="1:21" ht="38" customHeight="1">
      <c r="A898" s="8" t="s">
        <v>502</v>
      </c>
      <c r="B898" s="8" t="s">
        <v>80</v>
      </c>
      <c r="C898" s="12">
        <f>COUNTIFS('DEF_SELF_SCOUT_IMPORT'!$L$42:$L$1040,"Y",'DEF_SELF_SCOUT_IMPORT'!$E$42:$E$1040,SUBSTITUTE(SUBSTITUTE(SUBSTITUTE($B898,"~","~~"),"*","~*"),"?","~?"),'DEF_SELF_SCOUT_IMPORT'!$Q$42:$Q$1040,SUBSTITUTE(SUBSTITUTE(SUBSTITUTE($M898,"~","~~"),"*","~*"),"?","~?"),'DEF_SELF_SCOUT_IMPORT'!$D$42:$D$1040,SUBSTITUTE(SUBSTITUTE(SUBSTITUTE($P898,"~","~~"),"*","~*"),"?","~?"))</f>
        <v>1</v>
      </c>
      <c r="D898" s="10">
        <f>IF($C898=0,"",SUMIFS('DEF_SELF_SCOUT_IMPORT'!$J$42:$J$1040,'DEF_SELF_SCOUT_IMPORT'!$L$42:$L$1040,"Y",'DEF_SELF_SCOUT_IMPORT'!$E$42:$E$1040,SUBSTITUTE(SUBSTITUTE(SUBSTITUTE($B898,"~","~~"),"*","~*"),"?","~?"),'DEF_SELF_SCOUT_IMPORT'!$Q$42:$Q$1040,SUBSTITUTE(SUBSTITUTE(SUBSTITUTE($M898,"~","~~"),"*","~*"),"?","~?"),'DEF_SELF_SCOUT_IMPORT'!$D$42:$D$1040,SUBSTITUTE(SUBSTITUTE(SUBSTITUTE($P898,"~","~~"),"*","~*"),"?","~?"))/$C898)</f>
        <v>1.0</v>
      </c>
      <c r="E898" s="10">
        <f>IF($C898=0,"",SUMIFS('DEF_SELF_SCOUT_IMPORT'!$K$42:$K$1040,'DEF_SELF_SCOUT_IMPORT'!$L$42:$L$1040,"Y",'DEF_SELF_SCOUT_IMPORT'!$E$42:$E$1040,SUBSTITUTE(SUBSTITUTE(SUBSTITUTE($B898,"~","~~"),"*","~*"),"?","~?"),'DEF_SELF_SCOUT_IMPORT'!$Q$42:$Q$1040,SUBSTITUTE(SUBSTITUTE(SUBSTITUTE($M898,"~","~~"),"*","~*"),"?","~?"),'DEF_SELF_SCOUT_IMPORT'!$D$42:$D$1040,SUBSTITUTE(SUBSTITUTE(SUBSTITUTE($P898,"~","~~"),"*","~*"),"?","~?"))/$C898)</f>
        <v>0.0</v>
      </c>
      <c r="F898" s="11">
        <f>IF($C898=0,"",AVERAGEIFS('DEF_SELF_SCOUT_IMPORT'!$I$42:$I$1040,'DEF_SELF_SCOUT_IMPORT'!$L$42:$L$1040,"Y",'DEF_SELF_SCOUT_IMPORT'!$E$42:$E$1040,SUBSTITUTE(SUBSTITUTE(SUBSTITUTE($B898,"~","~~"),"*","~*"),"?","~?"),'DEF_SELF_SCOUT_IMPORT'!$Q$42:$Q$1040,SUBSTITUTE(SUBSTITUTE(SUBSTITUTE($M898,"~","~~"),"*","~*"),"?","~?"),'DEF_SELF_SCOUT_IMPORT'!$D$42:$D$1040,SUBSTITUTE(SUBSTITUTE(SUBSTITUTE($P898,"~","~~"),"*","~*"),"?","~?")))</f>
        <v>3.0</v>
      </c>
      <c r="G898" s="10">
        <f>IF($C898=0,"",COUNTIFS('DEF_SELF_SCOUT_IMPORT'!$L$42:$L$1040,"Y",'DEF_SELF_SCOUT_IMPORT'!$E$42:$E$1040,SUBSTITUTE(SUBSTITUTE(SUBSTITUTE($B898,"~","~~"),"*","~*"),"?","~?"),'DEF_SELF_SCOUT_IMPORT'!$Q$42:$Q$1040,SUBSTITUTE(SUBSTITUTE(SUBSTITUTE($M898,"~","~~"),"*","~*"),"?","~?"),'DEF_SELF_SCOUT_IMPORT'!$D$42:$D$1040,SUBSTITUTE(SUBSTITUTE(SUBSTITUTE($P898,"~","~~"),"*","~*"),"?","~?"),'DEF_SELF_SCOUT_IMPORT'!$H$42:$H$1040,"RUSH")/$C898)</f>
        <v>0.0</v>
      </c>
      <c r="H898" s="10">
        <f>IF($C898=0,"",COUNTIFS('DEF_SELF_SCOUT_IMPORT'!$L$42:$L$1040,"Y",'DEF_SELF_SCOUT_IMPORT'!$E$42:$E$1040,SUBSTITUTE(SUBSTITUTE(SUBSTITUTE($B898,"~","~~"),"*","~*"),"?","~?"),'DEF_SELF_SCOUT_IMPORT'!$Q$42:$Q$1040,SUBSTITUTE(SUBSTITUTE(SUBSTITUTE($M898,"~","~~"),"*","~*"),"?","~?"),'DEF_SELF_SCOUT_IMPORT'!$D$42:$D$1040,SUBSTITUTE(SUBSTITUTE(SUBSTITUTE($P898,"~","~~"),"*","~*"),"?","~?"),'DEF_SELF_SCOUT_IMPORT'!$H$42:$H$1040,"DROPBACK")/$C898)</f>
        <v>1.0</v>
      </c>
      <c r="I898" s="14" t="str">
        <f>IF(C898=0,"",IF(C898&lt;=2,"TRACK",IF(C898=3,"LOW",IF(C898&lt;=6,"MEDIUM","HIGH"))))</f>
        <v>TRACK</v>
      </c>
      <c r="J898" s="11">
        <f>IF(C898=0,"",ROUND(D898*70+(1-E898)*20+MAX(0,MIN(1,(10-F898)/10))*10,1))</f>
        <v>97.0</v>
      </c>
      <c r="K898" s="14" t="str">
        <f>IF(C898=0,"No Evidence",IF(C898&lt;=2,IF(E898&gt;0,"Explosive Alert","Track Only"),IF(C898=3,"Sample Watch",IF(E898&gt;=START_HERE!$B$31,"Explosive Alert",IF(J898&gt;=80,"Strong Candidate",IF(J898&gt;=65,"Good Candidate",IF(J898&gt;=50,"Mixed / Review","Problem Call")))))))</f>
        <v>Track Only</v>
      </c>
      <c r="L898" s="9" t="str">
        <f>IF(COUNTIFS('DEF_SELF_SCOUT_IMPORT'!$L$42:$L$1040,"Y",'DEF_SELF_SCOUT_IMPORT'!$E$42:$E$1040,SUBSTITUTE(SUBSTITUTE(SUBSTITUTE($B898,"~","~~"),"*","~*"),"?","~?"),'DEF_SELF_SCOUT_IMPORT'!$Q$42:$Q$1040,SUBSTITUTE(SUBSTITUTE(SUBSTITUTE($M898,"~","~~"),"*","~*"),"?","~?"),'DEF_SELF_SCOUT_IMPORT'!$D$42:$D$1040,SUBSTITUTE(SUBSTITUTE(SUBSTITUTE($P898,"~","~~"),"*","~*"),"?","~?"),'DEF_SELF_SCOUT_IMPORT'!$J$42:$J$1040,"")&gt;0,"Unscored clean outcome; review result tags before using score.",IF(C898=0,"No matching defensive reps; film confirmation needed.",IF(K898="Explosive Alert","Explosive risk; review clips before using as answer.",IF(C898&lt;=2,"Track only; not enough sample.",IF(C898=3,IF(E898&gt;0,"Sample watch with explosive exposure; review clips and build the sample.",IF(J898&gt;=65,"Good signal, but sample is limited.","Sample watch; review clips and build the sample.")),IF(K898="Problem Call","Problem area; practice or call-sheet review.",IF(K898="Strong Candidate","Strong call-fit candidate; confirm on film.",IF(K898="Good Candidate","Good call-fit signal; confirm on film.","Mixed signal; review fit and execution on film."))))))))</f>
        <v>Track only; not enough sample.</v>
      </c>
      <c r="M898" s="8" t="s">
        <v>76</v>
      </c>
      <c r="N898" s="8"/>
      <c r="O898" s="8"/>
      <c r="P898" s="8" t="s">
        <v>449</v>
      </c>
      <c r="Q898" s="8"/>
      <c r="R898" s="8" t="s">
        <v>429</v>
      </c>
      <c r="S898" s="2" t="s">
        <v>503</v>
      </c>
      <c r="T898" s="2">
        <f>IF(C898=0,0,IF(C898&gt;=CALL_LOOKUP_BOARD!$B$7,IF(OR(K898="Problem Call",K898="Explosive Alert"),10000000,20000000),0)+IF(C898&gt;=CALL_LOOKUP_BOARD!$B$7,J898*1000+MIN(C898,999),C898*1000+J898)+0.00991200)</f>
        <v>1097.009912</v>
      </c>
      <c r="U898" s="2">
        <f>IF(C898=0,"",IF(COUNTIFS($S$811:$S$1055,SUBSTITUTE(SUBSTITUTE(SUBSTITUTE(S898,"~","~~"),"*","~*"),"?","~?"),$T$811:$T$1055,"&gt;"&amp;T898)=0,S898,""))</f>
        <v/>
      </c>
    </row>
    <row r="899" spans="1:21" ht="38" customHeight="1">
      <c r="A899" s="8" t="s">
        <v>502</v>
      </c>
      <c r="B899" s="8" t="s">
        <v>81</v>
      </c>
      <c r="C899" s="12">
        <f>COUNTIFS('DEF_SELF_SCOUT_IMPORT'!$L$42:$L$1040,"Y",'DEF_SELF_SCOUT_IMPORT'!$E$42:$E$1040,SUBSTITUTE(SUBSTITUTE(SUBSTITUTE($B899,"~","~~"),"*","~*"),"?","~?"),'DEF_SELF_SCOUT_IMPORT'!$Q$42:$Q$1040,SUBSTITUTE(SUBSTITUTE(SUBSTITUTE($M899,"~","~~"),"*","~*"),"?","~?"),'DEF_SELF_SCOUT_IMPORT'!$D$42:$D$1040,SUBSTITUTE(SUBSTITUTE(SUBSTITUTE($P899,"~","~~"),"*","~*"),"?","~?"))</f>
        <v>1</v>
      </c>
      <c r="D899" s="10">
        <f>IF($C899=0,"",SUMIFS('DEF_SELF_SCOUT_IMPORT'!$J$42:$J$1040,'DEF_SELF_SCOUT_IMPORT'!$L$42:$L$1040,"Y",'DEF_SELF_SCOUT_IMPORT'!$E$42:$E$1040,SUBSTITUTE(SUBSTITUTE(SUBSTITUTE($B899,"~","~~"),"*","~*"),"?","~?"),'DEF_SELF_SCOUT_IMPORT'!$Q$42:$Q$1040,SUBSTITUTE(SUBSTITUTE(SUBSTITUTE($M899,"~","~~"),"*","~*"),"?","~?"),'DEF_SELF_SCOUT_IMPORT'!$D$42:$D$1040,SUBSTITUTE(SUBSTITUTE(SUBSTITUTE($P899,"~","~~"),"*","~*"),"?","~?"))/$C899)</f>
        <v>1.0</v>
      </c>
      <c r="E899" s="10">
        <f>IF($C899=0,"",SUMIFS('DEF_SELF_SCOUT_IMPORT'!$K$42:$K$1040,'DEF_SELF_SCOUT_IMPORT'!$L$42:$L$1040,"Y",'DEF_SELF_SCOUT_IMPORT'!$E$42:$E$1040,SUBSTITUTE(SUBSTITUTE(SUBSTITUTE($B899,"~","~~"),"*","~*"),"?","~?"),'DEF_SELF_SCOUT_IMPORT'!$Q$42:$Q$1040,SUBSTITUTE(SUBSTITUTE(SUBSTITUTE($M899,"~","~~"),"*","~*"),"?","~?"),'DEF_SELF_SCOUT_IMPORT'!$D$42:$D$1040,SUBSTITUTE(SUBSTITUTE(SUBSTITUTE($P899,"~","~~"),"*","~*"),"?","~?"))/$C899)</f>
        <v>0.0</v>
      </c>
      <c r="F899" s="11">
        <f>IF($C899=0,"",AVERAGEIFS('DEF_SELF_SCOUT_IMPORT'!$I$42:$I$1040,'DEF_SELF_SCOUT_IMPORT'!$L$42:$L$1040,"Y",'DEF_SELF_SCOUT_IMPORT'!$E$42:$E$1040,SUBSTITUTE(SUBSTITUTE(SUBSTITUTE($B899,"~","~~"),"*","~*"),"?","~?"),'DEF_SELF_SCOUT_IMPORT'!$Q$42:$Q$1040,SUBSTITUTE(SUBSTITUTE(SUBSTITUTE($M899,"~","~~"),"*","~*"),"?","~?"),'DEF_SELF_SCOUT_IMPORT'!$D$42:$D$1040,SUBSTITUTE(SUBSTITUTE(SUBSTITUTE($P899,"~","~~"),"*","~*"),"?","~?")))</f>
        <v>0.0</v>
      </c>
      <c r="G899" s="10">
        <f>IF($C899=0,"",COUNTIFS('DEF_SELF_SCOUT_IMPORT'!$L$42:$L$1040,"Y",'DEF_SELF_SCOUT_IMPORT'!$E$42:$E$1040,SUBSTITUTE(SUBSTITUTE(SUBSTITUTE($B899,"~","~~"),"*","~*"),"?","~?"),'DEF_SELF_SCOUT_IMPORT'!$Q$42:$Q$1040,SUBSTITUTE(SUBSTITUTE(SUBSTITUTE($M899,"~","~~"),"*","~*"),"?","~?"),'DEF_SELF_SCOUT_IMPORT'!$D$42:$D$1040,SUBSTITUTE(SUBSTITUTE(SUBSTITUTE($P899,"~","~~"),"*","~*"),"?","~?"),'DEF_SELF_SCOUT_IMPORT'!$H$42:$H$1040,"RUSH")/$C899)</f>
        <v>0.0</v>
      </c>
      <c r="H899" s="10">
        <f>IF($C899=0,"",COUNTIFS('DEF_SELF_SCOUT_IMPORT'!$L$42:$L$1040,"Y",'DEF_SELF_SCOUT_IMPORT'!$E$42:$E$1040,SUBSTITUTE(SUBSTITUTE(SUBSTITUTE($B899,"~","~~"),"*","~*"),"?","~?"),'DEF_SELF_SCOUT_IMPORT'!$Q$42:$Q$1040,SUBSTITUTE(SUBSTITUTE(SUBSTITUTE($M899,"~","~~"),"*","~*"),"?","~?"),'DEF_SELF_SCOUT_IMPORT'!$D$42:$D$1040,SUBSTITUTE(SUBSTITUTE(SUBSTITUTE($P899,"~","~~"),"*","~*"),"?","~?"),'DEF_SELF_SCOUT_IMPORT'!$H$42:$H$1040,"DROPBACK")/$C899)</f>
        <v>1.0</v>
      </c>
      <c r="I899" s="14" t="str">
        <f>IF(C899=0,"",IF(C899&lt;=2,"TRACK",IF(C899=3,"LOW",IF(C899&lt;=6,"MEDIUM","HIGH"))))</f>
        <v>TRACK</v>
      </c>
      <c r="J899" s="11">
        <f>IF(C899=0,"",ROUND(D899*70+(1-E899)*20+MAX(0,MIN(1,(10-F899)/10))*10,1))</f>
        <v>100.0</v>
      </c>
      <c r="K899" s="14" t="str">
        <f>IF(C899=0,"No Evidence",IF(C899&lt;=2,IF(E899&gt;0,"Explosive Alert","Track Only"),IF(C899=3,"Sample Watch",IF(E899&gt;=START_HERE!$B$31,"Explosive Alert",IF(J899&gt;=80,"Strong Candidate",IF(J899&gt;=65,"Good Candidate",IF(J899&gt;=50,"Mixed / Review","Problem Call")))))))</f>
        <v>Track Only</v>
      </c>
      <c r="L899" s="9" t="str">
        <f>IF(COUNTIFS('DEF_SELF_SCOUT_IMPORT'!$L$42:$L$1040,"Y",'DEF_SELF_SCOUT_IMPORT'!$E$42:$E$1040,SUBSTITUTE(SUBSTITUTE(SUBSTITUTE($B899,"~","~~"),"*","~*"),"?","~?"),'DEF_SELF_SCOUT_IMPORT'!$Q$42:$Q$1040,SUBSTITUTE(SUBSTITUTE(SUBSTITUTE($M899,"~","~~"),"*","~*"),"?","~?"),'DEF_SELF_SCOUT_IMPORT'!$D$42:$D$1040,SUBSTITUTE(SUBSTITUTE(SUBSTITUTE($P899,"~","~~"),"*","~*"),"?","~?"),'DEF_SELF_SCOUT_IMPORT'!$J$42:$J$1040,"")&gt;0,"Unscored clean outcome; review result tags before using score.",IF(C899=0,"No matching defensive reps; film confirmation needed.",IF(K899="Explosive Alert","Explosive risk; review clips before using as answer.",IF(C899&lt;=2,"Track only; not enough sample.",IF(C899=3,IF(E899&gt;0,"Sample watch with explosive exposure; review clips and build the sample.",IF(J899&gt;=65,"Good signal, but sample is limited.","Sample watch; review clips and build the sample.")),IF(K899="Problem Call","Problem area; practice or call-sheet review.",IF(K899="Strong Candidate","Strong call-fit candidate; confirm on film.",IF(K899="Good Candidate","Good call-fit signal; confirm on film.","Mixed signal; review fit and execution on film."))))))))</f>
        <v>Track only; not enough sample.</v>
      </c>
      <c r="M899" s="8" t="s">
        <v>76</v>
      </c>
      <c r="N899" s="8"/>
      <c r="O899" s="8"/>
      <c r="P899" s="8" t="s">
        <v>449</v>
      </c>
      <c r="Q899" s="8"/>
      <c r="R899" s="8" t="s">
        <v>429</v>
      </c>
      <c r="S899" s="2" t="s">
        <v>503</v>
      </c>
      <c r="T899" s="2">
        <f>IF(C899=0,0,IF(C899&gt;=CALL_LOOKUP_BOARD!$B$7,IF(OR(K899="Problem Call",K899="Explosive Alert"),10000000,20000000),0)+IF(C899&gt;=CALL_LOOKUP_BOARD!$B$7,J899*1000+MIN(C899,999),C899*1000+J899)+0.00991100)</f>
        <v>1100.009911</v>
      </c>
      <c r="U899" s="2">
        <f>IF(C899=0,"",IF(COUNTIFS($S$811:$S$1055,SUBSTITUTE(SUBSTITUTE(SUBSTITUTE(S899,"~","~~"),"*","~*"),"?","~?"),$T$811:$T$1055,"&gt;"&amp;T899)=0,S899,""))</f>
        <v/>
      </c>
    </row>
    <row r="900" spans="1:21" ht="38" customHeight="1">
      <c r="A900" s="8" t="s">
        <v>502</v>
      </c>
      <c r="B900" s="8" t="s">
        <v>63</v>
      </c>
      <c r="C900" s="12">
        <f>COUNTIFS('DEF_SELF_SCOUT_IMPORT'!$L$42:$L$1040,"Y",'DEF_SELF_SCOUT_IMPORT'!$E$42:$E$1040,SUBSTITUTE(SUBSTITUTE(SUBSTITUTE($B900,"~","~~"),"*","~*"),"?","~?"),'DEF_SELF_SCOUT_IMPORT'!$Q$42:$Q$1040,SUBSTITUTE(SUBSTITUTE(SUBSTITUTE($M900,"~","~~"),"*","~*"),"?","~?"),'DEF_SELF_SCOUT_IMPORT'!$D$42:$D$1040,SUBSTITUTE(SUBSTITUTE(SUBSTITUTE($P900,"~","~~"),"*","~*"),"?","~?"))</f>
        <v>1</v>
      </c>
      <c r="D900" s="10">
        <f>IF($C900=0,"",SUMIFS('DEF_SELF_SCOUT_IMPORT'!$J$42:$J$1040,'DEF_SELF_SCOUT_IMPORT'!$L$42:$L$1040,"Y",'DEF_SELF_SCOUT_IMPORT'!$E$42:$E$1040,SUBSTITUTE(SUBSTITUTE(SUBSTITUTE($B900,"~","~~"),"*","~*"),"?","~?"),'DEF_SELF_SCOUT_IMPORT'!$Q$42:$Q$1040,SUBSTITUTE(SUBSTITUTE(SUBSTITUTE($M900,"~","~~"),"*","~*"),"?","~?"),'DEF_SELF_SCOUT_IMPORT'!$D$42:$D$1040,SUBSTITUTE(SUBSTITUTE(SUBSTITUTE($P900,"~","~~"),"*","~*"),"?","~?"))/$C900)</f>
        <v>0.0</v>
      </c>
      <c r="E900" s="10">
        <f>IF($C900=0,"",SUMIFS('DEF_SELF_SCOUT_IMPORT'!$K$42:$K$1040,'DEF_SELF_SCOUT_IMPORT'!$L$42:$L$1040,"Y",'DEF_SELF_SCOUT_IMPORT'!$E$42:$E$1040,SUBSTITUTE(SUBSTITUTE(SUBSTITUTE($B900,"~","~~"),"*","~*"),"?","~?"),'DEF_SELF_SCOUT_IMPORT'!$Q$42:$Q$1040,SUBSTITUTE(SUBSTITUTE(SUBSTITUTE($M900,"~","~~"),"*","~*"),"?","~?"),'DEF_SELF_SCOUT_IMPORT'!$D$42:$D$1040,SUBSTITUTE(SUBSTITUTE(SUBSTITUTE($P900,"~","~~"),"*","~*"),"?","~?"))/$C900)</f>
        <v>0.0</v>
      </c>
      <c r="F900" s="11">
        <f>IF($C900=0,"",AVERAGEIFS('DEF_SELF_SCOUT_IMPORT'!$I$42:$I$1040,'DEF_SELF_SCOUT_IMPORT'!$L$42:$L$1040,"Y",'DEF_SELF_SCOUT_IMPORT'!$E$42:$E$1040,SUBSTITUTE(SUBSTITUTE(SUBSTITUTE($B900,"~","~~"),"*","~*"),"?","~?"),'DEF_SELF_SCOUT_IMPORT'!$Q$42:$Q$1040,SUBSTITUTE(SUBSTITUTE(SUBSTITUTE($M900,"~","~~"),"*","~*"),"?","~?"),'DEF_SELF_SCOUT_IMPORT'!$D$42:$D$1040,SUBSTITUTE(SUBSTITUTE(SUBSTITUTE($P900,"~","~~"),"*","~*"),"?","~?")))</f>
        <v>13.0</v>
      </c>
      <c r="G900" s="10">
        <f>IF($C900=0,"",COUNTIFS('DEF_SELF_SCOUT_IMPORT'!$L$42:$L$1040,"Y",'DEF_SELF_SCOUT_IMPORT'!$E$42:$E$1040,SUBSTITUTE(SUBSTITUTE(SUBSTITUTE($B900,"~","~~"),"*","~*"),"?","~?"),'DEF_SELF_SCOUT_IMPORT'!$Q$42:$Q$1040,SUBSTITUTE(SUBSTITUTE(SUBSTITUTE($M900,"~","~~"),"*","~*"),"?","~?"),'DEF_SELF_SCOUT_IMPORT'!$D$42:$D$1040,SUBSTITUTE(SUBSTITUTE(SUBSTITUTE($P900,"~","~~"),"*","~*"),"?","~?"),'DEF_SELF_SCOUT_IMPORT'!$H$42:$H$1040,"RUSH")/$C900)</f>
        <v>0.0</v>
      </c>
      <c r="H900" s="10">
        <f>IF($C900=0,"",COUNTIFS('DEF_SELF_SCOUT_IMPORT'!$L$42:$L$1040,"Y",'DEF_SELF_SCOUT_IMPORT'!$E$42:$E$1040,SUBSTITUTE(SUBSTITUTE(SUBSTITUTE($B900,"~","~~"),"*","~*"),"?","~?"),'DEF_SELF_SCOUT_IMPORT'!$Q$42:$Q$1040,SUBSTITUTE(SUBSTITUTE(SUBSTITUTE($M900,"~","~~"),"*","~*"),"?","~?"),'DEF_SELF_SCOUT_IMPORT'!$D$42:$D$1040,SUBSTITUTE(SUBSTITUTE(SUBSTITUTE($P900,"~","~~"),"*","~*"),"?","~?"),'DEF_SELF_SCOUT_IMPORT'!$H$42:$H$1040,"DROPBACK")/$C900)</f>
        <v>1.0</v>
      </c>
      <c r="I900" s="14" t="str">
        <f>IF(C900=0,"",IF(C900&lt;=2,"TRACK",IF(C900=3,"LOW",IF(C900&lt;=6,"MEDIUM","HIGH"))))</f>
        <v>TRACK</v>
      </c>
      <c r="J900" s="11">
        <f>IF(C900=0,"",ROUND(D900*70+(1-E900)*20+MAX(0,MIN(1,(10-F900)/10))*10,1))</f>
        <v>20.0</v>
      </c>
      <c r="K900" s="14" t="str">
        <f>IF(C900=0,"No Evidence",IF(C900&lt;=2,IF(E900&gt;0,"Explosive Alert","Track Only"),IF(C900=3,"Sample Watch",IF(E900&gt;=START_HERE!$B$31,"Explosive Alert",IF(J900&gt;=80,"Strong Candidate",IF(J900&gt;=65,"Good Candidate",IF(J900&gt;=50,"Mixed / Review","Problem Call")))))))</f>
        <v>Track Only</v>
      </c>
      <c r="L900" s="9" t="str">
        <f>IF(COUNTIFS('DEF_SELF_SCOUT_IMPORT'!$L$42:$L$1040,"Y",'DEF_SELF_SCOUT_IMPORT'!$E$42:$E$1040,SUBSTITUTE(SUBSTITUTE(SUBSTITUTE($B900,"~","~~"),"*","~*"),"?","~?"),'DEF_SELF_SCOUT_IMPORT'!$Q$42:$Q$1040,SUBSTITUTE(SUBSTITUTE(SUBSTITUTE($M900,"~","~~"),"*","~*"),"?","~?"),'DEF_SELF_SCOUT_IMPORT'!$D$42:$D$1040,SUBSTITUTE(SUBSTITUTE(SUBSTITUTE($P900,"~","~~"),"*","~*"),"?","~?"),'DEF_SELF_SCOUT_IMPORT'!$J$42:$J$1040,"")&gt;0,"Unscored clean outcome; review result tags before using score.",IF(C900=0,"No matching defensive reps; film confirmation needed.",IF(K900="Explosive Alert","Explosive risk; review clips before using as answer.",IF(C900&lt;=2,"Track only; not enough sample.",IF(C900=3,IF(E900&gt;0,"Sample watch with explosive exposure; review clips and build the sample.",IF(J900&gt;=65,"Good signal, but sample is limited.","Sample watch; review clips and build the sample.")),IF(K900="Problem Call","Problem area; practice or call-sheet review.",IF(K900="Strong Candidate","Strong call-fit candidate; confirm on film.",IF(K900="Good Candidate","Good call-fit signal; confirm on film.","Mixed signal; review fit and execution on film."))))))))</f>
        <v>Track only; not enough sample.</v>
      </c>
      <c r="M900" s="8" t="s">
        <v>76</v>
      </c>
      <c r="N900" s="8"/>
      <c r="O900" s="8"/>
      <c r="P900" s="8" t="s">
        <v>449</v>
      </c>
      <c r="Q900" s="8"/>
      <c r="R900" s="8" t="s">
        <v>429</v>
      </c>
      <c r="S900" s="2" t="s">
        <v>503</v>
      </c>
      <c r="T900" s="2">
        <f>IF(C900=0,0,IF(C900&gt;=CALL_LOOKUP_BOARD!$B$7,IF(OR(K900="Problem Call",K900="Explosive Alert"),10000000,20000000),0)+IF(C900&gt;=CALL_LOOKUP_BOARD!$B$7,J900*1000+MIN(C900,999),C900*1000+J900)+0.00991000)</f>
        <v>1020.00991</v>
      </c>
      <c r="U900" s="2">
        <f>IF(C900=0,"",IF(COUNTIFS($S$811:$S$1055,SUBSTITUTE(SUBSTITUTE(SUBSTITUTE(S900,"~","~~"),"*","~*"),"?","~?"),$T$811:$T$1055,"&gt;"&amp;T900)=0,S900,""))</f>
        <v/>
      </c>
    </row>
    <row r="901" spans="1:21" ht="38" customHeight="1">
      <c r="A901" s="8" t="s">
        <v>504</v>
      </c>
      <c r="B901" s="8" t="s">
        <v>79</v>
      </c>
      <c r="C901" s="12">
        <f>COUNTIFS('DEF_SELF_SCOUT_IMPORT'!$L$42:$L$1040,"Y",'DEF_SELF_SCOUT_IMPORT'!$E$42:$E$1040,SUBSTITUTE(SUBSTITUTE(SUBSTITUTE($B901,"~","~~"),"*","~*"),"?","~?"),'DEF_SELF_SCOUT_IMPORT'!$Q$42:$Q$1040,SUBSTITUTE(SUBSTITUTE(SUBSTITUTE($M901,"~","~~"),"*","~*"),"?","~?"),'DEF_SELF_SCOUT_IMPORT'!$D$42:$D$1040,SUBSTITUTE(SUBSTITUTE(SUBSTITUTE($P901,"~","~~"),"*","~*"),"?","~?"))</f>
        <v>1</v>
      </c>
      <c r="D901" s="10">
        <f>IF($C901=0,"",SUMIFS('DEF_SELF_SCOUT_IMPORT'!$J$42:$J$1040,'DEF_SELF_SCOUT_IMPORT'!$L$42:$L$1040,"Y",'DEF_SELF_SCOUT_IMPORT'!$E$42:$E$1040,SUBSTITUTE(SUBSTITUTE(SUBSTITUTE($B901,"~","~~"),"*","~*"),"?","~?"),'DEF_SELF_SCOUT_IMPORT'!$Q$42:$Q$1040,SUBSTITUTE(SUBSTITUTE(SUBSTITUTE($M901,"~","~~"),"*","~*"),"?","~?"),'DEF_SELF_SCOUT_IMPORT'!$D$42:$D$1040,SUBSTITUTE(SUBSTITUTE(SUBSTITUTE($P901,"~","~~"),"*","~*"),"?","~?"))/$C901)</f>
        <v>0.0</v>
      </c>
      <c r="E901" s="10">
        <f>IF($C901=0,"",SUMIFS('DEF_SELF_SCOUT_IMPORT'!$K$42:$K$1040,'DEF_SELF_SCOUT_IMPORT'!$L$42:$L$1040,"Y",'DEF_SELF_SCOUT_IMPORT'!$E$42:$E$1040,SUBSTITUTE(SUBSTITUTE(SUBSTITUTE($B901,"~","~~"),"*","~*"),"?","~?"),'DEF_SELF_SCOUT_IMPORT'!$Q$42:$Q$1040,SUBSTITUTE(SUBSTITUTE(SUBSTITUTE($M901,"~","~~"),"*","~*"),"?","~?"),'DEF_SELF_SCOUT_IMPORT'!$D$42:$D$1040,SUBSTITUTE(SUBSTITUTE(SUBSTITUTE($P901,"~","~~"),"*","~*"),"?","~?"))/$C901)</f>
        <v>0.0</v>
      </c>
      <c r="F901" s="11">
        <f>IF($C901=0,"",AVERAGEIFS('DEF_SELF_SCOUT_IMPORT'!$I$42:$I$1040,'DEF_SELF_SCOUT_IMPORT'!$L$42:$L$1040,"Y",'DEF_SELF_SCOUT_IMPORT'!$E$42:$E$1040,SUBSTITUTE(SUBSTITUTE(SUBSTITUTE($B901,"~","~~"),"*","~*"),"?","~?"),'DEF_SELF_SCOUT_IMPORT'!$Q$42:$Q$1040,SUBSTITUTE(SUBSTITUTE(SUBSTITUTE($M901,"~","~~"),"*","~*"),"?","~?"),'DEF_SELF_SCOUT_IMPORT'!$D$42:$D$1040,SUBSTITUTE(SUBSTITUTE(SUBSTITUTE($P901,"~","~~"),"*","~*"),"?","~?")))</f>
        <v>6.0</v>
      </c>
      <c r="G901" s="10">
        <f>IF($C901=0,"",COUNTIFS('DEF_SELF_SCOUT_IMPORT'!$L$42:$L$1040,"Y",'DEF_SELF_SCOUT_IMPORT'!$E$42:$E$1040,SUBSTITUTE(SUBSTITUTE(SUBSTITUTE($B901,"~","~~"),"*","~*"),"?","~?"),'DEF_SELF_SCOUT_IMPORT'!$Q$42:$Q$1040,SUBSTITUTE(SUBSTITUTE(SUBSTITUTE($M901,"~","~~"),"*","~*"),"?","~?"),'DEF_SELF_SCOUT_IMPORT'!$D$42:$D$1040,SUBSTITUTE(SUBSTITUTE(SUBSTITUTE($P901,"~","~~"),"*","~*"),"?","~?"),'DEF_SELF_SCOUT_IMPORT'!$H$42:$H$1040,"RUSH")/$C901)</f>
        <v>1.0</v>
      </c>
      <c r="H901" s="10">
        <f>IF($C901=0,"",COUNTIFS('DEF_SELF_SCOUT_IMPORT'!$L$42:$L$1040,"Y",'DEF_SELF_SCOUT_IMPORT'!$E$42:$E$1040,SUBSTITUTE(SUBSTITUTE(SUBSTITUTE($B901,"~","~~"),"*","~*"),"?","~?"),'DEF_SELF_SCOUT_IMPORT'!$Q$42:$Q$1040,SUBSTITUTE(SUBSTITUTE(SUBSTITUTE($M901,"~","~~"),"*","~*"),"?","~?"),'DEF_SELF_SCOUT_IMPORT'!$D$42:$D$1040,SUBSTITUTE(SUBSTITUTE(SUBSTITUTE($P901,"~","~~"),"*","~*"),"?","~?"),'DEF_SELF_SCOUT_IMPORT'!$H$42:$H$1040,"DROPBACK")/$C901)</f>
        <v>0.0</v>
      </c>
      <c r="I901" s="14" t="str">
        <f>IF(C901=0,"",IF(C901&lt;=2,"TRACK",IF(C901=3,"LOW",IF(C901&lt;=6,"MEDIUM","HIGH"))))</f>
        <v>TRACK</v>
      </c>
      <c r="J901" s="11">
        <f>IF(C901=0,"",ROUND(D901*70+(1-E901)*20+MAX(0,MIN(1,(10-F901)/10))*10,1))</f>
        <v>24.0</v>
      </c>
      <c r="K901" s="14" t="str">
        <f>IF(C901=0,"No Evidence",IF(C901&lt;=2,IF(E901&gt;0,"Explosive Alert","Track Only"),IF(C901=3,"Sample Watch",IF(E901&gt;=START_HERE!$B$31,"Explosive Alert",IF(J901&gt;=80,"Strong Candidate",IF(J901&gt;=65,"Good Candidate",IF(J901&gt;=50,"Mixed / Review","Problem Call")))))))</f>
        <v>Track Only</v>
      </c>
      <c r="L901" s="9" t="str">
        <f>IF(COUNTIFS('DEF_SELF_SCOUT_IMPORT'!$L$42:$L$1040,"Y",'DEF_SELF_SCOUT_IMPORT'!$E$42:$E$1040,SUBSTITUTE(SUBSTITUTE(SUBSTITUTE($B901,"~","~~"),"*","~*"),"?","~?"),'DEF_SELF_SCOUT_IMPORT'!$Q$42:$Q$1040,SUBSTITUTE(SUBSTITUTE(SUBSTITUTE($M901,"~","~~"),"*","~*"),"?","~?"),'DEF_SELF_SCOUT_IMPORT'!$D$42:$D$1040,SUBSTITUTE(SUBSTITUTE(SUBSTITUTE($P901,"~","~~"),"*","~*"),"?","~?"),'DEF_SELF_SCOUT_IMPORT'!$J$42:$J$1040,"")&gt;0,"Unscored clean outcome; review result tags before using score.",IF(C901=0,"No matching defensive reps; film confirmation needed.",IF(K901="Explosive Alert","Explosive risk; review clips before using as answer.",IF(C901&lt;=2,"Track only; not enough sample.",IF(C901=3,IF(E901&gt;0,"Sample watch with explosive exposure; review clips and build the sample.",IF(J901&gt;=65,"Good signal, but sample is limited.","Sample watch; review clips and build the sample.")),IF(K901="Problem Call","Problem area; practice or call-sheet review.",IF(K901="Strong Candidate","Strong call-fit candidate; confirm on film.",IF(K901="Good Candidate","Good call-fit signal; confirm on film.","Mixed signal; review fit and execution on film."))))))))</f>
        <v>Track only; not enough sample.</v>
      </c>
      <c r="M901" s="8" t="s">
        <v>76</v>
      </c>
      <c r="N901" s="8"/>
      <c r="O901" s="8"/>
      <c r="P901" s="8" t="s">
        <v>432</v>
      </c>
      <c r="Q901" s="8"/>
      <c r="R901" s="8" t="s">
        <v>429</v>
      </c>
      <c r="S901" s="2" t="s">
        <v>505</v>
      </c>
      <c r="T901" s="2">
        <f>IF(C901=0,0,IF(C901&gt;=CALL_LOOKUP_BOARD!$B$7,IF(OR(K901="Problem Call",K901="Explosive Alert"),10000000,20000000),0)+IF(C901&gt;=CALL_LOOKUP_BOARD!$B$7,J901*1000+MIN(C901,999),C901*1000+J901)+0.00990900)</f>
        <v>1024.009909</v>
      </c>
      <c r="U901" s="2" t="str">
        <f>IF(C901=0,"",IF(COUNTIFS($S$811:$S$1055,SUBSTITUTE(SUBSTITUTE(SUBSTITUTE(S901,"~","~~"),"*","~*"),"?","~?"),$T$811:$T$1055,"&gt;"&amp;T901)=0,S901,""))</f>
        <v>6:2D 11+|7:COUNTER|</v>
      </c>
    </row>
    <row r="902" spans="1:21" ht="38" customHeight="1">
      <c r="A902" s="8" t="s">
        <v>506</v>
      </c>
      <c r="B902" s="8" t="s">
        <v>61</v>
      </c>
      <c r="C902" s="12">
        <f>COUNTIFS('DEF_SELF_SCOUT_IMPORT'!$L$42:$L$1040,"Y",'DEF_SELF_SCOUT_IMPORT'!$E$42:$E$1040,SUBSTITUTE(SUBSTITUTE(SUBSTITUTE($B902,"~","~~"),"*","~*"),"?","~?"),'DEF_SELF_SCOUT_IMPORT'!$Q$42:$Q$1040,SUBSTITUTE(SUBSTITUTE(SUBSTITUTE($M902,"~","~~"),"*","~*"),"?","~?"),'DEF_SELF_SCOUT_IMPORT'!$D$42:$D$1040,SUBSTITUTE(SUBSTITUTE(SUBSTITUTE($P902,"~","~~"),"*","~*"),"?","~?"))</f>
        <v>2</v>
      </c>
      <c r="D902" s="10">
        <f>IF($C902=0,"",SUMIFS('DEF_SELF_SCOUT_IMPORT'!$J$42:$J$1040,'DEF_SELF_SCOUT_IMPORT'!$L$42:$L$1040,"Y",'DEF_SELF_SCOUT_IMPORT'!$E$42:$E$1040,SUBSTITUTE(SUBSTITUTE(SUBSTITUTE($B902,"~","~~"),"*","~*"),"?","~?"),'DEF_SELF_SCOUT_IMPORT'!$Q$42:$Q$1040,SUBSTITUTE(SUBSTITUTE(SUBSTITUTE($M902,"~","~~"),"*","~*"),"?","~?"),'DEF_SELF_SCOUT_IMPORT'!$D$42:$D$1040,SUBSTITUTE(SUBSTITUTE(SUBSTITUTE($P902,"~","~~"),"*","~*"),"?","~?"))/$C902)</f>
        <v>0.0</v>
      </c>
      <c r="E902" s="10">
        <f>IF($C902=0,"",SUMIFS('DEF_SELF_SCOUT_IMPORT'!$K$42:$K$1040,'DEF_SELF_SCOUT_IMPORT'!$L$42:$L$1040,"Y",'DEF_SELF_SCOUT_IMPORT'!$E$42:$E$1040,SUBSTITUTE(SUBSTITUTE(SUBSTITUTE($B902,"~","~~"),"*","~*"),"?","~?"),'DEF_SELF_SCOUT_IMPORT'!$Q$42:$Q$1040,SUBSTITUTE(SUBSTITUTE(SUBSTITUTE($M902,"~","~~"),"*","~*"),"?","~?"),'DEF_SELF_SCOUT_IMPORT'!$D$42:$D$1040,SUBSTITUTE(SUBSTITUTE(SUBSTITUTE($P902,"~","~~"),"*","~*"),"?","~?"))/$C902)</f>
        <v>0.0</v>
      </c>
      <c r="F902" s="11">
        <f>IF($C902=0,"",AVERAGEIFS('DEF_SELF_SCOUT_IMPORT'!$I$42:$I$1040,'DEF_SELF_SCOUT_IMPORT'!$L$42:$L$1040,"Y",'DEF_SELF_SCOUT_IMPORT'!$E$42:$E$1040,SUBSTITUTE(SUBSTITUTE(SUBSTITUTE($B902,"~","~~"),"*","~*"),"?","~?"),'DEF_SELF_SCOUT_IMPORT'!$Q$42:$Q$1040,SUBSTITUTE(SUBSTITUTE(SUBSTITUTE($M902,"~","~~"),"*","~*"),"?","~?"),'DEF_SELF_SCOUT_IMPORT'!$D$42:$D$1040,SUBSTITUTE(SUBSTITUTE(SUBSTITUTE($P902,"~","~~"),"*","~*"),"?","~?")))</f>
        <v>6.5</v>
      </c>
      <c r="G902" s="10">
        <f>IF($C902=0,"",COUNTIFS('DEF_SELF_SCOUT_IMPORT'!$L$42:$L$1040,"Y",'DEF_SELF_SCOUT_IMPORT'!$E$42:$E$1040,SUBSTITUTE(SUBSTITUTE(SUBSTITUTE($B902,"~","~~"),"*","~*"),"?","~?"),'DEF_SELF_SCOUT_IMPORT'!$Q$42:$Q$1040,SUBSTITUTE(SUBSTITUTE(SUBSTITUTE($M902,"~","~~"),"*","~*"),"?","~?"),'DEF_SELF_SCOUT_IMPORT'!$D$42:$D$1040,SUBSTITUTE(SUBSTITUTE(SUBSTITUTE($P902,"~","~~"),"*","~*"),"?","~?"),'DEF_SELF_SCOUT_IMPORT'!$H$42:$H$1040,"RUSH")/$C902)</f>
        <v>1.0</v>
      </c>
      <c r="H902" s="10">
        <f>IF($C902=0,"",COUNTIFS('DEF_SELF_SCOUT_IMPORT'!$L$42:$L$1040,"Y",'DEF_SELF_SCOUT_IMPORT'!$E$42:$E$1040,SUBSTITUTE(SUBSTITUTE(SUBSTITUTE($B902,"~","~~"),"*","~*"),"?","~?"),'DEF_SELF_SCOUT_IMPORT'!$Q$42:$Q$1040,SUBSTITUTE(SUBSTITUTE(SUBSTITUTE($M902,"~","~~"),"*","~*"),"?","~?"),'DEF_SELF_SCOUT_IMPORT'!$D$42:$D$1040,SUBSTITUTE(SUBSTITUTE(SUBSTITUTE($P902,"~","~~"),"*","~*"),"?","~?"),'DEF_SELF_SCOUT_IMPORT'!$H$42:$H$1040,"DROPBACK")/$C902)</f>
        <v>0.0</v>
      </c>
      <c r="I902" s="14" t="str">
        <f>IF(C902=0,"",IF(C902&lt;=2,"TRACK",IF(C902=3,"LOW",IF(C902&lt;=6,"MEDIUM","HIGH"))))</f>
        <v>TRACK</v>
      </c>
      <c r="J902" s="11">
        <f>IF(C902=0,"",ROUND(D902*70+(1-E902)*20+MAX(0,MIN(1,(10-F902)/10))*10,1))</f>
        <v>23.5</v>
      </c>
      <c r="K902" s="14" t="str">
        <f>IF(C902=0,"No Evidence",IF(C902&lt;=2,IF(E902&gt;0,"Explosive Alert","Track Only"),IF(C902=3,"Sample Watch",IF(E902&gt;=START_HERE!$B$31,"Explosive Alert",IF(J902&gt;=80,"Strong Candidate",IF(J902&gt;=65,"Good Candidate",IF(J902&gt;=50,"Mixed / Review","Problem Call")))))))</f>
        <v>Track Only</v>
      </c>
      <c r="L902" s="9" t="str">
        <f>IF(COUNTIFS('DEF_SELF_SCOUT_IMPORT'!$L$42:$L$1040,"Y",'DEF_SELF_SCOUT_IMPORT'!$E$42:$E$1040,SUBSTITUTE(SUBSTITUTE(SUBSTITUTE($B902,"~","~~"),"*","~*"),"?","~?"),'DEF_SELF_SCOUT_IMPORT'!$Q$42:$Q$1040,SUBSTITUTE(SUBSTITUTE(SUBSTITUTE($M902,"~","~~"),"*","~*"),"?","~?"),'DEF_SELF_SCOUT_IMPORT'!$D$42:$D$1040,SUBSTITUTE(SUBSTITUTE(SUBSTITUTE($P902,"~","~~"),"*","~*"),"?","~?"),'DEF_SELF_SCOUT_IMPORT'!$J$42:$J$1040,"")&gt;0,"Unscored clean outcome; review result tags before using score.",IF(C902=0,"No matching defensive reps; film confirmation needed.",IF(K902="Explosive Alert","Explosive risk; review clips before using as answer.",IF(C902&lt;=2,"Track only; not enough sample.",IF(C902=3,IF(E902&gt;0,"Sample watch with explosive exposure; review clips and build the sample.",IF(J902&gt;=65,"Good signal, but sample is limited.","Sample watch; review clips and build the sample.")),IF(K902="Problem Call","Problem area; practice or call-sheet review.",IF(K902="Strong Candidate","Strong call-fit candidate; confirm on film.",IF(K902="Good Candidate","Good call-fit signal; confirm on film.","Mixed signal; review fit and execution on film."))))))))</f>
        <v>Track only; not enough sample.</v>
      </c>
      <c r="M902" s="8" t="s">
        <v>76</v>
      </c>
      <c r="N902" s="8"/>
      <c r="O902" s="8"/>
      <c r="P902" s="8" t="s">
        <v>428</v>
      </c>
      <c r="Q902" s="8"/>
      <c r="R902" s="8" t="s">
        <v>429</v>
      </c>
      <c r="S902" s="2" t="s">
        <v>507</v>
      </c>
      <c r="T902" s="2">
        <f>IF(C902=0,0,IF(C902&gt;=CALL_LOOKUP_BOARD!$B$7,IF(OR(K902="Problem Call",K902="Explosive Alert"),10000000,20000000),0)+IF(C902&gt;=CALL_LOOKUP_BOARD!$B$7,J902*1000+MIN(C902,999),C902*1000+J902)+0.00990800)</f>
        <v>2023.509908</v>
      </c>
      <c r="U902" s="2" t="str">
        <f>IF(C902=0,"",IF(COUNTIFS($S$811:$S$1055,SUBSTITUTE(SUBSTITUTE(SUBSTITUTE(S902,"~","~~"),"*","~*"),"?","~?"),$T$811:$T$1055,"&gt;"&amp;T902)=0,S902,""))</f>
        <v>6:2D 11+|11:INSIDE ZONE|</v>
      </c>
    </row>
    <row r="903" spans="1:21" ht="38" customHeight="1">
      <c r="A903" s="8" t="s">
        <v>508</v>
      </c>
      <c r="B903" s="8" t="s">
        <v>55</v>
      </c>
      <c r="C903" s="12">
        <f>COUNTIFS('DEF_SELF_SCOUT_IMPORT'!$L$42:$L$1040,"Y",'DEF_SELF_SCOUT_IMPORT'!$E$42:$E$1040,SUBSTITUTE(SUBSTITUTE(SUBSTITUTE($B903,"~","~~"),"*","~*"),"?","~?"),'DEF_SELF_SCOUT_IMPORT'!$Q$42:$Q$1040,SUBSTITUTE(SUBSTITUTE(SUBSTITUTE($M903,"~","~~"),"*","~*"),"?","~?"),'DEF_SELF_SCOUT_IMPORT'!$D$42:$D$1040,SUBSTITUTE(SUBSTITUTE(SUBSTITUTE($P903,"~","~~"),"*","~*"),"?","~?"))</f>
        <v>1</v>
      </c>
      <c r="D903" s="10">
        <f>IF($C903=0,"",SUMIFS('DEF_SELF_SCOUT_IMPORT'!$J$42:$J$1040,'DEF_SELF_SCOUT_IMPORT'!$L$42:$L$1040,"Y",'DEF_SELF_SCOUT_IMPORT'!$E$42:$E$1040,SUBSTITUTE(SUBSTITUTE(SUBSTITUTE($B903,"~","~~"),"*","~*"),"?","~?"),'DEF_SELF_SCOUT_IMPORT'!$Q$42:$Q$1040,SUBSTITUTE(SUBSTITUTE(SUBSTITUTE($M903,"~","~~"),"*","~*"),"?","~?"),'DEF_SELF_SCOUT_IMPORT'!$D$42:$D$1040,SUBSTITUTE(SUBSTITUTE(SUBSTITUTE($P903,"~","~~"),"*","~*"),"?","~?"))/$C903)</f>
        <v>1.0</v>
      </c>
      <c r="E903" s="10">
        <f>IF($C903=0,"",SUMIFS('DEF_SELF_SCOUT_IMPORT'!$K$42:$K$1040,'DEF_SELF_SCOUT_IMPORT'!$L$42:$L$1040,"Y",'DEF_SELF_SCOUT_IMPORT'!$E$42:$E$1040,SUBSTITUTE(SUBSTITUTE(SUBSTITUTE($B903,"~","~~"),"*","~*"),"?","~?"),'DEF_SELF_SCOUT_IMPORT'!$Q$42:$Q$1040,SUBSTITUTE(SUBSTITUTE(SUBSTITUTE($M903,"~","~~"),"*","~*"),"?","~?"),'DEF_SELF_SCOUT_IMPORT'!$D$42:$D$1040,SUBSTITUTE(SUBSTITUTE(SUBSTITUTE($P903,"~","~~"),"*","~*"),"?","~?"))/$C903)</f>
        <v>0.0</v>
      </c>
      <c r="F903" s="11">
        <f>IF($C903=0,"",AVERAGEIFS('DEF_SELF_SCOUT_IMPORT'!$I$42:$I$1040,'DEF_SELF_SCOUT_IMPORT'!$L$42:$L$1040,"Y",'DEF_SELF_SCOUT_IMPORT'!$E$42:$E$1040,SUBSTITUTE(SUBSTITUTE(SUBSTITUTE($B903,"~","~~"),"*","~*"),"?","~?"),'DEF_SELF_SCOUT_IMPORT'!$Q$42:$Q$1040,SUBSTITUTE(SUBSTITUTE(SUBSTITUTE($M903,"~","~~"),"*","~*"),"?","~?"),'DEF_SELF_SCOUT_IMPORT'!$D$42:$D$1040,SUBSTITUTE(SUBSTITUTE(SUBSTITUTE($P903,"~","~~"),"*","~*"),"?","~?")))</f>
        <v>3.0</v>
      </c>
      <c r="G903" s="10">
        <f>IF($C903=0,"",COUNTIFS('DEF_SELF_SCOUT_IMPORT'!$L$42:$L$1040,"Y",'DEF_SELF_SCOUT_IMPORT'!$E$42:$E$1040,SUBSTITUTE(SUBSTITUTE(SUBSTITUTE($B903,"~","~~"),"*","~*"),"?","~?"),'DEF_SELF_SCOUT_IMPORT'!$Q$42:$Q$1040,SUBSTITUTE(SUBSTITUTE(SUBSTITUTE($M903,"~","~~"),"*","~*"),"?","~?"),'DEF_SELF_SCOUT_IMPORT'!$D$42:$D$1040,SUBSTITUTE(SUBSTITUTE(SUBSTITUTE($P903,"~","~~"),"*","~*"),"?","~?"),'DEF_SELF_SCOUT_IMPORT'!$H$42:$H$1040,"RUSH")/$C903)</f>
        <v>1.0</v>
      </c>
      <c r="H903" s="10">
        <f>IF($C903=0,"",COUNTIFS('DEF_SELF_SCOUT_IMPORT'!$L$42:$L$1040,"Y",'DEF_SELF_SCOUT_IMPORT'!$E$42:$E$1040,SUBSTITUTE(SUBSTITUTE(SUBSTITUTE($B903,"~","~~"),"*","~*"),"?","~?"),'DEF_SELF_SCOUT_IMPORT'!$Q$42:$Q$1040,SUBSTITUTE(SUBSTITUTE(SUBSTITUTE($M903,"~","~~"),"*","~*"),"?","~?"),'DEF_SELF_SCOUT_IMPORT'!$D$42:$D$1040,SUBSTITUTE(SUBSTITUTE(SUBSTITUTE($P903,"~","~~"),"*","~*"),"?","~?"),'DEF_SELF_SCOUT_IMPORT'!$H$42:$H$1040,"DROPBACK")/$C903)</f>
        <v>0.0</v>
      </c>
      <c r="I903" s="14" t="str">
        <f>IF(C903=0,"",IF(C903&lt;=2,"TRACK",IF(C903=3,"LOW",IF(C903&lt;=6,"MEDIUM","HIGH"))))</f>
        <v>TRACK</v>
      </c>
      <c r="J903" s="11">
        <f>IF(C903=0,"",ROUND(D903*70+(1-E903)*20+MAX(0,MIN(1,(10-F903)/10))*10,1))</f>
        <v>97.0</v>
      </c>
      <c r="K903" s="14" t="str">
        <f>IF(C903=0,"No Evidence",IF(C903&lt;=2,IF(E903&gt;0,"Explosive Alert","Track Only"),IF(C903=3,"Sample Watch",IF(E903&gt;=START_HERE!$B$31,"Explosive Alert",IF(J903&gt;=80,"Strong Candidate",IF(J903&gt;=65,"Good Candidate",IF(J903&gt;=50,"Mixed / Review","Problem Call")))))))</f>
        <v>Track Only</v>
      </c>
      <c r="L903" s="9" t="str">
        <f>IF(COUNTIFS('DEF_SELF_SCOUT_IMPORT'!$L$42:$L$1040,"Y",'DEF_SELF_SCOUT_IMPORT'!$E$42:$E$1040,SUBSTITUTE(SUBSTITUTE(SUBSTITUTE($B903,"~","~~"),"*","~*"),"?","~?"),'DEF_SELF_SCOUT_IMPORT'!$Q$42:$Q$1040,SUBSTITUTE(SUBSTITUTE(SUBSTITUTE($M903,"~","~~"),"*","~*"),"?","~?"),'DEF_SELF_SCOUT_IMPORT'!$D$42:$D$1040,SUBSTITUTE(SUBSTITUTE(SUBSTITUTE($P903,"~","~~"),"*","~*"),"?","~?"),'DEF_SELF_SCOUT_IMPORT'!$J$42:$J$1040,"")&gt;0,"Unscored clean outcome; review result tags before using score.",IF(C903=0,"No matching defensive reps; film confirmation needed.",IF(K903="Explosive Alert","Explosive risk; review clips before using as answer.",IF(C903&lt;=2,"Track only; not enough sample.",IF(C903=3,IF(E903&gt;0,"Sample watch with explosive exposure; review clips and build the sample.",IF(J903&gt;=65,"Good signal, but sample is limited.","Sample watch; review clips and build the sample.")),IF(K903="Problem Call","Problem area; practice or call-sheet review.",IF(K903="Strong Candidate","Strong call-fit candidate; confirm on film.",IF(K903="Good Candidate","Good call-fit signal; confirm on film.","Mixed signal; review fit and execution on film."))))))))</f>
        <v>Track only; not enough sample.</v>
      </c>
      <c r="M903" s="8" t="s">
        <v>76</v>
      </c>
      <c r="N903" s="8"/>
      <c r="O903" s="8"/>
      <c r="P903" s="8" t="s">
        <v>465</v>
      </c>
      <c r="Q903" s="8"/>
      <c r="R903" s="8" t="s">
        <v>429</v>
      </c>
      <c r="S903" s="2" t="s">
        <v>509</v>
      </c>
      <c r="T903" s="2">
        <f>IF(C903=0,0,IF(C903&gt;=CALL_LOOKUP_BOARD!$B$7,IF(OR(K903="Problem Call",K903="Explosive Alert"),10000000,20000000),0)+IF(C903&gt;=CALL_LOOKUP_BOARD!$B$7,J903*1000+MIN(C903,999),C903*1000+J903)+0.00990700)</f>
        <v>1097.009907</v>
      </c>
      <c r="U903" s="2" t="str">
        <f>IF(C903=0,"",IF(COUNTIFS($S$811:$S$1055,SUBSTITUTE(SUBSTITUTE(SUBSTITUTE(S903,"~","~~"),"*","~*"),"?","~?"),$T$811:$T$1055,"&gt;"&amp;T903)=0,S903,""))</f>
        <v>6:2D 11+|12:OUTSIDE ZONE|</v>
      </c>
    </row>
    <row r="904" spans="1:21" ht="38" customHeight="1">
      <c r="A904" s="8" t="s">
        <v>510</v>
      </c>
      <c r="B904" s="8" t="s">
        <v>77</v>
      </c>
      <c r="C904" s="12">
        <f>COUNTIFS('DEF_SELF_SCOUT_IMPORT'!$L$42:$L$1040,"Y",'DEF_SELF_SCOUT_IMPORT'!$E$42:$E$1040,SUBSTITUTE(SUBSTITUTE(SUBSTITUTE($B904,"~","~~"),"*","~*"),"?","~?"),'DEF_SELF_SCOUT_IMPORT'!$Q$42:$Q$1040,SUBSTITUTE(SUBSTITUTE(SUBSTITUTE($M904,"~","~~"),"*","~*"),"?","~?"),'DEF_SELF_SCOUT_IMPORT'!$D$42:$D$1040,SUBSTITUTE(SUBSTITUTE(SUBSTITUTE($P904,"~","~~"),"*","~*"),"?","~?"))</f>
        <v>1</v>
      </c>
      <c r="D904" s="10">
        <f>IF($C904=0,"",SUMIFS('DEF_SELF_SCOUT_IMPORT'!$J$42:$J$1040,'DEF_SELF_SCOUT_IMPORT'!$L$42:$L$1040,"Y",'DEF_SELF_SCOUT_IMPORT'!$E$42:$E$1040,SUBSTITUTE(SUBSTITUTE(SUBSTITUTE($B904,"~","~~"),"*","~*"),"?","~?"),'DEF_SELF_SCOUT_IMPORT'!$Q$42:$Q$1040,SUBSTITUTE(SUBSTITUTE(SUBSTITUTE($M904,"~","~~"),"*","~*"),"?","~?"),'DEF_SELF_SCOUT_IMPORT'!$D$42:$D$1040,SUBSTITUTE(SUBSTITUTE(SUBSTITUTE($P904,"~","~~"),"*","~*"),"?","~?"))/$C904)</f>
        <v>1.0</v>
      </c>
      <c r="E904" s="10">
        <f>IF($C904=0,"",SUMIFS('DEF_SELF_SCOUT_IMPORT'!$K$42:$K$1040,'DEF_SELF_SCOUT_IMPORT'!$L$42:$L$1040,"Y",'DEF_SELF_SCOUT_IMPORT'!$E$42:$E$1040,SUBSTITUTE(SUBSTITUTE(SUBSTITUTE($B904,"~","~~"),"*","~*"),"?","~?"),'DEF_SELF_SCOUT_IMPORT'!$Q$42:$Q$1040,SUBSTITUTE(SUBSTITUTE(SUBSTITUTE($M904,"~","~~"),"*","~*"),"?","~?"),'DEF_SELF_SCOUT_IMPORT'!$D$42:$D$1040,SUBSTITUTE(SUBSTITUTE(SUBSTITUTE($P904,"~","~~"),"*","~*"),"?","~?"))/$C904)</f>
        <v>0.0</v>
      </c>
      <c r="F904" s="11">
        <f>IF($C904=0,"",AVERAGEIFS('DEF_SELF_SCOUT_IMPORT'!$I$42:$I$1040,'DEF_SELF_SCOUT_IMPORT'!$L$42:$L$1040,"Y",'DEF_SELF_SCOUT_IMPORT'!$E$42:$E$1040,SUBSTITUTE(SUBSTITUTE(SUBSTITUTE($B904,"~","~~"),"*","~*"),"?","~?"),'DEF_SELF_SCOUT_IMPORT'!$Q$42:$Q$1040,SUBSTITUTE(SUBSTITUTE(SUBSTITUTE($M904,"~","~~"),"*","~*"),"?","~?"),'DEF_SELF_SCOUT_IMPORT'!$D$42:$D$1040,SUBSTITUTE(SUBSTITUTE(SUBSTITUTE($P904,"~","~~"),"*","~*"),"?","~?")))</f>
        <v>5.0</v>
      </c>
      <c r="G904" s="10">
        <f>IF($C904=0,"",COUNTIFS('DEF_SELF_SCOUT_IMPORT'!$L$42:$L$1040,"Y",'DEF_SELF_SCOUT_IMPORT'!$E$42:$E$1040,SUBSTITUTE(SUBSTITUTE(SUBSTITUTE($B904,"~","~~"),"*","~*"),"?","~?"),'DEF_SELF_SCOUT_IMPORT'!$Q$42:$Q$1040,SUBSTITUTE(SUBSTITUTE(SUBSTITUTE($M904,"~","~~"),"*","~*"),"?","~?"),'DEF_SELF_SCOUT_IMPORT'!$D$42:$D$1040,SUBSTITUTE(SUBSTITUTE(SUBSTITUTE($P904,"~","~~"),"*","~*"),"?","~?"),'DEF_SELF_SCOUT_IMPORT'!$H$42:$H$1040,"RUSH")/$C904)</f>
        <v>0.0</v>
      </c>
      <c r="H904" s="10">
        <f>IF($C904=0,"",COUNTIFS('DEF_SELF_SCOUT_IMPORT'!$L$42:$L$1040,"Y",'DEF_SELF_SCOUT_IMPORT'!$E$42:$E$1040,SUBSTITUTE(SUBSTITUTE(SUBSTITUTE($B904,"~","~~"),"*","~*"),"?","~?"),'DEF_SELF_SCOUT_IMPORT'!$Q$42:$Q$1040,SUBSTITUTE(SUBSTITUTE(SUBSTITUTE($M904,"~","~~"),"*","~*"),"?","~?"),'DEF_SELF_SCOUT_IMPORT'!$D$42:$D$1040,SUBSTITUTE(SUBSTITUTE(SUBSTITUTE($P904,"~","~~"),"*","~*"),"?","~?"),'DEF_SELF_SCOUT_IMPORT'!$H$42:$H$1040,"DROPBACK")/$C904)</f>
        <v>1.0</v>
      </c>
      <c r="I904" s="14" t="str">
        <f>IF(C904=0,"",IF(C904&lt;=2,"TRACK",IF(C904=3,"LOW",IF(C904&lt;=6,"MEDIUM","HIGH"))))</f>
        <v>TRACK</v>
      </c>
      <c r="J904" s="11">
        <f>IF(C904=0,"",ROUND(D904*70+(1-E904)*20+MAX(0,MIN(1,(10-F904)/10))*10,1))</f>
        <v>95.0</v>
      </c>
      <c r="K904" s="14" t="str">
        <f>IF(C904=0,"No Evidence",IF(C904&lt;=2,IF(E904&gt;0,"Explosive Alert","Track Only"),IF(C904=3,"Sample Watch",IF(E904&gt;=START_HERE!$B$31,"Explosive Alert",IF(J904&gt;=80,"Strong Candidate",IF(J904&gt;=65,"Good Candidate",IF(J904&gt;=50,"Mixed / Review","Problem Call")))))))</f>
        <v>Track Only</v>
      </c>
      <c r="L904" s="9" t="str">
        <f>IF(COUNTIFS('DEF_SELF_SCOUT_IMPORT'!$L$42:$L$1040,"Y",'DEF_SELF_SCOUT_IMPORT'!$E$42:$E$1040,SUBSTITUTE(SUBSTITUTE(SUBSTITUTE($B904,"~","~~"),"*","~*"),"?","~?"),'DEF_SELF_SCOUT_IMPORT'!$Q$42:$Q$1040,SUBSTITUTE(SUBSTITUTE(SUBSTITUTE($M904,"~","~~"),"*","~*"),"?","~?"),'DEF_SELF_SCOUT_IMPORT'!$D$42:$D$1040,SUBSTITUTE(SUBSTITUTE(SUBSTITUTE($P904,"~","~~"),"*","~*"),"?","~?"),'DEF_SELF_SCOUT_IMPORT'!$J$42:$J$1040,"")&gt;0,"Unscored clean outcome; review result tags before using score.",IF(C904=0,"No matching defensive reps; film confirmation needed.",IF(K904="Explosive Alert","Explosive risk; review clips before using as answer.",IF(C904&lt;=2,"Track only; not enough sample.",IF(C904=3,IF(E904&gt;0,"Sample watch with explosive exposure; review clips and build the sample.",IF(J904&gt;=65,"Good signal, but sample is limited.","Sample watch; review clips and build the sample.")),IF(K904="Problem Call","Problem area; practice or call-sheet review.",IF(K904="Strong Candidate","Strong call-fit candidate; confirm on film.",IF(K904="Good Candidate","Good call-fit signal; confirm on film.","Mixed signal; review fit and execution on film."))))))))</f>
        <v>Track only; not enough sample.</v>
      </c>
      <c r="M904" s="8" t="s">
        <v>76</v>
      </c>
      <c r="N904" s="8"/>
      <c r="O904" s="8"/>
      <c r="P904" s="8" t="s">
        <v>471</v>
      </c>
      <c r="Q904" s="8"/>
      <c r="R904" s="8" t="s">
        <v>429</v>
      </c>
      <c r="S904" s="2" t="s">
        <v>511</v>
      </c>
      <c r="T904" s="2">
        <f>IF(C904=0,0,IF(C904&gt;=CALL_LOOKUP_BOARD!$B$7,IF(OR(K904="Problem Call",K904="Explosive Alert"),10000000,20000000),0)+IF(C904&gt;=CALL_LOOKUP_BOARD!$B$7,J904*1000+MIN(C904,999),C904*1000+J904)+0.00990600)</f>
        <v>1095.009906</v>
      </c>
      <c r="U904" s="2" t="str">
        <f>IF(C904=0,"",IF(COUNTIFS($S$811:$S$1055,SUBSTITUTE(SUBSTITUTE(SUBSTITUTE(S904,"~","~~"),"*","~*"),"?","~?"),$T$811:$T$1055,"&gt;"&amp;T904)=0,S904,""))</f>
        <v>6:2D 11+|3:RPO|</v>
      </c>
    </row>
    <row r="905" spans="1:21" ht="38" customHeight="1">
      <c r="A905" s="8" t="s">
        <v>510</v>
      </c>
      <c r="B905" s="8" t="s">
        <v>64</v>
      </c>
      <c r="C905" s="12">
        <f>COUNTIFS('DEF_SELF_SCOUT_IMPORT'!$L$42:$L$1040,"Y",'DEF_SELF_SCOUT_IMPORT'!$E$42:$E$1040,SUBSTITUTE(SUBSTITUTE(SUBSTITUTE($B905,"~","~~"),"*","~*"),"?","~?"),'DEF_SELF_SCOUT_IMPORT'!$Q$42:$Q$1040,SUBSTITUTE(SUBSTITUTE(SUBSTITUTE($M905,"~","~~"),"*","~*"),"?","~?"),'DEF_SELF_SCOUT_IMPORT'!$D$42:$D$1040,SUBSTITUTE(SUBSTITUTE(SUBSTITUTE($P905,"~","~~"),"*","~*"),"?","~?"))</f>
        <v>1</v>
      </c>
      <c r="D905" s="10">
        <f>IF($C905=0,"",SUMIFS('DEF_SELF_SCOUT_IMPORT'!$J$42:$J$1040,'DEF_SELF_SCOUT_IMPORT'!$L$42:$L$1040,"Y",'DEF_SELF_SCOUT_IMPORT'!$E$42:$E$1040,SUBSTITUTE(SUBSTITUTE(SUBSTITUTE($B905,"~","~~"),"*","~*"),"?","~?"),'DEF_SELF_SCOUT_IMPORT'!$Q$42:$Q$1040,SUBSTITUTE(SUBSTITUTE(SUBSTITUTE($M905,"~","~~"),"*","~*"),"?","~?"),'DEF_SELF_SCOUT_IMPORT'!$D$42:$D$1040,SUBSTITUTE(SUBSTITUTE(SUBSTITUTE($P905,"~","~~"),"*","~*"),"?","~?"))/$C905)</f>
        <v>1.0</v>
      </c>
      <c r="E905" s="10">
        <f>IF($C905=0,"",SUMIFS('DEF_SELF_SCOUT_IMPORT'!$K$42:$K$1040,'DEF_SELF_SCOUT_IMPORT'!$L$42:$L$1040,"Y",'DEF_SELF_SCOUT_IMPORT'!$E$42:$E$1040,SUBSTITUTE(SUBSTITUTE(SUBSTITUTE($B905,"~","~~"),"*","~*"),"?","~?"),'DEF_SELF_SCOUT_IMPORT'!$Q$42:$Q$1040,SUBSTITUTE(SUBSTITUTE(SUBSTITUTE($M905,"~","~~"),"*","~*"),"?","~?"),'DEF_SELF_SCOUT_IMPORT'!$D$42:$D$1040,SUBSTITUTE(SUBSTITUTE(SUBSTITUTE($P905,"~","~~"),"*","~*"),"?","~?"))/$C905)</f>
        <v>0.0</v>
      </c>
      <c r="F905" s="11">
        <f>IF($C905=0,"",AVERAGEIFS('DEF_SELF_SCOUT_IMPORT'!$I$42:$I$1040,'DEF_SELF_SCOUT_IMPORT'!$L$42:$L$1040,"Y",'DEF_SELF_SCOUT_IMPORT'!$E$42:$E$1040,SUBSTITUTE(SUBSTITUTE(SUBSTITUTE($B905,"~","~~"),"*","~*"),"?","~?"),'DEF_SELF_SCOUT_IMPORT'!$Q$42:$Q$1040,SUBSTITUTE(SUBSTITUTE(SUBSTITUTE($M905,"~","~~"),"*","~*"),"?","~?"),'DEF_SELF_SCOUT_IMPORT'!$D$42:$D$1040,SUBSTITUTE(SUBSTITUTE(SUBSTITUTE($P905,"~","~~"),"*","~*"),"?","~?")))</f>
        <v>5.0</v>
      </c>
      <c r="G905" s="10">
        <f>IF($C905=0,"",COUNTIFS('DEF_SELF_SCOUT_IMPORT'!$L$42:$L$1040,"Y",'DEF_SELF_SCOUT_IMPORT'!$E$42:$E$1040,SUBSTITUTE(SUBSTITUTE(SUBSTITUTE($B905,"~","~~"),"*","~*"),"?","~?"),'DEF_SELF_SCOUT_IMPORT'!$Q$42:$Q$1040,SUBSTITUTE(SUBSTITUTE(SUBSTITUTE($M905,"~","~~"),"*","~*"),"?","~?"),'DEF_SELF_SCOUT_IMPORT'!$D$42:$D$1040,SUBSTITUTE(SUBSTITUTE(SUBSTITUTE($P905,"~","~~"),"*","~*"),"?","~?"),'DEF_SELF_SCOUT_IMPORT'!$H$42:$H$1040,"RUSH")/$C905)</f>
        <v>0.0</v>
      </c>
      <c r="H905" s="10">
        <f>IF($C905=0,"",COUNTIFS('DEF_SELF_SCOUT_IMPORT'!$L$42:$L$1040,"Y",'DEF_SELF_SCOUT_IMPORT'!$E$42:$E$1040,SUBSTITUTE(SUBSTITUTE(SUBSTITUTE($B905,"~","~~"),"*","~*"),"?","~?"),'DEF_SELF_SCOUT_IMPORT'!$Q$42:$Q$1040,SUBSTITUTE(SUBSTITUTE(SUBSTITUTE($M905,"~","~~"),"*","~*"),"?","~?"),'DEF_SELF_SCOUT_IMPORT'!$D$42:$D$1040,SUBSTITUTE(SUBSTITUTE(SUBSTITUTE($P905,"~","~~"),"*","~*"),"?","~?"),'DEF_SELF_SCOUT_IMPORT'!$H$42:$H$1040,"DROPBACK")/$C905)</f>
        <v>1.0</v>
      </c>
      <c r="I905" s="14" t="str">
        <f>IF(C905=0,"",IF(C905&lt;=2,"TRACK",IF(C905=3,"LOW",IF(C905&lt;=6,"MEDIUM","HIGH"))))</f>
        <v>TRACK</v>
      </c>
      <c r="J905" s="11">
        <f>IF(C905=0,"",ROUND(D905*70+(1-E905)*20+MAX(0,MIN(1,(10-F905)/10))*10,1))</f>
        <v>95.0</v>
      </c>
      <c r="K905" s="14" t="str">
        <f>IF(C905=0,"No Evidence",IF(C905&lt;=2,IF(E905&gt;0,"Explosive Alert","Track Only"),IF(C905=3,"Sample Watch",IF(E905&gt;=START_HERE!$B$31,"Explosive Alert",IF(J905&gt;=80,"Strong Candidate",IF(J905&gt;=65,"Good Candidate",IF(J905&gt;=50,"Mixed / Review","Problem Call")))))))</f>
        <v>Track Only</v>
      </c>
      <c r="L905" s="9" t="str">
        <f>IF(COUNTIFS('DEF_SELF_SCOUT_IMPORT'!$L$42:$L$1040,"Y",'DEF_SELF_SCOUT_IMPORT'!$E$42:$E$1040,SUBSTITUTE(SUBSTITUTE(SUBSTITUTE($B905,"~","~~"),"*","~*"),"?","~?"),'DEF_SELF_SCOUT_IMPORT'!$Q$42:$Q$1040,SUBSTITUTE(SUBSTITUTE(SUBSTITUTE($M905,"~","~~"),"*","~*"),"?","~?"),'DEF_SELF_SCOUT_IMPORT'!$D$42:$D$1040,SUBSTITUTE(SUBSTITUTE(SUBSTITUTE($P905,"~","~~"),"*","~*"),"?","~?"),'DEF_SELF_SCOUT_IMPORT'!$J$42:$J$1040,"")&gt;0,"Unscored clean outcome; review result tags before using score.",IF(C905=0,"No matching defensive reps; film confirmation needed.",IF(K905="Explosive Alert","Explosive risk; review clips before using as answer.",IF(C905&lt;=2,"Track only; not enough sample.",IF(C905=3,IF(E905&gt;0,"Sample watch with explosive exposure; review clips and build the sample.",IF(J905&gt;=65,"Good signal, but sample is limited.","Sample watch; review clips and build the sample.")),IF(K905="Problem Call","Problem area; practice or call-sheet review.",IF(K905="Strong Candidate","Strong call-fit candidate; confirm on film.",IF(K905="Good Candidate","Good call-fit signal; confirm on film.","Mixed signal; review fit and execution on film."))))))))</f>
        <v>Track only; not enough sample.</v>
      </c>
      <c r="M905" s="8" t="s">
        <v>76</v>
      </c>
      <c r="N905" s="8"/>
      <c r="O905" s="8"/>
      <c r="P905" s="8" t="s">
        <v>471</v>
      </c>
      <c r="Q905" s="8"/>
      <c r="R905" s="8" t="s">
        <v>429</v>
      </c>
      <c r="S905" s="2" t="s">
        <v>511</v>
      </c>
      <c r="T905" s="2">
        <f>IF(C905=0,0,IF(C905&gt;=CALL_LOOKUP_BOARD!$B$7,IF(OR(K905="Problem Call",K905="Explosive Alert"),10000000,20000000),0)+IF(C905&gt;=CALL_LOOKUP_BOARD!$B$7,J905*1000+MIN(C905,999),C905*1000+J905)+0.00990500)</f>
        <v>1095.009905</v>
      </c>
      <c r="U905" s="2">
        <f>IF(C905=0,"",IF(COUNTIFS($S$811:$S$1055,SUBSTITUTE(SUBSTITUTE(SUBSTITUTE(S905,"~","~~"),"*","~*"),"?","~?"),$T$811:$T$1055,"&gt;"&amp;T905)=0,S905,""))</f>
        <v/>
      </c>
    </row>
    <row r="906" spans="1:21" ht="38" customHeight="1">
      <c r="A906" s="8" t="s">
        <v>512</v>
      </c>
      <c r="B906" s="8" t="s">
        <v>35</v>
      </c>
      <c r="C906" s="12">
        <f>COUNTIFS('DEF_SELF_SCOUT_IMPORT'!$L$42:$L$1040,"Y",'DEF_SELF_SCOUT_IMPORT'!$E$42:$E$1040,SUBSTITUTE(SUBSTITUTE(SUBSTITUTE($B906,"~","~~"),"*","~*"),"?","~?"),'DEF_SELF_SCOUT_IMPORT'!$Q$42:$Q$1040,SUBSTITUTE(SUBSTITUTE(SUBSTITUTE($M906,"~","~~"),"*","~*"),"?","~?"),'DEF_SELF_SCOUT_IMPORT'!$D$42:$D$1040,SUBSTITUTE(SUBSTITUTE(SUBSTITUTE($P906,"~","~~"),"*","~*"),"?","~?"))</f>
        <v>1</v>
      </c>
      <c r="D906" s="10">
        <f>IF($C906=0,"",SUMIFS('DEF_SELF_SCOUT_IMPORT'!$J$42:$J$1040,'DEF_SELF_SCOUT_IMPORT'!$L$42:$L$1040,"Y",'DEF_SELF_SCOUT_IMPORT'!$E$42:$E$1040,SUBSTITUTE(SUBSTITUTE(SUBSTITUTE($B906,"~","~~"),"*","~*"),"?","~?"),'DEF_SELF_SCOUT_IMPORT'!$Q$42:$Q$1040,SUBSTITUTE(SUBSTITUTE(SUBSTITUTE($M906,"~","~~"),"*","~*"),"?","~?"),'DEF_SELF_SCOUT_IMPORT'!$D$42:$D$1040,SUBSTITUTE(SUBSTITUTE(SUBSTITUTE($P906,"~","~~"),"*","~*"),"?","~?"))/$C906)</f>
        <v>1.0</v>
      </c>
      <c r="E906" s="10">
        <f>IF($C906=0,"",SUMIFS('DEF_SELF_SCOUT_IMPORT'!$K$42:$K$1040,'DEF_SELF_SCOUT_IMPORT'!$L$42:$L$1040,"Y",'DEF_SELF_SCOUT_IMPORT'!$E$42:$E$1040,SUBSTITUTE(SUBSTITUTE(SUBSTITUTE($B906,"~","~~"),"*","~*"),"?","~?"),'DEF_SELF_SCOUT_IMPORT'!$Q$42:$Q$1040,SUBSTITUTE(SUBSTITUTE(SUBSTITUTE($M906,"~","~~"),"*","~*"),"?","~?"),'DEF_SELF_SCOUT_IMPORT'!$D$42:$D$1040,SUBSTITUTE(SUBSTITUTE(SUBSTITUTE($P906,"~","~~"),"*","~*"),"?","~?"))/$C906)</f>
        <v>0.0</v>
      </c>
      <c r="F906" s="11">
        <f>IF($C906=0,"",AVERAGEIFS('DEF_SELF_SCOUT_IMPORT'!$I$42:$I$1040,'DEF_SELF_SCOUT_IMPORT'!$L$42:$L$1040,"Y",'DEF_SELF_SCOUT_IMPORT'!$E$42:$E$1040,SUBSTITUTE(SUBSTITUTE(SUBSTITUTE($B906,"~","~~"),"*","~*"),"?","~?"),'DEF_SELF_SCOUT_IMPORT'!$Q$42:$Q$1040,SUBSTITUTE(SUBSTITUTE(SUBSTITUTE($M906,"~","~~"),"*","~*"),"?","~?"),'DEF_SELF_SCOUT_IMPORT'!$D$42:$D$1040,SUBSTITUTE(SUBSTITUTE(SUBSTITUTE($P906,"~","~~"),"*","~*"),"?","~?")))</f>
        <v>0.0</v>
      </c>
      <c r="G906" s="10">
        <f>IF($C906=0,"",COUNTIFS('DEF_SELF_SCOUT_IMPORT'!$L$42:$L$1040,"Y",'DEF_SELF_SCOUT_IMPORT'!$E$42:$E$1040,SUBSTITUTE(SUBSTITUTE(SUBSTITUTE($B906,"~","~~"),"*","~*"),"?","~?"),'DEF_SELF_SCOUT_IMPORT'!$Q$42:$Q$1040,SUBSTITUTE(SUBSTITUTE(SUBSTITUTE($M906,"~","~~"),"*","~*"),"?","~?"),'DEF_SELF_SCOUT_IMPORT'!$D$42:$D$1040,SUBSTITUTE(SUBSTITUTE(SUBSTITUTE($P906,"~","~~"),"*","~*"),"?","~?"),'DEF_SELF_SCOUT_IMPORT'!$H$42:$H$1040,"RUSH")/$C906)</f>
        <v>0.0</v>
      </c>
      <c r="H906" s="10">
        <f>IF($C906=0,"",COUNTIFS('DEF_SELF_SCOUT_IMPORT'!$L$42:$L$1040,"Y",'DEF_SELF_SCOUT_IMPORT'!$E$42:$E$1040,SUBSTITUTE(SUBSTITUTE(SUBSTITUTE($B906,"~","~~"),"*","~*"),"?","~?"),'DEF_SELF_SCOUT_IMPORT'!$Q$42:$Q$1040,SUBSTITUTE(SUBSTITUTE(SUBSTITUTE($M906,"~","~~"),"*","~*"),"?","~?"),'DEF_SELF_SCOUT_IMPORT'!$D$42:$D$1040,SUBSTITUTE(SUBSTITUTE(SUBSTITUTE($P906,"~","~~"),"*","~*"),"?","~?"),'DEF_SELF_SCOUT_IMPORT'!$H$42:$H$1040,"DROPBACK")/$C906)</f>
        <v>1.0</v>
      </c>
      <c r="I906" s="14" t="str">
        <f>IF(C906=0,"",IF(C906&lt;=2,"TRACK",IF(C906=3,"LOW",IF(C906&lt;=6,"MEDIUM","HIGH"))))</f>
        <v>TRACK</v>
      </c>
      <c r="J906" s="11">
        <f>IF(C906=0,"",ROUND(D906*70+(1-E906)*20+MAX(0,MIN(1,(10-F906)/10))*10,1))</f>
        <v>100.0</v>
      </c>
      <c r="K906" s="14" t="str">
        <f>IF(C906=0,"No Evidence",IF(C906&lt;=2,IF(E906&gt;0,"Explosive Alert","Track Only"),IF(C906=3,"Sample Watch",IF(E906&gt;=START_HERE!$B$31,"Explosive Alert",IF(J906&gt;=80,"Strong Candidate",IF(J906&gt;=65,"Good Candidate",IF(J906&gt;=50,"Mixed / Review","Problem Call")))))))</f>
        <v>Track Only</v>
      </c>
      <c r="L906" s="9" t="str">
        <f>IF(COUNTIFS('DEF_SELF_SCOUT_IMPORT'!$L$42:$L$1040,"Y",'DEF_SELF_SCOUT_IMPORT'!$E$42:$E$1040,SUBSTITUTE(SUBSTITUTE(SUBSTITUTE($B906,"~","~~"),"*","~*"),"?","~?"),'DEF_SELF_SCOUT_IMPORT'!$Q$42:$Q$1040,SUBSTITUTE(SUBSTITUTE(SUBSTITUTE($M906,"~","~~"),"*","~*"),"?","~?"),'DEF_SELF_SCOUT_IMPORT'!$D$42:$D$1040,SUBSTITUTE(SUBSTITUTE(SUBSTITUTE($P906,"~","~~"),"*","~*"),"?","~?"),'DEF_SELF_SCOUT_IMPORT'!$J$42:$J$1040,"")&gt;0,"Unscored clean outcome; review result tags before using score.",IF(C906=0,"No matching defensive reps; film confirmation needed.",IF(K906="Explosive Alert","Explosive risk; review clips before using as answer.",IF(C906&lt;=2,"Track only; not enough sample.",IF(C906=3,IF(E906&gt;0,"Sample watch with explosive exposure; review clips and build the sample.",IF(J906&gt;=65,"Good signal, but sample is limited.","Sample watch; review clips and build the sample.")),IF(K906="Problem Call","Problem area; practice or call-sheet review.",IF(K906="Strong Candidate","Strong call-fit candidate; confirm on film.",IF(K906="Good Candidate","Good call-fit signal; confirm on film.","Mixed signal; review fit and execution on film."))))))))</f>
        <v>Track only; not enough sample.</v>
      </c>
      <c r="M906" s="8" t="s">
        <v>82</v>
      </c>
      <c r="N906" s="8"/>
      <c r="O906" s="8"/>
      <c r="P906" s="8" t="s">
        <v>446</v>
      </c>
      <c r="Q906" s="8"/>
      <c r="R906" s="8" t="s">
        <v>429</v>
      </c>
      <c r="S906" s="2" t="s">
        <v>513</v>
      </c>
      <c r="T906" s="2">
        <f>IF(C906=0,0,IF(C906&gt;=CALL_LOOKUP_BOARD!$B$7,IF(OR(K906="Problem Call",K906="Explosive Alert"),10000000,20000000),0)+IF(C906&gt;=CALL_LOOKUP_BOARD!$B$7,J906*1000+MIN(C906,999),C906*1000+J906)+0.00990400)</f>
        <v>1100.009904</v>
      </c>
      <c r="U906" s="2" t="str">
        <f>IF(C906=0,"",IF(COUNTIFS($S$811:$S$1055,SUBSTITUTE(SUBSTITUTE(SUBSTITUTE(S906,"~","~~"),"*","~*"),"?","~?"),$T$811:$T$1055,"&gt;"&amp;T906)=0,S906,""))</f>
        <v>6:2D 4-6|6:3 STEP|</v>
      </c>
    </row>
    <row r="907" spans="1:21" ht="38" customHeight="1">
      <c r="A907" s="8" t="s">
        <v>512</v>
      </c>
      <c r="B907" s="8" t="s">
        <v>60</v>
      </c>
      <c r="C907" s="12">
        <f>COUNTIFS('DEF_SELF_SCOUT_IMPORT'!$L$42:$L$1040,"Y",'DEF_SELF_SCOUT_IMPORT'!$E$42:$E$1040,SUBSTITUTE(SUBSTITUTE(SUBSTITUTE($B907,"~","~~"),"*","~*"),"?","~?"),'DEF_SELF_SCOUT_IMPORT'!$Q$42:$Q$1040,SUBSTITUTE(SUBSTITUTE(SUBSTITUTE($M907,"~","~~"),"*","~*"),"?","~?"),'DEF_SELF_SCOUT_IMPORT'!$D$42:$D$1040,SUBSTITUTE(SUBSTITUTE(SUBSTITUTE($P907,"~","~~"),"*","~*"),"?","~?"))</f>
        <v>1</v>
      </c>
      <c r="D907" s="10">
        <f>IF($C907=0,"",SUMIFS('DEF_SELF_SCOUT_IMPORT'!$J$42:$J$1040,'DEF_SELF_SCOUT_IMPORT'!$L$42:$L$1040,"Y",'DEF_SELF_SCOUT_IMPORT'!$E$42:$E$1040,SUBSTITUTE(SUBSTITUTE(SUBSTITUTE($B907,"~","~~"),"*","~*"),"?","~?"),'DEF_SELF_SCOUT_IMPORT'!$Q$42:$Q$1040,SUBSTITUTE(SUBSTITUTE(SUBSTITUTE($M907,"~","~~"),"*","~*"),"?","~?"),'DEF_SELF_SCOUT_IMPORT'!$D$42:$D$1040,SUBSTITUTE(SUBSTITUTE(SUBSTITUTE($P907,"~","~~"),"*","~*"),"?","~?"))/$C907)</f>
        <v>0.0</v>
      </c>
      <c r="E907" s="10">
        <f>IF($C907=0,"",SUMIFS('DEF_SELF_SCOUT_IMPORT'!$K$42:$K$1040,'DEF_SELF_SCOUT_IMPORT'!$L$42:$L$1040,"Y",'DEF_SELF_SCOUT_IMPORT'!$E$42:$E$1040,SUBSTITUTE(SUBSTITUTE(SUBSTITUTE($B907,"~","~~"),"*","~*"),"?","~?"),'DEF_SELF_SCOUT_IMPORT'!$Q$42:$Q$1040,SUBSTITUTE(SUBSTITUTE(SUBSTITUTE($M907,"~","~~"),"*","~*"),"?","~?"),'DEF_SELF_SCOUT_IMPORT'!$D$42:$D$1040,SUBSTITUTE(SUBSTITUTE(SUBSTITUTE($P907,"~","~~"),"*","~*"),"?","~?"))/$C907)</f>
        <v>0.0</v>
      </c>
      <c r="F907" s="11">
        <f>IF($C907=0,"",AVERAGEIFS('DEF_SELF_SCOUT_IMPORT'!$I$42:$I$1040,'DEF_SELF_SCOUT_IMPORT'!$L$42:$L$1040,"Y",'DEF_SELF_SCOUT_IMPORT'!$E$42:$E$1040,SUBSTITUTE(SUBSTITUTE(SUBSTITUTE($B907,"~","~~"),"*","~*"),"?","~?"),'DEF_SELF_SCOUT_IMPORT'!$Q$42:$Q$1040,SUBSTITUTE(SUBSTITUTE(SUBSTITUTE($M907,"~","~~"),"*","~*"),"?","~?"),'DEF_SELF_SCOUT_IMPORT'!$D$42:$D$1040,SUBSTITUTE(SUBSTITUTE(SUBSTITUTE($P907,"~","~~"),"*","~*"),"?","~?")))</f>
        <v>12.0</v>
      </c>
      <c r="G907" s="10">
        <f>IF($C907=0,"",COUNTIFS('DEF_SELF_SCOUT_IMPORT'!$L$42:$L$1040,"Y",'DEF_SELF_SCOUT_IMPORT'!$E$42:$E$1040,SUBSTITUTE(SUBSTITUTE(SUBSTITUTE($B907,"~","~~"),"*","~*"),"?","~?"),'DEF_SELF_SCOUT_IMPORT'!$Q$42:$Q$1040,SUBSTITUTE(SUBSTITUTE(SUBSTITUTE($M907,"~","~~"),"*","~*"),"?","~?"),'DEF_SELF_SCOUT_IMPORT'!$D$42:$D$1040,SUBSTITUTE(SUBSTITUTE(SUBSTITUTE($P907,"~","~~"),"*","~*"),"?","~?"),'DEF_SELF_SCOUT_IMPORT'!$H$42:$H$1040,"RUSH")/$C907)</f>
        <v>0.0</v>
      </c>
      <c r="H907" s="10">
        <f>IF($C907=0,"",COUNTIFS('DEF_SELF_SCOUT_IMPORT'!$L$42:$L$1040,"Y",'DEF_SELF_SCOUT_IMPORT'!$E$42:$E$1040,SUBSTITUTE(SUBSTITUTE(SUBSTITUTE($B907,"~","~~"),"*","~*"),"?","~?"),'DEF_SELF_SCOUT_IMPORT'!$Q$42:$Q$1040,SUBSTITUTE(SUBSTITUTE(SUBSTITUTE($M907,"~","~~"),"*","~*"),"?","~?"),'DEF_SELF_SCOUT_IMPORT'!$D$42:$D$1040,SUBSTITUTE(SUBSTITUTE(SUBSTITUTE($P907,"~","~~"),"*","~*"),"?","~?"),'DEF_SELF_SCOUT_IMPORT'!$H$42:$H$1040,"DROPBACK")/$C907)</f>
        <v>1.0</v>
      </c>
      <c r="I907" s="14" t="str">
        <f>IF(C907=0,"",IF(C907&lt;=2,"TRACK",IF(C907=3,"LOW",IF(C907&lt;=6,"MEDIUM","HIGH"))))</f>
        <v>TRACK</v>
      </c>
      <c r="J907" s="11">
        <f>IF(C907=0,"",ROUND(D907*70+(1-E907)*20+MAX(0,MIN(1,(10-F907)/10))*10,1))</f>
        <v>20.0</v>
      </c>
      <c r="K907" s="14" t="str">
        <f>IF(C907=0,"No Evidence",IF(C907&lt;=2,IF(E907&gt;0,"Explosive Alert","Track Only"),IF(C907=3,"Sample Watch",IF(E907&gt;=START_HERE!$B$31,"Explosive Alert",IF(J907&gt;=80,"Strong Candidate",IF(J907&gt;=65,"Good Candidate",IF(J907&gt;=50,"Mixed / Review","Problem Call")))))))</f>
        <v>Track Only</v>
      </c>
      <c r="L907" s="9" t="str">
        <f>IF(COUNTIFS('DEF_SELF_SCOUT_IMPORT'!$L$42:$L$1040,"Y",'DEF_SELF_SCOUT_IMPORT'!$E$42:$E$1040,SUBSTITUTE(SUBSTITUTE(SUBSTITUTE($B907,"~","~~"),"*","~*"),"?","~?"),'DEF_SELF_SCOUT_IMPORT'!$Q$42:$Q$1040,SUBSTITUTE(SUBSTITUTE(SUBSTITUTE($M907,"~","~~"),"*","~*"),"?","~?"),'DEF_SELF_SCOUT_IMPORT'!$D$42:$D$1040,SUBSTITUTE(SUBSTITUTE(SUBSTITUTE($P907,"~","~~"),"*","~*"),"?","~?"),'DEF_SELF_SCOUT_IMPORT'!$J$42:$J$1040,"")&gt;0,"Unscored clean outcome; review result tags before using score.",IF(C907=0,"No matching defensive reps; film confirmation needed.",IF(K907="Explosive Alert","Explosive risk; review clips before using as answer.",IF(C907&lt;=2,"Track only; not enough sample.",IF(C907=3,IF(E907&gt;0,"Sample watch with explosive exposure; review clips and build the sample.",IF(J907&gt;=65,"Good signal, but sample is limited.","Sample watch; review clips and build the sample.")),IF(K907="Problem Call","Problem area; practice or call-sheet review.",IF(K907="Strong Candidate","Strong call-fit candidate; confirm on film.",IF(K907="Good Candidate","Good call-fit signal; confirm on film.","Mixed signal; review fit and execution on film."))))))))</f>
        <v>Track only; not enough sample.</v>
      </c>
      <c r="M907" s="8" t="s">
        <v>82</v>
      </c>
      <c r="N907" s="8"/>
      <c r="O907" s="8"/>
      <c r="P907" s="8" t="s">
        <v>446</v>
      </c>
      <c r="Q907" s="8"/>
      <c r="R907" s="8" t="s">
        <v>429</v>
      </c>
      <c r="S907" s="2" t="s">
        <v>513</v>
      </c>
      <c r="T907" s="2">
        <f>IF(C907=0,0,IF(C907&gt;=CALL_LOOKUP_BOARD!$B$7,IF(OR(K907="Problem Call",K907="Explosive Alert"),10000000,20000000),0)+IF(C907&gt;=CALL_LOOKUP_BOARD!$B$7,J907*1000+MIN(C907,999),C907*1000+J907)+0.00990300)</f>
        <v>1020.009903</v>
      </c>
      <c r="U907" s="2">
        <f>IF(C907=0,"",IF(COUNTIFS($S$811:$S$1055,SUBSTITUTE(SUBSTITUTE(SUBSTITUTE(S907,"~","~~"),"*","~*"),"?","~?"),$T$811:$T$1055,"&gt;"&amp;T907)=0,S907,""))</f>
        <v/>
      </c>
    </row>
    <row r="908" spans="1:21" ht="38" customHeight="1">
      <c r="A908" s="8" t="s">
        <v>514</v>
      </c>
      <c r="B908" s="8" t="s">
        <v>34</v>
      </c>
      <c r="C908" s="12">
        <f>COUNTIFS('DEF_SELF_SCOUT_IMPORT'!$L$42:$L$1040,"Y",'DEF_SELF_SCOUT_IMPORT'!$E$42:$E$1040,SUBSTITUTE(SUBSTITUTE(SUBSTITUTE($B908,"~","~~"),"*","~*"),"?","~?"),'DEF_SELF_SCOUT_IMPORT'!$Q$42:$Q$1040,SUBSTITUTE(SUBSTITUTE(SUBSTITUTE($M908,"~","~~"),"*","~*"),"?","~?"),'DEF_SELF_SCOUT_IMPORT'!$D$42:$D$1040,SUBSTITUTE(SUBSTITUTE(SUBSTITUTE($P908,"~","~~"),"*","~*"),"?","~?"))</f>
        <v>1</v>
      </c>
      <c r="D908" s="10">
        <f>IF($C908=0,"",SUMIFS('DEF_SELF_SCOUT_IMPORT'!$J$42:$J$1040,'DEF_SELF_SCOUT_IMPORT'!$L$42:$L$1040,"Y",'DEF_SELF_SCOUT_IMPORT'!$E$42:$E$1040,SUBSTITUTE(SUBSTITUTE(SUBSTITUTE($B908,"~","~~"),"*","~*"),"?","~?"),'DEF_SELF_SCOUT_IMPORT'!$Q$42:$Q$1040,SUBSTITUTE(SUBSTITUTE(SUBSTITUTE($M908,"~","~~"),"*","~*"),"?","~?"),'DEF_SELF_SCOUT_IMPORT'!$D$42:$D$1040,SUBSTITUTE(SUBSTITUTE(SUBSTITUTE($P908,"~","~~"),"*","~*"),"?","~?"))/$C908)</f>
        <v>0.0</v>
      </c>
      <c r="E908" s="10">
        <f>IF($C908=0,"",SUMIFS('DEF_SELF_SCOUT_IMPORT'!$K$42:$K$1040,'DEF_SELF_SCOUT_IMPORT'!$L$42:$L$1040,"Y",'DEF_SELF_SCOUT_IMPORT'!$E$42:$E$1040,SUBSTITUTE(SUBSTITUTE(SUBSTITUTE($B908,"~","~~"),"*","~*"),"?","~?"),'DEF_SELF_SCOUT_IMPORT'!$Q$42:$Q$1040,SUBSTITUTE(SUBSTITUTE(SUBSTITUTE($M908,"~","~~"),"*","~*"),"?","~?"),'DEF_SELF_SCOUT_IMPORT'!$D$42:$D$1040,SUBSTITUTE(SUBSTITUTE(SUBSTITUTE($P908,"~","~~"),"*","~*"),"?","~?"))/$C908)</f>
        <v>0.0</v>
      </c>
      <c r="F908" s="11">
        <f>IF($C908=0,"",AVERAGEIFS('DEF_SELF_SCOUT_IMPORT'!$I$42:$I$1040,'DEF_SELF_SCOUT_IMPORT'!$L$42:$L$1040,"Y",'DEF_SELF_SCOUT_IMPORT'!$E$42:$E$1040,SUBSTITUTE(SUBSTITUTE(SUBSTITUTE($B908,"~","~~"),"*","~*"),"?","~?"),'DEF_SELF_SCOUT_IMPORT'!$Q$42:$Q$1040,SUBSTITUTE(SUBSTITUTE(SUBSTITUTE($M908,"~","~~"),"*","~*"),"?","~?"),'DEF_SELF_SCOUT_IMPORT'!$D$42:$D$1040,SUBSTITUTE(SUBSTITUTE(SUBSTITUTE($P908,"~","~~"),"*","~*"),"?","~?")))</f>
        <v>10.0</v>
      </c>
      <c r="G908" s="10">
        <f>IF($C908=0,"",COUNTIFS('DEF_SELF_SCOUT_IMPORT'!$L$42:$L$1040,"Y",'DEF_SELF_SCOUT_IMPORT'!$E$42:$E$1040,SUBSTITUTE(SUBSTITUTE(SUBSTITUTE($B908,"~","~~"),"*","~*"),"?","~?"),'DEF_SELF_SCOUT_IMPORT'!$Q$42:$Q$1040,SUBSTITUTE(SUBSTITUTE(SUBSTITUTE($M908,"~","~~"),"*","~*"),"?","~?"),'DEF_SELF_SCOUT_IMPORT'!$D$42:$D$1040,SUBSTITUTE(SUBSTITUTE(SUBSTITUTE($P908,"~","~~"),"*","~*"),"?","~?"),'DEF_SELF_SCOUT_IMPORT'!$H$42:$H$1040,"RUSH")/$C908)</f>
        <v>0.0</v>
      </c>
      <c r="H908" s="10">
        <f>IF($C908=0,"",COUNTIFS('DEF_SELF_SCOUT_IMPORT'!$L$42:$L$1040,"Y",'DEF_SELF_SCOUT_IMPORT'!$E$42:$E$1040,SUBSTITUTE(SUBSTITUTE(SUBSTITUTE($B908,"~","~~"),"*","~*"),"?","~?"),'DEF_SELF_SCOUT_IMPORT'!$Q$42:$Q$1040,SUBSTITUTE(SUBSTITUTE(SUBSTITUTE($M908,"~","~~"),"*","~*"),"?","~?"),'DEF_SELF_SCOUT_IMPORT'!$D$42:$D$1040,SUBSTITUTE(SUBSTITUTE(SUBSTITUTE($P908,"~","~~"),"*","~*"),"?","~?"),'DEF_SELF_SCOUT_IMPORT'!$H$42:$H$1040,"DROPBACK")/$C908)</f>
        <v>1.0</v>
      </c>
      <c r="I908" s="14" t="str">
        <f>IF(C908=0,"",IF(C908&lt;=2,"TRACK",IF(C908=3,"LOW",IF(C908&lt;=6,"MEDIUM","HIGH"))))</f>
        <v>TRACK</v>
      </c>
      <c r="J908" s="11">
        <f>IF(C908=0,"",ROUND(D908*70+(1-E908)*20+MAX(0,MIN(1,(10-F908)/10))*10,1))</f>
        <v>20.0</v>
      </c>
      <c r="K908" s="14" t="str">
        <f>IF(C908=0,"No Evidence",IF(C908&lt;=2,IF(E908&gt;0,"Explosive Alert","Track Only"),IF(C908=3,"Sample Watch",IF(E908&gt;=START_HERE!$B$31,"Explosive Alert",IF(J908&gt;=80,"Strong Candidate",IF(J908&gt;=65,"Good Candidate",IF(J908&gt;=50,"Mixed / Review","Problem Call")))))))</f>
        <v>Track Only</v>
      </c>
      <c r="L908" s="9" t="str">
        <f>IF(COUNTIFS('DEF_SELF_SCOUT_IMPORT'!$L$42:$L$1040,"Y",'DEF_SELF_SCOUT_IMPORT'!$E$42:$E$1040,SUBSTITUTE(SUBSTITUTE(SUBSTITUTE($B908,"~","~~"),"*","~*"),"?","~?"),'DEF_SELF_SCOUT_IMPORT'!$Q$42:$Q$1040,SUBSTITUTE(SUBSTITUTE(SUBSTITUTE($M908,"~","~~"),"*","~*"),"?","~?"),'DEF_SELF_SCOUT_IMPORT'!$D$42:$D$1040,SUBSTITUTE(SUBSTITUTE(SUBSTITUTE($P908,"~","~~"),"*","~*"),"?","~?"),'DEF_SELF_SCOUT_IMPORT'!$J$42:$J$1040,"")&gt;0,"Unscored clean outcome; review result tags before using score.",IF(C908=0,"No matching defensive reps; film confirmation needed.",IF(K908="Explosive Alert","Explosive risk; review clips before using as answer.",IF(C908&lt;=2,"Track only; not enough sample.",IF(C908=3,IF(E908&gt;0,"Sample watch with explosive exposure; review clips and build the sample.",IF(J908&gt;=65,"Good signal, but sample is limited.","Sample watch; review clips and build the sample.")),IF(K908="Problem Call","Problem area; practice or call-sheet review.",IF(K908="Strong Candidate","Strong call-fit candidate; confirm on film.",IF(K908="Good Candidate","Good call-fit signal; confirm on film.","Mixed signal; review fit and execution on film."))))))))</f>
        <v>Track only; not enough sample.</v>
      </c>
      <c r="M908" s="8" t="s">
        <v>82</v>
      </c>
      <c r="N908" s="8"/>
      <c r="O908" s="8"/>
      <c r="P908" s="8" t="s">
        <v>449</v>
      </c>
      <c r="Q908" s="8"/>
      <c r="R908" s="8" t="s">
        <v>429</v>
      </c>
      <c r="S908" s="2" t="s">
        <v>515</v>
      </c>
      <c r="T908" s="2">
        <f>IF(C908=0,0,IF(C908&gt;=CALL_LOOKUP_BOARD!$B$7,IF(OR(K908="Problem Call",K908="Explosive Alert"),10000000,20000000),0)+IF(C908&gt;=CALL_LOOKUP_BOARD!$B$7,J908*1000+MIN(C908,999),C908*1000+J908)+0.00990200)</f>
        <v>1020.009902</v>
      </c>
      <c r="U908" s="2">
        <f>IF(C908=0,"",IF(COUNTIFS($S$811:$S$1055,SUBSTITUTE(SUBSTITUTE(SUBSTITUTE(S908,"~","~~"),"*","~*"),"?","~?"),$T$811:$T$1055,"&gt;"&amp;T908)=0,S908,""))</f>
        <v/>
      </c>
    </row>
    <row r="909" spans="1:21" ht="38" customHeight="1">
      <c r="A909" s="8" t="s">
        <v>514</v>
      </c>
      <c r="B909" s="8" t="s">
        <v>79</v>
      </c>
      <c r="C909" s="12">
        <f>COUNTIFS('DEF_SELF_SCOUT_IMPORT'!$L$42:$L$1040,"Y",'DEF_SELF_SCOUT_IMPORT'!$E$42:$E$1040,SUBSTITUTE(SUBSTITUTE(SUBSTITUTE($B909,"~","~~"),"*","~*"),"?","~?"),'DEF_SELF_SCOUT_IMPORT'!$Q$42:$Q$1040,SUBSTITUTE(SUBSTITUTE(SUBSTITUTE($M909,"~","~~"),"*","~*"),"?","~?"),'DEF_SELF_SCOUT_IMPORT'!$D$42:$D$1040,SUBSTITUTE(SUBSTITUTE(SUBSTITUTE($P909,"~","~~"),"*","~*"),"?","~?"))</f>
        <v>1</v>
      </c>
      <c r="D909" s="10">
        <f>IF($C909=0,"",SUMIFS('DEF_SELF_SCOUT_IMPORT'!$J$42:$J$1040,'DEF_SELF_SCOUT_IMPORT'!$L$42:$L$1040,"Y",'DEF_SELF_SCOUT_IMPORT'!$E$42:$E$1040,SUBSTITUTE(SUBSTITUTE(SUBSTITUTE($B909,"~","~~"),"*","~*"),"?","~?"),'DEF_SELF_SCOUT_IMPORT'!$Q$42:$Q$1040,SUBSTITUTE(SUBSTITUTE(SUBSTITUTE($M909,"~","~~"),"*","~*"),"?","~?"),'DEF_SELF_SCOUT_IMPORT'!$D$42:$D$1040,SUBSTITUTE(SUBSTITUTE(SUBSTITUTE($P909,"~","~~"),"*","~*"),"?","~?"))/$C909)</f>
        <v>1.0</v>
      </c>
      <c r="E909" s="10">
        <f>IF($C909=0,"",SUMIFS('DEF_SELF_SCOUT_IMPORT'!$K$42:$K$1040,'DEF_SELF_SCOUT_IMPORT'!$L$42:$L$1040,"Y",'DEF_SELF_SCOUT_IMPORT'!$E$42:$E$1040,SUBSTITUTE(SUBSTITUTE(SUBSTITUTE($B909,"~","~~"),"*","~*"),"?","~?"),'DEF_SELF_SCOUT_IMPORT'!$Q$42:$Q$1040,SUBSTITUTE(SUBSTITUTE(SUBSTITUTE($M909,"~","~~"),"*","~*"),"?","~?"),'DEF_SELF_SCOUT_IMPORT'!$D$42:$D$1040,SUBSTITUTE(SUBSTITUTE(SUBSTITUTE($P909,"~","~~"),"*","~*"),"?","~?"))/$C909)</f>
        <v>0.0</v>
      </c>
      <c r="F909" s="11">
        <f>IF($C909=0,"",AVERAGEIFS('DEF_SELF_SCOUT_IMPORT'!$I$42:$I$1040,'DEF_SELF_SCOUT_IMPORT'!$L$42:$L$1040,"Y",'DEF_SELF_SCOUT_IMPORT'!$E$42:$E$1040,SUBSTITUTE(SUBSTITUTE(SUBSTITUTE($B909,"~","~~"),"*","~*"),"?","~?"),'DEF_SELF_SCOUT_IMPORT'!$Q$42:$Q$1040,SUBSTITUTE(SUBSTITUTE(SUBSTITUTE($M909,"~","~~"),"*","~*"),"?","~?"),'DEF_SELF_SCOUT_IMPORT'!$D$42:$D$1040,SUBSTITUTE(SUBSTITUTE(SUBSTITUTE($P909,"~","~~"),"*","~*"),"?","~?")))</f>
        <v>-1.0</v>
      </c>
      <c r="G909" s="10">
        <f>IF($C909=0,"",COUNTIFS('DEF_SELF_SCOUT_IMPORT'!$L$42:$L$1040,"Y",'DEF_SELF_SCOUT_IMPORT'!$E$42:$E$1040,SUBSTITUTE(SUBSTITUTE(SUBSTITUTE($B909,"~","~~"),"*","~*"),"?","~?"),'DEF_SELF_SCOUT_IMPORT'!$Q$42:$Q$1040,SUBSTITUTE(SUBSTITUTE(SUBSTITUTE($M909,"~","~~"),"*","~*"),"?","~?"),'DEF_SELF_SCOUT_IMPORT'!$D$42:$D$1040,SUBSTITUTE(SUBSTITUTE(SUBSTITUTE($P909,"~","~~"),"*","~*"),"?","~?"),'DEF_SELF_SCOUT_IMPORT'!$H$42:$H$1040,"RUSH")/$C909)</f>
        <v>0.0</v>
      </c>
      <c r="H909" s="10">
        <f>IF($C909=0,"",COUNTIFS('DEF_SELF_SCOUT_IMPORT'!$L$42:$L$1040,"Y",'DEF_SELF_SCOUT_IMPORT'!$E$42:$E$1040,SUBSTITUTE(SUBSTITUTE(SUBSTITUTE($B909,"~","~~"),"*","~*"),"?","~?"),'DEF_SELF_SCOUT_IMPORT'!$Q$42:$Q$1040,SUBSTITUTE(SUBSTITUTE(SUBSTITUTE($M909,"~","~~"),"*","~*"),"?","~?"),'DEF_SELF_SCOUT_IMPORT'!$D$42:$D$1040,SUBSTITUTE(SUBSTITUTE(SUBSTITUTE($P909,"~","~~"),"*","~*"),"?","~?"),'DEF_SELF_SCOUT_IMPORT'!$H$42:$H$1040,"DROPBACK")/$C909)</f>
        <v>1.0</v>
      </c>
      <c r="I909" s="14" t="str">
        <f>IF(C909=0,"",IF(C909&lt;=2,"TRACK",IF(C909=3,"LOW",IF(C909&lt;=6,"MEDIUM","HIGH"))))</f>
        <v>TRACK</v>
      </c>
      <c r="J909" s="11">
        <f>IF(C909=0,"",ROUND(D909*70+(1-E909)*20+MAX(0,MIN(1,(10-F909)/10))*10,1))</f>
        <v>100.0</v>
      </c>
      <c r="K909" s="14" t="str">
        <f>IF(C909=0,"No Evidence",IF(C909&lt;=2,IF(E909&gt;0,"Explosive Alert","Track Only"),IF(C909=3,"Sample Watch",IF(E909&gt;=START_HERE!$B$31,"Explosive Alert",IF(J909&gt;=80,"Strong Candidate",IF(J909&gt;=65,"Good Candidate",IF(J909&gt;=50,"Mixed / Review","Problem Call")))))))</f>
        <v>Track Only</v>
      </c>
      <c r="L909" s="9" t="str">
        <f>IF(COUNTIFS('DEF_SELF_SCOUT_IMPORT'!$L$42:$L$1040,"Y",'DEF_SELF_SCOUT_IMPORT'!$E$42:$E$1040,SUBSTITUTE(SUBSTITUTE(SUBSTITUTE($B909,"~","~~"),"*","~*"),"?","~?"),'DEF_SELF_SCOUT_IMPORT'!$Q$42:$Q$1040,SUBSTITUTE(SUBSTITUTE(SUBSTITUTE($M909,"~","~~"),"*","~*"),"?","~?"),'DEF_SELF_SCOUT_IMPORT'!$D$42:$D$1040,SUBSTITUTE(SUBSTITUTE(SUBSTITUTE($P909,"~","~~"),"*","~*"),"?","~?"),'DEF_SELF_SCOUT_IMPORT'!$J$42:$J$1040,"")&gt;0,"Unscored clean outcome; review result tags before using score.",IF(C909=0,"No matching defensive reps; film confirmation needed.",IF(K909="Explosive Alert","Explosive risk; review clips before using as answer.",IF(C909&lt;=2,"Track only; not enough sample.",IF(C909=3,IF(E909&gt;0,"Sample watch with explosive exposure; review clips and build the sample.",IF(J909&gt;=65,"Good signal, but sample is limited.","Sample watch; review clips and build the sample.")),IF(K909="Problem Call","Problem area; practice or call-sheet review.",IF(K909="Strong Candidate","Strong call-fit candidate; confirm on film.",IF(K909="Good Candidate","Good call-fit signal; confirm on film.","Mixed signal; review fit and execution on film."))))))))</f>
        <v>Track only; not enough sample.</v>
      </c>
      <c r="M909" s="8" t="s">
        <v>82</v>
      </c>
      <c r="N909" s="8"/>
      <c r="O909" s="8"/>
      <c r="P909" s="8" t="s">
        <v>449</v>
      </c>
      <c r="Q909" s="8"/>
      <c r="R909" s="8" t="s">
        <v>429</v>
      </c>
      <c r="S909" s="2" t="s">
        <v>515</v>
      </c>
      <c r="T909" s="2">
        <f>IF(C909=0,0,IF(C909&gt;=CALL_LOOKUP_BOARD!$B$7,IF(OR(K909="Problem Call",K909="Explosive Alert"),10000000,20000000),0)+IF(C909&gt;=CALL_LOOKUP_BOARD!$B$7,J909*1000+MIN(C909,999),C909*1000+J909)+0.00990100)</f>
        <v>1100.009901</v>
      </c>
      <c r="U909" s="2" t="str">
        <f>IF(C909=0,"",IF(COUNTIFS($S$811:$S$1055,SUBSTITUTE(SUBSTITUTE(SUBSTITUTE(S909,"~","~~"),"*","~*"),"?","~?"),$T$811:$T$1055,"&gt;"&amp;T909)=0,S909,""))</f>
        <v>6:2D 4-6|6:5 STEP|</v>
      </c>
    </row>
    <row r="910" spans="1:21" ht="38" customHeight="1">
      <c r="A910" s="8" t="s">
        <v>514</v>
      </c>
      <c r="B910" s="8" t="s">
        <v>52</v>
      </c>
      <c r="C910" s="12">
        <f>COUNTIFS('DEF_SELF_SCOUT_IMPORT'!$L$42:$L$1040,"Y",'DEF_SELF_SCOUT_IMPORT'!$E$42:$E$1040,SUBSTITUTE(SUBSTITUTE(SUBSTITUTE($B910,"~","~~"),"*","~*"),"?","~?"),'DEF_SELF_SCOUT_IMPORT'!$Q$42:$Q$1040,SUBSTITUTE(SUBSTITUTE(SUBSTITUTE($M910,"~","~~"),"*","~*"),"?","~?"),'DEF_SELF_SCOUT_IMPORT'!$D$42:$D$1040,SUBSTITUTE(SUBSTITUTE(SUBSTITUTE($P910,"~","~~"),"*","~*"),"?","~?"))</f>
        <v>1</v>
      </c>
      <c r="D910" s="10">
        <f>IF($C910=0,"",SUMIFS('DEF_SELF_SCOUT_IMPORT'!$J$42:$J$1040,'DEF_SELF_SCOUT_IMPORT'!$L$42:$L$1040,"Y",'DEF_SELF_SCOUT_IMPORT'!$E$42:$E$1040,SUBSTITUTE(SUBSTITUTE(SUBSTITUTE($B910,"~","~~"),"*","~*"),"?","~?"),'DEF_SELF_SCOUT_IMPORT'!$Q$42:$Q$1040,SUBSTITUTE(SUBSTITUTE(SUBSTITUTE($M910,"~","~~"),"*","~*"),"?","~?"),'DEF_SELF_SCOUT_IMPORT'!$D$42:$D$1040,SUBSTITUTE(SUBSTITUTE(SUBSTITUTE($P910,"~","~~"),"*","~*"),"?","~?"))/$C910)</f>
        <v>1.0</v>
      </c>
      <c r="E910" s="10">
        <f>IF($C910=0,"",SUMIFS('DEF_SELF_SCOUT_IMPORT'!$K$42:$K$1040,'DEF_SELF_SCOUT_IMPORT'!$L$42:$L$1040,"Y",'DEF_SELF_SCOUT_IMPORT'!$E$42:$E$1040,SUBSTITUTE(SUBSTITUTE(SUBSTITUTE($B910,"~","~~"),"*","~*"),"?","~?"),'DEF_SELF_SCOUT_IMPORT'!$Q$42:$Q$1040,SUBSTITUTE(SUBSTITUTE(SUBSTITUTE($M910,"~","~~"),"*","~*"),"?","~?"),'DEF_SELF_SCOUT_IMPORT'!$D$42:$D$1040,SUBSTITUTE(SUBSTITUTE(SUBSTITUTE($P910,"~","~~"),"*","~*"),"?","~?"))/$C910)</f>
        <v>0.0</v>
      </c>
      <c r="F910" s="11">
        <f>IF($C910=0,"",AVERAGEIFS('DEF_SELF_SCOUT_IMPORT'!$I$42:$I$1040,'DEF_SELF_SCOUT_IMPORT'!$L$42:$L$1040,"Y",'DEF_SELF_SCOUT_IMPORT'!$E$42:$E$1040,SUBSTITUTE(SUBSTITUTE(SUBSTITUTE($B910,"~","~~"),"*","~*"),"?","~?"),'DEF_SELF_SCOUT_IMPORT'!$Q$42:$Q$1040,SUBSTITUTE(SUBSTITUTE(SUBSTITUTE($M910,"~","~~"),"*","~*"),"?","~?"),'DEF_SELF_SCOUT_IMPORT'!$D$42:$D$1040,SUBSTITUTE(SUBSTITUTE(SUBSTITUTE($P910,"~","~~"),"*","~*"),"?","~?")))</f>
        <v>0.0</v>
      </c>
      <c r="G910" s="10">
        <f>IF($C910=0,"",COUNTIFS('DEF_SELF_SCOUT_IMPORT'!$L$42:$L$1040,"Y",'DEF_SELF_SCOUT_IMPORT'!$E$42:$E$1040,SUBSTITUTE(SUBSTITUTE(SUBSTITUTE($B910,"~","~~"),"*","~*"),"?","~?"),'DEF_SELF_SCOUT_IMPORT'!$Q$42:$Q$1040,SUBSTITUTE(SUBSTITUTE(SUBSTITUTE($M910,"~","~~"),"*","~*"),"?","~?"),'DEF_SELF_SCOUT_IMPORT'!$D$42:$D$1040,SUBSTITUTE(SUBSTITUTE(SUBSTITUTE($P910,"~","~~"),"*","~*"),"?","~?"),'DEF_SELF_SCOUT_IMPORT'!$H$42:$H$1040,"RUSH")/$C910)</f>
        <v>0.0</v>
      </c>
      <c r="H910" s="10">
        <f>IF($C910=0,"",COUNTIFS('DEF_SELF_SCOUT_IMPORT'!$L$42:$L$1040,"Y",'DEF_SELF_SCOUT_IMPORT'!$E$42:$E$1040,SUBSTITUTE(SUBSTITUTE(SUBSTITUTE($B910,"~","~~"),"*","~*"),"?","~?"),'DEF_SELF_SCOUT_IMPORT'!$Q$42:$Q$1040,SUBSTITUTE(SUBSTITUTE(SUBSTITUTE($M910,"~","~~"),"*","~*"),"?","~?"),'DEF_SELF_SCOUT_IMPORT'!$D$42:$D$1040,SUBSTITUTE(SUBSTITUTE(SUBSTITUTE($P910,"~","~~"),"*","~*"),"?","~?"),'DEF_SELF_SCOUT_IMPORT'!$H$42:$H$1040,"DROPBACK")/$C910)</f>
        <v>1.0</v>
      </c>
      <c r="I910" s="14" t="str">
        <f>IF(C910=0,"",IF(C910&lt;=2,"TRACK",IF(C910=3,"LOW",IF(C910&lt;=6,"MEDIUM","HIGH"))))</f>
        <v>TRACK</v>
      </c>
      <c r="J910" s="11">
        <f>IF(C910=0,"",ROUND(D910*70+(1-E910)*20+MAX(0,MIN(1,(10-F910)/10))*10,1))</f>
        <v>100.0</v>
      </c>
      <c r="K910" s="14" t="str">
        <f>IF(C910=0,"No Evidence",IF(C910&lt;=2,IF(E910&gt;0,"Explosive Alert","Track Only"),IF(C910=3,"Sample Watch",IF(E910&gt;=START_HERE!$B$31,"Explosive Alert",IF(J910&gt;=80,"Strong Candidate",IF(J910&gt;=65,"Good Candidate",IF(J910&gt;=50,"Mixed / Review","Problem Call")))))))</f>
        <v>Track Only</v>
      </c>
      <c r="L910" s="9" t="str">
        <f>IF(COUNTIFS('DEF_SELF_SCOUT_IMPORT'!$L$42:$L$1040,"Y",'DEF_SELF_SCOUT_IMPORT'!$E$42:$E$1040,SUBSTITUTE(SUBSTITUTE(SUBSTITUTE($B910,"~","~~"),"*","~*"),"?","~?"),'DEF_SELF_SCOUT_IMPORT'!$Q$42:$Q$1040,SUBSTITUTE(SUBSTITUTE(SUBSTITUTE($M910,"~","~~"),"*","~*"),"?","~?"),'DEF_SELF_SCOUT_IMPORT'!$D$42:$D$1040,SUBSTITUTE(SUBSTITUTE(SUBSTITUTE($P910,"~","~~"),"*","~*"),"?","~?"),'DEF_SELF_SCOUT_IMPORT'!$J$42:$J$1040,"")&gt;0,"Unscored clean outcome; review result tags before using score.",IF(C910=0,"No matching defensive reps; film confirmation needed.",IF(K910="Explosive Alert","Explosive risk; review clips before using as answer.",IF(C910&lt;=2,"Track only; not enough sample.",IF(C910=3,IF(E910&gt;0,"Sample watch with explosive exposure; review clips and build the sample.",IF(J910&gt;=65,"Good signal, but sample is limited.","Sample watch; review clips and build the sample.")),IF(K910="Problem Call","Problem area; practice or call-sheet review.",IF(K910="Strong Candidate","Strong call-fit candidate; confirm on film.",IF(K910="Good Candidate","Good call-fit signal; confirm on film.","Mixed signal; review fit and execution on film."))))))))</f>
        <v>Track only; not enough sample.</v>
      </c>
      <c r="M910" s="8" t="s">
        <v>82</v>
      </c>
      <c r="N910" s="8"/>
      <c r="O910" s="8"/>
      <c r="P910" s="8" t="s">
        <v>449</v>
      </c>
      <c r="Q910" s="8"/>
      <c r="R910" s="8" t="s">
        <v>429</v>
      </c>
      <c r="S910" s="2" t="s">
        <v>515</v>
      </c>
      <c r="T910" s="2">
        <f>IF(C910=0,0,IF(C910&gt;=CALL_LOOKUP_BOARD!$B$7,IF(OR(K910="Problem Call",K910="Explosive Alert"),10000000,20000000),0)+IF(C910&gt;=CALL_LOOKUP_BOARD!$B$7,J910*1000+MIN(C910,999),C910*1000+J910)+0.00990000)</f>
        <v>1100.0099</v>
      </c>
      <c r="U910" s="2">
        <f>IF(C910=0,"",IF(COUNTIFS($S$811:$S$1055,SUBSTITUTE(SUBSTITUTE(SUBSTITUTE(S910,"~","~~"),"*","~*"),"?","~?"),$T$811:$T$1055,"&gt;"&amp;T910)=0,S910,""))</f>
        <v/>
      </c>
    </row>
    <row r="911" spans="1:21" ht="38" customHeight="1">
      <c r="A911" s="8" t="s">
        <v>514</v>
      </c>
      <c r="B911" s="8" t="s">
        <v>61</v>
      </c>
      <c r="C911" s="12">
        <f>COUNTIFS('DEF_SELF_SCOUT_IMPORT'!$L$42:$L$1040,"Y",'DEF_SELF_SCOUT_IMPORT'!$E$42:$E$1040,SUBSTITUTE(SUBSTITUTE(SUBSTITUTE($B911,"~","~~"),"*","~*"),"?","~?"),'DEF_SELF_SCOUT_IMPORT'!$Q$42:$Q$1040,SUBSTITUTE(SUBSTITUTE(SUBSTITUTE($M911,"~","~~"),"*","~*"),"?","~?"),'DEF_SELF_SCOUT_IMPORT'!$D$42:$D$1040,SUBSTITUTE(SUBSTITUTE(SUBSTITUTE($P911,"~","~~"),"*","~*"),"?","~?"))</f>
        <v>1</v>
      </c>
      <c r="D911" s="10">
        <f>IF($C911=0,"",SUMIFS('DEF_SELF_SCOUT_IMPORT'!$J$42:$J$1040,'DEF_SELF_SCOUT_IMPORT'!$L$42:$L$1040,"Y",'DEF_SELF_SCOUT_IMPORT'!$E$42:$E$1040,SUBSTITUTE(SUBSTITUTE(SUBSTITUTE($B911,"~","~~"),"*","~*"),"?","~?"),'DEF_SELF_SCOUT_IMPORT'!$Q$42:$Q$1040,SUBSTITUTE(SUBSTITUTE(SUBSTITUTE($M911,"~","~~"),"*","~*"),"?","~?"),'DEF_SELF_SCOUT_IMPORT'!$D$42:$D$1040,SUBSTITUTE(SUBSTITUTE(SUBSTITUTE($P911,"~","~~"),"*","~*"),"?","~?"))/$C911)</f>
        <v>0.0</v>
      </c>
      <c r="E911" s="10">
        <f>IF($C911=0,"",SUMIFS('DEF_SELF_SCOUT_IMPORT'!$K$42:$K$1040,'DEF_SELF_SCOUT_IMPORT'!$L$42:$L$1040,"Y",'DEF_SELF_SCOUT_IMPORT'!$E$42:$E$1040,SUBSTITUTE(SUBSTITUTE(SUBSTITUTE($B911,"~","~~"),"*","~*"),"?","~?"),'DEF_SELF_SCOUT_IMPORT'!$Q$42:$Q$1040,SUBSTITUTE(SUBSTITUTE(SUBSTITUTE($M911,"~","~~"),"*","~*"),"?","~?"),'DEF_SELF_SCOUT_IMPORT'!$D$42:$D$1040,SUBSTITUTE(SUBSTITUTE(SUBSTITUTE($P911,"~","~~"),"*","~*"),"?","~?"))/$C911)</f>
        <v>0.0</v>
      </c>
      <c r="F911" s="11">
        <f>IF($C911=0,"",AVERAGEIFS('DEF_SELF_SCOUT_IMPORT'!$I$42:$I$1040,'DEF_SELF_SCOUT_IMPORT'!$L$42:$L$1040,"Y",'DEF_SELF_SCOUT_IMPORT'!$E$42:$E$1040,SUBSTITUTE(SUBSTITUTE(SUBSTITUTE($B911,"~","~~"),"*","~*"),"?","~?"),'DEF_SELF_SCOUT_IMPORT'!$Q$42:$Q$1040,SUBSTITUTE(SUBSTITUTE(SUBSTITUTE($M911,"~","~~"),"*","~*"),"?","~?"),'DEF_SELF_SCOUT_IMPORT'!$D$42:$D$1040,SUBSTITUTE(SUBSTITUTE(SUBSTITUTE($P911,"~","~~"),"*","~*"),"?","~?")))</f>
        <v>11.0</v>
      </c>
      <c r="G911" s="10">
        <f>IF($C911=0,"",COUNTIFS('DEF_SELF_SCOUT_IMPORT'!$L$42:$L$1040,"Y",'DEF_SELF_SCOUT_IMPORT'!$E$42:$E$1040,SUBSTITUTE(SUBSTITUTE(SUBSTITUTE($B911,"~","~~"),"*","~*"),"?","~?"),'DEF_SELF_SCOUT_IMPORT'!$Q$42:$Q$1040,SUBSTITUTE(SUBSTITUTE(SUBSTITUTE($M911,"~","~~"),"*","~*"),"?","~?"),'DEF_SELF_SCOUT_IMPORT'!$D$42:$D$1040,SUBSTITUTE(SUBSTITUTE(SUBSTITUTE($P911,"~","~~"),"*","~*"),"?","~?"),'DEF_SELF_SCOUT_IMPORT'!$H$42:$H$1040,"RUSH")/$C911)</f>
        <v>0.0</v>
      </c>
      <c r="H911" s="10">
        <f>IF($C911=0,"",COUNTIFS('DEF_SELF_SCOUT_IMPORT'!$L$42:$L$1040,"Y",'DEF_SELF_SCOUT_IMPORT'!$E$42:$E$1040,SUBSTITUTE(SUBSTITUTE(SUBSTITUTE($B911,"~","~~"),"*","~*"),"?","~?"),'DEF_SELF_SCOUT_IMPORT'!$Q$42:$Q$1040,SUBSTITUTE(SUBSTITUTE(SUBSTITUTE($M911,"~","~~"),"*","~*"),"?","~?"),'DEF_SELF_SCOUT_IMPORT'!$D$42:$D$1040,SUBSTITUTE(SUBSTITUTE(SUBSTITUTE($P911,"~","~~"),"*","~*"),"?","~?"),'DEF_SELF_SCOUT_IMPORT'!$H$42:$H$1040,"DROPBACK")/$C911)</f>
        <v>1.0</v>
      </c>
      <c r="I911" s="14" t="str">
        <f>IF(C911=0,"",IF(C911&lt;=2,"TRACK",IF(C911=3,"LOW",IF(C911&lt;=6,"MEDIUM","HIGH"))))</f>
        <v>TRACK</v>
      </c>
      <c r="J911" s="11">
        <f>IF(C911=0,"",ROUND(D911*70+(1-E911)*20+MAX(0,MIN(1,(10-F911)/10))*10,1))</f>
        <v>20.0</v>
      </c>
      <c r="K911" s="14" t="str">
        <f>IF(C911=0,"No Evidence",IF(C911&lt;=2,IF(E911&gt;0,"Explosive Alert","Track Only"),IF(C911=3,"Sample Watch",IF(E911&gt;=START_HERE!$B$31,"Explosive Alert",IF(J911&gt;=80,"Strong Candidate",IF(J911&gt;=65,"Good Candidate",IF(J911&gt;=50,"Mixed / Review","Problem Call")))))))</f>
        <v>Track Only</v>
      </c>
      <c r="L911" s="9" t="str">
        <f>IF(COUNTIFS('DEF_SELF_SCOUT_IMPORT'!$L$42:$L$1040,"Y",'DEF_SELF_SCOUT_IMPORT'!$E$42:$E$1040,SUBSTITUTE(SUBSTITUTE(SUBSTITUTE($B911,"~","~~"),"*","~*"),"?","~?"),'DEF_SELF_SCOUT_IMPORT'!$Q$42:$Q$1040,SUBSTITUTE(SUBSTITUTE(SUBSTITUTE($M911,"~","~~"),"*","~*"),"?","~?"),'DEF_SELF_SCOUT_IMPORT'!$D$42:$D$1040,SUBSTITUTE(SUBSTITUTE(SUBSTITUTE($P911,"~","~~"),"*","~*"),"?","~?"),'DEF_SELF_SCOUT_IMPORT'!$J$42:$J$1040,"")&gt;0,"Unscored clean outcome; review result tags before using score.",IF(C911=0,"No matching defensive reps; film confirmation needed.",IF(K911="Explosive Alert","Explosive risk; review clips before using as answer.",IF(C911&lt;=2,"Track only; not enough sample.",IF(C911=3,IF(E911&gt;0,"Sample watch with explosive exposure; review clips and build the sample.",IF(J911&gt;=65,"Good signal, but sample is limited.","Sample watch; review clips and build the sample.")),IF(K911="Problem Call","Problem area; practice or call-sheet review.",IF(K911="Strong Candidate","Strong call-fit candidate; confirm on film.",IF(K911="Good Candidate","Good call-fit signal; confirm on film.","Mixed signal; review fit and execution on film."))))))))</f>
        <v>Track only; not enough sample.</v>
      </c>
      <c r="M911" s="8" t="s">
        <v>82</v>
      </c>
      <c r="N911" s="8"/>
      <c r="O911" s="8"/>
      <c r="P911" s="8" t="s">
        <v>449</v>
      </c>
      <c r="Q911" s="8"/>
      <c r="R911" s="8" t="s">
        <v>429</v>
      </c>
      <c r="S911" s="2" t="s">
        <v>515</v>
      </c>
      <c r="T911" s="2">
        <f>IF(C911=0,0,IF(C911&gt;=CALL_LOOKUP_BOARD!$B$7,IF(OR(K911="Problem Call",K911="Explosive Alert"),10000000,20000000),0)+IF(C911&gt;=CALL_LOOKUP_BOARD!$B$7,J911*1000+MIN(C911,999),C911*1000+J911)+0.00989900)</f>
        <v>1020.009899</v>
      </c>
      <c r="U911" s="2">
        <f>IF(C911=0,"",IF(COUNTIFS($S$811:$S$1055,SUBSTITUTE(SUBSTITUTE(SUBSTITUTE(S911,"~","~~"),"*","~*"),"?","~?"),$T$811:$T$1055,"&gt;"&amp;T911)=0,S911,""))</f>
        <v/>
      </c>
    </row>
    <row r="912" spans="1:21" ht="38" customHeight="1">
      <c r="A912" s="8" t="s">
        <v>514</v>
      </c>
      <c r="B912" s="8" t="s">
        <v>84</v>
      </c>
      <c r="C912" s="12">
        <f>COUNTIFS('DEF_SELF_SCOUT_IMPORT'!$L$42:$L$1040,"Y",'DEF_SELF_SCOUT_IMPORT'!$E$42:$E$1040,SUBSTITUTE(SUBSTITUTE(SUBSTITUTE($B912,"~","~~"),"*","~*"),"?","~?"),'DEF_SELF_SCOUT_IMPORT'!$Q$42:$Q$1040,SUBSTITUTE(SUBSTITUTE(SUBSTITUTE($M912,"~","~~"),"*","~*"),"?","~?"),'DEF_SELF_SCOUT_IMPORT'!$D$42:$D$1040,SUBSTITUTE(SUBSTITUTE(SUBSTITUTE($P912,"~","~~"),"*","~*"),"?","~?"))</f>
        <v>1</v>
      </c>
      <c r="D912" s="10">
        <f>IF($C912=0,"",SUMIFS('DEF_SELF_SCOUT_IMPORT'!$J$42:$J$1040,'DEF_SELF_SCOUT_IMPORT'!$L$42:$L$1040,"Y",'DEF_SELF_SCOUT_IMPORT'!$E$42:$E$1040,SUBSTITUTE(SUBSTITUTE(SUBSTITUTE($B912,"~","~~"),"*","~*"),"?","~?"),'DEF_SELF_SCOUT_IMPORT'!$Q$42:$Q$1040,SUBSTITUTE(SUBSTITUTE(SUBSTITUTE($M912,"~","~~"),"*","~*"),"?","~?"),'DEF_SELF_SCOUT_IMPORT'!$D$42:$D$1040,SUBSTITUTE(SUBSTITUTE(SUBSTITUTE($P912,"~","~~"),"*","~*"),"?","~?"))/$C912)</f>
        <v>0.0</v>
      </c>
      <c r="E912" s="10">
        <f>IF($C912=0,"",SUMIFS('DEF_SELF_SCOUT_IMPORT'!$K$42:$K$1040,'DEF_SELF_SCOUT_IMPORT'!$L$42:$L$1040,"Y",'DEF_SELF_SCOUT_IMPORT'!$E$42:$E$1040,SUBSTITUTE(SUBSTITUTE(SUBSTITUTE($B912,"~","~~"),"*","~*"),"?","~?"),'DEF_SELF_SCOUT_IMPORT'!$Q$42:$Q$1040,SUBSTITUTE(SUBSTITUTE(SUBSTITUTE($M912,"~","~~"),"*","~*"),"?","~?"),'DEF_SELF_SCOUT_IMPORT'!$D$42:$D$1040,SUBSTITUTE(SUBSTITUTE(SUBSTITUTE($P912,"~","~~"),"*","~*"),"?","~?"))/$C912)</f>
        <v>1.0</v>
      </c>
      <c r="F912" s="11">
        <f>IF($C912=0,"",AVERAGEIFS('DEF_SELF_SCOUT_IMPORT'!$I$42:$I$1040,'DEF_SELF_SCOUT_IMPORT'!$L$42:$L$1040,"Y",'DEF_SELF_SCOUT_IMPORT'!$E$42:$E$1040,SUBSTITUTE(SUBSTITUTE(SUBSTITUTE($B912,"~","~~"),"*","~*"),"?","~?"),'DEF_SELF_SCOUT_IMPORT'!$Q$42:$Q$1040,SUBSTITUTE(SUBSTITUTE(SUBSTITUTE($M912,"~","~~"),"*","~*"),"?","~?"),'DEF_SELF_SCOUT_IMPORT'!$D$42:$D$1040,SUBSTITUTE(SUBSTITUTE(SUBSTITUTE($P912,"~","~~"),"*","~*"),"?","~?")))</f>
        <v>42.0</v>
      </c>
      <c r="G912" s="10">
        <f>IF($C912=0,"",COUNTIFS('DEF_SELF_SCOUT_IMPORT'!$L$42:$L$1040,"Y",'DEF_SELF_SCOUT_IMPORT'!$E$42:$E$1040,SUBSTITUTE(SUBSTITUTE(SUBSTITUTE($B912,"~","~~"),"*","~*"),"?","~?"),'DEF_SELF_SCOUT_IMPORT'!$Q$42:$Q$1040,SUBSTITUTE(SUBSTITUTE(SUBSTITUTE($M912,"~","~~"),"*","~*"),"?","~?"),'DEF_SELF_SCOUT_IMPORT'!$D$42:$D$1040,SUBSTITUTE(SUBSTITUTE(SUBSTITUTE($P912,"~","~~"),"*","~*"),"?","~?"),'DEF_SELF_SCOUT_IMPORT'!$H$42:$H$1040,"RUSH")/$C912)</f>
        <v>0.0</v>
      </c>
      <c r="H912" s="10">
        <f>IF($C912=0,"",COUNTIFS('DEF_SELF_SCOUT_IMPORT'!$L$42:$L$1040,"Y",'DEF_SELF_SCOUT_IMPORT'!$E$42:$E$1040,SUBSTITUTE(SUBSTITUTE(SUBSTITUTE($B912,"~","~~"),"*","~*"),"?","~?"),'DEF_SELF_SCOUT_IMPORT'!$Q$42:$Q$1040,SUBSTITUTE(SUBSTITUTE(SUBSTITUTE($M912,"~","~~"),"*","~*"),"?","~?"),'DEF_SELF_SCOUT_IMPORT'!$D$42:$D$1040,SUBSTITUTE(SUBSTITUTE(SUBSTITUTE($P912,"~","~~"),"*","~*"),"?","~?"),'DEF_SELF_SCOUT_IMPORT'!$H$42:$H$1040,"DROPBACK")/$C912)</f>
        <v>1.0</v>
      </c>
      <c r="I912" s="14" t="str">
        <f>IF(C912=0,"",IF(C912&lt;=2,"TRACK",IF(C912=3,"LOW",IF(C912&lt;=6,"MEDIUM","HIGH"))))</f>
        <v>TRACK</v>
      </c>
      <c r="J912" s="11">
        <f>IF(C912=0,"",ROUND(D912*70+(1-E912)*20+MAX(0,MIN(1,(10-F912)/10))*10,1))</f>
        <v>0.0</v>
      </c>
      <c r="K912" s="14" t="str">
        <f>IF(C912=0,"No Evidence",IF(C912&lt;=2,IF(E912&gt;0,"Explosive Alert","Track Only"),IF(C912=3,"Sample Watch",IF(E912&gt;=START_HERE!$B$31,"Explosive Alert",IF(J912&gt;=80,"Strong Candidate",IF(J912&gt;=65,"Good Candidate",IF(J912&gt;=50,"Mixed / Review","Problem Call")))))))</f>
        <v>Explosive Alert</v>
      </c>
      <c r="L912" s="9" t="str">
        <f>IF(COUNTIFS('DEF_SELF_SCOUT_IMPORT'!$L$42:$L$1040,"Y",'DEF_SELF_SCOUT_IMPORT'!$E$42:$E$1040,SUBSTITUTE(SUBSTITUTE(SUBSTITUTE($B912,"~","~~"),"*","~*"),"?","~?"),'DEF_SELF_SCOUT_IMPORT'!$Q$42:$Q$1040,SUBSTITUTE(SUBSTITUTE(SUBSTITUTE($M912,"~","~~"),"*","~*"),"?","~?"),'DEF_SELF_SCOUT_IMPORT'!$D$42:$D$1040,SUBSTITUTE(SUBSTITUTE(SUBSTITUTE($P912,"~","~~"),"*","~*"),"?","~?"),'DEF_SELF_SCOUT_IMPORT'!$J$42:$J$1040,"")&gt;0,"Unscored clean outcome; review result tags before using score.",IF(C912=0,"No matching defensive reps; film confirmation needed.",IF(K912="Explosive Alert","Explosive risk; review clips before using as answer.",IF(C912&lt;=2,"Track only; not enough sample.",IF(C912=3,IF(E912&gt;0,"Sample watch with explosive exposure; review clips and build the sample.",IF(J912&gt;=65,"Good signal, but sample is limited.","Sample watch; review clips and build the sample.")),IF(K912="Problem Call","Problem area; practice or call-sheet review.",IF(K912="Strong Candidate","Strong call-fit candidate; confirm on film.",IF(K912="Good Candidate","Good call-fit signal; confirm on film.","Mixed signal; review fit and execution on film."))))))))</f>
        <v>Explosive risk; review clips before using as answer.</v>
      </c>
      <c r="M912" s="8" t="s">
        <v>82</v>
      </c>
      <c r="N912" s="8"/>
      <c r="O912" s="8"/>
      <c r="P912" s="8" t="s">
        <v>449</v>
      </c>
      <c r="Q912" s="8"/>
      <c r="R912" s="8" t="s">
        <v>429</v>
      </c>
      <c r="S912" s="2" t="s">
        <v>515</v>
      </c>
      <c r="T912" s="2">
        <f>IF(C912=0,0,IF(C912&gt;=CALL_LOOKUP_BOARD!$B$7,IF(OR(K912="Problem Call",K912="Explosive Alert"),10000000,20000000),0)+IF(C912&gt;=CALL_LOOKUP_BOARD!$B$7,J912*1000+MIN(C912,999),C912*1000+J912)+0.00989800)</f>
        <v>1000.009898</v>
      </c>
      <c r="U912" s="2">
        <f>IF(C912=0,"",IF(COUNTIFS($S$811:$S$1055,SUBSTITUTE(SUBSTITUTE(SUBSTITUTE(S912,"~","~~"),"*","~*"),"?","~?"),$T$811:$T$1055,"&gt;"&amp;T912)=0,S912,""))</f>
        <v/>
      </c>
    </row>
    <row r="913" spans="1:21" ht="38" customHeight="1">
      <c r="A913" s="8" t="s">
        <v>516</v>
      </c>
      <c r="B913" s="8" t="s">
        <v>56</v>
      </c>
      <c r="C913" s="12">
        <f>COUNTIFS('DEF_SELF_SCOUT_IMPORT'!$L$42:$L$1040,"Y",'DEF_SELF_SCOUT_IMPORT'!$E$42:$E$1040,SUBSTITUTE(SUBSTITUTE(SUBSTITUTE($B913,"~","~~"),"*","~*"),"?","~?"),'DEF_SELF_SCOUT_IMPORT'!$Q$42:$Q$1040,SUBSTITUTE(SUBSTITUTE(SUBSTITUTE($M913,"~","~~"),"*","~*"),"?","~?"),'DEF_SELF_SCOUT_IMPORT'!$D$42:$D$1040,SUBSTITUTE(SUBSTITUTE(SUBSTITUTE($P913,"~","~~"),"*","~*"),"?","~?"))</f>
        <v>1</v>
      </c>
      <c r="D913" s="10">
        <f>IF($C913=0,"",SUMIFS('DEF_SELF_SCOUT_IMPORT'!$J$42:$J$1040,'DEF_SELF_SCOUT_IMPORT'!$L$42:$L$1040,"Y",'DEF_SELF_SCOUT_IMPORT'!$E$42:$E$1040,SUBSTITUTE(SUBSTITUTE(SUBSTITUTE($B913,"~","~~"),"*","~*"),"?","~?"),'DEF_SELF_SCOUT_IMPORT'!$Q$42:$Q$1040,SUBSTITUTE(SUBSTITUTE(SUBSTITUTE($M913,"~","~~"),"*","~*"),"?","~?"),'DEF_SELF_SCOUT_IMPORT'!$D$42:$D$1040,SUBSTITUTE(SUBSTITUTE(SUBSTITUTE($P913,"~","~~"),"*","~*"),"?","~?"))/$C913)</f>
        <v>0.0</v>
      </c>
      <c r="E913" s="10">
        <f>IF($C913=0,"",SUMIFS('DEF_SELF_SCOUT_IMPORT'!$K$42:$K$1040,'DEF_SELF_SCOUT_IMPORT'!$L$42:$L$1040,"Y",'DEF_SELF_SCOUT_IMPORT'!$E$42:$E$1040,SUBSTITUTE(SUBSTITUTE(SUBSTITUTE($B913,"~","~~"),"*","~*"),"?","~?"),'DEF_SELF_SCOUT_IMPORT'!$Q$42:$Q$1040,SUBSTITUTE(SUBSTITUTE(SUBSTITUTE($M913,"~","~~"),"*","~*"),"?","~?"),'DEF_SELF_SCOUT_IMPORT'!$D$42:$D$1040,SUBSTITUTE(SUBSTITUTE(SUBSTITUTE($P913,"~","~~"),"*","~*"),"?","~?"))/$C913)</f>
        <v>0.0</v>
      </c>
      <c r="F913" s="11">
        <f>IF($C913=0,"",AVERAGEIFS('DEF_SELF_SCOUT_IMPORT'!$I$42:$I$1040,'DEF_SELF_SCOUT_IMPORT'!$L$42:$L$1040,"Y",'DEF_SELF_SCOUT_IMPORT'!$E$42:$E$1040,SUBSTITUTE(SUBSTITUTE(SUBSTITUTE($B913,"~","~~"),"*","~*"),"?","~?"),'DEF_SELF_SCOUT_IMPORT'!$Q$42:$Q$1040,SUBSTITUTE(SUBSTITUTE(SUBSTITUTE($M913,"~","~~"),"*","~*"),"?","~?"),'DEF_SELF_SCOUT_IMPORT'!$D$42:$D$1040,SUBSTITUTE(SUBSTITUTE(SUBSTITUTE($P913,"~","~~"),"*","~*"),"?","~?")))</f>
        <v>5.0</v>
      </c>
      <c r="G913" s="10">
        <f>IF($C913=0,"",COUNTIFS('DEF_SELF_SCOUT_IMPORT'!$L$42:$L$1040,"Y",'DEF_SELF_SCOUT_IMPORT'!$E$42:$E$1040,SUBSTITUTE(SUBSTITUTE(SUBSTITUTE($B913,"~","~~"),"*","~*"),"?","~?"),'DEF_SELF_SCOUT_IMPORT'!$Q$42:$Q$1040,SUBSTITUTE(SUBSTITUTE(SUBSTITUTE($M913,"~","~~"),"*","~*"),"?","~?"),'DEF_SELF_SCOUT_IMPORT'!$D$42:$D$1040,SUBSTITUTE(SUBSTITUTE(SUBSTITUTE($P913,"~","~~"),"*","~*"),"?","~?"),'DEF_SELF_SCOUT_IMPORT'!$H$42:$H$1040,"RUSH")/$C913)</f>
        <v>1.0</v>
      </c>
      <c r="H913" s="10">
        <f>IF($C913=0,"",COUNTIFS('DEF_SELF_SCOUT_IMPORT'!$L$42:$L$1040,"Y",'DEF_SELF_SCOUT_IMPORT'!$E$42:$E$1040,SUBSTITUTE(SUBSTITUTE(SUBSTITUTE($B913,"~","~~"),"*","~*"),"?","~?"),'DEF_SELF_SCOUT_IMPORT'!$Q$42:$Q$1040,SUBSTITUTE(SUBSTITUTE(SUBSTITUTE($M913,"~","~~"),"*","~*"),"?","~?"),'DEF_SELF_SCOUT_IMPORT'!$D$42:$D$1040,SUBSTITUTE(SUBSTITUTE(SUBSTITUTE($P913,"~","~~"),"*","~*"),"?","~?"),'DEF_SELF_SCOUT_IMPORT'!$H$42:$H$1040,"DROPBACK")/$C913)</f>
        <v>0.0</v>
      </c>
      <c r="I913" s="14" t="str">
        <f>IF(C913=0,"",IF(C913&lt;=2,"TRACK",IF(C913=3,"LOW",IF(C913&lt;=6,"MEDIUM","HIGH"))))</f>
        <v>TRACK</v>
      </c>
      <c r="J913" s="11">
        <f>IF(C913=0,"",ROUND(D913*70+(1-E913)*20+MAX(0,MIN(1,(10-F913)/10))*10,1))</f>
        <v>25.0</v>
      </c>
      <c r="K913" s="14" t="str">
        <f>IF(C913=0,"No Evidence",IF(C913&lt;=2,IF(E913&gt;0,"Explosive Alert","Track Only"),IF(C913=3,"Sample Watch",IF(E913&gt;=START_HERE!$B$31,"Explosive Alert",IF(J913&gt;=80,"Strong Candidate",IF(J913&gt;=65,"Good Candidate",IF(J913&gt;=50,"Mixed / Review","Problem Call")))))))</f>
        <v>Track Only</v>
      </c>
      <c r="L913" s="9" t="str">
        <f>IF(COUNTIFS('DEF_SELF_SCOUT_IMPORT'!$L$42:$L$1040,"Y",'DEF_SELF_SCOUT_IMPORT'!$E$42:$E$1040,SUBSTITUTE(SUBSTITUTE(SUBSTITUTE($B913,"~","~~"),"*","~*"),"?","~?"),'DEF_SELF_SCOUT_IMPORT'!$Q$42:$Q$1040,SUBSTITUTE(SUBSTITUTE(SUBSTITUTE($M913,"~","~~"),"*","~*"),"?","~?"),'DEF_SELF_SCOUT_IMPORT'!$D$42:$D$1040,SUBSTITUTE(SUBSTITUTE(SUBSTITUTE($P913,"~","~~"),"*","~*"),"?","~?"),'DEF_SELF_SCOUT_IMPORT'!$J$42:$J$1040,"")&gt;0,"Unscored clean outcome; review result tags before using score.",IF(C913=0,"No matching defensive reps; film confirmation needed.",IF(K913="Explosive Alert","Explosive risk; review clips before using as answer.",IF(C913&lt;=2,"Track only; not enough sample.",IF(C913=3,IF(E913&gt;0,"Sample watch with explosive exposure; review clips and build the sample.",IF(J913&gt;=65,"Good signal, but sample is limited.","Sample watch; review clips and build the sample.")),IF(K913="Problem Call","Problem area; practice or call-sheet review.",IF(K913="Strong Candidate","Strong call-fit candidate; confirm on film.",IF(K913="Good Candidate","Good call-fit signal; confirm on film.","Mixed signal; review fit and execution on film."))))))))</f>
        <v>Track only; not enough sample.</v>
      </c>
      <c r="M913" s="8" t="s">
        <v>82</v>
      </c>
      <c r="N913" s="8"/>
      <c r="O913" s="8"/>
      <c r="P913" s="8" t="s">
        <v>432</v>
      </c>
      <c r="Q913" s="8"/>
      <c r="R913" s="8" t="s">
        <v>429</v>
      </c>
      <c r="S913" s="2" t="s">
        <v>517</v>
      </c>
      <c r="T913" s="2">
        <f>IF(C913=0,0,IF(C913&gt;=CALL_LOOKUP_BOARD!$B$7,IF(OR(K913="Problem Call",K913="Explosive Alert"),10000000,20000000),0)+IF(C913&gt;=CALL_LOOKUP_BOARD!$B$7,J913*1000+MIN(C913,999),C913*1000+J913)+0.00989700)</f>
        <v>1025.009897</v>
      </c>
      <c r="U913" s="2" t="str">
        <f>IF(C913=0,"",IF(COUNTIFS($S$811:$S$1055,SUBSTITUTE(SUBSTITUTE(SUBSTITUTE(S913,"~","~~"),"*","~*"),"?","~?"),$T$811:$T$1055,"&gt;"&amp;T913)=0,S913,""))</f>
        <v>6:2D 4-6|7:COUNTER|</v>
      </c>
    </row>
    <row r="914" spans="1:21" ht="38" customHeight="1">
      <c r="A914" s="8" t="s">
        <v>518</v>
      </c>
      <c r="B914" s="8" t="s">
        <v>40</v>
      </c>
      <c r="C914" s="12">
        <f>COUNTIFS('DEF_SELF_SCOUT_IMPORT'!$L$42:$L$1040,"Y",'DEF_SELF_SCOUT_IMPORT'!$E$42:$E$1040,SUBSTITUTE(SUBSTITUTE(SUBSTITUTE($B914,"~","~~"),"*","~*"),"?","~?"),'DEF_SELF_SCOUT_IMPORT'!$Q$42:$Q$1040,SUBSTITUTE(SUBSTITUTE(SUBSTITUTE($M914,"~","~~"),"*","~*"),"?","~?"),'DEF_SELF_SCOUT_IMPORT'!$D$42:$D$1040,SUBSTITUTE(SUBSTITUTE(SUBSTITUTE($P914,"~","~~"),"*","~*"),"?","~?"))</f>
        <v>1</v>
      </c>
      <c r="D914" s="10">
        <f>IF($C914=0,"",SUMIFS('DEF_SELF_SCOUT_IMPORT'!$J$42:$J$1040,'DEF_SELF_SCOUT_IMPORT'!$L$42:$L$1040,"Y",'DEF_SELF_SCOUT_IMPORT'!$E$42:$E$1040,SUBSTITUTE(SUBSTITUTE(SUBSTITUTE($B914,"~","~~"),"*","~*"),"?","~?"),'DEF_SELF_SCOUT_IMPORT'!$Q$42:$Q$1040,SUBSTITUTE(SUBSTITUTE(SUBSTITUTE($M914,"~","~~"),"*","~*"),"?","~?"),'DEF_SELF_SCOUT_IMPORT'!$D$42:$D$1040,SUBSTITUTE(SUBSTITUTE(SUBSTITUTE($P914,"~","~~"),"*","~*"),"?","~?"))/$C914)</f>
        <v>0.0</v>
      </c>
      <c r="E914" s="10">
        <f>IF($C914=0,"",SUMIFS('DEF_SELF_SCOUT_IMPORT'!$K$42:$K$1040,'DEF_SELF_SCOUT_IMPORT'!$L$42:$L$1040,"Y",'DEF_SELF_SCOUT_IMPORT'!$E$42:$E$1040,SUBSTITUTE(SUBSTITUTE(SUBSTITUTE($B914,"~","~~"),"*","~*"),"?","~?"),'DEF_SELF_SCOUT_IMPORT'!$Q$42:$Q$1040,SUBSTITUTE(SUBSTITUTE(SUBSTITUTE($M914,"~","~~"),"*","~*"),"?","~?"),'DEF_SELF_SCOUT_IMPORT'!$D$42:$D$1040,SUBSTITUTE(SUBSTITUTE(SUBSTITUTE($P914,"~","~~"),"*","~*"),"?","~?"))/$C914)</f>
        <v>0.0</v>
      </c>
      <c r="F914" s="11">
        <f>IF($C914=0,"",AVERAGEIFS('DEF_SELF_SCOUT_IMPORT'!$I$42:$I$1040,'DEF_SELF_SCOUT_IMPORT'!$L$42:$L$1040,"Y",'DEF_SELF_SCOUT_IMPORT'!$E$42:$E$1040,SUBSTITUTE(SUBSTITUTE(SUBSTITUTE($B914,"~","~~"),"*","~*"),"?","~?"),'DEF_SELF_SCOUT_IMPORT'!$Q$42:$Q$1040,SUBSTITUTE(SUBSTITUTE(SUBSTITUTE($M914,"~","~~"),"*","~*"),"?","~?"),'DEF_SELF_SCOUT_IMPORT'!$D$42:$D$1040,SUBSTITUTE(SUBSTITUTE(SUBSTITUTE($P914,"~","~~"),"*","~*"),"?","~?")))</f>
        <v>7.0</v>
      </c>
      <c r="G914" s="10">
        <f>IF($C914=0,"",COUNTIFS('DEF_SELF_SCOUT_IMPORT'!$L$42:$L$1040,"Y",'DEF_SELF_SCOUT_IMPORT'!$E$42:$E$1040,SUBSTITUTE(SUBSTITUTE(SUBSTITUTE($B914,"~","~~"),"*","~*"),"?","~?"),'DEF_SELF_SCOUT_IMPORT'!$Q$42:$Q$1040,SUBSTITUTE(SUBSTITUTE(SUBSTITUTE($M914,"~","~~"),"*","~*"),"?","~?"),'DEF_SELF_SCOUT_IMPORT'!$D$42:$D$1040,SUBSTITUTE(SUBSTITUTE(SUBSTITUTE($P914,"~","~~"),"*","~*"),"?","~?"),'DEF_SELF_SCOUT_IMPORT'!$H$42:$H$1040,"RUSH")/$C914)</f>
        <v>1.0</v>
      </c>
      <c r="H914" s="10">
        <f>IF($C914=0,"",COUNTIFS('DEF_SELF_SCOUT_IMPORT'!$L$42:$L$1040,"Y",'DEF_SELF_SCOUT_IMPORT'!$E$42:$E$1040,SUBSTITUTE(SUBSTITUTE(SUBSTITUTE($B914,"~","~~"),"*","~*"),"?","~?"),'DEF_SELF_SCOUT_IMPORT'!$Q$42:$Q$1040,SUBSTITUTE(SUBSTITUTE(SUBSTITUTE($M914,"~","~~"),"*","~*"),"?","~?"),'DEF_SELF_SCOUT_IMPORT'!$D$42:$D$1040,SUBSTITUTE(SUBSTITUTE(SUBSTITUTE($P914,"~","~~"),"*","~*"),"?","~?"),'DEF_SELF_SCOUT_IMPORT'!$H$42:$H$1040,"DROPBACK")/$C914)</f>
        <v>0.0</v>
      </c>
      <c r="I914" s="14" t="str">
        <f>IF(C914=0,"",IF(C914&lt;=2,"TRACK",IF(C914=3,"LOW",IF(C914&lt;=6,"MEDIUM","HIGH"))))</f>
        <v>TRACK</v>
      </c>
      <c r="J914" s="11">
        <f>IF(C914=0,"",ROUND(D914*70+(1-E914)*20+MAX(0,MIN(1,(10-F914)/10))*10,1))</f>
        <v>23.0</v>
      </c>
      <c r="K914" s="14" t="str">
        <f>IF(C914=0,"No Evidence",IF(C914&lt;=2,IF(E914&gt;0,"Explosive Alert","Track Only"),IF(C914=3,"Sample Watch",IF(E914&gt;=START_HERE!$B$31,"Explosive Alert",IF(J914&gt;=80,"Strong Candidate",IF(J914&gt;=65,"Good Candidate",IF(J914&gt;=50,"Mixed / Review","Problem Call")))))))</f>
        <v>Track Only</v>
      </c>
      <c r="L914" s="9" t="str">
        <f>IF(COUNTIFS('DEF_SELF_SCOUT_IMPORT'!$L$42:$L$1040,"Y",'DEF_SELF_SCOUT_IMPORT'!$E$42:$E$1040,SUBSTITUTE(SUBSTITUTE(SUBSTITUTE($B914,"~","~~"),"*","~*"),"?","~?"),'DEF_SELF_SCOUT_IMPORT'!$Q$42:$Q$1040,SUBSTITUTE(SUBSTITUTE(SUBSTITUTE($M914,"~","~~"),"*","~*"),"?","~?"),'DEF_SELF_SCOUT_IMPORT'!$D$42:$D$1040,SUBSTITUTE(SUBSTITUTE(SUBSTITUTE($P914,"~","~~"),"*","~*"),"?","~?"),'DEF_SELF_SCOUT_IMPORT'!$J$42:$J$1040,"")&gt;0,"Unscored clean outcome; review result tags before using score.",IF(C914=0,"No matching defensive reps; film confirmation needed.",IF(K914="Explosive Alert","Explosive risk; review clips before using as answer.",IF(C914&lt;=2,"Track only; not enough sample.",IF(C914=3,IF(E914&gt;0,"Sample watch with explosive exposure; review clips and build the sample.",IF(J914&gt;=65,"Good signal, but sample is limited.","Sample watch; review clips and build the sample.")),IF(K914="Problem Call","Problem area; practice or call-sheet review.",IF(K914="Strong Candidate","Strong call-fit candidate; confirm on film.",IF(K914="Good Candidate","Good call-fit signal; confirm on film.","Mixed signal; review fit and execution on film."))))))))</f>
        <v>Track only; not enough sample.</v>
      </c>
      <c r="M914" s="8" t="s">
        <v>82</v>
      </c>
      <c r="N914" s="8"/>
      <c r="O914" s="8"/>
      <c r="P914" s="8" t="s">
        <v>428</v>
      </c>
      <c r="Q914" s="8"/>
      <c r="R914" s="8" t="s">
        <v>429</v>
      </c>
      <c r="S914" s="2" t="s">
        <v>519</v>
      </c>
      <c r="T914" s="2">
        <f>IF(C914=0,0,IF(C914&gt;=CALL_LOOKUP_BOARD!$B$7,IF(OR(K914="Problem Call",K914="Explosive Alert"),10000000,20000000),0)+IF(C914&gt;=CALL_LOOKUP_BOARD!$B$7,J914*1000+MIN(C914,999),C914*1000+J914)+0.00989600)</f>
        <v>1023.009896</v>
      </c>
      <c r="U914" s="2">
        <f>IF(C914=0,"",IF(COUNTIFS($S$811:$S$1055,SUBSTITUTE(SUBSTITUTE(SUBSTITUTE(S914,"~","~~"),"*","~*"),"?","~?"),$T$811:$T$1055,"&gt;"&amp;T914)=0,S914,""))</f>
        <v/>
      </c>
    </row>
    <row r="915" spans="1:21" ht="38" customHeight="1">
      <c r="A915" s="8" t="s">
        <v>518</v>
      </c>
      <c r="B915" s="8" t="s">
        <v>53</v>
      </c>
      <c r="C915" s="12">
        <f>COUNTIFS('DEF_SELF_SCOUT_IMPORT'!$L$42:$L$1040,"Y",'DEF_SELF_SCOUT_IMPORT'!$E$42:$E$1040,SUBSTITUTE(SUBSTITUTE(SUBSTITUTE($B915,"~","~~"),"*","~*"),"?","~?"),'DEF_SELF_SCOUT_IMPORT'!$Q$42:$Q$1040,SUBSTITUTE(SUBSTITUTE(SUBSTITUTE($M915,"~","~~"),"*","~*"),"?","~?"),'DEF_SELF_SCOUT_IMPORT'!$D$42:$D$1040,SUBSTITUTE(SUBSTITUTE(SUBSTITUTE($P915,"~","~~"),"*","~*"),"?","~?"))</f>
        <v>1</v>
      </c>
      <c r="D915" s="10">
        <f>IF($C915=0,"",SUMIFS('DEF_SELF_SCOUT_IMPORT'!$J$42:$J$1040,'DEF_SELF_SCOUT_IMPORT'!$L$42:$L$1040,"Y",'DEF_SELF_SCOUT_IMPORT'!$E$42:$E$1040,SUBSTITUTE(SUBSTITUTE(SUBSTITUTE($B915,"~","~~"),"*","~*"),"?","~?"),'DEF_SELF_SCOUT_IMPORT'!$Q$42:$Q$1040,SUBSTITUTE(SUBSTITUTE(SUBSTITUTE($M915,"~","~~"),"*","~*"),"?","~?"),'DEF_SELF_SCOUT_IMPORT'!$D$42:$D$1040,SUBSTITUTE(SUBSTITUTE(SUBSTITUTE($P915,"~","~~"),"*","~*"),"?","~?"))/$C915)</f>
        <v>1.0</v>
      </c>
      <c r="E915" s="10">
        <f>IF($C915=0,"",SUMIFS('DEF_SELF_SCOUT_IMPORT'!$K$42:$K$1040,'DEF_SELF_SCOUT_IMPORT'!$L$42:$L$1040,"Y",'DEF_SELF_SCOUT_IMPORT'!$E$42:$E$1040,SUBSTITUTE(SUBSTITUTE(SUBSTITUTE($B915,"~","~~"),"*","~*"),"?","~?"),'DEF_SELF_SCOUT_IMPORT'!$Q$42:$Q$1040,SUBSTITUTE(SUBSTITUTE(SUBSTITUTE($M915,"~","~~"),"*","~*"),"?","~?"),'DEF_SELF_SCOUT_IMPORT'!$D$42:$D$1040,SUBSTITUTE(SUBSTITUTE(SUBSTITUTE($P915,"~","~~"),"*","~*"),"?","~?"))/$C915)</f>
        <v>0.0</v>
      </c>
      <c r="F915" s="11">
        <f>IF($C915=0,"",AVERAGEIFS('DEF_SELF_SCOUT_IMPORT'!$I$42:$I$1040,'DEF_SELF_SCOUT_IMPORT'!$L$42:$L$1040,"Y",'DEF_SELF_SCOUT_IMPORT'!$E$42:$E$1040,SUBSTITUTE(SUBSTITUTE(SUBSTITUTE($B915,"~","~~"),"*","~*"),"?","~?"),'DEF_SELF_SCOUT_IMPORT'!$Q$42:$Q$1040,SUBSTITUTE(SUBSTITUTE(SUBSTITUTE($M915,"~","~~"),"*","~*"),"?","~?"),'DEF_SELF_SCOUT_IMPORT'!$D$42:$D$1040,SUBSTITUTE(SUBSTITUTE(SUBSTITUTE($P915,"~","~~"),"*","~*"),"?","~?")))</f>
        <v>2.0</v>
      </c>
      <c r="G915" s="10">
        <f>IF($C915=0,"",COUNTIFS('DEF_SELF_SCOUT_IMPORT'!$L$42:$L$1040,"Y",'DEF_SELF_SCOUT_IMPORT'!$E$42:$E$1040,SUBSTITUTE(SUBSTITUTE(SUBSTITUTE($B915,"~","~~"),"*","~*"),"?","~?"),'DEF_SELF_SCOUT_IMPORT'!$Q$42:$Q$1040,SUBSTITUTE(SUBSTITUTE(SUBSTITUTE($M915,"~","~~"),"*","~*"),"?","~?"),'DEF_SELF_SCOUT_IMPORT'!$D$42:$D$1040,SUBSTITUTE(SUBSTITUTE(SUBSTITUTE($P915,"~","~~"),"*","~*"),"?","~?"),'DEF_SELF_SCOUT_IMPORT'!$H$42:$H$1040,"RUSH")/$C915)</f>
        <v>1.0</v>
      </c>
      <c r="H915" s="10">
        <f>IF($C915=0,"",COUNTIFS('DEF_SELF_SCOUT_IMPORT'!$L$42:$L$1040,"Y",'DEF_SELF_SCOUT_IMPORT'!$E$42:$E$1040,SUBSTITUTE(SUBSTITUTE(SUBSTITUTE($B915,"~","~~"),"*","~*"),"?","~?"),'DEF_SELF_SCOUT_IMPORT'!$Q$42:$Q$1040,SUBSTITUTE(SUBSTITUTE(SUBSTITUTE($M915,"~","~~"),"*","~*"),"?","~?"),'DEF_SELF_SCOUT_IMPORT'!$D$42:$D$1040,SUBSTITUTE(SUBSTITUTE(SUBSTITUTE($P915,"~","~~"),"*","~*"),"?","~?"),'DEF_SELF_SCOUT_IMPORT'!$H$42:$H$1040,"DROPBACK")/$C915)</f>
        <v>0.0</v>
      </c>
      <c r="I915" s="14" t="str">
        <f>IF(C915=0,"",IF(C915&lt;=2,"TRACK",IF(C915=3,"LOW",IF(C915&lt;=6,"MEDIUM","HIGH"))))</f>
        <v>TRACK</v>
      </c>
      <c r="J915" s="11">
        <f>IF(C915=0,"",ROUND(D915*70+(1-E915)*20+MAX(0,MIN(1,(10-F915)/10))*10,1))</f>
        <v>98.0</v>
      </c>
      <c r="K915" s="14" t="str">
        <f>IF(C915=0,"No Evidence",IF(C915&lt;=2,IF(E915&gt;0,"Explosive Alert","Track Only"),IF(C915=3,"Sample Watch",IF(E915&gt;=START_HERE!$B$31,"Explosive Alert",IF(J915&gt;=80,"Strong Candidate",IF(J915&gt;=65,"Good Candidate",IF(J915&gt;=50,"Mixed / Review","Problem Call")))))))</f>
        <v>Track Only</v>
      </c>
      <c r="L915" s="9" t="str">
        <f>IF(COUNTIFS('DEF_SELF_SCOUT_IMPORT'!$L$42:$L$1040,"Y",'DEF_SELF_SCOUT_IMPORT'!$E$42:$E$1040,SUBSTITUTE(SUBSTITUTE(SUBSTITUTE($B915,"~","~~"),"*","~*"),"?","~?"),'DEF_SELF_SCOUT_IMPORT'!$Q$42:$Q$1040,SUBSTITUTE(SUBSTITUTE(SUBSTITUTE($M915,"~","~~"),"*","~*"),"?","~?"),'DEF_SELF_SCOUT_IMPORT'!$D$42:$D$1040,SUBSTITUTE(SUBSTITUTE(SUBSTITUTE($P915,"~","~~"),"*","~*"),"?","~?"),'DEF_SELF_SCOUT_IMPORT'!$J$42:$J$1040,"")&gt;0,"Unscored clean outcome; review result tags before using score.",IF(C915=0,"No matching defensive reps; film confirmation needed.",IF(K915="Explosive Alert","Explosive risk; review clips before using as answer.",IF(C915&lt;=2,"Track only; not enough sample.",IF(C915=3,IF(E915&gt;0,"Sample watch with explosive exposure; review clips and build the sample.",IF(J915&gt;=65,"Good signal, but sample is limited.","Sample watch; review clips and build the sample.")),IF(K915="Problem Call","Problem area; practice or call-sheet review.",IF(K915="Strong Candidate","Strong call-fit candidate; confirm on film.",IF(K915="Good Candidate","Good call-fit signal; confirm on film.","Mixed signal; review fit and execution on film."))))))))</f>
        <v>Track only; not enough sample.</v>
      </c>
      <c r="M915" s="8" t="s">
        <v>82</v>
      </c>
      <c r="N915" s="8"/>
      <c r="O915" s="8"/>
      <c r="P915" s="8" t="s">
        <v>428</v>
      </c>
      <c r="Q915" s="8"/>
      <c r="R915" s="8" t="s">
        <v>429</v>
      </c>
      <c r="S915" s="2" t="s">
        <v>519</v>
      </c>
      <c r="T915" s="2">
        <f>IF(C915=0,0,IF(C915&gt;=CALL_LOOKUP_BOARD!$B$7,IF(OR(K915="Problem Call",K915="Explosive Alert"),10000000,20000000),0)+IF(C915&gt;=CALL_LOOKUP_BOARD!$B$7,J915*1000+MIN(C915,999),C915*1000+J915)+0.00989500)</f>
        <v>1098.009895</v>
      </c>
      <c r="U915" s="2" t="str">
        <f>IF(C915=0,"",IF(COUNTIFS($S$811:$S$1055,SUBSTITUTE(SUBSTITUTE(SUBSTITUTE(S915,"~","~~"),"*","~*"),"?","~?"),$T$811:$T$1055,"&gt;"&amp;T915)=0,S915,""))</f>
        <v>6:2D 4-6|11:INSIDE ZONE|</v>
      </c>
    </row>
    <row r="916" spans="1:21" ht="38" customHeight="1">
      <c r="A916" s="8" t="s">
        <v>518</v>
      </c>
      <c r="B916" s="8" t="s">
        <v>75</v>
      </c>
      <c r="C916" s="12">
        <f>COUNTIFS('DEF_SELF_SCOUT_IMPORT'!$L$42:$L$1040,"Y",'DEF_SELF_SCOUT_IMPORT'!$E$42:$E$1040,SUBSTITUTE(SUBSTITUTE(SUBSTITUTE($B916,"~","~~"),"*","~*"),"?","~?"),'DEF_SELF_SCOUT_IMPORT'!$Q$42:$Q$1040,SUBSTITUTE(SUBSTITUTE(SUBSTITUTE($M916,"~","~~"),"*","~*"),"?","~?"),'DEF_SELF_SCOUT_IMPORT'!$D$42:$D$1040,SUBSTITUTE(SUBSTITUTE(SUBSTITUTE($P916,"~","~~"),"*","~*"),"?","~?"))</f>
        <v>1</v>
      </c>
      <c r="D916" s="10">
        <f>IF($C916=0,"",SUMIFS('DEF_SELF_SCOUT_IMPORT'!$J$42:$J$1040,'DEF_SELF_SCOUT_IMPORT'!$L$42:$L$1040,"Y",'DEF_SELF_SCOUT_IMPORT'!$E$42:$E$1040,SUBSTITUTE(SUBSTITUTE(SUBSTITUTE($B916,"~","~~"),"*","~*"),"?","~?"),'DEF_SELF_SCOUT_IMPORT'!$Q$42:$Q$1040,SUBSTITUTE(SUBSTITUTE(SUBSTITUTE($M916,"~","~~"),"*","~*"),"?","~?"),'DEF_SELF_SCOUT_IMPORT'!$D$42:$D$1040,SUBSTITUTE(SUBSTITUTE(SUBSTITUTE($P916,"~","~~"),"*","~*"),"?","~?"))/$C916)</f>
        <v>0.0</v>
      </c>
      <c r="E916" s="10">
        <f>IF($C916=0,"",SUMIFS('DEF_SELF_SCOUT_IMPORT'!$K$42:$K$1040,'DEF_SELF_SCOUT_IMPORT'!$L$42:$L$1040,"Y",'DEF_SELF_SCOUT_IMPORT'!$E$42:$E$1040,SUBSTITUTE(SUBSTITUTE(SUBSTITUTE($B916,"~","~~"),"*","~*"),"?","~?"),'DEF_SELF_SCOUT_IMPORT'!$Q$42:$Q$1040,SUBSTITUTE(SUBSTITUTE(SUBSTITUTE($M916,"~","~~"),"*","~*"),"?","~?"),'DEF_SELF_SCOUT_IMPORT'!$D$42:$D$1040,SUBSTITUTE(SUBSTITUTE(SUBSTITUTE($P916,"~","~~"),"*","~*"),"?","~?"))/$C916)</f>
        <v>0.0</v>
      </c>
      <c r="F916" s="11">
        <f>IF($C916=0,"",AVERAGEIFS('DEF_SELF_SCOUT_IMPORT'!$I$42:$I$1040,'DEF_SELF_SCOUT_IMPORT'!$L$42:$L$1040,"Y",'DEF_SELF_SCOUT_IMPORT'!$E$42:$E$1040,SUBSTITUTE(SUBSTITUTE(SUBSTITUTE($B916,"~","~~"),"*","~*"),"?","~?"),'DEF_SELF_SCOUT_IMPORT'!$Q$42:$Q$1040,SUBSTITUTE(SUBSTITUTE(SUBSTITUTE($M916,"~","~~"),"*","~*"),"?","~?"),'DEF_SELF_SCOUT_IMPORT'!$D$42:$D$1040,SUBSTITUTE(SUBSTITUTE(SUBSTITUTE($P916,"~","~~"),"*","~*"),"?","~?")))</f>
        <v>7.0</v>
      </c>
      <c r="G916" s="10">
        <f>IF($C916=0,"",COUNTIFS('DEF_SELF_SCOUT_IMPORT'!$L$42:$L$1040,"Y",'DEF_SELF_SCOUT_IMPORT'!$E$42:$E$1040,SUBSTITUTE(SUBSTITUTE(SUBSTITUTE($B916,"~","~~"),"*","~*"),"?","~?"),'DEF_SELF_SCOUT_IMPORT'!$Q$42:$Q$1040,SUBSTITUTE(SUBSTITUTE(SUBSTITUTE($M916,"~","~~"),"*","~*"),"?","~?"),'DEF_SELF_SCOUT_IMPORT'!$D$42:$D$1040,SUBSTITUTE(SUBSTITUTE(SUBSTITUTE($P916,"~","~~"),"*","~*"),"?","~?"),'DEF_SELF_SCOUT_IMPORT'!$H$42:$H$1040,"RUSH")/$C916)</f>
        <v>1.0</v>
      </c>
      <c r="H916" s="10">
        <f>IF($C916=0,"",COUNTIFS('DEF_SELF_SCOUT_IMPORT'!$L$42:$L$1040,"Y",'DEF_SELF_SCOUT_IMPORT'!$E$42:$E$1040,SUBSTITUTE(SUBSTITUTE(SUBSTITUTE($B916,"~","~~"),"*","~*"),"?","~?"),'DEF_SELF_SCOUT_IMPORT'!$Q$42:$Q$1040,SUBSTITUTE(SUBSTITUTE(SUBSTITUTE($M916,"~","~~"),"*","~*"),"?","~?"),'DEF_SELF_SCOUT_IMPORT'!$D$42:$D$1040,SUBSTITUTE(SUBSTITUTE(SUBSTITUTE($P916,"~","~~"),"*","~*"),"?","~?"),'DEF_SELF_SCOUT_IMPORT'!$H$42:$H$1040,"DROPBACK")/$C916)</f>
        <v>0.0</v>
      </c>
      <c r="I916" s="14" t="str">
        <f>IF(C916=0,"",IF(C916&lt;=2,"TRACK",IF(C916=3,"LOW",IF(C916&lt;=6,"MEDIUM","HIGH"))))</f>
        <v>TRACK</v>
      </c>
      <c r="J916" s="11">
        <f>IF(C916=0,"",ROUND(D916*70+(1-E916)*20+MAX(0,MIN(1,(10-F916)/10))*10,1))</f>
        <v>23.0</v>
      </c>
      <c r="K916" s="14" t="str">
        <f>IF(C916=0,"No Evidence",IF(C916&lt;=2,IF(E916&gt;0,"Explosive Alert","Track Only"),IF(C916=3,"Sample Watch",IF(E916&gt;=START_HERE!$B$31,"Explosive Alert",IF(J916&gt;=80,"Strong Candidate",IF(J916&gt;=65,"Good Candidate",IF(J916&gt;=50,"Mixed / Review","Problem Call")))))))</f>
        <v>Track Only</v>
      </c>
      <c r="L916" s="9" t="str">
        <f>IF(COUNTIFS('DEF_SELF_SCOUT_IMPORT'!$L$42:$L$1040,"Y",'DEF_SELF_SCOUT_IMPORT'!$E$42:$E$1040,SUBSTITUTE(SUBSTITUTE(SUBSTITUTE($B916,"~","~~"),"*","~*"),"?","~?"),'DEF_SELF_SCOUT_IMPORT'!$Q$42:$Q$1040,SUBSTITUTE(SUBSTITUTE(SUBSTITUTE($M916,"~","~~"),"*","~*"),"?","~?"),'DEF_SELF_SCOUT_IMPORT'!$D$42:$D$1040,SUBSTITUTE(SUBSTITUTE(SUBSTITUTE($P916,"~","~~"),"*","~*"),"?","~?"),'DEF_SELF_SCOUT_IMPORT'!$J$42:$J$1040,"")&gt;0,"Unscored clean outcome; review result tags before using score.",IF(C916=0,"No matching defensive reps; film confirmation needed.",IF(K916="Explosive Alert","Explosive risk; review clips before using as answer.",IF(C916&lt;=2,"Track only; not enough sample.",IF(C916=3,IF(E916&gt;0,"Sample watch with explosive exposure; review clips and build the sample.",IF(J916&gt;=65,"Good signal, but sample is limited.","Sample watch; review clips and build the sample.")),IF(K916="Problem Call","Problem area; practice or call-sheet review.",IF(K916="Strong Candidate","Strong call-fit candidate; confirm on film.",IF(K916="Good Candidate","Good call-fit signal; confirm on film.","Mixed signal; review fit and execution on film."))))))))</f>
        <v>Track only; not enough sample.</v>
      </c>
      <c r="M916" s="8" t="s">
        <v>82</v>
      </c>
      <c r="N916" s="8"/>
      <c r="O916" s="8"/>
      <c r="P916" s="8" t="s">
        <v>428</v>
      </c>
      <c r="Q916" s="8"/>
      <c r="R916" s="8" t="s">
        <v>429</v>
      </c>
      <c r="S916" s="2" t="s">
        <v>519</v>
      </c>
      <c r="T916" s="2">
        <f>IF(C916=0,0,IF(C916&gt;=CALL_LOOKUP_BOARD!$B$7,IF(OR(K916="Problem Call",K916="Explosive Alert"),10000000,20000000),0)+IF(C916&gt;=CALL_LOOKUP_BOARD!$B$7,J916*1000+MIN(C916,999),C916*1000+J916)+0.00989400)</f>
        <v>1023.009894</v>
      </c>
      <c r="U916" s="2">
        <f>IF(C916=0,"",IF(COUNTIFS($S$811:$S$1055,SUBSTITUTE(SUBSTITUTE(SUBSTITUTE(S916,"~","~~"),"*","~*"),"?","~?"),$T$811:$T$1055,"&gt;"&amp;T916)=0,S916,""))</f>
        <v/>
      </c>
    </row>
    <row r="917" spans="1:21" ht="38" customHeight="1">
      <c r="A917" s="8" t="s">
        <v>518</v>
      </c>
      <c r="B917" s="8" t="s">
        <v>69</v>
      </c>
      <c r="C917" s="12">
        <f>COUNTIFS('DEF_SELF_SCOUT_IMPORT'!$L$42:$L$1040,"Y",'DEF_SELF_SCOUT_IMPORT'!$E$42:$E$1040,SUBSTITUTE(SUBSTITUTE(SUBSTITUTE($B917,"~","~~"),"*","~*"),"?","~?"),'DEF_SELF_SCOUT_IMPORT'!$Q$42:$Q$1040,SUBSTITUTE(SUBSTITUTE(SUBSTITUTE($M917,"~","~~"),"*","~*"),"?","~?"),'DEF_SELF_SCOUT_IMPORT'!$D$42:$D$1040,SUBSTITUTE(SUBSTITUTE(SUBSTITUTE($P917,"~","~~"),"*","~*"),"?","~?"))</f>
        <v>1</v>
      </c>
      <c r="D917" s="10">
        <f>IF($C917=0,"",SUMIFS('DEF_SELF_SCOUT_IMPORT'!$J$42:$J$1040,'DEF_SELF_SCOUT_IMPORT'!$L$42:$L$1040,"Y",'DEF_SELF_SCOUT_IMPORT'!$E$42:$E$1040,SUBSTITUTE(SUBSTITUTE(SUBSTITUTE($B917,"~","~~"),"*","~*"),"?","~?"),'DEF_SELF_SCOUT_IMPORT'!$Q$42:$Q$1040,SUBSTITUTE(SUBSTITUTE(SUBSTITUTE($M917,"~","~~"),"*","~*"),"?","~?"),'DEF_SELF_SCOUT_IMPORT'!$D$42:$D$1040,SUBSTITUTE(SUBSTITUTE(SUBSTITUTE($P917,"~","~~"),"*","~*"),"?","~?"))/$C917)</f>
        <v>1.0</v>
      </c>
      <c r="E917" s="10">
        <f>IF($C917=0,"",SUMIFS('DEF_SELF_SCOUT_IMPORT'!$K$42:$K$1040,'DEF_SELF_SCOUT_IMPORT'!$L$42:$L$1040,"Y",'DEF_SELF_SCOUT_IMPORT'!$E$42:$E$1040,SUBSTITUTE(SUBSTITUTE(SUBSTITUTE($B917,"~","~~"),"*","~*"),"?","~?"),'DEF_SELF_SCOUT_IMPORT'!$Q$42:$Q$1040,SUBSTITUTE(SUBSTITUTE(SUBSTITUTE($M917,"~","~~"),"*","~*"),"?","~?"),'DEF_SELF_SCOUT_IMPORT'!$D$42:$D$1040,SUBSTITUTE(SUBSTITUTE(SUBSTITUTE($P917,"~","~~"),"*","~*"),"?","~?"))/$C917)</f>
        <v>0.0</v>
      </c>
      <c r="F917" s="11">
        <f>IF($C917=0,"",AVERAGEIFS('DEF_SELF_SCOUT_IMPORT'!$I$42:$I$1040,'DEF_SELF_SCOUT_IMPORT'!$L$42:$L$1040,"Y",'DEF_SELF_SCOUT_IMPORT'!$E$42:$E$1040,SUBSTITUTE(SUBSTITUTE(SUBSTITUTE($B917,"~","~~"),"*","~*"),"?","~?"),'DEF_SELF_SCOUT_IMPORT'!$Q$42:$Q$1040,SUBSTITUTE(SUBSTITUTE(SUBSTITUTE($M917,"~","~~"),"*","~*"),"?","~?"),'DEF_SELF_SCOUT_IMPORT'!$D$42:$D$1040,SUBSTITUTE(SUBSTITUTE(SUBSTITUTE($P917,"~","~~"),"*","~*"),"?","~?")))</f>
        <v>2.0</v>
      </c>
      <c r="G917" s="10">
        <f>IF($C917=0,"",COUNTIFS('DEF_SELF_SCOUT_IMPORT'!$L$42:$L$1040,"Y",'DEF_SELF_SCOUT_IMPORT'!$E$42:$E$1040,SUBSTITUTE(SUBSTITUTE(SUBSTITUTE($B917,"~","~~"),"*","~*"),"?","~?"),'DEF_SELF_SCOUT_IMPORT'!$Q$42:$Q$1040,SUBSTITUTE(SUBSTITUTE(SUBSTITUTE($M917,"~","~~"),"*","~*"),"?","~?"),'DEF_SELF_SCOUT_IMPORT'!$D$42:$D$1040,SUBSTITUTE(SUBSTITUTE(SUBSTITUTE($P917,"~","~~"),"*","~*"),"?","~?"),'DEF_SELF_SCOUT_IMPORT'!$H$42:$H$1040,"RUSH")/$C917)</f>
        <v>1.0</v>
      </c>
      <c r="H917" s="10">
        <f>IF($C917=0,"",COUNTIFS('DEF_SELF_SCOUT_IMPORT'!$L$42:$L$1040,"Y",'DEF_SELF_SCOUT_IMPORT'!$E$42:$E$1040,SUBSTITUTE(SUBSTITUTE(SUBSTITUTE($B917,"~","~~"),"*","~*"),"?","~?"),'DEF_SELF_SCOUT_IMPORT'!$Q$42:$Q$1040,SUBSTITUTE(SUBSTITUTE(SUBSTITUTE($M917,"~","~~"),"*","~*"),"?","~?"),'DEF_SELF_SCOUT_IMPORT'!$D$42:$D$1040,SUBSTITUTE(SUBSTITUTE(SUBSTITUTE($P917,"~","~~"),"*","~*"),"?","~?"),'DEF_SELF_SCOUT_IMPORT'!$H$42:$H$1040,"DROPBACK")/$C917)</f>
        <v>0.0</v>
      </c>
      <c r="I917" s="14" t="str">
        <f>IF(C917=0,"",IF(C917&lt;=2,"TRACK",IF(C917=3,"LOW",IF(C917&lt;=6,"MEDIUM","HIGH"))))</f>
        <v>TRACK</v>
      </c>
      <c r="J917" s="11">
        <f>IF(C917=0,"",ROUND(D917*70+(1-E917)*20+MAX(0,MIN(1,(10-F917)/10))*10,1))</f>
        <v>98.0</v>
      </c>
      <c r="K917" s="14" t="str">
        <f>IF(C917=0,"No Evidence",IF(C917&lt;=2,IF(E917&gt;0,"Explosive Alert","Track Only"),IF(C917=3,"Sample Watch",IF(E917&gt;=START_HERE!$B$31,"Explosive Alert",IF(J917&gt;=80,"Strong Candidate",IF(J917&gt;=65,"Good Candidate",IF(J917&gt;=50,"Mixed / Review","Problem Call")))))))</f>
        <v>Track Only</v>
      </c>
      <c r="L917" s="9" t="str">
        <f>IF(COUNTIFS('DEF_SELF_SCOUT_IMPORT'!$L$42:$L$1040,"Y",'DEF_SELF_SCOUT_IMPORT'!$E$42:$E$1040,SUBSTITUTE(SUBSTITUTE(SUBSTITUTE($B917,"~","~~"),"*","~*"),"?","~?"),'DEF_SELF_SCOUT_IMPORT'!$Q$42:$Q$1040,SUBSTITUTE(SUBSTITUTE(SUBSTITUTE($M917,"~","~~"),"*","~*"),"?","~?"),'DEF_SELF_SCOUT_IMPORT'!$D$42:$D$1040,SUBSTITUTE(SUBSTITUTE(SUBSTITUTE($P917,"~","~~"),"*","~*"),"?","~?"),'DEF_SELF_SCOUT_IMPORT'!$J$42:$J$1040,"")&gt;0,"Unscored clean outcome; review result tags before using score.",IF(C917=0,"No matching defensive reps; film confirmation needed.",IF(K917="Explosive Alert","Explosive risk; review clips before using as answer.",IF(C917&lt;=2,"Track only; not enough sample.",IF(C917=3,IF(E917&gt;0,"Sample watch with explosive exposure; review clips and build the sample.",IF(J917&gt;=65,"Good signal, but sample is limited.","Sample watch; review clips and build the sample.")),IF(K917="Problem Call","Problem area; practice or call-sheet review.",IF(K917="Strong Candidate","Strong call-fit candidate; confirm on film.",IF(K917="Good Candidate","Good call-fit signal; confirm on film.","Mixed signal; review fit and execution on film."))))))))</f>
        <v>Track only; not enough sample.</v>
      </c>
      <c r="M917" s="8" t="s">
        <v>82</v>
      </c>
      <c r="N917" s="8"/>
      <c r="O917" s="8"/>
      <c r="P917" s="8" t="s">
        <v>428</v>
      </c>
      <c r="Q917" s="8"/>
      <c r="R917" s="8" t="s">
        <v>429</v>
      </c>
      <c r="S917" s="2" t="s">
        <v>519</v>
      </c>
      <c r="T917" s="2">
        <f>IF(C917=0,0,IF(C917&gt;=CALL_LOOKUP_BOARD!$B$7,IF(OR(K917="Problem Call",K917="Explosive Alert"),10000000,20000000),0)+IF(C917&gt;=CALL_LOOKUP_BOARD!$B$7,J917*1000+MIN(C917,999),C917*1000+J917)+0.00989300)</f>
        <v>1098.009893</v>
      </c>
      <c r="U917" s="2">
        <f>IF(C917=0,"",IF(COUNTIFS($S$811:$S$1055,SUBSTITUTE(SUBSTITUTE(SUBSTITUTE(S917,"~","~~"),"*","~*"),"?","~?"),$T$811:$T$1055,"&gt;"&amp;T917)=0,S917,""))</f>
        <v/>
      </c>
    </row>
    <row r="918" spans="1:21" ht="38" customHeight="1">
      <c r="A918" s="8" t="s">
        <v>520</v>
      </c>
      <c r="B918" s="8" t="s">
        <v>27</v>
      </c>
      <c r="C918" s="12">
        <f>COUNTIFS('DEF_SELF_SCOUT_IMPORT'!$L$42:$L$1040,"Y",'DEF_SELF_SCOUT_IMPORT'!$E$42:$E$1040,SUBSTITUTE(SUBSTITUTE(SUBSTITUTE($B918,"~","~~"),"*","~*"),"?","~?"),'DEF_SELF_SCOUT_IMPORT'!$Q$42:$Q$1040,SUBSTITUTE(SUBSTITUTE(SUBSTITUTE($M918,"~","~~"),"*","~*"),"?","~?"),'DEF_SELF_SCOUT_IMPORT'!$D$42:$D$1040,SUBSTITUTE(SUBSTITUTE(SUBSTITUTE($P918,"~","~~"),"*","~*"),"?","~?"))</f>
        <v>1</v>
      </c>
      <c r="D918" s="10">
        <f>IF($C918=0,"",SUMIFS('DEF_SELF_SCOUT_IMPORT'!$J$42:$J$1040,'DEF_SELF_SCOUT_IMPORT'!$L$42:$L$1040,"Y",'DEF_SELF_SCOUT_IMPORT'!$E$42:$E$1040,SUBSTITUTE(SUBSTITUTE(SUBSTITUTE($B918,"~","~~"),"*","~*"),"?","~?"),'DEF_SELF_SCOUT_IMPORT'!$Q$42:$Q$1040,SUBSTITUTE(SUBSTITUTE(SUBSTITUTE($M918,"~","~~"),"*","~*"),"?","~?"),'DEF_SELF_SCOUT_IMPORT'!$D$42:$D$1040,SUBSTITUTE(SUBSTITUTE(SUBSTITUTE($P918,"~","~~"),"*","~*"),"?","~?"))/$C918)</f>
        <v>1.0</v>
      </c>
      <c r="E918" s="10">
        <f>IF($C918=0,"",SUMIFS('DEF_SELF_SCOUT_IMPORT'!$K$42:$K$1040,'DEF_SELF_SCOUT_IMPORT'!$L$42:$L$1040,"Y",'DEF_SELF_SCOUT_IMPORT'!$E$42:$E$1040,SUBSTITUTE(SUBSTITUTE(SUBSTITUTE($B918,"~","~~"),"*","~*"),"?","~?"),'DEF_SELF_SCOUT_IMPORT'!$Q$42:$Q$1040,SUBSTITUTE(SUBSTITUTE(SUBSTITUTE($M918,"~","~~"),"*","~*"),"?","~?"),'DEF_SELF_SCOUT_IMPORT'!$D$42:$D$1040,SUBSTITUTE(SUBSTITUTE(SUBSTITUTE($P918,"~","~~"),"*","~*"),"?","~?"))/$C918)</f>
        <v>0.0</v>
      </c>
      <c r="F918" s="11">
        <f>IF($C918=0,"",AVERAGEIFS('DEF_SELF_SCOUT_IMPORT'!$I$42:$I$1040,'DEF_SELF_SCOUT_IMPORT'!$L$42:$L$1040,"Y",'DEF_SELF_SCOUT_IMPORT'!$E$42:$E$1040,SUBSTITUTE(SUBSTITUTE(SUBSTITUTE($B918,"~","~~"),"*","~*"),"?","~?"),'DEF_SELF_SCOUT_IMPORT'!$Q$42:$Q$1040,SUBSTITUTE(SUBSTITUTE(SUBSTITUTE($M918,"~","~~"),"*","~*"),"?","~?"),'DEF_SELF_SCOUT_IMPORT'!$D$42:$D$1040,SUBSTITUTE(SUBSTITUTE(SUBSTITUTE($P918,"~","~~"),"*","~*"),"?","~?")))</f>
        <v>0.0</v>
      </c>
      <c r="G918" s="10">
        <f>IF($C918=0,"",COUNTIFS('DEF_SELF_SCOUT_IMPORT'!$L$42:$L$1040,"Y",'DEF_SELF_SCOUT_IMPORT'!$E$42:$E$1040,SUBSTITUTE(SUBSTITUTE(SUBSTITUTE($B918,"~","~~"),"*","~*"),"?","~?"),'DEF_SELF_SCOUT_IMPORT'!$Q$42:$Q$1040,SUBSTITUTE(SUBSTITUTE(SUBSTITUTE($M918,"~","~~"),"*","~*"),"?","~?"),'DEF_SELF_SCOUT_IMPORT'!$D$42:$D$1040,SUBSTITUTE(SUBSTITUTE(SUBSTITUTE($P918,"~","~~"),"*","~*"),"?","~?"),'DEF_SELF_SCOUT_IMPORT'!$H$42:$H$1040,"RUSH")/$C918)</f>
        <v>1.0</v>
      </c>
      <c r="H918" s="10">
        <f>IF($C918=0,"",COUNTIFS('DEF_SELF_SCOUT_IMPORT'!$L$42:$L$1040,"Y",'DEF_SELF_SCOUT_IMPORT'!$E$42:$E$1040,SUBSTITUTE(SUBSTITUTE(SUBSTITUTE($B918,"~","~~"),"*","~*"),"?","~?"),'DEF_SELF_SCOUT_IMPORT'!$Q$42:$Q$1040,SUBSTITUTE(SUBSTITUTE(SUBSTITUTE($M918,"~","~~"),"*","~*"),"?","~?"),'DEF_SELF_SCOUT_IMPORT'!$D$42:$D$1040,SUBSTITUTE(SUBSTITUTE(SUBSTITUTE($P918,"~","~~"),"*","~*"),"?","~?"),'DEF_SELF_SCOUT_IMPORT'!$H$42:$H$1040,"DROPBACK")/$C918)</f>
        <v>0.0</v>
      </c>
      <c r="I918" s="14" t="str">
        <f>IF(C918=0,"",IF(C918&lt;=2,"TRACK",IF(C918=3,"LOW",IF(C918&lt;=6,"MEDIUM","HIGH"))))</f>
        <v>TRACK</v>
      </c>
      <c r="J918" s="11">
        <f>IF(C918=0,"",ROUND(D918*70+(1-E918)*20+MAX(0,MIN(1,(10-F918)/10))*10,1))</f>
        <v>100.0</v>
      </c>
      <c r="K918" s="14" t="str">
        <f>IF(C918=0,"No Evidence",IF(C918&lt;=2,IF(E918&gt;0,"Explosive Alert","Track Only"),IF(C918=3,"Sample Watch",IF(E918&gt;=START_HERE!$B$31,"Explosive Alert",IF(J918&gt;=80,"Strong Candidate",IF(J918&gt;=65,"Good Candidate",IF(J918&gt;=50,"Mixed / Review","Problem Call")))))))</f>
        <v>Track Only</v>
      </c>
      <c r="L918" s="9" t="str">
        <f>IF(COUNTIFS('DEF_SELF_SCOUT_IMPORT'!$L$42:$L$1040,"Y",'DEF_SELF_SCOUT_IMPORT'!$E$42:$E$1040,SUBSTITUTE(SUBSTITUTE(SUBSTITUTE($B918,"~","~~"),"*","~*"),"?","~?"),'DEF_SELF_SCOUT_IMPORT'!$Q$42:$Q$1040,SUBSTITUTE(SUBSTITUTE(SUBSTITUTE($M918,"~","~~"),"*","~*"),"?","~?"),'DEF_SELF_SCOUT_IMPORT'!$D$42:$D$1040,SUBSTITUTE(SUBSTITUTE(SUBSTITUTE($P918,"~","~~"),"*","~*"),"?","~?"),'DEF_SELF_SCOUT_IMPORT'!$J$42:$J$1040,"")&gt;0,"Unscored clean outcome; review result tags before using score.",IF(C918=0,"No matching defensive reps; film confirmation needed.",IF(K918="Explosive Alert","Explosive risk; review clips before using as answer.",IF(C918&lt;=2,"Track only; not enough sample.",IF(C918=3,IF(E918&gt;0,"Sample watch with explosive exposure; review clips and build the sample.",IF(J918&gt;=65,"Good signal, but sample is limited.","Sample watch; review clips and build the sample.")),IF(K918="Problem Call","Problem area; practice or call-sheet review.",IF(K918="Strong Candidate","Strong call-fit candidate; confirm on film.",IF(K918="Good Candidate","Good call-fit signal; confirm on film.","Mixed signal; review fit and execution on film."))))))))</f>
        <v>Track only; not enough sample.</v>
      </c>
      <c r="M918" s="8" t="s">
        <v>82</v>
      </c>
      <c r="N918" s="8"/>
      <c r="O918" s="8"/>
      <c r="P918" s="8" t="s">
        <v>465</v>
      </c>
      <c r="Q918" s="8"/>
      <c r="R918" s="8" t="s">
        <v>429</v>
      </c>
      <c r="S918" s="2" t="s">
        <v>521</v>
      </c>
      <c r="T918" s="2">
        <f>IF(C918=0,0,IF(C918&gt;=CALL_LOOKUP_BOARD!$B$7,IF(OR(K918="Problem Call",K918="Explosive Alert"),10000000,20000000),0)+IF(C918&gt;=CALL_LOOKUP_BOARD!$B$7,J918*1000+MIN(C918,999),C918*1000+J918)+0.00989200)</f>
        <v>1100.009892</v>
      </c>
      <c r="U918" s="2" t="str">
        <f>IF(C918=0,"",IF(COUNTIFS($S$811:$S$1055,SUBSTITUTE(SUBSTITUTE(SUBSTITUTE(S918,"~","~~"),"*","~*"),"?","~?"),$T$811:$T$1055,"&gt;"&amp;T918)=0,S918,""))</f>
        <v>6:2D 4-6|12:OUTSIDE ZONE|</v>
      </c>
    </row>
    <row r="919" spans="1:21" ht="38" customHeight="1">
      <c r="A919" s="8" t="s">
        <v>520</v>
      </c>
      <c r="B919" s="8" t="s">
        <v>32</v>
      </c>
      <c r="C919" s="12">
        <f>COUNTIFS('DEF_SELF_SCOUT_IMPORT'!$L$42:$L$1040,"Y",'DEF_SELF_SCOUT_IMPORT'!$E$42:$E$1040,SUBSTITUTE(SUBSTITUTE(SUBSTITUTE($B919,"~","~~"),"*","~*"),"?","~?"),'DEF_SELF_SCOUT_IMPORT'!$Q$42:$Q$1040,SUBSTITUTE(SUBSTITUTE(SUBSTITUTE($M919,"~","~~"),"*","~*"),"?","~?"),'DEF_SELF_SCOUT_IMPORT'!$D$42:$D$1040,SUBSTITUTE(SUBSTITUTE(SUBSTITUTE($P919,"~","~~"),"*","~*"),"?","~?"))</f>
        <v>1</v>
      </c>
      <c r="D919" s="10">
        <f>IF($C919=0,"",SUMIFS('DEF_SELF_SCOUT_IMPORT'!$J$42:$J$1040,'DEF_SELF_SCOUT_IMPORT'!$L$42:$L$1040,"Y",'DEF_SELF_SCOUT_IMPORT'!$E$42:$E$1040,SUBSTITUTE(SUBSTITUTE(SUBSTITUTE($B919,"~","~~"),"*","~*"),"?","~?"),'DEF_SELF_SCOUT_IMPORT'!$Q$42:$Q$1040,SUBSTITUTE(SUBSTITUTE(SUBSTITUTE($M919,"~","~~"),"*","~*"),"?","~?"),'DEF_SELF_SCOUT_IMPORT'!$D$42:$D$1040,SUBSTITUTE(SUBSTITUTE(SUBSTITUTE($P919,"~","~~"),"*","~*"),"?","~?"))/$C919)</f>
        <v>0.0</v>
      </c>
      <c r="E919" s="10">
        <f>IF($C919=0,"",SUMIFS('DEF_SELF_SCOUT_IMPORT'!$K$42:$K$1040,'DEF_SELF_SCOUT_IMPORT'!$L$42:$L$1040,"Y",'DEF_SELF_SCOUT_IMPORT'!$E$42:$E$1040,SUBSTITUTE(SUBSTITUTE(SUBSTITUTE($B919,"~","~~"),"*","~*"),"?","~?"),'DEF_SELF_SCOUT_IMPORT'!$Q$42:$Q$1040,SUBSTITUTE(SUBSTITUTE(SUBSTITUTE($M919,"~","~~"),"*","~*"),"?","~?"),'DEF_SELF_SCOUT_IMPORT'!$D$42:$D$1040,SUBSTITUTE(SUBSTITUTE(SUBSTITUTE($P919,"~","~~"),"*","~*"),"?","~?"))/$C919)</f>
        <v>1.0</v>
      </c>
      <c r="F919" s="11">
        <f>IF($C919=0,"",AVERAGEIFS('DEF_SELF_SCOUT_IMPORT'!$I$42:$I$1040,'DEF_SELF_SCOUT_IMPORT'!$L$42:$L$1040,"Y",'DEF_SELF_SCOUT_IMPORT'!$E$42:$E$1040,SUBSTITUTE(SUBSTITUTE(SUBSTITUTE($B919,"~","~~"),"*","~*"),"?","~?"),'DEF_SELF_SCOUT_IMPORT'!$Q$42:$Q$1040,SUBSTITUTE(SUBSTITUTE(SUBSTITUTE($M919,"~","~~"),"*","~*"),"?","~?"),'DEF_SELF_SCOUT_IMPORT'!$D$42:$D$1040,SUBSTITUTE(SUBSTITUTE(SUBSTITUTE($P919,"~","~~"),"*","~*"),"?","~?")))</f>
        <v>16.0</v>
      </c>
      <c r="G919" s="10">
        <f>IF($C919=0,"",COUNTIFS('DEF_SELF_SCOUT_IMPORT'!$L$42:$L$1040,"Y",'DEF_SELF_SCOUT_IMPORT'!$E$42:$E$1040,SUBSTITUTE(SUBSTITUTE(SUBSTITUTE($B919,"~","~~"),"*","~*"),"?","~?"),'DEF_SELF_SCOUT_IMPORT'!$Q$42:$Q$1040,SUBSTITUTE(SUBSTITUTE(SUBSTITUTE($M919,"~","~~"),"*","~*"),"?","~?"),'DEF_SELF_SCOUT_IMPORT'!$D$42:$D$1040,SUBSTITUTE(SUBSTITUTE(SUBSTITUTE($P919,"~","~~"),"*","~*"),"?","~?"),'DEF_SELF_SCOUT_IMPORT'!$H$42:$H$1040,"RUSH")/$C919)</f>
        <v>1.0</v>
      </c>
      <c r="H919" s="10">
        <f>IF($C919=0,"",COUNTIFS('DEF_SELF_SCOUT_IMPORT'!$L$42:$L$1040,"Y",'DEF_SELF_SCOUT_IMPORT'!$E$42:$E$1040,SUBSTITUTE(SUBSTITUTE(SUBSTITUTE($B919,"~","~~"),"*","~*"),"?","~?"),'DEF_SELF_SCOUT_IMPORT'!$Q$42:$Q$1040,SUBSTITUTE(SUBSTITUTE(SUBSTITUTE($M919,"~","~~"),"*","~*"),"?","~?"),'DEF_SELF_SCOUT_IMPORT'!$D$42:$D$1040,SUBSTITUTE(SUBSTITUTE(SUBSTITUTE($P919,"~","~~"),"*","~*"),"?","~?"),'DEF_SELF_SCOUT_IMPORT'!$H$42:$H$1040,"DROPBACK")/$C919)</f>
        <v>0.0</v>
      </c>
      <c r="I919" s="14" t="str">
        <f>IF(C919=0,"",IF(C919&lt;=2,"TRACK",IF(C919=3,"LOW",IF(C919&lt;=6,"MEDIUM","HIGH"))))</f>
        <v>TRACK</v>
      </c>
      <c r="J919" s="11">
        <f>IF(C919=0,"",ROUND(D919*70+(1-E919)*20+MAX(0,MIN(1,(10-F919)/10))*10,1))</f>
        <v>0.0</v>
      </c>
      <c r="K919" s="14" t="str">
        <f>IF(C919=0,"No Evidence",IF(C919&lt;=2,IF(E919&gt;0,"Explosive Alert","Track Only"),IF(C919=3,"Sample Watch",IF(E919&gt;=START_HERE!$B$31,"Explosive Alert",IF(J919&gt;=80,"Strong Candidate",IF(J919&gt;=65,"Good Candidate",IF(J919&gt;=50,"Mixed / Review","Problem Call")))))))</f>
        <v>Explosive Alert</v>
      </c>
      <c r="L919" s="9" t="str">
        <f>IF(COUNTIFS('DEF_SELF_SCOUT_IMPORT'!$L$42:$L$1040,"Y",'DEF_SELF_SCOUT_IMPORT'!$E$42:$E$1040,SUBSTITUTE(SUBSTITUTE(SUBSTITUTE($B919,"~","~~"),"*","~*"),"?","~?"),'DEF_SELF_SCOUT_IMPORT'!$Q$42:$Q$1040,SUBSTITUTE(SUBSTITUTE(SUBSTITUTE($M919,"~","~~"),"*","~*"),"?","~?"),'DEF_SELF_SCOUT_IMPORT'!$D$42:$D$1040,SUBSTITUTE(SUBSTITUTE(SUBSTITUTE($P919,"~","~~"),"*","~*"),"?","~?"),'DEF_SELF_SCOUT_IMPORT'!$J$42:$J$1040,"")&gt;0,"Unscored clean outcome; review result tags before using score.",IF(C919=0,"No matching defensive reps; film confirmation needed.",IF(K919="Explosive Alert","Explosive risk; review clips before using as answer.",IF(C919&lt;=2,"Track only; not enough sample.",IF(C919=3,IF(E919&gt;0,"Sample watch with explosive exposure; review clips and build the sample.",IF(J919&gt;=65,"Good signal, but sample is limited.","Sample watch; review clips and build the sample.")),IF(K919="Problem Call","Problem area; practice or call-sheet review.",IF(K919="Strong Candidate","Strong call-fit candidate; confirm on film.",IF(K919="Good Candidate","Good call-fit signal; confirm on film.","Mixed signal; review fit and execution on film."))))))))</f>
        <v>Explosive risk; review clips before using as answer.</v>
      </c>
      <c r="M919" s="8" t="s">
        <v>82</v>
      </c>
      <c r="N919" s="8"/>
      <c r="O919" s="8"/>
      <c r="P919" s="8" t="s">
        <v>465</v>
      </c>
      <c r="Q919" s="8"/>
      <c r="R919" s="8" t="s">
        <v>429</v>
      </c>
      <c r="S919" s="2" t="s">
        <v>521</v>
      </c>
      <c r="T919" s="2">
        <f>IF(C919=0,0,IF(C919&gt;=CALL_LOOKUP_BOARD!$B$7,IF(OR(K919="Problem Call",K919="Explosive Alert"),10000000,20000000),0)+IF(C919&gt;=CALL_LOOKUP_BOARD!$B$7,J919*1000+MIN(C919,999),C919*1000+J919)+0.00989100)</f>
        <v>1000.009891</v>
      </c>
      <c r="U919" s="2">
        <f>IF(C919=0,"",IF(COUNTIFS($S$811:$S$1055,SUBSTITUTE(SUBSTITUTE(SUBSTITUTE(S919,"~","~~"),"*","~*"),"?","~?"),$T$811:$T$1055,"&gt;"&amp;T919)=0,S919,""))</f>
        <v/>
      </c>
    </row>
    <row r="920" spans="1:21" ht="38" customHeight="1">
      <c r="A920" s="8" t="s">
        <v>520</v>
      </c>
      <c r="B920" s="8" t="s">
        <v>80</v>
      </c>
      <c r="C920" s="12">
        <f>COUNTIFS('DEF_SELF_SCOUT_IMPORT'!$L$42:$L$1040,"Y",'DEF_SELF_SCOUT_IMPORT'!$E$42:$E$1040,SUBSTITUTE(SUBSTITUTE(SUBSTITUTE($B920,"~","~~"),"*","~*"),"?","~?"),'DEF_SELF_SCOUT_IMPORT'!$Q$42:$Q$1040,SUBSTITUTE(SUBSTITUTE(SUBSTITUTE($M920,"~","~~"),"*","~*"),"?","~?"),'DEF_SELF_SCOUT_IMPORT'!$D$42:$D$1040,SUBSTITUTE(SUBSTITUTE(SUBSTITUTE($P920,"~","~~"),"*","~*"),"?","~?"))</f>
        <v>1</v>
      </c>
      <c r="D920" s="10">
        <f>IF($C920=0,"",SUMIFS('DEF_SELF_SCOUT_IMPORT'!$J$42:$J$1040,'DEF_SELF_SCOUT_IMPORT'!$L$42:$L$1040,"Y",'DEF_SELF_SCOUT_IMPORT'!$E$42:$E$1040,SUBSTITUTE(SUBSTITUTE(SUBSTITUTE($B920,"~","~~"),"*","~*"),"?","~?"),'DEF_SELF_SCOUT_IMPORT'!$Q$42:$Q$1040,SUBSTITUTE(SUBSTITUTE(SUBSTITUTE($M920,"~","~~"),"*","~*"),"?","~?"),'DEF_SELF_SCOUT_IMPORT'!$D$42:$D$1040,SUBSTITUTE(SUBSTITUTE(SUBSTITUTE($P920,"~","~~"),"*","~*"),"?","~?"))/$C920)</f>
        <v>0.0</v>
      </c>
      <c r="E920" s="10">
        <f>IF($C920=0,"",SUMIFS('DEF_SELF_SCOUT_IMPORT'!$K$42:$K$1040,'DEF_SELF_SCOUT_IMPORT'!$L$42:$L$1040,"Y",'DEF_SELF_SCOUT_IMPORT'!$E$42:$E$1040,SUBSTITUTE(SUBSTITUTE(SUBSTITUTE($B920,"~","~~"),"*","~*"),"?","~?"),'DEF_SELF_SCOUT_IMPORT'!$Q$42:$Q$1040,SUBSTITUTE(SUBSTITUTE(SUBSTITUTE($M920,"~","~~"),"*","~*"),"?","~?"),'DEF_SELF_SCOUT_IMPORT'!$D$42:$D$1040,SUBSTITUTE(SUBSTITUTE(SUBSTITUTE($P920,"~","~~"),"*","~*"),"?","~?"))/$C920)</f>
        <v>0.0</v>
      </c>
      <c r="F920" s="11">
        <f>IF($C920=0,"",AVERAGEIFS('DEF_SELF_SCOUT_IMPORT'!$I$42:$I$1040,'DEF_SELF_SCOUT_IMPORT'!$L$42:$L$1040,"Y",'DEF_SELF_SCOUT_IMPORT'!$E$42:$E$1040,SUBSTITUTE(SUBSTITUTE(SUBSTITUTE($B920,"~","~~"),"*","~*"),"?","~?"),'DEF_SELF_SCOUT_IMPORT'!$Q$42:$Q$1040,SUBSTITUTE(SUBSTITUTE(SUBSTITUTE($M920,"~","~~"),"*","~*"),"?","~?"),'DEF_SELF_SCOUT_IMPORT'!$D$42:$D$1040,SUBSTITUTE(SUBSTITUTE(SUBSTITUTE($P920,"~","~~"),"*","~*"),"?","~?")))</f>
        <v>8.0</v>
      </c>
      <c r="G920" s="10">
        <f>IF($C920=0,"",COUNTIFS('DEF_SELF_SCOUT_IMPORT'!$L$42:$L$1040,"Y",'DEF_SELF_SCOUT_IMPORT'!$E$42:$E$1040,SUBSTITUTE(SUBSTITUTE(SUBSTITUTE($B920,"~","~~"),"*","~*"),"?","~?"),'DEF_SELF_SCOUT_IMPORT'!$Q$42:$Q$1040,SUBSTITUTE(SUBSTITUTE(SUBSTITUTE($M920,"~","~~"),"*","~*"),"?","~?"),'DEF_SELF_SCOUT_IMPORT'!$D$42:$D$1040,SUBSTITUTE(SUBSTITUTE(SUBSTITUTE($P920,"~","~~"),"*","~*"),"?","~?"),'DEF_SELF_SCOUT_IMPORT'!$H$42:$H$1040,"RUSH")/$C920)</f>
        <v>1.0</v>
      </c>
      <c r="H920" s="10">
        <f>IF($C920=0,"",COUNTIFS('DEF_SELF_SCOUT_IMPORT'!$L$42:$L$1040,"Y",'DEF_SELF_SCOUT_IMPORT'!$E$42:$E$1040,SUBSTITUTE(SUBSTITUTE(SUBSTITUTE($B920,"~","~~"),"*","~*"),"?","~?"),'DEF_SELF_SCOUT_IMPORT'!$Q$42:$Q$1040,SUBSTITUTE(SUBSTITUTE(SUBSTITUTE($M920,"~","~~"),"*","~*"),"?","~?"),'DEF_SELF_SCOUT_IMPORT'!$D$42:$D$1040,SUBSTITUTE(SUBSTITUTE(SUBSTITUTE($P920,"~","~~"),"*","~*"),"?","~?"),'DEF_SELF_SCOUT_IMPORT'!$H$42:$H$1040,"DROPBACK")/$C920)</f>
        <v>0.0</v>
      </c>
      <c r="I920" s="14" t="str">
        <f>IF(C920=0,"",IF(C920&lt;=2,"TRACK",IF(C920=3,"LOW",IF(C920&lt;=6,"MEDIUM","HIGH"))))</f>
        <v>TRACK</v>
      </c>
      <c r="J920" s="11">
        <f>IF(C920=0,"",ROUND(D920*70+(1-E920)*20+MAX(0,MIN(1,(10-F920)/10))*10,1))</f>
        <v>22.0</v>
      </c>
      <c r="K920" s="14" t="str">
        <f>IF(C920=0,"No Evidence",IF(C920&lt;=2,IF(E920&gt;0,"Explosive Alert","Track Only"),IF(C920=3,"Sample Watch",IF(E920&gt;=START_HERE!$B$31,"Explosive Alert",IF(J920&gt;=80,"Strong Candidate",IF(J920&gt;=65,"Good Candidate",IF(J920&gt;=50,"Mixed / Review","Problem Call")))))))</f>
        <v>Track Only</v>
      </c>
      <c r="L920" s="9" t="str">
        <f>IF(COUNTIFS('DEF_SELF_SCOUT_IMPORT'!$L$42:$L$1040,"Y",'DEF_SELF_SCOUT_IMPORT'!$E$42:$E$1040,SUBSTITUTE(SUBSTITUTE(SUBSTITUTE($B920,"~","~~"),"*","~*"),"?","~?"),'DEF_SELF_SCOUT_IMPORT'!$Q$42:$Q$1040,SUBSTITUTE(SUBSTITUTE(SUBSTITUTE($M920,"~","~~"),"*","~*"),"?","~?"),'DEF_SELF_SCOUT_IMPORT'!$D$42:$D$1040,SUBSTITUTE(SUBSTITUTE(SUBSTITUTE($P920,"~","~~"),"*","~*"),"?","~?"),'DEF_SELF_SCOUT_IMPORT'!$J$42:$J$1040,"")&gt;0,"Unscored clean outcome; review result tags before using score.",IF(C920=0,"No matching defensive reps; film confirmation needed.",IF(K920="Explosive Alert","Explosive risk; review clips before using as answer.",IF(C920&lt;=2,"Track only; not enough sample.",IF(C920=3,IF(E920&gt;0,"Sample watch with explosive exposure; review clips and build the sample.",IF(J920&gt;=65,"Good signal, but sample is limited.","Sample watch; review clips and build the sample.")),IF(K920="Problem Call","Problem area; practice or call-sheet review.",IF(K920="Strong Candidate","Strong call-fit candidate; confirm on film.",IF(K920="Good Candidate","Good call-fit signal; confirm on film.","Mixed signal; review fit and execution on film."))))))))</f>
        <v>Track only; not enough sample.</v>
      </c>
      <c r="M920" s="8" t="s">
        <v>82</v>
      </c>
      <c r="N920" s="8"/>
      <c r="O920" s="8"/>
      <c r="P920" s="8" t="s">
        <v>465</v>
      </c>
      <c r="Q920" s="8"/>
      <c r="R920" s="8" t="s">
        <v>429</v>
      </c>
      <c r="S920" s="2" t="s">
        <v>521</v>
      </c>
      <c r="T920" s="2">
        <f>IF(C920=0,0,IF(C920&gt;=CALL_LOOKUP_BOARD!$B$7,IF(OR(K920="Problem Call",K920="Explosive Alert"),10000000,20000000),0)+IF(C920&gt;=CALL_LOOKUP_BOARD!$B$7,J920*1000+MIN(C920,999),C920*1000+J920)+0.00989000)</f>
        <v>1022.00989</v>
      </c>
      <c r="U920" s="2">
        <f>IF(C920=0,"",IF(COUNTIFS($S$811:$S$1055,SUBSTITUTE(SUBSTITUTE(SUBSTITUTE(S920,"~","~~"),"*","~*"),"?","~?"),$T$811:$T$1055,"&gt;"&amp;T920)=0,S920,""))</f>
        <v/>
      </c>
    </row>
    <row r="921" spans="1:21" ht="38" customHeight="1">
      <c r="A921" s="8" t="s">
        <v>520</v>
      </c>
      <c r="B921" s="8" t="s">
        <v>35</v>
      </c>
      <c r="C921" s="12">
        <f>COUNTIFS('DEF_SELF_SCOUT_IMPORT'!$L$42:$L$1040,"Y",'DEF_SELF_SCOUT_IMPORT'!$E$42:$E$1040,SUBSTITUTE(SUBSTITUTE(SUBSTITUTE($B921,"~","~~"),"*","~*"),"?","~?"),'DEF_SELF_SCOUT_IMPORT'!$Q$42:$Q$1040,SUBSTITUTE(SUBSTITUTE(SUBSTITUTE($M921,"~","~~"),"*","~*"),"?","~?"),'DEF_SELF_SCOUT_IMPORT'!$D$42:$D$1040,SUBSTITUTE(SUBSTITUTE(SUBSTITUTE($P921,"~","~~"),"*","~*"),"?","~?"))</f>
        <v>1</v>
      </c>
      <c r="D921" s="10">
        <f>IF($C921=0,"",SUMIFS('DEF_SELF_SCOUT_IMPORT'!$J$42:$J$1040,'DEF_SELF_SCOUT_IMPORT'!$L$42:$L$1040,"Y",'DEF_SELF_SCOUT_IMPORT'!$E$42:$E$1040,SUBSTITUTE(SUBSTITUTE(SUBSTITUTE($B921,"~","~~"),"*","~*"),"?","~?"),'DEF_SELF_SCOUT_IMPORT'!$Q$42:$Q$1040,SUBSTITUTE(SUBSTITUTE(SUBSTITUTE($M921,"~","~~"),"*","~*"),"?","~?"),'DEF_SELF_SCOUT_IMPORT'!$D$42:$D$1040,SUBSTITUTE(SUBSTITUTE(SUBSTITUTE($P921,"~","~~"),"*","~*"),"?","~?"))/$C921)</f>
        <v>1.0</v>
      </c>
      <c r="E921" s="10">
        <f>IF($C921=0,"",SUMIFS('DEF_SELF_SCOUT_IMPORT'!$K$42:$K$1040,'DEF_SELF_SCOUT_IMPORT'!$L$42:$L$1040,"Y",'DEF_SELF_SCOUT_IMPORT'!$E$42:$E$1040,SUBSTITUTE(SUBSTITUTE(SUBSTITUTE($B921,"~","~~"),"*","~*"),"?","~?"),'DEF_SELF_SCOUT_IMPORT'!$Q$42:$Q$1040,SUBSTITUTE(SUBSTITUTE(SUBSTITUTE($M921,"~","~~"),"*","~*"),"?","~?"),'DEF_SELF_SCOUT_IMPORT'!$D$42:$D$1040,SUBSTITUTE(SUBSTITUTE(SUBSTITUTE($P921,"~","~~"),"*","~*"),"?","~?"))/$C921)</f>
        <v>0.0</v>
      </c>
      <c r="F921" s="11">
        <f>IF($C921=0,"",AVERAGEIFS('DEF_SELF_SCOUT_IMPORT'!$I$42:$I$1040,'DEF_SELF_SCOUT_IMPORT'!$L$42:$L$1040,"Y",'DEF_SELF_SCOUT_IMPORT'!$E$42:$E$1040,SUBSTITUTE(SUBSTITUTE(SUBSTITUTE($B921,"~","~~"),"*","~*"),"?","~?"),'DEF_SELF_SCOUT_IMPORT'!$Q$42:$Q$1040,SUBSTITUTE(SUBSTITUTE(SUBSTITUTE($M921,"~","~~"),"*","~*"),"?","~?"),'DEF_SELF_SCOUT_IMPORT'!$D$42:$D$1040,SUBSTITUTE(SUBSTITUTE(SUBSTITUTE($P921,"~","~~"),"*","~*"),"?","~?")))</f>
        <v>1.0</v>
      </c>
      <c r="G921" s="10">
        <f>IF($C921=0,"",COUNTIFS('DEF_SELF_SCOUT_IMPORT'!$L$42:$L$1040,"Y",'DEF_SELF_SCOUT_IMPORT'!$E$42:$E$1040,SUBSTITUTE(SUBSTITUTE(SUBSTITUTE($B921,"~","~~"),"*","~*"),"?","~?"),'DEF_SELF_SCOUT_IMPORT'!$Q$42:$Q$1040,SUBSTITUTE(SUBSTITUTE(SUBSTITUTE($M921,"~","~~"),"*","~*"),"?","~?"),'DEF_SELF_SCOUT_IMPORT'!$D$42:$D$1040,SUBSTITUTE(SUBSTITUTE(SUBSTITUTE($P921,"~","~~"),"*","~*"),"?","~?"),'DEF_SELF_SCOUT_IMPORT'!$H$42:$H$1040,"RUSH")/$C921)</f>
        <v>1.0</v>
      </c>
      <c r="H921" s="10">
        <f>IF($C921=0,"",COUNTIFS('DEF_SELF_SCOUT_IMPORT'!$L$42:$L$1040,"Y",'DEF_SELF_SCOUT_IMPORT'!$E$42:$E$1040,SUBSTITUTE(SUBSTITUTE(SUBSTITUTE($B921,"~","~~"),"*","~*"),"?","~?"),'DEF_SELF_SCOUT_IMPORT'!$Q$42:$Q$1040,SUBSTITUTE(SUBSTITUTE(SUBSTITUTE($M921,"~","~~"),"*","~*"),"?","~?"),'DEF_SELF_SCOUT_IMPORT'!$D$42:$D$1040,SUBSTITUTE(SUBSTITUTE(SUBSTITUTE($P921,"~","~~"),"*","~*"),"?","~?"),'DEF_SELF_SCOUT_IMPORT'!$H$42:$H$1040,"DROPBACK")/$C921)</f>
        <v>0.0</v>
      </c>
      <c r="I921" s="14" t="str">
        <f>IF(C921=0,"",IF(C921&lt;=2,"TRACK",IF(C921=3,"LOW",IF(C921&lt;=6,"MEDIUM","HIGH"))))</f>
        <v>TRACK</v>
      </c>
      <c r="J921" s="11">
        <f>IF(C921=0,"",ROUND(D921*70+(1-E921)*20+MAX(0,MIN(1,(10-F921)/10))*10,1))</f>
        <v>99.0</v>
      </c>
      <c r="K921" s="14" t="str">
        <f>IF(C921=0,"No Evidence",IF(C921&lt;=2,IF(E921&gt;0,"Explosive Alert","Track Only"),IF(C921=3,"Sample Watch",IF(E921&gt;=START_HERE!$B$31,"Explosive Alert",IF(J921&gt;=80,"Strong Candidate",IF(J921&gt;=65,"Good Candidate",IF(J921&gt;=50,"Mixed / Review","Problem Call")))))))</f>
        <v>Track Only</v>
      </c>
      <c r="L921" s="9" t="str">
        <f>IF(COUNTIFS('DEF_SELF_SCOUT_IMPORT'!$L$42:$L$1040,"Y",'DEF_SELF_SCOUT_IMPORT'!$E$42:$E$1040,SUBSTITUTE(SUBSTITUTE(SUBSTITUTE($B921,"~","~~"),"*","~*"),"?","~?"),'DEF_SELF_SCOUT_IMPORT'!$Q$42:$Q$1040,SUBSTITUTE(SUBSTITUTE(SUBSTITUTE($M921,"~","~~"),"*","~*"),"?","~?"),'DEF_SELF_SCOUT_IMPORT'!$D$42:$D$1040,SUBSTITUTE(SUBSTITUTE(SUBSTITUTE($P921,"~","~~"),"*","~*"),"?","~?"),'DEF_SELF_SCOUT_IMPORT'!$J$42:$J$1040,"")&gt;0,"Unscored clean outcome; review result tags before using score.",IF(C921=0,"No matching defensive reps; film confirmation needed.",IF(K921="Explosive Alert","Explosive risk; review clips before using as answer.",IF(C921&lt;=2,"Track only; not enough sample.",IF(C921=3,IF(E921&gt;0,"Sample watch with explosive exposure; review clips and build the sample.",IF(J921&gt;=65,"Good signal, but sample is limited.","Sample watch; review clips and build the sample.")),IF(K921="Problem Call","Problem area; practice or call-sheet review.",IF(K921="Strong Candidate","Strong call-fit candidate; confirm on film.",IF(K921="Good Candidate","Good call-fit signal; confirm on film.","Mixed signal; review fit and execution on film."))))))))</f>
        <v>Track only; not enough sample.</v>
      </c>
      <c r="M921" s="8" t="s">
        <v>82</v>
      </c>
      <c r="N921" s="8"/>
      <c r="O921" s="8"/>
      <c r="P921" s="8" t="s">
        <v>465</v>
      </c>
      <c r="Q921" s="8"/>
      <c r="R921" s="8" t="s">
        <v>429</v>
      </c>
      <c r="S921" s="2" t="s">
        <v>521</v>
      </c>
      <c r="T921" s="2">
        <f>IF(C921=0,0,IF(C921&gt;=CALL_LOOKUP_BOARD!$B$7,IF(OR(K921="Problem Call",K921="Explosive Alert"),10000000,20000000),0)+IF(C921&gt;=CALL_LOOKUP_BOARD!$B$7,J921*1000+MIN(C921,999),C921*1000+J921)+0.00988900)</f>
        <v>1099.009889</v>
      </c>
      <c r="U921" s="2">
        <f>IF(C921=0,"",IF(COUNTIFS($S$811:$S$1055,SUBSTITUTE(SUBSTITUTE(SUBSTITUTE(S921,"~","~~"),"*","~*"),"?","~?"),$T$811:$T$1055,"&gt;"&amp;T921)=0,S921,""))</f>
        <v/>
      </c>
    </row>
    <row r="922" spans="1:21" ht="38" customHeight="1">
      <c r="A922" s="8" t="s">
        <v>520</v>
      </c>
      <c r="B922" s="8" t="s">
        <v>60</v>
      </c>
      <c r="C922" s="12">
        <f>COUNTIFS('DEF_SELF_SCOUT_IMPORT'!$L$42:$L$1040,"Y",'DEF_SELF_SCOUT_IMPORT'!$E$42:$E$1040,SUBSTITUTE(SUBSTITUTE(SUBSTITUTE($B922,"~","~~"),"*","~*"),"?","~?"),'DEF_SELF_SCOUT_IMPORT'!$Q$42:$Q$1040,SUBSTITUTE(SUBSTITUTE(SUBSTITUTE($M922,"~","~~"),"*","~*"),"?","~?"),'DEF_SELF_SCOUT_IMPORT'!$D$42:$D$1040,SUBSTITUTE(SUBSTITUTE(SUBSTITUTE($P922,"~","~~"),"*","~*"),"?","~?"))</f>
        <v>1</v>
      </c>
      <c r="D922" s="10">
        <f>IF($C922=0,"",SUMIFS('DEF_SELF_SCOUT_IMPORT'!$J$42:$J$1040,'DEF_SELF_SCOUT_IMPORT'!$L$42:$L$1040,"Y",'DEF_SELF_SCOUT_IMPORT'!$E$42:$E$1040,SUBSTITUTE(SUBSTITUTE(SUBSTITUTE($B922,"~","~~"),"*","~*"),"?","~?"),'DEF_SELF_SCOUT_IMPORT'!$Q$42:$Q$1040,SUBSTITUTE(SUBSTITUTE(SUBSTITUTE($M922,"~","~~"),"*","~*"),"?","~?"),'DEF_SELF_SCOUT_IMPORT'!$D$42:$D$1040,SUBSTITUTE(SUBSTITUTE(SUBSTITUTE($P922,"~","~~"),"*","~*"),"?","~?"))/$C922)</f>
        <v>0.0</v>
      </c>
      <c r="E922" s="10">
        <f>IF($C922=0,"",SUMIFS('DEF_SELF_SCOUT_IMPORT'!$K$42:$K$1040,'DEF_SELF_SCOUT_IMPORT'!$L$42:$L$1040,"Y",'DEF_SELF_SCOUT_IMPORT'!$E$42:$E$1040,SUBSTITUTE(SUBSTITUTE(SUBSTITUTE($B922,"~","~~"),"*","~*"),"?","~?"),'DEF_SELF_SCOUT_IMPORT'!$Q$42:$Q$1040,SUBSTITUTE(SUBSTITUTE(SUBSTITUTE($M922,"~","~~"),"*","~*"),"?","~?"),'DEF_SELF_SCOUT_IMPORT'!$D$42:$D$1040,SUBSTITUTE(SUBSTITUTE(SUBSTITUTE($P922,"~","~~"),"*","~*"),"?","~?"))/$C922)</f>
        <v>1.0</v>
      </c>
      <c r="F922" s="11">
        <f>IF($C922=0,"",AVERAGEIFS('DEF_SELF_SCOUT_IMPORT'!$I$42:$I$1040,'DEF_SELF_SCOUT_IMPORT'!$L$42:$L$1040,"Y",'DEF_SELF_SCOUT_IMPORT'!$E$42:$E$1040,SUBSTITUTE(SUBSTITUTE(SUBSTITUTE($B922,"~","~~"),"*","~*"),"?","~?"),'DEF_SELF_SCOUT_IMPORT'!$Q$42:$Q$1040,SUBSTITUTE(SUBSTITUTE(SUBSTITUTE($M922,"~","~~"),"*","~*"),"?","~?"),'DEF_SELF_SCOUT_IMPORT'!$D$42:$D$1040,SUBSTITUTE(SUBSTITUTE(SUBSTITUTE($P922,"~","~~"),"*","~*"),"?","~?")))</f>
        <v>16.0</v>
      </c>
      <c r="G922" s="10">
        <f>IF($C922=0,"",COUNTIFS('DEF_SELF_SCOUT_IMPORT'!$L$42:$L$1040,"Y",'DEF_SELF_SCOUT_IMPORT'!$E$42:$E$1040,SUBSTITUTE(SUBSTITUTE(SUBSTITUTE($B922,"~","~~"),"*","~*"),"?","~?"),'DEF_SELF_SCOUT_IMPORT'!$Q$42:$Q$1040,SUBSTITUTE(SUBSTITUTE(SUBSTITUTE($M922,"~","~~"),"*","~*"),"?","~?"),'DEF_SELF_SCOUT_IMPORT'!$D$42:$D$1040,SUBSTITUTE(SUBSTITUTE(SUBSTITUTE($P922,"~","~~"),"*","~*"),"?","~?"),'DEF_SELF_SCOUT_IMPORT'!$H$42:$H$1040,"RUSH")/$C922)</f>
        <v>1.0</v>
      </c>
      <c r="H922" s="10">
        <f>IF($C922=0,"",COUNTIFS('DEF_SELF_SCOUT_IMPORT'!$L$42:$L$1040,"Y",'DEF_SELF_SCOUT_IMPORT'!$E$42:$E$1040,SUBSTITUTE(SUBSTITUTE(SUBSTITUTE($B922,"~","~~"),"*","~*"),"?","~?"),'DEF_SELF_SCOUT_IMPORT'!$Q$42:$Q$1040,SUBSTITUTE(SUBSTITUTE(SUBSTITUTE($M922,"~","~~"),"*","~*"),"?","~?"),'DEF_SELF_SCOUT_IMPORT'!$D$42:$D$1040,SUBSTITUTE(SUBSTITUTE(SUBSTITUTE($P922,"~","~~"),"*","~*"),"?","~?"),'DEF_SELF_SCOUT_IMPORT'!$H$42:$H$1040,"DROPBACK")/$C922)</f>
        <v>0.0</v>
      </c>
      <c r="I922" s="14" t="str">
        <f>IF(C922=0,"",IF(C922&lt;=2,"TRACK",IF(C922=3,"LOW",IF(C922&lt;=6,"MEDIUM","HIGH"))))</f>
        <v>TRACK</v>
      </c>
      <c r="J922" s="11">
        <f>IF(C922=0,"",ROUND(D922*70+(1-E922)*20+MAX(0,MIN(1,(10-F922)/10))*10,1))</f>
        <v>0.0</v>
      </c>
      <c r="K922" s="14" t="str">
        <f>IF(C922=0,"No Evidence",IF(C922&lt;=2,IF(E922&gt;0,"Explosive Alert","Track Only"),IF(C922=3,"Sample Watch",IF(E922&gt;=START_HERE!$B$31,"Explosive Alert",IF(J922&gt;=80,"Strong Candidate",IF(J922&gt;=65,"Good Candidate",IF(J922&gt;=50,"Mixed / Review","Problem Call")))))))</f>
        <v>Explosive Alert</v>
      </c>
      <c r="L922" s="9" t="str">
        <f>IF(COUNTIFS('DEF_SELF_SCOUT_IMPORT'!$L$42:$L$1040,"Y",'DEF_SELF_SCOUT_IMPORT'!$E$42:$E$1040,SUBSTITUTE(SUBSTITUTE(SUBSTITUTE($B922,"~","~~"),"*","~*"),"?","~?"),'DEF_SELF_SCOUT_IMPORT'!$Q$42:$Q$1040,SUBSTITUTE(SUBSTITUTE(SUBSTITUTE($M922,"~","~~"),"*","~*"),"?","~?"),'DEF_SELF_SCOUT_IMPORT'!$D$42:$D$1040,SUBSTITUTE(SUBSTITUTE(SUBSTITUTE($P922,"~","~~"),"*","~*"),"?","~?"),'DEF_SELF_SCOUT_IMPORT'!$J$42:$J$1040,"")&gt;0,"Unscored clean outcome; review result tags before using score.",IF(C922=0,"No matching defensive reps; film confirmation needed.",IF(K922="Explosive Alert","Explosive risk; review clips before using as answer.",IF(C922&lt;=2,"Track only; not enough sample.",IF(C922=3,IF(E922&gt;0,"Sample watch with explosive exposure; review clips and build the sample.",IF(J922&gt;=65,"Good signal, but sample is limited.","Sample watch; review clips and build the sample.")),IF(K922="Problem Call","Problem area; practice or call-sheet review.",IF(K922="Strong Candidate","Strong call-fit candidate; confirm on film.",IF(K922="Good Candidate","Good call-fit signal; confirm on film.","Mixed signal; review fit and execution on film."))))))))</f>
        <v>Explosive risk; review clips before using as answer.</v>
      </c>
      <c r="M922" s="8" t="s">
        <v>82</v>
      </c>
      <c r="N922" s="8"/>
      <c r="O922" s="8"/>
      <c r="P922" s="8" t="s">
        <v>465</v>
      </c>
      <c r="Q922" s="8"/>
      <c r="R922" s="8" t="s">
        <v>429</v>
      </c>
      <c r="S922" s="2" t="s">
        <v>521</v>
      </c>
      <c r="T922" s="2">
        <f>IF(C922=0,0,IF(C922&gt;=CALL_LOOKUP_BOARD!$B$7,IF(OR(K922="Problem Call",K922="Explosive Alert"),10000000,20000000),0)+IF(C922&gt;=CALL_LOOKUP_BOARD!$B$7,J922*1000+MIN(C922,999),C922*1000+J922)+0.00988800)</f>
        <v>1000.009888</v>
      </c>
      <c r="U922" s="2">
        <f>IF(C922=0,"",IF(COUNTIFS($S$811:$S$1055,SUBSTITUTE(SUBSTITUTE(SUBSTITUTE(S922,"~","~~"),"*","~*"),"?","~?"),$T$811:$T$1055,"&gt;"&amp;T922)=0,S922,""))</f>
        <v/>
      </c>
    </row>
    <row r="923" spans="1:21" ht="38" customHeight="1">
      <c r="A923" s="8" t="s">
        <v>522</v>
      </c>
      <c r="B923" s="8" t="s">
        <v>44</v>
      </c>
      <c r="C923" s="12">
        <f>COUNTIFS('DEF_SELF_SCOUT_IMPORT'!$L$42:$L$1040,"Y",'DEF_SELF_SCOUT_IMPORT'!$E$42:$E$1040,SUBSTITUTE(SUBSTITUTE(SUBSTITUTE($B923,"~","~~"),"*","~*"),"?","~?"),'DEF_SELF_SCOUT_IMPORT'!$Q$42:$Q$1040,SUBSTITUTE(SUBSTITUTE(SUBSTITUTE($M923,"~","~~"),"*","~*"),"?","~?"),'DEF_SELF_SCOUT_IMPORT'!$D$42:$D$1040,SUBSTITUTE(SUBSTITUTE(SUBSTITUTE($P923,"~","~~"),"*","~*"),"?","~?"))</f>
        <v>1</v>
      </c>
      <c r="D923" s="10">
        <f>IF($C923=0,"",SUMIFS('DEF_SELF_SCOUT_IMPORT'!$J$42:$J$1040,'DEF_SELF_SCOUT_IMPORT'!$L$42:$L$1040,"Y",'DEF_SELF_SCOUT_IMPORT'!$E$42:$E$1040,SUBSTITUTE(SUBSTITUTE(SUBSTITUTE($B923,"~","~~"),"*","~*"),"?","~?"),'DEF_SELF_SCOUT_IMPORT'!$Q$42:$Q$1040,SUBSTITUTE(SUBSTITUTE(SUBSTITUTE($M923,"~","~~"),"*","~*"),"?","~?"),'DEF_SELF_SCOUT_IMPORT'!$D$42:$D$1040,SUBSTITUTE(SUBSTITUTE(SUBSTITUTE($P923,"~","~~"),"*","~*"),"?","~?"))/$C923)</f>
        <v>0.0</v>
      </c>
      <c r="E923" s="10">
        <f>IF($C923=0,"",SUMIFS('DEF_SELF_SCOUT_IMPORT'!$K$42:$K$1040,'DEF_SELF_SCOUT_IMPORT'!$L$42:$L$1040,"Y",'DEF_SELF_SCOUT_IMPORT'!$E$42:$E$1040,SUBSTITUTE(SUBSTITUTE(SUBSTITUTE($B923,"~","~~"),"*","~*"),"?","~?"),'DEF_SELF_SCOUT_IMPORT'!$Q$42:$Q$1040,SUBSTITUTE(SUBSTITUTE(SUBSTITUTE($M923,"~","~~"),"*","~*"),"?","~?"),'DEF_SELF_SCOUT_IMPORT'!$D$42:$D$1040,SUBSTITUTE(SUBSTITUTE(SUBSTITUTE($P923,"~","~~"),"*","~*"),"?","~?"))/$C923)</f>
        <v>0.0</v>
      </c>
      <c r="F923" s="11">
        <f>IF($C923=0,"",AVERAGEIFS('DEF_SELF_SCOUT_IMPORT'!$I$42:$I$1040,'DEF_SELF_SCOUT_IMPORT'!$L$42:$L$1040,"Y",'DEF_SELF_SCOUT_IMPORT'!$E$42:$E$1040,SUBSTITUTE(SUBSTITUTE(SUBSTITUTE($B923,"~","~~"),"*","~*"),"?","~?"),'DEF_SELF_SCOUT_IMPORT'!$Q$42:$Q$1040,SUBSTITUTE(SUBSTITUTE(SUBSTITUTE($M923,"~","~~"),"*","~*"),"?","~?"),'DEF_SELF_SCOUT_IMPORT'!$D$42:$D$1040,SUBSTITUTE(SUBSTITUTE(SUBSTITUTE($P923,"~","~~"),"*","~*"),"?","~?")))</f>
        <v>9.0</v>
      </c>
      <c r="G923" s="10">
        <f>IF($C923=0,"",COUNTIFS('DEF_SELF_SCOUT_IMPORT'!$L$42:$L$1040,"Y",'DEF_SELF_SCOUT_IMPORT'!$E$42:$E$1040,SUBSTITUTE(SUBSTITUTE(SUBSTITUTE($B923,"~","~~"),"*","~*"),"?","~?"),'DEF_SELF_SCOUT_IMPORT'!$Q$42:$Q$1040,SUBSTITUTE(SUBSTITUTE(SUBSTITUTE($M923,"~","~~"),"*","~*"),"?","~?"),'DEF_SELF_SCOUT_IMPORT'!$D$42:$D$1040,SUBSTITUTE(SUBSTITUTE(SUBSTITUTE($P923,"~","~~"),"*","~*"),"?","~?"),'DEF_SELF_SCOUT_IMPORT'!$H$42:$H$1040,"RUSH")/$C923)</f>
        <v>0.0</v>
      </c>
      <c r="H923" s="10">
        <f>IF($C923=0,"",COUNTIFS('DEF_SELF_SCOUT_IMPORT'!$L$42:$L$1040,"Y",'DEF_SELF_SCOUT_IMPORT'!$E$42:$E$1040,SUBSTITUTE(SUBSTITUTE(SUBSTITUTE($B923,"~","~~"),"*","~*"),"?","~?"),'DEF_SELF_SCOUT_IMPORT'!$Q$42:$Q$1040,SUBSTITUTE(SUBSTITUTE(SUBSTITUTE($M923,"~","~~"),"*","~*"),"?","~?"),'DEF_SELF_SCOUT_IMPORT'!$D$42:$D$1040,SUBSTITUTE(SUBSTITUTE(SUBSTITUTE($P923,"~","~~"),"*","~*"),"?","~?"),'DEF_SELF_SCOUT_IMPORT'!$H$42:$H$1040,"DROPBACK")/$C923)</f>
        <v>1.0</v>
      </c>
      <c r="I923" s="14" t="str">
        <f>IF(C923=0,"",IF(C923&lt;=2,"TRACK",IF(C923=3,"LOW",IF(C923&lt;=6,"MEDIUM","HIGH"))))</f>
        <v>TRACK</v>
      </c>
      <c r="J923" s="11">
        <f>IF(C923=0,"",ROUND(D923*70+(1-E923)*20+MAX(0,MIN(1,(10-F923)/10))*10,1))</f>
        <v>21.0</v>
      </c>
      <c r="K923" s="14" t="str">
        <f>IF(C923=0,"No Evidence",IF(C923&lt;=2,IF(E923&gt;0,"Explosive Alert","Track Only"),IF(C923=3,"Sample Watch",IF(E923&gt;=START_HERE!$B$31,"Explosive Alert",IF(J923&gt;=80,"Strong Candidate",IF(J923&gt;=65,"Good Candidate",IF(J923&gt;=50,"Mixed / Review","Problem Call")))))))</f>
        <v>Track Only</v>
      </c>
      <c r="L923" s="9" t="str">
        <f>IF(COUNTIFS('DEF_SELF_SCOUT_IMPORT'!$L$42:$L$1040,"Y",'DEF_SELF_SCOUT_IMPORT'!$E$42:$E$1040,SUBSTITUTE(SUBSTITUTE(SUBSTITUTE($B923,"~","~~"),"*","~*"),"?","~?"),'DEF_SELF_SCOUT_IMPORT'!$Q$42:$Q$1040,SUBSTITUTE(SUBSTITUTE(SUBSTITUTE($M923,"~","~~"),"*","~*"),"?","~?"),'DEF_SELF_SCOUT_IMPORT'!$D$42:$D$1040,SUBSTITUTE(SUBSTITUTE(SUBSTITUTE($P923,"~","~~"),"*","~*"),"?","~?"),'DEF_SELF_SCOUT_IMPORT'!$J$42:$J$1040,"")&gt;0,"Unscored clean outcome; review result tags before using score.",IF(C923=0,"No matching defensive reps; film confirmation needed.",IF(K923="Explosive Alert","Explosive risk; review clips before using as answer.",IF(C923&lt;=2,"Track only; not enough sample.",IF(C923=3,IF(E923&gt;0,"Sample watch with explosive exposure; review clips and build the sample.",IF(J923&gt;=65,"Good signal, but sample is limited.","Sample watch; review clips and build the sample.")),IF(K923="Problem Call","Problem area; practice or call-sheet review.",IF(K923="Strong Candidate","Strong call-fit candidate; confirm on film.",IF(K923="Good Candidate","Good call-fit signal; confirm on film.","Mixed signal; review fit and execution on film."))))))))</f>
        <v>Track only; not enough sample.</v>
      </c>
      <c r="M923" s="8" t="s">
        <v>82</v>
      </c>
      <c r="N923" s="8"/>
      <c r="O923" s="8"/>
      <c r="P923" s="8" t="s">
        <v>468</v>
      </c>
      <c r="Q923" s="8"/>
      <c r="R923" s="8" t="s">
        <v>429</v>
      </c>
      <c r="S923" s="2" t="s">
        <v>523</v>
      </c>
      <c r="T923" s="2">
        <f>IF(C923=0,0,IF(C923&gt;=CALL_LOOKUP_BOARD!$B$7,IF(OR(K923="Problem Call",K923="Explosive Alert"),10000000,20000000),0)+IF(C923&gt;=CALL_LOOKUP_BOARD!$B$7,J923*1000+MIN(C923,999),C923*1000+J923)+0.00988700)</f>
        <v>1021.009887</v>
      </c>
      <c r="U923" s="2">
        <f>IF(C923=0,"",IF(COUNTIFS($S$811:$S$1055,SUBSTITUTE(SUBSTITUTE(SUBSTITUTE(S923,"~","~~"),"*","~*"),"?","~?"),$T$811:$T$1055,"&gt;"&amp;T923)=0,S923,""))</f>
        <v/>
      </c>
    </row>
    <row r="924" spans="1:21" ht="38" customHeight="1">
      <c r="A924" s="8" t="s">
        <v>522</v>
      </c>
      <c r="B924" s="8" t="s">
        <v>48</v>
      </c>
      <c r="C924" s="12">
        <f>COUNTIFS('DEF_SELF_SCOUT_IMPORT'!$L$42:$L$1040,"Y",'DEF_SELF_SCOUT_IMPORT'!$E$42:$E$1040,SUBSTITUTE(SUBSTITUTE(SUBSTITUTE($B924,"~","~~"),"*","~*"),"?","~?"),'DEF_SELF_SCOUT_IMPORT'!$Q$42:$Q$1040,SUBSTITUTE(SUBSTITUTE(SUBSTITUTE($M924,"~","~~"),"*","~*"),"?","~?"),'DEF_SELF_SCOUT_IMPORT'!$D$42:$D$1040,SUBSTITUTE(SUBSTITUTE(SUBSTITUTE($P924,"~","~~"),"*","~*"),"?","~?"))</f>
        <v>1</v>
      </c>
      <c r="D924" s="10">
        <f>IF($C924=0,"",SUMIFS('DEF_SELF_SCOUT_IMPORT'!$J$42:$J$1040,'DEF_SELF_SCOUT_IMPORT'!$L$42:$L$1040,"Y",'DEF_SELF_SCOUT_IMPORT'!$E$42:$E$1040,SUBSTITUTE(SUBSTITUTE(SUBSTITUTE($B924,"~","~~"),"*","~*"),"?","~?"),'DEF_SELF_SCOUT_IMPORT'!$Q$42:$Q$1040,SUBSTITUTE(SUBSTITUTE(SUBSTITUTE($M924,"~","~~"),"*","~*"),"?","~?"),'DEF_SELF_SCOUT_IMPORT'!$D$42:$D$1040,SUBSTITUTE(SUBSTITUTE(SUBSTITUTE($P924,"~","~~"),"*","~*"),"?","~?"))/$C924)</f>
        <v>1.0</v>
      </c>
      <c r="E924" s="10">
        <f>IF($C924=0,"",SUMIFS('DEF_SELF_SCOUT_IMPORT'!$K$42:$K$1040,'DEF_SELF_SCOUT_IMPORT'!$L$42:$L$1040,"Y",'DEF_SELF_SCOUT_IMPORT'!$E$42:$E$1040,SUBSTITUTE(SUBSTITUTE(SUBSTITUTE($B924,"~","~~"),"*","~*"),"?","~?"),'DEF_SELF_SCOUT_IMPORT'!$Q$42:$Q$1040,SUBSTITUTE(SUBSTITUTE(SUBSTITUTE($M924,"~","~~"),"*","~*"),"?","~?"),'DEF_SELF_SCOUT_IMPORT'!$D$42:$D$1040,SUBSTITUTE(SUBSTITUTE(SUBSTITUTE($P924,"~","~~"),"*","~*"),"?","~?"))/$C924)</f>
        <v>0.0</v>
      </c>
      <c r="F924" s="11">
        <f>IF($C924=0,"",AVERAGEIFS('DEF_SELF_SCOUT_IMPORT'!$I$42:$I$1040,'DEF_SELF_SCOUT_IMPORT'!$L$42:$L$1040,"Y",'DEF_SELF_SCOUT_IMPORT'!$E$42:$E$1040,SUBSTITUTE(SUBSTITUTE(SUBSTITUTE($B924,"~","~~"),"*","~*"),"?","~?"),'DEF_SELF_SCOUT_IMPORT'!$Q$42:$Q$1040,SUBSTITUTE(SUBSTITUTE(SUBSTITUTE($M924,"~","~~"),"*","~*"),"?","~?"),'DEF_SELF_SCOUT_IMPORT'!$D$42:$D$1040,SUBSTITUTE(SUBSTITUTE(SUBSTITUTE($P924,"~","~~"),"*","~*"),"?","~?")))</f>
        <v>-8.0</v>
      </c>
      <c r="G924" s="10">
        <f>IF($C924=0,"",COUNTIFS('DEF_SELF_SCOUT_IMPORT'!$L$42:$L$1040,"Y",'DEF_SELF_SCOUT_IMPORT'!$E$42:$E$1040,SUBSTITUTE(SUBSTITUTE(SUBSTITUTE($B924,"~","~~"),"*","~*"),"?","~?"),'DEF_SELF_SCOUT_IMPORT'!$Q$42:$Q$1040,SUBSTITUTE(SUBSTITUTE(SUBSTITUTE($M924,"~","~~"),"*","~*"),"?","~?"),'DEF_SELF_SCOUT_IMPORT'!$D$42:$D$1040,SUBSTITUTE(SUBSTITUTE(SUBSTITUTE($P924,"~","~~"),"*","~*"),"?","~?"),'DEF_SELF_SCOUT_IMPORT'!$H$42:$H$1040,"RUSH")/$C924)</f>
        <v>0.0</v>
      </c>
      <c r="H924" s="10">
        <f>IF($C924=0,"",COUNTIFS('DEF_SELF_SCOUT_IMPORT'!$L$42:$L$1040,"Y",'DEF_SELF_SCOUT_IMPORT'!$E$42:$E$1040,SUBSTITUTE(SUBSTITUTE(SUBSTITUTE($B924,"~","~~"),"*","~*"),"?","~?"),'DEF_SELF_SCOUT_IMPORT'!$Q$42:$Q$1040,SUBSTITUTE(SUBSTITUTE(SUBSTITUTE($M924,"~","~~"),"*","~*"),"?","~?"),'DEF_SELF_SCOUT_IMPORT'!$D$42:$D$1040,SUBSTITUTE(SUBSTITUTE(SUBSTITUTE($P924,"~","~~"),"*","~*"),"?","~?"),'DEF_SELF_SCOUT_IMPORT'!$H$42:$H$1040,"DROPBACK")/$C924)</f>
        <v>1.0</v>
      </c>
      <c r="I924" s="14" t="str">
        <f>IF(C924=0,"",IF(C924&lt;=2,"TRACK",IF(C924=3,"LOW",IF(C924&lt;=6,"MEDIUM","HIGH"))))</f>
        <v>TRACK</v>
      </c>
      <c r="J924" s="11">
        <f>IF(C924=0,"",ROUND(D924*70+(1-E924)*20+MAX(0,MIN(1,(10-F924)/10))*10,1))</f>
        <v>100.0</v>
      </c>
      <c r="K924" s="14" t="str">
        <f>IF(C924=0,"No Evidence",IF(C924&lt;=2,IF(E924&gt;0,"Explosive Alert","Track Only"),IF(C924=3,"Sample Watch",IF(E924&gt;=START_HERE!$B$31,"Explosive Alert",IF(J924&gt;=80,"Strong Candidate",IF(J924&gt;=65,"Good Candidate",IF(J924&gt;=50,"Mixed / Review","Problem Call")))))))</f>
        <v>Track Only</v>
      </c>
      <c r="L924" s="9" t="str">
        <f>IF(COUNTIFS('DEF_SELF_SCOUT_IMPORT'!$L$42:$L$1040,"Y",'DEF_SELF_SCOUT_IMPORT'!$E$42:$E$1040,SUBSTITUTE(SUBSTITUTE(SUBSTITUTE($B924,"~","~~"),"*","~*"),"?","~?"),'DEF_SELF_SCOUT_IMPORT'!$Q$42:$Q$1040,SUBSTITUTE(SUBSTITUTE(SUBSTITUTE($M924,"~","~~"),"*","~*"),"?","~?"),'DEF_SELF_SCOUT_IMPORT'!$D$42:$D$1040,SUBSTITUTE(SUBSTITUTE(SUBSTITUTE($P924,"~","~~"),"*","~*"),"?","~?"),'DEF_SELF_SCOUT_IMPORT'!$J$42:$J$1040,"")&gt;0,"Unscored clean outcome; review result tags before using score.",IF(C924=0,"No matching defensive reps; film confirmation needed.",IF(K924="Explosive Alert","Explosive risk; review clips before using as answer.",IF(C924&lt;=2,"Track only; not enough sample.",IF(C924=3,IF(E924&gt;0,"Sample watch with explosive exposure; review clips and build the sample.",IF(J924&gt;=65,"Good signal, but sample is limited.","Sample watch; review clips and build the sample.")),IF(K924="Problem Call","Problem area; practice or call-sheet review.",IF(K924="Strong Candidate","Strong call-fit candidate; confirm on film.",IF(K924="Good Candidate","Good call-fit signal; confirm on film.","Mixed signal; review fit and execution on film."))))))))</f>
        <v>Track only; not enough sample.</v>
      </c>
      <c r="M924" s="8" t="s">
        <v>82</v>
      </c>
      <c r="N924" s="8"/>
      <c r="O924" s="8"/>
      <c r="P924" s="8" t="s">
        <v>468</v>
      </c>
      <c r="Q924" s="8"/>
      <c r="R924" s="8" t="s">
        <v>429</v>
      </c>
      <c r="S924" s="2" t="s">
        <v>523</v>
      </c>
      <c r="T924" s="2">
        <f>IF(C924=0,0,IF(C924&gt;=CALL_LOOKUP_BOARD!$B$7,IF(OR(K924="Problem Call",K924="Explosive Alert"),10000000,20000000),0)+IF(C924&gt;=CALL_LOOKUP_BOARD!$B$7,J924*1000+MIN(C924,999),C924*1000+J924)+0.00988600)</f>
        <v>1100.009886</v>
      </c>
      <c r="U924" s="2" t="str">
        <f>IF(C924=0,"",IF(COUNTIFS($S$811:$S$1055,SUBSTITUTE(SUBSTITUTE(SUBSTITUTE(S924,"~","~~"),"*","~*"),"?","~?"),$T$811:$T$1055,"&gt;"&amp;T924)=0,S924,""))</f>
        <v>6:2D 4-6|3:PAP|</v>
      </c>
    </row>
    <row r="925" spans="1:21" ht="38" customHeight="1">
      <c r="A925" s="8" t="s">
        <v>522</v>
      </c>
      <c r="B925" s="8" t="s">
        <v>79</v>
      </c>
      <c r="C925" s="12">
        <f>COUNTIFS('DEF_SELF_SCOUT_IMPORT'!$L$42:$L$1040,"Y",'DEF_SELF_SCOUT_IMPORT'!$E$42:$E$1040,SUBSTITUTE(SUBSTITUTE(SUBSTITUTE($B925,"~","~~"),"*","~*"),"?","~?"),'DEF_SELF_SCOUT_IMPORT'!$Q$42:$Q$1040,SUBSTITUTE(SUBSTITUTE(SUBSTITUTE($M925,"~","~~"),"*","~*"),"?","~?"),'DEF_SELF_SCOUT_IMPORT'!$D$42:$D$1040,SUBSTITUTE(SUBSTITUTE(SUBSTITUTE($P925,"~","~~"),"*","~*"),"?","~?"))</f>
        <v>1</v>
      </c>
      <c r="D925" s="10">
        <f>IF($C925=0,"",SUMIFS('DEF_SELF_SCOUT_IMPORT'!$J$42:$J$1040,'DEF_SELF_SCOUT_IMPORT'!$L$42:$L$1040,"Y",'DEF_SELF_SCOUT_IMPORT'!$E$42:$E$1040,SUBSTITUTE(SUBSTITUTE(SUBSTITUTE($B925,"~","~~"),"*","~*"),"?","~?"),'DEF_SELF_SCOUT_IMPORT'!$Q$42:$Q$1040,SUBSTITUTE(SUBSTITUTE(SUBSTITUTE($M925,"~","~~"),"*","~*"),"?","~?"),'DEF_SELF_SCOUT_IMPORT'!$D$42:$D$1040,SUBSTITUTE(SUBSTITUTE(SUBSTITUTE($P925,"~","~~"),"*","~*"),"?","~?"))/$C925)</f>
        <v>1.0</v>
      </c>
      <c r="E925" s="10">
        <f>IF($C925=0,"",SUMIFS('DEF_SELF_SCOUT_IMPORT'!$K$42:$K$1040,'DEF_SELF_SCOUT_IMPORT'!$L$42:$L$1040,"Y",'DEF_SELF_SCOUT_IMPORT'!$E$42:$E$1040,SUBSTITUTE(SUBSTITUTE(SUBSTITUTE($B925,"~","~~"),"*","~*"),"?","~?"),'DEF_SELF_SCOUT_IMPORT'!$Q$42:$Q$1040,SUBSTITUTE(SUBSTITUTE(SUBSTITUTE($M925,"~","~~"),"*","~*"),"?","~?"),'DEF_SELF_SCOUT_IMPORT'!$D$42:$D$1040,SUBSTITUTE(SUBSTITUTE(SUBSTITUTE($P925,"~","~~"),"*","~*"),"?","~?"))/$C925)</f>
        <v>0.0</v>
      </c>
      <c r="F925" s="11">
        <f>IF($C925=0,"",AVERAGEIFS('DEF_SELF_SCOUT_IMPORT'!$I$42:$I$1040,'DEF_SELF_SCOUT_IMPORT'!$L$42:$L$1040,"Y",'DEF_SELF_SCOUT_IMPORT'!$E$42:$E$1040,SUBSTITUTE(SUBSTITUTE(SUBSTITUTE($B925,"~","~~"),"*","~*"),"?","~?"),'DEF_SELF_SCOUT_IMPORT'!$Q$42:$Q$1040,SUBSTITUTE(SUBSTITUTE(SUBSTITUTE($M925,"~","~~"),"*","~*"),"?","~?"),'DEF_SELF_SCOUT_IMPORT'!$D$42:$D$1040,SUBSTITUTE(SUBSTITUTE(SUBSTITUTE($P925,"~","~~"),"*","~*"),"?","~?")))</f>
        <v>5.0</v>
      </c>
      <c r="G925" s="10">
        <f>IF($C925=0,"",COUNTIFS('DEF_SELF_SCOUT_IMPORT'!$L$42:$L$1040,"Y",'DEF_SELF_SCOUT_IMPORT'!$E$42:$E$1040,SUBSTITUTE(SUBSTITUTE(SUBSTITUTE($B925,"~","~~"),"*","~*"),"?","~?"),'DEF_SELF_SCOUT_IMPORT'!$Q$42:$Q$1040,SUBSTITUTE(SUBSTITUTE(SUBSTITUTE($M925,"~","~~"),"*","~*"),"?","~?"),'DEF_SELF_SCOUT_IMPORT'!$D$42:$D$1040,SUBSTITUTE(SUBSTITUTE(SUBSTITUTE($P925,"~","~~"),"*","~*"),"?","~?"),'DEF_SELF_SCOUT_IMPORT'!$H$42:$H$1040,"RUSH")/$C925)</f>
        <v>0.0</v>
      </c>
      <c r="H925" s="10">
        <f>IF($C925=0,"",COUNTIFS('DEF_SELF_SCOUT_IMPORT'!$L$42:$L$1040,"Y",'DEF_SELF_SCOUT_IMPORT'!$E$42:$E$1040,SUBSTITUTE(SUBSTITUTE(SUBSTITUTE($B925,"~","~~"),"*","~*"),"?","~?"),'DEF_SELF_SCOUT_IMPORT'!$Q$42:$Q$1040,SUBSTITUTE(SUBSTITUTE(SUBSTITUTE($M925,"~","~~"),"*","~*"),"?","~?"),'DEF_SELF_SCOUT_IMPORT'!$D$42:$D$1040,SUBSTITUTE(SUBSTITUTE(SUBSTITUTE($P925,"~","~~"),"*","~*"),"?","~?"),'DEF_SELF_SCOUT_IMPORT'!$H$42:$H$1040,"DROPBACK")/$C925)</f>
        <v>1.0</v>
      </c>
      <c r="I925" s="14" t="str">
        <f>IF(C925=0,"",IF(C925&lt;=2,"TRACK",IF(C925=3,"LOW",IF(C925&lt;=6,"MEDIUM","HIGH"))))</f>
        <v>TRACK</v>
      </c>
      <c r="J925" s="11">
        <f>IF(C925=0,"",ROUND(D925*70+(1-E925)*20+MAX(0,MIN(1,(10-F925)/10))*10,1))</f>
        <v>95.0</v>
      </c>
      <c r="K925" s="14" t="str">
        <f>IF(C925=0,"No Evidence",IF(C925&lt;=2,IF(E925&gt;0,"Explosive Alert","Track Only"),IF(C925=3,"Sample Watch",IF(E925&gt;=START_HERE!$B$31,"Explosive Alert",IF(J925&gt;=80,"Strong Candidate",IF(J925&gt;=65,"Good Candidate",IF(J925&gt;=50,"Mixed / Review","Problem Call")))))))</f>
        <v>Track Only</v>
      </c>
      <c r="L925" s="9" t="str">
        <f>IF(COUNTIFS('DEF_SELF_SCOUT_IMPORT'!$L$42:$L$1040,"Y",'DEF_SELF_SCOUT_IMPORT'!$E$42:$E$1040,SUBSTITUTE(SUBSTITUTE(SUBSTITUTE($B925,"~","~~"),"*","~*"),"?","~?"),'DEF_SELF_SCOUT_IMPORT'!$Q$42:$Q$1040,SUBSTITUTE(SUBSTITUTE(SUBSTITUTE($M925,"~","~~"),"*","~*"),"?","~?"),'DEF_SELF_SCOUT_IMPORT'!$D$42:$D$1040,SUBSTITUTE(SUBSTITUTE(SUBSTITUTE($P925,"~","~~"),"*","~*"),"?","~?"),'DEF_SELF_SCOUT_IMPORT'!$J$42:$J$1040,"")&gt;0,"Unscored clean outcome; review result tags before using score.",IF(C925=0,"No matching defensive reps; film confirmation needed.",IF(K925="Explosive Alert","Explosive risk; review clips before using as answer.",IF(C925&lt;=2,"Track only; not enough sample.",IF(C925=3,IF(E925&gt;0,"Sample watch with explosive exposure; review clips and build the sample.",IF(J925&gt;=65,"Good signal, but sample is limited.","Sample watch; review clips and build the sample.")),IF(K925="Problem Call","Problem area; practice or call-sheet review.",IF(K925="Strong Candidate","Strong call-fit candidate; confirm on film.",IF(K925="Good Candidate","Good call-fit signal; confirm on film.","Mixed signal; review fit and execution on film."))))))))</f>
        <v>Track only; not enough sample.</v>
      </c>
      <c r="M925" s="8" t="s">
        <v>82</v>
      </c>
      <c r="N925" s="8"/>
      <c r="O925" s="8"/>
      <c r="P925" s="8" t="s">
        <v>468</v>
      </c>
      <c r="Q925" s="8"/>
      <c r="R925" s="8" t="s">
        <v>429</v>
      </c>
      <c r="S925" s="2" t="s">
        <v>523</v>
      </c>
      <c r="T925" s="2">
        <f>IF(C925=0,0,IF(C925&gt;=CALL_LOOKUP_BOARD!$B$7,IF(OR(K925="Problem Call",K925="Explosive Alert"),10000000,20000000),0)+IF(C925&gt;=CALL_LOOKUP_BOARD!$B$7,J925*1000+MIN(C925,999),C925*1000+J925)+0.00988500)</f>
        <v>1095.009885</v>
      </c>
      <c r="U925" s="2">
        <f>IF(C925=0,"",IF(COUNTIFS($S$811:$S$1055,SUBSTITUTE(SUBSTITUTE(SUBSTITUTE(S925,"~","~~"),"*","~*"),"?","~?"),$T$811:$T$1055,"&gt;"&amp;T925)=0,S925,""))</f>
        <v/>
      </c>
    </row>
    <row r="926" spans="1:21" ht="38" customHeight="1">
      <c r="A926" s="8" t="s">
        <v>524</v>
      </c>
      <c r="B926" s="8" t="s">
        <v>44</v>
      </c>
      <c r="C926" s="12">
        <f>COUNTIFS('DEF_SELF_SCOUT_IMPORT'!$L$42:$L$1040,"Y",'DEF_SELF_SCOUT_IMPORT'!$E$42:$E$1040,SUBSTITUTE(SUBSTITUTE(SUBSTITUTE($B926,"~","~~"),"*","~*"),"?","~?"),'DEF_SELF_SCOUT_IMPORT'!$Q$42:$Q$1040,SUBSTITUTE(SUBSTITUTE(SUBSTITUTE($M926,"~","~~"),"*","~*"),"?","~?"),'DEF_SELF_SCOUT_IMPORT'!$D$42:$D$1040,SUBSTITUTE(SUBSTITUTE(SUBSTITUTE($P926,"~","~~"),"*","~*"),"?","~?"))</f>
        <v>1</v>
      </c>
      <c r="D926" s="10">
        <f>IF($C926=0,"",SUMIFS('DEF_SELF_SCOUT_IMPORT'!$J$42:$J$1040,'DEF_SELF_SCOUT_IMPORT'!$L$42:$L$1040,"Y",'DEF_SELF_SCOUT_IMPORT'!$E$42:$E$1040,SUBSTITUTE(SUBSTITUTE(SUBSTITUTE($B926,"~","~~"),"*","~*"),"?","~?"),'DEF_SELF_SCOUT_IMPORT'!$Q$42:$Q$1040,SUBSTITUTE(SUBSTITUTE(SUBSTITUTE($M926,"~","~~"),"*","~*"),"?","~?"),'DEF_SELF_SCOUT_IMPORT'!$D$42:$D$1040,SUBSTITUTE(SUBSTITUTE(SUBSTITUTE($P926,"~","~~"),"*","~*"),"?","~?"))/$C926)</f>
        <v>1.0</v>
      </c>
      <c r="E926" s="10">
        <f>IF($C926=0,"",SUMIFS('DEF_SELF_SCOUT_IMPORT'!$K$42:$K$1040,'DEF_SELF_SCOUT_IMPORT'!$L$42:$L$1040,"Y",'DEF_SELF_SCOUT_IMPORT'!$E$42:$E$1040,SUBSTITUTE(SUBSTITUTE(SUBSTITUTE($B926,"~","~~"),"*","~*"),"?","~?"),'DEF_SELF_SCOUT_IMPORT'!$Q$42:$Q$1040,SUBSTITUTE(SUBSTITUTE(SUBSTITUTE($M926,"~","~~"),"*","~*"),"?","~?"),'DEF_SELF_SCOUT_IMPORT'!$D$42:$D$1040,SUBSTITUTE(SUBSTITUTE(SUBSTITUTE($P926,"~","~~"),"*","~*"),"?","~?"))/$C926)</f>
        <v>0.0</v>
      </c>
      <c r="F926" s="11">
        <f>IF($C926=0,"",AVERAGEIFS('DEF_SELF_SCOUT_IMPORT'!$I$42:$I$1040,'DEF_SELF_SCOUT_IMPORT'!$L$42:$L$1040,"Y",'DEF_SELF_SCOUT_IMPORT'!$E$42:$E$1040,SUBSTITUTE(SUBSTITUTE(SUBSTITUTE($B926,"~","~~"),"*","~*"),"?","~?"),'DEF_SELF_SCOUT_IMPORT'!$Q$42:$Q$1040,SUBSTITUTE(SUBSTITUTE(SUBSTITUTE($M926,"~","~~"),"*","~*"),"?","~?"),'DEF_SELF_SCOUT_IMPORT'!$D$42:$D$1040,SUBSTITUTE(SUBSTITUTE(SUBSTITUTE($P926,"~","~~"),"*","~*"),"?","~?")))</f>
        <v>0.0</v>
      </c>
      <c r="G926" s="10">
        <f>IF($C926=0,"",COUNTIFS('DEF_SELF_SCOUT_IMPORT'!$L$42:$L$1040,"Y",'DEF_SELF_SCOUT_IMPORT'!$E$42:$E$1040,SUBSTITUTE(SUBSTITUTE(SUBSTITUTE($B926,"~","~~"),"*","~*"),"?","~?"),'DEF_SELF_SCOUT_IMPORT'!$Q$42:$Q$1040,SUBSTITUTE(SUBSTITUTE(SUBSTITUTE($M926,"~","~~"),"*","~*"),"?","~?"),'DEF_SELF_SCOUT_IMPORT'!$D$42:$D$1040,SUBSTITUTE(SUBSTITUTE(SUBSTITUTE($P926,"~","~~"),"*","~*"),"?","~?"),'DEF_SELF_SCOUT_IMPORT'!$H$42:$H$1040,"RUSH")/$C926)</f>
        <v>0.0</v>
      </c>
      <c r="H926" s="10">
        <f>IF($C926=0,"",COUNTIFS('DEF_SELF_SCOUT_IMPORT'!$L$42:$L$1040,"Y",'DEF_SELF_SCOUT_IMPORT'!$E$42:$E$1040,SUBSTITUTE(SUBSTITUTE(SUBSTITUTE($B926,"~","~~"),"*","~*"),"?","~?"),'DEF_SELF_SCOUT_IMPORT'!$Q$42:$Q$1040,SUBSTITUTE(SUBSTITUTE(SUBSTITUTE($M926,"~","~~"),"*","~*"),"?","~?"),'DEF_SELF_SCOUT_IMPORT'!$D$42:$D$1040,SUBSTITUTE(SUBSTITUTE(SUBSTITUTE($P926,"~","~~"),"*","~*"),"?","~?"),'DEF_SELF_SCOUT_IMPORT'!$H$42:$H$1040,"DROPBACK")/$C926)</f>
        <v>1.0</v>
      </c>
      <c r="I926" s="14" t="str">
        <f>IF(C926=0,"",IF(C926&lt;=2,"TRACK",IF(C926=3,"LOW",IF(C926&lt;=6,"MEDIUM","HIGH"))))</f>
        <v>TRACK</v>
      </c>
      <c r="J926" s="11">
        <f>IF(C926=0,"",ROUND(D926*70+(1-E926)*20+MAX(0,MIN(1,(10-F926)/10))*10,1))</f>
        <v>100.0</v>
      </c>
      <c r="K926" s="14" t="str">
        <f>IF(C926=0,"No Evidence",IF(C926&lt;=2,IF(E926&gt;0,"Explosive Alert","Track Only"),IF(C926=3,"Sample Watch",IF(E926&gt;=START_HERE!$B$31,"Explosive Alert",IF(J926&gt;=80,"Strong Candidate",IF(J926&gt;=65,"Good Candidate",IF(J926&gt;=50,"Mixed / Review","Problem Call")))))))</f>
        <v>Track Only</v>
      </c>
      <c r="L926" s="9" t="str">
        <f>IF(COUNTIFS('DEF_SELF_SCOUT_IMPORT'!$L$42:$L$1040,"Y",'DEF_SELF_SCOUT_IMPORT'!$E$42:$E$1040,SUBSTITUTE(SUBSTITUTE(SUBSTITUTE($B926,"~","~~"),"*","~*"),"?","~?"),'DEF_SELF_SCOUT_IMPORT'!$Q$42:$Q$1040,SUBSTITUTE(SUBSTITUTE(SUBSTITUTE($M926,"~","~~"),"*","~*"),"?","~?"),'DEF_SELF_SCOUT_IMPORT'!$D$42:$D$1040,SUBSTITUTE(SUBSTITUTE(SUBSTITUTE($P926,"~","~~"),"*","~*"),"?","~?"),'DEF_SELF_SCOUT_IMPORT'!$J$42:$J$1040,"")&gt;0,"Unscored clean outcome; review result tags before using score.",IF(C926=0,"No matching defensive reps; film confirmation needed.",IF(K926="Explosive Alert","Explosive risk; review clips before using as answer.",IF(C926&lt;=2,"Track only; not enough sample.",IF(C926=3,IF(E926&gt;0,"Sample watch with explosive exposure; review clips and build the sample.",IF(J926&gt;=65,"Good signal, but sample is limited.","Sample watch; review clips and build the sample.")),IF(K926="Problem Call","Problem area; practice or call-sheet review.",IF(K926="Strong Candidate","Strong call-fit candidate; confirm on film.",IF(K926="Good Candidate","Good call-fit signal; confirm on film.","Mixed signal; review fit and execution on film."))))))))</f>
        <v>Track only; not enough sample.</v>
      </c>
      <c r="M926" s="8" t="s">
        <v>82</v>
      </c>
      <c r="N926" s="8"/>
      <c r="O926" s="8"/>
      <c r="P926" s="8" t="s">
        <v>471</v>
      </c>
      <c r="Q926" s="8"/>
      <c r="R926" s="8" t="s">
        <v>429</v>
      </c>
      <c r="S926" s="2" t="s">
        <v>525</v>
      </c>
      <c r="T926" s="2">
        <f>IF(C926=0,0,IF(C926&gt;=CALL_LOOKUP_BOARD!$B$7,IF(OR(K926="Problem Call",K926="Explosive Alert"),10000000,20000000),0)+IF(C926&gt;=CALL_LOOKUP_BOARD!$B$7,J926*1000+MIN(C926,999),C926*1000+J926)+0.00988400)</f>
        <v>1100.009884</v>
      </c>
      <c r="U926" s="2" t="str">
        <f>IF(C926=0,"",IF(COUNTIFS($S$811:$S$1055,SUBSTITUTE(SUBSTITUTE(SUBSTITUTE(S926,"~","~~"),"*","~*"),"?","~?"),$T$811:$T$1055,"&gt;"&amp;T926)=0,S926,""))</f>
        <v>6:2D 4-6|3:RPO|</v>
      </c>
    </row>
    <row r="927" spans="1:21" ht="38" customHeight="1">
      <c r="A927" s="8" t="s">
        <v>524</v>
      </c>
      <c r="B927" s="8" t="s">
        <v>68</v>
      </c>
      <c r="C927" s="12">
        <f>COUNTIFS('DEF_SELF_SCOUT_IMPORT'!$L$42:$L$1040,"Y",'DEF_SELF_SCOUT_IMPORT'!$E$42:$E$1040,SUBSTITUTE(SUBSTITUTE(SUBSTITUTE($B927,"~","~~"),"*","~*"),"?","~?"),'DEF_SELF_SCOUT_IMPORT'!$Q$42:$Q$1040,SUBSTITUTE(SUBSTITUTE(SUBSTITUTE($M927,"~","~~"),"*","~*"),"?","~?"),'DEF_SELF_SCOUT_IMPORT'!$D$42:$D$1040,SUBSTITUTE(SUBSTITUTE(SUBSTITUTE($P927,"~","~~"),"*","~*"),"?","~?"))</f>
        <v>1</v>
      </c>
      <c r="D927" s="10">
        <f>IF($C927=0,"",SUMIFS('DEF_SELF_SCOUT_IMPORT'!$J$42:$J$1040,'DEF_SELF_SCOUT_IMPORT'!$L$42:$L$1040,"Y",'DEF_SELF_SCOUT_IMPORT'!$E$42:$E$1040,SUBSTITUTE(SUBSTITUTE(SUBSTITUTE($B927,"~","~~"),"*","~*"),"?","~?"),'DEF_SELF_SCOUT_IMPORT'!$Q$42:$Q$1040,SUBSTITUTE(SUBSTITUTE(SUBSTITUTE($M927,"~","~~"),"*","~*"),"?","~?"),'DEF_SELF_SCOUT_IMPORT'!$D$42:$D$1040,SUBSTITUTE(SUBSTITUTE(SUBSTITUTE($P927,"~","~~"),"*","~*"),"?","~?"))/$C927)</f>
        <v>1.0</v>
      </c>
      <c r="E927" s="10">
        <f>IF($C927=0,"",SUMIFS('DEF_SELF_SCOUT_IMPORT'!$K$42:$K$1040,'DEF_SELF_SCOUT_IMPORT'!$L$42:$L$1040,"Y",'DEF_SELF_SCOUT_IMPORT'!$E$42:$E$1040,SUBSTITUTE(SUBSTITUTE(SUBSTITUTE($B927,"~","~~"),"*","~*"),"?","~?"),'DEF_SELF_SCOUT_IMPORT'!$Q$42:$Q$1040,SUBSTITUTE(SUBSTITUTE(SUBSTITUTE($M927,"~","~~"),"*","~*"),"?","~?"),'DEF_SELF_SCOUT_IMPORT'!$D$42:$D$1040,SUBSTITUTE(SUBSTITUTE(SUBSTITUTE($P927,"~","~~"),"*","~*"),"?","~?"))/$C927)</f>
        <v>0.0</v>
      </c>
      <c r="F927" s="11">
        <f>IF($C927=0,"",AVERAGEIFS('DEF_SELF_SCOUT_IMPORT'!$I$42:$I$1040,'DEF_SELF_SCOUT_IMPORT'!$L$42:$L$1040,"Y",'DEF_SELF_SCOUT_IMPORT'!$E$42:$E$1040,SUBSTITUTE(SUBSTITUTE(SUBSTITUTE($B927,"~","~~"),"*","~*"),"?","~?"),'DEF_SELF_SCOUT_IMPORT'!$Q$42:$Q$1040,SUBSTITUTE(SUBSTITUTE(SUBSTITUTE($M927,"~","~~"),"*","~*"),"?","~?"),'DEF_SELF_SCOUT_IMPORT'!$D$42:$D$1040,SUBSTITUTE(SUBSTITUTE(SUBSTITUTE($P927,"~","~~"),"*","~*"),"?","~?")))</f>
        <v>0.0</v>
      </c>
      <c r="G927" s="10">
        <f>IF($C927=0,"",COUNTIFS('DEF_SELF_SCOUT_IMPORT'!$L$42:$L$1040,"Y",'DEF_SELF_SCOUT_IMPORT'!$E$42:$E$1040,SUBSTITUTE(SUBSTITUTE(SUBSTITUTE($B927,"~","~~"),"*","~*"),"?","~?"),'DEF_SELF_SCOUT_IMPORT'!$Q$42:$Q$1040,SUBSTITUTE(SUBSTITUTE(SUBSTITUTE($M927,"~","~~"),"*","~*"),"?","~?"),'DEF_SELF_SCOUT_IMPORT'!$D$42:$D$1040,SUBSTITUTE(SUBSTITUTE(SUBSTITUTE($P927,"~","~~"),"*","~*"),"?","~?"),'DEF_SELF_SCOUT_IMPORT'!$H$42:$H$1040,"RUSH")/$C927)</f>
        <v>0.0</v>
      </c>
      <c r="H927" s="10">
        <f>IF($C927=0,"",COUNTIFS('DEF_SELF_SCOUT_IMPORT'!$L$42:$L$1040,"Y",'DEF_SELF_SCOUT_IMPORT'!$E$42:$E$1040,SUBSTITUTE(SUBSTITUTE(SUBSTITUTE($B927,"~","~~"),"*","~*"),"?","~?"),'DEF_SELF_SCOUT_IMPORT'!$Q$42:$Q$1040,SUBSTITUTE(SUBSTITUTE(SUBSTITUTE($M927,"~","~~"),"*","~*"),"?","~?"),'DEF_SELF_SCOUT_IMPORT'!$D$42:$D$1040,SUBSTITUTE(SUBSTITUTE(SUBSTITUTE($P927,"~","~~"),"*","~*"),"?","~?"),'DEF_SELF_SCOUT_IMPORT'!$H$42:$H$1040,"DROPBACK")/$C927)</f>
        <v>1.0</v>
      </c>
      <c r="I927" s="14" t="str">
        <f>IF(C927=0,"",IF(C927&lt;=2,"TRACK",IF(C927=3,"LOW",IF(C927&lt;=6,"MEDIUM","HIGH"))))</f>
        <v>TRACK</v>
      </c>
      <c r="J927" s="11">
        <f>IF(C927=0,"",ROUND(D927*70+(1-E927)*20+MAX(0,MIN(1,(10-F927)/10))*10,1))</f>
        <v>100.0</v>
      </c>
      <c r="K927" s="14" t="str">
        <f>IF(C927=0,"No Evidence",IF(C927&lt;=2,IF(E927&gt;0,"Explosive Alert","Track Only"),IF(C927=3,"Sample Watch",IF(E927&gt;=START_HERE!$B$31,"Explosive Alert",IF(J927&gt;=80,"Strong Candidate",IF(J927&gt;=65,"Good Candidate",IF(J927&gt;=50,"Mixed / Review","Problem Call")))))))</f>
        <v>Track Only</v>
      </c>
      <c r="L927" s="9" t="str">
        <f>IF(COUNTIFS('DEF_SELF_SCOUT_IMPORT'!$L$42:$L$1040,"Y",'DEF_SELF_SCOUT_IMPORT'!$E$42:$E$1040,SUBSTITUTE(SUBSTITUTE(SUBSTITUTE($B927,"~","~~"),"*","~*"),"?","~?"),'DEF_SELF_SCOUT_IMPORT'!$Q$42:$Q$1040,SUBSTITUTE(SUBSTITUTE(SUBSTITUTE($M927,"~","~~"),"*","~*"),"?","~?"),'DEF_SELF_SCOUT_IMPORT'!$D$42:$D$1040,SUBSTITUTE(SUBSTITUTE(SUBSTITUTE($P927,"~","~~"),"*","~*"),"?","~?"),'DEF_SELF_SCOUT_IMPORT'!$J$42:$J$1040,"")&gt;0,"Unscored clean outcome; review result tags before using score.",IF(C927=0,"No matching defensive reps; film confirmation needed.",IF(K927="Explosive Alert","Explosive risk; review clips before using as answer.",IF(C927&lt;=2,"Track only; not enough sample.",IF(C927=3,IF(E927&gt;0,"Sample watch with explosive exposure; review clips and build the sample.",IF(J927&gt;=65,"Good signal, but sample is limited.","Sample watch; review clips and build the sample.")),IF(K927="Problem Call","Problem area; practice or call-sheet review.",IF(K927="Strong Candidate","Strong call-fit candidate; confirm on film.",IF(K927="Good Candidate","Good call-fit signal; confirm on film.","Mixed signal; review fit and execution on film."))))))))</f>
        <v>Track only; not enough sample.</v>
      </c>
      <c r="M927" s="8" t="s">
        <v>82</v>
      </c>
      <c r="N927" s="8"/>
      <c r="O927" s="8"/>
      <c r="P927" s="8" t="s">
        <v>471</v>
      </c>
      <c r="Q927" s="8"/>
      <c r="R927" s="8" t="s">
        <v>429</v>
      </c>
      <c r="S927" s="2" t="s">
        <v>525</v>
      </c>
      <c r="T927" s="2">
        <f>IF(C927=0,0,IF(C927&gt;=CALL_LOOKUP_BOARD!$B$7,IF(OR(K927="Problem Call",K927="Explosive Alert"),10000000,20000000),0)+IF(C927&gt;=CALL_LOOKUP_BOARD!$B$7,J927*1000+MIN(C927,999),C927*1000+J927)+0.00988300)</f>
        <v>1100.009883</v>
      </c>
      <c r="U927" s="2">
        <f>IF(C927=0,"",IF(COUNTIFS($S$811:$S$1055,SUBSTITUTE(SUBSTITUTE(SUBSTITUTE(S927,"~","~~"),"*","~*"),"?","~?"),$T$811:$T$1055,"&gt;"&amp;T927)=0,S927,""))</f>
        <v/>
      </c>
    </row>
    <row r="928" spans="1:21" ht="38" customHeight="1">
      <c r="A928" s="8" t="s">
        <v>526</v>
      </c>
      <c r="B928" s="8" t="s">
        <v>52</v>
      </c>
      <c r="C928" s="12">
        <f>COUNTIFS('DEF_SELF_SCOUT_IMPORT'!$L$42:$L$1040,"Y",'DEF_SELF_SCOUT_IMPORT'!$E$42:$E$1040,SUBSTITUTE(SUBSTITUTE(SUBSTITUTE($B928,"~","~~"),"*","~*"),"?","~?"),'DEF_SELF_SCOUT_IMPORT'!$Q$42:$Q$1040,SUBSTITUTE(SUBSTITUTE(SUBSTITUTE($M928,"~","~~"),"*","~*"),"?","~?"),'DEF_SELF_SCOUT_IMPORT'!$D$42:$D$1040,SUBSTITUTE(SUBSTITUTE(SUBSTITUTE($P928,"~","~~"),"*","~*"),"?","~?"))</f>
        <v>2</v>
      </c>
      <c r="D928" s="10">
        <f>IF($C928=0,"",SUMIFS('DEF_SELF_SCOUT_IMPORT'!$J$42:$J$1040,'DEF_SELF_SCOUT_IMPORT'!$L$42:$L$1040,"Y",'DEF_SELF_SCOUT_IMPORT'!$E$42:$E$1040,SUBSTITUTE(SUBSTITUTE(SUBSTITUTE($B928,"~","~~"),"*","~*"),"?","~?"),'DEF_SELF_SCOUT_IMPORT'!$Q$42:$Q$1040,SUBSTITUTE(SUBSTITUTE(SUBSTITUTE($M928,"~","~~"),"*","~*"),"?","~?"),'DEF_SELF_SCOUT_IMPORT'!$D$42:$D$1040,SUBSTITUTE(SUBSTITUTE(SUBSTITUTE($P928,"~","~~"),"*","~*"),"?","~?"))/$C928)</f>
        <v>0.5</v>
      </c>
      <c r="E928" s="10">
        <f>IF($C928=0,"",SUMIFS('DEF_SELF_SCOUT_IMPORT'!$K$42:$K$1040,'DEF_SELF_SCOUT_IMPORT'!$L$42:$L$1040,"Y",'DEF_SELF_SCOUT_IMPORT'!$E$42:$E$1040,SUBSTITUTE(SUBSTITUTE(SUBSTITUTE($B928,"~","~~"),"*","~*"),"?","~?"),'DEF_SELF_SCOUT_IMPORT'!$Q$42:$Q$1040,SUBSTITUTE(SUBSTITUTE(SUBSTITUTE($M928,"~","~~"),"*","~*"),"?","~?"),'DEF_SELF_SCOUT_IMPORT'!$D$42:$D$1040,SUBSTITUTE(SUBSTITUTE(SUBSTITUTE($P928,"~","~~"),"*","~*"),"?","~?"))/$C928)</f>
        <v>0.0</v>
      </c>
      <c r="F928" s="11">
        <f>IF($C928=0,"",AVERAGEIFS('DEF_SELF_SCOUT_IMPORT'!$I$42:$I$1040,'DEF_SELF_SCOUT_IMPORT'!$L$42:$L$1040,"Y",'DEF_SELF_SCOUT_IMPORT'!$E$42:$E$1040,SUBSTITUTE(SUBSTITUTE(SUBSTITUTE($B928,"~","~~"),"*","~*"),"?","~?"),'DEF_SELF_SCOUT_IMPORT'!$Q$42:$Q$1040,SUBSTITUTE(SUBSTITUTE(SUBSTITUTE($M928,"~","~~"),"*","~*"),"?","~?"),'DEF_SELF_SCOUT_IMPORT'!$D$42:$D$1040,SUBSTITUTE(SUBSTITUTE(SUBSTITUTE($P928,"~","~~"),"*","~*"),"?","~?")))</f>
        <v>3.0</v>
      </c>
      <c r="G928" s="10">
        <f>IF($C928=0,"",COUNTIFS('DEF_SELF_SCOUT_IMPORT'!$L$42:$L$1040,"Y",'DEF_SELF_SCOUT_IMPORT'!$E$42:$E$1040,SUBSTITUTE(SUBSTITUTE(SUBSTITUTE($B928,"~","~~"),"*","~*"),"?","~?"),'DEF_SELF_SCOUT_IMPORT'!$Q$42:$Q$1040,SUBSTITUTE(SUBSTITUTE(SUBSTITUTE($M928,"~","~~"),"*","~*"),"?","~?"),'DEF_SELF_SCOUT_IMPORT'!$D$42:$D$1040,SUBSTITUTE(SUBSTITUTE(SUBSTITUTE($P928,"~","~~"),"*","~*"),"?","~?"),'DEF_SELF_SCOUT_IMPORT'!$H$42:$H$1040,"RUSH")/$C928)</f>
        <v>1.0</v>
      </c>
      <c r="H928" s="10">
        <f>IF($C928=0,"",COUNTIFS('DEF_SELF_SCOUT_IMPORT'!$L$42:$L$1040,"Y",'DEF_SELF_SCOUT_IMPORT'!$E$42:$E$1040,SUBSTITUTE(SUBSTITUTE(SUBSTITUTE($B928,"~","~~"),"*","~*"),"?","~?"),'DEF_SELF_SCOUT_IMPORT'!$Q$42:$Q$1040,SUBSTITUTE(SUBSTITUTE(SUBSTITUTE($M928,"~","~~"),"*","~*"),"?","~?"),'DEF_SELF_SCOUT_IMPORT'!$D$42:$D$1040,SUBSTITUTE(SUBSTITUTE(SUBSTITUTE($P928,"~","~~"),"*","~*"),"?","~?"),'DEF_SELF_SCOUT_IMPORT'!$H$42:$H$1040,"DROPBACK")/$C928)</f>
        <v>0.0</v>
      </c>
      <c r="I928" s="14" t="str">
        <f>IF(C928=0,"",IF(C928&lt;=2,"TRACK",IF(C928=3,"LOW",IF(C928&lt;=6,"MEDIUM","HIGH"))))</f>
        <v>TRACK</v>
      </c>
      <c r="J928" s="11">
        <f>IF(C928=0,"",ROUND(D928*70+(1-E928)*20+MAX(0,MIN(1,(10-F928)/10))*10,1))</f>
        <v>62.0</v>
      </c>
      <c r="K928" s="14" t="str">
        <f>IF(C928=0,"No Evidence",IF(C928&lt;=2,IF(E928&gt;0,"Explosive Alert","Track Only"),IF(C928=3,"Sample Watch",IF(E928&gt;=START_HERE!$B$31,"Explosive Alert",IF(J928&gt;=80,"Strong Candidate",IF(J928&gt;=65,"Good Candidate",IF(J928&gt;=50,"Mixed / Review","Problem Call")))))))</f>
        <v>Track Only</v>
      </c>
      <c r="L928" s="9" t="str">
        <f>IF(COUNTIFS('DEF_SELF_SCOUT_IMPORT'!$L$42:$L$1040,"Y",'DEF_SELF_SCOUT_IMPORT'!$E$42:$E$1040,SUBSTITUTE(SUBSTITUTE(SUBSTITUTE($B928,"~","~~"),"*","~*"),"?","~?"),'DEF_SELF_SCOUT_IMPORT'!$Q$42:$Q$1040,SUBSTITUTE(SUBSTITUTE(SUBSTITUTE($M928,"~","~~"),"*","~*"),"?","~?"),'DEF_SELF_SCOUT_IMPORT'!$D$42:$D$1040,SUBSTITUTE(SUBSTITUTE(SUBSTITUTE($P928,"~","~~"),"*","~*"),"?","~?"),'DEF_SELF_SCOUT_IMPORT'!$J$42:$J$1040,"")&gt;0,"Unscored clean outcome; review result tags before using score.",IF(C928=0,"No matching defensive reps; film confirmation needed.",IF(K928="Explosive Alert","Explosive risk; review clips before using as answer.",IF(C928&lt;=2,"Track only; not enough sample.",IF(C928=3,IF(E928&gt;0,"Sample watch with explosive exposure; review clips and build the sample.",IF(J928&gt;=65,"Good signal, but sample is limited.","Sample watch; review clips and build the sample.")),IF(K928="Problem Call","Problem area; practice or call-sheet review.",IF(K928="Strong Candidate","Strong call-fit candidate; confirm on film.",IF(K928="Good Candidate","Good call-fit signal; confirm on film.","Mixed signal; review fit and execution on film."))))))))</f>
        <v>Track only; not enough sample.</v>
      </c>
      <c r="M928" s="8" t="s">
        <v>82</v>
      </c>
      <c r="N928" s="8"/>
      <c r="O928" s="8"/>
      <c r="P928" s="8" t="s">
        <v>477</v>
      </c>
      <c r="Q928" s="8"/>
      <c r="R928" s="8" t="s">
        <v>429</v>
      </c>
      <c r="S928" s="2" t="s">
        <v>527</v>
      </c>
      <c r="T928" s="2">
        <f>IF(C928=0,0,IF(C928&gt;=CALL_LOOKUP_BOARD!$B$7,IF(OR(K928="Problem Call",K928="Explosive Alert"),10000000,20000000),0)+IF(C928&gt;=CALL_LOOKUP_BOARD!$B$7,J928*1000+MIN(C928,999),C928*1000+J928)+0.00988200)</f>
        <v>2062.009882</v>
      </c>
      <c r="U928" s="2" t="str">
        <f>IF(C928=0,"",IF(COUNTIFS($S$811:$S$1055,SUBSTITUTE(SUBSTITUTE(SUBSTITUTE(S928,"~","~~"),"*","~*"),"?","~?"),$T$811:$T$1055,"&gt;"&amp;T928)=0,S928,""))</f>
        <v>6:2D 4-6|10:SPLIT ZONE|</v>
      </c>
    </row>
    <row r="929" spans="1:21" ht="38" customHeight="1">
      <c r="A929" s="8" t="s">
        <v>528</v>
      </c>
      <c r="B929" s="8" t="s">
        <v>34</v>
      </c>
      <c r="C929" s="12">
        <f>COUNTIFS('DEF_SELF_SCOUT_IMPORT'!$L$42:$L$1040,"Y",'DEF_SELF_SCOUT_IMPORT'!$E$42:$E$1040,SUBSTITUTE(SUBSTITUTE(SUBSTITUTE($B929,"~","~~"),"*","~*"),"?","~?"),'DEF_SELF_SCOUT_IMPORT'!$Q$42:$Q$1040,SUBSTITUTE(SUBSTITUTE(SUBSTITUTE($M929,"~","~~"),"*","~*"),"?","~?"),'DEF_SELF_SCOUT_IMPORT'!$D$42:$D$1040,SUBSTITUTE(SUBSTITUTE(SUBSTITUTE($P929,"~","~~"),"*","~*"),"?","~?"))</f>
        <v>1</v>
      </c>
      <c r="D929" s="10">
        <f>IF($C929=0,"",SUMIFS('DEF_SELF_SCOUT_IMPORT'!$J$42:$J$1040,'DEF_SELF_SCOUT_IMPORT'!$L$42:$L$1040,"Y",'DEF_SELF_SCOUT_IMPORT'!$E$42:$E$1040,SUBSTITUTE(SUBSTITUTE(SUBSTITUTE($B929,"~","~~"),"*","~*"),"?","~?"),'DEF_SELF_SCOUT_IMPORT'!$Q$42:$Q$1040,SUBSTITUTE(SUBSTITUTE(SUBSTITUTE($M929,"~","~~"),"*","~*"),"?","~?"),'DEF_SELF_SCOUT_IMPORT'!$D$42:$D$1040,SUBSTITUTE(SUBSTITUTE(SUBSTITUTE($P929,"~","~~"),"*","~*"),"?","~?"))/$C929)</f>
        <v>1.0</v>
      </c>
      <c r="E929" s="10">
        <f>IF($C929=0,"",SUMIFS('DEF_SELF_SCOUT_IMPORT'!$K$42:$K$1040,'DEF_SELF_SCOUT_IMPORT'!$L$42:$L$1040,"Y",'DEF_SELF_SCOUT_IMPORT'!$E$42:$E$1040,SUBSTITUTE(SUBSTITUTE(SUBSTITUTE($B929,"~","~~"),"*","~*"),"?","~?"),'DEF_SELF_SCOUT_IMPORT'!$Q$42:$Q$1040,SUBSTITUTE(SUBSTITUTE(SUBSTITUTE($M929,"~","~~"),"*","~*"),"?","~?"),'DEF_SELF_SCOUT_IMPORT'!$D$42:$D$1040,SUBSTITUTE(SUBSTITUTE(SUBSTITUTE($P929,"~","~~"),"*","~*"),"?","~?"))/$C929)</f>
        <v>0.0</v>
      </c>
      <c r="F929" s="11">
        <f>IF($C929=0,"",AVERAGEIFS('DEF_SELF_SCOUT_IMPORT'!$I$42:$I$1040,'DEF_SELF_SCOUT_IMPORT'!$L$42:$L$1040,"Y",'DEF_SELF_SCOUT_IMPORT'!$E$42:$E$1040,SUBSTITUTE(SUBSTITUTE(SUBSTITUTE($B929,"~","~~"),"*","~*"),"?","~?"),'DEF_SELF_SCOUT_IMPORT'!$Q$42:$Q$1040,SUBSTITUTE(SUBSTITUTE(SUBSTITUTE($M929,"~","~~"),"*","~*"),"?","~?"),'DEF_SELF_SCOUT_IMPORT'!$D$42:$D$1040,SUBSTITUTE(SUBSTITUTE(SUBSTITUTE($P929,"~","~~"),"*","~*"),"?","~?")))</f>
        <v>0.0</v>
      </c>
      <c r="G929" s="10">
        <f>IF($C929=0,"",COUNTIFS('DEF_SELF_SCOUT_IMPORT'!$L$42:$L$1040,"Y",'DEF_SELF_SCOUT_IMPORT'!$E$42:$E$1040,SUBSTITUTE(SUBSTITUTE(SUBSTITUTE($B929,"~","~~"),"*","~*"),"?","~?"),'DEF_SELF_SCOUT_IMPORT'!$Q$42:$Q$1040,SUBSTITUTE(SUBSTITUTE(SUBSTITUTE($M929,"~","~~"),"*","~*"),"?","~?"),'DEF_SELF_SCOUT_IMPORT'!$D$42:$D$1040,SUBSTITUTE(SUBSTITUTE(SUBSTITUTE($P929,"~","~~"),"*","~*"),"?","~?"),'DEF_SELF_SCOUT_IMPORT'!$H$42:$H$1040,"RUSH")/$C929)</f>
        <v>0.0</v>
      </c>
      <c r="H929" s="10">
        <f>IF($C929=0,"",COUNTIFS('DEF_SELF_SCOUT_IMPORT'!$L$42:$L$1040,"Y",'DEF_SELF_SCOUT_IMPORT'!$E$42:$E$1040,SUBSTITUTE(SUBSTITUTE(SUBSTITUTE($B929,"~","~~"),"*","~*"),"?","~?"),'DEF_SELF_SCOUT_IMPORT'!$Q$42:$Q$1040,SUBSTITUTE(SUBSTITUTE(SUBSTITUTE($M929,"~","~~"),"*","~*"),"?","~?"),'DEF_SELF_SCOUT_IMPORT'!$D$42:$D$1040,SUBSTITUTE(SUBSTITUTE(SUBSTITUTE($P929,"~","~~"),"*","~*"),"?","~?"),'DEF_SELF_SCOUT_IMPORT'!$H$42:$H$1040,"DROPBACK")/$C929)</f>
        <v>1.0</v>
      </c>
      <c r="I929" s="14" t="str">
        <f>IF(C929=0,"",IF(C929&lt;=2,"TRACK",IF(C929=3,"LOW",IF(C929&lt;=6,"MEDIUM","HIGH"))))</f>
        <v>TRACK</v>
      </c>
      <c r="J929" s="11">
        <f>IF(C929=0,"",ROUND(D929*70+(1-E929)*20+MAX(0,MIN(1,(10-F929)/10))*10,1))</f>
        <v>100.0</v>
      </c>
      <c r="K929" s="14" t="str">
        <f>IF(C929=0,"No Evidence",IF(C929&lt;=2,IF(E929&gt;0,"Explosive Alert","Track Only"),IF(C929=3,"Sample Watch",IF(E929&gt;=START_HERE!$B$31,"Explosive Alert",IF(J929&gt;=80,"Strong Candidate",IF(J929&gt;=65,"Good Candidate",IF(J929&gt;=50,"Mixed / Review","Problem Call")))))))</f>
        <v>Track Only</v>
      </c>
      <c r="L929" s="9" t="str">
        <f>IF(COUNTIFS('DEF_SELF_SCOUT_IMPORT'!$L$42:$L$1040,"Y",'DEF_SELF_SCOUT_IMPORT'!$E$42:$E$1040,SUBSTITUTE(SUBSTITUTE(SUBSTITUTE($B929,"~","~~"),"*","~*"),"?","~?"),'DEF_SELF_SCOUT_IMPORT'!$Q$42:$Q$1040,SUBSTITUTE(SUBSTITUTE(SUBSTITUTE($M929,"~","~~"),"*","~*"),"?","~?"),'DEF_SELF_SCOUT_IMPORT'!$D$42:$D$1040,SUBSTITUTE(SUBSTITUTE(SUBSTITUTE($P929,"~","~~"),"*","~*"),"?","~?"),'DEF_SELF_SCOUT_IMPORT'!$J$42:$J$1040,"")&gt;0,"Unscored clean outcome; review result tags before using score.",IF(C929=0,"No matching defensive reps; film confirmation needed.",IF(K929="Explosive Alert","Explosive risk; review clips before using as answer.",IF(C929&lt;=2,"Track only; not enough sample.",IF(C929=3,IF(E929&gt;0,"Sample watch with explosive exposure; review clips and build the sample.",IF(J929&gt;=65,"Good signal, but sample is limited.","Sample watch; review clips and build the sample.")),IF(K929="Problem Call","Problem area; practice or call-sheet review.",IF(K929="Strong Candidate","Strong call-fit candidate; confirm on film.",IF(K929="Good Candidate","Good call-fit signal; confirm on film.","Mixed signal; review fit and execution on film."))))))))</f>
        <v>Track only; not enough sample.</v>
      </c>
      <c r="M929" s="8" t="s">
        <v>85</v>
      </c>
      <c r="N929" s="8"/>
      <c r="O929" s="8"/>
      <c r="P929" s="8" t="s">
        <v>446</v>
      </c>
      <c r="Q929" s="8"/>
      <c r="R929" s="8" t="s">
        <v>429</v>
      </c>
      <c r="S929" s="2" t="s">
        <v>529</v>
      </c>
      <c r="T929" s="2">
        <f>IF(C929=0,0,IF(C929&gt;=CALL_LOOKUP_BOARD!$B$7,IF(OR(K929="Problem Call",K929="Explosive Alert"),10000000,20000000),0)+IF(C929&gt;=CALL_LOOKUP_BOARD!$B$7,J929*1000+MIN(C929,999),C929*1000+J929)+0.00988100)</f>
        <v>1100.009881</v>
      </c>
      <c r="U929" s="2" t="str">
        <f>IF(C929=0,"",IF(COUNTIFS($S$811:$S$1055,SUBSTITUTE(SUBSTITUTE(SUBSTITUTE(S929,"~","~~"),"*","~*"),"?","~?"),$T$811:$T$1055,"&gt;"&amp;T929)=0,S929,""))</f>
        <v>7:2D 7-10|6:3 STEP|</v>
      </c>
    </row>
    <row r="930" spans="1:21" ht="38" customHeight="1">
      <c r="A930" s="8" t="s">
        <v>528</v>
      </c>
      <c r="B930" s="8" t="s">
        <v>49</v>
      </c>
      <c r="C930" s="12">
        <f>COUNTIFS('DEF_SELF_SCOUT_IMPORT'!$L$42:$L$1040,"Y",'DEF_SELF_SCOUT_IMPORT'!$E$42:$E$1040,SUBSTITUTE(SUBSTITUTE(SUBSTITUTE($B930,"~","~~"),"*","~*"),"?","~?"),'DEF_SELF_SCOUT_IMPORT'!$Q$42:$Q$1040,SUBSTITUTE(SUBSTITUTE(SUBSTITUTE($M930,"~","~~"),"*","~*"),"?","~?"),'DEF_SELF_SCOUT_IMPORT'!$D$42:$D$1040,SUBSTITUTE(SUBSTITUTE(SUBSTITUTE($P930,"~","~~"),"*","~*"),"?","~?"))</f>
        <v>1</v>
      </c>
      <c r="D930" s="10">
        <f>IF($C930=0,"",SUMIFS('DEF_SELF_SCOUT_IMPORT'!$J$42:$J$1040,'DEF_SELF_SCOUT_IMPORT'!$L$42:$L$1040,"Y",'DEF_SELF_SCOUT_IMPORT'!$E$42:$E$1040,SUBSTITUTE(SUBSTITUTE(SUBSTITUTE($B930,"~","~~"),"*","~*"),"?","~?"),'DEF_SELF_SCOUT_IMPORT'!$Q$42:$Q$1040,SUBSTITUTE(SUBSTITUTE(SUBSTITUTE($M930,"~","~~"),"*","~*"),"?","~?"),'DEF_SELF_SCOUT_IMPORT'!$D$42:$D$1040,SUBSTITUTE(SUBSTITUTE(SUBSTITUTE($P930,"~","~~"),"*","~*"),"?","~?"))/$C930)</f>
        <v>1.0</v>
      </c>
      <c r="E930" s="10">
        <f>IF($C930=0,"",SUMIFS('DEF_SELF_SCOUT_IMPORT'!$K$42:$K$1040,'DEF_SELF_SCOUT_IMPORT'!$L$42:$L$1040,"Y",'DEF_SELF_SCOUT_IMPORT'!$E$42:$E$1040,SUBSTITUTE(SUBSTITUTE(SUBSTITUTE($B930,"~","~~"),"*","~*"),"?","~?"),'DEF_SELF_SCOUT_IMPORT'!$Q$42:$Q$1040,SUBSTITUTE(SUBSTITUTE(SUBSTITUTE($M930,"~","~~"),"*","~*"),"?","~?"),'DEF_SELF_SCOUT_IMPORT'!$D$42:$D$1040,SUBSTITUTE(SUBSTITUTE(SUBSTITUTE($P930,"~","~~"),"*","~*"),"?","~?"))/$C930)</f>
        <v>0.0</v>
      </c>
      <c r="F930" s="11">
        <f>IF($C930=0,"",AVERAGEIFS('DEF_SELF_SCOUT_IMPORT'!$I$42:$I$1040,'DEF_SELF_SCOUT_IMPORT'!$L$42:$L$1040,"Y",'DEF_SELF_SCOUT_IMPORT'!$E$42:$E$1040,SUBSTITUTE(SUBSTITUTE(SUBSTITUTE($B930,"~","~~"),"*","~*"),"?","~?"),'DEF_SELF_SCOUT_IMPORT'!$Q$42:$Q$1040,SUBSTITUTE(SUBSTITUTE(SUBSTITUTE($M930,"~","~~"),"*","~*"),"?","~?"),'DEF_SELF_SCOUT_IMPORT'!$D$42:$D$1040,SUBSTITUTE(SUBSTITUTE(SUBSTITUTE($P930,"~","~~"),"*","~*"),"?","~?")))</f>
        <v>0.0</v>
      </c>
      <c r="G930" s="10">
        <f>IF($C930=0,"",COUNTIFS('DEF_SELF_SCOUT_IMPORT'!$L$42:$L$1040,"Y",'DEF_SELF_SCOUT_IMPORT'!$E$42:$E$1040,SUBSTITUTE(SUBSTITUTE(SUBSTITUTE($B930,"~","~~"),"*","~*"),"?","~?"),'DEF_SELF_SCOUT_IMPORT'!$Q$42:$Q$1040,SUBSTITUTE(SUBSTITUTE(SUBSTITUTE($M930,"~","~~"),"*","~*"),"?","~?"),'DEF_SELF_SCOUT_IMPORT'!$D$42:$D$1040,SUBSTITUTE(SUBSTITUTE(SUBSTITUTE($P930,"~","~~"),"*","~*"),"?","~?"),'DEF_SELF_SCOUT_IMPORT'!$H$42:$H$1040,"RUSH")/$C930)</f>
        <v>0.0</v>
      </c>
      <c r="H930" s="10">
        <f>IF($C930=0,"",COUNTIFS('DEF_SELF_SCOUT_IMPORT'!$L$42:$L$1040,"Y",'DEF_SELF_SCOUT_IMPORT'!$E$42:$E$1040,SUBSTITUTE(SUBSTITUTE(SUBSTITUTE($B930,"~","~~"),"*","~*"),"?","~?"),'DEF_SELF_SCOUT_IMPORT'!$Q$42:$Q$1040,SUBSTITUTE(SUBSTITUTE(SUBSTITUTE($M930,"~","~~"),"*","~*"),"?","~?"),'DEF_SELF_SCOUT_IMPORT'!$D$42:$D$1040,SUBSTITUTE(SUBSTITUTE(SUBSTITUTE($P930,"~","~~"),"*","~*"),"?","~?"),'DEF_SELF_SCOUT_IMPORT'!$H$42:$H$1040,"DROPBACK")/$C930)</f>
        <v>1.0</v>
      </c>
      <c r="I930" s="14" t="str">
        <f>IF(C930=0,"",IF(C930&lt;=2,"TRACK",IF(C930=3,"LOW",IF(C930&lt;=6,"MEDIUM","HIGH"))))</f>
        <v>TRACK</v>
      </c>
      <c r="J930" s="11">
        <f>IF(C930=0,"",ROUND(D930*70+(1-E930)*20+MAX(0,MIN(1,(10-F930)/10))*10,1))</f>
        <v>100.0</v>
      </c>
      <c r="K930" s="14" t="str">
        <f>IF(C930=0,"No Evidence",IF(C930&lt;=2,IF(E930&gt;0,"Explosive Alert","Track Only"),IF(C930=3,"Sample Watch",IF(E930&gt;=START_HERE!$B$31,"Explosive Alert",IF(J930&gt;=80,"Strong Candidate",IF(J930&gt;=65,"Good Candidate",IF(J930&gt;=50,"Mixed / Review","Problem Call")))))))</f>
        <v>Track Only</v>
      </c>
      <c r="L930" s="9" t="str">
        <f>IF(COUNTIFS('DEF_SELF_SCOUT_IMPORT'!$L$42:$L$1040,"Y",'DEF_SELF_SCOUT_IMPORT'!$E$42:$E$1040,SUBSTITUTE(SUBSTITUTE(SUBSTITUTE($B930,"~","~~"),"*","~*"),"?","~?"),'DEF_SELF_SCOUT_IMPORT'!$Q$42:$Q$1040,SUBSTITUTE(SUBSTITUTE(SUBSTITUTE($M930,"~","~~"),"*","~*"),"?","~?"),'DEF_SELF_SCOUT_IMPORT'!$D$42:$D$1040,SUBSTITUTE(SUBSTITUTE(SUBSTITUTE($P930,"~","~~"),"*","~*"),"?","~?"),'DEF_SELF_SCOUT_IMPORT'!$J$42:$J$1040,"")&gt;0,"Unscored clean outcome; review result tags before using score.",IF(C930=0,"No matching defensive reps; film confirmation needed.",IF(K930="Explosive Alert","Explosive risk; review clips before using as answer.",IF(C930&lt;=2,"Track only; not enough sample.",IF(C930=3,IF(E930&gt;0,"Sample watch with explosive exposure; review clips and build the sample.",IF(J930&gt;=65,"Good signal, but sample is limited.","Sample watch; review clips and build the sample.")),IF(K930="Problem Call","Problem area; practice or call-sheet review.",IF(K930="Strong Candidate","Strong call-fit candidate; confirm on film.",IF(K930="Good Candidate","Good call-fit signal; confirm on film.","Mixed signal; review fit and execution on film."))))))))</f>
        <v>Track only; not enough sample.</v>
      </c>
      <c r="M930" s="8" t="s">
        <v>85</v>
      </c>
      <c r="N930" s="8"/>
      <c r="O930" s="8"/>
      <c r="P930" s="8" t="s">
        <v>446</v>
      </c>
      <c r="Q930" s="8"/>
      <c r="R930" s="8" t="s">
        <v>429</v>
      </c>
      <c r="S930" s="2" t="s">
        <v>529</v>
      </c>
      <c r="T930" s="2">
        <f>IF(C930=0,0,IF(C930&gt;=CALL_LOOKUP_BOARD!$B$7,IF(OR(K930="Problem Call",K930="Explosive Alert"),10000000,20000000),0)+IF(C930&gt;=CALL_LOOKUP_BOARD!$B$7,J930*1000+MIN(C930,999),C930*1000+J930)+0.00988000)</f>
        <v>1100.00988</v>
      </c>
      <c r="U930" s="2">
        <f>IF(C930=0,"",IF(COUNTIFS($S$811:$S$1055,SUBSTITUTE(SUBSTITUTE(SUBSTITUTE(S930,"~","~~"),"*","~*"),"?","~?"),$T$811:$T$1055,"&gt;"&amp;T930)=0,S930,""))</f>
        <v/>
      </c>
    </row>
    <row r="931" spans="1:21" ht="38" customHeight="1">
      <c r="A931" s="8" t="s">
        <v>528</v>
      </c>
      <c r="B931" s="8" t="s">
        <v>90</v>
      </c>
      <c r="C931" s="12">
        <f>COUNTIFS('DEF_SELF_SCOUT_IMPORT'!$L$42:$L$1040,"Y",'DEF_SELF_SCOUT_IMPORT'!$E$42:$E$1040,SUBSTITUTE(SUBSTITUTE(SUBSTITUTE($B931,"~","~~"),"*","~*"),"?","~?"),'DEF_SELF_SCOUT_IMPORT'!$Q$42:$Q$1040,SUBSTITUTE(SUBSTITUTE(SUBSTITUTE($M931,"~","~~"),"*","~*"),"?","~?"),'DEF_SELF_SCOUT_IMPORT'!$D$42:$D$1040,SUBSTITUTE(SUBSTITUTE(SUBSTITUTE($P931,"~","~~"),"*","~*"),"?","~?"))</f>
        <v>1</v>
      </c>
      <c r="D931" s="10">
        <f>IF($C931=0,"",SUMIFS('DEF_SELF_SCOUT_IMPORT'!$J$42:$J$1040,'DEF_SELF_SCOUT_IMPORT'!$L$42:$L$1040,"Y",'DEF_SELF_SCOUT_IMPORT'!$E$42:$E$1040,SUBSTITUTE(SUBSTITUTE(SUBSTITUTE($B931,"~","~~"),"*","~*"),"?","~?"),'DEF_SELF_SCOUT_IMPORT'!$Q$42:$Q$1040,SUBSTITUTE(SUBSTITUTE(SUBSTITUTE($M931,"~","~~"),"*","~*"),"?","~?"),'DEF_SELF_SCOUT_IMPORT'!$D$42:$D$1040,SUBSTITUTE(SUBSTITUTE(SUBSTITUTE($P931,"~","~~"),"*","~*"),"?","~?"))/$C931)</f>
        <v>1.0</v>
      </c>
      <c r="E931" s="10">
        <f>IF($C931=0,"",SUMIFS('DEF_SELF_SCOUT_IMPORT'!$K$42:$K$1040,'DEF_SELF_SCOUT_IMPORT'!$L$42:$L$1040,"Y",'DEF_SELF_SCOUT_IMPORT'!$E$42:$E$1040,SUBSTITUTE(SUBSTITUTE(SUBSTITUTE($B931,"~","~~"),"*","~*"),"?","~?"),'DEF_SELF_SCOUT_IMPORT'!$Q$42:$Q$1040,SUBSTITUTE(SUBSTITUTE(SUBSTITUTE($M931,"~","~~"),"*","~*"),"?","~?"),'DEF_SELF_SCOUT_IMPORT'!$D$42:$D$1040,SUBSTITUTE(SUBSTITUTE(SUBSTITUTE($P931,"~","~~"),"*","~*"),"?","~?"))/$C931)</f>
        <v>0.0</v>
      </c>
      <c r="F931" s="11">
        <f>IF($C931=0,"",AVERAGEIFS('DEF_SELF_SCOUT_IMPORT'!$I$42:$I$1040,'DEF_SELF_SCOUT_IMPORT'!$L$42:$L$1040,"Y",'DEF_SELF_SCOUT_IMPORT'!$E$42:$E$1040,SUBSTITUTE(SUBSTITUTE(SUBSTITUTE($B931,"~","~~"),"*","~*"),"?","~?"),'DEF_SELF_SCOUT_IMPORT'!$Q$42:$Q$1040,SUBSTITUTE(SUBSTITUTE(SUBSTITUTE($M931,"~","~~"),"*","~*"),"?","~?"),'DEF_SELF_SCOUT_IMPORT'!$D$42:$D$1040,SUBSTITUTE(SUBSTITUTE(SUBSTITUTE($P931,"~","~~"),"*","~*"),"?","~?")))</f>
        <v>0.0</v>
      </c>
      <c r="G931" s="10">
        <f>IF($C931=0,"",COUNTIFS('DEF_SELF_SCOUT_IMPORT'!$L$42:$L$1040,"Y",'DEF_SELF_SCOUT_IMPORT'!$E$42:$E$1040,SUBSTITUTE(SUBSTITUTE(SUBSTITUTE($B931,"~","~~"),"*","~*"),"?","~?"),'DEF_SELF_SCOUT_IMPORT'!$Q$42:$Q$1040,SUBSTITUTE(SUBSTITUTE(SUBSTITUTE($M931,"~","~~"),"*","~*"),"?","~?"),'DEF_SELF_SCOUT_IMPORT'!$D$42:$D$1040,SUBSTITUTE(SUBSTITUTE(SUBSTITUTE($P931,"~","~~"),"*","~*"),"?","~?"),'DEF_SELF_SCOUT_IMPORT'!$H$42:$H$1040,"RUSH")/$C931)</f>
        <v>0.0</v>
      </c>
      <c r="H931" s="10">
        <f>IF($C931=0,"",COUNTIFS('DEF_SELF_SCOUT_IMPORT'!$L$42:$L$1040,"Y",'DEF_SELF_SCOUT_IMPORT'!$E$42:$E$1040,SUBSTITUTE(SUBSTITUTE(SUBSTITUTE($B931,"~","~~"),"*","~*"),"?","~?"),'DEF_SELF_SCOUT_IMPORT'!$Q$42:$Q$1040,SUBSTITUTE(SUBSTITUTE(SUBSTITUTE($M931,"~","~~"),"*","~*"),"?","~?"),'DEF_SELF_SCOUT_IMPORT'!$D$42:$D$1040,SUBSTITUTE(SUBSTITUTE(SUBSTITUTE($P931,"~","~~"),"*","~*"),"?","~?"),'DEF_SELF_SCOUT_IMPORT'!$H$42:$H$1040,"DROPBACK")/$C931)</f>
        <v>1.0</v>
      </c>
      <c r="I931" s="14" t="str">
        <f>IF(C931=0,"",IF(C931&lt;=2,"TRACK",IF(C931=3,"LOW",IF(C931&lt;=6,"MEDIUM","HIGH"))))</f>
        <v>TRACK</v>
      </c>
      <c r="J931" s="11">
        <f>IF(C931=0,"",ROUND(D931*70+(1-E931)*20+MAX(0,MIN(1,(10-F931)/10))*10,1))</f>
        <v>100.0</v>
      </c>
      <c r="K931" s="14" t="str">
        <f>IF(C931=0,"No Evidence",IF(C931&lt;=2,IF(E931&gt;0,"Explosive Alert","Track Only"),IF(C931=3,"Sample Watch",IF(E931&gt;=START_HERE!$B$31,"Explosive Alert",IF(J931&gt;=80,"Strong Candidate",IF(J931&gt;=65,"Good Candidate",IF(J931&gt;=50,"Mixed / Review","Problem Call")))))))</f>
        <v>Track Only</v>
      </c>
      <c r="L931" s="9" t="str">
        <f>IF(COUNTIFS('DEF_SELF_SCOUT_IMPORT'!$L$42:$L$1040,"Y",'DEF_SELF_SCOUT_IMPORT'!$E$42:$E$1040,SUBSTITUTE(SUBSTITUTE(SUBSTITUTE($B931,"~","~~"),"*","~*"),"?","~?"),'DEF_SELF_SCOUT_IMPORT'!$Q$42:$Q$1040,SUBSTITUTE(SUBSTITUTE(SUBSTITUTE($M931,"~","~~"),"*","~*"),"?","~?"),'DEF_SELF_SCOUT_IMPORT'!$D$42:$D$1040,SUBSTITUTE(SUBSTITUTE(SUBSTITUTE($P931,"~","~~"),"*","~*"),"?","~?"),'DEF_SELF_SCOUT_IMPORT'!$J$42:$J$1040,"")&gt;0,"Unscored clean outcome; review result tags before using score.",IF(C931=0,"No matching defensive reps; film confirmation needed.",IF(K931="Explosive Alert","Explosive risk; review clips before using as answer.",IF(C931&lt;=2,"Track only; not enough sample.",IF(C931=3,IF(E931&gt;0,"Sample watch with explosive exposure; review clips and build the sample.",IF(J931&gt;=65,"Good signal, but sample is limited.","Sample watch; review clips and build the sample.")),IF(K931="Problem Call","Problem area; practice or call-sheet review.",IF(K931="Strong Candidate","Strong call-fit candidate; confirm on film.",IF(K931="Good Candidate","Good call-fit signal; confirm on film.","Mixed signal; review fit and execution on film."))))))))</f>
        <v>Track only; not enough sample.</v>
      </c>
      <c r="M931" s="8" t="s">
        <v>85</v>
      </c>
      <c r="N931" s="8"/>
      <c r="O931" s="8"/>
      <c r="P931" s="8" t="s">
        <v>446</v>
      </c>
      <c r="Q931" s="8"/>
      <c r="R931" s="8" t="s">
        <v>429</v>
      </c>
      <c r="S931" s="2" t="s">
        <v>529</v>
      </c>
      <c r="T931" s="2">
        <f>IF(C931=0,0,IF(C931&gt;=CALL_LOOKUP_BOARD!$B$7,IF(OR(K931="Problem Call",K931="Explosive Alert"),10000000,20000000),0)+IF(C931&gt;=CALL_LOOKUP_BOARD!$B$7,J931*1000+MIN(C931,999),C931*1000+J931)+0.00987900)</f>
        <v>1100.009879</v>
      </c>
      <c r="U931" s="2">
        <f>IF(C931=0,"",IF(COUNTIFS($S$811:$S$1055,SUBSTITUTE(SUBSTITUTE(SUBSTITUTE(S931,"~","~~"),"*","~*"),"?","~?"),$T$811:$T$1055,"&gt;"&amp;T931)=0,S931,""))</f>
        <v/>
      </c>
    </row>
    <row r="932" spans="1:21" ht="38" customHeight="1">
      <c r="A932" s="8" t="s">
        <v>530</v>
      </c>
      <c r="B932" s="8" t="s">
        <v>27</v>
      </c>
      <c r="C932" s="12">
        <f>COUNTIFS('DEF_SELF_SCOUT_IMPORT'!$L$42:$L$1040,"Y",'DEF_SELF_SCOUT_IMPORT'!$E$42:$E$1040,SUBSTITUTE(SUBSTITUTE(SUBSTITUTE($B932,"~","~~"),"*","~*"),"?","~?"),'DEF_SELF_SCOUT_IMPORT'!$Q$42:$Q$1040,SUBSTITUTE(SUBSTITUTE(SUBSTITUTE($M932,"~","~~"),"*","~*"),"?","~?"),'DEF_SELF_SCOUT_IMPORT'!$D$42:$D$1040,SUBSTITUTE(SUBSTITUTE(SUBSTITUTE($P932,"~","~~"),"*","~*"),"?","~?"))</f>
        <v>1</v>
      </c>
      <c r="D932" s="10">
        <f>IF($C932=0,"",SUMIFS('DEF_SELF_SCOUT_IMPORT'!$J$42:$J$1040,'DEF_SELF_SCOUT_IMPORT'!$L$42:$L$1040,"Y",'DEF_SELF_SCOUT_IMPORT'!$E$42:$E$1040,SUBSTITUTE(SUBSTITUTE(SUBSTITUTE($B932,"~","~~"),"*","~*"),"?","~?"),'DEF_SELF_SCOUT_IMPORT'!$Q$42:$Q$1040,SUBSTITUTE(SUBSTITUTE(SUBSTITUTE($M932,"~","~~"),"*","~*"),"?","~?"),'DEF_SELF_SCOUT_IMPORT'!$D$42:$D$1040,SUBSTITUTE(SUBSTITUTE(SUBSTITUTE($P932,"~","~~"),"*","~*"),"?","~?"))/$C932)</f>
        <v>1.0</v>
      </c>
      <c r="E932" s="10">
        <f>IF($C932=0,"",SUMIFS('DEF_SELF_SCOUT_IMPORT'!$K$42:$K$1040,'DEF_SELF_SCOUT_IMPORT'!$L$42:$L$1040,"Y",'DEF_SELF_SCOUT_IMPORT'!$E$42:$E$1040,SUBSTITUTE(SUBSTITUTE(SUBSTITUTE($B932,"~","~~"),"*","~*"),"?","~?"),'DEF_SELF_SCOUT_IMPORT'!$Q$42:$Q$1040,SUBSTITUTE(SUBSTITUTE(SUBSTITUTE($M932,"~","~~"),"*","~*"),"?","~?"),'DEF_SELF_SCOUT_IMPORT'!$D$42:$D$1040,SUBSTITUTE(SUBSTITUTE(SUBSTITUTE($P932,"~","~~"),"*","~*"),"?","~?"))/$C932)</f>
        <v>0.0</v>
      </c>
      <c r="F932" s="11">
        <f>IF($C932=0,"",AVERAGEIFS('DEF_SELF_SCOUT_IMPORT'!$I$42:$I$1040,'DEF_SELF_SCOUT_IMPORT'!$L$42:$L$1040,"Y",'DEF_SELF_SCOUT_IMPORT'!$E$42:$E$1040,SUBSTITUTE(SUBSTITUTE(SUBSTITUTE($B932,"~","~~"),"*","~*"),"?","~?"),'DEF_SELF_SCOUT_IMPORT'!$Q$42:$Q$1040,SUBSTITUTE(SUBSTITUTE(SUBSTITUTE($M932,"~","~~"),"*","~*"),"?","~?"),'DEF_SELF_SCOUT_IMPORT'!$D$42:$D$1040,SUBSTITUTE(SUBSTITUTE(SUBSTITUTE($P932,"~","~~"),"*","~*"),"?","~?")))</f>
        <v>0.0</v>
      </c>
      <c r="G932" s="10">
        <f>IF($C932=0,"",COUNTIFS('DEF_SELF_SCOUT_IMPORT'!$L$42:$L$1040,"Y",'DEF_SELF_SCOUT_IMPORT'!$E$42:$E$1040,SUBSTITUTE(SUBSTITUTE(SUBSTITUTE($B932,"~","~~"),"*","~*"),"?","~?"),'DEF_SELF_SCOUT_IMPORT'!$Q$42:$Q$1040,SUBSTITUTE(SUBSTITUTE(SUBSTITUTE($M932,"~","~~"),"*","~*"),"?","~?"),'DEF_SELF_SCOUT_IMPORT'!$D$42:$D$1040,SUBSTITUTE(SUBSTITUTE(SUBSTITUTE($P932,"~","~~"),"*","~*"),"?","~?"),'DEF_SELF_SCOUT_IMPORT'!$H$42:$H$1040,"RUSH")/$C932)</f>
        <v>0.0</v>
      </c>
      <c r="H932" s="10">
        <f>IF($C932=0,"",COUNTIFS('DEF_SELF_SCOUT_IMPORT'!$L$42:$L$1040,"Y",'DEF_SELF_SCOUT_IMPORT'!$E$42:$E$1040,SUBSTITUTE(SUBSTITUTE(SUBSTITUTE($B932,"~","~~"),"*","~*"),"?","~?"),'DEF_SELF_SCOUT_IMPORT'!$Q$42:$Q$1040,SUBSTITUTE(SUBSTITUTE(SUBSTITUTE($M932,"~","~~"),"*","~*"),"?","~?"),'DEF_SELF_SCOUT_IMPORT'!$D$42:$D$1040,SUBSTITUTE(SUBSTITUTE(SUBSTITUTE($P932,"~","~~"),"*","~*"),"?","~?"),'DEF_SELF_SCOUT_IMPORT'!$H$42:$H$1040,"DROPBACK")/$C932)</f>
        <v>1.0</v>
      </c>
      <c r="I932" s="14" t="str">
        <f>IF(C932=0,"",IF(C932&lt;=2,"TRACK",IF(C932=3,"LOW",IF(C932&lt;=6,"MEDIUM","HIGH"))))</f>
        <v>TRACK</v>
      </c>
      <c r="J932" s="11">
        <f>IF(C932=0,"",ROUND(D932*70+(1-E932)*20+MAX(0,MIN(1,(10-F932)/10))*10,1))</f>
        <v>100.0</v>
      </c>
      <c r="K932" s="14" t="str">
        <f>IF(C932=0,"No Evidence",IF(C932&lt;=2,IF(E932&gt;0,"Explosive Alert","Track Only"),IF(C932=3,"Sample Watch",IF(E932&gt;=START_HERE!$B$31,"Explosive Alert",IF(J932&gt;=80,"Strong Candidate",IF(J932&gt;=65,"Good Candidate",IF(J932&gt;=50,"Mixed / Review","Problem Call")))))))</f>
        <v>Track Only</v>
      </c>
      <c r="L932" s="9" t="str">
        <f>IF(COUNTIFS('DEF_SELF_SCOUT_IMPORT'!$L$42:$L$1040,"Y",'DEF_SELF_SCOUT_IMPORT'!$E$42:$E$1040,SUBSTITUTE(SUBSTITUTE(SUBSTITUTE($B932,"~","~~"),"*","~*"),"?","~?"),'DEF_SELF_SCOUT_IMPORT'!$Q$42:$Q$1040,SUBSTITUTE(SUBSTITUTE(SUBSTITUTE($M932,"~","~~"),"*","~*"),"?","~?"),'DEF_SELF_SCOUT_IMPORT'!$D$42:$D$1040,SUBSTITUTE(SUBSTITUTE(SUBSTITUTE($P932,"~","~~"),"*","~*"),"?","~?"),'DEF_SELF_SCOUT_IMPORT'!$J$42:$J$1040,"")&gt;0,"Unscored clean outcome; review result tags before using score.",IF(C932=0,"No matching defensive reps; film confirmation needed.",IF(K932="Explosive Alert","Explosive risk; review clips before using as answer.",IF(C932&lt;=2,"Track only; not enough sample.",IF(C932=3,IF(E932&gt;0,"Sample watch with explosive exposure; review clips and build the sample.",IF(J932&gt;=65,"Good signal, but sample is limited.","Sample watch; review clips and build the sample.")),IF(K932="Problem Call","Problem area; practice or call-sheet review.",IF(K932="Strong Candidate","Strong call-fit candidate; confirm on film.",IF(K932="Good Candidate","Good call-fit signal; confirm on film.","Mixed signal; review fit and execution on film."))))))))</f>
        <v>Track only; not enough sample.</v>
      </c>
      <c r="M932" s="8" t="s">
        <v>85</v>
      </c>
      <c r="N932" s="8"/>
      <c r="O932" s="8"/>
      <c r="P932" s="8" t="s">
        <v>449</v>
      </c>
      <c r="Q932" s="8"/>
      <c r="R932" s="8" t="s">
        <v>429</v>
      </c>
      <c r="S932" s="2" t="s">
        <v>531</v>
      </c>
      <c r="T932" s="2">
        <f>IF(C932=0,0,IF(C932&gt;=CALL_LOOKUP_BOARD!$B$7,IF(OR(K932="Problem Call",K932="Explosive Alert"),10000000,20000000),0)+IF(C932&gt;=CALL_LOOKUP_BOARD!$B$7,J932*1000+MIN(C932,999),C932*1000+J932)+0.00987800)</f>
        <v>1100.009878</v>
      </c>
      <c r="U932" s="2">
        <f>IF(C932=0,"",IF(COUNTIFS($S$811:$S$1055,SUBSTITUTE(SUBSTITUTE(SUBSTITUTE(S932,"~","~~"),"*","~*"),"?","~?"),$T$811:$T$1055,"&gt;"&amp;T932)=0,S932,""))</f>
        <v/>
      </c>
    </row>
    <row r="933" spans="1:21" ht="38" customHeight="1">
      <c r="A933" s="8" t="s">
        <v>530</v>
      </c>
      <c r="B933" s="8" t="s">
        <v>43</v>
      </c>
      <c r="C933" s="12">
        <f>COUNTIFS('DEF_SELF_SCOUT_IMPORT'!$L$42:$L$1040,"Y",'DEF_SELF_SCOUT_IMPORT'!$E$42:$E$1040,SUBSTITUTE(SUBSTITUTE(SUBSTITUTE($B933,"~","~~"),"*","~*"),"?","~?"),'DEF_SELF_SCOUT_IMPORT'!$Q$42:$Q$1040,SUBSTITUTE(SUBSTITUTE(SUBSTITUTE($M933,"~","~~"),"*","~*"),"?","~?"),'DEF_SELF_SCOUT_IMPORT'!$D$42:$D$1040,SUBSTITUTE(SUBSTITUTE(SUBSTITUTE($P933,"~","~~"),"*","~*"),"?","~?"))</f>
        <v>1</v>
      </c>
      <c r="D933" s="10">
        <f>IF($C933=0,"",SUMIFS('DEF_SELF_SCOUT_IMPORT'!$J$42:$J$1040,'DEF_SELF_SCOUT_IMPORT'!$L$42:$L$1040,"Y",'DEF_SELF_SCOUT_IMPORT'!$E$42:$E$1040,SUBSTITUTE(SUBSTITUTE(SUBSTITUTE($B933,"~","~~"),"*","~*"),"?","~?"),'DEF_SELF_SCOUT_IMPORT'!$Q$42:$Q$1040,SUBSTITUTE(SUBSTITUTE(SUBSTITUTE($M933,"~","~~"),"*","~*"),"?","~?"),'DEF_SELF_SCOUT_IMPORT'!$D$42:$D$1040,SUBSTITUTE(SUBSTITUTE(SUBSTITUTE($P933,"~","~~"),"*","~*"),"?","~?"))/$C933)</f>
        <v>1.0</v>
      </c>
      <c r="E933" s="10">
        <f>IF($C933=0,"",SUMIFS('DEF_SELF_SCOUT_IMPORT'!$K$42:$K$1040,'DEF_SELF_SCOUT_IMPORT'!$L$42:$L$1040,"Y",'DEF_SELF_SCOUT_IMPORT'!$E$42:$E$1040,SUBSTITUTE(SUBSTITUTE(SUBSTITUTE($B933,"~","~~"),"*","~*"),"?","~?"),'DEF_SELF_SCOUT_IMPORT'!$Q$42:$Q$1040,SUBSTITUTE(SUBSTITUTE(SUBSTITUTE($M933,"~","~~"),"*","~*"),"?","~?"),'DEF_SELF_SCOUT_IMPORT'!$D$42:$D$1040,SUBSTITUTE(SUBSTITUTE(SUBSTITUTE($P933,"~","~~"),"*","~*"),"?","~?"))/$C933)</f>
        <v>0.0</v>
      </c>
      <c r="F933" s="11">
        <f>IF($C933=0,"",AVERAGEIFS('DEF_SELF_SCOUT_IMPORT'!$I$42:$I$1040,'DEF_SELF_SCOUT_IMPORT'!$L$42:$L$1040,"Y",'DEF_SELF_SCOUT_IMPORT'!$E$42:$E$1040,SUBSTITUTE(SUBSTITUTE(SUBSTITUTE($B933,"~","~~"),"*","~*"),"?","~?"),'DEF_SELF_SCOUT_IMPORT'!$Q$42:$Q$1040,SUBSTITUTE(SUBSTITUTE(SUBSTITUTE($M933,"~","~~"),"*","~*"),"?","~?"),'DEF_SELF_SCOUT_IMPORT'!$D$42:$D$1040,SUBSTITUTE(SUBSTITUTE(SUBSTITUTE($P933,"~","~~"),"*","~*"),"?","~?")))</f>
        <v>5.0</v>
      </c>
      <c r="G933" s="10">
        <f>IF($C933=0,"",COUNTIFS('DEF_SELF_SCOUT_IMPORT'!$L$42:$L$1040,"Y",'DEF_SELF_SCOUT_IMPORT'!$E$42:$E$1040,SUBSTITUTE(SUBSTITUTE(SUBSTITUTE($B933,"~","~~"),"*","~*"),"?","~?"),'DEF_SELF_SCOUT_IMPORT'!$Q$42:$Q$1040,SUBSTITUTE(SUBSTITUTE(SUBSTITUTE($M933,"~","~~"),"*","~*"),"?","~?"),'DEF_SELF_SCOUT_IMPORT'!$D$42:$D$1040,SUBSTITUTE(SUBSTITUTE(SUBSTITUTE($P933,"~","~~"),"*","~*"),"?","~?"),'DEF_SELF_SCOUT_IMPORT'!$H$42:$H$1040,"RUSH")/$C933)</f>
        <v>0.0</v>
      </c>
      <c r="H933" s="10">
        <f>IF($C933=0,"",COUNTIFS('DEF_SELF_SCOUT_IMPORT'!$L$42:$L$1040,"Y",'DEF_SELF_SCOUT_IMPORT'!$E$42:$E$1040,SUBSTITUTE(SUBSTITUTE(SUBSTITUTE($B933,"~","~~"),"*","~*"),"?","~?"),'DEF_SELF_SCOUT_IMPORT'!$Q$42:$Q$1040,SUBSTITUTE(SUBSTITUTE(SUBSTITUTE($M933,"~","~~"),"*","~*"),"?","~?"),'DEF_SELF_SCOUT_IMPORT'!$D$42:$D$1040,SUBSTITUTE(SUBSTITUTE(SUBSTITUTE($P933,"~","~~"),"*","~*"),"?","~?"),'DEF_SELF_SCOUT_IMPORT'!$H$42:$H$1040,"DROPBACK")/$C933)</f>
        <v>1.0</v>
      </c>
      <c r="I933" s="14" t="str">
        <f>IF(C933=0,"",IF(C933&lt;=2,"TRACK",IF(C933=3,"LOW",IF(C933&lt;=6,"MEDIUM","HIGH"))))</f>
        <v>TRACK</v>
      </c>
      <c r="J933" s="11">
        <f>IF(C933=0,"",ROUND(D933*70+(1-E933)*20+MAX(0,MIN(1,(10-F933)/10))*10,1))</f>
        <v>95.0</v>
      </c>
      <c r="K933" s="14" t="str">
        <f>IF(C933=0,"No Evidence",IF(C933&lt;=2,IF(E933&gt;0,"Explosive Alert","Track Only"),IF(C933=3,"Sample Watch",IF(E933&gt;=START_HERE!$B$31,"Explosive Alert",IF(J933&gt;=80,"Strong Candidate",IF(J933&gt;=65,"Good Candidate",IF(J933&gt;=50,"Mixed / Review","Problem Call")))))))</f>
        <v>Track Only</v>
      </c>
      <c r="L933" s="9" t="str">
        <f>IF(COUNTIFS('DEF_SELF_SCOUT_IMPORT'!$L$42:$L$1040,"Y",'DEF_SELF_SCOUT_IMPORT'!$E$42:$E$1040,SUBSTITUTE(SUBSTITUTE(SUBSTITUTE($B933,"~","~~"),"*","~*"),"?","~?"),'DEF_SELF_SCOUT_IMPORT'!$Q$42:$Q$1040,SUBSTITUTE(SUBSTITUTE(SUBSTITUTE($M933,"~","~~"),"*","~*"),"?","~?"),'DEF_SELF_SCOUT_IMPORT'!$D$42:$D$1040,SUBSTITUTE(SUBSTITUTE(SUBSTITUTE($P933,"~","~~"),"*","~*"),"?","~?"),'DEF_SELF_SCOUT_IMPORT'!$J$42:$J$1040,"")&gt;0,"Unscored clean outcome; review result tags before using score.",IF(C933=0,"No matching defensive reps; film confirmation needed.",IF(K933="Explosive Alert","Explosive risk; review clips before using as answer.",IF(C933&lt;=2,"Track only; not enough sample.",IF(C933=3,IF(E933&gt;0,"Sample watch with explosive exposure; review clips and build the sample.",IF(J933&gt;=65,"Good signal, but sample is limited.","Sample watch; review clips and build the sample.")),IF(K933="Problem Call","Problem area; practice or call-sheet review.",IF(K933="Strong Candidate","Strong call-fit candidate; confirm on film.",IF(K933="Good Candidate","Good call-fit signal; confirm on film.","Mixed signal; review fit and execution on film."))))))))</f>
        <v>Track only; not enough sample.</v>
      </c>
      <c r="M933" s="8" t="s">
        <v>85</v>
      </c>
      <c r="N933" s="8"/>
      <c r="O933" s="8"/>
      <c r="P933" s="8" t="s">
        <v>449</v>
      </c>
      <c r="Q933" s="8"/>
      <c r="R933" s="8" t="s">
        <v>429</v>
      </c>
      <c r="S933" s="2" t="s">
        <v>531</v>
      </c>
      <c r="T933" s="2">
        <f>IF(C933=0,0,IF(C933&gt;=CALL_LOOKUP_BOARD!$B$7,IF(OR(K933="Problem Call",K933="Explosive Alert"),10000000,20000000),0)+IF(C933&gt;=CALL_LOOKUP_BOARD!$B$7,J933*1000+MIN(C933,999),C933*1000+J933)+0.00987700)</f>
        <v>1095.009877</v>
      </c>
      <c r="U933" s="2">
        <f>IF(C933=0,"",IF(COUNTIFS($S$811:$S$1055,SUBSTITUTE(SUBSTITUTE(SUBSTITUTE(S933,"~","~~"),"*","~*"),"?","~?"),$T$811:$T$1055,"&gt;"&amp;T933)=0,S933,""))</f>
        <v/>
      </c>
    </row>
    <row r="934" spans="1:21" ht="38" customHeight="1">
      <c r="A934" s="8" t="s">
        <v>530</v>
      </c>
      <c r="B934" s="8" t="s">
        <v>48</v>
      </c>
      <c r="C934" s="12">
        <f>COUNTIFS('DEF_SELF_SCOUT_IMPORT'!$L$42:$L$1040,"Y",'DEF_SELF_SCOUT_IMPORT'!$E$42:$E$1040,SUBSTITUTE(SUBSTITUTE(SUBSTITUTE($B934,"~","~~"),"*","~*"),"?","~?"),'DEF_SELF_SCOUT_IMPORT'!$Q$42:$Q$1040,SUBSTITUTE(SUBSTITUTE(SUBSTITUTE($M934,"~","~~"),"*","~*"),"?","~?"),'DEF_SELF_SCOUT_IMPORT'!$D$42:$D$1040,SUBSTITUTE(SUBSTITUTE(SUBSTITUTE($P934,"~","~~"),"*","~*"),"?","~?"))</f>
        <v>1</v>
      </c>
      <c r="D934" s="10">
        <f>IF($C934=0,"",SUMIFS('DEF_SELF_SCOUT_IMPORT'!$J$42:$J$1040,'DEF_SELF_SCOUT_IMPORT'!$L$42:$L$1040,"Y",'DEF_SELF_SCOUT_IMPORT'!$E$42:$E$1040,SUBSTITUTE(SUBSTITUTE(SUBSTITUTE($B934,"~","~~"),"*","~*"),"?","~?"),'DEF_SELF_SCOUT_IMPORT'!$Q$42:$Q$1040,SUBSTITUTE(SUBSTITUTE(SUBSTITUTE($M934,"~","~~"),"*","~*"),"?","~?"),'DEF_SELF_SCOUT_IMPORT'!$D$42:$D$1040,SUBSTITUTE(SUBSTITUTE(SUBSTITUTE($P934,"~","~~"),"*","~*"),"?","~?"))/$C934)</f>
        <v>1.0</v>
      </c>
      <c r="E934" s="10">
        <f>IF($C934=0,"",SUMIFS('DEF_SELF_SCOUT_IMPORT'!$K$42:$K$1040,'DEF_SELF_SCOUT_IMPORT'!$L$42:$L$1040,"Y",'DEF_SELF_SCOUT_IMPORT'!$E$42:$E$1040,SUBSTITUTE(SUBSTITUTE(SUBSTITUTE($B934,"~","~~"),"*","~*"),"?","~?"),'DEF_SELF_SCOUT_IMPORT'!$Q$42:$Q$1040,SUBSTITUTE(SUBSTITUTE(SUBSTITUTE($M934,"~","~~"),"*","~*"),"?","~?"),'DEF_SELF_SCOUT_IMPORT'!$D$42:$D$1040,SUBSTITUTE(SUBSTITUTE(SUBSTITUTE($P934,"~","~~"),"*","~*"),"?","~?"))/$C934)</f>
        <v>0.0</v>
      </c>
      <c r="F934" s="11">
        <f>IF($C934=0,"",AVERAGEIFS('DEF_SELF_SCOUT_IMPORT'!$I$42:$I$1040,'DEF_SELF_SCOUT_IMPORT'!$L$42:$L$1040,"Y",'DEF_SELF_SCOUT_IMPORT'!$E$42:$E$1040,SUBSTITUTE(SUBSTITUTE(SUBSTITUTE($B934,"~","~~"),"*","~*"),"?","~?"),'DEF_SELF_SCOUT_IMPORT'!$Q$42:$Q$1040,SUBSTITUTE(SUBSTITUTE(SUBSTITUTE($M934,"~","~~"),"*","~*"),"?","~?"),'DEF_SELF_SCOUT_IMPORT'!$D$42:$D$1040,SUBSTITUTE(SUBSTITUTE(SUBSTITUTE($P934,"~","~~"),"*","~*"),"?","~?")))</f>
        <v>0.0</v>
      </c>
      <c r="G934" s="10">
        <f>IF($C934=0,"",COUNTIFS('DEF_SELF_SCOUT_IMPORT'!$L$42:$L$1040,"Y",'DEF_SELF_SCOUT_IMPORT'!$E$42:$E$1040,SUBSTITUTE(SUBSTITUTE(SUBSTITUTE($B934,"~","~~"),"*","~*"),"?","~?"),'DEF_SELF_SCOUT_IMPORT'!$Q$42:$Q$1040,SUBSTITUTE(SUBSTITUTE(SUBSTITUTE($M934,"~","~~"),"*","~*"),"?","~?"),'DEF_SELF_SCOUT_IMPORT'!$D$42:$D$1040,SUBSTITUTE(SUBSTITUTE(SUBSTITUTE($P934,"~","~~"),"*","~*"),"?","~?"),'DEF_SELF_SCOUT_IMPORT'!$H$42:$H$1040,"RUSH")/$C934)</f>
        <v>0.0</v>
      </c>
      <c r="H934" s="10">
        <f>IF($C934=0,"",COUNTIFS('DEF_SELF_SCOUT_IMPORT'!$L$42:$L$1040,"Y",'DEF_SELF_SCOUT_IMPORT'!$E$42:$E$1040,SUBSTITUTE(SUBSTITUTE(SUBSTITUTE($B934,"~","~~"),"*","~*"),"?","~?"),'DEF_SELF_SCOUT_IMPORT'!$Q$42:$Q$1040,SUBSTITUTE(SUBSTITUTE(SUBSTITUTE($M934,"~","~~"),"*","~*"),"?","~?"),'DEF_SELF_SCOUT_IMPORT'!$D$42:$D$1040,SUBSTITUTE(SUBSTITUTE(SUBSTITUTE($P934,"~","~~"),"*","~*"),"?","~?"),'DEF_SELF_SCOUT_IMPORT'!$H$42:$H$1040,"DROPBACK")/$C934)</f>
        <v>1.0</v>
      </c>
      <c r="I934" s="14" t="str">
        <f>IF(C934=0,"",IF(C934&lt;=2,"TRACK",IF(C934=3,"LOW",IF(C934&lt;=6,"MEDIUM","HIGH"))))</f>
        <v>TRACK</v>
      </c>
      <c r="J934" s="11">
        <f>IF(C934=0,"",ROUND(D934*70+(1-E934)*20+MAX(0,MIN(1,(10-F934)/10))*10,1))</f>
        <v>100.0</v>
      </c>
      <c r="K934" s="14" t="str">
        <f>IF(C934=0,"No Evidence",IF(C934&lt;=2,IF(E934&gt;0,"Explosive Alert","Track Only"),IF(C934=3,"Sample Watch",IF(E934&gt;=START_HERE!$B$31,"Explosive Alert",IF(J934&gt;=80,"Strong Candidate",IF(J934&gt;=65,"Good Candidate",IF(J934&gt;=50,"Mixed / Review","Problem Call")))))))</f>
        <v>Track Only</v>
      </c>
      <c r="L934" s="9" t="str">
        <f>IF(COUNTIFS('DEF_SELF_SCOUT_IMPORT'!$L$42:$L$1040,"Y",'DEF_SELF_SCOUT_IMPORT'!$E$42:$E$1040,SUBSTITUTE(SUBSTITUTE(SUBSTITUTE($B934,"~","~~"),"*","~*"),"?","~?"),'DEF_SELF_SCOUT_IMPORT'!$Q$42:$Q$1040,SUBSTITUTE(SUBSTITUTE(SUBSTITUTE($M934,"~","~~"),"*","~*"),"?","~?"),'DEF_SELF_SCOUT_IMPORT'!$D$42:$D$1040,SUBSTITUTE(SUBSTITUTE(SUBSTITUTE($P934,"~","~~"),"*","~*"),"?","~?"),'DEF_SELF_SCOUT_IMPORT'!$J$42:$J$1040,"")&gt;0,"Unscored clean outcome; review result tags before using score.",IF(C934=0,"No matching defensive reps; film confirmation needed.",IF(K934="Explosive Alert","Explosive risk; review clips before using as answer.",IF(C934&lt;=2,"Track only; not enough sample.",IF(C934=3,IF(E934&gt;0,"Sample watch with explosive exposure; review clips and build the sample.",IF(J934&gt;=65,"Good signal, but sample is limited.","Sample watch; review clips and build the sample.")),IF(K934="Problem Call","Problem area; practice or call-sheet review.",IF(K934="Strong Candidate","Strong call-fit candidate; confirm on film.",IF(K934="Good Candidate","Good call-fit signal; confirm on film.","Mixed signal; review fit and execution on film."))))))))</f>
        <v>Track only; not enough sample.</v>
      </c>
      <c r="M934" s="8" t="s">
        <v>85</v>
      </c>
      <c r="N934" s="8"/>
      <c r="O934" s="8"/>
      <c r="P934" s="8" t="s">
        <v>449</v>
      </c>
      <c r="Q934" s="8"/>
      <c r="R934" s="8" t="s">
        <v>429</v>
      </c>
      <c r="S934" s="2" t="s">
        <v>531</v>
      </c>
      <c r="T934" s="2">
        <f>IF(C934=0,0,IF(C934&gt;=CALL_LOOKUP_BOARD!$B$7,IF(OR(K934="Problem Call",K934="Explosive Alert"),10000000,20000000),0)+IF(C934&gt;=CALL_LOOKUP_BOARD!$B$7,J934*1000+MIN(C934,999),C934*1000+J934)+0.00987600)</f>
        <v>1100.009876</v>
      </c>
      <c r="U934" s="2">
        <f>IF(C934=0,"",IF(COUNTIFS($S$811:$S$1055,SUBSTITUTE(SUBSTITUTE(SUBSTITUTE(S934,"~","~~"),"*","~*"),"?","~?"),$T$811:$T$1055,"&gt;"&amp;T934)=0,S934,""))</f>
        <v/>
      </c>
    </row>
    <row r="935" spans="1:21" ht="38" customHeight="1">
      <c r="A935" s="8" t="s">
        <v>530</v>
      </c>
      <c r="B935" s="8" t="s">
        <v>60</v>
      </c>
      <c r="C935" s="12">
        <f>COUNTIFS('DEF_SELF_SCOUT_IMPORT'!$L$42:$L$1040,"Y",'DEF_SELF_SCOUT_IMPORT'!$E$42:$E$1040,SUBSTITUTE(SUBSTITUTE(SUBSTITUTE($B935,"~","~~"),"*","~*"),"?","~?"),'DEF_SELF_SCOUT_IMPORT'!$Q$42:$Q$1040,SUBSTITUTE(SUBSTITUTE(SUBSTITUTE($M935,"~","~~"),"*","~*"),"?","~?"),'DEF_SELF_SCOUT_IMPORT'!$D$42:$D$1040,SUBSTITUTE(SUBSTITUTE(SUBSTITUTE($P935,"~","~~"),"*","~*"),"?","~?"))</f>
        <v>1</v>
      </c>
      <c r="D935" s="10">
        <f>IF($C935=0,"",SUMIFS('DEF_SELF_SCOUT_IMPORT'!$J$42:$J$1040,'DEF_SELF_SCOUT_IMPORT'!$L$42:$L$1040,"Y",'DEF_SELF_SCOUT_IMPORT'!$E$42:$E$1040,SUBSTITUTE(SUBSTITUTE(SUBSTITUTE($B935,"~","~~"),"*","~*"),"?","~?"),'DEF_SELF_SCOUT_IMPORT'!$Q$42:$Q$1040,SUBSTITUTE(SUBSTITUTE(SUBSTITUTE($M935,"~","~~"),"*","~*"),"?","~?"),'DEF_SELF_SCOUT_IMPORT'!$D$42:$D$1040,SUBSTITUTE(SUBSTITUTE(SUBSTITUTE($P935,"~","~~"),"*","~*"),"?","~?"))/$C935)</f>
        <v>0.0</v>
      </c>
      <c r="E935" s="10">
        <f>IF($C935=0,"",SUMIFS('DEF_SELF_SCOUT_IMPORT'!$K$42:$K$1040,'DEF_SELF_SCOUT_IMPORT'!$L$42:$L$1040,"Y",'DEF_SELF_SCOUT_IMPORT'!$E$42:$E$1040,SUBSTITUTE(SUBSTITUTE(SUBSTITUTE($B935,"~","~~"),"*","~*"),"?","~?"),'DEF_SELF_SCOUT_IMPORT'!$Q$42:$Q$1040,SUBSTITUTE(SUBSTITUTE(SUBSTITUTE($M935,"~","~~"),"*","~*"),"?","~?"),'DEF_SELF_SCOUT_IMPORT'!$D$42:$D$1040,SUBSTITUTE(SUBSTITUTE(SUBSTITUTE($P935,"~","~~"),"*","~*"),"?","~?"))/$C935)</f>
        <v>0.0</v>
      </c>
      <c r="F935" s="11">
        <f>IF($C935=0,"",AVERAGEIFS('DEF_SELF_SCOUT_IMPORT'!$I$42:$I$1040,'DEF_SELF_SCOUT_IMPORT'!$L$42:$L$1040,"Y",'DEF_SELF_SCOUT_IMPORT'!$E$42:$E$1040,SUBSTITUTE(SUBSTITUTE(SUBSTITUTE($B935,"~","~~"),"*","~*"),"?","~?"),'DEF_SELF_SCOUT_IMPORT'!$Q$42:$Q$1040,SUBSTITUTE(SUBSTITUTE(SUBSTITUTE($M935,"~","~~"),"*","~*"),"?","~?"),'DEF_SELF_SCOUT_IMPORT'!$D$42:$D$1040,SUBSTITUTE(SUBSTITUTE(SUBSTITUTE($P935,"~","~~"),"*","~*"),"?","~?")))</f>
        <v>10.0</v>
      </c>
      <c r="G935" s="10">
        <f>IF($C935=0,"",COUNTIFS('DEF_SELF_SCOUT_IMPORT'!$L$42:$L$1040,"Y",'DEF_SELF_SCOUT_IMPORT'!$E$42:$E$1040,SUBSTITUTE(SUBSTITUTE(SUBSTITUTE($B935,"~","~~"),"*","~*"),"?","~?"),'DEF_SELF_SCOUT_IMPORT'!$Q$42:$Q$1040,SUBSTITUTE(SUBSTITUTE(SUBSTITUTE($M935,"~","~~"),"*","~*"),"?","~?"),'DEF_SELF_SCOUT_IMPORT'!$D$42:$D$1040,SUBSTITUTE(SUBSTITUTE(SUBSTITUTE($P935,"~","~~"),"*","~*"),"?","~?"),'DEF_SELF_SCOUT_IMPORT'!$H$42:$H$1040,"RUSH")/$C935)</f>
        <v>0.0</v>
      </c>
      <c r="H935" s="10">
        <f>IF($C935=0,"",COUNTIFS('DEF_SELF_SCOUT_IMPORT'!$L$42:$L$1040,"Y",'DEF_SELF_SCOUT_IMPORT'!$E$42:$E$1040,SUBSTITUTE(SUBSTITUTE(SUBSTITUTE($B935,"~","~~"),"*","~*"),"?","~?"),'DEF_SELF_SCOUT_IMPORT'!$Q$42:$Q$1040,SUBSTITUTE(SUBSTITUTE(SUBSTITUTE($M935,"~","~~"),"*","~*"),"?","~?"),'DEF_SELF_SCOUT_IMPORT'!$D$42:$D$1040,SUBSTITUTE(SUBSTITUTE(SUBSTITUTE($P935,"~","~~"),"*","~*"),"?","~?"),'DEF_SELF_SCOUT_IMPORT'!$H$42:$H$1040,"DROPBACK")/$C935)</f>
        <v>1.0</v>
      </c>
      <c r="I935" s="14" t="str">
        <f>IF(C935=0,"",IF(C935&lt;=2,"TRACK",IF(C935=3,"LOW",IF(C935&lt;=6,"MEDIUM","HIGH"))))</f>
        <v>TRACK</v>
      </c>
      <c r="J935" s="11">
        <f>IF(C935=0,"",ROUND(D935*70+(1-E935)*20+MAX(0,MIN(1,(10-F935)/10))*10,1))</f>
        <v>20.0</v>
      </c>
      <c r="K935" s="14" t="str">
        <f>IF(C935=0,"No Evidence",IF(C935&lt;=2,IF(E935&gt;0,"Explosive Alert","Track Only"),IF(C935=3,"Sample Watch",IF(E935&gt;=START_HERE!$B$31,"Explosive Alert",IF(J935&gt;=80,"Strong Candidate",IF(J935&gt;=65,"Good Candidate",IF(J935&gt;=50,"Mixed / Review","Problem Call")))))))</f>
        <v>Track Only</v>
      </c>
      <c r="L935" s="9" t="str">
        <f>IF(COUNTIFS('DEF_SELF_SCOUT_IMPORT'!$L$42:$L$1040,"Y",'DEF_SELF_SCOUT_IMPORT'!$E$42:$E$1040,SUBSTITUTE(SUBSTITUTE(SUBSTITUTE($B935,"~","~~"),"*","~*"),"?","~?"),'DEF_SELF_SCOUT_IMPORT'!$Q$42:$Q$1040,SUBSTITUTE(SUBSTITUTE(SUBSTITUTE($M935,"~","~~"),"*","~*"),"?","~?"),'DEF_SELF_SCOUT_IMPORT'!$D$42:$D$1040,SUBSTITUTE(SUBSTITUTE(SUBSTITUTE($P935,"~","~~"),"*","~*"),"?","~?"),'DEF_SELF_SCOUT_IMPORT'!$J$42:$J$1040,"")&gt;0,"Unscored clean outcome; review result tags before using score.",IF(C935=0,"No matching defensive reps; film confirmation needed.",IF(K935="Explosive Alert","Explosive risk; review clips before using as answer.",IF(C935&lt;=2,"Track only; not enough sample.",IF(C935=3,IF(E935&gt;0,"Sample watch with explosive exposure; review clips and build the sample.",IF(J935&gt;=65,"Good signal, but sample is limited.","Sample watch; review clips and build the sample.")),IF(K935="Problem Call","Problem area; practice or call-sheet review.",IF(K935="Strong Candidate","Strong call-fit candidate; confirm on film.",IF(K935="Good Candidate","Good call-fit signal; confirm on film.","Mixed signal; review fit and execution on film."))))))))</f>
        <v>Track only; not enough sample.</v>
      </c>
      <c r="M935" s="8" t="s">
        <v>85</v>
      </c>
      <c r="N935" s="8"/>
      <c r="O935" s="8"/>
      <c r="P935" s="8" t="s">
        <v>449</v>
      </c>
      <c r="Q935" s="8"/>
      <c r="R935" s="8" t="s">
        <v>429</v>
      </c>
      <c r="S935" s="2" t="s">
        <v>531</v>
      </c>
      <c r="T935" s="2">
        <f>IF(C935=0,0,IF(C935&gt;=CALL_LOOKUP_BOARD!$B$7,IF(OR(K935="Problem Call",K935="Explosive Alert"),10000000,20000000),0)+IF(C935&gt;=CALL_LOOKUP_BOARD!$B$7,J935*1000+MIN(C935,999),C935*1000+J935)+0.00987500)</f>
        <v>1020.009875</v>
      </c>
      <c r="U935" s="2">
        <f>IF(C935=0,"",IF(COUNTIFS($S$811:$S$1055,SUBSTITUTE(SUBSTITUTE(SUBSTITUTE(S935,"~","~~"),"*","~*"),"?","~?"),$T$811:$T$1055,"&gt;"&amp;T935)=0,S935,""))</f>
        <v/>
      </c>
    </row>
    <row r="936" spans="1:21" ht="38" customHeight="1">
      <c r="A936" s="8" t="s">
        <v>530</v>
      </c>
      <c r="B936" s="8" t="s">
        <v>73</v>
      </c>
      <c r="C936" s="12">
        <f>COUNTIFS('DEF_SELF_SCOUT_IMPORT'!$L$42:$L$1040,"Y",'DEF_SELF_SCOUT_IMPORT'!$E$42:$E$1040,SUBSTITUTE(SUBSTITUTE(SUBSTITUTE($B936,"~","~~"),"*","~*"),"?","~?"),'DEF_SELF_SCOUT_IMPORT'!$Q$42:$Q$1040,SUBSTITUTE(SUBSTITUTE(SUBSTITUTE($M936,"~","~~"),"*","~*"),"?","~?"),'DEF_SELF_SCOUT_IMPORT'!$D$42:$D$1040,SUBSTITUTE(SUBSTITUTE(SUBSTITUTE($P936,"~","~~"),"*","~*"),"?","~?"))</f>
        <v>1</v>
      </c>
      <c r="D936" s="10">
        <f>IF($C936=0,"",SUMIFS('DEF_SELF_SCOUT_IMPORT'!$J$42:$J$1040,'DEF_SELF_SCOUT_IMPORT'!$L$42:$L$1040,"Y",'DEF_SELF_SCOUT_IMPORT'!$E$42:$E$1040,SUBSTITUTE(SUBSTITUTE(SUBSTITUTE($B936,"~","~~"),"*","~*"),"?","~?"),'DEF_SELF_SCOUT_IMPORT'!$Q$42:$Q$1040,SUBSTITUTE(SUBSTITUTE(SUBSTITUTE($M936,"~","~~"),"*","~*"),"?","~?"),'DEF_SELF_SCOUT_IMPORT'!$D$42:$D$1040,SUBSTITUTE(SUBSTITUTE(SUBSTITUTE($P936,"~","~~"),"*","~*"),"?","~?"))/$C936)</f>
        <v>0.0</v>
      </c>
      <c r="E936" s="10">
        <f>IF($C936=0,"",SUMIFS('DEF_SELF_SCOUT_IMPORT'!$K$42:$K$1040,'DEF_SELF_SCOUT_IMPORT'!$L$42:$L$1040,"Y",'DEF_SELF_SCOUT_IMPORT'!$E$42:$E$1040,SUBSTITUTE(SUBSTITUTE(SUBSTITUTE($B936,"~","~~"),"*","~*"),"?","~?"),'DEF_SELF_SCOUT_IMPORT'!$Q$42:$Q$1040,SUBSTITUTE(SUBSTITUTE(SUBSTITUTE($M936,"~","~~"),"*","~*"),"?","~?"),'DEF_SELF_SCOUT_IMPORT'!$D$42:$D$1040,SUBSTITUTE(SUBSTITUTE(SUBSTITUTE($P936,"~","~~"),"*","~*"),"?","~?"))/$C936)</f>
        <v>1.0</v>
      </c>
      <c r="F936" s="11">
        <f>IF($C936=0,"",AVERAGEIFS('DEF_SELF_SCOUT_IMPORT'!$I$42:$I$1040,'DEF_SELF_SCOUT_IMPORT'!$L$42:$L$1040,"Y",'DEF_SELF_SCOUT_IMPORT'!$E$42:$E$1040,SUBSTITUTE(SUBSTITUTE(SUBSTITUTE($B936,"~","~~"),"*","~*"),"?","~?"),'DEF_SELF_SCOUT_IMPORT'!$Q$42:$Q$1040,SUBSTITUTE(SUBSTITUTE(SUBSTITUTE($M936,"~","~~"),"*","~*"),"?","~?"),'DEF_SELF_SCOUT_IMPORT'!$D$42:$D$1040,SUBSTITUTE(SUBSTITUTE(SUBSTITUTE($P936,"~","~~"),"*","~*"),"?","~?")))</f>
        <v>16.0</v>
      </c>
      <c r="G936" s="10">
        <f>IF($C936=0,"",COUNTIFS('DEF_SELF_SCOUT_IMPORT'!$L$42:$L$1040,"Y",'DEF_SELF_SCOUT_IMPORT'!$E$42:$E$1040,SUBSTITUTE(SUBSTITUTE(SUBSTITUTE($B936,"~","~~"),"*","~*"),"?","~?"),'DEF_SELF_SCOUT_IMPORT'!$Q$42:$Q$1040,SUBSTITUTE(SUBSTITUTE(SUBSTITUTE($M936,"~","~~"),"*","~*"),"?","~?"),'DEF_SELF_SCOUT_IMPORT'!$D$42:$D$1040,SUBSTITUTE(SUBSTITUTE(SUBSTITUTE($P936,"~","~~"),"*","~*"),"?","~?"),'DEF_SELF_SCOUT_IMPORT'!$H$42:$H$1040,"RUSH")/$C936)</f>
        <v>0.0</v>
      </c>
      <c r="H936" s="10">
        <f>IF($C936=0,"",COUNTIFS('DEF_SELF_SCOUT_IMPORT'!$L$42:$L$1040,"Y",'DEF_SELF_SCOUT_IMPORT'!$E$42:$E$1040,SUBSTITUTE(SUBSTITUTE(SUBSTITUTE($B936,"~","~~"),"*","~*"),"?","~?"),'DEF_SELF_SCOUT_IMPORT'!$Q$42:$Q$1040,SUBSTITUTE(SUBSTITUTE(SUBSTITUTE($M936,"~","~~"),"*","~*"),"?","~?"),'DEF_SELF_SCOUT_IMPORT'!$D$42:$D$1040,SUBSTITUTE(SUBSTITUTE(SUBSTITUTE($P936,"~","~~"),"*","~*"),"?","~?"),'DEF_SELF_SCOUT_IMPORT'!$H$42:$H$1040,"DROPBACK")/$C936)</f>
        <v>1.0</v>
      </c>
      <c r="I936" s="14" t="str">
        <f>IF(C936=0,"",IF(C936&lt;=2,"TRACK",IF(C936=3,"LOW",IF(C936&lt;=6,"MEDIUM","HIGH"))))</f>
        <v>TRACK</v>
      </c>
      <c r="J936" s="11">
        <f>IF(C936=0,"",ROUND(D936*70+(1-E936)*20+MAX(0,MIN(1,(10-F936)/10))*10,1))</f>
        <v>0.0</v>
      </c>
      <c r="K936" s="14" t="str">
        <f>IF(C936=0,"No Evidence",IF(C936&lt;=2,IF(E936&gt;0,"Explosive Alert","Track Only"),IF(C936=3,"Sample Watch",IF(E936&gt;=START_HERE!$B$31,"Explosive Alert",IF(J936&gt;=80,"Strong Candidate",IF(J936&gt;=65,"Good Candidate",IF(J936&gt;=50,"Mixed / Review","Problem Call")))))))</f>
        <v>Explosive Alert</v>
      </c>
      <c r="L936" s="9" t="str">
        <f>IF(COUNTIFS('DEF_SELF_SCOUT_IMPORT'!$L$42:$L$1040,"Y",'DEF_SELF_SCOUT_IMPORT'!$E$42:$E$1040,SUBSTITUTE(SUBSTITUTE(SUBSTITUTE($B936,"~","~~"),"*","~*"),"?","~?"),'DEF_SELF_SCOUT_IMPORT'!$Q$42:$Q$1040,SUBSTITUTE(SUBSTITUTE(SUBSTITUTE($M936,"~","~~"),"*","~*"),"?","~?"),'DEF_SELF_SCOUT_IMPORT'!$D$42:$D$1040,SUBSTITUTE(SUBSTITUTE(SUBSTITUTE($P936,"~","~~"),"*","~*"),"?","~?"),'DEF_SELF_SCOUT_IMPORT'!$J$42:$J$1040,"")&gt;0,"Unscored clean outcome; review result tags before using score.",IF(C936=0,"No matching defensive reps; film confirmation needed.",IF(K936="Explosive Alert","Explosive risk; review clips before using as answer.",IF(C936&lt;=2,"Track only; not enough sample.",IF(C936=3,IF(E936&gt;0,"Sample watch with explosive exposure; review clips and build the sample.",IF(J936&gt;=65,"Good signal, but sample is limited.","Sample watch; review clips and build the sample.")),IF(K936="Problem Call","Problem area; practice or call-sheet review.",IF(K936="Strong Candidate","Strong call-fit candidate; confirm on film.",IF(K936="Good Candidate","Good call-fit signal; confirm on film.","Mixed signal; review fit and execution on film."))))))))</f>
        <v>Explosive risk; review clips before using as answer.</v>
      </c>
      <c r="M936" s="8" t="s">
        <v>85</v>
      </c>
      <c r="N936" s="8"/>
      <c r="O936" s="8"/>
      <c r="P936" s="8" t="s">
        <v>449</v>
      </c>
      <c r="Q936" s="8"/>
      <c r="R936" s="8" t="s">
        <v>429</v>
      </c>
      <c r="S936" s="2" t="s">
        <v>531</v>
      </c>
      <c r="T936" s="2">
        <f>IF(C936=0,0,IF(C936&gt;=CALL_LOOKUP_BOARD!$B$7,IF(OR(K936="Problem Call",K936="Explosive Alert"),10000000,20000000),0)+IF(C936&gt;=CALL_LOOKUP_BOARD!$B$7,J936*1000+MIN(C936,999),C936*1000+J936)+0.00987400)</f>
        <v>1000.009874</v>
      </c>
      <c r="U936" s="2">
        <f>IF(C936=0,"",IF(COUNTIFS($S$811:$S$1055,SUBSTITUTE(SUBSTITUTE(SUBSTITUTE(S936,"~","~~"),"*","~*"),"?","~?"),$T$811:$T$1055,"&gt;"&amp;T936)=0,S936,""))</f>
        <v/>
      </c>
    </row>
    <row r="937" spans="1:21" ht="38" customHeight="1">
      <c r="A937" s="8" t="s">
        <v>530</v>
      </c>
      <c r="B937" s="8" t="s">
        <v>63</v>
      </c>
      <c r="C937" s="12">
        <f>COUNTIFS('DEF_SELF_SCOUT_IMPORT'!$L$42:$L$1040,"Y",'DEF_SELF_SCOUT_IMPORT'!$E$42:$E$1040,SUBSTITUTE(SUBSTITUTE(SUBSTITUTE($B937,"~","~~"),"*","~*"),"?","~?"),'DEF_SELF_SCOUT_IMPORT'!$Q$42:$Q$1040,SUBSTITUTE(SUBSTITUTE(SUBSTITUTE($M937,"~","~~"),"*","~*"),"?","~?"),'DEF_SELF_SCOUT_IMPORT'!$D$42:$D$1040,SUBSTITUTE(SUBSTITUTE(SUBSTITUTE($P937,"~","~~"),"*","~*"),"?","~?"))</f>
        <v>3</v>
      </c>
      <c r="D937" s="10">
        <f>IF($C937=0,"",SUMIFS('DEF_SELF_SCOUT_IMPORT'!$J$42:$J$1040,'DEF_SELF_SCOUT_IMPORT'!$L$42:$L$1040,"Y",'DEF_SELF_SCOUT_IMPORT'!$E$42:$E$1040,SUBSTITUTE(SUBSTITUTE(SUBSTITUTE($B937,"~","~~"),"*","~*"),"?","~?"),'DEF_SELF_SCOUT_IMPORT'!$Q$42:$Q$1040,SUBSTITUTE(SUBSTITUTE(SUBSTITUTE($M937,"~","~~"),"*","~*"),"?","~?"),'DEF_SELF_SCOUT_IMPORT'!$D$42:$D$1040,SUBSTITUTE(SUBSTITUTE(SUBSTITUTE($P937,"~","~~"),"*","~*"),"?","~?"))/$C937)</f>
        <v>0.6666666666666666</v>
      </c>
      <c r="E937" s="10">
        <f>IF($C937=0,"",SUMIFS('DEF_SELF_SCOUT_IMPORT'!$K$42:$K$1040,'DEF_SELF_SCOUT_IMPORT'!$L$42:$L$1040,"Y",'DEF_SELF_SCOUT_IMPORT'!$E$42:$E$1040,SUBSTITUTE(SUBSTITUTE(SUBSTITUTE($B937,"~","~~"),"*","~*"),"?","~?"),'DEF_SELF_SCOUT_IMPORT'!$Q$42:$Q$1040,SUBSTITUTE(SUBSTITUTE(SUBSTITUTE($M937,"~","~~"),"*","~*"),"?","~?"),'DEF_SELF_SCOUT_IMPORT'!$D$42:$D$1040,SUBSTITUTE(SUBSTITUTE(SUBSTITUTE($P937,"~","~~"),"*","~*"),"?","~?"))/$C937)</f>
        <v>0.0</v>
      </c>
      <c r="F937" s="11">
        <f>IF($C937=0,"",AVERAGEIFS('DEF_SELF_SCOUT_IMPORT'!$I$42:$I$1040,'DEF_SELF_SCOUT_IMPORT'!$L$42:$L$1040,"Y",'DEF_SELF_SCOUT_IMPORT'!$E$42:$E$1040,SUBSTITUTE(SUBSTITUTE(SUBSTITUTE($B937,"~","~~"),"*","~*"),"?","~?"),'DEF_SELF_SCOUT_IMPORT'!$Q$42:$Q$1040,SUBSTITUTE(SUBSTITUTE(SUBSTITUTE($M937,"~","~~"),"*","~*"),"?","~?"),'DEF_SELF_SCOUT_IMPORT'!$D$42:$D$1040,SUBSTITUTE(SUBSTITUTE(SUBSTITUTE($P937,"~","~~"),"*","~*"),"?","~?")))</f>
        <v>3.3333333333333335</v>
      </c>
      <c r="G937" s="10">
        <f>IF($C937=0,"",COUNTIFS('DEF_SELF_SCOUT_IMPORT'!$L$42:$L$1040,"Y",'DEF_SELF_SCOUT_IMPORT'!$E$42:$E$1040,SUBSTITUTE(SUBSTITUTE(SUBSTITUTE($B937,"~","~~"),"*","~*"),"?","~?"),'DEF_SELF_SCOUT_IMPORT'!$Q$42:$Q$1040,SUBSTITUTE(SUBSTITUTE(SUBSTITUTE($M937,"~","~~"),"*","~*"),"?","~?"),'DEF_SELF_SCOUT_IMPORT'!$D$42:$D$1040,SUBSTITUTE(SUBSTITUTE(SUBSTITUTE($P937,"~","~~"),"*","~*"),"?","~?"),'DEF_SELF_SCOUT_IMPORT'!$H$42:$H$1040,"RUSH")/$C937)</f>
        <v>0.0</v>
      </c>
      <c r="H937" s="10">
        <f>IF($C937=0,"",COUNTIFS('DEF_SELF_SCOUT_IMPORT'!$L$42:$L$1040,"Y",'DEF_SELF_SCOUT_IMPORT'!$E$42:$E$1040,SUBSTITUTE(SUBSTITUTE(SUBSTITUTE($B937,"~","~~"),"*","~*"),"?","~?"),'DEF_SELF_SCOUT_IMPORT'!$Q$42:$Q$1040,SUBSTITUTE(SUBSTITUTE(SUBSTITUTE($M937,"~","~~"),"*","~*"),"?","~?"),'DEF_SELF_SCOUT_IMPORT'!$D$42:$D$1040,SUBSTITUTE(SUBSTITUTE(SUBSTITUTE($P937,"~","~~"),"*","~*"),"?","~?"),'DEF_SELF_SCOUT_IMPORT'!$H$42:$H$1040,"DROPBACK")/$C937)</f>
        <v>1.0</v>
      </c>
      <c r="I937" s="14" t="str">
        <f>IF(C937=0,"",IF(C937&lt;=2,"TRACK",IF(C937=3,"LOW",IF(C937&lt;=6,"MEDIUM","HIGH"))))</f>
        <v>LOW</v>
      </c>
      <c r="J937" s="11">
        <f>IF(C937=0,"",ROUND(D937*70+(1-E937)*20+MAX(0,MIN(1,(10-F937)/10))*10,1))</f>
        <v>73.3</v>
      </c>
      <c r="K937" s="14" t="str">
        <f>IF(C937=0,"No Evidence",IF(C937&lt;=2,IF(E937&gt;0,"Explosive Alert","Track Only"),IF(C937=3,"Sample Watch",IF(E937&gt;=START_HERE!$B$31,"Explosive Alert",IF(J937&gt;=80,"Strong Candidate",IF(J937&gt;=65,"Good Candidate",IF(J937&gt;=50,"Mixed / Review","Problem Call")))))))</f>
        <v>Sample Watch</v>
      </c>
      <c r="L937" s="9" t="str">
        <f>IF(COUNTIFS('DEF_SELF_SCOUT_IMPORT'!$L$42:$L$1040,"Y",'DEF_SELF_SCOUT_IMPORT'!$E$42:$E$1040,SUBSTITUTE(SUBSTITUTE(SUBSTITUTE($B937,"~","~~"),"*","~*"),"?","~?"),'DEF_SELF_SCOUT_IMPORT'!$Q$42:$Q$1040,SUBSTITUTE(SUBSTITUTE(SUBSTITUTE($M937,"~","~~"),"*","~*"),"?","~?"),'DEF_SELF_SCOUT_IMPORT'!$D$42:$D$1040,SUBSTITUTE(SUBSTITUTE(SUBSTITUTE($P937,"~","~~"),"*","~*"),"?","~?"),'DEF_SELF_SCOUT_IMPORT'!$J$42:$J$1040,"")&gt;0,"Unscored clean outcome; review result tags before using score.",IF(C937=0,"No matching defensive reps; film confirmation needed.",IF(K937="Explosive Alert","Explosive risk; review clips before using as answer.",IF(C937&lt;=2,"Track only; not enough sample.",IF(C937=3,IF(E937&gt;0,"Sample watch with explosive exposure; review clips and build the sample.",IF(J937&gt;=65,"Good signal, but sample is limited.","Sample watch; review clips and build the sample.")),IF(K937="Problem Call","Problem area; practice or call-sheet review.",IF(K937="Strong Candidate","Strong call-fit candidate; confirm on film.",IF(K937="Good Candidate","Good call-fit signal; confirm on film.","Mixed signal; review fit and execution on film."))))))))</f>
        <v>Good signal, but sample is limited.</v>
      </c>
      <c r="M937" s="8" t="s">
        <v>85</v>
      </c>
      <c r="N937" s="8"/>
      <c r="O937" s="8"/>
      <c r="P937" s="8" t="s">
        <v>449</v>
      </c>
      <c r="Q937" s="8"/>
      <c r="R937" s="8" t="s">
        <v>429</v>
      </c>
      <c r="S937" s="2" t="s">
        <v>531</v>
      </c>
      <c r="T937" s="2">
        <f>IF(C937=0,0,IF(C937&gt;=CALL_LOOKUP_BOARD!$B$7,IF(OR(K937="Problem Call",K937="Explosive Alert"),10000000,20000000),0)+IF(C937&gt;=CALL_LOOKUP_BOARD!$B$7,J937*1000+MIN(C937,999),C937*1000+J937)+0.00987300)</f>
        <v>3073.309873</v>
      </c>
      <c r="U937" s="2" t="str">
        <f>IF(C937=0,"",IF(COUNTIFS($S$811:$S$1055,SUBSTITUTE(SUBSTITUTE(SUBSTITUTE(S937,"~","~~"),"*","~*"),"?","~?"),$T$811:$T$1055,"&gt;"&amp;T937)=0,S937,""))</f>
        <v>7:2D 7-10|6:5 STEP|</v>
      </c>
    </row>
    <row r="938" spans="1:21" ht="38" customHeight="1">
      <c r="A938" s="8" t="s">
        <v>530</v>
      </c>
      <c r="B938" s="8" t="s">
        <v>68</v>
      </c>
      <c r="C938" s="12">
        <f>COUNTIFS('DEF_SELF_SCOUT_IMPORT'!$L$42:$L$1040,"Y",'DEF_SELF_SCOUT_IMPORT'!$E$42:$E$1040,SUBSTITUTE(SUBSTITUTE(SUBSTITUTE($B938,"~","~~"),"*","~*"),"?","~?"),'DEF_SELF_SCOUT_IMPORT'!$Q$42:$Q$1040,SUBSTITUTE(SUBSTITUTE(SUBSTITUTE($M938,"~","~~"),"*","~*"),"?","~?"),'DEF_SELF_SCOUT_IMPORT'!$D$42:$D$1040,SUBSTITUTE(SUBSTITUTE(SUBSTITUTE($P938,"~","~~"),"*","~*"),"?","~?"))</f>
        <v>1</v>
      </c>
      <c r="D938" s="10">
        <f>IF($C938=0,"",SUMIFS('DEF_SELF_SCOUT_IMPORT'!$J$42:$J$1040,'DEF_SELF_SCOUT_IMPORT'!$L$42:$L$1040,"Y",'DEF_SELF_SCOUT_IMPORT'!$E$42:$E$1040,SUBSTITUTE(SUBSTITUTE(SUBSTITUTE($B938,"~","~~"),"*","~*"),"?","~?"),'DEF_SELF_SCOUT_IMPORT'!$Q$42:$Q$1040,SUBSTITUTE(SUBSTITUTE(SUBSTITUTE($M938,"~","~~"),"*","~*"),"?","~?"),'DEF_SELF_SCOUT_IMPORT'!$D$42:$D$1040,SUBSTITUTE(SUBSTITUTE(SUBSTITUTE($P938,"~","~~"),"*","~*"),"?","~?"))/$C938)</f>
        <v>1.0</v>
      </c>
      <c r="E938" s="10">
        <f>IF($C938=0,"",SUMIFS('DEF_SELF_SCOUT_IMPORT'!$K$42:$K$1040,'DEF_SELF_SCOUT_IMPORT'!$L$42:$L$1040,"Y",'DEF_SELF_SCOUT_IMPORT'!$E$42:$E$1040,SUBSTITUTE(SUBSTITUTE(SUBSTITUTE($B938,"~","~~"),"*","~*"),"?","~?"),'DEF_SELF_SCOUT_IMPORT'!$Q$42:$Q$1040,SUBSTITUTE(SUBSTITUTE(SUBSTITUTE($M938,"~","~~"),"*","~*"),"?","~?"),'DEF_SELF_SCOUT_IMPORT'!$D$42:$D$1040,SUBSTITUTE(SUBSTITUTE(SUBSTITUTE($P938,"~","~~"),"*","~*"),"?","~?"))/$C938)</f>
        <v>0.0</v>
      </c>
      <c r="F938" s="11">
        <f>IF($C938=0,"",AVERAGEIFS('DEF_SELF_SCOUT_IMPORT'!$I$42:$I$1040,'DEF_SELF_SCOUT_IMPORT'!$L$42:$L$1040,"Y",'DEF_SELF_SCOUT_IMPORT'!$E$42:$E$1040,SUBSTITUTE(SUBSTITUTE(SUBSTITUTE($B938,"~","~~"),"*","~*"),"?","~?"),'DEF_SELF_SCOUT_IMPORT'!$Q$42:$Q$1040,SUBSTITUTE(SUBSTITUTE(SUBSTITUTE($M938,"~","~~"),"*","~*"),"?","~?"),'DEF_SELF_SCOUT_IMPORT'!$D$42:$D$1040,SUBSTITUTE(SUBSTITUTE(SUBSTITUTE($P938,"~","~~"),"*","~*"),"?","~?")))</f>
        <v>6.0</v>
      </c>
      <c r="G938" s="10">
        <f>IF($C938=0,"",COUNTIFS('DEF_SELF_SCOUT_IMPORT'!$L$42:$L$1040,"Y",'DEF_SELF_SCOUT_IMPORT'!$E$42:$E$1040,SUBSTITUTE(SUBSTITUTE(SUBSTITUTE($B938,"~","~~"),"*","~*"),"?","~?"),'DEF_SELF_SCOUT_IMPORT'!$Q$42:$Q$1040,SUBSTITUTE(SUBSTITUTE(SUBSTITUTE($M938,"~","~~"),"*","~*"),"?","~?"),'DEF_SELF_SCOUT_IMPORT'!$D$42:$D$1040,SUBSTITUTE(SUBSTITUTE(SUBSTITUTE($P938,"~","~~"),"*","~*"),"?","~?"),'DEF_SELF_SCOUT_IMPORT'!$H$42:$H$1040,"RUSH")/$C938)</f>
        <v>0.0</v>
      </c>
      <c r="H938" s="10">
        <f>IF($C938=0,"",COUNTIFS('DEF_SELF_SCOUT_IMPORT'!$L$42:$L$1040,"Y",'DEF_SELF_SCOUT_IMPORT'!$E$42:$E$1040,SUBSTITUTE(SUBSTITUTE(SUBSTITUTE($B938,"~","~~"),"*","~*"),"?","~?"),'DEF_SELF_SCOUT_IMPORT'!$Q$42:$Q$1040,SUBSTITUTE(SUBSTITUTE(SUBSTITUTE($M938,"~","~~"),"*","~*"),"?","~?"),'DEF_SELF_SCOUT_IMPORT'!$D$42:$D$1040,SUBSTITUTE(SUBSTITUTE(SUBSTITUTE($P938,"~","~~"),"*","~*"),"?","~?"),'DEF_SELF_SCOUT_IMPORT'!$H$42:$H$1040,"DROPBACK")/$C938)</f>
        <v>1.0</v>
      </c>
      <c r="I938" s="14" t="str">
        <f>IF(C938=0,"",IF(C938&lt;=2,"TRACK",IF(C938=3,"LOW",IF(C938&lt;=6,"MEDIUM","HIGH"))))</f>
        <v>TRACK</v>
      </c>
      <c r="J938" s="11">
        <f>IF(C938=0,"",ROUND(D938*70+(1-E938)*20+MAX(0,MIN(1,(10-F938)/10))*10,1))</f>
        <v>94.0</v>
      </c>
      <c r="K938" s="14" t="str">
        <f>IF(C938=0,"No Evidence",IF(C938&lt;=2,IF(E938&gt;0,"Explosive Alert","Track Only"),IF(C938=3,"Sample Watch",IF(E938&gt;=START_HERE!$B$31,"Explosive Alert",IF(J938&gt;=80,"Strong Candidate",IF(J938&gt;=65,"Good Candidate",IF(J938&gt;=50,"Mixed / Review","Problem Call")))))))</f>
        <v>Track Only</v>
      </c>
      <c r="L938" s="9" t="str">
        <f>IF(COUNTIFS('DEF_SELF_SCOUT_IMPORT'!$L$42:$L$1040,"Y",'DEF_SELF_SCOUT_IMPORT'!$E$42:$E$1040,SUBSTITUTE(SUBSTITUTE(SUBSTITUTE($B938,"~","~~"),"*","~*"),"?","~?"),'DEF_SELF_SCOUT_IMPORT'!$Q$42:$Q$1040,SUBSTITUTE(SUBSTITUTE(SUBSTITUTE($M938,"~","~~"),"*","~*"),"?","~?"),'DEF_SELF_SCOUT_IMPORT'!$D$42:$D$1040,SUBSTITUTE(SUBSTITUTE(SUBSTITUTE($P938,"~","~~"),"*","~*"),"?","~?"),'DEF_SELF_SCOUT_IMPORT'!$J$42:$J$1040,"")&gt;0,"Unscored clean outcome; review result tags before using score.",IF(C938=0,"No matching defensive reps; film confirmation needed.",IF(K938="Explosive Alert","Explosive risk; review clips before using as answer.",IF(C938&lt;=2,"Track only; not enough sample.",IF(C938=3,IF(E938&gt;0,"Sample watch with explosive exposure; review clips and build the sample.",IF(J938&gt;=65,"Good signal, but sample is limited.","Sample watch; review clips and build the sample.")),IF(K938="Problem Call","Problem area; practice or call-sheet review.",IF(K938="Strong Candidate","Strong call-fit candidate; confirm on film.",IF(K938="Good Candidate","Good call-fit signal; confirm on film.","Mixed signal; review fit and execution on film."))))))))</f>
        <v>Track only; not enough sample.</v>
      </c>
      <c r="M938" s="8" t="s">
        <v>85</v>
      </c>
      <c r="N938" s="8"/>
      <c r="O938" s="8"/>
      <c r="P938" s="8" t="s">
        <v>449</v>
      </c>
      <c r="Q938" s="8"/>
      <c r="R938" s="8" t="s">
        <v>429</v>
      </c>
      <c r="S938" s="2" t="s">
        <v>531</v>
      </c>
      <c r="T938" s="2">
        <f>IF(C938=0,0,IF(C938&gt;=CALL_LOOKUP_BOARD!$B$7,IF(OR(K938="Problem Call",K938="Explosive Alert"),10000000,20000000),0)+IF(C938&gt;=CALL_LOOKUP_BOARD!$B$7,J938*1000+MIN(C938,999),C938*1000+J938)+0.00987200)</f>
        <v>1094.009872</v>
      </c>
      <c r="U938" s="2">
        <f>IF(C938=0,"",IF(COUNTIFS($S$811:$S$1055,SUBSTITUTE(SUBSTITUTE(SUBSTITUTE(S938,"~","~~"),"*","~*"),"?","~?"),$T$811:$T$1055,"&gt;"&amp;T938)=0,S938,""))</f>
        <v/>
      </c>
    </row>
    <row r="939" spans="1:21" ht="38" customHeight="1">
      <c r="A939" s="8" t="s">
        <v>530</v>
      </c>
      <c r="B939" s="8" t="s">
        <v>75</v>
      </c>
      <c r="C939" s="12">
        <f>COUNTIFS('DEF_SELF_SCOUT_IMPORT'!$L$42:$L$1040,"Y",'DEF_SELF_SCOUT_IMPORT'!$E$42:$E$1040,SUBSTITUTE(SUBSTITUTE(SUBSTITUTE($B939,"~","~~"),"*","~*"),"?","~?"),'DEF_SELF_SCOUT_IMPORT'!$Q$42:$Q$1040,SUBSTITUTE(SUBSTITUTE(SUBSTITUTE($M939,"~","~~"),"*","~*"),"?","~?"),'DEF_SELF_SCOUT_IMPORT'!$D$42:$D$1040,SUBSTITUTE(SUBSTITUTE(SUBSTITUTE($P939,"~","~~"),"*","~*"),"?","~?"))</f>
        <v>1</v>
      </c>
      <c r="D939" s="10">
        <f>IF($C939=0,"",SUMIFS('DEF_SELF_SCOUT_IMPORT'!$J$42:$J$1040,'DEF_SELF_SCOUT_IMPORT'!$L$42:$L$1040,"Y",'DEF_SELF_SCOUT_IMPORT'!$E$42:$E$1040,SUBSTITUTE(SUBSTITUTE(SUBSTITUTE($B939,"~","~~"),"*","~*"),"?","~?"),'DEF_SELF_SCOUT_IMPORT'!$Q$42:$Q$1040,SUBSTITUTE(SUBSTITUTE(SUBSTITUTE($M939,"~","~~"),"*","~*"),"?","~?"),'DEF_SELF_SCOUT_IMPORT'!$D$42:$D$1040,SUBSTITUTE(SUBSTITUTE(SUBSTITUTE($P939,"~","~~"),"*","~*"),"?","~?"))/$C939)</f>
        <v>1.0</v>
      </c>
      <c r="E939" s="10">
        <f>IF($C939=0,"",SUMIFS('DEF_SELF_SCOUT_IMPORT'!$K$42:$K$1040,'DEF_SELF_SCOUT_IMPORT'!$L$42:$L$1040,"Y",'DEF_SELF_SCOUT_IMPORT'!$E$42:$E$1040,SUBSTITUTE(SUBSTITUTE(SUBSTITUTE($B939,"~","~~"),"*","~*"),"?","~?"),'DEF_SELF_SCOUT_IMPORT'!$Q$42:$Q$1040,SUBSTITUTE(SUBSTITUTE(SUBSTITUTE($M939,"~","~~"),"*","~*"),"?","~?"),'DEF_SELF_SCOUT_IMPORT'!$D$42:$D$1040,SUBSTITUTE(SUBSTITUTE(SUBSTITUTE($P939,"~","~~"),"*","~*"),"?","~?"))/$C939)</f>
        <v>0.0</v>
      </c>
      <c r="F939" s="11">
        <f>IF($C939=0,"",AVERAGEIFS('DEF_SELF_SCOUT_IMPORT'!$I$42:$I$1040,'DEF_SELF_SCOUT_IMPORT'!$L$42:$L$1040,"Y",'DEF_SELF_SCOUT_IMPORT'!$E$42:$E$1040,SUBSTITUTE(SUBSTITUTE(SUBSTITUTE($B939,"~","~~"),"*","~*"),"?","~?"),'DEF_SELF_SCOUT_IMPORT'!$Q$42:$Q$1040,SUBSTITUTE(SUBSTITUTE(SUBSTITUTE($M939,"~","~~"),"*","~*"),"?","~?"),'DEF_SELF_SCOUT_IMPORT'!$D$42:$D$1040,SUBSTITUTE(SUBSTITUTE(SUBSTITUTE($P939,"~","~~"),"*","~*"),"?","~?")))</f>
        <v>6.0</v>
      </c>
      <c r="G939" s="10">
        <f>IF($C939=0,"",COUNTIFS('DEF_SELF_SCOUT_IMPORT'!$L$42:$L$1040,"Y",'DEF_SELF_SCOUT_IMPORT'!$E$42:$E$1040,SUBSTITUTE(SUBSTITUTE(SUBSTITUTE($B939,"~","~~"),"*","~*"),"?","~?"),'DEF_SELF_SCOUT_IMPORT'!$Q$42:$Q$1040,SUBSTITUTE(SUBSTITUTE(SUBSTITUTE($M939,"~","~~"),"*","~*"),"?","~?"),'DEF_SELF_SCOUT_IMPORT'!$D$42:$D$1040,SUBSTITUTE(SUBSTITUTE(SUBSTITUTE($P939,"~","~~"),"*","~*"),"?","~?"),'DEF_SELF_SCOUT_IMPORT'!$H$42:$H$1040,"RUSH")/$C939)</f>
        <v>0.0</v>
      </c>
      <c r="H939" s="10">
        <f>IF($C939=0,"",COUNTIFS('DEF_SELF_SCOUT_IMPORT'!$L$42:$L$1040,"Y",'DEF_SELF_SCOUT_IMPORT'!$E$42:$E$1040,SUBSTITUTE(SUBSTITUTE(SUBSTITUTE($B939,"~","~~"),"*","~*"),"?","~?"),'DEF_SELF_SCOUT_IMPORT'!$Q$42:$Q$1040,SUBSTITUTE(SUBSTITUTE(SUBSTITUTE($M939,"~","~~"),"*","~*"),"?","~?"),'DEF_SELF_SCOUT_IMPORT'!$D$42:$D$1040,SUBSTITUTE(SUBSTITUTE(SUBSTITUTE($P939,"~","~~"),"*","~*"),"?","~?"),'DEF_SELF_SCOUT_IMPORT'!$H$42:$H$1040,"DROPBACK")/$C939)</f>
        <v>1.0</v>
      </c>
      <c r="I939" s="14" t="str">
        <f>IF(C939=0,"",IF(C939&lt;=2,"TRACK",IF(C939=3,"LOW",IF(C939&lt;=6,"MEDIUM","HIGH"))))</f>
        <v>TRACK</v>
      </c>
      <c r="J939" s="11">
        <f>IF(C939=0,"",ROUND(D939*70+(1-E939)*20+MAX(0,MIN(1,(10-F939)/10))*10,1))</f>
        <v>94.0</v>
      </c>
      <c r="K939" s="14" t="str">
        <f>IF(C939=0,"No Evidence",IF(C939&lt;=2,IF(E939&gt;0,"Explosive Alert","Track Only"),IF(C939=3,"Sample Watch",IF(E939&gt;=START_HERE!$B$31,"Explosive Alert",IF(J939&gt;=80,"Strong Candidate",IF(J939&gt;=65,"Good Candidate",IF(J939&gt;=50,"Mixed / Review","Problem Call")))))))</f>
        <v>Track Only</v>
      </c>
      <c r="L939" s="9" t="str">
        <f>IF(COUNTIFS('DEF_SELF_SCOUT_IMPORT'!$L$42:$L$1040,"Y",'DEF_SELF_SCOUT_IMPORT'!$E$42:$E$1040,SUBSTITUTE(SUBSTITUTE(SUBSTITUTE($B939,"~","~~"),"*","~*"),"?","~?"),'DEF_SELF_SCOUT_IMPORT'!$Q$42:$Q$1040,SUBSTITUTE(SUBSTITUTE(SUBSTITUTE($M939,"~","~~"),"*","~*"),"?","~?"),'DEF_SELF_SCOUT_IMPORT'!$D$42:$D$1040,SUBSTITUTE(SUBSTITUTE(SUBSTITUTE($P939,"~","~~"),"*","~*"),"?","~?"),'DEF_SELF_SCOUT_IMPORT'!$J$42:$J$1040,"")&gt;0,"Unscored clean outcome; review result tags before using score.",IF(C939=0,"No matching defensive reps; film confirmation needed.",IF(K939="Explosive Alert","Explosive risk; review clips before using as answer.",IF(C939&lt;=2,"Track only; not enough sample.",IF(C939=3,IF(E939&gt;0,"Sample watch with explosive exposure; review clips and build the sample.",IF(J939&gt;=65,"Good signal, but sample is limited.","Sample watch; review clips and build the sample.")),IF(K939="Problem Call","Problem area; practice or call-sheet review.",IF(K939="Strong Candidate","Strong call-fit candidate; confirm on film.",IF(K939="Good Candidate","Good call-fit signal; confirm on film.","Mixed signal; review fit and execution on film."))))))))</f>
        <v>Track only; not enough sample.</v>
      </c>
      <c r="M939" s="8" t="s">
        <v>85</v>
      </c>
      <c r="N939" s="8"/>
      <c r="O939" s="8"/>
      <c r="P939" s="8" t="s">
        <v>449</v>
      </c>
      <c r="Q939" s="8"/>
      <c r="R939" s="8" t="s">
        <v>429</v>
      </c>
      <c r="S939" s="2" t="s">
        <v>531</v>
      </c>
      <c r="T939" s="2">
        <f>IF(C939=0,0,IF(C939&gt;=CALL_LOOKUP_BOARD!$B$7,IF(OR(K939="Problem Call",K939="Explosive Alert"),10000000,20000000),0)+IF(C939&gt;=CALL_LOOKUP_BOARD!$B$7,J939*1000+MIN(C939,999),C939*1000+J939)+0.00987100)</f>
        <v>1094.009871</v>
      </c>
      <c r="U939" s="2">
        <f>IF(C939=0,"",IF(COUNTIFS($S$811:$S$1055,SUBSTITUTE(SUBSTITUTE(SUBSTITUTE(S939,"~","~~"),"*","~*"),"?","~?"),$T$811:$T$1055,"&gt;"&amp;T939)=0,S939,""))</f>
        <v/>
      </c>
    </row>
    <row r="940" spans="1:21" ht="38" customHeight="1">
      <c r="A940" s="8" t="s">
        <v>530</v>
      </c>
      <c r="B940" s="8" t="s">
        <v>69</v>
      </c>
      <c r="C940" s="12">
        <f>COUNTIFS('DEF_SELF_SCOUT_IMPORT'!$L$42:$L$1040,"Y",'DEF_SELF_SCOUT_IMPORT'!$E$42:$E$1040,SUBSTITUTE(SUBSTITUTE(SUBSTITUTE($B940,"~","~~"),"*","~*"),"?","~?"),'DEF_SELF_SCOUT_IMPORT'!$Q$42:$Q$1040,SUBSTITUTE(SUBSTITUTE(SUBSTITUTE($M940,"~","~~"),"*","~*"),"?","~?"),'DEF_SELF_SCOUT_IMPORT'!$D$42:$D$1040,SUBSTITUTE(SUBSTITUTE(SUBSTITUTE($P940,"~","~~"),"*","~*"),"?","~?"))</f>
        <v>1</v>
      </c>
      <c r="D940" s="10">
        <f>IF($C940=0,"",SUMIFS('DEF_SELF_SCOUT_IMPORT'!$J$42:$J$1040,'DEF_SELF_SCOUT_IMPORT'!$L$42:$L$1040,"Y",'DEF_SELF_SCOUT_IMPORT'!$E$42:$E$1040,SUBSTITUTE(SUBSTITUTE(SUBSTITUTE($B940,"~","~~"),"*","~*"),"?","~?"),'DEF_SELF_SCOUT_IMPORT'!$Q$42:$Q$1040,SUBSTITUTE(SUBSTITUTE(SUBSTITUTE($M940,"~","~~"),"*","~*"),"?","~?"),'DEF_SELF_SCOUT_IMPORT'!$D$42:$D$1040,SUBSTITUTE(SUBSTITUTE(SUBSTITUTE($P940,"~","~~"),"*","~*"),"?","~?"))/$C940)</f>
        <v>1.0</v>
      </c>
      <c r="E940" s="10">
        <f>IF($C940=0,"",SUMIFS('DEF_SELF_SCOUT_IMPORT'!$K$42:$K$1040,'DEF_SELF_SCOUT_IMPORT'!$L$42:$L$1040,"Y",'DEF_SELF_SCOUT_IMPORT'!$E$42:$E$1040,SUBSTITUTE(SUBSTITUTE(SUBSTITUTE($B940,"~","~~"),"*","~*"),"?","~?"),'DEF_SELF_SCOUT_IMPORT'!$Q$42:$Q$1040,SUBSTITUTE(SUBSTITUTE(SUBSTITUTE($M940,"~","~~"),"*","~*"),"?","~?"),'DEF_SELF_SCOUT_IMPORT'!$D$42:$D$1040,SUBSTITUTE(SUBSTITUTE(SUBSTITUTE($P940,"~","~~"),"*","~*"),"?","~?"))/$C940)</f>
        <v>0.0</v>
      </c>
      <c r="F940" s="11">
        <f>IF($C940=0,"",AVERAGEIFS('DEF_SELF_SCOUT_IMPORT'!$I$42:$I$1040,'DEF_SELF_SCOUT_IMPORT'!$L$42:$L$1040,"Y",'DEF_SELF_SCOUT_IMPORT'!$E$42:$E$1040,SUBSTITUTE(SUBSTITUTE(SUBSTITUTE($B940,"~","~~"),"*","~*"),"?","~?"),'DEF_SELF_SCOUT_IMPORT'!$Q$42:$Q$1040,SUBSTITUTE(SUBSTITUTE(SUBSTITUTE($M940,"~","~~"),"*","~*"),"?","~?"),'DEF_SELF_SCOUT_IMPORT'!$D$42:$D$1040,SUBSTITUTE(SUBSTITUTE(SUBSTITUTE($P940,"~","~~"),"*","~*"),"?","~?")))</f>
        <v>5.0</v>
      </c>
      <c r="G940" s="10">
        <f>IF($C940=0,"",COUNTIFS('DEF_SELF_SCOUT_IMPORT'!$L$42:$L$1040,"Y",'DEF_SELF_SCOUT_IMPORT'!$E$42:$E$1040,SUBSTITUTE(SUBSTITUTE(SUBSTITUTE($B940,"~","~~"),"*","~*"),"?","~?"),'DEF_SELF_SCOUT_IMPORT'!$Q$42:$Q$1040,SUBSTITUTE(SUBSTITUTE(SUBSTITUTE($M940,"~","~~"),"*","~*"),"?","~?"),'DEF_SELF_SCOUT_IMPORT'!$D$42:$D$1040,SUBSTITUTE(SUBSTITUTE(SUBSTITUTE($P940,"~","~~"),"*","~*"),"?","~?"),'DEF_SELF_SCOUT_IMPORT'!$H$42:$H$1040,"RUSH")/$C940)</f>
        <v>0.0</v>
      </c>
      <c r="H940" s="10">
        <f>IF($C940=0,"",COUNTIFS('DEF_SELF_SCOUT_IMPORT'!$L$42:$L$1040,"Y",'DEF_SELF_SCOUT_IMPORT'!$E$42:$E$1040,SUBSTITUTE(SUBSTITUTE(SUBSTITUTE($B940,"~","~~"),"*","~*"),"?","~?"),'DEF_SELF_SCOUT_IMPORT'!$Q$42:$Q$1040,SUBSTITUTE(SUBSTITUTE(SUBSTITUTE($M940,"~","~~"),"*","~*"),"?","~?"),'DEF_SELF_SCOUT_IMPORT'!$D$42:$D$1040,SUBSTITUTE(SUBSTITUTE(SUBSTITUTE($P940,"~","~~"),"*","~*"),"?","~?"),'DEF_SELF_SCOUT_IMPORT'!$H$42:$H$1040,"DROPBACK")/$C940)</f>
        <v>1.0</v>
      </c>
      <c r="I940" s="14" t="str">
        <f>IF(C940=0,"",IF(C940&lt;=2,"TRACK",IF(C940=3,"LOW",IF(C940&lt;=6,"MEDIUM","HIGH"))))</f>
        <v>TRACK</v>
      </c>
      <c r="J940" s="11">
        <f>IF(C940=0,"",ROUND(D940*70+(1-E940)*20+MAX(0,MIN(1,(10-F940)/10))*10,1))</f>
        <v>95.0</v>
      </c>
      <c r="K940" s="14" t="str">
        <f>IF(C940=0,"No Evidence",IF(C940&lt;=2,IF(E940&gt;0,"Explosive Alert","Track Only"),IF(C940=3,"Sample Watch",IF(E940&gt;=START_HERE!$B$31,"Explosive Alert",IF(J940&gt;=80,"Strong Candidate",IF(J940&gt;=65,"Good Candidate",IF(J940&gt;=50,"Mixed / Review","Problem Call")))))))</f>
        <v>Track Only</v>
      </c>
      <c r="L940" s="9" t="str">
        <f>IF(COUNTIFS('DEF_SELF_SCOUT_IMPORT'!$L$42:$L$1040,"Y",'DEF_SELF_SCOUT_IMPORT'!$E$42:$E$1040,SUBSTITUTE(SUBSTITUTE(SUBSTITUTE($B940,"~","~~"),"*","~*"),"?","~?"),'DEF_SELF_SCOUT_IMPORT'!$Q$42:$Q$1040,SUBSTITUTE(SUBSTITUTE(SUBSTITUTE($M940,"~","~~"),"*","~*"),"?","~?"),'DEF_SELF_SCOUT_IMPORT'!$D$42:$D$1040,SUBSTITUTE(SUBSTITUTE(SUBSTITUTE($P940,"~","~~"),"*","~*"),"?","~?"),'DEF_SELF_SCOUT_IMPORT'!$J$42:$J$1040,"")&gt;0,"Unscored clean outcome; review result tags before using score.",IF(C940=0,"No matching defensive reps; film confirmation needed.",IF(K940="Explosive Alert","Explosive risk; review clips before using as answer.",IF(C940&lt;=2,"Track only; not enough sample.",IF(C940=3,IF(E940&gt;0,"Sample watch with explosive exposure; review clips and build the sample.",IF(J940&gt;=65,"Good signal, but sample is limited.","Sample watch; review clips and build the sample.")),IF(K940="Problem Call","Problem area; practice or call-sheet review.",IF(K940="Strong Candidate","Strong call-fit candidate; confirm on film.",IF(K940="Good Candidate","Good call-fit signal; confirm on film.","Mixed signal; review fit and execution on film."))))))))</f>
        <v>Track only; not enough sample.</v>
      </c>
      <c r="M940" s="8" t="s">
        <v>85</v>
      </c>
      <c r="N940" s="8"/>
      <c r="O940" s="8"/>
      <c r="P940" s="8" t="s">
        <v>449</v>
      </c>
      <c r="Q940" s="8"/>
      <c r="R940" s="8" t="s">
        <v>429</v>
      </c>
      <c r="S940" s="2" t="s">
        <v>531</v>
      </c>
      <c r="T940" s="2">
        <f>IF(C940=0,0,IF(C940&gt;=CALL_LOOKUP_BOARD!$B$7,IF(OR(K940="Problem Call",K940="Explosive Alert"),10000000,20000000),0)+IF(C940&gt;=CALL_LOOKUP_BOARD!$B$7,J940*1000+MIN(C940,999),C940*1000+J940)+0.00987000)</f>
        <v>1095.00987</v>
      </c>
      <c r="U940" s="2">
        <f>IF(C940=0,"",IF(COUNTIFS($S$811:$S$1055,SUBSTITUTE(SUBSTITUTE(SUBSTITUTE(S940,"~","~~"),"*","~*"),"?","~?"),$T$811:$T$1055,"&gt;"&amp;T940)=0,S940,""))</f>
        <v/>
      </c>
    </row>
    <row r="941" spans="1:21" ht="38" customHeight="1">
      <c r="A941" s="8" t="s">
        <v>532</v>
      </c>
      <c r="B941" s="8" t="s">
        <v>35</v>
      </c>
      <c r="C941" s="12">
        <f>COUNTIFS('DEF_SELF_SCOUT_IMPORT'!$L$42:$L$1040,"Y",'DEF_SELF_SCOUT_IMPORT'!$E$42:$E$1040,SUBSTITUTE(SUBSTITUTE(SUBSTITUTE($B941,"~","~~"),"*","~*"),"?","~?"),'DEF_SELF_SCOUT_IMPORT'!$Q$42:$Q$1040,SUBSTITUTE(SUBSTITUTE(SUBSTITUTE($M941,"~","~~"),"*","~*"),"?","~?"),'DEF_SELF_SCOUT_IMPORT'!$D$42:$D$1040,SUBSTITUTE(SUBSTITUTE(SUBSTITUTE($P941,"~","~~"),"*","~*"),"?","~?"))</f>
        <v>2</v>
      </c>
      <c r="D941" s="10">
        <f>IF($C941=0,"",SUMIFS('DEF_SELF_SCOUT_IMPORT'!$J$42:$J$1040,'DEF_SELF_SCOUT_IMPORT'!$L$42:$L$1040,"Y",'DEF_SELF_SCOUT_IMPORT'!$E$42:$E$1040,SUBSTITUTE(SUBSTITUTE(SUBSTITUTE($B941,"~","~~"),"*","~*"),"?","~?"),'DEF_SELF_SCOUT_IMPORT'!$Q$42:$Q$1040,SUBSTITUTE(SUBSTITUTE(SUBSTITUTE($M941,"~","~~"),"*","~*"),"?","~?"),'DEF_SELF_SCOUT_IMPORT'!$D$42:$D$1040,SUBSTITUTE(SUBSTITUTE(SUBSTITUTE($P941,"~","~~"),"*","~*"),"?","~?"))/$C941)</f>
        <v>0.0</v>
      </c>
      <c r="E941" s="10">
        <f>IF($C941=0,"",SUMIFS('DEF_SELF_SCOUT_IMPORT'!$K$42:$K$1040,'DEF_SELF_SCOUT_IMPORT'!$L$42:$L$1040,"Y",'DEF_SELF_SCOUT_IMPORT'!$E$42:$E$1040,SUBSTITUTE(SUBSTITUTE(SUBSTITUTE($B941,"~","~~"),"*","~*"),"?","~?"),'DEF_SELF_SCOUT_IMPORT'!$Q$42:$Q$1040,SUBSTITUTE(SUBSTITUTE(SUBSTITUTE($M941,"~","~~"),"*","~*"),"?","~?"),'DEF_SELF_SCOUT_IMPORT'!$D$42:$D$1040,SUBSTITUTE(SUBSTITUTE(SUBSTITUTE($P941,"~","~~"),"*","~*"),"?","~?"))/$C941)</f>
        <v>0.0</v>
      </c>
      <c r="F941" s="11">
        <f>IF($C941=0,"",AVERAGEIFS('DEF_SELF_SCOUT_IMPORT'!$I$42:$I$1040,'DEF_SELF_SCOUT_IMPORT'!$L$42:$L$1040,"Y",'DEF_SELF_SCOUT_IMPORT'!$E$42:$E$1040,SUBSTITUTE(SUBSTITUTE(SUBSTITUTE($B941,"~","~~"),"*","~*"),"?","~?"),'DEF_SELF_SCOUT_IMPORT'!$Q$42:$Q$1040,SUBSTITUTE(SUBSTITUTE(SUBSTITUTE($M941,"~","~~"),"*","~*"),"?","~?"),'DEF_SELF_SCOUT_IMPORT'!$D$42:$D$1040,SUBSTITUTE(SUBSTITUTE(SUBSTITUTE($P941,"~","~~"),"*","~*"),"?","~?")))</f>
        <v>7.5</v>
      </c>
      <c r="G941" s="10">
        <f>IF($C941=0,"",COUNTIFS('DEF_SELF_SCOUT_IMPORT'!$L$42:$L$1040,"Y",'DEF_SELF_SCOUT_IMPORT'!$E$42:$E$1040,SUBSTITUTE(SUBSTITUTE(SUBSTITUTE($B941,"~","~~"),"*","~*"),"?","~?"),'DEF_SELF_SCOUT_IMPORT'!$Q$42:$Q$1040,SUBSTITUTE(SUBSTITUTE(SUBSTITUTE($M941,"~","~~"),"*","~*"),"?","~?"),'DEF_SELF_SCOUT_IMPORT'!$D$42:$D$1040,SUBSTITUTE(SUBSTITUTE(SUBSTITUTE($P941,"~","~~"),"*","~*"),"?","~?"),'DEF_SELF_SCOUT_IMPORT'!$H$42:$H$1040,"RUSH")/$C941)</f>
        <v>0.5</v>
      </c>
      <c r="H941" s="10">
        <f>IF($C941=0,"",COUNTIFS('DEF_SELF_SCOUT_IMPORT'!$L$42:$L$1040,"Y",'DEF_SELF_SCOUT_IMPORT'!$E$42:$E$1040,SUBSTITUTE(SUBSTITUTE(SUBSTITUTE($B941,"~","~~"),"*","~*"),"?","~?"),'DEF_SELF_SCOUT_IMPORT'!$Q$42:$Q$1040,SUBSTITUTE(SUBSTITUTE(SUBSTITUTE($M941,"~","~~"),"*","~*"),"?","~?"),'DEF_SELF_SCOUT_IMPORT'!$D$42:$D$1040,SUBSTITUTE(SUBSTITUTE(SUBSTITUTE($P941,"~","~~"),"*","~*"),"?","~?"),'DEF_SELF_SCOUT_IMPORT'!$H$42:$H$1040,"DROPBACK")/$C941)</f>
        <v>0.0</v>
      </c>
      <c r="I941" s="14" t="str">
        <f>IF(C941=0,"",IF(C941&lt;=2,"TRACK",IF(C941=3,"LOW",IF(C941&lt;=6,"MEDIUM","HIGH"))))</f>
        <v>TRACK</v>
      </c>
      <c r="J941" s="11">
        <f>IF(C941=0,"",ROUND(D941*70+(1-E941)*20+MAX(0,MIN(1,(10-F941)/10))*10,1))</f>
        <v>22.5</v>
      </c>
      <c r="K941" s="14" t="str">
        <f>IF(C941=0,"No Evidence",IF(C941&lt;=2,IF(E941&gt;0,"Explosive Alert","Track Only"),IF(C941=3,"Sample Watch",IF(E941&gt;=START_HERE!$B$31,"Explosive Alert",IF(J941&gt;=80,"Strong Candidate",IF(J941&gt;=65,"Good Candidate",IF(J941&gt;=50,"Mixed / Review","Problem Call")))))))</f>
        <v>Track Only</v>
      </c>
      <c r="L941" s="9" t="str">
        <f>IF(COUNTIFS('DEF_SELF_SCOUT_IMPORT'!$L$42:$L$1040,"Y",'DEF_SELF_SCOUT_IMPORT'!$E$42:$E$1040,SUBSTITUTE(SUBSTITUTE(SUBSTITUTE($B941,"~","~~"),"*","~*"),"?","~?"),'DEF_SELF_SCOUT_IMPORT'!$Q$42:$Q$1040,SUBSTITUTE(SUBSTITUTE(SUBSTITUTE($M941,"~","~~"),"*","~*"),"?","~?"),'DEF_SELF_SCOUT_IMPORT'!$D$42:$D$1040,SUBSTITUTE(SUBSTITUTE(SUBSTITUTE($P941,"~","~~"),"*","~*"),"?","~?"),'DEF_SELF_SCOUT_IMPORT'!$J$42:$J$1040,"")&gt;0,"Unscored clean outcome; review result tags before using score.",IF(C941=0,"No matching defensive reps; film confirmation needed.",IF(K941="Explosive Alert","Explosive risk; review clips before using as answer.",IF(C941&lt;=2,"Track only; not enough sample.",IF(C941=3,IF(E941&gt;0,"Sample watch with explosive exposure; review clips and build the sample.",IF(J941&gt;=65,"Good signal, but sample is limited.","Sample watch; review clips and build the sample.")),IF(K941="Problem Call","Problem area; practice or call-sheet review.",IF(K941="Strong Candidate","Strong call-fit candidate; confirm on film.",IF(K941="Good Candidate","Good call-fit signal; confirm on film.","Mixed signal; review fit and execution on film."))))))))</f>
        <v>Track only; not enough sample.</v>
      </c>
      <c r="M941" s="8" t="s">
        <v>85</v>
      </c>
      <c r="N941" s="8"/>
      <c r="O941" s="8"/>
      <c r="P941" s="8" t="s">
        <v>432</v>
      </c>
      <c r="Q941" s="8"/>
      <c r="R941" s="8" t="s">
        <v>429</v>
      </c>
      <c r="S941" s="2" t="s">
        <v>533</v>
      </c>
      <c r="T941" s="2">
        <f>IF(C941=0,0,IF(C941&gt;=CALL_LOOKUP_BOARD!$B$7,IF(OR(K941="Problem Call",K941="Explosive Alert"),10000000,20000000),0)+IF(C941&gt;=CALL_LOOKUP_BOARD!$B$7,J941*1000+MIN(C941,999),C941*1000+J941)+0.00986900)</f>
        <v>2022.509869</v>
      </c>
      <c r="U941" s="2" t="str">
        <f>IF(C941=0,"",IF(COUNTIFS($S$811:$S$1055,SUBSTITUTE(SUBSTITUTE(SUBSTITUTE(S941,"~","~~"),"*","~*"),"?","~?"),$T$811:$T$1055,"&gt;"&amp;T941)=0,S941,""))</f>
        <v>7:2D 7-10|7:COUNTER|</v>
      </c>
    </row>
    <row r="942" spans="1:21" ht="38" customHeight="1">
      <c r="A942" s="8" t="s">
        <v>532</v>
      </c>
      <c r="B942" s="8" t="s">
        <v>84</v>
      </c>
      <c r="C942" s="12">
        <f>COUNTIFS('DEF_SELF_SCOUT_IMPORT'!$L$42:$L$1040,"Y",'DEF_SELF_SCOUT_IMPORT'!$E$42:$E$1040,SUBSTITUTE(SUBSTITUTE(SUBSTITUTE($B942,"~","~~"),"*","~*"),"?","~?"),'DEF_SELF_SCOUT_IMPORT'!$Q$42:$Q$1040,SUBSTITUTE(SUBSTITUTE(SUBSTITUTE($M942,"~","~~"),"*","~*"),"?","~?"),'DEF_SELF_SCOUT_IMPORT'!$D$42:$D$1040,SUBSTITUTE(SUBSTITUTE(SUBSTITUTE($P942,"~","~~"),"*","~*"),"?","~?"))</f>
        <v>1</v>
      </c>
      <c r="D942" s="10">
        <f>IF($C942=0,"",SUMIFS('DEF_SELF_SCOUT_IMPORT'!$J$42:$J$1040,'DEF_SELF_SCOUT_IMPORT'!$L$42:$L$1040,"Y",'DEF_SELF_SCOUT_IMPORT'!$E$42:$E$1040,SUBSTITUTE(SUBSTITUTE(SUBSTITUTE($B942,"~","~~"),"*","~*"),"?","~?"),'DEF_SELF_SCOUT_IMPORT'!$Q$42:$Q$1040,SUBSTITUTE(SUBSTITUTE(SUBSTITUTE($M942,"~","~~"),"*","~*"),"?","~?"),'DEF_SELF_SCOUT_IMPORT'!$D$42:$D$1040,SUBSTITUTE(SUBSTITUTE(SUBSTITUTE($P942,"~","~~"),"*","~*"),"?","~?"))/$C942)</f>
        <v>1.0</v>
      </c>
      <c r="E942" s="10">
        <f>IF($C942=0,"",SUMIFS('DEF_SELF_SCOUT_IMPORT'!$K$42:$K$1040,'DEF_SELF_SCOUT_IMPORT'!$L$42:$L$1040,"Y",'DEF_SELF_SCOUT_IMPORT'!$E$42:$E$1040,SUBSTITUTE(SUBSTITUTE(SUBSTITUTE($B942,"~","~~"),"*","~*"),"?","~?"),'DEF_SELF_SCOUT_IMPORT'!$Q$42:$Q$1040,SUBSTITUTE(SUBSTITUTE(SUBSTITUTE($M942,"~","~~"),"*","~*"),"?","~?"),'DEF_SELF_SCOUT_IMPORT'!$D$42:$D$1040,SUBSTITUTE(SUBSTITUTE(SUBSTITUTE($P942,"~","~~"),"*","~*"),"?","~?"))/$C942)</f>
        <v>0.0</v>
      </c>
      <c r="F942" s="11">
        <f>IF($C942=0,"",AVERAGEIFS('DEF_SELF_SCOUT_IMPORT'!$I$42:$I$1040,'DEF_SELF_SCOUT_IMPORT'!$L$42:$L$1040,"Y",'DEF_SELF_SCOUT_IMPORT'!$E$42:$E$1040,SUBSTITUTE(SUBSTITUTE(SUBSTITUTE($B942,"~","~~"),"*","~*"),"?","~?"),'DEF_SELF_SCOUT_IMPORT'!$Q$42:$Q$1040,SUBSTITUTE(SUBSTITUTE(SUBSTITUTE($M942,"~","~~"),"*","~*"),"?","~?"),'DEF_SELF_SCOUT_IMPORT'!$D$42:$D$1040,SUBSTITUTE(SUBSTITUTE(SUBSTITUTE($P942,"~","~~"),"*","~*"),"?","~?")))</f>
        <v>3.0</v>
      </c>
      <c r="G942" s="10">
        <f>IF($C942=0,"",COUNTIFS('DEF_SELF_SCOUT_IMPORT'!$L$42:$L$1040,"Y",'DEF_SELF_SCOUT_IMPORT'!$E$42:$E$1040,SUBSTITUTE(SUBSTITUTE(SUBSTITUTE($B942,"~","~~"),"*","~*"),"?","~?"),'DEF_SELF_SCOUT_IMPORT'!$Q$42:$Q$1040,SUBSTITUTE(SUBSTITUTE(SUBSTITUTE($M942,"~","~~"),"*","~*"),"?","~?"),'DEF_SELF_SCOUT_IMPORT'!$D$42:$D$1040,SUBSTITUTE(SUBSTITUTE(SUBSTITUTE($P942,"~","~~"),"*","~*"),"?","~?"),'DEF_SELF_SCOUT_IMPORT'!$H$42:$H$1040,"RUSH")/$C942)</f>
        <v>1.0</v>
      </c>
      <c r="H942" s="10">
        <f>IF($C942=0,"",COUNTIFS('DEF_SELF_SCOUT_IMPORT'!$L$42:$L$1040,"Y",'DEF_SELF_SCOUT_IMPORT'!$E$42:$E$1040,SUBSTITUTE(SUBSTITUTE(SUBSTITUTE($B942,"~","~~"),"*","~*"),"?","~?"),'DEF_SELF_SCOUT_IMPORT'!$Q$42:$Q$1040,SUBSTITUTE(SUBSTITUTE(SUBSTITUTE($M942,"~","~~"),"*","~*"),"?","~?"),'DEF_SELF_SCOUT_IMPORT'!$D$42:$D$1040,SUBSTITUTE(SUBSTITUTE(SUBSTITUTE($P942,"~","~~"),"*","~*"),"?","~?"),'DEF_SELF_SCOUT_IMPORT'!$H$42:$H$1040,"DROPBACK")/$C942)</f>
        <v>0.0</v>
      </c>
      <c r="I942" s="14" t="str">
        <f>IF(C942=0,"",IF(C942&lt;=2,"TRACK",IF(C942=3,"LOW",IF(C942&lt;=6,"MEDIUM","HIGH"))))</f>
        <v>TRACK</v>
      </c>
      <c r="J942" s="11">
        <f>IF(C942=0,"",ROUND(D942*70+(1-E942)*20+MAX(0,MIN(1,(10-F942)/10))*10,1))</f>
        <v>97.0</v>
      </c>
      <c r="K942" s="14" t="str">
        <f>IF(C942=0,"No Evidence",IF(C942&lt;=2,IF(E942&gt;0,"Explosive Alert","Track Only"),IF(C942=3,"Sample Watch",IF(E942&gt;=START_HERE!$B$31,"Explosive Alert",IF(J942&gt;=80,"Strong Candidate",IF(J942&gt;=65,"Good Candidate",IF(J942&gt;=50,"Mixed / Review","Problem Call")))))))</f>
        <v>Track Only</v>
      </c>
      <c r="L942" s="9" t="str">
        <f>IF(COUNTIFS('DEF_SELF_SCOUT_IMPORT'!$L$42:$L$1040,"Y",'DEF_SELF_SCOUT_IMPORT'!$E$42:$E$1040,SUBSTITUTE(SUBSTITUTE(SUBSTITUTE($B942,"~","~~"),"*","~*"),"?","~?"),'DEF_SELF_SCOUT_IMPORT'!$Q$42:$Q$1040,SUBSTITUTE(SUBSTITUTE(SUBSTITUTE($M942,"~","~~"),"*","~*"),"?","~?"),'DEF_SELF_SCOUT_IMPORT'!$D$42:$D$1040,SUBSTITUTE(SUBSTITUTE(SUBSTITUTE($P942,"~","~~"),"*","~*"),"?","~?"),'DEF_SELF_SCOUT_IMPORT'!$J$42:$J$1040,"")&gt;0,"Unscored clean outcome; review result tags before using score.",IF(C942=0,"No matching defensive reps; film confirmation needed.",IF(K942="Explosive Alert","Explosive risk; review clips before using as answer.",IF(C942&lt;=2,"Track only; not enough sample.",IF(C942=3,IF(E942&gt;0,"Sample watch with explosive exposure; review clips and build the sample.",IF(J942&gt;=65,"Good signal, but sample is limited.","Sample watch; review clips and build the sample.")),IF(K942="Problem Call","Problem area; practice or call-sheet review.",IF(K942="Strong Candidate","Strong call-fit candidate; confirm on film.",IF(K942="Good Candidate","Good call-fit signal; confirm on film.","Mixed signal; review fit and execution on film."))))))))</f>
        <v>Track only; not enough sample.</v>
      </c>
      <c r="M942" s="8" t="s">
        <v>85</v>
      </c>
      <c r="N942" s="8"/>
      <c r="O942" s="8"/>
      <c r="P942" s="8" t="s">
        <v>432</v>
      </c>
      <c r="Q942" s="8"/>
      <c r="R942" s="8" t="s">
        <v>429</v>
      </c>
      <c r="S942" s="2" t="s">
        <v>533</v>
      </c>
      <c r="T942" s="2">
        <f>IF(C942=0,0,IF(C942&gt;=CALL_LOOKUP_BOARD!$B$7,IF(OR(K942="Problem Call",K942="Explosive Alert"),10000000,20000000),0)+IF(C942&gt;=CALL_LOOKUP_BOARD!$B$7,J942*1000+MIN(C942,999),C942*1000+J942)+0.00986800)</f>
        <v>1097.009868</v>
      </c>
      <c r="U942" s="2">
        <f>IF(C942=0,"",IF(COUNTIFS($S$811:$S$1055,SUBSTITUTE(SUBSTITUTE(SUBSTITUTE(S942,"~","~~"),"*","~*"),"?","~?"),$T$811:$T$1055,"&gt;"&amp;T942)=0,S942,""))</f>
        <v/>
      </c>
    </row>
    <row r="943" spans="1:21" ht="38" customHeight="1">
      <c r="A943" s="8" t="s">
        <v>534</v>
      </c>
      <c r="B943" s="8" t="s">
        <v>40</v>
      </c>
      <c r="C943" s="12">
        <f>COUNTIFS('DEF_SELF_SCOUT_IMPORT'!$L$42:$L$1040,"Y",'DEF_SELF_SCOUT_IMPORT'!$E$42:$E$1040,SUBSTITUTE(SUBSTITUTE(SUBSTITUTE($B943,"~","~~"),"*","~*"),"?","~?"),'DEF_SELF_SCOUT_IMPORT'!$Q$42:$Q$1040,SUBSTITUTE(SUBSTITUTE(SUBSTITUTE($M943,"~","~~"),"*","~*"),"?","~?"),'DEF_SELF_SCOUT_IMPORT'!$D$42:$D$1040,SUBSTITUTE(SUBSTITUTE(SUBSTITUTE($P943,"~","~~"),"*","~*"),"?","~?"))</f>
        <v>1</v>
      </c>
      <c r="D943" s="10">
        <f>IF($C943=0,"",SUMIFS('DEF_SELF_SCOUT_IMPORT'!$J$42:$J$1040,'DEF_SELF_SCOUT_IMPORT'!$L$42:$L$1040,"Y",'DEF_SELF_SCOUT_IMPORT'!$E$42:$E$1040,SUBSTITUTE(SUBSTITUTE(SUBSTITUTE($B943,"~","~~"),"*","~*"),"?","~?"),'DEF_SELF_SCOUT_IMPORT'!$Q$42:$Q$1040,SUBSTITUTE(SUBSTITUTE(SUBSTITUTE($M943,"~","~~"),"*","~*"),"?","~?"),'DEF_SELF_SCOUT_IMPORT'!$D$42:$D$1040,SUBSTITUTE(SUBSTITUTE(SUBSTITUTE($P943,"~","~~"),"*","~*"),"?","~?"))/$C943)</f>
        <v>0.0</v>
      </c>
      <c r="E943" s="10">
        <f>IF($C943=0,"",SUMIFS('DEF_SELF_SCOUT_IMPORT'!$K$42:$K$1040,'DEF_SELF_SCOUT_IMPORT'!$L$42:$L$1040,"Y",'DEF_SELF_SCOUT_IMPORT'!$E$42:$E$1040,SUBSTITUTE(SUBSTITUTE(SUBSTITUTE($B943,"~","~~"),"*","~*"),"?","~?"),'DEF_SELF_SCOUT_IMPORT'!$Q$42:$Q$1040,SUBSTITUTE(SUBSTITUTE(SUBSTITUTE($M943,"~","~~"),"*","~*"),"?","~?"),'DEF_SELF_SCOUT_IMPORT'!$D$42:$D$1040,SUBSTITUTE(SUBSTITUTE(SUBSTITUTE($P943,"~","~~"),"*","~*"),"?","~?"))/$C943)</f>
        <v>0.0</v>
      </c>
      <c r="F943" s="11">
        <f>IF($C943=0,"",AVERAGEIFS('DEF_SELF_SCOUT_IMPORT'!$I$42:$I$1040,'DEF_SELF_SCOUT_IMPORT'!$L$42:$L$1040,"Y",'DEF_SELF_SCOUT_IMPORT'!$E$42:$E$1040,SUBSTITUTE(SUBSTITUTE(SUBSTITUTE($B943,"~","~~"),"*","~*"),"?","~?"),'DEF_SELF_SCOUT_IMPORT'!$Q$42:$Q$1040,SUBSTITUTE(SUBSTITUTE(SUBSTITUTE($M943,"~","~~"),"*","~*"),"?","~?"),'DEF_SELF_SCOUT_IMPORT'!$D$42:$D$1040,SUBSTITUTE(SUBSTITUTE(SUBSTITUTE($P943,"~","~~"),"*","~*"),"?","~?")))</f>
        <v>7.0</v>
      </c>
      <c r="G943" s="10">
        <f>IF($C943=0,"",COUNTIFS('DEF_SELF_SCOUT_IMPORT'!$L$42:$L$1040,"Y",'DEF_SELF_SCOUT_IMPORT'!$E$42:$E$1040,SUBSTITUTE(SUBSTITUTE(SUBSTITUTE($B943,"~","~~"),"*","~*"),"?","~?"),'DEF_SELF_SCOUT_IMPORT'!$Q$42:$Q$1040,SUBSTITUTE(SUBSTITUTE(SUBSTITUTE($M943,"~","~~"),"*","~*"),"?","~?"),'DEF_SELF_SCOUT_IMPORT'!$D$42:$D$1040,SUBSTITUTE(SUBSTITUTE(SUBSTITUTE($P943,"~","~~"),"*","~*"),"?","~?"),'DEF_SELF_SCOUT_IMPORT'!$H$42:$H$1040,"RUSH")/$C943)</f>
        <v>1.0</v>
      </c>
      <c r="H943" s="10">
        <f>IF($C943=0,"",COUNTIFS('DEF_SELF_SCOUT_IMPORT'!$L$42:$L$1040,"Y",'DEF_SELF_SCOUT_IMPORT'!$E$42:$E$1040,SUBSTITUTE(SUBSTITUTE(SUBSTITUTE($B943,"~","~~"),"*","~*"),"?","~?"),'DEF_SELF_SCOUT_IMPORT'!$Q$42:$Q$1040,SUBSTITUTE(SUBSTITUTE(SUBSTITUTE($M943,"~","~~"),"*","~*"),"?","~?"),'DEF_SELF_SCOUT_IMPORT'!$D$42:$D$1040,SUBSTITUTE(SUBSTITUTE(SUBSTITUTE($P943,"~","~~"),"*","~*"),"?","~?"),'DEF_SELF_SCOUT_IMPORT'!$H$42:$H$1040,"DROPBACK")/$C943)</f>
        <v>0.0</v>
      </c>
      <c r="I943" s="14" t="str">
        <f>IF(C943=0,"",IF(C943&lt;=2,"TRACK",IF(C943=3,"LOW",IF(C943&lt;=6,"MEDIUM","HIGH"))))</f>
        <v>TRACK</v>
      </c>
      <c r="J943" s="11">
        <f>IF(C943=0,"",ROUND(D943*70+(1-E943)*20+MAX(0,MIN(1,(10-F943)/10))*10,1))</f>
        <v>23.0</v>
      </c>
      <c r="K943" s="14" t="str">
        <f>IF(C943=0,"No Evidence",IF(C943&lt;=2,IF(E943&gt;0,"Explosive Alert","Track Only"),IF(C943=3,"Sample Watch",IF(E943&gt;=START_HERE!$B$31,"Explosive Alert",IF(J943&gt;=80,"Strong Candidate",IF(J943&gt;=65,"Good Candidate",IF(J943&gt;=50,"Mixed / Review","Problem Call")))))))</f>
        <v>Track Only</v>
      </c>
      <c r="L943" s="9" t="str">
        <f>IF(COUNTIFS('DEF_SELF_SCOUT_IMPORT'!$L$42:$L$1040,"Y",'DEF_SELF_SCOUT_IMPORT'!$E$42:$E$1040,SUBSTITUTE(SUBSTITUTE(SUBSTITUTE($B943,"~","~~"),"*","~*"),"?","~?"),'DEF_SELF_SCOUT_IMPORT'!$Q$42:$Q$1040,SUBSTITUTE(SUBSTITUTE(SUBSTITUTE($M943,"~","~~"),"*","~*"),"?","~?"),'DEF_SELF_SCOUT_IMPORT'!$D$42:$D$1040,SUBSTITUTE(SUBSTITUTE(SUBSTITUTE($P943,"~","~~"),"*","~*"),"?","~?"),'DEF_SELF_SCOUT_IMPORT'!$J$42:$J$1040,"")&gt;0,"Unscored clean outcome; review result tags before using score.",IF(C943=0,"No matching defensive reps; film confirmation needed.",IF(K943="Explosive Alert","Explosive risk; review clips before using as answer.",IF(C943&lt;=2,"Track only; not enough sample.",IF(C943=3,IF(E943&gt;0,"Sample watch with explosive exposure; review clips and build the sample.",IF(J943&gt;=65,"Good signal, but sample is limited.","Sample watch; review clips and build the sample.")),IF(K943="Problem Call","Problem area; practice or call-sheet review.",IF(K943="Strong Candidate","Strong call-fit candidate; confirm on film.",IF(K943="Good Candidate","Good call-fit signal; confirm on film.","Mixed signal; review fit and execution on film."))))))))</f>
        <v>Track only; not enough sample.</v>
      </c>
      <c r="M943" s="8" t="s">
        <v>85</v>
      </c>
      <c r="N943" s="8"/>
      <c r="O943" s="8"/>
      <c r="P943" s="8" t="s">
        <v>428</v>
      </c>
      <c r="Q943" s="8"/>
      <c r="R943" s="8" t="s">
        <v>429</v>
      </c>
      <c r="S943" s="2" t="s">
        <v>535</v>
      </c>
      <c r="T943" s="2">
        <f>IF(C943=0,0,IF(C943&gt;=CALL_LOOKUP_BOARD!$B$7,IF(OR(K943="Problem Call",K943="Explosive Alert"),10000000,20000000),0)+IF(C943&gt;=CALL_LOOKUP_BOARD!$B$7,J943*1000+MIN(C943,999),C943*1000+J943)+0.00986700)</f>
        <v>1023.009867</v>
      </c>
      <c r="U943" s="2">
        <f>IF(C943=0,"",IF(COUNTIFS($S$811:$S$1055,SUBSTITUTE(SUBSTITUTE(SUBSTITUTE(S943,"~","~~"),"*","~*"),"?","~?"),$T$811:$T$1055,"&gt;"&amp;T943)=0,S943,""))</f>
        <v/>
      </c>
    </row>
    <row r="944" spans="1:21" ht="38" customHeight="1">
      <c r="A944" s="8" t="s">
        <v>534</v>
      </c>
      <c r="B944" s="8" t="s">
        <v>87</v>
      </c>
      <c r="C944" s="12">
        <f>COUNTIFS('DEF_SELF_SCOUT_IMPORT'!$L$42:$L$1040,"Y",'DEF_SELF_SCOUT_IMPORT'!$E$42:$E$1040,SUBSTITUTE(SUBSTITUTE(SUBSTITUTE($B944,"~","~~"),"*","~*"),"?","~?"),'DEF_SELF_SCOUT_IMPORT'!$Q$42:$Q$1040,SUBSTITUTE(SUBSTITUTE(SUBSTITUTE($M944,"~","~~"),"*","~*"),"?","~?"),'DEF_SELF_SCOUT_IMPORT'!$D$42:$D$1040,SUBSTITUTE(SUBSTITUTE(SUBSTITUTE($P944,"~","~~"),"*","~*"),"?","~?"))</f>
        <v>1</v>
      </c>
      <c r="D944" s="10">
        <f>IF($C944=0,"",SUMIFS('DEF_SELF_SCOUT_IMPORT'!$J$42:$J$1040,'DEF_SELF_SCOUT_IMPORT'!$L$42:$L$1040,"Y",'DEF_SELF_SCOUT_IMPORT'!$E$42:$E$1040,SUBSTITUTE(SUBSTITUTE(SUBSTITUTE($B944,"~","~~"),"*","~*"),"?","~?"),'DEF_SELF_SCOUT_IMPORT'!$Q$42:$Q$1040,SUBSTITUTE(SUBSTITUTE(SUBSTITUTE($M944,"~","~~"),"*","~*"),"?","~?"),'DEF_SELF_SCOUT_IMPORT'!$D$42:$D$1040,SUBSTITUTE(SUBSTITUTE(SUBSTITUTE($P944,"~","~~"),"*","~*"),"?","~?"))/$C944)</f>
        <v>0.0</v>
      </c>
      <c r="E944" s="10">
        <f>IF($C944=0,"",SUMIFS('DEF_SELF_SCOUT_IMPORT'!$K$42:$K$1040,'DEF_SELF_SCOUT_IMPORT'!$L$42:$L$1040,"Y",'DEF_SELF_SCOUT_IMPORT'!$E$42:$E$1040,SUBSTITUTE(SUBSTITUTE(SUBSTITUTE($B944,"~","~~"),"*","~*"),"?","~?"),'DEF_SELF_SCOUT_IMPORT'!$Q$42:$Q$1040,SUBSTITUTE(SUBSTITUTE(SUBSTITUTE($M944,"~","~~"),"*","~*"),"?","~?"),'DEF_SELF_SCOUT_IMPORT'!$D$42:$D$1040,SUBSTITUTE(SUBSTITUTE(SUBSTITUTE($P944,"~","~~"),"*","~*"),"?","~?"))/$C944)</f>
        <v>0.0</v>
      </c>
      <c r="F944" s="11">
        <f>IF($C944=0,"",AVERAGEIFS('DEF_SELF_SCOUT_IMPORT'!$I$42:$I$1040,'DEF_SELF_SCOUT_IMPORT'!$L$42:$L$1040,"Y",'DEF_SELF_SCOUT_IMPORT'!$E$42:$E$1040,SUBSTITUTE(SUBSTITUTE(SUBSTITUTE($B944,"~","~~"),"*","~*"),"?","~?"),'DEF_SELF_SCOUT_IMPORT'!$Q$42:$Q$1040,SUBSTITUTE(SUBSTITUTE(SUBSTITUTE($M944,"~","~~"),"*","~*"),"?","~?"),'DEF_SELF_SCOUT_IMPORT'!$D$42:$D$1040,SUBSTITUTE(SUBSTITUTE(SUBSTITUTE($P944,"~","~~"),"*","~*"),"?","~?")))</f>
        <v>5.0</v>
      </c>
      <c r="G944" s="10">
        <f>IF($C944=0,"",COUNTIFS('DEF_SELF_SCOUT_IMPORT'!$L$42:$L$1040,"Y",'DEF_SELF_SCOUT_IMPORT'!$E$42:$E$1040,SUBSTITUTE(SUBSTITUTE(SUBSTITUTE($B944,"~","~~"),"*","~*"),"?","~?"),'DEF_SELF_SCOUT_IMPORT'!$Q$42:$Q$1040,SUBSTITUTE(SUBSTITUTE(SUBSTITUTE($M944,"~","~~"),"*","~*"),"?","~?"),'DEF_SELF_SCOUT_IMPORT'!$D$42:$D$1040,SUBSTITUTE(SUBSTITUTE(SUBSTITUTE($P944,"~","~~"),"*","~*"),"?","~?"),'DEF_SELF_SCOUT_IMPORT'!$H$42:$H$1040,"RUSH")/$C944)</f>
        <v>1.0</v>
      </c>
      <c r="H944" s="10">
        <f>IF($C944=0,"",COUNTIFS('DEF_SELF_SCOUT_IMPORT'!$L$42:$L$1040,"Y",'DEF_SELF_SCOUT_IMPORT'!$E$42:$E$1040,SUBSTITUTE(SUBSTITUTE(SUBSTITUTE($B944,"~","~~"),"*","~*"),"?","~?"),'DEF_SELF_SCOUT_IMPORT'!$Q$42:$Q$1040,SUBSTITUTE(SUBSTITUTE(SUBSTITUTE($M944,"~","~~"),"*","~*"),"?","~?"),'DEF_SELF_SCOUT_IMPORT'!$D$42:$D$1040,SUBSTITUTE(SUBSTITUTE(SUBSTITUTE($P944,"~","~~"),"*","~*"),"?","~?"),'DEF_SELF_SCOUT_IMPORT'!$H$42:$H$1040,"DROPBACK")/$C944)</f>
        <v>0.0</v>
      </c>
      <c r="I944" s="14" t="str">
        <f>IF(C944=0,"",IF(C944&lt;=2,"TRACK",IF(C944=3,"LOW",IF(C944&lt;=6,"MEDIUM","HIGH"))))</f>
        <v>TRACK</v>
      </c>
      <c r="J944" s="11">
        <f>IF(C944=0,"",ROUND(D944*70+(1-E944)*20+MAX(0,MIN(1,(10-F944)/10))*10,1))</f>
        <v>25.0</v>
      </c>
      <c r="K944" s="14" t="str">
        <f>IF(C944=0,"No Evidence",IF(C944&lt;=2,IF(E944&gt;0,"Explosive Alert","Track Only"),IF(C944=3,"Sample Watch",IF(E944&gt;=START_HERE!$B$31,"Explosive Alert",IF(J944&gt;=80,"Strong Candidate",IF(J944&gt;=65,"Good Candidate",IF(J944&gt;=50,"Mixed / Review","Problem Call")))))))</f>
        <v>Track Only</v>
      </c>
      <c r="L944" s="9" t="str">
        <f>IF(COUNTIFS('DEF_SELF_SCOUT_IMPORT'!$L$42:$L$1040,"Y",'DEF_SELF_SCOUT_IMPORT'!$E$42:$E$1040,SUBSTITUTE(SUBSTITUTE(SUBSTITUTE($B944,"~","~~"),"*","~*"),"?","~?"),'DEF_SELF_SCOUT_IMPORT'!$Q$42:$Q$1040,SUBSTITUTE(SUBSTITUTE(SUBSTITUTE($M944,"~","~~"),"*","~*"),"?","~?"),'DEF_SELF_SCOUT_IMPORT'!$D$42:$D$1040,SUBSTITUTE(SUBSTITUTE(SUBSTITUTE($P944,"~","~~"),"*","~*"),"?","~?"),'DEF_SELF_SCOUT_IMPORT'!$J$42:$J$1040,"")&gt;0,"Unscored clean outcome; review result tags before using score.",IF(C944=0,"No matching defensive reps; film confirmation needed.",IF(K944="Explosive Alert","Explosive risk; review clips before using as answer.",IF(C944&lt;=2,"Track only; not enough sample.",IF(C944=3,IF(E944&gt;0,"Sample watch with explosive exposure; review clips and build the sample.",IF(J944&gt;=65,"Good signal, but sample is limited.","Sample watch; review clips and build the sample.")),IF(K944="Problem Call","Problem area; practice or call-sheet review.",IF(K944="Strong Candidate","Strong call-fit candidate; confirm on film.",IF(K944="Good Candidate","Good call-fit signal; confirm on film.","Mixed signal; review fit and execution on film."))))))))</f>
        <v>Track only; not enough sample.</v>
      </c>
      <c r="M944" s="8" t="s">
        <v>85</v>
      </c>
      <c r="N944" s="8"/>
      <c r="O944" s="8"/>
      <c r="P944" s="8" t="s">
        <v>428</v>
      </c>
      <c r="Q944" s="8"/>
      <c r="R944" s="8" t="s">
        <v>429</v>
      </c>
      <c r="S944" s="2" t="s">
        <v>535</v>
      </c>
      <c r="T944" s="2">
        <f>IF(C944=0,0,IF(C944&gt;=CALL_LOOKUP_BOARD!$B$7,IF(OR(K944="Problem Call",K944="Explosive Alert"),10000000,20000000),0)+IF(C944&gt;=CALL_LOOKUP_BOARD!$B$7,J944*1000+MIN(C944,999),C944*1000+J944)+0.00986600)</f>
        <v>1025.009866</v>
      </c>
      <c r="U944" s="2">
        <f>IF(C944=0,"",IF(COUNTIFS($S$811:$S$1055,SUBSTITUTE(SUBSTITUTE(SUBSTITUTE(S944,"~","~~"),"*","~*"),"?","~?"),$T$811:$T$1055,"&gt;"&amp;T944)=0,S944,""))</f>
        <v/>
      </c>
    </row>
    <row r="945" spans="1:21" ht="38" customHeight="1">
      <c r="A945" s="8" t="s">
        <v>534</v>
      </c>
      <c r="B945" s="8" t="s">
        <v>88</v>
      </c>
      <c r="C945" s="12">
        <f>COUNTIFS('DEF_SELF_SCOUT_IMPORT'!$L$42:$L$1040,"Y",'DEF_SELF_SCOUT_IMPORT'!$E$42:$E$1040,SUBSTITUTE(SUBSTITUTE(SUBSTITUTE($B945,"~","~~"),"*","~*"),"?","~?"),'DEF_SELF_SCOUT_IMPORT'!$Q$42:$Q$1040,SUBSTITUTE(SUBSTITUTE(SUBSTITUTE($M945,"~","~~"),"*","~*"),"?","~?"),'DEF_SELF_SCOUT_IMPORT'!$D$42:$D$1040,SUBSTITUTE(SUBSTITUTE(SUBSTITUTE($P945,"~","~~"),"*","~*"),"?","~?"))</f>
        <v>1</v>
      </c>
      <c r="D945" s="10">
        <f>IF($C945=0,"",SUMIFS('DEF_SELF_SCOUT_IMPORT'!$J$42:$J$1040,'DEF_SELF_SCOUT_IMPORT'!$L$42:$L$1040,"Y",'DEF_SELF_SCOUT_IMPORT'!$E$42:$E$1040,SUBSTITUTE(SUBSTITUTE(SUBSTITUTE($B945,"~","~~"),"*","~*"),"?","~?"),'DEF_SELF_SCOUT_IMPORT'!$Q$42:$Q$1040,SUBSTITUTE(SUBSTITUTE(SUBSTITUTE($M945,"~","~~"),"*","~*"),"?","~?"),'DEF_SELF_SCOUT_IMPORT'!$D$42:$D$1040,SUBSTITUTE(SUBSTITUTE(SUBSTITUTE($P945,"~","~~"),"*","~*"),"?","~?"))/$C945)</f>
        <v>1.0</v>
      </c>
      <c r="E945" s="10">
        <f>IF($C945=0,"",SUMIFS('DEF_SELF_SCOUT_IMPORT'!$K$42:$K$1040,'DEF_SELF_SCOUT_IMPORT'!$L$42:$L$1040,"Y",'DEF_SELF_SCOUT_IMPORT'!$E$42:$E$1040,SUBSTITUTE(SUBSTITUTE(SUBSTITUTE($B945,"~","~~"),"*","~*"),"?","~?"),'DEF_SELF_SCOUT_IMPORT'!$Q$42:$Q$1040,SUBSTITUTE(SUBSTITUTE(SUBSTITUTE($M945,"~","~~"),"*","~*"),"?","~?"),'DEF_SELF_SCOUT_IMPORT'!$D$42:$D$1040,SUBSTITUTE(SUBSTITUTE(SUBSTITUTE($P945,"~","~~"),"*","~*"),"?","~?"))/$C945)</f>
        <v>0.0</v>
      </c>
      <c r="F945" s="11">
        <f>IF($C945=0,"",AVERAGEIFS('DEF_SELF_SCOUT_IMPORT'!$I$42:$I$1040,'DEF_SELF_SCOUT_IMPORT'!$L$42:$L$1040,"Y",'DEF_SELF_SCOUT_IMPORT'!$E$42:$E$1040,SUBSTITUTE(SUBSTITUTE(SUBSTITUTE($B945,"~","~~"),"*","~*"),"?","~?"),'DEF_SELF_SCOUT_IMPORT'!$Q$42:$Q$1040,SUBSTITUTE(SUBSTITUTE(SUBSTITUTE($M945,"~","~~"),"*","~*"),"?","~?"),'DEF_SELF_SCOUT_IMPORT'!$D$42:$D$1040,SUBSTITUTE(SUBSTITUTE(SUBSTITUTE($P945,"~","~~"),"*","~*"),"?","~?")))</f>
        <v>3.0</v>
      </c>
      <c r="G945" s="10">
        <f>IF($C945=0,"",COUNTIFS('DEF_SELF_SCOUT_IMPORT'!$L$42:$L$1040,"Y",'DEF_SELF_SCOUT_IMPORT'!$E$42:$E$1040,SUBSTITUTE(SUBSTITUTE(SUBSTITUTE($B945,"~","~~"),"*","~*"),"?","~?"),'DEF_SELF_SCOUT_IMPORT'!$Q$42:$Q$1040,SUBSTITUTE(SUBSTITUTE(SUBSTITUTE($M945,"~","~~"),"*","~*"),"?","~?"),'DEF_SELF_SCOUT_IMPORT'!$D$42:$D$1040,SUBSTITUTE(SUBSTITUTE(SUBSTITUTE($P945,"~","~~"),"*","~*"),"?","~?"),'DEF_SELF_SCOUT_IMPORT'!$H$42:$H$1040,"RUSH")/$C945)</f>
        <v>1.0</v>
      </c>
      <c r="H945" s="10">
        <f>IF($C945=0,"",COUNTIFS('DEF_SELF_SCOUT_IMPORT'!$L$42:$L$1040,"Y",'DEF_SELF_SCOUT_IMPORT'!$E$42:$E$1040,SUBSTITUTE(SUBSTITUTE(SUBSTITUTE($B945,"~","~~"),"*","~*"),"?","~?"),'DEF_SELF_SCOUT_IMPORT'!$Q$42:$Q$1040,SUBSTITUTE(SUBSTITUTE(SUBSTITUTE($M945,"~","~~"),"*","~*"),"?","~?"),'DEF_SELF_SCOUT_IMPORT'!$D$42:$D$1040,SUBSTITUTE(SUBSTITUTE(SUBSTITUTE($P945,"~","~~"),"*","~*"),"?","~?"),'DEF_SELF_SCOUT_IMPORT'!$H$42:$H$1040,"DROPBACK")/$C945)</f>
        <v>0.0</v>
      </c>
      <c r="I945" s="14" t="str">
        <f>IF(C945=0,"",IF(C945&lt;=2,"TRACK",IF(C945=3,"LOW",IF(C945&lt;=6,"MEDIUM","HIGH"))))</f>
        <v>TRACK</v>
      </c>
      <c r="J945" s="11">
        <f>IF(C945=0,"",ROUND(D945*70+(1-E945)*20+MAX(0,MIN(1,(10-F945)/10))*10,1))</f>
        <v>97.0</v>
      </c>
      <c r="K945" s="14" t="str">
        <f>IF(C945=0,"No Evidence",IF(C945&lt;=2,IF(E945&gt;0,"Explosive Alert","Track Only"),IF(C945=3,"Sample Watch",IF(E945&gt;=START_HERE!$B$31,"Explosive Alert",IF(J945&gt;=80,"Strong Candidate",IF(J945&gt;=65,"Good Candidate",IF(J945&gt;=50,"Mixed / Review","Problem Call")))))))</f>
        <v>Track Only</v>
      </c>
      <c r="L945" s="9" t="str">
        <f>IF(COUNTIFS('DEF_SELF_SCOUT_IMPORT'!$L$42:$L$1040,"Y",'DEF_SELF_SCOUT_IMPORT'!$E$42:$E$1040,SUBSTITUTE(SUBSTITUTE(SUBSTITUTE($B945,"~","~~"),"*","~*"),"?","~?"),'DEF_SELF_SCOUT_IMPORT'!$Q$42:$Q$1040,SUBSTITUTE(SUBSTITUTE(SUBSTITUTE($M945,"~","~~"),"*","~*"),"?","~?"),'DEF_SELF_SCOUT_IMPORT'!$D$42:$D$1040,SUBSTITUTE(SUBSTITUTE(SUBSTITUTE($P945,"~","~~"),"*","~*"),"?","~?"),'DEF_SELF_SCOUT_IMPORT'!$J$42:$J$1040,"")&gt;0,"Unscored clean outcome; review result tags before using score.",IF(C945=0,"No matching defensive reps; film confirmation needed.",IF(K945="Explosive Alert","Explosive risk; review clips before using as answer.",IF(C945&lt;=2,"Track only; not enough sample.",IF(C945=3,IF(E945&gt;0,"Sample watch with explosive exposure; review clips and build the sample.",IF(J945&gt;=65,"Good signal, but sample is limited.","Sample watch; review clips and build the sample.")),IF(K945="Problem Call","Problem area; practice or call-sheet review.",IF(K945="Strong Candidate","Strong call-fit candidate; confirm on film.",IF(K945="Good Candidate","Good call-fit signal; confirm on film.","Mixed signal; review fit and execution on film."))))))))</f>
        <v>Track only; not enough sample.</v>
      </c>
      <c r="M945" s="8" t="s">
        <v>85</v>
      </c>
      <c r="N945" s="8"/>
      <c r="O945" s="8"/>
      <c r="P945" s="8" t="s">
        <v>428</v>
      </c>
      <c r="Q945" s="8"/>
      <c r="R945" s="8" t="s">
        <v>429</v>
      </c>
      <c r="S945" s="2" t="s">
        <v>535</v>
      </c>
      <c r="T945" s="2">
        <f>IF(C945=0,0,IF(C945&gt;=CALL_LOOKUP_BOARD!$B$7,IF(OR(K945="Problem Call",K945="Explosive Alert"),10000000,20000000),0)+IF(C945&gt;=CALL_LOOKUP_BOARD!$B$7,J945*1000+MIN(C945,999),C945*1000+J945)+0.00986500)</f>
        <v>1097.009865</v>
      </c>
      <c r="U945" s="2">
        <f>IF(C945=0,"",IF(COUNTIFS($S$811:$S$1055,SUBSTITUTE(SUBSTITUTE(SUBSTITUTE(S945,"~","~~"),"*","~*"),"?","~?"),$T$811:$T$1055,"&gt;"&amp;T945)=0,S945,""))</f>
        <v/>
      </c>
    </row>
    <row r="946" spans="1:21" ht="38" customHeight="1">
      <c r="A946" s="8" t="s">
        <v>534</v>
      </c>
      <c r="B946" s="8" t="s">
        <v>61</v>
      </c>
      <c r="C946" s="12">
        <f>COUNTIFS('DEF_SELF_SCOUT_IMPORT'!$L$42:$L$1040,"Y",'DEF_SELF_SCOUT_IMPORT'!$E$42:$E$1040,SUBSTITUTE(SUBSTITUTE(SUBSTITUTE($B946,"~","~~"),"*","~*"),"?","~?"),'DEF_SELF_SCOUT_IMPORT'!$Q$42:$Q$1040,SUBSTITUTE(SUBSTITUTE(SUBSTITUTE($M946,"~","~~"),"*","~*"),"?","~?"),'DEF_SELF_SCOUT_IMPORT'!$D$42:$D$1040,SUBSTITUTE(SUBSTITUTE(SUBSTITUTE($P946,"~","~~"),"*","~*"),"?","~?"))</f>
        <v>1</v>
      </c>
      <c r="D946" s="10">
        <f>IF($C946=0,"",SUMIFS('DEF_SELF_SCOUT_IMPORT'!$J$42:$J$1040,'DEF_SELF_SCOUT_IMPORT'!$L$42:$L$1040,"Y",'DEF_SELF_SCOUT_IMPORT'!$E$42:$E$1040,SUBSTITUTE(SUBSTITUTE(SUBSTITUTE($B946,"~","~~"),"*","~*"),"?","~?"),'DEF_SELF_SCOUT_IMPORT'!$Q$42:$Q$1040,SUBSTITUTE(SUBSTITUTE(SUBSTITUTE($M946,"~","~~"),"*","~*"),"?","~?"),'DEF_SELF_SCOUT_IMPORT'!$D$42:$D$1040,SUBSTITUTE(SUBSTITUTE(SUBSTITUTE($P946,"~","~~"),"*","~*"),"?","~?"))/$C946)</f>
        <v>0.0</v>
      </c>
      <c r="E946" s="10">
        <f>IF($C946=0,"",SUMIFS('DEF_SELF_SCOUT_IMPORT'!$K$42:$K$1040,'DEF_SELF_SCOUT_IMPORT'!$L$42:$L$1040,"Y",'DEF_SELF_SCOUT_IMPORT'!$E$42:$E$1040,SUBSTITUTE(SUBSTITUTE(SUBSTITUTE($B946,"~","~~"),"*","~*"),"?","~?"),'DEF_SELF_SCOUT_IMPORT'!$Q$42:$Q$1040,SUBSTITUTE(SUBSTITUTE(SUBSTITUTE($M946,"~","~~"),"*","~*"),"?","~?"),'DEF_SELF_SCOUT_IMPORT'!$D$42:$D$1040,SUBSTITUTE(SUBSTITUTE(SUBSTITUTE($P946,"~","~~"),"*","~*"),"?","~?"))/$C946)</f>
        <v>0.0</v>
      </c>
      <c r="F946" s="11">
        <f>IF($C946=0,"",AVERAGEIFS('DEF_SELF_SCOUT_IMPORT'!$I$42:$I$1040,'DEF_SELF_SCOUT_IMPORT'!$L$42:$L$1040,"Y",'DEF_SELF_SCOUT_IMPORT'!$E$42:$E$1040,SUBSTITUTE(SUBSTITUTE(SUBSTITUTE($B946,"~","~~"),"*","~*"),"?","~?"),'DEF_SELF_SCOUT_IMPORT'!$Q$42:$Q$1040,SUBSTITUTE(SUBSTITUTE(SUBSTITUTE($M946,"~","~~"),"*","~*"),"?","~?"),'DEF_SELF_SCOUT_IMPORT'!$D$42:$D$1040,SUBSTITUTE(SUBSTITUTE(SUBSTITUTE($P946,"~","~~"),"*","~*"),"?","~?")))</f>
        <v>4.0</v>
      </c>
      <c r="G946" s="10">
        <f>IF($C946=0,"",COUNTIFS('DEF_SELF_SCOUT_IMPORT'!$L$42:$L$1040,"Y",'DEF_SELF_SCOUT_IMPORT'!$E$42:$E$1040,SUBSTITUTE(SUBSTITUTE(SUBSTITUTE($B946,"~","~~"),"*","~*"),"?","~?"),'DEF_SELF_SCOUT_IMPORT'!$Q$42:$Q$1040,SUBSTITUTE(SUBSTITUTE(SUBSTITUTE($M946,"~","~~"),"*","~*"),"?","~?"),'DEF_SELF_SCOUT_IMPORT'!$D$42:$D$1040,SUBSTITUTE(SUBSTITUTE(SUBSTITUTE($P946,"~","~~"),"*","~*"),"?","~?"),'DEF_SELF_SCOUT_IMPORT'!$H$42:$H$1040,"RUSH")/$C946)</f>
        <v>1.0</v>
      </c>
      <c r="H946" s="10">
        <f>IF($C946=0,"",COUNTIFS('DEF_SELF_SCOUT_IMPORT'!$L$42:$L$1040,"Y",'DEF_SELF_SCOUT_IMPORT'!$E$42:$E$1040,SUBSTITUTE(SUBSTITUTE(SUBSTITUTE($B946,"~","~~"),"*","~*"),"?","~?"),'DEF_SELF_SCOUT_IMPORT'!$Q$42:$Q$1040,SUBSTITUTE(SUBSTITUTE(SUBSTITUTE($M946,"~","~~"),"*","~*"),"?","~?"),'DEF_SELF_SCOUT_IMPORT'!$D$42:$D$1040,SUBSTITUTE(SUBSTITUTE(SUBSTITUTE($P946,"~","~~"),"*","~*"),"?","~?"),'DEF_SELF_SCOUT_IMPORT'!$H$42:$H$1040,"DROPBACK")/$C946)</f>
        <v>0.0</v>
      </c>
      <c r="I946" s="14" t="str">
        <f>IF(C946=0,"",IF(C946&lt;=2,"TRACK",IF(C946=3,"LOW",IF(C946&lt;=6,"MEDIUM","HIGH"))))</f>
        <v>TRACK</v>
      </c>
      <c r="J946" s="11">
        <f>IF(C946=0,"",ROUND(D946*70+(1-E946)*20+MAX(0,MIN(1,(10-F946)/10))*10,1))</f>
        <v>26.0</v>
      </c>
      <c r="K946" s="14" t="str">
        <f>IF(C946=0,"No Evidence",IF(C946&lt;=2,IF(E946&gt;0,"Explosive Alert","Track Only"),IF(C946=3,"Sample Watch",IF(E946&gt;=START_HERE!$B$31,"Explosive Alert",IF(J946&gt;=80,"Strong Candidate",IF(J946&gt;=65,"Good Candidate",IF(J946&gt;=50,"Mixed / Review","Problem Call")))))))</f>
        <v>Track Only</v>
      </c>
      <c r="L946" s="9" t="str">
        <f>IF(COUNTIFS('DEF_SELF_SCOUT_IMPORT'!$L$42:$L$1040,"Y",'DEF_SELF_SCOUT_IMPORT'!$E$42:$E$1040,SUBSTITUTE(SUBSTITUTE(SUBSTITUTE($B946,"~","~~"),"*","~*"),"?","~?"),'DEF_SELF_SCOUT_IMPORT'!$Q$42:$Q$1040,SUBSTITUTE(SUBSTITUTE(SUBSTITUTE($M946,"~","~~"),"*","~*"),"?","~?"),'DEF_SELF_SCOUT_IMPORT'!$D$42:$D$1040,SUBSTITUTE(SUBSTITUTE(SUBSTITUTE($P946,"~","~~"),"*","~*"),"?","~?"),'DEF_SELF_SCOUT_IMPORT'!$J$42:$J$1040,"")&gt;0,"Unscored clean outcome; review result tags before using score.",IF(C946=0,"No matching defensive reps; film confirmation needed.",IF(K946="Explosive Alert","Explosive risk; review clips before using as answer.",IF(C946&lt;=2,"Track only; not enough sample.",IF(C946=3,IF(E946&gt;0,"Sample watch with explosive exposure; review clips and build the sample.",IF(J946&gt;=65,"Good signal, but sample is limited.","Sample watch; review clips and build the sample.")),IF(K946="Problem Call","Problem area; practice or call-sheet review.",IF(K946="Strong Candidate","Strong call-fit candidate; confirm on film.",IF(K946="Good Candidate","Good call-fit signal; confirm on film.","Mixed signal; review fit and execution on film."))))))))</f>
        <v>Track only; not enough sample.</v>
      </c>
      <c r="M946" s="8" t="s">
        <v>85</v>
      </c>
      <c r="N946" s="8"/>
      <c r="O946" s="8"/>
      <c r="P946" s="8" t="s">
        <v>428</v>
      </c>
      <c r="Q946" s="8"/>
      <c r="R946" s="8" t="s">
        <v>429</v>
      </c>
      <c r="S946" s="2" t="s">
        <v>535</v>
      </c>
      <c r="T946" s="2">
        <f>IF(C946=0,0,IF(C946&gt;=CALL_LOOKUP_BOARD!$B$7,IF(OR(K946="Problem Call",K946="Explosive Alert"),10000000,20000000),0)+IF(C946&gt;=CALL_LOOKUP_BOARD!$B$7,J946*1000+MIN(C946,999),C946*1000+J946)+0.00986400)</f>
        <v>1026.009864</v>
      </c>
      <c r="U946" s="2">
        <f>IF(C946=0,"",IF(COUNTIFS($S$811:$S$1055,SUBSTITUTE(SUBSTITUTE(SUBSTITUTE(S946,"~","~~"),"*","~*"),"?","~?"),$T$811:$T$1055,"&gt;"&amp;T946)=0,S946,""))</f>
        <v/>
      </c>
    </row>
    <row r="947" spans="1:21" ht="38" customHeight="1">
      <c r="A947" s="8" t="s">
        <v>534</v>
      </c>
      <c r="B947" s="8" t="s">
        <v>65</v>
      </c>
      <c r="C947" s="12">
        <f>COUNTIFS('DEF_SELF_SCOUT_IMPORT'!$L$42:$L$1040,"Y",'DEF_SELF_SCOUT_IMPORT'!$E$42:$E$1040,SUBSTITUTE(SUBSTITUTE(SUBSTITUTE($B947,"~","~~"),"*","~*"),"?","~?"),'DEF_SELF_SCOUT_IMPORT'!$Q$42:$Q$1040,SUBSTITUTE(SUBSTITUTE(SUBSTITUTE($M947,"~","~~"),"*","~*"),"?","~?"),'DEF_SELF_SCOUT_IMPORT'!$D$42:$D$1040,SUBSTITUTE(SUBSTITUTE(SUBSTITUTE($P947,"~","~~"),"*","~*"),"?","~?"))</f>
        <v>2</v>
      </c>
      <c r="D947" s="10">
        <f>IF($C947=0,"",SUMIFS('DEF_SELF_SCOUT_IMPORT'!$J$42:$J$1040,'DEF_SELF_SCOUT_IMPORT'!$L$42:$L$1040,"Y",'DEF_SELF_SCOUT_IMPORT'!$E$42:$E$1040,SUBSTITUTE(SUBSTITUTE(SUBSTITUTE($B947,"~","~~"),"*","~*"),"?","~?"),'DEF_SELF_SCOUT_IMPORT'!$Q$42:$Q$1040,SUBSTITUTE(SUBSTITUTE(SUBSTITUTE($M947,"~","~~"),"*","~*"),"?","~?"),'DEF_SELF_SCOUT_IMPORT'!$D$42:$D$1040,SUBSTITUTE(SUBSTITUTE(SUBSTITUTE($P947,"~","~~"),"*","~*"),"?","~?"))/$C947)</f>
        <v>0.5</v>
      </c>
      <c r="E947" s="10">
        <f>IF($C947=0,"",SUMIFS('DEF_SELF_SCOUT_IMPORT'!$K$42:$K$1040,'DEF_SELF_SCOUT_IMPORT'!$L$42:$L$1040,"Y",'DEF_SELF_SCOUT_IMPORT'!$E$42:$E$1040,SUBSTITUTE(SUBSTITUTE(SUBSTITUTE($B947,"~","~~"),"*","~*"),"?","~?"),'DEF_SELF_SCOUT_IMPORT'!$Q$42:$Q$1040,SUBSTITUTE(SUBSTITUTE(SUBSTITUTE($M947,"~","~~"),"*","~*"),"?","~?"),'DEF_SELF_SCOUT_IMPORT'!$D$42:$D$1040,SUBSTITUTE(SUBSTITUTE(SUBSTITUTE($P947,"~","~~"),"*","~*"),"?","~?"))/$C947)</f>
        <v>0.0</v>
      </c>
      <c r="F947" s="11">
        <f>IF($C947=0,"",AVERAGEIFS('DEF_SELF_SCOUT_IMPORT'!$I$42:$I$1040,'DEF_SELF_SCOUT_IMPORT'!$L$42:$L$1040,"Y",'DEF_SELF_SCOUT_IMPORT'!$E$42:$E$1040,SUBSTITUTE(SUBSTITUTE(SUBSTITUTE($B947,"~","~~"),"*","~*"),"?","~?"),'DEF_SELF_SCOUT_IMPORT'!$Q$42:$Q$1040,SUBSTITUTE(SUBSTITUTE(SUBSTITUTE($M947,"~","~~"),"*","~*"),"?","~?"),'DEF_SELF_SCOUT_IMPORT'!$D$42:$D$1040,SUBSTITUTE(SUBSTITUTE(SUBSTITUTE($P947,"~","~~"),"*","~*"),"?","~?")))</f>
        <v>2.0</v>
      </c>
      <c r="G947" s="10">
        <f>IF($C947=0,"",COUNTIFS('DEF_SELF_SCOUT_IMPORT'!$L$42:$L$1040,"Y",'DEF_SELF_SCOUT_IMPORT'!$E$42:$E$1040,SUBSTITUTE(SUBSTITUTE(SUBSTITUTE($B947,"~","~~"),"*","~*"),"?","~?"),'DEF_SELF_SCOUT_IMPORT'!$Q$42:$Q$1040,SUBSTITUTE(SUBSTITUTE(SUBSTITUTE($M947,"~","~~"),"*","~*"),"?","~?"),'DEF_SELF_SCOUT_IMPORT'!$D$42:$D$1040,SUBSTITUTE(SUBSTITUTE(SUBSTITUTE($P947,"~","~~"),"*","~*"),"?","~?"),'DEF_SELF_SCOUT_IMPORT'!$H$42:$H$1040,"RUSH")/$C947)</f>
        <v>1.0</v>
      </c>
      <c r="H947" s="10">
        <f>IF($C947=0,"",COUNTIFS('DEF_SELF_SCOUT_IMPORT'!$L$42:$L$1040,"Y",'DEF_SELF_SCOUT_IMPORT'!$E$42:$E$1040,SUBSTITUTE(SUBSTITUTE(SUBSTITUTE($B947,"~","~~"),"*","~*"),"?","~?"),'DEF_SELF_SCOUT_IMPORT'!$Q$42:$Q$1040,SUBSTITUTE(SUBSTITUTE(SUBSTITUTE($M947,"~","~~"),"*","~*"),"?","~?"),'DEF_SELF_SCOUT_IMPORT'!$D$42:$D$1040,SUBSTITUTE(SUBSTITUTE(SUBSTITUTE($P947,"~","~~"),"*","~*"),"?","~?"),'DEF_SELF_SCOUT_IMPORT'!$H$42:$H$1040,"DROPBACK")/$C947)</f>
        <v>0.0</v>
      </c>
      <c r="I947" s="14" t="str">
        <f>IF(C947=0,"",IF(C947&lt;=2,"TRACK",IF(C947=3,"LOW",IF(C947&lt;=6,"MEDIUM","HIGH"))))</f>
        <v>TRACK</v>
      </c>
      <c r="J947" s="11">
        <f>IF(C947=0,"",ROUND(D947*70+(1-E947)*20+MAX(0,MIN(1,(10-F947)/10))*10,1))</f>
        <v>63.0</v>
      </c>
      <c r="K947" s="14" t="str">
        <f>IF(C947=0,"No Evidence",IF(C947&lt;=2,IF(E947&gt;0,"Explosive Alert","Track Only"),IF(C947=3,"Sample Watch",IF(E947&gt;=START_HERE!$B$31,"Explosive Alert",IF(J947&gt;=80,"Strong Candidate",IF(J947&gt;=65,"Good Candidate",IF(J947&gt;=50,"Mixed / Review","Problem Call")))))))</f>
        <v>Track Only</v>
      </c>
      <c r="L947" s="9" t="str">
        <f>IF(COUNTIFS('DEF_SELF_SCOUT_IMPORT'!$L$42:$L$1040,"Y",'DEF_SELF_SCOUT_IMPORT'!$E$42:$E$1040,SUBSTITUTE(SUBSTITUTE(SUBSTITUTE($B947,"~","~~"),"*","~*"),"?","~?"),'DEF_SELF_SCOUT_IMPORT'!$Q$42:$Q$1040,SUBSTITUTE(SUBSTITUTE(SUBSTITUTE($M947,"~","~~"),"*","~*"),"?","~?"),'DEF_SELF_SCOUT_IMPORT'!$D$42:$D$1040,SUBSTITUTE(SUBSTITUTE(SUBSTITUTE($P947,"~","~~"),"*","~*"),"?","~?"),'DEF_SELF_SCOUT_IMPORT'!$J$42:$J$1040,"")&gt;0,"Unscored clean outcome; review result tags before using score.",IF(C947=0,"No matching defensive reps; film confirmation needed.",IF(K947="Explosive Alert","Explosive risk; review clips before using as answer.",IF(C947&lt;=2,"Track only; not enough sample.",IF(C947=3,IF(E947&gt;0,"Sample watch with explosive exposure; review clips and build the sample.",IF(J947&gt;=65,"Good signal, but sample is limited.","Sample watch; review clips and build the sample.")),IF(K947="Problem Call","Problem area; practice or call-sheet review.",IF(K947="Strong Candidate","Strong call-fit candidate; confirm on film.",IF(K947="Good Candidate","Good call-fit signal; confirm on film.","Mixed signal; review fit and execution on film."))))))))</f>
        <v>Track only; not enough sample.</v>
      </c>
      <c r="M947" s="8" t="s">
        <v>85</v>
      </c>
      <c r="N947" s="8"/>
      <c r="O947" s="8"/>
      <c r="P947" s="8" t="s">
        <v>428</v>
      </c>
      <c r="Q947" s="8"/>
      <c r="R947" s="8" t="s">
        <v>429</v>
      </c>
      <c r="S947" s="2" t="s">
        <v>535</v>
      </c>
      <c r="T947" s="2">
        <f>IF(C947=0,0,IF(C947&gt;=CALL_LOOKUP_BOARD!$B$7,IF(OR(K947="Problem Call",K947="Explosive Alert"),10000000,20000000),0)+IF(C947&gt;=CALL_LOOKUP_BOARD!$B$7,J947*1000+MIN(C947,999),C947*1000+J947)+0.00986300)</f>
        <v>2063.009863</v>
      </c>
      <c r="U947" s="2" t="str">
        <f>IF(C947=0,"",IF(COUNTIFS($S$811:$S$1055,SUBSTITUTE(SUBSTITUTE(SUBSTITUTE(S947,"~","~~"),"*","~*"),"?","~?"),$T$811:$T$1055,"&gt;"&amp;T947)=0,S947,""))</f>
        <v>7:2D 7-10|11:INSIDE ZONE|</v>
      </c>
    </row>
    <row r="948" spans="1:21" ht="38" customHeight="1">
      <c r="A948" s="8" t="s">
        <v>534</v>
      </c>
      <c r="B948" s="8" t="s">
        <v>66</v>
      </c>
      <c r="C948" s="12">
        <f>COUNTIFS('DEF_SELF_SCOUT_IMPORT'!$L$42:$L$1040,"Y",'DEF_SELF_SCOUT_IMPORT'!$E$42:$E$1040,SUBSTITUTE(SUBSTITUTE(SUBSTITUTE($B948,"~","~~"),"*","~*"),"?","~?"),'DEF_SELF_SCOUT_IMPORT'!$Q$42:$Q$1040,SUBSTITUTE(SUBSTITUTE(SUBSTITUTE($M948,"~","~~"),"*","~*"),"?","~?"),'DEF_SELF_SCOUT_IMPORT'!$D$42:$D$1040,SUBSTITUTE(SUBSTITUTE(SUBSTITUTE($P948,"~","~~"),"*","~*"),"?","~?"))</f>
        <v>1</v>
      </c>
      <c r="D948" s="10">
        <f>IF($C948=0,"",SUMIFS('DEF_SELF_SCOUT_IMPORT'!$J$42:$J$1040,'DEF_SELF_SCOUT_IMPORT'!$L$42:$L$1040,"Y",'DEF_SELF_SCOUT_IMPORT'!$E$42:$E$1040,SUBSTITUTE(SUBSTITUTE(SUBSTITUTE($B948,"~","~~"),"*","~*"),"?","~?"),'DEF_SELF_SCOUT_IMPORT'!$Q$42:$Q$1040,SUBSTITUTE(SUBSTITUTE(SUBSTITUTE($M948,"~","~~"),"*","~*"),"?","~?"),'DEF_SELF_SCOUT_IMPORT'!$D$42:$D$1040,SUBSTITUTE(SUBSTITUTE(SUBSTITUTE($P948,"~","~~"),"*","~*"),"?","~?"))/$C948)</f>
        <v>1.0</v>
      </c>
      <c r="E948" s="10">
        <f>IF($C948=0,"",SUMIFS('DEF_SELF_SCOUT_IMPORT'!$K$42:$K$1040,'DEF_SELF_SCOUT_IMPORT'!$L$42:$L$1040,"Y",'DEF_SELF_SCOUT_IMPORT'!$E$42:$E$1040,SUBSTITUTE(SUBSTITUTE(SUBSTITUTE($B948,"~","~~"),"*","~*"),"?","~?"),'DEF_SELF_SCOUT_IMPORT'!$Q$42:$Q$1040,SUBSTITUTE(SUBSTITUTE(SUBSTITUTE($M948,"~","~~"),"*","~*"),"?","~?"),'DEF_SELF_SCOUT_IMPORT'!$D$42:$D$1040,SUBSTITUTE(SUBSTITUTE(SUBSTITUTE($P948,"~","~~"),"*","~*"),"?","~?"))/$C948)</f>
        <v>0.0</v>
      </c>
      <c r="F948" s="11">
        <f>IF($C948=0,"",AVERAGEIFS('DEF_SELF_SCOUT_IMPORT'!$I$42:$I$1040,'DEF_SELF_SCOUT_IMPORT'!$L$42:$L$1040,"Y",'DEF_SELF_SCOUT_IMPORT'!$E$42:$E$1040,SUBSTITUTE(SUBSTITUTE(SUBSTITUTE($B948,"~","~~"),"*","~*"),"?","~?"),'DEF_SELF_SCOUT_IMPORT'!$Q$42:$Q$1040,SUBSTITUTE(SUBSTITUTE(SUBSTITUTE($M948,"~","~~"),"*","~*"),"?","~?"),'DEF_SELF_SCOUT_IMPORT'!$D$42:$D$1040,SUBSTITUTE(SUBSTITUTE(SUBSTITUTE($P948,"~","~~"),"*","~*"),"?","~?")))</f>
        <v>2.0</v>
      </c>
      <c r="G948" s="10">
        <f>IF($C948=0,"",COUNTIFS('DEF_SELF_SCOUT_IMPORT'!$L$42:$L$1040,"Y",'DEF_SELF_SCOUT_IMPORT'!$E$42:$E$1040,SUBSTITUTE(SUBSTITUTE(SUBSTITUTE($B948,"~","~~"),"*","~*"),"?","~?"),'DEF_SELF_SCOUT_IMPORT'!$Q$42:$Q$1040,SUBSTITUTE(SUBSTITUTE(SUBSTITUTE($M948,"~","~~"),"*","~*"),"?","~?"),'DEF_SELF_SCOUT_IMPORT'!$D$42:$D$1040,SUBSTITUTE(SUBSTITUTE(SUBSTITUTE($P948,"~","~~"),"*","~*"),"?","~?"),'DEF_SELF_SCOUT_IMPORT'!$H$42:$H$1040,"RUSH")/$C948)</f>
        <v>1.0</v>
      </c>
      <c r="H948" s="10">
        <f>IF($C948=0,"",COUNTIFS('DEF_SELF_SCOUT_IMPORT'!$L$42:$L$1040,"Y",'DEF_SELF_SCOUT_IMPORT'!$E$42:$E$1040,SUBSTITUTE(SUBSTITUTE(SUBSTITUTE($B948,"~","~~"),"*","~*"),"?","~?"),'DEF_SELF_SCOUT_IMPORT'!$Q$42:$Q$1040,SUBSTITUTE(SUBSTITUTE(SUBSTITUTE($M948,"~","~~"),"*","~*"),"?","~?"),'DEF_SELF_SCOUT_IMPORT'!$D$42:$D$1040,SUBSTITUTE(SUBSTITUTE(SUBSTITUTE($P948,"~","~~"),"*","~*"),"?","~?"),'DEF_SELF_SCOUT_IMPORT'!$H$42:$H$1040,"DROPBACK")/$C948)</f>
        <v>0.0</v>
      </c>
      <c r="I948" s="14" t="str">
        <f>IF(C948=0,"",IF(C948&lt;=2,"TRACK",IF(C948=3,"LOW",IF(C948&lt;=6,"MEDIUM","HIGH"))))</f>
        <v>TRACK</v>
      </c>
      <c r="J948" s="11">
        <f>IF(C948=0,"",ROUND(D948*70+(1-E948)*20+MAX(0,MIN(1,(10-F948)/10))*10,1))</f>
        <v>98.0</v>
      </c>
      <c r="K948" s="14" t="str">
        <f>IF(C948=0,"No Evidence",IF(C948&lt;=2,IF(E948&gt;0,"Explosive Alert","Track Only"),IF(C948=3,"Sample Watch",IF(E948&gt;=START_HERE!$B$31,"Explosive Alert",IF(J948&gt;=80,"Strong Candidate",IF(J948&gt;=65,"Good Candidate",IF(J948&gt;=50,"Mixed / Review","Problem Call")))))))</f>
        <v>Track Only</v>
      </c>
      <c r="L948" s="9" t="str">
        <f>IF(COUNTIFS('DEF_SELF_SCOUT_IMPORT'!$L$42:$L$1040,"Y",'DEF_SELF_SCOUT_IMPORT'!$E$42:$E$1040,SUBSTITUTE(SUBSTITUTE(SUBSTITUTE($B948,"~","~~"),"*","~*"),"?","~?"),'DEF_SELF_SCOUT_IMPORT'!$Q$42:$Q$1040,SUBSTITUTE(SUBSTITUTE(SUBSTITUTE($M948,"~","~~"),"*","~*"),"?","~?"),'DEF_SELF_SCOUT_IMPORT'!$D$42:$D$1040,SUBSTITUTE(SUBSTITUTE(SUBSTITUTE($P948,"~","~~"),"*","~*"),"?","~?"),'DEF_SELF_SCOUT_IMPORT'!$J$42:$J$1040,"")&gt;0,"Unscored clean outcome; review result tags before using score.",IF(C948=0,"No matching defensive reps; film confirmation needed.",IF(K948="Explosive Alert","Explosive risk; review clips before using as answer.",IF(C948&lt;=2,"Track only; not enough sample.",IF(C948=3,IF(E948&gt;0,"Sample watch with explosive exposure; review clips and build the sample.",IF(J948&gt;=65,"Good signal, but sample is limited.","Sample watch; review clips and build the sample.")),IF(K948="Problem Call","Problem area; practice or call-sheet review.",IF(K948="Strong Candidate","Strong call-fit candidate; confirm on film.",IF(K948="Good Candidate","Good call-fit signal; confirm on film.","Mixed signal; review fit and execution on film."))))))))</f>
        <v>Track only; not enough sample.</v>
      </c>
      <c r="M948" s="8" t="s">
        <v>85</v>
      </c>
      <c r="N948" s="8"/>
      <c r="O948" s="8"/>
      <c r="P948" s="8" t="s">
        <v>428</v>
      </c>
      <c r="Q948" s="8"/>
      <c r="R948" s="8" t="s">
        <v>429</v>
      </c>
      <c r="S948" s="2" t="s">
        <v>535</v>
      </c>
      <c r="T948" s="2">
        <f>IF(C948=0,0,IF(C948&gt;=CALL_LOOKUP_BOARD!$B$7,IF(OR(K948="Problem Call",K948="Explosive Alert"),10000000,20000000),0)+IF(C948&gt;=CALL_LOOKUP_BOARD!$B$7,J948*1000+MIN(C948,999),C948*1000+J948)+0.00986200)</f>
        <v>1098.009862</v>
      </c>
      <c r="U948" s="2">
        <f>IF(C948=0,"",IF(COUNTIFS($S$811:$S$1055,SUBSTITUTE(SUBSTITUTE(SUBSTITUTE(S948,"~","~~"),"*","~*"),"?","~?"),$T$811:$T$1055,"&gt;"&amp;T948)=0,S948,""))</f>
        <v/>
      </c>
    </row>
    <row r="949" spans="1:21" ht="38" customHeight="1">
      <c r="A949" s="8" t="s">
        <v>534</v>
      </c>
      <c r="B949" s="8" t="s">
        <v>69</v>
      </c>
      <c r="C949" s="12">
        <f>COUNTIFS('DEF_SELF_SCOUT_IMPORT'!$L$42:$L$1040,"Y",'DEF_SELF_SCOUT_IMPORT'!$E$42:$E$1040,SUBSTITUTE(SUBSTITUTE(SUBSTITUTE($B949,"~","~~"),"*","~*"),"?","~?"),'DEF_SELF_SCOUT_IMPORT'!$Q$42:$Q$1040,SUBSTITUTE(SUBSTITUTE(SUBSTITUTE($M949,"~","~~"),"*","~*"),"?","~?"),'DEF_SELF_SCOUT_IMPORT'!$D$42:$D$1040,SUBSTITUTE(SUBSTITUTE(SUBSTITUTE($P949,"~","~~"),"*","~*"),"?","~?"))</f>
        <v>1</v>
      </c>
      <c r="D949" s="10">
        <f>IF($C949=0,"",SUMIFS('DEF_SELF_SCOUT_IMPORT'!$J$42:$J$1040,'DEF_SELF_SCOUT_IMPORT'!$L$42:$L$1040,"Y",'DEF_SELF_SCOUT_IMPORT'!$E$42:$E$1040,SUBSTITUTE(SUBSTITUTE(SUBSTITUTE($B949,"~","~~"),"*","~*"),"?","~?"),'DEF_SELF_SCOUT_IMPORT'!$Q$42:$Q$1040,SUBSTITUTE(SUBSTITUTE(SUBSTITUTE($M949,"~","~~"),"*","~*"),"?","~?"),'DEF_SELF_SCOUT_IMPORT'!$D$42:$D$1040,SUBSTITUTE(SUBSTITUTE(SUBSTITUTE($P949,"~","~~"),"*","~*"),"?","~?"))/$C949)</f>
        <v>1.0</v>
      </c>
      <c r="E949" s="10">
        <f>IF($C949=0,"",SUMIFS('DEF_SELF_SCOUT_IMPORT'!$K$42:$K$1040,'DEF_SELF_SCOUT_IMPORT'!$L$42:$L$1040,"Y",'DEF_SELF_SCOUT_IMPORT'!$E$42:$E$1040,SUBSTITUTE(SUBSTITUTE(SUBSTITUTE($B949,"~","~~"),"*","~*"),"?","~?"),'DEF_SELF_SCOUT_IMPORT'!$Q$42:$Q$1040,SUBSTITUTE(SUBSTITUTE(SUBSTITUTE($M949,"~","~~"),"*","~*"),"?","~?"),'DEF_SELF_SCOUT_IMPORT'!$D$42:$D$1040,SUBSTITUTE(SUBSTITUTE(SUBSTITUTE($P949,"~","~~"),"*","~*"),"?","~?"))/$C949)</f>
        <v>0.0</v>
      </c>
      <c r="F949" s="11">
        <f>IF($C949=0,"",AVERAGEIFS('DEF_SELF_SCOUT_IMPORT'!$I$42:$I$1040,'DEF_SELF_SCOUT_IMPORT'!$L$42:$L$1040,"Y",'DEF_SELF_SCOUT_IMPORT'!$E$42:$E$1040,SUBSTITUTE(SUBSTITUTE(SUBSTITUTE($B949,"~","~~"),"*","~*"),"?","~?"),'DEF_SELF_SCOUT_IMPORT'!$Q$42:$Q$1040,SUBSTITUTE(SUBSTITUTE(SUBSTITUTE($M949,"~","~~"),"*","~*"),"?","~?"),'DEF_SELF_SCOUT_IMPORT'!$D$42:$D$1040,SUBSTITUTE(SUBSTITUTE(SUBSTITUTE($P949,"~","~~"),"*","~*"),"?","~?")))</f>
        <v>0.0</v>
      </c>
      <c r="G949" s="10">
        <f>IF($C949=0,"",COUNTIFS('DEF_SELF_SCOUT_IMPORT'!$L$42:$L$1040,"Y",'DEF_SELF_SCOUT_IMPORT'!$E$42:$E$1040,SUBSTITUTE(SUBSTITUTE(SUBSTITUTE($B949,"~","~~"),"*","~*"),"?","~?"),'DEF_SELF_SCOUT_IMPORT'!$Q$42:$Q$1040,SUBSTITUTE(SUBSTITUTE(SUBSTITUTE($M949,"~","~~"),"*","~*"),"?","~?"),'DEF_SELF_SCOUT_IMPORT'!$D$42:$D$1040,SUBSTITUTE(SUBSTITUTE(SUBSTITUTE($P949,"~","~~"),"*","~*"),"?","~?"),'DEF_SELF_SCOUT_IMPORT'!$H$42:$H$1040,"RUSH")/$C949)</f>
        <v>1.0</v>
      </c>
      <c r="H949" s="10">
        <f>IF($C949=0,"",COUNTIFS('DEF_SELF_SCOUT_IMPORT'!$L$42:$L$1040,"Y",'DEF_SELF_SCOUT_IMPORT'!$E$42:$E$1040,SUBSTITUTE(SUBSTITUTE(SUBSTITUTE($B949,"~","~~"),"*","~*"),"?","~?"),'DEF_SELF_SCOUT_IMPORT'!$Q$42:$Q$1040,SUBSTITUTE(SUBSTITUTE(SUBSTITUTE($M949,"~","~~"),"*","~*"),"?","~?"),'DEF_SELF_SCOUT_IMPORT'!$D$42:$D$1040,SUBSTITUTE(SUBSTITUTE(SUBSTITUTE($P949,"~","~~"),"*","~*"),"?","~?"),'DEF_SELF_SCOUT_IMPORT'!$H$42:$H$1040,"DROPBACK")/$C949)</f>
        <v>0.0</v>
      </c>
      <c r="I949" s="14" t="str">
        <f>IF(C949=0,"",IF(C949&lt;=2,"TRACK",IF(C949=3,"LOW",IF(C949&lt;=6,"MEDIUM","HIGH"))))</f>
        <v>TRACK</v>
      </c>
      <c r="J949" s="11">
        <f>IF(C949=0,"",ROUND(D949*70+(1-E949)*20+MAX(0,MIN(1,(10-F949)/10))*10,1))</f>
        <v>100.0</v>
      </c>
      <c r="K949" s="14" t="str">
        <f>IF(C949=0,"No Evidence",IF(C949&lt;=2,IF(E949&gt;0,"Explosive Alert","Track Only"),IF(C949=3,"Sample Watch",IF(E949&gt;=START_HERE!$B$31,"Explosive Alert",IF(J949&gt;=80,"Strong Candidate",IF(J949&gt;=65,"Good Candidate",IF(J949&gt;=50,"Mixed / Review","Problem Call")))))))</f>
        <v>Track Only</v>
      </c>
      <c r="L949" s="9" t="str">
        <f>IF(COUNTIFS('DEF_SELF_SCOUT_IMPORT'!$L$42:$L$1040,"Y",'DEF_SELF_SCOUT_IMPORT'!$E$42:$E$1040,SUBSTITUTE(SUBSTITUTE(SUBSTITUTE($B949,"~","~~"),"*","~*"),"?","~?"),'DEF_SELF_SCOUT_IMPORT'!$Q$42:$Q$1040,SUBSTITUTE(SUBSTITUTE(SUBSTITUTE($M949,"~","~~"),"*","~*"),"?","~?"),'DEF_SELF_SCOUT_IMPORT'!$D$42:$D$1040,SUBSTITUTE(SUBSTITUTE(SUBSTITUTE($P949,"~","~~"),"*","~*"),"?","~?"),'DEF_SELF_SCOUT_IMPORT'!$J$42:$J$1040,"")&gt;0,"Unscored clean outcome; review result tags before using score.",IF(C949=0,"No matching defensive reps; film confirmation needed.",IF(K949="Explosive Alert","Explosive risk; review clips before using as answer.",IF(C949&lt;=2,"Track only; not enough sample.",IF(C949=3,IF(E949&gt;0,"Sample watch with explosive exposure; review clips and build the sample.",IF(J949&gt;=65,"Good signal, but sample is limited.","Sample watch; review clips and build the sample.")),IF(K949="Problem Call","Problem area; practice or call-sheet review.",IF(K949="Strong Candidate","Strong call-fit candidate; confirm on film.",IF(K949="Good Candidate","Good call-fit signal; confirm on film.","Mixed signal; review fit and execution on film."))))))))</f>
        <v>Track only; not enough sample.</v>
      </c>
      <c r="M949" s="8" t="s">
        <v>85</v>
      </c>
      <c r="N949" s="8"/>
      <c r="O949" s="8"/>
      <c r="P949" s="8" t="s">
        <v>428</v>
      </c>
      <c r="Q949" s="8"/>
      <c r="R949" s="8" t="s">
        <v>429</v>
      </c>
      <c r="S949" s="2" t="s">
        <v>535</v>
      </c>
      <c r="T949" s="2">
        <f>IF(C949=0,0,IF(C949&gt;=CALL_LOOKUP_BOARD!$B$7,IF(OR(K949="Problem Call",K949="Explosive Alert"),10000000,20000000),0)+IF(C949&gt;=CALL_LOOKUP_BOARD!$B$7,J949*1000+MIN(C949,999),C949*1000+J949)+0.00986100)</f>
        <v>1100.009861</v>
      </c>
      <c r="U949" s="2">
        <f>IF(C949=0,"",IF(COUNTIFS($S$811:$S$1055,SUBSTITUTE(SUBSTITUTE(SUBSTITUTE(S949,"~","~~"),"*","~*"),"?","~?"),$T$811:$T$1055,"&gt;"&amp;T949)=0,S949,""))</f>
        <v/>
      </c>
    </row>
    <row r="950" spans="1:21" ht="38" customHeight="1">
      <c r="A950" s="8" t="s">
        <v>534</v>
      </c>
      <c r="B950" s="8" t="s">
        <v>91</v>
      </c>
      <c r="C950" s="12">
        <f>COUNTIFS('DEF_SELF_SCOUT_IMPORT'!$L$42:$L$1040,"Y",'DEF_SELF_SCOUT_IMPORT'!$E$42:$E$1040,SUBSTITUTE(SUBSTITUTE(SUBSTITUTE($B950,"~","~~"),"*","~*"),"?","~?"),'DEF_SELF_SCOUT_IMPORT'!$Q$42:$Q$1040,SUBSTITUTE(SUBSTITUTE(SUBSTITUTE($M950,"~","~~"),"*","~*"),"?","~?"),'DEF_SELF_SCOUT_IMPORT'!$D$42:$D$1040,SUBSTITUTE(SUBSTITUTE(SUBSTITUTE($P950,"~","~~"),"*","~*"),"?","~?"))</f>
        <v>1</v>
      </c>
      <c r="D950" s="10">
        <f>IF($C950=0,"",SUMIFS('DEF_SELF_SCOUT_IMPORT'!$J$42:$J$1040,'DEF_SELF_SCOUT_IMPORT'!$L$42:$L$1040,"Y",'DEF_SELF_SCOUT_IMPORT'!$E$42:$E$1040,SUBSTITUTE(SUBSTITUTE(SUBSTITUTE($B950,"~","~~"),"*","~*"),"?","~?"),'DEF_SELF_SCOUT_IMPORT'!$Q$42:$Q$1040,SUBSTITUTE(SUBSTITUTE(SUBSTITUTE($M950,"~","~~"),"*","~*"),"?","~?"),'DEF_SELF_SCOUT_IMPORT'!$D$42:$D$1040,SUBSTITUTE(SUBSTITUTE(SUBSTITUTE($P950,"~","~~"),"*","~*"),"?","~?"))/$C950)</f>
        <v>0.0</v>
      </c>
      <c r="E950" s="10">
        <f>IF($C950=0,"",SUMIFS('DEF_SELF_SCOUT_IMPORT'!$K$42:$K$1040,'DEF_SELF_SCOUT_IMPORT'!$L$42:$L$1040,"Y",'DEF_SELF_SCOUT_IMPORT'!$E$42:$E$1040,SUBSTITUTE(SUBSTITUTE(SUBSTITUTE($B950,"~","~~"),"*","~*"),"?","~?"),'DEF_SELF_SCOUT_IMPORT'!$Q$42:$Q$1040,SUBSTITUTE(SUBSTITUTE(SUBSTITUTE($M950,"~","~~"),"*","~*"),"?","~?"),'DEF_SELF_SCOUT_IMPORT'!$D$42:$D$1040,SUBSTITUTE(SUBSTITUTE(SUBSTITUTE($P950,"~","~~"),"*","~*"),"?","~?"))/$C950)</f>
        <v>0.0</v>
      </c>
      <c r="F950" s="11">
        <f>IF($C950=0,"",AVERAGEIFS('DEF_SELF_SCOUT_IMPORT'!$I$42:$I$1040,'DEF_SELF_SCOUT_IMPORT'!$L$42:$L$1040,"Y",'DEF_SELF_SCOUT_IMPORT'!$E$42:$E$1040,SUBSTITUTE(SUBSTITUTE(SUBSTITUTE($B950,"~","~~"),"*","~*"),"?","~?"),'DEF_SELF_SCOUT_IMPORT'!$Q$42:$Q$1040,SUBSTITUTE(SUBSTITUTE(SUBSTITUTE($M950,"~","~~"),"*","~*"),"?","~?"),'DEF_SELF_SCOUT_IMPORT'!$D$42:$D$1040,SUBSTITUTE(SUBSTITUTE(SUBSTITUTE($P950,"~","~~"),"*","~*"),"?","~?")))</f>
        <v>4.0</v>
      </c>
      <c r="G950" s="10">
        <f>IF($C950=0,"",COUNTIFS('DEF_SELF_SCOUT_IMPORT'!$L$42:$L$1040,"Y",'DEF_SELF_SCOUT_IMPORT'!$E$42:$E$1040,SUBSTITUTE(SUBSTITUTE(SUBSTITUTE($B950,"~","~~"),"*","~*"),"?","~?"),'DEF_SELF_SCOUT_IMPORT'!$Q$42:$Q$1040,SUBSTITUTE(SUBSTITUTE(SUBSTITUTE($M950,"~","~~"),"*","~*"),"?","~?"),'DEF_SELF_SCOUT_IMPORT'!$D$42:$D$1040,SUBSTITUTE(SUBSTITUTE(SUBSTITUTE($P950,"~","~~"),"*","~*"),"?","~?"),'DEF_SELF_SCOUT_IMPORT'!$H$42:$H$1040,"RUSH")/$C950)</f>
        <v>1.0</v>
      </c>
      <c r="H950" s="10">
        <f>IF($C950=0,"",COUNTIFS('DEF_SELF_SCOUT_IMPORT'!$L$42:$L$1040,"Y",'DEF_SELF_SCOUT_IMPORT'!$E$42:$E$1040,SUBSTITUTE(SUBSTITUTE(SUBSTITUTE($B950,"~","~~"),"*","~*"),"?","~?"),'DEF_SELF_SCOUT_IMPORT'!$Q$42:$Q$1040,SUBSTITUTE(SUBSTITUTE(SUBSTITUTE($M950,"~","~~"),"*","~*"),"?","~?"),'DEF_SELF_SCOUT_IMPORT'!$D$42:$D$1040,SUBSTITUTE(SUBSTITUTE(SUBSTITUTE($P950,"~","~~"),"*","~*"),"?","~?"),'DEF_SELF_SCOUT_IMPORT'!$H$42:$H$1040,"DROPBACK")/$C950)</f>
        <v>0.0</v>
      </c>
      <c r="I950" s="14" t="str">
        <f>IF(C950=0,"",IF(C950&lt;=2,"TRACK",IF(C950=3,"LOW",IF(C950&lt;=6,"MEDIUM","HIGH"))))</f>
        <v>TRACK</v>
      </c>
      <c r="J950" s="11">
        <f>IF(C950=0,"",ROUND(D950*70+(1-E950)*20+MAX(0,MIN(1,(10-F950)/10))*10,1))</f>
        <v>26.0</v>
      </c>
      <c r="K950" s="14" t="str">
        <f>IF(C950=0,"No Evidence",IF(C950&lt;=2,IF(E950&gt;0,"Explosive Alert","Track Only"),IF(C950=3,"Sample Watch",IF(E950&gt;=START_HERE!$B$31,"Explosive Alert",IF(J950&gt;=80,"Strong Candidate",IF(J950&gt;=65,"Good Candidate",IF(J950&gt;=50,"Mixed / Review","Problem Call")))))))</f>
        <v>Track Only</v>
      </c>
      <c r="L950" s="9" t="str">
        <f>IF(COUNTIFS('DEF_SELF_SCOUT_IMPORT'!$L$42:$L$1040,"Y",'DEF_SELF_SCOUT_IMPORT'!$E$42:$E$1040,SUBSTITUTE(SUBSTITUTE(SUBSTITUTE($B950,"~","~~"),"*","~*"),"?","~?"),'DEF_SELF_SCOUT_IMPORT'!$Q$42:$Q$1040,SUBSTITUTE(SUBSTITUTE(SUBSTITUTE($M950,"~","~~"),"*","~*"),"?","~?"),'DEF_SELF_SCOUT_IMPORT'!$D$42:$D$1040,SUBSTITUTE(SUBSTITUTE(SUBSTITUTE($P950,"~","~~"),"*","~*"),"?","~?"),'DEF_SELF_SCOUT_IMPORT'!$J$42:$J$1040,"")&gt;0,"Unscored clean outcome; review result tags before using score.",IF(C950=0,"No matching defensive reps; film confirmation needed.",IF(K950="Explosive Alert","Explosive risk; review clips before using as answer.",IF(C950&lt;=2,"Track only; not enough sample.",IF(C950=3,IF(E950&gt;0,"Sample watch with explosive exposure; review clips and build the sample.",IF(J950&gt;=65,"Good signal, but sample is limited.","Sample watch; review clips and build the sample.")),IF(K950="Problem Call","Problem area; practice or call-sheet review.",IF(K950="Strong Candidate","Strong call-fit candidate; confirm on film.",IF(K950="Good Candidate","Good call-fit signal; confirm on film.","Mixed signal; review fit and execution on film."))))))))</f>
        <v>Track only; not enough sample.</v>
      </c>
      <c r="M950" s="8" t="s">
        <v>85</v>
      </c>
      <c r="N950" s="8"/>
      <c r="O950" s="8"/>
      <c r="P950" s="8" t="s">
        <v>428</v>
      </c>
      <c r="Q950" s="8"/>
      <c r="R950" s="8" t="s">
        <v>429</v>
      </c>
      <c r="S950" s="2" t="s">
        <v>535</v>
      </c>
      <c r="T950" s="2">
        <f>IF(C950=0,0,IF(C950&gt;=CALL_LOOKUP_BOARD!$B$7,IF(OR(K950="Problem Call",K950="Explosive Alert"),10000000,20000000),0)+IF(C950&gt;=CALL_LOOKUP_BOARD!$B$7,J950*1000+MIN(C950,999),C950*1000+J950)+0.00986000)</f>
        <v>1026.00986</v>
      </c>
      <c r="U950" s="2">
        <f>IF(C950=0,"",IF(COUNTIFS($S$811:$S$1055,SUBSTITUTE(SUBSTITUTE(SUBSTITUTE(S950,"~","~~"),"*","~*"),"?","~?"),$T$811:$T$1055,"&gt;"&amp;T950)=0,S950,""))</f>
        <v/>
      </c>
    </row>
    <row r="951" spans="1:21" ht="38" customHeight="1">
      <c r="A951" s="8" t="s">
        <v>536</v>
      </c>
      <c r="B951" s="8" t="s">
        <v>27</v>
      </c>
      <c r="C951" s="12">
        <f>COUNTIFS('DEF_SELF_SCOUT_IMPORT'!$L$42:$L$1040,"Y",'DEF_SELF_SCOUT_IMPORT'!$E$42:$E$1040,SUBSTITUTE(SUBSTITUTE(SUBSTITUTE($B951,"~","~~"),"*","~*"),"?","~?"),'DEF_SELF_SCOUT_IMPORT'!$Q$42:$Q$1040,SUBSTITUTE(SUBSTITUTE(SUBSTITUTE($M951,"~","~~"),"*","~*"),"?","~?"),'DEF_SELF_SCOUT_IMPORT'!$D$42:$D$1040,SUBSTITUTE(SUBSTITUTE(SUBSTITUTE($P951,"~","~~"),"*","~*"),"?","~?"))</f>
        <v>1</v>
      </c>
      <c r="D951" s="10">
        <f>IF($C951=0,"",SUMIFS('DEF_SELF_SCOUT_IMPORT'!$J$42:$J$1040,'DEF_SELF_SCOUT_IMPORT'!$L$42:$L$1040,"Y",'DEF_SELF_SCOUT_IMPORT'!$E$42:$E$1040,SUBSTITUTE(SUBSTITUTE(SUBSTITUTE($B951,"~","~~"),"*","~*"),"?","~?"),'DEF_SELF_SCOUT_IMPORT'!$Q$42:$Q$1040,SUBSTITUTE(SUBSTITUTE(SUBSTITUTE($M951,"~","~~"),"*","~*"),"?","~?"),'DEF_SELF_SCOUT_IMPORT'!$D$42:$D$1040,SUBSTITUTE(SUBSTITUTE(SUBSTITUTE($P951,"~","~~"),"*","~*"),"?","~?"))/$C951)</f>
        <v>1.0</v>
      </c>
      <c r="E951" s="10">
        <f>IF($C951=0,"",SUMIFS('DEF_SELF_SCOUT_IMPORT'!$K$42:$K$1040,'DEF_SELF_SCOUT_IMPORT'!$L$42:$L$1040,"Y",'DEF_SELF_SCOUT_IMPORT'!$E$42:$E$1040,SUBSTITUTE(SUBSTITUTE(SUBSTITUTE($B951,"~","~~"),"*","~*"),"?","~?"),'DEF_SELF_SCOUT_IMPORT'!$Q$42:$Q$1040,SUBSTITUTE(SUBSTITUTE(SUBSTITUTE($M951,"~","~~"),"*","~*"),"?","~?"),'DEF_SELF_SCOUT_IMPORT'!$D$42:$D$1040,SUBSTITUTE(SUBSTITUTE(SUBSTITUTE($P951,"~","~~"),"*","~*"),"?","~?"))/$C951)</f>
        <v>0.0</v>
      </c>
      <c r="F951" s="11">
        <f>IF($C951=0,"",AVERAGEIFS('DEF_SELF_SCOUT_IMPORT'!$I$42:$I$1040,'DEF_SELF_SCOUT_IMPORT'!$L$42:$L$1040,"Y",'DEF_SELF_SCOUT_IMPORT'!$E$42:$E$1040,SUBSTITUTE(SUBSTITUTE(SUBSTITUTE($B951,"~","~~"),"*","~*"),"?","~?"),'DEF_SELF_SCOUT_IMPORT'!$Q$42:$Q$1040,SUBSTITUTE(SUBSTITUTE(SUBSTITUTE($M951,"~","~~"),"*","~*"),"?","~?"),'DEF_SELF_SCOUT_IMPORT'!$D$42:$D$1040,SUBSTITUTE(SUBSTITUTE(SUBSTITUTE($P951,"~","~~"),"*","~*"),"?","~?")))</f>
        <v>3.0</v>
      </c>
      <c r="G951" s="10">
        <f>IF($C951=0,"",COUNTIFS('DEF_SELF_SCOUT_IMPORT'!$L$42:$L$1040,"Y",'DEF_SELF_SCOUT_IMPORT'!$E$42:$E$1040,SUBSTITUTE(SUBSTITUTE(SUBSTITUTE($B951,"~","~~"),"*","~*"),"?","~?"),'DEF_SELF_SCOUT_IMPORT'!$Q$42:$Q$1040,SUBSTITUTE(SUBSTITUTE(SUBSTITUTE($M951,"~","~~"),"*","~*"),"?","~?"),'DEF_SELF_SCOUT_IMPORT'!$D$42:$D$1040,SUBSTITUTE(SUBSTITUTE(SUBSTITUTE($P951,"~","~~"),"*","~*"),"?","~?"),'DEF_SELF_SCOUT_IMPORT'!$H$42:$H$1040,"RUSH")/$C951)</f>
        <v>1.0</v>
      </c>
      <c r="H951" s="10">
        <f>IF($C951=0,"",COUNTIFS('DEF_SELF_SCOUT_IMPORT'!$L$42:$L$1040,"Y",'DEF_SELF_SCOUT_IMPORT'!$E$42:$E$1040,SUBSTITUTE(SUBSTITUTE(SUBSTITUTE($B951,"~","~~"),"*","~*"),"?","~?"),'DEF_SELF_SCOUT_IMPORT'!$Q$42:$Q$1040,SUBSTITUTE(SUBSTITUTE(SUBSTITUTE($M951,"~","~~"),"*","~*"),"?","~?"),'DEF_SELF_SCOUT_IMPORT'!$D$42:$D$1040,SUBSTITUTE(SUBSTITUTE(SUBSTITUTE($P951,"~","~~"),"*","~*"),"?","~?"),'DEF_SELF_SCOUT_IMPORT'!$H$42:$H$1040,"DROPBACK")/$C951)</f>
        <v>0.0</v>
      </c>
      <c r="I951" s="14" t="str">
        <f>IF(C951=0,"",IF(C951&lt;=2,"TRACK",IF(C951=3,"LOW",IF(C951&lt;=6,"MEDIUM","HIGH"))))</f>
        <v>TRACK</v>
      </c>
      <c r="J951" s="11">
        <f>IF(C951=0,"",ROUND(D951*70+(1-E951)*20+MAX(0,MIN(1,(10-F951)/10))*10,1))</f>
        <v>97.0</v>
      </c>
      <c r="K951" s="14" t="str">
        <f>IF(C951=0,"No Evidence",IF(C951&lt;=2,IF(E951&gt;0,"Explosive Alert","Track Only"),IF(C951=3,"Sample Watch",IF(E951&gt;=START_HERE!$B$31,"Explosive Alert",IF(J951&gt;=80,"Strong Candidate",IF(J951&gt;=65,"Good Candidate",IF(J951&gt;=50,"Mixed / Review","Problem Call")))))))</f>
        <v>Track Only</v>
      </c>
      <c r="L951" s="9" t="str">
        <f>IF(COUNTIFS('DEF_SELF_SCOUT_IMPORT'!$L$42:$L$1040,"Y",'DEF_SELF_SCOUT_IMPORT'!$E$42:$E$1040,SUBSTITUTE(SUBSTITUTE(SUBSTITUTE($B951,"~","~~"),"*","~*"),"?","~?"),'DEF_SELF_SCOUT_IMPORT'!$Q$42:$Q$1040,SUBSTITUTE(SUBSTITUTE(SUBSTITUTE($M951,"~","~~"),"*","~*"),"?","~?"),'DEF_SELF_SCOUT_IMPORT'!$D$42:$D$1040,SUBSTITUTE(SUBSTITUTE(SUBSTITUTE($P951,"~","~~"),"*","~*"),"?","~?"),'DEF_SELF_SCOUT_IMPORT'!$J$42:$J$1040,"")&gt;0,"Unscored clean outcome; review result tags before using score.",IF(C951=0,"No matching defensive reps; film confirmation needed.",IF(K951="Explosive Alert","Explosive risk; review clips before using as answer.",IF(C951&lt;=2,"Track only; not enough sample.",IF(C951=3,IF(E951&gt;0,"Sample watch with explosive exposure; review clips and build the sample.",IF(J951&gt;=65,"Good signal, but sample is limited.","Sample watch; review clips and build the sample.")),IF(K951="Problem Call","Problem area; practice or call-sheet review.",IF(K951="Strong Candidate","Strong call-fit candidate; confirm on film.",IF(K951="Good Candidate","Good call-fit signal; confirm on film.","Mixed signal; review fit and execution on film."))))))))</f>
        <v>Track only; not enough sample.</v>
      </c>
      <c r="M951" s="8" t="s">
        <v>85</v>
      </c>
      <c r="N951" s="8"/>
      <c r="O951" s="8"/>
      <c r="P951" s="8" t="s">
        <v>465</v>
      </c>
      <c r="Q951" s="8"/>
      <c r="R951" s="8" t="s">
        <v>429</v>
      </c>
      <c r="S951" s="2" t="s">
        <v>537</v>
      </c>
      <c r="T951" s="2">
        <f>IF(C951=0,0,IF(C951&gt;=CALL_LOOKUP_BOARD!$B$7,IF(OR(K951="Problem Call",K951="Explosive Alert"),10000000,20000000),0)+IF(C951&gt;=CALL_LOOKUP_BOARD!$B$7,J951*1000+MIN(C951,999),C951*1000+J951)+0.00985900)</f>
        <v>1097.009859</v>
      </c>
      <c r="U951" s="2">
        <f>IF(C951=0,"",IF(COUNTIFS($S$811:$S$1055,SUBSTITUTE(SUBSTITUTE(SUBSTITUTE(S951,"~","~~"),"*","~*"),"?","~?"),$T$811:$T$1055,"&gt;"&amp;T951)=0,S951,""))</f>
        <v/>
      </c>
    </row>
    <row r="952" spans="1:21" ht="38" customHeight="1">
      <c r="A952" s="8" t="s">
        <v>536</v>
      </c>
      <c r="B952" s="8" t="s">
        <v>48</v>
      </c>
      <c r="C952" s="12">
        <f>COUNTIFS('DEF_SELF_SCOUT_IMPORT'!$L$42:$L$1040,"Y",'DEF_SELF_SCOUT_IMPORT'!$E$42:$E$1040,SUBSTITUTE(SUBSTITUTE(SUBSTITUTE($B952,"~","~~"),"*","~*"),"?","~?"),'DEF_SELF_SCOUT_IMPORT'!$Q$42:$Q$1040,SUBSTITUTE(SUBSTITUTE(SUBSTITUTE($M952,"~","~~"),"*","~*"),"?","~?"),'DEF_SELF_SCOUT_IMPORT'!$D$42:$D$1040,SUBSTITUTE(SUBSTITUTE(SUBSTITUTE($P952,"~","~~"),"*","~*"),"?","~?"))</f>
        <v>1</v>
      </c>
      <c r="D952" s="10">
        <f>IF($C952=0,"",SUMIFS('DEF_SELF_SCOUT_IMPORT'!$J$42:$J$1040,'DEF_SELF_SCOUT_IMPORT'!$L$42:$L$1040,"Y",'DEF_SELF_SCOUT_IMPORT'!$E$42:$E$1040,SUBSTITUTE(SUBSTITUTE(SUBSTITUTE($B952,"~","~~"),"*","~*"),"?","~?"),'DEF_SELF_SCOUT_IMPORT'!$Q$42:$Q$1040,SUBSTITUTE(SUBSTITUTE(SUBSTITUTE($M952,"~","~~"),"*","~*"),"?","~?"),'DEF_SELF_SCOUT_IMPORT'!$D$42:$D$1040,SUBSTITUTE(SUBSTITUTE(SUBSTITUTE($P952,"~","~~"),"*","~*"),"?","~?"))/$C952)</f>
        <v>0.0</v>
      </c>
      <c r="E952" s="10">
        <f>IF($C952=0,"",SUMIFS('DEF_SELF_SCOUT_IMPORT'!$K$42:$K$1040,'DEF_SELF_SCOUT_IMPORT'!$L$42:$L$1040,"Y",'DEF_SELF_SCOUT_IMPORT'!$E$42:$E$1040,SUBSTITUTE(SUBSTITUTE(SUBSTITUTE($B952,"~","~~"),"*","~*"),"?","~?"),'DEF_SELF_SCOUT_IMPORT'!$Q$42:$Q$1040,SUBSTITUTE(SUBSTITUTE(SUBSTITUTE($M952,"~","~~"),"*","~*"),"?","~?"),'DEF_SELF_SCOUT_IMPORT'!$D$42:$D$1040,SUBSTITUTE(SUBSTITUTE(SUBSTITUTE($P952,"~","~~"),"*","~*"),"?","~?"))/$C952)</f>
        <v>0.0</v>
      </c>
      <c r="F952" s="11">
        <f>IF($C952=0,"",AVERAGEIFS('DEF_SELF_SCOUT_IMPORT'!$I$42:$I$1040,'DEF_SELF_SCOUT_IMPORT'!$L$42:$L$1040,"Y",'DEF_SELF_SCOUT_IMPORT'!$E$42:$E$1040,SUBSTITUTE(SUBSTITUTE(SUBSTITUTE($B952,"~","~~"),"*","~*"),"?","~?"),'DEF_SELF_SCOUT_IMPORT'!$Q$42:$Q$1040,SUBSTITUTE(SUBSTITUTE(SUBSTITUTE($M952,"~","~~"),"*","~*"),"?","~?"),'DEF_SELF_SCOUT_IMPORT'!$D$42:$D$1040,SUBSTITUTE(SUBSTITUTE(SUBSTITUTE($P952,"~","~~"),"*","~*"),"?","~?")))</f>
        <v>11.0</v>
      </c>
      <c r="G952" s="10">
        <f>IF($C952=0,"",COUNTIFS('DEF_SELF_SCOUT_IMPORT'!$L$42:$L$1040,"Y",'DEF_SELF_SCOUT_IMPORT'!$E$42:$E$1040,SUBSTITUTE(SUBSTITUTE(SUBSTITUTE($B952,"~","~~"),"*","~*"),"?","~?"),'DEF_SELF_SCOUT_IMPORT'!$Q$42:$Q$1040,SUBSTITUTE(SUBSTITUTE(SUBSTITUTE($M952,"~","~~"),"*","~*"),"?","~?"),'DEF_SELF_SCOUT_IMPORT'!$D$42:$D$1040,SUBSTITUTE(SUBSTITUTE(SUBSTITUTE($P952,"~","~~"),"*","~*"),"?","~?"),'DEF_SELF_SCOUT_IMPORT'!$H$42:$H$1040,"RUSH")/$C952)</f>
        <v>1.0</v>
      </c>
      <c r="H952" s="10">
        <f>IF($C952=0,"",COUNTIFS('DEF_SELF_SCOUT_IMPORT'!$L$42:$L$1040,"Y",'DEF_SELF_SCOUT_IMPORT'!$E$42:$E$1040,SUBSTITUTE(SUBSTITUTE(SUBSTITUTE($B952,"~","~~"),"*","~*"),"?","~?"),'DEF_SELF_SCOUT_IMPORT'!$Q$42:$Q$1040,SUBSTITUTE(SUBSTITUTE(SUBSTITUTE($M952,"~","~~"),"*","~*"),"?","~?"),'DEF_SELF_SCOUT_IMPORT'!$D$42:$D$1040,SUBSTITUTE(SUBSTITUTE(SUBSTITUTE($P952,"~","~~"),"*","~*"),"?","~?"),'DEF_SELF_SCOUT_IMPORT'!$H$42:$H$1040,"DROPBACK")/$C952)</f>
        <v>0.0</v>
      </c>
      <c r="I952" s="14" t="str">
        <f>IF(C952=0,"",IF(C952&lt;=2,"TRACK",IF(C952=3,"LOW",IF(C952&lt;=6,"MEDIUM","HIGH"))))</f>
        <v>TRACK</v>
      </c>
      <c r="J952" s="11">
        <f>IF(C952=0,"",ROUND(D952*70+(1-E952)*20+MAX(0,MIN(1,(10-F952)/10))*10,1))</f>
        <v>20.0</v>
      </c>
      <c r="K952" s="14" t="str">
        <f>IF(C952=0,"No Evidence",IF(C952&lt;=2,IF(E952&gt;0,"Explosive Alert","Track Only"),IF(C952=3,"Sample Watch",IF(E952&gt;=START_HERE!$B$31,"Explosive Alert",IF(J952&gt;=80,"Strong Candidate",IF(J952&gt;=65,"Good Candidate",IF(J952&gt;=50,"Mixed / Review","Problem Call")))))))</f>
        <v>Track Only</v>
      </c>
      <c r="L952" s="9" t="str">
        <f>IF(COUNTIFS('DEF_SELF_SCOUT_IMPORT'!$L$42:$L$1040,"Y",'DEF_SELF_SCOUT_IMPORT'!$E$42:$E$1040,SUBSTITUTE(SUBSTITUTE(SUBSTITUTE($B952,"~","~~"),"*","~*"),"?","~?"),'DEF_SELF_SCOUT_IMPORT'!$Q$42:$Q$1040,SUBSTITUTE(SUBSTITUTE(SUBSTITUTE($M952,"~","~~"),"*","~*"),"?","~?"),'DEF_SELF_SCOUT_IMPORT'!$D$42:$D$1040,SUBSTITUTE(SUBSTITUTE(SUBSTITUTE($P952,"~","~~"),"*","~*"),"?","~?"),'DEF_SELF_SCOUT_IMPORT'!$J$42:$J$1040,"")&gt;0,"Unscored clean outcome; review result tags before using score.",IF(C952=0,"No matching defensive reps; film confirmation needed.",IF(K952="Explosive Alert","Explosive risk; review clips before using as answer.",IF(C952&lt;=2,"Track only; not enough sample.",IF(C952=3,IF(E952&gt;0,"Sample watch with explosive exposure; review clips and build the sample.",IF(J952&gt;=65,"Good signal, but sample is limited.","Sample watch; review clips and build the sample.")),IF(K952="Problem Call","Problem area; practice or call-sheet review.",IF(K952="Strong Candidate","Strong call-fit candidate; confirm on film.",IF(K952="Good Candidate","Good call-fit signal; confirm on film.","Mixed signal; review fit and execution on film."))))))))</f>
        <v>Track only; not enough sample.</v>
      </c>
      <c r="M952" s="8" t="s">
        <v>85</v>
      </c>
      <c r="N952" s="8"/>
      <c r="O952" s="8"/>
      <c r="P952" s="8" t="s">
        <v>465</v>
      </c>
      <c r="Q952" s="8"/>
      <c r="R952" s="8" t="s">
        <v>429</v>
      </c>
      <c r="S952" s="2" t="s">
        <v>537</v>
      </c>
      <c r="T952" s="2">
        <f>IF(C952=0,0,IF(C952&gt;=CALL_LOOKUP_BOARD!$B$7,IF(OR(K952="Problem Call",K952="Explosive Alert"),10000000,20000000),0)+IF(C952&gt;=CALL_LOOKUP_BOARD!$B$7,J952*1000+MIN(C952,999),C952*1000+J952)+0.00985800)</f>
        <v>1020.009858</v>
      </c>
      <c r="U952" s="2">
        <f>IF(C952=0,"",IF(COUNTIFS($S$811:$S$1055,SUBSTITUTE(SUBSTITUTE(SUBSTITUTE(S952,"~","~~"),"*","~*"),"?","~?"),$T$811:$T$1055,"&gt;"&amp;T952)=0,S952,""))</f>
        <v/>
      </c>
    </row>
    <row r="953" spans="1:21" ht="38" customHeight="1">
      <c r="A953" s="8" t="s">
        <v>536</v>
      </c>
      <c r="B953" s="8" t="s">
        <v>34</v>
      </c>
      <c r="C953" s="12">
        <f>COUNTIFS('DEF_SELF_SCOUT_IMPORT'!$L$42:$L$1040,"Y",'DEF_SELF_SCOUT_IMPORT'!$E$42:$E$1040,SUBSTITUTE(SUBSTITUTE(SUBSTITUTE($B953,"~","~~"),"*","~*"),"?","~?"),'DEF_SELF_SCOUT_IMPORT'!$Q$42:$Q$1040,SUBSTITUTE(SUBSTITUTE(SUBSTITUTE($M953,"~","~~"),"*","~*"),"?","~?"),'DEF_SELF_SCOUT_IMPORT'!$D$42:$D$1040,SUBSTITUTE(SUBSTITUTE(SUBSTITUTE($P953,"~","~~"),"*","~*"),"?","~?"))</f>
        <v>1</v>
      </c>
      <c r="D953" s="10">
        <f>IF($C953=0,"",SUMIFS('DEF_SELF_SCOUT_IMPORT'!$J$42:$J$1040,'DEF_SELF_SCOUT_IMPORT'!$L$42:$L$1040,"Y",'DEF_SELF_SCOUT_IMPORT'!$E$42:$E$1040,SUBSTITUTE(SUBSTITUTE(SUBSTITUTE($B953,"~","~~"),"*","~*"),"?","~?"),'DEF_SELF_SCOUT_IMPORT'!$Q$42:$Q$1040,SUBSTITUTE(SUBSTITUTE(SUBSTITUTE($M953,"~","~~"),"*","~*"),"?","~?"),'DEF_SELF_SCOUT_IMPORT'!$D$42:$D$1040,SUBSTITUTE(SUBSTITUTE(SUBSTITUTE($P953,"~","~~"),"*","~*"),"?","~?"))/$C953)</f>
        <v>0.0</v>
      </c>
      <c r="E953" s="10">
        <f>IF($C953=0,"",SUMIFS('DEF_SELF_SCOUT_IMPORT'!$K$42:$K$1040,'DEF_SELF_SCOUT_IMPORT'!$L$42:$L$1040,"Y",'DEF_SELF_SCOUT_IMPORT'!$E$42:$E$1040,SUBSTITUTE(SUBSTITUTE(SUBSTITUTE($B953,"~","~~"),"*","~*"),"?","~?"),'DEF_SELF_SCOUT_IMPORT'!$Q$42:$Q$1040,SUBSTITUTE(SUBSTITUTE(SUBSTITUTE($M953,"~","~~"),"*","~*"),"?","~?"),'DEF_SELF_SCOUT_IMPORT'!$D$42:$D$1040,SUBSTITUTE(SUBSTITUTE(SUBSTITUTE($P953,"~","~~"),"*","~*"),"?","~?"))/$C953)</f>
        <v>1.0</v>
      </c>
      <c r="F953" s="11">
        <f>IF($C953=0,"",AVERAGEIFS('DEF_SELF_SCOUT_IMPORT'!$I$42:$I$1040,'DEF_SELF_SCOUT_IMPORT'!$L$42:$L$1040,"Y",'DEF_SELF_SCOUT_IMPORT'!$E$42:$E$1040,SUBSTITUTE(SUBSTITUTE(SUBSTITUTE($B953,"~","~~"),"*","~*"),"?","~?"),'DEF_SELF_SCOUT_IMPORT'!$Q$42:$Q$1040,SUBSTITUTE(SUBSTITUTE(SUBSTITUTE($M953,"~","~~"),"*","~*"),"?","~?"),'DEF_SELF_SCOUT_IMPORT'!$D$42:$D$1040,SUBSTITUTE(SUBSTITUTE(SUBSTITUTE($P953,"~","~~"),"*","~*"),"?","~?")))</f>
        <v>12.0</v>
      </c>
      <c r="G953" s="10">
        <f>IF($C953=0,"",COUNTIFS('DEF_SELF_SCOUT_IMPORT'!$L$42:$L$1040,"Y",'DEF_SELF_SCOUT_IMPORT'!$E$42:$E$1040,SUBSTITUTE(SUBSTITUTE(SUBSTITUTE($B953,"~","~~"),"*","~*"),"?","~?"),'DEF_SELF_SCOUT_IMPORT'!$Q$42:$Q$1040,SUBSTITUTE(SUBSTITUTE(SUBSTITUTE($M953,"~","~~"),"*","~*"),"?","~?"),'DEF_SELF_SCOUT_IMPORT'!$D$42:$D$1040,SUBSTITUTE(SUBSTITUTE(SUBSTITUTE($P953,"~","~~"),"*","~*"),"?","~?"),'DEF_SELF_SCOUT_IMPORT'!$H$42:$H$1040,"RUSH")/$C953)</f>
        <v>1.0</v>
      </c>
      <c r="H953" s="10">
        <f>IF($C953=0,"",COUNTIFS('DEF_SELF_SCOUT_IMPORT'!$L$42:$L$1040,"Y",'DEF_SELF_SCOUT_IMPORT'!$E$42:$E$1040,SUBSTITUTE(SUBSTITUTE(SUBSTITUTE($B953,"~","~~"),"*","~*"),"?","~?"),'DEF_SELF_SCOUT_IMPORT'!$Q$42:$Q$1040,SUBSTITUTE(SUBSTITUTE(SUBSTITUTE($M953,"~","~~"),"*","~*"),"?","~?"),'DEF_SELF_SCOUT_IMPORT'!$D$42:$D$1040,SUBSTITUTE(SUBSTITUTE(SUBSTITUTE($P953,"~","~~"),"*","~*"),"?","~?"),'DEF_SELF_SCOUT_IMPORT'!$H$42:$H$1040,"DROPBACK")/$C953)</f>
        <v>0.0</v>
      </c>
      <c r="I953" s="14" t="str">
        <f>IF(C953=0,"",IF(C953&lt;=2,"TRACK",IF(C953=3,"LOW",IF(C953&lt;=6,"MEDIUM","HIGH"))))</f>
        <v>TRACK</v>
      </c>
      <c r="J953" s="11">
        <f>IF(C953=0,"",ROUND(D953*70+(1-E953)*20+MAX(0,MIN(1,(10-F953)/10))*10,1))</f>
        <v>0.0</v>
      </c>
      <c r="K953" s="14" t="str">
        <f>IF(C953=0,"No Evidence",IF(C953&lt;=2,IF(E953&gt;0,"Explosive Alert","Track Only"),IF(C953=3,"Sample Watch",IF(E953&gt;=START_HERE!$B$31,"Explosive Alert",IF(J953&gt;=80,"Strong Candidate",IF(J953&gt;=65,"Good Candidate",IF(J953&gt;=50,"Mixed / Review","Problem Call")))))))</f>
        <v>Explosive Alert</v>
      </c>
      <c r="L953" s="9" t="str">
        <f>IF(COUNTIFS('DEF_SELF_SCOUT_IMPORT'!$L$42:$L$1040,"Y",'DEF_SELF_SCOUT_IMPORT'!$E$42:$E$1040,SUBSTITUTE(SUBSTITUTE(SUBSTITUTE($B953,"~","~~"),"*","~*"),"?","~?"),'DEF_SELF_SCOUT_IMPORT'!$Q$42:$Q$1040,SUBSTITUTE(SUBSTITUTE(SUBSTITUTE($M953,"~","~~"),"*","~*"),"?","~?"),'DEF_SELF_SCOUT_IMPORT'!$D$42:$D$1040,SUBSTITUTE(SUBSTITUTE(SUBSTITUTE($P953,"~","~~"),"*","~*"),"?","~?"),'DEF_SELF_SCOUT_IMPORT'!$J$42:$J$1040,"")&gt;0,"Unscored clean outcome; review result tags before using score.",IF(C953=0,"No matching defensive reps; film confirmation needed.",IF(K953="Explosive Alert","Explosive risk; review clips before using as answer.",IF(C953&lt;=2,"Track only; not enough sample.",IF(C953=3,IF(E953&gt;0,"Sample watch with explosive exposure; review clips and build the sample.",IF(J953&gt;=65,"Good signal, but sample is limited.","Sample watch; review clips and build the sample.")),IF(K953="Problem Call","Problem area; practice or call-sheet review.",IF(K953="Strong Candidate","Strong call-fit candidate; confirm on film.",IF(K953="Good Candidate","Good call-fit signal; confirm on film.","Mixed signal; review fit and execution on film."))))))))</f>
        <v>Explosive risk; review clips before using as answer.</v>
      </c>
      <c r="M953" s="8" t="s">
        <v>85</v>
      </c>
      <c r="N953" s="8"/>
      <c r="O953" s="8"/>
      <c r="P953" s="8" t="s">
        <v>465</v>
      </c>
      <c r="Q953" s="8"/>
      <c r="R953" s="8" t="s">
        <v>429</v>
      </c>
      <c r="S953" s="2" t="s">
        <v>537</v>
      </c>
      <c r="T953" s="2">
        <f>IF(C953=0,0,IF(C953&gt;=CALL_LOOKUP_BOARD!$B$7,IF(OR(K953="Problem Call",K953="Explosive Alert"),10000000,20000000),0)+IF(C953&gt;=CALL_LOOKUP_BOARD!$B$7,J953*1000+MIN(C953,999),C953*1000+J953)+0.00985700)</f>
        <v>1000.009857</v>
      </c>
      <c r="U953" s="2">
        <f>IF(C953=0,"",IF(COUNTIFS($S$811:$S$1055,SUBSTITUTE(SUBSTITUTE(SUBSTITUTE(S953,"~","~~"),"*","~*"),"?","~?"),$T$811:$T$1055,"&gt;"&amp;T953)=0,S953,""))</f>
        <v/>
      </c>
    </row>
    <row r="954" spans="1:21" ht="38" customHeight="1">
      <c r="A954" s="8" t="s">
        <v>536</v>
      </c>
      <c r="B954" s="8" t="s">
        <v>68</v>
      </c>
      <c r="C954" s="12">
        <f>COUNTIFS('DEF_SELF_SCOUT_IMPORT'!$L$42:$L$1040,"Y",'DEF_SELF_SCOUT_IMPORT'!$E$42:$E$1040,SUBSTITUTE(SUBSTITUTE(SUBSTITUTE($B954,"~","~~"),"*","~*"),"?","~?"),'DEF_SELF_SCOUT_IMPORT'!$Q$42:$Q$1040,SUBSTITUTE(SUBSTITUTE(SUBSTITUTE($M954,"~","~~"),"*","~*"),"?","~?"),'DEF_SELF_SCOUT_IMPORT'!$D$42:$D$1040,SUBSTITUTE(SUBSTITUTE(SUBSTITUTE($P954,"~","~~"),"*","~*"),"?","~?"))</f>
        <v>1</v>
      </c>
      <c r="D954" s="10">
        <f>IF($C954=0,"",SUMIFS('DEF_SELF_SCOUT_IMPORT'!$J$42:$J$1040,'DEF_SELF_SCOUT_IMPORT'!$L$42:$L$1040,"Y",'DEF_SELF_SCOUT_IMPORT'!$E$42:$E$1040,SUBSTITUTE(SUBSTITUTE(SUBSTITUTE($B954,"~","~~"),"*","~*"),"?","~?"),'DEF_SELF_SCOUT_IMPORT'!$Q$42:$Q$1040,SUBSTITUTE(SUBSTITUTE(SUBSTITUTE($M954,"~","~~"),"*","~*"),"?","~?"),'DEF_SELF_SCOUT_IMPORT'!$D$42:$D$1040,SUBSTITUTE(SUBSTITUTE(SUBSTITUTE($P954,"~","~~"),"*","~*"),"?","~?"))/$C954)</f>
        <v>0.0</v>
      </c>
      <c r="E954" s="10">
        <f>IF($C954=0,"",SUMIFS('DEF_SELF_SCOUT_IMPORT'!$K$42:$K$1040,'DEF_SELF_SCOUT_IMPORT'!$L$42:$L$1040,"Y",'DEF_SELF_SCOUT_IMPORT'!$E$42:$E$1040,SUBSTITUTE(SUBSTITUTE(SUBSTITUTE($B954,"~","~~"),"*","~*"),"?","~?"),'DEF_SELF_SCOUT_IMPORT'!$Q$42:$Q$1040,SUBSTITUTE(SUBSTITUTE(SUBSTITUTE($M954,"~","~~"),"*","~*"),"?","~?"),'DEF_SELF_SCOUT_IMPORT'!$D$42:$D$1040,SUBSTITUTE(SUBSTITUTE(SUBSTITUTE($P954,"~","~~"),"*","~*"),"?","~?"))/$C954)</f>
        <v>0.0</v>
      </c>
      <c r="F954" s="11">
        <f>IF($C954=0,"",AVERAGEIFS('DEF_SELF_SCOUT_IMPORT'!$I$42:$I$1040,'DEF_SELF_SCOUT_IMPORT'!$L$42:$L$1040,"Y",'DEF_SELF_SCOUT_IMPORT'!$E$42:$E$1040,SUBSTITUTE(SUBSTITUTE(SUBSTITUTE($B954,"~","~~"),"*","~*"),"?","~?"),'DEF_SELF_SCOUT_IMPORT'!$Q$42:$Q$1040,SUBSTITUTE(SUBSTITUTE(SUBSTITUTE($M954,"~","~~"),"*","~*"),"?","~?"),'DEF_SELF_SCOUT_IMPORT'!$D$42:$D$1040,SUBSTITUTE(SUBSTITUTE(SUBSTITUTE($P954,"~","~~"),"*","~*"),"?","~?")))</f>
        <v>4.0</v>
      </c>
      <c r="G954" s="10">
        <f>IF($C954=0,"",COUNTIFS('DEF_SELF_SCOUT_IMPORT'!$L$42:$L$1040,"Y",'DEF_SELF_SCOUT_IMPORT'!$E$42:$E$1040,SUBSTITUTE(SUBSTITUTE(SUBSTITUTE($B954,"~","~~"),"*","~*"),"?","~?"),'DEF_SELF_SCOUT_IMPORT'!$Q$42:$Q$1040,SUBSTITUTE(SUBSTITUTE(SUBSTITUTE($M954,"~","~~"),"*","~*"),"?","~?"),'DEF_SELF_SCOUT_IMPORT'!$D$42:$D$1040,SUBSTITUTE(SUBSTITUTE(SUBSTITUTE($P954,"~","~~"),"*","~*"),"?","~?"),'DEF_SELF_SCOUT_IMPORT'!$H$42:$H$1040,"RUSH")/$C954)</f>
        <v>1.0</v>
      </c>
      <c r="H954" s="10">
        <f>IF($C954=0,"",COUNTIFS('DEF_SELF_SCOUT_IMPORT'!$L$42:$L$1040,"Y",'DEF_SELF_SCOUT_IMPORT'!$E$42:$E$1040,SUBSTITUTE(SUBSTITUTE(SUBSTITUTE($B954,"~","~~"),"*","~*"),"?","~?"),'DEF_SELF_SCOUT_IMPORT'!$Q$42:$Q$1040,SUBSTITUTE(SUBSTITUTE(SUBSTITUTE($M954,"~","~~"),"*","~*"),"?","~?"),'DEF_SELF_SCOUT_IMPORT'!$D$42:$D$1040,SUBSTITUTE(SUBSTITUTE(SUBSTITUTE($P954,"~","~~"),"*","~*"),"?","~?"),'DEF_SELF_SCOUT_IMPORT'!$H$42:$H$1040,"DROPBACK")/$C954)</f>
        <v>0.0</v>
      </c>
      <c r="I954" s="14" t="str">
        <f>IF(C954=0,"",IF(C954&lt;=2,"TRACK",IF(C954=3,"LOW",IF(C954&lt;=6,"MEDIUM","HIGH"))))</f>
        <v>TRACK</v>
      </c>
      <c r="J954" s="11">
        <f>IF(C954=0,"",ROUND(D954*70+(1-E954)*20+MAX(0,MIN(1,(10-F954)/10))*10,1))</f>
        <v>26.0</v>
      </c>
      <c r="K954" s="14" t="str">
        <f>IF(C954=0,"No Evidence",IF(C954&lt;=2,IF(E954&gt;0,"Explosive Alert","Track Only"),IF(C954=3,"Sample Watch",IF(E954&gt;=START_HERE!$B$31,"Explosive Alert",IF(J954&gt;=80,"Strong Candidate",IF(J954&gt;=65,"Good Candidate",IF(J954&gt;=50,"Mixed / Review","Problem Call")))))))</f>
        <v>Track Only</v>
      </c>
      <c r="L954" s="9" t="str">
        <f>IF(COUNTIFS('DEF_SELF_SCOUT_IMPORT'!$L$42:$L$1040,"Y",'DEF_SELF_SCOUT_IMPORT'!$E$42:$E$1040,SUBSTITUTE(SUBSTITUTE(SUBSTITUTE($B954,"~","~~"),"*","~*"),"?","~?"),'DEF_SELF_SCOUT_IMPORT'!$Q$42:$Q$1040,SUBSTITUTE(SUBSTITUTE(SUBSTITUTE($M954,"~","~~"),"*","~*"),"?","~?"),'DEF_SELF_SCOUT_IMPORT'!$D$42:$D$1040,SUBSTITUTE(SUBSTITUTE(SUBSTITUTE($P954,"~","~~"),"*","~*"),"?","~?"),'DEF_SELF_SCOUT_IMPORT'!$J$42:$J$1040,"")&gt;0,"Unscored clean outcome; review result tags before using score.",IF(C954=0,"No matching defensive reps; film confirmation needed.",IF(K954="Explosive Alert","Explosive risk; review clips before using as answer.",IF(C954&lt;=2,"Track only; not enough sample.",IF(C954=3,IF(E954&gt;0,"Sample watch with explosive exposure; review clips and build the sample.",IF(J954&gt;=65,"Good signal, but sample is limited.","Sample watch; review clips and build the sample.")),IF(K954="Problem Call","Problem area; practice or call-sheet review.",IF(K954="Strong Candidate","Strong call-fit candidate; confirm on film.",IF(K954="Good Candidate","Good call-fit signal; confirm on film.","Mixed signal; review fit and execution on film."))))))))</f>
        <v>Track only; not enough sample.</v>
      </c>
      <c r="M954" s="8" t="s">
        <v>85</v>
      </c>
      <c r="N954" s="8"/>
      <c r="O954" s="8"/>
      <c r="P954" s="8" t="s">
        <v>465</v>
      </c>
      <c r="Q954" s="8"/>
      <c r="R954" s="8" t="s">
        <v>429</v>
      </c>
      <c r="S954" s="2" t="s">
        <v>537</v>
      </c>
      <c r="T954" s="2">
        <f>IF(C954=0,0,IF(C954&gt;=CALL_LOOKUP_BOARD!$B$7,IF(OR(K954="Problem Call",K954="Explosive Alert"),10000000,20000000),0)+IF(C954&gt;=CALL_LOOKUP_BOARD!$B$7,J954*1000+MIN(C954,999),C954*1000+J954)+0.00985600)</f>
        <v>1026.009856</v>
      </c>
      <c r="U954" s="2">
        <f>IF(C954=0,"",IF(COUNTIFS($S$811:$S$1055,SUBSTITUTE(SUBSTITUTE(SUBSTITUTE(S954,"~","~~"),"*","~*"),"?","~?"),$T$811:$T$1055,"&gt;"&amp;T954)=0,S954,""))</f>
        <v/>
      </c>
    </row>
    <row r="955" spans="1:21" ht="38" customHeight="1">
      <c r="A955" s="8" t="s">
        <v>536</v>
      </c>
      <c r="B955" s="8" t="s">
        <v>69</v>
      </c>
      <c r="C955" s="12">
        <f>COUNTIFS('DEF_SELF_SCOUT_IMPORT'!$L$42:$L$1040,"Y",'DEF_SELF_SCOUT_IMPORT'!$E$42:$E$1040,SUBSTITUTE(SUBSTITUTE(SUBSTITUTE($B955,"~","~~"),"*","~*"),"?","~?"),'DEF_SELF_SCOUT_IMPORT'!$Q$42:$Q$1040,SUBSTITUTE(SUBSTITUTE(SUBSTITUTE($M955,"~","~~"),"*","~*"),"?","~?"),'DEF_SELF_SCOUT_IMPORT'!$D$42:$D$1040,SUBSTITUTE(SUBSTITUTE(SUBSTITUTE($P955,"~","~~"),"*","~*"),"?","~?"))</f>
        <v>1</v>
      </c>
      <c r="D955" s="10">
        <f>IF($C955=0,"",SUMIFS('DEF_SELF_SCOUT_IMPORT'!$J$42:$J$1040,'DEF_SELF_SCOUT_IMPORT'!$L$42:$L$1040,"Y",'DEF_SELF_SCOUT_IMPORT'!$E$42:$E$1040,SUBSTITUTE(SUBSTITUTE(SUBSTITUTE($B955,"~","~~"),"*","~*"),"?","~?"),'DEF_SELF_SCOUT_IMPORT'!$Q$42:$Q$1040,SUBSTITUTE(SUBSTITUTE(SUBSTITUTE($M955,"~","~~"),"*","~*"),"?","~?"),'DEF_SELF_SCOUT_IMPORT'!$D$42:$D$1040,SUBSTITUTE(SUBSTITUTE(SUBSTITUTE($P955,"~","~~"),"*","~*"),"?","~?"))/$C955)</f>
        <v>1.0</v>
      </c>
      <c r="E955" s="10">
        <f>IF($C955=0,"",SUMIFS('DEF_SELF_SCOUT_IMPORT'!$K$42:$K$1040,'DEF_SELF_SCOUT_IMPORT'!$L$42:$L$1040,"Y",'DEF_SELF_SCOUT_IMPORT'!$E$42:$E$1040,SUBSTITUTE(SUBSTITUTE(SUBSTITUTE($B955,"~","~~"),"*","~*"),"?","~?"),'DEF_SELF_SCOUT_IMPORT'!$Q$42:$Q$1040,SUBSTITUTE(SUBSTITUTE(SUBSTITUTE($M955,"~","~~"),"*","~*"),"?","~?"),'DEF_SELF_SCOUT_IMPORT'!$D$42:$D$1040,SUBSTITUTE(SUBSTITUTE(SUBSTITUTE($P955,"~","~~"),"*","~*"),"?","~?"))/$C955)</f>
        <v>0.0</v>
      </c>
      <c r="F955" s="11">
        <f>IF($C955=0,"",AVERAGEIFS('DEF_SELF_SCOUT_IMPORT'!$I$42:$I$1040,'DEF_SELF_SCOUT_IMPORT'!$L$42:$L$1040,"Y",'DEF_SELF_SCOUT_IMPORT'!$E$42:$E$1040,SUBSTITUTE(SUBSTITUTE(SUBSTITUTE($B955,"~","~~"),"*","~*"),"?","~?"),'DEF_SELF_SCOUT_IMPORT'!$Q$42:$Q$1040,SUBSTITUTE(SUBSTITUTE(SUBSTITUTE($M955,"~","~~"),"*","~*"),"?","~?"),'DEF_SELF_SCOUT_IMPORT'!$D$42:$D$1040,SUBSTITUTE(SUBSTITUTE(SUBSTITUTE($P955,"~","~~"),"*","~*"),"?","~?")))</f>
        <v>1.0</v>
      </c>
      <c r="G955" s="10">
        <f>IF($C955=0,"",COUNTIFS('DEF_SELF_SCOUT_IMPORT'!$L$42:$L$1040,"Y",'DEF_SELF_SCOUT_IMPORT'!$E$42:$E$1040,SUBSTITUTE(SUBSTITUTE(SUBSTITUTE($B955,"~","~~"),"*","~*"),"?","~?"),'DEF_SELF_SCOUT_IMPORT'!$Q$42:$Q$1040,SUBSTITUTE(SUBSTITUTE(SUBSTITUTE($M955,"~","~~"),"*","~*"),"?","~?"),'DEF_SELF_SCOUT_IMPORT'!$D$42:$D$1040,SUBSTITUTE(SUBSTITUTE(SUBSTITUTE($P955,"~","~~"),"*","~*"),"?","~?"),'DEF_SELF_SCOUT_IMPORT'!$H$42:$H$1040,"RUSH")/$C955)</f>
        <v>1.0</v>
      </c>
      <c r="H955" s="10">
        <f>IF($C955=0,"",COUNTIFS('DEF_SELF_SCOUT_IMPORT'!$L$42:$L$1040,"Y",'DEF_SELF_SCOUT_IMPORT'!$E$42:$E$1040,SUBSTITUTE(SUBSTITUTE(SUBSTITUTE($B955,"~","~~"),"*","~*"),"?","~?"),'DEF_SELF_SCOUT_IMPORT'!$Q$42:$Q$1040,SUBSTITUTE(SUBSTITUTE(SUBSTITUTE($M955,"~","~~"),"*","~*"),"?","~?"),'DEF_SELF_SCOUT_IMPORT'!$D$42:$D$1040,SUBSTITUTE(SUBSTITUTE(SUBSTITUTE($P955,"~","~~"),"*","~*"),"?","~?"),'DEF_SELF_SCOUT_IMPORT'!$H$42:$H$1040,"DROPBACK")/$C955)</f>
        <v>0.0</v>
      </c>
      <c r="I955" s="14" t="str">
        <f>IF(C955=0,"",IF(C955&lt;=2,"TRACK",IF(C955=3,"LOW",IF(C955&lt;=6,"MEDIUM","HIGH"))))</f>
        <v>TRACK</v>
      </c>
      <c r="J955" s="11">
        <f>IF(C955=0,"",ROUND(D955*70+(1-E955)*20+MAX(0,MIN(1,(10-F955)/10))*10,1))</f>
        <v>99.0</v>
      </c>
      <c r="K955" s="14" t="str">
        <f>IF(C955=0,"No Evidence",IF(C955&lt;=2,IF(E955&gt;0,"Explosive Alert","Track Only"),IF(C955=3,"Sample Watch",IF(E955&gt;=START_HERE!$B$31,"Explosive Alert",IF(J955&gt;=80,"Strong Candidate",IF(J955&gt;=65,"Good Candidate",IF(J955&gt;=50,"Mixed / Review","Problem Call")))))))</f>
        <v>Track Only</v>
      </c>
      <c r="L955" s="9" t="str">
        <f>IF(COUNTIFS('DEF_SELF_SCOUT_IMPORT'!$L$42:$L$1040,"Y",'DEF_SELF_SCOUT_IMPORT'!$E$42:$E$1040,SUBSTITUTE(SUBSTITUTE(SUBSTITUTE($B955,"~","~~"),"*","~*"),"?","~?"),'DEF_SELF_SCOUT_IMPORT'!$Q$42:$Q$1040,SUBSTITUTE(SUBSTITUTE(SUBSTITUTE($M955,"~","~~"),"*","~*"),"?","~?"),'DEF_SELF_SCOUT_IMPORT'!$D$42:$D$1040,SUBSTITUTE(SUBSTITUTE(SUBSTITUTE($P955,"~","~~"),"*","~*"),"?","~?"),'DEF_SELF_SCOUT_IMPORT'!$J$42:$J$1040,"")&gt;0,"Unscored clean outcome; review result tags before using score.",IF(C955=0,"No matching defensive reps; film confirmation needed.",IF(K955="Explosive Alert","Explosive risk; review clips before using as answer.",IF(C955&lt;=2,"Track only; not enough sample.",IF(C955=3,IF(E955&gt;0,"Sample watch with explosive exposure; review clips and build the sample.",IF(J955&gt;=65,"Good signal, but sample is limited.","Sample watch; review clips and build the sample.")),IF(K955="Problem Call","Problem area; practice or call-sheet review.",IF(K955="Strong Candidate","Strong call-fit candidate; confirm on film.",IF(K955="Good Candidate","Good call-fit signal; confirm on film.","Mixed signal; review fit and execution on film."))))))))</f>
        <v>Track only; not enough sample.</v>
      </c>
      <c r="M955" s="8" t="s">
        <v>85</v>
      </c>
      <c r="N955" s="8"/>
      <c r="O955" s="8"/>
      <c r="P955" s="8" t="s">
        <v>465</v>
      </c>
      <c r="Q955" s="8"/>
      <c r="R955" s="8" t="s">
        <v>429</v>
      </c>
      <c r="S955" s="2" t="s">
        <v>537</v>
      </c>
      <c r="T955" s="2">
        <f>IF(C955=0,0,IF(C955&gt;=CALL_LOOKUP_BOARD!$B$7,IF(OR(K955="Problem Call",K955="Explosive Alert"),10000000,20000000),0)+IF(C955&gt;=CALL_LOOKUP_BOARD!$B$7,J955*1000+MIN(C955,999),C955*1000+J955)+0.00985500)</f>
        <v>1099.009855</v>
      </c>
      <c r="U955" s="2" t="str">
        <f>IF(C955=0,"",IF(COUNTIFS($S$811:$S$1055,SUBSTITUTE(SUBSTITUTE(SUBSTITUTE(S955,"~","~~"),"*","~*"),"?","~?"),$T$811:$T$1055,"&gt;"&amp;T955)=0,S955,""))</f>
        <v>7:2D 7-10|12:OUTSIDE ZONE|</v>
      </c>
    </row>
    <row r="956" spans="1:21" ht="38" customHeight="1">
      <c r="A956" s="8" t="s">
        <v>538</v>
      </c>
      <c r="B956" s="8" t="s">
        <v>51</v>
      </c>
      <c r="C956" s="12">
        <f>COUNTIFS('DEF_SELF_SCOUT_IMPORT'!$L$42:$L$1040,"Y",'DEF_SELF_SCOUT_IMPORT'!$E$42:$E$1040,SUBSTITUTE(SUBSTITUTE(SUBSTITUTE($B956,"~","~~"),"*","~*"),"?","~?"),'DEF_SELF_SCOUT_IMPORT'!$Q$42:$Q$1040,SUBSTITUTE(SUBSTITUTE(SUBSTITUTE($M956,"~","~~"),"*","~*"),"?","~?"),'DEF_SELF_SCOUT_IMPORT'!$D$42:$D$1040,SUBSTITUTE(SUBSTITUTE(SUBSTITUTE($P956,"~","~~"),"*","~*"),"?","~?"))</f>
        <v>1</v>
      </c>
      <c r="D956" s="10">
        <f>IF($C956=0,"",SUMIFS('DEF_SELF_SCOUT_IMPORT'!$J$42:$J$1040,'DEF_SELF_SCOUT_IMPORT'!$L$42:$L$1040,"Y",'DEF_SELF_SCOUT_IMPORT'!$E$42:$E$1040,SUBSTITUTE(SUBSTITUTE(SUBSTITUTE($B956,"~","~~"),"*","~*"),"?","~?"),'DEF_SELF_SCOUT_IMPORT'!$Q$42:$Q$1040,SUBSTITUTE(SUBSTITUTE(SUBSTITUTE($M956,"~","~~"),"*","~*"),"?","~?"),'DEF_SELF_SCOUT_IMPORT'!$D$42:$D$1040,SUBSTITUTE(SUBSTITUTE(SUBSTITUTE($P956,"~","~~"),"*","~*"),"?","~?"))/$C956)</f>
        <v>0.0</v>
      </c>
      <c r="E956" s="10">
        <f>IF($C956=0,"",SUMIFS('DEF_SELF_SCOUT_IMPORT'!$K$42:$K$1040,'DEF_SELF_SCOUT_IMPORT'!$L$42:$L$1040,"Y",'DEF_SELF_SCOUT_IMPORT'!$E$42:$E$1040,SUBSTITUTE(SUBSTITUTE(SUBSTITUTE($B956,"~","~~"),"*","~*"),"?","~?"),'DEF_SELF_SCOUT_IMPORT'!$Q$42:$Q$1040,SUBSTITUTE(SUBSTITUTE(SUBSTITUTE($M956,"~","~~"),"*","~*"),"?","~?"),'DEF_SELF_SCOUT_IMPORT'!$D$42:$D$1040,SUBSTITUTE(SUBSTITUTE(SUBSTITUTE($P956,"~","~~"),"*","~*"),"?","~?"))/$C956)</f>
        <v>1.0</v>
      </c>
      <c r="F956" s="11">
        <f>IF($C956=0,"",AVERAGEIFS('DEF_SELF_SCOUT_IMPORT'!$I$42:$I$1040,'DEF_SELF_SCOUT_IMPORT'!$L$42:$L$1040,"Y",'DEF_SELF_SCOUT_IMPORT'!$E$42:$E$1040,SUBSTITUTE(SUBSTITUTE(SUBSTITUTE($B956,"~","~~"),"*","~*"),"?","~?"),'DEF_SELF_SCOUT_IMPORT'!$Q$42:$Q$1040,SUBSTITUTE(SUBSTITUTE(SUBSTITUTE($M956,"~","~~"),"*","~*"),"?","~?"),'DEF_SELF_SCOUT_IMPORT'!$D$42:$D$1040,SUBSTITUTE(SUBSTITUTE(SUBSTITUTE($P956,"~","~~"),"*","~*"),"?","~?")))</f>
        <v>19.0</v>
      </c>
      <c r="G956" s="10">
        <f>IF($C956=0,"",COUNTIFS('DEF_SELF_SCOUT_IMPORT'!$L$42:$L$1040,"Y",'DEF_SELF_SCOUT_IMPORT'!$E$42:$E$1040,SUBSTITUTE(SUBSTITUTE(SUBSTITUTE($B956,"~","~~"),"*","~*"),"?","~?"),'DEF_SELF_SCOUT_IMPORT'!$Q$42:$Q$1040,SUBSTITUTE(SUBSTITUTE(SUBSTITUTE($M956,"~","~~"),"*","~*"),"?","~?"),'DEF_SELF_SCOUT_IMPORT'!$D$42:$D$1040,SUBSTITUTE(SUBSTITUTE(SUBSTITUTE($P956,"~","~~"),"*","~*"),"?","~?"),'DEF_SELF_SCOUT_IMPORT'!$H$42:$H$1040,"RUSH")/$C956)</f>
        <v>0.0</v>
      </c>
      <c r="H956" s="10">
        <f>IF($C956=0,"",COUNTIFS('DEF_SELF_SCOUT_IMPORT'!$L$42:$L$1040,"Y",'DEF_SELF_SCOUT_IMPORT'!$E$42:$E$1040,SUBSTITUTE(SUBSTITUTE(SUBSTITUTE($B956,"~","~~"),"*","~*"),"?","~?"),'DEF_SELF_SCOUT_IMPORT'!$Q$42:$Q$1040,SUBSTITUTE(SUBSTITUTE(SUBSTITUTE($M956,"~","~~"),"*","~*"),"?","~?"),'DEF_SELF_SCOUT_IMPORT'!$D$42:$D$1040,SUBSTITUTE(SUBSTITUTE(SUBSTITUTE($P956,"~","~~"),"*","~*"),"?","~?"),'DEF_SELF_SCOUT_IMPORT'!$H$42:$H$1040,"DROPBACK")/$C956)</f>
        <v>1.0</v>
      </c>
      <c r="I956" s="14" t="str">
        <f>IF(C956=0,"",IF(C956&lt;=2,"TRACK",IF(C956=3,"LOW",IF(C956&lt;=6,"MEDIUM","HIGH"))))</f>
        <v>TRACK</v>
      </c>
      <c r="J956" s="11">
        <f>IF(C956=0,"",ROUND(D956*70+(1-E956)*20+MAX(0,MIN(1,(10-F956)/10))*10,1))</f>
        <v>0.0</v>
      </c>
      <c r="K956" s="14" t="str">
        <f>IF(C956=0,"No Evidence",IF(C956&lt;=2,IF(E956&gt;0,"Explosive Alert","Track Only"),IF(C956=3,"Sample Watch",IF(E956&gt;=START_HERE!$B$31,"Explosive Alert",IF(J956&gt;=80,"Strong Candidate",IF(J956&gt;=65,"Good Candidate",IF(J956&gt;=50,"Mixed / Review","Problem Call")))))))</f>
        <v>Explosive Alert</v>
      </c>
      <c r="L956" s="9" t="str">
        <f>IF(COUNTIFS('DEF_SELF_SCOUT_IMPORT'!$L$42:$L$1040,"Y",'DEF_SELF_SCOUT_IMPORT'!$E$42:$E$1040,SUBSTITUTE(SUBSTITUTE(SUBSTITUTE($B956,"~","~~"),"*","~*"),"?","~?"),'DEF_SELF_SCOUT_IMPORT'!$Q$42:$Q$1040,SUBSTITUTE(SUBSTITUTE(SUBSTITUTE($M956,"~","~~"),"*","~*"),"?","~?"),'DEF_SELF_SCOUT_IMPORT'!$D$42:$D$1040,SUBSTITUTE(SUBSTITUTE(SUBSTITUTE($P956,"~","~~"),"*","~*"),"?","~?"),'DEF_SELF_SCOUT_IMPORT'!$J$42:$J$1040,"")&gt;0,"Unscored clean outcome; review result tags before using score.",IF(C956=0,"No matching defensive reps; film confirmation needed.",IF(K956="Explosive Alert","Explosive risk; review clips before using as answer.",IF(C956&lt;=2,"Track only; not enough sample.",IF(C956=3,IF(E956&gt;0,"Sample watch with explosive exposure; review clips and build the sample.",IF(J956&gt;=65,"Good signal, but sample is limited.","Sample watch; review clips and build the sample.")),IF(K956="Problem Call","Problem area; practice or call-sheet review.",IF(K956="Strong Candidate","Strong call-fit candidate; confirm on film.",IF(K956="Good Candidate","Good call-fit signal; confirm on film.","Mixed signal; review fit and execution on film."))))))))</f>
        <v>Explosive risk; review clips before using as answer.</v>
      </c>
      <c r="M956" s="8" t="s">
        <v>85</v>
      </c>
      <c r="N956" s="8"/>
      <c r="O956" s="8"/>
      <c r="P956" s="8" t="s">
        <v>468</v>
      </c>
      <c r="Q956" s="8"/>
      <c r="R956" s="8" t="s">
        <v>429</v>
      </c>
      <c r="S956" s="2" t="s">
        <v>539</v>
      </c>
      <c r="T956" s="2">
        <f>IF(C956=0,0,IF(C956&gt;=CALL_LOOKUP_BOARD!$B$7,IF(OR(K956="Problem Call",K956="Explosive Alert"),10000000,20000000),0)+IF(C956&gt;=CALL_LOOKUP_BOARD!$B$7,J956*1000+MIN(C956,999),C956*1000+J956)+0.00985400)</f>
        <v>1000.009854</v>
      </c>
      <c r="U956" s="2">
        <f>IF(C956=0,"",IF(COUNTIFS($S$811:$S$1055,SUBSTITUTE(SUBSTITUTE(SUBSTITUTE(S956,"~","~~"),"*","~*"),"?","~?"),$T$811:$T$1055,"&gt;"&amp;T956)=0,S956,""))</f>
        <v/>
      </c>
    </row>
    <row r="957" spans="1:21" ht="38" customHeight="1">
      <c r="A957" s="8" t="s">
        <v>538</v>
      </c>
      <c r="B957" s="8" t="s">
        <v>60</v>
      </c>
      <c r="C957" s="12">
        <f>COUNTIFS('DEF_SELF_SCOUT_IMPORT'!$L$42:$L$1040,"Y",'DEF_SELF_SCOUT_IMPORT'!$E$42:$E$1040,SUBSTITUTE(SUBSTITUTE(SUBSTITUTE($B957,"~","~~"),"*","~*"),"?","~?"),'DEF_SELF_SCOUT_IMPORT'!$Q$42:$Q$1040,SUBSTITUTE(SUBSTITUTE(SUBSTITUTE($M957,"~","~~"),"*","~*"),"?","~?"),'DEF_SELF_SCOUT_IMPORT'!$D$42:$D$1040,SUBSTITUTE(SUBSTITUTE(SUBSTITUTE($P957,"~","~~"),"*","~*"),"?","~?"))</f>
        <v>1</v>
      </c>
      <c r="D957" s="10">
        <f>IF($C957=0,"",SUMIFS('DEF_SELF_SCOUT_IMPORT'!$J$42:$J$1040,'DEF_SELF_SCOUT_IMPORT'!$L$42:$L$1040,"Y",'DEF_SELF_SCOUT_IMPORT'!$E$42:$E$1040,SUBSTITUTE(SUBSTITUTE(SUBSTITUTE($B957,"~","~~"),"*","~*"),"?","~?"),'DEF_SELF_SCOUT_IMPORT'!$Q$42:$Q$1040,SUBSTITUTE(SUBSTITUTE(SUBSTITUTE($M957,"~","~~"),"*","~*"),"?","~?"),'DEF_SELF_SCOUT_IMPORT'!$D$42:$D$1040,SUBSTITUTE(SUBSTITUTE(SUBSTITUTE($P957,"~","~~"),"*","~*"),"?","~?"))/$C957)</f>
        <v>1.0</v>
      </c>
      <c r="E957" s="10">
        <f>IF($C957=0,"",SUMIFS('DEF_SELF_SCOUT_IMPORT'!$K$42:$K$1040,'DEF_SELF_SCOUT_IMPORT'!$L$42:$L$1040,"Y",'DEF_SELF_SCOUT_IMPORT'!$E$42:$E$1040,SUBSTITUTE(SUBSTITUTE(SUBSTITUTE($B957,"~","~~"),"*","~*"),"?","~?"),'DEF_SELF_SCOUT_IMPORT'!$Q$42:$Q$1040,SUBSTITUTE(SUBSTITUTE(SUBSTITUTE($M957,"~","~~"),"*","~*"),"?","~?"),'DEF_SELF_SCOUT_IMPORT'!$D$42:$D$1040,SUBSTITUTE(SUBSTITUTE(SUBSTITUTE($P957,"~","~~"),"*","~*"),"?","~?"))/$C957)</f>
        <v>0.0</v>
      </c>
      <c r="F957" s="11">
        <f>IF($C957=0,"",AVERAGEIFS('DEF_SELF_SCOUT_IMPORT'!$I$42:$I$1040,'DEF_SELF_SCOUT_IMPORT'!$L$42:$L$1040,"Y",'DEF_SELF_SCOUT_IMPORT'!$E$42:$E$1040,SUBSTITUTE(SUBSTITUTE(SUBSTITUTE($B957,"~","~~"),"*","~*"),"?","~?"),'DEF_SELF_SCOUT_IMPORT'!$Q$42:$Q$1040,SUBSTITUTE(SUBSTITUTE(SUBSTITUTE($M957,"~","~~"),"*","~*"),"?","~?"),'DEF_SELF_SCOUT_IMPORT'!$D$42:$D$1040,SUBSTITUTE(SUBSTITUTE(SUBSTITUTE($P957,"~","~~"),"*","~*"),"?","~?")))</f>
        <v>0.0</v>
      </c>
      <c r="G957" s="10">
        <f>IF($C957=0,"",COUNTIFS('DEF_SELF_SCOUT_IMPORT'!$L$42:$L$1040,"Y",'DEF_SELF_SCOUT_IMPORT'!$E$42:$E$1040,SUBSTITUTE(SUBSTITUTE(SUBSTITUTE($B957,"~","~~"),"*","~*"),"?","~?"),'DEF_SELF_SCOUT_IMPORT'!$Q$42:$Q$1040,SUBSTITUTE(SUBSTITUTE(SUBSTITUTE($M957,"~","~~"),"*","~*"),"?","~?"),'DEF_SELF_SCOUT_IMPORT'!$D$42:$D$1040,SUBSTITUTE(SUBSTITUTE(SUBSTITUTE($P957,"~","~~"),"*","~*"),"?","~?"),'DEF_SELF_SCOUT_IMPORT'!$H$42:$H$1040,"RUSH")/$C957)</f>
        <v>0.0</v>
      </c>
      <c r="H957" s="10">
        <f>IF($C957=0,"",COUNTIFS('DEF_SELF_SCOUT_IMPORT'!$L$42:$L$1040,"Y",'DEF_SELF_SCOUT_IMPORT'!$E$42:$E$1040,SUBSTITUTE(SUBSTITUTE(SUBSTITUTE($B957,"~","~~"),"*","~*"),"?","~?"),'DEF_SELF_SCOUT_IMPORT'!$Q$42:$Q$1040,SUBSTITUTE(SUBSTITUTE(SUBSTITUTE($M957,"~","~~"),"*","~*"),"?","~?"),'DEF_SELF_SCOUT_IMPORT'!$D$42:$D$1040,SUBSTITUTE(SUBSTITUTE(SUBSTITUTE($P957,"~","~~"),"*","~*"),"?","~?"),'DEF_SELF_SCOUT_IMPORT'!$H$42:$H$1040,"DROPBACK")/$C957)</f>
        <v>1.0</v>
      </c>
      <c r="I957" s="14" t="str">
        <f>IF(C957=0,"",IF(C957&lt;=2,"TRACK",IF(C957=3,"LOW",IF(C957&lt;=6,"MEDIUM","HIGH"))))</f>
        <v>TRACK</v>
      </c>
      <c r="J957" s="11">
        <f>IF(C957=0,"",ROUND(D957*70+(1-E957)*20+MAX(0,MIN(1,(10-F957)/10))*10,1))</f>
        <v>100.0</v>
      </c>
      <c r="K957" s="14" t="str">
        <f>IF(C957=0,"No Evidence",IF(C957&lt;=2,IF(E957&gt;0,"Explosive Alert","Track Only"),IF(C957=3,"Sample Watch",IF(E957&gt;=START_HERE!$B$31,"Explosive Alert",IF(J957&gt;=80,"Strong Candidate",IF(J957&gt;=65,"Good Candidate",IF(J957&gt;=50,"Mixed / Review","Problem Call")))))))</f>
        <v>Track Only</v>
      </c>
      <c r="L957" s="9" t="str">
        <f>IF(COUNTIFS('DEF_SELF_SCOUT_IMPORT'!$L$42:$L$1040,"Y",'DEF_SELF_SCOUT_IMPORT'!$E$42:$E$1040,SUBSTITUTE(SUBSTITUTE(SUBSTITUTE($B957,"~","~~"),"*","~*"),"?","~?"),'DEF_SELF_SCOUT_IMPORT'!$Q$42:$Q$1040,SUBSTITUTE(SUBSTITUTE(SUBSTITUTE($M957,"~","~~"),"*","~*"),"?","~?"),'DEF_SELF_SCOUT_IMPORT'!$D$42:$D$1040,SUBSTITUTE(SUBSTITUTE(SUBSTITUTE($P957,"~","~~"),"*","~*"),"?","~?"),'DEF_SELF_SCOUT_IMPORT'!$J$42:$J$1040,"")&gt;0,"Unscored clean outcome; review result tags before using score.",IF(C957=0,"No matching defensive reps; film confirmation needed.",IF(K957="Explosive Alert","Explosive risk; review clips before using as answer.",IF(C957&lt;=2,"Track only; not enough sample.",IF(C957=3,IF(E957&gt;0,"Sample watch with explosive exposure; review clips and build the sample.",IF(J957&gt;=65,"Good signal, but sample is limited.","Sample watch; review clips and build the sample.")),IF(K957="Problem Call","Problem area; practice or call-sheet review.",IF(K957="Strong Candidate","Strong call-fit candidate; confirm on film.",IF(K957="Good Candidate","Good call-fit signal; confirm on film.","Mixed signal; review fit and execution on film."))))))))</f>
        <v>Track only; not enough sample.</v>
      </c>
      <c r="M957" s="8" t="s">
        <v>85</v>
      </c>
      <c r="N957" s="8"/>
      <c r="O957" s="8"/>
      <c r="P957" s="8" t="s">
        <v>468</v>
      </c>
      <c r="Q957" s="8"/>
      <c r="R957" s="8" t="s">
        <v>429</v>
      </c>
      <c r="S957" s="2" t="s">
        <v>539</v>
      </c>
      <c r="T957" s="2">
        <f>IF(C957=0,0,IF(C957&gt;=CALL_LOOKUP_BOARD!$B$7,IF(OR(K957="Problem Call",K957="Explosive Alert"),10000000,20000000),0)+IF(C957&gt;=CALL_LOOKUP_BOARD!$B$7,J957*1000+MIN(C957,999),C957*1000+J957)+0.00985300)</f>
        <v>1100.009853</v>
      </c>
      <c r="U957" s="2" t="str">
        <f>IF(C957=0,"",IF(COUNTIFS($S$811:$S$1055,SUBSTITUTE(SUBSTITUTE(SUBSTITUTE(S957,"~","~~"),"*","~*"),"?","~?"),$T$811:$T$1055,"&gt;"&amp;T957)=0,S957,""))</f>
        <v>7:2D 7-10|3:PAP|</v>
      </c>
    </row>
    <row r="958" spans="1:21" ht="38" customHeight="1">
      <c r="A958" s="8" t="s">
        <v>540</v>
      </c>
      <c r="B958" s="8" t="s">
        <v>60</v>
      </c>
      <c r="C958" s="12">
        <f>COUNTIFS('DEF_SELF_SCOUT_IMPORT'!$L$42:$L$1040,"Y",'DEF_SELF_SCOUT_IMPORT'!$E$42:$E$1040,SUBSTITUTE(SUBSTITUTE(SUBSTITUTE($B958,"~","~~"),"*","~*"),"?","~?"),'DEF_SELF_SCOUT_IMPORT'!$Q$42:$Q$1040,SUBSTITUTE(SUBSTITUTE(SUBSTITUTE($M958,"~","~~"),"*","~*"),"?","~?"),'DEF_SELF_SCOUT_IMPORT'!$D$42:$D$1040,SUBSTITUTE(SUBSTITUTE(SUBSTITUTE($P958,"~","~~"),"*","~*"),"?","~?"))</f>
        <v>1</v>
      </c>
      <c r="D958" s="10">
        <f>IF($C958=0,"",SUMIFS('DEF_SELF_SCOUT_IMPORT'!$J$42:$J$1040,'DEF_SELF_SCOUT_IMPORT'!$L$42:$L$1040,"Y",'DEF_SELF_SCOUT_IMPORT'!$E$42:$E$1040,SUBSTITUTE(SUBSTITUTE(SUBSTITUTE($B958,"~","~~"),"*","~*"),"?","~?"),'DEF_SELF_SCOUT_IMPORT'!$Q$42:$Q$1040,SUBSTITUTE(SUBSTITUTE(SUBSTITUTE($M958,"~","~~"),"*","~*"),"?","~?"),'DEF_SELF_SCOUT_IMPORT'!$D$42:$D$1040,SUBSTITUTE(SUBSTITUTE(SUBSTITUTE($P958,"~","~~"),"*","~*"),"?","~?"))/$C958)</f>
        <v>1.0</v>
      </c>
      <c r="E958" s="10">
        <f>IF($C958=0,"",SUMIFS('DEF_SELF_SCOUT_IMPORT'!$K$42:$K$1040,'DEF_SELF_SCOUT_IMPORT'!$L$42:$L$1040,"Y",'DEF_SELF_SCOUT_IMPORT'!$E$42:$E$1040,SUBSTITUTE(SUBSTITUTE(SUBSTITUTE($B958,"~","~~"),"*","~*"),"?","~?"),'DEF_SELF_SCOUT_IMPORT'!$Q$42:$Q$1040,SUBSTITUTE(SUBSTITUTE(SUBSTITUTE($M958,"~","~~"),"*","~*"),"?","~?"),'DEF_SELF_SCOUT_IMPORT'!$D$42:$D$1040,SUBSTITUTE(SUBSTITUTE(SUBSTITUTE($P958,"~","~~"),"*","~*"),"?","~?"))/$C958)</f>
        <v>0.0</v>
      </c>
      <c r="F958" s="11">
        <f>IF($C958=0,"",AVERAGEIFS('DEF_SELF_SCOUT_IMPORT'!$I$42:$I$1040,'DEF_SELF_SCOUT_IMPORT'!$L$42:$L$1040,"Y",'DEF_SELF_SCOUT_IMPORT'!$E$42:$E$1040,SUBSTITUTE(SUBSTITUTE(SUBSTITUTE($B958,"~","~~"),"*","~*"),"?","~?"),'DEF_SELF_SCOUT_IMPORT'!$Q$42:$Q$1040,SUBSTITUTE(SUBSTITUTE(SUBSTITUTE($M958,"~","~~"),"*","~*"),"?","~?"),'DEF_SELF_SCOUT_IMPORT'!$D$42:$D$1040,SUBSTITUTE(SUBSTITUTE(SUBSTITUTE($P958,"~","~~"),"*","~*"),"?","~?")))</f>
        <v>0.0</v>
      </c>
      <c r="G958" s="10">
        <f>IF($C958=0,"",COUNTIFS('DEF_SELF_SCOUT_IMPORT'!$L$42:$L$1040,"Y",'DEF_SELF_SCOUT_IMPORT'!$E$42:$E$1040,SUBSTITUTE(SUBSTITUTE(SUBSTITUTE($B958,"~","~~"),"*","~*"),"?","~?"),'DEF_SELF_SCOUT_IMPORT'!$Q$42:$Q$1040,SUBSTITUTE(SUBSTITUTE(SUBSTITUTE($M958,"~","~~"),"*","~*"),"?","~?"),'DEF_SELF_SCOUT_IMPORT'!$D$42:$D$1040,SUBSTITUTE(SUBSTITUTE(SUBSTITUTE($P958,"~","~~"),"*","~*"),"?","~?"),'DEF_SELF_SCOUT_IMPORT'!$H$42:$H$1040,"RUSH")/$C958)</f>
        <v>1.0</v>
      </c>
      <c r="H958" s="10">
        <f>IF($C958=0,"",COUNTIFS('DEF_SELF_SCOUT_IMPORT'!$L$42:$L$1040,"Y",'DEF_SELF_SCOUT_IMPORT'!$E$42:$E$1040,SUBSTITUTE(SUBSTITUTE(SUBSTITUTE($B958,"~","~~"),"*","~*"),"?","~?"),'DEF_SELF_SCOUT_IMPORT'!$Q$42:$Q$1040,SUBSTITUTE(SUBSTITUTE(SUBSTITUTE($M958,"~","~~"),"*","~*"),"?","~?"),'DEF_SELF_SCOUT_IMPORT'!$D$42:$D$1040,SUBSTITUTE(SUBSTITUTE(SUBSTITUTE($P958,"~","~~"),"*","~*"),"?","~?"),'DEF_SELF_SCOUT_IMPORT'!$H$42:$H$1040,"DROPBACK")/$C958)</f>
        <v>0.0</v>
      </c>
      <c r="I958" s="14" t="str">
        <f>IF(C958=0,"",IF(C958&lt;=2,"TRACK",IF(C958=3,"LOW",IF(C958&lt;=6,"MEDIUM","HIGH"))))</f>
        <v>TRACK</v>
      </c>
      <c r="J958" s="11">
        <f>IF(C958=0,"",ROUND(D958*70+(1-E958)*20+MAX(0,MIN(1,(10-F958)/10))*10,1))</f>
        <v>100.0</v>
      </c>
      <c r="K958" s="14" t="str">
        <f>IF(C958=0,"No Evidence",IF(C958&lt;=2,IF(E958&gt;0,"Explosive Alert","Track Only"),IF(C958=3,"Sample Watch",IF(E958&gt;=START_HERE!$B$31,"Explosive Alert",IF(J958&gt;=80,"Strong Candidate",IF(J958&gt;=65,"Good Candidate",IF(J958&gt;=50,"Mixed / Review","Problem Call")))))))</f>
        <v>Track Only</v>
      </c>
      <c r="L958" s="9" t="str">
        <f>IF(COUNTIFS('DEF_SELF_SCOUT_IMPORT'!$L$42:$L$1040,"Y",'DEF_SELF_SCOUT_IMPORT'!$E$42:$E$1040,SUBSTITUTE(SUBSTITUTE(SUBSTITUTE($B958,"~","~~"),"*","~*"),"?","~?"),'DEF_SELF_SCOUT_IMPORT'!$Q$42:$Q$1040,SUBSTITUTE(SUBSTITUTE(SUBSTITUTE($M958,"~","~~"),"*","~*"),"?","~?"),'DEF_SELF_SCOUT_IMPORT'!$D$42:$D$1040,SUBSTITUTE(SUBSTITUTE(SUBSTITUTE($P958,"~","~~"),"*","~*"),"?","~?"),'DEF_SELF_SCOUT_IMPORT'!$J$42:$J$1040,"")&gt;0,"Unscored clean outcome; review result tags before using score.",IF(C958=0,"No matching defensive reps; film confirmation needed.",IF(K958="Explosive Alert","Explosive risk; review clips before using as answer.",IF(C958&lt;=2,"Track only; not enough sample.",IF(C958=3,IF(E958&gt;0,"Sample watch with explosive exposure; review clips and build the sample.",IF(J958&gt;=65,"Good signal, but sample is limited.","Sample watch; review clips and build the sample.")),IF(K958="Problem Call","Problem area; practice or call-sheet review.",IF(K958="Strong Candidate","Strong call-fit candidate; confirm on film.",IF(K958="Good Candidate","Good call-fit signal; confirm on film.","Mixed signal; review fit and execution on film."))))))))</f>
        <v>Track only; not enough sample.</v>
      </c>
      <c r="M958" s="8" t="s">
        <v>85</v>
      </c>
      <c r="N958" s="8"/>
      <c r="O958" s="8"/>
      <c r="P958" s="8" t="s">
        <v>541</v>
      </c>
      <c r="Q958" s="8"/>
      <c r="R958" s="8" t="s">
        <v>429</v>
      </c>
      <c r="S958" s="2" t="s">
        <v>542</v>
      </c>
      <c r="T958" s="2">
        <f>IF(C958=0,0,IF(C958&gt;=CALL_LOOKUP_BOARD!$B$7,IF(OR(K958="Problem Call",K958="Explosive Alert"),10000000,20000000),0)+IF(C958&gt;=CALL_LOOKUP_BOARD!$B$7,J958*1000+MIN(C958,999),C958*1000+J958)+0.00985200)</f>
        <v>1100.009852</v>
      </c>
      <c r="U958" s="2" t="str">
        <f>IF(C958=0,"",IF(COUNTIFS($S$811:$S$1055,SUBSTITUTE(SUBSTITUTE(SUBSTITUTE(S958,"~","~~"),"*","~*"),"?","~?"),$T$811:$T$1055,"&gt;"&amp;T958)=0,S958,""))</f>
        <v>7:2D 7-10|5:POWER|</v>
      </c>
    </row>
    <row r="959" spans="1:21" ht="38" customHeight="1">
      <c r="A959" s="8" t="s">
        <v>543</v>
      </c>
      <c r="B959" s="8" t="s">
        <v>48</v>
      </c>
      <c r="C959" s="12">
        <f>COUNTIFS('DEF_SELF_SCOUT_IMPORT'!$L$42:$L$1040,"Y",'DEF_SELF_SCOUT_IMPORT'!$E$42:$E$1040,SUBSTITUTE(SUBSTITUTE(SUBSTITUTE($B959,"~","~~"),"*","~*"),"?","~?"),'DEF_SELF_SCOUT_IMPORT'!$Q$42:$Q$1040,SUBSTITUTE(SUBSTITUTE(SUBSTITUTE($M959,"~","~~"),"*","~*"),"?","~?"),'DEF_SELF_SCOUT_IMPORT'!$D$42:$D$1040,SUBSTITUTE(SUBSTITUTE(SUBSTITUTE($P959,"~","~~"),"*","~*"),"?","~?"))</f>
        <v>1</v>
      </c>
      <c r="D959" s="10">
        <f>IF($C959=0,"",SUMIFS('DEF_SELF_SCOUT_IMPORT'!$J$42:$J$1040,'DEF_SELF_SCOUT_IMPORT'!$L$42:$L$1040,"Y",'DEF_SELF_SCOUT_IMPORT'!$E$42:$E$1040,SUBSTITUTE(SUBSTITUTE(SUBSTITUTE($B959,"~","~~"),"*","~*"),"?","~?"),'DEF_SELF_SCOUT_IMPORT'!$Q$42:$Q$1040,SUBSTITUTE(SUBSTITUTE(SUBSTITUTE($M959,"~","~~"),"*","~*"),"?","~?"),'DEF_SELF_SCOUT_IMPORT'!$D$42:$D$1040,SUBSTITUTE(SUBSTITUTE(SUBSTITUTE($P959,"~","~~"),"*","~*"),"?","~?"))/$C959)</f>
        <v>0.0</v>
      </c>
      <c r="E959" s="10">
        <f>IF($C959=0,"",SUMIFS('DEF_SELF_SCOUT_IMPORT'!$K$42:$K$1040,'DEF_SELF_SCOUT_IMPORT'!$L$42:$L$1040,"Y",'DEF_SELF_SCOUT_IMPORT'!$E$42:$E$1040,SUBSTITUTE(SUBSTITUTE(SUBSTITUTE($B959,"~","~~"),"*","~*"),"?","~?"),'DEF_SELF_SCOUT_IMPORT'!$Q$42:$Q$1040,SUBSTITUTE(SUBSTITUTE(SUBSTITUTE($M959,"~","~~"),"*","~*"),"?","~?"),'DEF_SELF_SCOUT_IMPORT'!$D$42:$D$1040,SUBSTITUTE(SUBSTITUTE(SUBSTITUTE($P959,"~","~~"),"*","~*"),"?","~?"))/$C959)</f>
        <v>0.0</v>
      </c>
      <c r="F959" s="11">
        <f>IF($C959=0,"",AVERAGEIFS('DEF_SELF_SCOUT_IMPORT'!$I$42:$I$1040,'DEF_SELF_SCOUT_IMPORT'!$L$42:$L$1040,"Y",'DEF_SELF_SCOUT_IMPORT'!$E$42:$E$1040,SUBSTITUTE(SUBSTITUTE(SUBSTITUTE($B959,"~","~~"),"*","~*"),"?","~?"),'DEF_SELF_SCOUT_IMPORT'!$Q$42:$Q$1040,SUBSTITUTE(SUBSTITUTE(SUBSTITUTE($M959,"~","~~"),"*","~*"),"?","~?"),'DEF_SELF_SCOUT_IMPORT'!$D$42:$D$1040,SUBSTITUTE(SUBSTITUTE(SUBSTITUTE($P959,"~","~~"),"*","~*"),"?","~?")))</f>
        <v>10.0</v>
      </c>
      <c r="G959" s="10">
        <f>IF($C959=0,"",COUNTIFS('DEF_SELF_SCOUT_IMPORT'!$L$42:$L$1040,"Y",'DEF_SELF_SCOUT_IMPORT'!$E$42:$E$1040,SUBSTITUTE(SUBSTITUTE(SUBSTITUTE($B959,"~","~~"),"*","~*"),"?","~?"),'DEF_SELF_SCOUT_IMPORT'!$Q$42:$Q$1040,SUBSTITUTE(SUBSTITUTE(SUBSTITUTE($M959,"~","~~"),"*","~*"),"?","~?"),'DEF_SELF_SCOUT_IMPORT'!$D$42:$D$1040,SUBSTITUTE(SUBSTITUTE(SUBSTITUTE($P959,"~","~~"),"*","~*"),"?","~?"),'DEF_SELF_SCOUT_IMPORT'!$H$42:$H$1040,"RUSH")/$C959)</f>
        <v>0.0</v>
      </c>
      <c r="H959" s="10">
        <f>IF($C959=0,"",COUNTIFS('DEF_SELF_SCOUT_IMPORT'!$L$42:$L$1040,"Y",'DEF_SELF_SCOUT_IMPORT'!$E$42:$E$1040,SUBSTITUTE(SUBSTITUTE(SUBSTITUTE($B959,"~","~~"),"*","~*"),"?","~?"),'DEF_SELF_SCOUT_IMPORT'!$Q$42:$Q$1040,SUBSTITUTE(SUBSTITUTE(SUBSTITUTE($M959,"~","~~"),"*","~*"),"?","~?"),'DEF_SELF_SCOUT_IMPORT'!$D$42:$D$1040,SUBSTITUTE(SUBSTITUTE(SUBSTITUTE($P959,"~","~~"),"*","~*"),"?","~?"),'DEF_SELF_SCOUT_IMPORT'!$H$42:$H$1040,"DROPBACK")/$C959)</f>
        <v>1.0</v>
      </c>
      <c r="I959" s="14" t="str">
        <f>IF(C959=0,"",IF(C959&lt;=2,"TRACK",IF(C959=3,"LOW",IF(C959&lt;=6,"MEDIUM","HIGH"))))</f>
        <v>TRACK</v>
      </c>
      <c r="J959" s="11">
        <f>IF(C959=0,"",ROUND(D959*70+(1-E959)*20+MAX(0,MIN(1,(10-F959)/10))*10,1))</f>
        <v>20.0</v>
      </c>
      <c r="K959" s="14" t="str">
        <f>IF(C959=0,"No Evidence",IF(C959&lt;=2,IF(E959&gt;0,"Explosive Alert","Track Only"),IF(C959=3,"Sample Watch",IF(E959&gt;=START_HERE!$B$31,"Explosive Alert",IF(J959&gt;=80,"Strong Candidate",IF(J959&gt;=65,"Good Candidate",IF(J959&gt;=50,"Mixed / Review","Problem Call")))))))</f>
        <v>Track Only</v>
      </c>
      <c r="L959" s="9" t="str">
        <f>IF(COUNTIFS('DEF_SELF_SCOUT_IMPORT'!$L$42:$L$1040,"Y",'DEF_SELF_SCOUT_IMPORT'!$E$42:$E$1040,SUBSTITUTE(SUBSTITUTE(SUBSTITUTE($B959,"~","~~"),"*","~*"),"?","~?"),'DEF_SELF_SCOUT_IMPORT'!$Q$42:$Q$1040,SUBSTITUTE(SUBSTITUTE(SUBSTITUTE($M959,"~","~~"),"*","~*"),"?","~?"),'DEF_SELF_SCOUT_IMPORT'!$D$42:$D$1040,SUBSTITUTE(SUBSTITUTE(SUBSTITUTE($P959,"~","~~"),"*","~*"),"?","~?"),'DEF_SELF_SCOUT_IMPORT'!$J$42:$J$1040,"")&gt;0,"Unscored clean outcome; review result tags before using score.",IF(C959=0,"No matching defensive reps; film confirmation needed.",IF(K959="Explosive Alert","Explosive risk; review clips before using as answer.",IF(C959&lt;=2,"Track only; not enough sample.",IF(C959=3,IF(E959&gt;0,"Sample watch with explosive exposure; review clips and build the sample.",IF(J959&gt;=65,"Good signal, but sample is limited.","Sample watch; review clips and build the sample.")),IF(K959="Problem Call","Problem area; practice or call-sheet review.",IF(K959="Strong Candidate","Strong call-fit candidate; confirm on film.",IF(K959="Good Candidate","Good call-fit signal; confirm on film.","Mixed signal; review fit and execution on film."))))))))</f>
        <v>Track only; not enough sample.</v>
      </c>
      <c r="M959" s="8" t="s">
        <v>85</v>
      </c>
      <c r="N959" s="8"/>
      <c r="O959" s="8"/>
      <c r="P959" s="8" t="s">
        <v>471</v>
      </c>
      <c r="Q959" s="8"/>
      <c r="R959" s="8" t="s">
        <v>429</v>
      </c>
      <c r="S959" s="2" t="s">
        <v>544</v>
      </c>
      <c r="T959" s="2">
        <f>IF(C959=0,0,IF(C959&gt;=CALL_LOOKUP_BOARD!$B$7,IF(OR(K959="Problem Call",K959="Explosive Alert"),10000000,20000000),0)+IF(C959&gt;=CALL_LOOKUP_BOARD!$B$7,J959*1000+MIN(C959,999),C959*1000+J959)+0.00985100)</f>
        <v>1020.009851</v>
      </c>
      <c r="U959" s="2">
        <f>IF(C959=0,"",IF(COUNTIFS($S$811:$S$1055,SUBSTITUTE(SUBSTITUTE(SUBSTITUTE(S959,"~","~~"),"*","~*"),"?","~?"),$T$811:$T$1055,"&gt;"&amp;T959)=0,S959,""))</f>
        <v/>
      </c>
    </row>
    <row r="960" spans="1:21" ht="38" customHeight="1">
      <c r="A960" s="8" t="s">
        <v>543</v>
      </c>
      <c r="B960" s="8" t="s">
        <v>79</v>
      </c>
      <c r="C960" s="12">
        <f>COUNTIFS('DEF_SELF_SCOUT_IMPORT'!$L$42:$L$1040,"Y",'DEF_SELF_SCOUT_IMPORT'!$E$42:$E$1040,SUBSTITUTE(SUBSTITUTE(SUBSTITUTE($B960,"~","~~"),"*","~*"),"?","~?"),'DEF_SELF_SCOUT_IMPORT'!$Q$42:$Q$1040,SUBSTITUTE(SUBSTITUTE(SUBSTITUTE($M960,"~","~~"),"*","~*"),"?","~?"),'DEF_SELF_SCOUT_IMPORT'!$D$42:$D$1040,SUBSTITUTE(SUBSTITUTE(SUBSTITUTE($P960,"~","~~"),"*","~*"),"?","~?"))</f>
        <v>1</v>
      </c>
      <c r="D960" s="10">
        <f>IF($C960=0,"",SUMIFS('DEF_SELF_SCOUT_IMPORT'!$J$42:$J$1040,'DEF_SELF_SCOUT_IMPORT'!$L$42:$L$1040,"Y",'DEF_SELF_SCOUT_IMPORT'!$E$42:$E$1040,SUBSTITUTE(SUBSTITUTE(SUBSTITUTE($B960,"~","~~"),"*","~*"),"?","~?"),'DEF_SELF_SCOUT_IMPORT'!$Q$42:$Q$1040,SUBSTITUTE(SUBSTITUTE(SUBSTITUTE($M960,"~","~~"),"*","~*"),"?","~?"),'DEF_SELF_SCOUT_IMPORT'!$D$42:$D$1040,SUBSTITUTE(SUBSTITUTE(SUBSTITUTE($P960,"~","~~"),"*","~*"),"?","~?"))/$C960)</f>
        <v>1.0</v>
      </c>
      <c r="E960" s="10">
        <f>IF($C960=0,"",SUMIFS('DEF_SELF_SCOUT_IMPORT'!$K$42:$K$1040,'DEF_SELF_SCOUT_IMPORT'!$L$42:$L$1040,"Y",'DEF_SELF_SCOUT_IMPORT'!$E$42:$E$1040,SUBSTITUTE(SUBSTITUTE(SUBSTITUTE($B960,"~","~~"),"*","~*"),"?","~?"),'DEF_SELF_SCOUT_IMPORT'!$Q$42:$Q$1040,SUBSTITUTE(SUBSTITUTE(SUBSTITUTE($M960,"~","~~"),"*","~*"),"?","~?"),'DEF_SELF_SCOUT_IMPORT'!$D$42:$D$1040,SUBSTITUTE(SUBSTITUTE(SUBSTITUTE($P960,"~","~~"),"*","~*"),"?","~?"))/$C960)</f>
        <v>0.0</v>
      </c>
      <c r="F960" s="11">
        <f>IF($C960=0,"",AVERAGEIFS('DEF_SELF_SCOUT_IMPORT'!$I$42:$I$1040,'DEF_SELF_SCOUT_IMPORT'!$L$42:$L$1040,"Y",'DEF_SELF_SCOUT_IMPORT'!$E$42:$E$1040,SUBSTITUTE(SUBSTITUTE(SUBSTITUTE($B960,"~","~~"),"*","~*"),"?","~?"),'DEF_SELF_SCOUT_IMPORT'!$Q$42:$Q$1040,SUBSTITUTE(SUBSTITUTE(SUBSTITUTE($M960,"~","~~"),"*","~*"),"?","~?"),'DEF_SELF_SCOUT_IMPORT'!$D$42:$D$1040,SUBSTITUTE(SUBSTITUTE(SUBSTITUTE($P960,"~","~~"),"*","~*"),"?","~?")))</f>
        <v>0.0</v>
      </c>
      <c r="G960" s="10">
        <f>IF($C960=0,"",COUNTIFS('DEF_SELF_SCOUT_IMPORT'!$L$42:$L$1040,"Y",'DEF_SELF_SCOUT_IMPORT'!$E$42:$E$1040,SUBSTITUTE(SUBSTITUTE(SUBSTITUTE($B960,"~","~~"),"*","~*"),"?","~?"),'DEF_SELF_SCOUT_IMPORT'!$Q$42:$Q$1040,SUBSTITUTE(SUBSTITUTE(SUBSTITUTE($M960,"~","~~"),"*","~*"),"?","~?"),'DEF_SELF_SCOUT_IMPORT'!$D$42:$D$1040,SUBSTITUTE(SUBSTITUTE(SUBSTITUTE($P960,"~","~~"),"*","~*"),"?","~?"),'DEF_SELF_SCOUT_IMPORT'!$H$42:$H$1040,"RUSH")/$C960)</f>
        <v>0.0</v>
      </c>
      <c r="H960" s="10">
        <f>IF($C960=0,"",COUNTIFS('DEF_SELF_SCOUT_IMPORT'!$L$42:$L$1040,"Y",'DEF_SELF_SCOUT_IMPORT'!$E$42:$E$1040,SUBSTITUTE(SUBSTITUTE(SUBSTITUTE($B960,"~","~~"),"*","~*"),"?","~?"),'DEF_SELF_SCOUT_IMPORT'!$Q$42:$Q$1040,SUBSTITUTE(SUBSTITUTE(SUBSTITUTE($M960,"~","~~"),"*","~*"),"?","~?"),'DEF_SELF_SCOUT_IMPORT'!$D$42:$D$1040,SUBSTITUTE(SUBSTITUTE(SUBSTITUTE($P960,"~","~~"),"*","~*"),"?","~?"),'DEF_SELF_SCOUT_IMPORT'!$H$42:$H$1040,"DROPBACK")/$C960)</f>
        <v>1.0</v>
      </c>
      <c r="I960" s="14" t="str">
        <f>IF(C960=0,"",IF(C960&lt;=2,"TRACK",IF(C960=3,"LOW",IF(C960&lt;=6,"MEDIUM","HIGH"))))</f>
        <v>TRACK</v>
      </c>
      <c r="J960" s="11">
        <f>IF(C960=0,"",ROUND(D960*70+(1-E960)*20+MAX(0,MIN(1,(10-F960)/10))*10,1))</f>
        <v>100.0</v>
      </c>
      <c r="K960" s="14" t="str">
        <f>IF(C960=0,"No Evidence",IF(C960&lt;=2,IF(E960&gt;0,"Explosive Alert","Track Only"),IF(C960=3,"Sample Watch",IF(E960&gt;=START_HERE!$B$31,"Explosive Alert",IF(J960&gt;=80,"Strong Candidate",IF(J960&gt;=65,"Good Candidate",IF(J960&gt;=50,"Mixed / Review","Problem Call")))))))</f>
        <v>Track Only</v>
      </c>
      <c r="L960" s="9" t="str">
        <f>IF(COUNTIFS('DEF_SELF_SCOUT_IMPORT'!$L$42:$L$1040,"Y",'DEF_SELF_SCOUT_IMPORT'!$E$42:$E$1040,SUBSTITUTE(SUBSTITUTE(SUBSTITUTE($B960,"~","~~"),"*","~*"),"?","~?"),'DEF_SELF_SCOUT_IMPORT'!$Q$42:$Q$1040,SUBSTITUTE(SUBSTITUTE(SUBSTITUTE($M960,"~","~~"),"*","~*"),"?","~?"),'DEF_SELF_SCOUT_IMPORT'!$D$42:$D$1040,SUBSTITUTE(SUBSTITUTE(SUBSTITUTE($P960,"~","~~"),"*","~*"),"?","~?"),'DEF_SELF_SCOUT_IMPORT'!$J$42:$J$1040,"")&gt;0,"Unscored clean outcome; review result tags before using score.",IF(C960=0,"No matching defensive reps; film confirmation needed.",IF(K960="Explosive Alert","Explosive risk; review clips before using as answer.",IF(C960&lt;=2,"Track only; not enough sample.",IF(C960=3,IF(E960&gt;0,"Sample watch with explosive exposure; review clips and build the sample.",IF(J960&gt;=65,"Good signal, but sample is limited.","Sample watch; review clips and build the sample.")),IF(K960="Problem Call","Problem area; practice or call-sheet review.",IF(K960="Strong Candidate","Strong call-fit candidate; confirm on film.",IF(K960="Good Candidate","Good call-fit signal; confirm on film.","Mixed signal; review fit and execution on film."))))))))</f>
        <v>Track only; not enough sample.</v>
      </c>
      <c r="M960" s="8" t="s">
        <v>85</v>
      </c>
      <c r="N960" s="8"/>
      <c r="O960" s="8"/>
      <c r="P960" s="8" t="s">
        <v>471</v>
      </c>
      <c r="Q960" s="8"/>
      <c r="R960" s="8" t="s">
        <v>429</v>
      </c>
      <c r="S960" s="2" t="s">
        <v>544</v>
      </c>
      <c r="T960" s="2">
        <f>IF(C960=0,0,IF(C960&gt;=CALL_LOOKUP_BOARD!$B$7,IF(OR(K960="Problem Call",K960="Explosive Alert"),10000000,20000000),0)+IF(C960&gt;=CALL_LOOKUP_BOARD!$B$7,J960*1000+MIN(C960,999),C960*1000+J960)+0.00985000)</f>
        <v>1100.00985</v>
      </c>
      <c r="U960" s="2" t="str">
        <f>IF(C960=0,"",IF(COUNTIFS($S$811:$S$1055,SUBSTITUTE(SUBSTITUTE(SUBSTITUTE(S960,"~","~~"),"*","~*"),"?","~?"),$T$811:$T$1055,"&gt;"&amp;T960)=0,S960,""))</f>
        <v>7:2D 7-10|3:RPO|</v>
      </c>
    </row>
    <row r="961" spans="1:21" ht="38" customHeight="1">
      <c r="A961" s="8" t="s">
        <v>543</v>
      </c>
      <c r="B961" s="8" t="s">
        <v>53</v>
      </c>
      <c r="C961" s="12">
        <f>COUNTIFS('DEF_SELF_SCOUT_IMPORT'!$L$42:$L$1040,"Y",'DEF_SELF_SCOUT_IMPORT'!$E$42:$E$1040,SUBSTITUTE(SUBSTITUTE(SUBSTITUTE($B961,"~","~~"),"*","~*"),"?","~?"),'DEF_SELF_SCOUT_IMPORT'!$Q$42:$Q$1040,SUBSTITUTE(SUBSTITUTE(SUBSTITUTE($M961,"~","~~"),"*","~*"),"?","~?"),'DEF_SELF_SCOUT_IMPORT'!$D$42:$D$1040,SUBSTITUTE(SUBSTITUTE(SUBSTITUTE($P961,"~","~~"),"*","~*"),"?","~?"))</f>
        <v>1</v>
      </c>
      <c r="D961" s="10">
        <f>IF($C961=0,"",SUMIFS('DEF_SELF_SCOUT_IMPORT'!$J$42:$J$1040,'DEF_SELF_SCOUT_IMPORT'!$L$42:$L$1040,"Y",'DEF_SELF_SCOUT_IMPORT'!$E$42:$E$1040,SUBSTITUTE(SUBSTITUTE(SUBSTITUTE($B961,"~","~~"),"*","~*"),"?","~?"),'DEF_SELF_SCOUT_IMPORT'!$Q$42:$Q$1040,SUBSTITUTE(SUBSTITUTE(SUBSTITUTE($M961,"~","~~"),"*","~*"),"?","~?"),'DEF_SELF_SCOUT_IMPORT'!$D$42:$D$1040,SUBSTITUTE(SUBSTITUTE(SUBSTITUTE($P961,"~","~~"),"*","~*"),"?","~?"))/$C961)</f>
        <v>1.0</v>
      </c>
      <c r="E961" s="10">
        <f>IF($C961=0,"",SUMIFS('DEF_SELF_SCOUT_IMPORT'!$K$42:$K$1040,'DEF_SELF_SCOUT_IMPORT'!$L$42:$L$1040,"Y",'DEF_SELF_SCOUT_IMPORT'!$E$42:$E$1040,SUBSTITUTE(SUBSTITUTE(SUBSTITUTE($B961,"~","~~"),"*","~*"),"?","~?"),'DEF_SELF_SCOUT_IMPORT'!$Q$42:$Q$1040,SUBSTITUTE(SUBSTITUTE(SUBSTITUTE($M961,"~","~~"),"*","~*"),"?","~?"),'DEF_SELF_SCOUT_IMPORT'!$D$42:$D$1040,SUBSTITUTE(SUBSTITUTE(SUBSTITUTE($P961,"~","~~"),"*","~*"),"?","~?"))/$C961)</f>
        <v>0.0</v>
      </c>
      <c r="F961" s="11">
        <f>IF($C961=0,"",AVERAGEIFS('DEF_SELF_SCOUT_IMPORT'!$I$42:$I$1040,'DEF_SELF_SCOUT_IMPORT'!$L$42:$L$1040,"Y",'DEF_SELF_SCOUT_IMPORT'!$E$42:$E$1040,SUBSTITUTE(SUBSTITUTE(SUBSTITUTE($B961,"~","~~"),"*","~*"),"?","~?"),'DEF_SELF_SCOUT_IMPORT'!$Q$42:$Q$1040,SUBSTITUTE(SUBSTITUTE(SUBSTITUTE($M961,"~","~~"),"*","~*"),"?","~?"),'DEF_SELF_SCOUT_IMPORT'!$D$42:$D$1040,SUBSTITUTE(SUBSTITUTE(SUBSTITUTE($P961,"~","~~"),"*","~*"),"?","~?")))</f>
        <v>6.0</v>
      </c>
      <c r="G961" s="10">
        <f>IF($C961=0,"",COUNTIFS('DEF_SELF_SCOUT_IMPORT'!$L$42:$L$1040,"Y",'DEF_SELF_SCOUT_IMPORT'!$E$42:$E$1040,SUBSTITUTE(SUBSTITUTE(SUBSTITUTE($B961,"~","~~"),"*","~*"),"?","~?"),'DEF_SELF_SCOUT_IMPORT'!$Q$42:$Q$1040,SUBSTITUTE(SUBSTITUTE(SUBSTITUTE($M961,"~","~~"),"*","~*"),"?","~?"),'DEF_SELF_SCOUT_IMPORT'!$D$42:$D$1040,SUBSTITUTE(SUBSTITUTE(SUBSTITUTE($P961,"~","~~"),"*","~*"),"?","~?"),'DEF_SELF_SCOUT_IMPORT'!$H$42:$H$1040,"RUSH")/$C961)</f>
        <v>0.0</v>
      </c>
      <c r="H961" s="10">
        <f>IF($C961=0,"",COUNTIFS('DEF_SELF_SCOUT_IMPORT'!$L$42:$L$1040,"Y",'DEF_SELF_SCOUT_IMPORT'!$E$42:$E$1040,SUBSTITUTE(SUBSTITUTE(SUBSTITUTE($B961,"~","~~"),"*","~*"),"?","~?"),'DEF_SELF_SCOUT_IMPORT'!$Q$42:$Q$1040,SUBSTITUTE(SUBSTITUTE(SUBSTITUTE($M961,"~","~~"),"*","~*"),"?","~?"),'DEF_SELF_SCOUT_IMPORT'!$D$42:$D$1040,SUBSTITUTE(SUBSTITUTE(SUBSTITUTE($P961,"~","~~"),"*","~*"),"?","~?"),'DEF_SELF_SCOUT_IMPORT'!$H$42:$H$1040,"DROPBACK")/$C961)</f>
        <v>1.0</v>
      </c>
      <c r="I961" s="14" t="str">
        <f>IF(C961=0,"",IF(C961&lt;=2,"TRACK",IF(C961=3,"LOW",IF(C961&lt;=6,"MEDIUM","HIGH"))))</f>
        <v>TRACK</v>
      </c>
      <c r="J961" s="11">
        <f>IF(C961=0,"",ROUND(D961*70+(1-E961)*20+MAX(0,MIN(1,(10-F961)/10))*10,1))</f>
        <v>94.0</v>
      </c>
      <c r="K961" s="14" t="str">
        <f>IF(C961=0,"No Evidence",IF(C961&lt;=2,IF(E961&gt;0,"Explosive Alert","Track Only"),IF(C961=3,"Sample Watch",IF(E961&gt;=START_HERE!$B$31,"Explosive Alert",IF(J961&gt;=80,"Strong Candidate",IF(J961&gt;=65,"Good Candidate",IF(J961&gt;=50,"Mixed / Review","Problem Call")))))))</f>
        <v>Track Only</v>
      </c>
      <c r="L961" s="9" t="str">
        <f>IF(COUNTIFS('DEF_SELF_SCOUT_IMPORT'!$L$42:$L$1040,"Y",'DEF_SELF_SCOUT_IMPORT'!$E$42:$E$1040,SUBSTITUTE(SUBSTITUTE(SUBSTITUTE($B961,"~","~~"),"*","~*"),"?","~?"),'DEF_SELF_SCOUT_IMPORT'!$Q$42:$Q$1040,SUBSTITUTE(SUBSTITUTE(SUBSTITUTE($M961,"~","~~"),"*","~*"),"?","~?"),'DEF_SELF_SCOUT_IMPORT'!$D$42:$D$1040,SUBSTITUTE(SUBSTITUTE(SUBSTITUTE($P961,"~","~~"),"*","~*"),"?","~?"),'DEF_SELF_SCOUT_IMPORT'!$J$42:$J$1040,"")&gt;0,"Unscored clean outcome; review result tags before using score.",IF(C961=0,"No matching defensive reps; film confirmation needed.",IF(K961="Explosive Alert","Explosive risk; review clips before using as answer.",IF(C961&lt;=2,"Track only; not enough sample.",IF(C961=3,IF(E961&gt;0,"Sample watch with explosive exposure; review clips and build the sample.",IF(J961&gt;=65,"Good signal, but sample is limited.","Sample watch; review clips and build the sample.")),IF(K961="Problem Call","Problem area; practice or call-sheet review.",IF(K961="Strong Candidate","Strong call-fit candidate; confirm on film.",IF(K961="Good Candidate","Good call-fit signal; confirm on film.","Mixed signal; review fit and execution on film."))))))))</f>
        <v>Track only; not enough sample.</v>
      </c>
      <c r="M961" s="8" t="s">
        <v>85</v>
      </c>
      <c r="N961" s="8"/>
      <c r="O961" s="8"/>
      <c r="P961" s="8" t="s">
        <v>471</v>
      </c>
      <c r="Q961" s="8"/>
      <c r="R961" s="8" t="s">
        <v>429</v>
      </c>
      <c r="S961" s="2" t="s">
        <v>544</v>
      </c>
      <c r="T961" s="2">
        <f>IF(C961=0,0,IF(C961&gt;=CALL_LOOKUP_BOARD!$B$7,IF(OR(K961="Problem Call",K961="Explosive Alert"),10000000,20000000),0)+IF(C961&gt;=CALL_LOOKUP_BOARD!$B$7,J961*1000+MIN(C961,999),C961*1000+J961)+0.00984900)</f>
        <v>1094.009849</v>
      </c>
      <c r="U961" s="2">
        <f>IF(C961=0,"",IF(COUNTIFS($S$811:$S$1055,SUBSTITUTE(SUBSTITUTE(SUBSTITUTE(S961,"~","~~"),"*","~*"),"?","~?"),$T$811:$T$1055,"&gt;"&amp;T961)=0,S961,""))</f>
        <v/>
      </c>
    </row>
    <row r="962" spans="1:21" ht="38" customHeight="1">
      <c r="A962" s="8" t="s">
        <v>543</v>
      </c>
      <c r="B962" s="8" t="s">
        <v>56</v>
      </c>
      <c r="C962" s="12">
        <f>COUNTIFS('DEF_SELF_SCOUT_IMPORT'!$L$42:$L$1040,"Y",'DEF_SELF_SCOUT_IMPORT'!$E$42:$E$1040,SUBSTITUTE(SUBSTITUTE(SUBSTITUTE($B962,"~","~~"),"*","~*"),"?","~?"),'DEF_SELF_SCOUT_IMPORT'!$Q$42:$Q$1040,SUBSTITUTE(SUBSTITUTE(SUBSTITUTE($M962,"~","~~"),"*","~*"),"?","~?"),'DEF_SELF_SCOUT_IMPORT'!$D$42:$D$1040,SUBSTITUTE(SUBSTITUTE(SUBSTITUTE($P962,"~","~~"),"*","~*"),"?","~?"))</f>
        <v>1</v>
      </c>
      <c r="D962" s="10">
        <f>IF($C962=0,"",SUMIFS('DEF_SELF_SCOUT_IMPORT'!$J$42:$J$1040,'DEF_SELF_SCOUT_IMPORT'!$L$42:$L$1040,"Y",'DEF_SELF_SCOUT_IMPORT'!$E$42:$E$1040,SUBSTITUTE(SUBSTITUTE(SUBSTITUTE($B962,"~","~~"),"*","~*"),"?","~?"),'DEF_SELF_SCOUT_IMPORT'!$Q$42:$Q$1040,SUBSTITUTE(SUBSTITUTE(SUBSTITUTE($M962,"~","~~"),"*","~*"),"?","~?"),'DEF_SELF_SCOUT_IMPORT'!$D$42:$D$1040,SUBSTITUTE(SUBSTITUTE(SUBSTITUTE($P962,"~","~~"),"*","~*"),"?","~?"))/$C962)</f>
        <v>0.0</v>
      </c>
      <c r="E962" s="10">
        <f>IF($C962=0,"",SUMIFS('DEF_SELF_SCOUT_IMPORT'!$K$42:$K$1040,'DEF_SELF_SCOUT_IMPORT'!$L$42:$L$1040,"Y",'DEF_SELF_SCOUT_IMPORT'!$E$42:$E$1040,SUBSTITUTE(SUBSTITUTE(SUBSTITUTE($B962,"~","~~"),"*","~*"),"?","~?"),'DEF_SELF_SCOUT_IMPORT'!$Q$42:$Q$1040,SUBSTITUTE(SUBSTITUTE(SUBSTITUTE($M962,"~","~~"),"*","~*"),"?","~?"),'DEF_SELF_SCOUT_IMPORT'!$D$42:$D$1040,SUBSTITUTE(SUBSTITUTE(SUBSTITUTE($P962,"~","~~"),"*","~*"),"?","~?"))/$C962)</f>
        <v>0.0</v>
      </c>
      <c r="F962" s="11">
        <f>IF($C962=0,"",AVERAGEIFS('DEF_SELF_SCOUT_IMPORT'!$I$42:$I$1040,'DEF_SELF_SCOUT_IMPORT'!$L$42:$L$1040,"Y",'DEF_SELF_SCOUT_IMPORT'!$E$42:$E$1040,SUBSTITUTE(SUBSTITUTE(SUBSTITUTE($B962,"~","~~"),"*","~*"),"?","~?"),'DEF_SELF_SCOUT_IMPORT'!$Q$42:$Q$1040,SUBSTITUTE(SUBSTITUTE(SUBSTITUTE($M962,"~","~~"),"*","~*"),"?","~?"),'DEF_SELF_SCOUT_IMPORT'!$D$42:$D$1040,SUBSTITUTE(SUBSTITUTE(SUBSTITUTE($P962,"~","~~"),"*","~*"),"?","~?")))</f>
        <v>9.0</v>
      </c>
      <c r="G962" s="10">
        <f>IF($C962=0,"",COUNTIFS('DEF_SELF_SCOUT_IMPORT'!$L$42:$L$1040,"Y",'DEF_SELF_SCOUT_IMPORT'!$E$42:$E$1040,SUBSTITUTE(SUBSTITUTE(SUBSTITUTE($B962,"~","~~"),"*","~*"),"?","~?"),'DEF_SELF_SCOUT_IMPORT'!$Q$42:$Q$1040,SUBSTITUTE(SUBSTITUTE(SUBSTITUTE($M962,"~","~~"),"*","~*"),"?","~?"),'DEF_SELF_SCOUT_IMPORT'!$D$42:$D$1040,SUBSTITUTE(SUBSTITUTE(SUBSTITUTE($P962,"~","~~"),"*","~*"),"?","~?"),'DEF_SELF_SCOUT_IMPORT'!$H$42:$H$1040,"RUSH")/$C962)</f>
        <v>0.0</v>
      </c>
      <c r="H962" s="10">
        <f>IF($C962=0,"",COUNTIFS('DEF_SELF_SCOUT_IMPORT'!$L$42:$L$1040,"Y",'DEF_SELF_SCOUT_IMPORT'!$E$42:$E$1040,SUBSTITUTE(SUBSTITUTE(SUBSTITUTE($B962,"~","~~"),"*","~*"),"?","~?"),'DEF_SELF_SCOUT_IMPORT'!$Q$42:$Q$1040,SUBSTITUTE(SUBSTITUTE(SUBSTITUTE($M962,"~","~~"),"*","~*"),"?","~?"),'DEF_SELF_SCOUT_IMPORT'!$D$42:$D$1040,SUBSTITUTE(SUBSTITUTE(SUBSTITUTE($P962,"~","~~"),"*","~*"),"?","~?"),'DEF_SELF_SCOUT_IMPORT'!$H$42:$H$1040,"DROPBACK")/$C962)</f>
        <v>1.0</v>
      </c>
      <c r="I962" s="14" t="str">
        <f>IF(C962=0,"",IF(C962&lt;=2,"TRACK",IF(C962=3,"LOW",IF(C962&lt;=6,"MEDIUM","HIGH"))))</f>
        <v>TRACK</v>
      </c>
      <c r="J962" s="11">
        <f>IF(C962=0,"",ROUND(D962*70+(1-E962)*20+MAX(0,MIN(1,(10-F962)/10))*10,1))</f>
        <v>21.0</v>
      </c>
      <c r="K962" s="14" t="str">
        <f>IF(C962=0,"No Evidence",IF(C962&lt;=2,IF(E962&gt;0,"Explosive Alert","Track Only"),IF(C962=3,"Sample Watch",IF(E962&gt;=START_HERE!$B$31,"Explosive Alert",IF(J962&gt;=80,"Strong Candidate",IF(J962&gt;=65,"Good Candidate",IF(J962&gt;=50,"Mixed / Review","Problem Call")))))))</f>
        <v>Track Only</v>
      </c>
      <c r="L962" s="9" t="str">
        <f>IF(COUNTIFS('DEF_SELF_SCOUT_IMPORT'!$L$42:$L$1040,"Y",'DEF_SELF_SCOUT_IMPORT'!$E$42:$E$1040,SUBSTITUTE(SUBSTITUTE(SUBSTITUTE($B962,"~","~~"),"*","~*"),"?","~?"),'DEF_SELF_SCOUT_IMPORT'!$Q$42:$Q$1040,SUBSTITUTE(SUBSTITUTE(SUBSTITUTE($M962,"~","~~"),"*","~*"),"?","~?"),'DEF_SELF_SCOUT_IMPORT'!$D$42:$D$1040,SUBSTITUTE(SUBSTITUTE(SUBSTITUTE($P962,"~","~~"),"*","~*"),"?","~?"),'DEF_SELF_SCOUT_IMPORT'!$J$42:$J$1040,"")&gt;0,"Unscored clean outcome; review result tags before using score.",IF(C962=0,"No matching defensive reps; film confirmation needed.",IF(K962="Explosive Alert","Explosive risk; review clips before using as answer.",IF(C962&lt;=2,"Track only; not enough sample.",IF(C962=3,IF(E962&gt;0,"Sample watch with explosive exposure; review clips and build the sample.",IF(J962&gt;=65,"Good signal, but sample is limited.","Sample watch; review clips and build the sample.")),IF(K962="Problem Call","Problem area; practice or call-sheet review.",IF(K962="Strong Candidate","Strong call-fit candidate; confirm on film.",IF(K962="Good Candidate","Good call-fit signal; confirm on film.","Mixed signal; review fit and execution on film."))))))))</f>
        <v>Track only; not enough sample.</v>
      </c>
      <c r="M962" s="8" t="s">
        <v>85</v>
      </c>
      <c r="N962" s="8"/>
      <c r="O962" s="8"/>
      <c r="P962" s="8" t="s">
        <v>471</v>
      </c>
      <c r="Q962" s="8"/>
      <c r="R962" s="8" t="s">
        <v>429</v>
      </c>
      <c r="S962" s="2" t="s">
        <v>544</v>
      </c>
      <c r="T962" s="2">
        <f>IF(C962=0,0,IF(C962&gt;=CALL_LOOKUP_BOARD!$B$7,IF(OR(K962="Problem Call",K962="Explosive Alert"),10000000,20000000),0)+IF(C962&gt;=CALL_LOOKUP_BOARD!$B$7,J962*1000+MIN(C962,999),C962*1000+J962)+0.00984800)</f>
        <v>1021.009848</v>
      </c>
      <c r="U962" s="2">
        <f>IF(C962=0,"",IF(COUNTIFS($S$811:$S$1055,SUBSTITUTE(SUBSTITUTE(SUBSTITUTE(S962,"~","~~"),"*","~*"),"?","~?"),$T$811:$T$1055,"&gt;"&amp;T962)=0,S962,""))</f>
        <v/>
      </c>
    </row>
    <row r="963" spans="1:21" ht="38" customHeight="1">
      <c r="A963" s="8" t="s">
        <v>545</v>
      </c>
      <c r="B963" s="8" t="s">
        <v>89</v>
      </c>
      <c r="C963" s="12">
        <f>COUNTIFS('DEF_SELF_SCOUT_IMPORT'!$L$42:$L$1040,"Y",'DEF_SELF_SCOUT_IMPORT'!$E$42:$E$1040,SUBSTITUTE(SUBSTITUTE(SUBSTITUTE($B963,"~","~~"),"*","~*"),"?","~?"),'DEF_SELF_SCOUT_IMPORT'!$Q$42:$Q$1040,SUBSTITUTE(SUBSTITUTE(SUBSTITUTE($M963,"~","~~"),"*","~*"),"?","~?"),'DEF_SELF_SCOUT_IMPORT'!$D$42:$D$1040,SUBSTITUTE(SUBSTITUTE(SUBSTITUTE($P963,"~","~~"),"*","~*"),"?","~?"))</f>
        <v>1</v>
      </c>
      <c r="D963" s="10">
        <f>IF($C963=0,"",SUMIFS('DEF_SELF_SCOUT_IMPORT'!$J$42:$J$1040,'DEF_SELF_SCOUT_IMPORT'!$L$42:$L$1040,"Y",'DEF_SELF_SCOUT_IMPORT'!$E$42:$E$1040,SUBSTITUTE(SUBSTITUTE(SUBSTITUTE($B963,"~","~~"),"*","~*"),"?","~?"),'DEF_SELF_SCOUT_IMPORT'!$Q$42:$Q$1040,SUBSTITUTE(SUBSTITUTE(SUBSTITUTE($M963,"~","~~"),"*","~*"),"?","~?"),'DEF_SELF_SCOUT_IMPORT'!$D$42:$D$1040,SUBSTITUTE(SUBSTITUTE(SUBSTITUTE($P963,"~","~~"),"*","~*"),"?","~?"))/$C963)</f>
        <v>1.0</v>
      </c>
      <c r="E963" s="10">
        <f>IF($C963=0,"",SUMIFS('DEF_SELF_SCOUT_IMPORT'!$K$42:$K$1040,'DEF_SELF_SCOUT_IMPORT'!$L$42:$L$1040,"Y",'DEF_SELF_SCOUT_IMPORT'!$E$42:$E$1040,SUBSTITUTE(SUBSTITUTE(SUBSTITUTE($B963,"~","~~"),"*","~*"),"?","~?"),'DEF_SELF_SCOUT_IMPORT'!$Q$42:$Q$1040,SUBSTITUTE(SUBSTITUTE(SUBSTITUTE($M963,"~","~~"),"*","~*"),"?","~?"),'DEF_SELF_SCOUT_IMPORT'!$D$42:$D$1040,SUBSTITUTE(SUBSTITUTE(SUBSTITUTE($P963,"~","~~"),"*","~*"),"?","~?"))/$C963)</f>
        <v>0.0</v>
      </c>
      <c r="F963" s="11">
        <f>IF($C963=0,"",AVERAGEIFS('DEF_SELF_SCOUT_IMPORT'!$I$42:$I$1040,'DEF_SELF_SCOUT_IMPORT'!$L$42:$L$1040,"Y",'DEF_SELF_SCOUT_IMPORT'!$E$42:$E$1040,SUBSTITUTE(SUBSTITUTE(SUBSTITUTE($B963,"~","~~"),"*","~*"),"?","~?"),'DEF_SELF_SCOUT_IMPORT'!$Q$42:$Q$1040,SUBSTITUTE(SUBSTITUTE(SUBSTITUTE($M963,"~","~~"),"*","~*"),"?","~?"),'DEF_SELF_SCOUT_IMPORT'!$D$42:$D$1040,SUBSTITUTE(SUBSTITUTE(SUBSTITUTE($P963,"~","~~"),"*","~*"),"?","~?")))</f>
        <v>3.0</v>
      </c>
      <c r="G963" s="10">
        <f>IF($C963=0,"",COUNTIFS('DEF_SELF_SCOUT_IMPORT'!$L$42:$L$1040,"Y",'DEF_SELF_SCOUT_IMPORT'!$E$42:$E$1040,SUBSTITUTE(SUBSTITUTE(SUBSTITUTE($B963,"~","~~"),"*","~*"),"?","~?"),'DEF_SELF_SCOUT_IMPORT'!$Q$42:$Q$1040,SUBSTITUTE(SUBSTITUTE(SUBSTITUTE($M963,"~","~~"),"*","~*"),"?","~?"),'DEF_SELF_SCOUT_IMPORT'!$D$42:$D$1040,SUBSTITUTE(SUBSTITUTE(SUBSTITUTE($P963,"~","~~"),"*","~*"),"?","~?"),'DEF_SELF_SCOUT_IMPORT'!$H$42:$H$1040,"RUSH")/$C963)</f>
        <v>0.0</v>
      </c>
      <c r="H963" s="10">
        <f>IF($C963=0,"",COUNTIFS('DEF_SELF_SCOUT_IMPORT'!$L$42:$L$1040,"Y",'DEF_SELF_SCOUT_IMPORT'!$E$42:$E$1040,SUBSTITUTE(SUBSTITUTE(SUBSTITUTE($B963,"~","~~"),"*","~*"),"?","~?"),'DEF_SELF_SCOUT_IMPORT'!$Q$42:$Q$1040,SUBSTITUTE(SUBSTITUTE(SUBSTITUTE($M963,"~","~~"),"*","~*"),"?","~?"),'DEF_SELF_SCOUT_IMPORT'!$D$42:$D$1040,SUBSTITUTE(SUBSTITUTE(SUBSTITUTE($P963,"~","~~"),"*","~*"),"?","~?"),'DEF_SELF_SCOUT_IMPORT'!$H$42:$H$1040,"DROPBACK")/$C963)</f>
        <v>1.0</v>
      </c>
      <c r="I963" s="14" t="str">
        <f>IF(C963=0,"",IF(C963&lt;=2,"TRACK",IF(C963=3,"LOW",IF(C963&lt;=6,"MEDIUM","HIGH"))))</f>
        <v>TRACK</v>
      </c>
      <c r="J963" s="11">
        <f>IF(C963=0,"",ROUND(D963*70+(1-E963)*20+MAX(0,MIN(1,(10-F963)/10))*10,1))</f>
        <v>97.0</v>
      </c>
      <c r="K963" s="14" t="str">
        <f>IF(C963=0,"No Evidence",IF(C963&lt;=2,IF(E963&gt;0,"Explosive Alert","Track Only"),IF(C963=3,"Sample Watch",IF(E963&gt;=START_HERE!$B$31,"Explosive Alert",IF(J963&gt;=80,"Strong Candidate",IF(J963&gt;=65,"Good Candidate",IF(J963&gt;=50,"Mixed / Review","Problem Call")))))))</f>
        <v>Track Only</v>
      </c>
      <c r="L963" s="9" t="str">
        <f>IF(COUNTIFS('DEF_SELF_SCOUT_IMPORT'!$L$42:$L$1040,"Y",'DEF_SELF_SCOUT_IMPORT'!$E$42:$E$1040,SUBSTITUTE(SUBSTITUTE(SUBSTITUTE($B963,"~","~~"),"*","~*"),"?","~?"),'DEF_SELF_SCOUT_IMPORT'!$Q$42:$Q$1040,SUBSTITUTE(SUBSTITUTE(SUBSTITUTE($M963,"~","~~"),"*","~*"),"?","~?"),'DEF_SELF_SCOUT_IMPORT'!$D$42:$D$1040,SUBSTITUTE(SUBSTITUTE(SUBSTITUTE($P963,"~","~~"),"*","~*"),"?","~?"),'DEF_SELF_SCOUT_IMPORT'!$J$42:$J$1040,"")&gt;0,"Unscored clean outcome; review result tags before using score.",IF(C963=0,"No matching defensive reps; film confirmation needed.",IF(K963="Explosive Alert","Explosive risk; review clips before using as answer.",IF(C963&lt;=2,"Track only; not enough sample.",IF(C963=3,IF(E963&gt;0,"Sample watch with explosive exposure; review clips and build the sample.",IF(J963&gt;=65,"Good signal, but sample is limited.","Sample watch; review clips and build the sample.")),IF(K963="Problem Call","Problem area; practice or call-sheet review.",IF(K963="Strong Candidate","Strong call-fit candidate; confirm on film.",IF(K963="Good Candidate","Good call-fit signal; confirm on film.","Mixed signal; review fit and execution on film."))))))))</f>
        <v>Track only; not enough sample.</v>
      </c>
      <c r="M963" s="8" t="s">
        <v>85</v>
      </c>
      <c r="N963" s="8"/>
      <c r="O963" s="8"/>
      <c r="P963" s="8" t="s">
        <v>480</v>
      </c>
      <c r="Q963" s="8"/>
      <c r="R963" s="8" t="s">
        <v>429</v>
      </c>
      <c r="S963" s="2" t="s">
        <v>546</v>
      </c>
      <c r="T963" s="2">
        <f>IF(C963=0,0,IF(C963&gt;=CALL_LOOKUP_BOARD!$B$7,IF(OR(K963="Problem Call",K963="Explosive Alert"),10000000,20000000),0)+IF(C963&gt;=CALL_LOOKUP_BOARD!$B$7,J963*1000+MIN(C963,999),C963*1000+J963)+0.00984700)</f>
        <v>1097.009847</v>
      </c>
      <c r="U963" s="2" t="str">
        <f>IF(C963=0,"",IF(COUNTIFS($S$811:$S$1055,SUBSTITUTE(SUBSTITUTE(SUBSTITUTE(S963,"~","~~"),"*","~*"),"?","~?"),$T$811:$T$1055,"&gt;"&amp;T963)=0,S963,""))</f>
        <v>7:2D 7-10|9:TOSS PASS|</v>
      </c>
    </row>
    <row r="964" spans="1:21" ht="38" customHeight="1">
      <c r="A964" s="8" t="s">
        <v>547</v>
      </c>
      <c r="B964" s="8" t="s">
        <v>93</v>
      </c>
      <c r="C964" s="12">
        <f>COUNTIFS('DEF_SELF_SCOUT_IMPORT'!$L$42:$L$1040,"Y",'DEF_SELF_SCOUT_IMPORT'!$E$42:$E$1040,SUBSTITUTE(SUBSTITUTE(SUBSTITUTE($B964,"~","~~"),"*","~*"),"?","~?"),'DEF_SELF_SCOUT_IMPORT'!$Q$42:$Q$1040,SUBSTITUTE(SUBSTITUTE(SUBSTITUTE($M964,"~","~~"),"*","~*"),"?","~?"),'DEF_SELF_SCOUT_IMPORT'!$D$42:$D$1040,SUBSTITUTE(SUBSTITUTE(SUBSTITUTE($P964,"~","~~"),"*","~*"),"?","~?"))</f>
        <v>1</v>
      </c>
      <c r="D964" s="10">
        <f>IF($C964=0,"",SUMIFS('DEF_SELF_SCOUT_IMPORT'!$J$42:$J$1040,'DEF_SELF_SCOUT_IMPORT'!$L$42:$L$1040,"Y",'DEF_SELF_SCOUT_IMPORT'!$E$42:$E$1040,SUBSTITUTE(SUBSTITUTE(SUBSTITUTE($B964,"~","~~"),"*","~*"),"?","~?"),'DEF_SELF_SCOUT_IMPORT'!$Q$42:$Q$1040,SUBSTITUTE(SUBSTITUTE(SUBSTITUTE($M964,"~","~~"),"*","~*"),"?","~?"),'DEF_SELF_SCOUT_IMPORT'!$D$42:$D$1040,SUBSTITUTE(SUBSTITUTE(SUBSTITUTE($P964,"~","~~"),"*","~*"),"?","~?"))/$C964)</f>
        <v>1.0</v>
      </c>
      <c r="E964" s="10">
        <f>IF($C964=0,"",SUMIFS('DEF_SELF_SCOUT_IMPORT'!$K$42:$K$1040,'DEF_SELF_SCOUT_IMPORT'!$L$42:$L$1040,"Y",'DEF_SELF_SCOUT_IMPORT'!$E$42:$E$1040,SUBSTITUTE(SUBSTITUTE(SUBSTITUTE($B964,"~","~~"),"*","~*"),"?","~?"),'DEF_SELF_SCOUT_IMPORT'!$Q$42:$Q$1040,SUBSTITUTE(SUBSTITUTE(SUBSTITUTE($M964,"~","~~"),"*","~*"),"?","~?"),'DEF_SELF_SCOUT_IMPORT'!$D$42:$D$1040,SUBSTITUTE(SUBSTITUTE(SUBSTITUTE($P964,"~","~~"),"*","~*"),"?","~?"))/$C964)</f>
        <v>0.0</v>
      </c>
      <c r="F964" s="11">
        <f>IF($C964=0,"",AVERAGEIFS('DEF_SELF_SCOUT_IMPORT'!$I$42:$I$1040,'DEF_SELF_SCOUT_IMPORT'!$L$42:$L$1040,"Y",'DEF_SELF_SCOUT_IMPORT'!$E$42:$E$1040,SUBSTITUTE(SUBSTITUTE(SUBSTITUTE($B964,"~","~~"),"*","~*"),"?","~?"),'DEF_SELF_SCOUT_IMPORT'!$Q$42:$Q$1040,SUBSTITUTE(SUBSTITUTE(SUBSTITUTE($M964,"~","~~"),"*","~*"),"?","~?"),'DEF_SELF_SCOUT_IMPORT'!$D$42:$D$1040,SUBSTITUTE(SUBSTITUTE(SUBSTITUTE($P964,"~","~~"),"*","~*"),"?","~?")))</f>
        <v>0.0</v>
      </c>
      <c r="G964" s="10">
        <f>IF($C964=0,"",COUNTIFS('DEF_SELF_SCOUT_IMPORT'!$L$42:$L$1040,"Y",'DEF_SELF_SCOUT_IMPORT'!$E$42:$E$1040,SUBSTITUTE(SUBSTITUTE(SUBSTITUTE($B964,"~","~~"),"*","~*"),"?","~?"),'DEF_SELF_SCOUT_IMPORT'!$Q$42:$Q$1040,SUBSTITUTE(SUBSTITUTE(SUBSTITUTE($M964,"~","~~"),"*","~*"),"?","~?"),'DEF_SELF_SCOUT_IMPORT'!$D$42:$D$1040,SUBSTITUTE(SUBSTITUTE(SUBSTITUTE($P964,"~","~~"),"*","~*"),"?","~?"),'DEF_SELF_SCOUT_IMPORT'!$H$42:$H$1040,"RUSH")/$C964)</f>
        <v>0.0</v>
      </c>
      <c r="H964" s="10">
        <f>IF($C964=0,"",COUNTIFS('DEF_SELF_SCOUT_IMPORT'!$L$42:$L$1040,"Y",'DEF_SELF_SCOUT_IMPORT'!$E$42:$E$1040,SUBSTITUTE(SUBSTITUTE(SUBSTITUTE($B964,"~","~~"),"*","~*"),"?","~?"),'DEF_SELF_SCOUT_IMPORT'!$Q$42:$Q$1040,SUBSTITUTE(SUBSTITUTE(SUBSTITUTE($M964,"~","~~"),"*","~*"),"?","~?"),'DEF_SELF_SCOUT_IMPORT'!$D$42:$D$1040,SUBSTITUTE(SUBSTITUTE(SUBSTITUTE($P964,"~","~~"),"*","~*"),"?","~?"),'DEF_SELF_SCOUT_IMPORT'!$H$42:$H$1040,"DROPBACK")/$C964)</f>
        <v>1.0</v>
      </c>
      <c r="I964" s="14" t="str">
        <f>IF(C964=0,"",IF(C964&lt;=2,"TRACK",IF(C964=3,"LOW",IF(C964&lt;=6,"MEDIUM","HIGH"))))</f>
        <v>TRACK</v>
      </c>
      <c r="J964" s="11">
        <f>IF(C964=0,"",ROUND(D964*70+(1-E964)*20+MAX(0,MIN(1,(10-F964)/10))*10,1))</f>
        <v>100.0</v>
      </c>
      <c r="K964" s="14" t="str">
        <f>IF(C964=0,"No Evidence",IF(C964&lt;=2,IF(E964&gt;0,"Explosive Alert","Track Only"),IF(C964=3,"Sample Watch",IF(E964&gt;=START_HERE!$B$31,"Explosive Alert",IF(J964&gt;=80,"Strong Candidate",IF(J964&gt;=65,"Good Candidate",IF(J964&gt;=50,"Mixed / Review","Problem Call")))))))</f>
        <v>Track Only</v>
      </c>
      <c r="L964" s="9" t="str">
        <f>IF(COUNTIFS('DEF_SELF_SCOUT_IMPORT'!$L$42:$L$1040,"Y",'DEF_SELF_SCOUT_IMPORT'!$E$42:$E$1040,SUBSTITUTE(SUBSTITUTE(SUBSTITUTE($B964,"~","~~"),"*","~*"),"?","~?"),'DEF_SELF_SCOUT_IMPORT'!$Q$42:$Q$1040,SUBSTITUTE(SUBSTITUTE(SUBSTITUTE($M964,"~","~~"),"*","~*"),"?","~?"),'DEF_SELF_SCOUT_IMPORT'!$D$42:$D$1040,SUBSTITUTE(SUBSTITUTE(SUBSTITUTE($P964,"~","~~"),"*","~*"),"?","~?"),'DEF_SELF_SCOUT_IMPORT'!$J$42:$J$1040,"")&gt;0,"Unscored clean outcome; review result tags before using score.",IF(C964=0,"No matching defensive reps; film confirmation needed.",IF(K964="Explosive Alert","Explosive risk; review clips before using as answer.",IF(C964&lt;=2,"Track only; not enough sample.",IF(C964=3,IF(E964&gt;0,"Sample watch with explosive exposure; review clips and build the sample.",IF(J964&gt;=65,"Good signal, but sample is limited.","Sample watch; review clips and build the sample.")),IF(K964="Problem Call","Problem area; practice or call-sheet review.",IF(K964="Strong Candidate","Strong call-fit candidate; confirm on film.",IF(K964="Good Candidate","Good call-fit signal; confirm on film.","Mixed signal; review fit and execution on film."))))))))</f>
        <v>Track only; not enough sample.</v>
      </c>
      <c r="M964" s="8" t="s">
        <v>92</v>
      </c>
      <c r="N964" s="8"/>
      <c r="O964" s="8"/>
      <c r="P964" s="8" t="s">
        <v>449</v>
      </c>
      <c r="Q964" s="8"/>
      <c r="R964" s="8" t="s">
        <v>429</v>
      </c>
      <c r="S964" s="2" t="s">
        <v>548</v>
      </c>
      <c r="T964" s="2">
        <f>IF(C964=0,0,IF(C964&gt;=CALL_LOOKUP_BOARD!$B$7,IF(OR(K964="Problem Call",K964="Explosive Alert"),10000000,20000000),0)+IF(C964&gt;=CALL_LOOKUP_BOARD!$B$7,J964*1000+MIN(C964,999),C964*1000+J964)+0.00984600)</f>
        <v>1100.009846</v>
      </c>
      <c r="U964" s="2" t="str">
        <f>IF(C964=0,"",IF(COUNTIFS($S$811:$S$1055,SUBSTITUTE(SUBSTITUTE(SUBSTITUTE(S964,"~","~~"),"*","~*"),"?","~?"),$T$811:$T$1055,"&gt;"&amp;T964)=0,S964,""))</f>
        <v>6:3D 1-3|6:5 STEP|</v>
      </c>
    </row>
    <row r="965" spans="1:21" ht="38" customHeight="1">
      <c r="A965" s="8" t="s">
        <v>549</v>
      </c>
      <c r="B965" s="8" t="s">
        <v>32</v>
      </c>
      <c r="C965" s="12">
        <f>COUNTIFS('DEF_SELF_SCOUT_IMPORT'!$L$42:$L$1040,"Y",'DEF_SELF_SCOUT_IMPORT'!$E$42:$E$1040,SUBSTITUTE(SUBSTITUTE(SUBSTITUTE($B965,"~","~~"),"*","~*"),"?","~?"),'DEF_SELF_SCOUT_IMPORT'!$Q$42:$Q$1040,SUBSTITUTE(SUBSTITUTE(SUBSTITUTE($M965,"~","~~"),"*","~*"),"?","~?"),'DEF_SELF_SCOUT_IMPORT'!$D$42:$D$1040,SUBSTITUTE(SUBSTITUTE(SUBSTITUTE($P965,"~","~~"),"*","~*"),"?","~?"))</f>
        <v>1</v>
      </c>
      <c r="D965" s="10">
        <f>IF($C965=0,"",SUMIFS('DEF_SELF_SCOUT_IMPORT'!$J$42:$J$1040,'DEF_SELF_SCOUT_IMPORT'!$L$42:$L$1040,"Y",'DEF_SELF_SCOUT_IMPORT'!$E$42:$E$1040,SUBSTITUTE(SUBSTITUTE(SUBSTITUTE($B965,"~","~~"),"*","~*"),"?","~?"),'DEF_SELF_SCOUT_IMPORT'!$Q$42:$Q$1040,SUBSTITUTE(SUBSTITUTE(SUBSTITUTE($M965,"~","~~"),"*","~*"),"?","~?"),'DEF_SELF_SCOUT_IMPORT'!$D$42:$D$1040,SUBSTITUTE(SUBSTITUTE(SUBSTITUTE($P965,"~","~~"),"*","~*"),"?","~?"))/$C965)</f>
        <v>0.0</v>
      </c>
      <c r="E965" s="10">
        <f>IF($C965=0,"",SUMIFS('DEF_SELF_SCOUT_IMPORT'!$K$42:$K$1040,'DEF_SELF_SCOUT_IMPORT'!$L$42:$L$1040,"Y",'DEF_SELF_SCOUT_IMPORT'!$E$42:$E$1040,SUBSTITUTE(SUBSTITUTE(SUBSTITUTE($B965,"~","~~"),"*","~*"),"?","~?"),'DEF_SELF_SCOUT_IMPORT'!$Q$42:$Q$1040,SUBSTITUTE(SUBSTITUTE(SUBSTITUTE($M965,"~","~~"),"*","~*"),"?","~?"),'DEF_SELF_SCOUT_IMPORT'!$D$42:$D$1040,SUBSTITUTE(SUBSTITUTE(SUBSTITUTE($P965,"~","~~"),"*","~*"),"?","~?"))/$C965)</f>
        <v>0.0</v>
      </c>
      <c r="F965" s="11">
        <f>IF($C965=0,"",AVERAGEIFS('DEF_SELF_SCOUT_IMPORT'!$I$42:$I$1040,'DEF_SELF_SCOUT_IMPORT'!$L$42:$L$1040,"Y",'DEF_SELF_SCOUT_IMPORT'!$E$42:$E$1040,SUBSTITUTE(SUBSTITUTE(SUBSTITUTE($B965,"~","~~"),"*","~*"),"?","~?"),'DEF_SELF_SCOUT_IMPORT'!$Q$42:$Q$1040,SUBSTITUTE(SUBSTITUTE(SUBSTITUTE($M965,"~","~~"),"*","~*"),"?","~?"),'DEF_SELF_SCOUT_IMPORT'!$D$42:$D$1040,SUBSTITUTE(SUBSTITUTE(SUBSTITUTE($P965,"~","~~"),"*","~*"),"?","~?")))</f>
        <v>8.0</v>
      </c>
      <c r="G965" s="10">
        <f>IF($C965=0,"",COUNTIFS('DEF_SELF_SCOUT_IMPORT'!$L$42:$L$1040,"Y",'DEF_SELF_SCOUT_IMPORT'!$E$42:$E$1040,SUBSTITUTE(SUBSTITUTE(SUBSTITUTE($B965,"~","~~"),"*","~*"),"?","~?"),'DEF_SELF_SCOUT_IMPORT'!$Q$42:$Q$1040,SUBSTITUTE(SUBSTITUTE(SUBSTITUTE($M965,"~","~~"),"*","~*"),"?","~?"),'DEF_SELF_SCOUT_IMPORT'!$D$42:$D$1040,SUBSTITUTE(SUBSTITUTE(SUBSTITUTE($P965,"~","~~"),"*","~*"),"?","~?"),'DEF_SELF_SCOUT_IMPORT'!$H$42:$H$1040,"RUSH")/$C965)</f>
        <v>1.0</v>
      </c>
      <c r="H965" s="10">
        <f>IF($C965=0,"",COUNTIFS('DEF_SELF_SCOUT_IMPORT'!$L$42:$L$1040,"Y",'DEF_SELF_SCOUT_IMPORT'!$E$42:$E$1040,SUBSTITUTE(SUBSTITUTE(SUBSTITUTE($B965,"~","~~"),"*","~*"),"?","~?"),'DEF_SELF_SCOUT_IMPORT'!$Q$42:$Q$1040,SUBSTITUTE(SUBSTITUTE(SUBSTITUTE($M965,"~","~~"),"*","~*"),"?","~?"),'DEF_SELF_SCOUT_IMPORT'!$D$42:$D$1040,SUBSTITUTE(SUBSTITUTE(SUBSTITUTE($P965,"~","~~"),"*","~*"),"?","~?"),'DEF_SELF_SCOUT_IMPORT'!$H$42:$H$1040,"DROPBACK")/$C965)</f>
        <v>0.0</v>
      </c>
      <c r="I965" s="14" t="str">
        <f>IF(C965=0,"",IF(C965&lt;=2,"TRACK",IF(C965=3,"LOW",IF(C965&lt;=6,"MEDIUM","HIGH"))))</f>
        <v>TRACK</v>
      </c>
      <c r="J965" s="11">
        <f>IF(C965=0,"",ROUND(D965*70+(1-E965)*20+MAX(0,MIN(1,(10-F965)/10))*10,1))</f>
        <v>22.0</v>
      </c>
      <c r="K965" s="14" t="str">
        <f>IF(C965=0,"No Evidence",IF(C965&lt;=2,IF(E965&gt;0,"Explosive Alert","Track Only"),IF(C965=3,"Sample Watch",IF(E965&gt;=START_HERE!$B$31,"Explosive Alert",IF(J965&gt;=80,"Strong Candidate",IF(J965&gt;=65,"Good Candidate",IF(J965&gt;=50,"Mixed / Review","Problem Call")))))))</f>
        <v>Track Only</v>
      </c>
      <c r="L965" s="9" t="str">
        <f>IF(COUNTIFS('DEF_SELF_SCOUT_IMPORT'!$L$42:$L$1040,"Y",'DEF_SELF_SCOUT_IMPORT'!$E$42:$E$1040,SUBSTITUTE(SUBSTITUTE(SUBSTITUTE($B965,"~","~~"),"*","~*"),"?","~?"),'DEF_SELF_SCOUT_IMPORT'!$Q$42:$Q$1040,SUBSTITUTE(SUBSTITUTE(SUBSTITUTE($M965,"~","~~"),"*","~*"),"?","~?"),'DEF_SELF_SCOUT_IMPORT'!$D$42:$D$1040,SUBSTITUTE(SUBSTITUTE(SUBSTITUTE($P965,"~","~~"),"*","~*"),"?","~?"),'DEF_SELF_SCOUT_IMPORT'!$J$42:$J$1040,"")&gt;0,"Unscored clean outcome; review result tags before using score.",IF(C965=0,"No matching defensive reps; film confirmation needed.",IF(K965="Explosive Alert","Explosive risk; review clips before using as answer.",IF(C965&lt;=2,"Track only; not enough sample.",IF(C965=3,IF(E965&gt;0,"Sample watch with explosive exposure; review clips and build the sample.",IF(J965&gt;=65,"Good signal, but sample is limited.","Sample watch; review clips and build the sample.")),IF(K965="Problem Call","Problem area; practice or call-sheet review.",IF(K965="Strong Candidate","Strong call-fit candidate; confirm on film.",IF(K965="Good Candidate","Good call-fit signal; confirm on film.","Mixed signal; review fit and execution on film."))))))))</f>
        <v>Track only; not enough sample.</v>
      </c>
      <c r="M965" s="8" t="s">
        <v>92</v>
      </c>
      <c r="N965" s="8"/>
      <c r="O965" s="8"/>
      <c r="P965" s="8" t="s">
        <v>432</v>
      </c>
      <c r="Q965" s="8"/>
      <c r="R965" s="8" t="s">
        <v>429</v>
      </c>
      <c r="S965" s="2" t="s">
        <v>550</v>
      </c>
      <c r="T965" s="2">
        <f>IF(C965=0,0,IF(C965&gt;=CALL_LOOKUP_BOARD!$B$7,IF(OR(K965="Problem Call",K965="Explosive Alert"),10000000,20000000),0)+IF(C965&gt;=CALL_LOOKUP_BOARD!$B$7,J965*1000+MIN(C965,999),C965*1000+J965)+0.00984500)</f>
        <v>1022.009845</v>
      </c>
      <c r="U965" s="2" t="str">
        <f>IF(C965=0,"",IF(COUNTIFS($S$811:$S$1055,SUBSTITUTE(SUBSTITUTE(SUBSTITUTE(S965,"~","~~"),"*","~*"),"?","~?"),$T$811:$T$1055,"&gt;"&amp;T965)=0,S965,""))</f>
        <v>6:3D 1-3|7:COUNTER|</v>
      </c>
    </row>
    <row r="966" spans="1:21" ht="38" customHeight="1">
      <c r="A966" s="8" t="s">
        <v>551</v>
      </c>
      <c r="B966" s="8" t="s">
        <v>53</v>
      </c>
      <c r="C966" s="12">
        <f>COUNTIFS('DEF_SELF_SCOUT_IMPORT'!$L$42:$L$1040,"Y",'DEF_SELF_SCOUT_IMPORT'!$E$42:$E$1040,SUBSTITUTE(SUBSTITUTE(SUBSTITUTE($B966,"~","~~"),"*","~*"),"?","~?"),'DEF_SELF_SCOUT_IMPORT'!$Q$42:$Q$1040,SUBSTITUTE(SUBSTITUTE(SUBSTITUTE($M966,"~","~~"),"*","~*"),"?","~?"),'DEF_SELF_SCOUT_IMPORT'!$D$42:$D$1040,SUBSTITUTE(SUBSTITUTE(SUBSTITUTE($P966,"~","~~"),"*","~*"),"?","~?"))</f>
        <v>1</v>
      </c>
      <c r="D966" s="10">
        <f>IF($C966=0,"",SUMIFS('DEF_SELF_SCOUT_IMPORT'!$J$42:$J$1040,'DEF_SELF_SCOUT_IMPORT'!$L$42:$L$1040,"Y",'DEF_SELF_SCOUT_IMPORT'!$E$42:$E$1040,SUBSTITUTE(SUBSTITUTE(SUBSTITUTE($B966,"~","~~"),"*","~*"),"?","~?"),'DEF_SELF_SCOUT_IMPORT'!$Q$42:$Q$1040,SUBSTITUTE(SUBSTITUTE(SUBSTITUTE($M966,"~","~~"),"*","~*"),"?","~?"),'DEF_SELF_SCOUT_IMPORT'!$D$42:$D$1040,SUBSTITUTE(SUBSTITUTE(SUBSTITUTE($P966,"~","~~"),"*","~*"),"?","~?"))/$C966)</f>
        <v>0.0</v>
      </c>
      <c r="E966" s="10">
        <f>IF($C966=0,"",SUMIFS('DEF_SELF_SCOUT_IMPORT'!$K$42:$K$1040,'DEF_SELF_SCOUT_IMPORT'!$L$42:$L$1040,"Y",'DEF_SELF_SCOUT_IMPORT'!$E$42:$E$1040,SUBSTITUTE(SUBSTITUTE(SUBSTITUTE($B966,"~","~~"),"*","~*"),"?","~?"),'DEF_SELF_SCOUT_IMPORT'!$Q$42:$Q$1040,SUBSTITUTE(SUBSTITUTE(SUBSTITUTE($M966,"~","~~"),"*","~*"),"?","~?"),'DEF_SELF_SCOUT_IMPORT'!$D$42:$D$1040,SUBSTITUTE(SUBSTITUTE(SUBSTITUTE($P966,"~","~~"),"*","~*"),"?","~?"))/$C966)</f>
        <v>0.0</v>
      </c>
      <c r="F966" s="11">
        <f>IF($C966=0,"",AVERAGEIFS('DEF_SELF_SCOUT_IMPORT'!$I$42:$I$1040,'DEF_SELF_SCOUT_IMPORT'!$L$42:$L$1040,"Y",'DEF_SELF_SCOUT_IMPORT'!$E$42:$E$1040,SUBSTITUTE(SUBSTITUTE(SUBSTITUTE($B966,"~","~~"),"*","~*"),"?","~?"),'DEF_SELF_SCOUT_IMPORT'!$Q$42:$Q$1040,SUBSTITUTE(SUBSTITUTE(SUBSTITUTE($M966,"~","~~"),"*","~*"),"?","~?"),'DEF_SELF_SCOUT_IMPORT'!$D$42:$D$1040,SUBSTITUTE(SUBSTITUTE(SUBSTITUTE($P966,"~","~~"),"*","~*"),"?","~?")))</f>
        <v>11.0</v>
      </c>
      <c r="G966" s="10">
        <f>IF($C966=0,"",COUNTIFS('DEF_SELF_SCOUT_IMPORT'!$L$42:$L$1040,"Y",'DEF_SELF_SCOUT_IMPORT'!$E$42:$E$1040,SUBSTITUTE(SUBSTITUTE(SUBSTITUTE($B966,"~","~~"),"*","~*"),"?","~?"),'DEF_SELF_SCOUT_IMPORT'!$Q$42:$Q$1040,SUBSTITUTE(SUBSTITUTE(SUBSTITUTE($M966,"~","~~"),"*","~*"),"?","~?"),'DEF_SELF_SCOUT_IMPORT'!$D$42:$D$1040,SUBSTITUTE(SUBSTITUTE(SUBSTITUTE($P966,"~","~~"),"*","~*"),"?","~?"),'DEF_SELF_SCOUT_IMPORT'!$H$42:$H$1040,"RUSH")/$C966)</f>
        <v>1.0</v>
      </c>
      <c r="H966" s="10">
        <f>IF($C966=0,"",COUNTIFS('DEF_SELF_SCOUT_IMPORT'!$L$42:$L$1040,"Y",'DEF_SELF_SCOUT_IMPORT'!$E$42:$E$1040,SUBSTITUTE(SUBSTITUTE(SUBSTITUTE($B966,"~","~~"),"*","~*"),"?","~?"),'DEF_SELF_SCOUT_IMPORT'!$Q$42:$Q$1040,SUBSTITUTE(SUBSTITUTE(SUBSTITUTE($M966,"~","~~"),"*","~*"),"?","~?"),'DEF_SELF_SCOUT_IMPORT'!$D$42:$D$1040,SUBSTITUTE(SUBSTITUTE(SUBSTITUTE($P966,"~","~~"),"*","~*"),"?","~?"),'DEF_SELF_SCOUT_IMPORT'!$H$42:$H$1040,"DROPBACK")/$C966)</f>
        <v>0.0</v>
      </c>
      <c r="I966" s="14" t="str">
        <f>IF(C966=0,"",IF(C966&lt;=2,"TRACK",IF(C966=3,"LOW",IF(C966&lt;=6,"MEDIUM","HIGH"))))</f>
        <v>TRACK</v>
      </c>
      <c r="J966" s="11">
        <f>IF(C966=0,"",ROUND(D966*70+(1-E966)*20+MAX(0,MIN(1,(10-F966)/10))*10,1))</f>
        <v>20.0</v>
      </c>
      <c r="K966" s="14" t="str">
        <f>IF(C966=0,"No Evidence",IF(C966&lt;=2,IF(E966&gt;0,"Explosive Alert","Track Only"),IF(C966=3,"Sample Watch",IF(E966&gt;=START_HERE!$B$31,"Explosive Alert",IF(J966&gt;=80,"Strong Candidate",IF(J966&gt;=65,"Good Candidate",IF(J966&gt;=50,"Mixed / Review","Problem Call")))))))</f>
        <v>Track Only</v>
      </c>
      <c r="L966" s="9" t="str">
        <f>IF(COUNTIFS('DEF_SELF_SCOUT_IMPORT'!$L$42:$L$1040,"Y",'DEF_SELF_SCOUT_IMPORT'!$E$42:$E$1040,SUBSTITUTE(SUBSTITUTE(SUBSTITUTE($B966,"~","~~"),"*","~*"),"?","~?"),'DEF_SELF_SCOUT_IMPORT'!$Q$42:$Q$1040,SUBSTITUTE(SUBSTITUTE(SUBSTITUTE($M966,"~","~~"),"*","~*"),"?","~?"),'DEF_SELF_SCOUT_IMPORT'!$D$42:$D$1040,SUBSTITUTE(SUBSTITUTE(SUBSTITUTE($P966,"~","~~"),"*","~*"),"?","~?"),'DEF_SELF_SCOUT_IMPORT'!$J$42:$J$1040,"")&gt;0,"Unscored clean outcome; review result tags before using score.",IF(C966=0,"No matching defensive reps; film confirmation needed.",IF(K966="Explosive Alert","Explosive risk; review clips before using as answer.",IF(C966&lt;=2,"Track only; not enough sample.",IF(C966=3,IF(E966&gt;0,"Sample watch with explosive exposure; review clips and build the sample.",IF(J966&gt;=65,"Good signal, but sample is limited.","Sample watch; review clips and build the sample.")),IF(K966="Problem Call","Problem area; practice or call-sheet review.",IF(K966="Strong Candidate","Strong call-fit candidate; confirm on film.",IF(K966="Good Candidate","Good call-fit signal; confirm on film.","Mixed signal; review fit and execution on film."))))))))</f>
        <v>Track only; not enough sample.</v>
      </c>
      <c r="M966" s="8" t="s">
        <v>92</v>
      </c>
      <c r="N966" s="8"/>
      <c r="O966" s="8"/>
      <c r="P966" s="8" t="s">
        <v>428</v>
      </c>
      <c r="Q966" s="8"/>
      <c r="R966" s="8" t="s">
        <v>429</v>
      </c>
      <c r="S966" s="2" t="s">
        <v>552</v>
      </c>
      <c r="T966" s="2">
        <f>IF(C966=0,0,IF(C966&gt;=CALL_LOOKUP_BOARD!$B$7,IF(OR(K966="Problem Call",K966="Explosive Alert"),10000000,20000000),0)+IF(C966&gt;=CALL_LOOKUP_BOARD!$B$7,J966*1000+MIN(C966,999),C966*1000+J966)+0.00984400)</f>
        <v>1020.009844</v>
      </c>
      <c r="U966" s="2">
        <f>IF(C966=0,"",IF(COUNTIFS($S$811:$S$1055,SUBSTITUTE(SUBSTITUTE(SUBSTITUTE(S966,"~","~~"),"*","~*"),"?","~?"),$T$811:$T$1055,"&gt;"&amp;T966)=0,S966,""))</f>
        <v/>
      </c>
    </row>
    <row r="967" spans="1:21" ht="38" customHeight="1">
      <c r="A967" s="8" t="s">
        <v>551</v>
      </c>
      <c r="B967" s="8" t="s">
        <v>95</v>
      </c>
      <c r="C967" s="12">
        <f>COUNTIFS('DEF_SELF_SCOUT_IMPORT'!$L$42:$L$1040,"Y",'DEF_SELF_SCOUT_IMPORT'!$E$42:$E$1040,SUBSTITUTE(SUBSTITUTE(SUBSTITUTE($B967,"~","~~"),"*","~*"),"?","~?"),'DEF_SELF_SCOUT_IMPORT'!$Q$42:$Q$1040,SUBSTITUTE(SUBSTITUTE(SUBSTITUTE($M967,"~","~~"),"*","~*"),"?","~?"),'DEF_SELF_SCOUT_IMPORT'!$D$42:$D$1040,SUBSTITUTE(SUBSTITUTE(SUBSTITUTE($P967,"~","~~"),"*","~*"),"?","~?"))</f>
        <v>1</v>
      </c>
      <c r="D967" s="10">
        <f>IF($C967=0,"",SUMIFS('DEF_SELF_SCOUT_IMPORT'!$J$42:$J$1040,'DEF_SELF_SCOUT_IMPORT'!$L$42:$L$1040,"Y",'DEF_SELF_SCOUT_IMPORT'!$E$42:$E$1040,SUBSTITUTE(SUBSTITUTE(SUBSTITUTE($B967,"~","~~"),"*","~*"),"?","~?"),'DEF_SELF_SCOUT_IMPORT'!$Q$42:$Q$1040,SUBSTITUTE(SUBSTITUTE(SUBSTITUTE($M967,"~","~~"),"*","~*"),"?","~?"),'DEF_SELF_SCOUT_IMPORT'!$D$42:$D$1040,SUBSTITUTE(SUBSTITUTE(SUBSTITUTE($P967,"~","~~"),"*","~*"),"?","~?"))/$C967)</f>
        <v>0.0</v>
      </c>
      <c r="E967" s="10">
        <f>IF($C967=0,"",SUMIFS('DEF_SELF_SCOUT_IMPORT'!$K$42:$K$1040,'DEF_SELF_SCOUT_IMPORT'!$L$42:$L$1040,"Y",'DEF_SELF_SCOUT_IMPORT'!$E$42:$E$1040,SUBSTITUTE(SUBSTITUTE(SUBSTITUTE($B967,"~","~~"),"*","~*"),"?","~?"),'DEF_SELF_SCOUT_IMPORT'!$Q$42:$Q$1040,SUBSTITUTE(SUBSTITUTE(SUBSTITUTE($M967,"~","~~"),"*","~*"),"?","~?"),'DEF_SELF_SCOUT_IMPORT'!$D$42:$D$1040,SUBSTITUTE(SUBSTITUTE(SUBSTITUTE($P967,"~","~~"),"*","~*"),"?","~?"))/$C967)</f>
        <v>0.0</v>
      </c>
      <c r="F967" s="11">
        <f>IF($C967=0,"",AVERAGEIFS('DEF_SELF_SCOUT_IMPORT'!$I$42:$I$1040,'DEF_SELF_SCOUT_IMPORT'!$L$42:$L$1040,"Y",'DEF_SELF_SCOUT_IMPORT'!$E$42:$E$1040,SUBSTITUTE(SUBSTITUTE(SUBSTITUTE($B967,"~","~~"),"*","~*"),"?","~?"),'DEF_SELF_SCOUT_IMPORT'!$Q$42:$Q$1040,SUBSTITUTE(SUBSTITUTE(SUBSTITUTE($M967,"~","~~"),"*","~*"),"?","~?"),'DEF_SELF_SCOUT_IMPORT'!$D$42:$D$1040,SUBSTITUTE(SUBSTITUTE(SUBSTITUTE($P967,"~","~~"),"*","~*"),"?","~?")))</f>
        <v>6.0</v>
      </c>
      <c r="G967" s="10">
        <f>IF($C967=0,"",COUNTIFS('DEF_SELF_SCOUT_IMPORT'!$L$42:$L$1040,"Y",'DEF_SELF_SCOUT_IMPORT'!$E$42:$E$1040,SUBSTITUTE(SUBSTITUTE(SUBSTITUTE($B967,"~","~~"),"*","~*"),"?","~?"),'DEF_SELF_SCOUT_IMPORT'!$Q$42:$Q$1040,SUBSTITUTE(SUBSTITUTE(SUBSTITUTE($M967,"~","~~"),"*","~*"),"?","~?"),'DEF_SELF_SCOUT_IMPORT'!$D$42:$D$1040,SUBSTITUTE(SUBSTITUTE(SUBSTITUTE($P967,"~","~~"),"*","~*"),"?","~?"),'DEF_SELF_SCOUT_IMPORT'!$H$42:$H$1040,"RUSH")/$C967)</f>
        <v>1.0</v>
      </c>
      <c r="H967" s="10">
        <f>IF($C967=0,"",COUNTIFS('DEF_SELF_SCOUT_IMPORT'!$L$42:$L$1040,"Y",'DEF_SELF_SCOUT_IMPORT'!$E$42:$E$1040,SUBSTITUTE(SUBSTITUTE(SUBSTITUTE($B967,"~","~~"),"*","~*"),"?","~?"),'DEF_SELF_SCOUT_IMPORT'!$Q$42:$Q$1040,SUBSTITUTE(SUBSTITUTE(SUBSTITUTE($M967,"~","~~"),"*","~*"),"?","~?"),'DEF_SELF_SCOUT_IMPORT'!$D$42:$D$1040,SUBSTITUTE(SUBSTITUTE(SUBSTITUTE($P967,"~","~~"),"*","~*"),"?","~?"),'DEF_SELF_SCOUT_IMPORT'!$H$42:$H$1040,"DROPBACK")/$C967)</f>
        <v>0.0</v>
      </c>
      <c r="I967" s="14" t="str">
        <f>IF(C967=0,"",IF(C967&lt;=2,"TRACK",IF(C967=3,"LOW",IF(C967&lt;=6,"MEDIUM","HIGH"))))</f>
        <v>TRACK</v>
      </c>
      <c r="J967" s="11">
        <f>IF(C967=0,"",ROUND(D967*70+(1-E967)*20+MAX(0,MIN(1,(10-F967)/10))*10,1))</f>
        <v>24.0</v>
      </c>
      <c r="K967" s="14" t="str">
        <f>IF(C967=0,"No Evidence",IF(C967&lt;=2,IF(E967&gt;0,"Explosive Alert","Track Only"),IF(C967=3,"Sample Watch",IF(E967&gt;=START_HERE!$B$31,"Explosive Alert",IF(J967&gt;=80,"Strong Candidate",IF(J967&gt;=65,"Good Candidate",IF(J967&gt;=50,"Mixed / Review","Problem Call")))))))</f>
        <v>Track Only</v>
      </c>
      <c r="L967" s="9" t="str">
        <f>IF(COUNTIFS('DEF_SELF_SCOUT_IMPORT'!$L$42:$L$1040,"Y",'DEF_SELF_SCOUT_IMPORT'!$E$42:$E$1040,SUBSTITUTE(SUBSTITUTE(SUBSTITUTE($B967,"~","~~"),"*","~*"),"?","~?"),'DEF_SELF_SCOUT_IMPORT'!$Q$42:$Q$1040,SUBSTITUTE(SUBSTITUTE(SUBSTITUTE($M967,"~","~~"),"*","~*"),"?","~?"),'DEF_SELF_SCOUT_IMPORT'!$D$42:$D$1040,SUBSTITUTE(SUBSTITUTE(SUBSTITUTE($P967,"~","~~"),"*","~*"),"?","~?"),'DEF_SELF_SCOUT_IMPORT'!$J$42:$J$1040,"")&gt;0,"Unscored clean outcome; review result tags before using score.",IF(C967=0,"No matching defensive reps; film confirmation needed.",IF(K967="Explosive Alert","Explosive risk; review clips before using as answer.",IF(C967&lt;=2,"Track only; not enough sample.",IF(C967=3,IF(E967&gt;0,"Sample watch with explosive exposure; review clips and build the sample.",IF(J967&gt;=65,"Good signal, but sample is limited.","Sample watch; review clips and build the sample.")),IF(K967="Problem Call","Problem area; practice or call-sheet review.",IF(K967="Strong Candidate","Strong call-fit candidate; confirm on film.",IF(K967="Good Candidate","Good call-fit signal; confirm on film.","Mixed signal; review fit and execution on film."))))))))</f>
        <v>Track only; not enough sample.</v>
      </c>
      <c r="M967" s="8" t="s">
        <v>92</v>
      </c>
      <c r="N967" s="8"/>
      <c r="O967" s="8"/>
      <c r="P967" s="8" t="s">
        <v>428</v>
      </c>
      <c r="Q967" s="8"/>
      <c r="R967" s="8" t="s">
        <v>429</v>
      </c>
      <c r="S967" s="2" t="s">
        <v>552</v>
      </c>
      <c r="T967" s="2">
        <f>IF(C967=0,0,IF(C967&gt;=CALL_LOOKUP_BOARD!$B$7,IF(OR(K967="Problem Call",K967="Explosive Alert"),10000000,20000000),0)+IF(C967&gt;=CALL_LOOKUP_BOARD!$B$7,J967*1000+MIN(C967,999),C967*1000+J967)+0.00984300)</f>
        <v>1024.009843</v>
      </c>
      <c r="U967" s="2">
        <f>IF(C967=0,"",IF(COUNTIFS($S$811:$S$1055,SUBSTITUTE(SUBSTITUTE(SUBSTITUTE(S967,"~","~~"),"*","~*"),"?","~?"),$T$811:$T$1055,"&gt;"&amp;T967)=0,S967,""))</f>
        <v/>
      </c>
    </row>
    <row r="968" spans="1:21" ht="38" customHeight="1">
      <c r="A968" s="8" t="s">
        <v>551</v>
      </c>
      <c r="B968" s="8" t="s">
        <v>35</v>
      </c>
      <c r="C968" s="12">
        <f>COUNTIFS('DEF_SELF_SCOUT_IMPORT'!$L$42:$L$1040,"Y",'DEF_SELF_SCOUT_IMPORT'!$E$42:$E$1040,SUBSTITUTE(SUBSTITUTE(SUBSTITUTE($B968,"~","~~"),"*","~*"),"?","~?"),'DEF_SELF_SCOUT_IMPORT'!$Q$42:$Q$1040,SUBSTITUTE(SUBSTITUTE(SUBSTITUTE($M968,"~","~~"),"*","~*"),"?","~?"),'DEF_SELF_SCOUT_IMPORT'!$D$42:$D$1040,SUBSTITUTE(SUBSTITUTE(SUBSTITUTE($P968,"~","~~"),"*","~*"),"?","~?"))</f>
        <v>1</v>
      </c>
      <c r="D968" s="10">
        <f>IF($C968=0,"",SUMIFS('DEF_SELF_SCOUT_IMPORT'!$J$42:$J$1040,'DEF_SELF_SCOUT_IMPORT'!$L$42:$L$1040,"Y",'DEF_SELF_SCOUT_IMPORT'!$E$42:$E$1040,SUBSTITUTE(SUBSTITUTE(SUBSTITUTE($B968,"~","~~"),"*","~*"),"?","~?"),'DEF_SELF_SCOUT_IMPORT'!$Q$42:$Q$1040,SUBSTITUTE(SUBSTITUTE(SUBSTITUTE($M968,"~","~~"),"*","~*"),"?","~?"),'DEF_SELF_SCOUT_IMPORT'!$D$42:$D$1040,SUBSTITUTE(SUBSTITUTE(SUBSTITUTE($P968,"~","~~"),"*","~*"),"?","~?"))/$C968)</f>
        <v>0.0</v>
      </c>
      <c r="E968" s="10">
        <f>IF($C968=0,"",SUMIFS('DEF_SELF_SCOUT_IMPORT'!$K$42:$K$1040,'DEF_SELF_SCOUT_IMPORT'!$L$42:$L$1040,"Y",'DEF_SELF_SCOUT_IMPORT'!$E$42:$E$1040,SUBSTITUTE(SUBSTITUTE(SUBSTITUTE($B968,"~","~~"),"*","~*"),"?","~?"),'DEF_SELF_SCOUT_IMPORT'!$Q$42:$Q$1040,SUBSTITUTE(SUBSTITUTE(SUBSTITUTE($M968,"~","~~"),"*","~*"),"?","~?"),'DEF_SELF_SCOUT_IMPORT'!$D$42:$D$1040,SUBSTITUTE(SUBSTITUTE(SUBSTITUTE($P968,"~","~~"),"*","~*"),"?","~?"))/$C968)</f>
        <v>0.0</v>
      </c>
      <c r="F968" s="11">
        <f>IF($C968=0,"",AVERAGEIFS('DEF_SELF_SCOUT_IMPORT'!$I$42:$I$1040,'DEF_SELF_SCOUT_IMPORT'!$L$42:$L$1040,"Y",'DEF_SELF_SCOUT_IMPORT'!$E$42:$E$1040,SUBSTITUTE(SUBSTITUTE(SUBSTITUTE($B968,"~","~~"),"*","~*"),"?","~?"),'DEF_SELF_SCOUT_IMPORT'!$Q$42:$Q$1040,SUBSTITUTE(SUBSTITUTE(SUBSTITUTE($M968,"~","~~"),"*","~*"),"?","~?"),'DEF_SELF_SCOUT_IMPORT'!$D$42:$D$1040,SUBSTITUTE(SUBSTITUTE(SUBSTITUTE($P968,"~","~~"),"*","~*"),"?","~?")))</f>
        <v>5.0</v>
      </c>
      <c r="G968" s="10">
        <f>IF($C968=0,"",COUNTIFS('DEF_SELF_SCOUT_IMPORT'!$L$42:$L$1040,"Y",'DEF_SELF_SCOUT_IMPORT'!$E$42:$E$1040,SUBSTITUTE(SUBSTITUTE(SUBSTITUTE($B968,"~","~~"),"*","~*"),"?","~?"),'DEF_SELF_SCOUT_IMPORT'!$Q$42:$Q$1040,SUBSTITUTE(SUBSTITUTE(SUBSTITUTE($M968,"~","~~"),"*","~*"),"?","~?"),'DEF_SELF_SCOUT_IMPORT'!$D$42:$D$1040,SUBSTITUTE(SUBSTITUTE(SUBSTITUTE($P968,"~","~~"),"*","~*"),"?","~?"),'DEF_SELF_SCOUT_IMPORT'!$H$42:$H$1040,"RUSH")/$C968)</f>
        <v>1.0</v>
      </c>
      <c r="H968" s="10">
        <f>IF($C968=0,"",COUNTIFS('DEF_SELF_SCOUT_IMPORT'!$L$42:$L$1040,"Y",'DEF_SELF_SCOUT_IMPORT'!$E$42:$E$1040,SUBSTITUTE(SUBSTITUTE(SUBSTITUTE($B968,"~","~~"),"*","~*"),"?","~?"),'DEF_SELF_SCOUT_IMPORT'!$Q$42:$Q$1040,SUBSTITUTE(SUBSTITUTE(SUBSTITUTE($M968,"~","~~"),"*","~*"),"?","~?"),'DEF_SELF_SCOUT_IMPORT'!$D$42:$D$1040,SUBSTITUTE(SUBSTITUTE(SUBSTITUTE($P968,"~","~~"),"*","~*"),"?","~?"),'DEF_SELF_SCOUT_IMPORT'!$H$42:$H$1040,"DROPBACK")/$C968)</f>
        <v>0.0</v>
      </c>
      <c r="I968" s="14" t="str">
        <f>IF(C968=0,"",IF(C968&lt;=2,"TRACK",IF(C968=3,"LOW",IF(C968&lt;=6,"MEDIUM","HIGH"))))</f>
        <v>TRACK</v>
      </c>
      <c r="J968" s="11">
        <f>IF(C968=0,"",ROUND(D968*70+(1-E968)*20+MAX(0,MIN(1,(10-F968)/10))*10,1))</f>
        <v>25.0</v>
      </c>
      <c r="K968" s="14" t="str">
        <f>IF(C968=0,"No Evidence",IF(C968&lt;=2,IF(E968&gt;0,"Explosive Alert","Track Only"),IF(C968=3,"Sample Watch",IF(E968&gt;=START_HERE!$B$31,"Explosive Alert",IF(J968&gt;=80,"Strong Candidate",IF(J968&gt;=65,"Good Candidate",IF(J968&gt;=50,"Mixed / Review","Problem Call")))))))</f>
        <v>Track Only</v>
      </c>
      <c r="L968" s="9" t="str">
        <f>IF(COUNTIFS('DEF_SELF_SCOUT_IMPORT'!$L$42:$L$1040,"Y",'DEF_SELF_SCOUT_IMPORT'!$E$42:$E$1040,SUBSTITUTE(SUBSTITUTE(SUBSTITUTE($B968,"~","~~"),"*","~*"),"?","~?"),'DEF_SELF_SCOUT_IMPORT'!$Q$42:$Q$1040,SUBSTITUTE(SUBSTITUTE(SUBSTITUTE($M968,"~","~~"),"*","~*"),"?","~?"),'DEF_SELF_SCOUT_IMPORT'!$D$42:$D$1040,SUBSTITUTE(SUBSTITUTE(SUBSTITUTE($P968,"~","~~"),"*","~*"),"?","~?"),'DEF_SELF_SCOUT_IMPORT'!$J$42:$J$1040,"")&gt;0,"Unscored clean outcome; review result tags before using score.",IF(C968=0,"No matching defensive reps; film confirmation needed.",IF(K968="Explosive Alert","Explosive risk; review clips before using as answer.",IF(C968&lt;=2,"Track only; not enough sample.",IF(C968=3,IF(E968&gt;0,"Sample watch with explosive exposure; review clips and build the sample.",IF(J968&gt;=65,"Good signal, but sample is limited.","Sample watch; review clips and build the sample.")),IF(K968="Problem Call","Problem area; practice or call-sheet review.",IF(K968="Strong Candidate","Strong call-fit candidate; confirm on film.",IF(K968="Good Candidate","Good call-fit signal; confirm on film.","Mixed signal; review fit and execution on film."))))))))</f>
        <v>Track only; not enough sample.</v>
      </c>
      <c r="M968" s="8" t="s">
        <v>92</v>
      </c>
      <c r="N968" s="8"/>
      <c r="O968" s="8"/>
      <c r="P968" s="8" t="s">
        <v>428</v>
      </c>
      <c r="Q968" s="8"/>
      <c r="R968" s="8" t="s">
        <v>429</v>
      </c>
      <c r="S968" s="2" t="s">
        <v>552</v>
      </c>
      <c r="T968" s="2">
        <f>IF(C968=0,0,IF(C968&gt;=CALL_LOOKUP_BOARD!$B$7,IF(OR(K968="Problem Call",K968="Explosive Alert"),10000000,20000000),0)+IF(C968&gt;=CALL_LOOKUP_BOARD!$B$7,J968*1000+MIN(C968,999),C968*1000+J968)+0.00984200)</f>
        <v>1025.009842</v>
      </c>
      <c r="U968" s="2">
        <f>IF(C968=0,"",IF(COUNTIFS($S$811:$S$1055,SUBSTITUTE(SUBSTITUTE(SUBSTITUTE(S968,"~","~~"),"*","~*"),"?","~?"),$T$811:$T$1055,"&gt;"&amp;T968)=0,S968,""))</f>
        <v/>
      </c>
    </row>
    <row r="969" spans="1:21" ht="38" customHeight="1">
      <c r="A969" s="8" t="s">
        <v>551</v>
      </c>
      <c r="B969" s="8" t="s">
        <v>66</v>
      </c>
      <c r="C969" s="12">
        <f>COUNTIFS('DEF_SELF_SCOUT_IMPORT'!$L$42:$L$1040,"Y",'DEF_SELF_SCOUT_IMPORT'!$E$42:$E$1040,SUBSTITUTE(SUBSTITUTE(SUBSTITUTE($B969,"~","~~"),"*","~*"),"?","~?"),'DEF_SELF_SCOUT_IMPORT'!$Q$42:$Q$1040,SUBSTITUTE(SUBSTITUTE(SUBSTITUTE($M969,"~","~~"),"*","~*"),"?","~?"),'DEF_SELF_SCOUT_IMPORT'!$D$42:$D$1040,SUBSTITUTE(SUBSTITUTE(SUBSTITUTE($P969,"~","~~"),"*","~*"),"?","~?"))</f>
        <v>1</v>
      </c>
      <c r="D969" s="10">
        <f>IF($C969=0,"",SUMIFS('DEF_SELF_SCOUT_IMPORT'!$J$42:$J$1040,'DEF_SELF_SCOUT_IMPORT'!$L$42:$L$1040,"Y",'DEF_SELF_SCOUT_IMPORT'!$E$42:$E$1040,SUBSTITUTE(SUBSTITUTE(SUBSTITUTE($B969,"~","~~"),"*","~*"),"?","~?"),'DEF_SELF_SCOUT_IMPORT'!$Q$42:$Q$1040,SUBSTITUTE(SUBSTITUTE(SUBSTITUTE($M969,"~","~~"),"*","~*"),"?","~?"),'DEF_SELF_SCOUT_IMPORT'!$D$42:$D$1040,SUBSTITUTE(SUBSTITUTE(SUBSTITUTE($P969,"~","~~"),"*","~*"),"?","~?"))/$C969)</f>
        <v>0.0</v>
      </c>
      <c r="E969" s="10">
        <f>IF($C969=0,"",SUMIFS('DEF_SELF_SCOUT_IMPORT'!$K$42:$K$1040,'DEF_SELF_SCOUT_IMPORT'!$L$42:$L$1040,"Y",'DEF_SELF_SCOUT_IMPORT'!$E$42:$E$1040,SUBSTITUTE(SUBSTITUTE(SUBSTITUTE($B969,"~","~~"),"*","~*"),"?","~?"),'DEF_SELF_SCOUT_IMPORT'!$Q$42:$Q$1040,SUBSTITUTE(SUBSTITUTE(SUBSTITUTE($M969,"~","~~"),"*","~*"),"?","~?"),'DEF_SELF_SCOUT_IMPORT'!$D$42:$D$1040,SUBSTITUTE(SUBSTITUTE(SUBSTITUTE($P969,"~","~~"),"*","~*"),"?","~?"))/$C969)</f>
        <v>0.0</v>
      </c>
      <c r="F969" s="11">
        <f>IF($C969=0,"",AVERAGEIFS('DEF_SELF_SCOUT_IMPORT'!$I$42:$I$1040,'DEF_SELF_SCOUT_IMPORT'!$L$42:$L$1040,"Y",'DEF_SELF_SCOUT_IMPORT'!$E$42:$E$1040,SUBSTITUTE(SUBSTITUTE(SUBSTITUTE($B969,"~","~~"),"*","~*"),"?","~?"),'DEF_SELF_SCOUT_IMPORT'!$Q$42:$Q$1040,SUBSTITUTE(SUBSTITUTE(SUBSTITUTE($M969,"~","~~"),"*","~*"),"?","~?"),'DEF_SELF_SCOUT_IMPORT'!$D$42:$D$1040,SUBSTITUTE(SUBSTITUTE(SUBSTITUTE($P969,"~","~~"),"*","~*"),"?","~?")))</f>
        <v>1.0</v>
      </c>
      <c r="G969" s="10">
        <f>IF($C969=0,"",COUNTIFS('DEF_SELF_SCOUT_IMPORT'!$L$42:$L$1040,"Y",'DEF_SELF_SCOUT_IMPORT'!$E$42:$E$1040,SUBSTITUTE(SUBSTITUTE(SUBSTITUTE($B969,"~","~~"),"*","~*"),"?","~?"),'DEF_SELF_SCOUT_IMPORT'!$Q$42:$Q$1040,SUBSTITUTE(SUBSTITUTE(SUBSTITUTE($M969,"~","~~"),"*","~*"),"?","~?"),'DEF_SELF_SCOUT_IMPORT'!$D$42:$D$1040,SUBSTITUTE(SUBSTITUTE(SUBSTITUTE($P969,"~","~~"),"*","~*"),"?","~?"),'DEF_SELF_SCOUT_IMPORT'!$H$42:$H$1040,"RUSH")/$C969)</f>
        <v>1.0</v>
      </c>
      <c r="H969" s="10">
        <f>IF($C969=0,"",COUNTIFS('DEF_SELF_SCOUT_IMPORT'!$L$42:$L$1040,"Y",'DEF_SELF_SCOUT_IMPORT'!$E$42:$E$1040,SUBSTITUTE(SUBSTITUTE(SUBSTITUTE($B969,"~","~~"),"*","~*"),"?","~?"),'DEF_SELF_SCOUT_IMPORT'!$Q$42:$Q$1040,SUBSTITUTE(SUBSTITUTE(SUBSTITUTE($M969,"~","~~"),"*","~*"),"?","~?"),'DEF_SELF_SCOUT_IMPORT'!$D$42:$D$1040,SUBSTITUTE(SUBSTITUTE(SUBSTITUTE($P969,"~","~~"),"*","~*"),"?","~?"),'DEF_SELF_SCOUT_IMPORT'!$H$42:$H$1040,"DROPBACK")/$C969)</f>
        <v>0.0</v>
      </c>
      <c r="I969" s="14" t="str">
        <f>IF(C969=0,"",IF(C969&lt;=2,"TRACK",IF(C969=3,"LOW",IF(C969&lt;=6,"MEDIUM","HIGH"))))</f>
        <v>TRACK</v>
      </c>
      <c r="J969" s="11">
        <f>IF(C969=0,"",ROUND(D969*70+(1-E969)*20+MAX(0,MIN(1,(10-F969)/10))*10,1))</f>
        <v>29.0</v>
      </c>
      <c r="K969" s="14" t="str">
        <f>IF(C969=0,"No Evidence",IF(C969&lt;=2,IF(E969&gt;0,"Explosive Alert","Track Only"),IF(C969=3,"Sample Watch",IF(E969&gt;=START_HERE!$B$31,"Explosive Alert",IF(J969&gt;=80,"Strong Candidate",IF(J969&gt;=65,"Good Candidate",IF(J969&gt;=50,"Mixed / Review","Problem Call")))))))</f>
        <v>Track Only</v>
      </c>
      <c r="L969" s="9" t="str">
        <f>IF(COUNTIFS('DEF_SELF_SCOUT_IMPORT'!$L$42:$L$1040,"Y",'DEF_SELF_SCOUT_IMPORT'!$E$42:$E$1040,SUBSTITUTE(SUBSTITUTE(SUBSTITUTE($B969,"~","~~"),"*","~*"),"?","~?"),'DEF_SELF_SCOUT_IMPORT'!$Q$42:$Q$1040,SUBSTITUTE(SUBSTITUTE(SUBSTITUTE($M969,"~","~~"),"*","~*"),"?","~?"),'DEF_SELF_SCOUT_IMPORT'!$D$42:$D$1040,SUBSTITUTE(SUBSTITUTE(SUBSTITUTE($P969,"~","~~"),"*","~*"),"?","~?"),'DEF_SELF_SCOUT_IMPORT'!$J$42:$J$1040,"")&gt;0,"Unscored clean outcome; review result tags before using score.",IF(C969=0,"No matching defensive reps; film confirmation needed.",IF(K969="Explosive Alert","Explosive risk; review clips before using as answer.",IF(C969&lt;=2,"Track only; not enough sample.",IF(C969=3,IF(E969&gt;0,"Sample watch with explosive exposure; review clips and build the sample.",IF(J969&gt;=65,"Good signal, but sample is limited.","Sample watch; review clips and build the sample.")),IF(K969="Problem Call","Problem area; practice or call-sheet review.",IF(K969="Strong Candidate","Strong call-fit candidate; confirm on film.",IF(K969="Good Candidate","Good call-fit signal; confirm on film.","Mixed signal; review fit and execution on film."))))))))</f>
        <v>Track only; not enough sample.</v>
      </c>
      <c r="M969" s="8" t="s">
        <v>92</v>
      </c>
      <c r="N969" s="8"/>
      <c r="O969" s="8"/>
      <c r="P969" s="8" t="s">
        <v>428</v>
      </c>
      <c r="Q969" s="8"/>
      <c r="R969" s="8" t="s">
        <v>429</v>
      </c>
      <c r="S969" s="2" t="s">
        <v>552</v>
      </c>
      <c r="T969" s="2">
        <f>IF(C969=0,0,IF(C969&gt;=CALL_LOOKUP_BOARD!$B$7,IF(OR(K969="Problem Call",K969="Explosive Alert"),10000000,20000000),0)+IF(C969&gt;=CALL_LOOKUP_BOARD!$B$7,J969*1000+MIN(C969,999),C969*1000+J969)+0.00984100)</f>
        <v>1029.009841</v>
      </c>
      <c r="U969" s="2" t="str">
        <f>IF(C969=0,"",IF(COUNTIFS($S$811:$S$1055,SUBSTITUTE(SUBSTITUTE(SUBSTITUTE(S969,"~","~~"),"*","~*"),"?","~?"),$T$811:$T$1055,"&gt;"&amp;T969)=0,S969,""))</f>
        <v>6:3D 1-3|11:INSIDE ZONE|</v>
      </c>
    </row>
    <row r="970" spans="1:21" ht="38" customHeight="1">
      <c r="A970" s="8" t="s">
        <v>553</v>
      </c>
      <c r="B970" s="8" t="s">
        <v>77</v>
      </c>
      <c r="C970" s="12">
        <f>COUNTIFS('DEF_SELF_SCOUT_IMPORT'!$L$42:$L$1040,"Y",'DEF_SELF_SCOUT_IMPORT'!$E$42:$E$1040,SUBSTITUTE(SUBSTITUTE(SUBSTITUTE($B970,"~","~~"),"*","~*"),"?","~?"),'DEF_SELF_SCOUT_IMPORT'!$Q$42:$Q$1040,SUBSTITUTE(SUBSTITUTE(SUBSTITUTE($M970,"~","~~"),"*","~*"),"?","~?"),'DEF_SELF_SCOUT_IMPORT'!$D$42:$D$1040,SUBSTITUTE(SUBSTITUTE(SUBSTITUTE($P970,"~","~~"),"*","~*"),"?","~?"))</f>
        <v>1</v>
      </c>
      <c r="D970" s="10">
        <f>IF($C970=0,"",SUMIFS('DEF_SELF_SCOUT_IMPORT'!$J$42:$J$1040,'DEF_SELF_SCOUT_IMPORT'!$L$42:$L$1040,"Y",'DEF_SELF_SCOUT_IMPORT'!$E$42:$E$1040,SUBSTITUTE(SUBSTITUTE(SUBSTITUTE($B970,"~","~~"),"*","~*"),"?","~?"),'DEF_SELF_SCOUT_IMPORT'!$Q$42:$Q$1040,SUBSTITUTE(SUBSTITUTE(SUBSTITUTE($M970,"~","~~"),"*","~*"),"?","~?"),'DEF_SELF_SCOUT_IMPORT'!$D$42:$D$1040,SUBSTITUTE(SUBSTITUTE(SUBSTITUTE($P970,"~","~~"),"*","~*"),"?","~?"))/$C970)</f>
        <v>0.0</v>
      </c>
      <c r="E970" s="10">
        <f>IF($C970=0,"",SUMIFS('DEF_SELF_SCOUT_IMPORT'!$K$42:$K$1040,'DEF_SELF_SCOUT_IMPORT'!$L$42:$L$1040,"Y",'DEF_SELF_SCOUT_IMPORT'!$E$42:$E$1040,SUBSTITUTE(SUBSTITUTE(SUBSTITUTE($B970,"~","~~"),"*","~*"),"?","~?"),'DEF_SELF_SCOUT_IMPORT'!$Q$42:$Q$1040,SUBSTITUTE(SUBSTITUTE(SUBSTITUTE($M970,"~","~~"),"*","~*"),"?","~?"),'DEF_SELF_SCOUT_IMPORT'!$D$42:$D$1040,SUBSTITUTE(SUBSTITUTE(SUBSTITUTE($P970,"~","~~"),"*","~*"),"?","~?"))/$C970)</f>
        <v>0.0</v>
      </c>
      <c r="F970" s="11">
        <f>IF($C970=0,"",AVERAGEIFS('DEF_SELF_SCOUT_IMPORT'!$I$42:$I$1040,'DEF_SELF_SCOUT_IMPORT'!$L$42:$L$1040,"Y",'DEF_SELF_SCOUT_IMPORT'!$E$42:$E$1040,SUBSTITUTE(SUBSTITUTE(SUBSTITUTE($B970,"~","~~"),"*","~*"),"?","~?"),'DEF_SELF_SCOUT_IMPORT'!$Q$42:$Q$1040,SUBSTITUTE(SUBSTITUTE(SUBSTITUTE($M970,"~","~~"),"*","~*"),"?","~?"),'DEF_SELF_SCOUT_IMPORT'!$D$42:$D$1040,SUBSTITUTE(SUBSTITUTE(SUBSTITUTE($P970,"~","~~"),"*","~*"),"?","~?")))</f>
        <v>1.0</v>
      </c>
      <c r="G970" s="10">
        <f>IF($C970=0,"",COUNTIFS('DEF_SELF_SCOUT_IMPORT'!$L$42:$L$1040,"Y",'DEF_SELF_SCOUT_IMPORT'!$E$42:$E$1040,SUBSTITUTE(SUBSTITUTE(SUBSTITUTE($B970,"~","~~"),"*","~*"),"?","~?"),'DEF_SELF_SCOUT_IMPORT'!$Q$42:$Q$1040,SUBSTITUTE(SUBSTITUTE(SUBSTITUTE($M970,"~","~~"),"*","~*"),"?","~?"),'DEF_SELF_SCOUT_IMPORT'!$D$42:$D$1040,SUBSTITUTE(SUBSTITUTE(SUBSTITUTE($P970,"~","~~"),"*","~*"),"?","~?"),'DEF_SELF_SCOUT_IMPORT'!$H$42:$H$1040,"RUSH")/$C970)</f>
        <v>1.0</v>
      </c>
      <c r="H970" s="10">
        <f>IF($C970=0,"",COUNTIFS('DEF_SELF_SCOUT_IMPORT'!$L$42:$L$1040,"Y",'DEF_SELF_SCOUT_IMPORT'!$E$42:$E$1040,SUBSTITUTE(SUBSTITUTE(SUBSTITUTE($B970,"~","~~"),"*","~*"),"?","~?"),'DEF_SELF_SCOUT_IMPORT'!$Q$42:$Q$1040,SUBSTITUTE(SUBSTITUTE(SUBSTITUTE($M970,"~","~~"),"*","~*"),"?","~?"),'DEF_SELF_SCOUT_IMPORT'!$D$42:$D$1040,SUBSTITUTE(SUBSTITUTE(SUBSTITUTE($P970,"~","~~"),"*","~*"),"?","~?"),'DEF_SELF_SCOUT_IMPORT'!$H$42:$H$1040,"DROPBACK")/$C970)</f>
        <v>0.0</v>
      </c>
      <c r="I970" s="14" t="str">
        <f>IF(C970=0,"",IF(C970&lt;=2,"TRACK",IF(C970=3,"LOW",IF(C970&lt;=6,"MEDIUM","HIGH"))))</f>
        <v>TRACK</v>
      </c>
      <c r="J970" s="11">
        <f>IF(C970=0,"",ROUND(D970*70+(1-E970)*20+MAX(0,MIN(1,(10-F970)/10))*10,1))</f>
        <v>29.0</v>
      </c>
      <c r="K970" s="14" t="str">
        <f>IF(C970=0,"No Evidence",IF(C970&lt;=2,IF(E970&gt;0,"Explosive Alert","Track Only"),IF(C970=3,"Sample Watch",IF(E970&gt;=START_HERE!$B$31,"Explosive Alert",IF(J970&gt;=80,"Strong Candidate",IF(J970&gt;=65,"Good Candidate",IF(J970&gt;=50,"Mixed / Review","Problem Call")))))))</f>
        <v>Track Only</v>
      </c>
      <c r="L970" s="9" t="str">
        <f>IF(COUNTIFS('DEF_SELF_SCOUT_IMPORT'!$L$42:$L$1040,"Y",'DEF_SELF_SCOUT_IMPORT'!$E$42:$E$1040,SUBSTITUTE(SUBSTITUTE(SUBSTITUTE($B970,"~","~~"),"*","~*"),"?","~?"),'DEF_SELF_SCOUT_IMPORT'!$Q$42:$Q$1040,SUBSTITUTE(SUBSTITUTE(SUBSTITUTE($M970,"~","~~"),"*","~*"),"?","~?"),'DEF_SELF_SCOUT_IMPORT'!$D$42:$D$1040,SUBSTITUTE(SUBSTITUTE(SUBSTITUTE($P970,"~","~~"),"*","~*"),"?","~?"),'DEF_SELF_SCOUT_IMPORT'!$J$42:$J$1040,"")&gt;0,"Unscored clean outcome; review result tags before using score.",IF(C970=0,"No matching defensive reps; film confirmation needed.",IF(K970="Explosive Alert","Explosive risk; review clips before using as answer.",IF(C970&lt;=2,"Track only; not enough sample.",IF(C970=3,IF(E970&gt;0,"Sample watch with explosive exposure; review clips and build the sample.",IF(J970&gt;=65,"Good signal, but sample is limited.","Sample watch; review clips and build the sample.")),IF(K970="Problem Call","Problem area; practice or call-sheet review.",IF(K970="Strong Candidate","Strong call-fit candidate; confirm on film.",IF(K970="Good Candidate","Good call-fit signal; confirm on film.","Mixed signal; review fit and execution on film."))))))))</f>
        <v>Track only; not enough sample.</v>
      </c>
      <c r="M970" s="8" t="s">
        <v>92</v>
      </c>
      <c r="N970" s="8"/>
      <c r="O970" s="8"/>
      <c r="P970" s="8" t="s">
        <v>477</v>
      </c>
      <c r="Q970" s="8"/>
      <c r="R970" s="8" t="s">
        <v>429</v>
      </c>
      <c r="S970" s="2" t="s">
        <v>554</v>
      </c>
      <c r="T970" s="2">
        <f>IF(C970=0,0,IF(C970&gt;=CALL_LOOKUP_BOARD!$B$7,IF(OR(K970="Problem Call",K970="Explosive Alert"),10000000,20000000),0)+IF(C970&gt;=CALL_LOOKUP_BOARD!$B$7,J970*1000+MIN(C970,999),C970*1000+J970)+0.00984000)</f>
        <v>1029.00984</v>
      </c>
      <c r="U970" s="2" t="str">
        <f>IF(C970=0,"",IF(COUNTIFS($S$811:$S$1055,SUBSTITUTE(SUBSTITUTE(SUBSTITUTE(S970,"~","~~"),"*","~*"),"?","~?"),$T$811:$T$1055,"&gt;"&amp;T970)=0,S970,""))</f>
        <v>6:3D 1-3|10:SPLIT ZONE|</v>
      </c>
    </row>
    <row r="971" spans="1:21" ht="38" customHeight="1">
      <c r="A971" s="8" t="s">
        <v>553</v>
      </c>
      <c r="B971" s="8" t="s">
        <v>60</v>
      </c>
      <c r="C971" s="12">
        <f>COUNTIFS('DEF_SELF_SCOUT_IMPORT'!$L$42:$L$1040,"Y",'DEF_SELF_SCOUT_IMPORT'!$E$42:$E$1040,SUBSTITUTE(SUBSTITUTE(SUBSTITUTE($B971,"~","~~"),"*","~*"),"?","~?"),'DEF_SELF_SCOUT_IMPORT'!$Q$42:$Q$1040,SUBSTITUTE(SUBSTITUTE(SUBSTITUTE($M971,"~","~~"),"*","~*"),"?","~?"),'DEF_SELF_SCOUT_IMPORT'!$D$42:$D$1040,SUBSTITUTE(SUBSTITUTE(SUBSTITUTE($P971,"~","~~"),"*","~*"),"?","~?"))</f>
        <v>1</v>
      </c>
      <c r="D971" s="10">
        <f>IF($C971=0,"",SUMIFS('DEF_SELF_SCOUT_IMPORT'!$J$42:$J$1040,'DEF_SELF_SCOUT_IMPORT'!$L$42:$L$1040,"Y",'DEF_SELF_SCOUT_IMPORT'!$E$42:$E$1040,SUBSTITUTE(SUBSTITUTE(SUBSTITUTE($B971,"~","~~"),"*","~*"),"?","~?"),'DEF_SELF_SCOUT_IMPORT'!$Q$42:$Q$1040,SUBSTITUTE(SUBSTITUTE(SUBSTITUTE($M971,"~","~~"),"*","~*"),"?","~?"),'DEF_SELF_SCOUT_IMPORT'!$D$42:$D$1040,SUBSTITUTE(SUBSTITUTE(SUBSTITUTE($P971,"~","~~"),"*","~*"),"?","~?"))/$C971)</f>
        <v>0.0</v>
      </c>
      <c r="E971" s="10">
        <f>IF($C971=0,"",SUMIFS('DEF_SELF_SCOUT_IMPORT'!$K$42:$K$1040,'DEF_SELF_SCOUT_IMPORT'!$L$42:$L$1040,"Y",'DEF_SELF_SCOUT_IMPORT'!$E$42:$E$1040,SUBSTITUTE(SUBSTITUTE(SUBSTITUTE($B971,"~","~~"),"*","~*"),"?","~?"),'DEF_SELF_SCOUT_IMPORT'!$Q$42:$Q$1040,SUBSTITUTE(SUBSTITUTE(SUBSTITUTE($M971,"~","~~"),"*","~*"),"?","~?"),'DEF_SELF_SCOUT_IMPORT'!$D$42:$D$1040,SUBSTITUTE(SUBSTITUTE(SUBSTITUTE($P971,"~","~~"),"*","~*"),"?","~?"))/$C971)</f>
        <v>0.0</v>
      </c>
      <c r="F971" s="11">
        <f>IF($C971=0,"",AVERAGEIFS('DEF_SELF_SCOUT_IMPORT'!$I$42:$I$1040,'DEF_SELF_SCOUT_IMPORT'!$L$42:$L$1040,"Y",'DEF_SELF_SCOUT_IMPORT'!$E$42:$E$1040,SUBSTITUTE(SUBSTITUTE(SUBSTITUTE($B971,"~","~~"),"*","~*"),"?","~?"),'DEF_SELF_SCOUT_IMPORT'!$Q$42:$Q$1040,SUBSTITUTE(SUBSTITUTE(SUBSTITUTE($M971,"~","~~"),"*","~*"),"?","~?"),'DEF_SELF_SCOUT_IMPORT'!$D$42:$D$1040,SUBSTITUTE(SUBSTITUTE(SUBSTITUTE($P971,"~","~~"),"*","~*"),"?","~?")))</f>
        <v>2.0</v>
      </c>
      <c r="G971" s="10">
        <f>IF($C971=0,"",COUNTIFS('DEF_SELF_SCOUT_IMPORT'!$L$42:$L$1040,"Y",'DEF_SELF_SCOUT_IMPORT'!$E$42:$E$1040,SUBSTITUTE(SUBSTITUTE(SUBSTITUTE($B971,"~","~~"),"*","~*"),"?","~?"),'DEF_SELF_SCOUT_IMPORT'!$Q$42:$Q$1040,SUBSTITUTE(SUBSTITUTE(SUBSTITUTE($M971,"~","~~"),"*","~*"),"?","~?"),'DEF_SELF_SCOUT_IMPORT'!$D$42:$D$1040,SUBSTITUTE(SUBSTITUTE(SUBSTITUTE($P971,"~","~~"),"*","~*"),"?","~?"),'DEF_SELF_SCOUT_IMPORT'!$H$42:$H$1040,"RUSH")/$C971)</f>
        <v>1.0</v>
      </c>
      <c r="H971" s="10">
        <f>IF($C971=0,"",COUNTIFS('DEF_SELF_SCOUT_IMPORT'!$L$42:$L$1040,"Y",'DEF_SELF_SCOUT_IMPORT'!$E$42:$E$1040,SUBSTITUTE(SUBSTITUTE(SUBSTITUTE($B971,"~","~~"),"*","~*"),"?","~?"),'DEF_SELF_SCOUT_IMPORT'!$Q$42:$Q$1040,SUBSTITUTE(SUBSTITUTE(SUBSTITUTE($M971,"~","~~"),"*","~*"),"?","~?"),'DEF_SELF_SCOUT_IMPORT'!$D$42:$D$1040,SUBSTITUTE(SUBSTITUTE(SUBSTITUTE($P971,"~","~~"),"*","~*"),"?","~?"),'DEF_SELF_SCOUT_IMPORT'!$H$42:$H$1040,"DROPBACK")/$C971)</f>
        <v>0.0</v>
      </c>
      <c r="I971" s="14" t="str">
        <f>IF(C971=0,"",IF(C971&lt;=2,"TRACK",IF(C971=3,"LOW",IF(C971&lt;=6,"MEDIUM","HIGH"))))</f>
        <v>TRACK</v>
      </c>
      <c r="J971" s="11">
        <f>IF(C971=0,"",ROUND(D971*70+(1-E971)*20+MAX(0,MIN(1,(10-F971)/10))*10,1))</f>
        <v>28.0</v>
      </c>
      <c r="K971" s="14" t="str">
        <f>IF(C971=0,"No Evidence",IF(C971&lt;=2,IF(E971&gt;0,"Explosive Alert","Track Only"),IF(C971=3,"Sample Watch",IF(E971&gt;=START_HERE!$B$31,"Explosive Alert",IF(J971&gt;=80,"Strong Candidate",IF(J971&gt;=65,"Good Candidate",IF(J971&gt;=50,"Mixed / Review","Problem Call")))))))</f>
        <v>Track Only</v>
      </c>
      <c r="L971" s="9" t="str">
        <f>IF(COUNTIFS('DEF_SELF_SCOUT_IMPORT'!$L$42:$L$1040,"Y",'DEF_SELF_SCOUT_IMPORT'!$E$42:$E$1040,SUBSTITUTE(SUBSTITUTE(SUBSTITUTE($B971,"~","~~"),"*","~*"),"?","~?"),'DEF_SELF_SCOUT_IMPORT'!$Q$42:$Q$1040,SUBSTITUTE(SUBSTITUTE(SUBSTITUTE($M971,"~","~~"),"*","~*"),"?","~?"),'DEF_SELF_SCOUT_IMPORT'!$D$42:$D$1040,SUBSTITUTE(SUBSTITUTE(SUBSTITUTE($P971,"~","~~"),"*","~*"),"?","~?"),'DEF_SELF_SCOUT_IMPORT'!$J$42:$J$1040,"")&gt;0,"Unscored clean outcome; review result tags before using score.",IF(C971=0,"No matching defensive reps; film confirmation needed.",IF(K971="Explosive Alert","Explosive risk; review clips before using as answer.",IF(C971&lt;=2,"Track only; not enough sample.",IF(C971=3,IF(E971&gt;0,"Sample watch with explosive exposure; review clips and build the sample.",IF(J971&gt;=65,"Good signal, but sample is limited.","Sample watch; review clips and build the sample.")),IF(K971="Problem Call","Problem area; practice or call-sheet review.",IF(K971="Strong Candidate","Strong call-fit candidate; confirm on film.",IF(K971="Good Candidate","Good call-fit signal; confirm on film.","Mixed signal; review fit and execution on film."))))))))</f>
        <v>Track only; not enough sample.</v>
      </c>
      <c r="M971" s="8" t="s">
        <v>92</v>
      </c>
      <c r="N971" s="8"/>
      <c r="O971" s="8"/>
      <c r="P971" s="8" t="s">
        <v>477</v>
      </c>
      <c r="Q971" s="8"/>
      <c r="R971" s="8" t="s">
        <v>429</v>
      </c>
      <c r="S971" s="2" t="s">
        <v>554</v>
      </c>
      <c r="T971" s="2">
        <f>IF(C971=0,0,IF(C971&gt;=CALL_LOOKUP_BOARD!$B$7,IF(OR(K971="Problem Call",K971="Explosive Alert"),10000000,20000000),0)+IF(C971&gt;=CALL_LOOKUP_BOARD!$B$7,J971*1000+MIN(C971,999),C971*1000+J971)+0.00983900)</f>
        <v>1028.009839</v>
      </c>
      <c r="U971" s="2">
        <f>IF(C971=0,"",IF(COUNTIFS($S$811:$S$1055,SUBSTITUTE(SUBSTITUTE(SUBSTITUTE(S971,"~","~~"),"*","~*"),"?","~?"),$T$811:$T$1055,"&gt;"&amp;T971)=0,S971,""))</f>
        <v/>
      </c>
    </row>
    <row r="972" spans="1:21" ht="38" customHeight="1">
      <c r="A972" s="8" t="s">
        <v>555</v>
      </c>
      <c r="B972" s="8" t="s">
        <v>101</v>
      </c>
      <c r="C972" s="12">
        <f>COUNTIFS('DEF_SELF_SCOUT_IMPORT'!$L$42:$L$1040,"Y",'DEF_SELF_SCOUT_IMPORT'!$E$42:$E$1040,SUBSTITUTE(SUBSTITUTE(SUBSTITUTE($B972,"~","~~"),"*","~*"),"?","~?"),'DEF_SELF_SCOUT_IMPORT'!$Q$42:$Q$1040,SUBSTITUTE(SUBSTITUTE(SUBSTITUTE($M972,"~","~~"),"*","~*"),"?","~?"),'DEF_SELF_SCOUT_IMPORT'!$D$42:$D$1040,SUBSTITUTE(SUBSTITUTE(SUBSTITUTE($P972,"~","~~"),"*","~*"),"?","~?"))</f>
        <v>1</v>
      </c>
      <c r="D972" s="10">
        <f>IF($C972=0,"",SUMIFS('DEF_SELF_SCOUT_IMPORT'!$J$42:$J$1040,'DEF_SELF_SCOUT_IMPORT'!$L$42:$L$1040,"Y",'DEF_SELF_SCOUT_IMPORT'!$E$42:$E$1040,SUBSTITUTE(SUBSTITUTE(SUBSTITUTE($B972,"~","~~"),"*","~*"),"?","~?"),'DEF_SELF_SCOUT_IMPORT'!$Q$42:$Q$1040,SUBSTITUTE(SUBSTITUTE(SUBSTITUTE($M972,"~","~~"),"*","~*"),"?","~?"),'DEF_SELF_SCOUT_IMPORT'!$D$42:$D$1040,SUBSTITUTE(SUBSTITUTE(SUBSTITUTE($P972,"~","~~"),"*","~*"),"?","~?"))/$C972)</f>
        <v>1.0</v>
      </c>
      <c r="E972" s="10">
        <f>IF($C972=0,"",SUMIFS('DEF_SELF_SCOUT_IMPORT'!$K$42:$K$1040,'DEF_SELF_SCOUT_IMPORT'!$L$42:$L$1040,"Y",'DEF_SELF_SCOUT_IMPORT'!$E$42:$E$1040,SUBSTITUTE(SUBSTITUTE(SUBSTITUTE($B972,"~","~~"),"*","~*"),"?","~?"),'DEF_SELF_SCOUT_IMPORT'!$Q$42:$Q$1040,SUBSTITUTE(SUBSTITUTE(SUBSTITUTE($M972,"~","~~"),"*","~*"),"?","~?"),'DEF_SELF_SCOUT_IMPORT'!$D$42:$D$1040,SUBSTITUTE(SUBSTITUTE(SUBSTITUTE($P972,"~","~~"),"*","~*"),"?","~?"))/$C972)</f>
        <v>0.0</v>
      </c>
      <c r="F972" s="11">
        <f>IF($C972=0,"",AVERAGEIFS('DEF_SELF_SCOUT_IMPORT'!$I$42:$I$1040,'DEF_SELF_SCOUT_IMPORT'!$L$42:$L$1040,"Y",'DEF_SELF_SCOUT_IMPORT'!$E$42:$E$1040,SUBSTITUTE(SUBSTITUTE(SUBSTITUTE($B972,"~","~~"),"*","~*"),"?","~?"),'DEF_SELF_SCOUT_IMPORT'!$Q$42:$Q$1040,SUBSTITUTE(SUBSTITUTE(SUBSTITUTE($M972,"~","~~"),"*","~*"),"?","~?"),'DEF_SELF_SCOUT_IMPORT'!$D$42:$D$1040,SUBSTITUTE(SUBSTITUTE(SUBSTITUTE($P972,"~","~~"),"*","~*"),"?","~?")))</f>
        <v>5.0</v>
      </c>
      <c r="G972" s="10">
        <f>IF($C972=0,"",COUNTIFS('DEF_SELF_SCOUT_IMPORT'!$L$42:$L$1040,"Y",'DEF_SELF_SCOUT_IMPORT'!$E$42:$E$1040,SUBSTITUTE(SUBSTITUTE(SUBSTITUTE($B972,"~","~~"),"*","~*"),"?","~?"),'DEF_SELF_SCOUT_IMPORT'!$Q$42:$Q$1040,SUBSTITUTE(SUBSTITUTE(SUBSTITUTE($M972,"~","~~"),"*","~*"),"?","~?"),'DEF_SELF_SCOUT_IMPORT'!$D$42:$D$1040,SUBSTITUTE(SUBSTITUTE(SUBSTITUTE($P972,"~","~~"),"*","~*"),"?","~?"),'DEF_SELF_SCOUT_IMPORT'!$H$42:$H$1040,"RUSH")/$C972)</f>
        <v>0.0</v>
      </c>
      <c r="H972" s="10">
        <f>IF($C972=0,"",COUNTIFS('DEF_SELF_SCOUT_IMPORT'!$L$42:$L$1040,"Y",'DEF_SELF_SCOUT_IMPORT'!$E$42:$E$1040,SUBSTITUTE(SUBSTITUTE(SUBSTITUTE($B972,"~","~~"),"*","~*"),"?","~?"),'DEF_SELF_SCOUT_IMPORT'!$Q$42:$Q$1040,SUBSTITUTE(SUBSTITUTE(SUBSTITUTE($M972,"~","~~"),"*","~*"),"?","~?"),'DEF_SELF_SCOUT_IMPORT'!$D$42:$D$1040,SUBSTITUTE(SUBSTITUTE(SUBSTITUTE($P972,"~","~~"),"*","~*"),"?","~?"),'DEF_SELF_SCOUT_IMPORT'!$H$42:$H$1040,"DROPBACK")/$C972)</f>
        <v>1.0</v>
      </c>
      <c r="I972" s="14" t="str">
        <f>IF(C972=0,"",IF(C972&lt;=2,"TRACK",IF(C972=3,"LOW",IF(C972&lt;=6,"MEDIUM","HIGH"))))</f>
        <v>TRACK</v>
      </c>
      <c r="J972" s="11">
        <f>IF(C972=0,"",ROUND(D972*70+(1-E972)*20+MAX(0,MIN(1,(10-F972)/10))*10,1))</f>
        <v>95.0</v>
      </c>
      <c r="K972" s="14" t="str">
        <f>IF(C972=0,"No Evidence",IF(C972&lt;=2,IF(E972&gt;0,"Explosive Alert","Track Only"),IF(C972=3,"Sample Watch",IF(E972&gt;=START_HERE!$B$31,"Explosive Alert",IF(J972&gt;=80,"Strong Candidate",IF(J972&gt;=65,"Good Candidate",IF(J972&gt;=50,"Mixed / Review","Problem Call")))))))</f>
        <v>Track Only</v>
      </c>
      <c r="L972" s="9" t="str">
        <f>IF(COUNTIFS('DEF_SELF_SCOUT_IMPORT'!$L$42:$L$1040,"Y",'DEF_SELF_SCOUT_IMPORT'!$E$42:$E$1040,SUBSTITUTE(SUBSTITUTE(SUBSTITUTE($B972,"~","~~"),"*","~*"),"?","~?"),'DEF_SELF_SCOUT_IMPORT'!$Q$42:$Q$1040,SUBSTITUTE(SUBSTITUTE(SUBSTITUTE($M972,"~","~~"),"*","~*"),"?","~?"),'DEF_SELF_SCOUT_IMPORT'!$D$42:$D$1040,SUBSTITUTE(SUBSTITUTE(SUBSTITUTE($P972,"~","~~"),"*","~*"),"?","~?"),'DEF_SELF_SCOUT_IMPORT'!$J$42:$J$1040,"")&gt;0,"Unscored clean outcome; review result tags before using score.",IF(C972=0,"No matching defensive reps; film confirmation needed.",IF(K972="Explosive Alert","Explosive risk; review clips before using as answer.",IF(C972&lt;=2,"Track only; not enough sample.",IF(C972=3,IF(E972&gt;0,"Sample watch with explosive exposure; review clips and build the sample.",IF(J972&gt;=65,"Good signal, but sample is limited.","Sample watch; review clips and build the sample.")),IF(K972="Problem Call","Problem area; practice or call-sheet review.",IF(K972="Strong Candidate","Strong call-fit candidate; confirm on film.",IF(K972="Good Candidate","Good call-fit signal; confirm on film.","Mixed signal; review fit and execution on film."))))))))</f>
        <v>Track only; not enough sample.</v>
      </c>
      <c r="M972" s="8" t="s">
        <v>96</v>
      </c>
      <c r="N972" s="8"/>
      <c r="O972" s="8"/>
      <c r="P972" s="8" t="s">
        <v>446</v>
      </c>
      <c r="Q972" s="8"/>
      <c r="R972" s="8" t="s">
        <v>429</v>
      </c>
      <c r="S972" s="2" t="s">
        <v>556</v>
      </c>
      <c r="T972" s="2">
        <f>IF(C972=0,0,IF(C972&gt;=CALL_LOOKUP_BOARD!$B$7,IF(OR(K972="Problem Call",K972="Explosive Alert"),10000000,20000000),0)+IF(C972&gt;=CALL_LOOKUP_BOARD!$B$7,J972*1000+MIN(C972,999),C972*1000+J972)+0.00983800)</f>
        <v>1095.009838</v>
      </c>
      <c r="U972" s="2" t="str">
        <f>IF(C972=0,"",IF(COUNTIFS($S$811:$S$1055,SUBSTITUTE(SUBSTITUTE(SUBSTITUTE(S972,"~","~~"),"*","~*"),"?","~?"),$T$811:$T$1055,"&gt;"&amp;T972)=0,S972,""))</f>
        <v>6:3D 11+|6:3 STEP|</v>
      </c>
    </row>
    <row r="973" spans="1:21" ht="38" customHeight="1">
      <c r="A973" s="8" t="s">
        <v>557</v>
      </c>
      <c r="B973" s="8" t="s">
        <v>99</v>
      </c>
      <c r="C973" s="12">
        <f>COUNTIFS('DEF_SELF_SCOUT_IMPORT'!$L$42:$L$1040,"Y",'DEF_SELF_SCOUT_IMPORT'!$E$42:$E$1040,SUBSTITUTE(SUBSTITUTE(SUBSTITUTE($B973,"~","~~"),"*","~*"),"?","~?"),'DEF_SELF_SCOUT_IMPORT'!$Q$42:$Q$1040,SUBSTITUTE(SUBSTITUTE(SUBSTITUTE($M973,"~","~~"),"*","~*"),"?","~?"),'DEF_SELF_SCOUT_IMPORT'!$D$42:$D$1040,SUBSTITUTE(SUBSTITUTE(SUBSTITUTE($P973,"~","~~"),"*","~*"),"?","~?"))</f>
        <v>2</v>
      </c>
      <c r="D973" s="10">
        <f>IF($C973=0,"",SUMIFS('DEF_SELF_SCOUT_IMPORT'!$J$42:$J$1040,'DEF_SELF_SCOUT_IMPORT'!$L$42:$L$1040,"Y",'DEF_SELF_SCOUT_IMPORT'!$E$42:$E$1040,SUBSTITUTE(SUBSTITUTE(SUBSTITUTE($B973,"~","~~"),"*","~*"),"?","~?"),'DEF_SELF_SCOUT_IMPORT'!$Q$42:$Q$1040,SUBSTITUTE(SUBSTITUTE(SUBSTITUTE($M973,"~","~~"),"*","~*"),"?","~?"),'DEF_SELF_SCOUT_IMPORT'!$D$42:$D$1040,SUBSTITUTE(SUBSTITUTE(SUBSTITUTE($P973,"~","~~"),"*","~*"),"?","~?"))/$C973)</f>
        <v>0.5</v>
      </c>
      <c r="E973" s="10">
        <f>IF($C973=0,"",SUMIFS('DEF_SELF_SCOUT_IMPORT'!$K$42:$K$1040,'DEF_SELF_SCOUT_IMPORT'!$L$42:$L$1040,"Y",'DEF_SELF_SCOUT_IMPORT'!$E$42:$E$1040,SUBSTITUTE(SUBSTITUTE(SUBSTITUTE($B973,"~","~~"),"*","~*"),"?","~?"),'DEF_SELF_SCOUT_IMPORT'!$Q$42:$Q$1040,SUBSTITUTE(SUBSTITUTE(SUBSTITUTE($M973,"~","~~"),"*","~*"),"?","~?"),'DEF_SELF_SCOUT_IMPORT'!$D$42:$D$1040,SUBSTITUTE(SUBSTITUTE(SUBSTITUTE($P973,"~","~~"),"*","~*"),"?","~?"))/$C973)</f>
        <v>0.0</v>
      </c>
      <c r="F973" s="11">
        <f>IF($C973=0,"",AVERAGEIFS('DEF_SELF_SCOUT_IMPORT'!$I$42:$I$1040,'DEF_SELF_SCOUT_IMPORT'!$L$42:$L$1040,"Y",'DEF_SELF_SCOUT_IMPORT'!$E$42:$E$1040,SUBSTITUTE(SUBSTITUTE(SUBSTITUTE($B973,"~","~~"),"*","~*"),"?","~?"),'DEF_SELF_SCOUT_IMPORT'!$Q$42:$Q$1040,SUBSTITUTE(SUBSTITUTE(SUBSTITUTE($M973,"~","~~"),"*","~*"),"?","~?"),'DEF_SELF_SCOUT_IMPORT'!$D$42:$D$1040,SUBSTITUTE(SUBSTITUTE(SUBSTITUTE($P973,"~","~~"),"*","~*"),"?","~?")))</f>
        <v>7.0</v>
      </c>
      <c r="G973" s="10">
        <f>IF($C973=0,"",COUNTIFS('DEF_SELF_SCOUT_IMPORT'!$L$42:$L$1040,"Y",'DEF_SELF_SCOUT_IMPORT'!$E$42:$E$1040,SUBSTITUTE(SUBSTITUTE(SUBSTITUTE($B973,"~","~~"),"*","~*"),"?","~?"),'DEF_SELF_SCOUT_IMPORT'!$Q$42:$Q$1040,SUBSTITUTE(SUBSTITUTE(SUBSTITUTE($M973,"~","~~"),"*","~*"),"?","~?"),'DEF_SELF_SCOUT_IMPORT'!$D$42:$D$1040,SUBSTITUTE(SUBSTITUTE(SUBSTITUTE($P973,"~","~~"),"*","~*"),"?","~?"),'DEF_SELF_SCOUT_IMPORT'!$H$42:$H$1040,"RUSH")/$C973)</f>
        <v>0.0</v>
      </c>
      <c r="H973" s="10">
        <f>IF($C973=0,"",COUNTIFS('DEF_SELF_SCOUT_IMPORT'!$L$42:$L$1040,"Y",'DEF_SELF_SCOUT_IMPORT'!$E$42:$E$1040,SUBSTITUTE(SUBSTITUTE(SUBSTITUTE($B973,"~","~~"),"*","~*"),"?","~?"),'DEF_SELF_SCOUT_IMPORT'!$Q$42:$Q$1040,SUBSTITUTE(SUBSTITUTE(SUBSTITUTE($M973,"~","~~"),"*","~*"),"?","~?"),'DEF_SELF_SCOUT_IMPORT'!$D$42:$D$1040,SUBSTITUTE(SUBSTITUTE(SUBSTITUTE($P973,"~","~~"),"*","~*"),"?","~?"),'DEF_SELF_SCOUT_IMPORT'!$H$42:$H$1040,"DROPBACK")/$C973)</f>
        <v>1.0</v>
      </c>
      <c r="I973" s="14" t="str">
        <f>IF(C973=0,"",IF(C973&lt;=2,"TRACK",IF(C973=3,"LOW",IF(C973&lt;=6,"MEDIUM","HIGH"))))</f>
        <v>TRACK</v>
      </c>
      <c r="J973" s="11">
        <f>IF(C973=0,"",ROUND(D973*70+(1-E973)*20+MAX(0,MIN(1,(10-F973)/10))*10,1))</f>
        <v>58.0</v>
      </c>
      <c r="K973" s="14" t="str">
        <f>IF(C973=0,"No Evidence",IF(C973&lt;=2,IF(E973&gt;0,"Explosive Alert","Track Only"),IF(C973=3,"Sample Watch",IF(E973&gt;=START_HERE!$B$31,"Explosive Alert",IF(J973&gt;=80,"Strong Candidate",IF(J973&gt;=65,"Good Candidate",IF(J973&gt;=50,"Mixed / Review","Problem Call")))))))</f>
        <v>Track Only</v>
      </c>
      <c r="L973" s="9" t="str">
        <f>IF(COUNTIFS('DEF_SELF_SCOUT_IMPORT'!$L$42:$L$1040,"Y",'DEF_SELF_SCOUT_IMPORT'!$E$42:$E$1040,SUBSTITUTE(SUBSTITUTE(SUBSTITUTE($B973,"~","~~"),"*","~*"),"?","~?"),'DEF_SELF_SCOUT_IMPORT'!$Q$42:$Q$1040,SUBSTITUTE(SUBSTITUTE(SUBSTITUTE($M973,"~","~~"),"*","~*"),"?","~?"),'DEF_SELF_SCOUT_IMPORT'!$D$42:$D$1040,SUBSTITUTE(SUBSTITUTE(SUBSTITUTE($P973,"~","~~"),"*","~*"),"?","~?"),'DEF_SELF_SCOUT_IMPORT'!$J$42:$J$1040,"")&gt;0,"Unscored clean outcome; review result tags before using score.",IF(C973=0,"No matching defensive reps; film confirmation needed.",IF(K973="Explosive Alert","Explosive risk; review clips before using as answer.",IF(C973&lt;=2,"Track only; not enough sample.",IF(C973=3,IF(E973&gt;0,"Sample watch with explosive exposure; review clips and build the sample.",IF(J973&gt;=65,"Good signal, but sample is limited.","Sample watch; review clips and build the sample.")),IF(K973="Problem Call","Problem area; practice or call-sheet review.",IF(K973="Strong Candidate","Strong call-fit candidate; confirm on film.",IF(K973="Good Candidate","Good call-fit signal; confirm on film.","Mixed signal; review fit and execution on film."))))))))</f>
        <v>Track only; not enough sample.</v>
      </c>
      <c r="M973" s="8" t="s">
        <v>96</v>
      </c>
      <c r="N973" s="8"/>
      <c r="O973" s="8"/>
      <c r="P973" s="8" t="s">
        <v>449</v>
      </c>
      <c r="Q973" s="8"/>
      <c r="R973" s="8" t="s">
        <v>429</v>
      </c>
      <c r="S973" s="2" t="s">
        <v>558</v>
      </c>
      <c r="T973" s="2">
        <f>IF(C973=0,0,IF(C973&gt;=CALL_LOOKUP_BOARD!$B$7,IF(OR(K973="Problem Call",K973="Explosive Alert"),10000000,20000000),0)+IF(C973&gt;=CALL_LOOKUP_BOARD!$B$7,J973*1000+MIN(C973,999),C973*1000+J973)+0.00983700)</f>
        <v>2058.009837</v>
      </c>
      <c r="U973" s="2">
        <f>IF(C973=0,"",IF(COUNTIFS($S$811:$S$1055,SUBSTITUTE(SUBSTITUTE(SUBSTITUTE(S973,"~","~~"),"*","~*"),"?","~?"),$T$811:$T$1055,"&gt;"&amp;T973)=0,S973,""))</f>
        <v/>
      </c>
    </row>
    <row r="974" spans="1:21" ht="38" customHeight="1">
      <c r="A974" s="8" t="s">
        <v>557</v>
      </c>
      <c r="B974" s="8" t="s">
        <v>100</v>
      </c>
      <c r="C974" s="12">
        <f>COUNTIFS('DEF_SELF_SCOUT_IMPORT'!$L$42:$L$1040,"Y",'DEF_SELF_SCOUT_IMPORT'!$E$42:$E$1040,SUBSTITUTE(SUBSTITUTE(SUBSTITUTE($B974,"~","~~"),"*","~*"),"?","~?"),'DEF_SELF_SCOUT_IMPORT'!$Q$42:$Q$1040,SUBSTITUTE(SUBSTITUTE(SUBSTITUTE($M974,"~","~~"),"*","~*"),"?","~?"),'DEF_SELF_SCOUT_IMPORT'!$D$42:$D$1040,SUBSTITUTE(SUBSTITUTE(SUBSTITUTE($P974,"~","~~"),"*","~*"),"?","~?"))</f>
        <v>1</v>
      </c>
      <c r="D974" s="10">
        <f>IF($C974=0,"",SUMIFS('DEF_SELF_SCOUT_IMPORT'!$J$42:$J$1040,'DEF_SELF_SCOUT_IMPORT'!$L$42:$L$1040,"Y",'DEF_SELF_SCOUT_IMPORT'!$E$42:$E$1040,SUBSTITUTE(SUBSTITUTE(SUBSTITUTE($B974,"~","~~"),"*","~*"),"?","~?"),'DEF_SELF_SCOUT_IMPORT'!$Q$42:$Q$1040,SUBSTITUTE(SUBSTITUTE(SUBSTITUTE($M974,"~","~~"),"*","~*"),"?","~?"),'DEF_SELF_SCOUT_IMPORT'!$D$42:$D$1040,SUBSTITUTE(SUBSTITUTE(SUBSTITUTE($P974,"~","~~"),"*","~*"),"?","~?"))/$C974)</f>
        <v>1.0</v>
      </c>
      <c r="E974" s="10">
        <f>IF($C974=0,"",SUMIFS('DEF_SELF_SCOUT_IMPORT'!$K$42:$K$1040,'DEF_SELF_SCOUT_IMPORT'!$L$42:$L$1040,"Y",'DEF_SELF_SCOUT_IMPORT'!$E$42:$E$1040,SUBSTITUTE(SUBSTITUTE(SUBSTITUTE($B974,"~","~~"),"*","~*"),"?","~?"),'DEF_SELF_SCOUT_IMPORT'!$Q$42:$Q$1040,SUBSTITUTE(SUBSTITUTE(SUBSTITUTE($M974,"~","~~"),"*","~*"),"?","~?"),'DEF_SELF_SCOUT_IMPORT'!$D$42:$D$1040,SUBSTITUTE(SUBSTITUTE(SUBSTITUTE($P974,"~","~~"),"*","~*"),"?","~?"))/$C974)</f>
        <v>0.0</v>
      </c>
      <c r="F974" s="11">
        <f>IF($C974=0,"",AVERAGEIFS('DEF_SELF_SCOUT_IMPORT'!$I$42:$I$1040,'DEF_SELF_SCOUT_IMPORT'!$L$42:$L$1040,"Y",'DEF_SELF_SCOUT_IMPORT'!$E$42:$E$1040,SUBSTITUTE(SUBSTITUTE(SUBSTITUTE($B974,"~","~~"),"*","~*"),"?","~?"),'DEF_SELF_SCOUT_IMPORT'!$Q$42:$Q$1040,SUBSTITUTE(SUBSTITUTE(SUBSTITUTE($M974,"~","~~"),"*","~*"),"?","~?"),'DEF_SELF_SCOUT_IMPORT'!$D$42:$D$1040,SUBSTITUTE(SUBSTITUTE(SUBSTITUTE($P974,"~","~~"),"*","~*"),"?","~?")))</f>
        <v>0.0</v>
      </c>
      <c r="G974" s="10">
        <f>IF($C974=0,"",COUNTIFS('DEF_SELF_SCOUT_IMPORT'!$L$42:$L$1040,"Y",'DEF_SELF_SCOUT_IMPORT'!$E$42:$E$1040,SUBSTITUTE(SUBSTITUTE(SUBSTITUTE($B974,"~","~~"),"*","~*"),"?","~?"),'DEF_SELF_SCOUT_IMPORT'!$Q$42:$Q$1040,SUBSTITUTE(SUBSTITUTE(SUBSTITUTE($M974,"~","~~"),"*","~*"),"?","~?"),'DEF_SELF_SCOUT_IMPORT'!$D$42:$D$1040,SUBSTITUTE(SUBSTITUTE(SUBSTITUTE($P974,"~","~~"),"*","~*"),"?","~?"),'DEF_SELF_SCOUT_IMPORT'!$H$42:$H$1040,"RUSH")/$C974)</f>
        <v>0.0</v>
      </c>
      <c r="H974" s="10">
        <f>IF($C974=0,"",COUNTIFS('DEF_SELF_SCOUT_IMPORT'!$L$42:$L$1040,"Y",'DEF_SELF_SCOUT_IMPORT'!$E$42:$E$1040,SUBSTITUTE(SUBSTITUTE(SUBSTITUTE($B974,"~","~~"),"*","~*"),"?","~?"),'DEF_SELF_SCOUT_IMPORT'!$Q$42:$Q$1040,SUBSTITUTE(SUBSTITUTE(SUBSTITUTE($M974,"~","~~"),"*","~*"),"?","~?"),'DEF_SELF_SCOUT_IMPORT'!$D$42:$D$1040,SUBSTITUTE(SUBSTITUTE(SUBSTITUTE($P974,"~","~~"),"*","~*"),"?","~?"),'DEF_SELF_SCOUT_IMPORT'!$H$42:$H$1040,"DROPBACK")/$C974)</f>
        <v>1.0</v>
      </c>
      <c r="I974" s="14" t="str">
        <f>IF(C974=0,"",IF(C974&lt;=2,"TRACK",IF(C974=3,"LOW",IF(C974&lt;=6,"MEDIUM","HIGH"))))</f>
        <v>TRACK</v>
      </c>
      <c r="J974" s="11">
        <f>IF(C974=0,"",ROUND(D974*70+(1-E974)*20+MAX(0,MIN(1,(10-F974)/10))*10,1))</f>
        <v>100.0</v>
      </c>
      <c r="K974" s="14" t="str">
        <f>IF(C974=0,"No Evidence",IF(C974&lt;=2,IF(E974&gt;0,"Explosive Alert","Track Only"),IF(C974=3,"Sample Watch",IF(E974&gt;=START_HERE!$B$31,"Explosive Alert",IF(J974&gt;=80,"Strong Candidate",IF(J974&gt;=65,"Good Candidate",IF(J974&gt;=50,"Mixed / Review","Problem Call")))))))</f>
        <v>Track Only</v>
      </c>
      <c r="L974" s="9" t="str">
        <f>IF(COUNTIFS('DEF_SELF_SCOUT_IMPORT'!$L$42:$L$1040,"Y",'DEF_SELF_SCOUT_IMPORT'!$E$42:$E$1040,SUBSTITUTE(SUBSTITUTE(SUBSTITUTE($B974,"~","~~"),"*","~*"),"?","~?"),'DEF_SELF_SCOUT_IMPORT'!$Q$42:$Q$1040,SUBSTITUTE(SUBSTITUTE(SUBSTITUTE($M974,"~","~~"),"*","~*"),"?","~?"),'DEF_SELF_SCOUT_IMPORT'!$D$42:$D$1040,SUBSTITUTE(SUBSTITUTE(SUBSTITUTE($P974,"~","~~"),"*","~*"),"?","~?"),'DEF_SELF_SCOUT_IMPORT'!$J$42:$J$1040,"")&gt;0,"Unscored clean outcome; review result tags before using score.",IF(C974=0,"No matching defensive reps; film confirmation needed.",IF(K974="Explosive Alert","Explosive risk; review clips before using as answer.",IF(C974&lt;=2,"Track only; not enough sample.",IF(C974=3,IF(E974&gt;0,"Sample watch with explosive exposure; review clips and build the sample.",IF(J974&gt;=65,"Good signal, but sample is limited.","Sample watch; review clips and build the sample.")),IF(K974="Problem Call","Problem area; practice or call-sheet review.",IF(K974="Strong Candidate","Strong call-fit candidate; confirm on film.",IF(K974="Good Candidate","Good call-fit signal; confirm on film.","Mixed signal; review fit and execution on film."))))))))</f>
        <v>Track only; not enough sample.</v>
      </c>
      <c r="M974" s="8" t="s">
        <v>96</v>
      </c>
      <c r="N974" s="8"/>
      <c r="O974" s="8"/>
      <c r="P974" s="8" t="s">
        <v>449</v>
      </c>
      <c r="Q974" s="8"/>
      <c r="R974" s="8" t="s">
        <v>429</v>
      </c>
      <c r="S974" s="2" t="s">
        <v>558</v>
      </c>
      <c r="T974" s="2">
        <f>IF(C974=0,0,IF(C974&gt;=CALL_LOOKUP_BOARD!$B$7,IF(OR(K974="Problem Call",K974="Explosive Alert"),10000000,20000000),0)+IF(C974&gt;=CALL_LOOKUP_BOARD!$B$7,J974*1000+MIN(C974,999),C974*1000+J974)+0.00983600)</f>
        <v>1100.009836</v>
      </c>
      <c r="U974" s="2">
        <f>IF(C974=0,"",IF(COUNTIFS($S$811:$S$1055,SUBSTITUTE(SUBSTITUTE(SUBSTITUTE(S974,"~","~~"),"*","~*"),"?","~?"),$T$811:$T$1055,"&gt;"&amp;T974)=0,S974,""))</f>
        <v/>
      </c>
    </row>
    <row r="975" spans="1:21" ht="38" customHeight="1">
      <c r="A975" s="8" t="s">
        <v>557</v>
      </c>
      <c r="B975" s="8" t="s">
        <v>101</v>
      </c>
      <c r="C975" s="12">
        <f>COUNTIFS('DEF_SELF_SCOUT_IMPORT'!$L$42:$L$1040,"Y",'DEF_SELF_SCOUT_IMPORT'!$E$42:$E$1040,SUBSTITUTE(SUBSTITUTE(SUBSTITUTE($B975,"~","~~"),"*","~*"),"?","~?"),'DEF_SELF_SCOUT_IMPORT'!$Q$42:$Q$1040,SUBSTITUTE(SUBSTITUTE(SUBSTITUTE($M975,"~","~~"),"*","~*"),"?","~?"),'DEF_SELF_SCOUT_IMPORT'!$D$42:$D$1040,SUBSTITUTE(SUBSTITUTE(SUBSTITUTE($P975,"~","~~"),"*","~*"),"?","~?"))</f>
        <v>4</v>
      </c>
      <c r="D975" s="10">
        <f>IF($C975=0,"",SUMIFS('DEF_SELF_SCOUT_IMPORT'!$J$42:$J$1040,'DEF_SELF_SCOUT_IMPORT'!$L$42:$L$1040,"Y",'DEF_SELF_SCOUT_IMPORT'!$E$42:$E$1040,SUBSTITUTE(SUBSTITUTE(SUBSTITUTE($B975,"~","~~"),"*","~*"),"?","~?"),'DEF_SELF_SCOUT_IMPORT'!$Q$42:$Q$1040,SUBSTITUTE(SUBSTITUTE(SUBSTITUTE($M975,"~","~~"),"*","~*"),"?","~?"),'DEF_SELF_SCOUT_IMPORT'!$D$42:$D$1040,SUBSTITUTE(SUBSTITUTE(SUBSTITUTE($P975,"~","~~"),"*","~*"),"?","~?"))/$C975)</f>
        <v>0.5</v>
      </c>
      <c r="E975" s="10">
        <f>IF($C975=0,"",SUMIFS('DEF_SELF_SCOUT_IMPORT'!$K$42:$K$1040,'DEF_SELF_SCOUT_IMPORT'!$L$42:$L$1040,"Y",'DEF_SELF_SCOUT_IMPORT'!$E$42:$E$1040,SUBSTITUTE(SUBSTITUTE(SUBSTITUTE($B975,"~","~~"),"*","~*"),"?","~?"),'DEF_SELF_SCOUT_IMPORT'!$Q$42:$Q$1040,SUBSTITUTE(SUBSTITUTE(SUBSTITUTE($M975,"~","~~"),"*","~*"),"?","~?"),'DEF_SELF_SCOUT_IMPORT'!$D$42:$D$1040,SUBSTITUTE(SUBSTITUTE(SUBSTITUTE($P975,"~","~~"),"*","~*"),"?","~?"))/$C975)</f>
        <v>0.25</v>
      </c>
      <c r="F975" s="11">
        <f>IF($C975=0,"",AVERAGEIFS('DEF_SELF_SCOUT_IMPORT'!$I$42:$I$1040,'DEF_SELF_SCOUT_IMPORT'!$L$42:$L$1040,"Y",'DEF_SELF_SCOUT_IMPORT'!$E$42:$E$1040,SUBSTITUTE(SUBSTITUTE(SUBSTITUTE($B975,"~","~~"),"*","~*"),"?","~?"),'DEF_SELF_SCOUT_IMPORT'!$Q$42:$Q$1040,SUBSTITUTE(SUBSTITUTE(SUBSTITUTE($M975,"~","~~"),"*","~*"),"?","~?"),'DEF_SELF_SCOUT_IMPORT'!$D$42:$D$1040,SUBSTITUTE(SUBSTITUTE(SUBSTITUTE($P975,"~","~~"),"*","~*"),"?","~?")))</f>
        <v>16.0</v>
      </c>
      <c r="G975" s="10">
        <f>IF($C975=0,"",COUNTIFS('DEF_SELF_SCOUT_IMPORT'!$L$42:$L$1040,"Y",'DEF_SELF_SCOUT_IMPORT'!$E$42:$E$1040,SUBSTITUTE(SUBSTITUTE(SUBSTITUTE($B975,"~","~~"),"*","~*"),"?","~?"),'DEF_SELF_SCOUT_IMPORT'!$Q$42:$Q$1040,SUBSTITUTE(SUBSTITUTE(SUBSTITUTE($M975,"~","~~"),"*","~*"),"?","~?"),'DEF_SELF_SCOUT_IMPORT'!$D$42:$D$1040,SUBSTITUTE(SUBSTITUTE(SUBSTITUTE($P975,"~","~~"),"*","~*"),"?","~?"),'DEF_SELF_SCOUT_IMPORT'!$H$42:$H$1040,"RUSH")/$C975)</f>
        <v>0.0</v>
      </c>
      <c r="H975" s="10">
        <f>IF($C975=0,"",COUNTIFS('DEF_SELF_SCOUT_IMPORT'!$L$42:$L$1040,"Y",'DEF_SELF_SCOUT_IMPORT'!$E$42:$E$1040,SUBSTITUTE(SUBSTITUTE(SUBSTITUTE($B975,"~","~~"),"*","~*"),"?","~?"),'DEF_SELF_SCOUT_IMPORT'!$Q$42:$Q$1040,SUBSTITUTE(SUBSTITUTE(SUBSTITUTE($M975,"~","~~"),"*","~*"),"?","~?"),'DEF_SELF_SCOUT_IMPORT'!$D$42:$D$1040,SUBSTITUTE(SUBSTITUTE(SUBSTITUTE($P975,"~","~~"),"*","~*"),"?","~?"),'DEF_SELF_SCOUT_IMPORT'!$H$42:$H$1040,"DROPBACK")/$C975)</f>
        <v>1.0</v>
      </c>
      <c r="I975" s="14" t="str">
        <f>IF(C975=0,"",IF(C975&lt;=2,"TRACK",IF(C975=3,"LOW",IF(C975&lt;=6,"MEDIUM","HIGH"))))</f>
        <v>MEDIUM</v>
      </c>
      <c r="J975" s="11">
        <f>IF(C975=0,"",ROUND(D975*70+(1-E975)*20+MAX(0,MIN(1,(10-F975)/10))*10,1))</f>
        <v>50.0</v>
      </c>
      <c r="K975" s="14" t="str">
        <f>IF(C975=0,"No Evidence",IF(C975&lt;=2,IF(E975&gt;0,"Explosive Alert","Track Only"),IF(C975=3,"Sample Watch",IF(E975&gt;=START_HERE!$B$31,"Explosive Alert",IF(J975&gt;=80,"Strong Candidate",IF(J975&gt;=65,"Good Candidate",IF(J975&gt;=50,"Mixed / Review","Problem Call")))))))</f>
        <v>Explosive Alert</v>
      </c>
      <c r="L975" s="9" t="str">
        <f>IF(COUNTIFS('DEF_SELF_SCOUT_IMPORT'!$L$42:$L$1040,"Y",'DEF_SELF_SCOUT_IMPORT'!$E$42:$E$1040,SUBSTITUTE(SUBSTITUTE(SUBSTITUTE($B975,"~","~~"),"*","~*"),"?","~?"),'DEF_SELF_SCOUT_IMPORT'!$Q$42:$Q$1040,SUBSTITUTE(SUBSTITUTE(SUBSTITUTE($M975,"~","~~"),"*","~*"),"?","~?"),'DEF_SELF_SCOUT_IMPORT'!$D$42:$D$1040,SUBSTITUTE(SUBSTITUTE(SUBSTITUTE($P975,"~","~~"),"*","~*"),"?","~?"),'DEF_SELF_SCOUT_IMPORT'!$J$42:$J$1040,"")&gt;0,"Unscored clean outcome; review result tags before using score.",IF(C975=0,"No matching defensive reps; film confirmation needed.",IF(K975="Explosive Alert","Explosive risk; review clips before using as answer.",IF(C975&lt;=2,"Track only; not enough sample.",IF(C975=3,IF(E975&gt;0,"Sample watch with explosive exposure; review clips and build the sample.",IF(J975&gt;=65,"Good signal, but sample is limited.","Sample watch; review clips and build the sample.")),IF(K975="Problem Call","Problem area; practice or call-sheet review.",IF(K975="Strong Candidate","Strong call-fit candidate; confirm on film.",IF(K975="Good Candidate","Good call-fit signal; confirm on film.","Mixed signal; review fit and execution on film."))))))))</f>
        <v>Explosive risk; review clips before using as answer.</v>
      </c>
      <c r="M975" s="8" t="s">
        <v>96</v>
      </c>
      <c r="N975" s="8"/>
      <c r="O975" s="8"/>
      <c r="P975" s="8" t="s">
        <v>449</v>
      </c>
      <c r="Q975" s="8"/>
      <c r="R975" s="8" t="s">
        <v>559</v>
      </c>
      <c r="S975" s="2" t="s">
        <v>558</v>
      </c>
      <c r="T975" s="2">
        <f>IF(C975=0,0,IF(C975&gt;=CALL_LOOKUP_BOARD!$B$7,IF(OR(K975="Problem Call",K975="Explosive Alert"),10000000,20000000),0)+IF(C975&gt;=CALL_LOOKUP_BOARD!$B$7,J975*1000+MIN(C975,999),C975*1000+J975)+0.00983500)</f>
        <v>10050004.009835</v>
      </c>
      <c r="U975" s="2" t="str">
        <f>IF(C975=0,"",IF(COUNTIFS($S$811:$S$1055,SUBSTITUTE(SUBSTITUTE(SUBSTITUTE(S975,"~","~~"),"*","~*"),"?","~?"),$T$811:$T$1055,"&gt;"&amp;T975)=0,S975,""))</f>
        <v>6:3D 11+|6:5 STEP|</v>
      </c>
    </row>
    <row r="976" spans="1:21" ht="38" customHeight="1">
      <c r="A976" s="8" t="s">
        <v>557</v>
      </c>
      <c r="B976" s="8" t="s">
        <v>102</v>
      </c>
      <c r="C976" s="12">
        <f>COUNTIFS('DEF_SELF_SCOUT_IMPORT'!$L$42:$L$1040,"Y",'DEF_SELF_SCOUT_IMPORT'!$E$42:$E$1040,SUBSTITUTE(SUBSTITUTE(SUBSTITUTE($B976,"~","~~"),"*","~*"),"?","~?"),'DEF_SELF_SCOUT_IMPORT'!$Q$42:$Q$1040,SUBSTITUTE(SUBSTITUTE(SUBSTITUTE($M976,"~","~~"),"*","~*"),"?","~?"),'DEF_SELF_SCOUT_IMPORT'!$D$42:$D$1040,SUBSTITUTE(SUBSTITUTE(SUBSTITUTE($P976,"~","~~"),"*","~*"),"?","~?"))</f>
        <v>1</v>
      </c>
      <c r="D976" s="10">
        <f>IF($C976=0,"",SUMIFS('DEF_SELF_SCOUT_IMPORT'!$J$42:$J$1040,'DEF_SELF_SCOUT_IMPORT'!$L$42:$L$1040,"Y",'DEF_SELF_SCOUT_IMPORT'!$E$42:$E$1040,SUBSTITUTE(SUBSTITUTE(SUBSTITUTE($B976,"~","~~"),"*","~*"),"?","~?"),'DEF_SELF_SCOUT_IMPORT'!$Q$42:$Q$1040,SUBSTITUTE(SUBSTITUTE(SUBSTITUTE($M976,"~","~~"),"*","~*"),"?","~?"),'DEF_SELF_SCOUT_IMPORT'!$D$42:$D$1040,SUBSTITUTE(SUBSTITUTE(SUBSTITUTE($P976,"~","~~"),"*","~*"),"?","~?"))/$C976)</f>
        <v>1.0</v>
      </c>
      <c r="E976" s="10">
        <f>IF($C976=0,"",SUMIFS('DEF_SELF_SCOUT_IMPORT'!$K$42:$K$1040,'DEF_SELF_SCOUT_IMPORT'!$L$42:$L$1040,"Y",'DEF_SELF_SCOUT_IMPORT'!$E$42:$E$1040,SUBSTITUTE(SUBSTITUTE(SUBSTITUTE($B976,"~","~~"),"*","~*"),"?","~?"),'DEF_SELF_SCOUT_IMPORT'!$Q$42:$Q$1040,SUBSTITUTE(SUBSTITUTE(SUBSTITUTE($M976,"~","~~"),"*","~*"),"?","~?"),'DEF_SELF_SCOUT_IMPORT'!$D$42:$D$1040,SUBSTITUTE(SUBSTITUTE(SUBSTITUTE($P976,"~","~~"),"*","~*"),"?","~?"))/$C976)</f>
        <v>0.0</v>
      </c>
      <c r="F976" s="11">
        <f>IF($C976=0,"",AVERAGEIFS('DEF_SELF_SCOUT_IMPORT'!$I$42:$I$1040,'DEF_SELF_SCOUT_IMPORT'!$L$42:$L$1040,"Y",'DEF_SELF_SCOUT_IMPORT'!$E$42:$E$1040,SUBSTITUTE(SUBSTITUTE(SUBSTITUTE($B976,"~","~~"),"*","~*"),"?","~?"),'DEF_SELF_SCOUT_IMPORT'!$Q$42:$Q$1040,SUBSTITUTE(SUBSTITUTE(SUBSTITUTE($M976,"~","~~"),"*","~*"),"?","~?"),'DEF_SELF_SCOUT_IMPORT'!$D$42:$D$1040,SUBSTITUTE(SUBSTITUTE(SUBSTITUTE($P976,"~","~~"),"*","~*"),"?","~?")))</f>
        <v>-5.0</v>
      </c>
      <c r="G976" s="10">
        <f>IF($C976=0,"",COUNTIFS('DEF_SELF_SCOUT_IMPORT'!$L$42:$L$1040,"Y",'DEF_SELF_SCOUT_IMPORT'!$E$42:$E$1040,SUBSTITUTE(SUBSTITUTE(SUBSTITUTE($B976,"~","~~"),"*","~*"),"?","~?"),'DEF_SELF_SCOUT_IMPORT'!$Q$42:$Q$1040,SUBSTITUTE(SUBSTITUTE(SUBSTITUTE($M976,"~","~~"),"*","~*"),"?","~?"),'DEF_SELF_SCOUT_IMPORT'!$D$42:$D$1040,SUBSTITUTE(SUBSTITUTE(SUBSTITUTE($P976,"~","~~"),"*","~*"),"?","~?"),'DEF_SELF_SCOUT_IMPORT'!$H$42:$H$1040,"RUSH")/$C976)</f>
        <v>0.0</v>
      </c>
      <c r="H976" s="10">
        <f>IF($C976=0,"",COUNTIFS('DEF_SELF_SCOUT_IMPORT'!$L$42:$L$1040,"Y",'DEF_SELF_SCOUT_IMPORT'!$E$42:$E$1040,SUBSTITUTE(SUBSTITUTE(SUBSTITUTE($B976,"~","~~"),"*","~*"),"?","~?"),'DEF_SELF_SCOUT_IMPORT'!$Q$42:$Q$1040,SUBSTITUTE(SUBSTITUTE(SUBSTITUTE($M976,"~","~~"),"*","~*"),"?","~?"),'DEF_SELF_SCOUT_IMPORT'!$D$42:$D$1040,SUBSTITUTE(SUBSTITUTE(SUBSTITUTE($P976,"~","~~"),"*","~*"),"?","~?"),'DEF_SELF_SCOUT_IMPORT'!$H$42:$H$1040,"DROPBACK")/$C976)</f>
        <v>1.0</v>
      </c>
      <c r="I976" s="14" t="str">
        <f>IF(C976=0,"",IF(C976&lt;=2,"TRACK",IF(C976=3,"LOW",IF(C976&lt;=6,"MEDIUM","HIGH"))))</f>
        <v>TRACK</v>
      </c>
      <c r="J976" s="11">
        <f>IF(C976=0,"",ROUND(D976*70+(1-E976)*20+MAX(0,MIN(1,(10-F976)/10))*10,1))</f>
        <v>100.0</v>
      </c>
      <c r="K976" s="14" t="str">
        <f>IF(C976=0,"No Evidence",IF(C976&lt;=2,IF(E976&gt;0,"Explosive Alert","Track Only"),IF(C976=3,"Sample Watch",IF(E976&gt;=START_HERE!$B$31,"Explosive Alert",IF(J976&gt;=80,"Strong Candidate",IF(J976&gt;=65,"Good Candidate",IF(J976&gt;=50,"Mixed / Review","Problem Call")))))))</f>
        <v>Track Only</v>
      </c>
      <c r="L976" s="9" t="str">
        <f>IF(COUNTIFS('DEF_SELF_SCOUT_IMPORT'!$L$42:$L$1040,"Y",'DEF_SELF_SCOUT_IMPORT'!$E$42:$E$1040,SUBSTITUTE(SUBSTITUTE(SUBSTITUTE($B976,"~","~~"),"*","~*"),"?","~?"),'DEF_SELF_SCOUT_IMPORT'!$Q$42:$Q$1040,SUBSTITUTE(SUBSTITUTE(SUBSTITUTE($M976,"~","~~"),"*","~*"),"?","~?"),'DEF_SELF_SCOUT_IMPORT'!$D$42:$D$1040,SUBSTITUTE(SUBSTITUTE(SUBSTITUTE($P976,"~","~~"),"*","~*"),"?","~?"),'DEF_SELF_SCOUT_IMPORT'!$J$42:$J$1040,"")&gt;0,"Unscored clean outcome; review result tags before using score.",IF(C976=0,"No matching defensive reps; film confirmation needed.",IF(K976="Explosive Alert","Explosive risk; review clips before using as answer.",IF(C976&lt;=2,"Track only; not enough sample.",IF(C976=3,IF(E976&gt;0,"Sample watch with explosive exposure; review clips and build the sample.",IF(J976&gt;=65,"Good signal, but sample is limited.","Sample watch; review clips and build the sample.")),IF(K976="Problem Call","Problem area; practice or call-sheet review.",IF(K976="Strong Candidate","Strong call-fit candidate; confirm on film.",IF(K976="Good Candidate","Good call-fit signal; confirm on film.","Mixed signal; review fit and execution on film."))))))))</f>
        <v>Track only; not enough sample.</v>
      </c>
      <c r="M976" s="8" t="s">
        <v>96</v>
      </c>
      <c r="N976" s="8"/>
      <c r="O976" s="8"/>
      <c r="P976" s="8" t="s">
        <v>449</v>
      </c>
      <c r="Q976" s="8"/>
      <c r="R976" s="8" t="s">
        <v>429</v>
      </c>
      <c r="S976" s="2" t="s">
        <v>558</v>
      </c>
      <c r="T976" s="2">
        <f>IF(C976=0,0,IF(C976&gt;=CALL_LOOKUP_BOARD!$B$7,IF(OR(K976="Problem Call",K976="Explosive Alert"),10000000,20000000),0)+IF(C976&gt;=CALL_LOOKUP_BOARD!$B$7,J976*1000+MIN(C976,999),C976*1000+J976)+0.00983400)</f>
        <v>1100.009834</v>
      </c>
      <c r="U976" s="2">
        <f>IF(C976=0,"",IF(COUNTIFS($S$811:$S$1055,SUBSTITUTE(SUBSTITUTE(SUBSTITUTE(S976,"~","~~"),"*","~*"),"?","~?"),$T$811:$T$1055,"&gt;"&amp;T976)=0,S976,""))</f>
        <v/>
      </c>
    </row>
    <row r="977" spans="1:21" ht="38" customHeight="1">
      <c r="A977" s="8" t="s">
        <v>560</v>
      </c>
      <c r="B977" s="8" t="s">
        <v>101</v>
      </c>
      <c r="C977" s="12">
        <f>COUNTIFS('DEF_SELF_SCOUT_IMPORT'!$L$42:$L$1040,"Y",'DEF_SELF_SCOUT_IMPORT'!$E$42:$E$1040,SUBSTITUTE(SUBSTITUTE(SUBSTITUTE($B977,"~","~~"),"*","~*"),"?","~?"),'DEF_SELF_SCOUT_IMPORT'!$Q$42:$Q$1040,SUBSTITUTE(SUBSTITUTE(SUBSTITUTE($M977,"~","~~"),"*","~*"),"?","~?"),'DEF_SELF_SCOUT_IMPORT'!$D$42:$D$1040,SUBSTITUTE(SUBSTITUTE(SUBSTITUTE($P977,"~","~~"),"*","~*"),"?","~?"))</f>
        <v>1</v>
      </c>
      <c r="D977" s="10">
        <f>IF($C977=0,"",SUMIFS('DEF_SELF_SCOUT_IMPORT'!$J$42:$J$1040,'DEF_SELF_SCOUT_IMPORT'!$L$42:$L$1040,"Y",'DEF_SELF_SCOUT_IMPORT'!$E$42:$E$1040,SUBSTITUTE(SUBSTITUTE(SUBSTITUTE($B977,"~","~~"),"*","~*"),"?","~?"),'DEF_SELF_SCOUT_IMPORT'!$Q$42:$Q$1040,SUBSTITUTE(SUBSTITUTE(SUBSTITUTE($M977,"~","~~"),"*","~*"),"?","~?"),'DEF_SELF_SCOUT_IMPORT'!$D$42:$D$1040,SUBSTITUTE(SUBSTITUTE(SUBSTITUTE($P977,"~","~~"),"*","~*"),"?","~?"))/$C977)</f>
        <v>1.0</v>
      </c>
      <c r="E977" s="10">
        <f>IF($C977=0,"",SUMIFS('DEF_SELF_SCOUT_IMPORT'!$K$42:$K$1040,'DEF_SELF_SCOUT_IMPORT'!$L$42:$L$1040,"Y",'DEF_SELF_SCOUT_IMPORT'!$E$42:$E$1040,SUBSTITUTE(SUBSTITUTE(SUBSTITUTE($B977,"~","~~"),"*","~*"),"?","~?"),'DEF_SELF_SCOUT_IMPORT'!$Q$42:$Q$1040,SUBSTITUTE(SUBSTITUTE(SUBSTITUTE($M977,"~","~~"),"*","~*"),"?","~?"),'DEF_SELF_SCOUT_IMPORT'!$D$42:$D$1040,SUBSTITUTE(SUBSTITUTE(SUBSTITUTE($P977,"~","~~"),"*","~*"),"?","~?"))/$C977)</f>
        <v>0.0</v>
      </c>
      <c r="F977" s="11">
        <f>IF($C977=0,"",AVERAGEIFS('DEF_SELF_SCOUT_IMPORT'!$I$42:$I$1040,'DEF_SELF_SCOUT_IMPORT'!$L$42:$L$1040,"Y",'DEF_SELF_SCOUT_IMPORT'!$E$42:$E$1040,SUBSTITUTE(SUBSTITUTE(SUBSTITUTE($B977,"~","~~"),"*","~*"),"?","~?"),'DEF_SELF_SCOUT_IMPORT'!$Q$42:$Q$1040,SUBSTITUTE(SUBSTITUTE(SUBSTITUTE($M977,"~","~~"),"*","~*"),"?","~?"),'DEF_SELF_SCOUT_IMPORT'!$D$42:$D$1040,SUBSTITUTE(SUBSTITUTE(SUBSTITUTE($P977,"~","~~"),"*","~*"),"?","~?")))</f>
        <v>4.0</v>
      </c>
      <c r="G977" s="10">
        <f>IF($C977=0,"",COUNTIFS('DEF_SELF_SCOUT_IMPORT'!$L$42:$L$1040,"Y",'DEF_SELF_SCOUT_IMPORT'!$E$42:$E$1040,SUBSTITUTE(SUBSTITUTE(SUBSTITUTE($B977,"~","~~"),"*","~*"),"?","~?"),'DEF_SELF_SCOUT_IMPORT'!$Q$42:$Q$1040,SUBSTITUTE(SUBSTITUTE(SUBSTITUTE($M977,"~","~~"),"*","~*"),"?","~?"),'DEF_SELF_SCOUT_IMPORT'!$D$42:$D$1040,SUBSTITUTE(SUBSTITUTE(SUBSTITUTE($P977,"~","~~"),"*","~*"),"?","~?"),'DEF_SELF_SCOUT_IMPORT'!$H$42:$H$1040,"RUSH")/$C977)</f>
        <v>0.0</v>
      </c>
      <c r="H977" s="10">
        <f>IF($C977=0,"",COUNTIFS('DEF_SELF_SCOUT_IMPORT'!$L$42:$L$1040,"Y",'DEF_SELF_SCOUT_IMPORT'!$E$42:$E$1040,SUBSTITUTE(SUBSTITUTE(SUBSTITUTE($B977,"~","~~"),"*","~*"),"?","~?"),'DEF_SELF_SCOUT_IMPORT'!$Q$42:$Q$1040,SUBSTITUTE(SUBSTITUTE(SUBSTITUTE($M977,"~","~~"),"*","~*"),"?","~?"),'DEF_SELF_SCOUT_IMPORT'!$D$42:$D$1040,SUBSTITUTE(SUBSTITUTE(SUBSTITUTE($P977,"~","~~"),"*","~*"),"?","~?"),'DEF_SELF_SCOUT_IMPORT'!$H$42:$H$1040,"DROPBACK")/$C977)</f>
        <v>1.0</v>
      </c>
      <c r="I977" s="14" t="str">
        <f>IF(C977=0,"",IF(C977&lt;=2,"TRACK",IF(C977=3,"LOW",IF(C977&lt;=6,"MEDIUM","HIGH"))))</f>
        <v>TRACK</v>
      </c>
      <c r="J977" s="11">
        <f>IF(C977=0,"",ROUND(D977*70+(1-E977)*20+MAX(0,MIN(1,(10-F977)/10))*10,1))</f>
        <v>96.0</v>
      </c>
      <c r="K977" s="14" t="str">
        <f>IF(C977=0,"No Evidence",IF(C977&lt;=2,IF(E977&gt;0,"Explosive Alert","Track Only"),IF(C977=3,"Sample Watch",IF(E977&gt;=START_HERE!$B$31,"Explosive Alert",IF(J977&gt;=80,"Strong Candidate",IF(J977&gt;=65,"Good Candidate",IF(J977&gt;=50,"Mixed / Review","Problem Call")))))))</f>
        <v>Track Only</v>
      </c>
      <c r="L977" s="9" t="str">
        <f>IF(COUNTIFS('DEF_SELF_SCOUT_IMPORT'!$L$42:$L$1040,"Y",'DEF_SELF_SCOUT_IMPORT'!$E$42:$E$1040,SUBSTITUTE(SUBSTITUTE(SUBSTITUTE($B977,"~","~~"),"*","~*"),"?","~?"),'DEF_SELF_SCOUT_IMPORT'!$Q$42:$Q$1040,SUBSTITUTE(SUBSTITUTE(SUBSTITUTE($M977,"~","~~"),"*","~*"),"?","~?"),'DEF_SELF_SCOUT_IMPORT'!$D$42:$D$1040,SUBSTITUTE(SUBSTITUTE(SUBSTITUTE($P977,"~","~~"),"*","~*"),"?","~?"),'DEF_SELF_SCOUT_IMPORT'!$J$42:$J$1040,"")&gt;0,"Unscored clean outcome; review result tags before using score.",IF(C977=0,"No matching defensive reps; film confirmation needed.",IF(K977="Explosive Alert","Explosive risk; review clips before using as answer.",IF(C977&lt;=2,"Track only; not enough sample.",IF(C977=3,IF(E977&gt;0,"Sample watch with explosive exposure; review clips and build the sample.",IF(J977&gt;=65,"Good signal, but sample is limited.","Sample watch; review clips and build the sample.")),IF(K977="Problem Call","Problem area; practice or call-sheet review.",IF(K977="Strong Candidate","Strong call-fit candidate; confirm on film.",IF(K977="Good Candidate","Good call-fit signal; confirm on film.","Mixed signal; review fit and execution on film."))))))))</f>
        <v>Track only; not enough sample.</v>
      </c>
      <c r="M977" s="8" t="s">
        <v>96</v>
      </c>
      <c r="N977" s="8"/>
      <c r="O977" s="8"/>
      <c r="P977" s="8" t="s">
        <v>561</v>
      </c>
      <c r="Q977" s="8"/>
      <c r="R977" s="8" t="s">
        <v>429</v>
      </c>
      <c r="S977" s="2" t="s">
        <v>562</v>
      </c>
      <c r="T977" s="2">
        <f>IF(C977=0,0,IF(C977&gt;=CALL_LOOKUP_BOARD!$B$7,IF(OR(K977="Problem Call",K977="Explosive Alert"),10000000,20000000),0)+IF(C977&gt;=CALL_LOOKUP_BOARD!$B$7,J977*1000+MIN(C977,999),C977*1000+J977)+0.00983300)</f>
        <v>1096.009833</v>
      </c>
      <c r="U977" s="2" t="str">
        <f>IF(C977=0,"",IF(COUNTIFS($S$811:$S$1055,SUBSTITUTE(SUBSTITUTE(SUBSTITUTE(S977,"~","~~"),"*","~*"),"?","~?"),$T$811:$T$1055,"&gt;"&amp;T977)=0,S977,""))</f>
        <v>6:3D 11+|5:FUZZY|</v>
      </c>
    </row>
    <row r="978" spans="1:21" ht="38" customHeight="1">
      <c r="A978" s="8" t="s">
        <v>563</v>
      </c>
      <c r="B978" s="8" t="s">
        <v>97</v>
      </c>
      <c r="C978" s="12">
        <f>COUNTIFS('DEF_SELF_SCOUT_IMPORT'!$L$42:$L$1040,"Y",'DEF_SELF_SCOUT_IMPORT'!$E$42:$E$1040,SUBSTITUTE(SUBSTITUTE(SUBSTITUTE($B978,"~","~~"),"*","~*"),"?","~?"),'DEF_SELF_SCOUT_IMPORT'!$Q$42:$Q$1040,SUBSTITUTE(SUBSTITUTE(SUBSTITUTE($M978,"~","~~"),"*","~*"),"?","~?"),'DEF_SELF_SCOUT_IMPORT'!$D$42:$D$1040,SUBSTITUTE(SUBSTITUTE(SUBSTITUTE($P978,"~","~~"),"*","~*"),"?","~?"))</f>
        <v>1</v>
      </c>
      <c r="D978" s="10">
        <f>IF($C978=0,"",SUMIFS('DEF_SELF_SCOUT_IMPORT'!$J$42:$J$1040,'DEF_SELF_SCOUT_IMPORT'!$L$42:$L$1040,"Y",'DEF_SELF_SCOUT_IMPORT'!$E$42:$E$1040,SUBSTITUTE(SUBSTITUTE(SUBSTITUTE($B978,"~","~~"),"*","~*"),"?","~?"),'DEF_SELF_SCOUT_IMPORT'!$Q$42:$Q$1040,SUBSTITUTE(SUBSTITUTE(SUBSTITUTE($M978,"~","~~"),"*","~*"),"?","~?"),'DEF_SELF_SCOUT_IMPORT'!$D$42:$D$1040,SUBSTITUTE(SUBSTITUTE(SUBSTITUTE($P978,"~","~~"),"*","~*"),"?","~?"))/$C978)</f>
        <v>1.0</v>
      </c>
      <c r="E978" s="10">
        <f>IF($C978=0,"",SUMIFS('DEF_SELF_SCOUT_IMPORT'!$K$42:$K$1040,'DEF_SELF_SCOUT_IMPORT'!$L$42:$L$1040,"Y",'DEF_SELF_SCOUT_IMPORT'!$E$42:$E$1040,SUBSTITUTE(SUBSTITUTE(SUBSTITUTE($B978,"~","~~"),"*","~*"),"?","~?"),'DEF_SELF_SCOUT_IMPORT'!$Q$42:$Q$1040,SUBSTITUTE(SUBSTITUTE(SUBSTITUTE($M978,"~","~~"),"*","~*"),"?","~?"),'DEF_SELF_SCOUT_IMPORT'!$D$42:$D$1040,SUBSTITUTE(SUBSTITUTE(SUBSTITUTE($P978,"~","~~"),"*","~*"),"?","~?"))/$C978)</f>
        <v>0.0</v>
      </c>
      <c r="F978" s="11">
        <f>IF($C978=0,"",AVERAGEIFS('DEF_SELF_SCOUT_IMPORT'!$I$42:$I$1040,'DEF_SELF_SCOUT_IMPORT'!$L$42:$L$1040,"Y",'DEF_SELF_SCOUT_IMPORT'!$E$42:$E$1040,SUBSTITUTE(SUBSTITUTE(SUBSTITUTE($B978,"~","~~"),"*","~*"),"?","~?"),'DEF_SELF_SCOUT_IMPORT'!$Q$42:$Q$1040,SUBSTITUTE(SUBSTITUTE(SUBSTITUTE($M978,"~","~~"),"*","~*"),"?","~?"),'DEF_SELF_SCOUT_IMPORT'!$D$42:$D$1040,SUBSTITUTE(SUBSTITUTE(SUBSTITUTE($P978,"~","~~"),"*","~*"),"?","~?")))</f>
        <v>4.0</v>
      </c>
      <c r="G978" s="10">
        <f>IF($C978=0,"",COUNTIFS('DEF_SELF_SCOUT_IMPORT'!$L$42:$L$1040,"Y",'DEF_SELF_SCOUT_IMPORT'!$E$42:$E$1040,SUBSTITUTE(SUBSTITUTE(SUBSTITUTE($B978,"~","~~"),"*","~*"),"?","~?"),'DEF_SELF_SCOUT_IMPORT'!$Q$42:$Q$1040,SUBSTITUTE(SUBSTITUTE(SUBSTITUTE($M978,"~","~~"),"*","~*"),"?","~?"),'DEF_SELF_SCOUT_IMPORT'!$D$42:$D$1040,SUBSTITUTE(SUBSTITUTE(SUBSTITUTE($P978,"~","~~"),"*","~*"),"?","~?"),'DEF_SELF_SCOUT_IMPORT'!$H$42:$H$1040,"RUSH")/$C978)</f>
        <v>0.0</v>
      </c>
      <c r="H978" s="10">
        <f>IF($C978=0,"",COUNTIFS('DEF_SELF_SCOUT_IMPORT'!$L$42:$L$1040,"Y",'DEF_SELF_SCOUT_IMPORT'!$E$42:$E$1040,SUBSTITUTE(SUBSTITUTE(SUBSTITUTE($B978,"~","~~"),"*","~*"),"?","~?"),'DEF_SELF_SCOUT_IMPORT'!$Q$42:$Q$1040,SUBSTITUTE(SUBSTITUTE(SUBSTITUTE($M978,"~","~~"),"*","~*"),"?","~?"),'DEF_SELF_SCOUT_IMPORT'!$D$42:$D$1040,SUBSTITUTE(SUBSTITUTE(SUBSTITUTE($P978,"~","~~"),"*","~*"),"?","~?"),'DEF_SELF_SCOUT_IMPORT'!$H$42:$H$1040,"DROPBACK")/$C978)</f>
        <v>1.0</v>
      </c>
      <c r="I978" s="14" t="str">
        <f>IF(C978=0,"",IF(C978&lt;=2,"TRACK",IF(C978=3,"LOW",IF(C978&lt;=6,"MEDIUM","HIGH"))))</f>
        <v>TRACK</v>
      </c>
      <c r="J978" s="11">
        <f>IF(C978=0,"",ROUND(D978*70+(1-E978)*20+MAX(0,MIN(1,(10-F978)/10))*10,1))</f>
        <v>96.0</v>
      </c>
      <c r="K978" s="14" t="str">
        <f>IF(C978=0,"No Evidence",IF(C978&lt;=2,IF(E978&gt;0,"Explosive Alert","Track Only"),IF(C978=3,"Sample Watch",IF(E978&gt;=START_HERE!$B$31,"Explosive Alert",IF(J978&gt;=80,"Strong Candidate",IF(J978&gt;=65,"Good Candidate",IF(J978&gt;=50,"Mixed / Review","Problem Call")))))))</f>
        <v>Track Only</v>
      </c>
      <c r="L978" s="9" t="str">
        <f>IF(COUNTIFS('DEF_SELF_SCOUT_IMPORT'!$L$42:$L$1040,"Y",'DEF_SELF_SCOUT_IMPORT'!$E$42:$E$1040,SUBSTITUTE(SUBSTITUTE(SUBSTITUTE($B978,"~","~~"),"*","~*"),"?","~?"),'DEF_SELF_SCOUT_IMPORT'!$Q$42:$Q$1040,SUBSTITUTE(SUBSTITUTE(SUBSTITUTE($M978,"~","~~"),"*","~*"),"?","~?"),'DEF_SELF_SCOUT_IMPORT'!$D$42:$D$1040,SUBSTITUTE(SUBSTITUTE(SUBSTITUTE($P978,"~","~~"),"*","~*"),"?","~?"),'DEF_SELF_SCOUT_IMPORT'!$J$42:$J$1040,"")&gt;0,"Unscored clean outcome; review result tags before using score.",IF(C978=0,"No matching defensive reps; film confirmation needed.",IF(K978="Explosive Alert","Explosive risk; review clips before using as answer.",IF(C978&lt;=2,"Track only; not enough sample.",IF(C978=3,IF(E978&gt;0,"Sample watch with explosive exposure; review clips and build the sample.",IF(J978&gt;=65,"Good signal, but sample is limited.","Sample watch; review clips and build the sample.")),IF(K978="Problem Call","Problem area; practice or call-sheet review.",IF(K978="Strong Candidate","Strong call-fit candidate; confirm on film.",IF(K978="Good Candidate","Good call-fit signal; confirm on film.","Mixed signal; review fit and execution on film."))))))))</f>
        <v>Track only; not enough sample.</v>
      </c>
      <c r="M978" s="8" t="s">
        <v>96</v>
      </c>
      <c r="N978" s="8"/>
      <c r="O978" s="8"/>
      <c r="P978" s="8" t="s">
        <v>474</v>
      </c>
      <c r="Q978" s="8"/>
      <c r="R978" s="8" t="s">
        <v>429</v>
      </c>
      <c r="S978" s="2" t="s">
        <v>564</v>
      </c>
      <c r="T978" s="2">
        <f>IF(C978=0,0,IF(C978&gt;=CALL_LOOKUP_BOARD!$B$7,IF(OR(K978="Problem Call",K978="Explosive Alert"),10000000,20000000),0)+IF(C978&gt;=CALL_LOOKUP_BOARD!$B$7,J978*1000+MIN(C978,999),C978*1000+J978)+0.00983200)</f>
        <v>1096.009832</v>
      </c>
      <c r="U978" s="2" t="str">
        <f>IF(C978=0,"",IF(COUNTIFS($S$811:$S$1055,SUBSTITUTE(SUBSTITUTE(SUBSTITUTE(S978,"~","~~"),"*","~*"),"?","~?"),$T$811:$T$1055,"&gt;"&amp;T978)=0,S978,""))</f>
        <v>6:3D 11+|6:SCREEN|</v>
      </c>
    </row>
    <row r="979" spans="1:21" ht="38" customHeight="1">
      <c r="A979" s="8" t="s">
        <v>565</v>
      </c>
      <c r="B979" s="8" t="s">
        <v>60</v>
      </c>
      <c r="C979" s="12">
        <f>COUNTIFS('DEF_SELF_SCOUT_IMPORT'!$L$42:$L$1040,"Y",'DEF_SELF_SCOUT_IMPORT'!$E$42:$E$1040,SUBSTITUTE(SUBSTITUTE(SUBSTITUTE($B979,"~","~~"),"*","~*"),"?","~?"),'DEF_SELF_SCOUT_IMPORT'!$Q$42:$Q$1040,SUBSTITUTE(SUBSTITUTE(SUBSTITUTE($M979,"~","~~"),"*","~*"),"?","~?"),'DEF_SELF_SCOUT_IMPORT'!$D$42:$D$1040,SUBSTITUTE(SUBSTITUTE(SUBSTITUTE($P979,"~","~~"),"*","~*"),"?","~?"))</f>
        <v>1</v>
      </c>
      <c r="D979" s="10">
        <f>IF($C979=0,"",SUMIFS('DEF_SELF_SCOUT_IMPORT'!$J$42:$J$1040,'DEF_SELF_SCOUT_IMPORT'!$L$42:$L$1040,"Y",'DEF_SELF_SCOUT_IMPORT'!$E$42:$E$1040,SUBSTITUTE(SUBSTITUTE(SUBSTITUTE($B979,"~","~~"),"*","~*"),"?","~?"),'DEF_SELF_SCOUT_IMPORT'!$Q$42:$Q$1040,SUBSTITUTE(SUBSTITUTE(SUBSTITUTE($M979,"~","~~"),"*","~*"),"?","~?"),'DEF_SELF_SCOUT_IMPORT'!$D$42:$D$1040,SUBSTITUTE(SUBSTITUTE(SUBSTITUTE($P979,"~","~~"),"*","~*"),"?","~?"))/$C979)</f>
        <v>1.0</v>
      </c>
      <c r="E979" s="10">
        <f>IF($C979=0,"",SUMIFS('DEF_SELF_SCOUT_IMPORT'!$K$42:$K$1040,'DEF_SELF_SCOUT_IMPORT'!$L$42:$L$1040,"Y",'DEF_SELF_SCOUT_IMPORT'!$E$42:$E$1040,SUBSTITUTE(SUBSTITUTE(SUBSTITUTE($B979,"~","~~"),"*","~*"),"?","~?"),'DEF_SELF_SCOUT_IMPORT'!$Q$42:$Q$1040,SUBSTITUTE(SUBSTITUTE(SUBSTITUTE($M979,"~","~~"),"*","~*"),"?","~?"),'DEF_SELF_SCOUT_IMPORT'!$D$42:$D$1040,SUBSTITUTE(SUBSTITUTE(SUBSTITUTE($P979,"~","~~"),"*","~*"),"?","~?"))/$C979)</f>
        <v>0.0</v>
      </c>
      <c r="F979" s="11">
        <f>IF($C979=0,"",AVERAGEIFS('DEF_SELF_SCOUT_IMPORT'!$I$42:$I$1040,'DEF_SELF_SCOUT_IMPORT'!$L$42:$L$1040,"Y",'DEF_SELF_SCOUT_IMPORT'!$E$42:$E$1040,SUBSTITUTE(SUBSTITUTE(SUBSTITUTE($B979,"~","~~"),"*","~*"),"?","~?"),'DEF_SELF_SCOUT_IMPORT'!$Q$42:$Q$1040,SUBSTITUTE(SUBSTITUTE(SUBSTITUTE($M979,"~","~~"),"*","~*"),"?","~?"),'DEF_SELF_SCOUT_IMPORT'!$D$42:$D$1040,SUBSTITUTE(SUBSTITUTE(SUBSTITUTE($P979,"~","~~"),"*","~*"),"?","~?")))</f>
        <v>0.0</v>
      </c>
      <c r="G979" s="10">
        <f>IF($C979=0,"",COUNTIFS('DEF_SELF_SCOUT_IMPORT'!$L$42:$L$1040,"Y",'DEF_SELF_SCOUT_IMPORT'!$E$42:$E$1040,SUBSTITUTE(SUBSTITUTE(SUBSTITUTE($B979,"~","~~"),"*","~*"),"?","~?"),'DEF_SELF_SCOUT_IMPORT'!$Q$42:$Q$1040,SUBSTITUTE(SUBSTITUTE(SUBSTITUTE($M979,"~","~~"),"*","~*"),"?","~?"),'DEF_SELF_SCOUT_IMPORT'!$D$42:$D$1040,SUBSTITUTE(SUBSTITUTE(SUBSTITUTE($P979,"~","~~"),"*","~*"),"?","~?"),'DEF_SELF_SCOUT_IMPORT'!$H$42:$H$1040,"RUSH")/$C979)</f>
        <v>0.0</v>
      </c>
      <c r="H979" s="10">
        <f>IF($C979=0,"",COUNTIFS('DEF_SELF_SCOUT_IMPORT'!$L$42:$L$1040,"Y",'DEF_SELF_SCOUT_IMPORT'!$E$42:$E$1040,SUBSTITUTE(SUBSTITUTE(SUBSTITUTE($B979,"~","~~"),"*","~*"),"?","~?"),'DEF_SELF_SCOUT_IMPORT'!$Q$42:$Q$1040,SUBSTITUTE(SUBSTITUTE(SUBSTITUTE($M979,"~","~~"),"*","~*"),"?","~?"),'DEF_SELF_SCOUT_IMPORT'!$D$42:$D$1040,SUBSTITUTE(SUBSTITUTE(SUBSTITUTE($P979,"~","~~"),"*","~*"),"?","~?"),'DEF_SELF_SCOUT_IMPORT'!$H$42:$H$1040,"DROPBACK")/$C979)</f>
        <v>1.0</v>
      </c>
      <c r="I979" s="14" t="str">
        <f>IF(C979=0,"",IF(C979&lt;=2,"TRACK",IF(C979=3,"LOW",IF(C979&lt;=6,"MEDIUM","HIGH"))))</f>
        <v>TRACK</v>
      </c>
      <c r="J979" s="11">
        <f>IF(C979=0,"",ROUND(D979*70+(1-E979)*20+MAX(0,MIN(1,(10-F979)/10))*10,1))</f>
        <v>100.0</v>
      </c>
      <c r="K979" s="14" t="str">
        <f>IF(C979=0,"No Evidence",IF(C979&lt;=2,IF(E979&gt;0,"Explosive Alert","Track Only"),IF(C979=3,"Sample Watch",IF(E979&gt;=START_HERE!$B$31,"Explosive Alert",IF(J979&gt;=80,"Strong Candidate",IF(J979&gt;=65,"Good Candidate",IF(J979&gt;=50,"Mixed / Review","Problem Call")))))))</f>
        <v>Track Only</v>
      </c>
      <c r="L979" s="9" t="str">
        <f>IF(COUNTIFS('DEF_SELF_SCOUT_IMPORT'!$L$42:$L$1040,"Y",'DEF_SELF_SCOUT_IMPORT'!$E$42:$E$1040,SUBSTITUTE(SUBSTITUTE(SUBSTITUTE($B979,"~","~~"),"*","~*"),"?","~?"),'DEF_SELF_SCOUT_IMPORT'!$Q$42:$Q$1040,SUBSTITUTE(SUBSTITUTE(SUBSTITUTE($M979,"~","~~"),"*","~*"),"?","~?"),'DEF_SELF_SCOUT_IMPORT'!$D$42:$D$1040,SUBSTITUTE(SUBSTITUTE(SUBSTITUTE($P979,"~","~~"),"*","~*"),"?","~?"),'DEF_SELF_SCOUT_IMPORT'!$J$42:$J$1040,"")&gt;0,"Unscored clean outcome; review result tags before using score.",IF(C979=0,"No matching defensive reps; film confirmation needed.",IF(K979="Explosive Alert","Explosive risk; review clips before using as answer.",IF(C979&lt;=2,"Track only; not enough sample.",IF(C979=3,IF(E979&gt;0,"Sample watch with explosive exposure; review clips and build the sample.",IF(J979&gt;=65,"Good signal, but sample is limited.","Sample watch; review clips and build the sample.")),IF(K979="Problem Call","Problem area; practice or call-sheet review.",IF(K979="Strong Candidate","Strong call-fit candidate; confirm on film.",IF(K979="Good Candidate","Good call-fit signal; confirm on film.","Mixed signal; review fit and execution on film."))))))))</f>
        <v>Track only; not enough sample.</v>
      </c>
      <c r="M979" s="8" t="s">
        <v>103</v>
      </c>
      <c r="N979" s="8"/>
      <c r="O979" s="8"/>
      <c r="P979" s="8" t="s">
        <v>446</v>
      </c>
      <c r="Q979" s="8"/>
      <c r="R979" s="8" t="s">
        <v>429</v>
      </c>
      <c r="S979" s="2" t="s">
        <v>566</v>
      </c>
      <c r="T979" s="2">
        <f>IF(C979=0,0,IF(C979&gt;=CALL_LOOKUP_BOARD!$B$7,IF(OR(K979="Problem Call",K979="Explosive Alert"),10000000,20000000),0)+IF(C979&gt;=CALL_LOOKUP_BOARD!$B$7,J979*1000+MIN(C979,999),C979*1000+J979)+0.00983100)</f>
        <v>1100.009831</v>
      </c>
      <c r="U979" s="2" t="str">
        <f>IF(C979=0,"",IF(COUNTIFS($S$811:$S$1055,SUBSTITUTE(SUBSTITUTE(SUBSTITUTE(S979,"~","~~"),"*","~*"),"?","~?"),$T$811:$T$1055,"&gt;"&amp;T979)=0,S979,""))</f>
        <v>6:3D 4-6|6:3 STEP|</v>
      </c>
    </row>
    <row r="980" spans="1:21" ht="38" customHeight="1">
      <c r="A980" s="8" t="s">
        <v>565</v>
      </c>
      <c r="B980" s="8" t="s">
        <v>65</v>
      </c>
      <c r="C980" s="12">
        <f>COUNTIFS('DEF_SELF_SCOUT_IMPORT'!$L$42:$L$1040,"Y",'DEF_SELF_SCOUT_IMPORT'!$E$42:$E$1040,SUBSTITUTE(SUBSTITUTE(SUBSTITUTE($B980,"~","~~"),"*","~*"),"?","~?"),'DEF_SELF_SCOUT_IMPORT'!$Q$42:$Q$1040,SUBSTITUTE(SUBSTITUTE(SUBSTITUTE($M980,"~","~~"),"*","~*"),"?","~?"),'DEF_SELF_SCOUT_IMPORT'!$D$42:$D$1040,SUBSTITUTE(SUBSTITUTE(SUBSTITUTE($P980,"~","~~"),"*","~*"),"?","~?"))</f>
        <v>1</v>
      </c>
      <c r="D980" s="10">
        <f>IF($C980=0,"",SUMIFS('DEF_SELF_SCOUT_IMPORT'!$J$42:$J$1040,'DEF_SELF_SCOUT_IMPORT'!$L$42:$L$1040,"Y",'DEF_SELF_SCOUT_IMPORT'!$E$42:$E$1040,SUBSTITUTE(SUBSTITUTE(SUBSTITUTE($B980,"~","~~"),"*","~*"),"?","~?"),'DEF_SELF_SCOUT_IMPORT'!$Q$42:$Q$1040,SUBSTITUTE(SUBSTITUTE(SUBSTITUTE($M980,"~","~~"),"*","~*"),"?","~?"),'DEF_SELF_SCOUT_IMPORT'!$D$42:$D$1040,SUBSTITUTE(SUBSTITUTE(SUBSTITUTE($P980,"~","~~"),"*","~*"),"?","~?"))/$C980)</f>
        <v>0.0</v>
      </c>
      <c r="E980" s="10">
        <f>IF($C980=0,"",SUMIFS('DEF_SELF_SCOUT_IMPORT'!$K$42:$K$1040,'DEF_SELF_SCOUT_IMPORT'!$L$42:$L$1040,"Y",'DEF_SELF_SCOUT_IMPORT'!$E$42:$E$1040,SUBSTITUTE(SUBSTITUTE(SUBSTITUTE($B980,"~","~~"),"*","~*"),"?","~?"),'DEF_SELF_SCOUT_IMPORT'!$Q$42:$Q$1040,SUBSTITUTE(SUBSTITUTE(SUBSTITUTE($M980,"~","~~"),"*","~*"),"?","~?"),'DEF_SELF_SCOUT_IMPORT'!$D$42:$D$1040,SUBSTITUTE(SUBSTITUTE(SUBSTITUTE($P980,"~","~~"),"*","~*"),"?","~?"))/$C980)</f>
        <v>0.0</v>
      </c>
      <c r="F980" s="11">
        <f>IF($C980=0,"",AVERAGEIFS('DEF_SELF_SCOUT_IMPORT'!$I$42:$I$1040,'DEF_SELF_SCOUT_IMPORT'!$L$42:$L$1040,"Y",'DEF_SELF_SCOUT_IMPORT'!$E$42:$E$1040,SUBSTITUTE(SUBSTITUTE(SUBSTITUTE($B980,"~","~~"),"*","~*"),"?","~?"),'DEF_SELF_SCOUT_IMPORT'!$Q$42:$Q$1040,SUBSTITUTE(SUBSTITUTE(SUBSTITUTE($M980,"~","~~"),"*","~*"),"?","~?"),'DEF_SELF_SCOUT_IMPORT'!$D$42:$D$1040,SUBSTITUTE(SUBSTITUTE(SUBSTITUTE($P980,"~","~~"),"*","~*"),"?","~?")))</f>
        <v>5.0</v>
      </c>
      <c r="G980" s="10">
        <f>IF($C980=0,"",COUNTIFS('DEF_SELF_SCOUT_IMPORT'!$L$42:$L$1040,"Y",'DEF_SELF_SCOUT_IMPORT'!$E$42:$E$1040,SUBSTITUTE(SUBSTITUTE(SUBSTITUTE($B980,"~","~~"),"*","~*"),"?","~?"),'DEF_SELF_SCOUT_IMPORT'!$Q$42:$Q$1040,SUBSTITUTE(SUBSTITUTE(SUBSTITUTE($M980,"~","~~"),"*","~*"),"?","~?"),'DEF_SELF_SCOUT_IMPORT'!$D$42:$D$1040,SUBSTITUTE(SUBSTITUTE(SUBSTITUTE($P980,"~","~~"),"*","~*"),"?","~?"),'DEF_SELF_SCOUT_IMPORT'!$H$42:$H$1040,"RUSH")/$C980)</f>
        <v>0.0</v>
      </c>
      <c r="H980" s="10">
        <f>IF($C980=0,"",COUNTIFS('DEF_SELF_SCOUT_IMPORT'!$L$42:$L$1040,"Y",'DEF_SELF_SCOUT_IMPORT'!$E$42:$E$1040,SUBSTITUTE(SUBSTITUTE(SUBSTITUTE($B980,"~","~~"),"*","~*"),"?","~?"),'DEF_SELF_SCOUT_IMPORT'!$Q$42:$Q$1040,SUBSTITUTE(SUBSTITUTE(SUBSTITUTE($M980,"~","~~"),"*","~*"),"?","~?"),'DEF_SELF_SCOUT_IMPORT'!$D$42:$D$1040,SUBSTITUTE(SUBSTITUTE(SUBSTITUTE($P980,"~","~~"),"*","~*"),"?","~?"),'DEF_SELF_SCOUT_IMPORT'!$H$42:$H$1040,"DROPBACK")/$C980)</f>
        <v>1.0</v>
      </c>
      <c r="I980" s="14" t="str">
        <f>IF(C980=0,"",IF(C980&lt;=2,"TRACK",IF(C980=3,"LOW",IF(C980&lt;=6,"MEDIUM","HIGH"))))</f>
        <v>TRACK</v>
      </c>
      <c r="J980" s="11">
        <f>IF(C980=0,"",ROUND(D980*70+(1-E980)*20+MAX(0,MIN(1,(10-F980)/10))*10,1))</f>
        <v>25.0</v>
      </c>
      <c r="K980" s="14" t="str">
        <f>IF(C980=0,"No Evidence",IF(C980&lt;=2,IF(E980&gt;0,"Explosive Alert","Track Only"),IF(C980=3,"Sample Watch",IF(E980&gt;=START_HERE!$B$31,"Explosive Alert",IF(J980&gt;=80,"Strong Candidate",IF(J980&gt;=65,"Good Candidate",IF(J980&gt;=50,"Mixed / Review","Problem Call")))))))</f>
        <v>Track Only</v>
      </c>
      <c r="L980" s="9" t="str">
        <f>IF(COUNTIFS('DEF_SELF_SCOUT_IMPORT'!$L$42:$L$1040,"Y",'DEF_SELF_SCOUT_IMPORT'!$E$42:$E$1040,SUBSTITUTE(SUBSTITUTE(SUBSTITUTE($B980,"~","~~"),"*","~*"),"?","~?"),'DEF_SELF_SCOUT_IMPORT'!$Q$42:$Q$1040,SUBSTITUTE(SUBSTITUTE(SUBSTITUTE($M980,"~","~~"),"*","~*"),"?","~?"),'DEF_SELF_SCOUT_IMPORT'!$D$42:$D$1040,SUBSTITUTE(SUBSTITUTE(SUBSTITUTE($P980,"~","~~"),"*","~*"),"?","~?"),'DEF_SELF_SCOUT_IMPORT'!$J$42:$J$1040,"")&gt;0,"Unscored clean outcome; review result tags before using score.",IF(C980=0,"No matching defensive reps; film confirmation needed.",IF(K980="Explosive Alert","Explosive risk; review clips before using as answer.",IF(C980&lt;=2,"Track only; not enough sample.",IF(C980=3,IF(E980&gt;0,"Sample watch with explosive exposure; review clips and build the sample.",IF(J980&gt;=65,"Good signal, but sample is limited.","Sample watch; review clips and build the sample.")),IF(K980="Problem Call","Problem area; practice or call-sheet review.",IF(K980="Strong Candidate","Strong call-fit candidate; confirm on film.",IF(K980="Good Candidate","Good call-fit signal; confirm on film.","Mixed signal; review fit and execution on film."))))))))</f>
        <v>Track only; not enough sample.</v>
      </c>
      <c r="M980" s="8" t="s">
        <v>103</v>
      </c>
      <c r="N980" s="8"/>
      <c r="O980" s="8"/>
      <c r="P980" s="8" t="s">
        <v>446</v>
      </c>
      <c r="Q980" s="8"/>
      <c r="R980" s="8" t="s">
        <v>429</v>
      </c>
      <c r="S980" s="2" t="s">
        <v>566</v>
      </c>
      <c r="T980" s="2">
        <f>IF(C980=0,0,IF(C980&gt;=CALL_LOOKUP_BOARD!$B$7,IF(OR(K980="Problem Call",K980="Explosive Alert"),10000000,20000000),0)+IF(C980&gt;=CALL_LOOKUP_BOARD!$B$7,J980*1000+MIN(C980,999),C980*1000+J980)+0.00983000)</f>
        <v>1025.00983</v>
      </c>
      <c r="U980" s="2">
        <f>IF(C980=0,"",IF(COUNTIFS($S$811:$S$1055,SUBSTITUTE(SUBSTITUTE(SUBSTITUTE(S980,"~","~~"),"*","~*"),"?","~?"),$T$811:$T$1055,"&gt;"&amp;T980)=0,S980,""))</f>
        <v/>
      </c>
    </row>
    <row r="981" spans="1:21" ht="38" customHeight="1">
      <c r="A981" s="8" t="s">
        <v>567</v>
      </c>
      <c r="B981" s="8" t="s">
        <v>27</v>
      </c>
      <c r="C981" s="12">
        <f>COUNTIFS('DEF_SELF_SCOUT_IMPORT'!$L$42:$L$1040,"Y",'DEF_SELF_SCOUT_IMPORT'!$E$42:$E$1040,SUBSTITUTE(SUBSTITUTE(SUBSTITUTE($B981,"~","~~"),"*","~*"),"?","~?"),'DEF_SELF_SCOUT_IMPORT'!$Q$42:$Q$1040,SUBSTITUTE(SUBSTITUTE(SUBSTITUTE($M981,"~","~~"),"*","~*"),"?","~?"),'DEF_SELF_SCOUT_IMPORT'!$D$42:$D$1040,SUBSTITUTE(SUBSTITUTE(SUBSTITUTE($P981,"~","~~"),"*","~*"),"?","~?"))</f>
        <v>1</v>
      </c>
      <c r="D981" s="10">
        <f>IF($C981=0,"",SUMIFS('DEF_SELF_SCOUT_IMPORT'!$J$42:$J$1040,'DEF_SELF_SCOUT_IMPORT'!$L$42:$L$1040,"Y",'DEF_SELF_SCOUT_IMPORT'!$E$42:$E$1040,SUBSTITUTE(SUBSTITUTE(SUBSTITUTE($B981,"~","~~"),"*","~*"),"?","~?"),'DEF_SELF_SCOUT_IMPORT'!$Q$42:$Q$1040,SUBSTITUTE(SUBSTITUTE(SUBSTITUTE($M981,"~","~~"),"*","~*"),"?","~?"),'DEF_SELF_SCOUT_IMPORT'!$D$42:$D$1040,SUBSTITUTE(SUBSTITUTE(SUBSTITUTE($P981,"~","~~"),"*","~*"),"?","~?"))/$C981)</f>
        <v>1.0</v>
      </c>
      <c r="E981" s="10">
        <f>IF($C981=0,"",SUMIFS('DEF_SELF_SCOUT_IMPORT'!$K$42:$K$1040,'DEF_SELF_SCOUT_IMPORT'!$L$42:$L$1040,"Y",'DEF_SELF_SCOUT_IMPORT'!$E$42:$E$1040,SUBSTITUTE(SUBSTITUTE(SUBSTITUTE($B981,"~","~~"),"*","~*"),"?","~?"),'DEF_SELF_SCOUT_IMPORT'!$Q$42:$Q$1040,SUBSTITUTE(SUBSTITUTE(SUBSTITUTE($M981,"~","~~"),"*","~*"),"?","~?"),'DEF_SELF_SCOUT_IMPORT'!$D$42:$D$1040,SUBSTITUTE(SUBSTITUTE(SUBSTITUTE($P981,"~","~~"),"*","~*"),"?","~?"))/$C981)</f>
        <v>0.0</v>
      </c>
      <c r="F981" s="11">
        <f>IF($C981=0,"",AVERAGEIFS('DEF_SELF_SCOUT_IMPORT'!$I$42:$I$1040,'DEF_SELF_SCOUT_IMPORT'!$L$42:$L$1040,"Y",'DEF_SELF_SCOUT_IMPORT'!$E$42:$E$1040,SUBSTITUTE(SUBSTITUTE(SUBSTITUTE($B981,"~","~~"),"*","~*"),"?","~?"),'DEF_SELF_SCOUT_IMPORT'!$Q$42:$Q$1040,SUBSTITUTE(SUBSTITUTE(SUBSTITUTE($M981,"~","~~"),"*","~*"),"?","~?"),'DEF_SELF_SCOUT_IMPORT'!$D$42:$D$1040,SUBSTITUTE(SUBSTITUTE(SUBSTITUTE($P981,"~","~~"),"*","~*"),"?","~?")))</f>
        <v>0.0</v>
      </c>
      <c r="G981" s="10">
        <f>IF($C981=0,"",COUNTIFS('DEF_SELF_SCOUT_IMPORT'!$L$42:$L$1040,"Y",'DEF_SELF_SCOUT_IMPORT'!$E$42:$E$1040,SUBSTITUTE(SUBSTITUTE(SUBSTITUTE($B981,"~","~~"),"*","~*"),"?","~?"),'DEF_SELF_SCOUT_IMPORT'!$Q$42:$Q$1040,SUBSTITUTE(SUBSTITUTE(SUBSTITUTE($M981,"~","~~"),"*","~*"),"?","~?"),'DEF_SELF_SCOUT_IMPORT'!$D$42:$D$1040,SUBSTITUTE(SUBSTITUTE(SUBSTITUTE($P981,"~","~~"),"*","~*"),"?","~?"),'DEF_SELF_SCOUT_IMPORT'!$H$42:$H$1040,"RUSH")/$C981)</f>
        <v>0.0</v>
      </c>
      <c r="H981" s="10">
        <f>IF($C981=0,"",COUNTIFS('DEF_SELF_SCOUT_IMPORT'!$L$42:$L$1040,"Y",'DEF_SELF_SCOUT_IMPORT'!$E$42:$E$1040,SUBSTITUTE(SUBSTITUTE(SUBSTITUTE($B981,"~","~~"),"*","~*"),"?","~?"),'DEF_SELF_SCOUT_IMPORT'!$Q$42:$Q$1040,SUBSTITUTE(SUBSTITUTE(SUBSTITUTE($M981,"~","~~"),"*","~*"),"?","~?"),'DEF_SELF_SCOUT_IMPORT'!$D$42:$D$1040,SUBSTITUTE(SUBSTITUTE(SUBSTITUTE($P981,"~","~~"),"*","~*"),"?","~?"),'DEF_SELF_SCOUT_IMPORT'!$H$42:$H$1040,"DROPBACK")/$C981)</f>
        <v>1.0</v>
      </c>
      <c r="I981" s="14" t="str">
        <f>IF(C981=0,"",IF(C981&lt;=2,"TRACK",IF(C981=3,"LOW",IF(C981&lt;=6,"MEDIUM","HIGH"))))</f>
        <v>TRACK</v>
      </c>
      <c r="J981" s="11">
        <f>IF(C981=0,"",ROUND(D981*70+(1-E981)*20+MAX(0,MIN(1,(10-F981)/10))*10,1))</f>
        <v>100.0</v>
      </c>
      <c r="K981" s="14" t="str">
        <f>IF(C981=0,"No Evidence",IF(C981&lt;=2,IF(E981&gt;0,"Explosive Alert","Track Only"),IF(C981=3,"Sample Watch",IF(E981&gt;=START_HERE!$B$31,"Explosive Alert",IF(J981&gt;=80,"Strong Candidate",IF(J981&gt;=65,"Good Candidate",IF(J981&gt;=50,"Mixed / Review","Problem Call")))))))</f>
        <v>Track Only</v>
      </c>
      <c r="L981" s="9" t="str">
        <f>IF(COUNTIFS('DEF_SELF_SCOUT_IMPORT'!$L$42:$L$1040,"Y",'DEF_SELF_SCOUT_IMPORT'!$E$42:$E$1040,SUBSTITUTE(SUBSTITUTE(SUBSTITUTE($B981,"~","~~"),"*","~*"),"?","~?"),'DEF_SELF_SCOUT_IMPORT'!$Q$42:$Q$1040,SUBSTITUTE(SUBSTITUTE(SUBSTITUTE($M981,"~","~~"),"*","~*"),"?","~?"),'DEF_SELF_SCOUT_IMPORT'!$D$42:$D$1040,SUBSTITUTE(SUBSTITUTE(SUBSTITUTE($P981,"~","~~"),"*","~*"),"?","~?"),'DEF_SELF_SCOUT_IMPORT'!$J$42:$J$1040,"")&gt;0,"Unscored clean outcome; review result tags before using score.",IF(C981=0,"No matching defensive reps; film confirmation needed.",IF(K981="Explosive Alert","Explosive risk; review clips before using as answer.",IF(C981&lt;=2,"Track only; not enough sample.",IF(C981=3,IF(E981&gt;0,"Sample watch with explosive exposure; review clips and build the sample.",IF(J981&gt;=65,"Good signal, but sample is limited.","Sample watch; review clips and build the sample.")),IF(K981="Problem Call","Problem area; practice or call-sheet review.",IF(K981="Strong Candidate","Strong call-fit candidate; confirm on film.",IF(K981="Good Candidate","Good call-fit signal; confirm on film.","Mixed signal; review fit and execution on film."))))))))</f>
        <v>Track only; not enough sample.</v>
      </c>
      <c r="M981" s="8" t="s">
        <v>103</v>
      </c>
      <c r="N981" s="8"/>
      <c r="O981" s="8"/>
      <c r="P981" s="8" t="s">
        <v>449</v>
      </c>
      <c r="Q981" s="8"/>
      <c r="R981" s="8" t="s">
        <v>429</v>
      </c>
      <c r="S981" s="2" t="s">
        <v>568</v>
      </c>
      <c r="T981" s="2">
        <f>IF(C981=0,0,IF(C981&gt;=CALL_LOOKUP_BOARD!$B$7,IF(OR(K981="Problem Call",K981="Explosive Alert"),10000000,20000000),0)+IF(C981&gt;=CALL_LOOKUP_BOARD!$B$7,J981*1000+MIN(C981,999),C981*1000+J981)+0.00982900)</f>
        <v>1100.009829</v>
      </c>
      <c r="U981" s="2">
        <f>IF(C981=0,"",IF(COUNTIFS($S$811:$S$1055,SUBSTITUTE(SUBSTITUTE(SUBSTITUTE(S981,"~","~~"),"*","~*"),"?","~?"),$T$811:$T$1055,"&gt;"&amp;T981)=0,S981,""))</f>
        <v/>
      </c>
    </row>
    <row r="982" spans="1:21" ht="38" customHeight="1">
      <c r="A982" s="8" t="s">
        <v>567</v>
      </c>
      <c r="B982" s="8" t="s">
        <v>37</v>
      </c>
      <c r="C982" s="12">
        <f>COUNTIFS('DEF_SELF_SCOUT_IMPORT'!$L$42:$L$1040,"Y",'DEF_SELF_SCOUT_IMPORT'!$E$42:$E$1040,SUBSTITUTE(SUBSTITUTE(SUBSTITUTE($B982,"~","~~"),"*","~*"),"?","~?"),'DEF_SELF_SCOUT_IMPORT'!$Q$42:$Q$1040,SUBSTITUTE(SUBSTITUTE(SUBSTITUTE($M982,"~","~~"),"*","~*"),"?","~?"),'DEF_SELF_SCOUT_IMPORT'!$D$42:$D$1040,SUBSTITUTE(SUBSTITUTE(SUBSTITUTE($P982,"~","~~"),"*","~*"),"?","~?"))</f>
        <v>1</v>
      </c>
      <c r="D982" s="10">
        <f>IF($C982=0,"",SUMIFS('DEF_SELF_SCOUT_IMPORT'!$J$42:$J$1040,'DEF_SELF_SCOUT_IMPORT'!$L$42:$L$1040,"Y",'DEF_SELF_SCOUT_IMPORT'!$E$42:$E$1040,SUBSTITUTE(SUBSTITUTE(SUBSTITUTE($B982,"~","~~"),"*","~*"),"?","~?"),'DEF_SELF_SCOUT_IMPORT'!$Q$42:$Q$1040,SUBSTITUTE(SUBSTITUTE(SUBSTITUTE($M982,"~","~~"),"*","~*"),"?","~?"),'DEF_SELF_SCOUT_IMPORT'!$D$42:$D$1040,SUBSTITUTE(SUBSTITUTE(SUBSTITUTE($P982,"~","~~"),"*","~*"),"?","~?"))/$C982)</f>
        <v>0.0</v>
      </c>
      <c r="E982" s="10">
        <f>IF($C982=0,"",SUMIFS('DEF_SELF_SCOUT_IMPORT'!$K$42:$K$1040,'DEF_SELF_SCOUT_IMPORT'!$L$42:$L$1040,"Y",'DEF_SELF_SCOUT_IMPORT'!$E$42:$E$1040,SUBSTITUTE(SUBSTITUTE(SUBSTITUTE($B982,"~","~~"),"*","~*"),"?","~?"),'DEF_SELF_SCOUT_IMPORT'!$Q$42:$Q$1040,SUBSTITUTE(SUBSTITUTE(SUBSTITUTE($M982,"~","~~"),"*","~*"),"?","~?"),'DEF_SELF_SCOUT_IMPORT'!$D$42:$D$1040,SUBSTITUTE(SUBSTITUTE(SUBSTITUTE($P982,"~","~~"),"*","~*"),"?","~?"))/$C982)</f>
        <v>0.0</v>
      </c>
      <c r="F982" s="11">
        <f>IF($C982=0,"",AVERAGEIFS('DEF_SELF_SCOUT_IMPORT'!$I$42:$I$1040,'DEF_SELF_SCOUT_IMPORT'!$L$42:$L$1040,"Y",'DEF_SELF_SCOUT_IMPORT'!$E$42:$E$1040,SUBSTITUTE(SUBSTITUTE(SUBSTITUTE($B982,"~","~~"),"*","~*"),"?","~?"),'DEF_SELF_SCOUT_IMPORT'!$Q$42:$Q$1040,SUBSTITUTE(SUBSTITUTE(SUBSTITUTE($M982,"~","~~"),"*","~*"),"?","~?"),'DEF_SELF_SCOUT_IMPORT'!$D$42:$D$1040,SUBSTITUTE(SUBSTITUTE(SUBSTITUTE($P982,"~","~~"),"*","~*"),"?","~?")))</f>
        <v>6.0</v>
      </c>
      <c r="G982" s="10">
        <f>IF($C982=0,"",COUNTIFS('DEF_SELF_SCOUT_IMPORT'!$L$42:$L$1040,"Y",'DEF_SELF_SCOUT_IMPORT'!$E$42:$E$1040,SUBSTITUTE(SUBSTITUTE(SUBSTITUTE($B982,"~","~~"),"*","~*"),"?","~?"),'DEF_SELF_SCOUT_IMPORT'!$Q$42:$Q$1040,SUBSTITUTE(SUBSTITUTE(SUBSTITUTE($M982,"~","~~"),"*","~*"),"?","~?"),'DEF_SELF_SCOUT_IMPORT'!$D$42:$D$1040,SUBSTITUTE(SUBSTITUTE(SUBSTITUTE($P982,"~","~~"),"*","~*"),"?","~?"),'DEF_SELF_SCOUT_IMPORT'!$H$42:$H$1040,"RUSH")/$C982)</f>
        <v>0.0</v>
      </c>
      <c r="H982" s="10">
        <f>IF($C982=0,"",COUNTIFS('DEF_SELF_SCOUT_IMPORT'!$L$42:$L$1040,"Y",'DEF_SELF_SCOUT_IMPORT'!$E$42:$E$1040,SUBSTITUTE(SUBSTITUTE(SUBSTITUTE($B982,"~","~~"),"*","~*"),"?","~?"),'DEF_SELF_SCOUT_IMPORT'!$Q$42:$Q$1040,SUBSTITUTE(SUBSTITUTE(SUBSTITUTE($M982,"~","~~"),"*","~*"),"?","~?"),'DEF_SELF_SCOUT_IMPORT'!$D$42:$D$1040,SUBSTITUTE(SUBSTITUTE(SUBSTITUTE($P982,"~","~~"),"*","~*"),"?","~?"),'DEF_SELF_SCOUT_IMPORT'!$H$42:$H$1040,"DROPBACK")/$C982)</f>
        <v>1.0</v>
      </c>
      <c r="I982" s="14" t="str">
        <f>IF(C982=0,"",IF(C982&lt;=2,"TRACK",IF(C982=3,"LOW",IF(C982&lt;=6,"MEDIUM","HIGH"))))</f>
        <v>TRACK</v>
      </c>
      <c r="J982" s="11">
        <f>IF(C982=0,"",ROUND(D982*70+(1-E982)*20+MAX(0,MIN(1,(10-F982)/10))*10,1))</f>
        <v>24.0</v>
      </c>
      <c r="K982" s="14" t="str">
        <f>IF(C982=0,"No Evidence",IF(C982&lt;=2,IF(E982&gt;0,"Explosive Alert","Track Only"),IF(C982=3,"Sample Watch",IF(E982&gt;=START_HERE!$B$31,"Explosive Alert",IF(J982&gt;=80,"Strong Candidate",IF(J982&gt;=65,"Good Candidate",IF(J982&gt;=50,"Mixed / Review","Problem Call")))))))</f>
        <v>Track Only</v>
      </c>
      <c r="L982" s="9" t="str">
        <f>IF(COUNTIFS('DEF_SELF_SCOUT_IMPORT'!$L$42:$L$1040,"Y",'DEF_SELF_SCOUT_IMPORT'!$E$42:$E$1040,SUBSTITUTE(SUBSTITUTE(SUBSTITUTE($B982,"~","~~"),"*","~*"),"?","~?"),'DEF_SELF_SCOUT_IMPORT'!$Q$42:$Q$1040,SUBSTITUTE(SUBSTITUTE(SUBSTITUTE($M982,"~","~~"),"*","~*"),"?","~?"),'DEF_SELF_SCOUT_IMPORT'!$D$42:$D$1040,SUBSTITUTE(SUBSTITUTE(SUBSTITUTE($P982,"~","~~"),"*","~*"),"?","~?"),'DEF_SELF_SCOUT_IMPORT'!$J$42:$J$1040,"")&gt;0,"Unscored clean outcome; review result tags before using score.",IF(C982=0,"No matching defensive reps; film confirmation needed.",IF(K982="Explosive Alert","Explosive risk; review clips before using as answer.",IF(C982&lt;=2,"Track only; not enough sample.",IF(C982=3,IF(E982&gt;0,"Sample watch with explosive exposure; review clips and build the sample.",IF(J982&gt;=65,"Good signal, but sample is limited.","Sample watch; review clips and build the sample.")),IF(K982="Problem Call","Problem area; practice or call-sheet review.",IF(K982="Strong Candidate","Strong call-fit candidate; confirm on film.",IF(K982="Good Candidate","Good call-fit signal; confirm on film.","Mixed signal; review fit and execution on film."))))))))</f>
        <v>Track only; not enough sample.</v>
      </c>
      <c r="M982" s="8" t="s">
        <v>103</v>
      </c>
      <c r="N982" s="8"/>
      <c r="O982" s="8"/>
      <c r="P982" s="8" t="s">
        <v>449</v>
      </c>
      <c r="Q982" s="8"/>
      <c r="R982" s="8" t="s">
        <v>429</v>
      </c>
      <c r="S982" s="2" t="s">
        <v>568</v>
      </c>
      <c r="T982" s="2">
        <f>IF(C982=0,0,IF(C982&gt;=CALL_LOOKUP_BOARD!$B$7,IF(OR(K982="Problem Call",K982="Explosive Alert"),10000000,20000000),0)+IF(C982&gt;=CALL_LOOKUP_BOARD!$B$7,J982*1000+MIN(C982,999),C982*1000+J982)+0.00982800)</f>
        <v>1024.009828</v>
      </c>
      <c r="U982" s="2">
        <f>IF(C982=0,"",IF(COUNTIFS($S$811:$S$1055,SUBSTITUTE(SUBSTITUTE(SUBSTITUTE(S982,"~","~~"),"*","~*"),"?","~?"),$T$811:$T$1055,"&gt;"&amp;T982)=0,S982,""))</f>
        <v/>
      </c>
    </row>
    <row r="983" spans="1:21" ht="38" customHeight="1">
      <c r="A983" s="8" t="s">
        <v>567</v>
      </c>
      <c r="B983" s="8" t="s">
        <v>42</v>
      </c>
      <c r="C983" s="12">
        <f>COUNTIFS('DEF_SELF_SCOUT_IMPORT'!$L$42:$L$1040,"Y",'DEF_SELF_SCOUT_IMPORT'!$E$42:$E$1040,SUBSTITUTE(SUBSTITUTE(SUBSTITUTE($B983,"~","~~"),"*","~*"),"?","~?"),'DEF_SELF_SCOUT_IMPORT'!$Q$42:$Q$1040,SUBSTITUTE(SUBSTITUTE(SUBSTITUTE($M983,"~","~~"),"*","~*"),"?","~?"),'DEF_SELF_SCOUT_IMPORT'!$D$42:$D$1040,SUBSTITUTE(SUBSTITUTE(SUBSTITUTE($P983,"~","~~"),"*","~*"),"?","~?"))</f>
        <v>2</v>
      </c>
      <c r="D983" s="10">
        <f>IF($C983=0,"",SUMIFS('DEF_SELF_SCOUT_IMPORT'!$J$42:$J$1040,'DEF_SELF_SCOUT_IMPORT'!$L$42:$L$1040,"Y",'DEF_SELF_SCOUT_IMPORT'!$E$42:$E$1040,SUBSTITUTE(SUBSTITUTE(SUBSTITUTE($B983,"~","~~"),"*","~*"),"?","~?"),'DEF_SELF_SCOUT_IMPORT'!$Q$42:$Q$1040,SUBSTITUTE(SUBSTITUTE(SUBSTITUTE($M983,"~","~~"),"*","~*"),"?","~?"),'DEF_SELF_SCOUT_IMPORT'!$D$42:$D$1040,SUBSTITUTE(SUBSTITUTE(SUBSTITUTE($P983,"~","~~"),"*","~*"),"?","~?"))/$C983)</f>
        <v>1.0</v>
      </c>
      <c r="E983" s="10">
        <f>IF($C983=0,"",SUMIFS('DEF_SELF_SCOUT_IMPORT'!$K$42:$K$1040,'DEF_SELF_SCOUT_IMPORT'!$L$42:$L$1040,"Y",'DEF_SELF_SCOUT_IMPORT'!$E$42:$E$1040,SUBSTITUTE(SUBSTITUTE(SUBSTITUTE($B983,"~","~~"),"*","~*"),"?","~?"),'DEF_SELF_SCOUT_IMPORT'!$Q$42:$Q$1040,SUBSTITUTE(SUBSTITUTE(SUBSTITUTE($M983,"~","~~"),"*","~*"),"?","~?"),'DEF_SELF_SCOUT_IMPORT'!$D$42:$D$1040,SUBSTITUTE(SUBSTITUTE(SUBSTITUTE($P983,"~","~~"),"*","~*"),"?","~?"))/$C983)</f>
        <v>0.0</v>
      </c>
      <c r="F983" s="11">
        <f>IF($C983=0,"",AVERAGEIFS('DEF_SELF_SCOUT_IMPORT'!$I$42:$I$1040,'DEF_SELF_SCOUT_IMPORT'!$L$42:$L$1040,"Y",'DEF_SELF_SCOUT_IMPORT'!$E$42:$E$1040,SUBSTITUTE(SUBSTITUTE(SUBSTITUTE($B983,"~","~~"),"*","~*"),"?","~?"),'DEF_SELF_SCOUT_IMPORT'!$Q$42:$Q$1040,SUBSTITUTE(SUBSTITUTE(SUBSTITUTE($M983,"~","~~"),"*","~*"),"?","~?"),'DEF_SELF_SCOUT_IMPORT'!$D$42:$D$1040,SUBSTITUTE(SUBSTITUTE(SUBSTITUTE($P983,"~","~~"),"*","~*"),"?","~?")))</f>
        <v>-2.0</v>
      </c>
      <c r="G983" s="10">
        <f>IF($C983=0,"",COUNTIFS('DEF_SELF_SCOUT_IMPORT'!$L$42:$L$1040,"Y",'DEF_SELF_SCOUT_IMPORT'!$E$42:$E$1040,SUBSTITUTE(SUBSTITUTE(SUBSTITUTE($B983,"~","~~"),"*","~*"),"?","~?"),'DEF_SELF_SCOUT_IMPORT'!$Q$42:$Q$1040,SUBSTITUTE(SUBSTITUTE(SUBSTITUTE($M983,"~","~~"),"*","~*"),"?","~?"),'DEF_SELF_SCOUT_IMPORT'!$D$42:$D$1040,SUBSTITUTE(SUBSTITUTE(SUBSTITUTE($P983,"~","~~"),"*","~*"),"?","~?"),'DEF_SELF_SCOUT_IMPORT'!$H$42:$H$1040,"RUSH")/$C983)</f>
        <v>0.0</v>
      </c>
      <c r="H983" s="10">
        <f>IF($C983=0,"",COUNTIFS('DEF_SELF_SCOUT_IMPORT'!$L$42:$L$1040,"Y",'DEF_SELF_SCOUT_IMPORT'!$E$42:$E$1040,SUBSTITUTE(SUBSTITUTE(SUBSTITUTE($B983,"~","~~"),"*","~*"),"?","~?"),'DEF_SELF_SCOUT_IMPORT'!$Q$42:$Q$1040,SUBSTITUTE(SUBSTITUTE(SUBSTITUTE($M983,"~","~~"),"*","~*"),"?","~?"),'DEF_SELF_SCOUT_IMPORT'!$D$42:$D$1040,SUBSTITUTE(SUBSTITUTE(SUBSTITUTE($P983,"~","~~"),"*","~*"),"?","~?"),'DEF_SELF_SCOUT_IMPORT'!$H$42:$H$1040,"DROPBACK")/$C983)</f>
        <v>1.0</v>
      </c>
      <c r="I983" s="14" t="str">
        <f>IF(C983=0,"",IF(C983&lt;=2,"TRACK",IF(C983=3,"LOW",IF(C983&lt;=6,"MEDIUM","HIGH"))))</f>
        <v>TRACK</v>
      </c>
      <c r="J983" s="11">
        <f>IF(C983=0,"",ROUND(D983*70+(1-E983)*20+MAX(0,MIN(1,(10-F983)/10))*10,1))</f>
        <v>100.0</v>
      </c>
      <c r="K983" s="14" t="str">
        <f>IF(C983=0,"No Evidence",IF(C983&lt;=2,IF(E983&gt;0,"Explosive Alert","Track Only"),IF(C983=3,"Sample Watch",IF(E983&gt;=START_HERE!$B$31,"Explosive Alert",IF(J983&gt;=80,"Strong Candidate",IF(J983&gt;=65,"Good Candidate",IF(J983&gt;=50,"Mixed / Review","Problem Call")))))))</f>
        <v>Track Only</v>
      </c>
      <c r="L983" s="9" t="str">
        <f>IF(COUNTIFS('DEF_SELF_SCOUT_IMPORT'!$L$42:$L$1040,"Y",'DEF_SELF_SCOUT_IMPORT'!$E$42:$E$1040,SUBSTITUTE(SUBSTITUTE(SUBSTITUTE($B983,"~","~~"),"*","~*"),"?","~?"),'DEF_SELF_SCOUT_IMPORT'!$Q$42:$Q$1040,SUBSTITUTE(SUBSTITUTE(SUBSTITUTE($M983,"~","~~"),"*","~*"),"?","~?"),'DEF_SELF_SCOUT_IMPORT'!$D$42:$D$1040,SUBSTITUTE(SUBSTITUTE(SUBSTITUTE($P983,"~","~~"),"*","~*"),"?","~?"),'DEF_SELF_SCOUT_IMPORT'!$J$42:$J$1040,"")&gt;0,"Unscored clean outcome; review result tags before using score.",IF(C983=0,"No matching defensive reps; film confirmation needed.",IF(K983="Explosive Alert","Explosive risk; review clips before using as answer.",IF(C983&lt;=2,"Track only; not enough sample.",IF(C983=3,IF(E983&gt;0,"Sample watch with explosive exposure; review clips and build the sample.",IF(J983&gt;=65,"Good signal, but sample is limited.","Sample watch; review clips and build the sample.")),IF(K983="Problem Call","Problem area; practice or call-sheet review.",IF(K983="Strong Candidate","Strong call-fit candidate; confirm on film.",IF(K983="Good Candidate","Good call-fit signal; confirm on film.","Mixed signal; review fit and execution on film."))))))))</f>
        <v>Track only; not enough sample.</v>
      </c>
      <c r="M983" s="8" t="s">
        <v>103</v>
      </c>
      <c r="N983" s="8"/>
      <c r="O983" s="8"/>
      <c r="P983" s="8" t="s">
        <v>449</v>
      </c>
      <c r="Q983" s="8"/>
      <c r="R983" s="8" t="s">
        <v>429</v>
      </c>
      <c r="S983" s="2" t="s">
        <v>568</v>
      </c>
      <c r="T983" s="2">
        <f>IF(C983=0,0,IF(C983&gt;=CALL_LOOKUP_BOARD!$B$7,IF(OR(K983="Problem Call",K983="Explosive Alert"),10000000,20000000),0)+IF(C983&gt;=CALL_LOOKUP_BOARD!$B$7,J983*1000+MIN(C983,999),C983*1000+J983)+0.00982700)</f>
        <v>2100.009827</v>
      </c>
      <c r="U983" s="2" t="str">
        <f>IF(C983=0,"",IF(COUNTIFS($S$811:$S$1055,SUBSTITUTE(SUBSTITUTE(SUBSTITUTE(S983,"~","~~"),"*","~*"),"?","~?"),$T$811:$T$1055,"&gt;"&amp;T983)=0,S983,""))</f>
        <v>6:3D 4-6|6:5 STEP|</v>
      </c>
    </row>
    <row r="984" spans="1:21" ht="38" customHeight="1">
      <c r="A984" s="8" t="s">
        <v>567</v>
      </c>
      <c r="B984" s="8" t="s">
        <v>77</v>
      </c>
      <c r="C984" s="12">
        <f>COUNTIFS('DEF_SELF_SCOUT_IMPORT'!$L$42:$L$1040,"Y",'DEF_SELF_SCOUT_IMPORT'!$E$42:$E$1040,SUBSTITUTE(SUBSTITUTE(SUBSTITUTE($B984,"~","~~"),"*","~*"),"?","~?"),'DEF_SELF_SCOUT_IMPORT'!$Q$42:$Q$1040,SUBSTITUTE(SUBSTITUTE(SUBSTITUTE($M984,"~","~~"),"*","~*"),"?","~?"),'DEF_SELF_SCOUT_IMPORT'!$D$42:$D$1040,SUBSTITUTE(SUBSTITUTE(SUBSTITUTE($P984,"~","~~"),"*","~*"),"?","~?"))</f>
        <v>1</v>
      </c>
      <c r="D984" s="10">
        <f>IF($C984=0,"",SUMIFS('DEF_SELF_SCOUT_IMPORT'!$J$42:$J$1040,'DEF_SELF_SCOUT_IMPORT'!$L$42:$L$1040,"Y",'DEF_SELF_SCOUT_IMPORT'!$E$42:$E$1040,SUBSTITUTE(SUBSTITUTE(SUBSTITUTE($B984,"~","~~"),"*","~*"),"?","~?"),'DEF_SELF_SCOUT_IMPORT'!$Q$42:$Q$1040,SUBSTITUTE(SUBSTITUTE(SUBSTITUTE($M984,"~","~~"),"*","~*"),"?","~?"),'DEF_SELF_SCOUT_IMPORT'!$D$42:$D$1040,SUBSTITUTE(SUBSTITUTE(SUBSTITUTE($P984,"~","~~"),"*","~*"),"?","~?"))/$C984)</f>
        <v>1.0</v>
      </c>
      <c r="E984" s="10">
        <f>IF($C984=0,"",SUMIFS('DEF_SELF_SCOUT_IMPORT'!$K$42:$K$1040,'DEF_SELF_SCOUT_IMPORT'!$L$42:$L$1040,"Y",'DEF_SELF_SCOUT_IMPORT'!$E$42:$E$1040,SUBSTITUTE(SUBSTITUTE(SUBSTITUTE($B984,"~","~~"),"*","~*"),"?","~?"),'DEF_SELF_SCOUT_IMPORT'!$Q$42:$Q$1040,SUBSTITUTE(SUBSTITUTE(SUBSTITUTE($M984,"~","~~"),"*","~*"),"?","~?"),'DEF_SELF_SCOUT_IMPORT'!$D$42:$D$1040,SUBSTITUTE(SUBSTITUTE(SUBSTITUTE($P984,"~","~~"),"*","~*"),"?","~?"))/$C984)</f>
        <v>0.0</v>
      </c>
      <c r="F984" s="11">
        <f>IF($C984=0,"",AVERAGEIFS('DEF_SELF_SCOUT_IMPORT'!$I$42:$I$1040,'DEF_SELF_SCOUT_IMPORT'!$L$42:$L$1040,"Y",'DEF_SELF_SCOUT_IMPORT'!$E$42:$E$1040,SUBSTITUTE(SUBSTITUTE(SUBSTITUTE($B984,"~","~~"),"*","~*"),"?","~?"),'DEF_SELF_SCOUT_IMPORT'!$Q$42:$Q$1040,SUBSTITUTE(SUBSTITUTE(SUBSTITUTE($M984,"~","~~"),"*","~*"),"?","~?"),'DEF_SELF_SCOUT_IMPORT'!$D$42:$D$1040,SUBSTITUTE(SUBSTITUTE(SUBSTITUTE($P984,"~","~~"),"*","~*"),"?","~?")))</f>
        <v>5.0</v>
      </c>
      <c r="G984" s="10">
        <f>IF($C984=0,"",COUNTIFS('DEF_SELF_SCOUT_IMPORT'!$L$42:$L$1040,"Y",'DEF_SELF_SCOUT_IMPORT'!$E$42:$E$1040,SUBSTITUTE(SUBSTITUTE(SUBSTITUTE($B984,"~","~~"),"*","~*"),"?","~?"),'DEF_SELF_SCOUT_IMPORT'!$Q$42:$Q$1040,SUBSTITUTE(SUBSTITUTE(SUBSTITUTE($M984,"~","~~"),"*","~*"),"?","~?"),'DEF_SELF_SCOUT_IMPORT'!$D$42:$D$1040,SUBSTITUTE(SUBSTITUTE(SUBSTITUTE($P984,"~","~~"),"*","~*"),"?","~?"),'DEF_SELF_SCOUT_IMPORT'!$H$42:$H$1040,"RUSH")/$C984)</f>
        <v>0.0</v>
      </c>
      <c r="H984" s="10">
        <f>IF($C984=0,"",COUNTIFS('DEF_SELF_SCOUT_IMPORT'!$L$42:$L$1040,"Y",'DEF_SELF_SCOUT_IMPORT'!$E$42:$E$1040,SUBSTITUTE(SUBSTITUTE(SUBSTITUTE($B984,"~","~~"),"*","~*"),"?","~?"),'DEF_SELF_SCOUT_IMPORT'!$Q$42:$Q$1040,SUBSTITUTE(SUBSTITUTE(SUBSTITUTE($M984,"~","~~"),"*","~*"),"?","~?"),'DEF_SELF_SCOUT_IMPORT'!$D$42:$D$1040,SUBSTITUTE(SUBSTITUTE(SUBSTITUTE($P984,"~","~~"),"*","~*"),"?","~?"),'DEF_SELF_SCOUT_IMPORT'!$H$42:$H$1040,"DROPBACK")/$C984)</f>
        <v>1.0</v>
      </c>
      <c r="I984" s="14" t="str">
        <f>IF(C984=0,"",IF(C984&lt;=2,"TRACK",IF(C984=3,"LOW",IF(C984&lt;=6,"MEDIUM","HIGH"))))</f>
        <v>TRACK</v>
      </c>
      <c r="J984" s="11">
        <f>IF(C984=0,"",ROUND(D984*70+(1-E984)*20+MAX(0,MIN(1,(10-F984)/10))*10,1))</f>
        <v>95.0</v>
      </c>
      <c r="K984" s="14" t="str">
        <f>IF(C984=0,"No Evidence",IF(C984&lt;=2,IF(E984&gt;0,"Explosive Alert","Track Only"),IF(C984=3,"Sample Watch",IF(E984&gt;=START_HERE!$B$31,"Explosive Alert",IF(J984&gt;=80,"Strong Candidate",IF(J984&gt;=65,"Good Candidate",IF(J984&gt;=50,"Mixed / Review","Problem Call")))))))</f>
        <v>Track Only</v>
      </c>
      <c r="L984" s="9" t="str">
        <f>IF(COUNTIFS('DEF_SELF_SCOUT_IMPORT'!$L$42:$L$1040,"Y",'DEF_SELF_SCOUT_IMPORT'!$E$42:$E$1040,SUBSTITUTE(SUBSTITUTE(SUBSTITUTE($B984,"~","~~"),"*","~*"),"?","~?"),'DEF_SELF_SCOUT_IMPORT'!$Q$42:$Q$1040,SUBSTITUTE(SUBSTITUTE(SUBSTITUTE($M984,"~","~~"),"*","~*"),"?","~?"),'DEF_SELF_SCOUT_IMPORT'!$D$42:$D$1040,SUBSTITUTE(SUBSTITUTE(SUBSTITUTE($P984,"~","~~"),"*","~*"),"?","~?"),'DEF_SELF_SCOUT_IMPORT'!$J$42:$J$1040,"")&gt;0,"Unscored clean outcome; review result tags before using score.",IF(C984=0,"No matching defensive reps; film confirmation needed.",IF(K984="Explosive Alert","Explosive risk; review clips before using as answer.",IF(C984&lt;=2,"Track only; not enough sample.",IF(C984=3,IF(E984&gt;0,"Sample watch with explosive exposure; review clips and build the sample.",IF(J984&gt;=65,"Good signal, but sample is limited.","Sample watch; review clips and build the sample.")),IF(K984="Problem Call","Problem area; practice or call-sheet review.",IF(K984="Strong Candidate","Strong call-fit candidate; confirm on film.",IF(K984="Good Candidate","Good call-fit signal; confirm on film.","Mixed signal; review fit and execution on film."))))))))</f>
        <v>Track only; not enough sample.</v>
      </c>
      <c r="M984" s="8" t="s">
        <v>103</v>
      </c>
      <c r="N984" s="8"/>
      <c r="O984" s="8"/>
      <c r="P984" s="8" t="s">
        <v>449</v>
      </c>
      <c r="Q984" s="8"/>
      <c r="R984" s="8" t="s">
        <v>429</v>
      </c>
      <c r="S984" s="2" t="s">
        <v>568</v>
      </c>
      <c r="T984" s="2">
        <f>IF(C984=0,0,IF(C984&gt;=CALL_LOOKUP_BOARD!$B$7,IF(OR(K984="Problem Call",K984="Explosive Alert"),10000000,20000000),0)+IF(C984&gt;=CALL_LOOKUP_BOARD!$B$7,J984*1000+MIN(C984,999),C984*1000+J984)+0.00982600)</f>
        <v>1095.009826</v>
      </c>
      <c r="U984" s="2">
        <f>IF(C984=0,"",IF(COUNTIFS($S$811:$S$1055,SUBSTITUTE(SUBSTITUTE(SUBSTITUTE(S984,"~","~~"),"*","~*"),"?","~?"),$T$811:$T$1055,"&gt;"&amp;T984)=0,S984,""))</f>
        <v/>
      </c>
    </row>
    <row r="985" spans="1:21" ht="38" customHeight="1">
      <c r="A985" s="8" t="s">
        <v>567</v>
      </c>
      <c r="B985" s="8" t="s">
        <v>48</v>
      </c>
      <c r="C985" s="12">
        <f>COUNTIFS('DEF_SELF_SCOUT_IMPORT'!$L$42:$L$1040,"Y",'DEF_SELF_SCOUT_IMPORT'!$E$42:$E$1040,SUBSTITUTE(SUBSTITUTE(SUBSTITUTE($B985,"~","~~"),"*","~*"),"?","~?"),'DEF_SELF_SCOUT_IMPORT'!$Q$42:$Q$1040,SUBSTITUTE(SUBSTITUTE(SUBSTITUTE($M985,"~","~~"),"*","~*"),"?","~?"),'DEF_SELF_SCOUT_IMPORT'!$D$42:$D$1040,SUBSTITUTE(SUBSTITUTE(SUBSTITUTE($P985,"~","~~"),"*","~*"),"?","~?"))</f>
        <v>2</v>
      </c>
      <c r="D985" s="10">
        <f>IF($C985=0,"",SUMIFS('DEF_SELF_SCOUT_IMPORT'!$J$42:$J$1040,'DEF_SELF_SCOUT_IMPORT'!$L$42:$L$1040,"Y",'DEF_SELF_SCOUT_IMPORT'!$E$42:$E$1040,SUBSTITUTE(SUBSTITUTE(SUBSTITUTE($B985,"~","~~"),"*","~*"),"?","~?"),'DEF_SELF_SCOUT_IMPORT'!$Q$42:$Q$1040,SUBSTITUTE(SUBSTITUTE(SUBSTITUTE($M985,"~","~~"),"*","~*"),"?","~?"),'DEF_SELF_SCOUT_IMPORT'!$D$42:$D$1040,SUBSTITUTE(SUBSTITUTE(SUBSTITUTE($P985,"~","~~"),"*","~*"),"?","~?"))/$C985)</f>
        <v>0.0</v>
      </c>
      <c r="E985" s="10">
        <f>IF($C985=0,"",SUMIFS('DEF_SELF_SCOUT_IMPORT'!$K$42:$K$1040,'DEF_SELF_SCOUT_IMPORT'!$L$42:$L$1040,"Y",'DEF_SELF_SCOUT_IMPORT'!$E$42:$E$1040,SUBSTITUTE(SUBSTITUTE(SUBSTITUTE($B985,"~","~~"),"*","~*"),"?","~?"),'DEF_SELF_SCOUT_IMPORT'!$Q$42:$Q$1040,SUBSTITUTE(SUBSTITUTE(SUBSTITUTE($M985,"~","~~"),"*","~*"),"?","~?"),'DEF_SELF_SCOUT_IMPORT'!$D$42:$D$1040,SUBSTITUTE(SUBSTITUTE(SUBSTITUTE($P985,"~","~~"),"*","~*"),"?","~?"))/$C985)</f>
        <v>0.0</v>
      </c>
      <c r="F985" s="11">
        <f>IF($C985=0,"",AVERAGEIFS('DEF_SELF_SCOUT_IMPORT'!$I$42:$I$1040,'DEF_SELF_SCOUT_IMPORT'!$L$42:$L$1040,"Y",'DEF_SELF_SCOUT_IMPORT'!$E$42:$E$1040,SUBSTITUTE(SUBSTITUTE(SUBSTITUTE($B985,"~","~~"),"*","~*"),"?","~?"),'DEF_SELF_SCOUT_IMPORT'!$Q$42:$Q$1040,SUBSTITUTE(SUBSTITUTE(SUBSTITUTE($M985,"~","~~"),"*","~*"),"?","~?"),'DEF_SELF_SCOUT_IMPORT'!$D$42:$D$1040,SUBSTITUTE(SUBSTITUTE(SUBSTITUTE($P985,"~","~~"),"*","~*"),"?","~?")))</f>
        <v>10.5</v>
      </c>
      <c r="G985" s="10">
        <f>IF($C985=0,"",COUNTIFS('DEF_SELF_SCOUT_IMPORT'!$L$42:$L$1040,"Y",'DEF_SELF_SCOUT_IMPORT'!$E$42:$E$1040,SUBSTITUTE(SUBSTITUTE(SUBSTITUTE($B985,"~","~~"),"*","~*"),"?","~?"),'DEF_SELF_SCOUT_IMPORT'!$Q$42:$Q$1040,SUBSTITUTE(SUBSTITUTE(SUBSTITUTE($M985,"~","~~"),"*","~*"),"?","~?"),'DEF_SELF_SCOUT_IMPORT'!$D$42:$D$1040,SUBSTITUTE(SUBSTITUTE(SUBSTITUTE($P985,"~","~~"),"*","~*"),"?","~?"),'DEF_SELF_SCOUT_IMPORT'!$H$42:$H$1040,"RUSH")/$C985)</f>
        <v>0.0</v>
      </c>
      <c r="H985" s="10">
        <f>IF($C985=0,"",COUNTIFS('DEF_SELF_SCOUT_IMPORT'!$L$42:$L$1040,"Y",'DEF_SELF_SCOUT_IMPORT'!$E$42:$E$1040,SUBSTITUTE(SUBSTITUTE(SUBSTITUTE($B985,"~","~~"),"*","~*"),"?","~?"),'DEF_SELF_SCOUT_IMPORT'!$Q$42:$Q$1040,SUBSTITUTE(SUBSTITUTE(SUBSTITUTE($M985,"~","~~"),"*","~*"),"?","~?"),'DEF_SELF_SCOUT_IMPORT'!$D$42:$D$1040,SUBSTITUTE(SUBSTITUTE(SUBSTITUTE($P985,"~","~~"),"*","~*"),"?","~?"),'DEF_SELF_SCOUT_IMPORT'!$H$42:$H$1040,"DROPBACK")/$C985)</f>
        <v>1.0</v>
      </c>
      <c r="I985" s="14" t="str">
        <f>IF(C985=0,"",IF(C985&lt;=2,"TRACK",IF(C985=3,"LOW",IF(C985&lt;=6,"MEDIUM","HIGH"))))</f>
        <v>TRACK</v>
      </c>
      <c r="J985" s="11">
        <f>IF(C985=0,"",ROUND(D985*70+(1-E985)*20+MAX(0,MIN(1,(10-F985)/10))*10,1))</f>
        <v>20.0</v>
      </c>
      <c r="K985" s="14" t="str">
        <f>IF(C985=0,"No Evidence",IF(C985&lt;=2,IF(E985&gt;0,"Explosive Alert","Track Only"),IF(C985=3,"Sample Watch",IF(E985&gt;=START_HERE!$B$31,"Explosive Alert",IF(J985&gt;=80,"Strong Candidate",IF(J985&gt;=65,"Good Candidate",IF(J985&gt;=50,"Mixed / Review","Problem Call")))))))</f>
        <v>Track Only</v>
      </c>
      <c r="L985" s="9" t="str">
        <f>IF(COUNTIFS('DEF_SELF_SCOUT_IMPORT'!$L$42:$L$1040,"Y",'DEF_SELF_SCOUT_IMPORT'!$E$42:$E$1040,SUBSTITUTE(SUBSTITUTE(SUBSTITUTE($B985,"~","~~"),"*","~*"),"?","~?"),'DEF_SELF_SCOUT_IMPORT'!$Q$42:$Q$1040,SUBSTITUTE(SUBSTITUTE(SUBSTITUTE($M985,"~","~~"),"*","~*"),"?","~?"),'DEF_SELF_SCOUT_IMPORT'!$D$42:$D$1040,SUBSTITUTE(SUBSTITUTE(SUBSTITUTE($P985,"~","~~"),"*","~*"),"?","~?"),'DEF_SELF_SCOUT_IMPORT'!$J$42:$J$1040,"")&gt;0,"Unscored clean outcome; review result tags before using score.",IF(C985=0,"No matching defensive reps; film confirmation needed.",IF(K985="Explosive Alert","Explosive risk; review clips before using as answer.",IF(C985&lt;=2,"Track only; not enough sample.",IF(C985=3,IF(E985&gt;0,"Sample watch with explosive exposure; review clips and build the sample.",IF(J985&gt;=65,"Good signal, but sample is limited.","Sample watch; review clips and build the sample.")),IF(K985="Problem Call","Problem area; practice or call-sheet review.",IF(K985="Strong Candidate","Strong call-fit candidate; confirm on film.",IF(K985="Good Candidate","Good call-fit signal; confirm on film.","Mixed signal; review fit and execution on film."))))))))</f>
        <v>Track only; not enough sample.</v>
      </c>
      <c r="M985" s="8" t="s">
        <v>103</v>
      </c>
      <c r="N985" s="8"/>
      <c r="O985" s="8"/>
      <c r="P985" s="8" t="s">
        <v>449</v>
      </c>
      <c r="Q985" s="8"/>
      <c r="R985" s="8" t="s">
        <v>429</v>
      </c>
      <c r="S985" s="2" t="s">
        <v>568</v>
      </c>
      <c r="T985" s="2">
        <f>IF(C985=0,0,IF(C985&gt;=CALL_LOOKUP_BOARD!$B$7,IF(OR(K985="Problem Call",K985="Explosive Alert"),10000000,20000000),0)+IF(C985&gt;=CALL_LOOKUP_BOARD!$B$7,J985*1000+MIN(C985,999),C985*1000+J985)+0.00982500)</f>
        <v>2020.009825</v>
      </c>
      <c r="U985" s="2">
        <f>IF(C985=0,"",IF(COUNTIFS($S$811:$S$1055,SUBSTITUTE(SUBSTITUTE(SUBSTITUTE(S985,"~","~~"),"*","~*"),"?","~?"),$T$811:$T$1055,"&gt;"&amp;T985)=0,S985,""))</f>
        <v/>
      </c>
    </row>
    <row r="986" spans="1:21" ht="38" customHeight="1">
      <c r="A986" s="8" t="s">
        <v>567</v>
      </c>
      <c r="B986" s="8" t="s">
        <v>100</v>
      </c>
      <c r="C986" s="12">
        <f>COUNTIFS('DEF_SELF_SCOUT_IMPORT'!$L$42:$L$1040,"Y",'DEF_SELF_SCOUT_IMPORT'!$E$42:$E$1040,SUBSTITUTE(SUBSTITUTE(SUBSTITUTE($B986,"~","~~"),"*","~*"),"?","~?"),'DEF_SELF_SCOUT_IMPORT'!$Q$42:$Q$1040,SUBSTITUTE(SUBSTITUTE(SUBSTITUTE($M986,"~","~~"),"*","~*"),"?","~?"),'DEF_SELF_SCOUT_IMPORT'!$D$42:$D$1040,SUBSTITUTE(SUBSTITUTE(SUBSTITUTE($P986,"~","~~"),"*","~*"),"?","~?"))</f>
        <v>1</v>
      </c>
      <c r="D986" s="10">
        <f>IF($C986=0,"",SUMIFS('DEF_SELF_SCOUT_IMPORT'!$J$42:$J$1040,'DEF_SELF_SCOUT_IMPORT'!$L$42:$L$1040,"Y",'DEF_SELF_SCOUT_IMPORT'!$E$42:$E$1040,SUBSTITUTE(SUBSTITUTE(SUBSTITUTE($B986,"~","~~"),"*","~*"),"?","~?"),'DEF_SELF_SCOUT_IMPORT'!$Q$42:$Q$1040,SUBSTITUTE(SUBSTITUTE(SUBSTITUTE($M986,"~","~~"),"*","~*"),"?","~?"),'DEF_SELF_SCOUT_IMPORT'!$D$42:$D$1040,SUBSTITUTE(SUBSTITUTE(SUBSTITUTE($P986,"~","~~"),"*","~*"),"?","~?"))/$C986)</f>
        <v>1.0</v>
      </c>
      <c r="E986" s="10">
        <f>IF($C986=0,"",SUMIFS('DEF_SELF_SCOUT_IMPORT'!$K$42:$K$1040,'DEF_SELF_SCOUT_IMPORT'!$L$42:$L$1040,"Y",'DEF_SELF_SCOUT_IMPORT'!$E$42:$E$1040,SUBSTITUTE(SUBSTITUTE(SUBSTITUTE($B986,"~","~~"),"*","~*"),"?","~?"),'DEF_SELF_SCOUT_IMPORT'!$Q$42:$Q$1040,SUBSTITUTE(SUBSTITUTE(SUBSTITUTE($M986,"~","~~"),"*","~*"),"?","~?"),'DEF_SELF_SCOUT_IMPORT'!$D$42:$D$1040,SUBSTITUTE(SUBSTITUTE(SUBSTITUTE($P986,"~","~~"),"*","~*"),"?","~?"))/$C986)</f>
        <v>0.0</v>
      </c>
      <c r="F986" s="11">
        <f>IF($C986=0,"",AVERAGEIFS('DEF_SELF_SCOUT_IMPORT'!$I$42:$I$1040,'DEF_SELF_SCOUT_IMPORT'!$L$42:$L$1040,"Y",'DEF_SELF_SCOUT_IMPORT'!$E$42:$E$1040,SUBSTITUTE(SUBSTITUTE(SUBSTITUTE($B986,"~","~~"),"*","~*"),"?","~?"),'DEF_SELF_SCOUT_IMPORT'!$Q$42:$Q$1040,SUBSTITUTE(SUBSTITUTE(SUBSTITUTE($M986,"~","~~"),"*","~*"),"?","~?"),'DEF_SELF_SCOUT_IMPORT'!$D$42:$D$1040,SUBSTITUTE(SUBSTITUTE(SUBSTITUTE($P986,"~","~~"),"*","~*"),"?","~?")))</f>
        <v>4.0</v>
      </c>
      <c r="G986" s="10">
        <f>IF($C986=0,"",COUNTIFS('DEF_SELF_SCOUT_IMPORT'!$L$42:$L$1040,"Y",'DEF_SELF_SCOUT_IMPORT'!$E$42:$E$1040,SUBSTITUTE(SUBSTITUTE(SUBSTITUTE($B986,"~","~~"),"*","~*"),"?","~?"),'DEF_SELF_SCOUT_IMPORT'!$Q$42:$Q$1040,SUBSTITUTE(SUBSTITUTE(SUBSTITUTE($M986,"~","~~"),"*","~*"),"?","~?"),'DEF_SELF_SCOUT_IMPORT'!$D$42:$D$1040,SUBSTITUTE(SUBSTITUTE(SUBSTITUTE($P986,"~","~~"),"*","~*"),"?","~?"),'DEF_SELF_SCOUT_IMPORT'!$H$42:$H$1040,"RUSH")/$C986)</f>
        <v>0.0</v>
      </c>
      <c r="H986" s="10">
        <f>IF($C986=0,"",COUNTIFS('DEF_SELF_SCOUT_IMPORT'!$L$42:$L$1040,"Y",'DEF_SELF_SCOUT_IMPORT'!$E$42:$E$1040,SUBSTITUTE(SUBSTITUTE(SUBSTITUTE($B986,"~","~~"),"*","~*"),"?","~?"),'DEF_SELF_SCOUT_IMPORT'!$Q$42:$Q$1040,SUBSTITUTE(SUBSTITUTE(SUBSTITUTE($M986,"~","~~"),"*","~*"),"?","~?"),'DEF_SELF_SCOUT_IMPORT'!$D$42:$D$1040,SUBSTITUTE(SUBSTITUTE(SUBSTITUTE($P986,"~","~~"),"*","~*"),"?","~?"),'DEF_SELF_SCOUT_IMPORT'!$H$42:$H$1040,"DROPBACK")/$C986)</f>
        <v>1.0</v>
      </c>
      <c r="I986" s="14" t="str">
        <f>IF(C986=0,"",IF(C986&lt;=2,"TRACK",IF(C986=3,"LOW",IF(C986&lt;=6,"MEDIUM","HIGH"))))</f>
        <v>TRACK</v>
      </c>
      <c r="J986" s="11">
        <f>IF(C986=0,"",ROUND(D986*70+(1-E986)*20+MAX(0,MIN(1,(10-F986)/10))*10,1))</f>
        <v>96.0</v>
      </c>
      <c r="K986" s="14" t="str">
        <f>IF(C986=0,"No Evidence",IF(C986&lt;=2,IF(E986&gt;0,"Explosive Alert","Track Only"),IF(C986=3,"Sample Watch",IF(E986&gt;=START_HERE!$B$31,"Explosive Alert",IF(J986&gt;=80,"Strong Candidate",IF(J986&gt;=65,"Good Candidate",IF(J986&gt;=50,"Mixed / Review","Problem Call")))))))</f>
        <v>Track Only</v>
      </c>
      <c r="L986" s="9" t="str">
        <f>IF(COUNTIFS('DEF_SELF_SCOUT_IMPORT'!$L$42:$L$1040,"Y",'DEF_SELF_SCOUT_IMPORT'!$E$42:$E$1040,SUBSTITUTE(SUBSTITUTE(SUBSTITUTE($B986,"~","~~"),"*","~*"),"?","~?"),'DEF_SELF_SCOUT_IMPORT'!$Q$42:$Q$1040,SUBSTITUTE(SUBSTITUTE(SUBSTITUTE($M986,"~","~~"),"*","~*"),"?","~?"),'DEF_SELF_SCOUT_IMPORT'!$D$42:$D$1040,SUBSTITUTE(SUBSTITUTE(SUBSTITUTE($P986,"~","~~"),"*","~*"),"?","~?"),'DEF_SELF_SCOUT_IMPORT'!$J$42:$J$1040,"")&gt;0,"Unscored clean outcome; review result tags before using score.",IF(C986=0,"No matching defensive reps; film confirmation needed.",IF(K986="Explosive Alert","Explosive risk; review clips before using as answer.",IF(C986&lt;=2,"Track only; not enough sample.",IF(C986=3,IF(E986&gt;0,"Sample watch with explosive exposure; review clips and build the sample.",IF(J986&gt;=65,"Good signal, but sample is limited.","Sample watch; review clips and build the sample.")),IF(K986="Problem Call","Problem area; practice or call-sheet review.",IF(K986="Strong Candidate","Strong call-fit candidate; confirm on film.",IF(K986="Good Candidate","Good call-fit signal; confirm on film.","Mixed signal; review fit and execution on film."))))))))</f>
        <v>Track only; not enough sample.</v>
      </c>
      <c r="M986" s="8" t="s">
        <v>103</v>
      </c>
      <c r="N986" s="8"/>
      <c r="O986" s="8"/>
      <c r="P986" s="8" t="s">
        <v>449</v>
      </c>
      <c r="Q986" s="8"/>
      <c r="R986" s="8" t="s">
        <v>429</v>
      </c>
      <c r="S986" s="2" t="s">
        <v>568</v>
      </c>
      <c r="T986" s="2">
        <f>IF(C986=0,0,IF(C986&gt;=CALL_LOOKUP_BOARD!$B$7,IF(OR(K986="Problem Call",K986="Explosive Alert"),10000000,20000000),0)+IF(C986&gt;=CALL_LOOKUP_BOARD!$B$7,J986*1000+MIN(C986,999),C986*1000+J986)+0.00982400)</f>
        <v>1096.009824</v>
      </c>
      <c r="U986" s="2">
        <f>IF(C986=0,"",IF(COUNTIFS($S$811:$S$1055,SUBSTITUTE(SUBSTITUTE(SUBSTITUTE(S986,"~","~~"),"*","~*"),"?","~?"),$T$811:$T$1055,"&gt;"&amp;T986)=0,S986,""))</f>
        <v/>
      </c>
    </row>
    <row r="987" spans="1:21" ht="38" customHeight="1">
      <c r="A987" s="8" t="s">
        <v>567</v>
      </c>
      <c r="B987" s="8" t="s">
        <v>105</v>
      </c>
      <c r="C987" s="12">
        <f>COUNTIFS('DEF_SELF_SCOUT_IMPORT'!$L$42:$L$1040,"Y",'DEF_SELF_SCOUT_IMPORT'!$E$42:$E$1040,SUBSTITUTE(SUBSTITUTE(SUBSTITUTE($B987,"~","~~"),"*","~*"),"?","~?"),'DEF_SELF_SCOUT_IMPORT'!$Q$42:$Q$1040,SUBSTITUTE(SUBSTITUTE(SUBSTITUTE($M987,"~","~~"),"*","~*"),"?","~?"),'DEF_SELF_SCOUT_IMPORT'!$D$42:$D$1040,SUBSTITUTE(SUBSTITUTE(SUBSTITUTE($P987,"~","~~"),"*","~*"),"?","~?"))</f>
        <v>1</v>
      </c>
      <c r="D987" s="10">
        <f>IF($C987=0,"",SUMIFS('DEF_SELF_SCOUT_IMPORT'!$J$42:$J$1040,'DEF_SELF_SCOUT_IMPORT'!$L$42:$L$1040,"Y",'DEF_SELF_SCOUT_IMPORT'!$E$42:$E$1040,SUBSTITUTE(SUBSTITUTE(SUBSTITUTE($B987,"~","~~"),"*","~*"),"?","~?"),'DEF_SELF_SCOUT_IMPORT'!$Q$42:$Q$1040,SUBSTITUTE(SUBSTITUTE(SUBSTITUTE($M987,"~","~~"),"*","~*"),"?","~?"),'DEF_SELF_SCOUT_IMPORT'!$D$42:$D$1040,SUBSTITUTE(SUBSTITUTE(SUBSTITUTE($P987,"~","~~"),"*","~*"),"?","~?"))/$C987)</f>
        <v>1.0</v>
      </c>
      <c r="E987" s="10">
        <f>IF($C987=0,"",SUMIFS('DEF_SELF_SCOUT_IMPORT'!$K$42:$K$1040,'DEF_SELF_SCOUT_IMPORT'!$L$42:$L$1040,"Y",'DEF_SELF_SCOUT_IMPORT'!$E$42:$E$1040,SUBSTITUTE(SUBSTITUTE(SUBSTITUTE($B987,"~","~~"),"*","~*"),"?","~?"),'DEF_SELF_SCOUT_IMPORT'!$Q$42:$Q$1040,SUBSTITUTE(SUBSTITUTE(SUBSTITUTE($M987,"~","~~"),"*","~*"),"?","~?"),'DEF_SELF_SCOUT_IMPORT'!$D$42:$D$1040,SUBSTITUTE(SUBSTITUTE(SUBSTITUTE($P987,"~","~~"),"*","~*"),"?","~?"))/$C987)</f>
        <v>0.0</v>
      </c>
      <c r="F987" s="11">
        <f>IF($C987=0,"",AVERAGEIFS('DEF_SELF_SCOUT_IMPORT'!$I$42:$I$1040,'DEF_SELF_SCOUT_IMPORT'!$L$42:$L$1040,"Y",'DEF_SELF_SCOUT_IMPORT'!$E$42:$E$1040,SUBSTITUTE(SUBSTITUTE(SUBSTITUTE($B987,"~","~~"),"*","~*"),"?","~?"),'DEF_SELF_SCOUT_IMPORT'!$Q$42:$Q$1040,SUBSTITUTE(SUBSTITUTE(SUBSTITUTE($M987,"~","~~"),"*","~*"),"?","~?"),'DEF_SELF_SCOUT_IMPORT'!$D$42:$D$1040,SUBSTITUTE(SUBSTITUTE(SUBSTITUTE($P987,"~","~~"),"*","~*"),"?","~?")))</f>
        <v>0.0</v>
      </c>
      <c r="G987" s="10">
        <f>IF($C987=0,"",COUNTIFS('DEF_SELF_SCOUT_IMPORT'!$L$42:$L$1040,"Y",'DEF_SELF_SCOUT_IMPORT'!$E$42:$E$1040,SUBSTITUTE(SUBSTITUTE(SUBSTITUTE($B987,"~","~~"),"*","~*"),"?","~?"),'DEF_SELF_SCOUT_IMPORT'!$Q$42:$Q$1040,SUBSTITUTE(SUBSTITUTE(SUBSTITUTE($M987,"~","~~"),"*","~*"),"?","~?"),'DEF_SELF_SCOUT_IMPORT'!$D$42:$D$1040,SUBSTITUTE(SUBSTITUTE(SUBSTITUTE($P987,"~","~~"),"*","~*"),"?","~?"),'DEF_SELF_SCOUT_IMPORT'!$H$42:$H$1040,"RUSH")/$C987)</f>
        <v>0.0</v>
      </c>
      <c r="H987" s="10">
        <f>IF($C987=0,"",COUNTIFS('DEF_SELF_SCOUT_IMPORT'!$L$42:$L$1040,"Y",'DEF_SELF_SCOUT_IMPORT'!$E$42:$E$1040,SUBSTITUTE(SUBSTITUTE(SUBSTITUTE($B987,"~","~~"),"*","~*"),"?","~?"),'DEF_SELF_SCOUT_IMPORT'!$Q$42:$Q$1040,SUBSTITUTE(SUBSTITUTE(SUBSTITUTE($M987,"~","~~"),"*","~*"),"?","~?"),'DEF_SELF_SCOUT_IMPORT'!$D$42:$D$1040,SUBSTITUTE(SUBSTITUTE(SUBSTITUTE($P987,"~","~~"),"*","~*"),"?","~?"),'DEF_SELF_SCOUT_IMPORT'!$H$42:$H$1040,"DROPBACK")/$C987)</f>
        <v>1.0</v>
      </c>
      <c r="I987" s="14" t="str">
        <f>IF(C987=0,"",IF(C987&lt;=2,"TRACK",IF(C987=3,"LOW",IF(C987&lt;=6,"MEDIUM","HIGH"))))</f>
        <v>TRACK</v>
      </c>
      <c r="J987" s="11">
        <f>IF(C987=0,"",ROUND(D987*70+(1-E987)*20+MAX(0,MIN(1,(10-F987)/10))*10,1))</f>
        <v>100.0</v>
      </c>
      <c r="K987" s="14" t="str">
        <f>IF(C987=0,"No Evidence",IF(C987&lt;=2,IF(E987&gt;0,"Explosive Alert","Track Only"),IF(C987=3,"Sample Watch",IF(E987&gt;=START_HERE!$B$31,"Explosive Alert",IF(J987&gt;=80,"Strong Candidate",IF(J987&gt;=65,"Good Candidate",IF(J987&gt;=50,"Mixed / Review","Problem Call")))))))</f>
        <v>Track Only</v>
      </c>
      <c r="L987" s="9" t="str">
        <f>IF(COUNTIFS('DEF_SELF_SCOUT_IMPORT'!$L$42:$L$1040,"Y",'DEF_SELF_SCOUT_IMPORT'!$E$42:$E$1040,SUBSTITUTE(SUBSTITUTE(SUBSTITUTE($B987,"~","~~"),"*","~*"),"?","~?"),'DEF_SELF_SCOUT_IMPORT'!$Q$42:$Q$1040,SUBSTITUTE(SUBSTITUTE(SUBSTITUTE($M987,"~","~~"),"*","~*"),"?","~?"),'DEF_SELF_SCOUT_IMPORT'!$D$42:$D$1040,SUBSTITUTE(SUBSTITUTE(SUBSTITUTE($P987,"~","~~"),"*","~*"),"?","~?"),'DEF_SELF_SCOUT_IMPORT'!$J$42:$J$1040,"")&gt;0,"Unscored clean outcome; review result tags before using score.",IF(C987=0,"No matching defensive reps; film confirmation needed.",IF(K987="Explosive Alert","Explosive risk; review clips before using as answer.",IF(C987&lt;=2,"Track only; not enough sample.",IF(C987=3,IF(E987&gt;0,"Sample watch with explosive exposure; review clips and build the sample.",IF(J987&gt;=65,"Good signal, but sample is limited.","Sample watch; review clips and build the sample.")),IF(K987="Problem Call","Problem area; practice or call-sheet review.",IF(K987="Strong Candidate","Strong call-fit candidate; confirm on film.",IF(K987="Good Candidate","Good call-fit signal; confirm on film.","Mixed signal; review fit and execution on film."))))))))</f>
        <v>Track only; not enough sample.</v>
      </c>
      <c r="M987" s="8" t="s">
        <v>103</v>
      </c>
      <c r="N987" s="8"/>
      <c r="O987" s="8"/>
      <c r="P987" s="8" t="s">
        <v>449</v>
      </c>
      <c r="Q987" s="8"/>
      <c r="R987" s="8" t="s">
        <v>429</v>
      </c>
      <c r="S987" s="2" t="s">
        <v>568</v>
      </c>
      <c r="T987" s="2">
        <f>IF(C987=0,0,IF(C987&gt;=CALL_LOOKUP_BOARD!$B$7,IF(OR(K987="Problem Call",K987="Explosive Alert"),10000000,20000000),0)+IF(C987&gt;=CALL_LOOKUP_BOARD!$B$7,J987*1000+MIN(C987,999),C987*1000+J987)+0.00982300)</f>
        <v>1100.009823</v>
      </c>
      <c r="U987" s="2">
        <f>IF(C987=0,"",IF(COUNTIFS($S$811:$S$1055,SUBSTITUTE(SUBSTITUTE(SUBSTITUTE(S987,"~","~~"),"*","~*"),"?","~?"),$T$811:$T$1055,"&gt;"&amp;T987)=0,S987,""))</f>
        <v/>
      </c>
    </row>
    <row r="988" spans="1:21" ht="38" customHeight="1">
      <c r="A988" s="8" t="s">
        <v>567</v>
      </c>
      <c r="B988" s="8" t="s">
        <v>95</v>
      </c>
      <c r="C988" s="12">
        <f>COUNTIFS('DEF_SELF_SCOUT_IMPORT'!$L$42:$L$1040,"Y",'DEF_SELF_SCOUT_IMPORT'!$E$42:$E$1040,SUBSTITUTE(SUBSTITUTE(SUBSTITUTE($B988,"~","~~"),"*","~*"),"?","~?"),'DEF_SELF_SCOUT_IMPORT'!$Q$42:$Q$1040,SUBSTITUTE(SUBSTITUTE(SUBSTITUTE($M988,"~","~~"),"*","~*"),"?","~?"),'DEF_SELF_SCOUT_IMPORT'!$D$42:$D$1040,SUBSTITUTE(SUBSTITUTE(SUBSTITUTE($P988,"~","~~"),"*","~*"),"?","~?"))</f>
        <v>1</v>
      </c>
      <c r="D988" s="10">
        <f>IF($C988=0,"",SUMIFS('DEF_SELF_SCOUT_IMPORT'!$J$42:$J$1040,'DEF_SELF_SCOUT_IMPORT'!$L$42:$L$1040,"Y",'DEF_SELF_SCOUT_IMPORT'!$E$42:$E$1040,SUBSTITUTE(SUBSTITUTE(SUBSTITUTE($B988,"~","~~"),"*","~*"),"?","~?"),'DEF_SELF_SCOUT_IMPORT'!$Q$42:$Q$1040,SUBSTITUTE(SUBSTITUTE(SUBSTITUTE($M988,"~","~~"),"*","~*"),"?","~?"),'DEF_SELF_SCOUT_IMPORT'!$D$42:$D$1040,SUBSTITUTE(SUBSTITUTE(SUBSTITUTE($P988,"~","~~"),"*","~*"),"?","~?"))/$C988)</f>
        <v>0.0</v>
      </c>
      <c r="E988" s="10">
        <f>IF($C988=0,"",SUMIFS('DEF_SELF_SCOUT_IMPORT'!$K$42:$K$1040,'DEF_SELF_SCOUT_IMPORT'!$L$42:$L$1040,"Y",'DEF_SELF_SCOUT_IMPORT'!$E$42:$E$1040,SUBSTITUTE(SUBSTITUTE(SUBSTITUTE($B988,"~","~~"),"*","~*"),"?","~?"),'DEF_SELF_SCOUT_IMPORT'!$Q$42:$Q$1040,SUBSTITUTE(SUBSTITUTE(SUBSTITUTE($M988,"~","~~"),"*","~*"),"?","~?"),'DEF_SELF_SCOUT_IMPORT'!$D$42:$D$1040,SUBSTITUTE(SUBSTITUTE(SUBSTITUTE($P988,"~","~~"),"*","~*"),"?","~?"))/$C988)</f>
        <v>0.0</v>
      </c>
      <c r="F988" s="11">
        <f>IF($C988=0,"",AVERAGEIFS('DEF_SELF_SCOUT_IMPORT'!$I$42:$I$1040,'DEF_SELF_SCOUT_IMPORT'!$L$42:$L$1040,"Y",'DEF_SELF_SCOUT_IMPORT'!$E$42:$E$1040,SUBSTITUTE(SUBSTITUTE(SUBSTITUTE($B988,"~","~~"),"*","~*"),"?","~?"),'DEF_SELF_SCOUT_IMPORT'!$Q$42:$Q$1040,SUBSTITUTE(SUBSTITUTE(SUBSTITUTE($M988,"~","~~"),"*","~*"),"?","~?"),'DEF_SELF_SCOUT_IMPORT'!$D$42:$D$1040,SUBSTITUTE(SUBSTITUTE(SUBSTITUTE($P988,"~","~~"),"*","~*"),"?","~?")))</f>
        <v>10.0</v>
      </c>
      <c r="G988" s="10">
        <f>IF($C988=0,"",COUNTIFS('DEF_SELF_SCOUT_IMPORT'!$L$42:$L$1040,"Y",'DEF_SELF_SCOUT_IMPORT'!$E$42:$E$1040,SUBSTITUTE(SUBSTITUTE(SUBSTITUTE($B988,"~","~~"),"*","~*"),"?","~?"),'DEF_SELF_SCOUT_IMPORT'!$Q$42:$Q$1040,SUBSTITUTE(SUBSTITUTE(SUBSTITUTE($M988,"~","~~"),"*","~*"),"?","~?"),'DEF_SELF_SCOUT_IMPORT'!$D$42:$D$1040,SUBSTITUTE(SUBSTITUTE(SUBSTITUTE($P988,"~","~~"),"*","~*"),"?","~?"),'DEF_SELF_SCOUT_IMPORT'!$H$42:$H$1040,"RUSH")/$C988)</f>
        <v>0.0</v>
      </c>
      <c r="H988" s="10">
        <f>IF($C988=0,"",COUNTIFS('DEF_SELF_SCOUT_IMPORT'!$L$42:$L$1040,"Y",'DEF_SELF_SCOUT_IMPORT'!$E$42:$E$1040,SUBSTITUTE(SUBSTITUTE(SUBSTITUTE($B988,"~","~~"),"*","~*"),"?","~?"),'DEF_SELF_SCOUT_IMPORT'!$Q$42:$Q$1040,SUBSTITUTE(SUBSTITUTE(SUBSTITUTE($M988,"~","~~"),"*","~*"),"?","~?"),'DEF_SELF_SCOUT_IMPORT'!$D$42:$D$1040,SUBSTITUTE(SUBSTITUTE(SUBSTITUTE($P988,"~","~~"),"*","~*"),"?","~?"),'DEF_SELF_SCOUT_IMPORT'!$H$42:$H$1040,"DROPBACK")/$C988)</f>
        <v>1.0</v>
      </c>
      <c r="I988" s="14" t="str">
        <f>IF(C988=0,"",IF(C988&lt;=2,"TRACK",IF(C988=3,"LOW",IF(C988&lt;=6,"MEDIUM","HIGH"))))</f>
        <v>TRACK</v>
      </c>
      <c r="J988" s="11">
        <f>IF(C988=0,"",ROUND(D988*70+(1-E988)*20+MAX(0,MIN(1,(10-F988)/10))*10,1))</f>
        <v>20.0</v>
      </c>
      <c r="K988" s="14" t="str">
        <f>IF(C988=0,"No Evidence",IF(C988&lt;=2,IF(E988&gt;0,"Explosive Alert","Track Only"),IF(C988=3,"Sample Watch",IF(E988&gt;=START_HERE!$B$31,"Explosive Alert",IF(J988&gt;=80,"Strong Candidate",IF(J988&gt;=65,"Good Candidate",IF(J988&gt;=50,"Mixed / Review","Problem Call")))))))</f>
        <v>Track Only</v>
      </c>
      <c r="L988" s="9" t="str">
        <f>IF(COUNTIFS('DEF_SELF_SCOUT_IMPORT'!$L$42:$L$1040,"Y",'DEF_SELF_SCOUT_IMPORT'!$E$42:$E$1040,SUBSTITUTE(SUBSTITUTE(SUBSTITUTE($B988,"~","~~"),"*","~*"),"?","~?"),'DEF_SELF_SCOUT_IMPORT'!$Q$42:$Q$1040,SUBSTITUTE(SUBSTITUTE(SUBSTITUTE($M988,"~","~~"),"*","~*"),"?","~?"),'DEF_SELF_SCOUT_IMPORT'!$D$42:$D$1040,SUBSTITUTE(SUBSTITUTE(SUBSTITUTE($P988,"~","~~"),"*","~*"),"?","~?"),'DEF_SELF_SCOUT_IMPORT'!$J$42:$J$1040,"")&gt;0,"Unscored clean outcome; review result tags before using score.",IF(C988=0,"No matching defensive reps; film confirmation needed.",IF(K988="Explosive Alert","Explosive risk; review clips before using as answer.",IF(C988&lt;=2,"Track only; not enough sample.",IF(C988=3,IF(E988&gt;0,"Sample watch with explosive exposure; review clips and build the sample.",IF(J988&gt;=65,"Good signal, but sample is limited.","Sample watch; review clips and build the sample.")),IF(K988="Problem Call","Problem area; practice or call-sheet review.",IF(K988="Strong Candidate","Strong call-fit candidate; confirm on film.",IF(K988="Good Candidate","Good call-fit signal; confirm on film.","Mixed signal; review fit and execution on film."))))))))</f>
        <v>Track only; not enough sample.</v>
      </c>
      <c r="M988" s="8" t="s">
        <v>103</v>
      </c>
      <c r="N988" s="8"/>
      <c r="O988" s="8"/>
      <c r="P988" s="8" t="s">
        <v>449</v>
      </c>
      <c r="Q988" s="8"/>
      <c r="R988" s="8" t="s">
        <v>429</v>
      </c>
      <c r="S988" s="2" t="s">
        <v>568</v>
      </c>
      <c r="T988" s="2">
        <f>IF(C988=0,0,IF(C988&gt;=CALL_LOOKUP_BOARD!$B$7,IF(OR(K988="Problem Call",K988="Explosive Alert"),10000000,20000000),0)+IF(C988&gt;=CALL_LOOKUP_BOARD!$B$7,J988*1000+MIN(C988,999),C988*1000+J988)+0.00982200)</f>
        <v>1020.009822</v>
      </c>
      <c r="U988" s="2">
        <f>IF(C988=0,"",IF(COUNTIFS($S$811:$S$1055,SUBSTITUTE(SUBSTITUTE(SUBSTITUTE(S988,"~","~~"),"*","~*"),"?","~?"),$T$811:$T$1055,"&gt;"&amp;T988)=0,S988,""))</f>
        <v/>
      </c>
    </row>
    <row r="989" spans="1:21" ht="38" customHeight="1">
      <c r="A989" s="8" t="s">
        <v>567</v>
      </c>
      <c r="B989" s="8" t="s">
        <v>61</v>
      </c>
      <c r="C989" s="12">
        <f>COUNTIFS('DEF_SELF_SCOUT_IMPORT'!$L$42:$L$1040,"Y",'DEF_SELF_SCOUT_IMPORT'!$E$42:$E$1040,SUBSTITUTE(SUBSTITUTE(SUBSTITUTE($B989,"~","~~"),"*","~*"),"?","~?"),'DEF_SELF_SCOUT_IMPORT'!$Q$42:$Q$1040,SUBSTITUTE(SUBSTITUTE(SUBSTITUTE($M989,"~","~~"),"*","~*"),"?","~?"),'DEF_SELF_SCOUT_IMPORT'!$D$42:$D$1040,SUBSTITUTE(SUBSTITUTE(SUBSTITUTE($P989,"~","~~"),"*","~*"),"?","~?"))</f>
        <v>1</v>
      </c>
      <c r="D989" s="10">
        <f>IF($C989=0,"",SUMIFS('DEF_SELF_SCOUT_IMPORT'!$J$42:$J$1040,'DEF_SELF_SCOUT_IMPORT'!$L$42:$L$1040,"Y",'DEF_SELF_SCOUT_IMPORT'!$E$42:$E$1040,SUBSTITUTE(SUBSTITUTE(SUBSTITUTE($B989,"~","~~"),"*","~*"),"?","~?"),'DEF_SELF_SCOUT_IMPORT'!$Q$42:$Q$1040,SUBSTITUTE(SUBSTITUTE(SUBSTITUTE($M989,"~","~~"),"*","~*"),"?","~?"),'DEF_SELF_SCOUT_IMPORT'!$D$42:$D$1040,SUBSTITUTE(SUBSTITUTE(SUBSTITUTE($P989,"~","~~"),"*","~*"),"?","~?"))/$C989)</f>
        <v>0.0</v>
      </c>
      <c r="E989" s="10">
        <f>IF($C989=0,"",SUMIFS('DEF_SELF_SCOUT_IMPORT'!$K$42:$K$1040,'DEF_SELF_SCOUT_IMPORT'!$L$42:$L$1040,"Y",'DEF_SELF_SCOUT_IMPORT'!$E$42:$E$1040,SUBSTITUTE(SUBSTITUTE(SUBSTITUTE($B989,"~","~~"),"*","~*"),"?","~?"),'DEF_SELF_SCOUT_IMPORT'!$Q$42:$Q$1040,SUBSTITUTE(SUBSTITUTE(SUBSTITUTE($M989,"~","~~"),"*","~*"),"?","~?"),'DEF_SELF_SCOUT_IMPORT'!$D$42:$D$1040,SUBSTITUTE(SUBSTITUTE(SUBSTITUTE($P989,"~","~~"),"*","~*"),"?","~?"))/$C989)</f>
        <v>1.0</v>
      </c>
      <c r="F989" s="11">
        <f>IF($C989=0,"",AVERAGEIFS('DEF_SELF_SCOUT_IMPORT'!$I$42:$I$1040,'DEF_SELF_SCOUT_IMPORT'!$L$42:$L$1040,"Y",'DEF_SELF_SCOUT_IMPORT'!$E$42:$E$1040,SUBSTITUTE(SUBSTITUTE(SUBSTITUTE($B989,"~","~~"),"*","~*"),"?","~?"),'DEF_SELF_SCOUT_IMPORT'!$Q$42:$Q$1040,SUBSTITUTE(SUBSTITUTE(SUBSTITUTE($M989,"~","~~"),"*","~*"),"?","~?"),'DEF_SELF_SCOUT_IMPORT'!$D$42:$D$1040,SUBSTITUTE(SUBSTITUTE(SUBSTITUTE($P989,"~","~~"),"*","~*"),"?","~?")))</f>
        <v>21.0</v>
      </c>
      <c r="G989" s="10">
        <f>IF($C989=0,"",COUNTIFS('DEF_SELF_SCOUT_IMPORT'!$L$42:$L$1040,"Y",'DEF_SELF_SCOUT_IMPORT'!$E$42:$E$1040,SUBSTITUTE(SUBSTITUTE(SUBSTITUTE($B989,"~","~~"),"*","~*"),"?","~?"),'DEF_SELF_SCOUT_IMPORT'!$Q$42:$Q$1040,SUBSTITUTE(SUBSTITUTE(SUBSTITUTE($M989,"~","~~"),"*","~*"),"?","~?"),'DEF_SELF_SCOUT_IMPORT'!$D$42:$D$1040,SUBSTITUTE(SUBSTITUTE(SUBSTITUTE($P989,"~","~~"),"*","~*"),"?","~?"),'DEF_SELF_SCOUT_IMPORT'!$H$42:$H$1040,"RUSH")/$C989)</f>
        <v>0.0</v>
      </c>
      <c r="H989" s="10">
        <f>IF($C989=0,"",COUNTIFS('DEF_SELF_SCOUT_IMPORT'!$L$42:$L$1040,"Y",'DEF_SELF_SCOUT_IMPORT'!$E$42:$E$1040,SUBSTITUTE(SUBSTITUTE(SUBSTITUTE($B989,"~","~~"),"*","~*"),"?","~?"),'DEF_SELF_SCOUT_IMPORT'!$Q$42:$Q$1040,SUBSTITUTE(SUBSTITUTE(SUBSTITUTE($M989,"~","~~"),"*","~*"),"?","~?"),'DEF_SELF_SCOUT_IMPORT'!$D$42:$D$1040,SUBSTITUTE(SUBSTITUTE(SUBSTITUTE($P989,"~","~~"),"*","~*"),"?","~?"),'DEF_SELF_SCOUT_IMPORT'!$H$42:$H$1040,"DROPBACK")/$C989)</f>
        <v>1.0</v>
      </c>
      <c r="I989" s="14" t="str">
        <f>IF(C989=0,"",IF(C989&lt;=2,"TRACK",IF(C989=3,"LOW",IF(C989&lt;=6,"MEDIUM","HIGH"))))</f>
        <v>TRACK</v>
      </c>
      <c r="J989" s="11">
        <f>IF(C989=0,"",ROUND(D989*70+(1-E989)*20+MAX(0,MIN(1,(10-F989)/10))*10,1))</f>
        <v>0.0</v>
      </c>
      <c r="K989" s="14" t="str">
        <f>IF(C989=0,"No Evidence",IF(C989&lt;=2,IF(E989&gt;0,"Explosive Alert","Track Only"),IF(C989=3,"Sample Watch",IF(E989&gt;=START_HERE!$B$31,"Explosive Alert",IF(J989&gt;=80,"Strong Candidate",IF(J989&gt;=65,"Good Candidate",IF(J989&gt;=50,"Mixed / Review","Problem Call")))))))</f>
        <v>Explosive Alert</v>
      </c>
      <c r="L989" s="9" t="str">
        <f>IF(COUNTIFS('DEF_SELF_SCOUT_IMPORT'!$L$42:$L$1040,"Y",'DEF_SELF_SCOUT_IMPORT'!$E$42:$E$1040,SUBSTITUTE(SUBSTITUTE(SUBSTITUTE($B989,"~","~~"),"*","~*"),"?","~?"),'DEF_SELF_SCOUT_IMPORT'!$Q$42:$Q$1040,SUBSTITUTE(SUBSTITUTE(SUBSTITUTE($M989,"~","~~"),"*","~*"),"?","~?"),'DEF_SELF_SCOUT_IMPORT'!$D$42:$D$1040,SUBSTITUTE(SUBSTITUTE(SUBSTITUTE($P989,"~","~~"),"*","~*"),"?","~?"),'DEF_SELF_SCOUT_IMPORT'!$J$42:$J$1040,"")&gt;0,"Unscored clean outcome; review result tags before using score.",IF(C989=0,"No matching defensive reps; film confirmation needed.",IF(K989="Explosive Alert","Explosive risk; review clips before using as answer.",IF(C989&lt;=2,"Track only; not enough sample.",IF(C989=3,IF(E989&gt;0,"Sample watch with explosive exposure; review clips and build the sample.",IF(J989&gt;=65,"Good signal, but sample is limited.","Sample watch; review clips and build the sample.")),IF(K989="Problem Call","Problem area; practice or call-sheet review.",IF(K989="Strong Candidate","Strong call-fit candidate; confirm on film.",IF(K989="Good Candidate","Good call-fit signal; confirm on film.","Mixed signal; review fit and execution on film."))))))))</f>
        <v>Explosive risk; review clips before using as answer.</v>
      </c>
      <c r="M989" s="8" t="s">
        <v>103</v>
      </c>
      <c r="N989" s="8"/>
      <c r="O989" s="8"/>
      <c r="P989" s="8" t="s">
        <v>449</v>
      </c>
      <c r="Q989" s="8"/>
      <c r="R989" s="8" t="s">
        <v>429</v>
      </c>
      <c r="S989" s="2" t="s">
        <v>568</v>
      </c>
      <c r="T989" s="2">
        <f>IF(C989=0,0,IF(C989&gt;=CALL_LOOKUP_BOARD!$B$7,IF(OR(K989="Problem Call",K989="Explosive Alert"),10000000,20000000),0)+IF(C989&gt;=CALL_LOOKUP_BOARD!$B$7,J989*1000+MIN(C989,999),C989*1000+J989)+0.00982100)</f>
        <v>1000.009821</v>
      </c>
      <c r="U989" s="2">
        <f>IF(C989=0,"",IF(COUNTIFS($S$811:$S$1055,SUBSTITUTE(SUBSTITUTE(SUBSTITUTE(S989,"~","~~"),"*","~*"),"?","~?"),$T$811:$T$1055,"&gt;"&amp;T989)=0,S989,""))</f>
        <v/>
      </c>
    </row>
    <row r="990" spans="1:21" ht="38" customHeight="1">
      <c r="A990" s="8" t="s">
        <v>567</v>
      </c>
      <c r="B990" s="8" t="s">
        <v>106</v>
      </c>
      <c r="C990" s="12">
        <f>COUNTIFS('DEF_SELF_SCOUT_IMPORT'!$L$42:$L$1040,"Y",'DEF_SELF_SCOUT_IMPORT'!$E$42:$E$1040,SUBSTITUTE(SUBSTITUTE(SUBSTITUTE($B990,"~","~~"),"*","~*"),"?","~?"),'DEF_SELF_SCOUT_IMPORT'!$Q$42:$Q$1040,SUBSTITUTE(SUBSTITUTE(SUBSTITUTE($M990,"~","~~"),"*","~*"),"?","~?"),'DEF_SELF_SCOUT_IMPORT'!$D$42:$D$1040,SUBSTITUTE(SUBSTITUTE(SUBSTITUTE($P990,"~","~~"),"*","~*"),"?","~?"))</f>
        <v>1</v>
      </c>
      <c r="D990" s="10">
        <f>IF($C990=0,"",SUMIFS('DEF_SELF_SCOUT_IMPORT'!$J$42:$J$1040,'DEF_SELF_SCOUT_IMPORT'!$L$42:$L$1040,"Y",'DEF_SELF_SCOUT_IMPORT'!$E$42:$E$1040,SUBSTITUTE(SUBSTITUTE(SUBSTITUTE($B990,"~","~~"),"*","~*"),"?","~?"),'DEF_SELF_SCOUT_IMPORT'!$Q$42:$Q$1040,SUBSTITUTE(SUBSTITUTE(SUBSTITUTE($M990,"~","~~"),"*","~*"),"?","~?"),'DEF_SELF_SCOUT_IMPORT'!$D$42:$D$1040,SUBSTITUTE(SUBSTITUTE(SUBSTITUTE($P990,"~","~~"),"*","~*"),"?","~?"))/$C990)</f>
        <v>0.0</v>
      </c>
      <c r="E990" s="10">
        <f>IF($C990=0,"",SUMIFS('DEF_SELF_SCOUT_IMPORT'!$K$42:$K$1040,'DEF_SELF_SCOUT_IMPORT'!$L$42:$L$1040,"Y",'DEF_SELF_SCOUT_IMPORT'!$E$42:$E$1040,SUBSTITUTE(SUBSTITUTE(SUBSTITUTE($B990,"~","~~"),"*","~*"),"?","~?"),'DEF_SELF_SCOUT_IMPORT'!$Q$42:$Q$1040,SUBSTITUTE(SUBSTITUTE(SUBSTITUTE($M990,"~","~~"),"*","~*"),"?","~?"),'DEF_SELF_SCOUT_IMPORT'!$D$42:$D$1040,SUBSTITUTE(SUBSTITUTE(SUBSTITUTE($P990,"~","~~"),"*","~*"),"?","~?"))/$C990)</f>
        <v>1.0</v>
      </c>
      <c r="F990" s="11">
        <f>IF($C990=0,"",AVERAGEIFS('DEF_SELF_SCOUT_IMPORT'!$I$42:$I$1040,'DEF_SELF_SCOUT_IMPORT'!$L$42:$L$1040,"Y",'DEF_SELF_SCOUT_IMPORT'!$E$42:$E$1040,SUBSTITUTE(SUBSTITUTE(SUBSTITUTE($B990,"~","~~"),"*","~*"),"?","~?"),'DEF_SELF_SCOUT_IMPORT'!$Q$42:$Q$1040,SUBSTITUTE(SUBSTITUTE(SUBSTITUTE($M990,"~","~~"),"*","~*"),"?","~?"),'DEF_SELF_SCOUT_IMPORT'!$D$42:$D$1040,SUBSTITUTE(SUBSTITUTE(SUBSTITUTE($P990,"~","~~"),"*","~*"),"?","~?")))</f>
        <v>22.0</v>
      </c>
      <c r="G990" s="10">
        <f>IF($C990=0,"",COUNTIFS('DEF_SELF_SCOUT_IMPORT'!$L$42:$L$1040,"Y",'DEF_SELF_SCOUT_IMPORT'!$E$42:$E$1040,SUBSTITUTE(SUBSTITUTE(SUBSTITUTE($B990,"~","~~"),"*","~*"),"?","~?"),'DEF_SELF_SCOUT_IMPORT'!$Q$42:$Q$1040,SUBSTITUTE(SUBSTITUTE(SUBSTITUTE($M990,"~","~~"),"*","~*"),"?","~?"),'DEF_SELF_SCOUT_IMPORT'!$D$42:$D$1040,SUBSTITUTE(SUBSTITUTE(SUBSTITUTE($P990,"~","~~"),"*","~*"),"?","~?"),'DEF_SELF_SCOUT_IMPORT'!$H$42:$H$1040,"RUSH")/$C990)</f>
        <v>0.0</v>
      </c>
      <c r="H990" s="10">
        <f>IF($C990=0,"",COUNTIFS('DEF_SELF_SCOUT_IMPORT'!$L$42:$L$1040,"Y",'DEF_SELF_SCOUT_IMPORT'!$E$42:$E$1040,SUBSTITUTE(SUBSTITUTE(SUBSTITUTE($B990,"~","~~"),"*","~*"),"?","~?"),'DEF_SELF_SCOUT_IMPORT'!$Q$42:$Q$1040,SUBSTITUTE(SUBSTITUTE(SUBSTITUTE($M990,"~","~~"),"*","~*"),"?","~?"),'DEF_SELF_SCOUT_IMPORT'!$D$42:$D$1040,SUBSTITUTE(SUBSTITUTE(SUBSTITUTE($P990,"~","~~"),"*","~*"),"?","~?"),'DEF_SELF_SCOUT_IMPORT'!$H$42:$H$1040,"DROPBACK")/$C990)</f>
        <v>1.0</v>
      </c>
      <c r="I990" s="14" t="str">
        <f>IF(C990=0,"",IF(C990&lt;=2,"TRACK",IF(C990=3,"LOW",IF(C990&lt;=6,"MEDIUM","HIGH"))))</f>
        <v>TRACK</v>
      </c>
      <c r="J990" s="11">
        <f>IF(C990=0,"",ROUND(D990*70+(1-E990)*20+MAX(0,MIN(1,(10-F990)/10))*10,1))</f>
        <v>0.0</v>
      </c>
      <c r="K990" s="14" t="str">
        <f>IF(C990=0,"No Evidence",IF(C990&lt;=2,IF(E990&gt;0,"Explosive Alert","Track Only"),IF(C990=3,"Sample Watch",IF(E990&gt;=START_HERE!$B$31,"Explosive Alert",IF(J990&gt;=80,"Strong Candidate",IF(J990&gt;=65,"Good Candidate",IF(J990&gt;=50,"Mixed / Review","Problem Call")))))))</f>
        <v>Explosive Alert</v>
      </c>
      <c r="L990" s="9" t="str">
        <f>IF(COUNTIFS('DEF_SELF_SCOUT_IMPORT'!$L$42:$L$1040,"Y",'DEF_SELF_SCOUT_IMPORT'!$E$42:$E$1040,SUBSTITUTE(SUBSTITUTE(SUBSTITUTE($B990,"~","~~"),"*","~*"),"?","~?"),'DEF_SELF_SCOUT_IMPORT'!$Q$42:$Q$1040,SUBSTITUTE(SUBSTITUTE(SUBSTITUTE($M990,"~","~~"),"*","~*"),"?","~?"),'DEF_SELF_SCOUT_IMPORT'!$D$42:$D$1040,SUBSTITUTE(SUBSTITUTE(SUBSTITUTE($P990,"~","~~"),"*","~*"),"?","~?"),'DEF_SELF_SCOUT_IMPORT'!$J$42:$J$1040,"")&gt;0,"Unscored clean outcome; review result tags before using score.",IF(C990=0,"No matching defensive reps; film confirmation needed.",IF(K990="Explosive Alert","Explosive risk; review clips before using as answer.",IF(C990&lt;=2,"Track only; not enough sample.",IF(C990=3,IF(E990&gt;0,"Sample watch with explosive exposure; review clips and build the sample.",IF(J990&gt;=65,"Good signal, but sample is limited.","Sample watch; review clips and build the sample.")),IF(K990="Problem Call","Problem area; practice or call-sheet review.",IF(K990="Strong Candidate","Strong call-fit candidate; confirm on film.",IF(K990="Good Candidate","Good call-fit signal; confirm on film.","Mixed signal; review fit and execution on film."))))))))</f>
        <v>Explosive risk; review clips before using as answer.</v>
      </c>
      <c r="M990" s="8" t="s">
        <v>103</v>
      </c>
      <c r="N990" s="8"/>
      <c r="O990" s="8"/>
      <c r="P990" s="8" t="s">
        <v>449</v>
      </c>
      <c r="Q990" s="8"/>
      <c r="R990" s="8" t="s">
        <v>429</v>
      </c>
      <c r="S990" s="2" t="s">
        <v>568</v>
      </c>
      <c r="T990" s="2">
        <f>IF(C990=0,0,IF(C990&gt;=CALL_LOOKUP_BOARD!$B$7,IF(OR(K990="Problem Call",K990="Explosive Alert"),10000000,20000000),0)+IF(C990&gt;=CALL_LOOKUP_BOARD!$B$7,J990*1000+MIN(C990,999),C990*1000+J990)+0.00982000)</f>
        <v>1000.00982</v>
      </c>
      <c r="U990" s="2">
        <f>IF(C990=0,"",IF(COUNTIFS($S$811:$S$1055,SUBSTITUTE(SUBSTITUTE(SUBSTITUTE(S990,"~","~~"),"*","~*"),"?","~?"),$T$811:$T$1055,"&gt;"&amp;T990)=0,S990,""))</f>
        <v/>
      </c>
    </row>
    <row r="991" spans="1:21" ht="38" customHeight="1">
      <c r="A991" s="8" t="s">
        <v>567</v>
      </c>
      <c r="B991" s="8" t="s">
        <v>84</v>
      </c>
      <c r="C991" s="12">
        <f>COUNTIFS('DEF_SELF_SCOUT_IMPORT'!$L$42:$L$1040,"Y",'DEF_SELF_SCOUT_IMPORT'!$E$42:$E$1040,SUBSTITUTE(SUBSTITUTE(SUBSTITUTE($B991,"~","~~"),"*","~*"),"?","~?"),'DEF_SELF_SCOUT_IMPORT'!$Q$42:$Q$1040,SUBSTITUTE(SUBSTITUTE(SUBSTITUTE($M991,"~","~~"),"*","~*"),"?","~?"),'DEF_SELF_SCOUT_IMPORT'!$D$42:$D$1040,SUBSTITUTE(SUBSTITUTE(SUBSTITUTE($P991,"~","~~"),"*","~*"),"?","~?"))</f>
        <v>1</v>
      </c>
      <c r="D991" s="10">
        <f>IF($C991=0,"",SUMIFS('DEF_SELF_SCOUT_IMPORT'!$J$42:$J$1040,'DEF_SELF_SCOUT_IMPORT'!$L$42:$L$1040,"Y",'DEF_SELF_SCOUT_IMPORT'!$E$42:$E$1040,SUBSTITUTE(SUBSTITUTE(SUBSTITUTE($B991,"~","~~"),"*","~*"),"?","~?"),'DEF_SELF_SCOUT_IMPORT'!$Q$42:$Q$1040,SUBSTITUTE(SUBSTITUTE(SUBSTITUTE($M991,"~","~~"),"*","~*"),"?","~?"),'DEF_SELF_SCOUT_IMPORT'!$D$42:$D$1040,SUBSTITUTE(SUBSTITUTE(SUBSTITUTE($P991,"~","~~"),"*","~*"),"?","~?"))/$C991)</f>
        <v>1.0</v>
      </c>
      <c r="E991" s="10">
        <f>IF($C991=0,"",SUMIFS('DEF_SELF_SCOUT_IMPORT'!$K$42:$K$1040,'DEF_SELF_SCOUT_IMPORT'!$L$42:$L$1040,"Y",'DEF_SELF_SCOUT_IMPORT'!$E$42:$E$1040,SUBSTITUTE(SUBSTITUTE(SUBSTITUTE($B991,"~","~~"),"*","~*"),"?","~?"),'DEF_SELF_SCOUT_IMPORT'!$Q$42:$Q$1040,SUBSTITUTE(SUBSTITUTE(SUBSTITUTE($M991,"~","~~"),"*","~*"),"?","~?"),'DEF_SELF_SCOUT_IMPORT'!$D$42:$D$1040,SUBSTITUTE(SUBSTITUTE(SUBSTITUTE($P991,"~","~~"),"*","~*"),"?","~?"))/$C991)</f>
        <v>0.0</v>
      </c>
      <c r="F991" s="11">
        <f>IF($C991=0,"",AVERAGEIFS('DEF_SELF_SCOUT_IMPORT'!$I$42:$I$1040,'DEF_SELF_SCOUT_IMPORT'!$L$42:$L$1040,"Y",'DEF_SELF_SCOUT_IMPORT'!$E$42:$E$1040,SUBSTITUTE(SUBSTITUTE(SUBSTITUTE($B991,"~","~~"),"*","~*"),"?","~?"),'DEF_SELF_SCOUT_IMPORT'!$Q$42:$Q$1040,SUBSTITUTE(SUBSTITUTE(SUBSTITUTE($M991,"~","~~"),"*","~*"),"?","~?"),'DEF_SELF_SCOUT_IMPORT'!$D$42:$D$1040,SUBSTITUTE(SUBSTITUTE(SUBSTITUTE($P991,"~","~~"),"*","~*"),"?","~?")))</f>
        <v>0.0</v>
      </c>
      <c r="G991" s="10">
        <f>IF($C991=0,"",COUNTIFS('DEF_SELF_SCOUT_IMPORT'!$L$42:$L$1040,"Y",'DEF_SELF_SCOUT_IMPORT'!$E$42:$E$1040,SUBSTITUTE(SUBSTITUTE(SUBSTITUTE($B991,"~","~~"),"*","~*"),"?","~?"),'DEF_SELF_SCOUT_IMPORT'!$Q$42:$Q$1040,SUBSTITUTE(SUBSTITUTE(SUBSTITUTE($M991,"~","~~"),"*","~*"),"?","~?"),'DEF_SELF_SCOUT_IMPORT'!$D$42:$D$1040,SUBSTITUTE(SUBSTITUTE(SUBSTITUTE($P991,"~","~~"),"*","~*"),"?","~?"),'DEF_SELF_SCOUT_IMPORT'!$H$42:$H$1040,"RUSH")/$C991)</f>
        <v>0.0</v>
      </c>
      <c r="H991" s="10">
        <f>IF($C991=0,"",COUNTIFS('DEF_SELF_SCOUT_IMPORT'!$L$42:$L$1040,"Y",'DEF_SELF_SCOUT_IMPORT'!$E$42:$E$1040,SUBSTITUTE(SUBSTITUTE(SUBSTITUTE($B991,"~","~~"),"*","~*"),"?","~?"),'DEF_SELF_SCOUT_IMPORT'!$Q$42:$Q$1040,SUBSTITUTE(SUBSTITUTE(SUBSTITUTE($M991,"~","~~"),"*","~*"),"?","~?"),'DEF_SELF_SCOUT_IMPORT'!$D$42:$D$1040,SUBSTITUTE(SUBSTITUTE(SUBSTITUTE($P991,"~","~~"),"*","~*"),"?","~?"),'DEF_SELF_SCOUT_IMPORT'!$H$42:$H$1040,"DROPBACK")/$C991)</f>
        <v>1.0</v>
      </c>
      <c r="I991" s="14" t="str">
        <f>IF(C991=0,"",IF(C991&lt;=2,"TRACK",IF(C991=3,"LOW",IF(C991&lt;=6,"MEDIUM","HIGH"))))</f>
        <v>TRACK</v>
      </c>
      <c r="J991" s="11">
        <f>IF(C991=0,"",ROUND(D991*70+(1-E991)*20+MAX(0,MIN(1,(10-F991)/10))*10,1))</f>
        <v>100.0</v>
      </c>
      <c r="K991" s="14" t="str">
        <f>IF(C991=0,"No Evidence",IF(C991&lt;=2,IF(E991&gt;0,"Explosive Alert","Track Only"),IF(C991=3,"Sample Watch",IF(E991&gt;=START_HERE!$B$31,"Explosive Alert",IF(J991&gt;=80,"Strong Candidate",IF(J991&gt;=65,"Good Candidate",IF(J991&gt;=50,"Mixed / Review","Problem Call")))))))</f>
        <v>Track Only</v>
      </c>
      <c r="L991" s="9" t="str">
        <f>IF(COUNTIFS('DEF_SELF_SCOUT_IMPORT'!$L$42:$L$1040,"Y",'DEF_SELF_SCOUT_IMPORT'!$E$42:$E$1040,SUBSTITUTE(SUBSTITUTE(SUBSTITUTE($B991,"~","~~"),"*","~*"),"?","~?"),'DEF_SELF_SCOUT_IMPORT'!$Q$42:$Q$1040,SUBSTITUTE(SUBSTITUTE(SUBSTITUTE($M991,"~","~~"),"*","~*"),"?","~?"),'DEF_SELF_SCOUT_IMPORT'!$D$42:$D$1040,SUBSTITUTE(SUBSTITUTE(SUBSTITUTE($P991,"~","~~"),"*","~*"),"?","~?"),'DEF_SELF_SCOUT_IMPORT'!$J$42:$J$1040,"")&gt;0,"Unscored clean outcome; review result tags before using score.",IF(C991=0,"No matching defensive reps; film confirmation needed.",IF(K991="Explosive Alert","Explosive risk; review clips before using as answer.",IF(C991&lt;=2,"Track only; not enough sample.",IF(C991=3,IF(E991&gt;0,"Sample watch with explosive exposure; review clips and build the sample.",IF(J991&gt;=65,"Good signal, but sample is limited.","Sample watch; review clips and build the sample.")),IF(K991="Problem Call","Problem area; practice or call-sheet review.",IF(K991="Strong Candidate","Strong call-fit candidate; confirm on film.",IF(K991="Good Candidate","Good call-fit signal; confirm on film.","Mixed signal; review fit and execution on film."))))))))</f>
        <v>Track only; not enough sample.</v>
      </c>
      <c r="M991" s="8" t="s">
        <v>103</v>
      </c>
      <c r="N991" s="8"/>
      <c r="O991" s="8"/>
      <c r="P991" s="8" t="s">
        <v>449</v>
      </c>
      <c r="Q991" s="8"/>
      <c r="R991" s="8" t="s">
        <v>429</v>
      </c>
      <c r="S991" s="2" t="s">
        <v>568</v>
      </c>
      <c r="T991" s="2">
        <f>IF(C991=0,0,IF(C991&gt;=CALL_LOOKUP_BOARD!$B$7,IF(OR(K991="Problem Call",K991="Explosive Alert"),10000000,20000000),0)+IF(C991&gt;=CALL_LOOKUP_BOARD!$B$7,J991*1000+MIN(C991,999),C991*1000+J991)+0.00981900)</f>
        <v>1100.009819</v>
      </c>
      <c r="U991" s="2">
        <f>IF(C991=0,"",IF(COUNTIFS($S$811:$S$1055,SUBSTITUTE(SUBSTITUTE(SUBSTITUTE(S991,"~","~~"),"*","~*"),"?","~?"),$T$811:$T$1055,"&gt;"&amp;T991)=0,S991,""))</f>
        <v/>
      </c>
    </row>
    <row r="992" spans="1:21" ht="38" customHeight="1">
      <c r="A992" s="8" t="s">
        <v>569</v>
      </c>
      <c r="B992" s="8" t="s">
        <v>77</v>
      </c>
      <c r="C992" s="12">
        <f>COUNTIFS('DEF_SELF_SCOUT_IMPORT'!$L$42:$L$1040,"Y",'DEF_SELF_SCOUT_IMPORT'!$E$42:$E$1040,SUBSTITUTE(SUBSTITUTE(SUBSTITUTE($B992,"~","~~"),"*","~*"),"?","~?"),'DEF_SELF_SCOUT_IMPORT'!$Q$42:$Q$1040,SUBSTITUTE(SUBSTITUTE(SUBSTITUTE($M992,"~","~~"),"*","~*"),"?","~?"),'DEF_SELF_SCOUT_IMPORT'!$D$42:$D$1040,SUBSTITUTE(SUBSTITUTE(SUBSTITUTE($P992,"~","~~"),"*","~*"),"?","~?"))</f>
        <v>1</v>
      </c>
      <c r="D992" s="10">
        <f>IF($C992=0,"",SUMIFS('DEF_SELF_SCOUT_IMPORT'!$J$42:$J$1040,'DEF_SELF_SCOUT_IMPORT'!$L$42:$L$1040,"Y",'DEF_SELF_SCOUT_IMPORT'!$E$42:$E$1040,SUBSTITUTE(SUBSTITUTE(SUBSTITUTE($B992,"~","~~"),"*","~*"),"?","~?"),'DEF_SELF_SCOUT_IMPORT'!$Q$42:$Q$1040,SUBSTITUTE(SUBSTITUTE(SUBSTITUTE($M992,"~","~~"),"*","~*"),"?","~?"),'DEF_SELF_SCOUT_IMPORT'!$D$42:$D$1040,SUBSTITUTE(SUBSTITUTE(SUBSTITUTE($P992,"~","~~"),"*","~*"),"?","~?"))/$C992)</f>
        <v>1.0</v>
      </c>
      <c r="E992" s="10">
        <f>IF($C992=0,"",SUMIFS('DEF_SELF_SCOUT_IMPORT'!$K$42:$K$1040,'DEF_SELF_SCOUT_IMPORT'!$L$42:$L$1040,"Y",'DEF_SELF_SCOUT_IMPORT'!$E$42:$E$1040,SUBSTITUTE(SUBSTITUTE(SUBSTITUTE($B992,"~","~~"),"*","~*"),"?","~?"),'DEF_SELF_SCOUT_IMPORT'!$Q$42:$Q$1040,SUBSTITUTE(SUBSTITUTE(SUBSTITUTE($M992,"~","~~"),"*","~*"),"?","~?"),'DEF_SELF_SCOUT_IMPORT'!$D$42:$D$1040,SUBSTITUTE(SUBSTITUTE(SUBSTITUTE($P992,"~","~~"),"*","~*"),"?","~?"))/$C992)</f>
        <v>0.0</v>
      </c>
      <c r="F992" s="11">
        <f>IF($C992=0,"",AVERAGEIFS('DEF_SELF_SCOUT_IMPORT'!$I$42:$I$1040,'DEF_SELF_SCOUT_IMPORT'!$L$42:$L$1040,"Y",'DEF_SELF_SCOUT_IMPORT'!$E$42:$E$1040,SUBSTITUTE(SUBSTITUTE(SUBSTITUTE($B992,"~","~~"),"*","~*"),"?","~?"),'DEF_SELF_SCOUT_IMPORT'!$Q$42:$Q$1040,SUBSTITUTE(SUBSTITUTE(SUBSTITUTE($M992,"~","~~"),"*","~*"),"?","~?"),'DEF_SELF_SCOUT_IMPORT'!$D$42:$D$1040,SUBSTITUTE(SUBSTITUTE(SUBSTITUTE($P992,"~","~~"),"*","~*"),"?","~?")))</f>
        <v>-1.0</v>
      </c>
      <c r="G992" s="10">
        <f>IF($C992=0,"",COUNTIFS('DEF_SELF_SCOUT_IMPORT'!$L$42:$L$1040,"Y",'DEF_SELF_SCOUT_IMPORT'!$E$42:$E$1040,SUBSTITUTE(SUBSTITUTE(SUBSTITUTE($B992,"~","~~"),"*","~*"),"?","~?"),'DEF_SELF_SCOUT_IMPORT'!$Q$42:$Q$1040,SUBSTITUTE(SUBSTITUTE(SUBSTITUTE($M992,"~","~~"),"*","~*"),"?","~?"),'DEF_SELF_SCOUT_IMPORT'!$D$42:$D$1040,SUBSTITUTE(SUBSTITUTE(SUBSTITUTE($P992,"~","~~"),"*","~*"),"?","~?"),'DEF_SELF_SCOUT_IMPORT'!$H$42:$H$1040,"RUSH")/$C992)</f>
        <v>1.0</v>
      </c>
      <c r="H992" s="10">
        <f>IF($C992=0,"",COUNTIFS('DEF_SELF_SCOUT_IMPORT'!$L$42:$L$1040,"Y",'DEF_SELF_SCOUT_IMPORT'!$E$42:$E$1040,SUBSTITUTE(SUBSTITUTE(SUBSTITUTE($B992,"~","~~"),"*","~*"),"?","~?"),'DEF_SELF_SCOUT_IMPORT'!$Q$42:$Q$1040,SUBSTITUTE(SUBSTITUTE(SUBSTITUTE($M992,"~","~~"),"*","~*"),"?","~?"),'DEF_SELF_SCOUT_IMPORT'!$D$42:$D$1040,SUBSTITUTE(SUBSTITUTE(SUBSTITUTE($P992,"~","~~"),"*","~*"),"?","~?"),'DEF_SELF_SCOUT_IMPORT'!$H$42:$H$1040,"DROPBACK")/$C992)</f>
        <v>0.0</v>
      </c>
      <c r="I992" s="14" t="str">
        <f>IF(C992=0,"",IF(C992&lt;=2,"TRACK",IF(C992=3,"LOW",IF(C992&lt;=6,"MEDIUM","HIGH"))))</f>
        <v>TRACK</v>
      </c>
      <c r="J992" s="11">
        <f>IF(C992=0,"",ROUND(D992*70+(1-E992)*20+MAX(0,MIN(1,(10-F992)/10))*10,1))</f>
        <v>100.0</v>
      </c>
      <c r="K992" s="14" t="str">
        <f>IF(C992=0,"No Evidence",IF(C992&lt;=2,IF(E992&gt;0,"Explosive Alert","Track Only"),IF(C992=3,"Sample Watch",IF(E992&gt;=START_HERE!$B$31,"Explosive Alert",IF(J992&gt;=80,"Strong Candidate",IF(J992&gt;=65,"Good Candidate",IF(J992&gt;=50,"Mixed / Review","Problem Call")))))))</f>
        <v>Track Only</v>
      </c>
      <c r="L992" s="9" t="str">
        <f>IF(COUNTIFS('DEF_SELF_SCOUT_IMPORT'!$L$42:$L$1040,"Y",'DEF_SELF_SCOUT_IMPORT'!$E$42:$E$1040,SUBSTITUTE(SUBSTITUTE(SUBSTITUTE($B992,"~","~~"),"*","~*"),"?","~?"),'DEF_SELF_SCOUT_IMPORT'!$Q$42:$Q$1040,SUBSTITUTE(SUBSTITUTE(SUBSTITUTE($M992,"~","~~"),"*","~*"),"?","~?"),'DEF_SELF_SCOUT_IMPORT'!$D$42:$D$1040,SUBSTITUTE(SUBSTITUTE(SUBSTITUTE($P992,"~","~~"),"*","~*"),"?","~?"),'DEF_SELF_SCOUT_IMPORT'!$J$42:$J$1040,"")&gt;0,"Unscored clean outcome; review result tags before using score.",IF(C992=0,"No matching defensive reps; film confirmation needed.",IF(K992="Explosive Alert","Explosive risk; review clips before using as answer.",IF(C992&lt;=2,"Track only; not enough sample.",IF(C992=3,IF(E992&gt;0,"Sample watch with explosive exposure; review clips and build the sample.",IF(J992&gt;=65,"Good signal, but sample is limited.","Sample watch; review clips and build the sample.")),IF(K992="Problem Call","Problem area; practice or call-sheet review.",IF(K992="Strong Candidate","Strong call-fit candidate; confirm on film.",IF(K992="Good Candidate","Good call-fit signal; confirm on film.","Mixed signal; review fit and execution on film."))))))))</f>
        <v>Track only; not enough sample.</v>
      </c>
      <c r="M992" s="8" t="s">
        <v>103</v>
      </c>
      <c r="N992" s="8"/>
      <c r="O992" s="8"/>
      <c r="P992" s="8" t="s">
        <v>432</v>
      </c>
      <c r="Q992" s="8"/>
      <c r="R992" s="8" t="s">
        <v>429</v>
      </c>
      <c r="S992" s="2" t="s">
        <v>570</v>
      </c>
      <c r="T992" s="2">
        <f>IF(C992=0,0,IF(C992&gt;=CALL_LOOKUP_BOARD!$B$7,IF(OR(K992="Problem Call",K992="Explosive Alert"),10000000,20000000),0)+IF(C992&gt;=CALL_LOOKUP_BOARD!$B$7,J992*1000+MIN(C992,999),C992*1000+J992)+0.00981800)</f>
        <v>1100.009818</v>
      </c>
      <c r="U992" s="2" t="str">
        <f>IF(C992=0,"",IF(COUNTIFS($S$811:$S$1055,SUBSTITUTE(SUBSTITUTE(SUBSTITUTE(S992,"~","~~"),"*","~*"),"?","~?"),$T$811:$T$1055,"&gt;"&amp;T992)=0,S992,""))</f>
        <v>6:3D 4-6|7:COUNTER|</v>
      </c>
    </row>
    <row r="993" spans="1:21" ht="38" customHeight="1">
      <c r="A993" s="8" t="s">
        <v>571</v>
      </c>
      <c r="B993" s="8" t="s">
        <v>80</v>
      </c>
      <c r="C993" s="12">
        <f>COUNTIFS('DEF_SELF_SCOUT_IMPORT'!$L$42:$L$1040,"Y",'DEF_SELF_SCOUT_IMPORT'!$E$42:$E$1040,SUBSTITUTE(SUBSTITUTE(SUBSTITUTE($B993,"~","~~"),"*","~*"),"?","~?"),'DEF_SELF_SCOUT_IMPORT'!$Q$42:$Q$1040,SUBSTITUTE(SUBSTITUTE(SUBSTITUTE($M993,"~","~~"),"*","~*"),"?","~?"),'DEF_SELF_SCOUT_IMPORT'!$D$42:$D$1040,SUBSTITUTE(SUBSTITUTE(SUBSTITUTE($P993,"~","~~"),"*","~*"),"?","~?"))</f>
        <v>1</v>
      </c>
      <c r="D993" s="10">
        <f>IF($C993=0,"",SUMIFS('DEF_SELF_SCOUT_IMPORT'!$J$42:$J$1040,'DEF_SELF_SCOUT_IMPORT'!$L$42:$L$1040,"Y",'DEF_SELF_SCOUT_IMPORT'!$E$42:$E$1040,SUBSTITUTE(SUBSTITUTE(SUBSTITUTE($B993,"~","~~"),"*","~*"),"?","~?"),'DEF_SELF_SCOUT_IMPORT'!$Q$42:$Q$1040,SUBSTITUTE(SUBSTITUTE(SUBSTITUTE($M993,"~","~~"),"*","~*"),"?","~?"),'DEF_SELF_SCOUT_IMPORT'!$D$42:$D$1040,SUBSTITUTE(SUBSTITUTE(SUBSTITUTE($P993,"~","~~"),"*","~*"),"?","~?"))/$C993)</f>
        <v>1.0</v>
      </c>
      <c r="E993" s="10">
        <f>IF($C993=0,"",SUMIFS('DEF_SELF_SCOUT_IMPORT'!$K$42:$K$1040,'DEF_SELF_SCOUT_IMPORT'!$L$42:$L$1040,"Y",'DEF_SELF_SCOUT_IMPORT'!$E$42:$E$1040,SUBSTITUTE(SUBSTITUTE(SUBSTITUTE($B993,"~","~~"),"*","~*"),"?","~?"),'DEF_SELF_SCOUT_IMPORT'!$Q$42:$Q$1040,SUBSTITUTE(SUBSTITUTE(SUBSTITUTE($M993,"~","~~"),"*","~*"),"?","~?"),'DEF_SELF_SCOUT_IMPORT'!$D$42:$D$1040,SUBSTITUTE(SUBSTITUTE(SUBSTITUTE($P993,"~","~~"),"*","~*"),"?","~?"))/$C993)</f>
        <v>0.0</v>
      </c>
      <c r="F993" s="11">
        <f>IF($C993=0,"",AVERAGEIFS('DEF_SELF_SCOUT_IMPORT'!$I$42:$I$1040,'DEF_SELF_SCOUT_IMPORT'!$L$42:$L$1040,"Y",'DEF_SELF_SCOUT_IMPORT'!$E$42:$E$1040,SUBSTITUTE(SUBSTITUTE(SUBSTITUTE($B993,"~","~~"),"*","~*"),"?","~?"),'DEF_SELF_SCOUT_IMPORT'!$Q$42:$Q$1040,SUBSTITUTE(SUBSTITUTE(SUBSTITUTE($M993,"~","~~"),"*","~*"),"?","~?"),'DEF_SELF_SCOUT_IMPORT'!$D$42:$D$1040,SUBSTITUTE(SUBSTITUTE(SUBSTITUTE($P993,"~","~~"),"*","~*"),"?","~?")))</f>
        <v>2.0</v>
      </c>
      <c r="G993" s="10">
        <f>IF($C993=0,"",COUNTIFS('DEF_SELF_SCOUT_IMPORT'!$L$42:$L$1040,"Y",'DEF_SELF_SCOUT_IMPORT'!$E$42:$E$1040,SUBSTITUTE(SUBSTITUTE(SUBSTITUTE($B993,"~","~~"),"*","~*"),"?","~?"),'DEF_SELF_SCOUT_IMPORT'!$Q$42:$Q$1040,SUBSTITUTE(SUBSTITUTE(SUBSTITUTE($M993,"~","~~"),"*","~*"),"?","~?"),'DEF_SELF_SCOUT_IMPORT'!$D$42:$D$1040,SUBSTITUTE(SUBSTITUTE(SUBSTITUTE($P993,"~","~~"),"*","~*"),"?","~?"),'DEF_SELF_SCOUT_IMPORT'!$H$42:$H$1040,"RUSH")/$C993)</f>
        <v>1.0</v>
      </c>
      <c r="H993" s="10">
        <f>IF($C993=0,"",COUNTIFS('DEF_SELF_SCOUT_IMPORT'!$L$42:$L$1040,"Y",'DEF_SELF_SCOUT_IMPORT'!$E$42:$E$1040,SUBSTITUTE(SUBSTITUTE(SUBSTITUTE($B993,"~","~~"),"*","~*"),"?","~?"),'DEF_SELF_SCOUT_IMPORT'!$Q$42:$Q$1040,SUBSTITUTE(SUBSTITUTE(SUBSTITUTE($M993,"~","~~"),"*","~*"),"?","~?"),'DEF_SELF_SCOUT_IMPORT'!$D$42:$D$1040,SUBSTITUTE(SUBSTITUTE(SUBSTITUTE($P993,"~","~~"),"*","~*"),"?","~?"),'DEF_SELF_SCOUT_IMPORT'!$H$42:$H$1040,"DROPBACK")/$C993)</f>
        <v>0.0</v>
      </c>
      <c r="I993" s="14" t="str">
        <f>IF(C993=0,"",IF(C993&lt;=2,"TRACK",IF(C993=3,"LOW",IF(C993&lt;=6,"MEDIUM","HIGH"))))</f>
        <v>TRACK</v>
      </c>
      <c r="J993" s="11">
        <f>IF(C993=0,"",ROUND(D993*70+(1-E993)*20+MAX(0,MIN(1,(10-F993)/10))*10,1))</f>
        <v>98.0</v>
      </c>
      <c r="K993" s="14" t="str">
        <f>IF(C993=0,"No Evidence",IF(C993&lt;=2,IF(E993&gt;0,"Explosive Alert","Track Only"),IF(C993=3,"Sample Watch",IF(E993&gt;=START_HERE!$B$31,"Explosive Alert",IF(J993&gt;=80,"Strong Candidate",IF(J993&gt;=65,"Good Candidate",IF(J993&gt;=50,"Mixed / Review","Problem Call")))))))</f>
        <v>Track Only</v>
      </c>
      <c r="L993" s="9" t="str">
        <f>IF(COUNTIFS('DEF_SELF_SCOUT_IMPORT'!$L$42:$L$1040,"Y",'DEF_SELF_SCOUT_IMPORT'!$E$42:$E$1040,SUBSTITUTE(SUBSTITUTE(SUBSTITUTE($B993,"~","~~"),"*","~*"),"?","~?"),'DEF_SELF_SCOUT_IMPORT'!$Q$42:$Q$1040,SUBSTITUTE(SUBSTITUTE(SUBSTITUTE($M993,"~","~~"),"*","~*"),"?","~?"),'DEF_SELF_SCOUT_IMPORT'!$D$42:$D$1040,SUBSTITUTE(SUBSTITUTE(SUBSTITUTE($P993,"~","~~"),"*","~*"),"?","~?"),'DEF_SELF_SCOUT_IMPORT'!$J$42:$J$1040,"")&gt;0,"Unscored clean outcome; review result tags before using score.",IF(C993=0,"No matching defensive reps; film confirmation needed.",IF(K993="Explosive Alert","Explosive risk; review clips before using as answer.",IF(C993&lt;=2,"Track only; not enough sample.",IF(C993=3,IF(E993&gt;0,"Sample watch with explosive exposure; review clips and build the sample.",IF(J993&gt;=65,"Good signal, but sample is limited.","Sample watch; review clips and build the sample.")),IF(K993="Problem Call","Problem area; practice or call-sheet review.",IF(K993="Strong Candidate","Strong call-fit candidate; confirm on film.",IF(K993="Good Candidate","Good call-fit signal; confirm on film.","Mixed signal; review fit and execution on film."))))))))</f>
        <v>Track only; not enough sample.</v>
      </c>
      <c r="M993" s="8" t="s">
        <v>103</v>
      </c>
      <c r="N993" s="8"/>
      <c r="O993" s="8"/>
      <c r="P993" s="8" t="s">
        <v>428</v>
      </c>
      <c r="Q993" s="8"/>
      <c r="R993" s="8" t="s">
        <v>429</v>
      </c>
      <c r="S993" s="2" t="s">
        <v>572</v>
      </c>
      <c r="T993" s="2">
        <f>IF(C993=0,0,IF(C993&gt;=CALL_LOOKUP_BOARD!$B$7,IF(OR(K993="Problem Call",K993="Explosive Alert"),10000000,20000000),0)+IF(C993&gt;=CALL_LOOKUP_BOARD!$B$7,J993*1000+MIN(C993,999),C993*1000+J993)+0.00981700)</f>
        <v>1098.009817</v>
      </c>
      <c r="U993" s="2">
        <f>IF(C993=0,"",IF(COUNTIFS($S$811:$S$1055,SUBSTITUTE(SUBSTITUTE(SUBSTITUTE(S993,"~","~~"),"*","~*"),"?","~?"),$T$811:$T$1055,"&gt;"&amp;T993)=0,S993,""))</f>
        <v/>
      </c>
    </row>
    <row r="994" spans="1:21" ht="38" customHeight="1">
      <c r="A994" s="8" t="s">
        <v>571</v>
      </c>
      <c r="B994" s="8" t="s">
        <v>100</v>
      </c>
      <c r="C994" s="12">
        <f>COUNTIFS('DEF_SELF_SCOUT_IMPORT'!$L$42:$L$1040,"Y",'DEF_SELF_SCOUT_IMPORT'!$E$42:$E$1040,SUBSTITUTE(SUBSTITUTE(SUBSTITUTE($B994,"~","~~"),"*","~*"),"?","~?"),'DEF_SELF_SCOUT_IMPORT'!$Q$42:$Q$1040,SUBSTITUTE(SUBSTITUTE(SUBSTITUTE($M994,"~","~~"),"*","~*"),"?","~?"),'DEF_SELF_SCOUT_IMPORT'!$D$42:$D$1040,SUBSTITUTE(SUBSTITUTE(SUBSTITUTE($P994,"~","~~"),"*","~*"),"?","~?"))</f>
        <v>1</v>
      </c>
      <c r="D994" s="10">
        <f>IF($C994=0,"",SUMIFS('DEF_SELF_SCOUT_IMPORT'!$J$42:$J$1040,'DEF_SELF_SCOUT_IMPORT'!$L$42:$L$1040,"Y",'DEF_SELF_SCOUT_IMPORT'!$E$42:$E$1040,SUBSTITUTE(SUBSTITUTE(SUBSTITUTE($B994,"~","~~"),"*","~*"),"?","~?"),'DEF_SELF_SCOUT_IMPORT'!$Q$42:$Q$1040,SUBSTITUTE(SUBSTITUTE(SUBSTITUTE($M994,"~","~~"),"*","~*"),"?","~?"),'DEF_SELF_SCOUT_IMPORT'!$D$42:$D$1040,SUBSTITUTE(SUBSTITUTE(SUBSTITUTE($P994,"~","~~"),"*","~*"),"?","~?"))/$C994)</f>
        <v>0.0</v>
      </c>
      <c r="E994" s="10">
        <f>IF($C994=0,"",SUMIFS('DEF_SELF_SCOUT_IMPORT'!$K$42:$K$1040,'DEF_SELF_SCOUT_IMPORT'!$L$42:$L$1040,"Y",'DEF_SELF_SCOUT_IMPORT'!$E$42:$E$1040,SUBSTITUTE(SUBSTITUTE(SUBSTITUTE($B994,"~","~~"),"*","~*"),"?","~?"),'DEF_SELF_SCOUT_IMPORT'!$Q$42:$Q$1040,SUBSTITUTE(SUBSTITUTE(SUBSTITUTE($M994,"~","~~"),"*","~*"),"?","~?"),'DEF_SELF_SCOUT_IMPORT'!$D$42:$D$1040,SUBSTITUTE(SUBSTITUTE(SUBSTITUTE($P994,"~","~~"),"*","~*"),"?","~?"))/$C994)</f>
        <v>0.0</v>
      </c>
      <c r="F994" s="11">
        <f>IF($C994=0,"",AVERAGEIFS('DEF_SELF_SCOUT_IMPORT'!$I$42:$I$1040,'DEF_SELF_SCOUT_IMPORT'!$L$42:$L$1040,"Y",'DEF_SELF_SCOUT_IMPORT'!$E$42:$E$1040,SUBSTITUTE(SUBSTITUTE(SUBSTITUTE($B994,"~","~~"),"*","~*"),"?","~?"),'DEF_SELF_SCOUT_IMPORT'!$Q$42:$Q$1040,SUBSTITUTE(SUBSTITUTE(SUBSTITUTE($M994,"~","~~"),"*","~*"),"?","~?"),'DEF_SELF_SCOUT_IMPORT'!$D$42:$D$1040,SUBSTITUTE(SUBSTITUTE(SUBSTITUTE($P994,"~","~~"),"*","~*"),"?","~?")))</f>
        <v>8.0</v>
      </c>
      <c r="G994" s="10">
        <f>IF($C994=0,"",COUNTIFS('DEF_SELF_SCOUT_IMPORT'!$L$42:$L$1040,"Y",'DEF_SELF_SCOUT_IMPORT'!$E$42:$E$1040,SUBSTITUTE(SUBSTITUTE(SUBSTITUTE($B994,"~","~~"),"*","~*"),"?","~?"),'DEF_SELF_SCOUT_IMPORT'!$Q$42:$Q$1040,SUBSTITUTE(SUBSTITUTE(SUBSTITUTE($M994,"~","~~"),"*","~*"),"?","~?"),'DEF_SELF_SCOUT_IMPORT'!$D$42:$D$1040,SUBSTITUTE(SUBSTITUTE(SUBSTITUTE($P994,"~","~~"),"*","~*"),"?","~?"),'DEF_SELF_SCOUT_IMPORT'!$H$42:$H$1040,"RUSH")/$C994)</f>
        <v>1.0</v>
      </c>
      <c r="H994" s="10">
        <f>IF($C994=0,"",COUNTIFS('DEF_SELF_SCOUT_IMPORT'!$L$42:$L$1040,"Y",'DEF_SELF_SCOUT_IMPORT'!$E$42:$E$1040,SUBSTITUTE(SUBSTITUTE(SUBSTITUTE($B994,"~","~~"),"*","~*"),"?","~?"),'DEF_SELF_SCOUT_IMPORT'!$Q$42:$Q$1040,SUBSTITUTE(SUBSTITUTE(SUBSTITUTE($M994,"~","~~"),"*","~*"),"?","~?"),'DEF_SELF_SCOUT_IMPORT'!$D$42:$D$1040,SUBSTITUTE(SUBSTITUTE(SUBSTITUTE($P994,"~","~~"),"*","~*"),"?","~?"),'DEF_SELF_SCOUT_IMPORT'!$H$42:$H$1040,"DROPBACK")/$C994)</f>
        <v>0.0</v>
      </c>
      <c r="I994" s="14" t="str">
        <f>IF(C994=0,"",IF(C994&lt;=2,"TRACK",IF(C994=3,"LOW",IF(C994&lt;=6,"MEDIUM","HIGH"))))</f>
        <v>TRACK</v>
      </c>
      <c r="J994" s="11">
        <f>IF(C994=0,"",ROUND(D994*70+(1-E994)*20+MAX(0,MIN(1,(10-F994)/10))*10,1))</f>
        <v>22.0</v>
      </c>
      <c r="K994" s="14" t="str">
        <f>IF(C994=0,"No Evidence",IF(C994&lt;=2,IF(E994&gt;0,"Explosive Alert","Track Only"),IF(C994=3,"Sample Watch",IF(E994&gt;=START_HERE!$B$31,"Explosive Alert",IF(J994&gt;=80,"Strong Candidate",IF(J994&gt;=65,"Good Candidate",IF(J994&gt;=50,"Mixed / Review","Problem Call")))))))</f>
        <v>Track Only</v>
      </c>
      <c r="L994" s="9" t="str">
        <f>IF(COUNTIFS('DEF_SELF_SCOUT_IMPORT'!$L$42:$L$1040,"Y",'DEF_SELF_SCOUT_IMPORT'!$E$42:$E$1040,SUBSTITUTE(SUBSTITUTE(SUBSTITUTE($B994,"~","~~"),"*","~*"),"?","~?"),'DEF_SELF_SCOUT_IMPORT'!$Q$42:$Q$1040,SUBSTITUTE(SUBSTITUTE(SUBSTITUTE($M994,"~","~~"),"*","~*"),"?","~?"),'DEF_SELF_SCOUT_IMPORT'!$D$42:$D$1040,SUBSTITUTE(SUBSTITUTE(SUBSTITUTE($P994,"~","~~"),"*","~*"),"?","~?"),'DEF_SELF_SCOUT_IMPORT'!$J$42:$J$1040,"")&gt;0,"Unscored clean outcome; review result tags before using score.",IF(C994=0,"No matching defensive reps; film confirmation needed.",IF(K994="Explosive Alert","Explosive risk; review clips before using as answer.",IF(C994&lt;=2,"Track only; not enough sample.",IF(C994=3,IF(E994&gt;0,"Sample watch with explosive exposure; review clips and build the sample.",IF(J994&gt;=65,"Good signal, but sample is limited.","Sample watch; review clips and build the sample.")),IF(K994="Problem Call","Problem area; practice or call-sheet review.",IF(K994="Strong Candidate","Strong call-fit candidate; confirm on film.",IF(K994="Good Candidate","Good call-fit signal; confirm on film.","Mixed signal; review fit and execution on film."))))))))</f>
        <v>Track only; not enough sample.</v>
      </c>
      <c r="M994" s="8" t="s">
        <v>103</v>
      </c>
      <c r="N994" s="8"/>
      <c r="O994" s="8"/>
      <c r="P994" s="8" t="s">
        <v>428</v>
      </c>
      <c r="Q994" s="8"/>
      <c r="R994" s="8" t="s">
        <v>429</v>
      </c>
      <c r="S994" s="2" t="s">
        <v>572</v>
      </c>
      <c r="T994" s="2">
        <f>IF(C994=0,0,IF(C994&gt;=CALL_LOOKUP_BOARD!$B$7,IF(OR(K994="Problem Call",K994="Explosive Alert"),10000000,20000000),0)+IF(C994&gt;=CALL_LOOKUP_BOARD!$B$7,J994*1000+MIN(C994,999),C994*1000+J994)+0.00981600)</f>
        <v>1022.009816</v>
      </c>
      <c r="U994" s="2">
        <f>IF(C994=0,"",IF(COUNTIFS($S$811:$S$1055,SUBSTITUTE(SUBSTITUTE(SUBSTITUTE(S994,"~","~~"),"*","~*"),"?","~?"),$T$811:$T$1055,"&gt;"&amp;T994)=0,S994,""))</f>
        <v/>
      </c>
    </row>
    <row r="995" spans="1:21" ht="38" customHeight="1">
      <c r="A995" s="8" t="s">
        <v>571</v>
      </c>
      <c r="B995" s="8" t="s">
        <v>66</v>
      </c>
      <c r="C995" s="12">
        <f>COUNTIFS('DEF_SELF_SCOUT_IMPORT'!$L$42:$L$1040,"Y",'DEF_SELF_SCOUT_IMPORT'!$E$42:$E$1040,SUBSTITUTE(SUBSTITUTE(SUBSTITUTE($B995,"~","~~"),"*","~*"),"?","~?"),'DEF_SELF_SCOUT_IMPORT'!$Q$42:$Q$1040,SUBSTITUTE(SUBSTITUTE(SUBSTITUTE($M995,"~","~~"),"*","~*"),"?","~?"),'DEF_SELF_SCOUT_IMPORT'!$D$42:$D$1040,SUBSTITUTE(SUBSTITUTE(SUBSTITUTE($P995,"~","~~"),"*","~*"),"?","~?"))</f>
        <v>1</v>
      </c>
      <c r="D995" s="10">
        <f>IF($C995=0,"",SUMIFS('DEF_SELF_SCOUT_IMPORT'!$J$42:$J$1040,'DEF_SELF_SCOUT_IMPORT'!$L$42:$L$1040,"Y",'DEF_SELF_SCOUT_IMPORT'!$E$42:$E$1040,SUBSTITUTE(SUBSTITUTE(SUBSTITUTE($B995,"~","~~"),"*","~*"),"?","~?"),'DEF_SELF_SCOUT_IMPORT'!$Q$42:$Q$1040,SUBSTITUTE(SUBSTITUTE(SUBSTITUTE($M995,"~","~~"),"*","~*"),"?","~?"),'DEF_SELF_SCOUT_IMPORT'!$D$42:$D$1040,SUBSTITUTE(SUBSTITUTE(SUBSTITUTE($P995,"~","~~"),"*","~*"),"?","~?"))/$C995)</f>
        <v>1.0</v>
      </c>
      <c r="E995" s="10">
        <f>IF($C995=0,"",SUMIFS('DEF_SELF_SCOUT_IMPORT'!$K$42:$K$1040,'DEF_SELF_SCOUT_IMPORT'!$L$42:$L$1040,"Y",'DEF_SELF_SCOUT_IMPORT'!$E$42:$E$1040,SUBSTITUTE(SUBSTITUTE(SUBSTITUTE($B995,"~","~~"),"*","~*"),"?","~?"),'DEF_SELF_SCOUT_IMPORT'!$Q$42:$Q$1040,SUBSTITUTE(SUBSTITUTE(SUBSTITUTE($M995,"~","~~"),"*","~*"),"?","~?"),'DEF_SELF_SCOUT_IMPORT'!$D$42:$D$1040,SUBSTITUTE(SUBSTITUTE(SUBSTITUTE($P995,"~","~~"),"*","~*"),"?","~?"))/$C995)</f>
        <v>0.0</v>
      </c>
      <c r="F995" s="11">
        <f>IF($C995=0,"",AVERAGEIFS('DEF_SELF_SCOUT_IMPORT'!$I$42:$I$1040,'DEF_SELF_SCOUT_IMPORT'!$L$42:$L$1040,"Y",'DEF_SELF_SCOUT_IMPORT'!$E$42:$E$1040,SUBSTITUTE(SUBSTITUTE(SUBSTITUTE($B995,"~","~~"),"*","~*"),"?","~?"),'DEF_SELF_SCOUT_IMPORT'!$Q$42:$Q$1040,SUBSTITUTE(SUBSTITUTE(SUBSTITUTE($M995,"~","~~"),"*","~*"),"?","~?"),'DEF_SELF_SCOUT_IMPORT'!$D$42:$D$1040,SUBSTITUTE(SUBSTITUTE(SUBSTITUTE($P995,"~","~~"),"*","~*"),"?","~?")))</f>
        <v>0.0</v>
      </c>
      <c r="G995" s="10">
        <f>IF($C995=0,"",COUNTIFS('DEF_SELF_SCOUT_IMPORT'!$L$42:$L$1040,"Y",'DEF_SELF_SCOUT_IMPORT'!$E$42:$E$1040,SUBSTITUTE(SUBSTITUTE(SUBSTITUTE($B995,"~","~~"),"*","~*"),"?","~?"),'DEF_SELF_SCOUT_IMPORT'!$Q$42:$Q$1040,SUBSTITUTE(SUBSTITUTE(SUBSTITUTE($M995,"~","~~"),"*","~*"),"?","~?"),'DEF_SELF_SCOUT_IMPORT'!$D$42:$D$1040,SUBSTITUTE(SUBSTITUTE(SUBSTITUTE($P995,"~","~~"),"*","~*"),"?","~?"),'DEF_SELF_SCOUT_IMPORT'!$H$42:$H$1040,"RUSH")/$C995)</f>
        <v>1.0</v>
      </c>
      <c r="H995" s="10">
        <f>IF($C995=0,"",COUNTIFS('DEF_SELF_SCOUT_IMPORT'!$L$42:$L$1040,"Y",'DEF_SELF_SCOUT_IMPORT'!$E$42:$E$1040,SUBSTITUTE(SUBSTITUTE(SUBSTITUTE($B995,"~","~~"),"*","~*"),"?","~?"),'DEF_SELF_SCOUT_IMPORT'!$Q$42:$Q$1040,SUBSTITUTE(SUBSTITUTE(SUBSTITUTE($M995,"~","~~"),"*","~*"),"?","~?"),'DEF_SELF_SCOUT_IMPORT'!$D$42:$D$1040,SUBSTITUTE(SUBSTITUTE(SUBSTITUTE($P995,"~","~~"),"*","~*"),"?","~?"),'DEF_SELF_SCOUT_IMPORT'!$H$42:$H$1040,"DROPBACK")/$C995)</f>
        <v>0.0</v>
      </c>
      <c r="I995" s="14" t="str">
        <f>IF(C995=0,"",IF(C995&lt;=2,"TRACK",IF(C995=3,"LOW",IF(C995&lt;=6,"MEDIUM","HIGH"))))</f>
        <v>TRACK</v>
      </c>
      <c r="J995" s="11">
        <f>IF(C995=0,"",ROUND(D995*70+(1-E995)*20+MAX(0,MIN(1,(10-F995)/10))*10,1))</f>
        <v>100.0</v>
      </c>
      <c r="K995" s="14" t="str">
        <f>IF(C995=0,"No Evidence",IF(C995&lt;=2,IF(E995&gt;0,"Explosive Alert","Track Only"),IF(C995=3,"Sample Watch",IF(E995&gt;=START_HERE!$B$31,"Explosive Alert",IF(J995&gt;=80,"Strong Candidate",IF(J995&gt;=65,"Good Candidate",IF(J995&gt;=50,"Mixed / Review","Problem Call")))))))</f>
        <v>Track Only</v>
      </c>
      <c r="L995" s="9" t="str">
        <f>IF(COUNTIFS('DEF_SELF_SCOUT_IMPORT'!$L$42:$L$1040,"Y",'DEF_SELF_SCOUT_IMPORT'!$E$42:$E$1040,SUBSTITUTE(SUBSTITUTE(SUBSTITUTE($B995,"~","~~"),"*","~*"),"?","~?"),'DEF_SELF_SCOUT_IMPORT'!$Q$42:$Q$1040,SUBSTITUTE(SUBSTITUTE(SUBSTITUTE($M995,"~","~~"),"*","~*"),"?","~?"),'DEF_SELF_SCOUT_IMPORT'!$D$42:$D$1040,SUBSTITUTE(SUBSTITUTE(SUBSTITUTE($P995,"~","~~"),"*","~*"),"?","~?"),'DEF_SELF_SCOUT_IMPORT'!$J$42:$J$1040,"")&gt;0,"Unscored clean outcome; review result tags before using score.",IF(C995=0,"No matching defensive reps; film confirmation needed.",IF(K995="Explosive Alert","Explosive risk; review clips before using as answer.",IF(C995&lt;=2,"Track only; not enough sample.",IF(C995=3,IF(E995&gt;0,"Sample watch with explosive exposure; review clips and build the sample.",IF(J995&gt;=65,"Good signal, but sample is limited.","Sample watch; review clips and build the sample.")),IF(K995="Problem Call","Problem area; practice or call-sheet review.",IF(K995="Strong Candidate","Strong call-fit candidate; confirm on film.",IF(K995="Good Candidate","Good call-fit signal; confirm on film.","Mixed signal; review fit and execution on film."))))))))</f>
        <v>Track only; not enough sample.</v>
      </c>
      <c r="M995" s="8" t="s">
        <v>103</v>
      </c>
      <c r="N995" s="8"/>
      <c r="O995" s="8"/>
      <c r="P995" s="8" t="s">
        <v>428</v>
      </c>
      <c r="Q995" s="8"/>
      <c r="R995" s="8" t="s">
        <v>429</v>
      </c>
      <c r="S995" s="2" t="s">
        <v>572</v>
      </c>
      <c r="T995" s="2">
        <f>IF(C995=0,0,IF(C995&gt;=CALL_LOOKUP_BOARD!$B$7,IF(OR(K995="Problem Call",K995="Explosive Alert"),10000000,20000000),0)+IF(C995&gt;=CALL_LOOKUP_BOARD!$B$7,J995*1000+MIN(C995,999),C995*1000+J995)+0.00981500)</f>
        <v>1100.009815</v>
      </c>
      <c r="U995" s="2" t="str">
        <f>IF(C995=0,"",IF(COUNTIFS($S$811:$S$1055,SUBSTITUTE(SUBSTITUTE(SUBSTITUTE(S995,"~","~~"),"*","~*"),"?","~?"),$T$811:$T$1055,"&gt;"&amp;T995)=0,S995,""))</f>
        <v>6:3D 4-6|11:INSIDE ZONE|</v>
      </c>
    </row>
    <row r="996" spans="1:21" ht="38" customHeight="1">
      <c r="A996" s="8" t="s">
        <v>571</v>
      </c>
      <c r="B996" s="8" t="s">
        <v>69</v>
      </c>
      <c r="C996" s="12">
        <f>COUNTIFS('DEF_SELF_SCOUT_IMPORT'!$L$42:$L$1040,"Y",'DEF_SELF_SCOUT_IMPORT'!$E$42:$E$1040,SUBSTITUTE(SUBSTITUTE(SUBSTITUTE($B996,"~","~~"),"*","~*"),"?","~?"),'DEF_SELF_SCOUT_IMPORT'!$Q$42:$Q$1040,SUBSTITUTE(SUBSTITUTE(SUBSTITUTE($M996,"~","~~"),"*","~*"),"?","~?"),'DEF_SELF_SCOUT_IMPORT'!$D$42:$D$1040,SUBSTITUTE(SUBSTITUTE(SUBSTITUTE($P996,"~","~~"),"*","~*"),"?","~?"))</f>
        <v>1</v>
      </c>
      <c r="D996" s="10">
        <f>IF($C996=0,"",SUMIFS('DEF_SELF_SCOUT_IMPORT'!$J$42:$J$1040,'DEF_SELF_SCOUT_IMPORT'!$L$42:$L$1040,"Y",'DEF_SELF_SCOUT_IMPORT'!$E$42:$E$1040,SUBSTITUTE(SUBSTITUTE(SUBSTITUTE($B996,"~","~~"),"*","~*"),"?","~?"),'DEF_SELF_SCOUT_IMPORT'!$Q$42:$Q$1040,SUBSTITUTE(SUBSTITUTE(SUBSTITUTE($M996,"~","~~"),"*","~*"),"?","~?"),'DEF_SELF_SCOUT_IMPORT'!$D$42:$D$1040,SUBSTITUTE(SUBSTITUTE(SUBSTITUTE($P996,"~","~~"),"*","~*"),"?","~?"))/$C996)</f>
        <v>0.0</v>
      </c>
      <c r="E996" s="10">
        <f>IF($C996=0,"",SUMIFS('DEF_SELF_SCOUT_IMPORT'!$K$42:$K$1040,'DEF_SELF_SCOUT_IMPORT'!$L$42:$L$1040,"Y",'DEF_SELF_SCOUT_IMPORT'!$E$42:$E$1040,SUBSTITUTE(SUBSTITUTE(SUBSTITUTE($B996,"~","~~"),"*","~*"),"?","~?"),'DEF_SELF_SCOUT_IMPORT'!$Q$42:$Q$1040,SUBSTITUTE(SUBSTITUTE(SUBSTITUTE($M996,"~","~~"),"*","~*"),"?","~?"),'DEF_SELF_SCOUT_IMPORT'!$D$42:$D$1040,SUBSTITUTE(SUBSTITUTE(SUBSTITUTE($P996,"~","~~"),"*","~*"),"?","~?"))/$C996)</f>
        <v>1.0</v>
      </c>
      <c r="F996" s="11">
        <f>IF($C996=0,"",AVERAGEIFS('DEF_SELF_SCOUT_IMPORT'!$I$42:$I$1040,'DEF_SELF_SCOUT_IMPORT'!$L$42:$L$1040,"Y",'DEF_SELF_SCOUT_IMPORT'!$E$42:$E$1040,SUBSTITUTE(SUBSTITUTE(SUBSTITUTE($B996,"~","~~"),"*","~*"),"?","~?"),'DEF_SELF_SCOUT_IMPORT'!$Q$42:$Q$1040,SUBSTITUTE(SUBSTITUTE(SUBSTITUTE($M996,"~","~~"),"*","~*"),"?","~?"),'DEF_SELF_SCOUT_IMPORT'!$D$42:$D$1040,SUBSTITUTE(SUBSTITUTE(SUBSTITUTE($P996,"~","~~"),"*","~*"),"?","~?")))</f>
        <v>19.0</v>
      </c>
      <c r="G996" s="10">
        <f>IF($C996=0,"",COUNTIFS('DEF_SELF_SCOUT_IMPORT'!$L$42:$L$1040,"Y",'DEF_SELF_SCOUT_IMPORT'!$E$42:$E$1040,SUBSTITUTE(SUBSTITUTE(SUBSTITUTE($B996,"~","~~"),"*","~*"),"?","~?"),'DEF_SELF_SCOUT_IMPORT'!$Q$42:$Q$1040,SUBSTITUTE(SUBSTITUTE(SUBSTITUTE($M996,"~","~~"),"*","~*"),"?","~?"),'DEF_SELF_SCOUT_IMPORT'!$D$42:$D$1040,SUBSTITUTE(SUBSTITUTE(SUBSTITUTE($P996,"~","~~"),"*","~*"),"?","~?"),'DEF_SELF_SCOUT_IMPORT'!$H$42:$H$1040,"RUSH")/$C996)</f>
        <v>1.0</v>
      </c>
      <c r="H996" s="10">
        <f>IF($C996=0,"",COUNTIFS('DEF_SELF_SCOUT_IMPORT'!$L$42:$L$1040,"Y",'DEF_SELF_SCOUT_IMPORT'!$E$42:$E$1040,SUBSTITUTE(SUBSTITUTE(SUBSTITUTE($B996,"~","~~"),"*","~*"),"?","~?"),'DEF_SELF_SCOUT_IMPORT'!$Q$42:$Q$1040,SUBSTITUTE(SUBSTITUTE(SUBSTITUTE($M996,"~","~~"),"*","~*"),"?","~?"),'DEF_SELF_SCOUT_IMPORT'!$D$42:$D$1040,SUBSTITUTE(SUBSTITUTE(SUBSTITUTE($P996,"~","~~"),"*","~*"),"?","~?"),'DEF_SELF_SCOUT_IMPORT'!$H$42:$H$1040,"DROPBACK")/$C996)</f>
        <v>0.0</v>
      </c>
      <c r="I996" s="14" t="str">
        <f>IF(C996=0,"",IF(C996&lt;=2,"TRACK",IF(C996=3,"LOW",IF(C996&lt;=6,"MEDIUM","HIGH"))))</f>
        <v>TRACK</v>
      </c>
      <c r="J996" s="11">
        <f>IF(C996=0,"",ROUND(D996*70+(1-E996)*20+MAX(0,MIN(1,(10-F996)/10))*10,1))</f>
        <v>0.0</v>
      </c>
      <c r="K996" s="14" t="str">
        <f>IF(C996=0,"No Evidence",IF(C996&lt;=2,IF(E996&gt;0,"Explosive Alert","Track Only"),IF(C996=3,"Sample Watch",IF(E996&gt;=START_HERE!$B$31,"Explosive Alert",IF(J996&gt;=80,"Strong Candidate",IF(J996&gt;=65,"Good Candidate",IF(J996&gt;=50,"Mixed / Review","Problem Call")))))))</f>
        <v>Explosive Alert</v>
      </c>
      <c r="L996" s="9" t="str">
        <f>IF(COUNTIFS('DEF_SELF_SCOUT_IMPORT'!$L$42:$L$1040,"Y",'DEF_SELF_SCOUT_IMPORT'!$E$42:$E$1040,SUBSTITUTE(SUBSTITUTE(SUBSTITUTE($B996,"~","~~"),"*","~*"),"?","~?"),'DEF_SELF_SCOUT_IMPORT'!$Q$42:$Q$1040,SUBSTITUTE(SUBSTITUTE(SUBSTITUTE($M996,"~","~~"),"*","~*"),"?","~?"),'DEF_SELF_SCOUT_IMPORT'!$D$42:$D$1040,SUBSTITUTE(SUBSTITUTE(SUBSTITUTE($P996,"~","~~"),"*","~*"),"?","~?"),'DEF_SELF_SCOUT_IMPORT'!$J$42:$J$1040,"")&gt;0,"Unscored clean outcome; review result tags before using score.",IF(C996=0,"No matching defensive reps; film confirmation needed.",IF(K996="Explosive Alert","Explosive risk; review clips before using as answer.",IF(C996&lt;=2,"Track only; not enough sample.",IF(C996=3,IF(E996&gt;0,"Sample watch with explosive exposure; review clips and build the sample.",IF(J996&gt;=65,"Good signal, but sample is limited.","Sample watch; review clips and build the sample.")),IF(K996="Problem Call","Problem area; practice or call-sheet review.",IF(K996="Strong Candidate","Strong call-fit candidate; confirm on film.",IF(K996="Good Candidate","Good call-fit signal; confirm on film.","Mixed signal; review fit and execution on film."))))))))</f>
        <v>Explosive risk; review clips before using as answer.</v>
      </c>
      <c r="M996" s="8" t="s">
        <v>103</v>
      </c>
      <c r="N996" s="8"/>
      <c r="O996" s="8"/>
      <c r="P996" s="8" t="s">
        <v>428</v>
      </c>
      <c r="Q996" s="8"/>
      <c r="R996" s="8" t="s">
        <v>429</v>
      </c>
      <c r="S996" s="2" t="s">
        <v>572</v>
      </c>
      <c r="T996" s="2">
        <f>IF(C996=0,0,IF(C996&gt;=CALL_LOOKUP_BOARD!$B$7,IF(OR(K996="Problem Call",K996="Explosive Alert"),10000000,20000000),0)+IF(C996&gt;=CALL_LOOKUP_BOARD!$B$7,J996*1000+MIN(C996,999),C996*1000+J996)+0.00981400)</f>
        <v>1000.009814</v>
      </c>
      <c r="U996" s="2">
        <f>IF(C996=0,"",IF(COUNTIFS($S$811:$S$1055,SUBSTITUTE(SUBSTITUTE(SUBSTITUTE(S996,"~","~~"),"*","~*"),"?","~?"),$T$811:$T$1055,"&gt;"&amp;T996)=0,S996,""))</f>
        <v/>
      </c>
    </row>
    <row r="997" spans="1:21" ht="38" customHeight="1">
      <c r="A997" s="8" t="s">
        <v>573</v>
      </c>
      <c r="B997" s="8" t="s">
        <v>95</v>
      </c>
      <c r="C997" s="12">
        <f>COUNTIFS('DEF_SELF_SCOUT_IMPORT'!$L$42:$L$1040,"Y",'DEF_SELF_SCOUT_IMPORT'!$E$42:$E$1040,SUBSTITUTE(SUBSTITUTE(SUBSTITUTE($B997,"~","~~"),"*","~*"),"?","~?"),'DEF_SELF_SCOUT_IMPORT'!$Q$42:$Q$1040,SUBSTITUTE(SUBSTITUTE(SUBSTITUTE($M997,"~","~~"),"*","~*"),"?","~?"),'DEF_SELF_SCOUT_IMPORT'!$D$42:$D$1040,SUBSTITUTE(SUBSTITUTE(SUBSTITUTE($P997,"~","~~"),"*","~*"),"?","~?"))</f>
        <v>1</v>
      </c>
      <c r="D997" s="10">
        <f>IF($C997=0,"",SUMIFS('DEF_SELF_SCOUT_IMPORT'!$J$42:$J$1040,'DEF_SELF_SCOUT_IMPORT'!$L$42:$L$1040,"Y",'DEF_SELF_SCOUT_IMPORT'!$E$42:$E$1040,SUBSTITUTE(SUBSTITUTE(SUBSTITUTE($B997,"~","~~"),"*","~*"),"?","~?"),'DEF_SELF_SCOUT_IMPORT'!$Q$42:$Q$1040,SUBSTITUTE(SUBSTITUTE(SUBSTITUTE($M997,"~","~~"),"*","~*"),"?","~?"),'DEF_SELF_SCOUT_IMPORT'!$D$42:$D$1040,SUBSTITUTE(SUBSTITUTE(SUBSTITUTE($P997,"~","~~"),"*","~*"),"?","~?"))/$C997)</f>
        <v>1.0</v>
      </c>
      <c r="E997" s="10">
        <f>IF($C997=0,"",SUMIFS('DEF_SELF_SCOUT_IMPORT'!$K$42:$K$1040,'DEF_SELF_SCOUT_IMPORT'!$L$42:$L$1040,"Y",'DEF_SELF_SCOUT_IMPORT'!$E$42:$E$1040,SUBSTITUTE(SUBSTITUTE(SUBSTITUTE($B997,"~","~~"),"*","~*"),"?","~?"),'DEF_SELF_SCOUT_IMPORT'!$Q$42:$Q$1040,SUBSTITUTE(SUBSTITUTE(SUBSTITUTE($M997,"~","~~"),"*","~*"),"?","~?"),'DEF_SELF_SCOUT_IMPORT'!$D$42:$D$1040,SUBSTITUTE(SUBSTITUTE(SUBSTITUTE($P997,"~","~~"),"*","~*"),"?","~?"))/$C997)</f>
        <v>0.0</v>
      </c>
      <c r="F997" s="11">
        <f>IF($C997=0,"",AVERAGEIFS('DEF_SELF_SCOUT_IMPORT'!$I$42:$I$1040,'DEF_SELF_SCOUT_IMPORT'!$L$42:$L$1040,"Y",'DEF_SELF_SCOUT_IMPORT'!$E$42:$E$1040,SUBSTITUTE(SUBSTITUTE(SUBSTITUTE($B997,"~","~~"),"*","~*"),"?","~?"),'DEF_SELF_SCOUT_IMPORT'!$Q$42:$Q$1040,SUBSTITUTE(SUBSTITUTE(SUBSTITUTE($M997,"~","~~"),"*","~*"),"?","~?"),'DEF_SELF_SCOUT_IMPORT'!$D$42:$D$1040,SUBSTITUTE(SUBSTITUTE(SUBSTITUTE($P997,"~","~~"),"*","~*"),"?","~?")))</f>
        <v>-1.0</v>
      </c>
      <c r="G997" s="10">
        <f>IF($C997=0,"",COUNTIFS('DEF_SELF_SCOUT_IMPORT'!$L$42:$L$1040,"Y",'DEF_SELF_SCOUT_IMPORT'!$E$42:$E$1040,SUBSTITUTE(SUBSTITUTE(SUBSTITUTE($B997,"~","~~"),"*","~*"),"?","~?"),'DEF_SELF_SCOUT_IMPORT'!$Q$42:$Q$1040,SUBSTITUTE(SUBSTITUTE(SUBSTITUTE($M997,"~","~~"),"*","~*"),"?","~?"),'DEF_SELF_SCOUT_IMPORT'!$D$42:$D$1040,SUBSTITUTE(SUBSTITUTE(SUBSTITUTE($P997,"~","~~"),"*","~*"),"?","~?"),'DEF_SELF_SCOUT_IMPORT'!$H$42:$H$1040,"RUSH")/$C997)</f>
        <v>1.0</v>
      </c>
      <c r="H997" s="10">
        <f>IF($C997=0,"",COUNTIFS('DEF_SELF_SCOUT_IMPORT'!$L$42:$L$1040,"Y",'DEF_SELF_SCOUT_IMPORT'!$E$42:$E$1040,SUBSTITUTE(SUBSTITUTE(SUBSTITUTE($B997,"~","~~"),"*","~*"),"?","~?"),'DEF_SELF_SCOUT_IMPORT'!$Q$42:$Q$1040,SUBSTITUTE(SUBSTITUTE(SUBSTITUTE($M997,"~","~~"),"*","~*"),"?","~?"),'DEF_SELF_SCOUT_IMPORT'!$D$42:$D$1040,SUBSTITUTE(SUBSTITUTE(SUBSTITUTE($P997,"~","~~"),"*","~*"),"?","~?"),'DEF_SELF_SCOUT_IMPORT'!$H$42:$H$1040,"DROPBACK")/$C997)</f>
        <v>0.0</v>
      </c>
      <c r="I997" s="14" t="str">
        <f>IF(C997=0,"",IF(C997&lt;=2,"TRACK",IF(C997=3,"LOW",IF(C997&lt;=6,"MEDIUM","HIGH"))))</f>
        <v>TRACK</v>
      </c>
      <c r="J997" s="11">
        <f>IF(C997=0,"",ROUND(D997*70+(1-E997)*20+MAX(0,MIN(1,(10-F997)/10))*10,1))</f>
        <v>100.0</v>
      </c>
      <c r="K997" s="14" t="str">
        <f>IF(C997=0,"No Evidence",IF(C997&lt;=2,IF(E997&gt;0,"Explosive Alert","Track Only"),IF(C997=3,"Sample Watch",IF(E997&gt;=START_HERE!$B$31,"Explosive Alert",IF(J997&gt;=80,"Strong Candidate",IF(J997&gt;=65,"Good Candidate",IF(J997&gt;=50,"Mixed / Review","Problem Call")))))))</f>
        <v>Track Only</v>
      </c>
      <c r="L997" s="9" t="str">
        <f>IF(COUNTIFS('DEF_SELF_SCOUT_IMPORT'!$L$42:$L$1040,"Y",'DEF_SELF_SCOUT_IMPORT'!$E$42:$E$1040,SUBSTITUTE(SUBSTITUTE(SUBSTITUTE($B997,"~","~~"),"*","~*"),"?","~?"),'DEF_SELF_SCOUT_IMPORT'!$Q$42:$Q$1040,SUBSTITUTE(SUBSTITUTE(SUBSTITUTE($M997,"~","~~"),"*","~*"),"?","~?"),'DEF_SELF_SCOUT_IMPORT'!$D$42:$D$1040,SUBSTITUTE(SUBSTITUTE(SUBSTITUTE($P997,"~","~~"),"*","~*"),"?","~?"),'DEF_SELF_SCOUT_IMPORT'!$J$42:$J$1040,"")&gt;0,"Unscored clean outcome; review result tags before using score.",IF(C997=0,"No matching defensive reps; film confirmation needed.",IF(K997="Explosive Alert","Explosive risk; review clips before using as answer.",IF(C997&lt;=2,"Track only; not enough sample.",IF(C997=3,IF(E997&gt;0,"Sample watch with explosive exposure; review clips and build the sample.",IF(J997&gt;=65,"Good signal, but sample is limited.","Sample watch; review clips and build the sample.")),IF(K997="Problem Call","Problem area; practice or call-sheet review.",IF(K997="Strong Candidate","Strong call-fit candidate; confirm on film.",IF(K997="Good Candidate","Good call-fit signal; confirm on film.","Mixed signal; review fit and execution on film."))))))))</f>
        <v>Track only; not enough sample.</v>
      </c>
      <c r="M997" s="8" t="s">
        <v>103</v>
      </c>
      <c r="N997" s="8"/>
      <c r="O997" s="8"/>
      <c r="P997" s="8" t="s">
        <v>574</v>
      </c>
      <c r="Q997" s="8"/>
      <c r="R997" s="8" t="s">
        <v>429</v>
      </c>
      <c r="S997" s="2" t="s">
        <v>575</v>
      </c>
      <c r="T997" s="2">
        <f>IF(C997=0,0,IF(C997&gt;=CALL_LOOKUP_BOARD!$B$7,IF(OR(K997="Problem Call",K997="Explosive Alert"),10000000,20000000),0)+IF(C997&gt;=CALL_LOOKUP_BOARD!$B$7,J997*1000+MIN(C997,999),C997*1000+J997)+0.00981300)</f>
        <v>1100.009813</v>
      </c>
      <c r="U997" s="2" t="str">
        <f>IF(C997=0,"",IF(COUNTIFS($S$811:$S$1055,SUBSTITUTE(SUBSTITUTE(SUBSTITUTE(S997,"~","~~"),"*","~*"),"?","~?"),$T$811:$T$1055,"&gt;"&amp;T997)=0,S997,""))</f>
        <v>6:3D 4-6|6:OPTION|</v>
      </c>
    </row>
    <row r="998" spans="1:21" ht="38" customHeight="1">
      <c r="A998" s="8" t="s">
        <v>576</v>
      </c>
      <c r="B998" s="8" t="s">
        <v>102</v>
      </c>
      <c r="C998" s="12">
        <f>COUNTIFS('DEF_SELF_SCOUT_IMPORT'!$L$42:$L$1040,"Y",'DEF_SELF_SCOUT_IMPORT'!$E$42:$E$1040,SUBSTITUTE(SUBSTITUTE(SUBSTITUTE($B998,"~","~~"),"*","~*"),"?","~?"),'DEF_SELF_SCOUT_IMPORT'!$Q$42:$Q$1040,SUBSTITUTE(SUBSTITUTE(SUBSTITUTE($M998,"~","~~"),"*","~*"),"?","~?"),'DEF_SELF_SCOUT_IMPORT'!$D$42:$D$1040,SUBSTITUTE(SUBSTITUTE(SUBSTITUTE($P998,"~","~~"),"*","~*"),"?","~?"))</f>
        <v>1</v>
      </c>
      <c r="D998" s="10">
        <f>IF($C998=0,"",SUMIFS('DEF_SELF_SCOUT_IMPORT'!$J$42:$J$1040,'DEF_SELF_SCOUT_IMPORT'!$L$42:$L$1040,"Y",'DEF_SELF_SCOUT_IMPORT'!$E$42:$E$1040,SUBSTITUTE(SUBSTITUTE(SUBSTITUTE($B998,"~","~~"),"*","~*"),"?","~?"),'DEF_SELF_SCOUT_IMPORT'!$Q$42:$Q$1040,SUBSTITUTE(SUBSTITUTE(SUBSTITUTE($M998,"~","~~"),"*","~*"),"?","~?"),'DEF_SELF_SCOUT_IMPORT'!$D$42:$D$1040,SUBSTITUTE(SUBSTITUTE(SUBSTITUTE($P998,"~","~~"),"*","~*"),"?","~?"))/$C998)</f>
        <v>1.0</v>
      </c>
      <c r="E998" s="10">
        <f>IF($C998=0,"",SUMIFS('DEF_SELF_SCOUT_IMPORT'!$K$42:$K$1040,'DEF_SELF_SCOUT_IMPORT'!$L$42:$L$1040,"Y",'DEF_SELF_SCOUT_IMPORT'!$E$42:$E$1040,SUBSTITUTE(SUBSTITUTE(SUBSTITUTE($B998,"~","~~"),"*","~*"),"?","~?"),'DEF_SELF_SCOUT_IMPORT'!$Q$42:$Q$1040,SUBSTITUTE(SUBSTITUTE(SUBSTITUTE($M998,"~","~~"),"*","~*"),"?","~?"),'DEF_SELF_SCOUT_IMPORT'!$D$42:$D$1040,SUBSTITUTE(SUBSTITUTE(SUBSTITUTE($P998,"~","~~"),"*","~*"),"?","~?"))/$C998)</f>
        <v>0.0</v>
      </c>
      <c r="F998" s="11">
        <f>IF($C998=0,"",AVERAGEIFS('DEF_SELF_SCOUT_IMPORT'!$I$42:$I$1040,'DEF_SELF_SCOUT_IMPORT'!$L$42:$L$1040,"Y",'DEF_SELF_SCOUT_IMPORT'!$E$42:$E$1040,SUBSTITUTE(SUBSTITUTE(SUBSTITUTE($B998,"~","~~"),"*","~*"),"?","~?"),'DEF_SELF_SCOUT_IMPORT'!$Q$42:$Q$1040,SUBSTITUTE(SUBSTITUTE(SUBSTITUTE($M998,"~","~~"),"*","~*"),"?","~?"),'DEF_SELF_SCOUT_IMPORT'!$D$42:$D$1040,SUBSTITUTE(SUBSTITUTE(SUBSTITUTE($P998,"~","~~"),"*","~*"),"?","~?")))</f>
        <v>1.0</v>
      </c>
      <c r="G998" s="10">
        <f>IF($C998=0,"",COUNTIFS('DEF_SELF_SCOUT_IMPORT'!$L$42:$L$1040,"Y",'DEF_SELF_SCOUT_IMPORT'!$E$42:$E$1040,SUBSTITUTE(SUBSTITUTE(SUBSTITUTE($B998,"~","~~"),"*","~*"),"?","~?"),'DEF_SELF_SCOUT_IMPORT'!$Q$42:$Q$1040,SUBSTITUTE(SUBSTITUTE(SUBSTITUTE($M998,"~","~~"),"*","~*"),"?","~?"),'DEF_SELF_SCOUT_IMPORT'!$D$42:$D$1040,SUBSTITUTE(SUBSTITUTE(SUBSTITUTE($P998,"~","~~"),"*","~*"),"?","~?"),'DEF_SELF_SCOUT_IMPORT'!$H$42:$H$1040,"RUSH")/$C998)</f>
        <v>0.0</v>
      </c>
      <c r="H998" s="10">
        <f>IF($C998=0,"",COUNTIFS('DEF_SELF_SCOUT_IMPORT'!$L$42:$L$1040,"Y",'DEF_SELF_SCOUT_IMPORT'!$E$42:$E$1040,SUBSTITUTE(SUBSTITUTE(SUBSTITUTE($B998,"~","~~"),"*","~*"),"?","~?"),'DEF_SELF_SCOUT_IMPORT'!$Q$42:$Q$1040,SUBSTITUTE(SUBSTITUTE(SUBSTITUTE($M998,"~","~~"),"*","~*"),"?","~?"),'DEF_SELF_SCOUT_IMPORT'!$D$42:$D$1040,SUBSTITUTE(SUBSTITUTE(SUBSTITUTE($P998,"~","~~"),"*","~*"),"?","~?"),'DEF_SELF_SCOUT_IMPORT'!$H$42:$H$1040,"DROPBACK")/$C998)</f>
        <v>1.0</v>
      </c>
      <c r="I998" s="14" t="str">
        <f>IF(C998=0,"",IF(C998&lt;=2,"TRACK",IF(C998=3,"LOW",IF(C998&lt;=6,"MEDIUM","HIGH"))))</f>
        <v>TRACK</v>
      </c>
      <c r="J998" s="11">
        <f>IF(C998=0,"",ROUND(D998*70+(1-E998)*20+MAX(0,MIN(1,(10-F998)/10))*10,1))</f>
        <v>99.0</v>
      </c>
      <c r="K998" s="14" t="str">
        <f>IF(C998=0,"No Evidence",IF(C998&lt;=2,IF(E998&gt;0,"Explosive Alert","Track Only"),IF(C998=3,"Sample Watch",IF(E998&gt;=START_HERE!$B$31,"Explosive Alert",IF(J998&gt;=80,"Strong Candidate",IF(J998&gt;=65,"Good Candidate",IF(J998&gt;=50,"Mixed / Review","Problem Call")))))))</f>
        <v>Track Only</v>
      </c>
      <c r="L998" s="9" t="str">
        <f>IF(COUNTIFS('DEF_SELF_SCOUT_IMPORT'!$L$42:$L$1040,"Y",'DEF_SELF_SCOUT_IMPORT'!$E$42:$E$1040,SUBSTITUTE(SUBSTITUTE(SUBSTITUTE($B998,"~","~~"),"*","~*"),"?","~?"),'DEF_SELF_SCOUT_IMPORT'!$Q$42:$Q$1040,SUBSTITUTE(SUBSTITUTE(SUBSTITUTE($M998,"~","~~"),"*","~*"),"?","~?"),'DEF_SELF_SCOUT_IMPORT'!$D$42:$D$1040,SUBSTITUTE(SUBSTITUTE(SUBSTITUTE($P998,"~","~~"),"*","~*"),"?","~?"),'DEF_SELF_SCOUT_IMPORT'!$J$42:$J$1040,"")&gt;0,"Unscored clean outcome; review result tags before using score.",IF(C998=0,"No matching defensive reps; film confirmation needed.",IF(K998="Explosive Alert","Explosive risk; review clips before using as answer.",IF(C998&lt;=2,"Track only; not enough sample.",IF(C998=3,IF(E998&gt;0,"Sample watch with explosive exposure; review clips and build the sample.",IF(J998&gt;=65,"Good signal, but sample is limited.","Sample watch; review clips and build the sample.")),IF(K998="Problem Call","Problem area; practice or call-sheet review.",IF(K998="Strong Candidate","Strong call-fit candidate; confirm on film.",IF(K998="Good Candidate","Good call-fit signal; confirm on film.","Mixed signal; review fit and execution on film."))))))))</f>
        <v>Track only; not enough sample.</v>
      </c>
      <c r="M998" s="8" t="s">
        <v>103</v>
      </c>
      <c r="N998" s="8"/>
      <c r="O998" s="8"/>
      <c r="P998" s="8" t="s">
        <v>474</v>
      </c>
      <c r="Q998" s="8"/>
      <c r="R998" s="8" t="s">
        <v>429</v>
      </c>
      <c r="S998" s="2" t="s">
        <v>577</v>
      </c>
      <c r="T998" s="2">
        <f>IF(C998=0,0,IF(C998&gt;=CALL_LOOKUP_BOARD!$B$7,IF(OR(K998="Problem Call",K998="Explosive Alert"),10000000,20000000),0)+IF(C998&gt;=CALL_LOOKUP_BOARD!$B$7,J998*1000+MIN(C998,999),C998*1000+J998)+0.00981200)</f>
        <v>1099.009812</v>
      </c>
      <c r="U998" s="2" t="str">
        <f>IF(C998=0,"",IF(COUNTIFS($S$811:$S$1055,SUBSTITUTE(SUBSTITUTE(SUBSTITUTE(S998,"~","~~"),"*","~*"),"?","~?"),$T$811:$T$1055,"&gt;"&amp;T998)=0,S998,""))</f>
        <v>6:3D 4-6|6:SCREEN|</v>
      </c>
    </row>
    <row r="999" spans="1:21" ht="38" customHeight="1">
      <c r="A999" s="8" t="s">
        <v>578</v>
      </c>
      <c r="B999" s="8" t="s">
        <v>109</v>
      </c>
      <c r="C999" s="12">
        <f>COUNTIFS('DEF_SELF_SCOUT_IMPORT'!$L$42:$L$1040,"Y",'DEF_SELF_SCOUT_IMPORT'!$E$42:$E$1040,SUBSTITUTE(SUBSTITUTE(SUBSTITUTE($B999,"~","~~"),"*","~*"),"?","~?"),'DEF_SELF_SCOUT_IMPORT'!$Q$42:$Q$1040,SUBSTITUTE(SUBSTITUTE(SUBSTITUTE($M999,"~","~~"),"*","~*"),"?","~?"),'DEF_SELF_SCOUT_IMPORT'!$D$42:$D$1040,SUBSTITUTE(SUBSTITUTE(SUBSTITUTE($P999,"~","~~"),"*","~*"),"?","~?"))</f>
        <v>1</v>
      </c>
      <c r="D999" s="10">
        <f>IF($C999=0,"",SUMIFS('DEF_SELF_SCOUT_IMPORT'!$J$42:$J$1040,'DEF_SELF_SCOUT_IMPORT'!$L$42:$L$1040,"Y",'DEF_SELF_SCOUT_IMPORT'!$E$42:$E$1040,SUBSTITUTE(SUBSTITUTE(SUBSTITUTE($B999,"~","~~"),"*","~*"),"?","~?"),'DEF_SELF_SCOUT_IMPORT'!$Q$42:$Q$1040,SUBSTITUTE(SUBSTITUTE(SUBSTITUTE($M999,"~","~~"),"*","~*"),"?","~?"),'DEF_SELF_SCOUT_IMPORT'!$D$42:$D$1040,SUBSTITUTE(SUBSTITUTE(SUBSTITUTE($P999,"~","~~"),"*","~*"),"?","~?"))/$C999)</f>
        <v>0.0</v>
      </c>
      <c r="E999" s="10">
        <f>IF($C999=0,"",SUMIFS('DEF_SELF_SCOUT_IMPORT'!$K$42:$K$1040,'DEF_SELF_SCOUT_IMPORT'!$L$42:$L$1040,"Y",'DEF_SELF_SCOUT_IMPORT'!$E$42:$E$1040,SUBSTITUTE(SUBSTITUTE(SUBSTITUTE($B999,"~","~~"),"*","~*"),"?","~?"),'DEF_SELF_SCOUT_IMPORT'!$Q$42:$Q$1040,SUBSTITUTE(SUBSTITUTE(SUBSTITUTE($M999,"~","~~"),"*","~*"),"?","~?"),'DEF_SELF_SCOUT_IMPORT'!$D$42:$D$1040,SUBSTITUTE(SUBSTITUTE(SUBSTITUTE($P999,"~","~~"),"*","~*"),"?","~?"))/$C999)</f>
        <v>1.0</v>
      </c>
      <c r="F999" s="11">
        <f>IF($C999=0,"",AVERAGEIFS('DEF_SELF_SCOUT_IMPORT'!$I$42:$I$1040,'DEF_SELF_SCOUT_IMPORT'!$L$42:$L$1040,"Y",'DEF_SELF_SCOUT_IMPORT'!$E$42:$E$1040,SUBSTITUTE(SUBSTITUTE(SUBSTITUTE($B999,"~","~~"),"*","~*"),"?","~?"),'DEF_SELF_SCOUT_IMPORT'!$Q$42:$Q$1040,SUBSTITUTE(SUBSTITUTE(SUBSTITUTE($M999,"~","~~"),"*","~*"),"?","~?"),'DEF_SELF_SCOUT_IMPORT'!$D$42:$D$1040,SUBSTITUTE(SUBSTITUTE(SUBSTITUTE($P999,"~","~~"),"*","~*"),"?","~?")))</f>
        <v>16.0</v>
      </c>
      <c r="G999" s="10">
        <f>IF($C999=0,"",COUNTIFS('DEF_SELF_SCOUT_IMPORT'!$L$42:$L$1040,"Y",'DEF_SELF_SCOUT_IMPORT'!$E$42:$E$1040,SUBSTITUTE(SUBSTITUTE(SUBSTITUTE($B999,"~","~~"),"*","~*"),"?","~?"),'DEF_SELF_SCOUT_IMPORT'!$Q$42:$Q$1040,SUBSTITUTE(SUBSTITUTE(SUBSTITUTE($M999,"~","~~"),"*","~*"),"?","~?"),'DEF_SELF_SCOUT_IMPORT'!$D$42:$D$1040,SUBSTITUTE(SUBSTITUTE(SUBSTITUTE($P999,"~","~~"),"*","~*"),"?","~?"),'DEF_SELF_SCOUT_IMPORT'!$H$42:$H$1040,"RUSH")/$C999)</f>
        <v>0.0</v>
      </c>
      <c r="H999" s="10">
        <f>IF($C999=0,"",COUNTIFS('DEF_SELF_SCOUT_IMPORT'!$L$42:$L$1040,"Y",'DEF_SELF_SCOUT_IMPORT'!$E$42:$E$1040,SUBSTITUTE(SUBSTITUTE(SUBSTITUTE($B999,"~","~~"),"*","~*"),"?","~?"),'DEF_SELF_SCOUT_IMPORT'!$Q$42:$Q$1040,SUBSTITUTE(SUBSTITUTE(SUBSTITUTE($M999,"~","~~"),"*","~*"),"?","~?"),'DEF_SELF_SCOUT_IMPORT'!$D$42:$D$1040,SUBSTITUTE(SUBSTITUTE(SUBSTITUTE($P999,"~","~~"),"*","~*"),"?","~?"),'DEF_SELF_SCOUT_IMPORT'!$H$42:$H$1040,"DROPBACK")/$C999)</f>
        <v>1.0</v>
      </c>
      <c r="I999" s="14" t="str">
        <f>IF(C999=0,"",IF(C999&lt;=2,"TRACK",IF(C999=3,"LOW",IF(C999&lt;=6,"MEDIUM","HIGH"))))</f>
        <v>TRACK</v>
      </c>
      <c r="J999" s="11">
        <f>IF(C999=0,"",ROUND(D999*70+(1-E999)*20+MAX(0,MIN(1,(10-F999)/10))*10,1))</f>
        <v>0.0</v>
      </c>
      <c r="K999" s="14" t="str">
        <f>IF(C999=0,"No Evidence",IF(C999&lt;=2,IF(E999&gt;0,"Explosive Alert","Track Only"),IF(C999=3,"Sample Watch",IF(E999&gt;=START_HERE!$B$31,"Explosive Alert",IF(J999&gt;=80,"Strong Candidate",IF(J999&gt;=65,"Good Candidate",IF(J999&gt;=50,"Mixed / Review","Problem Call")))))))</f>
        <v>Explosive Alert</v>
      </c>
      <c r="L999" s="9" t="str">
        <f>IF(COUNTIFS('DEF_SELF_SCOUT_IMPORT'!$L$42:$L$1040,"Y",'DEF_SELF_SCOUT_IMPORT'!$E$42:$E$1040,SUBSTITUTE(SUBSTITUTE(SUBSTITUTE($B999,"~","~~"),"*","~*"),"?","~?"),'DEF_SELF_SCOUT_IMPORT'!$Q$42:$Q$1040,SUBSTITUTE(SUBSTITUTE(SUBSTITUTE($M999,"~","~~"),"*","~*"),"?","~?"),'DEF_SELF_SCOUT_IMPORT'!$D$42:$D$1040,SUBSTITUTE(SUBSTITUTE(SUBSTITUTE($P999,"~","~~"),"*","~*"),"?","~?"),'DEF_SELF_SCOUT_IMPORT'!$J$42:$J$1040,"")&gt;0,"Unscored clean outcome; review result tags before using score.",IF(C999=0,"No matching defensive reps; film confirmation needed.",IF(K999="Explosive Alert","Explosive risk; review clips before using as answer.",IF(C999&lt;=2,"Track only; not enough sample.",IF(C999=3,IF(E999&gt;0,"Sample watch with explosive exposure; review clips and build the sample.",IF(J999&gt;=65,"Good signal, but sample is limited.","Sample watch; review clips and build the sample.")),IF(K999="Problem Call","Problem area; practice or call-sheet review.",IF(K999="Strong Candidate","Strong call-fit candidate; confirm on film.",IF(K999="Good Candidate","Good call-fit signal; confirm on film.","Mixed signal; review fit and execution on film."))))))))</f>
        <v>Explosive risk; review clips before using as answer.</v>
      </c>
      <c r="M999" s="8" t="s">
        <v>107</v>
      </c>
      <c r="N999" s="8"/>
      <c r="O999" s="8"/>
      <c r="P999" s="8" t="s">
        <v>446</v>
      </c>
      <c r="Q999" s="8"/>
      <c r="R999" s="8" t="s">
        <v>429</v>
      </c>
      <c r="S999" s="2" t="s">
        <v>579</v>
      </c>
      <c r="T999" s="2">
        <f>IF(C999=0,0,IF(C999&gt;=CALL_LOOKUP_BOARD!$B$7,IF(OR(K999="Problem Call",K999="Explosive Alert"),10000000,20000000),0)+IF(C999&gt;=CALL_LOOKUP_BOARD!$B$7,J999*1000+MIN(C999,999),C999*1000+J999)+0.00981100)</f>
        <v>1000.009811</v>
      </c>
      <c r="U999" s="2" t="str">
        <f>IF(C999=0,"",IF(COUNTIFS($S$811:$S$1055,SUBSTITUTE(SUBSTITUTE(SUBSTITUTE(S999,"~","~~"),"*","~*"),"?","~?"),$T$811:$T$1055,"&gt;"&amp;T999)=0,S999,""))</f>
        <v>7:3D 7-10|6:3 STEP|</v>
      </c>
    </row>
    <row r="1000" spans="1:21" ht="38" customHeight="1">
      <c r="A1000" s="8" t="s">
        <v>580</v>
      </c>
      <c r="B1000" s="8" t="s">
        <v>93</v>
      </c>
      <c r="C1000" s="12">
        <f>COUNTIFS('DEF_SELF_SCOUT_IMPORT'!$L$42:$L$1040,"Y",'DEF_SELF_SCOUT_IMPORT'!$E$42:$E$1040,SUBSTITUTE(SUBSTITUTE(SUBSTITUTE($B1000,"~","~~"),"*","~*"),"?","~?"),'DEF_SELF_SCOUT_IMPORT'!$Q$42:$Q$1040,SUBSTITUTE(SUBSTITUTE(SUBSTITUTE($M1000,"~","~~"),"*","~*"),"?","~?"),'DEF_SELF_SCOUT_IMPORT'!$D$42:$D$1040,SUBSTITUTE(SUBSTITUTE(SUBSTITUTE($P1000,"~","~~"),"*","~*"),"?","~?"))</f>
        <v>1</v>
      </c>
      <c r="D1000" s="10">
        <f>IF($C1000=0,"",SUMIFS('DEF_SELF_SCOUT_IMPORT'!$J$42:$J$1040,'DEF_SELF_SCOUT_IMPORT'!$L$42:$L$1040,"Y",'DEF_SELF_SCOUT_IMPORT'!$E$42:$E$1040,SUBSTITUTE(SUBSTITUTE(SUBSTITUTE($B1000,"~","~~"),"*","~*"),"?","~?"),'DEF_SELF_SCOUT_IMPORT'!$Q$42:$Q$1040,SUBSTITUTE(SUBSTITUTE(SUBSTITUTE($M1000,"~","~~"),"*","~*"),"?","~?"),'DEF_SELF_SCOUT_IMPORT'!$D$42:$D$1040,SUBSTITUTE(SUBSTITUTE(SUBSTITUTE($P1000,"~","~~"),"*","~*"),"?","~?"))/$C1000)</f>
        <v>0.0</v>
      </c>
      <c r="E1000" s="10">
        <f>IF($C1000=0,"",SUMIFS('DEF_SELF_SCOUT_IMPORT'!$K$42:$K$1040,'DEF_SELF_SCOUT_IMPORT'!$L$42:$L$1040,"Y",'DEF_SELF_SCOUT_IMPORT'!$E$42:$E$1040,SUBSTITUTE(SUBSTITUTE(SUBSTITUTE($B1000,"~","~~"),"*","~*"),"?","~?"),'DEF_SELF_SCOUT_IMPORT'!$Q$42:$Q$1040,SUBSTITUTE(SUBSTITUTE(SUBSTITUTE($M1000,"~","~~"),"*","~*"),"?","~?"),'DEF_SELF_SCOUT_IMPORT'!$D$42:$D$1040,SUBSTITUTE(SUBSTITUTE(SUBSTITUTE($P1000,"~","~~"),"*","~*"),"?","~?"))/$C1000)</f>
        <v>1.0</v>
      </c>
      <c r="F1000" s="11">
        <f>IF($C1000=0,"",AVERAGEIFS('DEF_SELF_SCOUT_IMPORT'!$I$42:$I$1040,'DEF_SELF_SCOUT_IMPORT'!$L$42:$L$1040,"Y",'DEF_SELF_SCOUT_IMPORT'!$E$42:$E$1040,SUBSTITUTE(SUBSTITUTE(SUBSTITUTE($B1000,"~","~~"),"*","~*"),"?","~?"),'DEF_SELF_SCOUT_IMPORT'!$Q$42:$Q$1040,SUBSTITUTE(SUBSTITUTE(SUBSTITUTE($M1000,"~","~~"),"*","~*"),"?","~?"),'DEF_SELF_SCOUT_IMPORT'!$D$42:$D$1040,SUBSTITUTE(SUBSTITUTE(SUBSTITUTE($P1000,"~","~~"),"*","~*"),"?","~?")))</f>
        <v>21.0</v>
      </c>
      <c r="G1000" s="10">
        <f>IF($C1000=0,"",COUNTIFS('DEF_SELF_SCOUT_IMPORT'!$L$42:$L$1040,"Y",'DEF_SELF_SCOUT_IMPORT'!$E$42:$E$1040,SUBSTITUTE(SUBSTITUTE(SUBSTITUTE($B1000,"~","~~"),"*","~*"),"?","~?"),'DEF_SELF_SCOUT_IMPORT'!$Q$42:$Q$1040,SUBSTITUTE(SUBSTITUTE(SUBSTITUTE($M1000,"~","~~"),"*","~*"),"?","~?"),'DEF_SELF_SCOUT_IMPORT'!$D$42:$D$1040,SUBSTITUTE(SUBSTITUTE(SUBSTITUTE($P1000,"~","~~"),"*","~*"),"?","~?"),'DEF_SELF_SCOUT_IMPORT'!$H$42:$H$1040,"RUSH")/$C1000)</f>
        <v>0.0</v>
      </c>
      <c r="H1000" s="10">
        <f>IF($C1000=0,"",COUNTIFS('DEF_SELF_SCOUT_IMPORT'!$L$42:$L$1040,"Y",'DEF_SELF_SCOUT_IMPORT'!$E$42:$E$1040,SUBSTITUTE(SUBSTITUTE(SUBSTITUTE($B1000,"~","~~"),"*","~*"),"?","~?"),'DEF_SELF_SCOUT_IMPORT'!$Q$42:$Q$1040,SUBSTITUTE(SUBSTITUTE(SUBSTITUTE($M1000,"~","~~"),"*","~*"),"?","~?"),'DEF_SELF_SCOUT_IMPORT'!$D$42:$D$1040,SUBSTITUTE(SUBSTITUTE(SUBSTITUTE($P1000,"~","~~"),"*","~*"),"?","~?"),'DEF_SELF_SCOUT_IMPORT'!$H$42:$H$1040,"DROPBACK")/$C1000)</f>
        <v>1.0</v>
      </c>
      <c r="I1000" s="14" t="str">
        <f>IF(C1000=0,"",IF(C1000&lt;=2,"TRACK",IF(C1000=3,"LOW",IF(C1000&lt;=6,"MEDIUM","HIGH"))))</f>
        <v>TRACK</v>
      </c>
      <c r="J1000" s="11">
        <f>IF(C1000=0,"",ROUND(D1000*70+(1-E1000)*20+MAX(0,MIN(1,(10-F1000)/10))*10,1))</f>
        <v>0.0</v>
      </c>
      <c r="K1000" s="14" t="str">
        <f>IF(C1000=0,"No Evidence",IF(C1000&lt;=2,IF(E1000&gt;0,"Explosive Alert","Track Only"),IF(C1000=3,"Sample Watch",IF(E1000&gt;=START_HERE!$B$31,"Explosive Alert",IF(J1000&gt;=80,"Strong Candidate",IF(J1000&gt;=65,"Good Candidate",IF(J1000&gt;=50,"Mixed / Review","Problem Call")))))))</f>
        <v>Explosive Alert</v>
      </c>
      <c r="L1000" s="9" t="str">
        <f>IF(COUNTIFS('DEF_SELF_SCOUT_IMPORT'!$L$42:$L$1040,"Y",'DEF_SELF_SCOUT_IMPORT'!$E$42:$E$1040,SUBSTITUTE(SUBSTITUTE(SUBSTITUTE($B1000,"~","~~"),"*","~*"),"?","~?"),'DEF_SELF_SCOUT_IMPORT'!$Q$42:$Q$1040,SUBSTITUTE(SUBSTITUTE(SUBSTITUTE($M1000,"~","~~"),"*","~*"),"?","~?"),'DEF_SELF_SCOUT_IMPORT'!$D$42:$D$1040,SUBSTITUTE(SUBSTITUTE(SUBSTITUTE($P1000,"~","~~"),"*","~*"),"?","~?"),'DEF_SELF_SCOUT_IMPORT'!$J$42:$J$1040,"")&gt;0,"Unscored clean outcome; review result tags before using score.",IF(C1000=0,"No matching defensive reps; film confirmation needed.",IF(K1000="Explosive Alert","Explosive risk; review clips before using as answer.",IF(C1000&lt;=2,"Track only; not enough sample.",IF(C1000=3,IF(E1000&gt;0,"Sample watch with explosive exposure; review clips and build the sample.",IF(J1000&gt;=65,"Good signal, but sample is limited.","Sample watch; review clips and build the sample.")),IF(K1000="Problem Call","Problem area; practice or call-sheet review.",IF(K1000="Strong Candidate","Strong call-fit candidate; confirm on film.",IF(K1000="Good Candidate","Good call-fit signal; confirm on film.","Mixed signal; review fit and execution on film."))))))))</f>
        <v>Explosive risk; review clips before using as answer.</v>
      </c>
      <c r="M1000" s="8" t="s">
        <v>107</v>
      </c>
      <c r="N1000" s="8"/>
      <c r="O1000" s="8"/>
      <c r="P1000" s="8" t="s">
        <v>449</v>
      </c>
      <c r="Q1000" s="8"/>
      <c r="R1000" s="8" t="s">
        <v>429</v>
      </c>
      <c r="S1000" s="2" t="s">
        <v>581</v>
      </c>
      <c r="T1000" s="2">
        <f>IF(C1000=0,0,IF(C1000&gt;=CALL_LOOKUP_BOARD!$B$7,IF(OR(K1000="Problem Call",K1000="Explosive Alert"),10000000,20000000),0)+IF(C1000&gt;=CALL_LOOKUP_BOARD!$B$7,J1000*1000+MIN(C1000,999),C1000*1000+J1000)+0.00981000)</f>
        <v>1000.00981</v>
      </c>
      <c r="U1000" s="2">
        <f>IF(C1000=0,"",IF(COUNTIFS($S$811:$S$1055,SUBSTITUTE(SUBSTITUTE(SUBSTITUTE(S1000,"~","~~"),"*","~*"),"?","~?"),$T$811:$T$1055,"&gt;"&amp;T1000)=0,S1000,""))</f>
        <v/>
      </c>
    </row>
    <row r="1001" spans="1:21" ht="38" customHeight="1">
      <c r="A1001" s="8" t="s">
        <v>580</v>
      </c>
      <c r="B1001" s="8" t="s">
        <v>42</v>
      </c>
      <c r="C1001" s="12">
        <f>COUNTIFS('DEF_SELF_SCOUT_IMPORT'!$L$42:$L$1040,"Y",'DEF_SELF_SCOUT_IMPORT'!$E$42:$E$1040,SUBSTITUTE(SUBSTITUTE(SUBSTITUTE($B1001,"~","~~"),"*","~*"),"?","~?"),'DEF_SELF_SCOUT_IMPORT'!$Q$42:$Q$1040,SUBSTITUTE(SUBSTITUTE(SUBSTITUTE($M1001,"~","~~"),"*","~*"),"?","~?"),'DEF_SELF_SCOUT_IMPORT'!$D$42:$D$1040,SUBSTITUTE(SUBSTITUTE(SUBSTITUTE($P1001,"~","~~"),"*","~*"),"?","~?"))</f>
        <v>1</v>
      </c>
      <c r="D1001" s="10">
        <f>IF($C1001=0,"",SUMIFS('DEF_SELF_SCOUT_IMPORT'!$J$42:$J$1040,'DEF_SELF_SCOUT_IMPORT'!$L$42:$L$1040,"Y",'DEF_SELF_SCOUT_IMPORT'!$E$42:$E$1040,SUBSTITUTE(SUBSTITUTE(SUBSTITUTE($B1001,"~","~~"),"*","~*"),"?","~?"),'DEF_SELF_SCOUT_IMPORT'!$Q$42:$Q$1040,SUBSTITUTE(SUBSTITUTE(SUBSTITUTE($M1001,"~","~~"),"*","~*"),"?","~?"),'DEF_SELF_SCOUT_IMPORT'!$D$42:$D$1040,SUBSTITUTE(SUBSTITUTE(SUBSTITUTE($P1001,"~","~~"),"*","~*"),"?","~?"))/$C1001)</f>
        <v>0.0</v>
      </c>
      <c r="E1001" s="10">
        <f>IF($C1001=0,"",SUMIFS('DEF_SELF_SCOUT_IMPORT'!$K$42:$K$1040,'DEF_SELF_SCOUT_IMPORT'!$L$42:$L$1040,"Y",'DEF_SELF_SCOUT_IMPORT'!$E$42:$E$1040,SUBSTITUTE(SUBSTITUTE(SUBSTITUTE($B1001,"~","~~"),"*","~*"),"?","~?"),'DEF_SELF_SCOUT_IMPORT'!$Q$42:$Q$1040,SUBSTITUTE(SUBSTITUTE(SUBSTITUTE($M1001,"~","~~"),"*","~*"),"?","~?"),'DEF_SELF_SCOUT_IMPORT'!$D$42:$D$1040,SUBSTITUTE(SUBSTITUTE(SUBSTITUTE($P1001,"~","~~"),"*","~*"),"?","~?"))/$C1001)</f>
        <v>0.0</v>
      </c>
      <c r="F1001" s="11">
        <f>IF($C1001=0,"",AVERAGEIFS('DEF_SELF_SCOUT_IMPORT'!$I$42:$I$1040,'DEF_SELF_SCOUT_IMPORT'!$L$42:$L$1040,"Y",'DEF_SELF_SCOUT_IMPORT'!$E$42:$E$1040,SUBSTITUTE(SUBSTITUTE(SUBSTITUTE($B1001,"~","~~"),"*","~*"),"?","~?"),'DEF_SELF_SCOUT_IMPORT'!$Q$42:$Q$1040,SUBSTITUTE(SUBSTITUTE(SUBSTITUTE($M1001,"~","~~"),"*","~*"),"?","~?"),'DEF_SELF_SCOUT_IMPORT'!$D$42:$D$1040,SUBSTITUTE(SUBSTITUTE(SUBSTITUTE($P1001,"~","~~"),"*","~*"),"?","~?")))</f>
        <v>8.0</v>
      </c>
      <c r="G1001" s="10">
        <f>IF($C1001=0,"",COUNTIFS('DEF_SELF_SCOUT_IMPORT'!$L$42:$L$1040,"Y",'DEF_SELF_SCOUT_IMPORT'!$E$42:$E$1040,SUBSTITUTE(SUBSTITUTE(SUBSTITUTE($B1001,"~","~~"),"*","~*"),"?","~?"),'DEF_SELF_SCOUT_IMPORT'!$Q$42:$Q$1040,SUBSTITUTE(SUBSTITUTE(SUBSTITUTE($M1001,"~","~~"),"*","~*"),"?","~?"),'DEF_SELF_SCOUT_IMPORT'!$D$42:$D$1040,SUBSTITUTE(SUBSTITUTE(SUBSTITUTE($P1001,"~","~~"),"*","~*"),"?","~?"),'DEF_SELF_SCOUT_IMPORT'!$H$42:$H$1040,"RUSH")/$C1001)</f>
        <v>0.0</v>
      </c>
      <c r="H1001" s="10">
        <f>IF($C1001=0,"",COUNTIFS('DEF_SELF_SCOUT_IMPORT'!$L$42:$L$1040,"Y",'DEF_SELF_SCOUT_IMPORT'!$E$42:$E$1040,SUBSTITUTE(SUBSTITUTE(SUBSTITUTE($B1001,"~","~~"),"*","~*"),"?","~?"),'DEF_SELF_SCOUT_IMPORT'!$Q$42:$Q$1040,SUBSTITUTE(SUBSTITUTE(SUBSTITUTE($M1001,"~","~~"),"*","~*"),"?","~?"),'DEF_SELF_SCOUT_IMPORT'!$D$42:$D$1040,SUBSTITUTE(SUBSTITUTE(SUBSTITUTE($P1001,"~","~~"),"*","~*"),"?","~?"),'DEF_SELF_SCOUT_IMPORT'!$H$42:$H$1040,"DROPBACK")/$C1001)</f>
        <v>1.0</v>
      </c>
      <c r="I1001" s="14" t="str">
        <f>IF(C1001=0,"",IF(C1001&lt;=2,"TRACK",IF(C1001=3,"LOW",IF(C1001&lt;=6,"MEDIUM","HIGH"))))</f>
        <v>TRACK</v>
      </c>
      <c r="J1001" s="11">
        <f>IF(C1001=0,"",ROUND(D1001*70+(1-E1001)*20+MAX(0,MIN(1,(10-F1001)/10))*10,1))</f>
        <v>22.0</v>
      </c>
      <c r="K1001" s="14" t="str">
        <f>IF(C1001=0,"No Evidence",IF(C1001&lt;=2,IF(E1001&gt;0,"Explosive Alert","Track Only"),IF(C1001=3,"Sample Watch",IF(E1001&gt;=START_HERE!$B$31,"Explosive Alert",IF(J1001&gt;=80,"Strong Candidate",IF(J1001&gt;=65,"Good Candidate",IF(J1001&gt;=50,"Mixed / Review","Problem Call")))))))</f>
        <v>Track Only</v>
      </c>
      <c r="L1001" s="9" t="str">
        <f>IF(COUNTIFS('DEF_SELF_SCOUT_IMPORT'!$L$42:$L$1040,"Y",'DEF_SELF_SCOUT_IMPORT'!$E$42:$E$1040,SUBSTITUTE(SUBSTITUTE(SUBSTITUTE($B1001,"~","~~"),"*","~*"),"?","~?"),'DEF_SELF_SCOUT_IMPORT'!$Q$42:$Q$1040,SUBSTITUTE(SUBSTITUTE(SUBSTITUTE($M1001,"~","~~"),"*","~*"),"?","~?"),'DEF_SELF_SCOUT_IMPORT'!$D$42:$D$1040,SUBSTITUTE(SUBSTITUTE(SUBSTITUTE($P1001,"~","~~"),"*","~*"),"?","~?"),'DEF_SELF_SCOUT_IMPORT'!$J$42:$J$1040,"")&gt;0,"Unscored clean outcome; review result tags before using score.",IF(C1001=0,"No matching defensive reps; film confirmation needed.",IF(K1001="Explosive Alert","Explosive risk; review clips before using as answer.",IF(C1001&lt;=2,"Track only; not enough sample.",IF(C1001=3,IF(E1001&gt;0,"Sample watch with explosive exposure; review clips and build the sample.",IF(J1001&gt;=65,"Good signal, but sample is limited.","Sample watch; review clips and build the sample.")),IF(K1001="Problem Call","Problem area; practice or call-sheet review.",IF(K1001="Strong Candidate","Strong call-fit candidate; confirm on film.",IF(K1001="Good Candidate","Good call-fit signal; confirm on film.","Mixed signal; review fit and execution on film."))))))))</f>
        <v>Track only; not enough sample.</v>
      </c>
      <c r="M1001" s="8" t="s">
        <v>107</v>
      </c>
      <c r="N1001" s="8"/>
      <c r="O1001" s="8"/>
      <c r="P1001" s="8" t="s">
        <v>449</v>
      </c>
      <c r="Q1001" s="8"/>
      <c r="R1001" s="8" t="s">
        <v>429</v>
      </c>
      <c r="S1001" s="2" t="s">
        <v>581</v>
      </c>
      <c r="T1001" s="2">
        <f>IF(C1001=0,0,IF(C1001&gt;=CALL_LOOKUP_BOARD!$B$7,IF(OR(K1001="Problem Call",K1001="Explosive Alert"),10000000,20000000),0)+IF(C1001&gt;=CALL_LOOKUP_BOARD!$B$7,J1001*1000+MIN(C1001,999),C1001*1000+J1001)+0.00980900)</f>
        <v>1022.009809</v>
      </c>
      <c r="U1001" s="2">
        <f>IF(C1001=0,"",IF(COUNTIFS($S$811:$S$1055,SUBSTITUTE(SUBSTITUTE(SUBSTITUTE(S1001,"~","~~"),"*","~*"),"?","~?"),$T$811:$T$1055,"&gt;"&amp;T1001)=0,S1001,""))</f>
        <v/>
      </c>
    </row>
    <row r="1002" spans="1:21" ht="38" customHeight="1">
      <c r="A1002" s="8" t="s">
        <v>580</v>
      </c>
      <c r="B1002" s="8" t="s">
        <v>97</v>
      </c>
      <c r="C1002" s="12">
        <f>COUNTIFS('DEF_SELF_SCOUT_IMPORT'!$L$42:$L$1040,"Y",'DEF_SELF_SCOUT_IMPORT'!$E$42:$E$1040,SUBSTITUTE(SUBSTITUTE(SUBSTITUTE($B1002,"~","~~"),"*","~*"),"?","~?"),'DEF_SELF_SCOUT_IMPORT'!$Q$42:$Q$1040,SUBSTITUTE(SUBSTITUTE(SUBSTITUTE($M1002,"~","~~"),"*","~*"),"?","~?"),'DEF_SELF_SCOUT_IMPORT'!$D$42:$D$1040,SUBSTITUTE(SUBSTITUTE(SUBSTITUTE($P1002,"~","~~"),"*","~*"),"?","~?"))</f>
        <v>1</v>
      </c>
      <c r="D1002" s="10">
        <f>IF($C1002=0,"",SUMIFS('DEF_SELF_SCOUT_IMPORT'!$J$42:$J$1040,'DEF_SELF_SCOUT_IMPORT'!$L$42:$L$1040,"Y",'DEF_SELF_SCOUT_IMPORT'!$E$42:$E$1040,SUBSTITUTE(SUBSTITUTE(SUBSTITUTE($B1002,"~","~~"),"*","~*"),"?","~?"),'DEF_SELF_SCOUT_IMPORT'!$Q$42:$Q$1040,SUBSTITUTE(SUBSTITUTE(SUBSTITUTE($M1002,"~","~~"),"*","~*"),"?","~?"),'DEF_SELF_SCOUT_IMPORT'!$D$42:$D$1040,SUBSTITUTE(SUBSTITUTE(SUBSTITUTE($P1002,"~","~~"),"*","~*"),"?","~?"))/$C1002)</f>
        <v>0.0</v>
      </c>
      <c r="E1002" s="10">
        <f>IF($C1002=0,"",SUMIFS('DEF_SELF_SCOUT_IMPORT'!$K$42:$K$1040,'DEF_SELF_SCOUT_IMPORT'!$L$42:$L$1040,"Y",'DEF_SELF_SCOUT_IMPORT'!$E$42:$E$1040,SUBSTITUTE(SUBSTITUTE(SUBSTITUTE($B1002,"~","~~"),"*","~*"),"?","~?"),'DEF_SELF_SCOUT_IMPORT'!$Q$42:$Q$1040,SUBSTITUTE(SUBSTITUTE(SUBSTITUTE($M1002,"~","~~"),"*","~*"),"?","~?"),'DEF_SELF_SCOUT_IMPORT'!$D$42:$D$1040,SUBSTITUTE(SUBSTITUTE(SUBSTITUTE($P1002,"~","~~"),"*","~*"),"?","~?"))/$C1002)</f>
        <v>1.0</v>
      </c>
      <c r="F1002" s="11">
        <f>IF($C1002=0,"",AVERAGEIFS('DEF_SELF_SCOUT_IMPORT'!$I$42:$I$1040,'DEF_SELF_SCOUT_IMPORT'!$L$42:$L$1040,"Y",'DEF_SELF_SCOUT_IMPORT'!$E$42:$E$1040,SUBSTITUTE(SUBSTITUTE(SUBSTITUTE($B1002,"~","~~"),"*","~*"),"?","~?"),'DEF_SELF_SCOUT_IMPORT'!$Q$42:$Q$1040,SUBSTITUTE(SUBSTITUTE(SUBSTITUTE($M1002,"~","~~"),"*","~*"),"?","~?"),'DEF_SELF_SCOUT_IMPORT'!$D$42:$D$1040,SUBSTITUTE(SUBSTITUTE(SUBSTITUTE($P1002,"~","~~"),"*","~*"),"?","~?")))</f>
        <v>26.0</v>
      </c>
      <c r="G1002" s="10">
        <f>IF($C1002=0,"",COUNTIFS('DEF_SELF_SCOUT_IMPORT'!$L$42:$L$1040,"Y",'DEF_SELF_SCOUT_IMPORT'!$E$42:$E$1040,SUBSTITUTE(SUBSTITUTE(SUBSTITUTE($B1002,"~","~~"),"*","~*"),"?","~?"),'DEF_SELF_SCOUT_IMPORT'!$Q$42:$Q$1040,SUBSTITUTE(SUBSTITUTE(SUBSTITUTE($M1002,"~","~~"),"*","~*"),"?","~?"),'DEF_SELF_SCOUT_IMPORT'!$D$42:$D$1040,SUBSTITUTE(SUBSTITUTE(SUBSTITUTE($P1002,"~","~~"),"*","~*"),"?","~?"),'DEF_SELF_SCOUT_IMPORT'!$H$42:$H$1040,"RUSH")/$C1002)</f>
        <v>0.0</v>
      </c>
      <c r="H1002" s="10">
        <f>IF($C1002=0,"",COUNTIFS('DEF_SELF_SCOUT_IMPORT'!$L$42:$L$1040,"Y",'DEF_SELF_SCOUT_IMPORT'!$E$42:$E$1040,SUBSTITUTE(SUBSTITUTE(SUBSTITUTE($B1002,"~","~~"),"*","~*"),"?","~?"),'DEF_SELF_SCOUT_IMPORT'!$Q$42:$Q$1040,SUBSTITUTE(SUBSTITUTE(SUBSTITUTE($M1002,"~","~~"),"*","~*"),"?","~?"),'DEF_SELF_SCOUT_IMPORT'!$D$42:$D$1040,SUBSTITUTE(SUBSTITUTE(SUBSTITUTE($P1002,"~","~~"),"*","~*"),"?","~?"),'DEF_SELF_SCOUT_IMPORT'!$H$42:$H$1040,"DROPBACK")/$C1002)</f>
        <v>1.0</v>
      </c>
      <c r="I1002" s="14" t="str">
        <f>IF(C1002=0,"",IF(C1002&lt;=2,"TRACK",IF(C1002=3,"LOW",IF(C1002&lt;=6,"MEDIUM","HIGH"))))</f>
        <v>TRACK</v>
      </c>
      <c r="J1002" s="11">
        <f>IF(C1002=0,"",ROUND(D1002*70+(1-E1002)*20+MAX(0,MIN(1,(10-F1002)/10))*10,1))</f>
        <v>0.0</v>
      </c>
      <c r="K1002" s="14" t="str">
        <f>IF(C1002=0,"No Evidence",IF(C1002&lt;=2,IF(E1002&gt;0,"Explosive Alert","Track Only"),IF(C1002=3,"Sample Watch",IF(E1002&gt;=START_HERE!$B$31,"Explosive Alert",IF(J1002&gt;=80,"Strong Candidate",IF(J1002&gt;=65,"Good Candidate",IF(J1002&gt;=50,"Mixed / Review","Problem Call")))))))</f>
        <v>Explosive Alert</v>
      </c>
      <c r="L1002" s="9" t="str">
        <f>IF(COUNTIFS('DEF_SELF_SCOUT_IMPORT'!$L$42:$L$1040,"Y",'DEF_SELF_SCOUT_IMPORT'!$E$42:$E$1040,SUBSTITUTE(SUBSTITUTE(SUBSTITUTE($B1002,"~","~~"),"*","~*"),"?","~?"),'DEF_SELF_SCOUT_IMPORT'!$Q$42:$Q$1040,SUBSTITUTE(SUBSTITUTE(SUBSTITUTE($M1002,"~","~~"),"*","~*"),"?","~?"),'DEF_SELF_SCOUT_IMPORT'!$D$42:$D$1040,SUBSTITUTE(SUBSTITUTE(SUBSTITUTE($P1002,"~","~~"),"*","~*"),"?","~?"),'DEF_SELF_SCOUT_IMPORT'!$J$42:$J$1040,"")&gt;0,"Unscored clean outcome; review result tags before using score.",IF(C1002=0,"No matching defensive reps; film confirmation needed.",IF(K1002="Explosive Alert","Explosive risk; review clips before using as answer.",IF(C1002&lt;=2,"Track only; not enough sample.",IF(C1002=3,IF(E1002&gt;0,"Sample watch with explosive exposure; review clips and build the sample.",IF(J1002&gt;=65,"Good signal, but sample is limited.","Sample watch; review clips and build the sample.")),IF(K1002="Problem Call","Problem area; practice or call-sheet review.",IF(K1002="Strong Candidate","Strong call-fit candidate; confirm on film.",IF(K1002="Good Candidate","Good call-fit signal; confirm on film.","Mixed signal; review fit and execution on film."))))))))</f>
        <v>Explosive risk; review clips before using as answer.</v>
      </c>
      <c r="M1002" s="8" t="s">
        <v>107</v>
      </c>
      <c r="N1002" s="8"/>
      <c r="O1002" s="8"/>
      <c r="P1002" s="8" t="s">
        <v>449</v>
      </c>
      <c r="Q1002" s="8"/>
      <c r="R1002" s="8" t="s">
        <v>429</v>
      </c>
      <c r="S1002" s="2" t="s">
        <v>581</v>
      </c>
      <c r="T1002" s="2">
        <f>IF(C1002=0,0,IF(C1002&gt;=CALL_LOOKUP_BOARD!$B$7,IF(OR(K1002="Problem Call",K1002="Explosive Alert"),10000000,20000000),0)+IF(C1002&gt;=CALL_LOOKUP_BOARD!$B$7,J1002*1000+MIN(C1002,999),C1002*1000+J1002)+0.00980800)</f>
        <v>1000.009808</v>
      </c>
      <c r="U1002" s="2">
        <f>IF(C1002=0,"",IF(COUNTIFS($S$811:$S$1055,SUBSTITUTE(SUBSTITUTE(SUBSTITUTE(S1002,"~","~~"),"*","~*"),"?","~?"),$T$811:$T$1055,"&gt;"&amp;T1002)=0,S1002,""))</f>
        <v/>
      </c>
    </row>
    <row r="1003" spans="1:21" ht="38" customHeight="1">
      <c r="A1003" s="8" t="s">
        <v>580</v>
      </c>
      <c r="B1003" s="8" t="s">
        <v>99</v>
      </c>
      <c r="C1003" s="12">
        <f>COUNTIFS('DEF_SELF_SCOUT_IMPORT'!$L$42:$L$1040,"Y",'DEF_SELF_SCOUT_IMPORT'!$E$42:$E$1040,SUBSTITUTE(SUBSTITUTE(SUBSTITUTE($B1003,"~","~~"),"*","~*"),"?","~?"),'DEF_SELF_SCOUT_IMPORT'!$Q$42:$Q$1040,SUBSTITUTE(SUBSTITUTE(SUBSTITUTE($M1003,"~","~~"),"*","~*"),"?","~?"),'DEF_SELF_SCOUT_IMPORT'!$D$42:$D$1040,SUBSTITUTE(SUBSTITUTE(SUBSTITUTE($P1003,"~","~~"),"*","~*"),"?","~?"))</f>
        <v>1</v>
      </c>
      <c r="D1003" s="10">
        <f>IF($C1003=0,"",SUMIFS('DEF_SELF_SCOUT_IMPORT'!$J$42:$J$1040,'DEF_SELF_SCOUT_IMPORT'!$L$42:$L$1040,"Y",'DEF_SELF_SCOUT_IMPORT'!$E$42:$E$1040,SUBSTITUTE(SUBSTITUTE(SUBSTITUTE($B1003,"~","~~"),"*","~*"),"?","~?"),'DEF_SELF_SCOUT_IMPORT'!$Q$42:$Q$1040,SUBSTITUTE(SUBSTITUTE(SUBSTITUTE($M1003,"~","~~"),"*","~*"),"?","~?"),'DEF_SELF_SCOUT_IMPORT'!$D$42:$D$1040,SUBSTITUTE(SUBSTITUTE(SUBSTITUTE($P1003,"~","~~"),"*","~*"),"?","~?"))/$C1003)</f>
        <v>0.0</v>
      </c>
      <c r="E1003" s="10">
        <f>IF($C1003=0,"",SUMIFS('DEF_SELF_SCOUT_IMPORT'!$K$42:$K$1040,'DEF_SELF_SCOUT_IMPORT'!$L$42:$L$1040,"Y",'DEF_SELF_SCOUT_IMPORT'!$E$42:$E$1040,SUBSTITUTE(SUBSTITUTE(SUBSTITUTE($B1003,"~","~~"),"*","~*"),"?","~?"),'DEF_SELF_SCOUT_IMPORT'!$Q$42:$Q$1040,SUBSTITUTE(SUBSTITUTE(SUBSTITUTE($M1003,"~","~~"),"*","~*"),"?","~?"),'DEF_SELF_SCOUT_IMPORT'!$D$42:$D$1040,SUBSTITUTE(SUBSTITUTE(SUBSTITUTE($P1003,"~","~~"),"*","~*"),"?","~?"))/$C1003)</f>
        <v>0.0</v>
      </c>
      <c r="F1003" s="11">
        <f>IF($C1003=0,"",AVERAGEIFS('DEF_SELF_SCOUT_IMPORT'!$I$42:$I$1040,'DEF_SELF_SCOUT_IMPORT'!$L$42:$L$1040,"Y",'DEF_SELF_SCOUT_IMPORT'!$E$42:$E$1040,SUBSTITUTE(SUBSTITUTE(SUBSTITUTE($B1003,"~","~~"),"*","~*"),"?","~?"),'DEF_SELF_SCOUT_IMPORT'!$Q$42:$Q$1040,SUBSTITUTE(SUBSTITUTE(SUBSTITUTE($M1003,"~","~~"),"*","~*"),"?","~?"),'DEF_SELF_SCOUT_IMPORT'!$D$42:$D$1040,SUBSTITUTE(SUBSTITUTE(SUBSTITUTE($P1003,"~","~~"),"*","~*"),"?","~?")))</f>
        <v>12.0</v>
      </c>
      <c r="G1003" s="10">
        <f>IF($C1003=0,"",COUNTIFS('DEF_SELF_SCOUT_IMPORT'!$L$42:$L$1040,"Y",'DEF_SELF_SCOUT_IMPORT'!$E$42:$E$1040,SUBSTITUTE(SUBSTITUTE(SUBSTITUTE($B1003,"~","~~"),"*","~*"),"?","~?"),'DEF_SELF_SCOUT_IMPORT'!$Q$42:$Q$1040,SUBSTITUTE(SUBSTITUTE(SUBSTITUTE($M1003,"~","~~"),"*","~*"),"?","~?"),'DEF_SELF_SCOUT_IMPORT'!$D$42:$D$1040,SUBSTITUTE(SUBSTITUTE(SUBSTITUTE($P1003,"~","~~"),"*","~*"),"?","~?"),'DEF_SELF_SCOUT_IMPORT'!$H$42:$H$1040,"RUSH")/$C1003)</f>
        <v>0.0</v>
      </c>
      <c r="H1003" s="10">
        <f>IF($C1003=0,"",COUNTIFS('DEF_SELF_SCOUT_IMPORT'!$L$42:$L$1040,"Y",'DEF_SELF_SCOUT_IMPORT'!$E$42:$E$1040,SUBSTITUTE(SUBSTITUTE(SUBSTITUTE($B1003,"~","~~"),"*","~*"),"?","~?"),'DEF_SELF_SCOUT_IMPORT'!$Q$42:$Q$1040,SUBSTITUTE(SUBSTITUTE(SUBSTITUTE($M1003,"~","~~"),"*","~*"),"?","~?"),'DEF_SELF_SCOUT_IMPORT'!$D$42:$D$1040,SUBSTITUTE(SUBSTITUTE(SUBSTITUTE($P1003,"~","~~"),"*","~*"),"?","~?"),'DEF_SELF_SCOUT_IMPORT'!$H$42:$H$1040,"DROPBACK")/$C1003)</f>
        <v>1.0</v>
      </c>
      <c r="I1003" s="14" t="str">
        <f>IF(C1003=0,"",IF(C1003&lt;=2,"TRACK",IF(C1003=3,"LOW",IF(C1003&lt;=6,"MEDIUM","HIGH"))))</f>
        <v>TRACK</v>
      </c>
      <c r="J1003" s="11">
        <f>IF(C1003=0,"",ROUND(D1003*70+(1-E1003)*20+MAX(0,MIN(1,(10-F1003)/10))*10,1))</f>
        <v>20.0</v>
      </c>
      <c r="K1003" s="14" t="str">
        <f>IF(C1003=0,"No Evidence",IF(C1003&lt;=2,IF(E1003&gt;0,"Explosive Alert","Track Only"),IF(C1003=3,"Sample Watch",IF(E1003&gt;=START_HERE!$B$31,"Explosive Alert",IF(J1003&gt;=80,"Strong Candidate",IF(J1003&gt;=65,"Good Candidate",IF(J1003&gt;=50,"Mixed / Review","Problem Call")))))))</f>
        <v>Track Only</v>
      </c>
      <c r="L1003" s="9" t="str">
        <f>IF(COUNTIFS('DEF_SELF_SCOUT_IMPORT'!$L$42:$L$1040,"Y",'DEF_SELF_SCOUT_IMPORT'!$E$42:$E$1040,SUBSTITUTE(SUBSTITUTE(SUBSTITUTE($B1003,"~","~~"),"*","~*"),"?","~?"),'DEF_SELF_SCOUT_IMPORT'!$Q$42:$Q$1040,SUBSTITUTE(SUBSTITUTE(SUBSTITUTE($M1003,"~","~~"),"*","~*"),"?","~?"),'DEF_SELF_SCOUT_IMPORT'!$D$42:$D$1040,SUBSTITUTE(SUBSTITUTE(SUBSTITUTE($P1003,"~","~~"),"*","~*"),"?","~?"),'DEF_SELF_SCOUT_IMPORT'!$J$42:$J$1040,"")&gt;0,"Unscored clean outcome; review result tags before using score.",IF(C1003=0,"No matching defensive reps; film confirmation needed.",IF(K1003="Explosive Alert","Explosive risk; review clips before using as answer.",IF(C1003&lt;=2,"Track only; not enough sample.",IF(C1003=3,IF(E1003&gt;0,"Sample watch with explosive exposure; review clips and build the sample.",IF(J1003&gt;=65,"Good signal, but sample is limited.","Sample watch; review clips and build the sample.")),IF(K1003="Problem Call","Problem area; practice or call-sheet review.",IF(K1003="Strong Candidate","Strong call-fit candidate; confirm on film.",IF(K1003="Good Candidate","Good call-fit signal; confirm on film.","Mixed signal; review fit and execution on film."))))))))</f>
        <v>Track only; not enough sample.</v>
      </c>
      <c r="M1003" s="8" t="s">
        <v>107</v>
      </c>
      <c r="N1003" s="8"/>
      <c r="O1003" s="8"/>
      <c r="P1003" s="8" t="s">
        <v>449</v>
      </c>
      <c r="Q1003" s="8"/>
      <c r="R1003" s="8" t="s">
        <v>429</v>
      </c>
      <c r="S1003" s="2" t="s">
        <v>581</v>
      </c>
      <c r="T1003" s="2">
        <f>IF(C1003=0,0,IF(C1003&gt;=CALL_LOOKUP_BOARD!$B$7,IF(OR(K1003="Problem Call",K1003="Explosive Alert"),10000000,20000000),0)+IF(C1003&gt;=CALL_LOOKUP_BOARD!$B$7,J1003*1000+MIN(C1003,999),C1003*1000+J1003)+0.00980700)</f>
        <v>1020.009807</v>
      </c>
      <c r="U1003" s="2">
        <f>IF(C1003=0,"",IF(COUNTIFS($S$811:$S$1055,SUBSTITUTE(SUBSTITUTE(SUBSTITUTE(S1003,"~","~~"),"*","~*"),"?","~?"),$T$811:$T$1055,"&gt;"&amp;T1003)=0,S1003,""))</f>
        <v/>
      </c>
    </row>
    <row r="1004" spans="1:21" ht="38" customHeight="1">
      <c r="A1004" s="8" t="s">
        <v>580</v>
      </c>
      <c r="B1004" s="8" t="s">
        <v>110</v>
      </c>
      <c r="C1004" s="12">
        <f>COUNTIFS('DEF_SELF_SCOUT_IMPORT'!$L$42:$L$1040,"Y",'DEF_SELF_SCOUT_IMPORT'!$E$42:$E$1040,SUBSTITUTE(SUBSTITUTE(SUBSTITUTE($B1004,"~","~~"),"*","~*"),"?","~?"),'DEF_SELF_SCOUT_IMPORT'!$Q$42:$Q$1040,SUBSTITUTE(SUBSTITUTE(SUBSTITUTE($M1004,"~","~~"),"*","~*"),"?","~?"),'DEF_SELF_SCOUT_IMPORT'!$D$42:$D$1040,SUBSTITUTE(SUBSTITUTE(SUBSTITUTE($P1004,"~","~~"),"*","~*"),"?","~?"))</f>
        <v>1</v>
      </c>
      <c r="D1004" s="10">
        <f>IF($C1004=0,"",SUMIFS('DEF_SELF_SCOUT_IMPORT'!$J$42:$J$1040,'DEF_SELF_SCOUT_IMPORT'!$L$42:$L$1040,"Y",'DEF_SELF_SCOUT_IMPORT'!$E$42:$E$1040,SUBSTITUTE(SUBSTITUTE(SUBSTITUTE($B1004,"~","~~"),"*","~*"),"?","~?"),'DEF_SELF_SCOUT_IMPORT'!$Q$42:$Q$1040,SUBSTITUTE(SUBSTITUTE(SUBSTITUTE($M1004,"~","~~"),"*","~*"),"?","~?"),'DEF_SELF_SCOUT_IMPORT'!$D$42:$D$1040,SUBSTITUTE(SUBSTITUTE(SUBSTITUTE($P1004,"~","~~"),"*","~*"),"?","~?"))/$C1004)</f>
        <v>0.0</v>
      </c>
      <c r="E1004" s="10">
        <f>IF($C1004=0,"",SUMIFS('DEF_SELF_SCOUT_IMPORT'!$K$42:$K$1040,'DEF_SELF_SCOUT_IMPORT'!$L$42:$L$1040,"Y",'DEF_SELF_SCOUT_IMPORT'!$E$42:$E$1040,SUBSTITUTE(SUBSTITUTE(SUBSTITUTE($B1004,"~","~~"),"*","~*"),"?","~?"),'DEF_SELF_SCOUT_IMPORT'!$Q$42:$Q$1040,SUBSTITUTE(SUBSTITUTE(SUBSTITUTE($M1004,"~","~~"),"*","~*"),"?","~?"),'DEF_SELF_SCOUT_IMPORT'!$D$42:$D$1040,SUBSTITUTE(SUBSTITUTE(SUBSTITUTE($P1004,"~","~~"),"*","~*"),"?","~?"))/$C1004)</f>
        <v>1.0</v>
      </c>
      <c r="F1004" s="11">
        <f>IF($C1004=0,"",AVERAGEIFS('DEF_SELF_SCOUT_IMPORT'!$I$42:$I$1040,'DEF_SELF_SCOUT_IMPORT'!$L$42:$L$1040,"Y",'DEF_SELF_SCOUT_IMPORT'!$E$42:$E$1040,SUBSTITUTE(SUBSTITUTE(SUBSTITUTE($B1004,"~","~~"),"*","~*"),"?","~?"),'DEF_SELF_SCOUT_IMPORT'!$Q$42:$Q$1040,SUBSTITUTE(SUBSTITUTE(SUBSTITUTE($M1004,"~","~~"),"*","~*"),"?","~?"),'DEF_SELF_SCOUT_IMPORT'!$D$42:$D$1040,SUBSTITUTE(SUBSTITUTE(SUBSTITUTE($P1004,"~","~~"),"*","~*"),"?","~?")))</f>
        <v>19.0</v>
      </c>
      <c r="G1004" s="10">
        <f>IF($C1004=0,"",COUNTIFS('DEF_SELF_SCOUT_IMPORT'!$L$42:$L$1040,"Y",'DEF_SELF_SCOUT_IMPORT'!$E$42:$E$1040,SUBSTITUTE(SUBSTITUTE(SUBSTITUTE($B1004,"~","~~"),"*","~*"),"?","~?"),'DEF_SELF_SCOUT_IMPORT'!$Q$42:$Q$1040,SUBSTITUTE(SUBSTITUTE(SUBSTITUTE($M1004,"~","~~"),"*","~*"),"?","~?"),'DEF_SELF_SCOUT_IMPORT'!$D$42:$D$1040,SUBSTITUTE(SUBSTITUTE(SUBSTITUTE($P1004,"~","~~"),"*","~*"),"?","~?"),'DEF_SELF_SCOUT_IMPORT'!$H$42:$H$1040,"RUSH")/$C1004)</f>
        <v>0.0</v>
      </c>
      <c r="H1004" s="10">
        <f>IF($C1004=0,"",COUNTIFS('DEF_SELF_SCOUT_IMPORT'!$L$42:$L$1040,"Y",'DEF_SELF_SCOUT_IMPORT'!$E$42:$E$1040,SUBSTITUTE(SUBSTITUTE(SUBSTITUTE($B1004,"~","~~"),"*","~*"),"?","~?"),'DEF_SELF_SCOUT_IMPORT'!$Q$42:$Q$1040,SUBSTITUTE(SUBSTITUTE(SUBSTITUTE($M1004,"~","~~"),"*","~*"),"?","~?"),'DEF_SELF_SCOUT_IMPORT'!$D$42:$D$1040,SUBSTITUTE(SUBSTITUTE(SUBSTITUTE($P1004,"~","~~"),"*","~*"),"?","~?"),'DEF_SELF_SCOUT_IMPORT'!$H$42:$H$1040,"DROPBACK")/$C1004)</f>
        <v>1.0</v>
      </c>
      <c r="I1004" s="14" t="str">
        <f>IF(C1004=0,"",IF(C1004&lt;=2,"TRACK",IF(C1004=3,"LOW",IF(C1004&lt;=6,"MEDIUM","HIGH"))))</f>
        <v>TRACK</v>
      </c>
      <c r="J1004" s="11">
        <f>IF(C1004=0,"",ROUND(D1004*70+(1-E1004)*20+MAX(0,MIN(1,(10-F1004)/10))*10,1))</f>
        <v>0.0</v>
      </c>
      <c r="K1004" s="14" t="str">
        <f>IF(C1004=0,"No Evidence",IF(C1004&lt;=2,IF(E1004&gt;0,"Explosive Alert","Track Only"),IF(C1004=3,"Sample Watch",IF(E1004&gt;=START_HERE!$B$31,"Explosive Alert",IF(J1004&gt;=80,"Strong Candidate",IF(J1004&gt;=65,"Good Candidate",IF(J1004&gt;=50,"Mixed / Review","Problem Call")))))))</f>
        <v>Explosive Alert</v>
      </c>
      <c r="L1004" s="9" t="str">
        <f>IF(COUNTIFS('DEF_SELF_SCOUT_IMPORT'!$L$42:$L$1040,"Y",'DEF_SELF_SCOUT_IMPORT'!$E$42:$E$1040,SUBSTITUTE(SUBSTITUTE(SUBSTITUTE($B1004,"~","~~"),"*","~*"),"?","~?"),'DEF_SELF_SCOUT_IMPORT'!$Q$42:$Q$1040,SUBSTITUTE(SUBSTITUTE(SUBSTITUTE($M1004,"~","~~"),"*","~*"),"?","~?"),'DEF_SELF_SCOUT_IMPORT'!$D$42:$D$1040,SUBSTITUTE(SUBSTITUTE(SUBSTITUTE($P1004,"~","~~"),"*","~*"),"?","~?"),'DEF_SELF_SCOUT_IMPORT'!$J$42:$J$1040,"")&gt;0,"Unscored clean outcome; review result tags before using score.",IF(C1004=0,"No matching defensive reps; film confirmation needed.",IF(K1004="Explosive Alert","Explosive risk; review clips before using as answer.",IF(C1004&lt;=2,"Track only; not enough sample.",IF(C1004=3,IF(E1004&gt;0,"Sample watch with explosive exposure; review clips and build the sample.",IF(J1004&gt;=65,"Good signal, but sample is limited.","Sample watch; review clips and build the sample.")),IF(K1004="Problem Call","Problem area; practice or call-sheet review.",IF(K1004="Strong Candidate","Strong call-fit candidate; confirm on film.",IF(K1004="Good Candidate","Good call-fit signal; confirm on film.","Mixed signal; review fit and execution on film."))))))))</f>
        <v>Explosive risk; review clips before using as answer.</v>
      </c>
      <c r="M1004" s="8" t="s">
        <v>107</v>
      </c>
      <c r="N1004" s="8"/>
      <c r="O1004" s="8"/>
      <c r="P1004" s="8" t="s">
        <v>449</v>
      </c>
      <c r="Q1004" s="8"/>
      <c r="R1004" s="8" t="s">
        <v>429</v>
      </c>
      <c r="S1004" s="2" t="s">
        <v>581</v>
      </c>
      <c r="T1004" s="2">
        <f>IF(C1004=0,0,IF(C1004&gt;=CALL_LOOKUP_BOARD!$B$7,IF(OR(K1004="Problem Call",K1004="Explosive Alert"),10000000,20000000),0)+IF(C1004&gt;=CALL_LOOKUP_BOARD!$B$7,J1004*1000+MIN(C1004,999),C1004*1000+J1004)+0.00980600)</f>
        <v>1000.009806</v>
      </c>
      <c r="U1004" s="2">
        <f>IF(C1004=0,"",IF(COUNTIFS($S$811:$S$1055,SUBSTITUTE(SUBSTITUTE(SUBSTITUTE(S1004,"~","~~"),"*","~*"),"?","~?"),$T$811:$T$1055,"&gt;"&amp;T1004)=0,S1004,""))</f>
        <v/>
      </c>
    </row>
    <row r="1005" spans="1:21" ht="38" customHeight="1">
      <c r="A1005" s="8" t="s">
        <v>580</v>
      </c>
      <c r="B1005" s="8" t="s">
        <v>61</v>
      </c>
      <c r="C1005" s="12">
        <f>COUNTIFS('DEF_SELF_SCOUT_IMPORT'!$L$42:$L$1040,"Y",'DEF_SELF_SCOUT_IMPORT'!$E$42:$E$1040,SUBSTITUTE(SUBSTITUTE(SUBSTITUTE($B1005,"~","~~"),"*","~*"),"?","~?"),'DEF_SELF_SCOUT_IMPORT'!$Q$42:$Q$1040,SUBSTITUTE(SUBSTITUTE(SUBSTITUTE($M1005,"~","~~"),"*","~*"),"?","~?"),'DEF_SELF_SCOUT_IMPORT'!$D$42:$D$1040,SUBSTITUTE(SUBSTITUTE(SUBSTITUTE($P1005,"~","~~"),"*","~*"),"?","~?"))</f>
        <v>1</v>
      </c>
      <c r="D1005" s="10">
        <f>IF($C1005=0,"",SUMIFS('DEF_SELF_SCOUT_IMPORT'!$J$42:$J$1040,'DEF_SELF_SCOUT_IMPORT'!$L$42:$L$1040,"Y",'DEF_SELF_SCOUT_IMPORT'!$E$42:$E$1040,SUBSTITUTE(SUBSTITUTE(SUBSTITUTE($B1005,"~","~~"),"*","~*"),"?","~?"),'DEF_SELF_SCOUT_IMPORT'!$Q$42:$Q$1040,SUBSTITUTE(SUBSTITUTE(SUBSTITUTE($M1005,"~","~~"),"*","~*"),"?","~?"),'DEF_SELF_SCOUT_IMPORT'!$D$42:$D$1040,SUBSTITUTE(SUBSTITUTE(SUBSTITUTE($P1005,"~","~~"),"*","~*"),"?","~?"))/$C1005)</f>
        <v>0.0</v>
      </c>
      <c r="E1005" s="10">
        <f>IF($C1005=0,"",SUMIFS('DEF_SELF_SCOUT_IMPORT'!$K$42:$K$1040,'DEF_SELF_SCOUT_IMPORT'!$L$42:$L$1040,"Y",'DEF_SELF_SCOUT_IMPORT'!$E$42:$E$1040,SUBSTITUTE(SUBSTITUTE(SUBSTITUTE($B1005,"~","~~"),"*","~*"),"?","~?"),'DEF_SELF_SCOUT_IMPORT'!$Q$42:$Q$1040,SUBSTITUTE(SUBSTITUTE(SUBSTITUTE($M1005,"~","~~"),"*","~*"),"?","~?"),'DEF_SELF_SCOUT_IMPORT'!$D$42:$D$1040,SUBSTITUTE(SUBSTITUTE(SUBSTITUTE($P1005,"~","~~"),"*","~*"),"?","~?"))/$C1005)</f>
        <v>0.0</v>
      </c>
      <c r="F1005" s="11">
        <f>IF($C1005=0,"",AVERAGEIFS('DEF_SELF_SCOUT_IMPORT'!$I$42:$I$1040,'DEF_SELF_SCOUT_IMPORT'!$L$42:$L$1040,"Y",'DEF_SELF_SCOUT_IMPORT'!$E$42:$E$1040,SUBSTITUTE(SUBSTITUTE(SUBSTITUTE($B1005,"~","~~"),"*","~*"),"?","~?"),'DEF_SELF_SCOUT_IMPORT'!$Q$42:$Q$1040,SUBSTITUTE(SUBSTITUTE(SUBSTITUTE($M1005,"~","~~"),"*","~*"),"?","~?"),'DEF_SELF_SCOUT_IMPORT'!$D$42:$D$1040,SUBSTITUTE(SUBSTITUTE(SUBSTITUTE($P1005,"~","~~"),"*","~*"),"?","~?")))</f>
        <v>13.0</v>
      </c>
      <c r="G1005" s="10">
        <f>IF($C1005=0,"",COUNTIFS('DEF_SELF_SCOUT_IMPORT'!$L$42:$L$1040,"Y",'DEF_SELF_SCOUT_IMPORT'!$E$42:$E$1040,SUBSTITUTE(SUBSTITUTE(SUBSTITUTE($B1005,"~","~~"),"*","~*"),"?","~?"),'DEF_SELF_SCOUT_IMPORT'!$Q$42:$Q$1040,SUBSTITUTE(SUBSTITUTE(SUBSTITUTE($M1005,"~","~~"),"*","~*"),"?","~?"),'DEF_SELF_SCOUT_IMPORT'!$D$42:$D$1040,SUBSTITUTE(SUBSTITUTE(SUBSTITUTE($P1005,"~","~~"),"*","~*"),"?","~?"),'DEF_SELF_SCOUT_IMPORT'!$H$42:$H$1040,"RUSH")/$C1005)</f>
        <v>0.0</v>
      </c>
      <c r="H1005" s="10">
        <f>IF($C1005=0,"",COUNTIFS('DEF_SELF_SCOUT_IMPORT'!$L$42:$L$1040,"Y",'DEF_SELF_SCOUT_IMPORT'!$E$42:$E$1040,SUBSTITUTE(SUBSTITUTE(SUBSTITUTE($B1005,"~","~~"),"*","~*"),"?","~?"),'DEF_SELF_SCOUT_IMPORT'!$Q$42:$Q$1040,SUBSTITUTE(SUBSTITUTE(SUBSTITUTE($M1005,"~","~~"),"*","~*"),"?","~?"),'DEF_SELF_SCOUT_IMPORT'!$D$42:$D$1040,SUBSTITUTE(SUBSTITUTE(SUBSTITUTE($P1005,"~","~~"),"*","~*"),"?","~?"),'DEF_SELF_SCOUT_IMPORT'!$H$42:$H$1040,"DROPBACK")/$C1005)</f>
        <v>1.0</v>
      </c>
      <c r="I1005" s="14" t="str">
        <f>IF(C1005=0,"",IF(C1005&lt;=2,"TRACK",IF(C1005=3,"LOW",IF(C1005&lt;=6,"MEDIUM","HIGH"))))</f>
        <v>TRACK</v>
      </c>
      <c r="J1005" s="11">
        <f>IF(C1005=0,"",ROUND(D1005*70+(1-E1005)*20+MAX(0,MIN(1,(10-F1005)/10))*10,1))</f>
        <v>20.0</v>
      </c>
      <c r="K1005" s="14" t="str">
        <f>IF(C1005=0,"No Evidence",IF(C1005&lt;=2,IF(E1005&gt;0,"Explosive Alert","Track Only"),IF(C1005=3,"Sample Watch",IF(E1005&gt;=START_HERE!$B$31,"Explosive Alert",IF(J1005&gt;=80,"Strong Candidate",IF(J1005&gt;=65,"Good Candidate",IF(J1005&gt;=50,"Mixed / Review","Problem Call")))))))</f>
        <v>Track Only</v>
      </c>
      <c r="L1005" s="9" t="str">
        <f>IF(COUNTIFS('DEF_SELF_SCOUT_IMPORT'!$L$42:$L$1040,"Y",'DEF_SELF_SCOUT_IMPORT'!$E$42:$E$1040,SUBSTITUTE(SUBSTITUTE(SUBSTITUTE($B1005,"~","~~"),"*","~*"),"?","~?"),'DEF_SELF_SCOUT_IMPORT'!$Q$42:$Q$1040,SUBSTITUTE(SUBSTITUTE(SUBSTITUTE($M1005,"~","~~"),"*","~*"),"?","~?"),'DEF_SELF_SCOUT_IMPORT'!$D$42:$D$1040,SUBSTITUTE(SUBSTITUTE(SUBSTITUTE($P1005,"~","~~"),"*","~*"),"?","~?"),'DEF_SELF_SCOUT_IMPORT'!$J$42:$J$1040,"")&gt;0,"Unscored clean outcome; review result tags before using score.",IF(C1005=0,"No matching defensive reps; film confirmation needed.",IF(K1005="Explosive Alert","Explosive risk; review clips before using as answer.",IF(C1005&lt;=2,"Track only; not enough sample.",IF(C1005=3,IF(E1005&gt;0,"Sample watch with explosive exposure; review clips and build the sample.",IF(J1005&gt;=65,"Good signal, but sample is limited.","Sample watch; review clips and build the sample.")),IF(K1005="Problem Call","Problem area; practice or call-sheet review.",IF(K1005="Strong Candidate","Strong call-fit candidate; confirm on film.",IF(K1005="Good Candidate","Good call-fit signal; confirm on film.","Mixed signal; review fit and execution on film."))))))))</f>
        <v>Track only; not enough sample.</v>
      </c>
      <c r="M1005" s="8" t="s">
        <v>107</v>
      </c>
      <c r="N1005" s="8"/>
      <c r="O1005" s="8"/>
      <c r="P1005" s="8" t="s">
        <v>449</v>
      </c>
      <c r="Q1005" s="8"/>
      <c r="R1005" s="8" t="s">
        <v>429</v>
      </c>
      <c r="S1005" s="2" t="s">
        <v>581</v>
      </c>
      <c r="T1005" s="2">
        <f>IF(C1005=0,0,IF(C1005&gt;=CALL_LOOKUP_BOARD!$B$7,IF(OR(K1005="Problem Call",K1005="Explosive Alert"),10000000,20000000),0)+IF(C1005&gt;=CALL_LOOKUP_BOARD!$B$7,J1005*1000+MIN(C1005,999),C1005*1000+J1005)+0.00980500)</f>
        <v>1020.009805</v>
      </c>
      <c r="U1005" s="2">
        <f>IF(C1005=0,"",IF(COUNTIFS($S$811:$S$1055,SUBSTITUTE(SUBSTITUTE(SUBSTITUTE(S1005,"~","~~"),"*","~*"),"?","~?"),$T$811:$T$1055,"&gt;"&amp;T1005)=0,S1005,""))</f>
        <v/>
      </c>
    </row>
    <row r="1006" spans="1:21" ht="38" customHeight="1">
      <c r="A1006" s="8" t="s">
        <v>580</v>
      </c>
      <c r="B1006" s="8" t="s">
        <v>102</v>
      </c>
      <c r="C1006" s="12">
        <f>COUNTIFS('DEF_SELF_SCOUT_IMPORT'!$L$42:$L$1040,"Y",'DEF_SELF_SCOUT_IMPORT'!$E$42:$E$1040,SUBSTITUTE(SUBSTITUTE(SUBSTITUTE($B1006,"~","~~"),"*","~*"),"?","~?"),'DEF_SELF_SCOUT_IMPORT'!$Q$42:$Q$1040,SUBSTITUTE(SUBSTITUTE(SUBSTITUTE($M1006,"~","~~"),"*","~*"),"?","~?"),'DEF_SELF_SCOUT_IMPORT'!$D$42:$D$1040,SUBSTITUTE(SUBSTITUTE(SUBSTITUTE($P1006,"~","~~"),"*","~*"),"?","~?"))</f>
        <v>1</v>
      </c>
      <c r="D1006" s="10">
        <f>IF($C1006=0,"",SUMIFS('DEF_SELF_SCOUT_IMPORT'!$J$42:$J$1040,'DEF_SELF_SCOUT_IMPORT'!$L$42:$L$1040,"Y",'DEF_SELF_SCOUT_IMPORT'!$E$42:$E$1040,SUBSTITUTE(SUBSTITUTE(SUBSTITUTE($B1006,"~","~~"),"*","~*"),"?","~?"),'DEF_SELF_SCOUT_IMPORT'!$Q$42:$Q$1040,SUBSTITUTE(SUBSTITUTE(SUBSTITUTE($M1006,"~","~~"),"*","~*"),"?","~?"),'DEF_SELF_SCOUT_IMPORT'!$D$42:$D$1040,SUBSTITUTE(SUBSTITUTE(SUBSTITUTE($P1006,"~","~~"),"*","~*"),"?","~?"))/$C1006)</f>
        <v>1.0</v>
      </c>
      <c r="E1006" s="10">
        <f>IF($C1006=0,"",SUMIFS('DEF_SELF_SCOUT_IMPORT'!$K$42:$K$1040,'DEF_SELF_SCOUT_IMPORT'!$L$42:$L$1040,"Y",'DEF_SELF_SCOUT_IMPORT'!$E$42:$E$1040,SUBSTITUTE(SUBSTITUTE(SUBSTITUTE($B1006,"~","~~"),"*","~*"),"?","~?"),'DEF_SELF_SCOUT_IMPORT'!$Q$42:$Q$1040,SUBSTITUTE(SUBSTITUTE(SUBSTITUTE($M1006,"~","~~"),"*","~*"),"?","~?"),'DEF_SELF_SCOUT_IMPORT'!$D$42:$D$1040,SUBSTITUTE(SUBSTITUTE(SUBSTITUTE($P1006,"~","~~"),"*","~*"),"?","~?"))/$C1006)</f>
        <v>0.0</v>
      </c>
      <c r="F1006" s="11">
        <f>IF($C1006=0,"",AVERAGEIFS('DEF_SELF_SCOUT_IMPORT'!$I$42:$I$1040,'DEF_SELF_SCOUT_IMPORT'!$L$42:$L$1040,"Y",'DEF_SELF_SCOUT_IMPORT'!$E$42:$E$1040,SUBSTITUTE(SUBSTITUTE(SUBSTITUTE($B1006,"~","~~"),"*","~*"),"?","~?"),'DEF_SELF_SCOUT_IMPORT'!$Q$42:$Q$1040,SUBSTITUTE(SUBSTITUTE(SUBSTITUTE($M1006,"~","~~"),"*","~*"),"?","~?"),'DEF_SELF_SCOUT_IMPORT'!$D$42:$D$1040,SUBSTITUTE(SUBSTITUTE(SUBSTITUTE($P1006,"~","~~"),"*","~*"),"?","~?")))</f>
        <v>5.0</v>
      </c>
      <c r="G1006" s="10">
        <f>IF($C1006=0,"",COUNTIFS('DEF_SELF_SCOUT_IMPORT'!$L$42:$L$1040,"Y",'DEF_SELF_SCOUT_IMPORT'!$E$42:$E$1040,SUBSTITUTE(SUBSTITUTE(SUBSTITUTE($B1006,"~","~~"),"*","~*"),"?","~?"),'DEF_SELF_SCOUT_IMPORT'!$Q$42:$Q$1040,SUBSTITUTE(SUBSTITUTE(SUBSTITUTE($M1006,"~","~~"),"*","~*"),"?","~?"),'DEF_SELF_SCOUT_IMPORT'!$D$42:$D$1040,SUBSTITUTE(SUBSTITUTE(SUBSTITUTE($P1006,"~","~~"),"*","~*"),"?","~?"),'DEF_SELF_SCOUT_IMPORT'!$H$42:$H$1040,"RUSH")/$C1006)</f>
        <v>0.0</v>
      </c>
      <c r="H1006" s="10">
        <f>IF($C1006=0,"",COUNTIFS('DEF_SELF_SCOUT_IMPORT'!$L$42:$L$1040,"Y",'DEF_SELF_SCOUT_IMPORT'!$E$42:$E$1040,SUBSTITUTE(SUBSTITUTE(SUBSTITUTE($B1006,"~","~~"),"*","~*"),"?","~?"),'DEF_SELF_SCOUT_IMPORT'!$Q$42:$Q$1040,SUBSTITUTE(SUBSTITUTE(SUBSTITUTE($M1006,"~","~~"),"*","~*"),"?","~?"),'DEF_SELF_SCOUT_IMPORT'!$D$42:$D$1040,SUBSTITUTE(SUBSTITUTE(SUBSTITUTE($P1006,"~","~~"),"*","~*"),"?","~?"),'DEF_SELF_SCOUT_IMPORT'!$H$42:$H$1040,"DROPBACK")/$C1006)</f>
        <v>1.0</v>
      </c>
      <c r="I1006" s="14" t="str">
        <f>IF(C1006=0,"",IF(C1006&lt;=2,"TRACK",IF(C1006=3,"LOW",IF(C1006&lt;=6,"MEDIUM","HIGH"))))</f>
        <v>TRACK</v>
      </c>
      <c r="J1006" s="11">
        <f>IF(C1006=0,"",ROUND(D1006*70+(1-E1006)*20+MAX(0,MIN(1,(10-F1006)/10))*10,1))</f>
        <v>95.0</v>
      </c>
      <c r="K1006" s="14" t="str">
        <f>IF(C1006=0,"No Evidence",IF(C1006&lt;=2,IF(E1006&gt;0,"Explosive Alert","Track Only"),IF(C1006=3,"Sample Watch",IF(E1006&gt;=START_HERE!$B$31,"Explosive Alert",IF(J1006&gt;=80,"Strong Candidate",IF(J1006&gt;=65,"Good Candidate",IF(J1006&gt;=50,"Mixed / Review","Problem Call")))))))</f>
        <v>Track Only</v>
      </c>
      <c r="L1006" s="9" t="str">
        <f>IF(COUNTIFS('DEF_SELF_SCOUT_IMPORT'!$L$42:$L$1040,"Y",'DEF_SELF_SCOUT_IMPORT'!$E$42:$E$1040,SUBSTITUTE(SUBSTITUTE(SUBSTITUTE($B1006,"~","~~"),"*","~*"),"?","~?"),'DEF_SELF_SCOUT_IMPORT'!$Q$42:$Q$1040,SUBSTITUTE(SUBSTITUTE(SUBSTITUTE($M1006,"~","~~"),"*","~*"),"?","~?"),'DEF_SELF_SCOUT_IMPORT'!$D$42:$D$1040,SUBSTITUTE(SUBSTITUTE(SUBSTITUTE($P1006,"~","~~"),"*","~*"),"?","~?"),'DEF_SELF_SCOUT_IMPORT'!$J$42:$J$1040,"")&gt;0,"Unscored clean outcome; review result tags before using score.",IF(C1006=0,"No matching defensive reps; film confirmation needed.",IF(K1006="Explosive Alert","Explosive risk; review clips before using as answer.",IF(C1006&lt;=2,"Track only; not enough sample.",IF(C1006=3,IF(E1006&gt;0,"Sample watch with explosive exposure; review clips and build the sample.",IF(J1006&gt;=65,"Good signal, but sample is limited.","Sample watch; review clips and build the sample.")),IF(K1006="Problem Call","Problem area; practice or call-sheet review.",IF(K1006="Strong Candidate","Strong call-fit candidate; confirm on film.",IF(K1006="Good Candidate","Good call-fit signal; confirm on film.","Mixed signal; review fit and execution on film."))))))))</f>
        <v>Track only; not enough sample.</v>
      </c>
      <c r="M1006" s="8" t="s">
        <v>107</v>
      </c>
      <c r="N1006" s="8"/>
      <c r="O1006" s="8"/>
      <c r="P1006" s="8" t="s">
        <v>449</v>
      </c>
      <c r="Q1006" s="8"/>
      <c r="R1006" s="8" t="s">
        <v>429</v>
      </c>
      <c r="S1006" s="2" t="s">
        <v>581</v>
      </c>
      <c r="T1006" s="2">
        <f>IF(C1006=0,0,IF(C1006&gt;=CALL_LOOKUP_BOARD!$B$7,IF(OR(K1006="Problem Call",K1006="Explosive Alert"),10000000,20000000),0)+IF(C1006&gt;=CALL_LOOKUP_BOARD!$B$7,J1006*1000+MIN(C1006,999),C1006*1000+J1006)+0.00980400)</f>
        <v>1095.009804</v>
      </c>
      <c r="U1006" s="2">
        <f>IF(C1006=0,"",IF(COUNTIFS($S$811:$S$1055,SUBSTITUTE(SUBSTITUTE(SUBSTITUTE(S1006,"~","~~"),"*","~*"),"?","~?"),$T$811:$T$1055,"&gt;"&amp;T1006)=0,S1006,""))</f>
        <v/>
      </c>
    </row>
    <row r="1007" spans="1:21" ht="38" customHeight="1">
      <c r="A1007" s="8" t="s">
        <v>580</v>
      </c>
      <c r="B1007" s="8" t="s">
        <v>91</v>
      </c>
      <c r="C1007" s="12">
        <f>COUNTIFS('DEF_SELF_SCOUT_IMPORT'!$L$42:$L$1040,"Y",'DEF_SELF_SCOUT_IMPORT'!$E$42:$E$1040,SUBSTITUTE(SUBSTITUTE(SUBSTITUTE($B1007,"~","~~"),"*","~*"),"?","~?"),'DEF_SELF_SCOUT_IMPORT'!$Q$42:$Q$1040,SUBSTITUTE(SUBSTITUTE(SUBSTITUTE($M1007,"~","~~"),"*","~*"),"?","~?"),'DEF_SELF_SCOUT_IMPORT'!$D$42:$D$1040,SUBSTITUTE(SUBSTITUTE(SUBSTITUTE($P1007,"~","~~"),"*","~*"),"?","~?"))</f>
        <v>1</v>
      </c>
      <c r="D1007" s="10">
        <f>IF($C1007=0,"",SUMIFS('DEF_SELF_SCOUT_IMPORT'!$J$42:$J$1040,'DEF_SELF_SCOUT_IMPORT'!$L$42:$L$1040,"Y",'DEF_SELF_SCOUT_IMPORT'!$E$42:$E$1040,SUBSTITUTE(SUBSTITUTE(SUBSTITUTE($B1007,"~","~~"),"*","~*"),"?","~?"),'DEF_SELF_SCOUT_IMPORT'!$Q$42:$Q$1040,SUBSTITUTE(SUBSTITUTE(SUBSTITUTE($M1007,"~","~~"),"*","~*"),"?","~?"),'DEF_SELF_SCOUT_IMPORT'!$D$42:$D$1040,SUBSTITUTE(SUBSTITUTE(SUBSTITUTE($P1007,"~","~~"),"*","~*"),"?","~?"))/$C1007)</f>
        <v>1.0</v>
      </c>
      <c r="E1007" s="10">
        <f>IF($C1007=0,"",SUMIFS('DEF_SELF_SCOUT_IMPORT'!$K$42:$K$1040,'DEF_SELF_SCOUT_IMPORT'!$L$42:$L$1040,"Y",'DEF_SELF_SCOUT_IMPORT'!$E$42:$E$1040,SUBSTITUTE(SUBSTITUTE(SUBSTITUTE($B1007,"~","~~"),"*","~*"),"?","~?"),'DEF_SELF_SCOUT_IMPORT'!$Q$42:$Q$1040,SUBSTITUTE(SUBSTITUTE(SUBSTITUTE($M1007,"~","~~"),"*","~*"),"?","~?"),'DEF_SELF_SCOUT_IMPORT'!$D$42:$D$1040,SUBSTITUTE(SUBSTITUTE(SUBSTITUTE($P1007,"~","~~"),"*","~*"),"?","~?"))/$C1007)</f>
        <v>0.0</v>
      </c>
      <c r="F1007" s="11">
        <f>IF($C1007=0,"",AVERAGEIFS('DEF_SELF_SCOUT_IMPORT'!$I$42:$I$1040,'DEF_SELF_SCOUT_IMPORT'!$L$42:$L$1040,"Y",'DEF_SELF_SCOUT_IMPORT'!$E$42:$E$1040,SUBSTITUTE(SUBSTITUTE(SUBSTITUTE($B1007,"~","~~"),"*","~*"),"?","~?"),'DEF_SELF_SCOUT_IMPORT'!$Q$42:$Q$1040,SUBSTITUTE(SUBSTITUTE(SUBSTITUTE($M1007,"~","~~"),"*","~*"),"?","~?"),'DEF_SELF_SCOUT_IMPORT'!$D$42:$D$1040,SUBSTITUTE(SUBSTITUTE(SUBSTITUTE($P1007,"~","~~"),"*","~*"),"?","~?")))</f>
        <v>0.0</v>
      </c>
      <c r="G1007" s="10">
        <f>IF($C1007=0,"",COUNTIFS('DEF_SELF_SCOUT_IMPORT'!$L$42:$L$1040,"Y",'DEF_SELF_SCOUT_IMPORT'!$E$42:$E$1040,SUBSTITUTE(SUBSTITUTE(SUBSTITUTE($B1007,"~","~~"),"*","~*"),"?","~?"),'DEF_SELF_SCOUT_IMPORT'!$Q$42:$Q$1040,SUBSTITUTE(SUBSTITUTE(SUBSTITUTE($M1007,"~","~~"),"*","~*"),"?","~?"),'DEF_SELF_SCOUT_IMPORT'!$D$42:$D$1040,SUBSTITUTE(SUBSTITUTE(SUBSTITUTE($P1007,"~","~~"),"*","~*"),"?","~?"),'DEF_SELF_SCOUT_IMPORT'!$H$42:$H$1040,"RUSH")/$C1007)</f>
        <v>0.0</v>
      </c>
      <c r="H1007" s="10">
        <f>IF($C1007=0,"",COUNTIFS('DEF_SELF_SCOUT_IMPORT'!$L$42:$L$1040,"Y",'DEF_SELF_SCOUT_IMPORT'!$E$42:$E$1040,SUBSTITUTE(SUBSTITUTE(SUBSTITUTE($B1007,"~","~~"),"*","~*"),"?","~?"),'DEF_SELF_SCOUT_IMPORT'!$Q$42:$Q$1040,SUBSTITUTE(SUBSTITUTE(SUBSTITUTE($M1007,"~","~~"),"*","~*"),"?","~?"),'DEF_SELF_SCOUT_IMPORT'!$D$42:$D$1040,SUBSTITUTE(SUBSTITUTE(SUBSTITUTE($P1007,"~","~~"),"*","~*"),"?","~?"),'DEF_SELF_SCOUT_IMPORT'!$H$42:$H$1040,"DROPBACK")/$C1007)</f>
        <v>1.0</v>
      </c>
      <c r="I1007" s="14" t="str">
        <f>IF(C1007=0,"",IF(C1007&lt;=2,"TRACK",IF(C1007=3,"LOW",IF(C1007&lt;=6,"MEDIUM","HIGH"))))</f>
        <v>TRACK</v>
      </c>
      <c r="J1007" s="11">
        <f>IF(C1007=0,"",ROUND(D1007*70+(1-E1007)*20+MAX(0,MIN(1,(10-F1007)/10))*10,1))</f>
        <v>100.0</v>
      </c>
      <c r="K1007" s="14" t="str">
        <f>IF(C1007=0,"No Evidence",IF(C1007&lt;=2,IF(E1007&gt;0,"Explosive Alert","Track Only"),IF(C1007=3,"Sample Watch",IF(E1007&gt;=START_HERE!$B$31,"Explosive Alert",IF(J1007&gt;=80,"Strong Candidate",IF(J1007&gt;=65,"Good Candidate",IF(J1007&gt;=50,"Mixed / Review","Problem Call")))))))</f>
        <v>Track Only</v>
      </c>
      <c r="L1007" s="9" t="str">
        <f>IF(COUNTIFS('DEF_SELF_SCOUT_IMPORT'!$L$42:$L$1040,"Y",'DEF_SELF_SCOUT_IMPORT'!$E$42:$E$1040,SUBSTITUTE(SUBSTITUTE(SUBSTITUTE($B1007,"~","~~"),"*","~*"),"?","~?"),'DEF_SELF_SCOUT_IMPORT'!$Q$42:$Q$1040,SUBSTITUTE(SUBSTITUTE(SUBSTITUTE($M1007,"~","~~"),"*","~*"),"?","~?"),'DEF_SELF_SCOUT_IMPORT'!$D$42:$D$1040,SUBSTITUTE(SUBSTITUTE(SUBSTITUTE($P1007,"~","~~"),"*","~*"),"?","~?"),'DEF_SELF_SCOUT_IMPORT'!$J$42:$J$1040,"")&gt;0,"Unscored clean outcome; review result tags before using score.",IF(C1007=0,"No matching defensive reps; film confirmation needed.",IF(K1007="Explosive Alert","Explosive risk; review clips before using as answer.",IF(C1007&lt;=2,"Track only; not enough sample.",IF(C1007=3,IF(E1007&gt;0,"Sample watch with explosive exposure; review clips and build the sample.",IF(J1007&gt;=65,"Good signal, but sample is limited.","Sample watch; review clips and build the sample.")),IF(K1007="Problem Call","Problem area; practice or call-sheet review.",IF(K1007="Strong Candidate","Strong call-fit candidate; confirm on film.",IF(K1007="Good Candidate","Good call-fit signal; confirm on film.","Mixed signal; review fit and execution on film."))))))))</f>
        <v>Track only; not enough sample.</v>
      </c>
      <c r="M1007" s="8" t="s">
        <v>107</v>
      </c>
      <c r="N1007" s="8"/>
      <c r="O1007" s="8"/>
      <c r="P1007" s="8" t="s">
        <v>449</v>
      </c>
      <c r="Q1007" s="8"/>
      <c r="R1007" s="8" t="s">
        <v>429</v>
      </c>
      <c r="S1007" s="2" t="s">
        <v>581</v>
      </c>
      <c r="T1007" s="2">
        <f>IF(C1007=0,0,IF(C1007&gt;=CALL_LOOKUP_BOARD!$B$7,IF(OR(K1007="Problem Call",K1007="Explosive Alert"),10000000,20000000),0)+IF(C1007&gt;=CALL_LOOKUP_BOARD!$B$7,J1007*1000+MIN(C1007,999),C1007*1000+J1007)+0.00980300)</f>
        <v>1100.009803</v>
      </c>
      <c r="U1007" s="2" t="str">
        <f>IF(C1007=0,"",IF(COUNTIFS($S$811:$S$1055,SUBSTITUTE(SUBSTITUTE(SUBSTITUTE(S1007,"~","~~"),"*","~*"),"?","~?"),$T$811:$T$1055,"&gt;"&amp;T1007)=0,S1007,""))</f>
        <v>7:3D 7-10|6:5 STEP|</v>
      </c>
    </row>
    <row r="1008" spans="1:21" ht="38" customHeight="1">
      <c r="A1008" s="8" t="s">
        <v>582</v>
      </c>
      <c r="B1008" s="8" t="s">
        <v>27</v>
      </c>
      <c r="C1008" s="12">
        <f>COUNTIFS('DEF_SELF_SCOUT_IMPORT'!$L$42:$L$1040,"Y",'DEF_SELF_SCOUT_IMPORT'!$E$42:$E$1040,SUBSTITUTE(SUBSTITUTE(SUBSTITUTE($B1008,"~","~~"),"*","~*"),"?","~?"),'DEF_SELF_SCOUT_IMPORT'!$Q$42:$Q$1040,SUBSTITUTE(SUBSTITUTE(SUBSTITUTE($M1008,"~","~~"),"*","~*"),"?","~?"),'DEF_SELF_SCOUT_IMPORT'!$D$42:$D$1040,SUBSTITUTE(SUBSTITUTE(SUBSTITUTE($P1008,"~","~~"),"*","~*"),"?","~?"))</f>
        <v>1</v>
      </c>
      <c r="D1008" s="10">
        <f>IF($C1008=0,"",SUMIFS('DEF_SELF_SCOUT_IMPORT'!$J$42:$J$1040,'DEF_SELF_SCOUT_IMPORT'!$L$42:$L$1040,"Y",'DEF_SELF_SCOUT_IMPORT'!$E$42:$E$1040,SUBSTITUTE(SUBSTITUTE(SUBSTITUTE($B1008,"~","~~"),"*","~*"),"?","~?"),'DEF_SELF_SCOUT_IMPORT'!$Q$42:$Q$1040,SUBSTITUTE(SUBSTITUTE(SUBSTITUTE($M1008,"~","~~"),"*","~*"),"?","~?"),'DEF_SELF_SCOUT_IMPORT'!$D$42:$D$1040,SUBSTITUTE(SUBSTITUTE(SUBSTITUTE($P1008,"~","~~"),"*","~*"),"?","~?"))/$C1008)</f>
        <v>1.0</v>
      </c>
      <c r="E1008" s="10">
        <f>IF($C1008=0,"",SUMIFS('DEF_SELF_SCOUT_IMPORT'!$K$42:$K$1040,'DEF_SELF_SCOUT_IMPORT'!$L$42:$L$1040,"Y",'DEF_SELF_SCOUT_IMPORT'!$E$42:$E$1040,SUBSTITUTE(SUBSTITUTE(SUBSTITUTE($B1008,"~","~~"),"*","~*"),"?","~?"),'DEF_SELF_SCOUT_IMPORT'!$Q$42:$Q$1040,SUBSTITUTE(SUBSTITUTE(SUBSTITUTE($M1008,"~","~~"),"*","~*"),"?","~?"),'DEF_SELF_SCOUT_IMPORT'!$D$42:$D$1040,SUBSTITUTE(SUBSTITUTE(SUBSTITUTE($P1008,"~","~~"),"*","~*"),"?","~?"))/$C1008)</f>
        <v>0.0</v>
      </c>
      <c r="F1008" s="11">
        <f>IF($C1008=0,"",AVERAGEIFS('DEF_SELF_SCOUT_IMPORT'!$I$42:$I$1040,'DEF_SELF_SCOUT_IMPORT'!$L$42:$L$1040,"Y",'DEF_SELF_SCOUT_IMPORT'!$E$42:$E$1040,SUBSTITUTE(SUBSTITUTE(SUBSTITUTE($B1008,"~","~~"),"*","~*"),"?","~?"),'DEF_SELF_SCOUT_IMPORT'!$Q$42:$Q$1040,SUBSTITUTE(SUBSTITUTE(SUBSTITUTE($M1008,"~","~~"),"*","~*"),"?","~?"),'DEF_SELF_SCOUT_IMPORT'!$D$42:$D$1040,SUBSTITUTE(SUBSTITUTE(SUBSTITUTE($P1008,"~","~~"),"*","~*"),"?","~?")))</f>
        <v>1.0</v>
      </c>
      <c r="G1008" s="10">
        <f>IF($C1008=0,"",COUNTIFS('DEF_SELF_SCOUT_IMPORT'!$L$42:$L$1040,"Y",'DEF_SELF_SCOUT_IMPORT'!$E$42:$E$1040,SUBSTITUTE(SUBSTITUTE(SUBSTITUTE($B1008,"~","~~"),"*","~*"),"?","~?"),'DEF_SELF_SCOUT_IMPORT'!$Q$42:$Q$1040,SUBSTITUTE(SUBSTITUTE(SUBSTITUTE($M1008,"~","~~"),"*","~*"),"?","~?"),'DEF_SELF_SCOUT_IMPORT'!$D$42:$D$1040,SUBSTITUTE(SUBSTITUTE(SUBSTITUTE($P1008,"~","~~"),"*","~*"),"?","~?"),'DEF_SELF_SCOUT_IMPORT'!$H$42:$H$1040,"RUSH")/$C1008)</f>
        <v>1.0</v>
      </c>
      <c r="H1008" s="10">
        <f>IF($C1008=0,"",COUNTIFS('DEF_SELF_SCOUT_IMPORT'!$L$42:$L$1040,"Y",'DEF_SELF_SCOUT_IMPORT'!$E$42:$E$1040,SUBSTITUTE(SUBSTITUTE(SUBSTITUTE($B1008,"~","~~"),"*","~*"),"?","~?"),'DEF_SELF_SCOUT_IMPORT'!$Q$42:$Q$1040,SUBSTITUTE(SUBSTITUTE(SUBSTITUTE($M1008,"~","~~"),"*","~*"),"?","~?"),'DEF_SELF_SCOUT_IMPORT'!$D$42:$D$1040,SUBSTITUTE(SUBSTITUTE(SUBSTITUTE($P1008,"~","~~"),"*","~*"),"?","~?"),'DEF_SELF_SCOUT_IMPORT'!$H$42:$H$1040,"DROPBACK")/$C1008)</f>
        <v>0.0</v>
      </c>
      <c r="I1008" s="14" t="str">
        <f>IF(C1008=0,"",IF(C1008&lt;=2,"TRACK",IF(C1008=3,"LOW",IF(C1008&lt;=6,"MEDIUM","HIGH"))))</f>
        <v>TRACK</v>
      </c>
      <c r="J1008" s="11">
        <f>IF(C1008=0,"",ROUND(D1008*70+(1-E1008)*20+MAX(0,MIN(1,(10-F1008)/10))*10,1))</f>
        <v>99.0</v>
      </c>
      <c r="K1008" s="14" t="str">
        <f>IF(C1008=0,"No Evidence",IF(C1008&lt;=2,IF(E1008&gt;0,"Explosive Alert","Track Only"),IF(C1008=3,"Sample Watch",IF(E1008&gt;=START_HERE!$B$31,"Explosive Alert",IF(J1008&gt;=80,"Strong Candidate",IF(J1008&gt;=65,"Good Candidate",IF(J1008&gt;=50,"Mixed / Review","Problem Call")))))))</f>
        <v>Track Only</v>
      </c>
      <c r="L1008" s="9" t="str">
        <f>IF(COUNTIFS('DEF_SELF_SCOUT_IMPORT'!$L$42:$L$1040,"Y",'DEF_SELF_SCOUT_IMPORT'!$E$42:$E$1040,SUBSTITUTE(SUBSTITUTE(SUBSTITUTE($B1008,"~","~~"),"*","~*"),"?","~?"),'DEF_SELF_SCOUT_IMPORT'!$Q$42:$Q$1040,SUBSTITUTE(SUBSTITUTE(SUBSTITUTE($M1008,"~","~~"),"*","~*"),"?","~?"),'DEF_SELF_SCOUT_IMPORT'!$D$42:$D$1040,SUBSTITUTE(SUBSTITUTE(SUBSTITUTE($P1008,"~","~~"),"*","~*"),"?","~?"),'DEF_SELF_SCOUT_IMPORT'!$J$42:$J$1040,"")&gt;0,"Unscored clean outcome; review result tags before using score.",IF(C1008=0,"No matching defensive reps; film confirmation needed.",IF(K1008="Explosive Alert","Explosive risk; review clips before using as answer.",IF(C1008&lt;=2,"Track only; not enough sample.",IF(C1008=3,IF(E1008&gt;0,"Sample watch with explosive exposure; review clips and build the sample.",IF(J1008&gt;=65,"Good signal, but sample is limited.","Sample watch; review clips and build the sample.")),IF(K1008="Problem Call","Problem area; practice or call-sheet review.",IF(K1008="Strong Candidate","Strong call-fit candidate; confirm on film.",IF(K1008="Good Candidate","Good call-fit signal; confirm on film.","Mixed signal; review fit and execution on film."))))))))</f>
        <v>Track only; not enough sample.</v>
      </c>
      <c r="M1008" s="8" t="s">
        <v>107</v>
      </c>
      <c r="N1008" s="8"/>
      <c r="O1008" s="8"/>
      <c r="P1008" s="8" t="s">
        <v>428</v>
      </c>
      <c r="Q1008" s="8"/>
      <c r="R1008" s="8" t="s">
        <v>429</v>
      </c>
      <c r="S1008" s="2" t="s">
        <v>583</v>
      </c>
      <c r="T1008" s="2">
        <f>IF(C1008=0,0,IF(C1008&gt;=CALL_LOOKUP_BOARD!$B$7,IF(OR(K1008="Problem Call",K1008="Explosive Alert"),10000000,20000000),0)+IF(C1008&gt;=CALL_LOOKUP_BOARD!$B$7,J1008*1000+MIN(C1008,999),C1008*1000+J1008)+0.00980200)</f>
        <v>1099.009802</v>
      </c>
      <c r="U1008" s="2">
        <f>IF(C1008=0,"",IF(COUNTIFS($S$811:$S$1055,SUBSTITUTE(SUBSTITUTE(SUBSTITUTE(S1008,"~","~~"),"*","~*"),"?","~?"),$T$811:$T$1055,"&gt;"&amp;T1008)=0,S1008,""))</f>
        <v/>
      </c>
    </row>
    <row r="1009" spans="1:21" ht="38" customHeight="1">
      <c r="A1009" s="8" t="s">
        <v>582</v>
      </c>
      <c r="B1009" s="8" t="s">
        <v>35</v>
      </c>
      <c r="C1009" s="12">
        <f>COUNTIFS('DEF_SELF_SCOUT_IMPORT'!$L$42:$L$1040,"Y",'DEF_SELF_SCOUT_IMPORT'!$E$42:$E$1040,SUBSTITUTE(SUBSTITUTE(SUBSTITUTE($B1009,"~","~~"),"*","~*"),"?","~?"),'DEF_SELF_SCOUT_IMPORT'!$Q$42:$Q$1040,SUBSTITUTE(SUBSTITUTE(SUBSTITUTE($M1009,"~","~~"),"*","~*"),"?","~?"),'DEF_SELF_SCOUT_IMPORT'!$D$42:$D$1040,SUBSTITUTE(SUBSTITUTE(SUBSTITUTE($P1009,"~","~~"),"*","~*"),"?","~?"))</f>
        <v>1</v>
      </c>
      <c r="D1009" s="10">
        <f>IF($C1009=0,"",SUMIFS('DEF_SELF_SCOUT_IMPORT'!$J$42:$J$1040,'DEF_SELF_SCOUT_IMPORT'!$L$42:$L$1040,"Y",'DEF_SELF_SCOUT_IMPORT'!$E$42:$E$1040,SUBSTITUTE(SUBSTITUTE(SUBSTITUTE($B1009,"~","~~"),"*","~*"),"?","~?"),'DEF_SELF_SCOUT_IMPORT'!$Q$42:$Q$1040,SUBSTITUTE(SUBSTITUTE(SUBSTITUTE($M1009,"~","~~"),"*","~*"),"?","~?"),'DEF_SELF_SCOUT_IMPORT'!$D$42:$D$1040,SUBSTITUTE(SUBSTITUTE(SUBSTITUTE($P1009,"~","~~"),"*","~*"),"?","~?"))/$C1009)</f>
        <v>1.0</v>
      </c>
      <c r="E1009" s="10">
        <f>IF($C1009=0,"",SUMIFS('DEF_SELF_SCOUT_IMPORT'!$K$42:$K$1040,'DEF_SELF_SCOUT_IMPORT'!$L$42:$L$1040,"Y",'DEF_SELF_SCOUT_IMPORT'!$E$42:$E$1040,SUBSTITUTE(SUBSTITUTE(SUBSTITUTE($B1009,"~","~~"),"*","~*"),"?","~?"),'DEF_SELF_SCOUT_IMPORT'!$Q$42:$Q$1040,SUBSTITUTE(SUBSTITUTE(SUBSTITUTE($M1009,"~","~~"),"*","~*"),"?","~?"),'DEF_SELF_SCOUT_IMPORT'!$D$42:$D$1040,SUBSTITUTE(SUBSTITUTE(SUBSTITUTE($P1009,"~","~~"),"*","~*"),"?","~?"))/$C1009)</f>
        <v>0.0</v>
      </c>
      <c r="F1009" s="11">
        <f>IF($C1009=0,"",AVERAGEIFS('DEF_SELF_SCOUT_IMPORT'!$I$42:$I$1040,'DEF_SELF_SCOUT_IMPORT'!$L$42:$L$1040,"Y",'DEF_SELF_SCOUT_IMPORT'!$E$42:$E$1040,SUBSTITUTE(SUBSTITUTE(SUBSTITUTE($B1009,"~","~~"),"*","~*"),"?","~?"),'DEF_SELF_SCOUT_IMPORT'!$Q$42:$Q$1040,SUBSTITUTE(SUBSTITUTE(SUBSTITUTE($M1009,"~","~~"),"*","~*"),"?","~?"),'DEF_SELF_SCOUT_IMPORT'!$D$42:$D$1040,SUBSTITUTE(SUBSTITUTE(SUBSTITUTE($P1009,"~","~~"),"*","~*"),"?","~?")))</f>
        <v>0.0</v>
      </c>
      <c r="G1009" s="10">
        <f>IF($C1009=0,"",COUNTIFS('DEF_SELF_SCOUT_IMPORT'!$L$42:$L$1040,"Y",'DEF_SELF_SCOUT_IMPORT'!$E$42:$E$1040,SUBSTITUTE(SUBSTITUTE(SUBSTITUTE($B1009,"~","~~"),"*","~*"),"?","~?"),'DEF_SELF_SCOUT_IMPORT'!$Q$42:$Q$1040,SUBSTITUTE(SUBSTITUTE(SUBSTITUTE($M1009,"~","~~"),"*","~*"),"?","~?"),'DEF_SELF_SCOUT_IMPORT'!$D$42:$D$1040,SUBSTITUTE(SUBSTITUTE(SUBSTITUTE($P1009,"~","~~"),"*","~*"),"?","~?"),'DEF_SELF_SCOUT_IMPORT'!$H$42:$H$1040,"RUSH")/$C1009)</f>
        <v>1.0</v>
      </c>
      <c r="H1009" s="10">
        <f>IF($C1009=0,"",COUNTIFS('DEF_SELF_SCOUT_IMPORT'!$L$42:$L$1040,"Y",'DEF_SELF_SCOUT_IMPORT'!$E$42:$E$1040,SUBSTITUTE(SUBSTITUTE(SUBSTITUTE($B1009,"~","~~"),"*","~*"),"?","~?"),'DEF_SELF_SCOUT_IMPORT'!$Q$42:$Q$1040,SUBSTITUTE(SUBSTITUTE(SUBSTITUTE($M1009,"~","~~"),"*","~*"),"?","~?"),'DEF_SELF_SCOUT_IMPORT'!$D$42:$D$1040,SUBSTITUTE(SUBSTITUTE(SUBSTITUTE($P1009,"~","~~"),"*","~*"),"?","~?"),'DEF_SELF_SCOUT_IMPORT'!$H$42:$H$1040,"DROPBACK")/$C1009)</f>
        <v>0.0</v>
      </c>
      <c r="I1009" s="14" t="str">
        <f>IF(C1009=0,"",IF(C1009&lt;=2,"TRACK",IF(C1009=3,"LOW",IF(C1009&lt;=6,"MEDIUM","HIGH"))))</f>
        <v>TRACK</v>
      </c>
      <c r="J1009" s="11">
        <f>IF(C1009=0,"",ROUND(D1009*70+(1-E1009)*20+MAX(0,MIN(1,(10-F1009)/10))*10,1))</f>
        <v>100.0</v>
      </c>
      <c r="K1009" s="14" t="str">
        <f>IF(C1009=0,"No Evidence",IF(C1009&lt;=2,IF(E1009&gt;0,"Explosive Alert","Track Only"),IF(C1009=3,"Sample Watch",IF(E1009&gt;=START_HERE!$B$31,"Explosive Alert",IF(J1009&gt;=80,"Strong Candidate",IF(J1009&gt;=65,"Good Candidate",IF(J1009&gt;=50,"Mixed / Review","Problem Call")))))))</f>
        <v>Track Only</v>
      </c>
      <c r="L1009" s="9" t="str">
        <f>IF(COUNTIFS('DEF_SELF_SCOUT_IMPORT'!$L$42:$L$1040,"Y",'DEF_SELF_SCOUT_IMPORT'!$E$42:$E$1040,SUBSTITUTE(SUBSTITUTE(SUBSTITUTE($B1009,"~","~~"),"*","~*"),"?","~?"),'DEF_SELF_SCOUT_IMPORT'!$Q$42:$Q$1040,SUBSTITUTE(SUBSTITUTE(SUBSTITUTE($M1009,"~","~~"),"*","~*"),"?","~?"),'DEF_SELF_SCOUT_IMPORT'!$D$42:$D$1040,SUBSTITUTE(SUBSTITUTE(SUBSTITUTE($P1009,"~","~~"),"*","~*"),"?","~?"),'DEF_SELF_SCOUT_IMPORT'!$J$42:$J$1040,"")&gt;0,"Unscored clean outcome; review result tags before using score.",IF(C1009=0,"No matching defensive reps; film confirmation needed.",IF(K1009="Explosive Alert","Explosive risk; review clips before using as answer.",IF(C1009&lt;=2,"Track only; not enough sample.",IF(C1009=3,IF(E1009&gt;0,"Sample watch with explosive exposure; review clips and build the sample.",IF(J1009&gt;=65,"Good signal, but sample is limited.","Sample watch; review clips and build the sample.")),IF(K1009="Problem Call","Problem area; practice or call-sheet review.",IF(K1009="Strong Candidate","Strong call-fit candidate; confirm on film.",IF(K1009="Good Candidate","Good call-fit signal; confirm on film.","Mixed signal; review fit and execution on film."))))))))</f>
        <v>Track only; not enough sample.</v>
      </c>
      <c r="M1009" s="8" t="s">
        <v>107</v>
      </c>
      <c r="N1009" s="8"/>
      <c r="O1009" s="8"/>
      <c r="P1009" s="8" t="s">
        <v>428</v>
      </c>
      <c r="Q1009" s="8"/>
      <c r="R1009" s="8" t="s">
        <v>429</v>
      </c>
      <c r="S1009" s="2" t="s">
        <v>583</v>
      </c>
      <c r="T1009" s="2">
        <f>IF(C1009=0,0,IF(C1009&gt;=CALL_LOOKUP_BOARD!$B$7,IF(OR(K1009="Problem Call",K1009="Explosive Alert"),10000000,20000000),0)+IF(C1009&gt;=CALL_LOOKUP_BOARD!$B$7,J1009*1000+MIN(C1009,999),C1009*1000+J1009)+0.00980100)</f>
        <v>1100.009801</v>
      </c>
      <c r="U1009" s="2" t="str">
        <f>IF(C1009=0,"",IF(COUNTIFS($S$811:$S$1055,SUBSTITUTE(SUBSTITUTE(SUBSTITUTE(S1009,"~","~~"),"*","~*"),"?","~?"),$T$811:$T$1055,"&gt;"&amp;T1009)=0,S1009,""))</f>
        <v>7:3D 7-10|11:INSIDE ZONE|</v>
      </c>
    </row>
    <row r="1010" spans="1:21" ht="38" customHeight="1">
      <c r="A1010" s="8" t="s">
        <v>582</v>
      </c>
      <c r="B1010" s="8" t="s">
        <v>102</v>
      </c>
      <c r="C1010" s="12">
        <f>COUNTIFS('DEF_SELF_SCOUT_IMPORT'!$L$42:$L$1040,"Y",'DEF_SELF_SCOUT_IMPORT'!$E$42:$E$1040,SUBSTITUTE(SUBSTITUTE(SUBSTITUTE($B1010,"~","~~"),"*","~*"),"?","~?"),'DEF_SELF_SCOUT_IMPORT'!$Q$42:$Q$1040,SUBSTITUTE(SUBSTITUTE(SUBSTITUTE($M1010,"~","~~"),"*","~*"),"?","~?"),'DEF_SELF_SCOUT_IMPORT'!$D$42:$D$1040,SUBSTITUTE(SUBSTITUTE(SUBSTITUTE($P1010,"~","~~"),"*","~*"),"?","~?"))</f>
        <v>1</v>
      </c>
      <c r="D1010" s="10">
        <f>IF($C1010=0,"",SUMIFS('DEF_SELF_SCOUT_IMPORT'!$J$42:$J$1040,'DEF_SELF_SCOUT_IMPORT'!$L$42:$L$1040,"Y",'DEF_SELF_SCOUT_IMPORT'!$E$42:$E$1040,SUBSTITUTE(SUBSTITUTE(SUBSTITUTE($B1010,"~","~~"),"*","~*"),"?","~?"),'DEF_SELF_SCOUT_IMPORT'!$Q$42:$Q$1040,SUBSTITUTE(SUBSTITUTE(SUBSTITUTE($M1010,"~","~~"),"*","~*"),"?","~?"),'DEF_SELF_SCOUT_IMPORT'!$D$42:$D$1040,SUBSTITUTE(SUBSTITUTE(SUBSTITUTE($P1010,"~","~~"),"*","~*"),"?","~?"))/$C1010)</f>
        <v>1.0</v>
      </c>
      <c r="E1010" s="10">
        <f>IF($C1010=0,"",SUMIFS('DEF_SELF_SCOUT_IMPORT'!$K$42:$K$1040,'DEF_SELF_SCOUT_IMPORT'!$L$42:$L$1040,"Y",'DEF_SELF_SCOUT_IMPORT'!$E$42:$E$1040,SUBSTITUTE(SUBSTITUTE(SUBSTITUTE($B1010,"~","~~"),"*","~*"),"?","~?"),'DEF_SELF_SCOUT_IMPORT'!$Q$42:$Q$1040,SUBSTITUTE(SUBSTITUTE(SUBSTITUTE($M1010,"~","~~"),"*","~*"),"?","~?"),'DEF_SELF_SCOUT_IMPORT'!$D$42:$D$1040,SUBSTITUTE(SUBSTITUTE(SUBSTITUTE($P1010,"~","~~"),"*","~*"),"?","~?"))/$C1010)</f>
        <v>0.0</v>
      </c>
      <c r="F1010" s="11">
        <f>IF($C1010=0,"",AVERAGEIFS('DEF_SELF_SCOUT_IMPORT'!$I$42:$I$1040,'DEF_SELF_SCOUT_IMPORT'!$L$42:$L$1040,"Y",'DEF_SELF_SCOUT_IMPORT'!$E$42:$E$1040,SUBSTITUTE(SUBSTITUTE(SUBSTITUTE($B1010,"~","~~"),"*","~*"),"?","~?"),'DEF_SELF_SCOUT_IMPORT'!$Q$42:$Q$1040,SUBSTITUTE(SUBSTITUTE(SUBSTITUTE($M1010,"~","~~"),"*","~*"),"?","~?"),'DEF_SELF_SCOUT_IMPORT'!$D$42:$D$1040,SUBSTITUTE(SUBSTITUTE(SUBSTITUTE($P1010,"~","~~"),"*","~*"),"?","~?")))</f>
        <v>3.0</v>
      </c>
      <c r="G1010" s="10">
        <f>IF($C1010=0,"",COUNTIFS('DEF_SELF_SCOUT_IMPORT'!$L$42:$L$1040,"Y",'DEF_SELF_SCOUT_IMPORT'!$E$42:$E$1040,SUBSTITUTE(SUBSTITUTE(SUBSTITUTE($B1010,"~","~~"),"*","~*"),"?","~?"),'DEF_SELF_SCOUT_IMPORT'!$Q$42:$Q$1040,SUBSTITUTE(SUBSTITUTE(SUBSTITUTE($M1010,"~","~~"),"*","~*"),"?","~?"),'DEF_SELF_SCOUT_IMPORT'!$D$42:$D$1040,SUBSTITUTE(SUBSTITUTE(SUBSTITUTE($P1010,"~","~~"),"*","~*"),"?","~?"),'DEF_SELF_SCOUT_IMPORT'!$H$42:$H$1040,"RUSH")/$C1010)</f>
        <v>1.0</v>
      </c>
      <c r="H1010" s="10">
        <f>IF($C1010=0,"",COUNTIFS('DEF_SELF_SCOUT_IMPORT'!$L$42:$L$1040,"Y",'DEF_SELF_SCOUT_IMPORT'!$E$42:$E$1040,SUBSTITUTE(SUBSTITUTE(SUBSTITUTE($B1010,"~","~~"),"*","~*"),"?","~?"),'DEF_SELF_SCOUT_IMPORT'!$Q$42:$Q$1040,SUBSTITUTE(SUBSTITUTE(SUBSTITUTE($M1010,"~","~~"),"*","~*"),"?","~?"),'DEF_SELF_SCOUT_IMPORT'!$D$42:$D$1040,SUBSTITUTE(SUBSTITUTE(SUBSTITUTE($P1010,"~","~~"),"*","~*"),"?","~?"),'DEF_SELF_SCOUT_IMPORT'!$H$42:$H$1040,"DROPBACK")/$C1010)</f>
        <v>0.0</v>
      </c>
      <c r="I1010" s="14" t="str">
        <f>IF(C1010=0,"",IF(C1010&lt;=2,"TRACK",IF(C1010=3,"LOW",IF(C1010&lt;=6,"MEDIUM","HIGH"))))</f>
        <v>TRACK</v>
      </c>
      <c r="J1010" s="11">
        <f>IF(C1010=0,"",ROUND(D1010*70+(1-E1010)*20+MAX(0,MIN(1,(10-F1010)/10))*10,1))</f>
        <v>97.0</v>
      </c>
      <c r="K1010" s="14" t="str">
        <f>IF(C1010=0,"No Evidence",IF(C1010&lt;=2,IF(E1010&gt;0,"Explosive Alert","Track Only"),IF(C1010=3,"Sample Watch",IF(E1010&gt;=START_HERE!$B$31,"Explosive Alert",IF(J1010&gt;=80,"Strong Candidate",IF(J1010&gt;=65,"Good Candidate",IF(J1010&gt;=50,"Mixed / Review","Problem Call")))))))</f>
        <v>Track Only</v>
      </c>
      <c r="L1010" s="9" t="str">
        <f>IF(COUNTIFS('DEF_SELF_SCOUT_IMPORT'!$L$42:$L$1040,"Y",'DEF_SELF_SCOUT_IMPORT'!$E$42:$E$1040,SUBSTITUTE(SUBSTITUTE(SUBSTITUTE($B1010,"~","~~"),"*","~*"),"?","~?"),'DEF_SELF_SCOUT_IMPORT'!$Q$42:$Q$1040,SUBSTITUTE(SUBSTITUTE(SUBSTITUTE($M1010,"~","~~"),"*","~*"),"?","~?"),'DEF_SELF_SCOUT_IMPORT'!$D$42:$D$1040,SUBSTITUTE(SUBSTITUTE(SUBSTITUTE($P1010,"~","~~"),"*","~*"),"?","~?"),'DEF_SELF_SCOUT_IMPORT'!$J$42:$J$1040,"")&gt;0,"Unscored clean outcome; review result tags before using score.",IF(C1010=0,"No matching defensive reps; film confirmation needed.",IF(K1010="Explosive Alert","Explosive risk; review clips before using as answer.",IF(C1010&lt;=2,"Track only; not enough sample.",IF(C1010=3,IF(E1010&gt;0,"Sample watch with explosive exposure; review clips and build the sample.",IF(J1010&gt;=65,"Good signal, but sample is limited.","Sample watch; review clips and build the sample.")),IF(K1010="Problem Call","Problem area; practice or call-sheet review.",IF(K1010="Strong Candidate","Strong call-fit candidate; confirm on film.",IF(K1010="Good Candidate","Good call-fit signal; confirm on film.","Mixed signal; review fit and execution on film."))))))))</f>
        <v>Track only; not enough sample.</v>
      </c>
      <c r="M1010" s="8" t="s">
        <v>107</v>
      </c>
      <c r="N1010" s="8"/>
      <c r="O1010" s="8"/>
      <c r="P1010" s="8" t="s">
        <v>428</v>
      </c>
      <c r="Q1010" s="8"/>
      <c r="R1010" s="8" t="s">
        <v>429</v>
      </c>
      <c r="S1010" s="2" t="s">
        <v>583</v>
      </c>
      <c r="T1010" s="2">
        <f>IF(C1010=0,0,IF(C1010&gt;=CALL_LOOKUP_BOARD!$B$7,IF(OR(K1010="Problem Call",K1010="Explosive Alert"),10000000,20000000),0)+IF(C1010&gt;=CALL_LOOKUP_BOARD!$B$7,J1010*1000+MIN(C1010,999),C1010*1000+J1010)+0.00980000)</f>
        <v>1097.0098</v>
      </c>
      <c r="U1010" s="2">
        <f>IF(C1010=0,"",IF(COUNTIFS($S$811:$S$1055,SUBSTITUTE(SUBSTITUTE(SUBSTITUTE(S1010,"~","~~"),"*","~*"),"?","~?"),$T$811:$T$1055,"&gt;"&amp;T1010)=0,S1010,""))</f>
        <v/>
      </c>
    </row>
    <row r="1011" spans="1:21" ht="38" customHeight="1">
      <c r="A1011" s="8" t="s">
        <v>584</v>
      </c>
      <c r="B1011" s="8" t="s">
        <v>46</v>
      </c>
      <c r="C1011" s="12">
        <f>COUNTIFS('DEF_SELF_SCOUT_IMPORT'!$L$42:$L$1040,"Y",'DEF_SELF_SCOUT_IMPORT'!$E$42:$E$1040,SUBSTITUTE(SUBSTITUTE(SUBSTITUTE($B1011,"~","~~"),"*","~*"),"?","~?"),'DEF_SELF_SCOUT_IMPORT'!$Q$42:$Q$1040,SUBSTITUTE(SUBSTITUTE(SUBSTITUTE($M1011,"~","~~"),"*","~*"),"?","~?"),'DEF_SELF_SCOUT_IMPORT'!$D$42:$D$1040,SUBSTITUTE(SUBSTITUTE(SUBSTITUTE($P1011,"~","~~"),"*","~*"),"?","~?"))</f>
        <v>1</v>
      </c>
      <c r="D1011" s="10">
        <f>IF($C1011=0,"",SUMIFS('DEF_SELF_SCOUT_IMPORT'!$J$42:$J$1040,'DEF_SELF_SCOUT_IMPORT'!$L$42:$L$1040,"Y",'DEF_SELF_SCOUT_IMPORT'!$E$42:$E$1040,SUBSTITUTE(SUBSTITUTE(SUBSTITUTE($B1011,"~","~~"),"*","~*"),"?","~?"),'DEF_SELF_SCOUT_IMPORT'!$Q$42:$Q$1040,SUBSTITUTE(SUBSTITUTE(SUBSTITUTE($M1011,"~","~~"),"*","~*"),"?","~?"),'DEF_SELF_SCOUT_IMPORT'!$D$42:$D$1040,SUBSTITUTE(SUBSTITUTE(SUBSTITUTE($P1011,"~","~~"),"*","~*"),"?","~?"))/$C1011)</f>
        <v>0.0</v>
      </c>
      <c r="E1011" s="10">
        <f>IF($C1011=0,"",SUMIFS('DEF_SELF_SCOUT_IMPORT'!$K$42:$K$1040,'DEF_SELF_SCOUT_IMPORT'!$L$42:$L$1040,"Y",'DEF_SELF_SCOUT_IMPORT'!$E$42:$E$1040,SUBSTITUTE(SUBSTITUTE(SUBSTITUTE($B1011,"~","~~"),"*","~*"),"?","~?"),'DEF_SELF_SCOUT_IMPORT'!$Q$42:$Q$1040,SUBSTITUTE(SUBSTITUTE(SUBSTITUTE($M1011,"~","~~"),"*","~*"),"?","~?"),'DEF_SELF_SCOUT_IMPORT'!$D$42:$D$1040,SUBSTITUTE(SUBSTITUTE(SUBSTITUTE($P1011,"~","~~"),"*","~*"),"?","~?"))/$C1011)</f>
        <v>0.0</v>
      </c>
      <c r="F1011" s="11">
        <f>IF($C1011=0,"",AVERAGEIFS('DEF_SELF_SCOUT_IMPORT'!$I$42:$I$1040,'DEF_SELF_SCOUT_IMPORT'!$L$42:$L$1040,"Y",'DEF_SELF_SCOUT_IMPORT'!$E$42:$E$1040,SUBSTITUTE(SUBSTITUTE(SUBSTITUTE($B1011,"~","~~"),"*","~*"),"?","~?"),'DEF_SELF_SCOUT_IMPORT'!$Q$42:$Q$1040,SUBSTITUTE(SUBSTITUTE(SUBSTITUTE($M1011,"~","~~"),"*","~*"),"?","~?"),'DEF_SELF_SCOUT_IMPORT'!$D$42:$D$1040,SUBSTITUTE(SUBSTITUTE(SUBSTITUTE($P1011,"~","~~"),"*","~*"),"?","~?")))</f>
        <v>7.0</v>
      </c>
      <c r="G1011" s="10">
        <f>IF($C1011=0,"",COUNTIFS('DEF_SELF_SCOUT_IMPORT'!$L$42:$L$1040,"Y",'DEF_SELF_SCOUT_IMPORT'!$E$42:$E$1040,SUBSTITUTE(SUBSTITUTE(SUBSTITUTE($B1011,"~","~~"),"*","~*"),"?","~?"),'DEF_SELF_SCOUT_IMPORT'!$Q$42:$Q$1040,SUBSTITUTE(SUBSTITUTE(SUBSTITUTE($M1011,"~","~~"),"*","~*"),"?","~?"),'DEF_SELF_SCOUT_IMPORT'!$D$42:$D$1040,SUBSTITUTE(SUBSTITUTE(SUBSTITUTE($P1011,"~","~~"),"*","~*"),"?","~?"),'DEF_SELF_SCOUT_IMPORT'!$H$42:$H$1040,"RUSH")/$C1011)</f>
        <v>0.0</v>
      </c>
      <c r="H1011" s="10">
        <f>IF($C1011=0,"",COUNTIFS('DEF_SELF_SCOUT_IMPORT'!$L$42:$L$1040,"Y",'DEF_SELF_SCOUT_IMPORT'!$E$42:$E$1040,SUBSTITUTE(SUBSTITUTE(SUBSTITUTE($B1011,"~","~~"),"*","~*"),"?","~?"),'DEF_SELF_SCOUT_IMPORT'!$Q$42:$Q$1040,SUBSTITUTE(SUBSTITUTE(SUBSTITUTE($M1011,"~","~~"),"*","~*"),"?","~?"),'DEF_SELF_SCOUT_IMPORT'!$D$42:$D$1040,SUBSTITUTE(SUBSTITUTE(SUBSTITUTE($P1011,"~","~~"),"*","~*"),"?","~?"),'DEF_SELF_SCOUT_IMPORT'!$H$42:$H$1040,"DROPBACK")/$C1011)</f>
        <v>1.0</v>
      </c>
      <c r="I1011" s="14" t="str">
        <f>IF(C1011=0,"",IF(C1011&lt;=2,"TRACK",IF(C1011=3,"LOW",IF(C1011&lt;=6,"MEDIUM","HIGH"))))</f>
        <v>TRACK</v>
      </c>
      <c r="J1011" s="11">
        <f>IF(C1011=0,"",ROUND(D1011*70+(1-E1011)*20+MAX(0,MIN(1,(10-F1011)/10))*10,1))</f>
        <v>23.0</v>
      </c>
      <c r="K1011" s="14" t="str">
        <f>IF(C1011=0,"No Evidence",IF(C1011&lt;=2,IF(E1011&gt;0,"Explosive Alert","Track Only"),IF(C1011=3,"Sample Watch",IF(E1011&gt;=START_HERE!$B$31,"Explosive Alert",IF(J1011&gt;=80,"Strong Candidate",IF(J1011&gt;=65,"Good Candidate",IF(J1011&gt;=50,"Mixed / Review","Problem Call")))))))</f>
        <v>Track Only</v>
      </c>
      <c r="L1011" s="9" t="str">
        <f>IF(COUNTIFS('DEF_SELF_SCOUT_IMPORT'!$L$42:$L$1040,"Y",'DEF_SELF_SCOUT_IMPORT'!$E$42:$E$1040,SUBSTITUTE(SUBSTITUTE(SUBSTITUTE($B1011,"~","~~"),"*","~*"),"?","~?"),'DEF_SELF_SCOUT_IMPORT'!$Q$42:$Q$1040,SUBSTITUTE(SUBSTITUTE(SUBSTITUTE($M1011,"~","~~"),"*","~*"),"?","~?"),'DEF_SELF_SCOUT_IMPORT'!$D$42:$D$1040,SUBSTITUTE(SUBSTITUTE(SUBSTITUTE($P1011,"~","~~"),"*","~*"),"?","~?"),'DEF_SELF_SCOUT_IMPORT'!$J$42:$J$1040,"")&gt;0,"Unscored clean outcome; review result tags before using score.",IF(C1011=0,"No matching defensive reps; film confirmation needed.",IF(K1011="Explosive Alert","Explosive risk; review clips before using as answer.",IF(C1011&lt;=2,"Track only; not enough sample.",IF(C1011=3,IF(E1011&gt;0,"Sample watch with explosive exposure; review clips and build the sample.",IF(J1011&gt;=65,"Good signal, but sample is limited.","Sample watch; review clips and build the sample.")),IF(K1011="Problem Call","Problem area; practice or call-sheet review.",IF(K1011="Strong Candidate","Strong call-fit candidate; confirm on film.",IF(K1011="Good Candidate","Good call-fit signal; confirm on film.","Mixed signal; review fit and execution on film."))))))))</f>
        <v>Track only; not enough sample.</v>
      </c>
      <c r="M1011" s="8" t="s">
        <v>107</v>
      </c>
      <c r="N1011" s="8"/>
      <c r="O1011" s="8"/>
      <c r="P1011" s="8" t="s">
        <v>471</v>
      </c>
      <c r="Q1011" s="8"/>
      <c r="R1011" s="8" t="s">
        <v>429</v>
      </c>
      <c r="S1011" s="2" t="s">
        <v>585</v>
      </c>
      <c r="T1011" s="2">
        <f>IF(C1011=0,0,IF(C1011&gt;=CALL_LOOKUP_BOARD!$B$7,IF(OR(K1011="Problem Call",K1011="Explosive Alert"),10000000,20000000),0)+IF(C1011&gt;=CALL_LOOKUP_BOARD!$B$7,J1011*1000+MIN(C1011,999),C1011*1000+J1011)+0.00979900)</f>
        <v>1023.009799</v>
      </c>
      <c r="U1011" s="2" t="str">
        <f>IF(C1011=0,"",IF(COUNTIFS($S$811:$S$1055,SUBSTITUTE(SUBSTITUTE(SUBSTITUTE(S1011,"~","~~"),"*","~*"),"?","~?"),$T$811:$T$1055,"&gt;"&amp;T1011)=0,S1011,""))</f>
        <v>7:3D 7-10|3:RPO|</v>
      </c>
    </row>
    <row r="1012" spans="1:21" ht="38" customHeight="1">
      <c r="A1012" s="8" t="s">
        <v>586</v>
      </c>
      <c r="B1012" s="8" t="s">
        <v>27</v>
      </c>
      <c r="C1012" s="12">
        <f>COUNTIFS('DEF_SELF_SCOUT_IMPORT'!$L$42:$L$1040,"Y",'DEF_SELF_SCOUT_IMPORT'!$E$42:$E$1040,SUBSTITUTE(SUBSTITUTE(SUBSTITUTE($B1012,"~","~~"),"*","~*"),"?","~?"),'DEF_SELF_SCOUT_IMPORT'!$Q$42:$Q$1040,SUBSTITUTE(SUBSTITUTE(SUBSTITUTE($M1012,"~","~~"),"*","~*"),"?","~?"),'DEF_SELF_SCOUT_IMPORT'!$D$42:$D$1040,SUBSTITUTE(SUBSTITUTE(SUBSTITUTE($P1012,"~","~~"),"*","~*"),"?","~?"))</f>
        <v>1</v>
      </c>
      <c r="D1012" s="10">
        <f>IF($C1012=0,"",SUMIFS('DEF_SELF_SCOUT_IMPORT'!$J$42:$J$1040,'DEF_SELF_SCOUT_IMPORT'!$L$42:$L$1040,"Y",'DEF_SELF_SCOUT_IMPORT'!$E$42:$E$1040,SUBSTITUTE(SUBSTITUTE(SUBSTITUTE($B1012,"~","~~"),"*","~*"),"?","~?"),'DEF_SELF_SCOUT_IMPORT'!$Q$42:$Q$1040,SUBSTITUTE(SUBSTITUTE(SUBSTITUTE($M1012,"~","~~"),"*","~*"),"?","~?"),'DEF_SELF_SCOUT_IMPORT'!$D$42:$D$1040,SUBSTITUTE(SUBSTITUTE(SUBSTITUTE($P1012,"~","~~"),"*","~*"),"?","~?"))/$C1012)</f>
        <v>0.0</v>
      </c>
      <c r="E1012" s="10">
        <f>IF($C1012=0,"",SUMIFS('DEF_SELF_SCOUT_IMPORT'!$K$42:$K$1040,'DEF_SELF_SCOUT_IMPORT'!$L$42:$L$1040,"Y",'DEF_SELF_SCOUT_IMPORT'!$E$42:$E$1040,SUBSTITUTE(SUBSTITUTE(SUBSTITUTE($B1012,"~","~~"),"*","~*"),"?","~?"),'DEF_SELF_SCOUT_IMPORT'!$Q$42:$Q$1040,SUBSTITUTE(SUBSTITUTE(SUBSTITUTE($M1012,"~","~~"),"*","~*"),"?","~?"),'DEF_SELF_SCOUT_IMPORT'!$D$42:$D$1040,SUBSTITUTE(SUBSTITUTE(SUBSTITUTE($P1012,"~","~~"),"*","~*"),"?","~?"))/$C1012)</f>
        <v>0.0</v>
      </c>
      <c r="F1012" s="11">
        <f>IF($C1012=0,"",AVERAGEIFS('DEF_SELF_SCOUT_IMPORT'!$I$42:$I$1040,'DEF_SELF_SCOUT_IMPORT'!$L$42:$L$1040,"Y",'DEF_SELF_SCOUT_IMPORT'!$E$42:$E$1040,SUBSTITUTE(SUBSTITUTE(SUBSTITUTE($B1012,"~","~~"),"*","~*"),"?","~?"),'DEF_SELF_SCOUT_IMPORT'!$Q$42:$Q$1040,SUBSTITUTE(SUBSTITUTE(SUBSTITUTE($M1012,"~","~~"),"*","~*"),"?","~?"),'DEF_SELF_SCOUT_IMPORT'!$D$42:$D$1040,SUBSTITUTE(SUBSTITUTE(SUBSTITUTE($P1012,"~","~~"),"*","~*"),"?","~?")))</f>
        <v>4.0</v>
      </c>
      <c r="G1012" s="10">
        <f>IF($C1012=0,"",COUNTIFS('DEF_SELF_SCOUT_IMPORT'!$L$42:$L$1040,"Y",'DEF_SELF_SCOUT_IMPORT'!$E$42:$E$1040,SUBSTITUTE(SUBSTITUTE(SUBSTITUTE($B1012,"~","~~"),"*","~*"),"?","~?"),'DEF_SELF_SCOUT_IMPORT'!$Q$42:$Q$1040,SUBSTITUTE(SUBSTITUTE(SUBSTITUTE($M1012,"~","~~"),"*","~*"),"?","~?"),'DEF_SELF_SCOUT_IMPORT'!$D$42:$D$1040,SUBSTITUTE(SUBSTITUTE(SUBSTITUTE($P1012,"~","~~"),"*","~*"),"?","~?"),'DEF_SELF_SCOUT_IMPORT'!$H$42:$H$1040,"RUSH")/$C1012)</f>
        <v>0.0</v>
      </c>
      <c r="H1012" s="10">
        <f>IF($C1012=0,"",COUNTIFS('DEF_SELF_SCOUT_IMPORT'!$L$42:$L$1040,"Y",'DEF_SELF_SCOUT_IMPORT'!$E$42:$E$1040,SUBSTITUTE(SUBSTITUTE(SUBSTITUTE($B1012,"~","~~"),"*","~*"),"?","~?"),'DEF_SELF_SCOUT_IMPORT'!$Q$42:$Q$1040,SUBSTITUTE(SUBSTITUTE(SUBSTITUTE($M1012,"~","~~"),"*","~*"),"?","~?"),'DEF_SELF_SCOUT_IMPORT'!$D$42:$D$1040,SUBSTITUTE(SUBSTITUTE(SUBSTITUTE($P1012,"~","~~"),"*","~*"),"?","~?"),'DEF_SELF_SCOUT_IMPORT'!$H$42:$H$1040,"DROPBACK")/$C1012)</f>
        <v>1.0</v>
      </c>
      <c r="I1012" s="14" t="str">
        <f>IF(C1012=0,"",IF(C1012&lt;=2,"TRACK",IF(C1012=3,"LOW",IF(C1012&lt;=6,"MEDIUM","HIGH"))))</f>
        <v>TRACK</v>
      </c>
      <c r="J1012" s="11">
        <f>IF(C1012=0,"",ROUND(D1012*70+(1-E1012)*20+MAX(0,MIN(1,(10-F1012)/10))*10,1))</f>
        <v>26.0</v>
      </c>
      <c r="K1012" s="14" t="str">
        <f>IF(C1012=0,"No Evidence",IF(C1012&lt;=2,IF(E1012&gt;0,"Explosive Alert","Track Only"),IF(C1012=3,"Sample Watch",IF(E1012&gt;=START_HERE!$B$31,"Explosive Alert",IF(J1012&gt;=80,"Strong Candidate",IF(J1012&gt;=65,"Good Candidate",IF(J1012&gt;=50,"Mixed / Review","Problem Call")))))))</f>
        <v>Track Only</v>
      </c>
      <c r="L1012" s="9" t="str">
        <f>IF(COUNTIFS('DEF_SELF_SCOUT_IMPORT'!$L$42:$L$1040,"Y",'DEF_SELF_SCOUT_IMPORT'!$E$42:$E$1040,SUBSTITUTE(SUBSTITUTE(SUBSTITUTE($B1012,"~","~~"),"*","~*"),"?","~?"),'DEF_SELF_SCOUT_IMPORT'!$Q$42:$Q$1040,SUBSTITUTE(SUBSTITUTE(SUBSTITUTE($M1012,"~","~~"),"*","~*"),"?","~?"),'DEF_SELF_SCOUT_IMPORT'!$D$42:$D$1040,SUBSTITUTE(SUBSTITUTE(SUBSTITUTE($P1012,"~","~~"),"*","~*"),"?","~?"),'DEF_SELF_SCOUT_IMPORT'!$J$42:$J$1040,"")&gt;0,"Unscored clean outcome; review result tags before using score.",IF(C1012=0,"No matching defensive reps; film confirmation needed.",IF(K1012="Explosive Alert","Explosive risk; review clips before using as answer.",IF(C1012&lt;=2,"Track only; not enough sample.",IF(C1012=3,IF(E1012&gt;0,"Sample watch with explosive exposure; review clips and build the sample.",IF(J1012&gt;=65,"Good signal, but sample is limited.","Sample watch; review clips and build the sample.")),IF(K1012="Problem Call","Problem area; practice or call-sheet review.",IF(K1012="Strong Candidate","Strong call-fit candidate; confirm on film.",IF(K1012="Good Candidate","Good call-fit signal; confirm on film.","Mixed signal; review fit and execution on film."))))))))</f>
        <v>Track only; not enough sample.</v>
      </c>
      <c r="M1012" s="8" t="s">
        <v>111</v>
      </c>
      <c r="N1012" s="8"/>
      <c r="O1012" s="8"/>
      <c r="P1012" s="8" t="s">
        <v>449</v>
      </c>
      <c r="Q1012" s="8"/>
      <c r="R1012" s="8" t="s">
        <v>429</v>
      </c>
      <c r="S1012" s="2" t="s">
        <v>587</v>
      </c>
      <c r="T1012" s="2">
        <f>IF(C1012=0,0,IF(C1012&gt;=CALL_LOOKUP_BOARD!$B$7,IF(OR(K1012="Problem Call",K1012="Explosive Alert"),10000000,20000000),0)+IF(C1012&gt;=CALL_LOOKUP_BOARD!$B$7,J1012*1000+MIN(C1012,999),C1012*1000+J1012)+0.00979800)</f>
        <v>1026.009798</v>
      </c>
      <c r="U1012" s="2" t="str">
        <f>IF(C1012=0,"",IF(COUNTIFS($S$811:$S$1055,SUBSTITUTE(SUBSTITUTE(SUBSTITUTE(S1012,"~","~~"),"*","~*"),"?","~?"),$T$811:$T$1055,"&gt;"&amp;T1012)=0,S1012,""))</f>
        <v>6:4D 1-3|6:5 STEP|</v>
      </c>
    </row>
    <row r="1013" spans="1:21" ht="38" customHeight="1">
      <c r="A1013" s="8" t="s">
        <v>588</v>
      </c>
      <c r="B1013" s="8" t="s">
        <v>95</v>
      </c>
      <c r="C1013" s="12">
        <f>COUNTIFS('DEF_SELF_SCOUT_IMPORT'!$L$42:$L$1040,"Y",'DEF_SELF_SCOUT_IMPORT'!$E$42:$E$1040,SUBSTITUTE(SUBSTITUTE(SUBSTITUTE($B1013,"~","~~"),"*","~*"),"?","~?"),'DEF_SELF_SCOUT_IMPORT'!$Q$42:$Q$1040,SUBSTITUTE(SUBSTITUTE(SUBSTITUTE($M1013,"~","~~"),"*","~*"),"?","~?"),'DEF_SELF_SCOUT_IMPORT'!$D$42:$D$1040,SUBSTITUTE(SUBSTITUTE(SUBSTITUTE($P1013,"~","~~"),"*","~*"),"?","~?"))</f>
        <v>1</v>
      </c>
      <c r="D1013" s="10">
        <f>IF($C1013=0,"",SUMIFS('DEF_SELF_SCOUT_IMPORT'!$J$42:$J$1040,'DEF_SELF_SCOUT_IMPORT'!$L$42:$L$1040,"Y",'DEF_SELF_SCOUT_IMPORT'!$E$42:$E$1040,SUBSTITUTE(SUBSTITUTE(SUBSTITUTE($B1013,"~","~~"),"*","~*"),"?","~?"),'DEF_SELF_SCOUT_IMPORT'!$Q$42:$Q$1040,SUBSTITUTE(SUBSTITUTE(SUBSTITUTE($M1013,"~","~~"),"*","~*"),"?","~?"),'DEF_SELF_SCOUT_IMPORT'!$D$42:$D$1040,SUBSTITUTE(SUBSTITUTE(SUBSTITUTE($P1013,"~","~~"),"*","~*"),"?","~?"))/$C1013)</f>
        <v>0.0</v>
      </c>
      <c r="E1013" s="10">
        <f>IF($C1013=0,"",SUMIFS('DEF_SELF_SCOUT_IMPORT'!$K$42:$K$1040,'DEF_SELF_SCOUT_IMPORT'!$L$42:$L$1040,"Y",'DEF_SELF_SCOUT_IMPORT'!$E$42:$E$1040,SUBSTITUTE(SUBSTITUTE(SUBSTITUTE($B1013,"~","~~"),"*","~*"),"?","~?"),'DEF_SELF_SCOUT_IMPORT'!$Q$42:$Q$1040,SUBSTITUTE(SUBSTITUTE(SUBSTITUTE($M1013,"~","~~"),"*","~*"),"?","~?"),'DEF_SELF_SCOUT_IMPORT'!$D$42:$D$1040,SUBSTITUTE(SUBSTITUTE(SUBSTITUTE($P1013,"~","~~"),"*","~*"),"?","~?"))/$C1013)</f>
        <v>0.0</v>
      </c>
      <c r="F1013" s="11">
        <f>IF($C1013=0,"",AVERAGEIFS('DEF_SELF_SCOUT_IMPORT'!$I$42:$I$1040,'DEF_SELF_SCOUT_IMPORT'!$L$42:$L$1040,"Y",'DEF_SELF_SCOUT_IMPORT'!$E$42:$E$1040,SUBSTITUTE(SUBSTITUTE(SUBSTITUTE($B1013,"~","~~"),"*","~*"),"?","~?"),'DEF_SELF_SCOUT_IMPORT'!$Q$42:$Q$1040,SUBSTITUTE(SUBSTITUTE(SUBSTITUTE($M1013,"~","~~"),"*","~*"),"?","~?"),'DEF_SELF_SCOUT_IMPORT'!$D$42:$D$1040,SUBSTITUTE(SUBSTITUTE(SUBSTITUTE($P1013,"~","~~"),"*","~*"),"?","~?")))</f>
        <v>3.0</v>
      </c>
      <c r="G1013" s="10">
        <f>IF($C1013=0,"",COUNTIFS('DEF_SELF_SCOUT_IMPORT'!$L$42:$L$1040,"Y",'DEF_SELF_SCOUT_IMPORT'!$E$42:$E$1040,SUBSTITUTE(SUBSTITUTE(SUBSTITUTE($B1013,"~","~~"),"*","~*"),"?","~?"),'DEF_SELF_SCOUT_IMPORT'!$Q$42:$Q$1040,SUBSTITUTE(SUBSTITUTE(SUBSTITUTE($M1013,"~","~~"),"*","~*"),"?","~?"),'DEF_SELF_SCOUT_IMPORT'!$D$42:$D$1040,SUBSTITUTE(SUBSTITUTE(SUBSTITUTE($P1013,"~","~~"),"*","~*"),"?","~?"),'DEF_SELF_SCOUT_IMPORT'!$H$42:$H$1040,"RUSH")/$C1013)</f>
        <v>1.0</v>
      </c>
      <c r="H1013" s="10">
        <f>IF($C1013=0,"",COUNTIFS('DEF_SELF_SCOUT_IMPORT'!$L$42:$L$1040,"Y",'DEF_SELF_SCOUT_IMPORT'!$E$42:$E$1040,SUBSTITUTE(SUBSTITUTE(SUBSTITUTE($B1013,"~","~~"),"*","~*"),"?","~?"),'DEF_SELF_SCOUT_IMPORT'!$Q$42:$Q$1040,SUBSTITUTE(SUBSTITUTE(SUBSTITUTE($M1013,"~","~~"),"*","~*"),"?","~?"),'DEF_SELF_SCOUT_IMPORT'!$D$42:$D$1040,SUBSTITUTE(SUBSTITUTE(SUBSTITUTE($P1013,"~","~~"),"*","~*"),"?","~?"),'DEF_SELF_SCOUT_IMPORT'!$H$42:$H$1040,"DROPBACK")/$C1013)</f>
        <v>0.0</v>
      </c>
      <c r="I1013" s="14" t="str">
        <f>IF(C1013=0,"",IF(C1013&lt;=2,"TRACK",IF(C1013=3,"LOW",IF(C1013&lt;=6,"MEDIUM","HIGH"))))</f>
        <v>TRACK</v>
      </c>
      <c r="J1013" s="11">
        <f>IF(C1013=0,"",ROUND(D1013*70+(1-E1013)*20+MAX(0,MIN(1,(10-F1013)/10))*10,1))</f>
        <v>27.0</v>
      </c>
      <c r="K1013" s="14" t="str">
        <f>IF(C1013=0,"No Evidence",IF(C1013&lt;=2,IF(E1013&gt;0,"Explosive Alert","Track Only"),IF(C1013=3,"Sample Watch",IF(E1013&gt;=START_HERE!$B$31,"Explosive Alert",IF(J1013&gt;=80,"Strong Candidate",IF(J1013&gt;=65,"Good Candidate",IF(J1013&gt;=50,"Mixed / Review","Problem Call")))))))</f>
        <v>Track Only</v>
      </c>
      <c r="L1013" s="9" t="str">
        <f>IF(COUNTIFS('DEF_SELF_SCOUT_IMPORT'!$L$42:$L$1040,"Y",'DEF_SELF_SCOUT_IMPORT'!$E$42:$E$1040,SUBSTITUTE(SUBSTITUTE(SUBSTITUTE($B1013,"~","~~"),"*","~*"),"?","~?"),'DEF_SELF_SCOUT_IMPORT'!$Q$42:$Q$1040,SUBSTITUTE(SUBSTITUTE(SUBSTITUTE($M1013,"~","~~"),"*","~*"),"?","~?"),'DEF_SELF_SCOUT_IMPORT'!$D$42:$D$1040,SUBSTITUTE(SUBSTITUTE(SUBSTITUTE($P1013,"~","~~"),"*","~*"),"?","~?"),'DEF_SELF_SCOUT_IMPORT'!$J$42:$J$1040,"")&gt;0,"Unscored clean outcome; review result tags before using score.",IF(C1013=0,"No matching defensive reps; film confirmation needed.",IF(K1013="Explosive Alert","Explosive risk; review clips before using as answer.",IF(C1013&lt;=2,"Track only; not enough sample.",IF(C1013=3,IF(E1013&gt;0,"Sample watch with explosive exposure; review clips and build the sample.",IF(J1013&gt;=65,"Good signal, but sample is limited.","Sample watch; review clips and build the sample.")),IF(K1013="Problem Call","Problem area; practice or call-sheet review.",IF(K1013="Strong Candidate","Strong call-fit candidate; confirm on film.",IF(K1013="Good Candidate","Good call-fit signal; confirm on film.","Mixed signal; review fit and execution on film."))))))))</f>
        <v>Track only; not enough sample.</v>
      </c>
      <c r="M1013" s="8" t="s">
        <v>111</v>
      </c>
      <c r="N1013" s="8"/>
      <c r="O1013" s="8"/>
      <c r="P1013" s="8" t="s">
        <v>428</v>
      </c>
      <c r="Q1013" s="8"/>
      <c r="R1013" s="8" t="s">
        <v>429</v>
      </c>
      <c r="S1013" s="2" t="s">
        <v>589</v>
      </c>
      <c r="T1013" s="2">
        <f>IF(C1013=0,0,IF(C1013&gt;=CALL_LOOKUP_BOARD!$B$7,IF(OR(K1013="Problem Call",K1013="Explosive Alert"),10000000,20000000),0)+IF(C1013&gt;=CALL_LOOKUP_BOARD!$B$7,J1013*1000+MIN(C1013,999),C1013*1000+J1013)+0.00979700)</f>
        <v>1027.009797</v>
      </c>
      <c r="U1013" s="2">
        <f>IF(C1013=0,"",IF(COUNTIFS($S$811:$S$1055,SUBSTITUTE(SUBSTITUTE(SUBSTITUTE(S1013,"~","~~"),"*","~*"),"?","~?"),$T$811:$T$1055,"&gt;"&amp;T1013)=0,S1013,""))</f>
        <v/>
      </c>
    </row>
    <row r="1014" spans="1:21" ht="38" customHeight="1">
      <c r="A1014" s="8" t="s">
        <v>588</v>
      </c>
      <c r="B1014" s="8" t="s">
        <v>60</v>
      </c>
      <c r="C1014" s="12">
        <f>COUNTIFS('DEF_SELF_SCOUT_IMPORT'!$L$42:$L$1040,"Y",'DEF_SELF_SCOUT_IMPORT'!$E$42:$E$1040,SUBSTITUTE(SUBSTITUTE(SUBSTITUTE($B1014,"~","~~"),"*","~*"),"?","~?"),'DEF_SELF_SCOUT_IMPORT'!$Q$42:$Q$1040,SUBSTITUTE(SUBSTITUTE(SUBSTITUTE($M1014,"~","~~"),"*","~*"),"?","~?"),'DEF_SELF_SCOUT_IMPORT'!$D$42:$D$1040,SUBSTITUTE(SUBSTITUTE(SUBSTITUTE($P1014,"~","~~"),"*","~*"),"?","~?"))</f>
        <v>1</v>
      </c>
      <c r="D1014" s="10">
        <f>IF($C1014=0,"",SUMIFS('DEF_SELF_SCOUT_IMPORT'!$J$42:$J$1040,'DEF_SELF_SCOUT_IMPORT'!$L$42:$L$1040,"Y",'DEF_SELF_SCOUT_IMPORT'!$E$42:$E$1040,SUBSTITUTE(SUBSTITUTE(SUBSTITUTE($B1014,"~","~~"),"*","~*"),"?","~?"),'DEF_SELF_SCOUT_IMPORT'!$Q$42:$Q$1040,SUBSTITUTE(SUBSTITUTE(SUBSTITUTE($M1014,"~","~~"),"*","~*"),"?","~?"),'DEF_SELF_SCOUT_IMPORT'!$D$42:$D$1040,SUBSTITUTE(SUBSTITUTE(SUBSTITUTE($P1014,"~","~~"),"*","~*"),"?","~?"))/$C1014)</f>
        <v>1.0</v>
      </c>
      <c r="E1014" s="10">
        <f>IF($C1014=0,"",SUMIFS('DEF_SELF_SCOUT_IMPORT'!$K$42:$K$1040,'DEF_SELF_SCOUT_IMPORT'!$L$42:$L$1040,"Y",'DEF_SELF_SCOUT_IMPORT'!$E$42:$E$1040,SUBSTITUTE(SUBSTITUTE(SUBSTITUTE($B1014,"~","~~"),"*","~*"),"?","~?"),'DEF_SELF_SCOUT_IMPORT'!$Q$42:$Q$1040,SUBSTITUTE(SUBSTITUTE(SUBSTITUTE($M1014,"~","~~"),"*","~*"),"?","~?"),'DEF_SELF_SCOUT_IMPORT'!$D$42:$D$1040,SUBSTITUTE(SUBSTITUTE(SUBSTITUTE($P1014,"~","~~"),"*","~*"),"?","~?"))/$C1014)</f>
        <v>0.0</v>
      </c>
      <c r="F1014" s="11">
        <f>IF($C1014=0,"",AVERAGEIFS('DEF_SELF_SCOUT_IMPORT'!$I$42:$I$1040,'DEF_SELF_SCOUT_IMPORT'!$L$42:$L$1040,"Y",'DEF_SELF_SCOUT_IMPORT'!$E$42:$E$1040,SUBSTITUTE(SUBSTITUTE(SUBSTITUTE($B1014,"~","~~"),"*","~*"),"?","~?"),'DEF_SELF_SCOUT_IMPORT'!$Q$42:$Q$1040,SUBSTITUTE(SUBSTITUTE(SUBSTITUTE($M1014,"~","~~"),"*","~*"),"?","~?"),'DEF_SELF_SCOUT_IMPORT'!$D$42:$D$1040,SUBSTITUTE(SUBSTITUTE(SUBSTITUTE($P1014,"~","~~"),"*","~*"),"?","~?")))</f>
        <v>1.0</v>
      </c>
      <c r="G1014" s="10">
        <f>IF($C1014=0,"",COUNTIFS('DEF_SELF_SCOUT_IMPORT'!$L$42:$L$1040,"Y",'DEF_SELF_SCOUT_IMPORT'!$E$42:$E$1040,SUBSTITUTE(SUBSTITUTE(SUBSTITUTE($B1014,"~","~~"),"*","~*"),"?","~?"),'DEF_SELF_SCOUT_IMPORT'!$Q$42:$Q$1040,SUBSTITUTE(SUBSTITUTE(SUBSTITUTE($M1014,"~","~~"),"*","~*"),"?","~?"),'DEF_SELF_SCOUT_IMPORT'!$D$42:$D$1040,SUBSTITUTE(SUBSTITUTE(SUBSTITUTE($P1014,"~","~~"),"*","~*"),"?","~?"),'DEF_SELF_SCOUT_IMPORT'!$H$42:$H$1040,"RUSH")/$C1014)</f>
        <v>1.0</v>
      </c>
      <c r="H1014" s="10">
        <f>IF($C1014=0,"",COUNTIFS('DEF_SELF_SCOUT_IMPORT'!$L$42:$L$1040,"Y",'DEF_SELF_SCOUT_IMPORT'!$E$42:$E$1040,SUBSTITUTE(SUBSTITUTE(SUBSTITUTE($B1014,"~","~~"),"*","~*"),"?","~?"),'DEF_SELF_SCOUT_IMPORT'!$Q$42:$Q$1040,SUBSTITUTE(SUBSTITUTE(SUBSTITUTE($M1014,"~","~~"),"*","~*"),"?","~?"),'DEF_SELF_SCOUT_IMPORT'!$D$42:$D$1040,SUBSTITUTE(SUBSTITUTE(SUBSTITUTE($P1014,"~","~~"),"*","~*"),"?","~?"),'DEF_SELF_SCOUT_IMPORT'!$H$42:$H$1040,"DROPBACK")/$C1014)</f>
        <v>0.0</v>
      </c>
      <c r="I1014" s="14" t="str">
        <f>IF(C1014=0,"",IF(C1014&lt;=2,"TRACK",IF(C1014=3,"LOW",IF(C1014&lt;=6,"MEDIUM","HIGH"))))</f>
        <v>TRACK</v>
      </c>
      <c r="J1014" s="11">
        <f>IF(C1014=0,"",ROUND(D1014*70+(1-E1014)*20+MAX(0,MIN(1,(10-F1014)/10))*10,1))</f>
        <v>99.0</v>
      </c>
      <c r="K1014" s="14" t="str">
        <f>IF(C1014=0,"No Evidence",IF(C1014&lt;=2,IF(E1014&gt;0,"Explosive Alert","Track Only"),IF(C1014=3,"Sample Watch",IF(E1014&gt;=START_HERE!$B$31,"Explosive Alert",IF(J1014&gt;=80,"Strong Candidate",IF(J1014&gt;=65,"Good Candidate",IF(J1014&gt;=50,"Mixed / Review","Problem Call")))))))</f>
        <v>Track Only</v>
      </c>
      <c r="L1014" s="9" t="str">
        <f>IF(COUNTIFS('DEF_SELF_SCOUT_IMPORT'!$L$42:$L$1040,"Y",'DEF_SELF_SCOUT_IMPORT'!$E$42:$E$1040,SUBSTITUTE(SUBSTITUTE(SUBSTITUTE($B1014,"~","~~"),"*","~*"),"?","~?"),'DEF_SELF_SCOUT_IMPORT'!$Q$42:$Q$1040,SUBSTITUTE(SUBSTITUTE(SUBSTITUTE($M1014,"~","~~"),"*","~*"),"?","~?"),'DEF_SELF_SCOUT_IMPORT'!$D$42:$D$1040,SUBSTITUTE(SUBSTITUTE(SUBSTITUTE($P1014,"~","~~"),"*","~*"),"?","~?"),'DEF_SELF_SCOUT_IMPORT'!$J$42:$J$1040,"")&gt;0,"Unscored clean outcome; review result tags before using score.",IF(C1014=0,"No matching defensive reps; film confirmation needed.",IF(K1014="Explosive Alert","Explosive risk; review clips before using as answer.",IF(C1014&lt;=2,"Track only; not enough sample.",IF(C1014=3,IF(E1014&gt;0,"Sample watch with explosive exposure; review clips and build the sample.",IF(J1014&gt;=65,"Good signal, but sample is limited.","Sample watch; review clips and build the sample.")),IF(K1014="Problem Call","Problem area; practice or call-sheet review.",IF(K1014="Strong Candidate","Strong call-fit candidate; confirm on film.",IF(K1014="Good Candidate","Good call-fit signal; confirm on film.","Mixed signal; review fit and execution on film."))))))))</f>
        <v>Track only; not enough sample.</v>
      </c>
      <c r="M1014" s="8" t="s">
        <v>111</v>
      </c>
      <c r="N1014" s="8"/>
      <c r="O1014" s="8"/>
      <c r="P1014" s="8" t="s">
        <v>428</v>
      </c>
      <c r="Q1014" s="8"/>
      <c r="R1014" s="8" t="s">
        <v>429</v>
      </c>
      <c r="S1014" s="2" t="s">
        <v>589</v>
      </c>
      <c r="T1014" s="2">
        <f>IF(C1014=0,0,IF(C1014&gt;=CALL_LOOKUP_BOARD!$B$7,IF(OR(K1014="Problem Call",K1014="Explosive Alert"),10000000,20000000),0)+IF(C1014&gt;=CALL_LOOKUP_BOARD!$B$7,J1014*1000+MIN(C1014,999),C1014*1000+J1014)+0.00979600)</f>
        <v>1099.009796</v>
      </c>
      <c r="U1014" s="2" t="str">
        <f>IF(C1014=0,"",IF(COUNTIFS($S$811:$S$1055,SUBSTITUTE(SUBSTITUTE(SUBSTITUTE(S1014,"~","~~"),"*","~*"),"?","~?"),$T$811:$T$1055,"&gt;"&amp;T1014)=0,S1014,""))</f>
        <v>6:4D 1-3|11:INSIDE ZONE|</v>
      </c>
    </row>
    <row r="1015" spans="1:21" ht="38" customHeight="1">
      <c r="A1015" s="8" t="s">
        <v>590</v>
      </c>
      <c r="B1015" s="8" t="s">
        <v>27</v>
      </c>
      <c r="C1015" s="12">
        <f>COUNTIFS('DEF_SELF_SCOUT_IMPORT'!$L$42:$L$1040,"Y",'DEF_SELF_SCOUT_IMPORT'!$E$42:$E$1040,SUBSTITUTE(SUBSTITUTE(SUBSTITUTE($B1015,"~","~~"),"*","~*"),"?","~?"),'DEF_SELF_SCOUT_IMPORT'!$Q$42:$Q$1040,SUBSTITUTE(SUBSTITUTE(SUBSTITUTE($M1015,"~","~~"),"*","~*"),"?","~?"),'DEF_SELF_SCOUT_IMPORT'!$D$42:$D$1040,SUBSTITUTE(SUBSTITUTE(SUBSTITUTE($P1015,"~","~~"),"*","~*"),"?","~?"))</f>
        <v>1</v>
      </c>
      <c r="D1015" s="10">
        <f>IF($C1015=0,"",SUMIFS('DEF_SELF_SCOUT_IMPORT'!$J$42:$J$1040,'DEF_SELF_SCOUT_IMPORT'!$L$42:$L$1040,"Y",'DEF_SELF_SCOUT_IMPORT'!$E$42:$E$1040,SUBSTITUTE(SUBSTITUTE(SUBSTITUTE($B1015,"~","~~"),"*","~*"),"?","~?"),'DEF_SELF_SCOUT_IMPORT'!$Q$42:$Q$1040,SUBSTITUTE(SUBSTITUTE(SUBSTITUTE($M1015,"~","~~"),"*","~*"),"?","~?"),'DEF_SELF_SCOUT_IMPORT'!$D$42:$D$1040,SUBSTITUTE(SUBSTITUTE(SUBSTITUTE($P1015,"~","~~"),"*","~*"),"?","~?"))/$C1015)</f>
        <v>0.0</v>
      </c>
      <c r="E1015" s="10">
        <f>IF($C1015=0,"",SUMIFS('DEF_SELF_SCOUT_IMPORT'!$K$42:$K$1040,'DEF_SELF_SCOUT_IMPORT'!$L$42:$L$1040,"Y",'DEF_SELF_SCOUT_IMPORT'!$E$42:$E$1040,SUBSTITUTE(SUBSTITUTE(SUBSTITUTE($B1015,"~","~~"),"*","~*"),"?","~?"),'DEF_SELF_SCOUT_IMPORT'!$Q$42:$Q$1040,SUBSTITUTE(SUBSTITUTE(SUBSTITUTE($M1015,"~","~~"),"*","~*"),"?","~?"),'DEF_SELF_SCOUT_IMPORT'!$D$42:$D$1040,SUBSTITUTE(SUBSTITUTE(SUBSTITUTE($P1015,"~","~~"),"*","~*"),"?","~?"))/$C1015)</f>
        <v>1.0</v>
      </c>
      <c r="F1015" s="11">
        <f>IF($C1015=0,"",AVERAGEIFS('DEF_SELF_SCOUT_IMPORT'!$I$42:$I$1040,'DEF_SELF_SCOUT_IMPORT'!$L$42:$L$1040,"Y",'DEF_SELF_SCOUT_IMPORT'!$E$42:$E$1040,SUBSTITUTE(SUBSTITUTE(SUBSTITUTE($B1015,"~","~~"),"*","~*"),"?","~?"),'DEF_SELF_SCOUT_IMPORT'!$Q$42:$Q$1040,SUBSTITUTE(SUBSTITUTE(SUBSTITUTE($M1015,"~","~~"),"*","~*"),"?","~?"),'DEF_SELF_SCOUT_IMPORT'!$D$42:$D$1040,SUBSTITUTE(SUBSTITUTE(SUBSTITUTE($P1015,"~","~~"),"*","~*"),"?","~?")))</f>
        <v>23.0</v>
      </c>
      <c r="G1015" s="10">
        <f>IF($C1015=0,"",COUNTIFS('DEF_SELF_SCOUT_IMPORT'!$L$42:$L$1040,"Y",'DEF_SELF_SCOUT_IMPORT'!$E$42:$E$1040,SUBSTITUTE(SUBSTITUTE(SUBSTITUTE($B1015,"~","~~"),"*","~*"),"?","~?"),'DEF_SELF_SCOUT_IMPORT'!$Q$42:$Q$1040,SUBSTITUTE(SUBSTITUTE(SUBSTITUTE($M1015,"~","~~"),"*","~*"),"?","~?"),'DEF_SELF_SCOUT_IMPORT'!$D$42:$D$1040,SUBSTITUTE(SUBSTITUTE(SUBSTITUTE($P1015,"~","~~"),"*","~*"),"?","~?"),'DEF_SELF_SCOUT_IMPORT'!$H$42:$H$1040,"RUSH")/$C1015)</f>
        <v>0.0</v>
      </c>
      <c r="H1015" s="10">
        <f>IF($C1015=0,"",COUNTIFS('DEF_SELF_SCOUT_IMPORT'!$L$42:$L$1040,"Y",'DEF_SELF_SCOUT_IMPORT'!$E$42:$E$1040,SUBSTITUTE(SUBSTITUTE(SUBSTITUTE($B1015,"~","~~"),"*","~*"),"?","~?"),'DEF_SELF_SCOUT_IMPORT'!$Q$42:$Q$1040,SUBSTITUTE(SUBSTITUTE(SUBSTITUTE($M1015,"~","~~"),"*","~*"),"?","~?"),'DEF_SELF_SCOUT_IMPORT'!$D$42:$D$1040,SUBSTITUTE(SUBSTITUTE(SUBSTITUTE($P1015,"~","~~"),"*","~*"),"?","~?"),'DEF_SELF_SCOUT_IMPORT'!$H$42:$H$1040,"DROPBACK")/$C1015)</f>
        <v>1.0</v>
      </c>
      <c r="I1015" s="14" t="str">
        <f>IF(C1015=0,"",IF(C1015&lt;=2,"TRACK",IF(C1015=3,"LOW",IF(C1015&lt;=6,"MEDIUM","HIGH"))))</f>
        <v>TRACK</v>
      </c>
      <c r="J1015" s="11">
        <f>IF(C1015=0,"",ROUND(D1015*70+(1-E1015)*20+MAX(0,MIN(1,(10-F1015)/10))*10,1))</f>
        <v>0.0</v>
      </c>
      <c r="K1015" s="14" t="str">
        <f>IF(C1015=0,"No Evidence",IF(C1015&lt;=2,IF(E1015&gt;0,"Explosive Alert","Track Only"),IF(C1015=3,"Sample Watch",IF(E1015&gt;=START_HERE!$B$31,"Explosive Alert",IF(J1015&gt;=80,"Strong Candidate",IF(J1015&gt;=65,"Good Candidate",IF(J1015&gt;=50,"Mixed / Review","Problem Call")))))))</f>
        <v>Explosive Alert</v>
      </c>
      <c r="L1015" s="9" t="str">
        <f>IF(COUNTIFS('DEF_SELF_SCOUT_IMPORT'!$L$42:$L$1040,"Y",'DEF_SELF_SCOUT_IMPORT'!$E$42:$E$1040,SUBSTITUTE(SUBSTITUTE(SUBSTITUTE($B1015,"~","~~"),"*","~*"),"?","~?"),'DEF_SELF_SCOUT_IMPORT'!$Q$42:$Q$1040,SUBSTITUTE(SUBSTITUTE(SUBSTITUTE($M1015,"~","~~"),"*","~*"),"?","~?"),'DEF_SELF_SCOUT_IMPORT'!$D$42:$D$1040,SUBSTITUTE(SUBSTITUTE(SUBSTITUTE($P1015,"~","~~"),"*","~*"),"?","~?"),'DEF_SELF_SCOUT_IMPORT'!$J$42:$J$1040,"")&gt;0,"Unscored clean outcome; review result tags before using score.",IF(C1015=0,"No matching defensive reps; film confirmation needed.",IF(K1015="Explosive Alert","Explosive risk; review clips before using as answer.",IF(C1015&lt;=2,"Track only; not enough sample.",IF(C1015=3,IF(E1015&gt;0,"Sample watch with explosive exposure; review clips and build the sample.",IF(J1015&gt;=65,"Good signal, but sample is limited.","Sample watch; review clips and build the sample.")),IF(K1015="Problem Call","Problem area; practice or call-sheet review.",IF(K1015="Strong Candidate","Strong call-fit candidate; confirm on film.",IF(K1015="Good Candidate","Good call-fit signal; confirm on film.","Mixed signal; review fit and execution on film."))))))))</f>
        <v>Explosive risk; review clips before using as answer.</v>
      </c>
      <c r="M1015" s="8" t="s">
        <v>111</v>
      </c>
      <c r="N1015" s="8"/>
      <c r="O1015" s="8"/>
      <c r="P1015" s="8" t="s">
        <v>468</v>
      </c>
      <c r="Q1015" s="8"/>
      <c r="R1015" s="8" t="s">
        <v>429</v>
      </c>
      <c r="S1015" s="2" t="s">
        <v>591</v>
      </c>
      <c r="T1015" s="2">
        <f>IF(C1015=0,0,IF(C1015&gt;=CALL_LOOKUP_BOARD!$B$7,IF(OR(K1015="Problem Call",K1015="Explosive Alert"),10000000,20000000),0)+IF(C1015&gt;=CALL_LOOKUP_BOARD!$B$7,J1015*1000+MIN(C1015,999),C1015*1000+J1015)+0.00979500)</f>
        <v>1000.009795</v>
      </c>
      <c r="U1015" s="2" t="str">
        <f>IF(C1015=0,"",IF(COUNTIFS($S$811:$S$1055,SUBSTITUTE(SUBSTITUTE(SUBSTITUTE(S1015,"~","~~"),"*","~*"),"?","~?"),$T$811:$T$1055,"&gt;"&amp;T1015)=0,S1015,""))</f>
        <v>6:4D 1-3|3:PAP|</v>
      </c>
    </row>
    <row r="1016" spans="1:21" ht="38" customHeight="1">
      <c r="A1016" s="8" t="s">
        <v>592</v>
      </c>
      <c r="B1016" s="8" t="s">
        <v>35</v>
      </c>
      <c r="C1016" s="12">
        <f>COUNTIFS('DEF_SELF_SCOUT_IMPORT'!$L$42:$L$1040,"Y",'DEF_SELF_SCOUT_IMPORT'!$E$42:$E$1040,SUBSTITUTE(SUBSTITUTE(SUBSTITUTE($B1016,"~","~~"),"*","~*"),"?","~?"),'DEF_SELF_SCOUT_IMPORT'!$Q$42:$Q$1040,SUBSTITUTE(SUBSTITUTE(SUBSTITUTE($M1016,"~","~~"),"*","~*"),"?","~?"),'DEF_SELF_SCOUT_IMPORT'!$D$42:$D$1040,SUBSTITUTE(SUBSTITUTE(SUBSTITUTE($P1016,"~","~~"),"*","~*"),"?","~?"))</f>
        <v>1</v>
      </c>
      <c r="D1016" s="10">
        <f>IF($C1016=0,"",SUMIFS('DEF_SELF_SCOUT_IMPORT'!$J$42:$J$1040,'DEF_SELF_SCOUT_IMPORT'!$L$42:$L$1040,"Y",'DEF_SELF_SCOUT_IMPORT'!$E$42:$E$1040,SUBSTITUTE(SUBSTITUTE(SUBSTITUTE($B1016,"~","~~"),"*","~*"),"?","~?"),'DEF_SELF_SCOUT_IMPORT'!$Q$42:$Q$1040,SUBSTITUTE(SUBSTITUTE(SUBSTITUTE($M1016,"~","~~"),"*","~*"),"?","~?"),'DEF_SELF_SCOUT_IMPORT'!$D$42:$D$1040,SUBSTITUTE(SUBSTITUTE(SUBSTITUTE($P1016,"~","~~"),"*","~*"),"?","~?"))/$C1016)</f>
        <v>0.0</v>
      </c>
      <c r="E1016" s="10">
        <f>IF($C1016=0,"",SUMIFS('DEF_SELF_SCOUT_IMPORT'!$K$42:$K$1040,'DEF_SELF_SCOUT_IMPORT'!$L$42:$L$1040,"Y",'DEF_SELF_SCOUT_IMPORT'!$E$42:$E$1040,SUBSTITUTE(SUBSTITUTE(SUBSTITUTE($B1016,"~","~~"),"*","~*"),"?","~?"),'DEF_SELF_SCOUT_IMPORT'!$Q$42:$Q$1040,SUBSTITUTE(SUBSTITUTE(SUBSTITUTE($M1016,"~","~~"),"*","~*"),"?","~?"),'DEF_SELF_SCOUT_IMPORT'!$D$42:$D$1040,SUBSTITUTE(SUBSTITUTE(SUBSTITUTE($P1016,"~","~~"),"*","~*"),"?","~?"))/$C1016)</f>
        <v>0.0</v>
      </c>
      <c r="F1016" s="11">
        <f>IF($C1016=0,"",AVERAGEIFS('DEF_SELF_SCOUT_IMPORT'!$I$42:$I$1040,'DEF_SELF_SCOUT_IMPORT'!$L$42:$L$1040,"Y",'DEF_SELF_SCOUT_IMPORT'!$E$42:$E$1040,SUBSTITUTE(SUBSTITUTE(SUBSTITUTE($B1016,"~","~~"),"*","~*"),"?","~?"),'DEF_SELF_SCOUT_IMPORT'!$Q$42:$Q$1040,SUBSTITUTE(SUBSTITUTE(SUBSTITUTE($M1016,"~","~~"),"*","~*"),"?","~?"),'DEF_SELF_SCOUT_IMPORT'!$D$42:$D$1040,SUBSTITUTE(SUBSTITUTE(SUBSTITUTE($P1016,"~","~~"),"*","~*"),"?","~?")))</f>
        <v>5.0</v>
      </c>
      <c r="G1016" s="10">
        <f>IF($C1016=0,"",COUNTIFS('DEF_SELF_SCOUT_IMPORT'!$L$42:$L$1040,"Y",'DEF_SELF_SCOUT_IMPORT'!$E$42:$E$1040,SUBSTITUTE(SUBSTITUTE(SUBSTITUTE($B1016,"~","~~"),"*","~*"),"?","~?"),'DEF_SELF_SCOUT_IMPORT'!$Q$42:$Q$1040,SUBSTITUTE(SUBSTITUTE(SUBSTITUTE($M1016,"~","~~"),"*","~*"),"?","~?"),'DEF_SELF_SCOUT_IMPORT'!$D$42:$D$1040,SUBSTITUTE(SUBSTITUTE(SUBSTITUTE($P1016,"~","~~"),"*","~*"),"?","~?"),'DEF_SELF_SCOUT_IMPORT'!$H$42:$H$1040,"RUSH")/$C1016)</f>
        <v>1.0</v>
      </c>
      <c r="H1016" s="10">
        <f>IF($C1016=0,"",COUNTIFS('DEF_SELF_SCOUT_IMPORT'!$L$42:$L$1040,"Y",'DEF_SELF_SCOUT_IMPORT'!$E$42:$E$1040,SUBSTITUTE(SUBSTITUTE(SUBSTITUTE($B1016,"~","~~"),"*","~*"),"?","~?"),'DEF_SELF_SCOUT_IMPORT'!$Q$42:$Q$1040,SUBSTITUTE(SUBSTITUTE(SUBSTITUTE($M1016,"~","~~"),"*","~*"),"?","~?"),'DEF_SELF_SCOUT_IMPORT'!$D$42:$D$1040,SUBSTITUTE(SUBSTITUTE(SUBSTITUTE($P1016,"~","~~"),"*","~*"),"?","~?"),'DEF_SELF_SCOUT_IMPORT'!$H$42:$H$1040,"DROPBACK")/$C1016)</f>
        <v>0.0</v>
      </c>
      <c r="I1016" s="14" t="str">
        <f>IF(C1016=0,"",IF(C1016&lt;=2,"TRACK",IF(C1016=3,"LOW",IF(C1016&lt;=6,"MEDIUM","HIGH"))))</f>
        <v>TRACK</v>
      </c>
      <c r="J1016" s="11">
        <f>IF(C1016=0,"",ROUND(D1016*70+(1-E1016)*20+MAX(0,MIN(1,(10-F1016)/10))*10,1))</f>
        <v>25.0</v>
      </c>
      <c r="K1016" s="14" t="str">
        <f>IF(C1016=0,"No Evidence",IF(C1016&lt;=2,IF(E1016&gt;0,"Explosive Alert","Track Only"),IF(C1016=3,"Sample Watch",IF(E1016&gt;=START_HERE!$B$31,"Explosive Alert",IF(J1016&gt;=80,"Strong Candidate",IF(J1016&gt;=65,"Good Candidate",IF(J1016&gt;=50,"Mixed / Review","Problem Call")))))))</f>
        <v>Track Only</v>
      </c>
      <c r="L1016" s="9" t="str">
        <f>IF(COUNTIFS('DEF_SELF_SCOUT_IMPORT'!$L$42:$L$1040,"Y",'DEF_SELF_SCOUT_IMPORT'!$E$42:$E$1040,SUBSTITUTE(SUBSTITUTE(SUBSTITUTE($B1016,"~","~~"),"*","~*"),"?","~?"),'DEF_SELF_SCOUT_IMPORT'!$Q$42:$Q$1040,SUBSTITUTE(SUBSTITUTE(SUBSTITUTE($M1016,"~","~~"),"*","~*"),"?","~?"),'DEF_SELF_SCOUT_IMPORT'!$D$42:$D$1040,SUBSTITUTE(SUBSTITUTE(SUBSTITUTE($P1016,"~","~~"),"*","~*"),"?","~?"),'DEF_SELF_SCOUT_IMPORT'!$J$42:$J$1040,"")&gt;0,"Unscored clean outcome; review result tags before using score.",IF(C1016=0,"No matching defensive reps; film confirmation needed.",IF(K1016="Explosive Alert","Explosive risk; review clips before using as answer.",IF(C1016&lt;=2,"Track only; not enough sample.",IF(C1016=3,IF(E1016&gt;0,"Sample watch with explosive exposure; review clips and build the sample.",IF(J1016&gt;=65,"Good signal, but sample is limited.","Sample watch; review clips and build the sample.")),IF(K1016="Problem Call","Problem area; practice or call-sheet review.",IF(K1016="Strong Candidate","Strong call-fit candidate; confirm on film.",IF(K1016="Good Candidate","Good call-fit signal; confirm on film.","Mixed signal; review fit and execution on film."))))))))</f>
        <v>Track only; not enough sample.</v>
      </c>
      <c r="M1016" s="8" t="s">
        <v>111</v>
      </c>
      <c r="N1016" s="8"/>
      <c r="O1016" s="8"/>
      <c r="P1016" s="8" t="s">
        <v>477</v>
      </c>
      <c r="Q1016" s="8"/>
      <c r="R1016" s="8" t="s">
        <v>429</v>
      </c>
      <c r="S1016" s="2" t="s">
        <v>593</v>
      </c>
      <c r="T1016" s="2">
        <f>IF(C1016=0,0,IF(C1016&gt;=CALL_LOOKUP_BOARD!$B$7,IF(OR(K1016="Problem Call",K1016="Explosive Alert"),10000000,20000000),0)+IF(C1016&gt;=CALL_LOOKUP_BOARD!$B$7,J1016*1000+MIN(C1016,999),C1016*1000+J1016)+0.00979400)</f>
        <v>1025.009794</v>
      </c>
      <c r="U1016" s="2" t="str">
        <f>IF(C1016=0,"",IF(COUNTIFS($S$811:$S$1055,SUBSTITUTE(SUBSTITUTE(SUBSTITUTE(S1016,"~","~~"),"*","~*"),"?","~?"),$T$811:$T$1055,"&gt;"&amp;T1016)=0,S1016,""))</f>
        <v>6:4D 1-3|10:SPLIT ZONE|</v>
      </c>
    </row>
    <row r="1017" spans="1:21" ht="38" customHeight="1">
      <c r="A1017" s="8" t="s">
        <v>594</v>
      </c>
      <c r="B1017" s="8" t="s">
        <v>27</v>
      </c>
      <c r="C1017" s="12">
        <f>COUNTIFS('DEF_SELF_SCOUT_IMPORT'!$L$42:$L$1040,"Y",'DEF_SELF_SCOUT_IMPORT'!$E$42:$E$1040,SUBSTITUTE(SUBSTITUTE(SUBSTITUTE($B1017,"~","~~"),"*","~*"),"?","~?"),'DEF_SELF_SCOUT_IMPORT'!$Q$42:$Q$1040,SUBSTITUTE(SUBSTITUTE(SUBSTITUTE($M1017,"~","~~"),"*","~*"),"?","~?"),'DEF_SELF_SCOUT_IMPORT'!$D$42:$D$1040,SUBSTITUTE(SUBSTITUTE(SUBSTITUTE($P1017,"~","~~"),"*","~*"),"?","~?"))</f>
        <v>1</v>
      </c>
      <c r="D1017" s="10">
        <f>IF($C1017=0,"",SUMIFS('DEF_SELF_SCOUT_IMPORT'!$J$42:$J$1040,'DEF_SELF_SCOUT_IMPORT'!$L$42:$L$1040,"Y",'DEF_SELF_SCOUT_IMPORT'!$E$42:$E$1040,SUBSTITUTE(SUBSTITUTE(SUBSTITUTE($B1017,"~","~~"),"*","~*"),"?","~?"),'DEF_SELF_SCOUT_IMPORT'!$Q$42:$Q$1040,SUBSTITUTE(SUBSTITUTE(SUBSTITUTE($M1017,"~","~~"),"*","~*"),"?","~?"),'DEF_SELF_SCOUT_IMPORT'!$D$42:$D$1040,SUBSTITUTE(SUBSTITUTE(SUBSTITUTE($P1017,"~","~~"),"*","~*"),"?","~?"))/$C1017)</f>
        <v>1.0</v>
      </c>
      <c r="E1017" s="10">
        <f>IF($C1017=0,"",SUMIFS('DEF_SELF_SCOUT_IMPORT'!$K$42:$K$1040,'DEF_SELF_SCOUT_IMPORT'!$L$42:$L$1040,"Y",'DEF_SELF_SCOUT_IMPORT'!$E$42:$E$1040,SUBSTITUTE(SUBSTITUTE(SUBSTITUTE($B1017,"~","~~"),"*","~*"),"?","~?"),'DEF_SELF_SCOUT_IMPORT'!$Q$42:$Q$1040,SUBSTITUTE(SUBSTITUTE(SUBSTITUTE($M1017,"~","~~"),"*","~*"),"?","~?"),'DEF_SELF_SCOUT_IMPORT'!$D$42:$D$1040,SUBSTITUTE(SUBSTITUTE(SUBSTITUTE($P1017,"~","~~"),"*","~*"),"?","~?"))/$C1017)</f>
        <v>0.0</v>
      </c>
      <c r="F1017" s="11">
        <f>IF($C1017=0,"",AVERAGEIFS('DEF_SELF_SCOUT_IMPORT'!$I$42:$I$1040,'DEF_SELF_SCOUT_IMPORT'!$L$42:$L$1040,"Y",'DEF_SELF_SCOUT_IMPORT'!$E$42:$E$1040,SUBSTITUTE(SUBSTITUTE(SUBSTITUTE($B1017,"~","~~"),"*","~*"),"?","~?"),'DEF_SELF_SCOUT_IMPORT'!$Q$42:$Q$1040,SUBSTITUTE(SUBSTITUTE(SUBSTITUTE($M1017,"~","~~"),"*","~*"),"?","~?"),'DEF_SELF_SCOUT_IMPORT'!$D$42:$D$1040,SUBSTITUTE(SUBSTITUTE(SUBSTITUTE($P1017,"~","~~"),"*","~*"),"?","~?")))</f>
        <v>0.0</v>
      </c>
      <c r="G1017" s="10">
        <f>IF($C1017=0,"",COUNTIFS('DEF_SELF_SCOUT_IMPORT'!$L$42:$L$1040,"Y",'DEF_SELF_SCOUT_IMPORT'!$E$42:$E$1040,SUBSTITUTE(SUBSTITUTE(SUBSTITUTE($B1017,"~","~~"),"*","~*"),"?","~?"),'DEF_SELF_SCOUT_IMPORT'!$Q$42:$Q$1040,SUBSTITUTE(SUBSTITUTE(SUBSTITUTE($M1017,"~","~~"),"*","~*"),"?","~?"),'DEF_SELF_SCOUT_IMPORT'!$D$42:$D$1040,SUBSTITUTE(SUBSTITUTE(SUBSTITUTE($P1017,"~","~~"),"*","~*"),"?","~?"),'DEF_SELF_SCOUT_IMPORT'!$H$42:$H$1040,"RUSH")/$C1017)</f>
        <v>0.0</v>
      </c>
      <c r="H1017" s="10">
        <f>IF($C1017=0,"",COUNTIFS('DEF_SELF_SCOUT_IMPORT'!$L$42:$L$1040,"Y",'DEF_SELF_SCOUT_IMPORT'!$E$42:$E$1040,SUBSTITUTE(SUBSTITUTE(SUBSTITUTE($B1017,"~","~~"),"*","~*"),"?","~?"),'DEF_SELF_SCOUT_IMPORT'!$Q$42:$Q$1040,SUBSTITUTE(SUBSTITUTE(SUBSTITUTE($M1017,"~","~~"),"*","~*"),"?","~?"),'DEF_SELF_SCOUT_IMPORT'!$D$42:$D$1040,SUBSTITUTE(SUBSTITUTE(SUBSTITUTE($P1017,"~","~~"),"*","~*"),"?","~?"),'DEF_SELF_SCOUT_IMPORT'!$H$42:$H$1040,"DROPBACK")/$C1017)</f>
        <v>1.0</v>
      </c>
      <c r="I1017" s="14" t="str">
        <f>IF(C1017=0,"",IF(C1017&lt;=2,"TRACK",IF(C1017=3,"LOW",IF(C1017&lt;=6,"MEDIUM","HIGH"))))</f>
        <v>TRACK</v>
      </c>
      <c r="J1017" s="11">
        <f>IF(C1017=0,"",ROUND(D1017*70+(1-E1017)*20+MAX(0,MIN(1,(10-F1017)/10))*10,1))</f>
        <v>100.0</v>
      </c>
      <c r="K1017" s="14" t="str">
        <f>IF(C1017=0,"No Evidence",IF(C1017&lt;=2,IF(E1017&gt;0,"Explosive Alert","Track Only"),IF(C1017=3,"Sample Watch",IF(E1017&gt;=START_HERE!$B$31,"Explosive Alert",IF(J1017&gt;=80,"Strong Candidate",IF(J1017&gt;=65,"Good Candidate",IF(J1017&gt;=50,"Mixed / Review","Problem Call")))))))</f>
        <v>Track Only</v>
      </c>
      <c r="L1017" s="9" t="str">
        <f>IF(COUNTIFS('DEF_SELF_SCOUT_IMPORT'!$L$42:$L$1040,"Y",'DEF_SELF_SCOUT_IMPORT'!$E$42:$E$1040,SUBSTITUTE(SUBSTITUTE(SUBSTITUTE($B1017,"~","~~"),"*","~*"),"?","~?"),'DEF_SELF_SCOUT_IMPORT'!$Q$42:$Q$1040,SUBSTITUTE(SUBSTITUTE(SUBSTITUTE($M1017,"~","~~"),"*","~*"),"?","~?"),'DEF_SELF_SCOUT_IMPORT'!$D$42:$D$1040,SUBSTITUTE(SUBSTITUTE(SUBSTITUTE($P1017,"~","~~"),"*","~*"),"?","~?"),'DEF_SELF_SCOUT_IMPORT'!$J$42:$J$1040,"")&gt;0,"Unscored clean outcome; review result tags before using score.",IF(C1017=0,"No matching defensive reps; film confirmation needed.",IF(K1017="Explosive Alert","Explosive risk; review clips before using as answer.",IF(C1017&lt;=2,"Track only; not enough sample.",IF(C1017=3,IF(E1017&gt;0,"Sample watch with explosive exposure; review clips and build the sample.",IF(J1017&gt;=65,"Good signal, but sample is limited.","Sample watch; review clips and build the sample.")),IF(K1017="Problem Call","Problem area; practice or call-sheet review.",IF(K1017="Strong Candidate","Strong call-fit candidate; confirm on film.",IF(K1017="Good Candidate","Good call-fit signal; confirm on film.","Mixed signal; review fit and execution on film."))))))))</f>
        <v>Track only; not enough sample.</v>
      </c>
      <c r="M1017" s="8" t="s">
        <v>113</v>
      </c>
      <c r="N1017" s="8"/>
      <c r="O1017" s="8"/>
      <c r="P1017" s="8" t="s">
        <v>449</v>
      </c>
      <c r="Q1017" s="8"/>
      <c r="R1017" s="8" t="s">
        <v>429</v>
      </c>
      <c r="S1017" s="2" t="s">
        <v>595</v>
      </c>
      <c r="T1017" s="2">
        <f>IF(C1017=0,0,IF(C1017&gt;=CALL_LOOKUP_BOARD!$B$7,IF(OR(K1017="Problem Call",K1017="Explosive Alert"),10000000,20000000),0)+IF(C1017&gt;=CALL_LOOKUP_BOARD!$B$7,J1017*1000+MIN(C1017,999),C1017*1000+J1017)+0.00979300)</f>
        <v>1100.009793</v>
      </c>
      <c r="U1017" s="2" t="str">
        <f>IF(C1017=0,"",IF(COUNTIFS($S$811:$S$1055,SUBSTITUTE(SUBSTITUTE(SUBSTITUTE(S1017,"~","~~"),"*","~*"),"?","~?"),$T$811:$T$1055,"&gt;"&amp;T1017)=0,S1017,""))</f>
        <v>6:4D 4-6|6:5 STEP|</v>
      </c>
    </row>
    <row r="1018" spans="1:21" ht="38" customHeight="1">
      <c r="A1018" s="8" t="s">
        <v>594</v>
      </c>
      <c r="B1018" s="8" t="s">
        <v>42</v>
      </c>
      <c r="C1018" s="12">
        <f>COUNTIFS('DEF_SELF_SCOUT_IMPORT'!$L$42:$L$1040,"Y",'DEF_SELF_SCOUT_IMPORT'!$E$42:$E$1040,SUBSTITUTE(SUBSTITUTE(SUBSTITUTE($B1018,"~","~~"),"*","~*"),"?","~?"),'DEF_SELF_SCOUT_IMPORT'!$Q$42:$Q$1040,SUBSTITUTE(SUBSTITUTE(SUBSTITUTE($M1018,"~","~~"),"*","~*"),"?","~?"),'DEF_SELF_SCOUT_IMPORT'!$D$42:$D$1040,SUBSTITUTE(SUBSTITUTE(SUBSTITUTE($P1018,"~","~~"),"*","~*"),"?","~?"))</f>
        <v>1</v>
      </c>
      <c r="D1018" s="10">
        <f>IF($C1018=0,"",SUMIFS('DEF_SELF_SCOUT_IMPORT'!$J$42:$J$1040,'DEF_SELF_SCOUT_IMPORT'!$L$42:$L$1040,"Y",'DEF_SELF_SCOUT_IMPORT'!$E$42:$E$1040,SUBSTITUTE(SUBSTITUTE(SUBSTITUTE($B1018,"~","~~"),"*","~*"),"?","~?"),'DEF_SELF_SCOUT_IMPORT'!$Q$42:$Q$1040,SUBSTITUTE(SUBSTITUTE(SUBSTITUTE($M1018,"~","~~"),"*","~*"),"?","~?"),'DEF_SELF_SCOUT_IMPORT'!$D$42:$D$1040,SUBSTITUTE(SUBSTITUTE(SUBSTITUTE($P1018,"~","~~"),"*","~*"),"?","~?"))/$C1018)</f>
        <v>0.0</v>
      </c>
      <c r="E1018" s="10">
        <f>IF($C1018=0,"",SUMIFS('DEF_SELF_SCOUT_IMPORT'!$K$42:$K$1040,'DEF_SELF_SCOUT_IMPORT'!$L$42:$L$1040,"Y",'DEF_SELF_SCOUT_IMPORT'!$E$42:$E$1040,SUBSTITUTE(SUBSTITUTE(SUBSTITUTE($B1018,"~","~~"),"*","~*"),"?","~?"),'DEF_SELF_SCOUT_IMPORT'!$Q$42:$Q$1040,SUBSTITUTE(SUBSTITUTE(SUBSTITUTE($M1018,"~","~~"),"*","~*"),"?","~?"),'DEF_SELF_SCOUT_IMPORT'!$D$42:$D$1040,SUBSTITUTE(SUBSTITUTE(SUBSTITUTE($P1018,"~","~~"),"*","~*"),"?","~?"))/$C1018)</f>
        <v>1.0</v>
      </c>
      <c r="F1018" s="11">
        <f>IF($C1018=0,"",AVERAGEIFS('DEF_SELF_SCOUT_IMPORT'!$I$42:$I$1040,'DEF_SELF_SCOUT_IMPORT'!$L$42:$L$1040,"Y",'DEF_SELF_SCOUT_IMPORT'!$E$42:$E$1040,SUBSTITUTE(SUBSTITUTE(SUBSTITUTE($B1018,"~","~~"),"*","~*"),"?","~?"),'DEF_SELF_SCOUT_IMPORT'!$Q$42:$Q$1040,SUBSTITUTE(SUBSTITUTE(SUBSTITUTE($M1018,"~","~~"),"*","~*"),"?","~?"),'DEF_SELF_SCOUT_IMPORT'!$D$42:$D$1040,SUBSTITUTE(SUBSTITUTE(SUBSTITUTE($P1018,"~","~~"),"*","~*"),"?","~?")))</f>
        <v>29.0</v>
      </c>
      <c r="G1018" s="10">
        <f>IF($C1018=0,"",COUNTIFS('DEF_SELF_SCOUT_IMPORT'!$L$42:$L$1040,"Y",'DEF_SELF_SCOUT_IMPORT'!$E$42:$E$1040,SUBSTITUTE(SUBSTITUTE(SUBSTITUTE($B1018,"~","~~"),"*","~*"),"?","~?"),'DEF_SELF_SCOUT_IMPORT'!$Q$42:$Q$1040,SUBSTITUTE(SUBSTITUTE(SUBSTITUTE($M1018,"~","~~"),"*","~*"),"?","~?"),'DEF_SELF_SCOUT_IMPORT'!$D$42:$D$1040,SUBSTITUTE(SUBSTITUTE(SUBSTITUTE($P1018,"~","~~"),"*","~*"),"?","~?"),'DEF_SELF_SCOUT_IMPORT'!$H$42:$H$1040,"RUSH")/$C1018)</f>
        <v>0.0</v>
      </c>
      <c r="H1018" s="10">
        <f>IF($C1018=0,"",COUNTIFS('DEF_SELF_SCOUT_IMPORT'!$L$42:$L$1040,"Y",'DEF_SELF_SCOUT_IMPORT'!$E$42:$E$1040,SUBSTITUTE(SUBSTITUTE(SUBSTITUTE($B1018,"~","~~"),"*","~*"),"?","~?"),'DEF_SELF_SCOUT_IMPORT'!$Q$42:$Q$1040,SUBSTITUTE(SUBSTITUTE(SUBSTITUTE($M1018,"~","~~"),"*","~*"),"?","~?"),'DEF_SELF_SCOUT_IMPORT'!$D$42:$D$1040,SUBSTITUTE(SUBSTITUTE(SUBSTITUTE($P1018,"~","~~"),"*","~*"),"?","~?"),'DEF_SELF_SCOUT_IMPORT'!$H$42:$H$1040,"DROPBACK")/$C1018)</f>
        <v>1.0</v>
      </c>
      <c r="I1018" s="14" t="str">
        <f>IF(C1018=0,"",IF(C1018&lt;=2,"TRACK",IF(C1018=3,"LOW",IF(C1018&lt;=6,"MEDIUM","HIGH"))))</f>
        <v>TRACK</v>
      </c>
      <c r="J1018" s="11">
        <f>IF(C1018=0,"",ROUND(D1018*70+(1-E1018)*20+MAX(0,MIN(1,(10-F1018)/10))*10,1))</f>
        <v>0.0</v>
      </c>
      <c r="K1018" s="14" t="str">
        <f>IF(C1018=0,"No Evidence",IF(C1018&lt;=2,IF(E1018&gt;0,"Explosive Alert","Track Only"),IF(C1018=3,"Sample Watch",IF(E1018&gt;=START_HERE!$B$31,"Explosive Alert",IF(J1018&gt;=80,"Strong Candidate",IF(J1018&gt;=65,"Good Candidate",IF(J1018&gt;=50,"Mixed / Review","Problem Call")))))))</f>
        <v>Explosive Alert</v>
      </c>
      <c r="L1018" s="9" t="str">
        <f>IF(COUNTIFS('DEF_SELF_SCOUT_IMPORT'!$L$42:$L$1040,"Y",'DEF_SELF_SCOUT_IMPORT'!$E$42:$E$1040,SUBSTITUTE(SUBSTITUTE(SUBSTITUTE($B1018,"~","~~"),"*","~*"),"?","~?"),'DEF_SELF_SCOUT_IMPORT'!$Q$42:$Q$1040,SUBSTITUTE(SUBSTITUTE(SUBSTITUTE($M1018,"~","~~"),"*","~*"),"?","~?"),'DEF_SELF_SCOUT_IMPORT'!$D$42:$D$1040,SUBSTITUTE(SUBSTITUTE(SUBSTITUTE($P1018,"~","~~"),"*","~*"),"?","~?"),'DEF_SELF_SCOUT_IMPORT'!$J$42:$J$1040,"")&gt;0,"Unscored clean outcome; review result tags before using score.",IF(C1018=0,"No matching defensive reps; film confirmation needed.",IF(K1018="Explosive Alert","Explosive risk; review clips before using as answer.",IF(C1018&lt;=2,"Track only; not enough sample.",IF(C1018=3,IF(E1018&gt;0,"Sample watch with explosive exposure; review clips and build the sample.",IF(J1018&gt;=65,"Good signal, but sample is limited.","Sample watch; review clips and build the sample.")),IF(K1018="Problem Call","Problem area; practice or call-sheet review.",IF(K1018="Strong Candidate","Strong call-fit candidate; confirm on film.",IF(K1018="Good Candidate","Good call-fit signal; confirm on film.","Mixed signal; review fit and execution on film."))))))))</f>
        <v>Explosive risk; review clips before using as answer.</v>
      </c>
      <c r="M1018" s="8" t="s">
        <v>113</v>
      </c>
      <c r="N1018" s="8"/>
      <c r="O1018" s="8"/>
      <c r="P1018" s="8" t="s">
        <v>449</v>
      </c>
      <c r="Q1018" s="8"/>
      <c r="R1018" s="8" t="s">
        <v>429</v>
      </c>
      <c r="S1018" s="2" t="s">
        <v>595</v>
      </c>
      <c r="T1018" s="2">
        <f>IF(C1018=0,0,IF(C1018&gt;=CALL_LOOKUP_BOARD!$B$7,IF(OR(K1018="Problem Call",K1018="Explosive Alert"),10000000,20000000),0)+IF(C1018&gt;=CALL_LOOKUP_BOARD!$B$7,J1018*1000+MIN(C1018,999),C1018*1000+J1018)+0.00979200)</f>
        <v>1000.009792</v>
      </c>
      <c r="U1018" s="2">
        <f>IF(C1018=0,"",IF(COUNTIFS($S$811:$S$1055,SUBSTITUTE(SUBSTITUTE(SUBSTITUTE(S1018,"~","~~"),"*","~*"),"?","~?"),$T$811:$T$1055,"&gt;"&amp;T1018)=0,S1018,""))</f>
        <v/>
      </c>
    </row>
    <row r="1019" spans="1:21" ht="38" customHeight="1">
      <c r="A1019" s="8" t="s">
        <v>596</v>
      </c>
      <c r="B1019" s="8" t="s">
        <v>43</v>
      </c>
      <c r="C1019" s="12">
        <f>COUNTIFS('DEF_SELF_SCOUT_IMPORT'!$L$42:$L$1040,"Y",'DEF_SELF_SCOUT_IMPORT'!$E$42:$E$1040,SUBSTITUTE(SUBSTITUTE(SUBSTITUTE($B1019,"~","~~"),"*","~*"),"?","~?"),'DEF_SELF_SCOUT_IMPORT'!$Q$42:$Q$1040,SUBSTITUTE(SUBSTITUTE(SUBSTITUTE($M1019,"~","~~"),"*","~*"),"?","~?"),'DEF_SELF_SCOUT_IMPORT'!$D$42:$D$1040,SUBSTITUTE(SUBSTITUTE(SUBSTITUTE($P1019,"~","~~"),"*","~*"),"?","~?"))</f>
        <v>1</v>
      </c>
      <c r="D1019" s="10">
        <f>IF($C1019=0,"",SUMIFS('DEF_SELF_SCOUT_IMPORT'!$J$42:$J$1040,'DEF_SELF_SCOUT_IMPORT'!$L$42:$L$1040,"Y",'DEF_SELF_SCOUT_IMPORT'!$E$42:$E$1040,SUBSTITUTE(SUBSTITUTE(SUBSTITUTE($B1019,"~","~~"),"*","~*"),"?","~?"),'DEF_SELF_SCOUT_IMPORT'!$Q$42:$Q$1040,SUBSTITUTE(SUBSTITUTE(SUBSTITUTE($M1019,"~","~~"),"*","~*"),"?","~?"),'DEF_SELF_SCOUT_IMPORT'!$D$42:$D$1040,SUBSTITUTE(SUBSTITUTE(SUBSTITUTE($P1019,"~","~~"),"*","~*"),"?","~?"))/$C1019)</f>
        <v>1.0</v>
      </c>
      <c r="E1019" s="10">
        <f>IF($C1019=0,"",SUMIFS('DEF_SELF_SCOUT_IMPORT'!$K$42:$K$1040,'DEF_SELF_SCOUT_IMPORT'!$L$42:$L$1040,"Y",'DEF_SELF_SCOUT_IMPORT'!$E$42:$E$1040,SUBSTITUTE(SUBSTITUTE(SUBSTITUTE($B1019,"~","~~"),"*","~*"),"?","~?"),'DEF_SELF_SCOUT_IMPORT'!$Q$42:$Q$1040,SUBSTITUTE(SUBSTITUTE(SUBSTITUTE($M1019,"~","~~"),"*","~*"),"?","~?"),'DEF_SELF_SCOUT_IMPORT'!$D$42:$D$1040,SUBSTITUTE(SUBSTITUTE(SUBSTITUTE($P1019,"~","~~"),"*","~*"),"?","~?"))/$C1019)</f>
        <v>0.0</v>
      </c>
      <c r="F1019" s="11">
        <f>IF($C1019=0,"",AVERAGEIFS('DEF_SELF_SCOUT_IMPORT'!$I$42:$I$1040,'DEF_SELF_SCOUT_IMPORT'!$L$42:$L$1040,"Y",'DEF_SELF_SCOUT_IMPORT'!$E$42:$E$1040,SUBSTITUTE(SUBSTITUTE(SUBSTITUTE($B1019,"~","~~"),"*","~*"),"?","~?"),'DEF_SELF_SCOUT_IMPORT'!$Q$42:$Q$1040,SUBSTITUTE(SUBSTITUTE(SUBSTITUTE($M1019,"~","~~"),"*","~*"),"?","~?"),'DEF_SELF_SCOUT_IMPORT'!$D$42:$D$1040,SUBSTITUTE(SUBSTITUTE(SUBSTITUTE($P1019,"~","~~"),"*","~*"),"?","~?")))</f>
        <v>3.0</v>
      </c>
      <c r="G1019" s="10">
        <f>IF($C1019=0,"",COUNTIFS('DEF_SELF_SCOUT_IMPORT'!$L$42:$L$1040,"Y",'DEF_SELF_SCOUT_IMPORT'!$E$42:$E$1040,SUBSTITUTE(SUBSTITUTE(SUBSTITUTE($B1019,"~","~~"),"*","~*"),"?","~?"),'DEF_SELF_SCOUT_IMPORT'!$Q$42:$Q$1040,SUBSTITUTE(SUBSTITUTE(SUBSTITUTE($M1019,"~","~~"),"*","~*"),"?","~?"),'DEF_SELF_SCOUT_IMPORT'!$D$42:$D$1040,SUBSTITUTE(SUBSTITUTE(SUBSTITUTE($P1019,"~","~~"),"*","~*"),"?","~?"),'DEF_SELF_SCOUT_IMPORT'!$H$42:$H$1040,"RUSH")/$C1019)</f>
        <v>0.0</v>
      </c>
      <c r="H1019" s="10">
        <f>IF($C1019=0,"",COUNTIFS('DEF_SELF_SCOUT_IMPORT'!$L$42:$L$1040,"Y",'DEF_SELF_SCOUT_IMPORT'!$E$42:$E$1040,SUBSTITUTE(SUBSTITUTE(SUBSTITUTE($B1019,"~","~~"),"*","~*"),"?","~?"),'DEF_SELF_SCOUT_IMPORT'!$Q$42:$Q$1040,SUBSTITUTE(SUBSTITUTE(SUBSTITUTE($M1019,"~","~~"),"*","~*"),"?","~?"),'DEF_SELF_SCOUT_IMPORT'!$D$42:$D$1040,SUBSTITUTE(SUBSTITUTE(SUBSTITUTE($P1019,"~","~~"),"*","~*"),"?","~?"),'DEF_SELF_SCOUT_IMPORT'!$H$42:$H$1040,"DROPBACK")/$C1019)</f>
        <v>1.0</v>
      </c>
      <c r="I1019" s="14" t="str">
        <f>IF(C1019=0,"",IF(C1019&lt;=2,"TRACK",IF(C1019=3,"LOW",IF(C1019&lt;=6,"MEDIUM","HIGH"))))</f>
        <v>TRACK</v>
      </c>
      <c r="J1019" s="11">
        <f>IF(C1019=0,"",ROUND(D1019*70+(1-E1019)*20+MAX(0,MIN(1,(10-F1019)/10))*10,1))</f>
        <v>97.0</v>
      </c>
      <c r="K1019" s="14" t="str">
        <f>IF(C1019=0,"No Evidence",IF(C1019&lt;=2,IF(E1019&gt;0,"Explosive Alert","Track Only"),IF(C1019=3,"Sample Watch",IF(E1019&gt;=START_HERE!$B$31,"Explosive Alert",IF(J1019&gt;=80,"Strong Candidate",IF(J1019&gt;=65,"Good Candidate",IF(J1019&gt;=50,"Mixed / Review","Problem Call")))))))</f>
        <v>Track Only</v>
      </c>
      <c r="L1019" s="9" t="str">
        <f>IF(COUNTIFS('DEF_SELF_SCOUT_IMPORT'!$L$42:$L$1040,"Y",'DEF_SELF_SCOUT_IMPORT'!$E$42:$E$1040,SUBSTITUTE(SUBSTITUTE(SUBSTITUTE($B1019,"~","~~"),"*","~*"),"?","~?"),'DEF_SELF_SCOUT_IMPORT'!$Q$42:$Q$1040,SUBSTITUTE(SUBSTITUTE(SUBSTITUTE($M1019,"~","~~"),"*","~*"),"?","~?"),'DEF_SELF_SCOUT_IMPORT'!$D$42:$D$1040,SUBSTITUTE(SUBSTITUTE(SUBSTITUTE($P1019,"~","~~"),"*","~*"),"?","~?"),'DEF_SELF_SCOUT_IMPORT'!$J$42:$J$1040,"")&gt;0,"Unscored clean outcome; review result tags before using score.",IF(C1019=0,"No matching defensive reps; film confirmation needed.",IF(K1019="Explosive Alert","Explosive risk; review clips before using as answer.",IF(C1019&lt;=2,"Track only; not enough sample.",IF(C1019=3,IF(E1019&gt;0,"Sample watch with explosive exposure; review clips and build the sample.",IF(J1019&gt;=65,"Good signal, but sample is limited.","Sample watch; review clips and build the sample.")),IF(K1019="Problem Call","Problem area; practice or call-sheet review.",IF(K1019="Strong Candidate","Strong call-fit candidate; confirm on film.",IF(K1019="Good Candidate","Good call-fit signal; confirm on film.","Mixed signal; review fit and execution on film."))))))))</f>
        <v>Track only; not enough sample.</v>
      </c>
      <c r="M1019" s="8" t="s">
        <v>115</v>
      </c>
      <c r="N1019" s="8"/>
      <c r="O1019" s="8"/>
      <c r="P1019" s="8" t="s">
        <v>446</v>
      </c>
      <c r="Q1019" s="8"/>
      <c r="R1019" s="8" t="s">
        <v>429</v>
      </c>
      <c r="S1019" s="2" t="s">
        <v>597</v>
      </c>
      <c r="T1019" s="2">
        <f>IF(C1019=0,0,IF(C1019&gt;=CALL_LOOKUP_BOARD!$B$7,IF(OR(K1019="Problem Call",K1019="Explosive Alert"),10000000,20000000),0)+IF(C1019&gt;=CALL_LOOKUP_BOARD!$B$7,J1019*1000+MIN(C1019,999),C1019*1000+J1019)+0.00979100)</f>
        <v>1097.009791</v>
      </c>
      <c r="U1019" s="2">
        <f>IF(C1019=0,"",IF(COUNTIFS($S$811:$S$1055,SUBSTITUTE(SUBSTITUTE(SUBSTITUTE(S1019,"~","~~"),"*","~*"),"?","~?"),$T$811:$T$1055,"&gt;"&amp;T1019)=0,S1019,""))</f>
        <v/>
      </c>
    </row>
    <row r="1020" spans="1:21" ht="38" customHeight="1">
      <c r="A1020" s="8" t="s">
        <v>596</v>
      </c>
      <c r="B1020" s="8" t="s">
        <v>53</v>
      </c>
      <c r="C1020" s="12">
        <f>COUNTIFS('DEF_SELF_SCOUT_IMPORT'!$L$42:$L$1040,"Y",'DEF_SELF_SCOUT_IMPORT'!$E$42:$E$1040,SUBSTITUTE(SUBSTITUTE(SUBSTITUTE($B1020,"~","~~"),"*","~*"),"?","~?"),'DEF_SELF_SCOUT_IMPORT'!$Q$42:$Q$1040,SUBSTITUTE(SUBSTITUTE(SUBSTITUTE($M1020,"~","~~"),"*","~*"),"?","~?"),'DEF_SELF_SCOUT_IMPORT'!$D$42:$D$1040,SUBSTITUTE(SUBSTITUTE(SUBSTITUTE($P1020,"~","~~"),"*","~*"),"?","~?"))</f>
        <v>1</v>
      </c>
      <c r="D1020" s="10">
        <f>IF($C1020=0,"",SUMIFS('DEF_SELF_SCOUT_IMPORT'!$J$42:$J$1040,'DEF_SELF_SCOUT_IMPORT'!$L$42:$L$1040,"Y",'DEF_SELF_SCOUT_IMPORT'!$E$42:$E$1040,SUBSTITUTE(SUBSTITUTE(SUBSTITUTE($B1020,"~","~~"),"*","~*"),"?","~?"),'DEF_SELF_SCOUT_IMPORT'!$Q$42:$Q$1040,SUBSTITUTE(SUBSTITUTE(SUBSTITUTE($M1020,"~","~~"),"*","~*"),"?","~?"),'DEF_SELF_SCOUT_IMPORT'!$D$42:$D$1040,SUBSTITUTE(SUBSTITUTE(SUBSTITUTE($P1020,"~","~~"),"*","~*"),"?","~?"))/$C1020)</f>
        <v>0.0</v>
      </c>
      <c r="E1020" s="10">
        <f>IF($C1020=0,"",SUMIFS('DEF_SELF_SCOUT_IMPORT'!$K$42:$K$1040,'DEF_SELF_SCOUT_IMPORT'!$L$42:$L$1040,"Y",'DEF_SELF_SCOUT_IMPORT'!$E$42:$E$1040,SUBSTITUTE(SUBSTITUTE(SUBSTITUTE($B1020,"~","~~"),"*","~*"),"?","~?"),'DEF_SELF_SCOUT_IMPORT'!$Q$42:$Q$1040,SUBSTITUTE(SUBSTITUTE(SUBSTITUTE($M1020,"~","~~"),"*","~*"),"?","~?"),'DEF_SELF_SCOUT_IMPORT'!$D$42:$D$1040,SUBSTITUTE(SUBSTITUTE(SUBSTITUTE($P1020,"~","~~"),"*","~*"),"?","~?"))/$C1020)</f>
        <v>0.0</v>
      </c>
      <c r="F1020" s="11">
        <f>IF($C1020=0,"",AVERAGEIFS('DEF_SELF_SCOUT_IMPORT'!$I$42:$I$1040,'DEF_SELF_SCOUT_IMPORT'!$L$42:$L$1040,"Y",'DEF_SELF_SCOUT_IMPORT'!$E$42:$E$1040,SUBSTITUTE(SUBSTITUTE(SUBSTITUTE($B1020,"~","~~"),"*","~*"),"?","~?"),'DEF_SELF_SCOUT_IMPORT'!$Q$42:$Q$1040,SUBSTITUTE(SUBSTITUTE(SUBSTITUTE($M1020,"~","~~"),"*","~*"),"?","~?"),'DEF_SELF_SCOUT_IMPORT'!$D$42:$D$1040,SUBSTITUTE(SUBSTITUTE(SUBSTITUTE($P1020,"~","~~"),"*","~*"),"?","~?")))</f>
        <v>8.0</v>
      </c>
      <c r="G1020" s="10">
        <f>IF($C1020=0,"",COUNTIFS('DEF_SELF_SCOUT_IMPORT'!$L$42:$L$1040,"Y",'DEF_SELF_SCOUT_IMPORT'!$E$42:$E$1040,SUBSTITUTE(SUBSTITUTE(SUBSTITUTE($B1020,"~","~~"),"*","~*"),"?","~?"),'DEF_SELF_SCOUT_IMPORT'!$Q$42:$Q$1040,SUBSTITUTE(SUBSTITUTE(SUBSTITUTE($M1020,"~","~~"),"*","~*"),"?","~?"),'DEF_SELF_SCOUT_IMPORT'!$D$42:$D$1040,SUBSTITUTE(SUBSTITUTE(SUBSTITUTE($P1020,"~","~~"),"*","~*"),"?","~?"),'DEF_SELF_SCOUT_IMPORT'!$H$42:$H$1040,"RUSH")/$C1020)</f>
        <v>0.0</v>
      </c>
      <c r="H1020" s="10">
        <f>IF($C1020=0,"",COUNTIFS('DEF_SELF_SCOUT_IMPORT'!$L$42:$L$1040,"Y",'DEF_SELF_SCOUT_IMPORT'!$E$42:$E$1040,SUBSTITUTE(SUBSTITUTE(SUBSTITUTE($B1020,"~","~~"),"*","~*"),"?","~?"),'DEF_SELF_SCOUT_IMPORT'!$Q$42:$Q$1040,SUBSTITUTE(SUBSTITUTE(SUBSTITUTE($M1020,"~","~~"),"*","~*"),"?","~?"),'DEF_SELF_SCOUT_IMPORT'!$D$42:$D$1040,SUBSTITUTE(SUBSTITUTE(SUBSTITUTE($P1020,"~","~~"),"*","~*"),"?","~?"),'DEF_SELF_SCOUT_IMPORT'!$H$42:$H$1040,"DROPBACK")/$C1020)</f>
        <v>1.0</v>
      </c>
      <c r="I1020" s="14" t="str">
        <f>IF(C1020=0,"",IF(C1020&lt;=2,"TRACK",IF(C1020=3,"LOW",IF(C1020&lt;=6,"MEDIUM","HIGH"))))</f>
        <v>TRACK</v>
      </c>
      <c r="J1020" s="11">
        <f>IF(C1020=0,"",ROUND(D1020*70+(1-E1020)*20+MAX(0,MIN(1,(10-F1020)/10))*10,1))</f>
        <v>22.0</v>
      </c>
      <c r="K1020" s="14" t="str">
        <f>IF(C1020=0,"No Evidence",IF(C1020&lt;=2,IF(E1020&gt;0,"Explosive Alert","Track Only"),IF(C1020=3,"Sample Watch",IF(E1020&gt;=START_HERE!$B$31,"Explosive Alert",IF(J1020&gt;=80,"Strong Candidate",IF(J1020&gt;=65,"Good Candidate",IF(J1020&gt;=50,"Mixed / Review","Problem Call")))))))</f>
        <v>Track Only</v>
      </c>
      <c r="L1020" s="9" t="str">
        <f>IF(COUNTIFS('DEF_SELF_SCOUT_IMPORT'!$L$42:$L$1040,"Y",'DEF_SELF_SCOUT_IMPORT'!$E$42:$E$1040,SUBSTITUTE(SUBSTITUTE(SUBSTITUTE($B1020,"~","~~"),"*","~*"),"?","~?"),'DEF_SELF_SCOUT_IMPORT'!$Q$42:$Q$1040,SUBSTITUTE(SUBSTITUTE(SUBSTITUTE($M1020,"~","~~"),"*","~*"),"?","~?"),'DEF_SELF_SCOUT_IMPORT'!$D$42:$D$1040,SUBSTITUTE(SUBSTITUTE(SUBSTITUTE($P1020,"~","~~"),"*","~*"),"?","~?"),'DEF_SELF_SCOUT_IMPORT'!$J$42:$J$1040,"")&gt;0,"Unscored clean outcome; review result tags before using score.",IF(C1020=0,"No matching defensive reps; film confirmation needed.",IF(K1020="Explosive Alert","Explosive risk; review clips before using as answer.",IF(C1020&lt;=2,"Track only; not enough sample.",IF(C1020=3,IF(E1020&gt;0,"Sample watch with explosive exposure; review clips and build the sample.",IF(J1020&gt;=65,"Good signal, but sample is limited.","Sample watch; review clips and build the sample.")),IF(K1020="Problem Call","Problem area; practice or call-sheet review.",IF(K1020="Strong Candidate","Strong call-fit candidate; confirm on film.",IF(K1020="Good Candidate","Good call-fit signal; confirm on film.","Mixed signal; review fit and execution on film."))))))))</f>
        <v>Track only; not enough sample.</v>
      </c>
      <c r="M1020" s="8" t="s">
        <v>115</v>
      </c>
      <c r="N1020" s="8"/>
      <c r="O1020" s="8"/>
      <c r="P1020" s="8" t="s">
        <v>446</v>
      </c>
      <c r="Q1020" s="8"/>
      <c r="R1020" s="8" t="s">
        <v>429</v>
      </c>
      <c r="S1020" s="2" t="s">
        <v>597</v>
      </c>
      <c r="T1020" s="2">
        <f>IF(C1020=0,0,IF(C1020&gt;=CALL_LOOKUP_BOARD!$B$7,IF(OR(K1020="Problem Call",K1020="Explosive Alert"),10000000,20000000),0)+IF(C1020&gt;=CALL_LOOKUP_BOARD!$B$7,J1020*1000+MIN(C1020,999),C1020*1000+J1020)+0.00979000)</f>
        <v>1022.00979</v>
      </c>
      <c r="U1020" s="2">
        <f>IF(C1020=0,"",IF(COUNTIFS($S$811:$S$1055,SUBSTITUTE(SUBSTITUTE(SUBSTITUTE(S1020,"~","~~"),"*","~*"),"?","~?"),$T$811:$T$1055,"&gt;"&amp;T1020)=0,S1020,""))</f>
        <v/>
      </c>
    </row>
    <row r="1021" spans="1:21" ht="38" customHeight="1">
      <c r="A1021" s="8" t="s">
        <v>596</v>
      </c>
      <c r="B1021" s="8" t="s">
        <v>60</v>
      </c>
      <c r="C1021" s="12">
        <f>COUNTIFS('DEF_SELF_SCOUT_IMPORT'!$L$42:$L$1040,"Y",'DEF_SELF_SCOUT_IMPORT'!$E$42:$E$1040,SUBSTITUTE(SUBSTITUTE(SUBSTITUTE($B1021,"~","~~"),"*","~*"),"?","~?"),'DEF_SELF_SCOUT_IMPORT'!$Q$42:$Q$1040,SUBSTITUTE(SUBSTITUTE(SUBSTITUTE($M1021,"~","~~"),"*","~*"),"?","~?"),'DEF_SELF_SCOUT_IMPORT'!$D$42:$D$1040,SUBSTITUTE(SUBSTITUTE(SUBSTITUTE($P1021,"~","~~"),"*","~*"),"?","~?"))</f>
        <v>1</v>
      </c>
      <c r="D1021" s="10">
        <f>IF($C1021=0,"",SUMIFS('DEF_SELF_SCOUT_IMPORT'!$J$42:$J$1040,'DEF_SELF_SCOUT_IMPORT'!$L$42:$L$1040,"Y",'DEF_SELF_SCOUT_IMPORT'!$E$42:$E$1040,SUBSTITUTE(SUBSTITUTE(SUBSTITUTE($B1021,"~","~~"),"*","~*"),"?","~?"),'DEF_SELF_SCOUT_IMPORT'!$Q$42:$Q$1040,SUBSTITUTE(SUBSTITUTE(SUBSTITUTE($M1021,"~","~~"),"*","~*"),"?","~?"),'DEF_SELF_SCOUT_IMPORT'!$D$42:$D$1040,SUBSTITUTE(SUBSTITUTE(SUBSTITUTE($P1021,"~","~~"),"*","~*"),"?","~?"))/$C1021)</f>
        <v>1.0</v>
      </c>
      <c r="E1021" s="10">
        <f>IF($C1021=0,"",SUMIFS('DEF_SELF_SCOUT_IMPORT'!$K$42:$K$1040,'DEF_SELF_SCOUT_IMPORT'!$L$42:$L$1040,"Y",'DEF_SELF_SCOUT_IMPORT'!$E$42:$E$1040,SUBSTITUTE(SUBSTITUTE(SUBSTITUTE($B1021,"~","~~"),"*","~*"),"?","~?"),'DEF_SELF_SCOUT_IMPORT'!$Q$42:$Q$1040,SUBSTITUTE(SUBSTITUTE(SUBSTITUTE($M1021,"~","~~"),"*","~*"),"?","~?"),'DEF_SELF_SCOUT_IMPORT'!$D$42:$D$1040,SUBSTITUTE(SUBSTITUTE(SUBSTITUTE($P1021,"~","~~"),"*","~*"),"?","~?"))/$C1021)</f>
        <v>0.0</v>
      </c>
      <c r="F1021" s="11">
        <f>IF($C1021=0,"",AVERAGEIFS('DEF_SELF_SCOUT_IMPORT'!$I$42:$I$1040,'DEF_SELF_SCOUT_IMPORT'!$L$42:$L$1040,"Y",'DEF_SELF_SCOUT_IMPORT'!$E$42:$E$1040,SUBSTITUTE(SUBSTITUTE(SUBSTITUTE($B1021,"~","~~"),"*","~*"),"?","~?"),'DEF_SELF_SCOUT_IMPORT'!$Q$42:$Q$1040,SUBSTITUTE(SUBSTITUTE(SUBSTITUTE($M1021,"~","~~"),"*","~*"),"?","~?"),'DEF_SELF_SCOUT_IMPORT'!$D$42:$D$1040,SUBSTITUTE(SUBSTITUTE(SUBSTITUTE($P1021,"~","~~"),"*","~*"),"?","~?")))</f>
        <v>0.0</v>
      </c>
      <c r="G1021" s="10">
        <f>IF($C1021=0,"",COUNTIFS('DEF_SELF_SCOUT_IMPORT'!$L$42:$L$1040,"Y",'DEF_SELF_SCOUT_IMPORT'!$E$42:$E$1040,SUBSTITUTE(SUBSTITUTE(SUBSTITUTE($B1021,"~","~~"),"*","~*"),"?","~?"),'DEF_SELF_SCOUT_IMPORT'!$Q$42:$Q$1040,SUBSTITUTE(SUBSTITUTE(SUBSTITUTE($M1021,"~","~~"),"*","~*"),"?","~?"),'DEF_SELF_SCOUT_IMPORT'!$D$42:$D$1040,SUBSTITUTE(SUBSTITUTE(SUBSTITUTE($P1021,"~","~~"),"*","~*"),"?","~?"),'DEF_SELF_SCOUT_IMPORT'!$H$42:$H$1040,"RUSH")/$C1021)</f>
        <v>0.0</v>
      </c>
      <c r="H1021" s="10">
        <f>IF($C1021=0,"",COUNTIFS('DEF_SELF_SCOUT_IMPORT'!$L$42:$L$1040,"Y",'DEF_SELF_SCOUT_IMPORT'!$E$42:$E$1040,SUBSTITUTE(SUBSTITUTE(SUBSTITUTE($B1021,"~","~~"),"*","~*"),"?","~?"),'DEF_SELF_SCOUT_IMPORT'!$Q$42:$Q$1040,SUBSTITUTE(SUBSTITUTE(SUBSTITUTE($M1021,"~","~~"),"*","~*"),"?","~?"),'DEF_SELF_SCOUT_IMPORT'!$D$42:$D$1040,SUBSTITUTE(SUBSTITUTE(SUBSTITUTE($P1021,"~","~~"),"*","~*"),"?","~?"),'DEF_SELF_SCOUT_IMPORT'!$H$42:$H$1040,"DROPBACK")/$C1021)</f>
        <v>1.0</v>
      </c>
      <c r="I1021" s="14" t="str">
        <f>IF(C1021=0,"",IF(C1021&lt;=2,"TRACK",IF(C1021=3,"LOW",IF(C1021&lt;=6,"MEDIUM","HIGH"))))</f>
        <v>TRACK</v>
      </c>
      <c r="J1021" s="11">
        <f>IF(C1021=0,"",ROUND(D1021*70+(1-E1021)*20+MAX(0,MIN(1,(10-F1021)/10))*10,1))</f>
        <v>100.0</v>
      </c>
      <c r="K1021" s="14" t="str">
        <f>IF(C1021=0,"No Evidence",IF(C1021&lt;=2,IF(E1021&gt;0,"Explosive Alert","Track Only"),IF(C1021=3,"Sample Watch",IF(E1021&gt;=START_HERE!$B$31,"Explosive Alert",IF(J1021&gt;=80,"Strong Candidate",IF(J1021&gt;=65,"Good Candidate",IF(J1021&gt;=50,"Mixed / Review","Problem Call")))))))</f>
        <v>Track Only</v>
      </c>
      <c r="L1021" s="9" t="str">
        <f>IF(COUNTIFS('DEF_SELF_SCOUT_IMPORT'!$L$42:$L$1040,"Y",'DEF_SELF_SCOUT_IMPORT'!$E$42:$E$1040,SUBSTITUTE(SUBSTITUTE(SUBSTITUTE($B1021,"~","~~"),"*","~*"),"?","~?"),'DEF_SELF_SCOUT_IMPORT'!$Q$42:$Q$1040,SUBSTITUTE(SUBSTITUTE(SUBSTITUTE($M1021,"~","~~"),"*","~*"),"?","~?"),'DEF_SELF_SCOUT_IMPORT'!$D$42:$D$1040,SUBSTITUTE(SUBSTITUTE(SUBSTITUTE($P1021,"~","~~"),"*","~*"),"?","~?"),'DEF_SELF_SCOUT_IMPORT'!$J$42:$J$1040,"")&gt;0,"Unscored clean outcome; review result tags before using score.",IF(C1021=0,"No matching defensive reps; film confirmation needed.",IF(K1021="Explosive Alert","Explosive risk; review clips before using as answer.",IF(C1021&lt;=2,"Track only; not enough sample.",IF(C1021=3,IF(E1021&gt;0,"Sample watch with explosive exposure; review clips and build the sample.",IF(J1021&gt;=65,"Good signal, but sample is limited.","Sample watch; review clips and build the sample.")),IF(K1021="Problem Call","Problem area; practice or call-sheet review.",IF(K1021="Strong Candidate","Strong call-fit candidate; confirm on film.",IF(K1021="Good Candidate","Good call-fit signal; confirm on film.","Mixed signal; review fit and execution on film."))))))))</f>
        <v>Track only; not enough sample.</v>
      </c>
      <c r="M1021" s="8" t="s">
        <v>115</v>
      </c>
      <c r="N1021" s="8"/>
      <c r="O1021" s="8"/>
      <c r="P1021" s="8" t="s">
        <v>446</v>
      </c>
      <c r="Q1021" s="8"/>
      <c r="R1021" s="8" t="s">
        <v>429</v>
      </c>
      <c r="S1021" s="2" t="s">
        <v>597</v>
      </c>
      <c r="T1021" s="2">
        <f>IF(C1021=0,0,IF(C1021&gt;=CALL_LOOKUP_BOARD!$B$7,IF(OR(K1021="Problem Call",K1021="Explosive Alert"),10000000,20000000),0)+IF(C1021&gt;=CALL_LOOKUP_BOARD!$B$7,J1021*1000+MIN(C1021,999),C1021*1000+J1021)+0.00978900)</f>
        <v>1100.009789</v>
      </c>
      <c r="U1021" s="2" t="str">
        <f>IF(C1021=0,"",IF(COUNTIFS($S$811:$S$1055,SUBSTITUTE(SUBSTITUTE(SUBSTITUTE(S1021,"~","~~"),"*","~*"),"?","~?"),$T$811:$T$1055,"&gt;"&amp;T1021)=0,S1021,""))</f>
        <v>4:P&amp;10|6:3 STEP|</v>
      </c>
    </row>
    <row r="1022" spans="1:21" ht="38" customHeight="1">
      <c r="A1022" s="8" t="s">
        <v>596</v>
      </c>
      <c r="B1022" s="8" t="s">
        <v>73</v>
      </c>
      <c r="C1022" s="12">
        <f>COUNTIFS('DEF_SELF_SCOUT_IMPORT'!$L$42:$L$1040,"Y",'DEF_SELF_SCOUT_IMPORT'!$E$42:$E$1040,SUBSTITUTE(SUBSTITUTE(SUBSTITUTE($B1022,"~","~~"),"*","~*"),"?","~?"),'DEF_SELF_SCOUT_IMPORT'!$Q$42:$Q$1040,SUBSTITUTE(SUBSTITUTE(SUBSTITUTE($M1022,"~","~~"),"*","~*"),"?","~?"),'DEF_SELF_SCOUT_IMPORT'!$D$42:$D$1040,SUBSTITUTE(SUBSTITUTE(SUBSTITUTE($P1022,"~","~~"),"*","~*"),"?","~?"))</f>
        <v>1</v>
      </c>
      <c r="D1022" s="10">
        <f>IF($C1022=0,"",SUMIFS('DEF_SELF_SCOUT_IMPORT'!$J$42:$J$1040,'DEF_SELF_SCOUT_IMPORT'!$L$42:$L$1040,"Y",'DEF_SELF_SCOUT_IMPORT'!$E$42:$E$1040,SUBSTITUTE(SUBSTITUTE(SUBSTITUTE($B1022,"~","~~"),"*","~*"),"?","~?"),'DEF_SELF_SCOUT_IMPORT'!$Q$42:$Q$1040,SUBSTITUTE(SUBSTITUTE(SUBSTITUTE($M1022,"~","~~"),"*","~*"),"?","~?"),'DEF_SELF_SCOUT_IMPORT'!$D$42:$D$1040,SUBSTITUTE(SUBSTITUTE(SUBSTITUTE($P1022,"~","~~"),"*","~*"),"?","~?"))/$C1022)</f>
        <v>1.0</v>
      </c>
      <c r="E1022" s="10">
        <f>IF($C1022=0,"",SUMIFS('DEF_SELF_SCOUT_IMPORT'!$K$42:$K$1040,'DEF_SELF_SCOUT_IMPORT'!$L$42:$L$1040,"Y",'DEF_SELF_SCOUT_IMPORT'!$E$42:$E$1040,SUBSTITUTE(SUBSTITUTE(SUBSTITUTE($B1022,"~","~~"),"*","~*"),"?","~?"),'DEF_SELF_SCOUT_IMPORT'!$Q$42:$Q$1040,SUBSTITUTE(SUBSTITUTE(SUBSTITUTE($M1022,"~","~~"),"*","~*"),"?","~?"),'DEF_SELF_SCOUT_IMPORT'!$D$42:$D$1040,SUBSTITUTE(SUBSTITUTE(SUBSTITUTE($P1022,"~","~~"),"*","~*"),"?","~?"))/$C1022)</f>
        <v>0.0</v>
      </c>
      <c r="F1022" s="11">
        <f>IF($C1022=0,"",AVERAGEIFS('DEF_SELF_SCOUT_IMPORT'!$I$42:$I$1040,'DEF_SELF_SCOUT_IMPORT'!$L$42:$L$1040,"Y",'DEF_SELF_SCOUT_IMPORT'!$E$42:$E$1040,SUBSTITUTE(SUBSTITUTE(SUBSTITUTE($B1022,"~","~~"),"*","~*"),"?","~?"),'DEF_SELF_SCOUT_IMPORT'!$Q$42:$Q$1040,SUBSTITUTE(SUBSTITUTE(SUBSTITUTE($M1022,"~","~~"),"*","~*"),"?","~?"),'DEF_SELF_SCOUT_IMPORT'!$D$42:$D$1040,SUBSTITUTE(SUBSTITUTE(SUBSTITUTE($P1022,"~","~~"),"*","~*"),"?","~?")))</f>
        <v>0.0</v>
      </c>
      <c r="G1022" s="10">
        <f>IF($C1022=0,"",COUNTIFS('DEF_SELF_SCOUT_IMPORT'!$L$42:$L$1040,"Y",'DEF_SELF_SCOUT_IMPORT'!$E$42:$E$1040,SUBSTITUTE(SUBSTITUTE(SUBSTITUTE($B1022,"~","~~"),"*","~*"),"?","~?"),'DEF_SELF_SCOUT_IMPORT'!$Q$42:$Q$1040,SUBSTITUTE(SUBSTITUTE(SUBSTITUTE($M1022,"~","~~"),"*","~*"),"?","~?"),'DEF_SELF_SCOUT_IMPORT'!$D$42:$D$1040,SUBSTITUTE(SUBSTITUTE(SUBSTITUTE($P1022,"~","~~"),"*","~*"),"?","~?"),'DEF_SELF_SCOUT_IMPORT'!$H$42:$H$1040,"RUSH")/$C1022)</f>
        <v>0.0</v>
      </c>
      <c r="H1022" s="10">
        <f>IF($C1022=0,"",COUNTIFS('DEF_SELF_SCOUT_IMPORT'!$L$42:$L$1040,"Y",'DEF_SELF_SCOUT_IMPORT'!$E$42:$E$1040,SUBSTITUTE(SUBSTITUTE(SUBSTITUTE($B1022,"~","~~"),"*","~*"),"?","~?"),'DEF_SELF_SCOUT_IMPORT'!$Q$42:$Q$1040,SUBSTITUTE(SUBSTITUTE(SUBSTITUTE($M1022,"~","~~"),"*","~*"),"?","~?"),'DEF_SELF_SCOUT_IMPORT'!$D$42:$D$1040,SUBSTITUTE(SUBSTITUTE(SUBSTITUTE($P1022,"~","~~"),"*","~*"),"?","~?"),'DEF_SELF_SCOUT_IMPORT'!$H$42:$H$1040,"DROPBACK")/$C1022)</f>
        <v>1.0</v>
      </c>
      <c r="I1022" s="14" t="str">
        <f>IF(C1022=0,"",IF(C1022&lt;=2,"TRACK",IF(C1022=3,"LOW",IF(C1022&lt;=6,"MEDIUM","HIGH"))))</f>
        <v>TRACK</v>
      </c>
      <c r="J1022" s="11">
        <f>IF(C1022=0,"",ROUND(D1022*70+(1-E1022)*20+MAX(0,MIN(1,(10-F1022)/10))*10,1))</f>
        <v>100.0</v>
      </c>
      <c r="K1022" s="14" t="str">
        <f>IF(C1022=0,"No Evidence",IF(C1022&lt;=2,IF(E1022&gt;0,"Explosive Alert","Track Only"),IF(C1022=3,"Sample Watch",IF(E1022&gt;=START_HERE!$B$31,"Explosive Alert",IF(J1022&gt;=80,"Strong Candidate",IF(J1022&gt;=65,"Good Candidate",IF(J1022&gt;=50,"Mixed / Review","Problem Call")))))))</f>
        <v>Track Only</v>
      </c>
      <c r="L1022" s="9" t="str">
        <f>IF(COUNTIFS('DEF_SELF_SCOUT_IMPORT'!$L$42:$L$1040,"Y",'DEF_SELF_SCOUT_IMPORT'!$E$42:$E$1040,SUBSTITUTE(SUBSTITUTE(SUBSTITUTE($B1022,"~","~~"),"*","~*"),"?","~?"),'DEF_SELF_SCOUT_IMPORT'!$Q$42:$Q$1040,SUBSTITUTE(SUBSTITUTE(SUBSTITUTE($M1022,"~","~~"),"*","~*"),"?","~?"),'DEF_SELF_SCOUT_IMPORT'!$D$42:$D$1040,SUBSTITUTE(SUBSTITUTE(SUBSTITUTE($P1022,"~","~~"),"*","~*"),"?","~?"),'DEF_SELF_SCOUT_IMPORT'!$J$42:$J$1040,"")&gt;0,"Unscored clean outcome; review result tags before using score.",IF(C1022=0,"No matching defensive reps; film confirmation needed.",IF(K1022="Explosive Alert","Explosive risk; review clips before using as answer.",IF(C1022&lt;=2,"Track only; not enough sample.",IF(C1022=3,IF(E1022&gt;0,"Sample watch with explosive exposure; review clips and build the sample.",IF(J1022&gt;=65,"Good signal, but sample is limited.","Sample watch; review clips and build the sample.")),IF(K1022="Problem Call","Problem area; practice or call-sheet review.",IF(K1022="Strong Candidate","Strong call-fit candidate; confirm on film.",IF(K1022="Good Candidate","Good call-fit signal; confirm on film.","Mixed signal; review fit and execution on film."))))))))</f>
        <v>Track only; not enough sample.</v>
      </c>
      <c r="M1022" s="8" t="s">
        <v>115</v>
      </c>
      <c r="N1022" s="8"/>
      <c r="O1022" s="8"/>
      <c r="P1022" s="8" t="s">
        <v>446</v>
      </c>
      <c r="Q1022" s="8"/>
      <c r="R1022" s="8" t="s">
        <v>429</v>
      </c>
      <c r="S1022" s="2" t="s">
        <v>597</v>
      </c>
      <c r="T1022" s="2">
        <f>IF(C1022=0,0,IF(C1022&gt;=CALL_LOOKUP_BOARD!$B$7,IF(OR(K1022="Problem Call",K1022="Explosive Alert"),10000000,20000000),0)+IF(C1022&gt;=CALL_LOOKUP_BOARD!$B$7,J1022*1000+MIN(C1022,999),C1022*1000+J1022)+0.00978800)</f>
        <v>1100.009788</v>
      </c>
      <c r="U1022" s="2">
        <f>IF(C1022=0,"",IF(COUNTIFS($S$811:$S$1055,SUBSTITUTE(SUBSTITUTE(SUBSTITUTE(S1022,"~","~~"),"*","~*"),"?","~?"),$T$811:$T$1055,"&gt;"&amp;T1022)=0,S1022,""))</f>
        <v/>
      </c>
    </row>
    <row r="1023" spans="1:21" ht="38" customHeight="1">
      <c r="A1023" s="8" t="s">
        <v>596</v>
      </c>
      <c r="B1023" s="8" t="s">
        <v>63</v>
      </c>
      <c r="C1023" s="12">
        <f>COUNTIFS('DEF_SELF_SCOUT_IMPORT'!$L$42:$L$1040,"Y",'DEF_SELF_SCOUT_IMPORT'!$E$42:$E$1040,SUBSTITUTE(SUBSTITUTE(SUBSTITUTE($B1023,"~","~~"),"*","~*"),"?","~?"),'DEF_SELF_SCOUT_IMPORT'!$Q$42:$Q$1040,SUBSTITUTE(SUBSTITUTE(SUBSTITUTE($M1023,"~","~~"),"*","~*"),"?","~?"),'DEF_SELF_SCOUT_IMPORT'!$D$42:$D$1040,SUBSTITUTE(SUBSTITUTE(SUBSTITUTE($P1023,"~","~~"),"*","~*"),"?","~?"))</f>
        <v>1</v>
      </c>
      <c r="D1023" s="10">
        <f>IF($C1023=0,"",SUMIFS('DEF_SELF_SCOUT_IMPORT'!$J$42:$J$1040,'DEF_SELF_SCOUT_IMPORT'!$L$42:$L$1040,"Y",'DEF_SELF_SCOUT_IMPORT'!$E$42:$E$1040,SUBSTITUTE(SUBSTITUTE(SUBSTITUTE($B1023,"~","~~"),"*","~*"),"?","~?"),'DEF_SELF_SCOUT_IMPORT'!$Q$42:$Q$1040,SUBSTITUTE(SUBSTITUTE(SUBSTITUTE($M1023,"~","~~"),"*","~*"),"?","~?"),'DEF_SELF_SCOUT_IMPORT'!$D$42:$D$1040,SUBSTITUTE(SUBSTITUTE(SUBSTITUTE($P1023,"~","~~"),"*","~*"),"?","~?"))/$C1023)</f>
        <v>0.0</v>
      </c>
      <c r="E1023" s="10">
        <f>IF($C1023=0,"",SUMIFS('DEF_SELF_SCOUT_IMPORT'!$K$42:$K$1040,'DEF_SELF_SCOUT_IMPORT'!$L$42:$L$1040,"Y",'DEF_SELF_SCOUT_IMPORT'!$E$42:$E$1040,SUBSTITUTE(SUBSTITUTE(SUBSTITUTE($B1023,"~","~~"),"*","~*"),"?","~?"),'DEF_SELF_SCOUT_IMPORT'!$Q$42:$Q$1040,SUBSTITUTE(SUBSTITUTE(SUBSTITUTE($M1023,"~","~~"),"*","~*"),"?","~?"),'DEF_SELF_SCOUT_IMPORT'!$D$42:$D$1040,SUBSTITUTE(SUBSTITUTE(SUBSTITUTE($P1023,"~","~~"),"*","~*"),"?","~?"))/$C1023)</f>
        <v>1.0</v>
      </c>
      <c r="F1023" s="11">
        <f>IF($C1023=0,"",AVERAGEIFS('DEF_SELF_SCOUT_IMPORT'!$I$42:$I$1040,'DEF_SELF_SCOUT_IMPORT'!$L$42:$L$1040,"Y",'DEF_SELF_SCOUT_IMPORT'!$E$42:$E$1040,SUBSTITUTE(SUBSTITUTE(SUBSTITUTE($B1023,"~","~~"),"*","~*"),"?","~?"),'DEF_SELF_SCOUT_IMPORT'!$Q$42:$Q$1040,SUBSTITUTE(SUBSTITUTE(SUBSTITUTE($M1023,"~","~~"),"*","~*"),"?","~?"),'DEF_SELF_SCOUT_IMPORT'!$D$42:$D$1040,SUBSTITUTE(SUBSTITUTE(SUBSTITUTE($P1023,"~","~~"),"*","~*"),"?","~?")))</f>
        <v>17.0</v>
      </c>
      <c r="G1023" s="10">
        <f>IF($C1023=0,"",COUNTIFS('DEF_SELF_SCOUT_IMPORT'!$L$42:$L$1040,"Y",'DEF_SELF_SCOUT_IMPORT'!$E$42:$E$1040,SUBSTITUTE(SUBSTITUTE(SUBSTITUTE($B1023,"~","~~"),"*","~*"),"?","~?"),'DEF_SELF_SCOUT_IMPORT'!$Q$42:$Q$1040,SUBSTITUTE(SUBSTITUTE(SUBSTITUTE($M1023,"~","~~"),"*","~*"),"?","~?"),'DEF_SELF_SCOUT_IMPORT'!$D$42:$D$1040,SUBSTITUTE(SUBSTITUTE(SUBSTITUTE($P1023,"~","~~"),"*","~*"),"?","~?"),'DEF_SELF_SCOUT_IMPORT'!$H$42:$H$1040,"RUSH")/$C1023)</f>
        <v>0.0</v>
      </c>
      <c r="H1023" s="10">
        <f>IF($C1023=0,"",COUNTIFS('DEF_SELF_SCOUT_IMPORT'!$L$42:$L$1040,"Y",'DEF_SELF_SCOUT_IMPORT'!$E$42:$E$1040,SUBSTITUTE(SUBSTITUTE(SUBSTITUTE($B1023,"~","~~"),"*","~*"),"?","~?"),'DEF_SELF_SCOUT_IMPORT'!$Q$42:$Q$1040,SUBSTITUTE(SUBSTITUTE(SUBSTITUTE($M1023,"~","~~"),"*","~*"),"?","~?"),'DEF_SELF_SCOUT_IMPORT'!$D$42:$D$1040,SUBSTITUTE(SUBSTITUTE(SUBSTITUTE($P1023,"~","~~"),"*","~*"),"?","~?"),'DEF_SELF_SCOUT_IMPORT'!$H$42:$H$1040,"DROPBACK")/$C1023)</f>
        <v>1.0</v>
      </c>
      <c r="I1023" s="14" t="str">
        <f>IF(C1023=0,"",IF(C1023&lt;=2,"TRACK",IF(C1023=3,"LOW",IF(C1023&lt;=6,"MEDIUM","HIGH"))))</f>
        <v>TRACK</v>
      </c>
      <c r="J1023" s="11">
        <f>IF(C1023=0,"",ROUND(D1023*70+(1-E1023)*20+MAX(0,MIN(1,(10-F1023)/10))*10,1))</f>
        <v>0.0</v>
      </c>
      <c r="K1023" s="14" t="str">
        <f>IF(C1023=0,"No Evidence",IF(C1023&lt;=2,IF(E1023&gt;0,"Explosive Alert","Track Only"),IF(C1023=3,"Sample Watch",IF(E1023&gt;=START_HERE!$B$31,"Explosive Alert",IF(J1023&gt;=80,"Strong Candidate",IF(J1023&gt;=65,"Good Candidate",IF(J1023&gt;=50,"Mixed / Review","Problem Call")))))))</f>
        <v>Explosive Alert</v>
      </c>
      <c r="L1023" s="9" t="str">
        <f>IF(COUNTIFS('DEF_SELF_SCOUT_IMPORT'!$L$42:$L$1040,"Y",'DEF_SELF_SCOUT_IMPORT'!$E$42:$E$1040,SUBSTITUTE(SUBSTITUTE(SUBSTITUTE($B1023,"~","~~"),"*","~*"),"?","~?"),'DEF_SELF_SCOUT_IMPORT'!$Q$42:$Q$1040,SUBSTITUTE(SUBSTITUTE(SUBSTITUTE($M1023,"~","~~"),"*","~*"),"?","~?"),'DEF_SELF_SCOUT_IMPORT'!$D$42:$D$1040,SUBSTITUTE(SUBSTITUTE(SUBSTITUTE($P1023,"~","~~"),"*","~*"),"?","~?"),'DEF_SELF_SCOUT_IMPORT'!$J$42:$J$1040,"")&gt;0,"Unscored clean outcome; review result tags before using score.",IF(C1023=0,"No matching defensive reps; film confirmation needed.",IF(K1023="Explosive Alert","Explosive risk; review clips before using as answer.",IF(C1023&lt;=2,"Track only; not enough sample.",IF(C1023=3,IF(E1023&gt;0,"Sample watch with explosive exposure; review clips and build the sample.",IF(J1023&gt;=65,"Good signal, but sample is limited.","Sample watch; review clips and build the sample.")),IF(K1023="Problem Call","Problem area; practice or call-sheet review.",IF(K1023="Strong Candidate","Strong call-fit candidate; confirm on film.",IF(K1023="Good Candidate","Good call-fit signal; confirm on film.","Mixed signal; review fit and execution on film."))))))))</f>
        <v>Explosive risk; review clips before using as answer.</v>
      </c>
      <c r="M1023" s="8" t="s">
        <v>115</v>
      </c>
      <c r="N1023" s="8"/>
      <c r="O1023" s="8"/>
      <c r="P1023" s="8" t="s">
        <v>446</v>
      </c>
      <c r="Q1023" s="8"/>
      <c r="R1023" s="8" t="s">
        <v>429</v>
      </c>
      <c r="S1023" s="2" t="s">
        <v>597</v>
      </c>
      <c r="T1023" s="2">
        <f>IF(C1023=0,0,IF(C1023&gt;=CALL_LOOKUP_BOARD!$B$7,IF(OR(K1023="Problem Call",K1023="Explosive Alert"),10000000,20000000),0)+IF(C1023&gt;=CALL_LOOKUP_BOARD!$B$7,J1023*1000+MIN(C1023,999),C1023*1000+J1023)+0.00978700)</f>
        <v>1000.009787</v>
      </c>
      <c r="U1023" s="2">
        <f>IF(C1023=0,"",IF(COUNTIFS($S$811:$S$1055,SUBSTITUTE(SUBSTITUTE(SUBSTITUTE(S1023,"~","~~"),"*","~*"),"?","~?"),$T$811:$T$1055,"&gt;"&amp;T1023)=0,S1023,""))</f>
        <v/>
      </c>
    </row>
    <row r="1024" spans="1:21" ht="38" customHeight="1">
      <c r="A1024" s="8" t="s">
        <v>598</v>
      </c>
      <c r="B1024" s="8" t="s">
        <v>117</v>
      </c>
      <c r="C1024" s="12">
        <f>COUNTIFS('DEF_SELF_SCOUT_IMPORT'!$L$42:$L$1040,"Y",'DEF_SELF_SCOUT_IMPORT'!$E$42:$E$1040,SUBSTITUTE(SUBSTITUTE(SUBSTITUTE($B1024,"~","~~"),"*","~*"),"?","~?"),'DEF_SELF_SCOUT_IMPORT'!$Q$42:$Q$1040,SUBSTITUTE(SUBSTITUTE(SUBSTITUTE($M1024,"~","~~"),"*","~*"),"?","~?"),'DEF_SELF_SCOUT_IMPORT'!$D$42:$D$1040,SUBSTITUTE(SUBSTITUTE(SUBSTITUTE($P1024,"~","~~"),"*","~*"),"?","~?"))</f>
        <v>1</v>
      </c>
      <c r="D1024" s="10">
        <f>IF($C1024=0,"",SUMIFS('DEF_SELF_SCOUT_IMPORT'!$J$42:$J$1040,'DEF_SELF_SCOUT_IMPORT'!$L$42:$L$1040,"Y",'DEF_SELF_SCOUT_IMPORT'!$E$42:$E$1040,SUBSTITUTE(SUBSTITUTE(SUBSTITUTE($B1024,"~","~~"),"*","~*"),"?","~?"),'DEF_SELF_SCOUT_IMPORT'!$Q$42:$Q$1040,SUBSTITUTE(SUBSTITUTE(SUBSTITUTE($M1024,"~","~~"),"*","~*"),"?","~?"),'DEF_SELF_SCOUT_IMPORT'!$D$42:$D$1040,SUBSTITUTE(SUBSTITUTE(SUBSTITUTE($P1024,"~","~~"),"*","~*"),"?","~?"))/$C1024)</f>
        <v>0.0</v>
      </c>
      <c r="E1024" s="10">
        <f>IF($C1024=0,"",SUMIFS('DEF_SELF_SCOUT_IMPORT'!$K$42:$K$1040,'DEF_SELF_SCOUT_IMPORT'!$L$42:$L$1040,"Y",'DEF_SELF_SCOUT_IMPORT'!$E$42:$E$1040,SUBSTITUTE(SUBSTITUTE(SUBSTITUTE($B1024,"~","~~"),"*","~*"),"?","~?"),'DEF_SELF_SCOUT_IMPORT'!$Q$42:$Q$1040,SUBSTITUTE(SUBSTITUTE(SUBSTITUTE($M1024,"~","~~"),"*","~*"),"?","~?"),'DEF_SELF_SCOUT_IMPORT'!$D$42:$D$1040,SUBSTITUTE(SUBSTITUTE(SUBSTITUTE($P1024,"~","~~"),"*","~*"),"?","~?"))/$C1024)</f>
        <v>1.0</v>
      </c>
      <c r="F1024" s="11">
        <f>IF($C1024=0,"",AVERAGEIFS('DEF_SELF_SCOUT_IMPORT'!$I$42:$I$1040,'DEF_SELF_SCOUT_IMPORT'!$L$42:$L$1040,"Y",'DEF_SELF_SCOUT_IMPORT'!$E$42:$E$1040,SUBSTITUTE(SUBSTITUTE(SUBSTITUTE($B1024,"~","~~"),"*","~*"),"?","~?"),'DEF_SELF_SCOUT_IMPORT'!$Q$42:$Q$1040,SUBSTITUTE(SUBSTITUTE(SUBSTITUTE($M1024,"~","~~"),"*","~*"),"?","~?"),'DEF_SELF_SCOUT_IMPORT'!$D$42:$D$1040,SUBSTITUTE(SUBSTITUTE(SUBSTITUTE($P1024,"~","~~"),"*","~*"),"?","~?")))</f>
        <v>16.0</v>
      </c>
      <c r="G1024" s="10">
        <f>IF($C1024=0,"",COUNTIFS('DEF_SELF_SCOUT_IMPORT'!$L$42:$L$1040,"Y",'DEF_SELF_SCOUT_IMPORT'!$E$42:$E$1040,SUBSTITUTE(SUBSTITUTE(SUBSTITUTE($B1024,"~","~~"),"*","~*"),"?","~?"),'DEF_SELF_SCOUT_IMPORT'!$Q$42:$Q$1040,SUBSTITUTE(SUBSTITUTE(SUBSTITUTE($M1024,"~","~~"),"*","~*"),"?","~?"),'DEF_SELF_SCOUT_IMPORT'!$D$42:$D$1040,SUBSTITUTE(SUBSTITUTE(SUBSTITUTE($P1024,"~","~~"),"*","~*"),"?","~?"),'DEF_SELF_SCOUT_IMPORT'!$H$42:$H$1040,"RUSH")/$C1024)</f>
        <v>0.0</v>
      </c>
      <c r="H1024" s="10">
        <f>IF($C1024=0,"",COUNTIFS('DEF_SELF_SCOUT_IMPORT'!$L$42:$L$1040,"Y",'DEF_SELF_SCOUT_IMPORT'!$E$42:$E$1040,SUBSTITUTE(SUBSTITUTE(SUBSTITUTE($B1024,"~","~~"),"*","~*"),"?","~?"),'DEF_SELF_SCOUT_IMPORT'!$Q$42:$Q$1040,SUBSTITUTE(SUBSTITUTE(SUBSTITUTE($M1024,"~","~~"),"*","~*"),"?","~?"),'DEF_SELF_SCOUT_IMPORT'!$D$42:$D$1040,SUBSTITUTE(SUBSTITUTE(SUBSTITUTE($P1024,"~","~~"),"*","~*"),"?","~?"),'DEF_SELF_SCOUT_IMPORT'!$H$42:$H$1040,"DROPBACK")/$C1024)</f>
        <v>1.0</v>
      </c>
      <c r="I1024" s="14" t="str">
        <f>IF(C1024=0,"",IF(C1024&lt;=2,"TRACK",IF(C1024=3,"LOW",IF(C1024&lt;=6,"MEDIUM","HIGH"))))</f>
        <v>TRACK</v>
      </c>
      <c r="J1024" s="11">
        <f>IF(C1024=0,"",ROUND(D1024*70+(1-E1024)*20+MAX(0,MIN(1,(10-F1024)/10))*10,1))</f>
        <v>0.0</v>
      </c>
      <c r="K1024" s="14" t="str">
        <f>IF(C1024=0,"No Evidence",IF(C1024&lt;=2,IF(E1024&gt;0,"Explosive Alert","Track Only"),IF(C1024=3,"Sample Watch",IF(E1024&gt;=START_HERE!$B$31,"Explosive Alert",IF(J1024&gt;=80,"Strong Candidate",IF(J1024&gt;=65,"Good Candidate",IF(J1024&gt;=50,"Mixed / Review","Problem Call")))))))</f>
        <v>Explosive Alert</v>
      </c>
      <c r="L1024" s="9" t="str">
        <f>IF(COUNTIFS('DEF_SELF_SCOUT_IMPORT'!$L$42:$L$1040,"Y",'DEF_SELF_SCOUT_IMPORT'!$E$42:$E$1040,SUBSTITUTE(SUBSTITUTE(SUBSTITUTE($B1024,"~","~~"),"*","~*"),"?","~?"),'DEF_SELF_SCOUT_IMPORT'!$Q$42:$Q$1040,SUBSTITUTE(SUBSTITUTE(SUBSTITUTE($M1024,"~","~~"),"*","~*"),"?","~?"),'DEF_SELF_SCOUT_IMPORT'!$D$42:$D$1040,SUBSTITUTE(SUBSTITUTE(SUBSTITUTE($P1024,"~","~~"),"*","~*"),"?","~?"),'DEF_SELF_SCOUT_IMPORT'!$J$42:$J$1040,"")&gt;0,"Unscored clean outcome; review result tags before using score.",IF(C1024=0,"No matching defensive reps; film confirmation needed.",IF(K1024="Explosive Alert","Explosive risk; review clips before using as answer.",IF(C1024&lt;=2,"Track only; not enough sample.",IF(C1024=3,IF(E1024&gt;0,"Sample watch with explosive exposure; review clips and build the sample.",IF(J1024&gt;=65,"Good signal, but sample is limited.","Sample watch; review clips and build the sample.")),IF(K1024="Problem Call","Problem area; practice or call-sheet review.",IF(K1024="Strong Candidate","Strong call-fit candidate; confirm on film.",IF(K1024="Good Candidate","Good call-fit signal; confirm on film.","Mixed signal; review fit and execution on film."))))))))</f>
        <v>Explosive risk; review clips before using as answer.</v>
      </c>
      <c r="M1024" s="8" t="s">
        <v>115</v>
      </c>
      <c r="N1024" s="8"/>
      <c r="O1024" s="8"/>
      <c r="P1024" s="8" t="s">
        <v>449</v>
      </c>
      <c r="Q1024" s="8"/>
      <c r="R1024" s="8" t="s">
        <v>429</v>
      </c>
      <c r="S1024" s="2" t="s">
        <v>599</v>
      </c>
      <c r="T1024" s="2">
        <f>IF(C1024=0,0,IF(C1024&gt;=CALL_LOOKUP_BOARD!$B$7,IF(OR(K1024="Problem Call",K1024="Explosive Alert"),10000000,20000000),0)+IF(C1024&gt;=CALL_LOOKUP_BOARD!$B$7,J1024*1000+MIN(C1024,999),C1024*1000+J1024)+0.00978600)</f>
        <v>1000.009786</v>
      </c>
      <c r="U1024" s="2">
        <f>IF(C1024=0,"",IF(COUNTIFS($S$811:$S$1055,SUBSTITUTE(SUBSTITUTE(SUBSTITUTE(S1024,"~","~~"),"*","~*"),"?","~?"),$T$811:$T$1055,"&gt;"&amp;T1024)=0,S1024,""))</f>
        <v/>
      </c>
    </row>
    <row r="1025" spans="1:21" ht="38" customHeight="1">
      <c r="A1025" s="8" t="s">
        <v>598</v>
      </c>
      <c r="B1025" s="8" t="s">
        <v>35</v>
      </c>
      <c r="C1025" s="12">
        <f>COUNTIFS('DEF_SELF_SCOUT_IMPORT'!$L$42:$L$1040,"Y",'DEF_SELF_SCOUT_IMPORT'!$E$42:$E$1040,SUBSTITUTE(SUBSTITUTE(SUBSTITUTE($B1025,"~","~~"),"*","~*"),"?","~?"),'DEF_SELF_SCOUT_IMPORT'!$Q$42:$Q$1040,SUBSTITUTE(SUBSTITUTE(SUBSTITUTE($M1025,"~","~~"),"*","~*"),"?","~?"),'DEF_SELF_SCOUT_IMPORT'!$D$42:$D$1040,SUBSTITUTE(SUBSTITUTE(SUBSTITUTE($P1025,"~","~~"),"*","~*"),"?","~?"))</f>
        <v>1</v>
      </c>
      <c r="D1025" s="10">
        <f>IF($C1025=0,"",SUMIFS('DEF_SELF_SCOUT_IMPORT'!$J$42:$J$1040,'DEF_SELF_SCOUT_IMPORT'!$L$42:$L$1040,"Y",'DEF_SELF_SCOUT_IMPORT'!$E$42:$E$1040,SUBSTITUTE(SUBSTITUTE(SUBSTITUTE($B1025,"~","~~"),"*","~*"),"?","~?"),'DEF_SELF_SCOUT_IMPORT'!$Q$42:$Q$1040,SUBSTITUTE(SUBSTITUTE(SUBSTITUTE($M1025,"~","~~"),"*","~*"),"?","~?"),'DEF_SELF_SCOUT_IMPORT'!$D$42:$D$1040,SUBSTITUTE(SUBSTITUTE(SUBSTITUTE($P1025,"~","~~"),"*","~*"),"?","~?"))/$C1025)</f>
        <v>1.0</v>
      </c>
      <c r="E1025" s="10">
        <f>IF($C1025=0,"",SUMIFS('DEF_SELF_SCOUT_IMPORT'!$K$42:$K$1040,'DEF_SELF_SCOUT_IMPORT'!$L$42:$L$1040,"Y",'DEF_SELF_SCOUT_IMPORT'!$E$42:$E$1040,SUBSTITUTE(SUBSTITUTE(SUBSTITUTE($B1025,"~","~~"),"*","~*"),"?","~?"),'DEF_SELF_SCOUT_IMPORT'!$Q$42:$Q$1040,SUBSTITUTE(SUBSTITUTE(SUBSTITUTE($M1025,"~","~~"),"*","~*"),"?","~?"),'DEF_SELF_SCOUT_IMPORT'!$D$42:$D$1040,SUBSTITUTE(SUBSTITUTE(SUBSTITUTE($P1025,"~","~~"),"*","~*"),"?","~?"))/$C1025)</f>
        <v>0.0</v>
      </c>
      <c r="F1025" s="11">
        <f>IF($C1025=0,"",AVERAGEIFS('DEF_SELF_SCOUT_IMPORT'!$I$42:$I$1040,'DEF_SELF_SCOUT_IMPORT'!$L$42:$L$1040,"Y",'DEF_SELF_SCOUT_IMPORT'!$E$42:$E$1040,SUBSTITUTE(SUBSTITUTE(SUBSTITUTE($B1025,"~","~~"),"*","~*"),"?","~?"),'DEF_SELF_SCOUT_IMPORT'!$Q$42:$Q$1040,SUBSTITUTE(SUBSTITUTE(SUBSTITUTE($M1025,"~","~~"),"*","~*"),"?","~?"),'DEF_SELF_SCOUT_IMPORT'!$D$42:$D$1040,SUBSTITUTE(SUBSTITUTE(SUBSTITUTE($P1025,"~","~~"),"*","~*"),"?","~?")))</f>
        <v>2.0</v>
      </c>
      <c r="G1025" s="10">
        <f>IF($C1025=0,"",COUNTIFS('DEF_SELF_SCOUT_IMPORT'!$L$42:$L$1040,"Y",'DEF_SELF_SCOUT_IMPORT'!$E$42:$E$1040,SUBSTITUTE(SUBSTITUTE(SUBSTITUTE($B1025,"~","~~"),"*","~*"),"?","~?"),'DEF_SELF_SCOUT_IMPORT'!$Q$42:$Q$1040,SUBSTITUTE(SUBSTITUTE(SUBSTITUTE($M1025,"~","~~"),"*","~*"),"?","~?"),'DEF_SELF_SCOUT_IMPORT'!$D$42:$D$1040,SUBSTITUTE(SUBSTITUTE(SUBSTITUTE($P1025,"~","~~"),"*","~*"),"?","~?"),'DEF_SELF_SCOUT_IMPORT'!$H$42:$H$1040,"RUSH")/$C1025)</f>
        <v>0.0</v>
      </c>
      <c r="H1025" s="10">
        <f>IF($C1025=0,"",COUNTIFS('DEF_SELF_SCOUT_IMPORT'!$L$42:$L$1040,"Y",'DEF_SELF_SCOUT_IMPORT'!$E$42:$E$1040,SUBSTITUTE(SUBSTITUTE(SUBSTITUTE($B1025,"~","~~"),"*","~*"),"?","~?"),'DEF_SELF_SCOUT_IMPORT'!$Q$42:$Q$1040,SUBSTITUTE(SUBSTITUTE(SUBSTITUTE($M1025,"~","~~"),"*","~*"),"?","~?"),'DEF_SELF_SCOUT_IMPORT'!$D$42:$D$1040,SUBSTITUTE(SUBSTITUTE(SUBSTITUTE($P1025,"~","~~"),"*","~*"),"?","~?"),'DEF_SELF_SCOUT_IMPORT'!$H$42:$H$1040,"DROPBACK")/$C1025)</f>
        <v>1.0</v>
      </c>
      <c r="I1025" s="14" t="str">
        <f>IF(C1025=0,"",IF(C1025&lt;=2,"TRACK",IF(C1025=3,"LOW",IF(C1025&lt;=6,"MEDIUM","HIGH"))))</f>
        <v>TRACK</v>
      </c>
      <c r="J1025" s="11">
        <f>IF(C1025=0,"",ROUND(D1025*70+(1-E1025)*20+MAX(0,MIN(1,(10-F1025)/10))*10,1))</f>
        <v>98.0</v>
      </c>
      <c r="K1025" s="14" t="str">
        <f>IF(C1025=0,"No Evidence",IF(C1025&lt;=2,IF(E1025&gt;0,"Explosive Alert","Track Only"),IF(C1025=3,"Sample Watch",IF(E1025&gt;=START_HERE!$B$31,"Explosive Alert",IF(J1025&gt;=80,"Strong Candidate",IF(J1025&gt;=65,"Good Candidate",IF(J1025&gt;=50,"Mixed / Review","Problem Call")))))))</f>
        <v>Track Only</v>
      </c>
      <c r="L1025" s="9" t="str">
        <f>IF(COUNTIFS('DEF_SELF_SCOUT_IMPORT'!$L$42:$L$1040,"Y",'DEF_SELF_SCOUT_IMPORT'!$E$42:$E$1040,SUBSTITUTE(SUBSTITUTE(SUBSTITUTE($B1025,"~","~~"),"*","~*"),"?","~?"),'DEF_SELF_SCOUT_IMPORT'!$Q$42:$Q$1040,SUBSTITUTE(SUBSTITUTE(SUBSTITUTE($M1025,"~","~~"),"*","~*"),"?","~?"),'DEF_SELF_SCOUT_IMPORT'!$D$42:$D$1040,SUBSTITUTE(SUBSTITUTE(SUBSTITUTE($P1025,"~","~~"),"*","~*"),"?","~?"),'DEF_SELF_SCOUT_IMPORT'!$J$42:$J$1040,"")&gt;0,"Unscored clean outcome; review result tags before using score.",IF(C1025=0,"No matching defensive reps; film confirmation needed.",IF(K1025="Explosive Alert","Explosive risk; review clips before using as answer.",IF(C1025&lt;=2,"Track only; not enough sample.",IF(C1025=3,IF(E1025&gt;0,"Sample watch with explosive exposure; review clips and build the sample.",IF(J1025&gt;=65,"Good signal, but sample is limited.","Sample watch; review clips and build the sample.")),IF(K1025="Problem Call","Problem area; practice or call-sheet review.",IF(K1025="Strong Candidate","Strong call-fit candidate; confirm on film.",IF(K1025="Good Candidate","Good call-fit signal; confirm on film.","Mixed signal; review fit and execution on film."))))))))</f>
        <v>Track only; not enough sample.</v>
      </c>
      <c r="M1025" s="8" t="s">
        <v>115</v>
      </c>
      <c r="N1025" s="8"/>
      <c r="O1025" s="8"/>
      <c r="P1025" s="8" t="s">
        <v>449</v>
      </c>
      <c r="Q1025" s="8"/>
      <c r="R1025" s="8" t="s">
        <v>429</v>
      </c>
      <c r="S1025" s="2" t="s">
        <v>599</v>
      </c>
      <c r="T1025" s="2">
        <f>IF(C1025=0,0,IF(C1025&gt;=CALL_LOOKUP_BOARD!$B$7,IF(OR(K1025="Problem Call",K1025="Explosive Alert"),10000000,20000000),0)+IF(C1025&gt;=CALL_LOOKUP_BOARD!$B$7,J1025*1000+MIN(C1025,999),C1025*1000+J1025)+0.00978500)</f>
        <v>1098.009785</v>
      </c>
      <c r="U1025" s="2" t="str">
        <f>IF(C1025=0,"",IF(COUNTIFS($S$811:$S$1055,SUBSTITUTE(SUBSTITUTE(SUBSTITUTE(S1025,"~","~~"),"*","~*"),"?","~?"),$T$811:$T$1055,"&gt;"&amp;T1025)=0,S1025,""))</f>
        <v>4:P&amp;10|6:5 STEP|</v>
      </c>
    </row>
    <row r="1026" spans="1:21" ht="38" customHeight="1">
      <c r="A1026" s="8" t="s">
        <v>598</v>
      </c>
      <c r="B1026" s="8" t="s">
        <v>63</v>
      </c>
      <c r="C1026" s="12">
        <f>COUNTIFS('DEF_SELF_SCOUT_IMPORT'!$L$42:$L$1040,"Y",'DEF_SELF_SCOUT_IMPORT'!$E$42:$E$1040,SUBSTITUTE(SUBSTITUTE(SUBSTITUTE($B1026,"~","~~"),"*","~*"),"?","~?"),'DEF_SELF_SCOUT_IMPORT'!$Q$42:$Q$1040,SUBSTITUTE(SUBSTITUTE(SUBSTITUTE($M1026,"~","~~"),"*","~*"),"?","~?"),'DEF_SELF_SCOUT_IMPORT'!$D$42:$D$1040,SUBSTITUTE(SUBSTITUTE(SUBSTITUTE($P1026,"~","~~"),"*","~*"),"?","~?"))</f>
        <v>1</v>
      </c>
      <c r="D1026" s="10">
        <f>IF($C1026=0,"",SUMIFS('DEF_SELF_SCOUT_IMPORT'!$J$42:$J$1040,'DEF_SELF_SCOUT_IMPORT'!$L$42:$L$1040,"Y",'DEF_SELF_SCOUT_IMPORT'!$E$42:$E$1040,SUBSTITUTE(SUBSTITUTE(SUBSTITUTE($B1026,"~","~~"),"*","~*"),"?","~?"),'DEF_SELF_SCOUT_IMPORT'!$Q$42:$Q$1040,SUBSTITUTE(SUBSTITUTE(SUBSTITUTE($M1026,"~","~~"),"*","~*"),"?","~?"),'DEF_SELF_SCOUT_IMPORT'!$D$42:$D$1040,SUBSTITUTE(SUBSTITUTE(SUBSTITUTE($P1026,"~","~~"),"*","~*"),"?","~?"))/$C1026)</f>
        <v>1.0</v>
      </c>
      <c r="E1026" s="10">
        <f>IF($C1026=0,"",SUMIFS('DEF_SELF_SCOUT_IMPORT'!$K$42:$K$1040,'DEF_SELF_SCOUT_IMPORT'!$L$42:$L$1040,"Y",'DEF_SELF_SCOUT_IMPORT'!$E$42:$E$1040,SUBSTITUTE(SUBSTITUTE(SUBSTITUTE($B1026,"~","~~"),"*","~*"),"?","~?"),'DEF_SELF_SCOUT_IMPORT'!$Q$42:$Q$1040,SUBSTITUTE(SUBSTITUTE(SUBSTITUTE($M1026,"~","~~"),"*","~*"),"?","~?"),'DEF_SELF_SCOUT_IMPORT'!$D$42:$D$1040,SUBSTITUTE(SUBSTITUTE(SUBSTITUTE($P1026,"~","~~"),"*","~*"),"?","~?"))/$C1026)</f>
        <v>0.0</v>
      </c>
      <c r="F1026" s="11">
        <f>IF($C1026=0,"",AVERAGEIFS('DEF_SELF_SCOUT_IMPORT'!$I$42:$I$1040,'DEF_SELF_SCOUT_IMPORT'!$L$42:$L$1040,"Y",'DEF_SELF_SCOUT_IMPORT'!$E$42:$E$1040,SUBSTITUTE(SUBSTITUTE(SUBSTITUTE($B1026,"~","~~"),"*","~*"),"?","~?"),'DEF_SELF_SCOUT_IMPORT'!$Q$42:$Q$1040,SUBSTITUTE(SUBSTITUTE(SUBSTITUTE($M1026,"~","~~"),"*","~*"),"?","~?"),'DEF_SELF_SCOUT_IMPORT'!$D$42:$D$1040,SUBSTITUTE(SUBSTITUTE(SUBSTITUTE($P1026,"~","~~"),"*","~*"),"?","~?")))</f>
        <v>3.0</v>
      </c>
      <c r="G1026" s="10">
        <f>IF($C1026=0,"",COUNTIFS('DEF_SELF_SCOUT_IMPORT'!$L$42:$L$1040,"Y",'DEF_SELF_SCOUT_IMPORT'!$E$42:$E$1040,SUBSTITUTE(SUBSTITUTE(SUBSTITUTE($B1026,"~","~~"),"*","~*"),"?","~?"),'DEF_SELF_SCOUT_IMPORT'!$Q$42:$Q$1040,SUBSTITUTE(SUBSTITUTE(SUBSTITUTE($M1026,"~","~~"),"*","~*"),"?","~?"),'DEF_SELF_SCOUT_IMPORT'!$D$42:$D$1040,SUBSTITUTE(SUBSTITUTE(SUBSTITUTE($P1026,"~","~~"),"*","~*"),"?","~?"),'DEF_SELF_SCOUT_IMPORT'!$H$42:$H$1040,"RUSH")/$C1026)</f>
        <v>0.0</v>
      </c>
      <c r="H1026" s="10">
        <f>IF($C1026=0,"",COUNTIFS('DEF_SELF_SCOUT_IMPORT'!$L$42:$L$1040,"Y",'DEF_SELF_SCOUT_IMPORT'!$E$42:$E$1040,SUBSTITUTE(SUBSTITUTE(SUBSTITUTE($B1026,"~","~~"),"*","~*"),"?","~?"),'DEF_SELF_SCOUT_IMPORT'!$Q$42:$Q$1040,SUBSTITUTE(SUBSTITUTE(SUBSTITUTE($M1026,"~","~~"),"*","~*"),"?","~?"),'DEF_SELF_SCOUT_IMPORT'!$D$42:$D$1040,SUBSTITUTE(SUBSTITUTE(SUBSTITUTE($P1026,"~","~~"),"*","~*"),"?","~?"),'DEF_SELF_SCOUT_IMPORT'!$H$42:$H$1040,"DROPBACK")/$C1026)</f>
        <v>1.0</v>
      </c>
      <c r="I1026" s="14" t="str">
        <f>IF(C1026=0,"",IF(C1026&lt;=2,"TRACK",IF(C1026=3,"LOW",IF(C1026&lt;=6,"MEDIUM","HIGH"))))</f>
        <v>TRACK</v>
      </c>
      <c r="J1026" s="11">
        <f>IF(C1026=0,"",ROUND(D1026*70+(1-E1026)*20+MAX(0,MIN(1,(10-F1026)/10))*10,1))</f>
        <v>97.0</v>
      </c>
      <c r="K1026" s="14" t="str">
        <f>IF(C1026=0,"No Evidence",IF(C1026&lt;=2,IF(E1026&gt;0,"Explosive Alert","Track Only"),IF(C1026=3,"Sample Watch",IF(E1026&gt;=START_HERE!$B$31,"Explosive Alert",IF(J1026&gt;=80,"Strong Candidate",IF(J1026&gt;=65,"Good Candidate",IF(J1026&gt;=50,"Mixed / Review","Problem Call")))))))</f>
        <v>Track Only</v>
      </c>
      <c r="L1026" s="9" t="str">
        <f>IF(COUNTIFS('DEF_SELF_SCOUT_IMPORT'!$L$42:$L$1040,"Y",'DEF_SELF_SCOUT_IMPORT'!$E$42:$E$1040,SUBSTITUTE(SUBSTITUTE(SUBSTITUTE($B1026,"~","~~"),"*","~*"),"?","~?"),'DEF_SELF_SCOUT_IMPORT'!$Q$42:$Q$1040,SUBSTITUTE(SUBSTITUTE(SUBSTITUTE($M1026,"~","~~"),"*","~*"),"?","~?"),'DEF_SELF_SCOUT_IMPORT'!$D$42:$D$1040,SUBSTITUTE(SUBSTITUTE(SUBSTITUTE($P1026,"~","~~"),"*","~*"),"?","~?"),'DEF_SELF_SCOUT_IMPORT'!$J$42:$J$1040,"")&gt;0,"Unscored clean outcome; review result tags before using score.",IF(C1026=0,"No matching defensive reps; film confirmation needed.",IF(K1026="Explosive Alert","Explosive risk; review clips before using as answer.",IF(C1026&lt;=2,"Track only; not enough sample.",IF(C1026=3,IF(E1026&gt;0,"Sample watch with explosive exposure; review clips and build the sample.",IF(J1026&gt;=65,"Good signal, but sample is limited.","Sample watch; review clips and build the sample.")),IF(K1026="Problem Call","Problem area; practice or call-sheet review.",IF(K1026="Strong Candidate","Strong call-fit candidate; confirm on film.",IF(K1026="Good Candidate","Good call-fit signal; confirm on film.","Mixed signal; review fit and execution on film."))))))))</f>
        <v>Track only; not enough sample.</v>
      </c>
      <c r="M1026" s="8" t="s">
        <v>115</v>
      </c>
      <c r="N1026" s="8"/>
      <c r="O1026" s="8"/>
      <c r="P1026" s="8" t="s">
        <v>449</v>
      </c>
      <c r="Q1026" s="8"/>
      <c r="R1026" s="8" t="s">
        <v>429</v>
      </c>
      <c r="S1026" s="2" t="s">
        <v>599</v>
      </c>
      <c r="T1026" s="2">
        <f>IF(C1026=0,0,IF(C1026&gt;=CALL_LOOKUP_BOARD!$B$7,IF(OR(K1026="Problem Call",K1026="Explosive Alert"),10000000,20000000),0)+IF(C1026&gt;=CALL_LOOKUP_BOARD!$B$7,J1026*1000+MIN(C1026,999),C1026*1000+J1026)+0.00978400)</f>
        <v>1097.009784</v>
      </c>
      <c r="U1026" s="2">
        <f>IF(C1026=0,"",IF(COUNTIFS($S$811:$S$1055,SUBSTITUTE(SUBSTITUTE(SUBSTITUTE(S1026,"~","~~"),"*","~*"),"?","~?"),$T$811:$T$1055,"&gt;"&amp;T1026)=0,S1026,""))</f>
        <v/>
      </c>
    </row>
    <row r="1027" spans="1:21" ht="38" customHeight="1">
      <c r="A1027" s="8" t="s">
        <v>600</v>
      </c>
      <c r="B1027" s="8" t="s">
        <v>68</v>
      </c>
      <c r="C1027" s="12">
        <f>COUNTIFS('DEF_SELF_SCOUT_IMPORT'!$L$42:$L$1040,"Y",'DEF_SELF_SCOUT_IMPORT'!$E$42:$E$1040,SUBSTITUTE(SUBSTITUTE(SUBSTITUTE($B1027,"~","~~"),"*","~*"),"?","~?"),'DEF_SELF_SCOUT_IMPORT'!$Q$42:$Q$1040,SUBSTITUTE(SUBSTITUTE(SUBSTITUTE($M1027,"~","~~"),"*","~*"),"?","~?"),'DEF_SELF_SCOUT_IMPORT'!$D$42:$D$1040,SUBSTITUTE(SUBSTITUTE(SUBSTITUTE($P1027,"~","~~"),"*","~*"),"?","~?"))</f>
        <v>1</v>
      </c>
      <c r="D1027" s="10">
        <f>IF($C1027=0,"",SUMIFS('DEF_SELF_SCOUT_IMPORT'!$J$42:$J$1040,'DEF_SELF_SCOUT_IMPORT'!$L$42:$L$1040,"Y",'DEF_SELF_SCOUT_IMPORT'!$E$42:$E$1040,SUBSTITUTE(SUBSTITUTE(SUBSTITUTE($B1027,"~","~~"),"*","~*"),"?","~?"),'DEF_SELF_SCOUT_IMPORT'!$Q$42:$Q$1040,SUBSTITUTE(SUBSTITUTE(SUBSTITUTE($M1027,"~","~~"),"*","~*"),"?","~?"),'DEF_SELF_SCOUT_IMPORT'!$D$42:$D$1040,SUBSTITUTE(SUBSTITUTE(SUBSTITUTE($P1027,"~","~~"),"*","~*"),"?","~?"))/$C1027)</f>
        <v>1.0</v>
      </c>
      <c r="E1027" s="10">
        <f>IF($C1027=0,"",SUMIFS('DEF_SELF_SCOUT_IMPORT'!$K$42:$K$1040,'DEF_SELF_SCOUT_IMPORT'!$L$42:$L$1040,"Y",'DEF_SELF_SCOUT_IMPORT'!$E$42:$E$1040,SUBSTITUTE(SUBSTITUTE(SUBSTITUTE($B1027,"~","~~"),"*","~*"),"?","~?"),'DEF_SELF_SCOUT_IMPORT'!$Q$42:$Q$1040,SUBSTITUTE(SUBSTITUTE(SUBSTITUTE($M1027,"~","~~"),"*","~*"),"?","~?"),'DEF_SELF_SCOUT_IMPORT'!$D$42:$D$1040,SUBSTITUTE(SUBSTITUTE(SUBSTITUTE($P1027,"~","~~"),"*","~*"),"?","~?"))/$C1027)</f>
        <v>0.0</v>
      </c>
      <c r="F1027" s="11">
        <f>IF($C1027=0,"",AVERAGEIFS('DEF_SELF_SCOUT_IMPORT'!$I$42:$I$1040,'DEF_SELF_SCOUT_IMPORT'!$L$42:$L$1040,"Y",'DEF_SELF_SCOUT_IMPORT'!$E$42:$E$1040,SUBSTITUTE(SUBSTITUTE(SUBSTITUTE($B1027,"~","~~"),"*","~*"),"?","~?"),'DEF_SELF_SCOUT_IMPORT'!$Q$42:$Q$1040,SUBSTITUTE(SUBSTITUTE(SUBSTITUTE($M1027,"~","~~"),"*","~*"),"?","~?"),'DEF_SELF_SCOUT_IMPORT'!$D$42:$D$1040,SUBSTITUTE(SUBSTITUTE(SUBSTITUTE($P1027,"~","~~"),"*","~*"),"?","~?")))</f>
        <v>-10.0</v>
      </c>
      <c r="G1027" s="10">
        <f>IF($C1027=0,"",COUNTIFS('DEF_SELF_SCOUT_IMPORT'!$L$42:$L$1040,"Y",'DEF_SELF_SCOUT_IMPORT'!$E$42:$E$1040,SUBSTITUTE(SUBSTITUTE(SUBSTITUTE($B1027,"~","~~"),"*","~*"),"?","~?"),'DEF_SELF_SCOUT_IMPORT'!$Q$42:$Q$1040,SUBSTITUTE(SUBSTITUTE(SUBSTITUTE($M1027,"~","~~"),"*","~*"),"?","~?"),'DEF_SELF_SCOUT_IMPORT'!$D$42:$D$1040,SUBSTITUTE(SUBSTITUTE(SUBSTITUTE($P1027,"~","~~"),"*","~*"),"?","~?"),'DEF_SELF_SCOUT_IMPORT'!$H$42:$H$1040,"RUSH")/$C1027)</f>
        <v>0.0</v>
      </c>
      <c r="H1027" s="10">
        <f>IF($C1027=0,"",COUNTIFS('DEF_SELF_SCOUT_IMPORT'!$L$42:$L$1040,"Y",'DEF_SELF_SCOUT_IMPORT'!$E$42:$E$1040,SUBSTITUTE(SUBSTITUTE(SUBSTITUTE($B1027,"~","~~"),"*","~*"),"?","~?"),'DEF_SELF_SCOUT_IMPORT'!$Q$42:$Q$1040,SUBSTITUTE(SUBSTITUTE(SUBSTITUTE($M1027,"~","~~"),"*","~*"),"?","~?"),'DEF_SELF_SCOUT_IMPORT'!$D$42:$D$1040,SUBSTITUTE(SUBSTITUTE(SUBSTITUTE($P1027,"~","~~"),"*","~*"),"?","~?"),'DEF_SELF_SCOUT_IMPORT'!$H$42:$H$1040,"DROPBACK")/$C1027)</f>
        <v>1.0</v>
      </c>
      <c r="I1027" s="14" t="str">
        <f>IF(C1027=0,"",IF(C1027&lt;=2,"TRACK",IF(C1027=3,"LOW",IF(C1027&lt;=6,"MEDIUM","HIGH"))))</f>
        <v>TRACK</v>
      </c>
      <c r="J1027" s="11">
        <f>IF(C1027=0,"",ROUND(D1027*70+(1-E1027)*20+MAX(0,MIN(1,(10-F1027)/10))*10,1))</f>
        <v>100.0</v>
      </c>
      <c r="K1027" s="14" t="str">
        <f>IF(C1027=0,"No Evidence",IF(C1027&lt;=2,IF(E1027&gt;0,"Explosive Alert","Track Only"),IF(C1027=3,"Sample Watch",IF(E1027&gt;=START_HERE!$B$31,"Explosive Alert",IF(J1027&gt;=80,"Strong Candidate",IF(J1027&gt;=65,"Good Candidate",IF(J1027&gt;=50,"Mixed / Review","Problem Call")))))))</f>
        <v>Track Only</v>
      </c>
      <c r="L1027" s="9" t="str">
        <f>IF(COUNTIFS('DEF_SELF_SCOUT_IMPORT'!$L$42:$L$1040,"Y",'DEF_SELF_SCOUT_IMPORT'!$E$42:$E$1040,SUBSTITUTE(SUBSTITUTE(SUBSTITUTE($B1027,"~","~~"),"*","~*"),"?","~?"),'DEF_SELF_SCOUT_IMPORT'!$Q$42:$Q$1040,SUBSTITUTE(SUBSTITUTE(SUBSTITUTE($M1027,"~","~~"),"*","~*"),"?","~?"),'DEF_SELF_SCOUT_IMPORT'!$D$42:$D$1040,SUBSTITUTE(SUBSTITUTE(SUBSTITUTE($P1027,"~","~~"),"*","~*"),"?","~?"),'DEF_SELF_SCOUT_IMPORT'!$J$42:$J$1040,"")&gt;0,"Unscored clean outcome; review result tags before using score.",IF(C1027=0,"No matching defensive reps; film confirmation needed.",IF(K1027="Explosive Alert","Explosive risk; review clips before using as answer.",IF(C1027&lt;=2,"Track only; not enough sample.",IF(C1027=3,IF(E1027&gt;0,"Sample watch with explosive exposure; review clips and build the sample.",IF(J1027&gt;=65,"Good signal, but sample is limited.","Sample watch; review clips and build the sample.")),IF(K1027="Problem Call","Problem area; practice or call-sheet review.",IF(K1027="Strong Candidate","Strong call-fit candidate; confirm on film.",IF(K1027="Good Candidate","Good call-fit signal; confirm on film.","Mixed signal; review fit and execution on film."))))))))</f>
        <v>Track only; not enough sample.</v>
      </c>
      <c r="M1027" s="8" t="s">
        <v>115</v>
      </c>
      <c r="N1027" s="8"/>
      <c r="O1027" s="8"/>
      <c r="P1027" s="8" t="s">
        <v>452</v>
      </c>
      <c r="Q1027" s="8"/>
      <c r="R1027" s="8" t="s">
        <v>429</v>
      </c>
      <c r="S1027" s="2" t="s">
        <v>601</v>
      </c>
      <c r="T1027" s="2">
        <f>IF(C1027=0,0,IF(C1027&gt;=CALL_LOOKUP_BOARD!$B$7,IF(OR(K1027="Problem Call",K1027="Explosive Alert"),10000000,20000000),0)+IF(C1027&gt;=CALL_LOOKUP_BOARD!$B$7,J1027*1000+MIN(C1027,999),C1027*1000+J1027)+0.00978300)</f>
        <v>1100.009783</v>
      </c>
      <c r="U1027" s="2" t="str">
        <f>IF(C1027=0,"",IF(COUNTIFS($S$811:$S$1055,SUBSTITUTE(SUBSTITUTE(SUBSTITUTE(S1027,"~","~~"),"*","~*"),"?","~?"),$T$811:$T$1055,"&gt;"&amp;T1027)=0,S1027,""))</f>
        <v>4:P&amp;10|4:BOOT|</v>
      </c>
    </row>
    <row r="1028" spans="1:21" ht="38" customHeight="1">
      <c r="A1028" s="8" t="s">
        <v>602</v>
      </c>
      <c r="B1028" s="8" t="s">
        <v>44</v>
      </c>
      <c r="C1028" s="12">
        <f>COUNTIFS('DEF_SELF_SCOUT_IMPORT'!$L$42:$L$1040,"Y",'DEF_SELF_SCOUT_IMPORT'!$E$42:$E$1040,SUBSTITUTE(SUBSTITUTE(SUBSTITUTE($B1028,"~","~~"),"*","~*"),"?","~?"),'DEF_SELF_SCOUT_IMPORT'!$Q$42:$Q$1040,SUBSTITUTE(SUBSTITUTE(SUBSTITUTE($M1028,"~","~~"),"*","~*"),"?","~?"),'DEF_SELF_SCOUT_IMPORT'!$D$42:$D$1040,SUBSTITUTE(SUBSTITUTE(SUBSTITUTE($P1028,"~","~~"),"*","~*"),"?","~?"))</f>
        <v>1</v>
      </c>
      <c r="D1028" s="10">
        <f>IF($C1028=0,"",SUMIFS('DEF_SELF_SCOUT_IMPORT'!$J$42:$J$1040,'DEF_SELF_SCOUT_IMPORT'!$L$42:$L$1040,"Y",'DEF_SELF_SCOUT_IMPORT'!$E$42:$E$1040,SUBSTITUTE(SUBSTITUTE(SUBSTITUTE($B1028,"~","~~"),"*","~*"),"?","~?"),'DEF_SELF_SCOUT_IMPORT'!$Q$42:$Q$1040,SUBSTITUTE(SUBSTITUTE(SUBSTITUTE($M1028,"~","~~"),"*","~*"),"?","~?"),'DEF_SELF_SCOUT_IMPORT'!$D$42:$D$1040,SUBSTITUTE(SUBSTITUTE(SUBSTITUTE($P1028,"~","~~"),"*","~*"),"?","~?"))/$C1028)</f>
        <v>0.0</v>
      </c>
      <c r="E1028" s="10">
        <f>IF($C1028=0,"",SUMIFS('DEF_SELF_SCOUT_IMPORT'!$K$42:$K$1040,'DEF_SELF_SCOUT_IMPORT'!$L$42:$L$1040,"Y",'DEF_SELF_SCOUT_IMPORT'!$E$42:$E$1040,SUBSTITUTE(SUBSTITUTE(SUBSTITUTE($B1028,"~","~~"),"*","~*"),"?","~?"),'DEF_SELF_SCOUT_IMPORT'!$Q$42:$Q$1040,SUBSTITUTE(SUBSTITUTE(SUBSTITUTE($M1028,"~","~~"),"*","~*"),"?","~?"),'DEF_SELF_SCOUT_IMPORT'!$D$42:$D$1040,SUBSTITUTE(SUBSTITUTE(SUBSTITUTE($P1028,"~","~~"),"*","~*"),"?","~?"))/$C1028)</f>
        <v>0.0</v>
      </c>
      <c r="F1028" s="11">
        <f>IF($C1028=0,"",AVERAGEIFS('DEF_SELF_SCOUT_IMPORT'!$I$42:$I$1040,'DEF_SELF_SCOUT_IMPORT'!$L$42:$L$1040,"Y",'DEF_SELF_SCOUT_IMPORT'!$E$42:$E$1040,SUBSTITUTE(SUBSTITUTE(SUBSTITUTE($B1028,"~","~~"),"*","~*"),"?","~?"),'DEF_SELF_SCOUT_IMPORT'!$Q$42:$Q$1040,SUBSTITUTE(SUBSTITUTE(SUBSTITUTE($M1028,"~","~~"),"*","~*"),"?","~?"),'DEF_SELF_SCOUT_IMPORT'!$D$42:$D$1040,SUBSTITUTE(SUBSTITUTE(SUBSTITUTE($P1028,"~","~~"),"*","~*"),"?","~?")))</f>
        <v>4.0</v>
      </c>
      <c r="G1028" s="10">
        <f>IF($C1028=0,"",COUNTIFS('DEF_SELF_SCOUT_IMPORT'!$L$42:$L$1040,"Y",'DEF_SELF_SCOUT_IMPORT'!$E$42:$E$1040,SUBSTITUTE(SUBSTITUTE(SUBSTITUTE($B1028,"~","~~"),"*","~*"),"?","~?"),'DEF_SELF_SCOUT_IMPORT'!$Q$42:$Q$1040,SUBSTITUTE(SUBSTITUTE(SUBSTITUTE($M1028,"~","~~"),"*","~*"),"?","~?"),'DEF_SELF_SCOUT_IMPORT'!$D$42:$D$1040,SUBSTITUTE(SUBSTITUTE(SUBSTITUTE($P1028,"~","~~"),"*","~*"),"?","~?"),'DEF_SELF_SCOUT_IMPORT'!$H$42:$H$1040,"RUSH")/$C1028)</f>
        <v>1.0</v>
      </c>
      <c r="H1028" s="10">
        <f>IF($C1028=0,"",COUNTIFS('DEF_SELF_SCOUT_IMPORT'!$L$42:$L$1040,"Y",'DEF_SELF_SCOUT_IMPORT'!$E$42:$E$1040,SUBSTITUTE(SUBSTITUTE(SUBSTITUTE($B1028,"~","~~"),"*","~*"),"?","~?"),'DEF_SELF_SCOUT_IMPORT'!$Q$42:$Q$1040,SUBSTITUTE(SUBSTITUTE(SUBSTITUTE($M1028,"~","~~"),"*","~*"),"?","~?"),'DEF_SELF_SCOUT_IMPORT'!$D$42:$D$1040,SUBSTITUTE(SUBSTITUTE(SUBSTITUTE($P1028,"~","~~"),"*","~*"),"?","~?"),'DEF_SELF_SCOUT_IMPORT'!$H$42:$H$1040,"DROPBACK")/$C1028)</f>
        <v>0.0</v>
      </c>
      <c r="I1028" s="14" t="str">
        <f>IF(C1028=0,"",IF(C1028&lt;=2,"TRACK",IF(C1028=3,"LOW",IF(C1028&lt;=6,"MEDIUM","HIGH"))))</f>
        <v>TRACK</v>
      </c>
      <c r="J1028" s="11">
        <f>IF(C1028=0,"",ROUND(D1028*70+(1-E1028)*20+MAX(0,MIN(1,(10-F1028)/10))*10,1))</f>
        <v>26.0</v>
      </c>
      <c r="K1028" s="14" t="str">
        <f>IF(C1028=0,"No Evidence",IF(C1028&lt;=2,IF(E1028&gt;0,"Explosive Alert","Track Only"),IF(C1028=3,"Sample Watch",IF(E1028&gt;=START_HERE!$B$31,"Explosive Alert",IF(J1028&gt;=80,"Strong Candidate",IF(J1028&gt;=65,"Good Candidate",IF(J1028&gt;=50,"Mixed / Review","Problem Call")))))))</f>
        <v>Track Only</v>
      </c>
      <c r="L1028" s="9" t="str">
        <f>IF(COUNTIFS('DEF_SELF_SCOUT_IMPORT'!$L$42:$L$1040,"Y",'DEF_SELF_SCOUT_IMPORT'!$E$42:$E$1040,SUBSTITUTE(SUBSTITUTE(SUBSTITUTE($B1028,"~","~~"),"*","~*"),"?","~?"),'DEF_SELF_SCOUT_IMPORT'!$Q$42:$Q$1040,SUBSTITUTE(SUBSTITUTE(SUBSTITUTE($M1028,"~","~~"),"*","~*"),"?","~?"),'DEF_SELF_SCOUT_IMPORT'!$D$42:$D$1040,SUBSTITUTE(SUBSTITUTE(SUBSTITUTE($P1028,"~","~~"),"*","~*"),"?","~?"),'DEF_SELF_SCOUT_IMPORT'!$J$42:$J$1040,"")&gt;0,"Unscored clean outcome; review result tags before using score.",IF(C1028=0,"No matching defensive reps; film confirmation needed.",IF(K1028="Explosive Alert","Explosive risk; review clips before using as answer.",IF(C1028&lt;=2,"Track only; not enough sample.",IF(C1028=3,IF(E1028&gt;0,"Sample watch with explosive exposure; review clips and build the sample.",IF(J1028&gt;=65,"Good signal, but sample is limited.","Sample watch; review clips and build the sample.")),IF(K1028="Problem Call","Problem area; practice or call-sheet review.",IF(K1028="Strong Candidate","Strong call-fit candidate; confirm on film.",IF(K1028="Good Candidate","Good call-fit signal; confirm on film.","Mixed signal; review fit and execution on film."))))))))</f>
        <v>Track only; not enough sample.</v>
      </c>
      <c r="M1028" s="8" t="s">
        <v>115</v>
      </c>
      <c r="N1028" s="8"/>
      <c r="O1028" s="8"/>
      <c r="P1028" s="8" t="s">
        <v>432</v>
      </c>
      <c r="Q1028" s="8"/>
      <c r="R1028" s="8" t="s">
        <v>429</v>
      </c>
      <c r="S1028" s="2" t="s">
        <v>603</v>
      </c>
      <c r="T1028" s="2">
        <f>IF(C1028=0,0,IF(C1028&gt;=CALL_LOOKUP_BOARD!$B$7,IF(OR(K1028="Problem Call",K1028="Explosive Alert"),10000000,20000000),0)+IF(C1028&gt;=CALL_LOOKUP_BOARD!$B$7,J1028*1000+MIN(C1028,999),C1028*1000+J1028)+0.00978200)</f>
        <v>1026.009782</v>
      </c>
      <c r="U1028" s="2" t="str">
        <f>IF(C1028=0,"",IF(COUNTIFS($S$811:$S$1055,SUBSTITUTE(SUBSTITUTE(SUBSTITUTE(S1028,"~","~~"),"*","~*"),"?","~?"),$T$811:$T$1055,"&gt;"&amp;T1028)=0,S1028,""))</f>
        <v>4:P&amp;10|7:COUNTER|</v>
      </c>
    </row>
    <row r="1029" spans="1:21" ht="38" customHeight="1">
      <c r="A1029" s="8" t="s">
        <v>602</v>
      </c>
      <c r="B1029" s="8" t="s">
        <v>62</v>
      </c>
      <c r="C1029" s="12">
        <f>COUNTIFS('DEF_SELF_SCOUT_IMPORT'!$L$42:$L$1040,"Y",'DEF_SELF_SCOUT_IMPORT'!$E$42:$E$1040,SUBSTITUTE(SUBSTITUTE(SUBSTITUTE($B1029,"~","~~"),"*","~*"),"?","~?"),'DEF_SELF_SCOUT_IMPORT'!$Q$42:$Q$1040,SUBSTITUTE(SUBSTITUTE(SUBSTITUTE($M1029,"~","~~"),"*","~*"),"?","~?"),'DEF_SELF_SCOUT_IMPORT'!$D$42:$D$1040,SUBSTITUTE(SUBSTITUTE(SUBSTITUTE($P1029,"~","~~"),"*","~*"),"?","~?"))</f>
        <v>1</v>
      </c>
      <c r="D1029" s="10">
        <f>IF($C1029=0,"",SUMIFS('DEF_SELF_SCOUT_IMPORT'!$J$42:$J$1040,'DEF_SELF_SCOUT_IMPORT'!$L$42:$L$1040,"Y",'DEF_SELF_SCOUT_IMPORT'!$E$42:$E$1040,SUBSTITUTE(SUBSTITUTE(SUBSTITUTE($B1029,"~","~~"),"*","~*"),"?","~?"),'DEF_SELF_SCOUT_IMPORT'!$Q$42:$Q$1040,SUBSTITUTE(SUBSTITUTE(SUBSTITUTE($M1029,"~","~~"),"*","~*"),"?","~?"),'DEF_SELF_SCOUT_IMPORT'!$D$42:$D$1040,SUBSTITUTE(SUBSTITUTE(SUBSTITUTE($P1029,"~","~~"),"*","~*"),"?","~?"))/$C1029)</f>
        <v>0.0</v>
      </c>
      <c r="E1029" s="10">
        <f>IF($C1029=0,"",SUMIFS('DEF_SELF_SCOUT_IMPORT'!$K$42:$K$1040,'DEF_SELF_SCOUT_IMPORT'!$L$42:$L$1040,"Y",'DEF_SELF_SCOUT_IMPORT'!$E$42:$E$1040,SUBSTITUTE(SUBSTITUTE(SUBSTITUTE($B1029,"~","~~"),"*","~*"),"?","~?"),'DEF_SELF_SCOUT_IMPORT'!$Q$42:$Q$1040,SUBSTITUTE(SUBSTITUTE(SUBSTITUTE($M1029,"~","~~"),"*","~*"),"?","~?"),'DEF_SELF_SCOUT_IMPORT'!$D$42:$D$1040,SUBSTITUTE(SUBSTITUTE(SUBSTITUTE($P1029,"~","~~"),"*","~*"),"?","~?"))/$C1029)</f>
        <v>1.0</v>
      </c>
      <c r="F1029" s="11">
        <f>IF($C1029=0,"",AVERAGEIFS('DEF_SELF_SCOUT_IMPORT'!$I$42:$I$1040,'DEF_SELF_SCOUT_IMPORT'!$L$42:$L$1040,"Y",'DEF_SELF_SCOUT_IMPORT'!$E$42:$E$1040,SUBSTITUTE(SUBSTITUTE(SUBSTITUTE($B1029,"~","~~"),"*","~*"),"?","~?"),'DEF_SELF_SCOUT_IMPORT'!$Q$42:$Q$1040,SUBSTITUTE(SUBSTITUTE(SUBSTITUTE($M1029,"~","~~"),"*","~*"),"?","~?"),'DEF_SELF_SCOUT_IMPORT'!$D$42:$D$1040,SUBSTITUTE(SUBSTITUTE(SUBSTITUTE($P1029,"~","~~"),"*","~*"),"?","~?")))</f>
        <v>25.0</v>
      </c>
      <c r="G1029" s="10">
        <f>IF($C1029=0,"",COUNTIFS('DEF_SELF_SCOUT_IMPORT'!$L$42:$L$1040,"Y",'DEF_SELF_SCOUT_IMPORT'!$E$42:$E$1040,SUBSTITUTE(SUBSTITUTE(SUBSTITUTE($B1029,"~","~~"),"*","~*"),"?","~?"),'DEF_SELF_SCOUT_IMPORT'!$Q$42:$Q$1040,SUBSTITUTE(SUBSTITUTE(SUBSTITUTE($M1029,"~","~~"),"*","~*"),"?","~?"),'DEF_SELF_SCOUT_IMPORT'!$D$42:$D$1040,SUBSTITUTE(SUBSTITUTE(SUBSTITUTE($P1029,"~","~~"),"*","~*"),"?","~?"),'DEF_SELF_SCOUT_IMPORT'!$H$42:$H$1040,"RUSH")/$C1029)</f>
        <v>1.0</v>
      </c>
      <c r="H1029" s="10">
        <f>IF($C1029=0,"",COUNTIFS('DEF_SELF_SCOUT_IMPORT'!$L$42:$L$1040,"Y",'DEF_SELF_SCOUT_IMPORT'!$E$42:$E$1040,SUBSTITUTE(SUBSTITUTE(SUBSTITUTE($B1029,"~","~~"),"*","~*"),"?","~?"),'DEF_SELF_SCOUT_IMPORT'!$Q$42:$Q$1040,SUBSTITUTE(SUBSTITUTE(SUBSTITUTE($M1029,"~","~~"),"*","~*"),"?","~?"),'DEF_SELF_SCOUT_IMPORT'!$D$42:$D$1040,SUBSTITUTE(SUBSTITUTE(SUBSTITUTE($P1029,"~","~~"),"*","~*"),"?","~?"),'DEF_SELF_SCOUT_IMPORT'!$H$42:$H$1040,"DROPBACK")/$C1029)</f>
        <v>0.0</v>
      </c>
      <c r="I1029" s="14" t="str">
        <f>IF(C1029=0,"",IF(C1029&lt;=2,"TRACK",IF(C1029=3,"LOW",IF(C1029&lt;=6,"MEDIUM","HIGH"))))</f>
        <v>TRACK</v>
      </c>
      <c r="J1029" s="11">
        <f>IF(C1029=0,"",ROUND(D1029*70+(1-E1029)*20+MAX(0,MIN(1,(10-F1029)/10))*10,1))</f>
        <v>0.0</v>
      </c>
      <c r="K1029" s="14" t="str">
        <f>IF(C1029=0,"No Evidence",IF(C1029&lt;=2,IF(E1029&gt;0,"Explosive Alert","Track Only"),IF(C1029=3,"Sample Watch",IF(E1029&gt;=START_HERE!$B$31,"Explosive Alert",IF(J1029&gt;=80,"Strong Candidate",IF(J1029&gt;=65,"Good Candidate",IF(J1029&gt;=50,"Mixed / Review","Problem Call")))))))</f>
        <v>Explosive Alert</v>
      </c>
      <c r="L1029" s="9" t="str">
        <f>IF(COUNTIFS('DEF_SELF_SCOUT_IMPORT'!$L$42:$L$1040,"Y",'DEF_SELF_SCOUT_IMPORT'!$E$42:$E$1040,SUBSTITUTE(SUBSTITUTE(SUBSTITUTE($B1029,"~","~~"),"*","~*"),"?","~?"),'DEF_SELF_SCOUT_IMPORT'!$Q$42:$Q$1040,SUBSTITUTE(SUBSTITUTE(SUBSTITUTE($M1029,"~","~~"),"*","~*"),"?","~?"),'DEF_SELF_SCOUT_IMPORT'!$D$42:$D$1040,SUBSTITUTE(SUBSTITUTE(SUBSTITUTE($P1029,"~","~~"),"*","~*"),"?","~?"),'DEF_SELF_SCOUT_IMPORT'!$J$42:$J$1040,"")&gt;0,"Unscored clean outcome; review result tags before using score.",IF(C1029=0,"No matching defensive reps; film confirmation needed.",IF(K1029="Explosive Alert","Explosive risk; review clips before using as answer.",IF(C1029&lt;=2,"Track only; not enough sample.",IF(C1029=3,IF(E1029&gt;0,"Sample watch with explosive exposure; review clips and build the sample.",IF(J1029&gt;=65,"Good signal, but sample is limited.","Sample watch; review clips and build the sample.")),IF(K1029="Problem Call","Problem area; practice or call-sheet review.",IF(K1029="Strong Candidate","Strong call-fit candidate; confirm on film.",IF(K1029="Good Candidate","Good call-fit signal; confirm on film.","Mixed signal; review fit and execution on film."))))))))</f>
        <v>Explosive risk; review clips before using as answer.</v>
      </c>
      <c r="M1029" s="8" t="s">
        <v>115</v>
      </c>
      <c r="N1029" s="8"/>
      <c r="O1029" s="8"/>
      <c r="P1029" s="8" t="s">
        <v>432</v>
      </c>
      <c r="Q1029" s="8"/>
      <c r="R1029" s="8" t="s">
        <v>429</v>
      </c>
      <c r="S1029" s="2" t="s">
        <v>603</v>
      </c>
      <c r="T1029" s="2">
        <f>IF(C1029=0,0,IF(C1029&gt;=CALL_LOOKUP_BOARD!$B$7,IF(OR(K1029="Problem Call",K1029="Explosive Alert"),10000000,20000000),0)+IF(C1029&gt;=CALL_LOOKUP_BOARD!$B$7,J1029*1000+MIN(C1029,999),C1029*1000+J1029)+0.00978100)</f>
        <v>1000.009781</v>
      </c>
      <c r="U1029" s="2">
        <f>IF(C1029=0,"",IF(COUNTIFS($S$811:$S$1055,SUBSTITUTE(SUBSTITUTE(SUBSTITUTE(S1029,"~","~~"),"*","~*"),"?","~?"),$T$811:$T$1055,"&gt;"&amp;T1029)=0,S1029,""))</f>
        <v/>
      </c>
    </row>
    <row r="1030" spans="1:21" ht="38" customHeight="1">
      <c r="A1030" s="8" t="s">
        <v>602</v>
      </c>
      <c r="B1030" s="8" t="s">
        <v>63</v>
      </c>
      <c r="C1030" s="12">
        <f>COUNTIFS('DEF_SELF_SCOUT_IMPORT'!$L$42:$L$1040,"Y",'DEF_SELF_SCOUT_IMPORT'!$E$42:$E$1040,SUBSTITUTE(SUBSTITUTE(SUBSTITUTE($B1030,"~","~~"),"*","~*"),"?","~?"),'DEF_SELF_SCOUT_IMPORT'!$Q$42:$Q$1040,SUBSTITUTE(SUBSTITUTE(SUBSTITUTE($M1030,"~","~~"),"*","~*"),"?","~?"),'DEF_SELF_SCOUT_IMPORT'!$D$42:$D$1040,SUBSTITUTE(SUBSTITUTE(SUBSTITUTE($P1030,"~","~~"),"*","~*"),"?","~?"))</f>
        <v>1</v>
      </c>
      <c r="D1030" s="10">
        <f>IF($C1030=0,"",SUMIFS('DEF_SELF_SCOUT_IMPORT'!$J$42:$J$1040,'DEF_SELF_SCOUT_IMPORT'!$L$42:$L$1040,"Y",'DEF_SELF_SCOUT_IMPORT'!$E$42:$E$1040,SUBSTITUTE(SUBSTITUTE(SUBSTITUTE($B1030,"~","~~"),"*","~*"),"?","~?"),'DEF_SELF_SCOUT_IMPORT'!$Q$42:$Q$1040,SUBSTITUTE(SUBSTITUTE(SUBSTITUTE($M1030,"~","~~"),"*","~*"),"?","~?"),'DEF_SELF_SCOUT_IMPORT'!$D$42:$D$1040,SUBSTITUTE(SUBSTITUTE(SUBSTITUTE($P1030,"~","~~"),"*","~*"),"?","~?"))/$C1030)</f>
        <v>0.0</v>
      </c>
      <c r="E1030" s="10">
        <f>IF($C1030=0,"",SUMIFS('DEF_SELF_SCOUT_IMPORT'!$K$42:$K$1040,'DEF_SELF_SCOUT_IMPORT'!$L$42:$L$1040,"Y",'DEF_SELF_SCOUT_IMPORT'!$E$42:$E$1040,SUBSTITUTE(SUBSTITUTE(SUBSTITUTE($B1030,"~","~~"),"*","~*"),"?","~?"),'DEF_SELF_SCOUT_IMPORT'!$Q$42:$Q$1040,SUBSTITUTE(SUBSTITUTE(SUBSTITUTE($M1030,"~","~~"),"*","~*"),"?","~?"),'DEF_SELF_SCOUT_IMPORT'!$D$42:$D$1040,SUBSTITUTE(SUBSTITUTE(SUBSTITUTE($P1030,"~","~~"),"*","~*"),"?","~?"))/$C1030)</f>
        <v>0.0</v>
      </c>
      <c r="F1030" s="11">
        <f>IF($C1030=0,"",AVERAGEIFS('DEF_SELF_SCOUT_IMPORT'!$I$42:$I$1040,'DEF_SELF_SCOUT_IMPORT'!$L$42:$L$1040,"Y",'DEF_SELF_SCOUT_IMPORT'!$E$42:$E$1040,SUBSTITUTE(SUBSTITUTE(SUBSTITUTE($B1030,"~","~~"),"*","~*"),"?","~?"),'DEF_SELF_SCOUT_IMPORT'!$Q$42:$Q$1040,SUBSTITUTE(SUBSTITUTE(SUBSTITUTE($M1030,"~","~~"),"*","~*"),"?","~?"),'DEF_SELF_SCOUT_IMPORT'!$D$42:$D$1040,SUBSTITUTE(SUBSTITUTE(SUBSTITUTE($P1030,"~","~~"),"*","~*"),"?","~?")))</f>
        <v>7.0</v>
      </c>
      <c r="G1030" s="10">
        <f>IF($C1030=0,"",COUNTIFS('DEF_SELF_SCOUT_IMPORT'!$L$42:$L$1040,"Y",'DEF_SELF_SCOUT_IMPORT'!$E$42:$E$1040,SUBSTITUTE(SUBSTITUTE(SUBSTITUTE($B1030,"~","~~"),"*","~*"),"?","~?"),'DEF_SELF_SCOUT_IMPORT'!$Q$42:$Q$1040,SUBSTITUTE(SUBSTITUTE(SUBSTITUTE($M1030,"~","~~"),"*","~*"),"?","~?"),'DEF_SELF_SCOUT_IMPORT'!$D$42:$D$1040,SUBSTITUTE(SUBSTITUTE(SUBSTITUTE($P1030,"~","~~"),"*","~*"),"?","~?"),'DEF_SELF_SCOUT_IMPORT'!$H$42:$H$1040,"RUSH")/$C1030)</f>
        <v>1.0</v>
      </c>
      <c r="H1030" s="10">
        <f>IF($C1030=0,"",COUNTIFS('DEF_SELF_SCOUT_IMPORT'!$L$42:$L$1040,"Y",'DEF_SELF_SCOUT_IMPORT'!$E$42:$E$1040,SUBSTITUTE(SUBSTITUTE(SUBSTITUTE($B1030,"~","~~"),"*","~*"),"?","~?"),'DEF_SELF_SCOUT_IMPORT'!$Q$42:$Q$1040,SUBSTITUTE(SUBSTITUTE(SUBSTITUTE($M1030,"~","~~"),"*","~*"),"?","~?"),'DEF_SELF_SCOUT_IMPORT'!$D$42:$D$1040,SUBSTITUTE(SUBSTITUTE(SUBSTITUTE($P1030,"~","~~"),"*","~*"),"?","~?"),'DEF_SELF_SCOUT_IMPORT'!$H$42:$H$1040,"DROPBACK")/$C1030)</f>
        <v>0.0</v>
      </c>
      <c r="I1030" s="14" t="str">
        <f>IF(C1030=0,"",IF(C1030&lt;=2,"TRACK",IF(C1030=3,"LOW",IF(C1030&lt;=6,"MEDIUM","HIGH"))))</f>
        <v>TRACK</v>
      </c>
      <c r="J1030" s="11">
        <f>IF(C1030=0,"",ROUND(D1030*70+(1-E1030)*20+MAX(0,MIN(1,(10-F1030)/10))*10,1))</f>
        <v>23.0</v>
      </c>
      <c r="K1030" s="14" t="str">
        <f>IF(C1030=0,"No Evidence",IF(C1030&lt;=2,IF(E1030&gt;0,"Explosive Alert","Track Only"),IF(C1030=3,"Sample Watch",IF(E1030&gt;=START_HERE!$B$31,"Explosive Alert",IF(J1030&gt;=80,"Strong Candidate",IF(J1030&gt;=65,"Good Candidate",IF(J1030&gt;=50,"Mixed / Review","Problem Call")))))))</f>
        <v>Track Only</v>
      </c>
      <c r="L1030" s="9" t="str">
        <f>IF(COUNTIFS('DEF_SELF_SCOUT_IMPORT'!$L$42:$L$1040,"Y",'DEF_SELF_SCOUT_IMPORT'!$E$42:$E$1040,SUBSTITUTE(SUBSTITUTE(SUBSTITUTE($B1030,"~","~~"),"*","~*"),"?","~?"),'DEF_SELF_SCOUT_IMPORT'!$Q$42:$Q$1040,SUBSTITUTE(SUBSTITUTE(SUBSTITUTE($M1030,"~","~~"),"*","~*"),"?","~?"),'DEF_SELF_SCOUT_IMPORT'!$D$42:$D$1040,SUBSTITUTE(SUBSTITUTE(SUBSTITUTE($P1030,"~","~~"),"*","~*"),"?","~?"),'DEF_SELF_SCOUT_IMPORT'!$J$42:$J$1040,"")&gt;0,"Unscored clean outcome; review result tags before using score.",IF(C1030=0,"No matching defensive reps; film confirmation needed.",IF(K1030="Explosive Alert","Explosive risk; review clips before using as answer.",IF(C1030&lt;=2,"Track only; not enough sample.",IF(C1030=3,IF(E1030&gt;0,"Sample watch with explosive exposure; review clips and build the sample.",IF(J1030&gt;=65,"Good signal, but sample is limited.","Sample watch; review clips and build the sample.")),IF(K1030="Problem Call","Problem area; practice or call-sheet review.",IF(K1030="Strong Candidate","Strong call-fit candidate; confirm on film.",IF(K1030="Good Candidate","Good call-fit signal; confirm on film.","Mixed signal; review fit and execution on film."))))))))</f>
        <v>Track only; not enough sample.</v>
      </c>
      <c r="M1030" s="8" t="s">
        <v>115</v>
      </c>
      <c r="N1030" s="8"/>
      <c r="O1030" s="8"/>
      <c r="P1030" s="8" t="s">
        <v>432</v>
      </c>
      <c r="Q1030" s="8"/>
      <c r="R1030" s="8" t="s">
        <v>429</v>
      </c>
      <c r="S1030" s="2" t="s">
        <v>603</v>
      </c>
      <c r="T1030" s="2">
        <f>IF(C1030=0,0,IF(C1030&gt;=CALL_LOOKUP_BOARD!$B$7,IF(OR(K1030="Problem Call",K1030="Explosive Alert"),10000000,20000000),0)+IF(C1030&gt;=CALL_LOOKUP_BOARD!$B$7,J1030*1000+MIN(C1030,999),C1030*1000+J1030)+0.00978000)</f>
        <v>1023.00978</v>
      </c>
      <c r="U1030" s="2">
        <f>IF(C1030=0,"",IF(COUNTIFS($S$811:$S$1055,SUBSTITUTE(SUBSTITUTE(SUBSTITUTE(S1030,"~","~~"),"*","~*"),"?","~?"),$T$811:$T$1055,"&gt;"&amp;T1030)=0,S1030,""))</f>
        <v/>
      </c>
    </row>
    <row r="1031" spans="1:21" ht="38" customHeight="1">
      <c r="A1031" s="8" t="s">
        <v>604</v>
      </c>
      <c r="B1031" s="8" t="s">
        <v>35</v>
      </c>
      <c r="C1031" s="12">
        <f>COUNTIFS('DEF_SELF_SCOUT_IMPORT'!$L$42:$L$1040,"Y",'DEF_SELF_SCOUT_IMPORT'!$E$42:$E$1040,SUBSTITUTE(SUBSTITUTE(SUBSTITUTE($B1031,"~","~~"),"*","~*"),"?","~?"),'DEF_SELF_SCOUT_IMPORT'!$Q$42:$Q$1040,SUBSTITUTE(SUBSTITUTE(SUBSTITUTE($M1031,"~","~~"),"*","~*"),"?","~?"),'DEF_SELF_SCOUT_IMPORT'!$D$42:$D$1040,SUBSTITUTE(SUBSTITUTE(SUBSTITUTE($P1031,"~","~~"),"*","~*"),"?","~?"))</f>
        <v>1</v>
      </c>
      <c r="D1031" s="10">
        <f>IF($C1031=0,"",SUMIFS('DEF_SELF_SCOUT_IMPORT'!$J$42:$J$1040,'DEF_SELF_SCOUT_IMPORT'!$L$42:$L$1040,"Y",'DEF_SELF_SCOUT_IMPORT'!$E$42:$E$1040,SUBSTITUTE(SUBSTITUTE(SUBSTITUTE($B1031,"~","~~"),"*","~*"),"?","~?"),'DEF_SELF_SCOUT_IMPORT'!$Q$42:$Q$1040,SUBSTITUTE(SUBSTITUTE(SUBSTITUTE($M1031,"~","~~"),"*","~*"),"?","~?"),'DEF_SELF_SCOUT_IMPORT'!$D$42:$D$1040,SUBSTITUTE(SUBSTITUTE(SUBSTITUTE($P1031,"~","~~"),"*","~*"),"?","~?"))/$C1031)</f>
        <v>1.0</v>
      </c>
      <c r="E1031" s="10">
        <f>IF($C1031=0,"",SUMIFS('DEF_SELF_SCOUT_IMPORT'!$K$42:$K$1040,'DEF_SELF_SCOUT_IMPORT'!$L$42:$L$1040,"Y",'DEF_SELF_SCOUT_IMPORT'!$E$42:$E$1040,SUBSTITUTE(SUBSTITUTE(SUBSTITUTE($B1031,"~","~~"),"*","~*"),"?","~?"),'DEF_SELF_SCOUT_IMPORT'!$Q$42:$Q$1040,SUBSTITUTE(SUBSTITUTE(SUBSTITUTE($M1031,"~","~~"),"*","~*"),"?","~?"),'DEF_SELF_SCOUT_IMPORT'!$D$42:$D$1040,SUBSTITUTE(SUBSTITUTE(SUBSTITUTE($P1031,"~","~~"),"*","~*"),"?","~?"))/$C1031)</f>
        <v>0.0</v>
      </c>
      <c r="F1031" s="11">
        <f>IF($C1031=0,"",AVERAGEIFS('DEF_SELF_SCOUT_IMPORT'!$I$42:$I$1040,'DEF_SELF_SCOUT_IMPORT'!$L$42:$L$1040,"Y",'DEF_SELF_SCOUT_IMPORT'!$E$42:$E$1040,SUBSTITUTE(SUBSTITUTE(SUBSTITUTE($B1031,"~","~~"),"*","~*"),"?","~?"),'DEF_SELF_SCOUT_IMPORT'!$Q$42:$Q$1040,SUBSTITUTE(SUBSTITUTE(SUBSTITUTE($M1031,"~","~~"),"*","~*"),"?","~?"),'DEF_SELF_SCOUT_IMPORT'!$D$42:$D$1040,SUBSTITUTE(SUBSTITUTE(SUBSTITUTE($P1031,"~","~~"),"*","~*"),"?","~?")))</f>
        <v>0.0</v>
      </c>
      <c r="G1031" s="10">
        <f>IF($C1031=0,"",COUNTIFS('DEF_SELF_SCOUT_IMPORT'!$L$42:$L$1040,"Y",'DEF_SELF_SCOUT_IMPORT'!$E$42:$E$1040,SUBSTITUTE(SUBSTITUTE(SUBSTITUTE($B1031,"~","~~"),"*","~*"),"?","~?"),'DEF_SELF_SCOUT_IMPORT'!$Q$42:$Q$1040,SUBSTITUTE(SUBSTITUTE(SUBSTITUTE($M1031,"~","~~"),"*","~*"),"?","~?"),'DEF_SELF_SCOUT_IMPORT'!$D$42:$D$1040,SUBSTITUTE(SUBSTITUTE(SUBSTITUTE($P1031,"~","~~"),"*","~*"),"?","~?"),'DEF_SELF_SCOUT_IMPORT'!$H$42:$H$1040,"RUSH")/$C1031)</f>
        <v>0.0</v>
      </c>
      <c r="H1031" s="10">
        <f>IF($C1031=0,"",COUNTIFS('DEF_SELF_SCOUT_IMPORT'!$L$42:$L$1040,"Y",'DEF_SELF_SCOUT_IMPORT'!$E$42:$E$1040,SUBSTITUTE(SUBSTITUTE(SUBSTITUTE($B1031,"~","~~"),"*","~*"),"?","~?"),'DEF_SELF_SCOUT_IMPORT'!$Q$42:$Q$1040,SUBSTITUTE(SUBSTITUTE(SUBSTITUTE($M1031,"~","~~"),"*","~*"),"?","~?"),'DEF_SELF_SCOUT_IMPORT'!$D$42:$D$1040,SUBSTITUTE(SUBSTITUTE(SUBSTITUTE($P1031,"~","~~"),"*","~*"),"?","~?"),'DEF_SELF_SCOUT_IMPORT'!$H$42:$H$1040,"DROPBACK")/$C1031)</f>
        <v>1.0</v>
      </c>
      <c r="I1031" s="14" t="str">
        <f>IF(C1031=0,"",IF(C1031&lt;=2,"TRACK",IF(C1031=3,"LOW",IF(C1031&lt;=6,"MEDIUM","HIGH"))))</f>
        <v>TRACK</v>
      </c>
      <c r="J1031" s="11">
        <f>IF(C1031=0,"",ROUND(D1031*70+(1-E1031)*20+MAX(0,MIN(1,(10-F1031)/10))*10,1))</f>
        <v>100.0</v>
      </c>
      <c r="K1031" s="14" t="str">
        <f>IF(C1031=0,"No Evidence",IF(C1031&lt;=2,IF(E1031&gt;0,"Explosive Alert","Track Only"),IF(C1031=3,"Sample Watch",IF(E1031&gt;=START_HERE!$B$31,"Explosive Alert",IF(J1031&gt;=80,"Strong Candidate",IF(J1031&gt;=65,"Good Candidate",IF(J1031&gt;=50,"Mixed / Review","Problem Call")))))))</f>
        <v>Track Only</v>
      </c>
      <c r="L1031" s="9" t="str">
        <f>IF(COUNTIFS('DEF_SELF_SCOUT_IMPORT'!$L$42:$L$1040,"Y",'DEF_SELF_SCOUT_IMPORT'!$E$42:$E$1040,SUBSTITUTE(SUBSTITUTE(SUBSTITUTE($B1031,"~","~~"),"*","~*"),"?","~?"),'DEF_SELF_SCOUT_IMPORT'!$Q$42:$Q$1040,SUBSTITUTE(SUBSTITUTE(SUBSTITUTE($M1031,"~","~~"),"*","~*"),"?","~?"),'DEF_SELF_SCOUT_IMPORT'!$D$42:$D$1040,SUBSTITUTE(SUBSTITUTE(SUBSTITUTE($P1031,"~","~~"),"*","~*"),"?","~?"),'DEF_SELF_SCOUT_IMPORT'!$J$42:$J$1040,"")&gt;0,"Unscored clean outcome; review result tags before using score.",IF(C1031=0,"No matching defensive reps; film confirmation needed.",IF(K1031="Explosive Alert","Explosive risk; review clips before using as answer.",IF(C1031&lt;=2,"Track only; not enough sample.",IF(C1031=3,IF(E1031&gt;0,"Sample watch with explosive exposure; review clips and build the sample.",IF(J1031&gt;=65,"Good signal, but sample is limited.","Sample watch; review clips and build the sample.")),IF(K1031="Problem Call","Problem area; practice or call-sheet review.",IF(K1031="Strong Candidate","Strong call-fit candidate; confirm on film.",IF(K1031="Good Candidate","Good call-fit signal; confirm on film.","Mixed signal; review fit and execution on film."))))))))</f>
        <v>Track only; not enough sample.</v>
      </c>
      <c r="M1031" s="8" t="s">
        <v>115</v>
      </c>
      <c r="N1031" s="8"/>
      <c r="O1031" s="8"/>
      <c r="P1031" s="8" t="s">
        <v>605</v>
      </c>
      <c r="Q1031" s="8"/>
      <c r="R1031" s="8" t="s">
        <v>429</v>
      </c>
      <c r="S1031" s="2" t="s">
        <v>606</v>
      </c>
      <c r="T1031" s="2">
        <f>IF(C1031=0,0,IF(C1031&gt;=CALL_LOOKUP_BOARD!$B$7,IF(OR(K1031="Problem Call",K1031="Explosive Alert"),10000000,20000000),0)+IF(C1031&gt;=CALL_LOOKUP_BOARD!$B$7,J1031*1000+MIN(C1031,999),C1031*1000+J1031)+0.00977900)</f>
        <v>1100.009779</v>
      </c>
      <c r="U1031" s="2" t="str">
        <f>IF(C1031=0,"",IF(COUNTIFS($S$811:$S$1055,SUBSTITUTE(SUBSTITUTE(SUBSTITUTE(S1031,"~","~~"),"*","~*"),"?","~?"),$T$811:$T$1055,"&gt;"&amp;T1031)=0,S1031,""))</f>
        <v>4:P&amp;10|4:DASH|</v>
      </c>
    </row>
    <row r="1032" spans="1:21" ht="38" customHeight="1">
      <c r="A1032" s="8" t="s">
        <v>607</v>
      </c>
      <c r="B1032" s="8" t="s">
        <v>44</v>
      </c>
      <c r="C1032" s="12">
        <f>COUNTIFS('DEF_SELF_SCOUT_IMPORT'!$L$42:$L$1040,"Y",'DEF_SELF_SCOUT_IMPORT'!$E$42:$E$1040,SUBSTITUTE(SUBSTITUTE(SUBSTITUTE($B1032,"~","~~"),"*","~*"),"?","~?"),'DEF_SELF_SCOUT_IMPORT'!$Q$42:$Q$1040,SUBSTITUTE(SUBSTITUTE(SUBSTITUTE($M1032,"~","~~"),"*","~*"),"?","~?"),'DEF_SELF_SCOUT_IMPORT'!$D$42:$D$1040,SUBSTITUTE(SUBSTITUTE(SUBSTITUTE($P1032,"~","~~"),"*","~*"),"?","~?"))</f>
        <v>1</v>
      </c>
      <c r="D1032" s="10">
        <f>IF($C1032=0,"",SUMIFS('DEF_SELF_SCOUT_IMPORT'!$J$42:$J$1040,'DEF_SELF_SCOUT_IMPORT'!$L$42:$L$1040,"Y",'DEF_SELF_SCOUT_IMPORT'!$E$42:$E$1040,SUBSTITUTE(SUBSTITUTE(SUBSTITUTE($B1032,"~","~~"),"*","~*"),"?","~?"),'DEF_SELF_SCOUT_IMPORT'!$Q$42:$Q$1040,SUBSTITUTE(SUBSTITUTE(SUBSTITUTE($M1032,"~","~~"),"*","~*"),"?","~?"),'DEF_SELF_SCOUT_IMPORT'!$D$42:$D$1040,SUBSTITUTE(SUBSTITUTE(SUBSTITUTE($P1032,"~","~~"),"*","~*"),"?","~?"))/$C1032)</f>
        <v>0.0</v>
      </c>
      <c r="E1032" s="10">
        <f>IF($C1032=0,"",SUMIFS('DEF_SELF_SCOUT_IMPORT'!$K$42:$K$1040,'DEF_SELF_SCOUT_IMPORT'!$L$42:$L$1040,"Y",'DEF_SELF_SCOUT_IMPORT'!$E$42:$E$1040,SUBSTITUTE(SUBSTITUTE(SUBSTITUTE($B1032,"~","~~"),"*","~*"),"?","~?"),'DEF_SELF_SCOUT_IMPORT'!$Q$42:$Q$1040,SUBSTITUTE(SUBSTITUTE(SUBSTITUTE($M1032,"~","~~"),"*","~*"),"?","~?"),'DEF_SELF_SCOUT_IMPORT'!$D$42:$D$1040,SUBSTITUTE(SUBSTITUTE(SUBSTITUTE($P1032,"~","~~"),"*","~*"),"?","~?"))/$C1032)</f>
        <v>1.0</v>
      </c>
      <c r="F1032" s="11">
        <f>IF($C1032=0,"",AVERAGEIFS('DEF_SELF_SCOUT_IMPORT'!$I$42:$I$1040,'DEF_SELF_SCOUT_IMPORT'!$L$42:$L$1040,"Y",'DEF_SELF_SCOUT_IMPORT'!$E$42:$E$1040,SUBSTITUTE(SUBSTITUTE(SUBSTITUTE($B1032,"~","~~"),"*","~*"),"?","~?"),'DEF_SELF_SCOUT_IMPORT'!$Q$42:$Q$1040,SUBSTITUTE(SUBSTITUTE(SUBSTITUTE($M1032,"~","~~"),"*","~*"),"?","~?"),'DEF_SELF_SCOUT_IMPORT'!$D$42:$D$1040,SUBSTITUTE(SUBSTITUTE(SUBSTITUTE($P1032,"~","~~"),"*","~*"),"?","~?")))</f>
        <v>14.0</v>
      </c>
      <c r="G1032" s="10">
        <f>IF($C1032=0,"",COUNTIFS('DEF_SELF_SCOUT_IMPORT'!$L$42:$L$1040,"Y",'DEF_SELF_SCOUT_IMPORT'!$E$42:$E$1040,SUBSTITUTE(SUBSTITUTE(SUBSTITUTE($B1032,"~","~~"),"*","~*"),"?","~?"),'DEF_SELF_SCOUT_IMPORT'!$Q$42:$Q$1040,SUBSTITUTE(SUBSTITUTE(SUBSTITUTE($M1032,"~","~~"),"*","~*"),"?","~?"),'DEF_SELF_SCOUT_IMPORT'!$D$42:$D$1040,SUBSTITUTE(SUBSTITUTE(SUBSTITUTE($P1032,"~","~~"),"*","~*"),"?","~?"),'DEF_SELF_SCOUT_IMPORT'!$H$42:$H$1040,"RUSH")/$C1032)</f>
        <v>1.0</v>
      </c>
      <c r="H1032" s="10">
        <f>IF($C1032=0,"",COUNTIFS('DEF_SELF_SCOUT_IMPORT'!$L$42:$L$1040,"Y",'DEF_SELF_SCOUT_IMPORT'!$E$42:$E$1040,SUBSTITUTE(SUBSTITUTE(SUBSTITUTE($B1032,"~","~~"),"*","~*"),"?","~?"),'DEF_SELF_SCOUT_IMPORT'!$Q$42:$Q$1040,SUBSTITUTE(SUBSTITUTE(SUBSTITUTE($M1032,"~","~~"),"*","~*"),"?","~?"),'DEF_SELF_SCOUT_IMPORT'!$D$42:$D$1040,SUBSTITUTE(SUBSTITUTE(SUBSTITUTE($P1032,"~","~~"),"*","~*"),"?","~?"),'DEF_SELF_SCOUT_IMPORT'!$H$42:$H$1040,"DROPBACK")/$C1032)</f>
        <v>0.0</v>
      </c>
      <c r="I1032" s="14" t="str">
        <f>IF(C1032=0,"",IF(C1032&lt;=2,"TRACK",IF(C1032=3,"LOW",IF(C1032&lt;=6,"MEDIUM","HIGH"))))</f>
        <v>TRACK</v>
      </c>
      <c r="J1032" s="11">
        <f>IF(C1032=0,"",ROUND(D1032*70+(1-E1032)*20+MAX(0,MIN(1,(10-F1032)/10))*10,1))</f>
        <v>0.0</v>
      </c>
      <c r="K1032" s="14" t="str">
        <f>IF(C1032=0,"No Evidence",IF(C1032&lt;=2,IF(E1032&gt;0,"Explosive Alert","Track Only"),IF(C1032=3,"Sample Watch",IF(E1032&gt;=START_HERE!$B$31,"Explosive Alert",IF(J1032&gt;=80,"Strong Candidate",IF(J1032&gt;=65,"Good Candidate",IF(J1032&gt;=50,"Mixed / Review","Problem Call")))))))</f>
        <v>Explosive Alert</v>
      </c>
      <c r="L1032" s="9" t="str">
        <f>IF(COUNTIFS('DEF_SELF_SCOUT_IMPORT'!$L$42:$L$1040,"Y",'DEF_SELF_SCOUT_IMPORT'!$E$42:$E$1040,SUBSTITUTE(SUBSTITUTE(SUBSTITUTE($B1032,"~","~~"),"*","~*"),"?","~?"),'DEF_SELF_SCOUT_IMPORT'!$Q$42:$Q$1040,SUBSTITUTE(SUBSTITUTE(SUBSTITUTE($M1032,"~","~~"),"*","~*"),"?","~?"),'DEF_SELF_SCOUT_IMPORT'!$D$42:$D$1040,SUBSTITUTE(SUBSTITUTE(SUBSTITUTE($P1032,"~","~~"),"*","~*"),"?","~?"),'DEF_SELF_SCOUT_IMPORT'!$J$42:$J$1040,"")&gt;0,"Unscored clean outcome; review result tags before using score.",IF(C1032=0,"No matching defensive reps; film confirmation needed.",IF(K1032="Explosive Alert","Explosive risk; review clips before using as answer.",IF(C1032&lt;=2,"Track only; not enough sample.",IF(C1032=3,IF(E1032&gt;0,"Sample watch with explosive exposure; review clips and build the sample.",IF(J1032&gt;=65,"Good signal, but sample is limited.","Sample watch; review clips and build the sample.")),IF(K1032="Problem Call","Problem area; practice or call-sheet review.",IF(K1032="Strong Candidate","Strong call-fit candidate; confirm on film.",IF(K1032="Good Candidate","Good call-fit signal; confirm on film.","Mixed signal; review fit and execution on film."))))))))</f>
        <v>Explosive risk; review clips before using as answer.</v>
      </c>
      <c r="M1032" s="8" t="s">
        <v>115</v>
      </c>
      <c r="N1032" s="8"/>
      <c r="O1032" s="8"/>
      <c r="P1032" s="8" t="s">
        <v>608</v>
      </c>
      <c r="Q1032" s="8"/>
      <c r="R1032" s="8" t="s">
        <v>429</v>
      </c>
      <c r="S1032" s="2" t="s">
        <v>609</v>
      </c>
      <c r="T1032" s="2">
        <f>IF(C1032=0,0,IF(C1032&gt;=CALL_LOOKUP_BOARD!$B$7,IF(OR(K1032="Problem Call",K1032="Explosive Alert"),10000000,20000000),0)+IF(C1032&gt;=CALL_LOOKUP_BOARD!$B$7,J1032*1000+MIN(C1032,999),C1032*1000+J1032)+0.00977800)</f>
        <v>1000.009778</v>
      </c>
      <c r="U1032" s="2" t="str">
        <f>IF(C1032=0,"",IF(COUNTIFS($S$811:$S$1055,SUBSTITUTE(SUBSTITUTE(SUBSTITUTE(S1032,"~","~~"),"*","~*"),"?","~?"),$T$811:$T$1055,"&gt;"&amp;T1032)=0,S1032,""))</f>
        <v>4:P&amp;10|4:DRAW|</v>
      </c>
    </row>
    <row r="1033" spans="1:21" ht="38" customHeight="1">
      <c r="A1033" s="8" t="s">
        <v>610</v>
      </c>
      <c r="B1033" s="8" t="s">
        <v>67</v>
      </c>
      <c r="C1033" s="12">
        <f>COUNTIFS('DEF_SELF_SCOUT_IMPORT'!$L$42:$L$1040,"Y",'DEF_SELF_SCOUT_IMPORT'!$E$42:$E$1040,SUBSTITUTE(SUBSTITUTE(SUBSTITUTE($B1033,"~","~~"),"*","~*"),"?","~?"),'DEF_SELF_SCOUT_IMPORT'!$Q$42:$Q$1040,SUBSTITUTE(SUBSTITUTE(SUBSTITUTE($M1033,"~","~~"),"*","~*"),"?","~?"),'DEF_SELF_SCOUT_IMPORT'!$D$42:$D$1040,SUBSTITUTE(SUBSTITUTE(SUBSTITUTE($P1033,"~","~~"),"*","~*"),"?","~?"))</f>
        <v>1</v>
      </c>
      <c r="D1033" s="10">
        <f>IF($C1033=0,"",SUMIFS('DEF_SELF_SCOUT_IMPORT'!$J$42:$J$1040,'DEF_SELF_SCOUT_IMPORT'!$L$42:$L$1040,"Y",'DEF_SELF_SCOUT_IMPORT'!$E$42:$E$1040,SUBSTITUTE(SUBSTITUTE(SUBSTITUTE($B1033,"~","~~"),"*","~*"),"?","~?"),'DEF_SELF_SCOUT_IMPORT'!$Q$42:$Q$1040,SUBSTITUTE(SUBSTITUTE(SUBSTITUTE($M1033,"~","~~"),"*","~*"),"?","~?"),'DEF_SELF_SCOUT_IMPORT'!$D$42:$D$1040,SUBSTITUTE(SUBSTITUTE(SUBSTITUTE($P1033,"~","~~"),"*","~*"),"?","~?"))/$C1033)</f>
        <v>1.0</v>
      </c>
      <c r="E1033" s="10">
        <f>IF($C1033=0,"",SUMIFS('DEF_SELF_SCOUT_IMPORT'!$K$42:$K$1040,'DEF_SELF_SCOUT_IMPORT'!$L$42:$L$1040,"Y",'DEF_SELF_SCOUT_IMPORT'!$E$42:$E$1040,SUBSTITUTE(SUBSTITUTE(SUBSTITUTE($B1033,"~","~~"),"*","~*"),"?","~?"),'DEF_SELF_SCOUT_IMPORT'!$Q$42:$Q$1040,SUBSTITUTE(SUBSTITUTE(SUBSTITUTE($M1033,"~","~~"),"*","~*"),"?","~?"),'DEF_SELF_SCOUT_IMPORT'!$D$42:$D$1040,SUBSTITUTE(SUBSTITUTE(SUBSTITUTE($P1033,"~","~~"),"*","~*"),"?","~?"))/$C1033)</f>
        <v>0.0</v>
      </c>
      <c r="F1033" s="11">
        <f>IF($C1033=0,"",AVERAGEIFS('DEF_SELF_SCOUT_IMPORT'!$I$42:$I$1040,'DEF_SELF_SCOUT_IMPORT'!$L$42:$L$1040,"Y",'DEF_SELF_SCOUT_IMPORT'!$E$42:$E$1040,SUBSTITUTE(SUBSTITUTE(SUBSTITUTE($B1033,"~","~~"),"*","~*"),"?","~?"),'DEF_SELF_SCOUT_IMPORT'!$Q$42:$Q$1040,SUBSTITUTE(SUBSTITUTE(SUBSTITUTE($M1033,"~","~~"),"*","~*"),"?","~?"),'DEF_SELF_SCOUT_IMPORT'!$D$42:$D$1040,SUBSTITUTE(SUBSTITUTE(SUBSTITUTE($P1033,"~","~~"),"*","~*"),"?","~?")))</f>
        <v>3.0</v>
      </c>
      <c r="G1033" s="10">
        <f>IF($C1033=0,"",COUNTIFS('DEF_SELF_SCOUT_IMPORT'!$L$42:$L$1040,"Y",'DEF_SELF_SCOUT_IMPORT'!$E$42:$E$1040,SUBSTITUTE(SUBSTITUTE(SUBSTITUTE($B1033,"~","~~"),"*","~*"),"?","~?"),'DEF_SELF_SCOUT_IMPORT'!$Q$42:$Q$1040,SUBSTITUTE(SUBSTITUTE(SUBSTITUTE($M1033,"~","~~"),"*","~*"),"?","~?"),'DEF_SELF_SCOUT_IMPORT'!$D$42:$D$1040,SUBSTITUTE(SUBSTITUTE(SUBSTITUTE($P1033,"~","~~"),"*","~*"),"?","~?"),'DEF_SELF_SCOUT_IMPORT'!$H$42:$H$1040,"RUSH")/$C1033)</f>
        <v>1.0</v>
      </c>
      <c r="H1033" s="10">
        <f>IF($C1033=0,"",COUNTIFS('DEF_SELF_SCOUT_IMPORT'!$L$42:$L$1040,"Y",'DEF_SELF_SCOUT_IMPORT'!$E$42:$E$1040,SUBSTITUTE(SUBSTITUTE(SUBSTITUTE($B1033,"~","~~"),"*","~*"),"?","~?"),'DEF_SELF_SCOUT_IMPORT'!$Q$42:$Q$1040,SUBSTITUTE(SUBSTITUTE(SUBSTITUTE($M1033,"~","~~"),"*","~*"),"?","~?"),'DEF_SELF_SCOUT_IMPORT'!$D$42:$D$1040,SUBSTITUTE(SUBSTITUTE(SUBSTITUTE($P1033,"~","~~"),"*","~*"),"?","~?"),'DEF_SELF_SCOUT_IMPORT'!$H$42:$H$1040,"DROPBACK")/$C1033)</f>
        <v>0.0</v>
      </c>
      <c r="I1033" s="14" t="str">
        <f>IF(C1033=0,"",IF(C1033&lt;=2,"TRACK",IF(C1033=3,"LOW",IF(C1033&lt;=6,"MEDIUM","HIGH"))))</f>
        <v>TRACK</v>
      </c>
      <c r="J1033" s="11">
        <f>IF(C1033=0,"",ROUND(D1033*70+(1-E1033)*20+MAX(0,MIN(1,(10-F1033)/10))*10,1))</f>
        <v>97.0</v>
      </c>
      <c r="K1033" s="14" t="str">
        <f>IF(C1033=0,"No Evidence",IF(C1033&lt;=2,IF(E1033&gt;0,"Explosive Alert","Track Only"),IF(C1033=3,"Sample Watch",IF(E1033&gt;=START_HERE!$B$31,"Explosive Alert",IF(J1033&gt;=80,"Strong Candidate",IF(J1033&gt;=65,"Good Candidate",IF(J1033&gt;=50,"Mixed / Review","Problem Call")))))))</f>
        <v>Track Only</v>
      </c>
      <c r="L1033" s="9" t="str">
        <f>IF(COUNTIFS('DEF_SELF_SCOUT_IMPORT'!$L$42:$L$1040,"Y",'DEF_SELF_SCOUT_IMPORT'!$E$42:$E$1040,SUBSTITUTE(SUBSTITUTE(SUBSTITUTE($B1033,"~","~~"),"*","~*"),"?","~?"),'DEF_SELF_SCOUT_IMPORT'!$Q$42:$Q$1040,SUBSTITUTE(SUBSTITUTE(SUBSTITUTE($M1033,"~","~~"),"*","~*"),"?","~?"),'DEF_SELF_SCOUT_IMPORT'!$D$42:$D$1040,SUBSTITUTE(SUBSTITUTE(SUBSTITUTE($P1033,"~","~~"),"*","~*"),"?","~?"),'DEF_SELF_SCOUT_IMPORT'!$J$42:$J$1040,"")&gt;0,"Unscored clean outcome; review result tags before using score.",IF(C1033=0,"No matching defensive reps; film confirmation needed.",IF(K1033="Explosive Alert","Explosive risk; review clips before using as answer.",IF(C1033&lt;=2,"Track only; not enough sample.",IF(C1033=3,IF(E1033&gt;0,"Sample watch with explosive exposure; review clips and build the sample.",IF(J1033&gt;=65,"Good signal, but sample is limited.","Sample watch; review clips and build the sample.")),IF(K1033="Problem Call","Problem area; practice or call-sheet review.",IF(K1033="Strong Candidate","Strong call-fit candidate; confirm on film.",IF(K1033="Good Candidate","Good call-fit signal; confirm on film.","Mixed signal; review fit and execution on film."))))))))</f>
        <v>Track only; not enough sample.</v>
      </c>
      <c r="M1033" s="8" t="s">
        <v>115</v>
      </c>
      <c r="N1033" s="8"/>
      <c r="O1033" s="8"/>
      <c r="P1033" s="8" t="s">
        <v>611</v>
      </c>
      <c r="Q1033" s="8"/>
      <c r="R1033" s="8" t="s">
        <v>429</v>
      </c>
      <c r="S1033" s="2" t="s">
        <v>612</v>
      </c>
      <c r="T1033" s="2">
        <f>IF(C1033=0,0,IF(C1033&gt;=CALL_LOOKUP_BOARD!$B$7,IF(OR(K1033="Problem Call",K1033="Explosive Alert"),10000000,20000000),0)+IF(C1033&gt;=CALL_LOOKUP_BOARD!$B$7,J1033*1000+MIN(C1033,999),C1033*1000+J1033)+0.00977700)</f>
        <v>1097.009777</v>
      </c>
      <c r="U1033" s="2" t="str">
        <f>IF(C1033=0,"",IF(COUNTIFS($S$811:$S$1055,SUBSTITUTE(SUBSTITUTE(SUBSTITUTE(S1033,"~","~~"),"*","~*"),"?","~?"),$T$811:$T$1055,"&gt;"&amp;T1033)=0,S1033,""))</f>
        <v>4:P&amp;10|9:FLY SWEEP|</v>
      </c>
    </row>
    <row r="1034" spans="1:21" ht="38" customHeight="1">
      <c r="A1034" s="8" t="s">
        <v>613</v>
      </c>
      <c r="B1034" s="8" t="s">
        <v>32</v>
      </c>
      <c r="C1034" s="12">
        <f>COUNTIFS('DEF_SELF_SCOUT_IMPORT'!$L$42:$L$1040,"Y",'DEF_SELF_SCOUT_IMPORT'!$E$42:$E$1040,SUBSTITUTE(SUBSTITUTE(SUBSTITUTE($B1034,"~","~~"),"*","~*"),"?","~?"),'DEF_SELF_SCOUT_IMPORT'!$Q$42:$Q$1040,SUBSTITUTE(SUBSTITUTE(SUBSTITUTE($M1034,"~","~~"),"*","~*"),"?","~?"),'DEF_SELF_SCOUT_IMPORT'!$D$42:$D$1040,SUBSTITUTE(SUBSTITUTE(SUBSTITUTE($P1034,"~","~~"),"*","~*"),"?","~?"))</f>
        <v>1</v>
      </c>
      <c r="D1034" s="10">
        <f>IF($C1034=0,"",SUMIFS('DEF_SELF_SCOUT_IMPORT'!$J$42:$J$1040,'DEF_SELF_SCOUT_IMPORT'!$L$42:$L$1040,"Y",'DEF_SELF_SCOUT_IMPORT'!$E$42:$E$1040,SUBSTITUTE(SUBSTITUTE(SUBSTITUTE($B1034,"~","~~"),"*","~*"),"?","~?"),'DEF_SELF_SCOUT_IMPORT'!$Q$42:$Q$1040,SUBSTITUTE(SUBSTITUTE(SUBSTITUTE($M1034,"~","~~"),"*","~*"),"?","~?"),'DEF_SELF_SCOUT_IMPORT'!$D$42:$D$1040,SUBSTITUTE(SUBSTITUTE(SUBSTITUTE($P1034,"~","~~"),"*","~*"),"?","~?"))/$C1034)</f>
        <v>0.0</v>
      </c>
      <c r="E1034" s="10">
        <f>IF($C1034=0,"",SUMIFS('DEF_SELF_SCOUT_IMPORT'!$K$42:$K$1040,'DEF_SELF_SCOUT_IMPORT'!$L$42:$L$1040,"Y",'DEF_SELF_SCOUT_IMPORT'!$E$42:$E$1040,SUBSTITUTE(SUBSTITUTE(SUBSTITUTE($B1034,"~","~~"),"*","~*"),"?","~?"),'DEF_SELF_SCOUT_IMPORT'!$Q$42:$Q$1040,SUBSTITUTE(SUBSTITUTE(SUBSTITUTE($M1034,"~","~~"),"*","~*"),"?","~?"),'DEF_SELF_SCOUT_IMPORT'!$D$42:$D$1040,SUBSTITUTE(SUBSTITUTE(SUBSTITUTE($P1034,"~","~~"),"*","~*"),"?","~?"))/$C1034)</f>
        <v>1.0</v>
      </c>
      <c r="F1034" s="11">
        <f>IF($C1034=0,"",AVERAGEIFS('DEF_SELF_SCOUT_IMPORT'!$I$42:$I$1040,'DEF_SELF_SCOUT_IMPORT'!$L$42:$L$1040,"Y",'DEF_SELF_SCOUT_IMPORT'!$E$42:$E$1040,SUBSTITUTE(SUBSTITUTE(SUBSTITUTE($B1034,"~","~~"),"*","~*"),"?","~?"),'DEF_SELF_SCOUT_IMPORT'!$Q$42:$Q$1040,SUBSTITUTE(SUBSTITUTE(SUBSTITUTE($M1034,"~","~~"),"*","~*"),"?","~?"),'DEF_SELF_SCOUT_IMPORT'!$D$42:$D$1040,SUBSTITUTE(SUBSTITUTE(SUBSTITUTE($P1034,"~","~~"),"*","~*"),"?","~?")))</f>
        <v>72.0</v>
      </c>
      <c r="G1034" s="10">
        <f>IF($C1034=0,"",COUNTIFS('DEF_SELF_SCOUT_IMPORT'!$L$42:$L$1040,"Y",'DEF_SELF_SCOUT_IMPORT'!$E$42:$E$1040,SUBSTITUTE(SUBSTITUTE(SUBSTITUTE($B1034,"~","~~"),"*","~*"),"?","~?"),'DEF_SELF_SCOUT_IMPORT'!$Q$42:$Q$1040,SUBSTITUTE(SUBSTITUTE(SUBSTITUTE($M1034,"~","~~"),"*","~*"),"?","~?"),'DEF_SELF_SCOUT_IMPORT'!$D$42:$D$1040,SUBSTITUTE(SUBSTITUTE(SUBSTITUTE($P1034,"~","~~"),"*","~*"),"?","~?"),'DEF_SELF_SCOUT_IMPORT'!$H$42:$H$1040,"RUSH")/$C1034)</f>
        <v>0.0</v>
      </c>
      <c r="H1034" s="10">
        <f>IF($C1034=0,"",COUNTIFS('DEF_SELF_SCOUT_IMPORT'!$L$42:$L$1040,"Y",'DEF_SELF_SCOUT_IMPORT'!$E$42:$E$1040,SUBSTITUTE(SUBSTITUTE(SUBSTITUTE($B1034,"~","~~"),"*","~*"),"?","~?"),'DEF_SELF_SCOUT_IMPORT'!$Q$42:$Q$1040,SUBSTITUTE(SUBSTITUTE(SUBSTITUTE($M1034,"~","~~"),"*","~*"),"?","~?"),'DEF_SELF_SCOUT_IMPORT'!$D$42:$D$1040,SUBSTITUTE(SUBSTITUTE(SUBSTITUTE($P1034,"~","~~"),"*","~*"),"?","~?"),'DEF_SELF_SCOUT_IMPORT'!$H$42:$H$1040,"DROPBACK")/$C1034)</f>
        <v>1.0</v>
      </c>
      <c r="I1034" s="14" t="str">
        <f>IF(C1034=0,"",IF(C1034&lt;=2,"TRACK",IF(C1034=3,"LOW",IF(C1034&lt;=6,"MEDIUM","HIGH"))))</f>
        <v>TRACK</v>
      </c>
      <c r="J1034" s="11">
        <f>IF(C1034=0,"",ROUND(D1034*70+(1-E1034)*20+MAX(0,MIN(1,(10-F1034)/10))*10,1))</f>
        <v>0.0</v>
      </c>
      <c r="K1034" s="14" t="str">
        <f>IF(C1034=0,"No Evidence",IF(C1034&lt;=2,IF(E1034&gt;0,"Explosive Alert","Track Only"),IF(C1034=3,"Sample Watch",IF(E1034&gt;=START_HERE!$B$31,"Explosive Alert",IF(J1034&gt;=80,"Strong Candidate",IF(J1034&gt;=65,"Good Candidate",IF(J1034&gt;=50,"Mixed / Review","Problem Call")))))))</f>
        <v>Explosive Alert</v>
      </c>
      <c r="L1034" s="9" t="str">
        <f>IF(COUNTIFS('DEF_SELF_SCOUT_IMPORT'!$L$42:$L$1040,"Y",'DEF_SELF_SCOUT_IMPORT'!$E$42:$E$1040,SUBSTITUTE(SUBSTITUTE(SUBSTITUTE($B1034,"~","~~"),"*","~*"),"?","~?"),'DEF_SELF_SCOUT_IMPORT'!$Q$42:$Q$1040,SUBSTITUTE(SUBSTITUTE(SUBSTITUTE($M1034,"~","~~"),"*","~*"),"?","~?"),'DEF_SELF_SCOUT_IMPORT'!$D$42:$D$1040,SUBSTITUTE(SUBSTITUTE(SUBSTITUTE($P1034,"~","~~"),"*","~*"),"?","~?"),'DEF_SELF_SCOUT_IMPORT'!$J$42:$J$1040,"")&gt;0,"Unscored clean outcome; review result tags before using score.",IF(C1034=0,"No matching defensive reps; film confirmation needed.",IF(K1034="Explosive Alert","Explosive risk; review clips before using as answer.",IF(C1034&lt;=2,"Track only; not enough sample.",IF(C1034=3,IF(E1034&gt;0,"Sample watch with explosive exposure; review clips and build the sample.",IF(J1034&gt;=65,"Good signal, but sample is limited.","Sample watch; review clips and build the sample.")),IF(K1034="Problem Call","Problem area; practice or call-sheet review.",IF(K1034="Strong Candidate","Strong call-fit candidate; confirm on film.",IF(K1034="Good Candidate","Good call-fit signal; confirm on film.","Mixed signal; review fit and execution on film."))))))))</f>
        <v>Explosive risk; review clips before using as answer.</v>
      </c>
      <c r="M1034" s="8" t="s">
        <v>115</v>
      </c>
      <c r="N1034" s="8"/>
      <c r="O1034" s="8"/>
      <c r="P1034" s="8" t="s">
        <v>561</v>
      </c>
      <c r="Q1034" s="8"/>
      <c r="R1034" s="8" t="s">
        <v>429</v>
      </c>
      <c r="S1034" s="2" t="s">
        <v>614</v>
      </c>
      <c r="T1034" s="2">
        <f>IF(C1034=0,0,IF(C1034&gt;=CALL_LOOKUP_BOARD!$B$7,IF(OR(K1034="Problem Call",K1034="Explosive Alert"),10000000,20000000),0)+IF(C1034&gt;=CALL_LOOKUP_BOARD!$B$7,J1034*1000+MIN(C1034,999),C1034*1000+J1034)+0.00977600)</f>
        <v>1000.009776</v>
      </c>
      <c r="U1034" s="2" t="str">
        <f>IF(C1034=0,"",IF(COUNTIFS($S$811:$S$1055,SUBSTITUTE(SUBSTITUTE(SUBSTITUTE(S1034,"~","~~"),"*","~*"),"?","~?"),$T$811:$T$1055,"&gt;"&amp;T1034)=0,S1034,""))</f>
        <v>4:P&amp;10|5:FUZZY|</v>
      </c>
    </row>
    <row r="1035" spans="1:21" ht="38" customHeight="1">
      <c r="A1035" s="8" t="s">
        <v>615</v>
      </c>
      <c r="B1035" s="8" t="s">
        <v>44</v>
      </c>
      <c r="C1035" s="12">
        <f>COUNTIFS('DEF_SELF_SCOUT_IMPORT'!$L$42:$L$1040,"Y",'DEF_SELF_SCOUT_IMPORT'!$E$42:$E$1040,SUBSTITUTE(SUBSTITUTE(SUBSTITUTE($B1035,"~","~~"),"*","~*"),"?","~?"),'DEF_SELF_SCOUT_IMPORT'!$Q$42:$Q$1040,SUBSTITUTE(SUBSTITUTE(SUBSTITUTE($M1035,"~","~~"),"*","~*"),"?","~?"),'DEF_SELF_SCOUT_IMPORT'!$D$42:$D$1040,SUBSTITUTE(SUBSTITUTE(SUBSTITUTE($P1035,"~","~~"),"*","~*"),"?","~?"))</f>
        <v>3</v>
      </c>
      <c r="D1035" s="10">
        <f>IF($C1035=0,"",SUMIFS('DEF_SELF_SCOUT_IMPORT'!$J$42:$J$1040,'DEF_SELF_SCOUT_IMPORT'!$L$42:$L$1040,"Y",'DEF_SELF_SCOUT_IMPORT'!$E$42:$E$1040,SUBSTITUTE(SUBSTITUTE(SUBSTITUTE($B1035,"~","~~"),"*","~*"),"?","~?"),'DEF_SELF_SCOUT_IMPORT'!$Q$42:$Q$1040,SUBSTITUTE(SUBSTITUTE(SUBSTITUTE($M1035,"~","~~"),"*","~*"),"?","~?"),'DEF_SELF_SCOUT_IMPORT'!$D$42:$D$1040,SUBSTITUTE(SUBSTITUTE(SUBSTITUTE($P1035,"~","~~"),"*","~*"),"?","~?"))/$C1035)</f>
        <v>0.0</v>
      </c>
      <c r="E1035" s="10">
        <f>IF($C1035=0,"",SUMIFS('DEF_SELF_SCOUT_IMPORT'!$K$42:$K$1040,'DEF_SELF_SCOUT_IMPORT'!$L$42:$L$1040,"Y",'DEF_SELF_SCOUT_IMPORT'!$E$42:$E$1040,SUBSTITUTE(SUBSTITUTE(SUBSTITUTE($B1035,"~","~~"),"*","~*"),"?","~?"),'DEF_SELF_SCOUT_IMPORT'!$Q$42:$Q$1040,SUBSTITUTE(SUBSTITUTE(SUBSTITUTE($M1035,"~","~~"),"*","~*"),"?","~?"),'DEF_SELF_SCOUT_IMPORT'!$D$42:$D$1040,SUBSTITUTE(SUBSTITUTE(SUBSTITUTE($P1035,"~","~~"),"*","~*"),"?","~?"))/$C1035)</f>
        <v>0.0</v>
      </c>
      <c r="F1035" s="11">
        <f>IF($C1035=0,"",AVERAGEIFS('DEF_SELF_SCOUT_IMPORT'!$I$42:$I$1040,'DEF_SELF_SCOUT_IMPORT'!$L$42:$L$1040,"Y",'DEF_SELF_SCOUT_IMPORT'!$E$42:$E$1040,SUBSTITUTE(SUBSTITUTE(SUBSTITUTE($B1035,"~","~~"),"*","~*"),"?","~?"),'DEF_SELF_SCOUT_IMPORT'!$Q$42:$Q$1040,SUBSTITUTE(SUBSTITUTE(SUBSTITUTE($M1035,"~","~~"),"*","~*"),"?","~?"),'DEF_SELF_SCOUT_IMPORT'!$D$42:$D$1040,SUBSTITUTE(SUBSTITUTE(SUBSTITUTE($P1035,"~","~~"),"*","~*"),"?","~?")))</f>
        <v>5.666666666666667</v>
      </c>
      <c r="G1035" s="10">
        <f>IF($C1035=0,"",COUNTIFS('DEF_SELF_SCOUT_IMPORT'!$L$42:$L$1040,"Y",'DEF_SELF_SCOUT_IMPORT'!$E$42:$E$1040,SUBSTITUTE(SUBSTITUTE(SUBSTITUTE($B1035,"~","~~"),"*","~*"),"?","~?"),'DEF_SELF_SCOUT_IMPORT'!$Q$42:$Q$1040,SUBSTITUTE(SUBSTITUTE(SUBSTITUTE($M1035,"~","~~"),"*","~*"),"?","~?"),'DEF_SELF_SCOUT_IMPORT'!$D$42:$D$1040,SUBSTITUTE(SUBSTITUTE(SUBSTITUTE($P1035,"~","~~"),"*","~*"),"?","~?"),'DEF_SELF_SCOUT_IMPORT'!$H$42:$H$1040,"RUSH")/$C1035)</f>
        <v>1.0</v>
      </c>
      <c r="H1035" s="10">
        <f>IF($C1035=0,"",COUNTIFS('DEF_SELF_SCOUT_IMPORT'!$L$42:$L$1040,"Y",'DEF_SELF_SCOUT_IMPORT'!$E$42:$E$1040,SUBSTITUTE(SUBSTITUTE(SUBSTITUTE($B1035,"~","~~"),"*","~*"),"?","~?"),'DEF_SELF_SCOUT_IMPORT'!$Q$42:$Q$1040,SUBSTITUTE(SUBSTITUTE(SUBSTITUTE($M1035,"~","~~"),"*","~*"),"?","~?"),'DEF_SELF_SCOUT_IMPORT'!$D$42:$D$1040,SUBSTITUTE(SUBSTITUTE(SUBSTITUTE($P1035,"~","~~"),"*","~*"),"?","~?"),'DEF_SELF_SCOUT_IMPORT'!$H$42:$H$1040,"DROPBACK")/$C1035)</f>
        <v>0.0</v>
      </c>
      <c r="I1035" s="14" t="str">
        <f>IF(C1035=0,"",IF(C1035&lt;=2,"TRACK",IF(C1035=3,"LOW",IF(C1035&lt;=6,"MEDIUM","HIGH"))))</f>
        <v>LOW</v>
      </c>
      <c r="J1035" s="11">
        <f>IF(C1035=0,"",ROUND(D1035*70+(1-E1035)*20+MAX(0,MIN(1,(10-F1035)/10))*10,1))</f>
        <v>24.3</v>
      </c>
      <c r="K1035" s="14" t="str">
        <f>IF(C1035=0,"No Evidence",IF(C1035&lt;=2,IF(E1035&gt;0,"Explosive Alert","Track Only"),IF(C1035=3,"Sample Watch",IF(E1035&gt;=START_HERE!$B$31,"Explosive Alert",IF(J1035&gt;=80,"Strong Candidate",IF(J1035&gt;=65,"Good Candidate",IF(J1035&gt;=50,"Mixed / Review","Problem Call")))))))</f>
        <v>Sample Watch</v>
      </c>
      <c r="L1035" s="9" t="str">
        <f>IF(COUNTIFS('DEF_SELF_SCOUT_IMPORT'!$L$42:$L$1040,"Y",'DEF_SELF_SCOUT_IMPORT'!$E$42:$E$1040,SUBSTITUTE(SUBSTITUTE(SUBSTITUTE($B1035,"~","~~"),"*","~*"),"?","~?"),'DEF_SELF_SCOUT_IMPORT'!$Q$42:$Q$1040,SUBSTITUTE(SUBSTITUTE(SUBSTITUTE($M1035,"~","~~"),"*","~*"),"?","~?"),'DEF_SELF_SCOUT_IMPORT'!$D$42:$D$1040,SUBSTITUTE(SUBSTITUTE(SUBSTITUTE($P1035,"~","~~"),"*","~*"),"?","~?"),'DEF_SELF_SCOUT_IMPORT'!$J$42:$J$1040,"")&gt;0,"Unscored clean outcome; review result tags before using score.",IF(C1035=0,"No matching defensive reps; film confirmation needed.",IF(K1035="Explosive Alert","Explosive risk; review clips before using as answer.",IF(C1035&lt;=2,"Track only; not enough sample.",IF(C1035=3,IF(E1035&gt;0,"Sample watch with explosive exposure; review clips and build the sample.",IF(J1035&gt;=65,"Good signal, but sample is limited.","Sample watch; review clips and build the sample.")),IF(K1035="Problem Call","Problem area; practice or call-sheet review.",IF(K1035="Strong Candidate","Strong call-fit candidate; confirm on film.",IF(K1035="Good Candidate","Good call-fit signal; confirm on film.","Mixed signal; review fit and execution on film."))))))))</f>
        <v>Sample watch; review clips and build the sample.</v>
      </c>
      <c r="M1035" s="8" t="s">
        <v>115</v>
      </c>
      <c r="N1035" s="8"/>
      <c r="O1035" s="8"/>
      <c r="P1035" s="8" t="s">
        <v>428</v>
      </c>
      <c r="Q1035" s="8"/>
      <c r="R1035" s="8" t="s">
        <v>429</v>
      </c>
      <c r="S1035" s="2" t="s">
        <v>616</v>
      </c>
      <c r="T1035" s="2">
        <f>IF(C1035=0,0,IF(C1035&gt;=CALL_LOOKUP_BOARD!$B$7,IF(OR(K1035="Problem Call",K1035="Explosive Alert"),10000000,20000000),0)+IF(C1035&gt;=CALL_LOOKUP_BOARD!$B$7,J1035*1000+MIN(C1035,999),C1035*1000+J1035)+0.00977500)</f>
        <v>3024.309775</v>
      </c>
      <c r="U1035" s="2">
        <f>IF(C1035=0,"",IF(COUNTIFS($S$811:$S$1055,SUBSTITUTE(SUBSTITUTE(SUBSTITUTE(S1035,"~","~~"),"*","~*"),"?","~?"),$T$811:$T$1055,"&gt;"&amp;T1035)=0,S1035,""))</f>
        <v/>
      </c>
    </row>
    <row r="1036" spans="1:21" ht="38" customHeight="1">
      <c r="A1036" s="8" t="s">
        <v>615</v>
      </c>
      <c r="B1036" s="8" t="s">
        <v>52</v>
      </c>
      <c r="C1036" s="12">
        <f>COUNTIFS('DEF_SELF_SCOUT_IMPORT'!$L$42:$L$1040,"Y",'DEF_SELF_SCOUT_IMPORT'!$E$42:$E$1040,SUBSTITUTE(SUBSTITUTE(SUBSTITUTE($B1036,"~","~~"),"*","~*"),"?","~?"),'DEF_SELF_SCOUT_IMPORT'!$Q$42:$Q$1040,SUBSTITUTE(SUBSTITUTE(SUBSTITUTE($M1036,"~","~~"),"*","~*"),"?","~?"),'DEF_SELF_SCOUT_IMPORT'!$D$42:$D$1040,SUBSTITUTE(SUBSTITUTE(SUBSTITUTE($P1036,"~","~~"),"*","~*"),"?","~?"))</f>
        <v>3</v>
      </c>
      <c r="D1036" s="10">
        <f>IF($C1036=0,"",SUMIFS('DEF_SELF_SCOUT_IMPORT'!$J$42:$J$1040,'DEF_SELF_SCOUT_IMPORT'!$L$42:$L$1040,"Y",'DEF_SELF_SCOUT_IMPORT'!$E$42:$E$1040,SUBSTITUTE(SUBSTITUTE(SUBSTITUTE($B1036,"~","~~"),"*","~*"),"?","~?"),'DEF_SELF_SCOUT_IMPORT'!$Q$42:$Q$1040,SUBSTITUTE(SUBSTITUTE(SUBSTITUTE($M1036,"~","~~"),"*","~*"),"?","~?"),'DEF_SELF_SCOUT_IMPORT'!$D$42:$D$1040,SUBSTITUTE(SUBSTITUTE(SUBSTITUTE($P1036,"~","~~"),"*","~*"),"?","~?"))/$C1036)</f>
        <v>0.3333333333333333</v>
      </c>
      <c r="E1036" s="10">
        <f>IF($C1036=0,"",SUMIFS('DEF_SELF_SCOUT_IMPORT'!$K$42:$K$1040,'DEF_SELF_SCOUT_IMPORT'!$L$42:$L$1040,"Y",'DEF_SELF_SCOUT_IMPORT'!$E$42:$E$1040,SUBSTITUTE(SUBSTITUTE(SUBSTITUTE($B1036,"~","~~"),"*","~*"),"?","~?"),'DEF_SELF_SCOUT_IMPORT'!$Q$42:$Q$1040,SUBSTITUTE(SUBSTITUTE(SUBSTITUTE($M1036,"~","~~"),"*","~*"),"?","~?"),'DEF_SELF_SCOUT_IMPORT'!$D$42:$D$1040,SUBSTITUTE(SUBSTITUTE(SUBSTITUTE($P1036,"~","~~"),"*","~*"),"?","~?"))/$C1036)</f>
        <v>0.0</v>
      </c>
      <c r="F1036" s="11">
        <f>IF($C1036=0,"",AVERAGEIFS('DEF_SELF_SCOUT_IMPORT'!$I$42:$I$1040,'DEF_SELF_SCOUT_IMPORT'!$L$42:$L$1040,"Y",'DEF_SELF_SCOUT_IMPORT'!$E$42:$E$1040,SUBSTITUTE(SUBSTITUTE(SUBSTITUTE($B1036,"~","~~"),"*","~*"),"?","~?"),'DEF_SELF_SCOUT_IMPORT'!$Q$42:$Q$1040,SUBSTITUTE(SUBSTITUTE(SUBSTITUTE($M1036,"~","~~"),"*","~*"),"?","~?"),'DEF_SELF_SCOUT_IMPORT'!$D$42:$D$1040,SUBSTITUTE(SUBSTITUTE(SUBSTITUTE($P1036,"~","~~"),"*","~*"),"?","~?")))</f>
        <v>4.333333333333333</v>
      </c>
      <c r="G1036" s="10">
        <f>IF($C1036=0,"",COUNTIFS('DEF_SELF_SCOUT_IMPORT'!$L$42:$L$1040,"Y",'DEF_SELF_SCOUT_IMPORT'!$E$42:$E$1040,SUBSTITUTE(SUBSTITUTE(SUBSTITUTE($B1036,"~","~~"),"*","~*"),"?","~?"),'DEF_SELF_SCOUT_IMPORT'!$Q$42:$Q$1040,SUBSTITUTE(SUBSTITUTE(SUBSTITUTE($M1036,"~","~~"),"*","~*"),"?","~?"),'DEF_SELF_SCOUT_IMPORT'!$D$42:$D$1040,SUBSTITUTE(SUBSTITUTE(SUBSTITUTE($P1036,"~","~~"),"*","~*"),"?","~?"),'DEF_SELF_SCOUT_IMPORT'!$H$42:$H$1040,"RUSH")/$C1036)</f>
        <v>1.0</v>
      </c>
      <c r="H1036" s="10">
        <f>IF($C1036=0,"",COUNTIFS('DEF_SELF_SCOUT_IMPORT'!$L$42:$L$1040,"Y",'DEF_SELF_SCOUT_IMPORT'!$E$42:$E$1040,SUBSTITUTE(SUBSTITUTE(SUBSTITUTE($B1036,"~","~~"),"*","~*"),"?","~?"),'DEF_SELF_SCOUT_IMPORT'!$Q$42:$Q$1040,SUBSTITUTE(SUBSTITUTE(SUBSTITUTE($M1036,"~","~~"),"*","~*"),"?","~?"),'DEF_SELF_SCOUT_IMPORT'!$D$42:$D$1040,SUBSTITUTE(SUBSTITUTE(SUBSTITUTE($P1036,"~","~~"),"*","~*"),"?","~?"),'DEF_SELF_SCOUT_IMPORT'!$H$42:$H$1040,"DROPBACK")/$C1036)</f>
        <v>0.0</v>
      </c>
      <c r="I1036" s="14" t="str">
        <f>IF(C1036=0,"",IF(C1036&lt;=2,"TRACK",IF(C1036=3,"LOW",IF(C1036&lt;=6,"MEDIUM","HIGH"))))</f>
        <v>LOW</v>
      </c>
      <c r="J1036" s="11">
        <f>IF(C1036=0,"",ROUND(D1036*70+(1-E1036)*20+MAX(0,MIN(1,(10-F1036)/10))*10,1))</f>
        <v>49.0</v>
      </c>
      <c r="K1036" s="14" t="str">
        <f>IF(C1036=0,"No Evidence",IF(C1036&lt;=2,IF(E1036&gt;0,"Explosive Alert","Track Only"),IF(C1036=3,"Sample Watch",IF(E1036&gt;=START_HERE!$B$31,"Explosive Alert",IF(J1036&gt;=80,"Strong Candidate",IF(J1036&gt;=65,"Good Candidate",IF(J1036&gt;=50,"Mixed / Review","Problem Call")))))))</f>
        <v>Sample Watch</v>
      </c>
      <c r="L1036" s="9" t="str">
        <f>IF(COUNTIFS('DEF_SELF_SCOUT_IMPORT'!$L$42:$L$1040,"Y",'DEF_SELF_SCOUT_IMPORT'!$E$42:$E$1040,SUBSTITUTE(SUBSTITUTE(SUBSTITUTE($B1036,"~","~~"),"*","~*"),"?","~?"),'DEF_SELF_SCOUT_IMPORT'!$Q$42:$Q$1040,SUBSTITUTE(SUBSTITUTE(SUBSTITUTE($M1036,"~","~~"),"*","~*"),"?","~?"),'DEF_SELF_SCOUT_IMPORT'!$D$42:$D$1040,SUBSTITUTE(SUBSTITUTE(SUBSTITUTE($P1036,"~","~~"),"*","~*"),"?","~?"),'DEF_SELF_SCOUT_IMPORT'!$J$42:$J$1040,"")&gt;0,"Unscored clean outcome; review result tags before using score.",IF(C1036=0,"No matching defensive reps; film confirmation needed.",IF(K1036="Explosive Alert","Explosive risk; review clips before using as answer.",IF(C1036&lt;=2,"Track only; not enough sample.",IF(C1036=3,IF(E1036&gt;0,"Sample watch with explosive exposure; review clips and build the sample.",IF(J1036&gt;=65,"Good signal, but sample is limited.","Sample watch; review clips and build the sample.")),IF(K1036="Problem Call","Problem area; practice or call-sheet review.",IF(K1036="Strong Candidate","Strong call-fit candidate; confirm on film.",IF(K1036="Good Candidate","Good call-fit signal; confirm on film.","Mixed signal; review fit and execution on film."))))))))</f>
        <v>Sample watch; review clips and build the sample.</v>
      </c>
      <c r="M1036" s="8" t="s">
        <v>115</v>
      </c>
      <c r="N1036" s="8"/>
      <c r="O1036" s="8"/>
      <c r="P1036" s="8" t="s">
        <v>428</v>
      </c>
      <c r="Q1036" s="8"/>
      <c r="R1036" s="8" t="s">
        <v>429</v>
      </c>
      <c r="S1036" s="2" t="s">
        <v>616</v>
      </c>
      <c r="T1036" s="2">
        <f>IF(C1036=0,0,IF(C1036&gt;=CALL_LOOKUP_BOARD!$B$7,IF(OR(K1036="Problem Call",K1036="Explosive Alert"),10000000,20000000),0)+IF(C1036&gt;=CALL_LOOKUP_BOARD!$B$7,J1036*1000+MIN(C1036,999),C1036*1000+J1036)+0.00977400)</f>
        <v>3049.009774</v>
      </c>
      <c r="U1036" s="2" t="str">
        <f>IF(C1036=0,"",IF(COUNTIFS($S$811:$S$1055,SUBSTITUTE(SUBSTITUTE(SUBSTITUTE(S1036,"~","~~"),"*","~*"),"?","~?"),$T$811:$T$1055,"&gt;"&amp;T1036)=0,S1036,""))</f>
        <v>4:P&amp;10|11:INSIDE ZONE|</v>
      </c>
    </row>
    <row r="1037" spans="1:21" ht="38" customHeight="1">
      <c r="A1037" s="8" t="s">
        <v>615</v>
      </c>
      <c r="B1037" s="8" t="s">
        <v>88</v>
      </c>
      <c r="C1037" s="12">
        <f>COUNTIFS('DEF_SELF_SCOUT_IMPORT'!$L$42:$L$1040,"Y",'DEF_SELF_SCOUT_IMPORT'!$E$42:$E$1040,SUBSTITUTE(SUBSTITUTE(SUBSTITUTE($B1037,"~","~~"),"*","~*"),"?","~?"),'DEF_SELF_SCOUT_IMPORT'!$Q$42:$Q$1040,SUBSTITUTE(SUBSTITUTE(SUBSTITUTE($M1037,"~","~~"),"*","~*"),"?","~?"),'DEF_SELF_SCOUT_IMPORT'!$D$42:$D$1040,SUBSTITUTE(SUBSTITUTE(SUBSTITUTE($P1037,"~","~~"),"*","~*"),"?","~?"))</f>
        <v>1</v>
      </c>
      <c r="D1037" s="10">
        <f>IF($C1037=0,"",SUMIFS('DEF_SELF_SCOUT_IMPORT'!$J$42:$J$1040,'DEF_SELF_SCOUT_IMPORT'!$L$42:$L$1040,"Y",'DEF_SELF_SCOUT_IMPORT'!$E$42:$E$1040,SUBSTITUTE(SUBSTITUTE(SUBSTITUTE($B1037,"~","~~"),"*","~*"),"?","~?"),'DEF_SELF_SCOUT_IMPORT'!$Q$42:$Q$1040,SUBSTITUTE(SUBSTITUTE(SUBSTITUTE($M1037,"~","~~"),"*","~*"),"?","~?"),'DEF_SELF_SCOUT_IMPORT'!$D$42:$D$1040,SUBSTITUTE(SUBSTITUTE(SUBSTITUTE($P1037,"~","~~"),"*","~*"),"?","~?"))/$C1037)</f>
        <v>0.0</v>
      </c>
      <c r="E1037" s="10">
        <f>IF($C1037=0,"",SUMIFS('DEF_SELF_SCOUT_IMPORT'!$K$42:$K$1040,'DEF_SELF_SCOUT_IMPORT'!$L$42:$L$1040,"Y",'DEF_SELF_SCOUT_IMPORT'!$E$42:$E$1040,SUBSTITUTE(SUBSTITUTE(SUBSTITUTE($B1037,"~","~~"),"*","~*"),"?","~?"),'DEF_SELF_SCOUT_IMPORT'!$Q$42:$Q$1040,SUBSTITUTE(SUBSTITUTE(SUBSTITUTE($M1037,"~","~~"),"*","~*"),"?","~?"),'DEF_SELF_SCOUT_IMPORT'!$D$42:$D$1040,SUBSTITUTE(SUBSTITUTE(SUBSTITUTE($P1037,"~","~~"),"*","~*"),"?","~?"))/$C1037)</f>
        <v>0.0</v>
      </c>
      <c r="F1037" s="11">
        <f>IF($C1037=0,"",AVERAGEIFS('DEF_SELF_SCOUT_IMPORT'!$I$42:$I$1040,'DEF_SELF_SCOUT_IMPORT'!$L$42:$L$1040,"Y",'DEF_SELF_SCOUT_IMPORT'!$E$42:$E$1040,SUBSTITUTE(SUBSTITUTE(SUBSTITUTE($B1037,"~","~~"),"*","~*"),"?","~?"),'DEF_SELF_SCOUT_IMPORT'!$Q$42:$Q$1040,SUBSTITUTE(SUBSTITUTE(SUBSTITUTE($M1037,"~","~~"),"*","~*"),"?","~?"),'DEF_SELF_SCOUT_IMPORT'!$D$42:$D$1040,SUBSTITUTE(SUBSTITUTE(SUBSTITUTE($P1037,"~","~~"),"*","~*"),"?","~?")))</f>
        <v>4.0</v>
      </c>
      <c r="G1037" s="10">
        <f>IF($C1037=0,"",COUNTIFS('DEF_SELF_SCOUT_IMPORT'!$L$42:$L$1040,"Y",'DEF_SELF_SCOUT_IMPORT'!$E$42:$E$1040,SUBSTITUTE(SUBSTITUTE(SUBSTITUTE($B1037,"~","~~"),"*","~*"),"?","~?"),'DEF_SELF_SCOUT_IMPORT'!$Q$42:$Q$1040,SUBSTITUTE(SUBSTITUTE(SUBSTITUTE($M1037,"~","~~"),"*","~*"),"?","~?"),'DEF_SELF_SCOUT_IMPORT'!$D$42:$D$1040,SUBSTITUTE(SUBSTITUTE(SUBSTITUTE($P1037,"~","~~"),"*","~*"),"?","~?"),'DEF_SELF_SCOUT_IMPORT'!$H$42:$H$1040,"RUSH")/$C1037)</f>
        <v>1.0</v>
      </c>
      <c r="H1037" s="10">
        <f>IF($C1037=0,"",COUNTIFS('DEF_SELF_SCOUT_IMPORT'!$L$42:$L$1040,"Y",'DEF_SELF_SCOUT_IMPORT'!$E$42:$E$1040,SUBSTITUTE(SUBSTITUTE(SUBSTITUTE($B1037,"~","~~"),"*","~*"),"?","~?"),'DEF_SELF_SCOUT_IMPORT'!$Q$42:$Q$1040,SUBSTITUTE(SUBSTITUTE(SUBSTITUTE($M1037,"~","~~"),"*","~*"),"?","~?"),'DEF_SELF_SCOUT_IMPORT'!$D$42:$D$1040,SUBSTITUTE(SUBSTITUTE(SUBSTITUTE($P1037,"~","~~"),"*","~*"),"?","~?"),'DEF_SELF_SCOUT_IMPORT'!$H$42:$H$1040,"DROPBACK")/$C1037)</f>
        <v>0.0</v>
      </c>
      <c r="I1037" s="14" t="str">
        <f>IF(C1037=0,"",IF(C1037&lt;=2,"TRACK",IF(C1037=3,"LOW",IF(C1037&lt;=6,"MEDIUM","HIGH"))))</f>
        <v>TRACK</v>
      </c>
      <c r="J1037" s="11">
        <f>IF(C1037=0,"",ROUND(D1037*70+(1-E1037)*20+MAX(0,MIN(1,(10-F1037)/10))*10,1))</f>
        <v>26.0</v>
      </c>
      <c r="K1037" s="14" t="str">
        <f>IF(C1037=0,"No Evidence",IF(C1037&lt;=2,IF(E1037&gt;0,"Explosive Alert","Track Only"),IF(C1037=3,"Sample Watch",IF(E1037&gt;=START_HERE!$B$31,"Explosive Alert",IF(J1037&gt;=80,"Strong Candidate",IF(J1037&gt;=65,"Good Candidate",IF(J1037&gt;=50,"Mixed / Review","Problem Call")))))))</f>
        <v>Track Only</v>
      </c>
      <c r="L1037" s="9" t="str">
        <f>IF(COUNTIFS('DEF_SELF_SCOUT_IMPORT'!$L$42:$L$1040,"Y",'DEF_SELF_SCOUT_IMPORT'!$E$42:$E$1040,SUBSTITUTE(SUBSTITUTE(SUBSTITUTE($B1037,"~","~~"),"*","~*"),"?","~?"),'DEF_SELF_SCOUT_IMPORT'!$Q$42:$Q$1040,SUBSTITUTE(SUBSTITUTE(SUBSTITUTE($M1037,"~","~~"),"*","~*"),"?","~?"),'DEF_SELF_SCOUT_IMPORT'!$D$42:$D$1040,SUBSTITUTE(SUBSTITUTE(SUBSTITUTE($P1037,"~","~~"),"*","~*"),"?","~?"),'DEF_SELF_SCOUT_IMPORT'!$J$42:$J$1040,"")&gt;0,"Unscored clean outcome; review result tags before using score.",IF(C1037=0,"No matching defensive reps; film confirmation needed.",IF(K1037="Explosive Alert","Explosive risk; review clips before using as answer.",IF(C1037&lt;=2,"Track only; not enough sample.",IF(C1037=3,IF(E1037&gt;0,"Sample watch with explosive exposure; review clips and build the sample.",IF(J1037&gt;=65,"Good signal, but sample is limited.","Sample watch; review clips and build the sample.")),IF(K1037="Problem Call","Problem area; practice or call-sheet review.",IF(K1037="Strong Candidate","Strong call-fit candidate; confirm on film.",IF(K1037="Good Candidate","Good call-fit signal; confirm on film.","Mixed signal; review fit and execution on film."))))))))</f>
        <v>Track only; not enough sample.</v>
      </c>
      <c r="M1037" s="8" t="s">
        <v>115</v>
      </c>
      <c r="N1037" s="8"/>
      <c r="O1037" s="8"/>
      <c r="P1037" s="8" t="s">
        <v>428</v>
      </c>
      <c r="Q1037" s="8"/>
      <c r="R1037" s="8" t="s">
        <v>429</v>
      </c>
      <c r="S1037" s="2" t="s">
        <v>616</v>
      </c>
      <c r="T1037" s="2">
        <f>IF(C1037=0,0,IF(C1037&gt;=CALL_LOOKUP_BOARD!$B$7,IF(OR(K1037="Problem Call",K1037="Explosive Alert"),10000000,20000000),0)+IF(C1037&gt;=CALL_LOOKUP_BOARD!$B$7,J1037*1000+MIN(C1037,999),C1037*1000+J1037)+0.00977300)</f>
        <v>1026.009773</v>
      </c>
      <c r="U1037" s="2">
        <f>IF(C1037=0,"",IF(COUNTIFS($S$811:$S$1055,SUBSTITUTE(SUBSTITUTE(SUBSTITUTE(S1037,"~","~~"),"*","~*"),"?","~?"),$T$811:$T$1055,"&gt;"&amp;T1037)=0,S1037,""))</f>
        <v/>
      </c>
    </row>
    <row r="1038" spans="1:21" ht="38" customHeight="1">
      <c r="A1038" s="8" t="s">
        <v>615</v>
      </c>
      <c r="B1038" s="8" t="s">
        <v>54</v>
      </c>
      <c r="C1038" s="12">
        <f>COUNTIFS('DEF_SELF_SCOUT_IMPORT'!$L$42:$L$1040,"Y",'DEF_SELF_SCOUT_IMPORT'!$E$42:$E$1040,SUBSTITUTE(SUBSTITUTE(SUBSTITUTE($B1038,"~","~~"),"*","~*"),"?","~?"),'DEF_SELF_SCOUT_IMPORT'!$Q$42:$Q$1040,SUBSTITUTE(SUBSTITUTE(SUBSTITUTE($M1038,"~","~~"),"*","~*"),"?","~?"),'DEF_SELF_SCOUT_IMPORT'!$D$42:$D$1040,SUBSTITUTE(SUBSTITUTE(SUBSTITUTE($P1038,"~","~~"),"*","~*"),"?","~?"))</f>
        <v>1</v>
      </c>
      <c r="D1038" s="10">
        <f>IF($C1038=0,"",SUMIFS('DEF_SELF_SCOUT_IMPORT'!$J$42:$J$1040,'DEF_SELF_SCOUT_IMPORT'!$L$42:$L$1040,"Y",'DEF_SELF_SCOUT_IMPORT'!$E$42:$E$1040,SUBSTITUTE(SUBSTITUTE(SUBSTITUTE($B1038,"~","~~"),"*","~*"),"?","~?"),'DEF_SELF_SCOUT_IMPORT'!$Q$42:$Q$1040,SUBSTITUTE(SUBSTITUTE(SUBSTITUTE($M1038,"~","~~"),"*","~*"),"?","~?"),'DEF_SELF_SCOUT_IMPORT'!$D$42:$D$1040,SUBSTITUTE(SUBSTITUTE(SUBSTITUTE($P1038,"~","~~"),"*","~*"),"?","~?"))/$C1038)</f>
        <v>0.0</v>
      </c>
      <c r="E1038" s="10">
        <f>IF($C1038=0,"",SUMIFS('DEF_SELF_SCOUT_IMPORT'!$K$42:$K$1040,'DEF_SELF_SCOUT_IMPORT'!$L$42:$L$1040,"Y",'DEF_SELF_SCOUT_IMPORT'!$E$42:$E$1040,SUBSTITUTE(SUBSTITUTE(SUBSTITUTE($B1038,"~","~~"),"*","~*"),"?","~?"),'DEF_SELF_SCOUT_IMPORT'!$Q$42:$Q$1040,SUBSTITUTE(SUBSTITUTE(SUBSTITUTE($M1038,"~","~~"),"*","~*"),"?","~?"),'DEF_SELF_SCOUT_IMPORT'!$D$42:$D$1040,SUBSTITUTE(SUBSTITUTE(SUBSTITUTE($P1038,"~","~~"),"*","~*"),"?","~?"))/$C1038)</f>
        <v>1.0</v>
      </c>
      <c r="F1038" s="11">
        <f>IF($C1038=0,"",AVERAGEIFS('DEF_SELF_SCOUT_IMPORT'!$I$42:$I$1040,'DEF_SELF_SCOUT_IMPORT'!$L$42:$L$1040,"Y",'DEF_SELF_SCOUT_IMPORT'!$E$42:$E$1040,SUBSTITUTE(SUBSTITUTE(SUBSTITUTE($B1038,"~","~~"),"*","~*"),"?","~?"),'DEF_SELF_SCOUT_IMPORT'!$Q$42:$Q$1040,SUBSTITUTE(SUBSTITUTE(SUBSTITUTE($M1038,"~","~~"),"*","~*"),"?","~?"),'DEF_SELF_SCOUT_IMPORT'!$D$42:$D$1040,SUBSTITUTE(SUBSTITUTE(SUBSTITUTE($P1038,"~","~~"),"*","~*"),"?","~?")))</f>
        <v>17.0</v>
      </c>
      <c r="G1038" s="10">
        <f>IF($C1038=0,"",COUNTIFS('DEF_SELF_SCOUT_IMPORT'!$L$42:$L$1040,"Y",'DEF_SELF_SCOUT_IMPORT'!$E$42:$E$1040,SUBSTITUTE(SUBSTITUTE(SUBSTITUTE($B1038,"~","~~"),"*","~*"),"?","~?"),'DEF_SELF_SCOUT_IMPORT'!$Q$42:$Q$1040,SUBSTITUTE(SUBSTITUTE(SUBSTITUTE($M1038,"~","~~"),"*","~*"),"?","~?"),'DEF_SELF_SCOUT_IMPORT'!$D$42:$D$1040,SUBSTITUTE(SUBSTITUTE(SUBSTITUTE($P1038,"~","~~"),"*","~*"),"?","~?"),'DEF_SELF_SCOUT_IMPORT'!$H$42:$H$1040,"RUSH")/$C1038)</f>
        <v>1.0</v>
      </c>
      <c r="H1038" s="10">
        <f>IF($C1038=0,"",COUNTIFS('DEF_SELF_SCOUT_IMPORT'!$L$42:$L$1040,"Y",'DEF_SELF_SCOUT_IMPORT'!$E$42:$E$1040,SUBSTITUTE(SUBSTITUTE(SUBSTITUTE($B1038,"~","~~"),"*","~*"),"?","~?"),'DEF_SELF_SCOUT_IMPORT'!$Q$42:$Q$1040,SUBSTITUTE(SUBSTITUTE(SUBSTITUTE($M1038,"~","~~"),"*","~*"),"?","~?"),'DEF_SELF_SCOUT_IMPORT'!$D$42:$D$1040,SUBSTITUTE(SUBSTITUTE(SUBSTITUTE($P1038,"~","~~"),"*","~*"),"?","~?"),'DEF_SELF_SCOUT_IMPORT'!$H$42:$H$1040,"DROPBACK")/$C1038)</f>
        <v>0.0</v>
      </c>
      <c r="I1038" s="14" t="str">
        <f>IF(C1038=0,"",IF(C1038&lt;=2,"TRACK",IF(C1038=3,"LOW",IF(C1038&lt;=6,"MEDIUM","HIGH"))))</f>
        <v>TRACK</v>
      </c>
      <c r="J1038" s="11">
        <f>IF(C1038=0,"",ROUND(D1038*70+(1-E1038)*20+MAX(0,MIN(1,(10-F1038)/10))*10,1))</f>
        <v>0.0</v>
      </c>
      <c r="K1038" s="14" t="str">
        <f>IF(C1038=0,"No Evidence",IF(C1038&lt;=2,IF(E1038&gt;0,"Explosive Alert","Track Only"),IF(C1038=3,"Sample Watch",IF(E1038&gt;=START_HERE!$B$31,"Explosive Alert",IF(J1038&gt;=80,"Strong Candidate",IF(J1038&gt;=65,"Good Candidate",IF(J1038&gt;=50,"Mixed / Review","Problem Call")))))))</f>
        <v>Explosive Alert</v>
      </c>
      <c r="L1038" s="9" t="str">
        <f>IF(COUNTIFS('DEF_SELF_SCOUT_IMPORT'!$L$42:$L$1040,"Y",'DEF_SELF_SCOUT_IMPORT'!$E$42:$E$1040,SUBSTITUTE(SUBSTITUTE(SUBSTITUTE($B1038,"~","~~"),"*","~*"),"?","~?"),'DEF_SELF_SCOUT_IMPORT'!$Q$42:$Q$1040,SUBSTITUTE(SUBSTITUTE(SUBSTITUTE($M1038,"~","~~"),"*","~*"),"?","~?"),'DEF_SELF_SCOUT_IMPORT'!$D$42:$D$1040,SUBSTITUTE(SUBSTITUTE(SUBSTITUTE($P1038,"~","~~"),"*","~*"),"?","~?"),'DEF_SELF_SCOUT_IMPORT'!$J$42:$J$1040,"")&gt;0,"Unscored clean outcome; review result tags before using score.",IF(C1038=0,"No matching defensive reps; film confirmation needed.",IF(K1038="Explosive Alert","Explosive risk; review clips before using as answer.",IF(C1038&lt;=2,"Track only; not enough sample.",IF(C1038=3,IF(E1038&gt;0,"Sample watch with explosive exposure; review clips and build the sample.",IF(J1038&gt;=65,"Good signal, but sample is limited.","Sample watch; review clips and build the sample.")),IF(K1038="Problem Call","Problem area; practice or call-sheet review.",IF(K1038="Strong Candidate","Strong call-fit candidate; confirm on film.",IF(K1038="Good Candidate","Good call-fit signal; confirm on film.","Mixed signal; review fit and execution on film."))))))))</f>
        <v>Explosive risk; review clips before using as answer.</v>
      </c>
      <c r="M1038" s="8" t="s">
        <v>115</v>
      </c>
      <c r="N1038" s="8"/>
      <c r="O1038" s="8"/>
      <c r="P1038" s="8" t="s">
        <v>428</v>
      </c>
      <c r="Q1038" s="8"/>
      <c r="R1038" s="8" t="s">
        <v>429</v>
      </c>
      <c r="S1038" s="2" t="s">
        <v>616</v>
      </c>
      <c r="T1038" s="2">
        <f>IF(C1038=0,0,IF(C1038&gt;=CALL_LOOKUP_BOARD!$B$7,IF(OR(K1038="Problem Call",K1038="Explosive Alert"),10000000,20000000),0)+IF(C1038&gt;=CALL_LOOKUP_BOARD!$B$7,J1038*1000+MIN(C1038,999),C1038*1000+J1038)+0.00977200)</f>
        <v>1000.009772</v>
      </c>
      <c r="U1038" s="2">
        <f>IF(C1038=0,"",IF(COUNTIFS($S$811:$S$1055,SUBSTITUTE(SUBSTITUTE(SUBSTITUTE(S1038,"~","~~"),"*","~*"),"?","~?"),$T$811:$T$1055,"&gt;"&amp;T1038)=0,S1038,""))</f>
        <v/>
      </c>
    </row>
    <row r="1039" spans="1:21" ht="38" customHeight="1">
      <c r="A1039" s="8" t="s">
        <v>615</v>
      </c>
      <c r="B1039" s="8" t="s">
        <v>56</v>
      </c>
      <c r="C1039" s="12">
        <f>COUNTIFS('DEF_SELF_SCOUT_IMPORT'!$L$42:$L$1040,"Y",'DEF_SELF_SCOUT_IMPORT'!$E$42:$E$1040,SUBSTITUTE(SUBSTITUTE(SUBSTITUTE($B1039,"~","~~"),"*","~*"),"?","~?"),'DEF_SELF_SCOUT_IMPORT'!$Q$42:$Q$1040,SUBSTITUTE(SUBSTITUTE(SUBSTITUTE($M1039,"~","~~"),"*","~*"),"?","~?"),'DEF_SELF_SCOUT_IMPORT'!$D$42:$D$1040,SUBSTITUTE(SUBSTITUTE(SUBSTITUTE($P1039,"~","~~"),"*","~*"),"?","~?"))</f>
        <v>1</v>
      </c>
      <c r="D1039" s="10">
        <f>IF($C1039=0,"",SUMIFS('DEF_SELF_SCOUT_IMPORT'!$J$42:$J$1040,'DEF_SELF_SCOUT_IMPORT'!$L$42:$L$1040,"Y",'DEF_SELF_SCOUT_IMPORT'!$E$42:$E$1040,SUBSTITUTE(SUBSTITUTE(SUBSTITUTE($B1039,"~","~~"),"*","~*"),"?","~?"),'DEF_SELF_SCOUT_IMPORT'!$Q$42:$Q$1040,SUBSTITUTE(SUBSTITUTE(SUBSTITUTE($M1039,"~","~~"),"*","~*"),"?","~?"),'DEF_SELF_SCOUT_IMPORT'!$D$42:$D$1040,SUBSTITUTE(SUBSTITUTE(SUBSTITUTE($P1039,"~","~~"),"*","~*"),"?","~?"))/$C1039)</f>
        <v>0.0</v>
      </c>
      <c r="E1039" s="10">
        <f>IF($C1039=0,"",SUMIFS('DEF_SELF_SCOUT_IMPORT'!$K$42:$K$1040,'DEF_SELF_SCOUT_IMPORT'!$L$42:$L$1040,"Y",'DEF_SELF_SCOUT_IMPORT'!$E$42:$E$1040,SUBSTITUTE(SUBSTITUTE(SUBSTITUTE($B1039,"~","~~"),"*","~*"),"?","~?"),'DEF_SELF_SCOUT_IMPORT'!$Q$42:$Q$1040,SUBSTITUTE(SUBSTITUTE(SUBSTITUTE($M1039,"~","~~"),"*","~*"),"?","~?"),'DEF_SELF_SCOUT_IMPORT'!$D$42:$D$1040,SUBSTITUTE(SUBSTITUTE(SUBSTITUTE($P1039,"~","~~"),"*","~*"),"?","~?"))/$C1039)</f>
        <v>0.0</v>
      </c>
      <c r="F1039" s="11">
        <f>IF($C1039=0,"",AVERAGEIFS('DEF_SELF_SCOUT_IMPORT'!$I$42:$I$1040,'DEF_SELF_SCOUT_IMPORT'!$L$42:$L$1040,"Y",'DEF_SELF_SCOUT_IMPORT'!$E$42:$E$1040,SUBSTITUTE(SUBSTITUTE(SUBSTITUTE($B1039,"~","~~"),"*","~*"),"?","~?"),'DEF_SELF_SCOUT_IMPORT'!$Q$42:$Q$1040,SUBSTITUTE(SUBSTITUTE(SUBSTITUTE($M1039,"~","~~"),"*","~*"),"?","~?"),'DEF_SELF_SCOUT_IMPORT'!$D$42:$D$1040,SUBSTITUTE(SUBSTITUTE(SUBSTITUTE($P1039,"~","~~"),"*","~*"),"?","~?")))</f>
        <v>4.0</v>
      </c>
      <c r="G1039" s="10">
        <f>IF($C1039=0,"",COUNTIFS('DEF_SELF_SCOUT_IMPORT'!$L$42:$L$1040,"Y",'DEF_SELF_SCOUT_IMPORT'!$E$42:$E$1040,SUBSTITUTE(SUBSTITUTE(SUBSTITUTE($B1039,"~","~~"),"*","~*"),"?","~?"),'DEF_SELF_SCOUT_IMPORT'!$Q$42:$Q$1040,SUBSTITUTE(SUBSTITUTE(SUBSTITUTE($M1039,"~","~~"),"*","~*"),"?","~?"),'DEF_SELF_SCOUT_IMPORT'!$D$42:$D$1040,SUBSTITUTE(SUBSTITUTE(SUBSTITUTE($P1039,"~","~~"),"*","~*"),"?","~?"),'DEF_SELF_SCOUT_IMPORT'!$H$42:$H$1040,"RUSH")/$C1039)</f>
        <v>1.0</v>
      </c>
      <c r="H1039" s="10">
        <f>IF($C1039=0,"",COUNTIFS('DEF_SELF_SCOUT_IMPORT'!$L$42:$L$1040,"Y",'DEF_SELF_SCOUT_IMPORT'!$E$42:$E$1040,SUBSTITUTE(SUBSTITUTE(SUBSTITUTE($B1039,"~","~~"),"*","~*"),"?","~?"),'DEF_SELF_SCOUT_IMPORT'!$Q$42:$Q$1040,SUBSTITUTE(SUBSTITUTE(SUBSTITUTE($M1039,"~","~~"),"*","~*"),"?","~?"),'DEF_SELF_SCOUT_IMPORT'!$D$42:$D$1040,SUBSTITUTE(SUBSTITUTE(SUBSTITUTE($P1039,"~","~~"),"*","~*"),"?","~?"),'DEF_SELF_SCOUT_IMPORT'!$H$42:$H$1040,"DROPBACK")/$C1039)</f>
        <v>0.0</v>
      </c>
      <c r="I1039" s="14" t="str">
        <f>IF(C1039=0,"",IF(C1039&lt;=2,"TRACK",IF(C1039=3,"LOW",IF(C1039&lt;=6,"MEDIUM","HIGH"))))</f>
        <v>TRACK</v>
      </c>
      <c r="J1039" s="11">
        <f>IF(C1039=0,"",ROUND(D1039*70+(1-E1039)*20+MAX(0,MIN(1,(10-F1039)/10))*10,1))</f>
        <v>26.0</v>
      </c>
      <c r="K1039" s="14" t="str">
        <f>IF(C1039=0,"No Evidence",IF(C1039&lt;=2,IF(E1039&gt;0,"Explosive Alert","Track Only"),IF(C1039=3,"Sample Watch",IF(E1039&gt;=START_HERE!$B$31,"Explosive Alert",IF(J1039&gt;=80,"Strong Candidate",IF(J1039&gt;=65,"Good Candidate",IF(J1039&gt;=50,"Mixed / Review","Problem Call")))))))</f>
        <v>Track Only</v>
      </c>
      <c r="L1039" s="9" t="str">
        <f>IF(COUNTIFS('DEF_SELF_SCOUT_IMPORT'!$L$42:$L$1040,"Y",'DEF_SELF_SCOUT_IMPORT'!$E$42:$E$1040,SUBSTITUTE(SUBSTITUTE(SUBSTITUTE($B1039,"~","~~"),"*","~*"),"?","~?"),'DEF_SELF_SCOUT_IMPORT'!$Q$42:$Q$1040,SUBSTITUTE(SUBSTITUTE(SUBSTITUTE($M1039,"~","~~"),"*","~*"),"?","~?"),'DEF_SELF_SCOUT_IMPORT'!$D$42:$D$1040,SUBSTITUTE(SUBSTITUTE(SUBSTITUTE($P1039,"~","~~"),"*","~*"),"?","~?"),'DEF_SELF_SCOUT_IMPORT'!$J$42:$J$1040,"")&gt;0,"Unscored clean outcome; review result tags before using score.",IF(C1039=0,"No matching defensive reps; film confirmation needed.",IF(K1039="Explosive Alert","Explosive risk; review clips before using as answer.",IF(C1039&lt;=2,"Track only; not enough sample.",IF(C1039=3,IF(E1039&gt;0,"Sample watch with explosive exposure; review clips and build the sample.",IF(J1039&gt;=65,"Good signal, but sample is limited.","Sample watch; review clips and build the sample.")),IF(K1039="Problem Call","Problem area; practice or call-sheet review.",IF(K1039="Strong Candidate","Strong call-fit candidate; confirm on film.",IF(K1039="Good Candidate","Good call-fit signal; confirm on film.","Mixed signal; review fit and execution on film."))))))))</f>
        <v>Track only; not enough sample.</v>
      </c>
      <c r="M1039" s="8" t="s">
        <v>115</v>
      </c>
      <c r="N1039" s="8"/>
      <c r="O1039" s="8"/>
      <c r="P1039" s="8" t="s">
        <v>428</v>
      </c>
      <c r="Q1039" s="8"/>
      <c r="R1039" s="8" t="s">
        <v>429</v>
      </c>
      <c r="S1039" s="2" t="s">
        <v>616</v>
      </c>
      <c r="T1039" s="2">
        <f>IF(C1039=0,0,IF(C1039&gt;=CALL_LOOKUP_BOARD!$B$7,IF(OR(K1039="Problem Call",K1039="Explosive Alert"),10000000,20000000),0)+IF(C1039&gt;=CALL_LOOKUP_BOARD!$B$7,J1039*1000+MIN(C1039,999),C1039*1000+J1039)+0.00977100)</f>
        <v>1026.009771</v>
      </c>
      <c r="U1039" s="2">
        <f>IF(C1039=0,"",IF(COUNTIFS($S$811:$S$1055,SUBSTITUTE(SUBSTITUTE(SUBSTITUTE(S1039,"~","~~"),"*","~*"),"?","~?"),$T$811:$T$1055,"&gt;"&amp;T1039)=0,S1039,""))</f>
        <v/>
      </c>
    </row>
    <row r="1040" spans="1:21" ht="38" customHeight="1">
      <c r="A1040" s="8" t="s">
        <v>615</v>
      </c>
      <c r="B1040" s="8" t="s">
        <v>35</v>
      </c>
      <c r="C1040" s="12">
        <f>COUNTIFS('DEF_SELF_SCOUT_IMPORT'!$L$42:$L$1040,"Y",'DEF_SELF_SCOUT_IMPORT'!$E$42:$E$1040,SUBSTITUTE(SUBSTITUTE(SUBSTITUTE($B1040,"~","~~"),"*","~*"),"?","~?"),'DEF_SELF_SCOUT_IMPORT'!$Q$42:$Q$1040,SUBSTITUTE(SUBSTITUTE(SUBSTITUTE($M1040,"~","~~"),"*","~*"),"?","~?"),'DEF_SELF_SCOUT_IMPORT'!$D$42:$D$1040,SUBSTITUTE(SUBSTITUTE(SUBSTITUTE($P1040,"~","~~"),"*","~*"),"?","~?"))</f>
        <v>1</v>
      </c>
      <c r="D1040" s="10">
        <f>IF($C1040=0,"",SUMIFS('DEF_SELF_SCOUT_IMPORT'!$J$42:$J$1040,'DEF_SELF_SCOUT_IMPORT'!$L$42:$L$1040,"Y",'DEF_SELF_SCOUT_IMPORT'!$E$42:$E$1040,SUBSTITUTE(SUBSTITUTE(SUBSTITUTE($B1040,"~","~~"),"*","~*"),"?","~?"),'DEF_SELF_SCOUT_IMPORT'!$Q$42:$Q$1040,SUBSTITUTE(SUBSTITUTE(SUBSTITUTE($M1040,"~","~~"),"*","~*"),"?","~?"),'DEF_SELF_SCOUT_IMPORT'!$D$42:$D$1040,SUBSTITUTE(SUBSTITUTE(SUBSTITUTE($P1040,"~","~~"),"*","~*"),"?","~?"))/$C1040)</f>
        <v>0.0</v>
      </c>
      <c r="E1040" s="10">
        <f>IF($C1040=0,"",SUMIFS('DEF_SELF_SCOUT_IMPORT'!$K$42:$K$1040,'DEF_SELF_SCOUT_IMPORT'!$L$42:$L$1040,"Y",'DEF_SELF_SCOUT_IMPORT'!$E$42:$E$1040,SUBSTITUTE(SUBSTITUTE(SUBSTITUTE($B1040,"~","~~"),"*","~*"),"?","~?"),'DEF_SELF_SCOUT_IMPORT'!$Q$42:$Q$1040,SUBSTITUTE(SUBSTITUTE(SUBSTITUTE($M1040,"~","~~"),"*","~*"),"?","~?"),'DEF_SELF_SCOUT_IMPORT'!$D$42:$D$1040,SUBSTITUTE(SUBSTITUTE(SUBSTITUTE($P1040,"~","~~"),"*","~*"),"?","~?"))/$C1040)</f>
        <v>0.0</v>
      </c>
      <c r="F1040" s="11">
        <f>IF($C1040=0,"",AVERAGEIFS('DEF_SELF_SCOUT_IMPORT'!$I$42:$I$1040,'DEF_SELF_SCOUT_IMPORT'!$L$42:$L$1040,"Y",'DEF_SELF_SCOUT_IMPORT'!$E$42:$E$1040,SUBSTITUTE(SUBSTITUTE(SUBSTITUTE($B1040,"~","~~"),"*","~*"),"?","~?"),'DEF_SELF_SCOUT_IMPORT'!$Q$42:$Q$1040,SUBSTITUTE(SUBSTITUTE(SUBSTITUTE($M1040,"~","~~"),"*","~*"),"?","~?"),'DEF_SELF_SCOUT_IMPORT'!$D$42:$D$1040,SUBSTITUTE(SUBSTITUTE(SUBSTITUTE($P1040,"~","~~"),"*","~*"),"?","~?")))</f>
        <v>9.0</v>
      </c>
      <c r="G1040" s="10">
        <f>IF($C1040=0,"",COUNTIFS('DEF_SELF_SCOUT_IMPORT'!$L$42:$L$1040,"Y",'DEF_SELF_SCOUT_IMPORT'!$E$42:$E$1040,SUBSTITUTE(SUBSTITUTE(SUBSTITUTE($B1040,"~","~~"),"*","~*"),"?","~?"),'DEF_SELF_SCOUT_IMPORT'!$Q$42:$Q$1040,SUBSTITUTE(SUBSTITUTE(SUBSTITUTE($M1040,"~","~~"),"*","~*"),"?","~?"),'DEF_SELF_SCOUT_IMPORT'!$D$42:$D$1040,SUBSTITUTE(SUBSTITUTE(SUBSTITUTE($P1040,"~","~~"),"*","~*"),"?","~?"),'DEF_SELF_SCOUT_IMPORT'!$H$42:$H$1040,"RUSH")/$C1040)</f>
        <v>1.0</v>
      </c>
      <c r="H1040" s="10">
        <f>IF($C1040=0,"",COUNTIFS('DEF_SELF_SCOUT_IMPORT'!$L$42:$L$1040,"Y",'DEF_SELF_SCOUT_IMPORT'!$E$42:$E$1040,SUBSTITUTE(SUBSTITUTE(SUBSTITUTE($B1040,"~","~~"),"*","~*"),"?","~?"),'DEF_SELF_SCOUT_IMPORT'!$Q$42:$Q$1040,SUBSTITUTE(SUBSTITUTE(SUBSTITUTE($M1040,"~","~~"),"*","~*"),"?","~?"),'DEF_SELF_SCOUT_IMPORT'!$D$42:$D$1040,SUBSTITUTE(SUBSTITUTE(SUBSTITUTE($P1040,"~","~~"),"*","~*"),"?","~?"),'DEF_SELF_SCOUT_IMPORT'!$H$42:$H$1040,"DROPBACK")/$C1040)</f>
        <v>0.0</v>
      </c>
      <c r="I1040" s="14" t="str">
        <f>IF(C1040=0,"",IF(C1040&lt;=2,"TRACK",IF(C1040=3,"LOW",IF(C1040&lt;=6,"MEDIUM","HIGH"))))</f>
        <v>TRACK</v>
      </c>
      <c r="J1040" s="11">
        <f>IF(C1040=0,"",ROUND(D1040*70+(1-E1040)*20+MAX(0,MIN(1,(10-F1040)/10))*10,1))</f>
        <v>21.0</v>
      </c>
      <c r="K1040" s="14" t="str">
        <f>IF(C1040=0,"No Evidence",IF(C1040&lt;=2,IF(E1040&gt;0,"Explosive Alert","Track Only"),IF(C1040=3,"Sample Watch",IF(E1040&gt;=START_HERE!$B$31,"Explosive Alert",IF(J1040&gt;=80,"Strong Candidate",IF(J1040&gt;=65,"Good Candidate",IF(J1040&gt;=50,"Mixed / Review","Problem Call")))))))</f>
        <v>Track Only</v>
      </c>
      <c r="L1040" s="9" t="str">
        <f>IF(COUNTIFS('DEF_SELF_SCOUT_IMPORT'!$L$42:$L$1040,"Y",'DEF_SELF_SCOUT_IMPORT'!$E$42:$E$1040,SUBSTITUTE(SUBSTITUTE(SUBSTITUTE($B1040,"~","~~"),"*","~*"),"?","~?"),'DEF_SELF_SCOUT_IMPORT'!$Q$42:$Q$1040,SUBSTITUTE(SUBSTITUTE(SUBSTITUTE($M1040,"~","~~"),"*","~*"),"?","~?"),'DEF_SELF_SCOUT_IMPORT'!$D$42:$D$1040,SUBSTITUTE(SUBSTITUTE(SUBSTITUTE($P1040,"~","~~"),"*","~*"),"?","~?"),'DEF_SELF_SCOUT_IMPORT'!$J$42:$J$1040,"")&gt;0,"Unscored clean outcome; review result tags before using score.",IF(C1040=0,"No matching defensive reps; film confirmation needed.",IF(K1040="Explosive Alert","Explosive risk; review clips before using as answer.",IF(C1040&lt;=2,"Track only; not enough sample.",IF(C1040=3,IF(E1040&gt;0,"Sample watch with explosive exposure; review clips and build the sample.",IF(J1040&gt;=65,"Good signal, but sample is limited.","Sample watch; review clips and build the sample.")),IF(K1040="Problem Call","Problem area; practice or call-sheet review.",IF(K1040="Strong Candidate","Strong call-fit candidate; confirm on film.",IF(K1040="Good Candidate","Good call-fit signal; confirm on film.","Mixed signal; review fit and execution on film."))))))))</f>
        <v>Track only; not enough sample.</v>
      </c>
      <c r="M1040" s="8" t="s">
        <v>115</v>
      </c>
      <c r="N1040" s="8"/>
      <c r="O1040" s="8"/>
      <c r="P1040" s="8" t="s">
        <v>428</v>
      </c>
      <c r="Q1040" s="8"/>
      <c r="R1040" s="8" t="s">
        <v>429</v>
      </c>
      <c r="S1040" s="2" t="s">
        <v>616</v>
      </c>
      <c r="T1040" s="2">
        <f>IF(C1040=0,0,IF(C1040&gt;=CALL_LOOKUP_BOARD!$B$7,IF(OR(K1040="Problem Call",K1040="Explosive Alert"),10000000,20000000),0)+IF(C1040&gt;=CALL_LOOKUP_BOARD!$B$7,J1040*1000+MIN(C1040,999),C1040*1000+J1040)+0.00977000)</f>
        <v>1021.00977</v>
      </c>
      <c r="U1040" s="2">
        <f>IF(C1040=0,"",IF(COUNTIFS($S$811:$S$1055,SUBSTITUTE(SUBSTITUTE(SUBSTITUTE(S1040,"~","~~"),"*","~*"),"?","~?"),$T$811:$T$1055,"&gt;"&amp;T1040)=0,S1040,""))</f>
        <v/>
      </c>
    </row>
    <row r="1041" spans="1:21" ht="38" customHeight="1">
      <c r="A1041" s="8" t="s">
        <v>615</v>
      </c>
      <c r="B1041" s="8" t="s">
        <v>60</v>
      </c>
      <c r="C1041" s="12">
        <f>COUNTIFS('DEF_SELF_SCOUT_IMPORT'!$L$42:$L$1040,"Y",'DEF_SELF_SCOUT_IMPORT'!$E$42:$E$1040,SUBSTITUTE(SUBSTITUTE(SUBSTITUTE($B1041,"~","~~"),"*","~*"),"?","~?"),'DEF_SELF_SCOUT_IMPORT'!$Q$42:$Q$1040,SUBSTITUTE(SUBSTITUTE(SUBSTITUTE($M1041,"~","~~"),"*","~*"),"?","~?"),'DEF_SELF_SCOUT_IMPORT'!$D$42:$D$1040,SUBSTITUTE(SUBSTITUTE(SUBSTITUTE($P1041,"~","~~"),"*","~*"),"?","~?"))</f>
        <v>1</v>
      </c>
      <c r="D1041" s="10">
        <f>IF($C1041=0,"",SUMIFS('DEF_SELF_SCOUT_IMPORT'!$J$42:$J$1040,'DEF_SELF_SCOUT_IMPORT'!$L$42:$L$1040,"Y",'DEF_SELF_SCOUT_IMPORT'!$E$42:$E$1040,SUBSTITUTE(SUBSTITUTE(SUBSTITUTE($B1041,"~","~~"),"*","~*"),"?","~?"),'DEF_SELF_SCOUT_IMPORT'!$Q$42:$Q$1040,SUBSTITUTE(SUBSTITUTE(SUBSTITUTE($M1041,"~","~~"),"*","~*"),"?","~?"),'DEF_SELF_SCOUT_IMPORT'!$D$42:$D$1040,SUBSTITUTE(SUBSTITUTE(SUBSTITUTE($P1041,"~","~~"),"*","~*"),"?","~?"))/$C1041)</f>
        <v>1.0</v>
      </c>
      <c r="E1041" s="10">
        <f>IF($C1041=0,"",SUMIFS('DEF_SELF_SCOUT_IMPORT'!$K$42:$K$1040,'DEF_SELF_SCOUT_IMPORT'!$L$42:$L$1040,"Y",'DEF_SELF_SCOUT_IMPORT'!$E$42:$E$1040,SUBSTITUTE(SUBSTITUTE(SUBSTITUTE($B1041,"~","~~"),"*","~*"),"?","~?"),'DEF_SELF_SCOUT_IMPORT'!$Q$42:$Q$1040,SUBSTITUTE(SUBSTITUTE(SUBSTITUTE($M1041,"~","~~"),"*","~*"),"?","~?"),'DEF_SELF_SCOUT_IMPORT'!$D$42:$D$1040,SUBSTITUTE(SUBSTITUTE(SUBSTITUTE($P1041,"~","~~"),"*","~*"),"?","~?"))/$C1041)</f>
        <v>0.0</v>
      </c>
      <c r="F1041" s="11">
        <f>IF($C1041=0,"",AVERAGEIFS('DEF_SELF_SCOUT_IMPORT'!$I$42:$I$1040,'DEF_SELF_SCOUT_IMPORT'!$L$42:$L$1040,"Y",'DEF_SELF_SCOUT_IMPORT'!$E$42:$E$1040,SUBSTITUTE(SUBSTITUTE(SUBSTITUTE($B1041,"~","~~"),"*","~*"),"?","~?"),'DEF_SELF_SCOUT_IMPORT'!$Q$42:$Q$1040,SUBSTITUTE(SUBSTITUTE(SUBSTITUTE($M1041,"~","~~"),"*","~*"),"?","~?"),'DEF_SELF_SCOUT_IMPORT'!$D$42:$D$1040,SUBSTITUTE(SUBSTITUTE(SUBSTITUTE($P1041,"~","~~"),"*","~*"),"?","~?")))</f>
        <v>3.0</v>
      </c>
      <c r="G1041" s="10">
        <f>IF($C1041=0,"",COUNTIFS('DEF_SELF_SCOUT_IMPORT'!$L$42:$L$1040,"Y",'DEF_SELF_SCOUT_IMPORT'!$E$42:$E$1040,SUBSTITUTE(SUBSTITUTE(SUBSTITUTE($B1041,"~","~~"),"*","~*"),"?","~?"),'DEF_SELF_SCOUT_IMPORT'!$Q$42:$Q$1040,SUBSTITUTE(SUBSTITUTE(SUBSTITUTE($M1041,"~","~~"),"*","~*"),"?","~?"),'DEF_SELF_SCOUT_IMPORT'!$D$42:$D$1040,SUBSTITUTE(SUBSTITUTE(SUBSTITUTE($P1041,"~","~~"),"*","~*"),"?","~?"),'DEF_SELF_SCOUT_IMPORT'!$H$42:$H$1040,"RUSH")/$C1041)</f>
        <v>1.0</v>
      </c>
      <c r="H1041" s="10">
        <f>IF($C1041=0,"",COUNTIFS('DEF_SELF_SCOUT_IMPORT'!$L$42:$L$1040,"Y",'DEF_SELF_SCOUT_IMPORT'!$E$42:$E$1040,SUBSTITUTE(SUBSTITUTE(SUBSTITUTE($B1041,"~","~~"),"*","~*"),"?","~?"),'DEF_SELF_SCOUT_IMPORT'!$Q$42:$Q$1040,SUBSTITUTE(SUBSTITUTE(SUBSTITUTE($M1041,"~","~~"),"*","~*"),"?","~?"),'DEF_SELF_SCOUT_IMPORT'!$D$42:$D$1040,SUBSTITUTE(SUBSTITUTE(SUBSTITUTE($P1041,"~","~~"),"*","~*"),"?","~?"),'DEF_SELF_SCOUT_IMPORT'!$H$42:$H$1040,"DROPBACK")/$C1041)</f>
        <v>0.0</v>
      </c>
      <c r="I1041" s="14" t="str">
        <f>IF(C1041=0,"",IF(C1041&lt;=2,"TRACK",IF(C1041=3,"LOW",IF(C1041&lt;=6,"MEDIUM","HIGH"))))</f>
        <v>TRACK</v>
      </c>
      <c r="J1041" s="11">
        <f>IF(C1041=0,"",ROUND(D1041*70+(1-E1041)*20+MAX(0,MIN(1,(10-F1041)/10))*10,1))</f>
        <v>97.0</v>
      </c>
      <c r="K1041" s="14" t="str">
        <f>IF(C1041=0,"No Evidence",IF(C1041&lt;=2,IF(E1041&gt;0,"Explosive Alert","Track Only"),IF(C1041=3,"Sample Watch",IF(E1041&gt;=START_HERE!$B$31,"Explosive Alert",IF(J1041&gt;=80,"Strong Candidate",IF(J1041&gt;=65,"Good Candidate",IF(J1041&gt;=50,"Mixed / Review","Problem Call")))))))</f>
        <v>Track Only</v>
      </c>
      <c r="L1041" s="9" t="str">
        <f>IF(COUNTIFS('DEF_SELF_SCOUT_IMPORT'!$L$42:$L$1040,"Y",'DEF_SELF_SCOUT_IMPORT'!$E$42:$E$1040,SUBSTITUTE(SUBSTITUTE(SUBSTITUTE($B1041,"~","~~"),"*","~*"),"?","~?"),'DEF_SELF_SCOUT_IMPORT'!$Q$42:$Q$1040,SUBSTITUTE(SUBSTITUTE(SUBSTITUTE($M1041,"~","~~"),"*","~*"),"?","~?"),'DEF_SELF_SCOUT_IMPORT'!$D$42:$D$1040,SUBSTITUTE(SUBSTITUTE(SUBSTITUTE($P1041,"~","~~"),"*","~*"),"?","~?"),'DEF_SELF_SCOUT_IMPORT'!$J$42:$J$1040,"")&gt;0,"Unscored clean outcome; review result tags before using score.",IF(C1041=0,"No matching defensive reps; film confirmation needed.",IF(K1041="Explosive Alert","Explosive risk; review clips before using as answer.",IF(C1041&lt;=2,"Track only; not enough sample.",IF(C1041=3,IF(E1041&gt;0,"Sample watch with explosive exposure; review clips and build the sample.",IF(J1041&gt;=65,"Good signal, but sample is limited.","Sample watch; review clips and build the sample.")),IF(K1041="Problem Call","Problem area; practice or call-sheet review.",IF(K1041="Strong Candidate","Strong call-fit candidate; confirm on film.",IF(K1041="Good Candidate","Good call-fit signal; confirm on film.","Mixed signal; review fit and execution on film."))))))))</f>
        <v>Track only; not enough sample.</v>
      </c>
      <c r="M1041" s="8" t="s">
        <v>115</v>
      </c>
      <c r="N1041" s="8"/>
      <c r="O1041" s="8"/>
      <c r="P1041" s="8" t="s">
        <v>428</v>
      </c>
      <c r="Q1041" s="8"/>
      <c r="R1041" s="8" t="s">
        <v>429</v>
      </c>
      <c r="S1041" s="2" t="s">
        <v>616</v>
      </c>
      <c r="T1041" s="2">
        <f>IF(C1041=0,0,IF(C1041&gt;=CALL_LOOKUP_BOARD!$B$7,IF(OR(K1041="Problem Call",K1041="Explosive Alert"),10000000,20000000),0)+IF(C1041&gt;=CALL_LOOKUP_BOARD!$B$7,J1041*1000+MIN(C1041,999),C1041*1000+J1041)+0.00976900)</f>
        <v>1097.009769</v>
      </c>
      <c r="U1041" s="2">
        <f>IF(C1041=0,"",IF(COUNTIFS($S$811:$S$1055,SUBSTITUTE(SUBSTITUTE(SUBSTITUTE(S1041,"~","~~"),"*","~*"),"?","~?"),$T$811:$T$1055,"&gt;"&amp;T1041)=0,S1041,""))</f>
        <v/>
      </c>
    </row>
    <row r="1042" spans="1:21" ht="38" customHeight="1">
      <c r="A1042" s="8" t="s">
        <v>615</v>
      </c>
      <c r="B1042" s="8" t="s">
        <v>68</v>
      </c>
      <c r="C1042" s="12">
        <f>COUNTIFS('DEF_SELF_SCOUT_IMPORT'!$L$42:$L$1040,"Y",'DEF_SELF_SCOUT_IMPORT'!$E$42:$E$1040,SUBSTITUTE(SUBSTITUTE(SUBSTITUTE($B1042,"~","~~"),"*","~*"),"?","~?"),'DEF_SELF_SCOUT_IMPORT'!$Q$42:$Q$1040,SUBSTITUTE(SUBSTITUTE(SUBSTITUTE($M1042,"~","~~"),"*","~*"),"?","~?"),'DEF_SELF_SCOUT_IMPORT'!$D$42:$D$1040,SUBSTITUTE(SUBSTITUTE(SUBSTITUTE($P1042,"~","~~"),"*","~*"),"?","~?"))</f>
        <v>1</v>
      </c>
      <c r="D1042" s="10">
        <f>IF($C1042=0,"",SUMIFS('DEF_SELF_SCOUT_IMPORT'!$J$42:$J$1040,'DEF_SELF_SCOUT_IMPORT'!$L$42:$L$1040,"Y",'DEF_SELF_SCOUT_IMPORT'!$E$42:$E$1040,SUBSTITUTE(SUBSTITUTE(SUBSTITUTE($B1042,"~","~~"),"*","~*"),"?","~?"),'DEF_SELF_SCOUT_IMPORT'!$Q$42:$Q$1040,SUBSTITUTE(SUBSTITUTE(SUBSTITUTE($M1042,"~","~~"),"*","~*"),"?","~?"),'DEF_SELF_SCOUT_IMPORT'!$D$42:$D$1040,SUBSTITUTE(SUBSTITUTE(SUBSTITUTE($P1042,"~","~~"),"*","~*"),"?","~?"))/$C1042)</f>
        <v>0.0</v>
      </c>
      <c r="E1042" s="10">
        <f>IF($C1042=0,"",SUMIFS('DEF_SELF_SCOUT_IMPORT'!$K$42:$K$1040,'DEF_SELF_SCOUT_IMPORT'!$L$42:$L$1040,"Y",'DEF_SELF_SCOUT_IMPORT'!$E$42:$E$1040,SUBSTITUTE(SUBSTITUTE(SUBSTITUTE($B1042,"~","~~"),"*","~*"),"?","~?"),'DEF_SELF_SCOUT_IMPORT'!$Q$42:$Q$1040,SUBSTITUTE(SUBSTITUTE(SUBSTITUTE($M1042,"~","~~"),"*","~*"),"?","~?"),'DEF_SELF_SCOUT_IMPORT'!$D$42:$D$1040,SUBSTITUTE(SUBSTITUTE(SUBSTITUTE($P1042,"~","~~"),"*","~*"),"?","~?"))/$C1042)</f>
        <v>0.0</v>
      </c>
      <c r="F1042" s="11">
        <f>IF($C1042=0,"",AVERAGEIFS('DEF_SELF_SCOUT_IMPORT'!$I$42:$I$1040,'DEF_SELF_SCOUT_IMPORT'!$L$42:$L$1040,"Y",'DEF_SELF_SCOUT_IMPORT'!$E$42:$E$1040,SUBSTITUTE(SUBSTITUTE(SUBSTITUTE($B1042,"~","~~"),"*","~*"),"?","~?"),'DEF_SELF_SCOUT_IMPORT'!$Q$42:$Q$1040,SUBSTITUTE(SUBSTITUTE(SUBSTITUTE($M1042,"~","~~"),"*","~*"),"?","~?"),'DEF_SELF_SCOUT_IMPORT'!$D$42:$D$1040,SUBSTITUTE(SUBSTITUTE(SUBSTITUTE($P1042,"~","~~"),"*","~*"),"?","~?")))</f>
        <v>4.0</v>
      </c>
      <c r="G1042" s="10">
        <f>IF($C1042=0,"",COUNTIFS('DEF_SELF_SCOUT_IMPORT'!$L$42:$L$1040,"Y",'DEF_SELF_SCOUT_IMPORT'!$E$42:$E$1040,SUBSTITUTE(SUBSTITUTE(SUBSTITUTE($B1042,"~","~~"),"*","~*"),"?","~?"),'DEF_SELF_SCOUT_IMPORT'!$Q$42:$Q$1040,SUBSTITUTE(SUBSTITUTE(SUBSTITUTE($M1042,"~","~~"),"*","~*"),"?","~?"),'DEF_SELF_SCOUT_IMPORT'!$D$42:$D$1040,SUBSTITUTE(SUBSTITUTE(SUBSTITUTE($P1042,"~","~~"),"*","~*"),"?","~?"),'DEF_SELF_SCOUT_IMPORT'!$H$42:$H$1040,"RUSH")/$C1042)</f>
        <v>1.0</v>
      </c>
      <c r="H1042" s="10">
        <f>IF($C1042=0,"",COUNTIFS('DEF_SELF_SCOUT_IMPORT'!$L$42:$L$1040,"Y",'DEF_SELF_SCOUT_IMPORT'!$E$42:$E$1040,SUBSTITUTE(SUBSTITUTE(SUBSTITUTE($B1042,"~","~~"),"*","~*"),"?","~?"),'DEF_SELF_SCOUT_IMPORT'!$Q$42:$Q$1040,SUBSTITUTE(SUBSTITUTE(SUBSTITUTE($M1042,"~","~~"),"*","~*"),"?","~?"),'DEF_SELF_SCOUT_IMPORT'!$D$42:$D$1040,SUBSTITUTE(SUBSTITUTE(SUBSTITUTE($P1042,"~","~~"),"*","~*"),"?","~?"),'DEF_SELF_SCOUT_IMPORT'!$H$42:$H$1040,"DROPBACK")/$C1042)</f>
        <v>0.0</v>
      </c>
      <c r="I1042" s="14" t="str">
        <f>IF(C1042=0,"",IF(C1042&lt;=2,"TRACK",IF(C1042=3,"LOW",IF(C1042&lt;=6,"MEDIUM","HIGH"))))</f>
        <v>TRACK</v>
      </c>
      <c r="J1042" s="11">
        <f>IF(C1042=0,"",ROUND(D1042*70+(1-E1042)*20+MAX(0,MIN(1,(10-F1042)/10))*10,1))</f>
        <v>26.0</v>
      </c>
      <c r="K1042" s="14" t="str">
        <f>IF(C1042=0,"No Evidence",IF(C1042&lt;=2,IF(E1042&gt;0,"Explosive Alert","Track Only"),IF(C1042=3,"Sample Watch",IF(E1042&gt;=START_HERE!$B$31,"Explosive Alert",IF(J1042&gt;=80,"Strong Candidate",IF(J1042&gt;=65,"Good Candidate",IF(J1042&gt;=50,"Mixed / Review","Problem Call")))))))</f>
        <v>Track Only</v>
      </c>
      <c r="L1042" s="9" t="str">
        <f>IF(COUNTIFS('DEF_SELF_SCOUT_IMPORT'!$L$42:$L$1040,"Y",'DEF_SELF_SCOUT_IMPORT'!$E$42:$E$1040,SUBSTITUTE(SUBSTITUTE(SUBSTITUTE($B1042,"~","~~"),"*","~*"),"?","~?"),'DEF_SELF_SCOUT_IMPORT'!$Q$42:$Q$1040,SUBSTITUTE(SUBSTITUTE(SUBSTITUTE($M1042,"~","~~"),"*","~*"),"?","~?"),'DEF_SELF_SCOUT_IMPORT'!$D$42:$D$1040,SUBSTITUTE(SUBSTITUTE(SUBSTITUTE($P1042,"~","~~"),"*","~*"),"?","~?"),'DEF_SELF_SCOUT_IMPORT'!$J$42:$J$1040,"")&gt;0,"Unscored clean outcome; review result tags before using score.",IF(C1042=0,"No matching defensive reps; film confirmation needed.",IF(K1042="Explosive Alert","Explosive risk; review clips before using as answer.",IF(C1042&lt;=2,"Track only; not enough sample.",IF(C1042=3,IF(E1042&gt;0,"Sample watch with explosive exposure; review clips and build the sample.",IF(J1042&gt;=65,"Good signal, but sample is limited.","Sample watch; review clips and build the sample.")),IF(K1042="Problem Call","Problem area; practice or call-sheet review.",IF(K1042="Strong Candidate","Strong call-fit candidate; confirm on film.",IF(K1042="Good Candidate","Good call-fit signal; confirm on film.","Mixed signal; review fit and execution on film."))))))))</f>
        <v>Track only; not enough sample.</v>
      </c>
      <c r="M1042" s="8" t="s">
        <v>115</v>
      </c>
      <c r="N1042" s="8"/>
      <c r="O1042" s="8"/>
      <c r="P1042" s="8" t="s">
        <v>428</v>
      </c>
      <c r="Q1042" s="8"/>
      <c r="R1042" s="8" t="s">
        <v>429</v>
      </c>
      <c r="S1042" s="2" t="s">
        <v>616</v>
      </c>
      <c r="T1042" s="2">
        <f>IF(C1042=0,0,IF(C1042&gt;=CALL_LOOKUP_BOARD!$B$7,IF(OR(K1042="Problem Call",K1042="Explosive Alert"),10000000,20000000),0)+IF(C1042&gt;=CALL_LOOKUP_BOARD!$B$7,J1042*1000+MIN(C1042,999),C1042*1000+J1042)+0.00976800)</f>
        <v>1026.009768</v>
      </c>
      <c r="U1042" s="2">
        <f>IF(C1042=0,"",IF(COUNTIFS($S$811:$S$1055,SUBSTITUTE(SUBSTITUTE(SUBSTITUTE(S1042,"~","~~"),"*","~*"),"?","~?"),$T$811:$T$1055,"&gt;"&amp;T1042)=0,S1042,""))</f>
        <v/>
      </c>
    </row>
    <row r="1043" spans="1:21" ht="38" customHeight="1">
      <c r="A1043" s="8" t="s">
        <v>617</v>
      </c>
      <c r="B1043" s="8" t="s">
        <v>81</v>
      </c>
      <c r="C1043" s="12">
        <f>COUNTIFS('DEF_SELF_SCOUT_IMPORT'!$L$42:$L$1040,"Y",'DEF_SELF_SCOUT_IMPORT'!$E$42:$E$1040,SUBSTITUTE(SUBSTITUTE(SUBSTITUTE($B1043,"~","~~"),"*","~*"),"?","~?"),'DEF_SELF_SCOUT_IMPORT'!$Q$42:$Q$1040,SUBSTITUTE(SUBSTITUTE(SUBSTITUTE($M1043,"~","~~"),"*","~*"),"?","~?"),'DEF_SELF_SCOUT_IMPORT'!$D$42:$D$1040,SUBSTITUTE(SUBSTITUTE(SUBSTITUTE($P1043,"~","~~"),"*","~*"),"?","~?"))</f>
        <v>1</v>
      </c>
      <c r="D1043" s="10">
        <f>IF($C1043=0,"",SUMIFS('DEF_SELF_SCOUT_IMPORT'!$J$42:$J$1040,'DEF_SELF_SCOUT_IMPORT'!$L$42:$L$1040,"Y",'DEF_SELF_SCOUT_IMPORT'!$E$42:$E$1040,SUBSTITUTE(SUBSTITUTE(SUBSTITUTE($B1043,"~","~~"),"*","~*"),"?","~?"),'DEF_SELF_SCOUT_IMPORT'!$Q$42:$Q$1040,SUBSTITUTE(SUBSTITUTE(SUBSTITUTE($M1043,"~","~~"),"*","~*"),"?","~?"),'DEF_SELF_SCOUT_IMPORT'!$D$42:$D$1040,SUBSTITUTE(SUBSTITUTE(SUBSTITUTE($P1043,"~","~~"),"*","~*"),"?","~?"))/$C1043)</f>
        <v>0.0</v>
      </c>
      <c r="E1043" s="10">
        <f>IF($C1043=0,"",SUMIFS('DEF_SELF_SCOUT_IMPORT'!$K$42:$K$1040,'DEF_SELF_SCOUT_IMPORT'!$L$42:$L$1040,"Y",'DEF_SELF_SCOUT_IMPORT'!$E$42:$E$1040,SUBSTITUTE(SUBSTITUTE(SUBSTITUTE($B1043,"~","~~"),"*","~*"),"?","~?"),'DEF_SELF_SCOUT_IMPORT'!$Q$42:$Q$1040,SUBSTITUTE(SUBSTITUTE(SUBSTITUTE($M1043,"~","~~"),"*","~*"),"?","~?"),'DEF_SELF_SCOUT_IMPORT'!$D$42:$D$1040,SUBSTITUTE(SUBSTITUTE(SUBSTITUTE($P1043,"~","~~"),"*","~*"),"?","~?"))/$C1043)</f>
        <v>0.0</v>
      </c>
      <c r="F1043" s="11">
        <f>IF($C1043=0,"",AVERAGEIFS('DEF_SELF_SCOUT_IMPORT'!$I$42:$I$1040,'DEF_SELF_SCOUT_IMPORT'!$L$42:$L$1040,"Y",'DEF_SELF_SCOUT_IMPORT'!$E$42:$E$1040,SUBSTITUTE(SUBSTITUTE(SUBSTITUTE($B1043,"~","~~"),"*","~*"),"?","~?"),'DEF_SELF_SCOUT_IMPORT'!$Q$42:$Q$1040,SUBSTITUTE(SUBSTITUTE(SUBSTITUTE($M1043,"~","~~"),"*","~*"),"?","~?"),'DEF_SELF_SCOUT_IMPORT'!$D$42:$D$1040,SUBSTITUTE(SUBSTITUTE(SUBSTITUTE($P1043,"~","~~"),"*","~*"),"?","~?")))</f>
        <v>4.0</v>
      </c>
      <c r="G1043" s="10">
        <f>IF($C1043=0,"",COUNTIFS('DEF_SELF_SCOUT_IMPORT'!$L$42:$L$1040,"Y",'DEF_SELF_SCOUT_IMPORT'!$E$42:$E$1040,SUBSTITUTE(SUBSTITUTE(SUBSTITUTE($B1043,"~","~~"),"*","~*"),"?","~?"),'DEF_SELF_SCOUT_IMPORT'!$Q$42:$Q$1040,SUBSTITUTE(SUBSTITUTE(SUBSTITUTE($M1043,"~","~~"),"*","~*"),"?","~?"),'DEF_SELF_SCOUT_IMPORT'!$D$42:$D$1040,SUBSTITUTE(SUBSTITUTE(SUBSTITUTE($P1043,"~","~~"),"*","~*"),"?","~?"),'DEF_SELF_SCOUT_IMPORT'!$H$42:$H$1040,"RUSH")/$C1043)</f>
        <v>1.0</v>
      </c>
      <c r="H1043" s="10">
        <f>IF($C1043=0,"",COUNTIFS('DEF_SELF_SCOUT_IMPORT'!$L$42:$L$1040,"Y",'DEF_SELF_SCOUT_IMPORT'!$E$42:$E$1040,SUBSTITUTE(SUBSTITUTE(SUBSTITUTE($B1043,"~","~~"),"*","~*"),"?","~?"),'DEF_SELF_SCOUT_IMPORT'!$Q$42:$Q$1040,SUBSTITUTE(SUBSTITUTE(SUBSTITUTE($M1043,"~","~~"),"*","~*"),"?","~?"),'DEF_SELF_SCOUT_IMPORT'!$D$42:$D$1040,SUBSTITUTE(SUBSTITUTE(SUBSTITUTE($P1043,"~","~~"),"*","~*"),"?","~?"),'DEF_SELF_SCOUT_IMPORT'!$H$42:$H$1040,"DROPBACK")/$C1043)</f>
        <v>0.0</v>
      </c>
      <c r="I1043" s="14" t="str">
        <f>IF(C1043=0,"",IF(C1043&lt;=2,"TRACK",IF(C1043=3,"LOW",IF(C1043&lt;=6,"MEDIUM","HIGH"))))</f>
        <v>TRACK</v>
      </c>
      <c r="J1043" s="11">
        <f>IF(C1043=0,"",ROUND(D1043*70+(1-E1043)*20+MAX(0,MIN(1,(10-F1043)/10))*10,1))</f>
        <v>26.0</v>
      </c>
      <c r="K1043" s="14" t="str">
        <f>IF(C1043=0,"No Evidence",IF(C1043&lt;=2,IF(E1043&gt;0,"Explosive Alert","Track Only"),IF(C1043=3,"Sample Watch",IF(E1043&gt;=START_HERE!$B$31,"Explosive Alert",IF(J1043&gt;=80,"Strong Candidate",IF(J1043&gt;=65,"Good Candidate",IF(J1043&gt;=50,"Mixed / Review","Problem Call")))))))</f>
        <v>Track Only</v>
      </c>
      <c r="L1043" s="9" t="str">
        <f>IF(COUNTIFS('DEF_SELF_SCOUT_IMPORT'!$L$42:$L$1040,"Y",'DEF_SELF_SCOUT_IMPORT'!$E$42:$E$1040,SUBSTITUTE(SUBSTITUTE(SUBSTITUTE($B1043,"~","~~"),"*","~*"),"?","~?"),'DEF_SELF_SCOUT_IMPORT'!$Q$42:$Q$1040,SUBSTITUTE(SUBSTITUTE(SUBSTITUTE($M1043,"~","~~"),"*","~*"),"?","~?"),'DEF_SELF_SCOUT_IMPORT'!$D$42:$D$1040,SUBSTITUTE(SUBSTITUTE(SUBSTITUTE($P1043,"~","~~"),"*","~*"),"?","~?"),'DEF_SELF_SCOUT_IMPORT'!$J$42:$J$1040,"")&gt;0,"Unscored clean outcome; review result tags before using score.",IF(C1043=0,"No matching defensive reps; film confirmation needed.",IF(K1043="Explosive Alert","Explosive risk; review clips before using as answer.",IF(C1043&lt;=2,"Track only; not enough sample.",IF(C1043=3,IF(E1043&gt;0,"Sample watch with explosive exposure; review clips and build the sample.",IF(J1043&gt;=65,"Good signal, but sample is limited.","Sample watch; review clips and build the sample.")),IF(K1043="Problem Call","Problem area; practice or call-sheet review.",IF(K1043="Strong Candidate","Strong call-fit candidate; confirm on film.",IF(K1043="Good Candidate","Good call-fit signal; confirm on film.","Mixed signal; review fit and execution on film."))))))))</f>
        <v>Track only; not enough sample.</v>
      </c>
      <c r="M1043" s="8" t="s">
        <v>115</v>
      </c>
      <c r="N1043" s="8"/>
      <c r="O1043" s="8"/>
      <c r="P1043" s="8" t="s">
        <v>465</v>
      </c>
      <c r="Q1043" s="8"/>
      <c r="R1043" s="8" t="s">
        <v>429</v>
      </c>
      <c r="S1043" s="2" t="s">
        <v>618</v>
      </c>
      <c r="T1043" s="2">
        <f>IF(C1043=0,0,IF(C1043&gt;=CALL_LOOKUP_BOARD!$B$7,IF(OR(K1043="Problem Call",K1043="Explosive Alert"),10000000,20000000),0)+IF(C1043&gt;=CALL_LOOKUP_BOARD!$B$7,J1043*1000+MIN(C1043,999),C1043*1000+J1043)+0.00976700)</f>
        <v>1026.009767</v>
      </c>
      <c r="U1043" s="2">
        <f>IF(C1043=0,"",IF(COUNTIFS($S$811:$S$1055,SUBSTITUTE(SUBSTITUTE(SUBSTITUTE(S1043,"~","~~"),"*","~*"),"?","~?"),$T$811:$T$1055,"&gt;"&amp;T1043)=0,S1043,""))</f>
        <v/>
      </c>
    </row>
    <row r="1044" spans="1:21" ht="38" customHeight="1">
      <c r="A1044" s="8" t="s">
        <v>617</v>
      </c>
      <c r="B1044" s="8" t="s">
        <v>35</v>
      </c>
      <c r="C1044" s="12">
        <f>COUNTIFS('DEF_SELF_SCOUT_IMPORT'!$L$42:$L$1040,"Y",'DEF_SELF_SCOUT_IMPORT'!$E$42:$E$1040,SUBSTITUTE(SUBSTITUTE(SUBSTITUTE($B1044,"~","~~"),"*","~*"),"?","~?"),'DEF_SELF_SCOUT_IMPORT'!$Q$42:$Q$1040,SUBSTITUTE(SUBSTITUTE(SUBSTITUTE($M1044,"~","~~"),"*","~*"),"?","~?"),'DEF_SELF_SCOUT_IMPORT'!$D$42:$D$1040,SUBSTITUTE(SUBSTITUTE(SUBSTITUTE($P1044,"~","~~"),"*","~*"),"?","~?"))</f>
        <v>1</v>
      </c>
      <c r="D1044" s="10">
        <f>IF($C1044=0,"",SUMIFS('DEF_SELF_SCOUT_IMPORT'!$J$42:$J$1040,'DEF_SELF_SCOUT_IMPORT'!$L$42:$L$1040,"Y",'DEF_SELF_SCOUT_IMPORT'!$E$42:$E$1040,SUBSTITUTE(SUBSTITUTE(SUBSTITUTE($B1044,"~","~~"),"*","~*"),"?","~?"),'DEF_SELF_SCOUT_IMPORT'!$Q$42:$Q$1040,SUBSTITUTE(SUBSTITUTE(SUBSTITUTE($M1044,"~","~~"),"*","~*"),"?","~?"),'DEF_SELF_SCOUT_IMPORT'!$D$42:$D$1040,SUBSTITUTE(SUBSTITUTE(SUBSTITUTE($P1044,"~","~~"),"*","~*"),"?","~?"))/$C1044)</f>
        <v>1.0</v>
      </c>
      <c r="E1044" s="10">
        <f>IF($C1044=0,"",SUMIFS('DEF_SELF_SCOUT_IMPORT'!$K$42:$K$1040,'DEF_SELF_SCOUT_IMPORT'!$L$42:$L$1040,"Y",'DEF_SELF_SCOUT_IMPORT'!$E$42:$E$1040,SUBSTITUTE(SUBSTITUTE(SUBSTITUTE($B1044,"~","~~"),"*","~*"),"?","~?"),'DEF_SELF_SCOUT_IMPORT'!$Q$42:$Q$1040,SUBSTITUTE(SUBSTITUTE(SUBSTITUTE($M1044,"~","~~"),"*","~*"),"?","~?"),'DEF_SELF_SCOUT_IMPORT'!$D$42:$D$1040,SUBSTITUTE(SUBSTITUTE(SUBSTITUTE($P1044,"~","~~"),"*","~*"),"?","~?"))/$C1044)</f>
        <v>0.0</v>
      </c>
      <c r="F1044" s="11">
        <f>IF($C1044=0,"",AVERAGEIFS('DEF_SELF_SCOUT_IMPORT'!$I$42:$I$1040,'DEF_SELF_SCOUT_IMPORT'!$L$42:$L$1040,"Y",'DEF_SELF_SCOUT_IMPORT'!$E$42:$E$1040,SUBSTITUTE(SUBSTITUTE(SUBSTITUTE($B1044,"~","~~"),"*","~*"),"?","~?"),'DEF_SELF_SCOUT_IMPORT'!$Q$42:$Q$1040,SUBSTITUTE(SUBSTITUTE(SUBSTITUTE($M1044,"~","~~"),"*","~*"),"?","~?"),'DEF_SELF_SCOUT_IMPORT'!$D$42:$D$1040,SUBSTITUTE(SUBSTITUTE(SUBSTITUTE($P1044,"~","~~"),"*","~*"),"?","~?")))</f>
        <v>-1.0</v>
      </c>
      <c r="G1044" s="10">
        <f>IF($C1044=0,"",COUNTIFS('DEF_SELF_SCOUT_IMPORT'!$L$42:$L$1040,"Y",'DEF_SELF_SCOUT_IMPORT'!$E$42:$E$1040,SUBSTITUTE(SUBSTITUTE(SUBSTITUTE($B1044,"~","~~"),"*","~*"),"?","~?"),'DEF_SELF_SCOUT_IMPORT'!$Q$42:$Q$1040,SUBSTITUTE(SUBSTITUTE(SUBSTITUTE($M1044,"~","~~"),"*","~*"),"?","~?"),'DEF_SELF_SCOUT_IMPORT'!$D$42:$D$1040,SUBSTITUTE(SUBSTITUTE(SUBSTITUTE($P1044,"~","~~"),"*","~*"),"?","~?"),'DEF_SELF_SCOUT_IMPORT'!$H$42:$H$1040,"RUSH")/$C1044)</f>
        <v>1.0</v>
      </c>
      <c r="H1044" s="10">
        <f>IF($C1044=0,"",COUNTIFS('DEF_SELF_SCOUT_IMPORT'!$L$42:$L$1040,"Y",'DEF_SELF_SCOUT_IMPORT'!$E$42:$E$1040,SUBSTITUTE(SUBSTITUTE(SUBSTITUTE($B1044,"~","~~"),"*","~*"),"?","~?"),'DEF_SELF_SCOUT_IMPORT'!$Q$42:$Q$1040,SUBSTITUTE(SUBSTITUTE(SUBSTITUTE($M1044,"~","~~"),"*","~*"),"?","~?"),'DEF_SELF_SCOUT_IMPORT'!$D$42:$D$1040,SUBSTITUTE(SUBSTITUTE(SUBSTITUTE($P1044,"~","~~"),"*","~*"),"?","~?"),'DEF_SELF_SCOUT_IMPORT'!$H$42:$H$1040,"DROPBACK")/$C1044)</f>
        <v>0.0</v>
      </c>
      <c r="I1044" s="14" t="str">
        <f>IF(C1044=0,"",IF(C1044&lt;=2,"TRACK",IF(C1044=3,"LOW",IF(C1044&lt;=6,"MEDIUM","HIGH"))))</f>
        <v>TRACK</v>
      </c>
      <c r="J1044" s="11">
        <f>IF(C1044=0,"",ROUND(D1044*70+(1-E1044)*20+MAX(0,MIN(1,(10-F1044)/10))*10,1))</f>
        <v>100.0</v>
      </c>
      <c r="K1044" s="14" t="str">
        <f>IF(C1044=0,"No Evidence",IF(C1044&lt;=2,IF(E1044&gt;0,"Explosive Alert","Track Only"),IF(C1044=3,"Sample Watch",IF(E1044&gt;=START_HERE!$B$31,"Explosive Alert",IF(J1044&gt;=80,"Strong Candidate",IF(J1044&gt;=65,"Good Candidate",IF(J1044&gt;=50,"Mixed / Review","Problem Call")))))))</f>
        <v>Track Only</v>
      </c>
      <c r="L1044" s="9" t="str">
        <f>IF(COUNTIFS('DEF_SELF_SCOUT_IMPORT'!$L$42:$L$1040,"Y",'DEF_SELF_SCOUT_IMPORT'!$E$42:$E$1040,SUBSTITUTE(SUBSTITUTE(SUBSTITUTE($B1044,"~","~~"),"*","~*"),"?","~?"),'DEF_SELF_SCOUT_IMPORT'!$Q$42:$Q$1040,SUBSTITUTE(SUBSTITUTE(SUBSTITUTE($M1044,"~","~~"),"*","~*"),"?","~?"),'DEF_SELF_SCOUT_IMPORT'!$D$42:$D$1040,SUBSTITUTE(SUBSTITUTE(SUBSTITUTE($P1044,"~","~~"),"*","~*"),"?","~?"),'DEF_SELF_SCOUT_IMPORT'!$J$42:$J$1040,"")&gt;0,"Unscored clean outcome; review result tags before using score.",IF(C1044=0,"No matching defensive reps; film confirmation needed.",IF(K1044="Explosive Alert","Explosive risk; review clips before using as answer.",IF(C1044&lt;=2,"Track only; not enough sample.",IF(C1044=3,IF(E1044&gt;0,"Sample watch with explosive exposure; review clips and build the sample.",IF(J1044&gt;=65,"Good signal, but sample is limited.","Sample watch; review clips and build the sample.")),IF(K1044="Problem Call","Problem area; practice or call-sheet review.",IF(K1044="Strong Candidate","Strong call-fit candidate; confirm on film.",IF(K1044="Good Candidate","Good call-fit signal; confirm on film.","Mixed signal; review fit and execution on film."))))))))</f>
        <v>Track only; not enough sample.</v>
      </c>
      <c r="M1044" s="8" t="s">
        <v>115</v>
      </c>
      <c r="N1044" s="8"/>
      <c r="O1044" s="8"/>
      <c r="P1044" s="8" t="s">
        <v>465</v>
      </c>
      <c r="Q1044" s="8"/>
      <c r="R1044" s="8" t="s">
        <v>429</v>
      </c>
      <c r="S1044" s="2" t="s">
        <v>618</v>
      </c>
      <c r="T1044" s="2">
        <f>IF(C1044=0,0,IF(C1044&gt;=CALL_LOOKUP_BOARD!$B$7,IF(OR(K1044="Problem Call",K1044="Explosive Alert"),10000000,20000000),0)+IF(C1044&gt;=CALL_LOOKUP_BOARD!$B$7,J1044*1000+MIN(C1044,999),C1044*1000+J1044)+0.00976600)</f>
        <v>1100.009766</v>
      </c>
      <c r="U1044" s="2" t="str">
        <f>IF(C1044=0,"",IF(COUNTIFS($S$811:$S$1055,SUBSTITUTE(SUBSTITUTE(SUBSTITUTE(S1044,"~","~~"),"*","~*"),"?","~?"),$T$811:$T$1055,"&gt;"&amp;T1044)=0,S1044,""))</f>
        <v>4:P&amp;10|12:OUTSIDE ZONE|</v>
      </c>
    </row>
    <row r="1045" spans="1:21" ht="38" customHeight="1">
      <c r="A1045" s="8" t="s">
        <v>617</v>
      </c>
      <c r="B1045" s="8" t="s">
        <v>60</v>
      </c>
      <c r="C1045" s="12">
        <f>COUNTIFS('DEF_SELF_SCOUT_IMPORT'!$L$42:$L$1040,"Y",'DEF_SELF_SCOUT_IMPORT'!$E$42:$E$1040,SUBSTITUTE(SUBSTITUTE(SUBSTITUTE($B1045,"~","~~"),"*","~*"),"?","~?"),'DEF_SELF_SCOUT_IMPORT'!$Q$42:$Q$1040,SUBSTITUTE(SUBSTITUTE(SUBSTITUTE($M1045,"~","~~"),"*","~*"),"?","~?"),'DEF_SELF_SCOUT_IMPORT'!$D$42:$D$1040,SUBSTITUTE(SUBSTITUTE(SUBSTITUTE($P1045,"~","~~"),"*","~*"),"?","~?"))</f>
        <v>1</v>
      </c>
      <c r="D1045" s="10">
        <f>IF($C1045=0,"",SUMIFS('DEF_SELF_SCOUT_IMPORT'!$J$42:$J$1040,'DEF_SELF_SCOUT_IMPORT'!$L$42:$L$1040,"Y",'DEF_SELF_SCOUT_IMPORT'!$E$42:$E$1040,SUBSTITUTE(SUBSTITUTE(SUBSTITUTE($B1045,"~","~~"),"*","~*"),"?","~?"),'DEF_SELF_SCOUT_IMPORT'!$Q$42:$Q$1040,SUBSTITUTE(SUBSTITUTE(SUBSTITUTE($M1045,"~","~~"),"*","~*"),"?","~?"),'DEF_SELF_SCOUT_IMPORT'!$D$42:$D$1040,SUBSTITUTE(SUBSTITUTE(SUBSTITUTE($P1045,"~","~~"),"*","~*"),"?","~?"))/$C1045)</f>
        <v>1.0</v>
      </c>
      <c r="E1045" s="10">
        <f>IF($C1045=0,"",SUMIFS('DEF_SELF_SCOUT_IMPORT'!$K$42:$K$1040,'DEF_SELF_SCOUT_IMPORT'!$L$42:$L$1040,"Y",'DEF_SELF_SCOUT_IMPORT'!$E$42:$E$1040,SUBSTITUTE(SUBSTITUTE(SUBSTITUTE($B1045,"~","~~"),"*","~*"),"?","~?"),'DEF_SELF_SCOUT_IMPORT'!$Q$42:$Q$1040,SUBSTITUTE(SUBSTITUTE(SUBSTITUTE($M1045,"~","~~"),"*","~*"),"?","~?"),'DEF_SELF_SCOUT_IMPORT'!$D$42:$D$1040,SUBSTITUTE(SUBSTITUTE(SUBSTITUTE($P1045,"~","~~"),"*","~*"),"?","~?"))/$C1045)</f>
        <v>0.0</v>
      </c>
      <c r="F1045" s="11">
        <f>IF($C1045=0,"",AVERAGEIFS('DEF_SELF_SCOUT_IMPORT'!$I$42:$I$1040,'DEF_SELF_SCOUT_IMPORT'!$L$42:$L$1040,"Y",'DEF_SELF_SCOUT_IMPORT'!$E$42:$E$1040,SUBSTITUTE(SUBSTITUTE(SUBSTITUTE($B1045,"~","~~"),"*","~*"),"?","~?"),'DEF_SELF_SCOUT_IMPORT'!$Q$42:$Q$1040,SUBSTITUTE(SUBSTITUTE(SUBSTITUTE($M1045,"~","~~"),"*","~*"),"?","~?"),'DEF_SELF_SCOUT_IMPORT'!$D$42:$D$1040,SUBSTITUTE(SUBSTITUTE(SUBSTITUTE($P1045,"~","~~"),"*","~*"),"?","~?")))</f>
        <v>1.0</v>
      </c>
      <c r="G1045" s="10">
        <f>IF($C1045=0,"",COUNTIFS('DEF_SELF_SCOUT_IMPORT'!$L$42:$L$1040,"Y",'DEF_SELF_SCOUT_IMPORT'!$E$42:$E$1040,SUBSTITUTE(SUBSTITUTE(SUBSTITUTE($B1045,"~","~~"),"*","~*"),"?","~?"),'DEF_SELF_SCOUT_IMPORT'!$Q$42:$Q$1040,SUBSTITUTE(SUBSTITUTE(SUBSTITUTE($M1045,"~","~~"),"*","~*"),"?","~?"),'DEF_SELF_SCOUT_IMPORT'!$D$42:$D$1040,SUBSTITUTE(SUBSTITUTE(SUBSTITUTE($P1045,"~","~~"),"*","~*"),"?","~?"),'DEF_SELF_SCOUT_IMPORT'!$H$42:$H$1040,"RUSH")/$C1045)</f>
        <v>1.0</v>
      </c>
      <c r="H1045" s="10">
        <f>IF($C1045=0,"",COUNTIFS('DEF_SELF_SCOUT_IMPORT'!$L$42:$L$1040,"Y",'DEF_SELF_SCOUT_IMPORT'!$E$42:$E$1040,SUBSTITUTE(SUBSTITUTE(SUBSTITUTE($B1045,"~","~~"),"*","~*"),"?","~?"),'DEF_SELF_SCOUT_IMPORT'!$Q$42:$Q$1040,SUBSTITUTE(SUBSTITUTE(SUBSTITUTE($M1045,"~","~~"),"*","~*"),"?","~?"),'DEF_SELF_SCOUT_IMPORT'!$D$42:$D$1040,SUBSTITUTE(SUBSTITUTE(SUBSTITUTE($P1045,"~","~~"),"*","~*"),"?","~?"),'DEF_SELF_SCOUT_IMPORT'!$H$42:$H$1040,"DROPBACK")/$C1045)</f>
        <v>0.0</v>
      </c>
      <c r="I1045" s="14" t="str">
        <f>IF(C1045=0,"",IF(C1045&lt;=2,"TRACK",IF(C1045=3,"LOW",IF(C1045&lt;=6,"MEDIUM","HIGH"))))</f>
        <v>TRACK</v>
      </c>
      <c r="J1045" s="11">
        <f>IF(C1045=0,"",ROUND(D1045*70+(1-E1045)*20+MAX(0,MIN(1,(10-F1045)/10))*10,1))</f>
        <v>99.0</v>
      </c>
      <c r="K1045" s="14" t="str">
        <f>IF(C1045=0,"No Evidence",IF(C1045&lt;=2,IF(E1045&gt;0,"Explosive Alert","Track Only"),IF(C1045=3,"Sample Watch",IF(E1045&gt;=START_HERE!$B$31,"Explosive Alert",IF(J1045&gt;=80,"Strong Candidate",IF(J1045&gt;=65,"Good Candidate",IF(J1045&gt;=50,"Mixed / Review","Problem Call")))))))</f>
        <v>Track Only</v>
      </c>
      <c r="L1045" s="9" t="str">
        <f>IF(COUNTIFS('DEF_SELF_SCOUT_IMPORT'!$L$42:$L$1040,"Y",'DEF_SELF_SCOUT_IMPORT'!$E$42:$E$1040,SUBSTITUTE(SUBSTITUTE(SUBSTITUTE($B1045,"~","~~"),"*","~*"),"?","~?"),'DEF_SELF_SCOUT_IMPORT'!$Q$42:$Q$1040,SUBSTITUTE(SUBSTITUTE(SUBSTITUTE($M1045,"~","~~"),"*","~*"),"?","~?"),'DEF_SELF_SCOUT_IMPORT'!$D$42:$D$1040,SUBSTITUTE(SUBSTITUTE(SUBSTITUTE($P1045,"~","~~"),"*","~*"),"?","~?"),'DEF_SELF_SCOUT_IMPORT'!$J$42:$J$1040,"")&gt;0,"Unscored clean outcome; review result tags before using score.",IF(C1045=0,"No matching defensive reps; film confirmation needed.",IF(K1045="Explosive Alert","Explosive risk; review clips before using as answer.",IF(C1045&lt;=2,"Track only; not enough sample.",IF(C1045=3,IF(E1045&gt;0,"Sample watch with explosive exposure; review clips and build the sample.",IF(J1045&gt;=65,"Good signal, but sample is limited.","Sample watch; review clips and build the sample.")),IF(K1045="Problem Call","Problem area; practice or call-sheet review.",IF(K1045="Strong Candidate","Strong call-fit candidate; confirm on film.",IF(K1045="Good Candidate","Good call-fit signal; confirm on film.","Mixed signal; review fit and execution on film."))))))))</f>
        <v>Track only; not enough sample.</v>
      </c>
      <c r="M1045" s="8" t="s">
        <v>115</v>
      </c>
      <c r="N1045" s="8"/>
      <c r="O1045" s="8"/>
      <c r="P1045" s="8" t="s">
        <v>465</v>
      </c>
      <c r="Q1045" s="8"/>
      <c r="R1045" s="8" t="s">
        <v>429</v>
      </c>
      <c r="S1045" s="2" t="s">
        <v>618</v>
      </c>
      <c r="T1045" s="2">
        <f>IF(C1045=0,0,IF(C1045&gt;=CALL_LOOKUP_BOARD!$B$7,IF(OR(K1045="Problem Call",K1045="Explosive Alert"),10000000,20000000),0)+IF(C1045&gt;=CALL_LOOKUP_BOARD!$B$7,J1045*1000+MIN(C1045,999),C1045*1000+J1045)+0.00976500)</f>
        <v>1099.009765</v>
      </c>
      <c r="U1045" s="2">
        <f>IF(C1045=0,"",IF(COUNTIFS($S$811:$S$1055,SUBSTITUTE(SUBSTITUTE(SUBSTITUTE(S1045,"~","~~"),"*","~*"),"?","~?"),$T$811:$T$1055,"&gt;"&amp;T1045)=0,S1045,""))</f>
        <v/>
      </c>
    </row>
    <row r="1046" spans="1:21" ht="38" customHeight="1">
      <c r="A1046" s="8" t="s">
        <v>619</v>
      </c>
      <c r="B1046" s="8" t="s">
        <v>44</v>
      </c>
      <c r="C1046" s="12">
        <f>COUNTIFS('DEF_SELF_SCOUT_IMPORT'!$L$42:$L$1040,"Y",'DEF_SELF_SCOUT_IMPORT'!$E$42:$E$1040,SUBSTITUTE(SUBSTITUTE(SUBSTITUTE($B1046,"~","~~"),"*","~*"),"?","~?"),'DEF_SELF_SCOUT_IMPORT'!$Q$42:$Q$1040,SUBSTITUTE(SUBSTITUTE(SUBSTITUTE($M1046,"~","~~"),"*","~*"),"?","~?"),'DEF_SELF_SCOUT_IMPORT'!$D$42:$D$1040,SUBSTITUTE(SUBSTITUTE(SUBSTITUTE($P1046,"~","~~"),"*","~*"),"?","~?"))</f>
        <v>1</v>
      </c>
      <c r="D1046" s="10">
        <f>IF($C1046=0,"",SUMIFS('DEF_SELF_SCOUT_IMPORT'!$J$42:$J$1040,'DEF_SELF_SCOUT_IMPORT'!$L$42:$L$1040,"Y",'DEF_SELF_SCOUT_IMPORT'!$E$42:$E$1040,SUBSTITUTE(SUBSTITUTE(SUBSTITUTE($B1046,"~","~~"),"*","~*"),"?","~?"),'DEF_SELF_SCOUT_IMPORT'!$Q$42:$Q$1040,SUBSTITUTE(SUBSTITUTE(SUBSTITUTE($M1046,"~","~~"),"*","~*"),"?","~?"),'DEF_SELF_SCOUT_IMPORT'!$D$42:$D$1040,SUBSTITUTE(SUBSTITUTE(SUBSTITUTE($P1046,"~","~~"),"*","~*"),"?","~?"))/$C1046)</f>
        <v>0.0</v>
      </c>
      <c r="E1046" s="10">
        <f>IF($C1046=0,"",SUMIFS('DEF_SELF_SCOUT_IMPORT'!$K$42:$K$1040,'DEF_SELF_SCOUT_IMPORT'!$L$42:$L$1040,"Y",'DEF_SELF_SCOUT_IMPORT'!$E$42:$E$1040,SUBSTITUTE(SUBSTITUTE(SUBSTITUTE($B1046,"~","~~"),"*","~*"),"?","~?"),'DEF_SELF_SCOUT_IMPORT'!$Q$42:$Q$1040,SUBSTITUTE(SUBSTITUTE(SUBSTITUTE($M1046,"~","~~"),"*","~*"),"?","~?"),'DEF_SELF_SCOUT_IMPORT'!$D$42:$D$1040,SUBSTITUTE(SUBSTITUTE(SUBSTITUTE($P1046,"~","~~"),"*","~*"),"?","~?"))/$C1046)</f>
        <v>1.0</v>
      </c>
      <c r="F1046" s="11">
        <f>IF($C1046=0,"",AVERAGEIFS('DEF_SELF_SCOUT_IMPORT'!$I$42:$I$1040,'DEF_SELF_SCOUT_IMPORT'!$L$42:$L$1040,"Y",'DEF_SELF_SCOUT_IMPORT'!$E$42:$E$1040,SUBSTITUTE(SUBSTITUTE(SUBSTITUTE($B1046,"~","~~"),"*","~*"),"?","~?"),'DEF_SELF_SCOUT_IMPORT'!$Q$42:$Q$1040,SUBSTITUTE(SUBSTITUTE(SUBSTITUTE($M1046,"~","~~"),"*","~*"),"?","~?"),'DEF_SELF_SCOUT_IMPORT'!$D$42:$D$1040,SUBSTITUTE(SUBSTITUTE(SUBSTITUTE($P1046,"~","~~"),"*","~*"),"?","~?")))</f>
        <v>47.0</v>
      </c>
      <c r="G1046" s="10">
        <f>IF($C1046=0,"",COUNTIFS('DEF_SELF_SCOUT_IMPORT'!$L$42:$L$1040,"Y",'DEF_SELF_SCOUT_IMPORT'!$E$42:$E$1040,SUBSTITUTE(SUBSTITUTE(SUBSTITUTE($B1046,"~","~~"),"*","~*"),"?","~?"),'DEF_SELF_SCOUT_IMPORT'!$Q$42:$Q$1040,SUBSTITUTE(SUBSTITUTE(SUBSTITUTE($M1046,"~","~~"),"*","~*"),"?","~?"),'DEF_SELF_SCOUT_IMPORT'!$D$42:$D$1040,SUBSTITUTE(SUBSTITUTE(SUBSTITUTE($P1046,"~","~~"),"*","~*"),"?","~?"),'DEF_SELF_SCOUT_IMPORT'!$H$42:$H$1040,"RUSH")/$C1046)</f>
        <v>0.0</v>
      </c>
      <c r="H1046" s="10">
        <f>IF($C1046=0,"",COUNTIFS('DEF_SELF_SCOUT_IMPORT'!$L$42:$L$1040,"Y",'DEF_SELF_SCOUT_IMPORT'!$E$42:$E$1040,SUBSTITUTE(SUBSTITUTE(SUBSTITUTE($B1046,"~","~~"),"*","~*"),"?","~?"),'DEF_SELF_SCOUT_IMPORT'!$Q$42:$Q$1040,SUBSTITUTE(SUBSTITUTE(SUBSTITUTE($M1046,"~","~~"),"*","~*"),"?","~?"),'DEF_SELF_SCOUT_IMPORT'!$D$42:$D$1040,SUBSTITUTE(SUBSTITUTE(SUBSTITUTE($P1046,"~","~~"),"*","~*"),"?","~?"),'DEF_SELF_SCOUT_IMPORT'!$H$42:$H$1040,"DROPBACK")/$C1046)</f>
        <v>1.0</v>
      </c>
      <c r="I1046" s="14" t="str">
        <f>IF(C1046=0,"",IF(C1046&lt;=2,"TRACK",IF(C1046=3,"LOW",IF(C1046&lt;=6,"MEDIUM","HIGH"))))</f>
        <v>TRACK</v>
      </c>
      <c r="J1046" s="11">
        <f>IF(C1046=0,"",ROUND(D1046*70+(1-E1046)*20+MAX(0,MIN(1,(10-F1046)/10))*10,1))</f>
        <v>0.0</v>
      </c>
      <c r="K1046" s="14" t="str">
        <f>IF(C1046=0,"No Evidence",IF(C1046&lt;=2,IF(E1046&gt;0,"Explosive Alert","Track Only"),IF(C1046=3,"Sample Watch",IF(E1046&gt;=START_HERE!$B$31,"Explosive Alert",IF(J1046&gt;=80,"Strong Candidate",IF(J1046&gt;=65,"Good Candidate",IF(J1046&gt;=50,"Mixed / Review","Problem Call")))))))</f>
        <v>Explosive Alert</v>
      </c>
      <c r="L1046" s="9" t="str">
        <f>IF(COUNTIFS('DEF_SELF_SCOUT_IMPORT'!$L$42:$L$1040,"Y",'DEF_SELF_SCOUT_IMPORT'!$E$42:$E$1040,SUBSTITUTE(SUBSTITUTE(SUBSTITUTE($B1046,"~","~~"),"*","~*"),"?","~?"),'DEF_SELF_SCOUT_IMPORT'!$Q$42:$Q$1040,SUBSTITUTE(SUBSTITUTE(SUBSTITUTE($M1046,"~","~~"),"*","~*"),"?","~?"),'DEF_SELF_SCOUT_IMPORT'!$D$42:$D$1040,SUBSTITUTE(SUBSTITUTE(SUBSTITUTE($P1046,"~","~~"),"*","~*"),"?","~?"),'DEF_SELF_SCOUT_IMPORT'!$J$42:$J$1040,"")&gt;0,"Unscored clean outcome; review result tags before using score.",IF(C1046=0,"No matching defensive reps; film confirmation needed.",IF(K1046="Explosive Alert","Explosive risk; review clips before using as answer.",IF(C1046&lt;=2,"Track only; not enough sample.",IF(C1046=3,IF(E1046&gt;0,"Sample watch with explosive exposure; review clips and build the sample.",IF(J1046&gt;=65,"Good signal, but sample is limited.","Sample watch; review clips and build the sample.")),IF(K1046="Problem Call","Problem area; practice or call-sheet review.",IF(K1046="Strong Candidate","Strong call-fit candidate; confirm on film.",IF(K1046="Good Candidate","Good call-fit signal; confirm on film.","Mixed signal; review fit and execution on film."))))))))</f>
        <v>Explosive risk; review clips before using as answer.</v>
      </c>
      <c r="M1046" s="8" t="s">
        <v>115</v>
      </c>
      <c r="N1046" s="8"/>
      <c r="O1046" s="8"/>
      <c r="P1046" s="8" t="s">
        <v>468</v>
      </c>
      <c r="Q1046" s="8"/>
      <c r="R1046" s="8" t="s">
        <v>429</v>
      </c>
      <c r="S1046" s="2" t="s">
        <v>620</v>
      </c>
      <c r="T1046" s="2">
        <f>IF(C1046=0,0,IF(C1046&gt;=CALL_LOOKUP_BOARD!$B$7,IF(OR(K1046="Problem Call",K1046="Explosive Alert"),10000000,20000000),0)+IF(C1046&gt;=CALL_LOOKUP_BOARD!$B$7,J1046*1000+MIN(C1046,999),C1046*1000+J1046)+0.00976400)</f>
        <v>1000.009764</v>
      </c>
      <c r="U1046" s="2">
        <f>IF(C1046=0,"",IF(COUNTIFS($S$811:$S$1055,SUBSTITUTE(SUBSTITUTE(SUBSTITUTE(S1046,"~","~~"),"*","~*"),"?","~?"),$T$811:$T$1055,"&gt;"&amp;T1046)=0,S1046,""))</f>
        <v/>
      </c>
    </row>
    <row r="1047" spans="1:21" ht="38" customHeight="1">
      <c r="A1047" s="8" t="s">
        <v>619</v>
      </c>
      <c r="B1047" s="8" t="s">
        <v>52</v>
      </c>
      <c r="C1047" s="12">
        <f>COUNTIFS('DEF_SELF_SCOUT_IMPORT'!$L$42:$L$1040,"Y",'DEF_SELF_SCOUT_IMPORT'!$E$42:$E$1040,SUBSTITUTE(SUBSTITUTE(SUBSTITUTE($B1047,"~","~~"),"*","~*"),"?","~?"),'DEF_SELF_SCOUT_IMPORT'!$Q$42:$Q$1040,SUBSTITUTE(SUBSTITUTE(SUBSTITUTE($M1047,"~","~~"),"*","~*"),"?","~?"),'DEF_SELF_SCOUT_IMPORT'!$D$42:$D$1040,SUBSTITUTE(SUBSTITUTE(SUBSTITUTE($P1047,"~","~~"),"*","~*"),"?","~?"))</f>
        <v>1</v>
      </c>
      <c r="D1047" s="10">
        <f>IF($C1047=0,"",SUMIFS('DEF_SELF_SCOUT_IMPORT'!$J$42:$J$1040,'DEF_SELF_SCOUT_IMPORT'!$L$42:$L$1040,"Y",'DEF_SELF_SCOUT_IMPORT'!$E$42:$E$1040,SUBSTITUTE(SUBSTITUTE(SUBSTITUTE($B1047,"~","~~"),"*","~*"),"?","~?"),'DEF_SELF_SCOUT_IMPORT'!$Q$42:$Q$1040,SUBSTITUTE(SUBSTITUTE(SUBSTITUTE($M1047,"~","~~"),"*","~*"),"?","~?"),'DEF_SELF_SCOUT_IMPORT'!$D$42:$D$1040,SUBSTITUTE(SUBSTITUTE(SUBSTITUTE($P1047,"~","~~"),"*","~*"),"?","~?"))/$C1047)</f>
        <v>1.0</v>
      </c>
      <c r="E1047" s="10">
        <f>IF($C1047=0,"",SUMIFS('DEF_SELF_SCOUT_IMPORT'!$K$42:$K$1040,'DEF_SELF_SCOUT_IMPORT'!$L$42:$L$1040,"Y",'DEF_SELF_SCOUT_IMPORT'!$E$42:$E$1040,SUBSTITUTE(SUBSTITUTE(SUBSTITUTE($B1047,"~","~~"),"*","~*"),"?","~?"),'DEF_SELF_SCOUT_IMPORT'!$Q$42:$Q$1040,SUBSTITUTE(SUBSTITUTE(SUBSTITUTE($M1047,"~","~~"),"*","~*"),"?","~?"),'DEF_SELF_SCOUT_IMPORT'!$D$42:$D$1040,SUBSTITUTE(SUBSTITUTE(SUBSTITUTE($P1047,"~","~~"),"*","~*"),"?","~?"))/$C1047)</f>
        <v>0.0</v>
      </c>
      <c r="F1047" s="11">
        <f>IF($C1047=0,"",AVERAGEIFS('DEF_SELF_SCOUT_IMPORT'!$I$42:$I$1040,'DEF_SELF_SCOUT_IMPORT'!$L$42:$L$1040,"Y",'DEF_SELF_SCOUT_IMPORT'!$E$42:$E$1040,SUBSTITUTE(SUBSTITUTE(SUBSTITUTE($B1047,"~","~~"),"*","~*"),"?","~?"),'DEF_SELF_SCOUT_IMPORT'!$Q$42:$Q$1040,SUBSTITUTE(SUBSTITUTE(SUBSTITUTE($M1047,"~","~~"),"*","~*"),"?","~?"),'DEF_SELF_SCOUT_IMPORT'!$D$42:$D$1040,SUBSTITUTE(SUBSTITUTE(SUBSTITUTE($P1047,"~","~~"),"*","~*"),"?","~?")))</f>
        <v>-7.0</v>
      </c>
      <c r="G1047" s="10">
        <f>IF($C1047=0,"",COUNTIFS('DEF_SELF_SCOUT_IMPORT'!$L$42:$L$1040,"Y",'DEF_SELF_SCOUT_IMPORT'!$E$42:$E$1040,SUBSTITUTE(SUBSTITUTE(SUBSTITUTE($B1047,"~","~~"),"*","~*"),"?","~?"),'DEF_SELF_SCOUT_IMPORT'!$Q$42:$Q$1040,SUBSTITUTE(SUBSTITUTE(SUBSTITUTE($M1047,"~","~~"),"*","~*"),"?","~?"),'DEF_SELF_SCOUT_IMPORT'!$D$42:$D$1040,SUBSTITUTE(SUBSTITUTE(SUBSTITUTE($P1047,"~","~~"),"*","~*"),"?","~?"),'DEF_SELF_SCOUT_IMPORT'!$H$42:$H$1040,"RUSH")/$C1047)</f>
        <v>0.0</v>
      </c>
      <c r="H1047" s="10">
        <f>IF($C1047=0,"",COUNTIFS('DEF_SELF_SCOUT_IMPORT'!$L$42:$L$1040,"Y",'DEF_SELF_SCOUT_IMPORT'!$E$42:$E$1040,SUBSTITUTE(SUBSTITUTE(SUBSTITUTE($B1047,"~","~~"),"*","~*"),"?","~?"),'DEF_SELF_SCOUT_IMPORT'!$Q$42:$Q$1040,SUBSTITUTE(SUBSTITUTE(SUBSTITUTE($M1047,"~","~~"),"*","~*"),"?","~?"),'DEF_SELF_SCOUT_IMPORT'!$D$42:$D$1040,SUBSTITUTE(SUBSTITUTE(SUBSTITUTE($P1047,"~","~~"),"*","~*"),"?","~?"),'DEF_SELF_SCOUT_IMPORT'!$H$42:$H$1040,"DROPBACK")/$C1047)</f>
        <v>1.0</v>
      </c>
      <c r="I1047" s="14" t="str">
        <f>IF(C1047=0,"",IF(C1047&lt;=2,"TRACK",IF(C1047=3,"LOW",IF(C1047&lt;=6,"MEDIUM","HIGH"))))</f>
        <v>TRACK</v>
      </c>
      <c r="J1047" s="11">
        <f>IF(C1047=0,"",ROUND(D1047*70+(1-E1047)*20+MAX(0,MIN(1,(10-F1047)/10))*10,1))</f>
        <v>100.0</v>
      </c>
      <c r="K1047" s="14" t="str">
        <f>IF(C1047=0,"No Evidence",IF(C1047&lt;=2,IF(E1047&gt;0,"Explosive Alert","Track Only"),IF(C1047=3,"Sample Watch",IF(E1047&gt;=START_HERE!$B$31,"Explosive Alert",IF(J1047&gt;=80,"Strong Candidate",IF(J1047&gt;=65,"Good Candidate",IF(J1047&gt;=50,"Mixed / Review","Problem Call")))))))</f>
        <v>Track Only</v>
      </c>
      <c r="L1047" s="9" t="str">
        <f>IF(COUNTIFS('DEF_SELF_SCOUT_IMPORT'!$L$42:$L$1040,"Y",'DEF_SELF_SCOUT_IMPORT'!$E$42:$E$1040,SUBSTITUTE(SUBSTITUTE(SUBSTITUTE($B1047,"~","~~"),"*","~*"),"?","~?"),'DEF_SELF_SCOUT_IMPORT'!$Q$42:$Q$1040,SUBSTITUTE(SUBSTITUTE(SUBSTITUTE($M1047,"~","~~"),"*","~*"),"?","~?"),'DEF_SELF_SCOUT_IMPORT'!$D$42:$D$1040,SUBSTITUTE(SUBSTITUTE(SUBSTITUTE($P1047,"~","~~"),"*","~*"),"?","~?"),'DEF_SELF_SCOUT_IMPORT'!$J$42:$J$1040,"")&gt;0,"Unscored clean outcome; review result tags before using score.",IF(C1047=0,"No matching defensive reps; film confirmation needed.",IF(K1047="Explosive Alert","Explosive risk; review clips before using as answer.",IF(C1047&lt;=2,"Track only; not enough sample.",IF(C1047=3,IF(E1047&gt;0,"Sample watch with explosive exposure; review clips and build the sample.",IF(J1047&gt;=65,"Good signal, but sample is limited.","Sample watch; review clips and build the sample.")),IF(K1047="Problem Call","Problem area; practice or call-sheet review.",IF(K1047="Strong Candidate","Strong call-fit candidate; confirm on film.",IF(K1047="Good Candidate","Good call-fit signal; confirm on film.","Mixed signal; review fit and execution on film."))))))))</f>
        <v>Track only; not enough sample.</v>
      </c>
      <c r="M1047" s="8" t="s">
        <v>115</v>
      </c>
      <c r="N1047" s="8"/>
      <c r="O1047" s="8"/>
      <c r="P1047" s="8" t="s">
        <v>468</v>
      </c>
      <c r="Q1047" s="8"/>
      <c r="R1047" s="8" t="s">
        <v>429</v>
      </c>
      <c r="S1047" s="2" t="s">
        <v>620</v>
      </c>
      <c r="T1047" s="2">
        <f>IF(C1047=0,0,IF(C1047&gt;=CALL_LOOKUP_BOARD!$B$7,IF(OR(K1047="Problem Call",K1047="Explosive Alert"),10000000,20000000),0)+IF(C1047&gt;=CALL_LOOKUP_BOARD!$B$7,J1047*1000+MIN(C1047,999),C1047*1000+J1047)+0.00976300)</f>
        <v>1100.009763</v>
      </c>
      <c r="U1047" s="2" t="str">
        <f>IF(C1047=0,"",IF(COUNTIFS($S$811:$S$1055,SUBSTITUTE(SUBSTITUTE(SUBSTITUTE(S1047,"~","~~"),"*","~*"),"?","~?"),$T$811:$T$1055,"&gt;"&amp;T1047)=0,S1047,""))</f>
        <v>4:P&amp;10|3:PAP|</v>
      </c>
    </row>
    <row r="1048" spans="1:21" ht="38" customHeight="1">
      <c r="A1048" s="8" t="s">
        <v>621</v>
      </c>
      <c r="B1048" s="8" t="s">
        <v>68</v>
      </c>
      <c r="C1048" s="12">
        <f>COUNTIFS('DEF_SELF_SCOUT_IMPORT'!$L$42:$L$1040,"Y",'DEF_SELF_SCOUT_IMPORT'!$E$42:$E$1040,SUBSTITUTE(SUBSTITUTE(SUBSTITUTE($B1048,"~","~~"),"*","~*"),"?","~?"),'DEF_SELF_SCOUT_IMPORT'!$Q$42:$Q$1040,SUBSTITUTE(SUBSTITUTE(SUBSTITUTE($M1048,"~","~~"),"*","~*"),"?","~?"),'DEF_SELF_SCOUT_IMPORT'!$D$42:$D$1040,SUBSTITUTE(SUBSTITUTE(SUBSTITUTE($P1048,"~","~~"),"*","~*"),"?","~?"))</f>
        <v>1</v>
      </c>
      <c r="D1048" s="10">
        <f>IF($C1048=0,"",SUMIFS('DEF_SELF_SCOUT_IMPORT'!$J$42:$J$1040,'DEF_SELF_SCOUT_IMPORT'!$L$42:$L$1040,"Y",'DEF_SELF_SCOUT_IMPORT'!$E$42:$E$1040,SUBSTITUTE(SUBSTITUTE(SUBSTITUTE($B1048,"~","~~"),"*","~*"),"?","~?"),'DEF_SELF_SCOUT_IMPORT'!$Q$42:$Q$1040,SUBSTITUTE(SUBSTITUTE(SUBSTITUTE($M1048,"~","~~"),"*","~*"),"?","~?"),'DEF_SELF_SCOUT_IMPORT'!$D$42:$D$1040,SUBSTITUTE(SUBSTITUTE(SUBSTITUTE($P1048,"~","~~"),"*","~*"),"?","~?"))/$C1048)</f>
        <v>1.0</v>
      </c>
      <c r="E1048" s="10">
        <f>IF($C1048=0,"",SUMIFS('DEF_SELF_SCOUT_IMPORT'!$K$42:$K$1040,'DEF_SELF_SCOUT_IMPORT'!$L$42:$L$1040,"Y",'DEF_SELF_SCOUT_IMPORT'!$E$42:$E$1040,SUBSTITUTE(SUBSTITUTE(SUBSTITUTE($B1048,"~","~~"),"*","~*"),"?","~?"),'DEF_SELF_SCOUT_IMPORT'!$Q$42:$Q$1040,SUBSTITUTE(SUBSTITUTE(SUBSTITUTE($M1048,"~","~~"),"*","~*"),"?","~?"),'DEF_SELF_SCOUT_IMPORT'!$D$42:$D$1040,SUBSTITUTE(SUBSTITUTE(SUBSTITUTE($P1048,"~","~~"),"*","~*"),"?","~?"))/$C1048)</f>
        <v>0.0</v>
      </c>
      <c r="F1048" s="11">
        <f>IF($C1048=0,"",AVERAGEIFS('DEF_SELF_SCOUT_IMPORT'!$I$42:$I$1040,'DEF_SELF_SCOUT_IMPORT'!$L$42:$L$1040,"Y",'DEF_SELF_SCOUT_IMPORT'!$E$42:$E$1040,SUBSTITUTE(SUBSTITUTE(SUBSTITUTE($B1048,"~","~~"),"*","~*"),"?","~?"),'DEF_SELF_SCOUT_IMPORT'!$Q$42:$Q$1040,SUBSTITUTE(SUBSTITUTE(SUBSTITUTE($M1048,"~","~~"),"*","~*"),"?","~?"),'DEF_SELF_SCOUT_IMPORT'!$D$42:$D$1040,SUBSTITUTE(SUBSTITUTE(SUBSTITUTE($P1048,"~","~~"),"*","~*"),"?","~?")))</f>
        <v>3.0</v>
      </c>
      <c r="G1048" s="10">
        <f>IF($C1048=0,"",COUNTIFS('DEF_SELF_SCOUT_IMPORT'!$L$42:$L$1040,"Y",'DEF_SELF_SCOUT_IMPORT'!$E$42:$E$1040,SUBSTITUTE(SUBSTITUTE(SUBSTITUTE($B1048,"~","~~"),"*","~*"),"?","~?"),'DEF_SELF_SCOUT_IMPORT'!$Q$42:$Q$1040,SUBSTITUTE(SUBSTITUTE(SUBSTITUTE($M1048,"~","~~"),"*","~*"),"?","~?"),'DEF_SELF_SCOUT_IMPORT'!$D$42:$D$1040,SUBSTITUTE(SUBSTITUTE(SUBSTITUTE($P1048,"~","~~"),"*","~*"),"?","~?"),'DEF_SELF_SCOUT_IMPORT'!$H$42:$H$1040,"RUSH")/$C1048)</f>
        <v>1.0</v>
      </c>
      <c r="H1048" s="10">
        <f>IF($C1048=0,"",COUNTIFS('DEF_SELF_SCOUT_IMPORT'!$L$42:$L$1040,"Y",'DEF_SELF_SCOUT_IMPORT'!$E$42:$E$1040,SUBSTITUTE(SUBSTITUTE(SUBSTITUTE($B1048,"~","~~"),"*","~*"),"?","~?"),'DEF_SELF_SCOUT_IMPORT'!$Q$42:$Q$1040,SUBSTITUTE(SUBSTITUTE(SUBSTITUTE($M1048,"~","~~"),"*","~*"),"?","~?"),'DEF_SELF_SCOUT_IMPORT'!$D$42:$D$1040,SUBSTITUTE(SUBSTITUTE(SUBSTITUTE($P1048,"~","~~"),"*","~*"),"?","~?"),'DEF_SELF_SCOUT_IMPORT'!$H$42:$H$1040,"DROPBACK")/$C1048)</f>
        <v>0.0</v>
      </c>
      <c r="I1048" s="14" t="str">
        <f>IF(C1048=0,"",IF(C1048&lt;=2,"TRACK",IF(C1048=3,"LOW",IF(C1048&lt;=6,"MEDIUM","HIGH"))))</f>
        <v>TRACK</v>
      </c>
      <c r="J1048" s="11">
        <f>IF(C1048=0,"",ROUND(D1048*70+(1-E1048)*20+MAX(0,MIN(1,(10-F1048)/10))*10,1))</f>
        <v>97.0</v>
      </c>
      <c r="K1048" s="14" t="str">
        <f>IF(C1048=0,"No Evidence",IF(C1048&lt;=2,IF(E1048&gt;0,"Explosive Alert","Track Only"),IF(C1048=3,"Sample Watch",IF(E1048&gt;=START_HERE!$B$31,"Explosive Alert",IF(J1048&gt;=80,"Strong Candidate",IF(J1048&gt;=65,"Good Candidate",IF(J1048&gt;=50,"Mixed / Review","Problem Call")))))))</f>
        <v>Track Only</v>
      </c>
      <c r="L1048" s="9" t="str">
        <f>IF(COUNTIFS('DEF_SELF_SCOUT_IMPORT'!$L$42:$L$1040,"Y",'DEF_SELF_SCOUT_IMPORT'!$E$42:$E$1040,SUBSTITUTE(SUBSTITUTE(SUBSTITUTE($B1048,"~","~~"),"*","~*"),"?","~?"),'DEF_SELF_SCOUT_IMPORT'!$Q$42:$Q$1040,SUBSTITUTE(SUBSTITUTE(SUBSTITUTE($M1048,"~","~~"),"*","~*"),"?","~?"),'DEF_SELF_SCOUT_IMPORT'!$D$42:$D$1040,SUBSTITUTE(SUBSTITUTE(SUBSTITUTE($P1048,"~","~~"),"*","~*"),"?","~?"),'DEF_SELF_SCOUT_IMPORT'!$J$42:$J$1040,"")&gt;0,"Unscored clean outcome; review result tags before using score.",IF(C1048=0,"No matching defensive reps; film confirmation needed.",IF(K1048="Explosive Alert","Explosive risk; review clips before using as answer.",IF(C1048&lt;=2,"Track only; not enough sample.",IF(C1048=3,IF(E1048&gt;0,"Sample watch with explosive exposure; review clips and build the sample.",IF(J1048&gt;=65,"Good signal, but sample is limited.","Sample watch; review clips and build the sample.")),IF(K1048="Problem Call","Problem area; practice or call-sheet review.",IF(K1048="Strong Candidate","Strong call-fit candidate; confirm on film.",IF(K1048="Good Candidate","Good call-fit signal; confirm on film.","Mixed signal; review fit and execution on film."))))))))</f>
        <v>Track only; not enough sample.</v>
      </c>
      <c r="M1048" s="8" t="s">
        <v>115</v>
      </c>
      <c r="N1048" s="8"/>
      <c r="O1048" s="8"/>
      <c r="P1048" s="8" t="s">
        <v>541</v>
      </c>
      <c r="Q1048" s="8"/>
      <c r="R1048" s="8" t="s">
        <v>429</v>
      </c>
      <c r="S1048" s="2" t="s">
        <v>622</v>
      </c>
      <c r="T1048" s="2">
        <f>IF(C1048=0,0,IF(C1048&gt;=CALL_LOOKUP_BOARD!$B$7,IF(OR(K1048="Problem Call",K1048="Explosive Alert"),10000000,20000000),0)+IF(C1048&gt;=CALL_LOOKUP_BOARD!$B$7,J1048*1000+MIN(C1048,999),C1048*1000+J1048)+0.00976200)</f>
        <v>1097.009762</v>
      </c>
      <c r="U1048" s="2" t="str">
        <f>IF(C1048=0,"",IF(COUNTIFS($S$811:$S$1055,SUBSTITUTE(SUBSTITUTE(SUBSTITUTE(S1048,"~","~~"),"*","~*"),"?","~?"),$T$811:$T$1055,"&gt;"&amp;T1048)=0,S1048,""))</f>
        <v>4:P&amp;10|5:POWER|</v>
      </c>
    </row>
    <row r="1049" spans="1:21" ht="38" customHeight="1">
      <c r="A1049" s="8" t="s">
        <v>623</v>
      </c>
      <c r="B1049" s="8" t="s">
        <v>51</v>
      </c>
      <c r="C1049" s="12">
        <f>COUNTIFS('DEF_SELF_SCOUT_IMPORT'!$L$42:$L$1040,"Y",'DEF_SELF_SCOUT_IMPORT'!$E$42:$E$1040,SUBSTITUTE(SUBSTITUTE(SUBSTITUTE($B1049,"~","~~"),"*","~*"),"?","~?"),'DEF_SELF_SCOUT_IMPORT'!$Q$42:$Q$1040,SUBSTITUTE(SUBSTITUTE(SUBSTITUTE($M1049,"~","~~"),"*","~*"),"?","~?"),'DEF_SELF_SCOUT_IMPORT'!$D$42:$D$1040,SUBSTITUTE(SUBSTITUTE(SUBSTITUTE($P1049,"~","~~"),"*","~*"),"?","~?"))</f>
        <v>1</v>
      </c>
      <c r="D1049" s="10">
        <f>IF($C1049=0,"",SUMIFS('DEF_SELF_SCOUT_IMPORT'!$J$42:$J$1040,'DEF_SELF_SCOUT_IMPORT'!$L$42:$L$1040,"Y",'DEF_SELF_SCOUT_IMPORT'!$E$42:$E$1040,SUBSTITUTE(SUBSTITUTE(SUBSTITUTE($B1049,"~","~~"),"*","~*"),"?","~?"),'DEF_SELF_SCOUT_IMPORT'!$Q$42:$Q$1040,SUBSTITUTE(SUBSTITUTE(SUBSTITUTE($M1049,"~","~~"),"*","~*"),"?","~?"),'DEF_SELF_SCOUT_IMPORT'!$D$42:$D$1040,SUBSTITUTE(SUBSTITUTE(SUBSTITUTE($P1049,"~","~~"),"*","~*"),"?","~?"))/$C1049)</f>
        <v>0.0</v>
      </c>
      <c r="E1049" s="10">
        <f>IF($C1049=0,"",SUMIFS('DEF_SELF_SCOUT_IMPORT'!$K$42:$K$1040,'DEF_SELF_SCOUT_IMPORT'!$L$42:$L$1040,"Y",'DEF_SELF_SCOUT_IMPORT'!$E$42:$E$1040,SUBSTITUTE(SUBSTITUTE(SUBSTITUTE($B1049,"~","~~"),"*","~*"),"?","~?"),'DEF_SELF_SCOUT_IMPORT'!$Q$42:$Q$1040,SUBSTITUTE(SUBSTITUTE(SUBSTITUTE($M1049,"~","~~"),"*","~*"),"?","~?"),'DEF_SELF_SCOUT_IMPORT'!$D$42:$D$1040,SUBSTITUTE(SUBSTITUTE(SUBSTITUTE($P1049,"~","~~"),"*","~*"),"?","~?"))/$C1049)</f>
        <v>0.0</v>
      </c>
      <c r="F1049" s="11">
        <f>IF($C1049=0,"",AVERAGEIFS('DEF_SELF_SCOUT_IMPORT'!$I$42:$I$1040,'DEF_SELF_SCOUT_IMPORT'!$L$42:$L$1040,"Y",'DEF_SELF_SCOUT_IMPORT'!$E$42:$E$1040,SUBSTITUTE(SUBSTITUTE(SUBSTITUTE($B1049,"~","~~"),"*","~*"),"?","~?"),'DEF_SELF_SCOUT_IMPORT'!$Q$42:$Q$1040,SUBSTITUTE(SUBSTITUTE(SUBSTITUTE($M1049,"~","~~"),"*","~*"),"?","~?"),'DEF_SELF_SCOUT_IMPORT'!$D$42:$D$1040,SUBSTITUTE(SUBSTITUTE(SUBSTITUTE($P1049,"~","~~"),"*","~*"),"?","~?")))</f>
        <v>14.0</v>
      </c>
      <c r="G1049" s="10">
        <f>IF($C1049=0,"",COUNTIFS('DEF_SELF_SCOUT_IMPORT'!$L$42:$L$1040,"Y",'DEF_SELF_SCOUT_IMPORT'!$E$42:$E$1040,SUBSTITUTE(SUBSTITUTE(SUBSTITUTE($B1049,"~","~~"),"*","~*"),"?","~?"),'DEF_SELF_SCOUT_IMPORT'!$Q$42:$Q$1040,SUBSTITUTE(SUBSTITUTE(SUBSTITUTE($M1049,"~","~~"),"*","~*"),"?","~?"),'DEF_SELF_SCOUT_IMPORT'!$D$42:$D$1040,SUBSTITUTE(SUBSTITUTE(SUBSTITUTE($P1049,"~","~~"),"*","~*"),"?","~?"),'DEF_SELF_SCOUT_IMPORT'!$H$42:$H$1040,"RUSH")/$C1049)</f>
        <v>0.0</v>
      </c>
      <c r="H1049" s="10">
        <f>IF($C1049=0,"",COUNTIFS('DEF_SELF_SCOUT_IMPORT'!$L$42:$L$1040,"Y",'DEF_SELF_SCOUT_IMPORT'!$E$42:$E$1040,SUBSTITUTE(SUBSTITUTE(SUBSTITUTE($B1049,"~","~~"),"*","~*"),"?","~?"),'DEF_SELF_SCOUT_IMPORT'!$Q$42:$Q$1040,SUBSTITUTE(SUBSTITUTE(SUBSTITUTE($M1049,"~","~~"),"*","~*"),"?","~?"),'DEF_SELF_SCOUT_IMPORT'!$D$42:$D$1040,SUBSTITUTE(SUBSTITUTE(SUBSTITUTE($P1049,"~","~~"),"*","~*"),"?","~?"),'DEF_SELF_SCOUT_IMPORT'!$H$42:$H$1040,"DROPBACK")/$C1049)</f>
        <v>1.0</v>
      </c>
      <c r="I1049" s="14" t="str">
        <f>IF(C1049=0,"",IF(C1049&lt;=2,"TRACK",IF(C1049=3,"LOW",IF(C1049&lt;=6,"MEDIUM","HIGH"))))</f>
        <v>TRACK</v>
      </c>
      <c r="J1049" s="11">
        <f>IF(C1049=0,"",ROUND(D1049*70+(1-E1049)*20+MAX(0,MIN(1,(10-F1049)/10))*10,1))</f>
        <v>20.0</v>
      </c>
      <c r="K1049" s="14" t="str">
        <f>IF(C1049=0,"No Evidence",IF(C1049&lt;=2,IF(E1049&gt;0,"Explosive Alert","Track Only"),IF(C1049=3,"Sample Watch",IF(E1049&gt;=START_HERE!$B$31,"Explosive Alert",IF(J1049&gt;=80,"Strong Candidate",IF(J1049&gt;=65,"Good Candidate",IF(J1049&gt;=50,"Mixed / Review","Problem Call")))))))</f>
        <v>Track Only</v>
      </c>
      <c r="L1049" s="9" t="str">
        <f>IF(COUNTIFS('DEF_SELF_SCOUT_IMPORT'!$L$42:$L$1040,"Y",'DEF_SELF_SCOUT_IMPORT'!$E$42:$E$1040,SUBSTITUTE(SUBSTITUTE(SUBSTITUTE($B1049,"~","~~"),"*","~*"),"?","~?"),'DEF_SELF_SCOUT_IMPORT'!$Q$42:$Q$1040,SUBSTITUTE(SUBSTITUTE(SUBSTITUTE($M1049,"~","~~"),"*","~*"),"?","~?"),'DEF_SELF_SCOUT_IMPORT'!$D$42:$D$1040,SUBSTITUTE(SUBSTITUTE(SUBSTITUTE($P1049,"~","~~"),"*","~*"),"?","~?"),'DEF_SELF_SCOUT_IMPORT'!$J$42:$J$1040,"")&gt;0,"Unscored clean outcome; review result tags before using score.",IF(C1049=0,"No matching defensive reps; film confirmation needed.",IF(K1049="Explosive Alert","Explosive risk; review clips before using as answer.",IF(C1049&lt;=2,"Track only; not enough sample.",IF(C1049=3,IF(E1049&gt;0,"Sample watch with explosive exposure; review clips and build the sample.",IF(J1049&gt;=65,"Good signal, but sample is limited.","Sample watch; review clips and build the sample.")),IF(K1049="Problem Call","Problem area; practice or call-sheet review.",IF(K1049="Strong Candidate","Strong call-fit candidate; confirm on film.",IF(K1049="Good Candidate","Good call-fit signal; confirm on film.","Mixed signal; review fit and execution on film."))))))))</f>
        <v>Track only; not enough sample.</v>
      </c>
      <c r="M1049" s="8" t="s">
        <v>115</v>
      </c>
      <c r="N1049" s="8"/>
      <c r="O1049" s="8"/>
      <c r="P1049" s="8" t="s">
        <v>471</v>
      </c>
      <c r="Q1049" s="8"/>
      <c r="R1049" s="8" t="s">
        <v>429</v>
      </c>
      <c r="S1049" s="2" t="s">
        <v>624</v>
      </c>
      <c r="T1049" s="2">
        <f>IF(C1049=0,0,IF(C1049&gt;=CALL_LOOKUP_BOARD!$B$7,IF(OR(K1049="Problem Call",K1049="Explosive Alert"),10000000,20000000),0)+IF(C1049&gt;=CALL_LOOKUP_BOARD!$B$7,J1049*1000+MIN(C1049,999),C1049*1000+J1049)+0.00976100)</f>
        <v>1020.009761</v>
      </c>
      <c r="U1049" s="2">
        <f>IF(C1049=0,"",IF(COUNTIFS($S$811:$S$1055,SUBSTITUTE(SUBSTITUTE(SUBSTITUTE(S1049,"~","~~"),"*","~*"),"?","~?"),$T$811:$T$1055,"&gt;"&amp;T1049)=0,S1049,""))</f>
        <v/>
      </c>
    </row>
    <row r="1050" spans="1:21" ht="38" customHeight="1">
      <c r="A1050" s="8" t="s">
        <v>623</v>
      </c>
      <c r="B1050" s="8" t="s">
        <v>56</v>
      </c>
      <c r="C1050" s="12">
        <f>COUNTIFS('DEF_SELF_SCOUT_IMPORT'!$L$42:$L$1040,"Y",'DEF_SELF_SCOUT_IMPORT'!$E$42:$E$1040,SUBSTITUTE(SUBSTITUTE(SUBSTITUTE($B1050,"~","~~"),"*","~*"),"?","~?"),'DEF_SELF_SCOUT_IMPORT'!$Q$42:$Q$1040,SUBSTITUTE(SUBSTITUTE(SUBSTITUTE($M1050,"~","~~"),"*","~*"),"?","~?"),'DEF_SELF_SCOUT_IMPORT'!$D$42:$D$1040,SUBSTITUTE(SUBSTITUTE(SUBSTITUTE($P1050,"~","~~"),"*","~*"),"?","~?"))</f>
        <v>1</v>
      </c>
      <c r="D1050" s="10">
        <f>IF($C1050=0,"",SUMIFS('DEF_SELF_SCOUT_IMPORT'!$J$42:$J$1040,'DEF_SELF_SCOUT_IMPORT'!$L$42:$L$1040,"Y",'DEF_SELF_SCOUT_IMPORT'!$E$42:$E$1040,SUBSTITUTE(SUBSTITUTE(SUBSTITUTE($B1050,"~","~~"),"*","~*"),"?","~?"),'DEF_SELF_SCOUT_IMPORT'!$Q$42:$Q$1040,SUBSTITUTE(SUBSTITUTE(SUBSTITUTE($M1050,"~","~~"),"*","~*"),"?","~?"),'DEF_SELF_SCOUT_IMPORT'!$D$42:$D$1040,SUBSTITUTE(SUBSTITUTE(SUBSTITUTE($P1050,"~","~~"),"*","~*"),"?","~?"))/$C1050)</f>
        <v>0.0</v>
      </c>
      <c r="E1050" s="10">
        <f>IF($C1050=0,"",SUMIFS('DEF_SELF_SCOUT_IMPORT'!$K$42:$K$1040,'DEF_SELF_SCOUT_IMPORT'!$L$42:$L$1040,"Y",'DEF_SELF_SCOUT_IMPORT'!$E$42:$E$1040,SUBSTITUTE(SUBSTITUTE(SUBSTITUTE($B1050,"~","~~"),"*","~*"),"?","~?"),'DEF_SELF_SCOUT_IMPORT'!$Q$42:$Q$1040,SUBSTITUTE(SUBSTITUTE(SUBSTITUTE($M1050,"~","~~"),"*","~*"),"?","~?"),'DEF_SELF_SCOUT_IMPORT'!$D$42:$D$1040,SUBSTITUTE(SUBSTITUTE(SUBSTITUTE($P1050,"~","~~"),"*","~*"),"?","~?"))/$C1050)</f>
        <v>0.0</v>
      </c>
      <c r="F1050" s="11">
        <f>IF($C1050=0,"",AVERAGEIFS('DEF_SELF_SCOUT_IMPORT'!$I$42:$I$1040,'DEF_SELF_SCOUT_IMPORT'!$L$42:$L$1040,"Y",'DEF_SELF_SCOUT_IMPORT'!$E$42:$E$1040,SUBSTITUTE(SUBSTITUTE(SUBSTITUTE($B1050,"~","~~"),"*","~*"),"?","~?"),'DEF_SELF_SCOUT_IMPORT'!$Q$42:$Q$1040,SUBSTITUTE(SUBSTITUTE(SUBSTITUTE($M1050,"~","~~"),"*","~*"),"?","~?"),'DEF_SELF_SCOUT_IMPORT'!$D$42:$D$1040,SUBSTITUTE(SUBSTITUTE(SUBSTITUTE($P1050,"~","~~"),"*","~*"),"?","~?")))</f>
        <v>13.0</v>
      </c>
      <c r="G1050" s="10">
        <f>IF($C1050=0,"",COUNTIFS('DEF_SELF_SCOUT_IMPORT'!$L$42:$L$1040,"Y",'DEF_SELF_SCOUT_IMPORT'!$E$42:$E$1040,SUBSTITUTE(SUBSTITUTE(SUBSTITUTE($B1050,"~","~~"),"*","~*"),"?","~?"),'DEF_SELF_SCOUT_IMPORT'!$Q$42:$Q$1040,SUBSTITUTE(SUBSTITUTE(SUBSTITUTE($M1050,"~","~~"),"*","~*"),"?","~?"),'DEF_SELF_SCOUT_IMPORT'!$D$42:$D$1040,SUBSTITUTE(SUBSTITUTE(SUBSTITUTE($P1050,"~","~~"),"*","~*"),"?","~?"),'DEF_SELF_SCOUT_IMPORT'!$H$42:$H$1040,"RUSH")/$C1050)</f>
        <v>0.0</v>
      </c>
      <c r="H1050" s="10">
        <f>IF($C1050=0,"",COUNTIFS('DEF_SELF_SCOUT_IMPORT'!$L$42:$L$1040,"Y",'DEF_SELF_SCOUT_IMPORT'!$E$42:$E$1040,SUBSTITUTE(SUBSTITUTE(SUBSTITUTE($B1050,"~","~~"),"*","~*"),"?","~?"),'DEF_SELF_SCOUT_IMPORT'!$Q$42:$Q$1040,SUBSTITUTE(SUBSTITUTE(SUBSTITUTE($M1050,"~","~~"),"*","~*"),"?","~?"),'DEF_SELF_SCOUT_IMPORT'!$D$42:$D$1040,SUBSTITUTE(SUBSTITUTE(SUBSTITUTE($P1050,"~","~~"),"*","~*"),"?","~?"),'DEF_SELF_SCOUT_IMPORT'!$H$42:$H$1040,"DROPBACK")/$C1050)</f>
        <v>1.0</v>
      </c>
      <c r="I1050" s="14" t="str">
        <f>IF(C1050=0,"",IF(C1050&lt;=2,"TRACK",IF(C1050=3,"LOW",IF(C1050&lt;=6,"MEDIUM","HIGH"))))</f>
        <v>TRACK</v>
      </c>
      <c r="J1050" s="11">
        <f>IF(C1050=0,"",ROUND(D1050*70+(1-E1050)*20+MAX(0,MIN(1,(10-F1050)/10))*10,1))</f>
        <v>20.0</v>
      </c>
      <c r="K1050" s="14" t="str">
        <f>IF(C1050=0,"No Evidence",IF(C1050&lt;=2,IF(E1050&gt;0,"Explosive Alert","Track Only"),IF(C1050=3,"Sample Watch",IF(E1050&gt;=START_HERE!$B$31,"Explosive Alert",IF(J1050&gt;=80,"Strong Candidate",IF(J1050&gt;=65,"Good Candidate",IF(J1050&gt;=50,"Mixed / Review","Problem Call")))))))</f>
        <v>Track Only</v>
      </c>
      <c r="L1050" s="9" t="str">
        <f>IF(COUNTIFS('DEF_SELF_SCOUT_IMPORT'!$L$42:$L$1040,"Y",'DEF_SELF_SCOUT_IMPORT'!$E$42:$E$1040,SUBSTITUTE(SUBSTITUTE(SUBSTITUTE($B1050,"~","~~"),"*","~*"),"?","~?"),'DEF_SELF_SCOUT_IMPORT'!$Q$42:$Q$1040,SUBSTITUTE(SUBSTITUTE(SUBSTITUTE($M1050,"~","~~"),"*","~*"),"?","~?"),'DEF_SELF_SCOUT_IMPORT'!$D$42:$D$1040,SUBSTITUTE(SUBSTITUTE(SUBSTITUTE($P1050,"~","~~"),"*","~*"),"?","~?"),'DEF_SELF_SCOUT_IMPORT'!$J$42:$J$1040,"")&gt;0,"Unscored clean outcome; review result tags before using score.",IF(C1050=0,"No matching defensive reps; film confirmation needed.",IF(K1050="Explosive Alert","Explosive risk; review clips before using as answer.",IF(C1050&lt;=2,"Track only; not enough sample.",IF(C1050=3,IF(E1050&gt;0,"Sample watch with explosive exposure; review clips and build the sample.",IF(J1050&gt;=65,"Good signal, but sample is limited.","Sample watch; review clips and build the sample.")),IF(K1050="Problem Call","Problem area; practice or call-sheet review.",IF(K1050="Strong Candidate","Strong call-fit candidate; confirm on film.",IF(K1050="Good Candidate","Good call-fit signal; confirm on film.","Mixed signal; review fit and execution on film."))))))))</f>
        <v>Track only; not enough sample.</v>
      </c>
      <c r="M1050" s="8" t="s">
        <v>115</v>
      </c>
      <c r="N1050" s="8"/>
      <c r="O1050" s="8"/>
      <c r="P1050" s="8" t="s">
        <v>471</v>
      </c>
      <c r="Q1050" s="8"/>
      <c r="R1050" s="8" t="s">
        <v>429</v>
      </c>
      <c r="S1050" s="2" t="s">
        <v>624</v>
      </c>
      <c r="T1050" s="2">
        <f>IF(C1050=0,0,IF(C1050&gt;=CALL_LOOKUP_BOARD!$B$7,IF(OR(K1050="Problem Call",K1050="Explosive Alert"),10000000,20000000),0)+IF(C1050&gt;=CALL_LOOKUP_BOARD!$B$7,J1050*1000+MIN(C1050,999),C1050*1000+J1050)+0.00976000)</f>
        <v>1020.00976</v>
      </c>
      <c r="U1050" s="2">
        <f>IF(C1050=0,"",IF(COUNTIFS($S$811:$S$1055,SUBSTITUTE(SUBSTITUTE(SUBSTITUTE(S1050,"~","~~"),"*","~*"),"?","~?"),$T$811:$T$1055,"&gt;"&amp;T1050)=0,S1050,""))</f>
        <v/>
      </c>
    </row>
    <row r="1051" spans="1:21" ht="38" customHeight="1">
      <c r="A1051" s="8" t="s">
        <v>623</v>
      </c>
      <c r="B1051" s="8" t="s">
        <v>35</v>
      </c>
      <c r="C1051" s="12">
        <f>COUNTIFS('DEF_SELF_SCOUT_IMPORT'!$L$42:$L$1040,"Y",'DEF_SELF_SCOUT_IMPORT'!$E$42:$E$1040,SUBSTITUTE(SUBSTITUTE(SUBSTITUTE($B1051,"~","~~"),"*","~*"),"?","~?"),'DEF_SELF_SCOUT_IMPORT'!$Q$42:$Q$1040,SUBSTITUTE(SUBSTITUTE(SUBSTITUTE($M1051,"~","~~"),"*","~*"),"?","~?"),'DEF_SELF_SCOUT_IMPORT'!$D$42:$D$1040,SUBSTITUTE(SUBSTITUTE(SUBSTITUTE($P1051,"~","~~"),"*","~*"),"?","~?"))</f>
        <v>1</v>
      </c>
      <c r="D1051" s="10">
        <f>IF($C1051=0,"",SUMIFS('DEF_SELF_SCOUT_IMPORT'!$J$42:$J$1040,'DEF_SELF_SCOUT_IMPORT'!$L$42:$L$1040,"Y",'DEF_SELF_SCOUT_IMPORT'!$E$42:$E$1040,SUBSTITUTE(SUBSTITUTE(SUBSTITUTE($B1051,"~","~~"),"*","~*"),"?","~?"),'DEF_SELF_SCOUT_IMPORT'!$Q$42:$Q$1040,SUBSTITUTE(SUBSTITUTE(SUBSTITUTE($M1051,"~","~~"),"*","~*"),"?","~?"),'DEF_SELF_SCOUT_IMPORT'!$D$42:$D$1040,SUBSTITUTE(SUBSTITUTE(SUBSTITUTE($P1051,"~","~~"),"*","~*"),"?","~?"))/$C1051)</f>
        <v>0.0</v>
      </c>
      <c r="E1051" s="10">
        <f>IF($C1051=0,"",SUMIFS('DEF_SELF_SCOUT_IMPORT'!$K$42:$K$1040,'DEF_SELF_SCOUT_IMPORT'!$L$42:$L$1040,"Y",'DEF_SELF_SCOUT_IMPORT'!$E$42:$E$1040,SUBSTITUTE(SUBSTITUTE(SUBSTITUTE($B1051,"~","~~"),"*","~*"),"?","~?"),'DEF_SELF_SCOUT_IMPORT'!$Q$42:$Q$1040,SUBSTITUTE(SUBSTITUTE(SUBSTITUTE($M1051,"~","~~"),"*","~*"),"?","~?"),'DEF_SELF_SCOUT_IMPORT'!$D$42:$D$1040,SUBSTITUTE(SUBSTITUTE(SUBSTITUTE($P1051,"~","~~"),"*","~*"),"?","~?"))/$C1051)</f>
        <v>1.0</v>
      </c>
      <c r="F1051" s="11">
        <f>IF($C1051=0,"",AVERAGEIFS('DEF_SELF_SCOUT_IMPORT'!$I$42:$I$1040,'DEF_SELF_SCOUT_IMPORT'!$L$42:$L$1040,"Y",'DEF_SELF_SCOUT_IMPORT'!$E$42:$E$1040,SUBSTITUTE(SUBSTITUTE(SUBSTITUTE($B1051,"~","~~"),"*","~*"),"?","~?"),'DEF_SELF_SCOUT_IMPORT'!$Q$42:$Q$1040,SUBSTITUTE(SUBSTITUTE(SUBSTITUTE($M1051,"~","~~"),"*","~*"),"?","~?"),'DEF_SELF_SCOUT_IMPORT'!$D$42:$D$1040,SUBSTITUTE(SUBSTITUTE(SUBSTITUTE($P1051,"~","~~"),"*","~*"),"?","~?")))</f>
        <v>55.0</v>
      </c>
      <c r="G1051" s="10">
        <f>IF($C1051=0,"",COUNTIFS('DEF_SELF_SCOUT_IMPORT'!$L$42:$L$1040,"Y",'DEF_SELF_SCOUT_IMPORT'!$E$42:$E$1040,SUBSTITUTE(SUBSTITUTE(SUBSTITUTE($B1051,"~","~~"),"*","~*"),"?","~?"),'DEF_SELF_SCOUT_IMPORT'!$Q$42:$Q$1040,SUBSTITUTE(SUBSTITUTE(SUBSTITUTE($M1051,"~","~~"),"*","~*"),"?","~?"),'DEF_SELF_SCOUT_IMPORT'!$D$42:$D$1040,SUBSTITUTE(SUBSTITUTE(SUBSTITUTE($P1051,"~","~~"),"*","~*"),"?","~?"),'DEF_SELF_SCOUT_IMPORT'!$H$42:$H$1040,"RUSH")/$C1051)</f>
        <v>0.0</v>
      </c>
      <c r="H1051" s="10">
        <f>IF($C1051=0,"",COUNTIFS('DEF_SELF_SCOUT_IMPORT'!$L$42:$L$1040,"Y",'DEF_SELF_SCOUT_IMPORT'!$E$42:$E$1040,SUBSTITUTE(SUBSTITUTE(SUBSTITUTE($B1051,"~","~~"),"*","~*"),"?","~?"),'DEF_SELF_SCOUT_IMPORT'!$Q$42:$Q$1040,SUBSTITUTE(SUBSTITUTE(SUBSTITUTE($M1051,"~","~~"),"*","~*"),"?","~?"),'DEF_SELF_SCOUT_IMPORT'!$D$42:$D$1040,SUBSTITUTE(SUBSTITUTE(SUBSTITUTE($P1051,"~","~~"),"*","~*"),"?","~?"),'DEF_SELF_SCOUT_IMPORT'!$H$42:$H$1040,"DROPBACK")/$C1051)</f>
        <v>1.0</v>
      </c>
      <c r="I1051" s="14" t="str">
        <f>IF(C1051=0,"",IF(C1051&lt;=2,"TRACK",IF(C1051=3,"LOW",IF(C1051&lt;=6,"MEDIUM","HIGH"))))</f>
        <v>TRACK</v>
      </c>
      <c r="J1051" s="11">
        <f>IF(C1051=0,"",ROUND(D1051*70+(1-E1051)*20+MAX(0,MIN(1,(10-F1051)/10))*10,1))</f>
        <v>0.0</v>
      </c>
      <c r="K1051" s="14" t="str">
        <f>IF(C1051=0,"No Evidence",IF(C1051&lt;=2,IF(E1051&gt;0,"Explosive Alert","Track Only"),IF(C1051=3,"Sample Watch",IF(E1051&gt;=START_HERE!$B$31,"Explosive Alert",IF(J1051&gt;=80,"Strong Candidate",IF(J1051&gt;=65,"Good Candidate",IF(J1051&gt;=50,"Mixed / Review","Problem Call")))))))</f>
        <v>Explosive Alert</v>
      </c>
      <c r="L1051" s="9" t="str">
        <f>IF(COUNTIFS('DEF_SELF_SCOUT_IMPORT'!$L$42:$L$1040,"Y",'DEF_SELF_SCOUT_IMPORT'!$E$42:$E$1040,SUBSTITUTE(SUBSTITUTE(SUBSTITUTE($B1051,"~","~~"),"*","~*"),"?","~?"),'DEF_SELF_SCOUT_IMPORT'!$Q$42:$Q$1040,SUBSTITUTE(SUBSTITUTE(SUBSTITUTE($M1051,"~","~~"),"*","~*"),"?","~?"),'DEF_SELF_SCOUT_IMPORT'!$D$42:$D$1040,SUBSTITUTE(SUBSTITUTE(SUBSTITUTE($P1051,"~","~~"),"*","~*"),"?","~?"),'DEF_SELF_SCOUT_IMPORT'!$J$42:$J$1040,"")&gt;0,"Unscored clean outcome; review result tags before using score.",IF(C1051=0,"No matching defensive reps; film confirmation needed.",IF(K1051="Explosive Alert","Explosive risk; review clips before using as answer.",IF(C1051&lt;=2,"Track only; not enough sample.",IF(C1051=3,IF(E1051&gt;0,"Sample watch with explosive exposure; review clips and build the sample.",IF(J1051&gt;=65,"Good signal, but sample is limited.","Sample watch; review clips and build the sample.")),IF(K1051="Problem Call","Problem area; practice or call-sheet review.",IF(K1051="Strong Candidate","Strong call-fit candidate; confirm on film.",IF(K1051="Good Candidate","Good call-fit signal; confirm on film.","Mixed signal; review fit and execution on film."))))))))</f>
        <v>Explosive risk; review clips before using as answer.</v>
      </c>
      <c r="M1051" s="8" t="s">
        <v>115</v>
      </c>
      <c r="N1051" s="8"/>
      <c r="O1051" s="8"/>
      <c r="P1051" s="8" t="s">
        <v>471</v>
      </c>
      <c r="Q1051" s="8"/>
      <c r="R1051" s="8" t="s">
        <v>429</v>
      </c>
      <c r="S1051" s="2" t="s">
        <v>624</v>
      </c>
      <c r="T1051" s="2">
        <f>IF(C1051=0,0,IF(C1051&gt;=CALL_LOOKUP_BOARD!$B$7,IF(OR(K1051="Problem Call",K1051="Explosive Alert"),10000000,20000000),0)+IF(C1051&gt;=CALL_LOOKUP_BOARD!$B$7,J1051*1000+MIN(C1051,999),C1051*1000+J1051)+0.00975900)</f>
        <v>1000.009759</v>
      </c>
      <c r="U1051" s="2">
        <f>IF(C1051=0,"",IF(COUNTIFS($S$811:$S$1055,SUBSTITUTE(SUBSTITUTE(SUBSTITUTE(S1051,"~","~~"),"*","~*"),"?","~?"),$T$811:$T$1055,"&gt;"&amp;T1051)=0,S1051,""))</f>
        <v/>
      </c>
    </row>
    <row r="1052" spans="1:21" ht="38" customHeight="1">
      <c r="A1052" s="8" t="s">
        <v>623</v>
      </c>
      <c r="B1052" s="8" t="s">
        <v>68</v>
      </c>
      <c r="C1052" s="12">
        <f>COUNTIFS('DEF_SELF_SCOUT_IMPORT'!$L$42:$L$1040,"Y",'DEF_SELF_SCOUT_IMPORT'!$E$42:$E$1040,SUBSTITUTE(SUBSTITUTE(SUBSTITUTE($B1052,"~","~~"),"*","~*"),"?","~?"),'DEF_SELF_SCOUT_IMPORT'!$Q$42:$Q$1040,SUBSTITUTE(SUBSTITUTE(SUBSTITUTE($M1052,"~","~~"),"*","~*"),"?","~?"),'DEF_SELF_SCOUT_IMPORT'!$D$42:$D$1040,SUBSTITUTE(SUBSTITUTE(SUBSTITUTE($P1052,"~","~~"),"*","~*"),"?","~?"))</f>
        <v>1</v>
      </c>
      <c r="D1052" s="10">
        <f>IF($C1052=0,"",SUMIFS('DEF_SELF_SCOUT_IMPORT'!$J$42:$J$1040,'DEF_SELF_SCOUT_IMPORT'!$L$42:$L$1040,"Y",'DEF_SELF_SCOUT_IMPORT'!$E$42:$E$1040,SUBSTITUTE(SUBSTITUTE(SUBSTITUTE($B1052,"~","~~"),"*","~*"),"?","~?"),'DEF_SELF_SCOUT_IMPORT'!$Q$42:$Q$1040,SUBSTITUTE(SUBSTITUTE(SUBSTITUTE($M1052,"~","~~"),"*","~*"),"?","~?"),'DEF_SELF_SCOUT_IMPORT'!$D$42:$D$1040,SUBSTITUTE(SUBSTITUTE(SUBSTITUTE($P1052,"~","~~"),"*","~*"),"?","~?"))/$C1052)</f>
        <v>1.0</v>
      </c>
      <c r="E1052" s="10">
        <f>IF($C1052=0,"",SUMIFS('DEF_SELF_SCOUT_IMPORT'!$K$42:$K$1040,'DEF_SELF_SCOUT_IMPORT'!$L$42:$L$1040,"Y",'DEF_SELF_SCOUT_IMPORT'!$E$42:$E$1040,SUBSTITUTE(SUBSTITUTE(SUBSTITUTE($B1052,"~","~~"),"*","~*"),"?","~?"),'DEF_SELF_SCOUT_IMPORT'!$Q$42:$Q$1040,SUBSTITUTE(SUBSTITUTE(SUBSTITUTE($M1052,"~","~~"),"*","~*"),"?","~?"),'DEF_SELF_SCOUT_IMPORT'!$D$42:$D$1040,SUBSTITUTE(SUBSTITUTE(SUBSTITUTE($P1052,"~","~~"),"*","~*"),"?","~?"))/$C1052)</f>
        <v>0.0</v>
      </c>
      <c r="F1052" s="11">
        <f>IF($C1052=0,"",AVERAGEIFS('DEF_SELF_SCOUT_IMPORT'!$I$42:$I$1040,'DEF_SELF_SCOUT_IMPORT'!$L$42:$L$1040,"Y",'DEF_SELF_SCOUT_IMPORT'!$E$42:$E$1040,SUBSTITUTE(SUBSTITUTE(SUBSTITUTE($B1052,"~","~~"),"*","~*"),"?","~?"),'DEF_SELF_SCOUT_IMPORT'!$Q$42:$Q$1040,SUBSTITUTE(SUBSTITUTE(SUBSTITUTE($M1052,"~","~~"),"*","~*"),"?","~?"),'DEF_SELF_SCOUT_IMPORT'!$D$42:$D$1040,SUBSTITUTE(SUBSTITUTE(SUBSTITUTE($P1052,"~","~~"),"*","~*"),"?","~?")))</f>
        <v>0.0</v>
      </c>
      <c r="G1052" s="10">
        <f>IF($C1052=0,"",COUNTIFS('DEF_SELF_SCOUT_IMPORT'!$L$42:$L$1040,"Y",'DEF_SELF_SCOUT_IMPORT'!$E$42:$E$1040,SUBSTITUTE(SUBSTITUTE(SUBSTITUTE($B1052,"~","~~"),"*","~*"),"?","~?"),'DEF_SELF_SCOUT_IMPORT'!$Q$42:$Q$1040,SUBSTITUTE(SUBSTITUTE(SUBSTITUTE($M1052,"~","~~"),"*","~*"),"?","~?"),'DEF_SELF_SCOUT_IMPORT'!$D$42:$D$1040,SUBSTITUTE(SUBSTITUTE(SUBSTITUTE($P1052,"~","~~"),"*","~*"),"?","~?"),'DEF_SELF_SCOUT_IMPORT'!$H$42:$H$1040,"RUSH")/$C1052)</f>
        <v>0.0</v>
      </c>
      <c r="H1052" s="10">
        <f>IF($C1052=0,"",COUNTIFS('DEF_SELF_SCOUT_IMPORT'!$L$42:$L$1040,"Y",'DEF_SELF_SCOUT_IMPORT'!$E$42:$E$1040,SUBSTITUTE(SUBSTITUTE(SUBSTITUTE($B1052,"~","~~"),"*","~*"),"?","~?"),'DEF_SELF_SCOUT_IMPORT'!$Q$42:$Q$1040,SUBSTITUTE(SUBSTITUTE(SUBSTITUTE($M1052,"~","~~"),"*","~*"),"?","~?"),'DEF_SELF_SCOUT_IMPORT'!$D$42:$D$1040,SUBSTITUTE(SUBSTITUTE(SUBSTITUTE($P1052,"~","~~"),"*","~*"),"?","~?"),'DEF_SELF_SCOUT_IMPORT'!$H$42:$H$1040,"DROPBACK")/$C1052)</f>
        <v>1.0</v>
      </c>
      <c r="I1052" s="14" t="str">
        <f>IF(C1052=0,"",IF(C1052&lt;=2,"TRACK",IF(C1052=3,"LOW",IF(C1052&lt;=6,"MEDIUM","HIGH"))))</f>
        <v>TRACK</v>
      </c>
      <c r="J1052" s="11">
        <f>IF(C1052=0,"",ROUND(D1052*70+(1-E1052)*20+MAX(0,MIN(1,(10-F1052)/10))*10,1))</f>
        <v>100.0</v>
      </c>
      <c r="K1052" s="14" t="str">
        <f>IF(C1052=0,"No Evidence",IF(C1052&lt;=2,IF(E1052&gt;0,"Explosive Alert","Track Only"),IF(C1052=3,"Sample Watch",IF(E1052&gt;=START_HERE!$B$31,"Explosive Alert",IF(J1052&gt;=80,"Strong Candidate",IF(J1052&gt;=65,"Good Candidate",IF(J1052&gt;=50,"Mixed / Review","Problem Call")))))))</f>
        <v>Track Only</v>
      </c>
      <c r="L1052" s="9" t="str">
        <f>IF(COUNTIFS('DEF_SELF_SCOUT_IMPORT'!$L$42:$L$1040,"Y",'DEF_SELF_SCOUT_IMPORT'!$E$42:$E$1040,SUBSTITUTE(SUBSTITUTE(SUBSTITUTE($B1052,"~","~~"),"*","~*"),"?","~?"),'DEF_SELF_SCOUT_IMPORT'!$Q$42:$Q$1040,SUBSTITUTE(SUBSTITUTE(SUBSTITUTE($M1052,"~","~~"),"*","~*"),"?","~?"),'DEF_SELF_SCOUT_IMPORT'!$D$42:$D$1040,SUBSTITUTE(SUBSTITUTE(SUBSTITUTE($P1052,"~","~~"),"*","~*"),"?","~?"),'DEF_SELF_SCOUT_IMPORT'!$J$42:$J$1040,"")&gt;0,"Unscored clean outcome; review result tags before using score.",IF(C1052=0,"No matching defensive reps; film confirmation needed.",IF(K1052="Explosive Alert","Explosive risk; review clips before using as answer.",IF(C1052&lt;=2,"Track only; not enough sample.",IF(C1052=3,IF(E1052&gt;0,"Sample watch with explosive exposure; review clips and build the sample.",IF(J1052&gt;=65,"Good signal, but sample is limited.","Sample watch; review clips and build the sample.")),IF(K1052="Problem Call","Problem area; practice or call-sheet review.",IF(K1052="Strong Candidate","Strong call-fit candidate; confirm on film.",IF(K1052="Good Candidate","Good call-fit signal; confirm on film.","Mixed signal; review fit and execution on film."))))))))</f>
        <v>Track only; not enough sample.</v>
      </c>
      <c r="M1052" s="8" t="s">
        <v>115</v>
      </c>
      <c r="N1052" s="8"/>
      <c r="O1052" s="8"/>
      <c r="P1052" s="8" t="s">
        <v>471</v>
      </c>
      <c r="Q1052" s="8"/>
      <c r="R1052" s="8" t="s">
        <v>429</v>
      </c>
      <c r="S1052" s="2" t="s">
        <v>624</v>
      </c>
      <c r="T1052" s="2">
        <f>IF(C1052=0,0,IF(C1052&gt;=CALL_LOOKUP_BOARD!$B$7,IF(OR(K1052="Problem Call",K1052="Explosive Alert"),10000000,20000000),0)+IF(C1052&gt;=CALL_LOOKUP_BOARD!$B$7,J1052*1000+MIN(C1052,999),C1052*1000+J1052)+0.00975800)</f>
        <v>1100.009758</v>
      </c>
      <c r="U1052" s="2" t="str">
        <f>IF(C1052=0,"",IF(COUNTIFS($S$811:$S$1055,SUBSTITUTE(SUBSTITUTE(SUBSTITUTE(S1052,"~","~~"),"*","~*"),"?","~?"),$T$811:$T$1055,"&gt;"&amp;T1052)=0,S1052,""))</f>
        <v>4:P&amp;10|3:RPO|</v>
      </c>
    </row>
    <row r="1053" spans="1:21" ht="38" customHeight="1">
      <c r="A1053" s="8" t="s">
        <v>625</v>
      </c>
      <c r="B1053" s="8" t="s">
        <v>54</v>
      </c>
      <c r="C1053" s="12">
        <f>COUNTIFS('DEF_SELF_SCOUT_IMPORT'!$L$42:$L$1040,"Y",'DEF_SELF_SCOUT_IMPORT'!$E$42:$E$1040,SUBSTITUTE(SUBSTITUTE(SUBSTITUTE($B1053,"~","~~"),"*","~*"),"?","~?"),'DEF_SELF_SCOUT_IMPORT'!$Q$42:$Q$1040,SUBSTITUTE(SUBSTITUTE(SUBSTITUTE($M1053,"~","~~"),"*","~*"),"?","~?"),'DEF_SELF_SCOUT_IMPORT'!$D$42:$D$1040,SUBSTITUTE(SUBSTITUTE(SUBSTITUTE($P1053,"~","~~"),"*","~*"),"?","~?"))</f>
        <v>1</v>
      </c>
      <c r="D1053" s="10">
        <f>IF($C1053=0,"",SUMIFS('DEF_SELF_SCOUT_IMPORT'!$J$42:$J$1040,'DEF_SELF_SCOUT_IMPORT'!$L$42:$L$1040,"Y",'DEF_SELF_SCOUT_IMPORT'!$E$42:$E$1040,SUBSTITUTE(SUBSTITUTE(SUBSTITUTE($B1053,"~","~~"),"*","~*"),"?","~?"),'DEF_SELF_SCOUT_IMPORT'!$Q$42:$Q$1040,SUBSTITUTE(SUBSTITUTE(SUBSTITUTE($M1053,"~","~~"),"*","~*"),"?","~?"),'DEF_SELF_SCOUT_IMPORT'!$D$42:$D$1040,SUBSTITUTE(SUBSTITUTE(SUBSTITUTE($P1053,"~","~~"),"*","~*"),"?","~?"))/$C1053)</f>
        <v>0.0</v>
      </c>
      <c r="E1053" s="10">
        <f>IF($C1053=0,"",SUMIFS('DEF_SELF_SCOUT_IMPORT'!$K$42:$K$1040,'DEF_SELF_SCOUT_IMPORT'!$L$42:$L$1040,"Y",'DEF_SELF_SCOUT_IMPORT'!$E$42:$E$1040,SUBSTITUTE(SUBSTITUTE(SUBSTITUTE($B1053,"~","~~"),"*","~*"),"?","~?"),'DEF_SELF_SCOUT_IMPORT'!$Q$42:$Q$1040,SUBSTITUTE(SUBSTITUTE(SUBSTITUTE($M1053,"~","~~"),"*","~*"),"?","~?"),'DEF_SELF_SCOUT_IMPORT'!$D$42:$D$1040,SUBSTITUTE(SUBSTITUTE(SUBSTITUTE($P1053,"~","~~"),"*","~*"),"?","~?"))/$C1053)</f>
        <v>0.0</v>
      </c>
      <c r="F1053" s="11">
        <f>IF($C1053=0,"",AVERAGEIFS('DEF_SELF_SCOUT_IMPORT'!$I$42:$I$1040,'DEF_SELF_SCOUT_IMPORT'!$L$42:$L$1040,"Y",'DEF_SELF_SCOUT_IMPORT'!$E$42:$E$1040,SUBSTITUTE(SUBSTITUTE(SUBSTITUTE($B1053,"~","~~"),"*","~*"),"?","~?"),'DEF_SELF_SCOUT_IMPORT'!$Q$42:$Q$1040,SUBSTITUTE(SUBSTITUTE(SUBSTITUTE($M1053,"~","~~"),"*","~*"),"?","~?"),'DEF_SELF_SCOUT_IMPORT'!$D$42:$D$1040,SUBSTITUTE(SUBSTITUTE(SUBSTITUTE($P1053,"~","~~"),"*","~*"),"?","~?")))</f>
        <v>6.0</v>
      </c>
      <c r="G1053" s="10">
        <f>IF($C1053=0,"",COUNTIFS('DEF_SELF_SCOUT_IMPORT'!$L$42:$L$1040,"Y",'DEF_SELF_SCOUT_IMPORT'!$E$42:$E$1040,SUBSTITUTE(SUBSTITUTE(SUBSTITUTE($B1053,"~","~~"),"*","~*"),"?","~?"),'DEF_SELF_SCOUT_IMPORT'!$Q$42:$Q$1040,SUBSTITUTE(SUBSTITUTE(SUBSTITUTE($M1053,"~","~~"),"*","~*"),"?","~?"),'DEF_SELF_SCOUT_IMPORT'!$D$42:$D$1040,SUBSTITUTE(SUBSTITUTE(SUBSTITUTE($P1053,"~","~~"),"*","~*"),"?","~?"),'DEF_SELF_SCOUT_IMPORT'!$H$42:$H$1040,"RUSH")/$C1053)</f>
        <v>1.0</v>
      </c>
      <c r="H1053" s="10">
        <f>IF($C1053=0,"",COUNTIFS('DEF_SELF_SCOUT_IMPORT'!$L$42:$L$1040,"Y",'DEF_SELF_SCOUT_IMPORT'!$E$42:$E$1040,SUBSTITUTE(SUBSTITUTE(SUBSTITUTE($B1053,"~","~~"),"*","~*"),"?","~?"),'DEF_SELF_SCOUT_IMPORT'!$Q$42:$Q$1040,SUBSTITUTE(SUBSTITUTE(SUBSTITUTE($M1053,"~","~~"),"*","~*"),"?","~?"),'DEF_SELF_SCOUT_IMPORT'!$D$42:$D$1040,SUBSTITUTE(SUBSTITUTE(SUBSTITUTE($P1053,"~","~~"),"*","~*"),"?","~?"),'DEF_SELF_SCOUT_IMPORT'!$H$42:$H$1040,"DROPBACK")/$C1053)</f>
        <v>0.0</v>
      </c>
      <c r="I1053" s="14" t="str">
        <f>IF(C1053=0,"",IF(C1053&lt;=2,"TRACK",IF(C1053=3,"LOW",IF(C1053&lt;=6,"MEDIUM","HIGH"))))</f>
        <v>TRACK</v>
      </c>
      <c r="J1053" s="11">
        <f>IF(C1053=0,"",ROUND(D1053*70+(1-E1053)*20+MAX(0,MIN(1,(10-F1053)/10))*10,1))</f>
        <v>24.0</v>
      </c>
      <c r="K1053" s="14" t="str">
        <f>IF(C1053=0,"No Evidence",IF(C1053&lt;=2,IF(E1053&gt;0,"Explosive Alert","Track Only"),IF(C1053=3,"Sample Watch",IF(E1053&gt;=START_HERE!$B$31,"Explosive Alert",IF(J1053&gt;=80,"Strong Candidate",IF(J1053&gt;=65,"Good Candidate",IF(J1053&gt;=50,"Mixed / Review","Problem Call")))))))</f>
        <v>Track Only</v>
      </c>
      <c r="L1053" s="9" t="str">
        <f>IF(COUNTIFS('DEF_SELF_SCOUT_IMPORT'!$L$42:$L$1040,"Y",'DEF_SELF_SCOUT_IMPORT'!$E$42:$E$1040,SUBSTITUTE(SUBSTITUTE(SUBSTITUTE($B1053,"~","~~"),"*","~*"),"?","~?"),'DEF_SELF_SCOUT_IMPORT'!$Q$42:$Q$1040,SUBSTITUTE(SUBSTITUTE(SUBSTITUTE($M1053,"~","~~"),"*","~*"),"?","~?"),'DEF_SELF_SCOUT_IMPORT'!$D$42:$D$1040,SUBSTITUTE(SUBSTITUTE(SUBSTITUTE($P1053,"~","~~"),"*","~*"),"?","~?"),'DEF_SELF_SCOUT_IMPORT'!$J$42:$J$1040,"")&gt;0,"Unscored clean outcome; review result tags before using score.",IF(C1053=0,"No matching defensive reps; film confirmation needed.",IF(K1053="Explosive Alert","Explosive risk; review clips before using as answer.",IF(C1053&lt;=2,"Track only; not enough sample.",IF(C1053=3,IF(E1053&gt;0,"Sample watch with explosive exposure; review clips and build the sample.",IF(J1053&gt;=65,"Good signal, but sample is limited.","Sample watch; review clips and build the sample.")),IF(K1053="Problem Call","Problem area; practice or call-sheet review.",IF(K1053="Strong Candidate","Strong call-fit candidate; confirm on film.",IF(K1053="Good Candidate","Good call-fit signal; confirm on film.","Mixed signal; review fit and execution on film."))))))))</f>
        <v>Track only; not enough sample.</v>
      </c>
      <c r="M1053" s="8" t="s">
        <v>115</v>
      </c>
      <c r="N1053" s="8"/>
      <c r="O1053" s="8"/>
      <c r="P1053" s="8" t="s">
        <v>477</v>
      </c>
      <c r="Q1053" s="8"/>
      <c r="R1053" s="8" t="s">
        <v>429</v>
      </c>
      <c r="S1053" s="2" t="s">
        <v>626</v>
      </c>
      <c r="T1053" s="2">
        <f>IF(C1053=0,0,IF(C1053&gt;=CALL_LOOKUP_BOARD!$B$7,IF(OR(K1053="Problem Call",K1053="Explosive Alert"),10000000,20000000),0)+IF(C1053&gt;=CALL_LOOKUP_BOARD!$B$7,J1053*1000+MIN(C1053,999),C1053*1000+J1053)+0.00975700)</f>
        <v>1024.009757</v>
      </c>
      <c r="U1053" s="2" t="str">
        <f>IF(C1053=0,"",IF(COUNTIFS($S$811:$S$1055,SUBSTITUTE(SUBSTITUTE(SUBSTITUTE(S1053,"~","~~"),"*","~*"),"?","~?"),$T$811:$T$1055,"&gt;"&amp;T1053)=0,S1053,""))</f>
        <v>4:P&amp;10|10:SPLIT ZONE|</v>
      </c>
    </row>
    <row r="1054" spans="1:21" ht="38" customHeight="1">
      <c r="A1054" s="8" t="s">
        <v>625</v>
      </c>
      <c r="B1054" s="8" t="s">
        <v>75</v>
      </c>
      <c r="C1054" s="12">
        <f>COUNTIFS('DEF_SELF_SCOUT_IMPORT'!$L$42:$L$1040,"Y",'DEF_SELF_SCOUT_IMPORT'!$E$42:$E$1040,SUBSTITUTE(SUBSTITUTE(SUBSTITUTE($B1054,"~","~~"),"*","~*"),"?","~?"),'DEF_SELF_SCOUT_IMPORT'!$Q$42:$Q$1040,SUBSTITUTE(SUBSTITUTE(SUBSTITUTE($M1054,"~","~~"),"*","~*"),"?","~?"),'DEF_SELF_SCOUT_IMPORT'!$D$42:$D$1040,SUBSTITUTE(SUBSTITUTE(SUBSTITUTE($P1054,"~","~~"),"*","~*"),"?","~?"))</f>
        <v>1</v>
      </c>
      <c r="D1054" s="10">
        <f>IF($C1054=0,"",SUMIFS('DEF_SELF_SCOUT_IMPORT'!$J$42:$J$1040,'DEF_SELF_SCOUT_IMPORT'!$L$42:$L$1040,"Y",'DEF_SELF_SCOUT_IMPORT'!$E$42:$E$1040,SUBSTITUTE(SUBSTITUTE(SUBSTITUTE($B1054,"~","~~"),"*","~*"),"?","~?"),'DEF_SELF_SCOUT_IMPORT'!$Q$42:$Q$1040,SUBSTITUTE(SUBSTITUTE(SUBSTITUTE($M1054,"~","~~"),"*","~*"),"?","~?"),'DEF_SELF_SCOUT_IMPORT'!$D$42:$D$1040,SUBSTITUTE(SUBSTITUTE(SUBSTITUTE($P1054,"~","~~"),"*","~*"),"?","~?"))/$C1054)</f>
        <v>0.0</v>
      </c>
      <c r="E1054" s="10">
        <f>IF($C1054=0,"",SUMIFS('DEF_SELF_SCOUT_IMPORT'!$K$42:$K$1040,'DEF_SELF_SCOUT_IMPORT'!$L$42:$L$1040,"Y",'DEF_SELF_SCOUT_IMPORT'!$E$42:$E$1040,SUBSTITUTE(SUBSTITUTE(SUBSTITUTE($B1054,"~","~~"),"*","~*"),"?","~?"),'DEF_SELF_SCOUT_IMPORT'!$Q$42:$Q$1040,SUBSTITUTE(SUBSTITUTE(SUBSTITUTE($M1054,"~","~~"),"*","~*"),"?","~?"),'DEF_SELF_SCOUT_IMPORT'!$D$42:$D$1040,SUBSTITUTE(SUBSTITUTE(SUBSTITUTE($P1054,"~","~~"),"*","~*"),"?","~?"))/$C1054)</f>
        <v>0.0</v>
      </c>
      <c r="F1054" s="11">
        <f>IF($C1054=0,"",AVERAGEIFS('DEF_SELF_SCOUT_IMPORT'!$I$42:$I$1040,'DEF_SELF_SCOUT_IMPORT'!$L$42:$L$1040,"Y",'DEF_SELF_SCOUT_IMPORT'!$E$42:$E$1040,SUBSTITUTE(SUBSTITUTE(SUBSTITUTE($B1054,"~","~~"),"*","~*"),"?","~?"),'DEF_SELF_SCOUT_IMPORT'!$Q$42:$Q$1040,SUBSTITUTE(SUBSTITUTE(SUBSTITUTE($M1054,"~","~~"),"*","~*"),"?","~?"),'DEF_SELF_SCOUT_IMPORT'!$D$42:$D$1040,SUBSTITUTE(SUBSTITUTE(SUBSTITUTE($P1054,"~","~~"),"*","~*"),"?","~?")))</f>
        <v>9.0</v>
      </c>
      <c r="G1054" s="10">
        <f>IF($C1054=0,"",COUNTIFS('DEF_SELF_SCOUT_IMPORT'!$L$42:$L$1040,"Y",'DEF_SELF_SCOUT_IMPORT'!$E$42:$E$1040,SUBSTITUTE(SUBSTITUTE(SUBSTITUTE($B1054,"~","~~"),"*","~*"),"?","~?"),'DEF_SELF_SCOUT_IMPORT'!$Q$42:$Q$1040,SUBSTITUTE(SUBSTITUTE(SUBSTITUTE($M1054,"~","~~"),"*","~*"),"?","~?"),'DEF_SELF_SCOUT_IMPORT'!$D$42:$D$1040,SUBSTITUTE(SUBSTITUTE(SUBSTITUTE($P1054,"~","~~"),"*","~*"),"?","~?"),'DEF_SELF_SCOUT_IMPORT'!$H$42:$H$1040,"RUSH")/$C1054)</f>
        <v>1.0</v>
      </c>
      <c r="H1054" s="10">
        <f>IF($C1054=0,"",COUNTIFS('DEF_SELF_SCOUT_IMPORT'!$L$42:$L$1040,"Y",'DEF_SELF_SCOUT_IMPORT'!$E$42:$E$1040,SUBSTITUTE(SUBSTITUTE(SUBSTITUTE($B1054,"~","~~"),"*","~*"),"?","~?"),'DEF_SELF_SCOUT_IMPORT'!$Q$42:$Q$1040,SUBSTITUTE(SUBSTITUTE(SUBSTITUTE($M1054,"~","~~"),"*","~*"),"?","~?"),'DEF_SELF_SCOUT_IMPORT'!$D$42:$D$1040,SUBSTITUTE(SUBSTITUTE(SUBSTITUTE($P1054,"~","~~"),"*","~*"),"?","~?"),'DEF_SELF_SCOUT_IMPORT'!$H$42:$H$1040,"DROPBACK")/$C1054)</f>
        <v>0.0</v>
      </c>
      <c r="I1054" s="14" t="str">
        <f>IF(C1054=0,"",IF(C1054&lt;=2,"TRACK",IF(C1054=3,"LOW",IF(C1054&lt;=6,"MEDIUM","HIGH"))))</f>
        <v>TRACK</v>
      </c>
      <c r="J1054" s="11">
        <f>IF(C1054=0,"",ROUND(D1054*70+(1-E1054)*20+MAX(0,MIN(1,(10-F1054)/10))*10,1))</f>
        <v>21.0</v>
      </c>
      <c r="K1054" s="14" t="str">
        <f>IF(C1054=0,"No Evidence",IF(C1054&lt;=2,IF(E1054&gt;0,"Explosive Alert","Track Only"),IF(C1054=3,"Sample Watch",IF(E1054&gt;=START_HERE!$B$31,"Explosive Alert",IF(J1054&gt;=80,"Strong Candidate",IF(J1054&gt;=65,"Good Candidate",IF(J1054&gt;=50,"Mixed / Review","Problem Call")))))))</f>
        <v>Track Only</v>
      </c>
      <c r="L1054" s="9" t="str">
        <f>IF(COUNTIFS('DEF_SELF_SCOUT_IMPORT'!$L$42:$L$1040,"Y",'DEF_SELF_SCOUT_IMPORT'!$E$42:$E$1040,SUBSTITUTE(SUBSTITUTE(SUBSTITUTE($B1054,"~","~~"),"*","~*"),"?","~?"),'DEF_SELF_SCOUT_IMPORT'!$Q$42:$Q$1040,SUBSTITUTE(SUBSTITUTE(SUBSTITUTE($M1054,"~","~~"),"*","~*"),"?","~?"),'DEF_SELF_SCOUT_IMPORT'!$D$42:$D$1040,SUBSTITUTE(SUBSTITUTE(SUBSTITUTE($P1054,"~","~~"),"*","~*"),"?","~?"),'DEF_SELF_SCOUT_IMPORT'!$J$42:$J$1040,"")&gt;0,"Unscored clean outcome; review result tags before using score.",IF(C1054=0,"No matching defensive reps; film confirmation needed.",IF(K1054="Explosive Alert","Explosive risk; review clips before using as answer.",IF(C1054&lt;=2,"Track only; not enough sample.",IF(C1054=3,IF(E1054&gt;0,"Sample watch with explosive exposure; review clips and build the sample.",IF(J1054&gt;=65,"Good signal, but sample is limited.","Sample watch; review clips and build the sample.")),IF(K1054="Problem Call","Problem area; practice or call-sheet review.",IF(K1054="Strong Candidate","Strong call-fit candidate; confirm on film.",IF(K1054="Good Candidate","Good call-fit signal; confirm on film.","Mixed signal; review fit and execution on film."))))))))</f>
        <v>Track only; not enough sample.</v>
      </c>
      <c r="M1054" s="8" t="s">
        <v>115</v>
      </c>
      <c r="N1054" s="8"/>
      <c r="O1054" s="8"/>
      <c r="P1054" s="8" t="s">
        <v>477</v>
      </c>
      <c r="Q1054" s="8"/>
      <c r="R1054" s="8" t="s">
        <v>429</v>
      </c>
      <c r="S1054" s="2" t="s">
        <v>626</v>
      </c>
      <c r="T1054" s="2">
        <f>IF(C1054=0,0,IF(C1054&gt;=CALL_LOOKUP_BOARD!$B$7,IF(OR(K1054="Problem Call",K1054="Explosive Alert"),10000000,20000000),0)+IF(C1054&gt;=CALL_LOOKUP_BOARD!$B$7,J1054*1000+MIN(C1054,999),C1054*1000+J1054)+0.00975600)</f>
        <v>1021.009756</v>
      </c>
      <c r="U1054" s="2">
        <f>IF(C1054=0,"",IF(COUNTIFS($S$811:$S$1055,SUBSTITUTE(SUBSTITUTE(SUBSTITUTE(S1054,"~","~~"),"*","~*"),"?","~?"),$T$811:$T$1055,"&gt;"&amp;T1054)=0,S1054,""))</f>
        <v/>
      </c>
    </row>
    <row r="1055" spans="1:21" ht="38" customHeight="1">
      <c r="A1055" s="8" t="s">
        <v>627</v>
      </c>
      <c r="B1055" s="8" t="s">
        <v>35</v>
      </c>
      <c r="C1055" s="12">
        <f>COUNTIFS('DEF_SELF_SCOUT_IMPORT'!$L$42:$L$1040,"Y",'DEF_SELF_SCOUT_IMPORT'!$E$42:$E$1040,SUBSTITUTE(SUBSTITUTE(SUBSTITUTE($B1055,"~","~~"),"*","~*"),"?","~?"),'DEF_SELF_SCOUT_IMPORT'!$Q$42:$Q$1040,SUBSTITUTE(SUBSTITUTE(SUBSTITUTE($M1055,"~","~~"),"*","~*"),"?","~?"),'DEF_SELF_SCOUT_IMPORT'!$D$42:$D$1040,SUBSTITUTE(SUBSTITUTE(SUBSTITUTE($P1055,"~","~~"),"*","~*"),"?","~?"))</f>
        <v>1</v>
      </c>
      <c r="D1055" s="10">
        <f>IF($C1055=0,"",SUMIFS('DEF_SELF_SCOUT_IMPORT'!$J$42:$J$1040,'DEF_SELF_SCOUT_IMPORT'!$L$42:$L$1040,"Y",'DEF_SELF_SCOUT_IMPORT'!$E$42:$E$1040,SUBSTITUTE(SUBSTITUTE(SUBSTITUTE($B1055,"~","~~"),"*","~*"),"?","~?"),'DEF_SELF_SCOUT_IMPORT'!$Q$42:$Q$1040,SUBSTITUTE(SUBSTITUTE(SUBSTITUTE($M1055,"~","~~"),"*","~*"),"?","~?"),'DEF_SELF_SCOUT_IMPORT'!$D$42:$D$1040,SUBSTITUTE(SUBSTITUTE(SUBSTITUTE($P1055,"~","~~"),"*","~*"),"?","~?"))/$C1055)</f>
        <v>1.0</v>
      </c>
      <c r="E1055" s="10">
        <f>IF($C1055=0,"",SUMIFS('DEF_SELF_SCOUT_IMPORT'!$K$42:$K$1040,'DEF_SELF_SCOUT_IMPORT'!$L$42:$L$1040,"Y",'DEF_SELF_SCOUT_IMPORT'!$E$42:$E$1040,SUBSTITUTE(SUBSTITUTE(SUBSTITUTE($B1055,"~","~~"),"*","~*"),"?","~?"),'DEF_SELF_SCOUT_IMPORT'!$Q$42:$Q$1040,SUBSTITUTE(SUBSTITUTE(SUBSTITUTE($M1055,"~","~~"),"*","~*"),"?","~?"),'DEF_SELF_SCOUT_IMPORT'!$D$42:$D$1040,SUBSTITUTE(SUBSTITUTE(SUBSTITUTE($P1055,"~","~~"),"*","~*"),"?","~?"))/$C1055)</f>
        <v>0.0</v>
      </c>
      <c r="F1055" s="11">
        <f>IF($C1055=0,"",AVERAGEIFS('DEF_SELF_SCOUT_IMPORT'!$I$42:$I$1040,'DEF_SELF_SCOUT_IMPORT'!$L$42:$L$1040,"Y",'DEF_SELF_SCOUT_IMPORT'!$E$42:$E$1040,SUBSTITUTE(SUBSTITUTE(SUBSTITUTE($B1055,"~","~~"),"*","~*"),"?","~?"),'DEF_SELF_SCOUT_IMPORT'!$Q$42:$Q$1040,SUBSTITUTE(SUBSTITUTE(SUBSTITUTE($M1055,"~","~~"),"*","~*"),"?","~?"),'DEF_SELF_SCOUT_IMPORT'!$D$42:$D$1040,SUBSTITUTE(SUBSTITUTE(SUBSTITUTE($P1055,"~","~~"),"*","~*"),"?","~?")))</f>
        <v>3.0</v>
      </c>
      <c r="G1055" s="10">
        <f>IF($C1055=0,"",COUNTIFS('DEF_SELF_SCOUT_IMPORT'!$L$42:$L$1040,"Y",'DEF_SELF_SCOUT_IMPORT'!$E$42:$E$1040,SUBSTITUTE(SUBSTITUTE(SUBSTITUTE($B1055,"~","~~"),"*","~*"),"?","~?"),'DEF_SELF_SCOUT_IMPORT'!$Q$42:$Q$1040,SUBSTITUTE(SUBSTITUTE(SUBSTITUTE($M1055,"~","~~"),"*","~*"),"?","~?"),'DEF_SELF_SCOUT_IMPORT'!$D$42:$D$1040,SUBSTITUTE(SUBSTITUTE(SUBSTITUTE($P1055,"~","~~"),"*","~*"),"?","~?"),'DEF_SELF_SCOUT_IMPORT'!$H$42:$H$1040,"RUSH")/$C1055)</f>
        <v>0.0</v>
      </c>
      <c r="H1055" s="10">
        <f>IF($C1055=0,"",COUNTIFS('DEF_SELF_SCOUT_IMPORT'!$L$42:$L$1040,"Y",'DEF_SELF_SCOUT_IMPORT'!$E$42:$E$1040,SUBSTITUTE(SUBSTITUTE(SUBSTITUTE($B1055,"~","~~"),"*","~*"),"?","~?"),'DEF_SELF_SCOUT_IMPORT'!$Q$42:$Q$1040,SUBSTITUTE(SUBSTITUTE(SUBSTITUTE($M1055,"~","~~"),"*","~*"),"?","~?"),'DEF_SELF_SCOUT_IMPORT'!$D$42:$D$1040,SUBSTITUTE(SUBSTITUTE(SUBSTITUTE($P1055,"~","~~"),"*","~*"),"?","~?"),'DEF_SELF_SCOUT_IMPORT'!$H$42:$H$1040,"DROPBACK")/$C1055)</f>
        <v>1.0</v>
      </c>
      <c r="I1055" s="14" t="str">
        <f>IF(C1055=0,"",IF(C1055&lt;=2,"TRACK",IF(C1055=3,"LOW",IF(C1055&lt;=6,"MEDIUM","HIGH"))))</f>
        <v>TRACK</v>
      </c>
      <c r="J1055" s="11">
        <f>IF(C1055=0,"",ROUND(D1055*70+(1-E1055)*20+MAX(0,MIN(1,(10-F1055)/10))*10,1))</f>
        <v>97.0</v>
      </c>
      <c r="K1055" s="14" t="str">
        <f>IF(C1055=0,"No Evidence",IF(C1055&lt;=2,IF(E1055&gt;0,"Explosive Alert","Track Only"),IF(C1055=3,"Sample Watch",IF(E1055&gt;=START_HERE!$B$31,"Explosive Alert",IF(J1055&gt;=80,"Strong Candidate",IF(J1055&gt;=65,"Good Candidate",IF(J1055&gt;=50,"Mixed / Review","Problem Call")))))))</f>
        <v>Track Only</v>
      </c>
      <c r="L1055" s="9" t="str">
        <f>IF(COUNTIFS('DEF_SELF_SCOUT_IMPORT'!$L$42:$L$1040,"Y",'DEF_SELF_SCOUT_IMPORT'!$E$42:$E$1040,SUBSTITUTE(SUBSTITUTE(SUBSTITUTE($B1055,"~","~~"),"*","~*"),"?","~?"),'DEF_SELF_SCOUT_IMPORT'!$Q$42:$Q$1040,SUBSTITUTE(SUBSTITUTE(SUBSTITUTE($M1055,"~","~~"),"*","~*"),"?","~?"),'DEF_SELF_SCOUT_IMPORT'!$D$42:$D$1040,SUBSTITUTE(SUBSTITUTE(SUBSTITUTE($P1055,"~","~~"),"*","~*"),"?","~?"),'DEF_SELF_SCOUT_IMPORT'!$J$42:$J$1040,"")&gt;0,"Unscored clean outcome; review result tags before using score.",IF(C1055=0,"No matching defensive reps; film confirmation needed.",IF(K1055="Explosive Alert","Explosive risk; review clips before using as answer.",IF(C1055&lt;=2,"Track only; not enough sample.",IF(C1055=3,IF(E1055&gt;0,"Sample watch with explosive exposure; review clips and build the sample.",IF(J1055&gt;=65,"Good signal, but sample is limited.","Sample watch; review clips and build the sample.")),IF(K1055="Problem Call","Problem area; practice or call-sheet review.",IF(K1055="Strong Candidate","Strong call-fit candidate; confirm on film.",IF(K1055="Good Candidate","Good call-fit signal; confirm on film.","Mixed signal; review fit and execution on film."))))))))</f>
        <v>Track only; not enough sample.</v>
      </c>
      <c r="M1055" s="8" t="s">
        <v>115</v>
      </c>
      <c r="N1055" s="8"/>
      <c r="O1055" s="8"/>
      <c r="P1055" s="8" t="s">
        <v>480</v>
      </c>
      <c r="Q1055" s="8"/>
      <c r="R1055" s="8" t="s">
        <v>429</v>
      </c>
      <c r="S1055" s="2" t="s">
        <v>628</v>
      </c>
      <c r="T1055" s="2">
        <f>IF(C1055=0,0,IF(C1055&gt;=CALL_LOOKUP_BOARD!$B$7,IF(OR(K1055="Problem Call",K1055="Explosive Alert"),10000000,20000000),0)+IF(C1055&gt;=CALL_LOOKUP_BOARD!$B$7,J1055*1000+MIN(C1055,999),C1055*1000+J1055)+0.00975500)</f>
        <v>1097.009755</v>
      </c>
      <c r="U1055" s="2" t="str">
        <f>IF(C1055=0,"",IF(COUNTIFS($S$811:$S$1055,SUBSTITUTE(SUBSTITUTE(SUBSTITUTE(S1055,"~","~~"),"*","~*"),"?","~?"),$T$811:$T$1055,"&gt;"&amp;T1055)=0,S1055,""))</f>
        <v>4:P&amp;10|9:TOSS PASS|</v>
      </c>
    </row>
    <row r="1060" spans="1:18" ht="27" customHeight="1">
      <c r="A1060" s="5" t="s">
        <v>2728</v>
      </c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</row>
    <row r="1061" spans="1:18" ht="36" customHeight="1">
      <c r="A1061" s="9" t="s">
        <v>2729</v>
      </c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</row>
    <row r="1062" spans="1:18" ht="46" customHeight="1">
      <c r="A1062" s="6" t="s">
        <v>8</v>
      </c>
      <c r="B1062" s="6" t="s">
        <v>9</v>
      </c>
      <c r="C1062" s="6" t="s">
        <v>10</v>
      </c>
      <c r="D1062" s="6" t="s">
        <v>11</v>
      </c>
      <c r="E1062" s="6" t="s">
        <v>12</v>
      </c>
      <c r="F1062" s="6" t="s">
        <v>13</v>
      </c>
      <c r="G1062" s="6" t="s">
        <v>14</v>
      </c>
      <c r="H1062" s="6" t="s">
        <v>15</v>
      </c>
      <c r="I1062" s="6" t="s">
        <v>16</v>
      </c>
      <c r="J1062" s="6" t="s">
        <v>17</v>
      </c>
      <c r="K1062" s="6" t="s">
        <v>18</v>
      </c>
      <c r="L1062" s="6" t="s">
        <v>19</v>
      </c>
      <c r="M1062" s="6" t="s">
        <v>20</v>
      </c>
      <c r="N1062" s="6" t="s">
        <v>21</v>
      </c>
      <c r="O1062" s="6" t="s">
        <v>22</v>
      </c>
      <c r="P1062" s="6" t="s">
        <v>23</v>
      </c>
      <c r="Q1062" s="6" t="s">
        <v>24</v>
      </c>
      <c r="R1062" s="6" t="s">
        <v>25</v>
      </c>
    </row>
    <row r="1063" spans="1:18" ht="50" customHeight="1">
      <c r="A1063" s="8" t="s">
        <v>2730</v>
      </c>
      <c r="B1063" s="8" t="str">
        <f>CALL_LOOKUP_BOARD!C279</f>
        <v>Film Review Required</v>
      </c>
      <c r="C1063" s="12">
        <f>CALL_LOOKUP_BOARD!D279</f>
        <v/>
      </c>
      <c r="D1063" s="10">
        <f>CALL_LOOKUP_BOARD!E279</f>
        <v/>
      </c>
      <c r="E1063" s="10">
        <f>CALL_LOOKUP_BOARD!F279</f>
        <v/>
      </c>
      <c r="F1063" s="11">
        <f>CALL_LOOKUP_BOARD!G279</f>
        <v/>
      </c>
      <c r="G1063" s="10">
        <f>IF(CALL_LOOKUP_BOARD!Z279=0,"",INDEX($G$811:$G$1055,CALL_LOOKUP_BOARD!Z279-811+1))</f>
        <v/>
      </c>
      <c r="H1063" s="10">
        <f>IF(CALL_LOOKUP_BOARD!Z279=0,"",INDEX($H$811:$H$1055,CALL_LOOKUP_BOARD!Z279-811+1))</f>
        <v/>
      </c>
      <c r="I1063" s="8">
        <f>CALL_LOOKUP_BOARD!I279</f>
        <v/>
      </c>
      <c r="J1063" s="11">
        <f>CALL_LOOKUP_BOARD!H279</f>
        <v/>
      </c>
      <c r="K1063" s="14" t="str">
        <f>CALL_LOOKUP_BOARD!J279</f>
        <v>Film Review Required</v>
      </c>
      <c r="L1063" s="9" t="str">
        <f>CALL_LOOKUP_BOARD!K279</f>
        <v>Opponent exact-play alert only. No Defensive Exact-Play Sample. Confirm concept mapping and review film before treating this as a defensive candidate.</v>
      </c>
      <c r="M1063" s="8" t="s">
        <v>26</v>
      </c>
      <c r="P1063" s="8" t="str">
        <f>IF(CALL_LOOKUP_BOARD!L279="","",CALL_LOOKUP_BOARD!L279)</f>
        <v>OUTSIDE ZONE</v>
      </c>
      <c r="Q1063" s="8" t="s">
        <v>1447</v>
      </c>
      <c r="R1063" s="14" t="s">
        <v>2731</v>
      </c>
    </row>
    <row r="1064" spans="1:18" ht="50" customHeight="1">
      <c r="A1064" s="8" t="s">
        <v>2732</v>
      </c>
      <c r="B1064" s="8" t="str">
        <f>CALL_LOOKUP_BOARD!C280</f>
        <v>Film Review Required</v>
      </c>
      <c r="C1064" s="12">
        <f>CALL_LOOKUP_BOARD!D280</f>
        <v/>
      </c>
      <c r="D1064" s="10">
        <f>CALL_LOOKUP_BOARD!E280</f>
        <v/>
      </c>
      <c r="E1064" s="10">
        <f>CALL_LOOKUP_BOARD!F280</f>
        <v/>
      </c>
      <c r="F1064" s="11">
        <f>CALL_LOOKUP_BOARD!G280</f>
        <v/>
      </c>
      <c r="G1064" s="10">
        <f>IF(CALL_LOOKUP_BOARD!Z280=0,"",INDEX($G$811:$G$1055,CALL_LOOKUP_BOARD!Z280-811+1))</f>
        <v/>
      </c>
      <c r="H1064" s="10">
        <f>IF(CALL_LOOKUP_BOARD!Z280=0,"",INDEX($H$811:$H$1055,CALL_LOOKUP_BOARD!Z280-811+1))</f>
        <v/>
      </c>
      <c r="I1064" s="8">
        <f>CALL_LOOKUP_BOARD!I280</f>
        <v/>
      </c>
      <c r="J1064" s="11">
        <f>CALL_LOOKUP_BOARD!H280</f>
        <v/>
      </c>
      <c r="K1064" s="14" t="str">
        <f>CALL_LOOKUP_BOARD!J280</f>
        <v>Film Review Required</v>
      </c>
      <c r="L1064" s="9" t="str">
        <f>CALL_LOOKUP_BOARD!K280</f>
        <v>Opponent exact-play alert only. No Defensive Exact-Play Sample. Confirm concept mapping and review film before treating this as a defensive candidate.</v>
      </c>
      <c r="M1064" s="8" t="s">
        <v>31</v>
      </c>
      <c r="P1064" s="8">
        <f>IF(CALL_LOOKUP_BOARD!L280="","",CALL_LOOKUP_BOARD!L280)</f>
        <v/>
      </c>
      <c r="Q1064" s="8" t="s">
        <v>816</v>
      </c>
      <c r="R1064" s="14" t="s">
        <v>2731</v>
      </c>
    </row>
    <row r="1065" spans="1:18" ht="50" customHeight="1">
      <c r="A1065" s="8" t="s">
        <v>2733</v>
      </c>
      <c r="B1065" s="8" t="str">
        <f>CALL_LOOKUP_BOARD!C281</f>
        <v>Film Review Required</v>
      </c>
      <c r="C1065" s="12">
        <f>CALL_LOOKUP_BOARD!D281</f>
        <v/>
      </c>
      <c r="D1065" s="10">
        <f>CALL_LOOKUP_BOARD!E281</f>
        <v/>
      </c>
      <c r="E1065" s="10">
        <f>CALL_LOOKUP_BOARD!F281</f>
        <v/>
      </c>
      <c r="F1065" s="11">
        <f>CALL_LOOKUP_BOARD!G281</f>
        <v/>
      </c>
      <c r="G1065" s="10">
        <f>IF(CALL_LOOKUP_BOARD!Z281=0,"",INDEX($G$811:$G$1055,CALL_LOOKUP_BOARD!Z281-811+1))</f>
        <v/>
      </c>
      <c r="H1065" s="10">
        <f>IF(CALL_LOOKUP_BOARD!Z281=0,"",INDEX($H$811:$H$1055,CALL_LOOKUP_BOARD!Z281-811+1))</f>
        <v/>
      </c>
      <c r="I1065" s="8">
        <f>CALL_LOOKUP_BOARD!I281</f>
        <v/>
      </c>
      <c r="J1065" s="11">
        <f>CALL_LOOKUP_BOARD!H281</f>
        <v/>
      </c>
      <c r="K1065" s="14" t="str">
        <f>CALL_LOOKUP_BOARD!J281</f>
        <v>Film Review Required</v>
      </c>
      <c r="L1065" s="9" t="str">
        <f>CALL_LOOKUP_BOARD!K281</f>
        <v>Opponent exact-play alert only. No Defensive Exact-Play Sample. Confirm concept mapping and review film before treating this as a defensive candidate.</v>
      </c>
      <c r="M1065" s="8" t="s">
        <v>36</v>
      </c>
      <c r="P1065" s="8" t="str">
        <f>IF(CALL_LOOKUP_BOARD!L281="","",CALL_LOOKUP_BOARD!L281)</f>
        <v>G</v>
      </c>
      <c r="Q1065" s="8" t="s">
        <v>1483</v>
      </c>
      <c r="R1065" s="14" t="s">
        <v>2731</v>
      </c>
    </row>
    <row r="1066" spans="1:18" ht="50" customHeight="1">
      <c r="A1066" s="8" t="s">
        <v>2734</v>
      </c>
      <c r="B1066" s="8" t="str">
        <f>CALL_LOOKUP_BOARD!C282</f>
        <v>Film Review Required</v>
      </c>
      <c r="C1066" s="12">
        <f>CALL_LOOKUP_BOARD!D282</f>
        <v/>
      </c>
      <c r="D1066" s="10">
        <f>CALL_LOOKUP_BOARD!E282</f>
        <v/>
      </c>
      <c r="E1066" s="10">
        <f>CALL_LOOKUP_BOARD!F282</f>
        <v/>
      </c>
      <c r="F1066" s="11">
        <f>CALL_LOOKUP_BOARD!G282</f>
        <v/>
      </c>
      <c r="G1066" s="10">
        <f>IF(CALL_LOOKUP_BOARD!Z282=0,"",INDEX($G$811:$G$1055,CALL_LOOKUP_BOARD!Z282-811+1))</f>
        <v/>
      </c>
      <c r="H1066" s="10">
        <f>IF(CALL_LOOKUP_BOARD!Z282=0,"",INDEX($H$811:$H$1055,CALL_LOOKUP_BOARD!Z282-811+1))</f>
        <v/>
      </c>
      <c r="I1066" s="8">
        <f>CALL_LOOKUP_BOARD!I282</f>
        <v/>
      </c>
      <c r="J1066" s="11">
        <f>CALL_LOOKUP_BOARD!H282</f>
        <v/>
      </c>
      <c r="K1066" s="14" t="str">
        <f>CALL_LOOKUP_BOARD!J282</f>
        <v>Film Review Required</v>
      </c>
      <c r="L1066" s="9" t="str">
        <f>CALL_LOOKUP_BOARD!K282</f>
        <v>Opponent exact-play alert only. No Defensive Exact-Play Sample. Confirm concept mapping and review film before treating this as a defensive candidate.</v>
      </c>
      <c r="M1066" s="8" t="s">
        <v>36</v>
      </c>
      <c r="P1066" s="8" t="str">
        <f>IF(CALL_LOOKUP_BOARD!L282="","",CALL_LOOKUP_BOARD!L282)</f>
        <v>OUTSIDE ZONE</v>
      </c>
      <c r="Q1066" s="8" t="s">
        <v>815</v>
      </c>
      <c r="R1066" s="14" t="s">
        <v>2731</v>
      </c>
    </row>
    <row r="1067" spans="1:18" ht="50" customHeight="1">
      <c r="A1067" s="8" t="s">
        <v>2735</v>
      </c>
      <c r="B1067" s="8" t="str">
        <f>CALL_LOOKUP_BOARD!C283</f>
        <v>Film Review Required</v>
      </c>
      <c r="C1067" s="12">
        <f>CALL_LOOKUP_BOARD!D283</f>
        <v/>
      </c>
      <c r="D1067" s="10">
        <f>CALL_LOOKUP_BOARD!E283</f>
        <v/>
      </c>
      <c r="E1067" s="10">
        <f>CALL_LOOKUP_BOARD!F283</f>
        <v/>
      </c>
      <c r="F1067" s="11">
        <f>CALL_LOOKUP_BOARD!G283</f>
        <v/>
      </c>
      <c r="G1067" s="10">
        <f>IF(CALL_LOOKUP_BOARD!Z283=0,"",INDEX($G$811:$G$1055,CALL_LOOKUP_BOARD!Z283-811+1))</f>
        <v/>
      </c>
      <c r="H1067" s="10">
        <f>IF(CALL_LOOKUP_BOARD!Z283=0,"",INDEX($H$811:$H$1055,CALL_LOOKUP_BOARD!Z283-811+1))</f>
        <v/>
      </c>
      <c r="I1067" s="8">
        <f>CALL_LOOKUP_BOARD!I283</f>
        <v/>
      </c>
      <c r="J1067" s="11">
        <f>CALL_LOOKUP_BOARD!H283</f>
        <v/>
      </c>
      <c r="K1067" s="14" t="str">
        <f>CALL_LOOKUP_BOARD!J283</f>
        <v>Film Review Required</v>
      </c>
      <c r="L1067" s="9" t="str">
        <f>CALL_LOOKUP_BOARD!K283</f>
        <v>Opponent exact-play alert only. No Defensive Exact-Play Sample. Confirm concept mapping and review film before treating this as a defensive candidate.</v>
      </c>
      <c r="M1067" s="8" t="s">
        <v>36</v>
      </c>
      <c r="P1067" s="8" t="str">
        <f>IF(CALL_LOOKUP_BOARD!L283="","",CALL_LOOKUP_BOARD!L283)</f>
        <v>POWER</v>
      </c>
      <c r="Q1067" s="8" t="s">
        <v>1509</v>
      </c>
      <c r="R1067" s="14" t="s">
        <v>2731</v>
      </c>
    </row>
    <row r="1068" spans="1:18" ht="50" customHeight="1">
      <c r="A1068" s="8" t="s">
        <v>2736</v>
      </c>
      <c r="B1068" s="8" t="str">
        <f>CALL_LOOKUP_BOARD!C284</f>
        <v>KEY CAPTAIN</v>
      </c>
      <c r="C1068" s="12">
        <f>CALL_LOOKUP_BOARD!D284</f>
        <v>1</v>
      </c>
      <c r="D1068" s="10">
        <f>CALL_LOOKUP_BOARD!E284</f>
        <v>1.0</v>
      </c>
      <c r="E1068" s="10">
        <f>CALL_LOOKUP_BOARD!F284</f>
        <v>0.0</v>
      </c>
      <c r="F1068" s="11">
        <f>CALL_LOOKUP_BOARD!G284</f>
        <v>0.0</v>
      </c>
      <c r="G1068" s="10">
        <f>IF(CALL_LOOKUP_BOARD!Z284=0,"",INDEX($G$811:$G$1055,CALL_LOOKUP_BOARD!Z284-811+1))</f>
        <v>0.0</v>
      </c>
      <c r="H1068" s="10">
        <f>IF(CALL_LOOKUP_BOARD!Z284=0,"",INDEX($H$811:$H$1055,CALL_LOOKUP_BOARD!Z284-811+1))</f>
        <v>1.0</v>
      </c>
      <c r="I1068" s="8" t="str">
        <f>CALL_LOOKUP_BOARD!I284</f>
        <v>TRACK</v>
      </c>
      <c r="J1068" s="11">
        <f>CALL_LOOKUP_BOARD!H284</f>
        <v>100.0</v>
      </c>
      <c r="K1068" s="14" t="str">
        <f>CALL_LOOKUP_BOARD!J284</f>
        <v>Sample Watch • D&amp;D + Concept Match • Concept Proxy</v>
      </c>
      <c r="L1068" s="9" t="str">
        <f>CALL_LOOKUP_BOARD!K284</f>
        <v>Opponent exact-play alert only. No Defensive Exact-Play Sample. Metrics describe the confirmed concept; Track only; not enough sample.</v>
      </c>
      <c r="M1068" s="8" t="s">
        <v>39</v>
      </c>
      <c r="P1068" s="8" t="str">
        <f>IF(CALL_LOOKUP_BOARD!L284="","",CALL_LOOKUP_BOARD!L284)</f>
        <v>BOOT</v>
      </c>
      <c r="Q1068" s="8" t="s">
        <v>1496</v>
      </c>
      <c r="R1068" s="14" t="s">
        <v>2731</v>
      </c>
    </row>
    <row r="1069" spans="1:18" ht="50" customHeight="1">
      <c r="A1069" s="8" t="s">
        <v>2737</v>
      </c>
      <c r="B1069" s="8" t="str">
        <f>CALL_LOOKUP_BOARD!C285</f>
        <v>Film Review Required</v>
      </c>
      <c r="C1069" s="12">
        <f>CALL_LOOKUP_BOARD!D285</f>
        <v/>
      </c>
      <c r="D1069" s="10">
        <f>CALL_LOOKUP_BOARD!E285</f>
        <v/>
      </c>
      <c r="E1069" s="10">
        <f>CALL_LOOKUP_BOARD!F285</f>
        <v/>
      </c>
      <c r="F1069" s="11">
        <f>CALL_LOOKUP_BOARD!G285</f>
        <v/>
      </c>
      <c r="G1069" s="10">
        <f>IF(CALL_LOOKUP_BOARD!Z285=0,"",INDEX($G$811:$G$1055,CALL_LOOKUP_BOARD!Z285-811+1))</f>
        <v/>
      </c>
      <c r="H1069" s="10">
        <f>IF(CALL_LOOKUP_BOARD!Z285=0,"",INDEX($H$811:$H$1055,CALL_LOOKUP_BOARD!Z285-811+1))</f>
        <v/>
      </c>
      <c r="I1069" s="8">
        <f>CALL_LOOKUP_BOARD!I285</f>
        <v/>
      </c>
      <c r="J1069" s="11">
        <f>CALL_LOOKUP_BOARD!H285</f>
        <v/>
      </c>
      <c r="K1069" s="14" t="str">
        <f>CALL_LOOKUP_BOARD!J285</f>
        <v>Film Review Required</v>
      </c>
      <c r="L1069" s="9" t="str">
        <f>CALL_LOOKUP_BOARD!K285</f>
        <v>Opponent exact-play alert only. No Defensive Exact-Play Sample. Confirm concept mapping and review film before treating this as a defensive candidate.</v>
      </c>
      <c r="M1069" s="8" t="s">
        <v>39</v>
      </c>
      <c r="P1069" s="8">
        <f>IF(CALL_LOOKUP_BOARD!L285="","",CALL_LOOKUP_BOARD!L285)</f>
        <v/>
      </c>
      <c r="Q1069" s="8" t="s">
        <v>49</v>
      </c>
      <c r="R1069" s="14" t="s">
        <v>2731</v>
      </c>
    </row>
    <row r="1070" spans="1:18" ht="50" customHeight="1">
      <c r="A1070" s="8" t="s">
        <v>2738</v>
      </c>
      <c r="B1070" s="8" t="str">
        <f>CALL_LOOKUP_BOARD!C286</f>
        <v>Film Review Required</v>
      </c>
      <c r="C1070" s="12">
        <f>CALL_LOOKUP_BOARD!D286</f>
        <v/>
      </c>
      <c r="D1070" s="10">
        <f>CALL_LOOKUP_BOARD!E286</f>
        <v/>
      </c>
      <c r="E1070" s="10">
        <f>CALL_LOOKUP_BOARD!F286</f>
        <v/>
      </c>
      <c r="F1070" s="11">
        <f>CALL_LOOKUP_BOARD!G286</f>
        <v/>
      </c>
      <c r="G1070" s="10">
        <f>IF(CALL_LOOKUP_BOARD!Z286=0,"",INDEX($G$811:$G$1055,CALL_LOOKUP_BOARD!Z286-811+1))</f>
        <v/>
      </c>
      <c r="H1070" s="10">
        <f>IF(CALL_LOOKUP_BOARD!Z286=0,"",INDEX($H$811:$H$1055,CALL_LOOKUP_BOARD!Z286-811+1))</f>
        <v/>
      </c>
      <c r="I1070" s="8">
        <f>CALL_LOOKUP_BOARD!I286</f>
        <v/>
      </c>
      <c r="J1070" s="11">
        <f>CALL_LOOKUP_BOARD!H286</f>
        <v/>
      </c>
      <c r="K1070" s="14" t="str">
        <f>CALL_LOOKUP_BOARD!J286</f>
        <v>Film Review Required</v>
      </c>
      <c r="L1070" s="9" t="str">
        <f>CALL_LOOKUP_BOARD!K286</f>
        <v>Opponent exact-play alert only. No Defensive Exact-Play Sample. Confirm concept mapping and review film before treating this as a defensive candidate.</v>
      </c>
      <c r="M1070" s="8" t="s">
        <v>39</v>
      </c>
      <c r="P1070" s="8" t="str">
        <f>IF(CALL_LOOKUP_BOARD!L286="","",CALL_LOOKUP_BOARD!L286)</f>
        <v>FUZZY</v>
      </c>
      <c r="Q1070" s="8" t="s">
        <v>1476</v>
      </c>
      <c r="R1070" s="14" t="s">
        <v>2731</v>
      </c>
    </row>
    <row r="1071" spans="1:18" ht="50" customHeight="1">
      <c r="A1071" s="8" t="s">
        <v>2739</v>
      </c>
      <c r="B1071" s="8" t="str">
        <f>CALL_LOOKUP_BOARD!C287</f>
        <v>Film Review Required</v>
      </c>
      <c r="C1071" s="12">
        <f>CALL_LOOKUP_BOARD!D287</f>
        <v/>
      </c>
      <c r="D1071" s="10">
        <f>CALL_LOOKUP_BOARD!E287</f>
        <v/>
      </c>
      <c r="E1071" s="10">
        <f>CALL_LOOKUP_BOARD!F287</f>
        <v/>
      </c>
      <c r="F1071" s="11">
        <f>CALL_LOOKUP_BOARD!G287</f>
        <v/>
      </c>
      <c r="G1071" s="10">
        <f>IF(CALL_LOOKUP_BOARD!Z287=0,"",INDEX($G$811:$G$1055,CALL_LOOKUP_BOARD!Z287-811+1))</f>
        <v/>
      </c>
      <c r="H1071" s="10">
        <f>IF(CALL_LOOKUP_BOARD!Z287=0,"",INDEX($H$811:$H$1055,CALL_LOOKUP_BOARD!Z287-811+1))</f>
        <v/>
      </c>
      <c r="I1071" s="8">
        <f>CALL_LOOKUP_BOARD!I287</f>
        <v/>
      </c>
      <c r="J1071" s="11">
        <f>CALL_LOOKUP_BOARD!H287</f>
        <v/>
      </c>
      <c r="K1071" s="14" t="str">
        <f>CALL_LOOKUP_BOARD!J287</f>
        <v>Film Review Required</v>
      </c>
      <c r="L1071" s="9" t="str">
        <f>CALL_LOOKUP_BOARD!K287</f>
        <v>Opponent exact-play alert only. No Defensive Exact-Play Sample. Confirm concept mapping and review film before treating this as a defensive candidate.</v>
      </c>
      <c r="M1071" s="8" t="s">
        <v>39</v>
      </c>
      <c r="P1071" s="8" t="str">
        <f>IF(CALL_LOOKUP_BOARD!L287="","",CALL_LOOKUP_BOARD!L287)</f>
        <v>POWER READ</v>
      </c>
      <c r="Q1071" s="8" t="s">
        <v>1488</v>
      </c>
      <c r="R1071" s="14" t="s">
        <v>2731</v>
      </c>
    </row>
    <row r="1072" spans="1:18" ht="50" customHeight="1">
      <c r="A1072" s="8" t="s">
        <v>2740</v>
      </c>
      <c r="B1072" s="8" t="str">
        <f>CALL_LOOKUP_BOARD!C288</f>
        <v>Film Review Required</v>
      </c>
      <c r="C1072" s="12">
        <f>CALL_LOOKUP_BOARD!D288</f>
        <v/>
      </c>
      <c r="D1072" s="10">
        <f>CALL_LOOKUP_BOARD!E288</f>
        <v/>
      </c>
      <c r="E1072" s="10">
        <f>CALL_LOOKUP_BOARD!F288</f>
        <v/>
      </c>
      <c r="F1072" s="11">
        <f>CALL_LOOKUP_BOARD!G288</f>
        <v/>
      </c>
      <c r="G1072" s="10">
        <f>IF(CALL_LOOKUP_BOARD!Z288=0,"",INDEX($G$811:$G$1055,CALL_LOOKUP_BOARD!Z288-811+1))</f>
        <v/>
      </c>
      <c r="H1072" s="10">
        <f>IF(CALL_LOOKUP_BOARD!Z288=0,"",INDEX($H$811:$H$1055,CALL_LOOKUP_BOARD!Z288-811+1))</f>
        <v/>
      </c>
      <c r="I1072" s="8">
        <f>CALL_LOOKUP_BOARD!I288</f>
        <v/>
      </c>
      <c r="J1072" s="11">
        <f>CALL_LOOKUP_BOARD!H288</f>
        <v/>
      </c>
      <c r="K1072" s="14" t="str">
        <f>CALL_LOOKUP_BOARD!J288</f>
        <v>Film Review Required</v>
      </c>
      <c r="L1072" s="9" t="str">
        <f>CALL_LOOKUP_BOARD!K288</f>
        <v>Opponent exact-play alert only. No Defensive Exact-Play Sample. Confirm concept mapping and review film before treating this as a defensive candidate.</v>
      </c>
      <c r="M1072" s="8" t="s">
        <v>39</v>
      </c>
      <c r="P1072" s="8" t="str">
        <f>IF(CALL_LOOKUP_BOARD!L288="","",CALL_LOOKUP_BOARD!L288)</f>
        <v>G</v>
      </c>
      <c r="Q1072" s="8" t="s">
        <v>1503</v>
      </c>
      <c r="R1072" s="14" t="s">
        <v>2731</v>
      </c>
    </row>
    <row r="1073" spans="1:18" ht="50" customHeight="1">
      <c r="A1073" s="8" t="s">
        <v>2741</v>
      </c>
      <c r="B1073" s="8" t="str">
        <f>CALL_LOOKUP_BOARD!C289</f>
        <v>Film Review Required</v>
      </c>
      <c r="C1073" s="12">
        <f>CALL_LOOKUP_BOARD!D289</f>
        <v/>
      </c>
      <c r="D1073" s="10">
        <f>CALL_LOOKUP_BOARD!E289</f>
        <v/>
      </c>
      <c r="E1073" s="10">
        <f>CALL_LOOKUP_BOARD!F289</f>
        <v/>
      </c>
      <c r="F1073" s="11">
        <f>CALL_LOOKUP_BOARD!G289</f>
        <v/>
      </c>
      <c r="G1073" s="10">
        <f>IF(CALL_LOOKUP_BOARD!Z289=0,"",INDEX($G$811:$G$1055,CALL_LOOKUP_BOARD!Z289-811+1))</f>
        <v/>
      </c>
      <c r="H1073" s="10">
        <f>IF(CALL_LOOKUP_BOARD!Z289=0,"",INDEX($H$811:$H$1055,CALL_LOOKUP_BOARD!Z289-811+1))</f>
        <v/>
      </c>
      <c r="I1073" s="8">
        <f>CALL_LOOKUP_BOARD!I289</f>
        <v/>
      </c>
      <c r="J1073" s="11">
        <f>CALL_LOOKUP_BOARD!H289</f>
        <v/>
      </c>
      <c r="K1073" s="14" t="str">
        <f>CALL_LOOKUP_BOARD!J289</f>
        <v>Film Review Required</v>
      </c>
      <c r="L1073" s="9" t="str">
        <f>CALL_LOOKUP_BOARD!K289</f>
        <v>Opponent exact-play alert only. No Defensive Exact-Play Sample. Confirm concept mapping and review film before treating this as a defensive candidate.</v>
      </c>
      <c r="M1073" s="8" t="s">
        <v>39</v>
      </c>
      <c r="P1073" s="8" t="str">
        <f>IF(CALL_LOOKUP_BOARD!L289="","",CALL_LOOKUP_BOARD!L289)</f>
        <v>FLY SWEEP</v>
      </c>
      <c r="Q1073" s="8" t="s">
        <v>1410</v>
      </c>
      <c r="R1073" s="14" t="s">
        <v>2731</v>
      </c>
    </row>
    <row r="1074" spans="1:18" ht="50" customHeight="1">
      <c r="A1074" s="8" t="s">
        <v>2742</v>
      </c>
      <c r="B1074" s="8" t="str">
        <f>CALL_LOOKUP_BOARD!C290</f>
        <v>BOURBON</v>
      </c>
      <c r="C1074" s="12">
        <f>CALL_LOOKUP_BOARD!D290</f>
        <v>3</v>
      </c>
      <c r="D1074" s="10">
        <f>CALL_LOOKUP_BOARD!E290</f>
        <v>0.3333333333333333</v>
      </c>
      <c r="E1074" s="10">
        <f>CALL_LOOKUP_BOARD!F290</f>
        <v>0.0</v>
      </c>
      <c r="F1074" s="11">
        <f>CALL_LOOKUP_BOARD!G290</f>
        <v>5.333333333333333</v>
      </c>
      <c r="G1074" s="10">
        <f>IF(CALL_LOOKUP_BOARD!Z290=0,"",INDEX($G$811:$G$1055,CALL_LOOKUP_BOARD!Z290-811+1))</f>
        <v>1.0</v>
      </c>
      <c r="H1074" s="10">
        <f>IF(CALL_LOOKUP_BOARD!Z290=0,"",INDEX($H$811:$H$1055,CALL_LOOKUP_BOARD!Z290-811+1))</f>
        <v>0.0</v>
      </c>
      <c r="I1074" s="8" t="str">
        <f>CALL_LOOKUP_BOARD!I290</f>
        <v>LOW</v>
      </c>
      <c r="J1074" s="11">
        <f>CALL_LOOKUP_BOARD!H290</f>
        <v>48.0</v>
      </c>
      <c r="K1074" s="14" t="str">
        <f>CALL_LOOKUP_BOARD!J290</f>
        <v>Sample Watch • D&amp;D + Concept Match • Concept Proxy</v>
      </c>
      <c r="L1074" s="9" t="str">
        <f>CALL_LOOKUP_BOARD!K290</f>
        <v>Opponent exact-play alert only. No Defensive Exact-Play Sample. Metrics describe the confirmed concept; Sample watch; review clips and build the sample.</v>
      </c>
      <c r="M1074" s="8" t="s">
        <v>39</v>
      </c>
      <c r="P1074" s="8" t="str">
        <f>IF(CALL_LOOKUP_BOARD!L290="","",CALL_LOOKUP_BOARD!L290)</f>
        <v>OUTSIDE ZONE</v>
      </c>
      <c r="Q1074" s="8" t="s">
        <v>815</v>
      </c>
      <c r="R1074" s="14" t="s">
        <v>2731</v>
      </c>
    </row>
    <row r="1075" spans="1:18" ht="50" customHeight="1">
      <c r="A1075" s="8" t="s">
        <v>2743</v>
      </c>
      <c r="B1075" s="8" t="str">
        <f>CALL_LOOKUP_BOARD!C291</f>
        <v>BOURBON</v>
      </c>
      <c r="C1075" s="12">
        <f>CALL_LOOKUP_BOARD!D291</f>
        <v>3</v>
      </c>
      <c r="D1075" s="10">
        <f>CALL_LOOKUP_BOARD!E291</f>
        <v>0.3333333333333333</v>
      </c>
      <c r="E1075" s="10">
        <f>CALL_LOOKUP_BOARD!F291</f>
        <v>0.0</v>
      </c>
      <c r="F1075" s="11">
        <f>CALL_LOOKUP_BOARD!G291</f>
        <v>5.333333333333333</v>
      </c>
      <c r="G1075" s="10">
        <f>IF(CALL_LOOKUP_BOARD!Z291=0,"",INDEX($G$811:$G$1055,CALL_LOOKUP_BOARD!Z291-811+1))</f>
        <v>1.0</v>
      </c>
      <c r="H1075" s="10">
        <f>IF(CALL_LOOKUP_BOARD!Z291=0,"",INDEX($H$811:$H$1055,CALL_LOOKUP_BOARD!Z291-811+1))</f>
        <v>0.0</v>
      </c>
      <c r="I1075" s="8" t="str">
        <f>CALL_LOOKUP_BOARD!I291</f>
        <v>LOW</v>
      </c>
      <c r="J1075" s="11">
        <f>CALL_LOOKUP_BOARD!H291</f>
        <v>48.0</v>
      </c>
      <c r="K1075" s="14" t="str">
        <f>CALL_LOOKUP_BOARD!J291</f>
        <v>Sample Watch • D&amp;D + Concept Match • Concept Proxy</v>
      </c>
      <c r="L1075" s="9" t="str">
        <f>CALL_LOOKUP_BOARD!K291</f>
        <v>Opponent exact-play alert only. No Defensive Exact-Play Sample. Metrics describe the confirmed concept; Sample watch; review clips and build the sample.</v>
      </c>
      <c r="M1075" s="8" t="s">
        <v>39</v>
      </c>
      <c r="P1075" s="8" t="str">
        <f>IF(CALL_LOOKUP_BOARD!L291="","",CALL_LOOKUP_BOARD!L291)</f>
        <v>OUTSIDE ZONE</v>
      </c>
      <c r="Q1075" s="8" t="s">
        <v>1506</v>
      </c>
      <c r="R1075" s="14" t="s">
        <v>2731</v>
      </c>
    </row>
    <row r="1076" spans="1:18" ht="50" customHeight="1">
      <c r="A1076" s="8" t="s">
        <v>2744</v>
      </c>
      <c r="B1076" s="8" t="str">
        <f>CALL_LOOKUP_BOARD!C292</f>
        <v>BOURBON</v>
      </c>
      <c r="C1076" s="12">
        <f>CALL_LOOKUP_BOARD!D292</f>
        <v>3</v>
      </c>
      <c r="D1076" s="10">
        <f>CALL_LOOKUP_BOARD!E292</f>
        <v>0.3333333333333333</v>
      </c>
      <c r="E1076" s="10">
        <f>CALL_LOOKUP_BOARD!F292</f>
        <v>0.0</v>
      </c>
      <c r="F1076" s="11">
        <f>CALL_LOOKUP_BOARD!G292</f>
        <v>5.333333333333333</v>
      </c>
      <c r="G1076" s="10">
        <f>IF(CALL_LOOKUP_BOARD!Z292=0,"",INDEX($G$811:$G$1055,CALL_LOOKUP_BOARD!Z292-811+1))</f>
        <v>1.0</v>
      </c>
      <c r="H1076" s="10">
        <f>IF(CALL_LOOKUP_BOARD!Z292=0,"",INDEX($H$811:$H$1055,CALL_LOOKUP_BOARD!Z292-811+1))</f>
        <v>0.0</v>
      </c>
      <c r="I1076" s="8" t="str">
        <f>CALL_LOOKUP_BOARD!I292</f>
        <v>LOW</v>
      </c>
      <c r="J1076" s="11">
        <f>CALL_LOOKUP_BOARD!H292</f>
        <v>48.0</v>
      </c>
      <c r="K1076" s="14" t="str">
        <f>CALL_LOOKUP_BOARD!J292</f>
        <v>Sample Watch • D&amp;D + Concept Match • Concept Proxy</v>
      </c>
      <c r="L1076" s="9" t="str">
        <f>CALL_LOOKUP_BOARD!K292</f>
        <v>Opponent exact-play alert only. No Defensive Exact-Play Sample. Metrics describe the confirmed concept; Sample watch; review clips and build the sample.</v>
      </c>
      <c r="M1076" s="8" t="s">
        <v>39</v>
      </c>
      <c r="P1076" s="8" t="str">
        <f>IF(CALL_LOOKUP_BOARD!L292="","",CALL_LOOKUP_BOARD!L292)</f>
        <v>OUTSIDE ZONE</v>
      </c>
      <c r="Q1076" s="8" t="s">
        <v>1491</v>
      </c>
      <c r="R1076" s="14" t="s">
        <v>2731</v>
      </c>
    </row>
    <row r="1077" spans="1:18" ht="50" customHeight="1">
      <c r="A1077" s="8" t="s">
        <v>2745</v>
      </c>
      <c r="B1077" s="8" t="str">
        <f>CALL_LOOKUP_BOARD!C293</f>
        <v>KEY CAPTAIN</v>
      </c>
      <c r="C1077" s="12">
        <f>CALL_LOOKUP_BOARD!D293</f>
        <v>2</v>
      </c>
      <c r="D1077" s="10">
        <f>CALL_LOOKUP_BOARD!E293</f>
        <v>1.0</v>
      </c>
      <c r="E1077" s="10">
        <f>CALL_LOOKUP_BOARD!F293</f>
        <v>0.0</v>
      </c>
      <c r="F1077" s="11">
        <f>CALL_LOOKUP_BOARD!G293</f>
        <v>0.0</v>
      </c>
      <c r="G1077" s="10">
        <f>IF(CALL_LOOKUP_BOARD!Z293=0,"",INDEX($G$811:$G$1055,CALL_LOOKUP_BOARD!Z293-811+1))</f>
        <v>0.0</v>
      </c>
      <c r="H1077" s="10">
        <f>IF(CALL_LOOKUP_BOARD!Z293=0,"",INDEX($H$811:$H$1055,CALL_LOOKUP_BOARD!Z293-811+1))</f>
        <v>1.0</v>
      </c>
      <c r="I1077" s="8" t="str">
        <f>CALL_LOOKUP_BOARD!I293</f>
        <v>TRACK</v>
      </c>
      <c r="J1077" s="11">
        <f>CALL_LOOKUP_BOARD!H293</f>
        <v>100.0</v>
      </c>
      <c r="K1077" s="14" t="str">
        <f>CALL_LOOKUP_BOARD!J293</f>
        <v>Sample Watch • D&amp;D + Concept Match • Concept Proxy</v>
      </c>
      <c r="L1077" s="9" t="str">
        <f>CALL_LOOKUP_BOARD!K293</f>
        <v>Opponent exact-play alert only. No Defensive Exact-Play Sample. Metrics describe the confirmed concept; Track only; not enough sample.</v>
      </c>
      <c r="M1077" s="8" t="s">
        <v>39</v>
      </c>
      <c r="P1077" s="8" t="str">
        <f>IF(CALL_LOOKUP_BOARD!L293="","",CALL_LOOKUP_BOARD!L293)</f>
        <v>PAP</v>
      </c>
      <c r="Q1077" s="8" t="s">
        <v>1478</v>
      </c>
      <c r="R1077" s="14" t="s">
        <v>2731</v>
      </c>
    </row>
    <row r="1078" spans="1:18" ht="50" customHeight="1">
      <c r="A1078" s="8" t="s">
        <v>2746</v>
      </c>
      <c r="B1078" s="8" t="str">
        <f>CALL_LOOKUP_BOARD!C294</f>
        <v>KNIFE</v>
      </c>
      <c r="C1078" s="12">
        <f>CALL_LOOKUP_BOARD!D294</f>
        <v>3</v>
      </c>
      <c r="D1078" s="10">
        <f>CALL_LOOKUP_BOARD!E294</f>
        <v>0.3333333333333333</v>
      </c>
      <c r="E1078" s="10">
        <f>CALL_LOOKUP_BOARD!F294</f>
        <v>0.0</v>
      </c>
      <c r="F1078" s="11">
        <f>CALL_LOOKUP_BOARD!G294</f>
        <v>5.0</v>
      </c>
      <c r="G1078" s="10">
        <f>IF(CALL_LOOKUP_BOARD!Z294=0,"",INDEX($G$811:$G$1055,CALL_LOOKUP_BOARD!Z294-811+1))</f>
        <v>1.0</v>
      </c>
      <c r="H1078" s="10">
        <f>IF(CALL_LOOKUP_BOARD!Z294=0,"",INDEX($H$811:$H$1055,CALL_LOOKUP_BOARD!Z294-811+1))</f>
        <v>0.0</v>
      </c>
      <c r="I1078" s="8" t="str">
        <f>CALL_LOOKUP_BOARD!I294</f>
        <v>LOW</v>
      </c>
      <c r="J1078" s="11">
        <f>CALL_LOOKUP_BOARD!H294</f>
        <v>48.3</v>
      </c>
      <c r="K1078" s="14" t="str">
        <f>CALL_LOOKUP_BOARD!J294</f>
        <v>Sample Watch • D&amp;D + Concept Match • Concept Proxy</v>
      </c>
      <c r="L1078" s="9" t="str">
        <f>CALL_LOOKUP_BOARD!K294</f>
        <v>Opponent exact-play alert only. No Defensive Exact-Play Sample. Metrics describe the confirmed concept; Sample watch; review clips and build the sample.</v>
      </c>
      <c r="M1078" s="8" t="s">
        <v>39</v>
      </c>
      <c r="P1078" s="8" t="str">
        <f>IF(CALL_LOOKUP_BOARD!L294="","",CALL_LOOKUP_BOARD!L294)</f>
        <v>INSIDE ZONE</v>
      </c>
      <c r="Q1078" s="8" t="s">
        <v>1474</v>
      </c>
      <c r="R1078" s="14" t="s">
        <v>2731</v>
      </c>
    </row>
    <row r="1079" spans="1:18" ht="50" customHeight="1">
      <c r="A1079" s="8" t="s">
        <v>2747</v>
      </c>
      <c r="B1079" s="8" t="str">
        <f>CALL_LOOKUP_BOARD!C295</f>
        <v>RAMBO</v>
      </c>
      <c r="C1079" s="12">
        <f>CALL_LOOKUP_BOARD!D295</f>
        <v>3</v>
      </c>
      <c r="D1079" s="10">
        <f>CALL_LOOKUP_BOARD!E295</f>
        <v>1.0</v>
      </c>
      <c r="E1079" s="10">
        <f>CALL_LOOKUP_BOARD!F295</f>
        <v>0.0</v>
      </c>
      <c r="F1079" s="11">
        <f>CALL_LOOKUP_BOARD!G295</f>
        <v>0.6666666666666666</v>
      </c>
      <c r="G1079" s="10">
        <f>IF(CALL_LOOKUP_BOARD!Z295=0,"",INDEX($G$811:$G$1055,CALL_LOOKUP_BOARD!Z295-811+1))</f>
        <v>0.0</v>
      </c>
      <c r="H1079" s="10">
        <f>IF(CALL_LOOKUP_BOARD!Z295=0,"",INDEX($H$811:$H$1055,CALL_LOOKUP_BOARD!Z295-811+1))</f>
        <v>1.0</v>
      </c>
      <c r="I1079" s="8" t="str">
        <f>CALL_LOOKUP_BOARD!I295</f>
        <v>LOW</v>
      </c>
      <c r="J1079" s="11">
        <f>CALL_LOOKUP_BOARD!H295</f>
        <v>99.3</v>
      </c>
      <c r="K1079" s="14" t="str">
        <f>CALL_LOOKUP_BOARD!J295</f>
        <v>Sample Watch • D&amp;D + Concept Match • Concept Proxy</v>
      </c>
      <c r="L1079" s="9" t="str">
        <f>CALL_LOOKUP_BOARD!K295</f>
        <v>Opponent exact-play alert only. No Defensive Exact-Play Sample. Metrics describe the confirmed concept; Good signal, but sample is limited.</v>
      </c>
      <c r="M1079" s="8" t="s">
        <v>39</v>
      </c>
      <c r="P1079" s="8" t="str">
        <f>IF(CALL_LOOKUP_BOARD!L295="","",CALL_LOOKUP_BOARD!L295)</f>
        <v>5 STEP</v>
      </c>
      <c r="Q1079" s="8" t="s">
        <v>1499</v>
      </c>
      <c r="R1079" s="14" t="s">
        <v>2731</v>
      </c>
    </row>
    <row r="1080" spans="1:18" ht="50" customHeight="1">
      <c r="A1080" s="8" t="s">
        <v>2748</v>
      </c>
      <c r="B1080" s="8" t="str">
        <f>CALL_LOOKUP_BOARD!C296</f>
        <v>RAMBO</v>
      </c>
      <c r="C1080" s="12">
        <f>CALL_LOOKUP_BOARD!D296</f>
        <v>3</v>
      </c>
      <c r="D1080" s="10">
        <f>CALL_LOOKUP_BOARD!E296</f>
        <v>1.0</v>
      </c>
      <c r="E1080" s="10">
        <f>CALL_LOOKUP_BOARD!F296</f>
        <v>0.0</v>
      </c>
      <c r="F1080" s="11">
        <f>CALL_LOOKUP_BOARD!G296</f>
        <v>0.6666666666666666</v>
      </c>
      <c r="G1080" s="10">
        <f>IF(CALL_LOOKUP_BOARD!Z296=0,"",INDEX($G$811:$G$1055,CALL_LOOKUP_BOARD!Z296-811+1))</f>
        <v>0.0</v>
      </c>
      <c r="H1080" s="10">
        <f>IF(CALL_LOOKUP_BOARD!Z296=0,"",INDEX($H$811:$H$1055,CALL_LOOKUP_BOARD!Z296-811+1))</f>
        <v>1.0</v>
      </c>
      <c r="I1080" s="8" t="str">
        <f>CALL_LOOKUP_BOARD!I296</f>
        <v>LOW</v>
      </c>
      <c r="J1080" s="11">
        <f>CALL_LOOKUP_BOARD!H296</f>
        <v>99.3</v>
      </c>
      <c r="K1080" s="14" t="str">
        <f>CALL_LOOKUP_BOARD!J296</f>
        <v>Sample Watch • D&amp;D + Concept Match • Concept Proxy</v>
      </c>
      <c r="L1080" s="9" t="str">
        <f>CALL_LOOKUP_BOARD!K296</f>
        <v>Opponent exact-play alert only. No Defensive Exact-Play Sample. Metrics describe the confirmed concept; Good signal, but sample is limited.</v>
      </c>
      <c r="M1080" s="8" t="s">
        <v>39</v>
      </c>
      <c r="P1080" s="8" t="str">
        <f>IF(CALL_LOOKUP_BOARD!L296="","",CALL_LOOKUP_BOARD!L296)</f>
        <v>5 STEP</v>
      </c>
      <c r="Q1080" s="8" t="s">
        <v>1481</v>
      </c>
      <c r="R1080" s="14" t="s">
        <v>2731</v>
      </c>
    </row>
    <row r="1081" spans="1:18" ht="50" customHeight="1">
      <c r="A1081" s="8" t="s">
        <v>2749</v>
      </c>
      <c r="B1081" s="8" t="str">
        <f>CALL_LOOKUP_BOARD!C297</f>
        <v>Film Review Required</v>
      </c>
      <c r="C1081" s="12">
        <f>CALL_LOOKUP_BOARD!D297</f>
        <v/>
      </c>
      <c r="D1081" s="10">
        <f>CALL_LOOKUP_BOARD!E297</f>
        <v/>
      </c>
      <c r="E1081" s="10">
        <f>CALL_LOOKUP_BOARD!F297</f>
        <v/>
      </c>
      <c r="F1081" s="11">
        <f>CALL_LOOKUP_BOARD!G297</f>
        <v/>
      </c>
      <c r="G1081" s="10">
        <f>IF(CALL_LOOKUP_BOARD!Z297=0,"",INDEX($G$811:$G$1055,CALL_LOOKUP_BOARD!Z297-811+1))</f>
        <v/>
      </c>
      <c r="H1081" s="10">
        <f>IF(CALL_LOOKUP_BOARD!Z297=0,"",INDEX($H$811:$H$1055,CALL_LOOKUP_BOARD!Z297-811+1))</f>
        <v/>
      </c>
      <c r="I1081" s="8">
        <f>CALL_LOOKUP_BOARD!I297</f>
        <v/>
      </c>
      <c r="J1081" s="11">
        <f>CALL_LOOKUP_BOARD!H297</f>
        <v/>
      </c>
      <c r="K1081" s="14" t="str">
        <f>CALL_LOOKUP_BOARD!J297</f>
        <v>Film Review Required</v>
      </c>
      <c r="L1081" s="9" t="str">
        <f>CALL_LOOKUP_BOARD!K297</f>
        <v>Opponent exact-play alert only. No Defensive Exact-Play Sample. Confirm concept mapping and review film before treating this as a defensive candidate.</v>
      </c>
      <c r="M1081" s="8" t="s">
        <v>39</v>
      </c>
      <c r="P1081" s="8" t="str">
        <f>IF(CALL_LOOKUP_BOARD!L297="","",CALL_LOOKUP_BOARD!L297)</f>
        <v>SOP</v>
      </c>
      <c r="Q1081" s="8" t="s">
        <v>1469</v>
      </c>
      <c r="R1081" s="14" t="s">
        <v>2731</v>
      </c>
    </row>
    <row r="1082" spans="1:18" ht="50" customHeight="1">
      <c r="A1082" s="8" t="s">
        <v>2750</v>
      </c>
      <c r="B1082" s="8" t="str">
        <f>CALL_LOOKUP_BOARD!C298</f>
        <v>BOURBON</v>
      </c>
      <c r="C1082" s="12">
        <f>CALL_LOOKUP_BOARD!D298</f>
        <v>1</v>
      </c>
      <c r="D1082" s="10">
        <f>CALL_LOOKUP_BOARD!E298</f>
        <v>1.0</v>
      </c>
      <c r="E1082" s="10">
        <f>CALL_LOOKUP_BOARD!F298</f>
        <v>0.0</v>
      </c>
      <c r="F1082" s="11">
        <f>CALL_LOOKUP_BOARD!G298</f>
        <v>0.0</v>
      </c>
      <c r="G1082" s="10">
        <f>IF(CALL_LOOKUP_BOARD!Z298=0,"",INDEX($G$811:$G$1055,CALL_LOOKUP_BOARD!Z298-811+1))</f>
        <v>0.0</v>
      </c>
      <c r="H1082" s="10">
        <f>IF(CALL_LOOKUP_BOARD!Z298=0,"",INDEX($H$811:$H$1055,CALL_LOOKUP_BOARD!Z298-811+1))</f>
        <v>1.0</v>
      </c>
      <c r="I1082" s="8" t="str">
        <f>CALL_LOOKUP_BOARD!I298</f>
        <v>TRACK</v>
      </c>
      <c r="J1082" s="11">
        <f>CALL_LOOKUP_BOARD!H298</f>
        <v>100.0</v>
      </c>
      <c r="K1082" s="14" t="str">
        <f>CALL_LOOKUP_BOARD!J298</f>
        <v>Sample Watch • D&amp;D + Concept Match • Concept Proxy</v>
      </c>
      <c r="L1082" s="9" t="str">
        <f>CALL_LOOKUP_BOARD!K298</f>
        <v>Opponent exact-play alert only. No Defensive Exact-Play Sample. Metrics describe the confirmed concept; Track only; not enough sample.</v>
      </c>
      <c r="M1082" s="8" t="s">
        <v>39</v>
      </c>
      <c r="P1082" s="8" t="str">
        <f>IF(CALL_LOOKUP_BOARD!L298="","",CALL_LOOKUP_BOARD!L298)</f>
        <v>SCREEN</v>
      </c>
      <c r="Q1082" s="8" t="s">
        <v>819</v>
      </c>
      <c r="R1082" s="14" t="s">
        <v>2731</v>
      </c>
    </row>
    <row r="1083" spans="1:18" ht="50" customHeight="1">
      <c r="A1083" s="8" t="s">
        <v>2751</v>
      </c>
      <c r="B1083" s="8" t="str">
        <f>CALL_LOOKUP_BOARD!C299</f>
        <v>Film Review Required</v>
      </c>
      <c r="C1083" s="12">
        <f>CALL_LOOKUP_BOARD!D299</f>
        <v/>
      </c>
      <c r="D1083" s="10">
        <f>CALL_LOOKUP_BOARD!E299</f>
        <v/>
      </c>
      <c r="E1083" s="10">
        <f>CALL_LOOKUP_BOARD!F299</f>
        <v/>
      </c>
      <c r="F1083" s="11">
        <f>CALL_LOOKUP_BOARD!G299</f>
        <v/>
      </c>
      <c r="G1083" s="10">
        <f>IF(CALL_LOOKUP_BOARD!Z299=0,"",INDEX($G$811:$G$1055,CALL_LOOKUP_BOARD!Z299-811+1))</f>
        <v/>
      </c>
      <c r="H1083" s="10">
        <f>IF(CALL_LOOKUP_BOARD!Z299=0,"",INDEX($H$811:$H$1055,CALL_LOOKUP_BOARD!Z299-811+1))</f>
        <v/>
      </c>
      <c r="I1083" s="8">
        <f>CALL_LOOKUP_BOARD!I299</f>
        <v/>
      </c>
      <c r="J1083" s="11">
        <f>CALL_LOOKUP_BOARD!H299</f>
        <v/>
      </c>
      <c r="K1083" s="14" t="str">
        <f>CALL_LOOKUP_BOARD!J299</f>
        <v>Film Review Required</v>
      </c>
      <c r="L1083" s="9" t="str">
        <f>CALL_LOOKUP_BOARD!K299</f>
        <v>Opponent exact-play alert only. No Defensive Exact-Play Sample. Confirm concept mapping and review film before treating this as a defensive candidate.</v>
      </c>
      <c r="M1083" s="8" t="s">
        <v>39</v>
      </c>
      <c r="P1083" s="8">
        <f>IF(CALL_LOOKUP_BOARD!L299="","",CALL_LOOKUP_BOARD!L299)</f>
        <v/>
      </c>
      <c r="Q1083" s="8" t="s">
        <v>1494</v>
      </c>
      <c r="R1083" s="14" t="s">
        <v>2731</v>
      </c>
    </row>
    <row r="1084" spans="1:18" ht="50" customHeight="1">
      <c r="A1084" s="8" t="s">
        <v>2752</v>
      </c>
      <c r="B1084" s="8" t="str">
        <f>CALL_LOOKUP_BOARD!C300</f>
        <v>KNIFE</v>
      </c>
      <c r="C1084" s="12">
        <f>CALL_LOOKUP_BOARD!D300</f>
        <v>3</v>
      </c>
      <c r="D1084" s="10">
        <f>CALL_LOOKUP_BOARD!E300</f>
        <v>0.3333333333333333</v>
      </c>
      <c r="E1084" s="10">
        <f>CALL_LOOKUP_BOARD!F300</f>
        <v>0.0</v>
      </c>
      <c r="F1084" s="11">
        <f>CALL_LOOKUP_BOARD!G300</f>
        <v>5.0</v>
      </c>
      <c r="G1084" s="10">
        <f>IF(CALL_LOOKUP_BOARD!Z300=0,"",INDEX($G$811:$G$1055,CALL_LOOKUP_BOARD!Z300-811+1))</f>
        <v>1.0</v>
      </c>
      <c r="H1084" s="10">
        <f>IF(CALL_LOOKUP_BOARD!Z300=0,"",INDEX($H$811:$H$1055,CALL_LOOKUP_BOARD!Z300-811+1))</f>
        <v>0.0</v>
      </c>
      <c r="I1084" s="8" t="str">
        <f>CALL_LOOKUP_BOARD!I300</f>
        <v>LOW</v>
      </c>
      <c r="J1084" s="11">
        <f>CALL_LOOKUP_BOARD!H300</f>
        <v>48.3</v>
      </c>
      <c r="K1084" s="14" t="str">
        <f>CALL_LOOKUP_BOARD!J300</f>
        <v>Sample Watch • D&amp;D + Concept Match • Concept Proxy</v>
      </c>
      <c r="L1084" s="9" t="str">
        <f>CALL_LOOKUP_BOARD!K300</f>
        <v>Opponent exact-play alert only. No Defensive Exact-Play Sample. Metrics describe the confirmed concept; Sample watch; review clips and build the sample.</v>
      </c>
      <c r="M1084" s="8" t="s">
        <v>39</v>
      </c>
      <c r="P1084" s="8" t="str">
        <f>IF(CALL_LOOKUP_BOARD!L300="","",CALL_LOOKUP_BOARD!L300)</f>
        <v>INSIDE ZONE</v>
      </c>
      <c r="Q1084" s="8" t="s">
        <v>1420</v>
      </c>
      <c r="R1084" s="14" t="s">
        <v>2731</v>
      </c>
    </row>
    <row r="1085" spans="1:18" ht="50" customHeight="1">
      <c r="A1085" s="8" t="s">
        <v>2753</v>
      </c>
      <c r="B1085" s="8" t="str">
        <f>CALL_LOOKUP_BOARD!C301</f>
        <v>KNIFE</v>
      </c>
      <c r="C1085" s="12">
        <f>CALL_LOOKUP_BOARD!D301</f>
        <v>3</v>
      </c>
      <c r="D1085" s="10">
        <f>CALL_LOOKUP_BOARD!E301</f>
        <v>0.3333333333333333</v>
      </c>
      <c r="E1085" s="10">
        <f>CALL_LOOKUP_BOARD!F301</f>
        <v>0.0</v>
      </c>
      <c r="F1085" s="11">
        <f>CALL_LOOKUP_BOARD!G301</f>
        <v>5.0</v>
      </c>
      <c r="G1085" s="10">
        <f>IF(CALL_LOOKUP_BOARD!Z301=0,"",INDEX($G$811:$G$1055,CALL_LOOKUP_BOARD!Z301-811+1))</f>
        <v>1.0</v>
      </c>
      <c r="H1085" s="10">
        <f>IF(CALL_LOOKUP_BOARD!Z301=0,"",INDEX($H$811:$H$1055,CALL_LOOKUP_BOARD!Z301-811+1))</f>
        <v>0.0</v>
      </c>
      <c r="I1085" s="8" t="str">
        <f>CALL_LOOKUP_BOARD!I301</f>
        <v>LOW</v>
      </c>
      <c r="J1085" s="11">
        <f>CALL_LOOKUP_BOARD!H301</f>
        <v>48.3</v>
      </c>
      <c r="K1085" s="14" t="str">
        <f>CALL_LOOKUP_BOARD!J301</f>
        <v>Sample Watch • D&amp;D + Concept Match • Concept Proxy</v>
      </c>
      <c r="L1085" s="9" t="str">
        <f>CALL_LOOKUP_BOARD!K301</f>
        <v>Opponent exact-play alert only. No Defensive Exact-Play Sample. Metrics describe the confirmed concept; Sample watch; review clips and build the sample.</v>
      </c>
      <c r="M1085" s="8" t="s">
        <v>39</v>
      </c>
      <c r="P1085" s="8" t="str">
        <f>IF(CALL_LOOKUP_BOARD!L301="","",CALL_LOOKUP_BOARD!L301)</f>
        <v>INSIDE ZONE</v>
      </c>
      <c r="Q1085" s="8" t="s">
        <v>823</v>
      </c>
      <c r="R1085" s="14" t="s">
        <v>2731</v>
      </c>
    </row>
    <row r="1086" spans="1:18" ht="50" customHeight="1">
      <c r="A1086" s="8" t="s">
        <v>2754</v>
      </c>
      <c r="B1086" s="8" t="str">
        <f>CALL_LOOKUP_BOARD!C302</f>
        <v>Film Review Required</v>
      </c>
      <c r="C1086" s="12">
        <f>CALL_LOOKUP_BOARD!D302</f>
        <v/>
      </c>
      <c r="D1086" s="10">
        <f>CALL_LOOKUP_BOARD!E302</f>
        <v/>
      </c>
      <c r="E1086" s="10">
        <f>CALL_LOOKUP_BOARD!F302</f>
        <v/>
      </c>
      <c r="F1086" s="11">
        <f>CALL_LOOKUP_BOARD!G302</f>
        <v/>
      </c>
      <c r="G1086" s="10">
        <f>IF(CALL_LOOKUP_BOARD!Z302=0,"",INDEX($G$811:$G$1055,CALL_LOOKUP_BOARD!Z302-811+1))</f>
        <v/>
      </c>
      <c r="H1086" s="10">
        <f>IF(CALL_LOOKUP_BOARD!Z302=0,"",INDEX($H$811:$H$1055,CALL_LOOKUP_BOARD!Z302-811+1))</f>
        <v/>
      </c>
      <c r="I1086" s="8">
        <f>CALL_LOOKUP_BOARD!I302</f>
        <v/>
      </c>
      <c r="J1086" s="11">
        <f>CALL_LOOKUP_BOARD!H302</f>
        <v/>
      </c>
      <c r="K1086" s="14" t="str">
        <f>CALL_LOOKUP_BOARD!J302</f>
        <v>Film Review Required</v>
      </c>
      <c r="L1086" s="9" t="str">
        <f>CALL_LOOKUP_BOARD!K302</f>
        <v>Opponent exact-play alert only. No Defensive Exact-Play Sample. Confirm concept mapping and review film before treating this as a defensive candidate.</v>
      </c>
      <c r="M1086" s="8" t="s">
        <v>39</v>
      </c>
      <c r="P1086" s="8">
        <f>IF(CALL_LOOKUP_BOARD!L302="","",CALL_LOOKUP_BOARD!L302)</f>
        <v/>
      </c>
      <c r="Q1086" s="8" t="s">
        <v>816</v>
      </c>
      <c r="R1086" s="14" t="s">
        <v>2731</v>
      </c>
    </row>
    <row r="1087" spans="1:18" ht="50" customHeight="1">
      <c r="A1087" s="8" t="s">
        <v>2755</v>
      </c>
      <c r="B1087" s="8" t="str">
        <f>CALL_LOOKUP_BOARD!C303</f>
        <v>Film Review Required</v>
      </c>
      <c r="C1087" s="12">
        <f>CALL_LOOKUP_BOARD!D303</f>
        <v/>
      </c>
      <c r="D1087" s="10">
        <f>CALL_LOOKUP_BOARD!E303</f>
        <v/>
      </c>
      <c r="E1087" s="10">
        <f>CALL_LOOKUP_BOARD!F303</f>
        <v/>
      </c>
      <c r="F1087" s="11">
        <f>CALL_LOOKUP_BOARD!G303</f>
        <v/>
      </c>
      <c r="G1087" s="10">
        <f>IF(CALL_LOOKUP_BOARD!Z303=0,"",INDEX($G$811:$G$1055,CALL_LOOKUP_BOARD!Z303-811+1))</f>
        <v/>
      </c>
      <c r="H1087" s="10">
        <f>IF(CALL_LOOKUP_BOARD!Z303=0,"",INDEX($H$811:$H$1055,CALL_LOOKUP_BOARD!Z303-811+1))</f>
        <v/>
      </c>
      <c r="I1087" s="8">
        <f>CALL_LOOKUP_BOARD!I303</f>
        <v/>
      </c>
      <c r="J1087" s="11">
        <f>CALL_LOOKUP_BOARD!H303</f>
        <v/>
      </c>
      <c r="K1087" s="14" t="str">
        <f>CALL_LOOKUP_BOARD!J303</f>
        <v>Film Review Required</v>
      </c>
      <c r="L1087" s="9" t="str">
        <f>CALL_LOOKUP_BOARD!K303</f>
        <v>Opponent exact-play alert only. No Defensive Exact-Play Sample. Confirm concept mapping and review film before treating this as a defensive candidate.</v>
      </c>
      <c r="M1087" s="8" t="s">
        <v>39</v>
      </c>
      <c r="P1087" s="8" t="str">
        <f>IF(CALL_LOOKUP_BOARD!L303="","",CALL_LOOKUP_BOARD!L303)</f>
        <v>OPTION</v>
      </c>
      <c r="Q1087" s="8" t="s">
        <v>1422</v>
      </c>
      <c r="R1087" s="14" t="s">
        <v>2731</v>
      </c>
    </row>
    <row r="1088" spans="1:18" ht="50" customHeight="1">
      <c r="A1088" s="8" t="s">
        <v>2756</v>
      </c>
      <c r="B1088" s="8" t="str">
        <f>CALL_LOOKUP_BOARD!C304</f>
        <v>CAPTAIN</v>
      </c>
      <c r="C1088" s="12">
        <f>CALL_LOOKUP_BOARD!D304</f>
        <v>1</v>
      </c>
      <c r="D1088" s="10">
        <f>CALL_LOOKUP_BOARD!E304</f>
        <v>1.0</v>
      </c>
      <c r="E1088" s="10">
        <f>CALL_LOOKUP_BOARD!F304</f>
        <v>0.0</v>
      </c>
      <c r="F1088" s="11">
        <f>CALL_LOOKUP_BOARD!G304</f>
        <v>0.0</v>
      </c>
      <c r="G1088" s="10">
        <f>IF(CALL_LOOKUP_BOARD!Z304=0,"",INDEX($G$811:$G$1055,CALL_LOOKUP_BOARD!Z304-811+1))</f>
        <v>0.0</v>
      </c>
      <c r="H1088" s="10">
        <f>IF(CALL_LOOKUP_BOARD!Z304=0,"",INDEX($H$811:$H$1055,CALL_LOOKUP_BOARD!Z304-811+1))</f>
        <v>1.0</v>
      </c>
      <c r="I1088" s="8" t="str">
        <f>CALL_LOOKUP_BOARD!I304</f>
        <v>TRACK</v>
      </c>
      <c r="J1088" s="11">
        <f>CALL_LOOKUP_BOARD!H304</f>
        <v>100.0</v>
      </c>
      <c r="K1088" s="14" t="str">
        <f>CALL_LOOKUP_BOARD!J304</f>
        <v>Sample Watch • D&amp;D + Concept Match • Concept Proxy</v>
      </c>
      <c r="L1088" s="9" t="str">
        <f>CALL_LOOKUP_BOARD!K304</f>
        <v>Opponent exact-play alert only. No Defensive Exact-Play Sample. Metrics describe the confirmed concept; Track only; not enough sample.</v>
      </c>
      <c r="M1088" s="8" t="s">
        <v>70</v>
      </c>
      <c r="P1088" s="8" t="str">
        <f>IF(CALL_LOOKUP_BOARD!L304="","",CALL_LOOKUP_BOARD!L304)</f>
        <v>PAP</v>
      </c>
      <c r="Q1088" s="8" t="s">
        <v>1431</v>
      </c>
      <c r="R1088" s="14" t="s">
        <v>2731</v>
      </c>
    </row>
    <row r="1089" spans="1:18" ht="50" customHeight="1">
      <c r="A1089" s="8" t="s">
        <v>2757</v>
      </c>
      <c r="B1089" s="8" t="str">
        <f>CALL_LOOKUP_BOARD!C305</f>
        <v>Film Review Required</v>
      </c>
      <c r="C1089" s="12">
        <f>CALL_LOOKUP_BOARD!D305</f>
        <v/>
      </c>
      <c r="D1089" s="10">
        <f>CALL_LOOKUP_BOARD!E305</f>
        <v/>
      </c>
      <c r="E1089" s="10">
        <f>CALL_LOOKUP_BOARD!F305</f>
        <v/>
      </c>
      <c r="F1089" s="11">
        <f>CALL_LOOKUP_BOARD!G305</f>
        <v/>
      </c>
      <c r="G1089" s="10">
        <f>IF(CALL_LOOKUP_BOARD!Z305=0,"",INDEX($G$811:$G$1055,CALL_LOOKUP_BOARD!Z305-811+1))</f>
        <v/>
      </c>
      <c r="H1089" s="10">
        <f>IF(CALL_LOOKUP_BOARD!Z305=0,"",INDEX($H$811:$H$1055,CALL_LOOKUP_BOARD!Z305-811+1))</f>
        <v/>
      </c>
      <c r="I1089" s="8">
        <f>CALL_LOOKUP_BOARD!I305</f>
        <v/>
      </c>
      <c r="J1089" s="11">
        <f>CALL_LOOKUP_BOARD!H305</f>
        <v/>
      </c>
      <c r="K1089" s="14" t="str">
        <f>CALL_LOOKUP_BOARD!J305</f>
        <v>Film Review Required</v>
      </c>
      <c r="L1089" s="9" t="str">
        <f>CALL_LOOKUP_BOARD!K305</f>
        <v>Opponent exact-play alert only. No Defensive Exact-Play Sample. Confirm concept mapping and review film before treating this as a defensive candidate.</v>
      </c>
      <c r="M1089" s="8" t="s">
        <v>70</v>
      </c>
      <c r="P1089" s="8" t="str">
        <f>IF(CALL_LOOKUP_BOARD!L305="","",CALL_LOOKUP_BOARD!L305)</f>
        <v>OPTION</v>
      </c>
      <c r="Q1089" s="8" t="s">
        <v>1533</v>
      </c>
      <c r="R1089" s="14" t="s">
        <v>2731</v>
      </c>
    </row>
    <row r="1090" spans="1:18" ht="50" customHeight="1">
      <c r="A1090" s="8" t="s">
        <v>2758</v>
      </c>
      <c r="B1090" s="8" t="str">
        <f>CALL_LOOKUP_BOARD!C306</f>
        <v>MIX TEX</v>
      </c>
      <c r="C1090" s="12">
        <f>CALL_LOOKUP_BOARD!D306</f>
        <v>1</v>
      </c>
      <c r="D1090" s="10">
        <f>CALL_LOOKUP_BOARD!E306</f>
        <v>0.0</v>
      </c>
      <c r="E1090" s="10">
        <f>CALL_LOOKUP_BOARD!F306</f>
        <v>0.0</v>
      </c>
      <c r="F1090" s="11">
        <f>CALL_LOOKUP_BOARD!G306</f>
        <v>9.0</v>
      </c>
      <c r="G1090" s="10">
        <f>IF(CALL_LOOKUP_BOARD!Z306=0,"",INDEX($G$811:$G$1055,CALL_LOOKUP_BOARD!Z306-811+1))</f>
        <v>0.0</v>
      </c>
      <c r="H1090" s="10">
        <f>IF(CALL_LOOKUP_BOARD!Z306=0,"",INDEX($H$811:$H$1055,CALL_LOOKUP_BOARD!Z306-811+1))</f>
        <v>1.0</v>
      </c>
      <c r="I1090" s="8" t="str">
        <f>CALL_LOOKUP_BOARD!I306</f>
        <v>TRACK</v>
      </c>
      <c r="J1090" s="11">
        <f>CALL_LOOKUP_BOARD!H306</f>
        <v>21.0</v>
      </c>
      <c r="K1090" s="14" t="str">
        <f>CALL_LOOKUP_BOARD!J306</f>
        <v>Sample Watch • D&amp;D + Concept Match • Concept Proxy</v>
      </c>
      <c r="L1090" s="9" t="str">
        <f>CALL_LOOKUP_BOARD!K306</f>
        <v>Opponent exact-play alert only. No Defensive Exact-Play Sample. Metrics describe the confirmed concept; Track only; not enough sample.</v>
      </c>
      <c r="M1090" s="8" t="s">
        <v>70</v>
      </c>
      <c r="P1090" s="8" t="str">
        <f>IF(CALL_LOOKUP_BOARD!L306="","",CALL_LOOKUP_BOARD!L306)</f>
        <v>5 STEP</v>
      </c>
      <c r="Q1090" s="8" t="s">
        <v>1416</v>
      </c>
      <c r="R1090" s="14" t="s">
        <v>2731</v>
      </c>
    </row>
    <row r="1091" spans="1:18" ht="50" customHeight="1">
      <c r="A1091" s="8" t="s">
        <v>2759</v>
      </c>
      <c r="B1091" s="8" t="str">
        <f>CALL_LOOKUP_BOARD!C307</f>
        <v>MIX TEX</v>
      </c>
      <c r="C1091" s="12">
        <f>CALL_LOOKUP_BOARD!D307</f>
        <v>1</v>
      </c>
      <c r="D1091" s="10">
        <f>CALL_LOOKUP_BOARD!E307</f>
        <v>0.0</v>
      </c>
      <c r="E1091" s="10">
        <f>CALL_LOOKUP_BOARD!F307</f>
        <v>0.0</v>
      </c>
      <c r="F1091" s="11">
        <f>CALL_LOOKUP_BOARD!G307</f>
        <v>9.0</v>
      </c>
      <c r="G1091" s="10">
        <f>IF(CALL_LOOKUP_BOARD!Z307=0,"",INDEX($G$811:$G$1055,CALL_LOOKUP_BOARD!Z307-811+1))</f>
        <v>0.0</v>
      </c>
      <c r="H1091" s="10">
        <f>IF(CALL_LOOKUP_BOARD!Z307=0,"",INDEX($H$811:$H$1055,CALL_LOOKUP_BOARD!Z307-811+1))</f>
        <v>1.0</v>
      </c>
      <c r="I1091" s="8" t="str">
        <f>CALL_LOOKUP_BOARD!I307</f>
        <v>TRACK</v>
      </c>
      <c r="J1091" s="11">
        <f>CALL_LOOKUP_BOARD!H307</f>
        <v>21.0</v>
      </c>
      <c r="K1091" s="14" t="str">
        <f>CALL_LOOKUP_BOARD!J307</f>
        <v>Sample Watch • D&amp;D + Concept Match • Concept Proxy</v>
      </c>
      <c r="L1091" s="9" t="str">
        <f>CALL_LOOKUP_BOARD!K307</f>
        <v>Opponent exact-play alert only. No Defensive Exact-Play Sample. Metrics describe the confirmed concept; Track only; not enough sample.</v>
      </c>
      <c r="M1091" s="8" t="s">
        <v>70</v>
      </c>
      <c r="P1091" s="8" t="str">
        <f>IF(CALL_LOOKUP_BOARD!L307="","",CALL_LOOKUP_BOARD!L307)</f>
        <v>5 STEP</v>
      </c>
      <c r="Q1091" s="8" t="s">
        <v>1536</v>
      </c>
      <c r="R1091" s="14" t="s">
        <v>2731</v>
      </c>
    </row>
    <row r="1092" spans="1:18" ht="50" customHeight="1">
      <c r="A1092" s="8" t="s">
        <v>2760</v>
      </c>
      <c r="B1092" s="8" t="str">
        <f>CALL_LOOKUP_BOARD!C308</f>
        <v>OX</v>
      </c>
      <c r="C1092" s="12">
        <f>CALL_LOOKUP_BOARD!D308</f>
        <v>1</v>
      </c>
      <c r="D1092" s="10">
        <f>CALL_LOOKUP_BOARD!E308</f>
        <v>1.0</v>
      </c>
      <c r="E1092" s="10">
        <f>CALL_LOOKUP_BOARD!F308</f>
        <v>0.0</v>
      </c>
      <c r="F1092" s="11">
        <f>CALL_LOOKUP_BOARD!G308</f>
        <v>-2.0</v>
      </c>
      <c r="G1092" s="10">
        <f>IF(CALL_LOOKUP_BOARD!Z308=0,"",INDEX($G$811:$G$1055,CALL_LOOKUP_BOARD!Z308-811+1))</f>
        <v>1.0</v>
      </c>
      <c r="H1092" s="10">
        <f>IF(CALL_LOOKUP_BOARD!Z308=0,"",INDEX($H$811:$H$1055,CALL_LOOKUP_BOARD!Z308-811+1))</f>
        <v>0.0</v>
      </c>
      <c r="I1092" s="8" t="str">
        <f>CALL_LOOKUP_BOARD!I308</f>
        <v>TRACK</v>
      </c>
      <c r="J1092" s="11">
        <f>CALL_LOOKUP_BOARD!H308</f>
        <v>100.0</v>
      </c>
      <c r="K1092" s="14" t="str">
        <f>CALL_LOOKUP_BOARD!J308</f>
        <v>Sample Watch • D&amp;D + Concept Match • Concept Proxy</v>
      </c>
      <c r="L1092" s="9" t="str">
        <f>CALL_LOOKUP_BOARD!K308</f>
        <v>Opponent exact-play alert only. No Defensive Exact-Play Sample. Metrics describe the confirmed concept; Track only; not enough sample.</v>
      </c>
      <c r="M1092" s="8" t="s">
        <v>70</v>
      </c>
      <c r="P1092" s="8" t="str">
        <f>IF(CALL_LOOKUP_BOARD!L308="","",CALL_LOOKUP_BOARD!L308)</f>
        <v>INSIDE ZONE</v>
      </c>
      <c r="Q1092" s="8" t="s">
        <v>1558</v>
      </c>
      <c r="R1092" s="14" t="s">
        <v>2731</v>
      </c>
    </row>
    <row r="1093" spans="1:18" ht="50" customHeight="1">
      <c r="A1093" s="8" t="s">
        <v>2761</v>
      </c>
      <c r="B1093" s="8" t="str">
        <f>CALL_LOOKUP_BOARD!C309</f>
        <v>Film Review Required</v>
      </c>
      <c r="C1093" s="12">
        <f>CALL_LOOKUP_BOARD!D309</f>
        <v/>
      </c>
      <c r="D1093" s="10">
        <f>CALL_LOOKUP_BOARD!E309</f>
        <v/>
      </c>
      <c r="E1093" s="10">
        <f>CALL_LOOKUP_BOARD!F309</f>
        <v/>
      </c>
      <c r="F1093" s="11">
        <f>CALL_LOOKUP_BOARD!G309</f>
        <v/>
      </c>
      <c r="G1093" s="10">
        <f>IF(CALL_LOOKUP_BOARD!Z309=0,"",INDEX($G$811:$G$1055,CALL_LOOKUP_BOARD!Z309-811+1))</f>
        <v/>
      </c>
      <c r="H1093" s="10">
        <f>IF(CALL_LOOKUP_BOARD!Z309=0,"",INDEX($H$811:$H$1055,CALL_LOOKUP_BOARD!Z309-811+1))</f>
        <v/>
      </c>
      <c r="I1093" s="8">
        <f>CALL_LOOKUP_BOARD!I309</f>
        <v/>
      </c>
      <c r="J1093" s="11">
        <f>CALL_LOOKUP_BOARD!H309</f>
        <v/>
      </c>
      <c r="K1093" s="14" t="str">
        <f>CALL_LOOKUP_BOARD!J309</f>
        <v>Film Review Required</v>
      </c>
      <c r="L1093" s="9" t="str">
        <f>CALL_LOOKUP_BOARD!K309</f>
        <v>Opponent exact-play alert only. No Defensive Exact-Play Sample. Confirm concept mapping and review film before treating this as a defensive candidate.</v>
      </c>
      <c r="M1093" s="8" t="s">
        <v>70</v>
      </c>
      <c r="P1093" s="8">
        <f>IF(CALL_LOOKUP_BOARD!L309="","",CALL_LOOKUP_BOARD!L309)</f>
        <v/>
      </c>
      <c r="Q1093" s="8" t="s">
        <v>820</v>
      </c>
      <c r="R1093" s="14" t="s">
        <v>2731</v>
      </c>
    </row>
    <row r="1094" spans="1:18" ht="50" customHeight="1">
      <c r="A1094" s="8" t="s">
        <v>2762</v>
      </c>
      <c r="B1094" s="8" t="str">
        <f>CALL_LOOKUP_BOARD!C310</f>
        <v>OX</v>
      </c>
      <c r="C1094" s="12">
        <f>CALL_LOOKUP_BOARD!D310</f>
        <v>1</v>
      </c>
      <c r="D1094" s="10">
        <f>CALL_LOOKUP_BOARD!E310</f>
        <v>1.0</v>
      </c>
      <c r="E1094" s="10">
        <f>CALL_LOOKUP_BOARD!F310</f>
        <v>0.0</v>
      </c>
      <c r="F1094" s="11">
        <f>CALL_LOOKUP_BOARD!G310</f>
        <v>-2.0</v>
      </c>
      <c r="G1094" s="10">
        <f>IF(CALL_LOOKUP_BOARD!Z310=0,"",INDEX($G$811:$G$1055,CALL_LOOKUP_BOARD!Z310-811+1))</f>
        <v>1.0</v>
      </c>
      <c r="H1094" s="10">
        <f>IF(CALL_LOOKUP_BOARD!Z310=0,"",INDEX($H$811:$H$1055,CALL_LOOKUP_BOARD!Z310-811+1))</f>
        <v>0.0</v>
      </c>
      <c r="I1094" s="8" t="str">
        <f>CALL_LOOKUP_BOARD!I310</f>
        <v>TRACK</v>
      </c>
      <c r="J1094" s="11">
        <f>CALL_LOOKUP_BOARD!H310</f>
        <v>100.0</v>
      </c>
      <c r="K1094" s="14" t="str">
        <f>CALL_LOOKUP_BOARD!J310</f>
        <v>Sample Watch • D&amp;D + Concept Match • Concept Proxy</v>
      </c>
      <c r="L1094" s="9" t="str">
        <f>CALL_LOOKUP_BOARD!K310</f>
        <v>Opponent exact-play alert only. No Defensive Exact-Play Sample. Metrics describe the confirmed concept; Track only; not enough sample.</v>
      </c>
      <c r="M1094" s="8" t="s">
        <v>70</v>
      </c>
      <c r="P1094" s="8" t="str">
        <f>IF(CALL_LOOKUP_BOARD!L310="","",CALL_LOOKUP_BOARD!L310)</f>
        <v>INSIDE ZONE</v>
      </c>
      <c r="Q1094" s="8" t="s">
        <v>823</v>
      </c>
      <c r="R1094" s="14" t="s">
        <v>2731</v>
      </c>
    </row>
    <row r="1095" spans="1:18" ht="50" customHeight="1">
      <c r="A1095" s="8" t="s">
        <v>2763</v>
      </c>
      <c r="B1095" s="8" t="str">
        <f>CALL_LOOKUP_BOARD!C311</f>
        <v>Film Review Required</v>
      </c>
      <c r="C1095" s="12">
        <f>CALL_LOOKUP_BOARD!D311</f>
        <v/>
      </c>
      <c r="D1095" s="10">
        <f>CALL_LOOKUP_BOARD!E311</f>
        <v/>
      </c>
      <c r="E1095" s="10">
        <f>CALL_LOOKUP_BOARD!F311</f>
        <v/>
      </c>
      <c r="F1095" s="11">
        <f>CALL_LOOKUP_BOARD!G311</f>
        <v/>
      </c>
      <c r="G1095" s="10">
        <f>IF(CALL_LOOKUP_BOARD!Z311=0,"",INDEX($G$811:$G$1055,CALL_LOOKUP_BOARD!Z311-811+1))</f>
        <v/>
      </c>
      <c r="H1095" s="10">
        <f>IF(CALL_LOOKUP_BOARD!Z311=0,"",INDEX($H$811:$H$1055,CALL_LOOKUP_BOARD!Z311-811+1))</f>
        <v/>
      </c>
      <c r="I1095" s="8">
        <f>CALL_LOOKUP_BOARD!I311</f>
        <v/>
      </c>
      <c r="J1095" s="11">
        <f>CALL_LOOKUP_BOARD!H311</f>
        <v/>
      </c>
      <c r="K1095" s="14" t="str">
        <f>CALL_LOOKUP_BOARD!J311</f>
        <v>Film Review Required</v>
      </c>
      <c r="L1095" s="9" t="str">
        <f>CALL_LOOKUP_BOARD!K311</f>
        <v>Opponent exact-play alert only. No Defensive Exact-Play Sample. Confirm concept mapping and review film before treating this as a defensive candidate.</v>
      </c>
      <c r="M1095" s="8" t="s">
        <v>76</v>
      </c>
      <c r="P1095" s="8" t="str">
        <f>IF(CALL_LOOKUP_BOARD!L311="","",CALL_LOOKUP_BOARD!L311)</f>
        <v>G</v>
      </c>
      <c r="Q1095" s="8" t="s">
        <v>1503</v>
      </c>
      <c r="R1095" s="14" t="s">
        <v>2731</v>
      </c>
    </row>
    <row r="1096" spans="1:18" ht="50" customHeight="1">
      <c r="A1096" s="8" t="s">
        <v>2764</v>
      </c>
      <c r="B1096" s="8" t="str">
        <f>CALL_LOOKUP_BOARD!C312</f>
        <v>Film Review Required</v>
      </c>
      <c r="C1096" s="12">
        <f>CALL_LOOKUP_BOARD!D312</f>
        <v/>
      </c>
      <c r="D1096" s="10">
        <f>CALL_LOOKUP_BOARD!E312</f>
        <v/>
      </c>
      <c r="E1096" s="10">
        <f>CALL_LOOKUP_BOARD!F312</f>
        <v/>
      </c>
      <c r="F1096" s="11">
        <f>CALL_LOOKUP_BOARD!G312</f>
        <v/>
      </c>
      <c r="G1096" s="10">
        <f>IF(CALL_LOOKUP_BOARD!Z312=0,"",INDEX($G$811:$G$1055,CALL_LOOKUP_BOARD!Z312-811+1))</f>
        <v/>
      </c>
      <c r="H1096" s="10">
        <f>IF(CALL_LOOKUP_BOARD!Z312=0,"",INDEX($H$811:$H$1055,CALL_LOOKUP_BOARD!Z312-811+1))</f>
        <v/>
      </c>
      <c r="I1096" s="8">
        <f>CALL_LOOKUP_BOARD!I312</f>
        <v/>
      </c>
      <c r="J1096" s="11">
        <f>CALL_LOOKUP_BOARD!H312</f>
        <v/>
      </c>
      <c r="K1096" s="14" t="str">
        <f>CALL_LOOKUP_BOARD!J312</f>
        <v>Film Review Required</v>
      </c>
      <c r="L1096" s="9" t="str">
        <f>CALL_LOOKUP_BOARD!K312</f>
        <v>Opponent exact-play alert only. No Defensive Exact-Play Sample. Confirm concept mapping and review film before treating this as a defensive candidate.</v>
      </c>
      <c r="M1096" s="8" t="s">
        <v>76</v>
      </c>
      <c r="P1096" s="8" t="str">
        <f>IF(CALL_LOOKUP_BOARD!L312="","",CALL_LOOKUP_BOARD!L312)</f>
        <v>POWER</v>
      </c>
      <c r="Q1096" s="8" t="s">
        <v>1509</v>
      </c>
      <c r="R1096" s="14" t="s">
        <v>2731</v>
      </c>
    </row>
    <row r="1097" spans="1:18" ht="50" customHeight="1">
      <c r="A1097" s="8" t="s">
        <v>2765</v>
      </c>
      <c r="B1097" s="8" t="str">
        <f>CALL_LOOKUP_BOARD!C313</f>
        <v>Film Review Required</v>
      </c>
      <c r="C1097" s="12">
        <f>CALL_LOOKUP_BOARD!D313</f>
        <v/>
      </c>
      <c r="D1097" s="10">
        <f>CALL_LOOKUP_BOARD!E313</f>
        <v/>
      </c>
      <c r="E1097" s="10">
        <f>CALL_LOOKUP_BOARD!F313</f>
        <v/>
      </c>
      <c r="F1097" s="11">
        <f>CALL_LOOKUP_BOARD!G313</f>
        <v/>
      </c>
      <c r="G1097" s="10">
        <f>IF(CALL_LOOKUP_BOARD!Z313=0,"",INDEX($G$811:$G$1055,CALL_LOOKUP_BOARD!Z313-811+1))</f>
        <v/>
      </c>
      <c r="H1097" s="10">
        <f>IF(CALL_LOOKUP_BOARD!Z313=0,"",INDEX($H$811:$H$1055,CALL_LOOKUP_BOARD!Z313-811+1))</f>
        <v/>
      </c>
      <c r="I1097" s="8">
        <f>CALL_LOOKUP_BOARD!I313</f>
        <v/>
      </c>
      <c r="J1097" s="11">
        <f>CALL_LOOKUP_BOARD!H313</f>
        <v/>
      </c>
      <c r="K1097" s="14" t="str">
        <f>CALL_LOOKUP_BOARD!J313</f>
        <v>Film Review Required</v>
      </c>
      <c r="L1097" s="9" t="str">
        <f>CALL_LOOKUP_BOARD!K313</f>
        <v>Opponent exact-play alert only. No Defensive Exact-Play Sample. Confirm concept mapping and review film before treating this as a defensive candidate.</v>
      </c>
      <c r="M1097" s="8" t="s">
        <v>76</v>
      </c>
      <c r="P1097" s="8" t="str">
        <f>IF(CALL_LOOKUP_BOARD!L313="","",CALL_LOOKUP_BOARD!L313)</f>
        <v>SCREEN</v>
      </c>
      <c r="Q1097" s="8" t="s">
        <v>819</v>
      </c>
      <c r="R1097" s="14" t="s">
        <v>2731</v>
      </c>
    </row>
    <row r="1098" spans="1:18" ht="50" customHeight="1">
      <c r="A1098" s="8" t="s">
        <v>2766</v>
      </c>
      <c r="B1098" s="8" t="str">
        <f>CALL_LOOKUP_BOARD!C314</f>
        <v>HOUND KNIFE</v>
      </c>
      <c r="C1098" s="12">
        <f>CALL_LOOKUP_BOARD!D314</f>
        <v>1</v>
      </c>
      <c r="D1098" s="10">
        <f>CALL_LOOKUP_BOARD!E314</f>
        <v>0.0</v>
      </c>
      <c r="E1098" s="10">
        <f>CALL_LOOKUP_BOARD!F314</f>
        <v>1.0</v>
      </c>
      <c r="F1098" s="11">
        <f>CALL_LOOKUP_BOARD!G314</f>
        <v>15.0</v>
      </c>
      <c r="G1098" s="10">
        <f>IF(CALL_LOOKUP_BOARD!Z314=0,"",INDEX($G$811:$G$1055,CALL_LOOKUP_BOARD!Z314-811+1))</f>
        <v>0.0</v>
      </c>
      <c r="H1098" s="10">
        <f>IF(CALL_LOOKUP_BOARD!Z314=0,"",INDEX($H$811:$H$1055,CALL_LOOKUP_BOARD!Z314-811+1))</f>
        <v>1.0</v>
      </c>
      <c r="I1098" s="8" t="str">
        <f>CALL_LOOKUP_BOARD!I314</f>
        <v>TRACK</v>
      </c>
      <c r="J1098" s="11">
        <f>CALL_LOOKUP_BOARD!H314</f>
        <v>0.0</v>
      </c>
      <c r="K1098" s="14" t="str">
        <f>CALL_LOOKUP_BOARD!J314</f>
        <v>Sample Watch • D&amp;D + Concept Match • Concept Proxy</v>
      </c>
      <c r="L1098" s="9" t="str">
        <f>CALL_LOOKUP_BOARD!K314</f>
        <v>Opponent exact-play alert only. No Defensive Exact-Play Sample. Metrics describe the confirmed concept; Explosive risk; review clips before using as answer.</v>
      </c>
      <c r="M1098" s="8" t="s">
        <v>76</v>
      </c>
      <c r="P1098" s="8" t="str">
        <f>IF(CALL_LOOKUP_BOARD!L314="","",CALL_LOOKUP_BOARD!L314)</f>
        <v>3 STEP</v>
      </c>
      <c r="Q1098" s="8" t="s">
        <v>1530</v>
      </c>
      <c r="R1098" s="14" t="s">
        <v>2731</v>
      </c>
    </row>
    <row r="1099" spans="1:18" ht="50" customHeight="1">
      <c r="A1099" s="8" t="s">
        <v>2767</v>
      </c>
      <c r="B1099" s="8" t="str">
        <f>CALL_LOOKUP_BOARD!C315</f>
        <v>Film Review Required</v>
      </c>
      <c r="C1099" s="12">
        <f>CALL_LOOKUP_BOARD!D315</f>
        <v/>
      </c>
      <c r="D1099" s="10">
        <f>CALL_LOOKUP_BOARD!E315</f>
        <v/>
      </c>
      <c r="E1099" s="10">
        <f>CALL_LOOKUP_BOARD!F315</f>
        <v/>
      </c>
      <c r="F1099" s="11">
        <f>CALL_LOOKUP_BOARD!G315</f>
        <v/>
      </c>
      <c r="G1099" s="10">
        <f>IF(CALL_LOOKUP_BOARD!Z315=0,"",INDEX($G$811:$G$1055,CALL_LOOKUP_BOARD!Z315-811+1))</f>
        <v/>
      </c>
      <c r="H1099" s="10">
        <f>IF(CALL_LOOKUP_BOARD!Z315=0,"",INDEX($H$811:$H$1055,CALL_LOOKUP_BOARD!Z315-811+1))</f>
        <v/>
      </c>
      <c r="I1099" s="8">
        <f>CALL_LOOKUP_BOARD!I315</f>
        <v/>
      </c>
      <c r="J1099" s="11">
        <f>CALL_LOOKUP_BOARD!H315</f>
        <v/>
      </c>
      <c r="K1099" s="14" t="str">
        <f>CALL_LOOKUP_BOARD!J315</f>
        <v>Film Review Required</v>
      </c>
      <c r="L1099" s="9" t="str">
        <f>CALL_LOOKUP_BOARD!K315</f>
        <v>Opponent exact-play alert only. No Defensive Exact-Play Sample. Confirm concept mapping and review film before treating this as a defensive candidate.</v>
      </c>
      <c r="M1099" s="8" t="s">
        <v>76</v>
      </c>
      <c r="P1099" s="8">
        <f>IF(CALL_LOOKUP_BOARD!L315="","",CALL_LOOKUP_BOARD!L315)</f>
        <v/>
      </c>
      <c r="Q1099" s="8" t="s">
        <v>821</v>
      </c>
      <c r="R1099" s="14" t="s">
        <v>2731</v>
      </c>
    </row>
    <row r="1100" spans="1:18" ht="50" customHeight="1">
      <c r="A1100" s="8" t="s">
        <v>2768</v>
      </c>
      <c r="B1100" s="8" t="str">
        <f>CALL_LOOKUP_BOARD!C316</f>
        <v>SHINE BUC</v>
      </c>
      <c r="C1100" s="12">
        <f>CALL_LOOKUP_BOARD!D316</f>
        <v>2</v>
      </c>
      <c r="D1100" s="10">
        <f>CALL_LOOKUP_BOARD!E316</f>
        <v>0.0</v>
      </c>
      <c r="E1100" s="10">
        <f>CALL_LOOKUP_BOARD!F316</f>
        <v>0.0</v>
      </c>
      <c r="F1100" s="11">
        <f>CALL_LOOKUP_BOARD!G316</f>
        <v>6.5</v>
      </c>
      <c r="G1100" s="10">
        <f>IF(CALL_LOOKUP_BOARD!Z316=0,"",INDEX($G$811:$G$1055,CALL_LOOKUP_BOARD!Z316-811+1))</f>
        <v>1.0</v>
      </c>
      <c r="H1100" s="10">
        <f>IF(CALL_LOOKUP_BOARD!Z316=0,"",INDEX($H$811:$H$1055,CALL_LOOKUP_BOARD!Z316-811+1))</f>
        <v>0.0</v>
      </c>
      <c r="I1100" s="8" t="str">
        <f>CALL_LOOKUP_BOARD!I316</f>
        <v>TRACK</v>
      </c>
      <c r="J1100" s="11">
        <f>CALL_LOOKUP_BOARD!H316</f>
        <v>23.5</v>
      </c>
      <c r="K1100" s="14" t="str">
        <f>CALL_LOOKUP_BOARD!J316</f>
        <v>Sample Watch • D&amp;D + Concept Match • Concept Proxy</v>
      </c>
      <c r="L1100" s="9" t="str">
        <f>CALL_LOOKUP_BOARD!K316</f>
        <v>Opponent exact-play alert only. No Defensive Exact-Play Sample. Metrics describe the confirmed concept; Track only; not enough sample.</v>
      </c>
      <c r="M1100" s="8" t="s">
        <v>76</v>
      </c>
      <c r="P1100" s="8" t="str">
        <f>IF(CALL_LOOKUP_BOARD!L316="","",CALL_LOOKUP_BOARD!L316)</f>
        <v>INSIDE ZONE</v>
      </c>
      <c r="Q1100" s="8" t="s">
        <v>818</v>
      </c>
      <c r="R1100" s="14" t="s">
        <v>2731</v>
      </c>
    </row>
    <row r="1101" spans="1:18" ht="50" customHeight="1">
      <c r="A1101" s="8" t="s">
        <v>2769</v>
      </c>
      <c r="B1101" s="8" t="str">
        <f>CALL_LOOKUP_BOARD!C317</f>
        <v>SHINE BUC</v>
      </c>
      <c r="C1101" s="12">
        <f>CALL_LOOKUP_BOARD!D317</f>
        <v>2</v>
      </c>
      <c r="D1101" s="10">
        <f>CALL_LOOKUP_BOARD!E317</f>
        <v>0.0</v>
      </c>
      <c r="E1101" s="10">
        <f>CALL_LOOKUP_BOARD!F317</f>
        <v>0.0</v>
      </c>
      <c r="F1101" s="11">
        <f>CALL_LOOKUP_BOARD!G317</f>
        <v>6.5</v>
      </c>
      <c r="G1101" s="10">
        <f>IF(CALL_LOOKUP_BOARD!Z317=0,"",INDEX($G$811:$G$1055,CALL_LOOKUP_BOARD!Z317-811+1))</f>
        <v>1.0</v>
      </c>
      <c r="H1101" s="10">
        <f>IF(CALL_LOOKUP_BOARD!Z317=0,"",INDEX($H$811:$H$1055,CALL_LOOKUP_BOARD!Z317-811+1))</f>
        <v>0.0</v>
      </c>
      <c r="I1101" s="8" t="str">
        <f>CALL_LOOKUP_BOARD!I317</f>
        <v>TRACK</v>
      </c>
      <c r="J1101" s="11">
        <f>CALL_LOOKUP_BOARD!H317</f>
        <v>23.5</v>
      </c>
      <c r="K1101" s="14" t="str">
        <f>CALL_LOOKUP_BOARD!J317</f>
        <v>Sample Watch • D&amp;D + Concept Match • Concept Proxy</v>
      </c>
      <c r="L1101" s="9" t="str">
        <f>CALL_LOOKUP_BOARD!K317</f>
        <v>Opponent exact-play alert only. No Defensive Exact-Play Sample. Metrics describe the confirmed concept; Track only; not enough sample.</v>
      </c>
      <c r="M1101" s="8" t="s">
        <v>76</v>
      </c>
      <c r="P1101" s="8" t="str">
        <f>IF(CALL_LOOKUP_BOARD!L317="","",CALL_LOOKUP_BOARD!L317)</f>
        <v>INSIDE ZONE</v>
      </c>
      <c r="Q1101" s="8" t="s">
        <v>823</v>
      </c>
      <c r="R1101" s="14" t="s">
        <v>2731</v>
      </c>
    </row>
    <row r="1102" spans="1:18" ht="50" customHeight="1">
      <c r="A1102" s="8" t="s">
        <v>2770</v>
      </c>
      <c r="B1102" s="8" t="str">
        <f>CALL_LOOKUP_BOARD!C318</f>
        <v>Film Review Required</v>
      </c>
      <c r="C1102" s="12">
        <f>CALL_LOOKUP_BOARD!D318</f>
        <v/>
      </c>
      <c r="D1102" s="10">
        <f>CALL_LOOKUP_BOARD!E318</f>
        <v/>
      </c>
      <c r="E1102" s="10">
        <f>CALL_LOOKUP_BOARD!F318</f>
        <v/>
      </c>
      <c r="F1102" s="11">
        <f>CALL_LOOKUP_BOARD!G318</f>
        <v/>
      </c>
      <c r="G1102" s="10">
        <f>IF(CALL_LOOKUP_BOARD!Z318=0,"",INDEX($G$811:$G$1055,CALL_LOOKUP_BOARD!Z318-811+1))</f>
        <v/>
      </c>
      <c r="H1102" s="10">
        <f>IF(CALL_LOOKUP_BOARD!Z318=0,"",INDEX($H$811:$H$1055,CALL_LOOKUP_BOARD!Z318-811+1))</f>
        <v/>
      </c>
      <c r="I1102" s="8">
        <f>CALL_LOOKUP_BOARD!I318</f>
        <v/>
      </c>
      <c r="J1102" s="11">
        <f>CALL_LOOKUP_BOARD!H318</f>
        <v/>
      </c>
      <c r="K1102" s="14" t="str">
        <f>CALL_LOOKUP_BOARD!J318</f>
        <v>Film Review Required</v>
      </c>
      <c r="L1102" s="9" t="str">
        <f>CALL_LOOKUP_BOARD!K318</f>
        <v>Opponent exact-play alert only. No Defensive Exact-Play Sample. Confirm concept mapping and review film before treating this as a defensive candidate.</v>
      </c>
      <c r="M1102" s="8" t="s">
        <v>76</v>
      </c>
      <c r="P1102" s="8">
        <f>IF(CALL_LOOKUP_BOARD!L318="","",CALL_LOOKUP_BOARD!L318)</f>
        <v/>
      </c>
      <c r="Q1102" s="8" t="s">
        <v>816</v>
      </c>
      <c r="R1102" s="14" t="s">
        <v>2731</v>
      </c>
    </row>
    <row r="1103" spans="1:18" ht="50" customHeight="1">
      <c r="A1103" s="8" t="s">
        <v>2771</v>
      </c>
      <c r="B1103" s="8" t="str">
        <f>CALL_LOOKUP_BOARD!C319</f>
        <v>SHINE BUC</v>
      </c>
      <c r="C1103" s="12">
        <f>CALL_LOOKUP_BOARD!D319</f>
        <v>2</v>
      </c>
      <c r="D1103" s="10">
        <f>CALL_LOOKUP_BOARD!E319</f>
        <v>0.0</v>
      </c>
      <c r="E1103" s="10">
        <f>CALL_LOOKUP_BOARD!F319</f>
        <v>0.0</v>
      </c>
      <c r="F1103" s="11">
        <f>CALL_LOOKUP_BOARD!G319</f>
        <v>6.5</v>
      </c>
      <c r="G1103" s="10">
        <f>IF(CALL_LOOKUP_BOARD!Z319=0,"",INDEX($G$811:$G$1055,CALL_LOOKUP_BOARD!Z319-811+1))</f>
        <v>1.0</v>
      </c>
      <c r="H1103" s="10">
        <f>IF(CALL_LOOKUP_BOARD!Z319=0,"",INDEX($H$811:$H$1055,CALL_LOOKUP_BOARD!Z319-811+1))</f>
        <v>0.0</v>
      </c>
      <c r="I1103" s="8" t="str">
        <f>CALL_LOOKUP_BOARD!I319</f>
        <v>TRACK</v>
      </c>
      <c r="J1103" s="11">
        <f>CALL_LOOKUP_BOARD!H319</f>
        <v>23.5</v>
      </c>
      <c r="K1103" s="14" t="str">
        <f>CALL_LOOKUP_BOARD!J319</f>
        <v>Sample Watch • D&amp;D + Concept Match • Concept Proxy</v>
      </c>
      <c r="L1103" s="9" t="str">
        <f>CALL_LOOKUP_BOARD!K319</f>
        <v>Opponent exact-play alert only. No Defensive Exact-Play Sample. Metrics describe the confirmed concept; Track only; not enough sample.</v>
      </c>
      <c r="M1103" s="8" t="s">
        <v>76</v>
      </c>
      <c r="P1103" s="8" t="str">
        <f>IF(CALL_LOOKUP_BOARD!L319="","",CALL_LOOKUP_BOARD!L319)</f>
        <v>INSIDE ZONE</v>
      </c>
      <c r="Q1103" s="8" t="s">
        <v>824</v>
      </c>
      <c r="R1103" s="14" t="s">
        <v>2731</v>
      </c>
    </row>
    <row r="1104" spans="1:18" ht="50" customHeight="1">
      <c r="A1104" s="8" t="s">
        <v>2772</v>
      </c>
      <c r="B1104" s="8" t="str">
        <f>CALL_LOOKUP_BOARD!C320</f>
        <v>HOUND KNIFE</v>
      </c>
      <c r="C1104" s="12">
        <f>CALL_LOOKUP_BOARD!D320</f>
        <v>1</v>
      </c>
      <c r="D1104" s="10">
        <f>CALL_LOOKUP_BOARD!E320</f>
        <v>1.0</v>
      </c>
      <c r="E1104" s="10">
        <f>CALL_LOOKUP_BOARD!F320</f>
        <v>0.0</v>
      </c>
      <c r="F1104" s="11">
        <f>CALL_LOOKUP_BOARD!G320</f>
        <v>-1.0</v>
      </c>
      <c r="G1104" s="10">
        <f>IF(CALL_LOOKUP_BOARD!Z320=0,"",INDEX($G$811:$G$1055,CALL_LOOKUP_BOARD!Z320-811+1))</f>
        <v>0.0</v>
      </c>
      <c r="H1104" s="10">
        <f>IF(CALL_LOOKUP_BOARD!Z320=0,"",INDEX($H$811:$H$1055,CALL_LOOKUP_BOARD!Z320-811+1))</f>
        <v>1.0</v>
      </c>
      <c r="I1104" s="8" t="str">
        <f>CALL_LOOKUP_BOARD!I320</f>
        <v>TRACK</v>
      </c>
      <c r="J1104" s="11">
        <f>CALL_LOOKUP_BOARD!H320</f>
        <v>100.0</v>
      </c>
      <c r="K1104" s="14" t="str">
        <f>CALL_LOOKUP_BOARD!J320</f>
        <v>Sample Watch • D&amp;D + Concept Match • Concept Proxy</v>
      </c>
      <c r="L1104" s="9" t="str">
        <f>CALL_LOOKUP_BOARD!K320</f>
        <v>Opponent exact-play alert only. No Defensive Exact-Play Sample. Metrics describe the confirmed concept; Track only; not enough sample.</v>
      </c>
      <c r="M1104" s="8" t="s">
        <v>82</v>
      </c>
      <c r="P1104" s="8" t="str">
        <f>IF(CALL_LOOKUP_BOARD!L320="","",CALL_LOOKUP_BOARD!L320)</f>
        <v>5 STEP</v>
      </c>
      <c r="Q1104" s="8" t="s">
        <v>1541</v>
      </c>
      <c r="R1104" s="14" t="s">
        <v>2731</v>
      </c>
    </row>
    <row r="1105" spans="1:18" ht="50" customHeight="1">
      <c r="A1105" s="8" t="s">
        <v>2773</v>
      </c>
      <c r="B1105" s="8" t="str">
        <f>CALL_LOOKUP_BOARD!C321</f>
        <v>Film Review Required</v>
      </c>
      <c r="C1105" s="12">
        <f>CALL_LOOKUP_BOARD!D321</f>
        <v/>
      </c>
      <c r="D1105" s="10">
        <f>CALL_LOOKUP_BOARD!E321</f>
        <v/>
      </c>
      <c r="E1105" s="10">
        <f>CALL_LOOKUP_BOARD!F321</f>
        <v/>
      </c>
      <c r="F1105" s="11">
        <f>CALL_LOOKUP_BOARD!G321</f>
        <v/>
      </c>
      <c r="G1105" s="10">
        <f>IF(CALL_LOOKUP_BOARD!Z321=0,"",INDEX($G$811:$G$1055,CALL_LOOKUP_BOARD!Z321-811+1))</f>
        <v/>
      </c>
      <c r="H1105" s="10">
        <f>IF(CALL_LOOKUP_BOARD!Z321=0,"",INDEX($H$811:$H$1055,CALL_LOOKUP_BOARD!Z321-811+1))</f>
        <v/>
      </c>
      <c r="I1105" s="8">
        <f>CALL_LOOKUP_BOARD!I321</f>
        <v/>
      </c>
      <c r="J1105" s="11">
        <f>CALL_LOOKUP_BOARD!H321</f>
        <v/>
      </c>
      <c r="K1105" s="14" t="str">
        <f>CALL_LOOKUP_BOARD!J321</f>
        <v>Film Review Required</v>
      </c>
      <c r="L1105" s="9" t="str">
        <f>CALL_LOOKUP_BOARD!K321</f>
        <v>Opponent exact-play alert only. No Defensive Exact-Play Sample. Confirm concept mapping and review film before treating this as a defensive candidate.</v>
      </c>
      <c r="M1105" s="8" t="s">
        <v>82</v>
      </c>
      <c r="P1105" s="8">
        <f>IF(CALL_LOOKUP_BOARD!L321="","",CALL_LOOKUP_BOARD!L321)</f>
        <v/>
      </c>
      <c r="Q1105" s="8" t="s">
        <v>49</v>
      </c>
      <c r="R1105" s="14" t="s">
        <v>2731</v>
      </c>
    </row>
    <row r="1106" spans="1:18" ht="50" customHeight="1">
      <c r="A1106" s="8" t="s">
        <v>2774</v>
      </c>
      <c r="B1106" s="8" t="str">
        <f>CALL_LOOKUP_BOARD!C322</f>
        <v>Film Review Required</v>
      </c>
      <c r="C1106" s="12">
        <f>CALL_LOOKUP_BOARD!D322</f>
        <v/>
      </c>
      <c r="D1106" s="10">
        <f>CALL_LOOKUP_BOARD!E322</f>
        <v/>
      </c>
      <c r="E1106" s="10">
        <f>CALL_LOOKUP_BOARD!F322</f>
        <v/>
      </c>
      <c r="F1106" s="11">
        <f>CALL_LOOKUP_BOARD!G322</f>
        <v/>
      </c>
      <c r="G1106" s="10">
        <f>IF(CALL_LOOKUP_BOARD!Z322=0,"",INDEX($G$811:$G$1055,CALL_LOOKUP_BOARD!Z322-811+1))</f>
        <v/>
      </c>
      <c r="H1106" s="10">
        <f>IF(CALL_LOOKUP_BOARD!Z322=0,"",INDEX($H$811:$H$1055,CALL_LOOKUP_BOARD!Z322-811+1))</f>
        <v/>
      </c>
      <c r="I1106" s="8">
        <f>CALL_LOOKUP_BOARD!I322</f>
        <v/>
      </c>
      <c r="J1106" s="11">
        <f>CALL_LOOKUP_BOARD!H322</f>
        <v/>
      </c>
      <c r="K1106" s="14" t="str">
        <f>CALL_LOOKUP_BOARD!J322</f>
        <v>Film Review Required</v>
      </c>
      <c r="L1106" s="9" t="str">
        <f>CALL_LOOKUP_BOARD!K322</f>
        <v>Opponent exact-play alert only. No Defensive Exact-Play Sample. Confirm concept mapping and review film before treating this as a defensive candidate.</v>
      </c>
      <c r="M1106" s="8" t="s">
        <v>82</v>
      </c>
      <c r="P1106" s="8" t="str">
        <f>IF(CALL_LOOKUP_BOARD!L322="","",CALL_LOOKUP_BOARD!L322)</f>
        <v>POWER READ</v>
      </c>
      <c r="Q1106" s="8" t="s">
        <v>1488</v>
      </c>
      <c r="R1106" s="14" t="s">
        <v>2731</v>
      </c>
    </row>
    <row r="1107" spans="1:18" ht="50" customHeight="1">
      <c r="A1107" s="8" t="s">
        <v>2775</v>
      </c>
      <c r="B1107" s="8" t="str">
        <f>CALL_LOOKUP_BOARD!C323</f>
        <v>9 DICE</v>
      </c>
      <c r="C1107" s="12">
        <f>CALL_LOOKUP_BOARD!D323</f>
        <v>1</v>
      </c>
      <c r="D1107" s="10">
        <f>CALL_LOOKUP_BOARD!E323</f>
        <v>1.0</v>
      </c>
      <c r="E1107" s="10">
        <f>CALL_LOOKUP_BOARD!F323</f>
        <v>0.0</v>
      </c>
      <c r="F1107" s="11">
        <f>CALL_LOOKUP_BOARD!G323</f>
        <v>0.0</v>
      </c>
      <c r="G1107" s="10">
        <f>IF(CALL_LOOKUP_BOARD!Z323=0,"",INDEX($G$811:$G$1055,CALL_LOOKUP_BOARD!Z323-811+1))</f>
        <v>1.0</v>
      </c>
      <c r="H1107" s="10">
        <f>IF(CALL_LOOKUP_BOARD!Z323=0,"",INDEX($H$811:$H$1055,CALL_LOOKUP_BOARD!Z323-811+1))</f>
        <v>0.0</v>
      </c>
      <c r="I1107" s="8" t="str">
        <f>CALL_LOOKUP_BOARD!I323</f>
        <v>TRACK</v>
      </c>
      <c r="J1107" s="11">
        <f>CALL_LOOKUP_BOARD!H323</f>
        <v>100.0</v>
      </c>
      <c r="K1107" s="14" t="str">
        <f>CALL_LOOKUP_BOARD!J323</f>
        <v>Sample Watch • D&amp;D + Concept Match • Concept Proxy</v>
      </c>
      <c r="L1107" s="9" t="str">
        <f>CALL_LOOKUP_BOARD!K323</f>
        <v>Opponent exact-play alert only. No Defensive Exact-Play Sample. Metrics describe the confirmed concept; Track only; not enough sample.</v>
      </c>
      <c r="M1107" s="8" t="s">
        <v>82</v>
      </c>
      <c r="P1107" s="8" t="str">
        <f>IF(CALL_LOOKUP_BOARD!L323="","",CALL_LOOKUP_BOARD!L323)</f>
        <v>OUTSIDE ZONE</v>
      </c>
      <c r="Q1107" s="8" t="s">
        <v>1398</v>
      </c>
      <c r="R1107" s="14" t="s">
        <v>2731</v>
      </c>
    </row>
    <row r="1108" spans="1:18" ht="50" customHeight="1">
      <c r="A1108" s="8" t="s">
        <v>2776</v>
      </c>
      <c r="B1108" s="8" t="str">
        <f>CALL_LOOKUP_BOARD!C324</f>
        <v>9 DICE</v>
      </c>
      <c r="C1108" s="12">
        <f>CALL_LOOKUP_BOARD!D324</f>
        <v>1</v>
      </c>
      <c r="D1108" s="10">
        <f>CALL_LOOKUP_BOARD!E324</f>
        <v>1.0</v>
      </c>
      <c r="E1108" s="10">
        <f>CALL_LOOKUP_BOARD!F324</f>
        <v>0.0</v>
      </c>
      <c r="F1108" s="11">
        <f>CALL_LOOKUP_BOARD!G324</f>
        <v>0.0</v>
      </c>
      <c r="G1108" s="10">
        <f>IF(CALL_LOOKUP_BOARD!Z324=0,"",INDEX($G$811:$G$1055,CALL_LOOKUP_BOARD!Z324-811+1))</f>
        <v>1.0</v>
      </c>
      <c r="H1108" s="10">
        <f>IF(CALL_LOOKUP_BOARD!Z324=0,"",INDEX($H$811:$H$1055,CALL_LOOKUP_BOARD!Z324-811+1))</f>
        <v>0.0</v>
      </c>
      <c r="I1108" s="8" t="str">
        <f>CALL_LOOKUP_BOARD!I324</f>
        <v>TRACK</v>
      </c>
      <c r="J1108" s="11">
        <f>CALL_LOOKUP_BOARD!H324</f>
        <v>100.0</v>
      </c>
      <c r="K1108" s="14" t="str">
        <f>CALL_LOOKUP_BOARD!J324</f>
        <v>Sample Watch • D&amp;D + Concept Match • Concept Proxy</v>
      </c>
      <c r="L1108" s="9" t="str">
        <f>CALL_LOOKUP_BOARD!K324</f>
        <v>Opponent exact-play alert only. No Defensive Exact-Play Sample. Metrics describe the confirmed concept; Track only; not enough sample.</v>
      </c>
      <c r="M1108" s="8" t="s">
        <v>82</v>
      </c>
      <c r="P1108" s="8" t="str">
        <f>IF(CALL_LOOKUP_BOARD!L324="","",CALL_LOOKUP_BOARD!L324)</f>
        <v>OUTSIDE ZONE</v>
      </c>
      <c r="Q1108" s="8" t="s">
        <v>1491</v>
      </c>
      <c r="R1108" s="14" t="s">
        <v>2731</v>
      </c>
    </row>
    <row r="1109" spans="1:18" ht="50" customHeight="1">
      <c r="A1109" s="8" t="s">
        <v>2777</v>
      </c>
      <c r="B1109" s="8" t="str">
        <f>CALL_LOOKUP_BOARD!C325</f>
        <v>Film Review Required</v>
      </c>
      <c r="C1109" s="12">
        <f>CALL_LOOKUP_BOARD!D325</f>
        <v/>
      </c>
      <c r="D1109" s="10">
        <f>CALL_LOOKUP_BOARD!E325</f>
        <v/>
      </c>
      <c r="E1109" s="10">
        <f>CALL_LOOKUP_BOARD!F325</f>
        <v/>
      </c>
      <c r="F1109" s="11">
        <f>CALL_LOOKUP_BOARD!G325</f>
        <v/>
      </c>
      <c r="G1109" s="10">
        <f>IF(CALL_LOOKUP_BOARD!Z325=0,"",INDEX($G$811:$G$1055,CALL_LOOKUP_BOARD!Z325-811+1))</f>
        <v/>
      </c>
      <c r="H1109" s="10">
        <f>IF(CALL_LOOKUP_BOARD!Z325=0,"",INDEX($H$811:$H$1055,CALL_LOOKUP_BOARD!Z325-811+1))</f>
        <v/>
      </c>
      <c r="I1109" s="8">
        <f>CALL_LOOKUP_BOARD!I325</f>
        <v/>
      </c>
      <c r="J1109" s="11">
        <f>CALL_LOOKUP_BOARD!H325</f>
        <v/>
      </c>
      <c r="K1109" s="14" t="str">
        <f>CALL_LOOKUP_BOARD!J325</f>
        <v>Film Review Required</v>
      </c>
      <c r="L1109" s="9" t="str">
        <f>CALL_LOOKUP_BOARD!K325</f>
        <v>Opponent exact-play alert only. No Defensive Exact-Play Sample. Confirm concept mapping and review film before treating this as a defensive candidate.</v>
      </c>
      <c r="M1109" s="8" t="s">
        <v>82</v>
      </c>
      <c r="P1109" s="8">
        <f>IF(CALL_LOOKUP_BOARD!L325="","",CALL_LOOKUP_BOARD!L325)</f>
        <v/>
      </c>
      <c r="Q1109" s="8" t="s">
        <v>816</v>
      </c>
      <c r="R1109" s="14" t="s">
        <v>2731</v>
      </c>
    </row>
    <row r="1110" spans="1:18" ht="50" customHeight="1">
      <c r="A1110" s="8" t="s">
        <v>2778</v>
      </c>
      <c r="B1110" s="8" t="str">
        <f>CALL_LOOKUP_BOARD!C326</f>
        <v>HOUND KNIFE</v>
      </c>
      <c r="C1110" s="12">
        <f>CALL_LOOKUP_BOARD!D326</f>
        <v>1</v>
      </c>
      <c r="D1110" s="10">
        <f>CALL_LOOKUP_BOARD!E326</f>
        <v>1.0</v>
      </c>
      <c r="E1110" s="10">
        <f>CALL_LOOKUP_BOARD!F326</f>
        <v>0.0</v>
      </c>
      <c r="F1110" s="11">
        <f>CALL_LOOKUP_BOARD!G326</f>
        <v>0.0</v>
      </c>
      <c r="G1110" s="10">
        <f>IF(CALL_LOOKUP_BOARD!Z326=0,"",INDEX($G$811:$G$1055,CALL_LOOKUP_BOARD!Z326-811+1))</f>
        <v>0.0</v>
      </c>
      <c r="H1110" s="10">
        <f>IF(CALL_LOOKUP_BOARD!Z326=0,"",INDEX($H$811:$H$1055,CALL_LOOKUP_BOARD!Z326-811+1))</f>
        <v>1.0</v>
      </c>
      <c r="I1110" s="8" t="str">
        <f>CALL_LOOKUP_BOARD!I326</f>
        <v>TRACK</v>
      </c>
      <c r="J1110" s="11">
        <f>CALL_LOOKUP_BOARD!H326</f>
        <v>100.0</v>
      </c>
      <c r="K1110" s="14" t="str">
        <f>CALL_LOOKUP_BOARD!J326</f>
        <v>Sample Watch • D&amp;D + Concept Match • Concept Proxy</v>
      </c>
      <c r="L1110" s="9" t="str">
        <f>CALL_LOOKUP_BOARD!K326</f>
        <v>Opponent exact-play alert only. No Defensive Exact-Play Sample. Metrics describe the confirmed concept; Track only; not enough sample.</v>
      </c>
      <c r="M1110" s="8" t="s">
        <v>85</v>
      </c>
      <c r="P1110" s="8" t="str">
        <f>IF(CALL_LOOKUP_BOARD!L326="","",CALL_LOOKUP_BOARD!L326)</f>
        <v>RPO</v>
      </c>
      <c r="Q1110" s="8" t="s">
        <v>1579</v>
      </c>
      <c r="R1110" s="14" t="s">
        <v>2731</v>
      </c>
    </row>
    <row r="1111" spans="1:18" ht="50" customHeight="1">
      <c r="A1111" s="8" t="s">
        <v>2779</v>
      </c>
      <c r="B1111" s="8" t="str">
        <f>CALL_LOOKUP_BOARD!C327</f>
        <v>SMOKE WHITE</v>
      </c>
      <c r="C1111" s="12">
        <f>CALL_LOOKUP_BOARD!D327</f>
        <v>3</v>
      </c>
      <c r="D1111" s="10">
        <f>CALL_LOOKUP_BOARD!E327</f>
        <v>0.6666666666666666</v>
      </c>
      <c r="E1111" s="10">
        <f>CALL_LOOKUP_BOARD!F327</f>
        <v>0.0</v>
      </c>
      <c r="F1111" s="11">
        <f>CALL_LOOKUP_BOARD!G327</f>
        <v>3.3333333333333335</v>
      </c>
      <c r="G1111" s="10">
        <f>IF(CALL_LOOKUP_BOARD!Z327=0,"",INDEX($G$811:$G$1055,CALL_LOOKUP_BOARD!Z327-811+1))</f>
        <v>0.0</v>
      </c>
      <c r="H1111" s="10">
        <f>IF(CALL_LOOKUP_BOARD!Z327=0,"",INDEX($H$811:$H$1055,CALL_LOOKUP_BOARD!Z327-811+1))</f>
        <v>1.0</v>
      </c>
      <c r="I1111" s="8" t="str">
        <f>CALL_LOOKUP_BOARD!I327</f>
        <v>LOW</v>
      </c>
      <c r="J1111" s="11">
        <f>CALL_LOOKUP_BOARD!H327</f>
        <v>73.3</v>
      </c>
      <c r="K1111" s="14" t="str">
        <f>CALL_LOOKUP_BOARD!J327</f>
        <v>Sample Watch • D&amp;D + Concept Match • Concept Proxy</v>
      </c>
      <c r="L1111" s="9" t="str">
        <f>CALL_LOOKUP_BOARD!K327</f>
        <v>Opponent exact-play alert only. No Defensive Exact-Play Sample. Metrics describe the confirmed concept; Good signal, but sample is limited.</v>
      </c>
      <c r="M1111" s="8" t="s">
        <v>85</v>
      </c>
      <c r="P1111" s="8" t="str">
        <f>IF(CALL_LOOKUP_BOARD!L327="","",CALL_LOOKUP_BOARD!L327)</f>
        <v>5 STEP</v>
      </c>
      <c r="Q1111" s="8" t="s">
        <v>1546</v>
      </c>
      <c r="R1111" s="14" t="s">
        <v>2731</v>
      </c>
    </row>
    <row r="1112" spans="1:18" ht="50" customHeight="1">
      <c r="A1112" s="8" t="s">
        <v>2780</v>
      </c>
      <c r="B1112" s="8" t="str">
        <f>CALL_LOOKUP_BOARD!C328</f>
        <v>REBEL</v>
      </c>
      <c r="C1112" s="12">
        <f>CALL_LOOKUP_BOARD!D328</f>
        <v>1</v>
      </c>
      <c r="D1112" s="10">
        <f>CALL_LOOKUP_BOARD!E328</f>
        <v>1.0</v>
      </c>
      <c r="E1112" s="10">
        <f>CALL_LOOKUP_BOARD!F328</f>
        <v>0.0</v>
      </c>
      <c r="F1112" s="11">
        <f>CALL_LOOKUP_BOARD!G328</f>
        <v>0.0</v>
      </c>
      <c r="G1112" s="10">
        <f>IF(CALL_LOOKUP_BOARD!Z328=0,"",INDEX($G$811:$G$1055,CALL_LOOKUP_BOARD!Z328-811+1))</f>
        <v>1.0</v>
      </c>
      <c r="H1112" s="10">
        <f>IF(CALL_LOOKUP_BOARD!Z328=0,"",INDEX($H$811:$H$1055,CALL_LOOKUP_BOARD!Z328-811+1))</f>
        <v>0.0</v>
      </c>
      <c r="I1112" s="8" t="str">
        <f>CALL_LOOKUP_BOARD!I328</f>
        <v>TRACK</v>
      </c>
      <c r="J1112" s="11">
        <f>CALL_LOOKUP_BOARD!H328</f>
        <v>100.0</v>
      </c>
      <c r="K1112" s="14" t="str">
        <f>CALL_LOOKUP_BOARD!J328</f>
        <v>Sample Watch • D&amp;D + Concept Match • Concept Proxy</v>
      </c>
      <c r="L1112" s="9" t="str">
        <f>CALL_LOOKUP_BOARD!K328</f>
        <v>Opponent exact-play alert only. No Defensive Exact-Play Sample. Metrics describe the confirmed concept; Track only; not enough sample.</v>
      </c>
      <c r="M1112" s="8" t="s">
        <v>85</v>
      </c>
      <c r="P1112" s="8" t="str">
        <f>IF(CALL_LOOKUP_BOARD!L328="","",CALL_LOOKUP_BOARD!L328)</f>
        <v>POWER</v>
      </c>
      <c r="Q1112" s="8" t="s">
        <v>1413</v>
      </c>
      <c r="R1112" s="14" t="s">
        <v>2731</v>
      </c>
    </row>
    <row r="1113" spans="1:18" ht="50" customHeight="1">
      <c r="A1113" s="8" t="s">
        <v>2781</v>
      </c>
      <c r="B1113" s="8" t="str">
        <f>CALL_LOOKUP_BOARD!C329</f>
        <v>SMOKE WHITE</v>
      </c>
      <c r="C1113" s="12">
        <f>CALL_LOOKUP_BOARD!D329</f>
        <v>3</v>
      </c>
      <c r="D1113" s="10">
        <f>CALL_LOOKUP_BOARD!E329</f>
        <v>0.6666666666666666</v>
      </c>
      <c r="E1113" s="10">
        <f>CALL_LOOKUP_BOARD!F329</f>
        <v>0.0</v>
      </c>
      <c r="F1113" s="11">
        <f>CALL_LOOKUP_BOARD!G329</f>
        <v>3.3333333333333335</v>
      </c>
      <c r="G1113" s="10">
        <f>IF(CALL_LOOKUP_BOARD!Z329=0,"",INDEX($G$811:$G$1055,CALL_LOOKUP_BOARD!Z329-811+1))</f>
        <v>0.0</v>
      </c>
      <c r="H1113" s="10">
        <f>IF(CALL_LOOKUP_BOARD!Z329=0,"",INDEX($H$811:$H$1055,CALL_LOOKUP_BOARD!Z329-811+1))</f>
        <v>1.0</v>
      </c>
      <c r="I1113" s="8" t="str">
        <f>CALL_LOOKUP_BOARD!I329</f>
        <v>LOW</v>
      </c>
      <c r="J1113" s="11">
        <f>CALL_LOOKUP_BOARD!H329</f>
        <v>73.3</v>
      </c>
      <c r="K1113" s="14" t="str">
        <f>CALL_LOOKUP_BOARD!J329</f>
        <v>Sample Watch • D&amp;D + Concept Match • Concept Proxy</v>
      </c>
      <c r="L1113" s="9" t="str">
        <f>CALL_LOOKUP_BOARD!K329</f>
        <v>Opponent exact-play alert only. No Defensive Exact-Play Sample. Metrics describe the confirmed concept; Good signal, but sample is limited.</v>
      </c>
      <c r="M1113" s="8" t="s">
        <v>85</v>
      </c>
      <c r="P1113" s="8" t="str">
        <f>IF(CALL_LOOKUP_BOARD!L329="","",CALL_LOOKUP_BOARD!L329)</f>
        <v>5 STEP</v>
      </c>
      <c r="Q1113" s="8" t="s">
        <v>1544</v>
      </c>
      <c r="R1113" s="14" t="s">
        <v>2731</v>
      </c>
    </row>
    <row r="1114" spans="1:18" ht="50" customHeight="1">
      <c r="A1114" s="8" t="s">
        <v>2782</v>
      </c>
      <c r="B1114" s="8" t="str">
        <f>CALL_LOOKUP_BOARD!C330</f>
        <v>REBEL</v>
      </c>
      <c r="C1114" s="12">
        <f>CALL_LOOKUP_BOARD!D330</f>
        <v>1</v>
      </c>
      <c r="D1114" s="10">
        <f>CALL_LOOKUP_BOARD!E330</f>
        <v>1.0</v>
      </c>
      <c r="E1114" s="10">
        <f>CALL_LOOKUP_BOARD!F330</f>
        <v>0.0</v>
      </c>
      <c r="F1114" s="11">
        <f>CALL_LOOKUP_BOARD!G330</f>
        <v>0.0</v>
      </c>
      <c r="G1114" s="10">
        <f>IF(CALL_LOOKUP_BOARD!Z330=0,"",INDEX($G$811:$G$1055,CALL_LOOKUP_BOARD!Z330-811+1))</f>
        <v>0.0</v>
      </c>
      <c r="H1114" s="10">
        <f>IF(CALL_LOOKUP_BOARD!Z330=0,"",INDEX($H$811:$H$1055,CALL_LOOKUP_BOARD!Z330-811+1))</f>
        <v>1.0</v>
      </c>
      <c r="I1114" s="8" t="str">
        <f>CALL_LOOKUP_BOARD!I330</f>
        <v>TRACK</v>
      </c>
      <c r="J1114" s="11">
        <f>CALL_LOOKUP_BOARD!H330</f>
        <v>100.0</v>
      </c>
      <c r="K1114" s="14" t="str">
        <f>CALL_LOOKUP_BOARD!J330</f>
        <v>Sample Watch • D&amp;D + Concept Match • Concept Proxy</v>
      </c>
      <c r="L1114" s="9" t="str">
        <f>CALL_LOOKUP_BOARD!K330</f>
        <v>Opponent exact-play alert only. No Defensive Exact-Play Sample. Metrics describe the confirmed concept; Track only; not enough sample.</v>
      </c>
      <c r="M1114" s="8" t="s">
        <v>85</v>
      </c>
      <c r="P1114" s="8" t="str">
        <f>IF(CALL_LOOKUP_BOARD!L330="","",CALL_LOOKUP_BOARD!L330)</f>
        <v>PAP</v>
      </c>
      <c r="Q1114" s="8" t="s">
        <v>1572</v>
      </c>
      <c r="R1114" s="14" t="s">
        <v>2731</v>
      </c>
    </row>
    <row r="1115" spans="1:18" ht="50" customHeight="1">
      <c r="A1115" s="8" t="s">
        <v>2783</v>
      </c>
      <c r="B1115" s="8" t="str">
        <f>CALL_LOOKUP_BOARD!C331</f>
        <v>Film Review Required</v>
      </c>
      <c r="C1115" s="12">
        <f>CALL_LOOKUP_BOARD!D331</f>
        <v/>
      </c>
      <c r="D1115" s="10">
        <f>CALL_LOOKUP_BOARD!E331</f>
        <v/>
      </c>
      <c r="E1115" s="10">
        <f>CALL_LOOKUP_BOARD!F331</f>
        <v/>
      </c>
      <c r="F1115" s="11">
        <f>CALL_LOOKUP_BOARD!G331</f>
        <v/>
      </c>
      <c r="G1115" s="10">
        <f>IF(CALL_LOOKUP_BOARD!Z331=0,"",INDEX($G$811:$G$1055,CALL_LOOKUP_BOARD!Z331-811+1))</f>
        <v/>
      </c>
      <c r="H1115" s="10">
        <f>IF(CALL_LOOKUP_BOARD!Z331=0,"",INDEX($H$811:$H$1055,CALL_LOOKUP_BOARD!Z331-811+1))</f>
        <v/>
      </c>
      <c r="I1115" s="8">
        <f>CALL_LOOKUP_BOARD!I331</f>
        <v/>
      </c>
      <c r="J1115" s="11">
        <f>CALL_LOOKUP_BOARD!H331</f>
        <v/>
      </c>
      <c r="K1115" s="14" t="str">
        <f>CALL_LOOKUP_BOARD!J331</f>
        <v>Film Review Required</v>
      </c>
      <c r="L1115" s="9" t="str">
        <f>CALL_LOOKUP_BOARD!K331</f>
        <v>Opponent exact-play alert only. No Defensive Exact-Play Sample. Confirm concept mapping and review film before treating this as a defensive candidate.</v>
      </c>
      <c r="M1115" s="8" t="s">
        <v>85</v>
      </c>
      <c r="P1115" s="8">
        <f>IF(CALL_LOOKUP_BOARD!L331="","",CALL_LOOKUP_BOARD!L331)</f>
        <v/>
      </c>
      <c r="Q1115" s="8" t="s">
        <v>49</v>
      </c>
      <c r="R1115" s="14" t="s">
        <v>2731</v>
      </c>
    </row>
    <row r="1116" spans="1:18" ht="50" customHeight="1">
      <c r="A1116" s="8" t="s">
        <v>2784</v>
      </c>
      <c r="B1116" s="8" t="str">
        <f>CALL_LOOKUP_BOARD!C332</f>
        <v>Film Review Required</v>
      </c>
      <c r="C1116" s="12">
        <f>CALL_LOOKUP_BOARD!D332</f>
        <v/>
      </c>
      <c r="D1116" s="10">
        <f>CALL_LOOKUP_BOARD!E332</f>
        <v/>
      </c>
      <c r="E1116" s="10">
        <f>CALL_LOOKUP_BOARD!F332</f>
        <v/>
      </c>
      <c r="F1116" s="11">
        <f>CALL_LOOKUP_BOARD!G332</f>
        <v/>
      </c>
      <c r="G1116" s="10">
        <f>IF(CALL_LOOKUP_BOARD!Z332=0,"",INDEX($G$811:$G$1055,CALL_LOOKUP_BOARD!Z332-811+1))</f>
        <v/>
      </c>
      <c r="H1116" s="10">
        <f>IF(CALL_LOOKUP_BOARD!Z332=0,"",INDEX($H$811:$H$1055,CALL_LOOKUP_BOARD!Z332-811+1))</f>
        <v/>
      </c>
      <c r="I1116" s="8">
        <f>CALL_LOOKUP_BOARD!I332</f>
        <v/>
      </c>
      <c r="J1116" s="11">
        <f>CALL_LOOKUP_BOARD!H332</f>
        <v/>
      </c>
      <c r="K1116" s="14" t="str">
        <f>CALL_LOOKUP_BOARD!J332</f>
        <v>Film Review Required</v>
      </c>
      <c r="L1116" s="9" t="str">
        <f>CALL_LOOKUP_BOARD!K332</f>
        <v>Opponent exact-play alert only. No Defensive Exact-Play Sample. Confirm concept mapping and review film before treating this as a defensive candidate.</v>
      </c>
      <c r="M1116" s="8" t="s">
        <v>85</v>
      </c>
      <c r="P1116" s="8" t="str">
        <f>IF(CALL_LOOKUP_BOARD!L332="","",CALL_LOOKUP_BOARD!L332)</f>
        <v>FLY SWEEP</v>
      </c>
      <c r="Q1116" s="8" t="s">
        <v>1410</v>
      </c>
      <c r="R1116" s="14" t="s">
        <v>2731</v>
      </c>
    </row>
    <row r="1117" spans="1:18" ht="50" customHeight="1">
      <c r="A1117" s="8" t="s">
        <v>2785</v>
      </c>
      <c r="B1117" s="8" t="str">
        <f>CALL_LOOKUP_BOARD!C333</f>
        <v>SMOKE WHITE</v>
      </c>
      <c r="C1117" s="12">
        <f>CALL_LOOKUP_BOARD!D333</f>
        <v>3</v>
      </c>
      <c r="D1117" s="10">
        <f>CALL_LOOKUP_BOARD!E333</f>
        <v>0.6666666666666666</v>
      </c>
      <c r="E1117" s="10">
        <f>CALL_LOOKUP_BOARD!F333</f>
        <v>0.0</v>
      </c>
      <c r="F1117" s="11">
        <f>CALL_LOOKUP_BOARD!G333</f>
        <v>3.3333333333333335</v>
      </c>
      <c r="G1117" s="10">
        <f>IF(CALL_LOOKUP_BOARD!Z333=0,"",INDEX($G$811:$G$1055,CALL_LOOKUP_BOARD!Z333-811+1))</f>
        <v>0.0</v>
      </c>
      <c r="H1117" s="10">
        <f>IF(CALL_LOOKUP_BOARD!Z333=0,"",INDEX($H$811:$H$1055,CALL_LOOKUP_BOARD!Z333-811+1))</f>
        <v>1.0</v>
      </c>
      <c r="I1117" s="8" t="str">
        <f>CALL_LOOKUP_BOARD!I333</f>
        <v>LOW</v>
      </c>
      <c r="J1117" s="11">
        <f>CALL_LOOKUP_BOARD!H333</f>
        <v>73.3</v>
      </c>
      <c r="K1117" s="14" t="str">
        <f>CALL_LOOKUP_BOARD!J333</f>
        <v>Sample Watch • D&amp;D + Concept Match • Concept Proxy</v>
      </c>
      <c r="L1117" s="9" t="str">
        <f>CALL_LOOKUP_BOARD!K333</f>
        <v>Opponent exact-play alert only. No Defensive Exact-Play Sample. Metrics describe the confirmed concept; Good signal, but sample is limited.</v>
      </c>
      <c r="M1117" s="8" t="s">
        <v>85</v>
      </c>
      <c r="P1117" s="8" t="str">
        <f>IF(CALL_LOOKUP_BOARD!L333="","",CALL_LOOKUP_BOARD!L333)</f>
        <v>5 STEP</v>
      </c>
      <c r="Q1117" s="8" t="s">
        <v>1523</v>
      </c>
      <c r="R1117" s="14" t="s">
        <v>2731</v>
      </c>
    </row>
    <row r="1118" spans="1:18" ht="50" customHeight="1">
      <c r="A1118" s="8" t="s">
        <v>2786</v>
      </c>
      <c r="B1118" s="8" t="str">
        <f>CALL_LOOKUP_BOARD!C334</f>
        <v>TSUNAMI</v>
      </c>
      <c r="C1118" s="12">
        <f>CALL_LOOKUP_BOARD!D334</f>
        <v>1</v>
      </c>
      <c r="D1118" s="10">
        <f>CALL_LOOKUP_BOARD!E334</f>
        <v>1.0</v>
      </c>
      <c r="E1118" s="10">
        <f>CALL_LOOKUP_BOARD!F334</f>
        <v>0.0</v>
      </c>
      <c r="F1118" s="11">
        <f>CALL_LOOKUP_BOARD!G334</f>
        <v>1.0</v>
      </c>
      <c r="G1118" s="10">
        <f>IF(CALL_LOOKUP_BOARD!Z334=0,"",INDEX($G$811:$G$1055,CALL_LOOKUP_BOARD!Z334-811+1))</f>
        <v>1.0</v>
      </c>
      <c r="H1118" s="10">
        <f>IF(CALL_LOOKUP_BOARD!Z334=0,"",INDEX($H$811:$H$1055,CALL_LOOKUP_BOARD!Z334-811+1))</f>
        <v>0.0</v>
      </c>
      <c r="I1118" s="8" t="str">
        <f>CALL_LOOKUP_BOARD!I334</f>
        <v>TRACK</v>
      </c>
      <c r="J1118" s="11">
        <f>CALL_LOOKUP_BOARD!H334</f>
        <v>99.0</v>
      </c>
      <c r="K1118" s="14" t="str">
        <f>CALL_LOOKUP_BOARD!J334</f>
        <v>Sample Watch • D&amp;D + Concept Match • Concept Proxy</v>
      </c>
      <c r="L1118" s="9" t="str">
        <f>CALL_LOOKUP_BOARD!K334</f>
        <v>Opponent exact-play alert only. No Defensive Exact-Play Sample. Metrics describe the confirmed concept; Track only; not enough sample.</v>
      </c>
      <c r="M1118" s="8" t="s">
        <v>85</v>
      </c>
      <c r="P1118" s="8" t="str">
        <f>IF(CALL_LOOKUP_BOARD!L334="","",CALL_LOOKUP_BOARD!L334)</f>
        <v>OUTSIDE ZONE</v>
      </c>
      <c r="Q1118" s="8" t="s">
        <v>1600</v>
      </c>
      <c r="R1118" s="14" t="s">
        <v>2731</v>
      </c>
    </row>
    <row r="1119" spans="1:18" ht="50" customHeight="1">
      <c r="A1119" s="8" t="s">
        <v>2787</v>
      </c>
      <c r="B1119" s="8" t="str">
        <f>CALL_LOOKUP_BOARD!C335</f>
        <v>TSUNAMI</v>
      </c>
      <c r="C1119" s="12">
        <f>CALL_LOOKUP_BOARD!D335</f>
        <v>1</v>
      </c>
      <c r="D1119" s="10">
        <f>CALL_LOOKUP_BOARD!E335</f>
        <v>1.0</v>
      </c>
      <c r="E1119" s="10">
        <f>CALL_LOOKUP_BOARD!F335</f>
        <v>0.0</v>
      </c>
      <c r="F1119" s="11">
        <f>CALL_LOOKUP_BOARD!G335</f>
        <v>1.0</v>
      </c>
      <c r="G1119" s="10">
        <f>IF(CALL_LOOKUP_BOARD!Z335=0,"",INDEX($G$811:$G$1055,CALL_LOOKUP_BOARD!Z335-811+1))</f>
        <v>1.0</v>
      </c>
      <c r="H1119" s="10">
        <f>IF(CALL_LOOKUP_BOARD!Z335=0,"",INDEX($H$811:$H$1055,CALL_LOOKUP_BOARD!Z335-811+1))</f>
        <v>0.0</v>
      </c>
      <c r="I1119" s="8" t="str">
        <f>CALL_LOOKUP_BOARD!I335</f>
        <v>TRACK</v>
      </c>
      <c r="J1119" s="11">
        <f>CALL_LOOKUP_BOARD!H335</f>
        <v>99.0</v>
      </c>
      <c r="K1119" s="14" t="str">
        <f>CALL_LOOKUP_BOARD!J335</f>
        <v>Sample Watch • D&amp;D + Concept Match • Concept Proxy</v>
      </c>
      <c r="L1119" s="9" t="str">
        <f>CALL_LOOKUP_BOARD!K335</f>
        <v>Opponent exact-play alert only. No Defensive Exact-Play Sample. Metrics describe the confirmed concept; Track only; not enough sample.</v>
      </c>
      <c r="M1119" s="8" t="s">
        <v>85</v>
      </c>
      <c r="P1119" s="8" t="str">
        <f>IF(CALL_LOOKUP_BOARD!L335="","",CALL_LOOKUP_BOARD!L335)</f>
        <v>OUTSIDE ZONE</v>
      </c>
      <c r="Q1119" s="8" t="s">
        <v>815</v>
      </c>
      <c r="R1119" s="14" t="s">
        <v>2731</v>
      </c>
    </row>
    <row r="1120" spans="1:18" ht="50" customHeight="1">
      <c r="A1120" s="8" t="s">
        <v>2788</v>
      </c>
      <c r="B1120" s="8" t="str">
        <f>CALL_LOOKUP_BOARD!C336</f>
        <v>TSUNAMI</v>
      </c>
      <c r="C1120" s="12">
        <f>CALL_LOOKUP_BOARD!D336</f>
        <v>1</v>
      </c>
      <c r="D1120" s="10">
        <f>CALL_LOOKUP_BOARD!E336</f>
        <v>1.0</v>
      </c>
      <c r="E1120" s="10">
        <f>CALL_LOOKUP_BOARD!F336</f>
        <v>0.0</v>
      </c>
      <c r="F1120" s="11">
        <f>CALL_LOOKUP_BOARD!G336</f>
        <v>1.0</v>
      </c>
      <c r="G1120" s="10">
        <f>IF(CALL_LOOKUP_BOARD!Z336=0,"",INDEX($G$811:$G$1055,CALL_LOOKUP_BOARD!Z336-811+1))</f>
        <v>1.0</v>
      </c>
      <c r="H1120" s="10">
        <f>IF(CALL_LOOKUP_BOARD!Z336=0,"",INDEX($H$811:$H$1055,CALL_LOOKUP_BOARD!Z336-811+1))</f>
        <v>0.0</v>
      </c>
      <c r="I1120" s="8" t="str">
        <f>CALL_LOOKUP_BOARD!I336</f>
        <v>TRACK</v>
      </c>
      <c r="J1120" s="11">
        <f>CALL_LOOKUP_BOARD!H336</f>
        <v>99.0</v>
      </c>
      <c r="K1120" s="14" t="str">
        <f>CALL_LOOKUP_BOARD!J336</f>
        <v>Sample Watch • D&amp;D + Concept Match • Concept Proxy</v>
      </c>
      <c r="L1120" s="9" t="str">
        <f>CALL_LOOKUP_BOARD!K336</f>
        <v>Opponent exact-play alert only. No Defensive Exact-Play Sample. Metrics describe the confirmed concept; Track only; not enough sample.</v>
      </c>
      <c r="M1120" s="8" t="s">
        <v>85</v>
      </c>
      <c r="P1120" s="8" t="str">
        <f>IF(CALL_LOOKUP_BOARD!L336="","",CALL_LOOKUP_BOARD!L336)</f>
        <v>OUTSIDE ZONE</v>
      </c>
      <c r="Q1120" s="8" t="s">
        <v>1398</v>
      </c>
      <c r="R1120" s="14" t="s">
        <v>2731</v>
      </c>
    </row>
    <row r="1121" spans="1:18" ht="50" customHeight="1">
      <c r="A1121" s="8" t="s">
        <v>2789</v>
      </c>
      <c r="B1121" s="8" t="str">
        <f>CALL_LOOKUP_BOARD!C337</f>
        <v>SMOKE WHITE</v>
      </c>
      <c r="C1121" s="12">
        <f>CALL_LOOKUP_BOARD!D337</f>
        <v>3</v>
      </c>
      <c r="D1121" s="10">
        <f>CALL_LOOKUP_BOARD!E337</f>
        <v>0.6666666666666666</v>
      </c>
      <c r="E1121" s="10">
        <f>CALL_LOOKUP_BOARD!F337</f>
        <v>0.0</v>
      </c>
      <c r="F1121" s="11">
        <f>CALL_LOOKUP_BOARD!G337</f>
        <v>3.3333333333333335</v>
      </c>
      <c r="G1121" s="10">
        <f>IF(CALL_LOOKUP_BOARD!Z337=0,"",INDEX($G$811:$G$1055,CALL_LOOKUP_BOARD!Z337-811+1))</f>
        <v>0.0</v>
      </c>
      <c r="H1121" s="10">
        <f>IF(CALL_LOOKUP_BOARD!Z337=0,"",INDEX($H$811:$H$1055,CALL_LOOKUP_BOARD!Z337-811+1))</f>
        <v>1.0</v>
      </c>
      <c r="I1121" s="8" t="str">
        <f>CALL_LOOKUP_BOARD!I337</f>
        <v>LOW</v>
      </c>
      <c r="J1121" s="11">
        <f>CALL_LOOKUP_BOARD!H337</f>
        <v>73.3</v>
      </c>
      <c r="K1121" s="14" t="str">
        <f>CALL_LOOKUP_BOARD!J337</f>
        <v>Sample Watch • D&amp;D + Concept Match • Concept Proxy</v>
      </c>
      <c r="L1121" s="9" t="str">
        <f>CALL_LOOKUP_BOARD!K337</f>
        <v>Opponent exact-play alert only. No Defensive Exact-Play Sample. Metrics describe the confirmed concept; Good signal, but sample is limited.</v>
      </c>
      <c r="M1121" s="8" t="s">
        <v>85</v>
      </c>
      <c r="P1121" s="8" t="str">
        <f>IF(CALL_LOOKUP_BOARD!L337="","",CALL_LOOKUP_BOARD!L337)</f>
        <v>5 STEP</v>
      </c>
      <c r="Q1121" s="8" t="s">
        <v>1528</v>
      </c>
      <c r="R1121" s="14" t="s">
        <v>2731</v>
      </c>
    </row>
    <row r="1122" spans="1:18" ht="50" customHeight="1">
      <c r="A1122" s="8" t="s">
        <v>2790</v>
      </c>
      <c r="B1122" s="8" t="str">
        <f>CALL_LOOKUP_BOARD!C338</f>
        <v>Film Review Required</v>
      </c>
      <c r="C1122" s="12">
        <f>CALL_LOOKUP_BOARD!D338</f>
        <v/>
      </c>
      <c r="D1122" s="10">
        <f>CALL_LOOKUP_BOARD!E338</f>
        <v/>
      </c>
      <c r="E1122" s="10">
        <f>CALL_LOOKUP_BOARD!F338</f>
        <v/>
      </c>
      <c r="F1122" s="11">
        <f>CALL_LOOKUP_BOARD!G338</f>
        <v/>
      </c>
      <c r="G1122" s="10">
        <f>IF(CALL_LOOKUP_BOARD!Z338=0,"",INDEX($G$811:$G$1055,CALL_LOOKUP_BOARD!Z338-811+1))</f>
        <v/>
      </c>
      <c r="H1122" s="10">
        <f>IF(CALL_LOOKUP_BOARD!Z338=0,"",INDEX($H$811:$H$1055,CALL_LOOKUP_BOARD!Z338-811+1))</f>
        <v/>
      </c>
      <c r="I1122" s="8">
        <f>CALL_LOOKUP_BOARD!I338</f>
        <v/>
      </c>
      <c r="J1122" s="11">
        <f>CALL_LOOKUP_BOARD!H338</f>
        <v/>
      </c>
      <c r="K1122" s="14" t="str">
        <f>CALL_LOOKUP_BOARD!J338</f>
        <v>Film Review Required</v>
      </c>
      <c r="L1122" s="9" t="str">
        <f>CALL_LOOKUP_BOARD!K338</f>
        <v>Opponent exact-play alert only. No Defensive Exact-Play Sample. Confirm concept mapping and review film before treating this as a defensive candidate.</v>
      </c>
      <c r="M1122" s="8" t="s">
        <v>85</v>
      </c>
      <c r="P1122" s="8" t="str">
        <f>IF(CALL_LOOKUP_BOARD!L338="","",CALL_LOOKUP_BOARD!L338)</f>
        <v>SCREEN</v>
      </c>
      <c r="Q1122" s="8" t="s">
        <v>819</v>
      </c>
      <c r="R1122" s="14" t="s">
        <v>2731</v>
      </c>
    </row>
    <row r="1123" spans="1:18" ht="50" customHeight="1">
      <c r="A1123" s="8" t="s">
        <v>2791</v>
      </c>
      <c r="B1123" s="8" t="str">
        <f>CALL_LOOKUP_BOARD!C339</f>
        <v>Film Review Required</v>
      </c>
      <c r="C1123" s="12">
        <f>CALL_LOOKUP_BOARD!D339</f>
        <v/>
      </c>
      <c r="D1123" s="10">
        <f>CALL_LOOKUP_BOARD!E339</f>
        <v/>
      </c>
      <c r="E1123" s="10">
        <f>CALL_LOOKUP_BOARD!F339</f>
        <v/>
      </c>
      <c r="F1123" s="11">
        <f>CALL_LOOKUP_BOARD!G339</f>
        <v/>
      </c>
      <c r="G1123" s="10">
        <f>IF(CALL_LOOKUP_BOARD!Z339=0,"",INDEX($G$811:$G$1055,CALL_LOOKUP_BOARD!Z339-811+1))</f>
        <v/>
      </c>
      <c r="H1123" s="10">
        <f>IF(CALL_LOOKUP_BOARD!Z339=0,"",INDEX($H$811:$H$1055,CALL_LOOKUP_BOARD!Z339-811+1))</f>
        <v/>
      </c>
      <c r="I1123" s="8">
        <f>CALL_LOOKUP_BOARD!I339</f>
        <v/>
      </c>
      <c r="J1123" s="11">
        <f>CALL_LOOKUP_BOARD!H339</f>
        <v/>
      </c>
      <c r="K1123" s="14" t="str">
        <f>CALL_LOOKUP_BOARD!J339</f>
        <v>Film Review Required</v>
      </c>
      <c r="L1123" s="9" t="str">
        <f>CALL_LOOKUP_BOARD!K339</f>
        <v>Opponent exact-play alert only. No Defensive Exact-Play Sample. Confirm concept mapping and review film before treating this as a defensive candidate.</v>
      </c>
      <c r="M1123" s="8" t="s">
        <v>85</v>
      </c>
      <c r="P1123" s="8" t="str">
        <f>IF(CALL_LOOKUP_BOARD!L339="","",CALL_LOOKUP_BOARD!L339)</f>
        <v>TRAP</v>
      </c>
      <c r="Q1123" s="8" t="s">
        <v>1566</v>
      </c>
      <c r="R1123" s="14" t="s">
        <v>2731</v>
      </c>
    </row>
    <row r="1124" spans="1:18" ht="50" customHeight="1">
      <c r="A1124" s="8" t="s">
        <v>2792</v>
      </c>
      <c r="B1124" s="8" t="str">
        <f>CALL_LOOKUP_BOARD!C340</f>
        <v>FALCON</v>
      </c>
      <c r="C1124" s="12">
        <f>CALL_LOOKUP_BOARD!D340</f>
        <v>1</v>
      </c>
      <c r="D1124" s="10">
        <f>CALL_LOOKUP_BOARD!E340</f>
        <v>1.0</v>
      </c>
      <c r="E1124" s="10">
        <f>CALL_LOOKUP_BOARD!F340</f>
        <v>0.0</v>
      </c>
      <c r="F1124" s="11">
        <f>CALL_LOOKUP_BOARD!G340</f>
        <v>0.0</v>
      </c>
      <c r="G1124" s="10">
        <f>IF(CALL_LOOKUP_BOARD!Z340=0,"",INDEX($G$811:$G$1055,CALL_LOOKUP_BOARD!Z340-811+1))</f>
        <v>0.0</v>
      </c>
      <c r="H1124" s="10">
        <f>IF(CALL_LOOKUP_BOARD!Z340=0,"",INDEX($H$811:$H$1055,CALL_LOOKUP_BOARD!Z340-811+1))</f>
        <v>1.0</v>
      </c>
      <c r="I1124" s="8" t="str">
        <f>CALL_LOOKUP_BOARD!I340</f>
        <v>TRACK</v>
      </c>
      <c r="J1124" s="11">
        <f>CALL_LOOKUP_BOARD!H340</f>
        <v>100.0</v>
      </c>
      <c r="K1124" s="14" t="str">
        <f>CALL_LOOKUP_BOARD!J340</f>
        <v>Sample Watch • D&amp;D + Concept Match • Concept Proxy</v>
      </c>
      <c r="L1124" s="9" t="str">
        <f>CALL_LOOKUP_BOARD!K340</f>
        <v>Opponent exact-play alert only. No Defensive Exact-Play Sample. Metrics describe the confirmed concept; Track only; not enough sample.</v>
      </c>
      <c r="M1124" s="8" t="s">
        <v>85</v>
      </c>
      <c r="P1124" s="8" t="str">
        <f>IF(CALL_LOOKUP_BOARD!L340="","",CALL_LOOKUP_BOARD!L340)</f>
        <v>3 STEP</v>
      </c>
      <c r="Q1124" s="8" t="s">
        <v>1516</v>
      </c>
      <c r="R1124" s="14" t="s">
        <v>2731</v>
      </c>
    </row>
    <row r="1125" spans="1:18" ht="50" customHeight="1">
      <c r="A1125" s="8" t="s">
        <v>2793</v>
      </c>
      <c r="B1125" s="8" t="str">
        <f>CALL_LOOKUP_BOARD!C341</f>
        <v>SMOKE WHITE</v>
      </c>
      <c r="C1125" s="12">
        <f>CALL_LOOKUP_BOARD!D341</f>
        <v>3</v>
      </c>
      <c r="D1125" s="10">
        <f>CALL_LOOKUP_BOARD!E341</f>
        <v>0.6666666666666666</v>
      </c>
      <c r="E1125" s="10">
        <f>CALL_LOOKUP_BOARD!F341</f>
        <v>0.0</v>
      </c>
      <c r="F1125" s="11">
        <f>CALL_LOOKUP_BOARD!G341</f>
        <v>3.3333333333333335</v>
      </c>
      <c r="G1125" s="10">
        <f>IF(CALL_LOOKUP_BOARD!Z341=0,"",INDEX($G$811:$G$1055,CALL_LOOKUP_BOARD!Z341-811+1))</f>
        <v>0.0</v>
      </c>
      <c r="H1125" s="10">
        <f>IF(CALL_LOOKUP_BOARD!Z341=0,"",INDEX($H$811:$H$1055,CALL_LOOKUP_BOARD!Z341-811+1))</f>
        <v>1.0</v>
      </c>
      <c r="I1125" s="8" t="str">
        <f>CALL_LOOKUP_BOARD!I341</f>
        <v>LOW</v>
      </c>
      <c r="J1125" s="11">
        <f>CALL_LOOKUP_BOARD!H341</f>
        <v>73.3</v>
      </c>
      <c r="K1125" s="14" t="str">
        <f>CALL_LOOKUP_BOARD!J341</f>
        <v>Sample Watch • D&amp;D + Concept Match • Concept Proxy</v>
      </c>
      <c r="L1125" s="9" t="str">
        <f>CALL_LOOKUP_BOARD!K341</f>
        <v>Opponent exact-play alert only. No Defensive Exact-Play Sample. Metrics describe the confirmed concept; Good signal, but sample is limited.</v>
      </c>
      <c r="M1125" s="8" t="s">
        <v>85</v>
      </c>
      <c r="P1125" s="8" t="str">
        <f>IF(CALL_LOOKUP_BOARD!L341="","",CALL_LOOKUP_BOARD!L341)</f>
        <v>5 STEP</v>
      </c>
      <c r="Q1125" s="8" t="s">
        <v>1550</v>
      </c>
      <c r="R1125" s="14" t="s">
        <v>2731</v>
      </c>
    </row>
    <row r="1126" spans="1:18" ht="50" customHeight="1">
      <c r="A1126" s="8" t="s">
        <v>2794</v>
      </c>
      <c r="B1126" s="8" t="str">
        <f>CALL_LOOKUP_BOARD!C342</f>
        <v>STICK TEX</v>
      </c>
      <c r="C1126" s="12">
        <f>CALL_LOOKUP_BOARD!D342</f>
        <v>2</v>
      </c>
      <c r="D1126" s="10">
        <f>CALL_LOOKUP_BOARD!E342</f>
        <v>0.5</v>
      </c>
      <c r="E1126" s="10">
        <f>CALL_LOOKUP_BOARD!F342</f>
        <v>0.0</v>
      </c>
      <c r="F1126" s="11">
        <f>CALL_LOOKUP_BOARD!G342</f>
        <v>2.0</v>
      </c>
      <c r="G1126" s="10">
        <f>IF(CALL_LOOKUP_BOARD!Z342=0,"",INDEX($G$811:$G$1055,CALL_LOOKUP_BOARD!Z342-811+1))</f>
        <v>1.0</v>
      </c>
      <c r="H1126" s="10">
        <f>IF(CALL_LOOKUP_BOARD!Z342=0,"",INDEX($H$811:$H$1055,CALL_LOOKUP_BOARD!Z342-811+1))</f>
        <v>0.0</v>
      </c>
      <c r="I1126" s="8" t="str">
        <f>CALL_LOOKUP_BOARD!I342</f>
        <v>TRACK</v>
      </c>
      <c r="J1126" s="11">
        <f>CALL_LOOKUP_BOARD!H342</f>
        <v>63.0</v>
      </c>
      <c r="K1126" s="14" t="str">
        <f>CALL_LOOKUP_BOARD!J342</f>
        <v>Sample Watch • D&amp;D + Concept Match • Concept Proxy</v>
      </c>
      <c r="L1126" s="9" t="str">
        <f>CALL_LOOKUP_BOARD!K342</f>
        <v>Opponent exact-play alert only. No Defensive Exact-Play Sample. Metrics describe the confirmed concept; Track only; not enough sample.</v>
      </c>
      <c r="M1126" s="8" t="s">
        <v>85</v>
      </c>
      <c r="P1126" s="8" t="str">
        <f>IF(CALL_LOOKUP_BOARD!L342="","",CALL_LOOKUP_BOARD!L342)</f>
        <v>INSIDE ZONE</v>
      </c>
      <c r="Q1126" s="8" t="s">
        <v>818</v>
      </c>
      <c r="R1126" s="14" t="s">
        <v>2731</v>
      </c>
    </row>
    <row r="1127" spans="1:18" ht="50" customHeight="1">
      <c r="A1127" s="8" t="s">
        <v>2795</v>
      </c>
      <c r="B1127" s="8" t="str">
        <f>CALL_LOOKUP_BOARD!C343</f>
        <v>STICK TEX</v>
      </c>
      <c r="C1127" s="12">
        <f>CALL_LOOKUP_BOARD!D343</f>
        <v>2</v>
      </c>
      <c r="D1127" s="10">
        <f>CALL_LOOKUP_BOARD!E343</f>
        <v>0.5</v>
      </c>
      <c r="E1127" s="10">
        <f>CALL_LOOKUP_BOARD!F343</f>
        <v>0.0</v>
      </c>
      <c r="F1127" s="11">
        <f>CALL_LOOKUP_BOARD!G343</f>
        <v>2.0</v>
      </c>
      <c r="G1127" s="10">
        <f>IF(CALL_LOOKUP_BOARD!Z343=0,"",INDEX($G$811:$G$1055,CALL_LOOKUP_BOARD!Z343-811+1))</f>
        <v>1.0</v>
      </c>
      <c r="H1127" s="10">
        <f>IF(CALL_LOOKUP_BOARD!Z343=0,"",INDEX($H$811:$H$1055,CALL_LOOKUP_BOARD!Z343-811+1))</f>
        <v>0.0</v>
      </c>
      <c r="I1127" s="8" t="str">
        <f>CALL_LOOKUP_BOARD!I343</f>
        <v>TRACK</v>
      </c>
      <c r="J1127" s="11">
        <f>CALL_LOOKUP_BOARD!H343</f>
        <v>63.0</v>
      </c>
      <c r="K1127" s="14" t="str">
        <f>CALL_LOOKUP_BOARD!J343</f>
        <v>Sample Watch • D&amp;D + Concept Match • Concept Proxy</v>
      </c>
      <c r="L1127" s="9" t="str">
        <f>CALL_LOOKUP_BOARD!K343</f>
        <v>Opponent exact-play alert only. No Defensive Exact-Play Sample. Metrics describe the confirmed concept; Track only; not enough sample.</v>
      </c>
      <c r="M1127" s="8" t="s">
        <v>85</v>
      </c>
      <c r="P1127" s="8" t="str">
        <f>IF(CALL_LOOKUP_BOARD!L343="","",CALL_LOOKUP_BOARD!L343)</f>
        <v>INSIDE ZONE</v>
      </c>
      <c r="Q1127" s="8" t="s">
        <v>1583</v>
      </c>
      <c r="R1127" s="14" t="s">
        <v>2731</v>
      </c>
    </row>
    <row r="1128" spans="1:18" ht="50" customHeight="1">
      <c r="A1128" s="8" t="s">
        <v>2796</v>
      </c>
      <c r="B1128" s="8" t="str">
        <f>CALL_LOOKUP_BOARD!C344</f>
        <v>Film Review Required</v>
      </c>
      <c r="C1128" s="12">
        <f>CALL_LOOKUP_BOARD!D344</f>
        <v/>
      </c>
      <c r="D1128" s="10">
        <f>CALL_LOOKUP_BOARD!E344</f>
        <v/>
      </c>
      <c r="E1128" s="10">
        <f>CALL_LOOKUP_BOARD!F344</f>
        <v/>
      </c>
      <c r="F1128" s="11">
        <f>CALL_LOOKUP_BOARD!G344</f>
        <v/>
      </c>
      <c r="G1128" s="10">
        <f>IF(CALL_LOOKUP_BOARD!Z344=0,"",INDEX($G$811:$G$1055,CALL_LOOKUP_BOARD!Z344-811+1))</f>
        <v/>
      </c>
      <c r="H1128" s="10">
        <f>IF(CALL_LOOKUP_BOARD!Z344=0,"",INDEX($H$811:$H$1055,CALL_LOOKUP_BOARD!Z344-811+1))</f>
        <v/>
      </c>
      <c r="I1128" s="8">
        <f>CALL_LOOKUP_BOARD!I344</f>
        <v/>
      </c>
      <c r="J1128" s="11">
        <f>CALL_LOOKUP_BOARD!H344</f>
        <v/>
      </c>
      <c r="K1128" s="14" t="str">
        <f>CALL_LOOKUP_BOARD!J344</f>
        <v>Film Review Required</v>
      </c>
      <c r="L1128" s="9" t="str">
        <f>CALL_LOOKUP_BOARD!K344</f>
        <v>Opponent exact-play alert only. No Defensive Exact-Play Sample. Confirm concept mapping and review film before treating this as a defensive candidate.</v>
      </c>
      <c r="M1128" s="8" t="s">
        <v>85</v>
      </c>
      <c r="P1128" s="8">
        <f>IF(CALL_LOOKUP_BOARD!L344="","",CALL_LOOKUP_BOARD!L344)</f>
        <v/>
      </c>
      <c r="Q1128" s="8" t="s">
        <v>816</v>
      </c>
      <c r="R1128" s="14" t="s">
        <v>2731</v>
      </c>
    </row>
    <row r="1129" spans="1:18" ht="50" customHeight="1">
      <c r="A1129" s="8" t="s">
        <v>2797</v>
      </c>
      <c r="B1129" s="8" t="str">
        <f>CALL_LOOKUP_BOARD!C345</f>
        <v>Film Review Required</v>
      </c>
      <c r="C1129" s="12">
        <f>CALL_LOOKUP_BOARD!D345</f>
        <v/>
      </c>
      <c r="D1129" s="10">
        <f>CALL_LOOKUP_BOARD!E345</f>
        <v/>
      </c>
      <c r="E1129" s="10">
        <f>CALL_LOOKUP_BOARD!F345</f>
        <v/>
      </c>
      <c r="F1129" s="11">
        <f>CALL_LOOKUP_BOARD!G345</f>
        <v/>
      </c>
      <c r="G1129" s="10">
        <f>IF(CALL_LOOKUP_BOARD!Z345=0,"",INDEX($G$811:$G$1055,CALL_LOOKUP_BOARD!Z345-811+1))</f>
        <v/>
      </c>
      <c r="H1129" s="10">
        <f>IF(CALL_LOOKUP_BOARD!Z345=0,"",INDEX($H$811:$H$1055,CALL_LOOKUP_BOARD!Z345-811+1))</f>
        <v/>
      </c>
      <c r="I1129" s="8">
        <f>CALL_LOOKUP_BOARD!I345</f>
        <v/>
      </c>
      <c r="J1129" s="11">
        <f>CALL_LOOKUP_BOARD!H345</f>
        <v/>
      </c>
      <c r="K1129" s="14" t="str">
        <f>CALL_LOOKUP_BOARD!J345</f>
        <v>Film Review Required</v>
      </c>
      <c r="L1129" s="9" t="str">
        <f>CALL_LOOKUP_BOARD!K345</f>
        <v>Opponent exact-play alert only. No Defensive Exact-Play Sample. Confirm concept mapping and review film before treating this as a defensive candidate.</v>
      </c>
      <c r="M1129" s="8" t="s">
        <v>85</v>
      </c>
      <c r="P1129" s="8" t="str">
        <f>IF(CALL_LOOKUP_BOARD!L345="","",CALL_LOOKUP_BOARD!L345)</f>
        <v>OPTION</v>
      </c>
      <c r="Q1129" s="8" t="s">
        <v>1422</v>
      </c>
      <c r="R1129" s="14" t="s">
        <v>2731</v>
      </c>
    </row>
    <row r="1130" spans="1:18" ht="50" customHeight="1">
      <c r="A1130" s="8" t="s">
        <v>2798</v>
      </c>
      <c r="B1130" s="8" t="str">
        <f>CALL_LOOKUP_BOARD!C346</f>
        <v>Film Review Required</v>
      </c>
      <c r="C1130" s="12">
        <f>CALL_LOOKUP_BOARD!D346</f>
        <v/>
      </c>
      <c r="D1130" s="10">
        <f>CALL_LOOKUP_BOARD!E346</f>
        <v/>
      </c>
      <c r="E1130" s="10">
        <f>CALL_LOOKUP_BOARD!F346</f>
        <v/>
      </c>
      <c r="F1130" s="11">
        <f>CALL_LOOKUP_BOARD!G346</f>
        <v/>
      </c>
      <c r="G1130" s="10">
        <f>IF(CALL_LOOKUP_BOARD!Z346=0,"",INDEX($G$811:$G$1055,CALL_LOOKUP_BOARD!Z346-811+1))</f>
        <v/>
      </c>
      <c r="H1130" s="10">
        <f>IF(CALL_LOOKUP_BOARD!Z346=0,"",INDEX($H$811:$H$1055,CALL_LOOKUP_BOARD!Z346-811+1))</f>
        <v/>
      </c>
      <c r="I1130" s="8">
        <f>CALL_LOOKUP_BOARD!I346</f>
        <v/>
      </c>
      <c r="J1130" s="11">
        <f>CALL_LOOKUP_BOARD!H346</f>
        <v/>
      </c>
      <c r="K1130" s="14" t="str">
        <f>CALL_LOOKUP_BOARD!J346</f>
        <v>Film Review Required</v>
      </c>
      <c r="L1130" s="9" t="str">
        <f>CALL_LOOKUP_BOARD!K346</f>
        <v>Opponent exact-play alert only. No Defensive Exact-Play Sample. Confirm concept mapping and review film before treating this as a defensive candidate.</v>
      </c>
      <c r="M1130" s="8" t="s">
        <v>92</v>
      </c>
      <c r="P1130" s="8" t="str">
        <f>IF(CALL_LOOKUP_BOARD!L346="","",CALL_LOOKUP_BOARD!L346)</f>
        <v>OUTSIDE ZONE</v>
      </c>
      <c r="Q1130" s="8" t="s">
        <v>815</v>
      </c>
      <c r="R1130" s="14" t="s">
        <v>2731</v>
      </c>
    </row>
    <row r="1131" spans="1:18" ht="50" customHeight="1">
      <c r="A1131" s="8" t="s">
        <v>2799</v>
      </c>
      <c r="B1131" s="8" t="str">
        <f>CALL_LOOKUP_BOARD!C347</f>
        <v>Film Review Required</v>
      </c>
      <c r="C1131" s="12">
        <f>CALL_LOOKUP_BOARD!D347</f>
        <v/>
      </c>
      <c r="D1131" s="10">
        <f>CALL_LOOKUP_BOARD!E347</f>
        <v/>
      </c>
      <c r="E1131" s="10">
        <f>CALL_LOOKUP_BOARD!F347</f>
        <v/>
      </c>
      <c r="F1131" s="11">
        <f>CALL_LOOKUP_BOARD!G347</f>
        <v/>
      </c>
      <c r="G1131" s="10">
        <f>IF(CALL_LOOKUP_BOARD!Z347=0,"",INDEX($G$811:$G$1055,CALL_LOOKUP_BOARD!Z347-811+1))</f>
        <v/>
      </c>
      <c r="H1131" s="10">
        <f>IF(CALL_LOOKUP_BOARD!Z347=0,"",INDEX($H$811:$H$1055,CALL_LOOKUP_BOARD!Z347-811+1))</f>
        <v/>
      </c>
      <c r="I1131" s="8">
        <f>CALL_LOOKUP_BOARD!I347</f>
        <v/>
      </c>
      <c r="J1131" s="11">
        <f>CALL_LOOKUP_BOARD!H347</f>
        <v/>
      </c>
      <c r="K1131" s="14" t="str">
        <f>CALL_LOOKUP_BOARD!J347</f>
        <v>Film Review Required</v>
      </c>
      <c r="L1131" s="9" t="str">
        <f>CALL_LOOKUP_BOARD!K347</f>
        <v>Opponent exact-play alert only. No Defensive Exact-Play Sample. Confirm concept mapping and review film before treating this as a defensive candidate.</v>
      </c>
      <c r="M1131" s="8" t="s">
        <v>92</v>
      </c>
      <c r="P1131" s="8" t="str">
        <f>IF(CALL_LOOKUP_BOARD!L347="","",CALL_LOOKUP_BOARD!L347)</f>
        <v>G</v>
      </c>
      <c r="Q1131" s="8" t="s">
        <v>1451</v>
      </c>
      <c r="R1131" s="14" t="s">
        <v>2731</v>
      </c>
    </row>
    <row r="1132" spans="1:18" ht="50" customHeight="1">
      <c r="A1132" s="8" t="s">
        <v>2800</v>
      </c>
      <c r="B1132" s="8" t="str">
        <f>CALL_LOOKUP_BOARD!C348</f>
        <v>Film Review Required</v>
      </c>
      <c r="C1132" s="12">
        <f>CALL_LOOKUP_BOARD!D348</f>
        <v/>
      </c>
      <c r="D1132" s="10">
        <f>CALL_LOOKUP_BOARD!E348</f>
        <v/>
      </c>
      <c r="E1132" s="10">
        <f>CALL_LOOKUP_BOARD!F348</f>
        <v/>
      </c>
      <c r="F1132" s="11">
        <f>CALL_LOOKUP_BOARD!G348</f>
        <v/>
      </c>
      <c r="G1132" s="10">
        <f>IF(CALL_LOOKUP_BOARD!Z348=0,"",INDEX($G$811:$G$1055,CALL_LOOKUP_BOARD!Z348-811+1))</f>
        <v/>
      </c>
      <c r="H1132" s="10">
        <f>IF(CALL_LOOKUP_BOARD!Z348=0,"",INDEX($H$811:$H$1055,CALL_LOOKUP_BOARD!Z348-811+1))</f>
        <v/>
      </c>
      <c r="I1132" s="8">
        <f>CALL_LOOKUP_BOARD!I348</f>
        <v/>
      </c>
      <c r="J1132" s="11">
        <f>CALL_LOOKUP_BOARD!H348</f>
        <v/>
      </c>
      <c r="K1132" s="14" t="str">
        <f>CALL_LOOKUP_BOARD!J348</f>
        <v>Film Review Required</v>
      </c>
      <c r="L1132" s="9" t="str">
        <f>CALL_LOOKUP_BOARD!K348</f>
        <v>Opponent exact-play alert only. No Defensive Exact-Play Sample. Confirm concept mapping and review film before treating this as a defensive candidate.</v>
      </c>
      <c r="M1132" s="8" t="s">
        <v>92</v>
      </c>
      <c r="P1132" s="8">
        <f>IF(CALL_LOOKUP_BOARD!L348="","",CALL_LOOKUP_BOARD!L348)</f>
        <v/>
      </c>
      <c r="Q1132" s="8" t="s">
        <v>820</v>
      </c>
      <c r="R1132" s="14" t="s">
        <v>2731</v>
      </c>
    </row>
    <row r="1133" spans="1:18" ht="50" customHeight="1">
      <c r="A1133" s="8" t="s">
        <v>2801</v>
      </c>
      <c r="B1133" s="8" t="str">
        <f>CALL_LOOKUP_BOARD!C349</f>
        <v>$ BANJO POP POP</v>
      </c>
      <c r="C1133" s="12">
        <f>CALL_LOOKUP_BOARD!D349</f>
        <v>1</v>
      </c>
      <c r="D1133" s="10">
        <f>CALL_LOOKUP_BOARD!E349</f>
        <v>1.0</v>
      </c>
      <c r="E1133" s="10">
        <f>CALL_LOOKUP_BOARD!F349</f>
        <v>0.0</v>
      </c>
      <c r="F1133" s="11">
        <f>CALL_LOOKUP_BOARD!G349</f>
        <v>0.0</v>
      </c>
      <c r="G1133" s="10">
        <f>IF(CALL_LOOKUP_BOARD!Z349=0,"",INDEX($G$811:$G$1055,CALL_LOOKUP_BOARD!Z349-811+1))</f>
        <v>0.0</v>
      </c>
      <c r="H1133" s="10">
        <f>IF(CALL_LOOKUP_BOARD!Z349=0,"",INDEX($H$811:$H$1055,CALL_LOOKUP_BOARD!Z349-811+1))</f>
        <v>1.0</v>
      </c>
      <c r="I1133" s="8" t="str">
        <f>CALL_LOOKUP_BOARD!I349</f>
        <v>TRACK</v>
      </c>
      <c r="J1133" s="11">
        <f>CALL_LOOKUP_BOARD!H349</f>
        <v>100.0</v>
      </c>
      <c r="K1133" s="14" t="str">
        <f>CALL_LOOKUP_BOARD!J349</f>
        <v>Sample Watch • D&amp;D + Concept Match • Concept Proxy</v>
      </c>
      <c r="L1133" s="9" t="str">
        <f>CALL_LOOKUP_BOARD!K349</f>
        <v>Opponent exact-play alert only. No Defensive Exact-Play Sample. Metrics describe the confirmed concept; Track only; not enough sample.</v>
      </c>
      <c r="M1133" s="8" t="s">
        <v>92</v>
      </c>
      <c r="P1133" s="8" t="str">
        <f>IF(CALL_LOOKUP_BOARD!L349="","",CALL_LOOKUP_BOARD!L349)</f>
        <v>5 STEP</v>
      </c>
      <c r="Q1133" s="8" t="s">
        <v>1662</v>
      </c>
      <c r="R1133" s="14" t="s">
        <v>2731</v>
      </c>
    </row>
    <row r="1134" spans="1:18" ht="50" customHeight="1">
      <c r="A1134" s="8" t="s">
        <v>2802</v>
      </c>
      <c r="B1134" s="8" t="str">
        <f>CALL_LOOKUP_BOARD!C350</f>
        <v>Film Review Required</v>
      </c>
      <c r="C1134" s="12">
        <f>CALL_LOOKUP_BOARD!D350</f>
        <v/>
      </c>
      <c r="D1134" s="10">
        <f>CALL_LOOKUP_BOARD!E350</f>
        <v/>
      </c>
      <c r="E1134" s="10">
        <f>CALL_LOOKUP_BOARD!F350</f>
        <v/>
      </c>
      <c r="F1134" s="11">
        <f>CALL_LOOKUP_BOARD!G350</f>
        <v/>
      </c>
      <c r="G1134" s="10">
        <f>IF(CALL_LOOKUP_BOARD!Z350=0,"",INDEX($G$811:$G$1055,CALL_LOOKUP_BOARD!Z350-811+1))</f>
        <v/>
      </c>
      <c r="H1134" s="10">
        <f>IF(CALL_LOOKUP_BOARD!Z350=0,"",INDEX($H$811:$H$1055,CALL_LOOKUP_BOARD!Z350-811+1))</f>
        <v/>
      </c>
      <c r="I1134" s="8">
        <f>CALL_LOOKUP_BOARD!I350</f>
        <v/>
      </c>
      <c r="J1134" s="11">
        <f>CALL_LOOKUP_BOARD!H350</f>
        <v/>
      </c>
      <c r="K1134" s="14" t="str">
        <f>CALL_LOOKUP_BOARD!J350</f>
        <v>Film Review Required</v>
      </c>
      <c r="L1134" s="9" t="str">
        <f>CALL_LOOKUP_BOARD!K350</f>
        <v>Opponent exact-play alert only. No Defensive Exact-Play Sample. Confirm concept mapping and review film before treating this as a defensive candidate.</v>
      </c>
      <c r="M1134" s="8" t="s">
        <v>92</v>
      </c>
      <c r="P1134" s="8" t="str">
        <f>IF(CALL_LOOKUP_BOARD!L350="","",CALL_LOOKUP_BOARD!L350)</f>
        <v>SCREEN</v>
      </c>
      <c r="Q1134" s="8" t="s">
        <v>1650</v>
      </c>
      <c r="R1134" s="14" t="s">
        <v>2731</v>
      </c>
    </row>
    <row r="1135" spans="1:18" ht="50" customHeight="1">
      <c r="A1135" s="8" t="s">
        <v>2803</v>
      </c>
      <c r="B1135" s="8" t="str">
        <f>CALL_LOOKUP_BOARD!C351</f>
        <v>STUD</v>
      </c>
      <c r="C1135" s="12">
        <f>CALL_LOOKUP_BOARD!D351</f>
        <v>1</v>
      </c>
      <c r="D1135" s="10">
        <f>CALL_LOOKUP_BOARD!E351</f>
        <v>0.0</v>
      </c>
      <c r="E1135" s="10">
        <f>CALL_LOOKUP_BOARD!F351</f>
        <v>0.0</v>
      </c>
      <c r="F1135" s="11">
        <f>CALL_LOOKUP_BOARD!G351</f>
        <v>1.0</v>
      </c>
      <c r="G1135" s="10">
        <f>IF(CALL_LOOKUP_BOARD!Z351=0,"",INDEX($G$811:$G$1055,CALL_LOOKUP_BOARD!Z351-811+1))</f>
        <v>1.0</v>
      </c>
      <c r="H1135" s="10">
        <f>IF(CALL_LOOKUP_BOARD!Z351=0,"",INDEX($H$811:$H$1055,CALL_LOOKUP_BOARD!Z351-811+1))</f>
        <v>0.0</v>
      </c>
      <c r="I1135" s="8" t="str">
        <f>CALL_LOOKUP_BOARD!I351</f>
        <v>TRACK</v>
      </c>
      <c r="J1135" s="11">
        <f>CALL_LOOKUP_BOARD!H351</f>
        <v>29.0</v>
      </c>
      <c r="K1135" s="14" t="str">
        <f>CALL_LOOKUP_BOARD!J351</f>
        <v>Sample Watch • D&amp;D + Concept Match • Concept Proxy</v>
      </c>
      <c r="L1135" s="9" t="str">
        <f>CALL_LOOKUP_BOARD!K351</f>
        <v>Opponent exact-play alert only. No Defensive Exact-Play Sample. Metrics describe the confirmed concept; Track only; not enough sample.</v>
      </c>
      <c r="M1135" s="8" t="s">
        <v>92</v>
      </c>
      <c r="P1135" s="8" t="str">
        <f>IF(CALL_LOOKUP_BOARD!L351="","",CALL_LOOKUP_BOARD!L351)</f>
        <v>INSIDE ZONE</v>
      </c>
      <c r="Q1135" s="8" t="s">
        <v>824</v>
      </c>
      <c r="R1135" s="14" t="s">
        <v>2731</v>
      </c>
    </row>
    <row r="1136" spans="1:18" ht="50" customHeight="1">
      <c r="A1136" s="8" t="s">
        <v>2804</v>
      </c>
      <c r="B1136" s="8" t="str">
        <f>CALL_LOOKUP_BOARD!C352</f>
        <v>Film Review Required</v>
      </c>
      <c r="C1136" s="12">
        <f>CALL_LOOKUP_BOARD!D352</f>
        <v/>
      </c>
      <c r="D1136" s="10">
        <f>CALL_LOOKUP_BOARD!E352</f>
        <v/>
      </c>
      <c r="E1136" s="10">
        <f>CALL_LOOKUP_BOARD!F352</f>
        <v/>
      </c>
      <c r="F1136" s="11">
        <f>CALL_LOOKUP_BOARD!G352</f>
        <v/>
      </c>
      <c r="G1136" s="10">
        <f>IF(CALL_LOOKUP_BOARD!Z352=0,"",INDEX($G$811:$G$1055,CALL_LOOKUP_BOARD!Z352-811+1))</f>
        <v/>
      </c>
      <c r="H1136" s="10">
        <f>IF(CALL_LOOKUP_BOARD!Z352=0,"",INDEX($H$811:$H$1055,CALL_LOOKUP_BOARD!Z352-811+1))</f>
        <v/>
      </c>
      <c r="I1136" s="8">
        <f>CALL_LOOKUP_BOARD!I352</f>
        <v/>
      </c>
      <c r="J1136" s="11">
        <f>CALL_LOOKUP_BOARD!H352</f>
        <v/>
      </c>
      <c r="K1136" s="14" t="str">
        <f>CALL_LOOKUP_BOARD!J352</f>
        <v>Film Review Required</v>
      </c>
      <c r="L1136" s="9" t="str">
        <f>CALL_LOOKUP_BOARD!K352</f>
        <v>Opponent exact-play alert only. No Defensive Exact-Play Sample. Confirm concept mapping and review film before treating this as a defensive candidate.</v>
      </c>
      <c r="M1136" s="8" t="s">
        <v>96</v>
      </c>
      <c r="P1136" s="8" t="str">
        <f>IF(CALL_LOOKUP_BOARD!L352="","",CALL_LOOKUP_BOARD!L352)</f>
        <v>OUTSIDE ZONE</v>
      </c>
      <c r="Q1136" s="8" t="s">
        <v>1439</v>
      </c>
      <c r="R1136" s="14" t="s">
        <v>2731</v>
      </c>
    </row>
    <row r="1137" spans="1:18" ht="50" customHeight="1">
      <c r="A1137" s="8" t="s">
        <v>2805</v>
      </c>
      <c r="B1137" s="8" t="str">
        <f>CALL_LOOKUP_BOARD!C353</f>
        <v>Film Review Required</v>
      </c>
      <c r="C1137" s="12">
        <f>CALL_LOOKUP_BOARD!D353</f>
        <v/>
      </c>
      <c r="D1137" s="10">
        <f>CALL_LOOKUP_BOARD!E353</f>
        <v/>
      </c>
      <c r="E1137" s="10">
        <f>CALL_LOOKUP_BOARD!F353</f>
        <v/>
      </c>
      <c r="F1137" s="11">
        <f>CALL_LOOKUP_BOARD!G353</f>
        <v/>
      </c>
      <c r="G1137" s="10">
        <f>IF(CALL_LOOKUP_BOARD!Z353=0,"",INDEX($G$811:$G$1055,CALL_LOOKUP_BOARD!Z353-811+1))</f>
        <v/>
      </c>
      <c r="H1137" s="10">
        <f>IF(CALL_LOOKUP_BOARD!Z353=0,"",INDEX($H$811:$H$1055,CALL_LOOKUP_BOARD!Z353-811+1))</f>
        <v/>
      </c>
      <c r="I1137" s="8">
        <f>CALL_LOOKUP_BOARD!I353</f>
        <v/>
      </c>
      <c r="J1137" s="11">
        <f>CALL_LOOKUP_BOARD!H353</f>
        <v/>
      </c>
      <c r="K1137" s="14" t="str">
        <f>CALL_LOOKUP_BOARD!J353</f>
        <v>Film Review Required</v>
      </c>
      <c r="L1137" s="9" t="str">
        <f>CALL_LOOKUP_BOARD!K353</f>
        <v>Opponent exact-play alert only. No Defensive Exact-Play Sample. Confirm concept mapping and review film before treating this as a defensive candidate.</v>
      </c>
      <c r="M1137" s="8" t="s">
        <v>96</v>
      </c>
      <c r="P1137" s="8" t="str">
        <f>IF(CALL_LOOKUP_BOARD!L353="","",CALL_LOOKUP_BOARD!L353)</f>
        <v>OUTSIDE ZONE</v>
      </c>
      <c r="Q1137" s="8" t="s">
        <v>815</v>
      </c>
      <c r="R1137" s="14" t="s">
        <v>2731</v>
      </c>
    </row>
    <row r="1138" spans="1:18" ht="50" customHeight="1">
      <c r="A1138" s="8" t="s">
        <v>2806</v>
      </c>
      <c r="B1138" s="8" t="str">
        <f>CALL_LOOKUP_BOARD!C354</f>
        <v>GAMES</v>
      </c>
      <c r="C1138" s="12">
        <f>CALL_LOOKUP_BOARD!D354</f>
        <v>1</v>
      </c>
      <c r="D1138" s="10">
        <f>CALL_LOOKUP_BOARD!E354</f>
        <v>1.0</v>
      </c>
      <c r="E1138" s="10">
        <f>CALL_LOOKUP_BOARD!F354</f>
        <v>0.0</v>
      </c>
      <c r="F1138" s="11">
        <f>CALL_LOOKUP_BOARD!G354</f>
        <v>4.0</v>
      </c>
      <c r="G1138" s="10">
        <f>IF(CALL_LOOKUP_BOARD!Z354=0,"",INDEX($G$811:$G$1055,CALL_LOOKUP_BOARD!Z354-811+1))</f>
        <v>0.0</v>
      </c>
      <c r="H1138" s="10">
        <f>IF(CALL_LOOKUP_BOARD!Z354=0,"",INDEX($H$811:$H$1055,CALL_LOOKUP_BOARD!Z354-811+1))</f>
        <v>1.0</v>
      </c>
      <c r="I1138" s="8" t="str">
        <f>CALL_LOOKUP_BOARD!I354</f>
        <v>TRACK</v>
      </c>
      <c r="J1138" s="11">
        <f>CALL_LOOKUP_BOARD!H354</f>
        <v>96.0</v>
      </c>
      <c r="K1138" s="14" t="str">
        <f>CALL_LOOKUP_BOARD!J354</f>
        <v>Sample Watch • D&amp;D + Concept Match • Concept Proxy</v>
      </c>
      <c r="L1138" s="9" t="str">
        <f>CALL_LOOKUP_BOARD!K354</f>
        <v>Opponent exact-play alert only. No Defensive Exact-Play Sample. Metrics describe the confirmed concept; Track only; not enough sample.</v>
      </c>
      <c r="M1138" s="8" t="s">
        <v>96</v>
      </c>
      <c r="P1138" s="8" t="str">
        <f>IF(CALL_LOOKUP_BOARD!L354="","",CALL_LOOKUP_BOARD!L354)</f>
        <v>SCREEN</v>
      </c>
      <c r="Q1138" s="8" t="s">
        <v>819</v>
      </c>
      <c r="R1138" s="14" t="s">
        <v>2731</v>
      </c>
    </row>
    <row r="1139" spans="1:18" ht="50" customHeight="1">
      <c r="A1139" s="8" t="s">
        <v>2807</v>
      </c>
      <c r="B1139" s="8" t="str">
        <f>CALL_LOOKUP_BOARD!C355</f>
        <v>SMOKE BUC</v>
      </c>
      <c r="C1139" s="12">
        <f>CALL_LOOKUP_BOARD!D355</f>
        <v>4</v>
      </c>
      <c r="D1139" s="10">
        <f>CALL_LOOKUP_BOARD!E355</f>
        <v>0.5</v>
      </c>
      <c r="E1139" s="10">
        <f>CALL_LOOKUP_BOARD!F355</f>
        <v>0.25</v>
      </c>
      <c r="F1139" s="11">
        <f>CALL_LOOKUP_BOARD!G355</f>
        <v>16.0</v>
      </c>
      <c r="G1139" s="10">
        <f>IF(CALL_LOOKUP_BOARD!Z355=0,"",INDEX($G$811:$G$1055,CALL_LOOKUP_BOARD!Z355-811+1))</f>
        <v>0.0</v>
      </c>
      <c r="H1139" s="10">
        <f>IF(CALL_LOOKUP_BOARD!Z355=0,"",INDEX($H$811:$H$1055,CALL_LOOKUP_BOARD!Z355-811+1))</f>
        <v>1.0</v>
      </c>
      <c r="I1139" s="8" t="str">
        <f>CALL_LOOKUP_BOARD!I355</f>
        <v>MEDIUM</v>
      </c>
      <c r="J1139" s="11">
        <f>CALL_LOOKUP_BOARD!H355</f>
        <v>50.0</v>
      </c>
      <c r="K1139" s="14" t="str">
        <f>CALL_LOOKUP_BOARD!J355</f>
        <v>D&amp;D + Concept Match • Concept Proxy</v>
      </c>
      <c r="L1139" s="9" t="str">
        <f>CALL_LOOKUP_BOARD!K355</f>
        <v>Opponent exact-play alert only. No Defensive Exact-Play Sample. Metrics describe the confirmed concept; Explosive risk; review clips before using as answer.</v>
      </c>
      <c r="M1139" s="8" t="s">
        <v>96</v>
      </c>
      <c r="P1139" s="8" t="str">
        <f>IF(CALL_LOOKUP_BOARD!L355="","",CALL_LOOKUP_BOARD!L355)</f>
        <v>5 STEP</v>
      </c>
      <c r="Q1139" s="8" t="s">
        <v>1645</v>
      </c>
      <c r="R1139" s="14" t="s">
        <v>2731</v>
      </c>
    </row>
    <row r="1140" spans="1:18" ht="50" customHeight="1">
      <c r="A1140" s="8" t="s">
        <v>2808</v>
      </c>
      <c r="B1140" s="8" t="str">
        <f>CALL_LOOKUP_BOARD!C356</f>
        <v>Film Review Required</v>
      </c>
      <c r="C1140" s="12">
        <f>CALL_LOOKUP_BOARD!D356</f>
        <v/>
      </c>
      <c r="D1140" s="10">
        <f>CALL_LOOKUP_BOARD!E356</f>
        <v/>
      </c>
      <c r="E1140" s="10">
        <f>CALL_LOOKUP_BOARD!F356</f>
        <v/>
      </c>
      <c r="F1140" s="11">
        <f>CALL_LOOKUP_BOARD!G356</f>
        <v/>
      </c>
      <c r="G1140" s="10">
        <f>IF(CALL_LOOKUP_BOARD!Z356=0,"",INDEX($G$811:$G$1055,CALL_LOOKUP_BOARD!Z356-811+1))</f>
        <v/>
      </c>
      <c r="H1140" s="10">
        <f>IF(CALL_LOOKUP_BOARD!Z356=0,"",INDEX($H$811:$H$1055,CALL_LOOKUP_BOARD!Z356-811+1))</f>
        <v/>
      </c>
      <c r="I1140" s="8">
        <f>CALL_LOOKUP_BOARD!I356</f>
        <v/>
      </c>
      <c r="J1140" s="11">
        <f>CALL_LOOKUP_BOARD!H356</f>
        <v/>
      </c>
      <c r="K1140" s="14" t="str">
        <f>CALL_LOOKUP_BOARD!J356</f>
        <v>Film Review Required</v>
      </c>
      <c r="L1140" s="9" t="str">
        <f>CALL_LOOKUP_BOARD!K356</f>
        <v>Opponent exact-play alert only. No Defensive Exact-Play Sample. Confirm concept mapping and review film before treating this as a defensive candidate.</v>
      </c>
      <c r="M1140" s="8" t="s">
        <v>96</v>
      </c>
      <c r="P1140" s="8" t="str">
        <f>IF(CALL_LOOKUP_BOARD!L356="","",CALL_LOOKUP_BOARD!L356)</f>
        <v>INSIDE ZONE</v>
      </c>
      <c r="Q1140" s="8" t="s">
        <v>823</v>
      </c>
      <c r="R1140" s="14" t="s">
        <v>2731</v>
      </c>
    </row>
    <row r="1141" spans="1:18" ht="50" customHeight="1">
      <c r="A1141" s="8" t="s">
        <v>2809</v>
      </c>
      <c r="B1141" s="8" t="str">
        <f>CALL_LOOKUP_BOARD!C357</f>
        <v>Film Review Required</v>
      </c>
      <c r="C1141" s="12">
        <f>CALL_LOOKUP_BOARD!D357</f>
        <v/>
      </c>
      <c r="D1141" s="10">
        <f>CALL_LOOKUP_BOARD!E357</f>
        <v/>
      </c>
      <c r="E1141" s="10">
        <f>CALL_LOOKUP_BOARD!F357</f>
        <v/>
      </c>
      <c r="F1141" s="11">
        <f>CALL_LOOKUP_BOARD!G357</f>
        <v/>
      </c>
      <c r="G1141" s="10">
        <f>IF(CALL_LOOKUP_BOARD!Z357=0,"",INDEX($G$811:$G$1055,CALL_LOOKUP_BOARD!Z357-811+1))</f>
        <v/>
      </c>
      <c r="H1141" s="10">
        <f>IF(CALL_LOOKUP_BOARD!Z357=0,"",INDEX($H$811:$H$1055,CALL_LOOKUP_BOARD!Z357-811+1))</f>
        <v/>
      </c>
      <c r="I1141" s="8">
        <f>CALL_LOOKUP_BOARD!I357</f>
        <v/>
      </c>
      <c r="J1141" s="11">
        <f>CALL_LOOKUP_BOARD!H357</f>
        <v/>
      </c>
      <c r="K1141" s="14" t="str">
        <f>CALL_LOOKUP_BOARD!J357</f>
        <v>Film Review Required</v>
      </c>
      <c r="L1141" s="9" t="str">
        <f>CALL_LOOKUP_BOARD!K357</f>
        <v>Opponent exact-play alert only. No Defensive Exact-Play Sample. Confirm concept mapping and review film before treating this as a defensive candidate.</v>
      </c>
      <c r="M1141" s="8" t="s">
        <v>96</v>
      </c>
      <c r="P1141" s="8">
        <f>IF(CALL_LOOKUP_BOARD!L357="","",CALL_LOOKUP_BOARD!L357)</f>
        <v/>
      </c>
      <c r="Q1141" s="8" t="s">
        <v>816</v>
      </c>
      <c r="R1141" s="14" t="s">
        <v>2731</v>
      </c>
    </row>
    <row r="1142" spans="1:18" ht="50" customHeight="1">
      <c r="A1142" s="8" t="s">
        <v>2810</v>
      </c>
      <c r="B1142" s="8" t="str">
        <f>CALL_LOOKUP_BOARD!C358</f>
        <v>Film Review Required</v>
      </c>
      <c r="C1142" s="12">
        <f>CALL_LOOKUP_BOARD!D358</f>
        <v/>
      </c>
      <c r="D1142" s="10">
        <f>CALL_LOOKUP_BOARD!E358</f>
        <v/>
      </c>
      <c r="E1142" s="10">
        <f>CALL_LOOKUP_BOARD!F358</f>
        <v/>
      </c>
      <c r="F1142" s="11">
        <f>CALL_LOOKUP_BOARD!G358</f>
        <v/>
      </c>
      <c r="G1142" s="10">
        <f>IF(CALL_LOOKUP_BOARD!Z358=0,"",INDEX($G$811:$G$1055,CALL_LOOKUP_BOARD!Z358-811+1))</f>
        <v/>
      </c>
      <c r="H1142" s="10">
        <f>IF(CALL_LOOKUP_BOARD!Z358=0,"",INDEX($H$811:$H$1055,CALL_LOOKUP_BOARD!Z358-811+1))</f>
        <v/>
      </c>
      <c r="I1142" s="8">
        <f>CALL_LOOKUP_BOARD!I358</f>
        <v/>
      </c>
      <c r="J1142" s="11">
        <f>CALL_LOOKUP_BOARD!H358</f>
        <v/>
      </c>
      <c r="K1142" s="14" t="str">
        <f>CALL_LOOKUP_BOARD!J358</f>
        <v>Film Review Required</v>
      </c>
      <c r="L1142" s="9" t="str">
        <f>CALL_LOOKUP_BOARD!K358</f>
        <v>Opponent exact-play alert only. No Defensive Exact-Play Sample. Confirm concept mapping and review film before treating this as a defensive candidate.</v>
      </c>
      <c r="M1142" s="8" t="s">
        <v>103</v>
      </c>
      <c r="P1142" s="8">
        <f>IF(CALL_LOOKUP_BOARD!L358="","",CALL_LOOKUP_BOARD!L358)</f>
        <v/>
      </c>
      <c r="Q1142" s="8" t="s">
        <v>1635</v>
      </c>
      <c r="R1142" s="14" t="s">
        <v>2731</v>
      </c>
    </row>
    <row r="1143" spans="1:18" ht="50" customHeight="1">
      <c r="A1143" s="8" t="s">
        <v>2811</v>
      </c>
      <c r="B1143" s="8" t="str">
        <f>CALL_LOOKUP_BOARD!C359</f>
        <v>Film Review Required</v>
      </c>
      <c r="C1143" s="12">
        <f>CALL_LOOKUP_BOARD!D359</f>
        <v/>
      </c>
      <c r="D1143" s="10">
        <f>CALL_LOOKUP_BOARD!E359</f>
        <v/>
      </c>
      <c r="E1143" s="10">
        <f>CALL_LOOKUP_BOARD!F359</f>
        <v/>
      </c>
      <c r="F1143" s="11">
        <f>CALL_LOOKUP_BOARD!G359</f>
        <v/>
      </c>
      <c r="G1143" s="10">
        <f>IF(CALL_LOOKUP_BOARD!Z359=0,"",INDEX($G$811:$G$1055,CALL_LOOKUP_BOARD!Z359-811+1))</f>
        <v/>
      </c>
      <c r="H1143" s="10">
        <f>IF(CALL_LOOKUP_BOARD!Z359=0,"",INDEX($H$811:$H$1055,CALL_LOOKUP_BOARD!Z359-811+1))</f>
        <v/>
      </c>
      <c r="I1143" s="8">
        <f>CALL_LOOKUP_BOARD!I359</f>
        <v/>
      </c>
      <c r="J1143" s="11">
        <f>CALL_LOOKUP_BOARD!H359</f>
        <v/>
      </c>
      <c r="K1143" s="14" t="str">
        <f>CALL_LOOKUP_BOARD!J359</f>
        <v>Film Review Required</v>
      </c>
      <c r="L1143" s="9" t="str">
        <f>CALL_LOOKUP_BOARD!K359</f>
        <v>Opponent exact-play alert only. No Defensive Exact-Play Sample. Confirm concept mapping and review film before treating this as a defensive candidate.</v>
      </c>
      <c r="M1143" s="8" t="s">
        <v>103</v>
      </c>
      <c r="P1143" s="8">
        <f>IF(CALL_LOOKUP_BOARD!L359="","",CALL_LOOKUP_BOARD!L359)</f>
        <v/>
      </c>
      <c r="Q1143" s="8" t="s">
        <v>49</v>
      </c>
      <c r="R1143" s="14" t="s">
        <v>2731</v>
      </c>
    </row>
    <row r="1144" spans="1:18" ht="50" customHeight="1">
      <c r="A1144" s="8" t="s">
        <v>2812</v>
      </c>
      <c r="B1144" s="8" t="str">
        <f>CALL_LOOKUP_BOARD!C360</f>
        <v>Film Review Required</v>
      </c>
      <c r="C1144" s="12">
        <f>CALL_LOOKUP_BOARD!D360</f>
        <v/>
      </c>
      <c r="D1144" s="10">
        <f>CALL_LOOKUP_BOARD!E360</f>
        <v/>
      </c>
      <c r="E1144" s="10">
        <f>CALL_LOOKUP_BOARD!F360</f>
        <v/>
      </c>
      <c r="F1144" s="11">
        <f>CALL_LOOKUP_BOARD!G360</f>
        <v/>
      </c>
      <c r="G1144" s="10">
        <f>IF(CALL_LOOKUP_BOARD!Z360=0,"",INDEX($G$811:$G$1055,CALL_LOOKUP_BOARD!Z360-811+1))</f>
        <v/>
      </c>
      <c r="H1144" s="10">
        <f>IF(CALL_LOOKUP_BOARD!Z360=0,"",INDEX($H$811:$H$1055,CALL_LOOKUP_BOARD!Z360-811+1))</f>
        <v/>
      </c>
      <c r="I1144" s="8">
        <f>CALL_LOOKUP_BOARD!I360</f>
        <v/>
      </c>
      <c r="J1144" s="11">
        <f>CALL_LOOKUP_BOARD!H360</f>
        <v/>
      </c>
      <c r="K1144" s="14" t="str">
        <f>CALL_LOOKUP_BOARD!J360</f>
        <v>Film Review Required</v>
      </c>
      <c r="L1144" s="9" t="str">
        <f>CALL_LOOKUP_BOARD!K360</f>
        <v>Opponent exact-play alert only. No Defensive Exact-Play Sample. Confirm concept mapping and review film before treating this as a defensive candidate.</v>
      </c>
      <c r="M1144" s="8" t="s">
        <v>103</v>
      </c>
      <c r="P1144" s="8" t="str">
        <f>IF(CALL_LOOKUP_BOARD!L360="","",CALL_LOOKUP_BOARD!L360)</f>
        <v>G</v>
      </c>
      <c r="Q1144" s="8" t="s">
        <v>1619</v>
      </c>
      <c r="R1144" s="14" t="s">
        <v>2731</v>
      </c>
    </row>
    <row r="1145" spans="1:18" ht="50" customHeight="1">
      <c r="A1145" s="8" t="s">
        <v>2813</v>
      </c>
      <c r="B1145" s="8" t="str">
        <f>CALL_LOOKUP_BOARD!C361</f>
        <v>9 MOW</v>
      </c>
      <c r="C1145" s="12">
        <f>CALL_LOOKUP_BOARD!D361</f>
        <v>2</v>
      </c>
      <c r="D1145" s="10">
        <f>CALL_LOOKUP_BOARD!E361</f>
        <v>1.0</v>
      </c>
      <c r="E1145" s="10">
        <f>CALL_LOOKUP_BOARD!F361</f>
        <v>0.0</v>
      </c>
      <c r="F1145" s="11">
        <f>CALL_LOOKUP_BOARD!G361</f>
        <v>-2.0</v>
      </c>
      <c r="G1145" s="10">
        <f>IF(CALL_LOOKUP_BOARD!Z361=0,"",INDEX($G$811:$G$1055,CALL_LOOKUP_BOARD!Z361-811+1))</f>
        <v>0.0</v>
      </c>
      <c r="H1145" s="10">
        <f>IF(CALL_LOOKUP_BOARD!Z361=0,"",INDEX($H$811:$H$1055,CALL_LOOKUP_BOARD!Z361-811+1))</f>
        <v>1.0</v>
      </c>
      <c r="I1145" s="8" t="str">
        <f>CALL_LOOKUP_BOARD!I361</f>
        <v>TRACK</v>
      </c>
      <c r="J1145" s="11">
        <f>CALL_LOOKUP_BOARD!H361</f>
        <v>100.0</v>
      </c>
      <c r="K1145" s="14" t="str">
        <f>CALL_LOOKUP_BOARD!J361</f>
        <v>Sample Watch • D&amp;D + Concept Match • Concept Proxy</v>
      </c>
      <c r="L1145" s="9" t="str">
        <f>CALL_LOOKUP_BOARD!K361</f>
        <v>Opponent exact-play alert only. No Defensive Exact-Play Sample. Metrics describe the confirmed concept; Track only; not enough sample.</v>
      </c>
      <c r="M1145" s="8" t="s">
        <v>103</v>
      </c>
      <c r="P1145" s="8" t="str">
        <f>IF(CALL_LOOKUP_BOARD!L361="","",CALL_LOOKUP_BOARD!L361)</f>
        <v>5 STEP</v>
      </c>
      <c r="Q1145" s="8" t="s">
        <v>1624</v>
      </c>
      <c r="R1145" s="14" t="s">
        <v>2731</v>
      </c>
    </row>
    <row r="1146" spans="1:18" ht="50" customHeight="1">
      <c r="A1146" s="8" t="s">
        <v>2814</v>
      </c>
      <c r="B1146" s="8" t="str">
        <f>CALL_LOOKUP_BOARD!C362</f>
        <v>9 MOW</v>
      </c>
      <c r="C1146" s="12">
        <f>CALL_LOOKUP_BOARD!D362</f>
        <v>2</v>
      </c>
      <c r="D1146" s="10">
        <f>CALL_LOOKUP_BOARD!E362</f>
        <v>1.0</v>
      </c>
      <c r="E1146" s="10">
        <f>CALL_LOOKUP_BOARD!F362</f>
        <v>0.0</v>
      </c>
      <c r="F1146" s="11">
        <f>CALL_LOOKUP_BOARD!G362</f>
        <v>-2.0</v>
      </c>
      <c r="G1146" s="10">
        <f>IF(CALL_LOOKUP_BOARD!Z362=0,"",INDEX($G$811:$G$1055,CALL_LOOKUP_BOARD!Z362-811+1))</f>
        <v>0.0</v>
      </c>
      <c r="H1146" s="10">
        <f>IF(CALL_LOOKUP_BOARD!Z362=0,"",INDEX($H$811:$H$1055,CALL_LOOKUP_BOARD!Z362-811+1))</f>
        <v>1.0</v>
      </c>
      <c r="I1146" s="8" t="str">
        <f>CALL_LOOKUP_BOARD!I362</f>
        <v>TRACK</v>
      </c>
      <c r="J1146" s="11">
        <f>CALL_LOOKUP_BOARD!H362</f>
        <v>100.0</v>
      </c>
      <c r="K1146" s="14" t="str">
        <f>CALL_LOOKUP_BOARD!J362</f>
        <v>Sample Watch • D&amp;D + Concept Match • Concept Proxy</v>
      </c>
      <c r="L1146" s="9" t="str">
        <f>CALL_LOOKUP_BOARD!K362</f>
        <v>Opponent exact-play alert only. No Defensive Exact-Play Sample. Metrics describe the confirmed concept; Track only; not enough sample.</v>
      </c>
      <c r="M1146" s="8" t="s">
        <v>103</v>
      </c>
      <c r="P1146" s="8" t="str">
        <f>IF(CALL_LOOKUP_BOARD!L362="","",CALL_LOOKUP_BOARD!L362)</f>
        <v>5 STEP</v>
      </c>
      <c r="Q1146" s="8" t="s">
        <v>1523</v>
      </c>
      <c r="R1146" s="14" t="s">
        <v>2731</v>
      </c>
    </row>
    <row r="1147" spans="1:18" ht="50" customHeight="1">
      <c r="A1147" s="8" t="s">
        <v>2815</v>
      </c>
      <c r="B1147" s="8" t="str">
        <f>CALL_LOOKUP_BOARD!C363</f>
        <v>9 MOW</v>
      </c>
      <c r="C1147" s="12">
        <f>CALL_LOOKUP_BOARD!D363</f>
        <v>2</v>
      </c>
      <c r="D1147" s="10">
        <f>CALL_LOOKUP_BOARD!E363</f>
        <v>1.0</v>
      </c>
      <c r="E1147" s="10">
        <f>CALL_LOOKUP_BOARD!F363</f>
        <v>0.0</v>
      </c>
      <c r="F1147" s="11">
        <f>CALL_LOOKUP_BOARD!G363</f>
        <v>-2.0</v>
      </c>
      <c r="G1147" s="10">
        <f>IF(CALL_LOOKUP_BOARD!Z363=0,"",INDEX($G$811:$G$1055,CALL_LOOKUP_BOARD!Z363-811+1))</f>
        <v>0.0</v>
      </c>
      <c r="H1147" s="10">
        <f>IF(CALL_LOOKUP_BOARD!Z363=0,"",INDEX($H$811:$H$1055,CALL_LOOKUP_BOARD!Z363-811+1))</f>
        <v>1.0</v>
      </c>
      <c r="I1147" s="8" t="str">
        <f>CALL_LOOKUP_BOARD!I363</f>
        <v>TRACK</v>
      </c>
      <c r="J1147" s="11">
        <f>CALL_LOOKUP_BOARD!H363</f>
        <v>100.0</v>
      </c>
      <c r="K1147" s="14" t="str">
        <f>CALL_LOOKUP_BOARD!J363</f>
        <v>Sample Watch • D&amp;D + Concept Match • Concept Proxy</v>
      </c>
      <c r="L1147" s="9" t="str">
        <f>CALL_LOOKUP_BOARD!K363</f>
        <v>Opponent exact-play alert only. No Defensive Exact-Play Sample. Metrics describe the confirmed concept; Track only; not enough sample.</v>
      </c>
      <c r="M1147" s="8" t="s">
        <v>103</v>
      </c>
      <c r="P1147" s="8" t="str">
        <f>IF(CALL_LOOKUP_BOARD!L363="","",CALL_LOOKUP_BOARD!L363)</f>
        <v>5 STEP</v>
      </c>
      <c r="Q1147" s="8" t="s">
        <v>1629</v>
      </c>
      <c r="R1147" s="14" t="s">
        <v>2731</v>
      </c>
    </row>
    <row r="1148" spans="1:18" ht="50" customHeight="1">
      <c r="A1148" s="8" t="s">
        <v>2816</v>
      </c>
      <c r="B1148" s="8" t="str">
        <f>CALL_LOOKUP_BOARD!C364</f>
        <v>STICK GAMES</v>
      </c>
      <c r="C1148" s="12">
        <f>CALL_LOOKUP_BOARD!D364</f>
        <v>1</v>
      </c>
      <c r="D1148" s="10">
        <f>CALL_LOOKUP_BOARD!E364</f>
        <v>1.0</v>
      </c>
      <c r="E1148" s="10">
        <f>CALL_LOOKUP_BOARD!F364</f>
        <v>0.0</v>
      </c>
      <c r="F1148" s="11">
        <f>CALL_LOOKUP_BOARD!G364</f>
        <v>1.0</v>
      </c>
      <c r="G1148" s="10">
        <f>IF(CALL_LOOKUP_BOARD!Z364=0,"",INDEX($G$811:$G$1055,CALL_LOOKUP_BOARD!Z364-811+1))</f>
        <v>0.0</v>
      </c>
      <c r="H1148" s="10">
        <f>IF(CALL_LOOKUP_BOARD!Z364=0,"",INDEX($H$811:$H$1055,CALL_LOOKUP_BOARD!Z364-811+1))</f>
        <v>1.0</v>
      </c>
      <c r="I1148" s="8" t="str">
        <f>CALL_LOOKUP_BOARD!I364</f>
        <v>TRACK</v>
      </c>
      <c r="J1148" s="11">
        <f>CALL_LOOKUP_BOARD!H364</f>
        <v>99.0</v>
      </c>
      <c r="K1148" s="14" t="str">
        <f>CALL_LOOKUP_BOARD!J364</f>
        <v>Sample Watch • D&amp;D + Concept Match • Concept Proxy</v>
      </c>
      <c r="L1148" s="9" t="str">
        <f>CALL_LOOKUP_BOARD!K364</f>
        <v>Opponent exact-play alert only. No Defensive Exact-Play Sample. Metrics describe the confirmed concept; Track only; not enough sample.</v>
      </c>
      <c r="M1148" s="8" t="s">
        <v>103</v>
      </c>
      <c r="P1148" s="8" t="str">
        <f>IF(CALL_LOOKUP_BOARD!L364="","",CALL_LOOKUP_BOARD!L364)</f>
        <v>SCREEN</v>
      </c>
      <c r="Q1148" s="8" t="s">
        <v>1638</v>
      </c>
      <c r="R1148" s="14" t="s">
        <v>2731</v>
      </c>
    </row>
    <row r="1149" spans="1:18" ht="50" customHeight="1">
      <c r="A1149" s="8" t="s">
        <v>2817</v>
      </c>
      <c r="B1149" s="8" t="str">
        <f>CALL_LOOKUP_BOARD!C365</f>
        <v>9 MOW</v>
      </c>
      <c r="C1149" s="12">
        <f>CALL_LOOKUP_BOARD!D365</f>
        <v>2</v>
      </c>
      <c r="D1149" s="10">
        <f>CALL_LOOKUP_BOARD!E365</f>
        <v>1.0</v>
      </c>
      <c r="E1149" s="10">
        <f>CALL_LOOKUP_BOARD!F365</f>
        <v>0.0</v>
      </c>
      <c r="F1149" s="11">
        <f>CALL_LOOKUP_BOARD!G365</f>
        <v>-2.0</v>
      </c>
      <c r="G1149" s="10">
        <f>IF(CALL_LOOKUP_BOARD!Z365=0,"",INDEX($G$811:$G$1055,CALL_LOOKUP_BOARD!Z365-811+1))</f>
        <v>0.0</v>
      </c>
      <c r="H1149" s="10">
        <f>IF(CALL_LOOKUP_BOARD!Z365=0,"",INDEX($H$811:$H$1055,CALL_LOOKUP_BOARD!Z365-811+1))</f>
        <v>1.0</v>
      </c>
      <c r="I1149" s="8" t="str">
        <f>CALL_LOOKUP_BOARD!I365</f>
        <v>TRACK</v>
      </c>
      <c r="J1149" s="11">
        <f>CALL_LOOKUP_BOARD!H365</f>
        <v>100.0</v>
      </c>
      <c r="K1149" s="14" t="str">
        <f>CALL_LOOKUP_BOARD!J365</f>
        <v>Sample Watch • D&amp;D + Concept Match • Concept Proxy</v>
      </c>
      <c r="L1149" s="9" t="str">
        <f>CALL_LOOKUP_BOARD!K365</f>
        <v>Opponent exact-play alert only. No Defensive Exact-Play Sample. Metrics describe the confirmed concept; Track only; not enough sample.</v>
      </c>
      <c r="M1149" s="8" t="s">
        <v>103</v>
      </c>
      <c r="P1149" s="8" t="str">
        <f>IF(CALL_LOOKUP_BOARD!L365="","",CALL_LOOKUP_BOARD!L365)</f>
        <v>5 STEP</v>
      </c>
      <c r="Q1149" s="8" t="s">
        <v>1648</v>
      </c>
      <c r="R1149" s="14" t="s">
        <v>2731</v>
      </c>
    </row>
    <row r="1150" spans="1:18" ht="50" customHeight="1">
      <c r="A1150" s="8" t="s">
        <v>2818</v>
      </c>
      <c r="B1150" s="8" t="str">
        <f>CALL_LOOKUP_BOARD!C366</f>
        <v>Film Review Required</v>
      </c>
      <c r="C1150" s="12">
        <f>CALL_LOOKUP_BOARD!D366</f>
        <v/>
      </c>
      <c r="D1150" s="10">
        <f>CALL_LOOKUP_BOARD!E366</f>
        <v/>
      </c>
      <c r="E1150" s="10">
        <f>CALL_LOOKUP_BOARD!F366</f>
        <v/>
      </c>
      <c r="F1150" s="11">
        <f>CALL_LOOKUP_BOARD!G366</f>
        <v/>
      </c>
      <c r="G1150" s="10">
        <f>IF(CALL_LOOKUP_BOARD!Z366=0,"",INDEX($G$811:$G$1055,CALL_LOOKUP_BOARD!Z366-811+1))</f>
        <v/>
      </c>
      <c r="H1150" s="10">
        <f>IF(CALL_LOOKUP_BOARD!Z366=0,"",INDEX($H$811:$H$1055,CALL_LOOKUP_BOARD!Z366-811+1))</f>
        <v/>
      </c>
      <c r="I1150" s="8">
        <f>CALL_LOOKUP_BOARD!I366</f>
        <v/>
      </c>
      <c r="J1150" s="11">
        <f>CALL_LOOKUP_BOARD!H366</f>
        <v/>
      </c>
      <c r="K1150" s="14" t="str">
        <f>CALL_LOOKUP_BOARD!J366</f>
        <v>Film Review Required</v>
      </c>
      <c r="L1150" s="9" t="str">
        <f>CALL_LOOKUP_BOARD!K366</f>
        <v>Opponent exact-play alert only. No Defensive Exact-Play Sample. Confirm concept mapping and review film before treating this as a defensive candidate.</v>
      </c>
      <c r="M1150" s="8" t="s">
        <v>103</v>
      </c>
      <c r="P1150" s="8">
        <f>IF(CALL_LOOKUP_BOARD!L366="","",CALL_LOOKUP_BOARD!L366)</f>
        <v/>
      </c>
      <c r="Q1150" s="8" t="s">
        <v>821</v>
      </c>
      <c r="R1150" s="14" t="s">
        <v>2731</v>
      </c>
    </row>
    <row r="1151" spans="1:18" ht="50" customHeight="1">
      <c r="A1151" s="8" t="s">
        <v>2819</v>
      </c>
      <c r="B1151" s="8" t="str">
        <f>CALL_LOOKUP_BOARD!C367</f>
        <v>Film Review Required</v>
      </c>
      <c r="C1151" s="12">
        <f>CALL_LOOKUP_BOARD!D367</f>
        <v/>
      </c>
      <c r="D1151" s="10">
        <f>CALL_LOOKUP_BOARD!E367</f>
        <v/>
      </c>
      <c r="E1151" s="10">
        <f>CALL_LOOKUP_BOARD!F367</f>
        <v/>
      </c>
      <c r="F1151" s="11">
        <f>CALL_LOOKUP_BOARD!G367</f>
        <v/>
      </c>
      <c r="G1151" s="10">
        <f>IF(CALL_LOOKUP_BOARD!Z367=0,"",INDEX($G$811:$G$1055,CALL_LOOKUP_BOARD!Z367-811+1))</f>
        <v/>
      </c>
      <c r="H1151" s="10">
        <f>IF(CALL_LOOKUP_BOARD!Z367=0,"",INDEX($H$811:$H$1055,CALL_LOOKUP_BOARD!Z367-811+1))</f>
        <v/>
      </c>
      <c r="I1151" s="8">
        <f>CALL_LOOKUP_BOARD!I367</f>
        <v/>
      </c>
      <c r="J1151" s="11">
        <f>CALL_LOOKUP_BOARD!H367</f>
        <v/>
      </c>
      <c r="K1151" s="14" t="str">
        <f>CALL_LOOKUP_BOARD!J367</f>
        <v>Film Review Required</v>
      </c>
      <c r="L1151" s="9" t="str">
        <f>CALL_LOOKUP_BOARD!K367</f>
        <v>Opponent exact-play alert only. No Defensive Exact-Play Sample. Confirm concept mapping and review film before treating this as a defensive candidate.</v>
      </c>
      <c r="M1151" s="8" t="s">
        <v>103</v>
      </c>
      <c r="P1151" s="8">
        <f>IF(CALL_LOOKUP_BOARD!L367="","",CALL_LOOKUP_BOARD!L367)</f>
        <v/>
      </c>
      <c r="Q1151" s="8" t="s">
        <v>816</v>
      </c>
      <c r="R1151" s="14" t="s">
        <v>2731</v>
      </c>
    </row>
    <row r="1152" spans="1:18" ht="50" customHeight="1">
      <c r="A1152" s="8" t="s">
        <v>2820</v>
      </c>
      <c r="B1152" s="8" t="str">
        <f>CALL_LOOKUP_BOARD!C368</f>
        <v>STUD</v>
      </c>
      <c r="C1152" s="12">
        <f>CALL_LOOKUP_BOARD!D368</f>
        <v>1</v>
      </c>
      <c r="D1152" s="10">
        <f>CALL_LOOKUP_BOARD!E368</f>
        <v>1.0</v>
      </c>
      <c r="E1152" s="10">
        <f>CALL_LOOKUP_BOARD!F368</f>
        <v>0.0</v>
      </c>
      <c r="F1152" s="11">
        <f>CALL_LOOKUP_BOARD!G368</f>
        <v>0.0</v>
      </c>
      <c r="G1152" s="10">
        <f>IF(CALL_LOOKUP_BOARD!Z368=0,"",INDEX($G$811:$G$1055,CALL_LOOKUP_BOARD!Z368-811+1))</f>
        <v>1.0</v>
      </c>
      <c r="H1152" s="10">
        <f>IF(CALL_LOOKUP_BOARD!Z368=0,"",INDEX($H$811:$H$1055,CALL_LOOKUP_BOARD!Z368-811+1))</f>
        <v>0.0</v>
      </c>
      <c r="I1152" s="8" t="str">
        <f>CALL_LOOKUP_BOARD!I368</f>
        <v>TRACK</v>
      </c>
      <c r="J1152" s="11">
        <f>CALL_LOOKUP_BOARD!H368</f>
        <v>100.0</v>
      </c>
      <c r="K1152" s="14" t="str">
        <f>CALL_LOOKUP_BOARD!J368</f>
        <v>Sample Watch • D&amp;D + Concept Match • Concept Proxy</v>
      </c>
      <c r="L1152" s="9" t="str">
        <f>CALL_LOOKUP_BOARD!K368</f>
        <v>Opponent exact-play alert only. No Defensive Exact-Play Sample. Metrics describe the confirmed concept; Track only; not enough sample.</v>
      </c>
      <c r="M1152" s="8" t="s">
        <v>103</v>
      </c>
      <c r="P1152" s="8" t="str">
        <f>IF(CALL_LOOKUP_BOARD!L368="","",CALL_LOOKUP_BOARD!L368)</f>
        <v>INSIDE ZONE</v>
      </c>
      <c r="Q1152" s="8" t="s">
        <v>824</v>
      </c>
      <c r="R1152" s="14" t="s">
        <v>2731</v>
      </c>
    </row>
    <row r="1153" spans="1:18" ht="50" customHeight="1">
      <c r="A1153" s="8" t="s">
        <v>2821</v>
      </c>
      <c r="B1153" s="8" t="str">
        <f>CALL_LOOKUP_BOARD!C369</f>
        <v>WALL</v>
      </c>
      <c r="C1153" s="12">
        <f>CALL_LOOKUP_BOARD!D369</f>
        <v>1</v>
      </c>
      <c r="D1153" s="10">
        <f>CALL_LOOKUP_BOARD!E369</f>
        <v>1.0</v>
      </c>
      <c r="E1153" s="10">
        <f>CALL_LOOKUP_BOARD!F369</f>
        <v>0.0</v>
      </c>
      <c r="F1153" s="11">
        <f>CALL_LOOKUP_BOARD!G369</f>
        <v>0.0</v>
      </c>
      <c r="G1153" s="10">
        <f>IF(CALL_LOOKUP_BOARD!Z369=0,"",INDEX($G$811:$G$1055,CALL_LOOKUP_BOARD!Z369-811+1))</f>
        <v>0.0</v>
      </c>
      <c r="H1153" s="10">
        <f>IF(CALL_LOOKUP_BOARD!Z369=0,"",INDEX($H$811:$H$1055,CALL_LOOKUP_BOARD!Z369-811+1))</f>
        <v>1.0</v>
      </c>
      <c r="I1153" s="8" t="str">
        <f>CALL_LOOKUP_BOARD!I369</f>
        <v>TRACK</v>
      </c>
      <c r="J1153" s="11">
        <f>CALL_LOOKUP_BOARD!H369</f>
        <v>100.0</v>
      </c>
      <c r="K1153" s="14" t="str">
        <f>CALL_LOOKUP_BOARD!J369</f>
        <v>Sample Watch • D&amp;D + Concept Match • Concept Proxy</v>
      </c>
      <c r="L1153" s="9" t="str">
        <f>CALL_LOOKUP_BOARD!K369</f>
        <v>Opponent exact-play alert only. No Defensive Exact-Play Sample. Metrics describe the confirmed concept; Track only; not enough sample.</v>
      </c>
      <c r="M1153" s="8" t="s">
        <v>107</v>
      </c>
      <c r="P1153" s="8" t="str">
        <f>IF(CALL_LOOKUP_BOARD!L369="","",CALL_LOOKUP_BOARD!L369)</f>
        <v>5 STEP</v>
      </c>
      <c r="Q1153" s="8" t="s">
        <v>1655</v>
      </c>
      <c r="R1153" s="14" t="s">
        <v>2731</v>
      </c>
    </row>
    <row r="1154" spans="1:18" ht="50" customHeight="1">
      <c r="A1154" s="8" t="s">
        <v>2822</v>
      </c>
      <c r="B1154" s="8" t="str">
        <f>CALL_LOOKUP_BOARD!C370</f>
        <v>Film Review Required</v>
      </c>
      <c r="C1154" s="12">
        <f>CALL_LOOKUP_BOARD!D370</f>
        <v/>
      </c>
      <c r="D1154" s="10">
        <f>CALL_LOOKUP_BOARD!E370</f>
        <v/>
      </c>
      <c r="E1154" s="10">
        <f>CALL_LOOKUP_BOARD!F370</f>
        <v/>
      </c>
      <c r="F1154" s="11">
        <f>CALL_LOOKUP_BOARD!G370</f>
        <v/>
      </c>
      <c r="G1154" s="10">
        <f>IF(CALL_LOOKUP_BOARD!Z370=0,"",INDEX($G$811:$G$1055,CALL_LOOKUP_BOARD!Z370-811+1))</f>
        <v/>
      </c>
      <c r="H1154" s="10">
        <f>IF(CALL_LOOKUP_BOARD!Z370=0,"",INDEX($H$811:$H$1055,CALL_LOOKUP_BOARD!Z370-811+1))</f>
        <v/>
      </c>
      <c r="I1154" s="8">
        <f>CALL_LOOKUP_BOARD!I370</f>
        <v/>
      </c>
      <c r="J1154" s="11">
        <f>CALL_LOOKUP_BOARD!H370</f>
        <v/>
      </c>
      <c r="K1154" s="14" t="str">
        <f>CALL_LOOKUP_BOARD!J370</f>
        <v>Film Review Required</v>
      </c>
      <c r="L1154" s="9" t="str">
        <f>CALL_LOOKUP_BOARD!K370</f>
        <v>Opponent exact-play alert only. No Defensive Exact-Play Sample. Confirm concept mapping and review film before treating this as a defensive candidate.</v>
      </c>
      <c r="M1154" s="8" t="s">
        <v>107</v>
      </c>
      <c r="P1154" s="8">
        <f>IF(CALL_LOOKUP_BOARD!L370="","",CALL_LOOKUP_BOARD!L370)</f>
        <v/>
      </c>
      <c r="Q1154" s="8" t="s">
        <v>1635</v>
      </c>
      <c r="R1154" s="14" t="s">
        <v>2731</v>
      </c>
    </row>
    <row r="1155" spans="1:18" ht="50" customHeight="1">
      <c r="A1155" s="8" t="s">
        <v>2823</v>
      </c>
      <c r="B1155" s="8" t="str">
        <f>CALL_LOOKUP_BOARD!C371</f>
        <v>WALL</v>
      </c>
      <c r="C1155" s="12">
        <f>CALL_LOOKUP_BOARD!D371</f>
        <v>1</v>
      </c>
      <c r="D1155" s="10">
        <f>CALL_LOOKUP_BOARD!E371</f>
        <v>1.0</v>
      </c>
      <c r="E1155" s="10">
        <f>CALL_LOOKUP_BOARD!F371</f>
        <v>0.0</v>
      </c>
      <c r="F1155" s="11">
        <f>CALL_LOOKUP_BOARD!G371</f>
        <v>0.0</v>
      </c>
      <c r="G1155" s="10">
        <f>IF(CALL_LOOKUP_BOARD!Z371=0,"",INDEX($G$811:$G$1055,CALL_LOOKUP_BOARD!Z371-811+1))</f>
        <v>0.0</v>
      </c>
      <c r="H1155" s="10">
        <f>IF(CALL_LOOKUP_BOARD!Z371=0,"",INDEX($H$811:$H$1055,CALL_LOOKUP_BOARD!Z371-811+1))</f>
        <v>1.0</v>
      </c>
      <c r="I1155" s="8" t="str">
        <f>CALL_LOOKUP_BOARD!I371</f>
        <v>TRACK</v>
      </c>
      <c r="J1155" s="11">
        <f>CALL_LOOKUP_BOARD!H371</f>
        <v>100.0</v>
      </c>
      <c r="K1155" s="14" t="str">
        <f>CALL_LOOKUP_BOARD!J371</f>
        <v>Sample Watch • D&amp;D + Concept Match • Concept Proxy</v>
      </c>
      <c r="L1155" s="9" t="str">
        <f>CALL_LOOKUP_BOARD!K371</f>
        <v>Opponent exact-play alert only. No Defensive Exact-Play Sample. Metrics describe the confirmed concept; Track only; not enough sample.</v>
      </c>
      <c r="M1155" s="8" t="s">
        <v>107</v>
      </c>
      <c r="P1155" s="8" t="str">
        <f>IF(CALL_LOOKUP_BOARD!L371="","",CALL_LOOKUP_BOARD!L371)</f>
        <v>5 STEP</v>
      </c>
      <c r="Q1155" s="8" t="s">
        <v>1523</v>
      </c>
      <c r="R1155" s="14" t="s">
        <v>2731</v>
      </c>
    </row>
    <row r="1156" spans="1:18" ht="50" customHeight="1">
      <c r="A1156" s="8" t="s">
        <v>2824</v>
      </c>
      <c r="B1156" s="8" t="str">
        <f>CALL_LOOKUP_BOARD!C372</f>
        <v>WALL</v>
      </c>
      <c r="C1156" s="12">
        <f>CALL_LOOKUP_BOARD!D372</f>
        <v>1</v>
      </c>
      <c r="D1156" s="10">
        <f>CALL_LOOKUP_BOARD!E372</f>
        <v>1.0</v>
      </c>
      <c r="E1156" s="10">
        <f>CALL_LOOKUP_BOARD!F372</f>
        <v>0.0</v>
      </c>
      <c r="F1156" s="11">
        <f>CALL_LOOKUP_BOARD!G372</f>
        <v>0.0</v>
      </c>
      <c r="G1156" s="10">
        <f>IF(CALL_LOOKUP_BOARD!Z372=0,"",INDEX($G$811:$G$1055,CALL_LOOKUP_BOARD!Z372-811+1))</f>
        <v>0.0</v>
      </c>
      <c r="H1156" s="10">
        <f>IF(CALL_LOOKUP_BOARD!Z372=0,"",INDEX($H$811:$H$1055,CALL_LOOKUP_BOARD!Z372-811+1))</f>
        <v>1.0</v>
      </c>
      <c r="I1156" s="8" t="str">
        <f>CALL_LOOKUP_BOARD!I372</f>
        <v>TRACK</v>
      </c>
      <c r="J1156" s="11">
        <f>CALL_LOOKUP_BOARD!H372</f>
        <v>100.0</v>
      </c>
      <c r="K1156" s="14" t="str">
        <f>CALL_LOOKUP_BOARD!J372</f>
        <v>Sample Watch • D&amp;D + Concept Match • Concept Proxy</v>
      </c>
      <c r="L1156" s="9" t="str">
        <f>CALL_LOOKUP_BOARD!K372</f>
        <v>Opponent exact-play alert only. No Defensive Exact-Play Sample. Metrics describe the confirmed concept; Track only; not enough sample.</v>
      </c>
      <c r="M1156" s="8" t="s">
        <v>107</v>
      </c>
      <c r="P1156" s="8" t="str">
        <f>IF(CALL_LOOKUP_BOARD!L372="","",CALL_LOOKUP_BOARD!L372)</f>
        <v>5 STEP</v>
      </c>
      <c r="Q1156" s="8" t="s">
        <v>1416</v>
      </c>
      <c r="R1156" s="14" t="s">
        <v>2731</v>
      </c>
    </row>
    <row r="1157" spans="1:18" ht="50" customHeight="1">
      <c r="A1157" s="8" t="s">
        <v>2825</v>
      </c>
      <c r="B1157" s="8" t="str">
        <f>CALL_LOOKUP_BOARD!C373</f>
        <v>Film Review Required</v>
      </c>
      <c r="C1157" s="12">
        <f>CALL_LOOKUP_BOARD!D373</f>
        <v/>
      </c>
      <c r="D1157" s="10">
        <f>CALL_LOOKUP_BOARD!E373</f>
        <v/>
      </c>
      <c r="E1157" s="10">
        <f>CALL_LOOKUP_BOARD!F373</f>
        <v/>
      </c>
      <c r="F1157" s="11">
        <f>CALL_LOOKUP_BOARD!G373</f>
        <v/>
      </c>
      <c r="G1157" s="10">
        <f>IF(CALL_LOOKUP_BOARD!Z373=0,"",INDEX($G$811:$G$1055,CALL_LOOKUP_BOARD!Z373-811+1))</f>
        <v/>
      </c>
      <c r="H1157" s="10">
        <f>IF(CALL_LOOKUP_BOARD!Z373=0,"",INDEX($H$811:$H$1055,CALL_LOOKUP_BOARD!Z373-811+1))</f>
        <v/>
      </c>
      <c r="I1157" s="8">
        <f>CALL_LOOKUP_BOARD!I373</f>
        <v/>
      </c>
      <c r="J1157" s="11">
        <f>CALL_LOOKUP_BOARD!H373</f>
        <v/>
      </c>
      <c r="K1157" s="14" t="str">
        <f>CALL_LOOKUP_BOARD!J373</f>
        <v>Film Review Required</v>
      </c>
      <c r="L1157" s="9" t="str">
        <f>CALL_LOOKUP_BOARD!K373</f>
        <v>Opponent exact-play alert only. No Defensive Exact-Play Sample. Confirm concept mapping and review film before treating this as a defensive candidate.</v>
      </c>
      <c r="M1157" s="8" t="s">
        <v>107</v>
      </c>
      <c r="P1157" s="8" t="str">
        <f>IF(CALL_LOOKUP_BOARD!L373="","",CALL_LOOKUP_BOARD!L373)</f>
        <v>OUTSIDE ZONE</v>
      </c>
      <c r="Q1157" s="8" t="s">
        <v>1439</v>
      </c>
      <c r="R1157" s="14" t="s">
        <v>2731</v>
      </c>
    </row>
    <row r="1158" spans="1:18" ht="50" customHeight="1">
      <c r="A1158" s="8" t="s">
        <v>2826</v>
      </c>
      <c r="B1158" s="8" t="str">
        <f>CALL_LOOKUP_BOARD!C374</f>
        <v>Film Review Required</v>
      </c>
      <c r="C1158" s="12">
        <f>CALL_LOOKUP_BOARD!D374</f>
        <v/>
      </c>
      <c r="D1158" s="10">
        <f>CALL_LOOKUP_BOARD!E374</f>
        <v/>
      </c>
      <c r="E1158" s="10">
        <f>CALL_LOOKUP_BOARD!F374</f>
        <v/>
      </c>
      <c r="F1158" s="11">
        <f>CALL_LOOKUP_BOARD!G374</f>
        <v/>
      </c>
      <c r="G1158" s="10">
        <f>IF(CALL_LOOKUP_BOARD!Z374=0,"",INDEX($G$811:$G$1055,CALL_LOOKUP_BOARD!Z374-811+1))</f>
        <v/>
      </c>
      <c r="H1158" s="10">
        <f>IF(CALL_LOOKUP_BOARD!Z374=0,"",INDEX($H$811:$H$1055,CALL_LOOKUP_BOARD!Z374-811+1))</f>
        <v/>
      </c>
      <c r="I1158" s="8">
        <f>CALL_LOOKUP_BOARD!I374</f>
        <v/>
      </c>
      <c r="J1158" s="11">
        <f>CALL_LOOKUP_BOARD!H374</f>
        <v/>
      </c>
      <c r="K1158" s="14" t="str">
        <f>CALL_LOOKUP_BOARD!J374</f>
        <v>Film Review Required</v>
      </c>
      <c r="L1158" s="9" t="str">
        <f>CALL_LOOKUP_BOARD!K374</f>
        <v>Opponent exact-play alert only. No Defensive Exact-Play Sample. Confirm concept mapping and review film before treating this as a defensive candidate.</v>
      </c>
      <c r="M1158" s="8" t="s">
        <v>107</v>
      </c>
      <c r="P1158" s="8" t="str">
        <f>IF(CALL_LOOKUP_BOARD!L374="","",CALL_LOOKUP_BOARD!L374)</f>
        <v>OUTSIDE ZONE</v>
      </c>
      <c r="Q1158" s="8" t="s">
        <v>1398</v>
      </c>
      <c r="R1158" s="14" t="s">
        <v>2731</v>
      </c>
    </row>
    <row r="1159" spans="1:18" ht="50" customHeight="1">
      <c r="A1159" s="8" t="s">
        <v>2827</v>
      </c>
      <c r="B1159" s="8" t="str">
        <f>CALL_LOOKUP_BOARD!C375</f>
        <v>WALL</v>
      </c>
      <c r="C1159" s="12">
        <f>CALL_LOOKUP_BOARD!D375</f>
        <v>1</v>
      </c>
      <c r="D1159" s="10">
        <f>CALL_LOOKUP_BOARD!E375</f>
        <v>1.0</v>
      </c>
      <c r="E1159" s="10">
        <f>CALL_LOOKUP_BOARD!F375</f>
        <v>0.0</v>
      </c>
      <c r="F1159" s="11">
        <f>CALL_LOOKUP_BOARD!G375</f>
        <v>0.0</v>
      </c>
      <c r="G1159" s="10">
        <f>IF(CALL_LOOKUP_BOARD!Z375=0,"",INDEX($G$811:$G$1055,CALL_LOOKUP_BOARD!Z375-811+1))</f>
        <v>0.0</v>
      </c>
      <c r="H1159" s="10">
        <f>IF(CALL_LOOKUP_BOARD!Z375=0,"",INDEX($H$811:$H$1055,CALL_LOOKUP_BOARD!Z375-811+1))</f>
        <v>1.0</v>
      </c>
      <c r="I1159" s="8" t="str">
        <f>CALL_LOOKUP_BOARD!I375</f>
        <v>TRACK</v>
      </c>
      <c r="J1159" s="11">
        <f>CALL_LOOKUP_BOARD!H375</f>
        <v>100.0</v>
      </c>
      <c r="K1159" s="14" t="str">
        <f>CALL_LOOKUP_BOARD!J375</f>
        <v>Sample Watch • D&amp;D + Concept Match • Concept Proxy</v>
      </c>
      <c r="L1159" s="9" t="str">
        <f>CALL_LOOKUP_BOARD!K375</f>
        <v>Opponent exact-play alert only. No Defensive Exact-Play Sample. Metrics describe the confirmed concept; Track only; not enough sample.</v>
      </c>
      <c r="M1159" s="8" t="s">
        <v>107</v>
      </c>
      <c r="P1159" s="8" t="str">
        <f>IF(CALL_LOOKUP_BOARD!L375="","",CALL_LOOKUP_BOARD!L375)</f>
        <v>5 STEP</v>
      </c>
      <c r="Q1159" s="8" t="s">
        <v>1660</v>
      </c>
      <c r="R1159" s="14" t="s">
        <v>2731</v>
      </c>
    </row>
    <row r="1160" spans="1:18" ht="50" customHeight="1">
      <c r="A1160" s="8" t="s">
        <v>2828</v>
      </c>
      <c r="B1160" s="8" t="str">
        <f>CALL_LOOKUP_BOARD!C376</f>
        <v>Film Review Required</v>
      </c>
      <c r="C1160" s="12">
        <f>CALL_LOOKUP_BOARD!D376</f>
        <v/>
      </c>
      <c r="D1160" s="10">
        <f>CALL_LOOKUP_BOARD!E376</f>
        <v/>
      </c>
      <c r="E1160" s="10">
        <f>CALL_LOOKUP_BOARD!F376</f>
        <v/>
      </c>
      <c r="F1160" s="11">
        <f>CALL_LOOKUP_BOARD!G376</f>
        <v/>
      </c>
      <c r="G1160" s="10">
        <f>IF(CALL_LOOKUP_BOARD!Z376=0,"",INDEX($G$811:$G$1055,CALL_LOOKUP_BOARD!Z376-811+1))</f>
        <v/>
      </c>
      <c r="H1160" s="10">
        <f>IF(CALL_LOOKUP_BOARD!Z376=0,"",INDEX($H$811:$H$1055,CALL_LOOKUP_BOARD!Z376-811+1))</f>
        <v/>
      </c>
      <c r="I1160" s="8">
        <f>CALL_LOOKUP_BOARD!I376</f>
        <v/>
      </c>
      <c r="J1160" s="11">
        <f>CALL_LOOKUP_BOARD!H376</f>
        <v/>
      </c>
      <c r="K1160" s="14" t="str">
        <f>CALL_LOOKUP_BOARD!J376</f>
        <v>Film Review Required</v>
      </c>
      <c r="L1160" s="9" t="str">
        <f>CALL_LOOKUP_BOARD!K376</f>
        <v>Opponent exact-play alert only. No Defensive Exact-Play Sample. Confirm concept mapping and review film before treating this as a defensive candidate.</v>
      </c>
      <c r="M1160" s="8" t="s">
        <v>107</v>
      </c>
      <c r="P1160" s="8">
        <f>IF(CALL_LOOKUP_BOARD!L376="","",CALL_LOOKUP_BOARD!L376)</f>
        <v/>
      </c>
      <c r="Q1160" s="8" t="s">
        <v>820</v>
      </c>
      <c r="R1160" s="14" t="s">
        <v>2731</v>
      </c>
    </row>
    <row r="1161" spans="1:18" ht="50" customHeight="1">
      <c r="A1161" s="8" t="s">
        <v>2829</v>
      </c>
      <c r="B1161" s="8" t="str">
        <f>CALL_LOOKUP_BOARD!C377</f>
        <v>Film Review Required</v>
      </c>
      <c r="C1161" s="12">
        <f>CALL_LOOKUP_BOARD!D377</f>
        <v/>
      </c>
      <c r="D1161" s="10">
        <f>CALL_LOOKUP_BOARD!E377</f>
        <v/>
      </c>
      <c r="E1161" s="10">
        <f>CALL_LOOKUP_BOARD!F377</f>
        <v/>
      </c>
      <c r="F1161" s="11">
        <f>CALL_LOOKUP_BOARD!G377</f>
        <v/>
      </c>
      <c r="G1161" s="10">
        <f>IF(CALL_LOOKUP_BOARD!Z377=0,"",INDEX($G$811:$G$1055,CALL_LOOKUP_BOARD!Z377-811+1))</f>
        <v/>
      </c>
      <c r="H1161" s="10">
        <f>IF(CALL_LOOKUP_BOARD!Z377=0,"",INDEX($H$811:$H$1055,CALL_LOOKUP_BOARD!Z377-811+1))</f>
        <v/>
      </c>
      <c r="I1161" s="8">
        <f>CALL_LOOKUP_BOARD!I377</f>
        <v/>
      </c>
      <c r="J1161" s="11">
        <f>CALL_LOOKUP_BOARD!H377</f>
        <v/>
      </c>
      <c r="K1161" s="14" t="str">
        <f>CALL_LOOKUP_BOARD!J377</f>
        <v>Film Review Required</v>
      </c>
      <c r="L1161" s="9" t="str">
        <f>CALL_LOOKUP_BOARD!K377</f>
        <v>Opponent exact-play alert only. No Defensive Exact-Play Sample. Confirm concept mapping and review film before treating this as a defensive candidate.</v>
      </c>
      <c r="M1161" s="8" t="s">
        <v>107</v>
      </c>
      <c r="P1161" s="8" t="str">
        <f>IF(CALL_LOOKUP_BOARD!L377="","",CALL_LOOKUP_BOARD!L377)</f>
        <v>SCREEN</v>
      </c>
      <c r="Q1161" s="8" t="s">
        <v>819</v>
      </c>
      <c r="R1161" s="14" t="s">
        <v>2731</v>
      </c>
    </row>
    <row r="1162" spans="1:18" ht="50" customHeight="1">
      <c r="A1162" s="8" t="s">
        <v>2830</v>
      </c>
      <c r="B1162" s="8" t="str">
        <f>CALL_LOOKUP_BOARD!C378</f>
        <v>Film Review Required</v>
      </c>
      <c r="C1162" s="12">
        <f>CALL_LOOKUP_BOARD!D378</f>
        <v/>
      </c>
      <c r="D1162" s="10">
        <f>CALL_LOOKUP_BOARD!E378</f>
        <v/>
      </c>
      <c r="E1162" s="10">
        <f>CALL_LOOKUP_BOARD!F378</f>
        <v/>
      </c>
      <c r="F1162" s="11">
        <f>CALL_LOOKUP_BOARD!G378</f>
        <v/>
      </c>
      <c r="G1162" s="10">
        <f>IF(CALL_LOOKUP_BOARD!Z378=0,"",INDEX($G$811:$G$1055,CALL_LOOKUP_BOARD!Z378-811+1))</f>
        <v/>
      </c>
      <c r="H1162" s="10">
        <f>IF(CALL_LOOKUP_BOARD!Z378=0,"",INDEX($H$811:$H$1055,CALL_LOOKUP_BOARD!Z378-811+1))</f>
        <v/>
      </c>
      <c r="I1162" s="8">
        <f>CALL_LOOKUP_BOARD!I378</f>
        <v/>
      </c>
      <c r="J1162" s="11">
        <f>CALL_LOOKUP_BOARD!H378</f>
        <v/>
      </c>
      <c r="K1162" s="14" t="str">
        <f>CALL_LOOKUP_BOARD!J378</f>
        <v>Film Review Required</v>
      </c>
      <c r="L1162" s="9" t="str">
        <f>CALL_LOOKUP_BOARD!K378</f>
        <v>Opponent exact-play alert only. No Defensive Exact-Play Sample. Confirm concept mapping and review film before treating this as a defensive candidate.</v>
      </c>
      <c r="M1162" s="8" t="s">
        <v>107</v>
      </c>
      <c r="P1162" s="8">
        <f>IF(CALL_LOOKUP_BOARD!L378="","",CALL_LOOKUP_BOARD!L378)</f>
        <v/>
      </c>
      <c r="Q1162" s="8" t="s">
        <v>821</v>
      </c>
      <c r="R1162" s="14" t="s">
        <v>2731</v>
      </c>
    </row>
    <row r="1163" spans="1:18" ht="50" customHeight="1">
      <c r="A1163" s="8" t="s">
        <v>2831</v>
      </c>
      <c r="B1163" s="8" t="str">
        <f>CALL_LOOKUP_BOARD!C379</f>
        <v>Film Review Required</v>
      </c>
      <c r="C1163" s="12">
        <f>CALL_LOOKUP_BOARD!D379</f>
        <v/>
      </c>
      <c r="D1163" s="10">
        <f>CALL_LOOKUP_BOARD!E379</f>
        <v/>
      </c>
      <c r="E1163" s="10">
        <f>CALL_LOOKUP_BOARD!F379</f>
        <v/>
      </c>
      <c r="F1163" s="11">
        <f>CALL_LOOKUP_BOARD!G379</f>
        <v/>
      </c>
      <c r="G1163" s="10">
        <f>IF(CALL_LOOKUP_BOARD!Z379=0,"",INDEX($G$811:$G$1055,CALL_LOOKUP_BOARD!Z379-811+1))</f>
        <v/>
      </c>
      <c r="H1163" s="10">
        <f>IF(CALL_LOOKUP_BOARD!Z379=0,"",INDEX($H$811:$H$1055,CALL_LOOKUP_BOARD!Z379-811+1))</f>
        <v/>
      </c>
      <c r="I1163" s="8">
        <f>CALL_LOOKUP_BOARD!I379</f>
        <v/>
      </c>
      <c r="J1163" s="11">
        <f>CALL_LOOKUP_BOARD!H379</f>
        <v/>
      </c>
      <c r="K1163" s="14" t="str">
        <f>CALL_LOOKUP_BOARD!J379</f>
        <v>Film Review Required</v>
      </c>
      <c r="L1163" s="9" t="str">
        <f>CALL_LOOKUP_BOARD!K379</f>
        <v>Opponent exact-play alert only. No Defensive Exact-Play Sample. Confirm concept mapping and review film before treating this as a defensive candidate.</v>
      </c>
      <c r="M1163" s="8" t="s">
        <v>107</v>
      </c>
      <c r="P1163" s="8">
        <f>IF(CALL_LOOKUP_BOARD!L379="","",CALL_LOOKUP_BOARD!L379)</f>
        <v/>
      </c>
      <c r="Q1163" s="8" t="s">
        <v>1494</v>
      </c>
      <c r="R1163" s="14" t="s">
        <v>2731</v>
      </c>
    </row>
    <row r="1164" spans="1:18" ht="50" customHeight="1">
      <c r="A1164" s="8" t="s">
        <v>2832</v>
      </c>
      <c r="B1164" s="8" t="str">
        <f>CALL_LOOKUP_BOARD!C380</f>
        <v>RAMBO</v>
      </c>
      <c r="C1164" s="12">
        <f>CALL_LOOKUP_BOARD!D380</f>
        <v>1</v>
      </c>
      <c r="D1164" s="10">
        <f>CALL_LOOKUP_BOARD!E380</f>
        <v>1.0</v>
      </c>
      <c r="E1164" s="10">
        <f>CALL_LOOKUP_BOARD!F380</f>
        <v>0.0</v>
      </c>
      <c r="F1164" s="11">
        <f>CALL_LOOKUP_BOARD!G380</f>
        <v>0.0</v>
      </c>
      <c r="G1164" s="10">
        <f>IF(CALL_LOOKUP_BOARD!Z380=0,"",INDEX($G$811:$G$1055,CALL_LOOKUP_BOARD!Z380-811+1))</f>
        <v>1.0</v>
      </c>
      <c r="H1164" s="10">
        <f>IF(CALL_LOOKUP_BOARD!Z380=0,"",INDEX($H$811:$H$1055,CALL_LOOKUP_BOARD!Z380-811+1))</f>
        <v>0.0</v>
      </c>
      <c r="I1164" s="8" t="str">
        <f>CALL_LOOKUP_BOARD!I380</f>
        <v>TRACK</v>
      </c>
      <c r="J1164" s="11">
        <f>CALL_LOOKUP_BOARD!H380</f>
        <v>100.0</v>
      </c>
      <c r="K1164" s="14" t="str">
        <f>CALL_LOOKUP_BOARD!J380</f>
        <v>Sample Watch • D&amp;D + Concept Match • Concept Proxy</v>
      </c>
      <c r="L1164" s="9" t="str">
        <f>CALL_LOOKUP_BOARD!K380</f>
        <v>Opponent exact-play alert only. No Defensive Exact-Play Sample. Metrics describe the confirmed concept; Track only; not enough sample.</v>
      </c>
      <c r="M1164" s="8" t="s">
        <v>107</v>
      </c>
      <c r="P1164" s="8" t="str">
        <f>IF(CALL_LOOKUP_BOARD!L380="","",CALL_LOOKUP_BOARD!L380)</f>
        <v>INSIDE ZONE</v>
      </c>
      <c r="Q1164" s="8" t="s">
        <v>823</v>
      </c>
      <c r="R1164" s="14" t="s">
        <v>2731</v>
      </c>
    </row>
    <row r="1165" spans="1:18" ht="50" customHeight="1">
      <c r="A1165" s="8" t="s">
        <v>2833</v>
      </c>
      <c r="B1165" s="8" t="str">
        <f>CALL_LOOKUP_BOARD!C381</f>
        <v>Film Review Required</v>
      </c>
      <c r="C1165" s="12">
        <f>CALL_LOOKUP_BOARD!D381</f>
        <v/>
      </c>
      <c r="D1165" s="10">
        <f>CALL_LOOKUP_BOARD!E381</f>
        <v/>
      </c>
      <c r="E1165" s="10">
        <f>CALL_LOOKUP_BOARD!F381</f>
        <v/>
      </c>
      <c r="F1165" s="11">
        <f>CALL_LOOKUP_BOARD!G381</f>
        <v/>
      </c>
      <c r="G1165" s="10">
        <f>IF(CALL_LOOKUP_BOARD!Z381=0,"",INDEX($G$811:$G$1055,CALL_LOOKUP_BOARD!Z381-811+1))</f>
        <v/>
      </c>
      <c r="H1165" s="10">
        <f>IF(CALL_LOOKUP_BOARD!Z381=0,"",INDEX($H$811:$H$1055,CALL_LOOKUP_BOARD!Z381-811+1))</f>
        <v/>
      </c>
      <c r="I1165" s="8">
        <f>CALL_LOOKUP_BOARD!I381</f>
        <v/>
      </c>
      <c r="J1165" s="11">
        <f>CALL_LOOKUP_BOARD!H381</f>
        <v/>
      </c>
      <c r="K1165" s="14" t="str">
        <f>CALL_LOOKUP_BOARD!J381</f>
        <v>Film Review Required</v>
      </c>
      <c r="L1165" s="9" t="str">
        <f>CALL_LOOKUP_BOARD!K381</f>
        <v>Opponent exact-play alert only. No Defensive Exact-Play Sample. Confirm concept mapping and review film before treating this as a defensive candidate.</v>
      </c>
      <c r="M1165" s="8" t="s">
        <v>111</v>
      </c>
      <c r="P1165" s="8" t="str">
        <f>IF(CALL_LOOKUP_BOARD!L381="","",CALL_LOOKUP_BOARD!L381)</f>
        <v>G</v>
      </c>
      <c r="Q1165" s="8" t="s">
        <v>1687</v>
      </c>
      <c r="R1165" s="14" t="s">
        <v>2731</v>
      </c>
    </row>
    <row r="1166" spans="1:18" ht="50" customHeight="1">
      <c r="A1166" s="8" t="s">
        <v>2834</v>
      </c>
      <c r="B1166" s="8" t="str">
        <f>CALL_LOOKUP_BOARD!C382</f>
        <v>Film Review Required</v>
      </c>
      <c r="C1166" s="12">
        <f>CALL_LOOKUP_BOARD!D382</f>
        <v/>
      </c>
      <c r="D1166" s="10">
        <f>CALL_LOOKUP_BOARD!E382</f>
        <v/>
      </c>
      <c r="E1166" s="10">
        <f>CALL_LOOKUP_BOARD!F382</f>
        <v/>
      </c>
      <c r="F1166" s="11">
        <f>CALL_LOOKUP_BOARD!G382</f>
        <v/>
      </c>
      <c r="G1166" s="10">
        <f>IF(CALL_LOOKUP_BOARD!Z382=0,"",INDEX($G$811:$G$1055,CALL_LOOKUP_BOARD!Z382-811+1))</f>
        <v/>
      </c>
      <c r="H1166" s="10">
        <f>IF(CALL_LOOKUP_BOARD!Z382=0,"",INDEX($H$811:$H$1055,CALL_LOOKUP_BOARD!Z382-811+1))</f>
        <v/>
      </c>
      <c r="I1166" s="8">
        <f>CALL_LOOKUP_BOARD!I382</f>
        <v/>
      </c>
      <c r="J1166" s="11">
        <f>CALL_LOOKUP_BOARD!H382</f>
        <v/>
      </c>
      <c r="K1166" s="14" t="str">
        <f>CALL_LOOKUP_BOARD!J382</f>
        <v>Film Review Required</v>
      </c>
      <c r="L1166" s="9" t="str">
        <f>CALL_LOOKUP_BOARD!K382</f>
        <v>Opponent exact-play alert only. No Defensive Exact-Play Sample. Confirm concept mapping and review film before treating this as a defensive candidate.</v>
      </c>
      <c r="M1166" s="8" t="s">
        <v>111</v>
      </c>
      <c r="P1166" s="8" t="str">
        <f>IF(CALL_LOOKUP_BOARD!L382="","",CALL_LOOKUP_BOARD!L382)</f>
        <v>WHAM</v>
      </c>
      <c r="Q1166" s="8" t="s">
        <v>1684</v>
      </c>
      <c r="R1166" s="14" t="s">
        <v>2731</v>
      </c>
    </row>
    <row r="1167" spans="1:18" ht="50" customHeight="1">
      <c r="A1167" s="8" t="s">
        <v>2835</v>
      </c>
      <c r="B1167" s="8" t="str">
        <f>CALL_LOOKUP_BOARD!C383</f>
        <v>TEX</v>
      </c>
      <c r="C1167" s="12">
        <f>CALL_LOOKUP_BOARD!D383</f>
        <v>1</v>
      </c>
      <c r="D1167" s="10">
        <f>CALL_LOOKUP_BOARD!E383</f>
        <v>1.0</v>
      </c>
      <c r="E1167" s="10">
        <f>CALL_LOOKUP_BOARD!F383</f>
        <v>0.0</v>
      </c>
      <c r="F1167" s="11">
        <f>CALL_LOOKUP_BOARD!G383</f>
        <v>0.0</v>
      </c>
      <c r="G1167" s="10">
        <f>IF(CALL_LOOKUP_BOARD!Z383=0,"",INDEX($G$811:$G$1055,CALL_LOOKUP_BOARD!Z383-811+1))</f>
        <v>0.0</v>
      </c>
      <c r="H1167" s="10">
        <f>IF(CALL_LOOKUP_BOARD!Z383=0,"",INDEX($H$811:$H$1055,CALL_LOOKUP_BOARD!Z383-811+1))</f>
        <v>1.0</v>
      </c>
      <c r="I1167" s="8" t="str">
        <f>CALL_LOOKUP_BOARD!I383</f>
        <v>TRACK</v>
      </c>
      <c r="J1167" s="11">
        <f>CALL_LOOKUP_BOARD!H383</f>
        <v>100.0</v>
      </c>
      <c r="K1167" s="14" t="str">
        <f>CALL_LOOKUP_BOARD!J383</f>
        <v>Sample Watch • D&amp;D + Concept Match • Concept Proxy</v>
      </c>
      <c r="L1167" s="9" t="str">
        <f>CALL_LOOKUP_BOARD!K383</f>
        <v>Opponent exact-play alert only. No Defensive Exact-Play Sample. Metrics describe the confirmed concept; Track only; not enough sample.</v>
      </c>
      <c r="M1167" s="8" t="s">
        <v>115</v>
      </c>
      <c r="P1167" s="8" t="str">
        <f>IF(CALL_LOOKUP_BOARD!L383="","",CALL_LOOKUP_BOARD!L383)</f>
        <v>RPO</v>
      </c>
      <c r="Q1167" s="8" t="s">
        <v>1406</v>
      </c>
      <c r="R1167" s="14" t="s">
        <v>2731</v>
      </c>
    </row>
    <row r="1168" spans="1:18" ht="50" customHeight="1">
      <c r="A1168" s="8" t="s">
        <v>2836</v>
      </c>
      <c r="B1168" s="8" t="str">
        <f>CALL_LOOKUP_BOARD!C384</f>
        <v>TEX</v>
      </c>
      <c r="C1168" s="12">
        <f>CALL_LOOKUP_BOARD!D384</f>
        <v>1</v>
      </c>
      <c r="D1168" s="10">
        <f>CALL_LOOKUP_BOARD!E384</f>
        <v>1.0</v>
      </c>
      <c r="E1168" s="10">
        <f>CALL_LOOKUP_BOARD!F384</f>
        <v>0.0</v>
      </c>
      <c r="F1168" s="11">
        <f>CALL_LOOKUP_BOARD!G384</f>
        <v>3.0</v>
      </c>
      <c r="G1168" s="10">
        <f>IF(CALL_LOOKUP_BOARD!Z384=0,"",INDEX($G$811:$G$1055,CALL_LOOKUP_BOARD!Z384-811+1))</f>
        <v>1.0</v>
      </c>
      <c r="H1168" s="10">
        <f>IF(CALL_LOOKUP_BOARD!Z384=0,"",INDEX($H$811:$H$1055,CALL_LOOKUP_BOARD!Z384-811+1))</f>
        <v>0.0</v>
      </c>
      <c r="I1168" s="8" t="str">
        <f>CALL_LOOKUP_BOARD!I384</f>
        <v>TRACK</v>
      </c>
      <c r="J1168" s="11">
        <f>CALL_LOOKUP_BOARD!H384</f>
        <v>97.0</v>
      </c>
      <c r="K1168" s="14" t="str">
        <f>CALL_LOOKUP_BOARD!J384</f>
        <v>Sample Watch • D&amp;D + Concept Match • Concept Proxy</v>
      </c>
      <c r="L1168" s="9" t="str">
        <f>CALL_LOOKUP_BOARD!K384</f>
        <v>Opponent exact-play alert only. No Defensive Exact-Play Sample. Metrics describe the confirmed concept; Track only; not enough sample.</v>
      </c>
      <c r="M1168" s="8" t="s">
        <v>115</v>
      </c>
      <c r="P1168" s="8" t="str">
        <f>IF(CALL_LOOKUP_BOARD!L384="","",CALL_LOOKUP_BOARD!L384)</f>
        <v>POWER</v>
      </c>
      <c r="Q1168" s="8" t="s">
        <v>1413</v>
      </c>
      <c r="R1168" s="14" t="s">
        <v>2731</v>
      </c>
    </row>
    <row r="1169" spans="1:18" ht="50" customHeight="1">
      <c r="A1169" s="8" t="s">
        <v>2837</v>
      </c>
      <c r="B1169" s="8" t="str">
        <f>CALL_LOOKUP_BOARD!C385</f>
        <v>KEY CAPTAIN</v>
      </c>
      <c r="C1169" s="12">
        <f>CALL_LOOKUP_BOARD!D385</f>
        <v>1</v>
      </c>
      <c r="D1169" s="10">
        <f>CALL_LOOKUP_BOARD!E385</f>
        <v>1.0</v>
      </c>
      <c r="E1169" s="10">
        <f>CALL_LOOKUP_BOARD!F385</f>
        <v>0.0</v>
      </c>
      <c r="F1169" s="11">
        <f>CALL_LOOKUP_BOARD!G385</f>
        <v>-7.0</v>
      </c>
      <c r="G1169" s="10">
        <f>IF(CALL_LOOKUP_BOARD!Z385=0,"",INDEX($G$811:$G$1055,CALL_LOOKUP_BOARD!Z385-811+1))</f>
        <v>0.0</v>
      </c>
      <c r="H1169" s="10">
        <f>IF(CALL_LOOKUP_BOARD!Z385=0,"",INDEX($H$811:$H$1055,CALL_LOOKUP_BOARD!Z385-811+1))</f>
        <v>1.0</v>
      </c>
      <c r="I1169" s="8" t="str">
        <f>CALL_LOOKUP_BOARD!I385</f>
        <v>TRACK</v>
      </c>
      <c r="J1169" s="11">
        <f>CALL_LOOKUP_BOARD!H385</f>
        <v>100.0</v>
      </c>
      <c r="K1169" s="14" t="str">
        <f>CALL_LOOKUP_BOARD!J385</f>
        <v>Sample Watch • D&amp;D + Concept Match • Concept Proxy</v>
      </c>
      <c r="L1169" s="9" t="str">
        <f>CALL_LOOKUP_BOARD!K385</f>
        <v>Opponent exact-play alert only. No Defensive Exact-Play Sample. Metrics describe the confirmed concept; Track only; not enough sample.</v>
      </c>
      <c r="M1169" s="8" t="s">
        <v>115</v>
      </c>
      <c r="P1169" s="8" t="str">
        <f>IF(CALL_LOOKUP_BOARD!L385="","",CALL_LOOKUP_BOARD!L385)</f>
        <v>PAP</v>
      </c>
      <c r="Q1169" s="8" t="s">
        <v>1431</v>
      </c>
      <c r="R1169" s="14" t="s">
        <v>2731</v>
      </c>
    </row>
    <row r="1170" spans="1:18" ht="50" customHeight="1">
      <c r="A1170" s="8" t="s">
        <v>2838</v>
      </c>
      <c r="B1170" s="8" t="str">
        <f>CALL_LOOKUP_BOARD!C386</f>
        <v>Film Review Required</v>
      </c>
      <c r="C1170" s="12">
        <f>CALL_LOOKUP_BOARD!D386</f>
        <v/>
      </c>
      <c r="D1170" s="10">
        <f>CALL_LOOKUP_BOARD!E386</f>
        <v/>
      </c>
      <c r="E1170" s="10">
        <f>CALL_LOOKUP_BOARD!F386</f>
        <v/>
      </c>
      <c r="F1170" s="11">
        <f>CALL_LOOKUP_BOARD!G386</f>
        <v/>
      </c>
      <c r="G1170" s="10">
        <f>IF(CALL_LOOKUP_BOARD!Z386=0,"",INDEX($G$811:$G$1055,CALL_LOOKUP_BOARD!Z386-811+1))</f>
        <v/>
      </c>
      <c r="H1170" s="10">
        <f>IF(CALL_LOOKUP_BOARD!Z386=0,"",INDEX($H$811:$H$1055,CALL_LOOKUP_BOARD!Z386-811+1))</f>
        <v/>
      </c>
      <c r="I1170" s="8">
        <f>CALL_LOOKUP_BOARD!I386</f>
        <v/>
      </c>
      <c r="J1170" s="11">
        <f>CALL_LOOKUP_BOARD!H386</f>
        <v/>
      </c>
      <c r="K1170" s="14" t="str">
        <f>CALL_LOOKUP_BOARD!J386</f>
        <v>Film Review Required</v>
      </c>
      <c r="L1170" s="9" t="str">
        <f>CALL_LOOKUP_BOARD!K386</f>
        <v>Opponent exact-play alert only. No Defensive Exact-Play Sample. Confirm concept mapping and review film before treating this as a defensive candidate.</v>
      </c>
      <c r="M1170" s="8" t="s">
        <v>115</v>
      </c>
      <c r="P1170" s="8">
        <f>IF(CALL_LOOKUP_BOARD!L386="","",CALL_LOOKUP_BOARD!L386)</f>
        <v/>
      </c>
      <c r="Q1170" s="8" t="s">
        <v>49</v>
      </c>
      <c r="R1170" s="14" t="s">
        <v>2731</v>
      </c>
    </row>
    <row r="1171" spans="1:18" ht="50" customHeight="1">
      <c r="A1171" s="8" t="s">
        <v>2839</v>
      </c>
      <c r="B1171" s="8" t="str">
        <f>CALL_LOOKUP_BOARD!C387</f>
        <v>Film Review Required</v>
      </c>
      <c r="C1171" s="12">
        <f>CALL_LOOKUP_BOARD!D387</f>
        <v/>
      </c>
      <c r="D1171" s="10">
        <f>CALL_LOOKUP_BOARD!E387</f>
        <v/>
      </c>
      <c r="E1171" s="10">
        <f>CALL_LOOKUP_BOARD!F387</f>
        <v/>
      </c>
      <c r="F1171" s="11">
        <f>CALL_LOOKUP_BOARD!G387</f>
        <v/>
      </c>
      <c r="G1171" s="10">
        <f>IF(CALL_LOOKUP_BOARD!Z387=0,"",INDEX($G$811:$G$1055,CALL_LOOKUP_BOARD!Z387-811+1))</f>
        <v/>
      </c>
      <c r="H1171" s="10">
        <f>IF(CALL_LOOKUP_BOARD!Z387=0,"",INDEX($H$811:$H$1055,CALL_LOOKUP_BOARD!Z387-811+1))</f>
        <v/>
      </c>
      <c r="I1171" s="8">
        <f>CALL_LOOKUP_BOARD!I387</f>
        <v/>
      </c>
      <c r="J1171" s="11">
        <f>CALL_LOOKUP_BOARD!H387</f>
        <v/>
      </c>
      <c r="K1171" s="14" t="str">
        <f>CALL_LOOKUP_BOARD!J387</f>
        <v>Film Review Required</v>
      </c>
      <c r="L1171" s="9" t="str">
        <f>CALL_LOOKUP_BOARD!K387</f>
        <v>Opponent exact-play alert only. No Defensive Exact-Play Sample. Confirm concept mapping and review film before treating this as a defensive candidate.</v>
      </c>
      <c r="M1171" s="8" t="s">
        <v>115</v>
      </c>
      <c r="P1171" s="8" t="str">
        <f>IF(CALL_LOOKUP_BOARD!L387="","",CALL_LOOKUP_BOARD!L387)</f>
        <v>POWER READ</v>
      </c>
      <c r="Q1171" s="8" t="s">
        <v>1435</v>
      </c>
      <c r="R1171" s="14" t="s">
        <v>2731</v>
      </c>
    </row>
    <row r="1172" spans="1:18" ht="50" customHeight="1">
      <c r="A1172" s="8" t="s">
        <v>2840</v>
      </c>
      <c r="B1172" s="8" t="str">
        <f>CALL_LOOKUP_BOARD!C388</f>
        <v>SWAP</v>
      </c>
      <c r="C1172" s="12">
        <f>CALL_LOOKUP_BOARD!D388</f>
        <v>1</v>
      </c>
      <c r="D1172" s="10">
        <f>CALL_LOOKUP_BOARD!E388</f>
        <v>1.0</v>
      </c>
      <c r="E1172" s="10">
        <f>CALL_LOOKUP_BOARD!F388</f>
        <v>0.0</v>
      </c>
      <c r="F1172" s="11">
        <f>CALL_LOOKUP_BOARD!G388</f>
        <v>3.0</v>
      </c>
      <c r="G1172" s="10">
        <f>IF(CALL_LOOKUP_BOARD!Z388=0,"",INDEX($G$811:$G$1055,CALL_LOOKUP_BOARD!Z388-811+1))</f>
        <v>1.0</v>
      </c>
      <c r="H1172" s="10">
        <f>IF(CALL_LOOKUP_BOARD!Z388=0,"",INDEX($H$811:$H$1055,CALL_LOOKUP_BOARD!Z388-811+1))</f>
        <v>0.0</v>
      </c>
      <c r="I1172" s="8" t="str">
        <f>CALL_LOOKUP_BOARD!I388</f>
        <v>TRACK</v>
      </c>
      <c r="J1172" s="11">
        <f>CALL_LOOKUP_BOARD!H388</f>
        <v>97.0</v>
      </c>
      <c r="K1172" s="14" t="str">
        <f>CALL_LOOKUP_BOARD!J388</f>
        <v>Sample Watch • D&amp;D + Concept Match • Concept Proxy</v>
      </c>
      <c r="L1172" s="9" t="str">
        <f>CALL_LOOKUP_BOARD!K388</f>
        <v>Opponent exact-play alert only. No Defensive Exact-Play Sample. Metrics describe the confirmed concept; Track only; not enough sample.</v>
      </c>
      <c r="M1172" s="8" t="s">
        <v>115</v>
      </c>
      <c r="P1172" s="8" t="str">
        <f>IF(CALL_LOOKUP_BOARD!L388="","",CALL_LOOKUP_BOARD!L388)</f>
        <v>FLY SWEEP</v>
      </c>
      <c r="Q1172" s="8" t="s">
        <v>1410</v>
      </c>
      <c r="R1172" s="14" t="s">
        <v>2731</v>
      </c>
    </row>
    <row r="1173" spans="1:18" ht="50" customHeight="1">
      <c r="A1173" s="8" t="s">
        <v>2841</v>
      </c>
      <c r="B1173" s="8" t="str">
        <f>CALL_LOOKUP_BOARD!C389</f>
        <v>Film Review Required</v>
      </c>
      <c r="C1173" s="12">
        <f>CALL_LOOKUP_BOARD!D389</f>
        <v/>
      </c>
      <c r="D1173" s="10">
        <f>CALL_LOOKUP_BOARD!E389</f>
        <v/>
      </c>
      <c r="E1173" s="10">
        <f>CALL_LOOKUP_BOARD!F389</f>
        <v/>
      </c>
      <c r="F1173" s="11">
        <f>CALL_LOOKUP_BOARD!G389</f>
        <v/>
      </c>
      <c r="G1173" s="10">
        <f>IF(CALL_LOOKUP_BOARD!Z389=0,"",INDEX($G$811:$G$1055,CALL_LOOKUP_BOARD!Z389-811+1))</f>
        <v/>
      </c>
      <c r="H1173" s="10">
        <f>IF(CALL_LOOKUP_BOARD!Z389=0,"",INDEX($H$811:$H$1055,CALL_LOOKUP_BOARD!Z389-811+1))</f>
        <v/>
      </c>
      <c r="I1173" s="8">
        <f>CALL_LOOKUP_BOARD!I389</f>
        <v/>
      </c>
      <c r="J1173" s="11">
        <f>CALL_LOOKUP_BOARD!H389</f>
        <v/>
      </c>
      <c r="K1173" s="14" t="str">
        <f>CALL_LOOKUP_BOARD!J389</f>
        <v>Film Review Required</v>
      </c>
      <c r="L1173" s="9" t="str">
        <f>CALL_LOOKUP_BOARD!K389</f>
        <v>Opponent exact-play alert only. No Defensive Exact-Play Sample. Confirm concept mapping and review film before treating this as a defensive candidate.</v>
      </c>
      <c r="M1173" s="8" t="s">
        <v>115</v>
      </c>
      <c r="P1173" s="8" t="str">
        <f>IF(CALL_LOOKUP_BOARD!L389="","",CALL_LOOKUP_BOARD!L389)</f>
        <v>OPTION</v>
      </c>
      <c r="Q1173" s="8" t="s">
        <v>1429</v>
      </c>
      <c r="R1173" s="14" t="s">
        <v>2731</v>
      </c>
    </row>
    <row r="1174" spans="1:18" ht="50" customHeight="1">
      <c r="A1174" s="8" t="s">
        <v>2842</v>
      </c>
      <c r="B1174" s="8" t="str">
        <f>CALL_LOOKUP_BOARD!C390</f>
        <v>RAMBO</v>
      </c>
      <c r="C1174" s="12">
        <f>CALL_LOOKUP_BOARD!D390</f>
        <v>1</v>
      </c>
      <c r="D1174" s="10">
        <f>CALL_LOOKUP_BOARD!E390</f>
        <v>1.0</v>
      </c>
      <c r="E1174" s="10">
        <f>CALL_LOOKUP_BOARD!F390</f>
        <v>0.0</v>
      </c>
      <c r="F1174" s="11">
        <f>CALL_LOOKUP_BOARD!G390</f>
        <v>3.0</v>
      </c>
      <c r="G1174" s="10">
        <f>IF(CALL_LOOKUP_BOARD!Z390=0,"",INDEX($G$811:$G$1055,CALL_LOOKUP_BOARD!Z390-811+1))</f>
        <v>0.0</v>
      </c>
      <c r="H1174" s="10">
        <f>IF(CALL_LOOKUP_BOARD!Z390=0,"",INDEX($H$811:$H$1055,CALL_LOOKUP_BOARD!Z390-811+1))</f>
        <v>1.0</v>
      </c>
      <c r="I1174" s="8" t="str">
        <f>CALL_LOOKUP_BOARD!I390</f>
        <v>TRACK</v>
      </c>
      <c r="J1174" s="11">
        <f>CALL_LOOKUP_BOARD!H390</f>
        <v>97.0</v>
      </c>
      <c r="K1174" s="14" t="str">
        <f>CALL_LOOKUP_BOARD!J390</f>
        <v>Sample Watch • D&amp;D + Concept Match • Concept Proxy</v>
      </c>
      <c r="L1174" s="9" t="str">
        <f>CALL_LOOKUP_BOARD!K390</f>
        <v>Opponent exact-play alert only. No Defensive Exact-Play Sample. Metrics describe the confirmed concept; Track only; not enough sample.</v>
      </c>
      <c r="M1174" s="8" t="s">
        <v>115</v>
      </c>
      <c r="P1174" s="8" t="str">
        <f>IF(CALL_LOOKUP_BOARD!L390="","",CALL_LOOKUP_BOARD!L390)</f>
        <v>TOSS PASS</v>
      </c>
      <c r="Q1174" s="8" t="s">
        <v>1455</v>
      </c>
      <c r="R1174" s="14" t="s">
        <v>2731</v>
      </c>
    </row>
    <row r="1175" spans="1:18" ht="50" customHeight="1">
      <c r="A1175" s="8" t="s">
        <v>2843</v>
      </c>
      <c r="B1175" s="8" t="str">
        <f>CALL_LOOKUP_BOARD!C391</f>
        <v>RAMBO</v>
      </c>
      <c r="C1175" s="12">
        <f>CALL_LOOKUP_BOARD!D391</f>
        <v>1</v>
      </c>
      <c r="D1175" s="10">
        <f>CALL_LOOKUP_BOARD!E391</f>
        <v>1.0</v>
      </c>
      <c r="E1175" s="10">
        <f>CALL_LOOKUP_BOARD!F391</f>
        <v>0.0</v>
      </c>
      <c r="F1175" s="11">
        <f>CALL_LOOKUP_BOARD!G391</f>
        <v>2.0</v>
      </c>
      <c r="G1175" s="10">
        <f>IF(CALL_LOOKUP_BOARD!Z391=0,"",INDEX($G$811:$G$1055,CALL_LOOKUP_BOARD!Z391-811+1))</f>
        <v>0.0</v>
      </c>
      <c r="H1175" s="10">
        <f>IF(CALL_LOOKUP_BOARD!Z391=0,"",INDEX($H$811:$H$1055,CALL_LOOKUP_BOARD!Z391-811+1))</f>
        <v>1.0</v>
      </c>
      <c r="I1175" s="8" t="str">
        <f>CALL_LOOKUP_BOARD!I391</f>
        <v>TRACK</v>
      </c>
      <c r="J1175" s="11">
        <f>CALL_LOOKUP_BOARD!H391</f>
        <v>98.0</v>
      </c>
      <c r="K1175" s="14" t="str">
        <f>CALL_LOOKUP_BOARD!J391</f>
        <v>Sample Watch • D&amp;D + Concept Match • Concept Proxy</v>
      </c>
      <c r="L1175" s="9" t="str">
        <f>CALL_LOOKUP_BOARD!K391</f>
        <v>Opponent exact-play alert only. No Defensive Exact-Play Sample. Metrics describe the confirmed concept; Track only; not enough sample.</v>
      </c>
      <c r="M1175" s="8" t="s">
        <v>115</v>
      </c>
      <c r="P1175" s="8" t="str">
        <f>IF(CALL_LOOKUP_BOARD!L391="","",CALL_LOOKUP_BOARD!L391)</f>
        <v>5 STEP</v>
      </c>
      <c r="Q1175" s="8" t="s">
        <v>1395</v>
      </c>
      <c r="R1175" s="14" t="s">
        <v>2731</v>
      </c>
    </row>
    <row r="1176" spans="1:18" ht="50" customHeight="1">
      <c r="A1176" s="8" t="s">
        <v>2844</v>
      </c>
      <c r="B1176" s="8" t="str">
        <f>CALL_LOOKUP_BOARD!C392</f>
        <v>RAMBO</v>
      </c>
      <c r="C1176" s="12">
        <f>CALL_LOOKUP_BOARD!D392</f>
        <v>1</v>
      </c>
      <c r="D1176" s="10">
        <f>CALL_LOOKUP_BOARD!E392</f>
        <v>1.0</v>
      </c>
      <c r="E1176" s="10">
        <f>CALL_LOOKUP_BOARD!F392</f>
        <v>0.0</v>
      </c>
      <c r="F1176" s="11">
        <f>CALL_LOOKUP_BOARD!G392</f>
        <v>2.0</v>
      </c>
      <c r="G1176" s="10">
        <f>IF(CALL_LOOKUP_BOARD!Z392=0,"",INDEX($G$811:$G$1055,CALL_LOOKUP_BOARD!Z392-811+1))</f>
        <v>0.0</v>
      </c>
      <c r="H1176" s="10">
        <f>IF(CALL_LOOKUP_BOARD!Z392=0,"",INDEX($H$811:$H$1055,CALL_LOOKUP_BOARD!Z392-811+1))</f>
        <v>1.0</v>
      </c>
      <c r="I1176" s="8" t="str">
        <f>CALL_LOOKUP_BOARD!I392</f>
        <v>TRACK</v>
      </c>
      <c r="J1176" s="11">
        <f>CALL_LOOKUP_BOARD!H392</f>
        <v>98.0</v>
      </c>
      <c r="K1176" s="14" t="str">
        <f>CALL_LOOKUP_BOARD!J392</f>
        <v>Sample Watch • D&amp;D + Concept Match • Concept Proxy</v>
      </c>
      <c r="L1176" s="9" t="str">
        <f>CALL_LOOKUP_BOARD!K392</f>
        <v>Opponent exact-play alert only. No Defensive Exact-Play Sample. Metrics describe the confirmed concept; Track only; not enough sample.</v>
      </c>
      <c r="M1176" s="8" t="s">
        <v>115</v>
      </c>
      <c r="P1176" s="8" t="str">
        <f>IF(CALL_LOOKUP_BOARD!L392="","",CALL_LOOKUP_BOARD!L392)</f>
        <v>5 STEP</v>
      </c>
      <c r="Q1176" s="8" t="s">
        <v>1401</v>
      </c>
      <c r="R1176" s="14" t="s">
        <v>2731</v>
      </c>
    </row>
    <row r="1177" spans="1:18" ht="50" customHeight="1">
      <c r="A1177" s="8" t="s">
        <v>2845</v>
      </c>
      <c r="B1177" s="8" t="str">
        <f>CALL_LOOKUP_BOARD!C393</f>
        <v>RAMBO</v>
      </c>
      <c r="C1177" s="12">
        <f>CALL_LOOKUP_BOARD!D393</f>
        <v>1</v>
      </c>
      <c r="D1177" s="10">
        <f>CALL_LOOKUP_BOARD!E393</f>
        <v>1.0</v>
      </c>
      <c r="E1177" s="10">
        <f>CALL_LOOKUP_BOARD!F393</f>
        <v>0.0</v>
      </c>
      <c r="F1177" s="11">
        <f>CALL_LOOKUP_BOARD!G393</f>
        <v>2.0</v>
      </c>
      <c r="G1177" s="10">
        <f>IF(CALL_LOOKUP_BOARD!Z393=0,"",INDEX($G$811:$G$1055,CALL_LOOKUP_BOARD!Z393-811+1))</f>
        <v>0.0</v>
      </c>
      <c r="H1177" s="10">
        <f>IF(CALL_LOOKUP_BOARD!Z393=0,"",INDEX($H$811:$H$1055,CALL_LOOKUP_BOARD!Z393-811+1))</f>
        <v>1.0</v>
      </c>
      <c r="I1177" s="8" t="str">
        <f>CALL_LOOKUP_BOARD!I393</f>
        <v>TRACK</v>
      </c>
      <c r="J1177" s="11">
        <f>CALL_LOOKUP_BOARD!H393</f>
        <v>98.0</v>
      </c>
      <c r="K1177" s="14" t="str">
        <f>CALL_LOOKUP_BOARD!J393</f>
        <v>Sample Watch • D&amp;D + Concept Match • Concept Proxy</v>
      </c>
      <c r="L1177" s="9" t="str">
        <f>CALL_LOOKUP_BOARD!K393</f>
        <v>Opponent exact-play alert only. No Defensive Exact-Play Sample. Metrics describe the confirmed concept; Track only; not enough sample.</v>
      </c>
      <c r="M1177" s="8" t="s">
        <v>115</v>
      </c>
      <c r="P1177" s="8" t="str">
        <f>IF(CALL_LOOKUP_BOARD!L393="","",CALL_LOOKUP_BOARD!L393)</f>
        <v>5 STEP</v>
      </c>
      <c r="Q1177" s="8" t="s">
        <v>1416</v>
      </c>
      <c r="R1177" s="14" t="s">
        <v>2731</v>
      </c>
    </row>
    <row r="1178" spans="1:18" ht="50" customHeight="1">
      <c r="A1178" s="8" t="s">
        <v>2846</v>
      </c>
      <c r="B1178" s="8" t="str">
        <f>CALL_LOOKUP_BOARD!C394</f>
        <v>RAMBO</v>
      </c>
      <c r="C1178" s="12">
        <f>CALL_LOOKUP_BOARD!D394</f>
        <v>1</v>
      </c>
      <c r="D1178" s="10">
        <f>CALL_LOOKUP_BOARD!E394</f>
        <v>1.0</v>
      </c>
      <c r="E1178" s="10">
        <f>CALL_LOOKUP_BOARD!F394</f>
        <v>0.0</v>
      </c>
      <c r="F1178" s="11">
        <f>CALL_LOOKUP_BOARD!G394</f>
        <v>-1.0</v>
      </c>
      <c r="G1178" s="10">
        <f>IF(CALL_LOOKUP_BOARD!Z394=0,"",INDEX($G$811:$G$1055,CALL_LOOKUP_BOARD!Z394-811+1))</f>
        <v>1.0</v>
      </c>
      <c r="H1178" s="10">
        <f>IF(CALL_LOOKUP_BOARD!Z394=0,"",INDEX($H$811:$H$1055,CALL_LOOKUP_BOARD!Z394-811+1))</f>
        <v>0.0</v>
      </c>
      <c r="I1178" s="8" t="str">
        <f>CALL_LOOKUP_BOARD!I394</f>
        <v>TRACK</v>
      </c>
      <c r="J1178" s="11">
        <f>CALL_LOOKUP_BOARD!H394</f>
        <v>100.0</v>
      </c>
      <c r="K1178" s="14" t="str">
        <f>CALL_LOOKUP_BOARD!J394</f>
        <v>Sample Watch • D&amp;D + Concept Match • Concept Proxy</v>
      </c>
      <c r="L1178" s="9" t="str">
        <f>CALL_LOOKUP_BOARD!K394</f>
        <v>Opponent exact-play alert only. No Defensive Exact-Play Sample. Metrics describe the confirmed concept; Track only; not enough sample.</v>
      </c>
      <c r="M1178" s="8" t="s">
        <v>115</v>
      </c>
      <c r="P1178" s="8" t="str">
        <f>IF(CALL_LOOKUP_BOARD!L394="","",CALL_LOOKUP_BOARD!L394)</f>
        <v>OUTSIDE ZONE</v>
      </c>
      <c r="Q1178" s="8" t="s">
        <v>1439</v>
      </c>
      <c r="R1178" s="14" t="s">
        <v>2731</v>
      </c>
    </row>
    <row r="1179" spans="1:18" ht="50" customHeight="1">
      <c r="A1179" s="8" t="s">
        <v>2847</v>
      </c>
      <c r="B1179" s="8" t="str">
        <f>CALL_LOOKUP_BOARD!C395</f>
        <v>RAMBO</v>
      </c>
      <c r="C1179" s="12">
        <f>CALL_LOOKUP_BOARD!D395</f>
        <v>1</v>
      </c>
      <c r="D1179" s="10">
        <f>CALL_LOOKUP_BOARD!E395</f>
        <v>1.0</v>
      </c>
      <c r="E1179" s="10">
        <f>CALL_LOOKUP_BOARD!F395</f>
        <v>0.0</v>
      </c>
      <c r="F1179" s="11">
        <f>CALL_LOOKUP_BOARD!G395</f>
        <v>-1.0</v>
      </c>
      <c r="G1179" s="10">
        <f>IF(CALL_LOOKUP_BOARD!Z395=0,"",INDEX($G$811:$G$1055,CALL_LOOKUP_BOARD!Z395-811+1))</f>
        <v>1.0</v>
      </c>
      <c r="H1179" s="10">
        <f>IF(CALL_LOOKUP_BOARD!Z395=0,"",INDEX($H$811:$H$1055,CALL_LOOKUP_BOARD!Z395-811+1))</f>
        <v>0.0</v>
      </c>
      <c r="I1179" s="8" t="str">
        <f>CALL_LOOKUP_BOARD!I395</f>
        <v>TRACK</v>
      </c>
      <c r="J1179" s="11">
        <f>CALL_LOOKUP_BOARD!H395</f>
        <v>100.0</v>
      </c>
      <c r="K1179" s="14" t="str">
        <f>CALL_LOOKUP_BOARD!J395</f>
        <v>Sample Watch • D&amp;D + Concept Match • Concept Proxy</v>
      </c>
      <c r="L1179" s="9" t="str">
        <f>CALL_LOOKUP_BOARD!K395</f>
        <v>Opponent exact-play alert only. No Defensive Exact-Play Sample. Metrics describe the confirmed concept; Track only; not enough sample.</v>
      </c>
      <c r="M1179" s="8" t="s">
        <v>115</v>
      </c>
      <c r="P1179" s="8" t="str">
        <f>IF(CALL_LOOKUP_BOARD!L395="","",CALL_LOOKUP_BOARD!L395)</f>
        <v>OUTSIDE ZONE</v>
      </c>
      <c r="Q1179" s="8" t="s">
        <v>815</v>
      </c>
      <c r="R1179" s="14" t="s">
        <v>2731</v>
      </c>
    </row>
    <row r="1180" spans="1:18" ht="50" customHeight="1">
      <c r="A1180" s="8" t="s">
        <v>2848</v>
      </c>
      <c r="B1180" s="8" t="str">
        <f>CALL_LOOKUP_BOARD!C396</f>
        <v>RAMBO</v>
      </c>
      <c r="C1180" s="12">
        <f>CALL_LOOKUP_BOARD!D396</f>
        <v>1</v>
      </c>
      <c r="D1180" s="10">
        <f>CALL_LOOKUP_BOARD!E396</f>
        <v>1.0</v>
      </c>
      <c r="E1180" s="10">
        <f>CALL_LOOKUP_BOARD!F396</f>
        <v>0.0</v>
      </c>
      <c r="F1180" s="11">
        <f>CALL_LOOKUP_BOARD!G396</f>
        <v>-1.0</v>
      </c>
      <c r="G1180" s="10">
        <f>IF(CALL_LOOKUP_BOARD!Z396=0,"",INDEX($G$811:$G$1055,CALL_LOOKUP_BOARD!Z396-811+1))</f>
        <v>1.0</v>
      </c>
      <c r="H1180" s="10">
        <f>IF(CALL_LOOKUP_BOARD!Z396=0,"",INDEX($H$811:$H$1055,CALL_LOOKUP_BOARD!Z396-811+1))</f>
        <v>0.0</v>
      </c>
      <c r="I1180" s="8" t="str">
        <f>CALL_LOOKUP_BOARD!I396</f>
        <v>TRACK</v>
      </c>
      <c r="J1180" s="11">
        <f>CALL_LOOKUP_BOARD!H396</f>
        <v>100.0</v>
      </c>
      <c r="K1180" s="14" t="str">
        <f>CALL_LOOKUP_BOARD!J396</f>
        <v>Sample Watch • D&amp;D + Concept Match • Concept Proxy</v>
      </c>
      <c r="L1180" s="9" t="str">
        <f>CALL_LOOKUP_BOARD!K396</f>
        <v>Opponent exact-play alert only. No Defensive Exact-Play Sample. Metrics describe the confirmed concept; Track only; not enough sample.</v>
      </c>
      <c r="M1180" s="8" t="s">
        <v>115</v>
      </c>
      <c r="P1180" s="8" t="str">
        <f>IF(CALL_LOOKUP_BOARD!L396="","",CALL_LOOKUP_BOARD!L396)</f>
        <v>OUTSIDE ZONE</v>
      </c>
      <c r="Q1180" s="8" t="s">
        <v>1398</v>
      </c>
      <c r="R1180" s="14" t="s">
        <v>2731</v>
      </c>
    </row>
    <row r="1181" spans="1:18" ht="50" customHeight="1">
      <c r="A1181" s="8" t="s">
        <v>2849</v>
      </c>
      <c r="B1181" s="8" t="str">
        <f>CALL_LOOKUP_BOARD!C397</f>
        <v>RAMBO</v>
      </c>
      <c r="C1181" s="12">
        <f>CALL_LOOKUP_BOARD!D397</f>
        <v>1</v>
      </c>
      <c r="D1181" s="10">
        <f>CALL_LOOKUP_BOARD!E397</f>
        <v>1.0</v>
      </c>
      <c r="E1181" s="10">
        <f>CALL_LOOKUP_BOARD!F397</f>
        <v>0.0</v>
      </c>
      <c r="F1181" s="11">
        <f>CALL_LOOKUP_BOARD!G397</f>
        <v>-1.0</v>
      </c>
      <c r="G1181" s="10">
        <f>IF(CALL_LOOKUP_BOARD!Z397=0,"",INDEX($G$811:$G$1055,CALL_LOOKUP_BOARD!Z397-811+1))</f>
        <v>1.0</v>
      </c>
      <c r="H1181" s="10">
        <f>IF(CALL_LOOKUP_BOARD!Z397=0,"",INDEX($H$811:$H$1055,CALL_LOOKUP_BOARD!Z397-811+1))</f>
        <v>0.0</v>
      </c>
      <c r="I1181" s="8" t="str">
        <f>CALL_LOOKUP_BOARD!I397</f>
        <v>TRACK</v>
      </c>
      <c r="J1181" s="11">
        <f>CALL_LOOKUP_BOARD!H397</f>
        <v>100.0</v>
      </c>
      <c r="K1181" s="14" t="str">
        <f>CALL_LOOKUP_BOARD!J397</f>
        <v>Sample Watch • D&amp;D + Concept Match • Concept Proxy</v>
      </c>
      <c r="L1181" s="9" t="str">
        <f>CALL_LOOKUP_BOARD!K397</f>
        <v>Opponent exact-play alert only. No Defensive Exact-Play Sample. Metrics describe the confirmed concept; Track only; not enough sample.</v>
      </c>
      <c r="M1181" s="8" t="s">
        <v>115</v>
      </c>
      <c r="P1181" s="8" t="str">
        <f>IF(CALL_LOOKUP_BOARD!L397="","",CALL_LOOKUP_BOARD!L397)</f>
        <v>OUTSIDE ZONE</v>
      </c>
      <c r="Q1181" s="8" t="s">
        <v>1447</v>
      </c>
      <c r="R1181" s="14" t="s">
        <v>2731</v>
      </c>
    </row>
    <row r="1182" spans="1:18" ht="50" customHeight="1">
      <c r="A1182" s="8" t="s">
        <v>2850</v>
      </c>
      <c r="B1182" s="8" t="str">
        <f>CALL_LOOKUP_BOARD!C398</f>
        <v>Film Review Required</v>
      </c>
      <c r="C1182" s="12">
        <f>CALL_LOOKUP_BOARD!D398</f>
        <v/>
      </c>
      <c r="D1182" s="10">
        <f>CALL_LOOKUP_BOARD!E398</f>
        <v/>
      </c>
      <c r="E1182" s="10">
        <f>CALL_LOOKUP_BOARD!F398</f>
        <v/>
      </c>
      <c r="F1182" s="11">
        <f>CALL_LOOKUP_BOARD!G398</f>
        <v/>
      </c>
      <c r="G1182" s="10">
        <f>IF(CALL_LOOKUP_BOARD!Z398=0,"",INDEX($G$811:$G$1055,CALL_LOOKUP_BOARD!Z398-811+1))</f>
        <v/>
      </c>
      <c r="H1182" s="10">
        <f>IF(CALL_LOOKUP_BOARD!Z398=0,"",INDEX($H$811:$H$1055,CALL_LOOKUP_BOARD!Z398-811+1))</f>
        <v/>
      </c>
      <c r="I1182" s="8">
        <f>CALL_LOOKUP_BOARD!I398</f>
        <v/>
      </c>
      <c r="J1182" s="11">
        <f>CALL_LOOKUP_BOARD!H398</f>
        <v/>
      </c>
      <c r="K1182" s="14" t="str">
        <f>CALL_LOOKUP_BOARD!J398</f>
        <v>Film Review Required</v>
      </c>
      <c r="L1182" s="9" t="str">
        <f>CALL_LOOKUP_BOARD!K398</f>
        <v>Opponent exact-play alert only. No Defensive Exact-Play Sample. Confirm concept mapping and review film before treating this as a defensive candidate.</v>
      </c>
      <c r="M1182" s="8" t="s">
        <v>115</v>
      </c>
      <c r="P1182" s="8" t="str">
        <f>IF(CALL_LOOKUP_BOARD!L398="","",CALL_LOOKUP_BOARD!L398)</f>
        <v>POWER READ</v>
      </c>
      <c r="Q1182" s="8" t="s">
        <v>817</v>
      </c>
      <c r="R1182" s="14" t="s">
        <v>2731</v>
      </c>
    </row>
    <row r="1183" spans="1:18" ht="50" customHeight="1">
      <c r="A1183" s="8" t="s">
        <v>2851</v>
      </c>
      <c r="B1183" s="8" t="str">
        <f>CALL_LOOKUP_BOARD!C399</f>
        <v>Film Review Required</v>
      </c>
      <c r="C1183" s="12">
        <f>CALL_LOOKUP_BOARD!D399</f>
        <v/>
      </c>
      <c r="D1183" s="10">
        <f>CALL_LOOKUP_BOARD!E399</f>
        <v/>
      </c>
      <c r="E1183" s="10">
        <f>CALL_LOOKUP_BOARD!F399</f>
        <v/>
      </c>
      <c r="F1183" s="11">
        <f>CALL_LOOKUP_BOARD!G399</f>
        <v/>
      </c>
      <c r="G1183" s="10">
        <f>IF(CALL_LOOKUP_BOARD!Z399=0,"",INDEX($G$811:$G$1055,CALL_LOOKUP_BOARD!Z399-811+1))</f>
        <v/>
      </c>
      <c r="H1183" s="10">
        <f>IF(CALL_LOOKUP_BOARD!Z399=0,"",INDEX($H$811:$H$1055,CALL_LOOKUP_BOARD!Z399-811+1))</f>
        <v/>
      </c>
      <c r="I1183" s="8">
        <f>CALL_LOOKUP_BOARD!I399</f>
        <v/>
      </c>
      <c r="J1183" s="11">
        <f>CALL_LOOKUP_BOARD!H399</f>
        <v/>
      </c>
      <c r="K1183" s="14" t="str">
        <f>CALL_LOOKUP_BOARD!J399</f>
        <v>Film Review Required</v>
      </c>
      <c r="L1183" s="9" t="str">
        <f>CALL_LOOKUP_BOARD!K399</f>
        <v>Opponent exact-play alert only. No Defensive Exact-Play Sample. Confirm concept mapping and review film before treating this as a defensive candidate.</v>
      </c>
      <c r="M1183" s="8" t="s">
        <v>115</v>
      </c>
      <c r="P1183" s="8" t="str">
        <f>IF(CALL_LOOKUP_BOARD!L399="","",CALL_LOOKUP_BOARD!L399)</f>
        <v>G</v>
      </c>
      <c r="Q1183" s="8" t="s">
        <v>1451</v>
      </c>
      <c r="R1183" s="14" t="s">
        <v>2731</v>
      </c>
    </row>
    <row r="1184" spans="1:18" ht="50" customHeight="1">
      <c r="A1184" s="8" t="s">
        <v>2852</v>
      </c>
      <c r="B1184" s="8" t="str">
        <f>CALL_LOOKUP_BOARD!C400</f>
        <v>Film Review Required</v>
      </c>
      <c r="C1184" s="12">
        <f>CALL_LOOKUP_BOARD!D400</f>
        <v/>
      </c>
      <c r="D1184" s="10">
        <f>CALL_LOOKUP_BOARD!E400</f>
        <v/>
      </c>
      <c r="E1184" s="10">
        <f>CALL_LOOKUP_BOARD!F400</f>
        <v/>
      </c>
      <c r="F1184" s="11">
        <f>CALL_LOOKUP_BOARD!G400</f>
        <v/>
      </c>
      <c r="G1184" s="10">
        <f>IF(CALL_LOOKUP_BOARD!Z400=0,"",INDEX($G$811:$G$1055,CALL_LOOKUP_BOARD!Z400-811+1))</f>
        <v/>
      </c>
      <c r="H1184" s="10">
        <f>IF(CALL_LOOKUP_BOARD!Z400=0,"",INDEX($H$811:$H$1055,CALL_LOOKUP_BOARD!Z400-811+1))</f>
        <v/>
      </c>
      <c r="I1184" s="8">
        <f>CALL_LOOKUP_BOARD!I400</f>
        <v/>
      </c>
      <c r="J1184" s="11">
        <f>CALL_LOOKUP_BOARD!H400</f>
        <v/>
      </c>
      <c r="K1184" s="14" t="str">
        <f>CALL_LOOKUP_BOARD!J400</f>
        <v>Film Review Required</v>
      </c>
      <c r="L1184" s="9" t="str">
        <f>CALL_LOOKUP_BOARD!K400</f>
        <v>Opponent exact-play alert only. No Defensive Exact-Play Sample. Confirm concept mapping and review film before treating this as a defensive candidate.</v>
      </c>
      <c r="M1184" s="8" t="s">
        <v>115</v>
      </c>
      <c r="P1184" s="8" t="str">
        <f>IF(CALL_LOOKUP_BOARD!L400="","",CALL_LOOKUP_BOARD!L400)</f>
        <v>SCREEN</v>
      </c>
      <c r="Q1184" s="8" t="s">
        <v>819</v>
      </c>
      <c r="R1184" s="14" t="s">
        <v>2731</v>
      </c>
    </row>
    <row r="1185" spans="1:21" ht="50" customHeight="1">
      <c r="A1185" s="8" t="s">
        <v>2853</v>
      </c>
      <c r="B1185" s="8" t="str">
        <f>CALL_LOOKUP_BOARD!C401</f>
        <v>KEY CAPTAIN</v>
      </c>
      <c r="C1185" s="12">
        <f>CALL_LOOKUP_BOARD!D401</f>
        <v>3</v>
      </c>
      <c r="D1185" s="10">
        <f>CALL_LOOKUP_BOARD!E401</f>
        <v>0.3333333333333333</v>
      </c>
      <c r="E1185" s="10">
        <f>CALL_LOOKUP_BOARD!F401</f>
        <v>0.0</v>
      </c>
      <c r="F1185" s="11">
        <f>CALL_LOOKUP_BOARD!G401</f>
        <v>4.333333333333333</v>
      </c>
      <c r="G1185" s="10">
        <f>IF(CALL_LOOKUP_BOARD!Z401=0,"",INDEX($G$811:$G$1055,CALL_LOOKUP_BOARD!Z401-811+1))</f>
        <v>1.0</v>
      </c>
      <c r="H1185" s="10">
        <f>IF(CALL_LOOKUP_BOARD!Z401=0,"",INDEX($H$811:$H$1055,CALL_LOOKUP_BOARD!Z401-811+1))</f>
        <v>0.0</v>
      </c>
      <c r="I1185" s="8" t="str">
        <f>CALL_LOOKUP_BOARD!I401</f>
        <v>LOW</v>
      </c>
      <c r="J1185" s="11">
        <f>CALL_LOOKUP_BOARD!H401</f>
        <v>49.0</v>
      </c>
      <c r="K1185" s="14" t="str">
        <f>CALL_LOOKUP_BOARD!J401</f>
        <v>Sample Watch • D&amp;D + Concept Match • Concept Proxy</v>
      </c>
      <c r="L1185" s="9" t="str">
        <f>CALL_LOOKUP_BOARD!K401</f>
        <v>Opponent exact-play alert only. No Defensive Exact-Play Sample. Metrics describe the confirmed concept; Sample watch; review clips and build the sample.</v>
      </c>
      <c r="M1185" s="8" t="s">
        <v>115</v>
      </c>
      <c r="P1185" s="8" t="str">
        <f>IF(CALL_LOOKUP_BOARD!L401="","",CALL_LOOKUP_BOARD!L401)</f>
        <v>INSIDE ZONE</v>
      </c>
      <c r="Q1185" s="8" t="s">
        <v>1420</v>
      </c>
      <c r="R1185" s="14" t="s">
        <v>2731</v>
      </c>
    </row>
    <row r="1186" spans="1:21" ht="50" customHeight="1">
      <c r="A1186" s="8" t="s">
        <v>2854</v>
      </c>
      <c r="B1186" s="8" t="str">
        <f>CALL_LOOKUP_BOARD!C402</f>
        <v>KEY CAPTAIN</v>
      </c>
      <c r="C1186" s="12">
        <f>CALL_LOOKUP_BOARD!D402</f>
        <v>3</v>
      </c>
      <c r="D1186" s="10">
        <f>CALL_LOOKUP_BOARD!E402</f>
        <v>0.3333333333333333</v>
      </c>
      <c r="E1186" s="10">
        <f>CALL_LOOKUP_BOARD!F402</f>
        <v>0.0</v>
      </c>
      <c r="F1186" s="11">
        <f>CALL_LOOKUP_BOARD!G402</f>
        <v>4.333333333333333</v>
      </c>
      <c r="G1186" s="10">
        <f>IF(CALL_LOOKUP_BOARD!Z402=0,"",INDEX($G$811:$G$1055,CALL_LOOKUP_BOARD!Z402-811+1))</f>
        <v>1.0</v>
      </c>
      <c r="H1186" s="10">
        <f>IF(CALL_LOOKUP_BOARD!Z402=0,"",INDEX($H$811:$H$1055,CALL_LOOKUP_BOARD!Z402-811+1))</f>
        <v>0.0</v>
      </c>
      <c r="I1186" s="8" t="str">
        <f>CALL_LOOKUP_BOARD!I402</f>
        <v>LOW</v>
      </c>
      <c r="J1186" s="11">
        <f>CALL_LOOKUP_BOARD!H402</f>
        <v>49.0</v>
      </c>
      <c r="K1186" s="14" t="str">
        <f>CALL_LOOKUP_BOARD!J402</f>
        <v>Sample Watch • D&amp;D + Concept Match • Concept Proxy</v>
      </c>
      <c r="L1186" s="9" t="str">
        <f>CALL_LOOKUP_BOARD!K402</f>
        <v>Opponent exact-play alert only. No Defensive Exact-Play Sample. Metrics describe the confirmed concept; Sample watch; review clips and build the sample.</v>
      </c>
      <c r="M1186" s="8" t="s">
        <v>115</v>
      </c>
      <c r="P1186" s="8" t="str">
        <f>IF(CALL_LOOKUP_BOARD!L402="","",CALL_LOOKUP_BOARD!L402)</f>
        <v>INSIDE ZONE</v>
      </c>
      <c r="Q1186" s="8" t="s">
        <v>818</v>
      </c>
      <c r="R1186" s="14" t="s">
        <v>2731</v>
      </c>
    </row>
    <row r="1187" spans="1:21" ht="50" customHeight="1">
      <c r="A1187" s="8" t="s">
        <v>2855</v>
      </c>
      <c r="B1187" s="8" t="str">
        <f>CALL_LOOKUP_BOARD!C403</f>
        <v>KEY CAPTAIN</v>
      </c>
      <c r="C1187" s="12">
        <f>CALL_LOOKUP_BOARD!D403</f>
        <v>3</v>
      </c>
      <c r="D1187" s="10">
        <f>CALL_LOOKUP_BOARD!E403</f>
        <v>0.3333333333333333</v>
      </c>
      <c r="E1187" s="10">
        <f>CALL_LOOKUP_BOARD!F403</f>
        <v>0.0</v>
      </c>
      <c r="F1187" s="11">
        <f>CALL_LOOKUP_BOARD!G403</f>
        <v>4.333333333333333</v>
      </c>
      <c r="G1187" s="10">
        <f>IF(CALL_LOOKUP_BOARD!Z403=0,"",INDEX($G$811:$G$1055,CALL_LOOKUP_BOARD!Z403-811+1))</f>
        <v>1.0</v>
      </c>
      <c r="H1187" s="10">
        <f>IF(CALL_LOOKUP_BOARD!Z403=0,"",INDEX($H$811:$H$1055,CALL_LOOKUP_BOARD!Z403-811+1))</f>
        <v>0.0</v>
      </c>
      <c r="I1187" s="8" t="str">
        <f>CALL_LOOKUP_BOARD!I403</f>
        <v>LOW</v>
      </c>
      <c r="J1187" s="11">
        <f>CALL_LOOKUP_BOARD!H403</f>
        <v>49.0</v>
      </c>
      <c r="K1187" s="14" t="str">
        <f>CALL_LOOKUP_BOARD!J403</f>
        <v>Sample Watch • D&amp;D + Concept Match • Concept Proxy</v>
      </c>
      <c r="L1187" s="9" t="str">
        <f>CALL_LOOKUP_BOARD!K403</f>
        <v>Opponent exact-play alert only. No Defensive Exact-Play Sample. Metrics describe the confirmed concept; Sample watch; review clips and build the sample.</v>
      </c>
      <c r="M1187" s="8" t="s">
        <v>115</v>
      </c>
      <c r="P1187" s="8" t="str">
        <f>IF(CALL_LOOKUP_BOARD!L403="","",CALL_LOOKUP_BOARD!L403)</f>
        <v>INSIDE ZONE</v>
      </c>
      <c r="Q1187" s="8" t="s">
        <v>823</v>
      </c>
      <c r="R1187" s="14" t="s">
        <v>2731</v>
      </c>
    </row>
    <row r="1188" spans="1:21" ht="50" customHeight="1">
      <c r="A1188" s="8" t="s">
        <v>2856</v>
      </c>
      <c r="B1188" s="8" t="str">
        <f>CALL_LOOKUP_BOARD!C404</f>
        <v>KEY CAPTAIN</v>
      </c>
      <c r="C1188" s="12">
        <f>CALL_LOOKUP_BOARD!D404</f>
        <v>3</v>
      </c>
      <c r="D1188" s="10">
        <f>CALL_LOOKUP_BOARD!E404</f>
        <v>0.3333333333333333</v>
      </c>
      <c r="E1188" s="10">
        <f>CALL_LOOKUP_BOARD!F404</f>
        <v>0.0</v>
      </c>
      <c r="F1188" s="11">
        <f>CALL_LOOKUP_BOARD!G404</f>
        <v>4.333333333333333</v>
      </c>
      <c r="G1188" s="10">
        <f>IF(CALL_LOOKUP_BOARD!Z404=0,"",INDEX($G$811:$G$1055,CALL_LOOKUP_BOARD!Z404-811+1))</f>
        <v>1.0</v>
      </c>
      <c r="H1188" s="10">
        <f>IF(CALL_LOOKUP_BOARD!Z404=0,"",INDEX($H$811:$H$1055,CALL_LOOKUP_BOARD!Z404-811+1))</f>
        <v>0.0</v>
      </c>
      <c r="I1188" s="8" t="str">
        <f>CALL_LOOKUP_BOARD!I404</f>
        <v>LOW</v>
      </c>
      <c r="J1188" s="11">
        <f>CALL_LOOKUP_BOARD!H404</f>
        <v>49.0</v>
      </c>
      <c r="K1188" s="14" t="str">
        <f>CALL_LOOKUP_BOARD!J404</f>
        <v>Sample Watch • D&amp;D + Concept Match • Concept Proxy</v>
      </c>
      <c r="L1188" s="9" t="str">
        <f>CALL_LOOKUP_BOARD!K404</f>
        <v>Opponent exact-play alert only. No Defensive Exact-Play Sample. Metrics describe the confirmed concept; Sample watch; review clips and build the sample.</v>
      </c>
      <c r="M1188" s="8" t="s">
        <v>115</v>
      </c>
      <c r="P1188" s="8" t="str">
        <f>IF(CALL_LOOKUP_BOARD!L404="","",CALL_LOOKUP_BOARD!L404)</f>
        <v>INSIDE ZONE</v>
      </c>
      <c r="Q1188" s="8" t="s">
        <v>1433</v>
      </c>
      <c r="R1188" s="14" t="s">
        <v>2731</v>
      </c>
    </row>
    <row r="1189" spans="1:21" ht="50" customHeight="1">
      <c r="A1189" s="8" t="s">
        <v>2857</v>
      </c>
      <c r="B1189" s="8" t="str">
        <f>CALL_LOOKUP_BOARD!C405</f>
        <v>Film Review Required</v>
      </c>
      <c r="C1189" s="12">
        <f>CALL_LOOKUP_BOARD!D405</f>
        <v/>
      </c>
      <c r="D1189" s="10">
        <f>CALL_LOOKUP_BOARD!E405</f>
        <v/>
      </c>
      <c r="E1189" s="10">
        <f>CALL_LOOKUP_BOARD!F405</f>
        <v/>
      </c>
      <c r="F1189" s="11">
        <f>CALL_LOOKUP_BOARD!G405</f>
        <v/>
      </c>
      <c r="G1189" s="10">
        <f>IF(CALL_LOOKUP_BOARD!Z405=0,"",INDEX($G$811:$G$1055,CALL_LOOKUP_BOARD!Z405-811+1))</f>
        <v/>
      </c>
      <c r="H1189" s="10">
        <f>IF(CALL_LOOKUP_BOARD!Z405=0,"",INDEX($H$811:$H$1055,CALL_LOOKUP_BOARD!Z405-811+1))</f>
        <v/>
      </c>
      <c r="I1189" s="8">
        <f>CALL_LOOKUP_BOARD!I405</f>
        <v/>
      </c>
      <c r="J1189" s="11">
        <f>CALL_LOOKUP_BOARD!H405</f>
        <v/>
      </c>
      <c r="K1189" s="14" t="str">
        <f>CALL_LOOKUP_BOARD!J405</f>
        <v>Film Review Required</v>
      </c>
      <c r="L1189" s="9" t="str">
        <f>CALL_LOOKUP_BOARD!K405</f>
        <v>Opponent exact-play alert only. No Defensive Exact-Play Sample. Confirm concept mapping and review film before treating this as a defensive candidate.</v>
      </c>
      <c r="M1189" s="8" t="s">
        <v>115</v>
      </c>
      <c r="P1189" s="8">
        <f>IF(CALL_LOOKUP_BOARD!L405="","",CALL_LOOKUP_BOARD!L405)</f>
        <v/>
      </c>
      <c r="Q1189" s="8" t="s">
        <v>816</v>
      </c>
      <c r="R1189" s="14" t="s">
        <v>2731</v>
      </c>
    </row>
    <row r="1190" spans="1:21" ht="50" customHeight="1">
      <c r="A1190" s="8" t="s">
        <v>2858</v>
      </c>
      <c r="B1190" s="8" t="str">
        <f>CALL_LOOKUP_BOARD!C406</f>
        <v>Film Review Required</v>
      </c>
      <c r="C1190" s="12">
        <f>CALL_LOOKUP_BOARD!D406</f>
        <v/>
      </c>
      <c r="D1190" s="10">
        <f>CALL_LOOKUP_BOARD!E406</f>
        <v/>
      </c>
      <c r="E1190" s="10">
        <f>CALL_LOOKUP_BOARD!F406</f>
        <v/>
      </c>
      <c r="F1190" s="11">
        <f>CALL_LOOKUP_BOARD!G406</f>
        <v/>
      </c>
      <c r="G1190" s="10">
        <f>IF(CALL_LOOKUP_BOARD!Z406=0,"",INDEX($G$811:$G$1055,CALL_LOOKUP_BOARD!Z406-811+1))</f>
        <v/>
      </c>
      <c r="H1190" s="10">
        <f>IF(CALL_LOOKUP_BOARD!Z406=0,"",INDEX($H$811:$H$1055,CALL_LOOKUP_BOARD!Z406-811+1))</f>
        <v/>
      </c>
      <c r="I1190" s="8">
        <f>CALL_LOOKUP_BOARD!I406</f>
        <v/>
      </c>
      <c r="J1190" s="11">
        <f>CALL_LOOKUP_BOARD!H406</f>
        <v/>
      </c>
      <c r="K1190" s="14" t="str">
        <f>CALL_LOOKUP_BOARD!J406</f>
        <v>Film Review Required</v>
      </c>
      <c r="L1190" s="9" t="str">
        <f>CALL_LOOKUP_BOARD!K406</f>
        <v>Opponent exact-play alert only. No Defensive Exact-Play Sample. Confirm concept mapping and review film before treating this as a defensive candidate.</v>
      </c>
      <c r="M1190" s="8" t="s">
        <v>115</v>
      </c>
      <c r="P1190" s="8" t="str">
        <f>IF(CALL_LOOKUP_BOARD!L406="","",CALL_LOOKUP_BOARD!L406)</f>
        <v>OPTION</v>
      </c>
      <c r="Q1190" s="8" t="s">
        <v>1422</v>
      </c>
      <c r="R1190" s="14" t="s">
        <v>2731</v>
      </c>
    </row>
    <row r="1191" spans="1:21" ht="50" customHeight="1">
      <c r="A1191" s="8" t="s">
        <v>2859</v>
      </c>
      <c r="B1191" s="8" t="str">
        <f>CALL_LOOKUP_BOARD!C407</f>
        <v>KEY CAPTAIN</v>
      </c>
      <c r="C1191" s="12">
        <f>CALL_LOOKUP_BOARD!D407</f>
        <v>3</v>
      </c>
      <c r="D1191" s="10">
        <f>CALL_LOOKUP_BOARD!E407</f>
        <v>0.3333333333333333</v>
      </c>
      <c r="E1191" s="10">
        <f>CALL_LOOKUP_BOARD!F407</f>
        <v>0.0</v>
      </c>
      <c r="F1191" s="11">
        <f>CALL_LOOKUP_BOARD!G407</f>
        <v>4.333333333333333</v>
      </c>
      <c r="G1191" s="10">
        <f>IF(CALL_LOOKUP_BOARD!Z407=0,"",INDEX($G$811:$G$1055,CALL_LOOKUP_BOARD!Z407-811+1))</f>
        <v>1.0</v>
      </c>
      <c r="H1191" s="10">
        <f>IF(CALL_LOOKUP_BOARD!Z407=0,"",INDEX($H$811:$H$1055,CALL_LOOKUP_BOARD!Z407-811+1))</f>
        <v>0.0</v>
      </c>
      <c r="I1191" s="8" t="str">
        <f>CALL_LOOKUP_BOARD!I407</f>
        <v>LOW</v>
      </c>
      <c r="J1191" s="11">
        <f>CALL_LOOKUP_BOARD!H407</f>
        <v>49.0</v>
      </c>
      <c r="K1191" s="14" t="str">
        <f>CALL_LOOKUP_BOARD!J407</f>
        <v>Sample Watch • D&amp;D + Concept Match • Concept Proxy</v>
      </c>
      <c r="L1191" s="9" t="str">
        <f>CALL_LOOKUP_BOARD!K407</f>
        <v>Opponent exact-play alert only. No Defensive Exact-Play Sample. Metrics describe the confirmed concept; Sample watch; review clips and build the sample.</v>
      </c>
      <c r="M1191" s="8" t="s">
        <v>115</v>
      </c>
      <c r="P1191" s="8" t="str">
        <f>IF(CALL_LOOKUP_BOARD!L407="","",CALL_LOOKUP_BOARD!L407)</f>
        <v>INSIDE ZONE</v>
      </c>
      <c r="Q1191" s="8" t="s">
        <v>1424</v>
      </c>
      <c r="R1191" s="14" t="s">
        <v>2731</v>
      </c>
    </row>
    <row r="1194" spans="1:21" ht="27" customHeight="1">
      <c r="A1194" s="5" t="s">
        <v>629</v>
      </c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</row>
    <row r="1195" spans="1:21" ht="36" customHeight="1">
      <c r="A1195" s="9" t="s">
        <v>7</v>
      </c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</row>
    <row r="1196" spans="1:21" ht="46" customHeight="1">
      <c r="A1196" s="6" t="s">
        <v>8</v>
      </c>
      <c r="B1196" s="6" t="s">
        <v>9</v>
      </c>
      <c r="C1196" s="6" t="s">
        <v>10</v>
      </c>
      <c r="D1196" s="6" t="s">
        <v>11</v>
      </c>
      <c r="E1196" s="6" t="s">
        <v>12</v>
      </c>
      <c r="F1196" s="6" t="s">
        <v>13</v>
      </c>
      <c r="G1196" s="6" t="s">
        <v>14</v>
      </c>
      <c r="H1196" s="6" t="s">
        <v>15</v>
      </c>
      <c r="I1196" s="6" t="s">
        <v>16</v>
      </c>
      <c r="J1196" s="6" t="s">
        <v>17</v>
      </c>
      <c r="K1196" s="6" t="s">
        <v>18</v>
      </c>
      <c r="L1196" s="6" t="s">
        <v>19</v>
      </c>
      <c r="M1196" s="6" t="s">
        <v>20</v>
      </c>
      <c r="N1196" s="6" t="s">
        <v>21</v>
      </c>
      <c r="O1196" s="6" t="s">
        <v>22</v>
      </c>
      <c r="P1196" s="6" t="s">
        <v>23</v>
      </c>
      <c r="Q1196" s="6" t="s">
        <v>24</v>
      </c>
      <c r="R1196" s="6" t="s">
        <v>25</v>
      </c>
    </row>
    <row r="1197" spans="1:21" ht="38" customHeight="1">
      <c r="A1197" s="8" t="s">
        <v>630</v>
      </c>
      <c r="B1197" s="8" t="s">
        <v>93</v>
      </c>
      <c r="C1197" s="12">
        <f>COUNTIFS('DEF_SELF_SCOUT_IMPORT'!$L$42:$L$1040,"Y",'DEF_SELF_SCOUT_IMPORT'!$E$42:$E$1040,SUBSTITUTE(SUBSTITUTE(SUBSTITUTE($B1197,"~","~~"),"*","~*"),"?","~?"))</f>
        <v>2</v>
      </c>
      <c r="D1197" s="10">
        <f>IF($C1197=0,"",SUMIFS('DEF_SELF_SCOUT_IMPORT'!$J$42:$J$1040,'DEF_SELF_SCOUT_IMPORT'!$L$42:$L$1040,"Y",'DEF_SELF_SCOUT_IMPORT'!$E$42:$E$1040,SUBSTITUTE(SUBSTITUTE(SUBSTITUTE($B1197,"~","~~"),"*","~*"),"?","~?"))/$C1197)</f>
        <v>0.5</v>
      </c>
      <c r="E1197" s="10">
        <f>IF($C1197=0,"",SUMIFS('DEF_SELF_SCOUT_IMPORT'!$K$42:$K$1040,'DEF_SELF_SCOUT_IMPORT'!$L$42:$L$1040,"Y",'DEF_SELF_SCOUT_IMPORT'!$E$42:$E$1040,SUBSTITUTE(SUBSTITUTE(SUBSTITUTE($B1197,"~","~~"),"*","~*"),"?","~?"))/$C1197)</f>
        <v>0.5</v>
      </c>
      <c r="F1197" s="11">
        <f>IF($C1197=0,"",AVERAGEIFS('DEF_SELF_SCOUT_IMPORT'!$I$42:$I$1040,'DEF_SELF_SCOUT_IMPORT'!$L$42:$L$1040,"Y",'DEF_SELF_SCOUT_IMPORT'!$E$42:$E$1040,SUBSTITUTE(SUBSTITUTE(SUBSTITUTE($B1197,"~","~~"),"*","~*"),"?","~?")))</f>
        <v>10.5</v>
      </c>
      <c r="G1197" s="10">
        <f>IF($C1197=0,"",COUNTIFS('DEF_SELF_SCOUT_IMPORT'!$L$42:$L$1040,"Y",'DEF_SELF_SCOUT_IMPORT'!$E$42:$E$1040,SUBSTITUTE(SUBSTITUTE(SUBSTITUTE($B1197,"~","~~"),"*","~*"),"?","~?"),'DEF_SELF_SCOUT_IMPORT'!$H$42:$H$1040,"RUSH")/$C1197)</f>
        <v>0.0</v>
      </c>
      <c r="H1197" s="10">
        <f>IF($C1197=0,"",COUNTIFS('DEF_SELF_SCOUT_IMPORT'!$L$42:$L$1040,"Y",'DEF_SELF_SCOUT_IMPORT'!$E$42:$E$1040,SUBSTITUTE(SUBSTITUTE(SUBSTITUTE($B1197,"~","~~"),"*","~*"),"?","~?"),'DEF_SELF_SCOUT_IMPORT'!$H$42:$H$1040,"DROPBACK")/$C1197)</f>
        <v>1.0</v>
      </c>
      <c r="I1197" s="14" t="str">
        <f>IF(C1197=0,"",IF(C1197&lt;=2,"TRACK",IF(C1197=3,"LOW",IF(C1197&lt;=6,"MEDIUM","HIGH"))))</f>
        <v>TRACK</v>
      </c>
      <c r="J1197" s="11">
        <f>IF(C1197=0,"",ROUND(D1197*70+(1-E1197)*20+MAX(0,MIN(1,(10-F1197)/10))*10,1))</f>
        <v>45.0</v>
      </c>
      <c r="K1197" s="14" t="str">
        <f>IF(C1197=0,"No Evidence",IF(C1197&lt;=2,IF(E1197&gt;0,"Explosive Alert","Track Only"),IF(C1197=3,"Sample Watch",IF(E1197&gt;=START_HERE!$B$31,"Explosive Alert",IF(J1197&gt;=80,"Strong Candidate",IF(J1197&gt;=65,"Good Candidate",IF(J1197&gt;=50,"Mixed / Review","Problem Call")))))))</f>
        <v>Explosive Alert</v>
      </c>
      <c r="L1197" s="9" t="str">
        <f>IF(COUNTIFS('DEF_SELF_SCOUT_IMPORT'!$L$42:$L$1040,"Y",'DEF_SELF_SCOUT_IMPORT'!$E$42:$E$1040,SUBSTITUTE(SUBSTITUTE(SUBSTITUTE($B1197,"~","~~"),"*","~*"),"?","~?"),'DEF_SELF_SCOUT_IMPORT'!$J$42:$J$1040,"")&gt;0,"Unscored clean outcome; review result tags before using score.",IF(C1197=0,"No matching defensive reps; film confirmation needed.",IF(K1197="Explosive Alert","Explosive risk; review clips before using as answer.",IF(C1197&lt;=2,"Track only; not enough sample.",IF(C1197=3,IF(E1197&gt;0,"Sample watch with explosive exposure; review clips and build the sample.",IF(J1197&gt;=65,"Good signal, but sample is limited.","Sample watch; review clips and build the sample.")),IF(K1197="Problem Call","Problem area; practice or call-sheet review.",IF(K1197="Strong Candidate","Strong call-fit candidate; confirm on film.",IF(K1197="Good Candidate","Good call-fit signal; confirm on film.","Mixed signal; review fit and execution on film."))))))))</f>
        <v>Explosive risk; review clips before using as answer.</v>
      </c>
      <c r="M1197" s="8"/>
      <c r="N1197" s="8"/>
      <c r="O1197" s="8"/>
      <c r="P1197" s="8"/>
      <c r="Q1197" s="8"/>
      <c r="R1197" s="8" t="s">
        <v>28</v>
      </c>
      <c r="S1197" s="2" t="s">
        <v>631</v>
      </c>
      <c r="T1197" s="2">
        <f>IF(C1197=0,0,IF(C1197&gt;=CALL_LOOKUP_BOARD!$B$7,IF(OR(K1197="Problem Call",K1197="Explosive Alert"),10000000,20000000),0)+IF(C1197&gt;=CALL_LOOKUP_BOARD!$B$7,J1197*1000+MIN(C1197,999),C1197*1000+J1197)+0.00999900)</f>
        <v>2045.009999</v>
      </c>
      <c r="U1197" s="2">
        <f>IF(C1197=0,"",IF(COUNTIFS($S$1197:$S$1256,SUBSTITUTE(SUBSTITUTE(SUBSTITUTE(S1197,"~","~~"),"*","~*"),"?","~?"),$T$1197:$T$1256,"&gt;"&amp;T1197)=0,S1197,""))</f>
        <v/>
      </c>
    </row>
    <row r="1198" spans="1:21" ht="38" customHeight="1">
      <c r="A1198" s="8" t="s">
        <v>630</v>
      </c>
      <c r="B1198" s="8" t="s">
        <v>40</v>
      </c>
      <c r="C1198" s="12">
        <f>COUNTIFS('DEF_SELF_SCOUT_IMPORT'!$L$42:$L$1040,"Y",'DEF_SELF_SCOUT_IMPORT'!$E$42:$E$1040,SUBSTITUTE(SUBSTITUTE(SUBSTITUTE($B1198,"~","~~"),"*","~*"),"?","~?"))</f>
        <v>3</v>
      </c>
      <c r="D1198" s="10">
        <f>IF($C1198=0,"",SUMIFS('DEF_SELF_SCOUT_IMPORT'!$J$42:$J$1040,'DEF_SELF_SCOUT_IMPORT'!$L$42:$L$1040,"Y",'DEF_SELF_SCOUT_IMPORT'!$E$42:$E$1040,SUBSTITUTE(SUBSTITUTE(SUBSTITUTE($B1198,"~","~~"),"*","~*"),"?","~?"))/$C1198)</f>
        <v>0.0</v>
      </c>
      <c r="E1198" s="10">
        <f>IF($C1198=0,"",SUMIFS('DEF_SELF_SCOUT_IMPORT'!$K$42:$K$1040,'DEF_SELF_SCOUT_IMPORT'!$L$42:$L$1040,"Y",'DEF_SELF_SCOUT_IMPORT'!$E$42:$E$1040,SUBSTITUTE(SUBSTITUTE(SUBSTITUTE($B1198,"~","~~"),"*","~*"),"?","~?"))/$C1198)</f>
        <v>0.0</v>
      </c>
      <c r="F1198" s="11">
        <f>IF($C1198=0,"",AVERAGEIFS('DEF_SELF_SCOUT_IMPORT'!$I$42:$I$1040,'DEF_SELF_SCOUT_IMPORT'!$L$42:$L$1040,"Y",'DEF_SELF_SCOUT_IMPORT'!$E$42:$E$1040,SUBSTITUTE(SUBSTITUTE(SUBSTITUTE($B1198,"~","~~"),"*","~*"),"?","~?")))</f>
        <v>6.333333333333333</v>
      </c>
      <c r="G1198" s="10">
        <f>IF($C1198=0,"",COUNTIFS('DEF_SELF_SCOUT_IMPORT'!$L$42:$L$1040,"Y",'DEF_SELF_SCOUT_IMPORT'!$E$42:$E$1040,SUBSTITUTE(SUBSTITUTE(SUBSTITUTE($B1198,"~","~~"),"*","~*"),"?","~?"),'DEF_SELF_SCOUT_IMPORT'!$H$42:$H$1040,"RUSH")/$C1198)</f>
        <v>1.0</v>
      </c>
      <c r="H1198" s="10">
        <f>IF($C1198=0,"",COUNTIFS('DEF_SELF_SCOUT_IMPORT'!$L$42:$L$1040,"Y",'DEF_SELF_SCOUT_IMPORT'!$E$42:$E$1040,SUBSTITUTE(SUBSTITUTE(SUBSTITUTE($B1198,"~","~~"),"*","~*"),"?","~?"),'DEF_SELF_SCOUT_IMPORT'!$H$42:$H$1040,"DROPBACK")/$C1198)</f>
        <v>0.0</v>
      </c>
      <c r="I1198" s="14" t="str">
        <f>IF(C1198=0,"",IF(C1198&lt;=2,"TRACK",IF(C1198=3,"LOW",IF(C1198&lt;=6,"MEDIUM","HIGH"))))</f>
        <v>LOW</v>
      </c>
      <c r="J1198" s="11">
        <f>IF(C1198=0,"",ROUND(D1198*70+(1-E1198)*20+MAX(0,MIN(1,(10-F1198)/10))*10,1))</f>
        <v>23.7</v>
      </c>
      <c r="K1198" s="14" t="str">
        <f>IF(C1198=0,"No Evidence",IF(C1198&lt;=2,IF(E1198&gt;0,"Explosive Alert","Track Only"),IF(C1198=3,"Sample Watch",IF(E1198&gt;=START_HERE!$B$31,"Explosive Alert",IF(J1198&gt;=80,"Strong Candidate",IF(J1198&gt;=65,"Good Candidate",IF(J1198&gt;=50,"Mixed / Review","Problem Call")))))))</f>
        <v>Sample Watch</v>
      </c>
      <c r="L1198" s="9" t="str">
        <f>IF(COUNTIFS('DEF_SELF_SCOUT_IMPORT'!$L$42:$L$1040,"Y",'DEF_SELF_SCOUT_IMPORT'!$E$42:$E$1040,SUBSTITUTE(SUBSTITUTE(SUBSTITUTE($B1198,"~","~~"),"*","~*"),"?","~?"),'DEF_SELF_SCOUT_IMPORT'!$J$42:$J$1040,"")&gt;0,"Unscored clean outcome; review result tags before using score.",IF(C1198=0,"No matching defensive reps; film confirmation needed.",IF(K1198="Explosive Alert","Explosive risk; review clips before using as answer.",IF(C1198&lt;=2,"Track only; not enough sample.",IF(C1198=3,IF(E1198&gt;0,"Sample watch with explosive exposure; review clips and build the sample.",IF(J1198&gt;=65,"Good signal, but sample is limited.","Sample watch; review clips and build the sample.")),IF(K1198="Problem Call","Problem area; practice or call-sheet review.",IF(K1198="Strong Candidate","Strong call-fit candidate; confirm on film.",IF(K1198="Good Candidate","Good call-fit signal; confirm on film.","Mixed signal; review fit and execution on film."))))))))</f>
        <v>Sample watch; review clips and build the sample.</v>
      </c>
      <c r="M1198" s="8"/>
      <c r="N1198" s="8"/>
      <c r="O1198" s="8"/>
      <c r="P1198" s="8"/>
      <c r="Q1198" s="8"/>
      <c r="R1198" s="8" t="s">
        <v>28</v>
      </c>
      <c r="S1198" s="2" t="s">
        <v>631</v>
      </c>
      <c r="T1198" s="2">
        <f>IF(C1198=0,0,IF(C1198&gt;=CALL_LOOKUP_BOARD!$B$7,IF(OR(K1198="Problem Call",K1198="Explosive Alert"),10000000,20000000),0)+IF(C1198&gt;=CALL_LOOKUP_BOARD!$B$7,J1198*1000+MIN(C1198,999),C1198*1000+J1198)+0.00999800)</f>
        <v>3023.709998</v>
      </c>
      <c r="U1198" s="2">
        <f>IF(C1198=0,"",IF(COUNTIFS($S$1197:$S$1256,SUBSTITUTE(SUBSTITUTE(SUBSTITUTE(S1198,"~","~~"),"*","~*"),"?","~?"),$T$1197:$T$1256,"&gt;"&amp;T1198)=0,S1198,""))</f>
        <v/>
      </c>
    </row>
    <row r="1199" spans="1:21" ht="38" customHeight="1">
      <c r="A1199" s="8" t="s">
        <v>630</v>
      </c>
      <c r="B1199" s="8" t="s">
        <v>27</v>
      </c>
      <c r="C1199" s="12">
        <f>COUNTIFS('DEF_SELF_SCOUT_IMPORT'!$L$42:$L$1040,"Y",'DEF_SELF_SCOUT_IMPORT'!$E$42:$E$1040,SUBSTITUTE(SUBSTITUTE(SUBSTITUTE($B1199,"~","~~"),"*","~*"),"?","~?"))</f>
        <v>10</v>
      </c>
      <c r="D1199" s="10">
        <f>IF($C1199=0,"",SUMIFS('DEF_SELF_SCOUT_IMPORT'!$J$42:$J$1040,'DEF_SELF_SCOUT_IMPORT'!$L$42:$L$1040,"Y",'DEF_SELF_SCOUT_IMPORT'!$E$42:$E$1040,SUBSTITUTE(SUBSTITUTE(SUBSTITUTE($B1199,"~","~~"),"*","~*"),"?","~?"))/$C1199)</f>
        <v>0.6</v>
      </c>
      <c r="E1199" s="10">
        <f>IF($C1199=0,"",SUMIFS('DEF_SELF_SCOUT_IMPORT'!$K$42:$K$1040,'DEF_SELF_SCOUT_IMPORT'!$L$42:$L$1040,"Y",'DEF_SELF_SCOUT_IMPORT'!$E$42:$E$1040,SUBSTITUTE(SUBSTITUTE(SUBSTITUTE($B1199,"~","~~"),"*","~*"),"?","~?"))/$C1199)</f>
        <v>0.1</v>
      </c>
      <c r="F1199" s="11">
        <f>IF($C1199=0,"",AVERAGEIFS('DEF_SELF_SCOUT_IMPORT'!$I$42:$I$1040,'DEF_SELF_SCOUT_IMPORT'!$L$42:$L$1040,"Y",'DEF_SELF_SCOUT_IMPORT'!$E$42:$E$1040,SUBSTITUTE(SUBSTITUTE(SUBSTITUTE($B1199,"~","~~"),"*","~*"),"?","~?")))</f>
        <v>3.3</v>
      </c>
      <c r="G1199" s="10">
        <f>IF($C1199=0,"",COUNTIFS('DEF_SELF_SCOUT_IMPORT'!$L$42:$L$1040,"Y",'DEF_SELF_SCOUT_IMPORT'!$E$42:$E$1040,SUBSTITUTE(SUBSTITUTE(SUBSTITUTE($B1199,"~","~~"),"*","~*"),"?","~?"),'DEF_SELF_SCOUT_IMPORT'!$H$42:$H$1040,"RUSH")/$C1199)</f>
        <v>0.3</v>
      </c>
      <c r="H1199" s="10">
        <f>IF($C1199=0,"",COUNTIFS('DEF_SELF_SCOUT_IMPORT'!$L$42:$L$1040,"Y",'DEF_SELF_SCOUT_IMPORT'!$E$42:$E$1040,SUBSTITUTE(SUBSTITUTE(SUBSTITUTE($B1199,"~","~~"),"*","~*"),"?","~?"),'DEF_SELF_SCOUT_IMPORT'!$H$42:$H$1040,"DROPBACK")/$C1199)</f>
        <v>0.5</v>
      </c>
      <c r="I1199" s="14" t="str">
        <f>IF(C1199=0,"",IF(C1199&lt;=2,"TRACK",IF(C1199=3,"LOW",IF(C1199&lt;=6,"MEDIUM","HIGH"))))</f>
        <v>HIGH</v>
      </c>
      <c r="J1199" s="11">
        <f>IF(C1199=0,"",ROUND(D1199*70+(1-E1199)*20+MAX(0,MIN(1,(10-F1199)/10))*10,1))</f>
        <v>66.7</v>
      </c>
      <c r="K1199" s="14" t="str">
        <f>IF(C1199=0,"No Evidence",IF(C1199&lt;=2,IF(E1199&gt;0,"Explosive Alert","Track Only"),IF(C1199=3,"Sample Watch",IF(E1199&gt;=START_HERE!$B$31,"Explosive Alert",IF(J1199&gt;=80,"Strong Candidate",IF(J1199&gt;=65,"Good Candidate",IF(J1199&gt;=50,"Mixed / Review","Problem Call")))))))</f>
        <v>Good Candidate</v>
      </c>
      <c r="L1199" s="9" t="str">
        <f>IF(COUNTIFS('DEF_SELF_SCOUT_IMPORT'!$L$42:$L$1040,"Y",'DEF_SELF_SCOUT_IMPORT'!$E$42:$E$1040,SUBSTITUTE(SUBSTITUTE(SUBSTITUTE($B1199,"~","~~"),"*","~*"),"?","~?"),'DEF_SELF_SCOUT_IMPORT'!$J$42:$J$1040,"")&gt;0,"Unscored clean outcome; review result tags before using score.",IF(C1199=0,"No matching defensive reps; film confirmation needed.",IF(K1199="Explosive Alert","Explosive risk; review clips before using as answer.",IF(C1199&lt;=2,"Track only; not enough sample.",IF(C1199=3,IF(E1199&gt;0,"Sample watch with explosive exposure; review clips and build the sample.",IF(J1199&gt;=65,"Good signal, but sample is limited.","Sample watch; review clips and build the sample.")),IF(K1199="Problem Call","Problem area; practice or call-sheet review.",IF(K1199="Strong Candidate","Strong call-fit candidate; confirm on film.",IF(K1199="Good Candidate","Good call-fit signal; confirm on film.","Mixed signal; review fit and execution on film."))))))))</f>
        <v>Good call-fit signal; confirm on film.</v>
      </c>
      <c r="M1199" s="8"/>
      <c r="N1199" s="8"/>
      <c r="O1199" s="8"/>
      <c r="P1199" s="8"/>
      <c r="Q1199" s="8"/>
      <c r="R1199" s="8" t="s">
        <v>45</v>
      </c>
      <c r="S1199" s="2" t="s">
        <v>631</v>
      </c>
      <c r="T1199" s="2">
        <f>IF(C1199=0,0,IF(C1199&gt;=CALL_LOOKUP_BOARD!$B$7,IF(OR(K1199="Problem Call",K1199="Explosive Alert"),10000000,20000000),0)+IF(C1199&gt;=CALL_LOOKUP_BOARD!$B$7,J1199*1000+MIN(C1199,999),C1199*1000+J1199)+0.00999700)</f>
        <v>20066710.009997</v>
      </c>
      <c r="U1199" s="2">
        <f>IF(C1199=0,"",IF(COUNTIFS($S$1197:$S$1256,SUBSTITUTE(SUBSTITUTE(SUBSTITUTE(S1199,"~","~~"),"*","~*"),"?","~?"),$T$1197:$T$1256,"&gt;"&amp;T1199)=0,S1199,""))</f>
        <v/>
      </c>
    </row>
    <row r="1200" spans="1:21" ht="38" customHeight="1">
      <c r="A1200" s="8" t="s">
        <v>630</v>
      </c>
      <c r="B1200" s="8" t="s">
        <v>37</v>
      </c>
      <c r="C1200" s="12">
        <f>COUNTIFS('DEF_SELF_SCOUT_IMPORT'!$L$42:$L$1040,"Y",'DEF_SELF_SCOUT_IMPORT'!$E$42:$E$1040,SUBSTITUTE(SUBSTITUTE(SUBSTITUTE($B1200,"~","~~"),"*","~*"),"?","~?"))</f>
        <v>2</v>
      </c>
      <c r="D1200" s="10">
        <f>IF($C1200=0,"",SUMIFS('DEF_SELF_SCOUT_IMPORT'!$J$42:$J$1040,'DEF_SELF_SCOUT_IMPORT'!$L$42:$L$1040,"Y",'DEF_SELF_SCOUT_IMPORT'!$E$42:$E$1040,SUBSTITUTE(SUBSTITUTE(SUBSTITUTE($B1200,"~","~~"),"*","~*"),"?","~?"))/$C1200)</f>
        <v>0.0</v>
      </c>
      <c r="E1200" s="10">
        <f>IF($C1200=0,"",SUMIFS('DEF_SELF_SCOUT_IMPORT'!$K$42:$K$1040,'DEF_SELF_SCOUT_IMPORT'!$L$42:$L$1040,"Y",'DEF_SELF_SCOUT_IMPORT'!$E$42:$E$1040,SUBSTITUTE(SUBSTITUTE(SUBSTITUTE($B1200,"~","~~"),"*","~*"),"?","~?"))/$C1200)</f>
        <v>0.0</v>
      </c>
      <c r="F1200" s="11">
        <f>IF($C1200=0,"",AVERAGEIFS('DEF_SELF_SCOUT_IMPORT'!$I$42:$I$1040,'DEF_SELF_SCOUT_IMPORT'!$L$42:$L$1040,"Y",'DEF_SELF_SCOUT_IMPORT'!$E$42:$E$1040,SUBSTITUTE(SUBSTITUTE(SUBSTITUTE($B1200,"~","~~"),"*","~*"),"?","~?")))</f>
        <v>5.5</v>
      </c>
      <c r="G1200" s="10">
        <f>IF($C1200=0,"",COUNTIFS('DEF_SELF_SCOUT_IMPORT'!$L$42:$L$1040,"Y",'DEF_SELF_SCOUT_IMPORT'!$E$42:$E$1040,SUBSTITUTE(SUBSTITUTE(SUBSTITUTE($B1200,"~","~~"),"*","~*"),"?","~?"),'DEF_SELF_SCOUT_IMPORT'!$H$42:$H$1040,"RUSH")/$C1200)</f>
        <v>0.0</v>
      </c>
      <c r="H1200" s="10">
        <f>IF($C1200=0,"",COUNTIFS('DEF_SELF_SCOUT_IMPORT'!$L$42:$L$1040,"Y",'DEF_SELF_SCOUT_IMPORT'!$E$42:$E$1040,SUBSTITUTE(SUBSTITUTE(SUBSTITUTE($B1200,"~","~~"),"*","~*"),"?","~?"),'DEF_SELF_SCOUT_IMPORT'!$H$42:$H$1040,"DROPBACK")/$C1200)</f>
        <v>0.5</v>
      </c>
      <c r="I1200" s="14" t="str">
        <f>IF(C1200=0,"",IF(C1200&lt;=2,"TRACK",IF(C1200=3,"LOW",IF(C1200&lt;=6,"MEDIUM","HIGH"))))</f>
        <v>TRACK</v>
      </c>
      <c r="J1200" s="11">
        <f>IF(C1200=0,"",ROUND(D1200*70+(1-E1200)*20+MAX(0,MIN(1,(10-F1200)/10))*10,1))</f>
        <v>24.5</v>
      </c>
      <c r="K1200" s="14" t="str">
        <f>IF(C1200=0,"No Evidence",IF(C1200&lt;=2,IF(E1200&gt;0,"Explosive Alert","Track Only"),IF(C1200=3,"Sample Watch",IF(E1200&gt;=START_HERE!$B$31,"Explosive Alert",IF(J1200&gt;=80,"Strong Candidate",IF(J1200&gt;=65,"Good Candidate",IF(J1200&gt;=50,"Mixed / Review","Problem Call")))))))</f>
        <v>Track Only</v>
      </c>
      <c r="L1200" s="9" t="str">
        <f>IF(COUNTIFS('DEF_SELF_SCOUT_IMPORT'!$L$42:$L$1040,"Y",'DEF_SELF_SCOUT_IMPORT'!$E$42:$E$1040,SUBSTITUTE(SUBSTITUTE(SUBSTITUTE($B1200,"~","~~"),"*","~*"),"?","~?"),'DEF_SELF_SCOUT_IMPORT'!$J$42:$J$1040,"")&gt;0,"Unscored clean outcome; review result tags before using score.",IF(C1200=0,"No matching defensive reps; film confirmation needed.",IF(K1200="Explosive Alert","Explosive risk; review clips before using as answer.",IF(C1200&lt;=2,"Track only; not enough sample.",IF(C1200=3,IF(E1200&gt;0,"Sample watch with explosive exposure; review clips and build the sample.",IF(J1200&gt;=65,"Good signal, but sample is limited.","Sample watch; review clips and build the sample.")),IF(K1200="Problem Call","Problem area; practice or call-sheet review.",IF(K1200="Strong Candidate","Strong call-fit candidate; confirm on film.",IF(K1200="Good Candidate","Good call-fit signal; confirm on film.","Mixed signal; review fit and execution on film."))))))))</f>
        <v>Track only; not enough sample.</v>
      </c>
      <c r="M1200" s="8"/>
      <c r="N1200" s="8"/>
      <c r="O1200" s="8"/>
      <c r="P1200" s="8"/>
      <c r="Q1200" s="8"/>
      <c r="R1200" s="8" t="s">
        <v>28</v>
      </c>
      <c r="S1200" s="2" t="s">
        <v>631</v>
      </c>
      <c r="T1200" s="2">
        <f>IF(C1200=0,0,IF(C1200&gt;=CALL_LOOKUP_BOARD!$B$7,IF(OR(K1200="Problem Call",K1200="Explosive Alert"),10000000,20000000),0)+IF(C1200&gt;=CALL_LOOKUP_BOARD!$B$7,J1200*1000+MIN(C1200,999),C1200*1000+J1200)+0.00999600)</f>
        <v>2024.509996</v>
      </c>
      <c r="U1200" s="2">
        <f>IF(C1200=0,"",IF(COUNTIFS($S$1197:$S$1256,SUBSTITUTE(SUBSTITUTE(SUBSTITUTE(S1200,"~","~~"),"*","~*"),"?","~?"),$T$1197:$T$1256,"&gt;"&amp;T1200)=0,S1200,""))</f>
        <v/>
      </c>
    </row>
    <row r="1201" spans="1:21" ht="38" customHeight="1">
      <c r="A1201" s="8" t="s">
        <v>630</v>
      </c>
      <c r="B1201" s="8" t="s">
        <v>42</v>
      </c>
      <c r="C1201" s="12">
        <f>COUNTIFS('DEF_SELF_SCOUT_IMPORT'!$L$42:$L$1040,"Y",'DEF_SELF_SCOUT_IMPORT'!$E$42:$E$1040,SUBSTITUTE(SUBSTITUTE(SUBSTITUTE($B1201,"~","~~"),"*","~*"),"?","~?"))</f>
        <v>5</v>
      </c>
      <c r="D1201" s="10">
        <f>IF($C1201=0,"",SUMIFS('DEF_SELF_SCOUT_IMPORT'!$J$42:$J$1040,'DEF_SELF_SCOUT_IMPORT'!$L$42:$L$1040,"Y",'DEF_SELF_SCOUT_IMPORT'!$E$42:$E$1040,SUBSTITUTE(SUBSTITUTE(SUBSTITUTE($B1201,"~","~~"),"*","~*"),"?","~?"))/$C1201)</f>
        <v>0.4</v>
      </c>
      <c r="E1201" s="10">
        <f>IF($C1201=0,"",SUMIFS('DEF_SELF_SCOUT_IMPORT'!$K$42:$K$1040,'DEF_SELF_SCOUT_IMPORT'!$L$42:$L$1040,"Y",'DEF_SELF_SCOUT_IMPORT'!$E$42:$E$1040,SUBSTITUTE(SUBSTITUTE(SUBSTITUTE($B1201,"~","~~"),"*","~*"),"?","~?"))/$C1201)</f>
        <v>0.2</v>
      </c>
      <c r="F1201" s="11">
        <f>IF($C1201=0,"",AVERAGEIFS('DEF_SELF_SCOUT_IMPORT'!$I$42:$I$1040,'DEF_SELF_SCOUT_IMPORT'!$L$42:$L$1040,"Y",'DEF_SELF_SCOUT_IMPORT'!$E$42:$E$1040,SUBSTITUTE(SUBSTITUTE(SUBSTITUTE($B1201,"~","~~"),"*","~*"),"?","~?")))</f>
        <v>9.4</v>
      </c>
      <c r="G1201" s="10">
        <f>IF($C1201=0,"",COUNTIFS('DEF_SELF_SCOUT_IMPORT'!$L$42:$L$1040,"Y",'DEF_SELF_SCOUT_IMPORT'!$E$42:$E$1040,SUBSTITUTE(SUBSTITUTE(SUBSTITUTE($B1201,"~","~~"),"*","~*"),"?","~?"),'DEF_SELF_SCOUT_IMPORT'!$H$42:$H$1040,"RUSH")/$C1201)</f>
        <v>0.0</v>
      </c>
      <c r="H1201" s="10">
        <f>IF($C1201=0,"",COUNTIFS('DEF_SELF_SCOUT_IMPORT'!$L$42:$L$1040,"Y",'DEF_SELF_SCOUT_IMPORT'!$E$42:$E$1040,SUBSTITUTE(SUBSTITUTE(SUBSTITUTE($B1201,"~","~~"),"*","~*"),"?","~?"),'DEF_SELF_SCOUT_IMPORT'!$H$42:$H$1040,"DROPBACK")/$C1201)</f>
        <v>1.0</v>
      </c>
      <c r="I1201" s="14" t="str">
        <f>IF(C1201=0,"",IF(C1201&lt;=2,"TRACK",IF(C1201=3,"LOW",IF(C1201&lt;=6,"MEDIUM","HIGH"))))</f>
        <v>MEDIUM</v>
      </c>
      <c r="J1201" s="11">
        <f>IF(C1201=0,"",ROUND(D1201*70+(1-E1201)*20+MAX(0,MIN(1,(10-F1201)/10))*10,1))</f>
        <v>44.6</v>
      </c>
      <c r="K1201" s="14" t="str">
        <f>IF(C1201=0,"No Evidence",IF(C1201&lt;=2,IF(E1201&gt;0,"Explosive Alert","Track Only"),IF(C1201=3,"Sample Watch",IF(E1201&gt;=START_HERE!$B$31,"Explosive Alert",IF(J1201&gt;=80,"Strong Candidate",IF(J1201&gt;=65,"Good Candidate",IF(J1201&gt;=50,"Mixed / Review","Problem Call")))))))</f>
        <v>Explosive Alert</v>
      </c>
      <c r="L1201" s="9" t="str">
        <f>IF(COUNTIFS('DEF_SELF_SCOUT_IMPORT'!$L$42:$L$1040,"Y",'DEF_SELF_SCOUT_IMPORT'!$E$42:$E$1040,SUBSTITUTE(SUBSTITUTE(SUBSTITUTE($B1201,"~","~~"),"*","~*"),"?","~?"),'DEF_SELF_SCOUT_IMPORT'!$J$42:$J$1040,"")&gt;0,"Unscored clean outcome; review result tags before using score.",IF(C1201=0,"No matching defensive reps; film confirmation needed.",IF(K1201="Explosive Alert","Explosive risk; review clips before using as answer.",IF(C1201&lt;=2,"Track only; not enough sample.",IF(C1201=3,IF(E1201&gt;0,"Sample watch with explosive exposure; review clips and build the sample.",IF(J1201&gt;=65,"Good signal, but sample is limited.","Sample watch; review clips and build the sample.")),IF(K1201="Problem Call","Problem area; practice or call-sheet review.",IF(K1201="Strong Candidate","Strong call-fit candidate; confirm on film.",IF(K1201="Good Candidate","Good call-fit signal; confirm on film.","Mixed signal; review fit and execution on film."))))))))</f>
        <v>Explosive risk; review clips before using as answer.</v>
      </c>
      <c r="M1201" s="8"/>
      <c r="N1201" s="8"/>
      <c r="O1201" s="8"/>
      <c r="P1201" s="8"/>
      <c r="Q1201" s="8"/>
      <c r="R1201" s="8" t="s">
        <v>45</v>
      </c>
      <c r="S1201" s="2" t="s">
        <v>631</v>
      </c>
      <c r="T1201" s="2">
        <f>IF(C1201=0,0,IF(C1201&gt;=CALL_LOOKUP_BOARD!$B$7,IF(OR(K1201="Problem Call",K1201="Explosive Alert"),10000000,20000000),0)+IF(C1201&gt;=CALL_LOOKUP_BOARD!$B$7,J1201*1000+MIN(C1201,999),C1201*1000+J1201)+0.00999500)</f>
        <v>10044605.009995</v>
      </c>
      <c r="U1201" s="2">
        <f>IF(C1201=0,"",IF(COUNTIFS($S$1197:$S$1256,SUBSTITUTE(SUBSTITUTE(SUBSTITUTE(S1201,"~","~~"),"*","~*"),"?","~?"),$T$1197:$T$1256,"&gt;"&amp;T1201)=0,S1201,""))</f>
        <v/>
      </c>
    </row>
    <row r="1202" spans="1:21" ht="38" customHeight="1">
      <c r="A1202" s="8" t="s">
        <v>630</v>
      </c>
      <c r="B1202" s="8" t="s">
        <v>77</v>
      </c>
      <c r="C1202" s="12">
        <f>COUNTIFS('DEF_SELF_SCOUT_IMPORT'!$L$42:$L$1040,"Y",'DEF_SELF_SCOUT_IMPORT'!$E$42:$E$1040,SUBSTITUTE(SUBSTITUTE(SUBSTITUTE($B1202,"~","~~"),"*","~*"),"?","~?"))</f>
        <v>4</v>
      </c>
      <c r="D1202" s="10">
        <f>IF($C1202=0,"",SUMIFS('DEF_SELF_SCOUT_IMPORT'!$J$42:$J$1040,'DEF_SELF_SCOUT_IMPORT'!$L$42:$L$1040,"Y",'DEF_SELF_SCOUT_IMPORT'!$E$42:$E$1040,SUBSTITUTE(SUBSTITUTE(SUBSTITUTE($B1202,"~","~~"),"*","~*"),"?","~?"))/$C1202)</f>
        <v>0.75</v>
      </c>
      <c r="E1202" s="10">
        <f>IF($C1202=0,"",SUMIFS('DEF_SELF_SCOUT_IMPORT'!$K$42:$K$1040,'DEF_SELF_SCOUT_IMPORT'!$L$42:$L$1040,"Y",'DEF_SELF_SCOUT_IMPORT'!$E$42:$E$1040,SUBSTITUTE(SUBSTITUTE(SUBSTITUTE($B1202,"~","~~"),"*","~*"),"?","~?"))/$C1202)</f>
        <v>0.0</v>
      </c>
      <c r="F1202" s="11">
        <f>IF($C1202=0,"",AVERAGEIFS('DEF_SELF_SCOUT_IMPORT'!$I$42:$I$1040,'DEF_SELF_SCOUT_IMPORT'!$L$42:$L$1040,"Y",'DEF_SELF_SCOUT_IMPORT'!$E$42:$E$1040,SUBSTITUTE(SUBSTITUTE(SUBSTITUTE($B1202,"~","~~"),"*","~*"),"?","~?")))</f>
        <v>2.5</v>
      </c>
      <c r="G1202" s="10">
        <f>IF($C1202=0,"",COUNTIFS('DEF_SELF_SCOUT_IMPORT'!$L$42:$L$1040,"Y",'DEF_SELF_SCOUT_IMPORT'!$E$42:$E$1040,SUBSTITUTE(SUBSTITUTE(SUBSTITUTE($B1202,"~","~~"),"*","~*"),"?","~?"),'DEF_SELF_SCOUT_IMPORT'!$H$42:$H$1040,"RUSH")/$C1202)</f>
        <v>0.5</v>
      </c>
      <c r="H1202" s="10">
        <f>IF($C1202=0,"",COUNTIFS('DEF_SELF_SCOUT_IMPORT'!$L$42:$L$1040,"Y",'DEF_SELF_SCOUT_IMPORT'!$E$42:$E$1040,SUBSTITUTE(SUBSTITUTE(SUBSTITUTE($B1202,"~","~~"),"*","~*"),"?","~?"),'DEF_SELF_SCOUT_IMPORT'!$H$42:$H$1040,"DROPBACK")/$C1202)</f>
        <v>0.5</v>
      </c>
      <c r="I1202" s="14" t="str">
        <f>IF(C1202=0,"",IF(C1202&lt;=2,"TRACK",IF(C1202=3,"LOW",IF(C1202&lt;=6,"MEDIUM","HIGH"))))</f>
        <v>MEDIUM</v>
      </c>
      <c r="J1202" s="11">
        <f>IF(C1202=0,"",ROUND(D1202*70+(1-E1202)*20+MAX(0,MIN(1,(10-F1202)/10))*10,1))</f>
        <v>80.0</v>
      </c>
      <c r="K1202" s="14" t="str">
        <f>IF(C1202=0,"No Evidence",IF(C1202&lt;=2,IF(E1202&gt;0,"Explosive Alert","Track Only"),IF(C1202=3,"Sample Watch",IF(E1202&gt;=START_HERE!$B$31,"Explosive Alert",IF(J1202&gt;=80,"Strong Candidate",IF(J1202&gt;=65,"Good Candidate",IF(J1202&gt;=50,"Mixed / Review","Problem Call")))))))</f>
        <v>Strong Candidate</v>
      </c>
      <c r="L1202" s="9" t="str">
        <f>IF(COUNTIFS('DEF_SELF_SCOUT_IMPORT'!$L$42:$L$1040,"Y",'DEF_SELF_SCOUT_IMPORT'!$E$42:$E$1040,SUBSTITUTE(SUBSTITUTE(SUBSTITUTE($B1202,"~","~~"),"*","~*"),"?","~?"),'DEF_SELF_SCOUT_IMPORT'!$J$42:$J$1040,"")&gt;0,"Unscored clean outcome; review result tags before using score.",IF(C1202=0,"No matching defensive reps; film confirmation needed.",IF(K1202="Explosive Alert","Explosive risk; review clips before using as answer.",IF(C1202&lt;=2,"Track only; not enough sample.",IF(C1202=3,IF(E1202&gt;0,"Sample watch with explosive exposure; review clips and build the sample.",IF(J1202&gt;=65,"Good signal, but sample is limited.","Sample watch; review clips and build the sample.")),IF(K1202="Problem Call","Problem area; practice or call-sheet review.",IF(K1202="Strong Candidate","Strong call-fit candidate; confirm on film.",IF(K1202="Good Candidate","Good call-fit signal; confirm on film.","Mixed signal; review fit and execution on film."))))))))</f>
        <v>Strong call-fit candidate; confirm on film.</v>
      </c>
      <c r="M1202" s="8"/>
      <c r="N1202" s="8"/>
      <c r="O1202" s="8"/>
      <c r="P1202" s="8"/>
      <c r="Q1202" s="8"/>
      <c r="R1202" s="8" t="s">
        <v>45</v>
      </c>
      <c r="S1202" s="2" t="s">
        <v>631</v>
      </c>
      <c r="T1202" s="2">
        <f>IF(C1202=0,0,IF(C1202&gt;=CALL_LOOKUP_BOARD!$B$7,IF(OR(K1202="Problem Call",K1202="Explosive Alert"),10000000,20000000),0)+IF(C1202&gt;=CALL_LOOKUP_BOARD!$B$7,J1202*1000+MIN(C1202,999),C1202*1000+J1202)+0.00999400)</f>
        <v>20080004.009994</v>
      </c>
      <c r="U1202" s="2">
        <f>IF(C1202=0,"",IF(COUNTIFS($S$1197:$S$1256,SUBSTITUTE(SUBSTITUTE(SUBSTITUTE(S1202,"~","~~"),"*","~*"),"?","~?"),$T$1197:$T$1256,"&gt;"&amp;T1202)=0,S1202,""))</f>
        <v/>
      </c>
    </row>
    <row r="1203" spans="1:21" ht="38" customHeight="1">
      <c r="A1203" s="8" t="s">
        <v>630</v>
      </c>
      <c r="B1203" s="8" t="s">
        <v>43</v>
      </c>
      <c r="C1203" s="12">
        <f>COUNTIFS('DEF_SELF_SCOUT_IMPORT'!$L$42:$L$1040,"Y",'DEF_SELF_SCOUT_IMPORT'!$E$42:$E$1040,SUBSTITUTE(SUBSTITUTE(SUBSTITUTE($B1203,"~","~~"),"*","~*"),"?","~?"))</f>
        <v>4</v>
      </c>
      <c r="D1203" s="10">
        <f>IF($C1203=0,"",SUMIFS('DEF_SELF_SCOUT_IMPORT'!$J$42:$J$1040,'DEF_SELF_SCOUT_IMPORT'!$L$42:$L$1040,"Y",'DEF_SELF_SCOUT_IMPORT'!$E$42:$E$1040,SUBSTITUTE(SUBSTITUTE(SUBSTITUTE($B1203,"~","~~"),"*","~*"),"?","~?"))/$C1203)</f>
        <v>1.0</v>
      </c>
      <c r="E1203" s="10">
        <f>IF($C1203=0,"",SUMIFS('DEF_SELF_SCOUT_IMPORT'!$K$42:$K$1040,'DEF_SELF_SCOUT_IMPORT'!$L$42:$L$1040,"Y",'DEF_SELF_SCOUT_IMPORT'!$E$42:$E$1040,SUBSTITUTE(SUBSTITUTE(SUBSTITUTE($B1203,"~","~~"),"*","~*"),"?","~?"))/$C1203)</f>
        <v>0.0</v>
      </c>
      <c r="F1203" s="11">
        <f>IF($C1203=0,"",AVERAGEIFS('DEF_SELF_SCOUT_IMPORT'!$I$42:$I$1040,'DEF_SELF_SCOUT_IMPORT'!$L$42:$L$1040,"Y",'DEF_SELF_SCOUT_IMPORT'!$E$42:$E$1040,SUBSTITUTE(SUBSTITUTE(SUBSTITUTE($B1203,"~","~~"),"*","~*"),"?","~?")))</f>
        <v>2.25</v>
      </c>
      <c r="G1203" s="10">
        <f>IF($C1203=0,"",COUNTIFS('DEF_SELF_SCOUT_IMPORT'!$L$42:$L$1040,"Y",'DEF_SELF_SCOUT_IMPORT'!$E$42:$E$1040,SUBSTITUTE(SUBSTITUTE(SUBSTITUTE($B1203,"~","~~"),"*","~*"),"?","~?"),'DEF_SELF_SCOUT_IMPORT'!$H$42:$H$1040,"RUSH")/$C1203)</f>
        <v>0.25</v>
      </c>
      <c r="H1203" s="10">
        <f>IF($C1203=0,"",COUNTIFS('DEF_SELF_SCOUT_IMPORT'!$L$42:$L$1040,"Y",'DEF_SELF_SCOUT_IMPORT'!$E$42:$E$1040,SUBSTITUTE(SUBSTITUTE(SUBSTITUTE($B1203,"~","~~"),"*","~*"),"?","~?"),'DEF_SELF_SCOUT_IMPORT'!$H$42:$H$1040,"DROPBACK")/$C1203)</f>
        <v>0.75</v>
      </c>
      <c r="I1203" s="14" t="str">
        <f>IF(C1203=0,"",IF(C1203&lt;=2,"TRACK",IF(C1203=3,"LOW",IF(C1203&lt;=6,"MEDIUM","HIGH"))))</f>
        <v>MEDIUM</v>
      </c>
      <c r="J1203" s="11">
        <f>IF(C1203=0,"",ROUND(D1203*70+(1-E1203)*20+MAX(0,MIN(1,(10-F1203)/10))*10,1))</f>
        <v>97.8</v>
      </c>
      <c r="K1203" s="14" t="str">
        <f>IF(C1203=0,"No Evidence",IF(C1203&lt;=2,IF(E1203&gt;0,"Explosive Alert","Track Only"),IF(C1203=3,"Sample Watch",IF(E1203&gt;=START_HERE!$B$31,"Explosive Alert",IF(J1203&gt;=80,"Strong Candidate",IF(J1203&gt;=65,"Good Candidate",IF(J1203&gt;=50,"Mixed / Review","Problem Call")))))))</f>
        <v>Strong Candidate</v>
      </c>
      <c r="L1203" s="9" t="str">
        <f>IF(COUNTIFS('DEF_SELF_SCOUT_IMPORT'!$L$42:$L$1040,"Y",'DEF_SELF_SCOUT_IMPORT'!$E$42:$E$1040,SUBSTITUTE(SUBSTITUTE(SUBSTITUTE($B1203,"~","~~"),"*","~*"),"?","~?"),'DEF_SELF_SCOUT_IMPORT'!$J$42:$J$1040,"")&gt;0,"Unscored clean outcome; review result tags before using score.",IF(C1203=0,"No matching defensive reps; film confirmation needed.",IF(K1203="Explosive Alert","Explosive risk; review clips before using as answer.",IF(C1203&lt;=2,"Track only; not enough sample.",IF(C1203=3,IF(E1203&gt;0,"Sample watch with explosive exposure; review clips and build the sample.",IF(J1203&gt;=65,"Good signal, but sample is limited.","Sample watch; review clips and build the sample.")),IF(K1203="Problem Call","Problem area; practice or call-sheet review.",IF(K1203="Strong Candidate","Strong call-fit candidate; confirm on film.",IF(K1203="Good Candidate","Good call-fit signal; confirm on film.","Mixed signal; review fit and execution on film."))))))))</f>
        <v>Strong call-fit candidate; confirm on film.</v>
      </c>
      <c r="M1203" s="8"/>
      <c r="N1203" s="8"/>
      <c r="O1203" s="8"/>
      <c r="P1203" s="8"/>
      <c r="Q1203" s="8"/>
      <c r="R1203" s="8" t="s">
        <v>45</v>
      </c>
      <c r="S1203" s="2" t="s">
        <v>631</v>
      </c>
      <c r="T1203" s="2">
        <f>IF(C1203=0,0,IF(C1203&gt;=CALL_LOOKUP_BOARD!$B$7,IF(OR(K1203="Problem Call",K1203="Explosive Alert"),10000000,20000000),0)+IF(C1203&gt;=CALL_LOOKUP_BOARD!$B$7,J1203*1000+MIN(C1203,999),C1203*1000+J1203)+0.00999300)</f>
        <v>20097804.009993</v>
      </c>
      <c r="U1203" s="2">
        <f>IF(C1203=0,"",IF(COUNTIFS($S$1197:$S$1256,SUBSTITUTE(SUBSTITUTE(SUBSTITUTE(S1203,"~","~~"),"*","~*"),"?","~?"),$T$1197:$T$1256,"&gt;"&amp;T1203)=0,S1203,""))</f>
        <v/>
      </c>
    </row>
    <row r="1204" spans="1:21" ht="38" customHeight="1">
      <c r="A1204" s="8" t="s">
        <v>630</v>
      </c>
      <c r="B1204" s="8" t="s">
        <v>32</v>
      </c>
      <c r="C1204" s="12">
        <f>COUNTIFS('DEF_SELF_SCOUT_IMPORT'!$L$42:$L$1040,"Y",'DEF_SELF_SCOUT_IMPORT'!$E$42:$E$1040,SUBSTITUTE(SUBSTITUTE(SUBSTITUTE($B1204,"~","~~"),"*","~*"),"?","~?"))</f>
        <v>4</v>
      </c>
      <c r="D1204" s="10">
        <f>IF($C1204=0,"",SUMIFS('DEF_SELF_SCOUT_IMPORT'!$J$42:$J$1040,'DEF_SELF_SCOUT_IMPORT'!$L$42:$L$1040,"Y",'DEF_SELF_SCOUT_IMPORT'!$E$42:$E$1040,SUBSTITUTE(SUBSTITUTE(SUBSTITUTE($B1204,"~","~~"),"*","~*"),"?","~?"))/$C1204)</f>
        <v>0.25</v>
      </c>
      <c r="E1204" s="10">
        <f>IF($C1204=0,"",SUMIFS('DEF_SELF_SCOUT_IMPORT'!$K$42:$K$1040,'DEF_SELF_SCOUT_IMPORT'!$L$42:$L$1040,"Y",'DEF_SELF_SCOUT_IMPORT'!$E$42:$E$1040,SUBSTITUTE(SUBSTITUTE(SUBSTITUTE($B1204,"~","~~"),"*","~*"),"?","~?"))/$C1204)</f>
        <v>0.5</v>
      </c>
      <c r="F1204" s="11">
        <f>IF($C1204=0,"",AVERAGEIFS('DEF_SELF_SCOUT_IMPORT'!$I$42:$I$1040,'DEF_SELF_SCOUT_IMPORT'!$L$42:$L$1040,"Y",'DEF_SELF_SCOUT_IMPORT'!$E$42:$E$1040,SUBSTITUTE(SUBSTITUTE(SUBSTITUTE($B1204,"~","~~"),"*","~*"),"?","~?")))</f>
        <v>24.5</v>
      </c>
      <c r="G1204" s="10">
        <f>IF($C1204=0,"",COUNTIFS('DEF_SELF_SCOUT_IMPORT'!$L$42:$L$1040,"Y",'DEF_SELF_SCOUT_IMPORT'!$E$42:$E$1040,SUBSTITUTE(SUBSTITUTE(SUBSTITUTE($B1204,"~","~~"),"*","~*"),"?","~?"),'DEF_SELF_SCOUT_IMPORT'!$H$42:$H$1040,"RUSH")/$C1204)</f>
        <v>0.75</v>
      </c>
      <c r="H1204" s="10">
        <f>IF($C1204=0,"",COUNTIFS('DEF_SELF_SCOUT_IMPORT'!$L$42:$L$1040,"Y",'DEF_SELF_SCOUT_IMPORT'!$E$42:$E$1040,SUBSTITUTE(SUBSTITUTE(SUBSTITUTE($B1204,"~","~~"),"*","~*"),"?","~?"),'DEF_SELF_SCOUT_IMPORT'!$H$42:$H$1040,"DROPBACK")/$C1204)</f>
        <v>0.25</v>
      </c>
      <c r="I1204" s="14" t="str">
        <f>IF(C1204=0,"",IF(C1204&lt;=2,"TRACK",IF(C1204=3,"LOW",IF(C1204&lt;=6,"MEDIUM","HIGH"))))</f>
        <v>MEDIUM</v>
      </c>
      <c r="J1204" s="11">
        <f>IF(C1204=0,"",ROUND(D1204*70+(1-E1204)*20+MAX(0,MIN(1,(10-F1204)/10))*10,1))</f>
        <v>27.5</v>
      </c>
      <c r="K1204" s="14" t="str">
        <f>IF(C1204=0,"No Evidence",IF(C1204&lt;=2,IF(E1204&gt;0,"Explosive Alert","Track Only"),IF(C1204=3,"Sample Watch",IF(E1204&gt;=START_HERE!$B$31,"Explosive Alert",IF(J1204&gt;=80,"Strong Candidate",IF(J1204&gt;=65,"Good Candidate",IF(J1204&gt;=50,"Mixed / Review","Problem Call")))))))</f>
        <v>Explosive Alert</v>
      </c>
      <c r="L1204" s="9" t="str">
        <f>IF(COUNTIFS('DEF_SELF_SCOUT_IMPORT'!$L$42:$L$1040,"Y",'DEF_SELF_SCOUT_IMPORT'!$E$42:$E$1040,SUBSTITUTE(SUBSTITUTE(SUBSTITUTE($B1204,"~","~~"),"*","~*"),"?","~?"),'DEF_SELF_SCOUT_IMPORT'!$J$42:$J$1040,"")&gt;0,"Unscored clean outcome; review result tags before using score.",IF(C1204=0,"No matching defensive reps; film confirmation needed.",IF(K1204="Explosive Alert","Explosive risk; review clips before using as answer.",IF(C1204&lt;=2,"Track only; not enough sample.",IF(C1204=3,IF(E1204&gt;0,"Sample watch with explosive exposure; review clips and build the sample.",IF(J1204&gt;=65,"Good signal, but sample is limited.","Sample watch; review clips and build the sample.")),IF(K1204="Problem Call","Problem area; practice or call-sheet review.",IF(K1204="Strong Candidate","Strong call-fit candidate; confirm on film.",IF(K1204="Good Candidate","Good call-fit signal; confirm on film.","Mixed signal; review fit and execution on film."))))))))</f>
        <v>Explosive risk; review clips before using as answer.</v>
      </c>
      <c r="M1204" s="8"/>
      <c r="N1204" s="8"/>
      <c r="O1204" s="8"/>
      <c r="P1204" s="8"/>
      <c r="Q1204" s="8"/>
      <c r="R1204" s="8" t="s">
        <v>45</v>
      </c>
      <c r="S1204" s="2" t="s">
        <v>631</v>
      </c>
      <c r="T1204" s="2">
        <f>IF(C1204=0,0,IF(C1204&gt;=CALL_LOOKUP_BOARD!$B$7,IF(OR(K1204="Problem Call",K1204="Explosive Alert"),10000000,20000000),0)+IF(C1204&gt;=CALL_LOOKUP_BOARD!$B$7,J1204*1000+MIN(C1204,999),C1204*1000+J1204)+0.00999200)</f>
        <v>10027504.009992</v>
      </c>
      <c r="U1204" s="2">
        <f>IF(C1204=0,"",IF(COUNTIFS($S$1197:$S$1256,SUBSTITUTE(SUBSTITUTE(SUBSTITUTE(S1204,"~","~~"),"*","~*"),"?","~?"),$T$1197:$T$1256,"&gt;"&amp;T1204)=0,S1204,""))</f>
        <v/>
      </c>
    </row>
    <row r="1205" spans="1:21" ht="38" customHeight="1">
      <c r="A1205" s="8" t="s">
        <v>630</v>
      </c>
      <c r="B1205" s="8" t="s">
        <v>44</v>
      </c>
      <c r="C1205" s="12">
        <f>COUNTIFS('DEF_SELF_SCOUT_IMPORT'!$L$42:$L$1040,"Y",'DEF_SELF_SCOUT_IMPORT'!$E$42:$E$1040,SUBSTITUTE(SUBSTITUTE(SUBSTITUTE($B1205,"~","~~"),"*","~*"),"?","~?"))</f>
        <v>15</v>
      </c>
      <c r="D1205" s="10">
        <f>IF($C1205=0,"",SUMIFS('DEF_SELF_SCOUT_IMPORT'!$J$42:$J$1040,'DEF_SELF_SCOUT_IMPORT'!$L$42:$L$1040,"Y",'DEF_SELF_SCOUT_IMPORT'!$E$42:$E$1040,SUBSTITUTE(SUBSTITUTE(SUBSTITUTE($B1205,"~","~~"),"*","~*"),"?","~?"))/$C1205)</f>
        <v>0.26666666666666666</v>
      </c>
      <c r="E1205" s="10">
        <f>IF($C1205=0,"",SUMIFS('DEF_SELF_SCOUT_IMPORT'!$K$42:$K$1040,'DEF_SELF_SCOUT_IMPORT'!$L$42:$L$1040,"Y",'DEF_SELF_SCOUT_IMPORT'!$E$42:$E$1040,SUBSTITUTE(SUBSTITUTE(SUBSTITUTE($B1205,"~","~~"),"*","~*"),"?","~?"))/$C1205)</f>
        <v>0.13333333333333333</v>
      </c>
      <c r="F1205" s="11">
        <f>IF($C1205=0,"",AVERAGEIFS('DEF_SELF_SCOUT_IMPORT'!$I$42:$I$1040,'DEF_SELF_SCOUT_IMPORT'!$L$42:$L$1040,"Y",'DEF_SELF_SCOUT_IMPORT'!$E$42:$E$1040,SUBSTITUTE(SUBSTITUTE(SUBSTITUTE($B1205,"~","~~"),"*","~*"),"?","~?")))</f>
        <v>8.333333333333334</v>
      </c>
      <c r="G1205" s="10">
        <f>IF($C1205=0,"",COUNTIFS('DEF_SELF_SCOUT_IMPORT'!$L$42:$L$1040,"Y",'DEF_SELF_SCOUT_IMPORT'!$E$42:$E$1040,SUBSTITUTE(SUBSTITUTE(SUBSTITUTE($B1205,"~","~~"),"*","~*"),"?","~?"),'DEF_SELF_SCOUT_IMPORT'!$H$42:$H$1040,"RUSH")/$C1205)</f>
        <v>0.6</v>
      </c>
      <c r="H1205" s="10">
        <f>IF($C1205=0,"",COUNTIFS('DEF_SELF_SCOUT_IMPORT'!$L$42:$L$1040,"Y",'DEF_SELF_SCOUT_IMPORT'!$E$42:$E$1040,SUBSTITUTE(SUBSTITUTE(SUBSTITUTE($B1205,"~","~~"),"*","~*"),"?","~?"),'DEF_SELF_SCOUT_IMPORT'!$H$42:$H$1040,"DROPBACK")/$C1205)</f>
        <v>0.4</v>
      </c>
      <c r="I1205" s="14" t="str">
        <f>IF(C1205=0,"",IF(C1205&lt;=2,"TRACK",IF(C1205=3,"LOW",IF(C1205&lt;=6,"MEDIUM","HIGH"))))</f>
        <v>HIGH</v>
      </c>
      <c r="J1205" s="11">
        <f>IF(C1205=0,"",ROUND(D1205*70+(1-E1205)*20+MAX(0,MIN(1,(10-F1205)/10))*10,1))</f>
        <v>37.7</v>
      </c>
      <c r="K1205" s="14" t="str">
        <f>IF(C1205=0,"No Evidence",IF(C1205&lt;=2,IF(E1205&gt;0,"Explosive Alert","Track Only"),IF(C1205=3,"Sample Watch",IF(E1205&gt;=START_HERE!$B$31,"Explosive Alert",IF(J1205&gt;=80,"Strong Candidate",IF(J1205&gt;=65,"Good Candidate",IF(J1205&gt;=50,"Mixed / Review","Problem Call")))))))</f>
        <v>Problem Call</v>
      </c>
      <c r="L1205" s="9" t="str">
        <f>IF(COUNTIFS('DEF_SELF_SCOUT_IMPORT'!$L$42:$L$1040,"Y",'DEF_SELF_SCOUT_IMPORT'!$E$42:$E$1040,SUBSTITUTE(SUBSTITUTE(SUBSTITUTE($B1205,"~","~~"),"*","~*"),"?","~?"),'DEF_SELF_SCOUT_IMPORT'!$J$42:$J$1040,"")&gt;0,"Unscored clean outcome; review result tags before using score.",IF(C1205=0,"No matching defensive reps; film confirmation needed.",IF(K1205="Explosive Alert","Explosive risk; review clips before using as answer.",IF(C1205&lt;=2,"Track only; not enough sample.",IF(C1205=3,IF(E1205&gt;0,"Sample watch with explosive exposure; review clips and build the sample.",IF(J1205&gt;=65,"Good signal, but sample is limited.","Sample watch; review clips and build the sample.")),IF(K1205="Problem Call","Problem area; practice or call-sheet review.",IF(K1205="Strong Candidate","Strong call-fit candidate; confirm on film.",IF(K1205="Good Candidate","Good call-fit signal; confirm on film.","Mixed signal; review fit and execution on film."))))))))</f>
        <v>Problem area; practice or call-sheet review.</v>
      </c>
      <c r="M1205" s="8"/>
      <c r="N1205" s="8"/>
      <c r="O1205" s="8"/>
      <c r="P1205" s="8"/>
      <c r="Q1205" s="8"/>
      <c r="R1205" s="8" t="s">
        <v>45</v>
      </c>
      <c r="S1205" s="2" t="s">
        <v>631</v>
      </c>
      <c r="T1205" s="2">
        <f>IF(C1205=0,0,IF(C1205&gt;=CALL_LOOKUP_BOARD!$B$7,IF(OR(K1205="Problem Call",K1205="Explosive Alert"),10000000,20000000),0)+IF(C1205&gt;=CALL_LOOKUP_BOARD!$B$7,J1205*1000+MIN(C1205,999),C1205*1000+J1205)+0.00999100)</f>
        <v>10037715.009991</v>
      </c>
      <c r="U1205" s="2">
        <f>IF(C1205=0,"",IF(COUNTIFS($S$1197:$S$1256,SUBSTITUTE(SUBSTITUTE(SUBSTITUTE(S1205,"~","~~"),"*","~*"),"?","~?"),$T$1197:$T$1256,"&gt;"&amp;T1205)=0,S1205,""))</f>
        <v/>
      </c>
    </row>
    <row r="1206" spans="1:21" ht="38" customHeight="1">
      <c r="A1206" s="8" t="s">
        <v>630</v>
      </c>
      <c r="B1206" s="8" t="s">
        <v>46</v>
      </c>
      <c r="C1206" s="12">
        <f>COUNTIFS('DEF_SELF_SCOUT_IMPORT'!$L$42:$L$1040,"Y",'DEF_SELF_SCOUT_IMPORT'!$E$42:$E$1040,SUBSTITUTE(SUBSTITUTE(SUBSTITUTE($B1206,"~","~~"),"*","~*"),"?","~?"))</f>
        <v>6</v>
      </c>
      <c r="D1206" s="10">
        <f>IF($C1206=0,"",SUMIFS('DEF_SELF_SCOUT_IMPORT'!$J$42:$J$1040,'DEF_SELF_SCOUT_IMPORT'!$L$42:$L$1040,"Y",'DEF_SELF_SCOUT_IMPORT'!$E$42:$E$1040,SUBSTITUTE(SUBSTITUTE(SUBSTITUTE($B1206,"~","~~"),"*","~*"),"?","~?"))/$C1206)</f>
        <v>0.6666666666666666</v>
      </c>
      <c r="E1206" s="10">
        <f>IF($C1206=0,"",SUMIFS('DEF_SELF_SCOUT_IMPORT'!$K$42:$K$1040,'DEF_SELF_SCOUT_IMPORT'!$L$42:$L$1040,"Y",'DEF_SELF_SCOUT_IMPORT'!$E$42:$E$1040,SUBSTITUTE(SUBSTITUTE(SUBSTITUTE($B1206,"~","~~"),"*","~*"),"?","~?"))/$C1206)</f>
        <v>0.16666666666666666</v>
      </c>
      <c r="F1206" s="11">
        <f>IF($C1206=0,"",AVERAGEIFS('DEF_SELF_SCOUT_IMPORT'!$I$42:$I$1040,'DEF_SELF_SCOUT_IMPORT'!$L$42:$L$1040,"Y",'DEF_SELF_SCOUT_IMPORT'!$E$42:$E$1040,SUBSTITUTE(SUBSTITUTE(SUBSTITUTE($B1206,"~","~~"),"*","~*"),"?","~?")))</f>
        <v>4.166666666666667</v>
      </c>
      <c r="G1206" s="10">
        <f>IF($C1206=0,"",COUNTIFS('DEF_SELF_SCOUT_IMPORT'!$L$42:$L$1040,"Y",'DEF_SELF_SCOUT_IMPORT'!$E$42:$E$1040,SUBSTITUTE(SUBSTITUTE(SUBSTITUTE($B1206,"~","~~"),"*","~*"),"?","~?"),'DEF_SELF_SCOUT_IMPORT'!$H$42:$H$1040,"RUSH")/$C1206)</f>
        <v>0.16666666666666666</v>
      </c>
      <c r="H1206" s="10">
        <f>IF($C1206=0,"",COUNTIFS('DEF_SELF_SCOUT_IMPORT'!$L$42:$L$1040,"Y",'DEF_SELF_SCOUT_IMPORT'!$E$42:$E$1040,SUBSTITUTE(SUBSTITUTE(SUBSTITUTE($B1206,"~","~~"),"*","~*"),"?","~?"),'DEF_SELF_SCOUT_IMPORT'!$H$42:$H$1040,"DROPBACK")/$C1206)</f>
        <v>0.8333333333333334</v>
      </c>
      <c r="I1206" s="14" t="str">
        <f>IF(C1206=0,"",IF(C1206&lt;=2,"TRACK",IF(C1206=3,"LOW",IF(C1206&lt;=6,"MEDIUM","HIGH"))))</f>
        <v>MEDIUM</v>
      </c>
      <c r="J1206" s="11">
        <f>IF(C1206=0,"",ROUND(D1206*70+(1-E1206)*20+MAX(0,MIN(1,(10-F1206)/10))*10,1))</f>
        <v>69.2</v>
      </c>
      <c r="K1206" s="14" t="str">
        <f>IF(C1206=0,"No Evidence",IF(C1206&lt;=2,IF(E1206&gt;0,"Explosive Alert","Track Only"),IF(C1206=3,"Sample Watch",IF(E1206&gt;=START_HERE!$B$31,"Explosive Alert",IF(J1206&gt;=80,"Strong Candidate",IF(J1206&gt;=65,"Good Candidate",IF(J1206&gt;=50,"Mixed / Review","Problem Call")))))))</f>
        <v>Good Candidate</v>
      </c>
      <c r="L1206" s="9" t="str">
        <f>IF(COUNTIFS('DEF_SELF_SCOUT_IMPORT'!$L$42:$L$1040,"Y",'DEF_SELF_SCOUT_IMPORT'!$E$42:$E$1040,SUBSTITUTE(SUBSTITUTE(SUBSTITUTE($B1206,"~","~~"),"*","~*"),"?","~?"),'DEF_SELF_SCOUT_IMPORT'!$J$42:$J$1040,"")&gt;0,"Unscored clean outcome; review result tags before using score.",IF(C1206=0,"No matching defensive reps; film confirmation needed.",IF(K1206="Explosive Alert","Explosive risk; review clips before using as answer.",IF(C1206&lt;=2,"Track only; not enough sample.",IF(C1206=3,IF(E1206&gt;0,"Sample watch with explosive exposure; review clips and build the sample.",IF(J1206&gt;=65,"Good signal, but sample is limited.","Sample watch; review clips and build the sample.")),IF(K1206="Problem Call","Problem area; practice or call-sheet review.",IF(K1206="Strong Candidate","Strong call-fit candidate; confirm on film.",IF(K1206="Good Candidate","Good call-fit signal; confirm on film.","Mixed signal; review fit and execution on film."))))))))</f>
        <v>Good call-fit signal; confirm on film.</v>
      </c>
      <c r="M1206" s="8"/>
      <c r="N1206" s="8"/>
      <c r="O1206" s="8"/>
      <c r="P1206" s="8"/>
      <c r="Q1206" s="8"/>
      <c r="R1206" s="8" t="s">
        <v>45</v>
      </c>
      <c r="S1206" s="2" t="s">
        <v>631</v>
      </c>
      <c r="T1206" s="2">
        <f>IF(C1206=0,0,IF(C1206&gt;=CALL_LOOKUP_BOARD!$B$7,IF(OR(K1206="Problem Call",K1206="Explosive Alert"),10000000,20000000),0)+IF(C1206&gt;=CALL_LOOKUP_BOARD!$B$7,J1206*1000+MIN(C1206,999),C1206*1000+J1206)+0.00999000)</f>
        <v>20069206.00999</v>
      </c>
      <c r="U1206" s="2">
        <f>IF(C1206=0,"",IF(COUNTIFS($S$1197:$S$1256,SUBSTITUTE(SUBSTITUTE(SUBSTITUTE(S1206,"~","~~"),"*","~*"),"?","~?"),$T$1197:$T$1256,"&gt;"&amp;T1206)=0,S1206,""))</f>
        <v/>
      </c>
    </row>
    <row r="1207" spans="1:21" ht="38" customHeight="1">
      <c r="A1207" s="8" t="s">
        <v>630</v>
      </c>
      <c r="B1207" s="8" t="s">
        <v>47</v>
      </c>
      <c r="C1207" s="12">
        <f>COUNTIFS('DEF_SELF_SCOUT_IMPORT'!$L$42:$L$1040,"Y",'DEF_SELF_SCOUT_IMPORT'!$E$42:$E$1040,SUBSTITUTE(SUBSTITUTE(SUBSTITUTE($B1207,"~","~~"),"*","~*"),"?","~?"))</f>
        <v>2</v>
      </c>
      <c r="D1207" s="10">
        <f>IF($C1207=0,"",SUMIFS('DEF_SELF_SCOUT_IMPORT'!$J$42:$J$1040,'DEF_SELF_SCOUT_IMPORT'!$L$42:$L$1040,"Y",'DEF_SELF_SCOUT_IMPORT'!$E$42:$E$1040,SUBSTITUTE(SUBSTITUTE(SUBSTITUTE($B1207,"~","~~"),"*","~*"),"?","~?"))/$C1207)</f>
        <v>0.5</v>
      </c>
      <c r="E1207" s="10">
        <f>IF($C1207=0,"",SUMIFS('DEF_SELF_SCOUT_IMPORT'!$K$42:$K$1040,'DEF_SELF_SCOUT_IMPORT'!$L$42:$L$1040,"Y",'DEF_SELF_SCOUT_IMPORT'!$E$42:$E$1040,SUBSTITUTE(SUBSTITUTE(SUBSTITUTE($B1207,"~","~~"),"*","~*"),"?","~?"))/$C1207)</f>
        <v>0.5</v>
      </c>
      <c r="F1207" s="11">
        <f>IF($C1207=0,"",AVERAGEIFS('DEF_SELF_SCOUT_IMPORT'!$I$42:$I$1040,'DEF_SELF_SCOUT_IMPORT'!$L$42:$L$1040,"Y",'DEF_SELF_SCOUT_IMPORT'!$E$42:$E$1040,SUBSTITUTE(SUBSTITUTE(SUBSTITUTE($B1207,"~","~~"),"*","~*"),"?","~?")))</f>
        <v>15.0</v>
      </c>
      <c r="G1207" s="10">
        <f>IF($C1207=0,"",COUNTIFS('DEF_SELF_SCOUT_IMPORT'!$L$42:$L$1040,"Y",'DEF_SELF_SCOUT_IMPORT'!$E$42:$E$1040,SUBSTITUTE(SUBSTITUTE(SUBSTITUTE($B1207,"~","~~"),"*","~*"),"?","~?"),'DEF_SELF_SCOUT_IMPORT'!$H$42:$H$1040,"RUSH")/$C1207)</f>
        <v>0.0</v>
      </c>
      <c r="H1207" s="10">
        <f>IF($C1207=0,"",COUNTIFS('DEF_SELF_SCOUT_IMPORT'!$L$42:$L$1040,"Y",'DEF_SELF_SCOUT_IMPORT'!$E$42:$E$1040,SUBSTITUTE(SUBSTITUTE(SUBSTITUTE($B1207,"~","~~"),"*","~*"),"?","~?"),'DEF_SELF_SCOUT_IMPORT'!$H$42:$H$1040,"DROPBACK")/$C1207)</f>
        <v>0.5</v>
      </c>
      <c r="I1207" s="14" t="str">
        <f>IF(C1207=0,"",IF(C1207&lt;=2,"TRACK",IF(C1207=3,"LOW",IF(C1207&lt;=6,"MEDIUM","HIGH"))))</f>
        <v>TRACK</v>
      </c>
      <c r="J1207" s="11">
        <f>IF(C1207=0,"",ROUND(D1207*70+(1-E1207)*20+MAX(0,MIN(1,(10-F1207)/10))*10,1))</f>
        <v>45.0</v>
      </c>
      <c r="K1207" s="14" t="str">
        <f>IF(C1207=0,"No Evidence",IF(C1207&lt;=2,IF(E1207&gt;0,"Explosive Alert","Track Only"),IF(C1207=3,"Sample Watch",IF(E1207&gt;=START_HERE!$B$31,"Explosive Alert",IF(J1207&gt;=80,"Strong Candidate",IF(J1207&gt;=65,"Good Candidate",IF(J1207&gt;=50,"Mixed / Review","Problem Call")))))))</f>
        <v>Explosive Alert</v>
      </c>
      <c r="L1207" s="9" t="str">
        <f>IF(COUNTIFS('DEF_SELF_SCOUT_IMPORT'!$L$42:$L$1040,"Y",'DEF_SELF_SCOUT_IMPORT'!$E$42:$E$1040,SUBSTITUTE(SUBSTITUTE(SUBSTITUTE($B1207,"~","~~"),"*","~*"),"?","~?"),'DEF_SELF_SCOUT_IMPORT'!$J$42:$J$1040,"")&gt;0,"Unscored clean outcome; review result tags before using score.",IF(C1207=0,"No matching defensive reps; film confirmation needed.",IF(K1207="Explosive Alert","Explosive risk; review clips before using as answer.",IF(C1207&lt;=2,"Track only; not enough sample.",IF(C1207=3,IF(E1207&gt;0,"Sample watch with explosive exposure; review clips and build the sample.",IF(J1207&gt;=65,"Good signal, but sample is limited.","Sample watch; review clips and build the sample.")),IF(K1207="Problem Call","Problem area; practice or call-sheet review.",IF(K1207="Strong Candidate","Strong call-fit candidate; confirm on film.",IF(K1207="Good Candidate","Good call-fit signal; confirm on film.","Mixed signal; review fit and execution on film."))))))))</f>
        <v>Explosive risk; review clips before using as answer.</v>
      </c>
      <c r="M1207" s="8"/>
      <c r="N1207" s="8"/>
      <c r="O1207" s="8"/>
      <c r="P1207" s="8"/>
      <c r="Q1207" s="8"/>
      <c r="R1207" s="8" t="s">
        <v>28</v>
      </c>
      <c r="S1207" s="2" t="s">
        <v>631</v>
      </c>
      <c r="T1207" s="2">
        <f>IF(C1207=0,0,IF(C1207&gt;=CALL_LOOKUP_BOARD!$B$7,IF(OR(K1207="Problem Call",K1207="Explosive Alert"),10000000,20000000),0)+IF(C1207&gt;=CALL_LOOKUP_BOARD!$B$7,J1207*1000+MIN(C1207,999),C1207*1000+J1207)+0.00998900)</f>
        <v>2045.009989</v>
      </c>
      <c r="U1207" s="2">
        <f>IF(C1207=0,"",IF(COUNTIFS($S$1197:$S$1256,SUBSTITUTE(SUBSTITUTE(SUBSTITUTE(S1207,"~","~~"),"*","~*"),"?","~?"),$T$1197:$T$1256,"&gt;"&amp;T1207)=0,S1207,""))</f>
        <v/>
      </c>
    </row>
    <row r="1208" spans="1:21" ht="38" customHeight="1">
      <c r="A1208" s="8" t="s">
        <v>630</v>
      </c>
      <c r="B1208" s="8" t="s">
        <v>48</v>
      </c>
      <c r="C1208" s="12">
        <f>COUNTIFS('DEF_SELF_SCOUT_IMPORT'!$L$42:$L$1040,"Y",'DEF_SELF_SCOUT_IMPORT'!$E$42:$E$1040,SUBSTITUTE(SUBSTITUTE(SUBSTITUTE($B1208,"~","~~"),"*","~*"),"?","~?"))</f>
        <v>7</v>
      </c>
      <c r="D1208" s="10">
        <f>IF($C1208=0,"",SUMIFS('DEF_SELF_SCOUT_IMPORT'!$J$42:$J$1040,'DEF_SELF_SCOUT_IMPORT'!$L$42:$L$1040,"Y",'DEF_SELF_SCOUT_IMPORT'!$E$42:$E$1040,SUBSTITUTE(SUBSTITUTE(SUBSTITUTE($B1208,"~","~~"),"*","~*"),"?","~?"))/$C1208)</f>
        <v>0.42857142857142855</v>
      </c>
      <c r="E1208" s="10">
        <f>IF($C1208=0,"",SUMIFS('DEF_SELF_SCOUT_IMPORT'!$K$42:$K$1040,'DEF_SELF_SCOUT_IMPORT'!$L$42:$L$1040,"Y",'DEF_SELF_SCOUT_IMPORT'!$E$42:$E$1040,SUBSTITUTE(SUBSTITUTE(SUBSTITUTE($B1208,"~","~~"),"*","~*"),"?","~?"))/$C1208)</f>
        <v>0.0</v>
      </c>
      <c r="F1208" s="11">
        <f>IF($C1208=0,"",AVERAGEIFS('DEF_SELF_SCOUT_IMPORT'!$I$42:$I$1040,'DEF_SELF_SCOUT_IMPORT'!$L$42:$L$1040,"Y",'DEF_SELF_SCOUT_IMPORT'!$E$42:$E$1040,SUBSTITUTE(SUBSTITUTE(SUBSTITUTE($B1208,"~","~~"),"*","~*"),"?","~?")))</f>
        <v>5.714285714285714</v>
      </c>
      <c r="G1208" s="10">
        <f>IF($C1208=0,"",COUNTIFS('DEF_SELF_SCOUT_IMPORT'!$L$42:$L$1040,"Y",'DEF_SELF_SCOUT_IMPORT'!$E$42:$E$1040,SUBSTITUTE(SUBSTITUTE(SUBSTITUTE($B1208,"~","~~"),"*","~*"),"?","~?"),'DEF_SELF_SCOUT_IMPORT'!$H$42:$H$1040,"RUSH")/$C1208)</f>
        <v>0.14285714285714285</v>
      </c>
      <c r="H1208" s="10">
        <f>IF($C1208=0,"",COUNTIFS('DEF_SELF_SCOUT_IMPORT'!$L$42:$L$1040,"Y",'DEF_SELF_SCOUT_IMPORT'!$E$42:$E$1040,SUBSTITUTE(SUBSTITUTE(SUBSTITUTE($B1208,"~","~~"),"*","~*"),"?","~?"),'DEF_SELF_SCOUT_IMPORT'!$H$42:$H$1040,"DROPBACK")/$C1208)</f>
        <v>0.8571428571428571</v>
      </c>
      <c r="I1208" s="14" t="str">
        <f>IF(C1208=0,"",IF(C1208&lt;=2,"TRACK",IF(C1208=3,"LOW",IF(C1208&lt;=6,"MEDIUM","HIGH"))))</f>
        <v>HIGH</v>
      </c>
      <c r="J1208" s="11">
        <f>IF(C1208=0,"",ROUND(D1208*70+(1-E1208)*20+MAX(0,MIN(1,(10-F1208)/10))*10,1))</f>
        <v>54.3</v>
      </c>
      <c r="K1208" s="14" t="str">
        <f>IF(C1208=0,"No Evidence",IF(C1208&lt;=2,IF(E1208&gt;0,"Explosive Alert","Track Only"),IF(C1208=3,"Sample Watch",IF(E1208&gt;=START_HERE!$B$31,"Explosive Alert",IF(J1208&gt;=80,"Strong Candidate",IF(J1208&gt;=65,"Good Candidate",IF(J1208&gt;=50,"Mixed / Review","Problem Call")))))))</f>
        <v>Mixed / Review</v>
      </c>
      <c r="L1208" s="9" t="str">
        <f>IF(COUNTIFS('DEF_SELF_SCOUT_IMPORT'!$L$42:$L$1040,"Y",'DEF_SELF_SCOUT_IMPORT'!$E$42:$E$1040,SUBSTITUTE(SUBSTITUTE(SUBSTITUTE($B1208,"~","~~"),"*","~*"),"?","~?"),'DEF_SELF_SCOUT_IMPORT'!$J$42:$J$1040,"")&gt;0,"Unscored clean outcome; review result tags before using score.",IF(C1208=0,"No matching defensive reps; film confirmation needed.",IF(K1208="Explosive Alert","Explosive risk; review clips before using as answer.",IF(C1208&lt;=2,"Track only; not enough sample.",IF(C1208=3,IF(E1208&gt;0,"Sample watch with explosive exposure; review clips and build the sample.",IF(J1208&gt;=65,"Good signal, but sample is limited.","Sample watch; review clips and build the sample.")),IF(K1208="Problem Call","Problem area; practice or call-sheet review.",IF(K1208="Strong Candidate","Strong call-fit candidate; confirm on film.",IF(K1208="Good Candidate","Good call-fit signal; confirm on film.","Mixed signal; review fit and execution on film."))))))))</f>
        <v>Mixed signal; review fit and execution on film.</v>
      </c>
      <c r="M1208" s="8"/>
      <c r="N1208" s="8"/>
      <c r="O1208" s="8"/>
      <c r="P1208" s="8"/>
      <c r="Q1208" s="8"/>
      <c r="R1208" s="8" t="s">
        <v>45</v>
      </c>
      <c r="S1208" s="2" t="s">
        <v>631</v>
      </c>
      <c r="T1208" s="2">
        <f>IF(C1208=0,0,IF(C1208&gt;=CALL_LOOKUP_BOARD!$B$7,IF(OR(K1208="Problem Call",K1208="Explosive Alert"),10000000,20000000),0)+IF(C1208&gt;=CALL_LOOKUP_BOARD!$B$7,J1208*1000+MIN(C1208,999),C1208*1000+J1208)+0.00998800)</f>
        <v>20054307.009988</v>
      </c>
      <c r="U1208" s="2">
        <f>IF(C1208=0,"",IF(COUNTIFS($S$1197:$S$1256,SUBSTITUTE(SUBSTITUTE(SUBSTITUTE(S1208,"~","~~"),"*","~*"),"?","~?"),$T$1197:$T$1256,"&gt;"&amp;T1208)=0,S1208,""))</f>
        <v/>
      </c>
    </row>
    <row r="1209" spans="1:21" ht="38" customHeight="1">
      <c r="A1209" s="8" t="s">
        <v>630</v>
      </c>
      <c r="B1209" s="8" t="s">
        <v>34</v>
      </c>
      <c r="C1209" s="12">
        <f>COUNTIFS('DEF_SELF_SCOUT_IMPORT'!$L$42:$L$1040,"Y",'DEF_SELF_SCOUT_IMPORT'!$E$42:$E$1040,SUBSTITUTE(SUBSTITUTE(SUBSTITUTE($B1209,"~","~~"),"*","~*"),"?","~?"))</f>
        <v>6</v>
      </c>
      <c r="D1209" s="10">
        <f>IF($C1209=0,"",SUMIFS('DEF_SELF_SCOUT_IMPORT'!$J$42:$J$1040,'DEF_SELF_SCOUT_IMPORT'!$L$42:$L$1040,"Y",'DEF_SELF_SCOUT_IMPORT'!$E$42:$E$1040,SUBSTITUTE(SUBSTITUTE(SUBSTITUTE($B1209,"~","~~"),"*","~*"),"?","~?"))/$C1209)</f>
        <v>0.3333333333333333</v>
      </c>
      <c r="E1209" s="10">
        <f>IF($C1209=0,"",SUMIFS('DEF_SELF_SCOUT_IMPORT'!$K$42:$K$1040,'DEF_SELF_SCOUT_IMPORT'!$L$42:$L$1040,"Y",'DEF_SELF_SCOUT_IMPORT'!$E$42:$E$1040,SUBSTITUTE(SUBSTITUTE(SUBSTITUTE($B1209,"~","~~"),"*","~*"),"?","~?"))/$C1209)</f>
        <v>0.3333333333333333</v>
      </c>
      <c r="F1209" s="11">
        <f>IF($C1209=0,"",AVERAGEIFS('DEF_SELF_SCOUT_IMPORT'!$I$42:$I$1040,'DEF_SELF_SCOUT_IMPORT'!$L$42:$L$1040,"Y",'DEF_SELF_SCOUT_IMPORT'!$E$42:$E$1040,SUBSTITUTE(SUBSTITUTE(SUBSTITUTE($B1209,"~","~~"),"*","~*"),"?","~?")))</f>
        <v>14.333333333333334</v>
      </c>
      <c r="G1209" s="10">
        <f>IF($C1209=0,"",COUNTIFS('DEF_SELF_SCOUT_IMPORT'!$L$42:$L$1040,"Y",'DEF_SELF_SCOUT_IMPORT'!$E$42:$E$1040,SUBSTITUTE(SUBSTITUTE(SUBSTITUTE($B1209,"~","~~"),"*","~*"),"?","~?"),'DEF_SELF_SCOUT_IMPORT'!$H$42:$H$1040,"RUSH")/$C1209)</f>
        <v>0.5</v>
      </c>
      <c r="H1209" s="10">
        <f>IF($C1209=0,"",COUNTIFS('DEF_SELF_SCOUT_IMPORT'!$L$42:$L$1040,"Y",'DEF_SELF_SCOUT_IMPORT'!$E$42:$E$1040,SUBSTITUTE(SUBSTITUTE(SUBSTITUTE($B1209,"~","~~"),"*","~*"),"?","~?"),'DEF_SELF_SCOUT_IMPORT'!$H$42:$H$1040,"DROPBACK")/$C1209)</f>
        <v>0.3333333333333333</v>
      </c>
      <c r="I1209" s="14" t="str">
        <f>IF(C1209=0,"",IF(C1209&lt;=2,"TRACK",IF(C1209=3,"LOW",IF(C1209&lt;=6,"MEDIUM","HIGH"))))</f>
        <v>MEDIUM</v>
      </c>
      <c r="J1209" s="11">
        <f>IF(C1209=0,"",ROUND(D1209*70+(1-E1209)*20+MAX(0,MIN(1,(10-F1209)/10))*10,1))</f>
        <v>36.7</v>
      </c>
      <c r="K1209" s="14" t="str">
        <f>IF(C1209=0,"No Evidence",IF(C1209&lt;=2,IF(E1209&gt;0,"Explosive Alert","Track Only"),IF(C1209=3,"Sample Watch",IF(E1209&gt;=START_HERE!$B$31,"Explosive Alert",IF(J1209&gt;=80,"Strong Candidate",IF(J1209&gt;=65,"Good Candidate",IF(J1209&gt;=50,"Mixed / Review","Problem Call")))))))</f>
        <v>Explosive Alert</v>
      </c>
      <c r="L1209" s="9" t="str">
        <f>IF(COUNTIFS('DEF_SELF_SCOUT_IMPORT'!$L$42:$L$1040,"Y",'DEF_SELF_SCOUT_IMPORT'!$E$42:$E$1040,SUBSTITUTE(SUBSTITUTE(SUBSTITUTE($B1209,"~","~~"),"*","~*"),"?","~?"),'DEF_SELF_SCOUT_IMPORT'!$J$42:$J$1040,"")&gt;0,"Unscored clean outcome; review result tags before using score.",IF(C1209=0,"No matching defensive reps; film confirmation needed.",IF(K1209="Explosive Alert","Explosive risk; review clips before using as answer.",IF(C1209&lt;=2,"Track only; not enough sample.",IF(C1209=3,IF(E1209&gt;0,"Sample watch with explosive exposure; review clips and build the sample.",IF(J1209&gt;=65,"Good signal, but sample is limited.","Sample watch; review clips and build the sample.")),IF(K1209="Problem Call","Problem area; practice or call-sheet review.",IF(K1209="Strong Candidate","Strong call-fit candidate; confirm on film.",IF(K1209="Good Candidate","Good call-fit signal; confirm on film.","Mixed signal; review fit and execution on film."))))))))</f>
        <v>Explosive risk; review clips before using as answer.</v>
      </c>
      <c r="M1209" s="8"/>
      <c r="N1209" s="8"/>
      <c r="O1209" s="8"/>
      <c r="P1209" s="8"/>
      <c r="Q1209" s="8"/>
      <c r="R1209" s="8" t="s">
        <v>45</v>
      </c>
      <c r="S1209" s="2" t="s">
        <v>631</v>
      </c>
      <c r="T1209" s="2">
        <f>IF(C1209=0,0,IF(C1209&gt;=CALL_LOOKUP_BOARD!$B$7,IF(OR(K1209="Problem Call",K1209="Explosive Alert"),10000000,20000000),0)+IF(C1209&gt;=CALL_LOOKUP_BOARD!$B$7,J1209*1000+MIN(C1209,999),C1209*1000+J1209)+0.00998700)</f>
        <v>10036706.009987</v>
      </c>
      <c r="U1209" s="2">
        <f>IF(C1209=0,"",IF(COUNTIFS($S$1197:$S$1256,SUBSTITUTE(SUBSTITUTE(SUBSTITUTE(S1209,"~","~~"),"*","~*"),"?","~?"),$T$1197:$T$1256,"&gt;"&amp;T1209)=0,S1209,""))</f>
        <v/>
      </c>
    </row>
    <row r="1210" spans="1:21" ht="38" customHeight="1">
      <c r="A1210" s="8" t="s">
        <v>630</v>
      </c>
      <c r="B1210" s="8" t="s">
        <v>49</v>
      </c>
      <c r="C1210" s="12">
        <f>COUNTIFS('DEF_SELF_SCOUT_IMPORT'!$L$42:$L$1040,"Y",'DEF_SELF_SCOUT_IMPORT'!$E$42:$E$1040,SUBSTITUTE(SUBSTITUTE(SUBSTITUTE($B1210,"~","~~"),"*","~*"),"?","~?"))</f>
        <v>2</v>
      </c>
      <c r="D1210" s="10">
        <f>IF($C1210=0,"",SUMIFS('DEF_SELF_SCOUT_IMPORT'!$J$42:$J$1040,'DEF_SELF_SCOUT_IMPORT'!$L$42:$L$1040,"Y",'DEF_SELF_SCOUT_IMPORT'!$E$42:$E$1040,SUBSTITUTE(SUBSTITUTE(SUBSTITUTE($B1210,"~","~~"),"*","~*"),"?","~?"))/$C1210)</f>
        <v>1.0</v>
      </c>
      <c r="E1210" s="10">
        <f>IF($C1210=0,"",SUMIFS('DEF_SELF_SCOUT_IMPORT'!$K$42:$K$1040,'DEF_SELF_SCOUT_IMPORT'!$L$42:$L$1040,"Y",'DEF_SELF_SCOUT_IMPORT'!$E$42:$E$1040,SUBSTITUTE(SUBSTITUTE(SUBSTITUTE($B1210,"~","~~"),"*","~*"),"?","~?"))/$C1210)</f>
        <v>0.0</v>
      </c>
      <c r="F1210" s="11">
        <f>IF($C1210=0,"",AVERAGEIFS('DEF_SELF_SCOUT_IMPORT'!$I$42:$I$1040,'DEF_SELF_SCOUT_IMPORT'!$L$42:$L$1040,"Y",'DEF_SELF_SCOUT_IMPORT'!$E$42:$E$1040,SUBSTITUTE(SUBSTITUTE(SUBSTITUTE($B1210,"~","~~"),"*","~*"),"?","~?")))</f>
        <v>0.0</v>
      </c>
      <c r="G1210" s="10">
        <f>IF($C1210=0,"",COUNTIFS('DEF_SELF_SCOUT_IMPORT'!$L$42:$L$1040,"Y",'DEF_SELF_SCOUT_IMPORT'!$E$42:$E$1040,SUBSTITUTE(SUBSTITUTE(SUBSTITUTE($B1210,"~","~~"),"*","~*"),"?","~?"),'DEF_SELF_SCOUT_IMPORT'!$H$42:$H$1040,"RUSH")/$C1210)</f>
        <v>0.0</v>
      </c>
      <c r="H1210" s="10">
        <f>IF($C1210=0,"",COUNTIFS('DEF_SELF_SCOUT_IMPORT'!$L$42:$L$1040,"Y",'DEF_SELF_SCOUT_IMPORT'!$E$42:$E$1040,SUBSTITUTE(SUBSTITUTE(SUBSTITUTE($B1210,"~","~~"),"*","~*"),"?","~?"),'DEF_SELF_SCOUT_IMPORT'!$H$42:$H$1040,"DROPBACK")/$C1210)</f>
        <v>1.0</v>
      </c>
      <c r="I1210" s="14" t="str">
        <f>IF(C1210=0,"",IF(C1210&lt;=2,"TRACK",IF(C1210=3,"LOW",IF(C1210&lt;=6,"MEDIUM","HIGH"))))</f>
        <v>TRACK</v>
      </c>
      <c r="J1210" s="11">
        <f>IF(C1210=0,"",ROUND(D1210*70+(1-E1210)*20+MAX(0,MIN(1,(10-F1210)/10))*10,1))</f>
        <v>100.0</v>
      </c>
      <c r="K1210" s="14" t="str">
        <f>IF(C1210=0,"No Evidence",IF(C1210&lt;=2,IF(E1210&gt;0,"Explosive Alert","Track Only"),IF(C1210=3,"Sample Watch",IF(E1210&gt;=START_HERE!$B$31,"Explosive Alert",IF(J1210&gt;=80,"Strong Candidate",IF(J1210&gt;=65,"Good Candidate",IF(J1210&gt;=50,"Mixed / Review","Problem Call")))))))</f>
        <v>Track Only</v>
      </c>
      <c r="L1210" s="9" t="str">
        <f>IF(COUNTIFS('DEF_SELF_SCOUT_IMPORT'!$L$42:$L$1040,"Y",'DEF_SELF_SCOUT_IMPORT'!$E$42:$E$1040,SUBSTITUTE(SUBSTITUTE(SUBSTITUTE($B1210,"~","~~"),"*","~*"),"?","~?"),'DEF_SELF_SCOUT_IMPORT'!$J$42:$J$1040,"")&gt;0,"Unscored clean outcome; review result tags before using score.",IF(C1210=0,"No matching defensive reps; film confirmation needed.",IF(K1210="Explosive Alert","Explosive risk; review clips before using as answer.",IF(C1210&lt;=2,"Track only; not enough sample.",IF(C1210=3,IF(E1210&gt;0,"Sample watch with explosive exposure; review clips and build the sample.",IF(J1210&gt;=65,"Good signal, but sample is limited.","Sample watch; review clips and build the sample.")),IF(K1210="Problem Call","Problem area; practice or call-sheet review.",IF(K1210="Strong Candidate","Strong call-fit candidate; confirm on film.",IF(K1210="Good Candidate","Good call-fit signal; confirm on film.","Mixed signal; review fit and execution on film."))))))))</f>
        <v>Track only; not enough sample.</v>
      </c>
      <c r="M1210" s="8"/>
      <c r="N1210" s="8"/>
      <c r="O1210" s="8"/>
      <c r="P1210" s="8"/>
      <c r="Q1210" s="8"/>
      <c r="R1210" s="8" t="s">
        <v>28</v>
      </c>
      <c r="S1210" s="2" t="s">
        <v>631</v>
      </c>
      <c r="T1210" s="2">
        <f>IF(C1210=0,0,IF(C1210&gt;=CALL_LOOKUP_BOARD!$B$7,IF(OR(K1210="Problem Call",K1210="Explosive Alert"),10000000,20000000),0)+IF(C1210&gt;=CALL_LOOKUP_BOARD!$B$7,J1210*1000+MIN(C1210,999),C1210*1000+J1210)+0.00998600)</f>
        <v>2100.009986</v>
      </c>
      <c r="U1210" s="2">
        <f>IF(C1210=0,"",IF(COUNTIFS($S$1197:$S$1256,SUBSTITUTE(SUBSTITUTE(SUBSTITUTE(S1210,"~","~~"),"*","~*"),"?","~?"),$T$1197:$T$1256,"&gt;"&amp;T1210)=0,S1210,""))</f>
        <v/>
      </c>
    </row>
    <row r="1211" spans="1:21" ht="38" customHeight="1">
      <c r="A1211" s="8" t="s">
        <v>630</v>
      </c>
      <c r="B1211" s="8" t="s">
        <v>97</v>
      </c>
      <c r="C1211" s="12">
        <f>COUNTIFS('DEF_SELF_SCOUT_IMPORT'!$L$42:$L$1040,"Y",'DEF_SELF_SCOUT_IMPORT'!$E$42:$E$1040,SUBSTITUTE(SUBSTITUTE(SUBSTITUTE($B1211,"~","~~"),"*","~*"),"?","~?"))</f>
        <v>2</v>
      </c>
      <c r="D1211" s="10">
        <f>IF($C1211=0,"",SUMIFS('DEF_SELF_SCOUT_IMPORT'!$J$42:$J$1040,'DEF_SELF_SCOUT_IMPORT'!$L$42:$L$1040,"Y",'DEF_SELF_SCOUT_IMPORT'!$E$42:$E$1040,SUBSTITUTE(SUBSTITUTE(SUBSTITUTE($B1211,"~","~~"),"*","~*"),"?","~?"))/$C1211)</f>
        <v>0.5</v>
      </c>
      <c r="E1211" s="10">
        <f>IF($C1211=0,"",SUMIFS('DEF_SELF_SCOUT_IMPORT'!$K$42:$K$1040,'DEF_SELF_SCOUT_IMPORT'!$L$42:$L$1040,"Y",'DEF_SELF_SCOUT_IMPORT'!$E$42:$E$1040,SUBSTITUTE(SUBSTITUTE(SUBSTITUTE($B1211,"~","~~"),"*","~*"),"?","~?"))/$C1211)</f>
        <v>0.5</v>
      </c>
      <c r="F1211" s="11">
        <f>IF($C1211=0,"",AVERAGEIFS('DEF_SELF_SCOUT_IMPORT'!$I$42:$I$1040,'DEF_SELF_SCOUT_IMPORT'!$L$42:$L$1040,"Y",'DEF_SELF_SCOUT_IMPORT'!$E$42:$E$1040,SUBSTITUTE(SUBSTITUTE(SUBSTITUTE($B1211,"~","~~"),"*","~*"),"?","~?")))</f>
        <v>15.0</v>
      </c>
      <c r="G1211" s="10">
        <f>IF($C1211=0,"",COUNTIFS('DEF_SELF_SCOUT_IMPORT'!$L$42:$L$1040,"Y",'DEF_SELF_SCOUT_IMPORT'!$E$42:$E$1040,SUBSTITUTE(SUBSTITUTE(SUBSTITUTE($B1211,"~","~~"),"*","~*"),"?","~?"),'DEF_SELF_SCOUT_IMPORT'!$H$42:$H$1040,"RUSH")/$C1211)</f>
        <v>0.0</v>
      </c>
      <c r="H1211" s="10">
        <f>IF($C1211=0,"",COUNTIFS('DEF_SELF_SCOUT_IMPORT'!$L$42:$L$1040,"Y",'DEF_SELF_SCOUT_IMPORT'!$E$42:$E$1040,SUBSTITUTE(SUBSTITUTE(SUBSTITUTE($B1211,"~","~~"),"*","~*"),"?","~?"),'DEF_SELF_SCOUT_IMPORT'!$H$42:$H$1040,"DROPBACK")/$C1211)</f>
        <v>1.0</v>
      </c>
      <c r="I1211" s="14" t="str">
        <f>IF(C1211=0,"",IF(C1211&lt;=2,"TRACK",IF(C1211=3,"LOW",IF(C1211&lt;=6,"MEDIUM","HIGH"))))</f>
        <v>TRACK</v>
      </c>
      <c r="J1211" s="11">
        <f>IF(C1211=0,"",ROUND(D1211*70+(1-E1211)*20+MAX(0,MIN(1,(10-F1211)/10))*10,1))</f>
        <v>45.0</v>
      </c>
      <c r="K1211" s="14" t="str">
        <f>IF(C1211=0,"No Evidence",IF(C1211&lt;=2,IF(E1211&gt;0,"Explosive Alert","Track Only"),IF(C1211=3,"Sample Watch",IF(E1211&gt;=START_HERE!$B$31,"Explosive Alert",IF(J1211&gt;=80,"Strong Candidate",IF(J1211&gt;=65,"Good Candidate",IF(J1211&gt;=50,"Mixed / Review","Problem Call")))))))</f>
        <v>Explosive Alert</v>
      </c>
      <c r="L1211" s="9" t="str">
        <f>IF(COUNTIFS('DEF_SELF_SCOUT_IMPORT'!$L$42:$L$1040,"Y",'DEF_SELF_SCOUT_IMPORT'!$E$42:$E$1040,SUBSTITUTE(SUBSTITUTE(SUBSTITUTE($B1211,"~","~~"),"*","~*"),"?","~?"),'DEF_SELF_SCOUT_IMPORT'!$J$42:$J$1040,"")&gt;0,"Unscored clean outcome; review result tags before using score.",IF(C1211=0,"No matching defensive reps; film confirmation needed.",IF(K1211="Explosive Alert","Explosive risk; review clips before using as answer.",IF(C1211&lt;=2,"Track only; not enough sample.",IF(C1211=3,IF(E1211&gt;0,"Sample watch with explosive exposure; review clips and build the sample.",IF(J1211&gt;=65,"Good signal, but sample is limited.","Sample watch; review clips and build the sample.")),IF(K1211="Problem Call","Problem area; practice or call-sheet review.",IF(K1211="Strong Candidate","Strong call-fit candidate; confirm on film.",IF(K1211="Good Candidate","Good call-fit signal; confirm on film.","Mixed signal; review fit and execution on film."))))))))</f>
        <v>Explosive risk; review clips before using as answer.</v>
      </c>
      <c r="M1211" s="8"/>
      <c r="N1211" s="8"/>
      <c r="O1211" s="8"/>
      <c r="P1211" s="8"/>
      <c r="Q1211" s="8"/>
      <c r="R1211" s="8" t="s">
        <v>28</v>
      </c>
      <c r="S1211" s="2" t="s">
        <v>631</v>
      </c>
      <c r="T1211" s="2">
        <f>IF(C1211=0,0,IF(C1211&gt;=CALL_LOOKUP_BOARD!$B$7,IF(OR(K1211="Problem Call",K1211="Explosive Alert"),10000000,20000000),0)+IF(C1211&gt;=CALL_LOOKUP_BOARD!$B$7,J1211*1000+MIN(C1211,999),C1211*1000+J1211)+0.00998500)</f>
        <v>2045.009985</v>
      </c>
      <c r="U1211" s="2">
        <f>IF(C1211=0,"",IF(COUNTIFS($S$1197:$S$1256,SUBSTITUTE(SUBSTITUTE(SUBSTITUTE(S1211,"~","~~"),"*","~*"),"?","~?"),$T$1197:$T$1256,"&gt;"&amp;T1211)=0,S1211,""))</f>
        <v/>
      </c>
    </row>
    <row r="1212" spans="1:21" ht="38" customHeight="1">
      <c r="A1212" s="8" t="s">
        <v>630</v>
      </c>
      <c r="B1212" s="8" t="s">
        <v>87</v>
      </c>
      <c r="C1212" s="12">
        <f>COUNTIFS('DEF_SELF_SCOUT_IMPORT'!$L$42:$L$1040,"Y",'DEF_SELF_SCOUT_IMPORT'!$E$42:$E$1040,SUBSTITUTE(SUBSTITUTE(SUBSTITUTE($B1212,"~","~~"),"*","~*"),"?","~?"))</f>
        <v>1</v>
      </c>
      <c r="D1212" s="10">
        <f>IF($C1212=0,"",SUMIFS('DEF_SELF_SCOUT_IMPORT'!$J$42:$J$1040,'DEF_SELF_SCOUT_IMPORT'!$L$42:$L$1040,"Y",'DEF_SELF_SCOUT_IMPORT'!$E$42:$E$1040,SUBSTITUTE(SUBSTITUTE(SUBSTITUTE($B1212,"~","~~"),"*","~*"),"?","~?"))/$C1212)</f>
        <v>0.0</v>
      </c>
      <c r="E1212" s="10">
        <f>IF($C1212=0,"",SUMIFS('DEF_SELF_SCOUT_IMPORT'!$K$42:$K$1040,'DEF_SELF_SCOUT_IMPORT'!$L$42:$L$1040,"Y",'DEF_SELF_SCOUT_IMPORT'!$E$42:$E$1040,SUBSTITUTE(SUBSTITUTE(SUBSTITUTE($B1212,"~","~~"),"*","~*"),"?","~?"))/$C1212)</f>
        <v>0.0</v>
      </c>
      <c r="F1212" s="11">
        <f>IF($C1212=0,"",AVERAGEIFS('DEF_SELF_SCOUT_IMPORT'!$I$42:$I$1040,'DEF_SELF_SCOUT_IMPORT'!$L$42:$L$1040,"Y",'DEF_SELF_SCOUT_IMPORT'!$E$42:$E$1040,SUBSTITUTE(SUBSTITUTE(SUBSTITUTE($B1212,"~","~~"),"*","~*"),"?","~?")))</f>
        <v>5.0</v>
      </c>
      <c r="G1212" s="10">
        <f>IF($C1212=0,"",COUNTIFS('DEF_SELF_SCOUT_IMPORT'!$L$42:$L$1040,"Y",'DEF_SELF_SCOUT_IMPORT'!$E$42:$E$1040,SUBSTITUTE(SUBSTITUTE(SUBSTITUTE($B1212,"~","~~"),"*","~*"),"?","~?"),'DEF_SELF_SCOUT_IMPORT'!$H$42:$H$1040,"RUSH")/$C1212)</f>
        <v>1.0</v>
      </c>
      <c r="H1212" s="10">
        <f>IF($C1212=0,"",COUNTIFS('DEF_SELF_SCOUT_IMPORT'!$L$42:$L$1040,"Y",'DEF_SELF_SCOUT_IMPORT'!$E$42:$E$1040,SUBSTITUTE(SUBSTITUTE(SUBSTITUTE($B1212,"~","~~"),"*","~*"),"?","~?"),'DEF_SELF_SCOUT_IMPORT'!$H$42:$H$1040,"DROPBACK")/$C1212)</f>
        <v>0.0</v>
      </c>
      <c r="I1212" s="14" t="str">
        <f>IF(C1212=0,"",IF(C1212&lt;=2,"TRACK",IF(C1212=3,"LOW",IF(C1212&lt;=6,"MEDIUM","HIGH"))))</f>
        <v>TRACK</v>
      </c>
      <c r="J1212" s="11">
        <f>IF(C1212=0,"",ROUND(D1212*70+(1-E1212)*20+MAX(0,MIN(1,(10-F1212)/10))*10,1))</f>
        <v>25.0</v>
      </c>
      <c r="K1212" s="14" t="str">
        <f>IF(C1212=0,"No Evidence",IF(C1212&lt;=2,IF(E1212&gt;0,"Explosive Alert","Track Only"),IF(C1212=3,"Sample Watch",IF(E1212&gt;=START_HERE!$B$31,"Explosive Alert",IF(J1212&gt;=80,"Strong Candidate",IF(J1212&gt;=65,"Good Candidate",IF(J1212&gt;=50,"Mixed / Review","Problem Call")))))))</f>
        <v>Track Only</v>
      </c>
      <c r="L1212" s="9" t="str">
        <f>IF(COUNTIFS('DEF_SELF_SCOUT_IMPORT'!$L$42:$L$1040,"Y",'DEF_SELF_SCOUT_IMPORT'!$E$42:$E$1040,SUBSTITUTE(SUBSTITUTE(SUBSTITUTE($B1212,"~","~~"),"*","~*"),"?","~?"),'DEF_SELF_SCOUT_IMPORT'!$J$42:$J$1040,"")&gt;0,"Unscored clean outcome; review result tags before using score.",IF(C1212=0,"No matching defensive reps; film confirmation needed.",IF(K1212="Explosive Alert","Explosive risk; review clips before using as answer.",IF(C1212&lt;=2,"Track only; not enough sample.",IF(C1212=3,IF(E1212&gt;0,"Sample watch with explosive exposure; review clips and build the sample.",IF(J1212&gt;=65,"Good signal, but sample is limited.","Sample watch; review clips and build the sample.")),IF(K1212="Problem Call","Problem area; practice or call-sheet review.",IF(K1212="Strong Candidate","Strong call-fit candidate; confirm on film.",IF(K1212="Good Candidate","Good call-fit signal; confirm on film.","Mixed signal; review fit and execution on film."))))))))</f>
        <v>Track only; not enough sample.</v>
      </c>
      <c r="M1212" s="8"/>
      <c r="N1212" s="8"/>
      <c r="O1212" s="8"/>
      <c r="P1212" s="8"/>
      <c r="Q1212" s="8"/>
      <c r="R1212" s="8" t="s">
        <v>28</v>
      </c>
      <c r="S1212" s="2" t="s">
        <v>631</v>
      </c>
      <c r="T1212" s="2">
        <f>IF(C1212=0,0,IF(C1212&gt;=CALL_LOOKUP_BOARD!$B$7,IF(OR(K1212="Problem Call",K1212="Explosive Alert"),10000000,20000000),0)+IF(C1212&gt;=CALL_LOOKUP_BOARD!$B$7,J1212*1000+MIN(C1212,999),C1212*1000+J1212)+0.00998400)</f>
        <v>1025.009984</v>
      </c>
      <c r="U1212" s="2">
        <f>IF(C1212=0,"",IF(COUNTIFS($S$1197:$S$1256,SUBSTITUTE(SUBSTITUTE(SUBSTITUTE(S1212,"~","~~"),"*","~*"),"?","~?"),$T$1197:$T$1256,"&gt;"&amp;T1212)=0,S1212,""))</f>
        <v/>
      </c>
    </row>
    <row r="1213" spans="1:21" ht="38" customHeight="1">
      <c r="A1213" s="8" t="s">
        <v>630</v>
      </c>
      <c r="B1213" s="8" t="s">
        <v>30</v>
      </c>
      <c r="C1213" s="12">
        <f>COUNTIFS('DEF_SELF_SCOUT_IMPORT'!$L$42:$L$1040,"Y",'DEF_SELF_SCOUT_IMPORT'!$E$42:$E$1040,SUBSTITUTE(SUBSTITUTE(SUBSTITUTE($B1213,"~","~~"),"*","~*"),"?","~?"))</f>
        <v>4</v>
      </c>
      <c r="D1213" s="10">
        <f>IF($C1213=0,"",SUMIFS('DEF_SELF_SCOUT_IMPORT'!$J$42:$J$1040,'DEF_SELF_SCOUT_IMPORT'!$L$42:$L$1040,"Y",'DEF_SELF_SCOUT_IMPORT'!$E$42:$E$1040,SUBSTITUTE(SUBSTITUTE(SUBSTITUTE($B1213,"~","~~"),"*","~*"),"?","~?"))/$C1213)</f>
        <v>0.75</v>
      </c>
      <c r="E1213" s="10">
        <f>IF($C1213=0,"",SUMIFS('DEF_SELF_SCOUT_IMPORT'!$K$42:$K$1040,'DEF_SELF_SCOUT_IMPORT'!$L$42:$L$1040,"Y",'DEF_SELF_SCOUT_IMPORT'!$E$42:$E$1040,SUBSTITUTE(SUBSTITUTE(SUBSTITUTE($B1213,"~","~~"),"*","~*"),"?","~?"))/$C1213)</f>
        <v>0.0</v>
      </c>
      <c r="F1213" s="11">
        <f>IF($C1213=0,"",AVERAGEIFS('DEF_SELF_SCOUT_IMPORT'!$I$42:$I$1040,'DEF_SELF_SCOUT_IMPORT'!$L$42:$L$1040,"Y",'DEF_SELF_SCOUT_IMPORT'!$E$42:$E$1040,SUBSTITUTE(SUBSTITUTE(SUBSTITUTE($B1213,"~","~~"),"*","~*"),"?","~?")))</f>
        <v>1.5</v>
      </c>
      <c r="G1213" s="10">
        <f>IF($C1213=0,"",COUNTIFS('DEF_SELF_SCOUT_IMPORT'!$L$42:$L$1040,"Y",'DEF_SELF_SCOUT_IMPORT'!$E$42:$E$1040,SUBSTITUTE(SUBSTITUTE(SUBSTITUTE($B1213,"~","~~"),"*","~*"),"?","~?"),'DEF_SELF_SCOUT_IMPORT'!$H$42:$H$1040,"RUSH")/$C1213)</f>
        <v>0.75</v>
      </c>
      <c r="H1213" s="10">
        <f>IF($C1213=0,"",COUNTIFS('DEF_SELF_SCOUT_IMPORT'!$L$42:$L$1040,"Y",'DEF_SELF_SCOUT_IMPORT'!$E$42:$E$1040,SUBSTITUTE(SUBSTITUTE(SUBSTITUTE($B1213,"~","~~"),"*","~*"),"?","~?"),'DEF_SELF_SCOUT_IMPORT'!$H$42:$H$1040,"DROPBACK")/$C1213)</f>
        <v>0.0</v>
      </c>
      <c r="I1213" s="14" t="str">
        <f>IF(C1213=0,"",IF(C1213&lt;=2,"TRACK",IF(C1213=3,"LOW",IF(C1213&lt;=6,"MEDIUM","HIGH"))))</f>
        <v>MEDIUM</v>
      </c>
      <c r="J1213" s="11">
        <f>IF(C1213=0,"",ROUND(D1213*70+(1-E1213)*20+MAX(0,MIN(1,(10-F1213)/10))*10,1))</f>
        <v>81.0</v>
      </c>
      <c r="K1213" s="14" t="str">
        <f>IF(C1213=0,"No Evidence",IF(C1213&lt;=2,IF(E1213&gt;0,"Explosive Alert","Track Only"),IF(C1213=3,"Sample Watch",IF(E1213&gt;=START_HERE!$B$31,"Explosive Alert",IF(J1213&gt;=80,"Strong Candidate",IF(J1213&gt;=65,"Good Candidate",IF(J1213&gt;=50,"Mixed / Review","Problem Call")))))))</f>
        <v>Strong Candidate</v>
      </c>
      <c r="L1213" s="9" t="str">
        <f>IF(COUNTIFS('DEF_SELF_SCOUT_IMPORT'!$L$42:$L$1040,"Y",'DEF_SELF_SCOUT_IMPORT'!$E$42:$E$1040,SUBSTITUTE(SUBSTITUTE(SUBSTITUTE($B1213,"~","~~"),"*","~*"),"?","~?"),'DEF_SELF_SCOUT_IMPORT'!$J$42:$J$1040,"")&gt;0,"Unscored clean outcome; review result tags before using score.",IF(C1213=0,"No matching defensive reps; film confirmation needed.",IF(K1213="Explosive Alert","Explosive risk; review clips before using as answer.",IF(C1213&lt;=2,"Track only; not enough sample.",IF(C1213=3,IF(E1213&gt;0,"Sample watch with explosive exposure; review clips and build the sample.",IF(J1213&gt;=65,"Good signal, but sample is limited.","Sample watch; review clips and build the sample.")),IF(K1213="Problem Call","Problem area; practice or call-sheet review.",IF(K1213="Strong Candidate","Strong call-fit candidate; confirm on film.",IF(K1213="Good Candidate","Good call-fit signal; confirm on film.","Mixed signal; review fit and execution on film."))))))))</f>
        <v>Strong call-fit candidate; confirm on film.</v>
      </c>
      <c r="M1213" s="8"/>
      <c r="N1213" s="8"/>
      <c r="O1213" s="8"/>
      <c r="P1213" s="8"/>
      <c r="Q1213" s="8"/>
      <c r="R1213" s="8" t="s">
        <v>45</v>
      </c>
      <c r="S1213" s="2" t="s">
        <v>631</v>
      </c>
      <c r="T1213" s="2">
        <f>IF(C1213=0,0,IF(C1213&gt;=CALL_LOOKUP_BOARD!$B$7,IF(OR(K1213="Problem Call",K1213="Explosive Alert"),10000000,20000000),0)+IF(C1213&gt;=CALL_LOOKUP_BOARD!$B$7,J1213*1000+MIN(C1213,999),C1213*1000+J1213)+0.00998300)</f>
        <v>20081004.009983</v>
      </c>
      <c r="U1213" s="2">
        <f>IF(C1213=0,"",IF(COUNTIFS($S$1197:$S$1256,SUBSTITUTE(SUBSTITUTE(SUBSTITUTE(S1213,"~","~~"),"*","~*"),"?","~?"),$T$1197:$T$1256,"&gt;"&amp;T1213)=0,S1213,""))</f>
        <v/>
      </c>
    </row>
    <row r="1214" spans="1:21" ht="38" customHeight="1">
      <c r="A1214" s="8" t="s">
        <v>630</v>
      </c>
      <c r="B1214" s="8" t="s">
        <v>79</v>
      </c>
      <c r="C1214" s="12">
        <f>COUNTIFS('DEF_SELF_SCOUT_IMPORT'!$L$42:$L$1040,"Y",'DEF_SELF_SCOUT_IMPORT'!$E$42:$E$1040,SUBSTITUTE(SUBSTITUTE(SUBSTITUTE($B1214,"~","~~"),"*","~*"),"?","~?"))</f>
        <v>5</v>
      </c>
      <c r="D1214" s="10">
        <f>IF($C1214=0,"",SUMIFS('DEF_SELF_SCOUT_IMPORT'!$J$42:$J$1040,'DEF_SELF_SCOUT_IMPORT'!$L$42:$L$1040,"Y",'DEF_SELF_SCOUT_IMPORT'!$E$42:$E$1040,SUBSTITUTE(SUBSTITUTE(SUBSTITUTE($B1214,"~","~~"),"*","~*"),"?","~?"))/$C1214)</f>
        <v>0.6</v>
      </c>
      <c r="E1214" s="10">
        <f>IF($C1214=0,"",SUMIFS('DEF_SELF_SCOUT_IMPORT'!$K$42:$K$1040,'DEF_SELF_SCOUT_IMPORT'!$L$42:$L$1040,"Y",'DEF_SELF_SCOUT_IMPORT'!$E$42:$E$1040,SUBSTITUTE(SUBSTITUTE(SUBSTITUTE($B1214,"~","~~"),"*","~*"),"?","~?"))/$C1214)</f>
        <v>0.2</v>
      </c>
      <c r="F1214" s="11">
        <f>IF($C1214=0,"",AVERAGEIFS('DEF_SELF_SCOUT_IMPORT'!$I$42:$I$1040,'DEF_SELF_SCOUT_IMPORT'!$L$42:$L$1040,"Y",'DEF_SELF_SCOUT_IMPORT'!$E$42:$E$1040,SUBSTITUTE(SUBSTITUTE(SUBSTITUTE($B1214,"~","~~"),"*","~*"),"?","~?")))</f>
        <v>5.0</v>
      </c>
      <c r="G1214" s="10">
        <f>IF($C1214=0,"",COUNTIFS('DEF_SELF_SCOUT_IMPORT'!$L$42:$L$1040,"Y",'DEF_SELF_SCOUT_IMPORT'!$E$42:$E$1040,SUBSTITUTE(SUBSTITUTE(SUBSTITUTE($B1214,"~","~~"),"*","~*"),"?","~?"),'DEF_SELF_SCOUT_IMPORT'!$H$42:$H$1040,"RUSH")/$C1214)</f>
        <v>0.2</v>
      </c>
      <c r="H1214" s="10">
        <f>IF($C1214=0,"",COUNTIFS('DEF_SELF_SCOUT_IMPORT'!$L$42:$L$1040,"Y",'DEF_SELF_SCOUT_IMPORT'!$E$42:$E$1040,SUBSTITUTE(SUBSTITUTE(SUBSTITUTE($B1214,"~","~~"),"*","~*"),"?","~?"),'DEF_SELF_SCOUT_IMPORT'!$H$42:$H$1040,"DROPBACK")/$C1214)</f>
        <v>0.8</v>
      </c>
      <c r="I1214" s="14" t="str">
        <f>IF(C1214=0,"",IF(C1214&lt;=2,"TRACK",IF(C1214=3,"LOW",IF(C1214&lt;=6,"MEDIUM","HIGH"))))</f>
        <v>MEDIUM</v>
      </c>
      <c r="J1214" s="11">
        <f>IF(C1214=0,"",ROUND(D1214*70+(1-E1214)*20+MAX(0,MIN(1,(10-F1214)/10))*10,1))</f>
        <v>63.0</v>
      </c>
      <c r="K1214" s="14" t="str">
        <f>IF(C1214=0,"No Evidence",IF(C1214&lt;=2,IF(E1214&gt;0,"Explosive Alert","Track Only"),IF(C1214=3,"Sample Watch",IF(E1214&gt;=START_HERE!$B$31,"Explosive Alert",IF(J1214&gt;=80,"Strong Candidate",IF(J1214&gt;=65,"Good Candidate",IF(J1214&gt;=50,"Mixed / Review","Problem Call")))))))</f>
        <v>Explosive Alert</v>
      </c>
      <c r="L1214" s="9" t="str">
        <f>IF(COUNTIFS('DEF_SELF_SCOUT_IMPORT'!$L$42:$L$1040,"Y",'DEF_SELF_SCOUT_IMPORT'!$E$42:$E$1040,SUBSTITUTE(SUBSTITUTE(SUBSTITUTE($B1214,"~","~~"),"*","~*"),"?","~?"),'DEF_SELF_SCOUT_IMPORT'!$J$42:$J$1040,"")&gt;0,"Unscored clean outcome; review result tags before using score.",IF(C1214=0,"No matching defensive reps; film confirmation needed.",IF(K1214="Explosive Alert","Explosive risk; review clips before using as answer.",IF(C1214&lt;=2,"Track only; not enough sample.",IF(C1214=3,IF(E1214&gt;0,"Sample watch with explosive exposure; review clips and build the sample.",IF(J1214&gt;=65,"Good signal, but sample is limited.","Sample watch; review clips and build the sample.")),IF(K1214="Problem Call","Problem area; practice or call-sheet review.",IF(K1214="Strong Candidate","Strong call-fit candidate; confirm on film.",IF(K1214="Good Candidate","Good call-fit signal; confirm on film.","Mixed signal; review fit and execution on film."))))))))</f>
        <v>Explosive risk; review clips before using as answer.</v>
      </c>
      <c r="M1214" s="8"/>
      <c r="N1214" s="8"/>
      <c r="O1214" s="8"/>
      <c r="P1214" s="8"/>
      <c r="Q1214" s="8"/>
      <c r="R1214" s="8" t="s">
        <v>45</v>
      </c>
      <c r="S1214" s="2" t="s">
        <v>631</v>
      </c>
      <c r="T1214" s="2">
        <f>IF(C1214=0,0,IF(C1214&gt;=CALL_LOOKUP_BOARD!$B$7,IF(OR(K1214="Problem Call",K1214="Explosive Alert"),10000000,20000000),0)+IF(C1214&gt;=CALL_LOOKUP_BOARD!$B$7,J1214*1000+MIN(C1214,999),C1214*1000+J1214)+0.00998200)</f>
        <v>10063005.009982</v>
      </c>
      <c r="U1214" s="2">
        <f>IF(C1214=0,"",IF(COUNTIFS($S$1197:$S$1256,SUBSTITUTE(SUBSTITUTE(SUBSTITUTE(S1214,"~","~~"),"*","~*"),"?","~?"),$T$1197:$T$1256,"&gt;"&amp;T1214)=0,S1214,""))</f>
        <v/>
      </c>
    </row>
    <row r="1215" spans="1:21" ht="38" customHeight="1">
      <c r="A1215" s="8" t="s">
        <v>630</v>
      </c>
      <c r="B1215" s="8" t="s">
        <v>80</v>
      </c>
      <c r="C1215" s="12">
        <f>COUNTIFS('DEF_SELF_SCOUT_IMPORT'!$L$42:$L$1040,"Y",'DEF_SELF_SCOUT_IMPORT'!$E$42:$E$1040,SUBSTITUTE(SUBSTITUTE(SUBSTITUTE($B1215,"~","~~"),"*","~*"),"?","~?"))</f>
        <v>3</v>
      </c>
      <c r="D1215" s="10">
        <f>IF($C1215=0,"",SUMIFS('DEF_SELF_SCOUT_IMPORT'!$J$42:$J$1040,'DEF_SELF_SCOUT_IMPORT'!$L$42:$L$1040,"Y",'DEF_SELF_SCOUT_IMPORT'!$E$42:$E$1040,SUBSTITUTE(SUBSTITUTE(SUBSTITUTE($B1215,"~","~~"),"*","~*"),"?","~?"))/$C1215)</f>
        <v>0.6666666666666666</v>
      </c>
      <c r="E1215" s="10">
        <f>IF($C1215=0,"",SUMIFS('DEF_SELF_SCOUT_IMPORT'!$K$42:$K$1040,'DEF_SELF_SCOUT_IMPORT'!$L$42:$L$1040,"Y",'DEF_SELF_SCOUT_IMPORT'!$E$42:$E$1040,SUBSTITUTE(SUBSTITUTE(SUBSTITUTE($B1215,"~","~~"),"*","~*"),"?","~?"))/$C1215)</f>
        <v>0.0</v>
      </c>
      <c r="F1215" s="11">
        <f>IF($C1215=0,"",AVERAGEIFS('DEF_SELF_SCOUT_IMPORT'!$I$42:$I$1040,'DEF_SELF_SCOUT_IMPORT'!$L$42:$L$1040,"Y",'DEF_SELF_SCOUT_IMPORT'!$E$42:$E$1040,SUBSTITUTE(SUBSTITUTE(SUBSTITUTE($B1215,"~","~~"),"*","~*"),"?","~?")))</f>
        <v>4.333333333333333</v>
      </c>
      <c r="G1215" s="10">
        <f>IF($C1215=0,"",COUNTIFS('DEF_SELF_SCOUT_IMPORT'!$L$42:$L$1040,"Y",'DEF_SELF_SCOUT_IMPORT'!$E$42:$E$1040,SUBSTITUTE(SUBSTITUTE(SUBSTITUTE($B1215,"~","~~"),"*","~*"),"?","~?"),'DEF_SELF_SCOUT_IMPORT'!$H$42:$H$1040,"RUSH")/$C1215)</f>
        <v>0.6666666666666666</v>
      </c>
      <c r="H1215" s="10">
        <f>IF($C1215=0,"",COUNTIFS('DEF_SELF_SCOUT_IMPORT'!$L$42:$L$1040,"Y",'DEF_SELF_SCOUT_IMPORT'!$E$42:$E$1040,SUBSTITUTE(SUBSTITUTE(SUBSTITUTE($B1215,"~","~~"),"*","~*"),"?","~?"),'DEF_SELF_SCOUT_IMPORT'!$H$42:$H$1040,"DROPBACK")/$C1215)</f>
        <v>0.3333333333333333</v>
      </c>
      <c r="I1215" s="14" t="str">
        <f>IF(C1215=0,"",IF(C1215&lt;=2,"TRACK",IF(C1215=3,"LOW",IF(C1215&lt;=6,"MEDIUM","HIGH"))))</f>
        <v>LOW</v>
      </c>
      <c r="J1215" s="11">
        <f>IF(C1215=0,"",ROUND(D1215*70+(1-E1215)*20+MAX(0,MIN(1,(10-F1215)/10))*10,1))</f>
        <v>72.3</v>
      </c>
      <c r="K1215" s="14" t="str">
        <f>IF(C1215=0,"No Evidence",IF(C1215&lt;=2,IF(E1215&gt;0,"Explosive Alert","Track Only"),IF(C1215=3,"Sample Watch",IF(E1215&gt;=START_HERE!$B$31,"Explosive Alert",IF(J1215&gt;=80,"Strong Candidate",IF(J1215&gt;=65,"Good Candidate",IF(J1215&gt;=50,"Mixed / Review","Problem Call")))))))</f>
        <v>Sample Watch</v>
      </c>
      <c r="L1215" s="9" t="str">
        <f>IF(COUNTIFS('DEF_SELF_SCOUT_IMPORT'!$L$42:$L$1040,"Y",'DEF_SELF_SCOUT_IMPORT'!$E$42:$E$1040,SUBSTITUTE(SUBSTITUTE(SUBSTITUTE($B1215,"~","~~"),"*","~*"),"?","~?"),'DEF_SELF_SCOUT_IMPORT'!$J$42:$J$1040,"")&gt;0,"Unscored clean outcome; review result tags before using score.",IF(C1215=0,"No matching defensive reps; film confirmation needed.",IF(K1215="Explosive Alert","Explosive risk; review clips before using as answer.",IF(C1215&lt;=2,"Track only; not enough sample.",IF(C1215=3,IF(E1215&gt;0,"Sample watch with explosive exposure; review clips and build the sample.",IF(J1215&gt;=65,"Good signal, but sample is limited.","Sample watch; review clips and build the sample.")),IF(K1215="Problem Call","Problem area; practice or call-sheet review.",IF(K1215="Strong Candidate","Strong call-fit candidate; confirm on film.",IF(K1215="Good Candidate","Good call-fit signal; confirm on film.","Mixed signal; review fit and execution on film."))))))))</f>
        <v>Good signal, but sample is limited.</v>
      </c>
      <c r="M1215" s="8"/>
      <c r="N1215" s="8"/>
      <c r="O1215" s="8"/>
      <c r="P1215" s="8"/>
      <c r="Q1215" s="8"/>
      <c r="R1215" s="8" t="s">
        <v>28</v>
      </c>
      <c r="S1215" s="2" t="s">
        <v>631</v>
      </c>
      <c r="T1215" s="2">
        <f>IF(C1215=0,0,IF(C1215&gt;=CALL_LOOKUP_BOARD!$B$7,IF(OR(K1215="Problem Call",K1215="Explosive Alert"),10000000,20000000),0)+IF(C1215&gt;=CALL_LOOKUP_BOARD!$B$7,J1215*1000+MIN(C1215,999),C1215*1000+J1215)+0.00998100)</f>
        <v>3072.3099810000003</v>
      </c>
      <c r="U1215" s="2">
        <f>IF(C1215=0,"",IF(COUNTIFS($S$1197:$S$1256,SUBSTITUTE(SUBSTITUTE(SUBSTITUTE(S1215,"~","~~"),"*","~*"),"?","~?"),$T$1197:$T$1256,"&gt;"&amp;T1215)=0,S1215,""))</f>
        <v/>
      </c>
    </row>
    <row r="1216" spans="1:21" ht="38" customHeight="1">
      <c r="A1216" s="8" t="s">
        <v>630</v>
      </c>
      <c r="B1216" s="8" t="s">
        <v>50</v>
      </c>
      <c r="C1216" s="12">
        <f>COUNTIFS('DEF_SELF_SCOUT_IMPORT'!$L$42:$L$1040,"Y",'DEF_SELF_SCOUT_IMPORT'!$E$42:$E$1040,SUBSTITUTE(SUBSTITUTE(SUBSTITUTE($B1216,"~","~~"),"*","~*"),"?","~?"))</f>
        <v>1</v>
      </c>
      <c r="D1216" s="10">
        <f>IF($C1216=0,"",SUMIFS('DEF_SELF_SCOUT_IMPORT'!$J$42:$J$1040,'DEF_SELF_SCOUT_IMPORT'!$L$42:$L$1040,"Y",'DEF_SELF_SCOUT_IMPORT'!$E$42:$E$1040,SUBSTITUTE(SUBSTITUTE(SUBSTITUTE($B1216,"~","~~"),"*","~*"),"?","~?"))/$C1216)</f>
        <v>1.0</v>
      </c>
      <c r="E1216" s="10">
        <f>IF($C1216=0,"",SUMIFS('DEF_SELF_SCOUT_IMPORT'!$K$42:$K$1040,'DEF_SELF_SCOUT_IMPORT'!$L$42:$L$1040,"Y",'DEF_SELF_SCOUT_IMPORT'!$E$42:$E$1040,SUBSTITUTE(SUBSTITUTE(SUBSTITUTE($B1216,"~","~~"),"*","~*"),"?","~?"))/$C1216)</f>
        <v>0.0</v>
      </c>
      <c r="F1216" s="11">
        <f>IF($C1216=0,"",AVERAGEIFS('DEF_SELF_SCOUT_IMPORT'!$I$42:$I$1040,'DEF_SELF_SCOUT_IMPORT'!$L$42:$L$1040,"Y",'DEF_SELF_SCOUT_IMPORT'!$E$42:$E$1040,SUBSTITUTE(SUBSTITUTE(SUBSTITUTE($B1216,"~","~~"),"*","~*"),"?","~?")))</f>
        <v>3.0</v>
      </c>
      <c r="G1216" s="10">
        <f>IF($C1216=0,"",COUNTIFS('DEF_SELF_SCOUT_IMPORT'!$L$42:$L$1040,"Y",'DEF_SELF_SCOUT_IMPORT'!$E$42:$E$1040,SUBSTITUTE(SUBSTITUTE(SUBSTITUTE($B1216,"~","~~"),"*","~*"),"?","~?"),'DEF_SELF_SCOUT_IMPORT'!$H$42:$H$1040,"RUSH")/$C1216)</f>
        <v>0.0</v>
      </c>
      <c r="H1216" s="10">
        <f>IF($C1216=0,"",COUNTIFS('DEF_SELF_SCOUT_IMPORT'!$L$42:$L$1040,"Y",'DEF_SELF_SCOUT_IMPORT'!$E$42:$E$1040,SUBSTITUTE(SUBSTITUTE(SUBSTITUTE($B1216,"~","~~"),"*","~*"),"?","~?"),'DEF_SELF_SCOUT_IMPORT'!$H$42:$H$1040,"DROPBACK")/$C1216)</f>
        <v>1.0</v>
      </c>
      <c r="I1216" s="14" t="str">
        <f>IF(C1216=0,"",IF(C1216&lt;=2,"TRACK",IF(C1216=3,"LOW",IF(C1216&lt;=6,"MEDIUM","HIGH"))))</f>
        <v>TRACK</v>
      </c>
      <c r="J1216" s="11">
        <f>IF(C1216=0,"",ROUND(D1216*70+(1-E1216)*20+MAX(0,MIN(1,(10-F1216)/10))*10,1))</f>
        <v>97.0</v>
      </c>
      <c r="K1216" s="14" t="str">
        <f>IF(C1216=0,"No Evidence",IF(C1216&lt;=2,IF(E1216&gt;0,"Explosive Alert","Track Only"),IF(C1216=3,"Sample Watch",IF(E1216&gt;=START_HERE!$B$31,"Explosive Alert",IF(J1216&gt;=80,"Strong Candidate",IF(J1216&gt;=65,"Good Candidate",IF(J1216&gt;=50,"Mixed / Review","Problem Call")))))))</f>
        <v>Track Only</v>
      </c>
      <c r="L1216" s="9" t="str">
        <f>IF(COUNTIFS('DEF_SELF_SCOUT_IMPORT'!$L$42:$L$1040,"Y",'DEF_SELF_SCOUT_IMPORT'!$E$42:$E$1040,SUBSTITUTE(SUBSTITUTE(SUBSTITUTE($B1216,"~","~~"),"*","~*"),"?","~?"),'DEF_SELF_SCOUT_IMPORT'!$J$42:$J$1040,"")&gt;0,"Unscored clean outcome; review result tags before using score.",IF(C1216=0,"No matching defensive reps; film confirmation needed.",IF(K1216="Explosive Alert","Explosive risk; review clips before using as answer.",IF(C1216&lt;=2,"Track only; not enough sample.",IF(C1216=3,IF(E1216&gt;0,"Sample watch with explosive exposure; review clips and build the sample.",IF(J1216&gt;=65,"Good signal, but sample is limited.","Sample watch; review clips and build the sample.")),IF(K1216="Problem Call","Problem area; practice or call-sheet review.",IF(K1216="Strong Candidate","Strong call-fit candidate; confirm on film.",IF(K1216="Good Candidate","Good call-fit signal; confirm on film.","Mixed signal; review fit and execution on film."))))))))</f>
        <v>Track only; not enough sample.</v>
      </c>
      <c r="M1216" s="8"/>
      <c r="N1216" s="8"/>
      <c r="O1216" s="8"/>
      <c r="P1216" s="8"/>
      <c r="Q1216" s="8"/>
      <c r="R1216" s="8" t="s">
        <v>28</v>
      </c>
      <c r="S1216" s="2" t="s">
        <v>631</v>
      </c>
      <c r="T1216" s="2">
        <f>IF(C1216=0,0,IF(C1216&gt;=CALL_LOOKUP_BOARD!$B$7,IF(OR(K1216="Problem Call",K1216="Explosive Alert"),10000000,20000000),0)+IF(C1216&gt;=CALL_LOOKUP_BOARD!$B$7,J1216*1000+MIN(C1216,999),C1216*1000+J1216)+0.00998000)</f>
        <v>1097.00998</v>
      </c>
      <c r="U1216" s="2">
        <f>IF(C1216=0,"",IF(COUNTIFS($S$1197:$S$1256,SUBSTITUTE(SUBSTITUTE(SUBSTITUTE(S1216,"~","~~"),"*","~*"),"?","~?"),$T$1197:$T$1256,"&gt;"&amp;T1216)=0,S1216,""))</f>
        <v/>
      </c>
    </row>
    <row r="1217" spans="1:21" ht="38" customHeight="1">
      <c r="A1217" s="8" t="s">
        <v>630</v>
      </c>
      <c r="B1217" s="8" t="s">
        <v>51</v>
      </c>
      <c r="C1217" s="12">
        <f>COUNTIFS('DEF_SELF_SCOUT_IMPORT'!$L$42:$L$1040,"Y",'DEF_SELF_SCOUT_IMPORT'!$E$42:$E$1040,SUBSTITUTE(SUBSTITUTE(SUBSTITUTE($B1217,"~","~~"),"*","~*"),"?","~?"))</f>
        <v>5</v>
      </c>
      <c r="D1217" s="10">
        <f>IF($C1217=0,"",SUMIFS('DEF_SELF_SCOUT_IMPORT'!$J$42:$J$1040,'DEF_SELF_SCOUT_IMPORT'!$L$42:$L$1040,"Y",'DEF_SELF_SCOUT_IMPORT'!$E$42:$E$1040,SUBSTITUTE(SUBSTITUTE(SUBSTITUTE($B1217,"~","~~"),"*","~*"),"?","~?"))/$C1217)</f>
        <v>0.4</v>
      </c>
      <c r="E1217" s="10">
        <f>IF($C1217=0,"",SUMIFS('DEF_SELF_SCOUT_IMPORT'!$K$42:$K$1040,'DEF_SELF_SCOUT_IMPORT'!$L$42:$L$1040,"Y",'DEF_SELF_SCOUT_IMPORT'!$E$42:$E$1040,SUBSTITUTE(SUBSTITUTE(SUBSTITUTE($B1217,"~","~~"),"*","~*"),"?","~?"))/$C1217)</f>
        <v>0.2</v>
      </c>
      <c r="F1217" s="11">
        <f>IF($C1217=0,"",AVERAGEIFS('DEF_SELF_SCOUT_IMPORT'!$I$42:$I$1040,'DEF_SELF_SCOUT_IMPORT'!$L$42:$L$1040,"Y",'DEF_SELF_SCOUT_IMPORT'!$E$42:$E$1040,SUBSTITUTE(SUBSTITUTE(SUBSTITUTE($B1217,"~","~~"),"*","~*"),"?","~?")))</f>
        <v>7.4</v>
      </c>
      <c r="G1217" s="10">
        <f>IF($C1217=0,"",COUNTIFS('DEF_SELF_SCOUT_IMPORT'!$L$42:$L$1040,"Y",'DEF_SELF_SCOUT_IMPORT'!$E$42:$E$1040,SUBSTITUTE(SUBSTITUTE(SUBSTITUTE($B1217,"~","~~"),"*","~*"),"?","~?"),'DEF_SELF_SCOUT_IMPORT'!$H$42:$H$1040,"RUSH")/$C1217)</f>
        <v>0.2</v>
      </c>
      <c r="H1217" s="10">
        <f>IF($C1217=0,"",COUNTIFS('DEF_SELF_SCOUT_IMPORT'!$L$42:$L$1040,"Y",'DEF_SELF_SCOUT_IMPORT'!$E$42:$E$1040,SUBSTITUTE(SUBSTITUTE(SUBSTITUTE($B1217,"~","~~"),"*","~*"),"?","~?"),'DEF_SELF_SCOUT_IMPORT'!$H$42:$H$1040,"DROPBACK")/$C1217)</f>
        <v>0.8</v>
      </c>
      <c r="I1217" s="14" t="str">
        <f>IF(C1217=0,"",IF(C1217&lt;=2,"TRACK",IF(C1217=3,"LOW",IF(C1217&lt;=6,"MEDIUM","HIGH"))))</f>
        <v>MEDIUM</v>
      </c>
      <c r="J1217" s="11">
        <f>IF(C1217=0,"",ROUND(D1217*70+(1-E1217)*20+MAX(0,MIN(1,(10-F1217)/10))*10,1))</f>
        <v>46.6</v>
      </c>
      <c r="K1217" s="14" t="str">
        <f>IF(C1217=0,"No Evidence",IF(C1217&lt;=2,IF(E1217&gt;0,"Explosive Alert","Track Only"),IF(C1217=3,"Sample Watch",IF(E1217&gt;=START_HERE!$B$31,"Explosive Alert",IF(J1217&gt;=80,"Strong Candidate",IF(J1217&gt;=65,"Good Candidate",IF(J1217&gt;=50,"Mixed / Review","Problem Call")))))))</f>
        <v>Explosive Alert</v>
      </c>
      <c r="L1217" s="9" t="str">
        <f>IF(COUNTIFS('DEF_SELF_SCOUT_IMPORT'!$L$42:$L$1040,"Y",'DEF_SELF_SCOUT_IMPORT'!$E$42:$E$1040,SUBSTITUTE(SUBSTITUTE(SUBSTITUTE($B1217,"~","~~"),"*","~*"),"?","~?"),'DEF_SELF_SCOUT_IMPORT'!$J$42:$J$1040,"")&gt;0,"Unscored clean outcome; review result tags before using score.",IF(C1217=0,"No matching defensive reps; film confirmation needed.",IF(K1217="Explosive Alert","Explosive risk; review clips before using as answer.",IF(C1217&lt;=2,"Track only; not enough sample.",IF(C1217=3,IF(E1217&gt;0,"Sample watch with explosive exposure; review clips and build the sample.",IF(J1217&gt;=65,"Good signal, but sample is limited.","Sample watch; review clips and build the sample.")),IF(K1217="Problem Call","Problem area; practice or call-sheet review.",IF(K1217="Strong Candidate","Strong call-fit candidate; confirm on film.",IF(K1217="Good Candidate","Good call-fit signal; confirm on film.","Mixed signal; review fit and execution on film."))))))))</f>
        <v>Explosive risk; review clips before using as answer.</v>
      </c>
      <c r="M1217" s="8"/>
      <c r="N1217" s="8"/>
      <c r="O1217" s="8"/>
      <c r="P1217" s="8"/>
      <c r="Q1217" s="8"/>
      <c r="R1217" s="8" t="s">
        <v>45</v>
      </c>
      <c r="S1217" s="2" t="s">
        <v>631</v>
      </c>
      <c r="T1217" s="2">
        <f>IF(C1217=0,0,IF(C1217&gt;=CALL_LOOKUP_BOARD!$B$7,IF(OR(K1217="Problem Call",K1217="Explosive Alert"),10000000,20000000),0)+IF(C1217&gt;=CALL_LOOKUP_BOARD!$B$7,J1217*1000+MIN(C1217,999),C1217*1000+J1217)+0.00997900)</f>
        <v>10046605.009979</v>
      </c>
      <c r="U1217" s="2">
        <f>IF(C1217=0,"",IF(COUNTIFS($S$1197:$S$1256,SUBSTITUTE(SUBSTITUTE(SUBSTITUTE(S1217,"~","~~"),"*","~*"),"?","~?"),$T$1197:$T$1256,"&gt;"&amp;T1217)=0,S1217,""))</f>
        <v/>
      </c>
    </row>
    <row r="1218" spans="1:21" ht="38" customHeight="1">
      <c r="A1218" s="8" t="s">
        <v>630</v>
      </c>
      <c r="B1218" s="8" t="s">
        <v>52</v>
      </c>
      <c r="C1218" s="12">
        <f>COUNTIFS('DEF_SELF_SCOUT_IMPORT'!$L$42:$L$1040,"Y",'DEF_SELF_SCOUT_IMPORT'!$E$42:$E$1040,SUBSTITUTE(SUBSTITUTE(SUBSTITUTE($B1218,"~","~~"),"*","~*"),"?","~?"))</f>
        <v>13</v>
      </c>
      <c r="D1218" s="10">
        <f>IF($C1218=0,"",SUMIFS('DEF_SELF_SCOUT_IMPORT'!$J$42:$J$1040,'DEF_SELF_SCOUT_IMPORT'!$L$42:$L$1040,"Y",'DEF_SELF_SCOUT_IMPORT'!$E$42:$E$1040,SUBSTITUTE(SUBSTITUTE(SUBSTITUTE($B1218,"~","~~"),"*","~*"),"?","~?"))/$C1218)</f>
        <v>0.6923076923076923</v>
      </c>
      <c r="E1218" s="10">
        <f>IF($C1218=0,"",SUMIFS('DEF_SELF_SCOUT_IMPORT'!$K$42:$K$1040,'DEF_SELF_SCOUT_IMPORT'!$L$42:$L$1040,"Y",'DEF_SELF_SCOUT_IMPORT'!$E$42:$E$1040,SUBSTITUTE(SUBSTITUTE(SUBSTITUTE($B1218,"~","~~"),"*","~*"),"?","~?"))/$C1218)</f>
        <v>0.07692307692307693</v>
      </c>
      <c r="F1218" s="11">
        <f>IF($C1218=0,"",AVERAGEIFS('DEF_SELF_SCOUT_IMPORT'!$I$42:$I$1040,'DEF_SELF_SCOUT_IMPORT'!$L$42:$L$1040,"Y",'DEF_SELF_SCOUT_IMPORT'!$E$42:$E$1040,SUBSTITUTE(SUBSTITUTE(SUBSTITUTE($B1218,"~","~~"),"*","~*"),"?","~?")))</f>
        <v>2.4615384615384617</v>
      </c>
      <c r="G1218" s="10">
        <f>IF($C1218=0,"",COUNTIFS('DEF_SELF_SCOUT_IMPORT'!$L$42:$L$1040,"Y",'DEF_SELF_SCOUT_IMPORT'!$E$42:$E$1040,SUBSTITUTE(SUBSTITUTE(SUBSTITUTE($B1218,"~","~~"),"*","~*"),"?","~?"),'DEF_SELF_SCOUT_IMPORT'!$H$42:$H$1040,"RUSH")/$C1218)</f>
        <v>0.46153846153846156</v>
      </c>
      <c r="H1218" s="10">
        <f>IF($C1218=0,"",COUNTIFS('DEF_SELF_SCOUT_IMPORT'!$L$42:$L$1040,"Y",'DEF_SELF_SCOUT_IMPORT'!$E$42:$E$1040,SUBSTITUTE(SUBSTITUTE(SUBSTITUTE($B1218,"~","~~"),"*","~*"),"?","~?"),'DEF_SELF_SCOUT_IMPORT'!$H$42:$H$1040,"DROPBACK")/$C1218)</f>
        <v>0.5384615384615384</v>
      </c>
      <c r="I1218" s="14" t="str">
        <f>IF(C1218=0,"",IF(C1218&lt;=2,"TRACK",IF(C1218=3,"LOW",IF(C1218&lt;=6,"MEDIUM","HIGH"))))</f>
        <v>HIGH</v>
      </c>
      <c r="J1218" s="11">
        <f>IF(C1218=0,"",ROUND(D1218*70+(1-E1218)*20+MAX(0,MIN(1,(10-F1218)/10))*10,1))</f>
        <v>74.5</v>
      </c>
      <c r="K1218" s="14" t="str">
        <f>IF(C1218=0,"No Evidence",IF(C1218&lt;=2,IF(E1218&gt;0,"Explosive Alert","Track Only"),IF(C1218=3,"Sample Watch",IF(E1218&gt;=START_HERE!$B$31,"Explosive Alert",IF(J1218&gt;=80,"Strong Candidate",IF(J1218&gt;=65,"Good Candidate",IF(J1218&gt;=50,"Mixed / Review","Problem Call")))))))</f>
        <v>Good Candidate</v>
      </c>
      <c r="L1218" s="9" t="str">
        <f>IF(COUNTIFS('DEF_SELF_SCOUT_IMPORT'!$L$42:$L$1040,"Y",'DEF_SELF_SCOUT_IMPORT'!$E$42:$E$1040,SUBSTITUTE(SUBSTITUTE(SUBSTITUTE($B1218,"~","~~"),"*","~*"),"?","~?"),'DEF_SELF_SCOUT_IMPORT'!$J$42:$J$1040,"")&gt;0,"Unscored clean outcome; review result tags before using score.",IF(C1218=0,"No matching defensive reps; film confirmation needed.",IF(K1218="Explosive Alert","Explosive risk; review clips before using as answer.",IF(C1218&lt;=2,"Track only; not enough sample.",IF(C1218=3,IF(E1218&gt;0,"Sample watch with explosive exposure; review clips and build the sample.",IF(J1218&gt;=65,"Good signal, but sample is limited.","Sample watch; review clips and build the sample.")),IF(K1218="Problem Call","Problem area; practice or call-sheet review.",IF(K1218="Strong Candidate","Strong call-fit candidate; confirm on film.",IF(K1218="Good Candidate","Good call-fit signal; confirm on film.","Mixed signal; review fit and execution on film."))))))))</f>
        <v>Good call-fit signal; confirm on film.</v>
      </c>
      <c r="M1218" s="8"/>
      <c r="N1218" s="8"/>
      <c r="O1218" s="8"/>
      <c r="P1218" s="8"/>
      <c r="Q1218" s="8"/>
      <c r="R1218" s="8" t="s">
        <v>45</v>
      </c>
      <c r="S1218" s="2" t="s">
        <v>631</v>
      </c>
      <c r="T1218" s="2">
        <f>IF(C1218=0,0,IF(C1218&gt;=CALL_LOOKUP_BOARD!$B$7,IF(OR(K1218="Problem Call",K1218="Explosive Alert"),10000000,20000000),0)+IF(C1218&gt;=CALL_LOOKUP_BOARD!$B$7,J1218*1000+MIN(C1218,999),C1218*1000+J1218)+0.00997800)</f>
        <v>20074513.009978</v>
      </c>
      <c r="U1218" s="2">
        <f>IF(C1218=0,"",IF(COUNTIFS($S$1197:$S$1256,SUBSTITUTE(SUBSTITUTE(SUBSTITUTE(S1218,"~","~~"),"*","~*"),"?","~?"),$T$1197:$T$1256,"&gt;"&amp;T1218)=0,S1218,""))</f>
        <v/>
      </c>
    </row>
    <row r="1219" spans="1:21" ht="38" customHeight="1">
      <c r="A1219" s="8" t="s">
        <v>630</v>
      </c>
      <c r="B1219" s="8" t="s">
        <v>88</v>
      </c>
      <c r="C1219" s="12">
        <f>COUNTIFS('DEF_SELF_SCOUT_IMPORT'!$L$42:$L$1040,"Y",'DEF_SELF_SCOUT_IMPORT'!$E$42:$E$1040,SUBSTITUTE(SUBSTITUTE(SUBSTITUTE($B1219,"~","~~"),"*","~*"),"?","~?"))</f>
        <v>2</v>
      </c>
      <c r="D1219" s="10">
        <f>IF($C1219=0,"",SUMIFS('DEF_SELF_SCOUT_IMPORT'!$J$42:$J$1040,'DEF_SELF_SCOUT_IMPORT'!$L$42:$L$1040,"Y",'DEF_SELF_SCOUT_IMPORT'!$E$42:$E$1040,SUBSTITUTE(SUBSTITUTE(SUBSTITUTE($B1219,"~","~~"),"*","~*"),"?","~?"))/$C1219)</f>
        <v>0.5</v>
      </c>
      <c r="E1219" s="10">
        <f>IF($C1219=0,"",SUMIFS('DEF_SELF_SCOUT_IMPORT'!$K$42:$K$1040,'DEF_SELF_SCOUT_IMPORT'!$L$42:$L$1040,"Y",'DEF_SELF_SCOUT_IMPORT'!$E$42:$E$1040,SUBSTITUTE(SUBSTITUTE(SUBSTITUTE($B1219,"~","~~"),"*","~*"),"?","~?"))/$C1219)</f>
        <v>0.0</v>
      </c>
      <c r="F1219" s="11">
        <f>IF($C1219=0,"",AVERAGEIFS('DEF_SELF_SCOUT_IMPORT'!$I$42:$I$1040,'DEF_SELF_SCOUT_IMPORT'!$L$42:$L$1040,"Y",'DEF_SELF_SCOUT_IMPORT'!$E$42:$E$1040,SUBSTITUTE(SUBSTITUTE(SUBSTITUTE($B1219,"~","~~"),"*","~*"),"?","~?")))</f>
        <v>3.5</v>
      </c>
      <c r="G1219" s="10">
        <f>IF($C1219=0,"",COUNTIFS('DEF_SELF_SCOUT_IMPORT'!$L$42:$L$1040,"Y",'DEF_SELF_SCOUT_IMPORT'!$E$42:$E$1040,SUBSTITUTE(SUBSTITUTE(SUBSTITUTE($B1219,"~","~~"),"*","~*"),"?","~?"),'DEF_SELF_SCOUT_IMPORT'!$H$42:$H$1040,"RUSH")/$C1219)</f>
        <v>1.0</v>
      </c>
      <c r="H1219" s="10">
        <f>IF($C1219=0,"",COUNTIFS('DEF_SELF_SCOUT_IMPORT'!$L$42:$L$1040,"Y",'DEF_SELF_SCOUT_IMPORT'!$E$42:$E$1040,SUBSTITUTE(SUBSTITUTE(SUBSTITUTE($B1219,"~","~~"),"*","~*"),"?","~?"),'DEF_SELF_SCOUT_IMPORT'!$H$42:$H$1040,"DROPBACK")/$C1219)</f>
        <v>0.0</v>
      </c>
      <c r="I1219" s="14" t="str">
        <f>IF(C1219=0,"",IF(C1219&lt;=2,"TRACK",IF(C1219=3,"LOW",IF(C1219&lt;=6,"MEDIUM","HIGH"))))</f>
        <v>TRACK</v>
      </c>
      <c r="J1219" s="11">
        <f>IF(C1219=0,"",ROUND(D1219*70+(1-E1219)*20+MAX(0,MIN(1,(10-F1219)/10))*10,1))</f>
        <v>61.5</v>
      </c>
      <c r="K1219" s="14" t="str">
        <f>IF(C1219=0,"No Evidence",IF(C1219&lt;=2,IF(E1219&gt;0,"Explosive Alert","Track Only"),IF(C1219=3,"Sample Watch",IF(E1219&gt;=START_HERE!$B$31,"Explosive Alert",IF(J1219&gt;=80,"Strong Candidate",IF(J1219&gt;=65,"Good Candidate",IF(J1219&gt;=50,"Mixed / Review","Problem Call")))))))</f>
        <v>Track Only</v>
      </c>
      <c r="L1219" s="9" t="str">
        <f>IF(COUNTIFS('DEF_SELF_SCOUT_IMPORT'!$L$42:$L$1040,"Y",'DEF_SELF_SCOUT_IMPORT'!$E$42:$E$1040,SUBSTITUTE(SUBSTITUTE(SUBSTITUTE($B1219,"~","~~"),"*","~*"),"?","~?"),'DEF_SELF_SCOUT_IMPORT'!$J$42:$J$1040,"")&gt;0,"Unscored clean outcome; review result tags before using score.",IF(C1219=0,"No matching defensive reps; film confirmation needed.",IF(K1219="Explosive Alert","Explosive risk; review clips before using as answer.",IF(C1219&lt;=2,"Track only; not enough sample.",IF(C1219=3,IF(E1219&gt;0,"Sample watch with explosive exposure; review clips and build the sample.",IF(J1219&gt;=65,"Good signal, but sample is limited.","Sample watch; review clips and build the sample.")),IF(K1219="Problem Call","Problem area; practice or call-sheet review.",IF(K1219="Strong Candidate","Strong call-fit candidate; confirm on film.",IF(K1219="Good Candidate","Good call-fit signal; confirm on film.","Mixed signal; review fit and execution on film."))))))))</f>
        <v>Track only; not enough sample.</v>
      </c>
      <c r="M1219" s="8"/>
      <c r="N1219" s="8"/>
      <c r="O1219" s="8"/>
      <c r="P1219" s="8"/>
      <c r="Q1219" s="8"/>
      <c r="R1219" s="8" t="s">
        <v>28</v>
      </c>
      <c r="S1219" s="2" t="s">
        <v>631</v>
      </c>
      <c r="T1219" s="2">
        <f>IF(C1219=0,0,IF(C1219&gt;=CALL_LOOKUP_BOARD!$B$7,IF(OR(K1219="Problem Call",K1219="Explosive Alert"),10000000,20000000),0)+IF(C1219&gt;=CALL_LOOKUP_BOARD!$B$7,J1219*1000+MIN(C1219,999),C1219*1000+J1219)+0.00997700)</f>
        <v>2061.509977</v>
      </c>
      <c r="U1219" s="2">
        <f>IF(C1219=0,"",IF(COUNTIFS($S$1197:$S$1256,SUBSTITUTE(SUBSTITUTE(SUBSTITUTE(S1219,"~","~~"),"*","~*"),"?","~?"),$T$1197:$T$1256,"&gt;"&amp;T1219)=0,S1219,""))</f>
        <v/>
      </c>
    </row>
    <row r="1220" spans="1:21" ht="38" customHeight="1">
      <c r="A1220" s="8" t="s">
        <v>630</v>
      </c>
      <c r="B1220" s="8" t="s">
        <v>53</v>
      </c>
      <c r="C1220" s="12">
        <f>COUNTIFS('DEF_SELF_SCOUT_IMPORT'!$L$42:$L$1040,"Y",'DEF_SELF_SCOUT_IMPORT'!$E$42:$E$1040,SUBSTITUTE(SUBSTITUTE(SUBSTITUTE($B1220,"~","~~"),"*","~*"),"?","~?"))</f>
        <v>13</v>
      </c>
      <c r="D1220" s="10">
        <f>IF($C1220=0,"",SUMIFS('DEF_SELF_SCOUT_IMPORT'!$J$42:$J$1040,'DEF_SELF_SCOUT_IMPORT'!$L$42:$L$1040,"Y",'DEF_SELF_SCOUT_IMPORT'!$E$42:$E$1040,SUBSTITUTE(SUBSTITUTE(SUBSTITUTE($B1220,"~","~~"),"*","~*"),"?","~?"))/$C1220)</f>
        <v>0.5384615384615384</v>
      </c>
      <c r="E1220" s="10">
        <f>IF($C1220=0,"",SUMIFS('DEF_SELF_SCOUT_IMPORT'!$K$42:$K$1040,'DEF_SELF_SCOUT_IMPORT'!$L$42:$L$1040,"Y",'DEF_SELF_SCOUT_IMPORT'!$E$42:$E$1040,SUBSTITUTE(SUBSTITUTE(SUBSTITUTE($B1220,"~","~~"),"*","~*"),"?","~?"))/$C1220)</f>
        <v>0.0</v>
      </c>
      <c r="F1220" s="11">
        <f>IF($C1220=0,"",AVERAGEIFS('DEF_SELF_SCOUT_IMPORT'!$I$42:$I$1040,'DEF_SELF_SCOUT_IMPORT'!$L$42:$L$1040,"Y",'DEF_SELF_SCOUT_IMPORT'!$E$42:$E$1040,SUBSTITUTE(SUBSTITUTE(SUBSTITUTE($B1220,"~","~~"),"*","~*"),"?","~?")))</f>
        <v>5.6923076923076925</v>
      </c>
      <c r="G1220" s="10">
        <f>IF($C1220=0,"",COUNTIFS('DEF_SELF_SCOUT_IMPORT'!$L$42:$L$1040,"Y",'DEF_SELF_SCOUT_IMPORT'!$E$42:$E$1040,SUBSTITUTE(SUBSTITUTE(SUBSTITUTE($B1220,"~","~~"),"*","~*"),"?","~?"),'DEF_SELF_SCOUT_IMPORT'!$H$42:$H$1040,"RUSH")/$C1220)</f>
        <v>0.5384615384615384</v>
      </c>
      <c r="H1220" s="10">
        <f>IF($C1220=0,"",COUNTIFS('DEF_SELF_SCOUT_IMPORT'!$L$42:$L$1040,"Y",'DEF_SELF_SCOUT_IMPORT'!$E$42:$E$1040,SUBSTITUTE(SUBSTITUTE(SUBSTITUTE($B1220,"~","~~"),"*","~*"),"?","~?"),'DEF_SELF_SCOUT_IMPORT'!$H$42:$H$1040,"DROPBACK")/$C1220)</f>
        <v>0.46153846153846156</v>
      </c>
      <c r="I1220" s="14" t="str">
        <f>IF(C1220=0,"",IF(C1220&lt;=2,"TRACK",IF(C1220=3,"LOW",IF(C1220&lt;=6,"MEDIUM","HIGH"))))</f>
        <v>HIGH</v>
      </c>
      <c r="J1220" s="11">
        <f>IF(C1220=0,"",ROUND(D1220*70+(1-E1220)*20+MAX(0,MIN(1,(10-F1220)/10))*10,1))</f>
        <v>62.0</v>
      </c>
      <c r="K1220" s="14" t="str">
        <f>IF(C1220=0,"No Evidence",IF(C1220&lt;=2,IF(E1220&gt;0,"Explosive Alert","Track Only"),IF(C1220=3,"Sample Watch",IF(E1220&gt;=START_HERE!$B$31,"Explosive Alert",IF(J1220&gt;=80,"Strong Candidate",IF(J1220&gt;=65,"Good Candidate",IF(J1220&gt;=50,"Mixed / Review","Problem Call")))))))</f>
        <v>Mixed / Review</v>
      </c>
      <c r="L1220" s="9" t="str">
        <f>IF(COUNTIFS('DEF_SELF_SCOUT_IMPORT'!$L$42:$L$1040,"Y",'DEF_SELF_SCOUT_IMPORT'!$E$42:$E$1040,SUBSTITUTE(SUBSTITUTE(SUBSTITUTE($B1220,"~","~~"),"*","~*"),"?","~?"),'DEF_SELF_SCOUT_IMPORT'!$J$42:$J$1040,"")&gt;0,"Unscored clean outcome; review result tags before using score.",IF(C1220=0,"No matching defensive reps; film confirmation needed.",IF(K1220="Explosive Alert","Explosive risk; review clips before using as answer.",IF(C1220&lt;=2,"Track only; not enough sample.",IF(C1220=3,IF(E1220&gt;0,"Sample watch with explosive exposure; review clips and build the sample.",IF(J1220&gt;=65,"Good signal, but sample is limited.","Sample watch; review clips and build the sample.")),IF(K1220="Problem Call","Problem area; practice or call-sheet review.",IF(K1220="Strong Candidate","Strong call-fit candidate; confirm on film.",IF(K1220="Good Candidate","Good call-fit signal; confirm on film.","Mixed signal; review fit and execution on film."))))))))</f>
        <v>Mixed signal; review fit and execution on film.</v>
      </c>
      <c r="M1220" s="8"/>
      <c r="N1220" s="8"/>
      <c r="O1220" s="8"/>
      <c r="P1220" s="8"/>
      <c r="Q1220" s="8"/>
      <c r="R1220" s="8" t="s">
        <v>45</v>
      </c>
      <c r="S1220" s="2" t="s">
        <v>631</v>
      </c>
      <c r="T1220" s="2">
        <f>IF(C1220=0,0,IF(C1220&gt;=CALL_LOOKUP_BOARD!$B$7,IF(OR(K1220="Problem Call",K1220="Explosive Alert"),10000000,20000000),0)+IF(C1220&gt;=CALL_LOOKUP_BOARD!$B$7,J1220*1000+MIN(C1220,999),C1220*1000+J1220)+0.00997600)</f>
        <v>20062013.009976</v>
      </c>
      <c r="U1220" s="2">
        <f>IF(C1220=0,"",IF(COUNTIFS($S$1197:$S$1256,SUBSTITUTE(SUBSTITUTE(SUBSTITUTE(S1220,"~","~~"),"*","~*"),"?","~?"),$T$1197:$T$1256,"&gt;"&amp;T1220)=0,S1220,""))</f>
        <v/>
      </c>
    </row>
    <row r="1221" spans="1:21" ht="38" customHeight="1">
      <c r="A1221" s="8" t="s">
        <v>630</v>
      </c>
      <c r="B1221" s="8" t="s">
        <v>109</v>
      </c>
      <c r="C1221" s="12">
        <f>COUNTIFS('DEF_SELF_SCOUT_IMPORT'!$L$42:$L$1040,"Y",'DEF_SELF_SCOUT_IMPORT'!$E$42:$E$1040,SUBSTITUTE(SUBSTITUTE(SUBSTITUTE($B1221,"~","~~"),"*","~*"),"?","~?"))</f>
        <v>1</v>
      </c>
      <c r="D1221" s="10">
        <f>IF($C1221=0,"",SUMIFS('DEF_SELF_SCOUT_IMPORT'!$J$42:$J$1040,'DEF_SELF_SCOUT_IMPORT'!$L$42:$L$1040,"Y",'DEF_SELF_SCOUT_IMPORT'!$E$42:$E$1040,SUBSTITUTE(SUBSTITUTE(SUBSTITUTE($B1221,"~","~~"),"*","~*"),"?","~?"))/$C1221)</f>
        <v>0.0</v>
      </c>
      <c r="E1221" s="10">
        <f>IF($C1221=0,"",SUMIFS('DEF_SELF_SCOUT_IMPORT'!$K$42:$K$1040,'DEF_SELF_SCOUT_IMPORT'!$L$42:$L$1040,"Y",'DEF_SELF_SCOUT_IMPORT'!$E$42:$E$1040,SUBSTITUTE(SUBSTITUTE(SUBSTITUTE($B1221,"~","~~"),"*","~*"),"?","~?"))/$C1221)</f>
        <v>1.0</v>
      </c>
      <c r="F1221" s="11">
        <f>IF($C1221=0,"",AVERAGEIFS('DEF_SELF_SCOUT_IMPORT'!$I$42:$I$1040,'DEF_SELF_SCOUT_IMPORT'!$L$42:$L$1040,"Y",'DEF_SELF_SCOUT_IMPORT'!$E$42:$E$1040,SUBSTITUTE(SUBSTITUTE(SUBSTITUTE($B1221,"~","~~"),"*","~*"),"?","~?")))</f>
        <v>16.0</v>
      </c>
      <c r="G1221" s="10">
        <f>IF($C1221=0,"",COUNTIFS('DEF_SELF_SCOUT_IMPORT'!$L$42:$L$1040,"Y",'DEF_SELF_SCOUT_IMPORT'!$E$42:$E$1040,SUBSTITUTE(SUBSTITUTE(SUBSTITUTE($B1221,"~","~~"),"*","~*"),"?","~?"),'DEF_SELF_SCOUT_IMPORT'!$H$42:$H$1040,"RUSH")/$C1221)</f>
        <v>0.0</v>
      </c>
      <c r="H1221" s="10">
        <f>IF($C1221=0,"",COUNTIFS('DEF_SELF_SCOUT_IMPORT'!$L$42:$L$1040,"Y",'DEF_SELF_SCOUT_IMPORT'!$E$42:$E$1040,SUBSTITUTE(SUBSTITUTE(SUBSTITUTE($B1221,"~","~~"),"*","~*"),"?","~?"),'DEF_SELF_SCOUT_IMPORT'!$H$42:$H$1040,"DROPBACK")/$C1221)</f>
        <v>1.0</v>
      </c>
      <c r="I1221" s="14" t="str">
        <f>IF(C1221=0,"",IF(C1221&lt;=2,"TRACK",IF(C1221=3,"LOW",IF(C1221&lt;=6,"MEDIUM","HIGH"))))</f>
        <v>TRACK</v>
      </c>
      <c r="J1221" s="11">
        <f>IF(C1221=0,"",ROUND(D1221*70+(1-E1221)*20+MAX(0,MIN(1,(10-F1221)/10))*10,1))</f>
        <v>0.0</v>
      </c>
      <c r="K1221" s="14" t="str">
        <f>IF(C1221=0,"No Evidence",IF(C1221&lt;=2,IF(E1221&gt;0,"Explosive Alert","Track Only"),IF(C1221=3,"Sample Watch",IF(E1221&gt;=START_HERE!$B$31,"Explosive Alert",IF(J1221&gt;=80,"Strong Candidate",IF(J1221&gt;=65,"Good Candidate",IF(J1221&gt;=50,"Mixed / Review","Problem Call")))))))</f>
        <v>Explosive Alert</v>
      </c>
      <c r="L1221" s="9" t="str">
        <f>IF(COUNTIFS('DEF_SELF_SCOUT_IMPORT'!$L$42:$L$1040,"Y",'DEF_SELF_SCOUT_IMPORT'!$E$42:$E$1040,SUBSTITUTE(SUBSTITUTE(SUBSTITUTE($B1221,"~","~~"),"*","~*"),"?","~?"),'DEF_SELF_SCOUT_IMPORT'!$J$42:$J$1040,"")&gt;0,"Unscored clean outcome; review result tags before using score.",IF(C1221=0,"No matching defensive reps; film confirmation needed.",IF(K1221="Explosive Alert","Explosive risk; review clips before using as answer.",IF(C1221&lt;=2,"Track only; not enough sample.",IF(C1221=3,IF(E1221&gt;0,"Sample watch with explosive exposure; review clips and build the sample.",IF(J1221&gt;=65,"Good signal, but sample is limited.","Sample watch; review clips and build the sample.")),IF(K1221="Problem Call","Problem area; practice or call-sheet review.",IF(K1221="Strong Candidate","Strong call-fit candidate; confirm on film.",IF(K1221="Good Candidate","Good call-fit signal; confirm on film.","Mixed signal; review fit and execution on film."))))))))</f>
        <v>Explosive risk; review clips before using as answer.</v>
      </c>
      <c r="M1221" s="8"/>
      <c r="N1221" s="8"/>
      <c r="O1221" s="8"/>
      <c r="P1221" s="8"/>
      <c r="Q1221" s="8"/>
      <c r="R1221" s="8" t="s">
        <v>28</v>
      </c>
      <c r="S1221" s="2" t="s">
        <v>631</v>
      </c>
      <c r="T1221" s="2">
        <f>IF(C1221=0,0,IF(C1221&gt;=CALL_LOOKUP_BOARD!$B$7,IF(OR(K1221="Problem Call",K1221="Explosive Alert"),10000000,20000000),0)+IF(C1221&gt;=CALL_LOOKUP_BOARD!$B$7,J1221*1000+MIN(C1221,999),C1221*1000+J1221)+0.00997500)</f>
        <v>1000.009975</v>
      </c>
      <c r="U1221" s="2">
        <f>IF(C1221=0,"",IF(COUNTIFS($S$1197:$S$1256,SUBSTITUTE(SUBSTITUTE(SUBSTITUTE(S1221,"~","~~"),"*","~*"),"?","~?"),$T$1197:$T$1256,"&gt;"&amp;T1221)=0,S1221,""))</f>
        <v/>
      </c>
    </row>
    <row r="1222" spans="1:21" ht="38" customHeight="1">
      <c r="A1222" s="8" t="s">
        <v>630</v>
      </c>
      <c r="B1222" s="8" t="s">
        <v>54</v>
      </c>
      <c r="C1222" s="12">
        <f>COUNTIFS('DEF_SELF_SCOUT_IMPORT'!$L$42:$L$1040,"Y",'DEF_SELF_SCOUT_IMPORT'!$E$42:$E$1040,SUBSTITUTE(SUBSTITUTE(SUBSTITUTE($B1222,"~","~~"),"*","~*"),"?","~?"))</f>
        <v>3</v>
      </c>
      <c r="D1222" s="10">
        <f>IF($C1222=0,"",SUMIFS('DEF_SELF_SCOUT_IMPORT'!$J$42:$J$1040,'DEF_SELF_SCOUT_IMPORT'!$L$42:$L$1040,"Y",'DEF_SELF_SCOUT_IMPORT'!$E$42:$E$1040,SUBSTITUTE(SUBSTITUTE(SUBSTITUTE($B1222,"~","~~"),"*","~*"),"?","~?"))/$C1222)</f>
        <v>0.3333333333333333</v>
      </c>
      <c r="E1222" s="10">
        <f>IF($C1222=0,"",SUMIFS('DEF_SELF_SCOUT_IMPORT'!$K$42:$K$1040,'DEF_SELF_SCOUT_IMPORT'!$L$42:$L$1040,"Y",'DEF_SELF_SCOUT_IMPORT'!$E$42:$E$1040,SUBSTITUTE(SUBSTITUTE(SUBSTITUTE($B1222,"~","~~"),"*","~*"),"?","~?"))/$C1222)</f>
        <v>0.3333333333333333</v>
      </c>
      <c r="F1222" s="11">
        <f>IF($C1222=0,"",AVERAGEIFS('DEF_SELF_SCOUT_IMPORT'!$I$42:$I$1040,'DEF_SELF_SCOUT_IMPORT'!$L$42:$L$1040,"Y",'DEF_SELF_SCOUT_IMPORT'!$E$42:$E$1040,SUBSTITUTE(SUBSTITUTE(SUBSTITUTE($B1222,"~","~~"),"*","~*"),"?","~?")))</f>
        <v>8.666666666666666</v>
      </c>
      <c r="G1222" s="10">
        <f>IF($C1222=0,"",COUNTIFS('DEF_SELF_SCOUT_IMPORT'!$L$42:$L$1040,"Y",'DEF_SELF_SCOUT_IMPORT'!$E$42:$E$1040,SUBSTITUTE(SUBSTITUTE(SUBSTITUTE($B1222,"~","~~"),"*","~*"),"?","~?"),'DEF_SELF_SCOUT_IMPORT'!$H$42:$H$1040,"RUSH")/$C1222)</f>
        <v>0.6666666666666666</v>
      </c>
      <c r="H1222" s="10">
        <f>IF($C1222=0,"",COUNTIFS('DEF_SELF_SCOUT_IMPORT'!$L$42:$L$1040,"Y",'DEF_SELF_SCOUT_IMPORT'!$E$42:$E$1040,SUBSTITUTE(SUBSTITUTE(SUBSTITUTE($B1222,"~","~~"),"*","~*"),"?","~?"),'DEF_SELF_SCOUT_IMPORT'!$H$42:$H$1040,"DROPBACK")/$C1222)</f>
        <v>0.3333333333333333</v>
      </c>
      <c r="I1222" s="14" t="str">
        <f>IF(C1222=0,"",IF(C1222&lt;=2,"TRACK",IF(C1222=3,"LOW",IF(C1222&lt;=6,"MEDIUM","HIGH"))))</f>
        <v>LOW</v>
      </c>
      <c r="J1222" s="11">
        <f>IF(C1222=0,"",ROUND(D1222*70+(1-E1222)*20+MAX(0,MIN(1,(10-F1222)/10))*10,1))</f>
        <v>38.0</v>
      </c>
      <c r="K1222" s="14" t="str">
        <f>IF(C1222=0,"No Evidence",IF(C1222&lt;=2,IF(E1222&gt;0,"Explosive Alert","Track Only"),IF(C1222=3,"Sample Watch",IF(E1222&gt;=START_HERE!$B$31,"Explosive Alert",IF(J1222&gt;=80,"Strong Candidate",IF(J1222&gt;=65,"Good Candidate",IF(J1222&gt;=50,"Mixed / Review","Problem Call")))))))</f>
        <v>Sample Watch</v>
      </c>
      <c r="L1222" s="9" t="str">
        <f>IF(COUNTIFS('DEF_SELF_SCOUT_IMPORT'!$L$42:$L$1040,"Y",'DEF_SELF_SCOUT_IMPORT'!$E$42:$E$1040,SUBSTITUTE(SUBSTITUTE(SUBSTITUTE($B1222,"~","~~"),"*","~*"),"?","~?"),'DEF_SELF_SCOUT_IMPORT'!$J$42:$J$1040,"")&gt;0,"Unscored clean outcome; review result tags before using score.",IF(C1222=0,"No matching defensive reps; film confirmation needed.",IF(K1222="Explosive Alert","Explosive risk; review clips before using as answer.",IF(C1222&lt;=2,"Track only; not enough sample.",IF(C1222=3,IF(E1222&gt;0,"Sample watch with explosive exposure; review clips and build the sample.",IF(J1222&gt;=65,"Good signal, but sample is limited.","Sample watch; review clips and build the sample.")),IF(K1222="Problem Call","Problem area; practice or call-sheet review.",IF(K1222="Strong Candidate","Strong call-fit candidate; confirm on film.",IF(K1222="Good Candidate","Good call-fit signal; confirm on film.","Mixed signal; review fit and execution on film."))))))))</f>
        <v>Sample watch with explosive exposure; review clips and build the sample.</v>
      </c>
      <c r="M1222" s="8"/>
      <c r="N1222" s="8"/>
      <c r="O1222" s="8"/>
      <c r="P1222" s="8"/>
      <c r="Q1222" s="8"/>
      <c r="R1222" s="8" t="s">
        <v>28</v>
      </c>
      <c r="S1222" s="2" t="s">
        <v>631</v>
      </c>
      <c r="T1222" s="2">
        <f>IF(C1222=0,0,IF(C1222&gt;=CALL_LOOKUP_BOARD!$B$7,IF(OR(K1222="Problem Call",K1222="Explosive Alert"),10000000,20000000),0)+IF(C1222&gt;=CALL_LOOKUP_BOARD!$B$7,J1222*1000+MIN(C1222,999),C1222*1000+J1222)+0.00997400)</f>
        <v>3038.009974</v>
      </c>
      <c r="U1222" s="2">
        <f>IF(C1222=0,"",IF(COUNTIFS($S$1197:$S$1256,SUBSTITUTE(SUBSTITUTE(SUBSTITUTE(S1222,"~","~~"),"*","~*"),"?","~?"),$T$1197:$T$1256,"&gt;"&amp;T1222)=0,S1222,""))</f>
        <v/>
      </c>
    </row>
    <row r="1223" spans="1:21" ht="38" customHeight="1">
      <c r="A1223" s="8" t="s">
        <v>630</v>
      </c>
      <c r="B1223" s="8" t="s">
        <v>55</v>
      </c>
      <c r="C1223" s="12">
        <f>COUNTIFS('DEF_SELF_SCOUT_IMPORT'!$L$42:$L$1040,"Y",'DEF_SELF_SCOUT_IMPORT'!$E$42:$E$1040,SUBSTITUTE(SUBSTITUTE(SUBSTITUTE($B1223,"~","~~"),"*","~*"),"?","~?"))</f>
        <v>2</v>
      </c>
      <c r="D1223" s="10">
        <f>IF($C1223=0,"",SUMIFS('DEF_SELF_SCOUT_IMPORT'!$J$42:$J$1040,'DEF_SELF_SCOUT_IMPORT'!$L$42:$L$1040,"Y",'DEF_SELF_SCOUT_IMPORT'!$E$42:$E$1040,SUBSTITUTE(SUBSTITUTE(SUBSTITUTE($B1223,"~","~~"),"*","~*"),"?","~?"))/$C1223)</f>
        <v>0.5</v>
      </c>
      <c r="E1223" s="10">
        <f>IF($C1223=0,"",SUMIFS('DEF_SELF_SCOUT_IMPORT'!$K$42:$K$1040,'DEF_SELF_SCOUT_IMPORT'!$L$42:$L$1040,"Y",'DEF_SELF_SCOUT_IMPORT'!$E$42:$E$1040,SUBSTITUTE(SUBSTITUTE(SUBSTITUTE($B1223,"~","~~"),"*","~*"),"?","~?"))/$C1223)</f>
        <v>0.0</v>
      </c>
      <c r="F1223" s="11">
        <f>IF($C1223=0,"",AVERAGEIFS('DEF_SELF_SCOUT_IMPORT'!$I$42:$I$1040,'DEF_SELF_SCOUT_IMPORT'!$L$42:$L$1040,"Y",'DEF_SELF_SCOUT_IMPORT'!$E$42:$E$1040,SUBSTITUTE(SUBSTITUTE(SUBSTITUTE($B1223,"~","~~"),"*","~*"),"?","~?")))</f>
        <v>6.0</v>
      </c>
      <c r="G1223" s="10">
        <f>IF($C1223=0,"",COUNTIFS('DEF_SELF_SCOUT_IMPORT'!$L$42:$L$1040,"Y",'DEF_SELF_SCOUT_IMPORT'!$E$42:$E$1040,SUBSTITUTE(SUBSTITUTE(SUBSTITUTE($B1223,"~","~~"),"*","~*"),"?","~?"),'DEF_SELF_SCOUT_IMPORT'!$H$42:$H$1040,"RUSH")/$C1223)</f>
        <v>1.0</v>
      </c>
      <c r="H1223" s="10">
        <f>IF($C1223=0,"",COUNTIFS('DEF_SELF_SCOUT_IMPORT'!$L$42:$L$1040,"Y",'DEF_SELF_SCOUT_IMPORT'!$E$42:$E$1040,SUBSTITUTE(SUBSTITUTE(SUBSTITUTE($B1223,"~","~~"),"*","~*"),"?","~?"),'DEF_SELF_SCOUT_IMPORT'!$H$42:$H$1040,"DROPBACK")/$C1223)</f>
        <v>0.0</v>
      </c>
      <c r="I1223" s="14" t="str">
        <f>IF(C1223=0,"",IF(C1223&lt;=2,"TRACK",IF(C1223=3,"LOW",IF(C1223&lt;=6,"MEDIUM","HIGH"))))</f>
        <v>TRACK</v>
      </c>
      <c r="J1223" s="11">
        <f>IF(C1223=0,"",ROUND(D1223*70+(1-E1223)*20+MAX(0,MIN(1,(10-F1223)/10))*10,1))</f>
        <v>59.0</v>
      </c>
      <c r="K1223" s="14" t="str">
        <f>IF(C1223=0,"No Evidence",IF(C1223&lt;=2,IF(E1223&gt;0,"Explosive Alert","Track Only"),IF(C1223=3,"Sample Watch",IF(E1223&gt;=START_HERE!$B$31,"Explosive Alert",IF(J1223&gt;=80,"Strong Candidate",IF(J1223&gt;=65,"Good Candidate",IF(J1223&gt;=50,"Mixed / Review","Problem Call")))))))</f>
        <v>Track Only</v>
      </c>
      <c r="L1223" s="9" t="str">
        <f>IF(COUNTIFS('DEF_SELF_SCOUT_IMPORT'!$L$42:$L$1040,"Y",'DEF_SELF_SCOUT_IMPORT'!$E$42:$E$1040,SUBSTITUTE(SUBSTITUTE(SUBSTITUTE($B1223,"~","~~"),"*","~*"),"?","~?"),'DEF_SELF_SCOUT_IMPORT'!$J$42:$J$1040,"")&gt;0,"Unscored clean outcome; review result tags before using score.",IF(C1223=0,"No matching defensive reps; film confirmation needed.",IF(K1223="Explosive Alert","Explosive risk; review clips before using as answer.",IF(C1223&lt;=2,"Track only; not enough sample.",IF(C1223=3,IF(E1223&gt;0,"Sample watch with explosive exposure; review clips and build the sample.",IF(J1223&gt;=65,"Good signal, but sample is limited.","Sample watch; review clips and build the sample.")),IF(K1223="Problem Call","Problem area; practice or call-sheet review.",IF(K1223="Strong Candidate","Strong call-fit candidate; confirm on film.",IF(K1223="Good Candidate","Good call-fit signal; confirm on film.","Mixed signal; review fit and execution on film."))))))))</f>
        <v>Track only; not enough sample.</v>
      </c>
      <c r="M1223" s="8"/>
      <c r="N1223" s="8"/>
      <c r="O1223" s="8"/>
      <c r="P1223" s="8"/>
      <c r="Q1223" s="8"/>
      <c r="R1223" s="8" t="s">
        <v>28</v>
      </c>
      <c r="S1223" s="2" t="s">
        <v>631</v>
      </c>
      <c r="T1223" s="2">
        <f>IF(C1223=0,0,IF(C1223&gt;=CALL_LOOKUP_BOARD!$B$7,IF(OR(K1223="Problem Call",K1223="Explosive Alert"),10000000,20000000),0)+IF(C1223&gt;=CALL_LOOKUP_BOARD!$B$7,J1223*1000+MIN(C1223,999),C1223*1000+J1223)+0.00997300)</f>
        <v>2059.009973</v>
      </c>
      <c r="U1223" s="2">
        <f>IF(C1223=0,"",IF(COUNTIFS($S$1197:$S$1256,SUBSTITUTE(SUBSTITUTE(SUBSTITUTE(S1223,"~","~~"),"*","~*"),"?","~?"),$T$1197:$T$1256,"&gt;"&amp;T1223)=0,S1223,""))</f>
        <v/>
      </c>
    </row>
    <row r="1224" spans="1:21" ht="38" customHeight="1">
      <c r="A1224" s="8" t="s">
        <v>630</v>
      </c>
      <c r="B1224" s="8" t="s">
        <v>117</v>
      </c>
      <c r="C1224" s="12">
        <f>COUNTIFS('DEF_SELF_SCOUT_IMPORT'!$L$42:$L$1040,"Y",'DEF_SELF_SCOUT_IMPORT'!$E$42:$E$1040,SUBSTITUTE(SUBSTITUTE(SUBSTITUTE($B1224,"~","~~"),"*","~*"),"?","~?"))</f>
        <v>1</v>
      </c>
      <c r="D1224" s="10">
        <f>IF($C1224=0,"",SUMIFS('DEF_SELF_SCOUT_IMPORT'!$J$42:$J$1040,'DEF_SELF_SCOUT_IMPORT'!$L$42:$L$1040,"Y",'DEF_SELF_SCOUT_IMPORT'!$E$42:$E$1040,SUBSTITUTE(SUBSTITUTE(SUBSTITUTE($B1224,"~","~~"),"*","~*"),"?","~?"))/$C1224)</f>
        <v>0.0</v>
      </c>
      <c r="E1224" s="10">
        <f>IF($C1224=0,"",SUMIFS('DEF_SELF_SCOUT_IMPORT'!$K$42:$K$1040,'DEF_SELF_SCOUT_IMPORT'!$L$42:$L$1040,"Y",'DEF_SELF_SCOUT_IMPORT'!$E$42:$E$1040,SUBSTITUTE(SUBSTITUTE(SUBSTITUTE($B1224,"~","~~"),"*","~*"),"?","~?"))/$C1224)</f>
        <v>1.0</v>
      </c>
      <c r="F1224" s="11">
        <f>IF($C1224=0,"",AVERAGEIFS('DEF_SELF_SCOUT_IMPORT'!$I$42:$I$1040,'DEF_SELF_SCOUT_IMPORT'!$L$42:$L$1040,"Y",'DEF_SELF_SCOUT_IMPORT'!$E$42:$E$1040,SUBSTITUTE(SUBSTITUTE(SUBSTITUTE($B1224,"~","~~"),"*","~*"),"?","~?")))</f>
        <v>16.0</v>
      </c>
      <c r="G1224" s="10">
        <f>IF($C1224=0,"",COUNTIFS('DEF_SELF_SCOUT_IMPORT'!$L$42:$L$1040,"Y",'DEF_SELF_SCOUT_IMPORT'!$E$42:$E$1040,SUBSTITUTE(SUBSTITUTE(SUBSTITUTE($B1224,"~","~~"),"*","~*"),"?","~?"),'DEF_SELF_SCOUT_IMPORT'!$H$42:$H$1040,"RUSH")/$C1224)</f>
        <v>0.0</v>
      </c>
      <c r="H1224" s="10">
        <f>IF($C1224=0,"",COUNTIFS('DEF_SELF_SCOUT_IMPORT'!$L$42:$L$1040,"Y",'DEF_SELF_SCOUT_IMPORT'!$E$42:$E$1040,SUBSTITUTE(SUBSTITUTE(SUBSTITUTE($B1224,"~","~~"),"*","~*"),"?","~?"),'DEF_SELF_SCOUT_IMPORT'!$H$42:$H$1040,"DROPBACK")/$C1224)</f>
        <v>1.0</v>
      </c>
      <c r="I1224" s="14" t="str">
        <f>IF(C1224=0,"",IF(C1224&lt;=2,"TRACK",IF(C1224=3,"LOW",IF(C1224&lt;=6,"MEDIUM","HIGH"))))</f>
        <v>TRACK</v>
      </c>
      <c r="J1224" s="11">
        <f>IF(C1224=0,"",ROUND(D1224*70+(1-E1224)*20+MAX(0,MIN(1,(10-F1224)/10))*10,1))</f>
        <v>0.0</v>
      </c>
      <c r="K1224" s="14" t="str">
        <f>IF(C1224=0,"No Evidence",IF(C1224&lt;=2,IF(E1224&gt;0,"Explosive Alert","Track Only"),IF(C1224=3,"Sample Watch",IF(E1224&gt;=START_HERE!$B$31,"Explosive Alert",IF(J1224&gt;=80,"Strong Candidate",IF(J1224&gt;=65,"Good Candidate",IF(J1224&gt;=50,"Mixed / Review","Problem Call")))))))</f>
        <v>Explosive Alert</v>
      </c>
      <c r="L1224" s="9" t="str">
        <f>IF(COUNTIFS('DEF_SELF_SCOUT_IMPORT'!$L$42:$L$1040,"Y",'DEF_SELF_SCOUT_IMPORT'!$E$42:$E$1040,SUBSTITUTE(SUBSTITUTE(SUBSTITUTE($B1224,"~","~~"),"*","~*"),"?","~?"),'DEF_SELF_SCOUT_IMPORT'!$J$42:$J$1040,"")&gt;0,"Unscored clean outcome; review result tags before using score.",IF(C1224=0,"No matching defensive reps; film confirmation needed.",IF(K1224="Explosive Alert","Explosive risk; review clips before using as answer.",IF(C1224&lt;=2,"Track only; not enough sample.",IF(C1224=3,IF(E1224&gt;0,"Sample watch with explosive exposure; review clips and build the sample.",IF(J1224&gt;=65,"Good signal, but sample is limited.","Sample watch; review clips and build the sample.")),IF(K1224="Problem Call","Problem area; practice or call-sheet review.",IF(K1224="Strong Candidate","Strong call-fit candidate; confirm on film.",IF(K1224="Good Candidate","Good call-fit signal; confirm on film.","Mixed signal; review fit and execution on film."))))))))</f>
        <v>Explosive risk; review clips before using as answer.</v>
      </c>
      <c r="M1224" s="8"/>
      <c r="N1224" s="8"/>
      <c r="O1224" s="8"/>
      <c r="P1224" s="8"/>
      <c r="Q1224" s="8"/>
      <c r="R1224" s="8" t="s">
        <v>28</v>
      </c>
      <c r="S1224" s="2" t="s">
        <v>631</v>
      </c>
      <c r="T1224" s="2">
        <f>IF(C1224=0,0,IF(C1224&gt;=CALL_LOOKUP_BOARD!$B$7,IF(OR(K1224="Problem Call",K1224="Explosive Alert"),10000000,20000000),0)+IF(C1224&gt;=CALL_LOOKUP_BOARD!$B$7,J1224*1000+MIN(C1224,999),C1224*1000+J1224)+0.00997200)</f>
        <v>1000.009972</v>
      </c>
      <c r="U1224" s="2">
        <f>IF(C1224=0,"",IF(COUNTIFS($S$1197:$S$1256,SUBSTITUTE(SUBSTITUTE(SUBSTITUTE(S1224,"~","~~"),"*","~*"),"?","~?"),$T$1197:$T$1256,"&gt;"&amp;T1224)=0,S1224,""))</f>
        <v/>
      </c>
    </row>
    <row r="1225" spans="1:21" ht="38" customHeight="1">
      <c r="A1225" s="8" t="s">
        <v>630</v>
      </c>
      <c r="B1225" s="8" t="s">
        <v>81</v>
      </c>
      <c r="C1225" s="12">
        <f>COUNTIFS('DEF_SELF_SCOUT_IMPORT'!$L$42:$L$1040,"Y",'DEF_SELF_SCOUT_IMPORT'!$E$42:$E$1040,SUBSTITUTE(SUBSTITUTE(SUBSTITUTE($B1225,"~","~~"),"*","~*"),"?","~?"))</f>
        <v>2</v>
      </c>
      <c r="D1225" s="10">
        <f>IF($C1225=0,"",SUMIFS('DEF_SELF_SCOUT_IMPORT'!$J$42:$J$1040,'DEF_SELF_SCOUT_IMPORT'!$L$42:$L$1040,"Y",'DEF_SELF_SCOUT_IMPORT'!$E$42:$E$1040,SUBSTITUTE(SUBSTITUTE(SUBSTITUTE($B1225,"~","~~"),"*","~*"),"?","~?"))/$C1225)</f>
        <v>0.5</v>
      </c>
      <c r="E1225" s="10">
        <f>IF($C1225=0,"",SUMIFS('DEF_SELF_SCOUT_IMPORT'!$K$42:$K$1040,'DEF_SELF_SCOUT_IMPORT'!$L$42:$L$1040,"Y",'DEF_SELF_SCOUT_IMPORT'!$E$42:$E$1040,SUBSTITUTE(SUBSTITUTE(SUBSTITUTE($B1225,"~","~~"),"*","~*"),"?","~?"))/$C1225)</f>
        <v>0.0</v>
      </c>
      <c r="F1225" s="11">
        <f>IF($C1225=0,"",AVERAGEIFS('DEF_SELF_SCOUT_IMPORT'!$I$42:$I$1040,'DEF_SELF_SCOUT_IMPORT'!$L$42:$L$1040,"Y",'DEF_SELF_SCOUT_IMPORT'!$E$42:$E$1040,SUBSTITUTE(SUBSTITUTE(SUBSTITUTE($B1225,"~","~~"),"*","~*"),"?","~?")))</f>
        <v>2.0</v>
      </c>
      <c r="G1225" s="10">
        <f>IF($C1225=0,"",COUNTIFS('DEF_SELF_SCOUT_IMPORT'!$L$42:$L$1040,"Y",'DEF_SELF_SCOUT_IMPORT'!$E$42:$E$1040,SUBSTITUTE(SUBSTITUTE(SUBSTITUTE($B1225,"~","~~"),"*","~*"),"?","~?"),'DEF_SELF_SCOUT_IMPORT'!$H$42:$H$1040,"RUSH")/$C1225)</f>
        <v>0.5</v>
      </c>
      <c r="H1225" s="10">
        <f>IF($C1225=0,"",COUNTIFS('DEF_SELF_SCOUT_IMPORT'!$L$42:$L$1040,"Y",'DEF_SELF_SCOUT_IMPORT'!$E$42:$E$1040,SUBSTITUTE(SUBSTITUTE(SUBSTITUTE($B1225,"~","~~"),"*","~*"),"?","~?"),'DEF_SELF_SCOUT_IMPORT'!$H$42:$H$1040,"DROPBACK")/$C1225)</f>
        <v>0.5</v>
      </c>
      <c r="I1225" s="14" t="str">
        <f>IF(C1225=0,"",IF(C1225&lt;=2,"TRACK",IF(C1225=3,"LOW",IF(C1225&lt;=6,"MEDIUM","HIGH"))))</f>
        <v>TRACK</v>
      </c>
      <c r="J1225" s="11">
        <f>IF(C1225=0,"",ROUND(D1225*70+(1-E1225)*20+MAX(0,MIN(1,(10-F1225)/10))*10,1))</f>
        <v>63.0</v>
      </c>
      <c r="K1225" s="14" t="str">
        <f>IF(C1225=0,"No Evidence",IF(C1225&lt;=2,IF(E1225&gt;0,"Explosive Alert","Track Only"),IF(C1225=3,"Sample Watch",IF(E1225&gt;=START_HERE!$B$31,"Explosive Alert",IF(J1225&gt;=80,"Strong Candidate",IF(J1225&gt;=65,"Good Candidate",IF(J1225&gt;=50,"Mixed / Review","Problem Call")))))))</f>
        <v>Track Only</v>
      </c>
      <c r="L1225" s="9" t="str">
        <f>IF(COUNTIFS('DEF_SELF_SCOUT_IMPORT'!$L$42:$L$1040,"Y",'DEF_SELF_SCOUT_IMPORT'!$E$42:$E$1040,SUBSTITUTE(SUBSTITUTE(SUBSTITUTE($B1225,"~","~~"),"*","~*"),"?","~?"),'DEF_SELF_SCOUT_IMPORT'!$J$42:$J$1040,"")&gt;0,"Unscored clean outcome; review result tags before using score.",IF(C1225=0,"No matching defensive reps; film confirmation needed.",IF(K1225="Explosive Alert","Explosive risk; review clips before using as answer.",IF(C1225&lt;=2,"Track only; not enough sample.",IF(C1225=3,IF(E1225&gt;0,"Sample watch with explosive exposure; review clips and build the sample.",IF(J1225&gt;=65,"Good signal, but sample is limited.","Sample watch; review clips and build the sample.")),IF(K1225="Problem Call","Problem area; practice or call-sheet review.",IF(K1225="Strong Candidate","Strong call-fit candidate; confirm on film.",IF(K1225="Good Candidate","Good call-fit signal; confirm on film.","Mixed signal; review fit and execution on film."))))))))</f>
        <v>Track only; not enough sample.</v>
      </c>
      <c r="M1225" s="8"/>
      <c r="N1225" s="8"/>
      <c r="O1225" s="8"/>
      <c r="P1225" s="8"/>
      <c r="Q1225" s="8"/>
      <c r="R1225" s="8" t="s">
        <v>28</v>
      </c>
      <c r="S1225" s="2" t="s">
        <v>631</v>
      </c>
      <c r="T1225" s="2">
        <f>IF(C1225=0,0,IF(C1225&gt;=CALL_LOOKUP_BOARD!$B$7,IF(OR(K1225="Problem Call",K1225="Explosive Alert"),10000000,20000000),0)+IF(C1225&gt;=CALL_LOOKUP_BOARD!$B$7,J1225*1000+MIN(C1225,999),C1225*1000+J1225)+0.00997100)</f>
        <v>2063.009971</v>
      </c>
      <c r="U1225" s="2">
        <f>IF(C1225=0,"",IF(COUNTIFS($S$1197:$S$1256,SUBSTITUTE(SUBSTITUTE(SUBSTITUTE(S1225,"~","~~"),"*","~*"),"?","~?"),$T$1197:$T$1256,"&gt;"&amp;T1225)=0,S1225,""))</f>
        <v/>
      </c>
    </row>
    <row r="1226" spans="1:21" ht="38" customHeight="1">
      <c r="A1226" s="8" t="s">
        <v>630</v>
      </c>
      <c r="B1226" s="8" t="s">
        <v>99</v>
      </c>
      <c r="C1226" s="12">
        <f>COUNTIFS('DEF_SELF_SCOUT_IMPORT'!$L$42:$L$1040,"Y",'DEF_SELF_SCOUT_IMPORT'!$E$42:$E$1040,SUBSTITUTE(SUBSTITUTE(SUBSTITUTE($B1226,"~","~~"),"*","~*"),"?","~?"))</f>
        <v>3</v>
      </c>
      <c r="D1226" s="10">
        <f>IF($C1226=0,"",SUMIFS('DEF_SELF_SCOUT_IMPORT'!$J$42:$J$1040,'DEF_SELF_SCOUT_IMPORT'!$L$42:$L$1040,"Y",'DEF_SELF_SCOUT_IMPORT'!$E$42:$E$1040,SUBSTITUTE(SUBSTITUTE(SUBSTITUTE($B1226,"~","~~"),"*","~*"),"?","~?"))/$C1226)</f>
        <v>0.3333333333333333</v>
      </c>
      <c r="E1226" s="10">
        <f>IF($C1226=0,"",SUMIFS('DEF_SELF_SCOUT_IMPORT'!$K$42:$K$1040,'DEF_SELF_SCOUT_IMPORT'!$L$42:$L$1040,"Y",'DEF_SELF_SCOUT_IMPORT'!$E$42:$E$1040,SUBSTITUTE(SUBSTITUTE(SUBSTITUTE($B1226,"~","~~"),"*","~*"),"?","~?"))/$C1226)</f>
        <v>0.0</v>
      </c>
      <c r="F1226" s="11">
        <f>IF($C1226=0,"",AVERAGEIFS('DEF_SELF_SCOUT_IMPORT'!$I$42:$I$1040,'DEF_SELF_SCOUT_IMPORT'!$L$42:$L$1040,"Y",'DEF_SELF_SCOUT_IMPORT'!$E$42:$E$1040,SUBSTITUTE(SUBSTITUTE(SUBSTITUTE($B1226,"~","~~"),"*","~*"),"?","~?")))</f>
        <v>8.666666666666666</v>
      </c>
      <c r="G1226" s="10">
        <f>IF($C1226=0,"",COUNTIFS('DEF_SELF_SCOUT_IMPORT'!$L$42:$L$1040,"Y",'DEF_SELF_SCOUT_IMPORT'!$E$42:$E$1040,SUBSTITUTE(SUBSTITUTE(SUBSTITUTE($B1226,"~","~~"),"*","~*"),"?","~?"),'DEF_SELF_SCOUT_IMPORT'!$H$42:$H$1040,"RUSH")/$C1226)</f>
        <v>0.0</v>
      </c>
      <c r="H1226" s="10">
        <f>IF($C1226=0,"",COUNTIFS('DEF_SELF_SCOUT_IMPORT'!$L$42:$L$1040,"Y",'DEF_SELF_SCOUT_IMPORT'!$E$42:$E$1040,SUBSTITUTE(SUBSTITUTE(SUBSTITUTE($B1226,"~","~~"),"*","~*"),"?","~?"),'DEF_SELF_SCOUT_IMPORT'!$H$42:$H$1040,"DROPBACK")/$C1226)</f>
        <v>1.0</v>
      </c>
      <c r="I1226" s="14" t="str">
        <f>IF(C1226=0,"",IF(C1226&lt;=2,"TRACK",IF(C1226=3,"LOW",IF(C1226&lt;=6,"MEDIUM","HIGH"))))</f>
        <v>LOW</v>
      </c>
      <c r="J1226" s="11">
        <f>IF(C1226=0,"",ROUND(D1226*70+(1-E1226)*20+MAX(0,MIN(1,(10-F1226)/10))*10,1))</f>
        <v>44.7</v>
      </c>
      <c r="K1226" s="14" t="str">
        <f>IF(C1226=0,"No Evidence",IF(C1226&lt;=2,IF(E1226&gt;0,"Explosive Alert","Track Only"),IF(C1226=3,"Sample Watch",IF(E1226&gt;=START_HERE!$B$31,"Explosive Alert",IF(J1226&gt;=80,"Strong Candidate",IF(J1226&gt;=65,"Good Candidate",IF(J1226&gt;=50,"Mixed / Review","Problem Call")))))))</f>
        <v>Sample Watch</v>
      </c>
      <c r="L1226" s="9" t="str">
        <f>IF(COUNTIFS('DEF_SELF_SCOUT_IMPORT'!$L$42:$L$1040,"Y",'DEF_SELF_SCOUT_IMPORT'!$E$42:$E$1040,SUBSTITUTE(SUBSTITUTE(SUBSTITUTE($B1226,"~","~~"),"*","~*"),"?","~?"),'DEF_SELF_SCOUT_IMPORT'!$J$42:$J$1040,"")&gt;0,"Unscored clean outcome; review result tags before using score.",IF(C1226=0,"No matching defensive reps; film confirmation needed.",IF(K1226="Explosive Alert","Explosive risk; review clips before using as answer.",IF(C1226&lt;=2,"Track only; not enough sample.",IF(C1226=3,IF(E1226&gt;0,"Sample watch with explosive exposure; review clips and build the sample.",IF(J1226&gt;=65,"Good signal, but sample is limited.","Sample watch; review clips and build the sample.")),IF(K1226="Problem Call","Problem area; practice or call-sheet review.",IF(K1226="Strong Candidate","Strong call-fit candidate; confirm on film.",IF(K1226="Good Candidate","Good call-fit signal; confirm on film.","Mixed signal; review fit and execution on film."))))))))</f>
        <v>Sample watch; review clips and build the sample.</v>
      </c>
      <c r="M1226" s="8"/>
      <c r="N1226" s="8"/>
      <c r="O1226" s="8"/>
      <c r="P1226" s="8"/>
      <c r="Q1226" s="8"/>
      <c r="R1226" s="8" t="s">
        <v>28</v>
      </c>
      <c r="S1226" s="2" t="s">
        <v>631</v>
      </c>
      <c r="T1226" s="2">
        <f>IF(C1226=0,0,IF(C1226&gt;=CALL_LOOKUP_BOARD!$B$7,IF(OR(K1226="Problem Call",K1226="Explosive Alert"),10000000,20000000),0)+IF(C1226&gt;=CALL_LOOKUP_BOARD!$B$7,J1226*1000+MIN(C1226,999),C1226*1000+J1226)+0.00997000)</f>
        <v>3044.70997</v>
      </c>
      <c r="U1226" s="2">
        <f>IF(C1226=0,"",IF(COUNTIFS($S$1197:$S$1256,SUBSTITUTE(SUBSTITUTE(SUBSTITUTE(S1226,"~","~~"),"*","~*"),"?","~?"),$T$1197:$T$1256,"&gt;"&amp;T1226)=0,S1226,""))</f>
        <v/>
      </c>
    </row>
    <row r="1227" spans="1:21" ht="38" customHeight="1">
      <c r="A1227" s="8" t="s">
        <v>630</v>
      </c>
      <c r="B1227" s="8" t="s">
        <v>72</v>
      </c>
      <c r="C1227" s="12">
        <f>COUNTIFS('DEF_SELF_SCOUT_IMPORT'!$L$42:$L$1040,"Y",'DEF_SELF_SCOUT_IMPORT'!$E$42:$E$1040,SUBSTITUTE(SUBSTITUTE(SUBSTITUTE($B1227,"~","~~"),"*","~*"),"?","~?"))</f>
        <v>1</v>
      </c>
      <c r="D1227" s="10">
        <f>IF($C1227=0,"",SUMIFS('DEF_SELF_SCOUT_IMPORT'!$J$42:$J$1040,'DEF_SELF_SCOUT_IMPORT'!$L$42:$L$1040,"Y",'DEF_SELF_SCOUT_IMPORT'!$E$42:$E$1040,SUBSTITUTE(SUBSTITUTE(SUBSTITUTE($B1227,"~","~~"),"*","~*"),"?","~?"))/$C1227)</f>
        <v>0.0</v>
      </c>
      <c r="E1227" s="10">
        <f>IF($C1227=0,"",SUMIFS('DEF_SELF_SCOUT_IMPORT'!$K$42:$K$1040,'DEF_SELF_SCOUT_IMPORT'!$L$42:$L$1040,"Y",'DEF_SELF_SCOUT_IMPORT'!$E$42:$E$1040,SUBSTITUTE(SUBSTITUTE(SUBSTITUTE($B1227,"~","~~"),"*","~*"),"?","~?"))/$C1227)</f>
        <v>0.0</v>
      </c>
      <c r="F1227" s="11">
        <f>IF($C1227=0,"",AVERAGEIFS('DEF_SELF_SCOUT_IMPORT'!$I$42:$I$1040,'DEF_SELF_SCOUT_IMPORT'!$L$42:$L$1040,"Y",'DEF_SELF_SCOUT_IMPORT'!$E$42:$E$1040,SUBSTITUTE(SUBSTITUTE(SUBSTITUTE($B1227,"~","~~"),"*","~*"),"?","~?")))</f>
        <v>9.0</v>
      </c>
      <c r="G1227" s="10">
        <f>IF($C1227=0,"",COUNTIFS('DEF_SELF_SCOUT_IMPORT'!$L$42:$L$1040,"Y",'DEF_SELF_SCOUT_IMPORT'!$E$42:$E$1040,SUBSTITUTE(SUBSTITUTE(SUBSTITUTE($B1227,"~","~~"),"*","~*"),"?","~?"),'DEF_SELF_SCOUT_IMPORT'!$H$42:$H$1040,"RUSH")/$C1227)</f>
        <v>0.0</v>
      </c>
      <c r="H1227" s="10">
        <f>IF($C1227=0,"",COUNTIFS('DEF_SELF_SCOUT_IMPORT'!$L$42:$L$1040,"Y",'DEF_SELF_SCOUT_IMPORT'!$E$42:$E$1040,SUBSTITUTE(SUBSTITUTE(SUBSTITUTE($B1227,"~","~~"),"*","~*"),"?","~?"),'DEF_SELF_SCOUT_IMPORT'!$H$42:$H$1040,"DROPBACK")/$C1227)</f>
        <v>1.0</v>
      </c>
      <c r="I1227" s="14" t="str">
        <f>IF(C1227=0,"",IF(C1227&lt;=2,"TRACK",IF(C1227=3,"LOW",IF(C1227&lt;=6,"MEDIUM","HIGH"))))</f>
        <v>TRACK</v>
      </c>
      <c r="J1227" s="11">
        <f>IF(C1227=0,"",ROUND(D1227*70+(1-E1227)*20+MAX(0,MIN(1,(10-F1227)/10))*10,1))</f>
        <v>21.0</v>
      </c>
      <c r="K1227" s="14" t="str">
        <f>IF(C1227=0,"No Evidence",IF(C1227&lt;=2,IF(E1227&gt;0,"Explosive Alert","Track Only"),IF(C1227=3,"Sample Watch",IF(E1227&gt;=START_HERE!$B$31,"Explosive Alert",IF(J1227&gt;=80,"Strong Candidate",IF(J1227&gt;=65,"Good Candidate",IF(J1227&gt;=50,"Mixed / Review","Problem Call")))))))</f>
        <v>Track Only</v>
      </c>
      <c r="L1227" s="9" t="str">
        <f>IF(COUNTIFS('DEF_SELF_SCOUT_IMPORT'!$L$42:$L$1040,"Y",'DEF_SELF_SCOUT_IMPORT'!$E$42:$E$1040,SUBSTITUTE(SUBSTITUTE(SUBSTITUTE($B1227,"~","~~"),"*","~*"),"?","~?"),'DEF_SELF_SCOUT_IMPORT'!$J$42:$J$1040,"")&gt;0,"Unscored clean outcome; review result tags before using score.",IF(C1227=0,"No matching defensive reps; film confirmation needed.",IF(K1227="Explosive Alert","Explosive risk; review clips before using as answer.",IF(C1227&lt;=2,"Track only; not enough sample.",IF(C1227=3,IF(E1227&gt;0,"Sample watch with explosive exposure; review clips and build the sample.",IF(J1227&gt;=65,"Good signal, but sample is limited.","Sample watch; review clips and build the sample.")),IF(K1227="Problem Call","Problem area; practice or call-sheet review.",IF(K1227="Strong Candidate","Strong call-fit candidate; confirm on film.",IF(K1227="Good Candidate","Good call-fit signal; confirm on film.","Mixed signal; review fit and execution on film."))))))))</f>
        <v>Track only; not enough sample.</v>
      </c>
      <c r="M1227" s="8"/>
      <c r="N1227" s="8"/>
      <c r="O1227" s="8"/>
      <c r="P1227" s="8"/>
      <c r="Q1227" s="8"/>
      <c r="R1227" s="8" t="s">
        <v>28</v>
      </c>
      <c r="S1227" s="2" t="s">
        <v>631</v>
      </c>
      <c r="T1227" s="2">
        <f>IF(C1227=0,0,IF(C1227&gt;=CALL_LOOKUP_BOARD!$B$7,IF(OR(K1227="Problem Call",K1227="Explosive Alert"),10000000,20000000),0)+IF(C1227&gt;=CALL_LOOKUP_BOARD!$B$7,J1227*1000+MIN(C1227,999),C1227*1000+J1227)+0.00996900)</f>
        <v>1021.009969</v>
      </c>
      <c r="U1227" s="2">
        <f>IF(C1227=0,"",IF(COUNTIFS($S$1197:$S$1256,SUBSTITUTE(SUBSTITUTE(SUBSTITUTE(S1227,"~","~~"),"*","~*"),"?","~?"),$T$1197:$T$1256,"&gt;"&amp;T1227)=0,S1227,""))</f>
        <v/>
      </c>
    </row>
    <row r="1228" spans="1:21" ht="38" customHeight="1">
      <c r="A1228" s="8" t="s">
        <v>630</v>
      </c>
      <c r="B1228" s="8" t="s">
        <v>56</v>
      </c>
      <c r="C1228" s="12">
        <f>COUNTIFS('DEF_SELF_SCOUT_IMPORT'!$L$42:$L$1040,"Y",'DEF_SELF_SCOUT_IMPORT'!$E$42:$E$1040,SUBSTITUTE(SUBSTITUTE(SUBSTITUTE($B1228,"~","~~"),"*","~*"),"?","~?"))</f>
        <v>6</v>
      </c>
      <c r="D1228" s="10">
        <f>IF($C1228=0,"",SUMIFS('DEF_SELF_SCOUT_IMPORT'!$J$42:$J$1040,'DEF_SELF_SCOUT_IMPORT'!$L$42:$L$1040,"Y",'DEF_SELF_SCOUT_IMPORT'!$E$42:$E$1040,SUBSTITUTE(SUBSTITUTE(SUBSTITUTE($B1228,"~","~~"),"*","~*"),"?","~?"))/$C1228)</f>
        <v>0.16666666666666666</v>
      </c>
      <c r="E1228" s="10">
        <f>IF($C1228=0,"",SUMIFS('DEF_SELF_SCOUT_IMPORT'!$K$42:$K$1040,'DEF_SELF_SCOUT_IMPORT'!$L$42:$L$1040,"Y",'DEF_SELF_SCOUT_IMPORT'!$E$42:$E$1040,SUBSTITUTE(SUBSTITUTE(SUBSTITUTE($B1228,"~","~~"),"*","~*"),"?","~?"))/$C1228)</f>
        <v>0.0</v>
      </c>
      <c r="F1228" s="11">
        <f>IF($C1228=0,"",AVERAGEIFS('DEF_SELF_SCOUT_IMPORT'!$I$42:$I$1040,'DEF_SELF_SCOUT_IMPORT'!$L$42:$L$1040,"Y",'DEF_SELF_SCOUT_IMPORT'!$E$42:$E$1040,SUBSTITUTE(SUBSTITUTE(SUBSTITUTE($B1228,"~","~~"),"*","~*"),"?","~?")))</f>
        <v>5.5</v>
      </c>
      <c r="G1228" s="10">
        <f>IF($C1228=0,"",COUNTIFS('DEF_SELF_SCOUT_IMPORT'!$L$42:$L$1040,"Y",'DEF_SELF_SCOUT_IMPORT'!$E$42:$E$1040,SUBSTITUTE(SUBSTITUTE(SUBSTITUTE($B1228,"~","~~"),"*","~*"),"?","~?"),'DEF_SELF_SCOUT_IMPORT'!$H$42:$H$1040,"RUSH")/$C1228)</f>
        <v>0.6666666666666666</v>
      </c>
      <c r="H1228" s="10">
        <f>IF($C1228=0,"",COUNTIFS('DEF_SELF_SCOUT_IMPORT'!$L$42:$L$1040,"Y",'DEF_SELF_SCOUT_IMPORT'!$E$42:$E$1040,SUBSTITUTE(SUBSTITUTE(SUBSTITUTE($B1228,"~","~~"),"*","~*"),"?","~?"),'DEF_SELF_SCOUT_IMPORT'!$H$42:$H$1040,"DROPBACK")/$C1228)</f>
        <v>0.3333333333333333</v>
      </c>
      <c r="I1228" s="14" t="str">
        <f>IF(C1228=0,"",IF(C1228&lt;=2,"TRACK",IF(C1228=3,"LOW",IF(C1228&lt;=6,"MEDIUM","HIGH"))))</f>
        <v>MEDIUM</v>
      </c>
      <c r="J1228" s="11">
        <f>IF(C1228=0,"",ROUND(D1228*70+(1-E1228)*20+MAX(0,MIN(1,(10-F1228)/10))*10,1))</f>
        <v>36.2</v>
      </c>
      <c r="K1228" s="14" t="str">
        <f>IF(C1228=0,"No Evidence",IF(C1228&lt;=2,IF(E1228&gt;0,"Explosive Alert","Track Only"),IF(C1228=3,"Sample Watch",IF(E1228&gt;=START_HERE!$B$31,"Explosive Alert",IF(J1228&gt;=80,"Strong Candidate",IF(J1228&gt;=65,"Good Candidate",IF(J1228&gt;=50,"Mixed / Review","Problem Call")))))))</f>
        <v>Problem Call</v>
      </c>
      <c r="L1228" s="9" t="str">
        <f>IF(COUNTIFS('DEF_SELF_SCOUT_IMPORT'!$L$42:$L$1040,"Y",'DEF_SELF_SCOUT_IMPORT'!$E$42:$E$1040,SUBSTITUTE(SUBSTITUTE(SUBSTITUTE($B1228,"~","~~"),"*","~*"),"?","~?"),'DEF_SELF_SCOUT_IMPORT'!$J$42:$J$1040,"")&gt;0,"Unscored clean outcome; review result tags before using score.",IF(C1228=0,"No matching defensive reps; film confirmation needed.",IF(K1228="Explosive Alert","Explosive risk; review clips before using as answer.",IF(C1228&lt;=2,"Track only; not enough sample.",IF(C1228=3,IF(E1228&gt;0,"Sample watch with explosive exposure; review clips and build the sample.",IF(J1228&gt;=65,"Good signal, but sample is limited.","Sample watch; review clips and build the sample.")),IF(K1228="Problem Call","Problem area; practice or call-sheet review.",IF(K1228="Strong Candidate","Strong call-fit candidate; confirm on film.",IF(K1228="Good Candidate","Good call-fit signal; confirm on film.","Mixed signal; review fit and execution on film."))))))))</f>
        <v>Problem area; practice or call-sheet review.</v>
      </c>
      <c r="M1228" s="8"/>
      <c r="N1228" s="8"/>
      <c r="O1228" s="8"/>
      <c r="P1228" s="8"/>
      <c r="Q1228" s="8"/>
      <c r="R1228" s="8" t="s">
        <v>45</v>
      </c>
      <c r="S1228" s="2" t="s">
        <v>631</v>
      </c>
      <c r="T1228" s="2">
        <f>IF(C1228=0,0,IF(C1228&gt;=CALL_LOOKUP_BOARD!$B$7,IF(OR(K1228="Problem Call",K1228="Explosive Alert"),10000000,20000000),0)+IF(C1228&gt;=CALL_LOOKUP_BOARD!$B$7,J1228*1000+MIN(C1228,999),C1228*1000+J1228)+0.00996800)</f>
        <v>10036206.009968</v>
      </c>
      <c r="U1228" s="2">
        <f>IF(C1228=0,"",IF(COUNTIFS($S$1197:$S$1256,SUBSTITUTE(SUBSTITUTE(SUBSTITUTE(S1228,"~","~~"),"*","~*"),"?","~?"),$T$1197:$T$1256,"&gt;"&amp;T1228)=0,S1228,""))</f>
        <v/>
      </c>
    </row>
    <row r="1229" spans="1:21" ht="38" customHeight="1">
      <c r="A1229" s="8" t="s">
        <v>630</v>
      </c>
      <c r="B1229" s="8" t="s">
        <v>57</v>
      </c>
      <c r="C1229" s="12">
        <f>COUNTIFS('DEF_SELF_SCOUT_IMPORT'!$L$42:$L$1040,"Y",'DEF_SELF_SCOUT_IMPORT'!$E$42:$E$1040,SUBSTITUTE(SUBSTITUTE(SUBSTITUTE($B1229,"~","~~"),"*","~*"),"?","~?"))</f>
        <v>1</v>
      </c>
      <c r="D1229" s="10">
        <f>IF($C1229=0,"",SUMIFS('DEF_SELF_SCOUT_IMPORT'!$J$42:$J$1040,'DEF_SELF_SCOUT_IMPORT'!$L$42:$L$1040,"Y",'DEF_SELF_SCOUT_IMPORT'!$E$42:$E$1040,SUBSTITUTE(SUBSTITUTE(SUBSTITUTE($B1229,"~","~~"),"*","~*"),"?","~?"))/$C1229)</f>
        <v>0.0</v>
      </c>
      <c r="E1229" s="10">
        <f>IF($C1229=0,"",SUMIFS('DEF_SELF_SCOUT_IMPORT'!$K$42:$K$1040,'DEF_SELF_SCOUT_IMPORT'!$L$42:$L$1040,"Y",'DEF_SELF_SCOUT_IMPORT'!$E$42:$E$1040,SUBSTITUTE(SUBSTITUTE(SUBSTITUTE($B1229,"~","~~"),"*","~*"),"?","~?"))/$C1229)</f>
        <v>0.0</v>
      </c>
      <c r="F1229" s="11">
        <f>IF($C1229=0,"",AVERAGEIFS('DEF_SELF_SCOUT_IMPORT'!$I$42:$I$1040,'DEF_SELF_SCOUT_IMPORT'!$L$42:$L$1040,"Y",'DEF_SELF_SCOUT_IMPORT'!$E$42:$E$1040,SUBSTITUTE(SUBSTITUTE(SUBSTITUTE($B1229,"~","~~"),"*","~*"),"?","~?")))</f>
        <v>13.0</v>
      </c>
      <c r="G1229" s="10">
        <f>IF($C1229=0,"",COUNTIFS('DEF_SELF_SCOUT_IMPORT'!$L$42:$L$1040,"Y",'DEF_SELF_SCOUT_IMPORT'!$E$42:$E$1040,SUBSTITUTE(SUBSTITUTE(SUBSTITUTE($B1229,"~","~~"),"*","~*"),"?","~?"),'DEF_SELF_SCOUT_IMPORT'!$H$42:$H$1040,"RUSH")/$C1229)</f>
        <v>0.0</v>
      </c>
      <c r="H1229" s="10">
        <f>IF($C1229=0,"",COUNTIFS('DEF_SELF_SCOUT_IMPORT'!$L$42:$L$1040,"Y",'DEF_SELF_SCOUT_IMPORT'!$E$42:$E$1040,SUBSTITUTE(SUBSTITUTE(SUBSTITUTE($B1229,"~","~~"),"*","~*"),"?","~?"),'DEF_SELF_SCOUT_IMPORT'!$H$42:$H$1040,"DROPBACK")/$C1229)</f>
        <v>1.0</v>
      </c>
      <c r="I1229" s="14" t="str">
        <f>IF(C1229=0,"",IF(C1229&lt;=2,"TRACK",IF(C1229=3,"LOW",IF(C1229&lt;=6,"MEDIUM","HIGH"))))</f>
        <v>TRACK</v>
      </c>
      <c r="J1229" s="11">
        <f>IF(C1229=0,"",ROUND(D1229*70+(1-E1229)*20+MAX(0,MIN(1,(10-F1229)/10))*10,1))</f>
        <v>20.0</v>
      </c>
      <c r="K1229" s="14" t="str">
        <f>IF(C1229=0,"No Evidence",IF(C1229&lt;=2,IF(E1229&gt;0,"Explosive Alert","Track Only"),IF(C1229=3,"Sample Watch",IF(E1229&gt;=START_HERE!$B$31,"Explosive Alert",IF(J1229&gt;=80,"Strong Candidate",IF(J1229&gt;=65,"Good Candidate",IF(J1229&gt;=50,"Mixed / Review","Problem Call")))))))</f>
        <v>Track Only</v>
      </c>
      <c r="L1229" s="9" t="str">
        <f>IF(COUNTIFS('DEF_SELF_SCOUT_IMPORT'!$L$42:$L$1040,"Y",'DEF_SELF_SCOUT_IMPORT'!$E$42:$E$1040,SUBSTITUTE(SUBSTITUTE(SUBSTITUTE($B1229,"~","~~"),"*","~*"),"?","~?"),'DEF_SELF_SCOUT_IMPORT'!$J$42:$J$1040,"")&gt;0,"Unscored clean outcome; review result tags before using score.",IF(C1229=0,"No matching defensive reps; film confirmation needed.",IF(K1229="Explosive Alert","Explosive risk; review clips before using as answer.",IF(C1229&lt;=2,"Track only; not enough sample.",IF(C1229=3,IF(E1229&gt;0,"Sample watch with explosive exposure; review clips and build the sample.",IF(J1229&gt;=65,"Good signal, but sample is limited.","Sample watch; review clips and build the sample.")),IF(K1229="Problem Call","Problem area; practice or call-sheet review.",IF(K1229="Strong Candidate","Strong call-fit candidate; confirm on film.",IF(K1229="Good Candidate","Good call-fit signal; confirm on film.","Mixed signal; review fit and execution on film."))))))))</f>
        <v>Track only; not enough sample.</v>
      </c>
      <c r="M1229" s="8"/>
      <c r="N1229" s="8"/>
      <c r="O1229" s="8"/>
      <c r="P1229" s="8"/>
      <c r="Q1229" s="8"/>
      <c r="R1229" s="8" t="s">
        <v>28</v>
      </c>
      <c r="S1229" s="2" t="s">
        <v>631</v>
      </c>
      <c r="T1229" s="2">
        <f>IF(C1229=0,0,IF(C1229&gt;=CALL_LOOKUP_BOARD!$B$7,IF(OR(K1229="Problem Call",K1229="Explosive Alert"),10000000,20000000),0)+IF(C1229&gt;=CALL_LOOKUP_BOARD!$B$7,J1229*1000+MIN(C1229,999),C1229*1000+J1229)+0.00996700)</f>
        <v>1020.009967</v>
      </c>
      <c r="U1229" s="2">
        <f>IF(C1229=0,"",IF(COUNTIFS($S$1197:$S$1256,SUBSTITUTE(SUBSTITUTE(SUBSTITUTE(S1229,"~","~~"),"*","~*"),"?","~?"),$T$1197:$T$1256,"&gt;"&amp;T1229)=0,S1229,""))</f>
        <v/>
      </c>
    </row>
    <row r="1230" spans="1:21" ht="38" customHeight="1">
      <c r="A1230" s="8" t="s">
        <v>630</v>
      </c>
      <c r="B1230" s="8" t="s">
        <v>58</v>
      </c>
      <c r="C1230" s="12">
        <f>COUNTIFS('DEF_SELF_SCOUT_IMPORT'!$L$42:$L$1040,"Y",'DEF_SELF_SCOUT_IMPORT'!$E$42:$E$1040,SUBSTITUTE(SUBSTITUTE(SUBSTITUTE($B1230,"~","~~"),"*","~*"),"?","~?"))</f>
        <v>3</v>
      </c>
      <c r="D1230" s="10">
        <f>IF($C1230=0,"",SUMIFS('DEF_SELF_SCOUT_IMPORT'!$J$42:$J$1040,'DEF_SELF_SCOUT_IMPORT'!$L$42:$L$1040,"Y",'DEF_SELF_SCOUT_IMPORT'!$E$42:$E$1040,SUBSTITUTE(SUBSTITUTE(SUBSTITUTE($B1230,"~","~~"),"*","~*"),"?","~?"))/$C1230)</f>
        <v>1.0</v>
      </c>
      <c r="E1230" s="10">
        <f>IF($C1230=0,"",SUMIFS('DEF_SELF_SCOUT_IMPORT'!$K$42:$K$1040,'DEF_SELF_SCOUT_IMPORT'!$L$42:$L$1040,"Y",'DEF_SELF_SCOUT_IMPORT'!$E$42:$E$1040,SUBSTITUTE(SUBSTITUTE(SUBSTITUTE($B1230,"~","~~"),"*","~*"),"?","~?"))/$C1230)</f>
        <v>0.0</v>
      </c>
      <c r="F1230" s="11">
        <f>IF($C1230=0,"",AVERAGEIFS('DEF_SELF_SCOUT_IMPORT'!$I$42:$I$1040,'DEF_SELF_SCOUT_IMPORT'!$L$42:$L$1040,"Y",'DEF_SELF_SCOUT_IMPORT'!$E$42:$E$1040,SUBSTITUTE(SUBSTITUTE(SUBSTITUTE($B1230,"~","~~"),"*","~*"),"?","~?")))</f>
        <v>0.3333333333333333</v>
      </c>
      <c r="G1230" s="10">
        <f>IF($C1230=0,"",COUNTIFS('DEF_SELF_SCOUT_IMPORT'!$L$42:$L$1040,"Y",'DEF_SELF_SCOUT_IMPORT'!$E$42:$E$1040,SUBSTITUTE(SUBSTITUTE(SUBSTITUTE($B1230,"~","~~"),"*","~*"),"?","~?"),'DEF_SELF_SCOUT_IMPORT'!$H$42:$H$1040,"RUSH")/$C1230)</f>
        <v>0.3333333333333333</v>
      </c>
      <c r="H1230" s="10">
        <f>IF($C1230=0,"",COUNTIFS('DEF_SELF_SCOUT_IMPORT'!$L$42:$L$1040,"Y",'DEF_SELF_SCOUT_IMPORT'!$E$42:$E$1040,SUBSTITUTE(SUBSTITUTE(SUBSTITUTE($B1230,"~","~~"),"*","~*"),"?","~?"),'DEF_SELF_SCOUT_IMPORT'!$H$42:$H$1040,"DROPBACK")/$C1230)</f>
        <v>0.6666666666666666</v>
      </c>
      <c r="I1230" s="14" t="str">
        <f>IF(C1230=0,"",IF(C1230&lt;=2,"TRACK",IF(C1230=3,"LOW",IF(C1230&lt;=6,"MEDIUM","HIGH"))))</f>
        <v>LOW</v>
      </c>
      <c r="J1230" s="11">
        <f>IF(C1230=0,"",ROUND(D1230*70+(1-E1230)*20+MAX(0,MIN(1,(10-F1230)/10))*10,1))</f>
        <v>99.7</v>
      </c>
      <c r="K1230" s="14" t="str">
        <f>IF(C1230=0,"No Evidence",IF(C1230&lt;=2,IF(E1230&gt;0,"Explosive Alert","Track Only"),IF(C1230=3,"Sample Watch",IF(E1230&gt;=START_HERE!$B$31,"Explosive Alert",IF(J1230&gt;=80,"Strong Candidate",IF(J1230&gt;=65,"Good Candidate",IF(J1230&gt;=50,"Mixed / Review","Problem Call")))))))</f>
        <v>Sample Watch</v>
      </c>
      <c r="L1230" s="9" t="str">
        <f>IF(COUNTIFS('DEF_SELF_SCOUT_IMPORT'!$L$42:$L$1040,"Y",'DEF_SELF_SCOUT_IMPORT'!$E$42:$E$1040,SUBSTITUTE(SUBSTITUTE(SUBSTITUTE($B1230,"~","~~"),"*","~*"),"?","~?"),'DEF_SELF_SCOUT_IMPORT'!$J$42:$J$1040,"")&gt;0,"Unscored clean outcome; review result tags before using score.",IF(C1230=0,"No matching defensive reps; film confirmation needed.",IF(K1230="Explosive Alert","Explosive risk; review clips before using as answer.",IF(C1230&lt;=2,"Track only; not enough sample.",IF(C1230=3,IF(E1230&gt;0,"Sample watch with explosive exposure; review clips and build the sample.",IF(J1230&gt;=65,"Good signal, but sample is limited.","Sample watch; review clips and build the sample.")),IF(K1230="Problem Call","Problem area; practice or call-sheet review.",IF(K1230="Strong Candidate","Strong call-fit candidate; confirm on film.",IF(K1230="Good Candidate","Good call-fit signal; confirm on film.","Mixed signal; review fit and execution on film."))))))))</f>
        <v>Good signal, but sample is limited.</v>
      </c>
      <c r="M1230" s="8"/>
      <c r="N1230" s="8"/>
      <c r="O1230" s="8"/>
      <c r="P1230" s="8"/>
      <c r="Q1230" s="8"/>
      <c r="R1230" s="8" t="s">
        <v>28</v>
      </c>
      <c r="S1230" s="2" t="s">
        <v>631</v>
      </c>
      <c r="T1230" s="2">
        <f>IF(C1230=0,0,IF(C1230&gt;=CALL_LOOKUP_BOARD!$B$7,IF(OR(K1230="Problem Call",K1230="Explosive Alert"),10000000,20000000),0)+IF(C1230&gt;=CALL_LOOKUP_BOARD!$B$7,J1230*1000+MIN(C1230,999),C1230*1000+J1230)+0.00996600)</f>
        <v>3099.709966</v>
      </c>
      <c r="U1230" s="2">
        <f>IF(C1230=0,"",IF(COUNTIFS($S$1197:$S$1256,SUBSTITUTE(SUBSTITUTE(SUBSTITUTE(S1230,"~","~~"),"*","~*"),"?","~?"),$T$1197:$T$1256,"&gt;"&amp;T1230)=0,S1230,""))</f>
        <v/>
      </c>
    </row>
    <row r="1231" spans="1:21" ht="38" customHeight="1">
      <c r="A1231" s="8" t="s">
        <v>630</v>
      </c>
      <c r="B1231" s="8" t="s">
        <v>100</v>
      </c>
      <c r="C1231" s="12">
        <f>COUNTIFS('DEF_SELF_SCOUT_IMPORT'!$L$42:$L$1040,"Y",'DEF_SELF_SCOUT_IMPORT'!$E$42:$E$1040,SUBSTITUTE(SUBSTITUTE(SUBSTITUTE($B1231,"~","~~"),"*","~*"),"?","~?"))</f>
        <v>3</v>
      </c>
      <c r="D1231" s="10">
        <f>IF($C1231=0,"",SUMIFS('DEF_SELF_SCOUT_IMPORT'!$J$42:$J$1040,'DEF_SELF_SCOUT_IMPORT'!$L$42:$L$1040,"Y",'DEF_SELF_SCOUT_IMPORT'!$E$42:$E$1040,SUBSTITUTE(SUBSTITUTE(SUBSTITUTE($B1231,"~","~~"),"*","~*"),"?","~?"))/$C1231)</f>
        <v>0.6666666666666666</v>
      </c>
      <c r="E1231" s="10">
        <f>IF($C1231=0,"",SUMIFS('DEF_SELF_SCOUT_IMPORT'!$K$42:$K$1040,'DEF_SELF_SCOUT_IMPORT'!$L$42:$L$1040,"Y",'DEF_SELF_SCOUT_IMPORT'!$E$42:$E$1040,SUBSTITUTE(SUBSTITUTE(SUBSTITUTE($B1231,"~","~~"),"*","~*"),"?","~?"))/$C1231)</f>
        <v>0.0</v>
      </c>
      <c r="F1231" s="11">
        <f>IF($C1231=0,"",AVERAGEIFS('DEF_SELF_SCOUT_IMPORT'!$I$42:$I$1040,'DEF_SELF_SCOUT_IMPORT'!$L$42:$L$1040,"Y",'DEF_SELF_SCOUT_IMPORT'!$E$42:$E$1040,SUBSTITUTE(SUBSTITUTE(SUBSTITUTE($B1231,"~","~~"),"*","~*"),"?","~?")))</f>
        <v>4.0</v>
      </c>
      <c r="G1231" s="10">
        <f>IF($C1231=0,"",COUNTIFS('DEF_SELF_SCOUT_IMPORT'!$L$42:$L$1040,"Y",'DEF_SELF_SCOUT_IMPORT'!$E$42:$E$1040,SUBSTITUTE(SUBSTITUTE(SUBSTITUTE($B1231,"~","~~"),"*","~*"),"?","~?"),'DEF_SELF_SCOUT_IMPORT'!$H$42:$H$1040,"RUSH")/$C1231)</f>
        <v>0.3333333333333333</v>
      </c>
      <c r="H1231" s="10">
        <f>IF($C1231=0,"",COUNTIFS('DEF_SELF_SCOUT_IMPORT'!$L$42:$L$1040,"Y",'DEF_SELF_SCOUT_IMPORT'!$E$42:$E$1040,SUBSTITUTE(SUBSTITUTE(SUBSTITUTE($B1231,"~","~~"),"*","~*"),"?","~?"),'DEF_SELF_SCOUT_IMPORT'!$H$42:$H$1040,"DROPBACK")/$C1231)</f>
        <v>0.6666666666666666</v>
      </c>
      <c r="I1231" s="14" t="str">
        <f>IF(C1231=0,"",IF(C1231&lt;=2,"TRACK",IF(C1231=3,"LOW",IF(C1231&lt;=6,"MEDIUM","HIGH"))))</f>
        <v>LOW</v>
      </c>
      <c r="J1231" s="11">
        <f>IF(C1231=0,"",ROUND(D1231*70+(1-E1231)*20+MAX(0,MIN(1,(10-F1231)/10))*10,1))</f>
        <v>72.7</v>
      </c>
      <c r="K1231" s="14" t="str">
        <f>IF(C1231=0,"No Evidence",IF(C1231&lt;=2,IF(E1231&gt;0,"Explosive Alert","Track Only"),IF(C1231=3,"Sample Watch",IF(E1231&gt;=START_HERE!$B$31,"Explosive Alert",IF(J1231&gt;=80,"Strong Candidate",IF(J1231&gt;=65,"Good Candidate",IF(J1231&gt;=50,"Mixed / Review","Problem Call")))))))</f>
        <v>Sample Watch</v>
      </c>
      <c r="L1231" s="9" t="str">
        <f>IF(COUNTIFS('DEF_SELF_SCOUT_IMPORT'!$L$42:$L$1040,"Y",'DEF_SELF_SCOUT_IMPORT'!$E$42:$E$1040,SUBSTITUTE(SUBSTITUTE(SUBSTITUTE($B1231,"~","~~"),"*","~*"),"?","~?"),'DEF_SELF_SCOUT_IMPORT'!$J$42:$J$1040,"")&gt;0,"Unscored clean outcome; review result tags before using score.",IF(C1231=0,"No matching defensive reps; film confirmation needed.",IF(K1231="Explosive Alert","Explosive risk; review clips before using as answer.",IF(C1231&lt;=2,"Track only; not enough sample.",IF(C1231=3,IF(E1231&gt;0,"Sample watch with explosive exposure; review clips and build the sample.",IF(J1231&gt;=65,"Good signal, but sample is limited.","Sample watch; review clips and build the sample.")),IF(K1231="Problem Call","Problem area; practice or call-sheet review.",IF(K1231="Strong Candidate","Strong call-fit candidate; confirm on film.",IF(K1231="Good Candidate","Good call-fit signal; confirm on film.","Mixed signal; review fit and execution on film."))))))))</f>
        <v>Good signal, but sample is limited.</v>
      </c>
      <c r="M1231" s="8"/>
      <c r="N1231" s="8"/>
      <c r="O1231" s="8"/>
      <c r="P1231" s="8"/>
      <c r="Q1231" s="8"/>
      <c r="R1231" s="8" t="s">
        <v>28</v>
      </c>
      <c r="S1231" s="2" t="s">
        <v>631</v>
      </c>
      <c r="T1231" s="2">
        <f>IF(C1231=0,0,IF(C1231&gt;=CALL_LOOKUP_BOARD!$B$7,IF(OR(K1231="Problem Call",K1231="Explosive Alert"),10000000,20000000),0)+IF(C1231&gt;=CALL_LOOKUP_BOARD!$B$7,J1231*1000+MIN(C1231,999),C1231*1000+J1231)+0.00996500)</f>
        <v>3072.709965</v>
      </c>
      <c r="U1231" s="2">
        <f>IF(C1231=0,"",IF(COUNTIFS($S$1197:$S$1256,SUBSTITUTE(SUBSTITUTE(SUBSTITUTE(S1231,"~","~~"),"*","~*"),"?","~?"),$T$1197:$T$1256,"&gt;"&amp;T1231)=0,S1231,""))</f>
        <v/>
      </c>
    </row>
    <row r="1232" spans="1:21" ht="38" customHeight="1">
      <c r="A1232" s="8" t="s">
        <v>630</v>
      </c>
      <c r="B1232" s="8" t="s">
        <v>105</v>
      </c>
      <c r="C1232" s="12">
        <f>COUNTIFS('DEF_SELF_SCOUT_IMPORT'!$L$42:$L$1040,"Y",'DEF_SELF_SCOUT_IMPORT'!$E$42:$E$1040,SUBSTITUTE(SUBSTITUTE(SUBSTITUTE($B1232,"~","~~"),"*","~*"),"?","~?"))</f>
        <v>1</v>
      </c>
      <c r="D1232" s="10">
        <f>IF($C1232=0,"",SUMIFS('DEF_SELF_SCOUT_IMPORT'!$J$42:$J$1040,'DEF_SELF_SCOUT_IMPORT'!$L$42:$L$1040,"Y",'DEF_SELF_SCOUT_IMPORT'!$E$42:$E$1040,SUBSTITUTE(SUBSTITUTE(SUBSTITUTE($B1232,"~","~~"),"*","~*"),"?","~?"))/$C1232)</f>
        <v>1.0</v>
      </c>
      <c r="E1232" s="10">
        <f>IF($C1232=0,"",SUMIFS('DEF_SELF_SCOUT_IMPORT'!$K$42:$K$1040,'DEF_SELF_SCOUT_IMPORT'!$L$42:$L$1040,"Y",'DEF_SELF_SCOUT_IMPORT'!$E$42:$E$1040,SUBSTITUTE(SUBSTITUTE(SUBSTITUTE($B1232,"~","~~"),"*","~*"),"?","~?"))/$C1232)</f>
        <v>0.0</v>
      </c>
      <c r="F1232" s="11">
        <f>IF($C1232=0,"",AVERAGEIFS('DEF_SELF_SCOUT_IMPORT'!$I$42:$I$1040,'DEF_SELF_SCOUT_IMPORT'!$L$42:$L$1040,"Y",'DEF_SELF_SCOUT_IMPORT'!$E$42:$E$1040,SUBSTITUTE(SUBSTITUTE(SUBSTITUTE($B1232,"~","~~"),"*","~*"),"?","~?")))</f>
        <v>0.0</v>
      </c>
      <c r="G1232" s="10">
        <f>IF($C1232=0,"",COUNTIFS('DEF_SELF_SCOUT_IMPORT'!$L$42:$L$1040,"Y",'DEF_SELF_SCOUT_IMPORT'!$E$42:$E$1040,SUBSTITUTE(SUBSTITUTE(SUBSTITUTE($B1232,"~","~~"),"*","~*"),"?","~?"),'DEF_SELF_SCOUT_IMPORT'!$H$42:$H$1040,"RUSH")/$C1232)</f>
        <v>0.0</v>
      </c>
      <c r="H1232" s="10">
        <f>IF($C1232=0,"",COUNTIFS('DEF_SELF_SCOUT_IMPORT'!$L$42:$L$1040,"Y",'DEF_SELF_SCOUT_IMPORT'!$E$42:$E$1040,SUBSTITUTE(SUBSTITUTE(SUBSTITUTE($B1232,"~","~~"),"*","~*"),"?","~?"),'DEF_SELF_SCOUT_IMPORT'!$H$42:$H$1040,"DROPBACK")/$C1232)</f>
        <v>1.0</v>
      </c>
      <c r="I1232" s="14" t="str">
        <f>IF(C1232=0,"",IF(C1232&lt;=2,"TRACK",IF(C1232=3,"LOW",IF(C1232&lt;=6,"MEDIUM","HIGH"))))</f>
        <v>TRACK</v>
      </c>
      <c r="J1232" s="11">
        <f>IF(C1232=0,"",ROUND(D1232*70+(1-E1232)*20+MAX(0,MIN(1,(10-F1232)/10))*10,1))</f>
        <v>100.0</v>
      </c>
      <c r="K1232" s="14" t="str">
        <f>IF(C1232=0,"No Evidence",IF(C1232&lt;=2,IF(E1232&gt;0,"Explosive Alert","Track Only"),IF(C1232=3,"Sample Watch",IF(E1232&gt;=START_HERE!$B$31,"Explosive Alert",IF(J1232&gt;=80,"Strong Candidate",IF(J1232&gt;=65,"Good Candidate",IF(J1232&gt;=50,"Mixed / Review","Problem Call")))))))</f>
        <v>Track Only</v>
      </c>
      <c r="L1232" s="9" t="str">
        <f>IF(COUNTIFS('DEF_SELF_SCOUT_IMPORT'!$L$42:$L$1040,"Y",'DEF_SELF_SCOUT_IMPORT'!$E$42:$E$1040,SUBSTITUTE(SUBSTITUTE(SUBSTITUTE($B1232,"~","~~"),"*","~*"),"?","~?"),'DEF_SELF_SCOUT_IMPORT'!$J$42:$J$1040,"")&gt;0,"Unscored clean outcome; review result tags before using score.",IF(C1232=0,"No matching defensive reps; film confirmation needed.",IF(K1232="Explosive Alert","Explosive risk; review clips before using as answer.",IF(C1232&lt;=2,"Track only; not enough sample.",IF(C1232=3,IF(E1232&gt;0,"Sample watch with explosive exposure; review clips and build the sample.",IF(J1232&gt;=65,"Good signal, but sample is limited.","Sample watch; review clips and build the sample.")),IF(K1232="Problem Call","Problem area; practice or call-sheet review.",IF(K1232="Strong Candidate","Strong call-fit candidate; confirm on film.",IF(K1232="Good Candidate","Good call-fit signal; confirm on film.","Mixed signal; review fit and execution on film."))))))))</f>
        <v>Track only; not enough sample.</v>
      </c>
      <c r="M1232" s="8"/>
      <c r="N1232" s="8"/>
      <c r="O1232" s="8"/>
      <c r="P1232" s="8"/>
      <c r="Q1232" s="8"/>
      <c r="R1232" s="8" t="s">
        <v>28</v>
      </c>
      <c r="S1232" s="2" t="s">
        <v>631</v>
      </c>
      <c r="T1232" s="2">
        <f>IF(C1232=0,0,IF(C1232&gt;=CALL_LOOKUP_BOARD!$B$7,IF(OR(K1232="Problem Call",K1232="Explosive Alert"),10000000,20000000),0)+IF(C1232&gt;=CALL_LOOKUP_BOARD!$B$7,J1232*1000+MIN(C1232,999),C1232*1000+J1232)+0.00996400)</f>
        <v>1100.009964</v>
      </c>
      <c r="U1232" s="2">
        <f>IF(C1232=0,"",IF(COUNTIFS($S$1197:$S$1256,SUBSTITUTE(SUBSTITUTE(SUBSTITUTE(S1232,"~","~~"),"*","~*"),"?","~?"),$T$1197:$T$1256,"&gt;"&amp;T1232)=0,S1232,""))</f>
        <v/>
      </c>
    </row>
    <row r="1233" spans="1:21" ht="38" customHeight="1">
      <c r="A1233" s="8" t="s">
        <v>630</v>
      </c>
      <c r="B1233" s="8" t="s">
        <v>95</v>
      </c>
      <c r="C1233" s="12">
        <f>COUNTIFS('DEF_SELF_SCOUT_IMPORT'!$L$42:$L$1040,"Y",'DEF_SELF_SCOUT_IMPORT'!$E$42:$E$1040,SUBSTITUTE(SUBSTITUTE(SUBSTITUTE($B1233,"~","~~"),"*","~*"),"?","~?"))</f>
        <v>4</v>
      </c>
      <c r="D1233" s="10">
        <f>IF($C1233=0,"",SUMIFS('DEF_SELF_SCOUT_IMPORT'!$J$42:$J$1040,'DEF_SELF_SCOUT_IMPORT'!$L$42:$L$1040,"Y",'DEF_SELF_SCOUT_IMPORT'!$E$42:$E$1040,SUBSTITUTE(SUBSTITUTE(SUBSTITUTE($B1233,"~","~~"),"*","~*"),"?","~?"))/$C1233)</f>
        <v>0.25</v>
      </c>
      <c r="E1233" s="10">
        <f>IF($C1233=0,"",SUMIFS('DEF_SELF_SCOUT_IMPORT'!$K$42:$K$1040,'DEF_SELF_SCOUT_IMPORT'!$L$42:$L$1040,"Y",'DEF_SELF_SCOUT_IMPORT'!$E$42:$E$1040,SUBSTITUTE(SUBSTITUTE(SUBSTITUTE($B1233,"~","~~"),"*","~*"),"?","~?"))/$C1233)</f>
        <v>0.0</v>
      </c>
      <c r="F1233" s="11">
        <f>IF($C1233=0,"",AVERAGEIFS('DEF_SELF_SCOUT_IMPORT'!$I$42:$I$1040,'DEF_SELF_SCOUT_IMPORT'!$L$42:$L$1040,"Y",'DEF_SELF_SCOUT_IMPORT'!$E$42:$E$1040,SUBSTITUTE(SUBSTITUTE(SUBSTITUTE($B1233,"~","~~"),"*","~*"),"?","~?")))</f>
        <v>4.5</v>
      </c>
      <c r="G1233" s="10">
        <f>IF($C1233=0,"",COUNTIFS('DEF_SELF_SCOUT_IMPORT'!$L$42:$L$1040,"Y",'DEF_SELF_SCOUT_IMPORT'!$E$42:$E$1040,SUBSTITUTE(SUBSTITUTE(SUBSTITUTE($B1233,"~","~~"),"*","~*"),"?","~?"),'DEF_SELF_SCOUT_IMPORT'!$H$42:$H$1040,"RUSH")/$C1233)</f>
        <v>0.75</v>
      </c>
      <c r="H1233" s="10">
        <f>IF($C1233=0,"",COUNTIFS('DEF_SELF_SCOUT_IMPORT'!$L$42:$L$1040,"Y",'DEF_SELF_SCOUT_IMPORT'!$E$42:$E$1040,SUBSTITUTE(SUBSTITUTE(SUBSTITUTE($B1233,"~","~~"),"*","~*"),"?","~?"),'DEF_SELF_SCOUT_IMPORT'!$H$42:$H$1040,"DROPBACK")/$C1233)</f>
        <v>0.25</v>
      </c>
      <c r="I1233" s="14" t="str">
        <f>IF(C1233=0,"",IF(C1233&lt;=2,"TRACK",IF(C1233=3,"LOW",IF(C1233&lt;=6,"MEDIUM","HIGH"))))</f>
        <v>MEDIUM</v>
      </c>
      <c r="J1233" s="11">
        <f>IF(C1233=0,"",ROUND(D1233*70+(1-E1233)*20+MAX(0,MIN(1,(10-F1233)/10))*10,1))</f>
        <v>43.0</v>
      </c>
      <c r="K1233" s="14" t="str">
        <f>IF(C1233=0,"No Evidence",IF(C1233&lt;=2,IF(E1233&gt;0,"Explosive Alert","Track Only"),IF(C1233=3,"Sample Watch",IF(E1233&gt;=START_HERE!$B$31,"Explosive Alert",IF(J1233&gt;=80,"Strong Candidate",IF(J1233&gt;=65,"Good Candidate",IF(J1233&gt;=50,"Mixed / Review","Problem Call")))))))</f>
        <v>Problem Call</v>
      </c>
      <c r="L1233" s="9" t="str">
        <f>IF(COUNTIFS('DEF_SELF_SCOUT_IMPORT'!$L$42:$L$1040,"Y",'DEF_SELF_SCOUT_IMPORT'!$E$42:$E$1040,SUBSTITUTE(SUBSTITUTE(SUBSTITUTE($B1233,"~","~~"),"*","~*"),"?","~?"),'DEF_SELF_SCOUT_IMPORT'!$J$42:$J$1040,"")&gt;0,"Unscored clean outcome; review result tags before using score.",IF(C1233=0,"No matching defensive reps; film confirmation needed.",IF(K1233="Explosive Alert","Explosive risk; review clips before using as answer.",IF(C1233&lt;=2,"Track only; not enough sample.",IF(C1233=3,IF(E1233&gt;0,"Sample watch with explosive exposure; review clips and build the sample.",IF(J1233&gt;=65,"Good signal, but sample is limited.","Sample watch; review clips and build the sample.")),IF(K1233="Problem Call","Problem area; practice or call-sheet review.",IF(K1233="Strong Candidate","Strong call-fit candidate; confirm on film.",IF(K1233="Good Candidate","Good call-fit signal; confirm on film.","Mixed signal; review fit and execution on film."))))))))</f>
        <v>Problem area; practice or call-sheet review.</v>
      </c>
      <c r="M1233" s="8"/>
      <c r="N1233" s="8"/>
      <c r="O1233" s="8"/>
      <c r="P1233" s="8"/>
      <c r="Q1233" s="8"/>
      <c r="R1233" s="8" t="s">
        <v>45</v>
      </c>
      <c r="S1233" s="2" t="s">
        <v>631</v>
      </c>
      <c r="T1233" s="2">
        <f>IF(C1233=0,0,IF(C1233&gt;=CALL_LOOKUP_BOARD!$B$7,IF(OR(K1233="Problem Call",K1233="Explosive Alert"),10000000,20000000),0)+IF(C1233&gt;=CALL_LOOKUP_BOARD!$B$7,J1233*1000+MIN(C1233,999),C1233*1000+J1233)+0.00996300)</f>
        <v>10043004.009963</v>
      </c>
      <c r="U1233" s="2">
        <f>IF(C1233=0,"",IF(COUNTIFS($S$1197:$S$1256,SUBSTITUTE(SUBSTITUTE(SUBSTITUTE(S1233,"~","~~"),"*","~*"),"?","~?"),$T$1197:$T$1256,"&gt;"&amp;T1233)=0,S1233,""))</f>
        <v/>
      </c>
    </row>
    <row r="1234" spans="1:21" ht="38" customHeight="1">
      <c r="A1234" s="8" t="s">
        <v>630</v>
      </c>
      <c r="B1234" s="8" t="s">
        <v>35</v>
      </c>
      <c r="C1234" s="12">
        <f>COUNTIFS('DEF_SELF_SCOUT_IMPORT'!$L$42:$L$1040,"Y",'DEF_SELF_SCOUT_IMPORT'!$E$42:$E$1040,SUBSTITUTE(SUBSTITUTE(SUBSTITUTE($B1234,"~","~~"),"*","~*"),"?","~?"))</f>
        <v>20</v>
      </c>
      <c r="D1234" s="10">
        <f>IF($C1234=0,"",SUMIFS('DEF_SELF_SCOUT_IMPORT'!$J$42:$J$1040,'DEF_SELF_SCOUT_IMPORT'!$L$42:$L$1040,"Y",'DEF_SELF_SCOUT_IMPORT'!$E$42:$E$1040,SUBSTITUTE(SUBSTITUTE(SUBSTITUTE($B1234,"~","~~"),"*","~*"),"?","~?"))/$C1234)</f>
        <v>0.6</v>
      </c>
      <c r="E1234" s="10">
        <f>IF($C1234=0,"",SUMIFS('DEF_SELF_SCOUT_IMPORT'!$K$42:$K$1040,'DEF_SELF_SCOUT_IMPORT'!$L$42:$L$1040,"Y",'DEF_SELF_SCOUT_IMPORT'!$E$42:$E$1040,SUBSTITUTE(SUBSTITUTE(SUBSTITUTE($B1234,"~","~~"),"*","~*"),"?","~?"))/$C1234)</f>
        <v>0.1</v>
      </c>
      <c r="F1234" s="11">
        <f>IF($C1234=0,"",AVERAGEIFS('DEF_SELF_SCOUT_IMPORT'!$I$42:$I$1040,'DEF_SELF_SCOUT_IMPORT'!$L$42:$L$1040,"Y",'DEF_SELF_SCOUT_IMPORT'!$E$42:$E$1040,SUBSTITUTE(SUBSTITUTE(SUBSTITUTE($B1234,"~","~~"),"*","~*"),"?","~?")))</f>
        <v>6.3</v>
      </c>
      <c r="G1234" s="10">
        <f>IF($C1234=0,"",COUNTIFS('DEF_SELF_SCOUT_IMPORT'!$L$42:$L$1040,"Y",'DEF_SELF_SCOUT_IMPORT'!$E$42:$E$1040,SUBSTITUTE(SUBSTITUTE(SUBSTITUTE($B1234,"~","~~"),"*","~*"),"?","~?"),'DEF_SELF_SCOUT_IMPORT'!$H$42:$H$1040,"RUSH")/$C1234)</f>
        <v>0.45</v>
      </c>
      <c r="H1234" s="10">
        <f>IF($C1234=0,"",COUNTIFS('DEF_SELF_SCOUT_IMPORT'!$L$42:$L$1040,"Y",'DEF_SELF_SCOUT_IMPORT'!$E$42:$E$1040,SUBSTITUTE(SUBSTITUTE(SUBSTITUTE($B1234,"~","~~"),"*","~*"),"?","~?"),'DEF_SELF_SCOUT_IMPORT'!$H$42:$H$1040,"DROPBACK")/$C1234)</f>
        <v>0.5</v>
      </c>
      <c r="I1234" s="14" t="str">
        <f>IF(C1234=0,"",IF(C1234&lt;=2,"TRACK",IF(C1234=3,"LOW",IF(C1234&lt;=6,"MEDIUM","HIGH"))))</f>
        <v>HIGH</v>
      </c>
      <c r="J1234" s="11">
        <f>IF(C1234=0,"",ROUND(D1234*70+(1-E1234)*20+MAX(0,MIN(1,(10-F1234)/10))*10,1))</f>
        <v>63.7</v>
      </c>
      <c r="K1234" s="14" t="str">
        <f>IF(C1234=0,"No Evidence",IF(C1234&lt;=2,IF(E1234&gt;0,"Explosive Alert","Track Only"),IF(C1234=3,"Sample Watch",IF(E1234&gt;=START_HERE!$B$31,"Explosive Alert",IF(J1234&gt;=80,"Strong Candidate",IF(J1234&gt;=65,"Good Candidate",IF(J1234&gt;=50,"Mixed / Review","Problem Call")))))))</f>
        <v>Mixed / Review</v>
      </c>
      <c r="L1234" s="9" t="str">
        <f>IF(COUNTIFS('DEF_SELF_SCOUT_IMPORT'!$L$42:$L$1040,"Y",'DEF_SELF_SCOUT_IMPORT'!$E$42:$E$1040,SUBSTITUTE(SUBSTITUTE(SUBSTITUTE($B1234,"~","~~"),"*","~*"),"?","~?"),'DEF_SELF_SCOUT_IMPORT'!$J$42:$J$1040,"")&gt;0,"Unscored clean outcome; review result tags before using score.",IF(C1234=0,"No matching defensive reps; film confirmation needed.",IF(K1234="Explosive Alert","Explosive risk; review clips before using as answer.",IF(C1234&lt;=2,"Track only; not enough sample.",IF(C1234=3,IF(E1234&gt;0,"Sample watch with explosive exposure; review clips and build the sample.",IF(J1234&gt;=65,"Good signal, but sample is limited.","Sample watch; review clips and build the sample.")),IF(K1234="Problem Call","Problem area; practice or call-sheet review.",IF(K1234="Strong Candidate","Strong call-fit candidate; confirm on film.",IF(K1234="Good Candidate","Good call-fit signal; confirm on film.","Mixed signal; review fit and execution on film."))))))))</f>
        <v>Mixed signal; review fit and execution on film.</v>
      </c>
      <c r="M1234" s="8"/>
      <c r="N1234" s="8"/>
      <c r="O1234" s="8"/>
      <c r="P1234" s="8"/>
      <c r="Q1234" s="8"/>
      <c r="R1234" s="8" t="s">
        <v>45</v>
      </c>
      <c r="S1234" s="2" t="s">
        <v>631</v>
      </c>
      <c r="T1234" s="2">
        <f>IF(C1234=0,0,IF(C1234&gt;=CALL_LOOKUP_BOARD!$B$7,IF(OR(K1234="Problem Call",K1234="Explosive Alert"),10000000,20000000),0)+IF(C1234&gt;=CALL_LOOKUP_BOARD!$B$7,J1234*1000+MIN(C1234,999),C1234*1000+J1234)+0.00996200)</f>
        <v>20063720.009962</v>
      </c>
      <c r="U1234" s="2">
        <f>IF(C1234=0,"",IF(COUNTIFS($S$1197:$S$1256,SUBSTITUTE(SUBSTITUTE(SUBSTITUTE(S1234,"~","~~"),"*","~*"),"?","~?"),$T$1197:$T$1256,"&gt;"&amp;T1234)=0,S1234,""))</f>
        <v/>
      </c>
    </row>
    <row r="1235" spans="1:21" ht="38" customHeight="1">
      <c r="A1235" s="8" t="s">
        <v>630</v>
      </c>
      <c r="B1235" s="8" t="s">
        <v>59</v>
      </c>
      <c r="C1235" s="12">
        <f>COUNTIFS('DEF_SELF_SCOUT_IMPORT'!$L$42:$L$1040,"Y",'DEF_SELF_SCOUT_IMPORT'!$E$42:$E$1040,SUBSTITUTE(SUBSTITUTE(SUBSTITUTE($B1235,"~","~~"),"*","~*"),"?","~?"))</f>
        <v>1</v>
      </c>
      <c r="D1235" s="10">
        <f>IF($C1235=0,"",SUMIFS('DEF_SELF_SCOUT_IMPORT'!$J$42:$J$1040,'DEF_SELF_SCOUT_IMPORT'!$L$42:$L$1040,"Y",'DEF_SELF_SCOUT_IMPORT'!$E$42:$E$1040,SUBSTITUTE(SUBSTITUTE(SUBSTITUTE($B1235,"~","~~"),"*","~*"),"?","~?"))/$C1235)</f>
        <v>0.0</v>
      </c>
      <c r="E1235" s="10">
        <f>IF($C1235=0,"",SUMIFS('DEF_SELF_SCOUT_IMPORT'!$K$42:$K$1040,'DEF_SELF_SCOUT_IMPORT'!$L$42:$L$1040,"Y",'DEF_SELF_SCOUT_IMPORT'!$E$42:$E$1040,SUBSTITUTE(SUBSTITUTE(SUBSTITUTE($B1235,"~","~~"),"*","~*"),"?","~?"))/$C1235)</f>
        <v>1.0</v>
      </c>
      <c r="F1235" s="11">
        <f>IF($C1235=0,"",AVERAGEIFS('DEF_SELF_SCOUT_IMPORT'!$I$42:$I$1040,'DEF_SELF_SCOUT_IMPORT'!$L$42:$L$1040,"Y",'DEF_SELF_SCOUT_IMPORT'!$E$42:$E$1040,SUBSTITUTE(SUBSTITUTE(SUBSTITUTE($B1235,"~","~~"),"*","~*"),"?","~?")))</f>
        <v>16.0</v>
      </c>
      <c r="G1235" s="10">
        <f>IF($C1235=0,"",COUNTIFS('DEF_SELF_SCOUT_IMPORT'!$L$42:$L$1040,"Y",'DEF_SELF_SCOUT_IMPORT'!$E$42:$E$1040,SUBSTITUTE(SUBSTITUTE(SUBSTITUTE($B1235,"~","~~"),"*","~*"),"?","~?"),'DEF_SELF_SCOUT_IMPORT'!$H$42:$H$1040,"RUSH")/$C1235)</f>
        <v>1.0</v>
      </c>
      <c r="H1235" s="10">
        <f>IF($C1235=0,"",COUNTIFS('DEF_SELF_SCOUT_IMPORT'!$L$42:$L$1040,"Y",'DEF_SELF_SCOUT_IMPORT'!$E$42:$E$1040,SUBSTITUTE(SUBSTITUTE(SUBSTITUTE($B1235,"~","~~"),"*","~*"),"?","~?"),'DEF_SELF_SCOUT_IMPORT'!$H$42:$H$1040,"DROPBACK")/$C1235)</f>
        <v>0.0</v>
      </c>
      <c r="I1235" s="14" t="str">
        <f>IF(C1235=0,"",IF(C1235&lt;=2,"TRACK",IF(C1235=3,"LOW",IF(C1235&lt;=6,"MEDIUM","HIGH"))))</f>
        <v>TRACK</v>
      </c>
      <c r="J1235" s="11">
        <f>IF(C1235=0,"",ROUND(D1235*70+(1-E1235)*20+MAX(0,MIN(1,(10-F1235)/10))*10,1))</f>
        <v>0.0</v>
      </c>
      <c r="K1235" s="14" t="str">
        <f>IF(C1235=0,"No Evidence",IF(C1235&lt;=2,IF(E1235&gt;0,"Explosive Alert","Track Only"),IF(C1235=3,"Sample Watch",IF(E1235&gt;=START_HERE!$B$31,"Explosive Alert",IF(J1235&gt;=80,"Strong Candidate",IF(J1235&gt;=65,"Good Candidate",IF(J1235&gt;=50,"Mixed / Review","Problem Call")))))))</f>
        <v>Explosive Alert</v>
      </c>
      <c r="L1235" s="9" t="str">
        <f>IF(COUNTIFS('DEF_SELF_SCOUT_IMPORT'!$L$42:$L$1040,"Y",'DEF_SELF_SCOUT_IMPORT'!$E$42:$E$1040,SUBSTITUTE(SUBSTITUTE(SUBSTITUTE($B1235,"~","~~"),"*","~*"),"?","~?"),'DEF_SELF_SCOUT_IMPORT'!$J$42:$J$1040,"")&gt;0,"Unscored clean outcome; review result tags before using score.",IF(C1235=0,"No matching defensive reps; film confirmation needed.",IF(K1235="Explosive Alert","Explosive risk; review clips before using as answer.",IF(C1235&lt;=2,"Track only; not enough sample.",IF(C1235=3,IF(E1235&gt;0,"Sample watch with explosive exposure; review clips and build the sample.",IF(J1235&gt;=65,"Good signal, but sample is limited.","Sample watch; review clips and build the sample.")),IF(K1235="Problem Call","Problem area; practice or call-sheet review.",IF(K1235="Strong Candidate","Strong call-fit candidate; confirm on film.",IF(K1235="Good Candidate","Good call-fit signal; confirm on film.","Mixed signal; review fit and execution on film."))))))))</f>
        <v>Explosive risk; review clips before using as answer.</v>
      </c>
      <c r="M1235" s="8"/>
      <c r="N1235" s="8"/>
      <c r="O1235" s="8"/>
      <c r="P1235" s="8"/>
      <c r="Q1235" s="8"/>
      <c r="R1235" s="8" t="s">
        <v>28</v>
      </c>
      <c r="S1235" s="2" t="s">
        <v>631</v>
      </c>
      <c r="T1235" s="2">
        <f>IF(C1235=0,0,IF(C1235&gt;=CALL_LOOKUP_BOARD!$B$7,IF(OR(K1235="Problem Call",K1235="Explosive Alert"),10000000,20000000),0)+IF(C1235&gt;=CALL_LOOKUP_BOARD!$B$7,J1235*1000+MIN(C1235,999),C1235*1000+J1235)+0.00996100)</f>
        <v>1000.009961</v>
      </c>
      <c r="U1235" s="2">
        <f>IF(C1235=0,"",IF(COUNTIFS($S$1197:$S$1256,SUBSTITUTE(SUBSTITUTE(SUBSTITUTE(S1235,"~","~~"),"*","~*"),"?","~?"),$T$1197:$T$1256,"&gt;"&amp;T1235)=0,S1235,""))</f>
        <v/>
      </c>
    </row>
    <row r="1236" spans="1:21" ht="38" customHeight="1">
      <c r="A1236" s="8" t="s">
        <v>630</v>
      </c>
      <c r="B1236" s="8" t="s">
        <v>60</v>
      </c>
      <c r="C1236" s="12">
        <f>COUNTIFS('DEF_SELF_SCOUT_IMPORT'!$L$42:$L$1040,"Y",'DEF_SELF_SCOUT_IMPORT'!$E$42:$E$1040,SUBSTITUTE(SUBSTITUTE(SUBSTITUTE($B1236,"~","~~"),"*","~*"),"?","~?"))</f>
        <v>17</v>
      </c>
      <c r="D1236" s="10">
        <f>IF($C1236=0,"",SUMIFS('DEF_SELF_SCOUT_IMPORT'!$J$42:$J$1040,'DEF_SELF_SCOUT_IMPORT'!$L$42:$L$1040,"Y",'DEF_SELF_SCOUT_IMPORT'!$E$42:$E$1040,SUBSTITUTE(SUBSTITUTE(SUBSTITUTE($B1236,"~","~~"),"*","~*"),"?","~?"))/$C1236)</f>
        <v>0.5294117647058824</v>
      </c>
      <c r="E1236" s="10">
        <f>IF($C1236=0,"",SUMIFS('DEF_SELF_SCOUT_IMPORT'!$K$42:$K$1040,'DEF_SELF_SCOUT_IMPORT'!$L$42:$L$1040,"Y",'DEF_SELF_SCOUT_IMPORT'!$E$42:$E$1040,SUBSTITUTE(SUBSTITUTE(SUBSTITUTE($B1236,"~","~~"),"*","~*"),"?","~?"))/$C1236)</f>
        <v>0.11764705882352941</v>
      </c>
      <c r="F1236" s="11">
        <f>IF($C1236=0,"",AVERAGEIFS('DEF_SELF_SCOUT_IMPORT'!$I$42:$I$1040,'DEF_SELF_SCOUT_IMPORT'!$L$42:$L$1040,"Y",'DEF_SELF_SCOUT_IMPORT'!$E$42:$E$1040,SUBSTITUTE(SUBSTITUTE(SUBSTITUTE($B1236,"~","~~"),"*","~*"),"?","~?")))</f>
        <v>6.294117647058823</v>
      </c>
      <c r="G1236" s="10">
        <f>IF($C1236=0,"",COUNTIFS('DEF_SELF_SCOUT_IMPORT'!$L$42:$L$1040,"Y",'DEF_SELF_SCOUT_IMPORT'!$E$42:$E$1040,SUBSTITUTE(SUBSTITUTE(SUBSTITUTE($B1236,"~","~~"),"*","~*"),"?","~?"),'DEF_SELF_SCOUT_IMPORT'!$H$42:$H$1040,"RUSH")/$C1236)</f>
        <v>0.47058823529411764</v>
      </c>
      <c r="H1236" s="10">
        <f>IF($C1236=0,"",COUNTIFS('DEF_SELF_SCOUT_IMPORT'!$L$42:$L$1040,"Y",'DEF_SELF_SCOUT_IMPORT'!$E$42:$E$1040,SUBSTITUTE(SUBSTITUTE(SUBSTITUTE($B1236,"~","~~"),"*","~*"),"?","~?"),'DEF_SELF_SCOUT_IMPORT'!$H$42:$H$1040,"DROPBACK")/$C1236)</f>
        <v>0.47058823529411764</v>
      </c>
      <c r="I1236" s="14" t="str">
        <f>IF(C1236=0,"",IF(C1236&lt;=2,"TRACK",IF(C1236=3,"LOW",IF(C1236&lt;=6,"MEDIUM","HIGH"))))</f>
        <v>HIGH</v>
      </c>
      <c r="J1236" s="11">
        <f>IF(C1236=0,"",ROUND(D1236*70+(1-E1236)*20+MAX(0,MIN(1,(10-F1236)/10))*10,1))</f>
        <v>58.4</v>
      </c>
      <c r="K1236" s="14" t="str">
        <f>IF(C1236=0,"No Evidence",IF(C1236&lt;=2,IF(E1236&gt;0,"Explosive Alert","Track Only"),IF(C1236=3,"Sample Watch",IF(E1236&gt;=START_HERE!$B$31,"Explosive Alert",IF(J1236&gt;=80,"Strong Candidate",IF(J1236&gt;=65,"Good Candidate",IF(J1236&gt;=50,"Mixed / Review","Problem Call")))))))</f>
        <v>Mixed / Review</v>
      </c>
      <c r="L1236" s="9" t="str">
        <f>IF(COUNTIFS('DEF_SELF_SCOUT_IMPORT'!$L$42:$L$1040,"Y",'DEF_SELF_SCOUT_IMPORT'!$E$42:$E$1040,SUBSTITUTE(SUBSTITUTE(SUBSTITUTE($B1236,"~","~~"),"*","~*"),"?","~?"),'DEF_SELF_SCOUT_IMPORT'!$J$42:$J$1040,"")&gt;0,"Unscored clean outcome; review result tags before using score.",IF(C1236=0,"No matching defensive reps; film confirmation needed.",IF(K1236="Explosive Alert","Explosive risk; review clips before using as answer.",IF(C1236&lt;=2,"Track only; not enough sample.",IF(C1236=3,IF(E1236&gt;0,"Sample watch with explosive exposure; review clips and build the sample.",IF(J1236&gt;=65,"Good signal, but sample is limited.","Sample watch; review clips and build the sample.")),IF(K1236="Problem Call","Problem area; practice or call-sheet review.",IF(K1236="Strong Candidate","Strong call-fit candidate; confirm on film.",IF(K1236="Good Candidate","Good call-fit signal; confirm on film.","Mixed signal; review fit and execution on film."))))))))</f>
        <v>Mixed signal; review fit and execution on film.</v>
      </c>
      <c r="M1236" s="8"/>
      <c r="N1236" s="8"/>
      <c r="O1236" s="8"/>
      <c r="P1236" s="8"/>
      <c r="Q1236" s="8"/>
      <c r="R1236" s="8" t="s">
        <v>45</v>
      </c>
      <c r="S1236" s="2" t="s">
        <v>631</v>
      </c>
      <c r="T1236" s="2">
        <f>IF(C1236=0,0,IF(C1236&gt;=CALL_LOOKUP_BOARD!$B$7,IF(OR(K1236="Problem Call",K1236="Explosive Alert"),10000000,20000000),0)+IF(C1236&gt;=CALL_LOOKUP_BOARD!$B$7,J1236*1000+MIN(C1236,999),C1236*1000+J1236)+0.00996000)</f>
        <v>20058417.00996</v>
      </c>
      <c r="U1236" s="2">
        <f>IF(C1236=0,"",IF(COUNTIFS($S$1197:$S$1256,SUBSTITUTE(SUBSTITUTE(SUBSTITUTE(S1236,"~","~~"),"*","~*"),"?","~?"),$T$1197:$T$1256,"&gt;"&amp;T1236)=0,S1236,""))</f>
        <v/>
      </c>
    </row>
    <row r="1237" spans="1:21" ht="38" customHeight="1">
      <c r="A1237" s="8" t="s">
        <v>630</v>
      </c>
      <c r="B1237" s="8" t="s">
        <v>110</v>
      </c>
      <c r="C1237" s="12">
        <f>COUNTIFS('DEF_SELF_SCOUT_IMPORT'!$L$42:$L$1040,"Y",'DEF_SELF_SCOUT_IMPORT'!$E$42:$E$1040,SUBSTITUTE(SUBSTITUTE(SUBSTITUTE($B1237,"~","~~"),"*","~*"),"?","~?"))</f>
        <v>1</v>
      </c>
      <c r="D1237" s="10">
        <f>IF($C1237=0,"",SUMIFS('DEF_SELF_SCOUT_IMPORT'!$J$42:$J$1040,'DEF_SELF_SCOUT_IMPORT'!$L$42:$L$1040,"Y",'DEF_SELF_SCOUT_IMPORT'!$E$42:$E$1040,SUBSTITUTE(SUBSTITUTE(SUBSTITUTE($B1237,"~","~~"),"*","~*"),"?","~?"))/$C1237)</f>
        <v>0.0</v>
      </c>
      <c r="E1237" s="10">
        <f>IF($C1237=0,"",SUMIFS('DEF_SELF_SCOUT_IMPORT'!$K$42:$K$1040,'DEF_SELF_SCOUT_IMPORT'!$L$42:$L$1040,"Y",'DEF_SELF_SCOUT_IMPORT'!$E$42:$E$1040,SUBSTITUTE(SUBSTITUTE(SUBSTITUTE($B1237,"~","~~"),"*","~*"),"?","~?"))/$C1237)</f>
        <v>1.0</v>
      </c>
      <c r="F1237" s="11">
        <f>IF($C1237=0,"",AVERAGEIFS('DEF_SELF_SCOUT_IMPORT'!$I$42:$I$1040,'DEF_SELF_SCOUT_IMPORT'!$L$42:$L$1040,"Y",'DEF_SELF_SCOUT_IMPORT'!$E$42:$E$1040,SUBSTITUTE(SUBSTITUTE(SUBSTITUTE($B1237,"~","~~"),"*","~*"),"?","~?")))</f>
        <v>19.0</v>
      </c>
      <c r="G1237" s="10">
        <f>IF($C1237=0,"",COUNTIFS('DEF_SELF_SCOUT_IMPORT'!$L$42:$L$1040,"Y",'DEF_SELF_SCOUT_IMPORT'!$E$42:$E$1040,SUBSTITUTE(SUBSTITUTE(SUBSTITUTE($B1237,"~","~~"),"*","~*"),"?","~?"),'DEF_SELF_SCOUT_IMPORT'!$H$42:$H$1040,"RUSH")/$C1237)</f>
        <v>0.0</v>
      </c>
      <c r="H1237" s="10">
        <f>IF($C1237=0,"",COUNTIFS('DEF_SELF_SCOUT_IMPORT'!$L$42:$L$1040,"Y",'DEF_SELF_SCOUT_IMPORT'!$E$42:$E$1040,SUBSTITUTE(SUBSTITUTE(SUBSTITUTE($B1237,"~","~~"),"*","~*"),"?","~?"),'DEF_SELF_SCOUT_IMPORT'!$H$42:$H$1040,"DROPBACK")/$C1237)</f>
        <v>1.0</v>
      </c>
      <c r="I1237" s="14" t="str">
        <f>IF(C1237=0,"",IF(C1237&lt;=2,"TRACK",IF(C1237=3,"LOW",IF(C1237&lt;=6,"MEDIUM","HIGH"))))</f>
        <v>TRACK</v>
      </c>
      <c r="J1237" s="11">
        <f>IF(C1237=0,"",ROUND(D1237*70+(1-E1237)*20+MAX(0,MIN(1,(10-F1237)/10))*10,1))</f>
        <v>0.0</v>
      </c>
      <c r="K1237" s="14" t="str">
        <f>IF(C1237=0,"No Evidence",IF(C1237&lt;=2,IF(E1237&gt;0,"Explosive Alert","Track Only"),IF(C1237=3,"Sample Watch",IF(E1237&gt;=START_HERE!$B$31,"Explosive Alert",IF(J1237&gt;=80,"Strong Candidate",IF(J1237&gt;=65,"Good Candidate",IF(J1237&gt;=50,"Mixed / Review","Problem Call")))))))</f>
        <v>Explosive Alert</v>
      </c>
      <c r="L1237" s="9" t="str">
        <f>IF(COUNTIFS('DEF_SELF_SCOUT_IMPORT'!$L$42:$L$1040,"Y",'DEF_SELF_SCOUT_IMPORT'!$E$42:$E$1040,SUBSTITUTE(SUBSTITUTE(SUBSTITUTE($B1237,"~","~~"),"*","~*"),"?","~?"),'DEF_SELF_SCOUT_IMPORT'!$J$42:$J$1040,"")&gt;0,"Unscored clean outcome; review result tags before using score.",IF(C1237=0,"No matching defensive reps; film confirmation needed.",IF(K1237="Explosive Alert","Explosive risk; review clips before using as answer.",IF(C1237&lt;=2,"Track only; not enough sample.",IF(C1237=3,IF(E1237&gt;0,"Sample watch with explosive exposure; review clips and build the sample.",IF(J1237&gt;=65,"Good signal, but sample is limited.","Sample watch; review clips and build the sample.")),IF(K1237="Problem Call","Problem area; practice or call-sheet review.",IF(K1237="Strong Candidate","Strong call-fit candidate; confirm on film.",IF(K1237="Good Candidate","Good call-fit signal; confirm on film.","Mixed signal; review fit and execution on film."))))))))</f>
        <v>Explosive risk; review clips before using as answer.</v>
      </c>
      <c r="M1237" s="8"/>
      <c r="N1237" s="8"/>
      <c r="O1237" s="8"/>
      <c r="P1237" s="8"/>
      <c r="Q1237" s="8"/>
      <c r="R1237" s="8" t="s">
        <v>28</v>
      </c>
      <c r="S1237" s="2" t="s">
        <v>631</v>
      </c>
      <c r="T1237" s="2">
        <f>IF(C1237=0,0,IF(C1237&gt;=CALL_LOOKUP_BOARD!$B$7,IF(OR(K1237="Problem Call",K1237="Explosive Alert"),10000000,20000000),0)+IF(C1237&gt;=CALL_LOOKUP_BOARD!$B$7,J1237*1000+MIN(C1237,999),C1237*1000+J1237)+0.00995900)</f>
        <v>1000.009959</v>
      </c>
      <c r="U1237" s="2">
        <f>IF(C1237=0,"",IF(COUNTIFS($S$1197:$S$1256,SUBSTITUTE(SUBSTITUTE(SUBSTITUTE(S1237,"~","~~"),"*","~*"),"?","~?"),$T$1197:$T$1256,"&gt;"&amp;T1237)=0,S1237,""))</f>
        <v/>
      </c>
    </row>
    <row r="1238" spans="1:21" ht="38" customHeight="1">
      <c r="A1238" s="8" t="s">
        <v>630</v>
      </c>
      <c r="B1238" s="8" t="s">
        <v>73</v>
      </c>
      <c r="C1238" s="12">
        <f>COUNTIFS('DEF_SELF_SCOUT_IMPORT'!$L$42:$L$1040,"Y",'DEF_SELF_SCOUT_IMPORT'!$E$42:$E$1040,SUBSTITUTE(SUBSTITUTE(SUBSTITUTE($B1238,"~","~~"),"*","~*"),"?","~?"))</f>
        <v>3</v>
      </c>
      <c r="D1238" s="10">
        <f>IF($C1238=0,"",SUMIFS('DEF_SELF_SCOUT_IMPORT'!$J$42:$J$1040,'DEF_SELF_SCOUT_IMPORT'!$L$42:$L$1040,"Y",'DEF_SELF_SCOUT_IMPORT'!$E$42:$E$1040,SUBSTITUTE(SUBSTITUTE(SUBSTITUTE($B1238,"~","~~"),"*","~*"),"?","~?"))/$C1238)</f>
        <v>0.6666666666666666</v>
      </c>
      <c r="E1238" s="10">
        <f>IF($C1238=0,"",SUMIFS('DEF_SELF_SCOUT_IMPORT'!$K$42:$K$1040,'DEF_SELF_SCOUT_IMPORT'!$L$42:$L$1040,"Y",'DEF_SELF_SCOUT_IMPORT'!$E$42:$E$1040,SUBSTITUTE(SUBSTITUTE(SUBSTITUTE($B1238,"~","~~"),"*","~*"),"?","~?"))/$C1238)</f>
        <v>0.3333333333333333</v>
      </c>
      <c r="F1238" s="11">
        <f>IF($C1238=0,"",AVERAGEIFS('DEF_SELF_SCOUT_IMPORT'!$I$42:$I$1040,'DEF_SELF_SCOUT_IMPORT'!$L$42:$L$1040,"Y",'DEF_SELF_SCOUT_IMPORT'!$E$42:$E$1040,SUBSTITUTE(SUBSTITUTE(SUBSTITUTE($B1238,"~","~~"),"*","~*"),"?","~?")))</f>
        <v>7.333333333333333</v>
      </c>
      <c r="G1238" s="10">
        <f>IF($C1238=0,"",COUNTIFS('DEF_SELF_SCOUT_IMPORT'!$L$42:$L$1040,"Y",'DEF_SELF_SCOUT_IMPORT'!$E$42:$E$1040,SUBSTITUTE(SUBSTITUTE(SUBSTITUTE($B1238,"~","~~"),"*","~*"),"?","~?"),'DEF_SELF_SCOUT_IMPORT'!$H$42:$H$1040,"RUSH")/$C1238)</f>
        <v>0.0</v>
      </c>
      <c r="H1238" s="10">
        <f>IF($C1238=0,"",COUNTIFS('DEF_SELF_SCOUT_IMPORT'!$L$42:$L$1040,"Y",'DEF_SELF_SCOUT_IMPORT'!$E$42:$E$1040,SUBSTITUTE(SUBSTITUTE(SUBSTITUTE($B1238,"~","~~"),"*","~*"),"?","~?"),'DEF_SELF_SCOUT_IMPORT'!$H$42:$H$1040,"DROPBACK")/$C1238)</f>
        <v>1.0</v>
      </c>
      <c r="I1238" s="14" t="str">
        <f>IF(C1238=0,"",IF(C1238&lt;=2,"TRACK",IF(C1238=3,"LOW",IF(C1238&lt;=6,"MEDIUM","HIGH"))))</f>
        <v>LOW</v>
      </c>
      <c r="J1238" s="11">
        <f>IF(C1238=0,"",ROUND(D1238*70+(1-E1238)*20+MAX(0,MIN(1,(10-F1238)/10))*10,1))</f>
        <v>62.7</v>
      </c>
      <c r="K1238" s="14" t="str">
        <f>IF(C1238=0,"No Evidence",IF(C1238&lt;=2,IF(E1238&gt;0,"Explosive Alert","Track Only"),IF(C1238=3,"Sample Watch",IF(E1238&gt;=START_HERE!$B$31,"Explosive Alert",IF(J1238&gt;=80,"Strong Candidate",IF(J1238&gt;=65,"Good Candidate",IF(J1238&gt;=50,"Mixed / Review","Problem Call")))))))</f>
        <v>Sample Watch</v>
      </c>
      <c r="L1238" s="9" t="str">
        <f>IF(COUNTIFS('DEF_SELF_SCOUT_IMPORT'!$L$42:$L$1040,"Y",'DEF_SELF_SCOUT_IMPORT'!$E$42:$E$1040,SUBSTITUTE(SUBSTITUTE(SUBSTITUTE($B1238,"~","~~"),"*","~*"),"?","~?"),'DEF_SELF_SCOUT_IMPORT'!$J$42:$J$1040,"")&gt;0,"Unscored clean outcome; review result tags before using score.",IF(C1238=0,"No matching defensive reps; film confirmation needed.",IF(K1238="Explosive Alert","Explosive risk; review clips before using as answer.",IF(C1238&lt;=2,"Track only; not enough sample.",IF(C1238=3,IF(E1238&gt;0,"Sample watch with explosive exposure; review clips and build the sample.",IF(J1238&gt;=65,"Good signal, but sample is limited.","Sample watch; review clips and build the sample.")),IF(K1238="Problem Call","Problem area; practice or call-sheet review.",IF(K1238="Strong Candidate","Strong call-fit candidate; confirm on film.",IF(K1238="Good Candidate","Good call-fit signal; confirm on film.","Mixed signal; review fit and execution on film."))))))))</f>
        <v>Sample watch with explosive exposure; review clips and build the sample.</v>
      </c>
      <c r="M1238" s="8"/>
      <c r="N1238" s="8"/>
      <c r="O1238" s="8"/>
      <c r="P1238" s="8"/>
      <c r="Q1238" s="8"/>
      <c r="R1238" s="8" t="s">
        <v>28</v>
      </c>
      <c r="S1238" s="2" t="s">
        <v>631</v>
      </c>
      <c r="T1238" s="2">
        <f>IF(C1238=0,0,IF(C1238&gt;=CALL_LOOKUP_BOARD!$B$7,IF(OR(K1238="Problem Call",K1238="Explosive Alert"),10000000,20000000),0)+IF(C1238&gt;=CALL_LOOKUP_BOARD!$B$7,J1238*1000+MIN(C1238,999),C1238*1000+J1238)+0.00995800)</f>
        <v>3062.709958</v>
      </c>
      <c r="U1238" s="2">
        <f>IF(C1238=0,"",IF(COUNTIFS($S$1197:$S$1256,SUBSTITUTE(SUBSTITUTE(SUBSTITUTE(S1238,"~","~~"),"*","~*"),"?","~?"),$T$1197:$T$1256,"&gt;"&amp;T1238)=0,S1238,""))</f>
        <v/>
      </c>
    </row>
    <row r="1239" spans="1:21" ht="38" customHeight="1">
      <c r="A1239" s="8" t="s">
        <v>630</v>
      </c>
      <c r="B1239" s="8" t="s">
        <v>89</v>
      </c>
      <c r="C1239" s="12">
        <f>COUNTIFS('DEF_SELF_SCOUT_IMPORT'!$L$42:$L$1040,"Y",'DEF_SELF_SCOUT_IMPORT'!$E$42:$E$1040,SUBSTITUTE(SUBSTITUTE(SUBSTITUTE($B1239,"~","~~"),"*","~*"),"?","~?"))</f>
        <v>1</v>
      </c>
      <c r="D1239" s="10">
        <f>IF($C1239=0,"",SUMIFS('DEF_SELF_SCOUT_IMPORT'!$J$42:$J$1040,'DEF_SELF_SCOUT_IMPORT'!$L$42:$L$1040,"Y",'DEF_SELF_SCOUT_IMPORT'!$E$42:$E$1040,SUBSTITUTE(SUBSTITUTE(SUBSTITUTE($B1239,"~","~~"),"*","~*"),"?","~?"))/$C1239)</f>
        <v>1.0</v>
      </c>
      <c r="E1239" s="10">
        <f>IF($C1239=0,"",SUMIFS('DEF_SELF_SCOUT_IMPORT'!$K$42:$K$1040,'DEF_SELF_SCOUT_IMPORT'!$L$42:$L$1040,"Y",'DEF_SELF_SCOUT_IMPORT'!$E$42:$E$1040,SUBSTITUTE(SUBSTITUTE(SUBSTITUTE($B1239,"~","~~"),"*","~*"),"?","~?"))/$C1239)</f>
        <v>0.0</v>
      </c>
      <c r="F1239" s="11">
        <f>IF($C1239=0,"",AVERAGEIFS('DEF_SELF_SCOUT_IMPORT'!$I$42:$I$1040,'DEF_SELF_SCOUT_IMPORT'!$L$42:$L$1040,"Y",'DEF_SELF_SCOUT_IMPORT'!$E$42:$E$1040,SUBSTITUTE(SUBSTITUTE(SUBSTITUTE($B1239,"~","~~"),"*","~*"),"?","~?")))</f>
        <v>3.0</v>
      </c>
      <c r="G1239" s="10">
        <f>IF($C1239=0,"",COUNTIFS('DEF_SELF_SCOUT_IMPORT'!$L$42:$L$1040,"Y",'DEF_SELF_SCOUT_IMPORT'!$E$42:$E$1040,SUBSTITUTE(SUBSTITUTE(SUBSTITUTE($B1239,"~","~~"),"*","~*"),"?","~?"),'DEF_SELF_SCOUT_IMPORT'!$H$42:$H$1040,"RUSH")/$C1239)</f>
        <v>0.0</v>
      </c>
      <c r="H1239" s="10">
        <f>IF($C1239=0,"",COUNTIFS('DEF_SELF_SCOUT_IMPORT'!$L$42:$L$1040,"Y",'DEF_SELF_SCOUT_IMPORT'!$E$42:$E$1040,SUBSTITUTE(SUBSTITUTE(SUBSTITUTE($B1239,"~","~~"),"*","~*"),"?","~?"),'DEF_SELF_SCOUT_IMPORT'!$H$42:$H$1040,"DROPBACK")/$C1239)</f>
        <v>1.0</v>
      </c>
      <c r="I1239" s="14" t="str">
        <f>IF(C1239=0,"",IF(C1239&lt;=2,"TRACK",IF(C1239=3,"LOW",IF(C1239&lt;=6,"MEDIUM","HIGH"))))</f>
        <v>TRACK</v>
      </c>
      <c r="J1239" s="11">
        <f>IF(C1239=0,"",ROUND(D1239*70+(1-E1239)*20+MAX(0,MIN(1,(10-F1239)/10))*10,1))</f>
        <v>97.0</v>
      </c>
      <c r="K1239" s="14" t="str">
        <f>IF(C1239=0,"No Evidence",IF(C1239&lt;=2,IF(E1239&gt;0,"Explosive Alert","Track Only"),IF(C1239=3,"Sample Watch",IF(E1239&gt;=START_HERE!$B$31,"Explosive Alert",IF(J1239&gt;=80,"Strong Candidate",IF(J1239&gt;=65,"Good Candidate",IF(J1239&gt;=50,"Mixed / Review","Problem Call")))))))</f>
        <v>Track Only</v>
      </c>
      <c r="L1239" s="9" t="str">
        <f>IF(COUNTIFS('DEF_SELF_SCOUT_IMPORT'!$L$42:$L$1040,"Y",'DEF_SELF_SCOUT_IMPORT'!$E$42:$E$1040,SUBSTITUTE(SUBSTITUTE(SUBSTITUTE($B1239,"~","~~"),"*","~*"),"?","~?"),'DEF_SELF_SCOUT_IMPORT'!$J$42:$J$1040,"")&gt;0,"Unscored clean outcome; review result tags before using score.",IF(C1239=0,"No matching defensive reps; film confirmation needed.",IF(K1239="Explosive Alert","Explosive risk; review clips before using as answer.",IF(C1239&lt;=2,"Track only; not enough sample.",IF(C1239=3,IF(E1239&gt;0,"Sample watch with explosive exposure; review clips and build the sample.",IF(J1239&gt;=65,"Good signal, but sample is limited.","Sample watch; review clips and build the sample.")),IF(K1239="Problem Call","Problem area; practice or call-sheet review.",IF(K1239="Strong Candidate","Strong call-fit candidate; confirm on film.",IF(K1239="Good Candidate","Good call-fit signal; confirm on film.","Mixed signal; review fit and execution on film."))))))))</f>
        <v>Track only; not enough sample.</v>
      </c>
      <c r="M1239" s="8"/>
      <c r="N1239" s="8"/>
      <c r="O1239" s="8"/>
      <c r="P1239" s="8"/>
      <c r="Q1239" s="8"/>
      <c r="R1239" s="8" t="s">
        <v>28</v>
      </c>
      <c r="S1239" s="2" t="s">
        <v>631</v>
      </c>
      <c r="T1239" s="2">
        <f>IF(C1239=0,0,IF(C1239&gt;=CALL_LOOKUP_BOARD!$B$7,IF(OR(K1239="Problem Call",K1239="Explosive Alert"),10000000,20000000),0)+IF(C1239&gt;=CALL_LOOKUP_BOARD!$B$7,J1239*1000+MIN(C1239,999),C1239*1000+J1239)+0.00995700)</f>
        <v>1097.009957</v>
      </c>
      <c r="U1239" s="2">
        <f>IF(C1239=0,"",IF(COUNTIFS($S$1197:$S$1256,SUBSTITUTE(SUBSTITUTE(SUBSTITUTE(S1239,"~","~~"),"*","~*"),"?","~?"),$T$1197:$T$1256,"&gt;"&amp;T1239)=0,S1239,""))</f>
        <v/>
      </c>
    </row>
    <row r="1240" spans="1:21" ht="38" customHeight="1">
      <c r="A1240" s="8" t="s">
        <v>630</v>
      </c>
      <c r="B1240" s="8" t="s">
        <v>61</v>
      </c>
      <c r="C1240" s="12">
        <f>COUNTIFS('DEF_SELF_SCOUT_IMPORT'!$L$42:$L$1040,"Y",'DEF_SELF_SCOUT_IMPORT'!$E$42:$E$1040,SUBSTITUTE(SUBSTITUTE(SUBSTITUTE($B1240,"~","~~"),"*","~*"),"?","~?"))</f>
        <v>10</v>
      </c>
      <c r="D1240" s="10">
        <f>IF($C1240=0,"",SUMIFS('DEF_SELF_SCOUT_IMPORT'!$J$42:$J$1040,'DEF_SELF_SCOUT_IMPORT'!$L$42:$L$1040,"Y",'DEF_SELF_SCOUT_IMPORT'!$E$42:$E$1040,SUBSTITUTE(SUBSTITUTE(SUBSTITUTE($B1240,"~","~~"),"*","~*"),"?","~?"))/$C1240)</f>
        <v>0.4</v>
      </c>
      <c r="E1240" s="10">
        <f>IF($C1240=0,"",SUMIFS('DEF_SELF_SCOUT_IMPORT'!$K$42:$K$1040,'DEF_SELF_SCOUT_IMPORT'!$L$42:$L$1040,"Y",'DEF_SELF_SCOUT_IMPORT'!$E$42:$E$1040,SUBSTITUTE(SUBSTITUTE(SUBSTITUTE($B1240,"~","~~"),"*","~*"),"?","~?"))/$C1240)</f>
        <v>0.1</v>
      </c>
      <c r="F1240" s="11">
        <f>IF($C1240=0,"",AVERAGEIFS('DEF_SELF_SCOUT_IMPORT'!$I$42:$I$1040,'DEF_SELF_SCOUT_IMPORT'!$L$42:$L$1040,"Y",'DEF_SELF_SCOUT_IMPORT'!$E$42:$E$1040,SUBSTITUTE(SUBSTITUTE(SUBSTITUTE($B1240,"~","~~"),"*","~*"),"?","~?")))</f>
        <v>6.8</v>
      </c>
      <c r="G1240" s="10">
        <f>IF($C1240=0,"",COUNTIFS('DEF_SELF_SCOUT_IMPORT'!$L$42:$L$1040,"Y",'DEF_SELF_SCOUT_IMPORT'!$E$42:$E$1040,SUBSTITUTE(SUBSTITUTE(SUBSTITUTE($B1240,"~","~~"),"*","~*"),"?","~?"),'DEF_SELF_SCOUT_IMPORT'!$H$42:$H$1040,"RUSH")/$C1240)</f>
        <v>0.4</v>
      </c>
      <c r="H1240" s="10">
        <f>IF($C1240=0,"",COUNTIFS('DEF_SELF_SCOUT_IMPORT'!$L$42:$L$1040,"Y",'DEF_SELF_SCOUT_IMPORT'!$E$42:$E$1040,SUBSTITUTE(SUBSTITUTE(SUBSTITUTE($B1240,"~","~~"),"*","~*"),"?","~?"),'DEF_SELF_SCOUT_IMPORT'!$H$42:$H$1040,"DROPBACK")/$C1240)</f>
        <v>0.6</v>
      </c>
      <c r="I1240" s="14" t="str">
        <f>IF(C1240=0,"",IF(C1240&lt;=2,"TRACK",IF(C1240=3,"LOW",IF(C1240&lt;=6,"MEDIUM","HIGH"))))</f>
        <v>HIGH</v>
      </c>
      <c r="J1240" s="11">
        <f>IF(C1240=0,"",ROUND(D1240*70+(1-E1240)*20+MAX(0,MIN(1,(10-F1240)/10))*10,1))</f>
        <v>49.2</v>
      </c>
      <c r="K1240" s="14" t="str">
        <f>IF(C1240=0,"No Evidence",IF(C1240&lt;=2,IF(E1240&gt;0,"Explosive Alert","Track Only"),IF(C1240=3,"Sample Watch",IF(E1240&gt;=START_HERE!$B$31,"Explosive Alert",IF(J1240&gt;=80,"Strong Candidate",IF(J1240&gt;=65,"Good Candidate",IF(J1240&gt;=50,"Mixed / Review","Problem Call")))))))</f>
        <v>Problem Call</v>
      </c>
      <c r="L1240" s="9" t="str">
        <f>IF(COUNTIFS('DEF_SELF_SCOUT_IMPORT'!$L$42:$L$1040,"Y",'DEF_SELF_SCOUT_IMPORT'!$E$42:$E$1040,SUBSTITUTE(SUBSTITUTE(SUBSTITUTE($B1240,"~","~~"),"*","~*"),"?","~?"),'DEF_SELF_SCOUT_IMPORT'!$J$42:$J$1040,"")&gt;0,"Unscored clean outcome; review result tags before using score.",IF(C1240=0,"No matching defensive reps; film confirmation needed.",IF(K1240="Explosive Alert","Explosive risk; review clips before using as answer.",IF(C1240&lt;=2,"Track only; not enough sample.",IF(C1240=3,IF(E1240&gt;0,"Sample watch with explosive exposure; review clips and build the sample.",IF(J1240&gt;=65,"Good signal, but sample is limited.","Sample watch; review clips and build the sample.")),IF(K1240="Problem Call","Problem area; practice or call-sheet review.",IF(K1240="Strong Candidate","Strong call-fit candidate; confirm on film.",IF(K1240="Good Candidate","Good call-fit signal; confirm on film.","Mixed signal; review fit and execution on film."))))))))</f>
        <v>Problem area; practice or call-sheet review.</v>
      </c>
      <c r="M1240" s="8"/>
      <c r="N1240" s="8"/>
      <c r="O1240" s="8"/>
      <c r="P1240" s="8"/>
      <c r="Q1240" s="8"/>
      <c r="R1240" s="8" t="s">
        <v>45</v>
      </c>
      <c r="S1240" s="2" t="s">
        <v>631</v>
      </c>
      <c r="T1240" s="2">
        <f>IF(C1240=0,0,IF(C1240&gt;=CALL_LOOKUP_BOARD!$B$7,IF(OR(K1240="Problem Call",K1240="Explosive Alert"),10000000,20000000),0)+IF(C1240&gt;=CALL_LOOKUP_BOARD!$B$7,J1240*1000+MIN(C1240,999),C1240*1000+J1240)+0.00995600)</f>
        <v>10049210.009956</v>
      </c>
      <c r="U1240" s="2">
        <f>IF(C1240=0,"",IF(COUNTIFS($S$1197:$S$1256,SUBSTITUTE(SUBSTITUTE(SUBSTITUTE(S1240,"~","~~"),"*","~*"),"?","~?"),$T$1197:$T$1256,"&gt;"&amp;T1240)=0,S1240,""))</f>
        <v/>
      </c>
    </row>
    <row r="1241" spans="1:21" ht="38" customHeight="1">
      <c r="A1241" s="8" t="s">
        <v>630</v>
      </c>
      <c r="B1241" s="8" t="s">
        <v>106</v>
      </c>
      <c r="C1241" s="12">
        <f>COUNTIFS('DEF_SELF_SCOUT_IMPORT'!$L$42:$L$1040,"Y",'DEF_SELF_SCOUT_IMPORT'!$E$42:$E$1040,SUBSTITUTE(SUBSTITUTE(SUBSTITUTE($B1241,"~","~~"),"*","~*"),"?","~?"))</f>
        <v>1</v>
      </c>
      <c r="D1241" s="10">
        <f>IF($C1241=0,"",SUMIFS('DEF_SELF_SCOUT_IMPORT'!$J$42:$J$1040,'DEF_SELF_SCOUT_IMPORT'!$L$42:$L$1040,"Y",'DEF_SELF_SCOUT_IMPORT'!$E$42:$E$1040,SUBSTITUTE(SUBSTITUTE(SUBSTITUTE($B1241,"~","~~"),"*","~*"),"?","~?"))/$C1241)</f>
        <v>0.0</v>
      </c>
      <c r="E1241" s="10">
        <f>IF($C1241=0,"",SUMIFS('DEF_SELF_SCOUT_IMPORT'!$K$42:$K$1040,'DEF_SELF_SCOUT_IMPORT'!$L$42:$L$1040,"Y",'DEF_SELF_SCOUT_IMPORT'!$E$42:$E$1040,SUBSTITUTE(SUBSTITUTE(SUBSTITUTE($B1241,"~","~~"),"*","~*"),"?","~?"))/$C1241)</f>
        <v>1.0</v>
      </c>
      <c r="F1241" s="11">
        <f>IF($C1241=0,"",AVERAGEIFS('DEF_SELF_SCOUT_IMPORT'!$I$42:$I$1040,'DEF_SELF_SCOUT_IMPORT'!$L$42:$L$1040,"Y",'DEF_SELF_SCOUT_IMPORT'!$E$42:$E$1040,SUBSTITUTE(SUBSTITUTE(SUBSTITUTE($B1241,"~","~~"),"*","~*"),"?","~?")))</f>
        <v>22.0</v>
      </c>
      <c r="G1241" s="10">
        <f>IF($C1241=0,"",COUNTIFS('DEF_SELF_SCOUT_IMPORT'!$L$42:$L$1040,"Y",'DEF_SELF_SCOUT_IMPORT'!$E$42:$E$1040,SUBSTITUTE(SUBSTITUTE(SUBSTITUTE($B1241,"~","~~"),"*","~*"),"?","~?"),'DEF_SELF_SCOUT_IMPORT'!$H$42:$H$1040,"RUSH")/$C1241)</f>
        <v>0.0</v>
      </c>
      <c r="H1241" s="10">
        <f>IF($C1241=0,"",COUNTIFS('DEF_SELF_SCOUT_IMPORT'!$L$42:$L$1040,"Y",'DEF_SELF_SCOUT_IMPORT'!$E$42:$E$1040,SUBSTITUTE(SUBSTITUTE(SUBSTITUTE($B1241,"~","~~"),"*","~*"),"?","~?"),'DEF_SELF_SCOUT_IMPORT'!$H$42:$H$1040,"DROPBACK")/$C1241)</f>
        <v>1.0</v>
      </c>
      <c r="I1241" s="14" t="str">
        <f>IF(C1241=0,"",IF(C1241&lt;=2,"TRACK",IF(C1241=3,"LOW",IF(C1241&lt;=6,"MEDIUM","HIGH"))))</f>
        <v>TRACK</v>
      </c>
      <c r="J1241" s="11">
        <f>IF(C1241=0,"",ROUND(D1241*70+(1-E1241)*20+MAX(0,MIN(1,(10-F1241)/10))*10,1))</f>
        <v>0.0</v>
      </c>
      <c r="K1241" s="14" t="str">
        <f>IF(C1241=0,"No Evidence",IF(C1241&lt;=2,IF(E1241&gt;0,"Explosive Alert","Track Only"),IF(C1241=3,"Sample Watch",IF(E1241&gt;=START_HERE!$B$31,"Explosive Alert",IF(J1241&gt;=80,"Strong Candidate",IF(J1241&gt;=65,"Good Candidate",IF(J1241&gt;=50,"Mixed / Review","Problem Call")))))))</f>
        <v>Explosive Alert</v>
      </c>
      <c r="L1241" s="9" t="str">
        <f>IF(COUNTIFS('DEF_SELF_SCOUT_IMPORT'!$L$42:$L$1040,"Y",'DEF_SELF_SCOUT_IMPORT'!$E$42:$E$1040,SUBSTITUTE(SUBSTITUTE(SUBSTITUTE($B1241,"~","~~"),"*","~*"),"?","~?"),'DEF_SELF_SCOUT_IMPORT'!$J$42:$J$1040,"")&gt;0,"Unscored clean outcome; review result tags before using score.",IF(C1241=0,"No matching defensive reps; film confirmation needed.",IF(K1241="Explosive Alert","Explosive risk; review clips before using as answer.",IF(C1241&lt;=2,"Track only; not enough sample.",IF(C1241=3,IF(E1241&gt;0,"Sample watch with explosive exposure; review clips and build the sample.",IF(J1241&gt;=65,"Good signal, but sample is limited.","Sample watch; review clips and build the sample.")),IF(K1241="Problem Call","Problem area; practice or call-sheet review.",IF(K1241="Strong Candidate","Strong call-fit candidate; confirm on film.",IF(K1241="Good Candidate","Good call-fit signal; confirm on film.","Mixed signal; review fit and execution on film."))))))))</f>
        <v>Explosive risk; review clips before using as answer.</v>
      </c>
      <c r="M1241" s="8"/>
      <c r="N1241" s="8"/>
      <c r="O1241" s="8"/>
      <c r="P1241" s="8"/>
      <c r="Q1241" s="8"/>
      <c r="R1241" s="8" t="s">
        <v>28</v>
      </c>
      <c r="S1241" s="2" t="s">
        <v>631</v>
      </c>
      <c r="T1241" s="2">
        <f>IF(C1241=0,0,IF(C1241&gt;=CALL_LOOKUP_BOARD!$B$7,IF(OR(K1241="Problem Call",K1241="Explosive Alert"),10000000,20000000),0)+IF(C1241&gt;=CALL_LOOKUP_BOARD!$B$7,J1241*1000+MIN(C1241,999),C1241*1000+J1241)+0.00995500)</f>
        <v>1000.009955</v>
      </c>
      <c r="U1241" s="2">
        <f>IF(C1241=0,"",IF(COUNTIFS($S$1197:$S$1256,SUBSTITUTE(SUBSTITUTE(SUBSTITUTE(S1241,"~","~~"),"*","~*"),"?","~?"),$T$1197:$T$1256,"&gt;"&amp;T1241)=0,S1241,""))</f>
        <v/>
      </c>
    </row>
    <row r="1242" spans="1:21" ht="38" customHeight="1">
      <c r="A1242" s="8" t="s">
        <v>630</v>
      </c>
      <c r="B1242" s="8" t="s">
        <v>62</v>
      </c>
      <c r="C1242" s="12">
        <f>COUNTIFS('DEF_SELF_SCOUT_IMPORT'!$L$42:$L$1040,"Y",'DEF_SELF_SCOUT_IMPORT'!$E$42:$E$1040,SUBSTITUTE(SUBSTITUTE(SUBSTITUTE($B1242,"~","~~"),"*","~*"),"?","~?"))</f>
        <v>3</v>
      </c>
      <c r="D1242" s="10">
        <f>IF($C1242=0,"",SUMIFS('DEF_SELF_SCOUT_IMPORT'!$J$42:$J$1040,'DEF_SELF_SCOUT_IMPORT'!$L$42:$L$1040,"Y",'DEF_SELF_SCOUT_IMPORT'!$E$42:$E$1040,SUBSTITUTE(SUBSTITUTE(SUBSTITUTE($B1242,"~","~~"),"*","~*"),"?","~?"))/$C1242)</f>
        <v>0.0</v>
      </c>
      <c r="E1242" s="10">
        <f>IF($C1242=0,"",SUMIFS('DEF_SELF_SCOUT_IMPORT'!$K$42:$K$1040,'DEF_SELF_SCOUT_IMPORT'!$L$42:$L$1040,"Y",'DEF_SELF_SCOUT_IMPORT'!$E$42:$E$1040,SUBSTITUTE(SUBSTITUTE(SUBSTITUTE($B1242,"~","~~"),"*","~*"),"?","~?"))/$C1242)</f>
        <v>0.6666666666666666</v>
      </c>
      <c r="F1242" s="11">
        <f>IF($C1242=0,"",AVERAGEIFS('DEF_SELF_SCOUT_IMPORT'!$I$42:$I$1040,'DEF_SELF_SCOUT_IMPORT'!$L$42:$L$1040,"Y",'DEF_SELF_SCOUT_IMPORT'!$E$42:$E$1040,SUBSTITUTE(SUBSTITUTE(SUBSTITUTE($B1242,"~","~~"),"*","~*"),"?","~?")))</f>
        <v>20.666666666666668</v>
      </c>
      <c r="G1242" s="10">
        <f>IF($C1242=0,"",COUNTIFS('DEF_SELF_SCOUT_IMPORT'!$L$42:$L$1040,"Y",'DEF_SELF_SCOUT_IMPORT'!$E$42:$E$1040,SUBSTITUTE(SUBSTITUTE(SUBSTITUTE($B1242,"~","~~"),"*","~*"),"?","~?"),'DEF_SELF_SCOUT_IMPORT'!$H$42:$H$1040,"RUSH")/$C1242)</f>
        <v>0.3333333333333333</v>
      </c>
      <c r="H1242" s="10">
        <f>IF($C1242=0,"",COUNTIFS('DEF_SELF_SCOUT_IMPORT'!$L$42:$L$1040,"Y",'DEF_SELF_SCOUT_IMPORT'!$E$42:$E$1040,SUBSTITUTE(SUBSTITUTE(SUBSTITUTE($B1242,"~","~~"),"*","~*"),"?","~?"),'DEF_SELF_SCOUT_IMPORT'!$H$42:$H$1040,"DROPBACK")/$C1242)</f>
        <v>0.3333333333333333</v>
      </c>
      <c r="I1242" s="14" t="str">
        <f>IF(C1242=0,"",IF(C1242&lt;=2,"TRACK",IF(C1242=3,"LOW",IF(C1242&lt;=6,"MEDIUM","HIGH"))))</f>
        <v>LOW</v>
      </c>
      <c r="J1242" s="11">
        <f>IF(C1242=0,"",ROUND(D1242*70+(1-E1242)*20+MAX(0,MIN(1,(10-F1242)/10))*10,1))</f>
        <v>6.7</v>
      </c>
      <c r="K1242" s="14" t="str">
        <f>IF(C1242=0,"No Evidence",IF(C1242&lt;=2,IF(E1242&gt;0,"Explosive Alert","Track Only"),IF(C1242=3,"Sample Watch",IF(E1242&gt;=START_HERE!$B$31,"Explosive Alert",IF(J1242&gt;=80,"Strong Candidate",IF(J1242&gt;=65,"Good Candidate",IF(J1242&gt;=50,"Mixed / Review","Problem Call")))))))</f>
        <v>Sample Watch</v>
      </c>
      <c r="L1242" s="9" t="str">
        <f>IF(COUNTIFS('DEF_SELF_SCOUT_IMPORT'!$L$42:$L$1040,"Y",'DEF_SELF_SCOUT_IMPORT'!$E$42:$E$1040,SUBSTITUTE(SUBSTITUTE(SUBSTITUTE($B1242,"~","~~"),"*","~*"),"?","~?"),'DEF_SELF_SCOUT_IMPORT'!$J$42:$J$1040,"")&gt;0,"Unscored clean outcome; review result tags before using score.",IF(C1242=0,"No matching defensive reps; film confirmation needed.",IF(K1242="Explosive Alert","Explosive risk; review clips before using as answer.",IF(C1242&lt;=2,"Track only; not enough sample.",IF(C1242=3,IF(E1242&gt;0,"Sample watch with explosive exposure; review clips and build the sample.",IF(J1242&gt;=65,"Good signal, but sample is limited.","Sample watch; review clips and build the sample.")),IF(K1242="Problem Call","Problem area; practice or call-sheet review.",IF(K1242="Strong Candidate","Strong call-fit candidate; confirm on film.",IF(K1242="Good Candidate","Good call-fit signal; confirm on film.","Mixed signal; review fit and execution on film."))))))))</f>
        <v>Sample watch with explosive exposure; review clips and build the sample.</v>
      </c>
      <c r="M1242" s="8"/>
      <c r="N1242" s="8"/>
      <c r="O1242" s="8"/>
      <c r="P1242" s="8"/>
      <c r="Q1242" s="8"/>
      <c r="R1242" s="8" t="s">
        <v>28</v>
      </c>
      <c r="S1242" s="2" t="s">
        <v>631</v>
      </c>
      <c r="T1242" s="2">
        <f>IF(C1242=0,0,IF(C1242&gt;=CALL_LOOKUP_BOARD!$B$7,IF(OR(K1242="Problem Call",K1242="Explosive Alert"),10000000,20000000),0)+IF(C1242&gt;=CALL_LOOKUP_BOARD!$B$7,J1242*1000+MIN(C1242,999),C1242*1000+J1242)+0.00995400)</f>
        <v>3006.709954</v>
      </c>
      <c r="U1242" s="2">
        <f>IF(C1242=0,"",IF(COUNTIFS($S$1197:$S$1256,SUBSTITUTE(SUBSTITUTE(SUBSTITUTE(S1242,"~","~~"),"*","~*"),"?","~?"),$T$1197:$T$1256,"&gt;"&amp;T1242)=0,S1242,""))</f>
        <v/>
      </c>
    </row>
    <row r="1243" spans="1:21" ht="38" customHeight="1">
      <c r="A1243" s="8" t="s">
        <v>630</v>
      </c>
      <c r="B1243" s="8" t="s">
        <v>101</v>
      </c>
      <c r="C1243" s="12">
        <f>COUNTIFS('DEF_SELF_SCOUT_IMPORT'!$L$42:$L$1040,"Y",'DEF_SELF_SCOUT_IMPORT'!$E$42:$E$1040,SUBSTITUTE(SUBSTITUTE(SUBSTITUTE($B1243,"~","~~"),"*","~*"),"?","~?"))</f>
        <v>6</v>
      </c>
      <c r="D1243" s="10">
        <f>IF($C1243=0,"",SUMIFS('DEF_SELF_SCOUT_IMPORT'!$J$42:$J$1040,'DEF_SELF_SCOUT_IMPORT'!$L$42:$L$1040,"Y",'DEF_SELF_SCOUT_IMPORT'!$E$42:$E$1040,SUBSTITUTE(SUBSTITUTE(SUBSTITUTE($B1243,"~","~~"),"*","~*"),"?","~?"))/$C1243)</f>
        <v>0.6666666666666666</v>
      </c>
      <c r="E1243" s="10">
        <f>IF($C1243=0,"",SUMIFS('DEF_SELF_SCOUT_IMPORT'!$K$42:$K$1040,'DEF_SELF_SCOUT_IMPORT'!$L$42:$L$1040,"Y",'DEF_SELF_SCOUT_IMPORT'!$E$42:$E$1040,SUBSTITUTE(SUBSTITUTE(SUBSTITUTE($B1243,"~","~~"),"*","~*"),"?","~?"))/$C1243)</f>
        <v>0.16666666666666666</v>
      </c>
      <c r="F1243" s="11">
        <f>IF($C1243=0,"",AVERAGEIFS('DEF_SELF_SCOUT_IMPORT'!$I$42:$I$1040,'DEF_SELF_SCOUT_IMPORT'!$L$42:$L$1040,"Y",'DEF_SELF_SCOUT_IMPORT'!$E$42:$E$1040,SUBSTITUTE(SUBSTITUTE(SUBSTITUTE($B1243,"~","~~"),"*","~*"),"?","~?")))</f>
        <v>12.166666666666666</v>
      </c>
      <c r="G1243" s="10">
        <f>IF($C1243=0,"",COUNTIFS('DEF_SELF_SCOUT_IMPORT'!$L$42:$L$1040,"Y",'DEF_SELF_SCOUT_IMPORT'!$E$42:$E$1040,SUBSTITUTE(SUBSTITUTE(SUBSTITUTE($B1243,"~","~~"),"*","~*"),"?","~?"),'DEF_SELF_SCOUT_IMPORT'!$H$42:$H$1040,"RUSH")/$C1243)</f>
        <v>0.0</v>
      </c>
      <c r="H1243" s="10">
        <f>IF($C1243=0,"",COUNTIFS('DEF_SELF_SCOUT_IMPORT'!$L$42:$L$1040,"Y",'DEF_SELF_SCOUT_IMPORT'!$E$42:$E$1040,SUBSTITUTE(SUBSTITUTE(SUBSTITUTE($B1243,"~","~~"),"*","~*"),"?","~?"),'DEF_SELF_SCOUT_IMPORT'!$H$42:$H$1040,"DROPBACK")/$C1243)</f>
        <v>1.0</v>
      </c>
      <c r="I1243" s="14" t="str">
        <f>IF(C1243=0,"",IF(C1243&lt;=2,"TRACK",IF(C1243=3,"LOW",IF(C1243&lt;=6,"MEDIUM","HIGH"))))</f>
        <v>MEDIUM</v>
      </c>
      <c r="J1243" s="11">
        <f>IF(C1243=0,"",ROUND(D1243*70+(1-E1243)*20+MAX(0,MIN(1,(10-F1243)/10))*10,1))</f>
        <v>63.3</v>
      </c>
      <c r="K1243" s="14" t="str">
        <f>IF(C1243=0,"No Evidence",IF(C1243&lt;=2,IF(E1243&gt;0,"Explosive Alert","Track Only"),IF(C1243=3,"Sample Watch",IF(E1243&gt;=START_HERE!$B$31,"Explosive Alert",IF(J1243&gt;=80,"Strong Candidate",IF(J1243&gt;=65,"Good Candidate",IF(J1243&gt;=50,"Mixed / Review","Problem Call")))))))</f>
        <v>Mixed / Review</v>
      </c>
      <c r="L1243" s="9" t="str">
        <f>IF(COUNTIFS('DEF_SELF_SCOUT_IMPORT'!$L$42:$L$1040,"Y",'DEF_SELF_SCOUT_IMPORT'!$E$42:$E$1040,SUBSTITUTE(SUBSTITUTE(SUBSTITUTE($B1243,"~","~~"),"*","~*"),"?","~?"),'DEF_SELF_SCOUT_IMPORT'!$J$42:$J$1040,"")&gt;0,"Unscored clean outcome; review result tags before using score.",IF(C1243=0,"No matching defensive reps; film confirmation needed.",IF(K1243="Explosive Alert","Explosive risk; review clips before using as answer.",IF(C1243&lt;=2,"Track only; not enough sample.",IF(C1243=3,IF(E1243&gt;0,"Sample watch with explosive exposure; review clips and build the sample.",IF(J1243&gt;=65,"Good signal, but sample is limited.","Sample watch; review clips and build the sample.")),IF(K1243="Problem Call","Problem area; practice or call-sheet review.",IF(K1243="Strong Candidate","Strong call-fit candidate; confirm on film.",IF(K1243="Good Candidate","Good call-fit signal; confirm on film.","Mixed signal; review fit and execution on film."))))))))</f>
        <v>Mixed signal; review fit and execution on film.</v>
      </c>
      <c r="M1243" s="8"/>
      <c r="N1243" s="8"/>
      <c r="O1243" s="8"/>
      <c r="P1243" s="8"/>
      <c r="Q1243" s="8"/>
      <c r="R1243" s="8" t="s">
        <v>45</v>
      </c>
      <c r="S1243" s="2" t="s">
        <v>631</v>
      </c>
      <c r="T1243" s="2">
        <f>IF(C1243=0,0,IF(C1243&gt;=CALL_LOOKUP_BOARD!$B$7,IF(OR(K1243="Problem Call",K1243="Explosive Alert"),10000000,20000000),0)+IF(C1243&gt;=CALL_LOOKUP_BOARD!$B$7,J1243*1000+MIN(C1243,999),C1243*1000+J1243)+0.00995300)</f>
        <v>20063306.009953</v>
      </c>
      <c r="U1243" s="2">
        <f>IF(C1243=0,"",IF(COUNTIFS($S$1197:$S$1256,SUBSTITUTE(SUBSTITUTE(SUBSTITUTE(S1243,"~","~~"),"*","~*"),"?","~?"),$T$1197:$T$1256,"&gt;"&amp;T1243)=0,S1243,""))</f>
        <v/>
      </c>
    </row>
    <row r="1244" spans="1:21" ht="38" customHeight="1">
      <c r="A1244" s="8" t="s">
        <v>630</v>
      </c>
      <c r="B1244" s="8" t="s">
        <v>90</v>
      </c>
      <c r="C1244" s="12">
        <f>COUNTIFS('DEF_SELF_SCOUT_IMPORT'!$L$42:$L$1040,"Y",'DEF_SELF_SCOUT_IMPORT'!$E$42:$E$1040,SUBSTITUTE(SUBSTITUTE(SUBSTITUTE($B1244,"~","~~"),"*","~*"),"?","~?"))</f>
        <v>1</v>
      </c>
      <c r="D1244" s="10">
        <f>IF($C1244=0,"",SUMIFS('DEF_SELF_SCOUT_IMPORT'!$J$42:$J$1040,'DEF_SELF_SCOUT_IMPORT'!$L$42:$L$1040,"Y",'DEF_SELF_SCOUT_IMPORT'!$E$42:$E$1040,SUBSTITUTE(SUBSTITUTE(SUBSTITUTE($B1244,"~","~~"),"*","~*"),"?","~?"))/$C1244)</f>
        <v>1.0</v>
      </c>
      <c r="E1244" s="10">
        <f>IF($C1244=0,"",SUMIFS('DEF_SELF_SCOUT_IMPORT'!$K$42:$K$1040,'DEF_SELF_SCOUT_IMPORT'!$L$42:$L$1040,"Y",'DEF_SELF_SCOUT_IMPORT'!$E$42:$E$1040,SUBSTITUTE(SUBSTITUTE(SUBSTITUTE($B1244,"~","~~"),"*","~*"),"?","~?"))/$C1244)</f>
        <v>0.0</v>
      </c>
      <c r="F1244" s="11">
        <f>IF($C1244=0,"",AVERAGEIFS('DEF_SELF_SCOUT_IMPORT'!$I$42:$I$1040,'DEF_SELF_SCOUT_IMPORT'!$L$42:$L$1040,"Y",'DEF_SELF_SCOUT_IMPORT'!$E$42:$E$1040,SUBSTITUTE(SUBSTITUTE(SUBSTITUTE($B1244,"~","~~"),"*","~*"),"?","~?")))</f>
        <v>0.0</v>
      </c>
      <c r="G1244" s="10">
        <f>IF($C1244=0,"",COUNTIFS('DEF_SELF_SCOUT_IMPORT'!$L$42:$L$1040,"Y",'DEF_SELF_SCOUT_IMPORT'!$E$42:$E$1040,SUBSTITUTE(SUBSTITUTE(SUBSTITUTE($B1244,"~","~~"),"*","~*"),"?","~?"),'DEF_SELF_SCOUT_IMPORT'!$H$42:$H$1040,"RUSH")/$C1244)</f>
        <v>0.0</v>
      </c>
      <c r="H1244" s="10">
        <f>IF($C1244=0,"",COUNTIFS('DEF_SELF_SCOUT_IMPORT'!$L$42:$L$1040,"Y",'DEF_SELF_SCOUT_IMPORT'!$E$42:$E$1040,SUBSTITUTE(SUBSTITUTE(SUBSTITUTE($B1244,"~","~~"),"*","~*"),"?","~?"),'DEF_SELF_SCOUT_IMPORT'!$H$42:$H$1040,"DROPBACK")/$C1244)</f>
        <v>1.0</v>
      </c>
      <c r="I1244" s="14" t="str">
        <f>IF(C1244=0,"",IF(C1244&lt;=2,"TRACK",IF(C1244=3,"LOW",IF(C1244&lt;=6,"MEDIUM","HIGH"))))</f>
        <v>TRACK</v>
      </c>
      <c r="J1244" s="11">
        <f>IF(C1244=0,"",ROUND(D1244*70+(1-E1244)*20+MAX(0,MIN(1,(10-F1244)/10))*10,1))</f>
        <v>100.0</v>
      </c>
      <c r="K1244" s="14" t="str">
        <f>IF(C1244=0,"No Evidence",IF(C1244&lt;=2,IF(E1244&gt;0,"Explosive Alert","Track Only"),IF(C1244=3,"Sample Watch",IF(E1244&gt;=START_HERE!$B$31,"Explosive Alert",IF(J1244&gt;=80,"Strong Candidate",IF(J1244&gt;=65,"Good Candidate",IF(J1244&gt;=50,"Mixed / Review","Problem Call")))))))</f>
        <v>Track Only</v>
      </c>
      <c r="L1244" s="9" t="str">
        <f>IF(COUNTIFS('DEF_SELF_SCOUT_IMPORT'!$L$42:$L$1040,"Y",'DEF_SELF_SCOUT_IMPORT'!$E$42:$E$1040,SUBSTITUTE(SUBSTITUTE(SUBSTITUTE($B1244,"~","~~"),"*","~*"),"?","~?"),'DEF_SELF_SCOUT_IMPORT'!$J$42:$J$1040,"")&gt;0,"Unscored clean outcome; review result tags before using score.",IF(C1244=0,"No matching defensive reps; film confirmation needed.",IF(K1244="Explosive Alert","Explosive risk; review clips before using as answer.",IF(C1244&lt;=2,"Track only; not enough sample.",IF(C1244=3,IF(E1244&gt;0,"Sample watch with explosive exposure; review clips and build the sample.",IF(J1244&gt;=65,"Good signal, but sample is limited.","Sample watch; review clips and build the sample.")),IF(K1244="Problem Call","Problem area; practice or call-sheet review.",IF(K1244="Strong Candidate","Strong call-fit candidate; confirm on film.",IF(K1244="Good Candidate","Good call-fit signal; confirm on film.","Mixed signal; review fit and execution on film."))))))))</f>
        <v>Track only; not enough sample.</v>
      </c>
      <c r="M1244" s="8"/>
      <c r="N1244" s="8"/>
      <c r="O1244" s="8"/>
      <c r="P1244" s="8"/>
      <c r="Q1244" s="8"/>
      <c r="R1244" s="8" t="s">
        <v>28</v>
      </c>
      <c r="S1244" s="2" t="s">
        <v>631</v>
      </c>
      <c r="T1244" s="2">
        <f>IF(C1244=0,0,IF(C1244&gt;=CALL_LOOKUP_BOARD!$B$7,IF(OR(K1244="Problem Call",K1244="Explosive Alert"),10000000,20000000),0)+IF(C1244&gt;=CALL_LOOKUP_BOARD!$B$7,J1244*1000+MIN(C1244,999),C1244*1000+J1244)+0.00995200)</f>
        <v>1100.009952</v>
      </c>
      <c r="U1244" s="2">
        <f>IF(C1244=0,"",IF(COUNTIFS($S$1197:$S$1256,SUBSTITUTE(SUBSTITUTE(SUBSTITUTE(S1244,"~","~~"),"*","~*"),"?","~?"),$T$1197:$T$1256,"&gt;"&amp;T1244)=0,S1244,""))</f>
        <v/>
      </c>
    </row>
    <row r="1245" spans="1:21" ht="38" customHeight="1">
      <c r="A1245" s="8" t="s">
        <v>630</v>
      </c>
      <c r="B1245" s="8" t="s">
        <v>63</v>
      </c>
      <c r="C1245" s="12">
        <f>COUNTIFS('DEF_SELF_SCOUT_IMPORT'!$L$42:$L$1040,"Y",'DEF_SELF_SCOUT_IMPORT'!$E$42:$E$1040,SUBSTITUTE(SUBSTITUTE(SUBSTITUTE($B1245,"~","~~"),"*","~*"),"?","~?"))</f>
        <v>10</v>
      </c>
      <c r="D1245" s="10">
        <f>IF($C1245=0,"",SUMIFS('DEF_SELF_SCOUT_IMPORT'!$J$42:$J$1040,'DEF_SELF_SCOUT_IMPORT'!$L$42:$L$1040,"Y",'DEF_SELF_SCOUT_IMPORT'!$E$42:$E$1040,SUBSTITUTE(SUBSTITUTE(SUBSTITUTE($B1245,"~","~~"),"*","~*"),"?","~?"))/$C1245)</f>
        <v>0.3</v>
      </c>
      <c r="E1245" s="10">
        <f>IF($C1245=0,"",SUMIFS('DEF_SELF_SCOUT_IMPORT'!$K$42:$K$1040,'DEF_SELF_SCOUT_IMPORT'!$L$42:$L$1040,"Y",'DEF_SELF_SCOUT_IMPORT'!$E$42:$E$1040,SUBSTITUTE(SUBSTITUTE(SUBSTITUTE($B1245,"~","~~"),"*","~*"),"?","~?"))/$C1245)</f>
        <v>0.2</v>
      </c>
      <c r="F1245" s="11">
        <f>IF($C1245=0,"",AVERAGEIFS('DEF_SELF_SCOUT_IMPORT'!$I$42:$I$1040,'DEF_SELF_SCOUT_IMPORT'!$L$42:$L$1040,"Y",'DEF_SELF_SCOUT_IMPORT'!$E$42:$E$1040,SUBSTITUTE(SUBSTITUTE(SUBSTITUTE($B1245,"~","~~"),"*","~*"),"?","~?")))</f>
        <v>9.4</v>
      </c>
      <c r="G1245" s="10">
        <f>IF($C1245=0,"",COUNTIFS('DEF_SELF_SCOUT_IMPORT'!$L$42:$L$1040,"Y",'DEF_SELF_SCOUT_IMPORT'!$E$42:$E$1040,SUBSTITUTE(SUBSTITUTE(SUBSTITUTE($B1245,"~","~~"),"*","~*"),"?","~?"),'DEF_SELF_SCOUT_IMPORT'!$H$42:$H$1040,"RUSH")/$C1245)</f>
        <v>0.2</v>
      </c>
      <c r="H1245" s="10">
        <f>IF($C1245=0,"",COUNTIFS('DEF_SELF_SCOUT_IMPORT'!$L$42:$L$1040,"Y",'DEF_SELF_SCOUT_IMPORT'!$E$42:$E$1040,SUBSTITUTE(SUBSTITUTE(SUBSTITUTE($B1245,"~","~~"),"*","~*"),"?","~?"),'DEF_SELF_SCOUT_IMPORT'!$H$42:$H$1040,"DROPBACK")/$C1245)</f>
        <v>0.8</v>
      </c>
      <c r="I1245" s="14" t="str">
        <f>IF(C1245=0,"",IF(C1245&lt;=2,"TRACK",IF(C1245=3,"LOW",IF(C1245&lt;=6,"MEDIUM","HIGH"))))</f>
        <v>HIGH</v>
      </c>
      <c r="J1245" s="11">
        <f>IF(C1245=0,"",ROUND(D1245*70+(1-E1245)*20+MAX(0,MIN(1,(10-F1245)/10))*10,1))</f>
        <v>37.6</v>
      </c>
      <c r="K1245" s="14" t="str">
        <f>IF(C1245=0,"No Evidence",IF(C1245&lt;=2,IF(E1245&gt;0,"Explosive Alert","Track Only"),IF(C1245=3,"Sample Watch",IF(E1245&gt;=START_HERE!$B$31,"Explosive Alert",IF(J1245&gt;=80,"Strong Candidate",IF(J1245&gt;=65,"Good Candidate",IF(J1245&gt;=50,"Mixed / Review","Problem Call")))))))</f>
        <v>Explosive Alert</v>
      </c>
      <c r="L1245" s="9" t="str">
        <f>IF(COUNTIFS('DEF_SELF_SCOUT_IMPORT'!$L$42:$L$1040,"Y",'DEF_SELF_SCOUT_IMPORT'!$E$42:$E$1040,SUBSTITUTE(SUBSTITUTE(SUBSTITUTE($B1245,"~","~~"),"*","~*"),"?","~?"),'DEF_SELF_SCOUT_IMPORT'!$J$42:$J$1040,"")&gt;0,"Unscored clean outcome; review result tags before using score.",IF(C1245=0,"No matching defensive reps; film confirmation needed.",IF(K1245="Explosive Alert","Explosive risk; review clips before using as answer.",IF(C1245&lt;=2,"Track only; not enough sample.",IF(C1245=3,IF(E1245&gt;0,"Sample watch with explosive exposure; review clips and build the sample.",IF(J1245&gt;=65,"Good signal, but sample is limited.","Sample watch; review clips and build the sample.")),IF(K1245="Problem Call","Problem area; practice or call-sheet review.",IF(K1245="Strong Candidate","Strong call-fit candidate; confirm on film.",IF(K1245="Good Candidate","Good call-fit signal; confirm on film.","Mixed signal; review fit and execution on film."))))))))</f>
        <v>Explosive risk; review clips before using as answer.</v>
      </c>
      <c r="M1245" s="8"/>
      <c r="N1245" s="8"/>
      <c r="O1245" s="8"/>
      <c r="P1245" s="8"/>
      <c r="Q1245" s="8"/>
      <c r="R1245" s="8" t="s">
        <v>45</v>
      </c>
      <c r="S1245" s="2" t="s">
        <v>631</v>
      </c>
      <c r="T1245" s="2">
        <f>IF(C1245=0,0,IF(C1245&gt;=CALL_LOOKUP_BOARD!$B$7,IF(OR(K1245="Problem Call",K1245="Explosive Alert"),10000000,20000000),0)+IF(C1245&gt;=CALL_LOOKUP_BOARD!$B$7,J1245*1000+MIN(C1245,999),C1245*1000+J1245)+0.00995100)</f>
        <v>10037610.009951</v>
      </c>
      <c r="U1245" s="2">
        <f>IF(C1245=0,"",IF(COUNTIFS($S$1197:$S$1256,SUBSTITUTE(SUBSTITUTE(SUBSTITUTE(S1245,"~","~~"),"*","~*"),"?","~?"),$T$1197:$T$1256,"&gt;"&amp;T1245)=0,S1245,""))</f>
        <v/>
      </c>
    </row>
    <row r="1246" spans="1:21" ht="38" customHeight="1">
      <c r="A1246" s="8" t="s">
        <v>630</v>
      </c>
      <c r="B1246" s="8" t="s">
        <v>84</v>
      </c>
      <c r="C1246" s="12">
        <f>COUNTIFS('DEF_SELF_SCOUT_IMPORT'!$L$42:$L$1040,"Y",'DEF_SELF_SCOUT_IMPORT'!$E$42:$E$1040,SUBSTITUTE(SUBSTITUTE(SUBSTITUTE($B1246,"~","~~"),"*","~*"),"?","~?"))</f>
        <v>3</v>
      </c>
      <c r="D1246" s="10">
        <f>IF($C1246=0,"",SUMIFS('DEF_SELF_SCOUT_IMPORT'!$J$42:$J$1040,'DEF_SELF_SCOUT_IMPORT'!$L$42:$L$1040,"Y",'DEF_SELF_SCOUT_IMPORT'!$E$42:$E$1040,SUBSTITUTE(SUBSTITUTE(SUBSTITUTE($B1246,"~","~~"),"*","~*"),"?","~?"))/$C1246)</f>
        <v>0.6666666666666666</v>
      </c>
      <c r="E1246" s="10">
        <f>IF($C1246=0,"",SUMIFS('DEF_SELF_SCOUT_IMPORT'!$K$42:$K$1040,'DEF_SELF_SCOUT_IMPORT'!$L$42:$L$1040,"Y",'DEF_SELF_SCOUT_IMPORT'!$E$42:$E$1040,SUBSTITUTE(SUBSTITUTE(SUBSTITUTE($B1246,"~","~~"),"*","~*"),"?","~?"))/$C1246)</f>
        <v>0.3333333333333333</v>
      </c>
      <c r="F1246" s="11">
        <f>IF($C1246=0,"",AVERAGEIFS('DEF_SELF_SCOUT_IMPORT'!$I$42:$I$1040,'DEF_SELF_SCOUT_IMPORT'!$L$42:$L$1040,"Y",'DEF_SELF_SCOUT_IMPORT'!$E$42:$E$1040,SUBSTITUTE(SUBSTITUTE(SUBSTITUTE($B1246,"~","~~"),"*","~*"),"?","~?")))</f>
        <v>15.0</v>
      </c>
      <c r="G1246" s="10">
        <f>IF($C1246=0,"",COUNTIFS('DEF_SELF_SCOUT_IMPORT'!$L$42:$L$1040,"Y",'DEF_SELF_SCOUT_IMPORT'!$E$42:$E$1040,SUBSTITUTE(SUBSTITUTE(SUBSTITUTE($B1246,"~","~~"),"*","~*"),"?","~?"),'DEF_SELF_SCOUT_IMPORT'!$H$42:$H$1040,"RUSH")/$C1246)</f>
        <v>0.3333333333333333</v>
      </c>
      <c r="H1246" s="10">
        <f>IF($C1246=0,"",COUNTIFS('DEF_SELF_SCOUT_IMPORT'!$L$42:$L$1040,"Y",'DEF_SELF_SCOUT_IMPORT'!$E$42:$E$1040,SUBSTITUTE(SUBSTITUTE(SUBSTITUTE($B1246,"~","~~"),"*","~*"),"?","~?"),'DEF_SELF_SCOUT_IMPORT'!$H$42:$H$1040,"DROPBACK")/$C1246)</f>
        <v>0.6666666666666666</v>
      </c>
      <c r="I1246" s="14" t="str">
        <f>IF(C1246=0,"",IF(C1246&lt;=2,"TRACK",IF(C1246=3,"LOW",IF(C1246&lt;=6,"MEDIUM","HIGH"))))</f>
        <v>LOW</v>
      </c>
      <c r="J1246" s="11">
        <f>IF(C1246=0,"",ROUND(D1246*70+(1-E1246)*20+MAX(0,MIN(1,(10-F1246)/10))*10,1))</f>
        <v>60.0</v>
      </c>
      <c r="K1246" s="14" t="str">
        <f>IF(C1246=0,"No Evidence",IF(C1246&lt;=2,IF(E1246&gt;0,"Explosive Alert","Track Only"),IF(C1246=3,"Sample Watch",IF(E1246&gt;=START_HERE!$B$31,"Explosive Alert",IF(J1246&gt;=80,"Strong Candidate",IF(J1246&gt;=65,"Good Candidate",IF(J1246&gt;=50,"Mixed / Review","Problem Call")))))))</f>
        <v>Sample Watch</v>
      </c>
      <c r="L1246" s="9" t="str">
        <f>IF(COUNTIFS('DEF_SELF_SCOUT_IMPORT'!$L$42:$L$1040,"Y",'DEF_SELF_SCOUT_IMPORT'!$E$42:$E$1040,SUBSTITUTE(SUBSTITUTE(SUBSTITUTE($B1246,"~","~~"),"*","~*"),"?","~?"),'DEF_SELF_SCOUT_IMPORT'!$J$42:$J$1040,"")&gt;0,"Unscored clean outcome; review result tags before using score.",IF(C1246=0,"No matching defensive reps; film confirmation needed.",IF(K1246="Explosive Alert","Explosive risk; review clips before using as answer.",IF(C1246&lt;=2,"Track only; not enough sample.",IF(C1246=3,IF(E1246&gt;0,"Sample watch with explosive exposure; review clips and build the sample.",IF(J1246&gt;=65,"Good signal, but sample is limited.","Sample watch; review clips and build the sample.")),IF(K1246="Problem Call","Problem area; practice or call-sheet review.",IF(K1246="Strong Candidate","Strong call-fit candidate; confirm on film.",IF(K1246="Good Candidate","Good call-fit signal; confirm on film.","Mixed signal; review fit and execution on film."))))))))</f>
        <v>Sample watch with explosive exposure; review clips and build the sample.</v>
      </c>
      <c r="M1246" s="8"/>
      <c r="N1246" s="8"/>
      <c r="O1246" s="8"/>
      <c r="P1246" s="8"/>
      <c r="Q1246" s="8"/>
      <c r="R1246" s="8" t="s">
        <v>28</v>
      </c>
      <c r="S1246" s="2" t="s">
        <v>631</v>
      </c>
      <c r="T1246" s="2">
        <f>IF(C1246=0,0,IF(C1246&gt;=CALL_LOOKUP_BOARD!$B$7,IF(OR(K1246="Problem Call",K1246="Explosive Alert"),10000000,20000000),0)+IF(C1246&gt;=CALL_LOOKUP_BOARD!$B$7,J1246*1000+MIN(C1246,999),C1246*1000+J1246)+0.00995000)</f>
        <v>3060.00995</v>
      </c>
      <c r="U1246" s="2">
        <f>IF(C1246=0,"",IF(COUNTIFS($S$1197:$S$1256,SUBSTITUTE(SUBSTITUTE(SUBSTITUTE(S1246,"~","~~"),"*","~*"),"?","~?"),$T$1197:$T$1256,"&gt;"&amp;T1246)=0,S1246,""))</f>
        <v/>
      </c>
    </row>
    <row r="1247" spans="1:21" ht="38" customHeight="1">
      <c r="A1247" s="8" t="s">
        <v>630</v>
      </c>
      <c r="B1247" s="8" t="s">
        <v>102</v>
      </c>
      <c r="C1247" s="12">
        <f>COUNTIFS('DEF_SELF_SCOUT_IMPORT'!$L$42:$L$1040,"Y",'DEF_SELF_SCOUT_IMPORT'!$E$42:$E$1040,SUBSTITUTE(SUBSTITUTE(SUBSTITUTE($B1247,"~","~~"),"*","~*"),"?","~?"))</f>
        <v>4</v>
      </c>
      <c r="D1247" s="10">
        <f>IF($C1247=0,"",SUMIFS('DEF_SELF_SCOUT_IMPORT'!$J$42:$J$1040,'DEF_SELF_SCOUT_IMPORT'!$L$42:$L$1040,"Y",'DEF_SELF_SCOUT_IMPORT'!$E$42:$E$1040,SUBSTITUTE(SUBSTITUTE(SUBSTITUTE($B1247,"~","~~"),"*","~*"),"?","~?"))/$C1247)</f>
        <v>1.0</v>
      </c>
      <c r="E1247" s="10">
        <f>IF($C1247=0,"",SUMIFS('DEF_SELF_SCOUT_IMPORT'!$K$42:$K$1040,'DEF_SELF_SCOUT_IMPORT'!$L$42:$L$1040,"Y",'DEF_SELF_SCOUT_IMPORT'!$E$42:$E$1040,SUBSTITUTE(SUBSTITUTE(SUBSTITUTE($B1247,"~","~~"),"*","~*"),"?","~?"))/$C1247)</f>
        <v>0.0</v>
      </c>
      <c r="F1247" s="11">
        <f>IF($C1247=0,"",AVERAGEIFS('DEF_SELF_SCOUT_IMPORT'!$I$42:$I$1040,'DEF_SELF_SCOUT_IMPORT'!$L$42:$L$1040,"Y",'DEF_SELF_SCOUT_IMPORT'!$E$42:$E$1040,SUBSTITUTE(SUBSTITUTE(SUBSTITUTE($B1247,"~","~~"),"*","~*"),"?","~?")))</f>
        <v>1.0</v>
      </c>
      <c r="G1247" s="10">
        <f>IF($C1247=0,"",COUNTIFS('DEF_SELF_SCOUT_IMPORT'!$L$42:$L$1040,"Y",'DEF_SELF_SCOUT_IMPORT'!$E$42:$E$1040,SUBSTITUTE(SUBSTITUTE(SUBSTITUTE($B1247,"~","~~"),"*","~*"),"?","~?"),'DEF_SELF_SCOUT_IMPORT'!$H$42:$H$1040,"RUSH")/$C1247)</f>
        <v>0.25</v>
      </c>
      <c r="H1247" s="10">
        <f>IF($C1247=0,"",COUNTIFS('DEF_SELF_SCOUT_IMPORT'!$L$42:$L$1040,"Y",'DEF_SELF_SCOUT_IMPORT'!$E$42:$E$1040,SUBSTITUTE(SUBSTITUTE(SUBSTITUTE($B1247,"~","~~"),"*","~*"),"?","~?"),'DEF_SELF_SCOUT_IMPORT'!$H$42:$H$1040,"DROPBACK")/$C1247)</f>
        <v>0.75</v>
      </c>
      <c r="I1247" s="14" t="str">
        <f>IF(C1247=0,"",IF(C1247&lt;=2,"TRACK",IF(C1247=3,"LOW",IF(C1247&lt;=6,"MEDIUM","HIGH"))))</f>
        <v>MEDIUM</v>
      </c>
      <c r="J1247" s="11">
        <f>IF(C1247=0,"",ROUND(D1247*70+(1-E1247)*20+MAX(0,MIN(1,(10-F1247)/10))*10,1))</f>
        <v>99.0</v>
      </c>
      <c r="K1247" s="14" t="str">
        <f>IF(C1247=0,"No Evidence",IF(C1247&lt;=2,IF(E1247&gt;0,"Explosive Alert","Track Only"),IF(C1247=3,"Sample Watch",IF(E1247&gt;=START_HERE!$B$31,"Explosive Alert",IF(J1247&gt;=80,"Strong Candidate",IF(J1247&gt;=65,"Good Candidate",IF(J1247&gt;=50,"Mixed / Review","Problem Call")))))))</f>
        <v>Strong Candidate</v>
      </c>
      <c r="L1247" s="9" t="str">
        <f>IF(COUNTIFS('DEF_SELF_SCOUT_IMPORT'!$L$42:$L$1040,"Y",'DEF_SELF_SCOUT_IMPORT'!$E$42:$E$1040,SUBSTITUTE(SUBSTITUTE(SUBSTITUTE($B1247,"~","~~"),"*","~*"),"?","~?"),'DEF_SELF_SCOUT_IMPORT'!$J$42:$J$1040,"")&gt;0,"Unscored clean outcome; review result tags before using score.",IF(C1247=0,"No matching defensive reps; film confirmation needed.",IF(K1247="Explosive Alert","Explosive risk; review clips before using as answer.",IF(C1247&lt;=2,"Track only; not enough sample.",IF(C1247=3,IF(E1247&gt;0,"Sample watch with explosive exposure; review clips and build the sample.",IF(J1247&gt;=65,"Good signal, but sample is limited.","Sample watch; review clips and build the sample.")),IF(K1247="Problem Call","Problem area; practice or call-sheet review.",IF(K1247="Strong Candidate","Strong call-fit candidate; confirm on film.",IF(K1247="Good Candidate","Good call-fit signal; confirm on film.","Mixed signal; review fit and execution on film."))))))))</f>
        <v>Strong call-fit candidate; confirm on film.</v>
      </c>
      <c r="M1247" s="8"/>
      <c r="N1247" s="8"/>
      <c r="O1247" s="8"/>
      <c r="P1247" s="8"/>
      <c r="Q1247" s="8"/>
      <c r="R1247" s="8" t="s">
        <v>45</v>
      </c>
      <c r="S1247" s="2" t="s">
        <v>631</v>
      </c>
      <c r="T1247" s="2">
        <f>IF(C1247=0,0,IF(C1247&gt;=CALL_LOOKUP_BOARD!$B$7,IF(OR(K1247="Problem Call",K1247="Explosive Alert"),10000000,20000000),0)+IF(C1247&gt;=CALL_LOOKUP_BOARD!$B$7,J1247*1000+MIN(C1247,999),C1247*1000+J1247)+0.00994900)</f>
        <v>20099004.009949</v>
      </c>
      <c r="U1247" s="2" t="str">
        <f>IF(C1247=0,"",IF(COUNTIFS($S$1197:$S$1256,SUBSTITUTE(SUBSTITUTE(SUBSTITUTE(S1247,"~","~~"),"*","~*"),"?","~?"),$T$1197:$T$1256,"&gt;"&amp;T1247)=0,S1247,""))</f>
        <v>ALL</v>
      </c>
    </row>
    <row r="1248" spans="1:21" ht="38" customHeight="1">
      <c r="A1248" s="8" t="s">
        <v>630</v>
      </c>
      <c r="B1248" s="8" t="s">
        <v>64</v>
      </c>
      <c r="C1248" s="12">
        <f>COUNTIFS('DEF_SELF_SCOUT_IMPORT'!$L$42:$L$1040,"Y",'DEF_SELF_SCOUT_IMPORT'!$E$42:$E$1040,SUBSTITUTE(SUBSTITUTE(SUBSTITUTE($B1248,"~","~~"),"*","~*"),"?","~?"))</f>
        <v>2</v>
      </c>
      <c r="D1248" s="10">
        <f>IF($C1248=0,"",SUMIFS('DEF_SELF_SCOUT_IMPORT'!$J$42:$J$1040,'DEF_SELF_SCOUT_IMPORT'!$L$42:$L$1040,"Y",'DEF_SELF_SCOUT_IMPORT'!$E$42:$E$1040,SUBSTITUTE(SUBSTITUTE(SUBSTITUTE($B1248,"~","~~"),"*","~*"),"?","~?"))/$C1248)</f>
        <v>1.0</v>
      </c>
      <c r="E1248" s="10">
        <f>IF($C1248=0,"",SUMIFS('DEF_SELF_SCOUT_IMPORT'!$K$42:$K$1040,'DEF_SELF_SCOUT_IMPORT'!$L$42:$L$1040,"Y",'DEF_SELF_SCOUT_IMPORT'!$E$42:$E$1040,SUBSTITUTE(SUBSTITUTE(SUBSTITUTE($B1248,"~","~~"),"*","~*"),"?","~?"))/$C1248)</f>
        <v>0.0</v>
      </c>
      <c r="F1248" s="11">
        <f>IF($C1248=0,"",AVERAGEIFS('DEF_SELF_SCOUT_IMPORT'!$I$42:$I$1040,'DEF_SELF_SCOUT_IMPORT'!$L$42:$L$1040,"Y",'DEF_SELF_SCOUT_IMPORT'!$E$42:$E$1040,SUBSTITUTE(SUBSTITUTE(SUBSTITUTE($B1248,"~","~~"),"*","~*"),"?","~?")))</f>
        <v>3.0</v>
      </c>
      <c r="G1248" s="10">
        <f>IF($C1248=0,"",COUNTIFS('DEF_SELF_SCOUT_IMPORT'!$L$42:$L$1040,"Y",'DEF_SELF_SCOUT_IMPORT'!$E$42:$E$1040,SUBSTITUTE(SUBSTITUTE(SUBSTITUTE($B1248,"~","~~"),"*","~*"),"?","~?"),'DEF_SELF_SCOUT_IMPORT'!$H$42:$H$1040,"RUSH")/$C1248)</f>
        <v>0.0</v>
      </c>
      <c r="H1248" s="10">
        <f>IF($C1248=0,"",COUNTIFS('DEF_SELF_SCOUT_IMPORT'!$L$42:$L$1040,"Y",'DEF_SELF_SCOUT_IMPORT'!$E$42:$E$1040,SUBSTITUTE(SUBSTITUTE(SUBSTITUTE($B1248,"~","~~"),"*","~*"),"?","~?"),'DEF_SELF_SCOUT_IMPORT'!$H$42:$H$1040,"DROPBACK")/$C1248)</f>
        <v>1.0</v>
      </c>
      <c r="I1248" s="14" t="str">
        <f>IF(C1248=0,"",IF(C1248&lt;=2,"TRACK",IF(C1248=3,"LOW",IF(C1248&lt;=6,"MEDIUM","HIGH"))))</f>
        <v>TRACK</v>
      </c>
      <c r="J1248" s="11">
        <f>IF(C1248=0,"",ROUND(D1248*70+(1-E1248)*20+MAX(0,MIN(1,(10-F1248)/10))*10,1))</f>
        <v>97.0</v>
      </c>
      <c r="K1248" s="14" t="str">
        <f>IF(C1248=0,"No Evidence",IF(C1248&lt;=2,IF(E1248&gt;0,"Explosive Alert","Track Only"),IF(C1248=3,"Sample Watch",IF(E1248&gt;=START_HERE!$B$31,"Explosive Alert",IF(J1248&gt;=80,"Strong Candidate",IF(J1248&gt;=65,"Good Candidate",IF(J1248&gt;=50,"Mixed / Review","Problem Call")))))))</f>
        <v>Track Only</v>
      </c>
      <c r="L1248" s="9" t="str">
        <f>IF(COUNTIFS('DEF_SELF_SCOUT_IMPORT'!$L$42:$L$1040,"Y",'DEF_SELF_SCOUT_IMPORT'!$E$42:$E$1040,SUBSTITUTE(SUBSTITUTE(SUBSTITUTE($B1248,"~","~~"),"*","~*"),"?","~?"),'DEF_SELF_SCOUT_IMPORT'!$J$42:$J$1040,"")&gt;0,"Unscored clean outcome; review result tags before using score.",IF(C1248=0,"No matching defensive reps; film confirmation needed.",IF(K1248="Explosive Alert","Explosive risk; review clips before using as answer.",IF(C1248&lt;=2,"Track only; not enough sample.",IF(C1248=3,IF(E1248&gt;0,"Sample watch with explosive exposure; review clips and build the sample.",IF(J1248&gt;=65,"Good signal, but sample is limited.","Sample watch; review clips and build the sample.")),IF(K1248="Problem Call","Problem area; practice or call-sheet review.",IF(K1248="Strong Candidate","Strong call-fit candidate; confirm on film.",IF(K1248="Good Candidate","Good call-fit signal; confirm on film.","Mixed signal; review fit and execution on film."))))))))</f>
        <v>Track only; not enough sample.</v>
      </c>
      <c r="M1248" s="8"/>
      <c r="N1248" s="8"/>
      <c r="O1248" s="8"/>
      <c r="P1248" s="8"/>
      <c r="Q1248" s="8"/>
      <c r="R1248" s="8" t="s">
        <v>28</v>
      </c>
      <c r="S1248" s="2" t="s">
        <v>631</v>
      </c>
      <c r="T1248" s="2">
        <f>IF(C1248=0,0,IF(C1248&gt;=CALL_LOOKUP_BOARD!$B$7,IF(OR(K1248="Problem Call",K1248="Explosive Alert"),10000000,20000000),0)+IF(C1248&gt;=CALL_LOOKUP_BOARD!$B$7,J1248*1000+MIN(C1248,999),C1248*1000+J1248)+0.00994800)</f>
        <v>2097.009948</v>
      </c>
      <c r="U1248" s="2">
        <f>IF(C1248=0,"",IF(COUNTIFS($S$1197:$S$1256,SUBSTITUTE(SUBSTITUTE(SUBSTITUTE(S1248,"~","~~"),"*","~*"),"?","~?"),$T$1197:$T$1256,"&gt;"&amp;T1248)=0,S1248,""))</f>
        <v/>
      </c>
    </row>
    <row r="1249" spans="1:21" ht="38" customHeight="1">
      <c r="A1249" s="8" t="s">
        <v>630</v>
      </c>
      <c r="B1249" s="8" t="s">
        <v>74</v>
      </c>
      <c r="C1249" s="12">
        <f>COUNTIFS('DEF_SELF_SCOUT_IMPORT'!$L$42:$L$1040,"Y",'DEF_SELF_SCOUT_IMPORT'!$E$42:$E$1040,SUBSTITUTE(SUBSTITUTE(SUBSTITUTE($B1249,"~","~~"),"*","~*"),"?","~?"))</f>
        <v>1</v>
      </c>
      <c r="D1249" s="10">
        <f>IF($C1249=0,"",SUMIFS('DEF_SELF_SCOUT_IMPORT'!$J$42:$J$1040,'DEF_SELF_SCOUT_IMPORT'!$L$42:$L$1040,"Y",'DEF_SELF_SCOUT_IMPORT'!$E$42:$E$1040,SUBSTITUTE(SUBSTITUTE(SUBSTITUTE($B1249,"~","~~"),"*","~*"),"?","~?"))/$C1249)</f>
        <v>1.0</v>
      </c>
      <c r="E1249" s="10">
        <f>IF($C1249=0,"",SUMIFS('DEF_SELF_SCOUT_IMPORT'!$K$42:$K$1040,'DEF_SELF_SCOUT_IMPORT'!$L$42:$L$1040,"Y",'DEF_SELF_SCOUT_IMPORT'!$E$42:$E$1040,SUBSTITUTE(SUBSTITUTE(SUBSTITUTE($B1249,"~","~~"),"*","~*"),"?","~?"))/$C1249)</f>
        <v>0.0</v>
      </c>
      <c r="F1249" s="11">
        <f>IF($C1249=0,"",AVERAGEIFS('DEF_SELF_SCOUT_IMPORT'!$I$42:$I$1040,'DEF_SELF_SCOUT_IMPORT'!$L$42:$L$1040,"Y",'DEF_SELF_SCOUT_IMPORT'!$E$42:$E$1040,SUBSTITUTE(SUBSTITUTE(SUBSTITUTE($B1249,"~","~~"),"*","~*"),"?","~?")))</f>
        <v>-8.0</v>
      </c>
      <c r="G1249" s="10">
        <f>IF($C1249=0,"",COUNTIFS('DEF_SELF_SCOUT_IMPORT'!$L$42:$L$1040,"Y",'DEF_SELF_SCOUT_IMPORT'!$E$42:$E$1040,SUBSTITUTE(SUBSTITUTE(SUBSTITUTE($B1249,"~","~~"),"*","~*"),"?","~?"),'DEF_SELF_SCOUT_IMPORT'!$H$42:$H$1040,"RUSH")/$C1249)</f>
        <v>0.0</v>
      </c>
      <c r="H1249" s="10">
        <f>IF($C1249=0,"",COUNTIFS('DEF_SELF_SCOUT_IMPORT'!$L$42:$L$1040,"Y",'DEF_SELF_SCOUT_IMPORT'!$E$42:$E$1040,SUBSTITUTE(SUBSTITUTE(SUBSTITUTE($B1249,"~","~~"),"*","~*"),"?","~?"),'DEF_SELF_SCOUT_IMPORT'!$H$42:$H$1040,"DROPBACK")/$C1249)</f>
        <v>1.0</v>
      </c>
      <c r="I1249" s="14" t="str">
        <f>IF(C1249=0,"",IF(C1249&lt;=2,"TRACK",IF(C1249=3,"LOW",IF(C1249&lt;=6,"MEDIUM","HIGH"))))</f>
        <v>TRACK</v>
      </c>
      <c r="J1249" s="11">
        <f>IF(C1249=0,"",ROUND(D1249*70+(1-E1249)*20+MAX(0,MIN(1,(10-F1249)/10))*10,1))</f>
        <v>100.0</v>
      </c>
      <c r="K1249" s="14" t="str">
        <f>IF(C1249=0,"No Evidence",IF(C1249&lt;=2,IF(E1249&gt;0,"Explosive Alert","Track Only"),IF(C1249=3,"Sample Watch",IF(E1249&gt;=START_HERE!$B$31,"Explosive Alert",IF(J1249&gt;=80,"Strong Candidate",IF(J1249&gt;=65,"Good Candidate",IF(J1249&gt;=50,"Mixed / Review","Problem Call")))))))</f>
        <v>Track Only</v>
      </c>
      <c r="L1249" s="9" t="str">
        <f>IF(COUNTIFS('DEF_SELF_SCOUT_IMPORT'!$L$42:$L$1040,"Y",'DEF_SELF_SCOUT_IMPORT'!$E$42:$E$1040,SUBSTITUTE(SUBSTITUTE(SUBSTITUTE($B1249,"~","~~"),"*","~*"),"?","~?"),'DEF_SELF_SCOUT_IMPORT'!$J$42:$J$1040,"")&gt;0,"Unscored clean outcome; review result tags before using score.",IF(C1249=0,"No matching defensive reps; film confirmation needed.",IF(K1249="Explosive Alert","Explosive risk; review clips before using as answer.",IF(C1249&lt;=2,"Track only; not enough sample.",IF(C1249=3,IF(E1249&gt;0,"Sample watch with explosive exposure; review clips and build the sample.",IF(J1249&gt;=65,"Good signal, but sample is limited.","Sample watch; review clips and build the sample.")),IF(K1249="Problem Call","Problem area; practice or call-sheet review.",IF(K1249="Strong Candidate","Strong call-fit candidate; confirm on film.",IF(K1249="Good Candidate","Good call-fit signal; confirm on film.","Mixed signal; review fit and execution on film."))))))))</f>
        <v>Track only; not enough sample.</v>
      </c>
      <c r="M1249" s="8"/>
      <c r="N1249" s="8"/>
      <c r="O1249" s="8"/>
      <c r="P1249" s="8"/>
      <c r="Q1249" s="8"/>
      <c r="R1249" s="8" t="s">
        <v>28</v>
      </c>
      <c r="S1249" s="2" t="s">
        <v>631</v>
      </c>
      <c r="T1249" s="2">
        <f>IF(C1249=0,0,IF(C1249&gt;=CALL_LOOKUP_BOARD!$B$7,IF(OR(K1249="Problem Call",K1249="Explosive Alert"),10000000,20000000),0)+IF(C1249&gt;=CALL_LOOKUP_BOARD!$B$7,J1249*1000+MIN(C1249,999),C1249*1000+J1249)+0.00994700)</f>
        <v>1100.009947</v>
      </c>
      <c r="U1249" s="2">
        <f>IF(C1249=0,"",IF(COUNTIFS($S$1197:$S$1256,SUBSTITUTE(SUBSTITUTE(SUBSTITUTE(S1249,"~","~~"),"*","~*"),"?","~?"),$T$1197:$T$1256,"&gt;"&amp;T1249)=0,S1249,""))</f>
        <v/>
      </c>
    </row>
    <row r="1250" spans="1:21" ht="38" customHeight="1">
      <c r="A1250" s="8" t="s">
        <v>630</v>
      </c>
      <c r="B1250" s="8" t="s">
        <v>65</v>
      </c>
      <c r="C1250" s="12">
        <f>COUNTIFS('DEF_SELF_SCOUT_IMPORT'!$L$42:$L$1040,"Y",'DEF_SELF_SCOUT_IMPORT'!$E$42:$E$1040,SUBSTITUTE(SUBSTITUTE(SUBSTITUTE($B1250,"~","~~"),"*","~*"),"?","~?"))</f>
        <v>4</v>
      </c>
      <c r="D1250" s="10">
        <f>IF($C1250=0,"",SUMIFS('DEF_SELF_SCOUT_IMPORT'!$J$42:$J$1040,'DEF_SELF_SCOUT_IMPORT'!$L$42:$L$1040,"Y",'DEF_SELF_SCOUT_IMPORT'!$E$42:$E$1040,SUBSTITUTE(SUBSTITUTE(SUBSTITUTE($B1250,"~","~~"),"*","~*"),"?","~?"))/$C1250)</f>
        <v>0.5</v>
      </c>
      <c r="E1250" s="10">
        <f>IF($C1250=0,"",SUMIFS('DEF_SELF_SCOUT_IMPORT'!$K$42:$K$1040,'DEF_SELF_SCOUT_IMPORT'!$L$42:$L$1040,"Y",'DEF_SELF_SCOUT_IMPORT'!$E$42:$E$1040,SUBSTITUTE(SUBSTITUTE(SUBSTITUTE($B1250,"~","~~"),"*","~*"),"?","~?"))/$C1250)</f>
        <v>0.0</v>
      </c>
      <c r="F1250" s="11">
        <f>IF($C1250=0,"",AVERAGEIFS('DEF_SELF_SCOUT_IMPORT'!$I$42:$I$1040,'DEF_SELF_SCOUT_IMPORT'!$L$42:$L$1040,"Y",'DEF_SELF_SCOUT_IMPORT'!$E$42:$E$1040,SUBSTITUTE(SUBSTITUTE(SUBSTITUTE($B1250,"~","~~"),"*","~*"),"?","~?")))</f>
        <v>2.25</v>
      </c>
      <c r="G1250" s="10">
        <f>IF($C1250=0,"",COUNTIFS('DEF_SELF_SCOUT_IMPORT'!$L$42:$L$1040,"Y",'DEF_SELF_SCOUT_IMPORT'!$E$42:$E$1040,SUBSTITUTE(SUBSTITUTE(SUBSTITUTE($B1250,"~","~~"),"*","~*"),"?","~?"),'DEF_SELF_SCOUT_IMPORT'!$H$42:$H$1040,"RUSH")/$C1250)</f>
        <v>0.5</v>
      </c>
      <c r="H1250" s="10">
        <f>IF($C1250=0,"",COUNTIFS('DEF_SELF_SCOUT_IMPORT'!$L$42:$L$1040,"Y",'DEF_SELF_SCOUT_IMPORT'!$E$42:$E$1040,SUBSTITUTE(SUBSTITUTE(SUBSTITUTE($B1250,"~","~~"),"*","~*"),"?","~?"),'DEF_SELF_SCOUT_IMPORT'!$H$42:$H$1040,"DROPBACK")/$C1250)</f>
        <v>0.5</v>
      </c>
      <c r="I1250" s="14" t="str">
        <f>IF(C1250=0,"",IF(C1250&lt;=2,"TRACK",IF(C1250=3,"LOW",IF(C1250&lt;=6,"MEDIUM","HIGH"))))</f>
        <v>MEDIUM</v>
      </c>
      <c r="J1250" s="11">
        <f>IF(C1250=0,"",ROUND(D1250*70+(1-E1250)*20+MAX(0,MIN(1,(10-F1250)/10))*10,1))</f>
        <v>62.8</v>
      </c>
      <c r="K1250" s="14" t="str">
        <f>IF(C1250=0,"No Evidence",IF(C1250&lt;=2,IF(E1250&gt;0,"Explosive Alert","Track Only"),IF(C1250=3,"Sample Watch",IF(E1250&gt;=START_HERE!$B$31,"Explosive Alert",IF(J1250&gt;=80,"Strong Candidate",IF(J1250&gt;=65,"Good Candidate",IF(J1250&gt;=50,"Mixed / Review","Problem Call")))))))</f>
        <v>Mixed / Review</v>
      </c>
      <c r="L1250" s="9" t="str">
        <f>IF(COUNTIFS('DEF_SELF_SCOUT_IMPORT'!$L$42:$L$1040,"Y",'DEF_SELF_SCOUT_IMPORT'!$E$42:$E$1040,SUBSTITUTE(SUBSTITUTE(SUBSTITUTE($B1250,"~","~~"),"*","~*"),"?","~?"),'DEF_SELF_SCOUT_IMPORT'!$J$42:$J$1040,"")&gt;0,"Unscored clean outcome; review result tags before using score.",IF(C1250=0,"No matching defensive reps; film confirmation needed.",IF(K1250="Explosive Alert","Explosive risk; review clips before using as answer.",IF(C1250&lt;=2,"Track only; not enough sample.",IF(C1250=3,IF(E1250&gt;0,"Sample watch with explosive exposure; review clips and build the sample.",IF(J1250&gt;=65,"Good signal, but sample is limited.","Sample watch; review clips and build the sample.")),IF(K1250="Problem Call","Problem area; practice or call-sheet review.",IF(K1250="Strong Candidate","Strong call-fit candidate; confirm on film.",IF(K1250="Good Candidate","Good call-fit signal; confirm on film.","Mixed signal; review fit and execution on film."))))))))</f>
        <v>Mixed signal; review fit and execution on film.</v>
      </c>
      <c r="M1250" s="8"/>
      <c r="N1250" s="8"/>
      <c r="O1250" s="8"/>
      <c r="P1250" s="8"/>
      <c r="Q1250" s="8"/>
      <c r="R1250" s="8" t="s">
        <v>45</v>
      </c>
      <c r="S1250" s="2" t="s">
        <v>631</v>
      </c>
      <c r="T1250" s="2">
        <f>IF(C1250=0,0,IF(C1250&gt;=CALL_LOOKUP_BOARD!$B$7,IF(OR(K1250="Problem Call",K1250="Explosive Alert"),10000000,20000000),0)+IF(C1250&gt;=CALL_LOOKUP_BOARD!$B$7,J1250*1000+MIN(C1250,999),C1250*1000+J1250)+0.00994600)</f>
        <v>20062804.009946</v>
      </c>
      <c r="U1250" s="2">
        <f>IF(C1250=0,"",IF(COUNTIFS($S$1197:$S$1256,SUBSTITUTE(SUBSTITUTE(SUBSTITUTE(S1250,"~","~~"),"*","~*"),"?","~?"),$T$1197:$T$1256,"&gt;"&amp;T1250)=0,S1250,""))</f>
        <v/>
      </c>
    </row>
    <row r="1251" spans="1:21" ht="38" customHeight="1">
      <c r="A1251" s="8" t="s">
        <v>630</v>
      </c>
      <c r="B1251" s="8" t="s">
        <v>66</v>
      </c>
      <c r="C1251" s="12">
        <f>COUNTIFS('DEF_SELF_SCOUT_IMPORT'!$L$42:$L$1040,"Y",'DEF_SELF_SCOUT_IMPORT'!$E$42:$E$1040,SUBSTITUTE(SUBSTITUTE(SUBSTITUTE($B1251,"~","~~"),"*","~*"),"?","~?"))</f>
        <v>6</v>
      </c>
      <c r="D1251" s="10">
        <f>IF($C1251=0,"",SUMIFS('DEF_SELF_SCOUT_IMPORT'!$J$42:$J$1040,'DEF_SELF_SCOUT_IMPORT'!$L$42:$L$1040,"Y",'DEF_SELF_SCOUT_IMPORT'!$E$42:$E$1040,SUBSTITUTE(SUBSTITUTE(SUBSTITUTE($B1251,"~","~~"),"*","~*"),"?","~?"))/$C1251)</f>
        <v>0.6666666666666666</v>
      </c>
      <c r="E1251" s="10">
        <f>IF($C1251=0,"",SUMIFS('DEF_SELF_SCOUT_IMPORT'!$K$42:$K$1040,'DEF_SELF_SCOUT_IMPORT'!$L$42:$L$1040,"Y",'DEF_SELF_SCOUT_IMPORT'!$E$42:$E$1040,SUBSTITUTE(SUBSTITUTE(SUBSTITUTE($B1251,"~","~~"),"*","~*"),"?","~?"))/$C1251)</f>
        <v>0.16666666666666666</v>
      </c>
      <c r="F1251" s="11">
        <f>IF($C1251=0,"",AVERAGEIFS('DEF_SELF_SCOUT_IMPORT'!$I$42:$I$1040,'DEF_SELF_SCOUT_IMPORT'!$L$42:$L$1040,"Y",'DEF_SELF_SCOUT_IMPORT'!$E$42:$E$1040,SUBSTITUTE(SUBSTITUTE(SUBSTITUTE($B1251,"~","~~"),"*","~*"),"?","~?")))</f>
        <v>5.5</v>
      </c>
      <c r="G1251" s="10">
        <f>IF($C1251=0,"",COUNTIFS('DEF_SELF_SCOUT_IMPORT'!$L$42:$L$1040,"Y",'DEF_SELF_SCOUT_IMPORT'!$E$42:$E$1040,SUBSTITUTE(SUBSTITUTE(SUBSTITUTE($B1251,"~","~~"),"*","~*"),"?","~?"),'DEF_SELF_SCOUT_IMPORT'!$H$42:$H$1040,"RUSH")/$C1251)</f>
        <v>0.6666666666666666</v>
      </c>
      <c r="H1251" s="10">
        <f>IF($C1251=0,"",COUNTIFS('DEF_SELF_SCOUT_IMPORT'!$L$42:$L$1040,"Y",'DEF_SELF_SCOUT_IMPORT'!$E$42:$E$1040,SUBSTITUTE(SUBSTITUTE(SUBSTITUTE($B1251,"~","~~"),"*","~*"),"?","~?"),'DEF_SELF_SCOUT_IMPORT'!$H$42:$H$1040,"DROPBACK")/$C1251)</f>
        <v>0.3333333333333333</v>
      </c>
      <c r="I1251" s="14" t="str">
        <f>IF(C1251=0,"",IF(C1251&lt;=2,"TRACK",IF(C1251=3,"LOW",IF(C1251&lt;=6,"MEDIUM","HIGH"))))</f>
        <v>MEDIUM</v>
      </c>
      <c r="J1251" s="11">
        <f>IF(C1251=0,"",ROUND(D1251*70+(1-E1251)*20+MAX(0,MIN(1,(10-F1251)/10))*10,1))</f>
        <v>67.8</v>
      </c>
      <c r="K1251" s="14" t="str">
        <f>IF(C1251=0,"No Evidence",IF(C1251&lt;=2,IF(E1251&gt;0,"Explosive Alert","Track Only"),IF(C1251=3,"Sample Watch",IF(E1251&gt;=START_HERE!$B$31,"Explosive Alert",IF(J1251&gt;=80,"Strong Candidate",IF(J1251&gt;=65,"Good Candidate",IF(J1251&gt;=50,"Mixed / Review","Problem Call")))))))</f>
        <v>Good Candidate</v>
      </c>
      <c r="L1251" s="9" t="str">
        <f>IF(COUNTIFS('DEF_SELF_SCOUT_IMPORT'!$L$42:$L$1040,"Y",'DEF_SELF_SCOUT_IMPORT'!$E$42:$E$1040,SUBSTITUTE(SUBSTITUTE(SUBSTITUTE($B1251,"~","~~"),"*","~*"),"?","~?"),'DEF_SELF_SCOUT_IMPORT'!$J$42:$J$1040,"")&gt;0,"Unscored clean outcome; review result tags before using score.",IF(C1251=0,"No matching defensive reps; film confirmation needed.",IF(K1251="Explosive Alert","Explosive risk; review clips before using as answer.",IF(C1251&lt;=2,"Track only; not enough sample.",IF(C1251=3,IF(E1251&gt;0,"Sample watch with explosive exposure; review clips and build the sample.",IF(J1251&gt;=65,"Good signal, but sample is limited.","Sample watch; review clips and build the sample.")),IF(K1251="Problem Call","Problem area; practice or call-sheet review.",IF(K1251="Strong Candidate","Strong call-fit candidate; confirm on film.",IF(K1251="Good Candidate","Good call-fit signal; confirm on film.","Mixed signal; review fit and execution on film."))))))))</f>
        <v>Good call-fit signal; confirm on film.</v>
      </c>
      <c r="M1251" s="8"/>
      <c r="N1251" s="8"/>
      <c r="O1251" s="8"/>
      <c r="P1251" s="8"/>
      <c r="Q1251" s="8"/>
      <c r="R1251" s="8" t="s">
        <v>45</v>
      </c>
      <c r="S1251" s="2" t="s">
        <v>631</v>
      </c>
      <c r="T1251" s="2">
        <f>IF(C1251=0,0,IF(C1251&gt;=CALL_LOOKUP_BOARD!$B$7,IF(OR(K1251="Problem Call",K1251="Explosive Alert"),10000000,20000000),0)+IF(C1251&gt;=CALL_LOOKUP_BOARD!$B$7,J1251*1000+MIN(C1251,999),C1251*1000+J1251)+0.00994500)</f>
        <v>20067806.009945</v>
      </c>
      <c r="U1251" s="2">
        <f>IF(C1251=0,"",IF(COUNTIFS($S$1197:$S$1256,SUBSTITUTE(SUBSTITUTE(SUBSTITUTE(S1251,"~","~~"),"*","~*"),"?","~?"),$T$1197:$T$1256,"&gt;"&amp;T1251)=0,S1251,""))</f>
        <v/>
      </c>
    </row>
    <row r="1252" spans="1:21" ht="38" customHeight="1">
      <c r="A1252" s="8" t="s">
        <v>630</v>
      </c>
      <c r="B1252" s="8" t="s">
        <v>67</v>
      </c>
      <c r="C1252" s="12">
        <f>COUNTIFS('DEF_SELF_SCOUT_IMPORT'!$L$42:$L$1040,"Y",'DEF_SELF_SCOUT_IMPORT'!$E$42:$E$1040,SUBSTITUTE(SUBSTITUTE(SUBSTITUTE($B1252,"~","~~"),"*","~*"),"?","~?"))</f>
        <v>4</v>
      </c>
      <c r="D1252" s="10">
        <f>IF($C1252=0,"",SUMIFS('DEF_SELF_SCOUT_IMPORT'!$J$42:$J$1040,'DEF_SELF_SCOUT_IMPORT'!$L$42:$L$1040,"Y",'DEF_SELF_SCOUT_IMPORT'!$E$42:$E$1040,SUBSTITUTE(SUBSTITUTE(SUBSTITUTE($B1252,"~","~~"),"*","~*"),"?","~?"))/$C1252)</f>
        <v>0.5</v>
      </c>
      <c r="E1252" s="10">
        <f>IF($C1252=0,"",SUMIFS('DEF_SELF_SCOUT_IMPORT'!$K$42:$K$1040,'DEF_SELF_SCOUT_IMPORT'!$L$42:$L$1040,"Y",'DEF_SELF_SCOUT_IMPORT'!$E$42:$E$1040,SUBSTITUTE(SUBSTITUTE(SUBSTITUTE($B1252,"~","~~"),"*","~*"),"?","~?"))/$C1252)</f>
        <v>0.0</v>
      </c>
      <c r="F1252" s="11">
        <f>IF($C1252=0,"",AVERAGEIFS('DEF_SELF_SCOUT_IMPORT'!$I$42:$I$1040,'DEF_SELF_SCOUT_IMPORT'!$L$42:$L$1040,"Y",'DEF_SELF_SCOUT_IMPORT'!$E$42:$E$1040,SUBSTITUTE(SUBSTITUTE(SUBSTITUTE($B1252,"~","~~"),"*","~*"),"?","~?")))</f>
        <v>2.0</v>
      </c>
      <c r="G1252" s="10">
        <f>IF($C1252=0,"",COUNTIFS('DEF_SELF_SCOUT_IMPORT'!$L$42:$L$1040,"Y",'DEF_SELF_SCOUT_IMPORT'!$E$42:$E$1040,SUBSTITUTE(SUBSTITUTE(SUBSTITUTE($B1252,"~","~~"),"*","~*"),"?","~?"),'DEF_SELF_SCOUT_IMPORT'!$H$42:$H$1040,"RUSH")/$C1252)</f>
        <v>1.0</v>
      </c>
      <c r="H1252" s="10">
        <f>IF($C1252=0,"",COUNTIFS('DEF_SELF_SCOUT_IMPORT'!$L$42:$L$1040,"Y",'DEF_SELF_SCOUT_IMPORT'!$E$42:$E$1040,SUBSTITUTE(SUBSTITUTE(SUBSTITUTE($B1252,"~","~~"),"*","~*"),"?","~?"),'DEF_SELF_SCOUT_IMPORT'!$H$42:$H$1040,"DROPBACK")/$C1252)</f>
        <v>0.0</v>
      </c>
      <c r="I1252" s="14" t="str">
        <f>IF(C1252=0,"",IF(C1252&lt;=2,"TRACK",IF(C1252=3,"LOW",IF(C1252&lt;=6,"MEDIUM","HIGH"))))</f>
        <v>MEDIUM</v>
      </c>
      <c r="J1252" s="11">
        <f>IF(C1252=0,"",ROUND(D1252*70+(1-E1252)*20+MAX(0,MIN(1,(10-F1252)/10))*10,1))</f>
        <v>63.0</v>
      </c>
      <c r="K1252" s="14" t="str">
        <f>IF(C1252=0,"No Evidence",IF(C1252&lt;=2,IF(E1252&gt;0,"Explosive Alert","Track Only"),IF(C1252=3,"Sample Watch",IF(E1252&gt;=START_HERE!$B$31,"Explosive Alert",IF(J1252&gt;=80,"Strong Candidate",IF(J1252&gt;=65,"Good Candidate",IF(J1252&gt;=50,"Mixed / Review","Problem Call")))))))</f>
        <v>Mixed / Review</v>
      </c>
      <c r="L1252" s="9" t="str">
        <f>IF(COUNTIFS('DEF_SELF_SCOUT_IMPORT'!$L$42:$L$1040,"Y",'DEF_SELF_SCOUT_IMPORT'!$E$42:$E$1040,SUBSTITUTE(SUBSTITUTE(SUBSTITUTE($B1252,"~","~~"),"*","~*"),"?","~?"),'DEF_SELF_SCOUT_IMPORT'!$J$42:$J$1040,"")&gt;0,"Unscored clean outcome; review result tags before using score.",IF(C1252=0,"No matching defensive reps; film confirmation needed.",IF(K1252="Explosive Alert","Explosive risk; review clips before using as answer.",IF(C1252&lt;=2,"Track only; not enough sample.",IF(C1252=3,IF(E1252&gt;0,"Sample watch with explosive exposure; review clips and build the sample.",IF(J1252&gt;=65,"Good signal, but sample is limited.","Sample watch; review clips and build the sample.")),IF(K1252="Problem Call","Problem area; practice or call-sheet review.",IF(K1252="Strong Candidate","Strong call-fit candidate; confirm on film.",IF(K1252="Good Candidate","Good call-fit signal; confirm on film.","Mixed signal; review fit and execution on film."))))))))</f>
        <v>Mixed signal; review fit and execution on film.</v>
      </c>
      <c r="M1252" s="8"/>
      <c r="N1252" s="8"/>
      <c r="O1252" s="8"/>
      <c r="P1252" s="8"/>
      <c r="Q1252" s="8"/>
      <c r="R1252" s="8" t="s">
        <v>45</v>
      </c>
      <c r="S1252" s="2" t="s">
        <v>631</v>
      </c>
      <c r="T1252" s="2">
        <f>IF(C1252=0,0,IF(C1252&gt;=CALL_LOOKUP_BOARD!$B$7,IF(OR(K1252="Problem Call",K1252="Explosive Alert"),10000000,20000000),0)+IF(C1252&gt;=CALL_LOOKUP_BOARD!$B$7,J1252*1000+MIN(C1252,999),C1252*1000+J1252)+0.00994400)</f>
        <v>20063004.009944</v>
      </c>
      <c r="U1252" s="2">
        <f>IF(C1252=0,"",IF(COUNTIFS($S$1197:$S$1256,SUBSTITUTE(SUBSTITUTE(SUBSTITUTE(S1252,"~","~~"),"*","~*"),"?","~?"),$T$1197:$T$1256,"&gt;"&amp;T1252)=0,S1252,""))</f>
        <v/>
      </c>
    </row>
    <row r="1253" spans="1:21" ht="38" customHeight="1">
      <c r="A1253" s="8" t="s">
        <v>630</v>
      </c>
      <c r="B1253" s="8" t="s">
        <v>68</v>
      </c>
      <c r="C1253" s="12">
        <f>COUNTIFS('DEF_SELF_SCOUT_IMPORT'!$L$42:$L$1040,"Y",'DEF_SELF_SCOUT_IMPORT'!$E$42:$E$1040,SUBSTITUTE(SUBSTITUTE(SUBSTITUTE($B1253,"~","~~"),"*","~*"),"?","~?"))</f>
        <v>10</v>
      </c>
      <c r="D1253" s="10">
        <f>IF($C1253=0,"",SUMIFS('DEF_SELF_SCOUT_IMPORT'!$J$42:$J$1040,'DEF_SELF_SCOUT_IMPORT'!$L$42:$L$1040,"Y",'DEF_SELF_SCOUT_IMPORT'!$E$42:$E$1040,SUBSTITUTE(SUBSTITUTE(SUBSTITUTE($B1253,"~","~~"),"*","~*"),"?","~?"))/$C1253)</f>
        <v>0.6</v>
      </c>
      <c r="E1253" s="10">
        <f>IF($C1253=0,"",SUMIFS('DEF_SELF_SCOUT_IMPORT'!$K$42:$K$1040,'DEF_SELF_SCOUT_IMPORT'!$L$42:$L$1040,"Y",'DEF_SELF_SCOUT_IMPORT'!$E$42:$E$1040,SUBSTITUTE(SUBSTITUTE(SUBSTITUTE($B1253,"~","~~"),"*","~*"),"?","~?"))/$C1253)</f>
        <v>0.0</v>
      </c>
      <c r="F1253" s="11">
        <f>IF($C1253=0,"",AVERAGEIFS('DEF_SELF_SCOUT_IMPORT'!$I$42:$I$1040,'DEF_SELF_SCOUT_IMPORT'!$L$42:$L$1040,"Y",'DEF_SELF_SCOUT_IMPORT'!$E$42:$E$1040,SUBSTITUTE(SUBSTITUTE(SUBSTITUTE($B1253,"~","~~"),"*","~*"),"?","~?")))</f>
        <v>2.7</v>
      </c>
      <c r="G1253" s="10">
        <f>IF($C1253=0,"",COUNTIFS('DEF_SELF_SCOUT_IMPORT'!$L$42:$L$1040,"Y",'DEF_SELF_SCOUT_IMPORT'!$E$42:$E$1040,SUBSTITUTE(SUBSTITUTE(SUBSTITUTE($B1253,"~","~~"),"*","~*"),"?","~?"),'DEF_SELF_SCOUT_IMPORT'!$H$42:$H$1040,"RUSH")/$C1253)</f>
        <v>0.4</v>
      </c>
      <c r="H1253" s="10">
        <f>IF($C1253=0,"",COUNTIFS('DEF_SELF_SCOUT_IMPORT'!$L$42:$L$1040,"Y",'DEF_SELF_SCOUT_IMPORT'!$E$42:$E$1040,SUBSTITUTE(SUBSTITUTE(SUBSTITUTE($B1253,"~","~~"),"*","~*"),"?","~?"),'DEF_SELF_SCOUT_IMPORT'!$H$42:$H$1040,"DROPBACK")/$C1253)</f>
        <v>0.5</v>
      </c>
      <c r="I1253" s="14" t="str">
        <f>IF(C1253=0,"",IF(C1253&lt;=2,"TRACK",IF(C1253=3,"LOW",IF(C1253&lt;=6,"MEDIUM","HIGH"))))</f>
        <v>HIGH</v>
      </c>
      <c r="J1253" s="11">
        <f>IF(C1253=0,"",ROUND(D1253*70+(1-E1253)*20+MAX(0,MIN(1,(10-F1253)/10))*10,1))</f>
        <v>69.3</v>
      </c>
      <c r="K1253" s="14" t="str">
        <f>IF(C1253=0,"No Evidence",IF(C1253&lt;=2,IF(E1253&gt;0,"Explosive Alert","Track Only"),IF(C1253=3,"Sample Watch",IF(E1253&gt;=START_HERE!$B$31,"Explosive Alert",IF(J1253&gt;=80,"Strong Candidate",IF(J1253&gt;=65,"Good Candidate",IF(J1253&gt;=50,"Mixed / Review","Problem Call")))))))</f>
        <v>Good Candidate</v>
      </c>
      <c r="L1253" s="9" t="str">
        <f>IF(COUNTIFS('DEF_SELF_SCOUT_IMPORT'!$L$42:$L$1040,"Y",'DEF_SELF_SCOUT_IMPORT'!$E$42:$E$1040,SUBSTITUTE(SUBSTITUTE(SUBSTITUTE($B1253,"~","~~"),"*","~*"),"?","~?"),'DEF_SELF_SCOUT_IMPORT'!$J$42:$J$1040,"")&gt;0,"Unscored clean outcome; review result tags before using score.",IF(C1253=0,"No matching defensive reps; film confirmation needed.",IF(K1253="Explosive Alert","Explosive risk; review clips before using as answer.",IF(C1253&lt;=2,"Track only; not enough sample.",IF(C1253=3,IF(E1253&gt;0,"Sample watch with explosive exposure; review clips and build the sample.",IF(J1253&gt;=65,"Good signal, but sample is limited.","Sample watch; review clips and build the sample.")),IF(K1253="Problem Call","Problem area; practice or call-sheet review.",IF(K1253="Strong Candidate","Strong call-fit candidate; confirm on film.",IF(K1253="Good Candidate","Good call-fit signal; confirm on film.","Mixed signal; review fit and execution on film."))))))))</f>
        <v>Good call-fit signal; confirm on film.</v>
      </c>
      <c r="M1253" s="8"/>
      <c r="N1253" s="8"/>
      <c r="O1253" s="8"/>
      <c r="P1253" s="8"/>
      <c r="Q1253" s="8"/>
      <c r="R1253" s="8" t="s">
        <v>45</v>
      </c>
      <c r="S1253" s="2" t="s">
        <v>631</v>
      </c>
      <c r="T1253" s="2">
        <f>IF(C1253=0,0,IF(C1253&gt;=CALL_LOOKUP_BOARD!$B$7,IF(OR(K1253="Problem Call",K1253="Explosive Alert"),10000000,20000000),0)+IF(C1253&gt;=CALL_LOOKUP_BOARD!$B$7,J1253*1000+MIN(C1253,999),C1253*1000+J1253)+0.00994300)</f>
        <v>20069310.009943</v>
      </c>
      <c r="U1253" s="2">
        <f>IF(C1253=0,"",IF(COUNTIFS($S$1197:$S$1256,SUBSTITUTE(SUBSTITUTE(SUBSTITUTE(S1253,"~","~~"),"*","~*"),"?","~?"),$T$1197:$T$1256,"&gt;"&amp;T1253)=0,S1253,""))</f>
        <v/>
      </c>
    </row>
    <row r="1254" spans="1:21" ht="38" customHeight="1">
      <c r="A1254" s="8" t="s">
        <v>630</v>
      </c>
      <c r="B1254" s="8" t="s">
        <v>75</v>
      </c>
      <c r="C1254" s="12">
        <f>COUNTIFS('DEF_SELF_SCOUT_IMPORT'!$L$42:$L$1040,"Y",'DEF_SELF_SCOUT_IMPORT'!$E$42:$E$1040,SUBSTITUTE(SUBSTITUTE(SUBSTITUTE($B1254,"~","~~"),"*","~*"),"?","~?"))</f>
        <v>4</v>
      </c>
      <c r="D1254" s="10">
        <f>IF($C1254=0,"",SUMIFS('DEF_SELF_SCOUT_IMPORT'!$J$42:$J$1040,'DEF_SELF_SCOUT_IMPORT'!$L$42:$L$1040,"Y",'DEF_SELF_SCOUT_IMPORT'!$E$42:$E$1040,SUBSTITUTE(SUBSTITUTE(SUBSTITUTE($B1254,"~","~~"),"*","~*"),"?","~?"))/$C1254)</f>
        <v>0.5</v>
      </c>
      <c r="E1254" s="10">
        <f>IF($C1254=0,"",SUMIFS('DEF_SELF_SCOUT_IMPORT'!$K$42:$K$1040,'DEF_SELF_SCOUT_IMPORT'!$L$42:$L$1040,"Y",'DEF_SELF_SCOUT_IMPORT'!$E$42:$E$1040,SUBSTITUTE(SUBSTITUTE(SUBSTITUTE($B1254,"~","~~"),"*","~*"),"?","~?"))/$C1254)</f>
        <v>0.0</v>
      </c>
      <c r="F1254" s="11">
        <f>IF($C1254=0,"",AVERAGEIFS('DEF_SELF_SCOUT_IMPORT'!$I$42:$I$1040,'DEF_SELF_SCOUT_IMPORT'!$L$42:$L$1040,"Y",'DEF_SELF_SCOUT_IMPORT'!$E$42:$E$1040,SUBSTITUTE(SUBSTITUTE(SUBSTITUTE($B1254,"~","~~"),"*","~*"),"?","~?")))</f>
        <v>5.75</v>
      </c>
      <c r="G1254" s="10">
        <f>IF($C1254=0,"",COUNTIFS('DEF_SELF_SCOUT_IMPORT'!$L$42:$L$1040,"Y",'DEF_SELF_SCOUT_IMPORT'!$E$42:$E$1040,SUBSTITUTE(SUBSTITUTE(SUBSTITUTE($B1254,"~","~~"),"*","~*"),"?","~?"),'DEF_SELF_SCOUT_IMPORT'!$H$42:$H$1040,"RUSH")/$C1254)</f>
        <v>0.75</v>
      </c>
      <c r="H1254" s="10">
        <f>IF($C1254=0,"",COUNTIFS('DEF_SELF_SCOUT_IMPORT'!$L$42:$L$1040,"Y",'DEF_SELF_SCOUT_IMPORT'!$E$42:$E$1040,SUBSTITUTE(SUBSTITUTE(SUBSTITUTE($B1254,"~","~~"),"*","~*"),"?","~?"),'DEF_SELF_SCOUT_IMPORT'!$H$42:$H$1040,"DROPBACK")/$C1254)</f>
        <v>0.25</v>
      </c>
      <c r="I1254" s="14" t="str">
        <f>IF(C1254=0,"",IF(C1254&lt;=2,"TRACK",IF(C1254=3,"LOW",IF(C1254&lt;=6,"MEDIUM","HIGH"))))</f>
        <v>MEDIUM</v>
      </c>
      <c r="J1254" s="11">
        <f>IF(C1254=0,"",ROUND(D1254*70+(1-E1254)*20+MAX(0,MIN(1,(10-F1254)/10))*10,1))</f>
        <v>59.3</v>
      </c>
      <c r="K1254" s="14" t="str">
        <f>IF(C1254=0,"No Evidence",IF(C1254&lt;=2,IF(E1254&gt;0,"Explosive Alert","Track Only"),IF(C1254=3,"Sample Watch",IF(E1254&gt;=START_HERE!$B$31,"Explosive Alert",IF(J1254&gt;=80,"Strong Candidate",IF(J1254&gt;=65,"Good Candidate",IF(J1254&gt;=50,"Mixed / Review","Problem Call")))))))</f>
        <v>Mixed / Review</v>
      </c>
      <c r="L1254" s="9" t="str">
        <f>IF(COUNTIFS('DEF_SELF_SCOUT_IMPORT'!$L$42:$L$1040,"Y",'DEF_SELF_SCOUT_IMPORT'!$E$42:$E$1040,SUBSTITUTE(SUBSTITUTE(SUBSTITUTE($B1254,"~","~~"),"*","~*"),"?","~?"),'DEF_SELF_SCOUT_IMPORT'!$J$42:$J$1040,"")&gt;0,"Unscored clean outcome; review result tags before using score.",IF(C1254=0,"No matching defensive reps; film confirmation needed.",IF(K1254="Explosive Alert","Explosive risk; review clips before using as answer.",IF(C1254&lt;=2,"Track only; not enough sample.",IF(C1254=3,IF(E1254&gt;0,"Sample watch with explosive exposure; review clips and build the sample.",IF(J1254&gt;=65,"Good signal, but sample is limited.","Sample watch; review clips and build the sample.")),IF(K1254="Problem Call","Problem area; practice or call-sheet review.",IF(K1254="Strong Candidate","Strong call-fit candidate; confirm on film.",IF(K1254="Good Candidate","Good call-fit signal; confirm on film.","Mixed signal; review fit and execution on film."))))))))</f>
        <v>Mixed signal; review fit and execution on film.</v>
      </c>
      <c r="M1254" s="8"/>
      <c r="N1254" s="8"/>
      <c r="O1254" s="8"/>
      <c r="P1254" s="8"/>
      <c r="Q1254" s="8"/>
      <c r="R1254" s="8" t="s">
        <v>45</v>
      </c>
      <c r="S1254" s="2" t="s">
        <v>631</v>
      </c>
      <c r="T1254" s="2">
        <f>IF(C1254=0,0,IF(C1254&gt;=CALL_LOOKUP_BOARD!$B$7,IF(OR(K1254="Problem Call",K1254="Explosive Alert"),10000000,20000000),0)+IF(C1254&gt;=CALL_LOOKUP_BOARD!$B$7,J1254*1000+MIN(C1254,999),C1254*1000+J1254)+0.00994200)</f>
        <v>20059304.009942</v>
      </c>
      <c r="U1254" s="2">
        <f>IF(C1254=0,"",IF(COUNTIFS($S$1197:$S$1256,SUBSTITUTE(SUBSTITUTE(SUBSTITUTE(S1254,"~","~~"),"*","~*"),"?","~?"),$T$1197:$T$1256,"&gt;"&amp;T1254)=0,S1254,""))</f>
        <v/>
      </c>
    </row>
    <row r="1255" spans="1:21" ht="38" customHeight="1">
      <c r="A1255" s="8" t="s">
        <v>630</v>
      </c>
      <c r="B1255" s="8" t="s">
        <v>69</v>
      </c>
      <c r="C1255" s="12">
        <f>COUNTIFS('DEF_SELF_SCOUT_IMPORT'!$L$42:$L$1040,"Y",'DEF_SELF_SCOUT_IMPORT'!$E$42:$E$1040,SUBSTITUTE(SUBSTITUTE(SUBSTITUTE($B1255,"~","~~"),"*","~*"),"?","~?"))</f>
        <v>8</v>
      </c>
      <c r="D1255" s="10">
        <f>IF($C1255=0,"",SUMIFS('DEF_SELF_SCOUT_IMPORT'!$J$42:$J$1040,'DEF_SELF_SCOUT_IMPORT'!$L$42:$L$1040,"Y",'DEF_SELF_SCOUT_IMPORT'!$E$42:$E$1040,SUBSTITUTE(SUBSTITUTE(SUBSTITUTE($B1255,"~","~~"),"*","~*"),"?","~?"))/$C1255)</f>
        <v>0.875</v>
      </c>
      <c r="E1255" s="10">
        <f>IF($C1255=0,"",SUMIFS('DEF_SELF_SCOUT_IMPORT'!$K$42:$K$1040,'DEF_SELF_SCOUT_IMPORT'!$L$42:$L$1040,"Y",'DEF_SELF_SCOUT_IMPORT'!$E$42:$E$1040,SUBSTITUTE(SUBSTITUTE(SUBSTITUTE($B1255,"~","~~"),"*","~*"),"?","~?"))/$C1255)</f>
        <v>0.125</v>
      </c>
      <c r="F1255" s="11">
        <f>IF($C1255=0,"",AVERAGEIFS('DEF_SELF_SCOUT_IMPORT'!$I$42:$I$1040,'DEF_SELF_SCOUT_IMPORT'!$L$42:$L$1040,"Y",'DEF_SELF_SCOUT_IMPORT'!$E$42:$E$1040,SUBSTITUTE(SUBSTITUTE(SUBSTITUTE($B1255,"~","~~"),"*","~*"),"?","~?")))</f>
        <v>3.625</v>
      </c>
      <c r="G1255" s="10">
        <f>IF($C1255=0,"",COUNTIFS('DEF_SELF_SCOUT_IMPORT'!$L$42:$L$1040,"Y",'DEF_SELF_SCOUT_IMPORT'!$E$42:$E$1040,SUBSTITUTE(SUBSTITUTE(SUBSTITUTE($B1255,"~","~~"),"*","~*"),"?","~?"),'DEF_SELF_SCOUT_IMPORT'!$H$42:$H$1040,"RUSH")/$C1255)</f>
        <v>0.75</v>
      </c>
      <c r="H1255" s="10">
        <f>IF($C1255=0,"",COUNTIFS('DEF_SELF_SCOUT_IMPORT'!$L$42:$L$1040,"Y",'DEF_SELF_SCOUT_IMPORT'!$E$42:$E$1040,SUBSTITUTE(SUBSTITUTE(SUBSTITUTE($B1255,"~","~~"),"*","~*"),"?","~?"),'DEF_SELF_SCOUT_IMPORT'!$H$42:$H$1040,"DROPBACK")/$C1255)</f>
        <v>0.25</v>
      </c>
      <c r="I1255" s="14" t="str">
        <f>IF(C1255=0,"",IF(C1255&lt;=2,"TRACK",IF(C1255=3,"LOW",IF(C1255&lt;=6,"MEDIUM","HIGH"))))</f>
        <v>HIGH</v>
      </c>
      <c r="J1255" s="11">
        <f>IF(C1255=0,"",ROUND(D1255*70+(1-E1255)*20+MAX(0,MIN(1,(10-F1255)/10))*10,1))</f>
        <v>85.1</v>
      </c>
      <c r="K1255" s="14" t="str">
        <f>IF(C1255=0,"No Evidence",IF(C1255&lt;=2,IF(E1255&gt;0,"Explosive Alert","Track Only"),IF(C1255=3,"Sample Watch",IF(E1255&gt;=START_HERE!$B$31,"Explosive Alert",IF(J1255&gt;=80,"Strong Candidate",IF(J1255&gt;=65,"Good Candidate",IF(J1255&gt;=50,"Mixed / Review","Problem Call")))))))</f>
        <v>Strong Candidate</v>
      </c>
      <c r="L1255" s="9" t="str">
        <f>IF(COUNTIFS('DEF_SELF_SCOUT_IMPORT'!$L$42:$L$1040,"Y",'DEF_SELF_SCOUT_IMPORT'!$E$42:$E$1040,SUBSTITUTE(SUBSTITUTE(SUBSTITUTE($B1255,"~","~~"),"*","~*"),"?","~?"),'DEF_SELF_SCOUT_IMPORT'!$J$42:$J$1040,"")&gt;0,"Unscored clean outcome; review result tags before using score.",IF(C1255=0,"No matching defensive reps; film confirmation needed.",IF(K1255="Explosive Alert","Explosive risk; review clips before using as answer.",IF(C1255&lt;=2,"Track only; not enough sample.",IF(C1255=3,IF(E1255&gt;0,"Sample watch with explosive exposure; review clips and build the sample.",IF(J1255&gt;=65,"Good signal, but sample is limited.","Sample watch; review clips and build the sample.")),IF(K1255="Problem Call","Problem area; practice or call-sheet review.",IF(K1255="Strong Candidate","Strong call-fit candidate; confirm on film.",IF(K1255="Good Candidate","Good call-fit signal; confirm on film.","Mixed signal; review fit and execution on film."))))))))</f>
        <v>Strong call-fit candidate; confirm on film.</v>
      </c>
      <c r="M1255" s="8"/>
      <c r="N1255" s="8"/>
      <c r="O1255" s="8"/>
      <c r="P1255" s="8"/>
      <c r="Q1255" s="8"/>
      <c r="R1255" s="8" t="s">
        <v>45</v>
      </c>
      <c r="S1255" s="2" t="s">
        <v>631</v>
      </c>
      <c r="T1255" s="2">
        <f>IF(C1255=0,0,IF(C1255&gt;=CALL_LOOKUP_BOARD!$B$7,IF(OR(K1255="Problem Call",K1255="Explosive Alert"),10000000,20000000),0)+IF(C1255&gt;=CALL_LOOKUP_BOARD!$B$7,J1255*1000+MIN(C1255,999),C1255*1000+J1255)+0.00994100)</f>
        <v>20085108.009941</v>
      </c>
      <c r="U1255" s="2">
        <f>IF(C1255=0,"",IF(COUNTIFS($S$1197:$S$1256,SUBSTITUTE(SUBSTITUTE(SUBSTITUTE(S1255,"~","~~"),"*","~*"),"?","~?"),$T$1197:$T$1256,"&gt;"&amp;T1255)=0,S1255,""))</f>
        <v/>
      </c>
    </row>
    <row r="1256" spans="1:21" ht="38" customHeight="1">
      <c r="A1256" s="8" t="s">
        <v>630</v>
      </c>
      <c r="B1256" s="8" t="s">
        <v>91</v>
      </c>
      <c r="C1256" s="12">
        <f>COUNTIFS('DEF_SELF_SCOUT_IMPORT'!$L$42:$L$1040,"Y",'DEF_SELF_SCOUT_IMPORT'!$E$42:$E$1040,SUBSTITUTE(SUBSTITUTE(SUBSTITUTE($B1256,"~","~~"),"*","~*"),"?","~?"))</f>
        <v>2</v>
      </c>
      <c r="D1256" s="10">
        <f>IF($C1256=0,"",SUMIFS('DEF_SELF_SCOUT_IMPORT'!$J$42:$J$1040,'DEF_SELF_SCOUT_IMPORT'!$L$42:$L$1040,"Y",'DEF_SELF_SCOUT_IMPORT'!$E$42:$E$1040,SUBSTITUTE(SUBSTITUTE(SUBSTITUTE($B1256,"~","~~"),"*","~*"),"?","~?"))/$C1256)</f>
        <v>0.5</v>
      </c>
      <c r="E1256" s="10">
        <f>IF($C1256=0,"",SUMIFS('DEF_SELF_SCOUT_IMPORT'!$K$42:$K$1040,'DEF_SELF_SCOUT_IMPORT'!$L$42:$L$1040,"Y",'DEF_SELF_SCOUT_IMPORT'!$E$42:$E$1040,SUBSTITUTE(SUBSTITUTE(SUBSTITUTE($B1256,"~","~~"),"*","~*"),"?","~?"))/$C1256)</f>
        <v>0.0</v>
      </c>
      <c r="F1256" s="11">
        <f>IF($C1256=0,"",AVERAGEIFS('DEF_SELF_SCOUT_IMPORT'!$I$42:$I$1040,'DEF_SELF_SCOUT_IMPORT'!$L$42:$L$1040,"Y",'DEF_SELF_SCOUT_IMPORT'!$E$42:$E$1040,SUBSTITUTE(SUBSTITUTE(SUBSTITUTE($B1256,"~","~~"),"*","~*"),"?","~?")))</f>
        <v>2.0</v>
      </c>
      <c r="G1256" s="10">
        <f>IF($C1256=0,"",COUNTIFS('DEF_SELF_SCOUT_IMPORT'!$L$42:$L$1040,"Y",'DEF_SELF_SCOUT_IMPORT'!$E$42:$E$1040,SUBSTITUTE(SUBSTITUTE(SUBSTITUTE($B1256,"~","~~"),"*","~*"),"?","~?"),'DEF_SELF_SCOUT_IMPORT'!$H$42:$H$1040,"RUSH")/$C1256)</f>
        <v>0.5</v>
      </c>
      <c r="H1256" s="10">
        <f>IF($C1256=0,"",COUNTIFS('DEF_SELF_SCOUT_IMPORT'!$L$42:$L$1040,"Y",'DEF_SELF_SCOUT_IMPORT'!$E$42:$E$1040,SUBSTITUTE(SUBSTITUTE(SUBSTITUTE($B1256,"~","~~"),"*","~*"),"?","~?"),'DEF_SELF_SCOUT_IMPORT'!$H$42:$H$1040,"DROPBACK")/$C1256)</f>
        <v>0.5</v>
      </c>
      <c r="I1256" s="14" t="str">
        <f>IF(C1256=0,"",IF(C1256&lt;=2,"TRACK",IF(C1256=3,"LOW",IF(C1256&lt;=6,"MEDIUM","HIGH"))))</f>
        <v>TRACK</v>
      </c>
      <c r="J1256" s="11">
        <f>IF(C1256=0,"",ROUND(D1256*70+(1-E1256)*20+MAX(0,MIN(1,(10-F1256)/10))*10,1))</f>
        <v>63.0</v>
      </c>
      <c r="K1256" s="14" t="str">
        <f>IF(C1256=0,"No Evidence",IF(C1256&lt;=2,IF(E1256&gt;0,"Explosive Alert","Track Only"),IF(C1256=3,"Sample Watch",IF(E1256&gt;=START_HERE!$B$31,"Explosive Alert",IF(J1256&gt;=80,"Strong Candidate",IF(J1256&gt;=65,"Good Candidate",IF(J1256&gt;=50,"Mixed / Review","Problem Call")))))))</f>
        <v>Track Only</v>
      </c>
      <c r="L1256" s="9" t="str">
        <f>IF(COUNTIFS('DEF_SELF_SCOUT_IMPORT'!$L$42:$L$1040,"Y",'DEF_SELF_SCOUT_IMPORT'!$E$42:$E$1040,SUBSTITUTE(SUBSTITUTE(SUBSTITUTE($B1256,"~","~~"),"*","~*"),"?","~?"),'DEF_SELF_SCOUT_IMPORT'!$J$42:$J$1040,"")&gt;0,"Unscored clean outcome; review result tags before using score.",IF(C1256=0,"No matching defensive reps; film confirmation needed.",IF(K1256="Explosive Alert","Explosive risk; review clips before using as answer.",IF(C1256&lt;=2,"Track only; not enough sample.",IF(C1256=3,IF(E1256&gt;0,"Sample watch with explosive exposure; review clips and build the sample.",IF(J1256&gt;=65,"Good signal, but sample is limited.","Sample watch; review clips and build the sample.")),IF(K1256="Problem Call","Problem area; practice or call-sheet review.",IF(K1256="Strong Candidate","Strong call-fit candidate; confirm on film.",IF(K1256="Good Candidate","Good call-fit signal; confirm on film.","Mixed signal; review fit and execution on film."))))))))</f>
        <v>Track only; not enough sample.</v>
      </c>
      <c r="M1256" s="8"/>
      <c r="N1256" s="8"/>
      <c r="O1256" s="8"/>
      <c r="P1256" s="8"/>
      <c r="Q1256" s="8"/>
      <c r="R1256" s="8" t="s">
        <v>28</v>
      </c>
      <c r="S1256" s="2" t="s">
        <v>631</v>
      </c>
      <c r="T1256" s="2">
        <f>IF(C1256=0,0,IF(C1256&gt;=CALL_LOOKUP_BOARD!$B$7,IF(OR(K1256="Problem Call",K1256="Explosive Alert"),10000000,20000000),0)+IF(C1256&gt;=CALL_LOOKUP_BOARD!$B$7,J1256*1000+MIN(C1256,999),C1256*1000+J1256)+0.00994000)</f>
        <v>2063.00994</v>
      </c>
      <c r="U1256" s="2">
        <f>IF(C1256=0,"",IF(COUNTIFS($S$1197:$S$1256,SUBSTITUTE(SUBSTITUTE(SUBSTITUTE(S1256,"~","~~"),"*","~*"),"?","~?"),$T$1197:$T$1256,"&gt;"&amp;T1256)=0,S1256,""))</f>
        <v/>
      </c>
    </row>
    <row r="1261" spans="1:21" ht="27" customHeight="1">
      <c r="A1261" s="5" t="s">
        <v>632</v>
      </c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</row>
    <row r="1262" spans="1:21" ht="36" customHeight="1">
      <c r="A1262" s="9" t="s">
        <v>7</v>
      </c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</row>
    <row r="1263" spans="1:21" ht="46" customHeight="1">
      <c r="A1263" s="6" t="s">
        <v>8</v>
      </c>
      <c r="B1263" s="6" t="s">
        <v>9</v>
      </c>
      <c r="C1263" s="6" t="s">
        <v>10</v>
      </c>
      <c r="D1263" s="6" t="s">
        <v>11</v>
      </c>
      <c r="E1263" s="6" t="s">
        <v>12</v>
      </c>
      <c r="F1263" s="6" t="s">
        <v>13</v>
      </c>
      <c r="G1263" s="6" t="s">
        <v>14</v>
      </c>
      <c r="H1263" s="6" t="s">
        <v>15</v>
      </c>
      <c r="I1263" s="6" t="s">
        <v>16</v>
      </c>
      <c r="J1263" s="6" t="s">
        <v>17</v>
      </c>
      <c r="K1263" s="6" t="s">
        <v>18</v>
      </c>
      <c r="L1263" s="6" t="s">
        <v>19</v>
      </c>
      <c r="M1263" s="6" t="s">
        <v>20</v>
      </c>
      <c r="N1263" s="6" t="s">
        <v>21</v>
      </c>
      <c r="O1263" s="6" t="s">
        <v>22</v>
      </c>
      <c r="P1263" s="6" t="s">
        <v>23</v>
      </c>
      <c r="Q1263" s="6" t="s">
        <v>24</v>
      </c>
      <c r="R1263" s="6" t="s">
        <v>25</v>
      </c>
    </row>
    <row r="1264" spans="1:21" ht="38" customHeight="1">
      <c r="A1264" s="8" t="s">
        <v>498</v>
      </c>
      <c r="B1264" s="8" t="s">
        <v>61</v>
      </c>
      <c r="C1264" s="12">
        <f>COUNTIFS('DEF_SELF_SCOUT_IMPORT'!$L$42:$L$1040,"Y",'DEF_SELF_SCOUT_IMPORT'!$E$42:$E$1040,SUBSTITUTE(SUBSTITUTE(SUBSTITUTE($B1264,"~","~~"),"*","~*"),"?","~?"),'DEF_SELF_SCOUT_IMPORT'!$D$42:$D$1040,SUBSTITUTE(SUBSTITUTE(SUBSTITUTE($P1264,"~","~~"),"*","~*"),"?","~?"))</f>
        <v>1</v>
      </c>
      <c r="D1264" s="10">
        <f>IF($C1264=0,"",SUMIFS('DEF_SELF_SCOUT_IMPORT'!$J$42:$J$1040,'DEF_SELF_SCOUT_IMPORT'!$L$42:$L$1040,"Y",'DEF_SELF_SCOUT_IMPORT'!$E$42:$E$1040,SUBSTITUTE(SUBSTITUTE(SUBSTITUTE($B1264,"~","~~"),"*","~*"),"?","~?"),'DEF_SELF_SCOUT_IMPORT'!$D$42:$D$1040,SUBSTITUTE(SUBSTITUTE(SUBSTITUTE($P1264,"~","~~"),"*","~*"),"?","~?"))/$C1264)</f>
        <v>1.0</v>
      </c>
      <c r="E1264" s="10">
        <f>IF($C1264=0,"",SUMIFS('DEF_SELF_SCOUT_IMPORT'!$K$42:$K$1040,'DEF_SELF_SCOUT_IMPORT'!$L$42:$L$1040,"Y",'DEF_SELF_SCOUT_IMPORT'!$E$42:$E$1040,SUBSTITUTE(SUBSTITUTE(SUBSTITUTE($B1264,"~","~~"),"*","~*"),"?","~?"),'DEF_SELF_SCOUT_IMPORT'!$D$42:$D$1040,SUBSTITUTE(SUBSTITUTE(SUBSTITUTE($P1264,"~","~~"),"*","~*"),"?","~?"))/$C1264)</f>
        <v>0.0</v>
      </c>
      <c r="F1264" s="11">
        <f>IF($C1264=0,"",AVERAGEIFS('DEF_SELF_SCOUT_IMPORT'!$I$42:$I$1040,'DEF_SELF_SCOUT_IMPORT'!$L$42:$L$1040,"Y",'DEF_SELF_SCOUT_IMPORT'!$E$42:$E$1040,SUBSTITUTE(SUBSTITUTE(SUBSTITUTE($B1264,"~","~~"),"*","~*"),"?","~?"),'DEF_SELF_SCOUT_IMPORT'!$D$42:$D$1040,SUBSTITUTE(SUBSTITUTE(SUBSTITUTE($P1264,"~","~~"),"*","~*"),"?","~?")))</f>
        <v>0.0</v>
      </c>
      <c r="G1264" s="10">
        <f>IF($C1264=0,"",COUNTIFS('DEF_SELF_SCOUT_IMPORT'!$L$42:$L$1040,"Y",'DEF_SELF_SCOUT_IMPORT'!$E$42:$E$1040,SUBSTITUTE(SUBSTITUTE(SUBSTITUTE($B1264,"~","~~"),"*","~*"),"?","~?"),'DEF_SELF_SCOUT_IMPORT'!$D$42:$D$1040,SUBSTITUTE(SUBSTITUTE(SUBSTITUTE($P1264,"~","~~"),"*","~*"),"?","~?"),'DEF_SELF_SCOUT_IMPORT'!$H$42:$H$1040,"RUSH")/$C1264)</f>
        <v>0.0</v>
      </c>
      <c r="H1264" s="10">
        <f>IF($C1264=0,"",COUNTIFS('DEF_SELF_SCOUT_IMPORT'!$L$42:$L$1040,"Y",'DEF_SELF_SCOUT_IMPORT'!$E$42:$E$1040,SUBSTITUTE(SUBSTITUTE(SUBSTITUTE($B1264,"~","~~"),"*","~*"),"?","~?"),'DEF_SELF_SCOUT_IMPORT'!$D$42:$D$1040,SUBSTITUTE(SUBSTITUTE(SUBSTITUTE($P1264,"~","~~"),"*","~*"),"?","~?"),'DEF_SELF_SCOUT_IMPORT'!$H$42:$H$1040,"DROPBACK")/$C1264)</f>
        <v>1.0</v>
      </c>
      <c r="I1264" s="14" t="str">
        <f>IF(C1264=0,"",IF(C1264&lt;=2,"TRACK",IF(C1264=3,"LOW",IF(C1264&lt;=6,"MEDIUM","HIGH"))))</f>
        <v>TRACK</v>
      </c>
      <c r="J1264" s="11">
        <f>IF(C1264=0,"",ROUND(D1264*70+(1-E1264)*20+MAX(0,MIN(1,(10-F1264)/10))*10,1))</f>
        <v>100.0</v>
      </c>
      <c r="K1264" s="14" t="str">
        <f>IF(C1264=0,"No Evidence",IF(C1264&lt;=2,IF(E1264&gt;0,"Explosive Alert","Track Only"),IF(C1264=3,"Sample Watch",IF(E1264&gt;=START_HERE!$B$31,"Explosive Alert",IF(J1264&gt;=80,"Strong Candidate",IF(J1264&gt;=65,"Good Candidate",IF(J1264&gt;=50,"Mixed / Review","Problem Call")))))))</f>
        <v>Track Only</v>
      </c>
      <c r="L1264" s="9" t="str">
        <f>IF(COUNTIFS('DEF_SELF_SCOUT_IMPORT'!$L$42:$L$1040,"Y",'DEF_SELF_SCOUT_IMPORT'!$E$42:$E$1040,SUBSTITUTE(SUBSTITUTE(SUBSTITUTE($B1264,"~","~~"),"*","~*"),"?","~?"),'DEF_SELF_SCOUT_IMPORT'!$D$42:$D$1040,SUBSTITUTE(SUBSTITUTE(SUBSTITUTE($P1264,"~","~~"),"*","~*"),"?","~?"),'DEF_SELF_SCOUT_IMPORT'!$J$42:$J$1040,"")&gt;0,"Unscored clean outcome; review result tags before using score.",IF(C1264=0,"No matching defensive reps; film confirmation needed.",IF(K1264="Explosive Alert","Explosive risk; review clips before using as answer.",IF(C1264&lt;=2,"Track only; not enough sample.",IF(C1264=3,IF(E1264&gt;0,"Sample watch with explosive exposure; review clips and build the sample.",IF(J1264&gt;=65,"Good signal, but sample is limited.","Sample watch; review clips and build the sample.")),IF(K1264="Problem Call","Problem area; practice or call-sheet review.",IF(K1264="Strong Candidate","Strong call-fit candidate; confirm on film.",IF(K1264="Good Candidate","Good call-fit signal; confirm on film.","Mixed signal; review fit and execution on film."))))))))</f>
        <v>Track only; not enough sample.</v>
      </c>
      <c r="M1264" s="8"/>
      <c r="N1264" s="8"/>
      <c r="O1264" s="8"/>
      <c r="P1264" s="8" t="s">
        <v>498</v>
      </c>
      <c r="Q1264" s="8"/>
      <c r="R1264" s="8" t="s">
        <v>633</v>
      </c>
      <c r="S1264" s="2" t="s">
        <v>634</v>
      </c>
      <c r="T1264" s="2">
        <f>IF(C1264=0,0,IF(C1264&gt;=CALL_LOOKUP_BOARD!$B$7,IF(OR(K1264="Problem Call",K1264="Explosive Alert"),10000000,20000000),0)+IF(C1264&gt;=CALL_LOOKUP_BOARD!$B$7,J1264*1000+MIN(C1264,999),C1264*1000+J1264)+0.00999900)</f>
        <v>1100.009999</v>
      </c>
      <c r="U1264" s="2" t="str">
        <f>IF(C1264=0,"",IF(COUNTIFS($S$1264:$S$1440,SUBSTITUTE(SUBSTITUTE(SUBSTITUTE(S1264,"~","~~"),"*","~*"),"?","~?"),$T$1264:$T$1440,"&gt;"&amp;T1264)=0,S1264,""))</f>
        <v>13:(UNSPECIFIED)|</v>
      </c>
    </row>
    <row r="1265" spans="1:21" ht="38" customHeight="1">
      <c r="A1265" s="8" t="s">
        <v>446</v>
      </c>
      <c r="B1265" s="8" t="s">
        <v>42</v>
      </c>
      <c r="C1265" s="12">
        <f>COUNTIFS('DEF_SELF_SCOUT_IMPORT'!$L$42:$L$1040,"Y",'DEF_SELF_SCOUT_IMPORT'!$E$42:$E$1040,SUBSTITUTE(SUBSTITUTE(SUBSTITUTE($B1265,"~","~~"),"*","~*"),"?","~?"),'DEF_SELF_SCOUT_IMPORT'!$D$42:$D$1040,SUBSTITUTE(SUBSTITUTE(SUBSTITUTE($P1265,"~","~~"),"*","~*"),"?","~?"))</f>
        <v>1</v>
      </c>
      <c r="D1265" s="10">
        <f>IF($C1265=0,"",SUMIFS('DEF_SELF_SCOUT_IMPORT'!$J$42:$J$1040,'DEF_SELF_SCOUT_IMPORT'!$L$42:$L$1040,"Y",'DEF_SELF_SCOUT_IMPORT'!$E$42:$E$1040,SUBSTITUTE(SUBSTITUTE(SUBSTITUTE($B1265,"~","~~"),"*","~*"),"?","~?"),'DEF_SELF_SCOUT_IMPORT'!$D$42:$D$1040,SUBSTITUTE(SUBSTITUTE(SUBSTITUTE($P1265,"~","~~"),"*","~*"),"?","~?"))/$C1265)</f>
        <v>0.0</v>
      </c>
      <c r="E1265" s="10">
        <f>IF($C1265=0,"",SUMIFS('DEF_SELF_SCOUT_IMPORT'!$K$42:$K$1040,'DEF_SELF_SCOUT_IMPORT'!$L$42:$L$1040,"Y",'DEF_SELF_SCOUT_IMPORT'!$E$42:$E$1040,SUBSTITUTE(SUBSTITUTE(SUBSTITUTE($B1265,"~","~~"),"*","~*"),"?","~?"),'DEF_SELF_SCOUT_IMPORT'!$D$42:$D$1040,SUBSTITUTE(SUBSTITUTE(SUBSTITUTE($P1265,"~","~~"),"*","~*"),"?","~?"))/$C1265)</f>
        <v>0.0</v>
      </c>
      <c r="F1265" s="11">
        <f>IF($C1265=0,"",AVERAGEIFS('DEF_SELF_SCOUT_IMPORT'!$I$42:$I$1040,'DEF_SELF_SCOUT_IMPORT'!$L$42:$L$1040,"Y",'DEF_SELF_SCOUT_IMPORT'!$E$42:$E$1040,SUBSTITUTE(SUBSTITUTE(SUBSTITUTE($B1265,"~","~~"),"*","~*"),"?","~?"),'DEF_SELF_SCOUT_IMPORT'!$D$42:$D$1040,SUBSTITUTE(SUBSTITUTE(SUBSTITUTE($P1265,"~","~~"),"*","~*"),"?","~?")))</f>
        <v>14.0</v>
      </c>
      <c r="G1265" s="10">
        <f>IF($C1265=0,"",COUNTIFS('DEF_SELF_SCOUT_IMPORT'!$L$42:$L$1040,"Y",'DEF_SELF_SCOUT_IMPORT'!$E$42:$E$1040,SUBSTITUTE(SUBSTITUTE(SUBSTITUTE($B1265,"~","~~"),"*","~*"),"?","~?"),'DEF_SELF_SCOUT_IMPORT'!$D$42:$D$1040,SUBSTITUTE(SUBSTITUTE(SUBSTITUTE($P1265,"~","~~"),"*","~*"),"?","~?"),'DEF_SELF_SCOUT_IMPORT'!$H$42:$H$1040,"RUSH")/$C1265)</f>
        <v>0.0</v>
      </c>
      <c r="H1265" s="10">
        <f>IF($C1265=0,"",COUNTIFS('DEF_SELF_SCOUT_IMPORT'!$L$42:$L$1040,"Y",'DEF_SELF_SCOUT_IMPORT'!$E$42:$E$1040,SUBSTITUTE(SUBSTITUTE(SUBSTITUTE($B1265,"~","~~"),"*","~*"),"?","~?"),'DEF_SELF_SCOUT_IMPORT'!$D$42:$D$1040,SUBSTITUTE(SUBSTITUTE(SUBSTITUTE($P1265,"~","~~"),"*","~*"),"?","~?"),'DEF_SELF_SCOUT_IMPORT'!$H$42:$H$1040,"DROPBACK")/$C1265)</f>
        <v>1.0</v>
      </c>
      <c r="I1265" s="14" t="str">
        <f>IF(C1265=0,"",IF(C1265&lt;=2,"TRACK",IF(C1265=3,"LOW",IF(C1265&lt;=6,"MEDIUM","HIGH"))))</f>
        <v>TRACK</v>
      </c>
      <c r="J1265" s="11">
        <f>IF(C1265=0,"",ROUND(D1265*70+(1-E1265)*20+MAX(0,MIN(1,(10-F1265)/10))*10,1))</f>
        <v>20.0</v>
      </c>
      <c r="K1265" s="14" t="str">
        <f>IF(C1265=0,"No Evidence",IF(C1265&lt;=2,IF(E1265&gt;0,"Explosive Alert","Track Only"),IF(C1265=3,"Sample Watch",IF(E1265&gt;=START_HERE!$B$31,"Explosive Alert",IF(J1265&gt;=80,"Strong Candidate",IF(J1265&gt;=65,"Good Candidate",IF(J1265&gt;=50,"Mixed / Review","Problem Call")))))))</f>
        <v>Track Only</v>
      </c>
      <c r="L1265" s="9" t="str">
        <f>IF(COUNTIFS('DEF_SELF_SCOUT_IMPORT'!$L$42:$L$1040,"Y",'DEF_SELF_SCOUT_IMPORT'!$E$42:$E$1040,SUBSTITUTE(SUBSTITUTE(SUBSTITUTE($B1265,"~","~~"),"*","~*"),"?","~?"),'DEF_SELF_SCOUT_IMPORT'!$D$42:$D$1040,SUBSTITUTE(SUBSTITUTE(SUBSTITUTE($P1265,"~","~~"),"*","~*"),"?","~?"),'DEF_SELF_SCOUT_IMPORT'!$J$42:$J$1040,"")&gt;0,"Unscored clean outcome; review result tags before using score.",IF(C1265=0,"No matching defensive reps; film confirmation needed.",IF(K1265="Explosive Alert","Explosive risk; review clips before using as answer.",IF(C1265&lt;=2,"Track only; not enough sample.",IF(C1265=3,IF(E1265&gt;0,"Sample watch with explosive exposure; review clips and build the sample.",IF(J1265&gt;=65,"Good signal, but sample is limited.","Sample watch; review clips and build the sample.")),IF(K1265="Problem Call","Problem area; practice or call-sheet review.",IF(K1265="Strong Candidate","Strong call-fit candidate; confirm on film.",IF(K1265="Good Candidate","Good call-fit signal; confirm on film.","Mixed signal; review fit and execution on film."))))))))</f>
        <v>Track only; not enough sample.</v>
      </c>
      <c r="M1265" s="8"/>
      <c r="N1265" s="8"/>
      <c r="O1265" s="8"/>
      <c r="P1265" s="8" t="s">
        <v>446</v>
      </c>
      <c r="Q1265" s="8"/>
      <c r="R1265" s="8" t="s">
        <v>633</v>
      </c>
      <c r="S1265" s="2" t="s">
        <v>635</v>
      </c>
      <c r="T1265" s="2">
        <f>IF(C1265=0,0,IF(C1265&gt;=CALL_LOOKUP_BOARD!$B$7,IF(OR(K1265="Problem Call",K1265="Explosive Alert"),10000000,20000000),0)+IF(C1265&gt;=CALL_LOOKUP_BOARD!$B$7,J1265*1000+MIN(C1265,999),C1265*1000+J1265)+0.00999800)</f>
        <v>1020.009998</v>
      </c>
      <c r="U1265" s="2">
        <f>IF(C1265=0,"",IF(COUNTIFS($S$1264:$S$1440,SUBSTITUTE(SUBSTITUTE(SUBSTITUTE(S1265,"~","~~"),"*","~*"),"?","~?"),$T$1264:$T$1440,"&gt;"&amp;T1265)=0,S1265,""))</f>
        <v/>
      </c>
    </row>
    <row r="1266" spans="1:21" ht="38" customHeight="1">
      <c r="A1266" s="8" t="s">
        <v>446</v>
      </c>
      <c r="B1266" s="8" t="s">
        <v>43</v>
      </c>
      <c r="C1266" s="12">
        <f>COUNTIFS('DEF_SELF_SCOUT_IMPORT'!$L$42:$L$1040,"Y",'DEF_SELF_SCOUT_IMPORT'!$E$42:$E$1040,SUBSTITUTE(SUBSTITUTE(SUBSTITUTE($B1266,"~","~~"),"*","~*"),"?","~?"),'DEF_SELF_SCOUT_IMPORT'!$D$42:$D$1040,SUBSTITUTE(SUBSTITUTE(SUBSTITUTE($P1266,"~","~~"),"*","~*"),"?","~?"))</f>
        <v>1</v>
      </c>
      <c r="D1266" s="10">
        <f>IF($C1266=0,"",SUMIFS('DEF_SELF_SCOUT_IMPORT'!$J$42:$J$1040,'DEF_SELF_SCOUT_IMPORT'!$L$42:$L$1040,"Y",'DEF_SELF_SCOUT_IMPORT'!$E$42:$E$1040,SUBSTITUTE(SUBSTITUTE(SUBSTITUTE($B1266,"~","~~"),"*","~*"),"?","~?"),'DEF_SELF_SCOUT_IMPORT'!$D$42:$D$1040,SUBSTITUTE(SUBSTITUTE(SUBSTITUTE($P1266,"~","~~"),"*","~*"),"?","~?"))/$C1266)</f>
        <v>1.0</v>
      </c>
      <c r="E1266" s="10">
        <f>IF($C1266=0,"",SUMIFS('DEF_SELF_SCOUT_IMPORT'!$K$42:$K$1040,'DEF_SELF_SCOUT_IMPORT'!$L$42:$L$1040,"Y",'DEF_SELF_SCOUT_IMPORT'!$E$42:$E$1040,SUBSTITUTE(SUBSTITUTE(SUBSTITUTE($B1266,"~","~~"),"*","~*"),"?","~?"),'DEF_SELF_SCOUT_IMPORT'!$D$42:$D$1040,SUBSTITUTE(SUBSTITUTE(SUBSTITUTE($P1266,"~","~~"),"*","~*"),"?","~?"))/$C1266)</f>
        <v>0.0</v>
      </c>
      <c r="F1266" s="11">
        <f>IF($C1266=0,"",AVERAGEIFS('DEF_SELF_SCOUT_IMPORT'!$I$42:$I$1040,'DEF_SELF_SCOUT_IMPORT'!$L$42:$L$1040,"Y",'DEF_SELF_SCOUT_IMPORT'!$E$42:$E$1040,SUBSTITUTE(SUBSTITUTE(SUBSTITUTE($B1266,"~","~~"),"*","~*"),"?","~?"),'DEF_SELF_SCOUT_IMPORT'!$D$42:$D$1040,SUBSTITUTE(SUBSTITUTE(SUBSTITUTE($P1266,"~","~~"),"*","~*"),"?","~?")))</f>
        <v>3.0</v>
      </c>
      <c r="G1266" s="10">
        <f>IF($C1266=0,"",COUNTIFS('DEF_SELF_SCOUT_IMPORT'!$L$42:$L$1040,"Y",'DEF_SELF_SCOUT_IMPORT'!$E$42:$E$1040,SUBSTITUTE(SUBSTITUTE(SUBSTITUTE($B1266,"~","~~"),"*","~*"),"?","~?"),'DEF_SELF_SCOUT_IMPORT'!$D$42:$D$1040,SUBSTITUTE(SUBSTITUTE(SUBSTITUTE($P1266,"~","~~"),"*","~*"),"?","~?"),'DEF_SELF_SCOUT_IMPORT'!$H$42:$H$1040,"RUSH")/$C1266)</f>
        <v>0.0</v>
      </c>
      <c r="H1266" s="10">
        <f>IF($C1266=0,"",COUNTIFS('DEF_SELF_SCOUT_IMPORT'!$L$42:$L$1040,"Y",'DEF_SELF_SCOUT_IMPORT'!$E$42:$E$1040,SUBSTITUTE(SUBSTITUTE(SUBSTITUTE($B1266,"~","~~"),"*","~*"),"?","~?"),'DEF_SELF_SCOUT_IMPORT'!$D$42:$D$1040,SUBSTITUTE(SUBSTITUTE(SUBSTITUTE($P1266,"~","~~"),"*","~*"),"?","~?"),'DEF_SELF_SCOUT_IMPORT'!$H$42:$H$1040,"DROPBACK")/$C1266)</f>
        <v>1.0</v>
      </c>
      <c r="I1266" s="14" t="str">
        <f>IF(C1266=0,"",IF(C1266&lt;=2,"TRACK",IF(C1266=3,"LOW",IF(C1266&lt;=6,"MEDIUM","HIGH"))))</f>
        <v>TRACK</v>
      </c>
      <c r="J1266" s="11">
        <f>IF(C1266=0,"",ROUND(D1266*70+(1-E1266)*20+MAX(0,MIN(1,(10-F1266)/10))*10,1))</f>
        <v>97.0</v>
      </c>
      <c r="K1266" s="14" t="str">
        <f>IF(C1266=0,"No Evidence",IF(C1266&lt;=2,IF(E1266&gt;0,"Explosive Alert","Track Only"),IF(C1266=3,"Sample Watch",IF(E1266&gt;=START_HERE!$B$31,"Explosive Alert",IF(J1266&gt;=80,"Strong Candidate",IF(J1266&gt;=65,"Good Candidate",IF(J1266&gt;=50,"Mixed / Review","Problem Call")))))))</f>
        <v>Track Only</v>
      </c>
      <c r="L1266" s="9" t="str">
        <f>IF(COUNTIFS('DEF_SELF_SCOUT_IMPORT'!$L$42:$L$1040,"Y",'DEF_SELF_SCOUT_IMPORT'!$E$42:$E$1040,SUBSTITUTE(SUBSTITUTE(SUBSTITUTE($B1266,"~","~~"),"*","~*"),"?","~?"),'DEF_SELF_SCOUT_IMPORT'!$D$42:$D$1040,SUBSTITUTE(SUBSTITUTE(SUBSTITUTE($P1266,"~","~~"),"*","~*"),"?","~?"),'DEF_SELF_SCOUT_IMPORT'!$J$42:$J$1040,"")&gt;0,"Unscored clean outcome; review result tags before using score.",IF(C1266=0,"No matching defensive reps; film confirmation needed.",IF(K1266="Explosive Alert","Explosive risk; review clips before using as answer.",IF(C1266&lt;=2,"Track only; not enough sample.",IF(C1266=3,IF(E1266&gt;0,"Sample watch with explosive exposure; review clips and build the sample.",IF(J1266&gt;=65,"Good signal, but sample is limited.","Sample watch; review clips and build the sample.")),IF(K1266="Problem Call","Problem area; practice or call-sheet review.",IF(K1266="Strong Candidate","Strong call-fit candidate; confirm on film.",IF(K1266="Good Candidate","Good call-fit signal; confirm on film.","Mixed signal; review fit and execution on film."))))))))</f>
        <v>Track only; not enough sample.</v>
      </c>
      <c r="M1266" s="8"/>
      <c r="N1266" s="8"/>
      <c r="O1266" s="8"/>
      <c r="P1266" s="8" t="s">
        <v>446</v>
      </c>
      <c r="Q1266" s="8"/>
      <c r="R1266" s="8" t="s">
        <v>633</v>
      </c>
      <c r="S1266" s="2" t="s">
        <v>635</v>
      </c>
      <c r="T1266" s="2">
        <f>IF(C1266=0,0,IF(C1266&gt;=CALL_LOOKUP_BOARD!$B$7,IF(OR(K1266="Problem Call",K1266="Explosive Alert"),10000000,20000000),0)+IF(C1266&gt;=CALL_LOOKUP_BOARD!$B$7,J1266*1000+MIN(C1266,999),C1266*1000+J1266)+0.00999700)</f>
        <v>1097.009997</v>
      </c>
      <c r="U1266" s="2">
        <f>IF(C1266=0,"",IF(COUNTIFS($S$1264:$S$1440,SUBSTITUTE(SUBSTITUTE(SUBSTITUTE(S1266,"~","~~"),"*","~*"),"?","~?"),$T$1264:$T$1440,"&gt;"&amp;T1266)=0,S1266,""))</f>
        <v/>
      </c>
    </row>
    <row r="1267" spans="1:21" ht="38" customHeight="1">
      <c r="A1267" s="8" t="s">
        <v>446</v>
      </c>
      <c r="B1267" s="8" t="s">
        <v>44</v>
      </c>
      <c r="C1267" s="12">
        <f>COUNTIFS('DEF_SELF_SCOUT_IMPORT'!$L$42:$L$1040,"Y",'DEF_SELF_SCOUT_IMPORT'!$E$42:$E$1040,SUBSTITUTE(SUBSTITUTE(SUBSTITUTE($B1267,"~","~~"),"*","~*"),"?","~?"),'DEF_SELF_SCOUT_IMPORT'!$D$42:$D$1040,SUBSTITUTE(SUBSTITUTE(SUBSTITUTE($P1267,"~","~~"),"*","~*"),"?","~?"))</f>
        <v>1</v>
      </c>
      <c r="D1267" s="10">
        <f>IF($C1267=0,"",SUMIFS('DEF_SELF_SCOUT_IMPORT'!$J$42:$J$1040,'DEF_SELF_SCOUT_IMPORT'!$L$42:$L$1040,"Y",'DEF_SELF_SCOUT_IMPORT'!$E$42:$E$1040,SUBSTITUTE(SUBSTITUTE(SUBSTITUTE($B1267,"~","~~"),"*","~*"),"?","~?"),'DEF_SELF_SCOUT_IMPORT'!$D$42:$D$1040,SUBSTITUTE(SUBSTITUTE(SUBSTITUTE($P1267,"~","~~"),"*","~*"),"?","~?"))/$C1267)</f>
        <v>0.0</v>
      </c>
      <c r="E1267" s="10">
        <f>IF($C1267=0,"",SUMIFS('DEF_SELF_SCOUT_IMPORT'!$K$42:$K$1040,'DEF_SELF_SCOUT_IMPORT'!$L$42:$L$1040,"Y",'DEF_SELF_SCOUT_IMPORT'!$E$42:$E$1040,SUBSTITUTE(SUBSTITUTE(SUBSTITUTE($B1267,"~","~~"),"*","~*"),"?","~?"),'DEF_SELF_SCOUT_IMPORT'!$D$42:$D$1040,SUBSTITUTE(SUBSTITUTE(SUBSTITUTE($P1267,"~","~~"),"*","~*"),"?","~?"))/$C1267)</f>
        <v>0.0</v>
      </c>
      <c r="F1267" s="11">
        <f>IF($C1267=0,"",AVERAGEIFS('DEF_SELF_SCOUT_IMPORT'!$I$42:$I$1040,'DEF_SELF_SCOUT_IMPORT'!$L$42:$L$1040,"Y",'DEF_SELF_SCOUT_IMPORT'!$E$42:$E$1040,SUBSTITUTE(SUBSTITUTE(SUBSTITUTE($B1267,"~","~~"),"*","~*"),"?","~?"),'DEF_SELF_SCOUT_IMPORT'!$D$42:$D$1040,SUBSTITUTE(SUBSTITUTE(SUBSTITUTE($P1267,"~","~~"),"*","~*"),"?","~?")))</f>
        <v>11.0</v>
      </c>
      <c r="G1267" s="10">
        <f>IF($C1267=0,"",COUNTIFS('DEF_SELF_SCOUT_IMPORT'!$L$42:$L$1040,"Y",'DEF_SELF_SCOUT_IMPORT'!$E$42:$E$1040,SUBSTITUTE(SUBSTITUTE(SUBSTITUTE($B1267,"~","~~"),"*","~*"),"?","~?"),'DEF_SELF_SCOUT_IMPORT'!$D$42:$D$1040,SUBSTITUTE(SUBSTITUTE(SUBSTITUTE($P1267,"~","~~"),"*","~*"),"?","~?"),'DEF_SELF_SCOUT_IMPORT'!$H$42:$H$1040,"RUSH")/$C1267)</f>
        <v>0.0</v>
      </c>
      <c r="H1267" s="10">
        <f>IF($C1267=0,"",COUNTIFS('DEF_SELF_SCOUT_IMPORT'!$L$42:$L$1040,"Y",'DEF_SELF_SCOUT_IMPORT'!$E$42:$E$1040,SUBSTITUTE(SUBSTITUTE(SUBSTITUTE($B1267,"~","~~"),"*","~*"),"?","~?"),'DEF_SELF_SCOUT_IMPORT'!$D$42:$D$1040,SUBSTITUTE(SUBSTITUTE(SUBSTITUTE($P1267,"~","~~"),"*","~*"),"?","~?"),'DEF_SELF_SCOUT_IMPORT'!$H$42:$H$1040,"DROPBACK")/$C1267)</f>
        <v>1.0</v>
      </c>
      <c r="I1267" s="14" t="str">
        <f>IF(C1267=0,"",IF(C1267&lt;=2,"TRACK",IF(C1267=3,"LOW",IF(C1267&lt;=6,"MEDIUM","HIGH"))))</f>
        <v>TRACK</v>
      </c>
      <c r="J1267" s="11">
        <f>IF(C1267=0,"",ROUND(D1267*70+(1-E1267)*20+MAX(0,MIN(1,(10-F1267)/10))*10,1))</f>
        <v>20.0</v>
      </c>
      <c r="K1267" s="14" t="str">
        <f>IF(C1267=0,"No Evidence",IF(C1267&lt;=2,IF(E1267&gt;0,"Explosive Alert","Track Only"),IF(C1267=3,"Sample Watch",IF(E1267&gt;=START_HERE!$B$31,"Explosive Alert",IF(J1267&gt;=80,"Strong Candidate",IF(J1267&gt;=65,"Good Candidate",IF(J1267&gt;=50,"Mixed / Review","Problem Call")))))))</f>
        <v>Track Only</v>
      </c>
      <c r="L1267" s="9" t="str">
        <f>IF(COUNTIFS('DEF_SELF_SCOUT_IMPORT'!$L$42:$L$1040,"Y",'DEF_SELF_SCOUT_IMPORT'!$E$42:$E$1040,SUBSTITUTE(SUBSTITUTE(SUBSTITUTE($B1267,"~","~~"),"*","~*"),"?","~?"),'DEF_SELF_SCOUT_IMPORT'!$D$42:$D$1040,SUBSTITUTE(SUBSTITUTE(SUBSTITUTE($P1267,"~","~~"),"*","~*"),"?","~?"),'DEF_SELF_SCOUT_IMPORT'!$J$42:$J$1040,"")&gt;0,"Unscored clean outcome; review result tags before using score.",IF(C1267=0,"No matching defensive reps; film confirmation needed.",IF(K1267="Explosive Alert","Explosive risk; review clips before using as answer.",IF(C1267&lt;=2,"Track only; not enough sample.",IF(C1267=3,IF(E1267&gt;0,"Sample watch with explosive exposure; review clips and build the sample.",IF(J1267&gt;=65,"Good signal, but sample is limited.","Sample watch; review clips and build the sample.")),IF(K1267="Problem Call","Problem area; practice or call-sheet review.",IF(K1267="Strong Candidate","Strong call-fit candidate; confirm on film.",IF(K1267="Good Candidate","Good call-fit signal; confirm on film.","Mixed signal; review fit and execution on film."))))))))</f>
        <v>Track only; not enough sample.</v>
      </c>
      <c r="M1267" s="8"/>
      <c r="N1267" s="8"/>
      <c r="O1267" s="8"/>
      <c r="P1267" s="8" t="s">
        <v>446</v>
      </c>
      <c r="Q1267" s="8"/>
      <c r="R1267" s="8" t="s">
        <v>633</v>
      </c>
      <c r="S1267" s="2" t="s">
        <v>635</v>
      </c>
      <c r="T1267" s="2">
        <f>IF(C1267=0,0,IF(C1267&gt;=CALL_LOOKUP_BOARD!$B$7,IF(OR(K1267="Problem Call",K1267="Explosive Alert"),10000000,20000000),0)+IF(C1267&gt;=CALL_LOOKUP_BOARD!$B$7,J1267*1000+MIN(C1267,999),C1267*1000+J1267)+0.00999600)</f>
        <v>1020.009996</v>
      </c>
      <c r="U1267" s="2">
        <f>IF(C1267=0,"",IF(COUNTIFS($S$1264:$S$1440,SUBSTITUTE(SUBSTITUTE(SUBSTITUTE(S1267,"~","~~"),"*","~*"),"?","~?"),$T$1264:$T$1440,"&gt;"&amp;T1267)=0,S1267,""))</f>
        <v/>
      </c>
    </row>
    <row r="1268" spans="1:21" ht="38" customHeight="1">
      <c r="A1268" s="8" t="s">
        <v>446</v>
      </c>
      <c r="B1268" s="8" t="s">
        <v>48</v>
      </c>
      <c r="C1268" s="12">
        <f>COUNTIFS('DEF_SELF_SCOUT_IMPORT'!$L$42:$L$1040,"Y",'DEF_SELF_SCOUT_IMPORT'!$E$42:$E$1040,SUBSTITUTE(SUBSTITUTE(SUBSTITUTE($B1268,"~","~~"),"*","~*"),"?","~?"),'DEF_SELF_SCOUT_IMPORT'!$D$42:$D$1040,SUBSTITUTE(SUBSTITUTE(SUBSTITUTE($P1268,"~","~~"),"*","~*"),"?","~?"))</f>
        <v>1</v>
      </c>
      <c r="D1268" s="10">
        <f>IF($C1268=0,"",SUMIFS('DEF_SELF_SCOUT_IMPORT'!$J$42:$J$1040,'DEF_SELF_SCOUT_IMPORT'!$L$42:$L$1040,"Y",'DEF_SELF_SCOUT_IMPORT'!$E$42:$E$1040,SUBSTITUTE(SUBSTITUTE(SUBSTITUTE($B1268,"~","~~"),"*","~*"),"?","~?"),'DEF_SELF_SCOUT_IMPORT'!$D$42:$D$1040,SUBSTITUTE(SUBSTITUTE(SUBSTITUTE($P1268,"~","~~"),"*","~*"),"?","~?"))/$C1268)</f>
        <v>1.0</v>
      </c>
      <c r="E1268" s="10">
        <f>IF($C1268=0,"",SUMIFS('DEF_SELF_SCOUT_IMPORT'!$K$42:$K$1040,'DEF_SELF_SCOUT_IMPORT'!$L$42:$L$1040,"Y",'DEF_SELF_SCOUT_IMPORT'!$E$42:$E$1040,SUBSTITUTE(SUBSTITUTE(SUBSTITUTE($B1268,"~","~~"),"*","~*"),"?","~?"),'DEF_SELF_SCOUT_IMPORT'!$D$42:$D$1040,SUBSTITUTE(SUBSTITUTE(SUBSTITUTE($P1268,"~","~~"),"*","~*"),"?","~?"))/$C1268)</f>
        <v>0.0</v>
      </c>
      <c r="F1268" s="11">
        <f>IF($C1268=0,"",AVERAGEIFS('DEF_SELF_SCOUT_IMPORT'!$I$42:$I$1040,'DEF_SELF_SCOUT_IMPORT'!$L$42:$L$1040,"Y",'DEF_SELF_SCOUT_IMPORT'!$E$42:$E$1040,SUBSTITUTE(SUBSTITUTE(SUBSTITUTE($B1268,"~","~~"),"*","~*"),"?","~?"),'DEF_SELF_SCOUT_IMPORT'!$D$42:$D$1040,SUBSTITUTE(SUBSTITUTE(SUBSTITUTE($P1268,"~","~~"),"*","~*"),"?","~?")))</f>
        <v>6.0</v>
      </c>
      <c r="G1268" s="10">
        <f>IF($C1268=0,"",COUNTIFS('DEF_SELF_SCOUT_IMPORT'!$L$42:$L$1040,"Y",'DEF_SELF_SCOUT_IMPORT'!$E$42:$E$1040,SUBSTITUTE(SUBSTITUTE(SUBSTITUTE($B1268,"~","~~"),"*","~*"),"?","~?"),'DEF_SELF_SCOUT_IMPORT'!$D$42:$D$1040,SUBSTITUTE(SUBSTITUTE(SUBSTITUTE($P1268,"~","~~"),"*","~*"),"?","~?"),'DEF_SELF_SCOUT_IMPORT'!$H$42:$H$1040,"RUSH")/$C1268)</f>
        <v>0.0</v>
      </c>
      <c r="H1268" s="10">
        <f>IF($C1268=0,"",COUNTIFS('DEF_SELF_SCOUT_IMPORT'!$L$42:$L$1040,"Y",'DEF_SELF_SCOUT_IMPORT'!$E$42:$E$1040,SUBSTITUTE(SUBSTITUTE(SUBSTITUTE($B1268,"~","~~"),"*","~*"),"?","~?"),'DEF_SELF_SCOUT_IMPORT'!$D$42:$D$1040,SUBSTITUTE(SUBSTITUTE(SUBSTITUTE($P1268,"~","~~"),"*","~*"),"?","~?"),'DEF_SELF_SCOUT_IMPORT'!$H$42:$H$1040,"DROPBACK")/$C1268)</f>
        <v>1.0</v>
      </c>
      <c r="I1268" s="14" t="str">
        <f>IF(C1268=0,"",IF(C1268&lt;=2,"TRACK",IF(C1268=3,"LOW",IF(C1268&lt;=6,"MEDIUM","HIGH"))))</f>
        <v>TRACK</v>
      </c>
      <c r="J1268" s="11">
        <f>IF(C1268=0,"",ROUND(D1268*70+(1-E1268)*20+MAX(0,MIN(1,(10-F1268)/10))*10,1))</f>
        <v>94.0</v>
      </c>
      <c r="K1268" s="14" t="str">
        <f>IF(C1268=0,"No Evidence",IF(C1268&lt;=2,IF(E1268&gt;0,"Explosive Alert","Track Only"),IF(C1268=3,"Sample Watch",IF(E1268&gt;=START_HERE!$B$31,"Explosive Alert",IF(J1268&gt;=80,"Strong Candidate",IF(J1268&gt;=65,"Good Candidate",IF(J1268&gt;=50,"Mixed / Review","Problem Call")))))))</f>
        <v>Track Only</v>
      </c>
      <c r="L1268" s="9" t="str">
        <f>IF(COUNTIFS('DEF_SELF_SCOUT_IMPORT'!$L$42:$L$1040,"Y",'DEF_SELF_SCOUT_IMPORT'!$E$42:$E$1040,SUBSTITUTE(SUBSTITUTE(SUBSTITUTE($B1268,"~","~~"),"*","~*"),"?","~?"),'DEF_SELF_SCOUT_IMPORT'!$D$42:$D$1040,SUBSTITUTE(SUBSTITUTE(SUBSTITUTE($P1268,"~","~~"),"*","~*"),"?","~?"),'DEF_SELF_SCOUT_IMPORT'!$J$42:$J$1040,"")&gt;0,"Unscored clean outcome; review result tags before using score.",IF(C1268=0,"No matching defensive reps; film confirmation needed.",IF(K1268="Explosive Alert","Explosive risk; review clips before using as answer.",IF(C1268&lt;=2,"Track only; not enough sample.",IF(C1268=3,IF(E1268&gt;0,"Sample watch with explosive exposure; review clips and build the sample.",IF(J1268&gt;=65,"Good signal, but sample is limited.","Sample watch; review clips and build the sample.")),IF(K1268="Problem Call","Problem area; practice or call-sheet review.",IF(K1268="Strong Candidate","Strong call-fit candidate; confirm on film.",IF(K1268="Good Candidate","Good call-fit signal; confirm on film.","Mixed signal; review fit and execution on film."))))))))</f>
        <v>Track only; not enough sample.</v>
      </c>
      <c r="M1268" s="8"/>
      <c r="N1268" s="8"/>
      <c r="O1268" s="8"/>
      <c r="P1268" s="8" t="s">
        <v>446</v>
      </c>
      <c r="Q1268" s="8"/>
      <c r="R1268" s="8" t="s">
        <v>633</v>
      </c>
      <c r="S1268" s="2" t="s">
        <v>635</v>
      </c>
      <c r="T1268" s="2">
        <f>IF(C1268=0,0,IF(C1268&gt;=CALL_LOOKUP_BOARD!$B$7,IF(OR(K1268="Problem Call",K1268="Explosive Alert"),10000000,20000000),0)+IF(C1268&gt;=CALL_LOOKUP_BOARD!$B$7,J1268*1000+MIN(C1268,999),C1268*1000+J1268)+0.00999500)</f>
        <v>1094.009995</v>
      </c>
      <c r="U1268" s="2">
        <f>IF(C1268=0,"",IF(COUNTIFS($S$1264:$S$1440,SUBSTITUTE(SUBSTITUTE(SUBSTITUTE(S1268,"~","~~"),"*","~*"),"?","~?"),$T$1264:$T$1440,"&gt;"&amp;T1268)=0,S1268,""))</f>
        <v/>
      </c>
    </row>
    <row r="1269" spans="1:21" ht="38" customHeight="1">
      <c r="A1269" s="8" t="s">
        <v>446</v>
      </c>
      <c r="B1269" s="8" t="s">
        <v>34</v>
      </c>
      <c r="C1269" s="12">
        <f>COUNTIFS('DEF_SELF_SCOUT_IMPORT'!$L$42:$L$1040,"Y",'DEF_SELF_SCOUT_IMPORT'!$E$42:$E$1040,SUBSTITUTE(SUBSTITUTE(SUBSTITUTE($B1269,"~","~~"),"*","~*"),"?","~?"),'DEF_SELF_SCOUT_IMPORT'!$D$42:$D$1040,SUBSTITUTE(SUBSTITUTE(SUBSTITUTE($P1269,"~","~~"),"*","~*"),"?","~?"))</f>
        <v>1</v>
      </c>
      <c r="D1269" s="10">
        <f>IF($C1269=0,"",SUMIFS('DEF_SELF_SCOUT_IMPORT'!$J$42:$J$1040,'DEF_SELF_SCOUT_IMPORT'!$L$42:$L$1040,"Y",'DEF_SELF_SCOUT_IMPORT'!$E$42:$E$1040,SUBSTITUTE(SUBSTITUTE(SUBSTITUTE($B1269,"~","~~"),"*","~*"),"?","~?"),'DEF_SELF_SCOUT_IMPORT'!$D$42:$D$1040,SUBSTITUTE(SUBSTITUTE(SUBSTITUTE($P1269,"~","~~"),"*","~*"),"?","~?"))/$C1269)</f>
        <v>1.0</v>
      </c>
      <c r="E1269" s="10">
        <f>IF($C1269=0,"",SUMIFS('DEF_SELF_SCOUT_IMPORT'!$K$42:$K$1040,'DEF_SELF_SCOUT_IMPORT'!$L$42:$L$1040,"Y",'DEF_SELF_SCOUT_IMPORT'!$E$42:$E$1040,SUBSTITUTE(SUBSTITUTE(SUBSTITUTE($B1269,"~","~~"),"*","~*"),"?","~?"),'DEF_SELF_SCOUT_IMPORT'!$D$42:$D$1040,SUBSTITUTE(SUBSTITUTE(SUBSTITUTE($P1269,"~","~~"),"*","~*"),"?","~?"))/$C1269)</f>
        <v>0.0</v>
      </c>
      <c r="F1269" s="11">
        <f>IF($C1269=0,"",AVERAGEIFS('DEF_SELF_SCOUT_IMPORT'!$I$42:$I$1040,'DEF_SELF_SCOUT_IMPORT'!$L$42:$L$1040,"Y",'DEF_SELF_SCOUT_IMPORT'!$E$42:$E$1040,SUBSTITUTE(SUBSTITUTE(SUBSTITUTE($B1269,"~","~~"),"*","~*"),"?","~?"),'DEF_SELF_SCOUT_IMPORT'!$D$42:$D$1040,SUBSTITUTE(SUBSTITUTE(SUBSTITUTE($P1269,"~","~~"),"*","~*"),"?","~?")))</f>
        <v>0.0</v>
      </c>
      <c r="G1269" s="10">
        <f>IF($C1269=0,"",COUNTIFS('DEF_SELF_SCOUT_IMPORT'!$L$42:$L$1040,"Y",'DEF_SELF_SCOUT_IMPORT'!$E$42:$E$1040,SUBSTITUTE(SUBSTITUTE(SUBSTITUTE($B1269,"~","~~"),"*","~*"),"?","~?"),'DEF_SELF_SCOUT_IMPORT'!$D$42:$D$1040,SUBSTITUTE(SUBSTITUTE(SUBSTITUTE($P1269,"~","~~"),"*","~*"),"?","~?"),'DEF_SELF_SCOUT_IMPORT'!$H$42:$H$1040,"RUSH")/$C1269)</f>
        <v>0.0</v>
      </c>
      <c r="H1269" s="10">
        <f>IF($C1269=0,"",COUNTIFS('DEF_SELF_SCOUT_IMPORT'!$L$42:$L$1040,"Y",'DEF_SELF_SCOUT_IMPORT'!$E$42:$E$1040,SUBSTITUTE(SUBSTITUTE(SUBSTITUTE($B1269,"~","~~"),"*","~*"),"?","~?"),'DEF_SELF_SCOUT_IMPORT'!$D$42:$D$1040,SUBSTITUTE(SUBSTITUTE(SUBSTITUTE($P1269,"~","~~"),"*","~*"),"?","~?"),'DEF_SELF_SCOUT_IMPORT'!$H$42:$H$1040,"DROPBACK")/$C1269)</f>
        <v>1.0</v>
      </c>
      <c r="I1269" s="14" t="str">
        <f>IF(C1269=0,"",IF(C1269&lt;=2,"TRACK",IF(C1269=3,"LOW",IF(C1269&lt;=6,"MEDIUM","HIGH"))))</f>
        <v>TRACK</v>
      </c>
      <c r="J1269" s="11">
        <f>IF(C1269=0,"",ROUND(D1269*70+(1-E1269)*20+MAX(0,MIN(1,(10-F1269)/10))*10,1))</f>
        <v>100.0</v>
      </c>
      <c r="K1269" s="14" t="str">
        <f>IF(C1269=0,"No Evidence",IF(C1269&lt;=2,IF(E1269&gt;0,"Explosive Alert","Track Only"),IF(C1269=3,"Sample Watch",IF(E1269&gt;=START_HERE!$B$31,"Explosive Alert",IF(J1269&gt;=80,"Strong Candidate",IF(J1269&gt;=65,"Good Candidate",IF(J1269&gt;=50,"Mixed / Review","Problem Call")))))))</f>
        <v>Track Only</v>
      </c>
      <c r="L1269" s="9" t="str">
        <f>IF(COUNTIFS('DEF_SELF_SCOUT_IMPORT'!$L$42:$L$1040,"Y",'DEF_SELF_SCOUT_IMPORT'!$E$42:$E$1040,SUBSTITUTE(SUBSTITUTE(SUBSTITUTE($B1269,"~","~~"),"*","~*"),"?","~?"),'DEF_SELF_SCOUT_IMPORT'!$D$42:$D$1040,SUBSTITUTE(SUBSTITUTE(SUBSTITUTE($P1269,"~","~~"),"*","~*"),"?","~?"),'DEF_SELF_SCOUT_IMPORT'!$J$42:$J$1040,"")&gt;0,"Unscored clean outcome; review result tags before using score.",IF(C1269=0,"No matching defensive reps; film confirmation needed.",IF(K1269="Explosive Alert","Explosive risk; review clips before using as answer.",IF(C1269&lt;=2,"Track only; not enough sample.",IF(C1269=3,IF(E1269&gt;0,"Sample watch with explosive exposure; review clips and build the sample.",IF(J1269&gt;=65,"Good signal, but sample is limited.","Sample watch; review clips and build the sample.")),IF(K1269="Problem Call","Problem area; practice or call-sheet review.",IF(K1269="Strong Candidate","Strong call-fit candidate; confirm on film.",IF(K1269="Good Candidate","Good call-fit signal; confirm on film.","Mixed signal; review fit and execution on film."))))))))</f>
        <v>Track only; not enough sample.</v>
      </c>
      <c r="M1269" s="8"/>
      <c r="N1269" s="8"/>
      <c r="O1269" s="8"/>
      <c r="P1269" s="8" t="s">
        <v>446</v>
      </c>
      <c r="Q1269" s="8"/>
      <c r="R1269" s="8" t="s">
        <v>633</v>
      </c>
      <c r="S1269" s="2" t="s">
        <v>635</v>
      </c>
      <c r="T1269" s="2">
        <f>IF(C1269=0,0,IF(C1269&gt;=CALL_LOOKUP_BOARD!$B$7,IF(OR(K1269="Problem Call",K1269="Explosive Alert"),10000000,20000000),0)+IF(C1269&gt;=CALL_LOOKUP_BOARD!$B$7,J1269*1000+MIN(C1269,999),C1269*1000+J1269)+0.00999400)</f>
        <v>1100.009994</v>
      </c>
      <c r="U1269" s="2">
        <f>IF(C1269=0,"",IF(COUNTIFS($S$1264:$S$1440,SUBSTITUTE(SUBSTITUTE(SUBSTITUTE(S1269,"~","~~"),"*","~*"),"?","~?"),$T$1264:$T$1440,"&gt;"&amp;T1269)=0,S1269,""))</f>
        <v/>
      </c>
    </row>
    <row r="1270" spans="1:21" ht="38" customHeight="1">
      <c r="A1270" s="8" t="s">
        <v>446</v>
      </c>
      <c r="B1270" s="8" t="s">
        <v>49</v>
      </c>
      <c r="C1270" s="12">
        <f>COUNTIFS('DEF_SELF_SCOUT_IMPORT'!$L$42:$L$1040,"Y",'DEF_SELF_SCOUT_IMPORT'!$E$42:$E$1040,SUBSTITUTE(SUBSTITUTE(SUBSTITUTE($B1270,"~","~~"),"*","~*"),"?","~?"),'DEF_SELF_SCOUT_IMPORT'!$D$42:$D$1040,SUBSTITUTE(SUBSTITUTE(SUBSTITUTE($P1270,"~","~~"),"*","~*"),"?","~?"))</f>
        <v>1</v>
      </c>
      <c r="D1270" s="10">
        <f>IF($C1270=0,"",SUMIFS('DEF_SELF_SCOUT_IMPORT'!$J$42:$J$1040,'DEF_SELF_SCOUT_IMPORT'!$L$42:$L$1040,"Y",'DEF_SELF_SCOUT_IMPORT'!$E$42:$E$1040,SUBSTITUTE(SUBSTITUTE(SUBSTITUTE($B1270,"~","~~"),"*","~*"),"?","~?"),'DEF_SELF_SCOUT_IMPORT'!$D$42:$D$1040,SUBSTITUTE(SUBSTITUTE(SUBSTITUTE($P1270,"~","~~"),"*","~*"),"?","~?"))/$C1270)</f>
        <v>1.0</v>
      </c>
      <c r="E1270" s="10">
        <f>IF($C1270=0,"",SUMIFS('DEF_SELF_SCOUT_IMPORT'!$K$42:$K$1040,'DEF_SELF_SCOUT_IMPORT'!$L$42:$L$1040,"Y",'DEF_SELF_SCOUT_IMPORT'!$E$42:$E$1040,SUBSTITUTE(SUBSTITUTE(SUBSTITUTE($B1270,"~","~~"),"*","~*"),"?","~?"),'DEF_SELF_SCOUT_IMPORT'!$D$42:$D$1040,SUBSTITUTE(SUBSTITUTE(SUBSTITUTE($P1270,"~","~~"),"*","~*"),"?","~?"))/$C1270)</f>
        <v>0.0</v>
      </c>
      <c r="F1270" s="11">
        <f>IF($C1270=0,"",AVERAGEIFS('DEF_SELF_SCOUT_IMPORT'!$I$42:$I$1040,'DEF_SELF_SCOUT_IMPORT'!$L$42:$L$1040,"Y",'DEF_SELF_SCOUT_IMPORT'!$E$42:$E$1040,SUBSTITUTE(SUBSTITUTE(SUBSTITUTE($B1270,"~","~~"),"*","~*"),"?","~?"),'DEF_SELF_SCOUT_IMPORT'!$D$42:$D$1040,SUBSTITUTE(SUBSTITUTE(SUBSTITUTE($P1270,"~","~~"),"*","~*"),"?","~?")))</f>
        <v>0.0</v>
      </c>
      <c r="G1270" s="10">
        <f>IF($C1270=0,"",COUNTIFS('DEF_SELF_SCOUT_IMPORT'!$L$42:$L$1040,"Y",'DEF_SELF_SCOUT_IMPORT'!$E$42:$E$1040,SUBSTITUTE(SUBSTITUTE(SUBSTITUTE($B1270,"~","~~"),"*","~*"),"?","~?"),'DEF_SELF_SCOUT_IMPORT'!$D$42:$D$1040,SUBSTITUTE(SUBSTITUTE(SUBSTITUTE($P1270,"~","~~"),"*","~*"),"?","~?"),'DEF_SELF_SCOUT_IMPORT'!$H$42:$H$1040,"RUSH")/$C1270)</f>
        <v>0.0</v>
      </c>
      <c r="H1270" s="10">
        <f>IF($C1270=0,"",COUNTIFS('DEF_SELF_SCOUT_IMPORT'!$L$42:$L$1040,"Y",'DEF_SELF_SCOUT_IMPORT'!$E$42:$E$1040,SUBSTITUTE(SUBSTITUTE(SUBSTITUTE($B1270,"~","~~"),"*","~*"),"?","~?"),'DEF_SELF_SCOUT_IMPORT'!$D$42:$D$1040,SUBSTITUTE(SUBSTITUTE(SUBSTITUTE($P1270,"~","~~"),"*","~*"),"?","~?"),'DEF_SELF_SCOUT_IMPORT'!$H$42:$H$1040,"DROPBACK")/$C1270)</f>
        <v>1.0</v>
      </c>
      <c r="I1270" s="14" t="str">
        <f>IF(C1270=0,"",IF(C1270&lt;=2,"TRACK",IF(C1270=3,"LOW",IF(C1270&lt;=6,"MEDIUM","HIGH"))))</f>
        <v>TRACK</v>
      </c>
      <c r="J1270" s="11">
        <f>IF(C1270=0,"",ROUND(D1270*70+(1-E1270)*20+MAX(0,MIN(1,(10-F1270)/10))*10,1))</f>
        <v>100.0</v>
      </c>
      <c r="K1270" s="14" t="str">
        <f>IF(C1270=0,"No Evidence",IF(C1270&lt;=2,IF(E1270&gt;0,"Explosive Alert","Track Only"),IF(C1270=3,"Sample Watch",IF(E1270&gt;=START_HERE!$B$31,"Explosive Alert",IF(J1270&gt;=80,"Strong Candidate",IF(J1270&gt;=65,"Good Candidate",IF(J1270&gt;=50,"Mixed / Review","Problem Call")))))))</f>
        <v>Track Only</v>
      </c>
      <c r="L1270" s="9" t="str">
        <f>IF(COUNTIFS('DEF_SELF_SCOUT_IMPORT'!$L$42:$L$1040,"Y",'DEF_SELF_SCOUT_IMPORT'!$E$42:$E$1040,SUBSTITUTE(SUBSTITUTE(SUBSTITUTE($B1270,"~","~~"),"*","~*"),"?","~?"),'DEF_SELF_SCOUT_IMPORT'!$D$42:$D$1040,SUBSTITUTE(SUBSTITUTE(SUBSTITUTE($P1270,"~","~~"),"*","~*"),"?","~?"),'DEF_SELF_SCOUT_IMPORT'!$J$42:$J$1040,"")&gt;0,"Unscored clean outcome; review result tags before using score.",IF(C1270=0,"No matching defensive reps; film confirmation needed.",IF(K1270="Explosive Alert","Explosive risk; review clips before using as answer.",IF(C1270&lt;=2,"Track only; not enough sample.",IF(C1270=3,IF(E1270&gt;0,"Sample watch with explosive exposure; review clips and build the sample.",IF(J1270&gt;=65,"Good signal, but sample is limited.","Sample watch; review clips and build the sample.")),IF(K1270="Problem Call","Problem area; practice or call-sheet review.",IF(K1270="Strong Candidate","Strong call-fit candidate; confirm on film.",IF(K1270="Good Candidate","Good call-fit signal; confirm on film.","Mixed signal; review fit and execution on film."))))))))</f>
        <v>Track only; not enough sample.</v>
      </c>
      <c r="M1270" s="8"/>
      <c r="N1270" s="8"/>
      <c r="O1270" s="8"/>
      <c r="P1270" s="8" t="s">
        <v>446</v>
      </c>
      <c r="Q1270" s="8"/>
      <c r="R1270" s="8" t="s">
        <v>633</v>
      </c>
      <c r="S1270" s="2" t="s">
        <v>635</v>
      </c>
      <c r="T1270" s="2">
        <f>IF(C1270=0,0,IF(C1270&gt;=CALL_LOOKUP_BOARD!$B$7,IF(OR(K1270="Problem Call",K1270="Explosive Alert"),10000000,20000000),0)+IF(C1270&gt;=CALL_LOOKUP_BOARD!$B$7,J1270*1000+MIN(C1270,999),C1270*1000+J1270)+0.00999300)</f>
        <v>1100.009993</v>
      </c>
      <c r="U1270" s="2">
        <f>IF(C1270=0,"",IF(COUNTIFS($S$1264:$S$1440,SUBSTITUTE(SUBSTITUTE(SUBSTITUTE(S1270,"~","~~"),"*","~*"),"?","~?"),$T$1264:$T$1440,"&gt;"&amp;T1270)=0,S1270,""))</f>
        <v/>
      </c>
    </row>
    <row r="1271" spans="1:21" ht="38" customHeight="1">
      <c r="A1271" s="8" t="s">
        <v>446</v>
      </c>
      <c r="B1271" s="8" t="s">
        <v>79</v>
      </c>
      <c r="C1271" s="12">
        <f>COUNTIFS('DEF_SELF_SCOUT_IMPORT'!$L$42:$L$1040,"Y",'DEF_SELF_SCOUT_IMPORT'!$E$42:$E$1040,SUBSTITUTE(SUBSTITUTE(SUBSTITUTE($B1271,"~","~~"),"*","~*"),"?","~?"),'DEF_SELF_SCOUT_IMPORT'!$D$42:$D$1040,SUBSTITUTE(SUBSTITUTE(SUBSTITUTE($P1271,"~","~~"),"*","~*"),"?","~?"))</f>
        <v>1</v>
      </c>
      <c r="D1271" s="10">
        <f>IF($C1271=0,"",SUMIFS('DEF_SELF_SCOUT_IMPORT'!$J$42:$J$1040,'DEF_SELF_SCOUT_IMPORT'!$L$42:$L$1040,"Y",'DEF_SELF_SCOUT_IMPORT'!$E$42:$E$1040,SUBSTITUTE(SUBSTITUTE(SUBSTITUTE($B1271,"~","~~"),"*","~*"),"?","~?"),'DEF_SELF_SCOUT_IMPORT'!$D$42:$D$1040,SUBSTITUTE(SUBSTITUTE(SUBSTITUTE($P1271,"~","~~"),"*","~*"),"?","~?"))/$C1271)</f>
        <v>0.0</v>
      </c>
      <c r="E1271" s="10">
        <f>IF($C1271=0,"",SUMIFS('DEF_SELF_SCOUT_IMPORT'!$K$42:$K$1040,'DEF_SELF_SCOUT_IMPORT'!$L$42:$L$1040,"Y",'DEF_SELF_SCOUT_IMPORT'!$E$42:$E$1040,SUBSTITUTE(SUBSTITUTE(SUBSTITUTE($B1271,"~","~~"),"*","~*"),"?","~?"),'DEF_SELF_SCOUT_IMPORT'!$D$42:$D$1040,SUBSTITUTE(SUBSTITUTE(SUBSTITUTE($P1271,"~","~~"),"*","~*"),"?","~?"))/$C1271)</f>
        <v>1.0</v>
      </c>
      <c r="F1271" s="11">
        <f>IF($C1271=0,"",AVERAGEIFS('DEF_SELF_SCOUT_IMPORT'!$I$42:$I$1040,'DEF_SELF_SCOUT_IMPORT'!$L$42:$L$1040,"Y",'DEF_SELF_SCOUT_IMPORT'!$E$42:$E$1040,SUBSTITUTE(SUBSTITUTE(SUBSTITUTE($B1271,"~","~~"),"*","~*"),"?","~?"),'DEF_SELF_SCOUT_IMPORT'!$D$42:$D$1040,SUBSTITUTE(SUBSTITUTE(SUBSTITUTE($P1271,"~","~~"),"*","~*"),"?","~?")))</f>
        <v>15.0</v>
      </c>
      <c r="G1271" s="10">
        <f>IF($C1271=0,"",COUNTIFS('DEF_SELF_SCOUT_IMPORT'!$L$42:$L$1040,"Y",'DEF_SELF_SCOUT_IMPORT'!$E$42:$E$1040,SUBSTITUTE(SUBSTITUTE(SUBSTITUTE($B1271,"~","~~"),"*","~*"),"?","~?"),'DEF_SELF_SCOUT_IMPORT'!$D$42:$D$1040,SUBSTITUTE(SUBSTITUTE(SUBSTITUTE($P1271,"~","~~"),"*","~*"),"?","~?"),'DEF_SELF_SCOUT_IMPORT'!$H$42:$H$1040,"RUSH")/$C1271)</f>
        <v>0.0</v>
      </c>
      <c r="H1271" s="10">
        <f>IF($C1271=0,"",COUNTIFS('DEF_SELF_SCOUT_IMPORT'!$L$42:$L$1040,"Y",'DEF_SELF_SCOUT_IMPORT'!$E$42:$E$1040,SUBSTITUTE(SUBSTITUTE(SUBSTITUTE($B1271,"~","~~"),"*","~*"),"?","~?"),'DEF_SELF_SCOUT_IMPORT'!$D$42:$D$1040,SUBSTITUTE(SUBSTITUTE(SUBSTITUTE($P1271,"~","~~"),"*","~*"),"?","~?"),'DEF_SELF_SCOUT_IMPORT'!$H$42:$H$1040,"DROPBACK")/$C1271)</f>
        <v>1.0</v>
      </c>
      <c r="I1271" s="14" t="str">
        <f>IF(C1271=0,"",IF(C1271&lt;=2,"TRACK",IF(C1271=3,"LOW",IF(C1271&lt;=6,"MEDIUM","HIGH"))))</f>
        <v>TRACK</v>
      </c>
      <c r="J1271" s="11">
        <f>IF(C1271=0,"",ROUND(D1271*70+(1-E1271)*20+MAX(0,MIN(1,(10-F1271)/10))*10,1))</f>
        <v>0.0</v>
      </c>
      <c r="K1271" s="14" t="str">
        <f>IF(C1271=0,"No Evidence",IF(C1271&lt;=2,IF(E1271&gt;0,"Explosive Alert","Track Only"),IF(C1271=3,"Sample Watch",IF(E1271&gt;=START_HERE!$B$31,"Explosive Alert",IF(J1271&gt;=80,"Strong Candidate",IF(J1271&gt;=65,"Good Candidate",IF(J1271&gt;=50,"Mixed / Review","Problem Call")))))))</f>
        <v>Explosive Alert</v>
      </c>
      <c r="L1271" s="9" t="str">
        <f>IF(COUNTIFS('DEF_SELF_SCOUT_IMPORT'!$L$42:$L$1040,"Y",'DEF_SELF_SCOUT_IMPORT'!$E$42:$E$1040,SUBSTITUTE(SUBSTITUTE(SUBSTITUTE($B1271,"~","~~"),"*","~*"),"?","~?"),'DEF_SELF_SCOUT_IMPORT'!$D$42:$D$1040,SUBSTITUTE(SUBSTITUTE(SUBSTITUTE($P1271,"~","~~"),"*","~*"),"?","~?"),'DEF_SELF_SCOUT_IMPORT'!$J$42:$J$1040,"")&gt;0,"Unscored clean outcome; review result tags before using score.",IF(C1271=0,"No matching defensive reps; film confirmation needed.",IF(K1271="Explosive Alert","Explosive risk; review clips before using as answer.",IF(C1271&lt;=2,"Track only; not enough sample.",IF(C1271=3,IF(E1271&gt;0,"Sample watch with explosive exposure; review clips and build the sample.",IF(J1271&gt;=65,"Good signal, but sample is limited.","Sample watch; review clips and build the sample.")),IF(K1271="Problem Call","Problem area; practice or call-sheet review.",IF(K1271="Strong Candidate","Strong call-fit candidate; confirm on film.",IF(K1271="Good Candidate","Good call-fit signal; confirm on film.","Mixed signal; review fit and execution on film."))))))))</f>
        <v>Explosive risk; review clips before using as answer.</v>
      </c>
      <c r="M1271" s="8"/>
      <c r="N1271" s="8"/>
      <c r="O1271" s="8"/>
      <c r="P1271" s="8" t="s">
        <v>446</v>
      </c>
      <c r="Q1271" s="8"/>
      <c r="R1271" s="8" t="s">
        <v>633</v>
      </c>
      <c r="S1271" s="2" t="s">
        <v>635</v>
      </c>
      <c r="T1271" s="2">
        <f>IF(C1271=0,0,IF(C1271&gt;=CALL_LOOKUP_BOARD!$B$7,IF(OR(K1271="Problem Call",K1271="Explosive Alert"),10000000,20000000),0)+IF(C1271&gt;=CALL_LOOKUP_BOARD!$B$7,J1271*1000+MIN(C1271,999),C1271*1000+J1271)+0.00999200)</f>
        <v>1000.009992</v>
      </c>
      <c r="U1271" s="2">
        <f>IF(C1271=0,"",IF(COUNTIFS($S$1264:$S$1440,SUBSTITUTE(SUBSTITUTE(SUBSTITUTE(S1271,"~","~~"),"*","~*"),"?","~?"),$T$1264:$T$1440,"&gt;"&amp;T1271)=0,S1271,""))</f>
        <v/>
      </c>
    </row>
    <row r="1272" spans="1:21" ht="38" customHeight="1">
      <c r="A1272" s="8" t="s">
        <v>446</v>
      </c>
      <c r="B1272" s="8" t="s">
        <v>53</v>
      </c>
      <c r="C1272" s="12">
        <f>COUNTIFS('DEF_SELF_SCOUT_IMPORT'!$L$42:$L$1040,"Y",'DEF_SELF_SCOUT_IMPORT'!$E$42:$E$1040,SUBSTITUTE(SUBSTITUTE(SUBSTITUTE($B1272,"~","~~"),"*","~*"),"?","~?"),'DEF_SELF_SCOUT_IMPORT'!$D$42:$D$1040,SUBSTITUTE(SUBSTITUTE(SUBSTITUTE($P1272,"~","~~"),"*","~*"),"?","~?"))</f>
        <v>2</v>
      </c>
      <c r="D1272" s="10">
        <f>IF($C1272=0,"",SUMIFS('DEF_SELF_SCOUT_IMPORT'!$J$42:$J$1040,'DEF_SELF_SCOUT_IMPORT'!$L$42:$L$1040,"Y",'DEF_SELF_SCOUT_IMPORT'!$E$42:$E$1040,SUBSTITUTE(SUBSTITUTE(SUBSTITUTE($B1272,"~","~~"),"*","~*"),"?","~?"),'DEF_SELF_SCOUT_IMPORT'!$D$42:$D$1040,SUBSTITUTE(SUBSTITUTE(SUBSTITUTE($P1272,"~","~~"),"*","~*"),"?","~?"))/$C1272)</f>
        <v>0.5</v>
      </c>
      <c r="E1272" s="10">
        <f>IF($C1272=0,"",SUMIFS('DEF_SELF_SCOUT_IMPORT'!$K$42:$K$1040,'DEF_SELF_SCOUT_IMPORT'!$L$42:$L$1040,"Y",'DEF_SELF_SCOUT_IMPORT'!$E$42:$E$1040,SUBSTITUTE(SUBSTITUTE(SUBSTITUTE($B1272,"~","~~"),"*","~*"),"?","~?"),'DEF_SELF_SCOUT_IMPORT'!$D$42:$D$1040,SUBSTITUTE(SUBSTITUTE(SUBSTITUTE($P1272,"~","~~"),"*","~*"),"?","~?"))/$C1272)</f>
        <v>0.0</v>
      </c>
      <c r="F1272" s="11">
        <f>IF($C1272=0,"",AVERAGEIFS('DEF_SELF_SCOUT_IMPORT'!$I$42:$I$1040,'DEF_SELF_SCOUT_IMPORT'!$L$42:$L$1040,"Y",'DEF_SELF_SCOUT_IMPORT'!$E$42:$E$1040,SUBSTITUTE(SUBSTITUTE(SUBSTITUTE($B1272,"~","~~"),"*","~*"),"?","~?"),'DEF_SELF_SCOUT_IMPORT'!$D$42:$D$1040,SUBSTITUTE(SUBSTITUTE(SUBSTITUTE($P1272,"~","~~"),"*","~*"),"?","~?")))</f>
        <v>7.0</v>
      </c>
      <c r="G1272" s="10">
        <f>IF($C1272=0,"",COUNTIFS('DEF_SELF_SCOUT_IMPORT'!$L$42:$L$1040,"Y",'DEF_SELF_SCOUT_IMPORT'!$E$42:$E$1040,SUBSTITUTE(SUBSTITUTE(SUBSTITUTE($B1272,"~","~~"),"*","~*"),"?","~?"),'DEF_SELF_SCOUT_IMPORT'!$D$42:$D$1040,SUBSTITUTE(SUBSTITUTE(SUBSTITUTE($P1272,"~","~~"),"*","~*"),"?","~?"),'DEF_SELF_SCOUT_IMPORT'!$H$42:$H$1040,"RUSH")/$C1272)</f>
        <v>0.0</v>
      </c>
      <c r="H1272" s="10">
        <f>IF($C1272=0,"",COUNTIFS('DEF_SELF_SCOUT_IMPORT'!$L$42:$L$1040,"Y",'DEF_SELF_SCOUT_IMPORT'!$E$42:$E$1040,SUBSTITUTE(SUBSTITUTE(SUBSTITUTE($B1272,"~","~~"),"*","~*"),"?","~?"),'DEF_SELF_SCOUT_IMPORT'!$D$42:$D$1040,SUBSTITUTE(SUBSTITUTE(SUBSTITUTE($P1272,"~","~~"),"*","~*"),"?","~?"),'DEF_SELF_SCOUT_IMPORT'!$H$42:$H$1040,"DROPBACK")/$C1272)</f>
        <v>1.0</v>
      </c>
      <c r="I1272" s="14" t="str">
        <f>IF(C1272=0,"",IF(C1272&lt;=2,"TRACK",IF(C1272=3,"LOW",IF(C1272&lt;=6,"MEDIUM","HIGH"))))</f>
        <v>TRACK</v>
      </c>
      <c r="J1272" s="11">
        <f>IF(C1272=0,"",ROUND(D1272*70+(1-E1272)*20+MAX(0,MIN(1,(10-F1272)/10))*10,1))</f>
        <v>58.0</v>
      </c>
      <c r="K1272" s="14" t="str">
        <f>IF(C1272=0,"No Evidence",IF(C1272&lt;=2,IF(E1272&gt;0,"Explosive Alert","Track Only"),IF(C1272=3,"Sample Watch",IF(E1272&gt;=START_HERE!$B$31,"Explosive Alert",IF(J1272&gt;=80,"Strong Candidate",IF(J1272&gt;=65,"Good Candidate",IF(J1272&gt;=50,"Mixed / Review","Problem Call")))))))</f>
        <v>Track Only</v>
      </c>
      <c r="L1272" s="9" t="str">
        <f>IF(COUNTIFS('DEF_SELF_SCOUT_IMPORT'!$L$42:$L$1040,"Y",'DEF_SELF_SCOUT_IMPORT'!$E$42:$E$1040,SUBSTITUTE(SUBSTITUTE(SUBSTITUTE($B1272,"~","~~"),"*","~*"),"?","~?"),'DEF_SELF_SCOUT_IMPORT'!$D$42:$D$1040,SUBSTITUTE(SUBSTITUTE(SUBSTITUTE($P1272,"~","~~"),"*","~*"),"?","~?"),'DEF_SELF_SCOUT_IMPORT'!$J$42:$J$1040,"")&gt;0,"Unscored clean outcome; review result tags before using score.",IF(C1272=0,"No matching defensive reps; film confirmation needed.",IF(K1272="Explosive Alert","Explosive risk; review clips before using as answer.",IF(C1272&lt;=2,"Track only; not enough sample.",IF(C1272=3,IF(E1272&gt;0,"Sample watch with explosive exposure; review clips and build the sample.",IF(J1272&gt;=65,"Good signal, but sample is limited.","Sample watch; review clips and build the sample.")),IF(K1272="Problem Call","Problem area; practice or call-sheet review.",IF(K1272="Strong Candidate","Strong call-fit candidate; confirm on film.",IF(K1272="Good Candidate","Good call-fit signal; confirm on film.","Mixed signal; review fit and execution on film."))))))))</f>
        <v>Track only; not enough sample.</v>
      </c>
      <c r="M1272" s="8"/>
      <c r="N1272" s="8"/>
      <c r="O1272" s="8"/>
      <c r="P1272" s="8" t="s">
        <v>446</v>
      </c>
      <c r="Q1272" s="8"/>
      <c r="R1272" s="8" t="s">
        <v>633</v>
      </c>
      <c r="S1272" s="2" t="s">
        <v>635</v>
      </c>
      <c r="T1272" s="2">
        <f>IF(C1272=0,0,IF(C1272&gt;=CALL_LOOKUP_BOARD!$B$7,IF(OR(K1272="Problem Call",K1272="Explosive Alert"),10000000,20000000),0)+IF(C1272&gt;=CALL_LOOKUP_BOARD!$B$7,J1272*1000+MIN(C1272,999),C1272*1000+J1272)+0.00999100)</f>
        <v>2058.009991</v>
      </c>
      <c r="U1272" s="2">
        <f>IF(C1272=0,"",IF(COUNTIFS($S$1264:$S$1440,SUBSTITUTE(SUBSTITUTE(SUBSTITUTE(S1272,"~","~~"),"*","~*"),"?","~?"),$T$1264:$T$1440,"&gt;"&amp;T1272)=0,S1272,""))</f>
        <v/>
      </c>
    </row>
    <row r="1273" spans="1:21" ht="38" customHeight="1">
      <c r="A1273" s="8" t="s">
        <v>446</v>
      </c>
      <c r="B1273" s="8" t="s">
        <v>109</v>
      </c>
      <c r="C1273" s="12">
        <f>COUNTIFS('DEF_SELF_SCOUT_IMPORT'!$L$42:$L$1040,"Y",'DEF_SELF_SCOUT_IMPORT'!$E$42:$E$1040,SUBSTITUTE(SUBSTITUTE(SUBSTITUTE($B1273,"~","~~"),"*","~*"),"?","~?"),'DEF_SELF_SCOUT_IMPORT'!$D$42:$D$1040,SUBSTITUTE(SUBSTITUTE(SUBSTITUTE($P1273,"~","~~"),"*","~*"),"?","~?"))</f>
        <v>1</v>
      </c>
      <c r="D1273" s="10">
        <f>IF($C1273=0,"",SUMIFS('DEF_SELF_SCOUT_IMPORT'!$J$42:$J$1040,'DEF_SELF_SCOUT_IMPORT'!$L$42:$L$1040,"Y",'DEF_SELF_SCOUT_IMPORT'!$E$42:$E$1040,SUBSTITUTE(SUBSTITUTE(SUBSTITUTE($B1273,"~","~~"),"*","~*"),"?","~?"),'DEF_SELF_SCOUT_IMPORT'!$D$42:$D$1040,SUBSTITUTE(SUBSTITUTE(SUBSTITUTE($P1273,"~","~~"),"*","~*"),"?","~?"))/$C1273)</f>
        <v>0.0</v>
      </c>
      <c r="E1273" s="10">
        <f>IF($C1273=0,"",SUMIFS('DEF_SELF_SCOUT_IMPORT'!$K$42:$K$1040,'DEF_SELF_SCOUT_IMPORT'!$L$42:$L$1040,"Y",'DEF_SELF_SCOUT_IMPORT'!$E$42:$E$1040,SUBSTITUTE(SUBSTITUTE(SUBSTITUTE($B1273,"~","~~"),"*","~*"),"?","~?"),'DEF_SELF_SCOUT_IMPORT'!$D$42:$D$1040,SUBSTITUTE(SUBSTITUTE(SUBSTITUTE($P1273,"~","~~"),"*","~*"),"?","~?"))/$C1273)</f>
        <v>1.0</v>
      </c>
      <c r="F1273" s="11">
        <f>IF($C1273=0,"",AVERAGEIFS('DEF_SELF_SCOUT_IMPORT'!$I$42:$I$1040,'DEF_SELF_SCOUT_IMPORT'!$L$42:$L$1040,"Y",'DEF_SELF_SCOUT_IMPORT'!$E$42:$E$1040,SUBSTITUTE(SUBSTITUTE(SUBSTITUTE($B1273,"~","~~"),"*","~*"),"?","~?"),'DEF_SELF_SCOUT_IMPORT'!$D$42:$D$1040,SUBSTITUTE(SUBSTITUTE(SUBSTITUTE($P1273,"~","~~"),"*","~*"),"?","~?")))</f>
        <v>16.0</v>
      </c>
      <c r="G1273" s="10">
        <f>IF($C1273=0,"",COUNTIFS('DEF_SELF_SCOUT_IMPORT'!$L$42:$L$1040,"Y",'DEF_SELF_SCOUT_IMPORT'!$E$42:$E$1040,SUBSTITUTE(SUBSTITUTE(SUBSTITUTE($B1273,"~","~~"),"*","~*"),"?","~?"),'DEF_SELF_SCOUT_IMPORT'!$D$42:$D$1040,SUBSTITUTE(SUBSTITUTE(SUBSTITUTE($P1273,"~","~~"),"*","~*"),"?","~?"),'DEF_SELF_SCOUT_IMPORT'!$H$42:$H$1040,"RUSH")/$C1273)</f>
        <v>0.0</v>
      </c>
      <c r="H1273" s="10">
        <f>IF($C1273=0,"",COUNTIFS('DEF_SELF_SCOUT_IMPORT'!$L$42:$L$1040,"Y",'DEF_SELF_SCOUT_IMPORT'!$E$42:$E$1040,SUBSTITUTE(SUBSTITUTE(SUBSTITUTE($B1273,"~","~~"),"*","~*"),"?","~?"),'DEF_SELF_SCOUT_IMPORT'!$D$42:$D$1040,SUBSTITUTE(SUBSTITUTE(SUBSTITUTE($P1273,"~","~~"),"*","~*"),"?","~?"),'DEF_SELF_SCOUT_IMPORT'!$H$42:$H$1040,"DROPBACK")/$C1273)</f>
        <v>1.0</v>
      </c>
      <c r="I1273" s="14" t="str">
        <f>IF(C1273=0,"",IF(C1273&lt;=2,"TRACK",IF(C1273=3,"LOW",IF(C1273&lt;=6,"MEDIUM","HIGH"))))</f>
        <v>TRACK</v>
      </c>
      <c r="J1273" s="11">
        <f>IF(C1273=0,"",ROUND(D1273*70+(1-E1273)*20+MAX(0,MIN(1,(10-F1273)/10))*10,1))</f>
        <v>0.0</v>
      </c>
      <c r="K1273" s="14" t="str">
        <f>IF(C1273=0,"No Evidence",IF(C1273&lt;=2,IF(E1273&gt;0,"Explosive Alert","Track Only"),IF(C1273=3,"Sample Watch",IF(E1273&gt;=START_HERE!$B$31,"Explosive Alert",IF(J1273&gt;=80,"Strong Candidate",IF(J1273&gt;=65,"Good Candidate",IF(J1273&gt;=50,"Mixed / Review","Problem Call")))))))</f>
        <v>Explosive Alert</v>
      </c>
      <c r="L1273" s="9" t="str">
        <f>IF(COUNTIFS('DEF_SELF_SCOUT_IMPORT'!$L$42:$L$1040,"Y",'DEF_SELF_SCOUT_IMPORT'!$E$42:$E$1040,SUBSTITUTE(SUBSTITUTE(SUBSTITUTE($B1273,"~","~~"),"*","~*"),"?","~?"),'DEF_SELF_SCOUT_IMPORT'!$D$42:$D$1040,SUBSTITUTE(SUBSTITUTE(SUBSTITUTE($P1273,"~","~~"),"*","~*"),"?","~?"),'DEF_SELF_SCOUT_IMPORT'!$J$42:$J$1040,"")&gt;0,"Unscored clean outcome; review result tags before using score.",IF(C1273=0,"No matching defensive reps; film confirmation needed.",IF(K1273="Explosive Alert","Explosive risk; review clips before using as answer.",IF(C1273&lt;=2,"Track only; not enough sample.",IF(C1273=3,IF(E1273&gt;0,"Sample watch with explosive exposure; review clips and build the sample.",IF(J1273&gt;=65,"Good signal, but sample is limited.","Sample watch; review clips and build the sample.")),IF(K1273="Problem Call","Problem area; practice or call-sheet review.",IF(K1273="Strong Candidate","Strong call-fit candidate; confirm on film.",IF(K1273="Good Candidate","Good call-fit signal; confirm on film.","Mixed signal; review fit and execution on film."))))))))</f>
        <v>Explosive risk; review clips before using as answer.</v>
      </c>
      <c r="M1273" s="8"/>
      <c r="N1273" s="8"/>
      <c r="O1273" s="8"/>
      <c r="P1273" s="8" t="s">
        <v>446</v>
      </c>
      <c r="Q1273" s="8"/>
      <c r="R1273" s="8" t="s">
        <v>633</v>
      </c>
      <c r="S1273" s="2" t="s">
        <v>635</v>
      </c>
      <c r="T1273" s="2">
        <f>IF(C1273=0,0,IF(C1273&gt;=CALL_LOOKUP_BOARD!$B$7,IF(OR(K1273="Problem Call",K1273="Explosive Alert"),10000000,20000000),0)+IF(C1273&gt;=CALL_LOOKUP_BOARD!$B$7,J1273*1000+MIN(C1273,999),C1273*1000+J1273)+0.00999000)</f>
        <v>1000.00999</v>
      </c>
      <c r="U1273" s="2">
        <f>IF(C1273=0,"",IF(COUNTIFS($S$1264:$S$1440,SUBSTITUTE(SUBSTITUTE(SUBSTITUTE(S1273,"~","~~"),"*","~*"),"?","~?"),$T$1264:$T$1440,"&gt;"&amp;T1273)=0,S1273,""))</f>
        <v/>
      </c>
    </row>
    <row r="1274" spans="1:21" ht="38" customHeight="1">
      <c r="A1274" s="8" t="s">
        <v>446</v>
      </c>
      <c r="B1274" s="8" t="s">
        <v>35</v>
      </c>
      <c r="C1274" s="12">
        <f>COUNTIFS('DEF_SELF_SCOUT_IMPORT'!$L$42:$L$1040,"Y",'DEF_SELF_SCOUT_IMPORT'!$E$42:$E$1040,SUBSTITUTE(SUBSTITUTE(SUBSTITUTE($B1274,"~","~~"),"*","~*"),"?","~?"),'DEF_SELF_SCOUT_IMPORT'!$D$42:$D$1040,SUBSTITUTE(SUBSTITUTE(SUBSTITUTE($P1274,"~","~~"),"*","~*"),"?","~?"))</f>
        <v>1</v>
      </c>
      <c r="D1274" s="10">
        <f>IF($C1274=0,"",SUMIFS('DEF_SELF_SCOUT_IMPORT'!$J$42:$J$1040,'DEF_SELF_SCOUT_IMPORT'!$L$42:$L$1040,"Y",'DEF_SELF_SCOUT_IMPORT'!$E$42:$E$1040,SUBSTITUTE(SUBSTITUTE(SUBSTITUTE($B1274,"~","~~"),"*","~*"),"?","~?"),'DEF_SELF_SCOUT_IMPORT'!$D$42:$D$1040,SUBSTITUTE(SUBSTITUTE(SUBSTITUTE($P1274,"~","~~"),"*","~*"),"?","~?"))/$C1274)</f>
        <v>1.0</v>
      </c>
      <c r="E1274" s="10">
        <f>IF($C1274=0,"",SUMIFS('DEF_SELF_SCOUT_IMPORT'!$K$42:$K$1040,'DEF_SELF_SCOUT_IMPORT'!$L$42:$L$1040,"Y",'DEF_SELF_SCOUT_IMPORT'!$E$42:$E$1040,SUBSTITUTE(SUBSTITUTE(SUBSTITUTE($B1274,"~","~~"),"*","~*"),"?","~?"),'DEF_SELF_SCOUT_IMPORT'!$D$42:$D$1040,SUBSTITUTE(SUBSTITUTE(SUBSTITUTE($P1274,"~","~~"),"*","~*"),"?","~?"))/$C1274)</f>
        <v>0.0</v>
      </c>
      <c r="F1274" s="11">
        <f>IF($C1274=0,"",AVERAGEIFS('DEF_SELF_SCOUT_IMPORT'!$I$42:$I$1040,'DEF_SELF_SCOUT_IMPORT'!$L$42:$L$1040,"Y",'DEF_SELF_SCOUT_IMPORT'!$E$42:$E$1040,SUBSTITUTE(SUBSTITUTE(SUBSTITUTE($B1274,"~","~~"),"*","~*"),"?","~?"),'DEF_SELF_SCOUT_IMPORT'!$D$42:$D$1040,SUBSTITUTE(SUBSTITUTE(SUBSTITUTE($P1274,"~","~~"),"*","~*"),"?","~?")))</f>
        <v>0.0</v>
      </c>
      <c r="G1274" s="10">
        <f>IF($C1274=0,"",COUNTIFS('DEF_SELF_SCOUT_IMPORT'!$L$42:$L$1040,"Y",'DEF_SELF_SCOUT_IMPORT'!$E$42:$E$1040,SUBSTITUTE(SUBSTITUTE(SUBSTITUTE($B1274,"~","~~"),"*","~*"),"?","~?"),'DEF_SELF_SCOUT_IMPORT'!$D$42:$D$1040,SUBSTITUTE(SUBSTITUTE(SUBSTITUTE($P1274,"~","~~"),"*","~*"),"?","~?"),'DEF_SELF_SCOUT_IMPORT'!$H$42:$H$1040,"RUSH")/$C1274)</f>
        <v>0.0</v>
      </c>
      <c r="H1274" s="10">
        <f>IF($C1274=0,"",COUNTIFS('DEF_SELF_SCOUT_IMPORT'!$L$42:$L$1040,"Y",'DEF_SELF_SCOUT_IMPORT'!$E$42:$E$1040,SUBSTITUTE(SUBSTITUTE(SUBSTITUTE($B1274,"~","~~"),"*","~*"),"?","~?"),'DEF_SELF_SCOUT_IMPORT'!$D$42:$D$1040,SUBSTITUTE(SUBSTITUTE(SUBSTITUTE($P1274,"~","~~"),"*","~*"),"?","~?"),'DEF_SELF_SCOUT_IMPORT'!$H$42:$H$1040,"DROPBACK")/$C1274)</f>
        <v>1.0</v>
      </c>
      <c r="I1274" s="14" t="str">
        <f>IF(C1274=0,"",IF(C1274&lt;=2,"TRACK",IF(C1274=3,"LOW",IF(C1274&lt;=6,"MEDIUM","HIGH"))))</f>
        <v>TRACK</v>
      </c>
      <c r="J1274" s="11">
        <f>IF(C1274=0,"",ROUND(D1274*70+(1-E1274)*20+MAX(0,MIN(1,(10-F1274)/10))*10,1))</f>
        <v>100.0</v>
      </c>
      <c r="K1274" s="14" t="str">
        <f>IF(C1274=0,"No Evidence",IF(C1274&lt;=2,IF(E1274&gt;0,"Explosive Alert","Track Only"),IF(C1274=3,"Sample Watch",IF(E1274&gt;=START_HERE!$B$31,"Explosive Alert",IF(J1274&gt;=80,"Strong Candidate",IF(J1274&gt;=65,"Good Candidate",IF(J1274&gt;=50,"Mixed / Review","Problem Call")))))))</f>
        <v>Track Only</v>
      </c>
      <c r="L1274" s="9" t="str">
        <f>IF(COUNTIFS('DEF_SELF_SCOUT_IMPORT'!$L$42:$L$1040,"Y",'DEF_SELF_SCOUT_IMPORT'!$E$42:$E$1040,SUBSTITUTE(SUBSTITUTE(SUBSTITUTE($B1274,"~","~~"),"*","~*"),"?","~?"),'DEF_SELF_SCOUT_IMPORT'!$D$42:$D$1040,SUBSTITUTE(SUBSTITUTE(SUBSTITUTE($P1274,"~","~~"),"*","~*"),"?","~?"),'DEF_SELF_SCOUT_IMPORT'!$J$42:$J$1040,"")&gt;0,"Unscored clean outcome; review result tags before using score.",IF(C1274=0,"No matching defensive reps; film confirmation needed.",IF(K1274="Explosive Alert","Explosive risk; review clips before using as answer.",IF(C1274&lt;=2,"Track only; not enough sample.",IF(C1274=3,IF(E1274&gt;0,"Sample watch with explosive exposure; review clips and build the sample.",IF(J1274&gt;=65,"Good signal, but sample is limited.","Sample watch; review clips and build the sample.")),IF(K1274="Problem Call","Problem area; practice or call-sheet review.",IF(K1274="Strong Candidate","Strong call-fit candidate; confirm on film.",IF(K1274="Good Candidate","Good call-fit signal; confirm on film.","Mixed signal; review fit and execution on film."))))))))</f>
        <v>Track only; not enough sample.</v>
      </c>
      <c r="M1274" s="8"/>
      <c r="N1274" s="8"/>
      <c r="O1274" s="8"/>
      <c r="P1274" s="8" t="s">
        <v>446</v>
      </c>
      <c r="Q1274" s="8"/>
      <c r="R1274" s="8" t="s">
        <v>633</v>
      </c>
      <c r="S1274" s="2" t="s">
        <v>635</v>
      </c>
      <c r="T1274" s="2">
        <f>IF(C1274=0,0,IF(C1274&gt;=CALL_LOOKUP_BOARD!$B$7,IF(OR(K1274="Problem Call",K1274="Explosive Alert"),10000000,20000000),0)+IF(C1274&gt;=CALL_LOOKUP_BOARD!$B$7,J1274*1000+MIN(C1274,999),C1274*1000+J1274)+0.00998900)</f>
        <v>1100.009989</v>
      </c>
      <c r="U1274" s="2">
        <f>IF(C1274=0,"",IF(COUNTIFS($S$1264:$S$1440,SUBSTITUTE(SUBSTITUTE(SUBSTITUTE(S1274,"~","~~"),"*","~*"),"?","~?"),$T$1264:$T$1440,"&gt;"&amp;T1274)=0,S1274,""))</f>
        <v/>
      </c>
    </row>
    <row r="1275" spans="1:21" ht="38" customHeight="1">
      <c r="A1275" s="8" t="s">
        <v>446</v>
      </c>
      <c r="B1275" s="8" t="s">
        <v>60</v>
      </c>
      <c r="C1275" s="12">
        <f>COUNTIFS('DEF_SELF_SCOUT_IMPORT'!$L$42:$L$1040,"Y",'DEF_SELF_SCOUT_IMPORT'!$E$42:$E$1040,SUBSTITUTE(SUBSTITUTE(SUBSTITUTE($B1275,"~","~~"),"*","~*"),"?","~?"),'DEF_SELF_SCOUT_IMPORT'!$D$42:$D$1040,SUBSTITUTE(SUBSTITUTE(SUBSTITUTE($P1275,"~","~~"),"*","~*"),"?","~?"))</f>
        <v>4</v>
      </c>
      <c r="D1275" s="10">
        <f>IF($C1275=0,"",SUMIFS('DEF_SELF_SCOUT_IMPORT'!$J$42:$J$1040,'DEF_SELF_SCOUT_IMPORT'!$L$42:$L$1040,"Y",'DEF_SELF_SCOUT_IMPORT'!$E$42:$E$1040,SUBSTITUTE(SUBSTITUTE(SUBSTITUTE($B1275,"~","~~"),"*","~*"),"?","~?"),'DEF_SELF_SCOUT_IMPORT'!$D$42:$D$1040,SUBSTITUTE(SUBSTITUTE(SUBSTITUTE($P1275,"~","~~"),"*","~*"),"?","~?"))/$C1275)</f>
        <v>0.75</v>
      </c>
      <c r="E1275" s="10">
        <f>IF($C1275=0,"",SUMIFS('DEF_SELF_SCOUT_IMPORT'!$K$42:$K$1040,'DEF_SELF_SCOUT_IMPORT'!$L$42:$L$1040,"Y",'DEF_SELF_SCOUT_IMPORT'!$E$42:$E$1040,SUBSTITUTE(SUBSTITUTE(SUBSTITUTE($B1275,"~","~~"),"*","~*"),"?","~?"),'DEF_SELF_SCOUT_IMPORT'!$D$42:$D$1040,SUBSTITUTE(SUBSTITUTE(SUBSTITUTE($P1275,"~","~~"),"*","~*"),"?","~?"))/$C1275)</f>
        <v>0.0</v>
      </c>
      <c r="F1275" s="11">
        <f>IF($C1275=0,"",AVERAGEIFS('DEF_SELF_SCOUT_IMPORT'!$I$42:$I$1040,'DEF_SELF_SCOUT_IMPORT'!$L$42:$L$1040,"Y",'DEF_SELF_SCOUT_IMPORT'!$E$42:$E$1040,SUBSTITUTE(SUBSTITUTE(SUBSTITUTE($B1275,"~","~~"),"*","~*"),"?","~?"),'DEF_SELF_SCOUT_IMPORT'!$D$42:$D$1040,SUBSTITUTE(SUBSTITUTE(SUBSTITUTE($P1275,"~","~~"),"*","~*"),"?","~?")))</f>
        <v>3.75</v>
      </c>
      <c r="G1275" s="10">
        <f>IF($C1275=0,"",COUNTIFS('DEF_SELF_SCOUT_IMPORT'!$L$42:$L$1040,"Y",'DEF_SELF_SCOUT_IMPORT'!$E$42:$E$1040,SUBSTITUTE(SUBSTITUTE(SUBSTITUTE($B1275,"~","~~"),"*","~*"),"?","~?"),'DEF_SELF_SCOUT_IMPORT'!$D$42:$D$1040,SUBSTITUTE(SUBSTITUTE(SUBSTITUTE($P1275,"~","~~"),"*","~*"),"?","~?"),'DEF_SELF_SCOUT_IMPORT'!$H$42:$H$1040,"RUSH")/$C1275)</f>
        <v>0.0</v>
      </c>
      <c r="H1275" s="10">
        <f>IF($C1275=0,"",COUNTIFS('DEF_SELF_SCOUT_IMPORT'!$L$42:$L$1040,"Y",'DEF_SELF_SCOUT_IMPORT'!$E$42:$E$1040,SUBSTITUTE(SUBSTITUTE(SUBSTITUTE($B1275,"~","~~"),"*","~*"),"?","~?"),'DEF_SELF_SCOUT_IMPORT'!$D$42:$D$1040,SUBSTITUTE(SUBSTITUTE(SUBSTITUTE($P1275,"~","~~"),"*","~*"),"?","~?"),'DEF_SELF_SCOUT_IMPORT'!$H$42:$H$1040,"DROPBACK")/$C1275)</f>
        <v>1.0</v>
      </c>
      <c r="I1275" s="14" t="str">
        <f>IF(C1275=0,"",IF(C1275&lt;=2,"TRACK",IF(C1275=3,"LOW",IF(C1275&lt;=6,"MEDIUM","HIGH"))))</f>
        <v>MEDIUM</v>
      </c>
      <c r="J1275" s="11">
        <f>IF(C1275=0,"",ROUND(D1275*70+(1-E1275)*20+MAX(0,MIN(1,(10-F1275)/10))*10,1))</f>
        <v>78.8</v>
      </c>
      <c r="K1275" s="14" t="str">
        <f>IF(C1275=0,"No Evidence",IF(C1275&lt;=2,IF(E1275&gt;0,"Explosive Alert","Track Only"),IF(C1275=3,"Sample Watch",IF(E1275&gt;=START_HERE!$B$31,"Explosive Alert",IF(J1275&gt;=80,"Strong Candidate",IF(J1275&gt;=65,"Good Candidate",IF(J1275&gt;=50,"Mixed / Review","Problem Call")))))))</f>
        <v>Good Candidate</v>
      </c>
      <c r="L1275" s="9" t="str">
        <f>IF(COUNTIFS('DEF_SELF_SCOUT_IMPORT'!$L$42:$L$1040,"Y",'DEF_SELF_SCOUT_IMPORT'!$E$42:$E$1040,SUBSTITUTE(SUBSTITUTE(SUBSTITUTE($B1275,"~","~~"),"*","~*"),"?","~?"),'DEF_SELF_SCOUT_IMPORT'!$D$42:$D$1040,SUBSTITUTE(SUBSTITUTE(SUBSTITUTE($P1275,"~","~~"),"*","~*"),"?","~?"),'DEF_SELF_SCOUT_IMPORT'!$J$42:$J$1040,"")&gt;0,"Unscored clean outcome; review result tags before using score.",IF(C1275=0,"No matching defensive reps; film confirmation needed.",IF(K1275="Explosive Alert","Explosive risk; review clips before using as answer.",IF(C1275&lt;=2,"Track only; not enough sample.",IF(C1275=3,IF(E1275&gt;0,"Sample watch with explosive exposure; review clips and build the sample.",IF(J1275&gt;=65,"Good signal, but sample is limited.","Sample watch; review clips and build the sample.")),IF(K1275="Problem Call","Problem area; practice or call-sheet review.",IF(K1275="Strong Candidate","Strong call-fit candidate; confirm on film.",IF(K1275="Good Candidate","Good call-fit signal; confirm on film.","Mixed signal; review fit and execution on film."))))))))</f>
        <v>Good call-fit signal; confirm on film.</v>
      </c>
      <c r="M1275" s="8"/>
      <c r="N1275" s="8"/>
      <c r="O1275" s="8"/>
      <c r="P1275" s="8" t="s">
        <v>446</v>
      </c>
      <c r="Q1275" s="8"/>
      <c r="R1275" s="8" t="s">
        <v>636</v>
      </c>
      <c r="S1275" s="2" t="s">
        <v>635</v>
      </c>
      <c r="T1275" s="2">
        <f>IF(C1275=0,0,IF(C1275&gt;=CALL_LOOKUP_BOARD!$B$7,IF(OR(K1275="Problem Call",K1275="Explosive Alert"),10000000,20000000),0)+IF(C1275&gt;=CALL_LOOKUP_BOARD!$B$7,J1275*1000+MIN(C1275,999),C1275*1000+J1275)+0.00998800)</f>
        <v>20078804.009988</v>
      </c>
      <c r="U1275" s="2" t="str">
        <f>IF(C1275=0,"",IF(COUNTIFS($S$1264:$S$1440,SUBSTITUTE(SUBSTITUTE(SUBSTITUTE(S1275,"~","~~"),"*","~*"),"?","~?"),$T$1264:$T$1440,"&gt;"&amp;T1275)=0,S1275,""))</f>
        <v>6:3 STEP|</v>
      </c>
    </row>
    <row r="1276" spans="1:21" ht="38" customHeight="1">
      <c r="A1276" s="8" t="s">
        <v>446</v>
      </c>
      <c r="B1276" s="8" t="s">
        <v>73</v>
      </c>
      <c r="C1276" s="12">
        <f>COUNTIFS('DEF_SELF_SCOUT_IMPORT'!$L$42:$L$1040,"Y",'DEF_SELF_SCOUT_IMPORT'!$E$42:$E$1040,SUBSTITUTE(SUBSTITUTE(SUBSTITUTE($B1276,"~","~~"),"*","~*"),"?","~?"),'DEF_SELF_SCOUT_IMPORT'!$D$42:$D$1040,SUBSTITUTE(SUBSTITUTE(SUBSTITUTE($P1276,"~","~~"),"*","~*"),"?","~?"))</f>
        <v>1</v>
      </c>
      <c r="D1276" s="10">
        <f>IF($C1276=0,"",SUMIFS('DEF_SELF_SCOUT_IMPORT'!$J$42:$J$1040,'DEF_SELF_SCOUT_IMPORT'!$L$42:$L$1040,"Y",'DEF_SELF_SCOUT_IMPORT'!$E$42:$E$1040,SUBSTITUTE(SUBSTITUTE(SUBSTITUTE($B1276,"~","~~"),"*","~*"),"?","~?"),'DEF_SELF_SCOUT_IMPORT'!$D$42:$D$1040,SUBSTITUTE(SUBSTITUTE(SUBSTITUTE($P1276,"~","~~"),"*","~*"),"?","~?"))/$C1276)</f>
        <v>1.0</v>
      </c>
      <c r="E1276" s="10">
        <f>IF($C1276=0,"",SUMIFS('DEF_SELF_SCOUT_IMPORT'!$K$42:$K$1040,'DEF_SELF_SCOUT_IMPORT'!$L$42:$L$1040,"Y",'DEF_SELF_SCOUT_IMPORT'!$E$42:$E$1040,SUBSTITUTE(SUBSTITUTE(SUBSTITUTE($B1276,"~","~~"),"*","~*"),"?","~?"),'DEF_SELF_SCOUT_IMPORT'!$D$42:$D$1040,SUBSTITUTE(SUBSTITUTE(SUBSTITUTE($P1276,"~","~~"),"*","~*"),"?","~?"))/$C1276)</f>
        <v>0.0</v>
      </c>
      <c r="F1276" s="11">
        <f>IF($C1276=0,"",AVERAGEIFS('DEF_SELF_SCOUT_IMPORT'!$I$42:$I$1040,'DEF_SELF_SCOUT_IMPORT'!$L$42:$L$1040,"Y",'DEF_SELF_SCOUT_IMPORT'!$E$42:$E$1040,SUBSTITUTE(SUBSTITUTE(SUBSTITUTE($B1276,"~","~~"),"*","~*"),"?","~?"),'DEF_SELF_SCOUT_IMPORT'!$D$42:$D$1040,SUBSTITUTE(SUBSTITUTE(SUBSTITUTE($P1276,"~","~~"),"*","~*"),"?","~?")))</f>
        <v>0.0</v>
      </c>
      <c r="G1276" s="10">
        <f>IF($C1276=0,"",COUNTIFS('DEF_SELF_SCOUT_IMPORT'!$L$42:$L$1040,"Y",'DEF_SELF_SCOUT_IMPORT'!$E$42:$E$1040,SUBSTITUTE(SUBSTITUTE(SUBSTITUTE($B1276,"~","~~"),"*","~*"),"?","~?"),'DEF_SELF_SCOUT_IMPORT'!$D$42:$D$1040,SUBSTITUTE(SUBSTITUTE(SUBSTITUTE($P1276,"~","~~"),"*","~*"),"?","~?"),'DEF_SELF_SCOUT_IMPORT'!$H$42:$H$1040,"RUSH")/$C1276)</f>
        <v>0.0</v>
      </c>
      <c r="H1276" s="10">
        <f>IF($C1276=0,"",COUNTIFS('DEF_SELF_SCOUT_IMPORT'!$L$42:$L$1040,"Y",'DEF_SELF_SCOUT_IMPORT'!$E$42:$E$1040,SUBSTITUTE(SUBSTITUTE(SUBSTITUTE($B1276,"~","~~"),"*","~*"),"?","~?"),'DEF_SELF_SCOUT_IMPORT'!$D$42:$D$1040,SUBSTITUTE(SUBSTITUTE(SUBSTITUTE($P1276,"~","~~"),"*","~*"),"?","~?"),'DEF_SELF_SCOUT_IMPORT'!$H$42:$H$1040,"DROPBACK")/$C1276)</f>
        <v>1.0</v>
      </c>
      <c r="I1276" s="14" t="str">
        <f>IF(C1276=0,"",IF(C1276&lt;=2,"TRACK",IF(C1276=3,"LOW",IF(C1276&lt;=6,"MEDIUM","HIGH"))))</f>
        <v>TRACK</v>
      </c>
      <c r="J1276" s="11">
        <f>IF(C1276=0,"",ROUND(D1276*70+(1-E1276)*20+MAX(0,MIN(1,(10-F1276)/10))*10,1))</f>
        <v>100.0</v>
      </c>
      <c r="K1276" s="14" t="str">
        <f>IF(C1276=0,"No Evidence",IF(C1276&lt;=2,IF(E1276&gt;0,"Explosive Alert","Track Only"),IF(C1276=3,"Sample Watch",IF(E1276&gt;=START_HERE!$B$31,"Explosive Alert",IF(J1276&gt;=80,"Strong Candidate",IF(J1276&gt;=65,"Good Candidate",IF(J1276&gt;=50,"Mixed / Review","Problem Call")))))))</f>
        <v>Track Only</v>
      </c>
      <c r="L1276" s="9" t="str">
        <f>IF(COUNTIFS('DEF_SELF_SCOUT_IMPORT'!$L$42:$L$1040,"Y",'DEF_SELF_SCOUT_IMPORT'!$E$42:$E$1040,SUBSTITUTE(SUBSTITUTE(SUBSTITUTE($B1276,"~","~~"),"*","~*"),"?","~?"),'DEF_SELF_SCOUT_IMPORT'!$D$42:$D$1040,SUBSTITUTE(SUBSTITUTE(SUBSTITUTE($P1276,"~","~~"),"*","~*"),"?","~?"),'DEF_SELF_SCOUT_IMPORT'!$J$42:$J$1040,"")&gt;0,"Unscored clean outcome; review result tags before using score.",IF(C1276=0,"No matching defensive reps; film confirmation needed.",IF(K1276="Explosive Alert","Explosive risk; review clips before using as answer.",IF(C1276&lt;=2,"Track only; not enough sample.",IF(C1276=3,IF(E1276&gt;0,"Sample watch with explosive exposure; review clips and build the sample.",IF(J1276&gt;=65,"Good signal, but sample is limited.","Sample watch; review clips and build the sample.")),IF(K1276="Problem Call","Problem area; practice or call-sheet review.",IF(K1276="Strong Candidate","Strong call-fit candidate; confirm on film.",IF(K1276="Good Candidate","Good call-fit signal; confirm on film.","Mixed signal; review fit and execution on film."))))))))</f>
        <v>Track only; not enough sample.</v>
      </c>
      <c r="M1276" s="8"/>
      <c r="N1276" s="8"/>
      <c r="O1276" s="8"/>
      <c r="P1276" s="8" t="s">
        <v>446</v>
      </c>
      <c r="Q1276" s="8"/>
      <c r="R1276" s="8" t="s">
        <v>633</v>
      </c>
      <c r="S1276" s="2" t="s">
        <v>635</v>
      </c>
      <c r="T1276" s="2">
        <f>IF(C1276=0,0,IF(C1276&gt;=CALL_LOOKUP_BOARD!$B$7,IF(OR(K1276="Problem Call",K1276="Explosive Alert"),10000000,20000000),0)+IF(C1276&gt;=CALL_LOOKUP_BOARD!$B$7,J1276*1000+MIN(C1276,999),C1276*1000+J1276)+0.00998700)</f>
        <v>1100.009987</v>
      </c>
      <c r="U1276" s="2">
        <f>IF(C1276=0,"",IF(COUNTIFS($S$1264:$S$1440,SUBSTITUTE(SUBSTITUTE(SUBSTITUTE(S1276,"~","~~"),"*","~*"),"?","~?"),$T$1264:$T$1440,"&gt;"&amp;T1276)=0,S1276,""))</f>
        <v/>
      </c>
    </row>
    <row r="1277" spans="1:21" ht="38" customHeight="1">
      <c r="A1277" s="8" t="s">
        <v>446</v>
      </c>
      <c r="B1277" s="8" t="s">
        <v>101</v>
      </c>
      <c r="C1277" s="12">
        <f>COUNTIFS('DEF_SELF_SCOUT_IMPORT'!$L$42:$L$1040,"Y",'DEF_SELF_SCOUT_IMPORT'!$E$42:$E$1040,SUBSTITUTE(SUBSTITUTE(SUBSTITUTE($B1277,"~","~~"),"*","~*"),"?","~?"),'DEF_SELF_SCOUT_IMPORT'!$D$42:$D$1040,SUBSTITUTE(SUBSTITUTE(SUBSTITUTE($P1277,"~","~~"),"*","~*"),"?","~?"))</f>
        <v>1</v>
      </c>
      <c r="D1277" s="10">
        <f>IF($C1277=0,"",SUMIFS('DEF_SELF_SCOUT_IMPORT'!$J$42:$J$1040,'DEF_SELF_SCOUT_IMPORT'!$L$42:$L$1040,"Y",'DEF_SELF_SCOUT_IMPORT'!$E$42:$E$1040,SUBSTITUTE(SUBSTITUTE(SUBSTITUTE($B1277,"~","~~"),"*","~*"),"?","~?"),'DEF_SELF_SCOUT_IMPORT'!$D$42:$D$1040,SUBSTITUTE(SUBSTITUTE(SUBSTITUTE($P1277,"~","~~"),"*","~*"),"?","~?"))/$C1277)</f>
        <v>1.0</v>
      </c>
      <c r="E1277" s="10">
        <f>IF($C1277=0,"",SUMIFS('DEF_SELF_SCOUT_IMPORT'!$K$42:$K$1040,'DEF_SELF_SCOUT_IMPORT'!$L$42:$L$1040,"Y",'DEF_SELF_SCOUT_IMPORT'!$E$42:$E$1040,SUBSTITUTE(SUBSTITUTE(SUBSTITUTE($B1277,"~","~~"),"*","~*"),"?","~?"),'DEF_SELF_SCOUT_IMPORT'!$D$42:$D$1040,SUBSTITUTE(SUBSTITUTE(SUBSTITUTE($P1277,"~","~~"),"*","~*"),"?","~?"))/$C1277)</f>
        <v>0.0</v>
      </c>
      <c r="F1277" s="11">
        <f>IF($C1277=0,"",AVERAGEIFS('DEF_SELF_SCOUT_IMPORT'!$I$42:$I$1040,'DEF_SELF_SCOUT_IMPORT'!$L$42:$L$1040,"Y",'DEF_SELF_SCOUT_IMPORT'!$E$42:$E$1040,SUBSTITUTE(SUBSTITUTE(SUBSTITUTE($B1277,"~","~~"),"*","~*"),"?","~?"),'DEF_SELF_SCOUT_IMPORT'!$D$42:$D$1040,SUBSTITUTE(SUBSTITUTE(SUBSTITUTE($P1277,"~","~~"),"*","~*"),"?","~?")))</f>
        <v>5.0</v>
      </c>
      <c r="G1277" s="10">
        <f>IF($C1277=0,"",COUNTIFS('DEF_SELF_SCOUT_IMPORT'!$L$42:$L$1040,"Y",'DEF_SELF_SCOUT_IMPORT'!$E$42:$E$1040,SUBSTITUTE(SUBSTITUTE(SUBSTITUTE($B1277,"~","~~"),"*","~*"),"?","~?"),'DEF_SELF_SCOUT_IMPORT'!$D$42:$D$1040,SUBSTITUTE(SUBSTITUTE(SUBSTITUTE($P1277,"~","~~"),"*","~*"),"?","~?"),'DEF_SELF_SCOUT_IMPORT'!$H$42:$H$1040,"RUSH")/$C1277)</f>
        <v>0.0</v>
      </c>
      <c r="H1277" s="10">
        <f>IF($C1277=0,"",COUNTIFS('DEF_SELF_SCOUT_IMPORT'!$L$42:$L$1040,"Y",'DEF_SELF_SCOUT_IMPORT'!$E$42:$E$1040,SUBSTITUTE(SUBSTITUTE(SUBSTITUTE($B1277,"~","~~"),"*","~*"),"?","~?"),'DEF_SELF_SCOUT_IMPORT'!$D$42:$D$1040,SUBSTITUTE(SUBSTITUTE(SUBSTITUTE($P1277,"~","~~"),"*","~*"),"?","~?"),'DEF_SELF_SCOUT_IMPORT'!$H$42:$H$1040,"DROPBACK")/$C1277)</f>
        <v>1.0</v>
      </c>
      <c r="I1277" s="14" t="str">
        <f>IF(C1277=0,"",IF(C1277&lt;=2,"TRACK",IF(C1277=3,"LOW",IF(C1277&lt;=6,"MEDIUM","HIGH"))))</f>
        <v>TRACK</v>
      </c>
      <c r="J1277" s="11">
        <f>IF(C1277=0,"",ROUND(D1277*70+(1-E1277)*20+MAX(0,MIN(1,(10-F1277)/10))*10,1))</f>
        <v>95.0</v>
      </c>
      <c r="K1277" s="14" t="str">
        <f>IF(C1277=0,"No Evidence",IF(C1277&lt;=2,IF(E1277&gt;0,"Explosive Alert","Track Only"),IF(C1277=3,"Sample Watch",IF(E1277&gt;=START_HERE!$B$31,"Explosive Alert",IF(J1277&gt;=80,"Strong Candidate",IF(J1277&gt;=65,"Good Candidate",IF(J1277&gt;=50,"Mixed / Review","Problem Call")))))))</f>
        <v>Track Only</v>
      </c>
      <c r="L1277" s="9" t="str">
        <f>IF(COUNTIFS('DEF_SELF_SCOUT_IMPORT'!$L$42:$L$1040,"Y",'DEF_SELF_SCOUT_IMPORT'!$E$42:$E$1040,SUBSTITUTE(SUBSTITUTE(SUBSTITUTE($B1277,"~","~~"),"*","~*"),"?","~?"),'DEF_SELF_SCOUT_IMPORT'!$D$42:$D$1040,SUBSTITUTE(SUBSTITUTE(SUBSTITUTE($P1277,"~","~~"),"*","~*"),"?","~?"),'DEF_SELF_SCOUT_IMPORT'!$J$42:$J$1040,"")&gt;0,"Unscored clean outcome; review result tags before using score.",IF(C1277=0,"No matching defensive reps; film confirmation needed.",IF(K1277="Explosive Alert","Explosive risk; review clips before using as answer.",IF(C1277&lt;=2,"Track only; not enough sample.",IF(C1277=3,IF(E1277&gt;0,"Sample watch with explosive exposure; review clips and build the sample.",IF(J1277&gt;=65,"Good signal, but sample is limited.","Sample watch; review clips and build the sample.")),IF(K1277="Problem Call","Problem area; practice or call-sheet review.",IF(K1277="Strong Candidate","Strong call-fit candidate; confirm on film.",IF(K1277="Good Candidate","Good call-fit signal; confirm on film.","Mixed signal; review fit and execution on film."))))))))</f>
        <v>Track only; not enough sample.</v>
      </c>
      <c r="M1277" s="8"/>
      <c r="N1277" s="8"/>
      <c r="O1277" s="8"/>
      <c r="P1277" s="8" t="s">
        <v>446</v>
      </c>
      <c r="Q1277" s="8"/>
      <c r="R1277" s="8" t="s">
        <v>633</v>
      </c>
      <c r="S1277" s="2" t="s">
        <v>635</v>
      </c>
      <c r="T1277" s="2">
        <f>IF(C1277=0,0,IF(C1277&gt;=CALL_LOOKUP_BOARD!$B$7,IF(OR(K1277="Problem Call",K1277="Explosive Alert"),10000000,20000000),0)+IF(C1277&gt;=CALL_LOOKUP_BOARD!$B$7,J1277*1000+MIN(C1277,999),C1277*1000+J1277)+0.00998600)</f>
        <v>1095.009986</v>
      </c>
      <c r="U1277" s="2">
        <f>IF(C1277=0,"",IF(COUNTIFS($S$1264:$S$1440,SUBSTITUTE(SUBSTITUTE(SUBSTITUTE(S1277,"~","~~"),"*","~*"),"?","~?"),$T$1264:$T$1440,"&gt;"&amp;T1277)=0,S1277,""))</f>
        <v/>
      </c>
    </row>
    <row r="1278" spans="1:21" ht="38" customHeight="1">
      <c r="A1278" s="8" t="s">
        <v>446</v>
      </c>
      <c r="B1278" s="8" t="s">
        <v>90</v>
      </c>
      <c r="C1278" s="12">
        <f>COUNTIFS('DEF_SELF_SCOUT_IMPORT'!$L$42:$L$1040,"Y",'DEF_SELF_SCOUT_IMPORT'!$E$42:$E$1040,SUBSTITUTE(SUBSTITUTE(SUBSTITUTE($B1278,"~","~~"),"*","~*"),"?","~?"),'DEF_SELF_SCOUT_IMPORT'!$D$42:$D$1040,SUBSTITUTE(SUBSTITUTE(SUBSTITUTE($P1278,"~","~~"),"*","~*"),"?","~?"))</f>
        <v>1</v>
      </c>
      <c r="D1278" s="10">
        <f>IF($C1278=0,"",SUMIFS('DEF_SELF_SCOUT_IMPORT'!$J$42:$J$1040,'DEF_SELF_SCOUT_IMPORT'!$L$42:$L$1040,"Y",'DEF_SELF_SCOUT_IMPORT'!$E$42:$E$1040,SUBSTITUTE(SUBSTITUTE(SUBSTITUTE($B1278,"~","~~"),"*","~*"),"?","~?"),'DEF_SELF_SCOUT_IMPORT'!$D$42:$D$1040,SUBSTITUTE(SUBSTITUTE(SUBSTITUTE($P1278,"~","~~"),"*","~*"),"?","~?"))/$C1278)</f>
        <v>1.0</v>
      </c>
      <c r="E1278" s="10">
        <f>IF($C1278=0,"",SUMIFS('DEF_SELF_SCOUT_IMPORT'!$K$42:$K$1040,'DEF_SELF_SCOUT_IMPORT'!$L$42:$L$1040,"Y",'DEF_SELF_SCOUT_IMPORT'!$E$42:$E$1040,SUBSTITUTE(SUBSTITUTE(SUBSTITUTE($B1278,"~","~~"),"*","~*"),"?","~?"),'DEF_SELF_SCOUT_IMPORT'!$D$42:$D$1040,SUBSTITUTE(SUBSTITUTE(SUBSTITUTE($P1278,"~","~~"),"*","~*"),"?","~?"))/$C1278)</f>
        <v>0.0</v>
      </c>
      <c r="F1278" s="11">
        <f>IF($C1278=0,"",AVERAGEIFS('DEF_SELF_SCOUT_IMPORT'!$I$42:$I$1040,'DEF_SELF_SCOUT_IMPORT'!$L$42:$L$1040,"Y",'DEF_SELF_SCOUT_IMPORT'!$E$42:$E$1040,SUBSTITUTE(SUBSTITUTE(SUBSTITUTE($B1278,"~","~~"),"*","~*"),"?","~?"),'DEF_SELF_SCOUT_IMPORT'!$D$42:$D$1040,SUBSTITUTE(SUBSTITUTE(SUBSTITUTE($P1278,"~","~~"),"*","~*"),"?","~?")))</f>
        <v>0.0</v>
      </c>
      <c r="G1278" s="10">
        <f>IF($C1278=0,"",COUNTIFS('DEF_SELF_SCOUT_IMPORT'!$L$42:$L$1040,"Y",'DEF_SELF_SCOUT_IMPORT'!$E$42:$E$1040,SUBSTITUTE(SUBSTITUTE(SUBSTITUTE($B1278,"~","~~"),"*","~*"),"?","~?"),'DEF_SELF_SCOUT_IMPORT'!$D$42:$D$1040,SUBSTITUTE(SUBSTITUTE(SUBSTITUTE($P1278,"~","~~"),"*","~*"),"?","~?"),'DEF_SELF_SCOUT_IMPORT'!$H$42:$H$1040,"RUSH")/$C1278)</f>
        <v>0.0</v>
      </c>
      <c r="H1278" s="10">
        <f>IF($C1278=0,"",COUNTIFS('DEF_SELF_SCOUT_IMPORT'!$L$42:$L$1040,"Y",'DEF_SELF_SCOUT_IMPORT'!$E$42:$E$1040,SUBSTITUTE(SUBSTITUTE(SUBSTITUTE($B1278,"~","~~"),"*","~*"),"?","~?"),'DEF_SELF_SCOUT_IMPORT'!$D$42:$D$1040,SUBSTITUTE(SUBSTITUTE(SUBSTITUTE($P1278,"~","~~"),"*","~*"),"?","~?"),'DEF_SELF_SCOUT_IMPORT'!$H$42:$H$1040,"DROPBACK")/$C1278)</f>
        <v>1.0</v>
      </c>
      <c r="I1278" s="14" t="str">
        <f>IF(C1278=0,"",IF(C1278&lt;=2,"TRACK",IF(C1278=3,"LOW",IF(C1278&lt;=6,"MEDIUM","HIGH"))))</f>
        <v>TRACK</v>
      </c>
      <c r="J1278" s="11">
        <f>IF(C1278=0,"",ROUND(D1278*70+(1-E1278)*20+MAX(0,MIN(1,(10-F1278)/10))*10,1))</f>
        <v>100.0</v>
      </c>
      <c r="K1278" s="14" t="str">
        <f>IF(C1278=0,"No Evidence",IF(C1278&lt;=2,IF(E1278&gt;0,"Explosive Alert","Track Only"),IF(C1278=3,"Sample Watch",IF(E1278&gt;=START_HERE!$B$31,"Explosive Alert",IF(J1278&gt;=80,"Strong Candidate",IF(J1278&gt;=65,"Good Candidate",IF(J1278&gt;=50,"Mixed / Review","Problem Call")))))))</f>
        <v>Track Only</v>
      </c>
      <c r="L1278" s="9" t="str">
        <f>IF(COUNTIFS('DEF_SELF_SCOUT_IMPORT'!$L$42:$L$1040,"Y",'DEF_SELF_SCOUT_IMPORT'!$E$42:$E$1040,SUBSTITUTE(SUBSTITUTE(SUBSTITUTE($B1278,"~","~~"),"*","~*"),"?","~?"),'DEF_SELF_SCOUT_IMPORT'!$D$42:$D$1040,SUBSTITUTE(SUBSTITUTE(SUBSTITUTE($P1278,"~","~~"),"*","~*"),"?","~?"),'DEF_SELF_SCOUT_IMPORT'!$J$42:$J$1040,"")&gt;0,"Unscored clean outcome; review result tags before using score.",IF(C1278=0,"No matching defensive reps; film confirmation needed.",IF(K1278="Explosive Alert","Explosive risk; review clips before using as answer.",IF(C1278&lt;=2,"Track only; not enough sample.",IF(C1278=3,IF(E1278&gt;0,"Sample watch with explosive exposure; review clips and build the sample.",IF(J1278&gt;=65,"Good signal, but sample is limited.","Sample watch; review clips and build the sample.")),IF(K1278="Problem Call","Problem area; practice or call-sheet review.",IF(K1278="Strong Candidate","Strong call-fit candidate; confirm on film.",IF(K1278="Good Candidate","Good call-fit signal; confirm on film.","Mixed signal; review fit and execution on film."))))))))</f>
        <v>Track only; not enough sample.</v>
      </c>
      <c r="M1278" s="8"/>
      <c r="N1278" s="8"/>
      <c r="O1278" s="8"/>
      <c r="P1278" s="8" t="s">
        <v>446</v>
      </c>
      <c r="Q1278" s="8"/>
      <c r="R1278" s="8" t="s">
        <v>633</v>
      </c>
      <c r="S1278" s="2" t="s">
        <v>635</v>
      </c>
      <c r="T1278" s="2">
        <f>IF(C1278=0,0,IF(C1278&gt;=CALL_LOOKUP_BOARD!$B$7,IF(OR(K1278="Problem Call",K1278="Explosive Alert"),10000000,20000000),0)+IF(C1278&gt;=CALL_LOOKUP_BOARD!$B$7,J1278*1000+MIN(C1278,999),C1278*1000+J1278)+0.00998500)</f>
        <v>1100.009985</v>
      </c>
      <c r="U1278" s="2">
        <f>IF(C1278=0,"",IF(COUNTIFS($S$1264:$S$1440,SUBSTITUTE(SUBSTITUTE(SUBSTITUTE(S1278,"~","~~"),"*","~*"),"?","~?"),$T$1264:$T$1440,"&gt;"&amp;T1278)=0,S1278,""))</f>
        <v/>
      </c>
    </row>
    <row r="1279" spans="1:21" ht="38" customHeight="1">
      <c r="A1279" s="8" t="s">
        <v>446</v>
      </c>
      <c r="B1279" s="8" t="s">
        <v>63</v>
      </c>
      <c r="C1279" s="12">
        <f>COUNTIFS('DEF_SELF_SCOUT_IMPORT'!$L$42:$L$1040,"Y",'DEF_SELF_SCOUT_IMPORT'!$E$42:$E$1040,SUBSTITUTE(SUBSTITUTE(SUBSTITUTE($B1279,"~","~~"),"*","~*"),"?","~?"),'DEF_SELF_SCOUT_IMPORT'!$D$42:$D$1040,SUBSTITUTE(SUBSTITUTE(SUBSTITUTE($P1279,"~","~~"),"*","~*"),"?","~?"))</f>
        <v>2</v>
      </c>
      <c r="D1279" s="10">
        <f>IF($C1279=0,"",SUMIFS('DEF_SELF_SCOUT_IMPORT'!$J$42:$J$1040,'DEF_SELF_SCOUT_IMPORT'!$L$42:$L$1040,"Y",'DEF_SELF_SCOUT_IMPORT'!$E$42:$E$1040,SUBSTITUTE(SUBSTITUTE(SUBSTITUTE($B1279,"~","~~"),"*","~*"),"?","~?"),'DEF_SELF_SCOUT_IMPORT'!$D$42:$D$1040,SUBSTITUTE(SUBSTITUTE(SUBSTITUTE($P1279,"~","~~"),"*","~*"),"?","~?"))/$C1279)</f>
        <v>0.0</v>
      </c>
      <c r="E1279" s="10">
        <f>IF($C1279=0,"",SUMIFS('DEF_SELF_SCOUT_IMPORT'!$K$42:$K$1040,'DEF_SELF_SCOUT_IMPORT'!$L$42:$L$1040,"Y",'DEF_SELF_SCOUT_IMPORT'!$E$42:$E$1040,SUBSTITUTE(SUBSTITUTE(SUBSTITUTE($B1279,"~","~~"),"*","~*"),"?","~?"),'DEF_SELF_SCOUT_IMPORT'!$D$42:$D$1040,SUBSTITUTE(SUBSTITUTE(SUBSTITUTE($P1279,"~","~~"),"*","~*"),"?","~?"))/$C1279)</f>
        <v>0.5</v>
      </c>
      <c r="F1279" s="11">
        <f>IF($C1279=0,"",AVERAGEIFS('DEF_SELF_SCOUT_IMPORT'!$I$42:$I$1040,'DEF_SELF_SCOUT_IMPORT'!$L$42:$L$1040,"Y",'DEF_SELF_SCOUT_IMPORT'!$E$42:$E$1040,SUBSTITUTE(SUBSTITUTE(SUBSTITUTE($B1279,"~","~~"),"*","~*"),"?","~?"),'DEF_SELF_SCOUT_IMPORT'!$D$42:$D$1040,SUBSTITUTE(SUBSTITUTE(SUBSTITUTE($P1279,"~","~~"),"*","~*"),"?","~?")))</f>
        <v>13.0</v>
      </c>
      <c r="G1279" s="10">
        <f>IF($C1279=0,"",COUNTIFS('DEF_SELF_SCOUT_IMPORT'!$L$42:$L$1040,"Y",'DEF_SELF_SCOUT_IMPORT'!$E$42:$E$1040,SUBSTITUTE(SUBSTITUTE(SUBSTITUTE($B1279,"~","~~"),"*","~*"),"?","~?"),'DEF_SELF_SCOUT_IMPORT'!$D$42:$D$1040,SUBSTITUTE(SUBSTITUTE(SUBSTITUTE($P1279,"~","~~"),"*","~*"),"?","~?"),'DEF_SELF_SCOUT_IMPORT'!$H$42:$H$1040,"RUSH")/$C1279)</f>
        <v>0.0</v>
      </c>
      <c r="H1279" s="10">
        <f>IF($C1279=0,"",COUNTIFS('DEF_SELF_SCOUT_IMPORT'!$L$42:$L$1040,"Y",'DEF_SELF_SCOUT_IMPORT'!$E$42:$E$1040,SUBSTITUTE(SUBSTITUTE(SUBSTITUTE($B1279,"~","~~"),"*","~*"),"?","~?"),'DEF_SELF_SCOUT_IMPORT'!$D$42:$D$1040,SUBSTITUTE(SUBSTITUTE(SUBSTITUTE($P1279,"~","~~"),"*","~*"),"?","~?"),'DEF_SELF_SCOUT_IMPORT'!$H$42:$H$1040,"DROPBACK")/$C1279)</f>
        <v>1.0</v>
      </c>
      <c r="I1279" s="14" t="str">
        <f>IF(C1279=0,"",IF(C1279&lt;=2,"TRACK",IF(C1279=3,"LOW",IF(C1279&lt;=6,"MEDIUM","HIGH"))))</f>
        <v>TRACK</v>
      </c>
      <c r="J1279" s="11">
        <f>IF(C1279=0,"",ROUND(D1279*70+(1-E1279)*20+MAX(0,MIN(1,(10-F1279)/10))*10,1))</f>
        <v>10.0</v>
      </c>
      <c r="K1279" s="14" t="str">
        <f>IF(C1279=0,"No Evidence",IF(C1279&lt;=2,IF(E1279&gt;0,"Explosive Alert","Track Only"),IF(C1279=3,"Sample Watch",IF(E1279&gt;=START_HERE!$B$31,"Explosive Alert",IF(J1279&gt;=80,"Strong Candidate",IF(J1279&gt;=65,"Good Candidate",IF(J1279&gt;=50,"Mixed / Review","Problem Call")))))))</f>
        <v>Explosive Alert</v>
      </c>
      <c r="L1279" s="9" t="str">
        <f>IF(COUNTIFS('DEF_SELF_SCOUT_IMPORT'!$L$42:$L$1040,"Y",'DEF_SELF_SCOUT_IMPORT'!$E$42:$E$1040,SUBSTITUTE(SUBSTITUTE(SUBSTITUTE($B1279,"~","~~"),"*","~*"),"?","~?"),'DEF_SELF_SCOUT_IMPORT'!$D$42:$D$1040,SUBSTITUTE(SUBSTITUTE(SUBSTITUTE($P1279,"~","~~"),"*","~*"),"?","~?"),'DEF_SELF_SCOUT_IMPORT'!$J$42:$J$1040,"")&gt;0,"Unscored clean outcome; review result tags before using score.",IF(C1279=0,"No matching defensive reps; film confirmation needed.",IF(K1279="Explosive Alert","Explosive risk; review clips before using as answer.",IF(C1279&lt;=2,"Track only; not enough sample.",IF(C1279=3,IF(E1279&gt;0,"Sample watch with explosive exposure; review clips and build the sample.",IF(J1279&gt;=65,"Good signal, but sample is limited.","Sample watch; review clips and build the sample.")),IF(K1279="Problem Call","Problem area; practice or call-sheet review.",IF(K1279="Strong Candidate","Strong call-fit candidate; confirm on film.",IF(K1279="Good Candidate","Good call-fit signal; confirm on film.","Mixed signal; review fit and execution on film."))))))))</f>
        <v>Explosive risk; review clips before using as answer.</v>
      </c>
      <c r="M1279" s="8"/>
      <c r="N1279" s="8"/>
      <c r="O1279" s="8"/>
      <c r="P1279" s="8" t="s">
        <v>446</v>
      </c>
      <c r="Q1279" s="8"/>
      <c r="R1279" s="8" t="s">
        <v>633</v>
      </c>
      <c r="S1279" s="2" t="s">
        <v>635</v>
      </c>
      <c r="T1279" s="2">
        <f>IF(C1279=0,0,IF(C1279&gt;=CALL_LOOKUP_BOARD!$B$7,IF(OR(K1279="Problem Call",K1279="Explosive Alert"),10000000,20000000),0)+IF(C1279&gt;=CALL_LOOKUP_BOARD!$B$7,J1279*1000+MIN(C1279,999),C1279*1000+J1279)+0.00998400)</f>
        <v>2010.009984</v>
      </c>
      <c r="U1279" s="2">
        <f>IF(C1279=0,"",IF(COUNTIFS($S$1264:$S$1440,SUBSTITUTE(SUBSTITUTE(SUBSTITUTE(S1279,"~","~~"),"*","~*"),"?","~?"),$T$1264:$T$1440,"&gt;"&amp;T1279)=0,S1279,""))</f>
        <v/>
      </c>
    </row>
    <row r="1280" spans="1:21" ht="38" customHeight="1">
      <c r="A1280" s="8" t="s">
        <v>446</v>
      </c>
      <c r="B1280" s="8" t="s">
        <v>65</v>
      </c>
      <c r="C1280" s="12">
        <f>COUNTIFS('DEF_SELF_SCOUT_IMPORT'!$L$42:$L$1040,"Y",'DEF_SELF_SCOUT_IMPORT'!$E$42:$E$1040,SUBSTITUTE(SUBSTITUTE(SUBSTITUTE($B1280,"~","~~"),"*","~*"),"?","~?"),'DEF_SELF_SCOUT_IMPORT'!$D$42:$D$1040,SUBSTITUTE(SUBSTITUTE(SUBSTITUTE($P1280,"~","~~"),"*","~*"),"?","~?"))</f>
        <v>2</v>
      </c>
      <c r="D1280" s="10">
        <f>IF($C1280=0,"",SUMIFS('DEF_SELF_SCOUT_IMPORT'!$J$42:$J$1040,'DEF_SELF_SCOUT_IMPORT'!$L$42:$L$1040,"Y",'DEF_SELF_SCOUT_IMPORT'!$E$42:$E$1040,SUBSTITUTE(SUBSTITUTE(SUBSTITUTE($B1280,"~","~~"),"*","~*"),"?","~?"),'DEF_SELF_SCOUT_IMPORT'!$D$42:$D$1040,SUBSTITUTE(SUBSTITUTE(SUBSTITUTE($P1280,"~","~~"),"*","~*"),"?","~?"))/$C1280)</f>
        <v>0.5</v>
      </c>
      <c r="E1280" s="10">
        <f>IF($C1280=0,"",SUMIFS('DEF_SELF_SCOUT_IMPORT'!$K$42:$K$1040,'DEF_SELF_SCOUT_IMPORT'!$L$42:$L$1040,"Y",'DEF_SELF_SCOUT_IMPORT'!$E$42:$E$1040,SUBSTITUTE(SUBSTITUTE(SUBSTITUTE($B1280,"~","~~"),"*","~*"),"?","~?"),'DEF_SELF_SCOUT_IMPORT'!$D$42:$D$1040,SUBSTITUTE(SUBSTITUTE(SUBSTITUTE($P1280,"~","~~"),"*","~*"),"?","~?"))/$C1280)</f>
        <v>0.0</v>
      </c>
      <c r="F1280" s="11">
        <f>IF($C1280=0,"",AVERAGEIFS('DEF_SELF_SCOUT_IMPORT'!$I$42:$I$1040,'DEF_SELF_SCOUT_IMPORT'!$L$42:$L$1040,"Y",'DEF_SELF_SCOUT_IMPORT'!$E$42:$E$1040,SUBSTITUTE(SUBSTITUTE(SUBSTITUTE($B1280,"~","~~"),"*","~*"),"?","~?"),'DEF_SELF_SCOUT_IMPORT'!$D$42:$D$1040,SUBSTITUTE(SUBSTITUTE(SUBSTITUTE($P1280,"~","~~"),"*","~*"),"?","~?")))</f>
        <v>2.5</v>
      </c>
      <c r="G1280" s="10">
        <f>IF($C1280=0,"",COUNTIFS('DEF_SELF_SCOUT_IMPORT'!$L$42:$L$1040,"Y",'DEF_SELF_SCOUT_IMPORT'!$E$42:$E$1040,SUBSTITUTE(SUBSTITUTE(SUBSTITUTE($B1280,"~","~~"),"*","~*"),"?","~?"),'DEF_SELF_SCOUT_IMPORT'!$D$42:$D$1040,SUBSTITUTE(SUBSTITUTE(SUBSTITUTE($P1280,"~","~~"),"*","~*"),"?","~?"),'DEF_SELF_SCOUT_IMPORT'!$H$42:$H$1040,"RUSH")/$C1280)</f>
        <v>0.0</v>
      </c>
      <c r="H1280" s="10">
        <f>IF($C1280=0,"",COUNTIFS('DEF_SELF_SCOUT_IMPORT'!$L$42:$L$1040,"Y",'DEF_SELF_SCOUT_IMPORT'!$E$42:$E$1040,SUBSTITUTE(SUBSTITUTE(SUBSTITUTE($B1280,"~","~~"),"*","~*"),"?","~?"),'DEF_SELF_SCOUT_IMPORT'!$D$42:$D$1040,SUBSTITUTE(SUBSTITUTE(SUBSTITUTE($P1280,"~","~~"),"*","~*"),"?","~?"),'DEF_SELF_SCOUT_IMPORT'!$H$42:$H$1040,"DROPBACK")/$C1280)</f>
        <v>1.0</v>
      </c>
      <c r="I1280" s="14" t="str">
        <f>IF(C1280=0,"",IF(C1280&lt;=2,"TRACK",IF(C1280=3,"LOW",IF(C1280&lt;=6,"MEDIUM","HIGH"))))</f>
        <v>TRACK</v>
      </c>
      <c r="J1280" s="11">
        <f>IF(C1280=0,"",ROUND(D1280*70+(1-E1280)*20+MAX(0,MIN(1,(10-F1280)/10))*10,1))</f>
        <v>62.5</v>
      </c>
      <c r="K1280" s="14" t="str">
        <f>IF(C1280=0,"No Evidence",IF(C1280&lt;=2,IF(E1280&gt;0,"Explosive Alert","Track Only"),IF(C1280=3,"Sample Watch",IF(E1280&gt;=START_HERE!$B$31,"Explosive Alert",IF(J1280&gt;=80,"Strong Candidate",IF(J1280&gt;=65,"Good Candidate",IF(J1280&gt;=50,"Mixed / Review","Problem Call")))))))</f>
        <v>Track Only</v>
      </c>
      <c r="L1280" s="9" t="str">
        <f>IF(COUNTIFS('DEF_SELF_SCOUT_IMPORT'!$L$42:$L$1040,"Y",'DEF_SELF_SCOUT_IMPORT'!$E$42:$E$1040,SUBSTITUTE(SUBSTITUTE(SUBSTITUTE($B1280,"~","~~"),"*","~*"),"?","~?"),'DEF_SELF_SCOUT_IMPORT'!$D$42:$D$1040,SUBSTITUTE(SUBSTITUTE(SUBSTITUTE($P1280,"~","~~"),"*","~*"),"?","~?"),'DEF_SELF_SCOUT_IMPORT'!$J$42:$J$1040,"")&gt;0,"Unscored clean outcome; review result tags before using score.",IF(C1280=0,"No matching defensive reps; film confirmation needed.",IF(K1280="Explosive Alert","Explosive risk; review clips before using as answer.",IF(C1280&lt;=2,"Track only; not enough sample.",IF(C1280=3,IF(E1280&gt;0,"Sample watch with explosive exposure; review clips and build the sample.",IF(J1280&gt;=65,"Good signal, but sample is limited.","Sample watch; review clips and build the sample.")),IF(K1280="Problem Call","Problem area; practice or call-sheet review.",IF(K1280="Strong Candidate","Strong call-fit candidate; confirm on film.",IF(K1280="Good Candidate","Good call-fit signal; confirm on film.","Mixed signal; review fit and execution on film."))))))))</f>
        <v>Track only; not enough sample.</v>
      </c>
      <c r="M1280" s="8"/>
      <c r="N1280" s="8"/>
      <c r="O1280" s="8"/>
      <c r="P1280" s="8" t="s">
        <v>446</v>
      </c>
      <c r="Q1280" s="8"/>
      <c r="R1280" s="8" t="s">
        <v>633</v>
      </c>
      <c r="S1280" s="2" t="s">
        <v>635</v>
      </c>
      <c r="T1280" s="2">
        <f>IF(C1280=0,0,IF(C1280&gt;=CALL_LOOKUP_BOARD!$B$7,IF(OR(K1280="Problem Call",K1280="Explosive Alert"),10000000,20000000),0)+IF(C1280&gt;=CALL_LOOKUP_BOARD!$B$7,J1280*1000+MIN(C1280,999),C1280*1000+J1280)+0.00998300)</f>
        <v>2062.509983</v>
      </c>
      <c r="U1280" s="2">
        <f>IF(C1280=0,"",IF(COUNTIFS($S$1264:$S$1440,SUBSTITUTE(SUBSTITUTE(SUBSTITUTE(S1280,"~","~~"),"*","~*"),"?","~?"),$T$1264:$T$1440,"&gt;"&amp;T1280)=0,S1280,""))</f>
        <v/>
      </c>
    </row>
    <row r="1281" spans="1:21" ht="38" customHeight="1">
      <c r="A1281" s="8" t="s">
        <v>449</v>
      </c>
      <c r="B1281" s="8" t="s">
        <v>93</v>
      </c>
      <c r="C1281" s="12">
        <f>COUNTIFS('DEF_SELF_SCOUT_IMPORT'!$L$42:$L$1040,"Y",'DEF_SELF_SCOUT_IMPORT'!$E$42:$E$1040,SUBSTITUTE(SUBSTITUTE(SUBSTITUTE($B1281,"~","~~"),"*","~*"),"?","~?"),'DEF_SELF_SCOUT_IMPORT'!$D$42:$D$1040,SUBSTITUTE(SUBSTITUTE(SUBSTITUTE($P1281,"~","~~"),"*","~*"),"?","~?"))</f>
        <v>2</v>
      </c>
      <c r="D1281" s="10">
        <f>IF($C1281=0,"",SUMIFS('DEF_SELF_SCOUT_IMPORT'!$J$42:$J$1040,'DEF_SELF_SCOUT_IMPORT'!$L$42:$L$1040,"Y",'DEF_SELF_SCOUT_IMPORT'!$E$42:$E$1040,SUBSTITUTE(SUBSTITUTE(SUBSTITUTE($B1281,"~","~~"),"*","~*"),"?","~?"),'DEF_SELF_SCOUT_IMPORT'!$D$42:$D$1040,SUBSTITUTE(SUBSTITUTE(SUBSTITUTE($P1281,"~","~~"),"*","~*"),"?","~?"))/$C1281)</f>
        <v>0.5</v>
      </c>
      <c r="E1281" s="10">
        <f>IF($C1281=0,"",SUMIFS('DEF_SELF_SCOUT_IMPORT'!$K$42:$K$1040,'DEF_SELF_SCOUT_IMPORT'!$L$42:$L$1040,"Y",'DEF_SELF_SCOUT_IMPORT'!$E$42:$E$1040,SUBSTITUTE(SUBSTITUTE(SUBSTITUTE($B1281,"~","~~"),"*","~*"),"?","~?"),'DEF_SELF_SCOUT_IMPORT'!$D$42:$D$1040,SUBSTITUTE(SUBSTITUTE(SUBSTITUTE($P1281,"~","~~"),"*","~*"),"?","~?"))/$C1281)</f>
        <v>0.5</v>
      </c>
      <c r="F1281" s="11">
        <f>IF($C1281=0,"",AVERAGEIFS('DEF_SELF_SCOUT_IMPORT'!$I$42:$I$1040,'DEF_SELF_SCOUT_IMPORT'!$L$42:$L$1040,"Y",'DEF_SELF_SCOUT_IMPORT'!$E$42:$E$1040,SUBSTITUTE(SUBSTITUTE(SUBSTITUTE($B1281,"~","~~"),"*","~*"),"?","~?"),'DEF_SELF_SCOUT_IMPORT'!$D$42:$D$1040,SUBSTITUTE(SUBSTITUTE(SUBSTITUTE($P1281,"~","~~"),"*","~*"),"?","~?")))</f>
        <v>10.5</v>
      </c>
      <c r="G1281" s="10">
        <f>IF($C1281=0,"",COUNTIFS('DEF_SELF_SCOUT_IMPORT'!$L$42:$L$1040,"Y",'DEF_SELF_SCOUT_IMPORT'!$E$42:$E$1040,SUBSTITUTE(SUBSTITUTE(SUBSTITUTE($B1281,"~","~~"),"*","~*"),"?","~?"),'DEF_SELF_SCOUT_IMPORT'!$D$42:$D$1040,SUBSTITUTE(SUBSTITUTE(SUBSTITUTE($P1281,"~","~~"),"*","~*"),"?","~?"),'DEF_SELF_SCOUT_IMPORT'!$H$42:$H$1040,"RUSH")/$C1281)</f>
        <v>0.0</v>
      </c>
      <c r="H1281" s="10">
        <f>IF($C1281=0,"",COUNTIFS('DEF_SELF_SCOUT_IMPORT'!$L$42:$L$1040,"Y",'DEF_SELF_SCOUT_IMPORT'!$E$42:$E$1040,SUBSTITUTE(SUBSTITUTE(SUBSTITUTE($B1281,"~","~~"),"*","~*"),"?","~?"),'DEF_SELF_SCOUT_IMPORT'!$D$42:$D$1040,SUBSTITUTE(SUBSTITUTE(SUBSTITUTE($P1281,"~","~~"),"*","~*"),"?","~?"),'DEF_SELF_SCOUT_IMPORT'!$H$42:$H$1040,"DROPBACK")/$C1281)</f>
        <v>1.0</v>
      </c>
      <c r="I1281" s="14" t="str">
        <f>IF(C1281=0,"",IF(C1281&lt;=2,"TRACK",IF(C1281=3,"LOW",IF(C1281&lt;=6,"MEDIUM","HIGH"))))</f>
        <v>TRACK</v>
      </c>
      <c r="J1281" s="11">
        <f>IF(C1281=0,"",ROUND(D1281*70+(1-E1281)*20+MAX(0,MIN(1,(10-F1281)/10))*10,1))</f>
        <v>45.0</v>
      </c>
      <c r="K1281" s="14" t="str">
        <f>IF(C1281=0,"No Evidence",IF(C1281&lt;=2,IF(E1281&gt;0,"Explosive Alert","Track Only"),IF(C1281=3,"Sample Watch",IF(E1281&gt;=START_HERE!$B$31,"Explosive Alert",IF(J1281&gt;=80,"Strong Candidate",IF(J1281&gt;=65,"Good Candidate",IF(J1281&gt;=50,"Mixed / Review","Problem Call")))))))</f>
        <v>Explosive Alert</v>
      </c>
      <c r="L1281" s="9" t="str">
        <f>IF(COUNTIFS('DEF_SELF_SCOUT_IMPORT'!$L$42:$L$1040,"Y",'DEF_SELF_SCOUT_IMPORT'!$E$42:$E$1040,SUBSTITUTE(SUBSTITUTE(SUBSTITUTE($B1281,"~","~~"),"*","~*"),"?","~?"),'DEF_SELF_SCOUT_IMPORT'!$D$42:$D$1040,SUBSTITUTE(SUBSTITUTE(SUBSTITUTE($P1281,"~","~~"),"*","~*"),"?","~?"),'DEF_SELF_SCOUT_IMPORT'!$J$42:$J$1040,"")&gt;0,"Unscored clean outcome; review result tags before using score.",IF(C1281=0,"No matching defensive reps; film confirmation needed.",IF(K1281="Explosive Alert","Explosive risk; review clips before using as answer.",IF(C1281&lt;=2,"Track only; not enough sample.",IF(C1281=3,IF(E1281&gt;0,"Sample watch with explosive exposure; review clips and build the sample.",IF(J1281&gt;=65,"Good signal, but sample is limited.","Sample watch; review clips and build the sample.")),IF(K1281="Problem Call","Problem area; practice or call-sheet review.",IF(K1281="Strong Candidate","Strong call-fit candidate; confirm on film.",IF(K1281="Good Candidate","Good call-fit signal; confirm on film.","Mixed signal; review fit and execution on film."))))))))</f>
        <v>Explosive risk; review clips before using as answer.</v>
      </c>
      <c r="M1281" s="8"/>
      <c r="N1281" s="8"/>
      <c r="O1281" s="8"/>
      <c r="P1281" s="8" t="s">
        <v>449</v>
      </c>
      <c r="Q1281" s="8"/>
      <c r="R1281" s="8" t="s">
        <v>633</v>
      </c>
      <c r="S1281" s="2" t="s">
        <v>637</v>
      </c>
      <c r="T1281" s="2">
        <f>IF(C1281=0,0,IF(C1281&gt;=CALL_LOOKUP_BOARD!$B$7,IF(OR(K1281="Problem Call",K1281="Explosive Alert"),10000000,20000000),0)+IF(C1281&gt;=CALL_LOOKUP_BOARD!$B$7,J1281*1000+MIN(C1281,999),C1281*1000+J1281)+0.00998200)</f>
        <v>2045.009982</v>
      </c>
      <c r="U1281" s="2">
        <f>IF(C1281=0,"",IF(COUNTIFS($S$1264:$S$1440,SUBSTITUTE(SUBSTITUTE(SUBSTITUTE(S1281,"~","~~"),"*","~*"),"?","~?"),$T$1264:$T$1440,"&gt;"&amp;T1281)=0,S1281,""))</f>
        <v/>
      </c>
    </row>
    <row r="1282" spans="1:21" ht="38" customHeight="1">
      <c r="A1282" s="8" t="s">
        <v>449</v>
      </c>
      <c r="B1282" s="8" t="s">
        <v>27</v>
      </c>
      <c r="C1282" s="12">
        <f>COUNTIFS('DEF_SELF_SCOUT_IMPORT'!$L$42:$L$1040,"Y",'DEF_SELF_SCOUT_IMPORT'!$E$42:$E$1040,SUBSTITUTE(SUBSTITUTE(SUBSTITUTE($B1282,"~","~~"),"*","~*"),"?","~?"),'DEF_SELF_SCOUT_IMPORT'!$D$42:$D$1040,SUBSTITUTE(SUBSTITUTE(SUBSTITUTE($P1282,"~","~~"),"*","~*"),"?","~?"))</f>
        <v>4</v>
      </c>
      <c r="D1282" s="10">
        <f>IF($C1282=0,"",SUMIFS('DEF_SELF_SCOUT_IMPORT'!$J$42:$J$1040,'DEF_SELF_SCOUT_IMPORT'!$L$42:$L$1040,"Y",'DEF_SELF_SCOUT_IMPORT'!$E$42:$E$1040,SUBSTITUTE(SUBSTITUTE(SUBSTITUTE($B1282,"~","~~"),"*","~*"),"?","~?"),'DEF_SELF_SCOUT_IMPORT'!$D$42:$D$1040,SUBSTITUTE(SUBSTITUTE(SUBSTITUTE($P1282,"~","~~"),"*","~*"),"?","~?"))/$C1282)</f>
        <v>0.75</v>
      </c>
      <c r="E1282" s="10">
        <f>IF($C1282=0,"",SUMIFS('DEF_SELF_SCOUT_IMPORT'!$K$42:$K$1040,'DEF_SELF_SCOUT_IMPORT'!$L$42:$L$1040,"Y",'DEF_SELF_SCOUT_IMPORT'!$E$42:$E$1040,SUBSTITUTE(SUBSTITUTE(SUBSTITUTE($B1282,"~","~~"),"*","~*"),"?","~?"),'DEF_SELF_SCOUT_IMPORT'!$D$42:$D$1040,SUBSTITUTE(SUBSTITUTE(SUBSTITUTE($P1282,"~","~~"),"*","~*"),"?","~?"))/$C1282)</f>
        <v>0.0</v>
      </c>
      <c r="F1282" s="11">
        <f>IF($C1282=0,"",AVERAGEIFS('DEF_SELF_SCOUT_IMPORT'!$I$42:$I$1040,'DEF_SELF_SCOUT_IMPORT'!$L$42:$L$1040,"Y",'DEF_SELF_SCOUT_IMPORT'!$E$42:$E$1040,SUBSTITUTE(SUBSTITUTE(SUBSTITUTE($B1282,"~","~~"),"*","~*"),"?","~?"),'DEF_SELF_SCOUT_IMPORT'!$D$42:$D$1040,SUBSTITUTE(SUBSTITUTE(SUBSTITUTE($P1282,"~","~~"),"*","~*"),"?","~?")))</f>
        <v>1.0</v>
      </c>
      <c r="G1282" s="10">
        <f>IF($C1282=0,"",COUNTIFS('DEF_SELF_SCOUT_IMPORT'!$L$42:$L$1040,"Y",'DEF_SELF_SCOUT_IMPORT'!$E$42:$E$1040,SUBSTITUTE(SUBSTITUTE(SUBSTITUTE($B1282,"~","~~"),"*","~*"),"?","~?"),'DEF_SELF_SCOUT_IMPORT'!$D$42:$D$1040,SUBSTITUTE(SUBSTITUTE(SUBSTITUTE($P1282,"~","~~"),"*","~*"),"?","~?"),'DEF_SELF_SCOUT_IMPORT'!$H$42:$H$1040,"RUSH")/$C1282)</f>
        <v>0.0</v>
      </c>
      <c r="H1282" s="10">
        <f>IF($C1282=0,"",COUNTIFS('DEF_SELF_SCOUT_IMPORT'!$L$42:$L$1040,"Y",'DEF_SELF_SCOUT_IMPORT'!$E$42:$E$1040,SUBSTITUTE(SUBSTITUTE(SUBSTITUTE($B1282,"~","~~"),"*","~*"),"?","~?"),'DEF_SELF_SCOUT_IMPORT'!$D$42:$D$1040,SUBSTITUTE(SUBSTITUTE(SUBSTITUTE($P1282,"~","~~"),"*","~*"),"?","~?"),'DEF_SELF_SCOUT_IMPORT'!$H$42:$H$1040,"DROPBACK")/$C1282)</f>
        <v>1.0</v>
      </c>
      <c r="I1282" s="14" t="str">
        <f>IF(C1282=0,"",IF(C1282&lt;=2,"TRACK",IF(C1282=3,"LOW",IF(C1282&lt;=6,"MEDIUM","HIGH"))))</f>
        <v>MEDIUM</v>
      </c>
      <c r="J1282" s="11">
        <f>IF(C1282=0,"",ROUND(D1282*70+(1-E1282)*20+MAX(0,MIN(1,(10-F1282)/10))*10,1))</f>
        <v>81.5</v>
      </c>
      <c r="K1282" s="14" t="str">
        <f>IF(C1282=0,"No Evidence",IF(C1282&lt;=2,IF(E1282&gt;0,"Explosive Alert","Track Only"),IF(C1282=3,"Sample Watch",IF(E1282&gt;=START_HERE!$B$31,"Explosive Alert",IF(J1282&gt;=80,"Strong Candidate",IF(J1282&gt;=65,"Good Candidate",IF(J1282&gt;=50,"Mixed / Review","Problem Call")))))))</f>
        <v>Strong Candidate</v>
      </c>
      <c r="L1282" s="9" t="str">
        <f>IF(COUNTIFS('DEF_SELF_SCOUT_IMPORT'!$L$42:$L$1040,"Y",'DEF_SELF_SCOUT_IMPORT'!$E$42:$E$1040,SUBSTITUTE(SUBSTITUTE(SUBSTITUTE($B1282,"~","~~"),"*","~*"),"?","~?"),'DEF_SELF_SCOUT_IMPORT'!$D$42:$D$1040,SUBSTITUTE(SUBSTITUTE(SUBSTITUTE($P1282,"~","~~"),"*","~*"),"?","~?"),'DEF_SELF_SCOUT_IMPORT'!$J$42:$J$1040,"")&gt;0,"Unscored clean outcome; review result tags before using score.",IF(C1282=0,"No matching defensive reps; film confirmation needed.",IF(K1282="Explosive Alert","Explosive risk; review clips before using as answer.",IF(C1282&lt;=2,"Track only; not enough sample.",IF(C1282=3,IF(E1282&gt;0,"Sample watch with explosive exposure; review clips and build the sample.",IF(J1282&gt;=65,"Good signal, but sample is limited.","Sample watch; review clips and build the sample.")),IF(K1282="Problem Call","Problem area; practice or call-sheet review.",IF(K1282="Strong Candidate","Strong call-fit candidate; confirm on film.",IF(K1282="Good Candidate","Good call-fit signal; confirm on film.","Mixed signal; review fit and execution on film."))))))))</f>
        <v>Strong call-fit candidate; confirm on film.</v>
      </c>
      <c r="M1282" s="8"/>
      <c r="N1282" s="8"/>
      <c r="O1282" s="8"/>
      <c r="P1282" s="8" t="s">
        <v>449</v>
      </c>
      <c r="Q1282" s="8"/>
      <c r="R1282" s="8" t="s">
        <v>636</v>
      </c>
      <c r="S1282" s="2" t="s">
        <v>637</v>
      </c>
      <c r="T1282" s="2">
        <f>IF(C1282=0,0,IF(C1282&gt;=CALL_LOOKUP_BOARD!$B$7,IF(OR(K1282="Problem Call",K1282="Explosive Alert"),10000000,20000000),0)+IF(C1282&gt;=CALL_LOOKUP_BOARD!$B$7,J1282*1000+MIN(C1282,999),C1282*1000+J1282)+0.00998100)</f>
        <v>20081504.009981</v>
      </c>
      <c r="U1282" s="2">
        <f>IF(C1282=0,"",IF(COUNTIFS($S$1264:$S$1440,SUBSTITUTE(SUBSTITUTE(SUBSTITUTE(S1282,"~","~~"),"*","~*"),"?","~?"),$T$1264:$T$1440,"&gt;"&amp;T1282)=0,S1282,""))</f>
        <v/>
      </c>
    </row>
    <row r="1283" spans="1:21" ht="38" customHeight="1">
      <c r="A1283" s="8" t="s">
        <v>449</v>
      </c>
      <c r="B1283" s="8" t="s">
        <v>37</v>
      </c>
      <c r="C1283" s="12">
        <f>COUNTIFS('DEF_SELF_SCOUT_IMPORT'!$L$42:$L$1040,"Y",'DEF_SELF_SCOUT_IMPORT'!$E$42:$E$1040,SUBSTITUTE(SUBSTITUTE(SUBSTITUTE($B1283,"~","~~"),"*","~*"),"?","~?"),'DEF_SELF_SCOUT_IMPORT'!$D$42:$D$1040,SUBSTITUTE(SUBSTITUTE(SUBSTITUTE($P1283,"~","~~"),"*","~*"),"?","~?"))</f>
        <v>1</v>
      </c>
      <c r="D1283" s="10">
        <f>IF($C1283=0,"",SUMIFS('DEF_SELF_SCOUT_IMPORT'!$J$42:$J$1040,'DEF_SELF_SCOUT_IMPORT'!$L$42:$L$1040,"Y",'DEF_SELF_SCOUT_IMPORT'!$E$42:$E$1040,SUBSTITUTE(SUBSTITUTE(SUBSTITUTE($B1283,"~","~~"),"*","~*"),"?","~?"),'DEF_SELF_SCOUT_IMPORT'!$D$42:$D$1040,SUBSTITUTE(SUBSTITUTE(SUBSTITUTE($P1283,"~","~~"),"*","~*"),"?","~?"))/$C1283)</f>
        <v>0.0</v>
      </c>
      <c r="E1283" s="10">
        <f>IF($C1283=0,"",SUMIFS('DEF_SELF_SCOUT_IMPORT'!$K$42:$K$1040,'DEF_SELF_SCOUT_IMPORT'!$L$42:$L$1040,"Y",'DEF_SELF_SCOUT_IMPORT'!$E$42:$E$1040,SUBSTITUTE(SUBSTITUTE(SUBSTITUTE($B1283,"~","~~"),"*","~*"),"?","~?"),'DEF_SELF_SCOUT_IMPORT'!$D$42:$D$1040,SUBSTITUTE(SUBSTITUTE(SUBSTITUTE($P1283,"~","~~"),"*","~*"),"?","~?"))/$C1283)</f>
        <v>0.0</v>
      </c>
      <c r="F1283" s="11">
        <f>IF($C1283=0,"",AVERAGEIFS('DEF_SELF_SCOUT_IMPORT'!$I$42:$I$1040,'DEF_SELF_SCOUT_IMPORT'!$L$42:$L$1040,"Y",'DEF_SELF_SCOUT_IMPORT'!$E$42:$E$1040,SUBSTITUTE(SUBSTITUTE(SUBSTITUTE($B1283,"~","~~"),"*","~*"),"?","~?"),'DEF_SELF_SCOUT_IMPORT'!$D$42:$D$1040,SUBSTITUTE(SUBSTITUTE(SUBSTITUTE($P1283,"~","~~"),"*","~*"),"?","~?")))</f>
        <v>6.0</v>
      </c>
      <c r="G1283" s="10">
        <f>IF($C1283=0,"",COUNTIFS('DEF_SELF_SCOUT_IMPORT'!$L$42:$L$1040,"Y",'DEF_SELF_SCOUT_IMPORT'!$E$42:$E$1040,SUBSTITUTE(SUBSTITUTE(SUBSTITUTE($B1283,"~","~~"),"*","~*"),"?","~?"),'DEF_SELF_SCOUT_IMPORT'!$D$42:$D$1040,SUBSTITUTE(SUBSTITUTE(SUBSTITUTE($P1283,"~","~~"),"*","~*"),"?","~?"),'DEF_SELF_SCOUT_IMPORT'!$H$42:$H$1040,"RUSH")/$C1283)</f>
        <v>0.0</v>
      </c>
      <c r="H1283" s="10">
        <f>IF($C1283=0,"",COUNTIFS('DEF_SELF_SCOUT_IMPORT'!$L$42:$L$1040,"Y",'DEF_SELF_SCOUT_IMPORT'!$E$42:$E$1040,SUBSTITUTE(SUBSTITUTE(SUBSTITUTE($B1283,"~","~~"),"*","~*"),"?","~?"),'DEF_SELF_SCOUT_IMPORT'!$D$42:$D$1040,SUBSTITUTE(SUBSTITUTE(SUBSTITUTE($P1283,"~","~~"),"*","~*"),"?","~?"),'DEF_SELF_SCOUT_IMPORT'!$H$42:$H$1040,"DROPBACK")/$C1283)</f>
        <v>1.0</v>
      </c>
      <c r="I1283" s="14" t="str">
        <f>IF(C1283=0,"",IF(C1283&lt;=2,"TRACK",IF(C1283=3,"LOW",IF(C1283&lt;=6,"MEDIUM","HIGH"))))</f>
        <v>TRACK</v>
      </c>
      <c r="J1283" s="11">
        <f>IF(C1283=0,"",ROUND(D1283*70+(1-E1283)*20+MAX(0,MIN(1,(10-F1283)/10))*10,1))</f>
        <v>24.0</v>
      </c>
      <c r="K1283" s="14" t="str">
        <f>IF(C1283=0,"No Evidence",IF(C1283&lt;=2,IF(E1283&gt;0,"Explosive Alert","Track Only"),IF(C1283=3,"Sample Watch",IF(E1283&gt;=START_HERE!$B$31,"Explosive Alert",IF(J1283&gt;=80,"Strong Candidate",IF(J1283&gt;=65,"Good Candidate",IF(J1283&gt;=50,"Mixed / Review","Problem Call")))))))</f>
        <v>Track Only</v>
      </c>
      <c r="L1283" s="9" t="str">
        <f>IF(COUNTIFS('DEF_SELF_SCOUT_IMPORT'!$L$42:$L$1040,"Y",'DEF_SELF_SCOUT_IMPORT'!$E$42:$E$1040,SUBSTITUTE(SUBSTITUTE(SUBSTITUTE($B1283,"~","~~"),"*","~*"),"?","~?"),'DEF_SELF_SCOUT_IMPORT'!$D$42:$D$1040,SUBSTITUTE(SUBSTITUTE(SUBSTITUTE($P1283,"~","~~"),"*","~*"),"?","~?"),'DEF_SELF_SCOUT_IMPORT'!$J$42:$J$1040,"")&gt;0,"Unscored clean outcome; review result tags before using score.",IF(C1283=0,"No matching defensive reps; film confirmation needed.",IF(K1283="Explosive Alert","Explosive risk; review clips before using as answer.",IF(C1283&lt;=2,"Track only; not enough sample.",IF(C1283=3,IF(E1283&gt;0,"Sample watch with explosive exposure; review clips and build the sample.",IF(J1283&gt;=65,"Good signal, but sample is limited.","Sample watch; review clips and build the sample.")),IF(K1283="Problem Call","Problem area; practice or call-sheet review.",IF(K1283="Strong Candidate","Strong call-fit candidate; confirm on film.",IF(K1283="Good Candidate","Good call-fit signal; confirm on film.","Mixed signal; review fit and execution on film."))))))))</f>
        <v>Track only; not enough sample.</v>
      </c>
      <c r="M1283" s="8"/>
      <c r="N1283" s="8"/>
      <c r="O1283" s="8"/>
      <c r="P1283" s="8" t="s">
        <v>449</v>
      </c>
      <c r="Q1283" s="8"/>
      <c r="R1283" s="8" t="s">
        <v>633</v>
      </c>
      <c r="S1283" s="2" t="s">
        <v>637</v>
      </c>
      <c r="T1283" s="2">
        <f>IF(C1283=0,0,IF(C1283&gt;=CALL_LOOKUP_BOARD!$B$7,IF(OR(K1283="Problem Call",K1283="Explosive Alert"),10000000,20000000),0)+IF(C1283&gt;=CALL_LOOKUP_BOARD!$B$7,J1283*1000+MIN(C1283,999),C1283*1000+J1283)+0.00998000)</f>
        <v>1024.00998</v>
      </c>
      <c r="U1283" s="2">
        <f>IF(C1283=0,"",IF(COUNTIFS($S$1264:$S$1440,SUBSTITUTE(SUBSTITUTE(SUBSTITUTE(S1283,"~","~~"),"*","~*"),"?","~?"),$T$1264:$T$1440,"&gt;"&amp;T1283)=0,S1283,""))</f>
        <v/>
      </c>
    </row>
    <row r="1284" spans="1:21" ht="38" customHeight="1">
      <c r="A1284" s="8" t="s">
        <v>449</v>
      </c>
      <c r="B1284" s="8" t="s">
        <v>42</v>
      </c>
      <c r="C1284" s="12">
        <f>COUNTIFS('DEF_SELF_SCOUT_IMPORT'!$L$42:$L$1040,"Y",'DEF_SELF_SCOUT_IMPORT'!$E$42:$E$1040,SUBSTITUTE(SUBSTITUTE(SUBSTITUTE($B1284,"~","~~"),"*","~*"),"?","~?"),'DEF_SELF_SCOUT_IMPORT'!$D$42:$D$1040,SUBSTITUTE(SUBSTITUTE(SUBSTITUTE($P1284,"~","~~"),"*","~*"),"?","~?"))</f>
        <v>4</v>
      </c>
      <c r="D1284" s="10">
        <f>IF($C1284=0,"",SUMIFS('DEF_SELF_SCOUT_IMPORT'!$J$42:$J$1040,'DEF_SELF_SCOUT_IMPORT'!$L$42:$L$1040,"Y",'DEF_SELF_SCOUT_IMPORT'!$E$42:$E$1040,SUBSTITUTE(SUBSTITUTE(SUBSTITUTE($B1284,"~","~~"),"*","~*"),"?","~?"),'DEF_SELF_SCOUT_IMPORT'!$D$42:$D$1040,SUBSTITUTE(SUBSTITUTE(SUBSTITUTE($P1284,"~","~~"),"*","~*"),"?","~?"))/$C1284)</f>
        <v>0.5</v>
      </c>
      <c r="E1284" s="10">
        <f>IF($C1284=0,"",SUMIFS('DEF_SELF_SCOUT_IMPORT'!$K$42:$K$1040,'DEF_SELF_SCOUT_IMPORT'!$L$42:$L$1040,"Y",'DEF_SELF_SCOUT_IMPORT'!$E$42:$E$1040,SUBSTITUTE(SUBSTITUTE(SUBSTITUTE($B1284,"~","~~"),"*","~*"),"?","~?"),'DEF_SELF_SCOUT_IMPORT'!$D$42:$D$1040,SUBSTITUTE(SUBSTITUTE(SUBSTITUTE($P1284,"~","~~"),"*","~*"),"?","~?"))/$C1284)</f>
        <v>0.25</v>
      </c>
      <c r="F1284" s="11">
        <f>IF($C1284=0,"",AVERAGEIFS('DEF_SELF_SCOUT_IMPORT'!$I$42:$I$1040,'DEF_SELF_SCOUT_IMPORT'!$L$42:$L$1040,"Y",'DEF_SELF_SCOUT_IMPORT'!$E$42:$E$1040,SUBSTITUTE(SUBSTITUTE(SUBSTITUTE($B1284,"~","~~"),"*","~*"),"?","~?"),'DEF_SELF_SCOUT_IMPORT'!$D$42:$D$1040,SUBSTITUTE(SUBSTITUTE(SUBSTITUTE($P1284,"~","~~"),"*","~*"),"?","~?")))</f>
        <v>8.25</v>
      </c>
      <c r="G1284" s="10">
        <f>IF($C1284=0,"",COUNTIFS('DEF_SELF_SCOUT_IMPORT'!$L$42:$L$1040,"Y",'DEF_SELF_SCOUT_IMPORT'!$E$42:$E$1040,SUBSTITUTE(SUBSTITUTE(SUBSTITUTE($B1284,"~","~~"),"*","~*"),"?","~?"),'DEF_SELF_SCOUT_IMPORT'!$D$42:$D$1040,SUBSTITUTE(SUBSTITUTE(SUBSTITUTE($P1284,"~","~~"),"*","~*"),"?","~?"),'DEF_SELF_SCOUT_IMPORT'!$H$42:$H$1040,"RUSH")/$C1284)</f>
        <v>0.0</v>
      </c>
      <c r="H1284" s="10">
        <f>IF($C1284=0,"",COUNTIFS('DEF_SELF_SCOUT_IMPORT'!$L$42:$L$1040,"Y",'DEF_SELF_SCOUT_IMPORT'!$E$42:$E$1040,SUBSTITUTE(SUBSTITUTE(SUBSTITUTE($B1284,"~","~~"),"*","~*"),"?","~?"),'DEF_SELF_SCOUT_IMPORT'!$D$42:$D$1040,SUBSTITUTE(SUBSTITUTE(SUBSTITUTE($P1284,"~","~~"),"*","~*"),"?","~?"),'DEF_SELF_SCOUT_IMPORT'!$H$42:$H$1040,"DROPBACK")/$C1284)</f>
        <v>1.0</v>
      </c>
      <c r="I1284" s="14" t="str">
        <f>IF(C1284=0,"",IF(C1284&lt;=2,"TRACK",IF(C1284=3,"LOW",IF(C1284&lt;=6,"MEDIUM","HIGH"))))</f>
        <v>MEDIUM</v>
      </c>
      <c r="J1284" s="11">
        <f>IF(C1284=0,"",ROUND(D1284*70+(1-E1284)*20+MAX(0,MIN(1,(10-F1284)/10))*10,1))</f>
        <v>51.8</v>
      </c>
      <c r="K1284" s="14" t="str">
        <f>IF(C1284=0,"No Evidence",IF(C1284&lt;=2,IF(E1284&gt;0,"Explosive Alert","Track Only"),IF(C1284=3,"Sample Watch",IF(E1284&gt;=START_HERE!$B$31,"Explosive Alert",IF(J1284&gt;=80,"Strong Candidate",IF(J1284&gt;=65,"Good Candidate",IF(J1284&gt;=50,"Mixed / Review","Problem Call")))))))</f>
        <v>Explosive Alert</v>
      </c>
      <c r="L1284" s="9" t="str">
        <f>IF(COUNTIFS('DEF_SELF_SCOUT_IMPORT'!$L$42:$L$1040,"Y",'DEF_SELF_SCOUT_IMPORT'!$E$42:$E$1040,SUBSTITUTE(SUBSTITUTE(SUBSTITUTE($B1284,"~","~~"),"*","~*"),"?","~?"),'DEF_SELF_SCOUT_IMPORT'!$D$42:$D$1040,SUBSTITUTE(SUBSTITUTE(SUBSTITUTE($P1284,"~","~~"),"*","~*"),"?","~?"),'DEF_SELF_SCOUT_IMPORT'!$J$42:$J$1040,"")&gt;0,"Unscored clean outcome; review result tags before using score.",IF(C1284=0,"No matching defensive reps; film confirmation needed.",IF(K1284="Explosive Alert","Explosive risk; review clips before using as answer.",IF(C1284&lt;=2,"Track only; not enough sample.",IF(C1284=3,IF(E1284&gt;0,"Sample watch with explosive exposure; review clips and build the sample.",IF(J1284&gt;=65,"Good signal, but sample is limited.","Sample watch; review clips and build the sample.")),IF(K1284="Problem Call","Problem area; practice or call-sheet review.",IF(K1284="Strong Candidate","Strong call-fit candidate; confirm on film.",IF(K1284="Good Candidate","Good call-fit signal; confirm on film.","Mixed signal; review fit and execution on film."))))))))</f>
        <v>Explosive risk; review clips before using as answer.</v>
      </c>
      <c r="M1284" s="8"/>
      <c r="N1284" s="8"/>
      <c r="O1284" s="8"/>
      <c r="P1284" s="8" t="s">
        <v>449</v>
      </c>
      <c r="Q1284" s="8"/>
      <c r="R1284" s="8" t="s">
        <v>636</v>
      </c>
      <c r="S1284" s="2" t="s">
        <v>637</v>
      </c>
      <c r="T1284" s="2">
        <f>IF(C1284=0,0,IF(C1284&gt;=CALL_LOOKUP_BOARD!$B$7,IF(OR(K1284="Problem Call",K1284="Explosive Alert"),10000000,20000000),0)+IF(C1284&gt;=CALL_LOOKUP_BOARD!$B$7,J1284*1000+MIN(C1284,999),C1284*1000+J1284)+0.00997900)</f>
        <v>10051804.009979</v>
      </c>
      <c r="U1284" s="2">
        <f>IF(C1284=0,"",IF(COUNTIFS($S$1264:$S$1440,SUBSTITUTE(SUBSTITUTE(SUBSTITUTE(S1284,"~","~~"),"*","~*"),"?","~?"),$T$1264:$T$1440,"&gt;"&amp;T1284)=0,S1284,""))</f>
        <v/>
      </c>
    </row>
    <row r="1285" spans="1:21" ht="38" customHeight="1">
      <c r="A1285" s="8" t="s">
        <v>449</v>
      </c>
      <c r="B1285" s="8" t="s">
        <v>77</v>
      </c>
      <c r="C1285" s="12">
        <f>COUNTIFS('DEF_SELF_SCOUT_IMPORT'!$L$42:$L$1040,"Y",'DEF_SELF_SCOUT_IMPORT'!$E$42:$E$1040,SUBSTITUTE(SUBSTITUTE(SUBSTITUTE($B1285,"~","~~"),"*","~*"),"?","~?"),'DEF_SELF_SCOUT_IMPORT'!$D$42:$D$1040,SUBSTITUTE(SUBSTITUTE(SUBSTITUTE($P1285,"~","~~"),"*","~*"),"?","~?"))</f>
        <v>1</v>
      </c>
      <c r="D1285" s="10">
        <f>IF($C1285=0,"",SUMIFS('DEF_SELF_SCOUT_IMPORT'!$J$42:$J$1040,'DEF_SELF_SCOUT_IMPORT'!$L$42:$L$1040,"Y",'DEF_SELF_SCOUT_IMPORT'!$E$42:$E$1040,SUBSTITUTE(SUBSTITUTE(SUBSTITUTE($B1285,"~","~~"),"*","~*"),"?","~?"),'DEF_SELF_SCOUT_IMPORT'!$D$42:$D$1040,SUBSTITUTE(SUBSTITUTE(SUBSTITUTE($P1285,"~","~~"),"*","~*"),"?","~?"))/$C1285)</f>
        <v>1.0</v>
      </c>
      <c r="E1285" s="10">
        <f>IF($C1285=0,"",SUMIFS('DEF_SELF_SCOUT_IMPORT'!$K$42:$K$1040,'DEF_SELF_SCOUT_IMPORT'!$L$42:$L$1040,"Y",'DEF_SELF_SCOUT_IMPORT'!$E$42:$E$1040,SUBSTITUTE(SUBSTITUTE(SUBSTITUTE($B1285,"~","~~"),"*","~*"),"?","~?"),'DEF_SELF_SCOUT_IMPORT'!$D$42:$D$1040,SUBSTITUTE(SUBSTITUTE(SUBSTITUTE($P1285,"~","~~"),"*","~*"),"?","~?"))/$C1285)</f>
        <v>0.0</v>
      </c>
      <c r="F1285" s="11">
        <f>IF($C1285=0,"",AVERAGEIFS('DEF_SELF_SCOUT_IMPORT'!$I$42:$I$1040,'DEF_SELF_SCOUT_IMPORT'!$L$42:$L$1040,"Y",'DEF_SELF_SCOUT_IMPORT'!$E$42:$E$1040,SUBSTITUTE(SUBSTITUTE(SUBSTITUTE($B1285,"~","~~"),"*","~*"),"?","~?"),'DEF_SELF_SCOUT_IMPORT'!$D$42:$D$1040,SUBSTITUTE(SUBSTITUTE(SUBSTITUTE($P1285,"~","~~"),"*","~*"),"?","~?")))</f>
        <v>5.0</v>
      </c>
      <c r="G1285" s="10">
        <f>IF($C1285=0,"",COUNTIFS('DEF_SELF_SCOUT_IMPORT'!$L$42:$L$1040,"Y",'DEF_SELF_SCOUT_IMPORT'!$E$42:$E$1040,SUBSTITUTE(SUBSTITUTE(SUBSTITUTE($B1285,"~","~~"),"*","~*"),"?","~?"),'DEF_SELF_SCOUT_IMPORT'!$D$42:$D$1040,SUBSTITUTE(SUBSTITUTE(SUBSTITUTE($P1285,"~","~~"),"*","~*"),"?","~?"),'DEF_SELF_SCOUT_IMPORT'!$H$42:$H$1040,"RUSH")/$C1285)</f>
        <v>0.0</v>
      </c>
      <c r="H1285" s="10">
        <f>IF($C1285=0,"",COUNTIFS('DEF_SELF_SCOUT_IMPORT'!$L$42:$L$1040,"Y",'DEF_SELF_SCOUT_IMPORT'!$E$42:$E$1040,SUBSTITUTE(SUBSTITUTE(SUBSTITUTE($B1285,"~","~~"),"*","~*"),"?","~?"),'DEF_SELF_SCOUT_IMPORT'!$D$42:$D$1040,SUBSTITUTE(SUBSTITUTE(SUBSTITUTE($P1285,"~","~~"),"*","~*"),"?","~?"),'DEF_SELF_SCOUT_IMPORT'!$H$42:$H$1040,"DROPBACK")/$C1285)</f>
        <v>1.0</v>
      </c>
      <c r="I1285" s="14" t="str">
        <f>IF(C1285=0,"",IF(C1285&lt;=2,"TRACK",IF(C1285=3,"LOW",IF(C1285&lt;=6,"MEDIUM","HIGH"))))</f>
        <v>TRACK</v>
      </c>
      <c r="J1285" s="11">
        <f>IF(C1285=0,"",ROUND(D1285*70+(1-E1285)*20+MAX(0,MIN(1,(10-F1285)/10))*10,1))</f>
        <v>95.0</v>
      </c>
      <c r="K1285" s="14" t="str">
        <f>IF(C1285=0,"No Evidence",IF(C1285&lt;=2,IF(E1285&gt;0,"Explosive Alert","Track Only"),IF(C1285=3,"Sample Watch",IF(E1285&gt;=START_HERE!$B$31,"Explosive Alert",IF(J1285&gt;=80,"Strong Candidate",IF(J1285&gt;=65,"Good Candidate",IF(J1285&gt;=50,"Mixed / Review","Problem Call")))))))</f>
        <v>Track Only</v>
      </c>
      <c r="L1285" s="9" t="str">
        <f>IF(COUNTIFS('DEF_SELF_SCOUT_IMPORT'!$L$42:$L$1040,"Y",'DEF_SELF_SCOUT_IMPORT'!$E$42:$E$1040,SUBSTITUTE(SUBSTITUTE(SUBSTITUTE($B1285,"~","~~"),"*","~*"),"?","~?"),'DEF_SELF_SCOUT_IMPORT'!$D$42:$D$1040,SUBSTITUTE(SUBSTITUTE(SUBSTITUTE($P1285,"~","~~"),"*","~*"),"?","~?"),'DEF_SELF_SCOUT_IMPORT'!$J$42:$J$1040,"")&gt;0,"Unscored clean outcome; review result tags before using score.",IF(C1285=0,"No matching defensive reps; film confirmation needed.",IF(K1285="Explosive Alert","Explosive risk; review clips before using as answer.",IF(C1285&lt;=2,"Track only; not enough sample.",IF(C1285=3,IF(E1285&gt;0,"Sample watch with explosive exposure; review clips and build the sample.",IF(J1285&gt;=65,"Good signal, but sample is limited.","Sample watch; review clips and build the sample.")),IF(K1285="Problem Call","Problem area; practice or call-sheet review.",IF(K1285="Strong Candidate","Strong call-fit candidate; confirm on film.",IF(K1285="Good Candidate","Good call-fit signal; confirm on film.","Mixed signal; review fit and execution on film."))))))))</f>
        <v>Track only; not enough sample.</v>
      </c>
      <c r="M1285" s="8"/>
      <c r="N1285" s="8"/>
      <c r="O1285" s="8"/>
      <c r="P1285" s="8" t="s">
        <v>449</v>
      </c>
      <c r="Q1285" s="8"/>
      <c r="R1285" s="8" t="s">
        <v>633</v>
      </c>
      <c r="S1285" s="2" t="s">
        <v>637</v>
      </c>
      <c r="T1285" s="2">
        <f>IF(C1285=0,0,IF(C1285&gt;=CALL_LOOKUP_BOARD!$B$7,IF(OR(K1285="Problem Call",K1285="Explosive Alert"),10000000,20000000),0)+IF(C1285&gt;=CALL_LOOKUP_BOARD!$B$7,J1285*1000+MIN(C1285,999),C1285*1000+J1285)+0.00997800)</f>
        <v>1095.009978</v>
      </c>
      <c r="U1285" s="2">
        <f>IF(C1285=0,"",IF(COUNTIFS($S$1264:$S$1440,SUBSTITUTE(SUBSTITUTE(SUBSTITUTE(S1285,"~","~~"),"*","~*"),"?","~?"),$T$1264:$T$1440,"&gt;"&amp;T1285)=0,S1285,""))</f>
        <v/>
      </c>
    </row>
    <row r="1286" spans="1:21" ht="38" customHeight="1">
      <c r="A1286" s="8" t="s">
        <v>449</v>
      </c>
      <c r="B1286" s="8" t="s">
        <v>43</v>
      </c>
      <c r="C1286" s="12">
        <f>COUNTIFS('DEF_SELF_SCOUT_IMPORT'!$L$42:$L$1040,"Y",'DEF_SELF_SCOUT_IMPORT'!$E$42:$E$1040,SUBSTITUTE(SUBSTITUTE(SUBSTITUTE($B1286,"~","~~"),"*","~*"),"?","~?"),'DEF_SELF_SCOUT_IMPORT'!$D$42:$D$1040,SUBSTITUTE(SUBSTITUTE(SUBSTITUTE($P1286,"~","~~"),"*","~*"),"?","~?"))</f>
        <v>1</v>
      </c>
      <c r="D1286" s="10">
        <f>IF($C1286=0,"",SUMIFS('DEF_SELF_SCOUT_IMPORT'!$J$42:$J$1040,'DEF_SELF_SCOUT_IMPORT'!$L$42:$L$1040,"Y",'DEF_SELF_SCOUT_IMPORT'!$E$42:$E$1040,SUBSTITUTE(SUBSTITUTE(SUBSTITUTE($B1286,"~","~~"),"*","~*"),"?","~?"),'DEF_SELF_SCOUT_IMPORT'!$D$42:$D$1040,SUBSTITUTE(SUBSTITUTE(SUBSTITUTE($P1286,"~","~~"),"*","~*"),"?","~?"))/$C1286)</f>
        <v>1.0</v>
      </c>
      <c r="E1286" s="10">
        <f>IF($C1286=0,"",SUMIFS('DEF_SELF_SCOUT_IMPORT'!$K$42:$K$1040,'DEF_SELF_SCOUT_IMPORT'!$L$42:$L$1040,"Y",'DEF_SELF_SCOUT_IMPORT'!$E$42:$E$1040,SUBSTITUTE(SUBSTITUTE(SUBSTITUTE($B1286,"~","~~"),"*","~*"),"?","~?"),'DEF_SELF_SCOUT_IMPORT'!$D$42:$D$1040,SUBSTITUTE(SUBSTITUTE(SUBSTITUTE($P1286,"~","~~"),"*","~*"),"?","~?"))/$C1286)</f>
        <v>0.0</v>
      </c>
      <c r="F1286" s="11">
        <f>IF($C1286=0,"",AVERAGEIFS('DEF_SELF_SCOUT_IMPORT'!$I$42:$I$1040,'DEF_SELF_SCOUT_IMPORT'!$L$42:$L$1040,"Y",'DEF_SELF_SCOUT_IMPORT'!$E$42:$E$1040,SUBSTITUTE(SUBSTITUTE(SUBSTITUTE($B1286,"~","~~"),"*","~*"),"?","~?"),'DEF_SELF_SCOUT_IMPORT'!$D$42:$D$1040,SUBSTITUTE(SUBSTITUTE(SUBSTITUTE($P1286,"~","~~"),"*","~*"),"?","~?")))</f>
        <v>5.0</v>
      </c>
      <c r="G1286" s="10">
        <f>IF($C1286=0,"",COUNTIFS('DEF_SELF_SCOUT_IMPORT'!$L$42:$L$1040,"Y",'DEF_SELF_SCOUT_IMPORT'!$E$42:$E$1040,SUBSTITUTE(SUBSTITUTE(SUBSTITUTE($B1286,"~","~~"),"*","~*"),"?","~?"),'DEF_SELF_SCOUT_IMPORT'!$D$42:$D$1040,SUBSTITUTE(SUBSTITUTE(SUBSTITUTE($P1286,"~","~~"),"*","~*"),"?","~?"),'DEF_SELF_SCOUT_IMPORT'!$H$42:$H$1040,"RUSH")/$C1286)</f>
        <v>0.0</v>
      </c>
      <c r="H1286" s="10">
        <f>IF($C1286=0,"",COUNTIFS('DEF_SELF_SCOUT_IMPORT'!$L$42:$L$1040,"Y",'DEF_SELF_SCOUT_IMPORT'!$E$42:$E$1040,SUBSTITUTE(SUBSTITUTE(SUBSTITUTE($B1286,"~","~~"),"*","~*"),"?","~?"),'DEF_SELF_SCOUT_IMPORT'!$D$42:$D$1040,SUBSTITUTE(SUBSTITUTE(SUBSTITUTE($P1286,"~","~~"),"*","~*"),"?","~?"),'DEF_SELF_SCOUT_IMPORT'!$H$42:$H$1040,"DROPBACK")/$C1286)</f>
        <v>1.0</v>
      </c>
      <c r="I1286" s="14" t="str">
        <f>IF(C1286=0,"",IF(C1286&lt;=2,"TRACK",IF(C1286=3,"LOW",IF(C1286&lt;=6,"MEDIUM","HIGH"))))</f>
        <v>TRACK</v>
      </c>
      <c r="J1286" s="11">
        <f>IF(C1286=0,"",ROUND(D1286*70+(1-E1286)*20+MAX(0,MIN(1,(10-F1286)/10))*10,1))</f>
        <v>95.0</v>
      </c>
      <c r="K1286" s="14" t="str">
        <f>IF(C1286=0,"No Evidence",IF(C1286&lt;=2,IF(E1286&gt;0,"Explosive Alert","Track Only"),IF(C1286=3,"Sample Watch",IF(E1286&gt;=START_HERE!$B$31,"Explosive Alert",IF(J1286&gt;=80,"Strong Candidate",IF(J1286&gt;=65,"Good Candidate",IF(J1286&gt;=50,"Mixed / Review","Problem Call")))))))</f>
        <v>Track Only</v>
      </c>
      <c r="L1286" s="9" t="str">
        <f>IF(COUNTIFS('DEF_SELF_SCOUT_IMPORT'!$L$42:$L$1040,"Y",'DEF_SELF_SCOUT_IMPORT'!$E$42:$E$1040,SUBSTITUTE(SUBSTITUTE(SUBSTITUTE($B1286,"~","~~"),"*","~*"),"?","~?"),'DEF_SELF_SCOUT_IMPORT'!$D$42:$D$1040,SUBSTITUTE(SUBSTITUTE(SUBSTITUTE($P1286,"~","~~"),"*","~*"),"?","~?"),'DEF_SELF_SCOUT_IMPORT'!$J$42:$J$1040,"")&gt;0,"Unscored clean outcome; review result tags before using score.",IF(C1286=0,"No matching defensive reps; film confirmation needed.",IF(K1286="Explosive Alert","Explosive risk; review clips before using as answer.",IF(C1286&lt;=2,"Track only; not enough sample.",IF(C1286=3,IF(E1286&gt;0,"Sample watch with explosive exposure; review clips and build the sample.",IF(J1286&gt;=65,"Good signal, but sample is limited.","Sample watch; review clips and build the sample.")),IF(K1286="Problem Call","Problem area; practice or call-sheet review.",IF(K1286="Strong Candidate","Strong call-fit candidate; confirm on film.",IF(K1286="Good Candidate","Good call-fit signal; confirm on film.","Mixed signal; review fit and execution on film."))))))))</f>
        <v>Track only; not enough sample.</v>
      </c>
      <c r="M1286" s="8"/>
      <c r="N1286" s="8"/>
      <c r="O1286" s="8"/>
      <c r="P1286" s="8" t="s">
        <v>449</v>
      </c>
      <c r="Q1286" s="8"/>
      <c r="R1286" s="8" t="s">
        <v>633</v>
      </c>
      <c r="S1286" s="2" t="s">
        <v>637</v>
      </c>
      <c r="T1286" s="2">
        <f>IF(C1286=0,0,IF(C1286&gt;=CALL_LOOKUP_BOARD!$B$7,IF(OR(K1286="Problem Call",K1286="Explosive Alert"),10000000,20000000),0)+IF(C1286&gt;=CALL_LOOKUP_BOARD!$B$7,J1286*1000+MIN(C1286,999),C1286*1000+J1286)+0.00997700)</f>
        <v>1095.009977</v>
      </c>
      <c r="U1286" s="2">
        <f>IF(C1286=0,"",IF(COUNTIFS($S$1264:$S$1440,SUBSTITUTE(SUBSTITUTE(SUBSTITUTE(S1286,"~","~~"),"*","~*"),"?","~?"),$T$1264:$T$1440,"&gt;"&amp;T1286)=0,S1286,""))</f>
        <v/>
      </c>
    </row>
    <row r="1287" spans="1:21" ht="38" customHeight="1">
      <c r="A1287" s="8" t="s">
        <v>449</v>
      </c>
      <c r="B1287" s="8" t="s">
        <v>44</v>
      </c>
      <c r="C1287" s="12">
        <f>COUNTIFS('DEF_SELF_SCOUT_IMPORT'!$L$42:$L$1040,"Y",'DEF_SELF_SCOUT_IMPORT'!$E$42:$E$1040,SUBSTITUTE(SUBSTITUTE(SUBSTITUTE($B1287,"~","~~"),"*","~*"),"?","~?"),'DEF_SELF_SCOUT_IMPORT'!$D$42:$D$1040,SUBSTITUTE(SUBSTITUTE(SUBSTITUTE($P1287,"~","~~"),"*","~*"),"?","~?"))</f>
        <v>1</v>
      </c>
      <c r="D1287" s="10">
        <f>IF($C1287=0,"",SUMIFS('DEF_SELF_SCOUT_IMPORT'!$J$42:$J$1040,'DEF_SELF_SCOUT_IMPORT'!$L$42:$L$1040,"Y",'DEF_SELF_SCOUT_IMPORT'!$E$42:$E$1040,SUBSTITUTE(SUBSTITUTE(SUBSTITUTE($B1287,"~","~~"),"*","~*"),"?","~?"),'DEF_SELF_SCOUT_IMPORT'!$D$42:$D$1040,SUBSTITUTE(SUBSTITUTE(SUBSTITUTE($P1287,"~","~~"),"*","~*"),"?","~?"))/$C1287)</f>
        <v>1.0</v>
      </c>
      <c r="E1287" s="10">
        <f>IF($C1287=0,"",SUMIFS('DEF_SELF_SCOUT_IMPORT'!$K$42:$K$1040,'DEF_SELF_SCOUT_IMPORT'!$L$42:$L$1040,"Y",'DEF_SELF_SCOUT_IMPORT'!$E$42:$E$1040,SUBSTITUTE(SUBSTITUTE(SUBSTITUTE($B1287,"~","~~"),"*","~*"),"?","~?"),'DEF_SELF_SCOUT_IMPORT'!$D$42:$D$1040,SUBSTITUTE(SUBSTITUTE(SUBSTITUTE($P1287,"~","~~"),"*","~*"),"?","~?"))/$C1287)</f>
        <v>0.0</v>
      </c>
      <c r="F1287" s="11">
        <f>IF($C1287=0,"",AVERAGEIFS('DEF_SELF_SCOUT_IMPORT'!$I$42:$I$1040,'DEF_SELF_SCOUT_IMPORT'!$L$42:$L$1040,"Y",'DEF_SELF_SCOUT_IMPORT'!$E$42:$E$1040,SUBSTITUTE(SUBSTITUTE(SUBSTITUTE($B1287,"~","~~"),"*","~*"),"?","~?"),'DEF_SELF_SCOUT_IMPORT'!$D$42:$D$1040,SUBSTITUTE(SUBSTITUTE(SUBSTITUTE($P1287,"~","~~"),"*","~*"),"?","~?")))</f>
        <v>0.0</v>
      </c>
      <c r="G1287" s="10">
        <f>IF($C1287=0,"",COUNTIFS('DEF_SELF_SCOUT_IMPORT'!$L$42:$L$1040,"Y",'DEF_SELF_SCOUT_IMPORT'!$E$42:$E$1040,SUBSTITUTE(SUBSTITUTE(SUBSTITUTE($B1287,"~","~~"),"*","~*"),"?","~?"),'DEF_SELF_SCOUT_IMPORT'!$D$42:$D$1040,SUBSTITUTE(SUBSTITUTE(SUBSTITUTE($P1287,"~","~~"),"*","~*"),"?","~?"),'DEF_SELF_SCOUT_IMPORT'!$H$42:$H$1040,"RUSH")/$C1287)</f>
        <v>0.0</v>
      </c>
      <c r="H1287" s="10">
        <f>IF($C1287=0,"",COUNTIFS('DEF_SELF_SCOUT_IMPORT'!$L$42:$L$1040,"Y",'DEF_SELF_SCOUT_IMPORT'!$E$42:$E$1040,SUBSTITUTE(SUBSTITUTE(SUBSTITUTE($B1287,"~","~~"),"*","~*"),"?","~?"),'DEF_SELF_SCOUT_IMPORT'!$D$42:$D$1040,SUBSTITUTE(SUBSTITUTE(SUBSTITUTE($P1287,"~","~~"),"*","~*"),"?","~?"),'DEF_SELF_SCOUT_IMPORT'!$H$42:$H$1040,"DROPBACK")/$C1287)</f>
        <v>1.0</v>
      </c>
      <c r="I1287" s="14" t="str">
        <f>IF(C1287=0,"",IF(C1287&lt;=2,"TRACK",IF(C1287=3,"LOW",IF(C1287&lt;=6,"MEDIUM","HIGH"))))</f>
        <v>TRACK</v>
      </c>
      <c r="J1287" s="11">
        <f>IF(C1287=0,"",ROUND(D1287*70+(1-E1287)*20+MAX(0,MIN(1,(10-F1287)/10))*10,1))</f>
        <v>100.0</v>
      </c>
      <c r="K1287" s="14" t="str">
        <f>IF(C1287=0,"No Evidence",IF(C1287&lt;=2,IF(E1287&gt;0,"Explosive Alert","Track Only"),IF(C1287=3,"Sample Watch",IF(E1287&gt;=START_HERE!$B$31,"Explosive Alert",IF(J1287&gt;=80,"Strong Candidate",IF(J1287&gt;=65,"Good Candidate",IF(J1287&gt;=50,"Mixed / Review","Problem Call")))))))</f>
        <v>Track Only</v>
      </c>
      <c r="L1287" s="9" t="str">
        <f>IF(COUNTIFS('DEF_SELF_SCOUT_IMPORT'!$L$42:$L$1040,"Y",'DEF_SELF_SCOUT_IMPORT'!$E$42:$E$1040,SUBSTITUTE(SUBSTITUTE(SUBSTITUTE($B1287,"~","~~"),"*","~*"),"?","~?"),'DEF_SELF_SCOUT_IMPORT'!$D$42:$D$1040,SUBSTITUTE(SUBSTITUTE(SUBSTITUTE($P1287,"~","~~"),"*","~*"),"?","~?"),'DEF_SELF_SCOUT_IMPORT'!$J$42:$J$1040,"")&gt;0,"Unscored clean outcome; review result tags before using score.",IF(C1287=0,"No matching defensive reps; film confirmation needed.",IF(K1287="Explosive Alert","Explosive risk; review clips before using as answer.",IF(C1287&lt;=2,"Track only; not enough sample.",IF(C1287=3,IF(E1287&gt;0,"Sample watch with explosive exposure; review clips and build the sample.",IF(J1287&gt;=65,"Good signal, but sample is limited.","Sample watch; review clips and build the sample.")),IF(K1287="Problem Call","Problem area; practice or call-sheet review.",IF(K1287="Strong Candidate","Strong call-fit candidate; confirm on film.",IF(K1287="Good Candidate","Good call-fit signal; confirm on film.","Mixed signal; review fit and execution on film."))))))))</f>
        <v>Track only; not enough sample.</v>
      </c>
      <c r="M1287" s="8"/>
      <c r="N1287" s="8"/>
      <c r="O1287" s="8"/>
      <c r="P1287" s="8" t="s">
        <v>449</v>
      </c>
      <c r="Q1287" s="8"/>
      <c r="R1287" s="8" t="s">
        <v>633</v>
      </c>
      <c r="S1287" s="2" t="s">
        <v>637</v>
      </c>
      <c r="T1287" s="2">
        <f>IF(C1287=0,0,IF(C1287&gt;=CALL_LOOKUP_BOARD!$B$7,IF(OR(K1287="Problem Call",K1287="Explosive Alert"),10000000,20000000),0)+IF(C1287&gt;=CALL_LOOKUP_BOARD!$B$7,J1287*1000+MIN(C1287,999),C1287*1000+J1287)+0.00997600)</f>
        <v>1100.009976</v>
      </c>
      <c r="U1287" s="2">
        <f>IF(C1287=0,"",IF(COUNTIFS($S$1264:$S$1440,SUBSTITUTE(SUBSTITUTE(SUBSTITUTE(S1287,"~","~~"),"*","~*"),"?","~?"),$T$1264:$T$1440,"&gt;"&amp;T1287)=0,S1287,""))</f>
        <v/>
      </c>
    </row>
    <row r="1288" spans="1:21" ht="38" customHeight="1">
      <c r="A1288" s="8" t="s">
        <v>449</v>
      </c>
      <c r="B1288" s="8" t="s">
        <v>46</v>
      </c>
      <c r="C1288" s="12">
        <f>COUNTIFS('DEF_SELF_SCOUT_IMPORT'!$L$42:$L$1040,"Y",'DEF_SELF_SCOUT_IMPORT'!$E$42:$E$1040,SUBSTITUTE(SUBSTITUTE(SUBSTITUTE($B1288,"~","~~"),"*","~*"),"?","~?"),'DEF_SELF_SCOUT_IMPORT'!$D$42:$D$1040,SUBSTITUTE(SUBSTITUTE(SUBSTITUTE($P1288,"~","~~"),"*","~*"),"?","~?"))</f>
        <v>2</v>
      </c>
      <c r="D1288" s="10">
        <f>IF($C1288=0,"",SUMIFS('DEF_SELF_SCOUT_IMPORT'!$J$42:$J$1040,'DEF_SELF_SCOUT_IMPORT'!$L$42:$L$1040,"Y",'DEF_SELF_SCOUT_IMPORT'!$E$42:$E$1040,SUBSTITUTE(SUBSTITUTE(SUBSTITUTE($B1288,"~","~~"),"*","~*"),"?","~?"),'DEF_SELF_SCOUT_IMPORT'!$D$42:$D$1040,SUBSTITUTE(SUBSTITUTE(SUBSTITUTE($P1288,"~","~~"),"*","~*"),"?","~?"))/$C1288)</f>
        <v>1.0</v>
      </c>
      <c r="E1288" s="10">
        <f>IF($C1288=0,"",SUMIFS('DEF_SELF_SCOUT_IMPORT'!$K$42:$K$1040,'DEF_SELF_SCOUT_IMPORT'!$L$42:$L$1040,"Y",'DEF_SELF_SCOUT_IMPORT'!$E$42:$E$1040,SUBSTITUTE(SUBSTITUTE(SUBSTITUTE($B1288,"~","~~"),"*","~*"),"?","~?"),'DEF_SELF_SCOUT_IMPORT'!$D$42:$D$1040,SUBSTITUTE(SUBSTITUTE(SUBSTITUTE($P1288,"~","~~"),"*","~*"),"?","~?"))/$C1288)</f>
        <v>0.0</v>
      </c>
      <c r="F1288" s="11">
        <f>IF($C1288=0,"",AVERAGEIFS('DEF_SELF_SCOUT_IMPORT'!$I$42:$I$1040,'DEF_SELF_SCOUT_IMPORT'!$L$42:$L$1040,"Y",'DEF_SELF_SCOUT_IMPORT'!$E$42:$E$1040,SUBSTITUTE(SUBSTITUTE(SUBSTITUTE($B1288,"~","~~"),"*","~*"),"?","~?"),'DEF_SELF_SCOUT_IMPORT'!$D$42:$D$1040,SUBSTITUTE(SUBSTITUTE(SUBSTITUTE($P1288,"~","~~"),"*","~*"),"?","~?")))</f>
        <v>-3.0</v>
      </c>
      <c r="G1288" s="10">
        <f>IF($C1288=0,"",COUNTIFS('DEF_SELF_SCOUT_IMPORT'!$L$42:$L$1040,"Y",'DEF_SELF_SCOUT_IMPORT'!$E$42:$E$1040,SUBSTITUTE(SUBSTITUTE(SUBSTITUTE($B1288,"~","~~"),"*","~*"),"?","~?"),'DEF_SELF_SCOUT_IMPORT'!$D$42:$D$1040,SUBSTITUTE(SUBSTITUTE(SUBSTITUTE($P1288,"~","~~"),"*","~*"),"?","~?"),'DEF_SELF_SCOUT_IMPORT'!$H$42:$H$1040,"RUSH")/$C1288)</f>
        <v>0.0</v>
      </c>
      <c r="H1288" s="10">
        <f>IF($C1288=0,"",COUNTIFS('DEF_SELF_SCOUT_IMPORT'!$L$42:$L$1040,"Y",'DEF_SELF_SCOUT_IMPORT'!$E$42:$E$1040,SUBSTITUTE(SUBSTITUTE(SUBSTITUTE($B1288,"~","~~"),"*","~*"),"?","~?"),'DEF_SELF_SCOUT_IMPORT'!$D$42:$D$1040,SUBSTITUTE(SUBSTITUTE(SUBSTITUTE($P1288,"~","~~"),"*","~*"),"?","~?"),'DEF_SELF_SCOUT_IMPORT'!$H$42:$H$1040,"DROPBACK")/$C1288)</f>
        <v>1.0</v>
      </c>
      <c r="I1288" s="14" t="str">
        <f>IF(C1288=0,"",IF(C1288&lt;=2,"TRACK",IF(C1288=3,"LOW",IF(C1288&lt;=6,"MEDIUM","HIGH"))))</f>
        <v>TRACK</v>
      </c>
      <c r="J1288" s="11">
        <f>IF(C1288=0,"",ROUND(D1288*70+(1-E1288)*20+MAX(0,MIN(1,(10-F1288)/10))*10,1))</f>
        <v>100.0</v>
      </c>
      <c r="K1288" s="14" t="str">
        <f>IF(C1288=0,"No Evidence",IF(C1288&lt;=2,IF(E1288&gt;0,"Explosive Alert","Track Only"),IF(C1288=3,"Sample Watch",IF(E1288&gt;=START_HERE!$B$31,"Explosive Alert",IF(J1288&gt;=80,"Strong Candidate",IF(J1288&gt;=65,"Good Candidate",IF(J1288&gt;=50,"Mixed / Review","Problem Call")))))))</f>
        <v>Track Only</v>
      </c>
      <c r="L1288" s="9" t="str">
        <f>IF(COUNTIFS('DEF_SELF_SCOUT_IMPORT'!$L$42:$L$1040,"Y",'DEF_SELF_SCOUT_IMPORT'!$E$42:$E$1040,SUBSTITUTE(SUBSTITUTE(SUBSTITUTE($B1288,"~","~~"),"*","~*"),"?","~?"),'DEF_SELF_SCOUT_IMPORT'!$D$42:$D$1040,SUBSTITUTE(SUBSTITUTE(SUBSTITUTE($P1288,"~","~~"),"*","~*"),"?","~?"),'DEF_SELF_SCOUT_IMPORT'!$J$42:$J$1040,"")&gt;0,"Unscored clean outcome; review result tags before using score.",IF(C1288=0,"No matching defensive reps; film confirmation needed.",IF(K1288="Explosive Alert","Explosive risk; review clips before using as answer.",IF(C1288&lt;=2,"Track only; not enough sample.",IF(C1288=3,IF(E1288&gt;0,"Sample watch with explosive exposure; review clips and build the sample.",IF(J1288&gt;=65,"Good signal, but sample is limited.","Sample watch; review clips and build the sample.")),IF(K1288="Problem Call","Problem area; practice or call-sheet review.",IF(K1288="Strong Candidate","Strong call-fit candidate; confirm on film.",IF(K1288="Good Candidate","Good call-fit signal; confirm on film.","Mixed signal; review fit and execution on film."))))))))</f>
        <v>Track only; not enough sample.</v>
      </c>
      <c r="M1288" s="8"/>
      <c r="N1288" s="8"/>
      <c r="O1288" s="8"/>
      <c r="P1288" s="8" t="s">
        <v>449</v>
      </c>
      <c r="Q1288" s="8"/>
      <c r="R1288" s="8" t="s">
        <v>633</v>
      </c>
      <c r="S1288" s="2" t="s">
        <v>637</v>
      </c>
      <c r="T1288" s="2">
        <f>IF(C1288=0,0,IF(C1288&gt;=CALL_LOOKUP_BOARD!$B$7,IF(OR(K1288="Problem Call",K1288="Explosive Alert"),10000000,20000000),0)+IF(C1288&gt;=CALL_LOOKUP_BOARD!$B$7,J1288*1000+MIN(C1288,999),C1288*1000+J1288)+0.00997500)</f>
        <v>2100.009975</v>
      </c>
      <c r="U1288" s="2">
        <f>IF(C1288=0,"",IF(COUNTIFS($S$1264:$S$1440,SUBSTITUTE(SUBSTITUTE(SUBSTITUTE(S1288,"~","~~"),"*","~*"),"?","~?"),$T$1264:$T$1440,"&gt;"&amp;T1288)=0,S1288,""))</f>
        <v/>
      </c>
    </row>
    <row r="1289" spans="1:21" ht="38" customHeight="1">
      <c r="A1289" s="8" t="s">
        <v>449</v>
      </c>
      <c r="B1289" s="8" t="s">
        <v>47</v>
      </c>
      <c r="C1289" s="12">
        <f>COUNTIFS('DEF_SELF_SCOUT_IMPORT'!$L$42:$L$1040,"Y",'DEF_SELF_SCOUT_IMPORT'!$E$42:$E$1040,SUBSTITUTE(SUBSTITUTE(SUBSTITUTE($B1289,"~","~~"),"*","~*"),"?","~?"),'DEF_SELF_SCOUT_IMPORT'!$D$42:$D$1040,SUBSTITUTE(SUBSTITUTE(SUBSTITUTE($P1289,"~","~~"),"*","~*"),"?","~?"))</f>
        <v>2</v>
      </c>
      <c r="D1289" s="10">
        <f>IF($C1289=0,"",SUMIFS('DEF_SELF_SCOUT_IMPORT'!$J$42:$J$1040,'DEF_SELF_SCOUT_IMPORT'!$L$42:$L$1040,"Y",'DEF_SELF_SCOUT_IMPORT'!$E$42:$E$1040,SUBSTITUTE(SUBSTITUTE(SUBSTITUTE($B1289,"~","~~"),"*","~*"),"?","~?"),'DEF_SELF_SCOUT_IMPORT'!$D$42:$D$1040,SUBSTITUTE(SUBSTITUTE(SUBSTITUTE($P1289,"~","~~"),"*","~*"),"?","~?"))/$C1289)</f>
        <v>0.5</v>
      </c>
      <c r="E1289" s="10">
        <f>IF($C1289=0,"",SUMIFS('DEF_SELF_SCOUT_IMPORT'!$K$42:$K$1040,'DEF_SELF_SCOUT_IMPORT'!$L$42:$L$1040,"Y",'DEF_SELF_SCOUT_IMPORT'!$E$42:$E$1040,SUBSTITUTE(SUBSTITUTE(SUBSTITUTE($B1289,"~","~~"),"*","~*"),"?","~?"),'DEF_SELF_SCOUT_IMPORT'!$D$42:$D$1040,SUBSTITUTE(SUBSTITUTE(SUBSTITUTE($P1289,"~","~~"),"*","~*"),"?","~?"))/$C1289)</f>
        <v>0.5</v>
      </c>
      <c r="F1289" s="11">
        <f>IF($C1289=0,"",AVERAGEIFS('DEF_SELF_SCOUT_IMPORT'!$I$42:$I$1040,'DEF_SELF_SCOUT_IMPORT'!$L$42:$L$1040,"Y",'DEF_SELF_SCOUT_IMPORT'!$E$42:$E$1040,SUBSTITUTE(SUBSTITUTE(SUBSTITUTE($B1289,"~","~~"),"*","~*"),"?","~?"),'DEF_SELF_SCOUT_IMPORT'!$D$42:$D$1040,SUBSTITUTE(SUBSTITUTE(SUBSTITUTE($P1289,"~","~~"),"*","~*"),"?","~?")))</f>
        <v>15.0</v>
      </c>
      <c r="G1289" s="10">
        <f>IF($C1289=0,"",COUNTIFS('DEF_SELF_SCOUT_IMPORT'!$L$42:$L$1040,"Y",'DEF_SELF_SCOUT_IMPORT'!$E$42:$E$1040,SUBSTITUTE(SUBSTITUTE(SUBSTITUTE($B1289,"~","~~"),"*","~*"),"?","~?"),'DEF_SELF_SCOUT_IMPORT'!$D$42:$D$1040,SUBSTITUTE(SUBSTITUTE(SUBSTITUTE($P1289,"~","~~"),"*","~*"),"?","~?"),'DEF_SELF_SCOUT_IMPORT'!$H$42:$H$1040,"RUSH")/$C1289)</f>
        <v>0.0</v>
      </c>
      <c r="H1289" s="10">
        <f>IF($C1289=0,"",COUNTIFS('DEF_SELF_SCOUT_IMPORT'!$L$42:$L$1040,"Y",'DEF_SELF_SCOUT_IMPORT'!$E$42:$E$1040,SUBSTITUTE(SUBSTITUTE(SUBSTITUTE($B1289,"~","~~"),"*","~*"),"?","~?"),'DEF_SELF_SCOUT_IMPORT'!$D$42:$D$1040,SUBSTITUTE(SUBSTITUTE(SUBSTITUTE($P1289,"~","~~"),"*","~*"),"?","~?"),'DEF_SELF_SCOUT_IMPORT'!$H$42:$H$1040,"DROPBACK")/$C1289)</f>
        <v>0.5</v>
      </c>
      <c r="I1289" s="14" t="str">
        <f>IF(C1289=0,"",IF(C1289&lt;=2,"TRACK",IF(C1289=3,"LOW",IF(C1289&lt;=6,"MEDIUM","HIGH"))))</f>
        <v>TRACK</v>
      </c>
      <c r="J1289" s="11">
        <f>IF(C1289=0,"",ROUND(D1289*70+(1-E1289)*20+MAX(0,MIN(1,(10-F1289)/10))*10,1))</f>
        <v>45.0</v>
      </c>
      <c r="K1289" s="14" t="str">
        <f>IF(C1289=0,"No Evidence",IF(C1289&lt;=2,IF(E1289&gt;0,"Explosive Alert","Track Only"),IF(C1289=3,"Sample Watch",IF(E1289&gt;=START_HERE!$B$31,"Explosive Alert",IF(J1289&gt;=80,"Strong Candidate",IF(J1289&gt;=65,"Good Candidate",IF(J1289&gt;=50,"Mixed / Review","Problem Call")))))))</f>
        <v>Explosive Alert</v>
      </c>
      <c r="L1289" s="9" t="str">
        <f>IF(COUNTIFS('DEF_SELF_SCOUT_IMPORT'!$L$42:$L$1040,"Y",'DEF_SELF_SCOUT_IMPORT'!$E$42:$E$1040,SUBSTITUTE(SUBSTITUTE(SUBSTITUTE($B1289,"~","~~"),"*","~*"),"?","~?"),'DEF_SELF_SCOUT_IMPORT'!$D$42:$D$1040,SUBSTITUTE(SUBSTITUTE(SUBSTITUTE($P1289,"~","~~"),"*","~*"),"?","~?"),'DEF_SELF_SCOUT_IMPORT'!$J$42:$J$1040,"")&gt;0,"Unscored clean outcome; review result tags before using score.",IF(C1289=0,"No matching defensive reps; film confirmation needed.",IF(K1289="Explosive Alert","Explosive risk; review clips before using as answer.",IF(C1289&lt;=2,"Track only; not enough sample.",IF(C1289=3,IF(E1289&gt;0,"Sample watch with explosive exposure; review clips and build the sample.",IF(J1289&gt;=65,"Good signal, but sample is limited.","Sample watch; review clips and build the sample.")),IF(K1289="Problem Call","Problem area; practice or call-sheet review.",IF(K1289="Strong Candidate","Strong call-fit candidate; confirm on film.",IF(K1289="Good Candidate","Good call-fit signal; confirm on film.","Mixed signal; review fit and execution on film."))))))))</f>
        <v>Explosive risk; review clips before using as answer.</v>
      </c>
      <c r="M1289" s="8"/>
      <c r="N1289" s="8"/>
      <c r="O1289" s="8"/>
      <c r="P1289" s="8" t="s">
        <v>449</v>
      </c>
      <c r="Q1289" s="8"/>
      <c r="R1289" s="8" t="s">
        <v>633</v>
      </c>
      <c r="S1289" s="2" t="s">
        <v>637</v>
      </c>
      <c r="T1289" s="2">
        <f>IF(C1289=0,0,IF(C1289&gt;=CALL_LOOKUP_BOARD!$B$7,IF(OR(K1289="Problem Call",K1289="Explosive Alert"),10000000,20000000),0)+IF(C1289&gt;=CALL_LOOKUP_BOARD!$B$7,J1289*1000+MIN(C1289,999),C1289*1000+J1289)+0.00997400)</f>
        <v>2045.009974</v>
      </c>
      <c r="U1289" s="2">
        <f>IF(C1289=0,"",IF(COUNTIFS($S$1264:$S$1440,SUBSTITUTE(SUBSTITUTE(SUBSTITUTE(S1289,"~","~~"),"*","~*"),"?","~?"),$T$1264:$T$1440,"&gt;"&amp;T1289)=0,S1289,""))</f>
        <v/>
      </c>
    </row>
    <row r="1290" spans="1:21" ht="38" customHeight="1">
      <c r="A1290" s="8" t="s">
        <v>449</v>
      </c>
      <c r="B1290" s="8" t="s">
        <v>48</v>
      </c>
      <c r="C1290" s="12">
        <f>COUNTIFS('DEF_SELF_SCOUT_IMPORT'!$L$42:$L$1040,"Y",'DEF_SELF_SCOUT_IMPORT'!$E$42:$E$1040,SUBSTITUTE(SUBSTITUTE(SUBSTITUTE($B1290,"~","~~"),"*","~*"),"?","~?"),'DEF_SELF_SCOUT_IMPORT'!$D$42:$D$1040,SUBSTITUTE(SUBSTITUTE(SUBSTITUTE($P1290,"~","~~"),"*","~*"),"?","~?"))</f>
        <v>3</v>
      </c>
      <c r="D1290" s="10">
        <f>IF($C1290=0,"",SUMIFS('DEF_SELF_SCOUT_IMPORT'!$J$42:$J$1040,'DEF_SELF_SCOUT_IMPORT'!$L$42:$L$1040,"Y",'DEF_SELF_SCOUT_IMPORT'!$E$42:$E$1040,SUBSTITUTE(SUBSTITUTE(SUBSTITUTE($B1290,"~","~~"),"*","~*"),"?","~?"),'DEF_SELF_SCOUT_IMPORT'!$D$42:$D$1040,SUBSTITUTE(SUBSTITUTE(SUBSTITUTE($P1290,"~","~~"),"*","~*"),"?","~?"))/$C1290)</f>
        <v>0.3333333333333333</v>
      </c>
      <c r="E1290" s="10">
        <f>IF($C1290=0,"",SUMIFS('DEF_SELF_SCOUT_IMPORT'!$K$42:$K$1040,'DEF_SELF_SCOUT_IMPORT'!$L$42:$L$1040,"Y",'DEF_SELF_SCOUT_IMPORT'!$E$42:$E$1040,SUBSTITUTE(SUBSTITUTE(SUBSTITUTE($B1290,"~","~~"),"*","~*"),"?","~?"),'DEF_SELF_SCOUT_IMPORT'!$D$42:$D$1040,SUBSTITUTE(SUBSTITUTE(SUBSTITUTE($P1290,"~","~~"),"*","~*"),"?","~?"))/$C1290)</f>
        <v>0.0</v>
      </c>
      <c r="F1290" s="11">
        <f>IF($C1290=0,"",AVERAGEIFS('DEF_SELF_SCOUT_IMPORT'!$I$42:$I$1040,'DEF_SELF_SCOUT_IMPORT'!$L$42:$L$1040,"Y",'DEF_SELF_SCOUT_IMPORT'!$E$42:$E$1040,SUBSTITUTE(SUBSTITUTE(SUBSTITUTE($B1290,"~","~~"),"*","~*"),"?","~?"),'DEF_SELF_SCOUT_IMPORT'!$D$42:$D$1040,SUBSTITUTE(SUBSTITUTE(SUBSTITUTE($P1290,"~","~~"),"*","~*"),"?","~?")))</f>
        <v>7.0</v>
      </c>
      <c r="G1290" s="10">
        <f>IF($C1290=0,"",COUNTIFS('DEF_SELF_SCOUT_IMPORT'!$L$42:$L$1040,"Y",'DEF_SELF_SCOUT_IMPORT'!$E$42:$E$1040,SUBSTITUTE(SUBSTITUTE(SUBSTITUTE($B1290,"~","~~"),"*","~*"),"?","~?"),'DEF_SELF_SCOUT_IMPORT'!$D$42:$D$1040,SUBSTITUTE(SUBSTITUTE(SUBSTITUTE($P1290,"~","~~"),"*","~*"),"?","~?"),'DEF_SELF_SCOUT_IMPORT'!$H$42:$H$1040,"RUSH")/$C1290)</f>
        <v>0.0</v>
      </c>
      <c r="H1290" s="10">
        <f>IF($C1290=0,"",COUNTIFS('DEF_SELF_SCOUT_IMPORT'!$L$42:$L$1040,"Y",'DEF_SELF_SCOUT_IMPORT'!$E$42:$E$1040,SUBSTITUTE(SUBSTITUTE(SUBSTITUTE($B1290,"~","~~"),"*","~*"),"?","~?"),'DEF_SELF_SCOUT_IMPORT'!$D$42:$D$1040,SUBSTITUTE(SUBSTITUTE(SUBSTITUTE($P1290,"~","~~"),"*","~*"),"?","~?"),'DEF_SELF_SCOUT_IMPORT'!$H$42:$H$1040,"DROPBACK")/$C1290)</f>
        <v>1.0</v>
      </c>
      <c r="I1290" s="14" t="str">
        <f>IF(C1290=0,"",IF(C1290&lt;=2,"TRACK",IF(C1290=3,"LOW",IF(C1290&lt;=6,"MEDIUM","HIGH"))))</f>
        <v>LOW</v>
      </c>
      <c r="J1290" s="11">
        <f>IF(C1290=0,"",ROUND(D1290*70+(1-E1290)*20+MAX(0,MIN(1,(10-F1290)/10))*10,1))</f>
        <v>46.3</v>
      </c>
      <c r="K1290" s="14" t="str">
        <f>IF(C1290=0,"No Evidence",IF(C1290&lt;=2,IF(E1290&gt;0,"Explosive Alert","Track Only"),IF(C1290=3,"Sample Watch",IF(E1290&gt;=START_HERE!$B$31,"Explosive Alert",IF(J1290&gt;=80,"Strong Candidate",IF(J1290&gt;=65,"Good Candidate",IF(J1290&gt;=50,"Mixed / Review","Problem Call")))))))</f>
        <v>Sample Watch</v>
      </c>
      <c r="L1290" s="9" t="str">
        <f>IF(COUNTIFS('DEF_SELF_SCOUT_IMPORT'!$L$42:$L$1040,"Y",'DEF_SELF_SCOUT_IMPORT'!$E$42:$E$1040,SUBSTITUTE(SUBSTITUTE(SUBSTITUTE($B1290,"~","~~"),"*","~*"),"?","~?"),'DEF_SELF_SCOUT_IMPORT'!$D$42:$D$1040,SUBSTITUTE(SUBSTITUTE(SUBSTITUTE($P1290,"~","~~"),"*","~*"),"?","~?"),'DEF_SELF_SCOUT_IMPORT'!$J$42:$J$1040,"")&gt;0,"Unscored clean outcome; review result tags before using score.",IF(C1290=0,"No matching defensive reps; film confirmation needed.",IF(K1290="Explosive Alert","Explosive risk; review clips before using as answer.",IF(C1290&lt;=2,"Track only; not enough sample.",IF(C1290=3,IF(E1290&gt;0,"Sample watch with explosive exposure; review clips and build the sample.",IF(J1290&gt;=65,"Good signal, but sample is limited.","Sample watch; review clips and build the sample.")),IF(K1290="Problem Call","Problem area; practice or call-sheet review.",IF(K1290="Strong Candidate","Strong call-fit candidate; confirm on film.",IF(K1290="Good Candidate","Good call-fit signal; confirm on film.","Mixed signal; review fit and execution on film."))))))))</f>
        <v>Sample watch; review clips and build the sample.</v>
      </c>
      <c r="M1290" s="8"/>
      <c r="N1290" s="8"/>
      <c r="O1290" s="8"/>
      <c r="P1290" s="8" t="s">
        <v>449</v>
      </c>
      <c r="Q1290" s="8"/>
      <c r="R1290" s="8" t="s">
        <v>633</v>
      </c>
      <c r="S1290" s="2" t="s">
        <v>637</v>
      </c>
      <c r="T1290" s="2">
        <f>IF(C1290=0,0,IF(C1290&gt;=CALL_LOOKUP_BOARD!$B$7,IF(OR(K1290="Problem Call",K1290="Explosive Alert"),10000000,20000000),0)+IF(C1290&gt;=CALL_LOOKUP_BOARD!$B$7,J1290*1000+MIN(C1290,999),C1290*1000+J1290)+0.00997300)</f>
        <v>3046.3099730000004</v>
      </c>
      <c r="U1290" s="2">
        <f>IF(C1290=0,"",IF(COUNTIFS($S$1264:$S$1440,SUBSTITUTE(SUBSTITUTE(SUBSTITUTE(S1290,"~","~~"),"*","~*"),"?","~?"),$T$1264:$T$1440,"&gt;"&amp;T1290)=0,S1290,""))</f>
        <v/>
      </c>
    </row>
    <row r="1291" spans="1:21" ht="38" customHeight="1">
      <c r="A1291" s="8" t="s">
        <v>449</v>
      </c>
      <c r="B1291" s="8" t="s">
        <v>34</v>
      </c>
      <c r="C1291" s="12">
        <f>COUNTIFS('DEF_SELF_SCOUT_IMPORT'!$L$42:$L$1040,"Y",'DEF_SELF_SCOUT_IMPORT'!$E$42:$E$1040,SUBSTITUTE(SUBSTITUTE(SUBSTITUTE($B1291,"~","~~"),"*","~*"),"?","~?"),'DEF_SELF_SCOUT_IMPORT'!$D$42:$D$1040,SUBSTITUTE(SUBSTITUTE(SUBSTITUTE($P1291,"~","~~"),"*","~*"),"?","~?"))</f>
        <v>1</v>
      </c>
      <c r="D1291" s="10">
        <f>IF($C1291=0,"",SUMIFS('DEF_SELF_SCOUT_IMPORT'!$J$42:$J$1040,'DEF_SELF_SCOUT_IMPORT'!$L$42:$L$1040,"Y",'DEF_SELF_SCOUT_IMPORT'!$E$42:$E$1040,SUBSTITUTE(SUBSTITUTE(SUBSTITUTE($B1291,"~","~~"),"*","~*"),"?","~?"),'DEF_SELF_SCOUT_IMPORT'!$D$42:$D$1040,SUBSTITUTE(SUBSTITUTE(SUBSTITUTE($P1291,"~","~~"),"*","~*"),"?","~?"))/$C1291)</f>
        <v>0.0</v>
      </c>
      <c r="E1291" s="10">
        <f>IF($C1291=0,"",SUMIFS('DEF_SELF_SCOUT_IMPORT'!$K$42:$K$1040,'DEF_SELF_SCOUT_IMPORT'!$L$42:$L$1040,"Y",'DEF_SELF_SCOUT_IMPORT'!$E$42:$E$1040,SUBSTITUTE(SUBSTITUTE(SUBSTITUTE($B1291,"~","~~"),"*","~*"),"?","~?"),'DEF_SELF_SCOUT_IMPORT'!$D$42:$D$1040,SUBSTITUTE(SUBSTITUTE(SUBSTITUTE($P1291,"~","~~"),"*","~*"),"?","~?"))/$C1291)</f>
        <v>0.0</v>
      </c>
      <c r="F1291" s="11">
        <f>IF($C1291=0,"",AVERAGEIFS('DEF_SELF_SCOUT_IMPORT'!$I$42:$I$1040,'DEF_SELF_SCOUT_IMPORT'!$L$42:$L$1040,"Y",'DEF_SELF_SCOUT_IMPORT'!$E$42:$E$1040,SUBSTITUTE(SUBSTITUTE(SUBSTITUTE($B1291,"~","~~"),"*","~*"),"?","~?"),'DEF_SELF_SCOUT_IMPORT'!$D$42:$D$1040,SUBSTITUTE(SUBSTITUTE(SUBSTITUTE($P1291,"~","~~"),"*","~*"),"?","~?")))</f>
        <v>10.0</v>
      </c>
      <c r="G1291" s="10">
        <f>IF($C1291=0,"",COUNTIFS('DEF_SELF_SCOUT_IMPORT'!$L$42:$L$1040,"Y",'DEF_SELF_SCOUT_IMPORT'!$E$42:$E$1040,SUBSTITUTE(SUBSTITUTE(SUBSTITUTE($B1291,"~","~~"),"*","~*"),"?","~?"),'DEF_SELF_SCOUT_IMPORT'!$D$42:$D$1040,SUBSTITUTE(SUBSTITUTE(SUBSTITUTE($P1291,"~","~~"),"*","~*"),"?","~?"),'DEF_SELF_SCOUT_IMPORT'!$H$42:$H$1040,"RUSH")/$C1291)</f>
        <v>0.0</v>
      </c>
      <c r="H1291" s="10">
        <f>IF($C1291=0,"",COUNTIFS('DEF_SELF_SCOUT_IMPORT'!$L$42:$L$1040,"Y",'DEF_SELF_SCOUT_IMPORT'!$E$42:$E$1040,SUBSTITUTE(SUBSTITUTE(SUBSTITUTE($B1291,"~","~~"),"*","~*"),"?","~?"),'DEF_SELF_SCOUT_IMPORT'!$D$42:$D$1040,SUBSTITUTE(SUBSTITUTE(SUBSTITUTE($P1291,"~","~~"),"*","~*"),"?","~?"),'DEF_SELF_SCOUT_IMPORT'!$H$42:$H$1040,"DROPBACK")/$C1291)</f>
        <v>1.0</v>
      </c>
      <c r="I1291" s="14" t="str">
        <f>IF(C1291=0,"",IF(C1291&lt;=2,"TRACK",IF(C1291=3,"LOW",IF(C1291&lt;=6,"MEDIUM","HIGH"))))</f>
        <v>TRACK</v>
      </c>
      <c r="J1291" s="11">
        <f>IF(C1291=0,"",ROUND(D1291*70+(1-E1291)*20+MAX(0,MIN(1,(10-F1291)/10))*10,1))</f>
        <v>20.0</v>
      </c>
      <c r="K1291" s="14" t="str">
        <f>IF(C1291=0,"No Evidence",IF(C1291&lt;=2,IF(E1291&gt;0,"Explosive Alert","Track Only"),IF(C1291=3,"Sample Watch",IF(E1291&gt;=START_HERE!$B$31,"Explosive Alert",IF(J1291&gt;=80,"Strong Candidate",IF(J1291&gt;=65,"Good Candidate",IF(J1291&gt;=50,"Mixed / Review","Problem Call")))))))</f>
        <v>Track Only</v>
      </c>
      <c r="L1291" s="9" t="str">
        <f>IF(COUNTIFS('DEF_SELF_SCOUT_IMPORT'!$L$42:$L$1040,"Y",'DEF_SELF_SCOUT_IMPORT'!$E$42:$E$1040,SUBSTITUTE(SUBSTITUTE(SUBSTITUTE($B1291,"~","~~"),"*","~*"),"?","~?"),'DEF_SELF_SCOUT_IMPORT'!$D$42:$D$1040,SUBSTITUTE(SUBSTITUTE(SUBSTITUTE($P1291,"~","~~"),"*","~*"),"?","~?"),'DEF_SELF_SCOUT_IMPORT'!$J$42:$J$1040,"")&gt;0,"Unscored clean outcome; review result tags before using score.",IF(C1291=0,"No matching defensive reps; film confirmation needed.",IF(K1291="Explosive Alert","Explosive risk; review clips before using as answer.",IF(C1291&lt;=2,"Track only; not enough sample.",IF(C1291=3,IF(E1291&gt;0,"Sample watch with explosive exposure; review clips and build the sample.",IF(J1291&gt;=65,"Good signal, but sample is limited.","Sample watch; review clips and build the sample.")),IF(K1291="Problem Call","Problem area; practice or call-sheet review.",IF(K1291="Strong Candidate","Strong call-fit candidate; confirm on film.",IF(K1291="Good Candidate","Good call-fit signal; confirm on film.","Mixed signal; review fit and execution on film."))))))))</f>
        <v>Track only; not enough sample.</v>
      </c>
      <c r="M1291" s="8"/>
      <c r="N1291" s="8"/>
      <c r="O1291" s="8"/>
      <c r="P1291" s="8" t="s">
        <v>449</v>
      </c>
      <c r="Q1291" s="8"/>
      <c r="R1291" s="8" t="s">
        <v>633</v>
      </c>
      <c r="S1291" s="2" t="s">
        <v>637</v>
      </c>
      <c r="T1291" s="2">
        <f>IF(C1291=0,0,IF(C1291&gt;=CALL_LOOKUP_BOARD!$B$7,IF(OR(K1291="Problem Call",K1291="Explosive Alert"),10000000,20000000),0)+IF(C1291&gt;=CALL_LOOKUP_BOARD!$B$7,J1291*1000+MIN(C1291,999),C1291*1000+J1291)+0.00997200)</f>
        <v>1020.009972</v>
      </c>
      <c r="U1291" s="2">
        <f>IF(C1291=0,"",IF(COUNTIFS($S$1264:$S$1440,SUBSTITUTE(SUBSTITUTE(SUBSTITUTE(S1291,"~","~~"),"*","~*"),"?","~?"),$T$1264:$T$1440,"&gt;"&amp;T1291)=0,S1291,""))</f>
        <v/>
      </c>
    </row>
    <row r="1292" spans="1:21" ht="38" customHeight="1">
      <c r="A1292" s="8" t="s">
        <v>449</v>
      </c>
      <c r="B1292" s="8" t="s">
        <v>49</v>
      </c>
      <c r="C1292" s="12">
        <f>COUNTIFS('DEF_SELF_SCOUT_IMPORT'!$L$42:$L$1040,"Y",'DEF_SELF_SCOUT_IMPORT'!$E$42:$E$1040,SUBSTITUTE(SUBSTITUTE(SUBSTITUTE($B1292,"~","~~"),"*","~*"),"?","~?"),'DEF_SELF_SCOUT_IMPORT'!$D$42:$D$1040,SUBSTITUTE(SUBSTITUTE(SUBSTITUTE($P1292,"~","~~"),"*","~*"),"?","~?"))</f>
        <v>1</v>
      </c>
      <c r="D1292" s="10">
        <f>IF($C1292=0,"",SUMIFS('DEF_SELF_SCOUT_IMPORT'!$J$42:$J$1040,'DEF_SELF_SCOUT_IMPORT'!$L$42:$L$1040,"Y",'DEF_SELF_SCOUT_IMPORT'!$E$42:$E$1040,SUBSTITUTE(SUBSTITUTE(SUBSTITUTE($B1292,"~","~~"),"*","~*"),"?","~?"),'DEF_SELF_SCOUT_IMPORT'!$D$42:$D$1040,SUBSTITUTE(SUBSTITUTE(SUBSTITUTE($P1292,"~","~~"),"*","~*"),"?","~?"))/$C1292)</f>
        <v>1.0</v>
      </c>
      <c r="E1292" s="10">
        <f>IF($C1292=0,"",SUMIFS('DEF_SELF_SCOUT_IMPORT'!$K$42:$K$1040,'DEF_SELF_SCOUT_IMPORT'!$L$42:$L$1040,"Y",'DEF_SELF_SCOUT_IMPORT'!$E$42:$E$1040,SUBSTITUTE(SUBSTITUTE(SUBSTITUTE($B1292,"~","~~"),"*","~*"),"?","~?"),'DEF_SELF_SCOUT_IMPORT'!$D$42:$D$1040,SUBSTITUTE(SUBSTITUTE(SUBSTITUTE($P1292,"~","~~"),"*","~*"),"?","~?"))/$C1292)</f>
        <v>0.0</v>
      </c>
      <c r="F1292" s="11">
        <f>IF($C1292=0,"",AVERAGEIFS('DEF_SELF_SCOUT_IMPORT'!$I$42:$I$1040,'DEF_SELF_SCOUT_IMPORT'!$L$42:$L$1040,"Y",'DEF_SELF_SCOUT_IMPORT'!$E$42:$E$1040,SUBSTITUTE(SUBSTITUTE(SUBSTITUTE($B1292,"~","~~"),"*","~*"),"?","~?"),'DEF_SELF_SCOUT_IMPORT'!$D$42:$D$1040,SUBSTITUTE(SUBSTITUTE(SUBSTITUTE($P1292,"~","~~"),"*","~*"),"?","~?")))</f>
        <v>0.0</v>
      </c>
      <c r="G1292" s="10">
        <f>IF($C1292=0,"",COUNTIFS('DEF_SELF_SCOUT_IMPORT'!$L$42:$L$1040,"Y",'DEF_SELF_SCOUT_IMPORT'!$E$42:$E$1040,SUBSTITUTE(SUBSTITUTE(SUBSTITUTE($B1292,"~","~~"),"*","~*"),"?","~?"),'DEF_SELF_SCOUT_IMPORT'!$D$42:$D$1040,SUBSTITUTE(SUBSTITUTE(SUBSTITUTE($P1292,"~","~~"),"*","~*"),"?","~?"),'DEF_SELF_SCOUT_IMPORT'!$H$42:$H$1040,"RUSH")/$C1292)</f>
        <v>0.0</v>
      </c>
      <c r="H1292" s="10">
        <f>IF($C1292=0,"",COUNTIFS('DEF_SELF_SCOUT_IMPORT'!$L$42:$L$1040,"Y",'DEF_SELF_SCOUT_IMPORT'!$E$42:$E$1040,SUBSTITUTE(SUBSTITUTE(SUBSTITUTE($B1292,"~","~~"),"*","~*"),"?","~?"),'DEF_SELF_SCOUT_IMPORT'!$D$42:$D$1040,SUBSTITUTE(SUBSTITUTE(SUBSTITUTE($P1292,"~","~~"),"*","~*"),"?","~?"),'DEF_SELF_SCOUT_IMPORT'!$H$42:$H$1040,"DROPBACK")/$C1292)</f>
        <v>1.0</v>
      </c>
      <c r="I1292" s="14" t="str">
        <f>IF(C1292=0,"",IF(C1292&lt;=2,"TRACK",IF(C1292=3,"LOW",IF(C1292&lt;=6,"MEDIUM","HIGH"))))</f>
        <v>TRACK</v>
      </c>
      <c r="J1292" s="11">
        <f>IF(C1292=0,"",ROUND(D1292*70+(1-E1292)*20+MAX(0,MIN(1,(10-F1292)/10))*10,1))</f>
        <v>100.0</v>
      </c>
      <c r="K1292" s="14" t="str">
        <f>IF(C1292=0,"No Evidence",IF(C1292&lt;=2,IF(E1292&gt;0,"Explosive Alert","Track Only"),IF(C1292=3,"Sample Watch",IF(E1292&gt;=START_HERE!$B$31,"Explosive Alert",IF(J1292&gt;=80,"Strong Candidate",IF(J1292&gt;=65,"Good Candidate",IF(J1292&gt;=50,"Mixed / Review","Problem Call")))))))</f>
        <v>Track Only</v>
      </c>
      <c r="L1292" s="9" t="str">
        <f>IF(COUNTIFS('DEF_SELF_SCOUT_IMPORT'!$L$42:$L$1040,"Y",'DEF_SELF_SCOUT_IMPORT'!$E$42:$E$1040,SUBSTITUTE(SUBSTITUTE(SUBSTITUTE($B1292,"~","~~"),"*","~*"),"?","~?"),'DEF_SELF_SCOUT_IMPORT'!$D$42:$D$1040,SUBSTITUTE(SUBSTITUTE(SUBSTITUTE($P1292,"~","~~"),"*","~*"),"?","~?"),'DEF_SELF_SCOUT_IMPORT'!$J$42:$J$1040,"")&gt;0,"Unscored clean outcome; review result tags before using score.",IF(C1292=0,"No matching defensive reps; film confirmation needed.",IF(K1292="Explosive Alert","Explosive risk; review clips before using as answer.",IF(C1292&lt;=2,"Track only; not enough sample.",IF(C1292=3,IF(E1292&gt;0,"Sample watch with explosive exposure; review clips and build the sample.",IF(J1292&gt;=65,"Good signal, but sample is limited.","Sample watch; review clips and build the sample.")),IF(K1292="Problem Call","Problem area; practice or call-sheet review.",IF(K1292="Strong Candidate","Strong call-fit candidate; confirm on film.",IF(K1292="Good Candidate","Good call-fit signal; confirm on film.","Mixed signal; review fit and execution on film."))))))))</f>
        <v>Track only; not enough sample.</v>
      </c>
      <c r="M1292" s="8"/>
      <c r="N1292" s="8"/>
      <c r="O1292" s="8"/>
      <c r="P1292" s="8" t="s">
        <v>449</v>
      </c>
      <c r="Q1292" s="8"/>
      <c r="R1292" s="8" t="s">
        <v>633</v>
      </c>
      <c r="S1292" s="2" t="s">
        <v>637</v>
      </c>
      <c r="T1292" s="2">
        <f>IF(C1292=0,0,IF(C1292&gt;=CALL_LOOKUP_BOARD!$B$7,IF(OR(K1292="Problem Call",K1292="Explosive Alert"),10000000,20000000),0)+IF(C1292&gt;=CALL_LOOKUP_BOARD!$B$7,J1292*1000+MIN(C1292,999),C1292*1000+J1292)+0.00997100)</f>
        <v>1100.009971</v>
      </c>
      <c r="U1292" s="2">
        <f>IF(C1292=0,"",IF(COUNTIFS($S$1264:$S$1440,SUBSTITUTE(SUBSTITUTE(SUBSTITUTE(S1292,"~","~~"),"*","~*"),"?","~?"),$T$1264:$T$1440,"&gt;"&amp;T1292)=0,S1292,""))</f>
        <v/>
      </c>
    </row>
    <row r="1293" spans="1:21" ht="38" customHeight="1">
      <c r="A1293" s="8" t="s">
        <v>449</v>
      </c>
      <c r="B1293" s="8" t="s">
        <v>97</v>
      </c>
      <c r="C1293" s="12">
        <f>COUNTIFS('DEF_SELF_SCOUT_IMPORT'!$L$42:$L$1040,"Y",'DEF_SELF_SCOUT_IMPORT'!$E$42:$E$1040,SUBSTITUTE(SUBSTITUTE(SUBSTITUTE($B1293,"~","~~"),"*","~*"),"?","~?"),'DEF_SELF_SCOUT_IMPORT'!$D$42:$D$1040,SUBSTITUTE(SUBSTITUTE(SUBSTITUTE($P1293,"~","~~"),"*","~*"),"?","~?"))</f>
        <v>1</v>
      </c>
      <c r="D1293" s="10">
        <f>IF($C1293=0,"",SUMIFS('DEF_SELF_SCOUT_IMPORT'!$J$42:$J$1040,'DEF_SELF_SCOUT_IMPORT'!$L$42:$L$1040,"Y",'DEF_SELF_SCOUT_IMPORT'!$E$42:$E$1040,SUBSTITUTE(SUBSTITUTE(SUBSTITUTE($B1293,"~","~~"),"*","~*"),"?","~?"),'DEF_SELF_SCOUT_IMPORT'!$D$42:$D$1040,SUBSTITUTE(SUBSTITUTE(SUBSTITUTE($P1293,"~","~~"),"*","~*"),"?","~?"))/$C1293)</f>
        <v>0.0</v>
      </c>
      <c r="E1293" s="10">
        <f>IF($C1293=0,"",SUMIFS('DEF_SELF_SCOUT_IMPORT'!$K$42:$K$1040,'DEF_SELF_SCOUT_IMPORT'!$L$42:$L$1040,"Y",'DEF_SELF_SCOUT_IMPORT'!$E$42:$E$1040,SUBSTITUTE(SUBSTITUTE(SUBSTITUTE($B1293,"~","~~"),"*","~*"),"?","~?"),'DEF_SELF_SCOUT_IMPORT'!$D$42:$D$1040,SUBSTITUTE(SUBSTITUTE(SUBSTITUTE($P1293,"~","~~"),"*","~*"),"?","~?"))/$C1293)</f>
        <v>1.0</v>
      </c>
      <c r="F1293" s="11">
        <f>IF($C1293=0,"",AVERAGEIFS('DEF_SELF_SCOUT_IMPORT'!$I$42:$I$1040,'DEF_SELF_SCOUT_IMPORT'!$L$42:$L$1040,"Y",'DEF_SELF_SCOUT_IMPORT'!$E$42:$E$1040,SUBSTITUTE(SUBSTITUTE(SUBSTITUTE($B1293,"~","~~"),"*","~*"),"?","~?"),'DEF_SELF_SCOUT_IMPORT'!$D$42:$D$1040,SUBSTITUTE(SUBSTITUTE(SUBSTITUTE($P1293,"~","~~"),"*","~*"),"?","~?")))</f>
        <v>26.0</v>
      </c>
      <c r="G1293" s="10">
        <f>IF($C1293=0,"",COUNTIFS('DEF_SELF_SCOUT_IMPORT'!$L$42:$L$1040,"Y",'DEF_SELF_SCOUT_IMPORT'!$E$42:$E$1040,SUBSTITUTE(SUBSTITUTE(SUBSTITUTE($B1293,"~","~~"),"*","~*"),"?","~?"),'DEF_SELF_SCOUT_IMPORT'!$D$42:$D$1040,SUBSTITUTE(SUBSTITUTE(SUBSTITUTE($P1293,"~","~~"),"*","~*"),"?","~?"),'DEF_SELF_SCOUT_IMPORT'!$H$42:$H$1040,"RUSH")/$C1293)</f>
        <v>0.0</v>
      </c>
      <c r="H1293" s="10">
        <f>IF($C1293=0,"",COUNTIFS('DEF_SELF_SCOUT_IMPORT'!$L$42:$L$1040,"Y",'DEF_SELF_SCOUT_IMPORT'!$E$42:$E$1040,SUBSTITUTE(SUBSTITUTE(SUBSTITUTE($B1293,"~","~~"),"*","~*"),"?","~?"),'DEF_SELF_SCOUT_IMPORT'!$D$42:$D$1040,SUBSTITUTE(SUBSTITUTE(SUBSTITUTE($P1293,"~","~~"),"*","~*"),"?","~?"),'DEF_SELF_SCOUT_IMPORT'!$H$42:$H$1040,"DROPBACK")/$C1293)</f>
        <v>1.0</v>
      </c>
      <c r="I1293" s="14" t="str">
        <f>IF(C1293=0,"",IF(C1293&lt;=2,"TRACK",IF(C1293=3,"LOW",IF(C1293&lt;=6,"MEDIUM","HIGH"))))</f>
        <v>TRACK</v>
      </c>
      <c r="J1293" s="11">
        <f>IF(C1293=0,"",ROUND(D1293*70+(1-E1293)*20+MAX(0,MIN(1,(10-F1293)/10))*10,1))</f>
        <v>0.0</v>
      </c>
      <c r="K1293" s="14" t="str">
        <f>IF(C1293=0,"No Evidence",IF(C1293&lt;=2,IF(E1293&gt;0,"Explosive Alert","Track Only"),IF(C1293=3,"Sample Watch",IF(E1293&gt;=START_HERE!$B$31,"Explosive Alert",IF(J1293&gt;=80,"Strong Candidate",IF(J1293&gt;=65,"Good Candidate",IF(J1293&gt;=50,"Mixed / Review","Problem Call")))))))</f>
        <v>Explosive Alert</v>
      </c>
      <c r="L1293" s="9" t="str">
        <f>IF(COUNTIFS('DEF_SELF_SCOUT_IMPORT'!$L$42:$L$1040,"Y",'DEF_SELF_SCOUT_IMPORT'!$E$42:$E$1040,SUBSTITUTE(SUBSTITUTE(SUBSTITUTE($B1293,"~","~~"),"*","~*"),"?","~?"),'DEF_SELF_SCOUT_IMPORT'!$D$42:$D$1040,SUBSTITUTE(SUBSTITUTE(SUBSTITUTE($P1293,"~","~~"),"*","~*"),"?","~?"),'DEF_SELF_SCOUT_IMPORT'!$J$42:$J$1040,"")&gt;0,"Unscored clean outcome; review result tags before using score.",IF(C1293=0,"No matching defensive reps; film confirmation needed.",IF(K1293="Explosive Alert","Explosive risk; review clips before using as answer.",IF(C1293&lt;=2,"Track only; not enough sample.",IF(C1293=3,IF(E1293&gt;0,"Sample watch with explosive exposure; review clips and build the sample.",IF(J1293&gt;=65,"Good signal, but sample is limited.","Sample watch; review clips and build the sample.")),IF(K1293="Problem Call","Problem area; practice or call-sheet review.",IF(K1293="Strong Candidate","Strong call-fit candidate; confirm on film.",IF(K1293="Good Candidate","Good call-fit signal; confirm on film.","Mixed signal; review fit and execution on film."))))))))</f>
        <v>Explosive risk; review clips before using as answer.</v>
      </c>
      <c r="M1293" s="8"/>
      <c r="N1293" s="8"/>
      <c r="O1293" s="8"/>
      <c r="P1293" s="8" t="s">
        <v>449</v>
      </c>
      <c r="Q1293" s="8"/>
      <c r="R1293" s="8" t="s">
        <v>633</v>
      </c>
      <c r="S1293" s="2" t="s">
        <v>637</v>
      </c>
      <c r="T1293" s="2">
        <f>IF(C1293=0,0,IF(C1293&gt;=CALL_LOOKUP_BOARD!$B$7,IF(OR(K1293="Problem Call",K1293="Explosive Alert"),10000000,20000000),0)+IF(C1293&gt;=CALL_LOOKUP_BOARD!$B$7,J1293*1000+MIN(C1293,999),C1293*1000+J1293)+0.00997000)</f>
        <v>1000.00997</v>
      </c>
      <c r="U1293" s="2">
        <f>IF(C1293=0,"",IF(COUNTIFS($S$1264:$S$1440,SUBSTITUTE(SUBSTITUTE(SUBSTITUTE(S1293,"~","~~"),"*","~*"),"?","~?"),$T$1264:$T$1440,"&gt;"&amp;T1293)=0,S1293,""))</f>
        <v/>
      </c>
    </row>
    <row r="1294" spans="1:21" ht="38" customHeight="1">
      <c r="A1294" s="8" t="s">
        <v>449</v>
      </c>
      <c r="B1294" s="8" t="s">
        <v>79</v>
      </c>
      <c r="C1294" s="12">
        <f>COUNTIFS('DEF_SELF_SCOUT_IMPORT'!$L$42:$L$1040,"Y",'DEF_SELF_SCOUT_IMPORT'!$E$42:$E$1040,SUBSTITUTE(SUBSTITUTE(SUBSTITUTE($B1294,"~","~~"),"*","~*"),"?","~?"),'DEF_SELF_SCOUT_IMPORT'!$D$42:$D$1040,SUBSTITUTE(SUBSTITUTE(SUBSTITUTE($P1294,"~","~~"),"*","~*"),"?","~?"))</f>
        <v>1</v>
      </c>
      <c r="D1294" s="10">
        <f>IF($C1294=0,"",SUMIFS('DEF_SELF_SCOUT_IMPORT'!$J$42:$J$1040,'DEF_SELF_SCOUT_IMPORT'!$L$42:$L$1040,"Y",'DEF_SELF_SCOUT_IMPORT'!$E$42:$E$1040,SUBSTITUTE(SUBSTITUTE(SUBSTITUTE($B1294,"~","~~"),"*","~*"),"?","~?"),'DEF_SELF_SCOUT_IMPORT'!$D$42:$D$1040,SUBSTITUTE(SUBSTITUTE(SUBSTITUTE($P1294,"~","~~"),"*","~*"),"?","~?"))/$C1294)</f>
        <v>1.0</v>
      </c>
      <c r="E1294" s="10">
        <f>IF($C1294=0,"",SUMIFS('DEF_SELF_SCOUT_IMPORT'!$K$42:$K$1040,'DEF_SELF_SCOUT_IMPORT'!$L$42:$L$1040,"Y",'DEF_SELF_SCOUT_IMPORT'!$E$42:$E$1040,SUBSTITUTE(SUBSTITUTE(SUBSTITUTE($B1294,"~","~~"),"*","~*"),"?","~?"),'DEF_SELF_SCOUT_IMPORT'!$D$42:$D$1040,SUBSTITUTE(SUBSTITUTE(SUBSTITUTE($P1294,"~","~~"),"*","~*"),"?","~?"))/$C1294)</f>
        <v>0.0</v>
      </c>
      <c r="F1294" s="11">
        <f>IF($C1294=0,"",AVERAGEIFS('DEF_SELF_SCOUT_IMPORT'!$I$42:$I$1040,'DEF_SELF_SCOUT_IMPORT'!$L$42:$L$1040,"Y",'DEF_SELF_SCOUT_IMPORT'!$E$42:$E$1040,SUBSTITUTE(SUBSTITUTE(SUBSTITUTE($B1294,"~","~~"),"*","~*"),"?","~?"),'DEF_SELF_SCOUT_IMPORT'!$D$42:$D$1040,SUBSTITUTE(SUBSTITUTE(SUBSTITUTE($P1294,"~","~~"),"*","~*"),"?","~?")))</f>
        <v>-1.0</v>
      </c>
      <c r="G1294" s="10">
        <f>IF($C1294=0,"",COUNTIFS('DEF_SELF_SCOUT_IMPORT'!$L$42:$L$1040,"Y",'DEF_SELF_SCOUT_IMPORT'!$E$42:$E$1040,SUBSTITUTE(SUBSTITUTE(SUBSTITUTE($B1294,"~","~~"),"*","~*"),"?","~?"),'DEF_SELF_SCOUT_IMPORT'!$D$42:$D$1040,SUBSTITUTE(SUBSTITUTE(SUBSTITUTE($P1294,"~","~~"),"*","~*"),"?","~?"),'DEF_SELF_SCOUT_IMPORT'!$H$42:$H$1040,"RUSH")/$C1294)</f>
        <v>0.0</v>
      </c>
      <c r="H1294" s="10">
        <f>IF($C1294=0,"",COUNTIFS('DEF_SELF_SCOUT_IMPORT'!$L$42:$L$1040,"Y",'DEF_SELF_SCOUT_IMPORT'!$E$42:$E$1040,SUBSTITUTE(SUBSTITUTE(SUBSTITUTE($B1294,"~","~~"),"*","~*"),"?","~?"),'DEF_SELF_SCOUT_IMPORT'!$D$42:$D$1040,SUBSTITUTE(SUBSTITUTE(SUBSTITUTE($P1294,"~","~~"),"*","~*"),"?","~?"),'DEF_SELF_SCOUT_IMPORT'!$H$42:$H$1040,"DROPBACK")/$C1294)</f>
        <v>1.0</v>
      </c>
      <c r="I1294" s="14" t="str">
        <f>IF(C1294=0,"",IF(C1294&lt;=2,"TRACK",IF(C1294=3,"LOW",IF(C1294&lt;=6,"MEDIUM","HIGH"))))</f>
        <v>TRACK</v>
      </c>
      <c r="J1294" s="11">
        <f>IF(C1294=0,"",ROUND(D1294*70+(1-E1294)*20+MAX(0,MIN(1,(10-F1294)/10))*10,1))</f>
        <v>100.0</v>
      </c>
      <c r="K1294" s="14" t="str">
        <f>IF(C1294=0,"No Evidence",IF(C1294&lt;=2,IF(E1294&gt;0,"Explosive Alert","Track Only"),IF(C1294=3,"Sample Watch",IF(E1294&gt;=START_HERE!$B$31,"Explosive Alert",IF(J1294&gt;=80,"Strong Candidate",IF(J1294&gt;=65,"Good Candidate",IF(J1294&gt;=50,"Mixed / Review","Problem Call")))))))</f>
        <v>Track Only</v>
      </c>
      <c r="L1294" s="9" t="str">
        <f>IF(COUNTIFS('DEF_SELF_SCOUT_IMPORT'!$L$42:$L$1040,"Y",'DEF_SELF_SCOUT_IMPORT'!$E$42:$E$1040,SUBSTITUTE(SUBSTITUTE(SUBSTITUTE($B1294,"~","~~"),"*","~*"),"?","~?"),'DEF_SELF_SCOUT_IMPORT'!$D$42:$D$1040,SUBSTITUTE(SUBSTITUTE(SUBSTITUTE($P1294,"~","~~"),"*","~*"),"?","~?"),'DEF_SELF_SCOUT_IMPORT'!$J$42:$J$1040,"")&gt;0,"Unscored clean outcome; review result tags before using score.",IF(C1294=0,"No matching defensive reps; film confirmation needed.",IF(K1294="Explosive Alert","Explosive risk; review clips before using as answer.",IF(C1294&lt;=2,"Track only; not enough sample.",IF(C1294=3,IF(E1294&gt;0,"Sample watch with explosive exposure; review clips and build the sample.",IF(J1294&gt;=65,"Good signal, but sample is limited.","Sample watch; review clips and build the sample.")),IF(K1294="Problem Call","Problem area; practice or call-sheet review.",IF(K1294="Strong Candidate","Strong call-fit candidate; confirm on film.",IF(K1294="Good Candidate","Good call-fit signal; confirm on film.","Mixed signal; review fit and execution on film."))))))))</f>
        <v>Track only; not enough sample.</v>
      </c>
      <c r="M1294" s="8"/>
      <c r="N1294" s="8"/>
      <c r="O1294" s="8"/>
      <c r="P1294" s="8" t="s">
        <v>449</v>
      </c>
      <c r="Q1294" s="8"/>
      <c r="R1294" s="8" t="s">
        <v>633</v>
      </c>
      <c r="S1294" s="2" t="s">
        <v>637</v>
      </c>
      <c r="T1294" s="2">
        <f>IF(C1294=0,0,IF(C1294&gt;=CALL_LOOKUP_BOARD!$B$7,IF(OR(K1294="Problem Call",K1294="Explosive Alert"),10000000,20000000),0)+IF(C1294&gt;=CALL_LOOKUP_BOARD!$B$7,J1294*1000+MIN(C1294,999),C1294*1000+J1294)+0.00996900)</f>
        <v>1100.009969</v>
      </c>
      <c r="U1294" s="2">
        <f>IF(C1294=0,"",IF(COUNTIFS($S$1264:$S$1440,SUBSTITUTE(SUBSTITUTE(SUBSTITUTE(S1294,"~","~~"),"*","~*"),"?","~?"),$T$1264:$T$1440,"&gt;"&amp;T1294)=0,S1294,""))</f>
        <v/>
      </c>
    </row>
    <row r="1295" spans="1:21" ht="38" customHeight="1">
      <c r="A1295" s="8" t="s">
        <v>449</v>
      </c>
      <c r="B1295" s="8" t="s">
        <v>80</v>
      </c>
      <c r="C1295" s="12">
        <f>COUNTIFS('DEF_SELF_SCOUT_IMPORT'!$L$42:$L$1040,"Y",'DEF_SELF_SCOUT_IMPORT'!$E$42:$E$1040,SUBSTITUTE(SUBSTITUTE(SUBSTITUTE($B1295,"~","~~"),"*","~*"),"?","~?"),'DEF_SELF_SCOUT_IMPORT'!$D$42:$D$1040,SUBSTITUTE(SUBSTITUTE(SUBSTITUTE($P1295,"~","~~"),"*","~*"),"?","~?"))</f>
        <v>1</v>
      </c>
      <c r="D1295" s="10">
        <f>IF($C1295=0,"",SUMIFS('DEF_SELF_SCOUT_IMPORT'!$J$42:$J$1040,'DEF_SELF_SCOUT_IMPORT'!$L$42:$L$1040,"Y",'DEF_SELF_SCOUT_IMPORT'!$E$42:$E$1040,SUBSTITUTE(SUBSTITUTE(SUBSTITUTE($B1295,"~","~~"),"*","~*"),"?","~?"),'DEF_SELF_SCOUT_IMPORT'!$D$42:$D$1040,SUBSTITUTE(SUBSTITUTE(SUBSTITUTE($P1295,"~","~~"),"*","~*"),"?","~?"))/$C1295)</f>
        <v>1.0</v>
      </c>
      <c r="E1295" s="10">
        <f>IF($C1295=0,"",SUMIFS('DEF_SELF_SCOUT_IMPORT'!$K$42:$K$1040,'DEF_SELF_SCOUT_IMPORT'!$L$42:$L$1040,"Y",'DEF_SELF_SCOUT_IMPORT'!$E$42:$E$1040,SUBSTITUTE(SUBSTITUTE(SUBSTITUTE($B1295,"~","~~"),"*","~*"),"?","~?"),'DEF_SELF_SCOUT_IMPORT'!$D$42:$D$1040,SUBSTITUTE(SUBSTITUTE(SUBSTITUTE($P1295,"~","~~"),"*","~*"),"?","~?"))/$C1295)</f>
        <v>0.0</v>
      </c>
      <c r="F1295" s="11">
        <f>IF($C1295=0,"",AVERAGEIFS('DEF_SELF_SCOUT_IMPORT'!$I$42:$I$1040,'DEF_SELF_SCOUT_IMPORT'!$L$42:$L$1040,"Y",'DEF_SELF_SCOUT_IMPORT'!$E$42:$E$1040,SUBSTITUTE(SUBSTITUTE(SUBSTITUTE($B1295,"~","~~"),"*","~*"),"?","~?"),'DEF_SELF_SCOUT_IMPORT'!$D$42:$D$1040,SUBSTITUTE(SUBSTITUTE(SUBSTITUTE($P1295,"~","~~"),"*","~*"),"?","~?")))</f>
        <v>3.0</v>
      </c>
      <c r="G1295" s="10">
        <f>IF($C1295=0,"",COUNTIFS('DEF_SELF_SCOUT_IMPORT'!$L$42:$L$1040,"Y",'DEF_SELF_SCOUT_IMPORT'!$E$42:$E$1040,SUBSTITUTE(SUBSTITUTE(SUBSTITUTE($B1295,"~","~~"),"*","~*"),"?","~?"),'DEF_SELF_SCOUT_IMPORT'!$D$42:$D$1040,SUBSTITUTE(SUBSTITUTE(SUBSTITUTE($P1295,"~","~~"),"*","~*"),"?","~?"),'DEF_SELF_SCOUT_IMPORT'!$H$42:$H$1040,"RUSH")/$C1295)</f>
        <v>0.0</v>
      </c>
      <c r="H1295" s="10">
        <f>IF($C1295=0,"",COUNTIFS('DEF_SELF_SCOUT_IMPORT'!$L$42:$L$1040,"Y",'DEF_SELF_SCOUT_IMPORT'!$E$42:$E$1040,SUBSTITUTE(SUBSTITUTE(SUBSTITUTE($B1295,"~","~~"),"*","~*"),"?","~?"),'DEF_SELF_SCOUT_IMPORT'!$D$42:$D$1040,SUBSTITUTE(SUBSTITUTE(SUBSTITUTE($P1295,"~","~~"),"*","~*"),"?","~?"),'DEF_SELF_SCOUT_IMPORT'!$H$42:$H$1040,"DROPBACK")/$C1295)</f>
        <v>1.0</v>
      </c>
      <c r="I1295" s="14" t="str">
        <f>IF(C1295=0,"",IF(C1295&lt;=2,"TRACK",IF(C1295=3,"LOW",IF(C1295&lt;=6,"MEDIUM","HIGH"))))</f>
        <v>TRACK</v>
      </c>
      <c r="J1295" s="11">
        <f>IF(C1295=0,"",ROUND(D1295*70+(1-E1295)*20+MAX(0,MIN(1,(10-F1295)/10))*10,1))</f>
        <v>97.0</v>
      </c>
      <c r="K1295" s="14" t="str">
        <f>IF(C1295=0,"No Evidence",IF(C1295&lt;=2,IF(E1295&gt;0,"Explosive Alert","Track Only"),IF(C1295=3,"Sample Watch",IF(E1295&gt;=START_HERE!$B$31,"Explosive Alert",IF(J1295&gt;=80,"Strong Candidate",IF(J1295&gt;=65,"Good Candidate",IF(J1295&gt;=50,"Mixed / Review","Problem Call")))))))</f>
        <v>Track Only</v>
      </c>
      <c r="L1295" s="9" t="str">
        <f>IF(COUNTIFS('DEF_SELF_SCOUT_IMPORT'!$L$42:$L$1040,"Y",'DEF_SELF_SCOUT_IMPORT'!$E$42:$E$1040,SUBSTITUTE(SUBSTITUTE(SUBSTITUTE($B1295,"~","~~"),"*","~*"),"?","~?"),'DEF_SELF_SCOUT_IMPORT'!$D$42:$D$1040,SUBSTITUTE(SUBSTITUTE(SUBSTITUTE($P1295,"~","~~"),"*","~*"),"?","~?"),'DEF_SELF_SCOUT_IMPORT'!$J$42:$J$1040,"")&gt;0,"Unscored clean outcome; review result tags before using score.",IF(C1295=0,"No matching defensive reps; film confirmation needed.",IF(K1295="Explosive Alert","Explosive risk; review clips before using as answer.",IF(C1295&lt;=2,"Track only; not enough sample.",IF(C1295=3,IF(E1295&gt;0,"Sample watch with explosive exposure; review clips and build the sample.",IF(J1295&gt;=65,"Good signal, but sample is limited.","Sample watch; review clips and build the sample.")),IF(K1295="Problem Call","Problem area; practice or call-sheet review.",IF(K1295="Strong Candidate","Strong call-fit candidate; confirm on film.",IF(K1295="Good Candidate","Good call-fit signal; confirm on film.","Mixed signal; review fit and execution on film."))))))))</f>
        <v>Track only; not enough sample.</v>
      </c>
      <c r="M1295" s="8"/>
      <c r="N1295" s="8"/>
      <c r="O1295" s="8"/>
      <c r="P1295" s="8" t="s">
        <v>449</v>
      </c>
      <c r="Q1295" s="8"/>
      <c r="R1295" s="8" t="s">
        <v>633</v>
      </c>
      <c r="S1295" s="2" t="s">
        <v>637</v>
      </c>
      <c r="T1295" s="2">
        <f>IF(C1295=0,0,IF(C1295&gt;=CALL_LOOKUP_BOARD!$B$7,IF(OR(K1295="Problem Call",K1295="Explosive Alert"),10000000,20000000),0)+IF(C1295&gt;=CALL_LOOKUP_BOARD!$B$7,J1295*1000+MIN(C1295,999),C1295*1000+J1295)+0.00996800)</f>
        <v>1097.009968</v>
      </c>
      <c r="U1295" s="2">
        <f>IF(C1295=0,"",IF(COUNTIFS($S$1264:$S$1440,SUBSTITUTE(SUBSTITUTE(SUBSTITUTE(S1295,"~","~~"),"*","~*"),"?","~?"),$T$1264:$T$1440,"&gt;"&amp;T1295)=0,S1295,""))</f>
        <v/>
      </c>
    </row>
    <row r="1296" spans="1:21" ht="38" customHeight="1">
      <c r="A1296" s="8" t="s">
        <v>449</v>
      </c>
      <c r="B1296" s="8" t="s">
        <v>52</v>
      </c>
      <c r="C1296" s="12">
        <f>COUNTIFS('DEF_SELF_SCOUT_IMPORT'!$L$42:$L$1040,"Y",'DEF_SELF_SCOUT_IMPORT'!$E$42:$E$1040,SUBSTITUTE(SUBSTITUTE(SUBSTITUTE($B1296,"~","~~"),"*","~*"),"?","~?"),'DEF_SELF_SCOUT_IMPORT'!$D$42:$D$1040,SUBSTITUTE(SUBSTITUTE(SUBSTITUTE($P1296,"~","~~"),"*","~*"),"?","~?"))</f>
        <v>2</v>
      </c>
      <c r="D1296" s="10">
        <f>IF($C1296=0,"",SUMIFS('DEF_SELF_SCOUT_IMPORT'!$J$42:$J$1040,'DEF_SELF_SCOUT_IMPORT'!$L$42:$L$1040,"Y",'DEF_SELF_SCOUT_IMPORT'!$E$42:$E$1040,SUBSTITUTE(SUBSTITUTE(SUBSTITUTE($B1296,"~","~~"),"*","~*"),"?","~?"),'DEF_SELF_SCOUT_IMPORT'!$D$42:$D$1040,SUBSTITUTE(SUBSTITUTE(SUBSTITUTE($P1296,"~","~~"),"*","~*"),"?","~?"))/$C1296)</f>
        <v>0.5</v>
      </c>
      <c r="E1296" s="10">
        <f>IF($C1296=0,"",SUMIFS('DEF_SELF_SCOUT_IMPORT'!$K$42:$K$1040,'DEF_SELF_SCOUT_IMPORT'!$L$42:$L$1040,"Y",'DEF_SELF_SCOUT_IMPORT'!$E$42:$E$1040,SUBSTITUTE(SUBSTITUTE(SUBSTITUTE($B1296,"~","~~"),"*","~*"),"?","~?"),'DEF_SELF_SCOUT_IMPORT'!$D$42:$D$1040,SUBSTITUTE(SUBSTITUTE(SUBSTITUTE($P1296,"~","~~"),"*","~*"),"?","~?"))/$C1296)</f>
        <v>0.5</v>
      </c>
      <c r="F1296" s="11">
        <f>IF($C1296=0,"",AVERAGEIFS('DEF_SELF_SCOUT_IMPORT'!$I$42:$I$1040,'DEF_SELF_SCOUT_IMPORT'!$L$42:$L$1040,"Y",'DEF_SELF_SCOUT_IMPORT'!$E$42:$E$1040,SUBSTITUTE(SUBSTITUTE(SUBSTITUTE($B1296,"~","~~"),"*","~*"),"?","~?"),'DEF_SELF_SCOUT_IMPORT'!$D$42:$D$1040,SUBSTITUTE(SUBSTITUTE(SUBSTITUTE($P1296,"~","~~"),"*","~*"),"?","~?")))</f>
        <v>7.5</v>
      </c>
      <c r="G1296" s="10">
        <f>IF($C1296=0,"",COUNTIFS('DEF_SELF_SCOUT_IMPORT'!$L$42:$L$1040,"Y",'DEF_SELF_SCOUT_IMPORT'!$E$42:$E$1040,SUBSTITUTE(SUBSTITUTE(SUBSTITUTE($B1296,"~","~~"),"*","~*"),"?","~?"),'DEF_SELF_SCOUT_IMPORT'!$D$42:$D$1040,SUBSTITUTE(SUBSTITUTE(SUBSTITUTE($P1296,"~","~~"),"*","~*"),"?","~?"),'DEF_SELF_SCOUT_IMPORT'!$H$42:$H$1040,"RUSH")/$C1296)</f>
        <v>0.0</v>
      </c>
      <c r="H1296" s="10">
        <f>IF($C1296=0,"",COUNTIFS('DEF_SELF_SCOUT_IMPORT'!$L$42:$L$1040,"Y",'DEF_SELF_SCOUT_IMPORT'!$E$42:$E$1040,SUBSTITUTE(SUBSTITUTE(SUBSTITUTE($B1296,"~","~~"),"*","~*"),"?","~?"),'DEF_SELF_SCOUT_IMPORT'!$D$42:$D$1040,SUBSTITUTE(SUBSTITUTE(SUBSTITUTE($P1296,"~","~~"),"*","~*"),"?","~?"),'DEF_SELF_SCOUT_IMPORT'!$H$42:$H$1040,"DROPBACK")/$C1296)</f>
        <v>1.0</v>
      </c>
      <c r="I1296" s="14" t="str">
        <f>IF(C1296=0,"",IF(C1296&lt;=2,"TRACK",IF(C1296=3,"LOW",IF(C1296&lt;=6,"MEDIUM","HIGH"))))</f>
        <v>TRACK</v>
      </c>
      <c r="J1296" s="11">
        <f>IF(C1296=0,"",ROUND(D1296*70+(1-E1296)*20+MAX(0,MIN(1,(10-F1296)/10))*10,1))</f>
        <v>47.5</v>
      </c>
      <c r="K1296" s="14" t="str">
        <f>IF(C1296=0,"No Evidence",IF(C1296&lt;=2,IF(E1296&gt;0,"Explosive Alert","Track Only"),IF(C1296=3,"Sample Watch",IF(E1296&gt;=START_HERE!$B$31,"Explosive Alert",IF(J1296&gt;=80,"Strong Candidate",IF(J1296&gt;=65,"Good Candidate",IF(J1296&gt;=50,"Mixed / Review","Problem Call")))))))</f>
        <v>Explosive Alert</v>
      </c>
      <c r="L1296" s="9" t="str">
        <f>IF(COUNTIFS('DEF_SELF_SCOUT_IMPORT'!$L$42:$L$1040,"Y",'DEF_SELF_SCOUT_IMPORT'!$E$42:$E$1040,SUBSTITUTE(SUBSTITUTE(SUBSTITUTE($B1296,"~","~~"),"*","~*"),"?","~?"),'DEF_SELF_SCOUT_IMPORT'!$D$42:$D$1040,SUBSTITUTE(SUBSTITUTE(SUBSTITUTE($P1296,"~","~~"),"*","~*"),"?","~?"),'DEF_SELF_SCOUT_IMPORT'!$J$42:$J$1040,"")&gt;0,"Unscored clean outcome; review result tags before using score.",IF(C1296=0,"No matching defensive reps; film confirmation needed.",IF(K1296="Explosive Alert","Explosive risk; review clips before using as answer.",IF(C1296&lt;=2,"Track only; not enough sample.",IF(C1296=3,IF(E1296&gt;0,"Sample watch with explosive exposure; review clips and build the sample.",IF(J1296&gt;=65,"Good signal, but sample is limited.","Sample watch; review clips and build the sample.")),IF(K1296="Problem Call","Problem area; practice or call-sheet review.",IF(K1296="Strong Candidate","Strong call-fit candidate; confirm on film.",IF(K1296="Good Candidate","Good call-fit signal; confirm on film.","Mixed signal; review fit and execution on film."))))))))</f>
        <v>Explosive risk; review clips before using as answer.</v>
      </c>
      <c r="M1296" s="8"/>
      <c r="N1296" s="8"/>
      <c r="O1296" s="8"/>
      <c r="P1296" s="8" t="s">
        <v>449</v>
      </c>
      <c r="Q1296" s="8"/>
      <c r="R1296" s="8" t="s">
        <v>633</v>
      </c>
      <c r="S1296" s="2" t="s">
        <v>637</v>
      </c>
      <c r="T1296" s="2">
        <f>IF(C1296=0,0,IF(C1296&gt;=CALL_LOOKUP_BOARD!$B$7,IF(OR(K1296="Problem Call",K1296="Explosive Alert"),10000000,20000000),0)+IF(C1296&gt;=CALL_LOOKUP_BOARD!$B$7,J1296*1000+MIN(C1296,999),C1296*1000+J1296)+0.00996700)</f>
        <v>2047.509967</v>
      </c>
      <c r="U1296" s="2">
        <f>IF(C1296=0,"",IF(COUNTIFS($S$1264:$S$1440,SUBSTITUTE(SUBSTITUTE(SUBSTITUTE(S1296,"~","~~"),"*","~*"),"?","~?"),$T$1264:$T$1440,"&gt;"&amp;T1296)=0,S1296,""))</f>
        <v/>
      </c>
    </row>
    <row r="1297" spans="1:21" ht="38" customHeight="1">
      <c r="A1297" s="8" t="s">
        <v>449</v>
      </c>
      <c r="B1297" s="8" t="s">
        <v>53</v>
      </c>
      <c r="C1297" s="12">
        <f>COUNTIFS('DEF_SELF_SCOUT_IMPORT'!$L$42:$L$1040,"Y",'DEF_SELF_SCOUT_IMPORT'!$E$42:$E$1040,SUBSTITUTE(SUBSTITUTE(SUBSTITUTE($B1297,"~","~~"),"*","~*"),"?","~?"),'DEF_SELF_SCOUT_IMPORT'!$D$42:$D$1040,SUBSTITUTE(SUBSTITUTE(SUBSTITUTE($P1297,"~","~~"),"*","~*"),"?","~?"))</f>
        <v>2</v>
      </c>
      <c r="D1297" s="10">
        <f>IF($C1297=0,"",SUMIFS('DEF_SELF_SCOUT_IMPORT'!$J$42:$J$1040,'DEF_SELF_SCOUT_IMPORT'!$L$42:$L$1040,"Y",'DEF_SELF_SCOUT_IMPORT'!$E$42:$E$1040,SUBSTITUTE(SUBSTITUTE(SUBSTITUTE($B1297,"~","~~"),"*","~*"),"?","~?"),'DEF_SELF_SCOUT_IMPORT'!$D$42:$D$1040,SUBSTITUTE(SUBSTITUTE(SUBSTITUTE($P1297,"~","~~"),"*","~*"),"?","~?"))/$C1297)</f>
        <v>0.5</v>
      </c>
      <c r="E1297" s="10">
        <f>IF($C1297=0,"",SUMIFS('DEF_SELF_SCOUT_IMPORT'!$K$42:$K$1040,'DEF_SELF_SCOUT_IMPORT'!$L$42:$L$1040,"Y",'DEF_SELF_SCOUT_IMPORT'!$E$42:$E$1040,SUBSTITUTE(SUBSTITUTE(SUBSTITUTE($B1297,"~","~~"),"*","~*"),"?","~?"),'DEF_SELF_SCOUT_IMPORT'!$D$42:$D$1040,SUBSTITUTE(SUBSTITUTE(SUBSTITUTE($P1297,"~","~~"),"*","~*"),"?","~?"))/$C1297)</f>
        <v>0.0</v>
      </c>
      <c r="F1297" s="11">
        <f>IF($C1297=0,"",AVERAGEIFS('DEF_SELF_SCOUT_IMPORT'!$I$42:$I$1040,'DEF_SELF_SCOUT_IMPORT'!$L$42:$L$1040,"Y",'DEF_SELF_SCOUT_IMPORT'!$E$42:$E$1040,SUBSTITUTE(SUBSTITUTE(SUBSTITUTE($B1297,"~","~~"),"*","~*"),"?","~?"),'DEF_SELF_SCOUT_IMPORT'!$D$42:$D$1040,SUBSTITUTE(SUBSTITUTE(SUBSTITUTE($P1297,"~","~~"),"*","~*"),"?","~?")))</f>
        <v>6.5</v>
      </c>
      <c r="G1297" s="10">
        <f>IF($C1297=0,"",COUNTIFS('DEF_SELF_SCOUT_IMPORT'!$L$42:$L$1040,"Y",'DEF_SELF_SCOUT_IMPORT'!$E$42:$E$1040,SUBSTITUTE(SUBSTITUTE(SUBSTITUTE($B1297,"~","~~"),"*","~*"),"?","~?"),'DEF_SELF_SCOUT_IMPORT'!$D$42:$D$1040,SUBSTITUTE(SUBSTITUTE(SUBSTITUTE($P1297,"~","~~"),"*","~*"),"?","~?"),'DEF_SELF_SCOUT_IMPORT'!$H$42:$H$1040,"RUSH")/$C1297)</f>
        <v>0.0</v>
      </c>
      <c r="H1297" s="10">
        <f>IF($C1297=0,"",COUNTIFS('DEF_SELF_SCOUT_IMPORT'!$L$42:$L$1040,"Y",'DEF_SELF_SCOUT_IMPORT'!$E$42:$E$1040,SUBSTITUTE(SUBSTITUTE(SUBSTITUTE($B1297,"~","~~"),"*","~*"),"?","~?"),'DEF_SELF_SCOUT_IMPORT'!$D$42:$D$1040,SUBSTITUTE(SUBSTITUTE(SUBSTITUTE($P1297,"~","~~"),"*","~*"),"?","~?"),'DEF_SELF_SCOUT_IMPORT'!$H$42:$H$1040,"DROPBACK")/$C1297)</f>
        <v>1.0</v>
      </c>
      <c r="I1297" s="14" t="str">
        <f>IF(C1297=0,"",IF(C1297&lt;=2,"TRACK",IF(C1297=3,"LOW",IF(C1297&lt;=6,"MEDIUM","HIGH"))))</f>
        <v>TRACK</v>
      </c>
      <c r="J1297" s="11">
        <f>IF(C1297=0,"",ROUND(D1297*70+(1-E1297)*20+MAX(0,MIN(1,(10-F1297)/10))*10,1))</f>
        <v>58.5</v>
      </c>
      <c r="K1297" s="14" t="str">
        <f>IF(C1297=0,"No Evidence",IF(C1297&lt;=2,IF(E1297&gt;0,"Explosive Alert","Track Only"),IF(C1297=3,"Sample Watch",IF(E1297&gt;=START_HERE!$B$31,"Explosive Alert",IF(J1297&gt;=80,"Strong Candidate",IF(J1297&gt;=65,"Good Candidate",IF(J1297&gt;=50,"Mixed / Review","Problem Call")))))))</f>
        <v>Track Only</v>
      </c>
      <c r="L1297" s="9" t="str">
        <f>IF(COUNTIFS('DEF_SELF_SCOUT_IMPORT'!$L$42:$L$1040,"Y",'DEF_SELF_SCOUT_IMPORT'!$E$42:$E$1040,SUBSTITUTE(SUBSTITUTE(SUBSTITUTE($B1297,"~","~~"),"*","~*"),"?","~?"),'DEF_SELF_SCOUT_IMPORT'!$D$42:$D$1040,SUBSTITUTE(SUBSTITUTE(SUBSTITUTE($P1297,"~","~~"),"*","~*"),"?","~?"),'DEF_SELF_SCOUT_IMPORT'!$J$42:$J$1040,"")&gt;0,"Unscored clean outcome; review result tags before using score.",IF(C1297=0,"No matching defensive reps; film confirmation needed.",IF(K1297="Explosive Alert","Explosive risk; review clips before using as answer.",IF(C1297&lt;=2,"Track only; not enough sample.",IF(C1297=3,IF(E1297&gt;0,"Sample watch with explosive exposure; review clips and build the sample.",IF(J1297&gt;=65,"Good signal, but sample is limited.","Sample watch; review clips and build the sample.")),IF(K1297="Problem Call","Problem area; practice or call-sheet review.",IF(K1297="Strong Candidate","Strong call-fit candidate; confirm on film.",IF(K1297="Good Candidate","Good call-fit signal; confirm on film.","Mixed signal; review fit and execution on film."))))))))</f>
        <v>Track only; not enough sample.</v>
      </c>
      <c r="M1297" s="8"/>
      <c r="N1297" s="8"/>
      <c r="O1297" s="8"/>
      <c r="P1297" s="8" t="s">
        <v>449</v>
      </c>
      <c r="Q1297" s="8"/>
      <c r="R1297" s="8" t="s">
        <v>633</v>
      </c>
      <c r="S1297" s="2" t="s">
        <v>637</v>
      </c>
      <c r="T1297" s="2">
        <f>IF(C1297=0,0,IF(C1297&gt;=CALL_LOOKUP_BOARD!$B$7,IF(OR(K1297="Problem Call",K1297="Explosive Alert"),10000000,20000000),0)+IF(C1297&gt;=CALL_LOOKUP_BOARD!$B$7,J1297*1000+MIN(C1297,999),C1297*1000+J1297)+0.00996600)</f>
        <v>2058.509966</v>
      </c>
      <c r="U1297" s="2">
        <f>IF(C1297=0,"",IF(COUNTIFS($S$1264:$S$1440,SUBSTITUTE(SUBSTITUTE(SUBSTITUTE(S1297,"~","~~"),"*","~*"),"?","~?"),$T$1264:$T$1440,"&gt;"&amp;T1297)=0,S1297,""))</f>
        <v/>
      </c>
    </row>
    <row r="1298" spans="1:21" ht="38" customHeight="1">
      <c r="A1298" s="8" t="s">
        <v>449</v>
      </c>
      <c r="B1298" s="8" t="s">
        <v>117</v>
      </c>
      <c r="C1298" s="12">
        <f>COUNTIFS('DEF_SELF_SCOUT_IMPORT'!$L$42:$L$1040,"Y",'DEF_SELF_SCOUT_IMPORT'!$E$42:$E$1040,SUBSTITUTE(SUBSTITUTE(SUBSTITUTE($B1298,"~","~~"),"*","~*"),"?","~?"),'DEF_SELF_SCOUT_IMPORT'!$D$42:$D$1040,SUBSTITUTE(SUBSTITUTE(SUBSTITUTE($P1298,"~","~~"),"*","~*"),"?","~?"))</f>
        <v>1</v>
      </c>
      <c r="D1298" s="10">
        <f>IF($C1298=0,"",SUMIFS('DEF_SELF_SCOUT_IMPORT'!$J$42:$J$1040,'DEF_SELF_SCOUT_IMPORT'!$L$42:$L$1040,"Y",'DEF_SELF_SCOUT_IMPORT'!$E$42:$E$1040,SUBSTITUTE(SUBSTITUTE(SUBSTITUTE($B1298,"~","~~"),"*","~*"),"?","~?"),'DEF_SELF_SCOUT_IMPORT'!$D$42:$D$1040,SUBSTITUTE(SUBSTITUTE(SUBSTITUTE($P1298,"~","~~"),"*","~*"),"?","~?"))/$C1298)</f>
        <v>0.0</v>
      </c>
      <c r="E1298" s="10">
        <f>IF($C1298=0,"",SUMIFS('DEF_SELF_SCOUT_IMPORT'!$K$42:$K$1040,'DEF_SELF_SCOUT_IMPORT'!$L$42:$L$1040,"Y",'DEF_SELF_SCOUT_IMPORT'!$E$42:$E$1040,SUBSTITUTE(SUBSTITUTE(SUBSTITUTE($B1298,"~","~~"),"*","~*"),"?","~?"),'DEF_SELF_SCOUT_IMPORT'!$D$42:$D$1040,SUBSTITUTE(SUBSTITUTE(SUBSTITUTE($P1298,"~","~~"),"*","~*"),"?","~?"))/$C1298)</f>
        <v>1.0</v>
      </c>
      <c r="F1298" s="11">
        <f>IF($C1298=0,"",AVERAGEIFS('DEF_SELF_SCOUT_IMPORT'!$I$42:$I$1040,'DEF_SELF_SCOUT_IMPORT'!$L$42:$L$1040,"Y",'DEF_SELF_SCOUT_IMPORT'!$E$42:$E$1040,SUBSTITUTE(SUBSTITUTE(SUBSTITUTE($B1298,"~","~~"),"*","~*"),"?","~?"),'DEF_SELF_SCOUT_IMPORT'!$D$42:$D$1040,SUBSTITUTE(SUBSTITUTE(SUBSTITUTE($P1298,"~","~~"),"*","~*"),"?","~?")))</f>
        <v>16.0</v>
      </c>
      <c r="G1298" s="10">
        <f>IF($C1298=0,"",COUNTIFS('DEF_SELF_SCOUT_IMPORT'!$L$42:$L$1040,"Y",'DEF_SELF_SCOUT_IMPORT'!$E$42:$E$1040,SUBSTITUTE(SUBSTITUTE(SUBSTITUTE($B1298,"~","~~"),"*","~*"),"?","~?"),'DEF_SELF_SCOUT_IMPORT'!$D$42:$D$1040,SUBSTITUTE(SUBSTITUTE(SUBSTITUTE($P1298,"~","~~"),"*","~*"),"?","~?"),'DEF_SELF_SCOUT_IMPORT'!$H$42:$H$1040,"RUSH")/$C1298)</f>
        <v>0.0</v>
      </c>
      <c r="H1298" s="10">
        <f>IF($C1298=0,"",COUNTIFS('DEF_SELF_SCOUT_IMPORT'!$L$42:$L$1040,"Y",'DEF_SELF_SCOUT_IMPORT'!$E$42:$E$1040,SUBSTITUTE(SUBSTITUTE(SUBSTITUTE($B1298,"~","~~"),"*","~*"),"?","~?"),'DEF_SELF_SCOUT_IMPORT'!$D$42:$D$1040,SUBSTITUTE(SUBSTITUTE(SUBSTITUTE($P1298,"~","~~"),"*","~*"),"?","~?"),'DEF_SELF_SCOUT_IMPORT'!$H$42:$H$1040,"DROPBACK")/$C1298)</f>
        <v>1.0</v>
      </c>
      <c r="I1298" s="14" t="str">
        <f>IF(C1298=0,"",IF(C1298&lt;=2,"TRACK",IF(C1298=3,"LOW",IF(C1298&lt;=6,"MEDIUM","HIGH"))))</f>
        <v>TRACK</v>
      </c>
      <c r="J1298" s="11">
        <f>IF(C1298=0,"",ROUND(D1298*70+(1-E1298)*20+MAX(0,MIN(1,(10-F1298)/10))*10,1))</f>
        <v>0.0</v>
      </c>
      <c r="K1298" s="14" t="str">
        <f>IF(C1298=0,"No Evidence",IF(C1298&lt;=2,IF(E1298&gt;0,"Explosive Alert","Track Only"),IF(C1298=3,"Sample Watch",IF(E1298&gt;=START_HERE!$B$31,"Explosive Alert",IF(J1298&gt;=80,"Strong Candidate",IF(J1298&gt;=65,"Good Candidate",IF(J1298&gt;=50,"Mixed / Review","Problem Call")))))))</f>
        <v>Explosive Alert</v>
      </c>
      <c r="L1298" s="9" t="str">
        <f>IF(COUNTIFS('DEF_SELF_SCOUT_IMPORT'!$L$42:$L$1040,"Y",'DEF_SELF_SCOUT_IMPORT'!$E$42:$E$1040,SUBSTITUTE(SUBSTITUTE(SUBSTITUTE($B1298,"~","~~"),"*","~*"),"?","~?"),'DEF_SELF_SCOUT_IMPORT'!$D$42:$D$1040,SUBSTITUTE(SUBSTITUTE(SUBSTITUTE($P1298,"~","~~"),"*","~*"),"?","~?"),'DEF_SELF_SCOUT_IMPORT'!$J$42:$J$1040,"")&gt;0,"Unscored clean outcome; review result tags before using score.",IF(C1298=0,"No matching defensive reps; film confirmation needed.",IF(K1298="Explosive Alert","Explosive risk; review clips before using as answer.",IF(C1298&lt;=2,"Track only; not enough sample.",IF(C1298=3,IF(E1298&gt;0,"Sample watch with explosive exposure; review clips and build the sample.",IF(J1298&gt;=65,"Good signal, but sample is limited.","Sample watch; review clips and build the sample.")),IF(K1298="Problem Call","Problem area; practice or call-sheet review.",IF(K1298="Strong Candidate","Strong call-fit candidate; confirm on film.",IF(K1298="Good Candidate","Good call-fit signal; confirm on film.","Mixed signal; review fit and execution on film."))))))))</f>
        <v>Explosive risk; review clips before using as answer.</v>
      </c>
      <c r="M1298" s="8"/>
      <c r="N1298" s="8"/>
      <c r="O1298" s="8"/>
      <c r="P1298" s="8" t="s">
        <v>449</v>
      </c>
      <c r="Q1298" s="8"/>
      <c r="R1298" s="8" t="s">
        <v>633</v>
      </c>
      <c r="S1298" s="2" t="s">
        <v>637</v>
      </c>
      <c r="T1298" s="2">
        <f>IF(C1298=0,0,IF(C1298&gt;=CALL_LOOKUP_BOARD!$B$7,IF(OR(K1298="Problem Call",K1298="Explosive Alert"),10000000,20000000),0)+IF(C1298&gt;=CALL_LOOKUP_BOARD!$B$7,J1298*1000+MIN(C1298,999),C1298*1000+J1298)+0.00996500)</f>
        <v>1000.009965</v>
      </c>
      <c r="U1298" s="2">
        <f>IF(C1298=0,"",IF(COUNTIFS($S$1264:$S$1440,SUBSTITUTE(SUBSTITUTE(SUBSTITUTE(S1298,"~","~~"),"*","~*"),"?","~?"),$T$1264:$T$1440,"&gt;"&amp;T1298)=0,S1298,""))</f>
        <v/>
      </c>
    </row>
    <row r="1299" spans="1:21" ht="38" customHeight="1">
      <c r="A1299" s="8" t="s">
        <v>449</v>
      </c>
      <c r="B1299" s="8" t="s">
        <v>81</v>
      </c>
      <c r="C1299" s="12">
        <f>COUNTIFS('DEF_SELF_SCOUT_IMPORT'!$L$42:$L$1040,"Y",'DEF_SELF_SCOUT_IMPORT'!$E$42:$E$1040,SUBSTITUTE(SUBSTITUTE(SUBSTITUTE($B1299,"~","~~"),"*","~*"),"?","~?"),'DEF_SELF_SCOUT_IMPORT'!$D$42:$D$1040,SUBSTITUTE(SUBSTITUTE(SUBSTITUTE($P1299,"~","~~"),"*","~*"),"?","~?"))</f>
        <v>1</v>
      </c>
      <c r="D1299" s="10">
        <f>IF($C1299=0,"",SUMIFS('DEF_SELF_SCOUT_IMPORT'!$J$42:$J$1040,'DEF_SELF_SCOUT_IMPORT'!$L$42:$L$1040,"Y",'DEF_SELF_SCOUT_IMPORT'!$E$42:$E$1040,SUBSTITUTE(SUBSTITUTE(SUBSTITUTE($B1299,"~","~~"),"*","~*"),"?","~?"),'DEF_SELF_SCOUT_IMPORT'!$D$42:$D$1040,SUBSTITUTE(SUBSTITUTE(SUBSTITUTE($P1299,"~","~~"),"*","~*"),"?","~?"))/$C1299)</f>
        <v>1.0</v>
      </c>
      <c r="E1299" s="10">
        <f>IF($C1299=0,"",SUMIFS('DEF_SELF_SCOUT_IMPORT'!$K$42:$K$1040,'DEF_SELF_SCOUT_IMPORT'!$L$42:$L$1040,"Y",'DEF_SELF_SCOUT_IMPORT'!$E$42:$E$1040,SUBSTITUTE(SUBSTITUTE(SUBSTITUTE($B1299,"~","~~"),"*","~*"),"?","~?"),'DEF_SELF_SCOUT_IMPORT'!$D$42:$D$1040,SUBSTITUTE(SUBSTITUTE(SUBSTITUTE($P1299,"~","~~"),"*","~*"),"?","~?"))/$C1299)</f>
        <v>0.0</v>
      </c>
      <c r="F1299" s="11">
        <f>IF($C1299=0,"",AVERAGEIFS('DEF_SELF_SCOUT_IMPORT'!$I$42:$I$1040,'DEF_SELF_SCOUT_IMPORT'!$L$42:$L$1040,"Y",'DEF_SELF_SCOUT_IMPORT'!$E$42:$E$1040,SUBSTITUTE(SUBSTITUTE(SUBSTITUTE($B1299,"~","~~"),"*","~*"),"?","~?"),'DEF_SELF_SCOUT_IMPORT'!$D$42:$D$1040,SUBSTITUTE(SUBSTITUTE(SUBSTITUTE($P1299,"~","~~"),"*","~*"),"?","~?")))</f>
        <v>0.0</v>
      </c>
      <c r="G1299" s="10">
        <f>IF($C1299=0,"",COUNTIFS('DEF_SELF_SCOUT_IMPORT'!$L$42:$L$1040,"Y",'DEF_SELF_SCOUT_IMPORT'!$E$42:$E$1040,SUBSTITUTE(SUBSTITUTE(SUBSTITUTE($B1299,"~","~~"),"*","~*"),"?","~?"),'DEF_SELF_SCOUT_IMPORT'!$D$42:$D$1040,SUBSTITUTE(SUBSTITUTE(SUBSTITUTE($P1299,"~","~~"),"*","~*"),"?","~?"),'DEF_SELF_SCOUT_IMPORT'!$H$42:$H$1040,"RUSH")/$C1299)</f>
        <v>0.0</v>
      </c>
      <c r="H1299" s="10">
        <f>IF($C1299=0,"",COUNTIFS('DEF_SELF_SCOUT_IMPORT'!$L$42:$L$1040,"Y",'DEF_SELF_SCOUT_IMPORT'!$E$42:$E$1040,SUBSTITUTE(SUBSTITUTE(SUBSTITUTE($B1299,"~","~~"),"*","~*"),"?","~?"),'DEF_SELF_SCOUT_IMPORT'!$D$42:$D$1040,SUBSTITUTE(SUBSTITUTE(SUBSTITUTE($P1299,"~","~~"),"*","~*"),"?","~?"),'DEF_SELF_SCOUT_IMPORT'!$H$42:$H$1040,"DROPBACK")/$C1299)</f>
        <v>1.0</v>
      </c>
      <c r="I1299" s="14" t="str">
        <f>IF(C1299=0,"",IF(C1299&lt;=2,"TRACK",IF(C1299=3,"LOW",IF(C1299&lt;=6,"MEDIUM","HIGH"))))</f>
        <v>TRACK</v>
      </c>
      <c r="J1299" s="11">
        <f>IF(C1299=0,"",ROUND(D1299*70+(1-E1299)*20+MAX(0,MIN(1,(10-F1299)/10))*10,1))</f>
        <v>100.0</v>
      </c>
      <c r="K1299" s="14" t="str">
        <f>IF(C1299=0,"No Evidence",IF(C1299&lt;=2,IF(E1299&gt;0,"Explosive Alert","Track Only"),IF(C1299=3,"Sample Watch",IF(E1299&gt;=START_HERE!$B$31,"Explosive Alert",IF(J1299&gt;=80,"Strong Candidate",IF(J1299&gt;=65,"Good Candidate",IF(J1299&gt;=50,"Mixed / Review","Problem Call")))))))</f>
        <v>Track Only</v>
      </c>
      <c r="L1299" s="9" t="str">
        <f>IF(COUNTIFS('DEF_SELF_SCOUT_IMPORT'!$L$42:$L$1040,"Y",'DEF_SELF_SCOUT_IMPORT'!$E$42:$E$1040,SUBSTITUTE(SUBSTITUTE(SUBSTITUTE($B1299,"~","~~"),"*","~*"),"?","~?"),'DEF_SELF_SCOUT_IMPORT'!$D$42:$D$1040,SUBSTITUTE(SUBSTITUTE(SUBSTITUTE($P1299,"~","~~"),"*","~*"),"?","~?"),'DEF_SELF_SCOUT_IMPORT'!$J$42:$J$1040,"")&gt;0,"Unscored clean outcome; review result tags before using score.",IF(C1299=0,"No matching defensive reps; film confirmation needed.",IF(K1299="Explosive Alert","Explosive risk; review clips before using as answer.",IF(C1299&lt;=2,"Track only; not enough sample.",IF(C1299=3,IF(E1299&gt;0,"Sample watch with explosive exposure; review clips and build the sample.",IF(J1299&gt;=65,"Good signal, but sample is limited.","Sample watch; review clips and build the sample.")),IF(K1299="Problem Call","Problem area; practice or call-sheet review.",IF(K1299="Strong Candidate","Strong call-fit candidate; confirm on film.",IF(K1299="Good Candidate","Good call-fit signal; confirm on film.","Mixed signal; review fit and execution on film."))))))))</f>
        <v>Track only; not enough sample.</v>
      </c>
      <c r="M1299" s="8"/>
      <c r="N1299" s="8"/>
      <c r="O1299" s="8"/>
      <c r="P1299" s="8" t="s">
        <v>449</v>
      </c>
      <c r="Q1299" s="8"/>
      <c r="R1299" s="8" t="s">
        <v>633</v>
      </c>
      <c r="S1299" s="2" t="s">
        <v>637</v>
      </c>
      <c r="T1299" s="2">
        <f>IF(C1299=0,0,IF(C1299&gt;=CALL_LOOKUP_BOARD!$B$7,IF(OR(K1299="Problem Call",K1299="Explosive Alert"),10000000,20000000),0)+IF(C1299&gt;=CALL_LOOKUP_BOARD!$B$7,J1299*1000+MIN(C1299,999),C1299*1000+J1299)+0.00996400)</f>
        <v>1100.009964</v>
      </c>
      <c r="U1299" s="2">
        <f>IF(C1299=0,"",IF(COUNTIFS($S$1264:$S$1440,SUBSTITUTE(SUBSTITUTE(SUBSTITUTE(S1299,"~","~~"),"*","~*"),"?","~?"),$T$1264:$T$1440,"&gt;"&amp;T1299)=0,S1299,""))</f>
        <v/>
      </c>
    </row>
    <row r="1300" spans="1:21" ht="38" customHeight="1">
      <c r="A1300" s="8" t="s">
        <v>449</v>
      </c>
      <c r="B1300" s="8" t="s">
        <v>99</v>
      </c>
      <c r="C1300" s="12">
        <f>COUNTIFS('DEF_SELF_SCOUT_IMPORT'!$L$42:$L$1040,"Y",'DEF_SELF_SCOUT_IMPORT'!$E$42:$E$1040,SUBSTITUTE(SUBSTITUTE(SUBSTITUTE($B1300,"~","~~"),"*","~*"),"?","~?"),'DEF_SELF_SCOUT_IMPORT'!$D$42:$D$1040,SUBSTITUTE(SUBSTITUTE(SUBSTITUTE($P1300,"~","~~"),"*","~*"),"?","~?"))</f>
        <v>3</v>
      </c>
      <c r="D1300" s="10">
        <f>IF($C1300=0,"",SUMIFS('DEF_SELF_SCOUT_IMPORT'!$J$42:$J$1040,'DEF_SELF_SCOUT_IMPORT'!$L$42:$L$1040,"Y",'DEF_SELF_SCOUT_IMPORT'!$E$42:$E$1040,SUBSTITUTE(SUBSTITUTE(SUBSTITUTE($B1300,"~","~~"),"*","~*"),"?","~?"),'DEF_SELF_SCOUT_IMPORT'!$D$42:$D$1040,SUBSTITUTE(SUBSTITUTE(SUBSTITUTE($P1300,"~","~~"),"*","~*"),"?","~?"))/$C1300)</f>
        <v>0.3333333333333333</v>
      </c>
      <c r="E1300" s="10">
        <f>IF($C1300=0,"",SUMIFS('DEF_SELF_SCOUT_IMPORT'!$K$42:$K$1040,'DEF_SELF_SCOUT_IMPORT'!$L$42:$L$1040,"Y",'DEF_SELF_SCOUT_IMPORT'!$E$42:$E$1040,SUBSTITUTE(SUBSTITUTE(SUBSTITUTE($B1300,"~","~~"),"*","~*"),"?","~?"),'DEF_SELF_SCOUT_IMPORT'!$D$42:$D$1040,SUBSTITUTE(SUBSTITUTE(SUBSTITUTE($P1300,"~","~~"),"*","~*"),"?","~?"))/$C1300)</f>
        <v>0.0</v>
      </c>
      <c r="F1300" s="11">
        <f>IF($C1300=0,"",AVERAGEIFS('DEF_SELF_SCOUT_IMPORT'!$I$42:$I$1040,'DEF_SELF_SCOUT_IMPORT'!$L$42:$L$1040,"Y",'DEF_SELF_SCOUT_IMPORT'!$E$42:$E$1040,SUBSTITUTE(SUBSTITUTE(SUBSTITUTE($B1300,"~","~~"),"*","~*"),"?","~?"),'DEF_SELF_SCOUT_IMPORT'!$D$42:$D$1040,SUBSTITUTE(SUBSTITUTE(SUBSTITUTE($P1300,"~","~~"),"*","~*"),"?","~?")))</f>
        <v>8.666666666666666</v>
      </c>
      <c r="G1300" s="10">
        <f>IF($C1300=0,"",COUNTIFS('DEF_SELF_SCOUT_IMPORT'!$L$42:$L$1040,"Y",'DEF_SELF_SCOUT_IMPORT'!$E$42:$E$1040,SUBSTITUTE(SUBSTITUTE(SUBSTITUTE($B1300,"~","~~"),"*","~*"),"?","~?"),'DEF_SELF_SCOUT_IMPORT'!$D$42:$D$1040,SUBSTITUTE(SUBSTITUTE(SUBSTITUTE($P1300,"~","~~"),"*","~*"),"?","~?"),'DEF_SELF_SCOUT_IMPORT'!$H$42:$H$1040,"RUSH")/$C1300)</f>
        <v>0.0</v>
      </c>
      <c r="H1300" s="10">
        <f>IF($C1300=0,"",COUNTIFS('DEF_SELF_SCOUT_IMPORT'!$L$42:$L$1040,"Y",'DEF_SELF_SCOUT_IMPORT'!$E$42:$E$1040,SUBSTITUTE(SUBSTITUTE(SUBSTITUTE($B1300,"~","~~"),"*","~*"),"?","~?"),'DEF_SELF_SCOUT_IMPORT'!$D$42:$D$1040,SUBSTITUTE(SUBSTITUTE(SUBSTITUTE($P1300,"~","~~"),"*","~*"),"?","~?"),'DEF_SELF_SCOUT_IMPORT'!$H$42:$H$1040,"DROPBACK")/$C1300)</f>
        <v>1.0</v>
      </c>
      <c r="I1300" s="14" t="str">
        <f>IF(C1300=0,"",IF(C1300&lt;=2,"TRACK",IF(C1300=3,"LOW",IF(C1300&lt;=6,"MEDIUM","HIGH"))))</f>
        <v>LOW</v>
      </c>
      <c r="J1300" s="11">
        <f>IF(C1300=0,"",ROUND(D1300*70+(1-E1300)*20+MAX(0,MIN(1,(10-F1300)/10))*10,1))</f>
        <v>44.7</v>
      </c>
      <c r="K1300" s="14" t="str">
        <f>IF(C1300=0,"No Evidence",IF(C1300&lt;=2,IF(E1300&gt;0,"Explosive Alert","Track Only"),IF(C1300=3,"Sample Watch",IF(E1300&gt;=START_HERE!$B$31,"Explosive Alert",IF(J1300&gt;=80,"Strong Candidate",IF(J1300&gt;=65,"Good Candidate",IF(J1300&gt;=50,"Mixed / Review","Problem Call")))))))</f>
        <v>Sample Watch</v>
      </c>
      <c r="L1300" s="9" t="str">
        <f>IF(COUNTIFS('DEF_SELF_SCOUT_IMPORT'!$L$42:$L$1040,"Y",'DEF_SELF_SCOUT_IMPORT'!$E$42:$E$1040,SUBSTITUTE(SUBSTITUTE(SUBSTITUTE($B1300,"~","~~"),"*","~*"),"?","~?"),'DEF_SELF_SCOUT_IMPORT'!$D$42:$D$1040,SUBSTITUTE(SUBSTITUTE(SUBSTITUTE($P1300,"~","~~"),"*","~*"),"?","~?"),'DEF_SELF_SCOUT_IMPORT'!$J$42:$J$1040,"")&gt;0,"Unscored clean outcome; review result tags before using score.",IF(C1300=0,"No matching defensive reps; film confirmation needed.",IF(K1300="Explosive Alert","Explosive risk; review clips before using as answer.",IF(C1300&lt;=2,"Track only; not enough sample.",IF(C1300=3,IF(E1300&gt;0,"Sample watch with explosive exposure; review clips and build the sample.",IF(J1300&gt;=65,"Good signal, but sample is limited.","Sample watch; review clips and build the sample.")),IF(K1300="Problem Call","Problem area; practice or call-sheet review.",IF(K1300="Strong Candidate","Strong call-fit candidate; confirm on film.",IF(K1300="Good Candidate","Good call-fit signal; confirm on film.","Mixed signal; review fit and execution on film."))))))))</f>
        <v>Sample watch; review clips and build the sample.</v>
      </c>
      <c r="M1300" s="8"/>
      <c r="N1300" s="8"/>
      <c r="O1300" s="8"/>
      <c r="P1300" s="8" t="s">
        <v>449</v>
      </c>
      <c r="Q1300" s="8"/>
      <c r="R1300" s="8" t="s">
        <v>633</v>
      </c>
      <c r="S1300" s="2" t="s">
        <v>637</v>
      </c>
      <c r="T1300" s="2">
        <f>IF(C1300=0,0,IF(C1300&gt;=CALL_LOOKUP_BOARD!$B$7,IF(OR(K1300="Problem Call",K1300="Explosive Alert"),10000000,20000000),0)+IF(C1300&gt;=CALL_LOOKUP_BOARD!$B$7,J1300*1000+MIN(C1300,999),C1300*1000+J1300)+0.00996300)</f>
        <v>3044.709963</v>
      </c>
      <c r="U1300" s="2">
        <f>IF(C1300=0,"",IF(COUNTIFS($S$1264:$S$1440,SUBSTITUTE(SUBSTITUTE(SUBSTITUTE(S1300,"~","~~"),"*","~*"),"?","~?"),$T$1264:$T$1440,"&gt;"&amp;T1300)=0,S1300,""))</f>
        <v/>
      </c>
    </row>
    <row r="1301" spans="1:21" ht="38" customHeight="1">
      <c r="A1301" s="8" t="s">
        <v>449</v>
      </c>
      <c r="B1301" s="8" t="s">
        <v>72</v>
      </c>
      <c r="C1301" s="12">
        <f>COUNTIFS('DEF_SELF_SCOUT_IMPORT'!$L$42:$L$1040,"Y",'DEF_SELF_SCOUT_IMPORT'!$E$42:$E$1040,SUBSTITUTE(SUBSTITUTE(SUBSTITUTE($B1301,"~","~~"),"*","~*"),"?","~?"),'DEF_SELF_SCOUT_IMPORT'!$D$42:$D$1040,SUBSTITUTE(SUBSTITUTE(SUBSTITUTE($P1301,"~","~~"),"*","~*"),"?","~?"))</f>
        <v>1</v>
      </c>
      <c r="D1301" s="10">
        <f>IF($C1301=0,"",SUMIFS('DEF_SELF_SCOUT_IMPORT'!$J$42:$J$1040,'DEF_SELF_SCOUT_IMPORT'!$L$42:$L$1040,"Y",'DEF_SELF_SCOUT_IMPORT'!$E$42:$E$1040,SUBSTITUTE(SUBSTITUTE(SUBSTITUTE($B1301,"~","~~"),"*","~*"),"?","~?"),'DEF_SELF_SCOUT_IMPORT'!$D$42:$D$1040,SUBSTITUTE(SUBSTITUTE(SUBSTITUTE($P1301,"~","~~"),"*","~*"),"?","~?"))/$C1301)</f>
        <v>0.0</v>
      </c>
      <c r="E1301" s="10">
        <f>IF($C1301=0,"",SUMIFS('DEF_SELF_SCOUT_IMPORT'!$K$42:$K$1040,'DEF_SELF_SCOUT_IMPORT'!$L$42:$L$1040,"Y",'DEF_SELF_SCOUT_IMPORT'!$E$42:$E$1040,SUBSTITUTE(SUBSTITUTE(SUBSTITUTE($B1301,"~","~~"),"*","~*"),"?","~?"),'DEF_SELF_SCOUT_IMPORT'!$D$42:$D$1040,SUBSTITUTE(SUBSTITUTE(SUBSTITUTE($P1301,"~","~~"),"*","~*"),"?","~?"))/$C1301)</f>
        <v>0.0</v>
      </c>
      <c r="F1301" s="11">
        <f>IF($C1301=0,"",AVERAGEIFS('DEF_SELF_SCOUT_IMPORT'!$I$42:$I$1040,'DEF_SELF_SCOUT_IMPORT'!$L$42:$L$1040,"Y",'DEF_SELF_SCOUT_IMPORT'!$E$42:$E$1040,SUBSTITUTE(SUBSTITUTE(SUBSTITUTE($B1301,"~","~~"),"*","~*"),"?","~?"),'DEF_SELF_SCOUT_IMPORT'!$D$42:$D$1040,SUBSTITUTE(SUBSTITUTE(SUBSTITUTE($P1301,"~","~~"),"*","~*"),"?","~?")))</f>
        <v>9.0</v>
      </c>
      <c r="G1301" s="10">
        <f>IF($C1301=0,"",COUNTIFS('DEF_SELF_SCOUT_IMPORT'!$L$42:$L$1040,"Y",'DEF_SELF_SCOUT_IMPORT'!$E$42:$E$1040,SUBSTITUTE(SUBSTITUTE(SUBSTITUTE($B1301,"~","~~"),"*","~*"),"?","~?"),'DEF_SELF_SCOUT_IMPORT'!$D$42:$D$1040,SUBSTITUTE(SUBSTITUTE(SUBSTITUTE($P1301,"~","~~"),"*","~*"),"?","~?"),'DEF_SELF_SCOUT_IMPORT'!$H$42:$H$1040,"RUSH")/$C1301)</f>
        <v>0.0</v>
      </c>
      <c r="H1301" s="10">
        <f>IF($C1301=0,"",COUNTIFS('DEF_SELF_SCOUT_IMPORT'!$L$42:$L$1040,"Y",'DEF_SELF_SCOUT_IMPORT'!$E$42:$E$1040,SUBSTITUTE(SUBSTITUTE(SUBSTITUTE($B1301,"~","~~"),"*","~*"),"?","~?"),'DEF_SELF_SCOUT_IMPORT'!$D$42:$D$1040,SUBSTITUTE(SUBSTITUTE(SUBSTITUTE($P1301,"~","~~"),"*","~*"),"?","~?"),'DEF_SELF_SCOUT_IMPORT'!$H$42:$H$1040,"DROPBACK")/$C1301)</f>
        <v>1.0</v>
      </c>
      <c r="I1301" s="14" t="str">
        <f>IF(C1301=0,"",IF(C1301&lt;=2,"TRACK",IF(C1301=3,"LOW",IF(C1301&lt;=6,"MEDIUM","HIGH"))))</f>
        <v>TRACK</v>
      </c>
      <c r="J1301" s="11">
        <f>IF(C1301=0,"",ROUND(D1301*70+(1-E1301)*20+MAX(0,MIN(1,(10-F1301)/10))*10,1))</f>
        <v>21.0</v>
      </c>
      <c r="K1301" s="14" t="str">
        <f>IF(C1301=0,"No Evidence",IF(C1301&lt;=2,IF(E1301&gt;0,"Explosive Alert","Track Only"),IF(C1301=3,"Sample Watch",IF(E1301&gt;=START_HERE!$B$31,"Explosive Alert",IF(J1301&gt;=80,"Strong Candidate",IF(J1301&gt;=65,"Good Candidate",IF(J1301&gt;=50,"Mixed / Review","Problem Call")))))))</f>
        <v>Track Only</v>
      </c>
      <c r="L1301" s="9" t="str">
        <f>IF(COUNTIFS('DEF_SELF_SCOUT_IMPORT'!$L$42:$L$1040,"Y",'DEF_SELF_SCOUT_IMPORT'!$E$42:$E$1040,SUBSTITUTE(SUBSTITUTE(SUBSTITUTE($B1301,"~","~~"),"*","~*"),"?","~?"),'DEF_SELF_SCOUT_IMPORT'!$D$42:$D$1040,SUBSTITUTE(SUBSTITUTE(SUBSTITUTE($P1301,"~","~~"),"*","~*"),"?","~?"),'DEF_SELF_SCOUT_IMPORT'!$J$42:$J$1040,"")&gt;0,"Unscored clean outcome; review result tags before using score.",IF(C1301=0,"No matching defensive reps; film confirmation needed.",IF(K1301="Explosive Alert","Explosive risk; review clips before using as answer.",IF(C1301&lt;=2,"Track only; not enough sample.",IF(C1301=3,IF(E1301&gt;0,"Sample watch with explosive exposure; review clips and build the sample.",IF(J1301&gt;=65,"Good signal, but sample is limited.","Sample watch; review clips and build the sample.")),IF(K1301="Problem Call","Problem area; practice or call-sheet review.",IF(K1301="Strong Candidate","Strong call-fit candidate; confirm on film.",IF(K1301="Good Candidate","Good call-fit signal; confirm on film.","Mixed signal; review fit and execution on film."))))))))</f>
        <v>Track only; not enough sample.</v>
      </c>
      <c r="M1301" s="8"/>
      <c r="N1301" s="8"/>
      <c r="O1301" s="8"/>
      <c r="P1301" s="8" t="s">
        <v>449</v>
      </c>
      <c r="Q1301" s="8"/>
      <c r="R1301" s="8" t="s">
        <v>633</v>
      </c>
      <c r="S1301" s="2" t="s">
        <v>637</v>
      </c>
      <c r="T1301" s="2">
        <f>IF(C1301=0,0,IF(C1301&gt;=CALL_LOOKUP_BOARD!$B$7,IF(OR(K1301="Problem Call",K1301="Explosive Alert"),10000000,20000000),0)+IF(C1301&gt;=CALL_LOOKUP_BOARD!$B$7,J1301*1000+MIN(C1301,999),C1301*1000+J1301)+0.00996200)</f>
        <v>1021.009962</v>
      </c>
      <c r="U1301" s="2">
        <f>IF(C1301=0,"",IF(COUNTIFS($S$1264:$S$1440,SUBSTITUTE(SUBSTITUTE(SUBSTITUTE(S1301,"~","~~"),"*","~*"),"?","~?"),$T$1264:$T$1440,"&gt;"&amp;T1301)=0,S1301,""))</f>
        <v/>
      </c>
    </row>
    <row r="1302" spans="1:21" ht="38" customHeight="1">
      <c r="A1302" s="8" t="s">
        <v>449</v>
      </c>
      <c r="B1302" s="8" t="s">
        <v>58</v>
      </c>
      <c r="C1302" s="12">
        <f>COUNTIFS('DEF_SELF_SCOUT_IMPORT'!$L$42:$L$1040,"Y",'DEF_SELF_SCOUT_IMPORT'!$E$42:$E$1040,SUBSTITUTE(SUBSTITUTE(SUBSTITUTE($B1302,"~","~~"),"*","~*"),"?","~?"),'DEF_SELF_SCOUT_IMPORT'!$D$42:$D$1040,SUBSTITUTE(SUBSTITUTE(SUBSTITUTE($P1302,"~","~~"),"*","~*"),"?","~?"))</f>
        <v>2</v>
      </c>
      <c r="D1302" s="10">
        <f>IF($C1302=0,"",SUMIFS('DEF_SELF_SCOUT_IMPORT'!$J$42:$J$1040,'DEF_SELF_SCOUT_IMPORT'!$L$42:$L$1040,"Y",'DEF_SELF_SCOUT_IMPORT'!$E$42:$E$1040,SUBSTITUTE(SUBSTITUTE(SUBSTITUTE($B1302,"~","~~"),"*","~*"),"?","~?"),'DEF_SELF_SCOUT_IMPORT'!$D$42:$D$1040,SUBSTITUTE(SUBSTITUTE(SUBSTITUTE($P1302,"~","~~"),"*","~*"),"?","~?"))/$C1302)</f>
        <v>1.0</v>
      </c>
      <c r="E1302" s="10">
        <f>IF($C1302=0,"",SUMIFS('DEF_SELF_SCOUT_IMPORT'!$K$42:$K$1040,'DEF_SELF_SCOUT_IMPORT'!$L$42:$L$1040,"Y",'DEF_SELF_SCOUT_IMPORT'!$E$42:$E$1040,SUBSTITUTE(SUBSTITUTE(SUBSTITUTE($B1302,"~","~~"),"*","~*"),"?","~?"),'DEF_SELF_SCOUT_IMPORT'!$D$42:$D$1040,SUBSTITUTE(SUBSTITUTE(SUBSTITUTE($P1302,"~","~~"),"*","~*"),"?","~?"))/$C1302)</f>
        <v>0.0</v>
      </c>
      <c r="F1302" s="11">
        <f>IF($C1302=0,"",AVERAGEIFS('DEF_SELF_SCOUT_IMPORT'!$I$42:$I$1040,'DEF_SELF_SCOUT_IMPORT'!$L$42:$L$1040,"Y",'DEF_SELF_SCOUT_IMPORT'!$E$42:$E$1040,SUBSTITUTE(SUBSTITUTE(SUBSTITUTE($B1302,"~","~~"),"*","~*"),"?","~?"),'DEF_SELF_SCOUT_IMPORT'!$D$42:$D$1040,SUBSTITUTE(SUBSTITUTE(SUBSTITUTE($P1302,"~","~~"),"*","~*"),"?","~?")))</f>
        <v>0.0</v>
      </c>
      <c r="G1302" s="10">
        <f>IF($C1302=0,"",COUNTIFS('DEF_SELF_SCOUT_IMPORT'!$L$42:$L$1040,"Y",'DEF_SELF_SCOUT_IMPORT'!$E$42:$E$1040,SUBSTITUTE(SUBSTITUTE(SUBSTITUTE($B1302,"~","~~"),"*","~*"),"?","~?"),'DEF_SELF_SCOUT_IMPORT'!$D$42:$D$1040,SUBSTITUTE(SUBSTITUTE(SUBSTITUTE($P1302,"~","~~"),"*","~*"),"?","~?"),'DEF_SELF_SCOUT_IMPORT'!$H$42:$H$1040,"RUSH")/$C1302)</f>
        <v>0.0</v>
      </c>
      <c r="H1302" s="10">
        <f>IF($C1302=0,"",COUNTIFS('DEF_SELF_SCOUT_IMPORT'!$L$42:$L$1040,"Y",'DEF_SELF_SCOUT_IMPORT'!$E$42:$E$1040,SUBSTITUTE(SUBSTITUTE(SUBSTITUTE($B1302,"~","~~"),"*","~*"),"?","~?"),'DEF_SELF_SCOUT_IMPORT'!$D$42:$D$1040,SUBSTITUTE(SUBSTITUTE(SUBSTITUTE($P1302,"~","~~"),"*","~*"),"?","~?"),'DEF_SELF_SCOUT_IMPORT'!$H$42:$H$1040,"DROPBACK")/$C1302)</f>
        <v>1.0</v>
      </c>
      <c r="I1302" s="14" t="str">
        <f>IF(C1302=0,"",IF(C1302&lt;=2,"TRACK",IF(C1302=3,"LOW",IF(C1302&lt;=6,"MEDIUM","HIGH"))))</f>
        <v>TRACK</v>
      </c>
      <c r="J1302" s="11">
        <f>IF(C1302=0,"",ROUND(D1302*70+(1-E1302)*20+MAX(0,MIN(1,(10-F1302)/10))*10,1))</f>
        <v>100.0</v>
      </c>
      <c r="K1302" s="14" t="str">
        <f>IF(C1302=0,"No Evidence",IF(C1302&lt;=2,IF(E1302&gt;0,"Explosive Alert","Track Only"),IF(C1302=3,"Sample Watch",IF(E1302&gt;=START_HERE!$B$31,"Explosive Alert",IF(J1302&gt;=80,"Strong Candidate",IF(J1302&gt;=65,"Good Candidate",IF(J1302&gt;=50,"Mixed / Review","Problem Call")))))))</f>
        <v>Track Only</v>
      </c>
      <c r="L1302" s="9" t="str">
        <f>IF(COUNTIFS('DEF_SELF_SCOUT_IMPORT'!$L$42:$L$1040,"Y",'DEF_SELF_SCOUT_IMPORT'!$E$42:$E$1040,SUBSTITUTE(SUBSTITUTE(SUBSTITUTE($B1302,"~","~~"),"*","~*"),"?","~?"),'DEF_SELF_SCOUT_IMPORT'!$D$42:$D$1040,SUBSTITUTE(SUBSTITUTE(SUBSTITUTE($P1302,"~","~~"),"*","~*"),"?","~?"),'DEF_SELF_SCOUT_IMPORT'!$J$42:$J$1040,"")&gt;0,"Unscored clean outcome; review result tags before using score.",IF(C1302=0,"No matching defensive reps; film confirmation needed.",IF(K1302="Explosive Alert","Explosive risk; review clips before using as answer.",IF(C1302&lt;=2,"Track only; not enough sample.",IF(C1302=3,IF(E1302&gt;0,"Sample watch with explosive exposure; review clips and build the sample.",IF(J1302&gt;=65,"Good signal, but sample is limited.","Sample watch; review clips and build the sample.")),IF(K1302="Problem Call","Problem area; practice or call-sheet review.",IF(K1302="Strong Candidate","Strong call-fit candidate; confirm on film.",IF(K1302="Good Candidate","Good call-fit signal; confirm on film.","Mixed signal; review fit and execution on film."))))))))</f>
        <v>Track only; not enough sample.</v>
      </c>
      <c r="M1302" s="8"/>
      <c r="N1302" s="8"/>
      <c r="O1302" s="8"/>
      <c r="P1302" s="8" t="s">
        <v>449</v>
      </c>
      <c r="Q1302" s="8"/>
      <c r="R1302" s="8" t="s">
        <v>633</v>
      </c>
      <c r="S1302" s="2" t="s">
        <v>637</v>
      </c>
      <c r="T1302" s="2">
        <f>IF(C1302=0,0,IF(C1302&gt;=CALL_LOOKUP_BOARD!$B$7,IF(OR(K1302="Problem Call",K1302="Explosive Alert"),10000000,20000000),0)+IF(C1302&gt;=CALL_LOOKUP_BOARD!$B$7,J1302*1000+MIN(C1302,999),C1302*1000+J1302)+0.00996100)</f>
        <v>2100.009961</v>
      </c>
      <c r="U1302" s="2">
        <f>IF(C1302=0,"",IF(COUNTIFS($S$1264:$S$1440,SUBSTITUTE(SUBSTITUTE(SUBSTITUTE(S1302,"~","~~"),"*","~*"),"?","~?"),$T$1264:$T$1440,"&gt;"&amp;T1302)=0,S1302,""))</f>
        <v/>
      </c>
    </row>
    <row r="1303" spans="1:21" ht="38" customHeight="1">
      <c r="A1303" s="8" t="s">
        <v>449</v>
      </c>
      <c r="B1303" s="8" t="s">
        <v>100</v>
      </c>
      <c r="C1303" s="12">
        <f>COUNTIFS('DEF_SELF_SCOUT_IMPORT'!$L$42:$L$1040,"Y",'DEF_SELF_SCOUT_IMPORT'!$E$42:$E$1040,SUBSTITUTE(SUBSTITUTE(SUBSTITUTE($B1303,"~","~~"),"*","~*"),"?","~?"),'DEF_SELF_SCOUT_IMPORT'!$D$42:$D$1040,SUBSTITUTE(SUBSTITUTE(SUBSTITUTE($P1303,"~","~~"),"*","~*"),"?","~?"))</f>
        <v>2</v>
      </c>
      <c r="D1303" s="10">
        <f>IF($C1303=0,"",SUMIFS('DEF_SELF_SCOUT_IMPORT'!$J$42:$J$1040,'DEF_SELF_SCOUT_IMPORT'!$L$42:$L$1040,"Y",'DEF_SELF_SCOUT_IMPORT'!$E$42:$E$1040,SUBSTITUTE(SUBSTITUTE(SUBSTITUTE($B1303,"~","~~"),"*","~*"),"?","~?"),'DEF_SELF_SCOUT_IMPORT'!$D$42:$D$1040,SUBSTITUTE(SUBSTITUTE(SUBSTITUTE($P1303,"~","~~"),"*","~*"),"?","~?"))/$C1303)</f>
        <v>1.0</v>
      </c>
      <c r="E1303" s="10">
        <f>IF($C1303=0,"",SUMIFS('DEF_SELF_SCOUT_IMPORT'!$K$42:$K$1040,'DEF_SELF_SCOUT_IMPORT'!$L$42:$L$1040,"Y",'DEF_SELF_SCOUT_IMPORT'!$E$42:$E$1040,SUBSTITUTE(SUBSTITUTE(SUBSTITUTE($B1303,"~","~~"),"*","~*"),"?","~?"),'DEF_SELF_SCOUT_IMPORT'!$D$42:$D$1040,SUBSTITUTE(SUBSTITUTE(SUBSTITUTE($P1303,"~","~~"),"*","~*"),"?","~?"))/$C1303)</f>
        <v>0.0</v>
      </c>
      <c r="F1303" s="11">
        <f>IF($C1303=0,"",AVERAGEIFS('DEF_SELF_SCOUT_IMPORT'!$I$42:$I$1040,'DEF_SELF_SCOUT_IMPORT'!$L$42:$L$1040,"Y",'DEF_SELF_SCOUT_IMPORT'!$E$42:$E$1040,SUBSTITUTE(SUBSTITUTE(SUBSTITUTE($B1303,"~","~~"),"*","~*"),"?","~?"),'DEF_SELF_SCOUT_IMPORT'!$D$42:$D$1040,SUBSTITUTE(SUBSTITUTE(SUBSTITUTE($P1303,"~","~~"),"*","~*"),"?","~?")))</f>
        <v>2.0</v>
      </c>
      <c r="G1303" s="10">
        <f>IF($C1303=0,"",COUNTIFS('DEF_SELF_SCOUT_IMPORT'!$L$42:$L$1040,"Y",'DEF_SELF_SCOUT_IMPORT'!$E$42:$E$1040,SUBSTITUTE(SUBSTITUTE(SUBSTITUTE($B1303,"~","~~"),"*","~*"),"?","~?"),'DEF_SELF_SCOUT_IMPORT'!$D$42:$D$1040,SUBSTITUTE(SUBSTITUTE(SUBSTITUTE($P1303,"~","~~"),"*","~*"),"?","~?"),'DEF_SELF_SCOUT_IMPORT'!$H$42:$H$1040,"RUSH")/$C1303)</f>
        <v>0.0</v>
      </c>
      <c r="H1303" s="10">
        <f>IF($C1303=0,"",COUNTIFS('DEF_SELF_SCOUT_IMPORT'!$L$42:$L$1040,"Y",'DEF_SELF_SCOUT_IMPORT'!$E$42:$E$1040,SUBSTITUTE(SUBSTITUTE(SUBSTITUTE($B1303,"~","~~"),"*","~*"),"?","~?"),'DEF_SELF_SCOUT_IMPORT'!$D$42:$D$1040,SUBSTITUTE(SUBSTITUTE(SUBSTITUTE($P1303,"~","~~"),"*","~*"),"?","~?"),'DEF_SELF_SCOUT_IMPORT'!$H$42:$H$1040,"DROPBACK")/$C1303)</f>
        <v>1.0</v>
      </c>
      <c r="I1303" s="14" t="str">
        <f>IF(C1303=0,"",IF(C1303&lt;=2,"TRACK",IF(C1303=3,"LOW",IF(C1303&lt;=6,"MEDIUM","HIGH"))))</f>
        <v>TRACK</v>
      </c>
      <c r="J1303" s="11">
        <f>IF(C1303=0,"",ROUND(D1303*70+(1-E1303)*20+MAX(0,MIN(1,(10-F1303)/10))*10,1))</f>
        <v>98.0</v>
      </c>
      <c r="K1303" s="14" t="str">
        <f>IF(C1303=0,"No Evidence",IF(C1303&lt;=2,IF(E1303&gt;0,"Explosive Alert","Track Only"),IF(C1303=3,"Sample Watch",IF(E1303&gt;=START_HERE!$B$31,"Explosive Alert",IF(J1303&gt;=80,"Strong Candidate",IF(J1303&gt;=65,"Good Candidate",IF(J1303&gt;=50,"Mixed / Review","Problem Call")))))))</f>
        <v>Track Only</v>
      </c>
      <c r="L1303" s="9" t="str">
        <f>IF(COUNTIFS('DEF_SELF_SCOUT_IMPORT'!$L$42:$L$1040,"Y",'DEF_SELF_SCOUT_IMPORT'!$E$42:$E$1040,SUBSTITUTE(SUBSTITUTE(SUBSTITUTE($B1303,"~","~~"),"*","~*"),"?","~?"),'DEF_SELF_SCOUT_IMPORT'!$D$42:$D$1040,SUBSTITUTE(SUBSTITUTE(SUBSTITUTE($P1303,"~","~~"),"*","~*"),"?","~?"),'DEF_SELF_SCOUT_IMPORT'!$J$42:$J$1040,"")&gt;0,"Unscored clean outcome; review result tags before using score.",IF(C1303=0,"No matching defensive reps; film confirmation needed.",IF(K1303="Explosive Alert","Explosive risk; review clips before using as answer.",IF(C1303&lt;=2,"Track only; not enough sample.",IF(C1303=3,IF(E1303&gt;0,"Sample watch with explosive exposure; review clips and build the sample.",IF(J1303&gt;=65,"Good signal, but sample is limited.","Sample watch; review clips and build the sample.")),IF(K1303="Problem Call","Problem area; practice or call-sheet review.",IF(K1303="Strong Candidate","Strong call-fit candidate; confirm on film.",IF(K1303="Good Candidate","Good call-fit signal; confirm on film.","Mixed signal; review fit and execution on film."))))))))</f>
        <v>Track only; not enough sample.</v>
      </c>
      <c r="M1303" s="8"/>
      <c r="N1303" s="8"/>
      <c r="O1303" s="8"/>
      <c r="P1303" s="8" t="s">
        <v>449</v>
      </c>
      <c r="Q1303" s="8"/>
      <c r="R1303" s="8" t="s">
        <v>633</v>
      </c>
      <c r="S1303" s="2" t="s">
        <v>637</v>
      </c>
      <c r="T1303" s="2">
        <f>IF(C1303=0,0,IF(C1303&gt;=CALL_LOOKUP_BOARD!$B$7,IF(OR(K1303="Problem Call",K1303="Explosive Alert"),10000000,20000000),0)+IF(C1303&gt;=CALL_LOOKUP_BOARD!$B$7,J1303*1000+MIN(C1303,999),C1303*1000+J1303)+0.00996000)</f>
        <v>2098.00996</v>
      </c>
      <c r="U1303" s="2">
        <f>IF(C1303=0,"",IF(COUNTIFS($S$1264:$S$1440,SUBSTITUTE(SUBSTITUTE(SUBSTITUTE(S1303,"~","~~"),"*","~*"),"?","~?"),$T$1264:$T$1440,"&gt;"&amp;T1303)=0,S1303,""))</f>
        <v/>
      </c>
    </row>
    <row r="1304" spans="1:21" ht="38" customHeight="1">
      <c r="A1304" s="8" t="s">
        <v>449</v>
      </c>
      <c r="B1304" s="8" t="s">
        <v>105</v>
      </c>
      <c r="C1304" s="12">
        <f>COUNTIFS('DEF_SELF_SCOUT_IMPORT'!$L$42:$L$1040,"Y",'DEF_SELF_SCOUT_IMPORT'!$E$42:$E$1040,SUBSTITUTE(SUBSTITUTE(SUBSTITUTE($B1304,"~","~~"),"*","~*"),"?","~?"),'DEF_SELF_SCOUT_IMPORT'!$D$42:$D$1040,SUBSTITUTE(SUBSTITUTE(SUBSTITUTE($P1304,"~","~~"),"*","~*"),"?","~?"))</f>
        <v>1</v>
      </c>
      <c r="D1304" s="10">
        <f>IF($C1304=0,"",SUMIFS('DEF_SELF_SCOUT_IMPORT'!$J$42:$J$1040,'DEF_SELF_SCOUT_IMPORT'!$L$42:$L$1040,"Y",'DEF_SELF_SCOUT_IMPORT'!$E$42:$E$1040,SUBSTITUTE(SUBSTITUTE(SUBSTITUTE($B1304,"~","~~"),"*","~*"),"?","~?"),'DEF_SELF_SCOUT_IMPORT'!$D$42:$D$1040,SUBSTITUTE(SUBSTITUTE(SUBSTITUTE($P1304,"~","~~"),"*","~*"),"?","~?"))/$C1304)</f>
        <v>1.0</v>
      </c>
      <c r="E1304" s="10">
        <f>IF($C1304=0,"",SUMIFS('DEF_SELF_SCOUT_IMPORT'!$K$42:$K$1040,'DEF_SELF_SCOUT_IMPORT'!$L$42:$L$1040,"Y",'DEF_SELF_SCOUT_IMPORT'!$E$42:$E$1040,SUBSTITUTE(SUBSTITUTE(SUBSTITUTE($B1304,"~","~~"),"*","~*"),"?","~?"),'DEF_SELF_SCOUT_IMPORT'!$D$42:$D$1040,SUBSTITUTE(SUBSTITUTE(SUBSTITUTE($P1304,"~","~~"),"*","~*"),"?","~?"))/$C1304)</f>
        <v>0.0</v>
      </c>
      <c r="F1304" s="11">
        <f>IF($C1304=0,"",AVERAGEIFS('DEF_SELF_SCOUT_IMPORT'!$I$42:$I$1040,'DEF_SELF_SCOUT_IMPORT'!$L$42:$L$1040,"Y",'DEF_SELF_SCOUT_IMPORT'!$E$42:$E$1040,SUBSTITUTE(SUBSTITUTE(SUBSTITUTE($B1304,"~","~~"),"*","~*"),"?","~?"),'DEF_SELF_SCOUT_IMPORT'!$D$42:$D$1040,SUBSTITUTE(SUBSTITUTE(SUBSTITUTE($P1304,"~","~~"),"*","~*"),"?","~?")))</f>
        <v>0.0</v>
      </c>
      <c r="G1304" s="10">
        <f>IF($C1304=0,"",COUNTIFS('DEF_SELF_SCOUT_IMPORT'!$L$42:$L$1040,"Y",'DEF_SELF_SCOUT_IMPORT'!$E$42:$E$1040,SUBSTITUTE(SUBSTITUTE(SUBSTITUTE($B1304,"~","~~"),"*","~*"),"?","~?"),'DEF_SELF_SCOUT_IMPORT'!$D$42:$D$1040,SUBSTITUTE(SUBSTITUTE(SUBSTITUTE($P1304,"~","~~"),"*","~*"),"?","~?"),'DEF_SELF_SCOUT_IMPORT'!$H$42:$H$1040,"RUSH")/$C1304)</f>
        <v>0.0</v>
      </c>
      <c r="H1304" s="10">
        <f>IF($C1304=0,"",COUNTIFS('DEF_SELF_SCOUT_IMPORT'!$L$42:$L$1040,"Y",'DEF_SELF_SCOUT_IMPORT'!$E$42:$E$1040,SUBSTITUTE(SUBSTITUTE(SUBSTITUTE($B1304,"~","~~"),"*","~*"),"?","~?"),'DEF_SELF_SCOUT_IMPORT'!$D$42:$D$1040,SUBSTITUTE(SUBSTITUTE(SUBSTITUTE($P1304,"~","~~"),"*","~*"),"?","~?"),'DEF_SELF_SCOUT_IMPORT'!$H$42:$H$1040,"DROPBACK")/$C1304)</f>
        <v>1.0</v>
      </c>
      <c r="I1304" s="14" t="str">
        <f>IF(C1304=0,"",IF(C1304&lt;=2,"TRACK",IF(C1304=3,"LOW",IF(C1304&lt;=6,"MEDIUM","HIGH"))))</f>
        <v>TRACK</v>
      </c>
      <c r="J1304" s="11">
        <f>IF(C1304=0,"",ROUND(D1304*70+(1-E1304)*20+MAX(0,MIN(1,(10-F1304)/10))*10,1))</f>
        <v>100.0</v>
      </c>
      <c r="K1304" s="14" t="str">
        <f>IF(C1304=0,"No Evidence",IF(C1304&lt;=2,IF(E1304&gt;0,"Explosive Alert","Track Only"),IF(C1304=3,"Sample Watch",IF(E1304&gt;=START_HERE!$B$31,"Explosive Alert",IF(J1304&gt;=80,"Strong Candidate",IF(J1304&gt;=65,"Good Candidate",IF(J1304&gt;=50,"Mixed / Review","Problem Call")))))))</f>
        <v>Track Only</v>
      </c>
      <c r="L1304" s="9" t="str">
        <f>IF(COUNTIFS('DEF_SELF_SCOUT_IMPORT'!$L$42:$L$1040,"Y",'DEF_SELF_SCOUT_IMPORT'!$E$42:$E$1040,SUBSTITUTE(SUBSTITUTE(SUBSTITUTE($B1304,"~","~~"),"*","~*"),"?","~?"),'DEF_SELF_SCOUT_IMPORT'!$D$42:$D$1040,SUBSTITUTE(SUBSTITUTE(SUBSTITUTE($P1304,"~","~~"),"*","~*"),"?","~?"),'DEF_SELF_SCOUT_IMPORT'!$J$42:$J$1040,"")&gt;0,"Unscored clean outcome; review result tags before using score.",IF(C1304=0,"No matching defensive reps; film confirmation needed.",IF(K1304="Explosive Alert","Explosive risk; review clips before using as answer.",IF(C1304&lt;=2,"Track only; not enough sample.",IF(C1304=3,IF(E1304&gt;0,"Sample watch with explosive exposure; review clips and build the sample.",IF(J1304&gt;=65,"Good signal, but sample is limited.","Sample watch; review clips and build the sample.")),IF(K1304="Problem Call","Problem area; practice or call-sheet review.",IF(K1304="Strong Candidate","Strong call-fit candidate; confirm on film.",IF(K1304="Good Candidate","Good call-fit signal; confirm on film.","Mixed signal; review fit and execution on film."))))))))</f>
        <v>Track only; not enough sample.</v>
      </c>
      <c r="M1304" s="8"/>
      <c r="N1304" s="8"/>
      <c r="O1304" s="8"/>
      <c r="P1304" s="8" t="s">
        <v>449</v>
      </c>
      <c r="Q1304" s="8"/>
      <c r="R1304" s="8" t="s">
        <v>633</v>
      </c>
      <c r="S1304" s="2" t="s">
        <v>637</v>
      </c>
      <c r="T1304" s="2">
        <f>IF(C1304=0,0,IF(C1304&gt;=CALL_LOOKUP_BOARD!$B$7,IF(OR(K1304="Problem Call",K1304="Explosive Alert"),10000000,20000000),0)+IF(C1304&gt;=CALL_LOOKUP_BOARD!$B$7,J1304*1000+MIN(C1304,999),C1304*1000+J1304)+0.00995900)</f>
        <v>1100.009959</v>
      </c>
      <c r="U1304" s="2">
        <f>IF(C1304=0,"",IF(COUNTIFS($S$1264:$S$1440,SUBSTITUTE(SUBSTITUTE(SUBSTITUTE(S1304,"~","~~"),"*","~*"),"?","~?"),$T$1264:$T$1440,"&gt;"&amp;T1304)=0,S1304,""))</f>
        <v/>
      </c>
    </row>
    <row r="1305" spans="1:21" ht="38" customHeight="1">
      <c r="A1305" s="8" t="s">
        <v>449</v>
      </c>
      <c r="B1305" s="8" t="s">
        <v>95</v>
      </c>
      <c r="C1305" s="12">
        <f>COUNTIFS('DEF_SELF_SCOUT_IMPORT'!$L$42:$L$1040,"Y",'DEF_SELF_SCOUT_IMPORT'!$E$42:$E$1040,SUBSTITUTE(SUBSTITUTE(SUBSTITUTE($B1305,"~","~~"),"*","~*"),"?","~?"),'DEF_SELF_SCOUT_IMPORT'!$D$42:$D$1040,SUBSTITUTE(SUBSTITUTE(SUBSTITUTE($P1305,"~","~~"),"*","~*"),"?","~?"))</f>
        <v>1</v>
      </c>
      <c r="D1305" s="10">
        <f>IF($C1305=0,"",SUMIFS('DEF_SELF_SCOUT_IMPORT'!$J$42:$J$1040,'DEF_SELF_SCOUT_IMPORT'!$L$42:$L$1040,"Y",'DEF_SELF_SCOUT_IMPORT'!$E$42:$E$1040,SUBSTITUTE(SUBSTITUTE(SUBSTITUTE($B1305,"~","~~"),"*","~*"),"?","~?"),'DEF_SELF_SCOUT_IMPORT'!$D$42:$D$1040,SUBSTITUTE(SUBSTITUTE(SUBSTITUTE($P1305,"~","~~"),"*","~*"),"?","~?"))/$C1305)</f>
        <v>0.0</v>
      </c>
      <c r="E1305" s="10">
        <f>IF($C1305=0,"",SUMIFS('DEF_SELF_SCOUT_IMPORT'!$K$42:$K$1040,'DEF_SELF_SCOUT_IMPORT'!$L$42:$L$1040,"Y",'DEF_SELF_SCOUT_IMPORT'!$E$42:$E$1040,SUBSTITUTE(SUBSTITUTE(SUBSTITUTE($B1305,"~","~~"),"*","~*"),"?","~?"),'DEF_SELF_SCOUT_IMPORT'!$D$42:$D$1040,SUBSTITUTE(SUBSTITUTE(SUBSTITUTE($P1305,"~","~~"),"*","~*"),"?","~?"))/$C1305)</f>
        <v>0.0</v>
      </c>
      <c r="F1305" s="11">
        <f>IF($C1305=0,"",AVERAGEIFS('DEF_SELF_SCOUT_IMPORT'!$I$42:$I$1040,'DEF_SELF_SCOUT_IMPORT'!$L$42:$L$1040,"Y",'DEF_SELF_SCOUT_IMPORT'!$E$42:$E$1040,SUBSTITUTE(SUBSTITUTE(SUBSTITUTE($B1305,"~","~~"),"*","~*"),"?","~?"),'DEF_SELF_SCOUT_IMPORT'!$D$42:$D$1040,SUBSTITUTE(SUBSTITUTE(SUBSTITUTE($P1305,"~","~~"),"*","~*"),"?","~?")))</f>
        <v>10.0</v>
      </c>
      <c r="G1305" s="10">
        <f>IF($C1305=0,"",COUNTIFS('DEF_SELF_SCOUT_IMPORT'!$L$42:$L$1040,"Y",'DEF_SELF_SCOUT_IMPORT'!$E$42:$E$1040,SUBSTITUTE(SUBSTITUTE(SUBSTITUTE($B1305,"~","~~"),"*","~*"),"?","~?"),'DEF_SELF_SCOUT_IMPORT'!$D$42:$D$1040,SUBSTITUTE(SUBSTITUTE(SUBSTITUTE($P1305,"~","~~"),"*","~*"),"?","~?"),'DEF_SELF_SCOUT_IMPORT'!$H$42:$H$1040,"RUSH")/$C1305)</f>
        <v>0.0</v>
      </c>
      <c r="H1305" s="10">
        <f>IF($C1305=0,"",COUNTIFS('DEF_SELF_SCOUT_IMPORT'!$L$42:$L$1040,"Y",'DEF_SELF_SCOUT_IMPORT'!$E$42:$E$1040,SUBSTITUTE(SUBSTITUTE(SUBSTITUTE($B1305,"~","~~"),"*","~*"),"?","~?"),'DEF_SELF_SCOUT_IMPORT'!$D$42:$D$1040,SUBSTITUTE(SUBSTITUTE(SUBSTITUTE($P1305,"~","~~"),"*","~*"),"?","~?"),'DEF_SELF_SCOUT_IMPORT'!$H$42:$H$1040,"DROPBACK")/$C1305)</f>
        <v>1.0</v>
      </c>
      <c r="I1305" s="14" t="str">
        <f>IF(C1305=0,"",IF(C1305&lt;=2,"TRACK",IF(C1305=3,"LOW",IF(C1305&lt;=6,"MEDIUM","HIGH"))))</f>
        <v>TRACK</v>
      </c>
      <c r="J1305" s="11">
        <f>IF(C1305=0,"",ROUND(D1305*70+(1-E1305)*20+MAX(0,MIN(1,(10-F1305)/10))*10,1))</f>
        <v>20.0</v>
      </c>
      <c r="K1305" s="14" t="str">
        <f>IF(C1305=0,"No Evidence",IF(C1305&lt;=2,IF(E1305&gt;0,"Explosive Alert","Track Only"),IF(C1305=3,"Sample Watch",IF(E1305&gt;=START_HERE!$B$31,"Explosive Alert",IF(J1305&gt;=80,"Strong Candidate",IF(J1305&gt;=65,"Good Candidate",IF(J1305&gt;=50,"Mixed / Review","Problem Call")))))))</f>
        <v>Track Only</v>
      </c>
      <c r="L1305" s="9" t="str">
        <f>IF(COUNTIFS('DEF_SELF_SCOUT_IMPORT'!$L$42:$L$1040,"Y",'DEF_SELF_SCOUT_IMPORT'!$E$42:$E$1040,SUBSTITUTE(SUBSTITUTE(SUBSTITUTE($B1305,"~","~~"),"*","~*"),"?","~?"),'DEF_SELF_SCOUT_IMPORT'!$D$42:$D$1040,SUBSTITUTE(SUBSTITUTE(SUBSTITUTE($P1305,"~","~~"),"*","~*"),"?","~?"),'DEF_SELF_SCOUT_IMPORT'!$J$42:$J$1040,"")&gt;0,"Unscored clean outcome; review result tags before using score.",IF(C1305=0,"No matching defensive reps; film confirmation needed.",IF(K1305="Explosive Alert","Explosive risk; review clips before using as answer.",IF(C1305&lt;=2,"Track only; not enough sample.",IF(C1305=3,IF(E1305&gt;0,"Sample watch with explosive exposure; review clips and build the sample.",IF(J1305&gt;=65,"Good signal, but sample is limited.","Sample watch; review clips and build the sample.")),IF(K1305="Problem Call","Problem area; practice or call-sheet review.",IF(K1305="Strong Candidate","Strong call-fit candidate; confirm on film.",IF(K1305="Good Candidate","Good call-fit signal; confirm on film.","Mixed signal; review fit and execution on film."))))))))</f>
        <v>Track only; not enough sample.</v>
      </c>
      <c r="M1305" s="8"/>
      <c r="N1305" s="8"/>
      <c r="O1305" s="8"/>
      <c r="P1305" s="8" t="s">
        <v>449</v>
      </c>
      <c r="Q1305" s="8"/>
      <c r="R1305" s="8" t="s">
        <v>633</v>
      </c>
      <c r="S1305" s="2" t="s">
        <v>637</v>
      </c>
      <c r="T1305" s="2">
        <f>IF(C1305=0,0,IF(C1305&gt;=CALL_LOOKUP_BOARD!$B$7,IF(OR(K1305="Problem Call",K1305="Explosive Alert"),10000000,20000000),0)+IF(C1305&gt;=CALL_LOOKUP_BOARD!$B$7,J1305*1000+MIN(C1305,999),C1305*1000+J1305)+0.00995800)</f>
        <v>1020.009958</v>
      </c>
      <c r="U1305" s="2">
        <f>IF(C1305=0,"",IF(COUNTIFS($S$1264:$S$1440,SUBSTITUTE(SUBSTITUTE(SUBSTITUTE(S1305,"~","~~"),"*","~*"),"?","~?"),$T$1264:$T$1440,"&gt;"&amp;T1305)=0,S1305,""))</f>
        <v/>
      </c>
    </row>
    <row r="1306" spans="1:21" ht="38" customHeight="1">
      <c r="A1306" s="8" t="s">
        <v>449</v>
      </c>
      <c r="B1306" s="8" t="s">
        <v>35</v>
      </c>
      <c r="C1306" s="12">
        <f>COUNTIFS('DEF_SELF_SCOUT_IMPORT'!$L$42:$L$1040,"Y",'DEF_SELF_SCOUT_IMPORT'!$E$42:$E$1040,SUBSTITUTE(SUBSTITUTE(SUBSTITUTE($B1306,"~","~~"),"*","~*"),"?","~?"),'DEF_SELF_SCOUT_IMPORT'!$D$42:$D$1040,SUBSTITUTE(SUBSTITUTE(SUBSTITUTE($P1306,"~","~~"),"*","~*"),"?","~?"))</f>
        <v>4</v>
      </c>
      <c r="D1306" s="10">
        <f>IF($C1306=0,"",SUMIFS('DEF_SELF_SCOUT_IMPORT'!$J$42:$J$1040,'DEF_SELF_SCOUT_IMPORT'!$L$42:$L$1040,"Y",'DEF_SELF_SCOUT_IMPORT'!$E$42:$E$1040,SUBSTITUTE(SUBSTITUTE(SUBSTITUTE($B1306,"~","~~"),"*","~*"),"?","~?"),'DEF_SELF_SCOUT_IMPORT'!$D$42:$D$1040,SUBSTITUTE(SUBSTITUTE(SUBSTITUTE($P1306,"~","~~"),"*","~*"),"?","~?"))/$C1306)</f>
        <v>1.0</v>
      </c>
      <c r="E1306" s="10">
        <f>IF($C1306=0,"",SUMIFS('DEF_SELF_SCOUT_IMPORT'!$K$42:$K$1040,'DEF_SELF_SCOUT_IMPORT'!$L$42:$L$1040,"Y",'DEF_SELF_SCOUT_IMPORT'!$E$42:$E$1040,SUBSTITUTE(SUBSTITUTE(SUBSTITUTE($B1306,"~","~~"),"*","~*"),"?","~?"),'DEF_SELF_SCOUT_IMPORT'!$D$42:$D$1040,SUBSTITUTE(SUBSTITUTE(SUBSTITUTE($P1306,"~","~~"),"*","~*"),"?","~?"))/$C1306)</f>
        <v>0.0</v>
      </c>
      <c r="F1306" s="11">
        <f>IF($C1306=0,"",AVERAGEIFS('DEF_SELF_SCOUT_IMPORT'!$I$42:$I$1040,'DEF_SELF_SCOUT_IMPORT'!$L$42:$L$1040,"Y",'DEF_SELF_SCOUT_IMPORT'!$E$42:$E$1040,SUBSTITUTE(SUBSTITUTE(SUBSTITUTE($B1306,"~","~~"),"*","~*"),"?","~?"),'DEF_SELF_SCOUT_IMPORT'!$D$42:$D$1040,SUBSTITUTE(SUBSTITUTE(SUBSTITUTE($P1306,"~","~~"),"*","~*"),"?","~?")))</f>
        <v>1.0</v>
      </c>
      <c r="G1306" s="10">
        <f>IF($C1306=0,"",COUNTIFS('DEF_SELF_SCOUT_IMPORT'!$L$42:$L$1040,"Y",'DEF_SELF_SCOUT_IMPORT'!$E$42:$E$1040,SUBSTITUTE(SUBSTITUTE(SUBSTITUTE($B1306,"~","~~"),"*","~*"),"?","~?"),'DEF_SELF_SCOUT_IMPORT'!$D$42:$D$1040,SUBSTITUTE(SUBSTITUTE(SUBSTITUTE($P1306,"~","~~"),"*","~*"),"?","~?"),'DEF_SELF_SCOUT_IMPORT'!$H$42:$H$1040,"RUSH")/$C1306)</f>
        <v>0.0</v>
      </c>
      <c r="H1306" s="10">
        <f>IF($C1306=0,"",COUNTIFS('DEF_SELF_SCOUT_IMPORT'!$L$42:$L$1040,"Y",'DEF_SELF_SCOUT_IMPORT'!$E$42:$E$1040,SUBSTITUTE(SUBSTITUTE(SUBSTITUTE($B1306,"~","~~"),"*","~*"),"?","~?"),'DEF_SELF_SCOUT_IMPORT'!$D$42:$D$1040,SUBSTITUTE(SUBSTITUTE(SUBSTITUTE($P1306,"~","~~"),"*","~*"),"?","~?"),'DEF_SELF_SCOUT_IMPORT'!$H$42:$H$1040,"DROPBACK")/$C1306)</f>
        <v>1.0</v>
      </c>
      <c r="I1306" s="14" t="str">
        <f>IF(C1306=0,"",IF(C1306&lt;=2,"TRACK",IF(C1306=3,"LOW",IF(C1306&lt;=6,"MEDIUM","HIGH"))))</f>
        <v>MEDIUM</v>
      </c>
      <c r="J1306" s="11">
        <f>IF(C1306=0,"",ROUND(D1306*70+(1-E1306)*20+MAX(0,MIN(1,(10-F1306)/10))*10,1))</f>
        <v>99.0</v>
      </c>
      <c r="K1306" s="14" t="str">
        <f>IF(C1306=0,"No Evidence",IF(C1306&lt;=2,IF(E1306&gt;0,"Explosive Alert","Track Only"),IF(C1306=3,"Sample Watch",IF(E1306&gt;=START_HERE!$B$31,"Explosive Alert",IF(J1306&gt;=80,"Strong Candidate",IF(J1306&gt;=65,"Good Candidate",IF(J1306&gt;=50,"Mixed / Review","Problem Call")))))))</f>
        <v>Strong Candidate</v>
      </c>
      <c r="L1306" s="9" t="str">
        <f>IF(COUNTIFS('DEF_SELF_SCOUT_IMPORT'!$L$42:$L$1040,"Y",'DEF_SELF_SCOUT_IMPORT'!$E$42:$E$1040,SUBSTITUTE(SUBSTITUTE(SUBSTITUTE($B1306,"~","~~"),"*","~*"),"?","~?"),'DEF_SELF_SCOUT_IMPORT'!$D$42:$D$1040,SUBSTITUTE(SUBSTITUTE(SUBSTITUTE($P1306,"~","~~"),"*","~*"),"?","~?"),'DEF_SELF_SCOUT_IMPORT'!$J$42:$J$1040,"")&gt;0,"Unscored clean outcome; review result tags before using score.",IF(C1306=0,"No matching defensive reps; film confirmation needed.",IF(K1306="Explosive Alert","Explosive risk; review clips before using as answer.",IF(C1306&lt;=2,"Track only; not enough sample.",IF(C1306=3,IF(E1306&gt;0,"Sample watch with explosive exposure; review clips and build the sample.",IF(J1306&gt;=65,"Good signal, but sample is limited.","Sample watch; review clips and build the sample.")),IF(K1306="Problem Call","Problem area; practice or call-sheet review.",IF(K1306="Strong Candidate","Strong call-fit candidate; confirm on film.",IF(K1306="Good Candidate","Good call-fit signal; confirm on film.","Mixed signal; review fit and execution on film."))))))))</f>
        <v>Strong call-fit candidate; confirm on film.</v>
      </c>
      <c r="M1306" s="8"/>
      <c r="N1306" s="8"/>
      <c r="O1306" s="8"/>
      <c r="P1306" s="8" t="s">
        <v>449</v>
      </c>
      <c r="Q1306" s="8"/>
      <c r="R1306" s="8" t="s">
        <v>636</v>
      </c>
      <c r="S1306" s="2" t="s">
        <v>637</v>
      </c>
      <c r="T1306" s="2">
        <f>IF(C1306=0,0,IF(C1306&gt;=CALL_LOOKUP_BOARD!$B$7,IF(OR(K1306="Problem Call",K1306="Explosive Alert"),10000000,20000000),0)+IF(C1306&gt;=CALL_LOOKUP_BOARD!$B$7,J1306*1000+MIN(C1306,999),C1306*1000+J1306)+0.00995700)</f>
        <v>20099004.009957</v>
      </c>
      <c r="U1306" s="2" t="str">
        <f>IF(C1306=0,"",IF(COUNTIFS($S$1264:$S$1440,SUBSTITUTE(SUBSTITUTE(SUBSTITUTE(S1306,"~","~~"),"*","~*"),"?","~?"),$T$1264:$T$1440,"&gt;"&amp;T1306)=0,S1306,""))</f>
        <v>6:5 STEP|</v>
      </c>
    </row>
    <row r="1307" spans="1:21" ht="38" customHeight="1">
      <c r="A1307" s="8" t="s">
        <v>449</v>
      </c>
      <c r="B1307" s="8" t="s">
        <v>60</v>
      </c>
      <c r="C1307" s="12">
        <f>COUNTIFS('DEF_SELF_SCOUT_IMPORT'!$L$42:$L$1040,"Y",'DEF_SELF_SCOUT_IMPORT'!$E$42:$E$1040,SUBSTITUTE(SUBSTITUTE(SUBSTITUTE($B1307,"~","~~"),"*","~*"),"?","~?"),'DEF_SELF_SCOUT_IMPORT'!$D$42:$D$1040,SUBSTITUTE(SUBSTITUTE(SUBSTITUTE($P1307,"~","~~"),"*","~*"),"?","~?"))</f>
        <v>3</v>
      </c>
      <c r="D1307" s="10">
        <f>IF($C1307=0,"",SUMIFS('DEF_SELF_SCOUT_IMPORT'!$J$42:$J$1040,'DEF_SELF_SCOUT_IMPORT'!$L$42:$L$1040,"Y",'DEF_SELF_SCOUT_IMPORT'!$E$42:$E$1040,SUBSTITUTE(SUBSTITUTE(SUBSTITUTE($B1307,"~","~~"),"*","~*"),"?","~?"),'DEF_SELF_SCOUT_IMPORT'!$D$42:$D$1040,SUBSTITUTE(SUBSTITUTE(SUBSTITUTE($P1307,"~","~~"),"*","~*"),"?","~?"))/$C1307)</f>
        <v>0.0</v>
      </c>
      <c r="E1307" s="10">
        <f>IF($C1307=0,"",SUMIFS('DEF_SELF_SCOUT_IMPORT'!$K$42:$K$1040,'DEF_SELF_SCOUT_IMPORT'!$L$42:$L$1040,"Y",'DEF_SELF_SCOUT_IMPORT'!$E$42:$E$1040,SUBSTITUTE(SUBSTITUTE(SUBSTITUTE($B1307,"~","~~"),"*","~*"),"?","~?"),'DEF_SELF_SCOUT_IMPORT'!$D$42:$D$1040,SUBSTITUTE(SUBSTITUTE(SUBSTITUTE($P1307,"~","~~"),"*","~*"),"?","~?"))/$C1307)</f>
        <v>0.3333333333333333</v>
      </c>
      <c r="F1307" s="11">
        <f>IF($C1307=0,"",AVERAGEIFS('DEF_SELF_SCOUT_IMPORT'!$I$42:$I$1040,'DEF_SELF_SCOUT_IMPORT'!$L$42:$L$1040,"Y",'DEF_SELF_SCOUT_IMPORT'!$E$42:$E$1040,SUBSTITUTE(SUBSTITUTE(SUBSTITUTE($B1307,"~","~~"),"*","~*"),"?","~?"),'DEF_SELF_SCOUT_IMPORT'!$D$42:$D$1040,SUBSTITUTE(SUBSTITUTE(SUBSTITUTE($P1307,"~","~~"),"*","~*"),"?","~?")))</f>
        <v>17.666666666666668</v>
      </c>
      <c r="G1307" s="10">
        <f>IF($C1307=0,"",COUNTIFS('DEF_SELF_SCOUT_IMPORT'!$L$42:$L$1040,"Y",'DEF_SELF_SCOUT_IMPORT'!$E$42:$E$1040,SUBSTITUTE(SUBSTITUTE(SUBSTITUTE($B1307,"~","~~"),"*","~*"),"?","~?"),'DEF_SELF_SCOUT_IMPORT'!$D$42:$D$1040,SUBSTITUTE(SUBSTITUTE(SUBSTITUTE($P1307,"~","~~"),"*","~*"),"?","~?"),'DEF_SELF_SCOUT_IMPORT'!$H$42:$H$1040,"RUSH")/$C1307)</f>
        <v>0.0</v>
      </c>
      <c r="H1307" s="10">
        <f>IF($C1307=0,"",COUNTIFS('DEF_SELF_SCOUT_IMPORT'!$L$42:$L$1040,"Y",'DEF_SELF_SCOUT_IMPORT'!$E$42:$E$1040,SUBSTITUTE(SUBSTITUTE(SUBSTITUTE($B1307,"~","~~"),"*","~*"),"?","~?"),'DEF_SELF_SCOUT_IMPORT'!$D$42:$D$1040,SUBSTITUTE(SUBSTITUTE(SUBSTITUTE($P1307,"~","~~"),"*","~*"),"?","~?"),'DEF_SELF_SCOUT_IMPORT'!$H$42:$H$1040,"DROPBACK")/$C1307)</f>
        <v>0.6666666666666666</v>
      </c>
      <c r="I1307" s="14" t="str">
        <f>IF(C1307=0,"",IF(C1307&lt;=2,"TRACK",IF(C1307=3,"LOW",IF(C1307&lt;=6,"MEDIUM","HIGH"))))</f>
        <v>LOW</v>
      </c>
      <c r="J1307" s="11">
        <f>IF(C1307=0,"",ROUND(D1307*70+(1-E1307)*20+MAX(0,MIN(1,(10-F1307)/10))*10,1))</f>
        <v>13.3</v>
      </c>
      <c r="K1307" s="14" t="str">
        <f>IF(C1307=0,"No Evidence",IF(C1307&lt;=2,IF(E1307&gt;0,"Explosive Alert","Track Only"),IF(C1307=3,"Sample Watch",IF(E1307&gt;=START_HERE!$B$31,"Explosive Alert",IF(J1307&gt;=80,"Strong Candidate",IF(J1307&gt;=65,"Good Candidate",IF(J1307&gt;=50,"Mixed / Review","Problem Call")))))))</f>
        <v>Sample Watch</v>
      </c>
      <c r="L1307" s="9" t="str">
        <f>IF(COUNTIFS('DEF_SELF_SCOUT_IMPORT'!$L$42:$L$1040,"Y",'DEF_SELF_SCOUT_IMPORT'!$E$42:$E$1040,SUBSTITUTE(SUBSTITUTE(SUBSTITUTE($B1307,"~","~~"),"*","~*"),"?","~?"),'DEF_SELF_SCOUT_IMPORT'!$D$42:$D$1040,SUBSTITUTE(SUBSTITUTE(SUBSTITUTE($P1307,"~","~~"),"*","~*"),"?","~?"),'DEF_SELF_SCOUT_IMPORT'!$J$42:$J$1040,"")&gt;0,"Unscored clean outcome; review result tags before using score.",IF(C1307=0,"No matching defensive reps; film confirmation needed.",IF(K1307="Explosive Alert","Explosive risk; review clips before using as answer.",IF(C1307&lt;=2,"Track only; not enough sample.",IF(C1307=3,IF(E1307&gt;0,"Sample watch with explosive exposure; review clips and build the sample.",IF(J1307&gt;=65,"Good signal, but sample is limited.","Sample watch; review clips and build the sample.")),IF(K1307="Problem Call","Problem area; practice or call-sheet review.",IF(K1307="Strong Candidate","Strong call-fit candidate; confirm on film.",IF(K1307="Good Candidate","Good call-fit signal; confirm on film.","Mixed signal; review fit and execution on film."))))))))</f>
        <v>Sample watch with explosive exposure; review clips and build the sample.</v>
      </c>
      <c r="M1307" s="8"/>
      <c r="N1307" s="8"/>
      <c r="O1307" s="8"/>
      <c r="P1307" s="8" t="s">
        <v>449</v>
      </c>
      <c r="Q1307" s="8"/>
      <c r="R1307" s="8" t="s">
        <v>633</v>
      </c>
      <c r="S1307" s="2" t="s">
        <v>637</v>
      </c>
      <c r="T1307" s="2">
        <f>IF(C1307=0,0,IF(C1307&gt;=CALL_LOOKUP_BOARD!$B$7,IF(OR(K1307="Problem Call",K1307="Explosive Alert"),10000000,20000000),0)+IF(C1307&gt;=CALL_LOOKUP_BOARD!$B$7,J1307*1000+MIN(C1307,999),C1307*1000+J1307)+0.00995600)</f>
        <v>3013.309956</v>
      </c>
      <c r="U1307" s="2">
        <f>IF(C1307=0,"",IF(COUNTIFS($S$1264:$S$1440,SUBSTITUTE(SUBSTITUTE(SUBSTITUTE(S1307,"~","~~"),"*","~*"),"?","~?"),$T$1264:$T$1440,"&gt;"&amp;T1307)=0,S1307,""))</f>
        <v/>
      </c>
    </row>
    <row r="1308" spans="1:21" ht="38" customHeight="1">
      <c r="A1308" s="8" t="s">
        <v>449</v>
      </c>
      <c r="B1308" s="8" t="s">
        <v>110</v>
      </c>
      <c r="C1308" s="12">
        <f>COUNTIFS('DEF_SELF_SCOUT_IMPORT'!$L$42:$L$1040,"Y",'DEF_SELF_SCOUT_IMPORT'!$E$42:$E$1040,SUBSTITUTE(SUBSTITUTE(SUBSTITUTE($B1308,"~","~~"),"*","~*"),"?","~?"),'DEF_SELF_SCOUT_IMPORT'!$D$42:$D$1040,SUBSTITUTE(SUBSTITUTE(SUBSTITUTE($P1308,"~","~~"),"*","~*"),"?","~?"))</f>
        <v>1</v>
      </c>
      <c r="D1308" s="10">
        <f>IF($C1308=0,"",SUMIFS('DEF_SELF_SCOUT_IMPORT'!$J$42:$J$1040,'DEF_SELF_SCOUT_IMPORT'!$L$42:$L$1040,"Y",'DEF_SELF_SCOUT_IMPORT'!$E$42:$E$1040,SUBSTITUTE(SUBSTITUTE(SUBSTITUTE($B1308,"~","~~"),"*","~*"),"?","~?"),'DEF_SELF_SCOUT_IMPORT'!$D$42:$D$1040,SUBSTITUTE(SUBSTITUTE(SUBSTITUTE($P1308,"~","~~"),"*","~*"),"?","~?"))/$C1308)</f>
        <v>0.0</v>
      </c>
      <c r="E1308" s="10">
        <f>IF($C1308=0,"",SUMIFS('DEF_SELF_SCOUT_IMPORT'!$K$42:$K$1040,'DEF_SELF_SCOUT_IMPORT'!$L$42:$L$1040,"Y",'DEF_SELF_SCOUT_IMPORT'!$E$42:$E$1040,SUBSTITUTE(SUBSTITUTE(SUBSTITUTE($B1308,"~","~~"),"*","~*"),"?","~?"),'DEF_SELF_SCOUT_IMPORT'!$D$42:$D$1040,SUBSTITUTE(SUBSTITUTE(SUBSTITUTE($P1308,"~","~~"),"*","~*"),"?","~?"))/$C1308)</f>
        <v>1.0</v>
      </c>
      <c r="F1308" s="11">
        <f>IF($C1308=0,"",AVERAGEIFS('DEF_SELF_SCOUT_IMPORT'!$I$42:$I$1040,'DEF_SELF_SCOUT_IMPORT'!$L$42:$L$1040,"Y",'DEF_SELF_SCOUT_IMPORT'!$E$42:$E$1040,SUBSTITUTE(SUBSTITUTE(SUBSTITUTE($B1308,"~","~~"),"*","~*"),"?","~?"),'DEF_SELF_SCOUT_IMPORT'!$D$42:$D$1040,SUBSTITUTE(SUBSTITUTE(SUBSTITUTE($P1308,"~","~~"),"*","~*"),"?","~?")))</f>
        <v>19.0</v>
      </c>
      <c r="G1308" s="10">
        <f>IF($C1308=0,"",COUNTIFS('DEF_SELF_SCOUT_IMPORT'!$L$42:$L$1040,"Y",'DEF_SELF_SCOUT_IMPORT'!$E$42:$E$1040,SUBSTITUTE(SUBSTITUTE(SUBSTITUTE($B1308,"~","~~"),"*","~*"),"?","~?"),'DEF_SELF_SCOUT_IMPORT'!$D$42:$D$1040,SUBSTITUTE(SUBSTITUTE(SUBSTITUTE($P1308,"~","~~"),"*","~*"),"?","~?"),'DEF_SELF_SCOUT_IMPORT'!$H$42:$H$1040,"RUSH")/$C1308)</f>
        <v>0.0</v>
      </c>
      <c r="H1308" s="10">
        <f>IF($C1308=0,"",COUNTIFS('DEF_SELF_SCOUT_IMPORT'!$L$42:$L$1040,"Y",'DEF_SELF_SCOUT_IMPORT'!$E$42:$E$1040,SUBSTITUTE(SUBSTITUTE(SUBSTITUTE($B1308,"~","~~"),"*","~*"),"?","~?"),'DEF_SELF_SCOUT_IMPORT'!$D$42:$D$1040,SUBSTITUTE(SUBSTITUTE(SUBSTITUTE($P1308,"~","~~"),"*","~*"),"?","~?"),'DEF_SELF_SCOUT_IMPORT'!$H$42:$H$1040,"DROPBACK")/$C1308)</f>
        <v>1.0</v>
      </c>
      <c r="I1308" s="14" t="str">
        <f>IF(C1308=0,"",IF(C1308&lt;=2,"TRACK",IF(C1308=3,"LOW",IF(C1308&lt;=6,"MEDIUM","HIGH"))))</f>
        <v>TRACK</v>
      </c>
      <c r="J1308" s="11">
        <f>IF(C1308=0,"",ROUND(D1308*70+(1-E1308)*20+MAX(0,MIN(1,(10-F1308)/10))*10,1))</f>
        <v>0.0</v>
      </c>
      <c r="K1308" s="14" t="str">
        <f>IF(C1308=0,"No Evidence",IF(C1308&lt;=2,IF(E1308&gt;0,"Explosive Alert","Track Only"),IF(C1308=3,"Sample Watch",IF(E1308&gt;=START_HERE!$B$31,"Explosive Alert",IF(J1308&gt;=80,"Strong Candidate",IF(J1308&gt;=65,"Good Candidate",IF(J1308&gt;=50,"Mixed / Review","Problem Call")))))))</f>
        <v>Explosive Alert</v>
      </c>
      <c r="L1308" s="9" t="str">
        <f>IF(COUNTIFS('DEF_SELF_SCOUT_IMPORT'!$L$42:$L$1040,"Y",'DEF_SELF_SCOUT_IMPORT'!$E$42:$E$1040,SUBSTITUTE(SUBSTITUTE(SUBSTITUTE($B1308,"~","~~"),"*","~*"),"?","~?"),'DEF_SELF_SCOUT_IMPORT'!$D$42:$D$1040,SUBSTITUTE(SUBSTITUTE(SUBSTITUTE($P1308,"~","~~"),"*","~*"),"?","~?"),'DEF_SELF_SCOUT_IMPORT'!$J$42:$J$1040,"")&gt;0,"Unscored clean outcome; review result tags before using score.",IF(C1308=0,"No matching defensive reps; film confirmation needed.",IF(K1308="Explosive Alert","Explosive risk; review clips before using as answer.",IF(C1308&lt;=2,"Track only; not enough sample.",IF(C1308=3,IF(E1308&gt;0,"Sample watch with explosive exposure; review clips and build the sample.",IF(J1308&gt;=65,"Good signal, but sample is limited.","Sample watch; review clips and build the sample.")),IF(K1308="Problem Call","Problem area; practice or call-sheet review.",IF(K1308="Strong Candidate","Strong call-fit candidate; confirm on film.",IF(K1308="Good Candidate","Good call-fit signal; confirm on film.","Mixed signal; review fit and execution on film."))))))))</f>
        <v>Explosive risk; review clips before using as answer.</v>
      </c>
      <c r="M1308" s="8"/>
      <c r="N1308" s="8"/>
      <c r="O1308" s="8"/>
      <c r="P1308" s="8" t="s">
        <v>449</v>
      </c>
      <c r="Q1308" s="8"/>
      <c r="R1308" s="8" t="s">
        <v>633</v>
      </c>
      <c r="S1308" s="2" t="s">
        <v>637</v>
      </c>
      <c r="T1308" s="2">
        <f>IF(C1308=0,0,IF(C1308&gt;=CALL_LOOKUP_BOARD!$B$7,IF(OR(K1308="Problem Call",K1308="Explosive Alert"),10000000,20000000),0)+IF(C1308&gt;=CALL_LOOKUP_BOARD!$B$7,J1308*1000+MIN(C1308,999),C1308*1000+J1308)+0.00995500)</f>
        <v>1000.009955</v>
      </c>
      <c r="U1308" s="2">
        <f>IF(C1308=0,"",IF(COUNTIFS($S$1264:$S$1440,SUBSTITUTE(SUBSTITUTE(SUBSTITUTE(S1308,"~","~~"),"*","~*"),"?","~?"),$T$1264:$T$1440,"&gt;"&amp;T1308)=0,S1308,""))</f>
        <v/>
      </c>
    </row>
    <row r="1309" spans="1:21" ht="38" customHeight="1">
      <c r="A1309" s="8" t="s">
        <v>449</v>
      </c>
      <c r="B1309" s="8" t="s">
        <v>73</v>
      </c>
      <c r="C1309" s="12">
        <f>COUNTIFS('DEF_SELF_SCOUT_IMPORT'!$L$42:$L$1040,"Y",'DEF_SELF_SCOUT_IMPORT'!$E$42:$E$1040,SUBSTITUTE(SUBSTITUTE(SUBSTITUTE($B1309,"~","~~"),"*","~*"),"?","~?"),'DEF_SELF_SCOUT_IMPORT'!$D$42:$D$1040,SUBSTITUTE(SUBSTITUTE(SUBSTITUTE($P1309,"~","~~"),"*","~*"),"?","~?"))</f>
        <v>1</v>
      </c>
      <c r="D1309" s="10">
        <f>IF($C1309=0,"",SUMIFS('DEF_SELF_SCOUT_IMPORT'!$J$42:$J$1040,'DEF_SELF_SCOUT_IMPORT'!$L$42:$L$1040,"Y",'DEF_SELF_SCOUT_IMPORT'!$E$42:$E$1040,SUBSTITUTE(SUBSTITUTE(SUBSTITUTE($B1309,"~","~~"),"*","~*"),"?","~?"),'DEF_SELF_SCOUT_IMPORT'!$D$42:$D$1040,SUBSTITUTE(SUBSTITUTE(SUBSTITUTE($P1309,"~","~~"),"*","~*"),"?","~?"))/$C1309)</f>
        <v>0.0</v>
      </c>
      <c r="E1309" s="10">
        <f>IF($C1309=0,"",SUMIFS('DEF_SELF_SCOUT_IMPORT'!$K$42:$K$1040,'DEF_SELF_SCOUT_IMPORT'!$L$42:$L$1040,"Y",'DEF_SELF_SCOUT_IMPORT'!$E$42:$E$1040,SUBSTITUTE(SUBSTITUTE(SUBSTITUTE($B1309,"~","~~"),"*","~*"),"?","~?"),'DEF_SELF_SCOUT_IMPORT'!$D$42:$D$1040,SUBSTITUTE(SUBSTITUTE(SUBSTITUTE($P1309,"~","~~"),"*","~*"),"?","~?"))/$C1309)</f>
        <v>1.0</v>
      </c>
      <c r="F1309" s="11">
        <f>IF($C1309=0,"",AVERAGEIFS('DEF_SELF_SCOUT_IMPORT'!$I$42:$I$1040,'DEF_SELF_SCOUT_IMPORT'!$L$42:$L$1040,"Y",'DEF_SELF_SCOUT_IMPORT'!$E$42:$E$1040,SUBSTITUTE(SUBSTITUTE(SUBSTITUTE($B1309,"~","~~"),"*","~*"),"?","~?"),'DEF_SELF_SCOUT_IMPORT'!$D$42:$D$1040,SUBSTITUTE(SUBSTITUTE(SUBSTITUTE($P1309,"~","~~"),"*","~*"),"?","~?")))</f>
        <v>16.0</v>
      </c>
      <c r="G1309" s="10">
        <f>IF($C1309=0,"",COUNTIFS('DEF_SELF_SCOUT_IMPORT'!$L$42:$L$1040,"Y",'DEF_SELF_SCOUT_IMPORT'!$E$42:$E$1040,SUBSTITUTE(SUBSTITUTE(SUBSTITUTE($B1309,"~","~~"),"*","~*"),"?","~?"),'DEF_SELF_SCOUT_IMPORT'!$D$42:$D$1040,SUBSTITUTE(SUBSTITUTE(SUBSTITUTE($P1309,"~","~~"),"*","~*"),"?","~?"),'DEF_SELF_SCOUT_IMPORT'!$H$42:$H$1040,"RUSH")/$C1309)</f>
        <v>0.0</v>
      </c>
      <c r="H1309" s="10">
        <f>IF($C1309=0,"",COUNTIFS('DEF_SELF_SCOUT_IMPORT'!$L$42:$L$1040,"Y",'DEF_SELF_SCOUT_IMPORT'!$E$42:$E$1040,SUBSTITUTE(SUBSTITUTE(SUBSTITUTE($B1309,"~","~~"),"*","~*"),"?","~?"),'DEF_SELF_SCOUT_IMPORT'!$D$42:$D$1040,SUBSTITUTE(SUBSTITUTE(SUBSTITUTE($P1309,"~","~~"),"*","~*"),"?","~?"),'DEF_SELF_SCOUT_IMPORT'!$H$42:$H$1040,"DROPBACK")/$C1309)</f>
        <v>1.0</v>
      </c>
      <c r="I1309" s="14" t="str">
        <f>IF(C1309=0,"",IF(C1309&lt;=2,"TRACK",IF(C1309=3,"LOW",IF(C1309&lt;=6,"MEDIUM","HIGH"))))</f>
        <v>TRACK</v>
      </c>
      <c r="J1309" s="11">
        <f>IF(C1309=0,"",ROUND(D1309*70+(1-E1309)*20+MAX(0,MIN(1,(10-F1309)/10))*10,1))</f>
        <v>0.0</v>
      </c>
      <c r="K1309" s="14" t="str">
        <f>IF(C1309=0,"No Evidence",IF(C1309&lt;=2,IF(E1309&gt;0,"Explosive Alert","Track Only"),IF(C1309=3,"Sample Watch",IF(E1309&gt;=START_HERE!$B$31,"Explosive Alert",IF(J1309&gt;=80,"Strong Candidate",IF(J1309&gt;=65,"Good Candidate",IF(J1309&gt;=50,"Mixed / Review","Problem Call")))))))</f>
        <v>Explosive Alert</v>
      </c>
      <c r="L1309" s="9" t="str">
        <f>IF(COUNTIFS('DEF_SELF_SCOUT_IMPORT'!$L$42:$L$1040,"Y",'DEF_SELF_SCOUT_IMPORT'!$E$42:$E$1040,SUBSTITUTE(SUBSTITUTE(SUBSTITUTE($B1309,"~","~~"),"*","~*"),"?","~?"),'DEF_SELF_SCOUT_IMPORT'!$D$42:$D$1040,SUBSTITUTE(SUBSTITUTE(SUBSTITUTE($P1309,"~","~~"),"*","~*"),"?","~?"),'DEF_SELF_SCOUT_IMPORT'!$J$42:$J$1040,"")&gt;0,"Unscored clean outcome; review result tags before using score.",IF(C1309=0,"No matching defensive reps; film confirmation needed.",IF(K1309="Explosive Alert","Explosive risk; review clips before using as answer.",IF(C1309&lt;=2,"Track only; not enough sample.",IF(C1309=3,IF(E1309&gt;0,"Sample watch with explosive exposure; review clips and build the sample.",IF(J1309&gt;=65,"Good signal, but sample is limited.","Sample watch; review clips and build the sample.")),IF(K1309="Problem Call","Problem area; practice or call-sheet review.",IF(K1309="Strong Candidate","Strong call-fit candidate; confirm on film.",IF(K1309="Good Candidate","Good call-fit signal; confirm on film.","Mixed signal; review fit and execution on film."))))))))</f>
        <v>Explosive risk; review clips before using as answer.</v>
      </c>
      <c r="M1309" s="8"/>
      <c r="N1309" s="8"/>
      <c r="O1309" s="8"/>
      <c r="P1309" s="8" t="s">
        <v>449</v>
      </c>
      <c r="Q1309" s="8"/>
      <c r="R1309" s="8" t="s">
        <v>633</v>
      </c>
      <c r="S1309" s="2" t="s">
        <v>637</v>
      </c>
      <c r="T1309" s="2">
        <f>IF(C1309=0,0,IF(C1309&gt;=CALL_LOOKUP_BOARD!$B$7,IF(OR(K1309="Problem Call",K1309="Explosive Alert"),10000000,20000000),0)+IF(C1309&gt;=CALL_LOOKUP_BOARD!$B$7,J1309*1000+MIN(C1309,999),C1309*1000+J1309)+0.00995400)</f>
        <v>1000.009954</v>
      </c>
      <c r="U1309" s="2">
        <f>IF(C1309=0,"",IF(COUNTIFS($S$1264:$S$1440,SUBSTITUTE(SUBSTITUTE(SUBSTITUTE(S1309,"~","~~"),"*","~*"),"?","~?"),$T$1264:$T$1440,"&gt;"&amp;T1309)=0,S1309,""))</f>
        <v/>
      </c>
    </row>
    <row r="1310" spans="1:21" ht="38" customHeight="1">
      <c r="A1310" s="8" t="s">
        <v>449</v>
      </c>
      <c r="B1310" s="8" t="s">
        <v>61</v>
      </c>
      <c r="C1310" s="12">
        <f>COUNTIFS('DEF_SELF_SCOUT_IMPORT'!$L$42:$L$1040,"Y",'DEF_SELF_SCOUT_IMPORT'!$E$42:$E$1040,SUBSTITUTE(SUBSTITUTE(SUBSTITUTE($B1310,"~","~~"),"*","~*"),"?","~?"),'DEF_SELF_SCOUT_IMPORT'!$D$42:$D$1040,SUBSTITUTE(SUBSTITUTE(SUBSTITUTE($P1310,"~","~~"),"*","~*"),"?","~?"))</f>
        <v>4</v>
      </c>
      <c r="D1310" s="10">
        <f>IF($C1310=0,"",SUMIFS('DEF_SELF_SCOUT_IMPORT'!$J$42:$J$1040,'DEF_SELF_SCOUT_IMPORT'!$L$42:$L$1040,"Y",'DEF_SELF_SCOUT_IMPORT'!$E$42:$E$1040,SUBSTITUTE(SUBSTITUTE(SUBSTITUTE($B1310,"~","~~"),"*","~*"),"?","~?"),'DEF_SELF_SCOUT_IMPORT'!$D$42:$D$1040,SUBSTITUTE(SUBSTITUTE(SUBSTITUTE($P1310,"~","~~"),"*","~*"),"?","~?"))/$C1310)</f>
        <v>0.25</v>
      </c>
      <c r="E1310" s="10">
        <f>IF($C1310=0,"",SUMIFS('DEF_SELF_SCOUT_IMPORT'!$K$42:$K$1040,'DEF_SELF_SCOUT_IMPORT'!$L$42:$L$1040,"Y",'DEF_SELF_SCOUT_IMPORT'!$E$42:$E$1040,SUBSTITUTE(SUBSTITUTE(SUBSTITUTE($B1310,"~","~~"),"*","~*"),"?","~?"),'DEF_SELF_SCOUT_IMPORT'!$D$42:$D$1040,SUBSTITUTE(SUBSTITUTE(SUBSTITUTE($P1310,"~","~~"),"*","~*"),"?","~?"))/$C1310)</f>
        <v>0.25</v>
      </c>
      <c r="F1310" s="11">
        <f>IF($C1310=0,"",AVERAGEIFS('DEF_SELF_SCOUT_IMPORT'!$I$42:$I$1040,'DEF_SELF_SCOUT_IMPORT'!$L$42:$L$1040,"Y",'DEF_SELF_SCOUT_IMPORT'!$E$42:$E$1040,SUBSTITUTE(SUBSTITUTE(SUBSTITUTE($B1310,"~","~~"),"*","~*"),"?","~?"),'DEF_SELF_SCOUT_IMPORT'!$D$42:$D$1040,SUBSTITUTE(SUBSTITUTE(SUBSTITUTE($P1310,"~","~~"),"*","~*"),"?","~?")))</f>
        <v>11.25</v>
      </c>
      <c r="G1310" s="10">
        <f>IF($C1310=0,"",COUNTIFS('DEF_SELF_SCOUT_IMPORT'!$L$42:$L$1040,"Y",'DEF_SELF_SCOUT_IMPORT'!$E$42:$E$1040,SUBSTITUTE(SUBSTITUTE(SUBSTITUTE($B1310,"~","~~"),"*","~*"),"?","~?"),'DEF_SELF_SCOUT_IMPORT'!$D$42:$D$1040,SUBSTITUTE(SUBSTITUTE(SUBSTITUTE($P1310,"~","~~"),"*","~*"),"?","~?"),'DEF_SELF_SCOUT_IMPORT'!$H$42:$H$1040,"RUSH")/$C1310)</f>
        <v>0.0</v>
      </c>
      <c r="H1310" s="10">
        <f>IF($C1310=0,"",COUNTIFS('DEF_SELF_SCOUT_IMPORT'!$L$42:$L$1040,"Y",'DEF_SELF_SCOUT_IMPORT'!$E$42:$E$1040,SUBSTITUTE(SUBSTITUTE(SUBSTITUTE($B1310,"~","~~"),"*","~*"),"?","~?"),'DEF_SELF_SCOUT_IMPORT'!$D$42:$D$1040,SUBSTITUTE(SUBSTITUTE(SUBSTITUTE($P1310,"~","~~"),"*","~*"),"?","~?"),'DEF_SELF_SCOUT_IMPORT'!$H$42:$H$1040,"DROPBACK")/$C1310)</f>
        <v>1.0</v>
      </c>
      <c r="I1310" s="14" t="str">
        <f>IF(C1310=0,"",IF(C1310&lt;=2,"TRACK",IF(C1310=3,"LOW",IF(C1310&lt;=6,"MEDIUM","HIGH"))))</f>
        <v>MEDIUM</v>
      </c>
      <c r="J1310" s="11">
        <f>IF(C1310=0,"",ROUND(D1310*70+(1-E1310)*20+MAX(0,MIN(1,(10-F1310)/10))*10,1))</f>
        <v>32.5</v>
      </c>
      <c r="K1310" s="14" t="str">
        <f>IF(C1310=0,"No Evidence",IF(C1310&lt;=2,IF(E1310&gt;0,"Explosive Alert","Track Only"),IF(C1310=3,"Sample Watch",IF(E1310&gt;=START_HERE!$B$31,"Explosive Alert",IF(J1310&gt;=80,"Strong Candidate",IF(J1310&gt;=65,"Good Candidate",IF(J1310&gt;=50,"Mixed / Review","Problem Call")))))))</f>
        <v>Explosive Alert</v>
      </c>
      <c r="L1310" s="9" t="str">
        <f>IF(COUNTIFS('DEF_SELF_SCOUT_IMPORT'!$L$42:$L$1040,"Y",'DEF_SELF_SCOUT_IMPORT'!$E$42:$E$1040,SUBSTITUTE(SUBSTITUTE(SUBSTITUTE($B1310,"~","~~"),"*","~*"),"?","~?"),'DEF_SELF_SCOUT_IMPORT'!$D$42:$D$1040,SUBSTITUTE(SUBSTITUTE(SUBSTITUTE($P1310,"~","~~"),"*","~*"),"?","~?"),'DEF_SELF_SCOUT_IMPORT'!$J$42:$J$1040,"")&gt;0,"Unscored clean outcome; review result tags before using score.",IF(C1310=0,"No matching defensive reps; film confirmation needed.",IF(K1310="Explosive Alert","Explosive risk; review clips before using as answer.",IF(C1310&lt;=2,"Track only; not enough sample.",IF(C1310=3,IF(E1310&gt;0,"Sample watch with explosive exposure; review clips and build the sample.",IF(J1310&gt;=65,"Good signal, but sample is limited.","Sample watch; review clips and build the sample.")),IF(K1310="Problem Call","Problem area; practice or call-sheet review.",IF(K1310="Strong Candidate","Strong call-fit candidate; confirm on film.",IF(K1310="Good Candidate","Good call-fit signal; confirm on film.","Mixed signal; review fit and execution on film."))))))))</f>
        <v>Explosive risk; review clips before using as answer.</v>
      </c>
      <c r="M1310" s="8"/>
      <c r="N1310" s="8"/>
      <c r="O1310" s="8"/>
      <c r="P1310" s="8" t="s">
        <v>449</v>
      </c>
      <c r="Q1310" s="8"/>
      <c r="R1310" s="8" t="s">
        <v>636</v>
      </c>
      <c r="S1310" s="2" t="s">
        <v>637</v>
      </c>
      <c r="T1310" s="2">
        <f>IF(C1310=0,0,IF(C1310&gt;=CALL_LOOKUP_BOARD!$B$7,IF(OR(K1310="Problem Call",K1310="Explosive Alert"),10000000,20000000),0)+IF(C1310&gt;=CALL_LOOKUP_BOARD!$B$7,J1310*1000+MIN(C1310,999),C1310*1000+J1310)+0.00995300)</f>
        <v>10032504.009953</v>
      </c>
      <c r="U1310" s="2">
        <f>IF(C1310=0,"",IF(COUNTIFS($S$1264:$S$1440,SUBSTITUTE(SUBSTITUTE(SUBSTITUTE(S1310,"~","~~"),"*","~*"),"?","~?"),$T$1264:$T$1440,"&gt;"&amp;T1310)=0,S1310,""))</f>
        <v/>
      </c>
    </row>
    <row r="1311" spans="1:21" ht="38" customHeight="1">
      <c r="A1311" s="8" t="s">
        <v>449</v>
      </c>
      <c r="B1311" s="8" t="s">
        <v>106</v>
      </c>
      <c r="C1311" s="12">
        <f>COUNTIFS('DEF_SELF_SCOUT_IMPORT'!$L$42:$L$1040,"Y",'DEF_SELF_SCOUT_IMPORT'!$E$42:$E$1040,SUBSTITUTE(SUBSTITUTE(SUBSTITUTE($B1311,"~","~~"),"*","~*"),"?","~?"),'DEF_SELF_SCOUT_IMPORT'!$D$42:$D$1040,SUBSTITUTE(SUBSTITUTE(SUBSTITUTE($P1311,"~","~~"),"*","~*"),"?","~?"))</f>
        <v>1</v>
      </c>
      <c r="D1311" s="10">
        <f>IF($C1311=0,"",SUMIFS('DEF_SELF_SCOUT_IMPORT'!$J$42:$J$1040,'DEF_SELF_SCOUT_IMPORT'!$L$42:$L$1040,"Y",'DEF_SELF_SCOUT_IMPORT'!$E$42:$E$1040,SUBSTITUTE(SUBSTITUTE(SUBSTITUTE($B1311,"~","~~"),"*","~*"),"?","~?"),'DEF_SELF_SCOUT_IMPORT'!$D$42:$D$1040,SUBSTITUTE(SUBSTITUTE(SUBSTITUTE($P1311,"~","~~"),"*","~*"),"?","~?"))/$C1311)</f>
        <v>0.0</v>
      </c>
      <c r="E1311" s="10">
        <f>IF($C1311=0,"",SUMIFS('DEF_SELF_SCOUT_IMPORT'!$K$42:$K$1040,'DEF_SELF_SCOUT_IMPORT'!$L$42:$L$1040,"Y",'DEF_SELF_SCOUT_IMPORT'!$E$42:$E$1040,SUBSTITUTE(SUBSTITUTE(SUBSTITUTE($B1311,"~","~~"),"*","~*"),"?","~?"),'DEF_SELF_SCOUT_IMPORT'!$D$42:$D$1040,SUBSTITUTE(SUBSTITUTE(SUBSTITUTE($P1311,"~","~~"),"*","~*"),"?","~?"))/$C1311)</f>
        <v>1.0</v>
      </c>
      <c r="F1311" s="11">
        <f>IF($C1311=0,"",AVERAGEIFS('DEF_SELF_SCOUT_IMPORT'!$I$42:$I$1040,'DEF_SELF_SCOUT_IMPORT'!$L$42:$L$1040,"Y",'DEF_SELF_SCOUT_IMPORT'!$E$42:$E$1040,SUBSTITUTE(SUBSTITUTE(SUBSTITUTE($B1311,"~","~~"),"*","~*"),"?","~?"),'DEF_SELF_SCOUT_IMPORT'!$D$42:$D$1040,SUBSTITUTE(SUBSTITUTE(SUBSTITUTE($P1311,"~","~~"),"*","~*"),"?","~?")))</f>
        <v>22.0</v>
      </c>
      <c r="G1311" s="10">
        <f>IF($C1311=0,"",COUNTIFS('DEF_SELF_SCOUT_IMPORT'!$L$42:$L$1040,"Y",'DEF_SELF_SCOUT_IMPORT'!$E$42:$E$1040,SUBSTITUTE(SUBSTITUTE(SUBSTITUTE($B1311,"~","~~"),"*","~*"),"?","~?"),'DEF_SELF_SCOUT_IMPORT'!$D$42:$D$1040,SUBSTITUTE(SUBSTITUTE(SUBSTITUTE($P1311,"~","~~"),"*","~*"),"?","~?"),'DEF_SELF_SCOUT_IMPORT'!$H$42:$H$1040,"RUSH")/$C1311)</f>
        <v>0.0</v>
      </c>
      <c r="H1311" s="10">
        <f>IF($C1311=0,"",COUNTIFS('DEF_SELF_SCOUT_IMPORT'!$L$42:$L$1040,"Y",'DEF_SELF_SCOUT_IMPORT'!$E$42:$E$1040,SUBSTITUTE(SUBSTITUTE(SUBSTITUTE($B1311,"~","~~"),"*","~*"),"?","~?"),'DEF_SELF_SCOUT_IMPORT'!$D$42:$D$1040,SUBSTITUTE(SUBSTITUTE(SUBSTITUTE($P1311,"~","~~"),"*","~*"),"?","~?"),'DEF_SELF_SCOUT_IMPORT'!$H$42:$H$1040,"DROPBACK")/$C1311)</f>
        <v>1.0</v>
      </c>
      <c r="I1311" s="14" t="str">
        <f>IF(C1311=0,"",IF(C1311&lt;=2,"TRACK",IF(C1311=3,"LOW",IF(C1311&lt;=6,"MEDIUM","HIGH"))))</f>
        <v>TRACK</v>
      </c>
      <c r="J1311" s="11">
        <f>IF(C1311=0,"",ROUND(D1311*70+(1-E1311)*20+MAX(0,MIN(1,(10-F1311)/10))*10,1))</f>
        <v>0.0</v>
      </c>
      <c r="K1311" s="14" t="str">
        <f>IF(C1311=0,"No Evidence",IF(C1311&lt;=2,IF(E1311&gt;0,"Explosive Alert","Track Only"),IF(C1311=3,"Sample Watch",IF(E1311&gt;=START_HERE!$B$31,"Explosive Alert",IF(J1311&gt;=80,"Strong Candidate",IF(J1311&gt;=65,"Good Candidate",IF(J1311&gt;=50,"Mixed / Review","Problem Call")))))))</f>
        <v>Explosive Alert</v>
      </c>
      <c r="L1311" s="9" t="str">
        <f>IF(COUNTIFS('DEF_SELF_SCOUT_IMPORT'!$L$42:$L$1040,"Y",'DEF_SELF_SCOUT_IMPORT'!$E$42:$E$1040,SUBSTITUTE(SUBSTITUTE(SUBSTITUTE($B1311,"~","~~"),"*","~*"),"?","~?"),'DEF_SELF_SCOUT_IMPORT'!$D$42:$D$1040,SUBSTITUTE(SUBSTITUTE(SUBSTITUTE($P1311,"~","~~"),"*","~*"),"?","~?"),'DEF_SELF_SCOUT_IMPORT'!$J$42:$J$1040,"")&gt;0,"Unscored clean outcome; review result tags before using score.",IF(C1311=0,"No matching defensive reps; film confirmation needed.",IF(K1311="Explosive Alert","Explosive risk; review clips before using as answer.",IF(C1311&lt;=2,"Track only; not enough sample.",IF(C1311=3,IF(E1311&gt;0,"Sample watch with explosive exposure; review clips and build the sample.",IF(J1311&gt;=65,"Good signal, but sample is limited.","Sample watch; review clips and build the sample.")),IF(K1311="Problem Call","Problem area; practice or call-sheet review.",IF(K1311="Strong Candidate","Strong call-fit candidate; confirm on film.",IF(K1311="Good Candidate","Good call-fit signal; confirm on film.","Mixed signal; review fit and execution on film."))))))))</f>
        <v>Explosive risk; review clips before using as answer.</v>
      </c>
      <c r="M1311" s="8"/>
      <c r="N1311" s="8"/>
      <c r="O1311" s="8"/>
      <c r="P1311" s="8" t="s">
        <v>449</v>
      </c>
      <c r="Q1311" s="8"/>
      <c r="R1311" s="8" t="s">
        <v>633</v>
      </c>
      <c r="S1311" s="2" t="s">
        <v>637</v>
      </c>
      <c r="T1311" s="2">
        <f>IF(C1311=0,0,IF(C1311&gt;=CALL_LOOKUP_BOARD!$B$7,IF(OR(K1311="Problem Call",K1311="Explosive Alert"),10000000,20000000),0)+IF(C1311&gt;=CALL_LOOKUP_BOARD!$B$7,J1311*1000+MIN(C1311,999),C1311*1000+J1311)+0.00995200)</f>
        <v>1000.009952</v>
      </c>
      <c r="U1311" s="2">
        <f>IF(C1311=0,"",IF(COUNTIFS($S$1264:$S$1440,SUBSTITUTE(SUBSTITUTE(SUBSTITUTE(S1311,"~","~~"),"*","~*"),"?","~?"),$T$1264:$T$1440,"&gt;"&amp;T1311)=0,S1311,""))</f>
        <v/>
      </c>
    </row>
    <row r="1312" spans="1:21" ht="38" customHeight="1">
      <c r="A1312" s="8" t="s">
        <v>449</v>
      </c>
      <c r="B1312" s="8" t="s">
        <v>101</v>
      </c>
      <c r="C1312" s="12">
        <f>COUNTIFS('DEF_SELF_SCOUT_IMPORT'!$L$42:$L$1040,"Y",'DEF_SELF_SCOUT_IMPORT'!$E$42:$E$1040,SUBSTITUTE(SUBSTITUTE(SUBSTITUTE($B1312,"~","~~"),"*","~*"),"?","~?"),'DEF_SELF_SCOUT_IMPORT'!$D$42:$D$1040,SUBSTITUTE(SUBSTITUTE(SUBSTITUTE($P1312,"~","~~"),"*","~*"),"?","~?"))</f>
        <v>4</v>
      </c>
      <c r="D1312" s="10">
        <f>IF($C1312=0,"",SUMIFS('DEF_SELF_SCOUT_IMPORT'!$J$42:$J$1040,'DEF_SELF_SCOUT_IMPORT'!$L$42:$L$1040,"Y",'DEF_SELF_SCOUT_IMPORT'!$E$42:$E$1040,SUBSTITUTE(SUBSTITUTE(SUBSTITUTE($B1312,"~","~~"),"*","~*"),"?","~?"),'DEF_SELF_SCOUT_IMPORT'!$D$42:$D$1040,SUBSTITUTE(SUBSTITUTE(SUBSTITUTE($P1312,"~","~~"),"*","~*"),"?","~?"))/$C1312)</f>
        <v>0.5</v>
      </c>
      <c r="E1312" s="10">
        <f>IF($C1312=0,"",SUMIFS('DEF_SELF_SCOUT_IMPORT'!$K$42:$K$1040,'DEF_SELF_SCOUT_IMPORT'!$L$42:$L$1040,"Y",'DEF_SELF_SCOUT_IMPORT'!$E$42:$E$1040,SUBSTITUTE(SUBSTITUTE(SUBSTITUTE($B1312,"~","~~"),"*","~*"),"?","~?"),'DEF_SELF_SCOUT_IMPORT'!$D$42:$D$1040,SUBSTITUTE(SUBSTITUTE(SUBSTITUTE($P1312,"~","~~"),"*","~*"),"?","~?"))/$C1312)</f>
        <v>0.25</v>
      </c>
      <c r="F1312" s="11">
        <f>IF($C1312=0,"",AVERAGEIFS('DEF_SELF_SCOUT_IMPORT'!$I$42:$I$1040,'DEF_SELF_SCOUT_IMPORT'!$L$42:$L$1040,"Y",'DEF_SELF_SCOUT_IMPORT'!$E$42:$E$1040,SUBSTITUTE(SUBSTITUTE(SUBSTITUTE($B1312,"~","~~"),"*","~*"),"?","~?"),'DEF_SELF_SCOUT_IMPORT'!$D$42:$D$1040,SUBSTITUTE(SUBSTITUTE(SUBSTITUTE($P1312,"~","~~"),"*","~*"),"?","~?")))</f>
        <v>16.0</v>
      </c>
      <c r="G1312" s="10">
        <f>IF($C1312=0,"",COUNTIFS('DEF_SELF_SCOUT_IMPORT'!$L$42:$L$1040,"Y",'DEF_SELF_SCOUT_IMPORT'!$E$42:$E$1040,SUBSTITUTE(SUBSTITUTE(SUBSTITUTE($B1312,"~","~~"),"*","~*"),"?","~?"),'DEF_SELF_SCOUT_IMPORT'!$D$42:$D$1040,SUBSTITUTE(SUBSTITUTE(SUBSTITUTE($P1312,"~","~~"),"*","~*"),"?","~?"),'DEF_SELF_SCOUT_IMPORT'!$H$42:$H$1040,"RUSH")/$C1312)</f>
        <v>0.0</v>
      </c>
      <c r="H1312" s="10">
        <f>IF($C1312=0,"",COUNTIFS('DEF_SELF_SCOUT_IMPORT'!$L$42:$L$1040,"Y",'DEF_SELF_SCOUT_IMPORT'!$E$42:$E$1040,SUBSTITUTE(SUBSTITUTE(SUBSTITUTE($B1312,"~","~~"),"*","~*"),"?","~?"),'DEF_SELF_SCOUT_IMPORT'!$D$42:$D$1040,SUBSTITUTE(SUBSTITUTE(SUBSTITUTE($P1312,"~","~~"),"*","~*"),"?","~?"),'DEF_SELF_SCOUT_IMPORT'!$H$42:$H$1040,"DROPBACK")/$C1312)</f>
        <v>1.0</v>
      </c>
      <c r="I1312" s="14" t="str">
        <f>IF(C1312=0,"",IF(C1312&lt;=2,"TRACK",IF(C1312=3,"LOW",IF(C1312&lt;=6,"MEDIUM","HIGH"))))</f>
        <v>MEDIUM</v>
      </c>
      <c r="J1312" s="11">
        <f>IF(C1312=0,"",ROUND(D1312*70+(1-E1312)*20+MAX(0,MIN(1,(10-F1312)/10))*10,1))</f>
        <v>50.0</v>
      </c>
      <c r="K1312" s="14" t="str">
        <f>IF(C1312=0,"No Evidence",IF(C1312&lt;=2,IF(E1312&gt;0,"Explosive Alert","Track Only"),IF(C1312=3,"Sample Watch",IF(E1312&gt;=START_HERE!$B$31,"Explosive Alert",IF(J1312&gt;=80,"Strong Candidate",IF(J1312&gt;=65,"Good Candidate",IF(J1312&gt;=50,"Mixed / Review","Problem Call")))))))</f>
        <v>Explosive Alert</v>
      </c>
      <c r="L1312" s="9" t="str">
        <f>IF(COUNTIFS('DEF_SELF_SCOUT_IMPORT'!$L$42:$L$1040,"Y",'DEF_SELF_SCOUT_IMPORT'!$E$42:$E$1040,SUBSTITUTE(SUBSTITUTE(SUBSTITUTE($B1312,"~","~~"),"*","~*"),"?","~?"),'DEF_SELF_SCOUT_IMPORT'!$D$42:$D$1040,SUBSTITUTE(SUBSTITUTE(SUBSTITUTE($P1312,"~","~~"),"*","~*"),"?","~?"),'DEF_SELF_SCOUT_IMPORT'!$J$42:$J$1040,"")&gt;0,"Unscored clean outcome; review result tags before using score.",IF(C1312=0,"No matching defensive reps; film confirmation needed.",IF(K1312="Explosive Alert","Explosive risk; review clips before using as answer.",IF(C1312&lt;=2,"Track only; not enough sample.",IF(C1312=3,IF(E1312&gt;0,"Sample watch with explosive exposure; review clips and build the sample.",IF(J1312&gt;=65,"Good signal, but sample is limited.","Sample watch; review clips and build the sample.")),IF(K1312="Problem Call","Problem area; practice or call-sheet review.",IF(K1312="Strong Candidate","Strong call-fit candidate; confirm on film.",IF(K1312="Good Candidate","Good call-fit signal; confirm on film.","Mixed signal; review fit and execution on film."))))))))</f>
        <v>Explosive risk; review clips before using as answer.</v>
      </c>
      <c r="M1312" s="8"/>
      <c r="N1312" s="8"/>
      <c r="O1312" s="8"/>
      <c r="P1312" s="8" t="s">
        <v>449</v>
      </c>
      <c r="Q1312" s="8"/>
      <c r="R1312" s="8" t="s">
        <v>636</v>
      </c>
      <c r="S1312" s="2" t="s">
        <v>637</v>
      </c>
      <c r="T1312" s="2">
        <f>IF(C1312=0,0,IF(C1312&gt;=CALL_LOOKUP_BOARD!$B$7,IF(OR(K1312="Problem Call",K1312="Explosive Alert"),10000000,20000000),0)+IF(C1312&gt;=CALL_LOOKUP_BOARD!$B$7,J1312*1000+MIN(C1312,999),C1312*1000+J1312)+0.00995100)</f>
        <v>10050004.009951</v>
      </c>
      <c r="U1312" s="2">
        <f>IF(C1312=0,"",IF(COUNTIFS($S$1264:$S$1440,SUBSTITUTE(SUBSTITUTE(SUBSTITUTE(S1312,"~","~~"),"*","~*"),"?","~?"),$T$1264:$T$1440,"&gt;"&amp;T1312)=0,S1312,""))</f>
        <v/>
      </c>
    </row>
    <row r="1313" spans="1:21" ht="38" customHeight="1">
      <c r="A1313" s="8" t="s">
        <v>449</v>
      </c>
      <c r="B1313" s="8" t="s">
        <v>63</v>
      </c>
      <c r="C1313" s="12">
        <f>COUNTIFS('DEF_SELF_SCOUT_IMPORT'!$L$42:$L$1040,"Y",'DEF_SELF_SCOUT_IMPORT'!$E$42:$E$1040,SUBSTITUTE(SUBSTITUTE(SUBSTITUTE($B1313,"~","~~"),"*","~*"),"?","~?"),'DEF_SELF_SCOUT_IMPORT'!$D$42:$D$1040,SUBSTITUTE(SUBSTITUTE(SUBSTITUTE($P1313,"~","~~"),"*","~*"),"?","~?"))</f>
        <v>5</v>
      </c>
      <c r="D1313" s="10">
        <f>IF($C1313=0,"",SUMIFS('DEF_SELF_SCOUT_IMPORT'!$J$42:$J$1040,'DEF_SELF_SCOUT_IMPORT'!$L$42:$L$1040,"Y",'DEF_SELF_SCOUT_IMPORT'!$E$42:$E$1040,SUBSTITUTE(SUBSTITUTE(SUBSTITUTE($B1313,"~","~~"),"*","~*"),"?","~?"),'DEF_SELF_SCOUT_IMPORT'!$D$42:$D$1040,SUBSTITUTE(SUBSTITUTE(SUBSTITUTE($P1313,"~","~~"),"*","~*"),"?","~?"))/$C1313)</f>
        <v>0.6</v>
      </c>
      <c r="E1313" s="10">
        <f>IF($C1313=0,"",SUMIFS('DEF_SELF_SCOUT_IMPORT'!$K$42:$K$1040,'DEF_SELF_SCOUT_IMPORT'!$L$42:$L$1040,"Y",'DEF_SELF_SCOUT_IMPORT'!$E$42:$E$1040,SUBSTITUTE(SUBSTITUTE(SUBSTITUTE($B1313,"~","~~"),"*","~*"),"?","~?"),'DEF_SELF_SCOUT_IMPORT'!$D$42:$D$1040,SUBSTITUTE(SUBSTITUTE(SUBSTITUTE($P1313,"~","~~"),"*","~*"),"?","~?"))/$C1313)</f>
        <v>0.0</v>
      </c>
      <c r="F1313" s="11">
        <f>IF($C1313=0,"",AVERAGEIFS('DEF_SELF_SCOUT_IMPORT'!$I$42:$I$1040,'DEF_SELF_SCOUT_IMPORT'!$L$42:$L$1040,"Y",'DEF_SELF_SCOUT_IMPORT'!$E$42:$E$1040,SUBSTITUTE(SUBSTITUTE(SUBSTITUTE($B1313,"~","~~"),"*","~*"),"?","~?"),'DEF_SELF_SCOUT_IMPORT'!$D$42:$D$1040,SUBSTITUTE(SUBSTITUTE(SUBSTITUTE($P1313,"~","~~"),"*","~*"),"?","~?")))</f>
        <v>5.2</v>
      </c>
      <c r="G1313" s="10">
        <f>IF($C1313=0,"",COUNTIFS('DEF_SELF_SCOUT_IMPORT'!$L$42:$L$1040,"Y",'DEF_SELF_SCOUT_IMPORT'!$E$42:$E$1040,SUBSTITUTE(SUBSTITUTE(SUBSTITUTE($B1313,"~","~~"),"*","~*"),"?","~?"),'DEF_SELF_SCOUT_IMPORT'!$D$42:$D$1040,SUBSTITUTE(SUBSTITUTE(SUBSTITUTE($P1313,"~","~~"),"*","~*"),"?","~?"),'DEF_SELF_SCOUT_IMPORT'!$H$42:$H$1040,"RUSH")/$C1313)</f>
        <v>0.0</v>
      </c>
      <c r="H1313" s="10">
        <f>IF($C1313=0,"",COUNTIFS('DEF_SELF_SCOUT_IMPORT'!$L$42:$L$1040,"Y",'DEF_SELF_SCOUT_IMPORT'!$E$42:$E$1040,SUBSTITUTE(SUBSTITUTE(SUBSTITUTE($B1313,"~","~~"),"*","~*"),"?","~?"),'DEF_SELF_SCOUT_IMPORT'!$D$42:$D$1040,SUBSTITUTE(SUBSTITUTE(SUBSTITUTE($P1313,"~","~~"),"*","~*"),"?","~?"),'DEF_SELF_SCOUT_IMPORT'!$H$42:$H$1040,"DROPBACK")/$C1313)</f>
        <v>1.0</v>
      </c>
      <c r="I1313" s="14" t="str">
        <f>IF(C1313=0,"",IF(C1313&lt;=2,"TRACK",IF(C1313=3,"LOW",IF(C1313&lt;=6,"MEDIUM","HIGH"))))</f>
        <v>MEDIUM</v>
      </c>
      <c r="J1313" s="11">
        <f>IF(C1313=0,"",ROUND(D1313*70+(1-E1313)*20+MAX(0,MIN(1,(10-F1313)/10))*10,1))</f>
        <v>66.8</v>
      </c>
      <c r="K1313" s="14" t="str">
        <f>IF(C1313=0,"No Evidence",IF(C1313&lt;=2,IF(E1313&gt;0,"Explosive Alert","Track Only"),IF(C1313=3,"Sample Watch",IF(E1313&gt;=START_HERE!$B$31,"Explosive Alert",IF(J1313&gt;=80,"Strong Candidate",IF(J1313&gt;=65,"Good Candidate",IF(J1313&gt;=50,"Mixed / Review","Problem Call")))))))</f>
        <v>Good Candidate</v>
      </c>
      <c r="L1313" s="9" t="str">
        <f>IF(COUNTIFS('DEF_SELF_SCOUT_IMPORT'!$L$42:$L$1040,"Y",'DEF_SELF_SCOUT_IMPORT'!$E$42:$E$1040,SUBSTITUTE(SUBSTITUTE(SUBSTITUTE($B1313,"~","~~"),"*","~*"),"?","~?"),'DEF_SELF_SCOUT_IMPORT'!$D$42:$D$1040,SUBSTITUTE(SUBSTITUTE(SUBSTITUTE($P1313,"~","~~"),"*","~*"),"?","~?"),'DEF_SELF_SCOUT_IMPORT'!$J$42:$J$1040,"")&gt;0,"Unscored clean outcome; review result tags before using score.",IF(C1313=0,"No matching defensive reps; film confirmation needed.",IF(K1313="Explosive Alert","Explosive risk; review clips before using as answer.",IF(C1313&lt;=2,"Track only; not enough sample.",IF(C1313=3,IF(E1313&gt;0,"Sample watch with explosive exposure; review clips and build the sample.",IF(J1313&gt;=65,"Good signal, but sample is limited.","Sample watch; review clips and build the sample.")),IF(K1313="Problem Call","Problem area; practice or call-sheet review.",IF(K1313="Strong Candidate","Strong call-fit candidate; confirm on film.",IF(K1313="Good Candidate","Good call-fit signal; confirm on film.","Mixed signal; review fit and execution on film."))))))))</f>
        <v>Good call-fit signal; confirm on film.</v>
      </c>
      <c r="M1313" s="8"/>
      <c r="N1313" s="8"/>
      <c r="O1313" s="8"/>
      <c r="P1313" s="8" t="s">
        <v>449</v>
      </c>
      <c r="Q1313" s="8"/>
      <c r="R1313" s="8" t="s">
        <v>636</v>
      </c>
      <c r="S1313" s="2" t="s">
        <v>637</v>
      </c>
      <c r="T1313" s="2">
        <f>IF(C1313=0,0,IF(C1313&gt;=CALL_LOOKUP_BOARD!$B$7,IF(OR(K1313="Problem Call",K1313="Explosive Alert"),10000000,20000000),0)+IF(C1313&gt;=CALL_LOOKUP_BOARD!$B$7,J1313*1000+MIN(C1313,999),C1313*1000+J1313)+0.00995000)</f>
        <v>20066805.00995</v>
      </c>
      <c r="U1313" s="2">
        <f>IF(C1313=0,"",IF(COUNTIFS($S$1264:$S$1440,SUBSTITUTE(SUBSTITUTE(SUBSTITUTE(S1313,"~","~~"),"*","~*"),"?","~?"),$T$1264:$T$1440,"&gt;"&amp;T1313)=0,S1313,""))</f>
        <v/>
      </c>
    </row>
    <row r="1314" spans="1:21" ht="38" customHeight="1">
      <c r="A1314" s="8" t="s">
        <v>449</v>
      </c>
      <c r="B1314" s="8" t="s">
        <v>84</v>
      </c>
      <c r="C1314" s="12">
        <f>COUNTIFS('DEF_SELF_SCOUT_IMPORT'!$L$42:$L$1040,"Y",'DEF_SELF_SCOUT_IMPORT'!$E$42:$E$1040,SUBSTITUTE(SUBSTITUTE(SUBSTITUTE($B1314,"~","~~"),"*","~*"),"?","~?"),'DEF_SELF_SCOUT_IMPORT'!$D$42:$D$1040,SUBSTITUTE(SUBSTITUTE(SUBSTITUTE($P1314,"~","~~"),"*","~*"),"?","~?"))</f>
        <v>2</v>
      </c>
      <c r="D1314" s="10">
        <f>IF($C1314=0,"",SUMIFS('DEF_SELF_SCOUT_IMPORT'!$J$42:$J$1040,'DEF_SELF_SCOUT_IMPORT'!$L$42:$L$1040,"Y",'DEF_SELF_SCOUT_IMPORT'!$E$42:$E$1040,SUBSTITUTE(SUBSTITUTE(SUBSTITUTE($B1314,"~","~~"),"*","~*"),"?","~?"),'DEF_SELF_SCOUT_IMPORT'!$D$42:$D$1040,SUBSTITUTE(SUBSTITUTE(SUBSTITUTE($P1314,"~","~~"),"*","~*"),"?","~?"))/$C1314)</f>
        <v>0.5</v>
      </c>
      <c r="E1314" s="10">
        <f>IF($C1314=0,"",SUMIFS('DEF_SELF_SCOUT_IMPORT'!$K$42:$K$1040,'DEF_SELF_SCOUT_IMPORT'!$L$42:$L$1040,"Y",'DEF_SELF_SCOUT_IMPORT'!$E$42:$E$1040,SUBSTITUTE(SUBSTITUTE(SUBSTITUTE($B1314,"~","~~"),"*","~*"),"?","~?"),'DEF_SELF_SCOUT_IMPORT'!$D$42:$D$1040,SUBSTITUTE(SUBSTITUTE(SUBSTITUTE($P1314,"~","~~"),"*","~*"),"?","~?"))/$C1314)</f>
        <v>0.5</v>
      </c>
      <c r="F1314" s="11">
        <f>IF($C1314=0,"",AVERAGEIFS('DEF_SELF_SCOUT_IMPORT'!$I$42:$I$1040,'DEF_SELF_SCOUT_IMPORT'!$L$42:$L$1040,"Y",'DEF_SELF_SCOUT_IMPORT'!$E$42:$E$1040,SUBSTITUTE(SUBSTITUTE(SUBSTITUTE($B1314,"~","~~"),"*","~*"),"?","~?"),'DEF_SELF_SCOUT_IMPORT'!$D$42:$D$1040,SUBSTITUTE(SUBSTITUTE(SUBSTITUTE($P1314,"~","~~"),"*","~*"),"?","~?")))</f>
        <v>21.0</v>
      </c>
      <c r="G1314" s="10">
        <f>IF($C1314=0,"",COUNTIFS('DEF_SELF_SCOUT_IMPORT'!$L$42:$L$1040,"Y",'DEF_SELF_SCOUT_IMPORT'!$E$42:$E$1040,SUBSTITUTE(SUBSTITUTE(SUBSTITUTE($B1314,"~","~~"),"*","~*"),"?","~?"),'DEF_SELF_SCOUT_IMPORT'!$D$42:$D$1040,SUBSTITUTE(SUBSTITUTE(SUBSTITUTE($P1314,"~","~~"),"*","~*"),"?","~?"),'DEF_SELF_SCOUT_IMPORT'!$H$42:$H$1040,"RUSH")/$C1314)</f>
        <v>0.0</v>
      </c>
      <c r="H1314" s="10">
        <f>IF($C1314=0,"",COUNTIFS('DEF_SELF_SCOUT_IMPORT'!$L$42:$L$1040,"Y",'DEF_SELF_SCOUT_IMPORT'!$E$42:$E$1040,SUBSTITUTE(SUBSTITUTE(SUBSTITUTE($B1314,"~","~~"),"*","~*"),"?","~?"),'DEF_SELF_SCOUT_IMPORT'!$D$42:$D$1040,SUBSTITUTE(SUBSTITUTE(SUBSTITUTE($P1314,"~","~~"),"*","~*"),"?","~?"),'DEF_SELF_SCOUT_IMPORT'!$H$42:$H$1040,"DROPBACK")/$C1314)</f>
        <v>1.0</v>
      </c>
      <c r="I1314" s="14" t="str">
        <f>IF(C1314=0,"",IF(C1314&lt;=2,"TRACK",IF(C1314=3,"LOW",IF(C1314&lt;=6,"MEDIUM","HIGH"))))</f>
        <v>TRACK</v>
      </c>
      <c r="J1314" s="11">
        <f>IF(C1314=0,"",ROUND(D1314*70+(1-E1314)*20+MAX(0,MIN(1,(10-F1314)/10))*10,1))</f>
        <v>45.0</v>
      </c>
      <c r="K1314" s="14" t="str">
        <f>IF(C1314=0,"No Evidence",IF(C1314&lt;=2,IF(E1314&gt;0,"Explosive Alert","Track Only"),IF(C1314=3,"Sample Watch",IF(E1314&gt;=START_HERE!$B$31,"Explosive Alert",IF(J1314&gt;=80,"Strong Candidate",IF(J1314&gt;=65,"Good Candidate",IF(J1314&gt;=50,"Mixed / Review","Problem Call")))))))</f>
        <v>Explosive Alert</v>
      </c>
      <c r="L1314" s="9" t="str">
        <f>IF(COUNTIFS('DEF_SELF_SCOUT_IMPORT'!$L$42:$L$1040,"Y",'DEF_SELF_SCOUT_IMPORT'!$E$42:$E$1040,SUBSTITUTE(SUBSTITUTE(SUBSTITUTE($B1314,"~","~~"),"*","~*"),"?","~?"),'DEF_SELF_SCOUT_IMPORT'!$D$42:$D$1040,SUBSTITUTE(SUBSTITUTE(SUBSTITUTE($P1314,"~","~~"),"*","~*"),"?","~?"),'DEF_SELF_SCOUT_IMPORT'!$J$42:$J$1040,"")&gt;0,"Unscored clean outcome; review result tags before using score.",IF(C1314=0,"No matching defensive reps; film confirmation needed.",IF(K1314="Explosive Alert","Explosive risk; review clips before using as answer.",IF(C1314&lt;=2,"Track only; not enough sample.",IF(C1314=3,IF(E1314&gt;0,"Sample watch with explosive exposure; review clips and build the sample.",IF(J1314&gt;=65,"Good signal, but sample is limited.","Sample watch; review clips and build the sample.")),IF(K1314="Problem Call","Problem area; practice or call-sheet review.",IF(K1314="Strong Candidate","Strong call-fit candidate; confirm on film.",IF(K1314="Good Candidate","Good call-fit signal; confirm on film.","Mixed signal; review fit and execution on film."))))))))</f>
        <v>Explosive risk; review clips before using as answer.</v>
      </c>
      <c r="M1314" s="8"/>
      <c r="N1314" s="8"/>
      <c r="O1314" s="8"/>
      <c r="P1314" s="8" t="s">
        <v>449</v>
      </c>
      <c r="Q1314" s="8"/>
      <c r="R1314" s="8" t="s">
        <v>633</v>
      </c>
      <c r="S1314" s="2" t="s">
        <v>637</v>
      </c>
      <c r="T1314" s="2">
        <f>IF(C1314=0,0,IF(C1314&gt;=CALL_LOOKUP_BOARD!$B$7,IF(OR(K1314="Problem Call",K1314="Explosive Alert"),10000000,20000000),0)+IF(C1314&gt;=CALL_LOOKUP_BOARD!$B$7,J1314*1000+MIN(C1314,999),C1314*1000+J1314)+0.00994900)</f>
        <v>2045.009949</v>
      </c>
      <c r="U1314" s="2">
        <f>IF(C1314=0,"",IF(COUNTIFS($S$1264:$S$1440,SUBSTITUTE(SUBSTITUTE(SUBSTITUTE(S1314,"~","~~"),"*","~*"),"?","~?"),$T$1264:$T$1440,"&gt;"&amp;T1314)=0,S1314,""))</f>
        <v/>
      </c>
    </row>
    <row r="1315" spans="1:21" ht="38" customHeight="1">
      <c r="A1315" s="8" t="s">
        <v>449</v>
      </c>
      <c r="B1315" s="8" t="s">
        <v>102</v>
      </c>
      <c r="C1315" s="12">
        <f>COUNTIFS('DEF_SELF_SCOUT_IMPORT'!$L$42:$L$1040,"Y",'DEF_SELF_SCOUT_IMPORT'!$E$42:$E$1040,SUBSTITUTE(SUBSTITUTE(SUBSTITUTE($B1315,"~","~~"),"*","~*"),"?","~?"),'DEF_SELF_SCOUT_IMPORT'!$D$42:$D$1040,SUBSTITUTE(SUBSTITUTE(SUBSTITUTE($P1315,"~","~~"),"*","~*"),"?","~?"))</f>
        <v>2</v>
      </c>
      <c r="D1315" s="10">
        <f>IF($C1315=0,"",SUMIFS('DEF_SELF_SCOUT_IMPORT'!$J$42:$J$1040,'DEF_SELF_SCOUT_IMPORT'!$L$42:$L$1040,"Y",'DEF_SELF_SCOUT_IMPORT'!$E$42:$E$1040,SUBSTITUTE(SUBSTITUTE(SUBSTITUTE($B1315,"~","~~"),"*","~*"),"?","~?"),'DEF_SELF_SCOUT_IMPORT'!$D$42:$D$1040,SUBSTITUTE(SUBSTITUTE(SUBSTITUTE($P1315,"~","~~"),"*","~*"),"?","~?"))/$C1315)</f>
        <v>1.0</v>
      </c>
      <c r="E1315" s="10">
        <f>IF($C1315=0,"",SUMIFS('DEF_SELF_SCOUT_IMPORT'!$K$42:$K$1040,'DEF_SELF_SCOUT_IMPORT'!$L$42:$L$1040,"Y",'DEF_SELF_SCOUT_IMPORT'!$E$42:$E$1040,SUBSTITUTE(SUBSTITUTE(SUBSTITUTE($B1315,"~","~~"),"*","~*"),"?","~?"),'DEF_SELF_SCOUT_IMPORT'!$D$42:$D$1040,SUBSTITUTE(SUBSTITUTE(SUBSTITUTE($P1315,"~","~~"),"*","~*"),"?","~?"))/$C1315)</f>
        <v>0.0</v>
      </c>
      <c r="F1315" s="11">
        <f>IF($C1315=0,"",AVERAGEIFS('DEF_SELF_SCOUT_IMPORT'!$I$42:$I$1040,'DEF_SELF_SCOUT_IMPORT'!$L$42:$L$1040,"Y",'DEF_SELF_SCOUT_IMPORT'!$E$42:$E$1040,SUBSTITUTE(SUBSTITUTE(SUBSTITUTE($B1315,"~","~~"),"*","~*"),"?","~?"),'DEF_SELF_SCOUT_IMPORT'!$D$42:$D$1040,SUBSTITUTE(SUBSTITUTE(SUBSTITUTE($P1315,"~","~~"),"*","~*"),"?","~?")))</f>
        <v>0.0</v>
      </c>
      <c r="G1315" s="10">
        <f>IF($C1315=0,"",COUNTIFS('DEF_SELF_SCOUT_IMPORT'!$L$42:$L$1040,"Y",'DEF_SELF_SCOUT_IMPORT'!$E$42:$E$1040,SUBSTITUTE(SUBSTITUTE(SUBSTITUTE($B1315,"~","~~"),"*","~*"),"?","~?"),'DEF_SELF_SCOUT_IMPORT'!$D$42:$D$1040,SUBSTITUTE(SUBSTITUTE(SUBSTITUTE($P1315,"~","~~"),"*","~*"),"?","~?"),'DEF_SELF_SCOUT_IMPORT'!$H$42:$H$1040,"RUSH")/$C1315)</f>
        <v>0.0</v>
      </c>
      <c r="H1315" s="10">
        <f>IF($C1315=0,"",COUNTIFS('DEF_SELF_SCOUT_IMPORT'!$L$42:$L$1040,"Y",'DEF_SELF_SCOUT_IMPORT'!$E$42:$E$1040,SUBSTITUTE(SUBSTITUTE(SUBSTITUTE($B1315,"~","~~"),"*","~*"),"?","~?"),'DEF_SELF_SCOUT_IMPORT'!$D$42:$D$1040,SUBSTITUTE(SUBSTITUTE(SUBSTITUTE($P1315,"~","~~"),"*","~*"),"?","~?"),'DEF_SELF_SCOUT_IMPORT'!$H$42:$H$1040,"DROPBACK")/$C1315)</f>
        <v>1.0</v>
      </c>
      <c r="I1315" s="14" t="str">
        <f>IF(C1315=0,"",IF(C1315&lt;=2,"TRACK",IF(C1315=3,"LOW",IF(C1315&lt;=6,"MEDIUM","HIGH"))))</f>
        <v>TRACK</v>
      </c>
      <c r="J1315" s="11">
        <f>IF(C1315=0,"",ROUND(D1315*70+(1-E1315)*20+MAX(0,MIN(1,(10-F1315)/10))*10,1))</f>
        <v>100.0</v>
      </c>
      <c r="K1315" s="14" t="str">
        <f>IF(C1315=0,"No Evidence",IF(C1315&lt;=2,IF(E1315&gt;0,"Explosive Alert","Track Only"),IF(C1315=3,"Sample Watch",IF(E1315&gt;=START_HERE!$B$31,"Explosive Alert",IF(J1315&gt;=80,"Strong Candidate",IF(J1315&gt;=65,"Good Candidate",IF(J1315&gt;=50,"Mixed / Review","Problem Call")))))))</f>
        <v>Track Only</v>
      </c>
      <c r="L1315" s="9" t="str">
        <f>IF(COUNTIFS('DEF_SELF_SCOUT_IMPORT'!$L$42:$L$1040,"Y",'DEF_SELF_SCOUT_IMPORT'!$E$42:$E$1040,SUBSTITUTE(SUBSTITUTE(SUBSTITUTE($B1315,"~","~~"),"*","~*"),"?","~?"),'DEF_SELF_SCOUT_IMPORT'!$D$42:$D$1040,SUBSTITUTE(SUBSTITUTE(SUBSTITUTE($P1315,"~","~~"),"*","~*"),"?","~?"),'DEF_SELF_SCOUT_IMPORT'!$J$42:$J$1040,"")&gt;0,"Unscored clean outcome; review result tags before using score.",IF(C1315=0,"No matching defensive reps; film confirmation needed.",IF(K1315="Explosive Alert","Explosive risk; review clips before using as answer.",IF(C1315&lt;=2,"Track only; not enough sample.",IF(C1315=3,IF(E1315&gt;0,"Sample watch with explosive exposure; review clips and build the sample.",IF(J1315&gt;=65,"Good signal, but sample is limited.","Sample watch; review clips and build the sample.")),IF(K1315="Problem Call","Problem area; practice or call-sheet review.",IF(K1315="Strong Candidate","Strong call-fit candidate; confirm on film.",IF(K1315="Good Candidate","Good call-fit signal; confirm on film.","Mixed signal; review fit and execution on film."))))))))</f>
        <v>Track only; not enough sample.</v>
      </c>
      <c r="M1315" s="8"/>
      <c r="N1315" s="8"/>
      <c r="O1315" s="8"/>
      <c r="P1315" s="8" t="s">
        <v>449</v>
      </c>
      <c r="Q1315" s="8"/>
      <c r="R1315" s="8" t="s">
        <v>633</v>
      </c>
      <c r="S1315" s="2" t="s">
        <v>637</v>
      </c>
      <c r="T1315" s="2">
        <f>IF(C1315=0,0,IF(C1315&gt;=CALL_LOOKUP_BOARD!$B$7,IF(OR(K1315="Problem Call",K1315="Explosive Alert"),10000000,20000000),0)+IF(C1315&gt;=CALL_LOOKUP_BOARD!$B$7,J1315*1000+MIN(C1315,999),C1315*1000+J1315)+0.00994800)</f>
        <v>2100.009948</v>
      </c>
      <c r="U1315" s="2">
        <f>IF(C1315=0,"",IF(COUNTIFS($S$1264:$S$1440,SUBSTITUTE(SUBSTITUTE(SUBSTITUTE(S1315,"~","~~"),"*","~*"),"?","~?"),$T$1264:$T$1440,"&gt;"&amp;T1315)=0,S1315,""))</f>
        <v/>
      </c>
    </row>
    <row r="1316" spans="1:21" ht="38" customHeight="1">
      <c r="A1316" s="8" t="s">
        <v>449</v>
      </c>
      <c r="B1316" s="8" t="s">
        <v>66</v>
      </c>
      <c r="C1316" s="12">
        <f>COUNTIFS('DEF_SELF_SCOUT_IMPORT'!$L$42:$L$1040,"Y",'DEF_SELF_SCOUT_IMPORT'!$E$42:$E$1040,SUBSTITUTE(SUBSTITUTE(SUBSTITUTE($B1316,"~","~~"),"*","~*"),"?","~?"),'DEF_SELF_SCOUT_IMPORT'!$D$42:$D$1040,SUBSTITUTE(SUBSTITUTE(SUBSTITUTE($P1316,"~","~~"),"*","~*"),"?","~?"))</f>
        <v>1</v>
      </c>
      <c r="D1316" s="10">
        <f>IF($C1316=0,"",SUMIFS('DEF_SELF_SCOUT_IMPORT'!$J$42:$J$1040,'DEF_SELF_SCOUT_IMPORT'!$L$42:$L$1040,"Y",'DEF_SELF_SCOUT_IMPORT'!$E$42:$E$1040,SUBSTITUTE(SUBSTITUTE(SUBSTITUTE($B1316,"~","~~"),"*","~*"),"?","~?"),'DEF_SELF_SCOUT_IMPORT'!$D$42:$D$1040,SUBSTITUTE(SUBSTITUTE(SUBSTITUTE($P1316,"~","~~"),"*","~*"),"?","~?"))/$C1316)</f>
        <v>0.0</v>
      </c>
      <c r="E1316" s="10">
        <f>IF($C1316=0,"",SUMIFS('DEF_SELF_SCOUT_IMPORT'!$K$42:$K$1040,'DEF_SELF_SCOUT_IMPORT'!$L$42:$L$1040,"Y",'DEF_SELF_SCOUT_IMPORT'!$E$42:$E$1040,SUBSTITUTE(SUBSTITUTE(SUBSTITUTE($B1316,"~","~~"),"*","~*"),"?","~?"),'DEF_SELF_SCOUT_IMPORT'!$D$42:$D$1040,SUBSTITUTE(SUBSTITUTE(SUBSTITUTE($P1316,"~","~~"),"*","~*"),"?","~?"))/$C1316)</f>
        <v>1.0</v>
      </c>
      <c r="F1316" s="11">
        <f>IF($C1316=0,"",AVERAGEIFS('DEF_SELF_SCOUT_IMPORT'!$I$42:$I$1040,'DEF_SELF_SCOUT_IMPORT'!$L$42:$L$1040,"Y",'DEF_SELF_SCOUT_IMPORT'!$E$42:$E$1040,SUBSTITUTE(SUBSTITUTE(SUBSTITUTE($B1316,"~","~~"),"*","~*"),"?","~?"),'DEF_SELF_SCOUT_IMPORT'!$D$42:$D$1040,SUBSTITUTE(SUBSTITUTE(SUBSTITUTE($P1316,"~","~~"),"*","~*"),"?","~?")))</f>
        <v>23.0</v>
      </c>
      <c r="G1316" s="10">
        <f>IF($C1316=0,"",COUNTIFS('DEF_SELF_SCOUT_IMPORT'!$L$42:$L$1040,"Y",'DEF_SELF_SCOUT_IMPORT'!$E$42:$E$1040,SUBSTITUTE(SUBSTITUTE(SUBSTITUTE($B1316,"~","~~"),"*","~*"),"?","~?"),'DEF_SELF_SCOUT_IMPORT'!$D$42:$D$1040,SUBSTITUTE(SUBSTITUTE(SUBSTITUTE($P1316,"~","~~"),"*","~*"),"?","~?"),'DEF_SELF_SCOUT_IMPORT'!$H$42:$H$1040,"RUSH")/$C1316)</f>
        <v>0.0</v>
      </c>
      <c r="H1316" s="10">
        <f>IF($C1316=0,"",COUNTIFS('DEF_SELF_SCOUT_IMPORT'!$L$42:$L$1040,"Y",'DEF_SELF_SCOUT_IMPORT'!$E$42:$E$1040,SUBSTITUTE(SUBSTITUTE(SUBSTITUTE($B1316,"~","~~"),"*","~*"),"?","~?"),'DEF_SELF_SCOUT_IMPORT'!$D$42:$D$1040,SUBSTITUTE(SUBSTITUTE(SUBSTITUTE($P1316,"~","~~"),"*","~*"),"?","~?"),'DEF_SELF_SCOUT_IMPORT'!$H$42:$H$1040,"DROPBACK")/$C1316)</f>
        <v>1.0</v>
      </c>
      <c r="I1316" s="14" t="str">
        <f>IF(C1316=0,"",IF(C1316&lt;=2,"TRACK",IF(C1316=3,"LOW",IF(C1316&lt;=6,"MEDIUM","HIGH"))))</f>
        <v>TRACK</v>
      </c>
      <c r="J1316" s="11">
        <f>IF(C1316=0,"",ROUND(D1316*70+(1-E1316)*20+MAX(0,MIN(1,(10-F1316)/10))*10,1))</f>
        <v>0.0</v>
      </c>
      <c r="K1316" s="14" t="str">
        <f>IF(C1316=0,"No Evidence",IF(C1316&lt;=2,IF(E1316&gt;0,"Explosive Alert","Track Only"),IF(C1316=3,"Sample Watch",IF(E1316&gt;=START_HERE!$B$31,"Explosive Alert",IF(J1316&gt;=80,"Strong Candidate",IF(J1316&gt;=65,"Good Candidate",IF(J1316&gt;=50,"Mixed / Review","Problem Call")))))))</f>
        <v>Explosive Alert</v>
      </c>
      <c r="L1316" s="9" t="str">
        <f>IF(COUNTIFS('DEF_SELF_SCOUT_IMPORT'!$L$42:$L$1040,"Y",'DEF_SELF_SCOUT_IMPORT'!$E$42:$E$1040,SUBSTITUTE(SUBSTITUTE(SUBSTITUTE($B1316,"~","~~"),"*","~*"),"?","~?"),'DEF_SELF_SCOUT_IMPORT'!$D$42:$D$1040,SUBSTITUTE(SUBSTITUTE(SUBSTITUTE($P1316,"~","~~"),"*","~*"),"?","~?"),'DEF_SELF_SCOUT_IMPORT'!$J$42:$J$1040,"")&gt;0,"Unscored clean outcome; review result tags before using score.",IF(C1316=0,"No matching defensive reps; film confirmation needed.",IF(K1316="Explosive Alert","Explosive risk; review clips before using as answer.",IF(C1316&lt;=2,"Track only; not enough sample.",IF(C1316=3,IF(E1316&gt;0,"Sample watch with explosive exposure; review clips and build the sample.",IF(J1316&gt;=65,"Good signal, but sample is limited.","Sample watch; review clips and build the sample.")),IF(K1316="Problem Call","Problem area; practice or call-sheet review.",IF(K1316="Strong Candidate","Strong call-fit candidate; confirm on film.",IF(K1316="Good Candidate","Good call-fit signal; confirm on film.","Mixed signal; review fit and execution on film."))))))))</f>
        <v>Explosive risk; review clips before using as answer.</v>
      </c>
      <c r="M1316" s="8"/>
      <c r="N1316" s="8"/>
      <c r="O1316" s="8"/>
      <c r="P1316" s="8" t="s">
        <v>449</v>
      </c>
      <c r="Q1316" s="8"/>
      <c r="R1316" s="8" t="s">
        <v>633</v>
      </c>
      <c r="S1316" s="2" t="s">
        <v>637</v>
      </c>
      <c r="T1316" s="2">
        <f>IF(C1316=0,0,IF(C1316&gt;=CALL_LOOKUP_BOARD!$B$7,IF(OR(K1316="Problem Call",K1316="Explosive Alert"),10000000,20000000),0)+IF(C1316&gt;=CALL_LOOKUP_BOARD!$B$7,J1316*1000+MIN(C1316,999),C1316*1000+J1316)+0.00994700)</f>
        <v>1000.009947</v>
      </c>
      <c r="U1316" s="2">
        <f>IF(C1316=0,"",IF(COUNTIFS($S$1264:$S$1440,SUBSTITUTE(SUBSTITUTE(SUBSTITUTE(S1316,"~","~~"),"*","~*"),"?","~?"),$T$1264:$T$1440,"&gt;"&amp;T1316)=0,S1316,""))</f>
        <v/>
      </c>
    </row>
    <row r="1317" spans="1:21" ht="38" customHeight="1">
      <c r="A1317" s="8" t="s">
        <v>449</v>
      </c>
      <c r="B1317" s="8" t="s">
        <v>68</v>
      </c>
      <c r="C1317" s="12">
        <f>COUNTIFS('DEF_SELF_SCOUT_IMPORT'!$L$42:$L$1040,"Y",'DEF_SELF_SCOUT_IMPORT'!$E$42:$E$1040,SUBSTITUTE(SUBSTITUTE(SUBSTITUTE($B1317,"~","~~"),"*","~*"),"?","~?"),'DEF_SELF_SCOUT_IMPORT'!$D$42:$D$1040,SUBSTITUTE(SUBSTITUTE(SUBSTITUTE($P1317,"~","~~"),"*","~*"),"?","~?"))</f>
        <v>2</v>
      </c>
      <c r="D1317" s="10">
        <f>IF($C1317=0,"",SUMIFS('DEF_SELF_SCOUT_IMPORT'!$J$42:$J$1040,'DEF_SELF_SCOUT_IMPORT'!$L$42:$L$1040,"Y",'DEF_SELF_SCOUT_IMPORT'!$E$42:$E$1040,SUBSTITUTE(SUBSTITUTE(SUBSTITUTE($B1317,"~","~~"),"*","~*"),"?","~?"),'DEF_SELF_SCOUT_IMPORT'!$D$42:$D$1040,SUBSTITUTE(SUBSTITUTE(SUBSTITUTE($P1317,"~","~~"),"*","~*"),"?","~?"))/$C1317)</f>
        <v>1.0</v>
      </c>
      <c r="E1317" s="10">
        <f>IF($C1317=0,"",SUMIFS('DEF_SELF_SCOUT_IMPORT'!$K$42:$K$1040,'DEF_SELF_SCOUT_IMPORT'!$L$42:$L$1040,"Y",'DEF_SELF_SCOUT_IMPORT'!$E$42:$E$1040,SUBSTITUTE(SUBSTITUTE(SUBSTITUTE($B1317,"~","~~"),"*","~*"),"?","~?"),'DEF_SELF_SCOUT_IMPORT'!$D$42:$D$1040,SUBSTITUTE(SUBSTITUTE(SUBSTITUTE($P1317,"~","~~"),"*","~*"),"?","~?"))/$C1317)</f>
        <v>0.0</v>
      </c>
      <c r="F1317" s="11">
        <f>IF($C1317=0,"",AVERAGEIFS('DEF_SELF_SCOUT_IMPORT'!$I$42:$I$1040,'DEF_SELF_SCOUT_IMPORT'!$L$42:$L$1040,"Y",'DEF_SELF_SCOUT_IMPORT'!$E$42:$E$1040,SUBSTITUTE(SUBSTITUTE(SUBSTITUTE($B1317,"~","~~"),"*","~*"),"?","~?"),'DEF_SELF_SCOUT_IMPORT'!$D$42:$D$1040,SUBSTITUTE(SUBSTITUTE(SUBSTITUTE($P1317,"~","~~"),"*","~*"),"?","~?")))</f>
        <v>6.5</v>
      </c>
      <c r="G1317" s="10">
        <f>IF($C1317=0,"",COUNTIFS('DEF_SELF_SCOUT_IMPORT'!$L$42:$L$1040,"Y",'DEF_SELF_SCOUT_IMPORT'!$E$42:$E$1040,SUBSTITUTE(SUBSTITUTE(SUBSTITUTE($B1317,"~","~~"),"*","~*"),"?","~?"),'DEF_SELF_SCOUT_IMPORT'!$D$42:$D$1040,SUBSTITUTE(SUBSTITUTE(SUBSTITUTE($P1317,"~","~~"),"*","~*"),"?","~?"),'DEF_SELF_SCOUT_IMPORT'!$H$42:$H$1040,"RUSH")/$C1317)</f>
        <v>0.0</v>
      </c>
      <c r="H1317" s="10">
        <f>IF($C1317=0,"",COUNTIFS('DEF_SELF_SCOUT_IMPORT'!$L$42:$L$1040,"Y",'DEF_SELF_SCOUT_IMPORT'!$E$42:$E$1040,SUBSTITUTE(SUBSTITUTE(SUBSTITUTE($B1317,"~","~~"),"*","~*"),"?","~?"),'DEF_SELF_SCOUT_IMPORT'!$D$42:$D$1040,SUBSTITUTE(SUBSTITUTE(SUBSTITUTE($P1317,"~","~~"),"*","~*"),"?","~?"),'DEF_SELF_SCOUT_IMPORT'!$H$42:$H$1040,"DROPBACK")/$C1317)</f>
        <v>1.0</v>
      </c>
      <c r="I1317" s="14" t="str">
        <f>IF(C1317=0,"",IF(C1317&lt;=2,"TRACK",IF(C1317=3,"LOW",IF(C1317&lt;=6,"MEDIUM","HIGH"))))</f>
        <v>TRACK</v>
      </c>
      <c r="J1317" s="11">
        <f>IF(C1317=0,"",ROUND(D1317*70+(1-E1317)*20+MAX(0,MIN(1,(10-F1317)/10))*10,1))</f>
        <v>93.5</v>
      </c>
      <c r="K1317" s="14" t="str">
        <f>IF(C1317=0,"No Evidence",IF(C1317&lt;=2,IF(E1317&gt;0,"Explosive Alert","Track Only"),IF(C1317=3,"Sample Watch",IF(E1317&gt;=START_HERE!$B$31,"Explosive Alert",IF(J1317&gt;=80,"Strong Candidate",IF(J1317&gt;=65,"Good Candidate",IF(J1317&gt;=50,"Mixed / Review","Problem Call")))))))</f>
        <v>Track Only</v>
      </c>
      <c r="L1317" s="9" t="str">
        <f>IF(COUNTIFS('DEF_SELF_SCOUT_IMPORT'!$L$42:$L$1040,"Y",'DEF_SELF_SCOUT_IMPORT'!$E$42:$E$1040,SUBSTITUTE(SUBSTITUTE(SUBSTITUTE($B1317,"~","~~"),"*","~*"),"?","~?"),'DEF_SELF_SCOUT_IMPORT'!$D$42:$D$1040,SUBSTITUTE(SUBSTITUTE(SUBSTITUTE($P1317,"~","~~"),"*","~*"),"?","~?"),'DEF_SELF_SCOUT_IMPORT'!$J$42:$J$1040,"")&gt;0,"Unscored clean outcome; review result tags before using score.",IF(C1317=0,"No matching defensive reps; film confirmation needed.",IF(K1317="Explosive Alert","Explosive risk; review clips before using as answer.",IF(C1317&lt;=2,"Track only; not enough sample.",IF(C1317=3,IF(E1317&gt;0,"Sample watch with explosive exposure; review clips and build the sample.",IF(J1317&gt;=65,"Good signal, but sample is limited.","Sample watch; review clips and build the sample.")),IF(K1317="Problem Call","Problem area; practice or call-sheet review.",IF(K1317="Strong Candidate","Strong call-fit candidate; confirm on film.",IF(K1317="Good Candidate","Good call-fit signal; confirm on film.","Mixed signal; review fit and execution on film."))))))))</f>
        <v>Track only; not enough sample.</v>
      </c>
      <c r="M1317" s="8"/>
      <c r="N1317" s="8"/>
      <c r="O1317" s="8"/>
      <c r="P1317" s="8" t="s">
        <v>449</v>
      </c>
      <c r="Q1317" s="8"/>
      <c r="R1317" s="8" t="s">
        <v>633</v>
      </c>
      <c r="S1317" s="2" t="s">
        <v>637</v>
      </c>
      <c r="T1317" s="2">
        <f>IF(C1317=0,0,IF(C1317&gt;=CALL_LOOKUP_BOARD!$B$7,IF(OR(K1317="Problem Call",K1317="Explosive Alert"),10000000,20000000),0)+IF(C1317&gt;=CALL_LOOKUP_BOARD!$B$7,J1317*1000+MIN(C1317,999),C1317*1000+J1317)+0.00994600)</f>
        <v>2093.509946</v>
      </c>
      <c r="U1317" s="2">
        <f>IF(C1317=0,"",IF(COUNTIFS($S$1264:$S$1440,SUBSTITUTE(SUBSTITUTE(SUBSTITUTE(S1317,"~","~~"),"*","~*"),"?","~?"),$T$1264:$T$1440,"&gt;"&amp;T1317)=0,S1317,""))</f>
        <v/>
      </c>
    </row>
    <row r="1318" spans="1:21" ht="38" customHeight="1">
      <c r="A1318" s="8" t="s">
        <v>449</v>
      </c>
      <c r="B1318" s="8" t="s">
        <v>75</v>
      </c>
      <c r="C1318" s="12">
        <f>COUNTIFS('DEF_SELF_SCOUT_IMPORT'!$L$42:$L$1040,"Y",'DEF_SELF_SCOUT_IMPORT'!$E$42:$E$1040,SUBSTITUTE(SUBSTITUTE(SUBSTITUTE($B1318,"~","~~"),"*","~*"),"?","~?"),'DEF_SELF_SCOUT_IMPORT'!$D$42:$D$1040,SUBSTITUTE(SUBSTITUTE(SUBSTITUTE($P1318,"~","~~"),"*","~*"),"?","~?"))</f>
        <v>1</v>
      </c>
      <c r="D1318" s="10">
        <f>IF($C1318=0,"",SUMIFS('DEF_SELF_SCOUT_IMPORT'!$J$42:$J$1040,'DEF_SELF_SCOUT_IMPORT'!$L$42:$L$1040,"Y",'DEF_SELF_SCOUT_IMPORT'!$E$42:$E$1040,SUBSTITUTE(SUBSTITUTE(SUBSTITUTE($B1318,"~","~~"),"*","~*"),"?","~?"),'DEF_SELF_SCOUT_IMPORT'!$D$42:$D$1040,SUBSTITUTE(SUBSTITUTE(SUBSTITUTE($P1318,"~","~~"),"*","~*"),"?","~?"))/$C1318)</f>
        <v>1.0</v>
      </c>
      <c r="E1318" s="10">
        <f>IF($C1318=0,"",SUMIFS('DEF_SELF_SCOUT_IMPORT'!$K$42:$K$1040,'DEF_SELF_SCOUT_IMPORT'!$L$42:$L$1040,"Y",'DEF_SELF_SCOUT_IMPORT'!$E$42:$E$1040,SUBSTITUTE(SUBSTITUTE(SUBSTITUTE($B1318,"~","~~"),"*","~*"),"?","~?"),'DEF_SELF_SCOUT_IMPORT'!$D$42:$D$1040,SUBSTITUTE(SUBSTITUTE(SUBSTITUTE($P1318,"~","~~"),"*","~*"),"?","~?"))/$C1318)</f>
        <v>0.0</v>
      </c>
      <c r="F1318" s="11">
        <f>IF($C1318=0,"",AVERAGEIFS('DEF_SELF_SCOUT_IMPORT'!$I$42:$I$1040,'DEF_SELF_SCOUT_IMPORT'!$L$42:$L$1040,"Y",'DEF_SELF_SCOUT_IMPORT'!$E$42:$E$1040,SUBSTITUTE(SUBSTITUTE(SUBSTITUTE($B1318,"~","~~"),"*","~*"),"?","~?"),'DEF_SELF_SCOUT_IMPORT'!$D$42:$D$1040,SUBSTITUTE(SUBSTITUTE(SUBSTITUTE($P1318,"~","~~"),"*","~*"),"?","~?")))</f>
        <v>6.0</v>
      </c>
      <c r="G1318" s="10">
        <f>IF($C1318=0,"",COUNTIFS('DEF_SELF_SCOUT_IMPORT'!$L$42:$L$1040,"Y",'DEF_SELF_SCOUT_IMPORT'!$E$42:$E$1040,SUBSTITUTE(SUBSTITUTE(SUBSTITUTE($B1318,"~","~~"),"*","~*"),"?","~?"),'DEF_SELF_SCOUT_IMPORT'!$D$42:$D$1040,SUBSTITUTE(SUBSTITUTE(SUBSTITUTE($P1318,"~","~~"),"*","~*"),"?","~?"),'DEF_SELF_SCOUT_IMPORT'!$H$42:$H$1040,"RUSH")/$C1318)</f>
        <v>0.0</v>
      </c>
      <c r="H1318" s="10">
        <f>IF($C1318=0,"",COUNTIFS('DEF_SELF_SCOUT_IMPORT'!$L$42:$L$1040,"Y",'DEF_SELF_SCOUT_IMPORT'!$E$42:$E$1040,SUBSTITUTE(SUBSTITUTE(SUBSTITUTE($B1318,"~","~~"),"*","~*"),"?","~?"),'DEF_SELF_SCOUT_IMPORT'!$D$42:$D$1040,SUBSTITUTE(SUBSTITUTE(SUBSTITUTE($P1318,"~","~~"),"*","~*"),"?","~?"),'DEF_SELF_SCOUT_IMPORT'!$H$42:$H$1040,"DROPBACK")/$C1318)</f>
        <v>1.0</v>
      </c>
      <c r="I1318" s="14" t="str">
        <f>IF(C1318=0,"",IF(C1318&lt;=2,"TRACK",IF(C1318=3,"LOW",IF(C1318&lt;=6,"MEDIUM","HIGH"))))</f>
        <v>TRACK</v>
      </c>
      <c r="J1318" s="11">
        <f>IF(C1318=0,"",ROUND(D1318*70+(1-E1318)*20+MAX(0,MIN(1,(10-F1318)/10))*10,1))</f>
        <v>94.0</v>
      </c>
      <c r="K1318" s="14" t="str">
        <f>IF(C1318=0,"No Evidence",IF(C1318&lt;=2,IF(E1318&gt;0,"Explosive Alert","Track Only"),IF(C1318=3,"Sample Watch",IF(E1318&gt;=START_HERE!$B$31,"Explosive Alert",IF(J1318&gt;=80,"Strong Candidate",IF(J1318&gt;=65,"Good Candidate",IF(J1318&gt;=50,"Mixed / Review","Problem Call")))))))</f>
        <v>Track Only</v>
      </c>
      <c r="L1318" s="9" t="str">
        <f>IF(COUNTIFS('DEF_SELF_SCOUT_IMPORT'!$L$42:$L$1040,"Y",'DEF_SELF_SCOUT_IMPORT'!$E$42:$E$1040,SUBSTITUTE(SUBSTITUTE(SUBSTITUTE($B1318,"~","~~"),"*","~*"),"?","~?"),'DEF_SELF_SCOUT_IMPORT'!$D$42:$D$1040,SUBSTITUTE(SUBSTITUTE(SUBSTITUTE($P1318,"~","~~"),"*","~*"),"?","~?"),'DEF_SELF_SCOUT_IMPORT'!$J$42:$J$1040,"")&gt;0,"Unscored clean outcome; review result tags before using score.",IF(C1318=0,"No matching defensive reps; film confirmation needed.",IF(K1318="Explosive Alert","Explosive risk; review clips before using as answer.",IF(C1318&lt;=2,"Track only; not enough sample.",IF(C1318=3,IF(E1318&gt;0,"Sample watch with explosive exposure; review clips and build the sample.",IF(J1318&gt;=65,"Good signal, but sample is limited.","Sample watch; review clips and build the sample.")),IF(K1318="Problem Call","Problem area; practice or call-sheet review.",IF(K1318="Strong Candidate","Strong call-fit candidate; confirm on film.",IF(K1318="Good Candidate","Good call-fit signal; confirm on film.","Mixed signal; review fit and execution on film."))))))))</f>
        <v>Track only; not enough sample.</v>
      </c>
      <c r="M1318" s="8"/>
      <c r="N1318" s="8"/>
      <c r="O1318" s="8"/>
      <c r="P1318" s="8" t="s">
        <v>449</v>
      </c>
      <c r="Q1318" s="8"/>
      <c r="R1318" s="8" t="s">
        <v>633</v>
      </c>
      <c r="S1318" s="2" t="s">
        <v>637</v>
      </c>
      <c r="T1318" s="2">
        <f>IF(C1318=0,0,IF(C1318&gt;=CALL_LOOKUP_BOARD!$B$7,IF(OR(K1318="Problem Call",K1318="Explosive Alert"),10000000,20000000),0)+IF(C1318&gt;=CALL_LOOKUP_BOARD!$B$7,J1318*1000+MIN(C1318,999),C1318*1000+J1318)+0.00994500)</f>
        <v>1094.009945</v>
      </c>
      <c r="U1318" s="2">
        <f>IF(C1318=0,"",IF(COUNTIFS($S$1264:$S$1440,SUBSTITUTE(SUBSTITUTE(SUBSTITUTE(S1318,"~","~~"),"*","~*"),"?","~?"),$T$1264:$T$1440,"&gt;"&amp;T1318)=0,S1318,""))</f>
        <v/>
      </c>
    </row>
    <row r="1319" spans="1:21" ht="38" customHeight="1">
      <c r="A1319" s="8" t="s">
        <v>449</v>
      </c>
      <c r="B1319" s="8" t="s">
        <v>69</v>
      </c>
      <c r="C1319" s="12">
        <f>COUNTIFS('DEF_SELF_SCOUT_IMPORT'!$L$42:$L$1040,"Y",'DEF_SELF_SCOUT_IMPORT'!$E$42:$E$1040,SUBSTITUTE(SUBSTITUTE(SUBSTITUTE($B1319,"~","~~"),"*","~*"),"?","~?"),'DEF_SELF_SCOUT_IMPORT'!$D$42:$D$1040,SUBSTITUTE(SUBSTITUTE(SUBSTITUTE($P1319,"~","~~"),"*","~*"),"?","~?"))</f>
        <v>2</v>
      </c>
      <c r="D1319" s="10">
        <f>IF($C1319=0,"",SUMIFS('DEF_SELF_SCOUT_IMPORT'!$J$42:$J$1040,'DEF_SELF_SCOUT_IMPORT'!$L$42:$L$1040,"Y",'DEF_SELF_SCOUT_IMPORT'!$E$42:$E$1040,SUBSTITUTE(SUBSTITUTE(SUBSTITUTE($B1319,"~","~~"),"*","~*"),"?","~?"),'DEF_SELF_SCOUT_IMPORT'!$D$42:$D$1040,SUBSTITUTE(SUBSTITUTE(SUBSTITUTE($P1319,"~","~~"),"*","~*"),"?","~?"))/$C1319)</f>
        <v>1.0</v>
      </c>
      <c r="E1319" s="10">
        <f>IF($C1319=0,"",SUMIFS('DEF_SELF_SCOUT_IMPORT'!$K$42:$K$1040,'DEF_SELF_SCOUT_IMPORT'!$L$42:$L$1040,"Y",'DEF_SELF_SCOUT_IMPORT'!$E$42:$E$1040,SUBSTITUTE(SUBSTITUTE(SUBSTITUTE($B1319,"~","~~"),"*","~*"),"?","~?"),'DEF_SELF_SCOUT_IMPORT'!$D$42:$D$1040,SUBSTITUTE(SUBSTITUTE(SUBSTITUTE($P1319,"~","~~"),"*","~*"),"?","~?"))/$C1319)</f>
        <v>0.0</v>
      </c>
      <c r="F1319" s="11">
        <f>IF($C1319=0,"",AVERAGEIFS('DEF_SELF_SCOUT_IMPORT'!$I$42:$I$1040,'DEF_SELF_SCOUT_IMPORT'!$L$42:$L$1040,"Y",'DEF_SELF_SCOUT_IMPORT'!$E$42:$E$1040,SUBSTITUTE(SUBSTITUTE(SUBSTITUTE($B1319,"~","~~"),"*","~*"),"?","~?"),'DEF_SELF_SCOUT_IMPORT'!$D$42:$D$1040,SUBSTITUTE(SUBSTITUTE(SUBSTITUTE($P1319,"~","~~"),"*","~*"),"?","~?")))</f>
        <v>2.5</v>
      </c>
      <c r="G1319" s="10">
        <f>IF($C1319=0,"",COUNTIFS('DEF_SELF_SCOUT_IMPORT'!$L$42:$L$1040,"Y",'DEF_SELF_SCOUT_IMPORT'!$E$42:$E$1040,SUBSTITUTE(SUBSTITUTE(SUBSTITUTE($B1319,"~","~~"),"*","~*"),"?","~?"),'DEF_SELF_SCOUT_IMPORT'!$D$42:$D$1040,SUBSTITUTE(SUBSTITUTE(SUBSTITUTE($P1319,"~","~~"),"*","~*"),"?","~?"),'DEF_SELF_SCOUT_IMPORT'!$H$42:$H$1040,"RUSH")/$C1319)</f>
        <v>0.0</v>
      </c>
      <c r="H1319" s="10">
        <f>IF($C1319=0,"",COUNTIFS('DEF_SELF_SCOUT_IMPORT'!$L$42:$L$1040,"Y",'DEF_SELF_SCOUT_IMPORT'!$E$42:$E$1040,SUBSTITUTE(SUBSTITUTE(SUBSTITUTE($B1319,"~","~~"),"*","~*"),"?","~?"),'DEF_SELF_SCOUT_IMPORT'!$D$42:$D$1040,SUBSTITUTE(SUBSTITUTE(SUBSTITUTE($P1319,"~","~~"),"*","~*"),"?","~?"),'DEF_SELF_SCOUT_IMPORT'!$H$42:$H$1040,"DROPBACK")/$C1319)</f>
        <v>1.0</v>
      </c>
      <c r="I1319" s="14" t="str">
        <f>IF(C1319=0,"",IF(C1319&lt;=2,"TRACK",IF(C1319=3,"LOW",IF(C1319&lt;=6,"MEDIUM","HIGH"))))</f>
        <v>TRACK</v>
      </c>
      <c r="J1319" s="11">
        <f>IF(C1319=0,"",ROUND(D1319*70+(1-E1319)*20+MAX(0,MIN(1,(10-F1319)/10))*10,1))</f>
        <v>97.5</v>
      </c>
      <c r="K1319" s="14" t="str">
        <f>IF(C1319=0,"No Evidence",IF(C1319&lt;=2,IF(E1319&gt;0,"Explosive Alert","Track Only"),IF(C1319=3,"Sample Watch",IF(E1319&gt;=START_HERE!$B$31,"Explosive Alert",IF(J1319&gt;=80,"Strong Candidate",IF(J1319&gt;=65,"Good Candidate",IF(J1319&gt;=50,"Mixed / Review","Problem Call")))))))</f>
        <v>Track Only</v>
      </c>
      <c r="L1319" s="9" t="str">
        <f>IF(COUNTIFS('DEF_SELF_SCOUT_IMPORT'!$L$42:$L$1040,"Y",'DEF_SELF_SCOUT_IMPORT'!$E$42:$E$1040,SUBSTITUTE(SUBSTITUTE(SUBSTITUTE($B1319,"~","~~"),"*","~*"),"?","~?"),'DEF_SELF_SCOUT_IMPORT'!$D$42:$D$1040,SUBSTITUTE(SUBSTITUTE(SUBSTITUTE($P1319,"~","~~"),"*","~*"),"?","~?"),'DEF_SELF_SCOUT_IMPORT'!$J$42:$J$1040,"")&gt;0,"Unscored clean outcome; review result tags before using score.",IF(C1319=0,"No matching defensive reps; film confirmation needed.",IF(K1319="Explosive Alert","Explosive risk; review clips before using as answer.",IF(C1319&lt;=2,"Track only; not enough sample.",IF(C1319=3,IF(E1319&gt;0,"Sample watch with explosive exposure; review clips and build the sample.",IF(J1319&gt;=65,"Good signal, but sample is limited.","Sample watch; review clips and build the sample.")),IF(K1319="Problem Call","Problem area; practice or call-sheet review.",IF(K1319="Strong Candidate","Strong call-fit candidate; confirm on film.",IF(K1319="Good Candidate","Good call-fit signal; confirm on film.","Mixed signal; review fit and execution on film."))))))))</f>
        <v>Track only; not enough sample.</v>
      </c>
      <c r="M1319" s="8"/>
      <c r="N1319" s="8"/>
      <c r="O1319" s="8"/>
      <c r="P1319" s="8" t="s">
        <v>449</v>
      </c>
      <c r="Q1319" s="8"/>
      <c r="R1319" s="8" t="s">
        <v>633</v>
      </c>
      <c r="S1319" s="2" t="s">
        <v>637</v>
      </c>
      <c r="T1319" s="2">
        <f>IF(C1319=0,0,IF(C1319&gt;=CALL_LOOKUP_BOARD!$B$7,IF(OR(K1319="Problem Call",K1319="Explosive Alert"),10000000,20000000),0)+IF(C1319&gt;=CALL_LOOKUP_BOARD!$B$7,J1319*1000+MIN(C1319,999),C1319*1000+J1319)+0.00994400)</f>
        <v>2097.509944</v>
      </c>
      <c r="U1319" s="2">
        <f>IF(C1319=0,"",IF(COUNTIFS($S$1264:$S$1440,SUBSTITUTE(SUBSTITUTE(SUBSTITUTE(S1319,"~","~~"),"*","~*"),"?","~?"),$T$1264:$T$1440,"&gt;"&amp;T1319)=0,S1319,""))</f>
        <v/>
      </c>
    </row>
    <row r="1320" spans="1:21" ht="38" customHeight="1">
      <c r="A1320" s="8" t="s">
        <v>449</v>
      </c>
      <c r="B1320" s="8" t="s">
        <v>91</v>
      </c>
      <c r="C1320" s="12">
        <f>COUNTIFS('DEF_SELF_SCOUT_IMPORT'!$L$42:$L$1040,"Y",'DEF_SELF_SCOUT_IMPORT'!$E$42:$E$1040,SUBSTITUTE(SUBSTITUTE(SUBSTITUTE($B1320,"~","~~"),"*","~*"),"?","~?"),'DEF_SELF_SCOUT_IMPORT'!$D$42:$D$1040,SUBSTITUTE(SUBSTITUTE(SUBSTITUTE($P1320,"~","~~"),"*","~*"),"?","~?"))</f>
        <v>1</v>
      </c>
      <c r="D1320" s="10">
        <f>IF($C1320=0,"",SUMIFS('DEF_SELF_SCOUT_IMPORT'!$J$42:$J$1040,'DEF_SELF_SCOUT_IMPORT'!$L$42:$L$1040,"Y",'DEF_SELF_SCOUT_IMPORT'!$E$42:$E$1040,SUBSTITUTE(SUBSTITUTE(SUBSTITUTE($B1320,"~","~~"),"*","~*"),"?","~?"),'DEF_SELF_SCOUT_IMPORT'!$D$42:$D$1040,SUBSTITUTE(SUBSTITUTE(SUBSTITUTE($P1320,"~","~~"),"*","~*"),"?","~?"))/$C1320)</f>
        <v>1.0</v>
      </c>
      <c r="E1320" s="10">
        <f>IF($C1320=0,"",SUMIFS('DEF_SELF_SCOUT_IMPORT'!$K$42:$K$1040,'DEF_SELF_SCOUT_IMPORT'!$L$42:$L$1040,"Y",'DEF_SELF_SCOUT_IMPORT'!$E$42:$E$1040,SUBSTITUTE(SUBSTITUTE(SUBSTITUTE($B1320,"~","~~"),"*","~*"),"?","~?"),'DEF_SELF_SCOUT_IMPORT'!$D$42:$D$1040,SUBSTITUTE(SUBSTITUTE(SUBSTITUTE($P1320,"~","~~"),"*","~*"),"?","~?"))/$C1320)</f>
        <v>0.0</v>
      </c>
      <c r="F1320" s="11">
        <f>IF($C1320=0,"",AVERAGEIFS('DEF_SELF_SCOUT_IMPORT'!$I$42:$I$1040,'DEF_SELF_SCOUT_IMPORT'!$L$42:$L$1040,"Y",'DEF_SELF_SCOUT_IMPORT'!$E$42:$E$1040,SUBSTITUTE(SUBSTITUTE(SUBSTITUTE($B1320,"~","~~"),"*","~*"),"?","~?"),'DEF_SELF_SCOUT_IMPORT'!$D$42:$D$1040,SUBSTITUTE(SUBSTITUTE(SUBSTITUTE($P1320,"~","~~"),"*","~*"),"?","~?")))</f>
        <v>0.0</v>
      </c>
      <c r="G1320" s="10">
        <f>IF($C1320=0,"",COUNTIFS('DEF_SELF_SCOUT_IMPORT'!$L$42:$L$1040,"Y",'DEF_SELF_SCOUT_IMPORT'!$E$42:$E$1040,SUBSTITUTE(SUBSTITUTE(SUBSTITUTE($B1320,"~","~~"),"*","~*"),"?","~?"),'DEF_SELF_SCOUT_IMPORT'!$D$42:$D$1040,SUBSTITUTE(SUBSTITUTE(SUBSTITUTE($P1320,"~","~~"),"*","~*"),"?","~?"),'DEF_SELF_SCOUT_IMPORT'!$H$42:$H$1040,"RUSH")/$C1320)</f>
        <v>0.0</v>
      </c>
      <c r="H1320" s="10">
        <f>IF($C1320=0,"",COUNTIFS('DEF_SELF_SCOUT_IMPORT'!$L$42:$L$1040,"Y",'DEF_SELF_SCOUT_IMPORT'!$E$42:$E$1040,SUBSTITUTE(SUBSTITUTE(SUBSTITUTE($B1320,"~","~~"),"*","~*"),"?","~?"),'DEF_SELF_SCOUT_IMPORT'!$D$42:$D$1040,SUBSTITUTE(SUBSTITUTE(SUBSTITUTE($P1320,"~","~~"),"*","~*"),"?","~?"),'DEF_SELF_SCOUT_IMPORT'!$H$42:$H$1040,"DROPBACK")/$C1320)</f>
        <v>1.0</v>
      </c>
      <c r="I1320" s="14" t="str">
        <f>IF(C1320=0,"",IF(C1320&lt;=2,"TRACK",IF(C1320=3,"LOW",IF(C1320&lt;=6,"MEDIUM","HIGH"))))</f>
        <v>TRACK</v>
      </c>
      <c r="J1320" s="11">
        <f>IF(C1320=0,"",ROUND(D1320*70+(1-E1320)*20+MAX(0,MIN(1,(10-F1320)/10))*10,1))</f>
        <v>100.0</v>
      </c>
      <c r="K1320" s="14" t="str">
        <f>IF(C1320=0,"No Evidence",IF(C1320&lt;=2,IF(E1320&gt;0,"Explosive Alert","Track Only"),IF(C1320=3,"Sample Watch",IF(E1320&gt;=START_HERE!$B$31,"Explosive Alert",IF(J1320&gt;=80,"Strong Candidate",IF(J1320&gt;=65,"Good Candidate",IF(J1320&gt;=50,"Mixed / Review","Problem Call")))))))</f>
        <v>Track Only</v>
      </c>
      <c r="L1320" s="9" t="str">
        <f>IF(COUNTIFS('DEF_SELF_SCOUT_IMPORT'!$L$42:$L$1040,"Y",'DEF_SELF_SCOUT_IMPORT'!$E$42:$E$1040,SUBSTITUTE(SUBSTITUTE(SUBSTITUTE($B1320,"~","~~"),"*","~*"),"?","~?"),'DEF_SELF_SCOUT_IMPORT'!$D$42:$D$1040,SUBSTITUTE(SUBSTITUTE(SUBSTITUTE($P1320,"~","~~"),"*","~*"),"?","~?"),'DEF_SELF_SCOUT_IMPORT'!$J$42:$J$1040,"")&gt;0,"Unscored clean outcome; review result tags before using score.",IF(C1320=0,"No matching defensive reps; film confirmation needed.",IF(K1320="Explosive Alert","Explosive risk; review clips before using as answer.",IF(C1320&lt;=2,"Track only; not enough sample.",IF(C1320=3,IF(E1320&gt;0,"Sample watch with explosive exposure; review clips and build the sample.",IF(J1320&gt;=65,"Good signal, but sample is limited.","Sample watch; review clips and build the sample.")),IF(K1320="Problem Call","Problem area; practice or call-sheet review.",IF(K1320="Strong Candidate","Strong call-fit candidate; confirm on film.",IF(K1320="Good Candidate","Good call-fit signal; confirm on film.","Mixed signal; review fit and execution on film."))))))))</f>
        <v>Track only; not enough sample.</v>
      </c>
      <c r="M1320" s="8"/>
      <c r="N1320" s="8"/>
      <c r="O1320" s="8"/>
      <c r="P1320" s="8" t="s">
        <v>449</v>
      </c>
      <c r="Q1320" s="8"/>
      <c r="R1320" s="8" t="s">
        <v>633</v>
      </c>
      <c r="S1320" s="2" t="s">
        <v>637</v>
      </c>
      <c r="T1320" s="2">
        <f>IF(C1320=0,0,IF(C1320&gt;=CALL_LOOKUP_BOARD!$B$7,IF(OR(K1320="Problem Call",K1320="Explosive Alert"),10000000,20000000),0)+IF(C1320&gt;=CALL_LOOKUP_BOARD!$B$7,J1320*1000+MIN(C1320,999),C1320*1000+J1320)+0.00994300)</f>
        <v>1100.009943</v>
      </c>
      <c r="U1320" s="2">
        <f>IF(C1320=0,"",IF(COUNTIFS($S$1264:$S$1440,SUBSTITUTE(SUBSTITUTE(SUBSTITUTE(S1320,"~","~~"),"*","~*"),"?","~?"),$T$1264:$T$1440,"&gt;"&amp;T1320)=0,S1320,""))</f>
        <v/>
      </c>
    </row>
    <row r="1321" spans="1:21" ht="38" customHeight="1">
      <c r="A1321" s="8" t="s">
        <v>487</v>
      </c>
      <c r="B1321" s="8" t="s">
        <v>30</v>
      </c>
      <c r="C1321" s="12">
        <f>COUNTIFS('DEF_SELF_SCOUT_IMPORT'!$L$42:$L$1040,"Y",'DEF_SELF_SCOUT_IMPORT'!$E$42:$E$1040,SUBSTITUTE(SUBSTITUTE(SUBSTITUTE($B1321,"~","~~"),"*","~*"),"?","~?"),'DEF_SELF_SCOUT_IMPORT'!$D$42:$D$1040,SUBSTITUTE(SUBSTITUTE(SUBSTITUTE($P1321,"~","~~"),"*","~*"),"?","~?"))</f>
        <v>1</v>
      </c>
      <c r="D1321" s="10">
        <f>IF($C1321=0,"",SUMIFS('DEF_SELF_SCOUT_IMPORT'!$J$42:$J$1040,'DEF_SELF_SCOUT_IMPORT'!$L$42:$L$1040,"Y",'DEF_SELF_SCOUT_IMPORT'!$E$42:$E$1040,SUBSTITUTE(SUBSTITUTE(SUBSTITUTE($B1321,"~","~~"),"*","~*"),"?","~?"),'DEF_SELF_SCOUT_IMPORT'!$D$42:$D$1040,SUBSTITUTE(SUBSTITUTE(SUBSTITUTE($P1321,"~","~~"),"*","~*"),"?","~?"))/$C1321)</f>
        <v>0.0</v>
      </c>
      <c r="E1321" s="10">
        <f>IF($C1321=0,"",SUMIFS('DEF_SELF_SCOUT_IMPORT'!$K$42:$K$1040,'DEF_SELF_SCOUT_IMPORT'!$L$42:$L$1040,"Y",'DEF_SELF_SCOUT_IMPORT'!$E$42:$E$1040,SUBSTITUTE(SUBSTITUTE(SUBSTITUTE($B1321,"~","~~"),"*","~*"),"?","~?"),'DEF_SELF_SCOUT_IMPORT'!$D$42:$D$1040,SUBSTITUTE(SUBSTITUTE(SUBSTITUTE($P1321,"~","~~"),"*","~*"),"?","~?"))/$C1321)</f>
        <v>0.0</v>
      </c>
      <c r="F1321" s="11">
        <f>IF($C1321=0,"",AVERAGEIFS('DEF_SELF_SCOUT_IMPORT'!$I$42:$I$1040,'DEF_SELF_SCOUT_IMPORT'!$L$42:$L$1040,"Y",'DEF_SELF_SCOUT_IMPORT'!$E$42:$E$1040,SUBSTITUTE(SUBSTITUTE(SUBSTITUTE($B1321,"~","~~"),"*","~*"),"?","~?"),'DEF_SELF_SCOUT_IMPORT'!$D$42:$D$1040,SUBSTITUTE(SUBSTITUTE(SUBSTITUTE($P1321,"~","~~"),"*","~*"),"?","~?")))</f>
        <v>1.0</v>
      </c>
      <c r="G1321" s="10">
        <f>IF($C1321=0,"",COUNTIFS('DEF_SELF_SCOUT_IMPORT'!$L$42:$L$1040,"Y",'DEF_SELF_SCOUT_IMPORT'!$E$42:$E$1040,SUBSTITUTE(SUBSTITUTE(SUBSTITUTE($B1321,"~","~~"),"*","~*"),"?","~?"),'DEF_SELF_SCOUT_IMPORT'!$D$42:$D$1040,SUBSTITUTE(SUBSTITUTE(SUBSTITUTE($P1321,"~","~~"),"*","~*"),"?","~?"),'DEF_SELF_SCOUT_IMPORT'!$H$42:$H$1040,"RUSH")/$C1321)</f>
        <v>0.0</v>
      </c>
      <c r="H1321" s="10">
        <f>IF($C1321=0,"",COUNTIFS('DEF_SELF_SCOUT_IMPORT'!$L$42:$L$1040,"Y",'DEF_SELF_SCOUT_IMPORT'!$E$42:$E$1040,SUBSTITUTE(SUBSTITUTE(SUBSTITUTE($B1321,"~","~~"),"*","~*"),"?","~?"),'DEF_SELF_SCOUT_IMPORT'!$D$42:$D$1040,SUBSTITUTE(SUBSTITUTE(SUBSTITUTE($P1321,"~","~~"),"*","~*"),"?","~?"),'DEF_SELF_SCOUT_IMPORT'!$H$42:$H$1040,"DROPBACK")/$C1321)</f>
        <v>0.0</v>
      </c>
      <c r="I1321" s="14" t="str">
        <f>IF(C1321=0,"",IF(C1321&lt;=2,"TRACK",IF(C1321=3,"LOW",IF(C1321&lt;=6,"MEDIUM","HIGH"))))</f>
        <v>TRACK</v>
      </c>
      <c r="J1321" s="11">
        <f>IF(C1321=0,"",ROUND(D1321*70+(1-E1321)*20+MAX(0,MIN(1,(10-F1321)/10))*10,1))</f>
        <v>29.0</v>
      </c>
      <c r="K1321" s="14" t="str">
        <f>IF(C1321=0,"No Evidence",IF(C1321&lt;=2,IF(E1321&gt;0,"Explosive Alert","Track Only"),IF(C1321=3,"Sample Watch",IF(E1321&gt;=START_HERE!$B$31,"Explosive Alert",IF(J1321&gt;=80,"Strong Candidate",IF(J1321&gt;=65,"Good Candidate",IF(J1321&gt;=50,"Mixed / Review","Problem Call")))))))</f>
        <v>Track Only</v>
      </c>
      <c r="L1321" s="9" t="str">
        <f>IF(COUNTIFS('DEF_SELF_SCOUT_IMPORT'!$L$42:$L$1040,"Y",'DEF_SELF_SCOUT_IMPORT'!$E$42:$E$1040,SUBSTITUTE(SUBSTITUTE(SUBSTITUTE($B1321,"~","~~"),"*","~*"),"?","~?"),'DEF_SELF_SCOUT_IMPORT'!$D$42:$D$1040,SUBSTITUTE(SUBSTITUTE(SUBSTITUTE($P1321,"~","~~"),"*","~*"),"?","~?"),'DEF_SELF_SCOUT_IMPORT'!$J$42:$J$1040,"")&gt;0,"Unscored clean outcome; review result tags before using score.",IF(C1321=0,"No matching defensive reps; film confirmation needed.",IF(K1321="Explosive Alert","Explosive risk; review clips before using as answer.",IF(C1321&lt;=2,"Track only; not enough sample.",IF(C1321=3,IF(E1321&gt;0,"Sample watch with explosive exposure; review clips and build the sample.",IF(J1321&gt;=65,"Good signal, but sample is limited.","Sample watch; review clips and build the sample.")),IF(K1321="Problem Call","Problem area; practice or call-sheet review.",IF(K1321="Strong Candidate","Strong call-fit candidate; confirm on film.",IF(K1321="Good Candidate","Good call-fit signal; confirm on film.","Mixed signal; review fit and execution on film."))))))))</f>
        <v>Track only; not enough sample.</v>
      </c>
      <c r="M1321" s="8"/>
      <c r="N1321" s="8"/>
      <c r="O1321" s="8"/>
      <c r="P1321" s="8" t="s">
        <v>487</v>
      </c>
      <c r="Q1321" s="8"/>
      <c r="R1321" s="8" t="s">
        <v>633</v>
      </c>
      <c r="S1321" s="2" t="s">
        <v>638</v>
      </c>
      <c r="T1321" s="2">
        <f>IF(C1321=0,0,IF(C1321&gt;=CALL_LOOKUP_BOARD!$B$7,IF(OR(K1321="Problem Call",K1321="Explosive Alert"),10000000,20000000),0)+IF(C1321&gt;=CALL_LOOKUP_BOARD!$B$7,J1321*1000+MIN(C1321,999),C1321*1000+J1321)+0.00994200)</f>
        <v>1029.009942</v>
      </c>
      <c r="U1321" s="2" t="str">
        <f>IF(C1321=0,"",IF(COUNTIFS($S$1264:$S$1440,SUBSTITUTE(SUBSTITUTE(SUBSTITUTE(S1321,"~","~~"),"*","~*"),"?","~?"),$T$1264:$T$1440,"&gt;"&amp;T1321)=0,S1321,""))</f>
        <v>5:BELLY|</v>
      </c>
    </row>
    <row r="1322" spans="1:21" ht="38" customHeight="1">
      <c r="A1322" s="8" t="s">
        <v>452</v>
      </c>
      <c r="B1322" s="8" t="s">
        <v>52</v>
      </c>
      <c r="C1322" s="12">
        <f>COUNTIFS('DEF_SELF_SCOUT_IMPORT'!$L$42:$L$1040,"Y",'DEF_SELF_SCOUT_IMPORT'!$E$42:$E$1040,SUBSTITUTE(SUBSTITUTE(SUBSTITUTE($B1322,"~","~~"),"*","~*"),"?","~?"),'DEF_SELF_SCOUT_IMPORT'!$D$42:$D$1040,SUBSTITUTE(SUBSTITUTE(SUBSTITUTE($P1322,"~","~~"),"*","~*"),"?","~?"))</f>
        <v>1</v>
      </c>
      <c r="D1322" s="10">
        <f>IF($C1322=0,"",SUMIFS('DEF_SELF_SCOUT_IMPORT'!$J$42:$J$1040,'DEF_SELF_SCOUT_IMPORT'!$L$42:$L$1040,"Y",'DEF_SELF_SCOUT_IMPORT'!$E$42:$E$1040,SUBSTITUTE(SUBSTITUTE(SUBSTITUTE($B1322,"~","~~"),"*","~*"),"?","~?"),'DEF_SELF_SCOUT_IMPORT'!$D$42:$D$1040,SUBSTITUTE(SUBSTITUTE(SUBSTITUTE($P1322,"~","~~"),"*","~*"),"?","~?"))/$C1322)</f>
        <v>1.0</v>
      </c>
      <c r="E1322" s="10">
        <f>IF($C1322=0,"",SUMIFS('DEF_SELF_SCOUT_IMPORT'!$K$42:$K$1040,'DEF_SELF_SCOUT_IMPORT'!$L$42:$L$1040,"Y",'DEF_SELF_SCOUT_IMPORT'!$E$42:$E$1040,SUBSTITUTE(SUBSTITUTE(SUBSTITUTE($B1322,"~","~~"),"*","~*"),"?","~?"),'DEF_SELF_SCOUT_IMPORT'!$D$42:$D$1040,SUBSTITUTE(SUBSTITUTE(SUBSTITUTE($P1322,"~","~~"),"*","~*"),"?","~?"))/$C1322)</f>
        <v>0.0</v>
      </c>
      <c r="F1322" s="11">
        <f>IF($C1322=0,"",AVERAGEIFS('DEF_SELF_SCOUT_IMPORT'!$I$42:$I$1040,'DEF_SELF_SCOUT_IMPORT'!$L$42:$L$1040,"Y",'DEF_SELF_SCOUT_IMPORT'!$E$42:$E$1040,SUBSTITUTE(SUBSTITUTE(SUBSTITUTE($B1322,"~","~~"),"*","~*"),"?","~?"),'DEF_SELF_SCOUT_IMPORT'!$D$42:$D$1040,SUBSTITUTE(SUBSTITUTE(SUBSTITUTE($P1322,"~","~~"),"*","~*"),"?","~?")))</f>
        <v>0.0</v>
      </c>
      <c r="G1322" s="10">
        <f>IF($C1322=0,"",COUNTIFS('DEF_SELF_SCOUT_IMPORT'!$L$42:$L$1040,"Y",'DEF_SELF_SCOUT_IMPORT'!$E$42:$E$1040,SUBSTITUTE(SUBSTITUTE(SUBSTITUTE($B1322,"~","~~"),"*","~*"),"?","~?"),'DEF_SELF_SCOUT_IMPORT'!$D$42:$D$1040,SUBSTITUTE(SUBSTITUTE(SUBSTITUTE($P1322,"~","~~"),"*","~*"),"?","~?"),'DEF_SELF_SCOUT_IMPORT'!$H$42:$H$1040,"RUSH")/$C1322)</f>
        <v>0.0</v>
      </c>
      <c r="H1322" s="10">
        <f>IF($C1322=0,"",COUNTIFS('DEF_SELF_SCOUT_IMPORT'!$L$42:$L$1040,"Y",'DEF_SELF_SCOUT_IMPORT'!$E$42:$E$1040,SUBSTITUTE(SUBSTITUTE(SUBSTITUTE($B1322,"~","~~"),"*","~*"),"?","~?"),'DEF_SELF_SCOUT_IMPORT'!$D$42:$D$1040,SUBSTITUTE(SUBSTITUTE(SUBSTITUTE($P1322,"~","~~"),"*","~*"),"?","~?"),'DEF_SELF_SCOUT_IMPORT'!$H$42:$H$1040,"DROPBACK")/$C1322)</f>
        <v>1.0</v>
      </c>
      <c r="I1322" s="14" t="str">
        <f>IF(C1322=0,"",IF(C1322&lt;=2,"TRACK",IF(C1322=3,"LOW",IF(C1322&lt;=6,"MEDIUM","HIGH"))))</f>
        <v>TRACK</v>
      </c>
      <c r="J1322" s="11">
        <f>IF(C1322=0,"",ROUND(D1322*70+(1-E1322)*20+MAX(0,MIN(1,(10-F1322)/10))*10,1))</f>
        <v>100.0</v>
      </c>
      <c r="K1322" s="14" t="str">
        <f>IF(C1322=0,"No Evidence",IF(C1322&lt;=2,IF(E1322&gt;0,"Explosive Alert","Track Only"),IF(C1322=3,"Sample Watch",IF(E1322&gt;=START_HERE!$B$31,"Explosive Alert",IF(J1322&gt;=80,"Strong Candidate",IF(J1322&gt;=65,"Good Candidate",IF(J1322&gt;=50,"Mixed / Review","Problem Call")))))))</f>
        <v>Track Only</v>
      </c>
      <c r="L1322" s="9" t="str">
        <f>IF(COUNTIFS('DEF_SELF_SCOUT_IMPORT'!$L$42:$L$1040,"Y",'DEF_SELF_SCOUT_IMPORT'!$E$42:$E$1040,SUBSTITUTE(SUBSTITUTE(SUBSTITUTE($B1322,"~","~~"),"*","~*"),"?","~?"),'DEF_SELF_SCOUT_IMPORT'!$D$42:$D$1040,SUBSTITUTE(SUBSTITUTE(SUBSTITUTE($P1322,"~","~~"),"*","~*"),"?","~?"),'DEF_SELF_SCOUT_IMPORT'!$J$42:$J$1040,"")&gt;0,"Unscored clean outcome; review result tags before using score.",IF(C1322=0,"No matching defensive reps; film confirmation needed.",IF(K1322="Explosive Alert","Explosive risk; review clips before using as answer.",IF(C1322&lt;=2,"Track only; not enough sample.",IF(C1322=3,IF(E1322&gt;0,"Sample watch with explosive exposure; review clips and build the sample.",IF(J1322&gt;=65,"Good signal, but sample is limited.","Sample watch; review clips and build the sample.")),IF(K1322="Problem Call","Problem area; practice or call-sheet review.",IF(K1322="Strong Candidate","Strong call-fit candidate; confirm on film.",IF(K1322="Good Candidate","Good call-fit signal; confirm on film.","Mixed signal; review fit and execution on film."))))))))</f>
        <v>Track only; not enough sample.</v>
      </c>
      <c r="M1322" s="8"/>
      <c r="N1322" s="8"/>
      <c r="O1322" s="8"/>
      <c r="P1322" s="8" t="s">
        <v>452</v>
      </c>
      <c r="Q1322" s="8"/>
      <c r="R1322" s="8" t="s">
        <v>633</v>
      </c>
      <c r="S1322" s="2" t="s">
        <v>639</v>
      </c>
      <c r="T1322" s="2">
        <f>IF(C1322=0,0,IF(C1322&gt;=CALL_LOOKUP_BOARD!$B$7,IF(OR(K1322="Problem Call",K1322="Explosive Alert"),10000000,20000000),0)+IF(C1322&gt;=CALL_LOOKUP_BOARD!$B$7,J1322*1000+MIN(C1322,999),C1322*1000+J1322)+0.00994100)</f>
        <v>1100.009941</v>
      </c>
      <c r="U1322" s="2" t="str">
        <f>IF(C1322=0,"",IF(COUNTIFS($S$1264:$S$1440,SUBSTITUTE(SUBSTITUTE(SUBSTITUTE(S1322,"~","~~"),"*","~*"),"?","~?"),$T$1264:$T$1440,"&gt;"&amp;T1322)=0,S1322,""))</f>
        <v>4:BOOT|</v>
      </c>
    </row>
    <row r="1323" spans="1:21" ht="38" customHeight="1">
      <c r="A1323" s="8" t="s">
        <v>452</v>
      </c>
      <c r="B1323" s="8" t="s">
        <v>68</v>
      </c>
      <c r="C1323" s="12">
        <f>COUNTIFS('DEF_SELF_SCOUT_IMPORT'!$L$42:$L$1040,"Y",'DEF_SELF_SCOUT_IMPORT'!$E$42:$E$1040,SUBSTITUTE(SUBSTITUTE(SUBSTITUTE($B1323,"~","~~"),"*","~*"),"?","~?"),'DEF_SELF_SCOUT_IMPORT'!$D$42:$D$1040,SUBSTITUTE(SUBSTITUTE(SUBSTITUTE($P1323,"~","~~"),"*","~*"),"?","~?"))</f>
        <v>1</v>
      </c>
      <c r="D1323" s="10">
        <f>IF($C1323=0,"",SUMIFS('DEF_SELF_SCOUT_IMPORT'!$J$42:$J$1040,'DEF_SELF_SCOUT_IMPORT'!$L$42:$L$1040,"Y",'DEF_SELF_SCOUT_IMPORT'!$E$42:$E$1040,SUBSTITUTE(SUBSTITUTE(SUBSTITUTE($B1323,"~","~~"),"*","~*"),"?","~?"),'DEF_SELF_SCOUT_IMPORT'!$D$42:$D$1040,SUBSTITUTE(SUBSTITUTE(SUBSTITUTE($P1323,"~","~~"),"*","~*"),"?","~?"))/$C1323)</f>
        <v>1.0</v>
      </c>
      <c r="E1323" s="10">
        <f>IF($C1323=0,"",SUMIFS('DEF_SELF_SCOUT_IMPORT'!$K$42:$K$1040,'DEF_SELF_SCOUT_IMPORT'!$L$42:$L$1040,"Y",'DEF_SELF_SCOUT_IMPORT'!$E$42:$E$1040,SUBSTITUTE(SUBSTITUTE(SUBSTITUTE($B1323,"~","~~"),"*","~*"),"?","~?"),'DEF_SELF_SCOUT_IMPORT'!$D$42:$D$1040,SUBSTITUTE(SUBSTITUTE(SUBSTITUTE($P1323,"~","~~"),"*","~*"),"?","~?"))/$C1323)</f>
        <v>0.0</v>
      </c>
      <c r="F1323" s="11">
        <f>IF($C1323=0,"",AVERAGEIFS('DEF_SELF_SCOUT_IMPORT'!$I$42:$I$1040,'DEF_SELF_SCOUT_IMPORT'!$L$42:$L$1040,"Y",'DEF_SELF_SCOUT_IMPORT'!$E$42:$E$1040,SUBSTITUTE(SUBSTITUTE(SUBSTITUTE($B1323,"~","~~"),"*","~*"),"?","~?"),'DEF_SELF_SCOUT_IMPORT'!$D$42:$D$1040,SUBSTITUTE(SUBSTITUTE(SUBSTITUTE($P1323,"~","~~"),"*","~*"),"?","~?")))</f>
        <v>-10.0</v>
      </c>
      <c r="G1323" s="10">
        <f>IF($C1323=0,"",COUNTIFS('DEF_SELF_SCOUT_IMPORT'!$L$42:$L$1040,"Y",'DEF_SELF_SCOUT_IMPORT'!$E$42:$E$1040,SUBSTITUTE(SUBSTITUTE(SUBSTITUTE($B1323,"~","~~"),"*","~*"),"?","~?"),'DEF_SELF_SCOUT_IMPORT'!$D$42:$D$1040,SUBSTITUTE(SUBSTITUTE(SUBSTITUTE($P1323,"~","~~"),"*","~*"),"?","~?"),'DEF_SELF_SCOUT_IMPORT'!$H$42:$H$1040,"RUSH")/$C1323)</f>
        <v>0.0</v>
      </c>
      <c r="H1323" s="10">
        <f>IF($C1323=0,"",COUNTIFS('DEF_SELF_SCOUT_IMPORT'!$L$42:$L$1040,"Y",'DEF_SELF_SCOUT_IMPORT'!$E$42:$E$1040,SUBSTITUTE(SUBSTITUTE(SUBSTITUTE($B1323,"~","~~"),"*","~*"),"?","~?"),'DEF_SELF_SCOUT_IMPORT'!$D$42:$D$1040,SUBSTITUTE(SUBSTITUTE(SUBSTITUTE($P1323,"~","~~"),"*","~*"),"?","~?"),'DEF_SELF_SCOUT_IMPORT'!$H$42:$H$1040,"DROPBACK")/$C1323)</f>
        <v>1.0</v>
      </c>
      <c r="I1323" s="14" t="str">
        <f>IF(C1323=0,"",IF(C1323&lt;=2,"TRACK",IF(C1323=3,"LOW",IF(C1323&lt;=6,"MEDIUM","HIGH"))))</f>
        <v>TRACK</v>
      </c>
      <c r="J1323" s="11">
        <f>IF(C1323=0,"",ROUND(D1323*70+(1-E1323)*20+MAX(0,MIN(1,(10-F1323)/10))*10,1))</f>
        <v>100.0</v>
      </c>
      <c r="K1323" s="14" t="str">
        <f>IF(C1323=0,"No Evidence",IF(C1323&lt;=2,IF(E1323&gt;0,"Explosive Alert","Track Only"),IF(C1323=3,"Sample Watch",IF(E1323&gt;=START_HERE!$B$31,"Explosive Alert",IF(J1323&gt;=80,"Strong Candidate",IF(J1323&gt;=65,"Good Candidate",IF(J1323&gt;=50,"Mixed / Review","Problem Call")))))))</f>
        <v>Track Only</v>
      </c>
      <c r="L1323" s="9" t="str">
        <f>IF(COUNTIFS('DEF_SELF_SCOUT_IMPORT'!$L$42:$L$1040,"Y",'DEF_SELF_SCOUT_IMPORT'!$E$42:$E$1040,SUBSTITUTE(SUBSTITUTE(SUBSTITUTE($B1323,"~","~~"),"*","~*"),"?","~?"),'DEF_SELF_SCOUT_IMPORT'!$D$42:$D$1040,SUBSTITUTE(SUBSTITUTE(SUBSTITUTE($P1323,"~","~~"),"*","~*"),"?","~?"),'DEF_SELF_SCOUT_IMPORT'!$J$42:$J$1040,"")&gt;0,"Unscored clean outcome; review result tags before using score.",IF(C1323=0,"No matching defensive reps; film confirmation needed.",IF(K1323="Explosive Alert","Explosive risk; review clips before using as answer.",IF(C1323&lt;=2,"Track only; not enough sample.",IF(C1323=3,IF(E1323&gt;0,"Sample watch with explosive exposure; review clips and build the sample.",IF(J1323&gt;=65,"Good signal, but sample is limited.","Sample watch; review clips and build the sample.")),IF(K1323="Problem Call","Problem area; practice or call-sheet review.",IF(K1323="Strong Candidate","Strong call-fit candidate; confirm on film.",IF(K1323="Good Candidate","Good call-fit signal; confirm on film.","Mixed signal; review fit and execution on film."))))))))</f>
        <v>Track only; not enough sample.</v>
      </c>
      <c r="M1323" s="8"/>
      <c r="N1323" s="8"/>
      <c r="O1323" s="8"/>
      <c r="P1323" s="8" t="s">
        <v>452</v>
      </c>
      <c r="Q1323" s="8"/>
      <c r="R1323" s="8" t="s">
        <v>633</v>
      </c>
      <c r="S1323" s="2" t="s">
        <v>639</v>
      </c>
      <c r="T1323" s="2">
        <f>IF(C1323=0,0,IF(C1323&gt;=CALL_LOOKUP_BOARD!$B$7,IF(OR(K1323="Problem Call",K1323="Explosive Alert"),10000000,20000000),0)+IF(C1323&gt;=CALL_LOOKUP_BOARD!$B$7,J1323*1000+MIN(C1323,999),C1323*1000+J1323)+0.00994000)</f>
        <v>1100.00994</v>
      </c>
      <c r="U1323" s="2">
        <f>IF(C1323=0,"",IF(COUNTIFS($S$1264:$S$1440,SUBSTITUTE(SUBSTITUTE(SUBSTITUTE(S1323,"~","~~"),"*","~*"),"?","~?"),$T$1264:$T$1440,"&gt;"&amp;T1323)=0,S1323,""))</f>
        <v/>
      </c>
    </row>
    <row r="1324" spans="1:21" ht="38" customHeight="1">
      <c r="A1324" s="8" t="s">
        <v>432</v>
      </c>
      <c r="B1324" s="8" t="s">
        <v>77</v>
      </c>
      <c r="C1324" s="12">
        <f>COUNTIFS('DEF_SELF_SCOUT_IMPORT'!$L$42:$L$1040,"Y",'DEF_SELF_SCOUT_IMPORT'!$E$42:$E$1040,SUBSTITUTE(SUBSTITUTE(SUBSTITUTE($B1324,"~","~~"),"*","~*"),"?","~?"),'DEF_SELF_SCOUT_IMPORT'!$D$42:$D$1040,SUBSTITUTE(SUBSTITUTE(SUBSTITUTE($P1324,"~","~~"),"*","~*"),"?","~?"))</f>
        <v>1</v>
      </c>
      <c r="D1324" s="10">
        <f>IF($C1324=0,"",SUMIFS('DEF_SELF_SCOUT_IMPORT'!$J$42:$J$1040,'DEF_SELF_SCOUT_IMPORT'!$L$42:$L$1040,"Y",'DEF_SELF_SCOUT_IMPORT'!$E$42:$E$1040,SUBSTITUTE(SUBSTITUTE(SUBSTITUTE($B1324,"~","~~"),"*","~*"),"?","~?"),'DEF_SELF_SCOUT_IMPORT'!$D$42:$D$1040,SUBSTITUTE(SUBSTITUTE(SUBSTITUTE($P1324,"~","~~"),"*","~*"),"?","~?"))/$C1324)</f>
        <v>1.0</v>
      </c>
      <c r="E1324" s="10">
        <f>IF($C1324=0,"",SUMIFS('DEF_SELF_SCOUT_IMPORT'!$K$42:$K$1040,'DEF_SELF_SCOUT_IMPORT'!$L$42:$L$1040,"Y",'DEF_SELF_SCOUT_IMPORT'!$E$42:$E$1040,SUBSTITUTE(SUBSTITUTE(SUBSTITUTE($B1324,"~","~~"),"*","~*"),"?","~?"),'DEF_SELF_SCOUT_IMPORT'!$D$42:$D$1040,SUBSTITUTE(SUBSTITUTE(SUBSTITUTE($P1324,"~","~~"),"*","~*"),"?","~?"))/$C1324)</f>
        <v>0.0</v>
      </c>
      <c r="F1324" s="11">
        <f>IF($C1324=0,"",AVERAGEIFS('DEF_SELF_SCOUT_IMPORT'!$I$42:$I$1040,'DEF_SELF_SCOUT_IMPORT'!$L$42:$L$1040,"Y",'DEF_SELF_SCOUT_IMPORT'!$E$42:$E$1040,SUBSTITUTE(SUBSTITUTE(SUBSTITUTE($B1324,"~","~~"),"*","~*"),"?","~?"),'DEF_SELF_SCOUT_IMPORT'!$D$42:$D$1040,SUBSTITUTE(SUBSTITUTE(SUBSTITUTE($P1324,"~","~~"),"*","~*"),"?","~?")))</f>
        <v>-1.0</v>
      </c>
      <c r="G1324" s="10">
        <f>IF($C1324=0,"",COUNTIFS('DEF_SELF_SCOUT_IMPORT'!$L$42:$L$1040,"Y",'DEF_SELF_SCOUT_IMPORT'!$E$42:$E$1040,SUBSTITUTE(SUBSTITUTE(SUBSTITUTE($B1324,"~","~~"),"*","~*"),"?","~?"),'DEF_SELF_SCOUT_IMPORT'!$D$42:$D$1040,SUBSTITUTE(SUBSTITUTE(SUBSTITUTE($P1324,"~","~~"),"*","~*"),"?","~?"),'DEF_SELF_SCOUT_IMPORT'!$H$42:$H$1040,"RUSH")/$C1324)</f>
        <v>1.0</v>
      </c>
      <c r="H1324" s="10">
        <f>IF($C1324=0,"",COUNTIFS('DEF_SELF_SCOUT_IMPORT'!$L$42:$L$1040,"Y",'DEF_SELF_SCOUT_IMPORT'!$E$42:$E$1040,SUBSTITUTE(SUBSTITUTE(SUBSTITUTE($B1324,"~","~~"),"*","~*"),"?","~?"),'DEF_SELF_SCOUT_IMPORT'!$D$42:$D$1040,SUBSTITUTE(SUBSTITUTE(SUBSTITUTE($P1324,"~","~~"),"*","~*"),"?","~?"),'DEF_SELF_SCOUT_IMPORT'!$H$42:$H$1040,"DROPBACK")/$C1324)</f>
        <v>0.0</v>
      </c>
      <c r="I1324" s="14" t="str">
        <f>IF(C1324=0,"",IF(C1324&lt;=2,"TRACK",IF(C1324=3,"LOW",IF(C1324&lt;=6,"MEDIUM","HIGH"))))</f>
        <v>TRACK</v>
      </c>
      <c r="J1324" s="11">
        <f>IF(C1324=0,"",ROUND(D1324*70+(1-E1324)*20+MAX(0,MIN(1,(10-F1324)/10))*10,1))</f>
        <v>100.0</v>
      </c>
      <c r="K1324" s="14" t="str">
        <f>IF(C1324=0,"No Evidence",IF(C1324&lt;=2,IF(E1324&gt;0,"Explosive Alert","Track Only"),IF(C1324=3,"Sample Watch",IF(E1324&gt;=START_HERE!$B$31,"Explosive Alert",IF(J1324&gt;=80,"Strong Candidate",IF(J1324&gt;=65,"Good Candidate",IF(J1324&gt;=50,"Mixed / Review","Problem Call")))))))</f>
        <v>Track Only</v>
      </c>
      <c r="L1324" s="9" t="str">
        <f>IF(COUNTIFS('DEF_SELF_SCOUT_IMPORT'!$L$42:$L$1040,"Y",'DEF_SELF_SCOUT_IMPORT'!$E$42:$E$1040,SUBSTITUTE(SUBSTITUTE(SUBSTITUTE($B1324,"~","~~"),"*","~*"),"?","~?"),'DEF_SELF_SCOUT_IMPORT'!$D$42:$D$1040,SUBSTITUTE(SUBSTITUTE(SUBSTITUTE($P1324,"~","~~"),"*","~*"),"?","~?"),'DEF_SELF_SCOUT_IMPORT'!$J$42:$J$1040,"")&gt;0,"Unscored clean outcome; review result tags before using score.",IF(C1324=0,"No matching defensive reps; film confirmation needed.",IF(K1324="Explosive Alert","Explosive risk; review clips before using as answer.",IF(C1324&lt;=2,"Track only; not enough sample.",IF(C1324=3,IF(E1324&gt;0,"Sample watch with explosive exposure; review clips and build the sample.",IF(J1324&gt;=65,"Good signal, but sample is limited.","Sample watch; review clips and build the sample.")),IF(K1324="Problem Call","Problem area; practice or call-sheet review.",IF(K1324="Strong Candidate","Strong call-fit candidate; confirm on film.",IF(K1324="Good Candidate","Good call-fit signal; confirm on film.","Mixed signal; review fit and execution on film."))))))))</f>
        <v>Track only; not enough sample.</v>
      </c>
      <c r="M1324" s="8"/>
      <c r="N1324" s="8"/>
      <c r="O1324" s="8"/>
      <c r="P1324" s="8" t="s">
        <v>432</v>
      </c>
      <c r="Q1324" s="8"/>
      <c r="R1324" s="8" t="s">
        <v>633</v>
      </c>
      <c r="S1324" s="2" t="s">
        <v>640</v>
      </c>
      <c r="T1324" s="2">
        <f>IF(C1324=0,0,IF(C1324&gt;=CALL_LOOKUP_BOARD!$B$7,IF(OR(K1324="Problem Call",K1324="Explosive Alert"),10000000,20000000),0)+IF(C1324&gt;=CALL_LOOKUP_BOARD!$B$7,J1324*1000+MIN(C1324,999),C1324*1000+J1324)+0.00993900)</f>
        <v>1100.009939</v>
      </c>
      <c r="U1324" s="2">
        <f>IF(C1324=0,"",IF(COUNTIFS($S$1264:$S$1440,SUBSTITUTE(SUBSTITUTE(SUBSTITUTE(S1324,"~","~~"),"*","~*"),"?","~?"),$T$1264:$T$1440,"&gt;"&amp;T1324)=0,S1324,""))</f>
        <v/>
      </c>
    </row>
    <row r="1325" spans="1:21" ht="38" customHeight="1">
      <c r="A1325" s="8" t="s">
        <v>432</v>
      </c>
      <c r="B1325" s="8" t="s">
        <v>32</v>
      </c>
      <c r="C1325" s="12">
        <f>COUNTIFS('DEF_SELF_SCOUT_IMPORT'!$L$42:$L$1040,"Y",'DEF_SELF_SCOUT_IMPORT'!$E$42:$E$1040,SUBSTITUTE(SUBSTITUTE(SUBSTITUTE($B1325,"~","~~"),"*","~*"),"?","~?"),'DEF_SELF_SCOUT_IMPORT'!$D$42:$D$1040,SUBSTITUTE(SUBSTITUTE(SUBSTITUTE($P1325,"~","~~"),"*","~*"),"?","~?"))</f>
        <v>2</v>
      </c>
      <c r="D1325" s="10">
        <f>IF($C1325=0,"",SUMIFS('DEF_SELF_SCOUT_IMPORT'!$J$42:$J$1040,'DEF_SELF_SCOUT_IMPORT'!$L$42:$L$1040,"Y",'DEF_SELF_SCOUT_IMPORT'!$E$42:$E$1040,SUBSTITUTE(SUBSTITUTE(SUBSTITUTE($B1325,"~","~~"),"*","~*"),"?","~?"),'DEF_SELF_SCOUT_IMPORT'!$D$42:$D$1040,SUBSTITUTE(SUBSTITUTE(SUBSTITUTE($P1325,"~","~~"),"*","~*"),"?","~?"))/$C1325)</f>
        <v>0.5</v>
      </c>
      <c r="E1325" s="10">
        <f>IF($C1325=0,"",SUMIFS('DEF_SELF_SCOUT_IMPORT'!$K$42:$K$1040,'DEF_SELF_SCOUT_IMPORT'!$L$42:$L$1040,"Y",'DEF_SELF_SCOUT_IMPORT'!$E$42:$E$1040,SUBSTITUTE(SUBSTITUTE(SUBSTITUTE($B1325,"~","~~"),"*","~*"),"?","~?"),'DEF_SELF_SCOUT_IMPORT'!$D$42:$D$1040,SUBSTITUTE(SUBSTITUTE(SUBSTITUTE($P1325,"~","~~"),"*","~*"),"?","~?"))/$C1325)</f>
        <v>0.0</v>
      </c>
      <c r="F1325" s="11">
        <f>IF($C1325=0,"",AVERAGEIFS('DEF_SELF_SCOUT_IMPORT'!$I$42:$I$1040,'DEF_SELF_SCOUT_IMPORT'!$L$42:$L$1040,"Y",'DEF_SELF_SCOUT_IMPORT'!$E$42:$E$1040,SUBSTITUTE(SUBSTITUTE(SUBSTITUTE($B1325,"~","~~"),"*","~*"),"?","~?"),'DEF_SELF_SCOUT_IMPORT'!$D$42:$D$1040,SUBSTITUTE(SUBSTITUTE(SUBSTITUTE($P1325,"~","~~"),"*","~*"),"?","~?")))</f>
        <v>5.0</v>
      </c>
      <c r="G1325" s="10">
        <f>IF($C1325=0,"",COUNTIFS('DEF_SELF_SCOUT_IMPORT'!$L$42:$L$1040,"Y",'DEF_SELF_SCOUT_IMPORT'!$E$42:$E$1040,SUBSTITUTE(SUBSTITUTE(SUBSTITUTE($B1325,"~","~~"),"*","~*"),"?","~?"),'DEF_SELF_SCOUT_IMPORT'!$D$42:$D$1040,SUBSTITUTE(SUBSTITUTE(SUBSTITUTE($P1325,"~","~~"),"*","~*"),"?","~?"),'DEF_SELF_SCOUT_IMPORT'!$H$42:$H$1040,"RUSH")/$C1325)</f>
        <v>1.0</v>
      </c>
      <c r="H1325" s="10">
        <f>IF($C1325=0,"",COUNTIFS('DEF_SELF_SCOUT_IMPORT'!$L$42:$L$1040,"Y",'DEF_SELF_SCOUT_IMPORT'!$E$42:$E$1040,SUBSTITUTE(SUBSTITUTE(SUBSTITUTE($B1325,"~","~~"),"*","~*"),"?","~?"),'DEF_SELF_SCOUT_IMPORT'!$D$42:$D$1040,SUBSTITUTE(SUBSTITUTE(SUBSTITUTE($P1325,"~","~~"),"*","~*"),"?","~?"),'DEF_SELF_SCOUT_IMPORT'!$H$42:$H$1040,"DROPBACK")/$C1325)</f>
        <v>0.0</v>
      </c>
      <c r="I1325" s="14" t="str">
        <f>IF(C1325=0,"",IF(C1325&lt;=2,"TRACK",IF(C1325=3,"LOW",IF(C1325&lt;=6,"MEDIUM","HIGH"))))</f>
        <v>TRACK</v>
      </c>
      <c r="J1325" s="11">
        <f>IF(C1325=0,"",ROUND(D1325*70+(1-E1325)*20+MAX(0,MIN(1,(10-F1325)/10))*10,1))</f>
        <v>60.0</v>
      </c>
      <c r="K1325" s="14" t="str">
        <f>IF(C1325=0,"No Evidence",IF(C1325&lt;=2,IF(E1325&gt;0,"Explosive Alert","Track Only"),IF(C1325=3,"Sample Watch",IF(E1325&gt;=START_HERE!$B$31,"Explosive Alert",IF(J1325&gt;=80,"Strong Candidate",IF(J1325&gt;=65,"Good Candidate",IF(J1325&gt;=50,"Mixed / Review","Problem Call")))))))</f>
        <v>Track Only</v>
      </c>
      <c r="L1325" s="9" t="str">
        <f>IF(COUNTIFS('DEF_SELF_SCOUT_IMPORT'!$L$42:$L$1040,"Y",'DEF_SELF_SCOUT_IMPORT'!$E$42:$E$1040,SUBSTITUTE(SUBSTITUTE(SUBSTITUTE($B1325,"~","~~"),"*","~*"),"?","~?"),'DEF_SELF_SCOUT_IMPORT'!$D$42:$D$1040,SUBSTITUTE(SUBSTITUTE(SUBSTITUTE($P1325,"~","~~"),"*","~*"),"?","~?"),'DEF_SELF_SCOUT_IMPORT'!$J$42:$J$1040,"")&gt;0,"Unscored clean outcome; review result tags before using score.",IF(C1325=0,"No matching defensive reps; film confirmation needed.",IF(K1325="Explosive Alert","Explosive risk; review clips before using as answer.",IF(C1325&lt;=2,"Track only; not enough sample.",IF(C1325=3,IF(E1325&gt;0,"Sample watch with explosive exposure; review clips and build the sample.",IF(J1325&gt;=65,"Good signal, but sample is limited.","Sample watch; review clips and build the sample.")),IF(K1325="Problem Call","Problem area; practice or call-sheet review.",IF(K1325="Strong Candidate","Strong call-fit candidate; confirm on film.",IF(K1325="Good Candidate","Good call-fit signal; confirm on film.","Mixed signal; review fit and execution on film."))))))))</f>
        <v>Track only; not enough sample.</v>
      </c>
      <c r="M1325" s="8"/>
      <c r="N1325" s="8"/>
      <c r="O1325" s="8"/>
      <c r="P1325" s="8" t="s">
        <v>432</v>
      </c>
      <c r="Q1325" s="8"/>
      <c r="R1325" s="8" t="s">
        <v>633</v>
      </c>
      <c r="S1325" s="2" t="s">
        <v>640</v>
      </c>
      <c r="T1325" s="2">
        <f>IF(C1325=0,0,IF(C1325&gt;=CALL_LOOKUP_BOARD!$B$7,IF(OR(K1325="Problem Call",K1325="Explosive Alert"),10000000,20000000),0)+IF(C1325&gt;=CALL_LOOKUP_BOARD!$B$7,J1325*1000+MIN(C1325,999),C1325*1000+J1325)+0.00993800)</f>
        <v>2060.009938</v>
      </c>
      <c r="U1325" s="2" t="str">
        <f>IF(C1325=0,"",IF(COUNTIFS($S$1264:$S$1440,SUBSTITUTE(SUBSTITUTE(SUBSTITUTE(S1325,"~","~~"),"*","~*"),"?","~?"),$T$1264:$T$1440,"&gt;"&amp;T1325)=0,S1325,""))</f>
        <v>7:COUNTER|</v>
      </c>
    </row>
    <row r="1326" spans="1:21" ht="38" customHeight="1">
      <c r="A1326" s="8" t="s">
        <v>432</v>
      </c>
      <c r="B1326" s="8" t="s">
        <v>44</v>
      </c>
      <c r="C1326" s="12">
        <f>COUNTIFS('DEF_SELF_SCOUT_IMPORT'!$L$42:$L$1040,"Y",'DEF_SELF_SCOUT_IMPORT'!$E$42:$E$1040,SUBSTITUTE(SUBSTITUTE(SUBSTITUTE($B1326,"~","~~"),"*","~*"),"?","~?"),'DEF_SELF_SCOUT_IMPORT'!$D$42:$D$1040,SUBSTITUTE(SUBSTITUTE(SUBSTITUTE($P1326,"~","~~"),"*","~*"),"?","~?"))</f>
        <v>2</v>
      </c>
      <c r="D1326" s="10">
        <f>IF($C1326=0,"",SUMIFS('DEF_SELF_SCOUT_IMPORT'!$J$42:$J$1040,'DEF_SELF_SCOUT_IMPORT'!$L$42:$L$1040,"Y",'DEF_SELF_SCOUT_IMPORT'!$E$42:$E$1040,SUBSTITUTE(SUBSTITUTE(SUBSTITUTE($B1326,"~","~~"),"*","~*"),"?","~?"),'DEF_SELF_SCOUT_IMPORT'!$D$42:$D$1040,SUBSTITUTE(SUBSTITUTE(SUBSTITUTE($P1326,"~","~~"),"*","~*"),"?","~?"))/$C1326)</f>
        <v>0.0</v>
      </c>
      <c r="E1326" s="10">
        <f>IF($C1326=0,"",SUMIFS('DEF_SELF_SCOUT_IMPORT'!$K$42:$K$1040,'DEF_SELF_SCOUT_IMPORT'!$L$42:$L$1040,"Y",'DEF_SELF_SCOUT_IMPORT'!$E$42:$E$1040,SUBSTITUTE(SUBSTITUTE(SUBSTITUTE($B1326,"~","~~"),"*","~*"),"?","~?"),'DEF_SELF_SCOUT_IMPORT'!$D$42:$D$1040,SUBSTITUTE(SUBSTITUTE(SUBSTITUTE($P1326,"~","~~"),"*","~*"),"?","~?"))/$C1326)</f>
        <v>0.0</v>
      </c>
      <c r="F1326" s="11">
        <f>IF($C1326=0,"",AVERAGEIFS('DEF_SELF_SCOUT_IMPORT'!$I$42:$I$1040,'DEF_SELF_SCOUT_IMPORT'!$L$42:$L$1040,"Y",'DEF_SELF_SCOUT_IMPORT'!$E$42:$E$1040,SUBSTITUTE(SUBSTITUTE(SUBSTITUTE($B1326,"~","~~"),"*","~*"),"?","~?"),'DEF_SELF_SCOUT_IMPORT'!$D$42:$D$1040,SUBSTITUTE(SUBSTITUTE(SUBSTITUTE($P1326,"~","~~"),"*","~*"),"?","~?")))</f>
        <v>5.5</v>
      </c>
      <c r="G1326" s="10">
        <f>IF($C1326=0,"",COUNTIFS('DEF_SELF_SCOUT_IMPORT'!$L$42:$L$1040,"Y",'DEF_SELF_SCOUT_IMPORT'!$E$42:$E$1040,SUBSTITUTE(SUBSTITUTE(SUBSTITUTE($B1326,"~","~~"),"*","~*"),"?","~?"),'DEF_SELF_SCOUT_IMPORT'!$D$42:$D$1040,SUBSTITUTE(SUBSTITUTE(SUBSTITUTE($P1326,"~","~~"),"*","~*"),"?","~?"),'DEF_SELF_SCOUT_IMPORT'!$H$42:$H$1040,"RUSH")/$C1326)</f>
        <v>1.0</v>
      </c>
      <c r="H1326" s="10">
        <f>IF($C1326=0,"",COUNTIFS('DEF_SELF_SCOUT_IMPORT'!$L$42:$L$1040,"Y",'DEF_SELF_SCOUT_IMPORT'!$E$42:$E$1040,SUBSTITUTE(SUBSTITUTE(SUBSTITUTE($B1326,"~","~~"),"*","~*"),"?","~?"),'DEF_SELF_SCOUT_IMPORT'!$D$42:$D$1040,SUBSTITUTE(SUBSTITUTE(SUBSTITUTE($P1326,"~","~~"),"*","~*"),"?","~?"),'DEF_SELF_SCOUT_IMPORT'!$H$42:$H$1040,"DROPBACK")/$C1326)</f>
        <v>0.0</v>
      </c>
      <c r="I1326" s="14" t="str">
        <f>IF(C1326=0,"",IF(C1326&lt;=2,"TRACK",IF(C1326=3,"LOW",IF(C1326&lt;=6,"MEDIUM","HIGH"))))</f>
        <v>TRACK</v>
      </c>
      <c r="J1326" s="11">
        <f>IF(C1326=0,"",ROUND(D1326*70+(1-E1326)*20+MAX(0,MIN(1,(10-F1326)/10))*10,1))</f>
        <v>24.5</v>
      </c>
      <c r="K1326" s="14" t="str">
        <f>IF(C1326=0,"No Evidence",IF(C1326&lt;=2,IF(E1326&gt;0,"Explosive Alert","Track Only"),IF(C1326=3,"Sample Watch",IF(E1326&gt;=START_HERE!$B$31,"Explosive Alert",IF(J1326&gt;=80,"Strong Candidate",IF(J1326&gt;=65,"Good Candidate",IF(J1326&gt;=50,"Mixed / Review","Problem Call")))))))</f>
        <v>Track Only</v>
      </c>
      <c r="L1326" s="9" t="str">
        <f>IF(COUNTIFS('DEF_SELF_SCOUT_IMPORT'!$L$42:$L$1040,"Y",'DEF_SELF_SCOUT_IMPORT'!$E$42:$E$1040,SUBSTITUTE(SUBSTITUTE(SUBSTITUTE($B1326,"~","~~"),"*","~*"),"?","~?"),'DEF_SELF_SCOUT_IMPORT'!$D$42:$D$1040,SUBSTITUTE(SUBSTITUTE(SUBSTITUTE($P1326,"~","~~"),"*","~*"),"?","~?"),'DEF_SELF_SCOUT_IMPORT'!$J$42:$J$1040,"")&gt;0,"Unscored clean outcome; review result tags before using score.",IF(C1326=0,"No matching defensive reps; film confirmation needed.",IF(K1326="Explosive Alert","Explosive risk; review clips before using as answer.",IF(C1326&lt;=2,"Track only; not enough sample.",IF(C1326=3,IF(E1326&gt;0,"Sample watch with explosive exposure; review clips and build the sample.",IF(J1326&gt;=65,"Good signal, but sample is limited.","Sample watch; review clips and build the sample.")),IF(K1326="Problem Call","Problem area; practice or call-sheet review.",IF(K1326="Strong Candidate","Strong call-fit candidate; confirm on film.",IF(K1326="Good Candidate","Good call-fit signal; confirm on film.","Mixed signal; review fit and execution on film."))))))))</f>
        <v>Track only; not enough sample.</v>
      </c>
      <c r="M1326" s="8"/>
      <c r="N1326" s="8"/>
      <c r="O1326" s="8"/>
      <c r="P1326" s="8" t="s">
        <v>432</v>
      </c>
      <c r="Q1326" s="8"/>
      <c r="R1326" s="8" t="s">
        <v>633</v>
      </c>
      <c r="S1326" s="2" t="s">
        <v>640</v>
      </c>
      <c r="T1326" s="2">
        <f>IF(C1326=0,0,IF(C1326&gt;=CALL_LOOKUP_BOARD!$B$7,IF(OR(K1326="Problem Call",K1326="Explosive Alert"),10000000,20000000),0)+IF(C1326&gt;=CALL_LOOKUP_BOARD!$B$7,J1326*1000+MIN(C1326,999),C1326*1000+J1326)+0.00993700)</f>
        <v>2024.509937</v>
      </c>
      <c r="U1326" s="2">
        <f>IF(C1326=0,"",IF(COUNTIFS($S$1264:$S$1440,SUBSTITUTE(SUBSTITUTE(SUBSTITUTE(S1326,"~","~~"),"*","~*"),"?","~?"),$T$1264:$T$1440,"&gt;"&amp;T1326)=0,S1326,""))</f>
        <v/>
      </c>
    </row>
    <row r="1327" spans="1:21" ht="38" customHeight="1">
      <c r="A1327" s="8" t="s">
        <v>432</v>
      </c>
      <c r="B1327" s="8" t="s">
        <v>79</v>
      </c>
      <c r="C1327" s="12">
        <f>COUNTIFS('DEF_SELF_SCOUT_IMPORT'!$L$42:$L$1040,"Y",'DEF_SELF_SCOUT_IMPORT'!$E$42:$E$1040,SUBSTITUTE(SUBSTITUTE(SUBSTITUTE($B1327,"~","~~"),"*","~*"),"?","~?"),'DEF_SELF_SCOUT_IMPORT'!$D$42:$D$1040,SUBSTITUTE(SUBSTITUTE(SUBSTITUTE($P1327,"~","~~"),"*","~*"),"?","~?"))</f>
        <v>1</v>
      </c>
      <c r="D1327" s="10">
        <f>IF($C1327=0,"",SUMIFS('DEF_SELF_SCOUT_IMPORT'!$J$42:$J$1040,'DEF_SELF_SCOUT_IMPORT'!$L$42:$L$1040,"Y",'DEF_SELF_SCOUT_IMPORT'!$E$42:$E$1040,SUBSTITUTE(SUBSTITUTE(SUBSTITUTE($B1327,"~","~~"),"*","~*"),"?","~?"),'DEF_SELF_SCOUT_IMPORT'!$D$42:$D$1040,SUBSTITUTE(SUBSTITUTE(SUBSTITUTE($P1327,"~","~~"),"*","~*"),"?","~?"))/$C1327)</f>
        <v>0.0</v>
      </c>
      <c r="E1327" s="10">
        <f>IF($C1327=0,"",SUMIFS('DEF_SELF_SCOUT_IMPORT'!$K$42:$K$1040,'DEF_SELF_SCOUT_IMPORT'!$L$42:$L$1040,"Y",'DEF_SELF_SCOUT_IMPORT'!$E$42:$E$1040,SUBSTITUTE(SUBSTITUTE(SUBSTITUTE($B1327,"~","~~"),"*","~*"),"?","~?"),'DEF_SELF_SCOUT_IMPORT'!$D$42:$D$1040,SUBSTITUTE(SUBSTITUTE(SUBSTITUTE($P1327,"~","~~"),"*","~*"),"?","~?"))/$C1327)</f>
        <v>0.0</v>
      </c>
      <c r="F1327" s="11">
        <f>IF($C1327=0,"",AVERAGEIFS('DEF_SELF_SCOUT_IMPORT'!$I$42:$I$1040,'DEF_SELF_SCOUT_IMPORT'!$L$42:$L$1040,"Y",'DEF_SELF_SCOUT_IMPORT'!$E$42:$E$1040,SUBSTITUTE(SUBSTITUTE(SUBSTITUTE($B1327,"~","~~"),"*","~*"),"?","~?"),'DEF_SELF_SCOUT_IMPORT'!$D$42:$D$1040,SUBSTITUTE(SUBSTITUTE(SUBSTITUTE($P1327,"~","~~"),"*","~*"),"?","~?")))</f>
        <v>6.0</v>
      </c>
      <c r="G1327" s="10">
        <f>IF($C1327=0,"",COUNTIFS('DEF_SELF_SCOUT_IMPORT'!$L$42:$L$1040,"Y",'DEF_SELF_SCOUT_IMPORT'!$E$42:$E$1040,SUBSTITUTE(SUBSTITUTE(SUBSTITUTE($B1327,"~","~~"),"*","~*"),"?","~?"),'DEF_SELF_SCOUT_IMPORT'!$D$42:$D$1040,SUBSTITUTE(SUBSTITUTE(SUBSTITUTE($P1327,"~","~~"),"*","~*"),"?","~?"),'DEF_SELF_SCOUT_IMPORT'!$H$42:$H$1040,"RUSH")/$C1327)</f>
        <v>1.0</v>
      </c>
      <c r="H1327" s="10">
        <f>IF($C1327=0,"",COUNTIFS('DEF_SELF_SCOUT_IMPORT'!$L$42:$L$1040,"Y",'DEF_SELF_SCOUT_IMPORT'!$E$42:$E$1040,SUBSTITUTE(SUBSTITUTE(SUBSTITUTE($B1327,"~","~~"),"*","~*"),"?","~?"),'DEF_SELF_SCOUT_IMPORT'!$D$42:$D$1040,SUBSTITUTE(SUBSTITUTE(SUBSTITUTE($P1327,"~","~~"),"*","~*"),"?","~?"),'DEF_SELF_SCOUT_IMPORT'!$H$42:$H$1040,"DROPBACK")/$C1327)</f>
        <v>0.0</v>
      </c>
      <c r="I1327" s="14" t="str">
        <f>IF(C1327=0,"",IF(C1327&lt;=2,"TRACK",IF(C1327=3,"LOW",IF(C1327&lt;=6,"MEDIUM","HIGH"))))</f>
        <v>TRACK</v>
      </c>
      <c r="J1327" s="11">
        <f>IF(C1327=0,"",ROUND(D1327*70+(1-E1327)*20+MAX(0,MIN(1,(10-F1327)/10))*10,1))</f>
        <v>24.0</v>
      </c>
      <c r="K1327" s="14" t="str">
        <f>IF(C1327=0,"No Evidence",IF(C1327&lt;=2,IF(E1327&gt;0,"Explosive Alert","Track Only"),IF(C1327=3,"Sample Watch",IF(E1327&gt;=START_HERE!$B$31,"Explosive Alert",IF(J1327&gt;=80,"Strong Candidate",IF(J1327&gt;=65,"Good Candidate",IF(J1327&gt;=50,"Mixed / Review","Problem Call")))))))</f>
        <v>Track Only</v>
      </c>
      <c r="L1327" s="9" t="str">
        <f>IF(COUNTIFS('DEF_SELF_SCOUT_IMPORT'!$L$42:$L$1040,"Y",'DEF_SELF_SCOUT_IMPORT'!$E$42:$E$1040,SUBSTITUTE(SUBSTITUTE(SUBSTITUTE($B1327,"~","~~"),"*","~*"),"?","~?"),'DEF_SELF_SCOUT_IMPORT'!$D$42:$D$1040,SUBSTITUTE(SUBSTITUTE(SUBSTITUTE($P1327,"~","~~"),"*","~*"),"?","~?"),'DEF_SELF_SCOUT_IMPORT'!$J$42:$J$1040,"")&gt;0,"Unscored clean outcome; review result tags before using score.",IF(C1327=0,"No matching defensive reps; film confirmation needed.",IF(K1327="Explosive Alert","Explosive risk; review clips before using as answer.",IF(C1327&lt;=2,"Track only; not enough sample.",IF(C1327=3,IF(E1327&gt;0,"Sample watch with explosive exposure; review clips and build the sample.",IF(J1327&gt;=65,"Good signal, but sample is limited.","Sample watch; review clips and build the sample.")),IF(K1327="Problem Call","Problem area; practice or call-sheet review.",IF(K1327="Strong Candidate","Strong call-fit candidate; confirm on film.",IF(K1327="Good Candidate","Good call-fit signal; confirm on film.","Mixed signal; review fit and execution on film."))))))))</f>
        <v>Track only; not enough sample.</v>
      </c>
      <c r="M1327" s="8"/>
      <c r="N1327" s="8"/>
      <c r="O1327" s="8"/>
      <c r="P1327" s="8" t="s">
        <v>432</v>
      </c>
      <c r="Q1327" s="8"/>
      <c r="R1327" s="8" t="s">
        <v>633</v>
      </c>
      <c r="S1327" s="2" t="s">
        <v>640</v>
      </c>
      <c r="T1327" s="2">
        <f>IF(C1327=0,0,IF(C1327&gt;=CALL_LOOKUP_BOARD!$B$7,IF(OR(K1327="Problem Call",K1327="Explosive Alert"),10000000,20000000),0)+IF(C1327&gt;=CALL_LOOKUP_BOARD!$B$7,J1327*1000+MIN(C1327,999),C1327*1000+J1327)+0.00993600)</f>
        <v>1024.009936</v>
      </c>
      <c r="U1327" s="2">
        <f>IF(C1327=0,"",IF(COUNTIFS($S$1264:$S$1440,SUBSTITUTE(SUBSTITUTE(SUBSTITUTE(S1327,"~","~~"),"*","~*"),"?","~?"),$T$1264:$T$1440,"&gt;"&amp;T1327)=0,S1327,""))</f>
        <v/>
      </c>
    </row>
    <row r="1328" spans="1:21" ht="38" customHeight="1">
      <c r="A1328" s="8" t="s">
        <v>432</v>
      </c>
      <c r="B1328" s="8" t="s">
        <v>53</v>
      </c>
      <c r="C1328" s="12">
        <f>COUNTIFS('DEF_SELF_SCOUT_IMPORT'!$L$42:$L$1040,"Y",'DEF_SELF_SCOUT_IMPORT'!$E$42:$E$1040,SUBSTITUTE(SUBSTITUTE(SUBSTITUTE($B1328,"~","~~"),"*","~*"),"?","~?"),'DEF_SELF_SCOUT_IMPORT'!$D$42:$D$1040,SUBSTITUTE(SUBSTITUTE(SUBSTITUTE($P1328,"~","~~"),"*","~*"),"?","~?"))</f>
        <v>1</v>
      </c>
      <c r="D1328" s="10">
        <f>IF($C1328=0,"",SUMIFS('DEF_SELF_SCOUT_IMPORT'!$J$42:$J$1040,'DEF_SELF_SCOUT_IMPORT'!$L$42:$L$1040,"Y",'DEF_SELF_SCOUT_IMPORT'!$E$42:$E$1040,SUBSTITUTE(SUBSTITUTE(SUBSTITUTE($B1328,"~","~~"),"*","~*"),"?","~?"),'DEF_SELF_SCOUT_IMPORT'!$D$42:$D$1040,SUBSTITUTE(SUBSTITUTE(SUBSTITUTE($P1328,"~","~~"),"*","~*"),"?","~?"))/$C1328)</f>
        <v>0.0</v>
      </c>
      <c r="E1328" s="10">
        <f>IF($C1328=0,"",SUMIFS('DEF_SELF_SCOUT_IMPORT'!$K$42:$K$1040,'DEF_SELF_SCOUT_IMPORT'!$L$42:$L$1040,"Y",'DEF_SELF_SCOUT_IMPORT'!$E$42:$E$1040,SUBSTITUTE(SUBSTITUTE(SUBSTITUTE($B1328,"~","~~"),"*","~*"),"?","~?"),'DEF_SELF_SCOUT_IMPORT'!$D$42:$D$1040,SUBSTITUTE(SUBSTITUTE(SUBSTITUTE($P1328,"~","~~"),"*","~*"),"?","~?"))/$C1328)</f>
        <v>0.0</v>
      </c>
      <c r="F1328" s="11">
        <f>IF($C1328=0,"",AVERAGEIFS('DEF_SELF_SCOUT_IMPORT'!$I$42:$I$1040,'DEF_SELF_SCOUT_IMPORT'!$L$42:$L$1040,"Y",'DEF_SELF_SCOUT_IMPORT'!$E$42:$E$1040,SUBSTITUTE(SUBSTITUTE(SUBSTITUTE($B1328,"~","~~"),"*","~*"),"?","~?"),'DEF_SELF_SCOUT_IMPORT'!$D$42:$D$1040,SUBSTITUTE(SUBSTITUTE(SUBSTITUTE($P1328,"~","~~"),"*","~*"),"?","~?")))</f>
        <v>8.0</v>
      </c>
      <c r="G1328" s="10">
        <f>IF($C1328=0,"",COUNTIFS('DEF_SELF_SCOUT_IMPORT'!$L$42:$L$1040,"Y",'DEF_SELF_SCOUT_IMPORT'!$E$42:$E$1040,SUBSTITUTE(SUBSTITUTE(SUBSTITUTE($B1328,"~","~~"),"*","~*"),"?","~?"),'DEF_SELF_SCOUT_IMPORT'!$D$42:$D$1040,SUBSTITUTE(SUBSTITUTE(SUBSTITUTE($P1328,"~","~~"),"*","~*"),"?","~?"),'DEF_SELF_SCOUT_IMPORT'!$H$42:$H$1040,"RUSH")/$C1328)</f>
        <v>1.0</v>
      </c>
      <c r="H1328" s="10">
        <f>IF($C1328=0,"",COUNTIFS('DEF_SELF_SCOUT_IMPORT'!$L$42:$L$1040,"Y",'DEF_SELF_SCOUT_IMPORT'!$E$42:$E$1040,SUBSTITUTE(SUBSTITUTE(SUBSTITUTE($B1328,"~","~~"),"*","~*"),"?","~?"),'DEF_SELF_SCOUT_IMPORT'!$D$42:$D$1040,SUBSTITUTE(SUBSTITUTE(SUBSTITUTE($P1328,"~","~~"),"*","~*"),"?","~?"),'DEF_SELF_SCOUT_IMPORT'!$H$42:$H$1040,"DROPBACK")/$C1328)</f>
        <v>0.0</v>
      </c>
      <c r="I1328" s="14" t="str">
        <f>IF(C1328=0,"",IF(C1328&lt;=2,"TRACK",IF(C1328=3,"LOW",IF(C1328&lt;=6,"MEDIUM","HIGH"))))</f>
        <v>TRACK</v>
      </c>
      <c r="J1328" s="11">
        <f>IF(C1328=0,"",ROUND(D1328*70+(1-E1328)*20+MAX(0,MIN(1,(10-F1328)/10))*10,1))</f>
        <v>22.0</v>
      </c>
      <c r="K1328" s="14" t="str">
        <f>IF(C1328=0,"No Evidence",IF(C1328&lt;=2,IF(E1328&gt;0,"Explosive Alert","Track Only"),IF(C1328=3,"Sample Watch",IF(E1328&gt;=START_HERE!$B$31,"Explosive Alert",IF(J1328&gt;=80,"Strong Candidate",IF(J1328&gt;=65,"Good Candidate",IF(J1328&gt;=50,"Mixed / Review","Problem Call")))))))</f>
        <v>Track Only</v>
      </c>
      <c r="L1328" s="9" t="str">
        <f>IF(COUNTIFS('DEF_SELF_SCOUT_IMPORT'!$L$42:$L$1040,"Y",'DEF_SELF_SCOUT_IMPORT'!$E$42:$E$1040,SUBSTITUTE(SUBSTITUTE(SUBSTITUTE($B1328,"~","~~"),"*","~*"),"?","~?"),'DEF_SELF_SCOUT_IMPORT'!$D$42:$D$1040,SUBSTITUTE(SUBSTITUTE(SUBSTITUTE($P1328,"~","~~"),"*","~*"),"?","~?"),'DEF_SELF_SCOUT_IMPORT'!$J$42:$J$1040,"")&gt;0,"Unscored clean outcome; review result tags before using score.",IF(C1328=0,"No matching defensive reps; film confirmation needed.",IF(K1328="Explosive Alert","Explosive risk; review clips before using as answer.",IF(C1328&lt;=2,"Track only; not enough sample.",IF(C1328=3,IF(E1328&gt;0,"Sample watch with explosive exposure; review clips and build the sample.",IF(J1328&gt;=65,"Good signal, but sample is limited.","Sample watch; review clips and build the sample.")),IF(K1328="Problem Call","Problem area; practice or call-sheet review.",IF(K1328="Strong Candidate","Strong call-fit candidate; confirm on film.",IF(K1328="Good Candidate","Good call-fit signal; confirm on film.","Mixed signal; review fit and execution on film."))))))))</f>
        <v>Track only; not enough sample.</v>
      </c>
      <c r="M1328" s="8"/>
      <c r="N1328" s="8"/>
      <c r="O1328" s="8"/>
      <c r="P1328" s="8" t="s">
        <v>432</v>
      </c>
      <c r="Q1328" s="8"/>
      <c r="R1328" s="8" t="s">
        <v>633</v>
      </c>
      <c r="S1328" s="2" t="s">
        <v>640</v>
      </c>
      <c r="T1328" s="2">
        <f>IF(C1328=0,0,IF(C1328&gt;=CALL_LOOKUP_BOARD!$B$7,IF(OR(K1328="Problem Call",K1328="Explosive Alert"),10000000,20000000),0)+IF(C1328&gt;=CALL_LOOKUP_BOARD!$B$7,J1328*1000+MIN(C1328,999),C1328*1000+J1328)+0.00993500)</f>
        <v>1022.009935</v>
      </c>
      <c r="U1328" s="2">
        <f>IF(C1328=0,"",IF(COUNTIFS($S$1264:$S$1440,SUBSTITUTE(SUBSTITUTE(SUBSTITUTE(S1328,"~","~~"),"*","~*"),"?","~?"),$T$1264:$T$1440,"&gt;"&amp;T1328)=0,S1328,""))</f>
        <v/>
      </c>
    </row>
    <row r="1329" spans="1:21" ht="38" customHeight="1">
      <c r="A1329" s="8" t="s">
        <v>432</v>
      </c>
      <c r="B1329" s="8" t="s">
        <v>56</v>
      </c>
      <c r="C1329" s="12">
        <f>COUNTIFS('DEF_SELF_SCOUT_IMPORT'!$L$42:$L$1040,"Y",'DEF_SELF_SCOUT_IMPORT'!$E$42:$E$1040,SUBSTITUTE(SUBSTITUTE(SUBSTITUTE($B1329,"~","~~"),"*","~*"),"?","~?"),'DEF_SELF_SCOUT_IMPORT'!$D$42:$D$1040,SUBSTITUTE(SUBSTITUTE(SUBSTITUTE($P1329,"~","~~"),"*","~*"),"?","~?"))</f>
        <v>1</v>
      </c>
      <c r="D1329" s="10">
        <f>IF($C1329=0,"",SUMIFS('DEF_SELF_SCOUT_IMPORT'!$J$42:$J$1040,'DEF_SELF_SCOUT_IMPORT'!$L$42:$L$1040,"Y",'DEF_SELF_SCOUT_IMPORT'!$E$42:$E$1040,SUBSTITUTE(SUBSTITUTE(SUBSTITUTE($B1329,"~","~~"),"*","~*"),"?","~?"),'DEF_SELF_SCOUT_IMPORT'!$D$42:$D$1040,SUBSTITUTE(SUBSTITUTE(SUBSTITUTE($P1329,"~","~~"),"*","~*"),"?","~?"))/$C1329)</f>
        <v>0.0</v>
      </c>
      <c r="E1329" s="10">
        <f>IF($C1329=0,"",SUMIFS('DEF_SELF_SCOUT_IMPORT'!$K$42:$K$1040,'DEF_SELF_SCOUT_IMPORT'!$L$42:$L$1040,"Y",'DEF_SELF_SCOUT_IMPORT'!$E$42:$E$1040,SUBSTITUTE(SUBSTITUTE(SUBSTITUTE($B1329,"~","~~"),"*","~*"),"?","~?"),'DEF_SELF_SCOUT_IMPORT'!$D$42:$D$1040,SUBSTITUTE(SUBSTITUTE(SUBSTITUTE($P1329,"~","~~"),"*","~*"),"?","~?"))/$C1329)</f>
        <v>0.0</v>
      </c>
      <c r="F1329" s="11">
        <f>IF($C1329=0,"",AVERAGEIFS('DEF_SELF_SCOUT_IMPORT'!$I$42:$I$1040,'DEF_SELF_SCOUT_IMPORT'!$L$42:$L$1040,"Y",'DEF_SELF_SCOUT_IMPORT'!$E$42:$E$1040,SUBSTITUTE(SUBSTITUTE(SUBSTITUTE($B1329,"~","~~"),"*","~*"),"?","~?"),'DEF_SELF_SCOUT_IMPORT'!$D$42:$D$1040,SUBSTITUTE(SUBSTITUTE(SUBSTITUTE($P1329,"~","~~"),"*","~*"),"?","~?")))</f>
        <v>5.0</v>
      </c>
      <c r="G1329" s="10">
        <f>IF($C1329=0,"",COUNTIFS('DEF_SELF_SCOUT_IMPORT'!$L$42:$L$1040,"Y",'DEF_SELF_SCOUT_IMPORT'!$E$42:$E$1040,SUBSTITUTE(SUBSTITUTE(SUBSTITUTE($B1329,"~","~~"),"*","~*"),"?","~?"),'DEF_SELF_SCOUT_IMPORT'!$D$42:$D$1040,SUBSTITUTE(SUBSTITUTE(SUBSTITUTE($P1329,"~","~~"),"*","~*"),"?","~?"),'DEF_SELF_SCOUT_IMPORT'!$H$42:$H$1040,"RUSH")/$C1329)</f>
        <v>1.0</v>
      </c>
      <c r="H1329" s="10">
        <f>IF($C1329=0,"",COUNTIFS('DEF_SELF_SCOUT_IMPORT'!$L$42:$L$1040,"Y",'DEF_SELF_SCOUT_IMPORT'!$E$42:$E$1040,SUBSTITUTE(SUBSTITUTE(SUBSTITUTE($B1329,"~","~~"),"*","~*"),"?","~?"),'DEF_SELF_SCOUT_IMPORT'!$D$42:$D$1040,SUBSTITUTE(SUBSTITUTE(SUBSTITUTE($P1329,"~","~~"),"*","~*"),"?","~?"),'DEF_SELF_SCOUT_IMPORT'!$H$42:$H$1040,"DROPBACK")/$C1329)</f>
        <v>0.0</v>
      </c>
      <c r="I1329" s="14" t="str">
        <f>IF(C1329=0,"",IF(C1329&lt;=2,"TRACK",IF(C1329=3,"LOW",IF(C1329&lt;=6,"MEDIUM","HIGH"))))</f>
        <v>TRACK</v>
      </c>
      <c r="J1329" s="11">
        <f>IF(C1329=0,"",ROUND(D1329*70+(1-E1329)*20+MAX(0,MIN(1,(10-F1329)/10))*10,1))</f>
        <v>25.0</v>
      </c>
      <c r="K1329" s="14" t="str">
        <f>IF(C1329=0,"No Evidence",IF(C1329&lt;=2,IF(E1329&gt;0,"Explosive Alert","Track Only"),IF(C1329=3,"Sample Watch",IF(E1329&gt;=START_HERE!$B$31,"Explosive Alert",IF(J1329&gt;=80,"Strong Candidate",IF(J1329&gt;=65,"Good Candidate",IF(J1329&gt;=50,"Mixed / Review","Problem Call")))))))</f>
        <v>Track Only</v>
      </c>
      <c r="L1329" s="9" t="str">
        <f>IF(COUNTIFS('DEF_SELF_SCOUT_IMPORT'!$L$42:$L$1040,"Y",'DEF_SELF_SCOUT_IMPORT'!$E$42:$E$1040,SUBSTITUTE(SUBSTITUTE(SUBSTITUTE($B1329,"~","~~"),"*","~*"),"?","~?"),'DEF_SELF_SCOUT_IMPORT'!$D$42:$D$1040,SUBSTITUTE(SUBSTITUTE(SUBSTITUTE($P1329,"~","~~"),"*","~*"),"?","~?"),'DEF_SELF_SCOUT_IMPORT'!$J$42:$J$1040,"")&gt;0,"Unscored clean outcome; review result tags before using score.",IF(C1329=0,"No matching defensive reps; film confirmation needed.",IF(K1329="Explosive Alert","Explosive risk; review clips before using as answer.",IF(C1329&lt;=2,"Track only; not enough sample.",IF(C1329=3,IF(E1329&gt;0,"Sample watch with explosive exposure; review clips and build the sample.",IF(J1329&gt;=65,"Good signal, but sample is limited.","Sample watch; review clips and build the sample.")),IF(K1329="Problem Call","Problem area; practice or call-sheet review.",IF(K1329="Strong Candidate","Strong call-fit candidate; confirm on film.",IF(K1329="Good Candidate","Good call-fit signal; confirm on film.","Mixed signal; review fit and execution on film."))))))))</f>
        <v>Track only; not enough sample.</v>
      </c>
      <c r="M1329" s="8"/>
      <c r="N1329" s="8"/>
      <c r="O1329" s="8"/>
      <c r="P1329" s="8" t="s">
        <v>432</v>
      </c>
      <c r="Q1329" s="8"/>
      <c r="R1329" s="8" t="s">
        <v>633</v>
      </c>
      <c r="S1329" s="2" t="s">
        <v>640</v>
      </c>
      <c r="T1329" s="2">
        <f>IF(C1329=0,0,IF(C1329&gt;=CALL_LOOKUP_BOARD!$B$7,IF(OR(K1329="Problem Call",K1329="Explosive Alert"),10000000,20000000),0)+IF(C1329&gt;=CALL_LOOKUP_BOARD!$B$7,J1329*1000+MIN(C1329,999),C1329*1000+J1329)+0.00993400)</f>
        <v>1025.009934</v>
      </c>
      <c r="U1329" s="2">
        <f>IF(C1329=0,"",IF(COUNTIFS($S$1264:$S$1440,SUBSTITUTE(SUBSTITUTE(SUBSTITUTE(S1329,"~","~~"),"*","~*"),"?","~?"),$T$1264:$T$1440,"&gt;"&amp;T1329)=0,S1329,""))</f>
        <v/>
      </c>
    </row>
    <row r="1330" spans="1:21" ht="38" customHeight="1">
      <c r="A1330" s="8" t="s">
        <v>432</v>
      </c>
      <c r="B1330" s="8" t="s">
        <v>35</v>
      </c>
      <c r="C1330" s="12">
        <f>COUNTIFS('DEF_SELF_SCOUT_IMPORT'!$L$42:$L$1040,"Y",'DEF_SELF_SCOUT_IMPORT'!$E$42:$E$1040,SUBSTITUTE(SUBSTITUTE(SUBSTITUTE($B1330,"~","~~"),"*","~*"),"?","~?"),'DEF_SELF_SCOUT_IMPORT'!$D$42:$D$1040,SUBSTITUTE(SUBSTITUTE(SUBSTITUTE($P1330,"~","~~"),"*","~*"),"?","~?"))</f>
        <v>2</v>
      </c>
      <c r="D1330" s="10">
        <f>IF($C1330=0,"",SUMIFS('DEF_SELF_SCOUT_IMPORT'!$J$42:$J$1040,'DEF_SELF_SCOUT_IMPORT'!$L$42:$L$1040,"Y",'DEF_SELF_SCOUT_IMPORT'!$E$42:$E$1040,SUBSTITUTE(SUBSTITUTE(SUBSTITUTE($B1330,"~","~~"),"*","~*"),"?","~?"),'DEF_SELF_SCOUT_IMPORT'!$D$42:$D$1040,SUBSTITUTE(SUBSTITUTE(SUBSTITUTE($P1330,"~","~~"),"*","~*"),"?","~?"))/$C1330)</f>
        <v>0.0</v>
      </c>
      <c r="E1330" s="10">
        <f>IF($C1330=0,"",SUMIFS('DEF_SELF_SCOUT_IMPORT'!$K$42:$K$1040,'DEF_SELF_SCOUT_IMPORT'!$L$42:$L$1040,"Y",'DEF_SELF_SCOUT_IMPORT'!$E$42:$E$1040,SUBSTITUTE(SUBSTITUTE(SUBSTITUTE($B1330,"~","~~"),"*","~*"),"?","~?"),'DEF_SELF_SCOUT_IMPORT'!$D$42:$D$1040,SUBSTITUTE(SUBSTITUTE(SUBSTITUTE($P1330,"~","~~"),"*","~*"),"?","~?"))/$C1330)</f>
        <v>0.0</v>
      </c>
      <c r="F1330" s="11">
        <f>IF($C1330=0,"",AVERAGEIFS('DEF_SELF_SCOUT_IMPORT'!$I$42:$I$1040,'DEF_SELF_SCOUT_IMPORT'!$L$42:$L$1040,"Y",'DEF_SELF_SCOUT_IMPORT'!$E$42:$E$1040,SUBSTITUTE(SUBSTITUTE(SUBSTITUTE($B1330,"~","~~"),"*","~*"),"?","~?"),'DEF_SELF_SCOUT_IMPORT'!$D$42:$D$1040,SUBSTITUTE(SUBSTITUTE(SUBSTITUTE($P1330,"~","~~"),"*","~*"),"?","~?")))</f>
        <v>7.5</v>
      </c>
      <c r="G1330" s="10">
        <f>IF($C1330=0,"",COUNTIFS('DEF_SELF_SCOUT_IMPORT'!$L$42:$L$1040,"Y",'DEF_SELF_SCOUT_IMPORT'!$E$42:$E$1040,SUBSTITUTE(SUBSTITUTE(SUBSTITUTE($B1330,"~","~~"),"*","~*"),"?","~?"),'DEF_SELF_SCOUT_IMPORT'!$D$42:$D$1040,SUBSTITUTE(SUBSTITUTE(SUBSTITUTE($P1330,"~","~~"),"*","~*"),"?","~?"),'DEF_SELF_SCOUT_IMPORT'!$H$42:$H$1040,"RUSH")/$C1330)</f>
        <v>0.5</v>
      </c>
      <c r="H1330" s="10">
        <f>IF($C1330=0,"",COUNTIFS('DEF_SELF_SCOUT_IMPORT'!$L$42:$L$1040,"Y",'DEF_SELF_SCOUT_IMPORT'!$E$42:$E$1040,SUBSTITUTE(SUBSTITUTE(SUBSTITUTE($B1330,"~","~~"),"*","~*"),"?","~?"),'DEF_SELF_SCOUT_IMPORT'!$D$42:$D$1040,SUBSTITUTE(SUBSTITUTE(SUBSTITUTE($P1330,"~","~~"),"*","~*"),"?","~?"),'DEF_SELF_SCOUT_IMPORT'!$H$42:$H$1040,"DROPBACK")/$C1330)</f>
        <v>0.0</v>
      </c>
      <c r="I1330" s="14" t="str">
        <f>IF(C1330=0,"",IF(C1330&lt;=2,"TRACK",IF(C1330=3,"LOW",IF(C1330&lt;=6,"MEDIUM","HIGH"))))</f>
        <v>TRACK</v>
      </c>
      <c r="J1330" s="11">
        <f>IF(C1330=0,"",ROUND(D1330*70+(1-E1330)*20+MAX(0,MIN(1,(10-F1330)/10))*10,1))</f>
        <v>22.5</v>
      </c>
      <c r="K1330" s="14" t="str">
        <f>IF(C1330=0,"No Evidence",IF(C1330&lt;=2,IF(E1330&gt;0,"Explosive Alert","Track Only"),IF(C1330=3,"Sample Watch",IF(E1330&gt;=START_HERE!$B$31,"Explosive Alert",IF(J1330&gt;=80,"Strong Candidate",IF(J1330&gt;=65,"Good Candidate",IF(J1330&gt;=50,"Mixed / Review","Problem Call")))))))</f>
        <v>Track Only</v>
      </c>
      <c r="L1330" s="9" t="str">
        <f>IF(COUNTIFS('DEF_SELF_SCOUT_IMPORT'!$L$42:$L$1040,"Y",'DEF_SELF_SCOUT_IMPORT'!$E$42:$E$1040,SUBSTITUTE(SUBSTITUTE(SUBSTITUTE($B1330,"~","~~"),"*","~*"),"?","~?"),'DEF_SELF_SCOUT_IMPORT'!$D$42:$D$1040,SUBSTITUTE(SUBSTITUTE(SUBSTITUTE($P1330,"~","~~"),"*","~*"),"?","~?"),'DEF_SELF_SCOUT_IMPORT'!$J$42:$J$1040,"")&gt;0,"Unscored clean outcome; review result tags before using score.",IF(C1330=0,"No matching defensive reps; film confirmation needed.",IF(K1330="Explosive Alert","Explosive risk; review clips before using as answer.",IF(C1330&lt;=2,"Track only; not enough sample.",IF(C1330=3,IF(E1330&gt;0,"Sample watch with explosive exposure; review clips and build the sample.",IF(J1330&gt;=65,"Good signal, but sample is limited.","Sample watch; review clips and build the sample.")),IF(K1330="Problem Call","Problem area; practice or call-sheet review.",IF(K1330="Strong Candidate","Strong call-fit candidate; confirm on film.",IF(K1330="Good Candidate","Good call-fit signal; confirm on film.","Mixed signal; review fit and execution on film."))))))))</f>
        <v>Track only; not enough sample.</v>
      </c>
      <c r="M1330" s="8"/>
      <c r="N1330" s="8"/>
      <c r="O1330" s="8"/>
      <c r="P1330" s="8" t="s">
        <v>432</v>
      </c>
      <c r="Q1330" s="8"/>
      <c r="R1330" s="8" t="s">
        <v>633</v>
      </c>
      <c r="S1330" s="2" t="s">
        <v>640</v>
      </c>
      <c r="T1330" s="2">
        <f>IF(C1330=0,0,IF(C1330&gt;=CALL_LOOKUP_BOARD!$B$7,IF(OR(K1330="Problem Call",K1330="Explosive Alert"),10000000,20000000),0)+IF(C1330&gt;=CALL_LOOKUP_BOARD!$B$7,J1330*1000+MIN(C1330,999),C1330*1000+J1330)+0.00993300)</f>
        <v>2022.509933</v>
      </c>
      <c r="U1330" s="2">
        <f>IF(C1330=0,"",IF(COUNTIFS($S$1264:$S$1440,SUBSTITUTE(SUBSTITUTE(SUBSTITUTE(S1330,"~","~~"),"*","~*"),"?","~?"),$T$1264:$T$1440,"&gt;"&amp;T1330)=0,S1330,""))</f>
        <v/>
      </c>
    </row>
    <row r="1331" spans="1:21" ht="38" customHeight="1">
      <c r="A1331" s="8" t="s">
        <v>432</v>
      </c>
      <c r="B1331" s="8" t="s">
        <v>59</v>
      </c>
      <c r="C1331" s="12">
        <f>COUNTIFS('DEF_SELF_SCOUT_IMPORT'!$L$42:$L$1040,"Y",'DEF_SELF_SCOUT_IMPORT'!$E$42:$E$1040,SUBSTITUTE(SUBSTITUTE(SUBSTITUTE($B1331,"~","~~"),"*","~*"),"?","~?"),'DEF_SELF_SCOUT_IMPORT'!$D$42:$D$1040,SUBSTITUTE(SUBSTITUTE(SUBSTITUTE($P1331,"~","~~"),"*","~*"),"?","~?"))</f>
        <v>1</v>
      </c>
      <c r="D1331" s="10">
        <f>IF($C1331=0,"",SUMIFS('DEF_SELF_SCOUT_IMPORT'!$J$42:$J$1040,'DEF_SELF_SCOUT_IMPORT'!$L$42:$L$1040,"Y",'DEF_SELF_SCOUT_IMPORT'!$E$42:$E$1040,SUBSTITUTE(SUBSTITUTE(SUBSTITUTE($B1331,"~","~~"),"*","~*"),"?","~?"),'DEF_SELF_SCOUT_IMPORT'!$D$42:$D$1040,SUBSTITUTE(SUBSTITUTE(SUBSTITUTE($P1331,"~","~~"),"*","~*"),"?","~?"))/$C1331)</f>
        <v>0.0</v>
      </c>
      <c r="E1331" s="10">
        <f>IF($C1331=0,"",SUMIFS('DEF_SELF_SCOUT_IMPORT'!$K$42:$K$1040,'DEF_SELF_SCOUT_IMPORT'!$L$42:$L$1040,"Y",'DEF_SELF_SCOUT_IMPORT'!$E$42:$E$1040,SUBSTITUTE(SUBSTITUTE(SUBSTITUTE($B1331,"~","~~"),"*","~*"),"?","~?"),'DEF_SELF_SCOUT_IMPORT'!$D$42:$D$1040,SUBSTITUTE(SUBSTITUTE(SUBSTITUTE($P1331,"~","~~"),"*","~*"),"?","~?"))/$C1331)</f>
        <v>1.0</v>
      </c>
      <c r="F1331" s="11">
        <f>IF($C1331=0,"",AVERAGEIFS('DEF_SELF_SCOUT_IMPORT'!$I$42:$I$1040,'DEF_SELF_SCOUT_IMPORT'!$L$42:$L$1040,"Y",'DEF_SELF_SCOUT_IMPORT'!$E$42:$E$1040,SUBSTITUTE(SUBSTITUTE(SUBSTITUTE($B1331,"~","~~"),"*","~*"),"?","~?"),'DEF_SELF_SCOUT_IMPORT'!$D$42:$D$1040,SUBSTITUTE(SUBSTITUTE(SUBSTITUTE($P1331,"~","~~"),"*","~*"),"?","~?")))</f>
        <v>16.0</v>
      </c>
      <c r="G1331" s="10">
        <f>IF($C1331=0,"",COUNTIFS('DEF_SELF_SCOUT_IMPORT'!$L$42:$L$1040,"Y",'DEF_SELF_SCOUT_IMPORT'!$E$42:$E$1040,SUBSTITUTE(SUBSTITUTE(SUBSTITUTE($B1331,"~","~~"),"*","~*"),"?","~?"),'DEF_SELF_SCOUT_IMPORT'!$D$42:$D$1040,SUBSTITUTE(SUBSTITUTE(SUBSTITUTE($P1331,"~","~~"),"*","~*"),"?","~?"),'DEF_SELF_SCOUT_IMPORT'!$H$42:$H$1040,"RUSH")/$C1331)</f>
        <v>1.0</v>
      </c>
      <c r="H1331" s="10">
        <f>IF($C1331=0,"",COUNTIFS('DEF_SELF_SCOUT_IMPORT'!$L$42:$L$1040,"Y",'DEF_SELF_SCOUT_IMPORT'!$E$42:$E$1040,SUBSTITUTE(SUBSTITUTE(SUBSTITUTE($B1331,"~","~~"),"*","~*"),"?","~?"),'DEF_SELF_SCOUT_IMPORT'!$D$42:$D$1040,SUBSTITUTE(SUBSTITUTE(SUBSTITUTE($P1331,"~","~~"),"*","~*"),"?","~?"),'DEF_SELF_SCOUT_IMPORT'!$H$42:$H$1040,"DROPBACK")/$C1331)</f>
        <v>0.0</v>
      </c>
      <c r="I1331" s="14" t="str">
        <f>IF(C1331=0,"",IF(C1331&lt;=2,"TRACK",IF(C1331=3,"LOW",IF(C1331&lt;=6,"MEDIUM","HIGH"))))</f>
        <v>TRACK</v>
      </c>
      <c r="J1331" s="11">
        <f>IF(C1331=0,"",ROUND(D1331*70+(1-E1331)*20+MAX(0,MIN(1,(10-F1331)/10))*10,1))</f>
        <v>0.0</v>
      </c>
      <c r="K1331" s="14" t="str">
        <f>IF(C1331=0,"No Evidence",IF(C1331&lt;=2,IF(E1331&gt;0,"Explosive Alert","Track Only"),IF(C1331=3,"Sample Watch",IF(E1331&gt;=START_HERE!$B$31,"Explosive Alert",IF(J1331&gt;=80,"Strong Candidate",IF(J1331&gt;=65,"Good Candidate",IF(J1331&gt;=50,"Mixed / Review","Problem Call")))))))</f>
        <v>Explosive Alert</v>
      </c>
      <c r="L1331" s="9" t="str">
        <f>IF(COUNTIFS('DEF_SELF_SCOUT_IMPORT'!$L$42:$L$1040,"Y",'DEF_SELF_SCOUT_IMPORT'!$E$42:$E$1040,SUBSTITUTE(SUBSTITUTE(SUBSTITUTE($B1331,"~","~~"),"*","~*"),"?","~?"),'DEF_SELF_SCOUT_IMPORT'!$D$42:$D$1040,SUBSTITUTE(SUBSTITUTE(SUBSTITUTE($P1331,"~","~~"),"*","~*"),"?","~?"),'DEF_SELF_SCOUT_IMPORT'!$J$42:$J$1040,"")&gt;0,"Unscored clean outcome; review result tags before using score.",IF(C1331=0,"No matching defensive reps; film confirmation needed.",IF(K1331="Explosive Alert","Explosive risk; review clips before using as answer.",IF(C1331&lt;=2,"Track only; not enough sample.",IF(C1331=3,IF(E1331&gt;0,"Sample watch with explosive exposure; review clips and build the sample.",IF(J1331&gt;=65,"Good signal, but sample is limited.","Sample watch; review clips and build the sample.")),IF(K1331="Problem Call","Problem area; practice or call-sheet review.",IF(K1331="Strong Candidate","Strong call-fit candidate; confirm on film.",IF(K1331="Good Candidate","Good call-fit signal; confirm on film.","Mixed signal; review fit and execution on film."))))))))</f>
        <v>Explosive risk; review clips before using as answer.</v>
      </c>
      <c r="M1331" s="8"/>
      <c r="N1331" s="8"/>
      <c r="O1331" s="8"/>
      <c r="P1331" s="8" t="s">
        <v>432</v>
      </c>
      <c r="Q1331" s="8"/>
      <c r="R1331" s="8" t="s">
        <v>633</v>
      </c>
      <c r="S1331" s="2" t="s">
        <v>640</v>
      </c>
      <c r="T1331" s="2">
        <f>IF(C1331=0,0,IF(C1331&gt;=CALL_LOOKUP_BOARD!$B$7,IF(OR(K1331="Problem Call",K1331="Explosive Alert"),10000000,20000000),0)+IF(C1331&gt;=CALL_LOOKUP_BOARD!$B$7,J1331*1000+MIN(C1331,999),C1331*1000+J1331)+0.00993200)</f>
        <v>1000.009932</v>
      </c>
      <c r="U1331" s="2">
        <f>IF(C1331=0,"",IF(COUNTIFS($S$1264:$S$1440,SUBSTITUTE(SUBSTITUTE(SUBSTITUTE(S1331,"~","~~"),"*","~*"),"?","~?"),$T$1264:$T$1440,"&gt;"&amp;T1331)=0,S1331,""))</f>
        <v/>
      </c>
    </row>
    <row r="1332" spans="1:21" ht="38" customHeight="1">
      <c r="A1332" s="8" t="s">
        <v>432</v>
      </c>
      <c r="B1332" s="8" t="s">
        <v>62</v>
      </c>
      <c r="C1332" s="12">
        <f>COUNTIFS('DEF_SELF_SCOUT_IMPORT'!$L$42:$L$1040,"Y",'DEF_SELF_SCOUT_IMPORT'!$E$42:$E$1040,SUBSTITUTE(SUBSTITUTE(SUBSTITUTE($B1332,"~","~~"),"*","~*"),"?","~?"),'DEF_SELF_SCOUT_IMPORT'!$D$42:$D$1040,SUBSTITUTE(SUBSTITUTE(SUBSTITUTE($P1332,"~","~~"),"*","~*"),"?","~?"))</f>
        <v>1</v>
      </c>
      <c r="D1332" s="10">
        <f>IF($C1332=0,"",SUMIFS('DEF_SELF_SCOUT_IMPORT'!$J$42:$J$1040,'DEF_SELF_SCOUT_IMPORT'!$L$42:$L$1040,"Y",'DEF_SELF_SCOUT_IMPORT'!$E$42:$E$1040,SUBSTITUTE(SUBSTITUTE(SUBSTITUTE($B1332,"~","~~"),"*","~*"),"?","~?"),'DEF_SELF_SCOUT_IMPORT'!$D$42:$D$1040,SUBSTITUTE(SUBSTITUTE(SUBSTITUTE($P1332,"~","~~"),"*","~*"),"?","~?"))/$C1332)</f>
        <v>0.0</v>
      </c>
      <c r="E1332" s="10">
        <f>IF($C1332=0,"",SUMIFS('DEF_SELF_SCOUT_IMPORT'!$K$42:$K$1040,'DEF_SELF_SCOUT_IMPORT'!$L$42:$L$1040,"Y",'DEF_SELF_SCOUT_IMPORT'!$E$42:$E$1040,SUBSTITUTE(SUBSTITUTE(SUBSTITUTE($B1332,"~","~~"),"*","~*"),"?","~?"),'DEF_SELF_SCOUT_IMPORT'!$D$42:$D$1040,SUBSTITUTE(SUBSTITUTE(SUBSTITUTE($P1332,"~","~~"),"*","~*"),"?","~?"))/$C1332)</f>
        <v>1.0</v>
      </c>
      <c r="F1332" s="11">
        <f>IF($C1332=0,"",AVERAGEIFS('DEF_SELF_SCOUT_IMPORT'!$I$42:$I$1040,'DEF_SELF_SCOUT_IMPORT'!$L$42:$L$1040,"Y",'DEF_SELF_SCOUT_IMPORT'!$E$42:$E$1040,SUBSTITUTE(SUBSTITUTE(SUBSTITUTE($B1332,"~","~~"),"*","~*"),"?","~?"),'DEF_SELF_SCOUT_IMPORT'!$D$42:$D$1040,SUBSTITUTE(SUBSTITUTE(SUBSTITUTE($P1332,"~","~~"),"*","~*"),"?","~?")))</f>
        <v>25.0</v>
      </c>
      <c r="G1332" s="10">
        <f>IF($C1332=0,"",COUNTIFS('DEF_SELF_SCOUT_IMPORT'!$L$42:$L$1040,"Y",'DEF_SELF_SCOUT_IMPORT'!$E$42:$E$1040,SUBSTITUTE(SUBSTITUTE(SUBSTITUTE($B1332,"~","~~"),"*","~*"),"?","~?"),'DEF_SELF_SCOUT_IMPORT'!$D$42:$D$1040,SUBSTITUTE(SUBSTITUTE(SUBSTITUTE($P1332,"~","~~"),"*","~*"),"?","~?"),'DEF_SELF_SCOUT_IMPORT'!$H$42:$H$1040,"RUSH")/$C1332)</f>
        <v>1.0</v>
      </c>
      <c r="H1332" s="10">
        <f>IF($C1332=0,"",COUNTIFS('DEF_SELF_SCOUT_IMPORT'!$L$42:$L$1040,"Y",'DEF_SELF_SCOUT_IMPORT'!$E$42:$E$1040,SUBSTITUTE(SUBSTITUTE(SUBSTITUTE($B1332,"~","~~"),"*","~*"),"?","~?"),'DEF_SELF_SCOUT_IMPORT'!$D$42:$D$1040,SUBSTITUTE(SUBSTITUTE(SUBSTITUTE($P1332,"~","~~"),"*","~*"),"?","~?"),'DEF_SELF_SCOUT_IMPORT'!$H$42:$H$1040,"DROPBACK")/$C1332)</f>
        <v>0.0</v>
      </c>
      <c r="I1332" s="14" t="str">
        <f>IF(C1332=0,"",IF(C1332&lt;=2,"TRACK",IF(C1332=3,"LOW",IF(C1332&lt;=6,"MEDIUM","HIGH"))))</f>
        <v>TRACK</v>
      </c>
      <c r="J1332" s="11">
        <f>IF(C1332=0,"",ROUND(D1332*70+(1-E1332)*20+MAX(0,MIN(1,(10-F1332)/10))*10,1))</f>
        <v>0.0</v>
      </c>
      <c r="K1332" s="14" t="str">
        <f>IF(C1332=0,"No Evidence",IF(C1332&lt;=2,IF(E1332&gt;0,"Explosive Alert","Track Only"),IF(C1332=3,"Sample Watch",IF(E1332&gt;=START_HERE!$B$31,"Explosive Alert",IF(J1332&gt;=80,"Strong Candidate",IF(J1332&gt;=65,"Good Candidate",IF(J1332&gt;=50,"Mixed / Review","Problem Call")))))))</f>
        <v>Explosive Alert</v>
      </c>
      <c r="L1332" s="9" t="str">
        <f>IF(COUNTIFS('DEF_SELF_SCOUT_IMPORT'!$L$42:$L$1040,"Y",'DEF_SELF_SCOUT_IMPORT'!$E$42:$E$1040,SUBSTITUTE(SUBSTITUTE(SUBSTITUTE($B1332,"~","~~"),"*","~*"),"?","~?"),'DEF_SELF_SCOUT_IMPORT'!$D$42:$D$1040,SUBSTITUTE(SUBSTITUTE(SUBSTITUTE($P1332,"~","~~"),"*","~*"),"?","~?"),'DEF_SELF_SCOUT_IMPORT'!$J$42:$J$1040,"")&gt;0,"Unscored clean outcome; review result tags before using score.",IF(C1332=0,"No matching defensive reps; film confirmation needed.",IF(K1332="Explosive Alert","Explosive risk; review clips before using as answer.",IF(C1332&lt;=2,"Track only; not enough sample.",IF(C1332=3,IF(E1332&gt;0,"Sample watch with explosive exposure; review clips and build the sample.",IF(J1332&gt;=65,"Good signal, but sample is limited.","Sample watch; review clips and build the sample.")),IF(K1332="Problem Call","Problem area; practice or call-sheet review.",IF(K1332="Strong Candidate","Strong call-fit candidate; confirm on film.",IF(K1332="Good Candidate","Good call-fit signal; confirm on film.","Mixed signal; review fit and execution on film."))))))))</f>
        <v>Explosive risk; review clips before using as answer.</v>
      </c>
      <c r="M1332" s="8"/>
      <c r="N1332" s="8"/>
      <c r="O1332" s="8"/>
      <c r="P1332" s="8" t="s">
        <v>432</v>
      </c>
      <c r="Q1332" s="8"/>
      <c r="R1332" s="8" t="s">
        <v>633</v>
      </c>
      <c r="S1332" s="2" t="s">
        <v>640</v>
      </c>
      <c r="T1332" s="2">
        <f>IF(C1332=0,0,IF(C1332&gt;=CALL_LOOKUP_BOARD!$B$7,IF(OR(K1332="Problem Call",K1332="Explosive Alert"),10000000,20000000),0)+IF(C1332&gt;=CALL_LOOKUP_BOARD!$B$7,J1332*1000+MIN(C1332,999),C1332*1000+J1332)+0.00993100)</f>
        <v>1000.009931</v>
      </c>
      <c r="U1332" s="2">
        <f>IF(C1332=0,"",IF(COUNTIFS($S$1264:$S$1440,SUBSTITUTE(SUBSTITUTE(SUBSTITUTE(S1332,"~","~~"),"*","~*"),"?","~?"),$T$1264:$T$1440,"&gt;"&amp;T1332)=0,S1332,""))</f>
        <v/>
      </c>
    </row>
    <row r="1333" spans="1:21" ht="38" customHeight="1">
      <c r="A1333" s="8" t="s">
        <v>432</v>
      </c>
      <c r="B1333" s="8" t="s">
        <v>63</v>
      </c>
      <c r="C1333" s="12">
        <f>COUNTIFS('DEF_SELF_SCOUT_IMPORT'!$L$42:$L$1040,"Y",'DEF_SELF_SCOUT_IMPORT'!$E$42:$E$1040,SUBSTITUTE(SUBSTITUTE(SUBSTITUTE($B1333,"~","~~"),"*","~*"),"?","~?"),'DEF_SELF_SCOUT_IMPORT'!$D$42:$D$1040,SUBSTITUTE(SUBSTITUTE(SUBSTITUTE($P1333,"~","~~"),"*","~*"),"?","~?"))</f>
        <v>1</v>
      </c>
      <c r="D1333" s="10">
        <f>IF($C1333=0,"",SUMIFS('DEF_SELF_SCOUT_IMPORT'!$J$42:$J$1040,'DEF_SELF_SCOUT_IMPORT'!$L$42:$L$1040,"Y",'DEF_SELF_SCOUT_IMPORT'!$E$42:$E$1040,SUBSTITUTE(SUBSTITUTE(SUBSTITUTE($B1333,"~","~~"),"*","~*"),"?","~?"),'DEF_SELF_SCOUT_IMPORT'!$D$42:$D$1040,SUBSTITUTE(SUBSTITUTE(SUBSTITUTE($P1333,"~","~~"),"*","~*"),"?","~?"))/$C1333)</f>
        <v>0.0</v>
      </c>
      <c r="E1333" s="10">
        <f>IF($C1333=0,"",SUMIFS('DEF_SELF_SCOUT_IMPORT'!$K$42:$K$1040,'DEF_SELF_SCOUT_IMPORT'!$L$42:$L$1040,"Y",'DEF_SELF_SCOUT_IMPORT'!$E$42:$E$1040,SUBSTITUTE(SUBSTITUTE(SUBSTITUTE($B1333,"~","~~"),"*","~*"),"?","~?"),'DEF_SELF_SCOUT_IMPORT'!$D$42:$D$1040,SUBSTITUTE(SUBSTITUTE(SUBSTITUTE($P1333,"~","~~"),"*","~*"),"?","~?"))/$C1333)</f>
        <v>0.0</v>
      </c>
      <c r="F1333" s="11">
        <f>IF($C1333=0,"",AVERAGEIFS('DEF_SELF_SCOUT_IMPORT'!$I$42:$I$1040,'DEF_SELF_SCOUT_IMPORT'!$L$42:$L$1040,"Y",'DEF_SELF_SCOUT_IMPORT'!$E$42:$E$1040,SUBSTITUTE(SUBSTITUTE(SUBSTITUTE($B1333,"~","~~"),"*","~*"),"?","~?"),'DEF_SELF_SCOUT_IMPORT'!$D$42:$D$1040,SUBSTITUTE(SUBSTITUTE(SUBSTITUTE($P1333,"~","~~"),"*","~*"),"?","~?")))</f>
        <v>7.0</v>
      </c>
      <c r="G1333" s="10">
        <f>IF($C1333=0,"",COUNTIFS('DEF_SELF_SCOUT_IMPORT'!$L$42:$L$1040,"Y",'DEF_SELF_SCOUT_IMPORT'!$E$42:$E$1040,SUBSTITUTE(SUBSTITUTE(SUBSTITUTE($B1333,"~","~~"),"*","~*"),"?","~?"),'DEF_SELF_SCOUT_IMPORT'!$D$42:$D$1040,SUBSTITUTE(SUBSTITUTE(SUBSTITUTE($P1333,"~","~~"),"*","~*"),"?","~?"),'DEF_SELF_SCOUT_IMPORT'!$H$42:$H$1040,"RUSH")/$C1333)</f>
        <v>1.0</v>
      </c>
      <c r="H1333" s="10">
        <f>IF($C1333=0,"",COUNTIFS('DEF_SELF_SCOUT_IMPORT'!$L$42:$L$1040,"Y",'DEF_SELF_SCOUT_IMPORT'!$E$42:$E$1040,SUBSTITUTE(SUBSTITUTE(SUBSTITUTE($B1333,"~","~~"),"*","~*"),"?","~?"),'DEF_SELF_SCOUT_IMPORT'!$D$42:$D$1040,SUBSTITUTE(SUBSTITUTE(SUBSTITUTE($P1333,"~","~~"),"*","~*"),"?","~?"),'DEF_SELF_SCOUT_IMPORT'!$H$42:$H$1040,"DROPBACK")/$C1333)</f>
        <v>0.0</v>
      </c>
      <c r="I1333" s="14" t="str">
        <f>IF(C1333=0,"",IF(C1333&lt;=2,"TRACK",IF(C1333=3,"LOW",IF(C1333&lt;=6,"MEDIUM","HIGH"))))</f>
        <v>TRACK</v>
      </c>
      <c r="J1333" s="11">
        <f>IF(C1333=0,"",ROUND(D1333*70+(1-E1333)*20+MAX(0,MIN(1,(10-F1333)/10))*10,1))</f>
        <v>23.0</v>
      </c>
      <c r="K1333" s="14" t="str">
        <f>IF(C1333=0,"No Evidence",IF(C1333&lt;=2,IF(E1333&gt;0,"Explosive Alert","Track Only"),IF(C1333=3,"Sample Watch",IF(E1333&gt;=START_HERE!$B$31,"Explosive Alert",IF(J1333&gt;=80,"Strong Candidate",IF(J1333&gt;=65,"Good Candidate",IF(J1333&gt;=50,"Mixed / Review","Problem Call")))))))</f>
        <v>Track Only</v>
      </c>
      <c r="L1333" s="9" t="str">
        <f>IF(COUNTIFS('DEF_SELF_SCOUT_IMPORT'!$L$42:$L$1040,"Y",'DEF_SELF_SCOUT_IMPORT'!$E$42:$E$1040,SUBSTITUTE(SUBSTITUTE(SUBSTITUTE($B1333,"~","~~"),"*","~*"),"?","~?"),'DEF_SELF_SCOUT_IMPORT'!$D$42:$D$1040,SUBSTITUTE(SUBSTITUTE(SUBSTITUTE($P1333,"~","~~"),"*","~*"),"?","~?"),'DEF_SELF_SCOUT_IMPORT'!$J$42:$J$1040,"")&gt;0,"Unscored clean outcome; review result tags before using score.",IF(C1333=0,"No matching defensive reps; film confirmation needed.",IF(K1333="Explosive Alert","Explosive risk; review clips before using as answer.",IF(C1333&lt;=2,"Track only; not enough sample.",IF(C1333=3,IF(E1333&gt;0,"Sample watch with explosive exposure; review clips and build the sample.",IF(J1333&gt;=65,"Good signal, but sample is limited.","Sample watch; review clips and build the sample.")),IF(K1333="Problem Call","Problem area; practice or call-sheet review.",IF(K1333="Strong Candidate","Strong call-fit candidate; confirm on film.",IF(K1333="Good Candidate","Good call-fit signal; confirm on film.","Mixed signal; review fit and execution on film."))))))))</f>
        <v>Track only; not enough sample.</v>
      </c>
      <c r="M1333" s="8"/>
      <c r="N1333" s="8"/>
      <c r="O1333" s="8"/>
      <c r="P1333" s="8" t="s">
        <v>432</v>
      </c>
      <c r="Q1333" s="8"/>
      <c r="R1333" s="8" t="s">
        <v>633</v>
      </c>
      <c r="S1333" s="2" t="s">
        <v>640</v>
      </c>
      <c r="T1333" s="2">
        <f>IF(C1333=0,0,IF(C1333&gt;=CALL_LOOKUP_BOARD!$B$7,IF(OR(K1333="Problem Call",K1333="Explosive Alert"),10000000,20000000),0)+IF(C1333&gt;=CALL_LOOKUP_BOARD!$B$7,J1333*1000+MIN(C1333,999),C1333*1000+J1333)+0.00993000)</f>
        <v>1023.00993</v>
      </c>
      <c r="U1333" s="2">
        <f>IF(C1333=0,"",IF(COUNTIFS($S$1264:$S$1440,SUBSTITUTE(SUBSTITUTE(SUBSTITUTE(S1333,"~","~~"),"*","~*"),"?","~?"),$T$1264:$T$1440,"&gt;"&amp;T1333)=0,S1333,""))</f>
        <v/>
      </c>
    </row>
    <row r="1334" spans="1:21" ht="38" customHeight="1">
      <c r="A1334" s="8" t="s">
        <v>432</v>
      </c>
      <c r="B1334" s="8" t="s">
        <v>84</v>
      </c>
      <c r="C1334" s="12">
        <f>COUNTIFS('DEF_SELF_SCOUT_IMPORT'!$L$42:$L$1040,"Y",'DEF_SELF_SCOUT_IMPORT'!$E$42:$E$1040,SUBSTITUTE(SUBSTITUTE(SUBSTITUTE($B1334,"~","~~"),"*","~*"),"?","~?"),'DEF_SELF_SCOUT_IMPORT'!$D$42:$D$1040,SUBSTITUTE(SUBSTITUTE(SUBSTITUTE($P1334,"~","~~"),"*","~*"),"?","~?"))</f>
        <v>1</v>
      </c>
      <c r="D1334" s="10">
        <f>IF($C1334=0,"",SUMIFS('DEF_SELF_SCOUT_IMPORT'!$J$42:$J$1040,'DEF_SELF_SCOUT_IMPORT'!$L$42:$L$1040,"Y",'DEF_SELF_SCOUT_IMPORT'!$E$42:$E$1040,SUBSTITUTE(SUBSTITUTE(SUBSTITUTE($B1334,"~","~~"),"*","~*"),"?","~?"),'DEF_SELF_SCOUT_IMPORT'!$D$42:$D$1040,SUBSTITUTE(SUBSTITUTE(SUBSTITUTE($P1334,"~","~~"),"*","~*"),"?","~?"))/$C1334)</f>
        <v>1.0</v>
      </c>
      <c r="E1334" s="10">
        <f>IF($C1334=0,"",SUMIFS('DEF_SELF_SCOUT_IMPORT'!$K$42:$K$1040,'DEF_SELF_SCOUT_IMPORT'!$L$42:$L$1040,"Y",'DEF_SELF_SCOUT_IMPORT'!$E$42:$E$1040,SUBSTITUTE(SUBSTITUTE(SUBSTITUTE($B1334,"~","~~"),"*","~*"),"?","~?"),'DEF_SELF_SCOUT_IMPORT'!$D$42:$D$1040,SUBSTITUTE(SUBSTITUTE(SUBSTITUTE($P1334,"~","~~"),"*","~*"),"?","~?"))/$C1334)</f>
        <v>0.0</v>
      </c>
      <c r="F1334" s="11">
        <f>IF($C1334=0,"",AVERAGEIFS('DEF_SELF_SCOUT_IMPORT'!$I$42:$I$1040,'DEF_SELF_SCOUT_IMPORT'!$L$42:$L$1040,"Y",'DEF_SELF_SCOUT_IMPORT'!$E$42:$E$1040,SUBSTITUTE(SUBSTITUTE(SUBSTITUTE($B1334,"~","~~"),"*","~*"),"?","~?"),'DEF_SELF_SCOUT_IMPORT'!$D$42:$D$1040,SUBSTITUTE(SUBSTITUTE(SUBSTITUTE($P1334,"~","~~"),"*","~*"),"?","~?")))</f>
        <v>3.0</v>
      </c>
      <c r="G1334" s="10">
        <f>IF($C1334=0,"",COUNTIFS('DEF_SELF_SCOUT_IMPORT'!$L$42:$L$1040,"Y",'DEF_SELF_SCOUT_IMPORT'!$E$42:$E$1040,SUBSTITUTE(SUBSTITUTE(SUBSTITUTE($B1334,"~","~~"),"*","~*"),"?","~?"),'DEF_SELF_SCOUT_IMPORT'!$D$42:$D$1040,SUBSTITUTE(SUBSTITUTE(SUBSTITUTE($P1334,"~","~~"),"*","~*"),"?","~?"),'DEF_SELF_SCOUT_IMPORT'!$H$42:$H$1040,"RUSH")/$C1334)</f>
        <v>1.0</v>
      </c>
      <c r="H1334" s="10">
        <f>IF($C1334=0,"",COUNTIFS('DEF_SELF_SCOUT_IMPORT'!$L$42:$L$1040,"Y",'DEF_SELF_SCOUT_IMPORT'!$E$42:$E$1040,SUBSTITUTE(SUBSTITUTE(SUBSTITUTE($B1334,"~","~~"),"*","~*"),"?","~?"),'DEF_SELF_SCOUT_IMPORT'!$D$42:$D$1040,SUBSTITUTE(SUBSTITUTE(SUBSTITUTE($P1334,"~","~~"),"*","~*"),"?","~?"),'DEF_SELF_SCOUT_IMPORT'!$H$42:$H$1040,"DROPBACK")/$C1334)</f>
        <v>0.0</v>
      </c>
      <c r="I1334" s="14" t="str">
        <f>IF(C1334=0,"",IF(C1334&lt;=2,"TRACK",IF(C1334=3,"LOW",IF(C1334&lt;=6,"MEDIUM","HIGH"))))</f>
        <v>TRACK</v>
      </c>
      <c r="J1334" s="11">
        <f>IF(C1334=0,"",ROUND(D1334*70+(1-E1334)*20+MAX(0,MIN(1,(10-F1334)/10))*10,1))</f>
        <v>97.0</v>
      </c>
      <c r="K1334" s="14" t="str">
        <f>IF(C1334=0,"No Evidence",IF(C1334&lt;=2,IF(E1334&gt;0,"Explosive Alert","Track Only"),IF(C1334=3,"Sample Watch",IF(E1334&gt;=START_HERE!$B$31,"Explosive Alert",IF(J1334&gt;=80,"Strong Candidate",IF(J1334&gt;=65,"Good Candidate",IF(J1334&gt;=50,"Mixed / Review","Problem Call")))))))</f>
        <v>Track Only</v>
      </c>
      <c r="L1334" s="9" t="str">
        <f>IF(COUNTIFS('DEF_SELF_SCOUT_IMPORT'!$L$42:$L$1040,"Y",'DEF_SELF_SCOUT_IMPORT'!$E$42:$E$1040,SUBSTITUTE(SUBSTITUTE(SUBSTITUTE($B1334,"~","~~"),"*","~*"),"?","~?"),'DEF_SELF_SCOUT_IMPORT'!$D$42:$D$1040,SUBSTITUTE(SUBSTITUTE(SUBSTITUTE($P1334,"~","~~"),"*","~*"),"?","~?"),'DEF_SELF_SCOUT_IMPORT'!$J$42:$J$1040,"")&gt;0,"Unscored clean outcome; review result tags before using score.",IF(C1334=0,"No matching defensive reps; film confirmation needed.",IF(K1334="Explosive Alert","Explosive risk; review clips before using as answer.",IF(C1334&lt;=2,"Track only; not enough sample.",IF(C1334=3,IF(E1334&gt;0,"Sample watch with explosive exposure; review clips and build the sample.",IF(J1334&gt;=65,"Good signal, but sample is limited.","Sample watch; review clips and build the sample.")),IF(K1334="Problem Call","Problem area; practice or call-sheet review.",IF(K1334="Strong Candidate","Strong call-fit candidate; confirm on film.",IF(K1334="Good Candidate","Good call-fit signal; confirm on film.","Mixed signal; review fit and execution on film."))))))))</f>
        <v>Track only; not enough sample.</v>
      </c>
      <c r="M1334" s="8"/>
      <c r="N1334" s="8"/>
      <c r="O1334" s="8"/>
      <c r="P1334" s="8" t="s">
        <v>432</v>
      </c>
      <c r="Q1334" s="8"/>
      <c r="R1334" s="8" t="s">
        <v>633</v>
      </c>
      <c r="S1334" s="2" t="s">
        <v>640</v>
      </c>
      <c r="T1334" s="2">
        <f>IF(C1334=0,0,IF(C1334&gt;=CALL_LOOKUP_BOARD!$B$7,IF(OR(K1334="Problem Call",K1334="Explosive Alert"),10000000,20000000),0)+IF(C1334&gt;=CALL_LOOKUP_BOARD!$B$7,J1334*1000+MIN(C1334,999),C1334*1000+J1334)+0.00992900)</f>
        <v>1097.009929</v>
      </c>
      <c r="U1334" s="2">
        <f>IF(C1334=0,"",IF(COUNTIFS($S$1264:$S$1440,SUBSTITUTE(SUBSTITUTE(SUBSTITUTE(S1334,"~","~~"),"*","~*"),"?","~?"),$T$1264:$T$1440,"&gt;"&amp;T1334)=0,S1334,""))</f>
        <v/>
      </c>
    </row>
    <row r="1335" spans="1:21" ht="38" customHeight="1">
      <c r="A1335" s="8" t="s">
        <v>432</v>
      </c>
      <c r="B1335" s="8" t="s">
        <v>67</v>
      </c>
      <c r="C1335" s="12">
        <f>COUNTIFS('DEF_SELF_SCOUT_IMPORT'!$L$42:$L$1040,"Y",'DEF_SELF_SCOUT_IMPORT'!$E$42:$E$1040,SUBSTITUTE(SUBSTITUTE(SUBSTITUTE($B1335,"~","~~"),"*","~*"),"?","~?"),'DEF_SELF_SCOUT_IMPORT'!$D$42:$D$1040,SUBSTITUTE(SUBSTITUTE(SUBSTITUTE($P1335,"~","~~"),"*","~*"),"?","~?"))</f>
        <v>1</v>
      </c>
      <c r="D1335" s="10">
        <f>IF($C1335=0,"",SUMIFS('DEF_SELF_SCOUT_IMPORT'!$J$42:$J$1040,'DEF_SELF_SCOUT_IMPORT'!$L$42:$L$1040,"Y",'DEF_SELF_SCOUT_IMPORT'!$E$42:$E$1040,SUBSTITUTE(SUBSTITUTE(SUBSTITUTE($B1335,"~","~~"),"*","~*"),"?","~?"),'DEF_SELF_SCOUT_IMPORT'!$D$42:$D$1040,SUBSTITUTE(SUBSTITUTE(SUBSTITUTE($P1335,"~","~~"),"*","~*"),"?","~?"))/$C1335)</f>
        <v>0.0</v>
      </c>
      <c r="E1335" s="10">
        <f>IF($C1335=0,"",SUMIFS('DEF_SELF_SCOUT_IMPORT'!$K$42:$K$1040,'DEF_SELF_SCOUT_IMPORT'!$L$42:$L$1040,"Y",'DEF_SELF_SCOUT_IMPORT'!$E$42:$E$1040,SUBSTITUTE(SUBSTITUTE(SUBSTITUTE($B1335,"~","~~"),"*","~*"),"?","~?"),'DEF_SELF_SCOUT_IMPORT'!$D$42:$D$1040,SUBSTITUTE(SUBSTITUTE(SUBSTITUTE($P1335,"~","~~"),"*","~*"),"?","~?"))/$C1335)</f>
        <v>0.0</v>
      </c>
      <c r="F1335" s="11">
        <f>IF($C1335=0,"",AVERAGEIFS('DEF_SELF_SCOUT_IMPORT'!$I$42:$I$1040,'DEF_SELF_SCOUT_IMPORT'!$L$42:$L$1040,"Y",'DEF_SELF_SCOUT_IMPORT'!$E$42:$E$1040,SUBSTITUTE(SUBSTITUTE(SUBSTITUTE($B1335,"~","~~"),"*","~*"),"?","~?"),'DEF_SELF_SCOUT_IMPORT'!$D$42:$D$1040,SUBSTITUTE(SUBSTITUTE(SUBSTITUTE($P1335,"~","~~"),"*","~*"),"?","~?")))</f>
        <v>6.0</v>
      </c>
      <c r="G1335" s="10">
        <f>IF($C1335=0,"",COUNTIFS('DEF_SELF_SCOUT_IMPORT'!$L$42:$L$1040,"Y",'DEF_SELF_SCOUT_IMPORT'!$E$42:$E$1040,SUBSTITUTE(SUBSTITUTE(SUBSTITUTE($B1335,"~","~~"),"*","~*"),"?","~?"),'DEF_SELF_SCOUT_IMPORT'!$D$42:$D$1040,SUBSTITUTE(SUBSTITUTE(SUBSTITUTE($P1335,"~","~~"),"*","~*"),"?","~?"),'DEF_SELF_SCOUT_IMPORT'!$H$42:$H$1040,"RUSH")/$C1335)</f>
        <v>1.0</v>
      </c>
      <c r="H1335" s="10">
        <f>IF($C1335=0,"",COUNTIFS('DEF_SELF_SCOUT_IMPORT'!$L$42:$L$1040,"Y",'DEF_SELF_SCOUT_IMPORT'!$E$42:$E$1040,SUBSTITUTE(SUBSTITUTE(SUBSTITUTE($B1335,"~","~~"),"*","~*"),"?","~?"),'DEF_SELF_SCOUT_IMPORT'!$D$42:$D$1040,SUBSTITUTE(SUBSTITUTE(SUBSTITUTE($P1335,"~","~~"),"*","~*"),"?","~?"),'DEF_SELF_SCOUT_IMPORT'!$H$42:$H$1040,"DROPBACK")/$C1335)</f>
        <v>0.0</v>
      </c>
      <c r="I1335" s="14" t="str">
        <f>IF(C1335=0,"",IF(C1335&lt;=2,"TRACK",IF(C1335=3,"LOW",IF(C1335&lt;=6,"MEDIUM","HIGH"))))</f>
        <v>TRACK</v>
      </c>
      <c r="J1335" s="11">
        <f>IF(C1335=0,"",ROUND(D1335*70+(1-E1335)*20+MAX(0,MIN(1,(10-F1335)/10))*10,1))</f>
        <v>24.0</v>
      </c>
      <c r="K1335" s="14" t="str">
        <f>IF(C1335=0,"No Evidence",IF(C1335&lt;=2,IF(E1335&gt;0,"Explosive Alert","Track Only"),IF(C1335=3,"Sample Watch",IF(E1335&gt;=START_HERE!$B$31,"Explosive Alert",IF(J1335&gt;=80,"Strong Candidate",IF(J1335&gt;=65,"Good Candidate",IF(J1335&gt;=50,"Mixed / Review","Problem Call")))))))</f>
        <v>Track Only</v>
      </c>
      <c r="L1335" s="9" t="str">
        <f>IF(COUNTIFS('DEF_SELF_SCOUT_IMPORT'!$L$42:$L$1040,"Y",'DEF_SELF_SCOUT_IMPORT'!$E$42:$E$1040,SUBSTITUTE(SUBSTITUTE(SUBSTITUTE($B1335,"~","~~"),"*","~*"),"?","~?"),'DEF_SELF_SCOUT_IMPORT'!$D$42:$D$1040,SUBSTITUTE(SUBSTITUTE(SUBSTITUTE($P1335,"~","~~"),"*","~*"),"?","~?"),'DEF_SELF_SCOUT_IMPORT'!$J$42:$J$1040,"")&gt;0,"Unscored clean outcome; review result tags before using score.",IF(C1335=0,"No matching defensive reps; film confirmation needed.",IF(K1335="Explosive Alert","Explosive risk; review clips before using as answer.",IF(C1335&lt;=2,"Track only; not enough sample.",IF(C1335=3,IF(E1335&gt;0,"Sample watch with explosive exposure; review clips and build the sample.",IF(J1335&gt;=65,"Good signal, but sample is limited.","Sample watch; review clips and build the sample.")),IF(K1335="Problem Call","Problem area; practice or call-sheet review.",IF(K1335="Strong Candidate","Strong call-fit candidate; confirm on film.",IF(K1335="Good Candidate","Good call-fit signal; confirm on film.","Mixed signal; review fit and execution on film."))))))))</f>
        <v>Track only; not enough sample.</v>
      </c>
      <c r="M1335" s="8"/>
      <c r="N1335" s="8"/>
      <c r="O1335" s="8"/>
      <c r="P1335" s="8" t="s">
        <v>432</v>
      </c>
      <c r="Q1335" s="8"/>
      <c r="R1335" s="8" t="s">
        <v>633</v>
      </c>
      <c r="S1335" s="2" t="s">
        <v>640</v>
      </c>
      <c r="T1335" s="2">
        <f>IF(C1335=0,0,IF(C1335&gt;=CALL_LOOKUP_BOARD!$B$7,IF(OR(K1335="Problem Call",K1335="Explosive Alert"),10000000,20000000),0)+IF(C1335&gt;=CALL_LOOKUP_BOARD!$B$7,J1335*1000+MIN(C1335,999),C1335*1000+J1335)+0.00992800)</f>
        <v>1024.009928</v>
      </c>
      <c r="U1335" s="2">
        <f>IF(C1335=0,"",IF(COUNTIFS($S$1264:$S$1440,SUBSTITUTE(SUBSTITUTE(SUBSTITUTE(S1335,"~","~~"),"*","~*"),"?","~?"),$T$1264:$T$1440,"&gt;"&amp;T1335)=0,S1335,""))</f>
        <v/>
      </c>
    </row>
    <row r="1336" spans="1:21" ht="38" customHeight="1">
      <c r="A1336" s="8" t="s">
        <v>432</v>
      </c>
      <c r="B1336" s="8" t="s">
        <v>68</v>
      </c>
      <c r="C1336" s="12">
        <f>COUNTIFS('DEF_SELF_SCOUT_IMPORT'!$L$42:$L$1040,"Y",'DEF_SELF_SCOUT_IMPORT'!$E$42:$E$1040,SUBSTITUTE(SUBSTITUTE(SUBSTITUTE($B1336,"~","~~"),"*","~*"),"?","~?"),'DEF_SELF_SCOUT_IMPORT'!$D$42:$D$1040,SUBSTITUTE(SUBSTITUTE(SUBSTITUTE($P1336,"~","~~"),"*","~*"),"?","~?"))</f>
        <v>1</v>
      </c>
      <c r="D1336" s="10">
        <f>IF($C1336=0,"",SUMIFS('DEF_SELF_SCOUT_IMPORT'!$J$42:$J$1040,'DEF_SELF_SCOUT_IMPORT'!$L$42:$L$1040,"Y",'DEF_SELF_SCOUT_IMPORT'!$E$42:$E$1040,SUBSTITUTE(SUBSTITUTE(SUBSTITUTE($B1336,"~","~~"),"*","~*"),"?","~?"),'DEF_SELF_SCOUT_IMPORT'!$D$42:$D$1040,SUBSTITUTE(SUBSTITUTE(SUBSTITUTE($P1336,"~","~~"),"*","~*"),"?","~?"))/$C1336)</f>
        <v>0.0</v>
      </c>
      <c r="E1336" s="10">
        <f>IF($C1336=0,"",SUMIFS('DEF_SELF_SCOUT_IMPORT'!$K$42:$K$1040,'DEF_SELF_SCOUT_IMPORT'!$L$42:$L$1040,"Y",'DEF_SELF_SCOUT_IMPORT'!$E$42:$E$1040,SUBSTITUTE(SUBSTITUTE(SUBSTITUTE($B1336,"~","~~"),"*","~*"),"?","~?"),'DEF_SELF_SCOUT_IMPORT'!$D$42:$D$1040,SUBSTITUTE(SUBSTITUTE(SUBSTITUTE($P1336,"~","~~"),"*","~*"),"?","~?"))/$C1336)</f>
        <v>0.0</v>
      </c>
      <c r="F1336" s="11">
        <f>IF($C1336=0,"",AVERAGEIFS('DEF_SELF_SCOUT_IMPORT'!$I$42:$I$1040,'DEF_SELF_SCOUT_IMPORT'!$L$42:$L$1040,"Y",'DEF_SELF_SCOUT_IMPORT'!$E$42:$E$1040,SUBSTITUTE(SUBSTITUTE(SUBSTITUTE($B1336,"~","~~"),"*","~*"),"?","~?"),'DEF_SELF_SCOUT_IMPORT'!$D$42:$D$1040,SUBSTITUTE(SUBSTITUTE(SUBSTITUTE($P1336,"~","~~"),"*","~*"),"?","~?")))</f>
        <v>5.0</v>
      </c>
      <c r="G1336" s="10">
        <f>IF($C1336=0,"",COUNTIFS('DEF_SELF_SCOUT_IMPORT'!$L$42:$L$1040,"Y",'DEF_SELF_SCOUT_IMPORT'!$E$42:$E$1040,SUBSTITUTE(SUBSTITUTE(SUBSTITUTE($B1336,"~","~~"),"*","~*"),"?","~?"),'DEF_SELF_SCOUT_IMPORT'!$D$42:$D$1040,SUBSTITUTE(SUBSTITUTE(SUBSTITUTE($P1336,"~","~~"),"*","~*"),"?","~?"),'DEF_SELF_SCOUT_IMPORT'!$H$42:$H$1040,"RUSH")/$C1336)</f>
        <v>1.0</v>
      </c>
      <c r="H1336" s="10">
        <f>IF($C1336=0,"",COUNTIFS('DEF_SELF_SCOUT_IMPORT'!$L$42:$L$1040,"Y",'DEF_SELF_SCOUT_IMPORT'!$E$42:$E$1040,SUBSTITUTE(SUBSTITUTE(SUBSTITUTE($B1336,"~","~~"),"*","~*"),"?","~?"),'DEF_SELF_SCOUT_IMPORT'!$D$42:$D$1040,SUBSTITUTE(SUBSTITUTE(SUBSTITUTE($P1336,"~","~~"),"*","~*"),"?","~?"),'DEF_SELF_SCOUT_IMPORT'!$H$42:$H$1040,"DROPBACK")/$C1336)</f>
        <v>0.0</v>
      </c>
      <c r="I1336" s="14" t="str">
        <f>IF(C1336=0,"",IF(C1336&lt;=2,"TRACK",IF(C1336=3,"LOW",IF(C1336&lt;=6,"MEDIUM","HIGH"))))</f>
        <v>TRACK</v>
      </c>
      <c r="J1336" s="11">
        <f>IF(C1336=0,"",ROUND(D1336*70+(1-E1336)*20+MAX(0,MIN(1,(10-F1336)/10))*10,1))</f>
        <v>25.0</v>
      </c>
      <c r="K1336" s="14" t="str">
        <f>IF(C1336=0,"No Evidence",IF(C1336&lt;=2,IF(E1336&gt;0,"Explosive Alert","Track Only"),IF(C1336=3,"Sample Watch",IF(E1336&gt;=START_HERE!$B$31,"Explosive Alert",IF(J1336&gt;=80,"Strong Candidate",IF(J1336&gt;=65,"Good Candidate",IF(J1336&gt;=50,"Mixed / Review","Problem Call")))))))</f>
        <v>Track Only</v>
      </c>
      <c r="L1336" s="9" t="str">
        <f>IF(COUNTIFS('DEF_SELF_SCOUT_IMPORT'!$L$42:$L$1040,"Y",'DEF_SELF_SCOUT_IMPORT'!$E$42:$E$1040,SUBSTITUTE(SUBSTITUTE(SUBSTITUTE($B1336,"~","~~"),"*","~*"),"?","~?"),'DEF_SELF_SCOUT_IMPORT'!$D$42:$D$1040,SUBSTITUTE(SUBSTITUTE(SUBSTITUTE($P1336,"~","~~"),"*","~*"),"?","~?"),'DEF_SELF_SCOUT_IMPORT'!$J$42:$J$1040,"")&gt;0,"Unscored clean outcome; review result tags before using score.",IF(C1336=0,"No matching defensive reps; film confirmation needed.",IF(K1336="Explosive Alert","Explosive risk; review clips before using as answer.",IF(C1336&lt;=2,"Track only; not enough sample.",IF(C1336=3,IF(E1336&gt;0,"Sample watch with explosive exposure; review clips and build the sample.",IF(J1336&gt;=65,"Good signal, but sample is limited.","Sample watch; review clips and build the sample.")),IF(K1336="Problem Call","Problem area; practice or call-sheet review.",IF(K1336="Strong Candidate","Strong call-fit candidate; confirm on film.",IF(K1336="Good Candidate","Good call-fit signal; confirm on film.","Mixed signal; review fit and execution on film."))))))))</f>
        <v>Track only; not enough sample.</v>
      </c>
      <c r="M1336" s="8"/>
      <c r="N1336" s="8"/>
      <c r="O1336" s="8"/>
      <c r="P1336" s="8" t="s">
        <v>432</v>
      </c>
      <c r="Q1336" s="8"/>
      <c r="R1336" s="8" t="s">
        <v>633</v>
      </c>
      <c r="S1336" s="2" t="s">
        <v>640</v>
      </c>
      <c r="T1336" s="2">
        <f>IF(C1336=0,0,IF(C1336&gt;=CALL_LOOKUP_BOARD!$B$7,IF(OR(K1336="Problem Call",K1336="Explosive Alert"),10000000,20000000),0)+IF(C1336&gt;=CALL_LOOKUP_BOARD!$B$7,J1336*1000+MIN(C1336,999),C1336*1000+J1336)+0.00992700)</f>
        <v>1025.009927</v>
      </c>
      <c r="U1336" s="2">
        <f>IF(C1336=0,"",IF(COUNTIFS($S$1264:$S$1440,SUBSTITUTE(SUBSTITUTE(SUBSTITUTE(S1336,"~","~~"),"*","~*"),"?","~?"),$T$1264:$T$1440,"&gt;"&amp;T1336)=0,S1336,""))</f>
        <v/>
      </c>
    </row>
    <row r="1337" spans="1:21" ht="38" customHeight="1">
      <c r="A1337" s="8" t="s">
        <v>605</v>
      </c>
      <c r="B1337" s="8" t="s">
        <v>35</v>
      </c>
      <c r="C1337" s="12">
        <f>COUNTIFS('DEF_SELF_SCOUT_IMPORT'!$L$42:$L$1040,"Y",'DEF_SELF_SCOUT_IMPORT'!$E$42:$E$1040,SUBSTITUTE(SUBSTITUTE(SUBSTITUTE($B1337,"~","~~"),"*","~*"),"?","~?"),'DEF_SELF_SCOUT_IMPORT'!$D$42:$D$1040,SUBSTITUTE(SUBSTITUTE(SUBSTITUTE($P1337,"~","~~"),"*","~*"),"?","~?"))</f>
        <v>1</v>
      </c>
      <c r="D1337" s="10">
        <f>IF($C1337=0,"",SUMIFS('DEF_SELF_SCOUT_IMPORT'!$J$42:$J$1040,'DEF_SELF_SCOUT_IMPORT'!$L$42:$L$1040,"Y",'DEF_SELF_SCOUT_IMPORT'!$E$42:$E$1040,SUBSTITUTE(SUBSTITUTE(SUBSTITUTE($B1337,"~","~~"),"*","~*"),"?","~?"),'DEF_SELF_SCOUT_IMPORT'!$D$42:$D$1040,SUBSTITUTE(SUBSTITUTE(SUBSTITUTE($P1337,"~","~~"),"*","~*"),"?","~?"))/$C1337)</f>
        <v>1.0</v>
      </c>
      <c r="E1337" s="10">
        <f>IF($C1337=0,"",SUMIFS('DEF_SELF_SCOUT_IMPORT'!$K$42:$K$1040,'DEF_SELF_SCOUT_IMPORT'!$L$42:$L$1040,"Y",'DEF_SELF_SCOUT_IMPORT'!$E$42:$E$1040,SUBSTITUTE(SUBSTITUTE(SUBSTITUTE($B1337,"~","~~"),"*","~*"),"?","~?"),'DEF_SELF_SCOUT_IMPORT'!$D$42:$D$1040,SUBSTITUTE(SUBSTITUTE(SUBSTITUTE($P1337,"~","~~"),"*","~*"),"?","~?"))/$C1337)</f>
        <v>0.0</v>
      </c>
      <c r="F1337" s="11">
        <f>IF($C1337=0,"",AVERAGEIFS('DEF_SELF_SCOUT_IMPORT'!$I$42:$I$1040,'DEF_SELF_SCOUT_IMPORT'!$L$42:$L$1040,"Y",'DEF_SELF_SCOUT_IMPORT'!$E$42:$E$1040,SUBSTITUTE(SUBSTITUTE(SUBSTITUTE($B1337,"~","~~"),"*","~*"),"?","~?"),'DEF_SELF_SCOUT_IMPORT'!$D$42:$D$1040,SUBSTITUTE(SUBSTITUTE(SUBSTITUTE($P1337,"~","~~"),"*","~*"),"?","~?")))</f>
        <v>0.0</v>
      </c>
      <c r="G1337" s="10">
        <f>IF($C1337=0,"",COUNTIFS('DEF_SELF_SCOUT_IMPORT'!$L$42:$L$1040,"Y",'DEF_SELF_SCOUT_IMPORT'!$E$42:$E$1040,SUBSTITUTE(SUBSTITUTE(SUBSTITUTE($B1337,"~","~~"),"*","~*"),"?","~?"),'DEF_SELF_SCOUT_IMPORT'!$D$42:$D$1040,SUBSTITUTE(SUBSTITUTE(SUBSTITUTE($P1337,"~","~~"),"*","~*"),"?","~?"),'DEF_SELF_SCOUT_IMPORT'!$H$42:$H$1040,"RUSH")/$C1337)</f>
        <v>0.0</v>
      </c>
      <c r="H1337" s="10">
        <f>IF($C1337=0,"",COUNTIFS('DEF_SELF_SCOUT_IMPORT'!$L$42:$L$1040,"Y",'DEF_SELF_SCOUT_IMPORT'!$E$42:$E$1040,SUBSTITUTE(SUBSTITUTE(SUBSTITUTE($B1337,"~","~~"),"*","~*"),"?","~?"),'DEF_SELF_SCOUT_IMPORT'!$D$42:$D$1040,SUBSTITUTE(SUBSTITUTE(SUBSTITUTE($P1337,"~","~~"),"*","~*"),"?","~?"),'DEF_SELF_SCOUT_IMPORT'!$H$42:$H$1040,"DROPBACK")/$C1337)</f>
        <v>1.0</v>
      </c>
      <c r="I1337" s="14" t="str">
        <f>IF(C1337=0,"",IF(C1337&lt;=2,"TRACK",IF(C1337=3,"LOW",IF(C1337&lt;=6,"MEDIUM","HIGH"))))</f>
        <v>TRACK</v>
      </c>
      <c r="J1337" s="11">
        <f>IF(C1337=0,"",ROUND(D1337*70+(1-E1337)*20+MAX(0,MIN(1,(10-F1337)/10))*10,1))</f>
        <v>100.0</v>
      </c>
      <c r="K1337" s="14" t="str">
        <f>IF(C1337=0,"No Evidence",IF(C1337&lt;=2,IF(E1337&gt;0,"Explosive Alert","Track Only"),IF(C1337=3,"Sample Watch",IF(E1337&gt;=START_HERE!$B$31,"Explosive Alert",IF(J1337&gt;=80,"Strong Candidate",IF(J1337&gt;=65,"Good Candidate",IF(J1337&gt;=50,"Mixed / Review","Problem Call")))))))</f>
        <v>Track Only</v>
      </c>
      <c r="L1337" s="9" t="str">
        <f>IF(COUNTIFS('DEF_SELF_SCOUT_IMPORT'!$L$42:$L$1040,"Y",'DEF_SELF_SCOUT_IMPORT'!$E$42:$E$1040,SUBSTITUTE(SUBSTITUTE(SUBSTITUTE($B1337,"~","~~"),"*","~*"),"?","~?"),'DEF_SELF_SCOUT_IMPORT'!$D$42:$D$1040,SUBSTITUTE(SUBSTITUTE(SUBSTITUTE($P1337,"~","~~"),"*","~*"),"?","~?"),'DEF_SELF_SCOUT_IMPORT'!$J$42:$J$1040,"")&gt;0,"Unscored clean outcome; review result tags before using score.",IF(C1337=0,"No matching defensive reps; film confirmation needed.",IF(K1337="Explosive Alert","Explosive risk; review clips before using as answer.",IF(C1337&lt;=2,"Track only; not enough sample.",IF(C1337=3,IF(E1337&gt;0,"Sample watch with explosive exposure; review clips and build the sample.",IF(J1337&gt;=65,"Good signal, but sample is limited.","Sample watch; review clips and build the sample.")),IF(K1337="Problem Call","Problem area; practice or call-sheet review.",IF(K1337="Strong Candidate","Strong call-fit candidate; confirm on film.",IF(K1337="Good Candidate","Good call-fit signal; confirm on film.","Mixed signal; review fit and execution on film."))))))))</f>
        <v>Track only; not enough sample.</v>
      </c>
      <c r="M1337" s="8"/>
      <c r="N1337" s="8"/>
      <c r="O1337" s="8"/>
      <c r="P1337" s="8" t="s">
        <v>605</v>
      </c>
      <c r="Q1337" s="8"/>
      <c r="R1337" s="8" t="s">
        <v>633</v>
      </c>
      <c r="S1337" s="2" t="s">
        <v>641</v>
      </c>
      <c r="T1337" s="2">
        <f>IF(C1337=0,0,IF(C1337&gt;=CALL_LOOKUP_BOARD!$B$7,IF(OR(K1337="Problem Call",K1337="Explosive Alert"),10000000,20000000),0)+IF(C1337&gt;=CALL_LOOKUP_BOARD!$B$7,J1337*1000+MIN(C1337,999),C1337*1000+J1337)+0.00992600)</f>
        <v>1100.009926</v>
      </c>
      <c r="U1337" s="2" t="str">
        <f>IF(C1337=0,"",IF(COUNTIFS($S$1264:$S$1440,SUBSTITUTE(SUBSTITUTE(SUBSTITUTE(S1337,"~","~~"),"*","~*"),"?","~?"),$T$1264:$T$1440,"&gt;"&amp;T1337)=0,S1337,""))</f>
        <v>4:DASH|</v>
      </c>
    </row>
    <row r="1338" spans="1:21" ht="38" customHeight="1">
      <c r="A1338" s="8" t="s">
        <v>608</v>
      </c>
      <c r="B1338" s="8" t="s">
        <v>44</v>
      </c>
      <c r="C1338" s="12">
        <f>COUNTIFS('DEF_SELF_SCOUT_IMPORT'!$L$42:$L$1040,"Y",'DEF_SELF_SCOUT_IMPORT'!$E$42:$E$1040,SUBSTITUTE(SUBSTITUTE(SUBSTITUTE($B1338,"~","~~"),"*","~*"),"?","~?"),'DEF_SELF_SCOUT_IMPORT'!$D$42:$D$1040,SUBSTITUTE(SUBSTITUTE(SUBSTITUTE($P1338,"~","~~"),"*","~*"),"?","~?"))</f>
        <v>1</v>
      </c>
      <c r="D1338" s="10">
        <f>IF($C1338=0,"",SUMIFS('DEF_SELF_SCOUT_IMPORT'!$J$42:$J$1040,'DEF_SELF_SCOUT_IMPORT'!$L$42:$L$1040,"Y",'DEF_SELF_SCOUT_IMPORT'!$E$42:$E$1040,SUBSTITUTE(SUBSTITUTE(SUBSTITUTE($B1338,"~","~~"),"*","~*"),"?","~?"),'DEF_SELF_SCOUT_IMPORT'!$D$42:$D$1040,SUBSTITUTE(SUBSTITUTE(SUBSTITUTE($P1338,"~","~~"),"*","~*"),"?","~?"))/$C1338)</f>
        <v>0.0</v>
      </c>
      <c r="E1338" s="10">
        <f>IF($C1338=0,"",SUMIFS('DEF_SELF_SCOUT_IMPORT'!$K$42:$K$1040,'DEF_SELF_SCOUT_IMPORT'!$L$42:$L$1040,"Y",'DEF_SELF_SCOUT_IMPORT'!$E$42:$E$1040,SUBSTITUTE(SUBSTITUTE(SUBSTITUTE($B1338,"~","~~"),"*","~*"),"?","~?"),'DEF_SELF_SCOUT_IMPORT'!$D$42:$D$1040,SUBSTITUTE(SUBSTITUTE(SUBSTITUTE($P1338,"~","~~"),"*","~*"),"?","~?"))/$C1338)</f>
        <v>1.0</v>
      </c>
      <c r="F1338" s="11">
        <f>IF($C1338=0,"",AVERAGEIFS('DEF_SELF_SCOUT_IMPORT'!$I$42:$I$1040,'DEF_SELF_SCOUT_IMPORT'!$L$42:$L$1040,"Y",'DEF_SELF_SCOUT_IMPORT'!$E$42:$E$1040,SUBSTITUTE(SUBSTITUTE(SUBSTITUTE($B1338,"~","~~"),"*","~*"),"?","~?"),'DEF_SELF_SCOUT_IMPORT'!$D$42:$D$1040,SUBSTITUTE(SUBSTITUTE(SUBSTITUTE($P1338,"~","~~"),"*","~*"),"?","~?")))</f>
        <v>14.0</v>
      </c>
      <c r="G1338" s="10">
        <f>IF($C1338=0,"",COUNTIFS('DEF_SELF_SCOUT_IMPORT'!$L$42:$L$1040,"Y",'DEF_SELF_SCOUT_IMPORT'!$E$42:$E$1040,SUBSTITUTE(SUBSTITUTE(SUBSTITUTE($B1338,"~","~~"),"*","~*"),"?","~?"),'DEF_SELF_SCOUT_IMPORT'!$D$42:$D$1040,SUBSTITUTE(SUBSTITUTE(SUBSTITUTE($P1338,"~","~~"),"*","~*"),"?","~?"),'DEF_SELF_SCOUT_IMPORT'!$H$42:$H$1040,"RUSH")/$C1338)</f>
        <v>1.0</v>
      </c>
      <c r="H1338" s="10">
        <f>IF($C1338=0,"",COUNTIFS('DEF_SELF_SCOUT_IMPORT'!$L$42:$L$1040,"Y",'DEF_SELF_SCOUT_IMPORT'!$E$42:$E$1040,SUBSTITUTE(SUBSTITUTE(SUBSTITUTE($B1338,"~","~~"),"*","~*"),"?","~?"),'DEF_SELF_SCOUT_IMPORT'!$D$42:$D$1040,SUBSTITUTE(SUBSTITUTE(SUBSTITUTE($P1338,"~","~~"),"*","~*"),"?","~?"),'DEF_SELF_SCOUT_IMPORT'!$H$42:$H$1040,"DROPBACK")/$C1338)</f>
        <v>0.0</v>
      </c>
      <c r="I1338" s="14" t="str">
        <f>IF(C1338=0,"",IF(C1338&lt;=2,"TRACK",IF(C1338=3,"LOW",IF(C1338&lt;=6,"MEDIUM","HIGH"))))</f>
        <v>TRACK</v>
      </c>
      <c r="J1338" s="11">
        <f>IF(C1338=0,"",ROUND(D1338*70+(1-E1338)*20+MAX(0,MIN(1,(10-F1338)/10))*10,1))</f>
        <v>0.0</v>
      </c>
      <c r="K1338" s="14" t="str">
        <f>IF(C1338=0,"No Evidence",IF(C1338&lt;=2,IF(E1338&gt;0,"Explosive Alert","Track Only"),IF(C1338=3,"Sample Watch",IF(E1338&gt;=START_HERE!$B$31,"Explosive Alert",IF(J1338&gt;=80,"Strong Candidate",IF(J1338&gt;=65,"Good Candidate",IF(J1338&gt;=50,"Mixed / Review","Problem Call")))))))</f>
        <v>Explosive Alert</v>
      </c>
      <c r="L1338" s="9" t="str">
        <f>IF(COUNTIFS('DEF_SELF_SCOUT_IMPORT'!$L$42:$L$1040,"Y",'DEF_SELF_SCOUT_IMPORT'!$E$42:$E$1040,SUBSTITUTE(SUBSTITUTE(SUBSTITUTE($B1338,"~","~~"),"*","~*"),"?","~?"),'DEF_SELF_SCOUT_IMPORT'!$D$42:$D$1040,SUBSTITUTE(SUBSTITUTE(SUBSTITUTE($P1338,"~","~~"),"*","~*"),"?","~?"),'DEF_SELF_SCOUT_IMPORT'!$J$42:$J$1040,"")&gt;0,"Unscored clean outcome; review result tags before using score.",IF(C1338=0,"No matching defensive reps; film confirmation needed.",IF(K1338="Explosive Alert","Explosive risk; review clips before using as answer.",IF(C1338&lt;=2,"Track only; not enough sample.",IF(C1338=3,IF(E1338&gt;0,"Sample watch with explosive exposure; review clips and build the sample.",IF(J1338&gt;=65,"Good signal, but sample is limited.","Sample watch; review clips and build the sample.")),IF(K1338="Problem Call","Problem area; practice or call-sheet review.",IF(K1338="Strong Candidate","Strong call-fit candidate; confirm on film.",IF(K1338="Good Candidate","Good call-fit signal; confirm on film.","Mixed signal; review fit and execution on film."))))))))</f>
        <v>Explosive risk; review clips before using as answer.</v>
      </c>
      <c r="M1338" s="8"/>
      <c r="N1338" s="8"/>
      <c r="O1338" s="8"/>
      <c r="P1338" s="8" t="s">
        <v>608</v>
      </c>
      <c r="Q1338" s="8"/>
      <c r="R1338" s="8" t="s">
        <v>633</v>
      </c>
      <c r="S1338" s="2" t="s">
        <v>642</v>
      </c>
      <c r="T1338" s="2">
        <f>IF(C1338=0,0,IF(C1338&gt;=CALL_LOOKUP_BOARD!$B$7,IF(OR(K1338="Problem Call",K1338="Explosive Alert"),10000000,20000000),0)+IF(C1338&gt;=CALL_LOOKUP_BOARD!$B$7,J1338*1000+MIN(C1338,999),C1338*1000+J1338)+0.00992500)</f>
        <v>1000.009925</v>
      </c>
      <c r="U1338" s="2" t="str">
        <f>IF(C1338=0,"",IF(COUNTIFS($S$1264:$S$1440,SUBSTITUTE(SUBSTITUTE(SUBSTITUTE(S1338,"~","~~"),"*","~*"),"?","~?"),$T$1264:$T$1440,"&gt;"&amp;T1338)=0,S1338,""))</f>
        <v>4:DRAW|</v>
      </c>
    </row>
    <row r="1339" spans="1:21" ht="38" customHeight="1">
      <c r="A1339" s="8" t="s">
        <v>457</v>
      </c>
      <c r="B1339" s="8" t="s">
        <v>61</v>
      </c>
      <c r="C1339" s="12">
        <f>COUNTIFS('DEF_SELF_SCOUT_IMPORT'!$L$42:$L$1040,"Y",'DEF_SELF_SCOUT_IMPORT'!$E$42:$E$1040,SUBSTITUTE(SUBSTITUTE(SUBSTITUTE($B1339,"~","~~"),"*","~*"),"?","~?"),'DEF_SELF_SCOUT_IMPORT'!$D$42:$D$1040,SUBSTITUTE(SUBSTITUTE(SUBSTITUTE($P1339,"~","~~"),"*","~*"),"?","~?"))</f>
        <v>1</v>
      </c>
      <c r="D1339" s="10">
        <f>IF($C1339=0,"",SUMIFS('DEF_SELF_SCOUT_IMPORT'!$J$42:$J$1040,'DEF_SELF_SCOUT_IMPORT'!$L$42:$L$1040,"Y",'DEF_SELF_SCOUT_IMPORT'!$E$42:$E$1040,SUBSTITUTE(SUBSTITUTE(SUBSTITUTE($B1339,"~","~~"),"*","~*"),"?","~?"),'DEF_SELF_SCOUT_IMPORT'!$D$42:$D$1040,SUBSTITUTE(SUBSTITUTE(SUBSTITUTE($P1339,"~","~~"),"*","~*"),"?","~?"))/$C1339)</f>
        <v>1.0</v>
      </c>
      <c r="E1339" s="10">
        <f>IF($C1339=0,"",SUMIFS('DEF_SELF_SCOUT_IMPORT'!$K$42:$K$1040,'DEF_SELF_SCOUT_IMPORT'!$L$42:$L$1040,"Y",'DEF_SELF_SCOUT_IMPORT'!$E$42:$E$1040,SUBSTITUTE(SUBSTITUTE(SUBSTITUTE($B1339,"~","~~"),"*","~*"),"?","~?"),'DEF_SELF_SCOUT_IMPORT'!$D$42:$D$1040,SUBSTITUTE(SUBSTITUTE(SUBSTITUTE($P1339,"~","~~"),"*","~*"),"?","~?"))/$C1339)</f>
        <v>0.0</v>
      </c>
      <c r="F1339" s="11">
        <f>IF($C1339=0,"",AVERAGEIFS('DEF_SELF_SCOUT_IMPORT'!$I$42:$I$1040,'DEF_SELF_SCOUT_IMPORT'!$L$42:$L$1040,"Y",'DEF_SELF_SCOUT_IMPORT'!$E$42:$E$1040,SUBSTITUTE(SUBSTITUTE(SUBSTITUTE($B1339,"~","~~"),"*","~*"),"?","~?"),'DEF_SELF_SCOUT_IMPORT'!$D$42:$D$1040,SUBSTITUTE(SUBSTITUTE(SUBSTITUTE($P1339,"~","~~"),"*","~*"),"?","~?")))</f>
        <v>3.0</v>
      </c>
      <c r="G1339" s="10">
        <f>IF($C1339=0,"",COUNTIFS('DEF_SELF_SCOUT_IMPORT'!$L$42:$L$1040,"Y",'DEF_SELF_SCOUT_IMPORT'!$E$42:$E$1040,SUBSTITUTE(SUBSTITUTE(SUBSTITUTE($B1339,"~","~~"),"*","~*"),"?","~?"),'DEF_SELF_SCOUT_IMPORT'!$D$42:$D$1040,SUBSTITUTE(SUBSTITUTE(SUBSTITUTE($P1339,"~","~~"),"*","~*"),"?","~?"),'DEF_SELF_SCOUT_IMPORT'!$H$42:$H$1040,"RUSH")/$C1339)</f>
        <v>1.0</v>
      </c>
      <c r="H1339" s="10">
        <f>IF($C1339=0,"",COUNTIFS('DEF_SELF_SCOUT_IMPORT'!$L$42:$L$1040,"Y",'DEF_SELF_SCOUT_IMPORT'!$E$42:$E$1040,SUBSTITUTE(SUBSTITUTE(SUBSTITUTE($B1339,"~","~~"),"*","~*"),"?","~?"),'DEF_SELF_SCOUT_IMPORT'!$D$42:$D$1040,SUBSTITUTE(SUBSTITUTE(SUBSTITUTE($P1339,"~","~~"),"*","~*"),"?","~?"),'DEF_SELF_SCOUT_IMPORT'!$H$42:$H$1040,"DROPBACK")/$C1339)</f>
        <v>0.0</v>
      </c>
      <c r="I1339" s="14" t="str">
        <f>IF(C1339=0,"",IF(C1339&lt;=2,"TRACK",IF(C1339=3,"LOW",IF(C1339&lt;=6,"MEDIUM","HIGH"))))</f>
        <v>TRACK</v>
      </c>
      <c r="J1339" s="11">
        <f>IF(C1339=0,"",ROUND(D1339*70+(1-E1339)*20+MAX(0,MIN(1,(10-F1339)/10))*10,1))</f>
        <v>97.0</v>
      </c>
      <c r="K1339" s="14" t="str">
        <f>IF(C1339=0,"No Evidence",IF(C1339&lt;=2,IF(E1339&gt;0,"Explosive Alert","Track Only"),IF(C1339=3,"Sample Watch",IF(E1339&gt;=START_HERE!$B$31,"Explosive Alert",IF(J1339&gt;=80,"Strong Candidate",IF(J1339&gt;=65,"Good Candidate",IF(J1339&gt;=50,"Mixed / Review","Problem Call")))))))</f>
        <v>Track Only</v>
      </c>
      <c r="L1339" s="9" t="str">
        <f>IF(COUNTIFS('DEF_SELF_SCOUT_IMPORT'!$L$42:$L$1040,"Y",'DEF_SELF_SCOUT_IMPORT'!$E$42:$E$1040,SUBSTITUTE(SUBSTITUTE(SUBSTITUTE($B1339,"~","~~"),"*","~*"),"?","~?"),'DEF_SELF_SCOUT_IMPORT'!$D$42:$D$1040,SUBSTITUTE(SUBSTITUTE(SUBSTITUTE($P1339,"~","~~"),"*","~*"),"?","~?"),'DEF_SELF_SCOUT_IMPORT'!$J$42:$J$1040,"")&gt;0,"Unscored clean outcome; review result tags before using score.",IF(C1339=0,"No matching defensive reps; film confirmation needed.",IF(K1339="Explosive Alert","Explosive risk; review clips before using as answer.",IF(C1339&lt;=2,"Track only; not enough sample.",IF(C1339=3,IF(E1339&gt;0,"Sample watch with explosive exposure; review clips and build the sample.",IF(J1339&gt;=65,"Good signal, but sample is limited.","Sample watch; review clips and build the sample.")),IF(K1339="Problem Call","Problem area; practice or call-sheet review.",IF(K1339="Strong Candidate","Strong call-fit candidate; confirm on film.",IF(K1339="Good Candidate","Good call-fit signal; confirm on film.","Mixed signal; review fit and execution on film."))))))))</f>
        <v>Track only; not enough sample.</v>
      </c>
      <c r="M1339" s="8"/>
      <c r="N1339" s="8"/>
      <c r="O1339" s="8"/>
      <c r="P1339" s="8" t="s">
        <v>457</v>
      </c>
      <c r="Q1339" s="8"/>
      <c r="R1339" s="8" t="s">
        <v>633</v>
      </c>
      <c r="S1339" s="2" t="s">
        <v>643</v>
      </c>
      <c r="T1339" s="2">
        <f>IF(C1339=0,0,IF(C1339&gt;=CALL_LOOKUP_BOARD!$B$7,IF(OR(K1339="Problem Call",K1339="Explosive Alert"),10000000,20000000),0)+IF(C1339&gt;=CALL_LOOKUP_BOARD!$B$7,J1339*1000+MIN(C1339,999),C1339*1000+J1339)+0.00992400)</f>
        <v>1097.009924</v>
      </c>
      <c r="U1339" s="2" t="str">
        <f>IF(C1339=0,"",IF(COUNTIFS($S$1264:$S$1440,SUBSTITUTE(SUBSTITUTE(SUBSTITUTE(S1339,"~","~~"),"*","~*"),"?","~?"),$T$1264:$T$1440,"&gt;"&amp;T1339)=0,S1339,""))</f>
        <v>3:DUO|</v>
      </c>
    </row>
    <row r="1340" spans="1:21" ht="38" customHeight="1">
      <c r="A1340" s="8" t="s">
        <v>611</v>
      </c>
      <c r="B1340" s="8" t="s">
        <v>67</v>
      </c>
      <c r="C1340" s="12">
        <f>COUNTIFS('DEF_SELF_SCOUT_IMPORT'!$L$42:$L$1040,"Y",'DEF_SELF_SCOUT_IMPORT'!$E$42:$E$1040,SUBSTITUTE(SUBSTITUTE(SUBSTITUTE($B1340,"~","~~"),"*","~*"),"?","~?"),'DEF_SELF_SCOUT_IMPORT'!$D$42:$D$1040,SUBSTITUTE(SUBSTITUTE(SUBSTITUTE($P1340,"~","~~"),"*","~*"),"?","~?"))</f>
        <v>1</v>
      </c>
      <c r="D1340" s="10">
        <f>IF($C1340=0,"",SUMIFS('DEF_SELF_SCOUT_IMPORT'!$J$42:$J$1040,'DEF_SELF_SCOUT_IMPORT'!$L$42:$L$1040,"Y",'DEF_SELF_SCOUT_IMPORT'!$E$42:$E$1040,SUBSTITUTE(SUBSTITUTE(SUBSTITUTE($B1340,"~","~~"),"*","~*"),"?","~?"),'DEF_SELF_SCOUT_IMPORT'!$D$42:$D$1040,SUBSTITUTE(SUBSTITUTE(SUBSTITUTE($P1340,"~","~~"),"*","~*"),"?","~?"))/$C1340)</f>
        <v>1.0</v>
      </c>
      <c r="E1340" s="10">
        <f>IF($C1340=0,"",SUMIFS('DEF_SELF_SCOUT_IMPORT'!$K$42:$K$1040,'DEF_SELF_SCOUT_IMPORT'!$L$42:$L$1040,"Y",'DEF_SELF_SCOUT_IMPORT'!$E$42:$E$1040,SUBSTITUTE(SUBSTITUTE(SUBSTITUTE($B1340,"~","~~"),"*","~*"),"?","~?"),'DEF_SELF_SCOUT_IMPORT'!$D$42:$D$1040,SUBSTITUTE(SUBSTITUTE(SUBSTITUTE($P1340,"~","~~"),"*","~*"),"?","~?"))/$C1340)</f>
        <v>0.0</v>
      </c>
      <c r="F1340" s="11">
        <f>IF($C1340=0,"",AVERAGEIFS('DEF_SELF_SCOUT_IMPORT'!$I$42:$I$1040,'DEF_SELF_SCOUT_IMPORT'!$L$42:$L$1040,"Y",'DEF_SELF_SCOUT_IMPORT'!$E$42:$E$1040,SUBSTITUTE(SUBSTITUTE(SUBSTITUTE($B1340,"~","~~"),"*","~*"),"?","~?"),'DEF_SELF_SCOUT_IMPORT'!$D$42:$D$1040,SUBSTITUTE(SUBSTITUTE(SUBSTITUTE($P1340,"~","~~"),"*","~*"),"?","~?")))</f>
        <v>3.0</v>
      </c>
      <c r="G1340" s="10">
        <f>IF($C1340=0,"",COUNTIFS('DEF_SELF_SCOUT_IMPORT'!$L$42:$L$1040,"Y",'DEF_SELF_SCOUT_IMPORT'!$E$42:$E$1040,SUBSTITUTE(SUBSTITUTE(SUBSTITUTE($B1340,"~","~~"),"*","~*"),"?","~?"),'DEF_SELF_SCOUT_IMPORT'!$D$42:$D$1040,SUBSTITUTE(SUBSTITUTE(SUBSTITUTE($P1340,"~","~~"),"*","~*"),"?","~?"),'DEF_SELF_SCOUT_IMPORT'!$H$42:$H$1040,"RUSH")/$C1340)</f>
        <v>1.0</v>
      </c>
      <c r="H1340" s="10">
        <f>IF($C1340=0,"",COUNTIFS('DEF_SELF_SCOUT_IMPORT'!$L$42:$L$1040,"Y",'DEF_SELF_SCOUT_IMPORT'!$E$42:$E$1040,SUBSTITUTE(SUBSTITUTE(SUBSTITUTE($B1340,"~","~~"),"*","~*"),"?","~?"),'DEF_SELF_SCOUT_IMPORT'!$D$42:$D$1040,SUBSTITUTE(SUBSTITUTE(SUBSTITUTE($P1340,"~","~~"),"*","~*"),"?","~?"),'DEF_SELF_SCOUT_IMPORT'!$H$42:$H$1040,"DROPBACK")/$C1340)</f>
        <v>0.0</v>
      </c>
      <c r="I1340" s="14" t="str">
        <f>IF(C1340=0,"",IF(C1340&lt;=2,"TRACK",IF(C1340=3,"LOW",IF(C1340&lt;=6,"MEDIUM","HIGH"))))</f>
        <v>TRACK</v>
      </c>
      <c r="J1340" s="11">
        <f>IF(C1340=0,"",ROUND(D1340*70+(1-E1340)*20+MAX(0,MIN(1,(10-F1340)/10))*10,1))</f>
        <v>97.0</v>
      </c>
      <c r="K1340" s="14" t="str">
        <f>IF(C1340=0,"No Evidence",IF(C1340&lt;=2,IF(E1340&gt;0,"Explosive Alert","Track Only"),IF(C1340=3,"Sample Watch",IF(E1340&gt;=START_HERE!$B$31,"Explosive Alert",IF(J1340&gt;=80,"Strong Candidate",IF(J1340&gt;=65,"Good Candidate",IF(J1340&gt;=50,"Mixed / Review","Problem Call")))))))</f>
        <v>Track Only</v>
      </c>
      <c r="L1340" s="9" t="str">
        <f>IF(COUNTIFS('DEF_SELF_SCOUT_IMPORT'!$L$42:$L$1040,"Y",'DEF_SELF_SCOUT_IMPORT'!$E$42:$E$1040,SUBSTITUTE(SUBSTITUTE(SUBSTITUTE($B1340,"~","~~"),"*","~*"),"?","~?"),'DEF_SELF_SCOUT_IMPORT'!$D$42:$D$1040,SUBSTITUTE(SUBSTITUTE(SUBSTITUTE($P1340,"~","~~"),"*","~*"),"?","~?"),'DEF_SELF_SCOUT_IMPORT'!$J$42:$J$1040,"")&gt;0,"Unscored clean outcome; review result tags before using score.",IF(C1340=0,"No matching defensive reps; film confirmation needed.",IF(K1340="Explosive Alert","Explosive risk; review clips before using as answer.",IF(C1340&lt;=2,"Track only; not enough sample.",IF(C1340=3,IF(E1340&gt;0,"Sample watch with explosive exposure; review clips and build the sample.",IF(J1340&gt;=65,"Good signal, but sample is limited.","Sample watch; review clips and build the sample.")),IF(K1340="Problem Call","Problem area; practice or call-sheet review.",IF(K1340="Strong Candidate","Strong call-fit candidate; confirm on film.",IF(K1340="Good Candidate","Good call-fit signal; confirm on film.","Mixed signal; review fit and execution on film."))))))))</f>
        <v>Track only; not enough sample.</v>
      </c>
      <c r="M1340" s="8"/>
      <c r="N1340" s="8"/>
      <c r="O1340" s="8"/>
      <c r="P1340" s="8" t="s">
        <v>611</v>
      </c>
      <c r="Q1340" s="8"/>
      <c r="R1340" s="8" t="s">
        <v>633</v>
      </c>
      <c r="S1340" s="2" t="s">
        <v>644</v>
      </c>
      <c r="T1340" s="2">
        <f>IF(C1340=0,0,IF(C1340&gt;=CALL_LOOKUP_BOARD!$B$7,IF(OR(K1340="Problem Call",K1340="Explosive Alert"),10000000,20000000),0)+IF(C1340&gt;=CALL_LOOKUP_BOARD!$B$7,J1340*1000+MIN(C1340,999),C1340*1000+J1340)+0.00992300)</f>
        <v>1097.009923</v>
      </c>
      <c r="U1340" s="2" t="str">
        <f>IF(C1340=0,"",IF(COUNTIFS($S$1264:$S$1440,SUBSTITUTE(SUBSTITUTE(SUBSTITUTE(S1340,"~","~~"),"*","~*"),"?","~?"),$T$1264:$T$1440,"&gt;"&amp;T1340)=0,S1340,""))</f>
        <v>9:FLY SWEEP|</v>
      </c>
    </row>
    <row r="1341" spans="1:21" ht="38" customHeight="1">
      <c r="A1341" s="8" t="s">
        <v>460</v>
      </c>
      <c r="B1341" s="8" t="s">
        <v>52</v>
      </c>
      <c r="C1341" s="12">
        <f>COUNTIFS('DEF_SELF_SCOUT_IMPORT'!$L$42:$L$1040,"Y",'DEF_SELF_SCOUT_IMPORT'!$E$42:$E$1040,SUBSTITUTE(SUBSTITUTE(SUBSTITUTE($B1341,"~","~~"),"*","~*"),"?","~?"),'DEF_SELF_SCOUT_IMPORT'!$D$42:$D$1040,SUBSTITUTE(SUBSTITUTE(SUBSTITUTE($P1341,"~","~~"),"*","~*"),"?","~?"))</f>
        <v>1</v>
      </c>
      <c r="D1341" s="10">
        <f>IF($C1341=0,"",SUMIFS('DEF_SELF_SCOUT_IMPORT'!$J$42:$J$1040,'DEF_SELF_SCOUT_IMPORT'!$L$42:$L$1040,"Y",'DEF_SELF_SCOUT_IMPORT'!$E$42:$E$1040,SUBSTITUTE(SUBSTITUTE(SUBSTITUTE($B1341,"~","~~"),"*","~*"),"?","~?"),'DEF_SELF_SCOUT_IMPORT'!$D$42:$D$1040,SUBSTITUTE(SUBSTITUTE(SUBSTITUTE($P1341,"~","~~"),"*","~*"),"?","~?"))/$C1341)</f>
        <v>1.0</v>
      </c>
      <c r="E1341" s="10">
        <f>IF($C1341=0,"",SUMIFS('DEF_SELF_SCOUT_IMPORT'!$K$42:$K$1040,'DEF_SELF_SCOUT_IMPORT'!$L$42:$L$1040,"Y",'DEF_SELF_SCOUT_IMPORT'!$E$42:$E$1040,SUBSTITUTE(SUBSTITUTE(SUBSTITUTE($B1341,"~","~~"),"*","~*"),"?","~?"),'DEF_SELF_SCOUT_IMPORT'!$D$42:$D$1040,SUBSTITUTE(SUBSTITUTE(SUBSTITUTE($P1341,"~","~~"),"*","~*"),"?","~?"))/$C1341)</f>
        <v>0.0</v>
      </c>
      <c r="F1341" s="11">
        <f>IF($C1341=0,"",AVERAGEIFS('DEF_SELF_SCOUT_IMPORT'!$I$42:$I$1040,'DEF_SELF_SCOUT_IMPORT'!$L$42:$L$1040,"Y",'DEF_SELF_SCOUT_IMPORT'!$E$42:$E$1040,SUBSTITUTE(SUBSTITUTE(SUBSTITUTE($B1341,"~","~~"),"*","~*"),"?","~?"),'DEF_SELF_SCOUT_IMPORT'!$D$42:$D$1040,SUBSTITUTE(SUBSTITUTE(SUBSTITUTE($P1341,"~","~~"),"*","~*"),"?","~?")))</f>
        <v>2.0</v>
      </c>
      <c r="G1341" s="10">
        <f>IF($C1341=0,"",COUNTIFS('DEF_SELF_SCOUT_IMPORT'!$L$42:$L$1040,"Y",'DEF_SELF_SCOUT_IMPORT'!$E$42:$E$1040,SUBSTITUTE(SUBSTITUTE(SUBSTITUTE($B1341,"~","~~"),"*","~*"),"?","~?"),'DEF_SELF_SCOUT_IMPORT'!$D$42:$D$1040,SUBSTITUTE(SUBSTITUTE(SUBSTITUTE($P1341,"~","~~"),"*","~*"),"?","~?"),'DEF_SELF_SCOUT_IMPORT'!$H$42:$H$1040,"RUSH")/$C1341)</f>
        <v>0.0</v>
      </c>
      <c r="H1341" s="10">
        <f>IF($C1341=0,"",COUNTIFS('DEF_SELF_SCOUT_IMPORT'!$L$42:$L$1040,"Y",'DEF_SELF_SCOUT_IMPORT'!$E$42:$E$1040,SUBSTITUTE(SUBSTITUTE(SUBSTITUTE($B1341,"~","~~"),"*","~*"),"?","~?"),'DEF_SELF_SCOUT_IMPORT'!$D$42:$D$1040,SUBSTITUTE(SUBSTITUTE(SUBSTITUTE($P1341,"~","~~"),"*","~*"),"?","~?"),'DEF_SELF_SCOUT_IMPORT'!$H$42:$H$1040,"DROPBACK")/$C1341)</f>
        <v>1.0</v>
      </c>
      <c r="I1341" s="14" t="str">
        <f>IF(C1341=0,"",IF(C1341&lt;=2,"TRACK",IF(C1341=3,"LOW",IF(C1341&lt;=6,"MEDIUM","HIGH"))))</f>
        <v>TRACK</v>
      </c>
      <c r="J1341" s="11">
        <f>IF(C1341=0,"",ROUND(D1341*70+(1-E1341)*20+MAX(0,MIN(1,(10-F1341)/10))*10,1))</f>
        <v>98.0</v>
      </c>
      <c r="K1341" s="14" t="str">
        <f>IF(C1341=0,"No Evidence",IF(C1341&lt;=2,IF(E1341&gt;0,"Explosive Alert","Track Only"),IF(C1341=3,"Sample Watch",IF(E1341&gt;=START_HERE!$B$31,"Explosive Alert",IF(J1341&gt;=80,"Strong Candidate",IF(J1341&gt;=65,"Good Candidate",IF(J1341&gt;=50,"Mixed / Review","Problem Call")))))))</f>
        <v>Track Only</v>
      </c>
      <c r="L1341" s="9" t="str">
        <f>IF(COUNTIFS('DEF_SELF_SCOUT_IMPORT'!$L$42:$L$1040,"Y",'DEF_SELF_SCOUT_IMPORT'!$E$42:$E$1040,SUBSTITUTE(SUBSTITUTE(SUBSTITUTE($B1341,"~","~~"),"*","~*"),"?","~?"),'DEF_SELF_SCOUT_IMPORT'!$D$42:$D$1040,SUBSTITUTE(SUBSTITUTE(SUBSTITUTE($P1341,"~","~~"),"*","~*"),"?","~?"),'DEF_SELF_SCOUT_IMPORT'!$J$42:$J$1040,"")&gt;0,"Unscored clean outcome; review result tags before using score.",IF(C1341=0,"No matching defensive reps; film confirmation needed.",IF(K1341="Explosive Alert","Explosive risk; review clips before using as answer.",IF(C1341&lt;=2,"Track only; not enough sample.",IF(C1341=3,IF(E1341&gt;0,"Sample watch with explosive exposure; review clips and build the sample.",IF(J1341&gt;=65,"Good signal, but sample is limited.","Sample watch; review clips and build the sample.")),IF(K1341="Problem Call","Problem area; practice or call-sheet review.",IF(K1341="Strong Candidate","Strong call-fit candidate; confirm on film.",IF(K1341="Good Candidate","Good call-fit signal; confirm on film.","Mixed signal; review fit and execution on film."))))))))</f>
        <v>Track only; not enough sample.</v>
      </c>
      <c r="M1341" s="8"/>
      <c r="N1341" s="8"/>
      <c r="O1341" s="8"/>
      <c r="P1341" s="8" t="s">
        <v>460</v>
      </c>
      <c r="Q1341" s="8"/>
      <c r="R1341" s="8" t="s">
        <v>633</v>
      </c>
      <c r="S1341" s="2" t="s">
        <v>645</v>
      </c>
      <c r="T1341" s="2">
        <f>IF(C1341=0,0,IF(C1341&gt;=CALL_LOOKUP_BOARD!$B$7,IF(OR(K1341="Problem Call",K1341="Explosive Alert"),10000000,20000000),0)+IF(C1341&gt;=CALL_LOOKUP_BOARD!$B$7,J1341*1000+MIN(C1341,999),C1341*1000+J1341)+0.00992200)</f>
        <v>1098.009922</v>
      </c>
      <c r="U1341" s="2" t="str">
        <f>IF(C1341=0,"",IF(COUNTIFS($S$1264:$S$1440,SUBSTITUTE(SUBSTITUTE(SUBSTITUTE(S1341,"~","~~"),"*","~*"),"?","~?"),$T$1264:$T$1440,"&gt;"&amp;T1341)=0,S1341,""))</f>
        <v>8:FLY TOSS|</v>
      </c>
    </row>
    <row r="1342" spans="1:21" ht="38" customHeight="1">
      <c r="A1342" s="8" t="s">
        <v>460</v>
      </c>
      <c r="B1342" s="8" t="s">
        <v>53</v>
      </c>
      <c r="C1342" s="12">
        <f>COUNTIFS('DEF_SELF_SCOUT_IMPORT'!$L$42:$L$1040,"Y",'DEF_SELF_SCOUT_IMPORT'!$E$42:$E$1040,SUBSTITUTE(SUBSTITUTE(SUBSTITUTE($B1342,"~","~~"),"*","~*"),"?","~?"),'DEF_SELF_SCOUT_IMPORT'!$D$42:$D$1040,SUBSTITUTE(SUBSTITUTE(SUBSTITUTE($P1342,"~","~~"),"*","~*"),"?","~?"))</f>
        <v>1</v>
      </c>
      <c r="D1342" s="10">
        <f>IF($C1342=0,"",SUMIFS('DEF_SELF_SCOUT_IMPORT'!$J$42:$J$1040,'DEF_SELF_SCOUT_IMPORT'!$L$42:$L$1040,"Y",'DEF_SELF_SCOUT_IMPORT'!$E$42:$E$1040,SUBSTITUTE(SUBSTITUTE(SUBSTITUTE($B1342,"~","~~"),"*","~*"),"?","~?"),'DEF_SELF_SCOUT_IMPORT'!$D$42:$D$1040,SUBSTITUTE(SUBSTITUTE(SUBSTITUTE($P1342,"~","~~"),"*","~*"),"?","~?"))/$C1342)</f>
        <v>1.0</v>
      </c>
      <c r="E1342" s="10">
        <f>IF($C1342=0,"",SUMIFS('DEF_SELF_SCOUT_IMPORT'!$K$42:$K$1040,'DEF_SELF_SCOUT_IMPORT'!$L$42:$L$1040,"Y",'DEF_SELF_SCOUT_IMPORT'!$E$42:$E$1040,SUBSTITUTE(SUBSTITUTE(SUBSTITUTE($B1342,"~","~~"),"*","~*"),"?","~?"),'DEF_SELF_SCOUT_IMPORT'!$D$42:$D$1040,SUBSTITUTE(SUBSTITUTE(SUBSTITUTE($P1342,"~","~~"),"*","~*"),"?","~?"))/$C1342)</f>
        <v>0.0</v>
      </c>
      <c r="F1342" s="11">
        <f>IF($C1342=0,"",AVERAGEIFS('DEF_SELF_SCOUT_IMPORT'!$I$42:$I$1040,'DEF_SELF_SCOUT_IMPORT'!$L$42:$L$1040,"Y",'DEF_SELF_SCOUT_IMPORT'!$E$42:$E$1040,SUBSTITUTE(SUBSTITUTE(SUBSTITUTE($B1342,"~","~~"),"*","~*"),"?","~?"),'DEF_SELF_SCOUT_IMPORT'!$D$42:$D$1040,SUBSTITUTE(SUBSTITUTE(SUBSTITUTE($P1342,"~","~~"),"*","~*"),"?","~?")))</f>
        <v>6.0</v>
      </c>
      <c r="G1342" s="10">
        <f>IF($C1342=0,"",COUNTIFS('DEF_SELF_SCOUT_IMPORT'!$L$42:$L$1040,"Y",'DEF_SELF_SCOUT_IMPORT'!$E$42:$E$1040,SUBSTITUTE(SUBSTITUTE(SUBSTITUTE($B1342,"~","~~"),"*","~*"),"?","~?"),'DEF_SELF_SCOUT_IMPORT'!$D$42:$D$1040,SUBSTITUTE(SUBSTITUTE(SUBSTITUTE($P1342,"~","~~"),"*","~*"),"?","~?"),'DEF_SELF_SCOUT_IMPORT'!$H$42:$H$1040,"RUSH")/$C1342)</f>
        <v>0.0</v>
      </c>
      <c r="H1342" s="10">
        <f>IF($C1342=0,"",COUNTIFS('DEF_SELF_SCOUT_IMPORT'!$L$42:$L$1040,"Y",'DEF_SELF_SCOUT_IMPORT'!$E$42:$E$1040,SUBSTITUTE(SUBSTITUTE(SUBSTITUTE($B1342,"~","~~"),"*","~*"),"?","~?"),'DEF_SELF_SCOUT_IMPORT'!$D$42:$D$1040,SUBSTITUTE(SUBSTITUTE(SUBSTITUTE($P1342,"~","~~"),"*","~*"),"?","~?"),'DEF_SELF_SCOUT_IMPORT'!$H$42:$H$1040,"DROPBACK")/$C1342)</f>
        <v>1.0</v>
      </c>
      <c r="I1342" s="14" t="str">
        <f>IF(C1342=0,"",IF(C1342&lt;=2,"TRACK",IF(C1342=3,"LOW",IF(C1342&lt;=6,"MEDIUM","HIGH"))))</f>
        <v>TRACK</v>
      </c>
      <c r="J1342" s="11">
        <f>IF(C1342=0,"",ROUND(D1342*70+(1-E1342)*20+MAX(0,MIN(1,(10-F1342)/10))*10,1))</f>
        <v>94.0</v>
      </c>
      <c r="K1342" s="14" t="str">
        <f>IF(C1342=0,"No Evidence",IF(C1342&lt;=2,IF(E1342&gt;0,"Explosive Alert","Track Only"),IF(C1342=3,"Sample Watch",IF(E1342&gt;=START_HERE!$B$31,"Explosive Alert",IF(J1342&gt;=80,"Strong Candidate",IF(J1342&gt;=65,"Good Candidate",IF(J1342&gt;=50,"Mixed / Review","Problem Call")))))))</f>
        <v>Track Only</v>
      </c>
      <c r="L1342" s="9" t="str">
        <f>IF(COUNTIFS('DEF_SELF_SCOUT_IMPORT'!$L$42:$L$1040,"Y",'DEF_SELF_SCOUT_IMPORT'!$E$42:$E$1040,SUBSTITUTE(SUBSTITUTE(SUBSTITUTE($B1342,"~","~~"),"*","~*"),"?","~?"),'DEF_SELF_SCOUT_IMPORT'!$D$42:$D$1040,SUBSTITUTE(SUBSTITUTE(SUBSTITUTE($P1342,"~","~~"),"*","~*"),"?","~?"),'DEF_SELF_SCOUT_IMPORT'!$J$42:$J$1040,"")&gt;0,"Unscored clean outcome; review result tags before using score.",IF(C1342=0,"No matching defensive reps; film confirmation needed.",IF(K1342="Explosive Alert","Explosive risk; review clips before using as answer.",IF(C1342&lt;=2,"Track only; not enough sample.",IF(C1342=3,IF(E1342&gt;0,"Sample watch with explosive exposure; review clips and build the sample.",IF(J1342&gt;=65,"Good signal, but sample is limited.","Sample watch; review clips and build the sample.")),IF(K1342="Problem Call","Problem area; practice or call-sheet review.",IF(K1342="Strong Candidate","Strong call-fit candidate; confirm on film.",IF(K1342="Good Candidate","Good call-fit signal; confirm on film.","Mixed signal; review fit and execution on film."))))))))</f>
        <v>Track only; not enough sample.</v>
      </c>
      <c r="M1342" s="8"/>
      <c r="N1342" s="8"/>
      <c r="O1342" s="8"/>
      <c r="P1342" s="8" t="s">
        <v>460</v>
      </c>
      <c r="Q1342" s="8"/>
      <c r="R1342" s="8" t="s">
        <v>633</v>
      </c>
      <c r="S1342" s="2" t="s">
        <v>645</v>
      </c>
      <c r="T1342" s="2">
        <f>IF(C1342=0,0,IF(C1342&gt;=CALL_LOOKUP_BOARD!$B$7,IF(OR(K1342="Problem Call",K1342="Explosive Alert"),10000000,20000000),0)+IF(C1342&gt;=CALL_LOOKUP_BOARD!$B$7,J1342*1000+MIN(C1342,999),C1342*1000+J1342)+0.00992100)</f>
        <v>1094.009921</v>
      </c>
      <c r="U1342" s="2">
        <f>IF(C1342=0,"",IF(COUNTIFS($S$1264:$S$1440,SUBSTITUTE(SUBSTITUTE(SUBSTITUTE(S1342,"~","~~"),"*","~*"),"?","~?"),$T$1264:$T$1440,"&gt;"&amp;T1342)=0,S1342,""))</f>
        <v/>
      </c>
    </row>
    <row r="1343" spans="1:21" ht="38" customHeight="1">
      <c r="A1343" s="8" t="s">
        <v>561</v>
      </c>
      <c r="B1343" s="8" t="s">
        <v>32</v>
      </c>
      <c r="C1343" s="12">
        <f>COUNTIFS('DEF_SELF_SCOUT_IMPORT'!$L$42:$L$1040,"Y",'DEF_SELF_SCOUT_IMPORT'!$E$42:$E$1040,SUBSTITUTE(SUBSTITUTE(SUBSTITUTE($B1343,"~","~~"),"*","~*"),"?","~?"),'DEF_SELF_SCOUT_IMPORT'!$D$42:$D$1040,SUBSTITUTE(SUBSTITUTE(SUBSTITUTE($P1343,"~","~~"),"*","~*"),"?","~?"))</f>
        <v>1</v>
      </c>
      <c r="D1343" s="10">
        <f>IF($C1343=0,"",SUMIFS('DEF_SELF_SCOUT_IMPORT'!$J$42:$J$1040,'DEF_SELF_SCOUT_IMPORT'!$L$42:$L$1040,"Y",'DEF_SELF_SCOUT_IMPORT'!$E$42:$E$1040,SUBSTITUTE(SUBSTITUTE(SUBSTITUTE($B1343,"~","~~"),"*","~*"),"?","~?"),'DEF_SELF_SCOUT_IMPORT'!$D$42:$D$1040,SUBSTITUTE(SUBSTITUTE(SUBSTITUTE($P1343,"~","~~"),"*","~*"),"?","~?"))/$C1343)</f>
        <v>0.0</v>
      </c>
      <c r="E1343" s="10">
        <f>IF($C1343=0,"",SUMIFS('DEF_SELF_SCOUT_IMPORT'!$K$42:$K$1040,'DEF_SELF_SCOUT_IMPORT'!$L$42:$L$1040,"Y",'DEF_SELF_SCOUT_IMPORT'!$E$42:$E$1040,SUBSTITUTE(SUBSTITUTE(SUBSTITUTE($B1343,"~","~~"),"*","~*"),"?","~?"),'DEF_SELF_SCOUT_IMPORT'!$D$42:$D$1040,SUBSTITUTE(SUBSTITUTE(SUBSTITUTE($P1343,"~","~~"),"*","~*"),"?","~?"))/$C1343)</f>
        <v>1.0</v>
      </c>
      <c r="F1343" s="11">
        <f>IF($C1343=0,"",AVERAGEIFS('DEF_SELF_SCOUT_IMPORT'!$I$42:$I$1040,'DEF_SELF_SCOUT_IMPORT'!$L$42:$L$1040,"Y",'DEF_SELF_SCOUT_IMPORT'!$E$42:$E$1040,SUBSTITUTE(SUBSTITUTE(SUBSTITUTE($B1343,"~","~~"),"*","~*"),"?","~?"),'DEF_SELF_SCOUT_IMPORT'!$D$42:$D$1040,SUBSTITUTE(SUBSTITUTE(SUBSTITUTE($P1343,"~","~~"),"*","~*"),"?","~?")))</f>
        <v>72.0</v>
      </c>
      <c r="G1343" s="10">
        <f>IF($C1343=0,"",COUNTIFS('DEF_SELF_SCOUT_IMPORT'!$L$42:$L$1040,"Y",'DEF_SELF_SCOUT_IMPORT'!$E$42:$E$1040,SUBSTITUTE(SUBSTITUTE(SUBSTITUTE($B1343,"~","~~"),"*","~*"),"?","~?"),'DEF_SELF_SCOUT_IMPORT'!$D$42:$D$1040,SUBSTITUTE(SUBSTITUTE(SUBSTITUTE($P1343,"~","~~"),"*","~*"),"?","~?"),'DEF_SELF_SCOUT_IMPORT'!$H$42:$H$1040,"RUSH")/$C1343)</f>
        <v>0.0</v>
      </c>
      <c r="H1343" s="10">
        <f>IF($C1343=0,"",COUNTIFS('DEF_SELF_SCOUT_IMPORT'!$L$42:$L$1040,"Y",'DEF_SELF_SCOUT_IMPORT'!$E$42:$E$1040,SUBSTITUTE(SUBSTITUTE(SUBSTITUTE($B1343,"~","~~"),"*","~*"),"?","~?"),'DEF_SELF_SCOUT_IMPORT'!$D$42:$D$1040,SUBSTITUTE(SUBSTITUTE(SUBSTITUTE($P1343,"~","~~"),"*","~*"),"?","~?"),'DEF_SELF_SCOUT_IMPORT'!$H$42:$H$1040,"DROPBACK")/$C1343)</f>
        <v>1.0</v>
      </c>
      <c r="I1343" s="14" t="str">
        <f>IF(C1343=0,"",IF(C1343&lt;=2,"TRACK",IF(C1343=3,"LOW",IF(C1343&lt;=6,"MEDIUM","HIGH"))))</f>
        <v>TRACK</v>
      </c>
      <c r="J1343" s="11">
        <f>IF(C1343=0,"",ROUND(D1343*70+(1-E1343)*20+MAX(0,MIN(1,(10-F1343)/10))*10,1))</f>
        <v>0.0</v>
      </c>
      <c r="K1343" s="14" t="str">
        <f>IF(C1343=0,"No Evidence",IF(C1343&lt;=2,IF(E1343&gt;0,"Explosive Alert","Track Only"),IF(C1343=3,"Sample Watch",IF(E1343&gt;=START_HERE!$B$31,"Explosive Alert",IF(J1343&gt;=80,"Strong Candidate",IF(J1343&gt;=65,"Good Candidate",IF(J1343&gt;=50,"Mixed / Review","Problem Call")))))))</f>
        <v>Explosive Alert</v>
      </c>
      <c r="L1343" s="9" t="str">
        <f>IF(COUNTIFS('DEF_SELF_SCOUT_IMPORT'!$L$42:$L$1040,"Y",'DEF_SELF_SCOUT_IMPORT'!$E$42:$E$1040,SUBSTITUTE(SUBSTITUTE(SUBSTITUTE($B1343,"~","~~"),"*","~*"),"?","~?"),'DEF_SELF_SCOUT_IMPORT'!$D$42:$D$1040,SUBSTITUTE(SUBSTITUTE(SUBSTITUTE($P1343,"~","~~"),"*","~*"),"?","~?"),'DEF_SELF_SCOUT_IMPORT'!$J$42:$J$1040,"")&gt;0,"Unscored clean outcome; review result tags before using score.",IF(C1343=0,"No matching defensive reps; film confirmation needed.",IF(K1343="Explosive Alert","Explosive risk; review clips before using as answer.",IF(C1343&lt;=2,"Track only; not enough sample.",IF(C1343=3,IF(E1343&gt;0,"Sample watch with explosive exposure; review clips and build the sample.",IF(J1343&gt;=65,"Good signal, but sample is limited.","Sample watch; review clips and build the sample.")),IF(K1343="Problem Call","Problem area; practice or call-sheet review.",IF(K1343="Strong Candidate","Strong call-fit candidate; confirm on film.",IF(K1343="Good Candidate","Good call-fit signal; confirm on film.","Mixed signal; review fit and execution on film."))))))))</f>
        <v>Explosive risk; review clips before using as answer.</v>
      </c>
      <c r="M1343" s="8"/>
      <c r="N1343" s="8"/>
      <c r="O1343" s="8"/>
      <c r="P1343" s="8" t="s">
        <v>561</v>
      </c>
      <c r="Q1343" s="8"/>
      <c r="R1343" s="8" t="s">
        <v>633</v>
      </c>
      <c r="S1343" s="2" t="s">
        <v>646</v>
      </c>
      <c r="T1343" s="2">
        <f>IF(C1343=0,0,IF(C1343&gt;=CALL_LOOKUP_BOARD!$B$7,IF(OR(K1343="Problem Call",K1343="Explosive Alert"),10000000,20000000),0)+IF(C1343&gt;=CALL_LOOKUP_BOARD!$B$7,J1343*1000+MIN(C1343,999),C1343*1000+J1343)+0.00992000)</f>
        <v>1000.00992</v>
      </c>
      <c r="U1343" s="2">
        <f>IF(C1343=0,"",IF(COUNTIFS($S$1264:$S$1440,SUBSTITUTE(SUBSTITUTE(SUBSTITUTE(S1343,"~","~~"),"*","~*"),"?","~?"),$T$1264:$T$1440,"&gt;"&amp;T1343)=0,S1343,""))</f>
        <v/>
      </c>
    </row>
    <row r="1344" spans="1:21" ht="38" customHeight="1">
      <c r="A1344" s="8" t="s">
        <v>561</v>
      </c>
      <c r="B1344" s="8" t="s">
        <v>101</v>
      </c>
      <c r="C1344" s="12">
        <f>COUNTIFS('DEF_SELF_SCOUT_IMPORT'!$L$42:$L$1040,"Y",'DEF_SELF_SCOUT_IMPORT'!$E$42:$E$1040,SUBSTITUTE(SUBSTITUTE(SUBSTITUTE($B1344,"~","~~"),"*","~*"),"?","~?"),'DEF_SELF_SCOUT_IMPORT'!$D$42:$D$1040,SUBSTITUTE(SUBSTITUTE(SUBSTITUTE($P1344,"~","~~"),"*","~*"),"?","~?"))</f>
        <v>1</v>
      </c>
      <c r="D1344" s="10">
        <f>IF($C1344=0,"",SUMIFS('DEF_SELF_SCOUT_IMPORT'!$J$42:$J$1040,'DEF_SELF_SCOUT_IMPORT'!$L$42:$L$1040,"Y",'DEF_SELF_SCOUT_IMPORT'!$E$42:$E$1040,SUBSTITUTE(SUBSTITUTE(SUBSTITUTE($B1344,"~","~~"),"*","~*"),"?","~?"),'DEF_SELF_SCOUT_IMPORT'!$D$42:$D$1040,SUBSTITUTE(SUBSTITUTE(SUBSTITUTE($P1344,"~","~~"),"*","~*"),"?","~?"))/$C1344)</f>
        <v>1.0</v>
      </c>
      <c r="E1344" s="10">
        <f>IF($C1344=0,"",SUMIFS('DEF_SELF_SCOUT_IMPORT'!$K$42:$K$1040,'DEF_SELF_SCOUT_IMPORT'!$L$42:$L$1040,"Y",'DEF_SELF_SCOUT_IMPORT'!$E$42:$E$1040,SUBSTITUTE(SUBSTITUTE(SUBSTITUTE($B1344,"~","~~"),"*","~*"),"?","~?"),'DEF_SELF_SCOUT_IMPORT'!$D$42:$D$1040,SUBSTITUTE(SUBSTITUTE(SUBSTITUTE($P1344,"~","~~"),"*","~*"),"?","~?"))/$C1344)</f>
        <v>0.0</v>
      </c>
      <c r="F1344" s="11">
        <f>IF($C1344=0,"",AVERAGEIFS('DEF_SELF_SCOUT_IMPORT'!$I$42:$I$1040,'DEF_SELF_SCOUT_IMPORT'!$L$42:$L$1040,"Y",'DEF_SELF_SCOUT_IMPORT'!$E$42:$E$1040,SUBSTITUTE(SUBSTITUTE(SUBSTITUTE($B1344,"~","~~"),"*","~*"),"?","~?"),'DEF_SELF_SCOUT_IMPORT'!$D$42:$D$1040,SUBSTITUTE(SUBSTITUTE(SUBSTITUTE($P1344,"~","~~"),"*","~*"),"?","~?")))</f>
        <v>4.0</v>
      </c>
      <c r="G1344" s="10">
        <f>IF($C1344=0,"",COUNTIFS('DEF_SELF_SCOUT_IMPORT'!$L$42:$L$1040,"Y",'DEF_SELF_SCOUT_IMPORT'!$E$42:$E$1040,SUBSTITUTE(SUBSTITUTE(SUBSTITUTE($B1344,"~","~~"),"*","~*"),"?","~?"),'DEF_SELF_SCOUT_IMPORT'!$D$42:$D$1040,SUBSTITUTE(SUBSTITUTE(SUBSTITUTE($P1344,"~","~~"),"*","~*"),"?","~?"),'DEF_SELF_SCOUT_IMPORT'!$H$42:$H$1040,"RUSH")/$C1344)</f>
        <v>0.0</v>
      </c>
      <c r="H1344" s="10">
        <f>IF($C1344=0,"",COUNTIFS('DEF_SELF_SCOUT_IMPORT'!$L$42:$L$1040,"Y",'DEF_SELF_SCOUT_IMPORT'!$E$42:$E$1040,SUBSTITUTE(SUBSTITUTE(SUBSTITUTE($B1344,"~","~~"),"*","~*"),"?","~?"),'DEF_SELF_SCOUT_IMPORT'!$D$42:$D$1040,SUBSTITUTE(SUBSTITUTE(SUBSTITUTE($P1344,"~","~~"),"*","~*"),"?","~?"),'DEF_SELF_SCOUT_IMPORT'!$H$42:$H$1040,"DROPBACK")/$C1344)</f>
        <v>1.0</v>
      </c>
      <c r="I1344" s="14" t="str">
        <f>IF(C1344=0,"",IF(C1344&lt;=2,"TRACK",IF(C1344=3,"LOW",IF(C1344&lt;=6,"MEDIUM","HIGH"))))</f>
        <v>TRACK</v>
      </c>
      <c r="J1344" s="11">
        <f>IF(C1344=0,"",ROUND(D1344*70+(1-E1344)*20+MAX(0,MIN(1,(10-F1344)/10))*10,1))</f>
        <v>96.0</v>
      </c>
      <c r="K1344" s="14" t="str">
        <f>IF(C1344=0,"No Evidence",IF(C1344&lt;=2,IF(E1344&gt;0,"Explosive Alert","Track Only"),IF(C1344=3,"Sample Watch",IF(E1344&gt;=START_HERE!$B$31,"Explosive Alert",IF(J1344&gt;=80,"Strong Candidate",IF(J1344&gt;=65,"Good Candidate",IF(J1344&gt;=50,"Mixed / Review","Problem Call")))))))</f>
        <v>Track Only</v>
      </c>
      <c r="L1344" s="9" t="str">
        <f>IF(COUNTIFS('DEF_SELF_SCOUT_IMPORT'!$L$42:$L$1040,"Y",'DEF_SELF_SCOUT_IMPORT'!$E$42:$E$1040,SUBSTITUTE(SUBSTITUTE(SUBSTITUTE($B1344,"~","~~"),"*","~*"),"?","~?"),'DEF_SELF_SCOUT_IMPORT'!$D$42:$D$1040,SUBSTITUTE(SUBSTITUTE(SUBSTITUTE($P1344,"~","~~"),"*","~*"),"?","~?"),'DEF_SELF_SCOUT_IMPORT'!$J$42:$J$1040,"")&gt;0,"Unscored clean outcome; review result tags before using score.",IF(C1344=0,"No matching defensive reps; film confirmation needed.",IF(K1344="Explosive Alert","Explosive risk; review clips before using as answer.",IF(C1344&lt;=2,"Track only; not enough sample.",IF(C1344=3,IF(E1344&gt;0,"Sample watch with explosive exposure; review clips and build the sample.",IF(J1344&gt;=65,"Good signal, but sample is limited.","Sample watch; review clips and build the sample.")),IF(K1344="Problem Call","Problem area; practice or call-sheet review.",IF(K1344="Strong Candidate","Strong call-fit candidate; confirm on film.",IF(K1344="Good Candidate","Good call-fit signal; confirm on film.","Mixed signal; review fit and execution on film."))))))))</f>
        <v>Track only; not enough sample.</v>
      </c>
      <c r="M1344" s="8"/>
      <c r="N1344" s="8"/>
      <c r="O1344" s="8"/>
      <c r="P1344" s="8" t="s">
        <v>561</v>
      </c>
      <c r="Q1344" s="8"/>
      <c r="R1344" s="8" t="s">
        <v>633</v>
      </c>
      <c r="S1344" s="2" t="s">
        <v>646</v>
      </c>
      <c r="T1344" s="2">
        <f>IF(C1344=0,0,IF(C1344&gt;=CALL_LOOKUP_BOARD!$B$7,IF(OR(K1344="Problem Call",K1344="Explosive Alert"),10000000,20000000),0)+IF(C1344&gt;=CALL_LOOKUP_BOARD!$B$7,J1344*1000+MIN(C1344,999),C1344*1000+J1344)+0.00991900)</f>
        <v>1096.009919</v>
      </c>
      <c r="U1344" s="2" t="str">
        <f>IF(C1344=0,"",IF(COUNTIFS($S$1264:$S$1440,SUBSTITUTE(SUBSTITUTE(SUBSTITUTE(S1344,"~","~~"),"*","~*"),"?","~?"),$T$1264:$T$1440,"&gt;"&amp;T1344)=0,S1344,""))</f>
        <v>5:FUZZY|</v>
      </c>
    </row>
    <row r="1345" spans="1:21" ht="38" customHeight="1">
      <c r="A1345" s="8" t="s">
        <v>428</v>
      </c>
      <c r="B1345" s="8" t="s">
        <v>40</v>
      </c>
      <c r="C1345" s="12">
        <f>COUNTIFS('DEF_SELF_SCOUT_IMPORT'!$L$42:$L$1040,"Y",'DEF_SELF_SCOUT_IMPORT'!$E$42:$E$1040,SUBSTITUTE(SUBSTITUTE(SUBSTITUTE($B1345,"~","~~"),"*","~*"),"?","~?"),'DEF_SELF_SCOUT_IMPORT'!$D$42:$D$1040,SUBSTITUTE(SUBSTITUTE(SUBSTITUTE($P1345,"~","~~"),"*","~*"),"?","~?"))</f>
        <v>3</v>
      </c>
      <c r="D1345" s="10">
        <f>IF($C1345=0,"",SUMIFS('DEF_SELF_SCOUT_IMPORT'!$J$42:$J$1040,'DEF_SELF_SCOUT_IMPORT'!$L$42:$L$1040,"Y",'DEF_SELF_SCOUT_IMPORT'!$E$42:$E$1040,SUBSTITUTE(SUBSTITUTE(SUBSTITUTE($B1345,"~","~~"),"*","~*"),"?","~?"),'DEF_SELF_SCOUT_IMPORT'!$D$42:$D$1040,SUBSTITUTE(SUBSTITUTE(SUBSTITUTE($P1345,"~","~~"),"*","~*"),"?","~?"))/$C1345)</f>
        <v>0.0</v>
      </c>
      <c r="E1345" s="10">
        <f>IF($C1345=0,"",SUMIFS('DEF_SELF_SCOUT_IMPORT'!$K$42:$K$1040,'DEF_SELF_SCOUT_IMPORT'!$L$42:$L$1040,"Y",'DEF_SELF_SCOUT_IMPORT'!$E$42:$E$1040,SUBSTITUTE(SUBSTITUTE(SUBSTITUTE($B1345,"~","~~"),"*","~*"),"?","~?"),'DEF_SELF_SCOUT_IMPORT'!$D$42:$D$1040,SUBSTITUTE(SUBSTITUTE(SUBSTITUTE($P1345,"~","~~"),"*","~*"),"?","~?"))/$C1345)</f>
        <v>0.0</v>
      </c>
      <c r="F1345" s="11">
        <f>IF($C1345=0,"",AVERAGEIFS('DEF_SELF_SCOUT_IMPORT'!$I$42:$I$1040,'DEF_SELF_SCOUT_IMPORT'!$L$42:$L$1040,"Y",'DEF_SELF_SCOUT_IMPORT'!$E$42:$E$1040,SUBSTITUTE(SUBSTITUTE(SUBSTITUTE($B1345,"~","~~"),"*","~*"),"?","~?"),'DEF_SELF_SCOUT_IMPORT'!$D$42:$D$1040,SUBSTITUTE(SUBSTITUTE(SUBSTITUTE($P1345,"~","~~"),"*","~*"),"?","~?")))</f>
        <v>6.333333333333333</v>
      </c>
      <c r="G1345" s="10">
        <f>IF($C1345=0,"",COUNTIFS('DEF_SELF_SCOUT_IMPORT'!$L$42:$L$1040,"Y",'DEF_SELF_SCOUT_IMPORT'!$E$42:$E$1040,SUBSTITUTE(SUBSTITUTE(SUBSTITUTE($B1345,"~","~~"),"*","~*"),"?","~?"),'DEF_SELF_SCOUT_IMPORT'!$D$42:$D$1040,SUBSTITUTE(SUBSTITUTE(SUBSTITUTE($P1345,"~","~~"),"*","~*"),"?","~?"),'DEF_SELF_SCOUT_IMPORT'!$H$42:$H$1040,"RUSH")/$C1345)</f>
        <v>1.0</v>
      </c>
      <c r="H1345" s="10">
        <f>IF($C1345=0,"",COUNTIFS('DEF_SELF_SCOUT_IMPORT'!$L$42:$L$1040,"Y",'DEF_SELF_SCOUT_IMPORT'!$E$42:$E$1040,SUBSTITUTE(SUBSTITUTE(SUBSTITUTE($B1345,"~","~~"),"*","~*"),"?","~?"),'DEF_SELF_SCOUT_IMPORT'!$D$42:$D$1040,SUBSTITUTE(SUBSTITUTE(SUBSTITUTE($P1345,"~","~~"),"*","~*"),"?","~?"),'DEF_SELF_SCOUT_IMPORT'!$H$42:$H$1040,"DROPBACK")/$C1345)</f>
        <v>0.0</v>
      </c>
      <c r="I1345" s="14" t="str">
        <f>IF(C1345=0,"",IF(C1345&lt;=2,"TRACK",IF(C1345=3,"LOW",IF(C1345&lt;=6,"MEDIUM","HIGH"))))</f>
        <v>LOW</v>
      </c>
      <c r="J1345" s="11">
        <f>IF(C1345=0,"",ROUND(D1345*70+(1-E1345)*20+MAX(0,MIN(1,(10-F1345)/10))*10,1))</f>
        <v>23.7</v>
      </c>
      <c r="K1345" s="14" t="str">
        <f>IF(C1345=0,"No Evidence",IF(C1345&lt;=2,IF(E1345&gt;0,"Explosive Alert","Track Only"),IF(C1345=3,"Sample Watch",IF(E1345&gt;=START_HERE!$B$31,"Explosive Alert",IF(J1345&gt;=80,"Strong Candidate",IF(J1345&gt;=65,"Good Candidate",IF(J1345&gt;=50,"Mixed / Review","Problem Call")))))))</f>
        <v>Sample Watch</v>
      </c>
      <c r="L1345" s="9" t="str">
        <f>IF(COUNTIFS('DEF_SELF_SCOUT_IMPORT'!$L$42:$L$1040,"Y",'DEF_SELF_SCOUT_IMPORT'!$E$42:$E$1040,SUBSTITUTE(SUBSTITUTE(SUBSTITUTE($B1345,"~","~~"),"*","~*"),"?","~?"),'DEF_SELF_SCOUT_IMPORT'!$D$42:$D$1040,SUBSTITUTE(SUBSTITUTE(SUBSTITUTE($P1345,"~","~~"),"*","~*"),"?","~?"),'DEF_SELF_SCOUT_IMPORT'!$J$42:$J$1040,"")&gt;0,"Unscored clean outcome; review result tags before using score.",IF(C1345=0,"No matching defensive reps; film confirmation needed.",IF(K1345="Explosive Alert","Explosive risk; review clips before using as answer.",IF(C1345&lt;=2,"Track only; not enough sample.",IF(C1345=3,IF(E1345&gt;0,"Sample watch with explosive exposure; review clips and build the sample.",IF(J1345&gt;=65,"Good signal, but sample is limited.","Sample watch; review clips and build the sample.")),IF(K1345="Problem Call","Problem area; practice or call-sheet review.",IF(K1345="Strong Candidate","Strong call-fit candidate; confirm on film.",IF(K1345="Good Candidate","Good call-fit signal; confirm on film.","Mixed signal; review fit and execution on film."))))))))</f>
        <v>Sample watch; review clips and build the sample.</v>
      </c>
      <c r="M1345" s="8"/>
      <c r="N1345" s="8"/>
      <c r="O1345" s="8"/>
      <c r="P1345" s="8" t="s">
        <v>428</v>
      </c>
      <c r="Q1345" s="8"/>
      <c r="R1345" s="8" t="s">
        <v>633</v>
      </c>
      <c r="S1345" s="2" t="s">
        <v>647</v>
      </c>
      <c r="T1345" s="2">
        <f>IF(C1345=0,0,IF(C1345&gt;=CALL_LOOKUP_BOARD!$B$7,IF(OR(K1345="Problem Call",K1345="Explosive Alert"),10000000,20000000),0)+IF(C1345&gt;=CALL_LOOKUP_BOARD!$B$7,J1345*1000+MIN(C1345,999),C1345*1000+J1345)+0.00991800)</f>
        <v>3023.709918</v>
      </c>
      <c r="U1345" s="2">
        <f>IF(C1345=0,"",IF(COUNTIFS($S$1264:$S$1440,SUBSTITUTE(SUBSTITUTE(SUBSTITUTE(S1345,"~","~~"),"*","~*"),"?","~?"),$T$1264:$T$1440,"&gt;"&amp;T1345)=0,S1345,""))</f>
        <v/>
      </c>
    </row>
    <row r="1346" spans="1:21" ht="38" customHeight="1">
      <c r="A1346" s="8" t="s">
        <v>428</v>
      </c>
      <c r="B1346" s="8" t="s">
        <v>27</v>
      </c>
      <c r="C1346" s="12">
        <f>COUNTIFS('DEF_SELF_SCOUT_IMPORT'!$L$42:$L$1040,"Y",'DEF_SELF_SCOUT_IMPORT'!$E$42:$E$1040,SUBSTITUTE(SUBSTITUTE(SUBSTITUTE($B1346,"~","~~"),"*","~*"),"?","~?"),'DEF_SELF_SCOUT_IMPORT'!$D$42:$D$1040,SUBSTITUTE(SUBSTITUTE(SUBSTITUTE($P1346,"~","~~"),"*","~*"),"?","~?"))</f>
        <v>3</v>
      </c>
      <c r="D1346" s="10">
        <f>IF($C1346=0,"",SUMIFS('DEF_SELF_SCOUT_IMPORT'!$J$42:$J$1040,'DEF_SELF_SCOUT_IMPORT'!$L$42:$L$1040,"Y",'DEF_SELF_SCOUT_IMPORT'!$E$42:$E$1040,SUBSTITUTE(SUBSTITUTE(SUBSTITUTE($B1346,"~","~~"),"*","~*"),"?","~?"),'DEF_SELF_SCOUT_IMPORT'!$D$42:$D$1040,SUBSTITUTE(SUBSTITUTE(SUBSTITUTE($P1346,"~","~~"),"*","~*"),"?","~?"))/$C1346)</f>
        <v>0.3333333333333333</v>
      </c>
      <c r="E1346" s="10">
        <f>IF($C1346=0,"",SUMIFS('DEF_SELF_SCOUT_IMPORT'!$K$42:$K$1040,'DEF_SELF_SCOUT_IMPORT'!$L$42:$L$1040,"Y",'DEF_SELF_SCOUT_IMPORT'!$E$42:$E$1040,SUBSTITUTE(SUBSTITUTE(SUBSTITUTE($B1346,"~","~~"),"*","~*"),"?","~?"),'DEF_SELF_SCOUT_IMPORT'!$D$42:$D$1040,SUBSTITUTE(SUBSTITUTE(SUBSTITUTE($P1346,"~","~~"),"*","~*"),"?","~?"))/$C1346)</f>
        <v>0.0</v>
      </c>
      <c r="F1346" s="11">
        <f>IF($C1346=0,"",AVERAGEIFS('DEF_SELF_SCOUT_IMPORT'!$I$42:$I$1040,'DEF_SELF_SCOUT_IMPORT'!$L$42:$L$1040,"Y",'DEF_SELF_SCOUT_IMPORT'!$E$42:$E$1040,SUBSTITUTE(SUBSTITUTE(SUBSTITUTE($B1346,"~","~~"),"*","~*"),"?","~?"),'DEF_SELF_SCOUT_IMPORT'!$D$42:$D$1040,SUBSTITUTE(SUBSTITUTE(SUBSTITUTE($P1346,"~","~~"),"*","~*"),"?","~?")))</f>
        <v>1.0</v>
      </c>
      <c r="G1346" s="10">
        <f>IF($C1346=0,"",COUNTIFS('DEF_SELF_SCOUT_IMPORT'!$L$42:$L$1040,"Y",'DEF_SELF_SCOUT_IMPORT'!$E$42:$E$1040,SUBSTITUTE(SUBSTITUTE(SUBSTITUTE($B1346,"~","~~"),"*","~*"),"?","~?"),'DEF_SELF_SCOUT_IMPORT'!$D$42:$D$1040,SUBSTITUTE(SUBSTITUTE(SUBSTITUTE($P1346,"~","~~"),"*","~*"),"?","~?"),'DEF_SELF_SCOUT_IMPORT'!$H$42:$H$1040,"RUSH")/$C1346)</f>
        <v>0.3333333333333333</v>
      </c>
      <c r="H1346" s="10">
        <f>IF($C1346=0,"",COUNTIFS('DEF_SELF_SCOUT_IMPORT'!$L$42:$L$1040,"Y",'DEF_SELF_SCOUT_IMPORT'!$E$42:$E$1040,SUBSTITUTE(SUBSTITUTE(SUBSTITUTE($B1346,"~","~~"),"*","~*"),"?","~?"),'DEF_SELF_SCOUT_IMPORT'!$D$42:$D$1040,SUBSTITUTE(SUBSTITUTE(SUBSTITUTE($P1346,"~","~~"),"*","~*"),"?","~?"),'DEF_SELF_SCOUT_IMPORT'!$H$42:$H$1040,"DROPBACK")/$C1346)</f>
        <v>0.0</v>
      </c>
      <c r="I1346" s="14" t="str">
        <f>IF(C1346=0,"",IF(C1346&lt;=2,"TRACK",IF(C1346=3,"LOW",IF(C1346&lt;=6,"MEDIUM","HIGH"))))</f>
        <v>LOW</v>
      </c>
      <c r="J1346" s="11">
        <f>IF(C1346=0,"",ROUND(D1346*70+(1-E1346)*20+MAX(0,MIN(1,(10-F1346)/10))*10,1))</f>
        <v>52.3</v>
      </c>
      <c r="K1346" s="14" t="str">
        <f>IF(C1346=0,"No Evidence",IF(C1346&lt;=2,IF(E1346&gt;0,"Explosive Alert","Track Only"),IF(C1346=3,"Sample Watch",IF(E1346&gt;=START_HERE!$B$31,"Explosive Alert",IF(J1346&gt;=80,"Strong Candidate",IF(J1346&gt;=65,"Good Candidate",IF(J1346&gt;=50,"Mixed / Review","Problem Call")))))))</f>
        <v>Sample Watch</v>
      </c>
      <c r="L1346" s="9" t="str">
        <f>IF(COUNTIFS('DEF_SELF_SCOUT_IMPORT'!$L$42:$L$1040,"Y",'DEF_SELF_SCOUT_IMPORT'!$E$42:$E$1040,SUBSTITUTE(SUBSTITUTE(SUBSTITUTE($B1346,"~","~~"),"*","~*"),"?","~?"),'DEF_SELF_SCOUT_IMPORT'!$D$42:$D$1040,SUBSTITUTE(SUBSTITUTE(SUBSTITUTE($P1346,"~","~~"),"*","~*"),"?","~?"),'DEF_SELF_SCOUT_IMPORT'!$J$42:$J$1040,"")&gt;0,"Unscored clean outcome; review result tags before using score.",IF(C1346=0,"No matching defensive reps; film confirmation needed.",IF(K1346="Explosive Alert","Explosive risk; review clips before using as answer.",IF(C1346&lt;=2,"Track only; not enough sample.",IF(C1346=3,IF(E1346&gt;0,"Sample watch with explosive exposure; review clips and build the sample.",IF(J1346&gt;=65,"Good signal, but sample is limited.","Sample watch; review clips and build the sample.")),IF(K1346="Problem Call","Problem area; practice or call-sheet review.",IF(K1346="Strong Candidate","Strong call-fit candidate; confirm on film.",IF(K1346="Good Candidate","Good call-fit signal; confirm on film.","Mixed signal; review fit and execution on film."))))))))</f>
        <v>Sample watch; review clips and build the sample.</v>
      </c>
      <c r="M1346" s="8"/>
      <c r="N1346" s="8"/>
      <c r="O1346" s="8"/>
      <c r="P1346" s="8" t="s">
        <v>428</v>
      </c>
      <c r="Q1346" s="8"/>
      <c r="R1346" s="8" t="s">
        <v>633</v>
      </c>
      <c r="S1346" s="2" t="s">
        <v>647</v>
      </c>
      <c r="T1346" s="2">
        <f>IF(C1346=0,0,IF(C1346&gt;=CALL_LOOKUP_BOARD!$B$7,IF(OR(K1346="Problem Call",K1346="Explosive Alert"),10000000,20000000),0)+IF(C1346&gt;=CALL_LOOKUP_BOARD!$B$7,J1346*1000+MIN(C1346,999),C1346*1000+J1346)+0.00991700)</f>
        <v>3052.309917</v>
      </c>
      <c r="U1346" s="2">
        <f>IF(C1346=0,"",IF(COUNTIFS($S$1264:$S$1440,SUBSTITUTE(SUBSTITUTE(SUBSTITUTE(S1346,"~","~~"),"*","~*"),"?","~?"),$T$1264:$T$1440,"&gt;"&amp;T1346)=0,S1346,""))</f>
        <v/>
      </c>
    </row>
    <row r="1347" spans="1:21" ht="38" customHeight="1">
      <c r="A1347" s="8" t="s">
        <v>428</v>
      </c>
      <c r="B1347" s="8" t="s">
        <v>37</v>
      </c>
      <c r="C1347" s="12">
        <f>COUNTIFS('DEF_SELF_SCOUT_IMPORT'!$L$42:$L$1040,"Y",'DEF_SELF_SCOUT_IMPORT'!$E$42:$E$1040,SUBSTITUTE(SUBSTITUTE(SUBSTITUTE($B1347,"~","~~"),"*","~*"),"?","~?"),'DEF_SELF_SCOUT_IMPORT'!$D$42:$D$1040,SUBSTITUTE(SUBSTITUTE(SUBSTITUTE($P1347,"~","~~"),"*","~*"),"?","~?"))</f>
        <v>1</v>
      </c>
      <c r="D1347" s="10">
        <f>IF($C1347=0,"",SUMIFS('DEF_SELF_SCOUT_IMPORT'!$J$42:$J$1040,'DEF_SELF_SCOUT_IMPORT'!$L$42:$L$1040,"Y",'DEF_SELF_SCOUT_IMPORT'!$E$42:$E$1040,SUBSTITUTE(SUBSTITUTE(SUBSTITUTE($B1347,"~","~~"),"*","~*"),"?","~?"),'DEF_SELF_SCOUT_IMPORT'!$D$42:$D$1040,SUBSTITUTE(SUBSTITUTE(SUBSTITUTE($P1347,"~","~~"),"*","~*"),"?","~?"))/$C1347)</f>
        <v>0.0</v>
      </c>
      <c r="E1347" s="10">
        <f>IF($C1347=0,"",SUMIFS('DEF_SELF_SCOUT_IMPORT'!$K$42:$K$1040,'DEF_SELF_SCOUT_IMPORT'!$L$42:$L$1040,"Y",'DEF_SELF_SCOUT_IMPORT'!$E$42:$E$1040,SUBSTITUTE(SUBSTITUTE(SUBSTITUTE($B1347,"~","~~"),"*","~*"),"?","~?"),'DEF_SELF_SCOUT_IMPORT'!$D$42:$D$1040,SUBSTITUTE(SUBSTITUTE(SUBSTITUTE($P1347,"~","~~"),"*","~*"),"?","~?"))/$C1347)</f>
        <v>0.0</v>
      </c>
      <c r="F1347" s="11">
        <f>IF($C1347=0,"",AVERAGEIFS('DEF_SELF_SCOUT_IMPORT'!$I$42:$I$1040,'DEF_SELF_SCOUT_IMPORT'!$L$42:$L$1040,"Y",'DEF_SELF_SCOUT_IMPORT'!$E$42:$E$1040,SUBSTITUTE(SUBSTITUTE(SUBSTITUTE($B1347,"~","~~"),"*","~*"),"?","~?"),'DEF_SELF_SCOUT_IMPORT'!$D$42:$D$1040,SUBSTITUTE(SUBSTITUTE(SUBSTITUTE($P1347,"~","~~"),"*","~*"),"?","~?")))</f>
        <v>5.0</v>
      </c>
      <c r="G1347" s="10">
        <f>IF($C1347=0,"",COUNTIFS('DEF_SELF_SCOUT_IMPORT'!$L$42:$L$1040,"Y",'DEF_SELF_SCOUT_IMPORT'!$E$42:$E$1040,SUBSTITUTE(SUBSTITUTE(SUBSTITUTE($B1347,"~","~~"),"*","~*"),"?","~?"),'DEF_SELF_SCOUT_IMPORT'!$D$42:$D$1040,SUBSTITUTE(SUBSTITUTE(SUBSTITUTE($P1347,"~","~~"),"*","~*"),"?","~?"),'DEF_SELF_SCOUT_IMPORT'!$H$42:$H$1040,"RUSH")/$C1347)</f>
        <v>0.0</v>
      </c>
      <c r="H1347" s="10">
        <f>IF($C1347=0,"",COUNTIFS('DEF_SELF_SCOUT_IMPORT'!$L$42:$L$1040,"Y",'DEF_SELF_SCOUT_IMPORT'!$E$42:$E$1040,SUBSTITUTE(SUBSTITUTE(SUBSTITUTE($B1347,"~","~~"),"*","~*"),"?","~?"),'DEF_SELF_SCOUT_IMPORT'!$D$42:$D$1040,SUBSTITUTE(SUBSTITUTE(SUBSTITUTE($P1347,"~","~~"),"*","~*"),"?","~?"),'DEF_SELF_SCOUT_IMPORT'!$H$42:$H$1040,"DROPBACK")/$C1347)</f>
        <v>0.0</v>
      </c>
      <c r="I1347" s="14" t="str">
        <f>IF(C1347=0,"",IF(C1347&lt;=2,"TRACK",IF(C1347=3,"LOW",IF(C1347&lt;=6,"MEDIUM","HIGH"))))</f>
        <v>TRACK</v>
      </c>
      <c r="J1347" s="11">
        <f>IF(C1347=0,"",ROUND(D1347*70+(1-E1347)*20+MAX(0,MIN(1,(10-F1347)/10))*10,1))</f>
        <v>25.0</v>
      </c>
      <c r="K1347" s="14" t="str">
        <f>IF(C1347=0,"No Evidence",IF(C1347&lt;=2,IF(E1347&gt;0,"Explosive Alert","Track Only"),IF(C1347=3,"Sample Watch",IF(E1347&gt;=START_HERE!$B$31,"Explosive Alert",IF(J1347&gt;=80,"Strong Candidate",IF(J1347&gt;=65,"Good Candidate",IF(J1347&gt;=50,"Mixed / Review","Problem Call")))))))</f>
        <v>Track Only</v>
      </c>
      <c r="L1347" s="9" t="str">
        <f>IF(COUNTIFS('DEF_SELF_SCOUT_IMPORT'!$L$42:$L$1040,"Y",'DEF_SELF_SCOUT_IMPORT'!$E$42:$E$1040,SUBSTITUTE(SUBSTITUTE(SUBSTITUTE($B1347,"~","~~"),"*","~*"),"?","~?"),'DEF_SELF_SCOUT_IMPORT'!$D$42:$D$1040,SUBSTITUTE(SUBSTITUTE(SUBSTITUTE($P1347,"~","~~"),"*","~*"),"?","~?"),'DEF_SELF_SCOUT_IMPORT'!$J$42:$J$1040,"")&gt;0,"Unscored clean outcome; review result tags before using score.",IF(C1347=0,"No matching defensive reps; film confirmation needed.",IF(K1347="Explosive Alert","Explosive risk; review clips before using as answer.",IF(C1347&lt;=2,"Track only; not enough sample.",IF(C1347=3,IF(E1347&gt;0,"Sample watch with explosive exposure; review clips and build the sample.",IF(J1347&gt;=65,"Good signal, but sample is limited.","Sample watch; review clips and build the sample.")),IF(K1347="Problem Call","Problem area; practice or call-sheet review.",IF(K1347="Strong Candidate","Strong call-fit candidate; confirm on film.",IF(K1347="Good Candidate","Good call-fit signal; confirm on film.","Mixed signal; review fit and execution on film."))))))))</f>
        <v>Track only; not enough sample.</v>
      </c>
      <c r="M1347" s="8"/>
      <c r="N1347" s="8"/>
      <c r="O1347" s="8"/>
      <c r="P1347" s="8" t="s">
        <v>428</v>
      </c>
      <c r="Q1347" s="8"/>
      <c r="R1347" s="8" t="s">
        <v>633</v>
      </c>
      <c r="S1347" s="2" t="s">
        <v>647</v>
      </c>
      <c r="T1347" s="2">
        <f>IF(C1347=0,0,IF(C1347&gt;=CALL_LOOKUP_BOARD!$B$7,IF(OR(K1347="Problem Call",K1347="Explosive Alert"),10000000,20000000),0)+IF(C1347&gt;=CALL_LOOKUP_BOARD!$B$7,J1347*1000+MIN(C1347,999),C1347*1000+J1347)+0.00991600)</f>
        <v>1025.009916</v>
      </c>
      <c r="U1347" s="2">
        <f>IF(C1347=0,"",IF(COUNTIFS($S$1264:$S$1440,SUBSTITUTE(SUBSTITUTE(SUBSTITUTE(S1347,"~","~~"),"*","~*"),"?","~?"),$T$1264:$T$1440,"&gt;"&amp;T1347)=0,S1347,""))</f>
        <v/>
      </c>
    </row>
    <row r="1348" spans="1:21" ht="38" customHeight="1">
      <c r="A1348" s="8" t="s">
        <v>428</v>
      </c>
      <c r="B1348" s="8" t="s">
        <v>43</v>
      </c>
      <c r="C1348" s="12">
        <f>COUNTIFS('DEF_SELF_SCOUT_IMPORT'!$L$42:$L$1040,"Y",'DEF_SELF_SCOUT_IMPORT'!$E$42:$E$1040,SUBSTITUTE(SUBSTITUTE(SUBSTITUTE($B1348,"~","~~"),"*","~*"),"?","~?"),'DEF_SELF_SCOUT_IMPORT'!$D$42:$D$1040,SUBSTITUTE(SUBSTITUTE(SUBSTITUTE($P1348,"~","~~"),"*","~*"),"?","~?"))</f>
        <v>1</v>
      </c>
      <c r="D1348" s="10">
        <f>IF($C1348=0,"",SUMIFS('DEF_SELF_SCOUT_IMPORT'!$J$42:$J$1040,'DEF_SELF_SCOUT_IMPORT'!$L$42:$L$1040,"Y",'DEF_SELF_SCOUT_IMPORT'!$E$42:$E$1040,SUBSTITUTE(SUBSTITUTE(SUBSTITUTE($B1348,"~","~~"),"*","~*"),"?","~?"),'DEF_SELF_SCOUT_IMPORT'!$D$42:$D$1040,SUBSTITUTE(SUBSTITUTE(SUBSTITUTE($P1348,"~","~~"),"*","~*"),"?","~?"))/$C1348)</f>
        <v>1.0</v>
      </c>
      <c r="E1348" s="10">
        <f>IF($C1348=0,"",SUMIFS('DEF_SELF_SCOUT_IMPORT'!$K$42:$K$1040,'DEF_SELF_SCOUT_IMPORT'!$L$42:$L$1040,"Y",'DEF_SELF_SCOUT_IMPORT'!$E$42:$E$1040,SUBSTITUTE(SUBSTITUTE(SUBSTITUTE($B1348,"~","~~"),"*","~*"),"?","~?"),'DEF_SELF_SCOUT_IMPORT'!$D$42:$D$1040,SUBSTITUTE(SUBSTITUTE(SUBSTITUTE($P1348,"~","~~"),"*","~*"),"?","~?"))/$C1348)</f>
        <v>0.0</v>
      </c>
      <c r="F1348" s="11">
        <f>IF($C1348=0,"",AVERAGEIFS('DEF_SELF_SCOUT_IMPORT'!$I$42:$I$1040,'DEF_SELF_SCOUT_IMPORT'!$L$42:$L$1040,"Y",'DEF_SELF_SCOUT_IMPORT'!$E$42:$E$1040,SUBSTITUTE(SUBSTITUTE(SUBSTITUTE($B1348,"~","~~"),"*","~*"),"?","~?"),'DEF_SELF_SCOUT_IMPORT'!$D$42:$D$1040,SUBSTITUTE(SUBSTITUTE(SUBSTITUTE($P1348,"~","~~"),"*","~*"),"?","~?")))</f>
        <v>-5.0</v>
      </c>
      <c r="G1348" s="10">
        <f>IF($C1348=0,"",COUNTIFS('DEF_SELF_SCOUT_IMPORT'!$L$42:$L$1040,"Y",'DEF_SELF_SCOUT_IMPORT'!$E$42:$E$1040,SUBSTITUTE(SUBSTITUTE(SUBSTITUTE($B1348,"~","~~"),"*","~*"),"?","~?"),'DEF_SELF_SCOUT_IMPORT'!$D$42:$D$1040,SUBSTITUTE(SUBSTITUTE(SUBSTITUTE($P1348,"~","~~"),"*","~*"),"?","~?"),'DEF_SELF_SCOUT_IMPORT'!$H$42:$H$1040,"RUSH")/$C1348)</f>
        <v>1.0</v>
      </c>
      <c r="H1348" s="10">
        <f>IF($C1348=0,"",COUNTIFS('DEF_SELF_SCOUT_IMPORT'!$L$42:$L$1040,"Y",'DEF_SELF_SCOUT_IMPORT'!$E$42:$E$1040,SUBSTITUTE(SUBSTITUTE(SUBSTITUTE($B1348,"~","~~"),"*","~*"),"?","~?"),'DEF_SELF_SCOUT_IMPORT'!$D$42:$D$1040,SUBSTITUTE(SUBSTITUTE(SUBSTITUTE($P1348,"~","~~"),"*","~*"),"?","~?"),'DEF_SELF_SCOUT_IMPORT'!$H$42:$H$1040,"DROPBACK")/$C1348)</f>
        <v>0.0</v>
      </c>
      <c r="I1348" s="14" t="str">
        <f>IF(C1348=0,"",IF(C1348&lt;=2,"TRACK",IF(C1348=3,"LOW",IF(C1348&lt;=6,"MEDIUM","HIGH"))))</f>
        <v>TRACK</v>
      </c>
      <c r="J1348" s="11">
        <f>IF(C1348=0,"",ROUND(D1348*70+(1-E1348)*20+MAX(0,MIN(1,(10-F1348)/10))*10,1))</f>
        <v>100.0</v>
      </c>
      <c r="K1348" s="14" t="str">
        <f>IF(C1348=0,"No Evidence",IF(C1348&lt;=2,IF(E1348&gt;0,"Explosive Alert","Track Only"),IF(C1348=3,"Sample Watch",IF(E1348&gt;=START_HERE!$B$31,"Explosive Alert",IF(J1348&gt;=80,"Strong Candidate",IF(J1348&gt;=65,"Good Candidate",IF(J1348&gt;=50,"Mixed / Review","Problem Call")))))))</f>
        <v>Track Only</v>
      </c>
      <c r="L1348" s="9" t="str">
        <f>IF(COUNTIFS('DEF_SELF_SCOUT_IMPORT'!$L$42:$L$1040,"Y",'DEF_SELF_SCOUT_IMPORT'!$E$42:$E$1040,SUBSTITUTE(SUBSTITUTE(SUBSTITUTE($B1348,"~","~~"),"*","~*"),"?","~?"),'DEF_SELF_SCOUT_IMPORT'!$D$42:$D$1040,SUBSTITUTE(SUBSTITUTE(SUBSTITUTE($P1348,"~","~~"),"*","~*"),"?","~?"),'DEF_SELF_SCOUT_IMPORT'!$J$42:$J$1040,"")&gt;0,"Unscored clean outcome; review result tags before using score.",IF(C1348=0,"No matching defensive reps; film confirmation needed.",IF(K1348="Explosive Alert","Explosive risk; review clips before using as answer.",IF(C1348&lt;=2,"Track only; not enough sample.",IF(C1348=3,IF(E1348&gt;0,"Sample watch with explosive exposure; review clips and build the sample.",IF(J1348&gt;=65,"Good signal, but sample is limited.","Sample watch; review clips and build the sample.")),IF(K1348="Problem Call","Problem area; practice or call-sheet review.",IF(K1348="Strong Candidate","Strong call-fit candidate; confirm on film.",IF(K1348="Good Candidate","Good call-fit signal; confirm on film.","Mixed signal; review fit and execution on film."))))))))</f>
        <v>Track only; not enough sample.</v>
      </c>
      <c r="M1348" s="8"/>
      <c r="N1348" s="8"/>
      <c r="O1348" s="8"/>
      <c r="P1348" s="8" t="s">
        <v>428</v>
      </c>
      <c r="Q1348" s="8"/>
      <c r="R1348" s="8" t="s">
        <v>633</v>
      </c>
      <c r="S1348" s="2" t="s">
        <v>647</v>
      </c>
      <c r="T1348" s="2">
        <f>IF(C1348=0,0,IF(C1348&gt;=CALL_LOOKUP_BOARD!$B$7,IF(OR(K1348="Problem Call",K1348="Explosive Alert"),10000000,20000000),0)+IF(C1348&gt;=CALL_LOOKUP_BOARD!$B$7,J1348*1000+MIN(C1348,999),C1348*1000+J1348)+0.00991500)</f>
        <v>1100.009915</v>
      </c>
      <c r="U1348" s="2">
        <f>IF(C1348=0,"",IF(COUNTIFS($S$1264:$S$1440,SUBSTITUTE(SUBSTITUTE(SUBSTITUTE(S1348,"~","~~"),"*","~*"),"?","~?"),$T$1264:$T$1440,"&gt;"&amp;T1348)=0,S1348,""))</f>
        <v/>
      </c>
    </row>
    <row r="1349" spans="1:21" ht="38" customHeight="1">
      <c r="A1349" s="8" t="s">
        <v>428</v>
      </c>
      <c r="B1349" s="8" t="s">
        <v>44</v>
      </c>
      <c r="C1349" s="12">
        <f>COUNTIFS('DEF_SELF_SCOUT_IMPORT'!$L$42:$L$1040,"Y",'DEF_SELF_SCOUT_IMPORT'!$E$42:$E$1040,SUBSTITUTE(SUBSTITUTE(SUBSTITUTE($B1349,"~","~~"),"*","~*"),"?","~?"),'DEF_SELF_SCOUT_IMPORT'!$D$42:$D$1040,SUBSTITUTE(SUBSTITUTE(SUBSTITUTE($P1349,"~","~~"),"*","~*"),"?","~?"))</f>
        <v>3</v>
      </c>
      <c r="D1349" s="10">
        <f>IF($C1349=0,"",SUMIFS('DEF_SELF_SCOUT_IMPORT'!$J$42:$J$1040,'DEF_SELF_SCOUT_IMPORT'!$L$42:$L$1040,"Y",'DEF_SELF_SCOUT_IMPORT'!$E$42:$E$1040,SUBSTITUTE(SUBSTITUTE(SUBSTITUTE($B1349,"~","~~"),"*","~*"),"?","~?"),'DEF_SELF_SCOUT_IMPORT'!$D$42:$D$1040,SUBSTITUTE(SUBSTITUTE(SUBSTITUTE($P1349,"~","~~"),"*","~*"),"?","~?"))/$C1349)</f>
        <v>0.0</v>
      </c>
      <c r="E1349" s="10">
        <f>IF($C1349=0,"",SUMIFS('DEF_SELF_SCOUT_IMPORT'!$K$42:$K$1040,'DEF_SELF_SCOUT_IMPORT'!$L$42:$L$1040,"Y",'DEF_SELF_SCOUT_IMPORT'!$E$42:$E$1040,SUBSTITUTE(SUBSTITUTE(SUBSTITUTE($B1349,"~","~~"),"*","~*"),"?","~?"),'DEF_SELF_SCOUT_IMPORT'!$D$42:$D$1040,SUBSTITUTE(SUBSTITUTE(SUBSTITUTE($P1349,"~","~~"),"*","~*"),"?","~?"))/$C1349)</f>
        <v>0.0</v>
      </c>
      <c r="F1349" s="11">
        <f>IF($C1349=0,"",AVERAGEIFS('DEF_SELF_SCOUT_IMPORT'!$I$42:$I$1040,'DEF_SELF_SCOUT_IMPORT'!$L$42:$L$1040,"Y",'DEF_SELF_SCOUT_IMPORT'!$E$42:$E$1040,SUBSTITUTE(SUBSTITUTE(SUBSTITUTE($B1349,"~","~~"),"*","~*"),"?","~?"),'DEF_SELF_SCOUT_IMPORT'!$D$42:$D$1040,SUBSTITUTE(SUBSTITUTE(SUBSTITUTE($P1349,"~","~~"),"*","~*"),"?","~?")))</f>
        <v>5.666666666666667</v>
      </c>
      <c r="G1349" s="10">
        <f>IF($C1349=0,"",COUNTIFS('DEF_SELF_SCOUT_IMPORT'!$L$42:$L$1040,"Y",'DEF_SELF_SCOUT_IMPORT'!$E$42:$E$1040,SUBSTITUTE(SUBSTITUTE(SUBSTITUTE($B1349,"~","~~"),"*","~*"),"?","~?"),'DEF_SELF_SCOUT_IMPORT'!$D$42:$D$1040,SUBSTITUTE(SUBSTITUTE(SUBSTITUTE($P1349,"~","~~"),"*","~*"),"?","~?"),'DEF_SELF_SCOUT_IMPORT'!$H$42:$H$1040,"RUSH")/$C1349)</f>
        <v>1.0</v>
      </c>
      <c r="H1349" s="10">
        <f>IF($C1349=0,"",COUNTIFS('DEF_SELF_SCOUT_IMPORT'!$L$42:$L$1040,"Y",'DEF_SELF_SCOUT_IMPORT'!$E$42:$E$1040,SUBSTITUTE(SUBSTITUTE(SUBSTITUTE($B1349,"~","~~"),"*","~*"),"?","~?"),'DEF_SELF_SCOUT_IMPORT'!$D$42:$D$1040,SUBSTITUTE(SUBSTITUTE(SUBSTITUTE($P1349,"~","~~"),"*","~*"),"?","~?"),'DEF_SELF_SCOUT_IMPORT'!$H$42:$H$1040,"DROPBACK")/$C1349)</f>
        <v>0.0</v>
      </c>
      <c r="I1349" s="14" t="str">
        <f>IF(C1349=0,"",IF(C1349&lt;=2,"TRACK",IF(C1349=3,"LOW",IF(C1349&lt;=6,"MEDIUM","HIGH"))))</f>
        <v>LOW</v>
      </c>
      <c r="J1349" s="11">
        <f>IF(C1349=0,"",ROUND(D1349*70+(1-E1349)*20+MAX(0,MIN(1,(10-F1349)/10))*10,1))</f>
        <v>24.3</v>
      </c>
      <c r="K1349" s="14" t="str">
        <f>IF(C1349=0,"No Evidence",IF(C1349&lt;=2,IF(E1349&gt;0,"Explosive Alert","Track Only"),IF(C1349=3,"Sample Watch",IF(E1349&gt;=START_HERE!$B$31,"Explosive Alert",IF(J1349&gt;=80,"Strong Candidate",IF(J1349&gt;=65,"Good Candidate",IF(J1349&gt;=50,"Mixed / Review","Problem Call")))))))</f>
        <v>Sample Watch</v>
      </c>
      <c r="L1349" s="9" t="str">
        <f>IF(COUNTIFS('DEF_SELF_SCOUT_IMPORT'!$L$42:$L$1040,"Y",'DEF_SELF_SCOUT_IMPORT'!$E$42:$E$1040,SUBSTITUTE(SUBSTITUTE(SUBSTITUTE($B1349,"~","~~"),"*","~*"),"?","~?"),'DEF_SELF_SCOUT_IMPORT'!$D$42:$D$1040,SUBSTITUTE(SUBSTITUTE(SUBSTITUTE($P1349,"~","~~"),"*","~*"),"?","~?"),'DEF_SELF_SCOUT_IMPORT'!$J$42:$J$1040,"")&gt;0,"Unscored clean outcome; review result tags before using score.",IF(C1349=0,"No matching defensive reps; film confirmation needed.",IF(K1349="Explosive Alert","Explosive risk; review clips before using as answer.",IF(C1349&lt;=2,"Track only; not enough sample.",IF(C1349=3,IF(E1349&gt;0,"Sample watch with explosive exposure; review clips and build the sample.",IF(J1349&gt;=65,"Good signal, but sample is limited.","Sample watch; review clips and build the sample.")),IF(K1349="Problem Call","Problem area; practice or call-sheet review.",IF(K1349="Strong Candidate","Strong call-fit candidate; confirm on film.",IF(K1349="Good Candidate","Good call-fit signal; confirm on film.","Mixed signal; review fit and execution on film."))))))))</f>
        <v>Sample watch; review clips and build the sample.</v>
      </c>
      <c r="M1349" s="8"/>
      <c r="N1349" s="8"/>
      <c r="O1349" s="8"/>
      <c r="P1349" s="8" t="s">
        <v>428</v>
      </c>
      <c r="Q1349" s="8"/>
      <c r="R1349" s="8" t="s">
        <v>633</v>
      </c>
      <c r="S1349" s="2" t="s">
        <v>647</v>
      </c>
      <c r="T1349" s="2">
        <f>IF(C1349=0,0,IF(C1349&gt;=CALL_LOOKUP_BOARD!$B$7,IF(OR(K1349="Problem Call",K1349="Explosive Alert"),10000000,20000000),0)+IF(C1349&gt;=CALL_LOOKUP_BOARD!$B$7,J1349*1000+MIN(C1349,999),C1349*1000+J1349)+0.00991400)</f>
        <v>3024.3099140000004</v>
      </c>
      <c r="U1349" s="2">
        <f>IF(C1349=0,"",IF(COUNTIFS($S$1264:$S$1440,SUBSTITUTE(SUBSTITUTE(SUBSTITUTE(S1349,"~","~~"),"*","~*"),"?","~?"),$T$1264:$T$1440,"&gt;"&amp;T1349)=0,S1349,""))</f>
        <v/>
      </c>
    </row>
    <row r="1350" spans="1:21" ht="38" customHeight="1">
      <c r="A1350" s="8" t="s">
        <v>428</v>
      </c>
      <c r="B1350" s="8" t="s">
        <v>46</v>
      </c>
      <c r="C1350" s="12">
        <f>COUNTIFS('DEF_SELF_SCOUT_IMPORT'!$L$42:$L$1040,"Y",'DEF_SELF_SCOUT_IMPORT'!$E$42:$E$1040,SUBSTITUTE(SUBSTITUTE(SUBSTITUTE($B1350,"~","~~"),"*","~*"),"?","~?"),'DEF_SELF_SCOUT_IMPORT'!$D$42:$D$1040,SUBSTITUTE(SUBSTITUTE(SUBSTITUTE($P1350,"~","~~"),"*","~*"),"?","~?"))</f>
        <v>1</v>
      </c>
      <c r="D1350" s="10">
        <f>IF($C1350=0,"",SUMIFS('DEF_SELF_SCOUT_IMPORT'!$J$42:$J$1040,'DEF_SELF_SCOUT_IMPORT'!$L$42:$L$1040,"Y",'DEF_SELF_SCOUT_IMPORT'!$E$42:$E$1040,SUBSTITUTE(SUBSTITUTE(SUBSTITUTE($B1350,"~","~~"),"*","~*"),"?","~?"),'DEF_SELF_SCOUT_IMPORT'!$D$42:$D$1040,SUBSTITUTE(SUBSTITUTE(SUBSTITUTE($P1350,"~","~~"),"*","~*"),"?","~?"))/$C1350)</f>
        <v>1.0</v>
      </c>
      <c r="E1350" s="10">
        <f>IF($C1350=0,"",SUMIFS('DEF_SELF_SCOUT_IMPORT'!$K$42:$K$1040,'DEF_SELF_SCOUT_IMPORT'!$L$42:$L$1040,"Y",'DEF_SELF_SCOUT_IMPORT'!$E$42:$E$1040,SUBSTITUTE(SUBSTITUTE(SUBSTITUTE($B1350,"~","~~"),"*","~*"),"?","~?"),'DEF_SELF_SCOUT_IMPORT'!$D$42:$D$1040,SUBSTITUTE(SUBSTITUTE(SUBSTITUTE($P1350,"~","~~"),"*","~*"),"?","~?"))/$C1350)</f>
        <v>0.0</v>
      </c>
      <c r="F1350" s="11">
        <f>IF($C1350=0,"",AVERAGEIFS('DEF_SELF_SCOUT_IMPORT'!$I$42:$I$1040,'DEF_SELF_SCOUT_IMPORT'!$L$42:$L$1040,"Y",'DEF_SELF_SCOUT_IMPORT'!$E$42:$E$1040,SUBSTITUTE(SUBSTITUTE(SUBSTITUTE($B1350,"~","~~"),"*","~*"),"?","~?"),'DEF_SELF_SCOUT_IMPORT'!$D$42:$D$1040,SUBSTITUTE(SUBSTITUTE(SUBSTITUTE($P1350,"~","~~"),"*","~*"),"?","~?")))</f>
        <v>0.0</v>
      </c>
      <c r="G1350" s="10">
        <f>IF($C1350=0,"",COUNTIFS('DEF_SELF_SCOUT_IMPORT'!$L$42:$L$1040,"Y",'DEF_SELF_SCOUT_IMPORT'!$E$42:$E$1040,SUBSTITUTE(SUBSTITUTE(SUBSTITUTE($B1350,"~","~~"),"*","~*"),"?","~?"),'DEF_SELF_SCOUT_IMPORT'!$D$42:$D$1040,SUBSTITUTE(SUBSTITUTE(SUBSTITUTE($P1350,"~","~~"),"*","~*"),"?","~?"),'DEF_SELF_SCOUT_IMPORT'!$H$42:$H$1040,"RUSH")/$C1350)</f>
        <v>1.0</v>
      </c>
      <c r="H1350" s="10">
        <f>IF($C1350=0,"",COUNTIFS('DEF_SELF_SCOUT_IMPORT'!$L$42:$L$1040,"Y",'DEF_SELF_SCOUT_IMPORT'!$E$42:$E$1040,SUBSTITUTE(SUBSTITUTE(SUBSTITUTE($B1350,"~","~~"),"*","~*"),"?","~?"),'DEF_SELF_SCOUT_IMPORT'!$D$42:$D$1040,SUBSTITUTE(SUBSTITUTE(SUBSTITUTE($P1350,"~","~~"),"*","~*"),"?","~?"),'DEF_SELF_SCOUT_IMPORT'!$H$42:$H$1040,"DROPBACK")/$C1350)</f>
        <v>0.0</v>
      </c>
      <c r="I1350" s="14" t="str">
        <f>IF(C1350=0,"",IF(C1350&lt;=2,"TRACK",IF(C1350=3,"LOW",IF(C1350&lt;=6,"MEDIUM","HIGH"))))</f>
        <v>TRACK</v>
      </c>
      <c r="J1350" s="11">
        <f>IF(C1350=0,"",ROUND(D1350*70+(1-E1350)*20+MAX(0,MIN(1,(10-F1350)/10))*10,1))</f>
        <v>100.0</v>
      </c>
      <c r="K1350" s="14" t="str">
        <f>IF(C1350=0,"No Evidence",IF(C1350&lt;=2,IF(E1350&gt;0,"Explosive Alert","Track Only"),IF(C1350=3,"Sample Watch",IF(E1350&gt;=START_HERE!$B$31,"Explosive Alert",IF(J1350&gt;=80,"Strong Candidate",IF(J1350&gt;=65,"Good Candidate",IF(J1350&gt;=50,"Mixed / Review","Problem Call")))))))</f>
        <v>Track Only</v>
      </c>
      <c r="L1350" s="9" t="str">
        <f>IF(COUNTIFS('DEF_SELF_SCOUT_IMPORT'!$L$42:$L$1040,"Y",'DEF_SELF_SCOUT_IMPORT'!$E$42:$E$1040,SUBSTITUTE(SUBSTITUTE(SUBSTITUTE($B1350,"~","~~"),"*","~*"),"?","~?"),'DEF_SELF_SCOUT_IMPORT'!$D$42:$D$1040,SUBSTITUTE(SUBSTITUTE(SUBSTITUTE($P1350,"~","~~"),"*","~*"),"?","~?"),'DEF_SELF_SCOUT_IMPORT'!$J$42:$J$1040,"")&gt;0,"Unscored clean outcome; review result tags before using score.",IF(C1350=0,"No matching defensive reps; film confirmation needed.",IF(K1350="Explosive Alert","Explosive risk; review clips before using as answer.",IF(C1350&lt;=2,"Track only; not enough sample.",IF(C1350=3,IF(E1350&gt;0,"Sample watch with explosive exposure; review clips and build the sample.",IF(J1350&gt;=65,"Good signal, but sample is limited.","Sample watch; review clips and build the sample.")),IF(K1350="Problem Call","Problem area; practice or call-sheet review.",IF(K1350="Strong Candidate","Strong call-fit candidate; confirm on film.",IF(K1350="Good Candidate","Good call-fit signal; confirm on film.","Mixed signal; review fit and execution on film."))))))))</f>
        <v>Track only; not enough sample.</v>
      </c>
      <c r="M1350" s="8"/>
      <c r="N1350" s="8"/>
      <c r="O1350" s="8"/>
      <c r="P1350" s="8" t="s">
        <v>428</v>
      </c>
      <c r="Q1350" s="8"/>
      <c r="R1350" s="8" t="s">
        <v>633</v>
      </c>
      <c r="S1350" s="2" t="s">
        <v>647</v>
      </c>
      <c r="T1350" s="2">
        <f>IF(C1350=0,0,IF(C1350&gt;=CALL_LOOKUP_BOARD!$B$7,IF(OR(K1350="Problem Call",K1350="Explosive Alert"),10000000,20000000),0)+IF(C1350&gt;=CALL_LOOKUP_BOARD!$B$7,J1350*1000+MIN(C1350,999),C1350*1000+J1350)+0.00991300)</f>
        <v>1100.009913</v>
      </c>
      <c r="U1350" s="2">
        <f>IF(C1350=0,"",IF(COUNTIFS($S$1264:$S$1440,SUBSTITUTE(SUBSTITUTE(SUBSTITUTE(S1350,"~","~~"),"*","~*"),"?","~?"),$T$1264:$T$1440,"&gt;"&amp;T1350)=0,S1350,""))</f>
        <v/>
      </c>
    </row>
    <row r="1351" spans="1:21" ht="38" customHeight="1">
      <c r="A1351" s="8" t="s">
        <v>428</v>
      </c>
      <c r="B1351" s="8" t="s">
        <v>34</v>
      </c>
      <c r="C1351" s="12">
        <f>COUNTIFS('DEF_SELF_SCOUT_IMPORT'!$L$42:$L$1040,"Y",'DEF_SELF_SCOUT_IMPORT'!$E$42:$E$1040,SUBSTITUTE(SUBSTITUTE(SUBSTITUTE($B1351,"~","~~"),"*","~*"),"?","~?"),'DEF_SELF_SCOUT_IMPORT'!$D$42:$D$1040,SUBSTITUTE(SUBSTITUTE(SUBSTITUTE($P1351,"~","~~"),"*","~*"),"?","~?"))</f>
        <v>1</v>
      </c>
      <c r="D1351" s="10">
        <f>IF($C1351=0,"",SUMIFS('DEF_SELF_SCOUT_IMPORT'!$J$42:$J$1040,'DEF_SELF_SCOUT_IMPORT'!$L$42:$L$1040,"Y",'DEF_SELF_SCOUT_IMPORT'!$E$42:$E$1040,SUBSTITUTE(SUBSTITUTE(SUBSTITUTE($B1351,"~","~~"),"*","~*"),"?","~?"),'DEF_SELF_SCOUT_IMPORT'!$D$42:$D$1040,SUBSTITUTE(SUBSTITUTE(SUBSTITUTE($P1351,"~","~~"),"*","~*"),"?","~?"))/$C1351)</f>
        <v>0.0</v>
      </c>
      <c r="E1351" s="10">
        <f>IF($C1351=0,"",SUMIFS('DEF_SELF_SCOUT_IMPORT'!$K$42:$K$1040,'DEF_SELF_SCOUT_IMPORT'!$L$42:$L$1040,"Y",'DEF_SELF_SCOUT_IMPORT'!$E$42:$E$1040,SUBSTITUTE(SUBSTITUTE(SUBSTITUTE($B1351,"~","~~"),"*","~*"),"?","~?"),'DEF_SELF_SCOUT_IMPORT'!$D$42:$D$1040,SUBSTITUTE(SUBSTITUTE(SUBSTITUTE($P1351,"~","~~"),"*","~*"),"?","~?"))/$C1351)</f>
        <v>1.0</v>
      </c>
      <c r="F1351" s="11">
        <f>IF($C1351=0,"",AVERAGEIFS('DEF_SELF_SCOUT_IMPORT'!$I$42:$I$1040,'DEF_SELF_SCOUT_IMPORT'!$L$42:$L$1040,"Y",'DEF_SELF_SCOUT_IMPORT'!$E$42:$E$1040,SUBSTITUTE(SUBSTITUTE(SUBSTITUTE($B1351,"~","~~"),"*","~*"),"?","~?"),'DEF_SELF_SCOUT_IMPORT'!$D$42:$D$1040,SUBSTITUTE(SUBSTITUTE(SUBSTITUTE($P1351,"~","~~"),"*","~*"),"?","~?")))</f>
        <v>52.0</v>
      </c>
      <c r="G1351" s="10">
        <f>IF($C1351=0,"",COUNTIFS('DEF_SELF_SCOUT_IMPORT'!$L$42:$L$1040,"Y",'DEF_SELF_SCOUT_IMPORT'!$E$42:$E$1040,SUBSTITUTE(SUBSTITUTE(SUBSTITUTE($B1351,"~","~~"),"*","~*"),"?","~?"),'DEF_SELF_SCOUT_IMPORT'!$D$42:$D$1040,SUBSTITUTE(SUBSTITUTE(SUBSTITUTE($P1351,"~","~~"),"*","~*"),"?","~?"),'DEF_SELF_SCOUT_IMPORT'!$H$42:$H$1040,"RUSH")/$C1351)</f>
        <v>0.0</v>
      </c>
      <c r="H1351" s="10">
        <f>IF($C1351=0,"",COUNTIFS('DEF_SELF_SCOUT_IMPORT'!$L$42:$L$1040,"Y",'DEF_SELF_SCOUT_IMPORT'!$E$42:$E$1040,SUBSTITUTE(SUBSTITUTE(SUBSTITUTE($B1351,"~","~~"),"*","~*"),"?","~?"),'DEF_SELF_SCOUT_IMPORT'!$D$42:$D$1040,SUBSTITUTE(SUBSTITUTE(SUBSTITUTE($P1351,"~","~~"),"*","~*"),"?","~?"),'DEF_SELF_SCOUT_IMPORT'!$H$42:$H$1040,"DROPBACK")/$C1351)</f>
        <v>0.0</v>
      </c>
      <c r="I1351" s="14" t="str">
        <f>IF(C1351=0,"",IF(C1351&lt;=2,"TRACK",IF(C1351=3,"LOW",IF(C1351&lt;=6,"MEDIUM","HIGH"))))</f>
        <v>TRACK</v>
      </c>
      <c r="J1351" s="11">
        <f>IF(C1351=0,"",ROUND(D1351*70+(1-E1351)*20+MAX(0,MIN(1,(10-F1351)/10))*10,1))</f>
        <v>0.0</v>
      </c>
      <c r="K1351" s="14" t="str">
        <f>IF(C1351=0,"No Evidence",IF(C1351&lt;=2,IF(E1351&gt;0,"Explosive Alert","Track Only"),IF(C1351=3,"Sample Watch",IF(E1351&gt;=START_HERE!$B$31,"Explosive Alert",IF(J1351&gt;=80,"Strong Candidate",IF(J1351&gt;=65,"Good Candidate",IF(J1351&gt;=50,"Mixed / Review","Problem Call")))))))</f>
        <v>Explosive Alert</v>
      </c>
      <c r="L1351" s="9" t="str">
        <f>IF(COUNTIFS('DEF_SELF_SCOUT_IMPORT'!$L$42:$L$1040,"Y",'DEF_SELF_SCOUT_IMPORT'!$E$42:$E$1040,SUBSTITUTE(SUBSTITUTE(SUBSTITUTE($B1351,"~","~~"),"*","~*"),"?","~?"),'DEF_SELF_SCOUT_IMPORT'!$D$42:$D$1040,SUBSTITUTE(SUBSTITUTE(SUBSTITUTE($P1351,"~","~~"),"*","~*"),"?","~?"),'DEF_SELF_SCOUT_IMPORT'!$J$42:$J$1040,"")&gt;0,"Unscored clean outcome; review result tags before using score.",IF(C1351=0,"No matching defensive reps; film confirmation needed.",IF(K1351="Explosive Alert","Explosive risk; review clips before using as answer.",IF(C1351&lt;=2,"Track only; not enough sample.",IF(C1351=3,IF(E1351&gt;0,"Sample watch with explosive exposure; review clips and build the sample.",IF(J1351&gt;=65,"Good signal, but sample is limited.","Sample watch; review clips and build the sample.")),IF(K1351="Problem Call","Problem area; practice or call-sheet review.",IF(K1351="Strong Candidate","Strong call-fit candidate; confirm on film.",IF(K1351="Good Candidate","Good call-fit signal; confirm on film.","Mixed signal; review fit and execution on film."))))))))</f>
        <v>Explosive risk; review clips before using as answer.</v>
      </c>
      <c r="M1351" s="8"/>
      <c r="N1351" s="8"/>
      <c r="O1351" s="8"/>
      <c r="P1351" s="8" t="s">
        <v>428</v>
      </c>
      <c r="Q1351" s="8"/>
      <c r="R1351" s="8" t="s">
        <v>633</v>
      </c>
      <c r="S1351" s="2" t="s">
        <v>647</v>
      </c>
      <c r="T1351" s="2">
        <f>IF(C1351=0,0,IF(C1351&gt;=CALL_LOOKUP_BOARD!$B$7,IF(OR(K1351="Problem Call",K1351="Explosive Alert"),10000000,20000000),0)+IF(C1351&gt;=CALL_LOOKUP_BOARD!$B$7,J1351*1000+MIN(C1351,999),C1351*1000+J1351)+0.00991200)</f>
        <v>1000.009912</v>
      </c>
      <c r="U1351" s="2">
        <f>IF(C1351=0,"",IF(COUNTIFS($S$1264:$S$1440,SUBSTITUTE(SUBSTITUTE(SUBSTITUTE(S1351,"~","~~"),"*","~*"),"?","~?"),$T$1264:$T$1440,"&gt;"&amp;T1351)=0,S1351,""))</f>
        <v/>
      </c>
    </row>
    <row r="1352" spans="1:21" ht="38" customHeight="1">
      <c r="A1352" s="8" t="s">
        <v>428</v>
      </c>
      <c r="B1352" s="8" t="s">
        <v>87</v>
      </c>
      <c r="C1352" s="12">
        <f>COUNTIFS('DEF_SELF_SCOUT_IMPORT'!$L$42:$L$1040,"Y",'DEF_SELF_SCOUT_IMPORT'!$E$42:$E$1040,SUBSTITUTE(SUBSTITUTE(SUBSTITUTE($B1352,"~","~~"),"*","~*"),"?","~?"),'DEF_SELF_SCOUT_IMPORT'!$D$42:$D$1040,SUBSTITUTE(SUBSTITUTE(SUBSTITUTE($P1352,"~","~~"),"*","~*"),"?","~?"))</f>
        <v>1</v>
      </c>
      <c r="D1352" s="10">
        <f>IF($C1352=0,"",SUMIFS('DEF_SELF_SCOUT_IMPORT'!$J$42:$J$1040,'DEF_SELF_SCOUT_IMPORT'!$L$42:$L$1040,"Y",'DEF_SELF_SCOUT_IMPORT'!$E$42:$E$1040,SUBSTITUTE(SUBSTITUTE(SUBSTITUTE($B1352,"~","~~"),"*","~*"),"?","~?"),'DEF_SELF_SCOUT_IMPORT'!$D$42:$D$1040,SUBSTITUTE(SUBSTITUTE(SUBSTITUTE($P1352,"~","~~"),"*","~*"),"?","~?"))/$C1352)</f>
        <v>0.0</v>
      </c>
      <c r="E1352" s="10">
        <f>IF($C1352=0,"",SUMIFS('DEF_SELF_SCOUT_IMPORT'!$K$42:$K$1040,'DEF_SELF_SCOUT_IMPORT'!$L$42:$L$1040,"Y",'DEF_SELF_SCOUT_IMPORT'!$E$42:$E$1040,SUBSTITUTE(SUBSTITUTE(SUBSTITUTE($B1352,"~","~~"),"*","~*"),"?","~?"),'DEF_SELF_SCOUT_IMPORT'!$D$42:$D$1040,SUBSTITUTE(SUBSTITUTE(SUBSTITUTE($P1352,"~","~~"),"*","~*"),"?","~?"))/$C1352)</f>
        <v>0.0</v>
      </c>
      <c r="F1352" s="11">
        <f>IF($C1352=0,"",AVERAGEIFS('DEF_SELF_SCOUT_IMPORT'!$I$42:$I$1040,'DEF_SELF_SCOUT_IMPORT'!$L$42:$L$1040,"Y",'DEF_SELF_SCOUT_IMPORT'!$E$42:$E$1040,SUBSTITUTE(SUBSTITUTE(SUBSTITUTE($B1352,"~","~~"),"*","~*"),"?","~?"),'DEF_SELF_SCOUT_IMPORT'!$D$42:$D$1040,SUBSTITUTE(SUBSTITUTE(SUBSTITUTE($P1352,"~","~~"),"*","~*"),"?","~?")))</f>
        <v>5.0</v>
      </c>
      <c r="G1352" s="10">
        <f>IF($C1352=0,"",COUNTIFS('DEF_SELF_SCOUT_IMPORT'!$L$42:$L$1040,"Y",'DEF_SELF_SCOUT_IMPORT'!$E$42:$E$1040,SUBSTITUTE(SUBSTITUTE(SUBSTITUTE($B1352,"~","~~"),"*","~*"),"?","~?"),'DEF_SELF_SCOUT_IMPORT'!$D$42:$D$1040,SUBSTITUTE(SUBSTITUTE(SUBSTITUTE($P1352,"~","~~"),"*","~*"),"?","~?"),'DEF_SELF_SCOUT_IMPORT'!$H$42:$H$1040,"RUSH")/$C1352)</f>
        <v>1.0</v>
      </c>
      <c r="H1352" s="10">
        <f>IF($C1352=0,"",COUNTIFS('DEF_SELF_SCOUT_IMPORT'!$L$42:$L$1040,"Y",'DEF_SELF_SCOUT_IMPORT'!$E$42:$E$1040,SUBSTITUTE(SUBSTITUTE(SUBSTITUTE($B1352,"~","~~"),"*","~*"),"?","~?"),'DEF_SELF_SCOUT_IMPORT'!$D$42:$D$1040,SUBSTITUTE(SUBSTITUTE(SUBSTITUTE($P1352,"~","~~"),"*","~*"),"?","~?"),'DEF_SELF_SCOUT_IMPORT'!$H$42:$H$1040,"DROPBACK")/$C1352)</f>
        <v>0.0</v>
      </c>
      <c r="I1352" s="14" t="str">
        <f>IF(C1352=0,"",IF(C1352&lt;=2,"TRACK",IF(C1352=3,"LOW",IF(C1352&lt;=6,"MEDIUM","HIGH"))))</f>
        <v>TRACK</v>
      </c>
      <c r="J1352" s="11">
        <f>IF(C1352=0,"",ROUND(D1352*70+(1-E1352)*20+MAX(0,MIN(1,(10-F1352)/10))*10,1))</f>
        <v>25.0</v>
      </c>
      <c r="K1352" s="14" t="str">
        <f>IF(C1352=0,"No Evidence",IF(C1352&lt;=2,IF(E1352&gt;0,"Explosive Alert","Track Only"),IF(C1352=3,"Sample Watch",IF(E1352&gt;=START_HERE!$B$31,"Explosive Alert",IF(J1352&gt;=80,"Strong Candidate",IF(J1352&gt;=65,"Good Candidate",IF(J1352&gt;=50,"Mixed / Review","Problem Call")))))))</f>
        <v>Track Only</v>
      </c>
      <c r="L1352" s="9" t="str">
        <f>IF(COUNTIFS('DEF_SELF_SCOUT_IMPORT'!$L$42:$L$1040,"Y",'DEF_SELF_SCOUT_IMPORT'!$E$42:$E$1040,SUBSTITUTE(SUBSTITUTE(SUBSTITUTE($B1352,"~","~~"),"*","~*"),"?","~?"),'DEF_SELF_SCOUT_IMPORT'!$D$42:$D$1040,SUBSTITUTE(SUBSTITUTE(SUBSTITUTE($P1352,"~","~~"),"*","~*"),"?","~?"),'DEF_SELF_SCOUT_IMPORT'!$J$42:$J$1040,"")&gt;0,"Unscored clean outcome; review result tags before using score.",IF(C1352=0,"No matching defensive reps; film confirmation needed.",IF(K1352="Explosive Alert","Explosive risk; review clips before using as answer.",IF(C1352&lt;=2,"Track only; not enough sample.",IF(C1352=3,IF(E1352&gt;0,"Sample watch with explosive exposure; review clips and build the sample.",IF(J1352&gt;=65,"Good signal, but sample is limited.","Sample watch; review clips and build the sample.")),IF(K1352="Problem Call","Problem area; practice or call-sheet review.",IF(K1352="Strong Candidate","Strong call-fit candidate; confirm on film.",IF(K1352="Good Candidate","Good call-fit signal; confirm on film.","Mixed signal; review fit and execution on film."))))))))</f>
        <v>Track only; not enough sample.</v>
      </c>
      <c r="M1352" s="8"/>
      <c r="N1352" s="8"/>
      <c r="O1352" s="8"/>
      <c r="P1352" s="8" t="s">
        <v>428</v>
      </c>
      <c r="Q1352" s="8"/>
      <c r="R1352" s="8" t="s">
        <v>633</v>
      </c>
      <c r="S1352" s="2" t="s">
        <v>647</v>
      </c>
      <c r="T1352" s="2">
        <f>IF(C1352=0,0,IF(C1352&gt;=CALL_LOOKUP_BOARD!$B$7,IF(OR(K1352="Problem Call",K1352="Explosive Alert"),10000000,20000000),0)+IF(C1352&gt;=CALL_LOOKUP_BOARD!$B$7,J1352*1000+MIN(C1352,999),C1352*1000+J1352)+0.00991100)</f>
        <v>1025.009911</v>
      </c>
      <c r="U1352" s="2">
        <f>IF(C1352=0,"",IF(COUNTIFS($S$1264:$S$1440,SUBSTITUTE(SUBSTITUTE(SUBSTITUTE(S1352,"~","~~"),"*","~*"),"?","~?"),$T$1264:$T$1440,"&gt;"&amp;T1352)=0,S1352,""))</f>
        <v/>
      </c>
    </row>
    <row r="1353" spans="1:21" ht="38" customHeight="1">
      <c r="A1353" s="8" t="s">
        <v>428</v>
      </c>
      <c r="B1353" s="8" t="s">
        <v>30</v>
      </c>
      <c r="C1353" s="12">
        <f>COUNTIFS('DEF_SELF_SCOUT_IMPORT'!$L$42:$L$1040,"Y",'DEF_SELF_SCOUT_IMPORT'!$E$42:$E$1040,SUBSTITUTE(SUBSTITUTE(SUBSTITUTE($B1353,"~","~~"),"*","~*"),"?","~?"),'DEF_SELF_SCOUT_IMPORT'!$D$42:$D$1040,SUBSTITUTE(SUBSTITUTE(SUBSTITUTE($P1353,"~","~~"),"*","~*"),"?","~?"))</f>
        <v>3</v>
      </c>
      <c r="D1353" s="10">
        <f>IF($C1353=0,"",SUMIFS('DEF_SELF_SCOUT_IMPORT'!$J$42:$J$1040,'DEF_SELF_SCOUT_IMPORT'!$L$42:$L$1040,"Y",'DEF_SELF_SCOUT_IMPORT'!$E$42:$E$1040,SUBSTITUTE(SUBSTITUTE(SUBSTITUTE($B1353,"~","~~"),"*","~*"),"?","~?"),'DEF_SELF_SCOUT_IMPORT'!$D$42:$D$1040,SUBSTITUTE(SUBSTITUTE(SUBSTITUTE($P1353,"~","~~"),"*","~*"),"?","~?"))/$C1353)</f>
        <v>1.0</v>
      </c>
      <c r="E1353" s="10">
        <f>IF($C1353=0,"",SUMIFS('DEF_SELF_SCOUT_IMPORT'!$K$42:$K$1040,'DEF_SELF_SCOUT_IMPORT'!$L$42:$L$1040,"Y",'DEF_SELF_SCOUT_IMPORT'!$E$42:$E$1040,SUBSTITUTE(SUBSTITUTE(SUBSTITUTE($B1353,"~","~~"),"*","~*"),"?","~?"),'DEF_SELF_SCOUT_IMPORT'!$D$42:$D$1040,SUBSTITUTE(SUBSTITUTE(SUBSTITUTE($P1353,"~","~~"),"*","~*"),"?","~?"))/$C1353)</f>
        <v>0.0</v>
      </c>
      <c r="F1353" s="11">
        <f>IF($C1353=0,"",AVERAGEIFS('DEF_SELF_SCOUT_IMPORT'!$I$42:$I$1040,'DEF_SELF_SCOUT_IMPORT'!$L$42:$L$1040,"Y",'DEF_SELF_SCOUT_IMPORT'!$E$42:$E$1040,SUBSTITUTE(SUBSTITUTE(SUBSTITUTE($B1353,"~","~~"),"*","~*"),"?","~?"),'DEF_SELF_SCOUT_IMPORT'!$D$42:$D$1040,SUBSTITUTE(SUBSTITUTE(SUBSTITUTE($P1353,"~","~~"),"*","~*"),"?","~?")))</f>
        <v>1.6666666666666667</v>
      </c>
      <c r="G1353" s="10">
        <f>IF($C1353=0,"",COUNTIFS('DEF_SELF_SCOUT_IMPORT'!$L$42:$L$1040,"Y",'DEF_SELF_SCOUT_IMPORT'!$E$42:$E$1040,SUBSTITUTE(SUBSTITUTE(SUBSTITUTE($B1353,"~","~~"),"*","~*"),"?","~?"),'DEF_SELF_SCOUT_IMPORT'!$D$42:$D$1040,SUBSTITUTE(SUBSTITUTE(SUBSTITUTE($P1353,"~","~~"),"*","~*"),"?","~?"),'DEF_SELF_SCOUT_IMPORT'!$H$42:$H$1040,"RUSH")/$C1353)</f>
        <v>1.0</v>
      </c>
      <c r="H1353" s="10">
        <f>IF($C1353=0,"",COUNTIFS('DEF_SELF_SCOUT_IMPORT'!$L$42:$L$1040,"Y",'DEF_SELF_SCOUT_IMPORT'!$E$42:$E$1040,SUBSTITUTE(SUBSTITUTE(SUBSTITUTE($B1353,"~","~~"),"*","~*"),"?","~?"),'DEF_SELF_SCOUT_IMPORT'!$D$42:$D$1040,SUBSTITUTE(SUBSTITUTE(SUBSTITUTE($P1353,"~","~~"),"*","~*"),"?","~?"),'DEF_SELF_SCOUT_IMPORT'!$H$42:$H$1040,"DROPBACK")/$C1353)</f>
        <v>0.0</v>
      </c>
      <c r="I1353" s="14" t="str">
        <f>IF(C1353=0,"",IF(C1353&lt;=2,"TRACK",IF(C1353=3,"LOW",IF(C1353&lt;=6,"MEDIUM","HIGH"))))</f>
        <v>LOW</v>
      </c>
      <c r="J1353" s="11">
        <f>IF(C1353=0,"",ROUND(D1353*70+(1-E1353)*20+MAX(0,MIN(1,(10-F1353)/10))*10,1))</f>
        <v>98.3</v>
      </c>
      <c r="K1353" s="14" t="str">
        <f>IF(C1353=0,"No Evidence",IF(C1353&lt;=2,IF(E1353&gt;0,"Explosive Alert","Track Only"),IF(C1353=3,"Sample Watch",IF(E1353&gt;=START_HERE!$B$31,"Explosive Alert",IF(J1353&gt;=80,"Strong Candidate",IF(J1353&gt;=65,"Good Candidate",IF(J1353&gt;=50,"Mixed / Review","Problem Call")))))))</f>
        <v>Sample Watch</v>
      </c>
      <c r="L1353" s="9" t="str">
        <f>IF(COUNTIFS('DEF_SELF_SCOUT_IMPORT'!$L$42:$L$1040,"Y",'DEF_SELF_SCOUT_IMPORT'!$E$42:$E$1040,SUBSTITUTE(SUBSTITUTE(SUBSTITUTE($B1353,"~","~~"),"*","~*"),"?","~?"),'DEF_SELF_SCOUT_IMPORT'!$D$42:$D$1040,SUBSTITUTE(SUBSTITUTE(SUBSTITUTE($P1353,"~","~~"),"*","~*"),"?","~?"),'DEF_SELF_SCOUT_IMPORT'!$J$42:$J$1040,"")&gt;0,"Unscored clean outcome; review result tags before using score.",IF(C1353=0,"No matching defensive reps; film confirmation needed.",IF(K1353="Explosive Alert","Explosive risk; review clips before using as answer.",IF(C1353&lt;=2,"Track only; not enough sample.",IF(C1353=3,IF(E1353&gt;0,"Sample watch with explosive exposure; review clips and build the sample.",IF(J1353&gt;=65,"Good signal, but sample is limited.","Sample watch; review clips and build the sample.")),IF(K1353="Problem Call","Problem area; practice or call-sheet review.",IF(K1353="Strong Candidate","Strong call-fit candidate; confirm on film.",IF(K1353="Good Candidate","Good call-fit signal; confirm on film.","Mixed signal; review fit and execution on film."))))))))</f>
        <v>Good signal, but sample is limited.</v>
      </c>
      <c r="M1353" s="8"/>
      <c r="N1353" s="8"/>
      <c r="O1353" s="8"/>
      <c r="P1353" s="8" t="s">
        <v>428</v>
      </c>
      <c r="Q1353" s="8"/>
      <c r="R1353" s="8" t="s">
        <v>633</v>
      </c>
      <c r="S1353" s="2" t="s">
        <v>647</v>
      </c>
      <c r="T1353" s="2">
        <f>IF(C1353=0,0,IF(C1353&gt;=CALL_LOOKUP_BOARD!$B$7,IF(OR(K1353="Problem Call",K1353="Explosive Alert"),10000000,20000000),0)+IF(C1353&gt;=CALL_LOOKUP_BOARD!$B$7,J1353*1000+MIN(C1353,999),C1353*1000+J1353)+0.00991000)</f>
        <v>3098.3099100000004</v>
      </c>
      <c r="U1353" s="2">
        <f>IF(C1353=0,"",IF(COUNTIFS($S$1264:$S$1440,SUBSTITUTE(SUBSTITUTE(SUBSTITUTE(S1353,"~","~~"),"*","~*"),"?","~?"),$T$1264:$T$1440,"&gt;"&amp;T1353)=0,S1353,""))</f>
        <v/>
      </c>
    </row>
    <row r="1354" spans="1:21" ht="38" customHeight="1">
      <c r="A1354" s="8" t="s">
        <v>428</v>
      </c>
      <c r="B1354" s="8" t="s">
        <v>80</v>
      </c>
      <c r="C1354" s="12">
        <f>COUNTIFS('DEF_SELF_SCOUT_IMPORT'!$L$42:$L$1040,"Y",'DEF_SELF_SCOUT_IMPORT'!$E$42:$E$1040,SUBSTITUTE(SUBSTITUTE(SUBSTITUTE($B1354,"~","~~"),"*","~*"),"?","~?"),'DEF_SELF_SCOUT_IMPORT'!$D$42:$D$1040,SUBSTITUTE(SUBSTITUTE(SUBSTITUTE($P1354,"~","~~"),"*","~*"),"?","~?"))</f>
        <v>1</v>
      </c>
      <c r="D1354" s="10">
        <f>IF($C1354=0,"",SUMIFS('DEF_SELF_SCOUT_IMPORT'!$J$42:$J$1040,'DEF_SELF_SCOUT_IMPORT'!$L$42:$L$1040,"Y",'DEF_SELF_SCOUT_IMPORT'!$E$42:$E$1040,SUBSTITUTE(SUBSTITUTE(SUBSTITUTE($B1354,"~","~~"),"*","~*"),"?","~?"),'DEF_SELF_SCOUT_IMPORT'!$D$42:$D$1040,SUBSTITUTE(SUBSTITUTE(SUBSTITUTE($P1354,"~","~~"),"*","~*"),"?","~?"))/$C1354)</f>
        <v>1.0</v>
      </c>
      <c r="E1354" s="10">
        <f>IF($C1354=0,"",SUMIFS('DEF_SELF_SCOUT_IMPORT'!$K$42:$K$1040,'DEF_SELF_SCOUT_IMPORT'!$L$42:$L$1040,"Y",'DEF_SELF_SCOUT_IMPORT'!$E$42:$E$1040,SUBSTITUTE(SUBSTITUTE(SUBSTITUTE($B1354,"~","~~"),"*","~*"),"?","~?"),'DEF_SELF_SCOUT_IMPORT'!$D$42:$D$1040,SUBSTITUTE(SUBSTITUTE(SUBSTITUTE($P1354,"~","~~"),"*","~*"),"?","~?"))/$C1354)</f>
        <v>0.0</v>
      </c>
      <c r="F1354" s="11">
        <f>IF($C1354=0,"",AVERAGEIFS('DEF_SELF_SCOUT_IMPORT'!$I$42:$I$1040,'DEF_SELF_SCOUT_IMPORT'!$L$42:$L$1040,"Y",'DEF_SELF_SCOUT_IMPORT'!$E$42:$E$1040,SUBSTITUTE(SUBSTITUTE(SUBSTITUTE($B1354,"~","~~"),"*","~*"),"?","~?"),'DEF_SELF_SCOUT_IMPORT'!$D$42:$D$1040,SUBSTITUTE(SUBSTITUTE(SUBSTITUTE($P1354,"~","~~"),"*","~*"),"?","~?")))</f>
        <v>2.0</v>
      </c>
      <c r="G1354" s="10">
        <f>IF($C1354=0,"",COUNTIFS('DEF_SELF_SCOUT_IMPORT'!$L$42:$L$1040,"Y",'DEF_SELF_SCOUT_IMPORT'!$E$42:$E$1040,SUBSTITUTE(SUBSTITUTE(SUBSTITUTE($B1354,"~","~~"),"*","~*"),"?","~?"),'DEF_SELF_SCOUT_IMPORT'!$D$42:$D$1040,SUBSTITUTE(SUBSTITUTE(SUBSTITUTE($P1354,"~","~~"),"*","~*"),"?","~?"),'DEF_SELF_SCOUT_IMPORT'!$H$42:$H$1040,"RUSH")/$C1354)</f>
        <v>1.0</v>
      </c>
      <c r="H1354" s="10">
        <f>IF($C1354=0,"",COUNTIFS('DEF_SELF_SCOUT_IMPORT'!$L$42:$L$1040,"Y",'DEF_SELF_SCOUT_IMPORT'!$E$42:$E$1040,SUBSTITUTE(SUBSTITUTE(SUBSTITUTE($B1354,"~","~~"),"*","~*"),"?","~?"),'DEF_SELF_SCOUT_IMPORT'!$D$42:$D$1040,SUBSTITUTE(SUBSTITUTE(SUBSTITUTE($P1354,"~","~~"),"*","~*"),"?","~?"),'DEF_SELF_SCOUT_IMPORT'!$H$42:$H$1040,"DROPBACK")/$C1354)</f>
        <v>0.0</v>
      </c>
      <c r="I1354" s="14" t="str">
        <f>IF(C1354=0,"",IF(C1354&lt;=2,"TRACK",IF(C1354=3,"LOW",IF(C1354&lt;=6,"MEDIUM","HIGH"))))</f>
        <v>TRACK</v>
      </c>
      <c r="J1354" s="11">
        <f>IF(C1354=0,"",ROUND(D1354*70+(1-E1354)*20+MAX(0,MIN(1,(10-F1354)/10))*10,1))</f>
        <v>98.0</v>
      </c>
      <c r="K1354" s="14" t="str">
        <f>IF(C1354=0,"No Evidence",IF(C1354&lt;=2,IF(E1354&gt;0,"Explosive Alert","Track Only"),IF(C1354=3,"Sample Watch",IF(E1354&gt;=START_HERE!$B$31,"Explosive Alert",IF(J1354&gt;=80,"Strong Candidate",IF(J1354&gt;=65,"Good Candidate",IF(J1354&gt;=50,"Mixed / Review","Problem Call")))))))</f>
        <v>Track Only</v>
      </c>
      <c r="L1354" s="9" t="str">
        <f>IF(COUNTIFS('DEF_SELF_SCOUT_IMPORT'!$L$42:$L$1040,"Y",'DEF_SELF_SCOUT_IMPORT'!$E$42:$E$1040,SUBSTITUTE(SUBSTITUTE(SUBSTITUTE($B1354,"~","~~"),"*","~*"),"?","~?"),'DEF_SELF_SCOUT_IMPORT'!$D$42:$D$1040,SUBSTITUTE(SUBSTITUTE(SUBSTITUTE($P1354,"~","~~"),"*","~*"),"?","~?"),'DEF_SELF_SCOUT_IMPORT'!$J$42:$J$1040,"")&gt;0,"Unscored clean outcome; review result tags before using score.",IF(C1354=0,"No matching defensive reps; film confirmation needed.",IF(K1354="Explosive Alert","Explosive risk; review clips before using as answer.",IF(C1354&lt;=2,"Track only; not enough sample.",IF(C1354=3,IF(E1354&gt;0,"Sample watch with explosive exposure; review clips and build the sample.",IF(J1354&gt;=65,"Good signal, but sample is limited.","Sample watch; review clips and build the sample.")),IF(K1354="Problem Call","Problem area; practice or call-sheet review.",IF(K1354="Strong Candidate","Strong call-fit candidate; confirm on film.",IF(K1354="Good Candidate","Good call-fit signal; confirm on film.","Mixed signal; review fit and execution on film."))))))))</f>
        <v>Track only; not enough sample.</v>
      </c>
      <c r="M1354" s="8"/>
      <c r="N1354" s="8"/>
      <c r="O1354" s="8"/>
      <c r="P1354" s="8" t="s">
        <v>428</v>
      </c>
      <c r="Q1354" s="8"/>
      <c r="R1354" s="8" t="s">
        <v>633</v>
      </c>
      <c r="S1354" s="2" t="s">
        <v>647</v>
      </c>
      <c r="T1354" s="2">
        <f>IF(C1354=0,0,IF(C1354&gt;=CALL_LOOKUP_BOARD!$B$7,IF(OR(K1354="Problem Call",K1354="Explosive Alert"),10000000,20000000),0)+IF(C1354&gt;=CALL_LOOKUP_BOARD!$B$7,J1354*1000+MIN(C1354,999),C1354*1000+J1354)+0.00990900)</f>
        <v>1098.009909</v>
      </c>
      <c r="U1354" s="2">
        <f>IF(C1354=0,"",IF(COUNTIFS($S$1264:$S$1440,SUBSTITUTE(SUBSTITUTE(SUBSTITUTE(S1354,"~","~~"),"*","~*"),"?","~?"),$T$1264:$T$1440,"&gt;"&amp;T1354)=0,S1354,""))</f>
        <v/>
      </c>
    </row>
    <row r="1355" spans="1:21" ht="38" customHeight="1">
      <c r="A1355" s="8" t="s">
        <v>428</v>
      </c>
      <c r="B1355" s="8" t="s">
        <v>51</v>
      </c>
      <c r="C1355" s="12">
        <f>COUNTIFS('DEF_SELF_SCOUT_IMPORT'!$L$42:$L$1040,"Y",'DEF_SELF_SCOUT_IMPORT'!$E$42:$E$1040,SUBSTITUTE(SUBSTITUTE(SUBSTITUTE($B1355,"~","~~"),"*","~*"),"?","~?"),'DEF_SELF_SCOUT_IMPORT'!$D$42:$D$1040,SUBSTITUTE(SUBSTITUTE(SUBSTITUTE($P1355,"~","~~"),"*","~*"),"?","~?"))</f>
        <v>1</v>
      </c>
      <c r="D1355" s="10">
        <f>IF($C1355=0,"",SUMIFS('DEF_SELF_SCOUT_IMPORT'!$J$42:$J$1040,'DEF_SELF_SCOUT_IMPORT'!$L$42:$L$1040,"Y",'DEF_SELF_SCOUT_IMPORT'!$E$42:$E$1040,SUBSTITUTE(SUBSTITUTE(SUBSTITUTE($B1355,"~","~~"),"*","~*"),"?","~?"),'DEF_SELF_SCOUT_IMPORT'!$D$42:$D$1040,SUBSTITUTE(SUBSTITUTE(SUBSTITUTE($P1355,"~","~~"),"*","~*"),"?","~?"))/$C1355)</f>
        <v>0.0</v>
      </c>
      <c r="E1355" s="10">
        <f>IF($C1355=0,"",SUMIFS('DEF_SELF_SCOUT_IMPORT'!$K$42:$K$1040,'DEF_SELF_SCOUT_IMPORT'!$L$42:$L$1040,"Y",'DEF_SELF_SCOUT_IMPORT'!$E$42:$E$1040,SUBSTITUTE(SUBSTITUTE(SUBSTITUTE($B1355,"~","~~"),"*","~*"),"?","~?"),'DEF_SELF_SCOUT_IMPORT'!$D$42:$D$1040,SUBSTITUTE(SUBSTITUTE(SUBSTITUTE($P1355,"~","~~"),"*","~*"),"?","~?"))/$C1355)</f>
        <v>0.0</v>
      </c>
      <c r="F1355" s="11">
        <f>IF($C1355=0,"",AVERAGEIFS('DEF_SELF_SCOUT_IMPORT'!$I$42:$I$1040,'DEF_SELF_SCOUT_IMPORT'!$L$42:$L$1040,"Y",'DEF_SELF_SCOUT_IMPORT'!$E$42:$E$1040,SUBSTITUTE(SUBSTITUTE(SUBSTITUTE($B1355,"~","~~"),"*","~*"),"?","~?"),'DEF_SELF_SCOUT_IMPORT'!$D$42:$D$1040,SUBSTITUTE(SUBSTITUTE(SUBSTITUTE($P1355,"~","~~"),"*","~*"),"?","~?")))</f>
        <v>4.0</v>
      </c>
      <c r="G1355" s="10">
        <f>IF($C1355=0,"",COUNTIFS('DEF_SELF_SCOUT_IMPORT'!$L$42:$L$1040,"Y",'DEF_SELF_SCOUT_IMPORT'!$E$42:$E$1040,SUBSTITUTE(SUBSTITUTE(SUBSTITUTE($B1355,"~","~~"),"*","~*"),"?","~?"),'DEF_SELF_SCOUT_IMPORT'!$D$42:$D$1040,SUBSTITUTE(SUBSTITUTE(SUBSTITUTE($P1355,"~","~~"),"*","~*"),"?","~?"),'DEF_SELF_SCOUT_IMPORT'!$H$42:$H$1040,"RUSH")/$C1355)</f>
        <v>1.0</v>
      </c>
      <c r="H1355" s="10">
        <f>IF($C1355=0,"",COUNTIFS('DEF_SELF_SCOUT_IMPORT'!$L$42:$L$1040,"Y",'DEF_SELF_SCOUT_IMPORT'!$E$42:$E$1040,SUBSTITUTE(SUBSTITUTE(SUBSTITUTE($B1355,"~","~~"),"*","~*"),"?","~?"),'DEF_SELF_SCOUT_IMPORT'!$D$42:$D$1040,SUBSTITUTE(SUBSTITUTE(SUBSTITUTE($P1355,"~","~~"),"*","~*"),"?","~?"),'DEF_SELF_SCOUT_IMPORT'!$H$42:$H$1040,"DROPBACK")/$C1355)</f>
        <v>0.0</v>
      </c>
      <c r="I1355" s="14" t="str">
        <f>IF(C1355=0,"",IF(C1355&lt;=2,"TRACK",IF(C1355=3,"LOW",IF(C1355&lt;=6,"MEDIUM","HIGH"))))</f>
        <v>TRACK</v>
      </c>
      <c r="J1355" s="11">
        <f>IF(C1355=0,"",ROUND(D1355*70+(1-E1355)*20+MAX(0,MIN(1,(10-F1355)/10))*10,1))</f>
        <v>26.0</v>
      </c>
      <c r="K1355" s="14" t="str">
        <f>IF(C1355=0,"No Evidence",IF(C1355&lt;=2,IF(E1355&gt;0,"Explosive Alert","Track Only"),IF(C1355=3,"Sample Watch",IF(E1355&gt;=START_HERE!$B$31,"Explosive Alert",IF(J1355&gt;=80,"Strong Candidate",IF(J1355&gt;=65,"Good Candidate",IF(J1355&gt;=50,"Mixed / Review","Problem Call")))))))</f>
        <v>Track Only</v>
      </c>
      <c r="L1355" s="9" t="str">
        <f>IF(COUNTIFS('DEF_SELF_SCOUT_IMPORT'!$L$42:$L$1040,"Y",'DEF_SELF_SCOUT_IMPORT'!$E$42:$E$1040,SUBSTITUTE(SUBSTITUTE(SUBSTITUTE($B1355,"~","~~"),"*","~*"),"?","~?"),'DEF_SELF_SCOUT_IMPORT'!$D$42:$D$1040,SUBSTITUTE(SUBSTITUTE(SUBSTITUTE($P1355,"~","~~"),"*","~*"),"?","~?"),'DEF_SELF_SCOUT_IMPORT'!$J$42:$J$1040,"")&gt;0,"Unscored clean outcome; review result tags before using score.",IF(C1355=0,"No matching defensive reps; film confirmation needed.",IF(K1355="Explosive Alert","Explosive risk; review clips before using as answer.",IF(C1355&lt;=2,"Track only; not enough sample.",IF(C1355=3,IF(E1355&gt;0,"Sample watch with explosive exposure; review clips and build the sample.",IF(J1355&gt;=65,"Good signal, but sample is limited.","Sample watch; review clips and build the sample.")),IF(K1355="Problem Call","Problem area; practice or call-sheet review.",IF(K1355="Strong Candidate","Strong call-fit candidate; confirm on film.",IF(K1355="Good Candidate","Good call-fit signal; confirm on film.","Mixed signal; review fit and execution on film."))))))))</f>
        <v>Track only; not enough sample.</v>
      </c>
      <c r="M1355" s="8"/>
      <c r="N1355" s="8"/>
      <c r="O1355" s="8"/>
      <c r="P1355" s="8" t="s">
        <v>428</v>
      </c>
      <c r="Q1355" s="8"/>
      <c r="R1355" s="8" t="s">
        <v>633</v>
      </c>
      <c r="S1355" s="2" t="s">
        <v>647</v>
      </c>
      <c r="T1355" s="2">
        <f>IF(C1355=0,0,IF(C1355&gt;=CALL_LOOKUP_BOARD!$B$7,IF(OR(K1355="Problem Call",K1355="Explosive Alert"),10000000,20000000),0)+IF(C1355&gt;=CALL_LOOKUP_BOARD!$B$7,J1355*1000+MIN(C1355,999),C1355*1000+J1355)+0.00990800)</f>
        <v>1026.009908</v>
      </c>
      <c r="U1355" s="2">
        <f>IF(C1355=0,"",IF(COUNTIFS($S$1264:$S$1440,SUBSTITUTE(SUBSTITUTE(SUBSTITUTE(S1355,"~","~~"),"*","~*"),"?","~?"),$T$1264:$T$1440,"&gt;"&amp;T1355)=0,S1355,""))</f>
        <v/>
      </c>
    </row>
    <row r="1356" spans="1:21" ht="38" customHeight="1">
      <c r="A1356" s="8" t="s">
        <v>428</v>
      </c>
      <c r="B1356" s="8" t="s">
        <v>52</v>
      </c>
      <c r="C1356" s="12">
        <f>COUNTIFS('DEF_SELF_SCOUT_IMPORT'!$L$42:$L$1040,"Y",'DEF_SELF_SCOUT_IMPORT'!$E$42:$E$1040,SUBSTITUTE(SUBSTITUTE(SUBSTITUTE($B1356,"~","~~"),"*","~*"),"?","~?"),'DEF_SELF_SCOUT_IMPORT'!$D$42:$D$1040,SUBSTITUTE(SUBSTITUTE(SUBSTITUTE($P1356,"~","~~"),"*","~*"),"?","~?"))</f>
        <v>4</v>
      </c>
      <c r="D1356" s="10">
        <f>IF($C1356=0,"",SUMIFS('DEF_SELF_SCOUT_IMPORT'!$J$42:$J$1040,'DEF_SELF_SCOUT_IMPORT'!$L$42:$L$1040,"Y",'DEF_SELF_SCOUT_IMPORT'!$E$42:$E$1040,SUBSTITUTE(SUBSTITUTE(SUBSTITUTE($B1356,"~","~~"),"*","~*"),"?","~?"),'DEF_SELF_SCOUT_IMPORT'!$D$42:$D$1040,SUBSTITUTE(SUBSTITUTE(SUBSTITUTE($P1356,"~","~~"),"*","~*"),"?","~?"))/$C1356)</f>
        <v>0.5</v>
      </c>
      <c r="E1356" s="10">
        <f>IF($C1356=0,"",SUMIFS('DEF_SELF_SCOUT_IMPORT'!$K$42:$K$1040,'DEF_SELF_SCOUT_IMPORT'!$L$42:$L$1040,"Y",'DEF_SELF_SCOUT_IMPORT'!$E$42:$E$1040,SUBSTITUTE(SUBSTITUTE(SUBSTITUTE($B1356,"~","~~"),"*","~*"),"?","~?"),'DEF_SELF_SCOUT_IMPORT'!$D$42:$D$1040,SUBSTITUTE(SUBSTITUTE(SUBSTITUTE($P1356,"~","~~"),"*","~*"),"?","~?"))/$C1356)</f>
        <v>0.0</v>
      </c>
      <c r="F1356" s="11">
        <f>IF($C1356=0,"",AVERAGEIFS('DEF_SELF_SCOUT_IMPORT'!$I$42:$I$1040,'DEF_SELF_SCOUT_IMPORT'!$L$42:$L$1040,"Y",'DEF_SELF_SCOUT_IMPORT'!$E$42:$E$1040,SUBSTITUTE(SUBSTITUTE(SUBSTITUTE($B1356,"~","~~"),"*","~*"),"?","~?"),'DEF_SELF_SCOUT_IMPORT'!$D$42:$D$1040,SUBSTITUTE(SUBSTITUTE(SUBSTITUTE($P1356,"~","~~"),"*","~*"),"?","~?")))</f>
        <v>4.0</v>
      </c>
      <c r="G1356" s="10">
        <f>IF($C1356=0,"",COUNTIFS('DEF_SELF_SCOUT_IMPORT'!$L$42:$L$1040,"Y",'DEF_SELF_SCOUT_IMPORT'!$E$42:$E$1040,SUBSTITUTE(SUBSTITUTE(SUBSTITUTE($B1356,"~","~~"),"*","~*"),"?","~?"),'DEF_SELF_SCOUT_IMPORT'!$D$42:$D$1040,SUBSTITUTE(SUBSTITUTE(SUBSTITUTE($P1356,"~","~~"),"*","~*"),"?","~?"),'DEF_SELF_SCOUT_IMPORT'!$H$42:$H$1040,"RUSH")/$C1356)</f>
        <v>1.0</v>
      </c>
      <c r="H1356" s="10">
        <f>IF($C1356=0,"",COUNTIFS('DEF_SELF_SCOUT_IMPORT'!$L$42:$L$1040,"Y",'DEF_SELF_SCOUT_IMPORT'!$E$42:$E$1040,SUBSTITUTE(SUBSTITUTE(SUBSTITUTE($B1356,"~","~~"),"*","~*"),"?","~?"),'DEF_SELF_SCOUT_IMPORT'!$D$42:$D$1040,SUBSTITUTE(SUBSTITUTE(SUBSTITUTE($P1356,"~","~~"),"*","~*"),"?","~?"),'DEF_SELF_SCOUT_IMPORT'!$H$42:$H$1040,"DROPBACK")/$C1356)</f>
        <v>0.0</v>
      </c>
      <c r="I1356" s="14" t="str">
        <f>IF(C1356=0,"",IF(C1356&lt;=2,"TRACK",IF(C1356=3,"LOW",IF(C1356&lt;=6,"MEDIUM","HIGH"))))</f>
        <v>MEDIUM</v>
      </c>
      <c r="J1356" s="11">
        <f>IF(C1356=0,"",ROUND(D1356*70+(1-E1356)*20+MAX(0,MIN(1,(10-F1356)/10))*10,1))</f>
        <v>61.0</v>
      </c>
      <c r="K1356" s="14" t="str">
        <f>IF(C1356=0,"No Evidence",IF(C1356&lt;=2,IF(E1356&gt;0,"Explosive Alert","Track Only"),IF(C1356=3,"Sample Watch",IF(E1356&gt;=START_HERE!$B$31,"Explosive Alert",IF(J1356&gt;=80,"Strong Candidate",IF(J1356&gt;=65,"Good Candidate",IF(J1356&gt;=50,"Mixed / Review","Problem Call")))))))</f>
        <v>Mixed / Review</v>
      </c>
      <c r="L1356" s="9" t="str">
        <f>IF(COUNTIFS('DEF_SELF_SCOUT_IMPORT'!$L$42:$L$1040,"Y",'DEF_SELF_SCOUT_IMPORT'!$E$42:$E$1040,SUBSTITUTE(SUBSTITUTE(SUBSTITUTE($B1356,"~","~~"),"*","~*"),"?","~?"),'DEF_SELF_SCOUT_IMPORT'!$D$42:$D$1040,SUBSTITUTE(SUBSTITUTE(SUBSTITUTE($P1356,"~","~~"),"*","~*"),"?","~?"),'DEF_SELF_SCOUT_IMPORT'!$J$42:$J$1040,"")&gt;0,"Unscored clean outcome; review result tags before using score.",IF(C1356=0,"No matching defensive reps; film confirmation needed.",IF(K1356="Explosive Alert","Explosive risk; review clips before using as answer.",IF(C1356&lt;=2,"Track only; not enough sample.",IF(C1356=3,IF(E1356&gt;0,"Sample watch with explosive exposure; review clips and build the sample.",IF(J1356&gt;=65,"Good signal, but sample is limited.","Sample watch; review clips and build the sample.")),IF(K1356="Problem Call","Problem area; practice or call-sheet review.",IF(K1356="Strong Candidate","Strong call-fit candidate; confirm on film.",IF(K1356="Good Candidate","Good call-fit signal; confirm on film.","Mixed signal; review fit and execution on film."))))))))</f>
        <v>Mixed signal; review fit and execution on film.</v>
      </c>
      <c r="M1356" s="8"/>
      <c r="N1356" s="8"/>
      <c r="O1356" s="8"/>
      <c r="P1356" s="8" t="s">
        <v>428</v>
      </c>
      <c r="Q1356" s="8"/>
      <c r="R1356" s="8" t="s">
        <v>636</v>
      </c>
      <c r="S1356" s="2" t="s">
        <v>647</v>
      </c>
      <c r="T1356" s="2">
        <f>IF(C1356=0,0,IF(C1356&gt;=CALL_LOOKUP_BOARD!$B$7,IF(OR(K1356="Problem Call",K1356="Explosive Alert"),10000000,20000000),0)+IF(C1356&gt;=CALL_LOOKUP_BOARD!$B$7,J1356*1000+MIN(C1356,999),C1356*1000+J1356)+0.00990700)</f>
        <v>20061004.009907</v>
      </c>
      <c r="U1356" s="2">
        <f>IF(C1356=0,"",IF(COUNTIFS($S$1264:$S$1440,SUBSTITUTE(SUBSTITUTE(SUBSTITUTE(S1356,"~","~~"),"*","~*"),"?","~?"),$T$1264:$T$1440,"&gt;"&amp;T1356)=0,S1356,""))</f>
        <v/>
      </c>
    </row>
    <row r="1357" spans="1:21" ht="38" customHeight="1">
      <c r="A1357" s="8" t="s">
        <v>428</v>
      </c>
      <c r="B1357" s="8" t="s">
        <v>88</v>
      </c>
      <c r="C1357" s="12">
        <f>COUNTIFS('DEF_SELF_SCOUT_IMPORT'!$L$42:$L$1040,"Y",'DEF_SELF_SCOUT_IMPORT'!$E$42:$E$1040,SUBSTITUTE(SUBSTITUTE(SUBSTITUTE($B1357,"~","~~"),"*","~*"),"?","~?"),'DEF_SELF_SCOUT_IMPORT'!$D$42:$D$1040,SUBSTITUTE(SUBSTITUTE(SUBSTITUTE($P1357,"~","~~"),"*","~*"),"?","~?"))</f>
        <v>2</v>
      </c>
      <c r="D1357" s="10">
        <f>IF($C1357=0,"",SUMIFS('DEF_SELF_SCOUT_IMPORT'!$J$42:$J$1040,'DEF_SELF_SCOUT_IMPORT'!$L$42:$L$1040,"Y",'DEF_SELF_SCOUT_IMPORT'!$E$42:$E$1040,SUBSTITUTE(SUBSTITUTE(SUBSTITUTE($B1357,"~","~~"),"*","~*"),"?","~?"),'DEF_SELF_SCOUT_IMPORT'!$D$42:$D$1040,SUBSTITUTE(SUBSTITUTE(SUBSTITUTE($P1357,"~","~~"),"*","~*"),"?","~?"))/$C1357)</f>
        <v>0.5</v>
      </c>
      <c r="E1357" s="10">
        <f>IF($C1357=0,"",SUMIFS('DEF_SELF_SCOUT_IMPORT'!$K$42:$K$1040,'DEF_SELF_SCOUT_IMPORT'!$L$42:$L$1040,"Y",'DEF_SELF_SCOUT_IMPORT'!$E$42:$E$1040,SUBSTITUTE(SUBSTITUTE(SUBSTITUTE($B1357,"~","~~"),"*","~*"),"?","~?"),'DEF_SELF_SCOUT_IMPORT'!$D$42:$D$1040,SUBSTITUTE(SUBSTITUTE(SUBSTITUTE($P1357,"~","~~"),"*","~*"),"?","~?"))/$C1357)</f>
        <v>0.0</v>
      </c>
      <c r="F1357" s="11">
        <f>IF($C1357=0,"",AVERAGEIFS('DEF_SELF_SCOUT_IMPORT'!$I$42:$I$1040,'DEF_SELF_SCOUT_IMPORT'!$L$42:$L$1040,"Y",'DEF_SELF_SCOUT_IMPORT'!$E$42:$E$1040,SUBSTITUTE(SUBSTITUTE(SUBSTITUTE($B1357,"~","~~"),"*","~*"),"?","~?"),'DEF_SELF_SCOUT_IMPORT'!$D$42:$D$1040,SUBSTITUTE(SUBSTITUTE(SUBSTITUTE($P1357,"~","~~"),"*","~*"),"?","~?")))</f>
        <v>3.5</v>
      </c>
      <c r="G1357" s="10">
        <f>IF($C1357=0,"",COUNTIFS('DEF_SELF_SCOUT_IMPORT'!$L$42:$L$1040,"Y",'DEF_SELF_SCOUT_IMPORT'!$E$42:$E$1040,SUBSTITUTE(SUBSTITUTE(SUBSTITUTE($B1357,"~","~~"),"*","~*"),"?","~?"),'DEF_SELF_SCOUT_IMPORT'!$D$42:$D$1040,SUBSTITUTE(SUBSTITUTE(SUBSTITUTE($P1357,"~","~~"),"*","~*"),"?","~?"),'DEF_SELF_SCOUT_IMPORT'!$H$42:$H$1040,"RUSH")/$C1357)</f>
        <v>1.0</v>
      </c>
      <c r="H1357" s="10">
        <f>IF($C1357=0,"",COUNTIFS('DEF_SELF_SCOUT_IMPORT'!$L$42:$L$1040,"Y",'DEF_SELF_SCOUT_IMPORT'!$E$42:$E$1040,SUBSTITUTE(SUBSTITUTE(SUBSTITUTE($B1357,"~","~~"),"*","~*"),"?","~?"),'DEF_SELF_SCOUT_IMPORT'!$D$42:$D$1040,SUBSTITUTE(SUBSTITUTE(SUBSTITUTE($P1357,"~","~~"),"*","~*"),"?","~?"),'DEF_SELF_SCOUT_IMPORT'!$H$42:$H$1040,"DROPBACK")/$C1357)</f>
        <v>0.0</v>
      </c>
      <c r="I1357" s="14" t="str">
        <f>IF(C1357=0,"",IF(C1357&lt;=2,"TRACK",IF(C1357=3,"LOW",IF(C1357&lt;=6,"MEDIUM","HIGH"))))</f>
        <v>TRACK</v>
      </c>
      <c r="J1357" s="11">
        <f>IF(C1357=0,"",ROUND(D1357*70+(1-E1357)*20+MAX(0,MIN(1,(10-F1357)/10))*10,1))</f>
        <v>61.5</v>
      </c>
      <c r="K1357" s="14" t="str">
        <f>IF(C1357=0,"No Evidence",IF(C1357&lt;=2,IF(E1357&gt;0,"Explosive Alert","Track Only"),IF(C1357=3,"Sample Watch",IF(E1357&gt;=START_HERE!$B$31,"Explosive Alert",IF(J1357&gt;=80,"Strong Candidate",IF(J1357&gt;=65,"Good Candidate",IF(J1357&gt;=50,"Mixed / Review","Problem Call")))))))</f>
        <v>Track Only</v>
      </c>
      <c r="L1357" s="9" t="str">
        <f>IF(COUNTIFS('DEF_SELF_SCOUT_IMPORT'!$L$42:$L$1040,"Y",'DEF_SELF_SCOUT_IMPORT'!$E$42:$E$1040,SUBSTITUTE(SUBSTITUTE(SUBSTITUTE($B1357,"~","~~"),"*","~*"),"?","~?"),'DEF_SELF_SCOUT_IMPORT'!$D$42:$D$1040,SUBSTITUTE(SUBSTITUTE(SUBSTITUTE($P1357,"~","~~"),"*","~*"),"?","~?"),'DEF_SELF_SCOUT_IMPORT'!$J$42:$J$1040,"")&gt;0,"Unscored clean outcome; review result tags before using score.",IF(C1357=0,"No matching defensive reps; film confirmation needed.",IF(K1357="Explosive Alert","Explosive risk; review clips before using as answer.",IF(C1357&lt;=2,"Track only; not enough sample.",IF(C1357=3,IF(E1357&gt;0,"Sample watch with explosive exposure; review clips and build the sample.",IF(J1357&gt;=65,"Good signal, but sample is limited.","Sample watch; review clips and build the sample.")),IF(K1357="Problem Call","Problem area; practice or call-sheet review.",IF(K1357="Strong Candidate","Strong call-fit candidate; confirm on film.",IF(K1357="Good Candidate","Good call-fit signal; confirm on film.","Mixed signal; review fit and execution on film."))))))))</f>
        <v>Track only; not enough sample.</v>
      </c>
      <c r="M1357" s="8"/>
      <c r="N1357" s="8"/>
      <c r="O1357" s="8"/>
      <c r="P1357" s="8" t="s">
        <v>428</v>
      </c>
      <c r="Q1357" s="8"/>
      <c r="R1357" s="8" t="s">
        <v>633</v>
      </c>
      <c r="S1357" s="2" t="s">
        <v>647</v>
      </c>
      <c r="T1357" s="2">
        <f>IF(C1357=0,0,IF(C1357&gt;=CALL_LOOKUP_BOARD!$B$7,IF(OR(K1357="Problem Call",K1357="Explosive Alert"),10000000,20000000),0)+IF(C1357&gt;=CALL_LOOKUP_BOARD!$B$7,J1357*1000+MIN(C1357,999),C1357*1000+J1357)+0.00990600)</f>
        <v>2061.509906</v>
      </c>
      <c r="U1357" s="2">
        <f>IF(C1357=0,"",IF(COUNTIFS($S$1264:$S$1440,SUBSTITUTE(SUBSTITUTE(SUBSTITUTE(S1357,"~","~~"),"*","~*"),"?","~?"),$T$1264:$T$1440,"&gt;"&amp;T1357)=0,S1357,""))</f>
        <v/>
      </c>
    </row>
    <row r="1358" spans="1:21" ht="38" customHeight="1">
      <c r="A1358" s="8" t="s">
        <v>428</v>
      </c>
      <c r="B1358" s="8" t="s">
        <v>53</v>
      </c>
      <c r="C1358" s="12">
        <f>COUNTIFS('DEF_SELF_SCOUT_IMPORT'!$L$42:$L$1040,"Y",'DEF_SELF_SCOUT_IMPORT'!$E$42:$E$1040,SUBSTITUTE(SUBSTITUTE(SUBSTITUTE($B1358,"~","~~"),"*","~*"),"?","~?"),'DEF_SELF_SCOUT_IMPORT'!$D$42:$D$1040,SUBSTITUTE(SUBSTITUTE(SUBSTITUTE($P1358,"~","~~"),"*","~*"),"?","~?"))</f>
        <v>5</v>
      </c>
      <c r="D1358" s="10">
        <f>IF($C1358=0,"",SUMIFS('DEF_SELF_SCOUT_IMPORT'!$J$42:$J$1040,'DEF_SELF_SCOUT_IMPORT'!$L$42:$L$1040,"Y",'DEF_SELF_SCOUT_IMPORT'!$E$42:$E$1040,SUBSTITUTE(SUBSTITUTE(SUBSTITUTE($B1358,"~","~~"),"*","~*"),"?","~?"),'DEF_SELF_SCOUT_IMPORT'!$D$42:$D$1040,SUBSTITUTE(SUBSTITUTE(SUBSTITUTE($P1358,"~","~~"),"*","~*"),"?","~?"))/$C1358)</f>
        <v>0.4</v>
      </c>
      <c r="E1358" s="10">
        <f>IF($C1358=0,"",SUMIFS('DEF_SELF_SCOUT_IMPORT'!$K$42:$K$1040,'DEF_SELF_SCOUT_IMPORT'!$L$42:$L$1040,"Y",'DEF_SELF_SCOUT_IMPORT'!$E$42:$E$1040,SUBSTITUTE(SUBSTITUTE(SUBSTITUTE($B1358,"~","~~"),"*","~*"),"?","~?"),'DEF_SELF_SCOUT_IMPORT'!$D$42:$D$1040,SUBSTITUTE(SUBSTITUTE(SUBSTITUTE($P1358,"~","~~"),"*","~*"),"?","~?"))/$C1358)</f>
        <v>0.0</v>
      </c>
      <c r="F1358" s="11">
        <f>IF($C1358=0,"",AVERAGEIFS('DEF_SELF_SCOUT_IMPORT'!$I$42:$I$1040,'DEF_SELF_SCOUT_IMPORT'!$L$42:$L$1040,"Y",'DEF_SELF_SCOUT_IMPORT'!$E$42:$E$1040,SUBSTITUTE(SUBSTITUTE(SUBSTITUTE($B1358,"~","~~"),"*","~*"),"?","~?"),'DEF_SELF_SCOUT_IMPORT'!$D$42:$D$1040,SUBSTITUTE(SUBSTITUTE(SUBSTITUTE($P1358,"~","~~"),"*","~*"),"?","~?")))</f>
        <v>5.6</v>
      </c>
      <c r="G1358" s="10">
        <f>IF($C1358=0,"",COUNTIFS('DEF_SELF_SCOUT_IMPORT'!$L$42:$L$1040,"Y",'DEF_SELF_SCOUT_IMPORT'!$E$42:$E$1040,SUBSTITUTE(SUBSTITUTE(SUBSTITUTE($B1358,"~","~~"),"*","~*"),"?","~?"),'DEF_SELF_SCOUT_IMPORT'!$D$42:$D$1040,SUBSTITUTE(SUBSTITUTE(SUBSTITUTE($P1358,"~","~~"),"*","~*"),"?","~?"),'DEF_SELF_SCOUT_IMPORT'!$H$42:$H$1040,"RUSH")/$C1358)</f>
        <v>1.0</v>
      </c>
      <c r="H1358" s="10">
        <f>IF($C1358=0,"",COUNTIFS('DEF_SELF_SCOUT_IMPORT'!$L$42:$L$1040,"Y",'DEF_SELF_SCOUT_IMPORT'!$E$42:$E$1040,SUBSTITUTE(SUBSTITUTE(SUBSTITUTE($B1358,"~","~~"),"*","~*"),"?","~?"),'DEF_SELF_SCOUT_IMPORT'!$D$42:$D$1040,SUBSTITUTE(SUBSTITUTE(SUBSTITUTE($P1358,"~","~~"),"*","~*"),"?","~?"),'DEF_SELF_SCOUT_IMPORT'!$H$42:$H$1040,"DROPBACK")/$C1358)</f>
        <v>0.0</v>
      </c>
      <c r="I1358" s="14" t="str">
        <f>IF(C1358=0,"",IF(C1358&lt;=2,"TRACK",IF(C1358=3,"LOW",IF(C1358&lt;=6,"MEDIUM","HIGH"))))</f>
        <v>MEDIUM</v>
      </c>
      <c r="J1358" s="11">
        <f>IF(C1358=0,"",ROUND(D1358*70+(1-E1358)*20+MAX(0,MIN(1,(10-F1358)/10))*10,1))</f>
        <v>52.4</v>
      </c>
      <c r="K1358" s="14" t="str">
        <f>IF(C1358=0,"No Evidence",IF(C1358&lt;=2,IF(E1358&gt;0,"Explosive Alert","Track Only"),IF(C1358=3,"Sample Watch",IF(E1358&gt;=START_HERE!$B$31,"Explosive Alert",IF(J1358&gt;=80,"Strong Candidate",IF(J1358&gt;=65,"Good Candidate",IF(J1358&gt;=50,"Mixed / Review","Problem Call")))))))</f>
        <v>Mixed / Review</v>
      </c>
      <c r="L1358" s="9" t="str">
        <f>IF(COUNTIFS('DEF_SELF_SCOUT_IMPORT'!$L$42:$L$1040,"Y",'DEF_SELF_SCOUT_IMPORT'!$E$42:$E$1040,SUBSTITUTE(SUBSTITUTE(SUBSTITUTE($B1358,"~","~~"),"*","~*"),"?","~?"),'DEF_SELF_SCOUT_IMPORT'!$D$42:$D$1040,SUBSTITUTE(SUBSTITUTE(SUBSTITUTE($P1358,"~","~~"),"*","~*"),"?","~?"),'DEF_SELF_SCOUT_IMPORT'!$J$42:$J$1040,"")&gt;0,"Unscored clean outcome; review result tags before using score.",IF(C1358=0,"No matching defensive reps; film confirmation needed.",IF(K1358="Explosive Alert","Explosive risk; review clips before using as answer.",IF(C1358&lt;=2,"Track only; not enough sample.",IF(C1358=3,IF(E1358&gt;0,"Sample watch with explosive exposure; review clips and build the sample.",IF(J1358&gt;=65,"Good signal, but sample is limited.","Sample watch; review clips and build the sample.")),IF(K1358="Problem Call","Problem area; practice or call-sheet review.",IF(K1358="Strong Candidate","Strong call-fit candidate; confirm on film.",IF(K1358="Good Candidate","Good call-fit signal; confirm on film.","Mixed signal; review fit and execution on film."))))))))</f>
        <v>Mixed signal; review fit and execution on film.</v>
      </c>
      <c r="M1358" s="8"/>
      <c r="N1358" s="8"/>
      <c r="O1358" s="8"/>
      <c r="P1358" s="8" t="s">
        <v>428</v>
      </c>
      <c r="Q1358" s="8"/>
      <c r="R1358" s="8" t="s">
        <v>636</v>
      </c>
      <c r="S1358" s="2" t="s">
        <v>647</v>
      </c>
      <c r="T1358" s="2">
        <f>IF(C1358=0,0,IF(C1358&gt;=CALL_LOOKUP_BOARD!$B$7,IF(OR(K1358="Problem Call",K1358="Explosive Alert"),10000000,20000000),0)+IF(C1358&gt;=CALL_LOOKUP_BOARD!$B$7,J1358*1000+MIN(C1358,999),C1358*1000+J1358)+0.00990500)</f>
        <v>20052405.009905</v>
      </c>
      <c r="U1358" s="2">
        <f>IF(C1358=0,"",IF(COUNTIFS($S$1264:$S$1440,SUBSTITUTE(SUBSTITUTE(SUBSTITUTE(S1358,"~","~~"),"*","~*"),"?","~?"),$T$1264:$T$1440,"&gt;"&amp;T1358)=0,S1358,""))</f>
        <v/>
      </c>
    </row>
    <row r="1359" spans="1:21" ht="38" customHeight="1">
      <c r="A1359" s="8" t="s">
        <v>428</v>
      </c>
      <c r="B1359" s="8" t="s">
        <v>54</v>
      </c>
      <c r="C1359" s="12">
        <f>COUNTIFS('DEF_SELF_SCOUT_IMPORT'!$L$42:$L$1040,"Y",'DEF_SELF_SCOUT_IMPORT'!$E$42:$E$1040,SUBSTITUTE(SUBSTITUTE(SUBSTITUTE($B1359,"~","~~"),"*","~*"),"?","~?"),'DEF_SELF_SCOUT_IMPORT'!$D$42:$D$1040,SUBSTITUTE(SUBSTITUTE(SUBSTITUTE($P1359,"~","~~"),"*","~*"),"?","~?"))</f>
        <v>1</v>
      </c>
      <c r="D1359" s="10">
        <f>IF($C1359=0,"",SUMIFS('DEF_SELF_SCOUT_IMPORT'!$J$42:$J$1040,'DEF_SELF_SCOUT_IMPORT'!$L$42:$L$1040,"Y",'DEF_SELF_SCOUT_IMPORT'!$E$42:$E$1040,SUBSTITUTE(SUBSTITUTE(SUBSTITUTE($B1359,"~","~~"),"*","~*"),"?","~?"),'DEF_SELF_SCOUT_IMPORT'!$D$42:$D$1040,SUBSTITUTE(SUBSTITUTE(SUBSTITUTE($P1359,"~","~~"),"*","~*"),"?","~?"))/$C1359)</f>
        <v>0.0</v>
      </c>
      <c r="E1359" s="10">
        <f>IF($C1359=0,"",SUMIFS('DEF_SELF_SCOUT_IMPORT'!$K$42:$K$1040,'DEF_SELF_SCOUT_IMPORT'!$L$42:$L$1040,"Y",'DEF_SELF_SCOUT_IMPORT'!$E$42:$E$1040,SUBSTITUTE(SUBSTITUTE(SUBSTITUTE($B1359,"~","~~"),"*","~*"),"?","~?"),'DEF_SELF_SCOUT_IMPORT'!$D$42:$D$1040,SUBSTITUTE(SUBSTITUTE(SUBSTITUTE($P1359,"~","~~"),"*","~*"),"?","~?"))/$C1359)</f>
        <v>1.0</v>
      </c>
      <c r="F1359" s="11">
        <f>IF($C1359=0,"",AVERAGEIFS('DEF_SELF_SCOUT_IMPORT'!$I$42:$I$1040,'DEF_SELF_SCOUT_IMPORT'!$L$42:$L$1040,"Y",'DEF_SELF_SCOUT_IMPORT'!$E$42:$E$1040,SUBSTITUTE(SUBSTITUTE(SUBSTITUTE($B1359,"~","~~"),"*","~*"),"?","~?"),'DEF_SELF_SCOUT_IMPORT'!$D$42:$D$1040,SUBSTITUTE(SUBSTITUTE(SUBSTITUTE($P1359,"~","~~"),"*","~*"),"?","~?")))</f>
        <v>17.0</v>
      </c>
      <c r="G1359" s="10">
        <f>IF($C1359=0,"",COUNTIFS('DEF_SELF_SCOUT_IMPORT'!$L$42:$L$1040,"Y",'DEF_SELF_SCOUT_IMPORT'!$E$42:$E$1040,SUBSTITUTE(SUBSTITUTE(SUBSTITUTE($B1359,"~","~~"),"*","~*"),"?","~?"),'DEF_SELF_SCOUT_IMPORT'!$D$42:$D$1040,SUBSTITUTE(SUBSTITUTE(SUBSTITUTE($P1359,"~","~~"),"*","~*"),"?","~?"),'DEF_SELF_SCOUT_IMPORT'!$H$42:$H$1040,"RUSH")/$C1359)</f>
        <v>1.0</v>
      </c>
      <c r="H1359" s="10">
        <f>IF($C1359=0,"",COUNTIFS('DEF_SELF_SCOUT_IMPORT'!$L$42:$L$1040,"Y",'DEF_SELF_SCOUT_IMPORT'!$E$42:$E$1040,SUBSTITUTE(SUBSTITUTE(SUBSTITUTE($B1359,"~","~~"),"*","~*"),"?","~?"),'DEF_SELF_SCOUT_IMPORT'!$D$42:$D$1040,SUBSTITUTE(SUBSTITUTE(SUBSTITUTE($P1359,"~","~~"),"*","~*"),"?","~?"),'DEF_SELF_SCOUT_IMPORT'!$H$42:$H$1040,"DROPBACK")/$C1359)</f>
        <v>0.0</v>
      </c>
      <c r="I1359" s="14" t="str">
        <f>IF(C1359=0,"",IF(C1359&lt;=2,"TRACK",IF(C1359=3,"LOW",IF(C1359&lt;=6,"MEDIUM","HIGH"))))</f>
        <v>TRACK</v>
      </c>
      <c r="J1359" s="11">
        <f>IF(C1359=0,"",ROUND(D1359*70+(1-E1359)*20+MAX(0,MIN(1,(10-F1359)/10))*10,1))</f>
        <v>0.0</v>
      </c>
      <c r="K1359" s="14" t="str">
        <f>IF(C1359=0,"No Evidence",IF(C1359&lt;=2,IF(E1359&gt;0,"Explosive Alert","Track Only"),IF(C1359=3,"Sample Watch",IF(E1359&gt;=START_HERE!$B$31,"Explosive Alert",IF(J1359&gt;=80,"Strong Candidate",IF(J1359&gt;=65,"Good Candidate",IF(J1359&gt;=50,"Mixed / Review","Problem Call")))))))</f>
        <v>Explosive Alert</v>
      </c>
      <c r="L1359" s="9" t="str">
        <f>IF(COUNTIFS('DEF_SELF_SCOUT_IMPORT'!$L$42:$L$1040,"Y",'DEF_SELF_SCOUT_IMPORT'!$E$42:$E$1040,SUBSTITUTE(SUBSTITUTE(SUBSTITUTE($B1359,"~","~~"),"*","~*"),"?","~?"),'DEF_SELF_SCOUT_IMPORT'!$D$42:$D$1040,SUBSTITUTE(SUBSTITUTE(SUBSTITUTE($P1359,"~","~~"),"*","~*"),"?","~?"),'DEF_SELF_SCOUT_IMPORT'!$J$42:$J$1040,"")&gt;0,"Unscored clean outcome; review result tags before using score.",IF(C1359=0,"No matching defensive reps; film confirmation needed.",IF(K1359="Explosive Alert","Explosive risk; review clips before using as answer.",IF(C1359&lt;=2,"Track only; not enough sample.",IF(C1359=3,IF(E1359&gt;0,"Sample watch with explosive exposure; review clips and build the sample.",IF(J1359&gt;=65,"Good signal, but sample is limited.","Sample watch; review clips and build the sample.")),IF(K1359="Problem Call","Problem area; practice or call-sheet review.",IF(K1359="Strong Candidate","Strong call-fit candidate; confirm on film.",IF(K1359="Good Candidate","Good call-fit signal; confirm on film.","Mixed signal; review fit and execution on film."))))))))</f>
        <v>Explosive risk; review clips before using as answer.</v>
      </c>
      <c r="M1359" s="8"/>
      <c r="N1359" s="8"/>
      <c r="O1359" s="8"/>
      <c r="P1359" s="8" t="s">
        <v>428</v>
      </c>
      <c r="Q1359" s="8"/>
      <c r="R1359" s="8" t="s">
        <v>633</v>
      </c>
      <c r="S1359" s="2" t="s">
        <v>647</v>
      </c>
      <c r="T1359" s="2">
        <f>IF(C1359=0,0,IF(C1359&gt;=CALL_LOOKUP_BOARD!$B$7,IF(OR(K1359="Problem Call",K1359="Explosive Alert"),10000000,20000000),0)+IF(C1359&gt;=CALL_LOOKUP_BOARD!$B$7,J1359*1000+MIN(C1359,999),C1359*1000+J1359)+0.00990400)</f>
        <v>1000.009904</v>
      </c>
      <c r="U1359" s="2">
        <f>IF(C1359=0,"",IF(COUNTIFS($S$1264:$S$1440,SUBSTITUTE(SUBSTITUTE(SUBSTITUTE(S1359,"~","~~"),"*","~*"),"?","~?"),$T$1264:$T$1440,"&gt;"&amp;T1359)=0,S1359,""))</f>
        <v/>
      </c>
    </row>
    <row r="1360" spans="1:21" ht="38" customHeight="1">
      <c r="A1360" s="8" t="s">
        <v>428</v>
      </c>
      <c r="B1360" s="8" t="s">
        <v>56</v>
      </c>
      <c r="C1360" s="12">
        <f>COUNTIFS('DEF_SELF_SCOUT_IMPORT'!$L$42:$L$1040,"Y",'DEF_SELF_SCOUT_IMPORT'!$E$42:$E$1040,SUBSTITUTE(SUBSTITUTE(SUBSTITUTE($B1360,"~","~~"),"*","~*"),"?","~?"),'DEF_SELF_SCOUT_IMPORT'!$D$42:$D$1040,SUBSTITUTE(SUBSTITUTE(SUBSTITUTE($P1360,"~","~~"),"*","~*"),"?","~?"))</f>
        <v>3</v>
      </c>
      <c r="D1360" s="10">
        <f>IF($C1360=0,"",SUMIFS('DEF_SELF_SCOUT_IMPORT'!$J$42:$J$1040,'DEF_SELF_SCOUT_IMPORT'!$L$42:$L$1040,"Y",'DEF_SELF_SCOUT_IMPORT'!$E$42:$E$1040,SUBSTITUTE(SUBSTITUTE(SUBSTITUTE($B1360,"~","~~"),"*","~*"),"?","~?"),'DEF_SELF_SCOUT_IMPORT'!$D$42:$D$1040,SUBSTITUTE(SUBSTITUTE(SUBSTITUTE($P1360,"~","~~"),"*","~*"),"?","~?"))/$C1360)</f>
        <v>0.3333333333333333</v>
      </c>
      <c r="E1360" s="10">
        <f>IF($C1360=0,"",SUMIFS('DEF_SELF_SCOUT_IMPORT'!$K$42:$K$1040,'DEF_SELF_SCOUT_IMPORT'!$L$42:$L$1040,"Y",'DEF_SELF_SCOUT_IMPORT'!$E$42:$E$1040,SUBSTITUTE(SUBSTITUTE(SUBSTITUTE($B1360,"~","~~"),"*","~*"),"?","~?"),'DEF_SELF_SCOUT_IMPORT'!$D$42:$D$1040,SUBSTITUTE(SUBSTITUTE(SUBSTITUTE($P1360,"~","~~"),"*","~*"),"?","~?"))/$C1360)</f>
        <v>0.0</v>
      </c>
      <c r="F1360" s="11">
        <f>IF($C1360=0,"",AVERAGEIFS('DEF_SELF_SCOUT_IMPORT'!$I$42:$I$1040,'DEF_SELF_SCOUT_IMPORT'!$L$42:$L$1040,"Y",'DEF_SELF_SCOUT_IMPORT'!$E$42:$E$1040,SUBSTITUTE(SUBSTITUTE(SUBSTITUTE($B1360,"~","~~"),"*","~*"),"?","~?"),'DEF_SELF_SCOUT_IMPORT'!$D$42:$D$1040,SUBSTITUTE(SUBSTITUTE(SUBSTITUTE($P1360,"~","~~"),"*","~*"),"?","~?")))</f>
        <v>2.0</v>
      </c>
      <c r="G1360" s="10">
        <f>IF($C1360=0,"",COUNTIFS('DEF_SELF_SCOUT_IMPORT'!$L$42:$L$1040,"Y",'DEF_SELF_SCOUT_IMPORT'!$E$42:$E$1040,SUBSTITUTE(SUBSTITUTE(SUBSTITUTE($B1360,"~","~~"),"*","~*"),"?","~?"),'DEF_SELF_SCOUT_IMPORT'!$D$42:$D$1040,SUBSTITUTE(SUBSTITUTE(SUBSTITUTE($P1360,"~","~~"),"*","~*"),"?","~?"),'DEF_SELF_SCOUT_IMPORT'!$H$42:$H$1040,"RUSH")/$C1360)</f>
        <v>1.0</v>
      </c>
      <c r="H1360" s="10">
        <f>IF($C1360=0,"",COUNTIFS('DEF_SELF_SCOUT_IMPORT'!$L$42:$L$1040,"Y",'DEF_SELF_SCOUT_IMPORT'!$E$42:$E$1040,SUBSTITUTE(SUBSTITUTE(SUBSTITUTE($B1360,"~","~~"),"*","~*"),"?","~?"),'DEF_SELF_SCOUT_IMPORT'!$D$42:$D$1040,SUBSTITUTE(SUBSTITUTE(SUBSTITUTE($P1360,"~","~~"),"*","~*"),"?","~?"),'DEF_SELF_SCOUT_IMPORT'!$H$42:$H$1040,"DROPBACK")/$C1360)</f>
        <v>0.0</v>
      </c>
      <c r="I1360" s="14" t="str">
        <f>IF(C1360=0,"",IF(C1360&lt;=2,"TRACK",IF(C1360=3,"LOW",IF(C1360&lt;=6,"MEDIUM","HIGH"))))</f>
        <v>LOW</v>
      </c>
      <c r="J1360" s="11">
        <f>IF(C1360=0,"",ROUND(D1360*70+(1-E1360)*20+MAX(0,MIN(1,(10-F1360)/10))*10,1))</f>
        <v>51.3</v>
      </c>
      <c r="K1360" s="14" t="str">
        <f>IF(C1360=0,"No Evidence",IF(C1360&lt;=2,IF(E1360&gt;0,"Explosive Alert","Track Only"),IF(C1360=3,"Sample Watch",IF(E1360&gt;=START_HERE!$B$31,"Explosive Alert",IF(J1360&gt;=80,"Strong Candidate",IF(J1360&gt;=65,"Good Candidate",IF(J1360&gt;=50,"Mixed / Review","Problem Call")))))))</f>
        <v>Sample Watch</v>
      </c>
      <c r="L1360" s="9" t="str">
        <f>IF(COUNTIFS('DEF_SELF_SCOUT_IMPORT'!$L$42:$L$1040,"Y",'DEF_SELF_SCOUT_IMPORT'!$E$42:$E$1040,SUBSTITUTE(SUBSTITUTE(SUBSTITUTE($B1360,"~","~~"),"*","~*"),"?","~?"),'DEF_SELF_SCOUT_IMPORT'!$D$42:$D$1040,SUBSTITUTE(SUBSTITUTE(SUBSTITUTE($P1360,"~","~~"),"*","~*"),"?","~?"),'DEF_SELF_SCOUT_IMPORT'!$J$42:$J$1040,"")&gt;0,"Unscored clean outcome; review result tags before using score.",IF(C1360=0,"No matching defensive reps; film confirmation needed.",IF(K1360="Explosive Alert","Explosive risk; review clips before using as answer.",IF(C1360&lt;=2,"Track only; not enough sample.",IF(C1360=3,IF(E1360&gt;0,"Sample watch with explosive exposure; review clips and build the sample.",IF(J1360&gt;=65,"Good signal, but sample is limited.","Sample watch; review clips and build the sample.")),IF(K1360="Problem Call","Problem area; practice or call-sheet review.",IF(K1360="Strong Candidate","Strong call-fit candidate; confirm on film.",IF(K1360="Good Candidate","Good call-fit signal; confirm on film.","Mixed signal; review fit and execution on film."))))))))</f>
        <v>Sample watch; review clips and build the sample.</v>
      </c>
      <c r="M1360" s="8"/>
      <c r="N1360" s="8"/>
      <c r="O1360" s="8"/>
      <c r="P1360" s="8" t="s">
        <v>428</v>
      </c>
      <c r="Q1360" s="8"/>
      <c r="R1360" s="8" t="s">
        <v>633</v>
      </c>
      <c r="S1360" s="2" t="s">
        <v>647</v>
      </c>
      <c r="T1360" s="2">
        <f>IF(C1360=0,0,IF(C1360&gt;=CALL_LOOKUP_BOARD!$B$7,IF(OR(K1360="Problem Call",K1360="Explosive Alert"),10000000,20000000),0)+IF(C1360&gt;=CALL_LOOKUP_BOARD!$B$7,J1360*1000+MIN(C1360,999),C1360*1000+J1360)+0.00990300)</f>
        <v>3051.3099030000003</v>
      </c>
      <c r="U1360" s="2">
        <f>IF(C1360=0,"",IF(COUNTIFS($S$1264:$S$1440,SUBSTITUTE(SUBSTITUTE(SUBSTITUTE(S1360,"~","~~"),"*","~*"),"?","~?"),$T$1264:$T$1440,"&gt;"&amp;T1360)=0,S1360,""))</f>
        <v/>
      </c>
    </row>
    <row r="1361" spans="1:21" ht="38" customHeight="1">
      <c r="A1361" s="8" t="s">
        <v>428</v>
      </c>
      <c r="B1361" s="8" t="s">
        <v>58</v>
      </c>
      <c r="C1361" s="12">
        <f>COUNTIFS('DEF_SELF_SCOUT_IMPORT'!$L$42:$L$1040,"Y",'DEF_SELF_SCOUT_IMPORT'!$E$42:$E$1040,SUBSTITUTE(SUBSTITUTE(SUBSTITUTE($B1361,"~","~~"),"*","~*"),"?","~?"),'DEF_SELF_SCOUT_IMPORT'!$D$42:$D$1040,SUBSTITUTE(SUBSTITUTE(SUBSTITUTE($P1361,"~","~~"),"*","~*"),"?","~?"))</f>
        <v>1</v>
      </c>
      <c r="D1361" s="10">
        <f>IF($C1361=0,"",SUMIFS('DEF_SELF_SCOUT_IMPORT'!$J$42:$J$1040,'DEF_SELF_SCOUT_IMPORT'!$L$42:$L$1040,"Y",'DEF_SELF_SCOUT_IMPORT'!$E$42:$E$1040,SUBSTITUTE(SUBSTITUTE(SUBSTITUTE($B1361,"~","~~"),"*","~*"),"?","~?"),'DEF_SELF_SCOUT_IMPORT'!$D$42:$D$1040,SUBSTITUTE(SUBSTITUTE(SUBSTITUTE($P1361,"~","~~"),"*","~*"),"?","~?"))/$C1361)</f>
        <v>1.0</v>
      </c>
      <c r="E1361" s="10">
        <f>IF($C1361=0,"",SUMIFS('DEF_SELF_SCOUT_IMPORT'!$K$42:$K$1040,'DEF_SELF_SCOUT_IMPORT'!$L$42:$L$1040,"Y",'DEF_SELF_SCOUT_IMPORT'!$E$42:$E$1040,SUBSTITUTE(SUBSTITUTE(SUBSTITUTE($B1361,"~","~~"),"*","~*"),"?","~?"),'DEF_SELF_SCOUT_IMPORT'!$D$42:$D$1040,SUBSTITUTE(SUBSTITUTE(SUBSTITUTE($P1361,"~","~~"),"*","~*"),"?","~?"))/$C1361)</f>
        <v>0.0</v>
      </c>
      <c r="F1361" s="11">
        <f>IF($C1361=0,"",AVERAGEIFS('DEF_SELF_SCOUT_IMPORT'!$I$42:$I$1040,'DEF_SELF_SCOUT_IMPORT'!$L$42:$L$1040,"Y",'DEF_SELF_SCOUT_IMPORT'!$E$42:$E$1040,SUBSTITUTE(SUBSTITUTE(SUBSTITUTE($B1361,"~","~~"),"*","~*"),"?","~?"),'DEF_SELF_SCOUT_IMPORT'!$D$42:$D$1040,SUBSTITUTE(SUBSTITUTE(SUBSTITUTE($P1361,"~","~~"),"*","~*"),"?","~?")))</f>
        <v>1.0</v>
      </c>
      <c r="G1361" s="10">
        <f>IF($C1361=0,"",COUNTIFS('DEF_SELF_SCOUT_IMPORT'!$L$42:$L$1040,"Y",'DEF_SELF_SCOUT_IMPORT'!$E$42:$E$1040,SUBSTITUTE(SUBSTITUTE(SUBSTITUTE($B1361,"~","~~"),"*","~*"),"?","~?"),'DEF_SELF_SCOUT_IMPORT'!$D$42:$D$1040,SUBSTITUTE(SUBSTITUTE(SUBSTITUTE($P1361,"~","~~"),"*","~*"),"?","~?"),'DEF_SELF_SCOUT_IMPORT'!$H$42:$H$1040,"RUSH")/$C1361)</f>
        <v>1.0</v>
      </c>
      <c r="H1361" s="10">
        <f>IF($C1361=0,"",COUNTIFS('DEF_SELF_SCOUT_IMPORT'!$L$42:$L$1040,"Y",'DEF_SELF_SCOUT_IMPORT'!$E$42:$E$1040,SUBSTITUTE(SUBSTITUTE(SUBSTITUTE($B1361,"~","~~"),"*","~*"),"?","~?"),'DEF_SELF_SCOUT_IMPORT'!$D$42:$D$1040,SUBSTITUTE(SUBSTITUTE(SUBSTITUTE($P1361,"~","~~"),"*","~*"),"?","~?"),'DEF_SELF_SCOUT_IMPORT'!$H$42:$H$1040,"DROPBACK")/$C1361)</f>
        <v>0.0</v>
      </c>
      <c r="I1361" s="14" t="str">
        <f>IF(C1361=0,"",IF(C1361&lt;=2,"TRACK",IF(C1361=3,"LOW",IF(C1361&lt;=6,"MEDIUM","HIGH"))))</f>
        <v>TRACK</v>
      </c>
      <c r="J1361" s="11">
        <f>IF(C1361=0,"",ROUND(D1361*70+(1-E1361)*20+MAX(0,MIN(1,(10-F1361)/10))*10,1))</f>
        <v>99.0</v>
      </c>
      <c r="K1361" s="14" t="str">
        <f>IF(C1361=0,"No Evidence",IF(C1361&lt;=2,IF(E1361&gt;0,"Explosive Alert","Track Only"),IF(C1361=3,"Sample Watch",IF(E1361&gt;=START_HERE!$B$31,"Explosive Alert",IF(J1361&gt;=80,"Strong Candidate",IF(J1361&gt;=65,"Good Candidate",IF(J1361&gt;=50,"Mixed / Review","Problem Call")))))))</f>
        <v>Track Only</v>
      </c>
      <c r="L1361" s="9" t="str">
        <f>IF(COUNTIFS('DEF_SELF_SCOUT_IMPORT'!$L$42:$L$1040,"Y",'DEF_SELF_SCOUT_IMPORT'!$E$42:$E$1040,SUBSTITUTE(SUBSTITUTE(SUBSTITUTE($B1361,"~","~~"),"*","~*"),"?","~?"),'DEF_SELF_SCOUT_IMPORT'!$D$42:$D$1040,SUBSTITUTE(SUBSTITUTE(SUBSTITUTE($P1361,"~","~~"),"*","~*"),"?","~?"),'DEF_SELF_SCOUT_IMPORT'!$J$42:$J$1040,"")&gt;0,"Unscored clean outcome; review result tags before using score.",IF(C1361=0,"No matching defensive reps; film confirmation needed.",IF(K1361="Explosive Alert","Explosive risk; review clips before using as answer.",IF(C1361&lt;=2,"Track only; not enough sample.",IF(C1361=3,IF(E1361&gt;0,"Sample watch with explosive exposure; review clips and build the sample.",IF(J1361&gt;=65,"Good signal, but sample is limited.","Sample watch; review clips and build the sample.")),IF(K1361="Problem Call","Problem area; practice or call-sheet review.",IF(K1361="Strong Candidate","Strong call-fit candidate; confirm on film.",IF(K1361="Good Candidate","Good call-fit signal; confirm on film.","Mixed signal; review fit and execution on film."))))))))</f>
        <v>Track only; not enough sample.</v>
      </c>
      <c r="M1361" s="8"/>
      <c r="N1361" s="8"/>
      <c r="O1361" s="8"/>
      <c r="P1361" s="8" t="s">
        <v>428</v>
      </c>
      <c r="Q1361" s="8"/>
      <c r="R1361" s="8" t="s">
        <v>633</v>
      </c>
      <c r="S1361" s="2" t="s">
        <v>647</v>
      </c>
      <c r="T1361" s="2">
        <f>IF(C1361=0,0,IF(C1361&gt;=CALL_LOOKUP_BOARD!$B$7,IF(OR(K1361="Problem Call",K1361="Explosive Alert"),10000000,20000000),0)+IF(C1361&gt;=CALL_LOOKUP_BOARD!$B$7,J1361*1000+MIN(C1361,999),C1361*1000+J1361)+0.00990200)</f>
        <v>1099.009902</v>
      </c>
      <c r="U1361" s="2">
        <f>IF(C1361=0,"",IF(COUNTIFS($S$1264:$S$1440,SUBSTITUTE(SUBSTITUTE(SUBSTITUTE(S1361,"~","~~"),"*","~*"),"?","~?"),$T$1264:$T$1440,"&gt;"&amp;T1361)=0,S1361,""))</f>
        <v/>
      </c>
    </row>
    <row r="1362" spans="1:21" ht="38" customHeight="1">
      <c r="A1362" s="8" t="s">
        <v>428</v>
      </c>
      <c r="B1362" s="8" t="s">
        <v>100</v>
      </c>
      <c r="C1362" s="12">
        <f>COUNTIFS('DEF_SELF_SCOUT_IMPORT'!$L$42:$L$1040,"Y",'DEF_SELF_SCOUT_IMPORT'!$E$42:$E$1040,SUBSTITUTE(SUBSTITUTE(SUBSTITUTE($B1362,"~","~~"),"*","~*"),"?","~?"),'DEF_SELF_SCOUT_IMPORT'!$D$42:$D$1040,SUBSTITUTE(SUBSTITUTE(SUBSTITUTE($P1362,"~","~~"),"*","~*"),"?","~?"))</f>
        <v>1</v>
      </c>
      <c r="D1362" s="10">
        <f>IF($C1362=0,"",SUMIFS('DEF_SELF_SCOUT_IMPORT'!$J$42:$J$1040,'DEF_SELF_SCOUT_IMPORT'!$L$42:$L$1040,"Y",'DEF_SELF_SCOUT_IMPORT'!$E$42:$E$1040,SUBSTITUTE(SUBSTITUTE(SUBSTITUTE($B1362,"~","~~"),"*","~*"),"?","~?"),'DEF_SELF_SCOUT_IMPORT'!$D$42:$D$1040,SUBSTITUTE(SUBSTITUTE(SUBSTITUTE($P1362,"~","~~"),"*","~*"),"?","~?"))/$C1362)</f>
        <v>0.0</v>
      </c>
      <c r="E1362" s="10">
        <f>IF($C1362=0,"",SUMIFS('DEF_SELF_SCOUT_IMPORT'!$K$42:$K$1040,'DEF_SELF_SCOUT_IMPORT'!$L$42:$L$1040,"Y",'DEF_SELF_SCOUT_IMPORT'!$E$42:$E$1040,SUBSTITUTE(SUBSTITUTE(SUBSTITUTE($B1362,"~","~~"),"*","~*"),"?","~?"),'DEF_SELF_SCOUT_IMPORT'!$D$42:$D$1040,SUBSTITUTE(SUBSTITUTE(SUBSTITUTE($P1362,"~","~~"),"*","~*"),"?","~?"))/$C1362)</f>
        <v>0.0</v>
      </c>
      <c r="F1362" s="11">
        <f>IF($C1362=0,"",AVERAGEIFS('DEF_SELF_SCOUT_IMPORT'!$I$42:$I$1040,'DEF_SELF_SCOUT_IMPORT'!$L$42:$L$1040,"Y",'DEF_SELF_SCOUT_IMPORT'!$E$42:$E$1040,SUBSTITUTE(SUBSTITUTE(SUBSTITUTE($B1362,"~","~~"),"*","~*"),"?","~?"),'DEF_SELF_SCOUT_IMPORT'!$D$42:$D$1040,SUBSTITUTE(SUBSTITUTE(SUBSTITUTE($P1362,"~","~~"),"*","~*"),"?","~?")))</f>
        <v>8.0</v>
      </c>
      <c r="G1362" s="10">
        <f>IF($C1362=0,"",COUNTIFS('DEF_SELF_SCOUT_IMPORT'!$L$42:$L$1040,"Y",'DEF_SELF_SCOUT_IMPORT'!$E$42:$E$1040,SUBSTITUTE(SUBSTITUTE(SUBSTITUTE($B1362,"~","~~"),"*","~*"),"?","~?"),'DEF_SELF_SCOUT_IMPORT'!$D$42:$D$1040,SUBSTITUTE(SUBSTITUTE(SUBSTITUTE($P1362,"~","~~"),"*","~*"),"?","~?"),'DEF_SELF_SCOUT_IMPORT'!$H$42:$H$1040,"RUSH")/$C1362)</f>
        <v>1.0</v>
      </c>
      <c r="H1362" s="10">
        <f>IF($C1362=0,"",COUNTIFS('DEF_SELF_SCOUT_IMPORT'!$L$42:$L$1040,"Y",'DEF_SELF_SCOUT_IMPORT'!$E$42:$E$1040,SUBSTITUTE(SUBSTITUTE(SUBSTITUTE($B1362,"~","~~"),"*","~*"),"?","~?"),'DEF_SELF_SCOUT_IMPORT'!$D$42:$D$1040,SUBSTITUTE(SUBSTITUTE(SUBSTITUTE($P1362,"~","~~"),"*","~*"),"?","~?"),'DEF_SELF_SCOUT_IMPORT'!$H$42:$H$1040,"DROPBACK")/$C1362)</f>
        <v>0.0</v>
      </c>
      <c r="I1362" s="14" t="str">
        <f>IF(C1362=0,"",IF(C1362&lt;=2,"TRACK",IF(C1362=3,"LOW",IF(C1362&lt;=6,"MEDIUM","HIGH"))))</f>
        <v>TRACK</v>
      </c>
      <c r="J1362" s="11">
        <f>IF(C1362=0,"",ROUND(D1362*70+(1-E1362)*20+MAX(0,MIN(1,(10-F1362)/10))*10,1))</f>
        <v>22.0</v>
      </c>
      <c r="K1362" s="14" t="str">
        <f>IF(C1362=0,"No Evidence",IF(C1362&lt;=2,IF(E1362&gt;0,"Explosive Alert","Track Only"),IF(C1362=3,"Sample Watch",IF(E1362&gt;=START_HERE!$B$31,"Explosive Alert",IF(J1362&gt;=80,"Strong Candidate",IF(J1362&gt;=65,"Good Candidate",IF(J1362&gt;=50,"Mixed / Review","Problem Call")))))))</f>
        <v>Track Only</v>
      </c>
      <c r="L1362" s="9" t="str">
        <f>IF(COUNTIFS('DEF_SELF_SCOUT_IMPORT'!$L$42:$L$1040,"Y",'DEF_SELF_SCOUT_IMPORT'!$E$42:$E$1040,SUBSTITUTE(SUBSTITUTE(SUBSTITUTE($B1362,"~","~~"),"*","~*"),"?","~?"),'DEF_SELF_SCOUT_IMPORT'!$D$42:$D$1040,SUBSTITUTE(SUBSTITUTE(SUBSTITUTE($P1362,"~","~~"),"*","~*"),"?","~?"),'DEF_SELF_SCOUT_IMPORT'!$J$42:$J$1040,"")&gt;0,"Unscored clean outcome; review result tags before using score.",IF(C1362=0,"No matching defensive reps; film confirmation needed.",IF(K1362="Explosive Alert","Explosive risk; review clips before using as answer.",IF(C1362&lt;=2,"Track only; not enough sample.",IF(C1362=3,IF(E1362&gt;0,"Sample watch with explosive exposure; review clips and build the sample.",IF(J1362&gt;=65,"Good signal, but sample is limited.","Sample watch; review clips and build the sample.")),IF(K1362="Problem Call","Problem area; practice or call-sheet review.",IF(K1362="Strong Candidate","Strong call-fit candidate; confirm on film.",IF(K1362="Good Candidate","Good call-fit signal; confirm on film.","Mixed signal; review fit and execution on film."))))))))</f>
        <v>Track only; not enough sample.</v>
      </c>
      <c r="M1362" s="8"/>
      <c r="N1362" s="8"/>
      <c r="O1362" s="8"/>
      <c r="P1362" s="8" t="s">
        <v>428</v>
      </c>
      <c r="Q1362" s="8"/>
      <c r="R1362" s="8" t="s">
        <v>633</v>
      </c>
      <c r="S1362" s="2" t="s">
        <v>647</v>
      </c>
      <c r="T1362" s="2">
        <f>IF(C1362=0,0,IF(C1362&gt;=CALL_LOOKUP_BOARD!$B$7,IF(OR(K1362="Problem Call",K1362="Explosive Alert"),10000000,20000000),0)+IF(C1362&gt;=CALL_LOOKUP_BOARD!$B$7,J1362*1000+MIN(C1362,999),C1362*1000+J1362)+0.00990100)</f>
        <v>1022.009901</v>
      </c>
      <c r="U1362" s="2">
        <f>IF(C1362=0,"",IF(COUNTIFS($S$1264:$S$1440,SUBSTITUTE(SUBSTITUTE(SUBSTITUTE(S1362,"~","~~"),"*","~*"),"?","~?"),$T$1264:$T$1440,"&gt;"&amp;T1362)=0,S1362,""))</f>
        <v/>
      </c>
    </row>
    <row r="1363" spans="1:21" ht="38" customHeight="1">
      <c r="A1363" s="8" t="s">
        <v>428</v>
      </c>
      <c r="B1363" s="8" t="s">
        <v>95</v>
      </c>
      <c r="C1363" s="12">
        <f>COUNTIFS('DEF_SELF_SCOUT_IMPORT'!$L$42:$L$1040,"Y",'DEF_SELF_SCOUT_IMPORT'!$E$42:$E$1040,SUBSTITUTE(SUBSTITUTE(SUBSTITUTE($B1363,"~","~~"),"*","~*"),"?","~?"),'DEF_SELF_SCOUT_IMPORT'!$D$42:$D$1040,SUBSTITUTE(SUBSTITUTE(SUBSTITUTE($P1363,"~","~~"),"*","~*"),"?","~?"))</f>
        <v>2</v>
      </c>
      <c r="D1363" s="10">
        <f>IF($C1363=0,"",SUMIFS('DEF_SELF_SCOUT_IMPORT'!$J$42:$J$1040,'DEF_SELF_SCOUT_IMPORT'!$L$42:$L$1040,"Y",'DEF_SELF_SCOUT_IMPORT'!$E$42:$E$1040,SUBSTITUTE(SUBSTITUTE(SUBSTITUTE($B1363,"~","~~"),"*","~*"),"?","~?"),'DEF_SELF_SCOUT_IMPORT'!$D$42:$D$1040,SUBSTITUTE(SUBSTITUTE(SUBSTITUTE($P1363,"~","~~"),"*","~*"),"?","~?"))/$C1363)</f>
        <v>0.0</v>
      </c>
      <c r="E1363" s="10">
        <f>IF($C1363=0,"",SUMIFS('DEF_SELF_SCOUT_IMPORT'!$K$42:$K$1040,'DEF_SELF_SCOUT_IMPORT'!$L$42:$L$1040,"Y",'DEF_SELF_SCOUT_IMPORT'!$E$42:$E$1040,SUBSTITUTE(SUBSTITUTE(SUBSTITUTE($B1363,"~","~~"),"*","~*"),"?","~?"),'DEF_SELF_SCOUT_IMPORT'!$D$42:$D$1040,SUBSTITUTE(SUBSTITUTE(SUBSTITUTE($P1363,"~","~~"),"*","~*"),"?","~?"))/$C1363)</f>
        <v>0.0</v>
      </c>
      <c r="F1363" s="11">
        <f>IF($C1363=0,"",AVERAGEIFS('DEF_SELF_SCOUT_IMPORT'!$I$42:$I$1040,'DEF_SELF_SCOUT_IMPORT'!$L$42:$L$1040,"Y",'DEF_SELF_SCOUT_IMPORT'!$E$42:$E$1040,SUBSTITUTE(SUBSTITUTE(SUBSTITUTE($B1363,"~","~~"),"*","~*"),"?","~?"),'DEF_SELF_SCOUT_IMPORT'!$D$42:$D$1040,SUBSTITUTE(SUBSTITUTE(SUBSTITUTE($P1363,"~","~~"),"*","~*"),"?","~?")))</f>
        <v>4.5</v>
      </c>
      <c r="G1363" s="10">
        <f>IF($C1363=0,"",COUNTIFS('DEF_SELF_SCOUT_IMPORT'!$L$42:$L$1040,"Y",'DEF_SELF_SCOUT_IMPORT'!$E$42:$E$1040,SUBSTITUTE(SUBSTITUTE(SUBSTITUTE($B1363,"~","~~"),"*","~*"),"?","~?"),'DEF_SELF_SCOUT_IMPORT'!$D$42:$D$1040,SUBSTITUTE(SUBSTITUTE(SUBSTITUTE($P1363,"~","~~"),"*","~*"),"?","~?"),'DEF_SELF_SCOUT_IMPORT'!$H$42:$H$1040,"RUSH")/$C1363)</f>
        <v>1.0</v>
      </c>
      <c r="H1363" s="10">
        <f>IF($C1363=0,"",COUNTIFS('DEF_SELF_SCOUT_IMPORT'!$L$42:$L$1040,"Y",'DEF_SELF_SCOUT_IMPORT'!$E$42:$E$1040,SUBSTITUTE(SUBSTITUTE(SUBSTITUTE($B1363,"~","~~"),"*","~*"),"?","~?"),'DEF_SELF_SCOUT_IMPORT'!$D$42:$D$1040,SUBSTITUTE(SUBSTITUTE(SUBSTITUTE($P1363,"~","~~"),"*","~*"),"?","~?"),'DEF_SELF_SCOUT_IMPORT'!$H$42:$H$1040,"DROPBACK")/$C1363)</f>
        <v>0.0</v>
      </c>
      <c r="I1363" s="14" t="str">
        <f>IF(C1363=0,"",IF(C1363&lt;=2,"TRACK",IF(C1363=3,"LOW",IF(C1363&lt;=6,"MEDIUM","HIGH"))))</f>
        <v>TRACK</v>
      </c>
      <c r="J1363" s="11">
        <f>IF(C1363=0,"",ROUND(D1363*70+(1-E1363)*20+MAX(0,MIN(1,(10-F1363)/10))*10,1))</f>
        <v>25.5</v>
      </c>
      <c r="K1363" s="14" t="str">
        <f>IF(C1363=0,"No Evidence",IF(C1363&lt;=2,IF(E1363&gt;0,"Explosive Alert","Track Only"),IF(C1363=3,"Sample Watch",IF(E1363&gt;=START_HERE!$B$31,"Explosive Alert",IF(J1363&gt;=80,"Strong Candidate",IF(J1363&gt;=65,"Good Candidate",IF(J1363&gt;=50,"Mixed / Review","Problem Call")))))))</f>
        <v>Track Only</v>
      </c>
      <c r="L1363" s="9" t="str">
        <f>IF(COUNTIFS('DEF_SELF_SCOUT_IMPORT'!$L$42:$L$1040,"Y",'DEF_SELF_SCOUT_IMPORT'!$E$42:$E$1040,SUBSTITUTE(SUBSTITUTE(SUBSTITUTE($B1363,"~","~~"),"*","~*"),"?","~?"),'DEF_SELF_SCOUT_IMPORT'!$D$42:$D$1040,SUBSTITUTE(SUBSTITUTE(SUBSTITUTE($P1363,"~","~~"),"*","~*"),"?","~?"),'DEF_SELF_SCOUT_IMPORT'!$J$42:$J$1040,"")&gt;0,"Unscored clean outcome; review result tags before using score.",IF(C1363=0,"No matching defensive reps; film confirmation needed.",IF(K1363="Explosive Alert","Explosive risk; review clips before using as answer.",IF(C1363&lt;=2,"Track only; not enough sample.",IF(C1363=3,IF(E1363&gt;0,"Sample watch with explosive exposure; review clips and build the sample.",IF(J1363&gt;=65,"Good signal, but sample is limited.","Sample watch; review clips and build the sample.")),IF(K1363="Problem Call","Problem area; practice or call-sheet review.",IF(K1363="Strong Candidate","Strong call-fit candidate; confirm on film.",IF(K1363="Good Candidate","Good call-fit signal; confirm on film.","Mixed signal; review fit and execution on film."))))))))</f>
        <v>Track only; not enough sample.</v>
      </c>
      <c r="M1363" s="8"/>
      <c r="N1363" s="8"/>
      <c r="O1363" s="8"/>
      <c r="P1363" s="8" t="s">
        <v>428</v>
      </c>
      <c r="Q1363" s="8"/>
      <c r="R1363" s="8" t="s">
        <v>633</v>
      </c>
      <c r="S1363" s="2" t="s">
        <v>647</v>
      </c>
      <c r="T1363" s="2">
        <f>IF(C1363=0,0,IF(C1363&gt;=CALL_LOOKUP_BOARD!$B$7,IF(OR(K1363="Problem Call",K1363="Explosive Alert"),10000000,20000000),0)+IF(C1363&gt;=CALL_LOOKUP_BOARD!$B$7,J1363*1000+MIN(C1363,999),C1363*1000+J1363)+0.00990000)</f>
        <v>2025.5099</v>
      </c>
      <c r="U1363" s="2">
        <f>IF(C1363=0,"",IF(COUNTIFS($S$1264:$S$1440,SUBSTITUTE(SUBSTITUTE(SUBSTITUTE(S1363,"~","~~"),"*","~*"),"?","~?"),$T$1264:$T$1440,"&gt;"&amp;T1363)=0,S1363,""))</f>
        <v/>
      </c>
    </row>
    <row r="1364" spans="1:21" ht="38" customHeight="1">
      <c r="A1364" s="8" t="s">
        <v>428</v>
      </c>
      <c r="B1364" s="8" t="s">
        <v>35</v>
      </c>
      <c r="C1364" s="12">
        <f>COUNTIFS('DEF_SELF_SCOUT_IMPORT'!$L$42:$L$1040,"Y",'DEF_SELF_SCOUT_IMPORT'!$E$42:$E$1040,SUBSTITUTE(SUBSTITUTE(SUBSTITUTE($B1364,"~","~~"),"*","~*"),"?","~?"),'DEF_SELF_SCOUT_IMPORT'!$D$42:$D$1040,SUBSTITUTE(SUBSTITUTE(SUBSTITUTE($P1364,"~","~~"),"*","~*"),"?","~?"))</f>
        <v>4</v>
      </c>
      <c r="D1364" s="10">
        <f>IF($C1364=0,"",SUMIFS('DEF_SELF_SCOUT_IMPORT'!$J$42:$J$1040,'DEF_SELF_SCOUT_IMPORT'!$L$42:$L$1040,"Y",'DEF_SELF_SCOUT_IMPORT'!$E$42:$E$1040,SUBSTITUTE(SUBSTITUTE(SUBSTITUTE($B1364,"~","~~"),"*","~*"),"?","~?"),'DEF_SELF_SCOUT_IMPORT'!$D$42:$D$1040,SUBSTITUTE(SUBSTITUTE(SUBSTITUTE($P1364,"~","~~"),"*","~*"),"?","~?"))/$C1364)</f>
        <v>0.25</v>
      </c>
      <c r="E1364" s="10">
        <f>IF($C1364=0,"",SUMIFS('DEF_SELF_SCOUT_IMPORT'!$K$42:$K$1040,'DEF_SELF_SCOUT_IMPORT'!$L$42:$L$1040,"Y",'DEF_SELF_SCOUT_IMPORT'!$E$42:$E$1040,SUBSTITUTE(SUBSTITUTE(SUBSTITUTE($B1364,"~","~~"),"*","~*"),"?","~?"),'DEF_SELF_SCOUT_IMPORT'!$D$42:$D$1040,SUBSTITUTE(SUBSTITUTE(SUBSTITUTE($P1364,"~","~~"),"*","~*"),"?","~?"))/$C1364)</f>
        <v>0.25</v>
      </c>
      <c r="F1364" s="11">
        <f>IF($C1364=0,"",AVERAGEIFS('DEF_SELF_SCOUT_IMPORT'!$I$42:$I$1040,'DEF_SELF_SCOUT_IMPORT'!$L$42:$L$1040,"Y",'DEF_SELF_SCOUT_IMPORT'!$E$42:$E$1040,SUBSTITUTE(SUBSTITUTE(SUBSTITUTE($B1364,"~","~~"),"*","~*"),"?","~?"),'DEF_SELF_SCOUT_IMPORT'!$D$42:$D$1040,SUBSTITUTE(SUBSTITUTE(SUBSTITUTE($P1364,"~","~~"),"*","~*"),"?","~?")))</f>
        <v>7.5</v>
      </c>
      <c r="G1364" s="10">
        <f>IF($C1364=0,"",COUNTIFS('DEF_SELF_SCOUT_IMPORT'!$L$42:$L$1040,"Y",'DEF_SELF_SCOUT_IMPORT'!$E$42:$E$1040,SUBSTITUTE(SUBSTITUTE(SUBSTITUTE($B1364,"~","~~"),"*","~*"),"?","~?"),'DEF_SELF_SCOUT_IMPORT'!$D$42:$D$1040,SUBSTITUTE(SUBSTITUTE(SUBSTITUTE($P1364,"~","~~"),"*","~*"),"?","~?"),'DEF_SELF_SCOUT_IMPORT'!$H$42:$H$1040,"RUSH")/$C1364)</f>
        <v>1.0</v>
      </c>
      <c r="H1364" s="10">
        <f>IF($C1364=0,"",COUNTIFS('DEF_SELF_SCOUT_IMPORT'!$L$42:$L$1040,"Y",'DEF_SELF_SCOUT_IMPORT'!$E$42:$E$1040,SUBSTITUTE(SUBSTITUTE(SUBSTITUTE($B1364,"~","~~"),"*","~*"),"?","~?"),'DEF_SELF_SCOUT_IMPORT'!$D$42:$D$1040,SUBSTITUTE(SUBSTITUTE(SUBSTITUTE($P1364,"~","~~"),"*","~*"),"?","~?"),'DEF_SELF_SCOUT_IMPORT'!$H$42:$H$1040,"DROPBACK")/$C1364)</f>
        <v>0.0</v>
      </c>
      <c r="I1364" s="14" t="str">
        <f>IF(C1364=0,"",IF(C1364&lt;=2,"TRACK",IF(C1364=3,"LOW",IF(C1364&lt;=6,"MEDIUM","HIGH"))))</f>
        <v>MEDIUM</v>
      </c>
      <c r="J1364" s="11">
        <f>IF(C1364=0,"",ROUND(D1364*70+(1-E1364)*20+MAX(0,MIN(1,(10-F1364)/10))*10,1))</f>
        <v>35.0</v>
      </c>
      <c r="K1364" s="14" t="str">
        <f>IF(C1364=0,"No Evidence",IF(C1364&lt;=2,IF(E1364&gt;0,"Explosive Alert","Track Only"),IF(C1364=3,"Sample Watch",IF(E1364&gt;=START_HERE!$B$31,"Explosive Alert",IF(J1364&gt;=80,"Strong Candidate",IF(J1364&gt;=65,"Good Candidate",IF(J1364&gt;=50,"Mixed / Review","Problem Call")))))))</f>
        <v>Explosive Alert</v>
      </c>
      <c r="L1364" s="9" t="str">
        <f>IF(COUNTIFS('DEF_SELF_SCOUT_IMPORT'!$L$42:$L$1040,"Y",'DEF_SELF_SCOUT_IMPORT'!$E$42:$E$1040,SUBSTITUTE(SUBSTITUTE(SUBSTITUTE($B1364,"~","~~"),"*","~*"),"?","~?"),'DEF_SELF_SCOUT_IMPORT'!$D$42:$D$1040,SUBSTITUTE(SUBSTITUTE(SUBSTITUTE($P1364,"~","~~"),"*","~*"),"?","~?"),'DEF_SELF_SCOUT_IMPORT'!$J$42:$J$1040,"")&gt;0,"Unscored clean outcome; review result tags before using score.",IF(C1364=0,"No matching defensive reps; film confirmation needed.",IF(K1364="Explosive Alert","Explosive risk; review clips before using as answer.",IF(C1364&lt;=2,"Track only; not enough sample.",IF(C1364=3,IF(E1364&gt;0,"Sample watch with explosive exposure; review clips and build the sample.",IF(J1364&gt;=65,"Good signal, but sample is limited.","Sample watch; review clips and build the sample.")),IF(K1364="Problem Call","Problem area; practice or call-sheet review.",IF(K1364="Strong Candidate","Strong call-fit candidate; confirm on film.",IF(K1364="Good Candidate","Good call-fit signal; confirm on film.","Mixed signal; review fit and execution on film."))))))))</f>
        <v>Explosive risk; review clips before using as answer.</v>
      </c>
      <c r="M1364" s="8"/>
      <c r="N1364" s="8"/>
      <c r="O1364" s="8"/>
      <c r="P1364" s="8" t="s">
        <v>428</v>
      </c>
      <c r="Q1364" s="8"/>
      <c r="R1364" s="8" t="s">
        <v>636</v>
      </c>
      <c r="S1364" s="2" t="s">
        <v>647</v>
      </c>
      <c r="T1364" s="2">
        <f>IF(C1364=0,0,IF(C1364&gt;=CALL_LOOKUP_BOARD!$B$7,IF(OR(K1364="Problem Call",K1364="Explosive Alert"),10000000,20000000),0)+IF(C1364&gt;=CALL_LOOKUP_BOARD!$B$7,J1364*1000+MIN(C1364,999),C1364*1000+J1364)+0.00989900)</f>
        <v>10035004.009899</v>
      </c>
      <c r="U1364" s="2">
        <f>IF(C1364=0,"",IF(COUNTIFS($S$1264:$S$1440,SUBSTITUTE(SUBSTITUTE(SUBSTITUTE(S1364,"~","~~"),"*","~*"),"?","~?"),$T$1264:$T$1440,"&gt;"&amp;T1364)=0,S1364,""))</f>
        <v/>
      </c>
    </row>
    <row r="1365" spans="1:21" ht="38" customHeight="1">
      <c r="A1365" s="8" t="s">
        <v>428</v>
      </c>
      <c r="B1365" s="8" t="s">
        <v>60</v>
      </c>
      <c r="C1365" s="12">
        <f>COUNTIFS('DEF_SELF_SCOUT_IMPORT'!$L$42:$L$1040,"Y",'DEF_SELF_SCOUT_IMPORT'!$E$42:$E$1040,SUBSTITUTE(SUBSTITUTE(SUBSTITUTE($B1365,"~","~~"),"*","~*"),"?","~?"),'DEF_SELF_SCOUT_IMPORT'!$D$42:$D$1040,SUBSTITUTE(SUBSTITUTE(SUBSTITUTE($P1365,"~","~~"),"*","~*"),"?","~?"))</f>
        <v>4</v>
      </c>
      <c r="D1365" s="10">
        <f>IF($C1365=0,"",SUMIFS('DEF_SELF_SCOUT_IMPORT'!$J$42:$J$1040,'DEF_SELF_SCOUT_IMPORT'!$L$42:$L$1040,"Y",'DEF_SELF_SCOUT_IMPORT'!$E$42:$E$1040,SUBSTITUTE(SUBSTITUTE(SUBSTITUTE($B1365,"~","~~"),"*","~*"),"?","~?"),'DEF_SELF_SCOUT_IMPORT'!$D$42:$D$1040,SUBSTITUTE(SUBSTITUTE(SUBSTITUTE($P1365,"~","~~"),"*","~*"),"?","~?"))/$C1365)</f>
        <v>0.5</v>
      </c>
      <c r="E1365" s="10">
        <f>IF($C1365=0,"",SUMIFS('DEF_SELF_SCOUT_IMPORT'!$K$42:$K$1040,'DEF_SELF_SCOUT_IMPORT'!$L$42:$L$1040,"Y",'DEF_SELF_SCOUT_IMPORT'!$E$42:$E$1040,SUBSTITUTE(SUBSTITUTE(SUBSTITUTE($B1365,"~","~~"),"*","~*"),"?","~?"),'DEF_SELF_SCOUT_IMPORT'!$D$42:$D$1040,SUBSTITUTE(SUBSTITUTE(SUBSTITUTE($P1365,"~","~~"),"*","~*"),"?","~?"))/$C1365)</f>
        <v>0.0</v>
      </c>
      <c r="F1365" s="11">
        <f>IF($C1365=0,"",AVERAGEIFS('DEF_SELF_SCOUT_IMPORT'!$I$42:$I$1040,'DEF_SELF_SCOUT_IMPORT'!$L$42:$L$1040,"Y",'DEF_SELF_SCOUT_IMPORT'!$E$42:$E$1040,SUBSTITUTE(SUBSTITUTE(SUBSTITUTE($B1365,"~","~~"),"*","~*"),"?","~?"),'DEF_SELF_SCOUT_IMPORT'!$D$42:$D$1040,SUBSTITUTE(SUBSTITUTE(SUBSTITUTE($P1365,"~","~~"),"*","~*"),"?","~?")))</f>
        <v>3.25</v>
      </c>
      <c r="G1365" s="10">
        <f>IF($C1365=0,"",COUNTIFS('DEF_SELF_SCOUT_IMPORT'!$L$42:$L$1040,"Y",'DEF_SELF_SCOUT_IMPORT'!$E$42:$E$1040,SUBSTITUTE(SUBSTITUTE(SUBSTITUTE($B1365,"~","~~"),"*","~*"),"?","~?"),'DEF_SELF_SCOUT_IMPORT'!$D$42:$D$1040,SUBSTITUTE(SUBSTITUTE(SUBSTITUTE($P1365,"~","~~"),"*","~*"),"?","~?"),'DEF_SELF_SCOUT_IMPORT'!$H$42:$H$1040,"RUSH")/$C1365)</f>
        <v>1.0</v>
      </c>
      <c r="H1365" s="10">
        <f>IF($C1365=0,"",COUNTIFS('DEF_SELF_SCOUT_IMPORT'!$L$42:$L$1040,"Y",'DEF_SELF_SCOUT_IMPORT'!$E$42:$E$1040,SUBSTITUTE(SUBSTITUTE(SUBSTITUTE($B1365,"~","~~"),"*","~*"),"?","~?"),'DEF_SELF_SCOUT_IMPORT'!$D$42:$D$1040,SUBSTITUTE(SUBSTITUTE(SUBSTITUTE($P1365,"~","~~"),"*","~*"),"?","~?"),'DEF_SELF_SCOUT_IMPORT'!$H$42:$H$1040,"DROPBACK")/$C1365)</f>
        <v>0.0</v>
      </c>
      <c r="I1365" s="14" t="str">
        <f>IF(C1365=0,"",IF(C1365&lt;=2,"TRACK",IF(C1365=3,"LOW",IF(C1365&lt;=6,"MEDIUM","HIGH"))))</f>
        <v>MEDIUM</v>
      </c>
      <c r="J1365" s="11">
        <f>IF(C1365=0,"",ROUND(D1365*70+(1-E1365)*20+MAX(0,MIN(1,(10-F1365)/10))*10,1))</f>
        <v>61.8</v>
      </c>
      <c r="K1365" s="14" t="str">
        <f>IF(C1365=0,"No Evidence",IF(C1365&lt;=2,IF(E1365&gt;0,"Explosive Alert","Track Only"),IF(C1365=3,"Sample Watch",IF(E1365&gt;=START_HERE!$B$31,"Explosive Alert",IF(J1365&gt;=80,"Strong Candidate",IF(J1365&gt;=65,"Good Candidate",IF(J1365&gt;=50,"Mixed / Review","Problem Call")))))))</f>
        <v>Mixed / Review</v>
      </c>
      <c r="L1365" s="9" t="str">
        <f>IF(COUNTIFS('DEF_SELF_SCOUT_IMPORT'!$L$42:$L$1040,"Y",'DEF_SELF_SCOUT_IMPORT'!$E$42:$E$1040,SUBSTITUTE(SUBSTITUTE(SUBSTITUTE($B1365,"~","~~"),"*","~*"),"?","~?"),'DEF_SELF_SCOUT_IMPORT'!$D$42:$D$1040,SUBSTITUTE(SUBSTITUTE(SUBSTITUTE($P1365,"~","~~"),"*","~*"),"?","~?"),'DEF_SELF_SCOUT_IMPORT'!$J$42:$J$1040,"")&gt;0,"Unscored clean outcome; review result tags before using score.",IF(C1365=0,"No matching defensive reps; film confirmation needed.",IF(K1365="Explosive Alert","Explosive risk; review clips before using as answer.",IF(C1365&lt;=2,"Track only; not enough sample.",IF(C1365=3,IF(E1365&gt;0,"Sample watch with explosive exposure; review clips and build the sample.",IF(J1365&gt;=65,"Good signal, but sample is limited.","Sample watch; review clips and build the sample.")),IF(K1365="Problem Call","Problem area; practice or call-sheet review.",IF(K1365="Strong Candidate","Strong call-fit candidate; confirm on film.",IF(K1365="Good Candidate","Good call-fit signal; confirm on film.","Mixed signal; review fit and execution on film."))))))))</f>
        <v>Mixed signal; review fit and execution on film.</v>
      </c>
      <c r="M1365" s="8"/>
      <c r="N1365" s="8"/>
      <c r="O1365" s="8"/>
      <c r="P1365" s="8" t="s">
        <v>428</v>
      </c>
      <c r="Q1365" s="8"/>
      <c r="R1365" s="8" t="s">
        <v>636</v>
      </c>
      <c r="S1365" s="2" t="s">
        <v>647</v>
      </c>
      <c r="T1365" s="2">
        <f>IF(C1365=0,0,IF(C1365&gt;=CALL_LOOKUP_BOARD!$B$7,IF(OR(K1365="Problem Call",K1365="Explosive Alert"),10000000,20000000),0)+IF(C1365&gt;=CALL_LOOKUP_BOARD!$B$7,J1365*1000+MIN(C1365,999),C1365*1000+J1365)+0.00989800)</f>
        <v>20061804.009898</v>
      </c>
      <c r="U1365" s="2">
        <f>IF(C1365=0,"",IF(COUNTIFS($S$1264:$S$1440,SUBSTITUTE(SUBSTITUTE(SUBSTITUTE(S1365,"~","~~"),"*","~*"),"?","~?"),$T$1264:$T$1440,"&gt;"&amp;T1365)=0,S1365,""))</f>
        <v/>
      </c>
    </row>
    <row r="1366" spans="1:21" ht="38" customHeight="1">
      <c r="A1366" s="8" t="s">
        <v>428</v>
      </c>
      <c r="B1366" s="8" t="s">
        <v>61</v>
      </c>
      <c r="C1366" s="12">
        <f>COUNTIFS('DEF_SELF_SCOUT_IMPORT'!$L$42:$L$1040,"Y",'DEF_SELF_SCOUT_IMPORT'!$E$42:$E$1040,SUBSTITUTE(SUBSTITUTE(SUBSTITUTE($B1366,"~","~~"),"*","~*"),"?","~?"),'DEF_SELF_SCOUT_IMPORT'!$D$42:$D$1040,SUBSTITUTE(SUBSTITUTE(SUBSTITUTE($P1366,"~","~~"),"*","~*"),"?","~?"))</f>
        <v>3</v>
      </c>
      <c r="D1366" s="10">
        <f>IF($C1366=0,"",SUMIFS('DEF_SELF_SCOUT_IMPORT'!$J$42:$J$1040,'DEF_SELF_SCOUT_IMPORT'!$L$42:$L$1040,"Y",'DEF_SELF_SCOUT_IMPORT'!$E$42:$E$1040,SUBSTITUTE(SUBSTITUTE(SUBSTITUTE($B1366,"~","~~"),"*","~*"),"?","~?"),'DEF_SELF_SCOUT_IMPORT'!$D$42:$D$1040,SUBSTITUTE(SUBSTITUTE(SUBSTITUTE($P1366,"~","~~"),"*","~*"),"?","~?"))/$C1366)</f>
        <v>0.0</v>
      </c>
      <c r="E1366" s="10">
        <f>IF($C1366=0,"",SUMIFS('DEF_SELF_SCOUT_IMPORT'!$K$42:$K$1040,'DEF_SELF_SCOUT_IMPORT'!$L$42:$L$1040,"Y",'DEF_SELF_SCOUT_IMPORT'!$E$42:$E$1040,SUBSTITUTE(SUBSTITUTE(SUBSTITUTE($B1366,"~","~~"),"*","~*"),"?","~?"),'DEF_SELF_SCOUT_IMPORT'!$D$42:$D$1040,SUBSTITUTE(SUBSTITUTE(SUBSTITUTE($P1366,"~","~~"),"*","~*"),"?","~?"))/$C1366)</f>
        <v>0.0</v>
      </c>
      <c r="F1366" s="11">
        <f>IF($C1366=0,"",AVERAGEIFS('DEF_SELF_SCOUT_IMPORT'!$I$42:$I$1040,'DEF_SELF_SCOUT_IMPORT'!$L$42:$L$1040,"Y",'DEF_SELF_SCOUT_IMPORT'!$E$42:$E$1040,SUBSTITUTE(SUBSTITUTE(SUBSTITUTE($B1366,"~","~~"),"*","~*"),"?","~?"),'DEF_SELF_SCOUT_IMPORT'!$D$42:$D$1040,SUBSTITUTE(SUBSTITUTE(SUBSTITUTE($P1366,"~","~~"),"*","~*"),"?","~?")))</f>
        <v>5.666666666666667</v>
      </c>
      <c r="G1366" s="10">
        <f>IF($C1366=0,"",COUNTIFS('DEF_SELF_SCOUT_IMPORT'!$L$42:$L$1040,"Y",'DEF_SELF_SCOUT_IMPORT'!$E$42:$E$1040,SUBSTITUTE(SUBSTITUTE(SUBSTITUTE($B1366,"~","~~"),"*","~*"),"?","~?"),'DEF_SELF_SCOUT_IMPORT'!$D$42:$D$1040,SUBSTITUTE(SUBSTITUTE(SUBSTITUTE($P1366,"~","~~"),"*","~*"),"?","~?"),'DEF_SELF_SCOUT_IMPORT'!$H$42:$H$1040,"RUSH")/$C1366)</f>
        <v>1.0</v>
      </c>
      <c r="H1366" s="10">
        <f>IF($C1366=0,"",COUNTIFS('DEF_SELF_SCOUT_IMPORT'!$L$42:$L$1040,"Y",'DEF_SELF_SCOUT_IMPORT'!$E$42:$E$1040,SUBSTITUTE(SUBSTITUTE(SUBSTITUTE($B1366,"~","~~"),"*","~*"),"?","~?"),'DEF_SELF_SCOUT_IMPORT'!$D$42:$D$1040,SUBSTITUTE(SUBSTITUTE(SUBSTITUTE($P1366,"~","~~"),"*","~*"),"?","~?"),'DEF_SELF_SCOUT_IMPORT'!$H$42:$H$1040,"DROPBACK")/$C1366)</f>
        <v>0.0</v>
      </c>
      <c r="I1366" s="14" t="str">
        <f>IF(C1366=0,"",IF(C1366&lt;=2,"TRACK",IF(C1366=3,"LOW",IF(C1366&lt;=6,"MEDIUM","HIGH"))))</f>
        <v>LOW</v>
      </c>
      <c r="J1366" s="11">
        <f>IF(C1366=0,"",ROUND(D1366*70+(1-E1366)*20+MAX(0,MIN(1,(10-F1366)/10))*10,1))</f>
        <v>24.3</v>
      </c>
      <c r="K1366" s="14" t="str">
        <f>IF(C1366=0,"No Evidence",IF(C1366&lt;=2,IF(E1366&gt;0,"Explosive Alert","Track Only"),IF(C1366=3,"Sample Watch",IF(E1366&gt;=START_HERE!$B$31,"Explosive Alert",IF(J1366&gt;=80,"Strong Candidate",IF(J1366&gt;=65,"Good Candidate",IF(J1366&gt;=50,"Mixed / Review","Problem Call")))))))</f>
        <v>Sample Watch</v>
      </c>
      <c r="L1366" s="9" t="str">
        <f>IF(COUNTIFS('DEF_SELF_SCOUT_IMPORT'!$L$42:$L$1040,"Y",'DEF_SELF_SCOUT_IMPORT'!$E$42:$E$1040,SUBSTITUTE(SUBSTITUTE(SUBSTITUTE($B1366,"~","~~"),"*","~*"),"?","~?"),'DEF_SELF_SCOUT_IMPORT'!$D$42:$D$1040,SUBSTITUTE(SUBSTITUTE(SUBSTITUTE($P1366,"~","~~"),"*","~*"),"?","~?"),'DEF_SELF_SCOUT_IMPORT'!$J$42:$J$1040,"")&gt;0,"Unscored clean outcome; review result tags before using score.",IF(C1366=0,"No matching defensive reps; film confirmation needed.",IF(K1366="Explosive Alert","Explosive risk; review clips before using as answer.",IF(C1366&lt;=2,"Track only; not enough sample.",IF(C1366=3,IF(E1366&gt;0,"Sample watch with explosive exposure; review clips and build the sample.",IF(J1366&gt;=65,"Good signal, but sample is limited.","Sample watch; review clips and build the sample.")),IF(K1366="Problem Call","Problem area; practice or call-sheet review.",IF(K1366="Strong Candidate","Strong call-fit candidate; confirm on film.",IF(K1366="Good Candidate","Good call-fit signal; confirm on film.","Mixed signal; review fit and execution on film."))))))))</f>
        <v>Sample watch; review clips and build the sample.</v>
      </c>
      <c r="M1366" s="8"/>
      <c r="N1366" s="8"/>
      <c r="O1366" s="8"/>
      <c r="P1366" s="8" t="s">
        <v>428</v>
      </c>
      <c r="Q1366" s="8"/>
      <c r="R1366" s="8" t="s">
        <v>633</v>
      </c>
      <c r="S1366" s="2" t="s">
        <v>647</v>
      </c>
      <c r="T1366" s="2">
        <f>IF(C1366=0,0,IF(C1366&gt;=CALL_LOOKUP_BOARD!$B$7,IF(OR(K1366="Problem Call",K1366="Explosive Alert"),10000000,20000000),0)+IF(C1366&gt;=CALL_LOOKUP_BOARD!$B$7,J1366*1000+MIN(C1366,999),C1366*1000+J1366)+0.00989700)</f>
        <v>3024.309897</v>
      </c>
      <c r="U1366" s="2">
        <f>IF(C1366=0,"",IF(COUNTIFS($S$1264:$S$1440,SUBSTITUTE(SUBSTITUTE(SUBSTITUTE(S1366,"~","~~"),"*","~*"),"?","~?"),$T$1264:$T$1440,"&gt;"&amp;T1366)=0,S1366,""))</f>
        <v/>
      </c>
    </row>
    <row r="1367" spans="1:21" ht="38" customHeight="1">
      <c r="A1367" s="8" t="s">
        <v>428</v>
      </c>
      <c r="B1367" s="8" t="s">
        <v>63</v>
      </c>
      <c r="C1367" s="12">
        <f>COUNTIFS('DEF_SELF_SCOUT_IMPORT'!$L$42:$L$1040,"Y",'DEF_SELF_SCOUT_IMPORT'!$E$42:$E$1040,SUBSTITUTE(SUBSTITUTE(SUBSTITUTE($B1367,"~","~~"),"*","~*"),"?","~?"),'DEF_SELF_SCOUT_IMPORT'!$D$42:$D$1040,SUBSTITUTE(SUBSTITUTE(SUBSTITUTE($P1367,"~","~~"),"*","~*"),"?","~?"))</f>
        <v>1</v>
      </c>
      <c r="D1367" s="10">
        <f>IF($C1367=0,"",SUMIFS('DEF_SELF_SCOUT_IMPORT'!$J$42:$J$1040,'DEF_SELF_SCOUT_IMPORT'!$L$42:$L$1040,"Y",'DEF_SELF_SCOUT_IMPORT'!$E$42:$E$1040,SUBSTITUTE(SUBSTITUTE(SUBSTITUTE($B1367,"~","~~"),"*","~*"),"?","~?"),'DEF_SELF_SCOUT_IMPORT'!$D$42:$D$1040,SUBSTITUTE(SUBSTITUTE(SUBSTITUTE($P1367,"~","~~"),"*","~*"),"?","~?"))/$C1367)</f>
        <v>0.0</v>
      </c>
      <c r="E1367" s="10">
        <f>IF($C1367=0,"",SUMIFS('DEF_SELF_SCOUT_IMPORT'!$K$42:$K$1040,'DEF_SELF_SCOUT_IMPORT'!$L$42:$L$1040,"Y",'DEF_SELF_SCOUT_IMPORT'!$E$42:$E$1040,SUBSTITUTE(SUBSTITUTE(SUBSTITUTE($B1367,"~","~~"),"*","~*"),"?","~?"),'DEF_SELF_SCOUT_IMPORT'!$D$42:$D$1040,SUBSTITUTE(SUBSTITUTE(SUBSTITUTE($P1367,"~","~~"),"*","~*"),"?","~?"))/$C1367)</f>
        <v>0.0</v>
      </c>
      <c r="F1367" s="11">
        <f>IF($C1367=0,"",AVERAGEIFS('DEF_SELF_SCOUT_IMPORT'!$I$42:$I$1040,'DEF_SELF_SCOUT_IMPORT'!$L$42:$L$1040,"Y",'DEF_SELF_SCOUT_IMPORT'!$E$42:$E$1040,SUBSTITUTE(SUBSTITUTE(SUBSTITUTE($B1367,"~","~~"),"*","~*"),"?","~?"),'DEF_SELF_SCOUT_IMPORT'!$D$42:$D$1040,SUBSTITUTE(SUBSTITUTE(SUBSTITUTE($P1367,"~","~~"),"*","~*"),"?","~?")))</f>
        <v>7.0</v>
      </c>
      <c r="G1367" s="10">
        <f>IF($C1367=0,"",COUNTIFS('DEF_SELF_SCOUT_IMPORT'!$L$42:$L$1040,"Y",'DEF_SELF_SCOUT_IMPORT'!$E$42:$E$1040,SUBSTITUTE(SUBSTITUTE(SUBSTITUTE($B1367,"~","~~"),"*","~*"),"?","~?"),'DEF_SELF_SCOUT_IMPORT'!$D$42:$D$1040,SUBSTITUTE(SUBSTITUTE(SUBSTITUTE($P1367,"~","~~"),"*","~*"),"?","~?"),'DEF_SELF_SCOUT_IMPORT'!$H$42:$H$1040,"RUSH")/$C1367)</f>
        <v>1.0</v>
      </c>
      <c r="H1367" s="10">
        <f>IF($C1367=0,"",COUNTIFS('DEF_SELF_SCOUT_IMPORT'!$L$42:$L$1040,"Y",'DEF_SELF_SCOUT_IMPORT'!$E$42:$E$1040,SUBSTITUTE(SUBSTITUTE(SUBSTITUTE($B1367,"~","~~"),"*","~*"),"?","~?"),'DEF_SELF_SCOUT_IMPORT'!$D$42:$D$1040,SUBSTITUTE(SUBSTITUTE(SUBSTITUTE($P1367,"~","~~"),"*","~*"),"?","~?"),'DEF_SELF_SCOUT_IMPORT'!$H$42:$H$1040,"DROPBACK")/$C1367)</f>
        <v>0.0</v>
      </c>
      <c r="I1367" s="14" t="str">
        <f>IF(C1367=0,"",IF(C1367&lt;=2,"TRACK",IF(C1367=3,"LOW",IF(C1367&lt;=6,"MEDIUM","HIGH"))))</f>
        <v>TRACK</v>
      </c>
      <c r="J1367" s="11">
        <f>IF(C1367=0,"",ROUND(D1367*70+(1-E1367)*20+MAX(0,MIN(1,(10-F1367)/10))*10,1))</f>
        <v>23.0</v>
      </c>
      <c r="K1367" s="14" t="str">
        <f>IF(C1367=0,"No Evidence",IF(C1367&lt;=2,IF(E1367&gt;0,"Explosive Alert","Track Only"),IF(C1367=3,"Sample Watch",IF(E1367&gt;=START_HERE!$B$31,"Explosive Alert",IF(J1367&gt;=80,"Strong Candidate",IF(J1367&gt;=65,"Good Candidate",IF(J1367&gt;=50,"Mixed / Review","Problem Call")))))))</f>
        <v>Track Only</v>
      </c>
      <c r="L1367" s="9" t="str">
        <f>IF(COUNTIFS('DEF_SELF_SCOUT_IMPORT'!$L$42:$L$1040,"Y",'DEF_SELF_SCOUT_IMPORT'!$E$42:$E$1040,SUBSTITUTE(SUBSTITUTE(SUBSTITUTE($B1367,"~","~~"),"*","~*"),"?","~?"),'DEF_SELF_SCOUT_IMPORT'!$D$42:$D$1040,SUBSTITUTE(SUBSTITUTE(SUBSTITUTE($P1367,"~","~~"),"*","~*"),"?","~?"),'DEF_SELF_SCOUT_IMPORT'!$J$42:$J$1040,"")&gt;0,"Unscored clean outcome; review result tags before using score.",IF(C1367=0,"No matching defensive reps; film confirmation needed.",IF(K1367="Explosive Alert","Explosive risk; review clips before using as answer.",IF(C1367&lt;=2,"Track only; not enough sample.",IF(C1367=3,IF(E1367&gt;0,"Sample watch with explosive exposure; review clips and build the sample.",IF(J1367&gt;=65,"Good signal, but sample is limited.","Sample watch; review clips and build the sample.")),IF(K1367="Problem Call","Problem area; practice or call-sheet review.",IF(K1367="Strong Candidate","Strong call-fit candidate; confirm on film.",IF(K1367="Good Candidate","Good call-fit signal; confirm on film.","Mixed signal; review fit and execution on film."))))))))</f>
        <v>Track only; not enough sample.</v>
      </c>
      <c r="M1367" s="8"/>
      <c r="N1367" s="8"/>
      <c r="O1367" s="8"/>
      <c r="P1367" s="8" t="s">
        <v>428</v>
      </c>
      <c r="Q1367" s="8"/>
      <c r="R1367" s="8" t="s">
        <v>633</v>
      </c>
      <c r="S1367" s="2" t="s">
        <v>647</v>
      </c>
      <c r="T1367" s="2">
        <f>IF(C1367=0,0,IF(C1367&gt;=CALL_LOOKUP_BOARD!$B$7,IF(OR(K1367="Problem Call",K1367="Explosive Alert"),10000000,20000000),0)+IF(C1367&gt;=CALL_LOOKUP_BOARD!$B$7,J1367*1000+MIN(C1367,999),C1367*1000+J1367)+0.00989600)</f>
        <v>1023.009896</v>
      </c>
      <c r="U1367" s="2">
        <f>IF(C1367=0,"",IF(COUNTIFS($S$1264:$S$1440,SUBSTITUTE(SUBSTITUTE(SUBSTITUTE(S1367,"~","~~"),"*","~*"),"?","~?"),$T$1264:$T$1440,"&gt;"&amp;T1367)=0,S1367,""))</f>
        <v/>
      </c>
    </row>
    <row r="1368" spans="1:21" ht="38" customHeight="1">
      <c r="A1368" s="8" t="s">
        <v>428</v>
      </c>
      <c r="B1368" s="8" t="s">
        <v>102</v>
      </c>
      <c r="C1368" s="12">
        <f>COUNTIFS('DEF_SELF_SCOUT_IMPORT'!$L$42:$L$1040,"Y",'DEF_SELF_SCOUT_IMPORT'!$E$42:$E$1040,SUBSTITUTE(SUBSTITUTE(SUBSTITUTE($B1368,"~","~~"),"*","~*"),"?","~?"),'DEF_SELF_SCOUT_IMPORT'!$D$42:$D$1040,SUBSTITUTE(SUBSTITUTE(SUBSTITUTE($P1368,"~","~~"),"*","~*"),"?","~?"))</f>
        <v>1</v>
      </c>
      <c r="D1368" s="10">
        <f>IF($C1368=0,"",SUMIFS('DEF_SELF_SCOUT_IMPORT'!$J$42:$J$1040,'DEF_SELF_SCOUT_IMPORT'!$L$42:$L$1040,"Y",'DEF_SELF_SCOUT_IMPORT'!$E$42:$E$1040,SUBSTITUTE(SUBSTITUTE(SUBSTITUTE($B1368,"~","~~"),"*","~*"),"?","~?"),'DEF_SELF_SCOUT_IMPORT'!$D$42:$D$1040,SUBSTITUTE(SUBSTITUTE(SUBSTITUTE($P1368,"~","~~"),"*","~*"),"?","~?"))/$C1368)</f>
        <v>1.0</v>
      </c>
      <c r="E1368" s="10">
        <f>IF($C1368=0,"",SUMIFS('DEF_SELF_SCOUT_IMPORT'!$K$42:$K$1040,'DEF_SELF_SCOUT_IMPORT'!$L$42:$L$1040,"Y",'DEF_SELF_SCOUT_IMPORT'!$E$42:$E$1040,SUBSTITUTE(SUBSTITUTE(SUBSTITUTE($B1368,"~","~~"),"*","~*"),"?","~?"),'DEF_SELF_SCOUT_IMPORT'!$D$42:$D$1040,SUBSTITUTE(SUBSTITUTE(SUBSTITUTE($P1368,"~","~~"),"*","~*"),"?","~?"))/$C1368)</f>
        <v>0.0</v>
      </c>
      <c r="F1368" s="11">
        <f>IF($C1368=0,"",AVERAGEIFS('DEF_SELF_SCOUT_IMPORT'!$I$42:$I$1040,'DEF_SELF_SCOUT_IMPORT'!$L$42:$L$1040,"Y",'DEF_SELF_SCOUT_IMPORT'!$E$42:$E$1040,SUBSTITUTE(SUBSTITUTE(SUBSTITUTE($B1368,"~","~~"),"*","~*"),"?","~?"),'DEF_SELF_SCOUT_IMPORT'!$D$42:$D$1040,SUBSTITUTE(SUBSTITUTE(SUBSTITUTE($P1368,"~","~~"),"*","~*"),"?","~?")))</f>
        <v>3.0</v>
      </c>
      <c r="G1368" s="10">
        <f>IF($C1368=0,"",COUNTIFS('DEF_SELF_SCOUT_IMPORT'!$L$42:$L$1040,"Y",'DEF_SELF_SCOUT_IMPORT'!$E$42:$E$1040,SUBSTITUTE(SUBSTITUTE(SUBSTITUTE($B1368,"~","~~"),"*","~*"),"?","~?"),'DEF_SELF_SCOUT_IMPORT'!$D$42:$D$1040,SUBSTITUTE(SUBSTITUTE(SUBSTITUTE($P1368,"~","~~"),"*","~*"),"?","~?"),'DEF_SELF_SCOUT_IMPORT'!$H$42:$H$1040,"RUSH")/$C1368)</f>
        <v>1.0</v>
      </c>
      <c r="H1368" s="10">
        <f>IF($C1368=0,"",COUNTIFS('DEF_SELF_SCOUT_IMPORT'!$L$42:$L$1040,"Y",'DEF_SELF_SCOUT_IMPORT'!$E$42:$E$1040,SUBSTITUTE(SUBSTITUTE(SUBSTITUTE($B1368,"~","~~"),"*","~*"),"?","~?"),'DEF_SELF_SCOUT_IMPORT'!$D$42:$D$1040,SUBSTITUTE(SUBSTITUTE(SUBSTITUTE($P1368,"~","~~"),"*","~*"),"?","~?"),'DEF_SELF_SCOUT_IMPORT'!$H$42:$H$1040,"DROPBACK")/$C1368)</f>
        <v>0.0</v>
      </c>
      <c r="I1368" s="14" t="str">
        <f>IF(C1368=0,"",IF(C1368&lt;=2,"TRACK",IF(C1368=3,"LOW",IF(C1368&lt;=6,"MEDIUM","HIGH"))))</f>
        <v>TRACK</v>
      </c>
      <c r="J1368" s="11">
        <f>IF(C1368=0,"",ROUND(D1368*70+(1-E1368)*20+MAX(0,MIN(1,(10-F1368)/10))*10,1))</f>
        <v>97.0</v>
      </c>
      <c r="K1368" s="14" t="str">
        <f>IF(C1368=0,"No Evidence",IF(C1368&lt;=2,IF(E1368&gt;0,"Explosive Alert","Track Only"),IF(C1368=3,"Sample Watch",IF(E1368&gt;=START_HERE!$B$31,"Explosive Alert",IF(J1368&gt;=80,"Strong Candidate",IF(J1368&gt;=65,"Good Candidate",IF(J1368&gt;=50,"Mixed / Review","Problem Call")))))))</f>
        <v>Track Only</v>
      </c>
      <c r="L1368" s="9" t="str">
        <f>IF(COUNTIFS('DEF_SELF_SCOUT_IMPORT'!$L$42:$L$1040,"Y",'DEF_SELF_SCOUT_IMPORT'!$E$42:$E$1040,SUBSTITUTE(SUBSTITUTE(SUBSTITUTE($B1368,"~","~~"),"*","~*"),"?","~?"),'DEF_SELF_SCOUT_IMPORT'!$D$42:$D$1040,SUBSTITUTE(SUBSTITUTE(SUBSTITUTE($P1368,"~","~~"),"*","~*"),"?","~?"),'DEF_SELF_SCOUT_IMPORT'!$J$42:$J$1040,"")&gt;0,"Unscored clean outcome; review result tags before using score.",IF(C1368=0,"No matching defensive reps; film confirmation needed.",IF(K1368="Explosive Alert","Explosive risk; review clips before using as answer.",IF(C1368&lt;=2,"Track only; not enough sample.",IF(C1368=3,IF(E1368&gt;0,"Sample watch with explosive exposure; review clips and build the sample.",IF(J1368&gt;=65,"Good signal, but sample is limited.","Sample watch; review clips and build the sample.")),IF(K1368="Problem Call","Problem area; practice or call-sheet review.",IF(K1368="Strong Candidate","Strong call-fit candidate; confirm on film.",IF(K1368="Good Candidate","Good call-fit signal; confirm on film.","Mixed signal; review fit and execution on film."))))))))</f>
        <v>Track only; not enough sample.</v>
      </c>
      <c r="M1368" s="8"/>
      <c r="N1368" s="8"/>
      <c r="O1368" s="8"/>
      <c r="P1368" s="8" t="s">
        <v>428</v>
      </c>
      <c r="Q1368" s="8"/>
      <c r="R1368" s="8" t="s">
        <v>633</v>
      </c>
      <c r="S1368" s="2" t="s">
        <v>647</v>
      </c>
      <c r="T1368" s="2">
        <f>IF(C1368=0,0,IF(C1368&gt;=CALL_LOOKUP_BOARD!$B$7,IF(OR(K1368="Problem Call",K1368="Explosive Alert"),10000000,20000000),0)+IF(C1368&gt;=CALL_LOOKUP_BOARD!$B$7,J1368*1000+MIN(C1368,999),C1368*1000+J1368)+0.00989500)</f>
        <v>1097.009895</v>
      </c>
      <c r="U1368" s="2">
        <f>IF(C1368=0,"",IF(COUNTIFS($S$1264:$S$1440,SUBSTITUTE(SUBSTITUTE(SUBSTITUTE(S1368,"~","~~"),"*","~*"),"?","~?"),$T$1264:$T$1440,"&gt;"&amp;T1368)=0,S1368,""))</f>
        <v/>
      </c>
    </row>
    <row r="1369" spans="1:21" ht="38" customHeight="1">
      <c r="A1369" s="8" t="s">
        <v>428</v>
      </c>
      <c r="B1369" s="8" t="s">
        <v>65</v>
      </c>
      <c r="C1369" s="12">
        <f>COUNTIFS('DEF_SELF_SCOUT_IMPORT'!$L$42:$L$1040,"Y",'DEF_SELF_SCOUT_IMPORT'!$E$42:$E$1040,SUBSTITUTE(SUBSTITUTE(SUBSTITUTE($B1369,"~","~~"),"*","~*"),"?","~?"),'DEF_SELF_SCOUT_IMPORT'!$D$42:$D$1040,SUBSTITUTE(SUBSTITUTE(SUBSTITUTE($P1369,"~","~~"),"*","~*"),"?","~?"))</f>
        <v>2</v>
      </c>
      <c r="D1369" s="10">
        <f>IF($C1369=0,"",SUMIFS('DEF_SELF_SCOUT_IMPORT'!$J$42:$J$1040,'DEF_SELF_SCOUT_IMPORT'!$L$42:$L$1040,"Y",'DEF_SELF_SCOUT_IMPORT'!$E$42:$E$1040,SUBSTITUTE(SUBSTITUTE(SUBSTITUTE($B1369,"~","~~"),"*","~*"),"?","~?"),'DEF_SELF_SCOUT_IMPORT'!$D$42:$D$1040,SUBSTITUTE(SUBSTITUTE(SUBSTITUTE($P1369,"~","~~"),"*","~*"),"?","~?"))/$C1369)</f>
        <v>0.5</v>
      </c>
      <c r="E1369" s="10">
        <f>IF($C1369=0,"",SUMIFS('DEF_SELF_SCOUT_IMPORT'!$K$42:$K$1040,'DEF_SELF_SCOUT_IMPORT'!$L$42:$L$1040,"Y",'DEF_SELF_SCOUT_IMPORT'!$E$42:$E$1040,SUBSTITUTE(SUBSTITUTE(SUBSTITUTE($B1369,"~","~~"),"*","~*"),"?","~?"),'DEF_SELF_SCOUT_IMPORT'!$D$42:$D$1040,SUBSTITUTE(SUBSTITUTE(SUBSTITUTE($P1369,"~","~~"),"*","~*"),"?","~?"))/$C1369)</f>
        <v>0.0</v>
      </c>
      <c r="F1369" s="11">
        <f>IF($C1369=0,"",AVERAGEIFS('DEF_SELF_SCOUT_IMPORT'!$I$42:$I$1040,'DEF_SELF_SCOUT_IMPORT'!$L$42:$L$1040,"Y",'DEF_SELF_SCOUT_IMPORT'!$E$42:$E$1040,SUBSTITUTE(SUBSTITUTE(SUBSTITUTE($B1369,"~","~~"),"*","~*"),"?","~?"),'DEF_SELF_SCOUT_IMPORT'!$D$42:$D$1040,SUBSTITUTE(SUBSTITUTE(SUBSTITUTE($P1369,"~","~~"),"*","~*"),"?","~?")))</f>
        <v>2.0</v>
      </c>
      <c r="G1369" s="10">
        <f>IF($C1369=0,"",COUNTIFS('DEF_SELF_SCOUT_IMPORT'!$L$42:$L$1040,"Y",'DEF_SELF_SCOUT_IMPORT'!$E$42:$E$1040,SUBSTITUTE(SUBSTITUTE(SUBSTITUTE($B1369,"~","~~"),"*","~*"),"?","~?"),'DEF_SELF_SCOUT_IMPORT'!$D$42:$D$1040,SUBSTITUTE(SUBSTITUTE(SUBSTITUTE($P1369,"~","~~"),"*","~*"),"?","~?"),'DEF_SELF_SCOUT_IMPORT'!$H$42:$H$1040,"RUSH")/$C1369)</f>
        <v>1.0</v>
      </c>
      <c r="H1369" s="10">
        <f>IF($C1369=0,"",COUNTIFS('DEF_SELF_SCOUT_IMPORT'!$L$42:$L$1040,"Y",'DEF_SELF_SCOUT_IMPORT'!$E$42:$E$1040,SUBSTITUTE(SUBSTITUTE(SUBSTITUTE($B1369,"~","~~"),"*","~*"),"?","~?"),'DEF_SELF_SCOUT_IMPORT'!$D$42:$D$1040,SUBSTITUTE(SUBSTITUTE(SUBSTITUTE($P1369,"~","~~"),"*","~*"),"?","~?"),'DEF_SELF_SCOUT_IMPORT'!$H$42:$H$1040,"DROPBACK")/$C1369)</f>
        <v>0.0</v>
      </c>
      <c r="I1369" s="14" t="str">
        <f>IF(C1369=0,"",IF(C1369&lt;=2,"TRACK",IF(C1369=3,"LOW",IF(C1369&lt;=6,"MEDIUM","HIGH"))))</f>
        <v>TRACK</v>
      </c>
      <c r="J1369" s="11">
        <f>IF(C1369=0,"",ROUND(D1369*70+(1-E1369)*20+MAX(0,MIN(1,(10-F1369)/10))*10,1))</f>
        <v>63.0</v>
      </c>
      <c r="K1369" s="14" t="str">
        <f>IF(C1369=0,"No Evidence",IF(C1369&lt;=2,IF(E1369&gt;0,"Explosive Alert","Track Only"),IF(C1369=3,"Sample Watch",IF(E1369&gt;=START_HERE!$B$31,"Explosive Alert",IF(J1369&gt;=80,"Strong Candidate",IF(J1369&gt;=65,"Good Candidate",IF(J1369&gt;=50,"Mixed / Review","Problem Call")))))))</f>
        <v>Track Only</v>
      </c>
      <c r="L1369" s="9" t="str">
        <f>IF(COUNTIFS('DEF_SELF_SCOUT_IMPORT'!$L$42:$L$1040,"Y",'DEF_SELF_SCOUT_IMPORT'!$E$42:$E$1040,SUBSTITUTE(SUBSTITUTE(SUBSTITUTE($B1369,"~","~~"),"*","~*"),"?","~?"),'DEF_SELF_SCOUT_IMPORT'!$D$42:$D$1040,SUBSTITUTE(SUBSTITUTE(SUBSTITUTE($P1369,"~","~~"),"*","~*"),"?","~?"),'DEF_SELF_SCOUT_IMPORT'!$J$42:$J$1040,"")&gt;0,"Unscored clean outcome; review result tags before using score.",IF(C1369=0,"No matching defensive reps; film confirmation needed.",IF(K1369="Explosive Alert","Explosive risk; review clips before using as answer.",IF(C1369&lt;=2,"Track only; not enough sample.",IF(C1369=3,IF(E1369&gt;0,"Sample watch with explosive exposure; review clips and build the sample.",IF(J1369&gt;=65,"Good signal, but sample is limited.","Sample watch; review clips and build the sample.")),IF(K1369="Problem Call","Problem area; practice or call-sheet review.",IF(K1369="Strong Candidate","Strong call-fit candidate; confirm on film.",IF(K1369="Good Candidate","Good call-fit signal; confirm on film.","Mixed signal; review fit and execution on film."))))))))</f>
        <v>Track only; not enough sample.</v>
      </c>
      <c r="M1369" s="8"/>
      <c r="N1369" s="8"/>
      <c r="O1369" s="8"/>
      <c r="P1369" s="8" t="s">
        <v>428</v>
      </c>
      <c r="Q1369" s="8"/>
      <c r="R1369" s="8" t="s">
        <v>633</v>
      </c>
      <c r="S1369" s="2" t="s">
        <v>647</v>
      </c>
      <c r="T1369" s="2">
        <f>IF(C1369=0,0,IF(C1369&gt;=CALL_LOOKUP_BOARD!$B$7,IF(OR(K1369="Problem Call",K1369="Explosive Alert"),10000000,20000000),0)+IF(C1369&gt;=CALL_LOOKUP_BOARD!$B$7,J1369*1000+MIN(C1369,999),C1369*1000+J1369)+0.00989400)</f>
        <v>2063.009894</v>
      </c>
      <c r="U1369" s="2">
        <f>IF(C1369=0,"",IF(COUNTIFS($S$1264:$S$1440,SUBSTITUTE(SUBSTITUTE(SUBSTITUTE(S1369,"~","~~"),"*","~*"),"?","~?"),$T$1264:$T$1440,"&gt;"&amp;T1369)=0,S1369,""))</f>
        <v/>
      </c>
    </row>
    <row r="1370" spans="1:21" ht="38" customHeight="1">
      <c r="A1370" s="8" t="s">
        <v>428</v>
      </c>
      <c r="B1370" s="8" t="s">
        <v>66</v>
      </c>
      <c r="C1370" s="12">
        <f>COUNTIFS('DEF_SELF_SCOUT_IMPORT'!$L$42:$L$1040,"Y",'DEF_SELF_SCOUT_IMPORT'!$E$42:$E$1040,SUBSTITUTE(SUBSTITUTE(SUBSTITUTE($B1370,"~","~~"),"*","~*"),"?","~?"),'DEF_SELF_SCOUT_IMPORT'!$D$42:$D$1040,SUBSTITUTE(SUBSTITUTE(SUBSTITUTE($P1370,"~","~~"),"*","~*"),"?","~?"))</f>
        <v>4</v>
      </c>
      <c r="D1370" s="10">
        <f>IF($C1370=0,"",SUMIFS('DEF_SELF_SCOUT_IMPORT'!$J$42:$J$1040,'DEF_SELF_SCOUT_IMPORT'!$L$42:$L$1040,"Y",'DEF_SELF_SCOUT_IMPORT'!$E$42:$E$1040,SUBSTITUTE(SUBSTITUTE(SUBSTITUTE($B1370,"~","~~"),"*","~*"),"?","~?"),'DEF_SELF_SCOUT_IMPORT'!$D$42:$D$1040,SUBSTITUTE(SUBSTITUTE(SUBSTITUTE($P1370,"~","~~"),"*","~*"),"?","~?"))/$C1370)</f>
        <v>0.75</v>
      </c>
      <c r="E1370" s="10">
        <f>IF($C1370=0,"",SUMIFS('DEF_SELF_SCOUT_IMPORT'!$K$42:$K$1040,'DEF_SELF_SCOUT_IMPORT'!$L$42:$L$1040,"Y",'DEF_SELF_SCOUT_IMPORT'!$E$42:$E$1040,SUBSTITUTE(SUBSTITUTE(SUBSTITUTE($B1370,"~","~~"),"*","~*"),"?","~?"),'DEF_SELF_SCOUT_IMPORT'!$D$42:$D$1040,SUBSTITUTE(SUBSTITUTE(SUBSTITUTE($P1370,"~","~~"),"*","~*"),"?","~?"))/$C1370)</f>
        <v>0.0</v>
      </c>
      <c r="F1370" s="11">
        <f>IF($C1370=0,"",AVERAGEIFS('DEF_SELF_SCOUT_IMPORT'!$I$42:$I$1040,'DEF_SELF_SCOUT_IMPORT'!$L$42:$L$1040,"Y",'DEF_SELF_SCOUT_IMPORT'!$E$42:$E$1040,SUBSTITUTE(SUBSTITUTE(SUBSTITUTE($B1370,"~","~~"),"*","~*"),"?","~?"),'DEF_SELF_SCOUT_IMPORT'!$D$42:$D$1040,SUBSTITUTE(SUBSTITUTE(SUBSTITUTE($P1370,"~","~~"),"*","~*"),"?","~?")))</f>
        <v>1.5</v>
      </c>
      <c r="G1370" s="10">
        <f>IF($C1370=0,"",COUNTIFS('DEF_SELF_SCOUT_IMPORT'!$L$42:$L$1040,"Y",'DEF_SELF_SCOUT_IMPORT'!$E$42:$E$1040,SUBSTITUTE(SUBSTITUTE(SUBSTITUTE($B1370,"~","~~"),"*","~*"),"?","~?"),'DEF_SELF_SCOUT_IMPORT'!$D$42:$D$1040,SUBSTITUTE(SUBSTITUTE(SUBSTITUTE($P1370,"~","~~"),"*","~*"),"?","~?"),'DEF_SELF_SCOUT_IMPORT'!$H$42:$H$1040,"RUSH")/$C1370)</f>
        <v>1.0</v>
      </c>
      <c r="H1370" s="10">
        <f>IF($C1370=0,"",COUNTIFS('DEF_SELF_SCOUT_IMPORT'!$L$42:$L$1040,"Y",'DEF_SELF_SCOUT_IMPORT'!$E$42:$E$1040,SUBSTITUTE(SUBSTITUTE(SUBSTITUTE($B1370,"~","~~"),"*","~*"),"?","~?"),'DEF_SELF_SCOUT_IMPORT'!$D$42:$D$1040,SUBSTITUTE(SUBSTITUTE(SUBSTITUTE($P1370,"~","~~"),"*","~*"),"?","~?"),'DEF_SELF_SCOUT_IMPORT'!$H$42:$H$1040,"DROPBACK")/$C1370)</f>
        <v>0.0</v>
      </c>
      <c r="I1370" s="14" t="str">
        <f>IF(C1370=0,"",IF(C1370&lt;=2,"TRACK",IF(C1370=3,"LOW",IF(C1370&lt;=6,"MEDIUM","HIGH"))))</f>
        <v>MEDIUM</v>
      </c>
      <c r="J1370" s="11">
        <f>IF(C1370=0,"",ROUND(D1370*70+(1-E1370)*20+MAX(0,MIN(1,(10-F1370)/10))*10,1))</f>
        <v>81.0</v>
      </c>
      <c r="K1370" s="14" t="str">
        <f>IF(C1370=0,"No Evidence",IF(C1370&lt;=2,IF(E1370&gt;0,"Explosive Alert","Track Only"),IF(C1370=3,"Sample Watch",IF(E1370&gt;=START_HERE!$B$31,"Explosive Alert",IF(J1370&gt;=80,"Strong Candidate",IF(J1370&gt;=65,"Good Candidate",IF(J1370&gt;=50,"Mixed / Review","Problem Call")))))))</f>
        <v>Strong Candidate</v>
      </c>
      <c r="L1370" s="9" t="str">
        <f>IF(COUNTIFS('DEF_SELF_SCOUT_IMPORT'!$L$42:$L$1040,"Y",'DEF_SELF_SCOUT_IMPORT'!$E$42:$E$1040,SUBSTITUTE(SUBSTITUTE(SUBSTITUTE($B1370,"~","~~"),"*","~*"),"?","~?"),'DEF_SELF_SCOUT_IMPORT'!$D$42:$D$1040,SUBSTITUTE(SUBSTITUTE(SUBSTITUTE($P1370,"~","~~"),"*","~*"),"?","~?"),'DEF_SELF_SCOUT_IMPORT'!$J$42:$J$1040,"")&gt;0,"Unscored clean outcome; review result tags before using score.",IF(C1370=0,"No matching defensive reps; film confirmation needed.",IF(K1370="Explosive Alert","Explosive risk; review clips before using as answer.",IF(C1370&lt;=2,"Track only; not enough sample.",IF(C1370=3,IF(E1370&gt;0,"Sample watch with explosive exposure; review clips and build the sample.",IF(J1370&gt;=65,"Good signal, but sample is limited.","Sample watch; review clips and build the sample.")),IF(K1370="Problem Call","Problem area; practice or call-sheet review.",IF(K1370="Strong Candidate","Strong call-fit candidate; confirm on film.",IF(K1370="Good Candidate","Good call-fit signal; confirm on film.","Mixed signal; review fit and execution on film."))))))))</f>
        <v>Strong call-fit candidate; confirm on film.</v>
      </c>
      <c r="M1370" s="8"/>
      <c r="N1370" s="8"/>
      <c r="O1370" s="8"/>
      <c r="P1370" s="8" t="s">
        <v>428</v>
      </c>
      <c r="Q1370" s="8"/>
      <c r="R1370" s="8" t="s">
        <v>636</v>
      </c>
      <c r="S1370" s="2" t="s">
        <v>647</v>
      </c>
      <c r="T1370" s="2">
        <f>IF(C1370=0,0,IF(C1370&gt;=CALL_LOOKUP_BOARD!$B$7,IF(OR(K1370="Problem Call",K1370="Explosive Alert"),10000000,20000000),0)+IF(C1370&gt;=CALL_LOOKUP_BOARD!$B$7,J1370*1000+MIN(C1370,999),C1370*1000+J1370)+0.00989300)</f>
        <v>20081004.009893</v>
      </c>
      <c r="U1370" s="2" t="str">
        <f>IF(C1370=0,"",IF(COUNTIFS($S$1264:$S$1440,SUBSTITUTE(SUBSTITUTE(SUBSTITUTE(S1370,"~","~~"),"*","~*"),"?","~?"),$T$1264:$T$1440,"&gt;"&amp;T1370)=0,S1370,""))</f>
        <v>11:INSIDE ZONE|</v>
      </c>
    </row>
    <row r="1371" spans="1:21" ht="38" customHeight="1">
      <c r="A1371" s="8" t="s">
        <v>428</v>
      </c>
      <c r="B1371" s="8" t="s">
        <v>67</v>
      </c>
      <c r="C1371" s="12">
        <f>COUNTIFS('DEF_SELF_SCOUT_IMPORT'!$L$42:$L$1040,"Y",'DEF_SELF_SCOUT_IMPORT'!$E$42:$E$1040,SUBSTITUTE(SUBSTITUTE(SUBSTITUTE($B1371,"~","~~"),"*","~*"),"?","~?"),'DEF_SELF_SCOUT_IMPORT'!$D$42:$D$1040,SUBSTITUTE(SUBSTITUTE(SUBSTITUTE($P1371,"~","~~"),"*","~*"),"?","~?"))</f>
        <v>1</v>
      </c>
      <c r="D1371" s="10">
        <f>IF($C1371=0,"",SUMIFS('DEF_SELF_SCOUT_IMPORT'!$J$42:$J$1040,'DEF_SELF_SCOUT_IMPORT'!$L$42:$L$1040,"Y",'DEF_SELF_SCOUT_IMPORT'!$E$42:$E$1040,SUBSTITUTE(SUBSTITUTE(SUBSTITUTE($B1371,"~","~~"),"*","~*"),"?","~?"),'DEF_SELF_SCOUT_IMPORT'!$D$42:$D$1040,SUBSTITUTE(SUBSTITUTE(SUBSTITUTE($P1371,"~","~~"),"*","~*"),"?","~?"))/$C1371)</f>
        <v>1.0</v>
      </c>
      <c r="E1371" s="10">
        <f>IF($C1371=0,"",SUMIFS('DEF_SELF_SCOUT_IMPORT'!$K$42:$K$1040,'DEF_SELF_SCOUT_IMPORT'!$L$42:$L$1040,"Y",'DEF_SELF_SCOUT_IMPORT'!$E$42:$E$1040,SUBSTITUTE(SUBSTITUTE(SUBSTITUTE($B1371,"~","~~"),"*","~*"),"?","~?"),'DEF_SELF_SCOUT_IMPORT'!$D$42:$D$1040,SUBSTITUTE(SUBSTITUTE(SUBSTITUTE($P1371,"~","~~"),"*","~*"),"?","~?"))/$C1371)</f>
        <v>0.0</v>
      </c>
      <c r="F1371" s="11">
        <f>IF($C1371=0,"",AVERAGEIFS('DEF_SELF_SCOUT_IMPORT'!$I$42:$I$1040,'DEF_SELF_SCOUT_IMPORT'!$L$42:$L$1040,"Y",'DEF_SELF_SCOUT_IMPORT'!$E$42:$E$1040,SUBSTITUTE(SUBSTITUTE(SUBSTITUTE($B1371,"~","~~"),"*","~*"),"?","~?"),'DEF_SELF_SCOUT_IMPORT'!$D$42:$D$1040,SUBSTITUTE(SUBSTITUTE(SUBSTITUTE($P1371,"~","~~"),"*","~*"),"?","~?")))</f>
        <v>-5.0</v>
      </c>
      <c r="G1371" s="10">
        <f>IF($C1371=0,"",COUNTIFS('DEF_SELF_SCOUT_IMPORT'!$L$42:$L$1040,"Y",'DEF_SELF_SCOUT_IMPORT'!$E$42:$E$1040,SUBSTITUTE(SUBSTITUTE(SUBSTITUTE($B1371,"~","~~"),"*","~*"),"?","~?"),'DEF_SELF_SCOUT_IMPORT'!$D$42:$D$1040,SUBSTITUTE(SUBSTITUTE(SUBSTITUTE($P1371,"~","~~"),"*","~*"),"?","~?"),'DEF_SELF_SCOUT_IMPORT'!$H$42:$H$1040,"RUSH")/$C1371)</f>
        <v>1.0</v>
      </c>
      <c r="H1371" s="10">
        <f>IF($C1371=0,"",COUNTIFS('DEF_SELF_SCOUT_IMPORT'!$L$42:$L$1040,"Y",'DEF_SELF_SCOUT_IMPORT'!$E$42:$E$1040,SUBSTITUTE(SUBSTITUTE(SUBSTITUTE($B1371,"~","~~"),"*","~*"),"?","~?"),'DEF_SELF_SCOUT_IMPORT'!$D$42:$D$1040,SUBSTITUTE(SUBSTITUTE(SUBSTITUTE($P1371,"~","~~"),"*","~*"),"?","~?"),'DEF_SELF_SCOUT_IMPORT'!$H$42:$H$1040,"DROPBACK")/$C1371)</f>
        <v>0.0</v>
      </c>
      <c r="I1371" s="14" t="str">
        <f>IF(C1371=0,"",IF(C1371&lt;=2,"TRACK",IF(C1371=3,"LOW",IF(C1371&lt;=6,"MEDIUM","HIGH"))))</f>
        <v>TRACK</v>
      </c>
      <c r="J1371" s="11">
        <f>IF(C1371=0,"",ROUND(D1371*70+(1-E1371)*20+MAX(0,MIN(1,(10-F1371)/10))*10,1))</f>
        <v>100.0</v>
      </c>
      <c r="K1371" s="14" t="str">
        <f>IF(C1371=0,"No Evidence",IF(C1371&lt;=2,IF(E1371&gt;0,"Explosive Alert","Track Only"),IF(C1371=3,"Sample Watch",IF(E1371&gt;=START_HERE!$B$31,"Explosive Alert",IF(J1371&gt;=80,"Strong Candidate",IF(J1371&gt;=65,"Good Candidate",IF(J1371&gt;=50,"Mixed / Review","Problem Call")))))))</f>
        <v>Track Only</v>
      </c>
      <c r="L1371" s="9" t="str">
        <f>IF(COUNTIFS('DEF_SELF_SCOUT_IMPORT'!$L$42:$L$1040,"Y",'DEF_SELF_SCOUT_IMPORT'!$E$42:$E$1040,SUBSTITUTE(SUBSTITUTE(SUBSTITUTE($B1371,"~","~~"),"*","~*"),"?","~?"),'DEF_SELF_SCOUT_IMPORT'!$D$42:$D$1040,SUBSTITUTE(SUBSTITUTE(SUBSTITUTE($P1371,"~","~~"),"*","~*"),"?","~?"),'DEF_SELF_SCOUT_IMPORT'!$J$42:$J$1040,"")&gt;0,"Unscored clean outcome; review result tags before using score.",IF(C1371=0,"No matching defensive reps; film confirmation needed.",IF(K1371="Explosive Alert","Explosive risk; review clips before using as answer.",IF(C1371&lt;=2,"Track only; not enough sample.",IF(C1371=3,IF(E1371&gt;0,"Sample watch with explosive exposure; review clips and build the sample.",IF(J1371&gt;=65,"Good signal, but sample is limited.","Sample watch; review clips and build the sample.")),IF(K1371="Problem Call","Problem area; practice or call-sheet review.",IF(K1371="Strong Candidate","Strong call-fit candidate; confirm on film.",IF(K1371="Good Candidate","Good call-fit signal; confirm on film.","Mixed signal; review fit and execution on film."))))))))</f>
        <v>Track only; not enough sample.</v>
      </c>
      <c r="M1371" s="8"/>
      <c r="N1371" s="8"/>
      <c r="O1371" s="8"/>
      <c r="P1371" s="8" t="s">
        <v>428</v>
      </c>
      <c r="Q1371" s="8"/>
      <c r="R1371" s="8" t="s">
        <v>633</v>
      </c>
      <c r="S1371" s="2" t="s">
        <v>647</v>
      </c>
      <c r="T1371" s="2">
        <f>IF(C1371=0,0,IF(C1371&gt;=CALL_LOOKUP_BOARD!$B$7,IF(OR(K1371="Problem Call",K1371="Explosive Alert"),10000000,20000000),0)+IF(C1371&gt;=CALL_LOOKUP_BOARD!$B$7,J1371*1000+MIN(C1371,999),C1371*1000+J1371)+0.00989200)</f>
        <v>1100.009892</v>
      </c>
      <c r="U1371" s="2">
        <f>IF(C1371=0,"",IF(COUNTIFS($S$1264:$S$1440,SUBSTITUTE(SUBSTITUTE(SUBSTITUTE(S1371,"~","~~"),"*","~*"),"?","~?"),$T$1264:$T$1440,"&gt;"&amp;T1371)=0,S1371,""))</f>
        <v/>
      </c>
    </row>
    <row r="1372" spans="1:21" ht="38" customHeight="1">
      <c r="A1372" s="8" t="s">
        <v>428</v>
      </c>
      <c r="B1372" s="8" t="s">
        <v>68</v>
      </c>
      <c r="C1372" s="12">
        <f>COUNTIFS('DEF_SELF_SCOUT_IMPORT'!$L$42:$L$1040,"Y",'DEF_SELF_SCOUT_IMPORT'!$E$42:$E$1040,SUBSTITUTE(SUBSTITUTE(SUBSTITUTE($B1372,"~","~~"),"*","~*"),"?","~?"),'DEF_SELF_SCOUT_IMPORT'!$D$42:$D$1040,SUBSTITUTE(SUBSTITUTE(SUBSTITUTE($P1372,"~","~~"),"*","~*"),"?","~?"))</f>
        <v>2</v>
      </c>
      <c r="D1372" s="10">
        <f>IF($C1372=0,"",SUMIFS('DEF_SELF_SCOUT_IMPORT'!$J$42:$J$1040,'DEF_SELF_SCOUT_IMPORT'!$L$42:$L$1040,"Y",'DEF_SELF_SCOUT_IMPORT'!$E$42:$E$1040,SUBSTITUTE(SUBSTITUTE(SUBSTITUTE($B1372,"~","~~"),"*","~*"),"?","~?"),'DEF_SELF_SCOUT_IMPORT'!$D$42:$D$1040,SUBSTITUTE(SUBSTITUTE(SUBSTITUTE($P1372,"~","~~"),"*","~*"),"?","~?"))/$C1372)</f>
        <v>0.0</v>
      </c>
      <c r="E1372" s="10">
        <f>IF($C1372=0,"",SUMIFS('DEF_SELF_SCOUT_IMPORT'!$K$42:$K$1040,'DEF_SELF_SCOUT_IMPORT'!$L$42:$L$1040,"Y",'DEF_SELF_SCOUT_IMPORT'!$E$42:$E$1040,SUBSTITUTE(SUBSTITUTE(SUBSTITUTE($B1372,"~","~~"),"*","~*"),"?","~?"),'DEF_SELF_SCOUT_IMPORT'!$D$42:$D$1040,SUBSTITUTE(SUBSTITUTE(SUBSTITUTE($P1372,"~","~~"),"*","~*"),"?","~?"))/$C1372)</f>
        <v>0.0</v>
      </c>
      <c r="F1372" s="11">
        <f>IF($C1372=0,"",AVERAGEIFS('DEF_SELF_SCOUT_IMPORT'!$I$42:$I$1040,'DEF_SELF_SCOUT_IMPORT'!$L$42:$L$1040,"Y",'DEF_SELF_SCOUT_IMPORT'!$E$42:$E$1040,SUBSTITUTE(SUBSTITUTE(SUBSTITUTE($B1372,"~","~~"),"*","~*"),"?","~?"),'DEF_SELF_SCOUT_IMPORT'!$D$42:$D$1040,SUBSTITUTE(SUBSTITUTE(SUBSTITUTE($P1372,"~","~~"),"*","~*"),"?","~?")))</f>
        <v>6.0</v>
      </c>
      <c r="G1372" s="10">
        <f>IF($C1372=0,"",COUNTIFS('DEF_SELF_SCOUT_IMPORT'!$L$42:$L$1040,"Y",'DEF_SELF_SCOUT_IMPORT'!$E$42:$E$1040,SUBSTITUTE(SUBSTITUTE(SUBSTITUTE($B1372,"~","~~"),"*","~*"),"?","~?"),'DEF_SELF_SCOUT_IMPORT'!$D$42:$D$1040,SUBSTITUTE(SUBSTITUTE(SUBSTITUTE($P1372,"~","~~"),"*","~*"),"?","~?"),'DEF_SELF_SCOUT_IMPORT'!$H$42:$H$1040,"RUSH")/$C1372)</f>
        <v>0.5</v>
      </c>
      <c r="H1372" s="10">
        <f>IF($C1372=0,"",COUNTIFS('DEF_SELF_SCOUT_IMPORT'!$L$42:$L$1040,"Y",'DEF_SELF_SCOUT_IMPORT'!$E$42:$E$1040,SUBSTITUTE(SUBSTITUTE(SUBSTITUTE($B1372,"~","~~"),"*","~*"),"?","~?"),'DEF_SELF_SCOUT_IMPORT'!$D$42:$D$1040,SUBSTITUTE(SUBSTITUTE(SUBSTITUTE($P1372,"~","~~"),"*","~*"),"?","~?"),'DEF_SELF_SCOUT_IMPORT'!$H$42:$H$1040,"DROPBACK")/$C1372)</f>
        <v>0.0</v>
      </c>
      <c r="I1372" s="14" t="str">
        <f>IF(C1372=0,"",IF(C1372&lt;=2,"TRACK",IF(C1372=3,"LOW",IF(C1372&lt;=6,"MEDIUM","HIGH"))))</f>
        <v>TRACK</v>
      </c>
      <c r="J1372" s="11">
        <f>IF(C1372=0,"",ROUND(D1372*70+(1-E1372)*20+MAX(0,MIN(1,(10-F1372)/10))*10,1))</f>
        <v>24.0</v>
      </c>
      <c r="K1372" s="14" t="str">
        <f>IF(C1372=0,"No Evidence",IF(C1372&lt;=2,IF(E1372&gt;0,"Explosive Alert","Track Only"),IF(C1372=3,"Sample Watch",IF(E1372&gt;=START_HERE!$B$31,"Explosive Alert",IF(J1372&gt;=80,"Strong Candidate",IF(J1372&gt;=65,"Good Candidate",IF(J1372&gt;=50,"Mixed / Review","Problem Call")))))))</f>
        <v>Track Only</v>
      </c>
      <c r="L1372" s="9" t="str">
        <f>IF(COUNTIFS('DEF_SELF_SCOUT_IMPORT'!$L$42:$L$1040,"Y",'DEF_SELF_SCOUT_IMPORT'!$E$42:$E$1040,SUBSTITUTE(SUBSTITUTE(SUBSTITUTE($B1372,"~","~~"),"*","~*"),"?","~?"),'DEF_SELF_SCOUT_IMPORT'!$D$42:$D$1040,SUBSTITUTE(SUBSTITUTE(SUBSTITUTE($P1372,"~","~~"),"*","~*"),"?","~?"),'DEF_SELF_SCOUT_IMPORT'!$J$42:$J$1040,"")&gt;0,"Unscored clean outcome; review result tags before using score.",IF(C1372=0,"No matching defensive reps; film confirmation needed.",IF(K1372="Explosive Alert","Explosive risk; review clips before using as answer.",IF(C1372&lt;=2,"Track only; not enough sample.",IF(C1372=3,IF(E1372&gt;0,"Sample watch with explosive exposure; review clips and build the sample.",IF(J1372&gt;=65,"Good signal, but sample is limited.","Sample watch; review clips and build the sample.")),IF(K1372="Problem Call","Problem area; practice or call-sheet review.",IF(K1372="Strong Candidate","Strong call-fit candidate; confirm on film.",IF(K1372="Good Candidate","Good call-fit signal; confirm on film.","Mixed signal; review fit and execution on film."))))))))</f>
        <v>Track only; not enough sample.</v>
      </c>
      <c r="M1372" s="8"/>
      <c r="N1372" s="8"/>
      <c r="O1372" s="8"/>
      <c r="P1372" s="8" t="s">
        <v>428</v>
      </c>
      <c r="Q1372" s="8"/>
      <c r="R1372" s="8" t="s">
        <v>633</v>
      </c>
      <c r="S1372" s="2" t="s">
        <v>647</v>
      </c>
      <c r="T1372" s="2">
        <f>IF(C1372=0,0,IF(C1372&gt;=CALL_LOOKUP_BOARD!$B$7,IF(OR(K1372="Problem Call",K1372="Explosive Alert"),10000000,20000000),0)+IF(C1372&gt;=CALL_LOOKUP_BOARD!$B$7,J1372*1000+MIN(C1372,999),C1372*1000+J1372)+0.00989100)</f>
        <v>2024.009891</v>
      </c>
      <c r="U1372" s="2">
        <f>IF(C1372=0,"",IF(COUNTIFS($S$1264:$S$1440,SUBSTITUTE(SUBSTITUTE(SUBSTITUTE(S1372,"~","~~"),"*","~*"),"?","~?"),$T$1264:$T$1440,"&gt;"&amp;T1372)=0,S1372,""))</f>
        <v/>
      </c>
    </row>
    <row r="1373" spans="1:21" ht="38" customHeight="1">
      <c r="A1373" s="8" t="s">
        <v>428</v>
      </c>
      <c r="B1373" s="8" t="s">
        <v>75</v>
      </c>
      <c r="C1373" s="12">
        <f>COUNTIFS('DEF_SELF_SCOUT_IMPORT'!$L$42:$L$1040,"Y",'DEF_SELF_SCOUT_IMPORT'!$E$42:$E$1040,SUBSTITUTE(SUBSTITUTE(SUBSTITUTE($B1373,"~","~~"),"*","~*"),"?","~?"),'DEF_SELF_SCOUT_IMPORT'!$D$42:$D$1040,SUBSTITUTE(SUBSTITUTE(SUBSTITUTE($P1373,"~","~~"),"*","~*"),"?","~?"))</f>
        <v>2</v>
      </c>
      <c r="D1373" s="10">
        <f>IF($C1373=0,"",SUMIFS('DEF_SELF_SCOUT_IMPORT'!$J$42:$J$1040,'DEF_SELF_SCOUT_IMPORT'!$L$42:$L$1040,"Y",'DEF_SELF_SCOUT_IMPORT'!$E$42:$E$1040,SUBSTITUTE(SUBSTITUTE(SUBSTITUTE($B1373,"~","~~"),"*","~*"),"?","~?"),'DEF_SELF_SCOUT_IMPORT'!$D$42:$D$1040,SUBSTITUTE(SUBSTITUTE(SUBSTITUTE($P1373,"~","~~"),"*","~*"),"?","~?"))/$C1373)</f>
        <v>0.5</v>
      </c>
      <c r="E1373" s="10">
        <f>IF($C1373=0,"",SUMIFS('DEF_SELF_SCOUT_IMPORT'!$K$42:$K$1040,'DEF_SELF_SCOUT_IMPORT'!$L$42:$L$1040,"Y",'DEF_SELF_SCOUT_IMPORT'!$E$42:$E$1040,SUBSTITUTE(SUBSTITUTE(SUBSTITUTE($B1373,"~","~~"),"*","~*"),"?","~?"),'DEF_SELF_SCOUT_IMPORT'!$D$42:$D$1040,SUBSTITUTE(SUBSTITUTE(SUBSTITUTE($P1373,"~","~~"),"*","~*"),"?","~?"))/$C1373)</f>
        <v>0.0</v>
      </c>
      <c r="F1373" s="11">
        <f>IF($C1373=0,"",AVERAGEIFS('DEF_SELF_SCOUT_IMPORT'!$I$42:$I$1040,'DEF_SELF_SCOUT_IMPORT'!$L$42:$L$1040,"Y",'DEF_SELF_SCOUT_IMPORT'!$E$42:$E$1040,SUBSTITUTE(SUBSTITUTE(SUBSTITUTE($B1373,"~","~~"),"*","~*"),"?","~?"),'DEF_SELF_SCOUT_IMPORT'!$D$42:$D$1040,SUBSTITUTE(SUBSTITUTE(SUBSTITUTE($P1373,"~","~~"),"*","~*"),"?","~?")))</f>
        <v>4.0</v>
      </c>
      <c r="G1373" s="10">
        <f>IF($C1373=0,"",COUNTIFS('DEF_SELF_SCOUT_IMPORT'!$L$42:$L$1040,"Y",'DEF_SELF_SCOUT_IMPORT'!$E$42:$E$1040,SUBSTITUTE(SUBSTITUTE(SUBSTITUTE($B1373,"~","~~"),"*","~*"),"?","~?"),'DEF_SELF_SCOUT_IMPORT'!$D$42:$D$1040,SUBSTITUTE(SUBSTITUTE(SUBSTITUTE($P1373,"~","~~"),"*","~*"),"?","~?"),'DEF_SELF_SCOUT_IMPORT'!$H$42:$H$1040,"RUSH")/$C1373)</f>
        <v>1.0</v>
      </c>
      <c r="H1373" s="10">
        <f>IF($C1373=0,"",COUNTIFS('DEF_SELF_SCOUT_IMPORT'!$L$42:$L$1040,"Y",'DEF_SELF_SCOUT_IMPORT'!$E$42:$E$1040,SUBSTITUTE(SUBSTITUTE(SUBSTITUTE($B1373,"~","~~"),"*","~*"),"?","~?"),'DEF_SELF_SCOUT_IMPORT'!$D$42:$D$1040,SUBSTITUTE(SUBSTITUTE(SUBSTITUTE($P1373,"~","~~"),"*","~*"),"?","~?"),'DEF_SELF_SCOUT_IMPORT'!$H$42:$H$1040,"DROPBACK")/$C1373)</f>
        <v>0.0</v>
      </c>
      <c r="I1373" s="14" t="str">
        <f>IF(C1373=0,"",IF(C1373&lt;=2,"TRACK",IF(C1373=3,"LOW",IF(C1373&lt;=6,"MEDIUM","HIGH"))))</f>
        <v>TRACK</v>
      </c>
      <c r="J1373" s="11">
        <f>IF(C1373=0,"",ROUND(D1373*70+(1-E1373)*20+MAX(0,MIN(1,(10-F1373)/10))*10,1))</f>
        <v>61.0</v>
      </c>
      <c r="K1373" s="14" t="str">
        <f>IF(C1373=0,"No Evidence",IF(C1373&lt;=2,IF(E1373&gt;0,"Explosive Alert","Track Only"),IF(C1373=3,"Sample Watch",IF(E1373&gt;=START_HERE!$B$31,"Explosive Alert",IF(J1373&gt;=80,"Strong Candidate",IF(J1373&gt;=65,"Good Candidate",IF(J1373&gt;=50,"Mixed / Review","Problem Call")))))))</f>
        <v>Track Only</v>
      </c>
      <c r="L1373" s="9" t="str">
        <f>IF(COUNTIFS('DEF_SELF_SCOUT_IMPORT'!$L$42:$L$1040,"Y",'DEF_SELF_SCOUT_IMPORT'!$E$42:$E$1040,SUBSTITUTE(SUBSTITUTE(SUBSTITUTE($B1373,"~","~~"),"*","~*"),"?","~?"),'DEF_SELF_SCOUT_IMPORT'!$D$42:$D$1040,SUBSTITUTE(SUBSTITUTE(SUBSTITUTE($P1373,"~","~~"),"*","~*"),"?","~?"),'DEF_SELF_SCOUT_IMPORT'!$J$42:$J$1040,"")&gt;0,"Unscored clean outcome; review result tags before using score.",IF(C1373=0,"No matching defensive reps; film confirmation needed.",IF(K1373="Explosive Alert","Explosive risk; review clips before using as answer.",IF(C1373&lt;=2,"Track only; not enough sample.",IF(C1373=3,IF(E1373&gt;0,"Sample watch with explosive exposure; review clips and build the sample.",IF(J1373&gt;=65,"Good signal, but sample is limited.","Sample watch; review clips and build the sample.")),IF(K1373="Problem Call","Problem area; practice or call-sheet review.",IF(K1373="Strong Candidate","Strong call-fit candidate; confirm on film.",IF(K1373="Good Candidate","Good call-fit signal; confirm on film.","Mixed signal; review fit and execution on film."))))))))</f>
        <v>Track only; not enough sample.</v>
      </c>
      <c r="M1373" s="8"/>
      <c r="N1373" s="8"/>
      <c r="O1373" s="8"/>
      <c r="P1373" s="8" t="s">
        <v>428</v>
      </c>
      <c r="Q1373" s="8"/>
      <c r="R1373" s="8" t="s">
        <v>633</v>
      </c>
      <c r="S1373" s="2" t="s">
        <v>647</v>
      </c>
      <c r="T1373" s="2">
        <f>IF(C1373=0,0,IF(C1373&gt;=CALL_LOOKUP_BOARD!$B$7,IF(OR(K1373="Problem Call",K1373="Explosive Alert"),10000000,20000000),0)+IF(C1373&gt;=CALL_LOOKUP_BOARD!$B$7,J1373*1000+MIN(C1373,999),C1373*1000+J1373)+0.00989000)</f>
        <v>2061.00989</v>
      </c>
      <c r="U1373" s="2">
        <f>IF(C1373=0,"",IF(COUNTIFS($S$1264:$S$1440,SUBSTITUTE(SUBSTITUTE(SUBSTITUTE(S1373,"~","~~"),"*","~*"),"?","~?"),$T$1264:$T$1440,"&gt;"&amp;T1373)=0,S1373,""))</f>
        <v/>
      </c>
    </row>
    <row r="1374" spans="1:21" ht="38" customHeight="1">
      <c r="A1374" s="8" t="s">
        <v>428</v>
      </c>
      <c r="B1374" s="8" t="s">
        <v>69</v>
      </c>
      <c r="C1374" s="12">
        <f>COUNTIFS('DEF_SELF_SCOUT_IMPORT'!$L$42:$L$1040,"Y",'DEF_SELF_SCOUT_IMPORT'!$E$42:$E$1040,SUBSTITUTE(SUBSTITUTE(SUBSTITUTE($B1374,"~","~~"),"*","~*"),"?","~?"),'DEF_SELF_SCOUT_IMPORT'!$D$42:$D$1040,SUBSTITUTE(SUBSTITUTE(SUBSTITUTE($P1374,"~","~~"),"*","~*"),"?","~?"))</f>
        <v>4</v>
      </c>
      <c r="D1374" s="10">
        <f>IF($C1374=0,"",SUMIFS('DEF_SELF_SCOUT_IMPORT'!$J$42:$J$1040,'DEF_SELF_SCOUT_IMPORT'!$L$42:$L$1040,"Y",'DEF_SELF_SCOUT_IMPORT'!$E$42:$E$1040,SUBSTITUTE(SUBSTITUTE(SUBSTITUTE($B1374,"~","~~"),"*","~*"),"?","~?"),'DEF_SELF_SCOUT_IMPORT'!$D$42:$D$1040,SUBSTITUTE(SUBSTITUTE(SUBSTITUTE($P1374,"~","~~"),"*","~*"),"?","~?"))/$C1374)</f>
        <v>0.75</v>
      </c>
      <c r="E1374" s="10">
        <f>IF($C1374=0,"",SUMIFS('DEF_SELF_SCOUT_IMPORT'!$K$42:$K$1040,'DEF_SELF_SCOUT_IMPORT'!$L$42:$L$1040,"Y",'DEF_SELF_SCOUT_IMPORT'!$E$42:$E$1040,SUBSTITUTE(SUBSTITUTE(SUBSTITUTE($B1374,"~","~~"),"*","~*"),"?","~?"),'DEF_SELF_SCOUT_IMPORT'!$D$42:$D$1040,SUBSTITUTE(SUBSTITUTE(SUBSTITUTE($P1374,"~","~~"),"*","~*"),"?","~?"))/$C1374)</f>
        <v>0.25</v>
      </c>
      <c r="F1374" s="11">
        <f>IF($C1374=0,"",AVERAGEIFS('DEF_SELF_SCOUT_IMPORT'!$I$42:$I$1040,'DEF_SELF_SCOUT_IMPORT'!$L$42:$L$1040,"Y",'DEF_SELF_SCOUT_IMPORT'!$E$42:$E$1040,SUBSTITUTE(SUBSTITUTE(SUBSTITUTE($B1374,"~","~~"),"*","~*"),"?","~?"),'DEF_SELF_SCOUT_IMPORT'!$D$42:$D$1040,SUBSTITUTE(SUBSTITUTE(SUBSTITUTE($P1374,"~","~~"),"*","~*"),"?","~?")))</f>
        <v>5.25</v>
      </c>
      <c r="G1374" s="10">
        <f>IF($C1374=0,"",COUNTIFS('DEF_SELF_SCOUT_IMPORT'!$L$42:$L$1040,"Y",'DEF_SELF_SCOUT_IMPORT'!$E$42:$E$1040,SUBSTITUTE(SUBSTITUTE(SUBSTITUTE($B1374,"~","~~"),"*","~*"),"?","~?"),'DEF_SELF_SCOUT_IMPORT'!$D$42:$D$1040,SUBSTITUTE(SUBSTITUTE(SUBSTITUTE($P1374,"~","~~"),"*","~*"),"?","~?"),'DEF_SELF_SCOUT_IMPORT'!$H$42:$H$1040,"RUSH")/$C1374)</f>
        <v>1.0</v>
      </c>
      <c r="H1374" s="10">
        <f>IF($C1374=0,"",COUNTIFS('DEF_SELF_SCOUT_IMPORT'!$L$42:$L$1040,"Y",'DEF_SELF_SCOUT_IMPORT'!$E$42:$E$1040,SUBSTITUTE(SUBSTITUTE(SUBSTITUTE($B1374,"~","~~"),"*","~*"),"?","~?"),'DEF_SELF_SCOUT_IMPORT'!$D$42:$D$1040,SUBSTITUTE(SUBSTITUTE(SUBSTITUTE($P1374,"~","~~"),"*","~*"),"?","~?"),'DEF_SELF_SCOUT_IMPORT'!$H$42:$H$1040,"DROPBACK")/$C1374)</f>
        <v>0.0</v>
      </c>
      <c r="I1374" s="14" t="str">
        <f>IF(C1374=0,"",IF(C1374&lt;=2,"TRACK",IF(C1374=3,"LOW",IF(C1374&lt;=6,"MEDIUM","HIGH"))))</f>
        <v>MEDIUM</v>
      </c>
      <c r="J1374" s="11">
        <f>IF(C1374=0,"",ROUND(D1374*70+(1-E1374)*20+MAX(0,MIN(1,(10-F1374)/10))*10,1))</f>
        <v>72.3</v>
      </c>
      <c r="K1374" s="14" t="str">
        <f>IF(C1374=0,"No Evidence",IF(C1374&lt;=2,IF(E1374&gt;0,"Explosive Alert","Track Only"),IF(C1374=3,"Sample Watch",IF(E1374&gt;=START_HERE!$B$31,"Explosive Alert",IF(J1374&gt;=80,"Strong Candidate",IF(J1374&gt;=65,"Good Candidate",IF(J1374&gt;=50,"Mixed / Review","Problem Call")))))))</f>
        <v>Explosive Alert</v>
      </c>
      <c r="L1374" s="9" t="str">
        <f>IF(COUNTIFS('DEF_SELF_SCOUT_IMPORT'!$L$42:$L$1040,"Y",'DEF_SELF_SCOUT_IMPORT'!$E$42:$E$1040,SUBSTITUTE(SUBSTITUTE(SUBSTITUTE($B1374,"~","~~"),"*","~*"),"?","~?"),'DEF_SELF_SCOUT_IMPORT'!$D$42:$D$1040,SUBSTITUTE(SUBSTITUTE(SUBSTITUTE($P1374,"~","~~"),"*","~*"),"?","~?"),'DEF_SELF_SCOUT_IMPORT'!$J$42:$J$1040,"")&gt;0,"Unscored clean outcome; review result tags before using score.",IF(C1374=0,"No matching defensive reps; film confirmation needed.",IF(K1374="Explosive Alert","Explosive risk; review clips before using as answer.",IF(C1374&lt;=2,"Track only; not enough sample.",IF(C1374=3,IF(E1374&gt;0,"Sample watch with explosive exposure; review clips and build the sample.",IF(J1374&gt;=65,"Good signal, but sample is limited.","Sample watch; review clips and build the sample.")),IF(K1374="Problem Call","Problem area; practice or call-sheet review.",IF(K1374="Strong Candidate","Strong call-fit candidate; confirm on film.",IF(K1374="Good Candidate","Good call-fit signal; confirm on film.","Mixed signal; review fit and execution on film."))))))))</f>
        <v>Explosive risk; review clips before using as answer.</v>
      </c>
      <c r="M1374" s="8"/>
      <c r="N1374" s="8"/>
      <c r="O1374" s="8"/>
      <c r="P1374" s="8" t="s">
        <v>428</v>
      </c>
      <c r="Q1374" s="8"/>
      <c r="R1374" s="8" t="s">
        <v>636</v>
      </c>
      <c r="S1374" s="2" t="s">
        <v>647</v>
      </c>
      <c r="T1374" s="2">
        <f>IF(C1374=0,0,IF(C1374&gt;=CALL_LOOKUP_BOARD!$B$7,IF(OR(K1374="Problem Call",K1374="Explosive Alert"),10000000,20000000),0)+IF(C1374&gt;=CALL_LOOKUP_BOARD!$B$7,J1374*1000+MIN(C1374,999),C1374*1000+J1374)+0.00988900)</f>
        <v>10072304.009889</v>
      </c>
      <c r="U1374" s="2">
        <f>IF(C1374=0,"",IF(COUNTIFS($S$1264:$S$1440,SUBSTITUTE(SUBSTITUTE(SUBSTITUTE(S1374,"~","~~"),"*","~*"),"?","~?"),$T$1264:$T$1440,"&gt;"&amp;T1374)=0,S1374,""))</f>
        <v/>
      </c>
    </row>
    <row r="1375" spans="1:21" ht="38" customHeight="1">
      <c r="A1375" s="8" t="s">
        <v>428</v>
      </c>
      <c r="B1375" s="8" t="s">
        <v>91</v>
      </c>
      <c r="C1375" s="12">
        <f>COUNTIFS('DEF_SELF_SCOUT_IMPORT'!$L$42:$L$1040,"Y",'DEF_SELF_SCOUT_IMPORT'!$E$42:$E$1040,SUBSTITUTE(SUBSTITUTE(SUBSTITUTE($B1375,"~","~~"),"*","~*"),"?","~?"),'DEF_SELF_SCOUT_IMPORT'!$D$42:$D$1040,SUBSTITUTE(SUBSTITUTE(SUBSTITUTE($P1375,"~","~~"),"*","~*"),"?","~?"))</f>
        <v>1</v>
      </c>
      <c r="D1375" s="10">
        <f>IF($C1375=0,"",SUMIFS('DEF_SELF_SCOUT_IMPORT'!$J$42:$J$1040,'DEF_SELF_SCOUT_IMPORT'!$L$42:$L$1040,"Y",'DEF_SELF_SCOUT_IMPORT'!$E$42:$E$1040,SUBSTITUTE(SUBSTITUTE(SUBSTITUTE($B1375,"~","~~"),"*","~*"),"?","~?"),'DEF_SELF_SCOUT_IMPORT'!$D$42:$D$1040,SUBSTITUTE(SUBSTITUTE(SUBSTITUTE($P1375,"~","~~"),"*","~*"),"?","~?"))/$C1375)</f>
        <v>0.0</v>
      </c>
      <c r="E1375" s="10">
        <f>IF($C1375=0,"",SUMIFS('DEF_SELF_SCOUT_IMPORT'!$K$42:$K$1040,'DEF_SELF_SCOUT_IMPORT'!$L$42:$L$1040,"Y",'DEF_SELF_SCOUT_IMPORT'!$E$42:$E$1040,SUBSTITUTE(SUBSTITUTE(SUBSTITUTE($B1375,"~","~~"),"*","~*"),"?","~?"),'DEF_SELF_SCOUT_IMPORT'!$D$42:$D$1040,SUBSTITUTE(SUBSTITUTE(SUBSTITUTE($P1375,"~","~~"),"*","~*"),"?","~?"))/$C1375)</f>
        <v>0.0</v>
      </c>
      <c r="F1375" s="11">
        <f>IF($C1375=0,"",AVERAGEIFS('DEF_SELF_SCOUT_IMPORT'!$I$42:$I$1040,'DEF_SELF_SCOUT_IMPORT'!$L$42:$L$1040,"Y",'DEF_SELF_SCOUT_IMPORT'!$E$42:$E$1040,SUBSTITUTE(SUBSTITUTE(SUBSTITUTE($B1375,"~","~~"),"*","~*"),"?","~?"),'DEF_SELF_SCOUT_IMPORT'!$D$42:$D$1040,SUBSTITUTE(SUBSTITUTE(SUBSTITUTE($P1375,"~","~~"),"*","~*"),"?","~?")))</f>
        <v>4.0</v>
      </c>
      <c r="G1375" s="10">
        <f>IF($C1375=0,"",COUNTIFS('DEF_SELF_SCOUT_IMPORT'!$L$42:$L$1040,"Y",'DEF_SELF_SCOUT_IMPORT'!$E$42:$E$1040,SUBSTITUTE(SUBSTITUTE(SUBSTITUTE($B1375,"~","~~"),"*","~*"),"?","~?"),'DEF_SELF_SCOUT_IMPORT'!$D$42:$D$1040,SUBSTITUTE(SUBSTITUTE(SUBSTITUTE($P1375,"~","~~"),"*","~*"),"?","~?"),'DEF_SELF_SCOUT_IMPORT'!$H$42:$H$1040,"RUSH")/$C1375)</f>
        <v>1.0</v>
      </c>
      <c r="H1375" s="10">
        <f>IF($C1375=0,"",COUNTIFS('DEF_SELF_SCOUT_IMPORT'!$L$42:$L$1040,"Y",'DEF_SELF_SCOUT_IMPORT'!$E$42:$E$1040,SUBSTITUTE(SUBSTITUTE(SUBSTITUTE($B1375,"~","~~"),"*","~*"),"?","~?"),'DEF_SELF_SCOUT_IMPORT'!$D$42:$D$1040,SUBSTITUTE(SUBSTITUTE(SUBSTITUTE($P1375,"~","~~"),"*","~*"),"?","~?"),'DEF_SELF_SCOUT_IMPORT'!$H$42:$H$1040,"DROPBACK")/$C1375)</f>
        <v>0.0</v>
      </c>
      <c r="I1375" s="14" t="str">
        <f>IF(C1375=0,"",IF(C1375&lt;=2,"TRACK",IF(C1375=3,"LOW",IF(C1375&lt;=6,"MEDIUM","HIGH"))))</f>
        <v>TRACK</v>
      </c>
      <c r="J1375" s="11">
        <f>IF(C1375=0,"",ROUND(D1375*70+(1-E1375)*20+MAX(0,MIN(1,(10-F1375)/10))*10,1))</f>
        <v>26.0</v>
      </c>
      <c r="K1375" s="14" t="str">
        <f>IF(C1375=0,"No Evidence",IF(C1375&lt;=2,IF(E1375&gt;0,"Explosive Alert","Track Only"),IF(C1375=3,"Sample Watch",IF(E1375&gt;=START_HERE!$B$31,"Explosive Alert",IF(J1375&gt;=80,"Strong Candidate",IF(J1375&gt;=65,"Good Candidate",IF(J1375&gt;=50,"Mixed / Review","Problem Call")))))))</f>
        <v>Track Only</v>
      </c>
      <c r="L1375" s="9" t="str">
        <f>IF(COUNTIFS('DEF_SELF_SCOUT_IMPORT'!$L$42:$L$1040,"Y",'DEF_SELF_SCOUT_IMPORT'!$E$42:$E$1040,SUBSTITUTE(SUBSTITUTE(SUBSTITUTE($B1375,"~","~~"),"*","~*"),"?","~?"),'DEF_SELF_SCOUT_IMPORT'!$D$42:$D$1040,SUBSTITUTE(SUBSTITUTE(SUBSTITUTE($P1375,"~","~~"),"*","~*"),"?","~?"),'DEF_SELF_SCOUT_IMPORT'!$J$42:$J$1040,"")&gt;0,"Unscored clean outcome; review result tags before using score.",IF(C1375=0,"No matching defensive reps; film confirmation needed.",IF(K1375="Explosive Alert","Explosive risk; review clips before using as answer.",IF(C1375&lt;=2,"Track only; not enough sample.",IF(C1375=3,IF(E1375&gt;0,"Sample watch with explosive exposure; review clips and build the sample.",IF(J1375&gt;=65,"Good signal, but sample is limited.","Sample watch; review clips and build the sample.")),IF(K1375="Problem Call","Problem area; practice or call-sheet review.",IF(K1375="Strong Candidate","Strong call-fit candidate; confirm on film.",IF(K1375="Good Candidate","Good call-fit signal; confirm on film.","Mixed signal; review fit and execution on film."))))))))</f>
        <v>Track only; not enough sample.</v>
      </c>
      <c r="M1375" s="8"/>
      <c r="N1375" s="8"/>
      <c r="O1375" s="8"/>
      <c r="P1375" s="8" t="s">
        <v>428</v>
      </c>
      <c r="Q1375" s="8"/>
      <c r="R1375" s="8" t="s">
        <v>633</v>
      </c>
      <c r="S1375" s="2" t="s">
        <v>647</v>
      </c>
      <c r="T1375" s="2">
        <f>IF(C1375=0,0,IF(C1375&gt;=CALL_LOOKUP_BOARD!$B$7,IF(OR(K1375="Problem Call",K1375="Explosive Alert"),10000000,20000000),0)+IF(C1375&gt;=CALL_LOOKUP_BOARD!$B$7,J1375*1000+MIN(C1375,999),C1375*1000+J1375)+0.00988800)</f>
        <v>1026.009888</v>
      </c>
      <c r="U1375" s="2">
        <f>IF(C1375=0,"",IF(COUNTIFS($S$1264:$S$1440,SUBSTITUTE(SUBSTITUTE(SUBSTITUTE(S1375,"~","~~"),"*","~*"),"?","~?"),$T$1264:$T$1440,"&gt;"&amp;T1375)=0,S1375,""))</f>
        <v/>
      </c>
    </row>
    <row r="1376" spans="1:21" ht="38" customHeight="1">
      <c r="A1376" s="8" t="s">
        <v>435</v>
      </c>
      <c r="B1376" s="8" t="s">
        <v>35</v>
      </c>
      <c r="C1376" s="12">
        <f>COUNTIFS('DEF_SELF_SCOUT_IMPORT'!$L$42:$L$1040,"Y",'DEF_SELF_SCOUT_IMPORT'!$E$42:$E$1040,SUBSTITUTE(SUBSTITUTE(SUBSTITUTE($B1376,"~","~~"),"*","~*"),"?","~?"),'DEF_SELF_SCOUT_IMPORT'!$D$42:$D$1040,SUBSTITUTE(SUBSTITUTE(SUBSTITUTE($P1376,"~","~~"),"*","~*"),"?","~?"))</f>
        <v>1</v>
      </c>
      <c r="D1376" s="10">
        <f>IF($C1376=0,"",SUMIFS('DEF_SELF_SCOUT_IMPORT'!$J$42:$J$1040,'DEF_SELF_SCOUT_IMPORT'!$L$42:$L$1040,"Y",'DEF_SELF_SCOUT_IMPORT'!$E$42:$E$1040,SUBSTITUTE(SUBSTITUTE(SUBSTITUTE($B1376,"~","~~"),"*","~*"),"?","~?"),'DEF_SELF_SCOUT_IMPORT'!$D$42:$D$1040,SUBSTITUTE(SUBSTITUTE(SUBSTITUTE($P1376,"~","~~"),"*","~*"),"?","~?"))/$C1376)</f>
        <v>0.0</v>
      </c>
      <c r="E1376" s="10">
        <f>IF($C1376=0,"",SUMIFS('DEF_SELF_SCOUT_IMPORT'!$K$42:$K$1040,'DEF_SELF_SCOUT_IMPORT'!$L$42:$L$1040,"Y",'DEF_SELF_SCOUT_IMPORT'!$E$42:$E$1040,SUBSTITUTE(SUBSTITUTE(SUBSTITUTE($B1376,"~","~~"),"*","~*"),"?","~?"),'DEF_SELF_SCOUT_IMPORT'!$D$42:$D$1040,SUBSTITUTE(SUBSTITUTE(SUBSTITUTE($P1376,"~","~~"),"*","~*"),"?","~?"))/$C1376)</f>
        <v>0.0</v>
      </c>
      <c r="F1376" s="11">
        <f>IF($C1376=0,"",AVERAGEIFS('DEF_SELF_SCOUT_IMPORT'!$I$42:$I$1040,'DEF_SELF_SCOUT_IMPORT'!$L$42:$L$1040,"Y",'DEF_SELF_SCOUT_IMPORT'!$E$42:$E$1040,SUBSTITUTE(SUBSTITUTE(SUBSTITUTE($B1376,"~","~~"),"*","~*"),"?","~?"),'DEF_SELF_SCOUT_IMPORT'!$D$42:$D$1040,SUBSTITUTE(SUBSTITUTE(SUBSTITUTE($P1376,"~","~~"),"*","~*"),"?","~?")))</f>
        <v>9.0</v>
      </c>
      <c r="G1376" s="10">
        <f>IF($C1376=0,"",COUNTIFS('DEF_SELF_SCOUT_IMPORT'!$L$42:$L$1040,"Y",'DEF_SELF_SCOUT_IMPORT'!$E$42:$E$1040,SUBSTITUTE(SUBSTITUTE(SUBSTITUTE($B1376,"~","~~"),"*","~*"),"?","~?"),'DEF_SELF_SCOUT_IMPORT'!$D$42:$D$1040,SUBSTITUTE(SUBSTITUTE(SUBSTITUTE($P1376,"~","~~"),"*","~*"),"?","~?"),'DEF_SELF_SCOUT_IMPORT'!$H$42:$H$1040,"RUSH")/$C1376)</f>
        <v>1.0</v>
      </c>
      <c r="H1376" s="10">
        <f>IF($C1376=0,"",COUNTIFS('DEF_SELF_SCOUT_IMPORT'!$L$42:$L$1040,"Y",'DEF_SELF_SCOUT_IMPORT'!$E$42:$E$1040,SUBSTITUTE(SUBSTITUTE(SUBSTITUTE($B1376,"~","~~"),"*","~*"),"?","~?"),'DEF_SELF_SCOUT_IMPORT'!$D$42:$D$1040,SUBSTITUTE(SUBSTITUTE(SUBSTITUTE($P1376,"~","~~"),"*","~*"),"?","~?"),'DEF_SELF_SCOUT_IMPORT'!$H$42:$H$1040,"DROPBACK")/$C1376)</f>
        <v>0.0</v>
      </c>
      <c r="I1376" s="14" t="str">
        <f>IF(C1376=0,"",IF(C1376&lt;=2,"TRACK",IF(C1376=3,"LOW",IF(C1376&lt;=6,"MEDIUM","HIGH"))))</f>
        <v>TRACK</v>
      </c>
      <c r="J1376" s="11">
        <f>IF(C1376=0,"",ROUND(D1376*70+(1-E1376)*20+MAX(0,MIN(1,(10-F1376)/10))*10,1))</f>
        <v>21.0</v>
      </c>
      <c r="K1376" s="14" t="str">
        <f>IF(C1376=0,"No Evidence",IF(C1376&lt;=2,IF(E1376&gt;0,"Explosive Alert","Track Only"),IF(C1376=3,"Sample Watch",IF(E1376&gt;=START_HERE!$B$31,"Explosive Alert",IF(J1376&gt;=80,"Strong Candidate",IF(J1376&gt;=65,"Good Candidate",IF(J1376&gt;=50,"Mixed / Review","Problem Call")))))))</f>
        <v>Track Only</v>
      </c>
      <c r="L1376" s="9" t="str">
        <f>IF(COUNTIFS('DEF_SELF_SCOUT_IMPORT'!$L$42:$L$1040,"Y",'DEF_SELF_SCOUT_IMPORT'!$E$42:$E$1040,SUBSTITUTE(SUBSTITUTE(SUBSTITUTE($B1376,"~","~~"),"*","~*"),"?","~?"),'DEF_SELF_SCOUT_IMPORT'!$D$42:$D$1040,SUBSTITUTE(SUBSTITUTE(SUBSTITUTE($P1376,"~","~~"),"*","~*"),"?","~?"),'DEF_SELF_SCOUT_IMPORT'!$J$42:$J$1040,"")&gt;0,"Unscored clean outcome; review result tags before using score.",IF(C1376=0,"No matching defensive reps; film confirmation needed.",IF(K1376="Explosive Alert","Explosive risk; review clips before using as answer.",IF(C1376&lt;=2,"Track only; not enough sample.",IF(C1376=3,IF(E1376&gt;0,"Sample watch with explosive exposure; review clips and build the sample.",IF(J1376&gt;=65,"Good signal, but sample is limited.","Sample watch; review clips and build the sample.")),IF(K1376="Problem Call","Problem area; practice or call-sheet review.",IF(K1376="Strong Candidate","Strong call-fit candidate; confirm on film.",IF(K1376="Good Candidate","Good call-fit signal; confirm on film.","Mixed signal; review fit and execution on film."))))))))</f>
        <v>Track only; not enough sample.</v>
      </c>
      <c r="M1376" s="8"/>
      <c r="N1376" s="8"/>
      <c r="O1376" s="8"/>
      <c r="P1376" s="8" t="s">
        <v>435</v>
      </c>
      <c r="Q1376" s="8"/>
      <c r="R1376" s="8" t="s">
        <v>633</v>
      </c>
      <c r="S1376" s="2" t="s">
        <v>648</v>
      </c>
      <c r="T1376" s="2">
        <f>IF(C1376=0,0,IF(C1376&gt;=CALL_LOOKUP_BOARD!$B$7,IF(OR(K1376="Problem Call",K1376="Explosive Alert"),10000000,20000000),0)+IF(C1376&gt;=CALL_LOOKUP_BOARD!$B$7,J1376*1000+MIN(C1376,999),C1376*1000+J1376)+0.00988700)</f>
        <v>1021.009887</v>
      </c>
      <c r="U1376" s="2" t="str">
        <f>IF(C1376=0,"",IF(COUNTIFS($S$1264:$S$1440,SUBSTITUTE(SUBSTITUTE(SUBSTITUTE(S1376,"~","~~"),"*","~*"),"?","~?"),$T$1264:$T$1440,"&gt;"&amp;T1376)=0,S1376,""))</f>
        <v>3:MAN|</v>
      </c>
    </row>
    <row r="1377" spans="1:21" ht="38" customHeight="1">
      <c r="A1377" s="8" t="s">
        <v>574</v>
      </c>
      <c r="B1377" s="8" t="s">
        <v>95</v>
      </c>
      <c r="C1377" s="12">
        <f>COUNTIFS('DEF_SELF_SCOUT_IMPORT'!$L$42:$L$1040,"Y",'DEF_SELF_SCOUT_IMPORT'!$E$42:$E$1040,SUBSTITUTE(SUBSTITUTE(SUBSTITUTE($B1377,"~","~~"),"*","~*"),"?","~?"),'DEF_SELF_SCOUT_IMPORT'!$D$42:$D$1040,SUBSTITUTE(SUBSTITUTE(SUBSTITUTE($P1377,"~","~~"),"*","~*"),"?","~?"))</f>
        <v>1</v>
      </c>
      <c r="D1377" s="10">
        <f>IF($C1377=0,"",SUMIFS('DEF_SELF_SCOUT_IMPORT'!$J$42:$J$1040,'DEF_SELF_SCOUT_IMPORT'!$L$42:$L$1040,"Y",'DEF_SELF_SCOUT_IMPORT'!$E$42:$E$1040,SUBSTITUTE(SUBSTITUTE(SUBSTITUTE($B1377,"~","~~"),"*","~*"),"?","~?"),'DEF_SELF_SCOUT_IMPORT'!$D$42:$D$1040,SUBSTITUTE(SUBSTITUTE(SUBSTITUTE($P1377,"~","~~"),"*","~*"),"?","~?"))/$C1377)</f>
        <v>1.0</v>
      </c>
      <c r="E1377" s="10">
        <f>IF($C1377=0,"",SUMIFS('DEF_SELF_SCOUT_IMPORT'!$K$42:$K$1040,'DEF_SELF_SCOUT_IMPORT'!$L$42:$L$1040,"Y",'DEF_SELF_SCOUT_IMPORT'!$E$42:$E$1040,SUBSTITUTE(SUBSTITUTE(SUBSTITUTE($B1377,"~","~~"),"*","~*"),"?","~?"),'DEF_SELF_SCOUT_IMPORT'!$D$42:$D$1040,SUBSTITUTE(SUBSTITUTE(SUBSTITUTE($P1377,"~","~~"),"*","~*"),"?","~?"))/$C1377)</f>
        <v>0.0</v>
      </c>
      <c r="F1377" s="11">
        <f>IF($C1377=0,"",AVERAGEIFS('DEF_SELF_SCOUT_IMPORT'!$I$42:$I$1040,'DEF_SELF_SCOUT_IMPORT'!$L$42:$L$1040,"Y",'DEF_SELF_SCOUT_IMPORT'!$E$42:$E$1040,SUBSTITUTE(SUBSTITUTE(SUBSTITUTE($B1377,"~","~~"),"*","~*"),"?","~?"),'DEF_SELF_SCOUT_IMPORT'!$D$42:$D$1040,SUBSTITUTE(SUBSTITUTE(SUBSTITUTE($P1377,"~","~~"),"*","~*"),"?","~?")))</f>
        <v>-1.0</v>
      </c>
      <c r="G1377" s="10">
        <f>IF($C1377=0,"",COUNTIFS('DEF_SELF_SCOUT_IMPORT'!$L$42:$L$1040,"Y",'DEF_SELF_SCOUT_IMPORT'!$E$42:$E$1040,SUBSTITUTE(SUBSTITUTE(SUBSTITUTE($B1377,"~","~~"),"*","~*"),"?","~?"),'DEF_SELF_SCOUT_IMPORT'!$D$42:$D$1040,SUBSTITUTE(SUBSTITUTE(SUBSTITUTE($P1377,"~","~~"),"*","~*"),"?","~?"),'DEF_SELF_SCOUT_IMPORT'!$H$42:$H$1040,"RUSH")/$C1377)</f>
        <v>1.0</v>
      </c>
      <c r="H1377" s="10">
        <f>IF($C1377=0,"",COUNTIFS('DEF_SELF_SCOUT_IMPORT'!$L$42:$L$1040,"Y",'DEF_SELF_SCOUT_IMPORT'!$E$42:$E$1040,SUBSTITUTE(SUBSTITUTE(SUBSTITUTE($B1377,"~","~~"),"*","~*"),"?","~?"),'DEF_SELF_SCOUT_IMPORT'!$D$42:$D$1040,SUBSTITUTE(SUBSTITUTE(SUBSTITUTE($P1377,"~","~~"),"*","~*"),"?","~?"),'DEF_SELF_SCOUT_IMPORT'!$H$42:$H$1040,"DROPBACK")/$C1377)</f>
        <v>0.0</v>
      </c>
      <c r="I1377" s="14" t="str">
        <f>IF(C1377=0,"",IF(C1377&lt;=2,"TRACK",IF(C1377=3,"LOW",IF(C1377&lt;=6,"MEDIUM","HIGH"))))</f>
        <v>TRACK</v>
      </c>
      <c r="J1377" s="11">
        <f>IF(C1377=0,"",ROUND(D1377*70+(1-E1377)*20+MAX(0,MIN(1,(10-F1377)/10))*10,1))</f>
        <v>100.0</v>
      </c>
      <c r="K1377" s="14" t="str">
        <f>IF(C1377=0,"No Evidence",IF(C1377&lt;=2,IF(E1377&gt;0,"Explosive Alert","Track Only"),IF(C1377=3,"Sample Watch",IF(E1377&gt;=START_HERE!$B$31,"Explosive Alert",IF(J1377&gt;=80,"Strong Candidate",IF(J1377&gt;=65,"Good Candidate",IF(J1377&gt;=50,"Mixed / Review","Problem Call")))))))</f>
        <v>Track Only</v>
      </c>
      <c r="L1377" s="9" t="str">
        <f>IF(COUNTIFS('DEF_SELF_SCOUT_IMPORT'!$L$42:$L$1040,"Y",'DEF_SELF_SCOUT_IMPORT'!$E$42:$E$1040,SUBSTITUTE(SUBSTITUTE(SUBSTITUTE($B1377,"~","~~"),"*","~*"),"?","~?"),'DEF_SELF_SCOUT_IMPORT'!$D$42:$D$1040,SUBSTITUTE(SUBSTITUTE(SUBSTITUTE($P1377,"~","~~"),"*","~*"),"?","~?"),'DEF_SELF_SCOUT_IMPORT'!$J$42:$J$1040,"")&gt;0,"Unscored clean outcome; review result tags before using score.",IF(C1377=0,"No matching defensive reps; film confirmation needed.",IF(K1377="Explosive Alert","Explosive risk; review clips before using as answer.",IF(C1377&lt;=2,"Track only; not enough sample.",IF(C1377=3,IF(E1377&gt;0,"Sample watch with explosive exposure; review clips and build the sample.",IF(J1377&gt;=65,"Good signal, but sample is limited.","Sample watch; review clips and build the sample.")),IF(K1377="Problem Call","Problem area; practice or call-sheet review.",IF(K1377="Strong Candidate","Strong call-fit candidate; confirm on film.",IF(K1377="Good Candidate","Good call-fit signal; confirm on film.","Mixed signal; review fit and execution on film."))))))))</f>
        <v>Track only; not enough sample.</v>
      </c>
      <c r="M1377" s="8"/>
      <c r="N1377" s="8"/>
      <c r="O1377" s="8"/>
      <c r="P1377" s="8" t="s">
        <v>574</v>
      </c>
      <c r="Q1377" s="8"/>
      <c r="R1377" s="8" t="s">
        <v>633</v>
      </c>
      <c r="S1377" s="2" t="s">
        <v>649</v>
      </c>
      <c r="T1377" s="2">
        <f>IF(C1377=0,0,IF(C1377&gt;=CALL_LOOKUP_BOARD!$B$7,IF(OR(K1377="Problem Call",K1377="Explosive Alert"),10000000,20000000),0)+IF(C1377&gt;=CALL_LOOKUP_BOARD!$B$7,J1377*1000+MIN(C1377,999),C1377*1000+J1377)+0.00988600)</f>
        <v>1100.009886</v>
      </c>
      <c r="U1377" s="2" t="str">
        <f>IF(C1377=0,"",IF(COUNTIFS($S$1264:$S$1440,SUBSTITUTE(SUBSTITUTE(SUBSTITUTE(S1377,"~","~~"),"*","~*"),"?","~?"),$T$1264:$T$1440,"&gt;"&amp;T1377)=0,S1377,""))</f>
        <v>6:OPTION|</v>
      </c>
    </row>
    <row r="1378" spans="1:21" ht="38" customHeight="1">
      <c r="A1378" s="8" t="s">
        <v>465</v>
      </c>
      <c r="B1378" s="8" t="s">
        <v>27</v>
      </c>
      <c r="C1378" s="12">
        <f>COUNTIFS('DEF_SELF_SCOUT_IMPORT'!$L$42:$L$1040,"Y",'DEF_SELF_SCOUT_IMPORT'!$E$42:$E$1040,SUBSTITUTE(SUBSTITUTE(SUBSTITUTE($B1378,"~","~~"),"*","~*"),"?","~?"),'DEF_SELF_SCOUT_IMPORT'!$D$42:$D$1040,SUBSTITUTE(SUBSTITUTE(SUBSTITUTE($P1378,"~","~~"),"*","~*"),"?","~?"))</f>
        <v>2</v>
      </c>
      <c r="D1378" s="10">
        <f>IF($C1378=0,"",SUMIFS('DEF_SELF_SCOUT_IMPORT'!$J$42:$J$1040,'DEF_SELF_SCOUT_IMPORT'!$L$42:$L$1040,"Y",'DEF_SELF_SCOUT_IMPORT'!$E$42:$E$1040,SUBSTITUTE(SUBSTITUTE(SUBSTITUTE($B1378,"~","~~"),"*","~*"),"?","~?"),'DEF_SELF_SCOUT_IMPORT'!$D$42:$D$1040,SUBSTITUTE(SUBSTITUTE(SUBSTITUTE($P1378,"~","~~"),"*","~*"),"?","~?"))/$C1378)</f>
        <v>1.0</v>
      </c>
      <c r="E1378" s="10">
        <f>IF($C1378=0,"",SUMIFS('DEF_SELF_SCOUT_IMPORT'!$K$42:$K$1040,'DEF_SELF_SCOUT_IMPORT'!$L$42:$L$1040,"Y",'DEF_SELF_SCOUT_IMPORT'!$E$42:$E$1040,SUBSTITUTE(SUBSTITUTE(SUBSTITUTE($B1378,"~","~~"),"*","~*"),"?","~?"),'DEF_SELF_SCOUT_IMPORT'!$D$42:$D$1040,SUBSTITUTE(SUBSTITUTE(SUBSTITUTE($P1378,"~","~~"),"*","~*"),"?","~?"))/$C1378)</f>
        <v>0.0</v>
      </c>
      <c r="F1378" s="11">
        <f>IF($C1378=0,"",AVERAGEIFS('DEF_SELF_SCOUT_IMPORT'!$I$42:$I$1040,'DEF_SELF_SCOUT_IMPORT'!$L$42:$L$1040,"Y",'DEF_SELF_SCOUT_IMPORT'!$E$42:$E$1040,SUBSTITUTE(SUBSTITUTE(SUBSTITUTE($B1378,"~","~~"),"*","~*"),"?","~?"),'DEF_SELF_SCOUT_IMPORT'!$D$42:$D$1040,SUBSTITUTE(SUBSTITUTE(SUBSTITUTE($P1378,"~","~~"),"*","~*"),"?","~?")))</f>
        <v>1.5</v>
      </c>
      <c r="G1378" s="10">
        <f>IF($C1378=0,"",COUNTIFS('DEF_SELF_SCOUT_IMPORT'!$L$42:$L$1040,"Y",'DEF_SELF_SCOUT_IMPORT'!$E$42:$E$1040,SUBSTITUTE(SUBSTITUTE(SUBSTITUTE($B1378,"~","~~"),"*","~*"),"?","~?"),'DEF_SELF_SCOUT_IMPORT'!$D$42:$D$1040,SUBSTITUTE(SUBSTITUTE(SUBSTITUTE($P1378,"~","~~"),"*","~*"),"?","~?"),'DEF_SELF_SCOUT_IMPORT'!$H$42:$H$1040,"RUSH")/$C1378)</f>
        <v>1.0</v>
      </c>
      <c r="H1378" s="10">
        <f>IF($C1378=0,"",COUNTIFS('DEF_SELF_SCOUT_IMPORT'!$L$42:$L$1040,"Y",'DEF_SELF_SCOUT_IMPORT'!$E$42:$E$1040,SUBSTITUTE(SUBSTITUTE(SUBSTITUTE($B1378,"~","~~"),"*","~*"),"?","~?"),'DEF_SELF_SCOUT_IMPORT'!$D$42:$D$1040,SUBSTITUTE(SUBSTITUTE(SUBSTITUTE($P1378,"~","~~"),"*","~*"),"?","~?"),'DEF_SELF_SCOUT_IMPORT'!$H$42:$H$1040,"DROPBACK")/$C1378)</f>
        <v>0.0</v>
      </c>
      <c r="I1378" s="14" t="str">
        <f>IF(C1378=0,"",IF(C1378&lt;=2,"TRACK",IF(C1378=3,"LOW",IF(C1378&lt;=6,"MEDIUM","HIGH"))))</f>
        <v>TRACK</v>
      </c>
      <c r="J1378" s="11">
        <f>IF(C1378=0,"",ROUND(D1378*70+(1-E1378)*20+MAX(0,MIN(1,(10-F1378)/10))*10,1))</f>
        <v>98.5</v>
      </c>
      <c r="K1378" s="14" t="str">
        <f>IF(C1378=0,"No Evidence",IF(C1378&lt;=2,IF(E1378&gt;0,"Explosive Alert","Track Only"),IF(C1378=3,"Sample Watch",IF(E1378&gt;=START_HERE!$B$31,"Explosive Alert",IF(J1378&gt;=80,"Strong Candidate",IF(J1378&gt;=65,"Good Candidate",IF(J1378&gt;=50,"Mixed / Review","Problem Call")))))))</f>
        <v>Track Only</v>
      </c>
      <c r="L1378" s="9" t="str">
        <f>IF(COUNTIFS('DEF_SELF_SCOUT_IMPORT'!$L$42:$L$1040,"Y",'DEF_SELF_SCOUT_IMPORT'!$E$42:$E$1040,SUBSTITUTE(SUBSTITUTE(SUBSTITUTE($B1378,"~","~~"),"*","~*"),"?","~?"),'DEF_SELF_SCOUT_IMPORT'!$D$42:$D$1040,SUBSTITUTE(SUBSTITUTE(SUBSTITUTE($P1378,"~","~~"),"*","~*"),"?","~?"),'DEF_SELF_SCOUT_IMPORT'!$J$42:$J$1040,"")&gt;0,"Unscored clean outcome; review result tags before using score.",IF(C1378=0,"No matching defensive reps; film confirmation needed.",IF(K1378="Explosive Alert","Explosive risk; review clips before using as answer.",IF(C1378&lt;=2,"Track only; not enough sample.",IF(C1378=3,IF(E1378&gt;0,"Sample watch with explosive exposure; review clips and build the sample.",IF(J1378&gt;=65,"Good signal, but sample is limited.","Sample watch; review clips and build the sample.")),IF(K1378="Problem Call","Problem area; practice or call-sheet review.",IF(K1378="Strong Candidate","Strong call-fit candidate; confirm on film.",IF(K1378="Good Candidate","Good call-fit signal; confirm on film.","Mixed signal; review fit and execution on film."))))))))</f>
        <v>Track only; not enough sample.</v>
      </c>
      <c r="M1378" s="8"/>
      <c r="N1378" s="8"/>
      <c r="O1378" s="8"/>
      <c r="P1378" s="8" t="s">
        <v>465</v>
      </c>
      <c r="Q1378" s="8"/>
      <c r="R1378" s="8" t="s">
        <v>633</v>
      </c>
      <c r="S1378" s="2" t="s">
        <v>650</v>
      </c>
      <c r="T1378" s="2">
        <f>IF(C1378=0,0,IF(C1378&gt;=CALL_LOOKUP_BOARD!$B$7,IF(OR(K1378="Problem Call",K1378="Explosive Alert"),10000000,20000000),0)+IF(C1378&gt;=CALL_LOOKUP_BOARD!$B$7,J1378*1000+MIN(C1378,999),C1378*1000+J1378)+0.00988500)</f>
        <v>2098.509885</v>
      </c>
      <c r="U1378" s="2">
        <f>IF(C1378=0,"",IF(COUNTIFS($S$1264:$S$1440,SUBSTITUTE(SUBSTITUTE(SUBSTITUTE(S1378,"~","~~"),"*","~*"),"?","~?"),$T$1264:$T$1440,"&gt;"&amp;T1378)=0,S1378,""))</f>
        <v/>
      </c>
    </row>
    <row r="1379" spans="1:21" ht="38" customHeight="1">
      <c r="A1379" s="8" t="s">
        <v>465</v>
      </c>
      <c r="B1379" s="8" t="s">
        <v>32</v>
      </c>
      <c r="C1379" s="12">
        <f>COUNTIFS('DEF_SELF_SCOUT_IMPORT'!$L$42:$L$1040,"Y",'DEF_SELF_SCOUT_IMPORT'!$E$42:$E$1040,SUBSTITUTE(SUBSTITUTE(SUBSTITUTE($B1379,"~","~~"),"*","~*"),"?","~?"),'DEF_SELF_SCOUT_IMPORT'!$D$42:$D$1040,SUBSTITUTE(SUBSTITUTE(SUBSTITUTE($P1379,"~","~~"),"*","~*"),"?","~?"))</f>
        <v>1</v>
      </c>
      <c r="D1379" s="10">
        <f>IF($C1379=0,"",SUMIFS('DEF_SELF_SCOUT_IMPORT'!$J$42:$J$1040,'DEF_SELF_SCOUT_IMPORT'!$L$42:$L$1040,"Y",'DEF_SELF_SCOUT_IMPORT'!$E$42:$E$1040,SUBSTITUTE(SUBSTITUTE(SUBSTITUTE($B1379,"~","~~"),"*","~*"),"?","~?"),'DEF_SELF_SCOUT_IMPORT'!$D$42:$D$1040,SUBSTITUTE(SUBSTITUTE(SUBSTITUTE($P1379,"~","~~"),"*","~*"),"?","~?"))/$C1379)</f>
        <v>0.0</v>
      </c>
      <c r="E1379" s="10">
        <f>IF($C1379=0,"",SUMIFS('DEF_SELF_SCOUT_IMPORT'!$K$42:$K$1040,'DEF_SELF_SCOUT_IMPORT'!$L$42:$L$1040,"Y",'DEF_SELF_SCOUT_IMPORT'!$E$42:$E$1040,SUBSTITUTE(SUBSTITUTE(SUBSTITUTE($B1379,"~","~~"),"*","~*"),"?","~?"),'DEF_SELF_SCOUT_IMPORT'!$D$42:$D$1040,SUBSTITUTE(SUBSTITUTE(SUBSTITUTE($P1379,"~","~~"),"*","~*"),"?","~?"))/$C1379)</f>
        <v>1.0</v>
      </c>
      <c r="F1379" s="11">
        <f>IF($C1379=0,"",AVERAGEIFS('DEF_SELF_SCOUT_IMPORT'!$I$42:$I$1040,'DEF_SELF_SCOUT_IMPORT'!$L$42:$L$1040,"Y",'DEF_SELF_SCOUT_IMPORT'!$E$42:$E$1040,SUBSTITUTE(SUBSTITUTE(SUBSTITUTE($B1379,"~","~~"),"*","~*"),"?","~?"),'DEF_SELF_SCOUT_IMPORT'!$D$42:$D$1040,SUBSTITUTE(SUBSTITUTE(SUBSTITUTE($P1379,"~","~~"),"*","~*"),"?","~?")))</f>
        <v>16.0</v>
      </c>
      <c r="G1379" s="10">
        <f>IF($C1379=0,"",COUNTIFS('DEF_SELF_SCOUT_IMPORT'!$L$42:$L$1040,"Y",'DEF_SELF_SCOUT_IMPORT'!$E$42:$E$1040,SUBSTITUTE(SUBSTITUTE(SUBSTITUTE($B1379,"~","~~"),"*","~*"),"?","~?"),'DEF_SELF_SCOUT_IMPORT'!$D$42:$D$1040,SUBSTITUTE(SUBSTITUTE(SUBSTITUTE($P1379,"~","~~"),"*","~*"),"?","~?"),'DEF_SELF_SCOUT_IMPORT'!$H$42:$H$1040,"RUSH")/$C1379)</f>
        <v>1.0</v>
      </c>
      <c r="H1379" s="10">
        <f>IF($C1379=0,"",COUNTIFS('DEF_SELF_SCOUT_IMPORT'!$L$42:$L$1040,"Y",'DEF_SELF_SCOUT_IMPORT'!$E$42:$E$1040,SUBSTITUTE(SUBSTITUTE(SUBSTITUTE($B1379,"~","~~"),"*","~*"),"?","~?"),'DEF_SELF_SCOUT_IMPORT'!$D$42:$D$1040,SUBSTITUTE(SUBSTITUTE(SUBSTITUTE($P1379,"~","~~"),"*","~*"),"?","~?"),'DEF_SELF_SCOUT_IMPORT'!$H$42:$H$1040,"DROPBACK")/$C1379)</f>
        <v>0.0</v>
      </c>
      <c r="I1379" s="14" t="str">
        <f>IF(C1379=0,"",IF(C1379&lt;=2,"TRACK",IF(C1379=3,"LOW",IF(C1379&lt;=6,"MEDIUM","HIGH"))))</f>
        <v>TRACK</v>
      </c>
      <c r="J1379" s="11">
        <f>IF(C1379=0,"",ROUND(D1379*70+(1-E1379)*20+MAX(0,MIN(1,(10-F1379)/10))*10,1))</f>
        <v>0.0</v>
      </c>
      <c r="K1379" s="14" t="str">
        <f>IF(C1379=0,"No Evidence",IF(C1379&lt;=2,IF(E1379&gt;0,"Explosive Alert","Track Only"),IF(C1379=3,"Sample Watch",IF(E1379&gt;=START_HERE!$B$31,"Explosive Alert",IF(J1379&gt;=80,"Strong Candidate",IF(J1379&gt;=65,"Good Candidate",IF(J1379&gt;=50,"Mixed / Review","Problem Call")))))))</f>
        <v>Explosive Alert</v>
      </c>
      <c r="L1379" s="9" t="str">
        <f>IF(COUNTIFS('DEF_SELF_SCOUT_IMPORT'!$L$42:$L$1040,"Y",'DEF_SELF_SCOUT_IMPORT'!$E$42:$E$1040,SUBSTITUTE(SUBSTITUTE(SUBSTITUTE($B1379,"~","~~"),"*","~*"),"?","~?"),'DEF_SELF_SCOUT_IMPORT'!$D$42:$D$1040,SUBSTITUTE(SUBSTITUTE(SUBSTITUTE($P1379,"~","~~"),"*","~*"),"?","~?"),'DEF_SELF_SCOUT_IMPORT'!$J$42:$J$1040,"")&gt;0,"Unscored clean outcome; review result tags before using score.",IF(C1379=0,"No matching defensive reps; film confirmation needed.",IF(K1379="Explosive Alert","Explosive risk; review clips before using as answer.",IF(C1379&lt;=2,"Track only; not enough sample.",IF(C1379=3,IF(E1379&gt;0,"Sample watch with explosive exposure; review clips and build the sample.",IF(J1379&gt;=65,"Good signal, but sample is limited.","Sample watch; review clips and build the sample.")),IF(K1379="Problem Call","Problem area; practice or call-sheet review.",IF(K1379="Strong Candidate","Strong call-fit candidate; confirm on film.",IF(K1379="Good Candidate","Good call-fit signal; confirm on film.","Mixed signal; review fit and execution on film."))))))))</f>
        <v>Explosive risk; review clips before using as answer.</v>
      </c>
      <c r="M1379" s="8"/>
      <c r="N1379" s="8"/>
      <c r="O1379" s="8"/>
      <c r="P1379" s="8" t="s">
        <v>465</v>
      </c>
      <c r="Q1379" s="8"/>
      <c r="R1379" s="8" t="s">
        <v>633</v>
      </c>
      <c r="S1379" s="2" t="s">
        <v>650</v>
      </c>
      <c r="T1379" s="2">
        <f>IF(C1379=0,0,IF(C1379&gt;=CALL_LOOKUP_BOARD!$B$7,IF(OR(K1379="Problem Call",K1379="Explosive Alert"),10000000,20000000),0)+IF(C1379&gt;=CALL_LOOKUP_BOARD!$B$7,J1379*1000+MIN(C1379,999),C1379*1000+J1379)+0.00988400)</f>
        <v>1000.009884</v>
      </c>
      <c r="U1379" s="2">
        <f>IF(C1379=0,"",IF(COUNTIFS($S$1264:$S$1440,SUBSTITUTE(SUBSTITUTE(SUBSTITUTE(S1379,"~","~~"),"*","~*"),"?","~?"),$T$1264:$T$1440,"&gt;"&amp;T1379)=0,S1379,""))</f>
        <v/>
      </c>
    </row>
    <row r="1380" spans="1:21" ht="38" customHeight="1">
      <c r="A1380" s="8" t="s">
        <v>465</v>
      </c>
      <c r="B1380" s="8" t="s">
        <v>44</v>
      </c>
      <c r="C1380" s="12">
        <f>COUNTIFS('DEF_SELF_SCOUT_IMPORT'!$L$42:$L$1040,"Y",'DEF_SELF_SCOUT_IMPORT'!$E$42:$E$1040,SUBSTITUTE(SUBSTITUTE(SUBSTITUTE($B1380,"~","~~"),"*","~*"),"?","~?"),'DEF_SELF_SCOUT_IMPORT'!$D$42:$D$1040,SUBSTITUTE(SUBSTITUTE(SUBSTITUTE($P1380,"~","~~"),"*","~*"),"?","~?"))</f>
        <v>3</v>
      </c>
      <c r="D1380" s="10">
        <f>IF($C1380=0,"",SUMIFS('DEF_SELF_SCOUT_IMPORT'!$J$42:$J$1040,'DEF_SELF_SCOUT_IMPORT'!$L$42:$L$1040,"Y",'DEF_SELF_SCOUT_IMPORT'!$E$42:$E$1040,SUBSTITUTE(SUBSTITUTE(SUBSTITUTE($B1380,"~","~~"),"*","~*"),"?","~?"),'DEF_SELF_SCOUT_IMPORT'!$D$42:$D$1040,SUBSTITUTE(SUBSTITUTE(SUBSTITUTE($P1380,"~","~~"),"*","~*"),"?","~?"))/$C1380)</f>
        <v>0.3333333333333333</v>
      </c>
      <c r="E1380" s="10">
        <f>IF($C1380=0,"",SUMIFS('DEF_SELF_SCOUT_IMPORT'!$K$42:$K$1040,'DEF_SELF_SCOUT_IMPORT'!$L$42:$L$1040,"Y",'DEF_SELF_SCOUT_IMPORT'!$E$42:$E$1040,SUBSTITUTE(SUBSTITUTE(SUBSTITUTE($B1380,"~","~~"),"*","~*"),"?","~?"),'DEF_SELF_SCOUT_IMPORT'!$D$42:$D$1040,SUBSTITUTE(SUBSTITUTE(SUBSTITUTE($P1380,"~","~~"),"*","~*"),"?","~?"))/$C1380)</f>
        <v>0.0</v>
      </c>
      <c r="F1380" s="11">
        <f>IF($C1380=0,"",AVERAGEIFS('DEF_SELF_SCOUT_IMPORT'!$I$42:$I$1040,'DEF_SELF_SCOUT_IMPORT'!$L$42:$L$1040,"Y",'DEF_SELF_SCOUT_IMPORT'!$E$42:$E$1040,SUBSTITUTE(SUBSTITUTE(SUBSTITUTE($B1380,"~","~~"),"*","~*"),"?","~?"),'DEF_SELF_SCOUT_IMPORT'!$D$42:$D$1040,SUBSTITUTE(SUBSTITUTE(SUBSTITUTE($P1380,"~","~~"),"*","~*"),"?","~?")))</f>
        <v>5.333333333333333</v>
      </c>
      <c r="G1380" s="10">
        <f>IF($C1380=0,"",COUNTIFS('DEF_SELF_SCOUT_IMPORT'!$L$42:$L$1040,"Y",'DEF_SELF_SCOUT_IMPORT'!$E$42:$E$1040,SUBSTITUTE(SUBSTITUTE(SUBSTITUTE($B1380,"~","~~"),"*","~*"),"?","~?"),'DEF_SELF_SCOUT_IMPORT'!$D$42:$D$1040,SUBSTITUTE(SUBSTITUTE(SUBSTITUTE($P1380,"~","~~"),"*","~*"),"?","~?"),'DEF_SELF_SCOUT_IMPORT'!$H$42:$H$1040,"RUSH")/$C1380)</f>
        <v>1.0</v>
      </c>
      <c r="H1380" s="10">
        <f>IF($C1380=0,"",COUNTIFS('DEF_SELF_SCOUT_IMPORT'!$L$42:$L$1040,"Y",'DEF_SELF_SCOUT_IMPORT'!$E$42:$E$1040,SUBSTITUTE(SUBSTITUTE(SUBSTITUTE($B1380,"~","~~"),"*","~*"),"?","~?"),'DEF_SELF_SCOUT_IMPORT'!$D$42:$D$1040,SUBSTITUTE(SUBSTITUTE(SUBSTITUTE($P1380,"~","~~"),"*","~*"),"?","~?"),'DEF_SELF_SCOUT_IMPORT'!$H$42:$H$1040,"DROPBACK")/$C1380)</f>
        <v>0.0</v>
      </c>
      <c r="I1380" s="14" t="str">
        <f>IF(C1380=0,"",IF(C1380&lt;=2,"TRACK",IF(C1380=3,"LOW",IF(C1380&lt;=6,"MEDIUM","HIGH"))))</f>
        <v>LOW</v>
      </c>
      <c r="J1380" s="11">
        <f>IF(C1380=0,"",ROUND(D1380*70+(1-E1380)*20+MAX(0,MIN(1,(10-F1380)/10))*10,1))</f>
        <v>48.0</v>
      </c>
      <c r="K1380" s="14" t="str">
        <f>IF(C1380=0,"No Evidence",IF(C1380&lt;=2,IF(E1380&gt;0,"Explosive Alert","Track Only"),IF(C1380=3,"Sample Watch",IF(E1380&gt;=START_HERE!$B$31,"Explosive Alert",IF(J1380&gt;=80,"Strong Candidate",IF(J1380&gt;=65,"Good Candidate",IF(J1380&gt;=50,"Mixed / Review","Problem Call")))))))</f>
        <v>Sample Watch</v>
      </c>
      <c r="L1380" s="9" t="str">
        <f>IF(COUNTIFS('DEF_SELF_SCOUT_IMPORT'!$L$42:$L$1040,"Y",'DEF_SELF_SCOUT_IMPORT'!$E$42:$E$1040,SUBSTITUTE(SUBSTITUTE(SUBSTITUTE($B1380,"~","~~"),"*","~*"),"?","~?"),'DEF_SELF_SCOUT_IMPORT'!$D$42:$D$1040,SUBSTITUTE(SUBSTITUTE(SUBSTITUTE($P1380,"~","~~"),"*","~*"),"?","~?"),'DEF_SELF_SCOUT_IMPORT'!$J$42:$J$1040,"")&gt;0,"Unscored clean outcome; review result tags before using score.",IF(C1380=0,"No matching defensive reps; film confirmation needed.",IF(K1380="Explosive Alert","Explosive risk; review clips before using as answer.",IF(C1380&lt;=2,"Track only; not enough sample.",IF(C1380=3,IF(E1380&gt;0,"Sample watch with explosive exposure; review clips and build the sample.",IF(J1380&gt;=65,"Good signal, but sample is limited.","Sample watch; review clips and build the sample.")),IF(K1380="Problem Call","Problem area; practice or call-sheet review.",IF(K1380="Strong Candidate","Strong call-fit candidate; confirm on film.",IF(K1380="Good Candidate","Good call-fit signal; confirm on film.","Mixed signal; review fit and execution on film."))))))))</f>
        <v>Sample watch; review clips and build the sample.</v>
      </c>
      <c r="M1380" s="8"/>
      <c r="N1380" s="8"/>
      <c r="O1380" s="8"/>
      <c r="P1380" s="8" t="s">
        <v>465</v>
      </c>
      <c r="Q1380" s="8"/>
      <c r="R1380" s="8" t="s">
        <v>633</v>
      </c>
      <c r="S1380" s="2" t="s">
        <v>650</v>
      </c>
      <c r="T1380" s="2">
        <f>IF(C1380=0,0,IF(C1380&gt;=CALL_LOOKUP_BOARD!$B$7,IF(OR(K1380="Problem Call",K1380="Explosive Alert"),10000000,20000000),0)+IF(C1380&gt;=CALL_LOOKUP_BOARD!$B$7,J1380*1000+MIN(C1380,999),C1380*1000+J1380)+0.00988300)</f>
        <v>3048.009883</v>
      </c>
      <c r="U1380" s="2" t="str">
        <f>IF(C1380=0,"",IF(COUNTIFS($S$1264:$S$1440,SUBSTITUTE(SUBSTITUTE(SUBSTITUTE(S1380,"~","~~"),"*","~*"),"?","~?"),$T$1264:$T$1440,"&gt;"&amp;T1380)=0,S1380,""))</f>
        <v>12:OUTSIDE ZONE|</v>
      </c>
    </row>
    <row r="1381" spans="1:21" ht="38" customHeight="1">
      <c r="A1381" s="8" t="s">
        <v>465</v>
      </c>
      <c r="B1381" s="8" t="s">
        <v>48</v>
      </c>
      <c r="C1381" s="12">
        <f>COUNTIFS('DEF_SELF_SCOUT_IMPORT'!$L$42:$L$1040,"Y",'DEF_SELF_SCOUT_IMPORT'!$E$42:$E$1040,SUBSTITUTE(SUBSTITUTE(SUBSTITUTE($B1381,"~","~~"),"*","~*"),"?","~?"),'DEF_SELF_SCOUT_IMPORT'!$D$42:$D$1040,SUBSTITUTE(SUBSTITUTE(SUBSTITUTE($P1381,"~","~~"),"*","~*"),"?","~?"))</f>
        <v>1</v>
      </c>
      <c r="D1381" s="10">
        <f>IF($C1381=0,"",SUMIFS('DEF_SELF_SCOUT_IMPORT'!$J$42:$J$1040,'DEF_SELF_SCOUT_IMPORT'!$L$42:$L$1040,"Y",'DEF_SELF_SCOUT_IMPORT'!$E$42:$E$1040,SUBSTITUTE(SUBSTITUTE(SUBSTITUTE($B1381,"~","~~"),"*","~*"),"?","~?"),'DEF_SELF_SCOUT_IMPORT'!$D$42:$D$1040,SUBSTITUTE(SUBSTITUTE(SUBSTITUTE($P1381,"~","~~"),"*","~*"),"?","~?"))/$C1381)</f>
        <v>0.0</v>
      </c>
      <c r="E1381" s="10">
        <f>IF($C1381=0,"",SUMIFS('DEF_SELF_SCOUT_IMPORT'!$K$42:$K$1040,'DEF_SELF_SCOUT_IMPORT'!$L$42:$L$1040,"Y",'DEF_SELF_SCOUT_IMPORT'!$E$42:$E$1040,SUBSTITUTE(SUBSTITUTE(SUBSTITUTE($B1381,"~","~~"),"*","~*"),"?","~?"),'DEF_SELF_SCOUT_IMPORT'!$D$42:$D$1040,SUBSTITUTE(SUBSTITUTE(SUBSTITUTE($P1381,"~","~~"),"*","~*"),"?","~?"))/$C1381)</f>
        <v>0.0</v>
      </c>
      <c r="F1381" s="11">
        <f>IF($C1381=0,"",AVERAGEIFS('DEF_SELF_SCOUT_IMPORT'!$I$42:$I$1040,'DEF_SELF_SCOUT_IMPORT'!$L$42:$L$1040,"Y",'DEF_SELF_SCOUT_IMPORT'!$E$42:$E$1040,SUBSTITUTE(SUBSTITUTE(SUBSTITUTE($B1381,"~","~~"),"*","~*"),"?","~?"),'DEF_SELF_SCOUT_IMPORT'!$D$42:$D$1040,SUBSTITUTE(SUBSTITUTE(SUBSTITUTE($P1381,"~","~~"),"*","~*"),"?","~?")))</f>
        <v>11.0</v>
      </c>
      <c r="G1381" s="10">
        <f>IF($C1381=0,"",COUNTIFS('DEF_SELF_SCOUT_IMPORT'!$L$42:$L$1040,"Y",'DEF_SELF_SCOUT_IMPORT'!$E$42:$E$1040,SUBSTITUTE(SUBSTITUTE(SUBSTITUTE($B1381,"~","~~"),"*","~*"),"?","~?"),'DEF_SELF_SCOUT_IMPORT'!$D$42:$D$1040,SUBSTITUTE(SUBSTITUTE(SUBSTITUTE($P1381,"~","~~"),"*","~*"),"?","~?"),'DEF_SELF_SCOUT_IMPORT'!$H$42:$H$1040,"RUSH")/$C1381)</f>
        <v>1.0</v>
      </c>
      <c r="H1381" s="10">
        <f>IF($C1381=0,"",COUNTIFS('DEF_SELF_SCOUT_IMPORT'!$L$42:$L$1040,"Y",'DEF_SELF_SCOUT_IMPORT'!$E$42:$E$1040,SUBSTITUTE(SUBSTITUTE(SUBSTITUTE($B1381,"~","~~"),"*","~*"),"?","~?"),'DEF_SELF_SCOUT_IMPORT'!$D$42:$D$1040,SUBSTITUTE(SUBSTITUTE(SUBSTITUTE($P1381,"~","~~"),"*","~*"),"?","~?"),'DEF_SELF_SCOUT_IMPORT'!$H$42:$H$1040,"DROPBACK")/$C1381)</f>
        <v>0.0</v>
      </c>
      <c r="I1381" s="14" t="str">
        <f>IF(C1381=0,"",IF(C1381&lt;=2,"TRACK",IF(C1381=3,"LOW",IF(C1381&lt;=6,"MEDIUM","HIGH"))))</f>
        <v>TRACK</v>
      </c>
      <c r="J1381" s="11">
        <f>IF(C1381=0,"",ROUND(D1381*70+(1-E1381)*20+MAX(0,MIN(1,(10-F1381)/10))*10,1))</f>
        <v>20.0</v>
      </c>
      <c r="K1381" s="14" t="str">
        <f>IF(C1381=0,"No Evidence",IF(C1381&lt;=2,IF(E1381&gt;0,"Explosive Alert","Track Only"),IF(C1381=3,"Sample Watch",IF(E1381&gt;=START_HERE!$B$31,"Explosive Alert",IF(J1381&gt;=80,"Strong Candidate",IF(J1381&gt;=65,"Good Candidate",IF(J1381&gt;=50,"Mixed / Review","Problem Call")))))))</f>
        <v>Track Only</v>
      </c>
      <c r="L1381" s="9" t="str">
        <f>IF(COUNTIFS('DEF_SELF_SCOUT_IMPORT'!$L$42:$L$1040,"Y",'DEF_SELF_SCOUT_IMPORT'!$E$42:$E$1040,SUBSTITUTE(SUBSTITUTE(SUBSTITUTE($B1381,"~","~~"),"*","~*"),"?","~?"),'DEF_SELF_SCOUT_IMPORT'!$D$42:$D$1040,SUBSTITUTE(SUBSTITUTE(SUBSTITUTE($P1381,"~","~~"),"*","~*"),"?","~?"),'DEF_SELF_SCOUT_IMPORT'!$J$42:$J$1040,"")&gt;0,"Unscored clean outcome; review result tags before using score.",IF(C1381=0,"No matching defensive reps; film confirmation needed.",IF(K1381="Explosive Alert","Explosive risk; review clips before using as answer.",IF(C1381&lt;=2,"Track only; not enough sample.",IF(C1381=3,IF(E1381&gt;0,"Sample watch with explosive exposure; review clips and build the sample.",IF(J1381&gt;=65,"Good signal, but sample is limited.","Sample watch; review clips and build the sample.")),IF(K1381="Problem Call","Problem area; practice or call-sheet review.",IF(K1381="Strong Candidate","Strong call-fit candidate; confirm on film.",IF(K1381="Good Candidate","Good call-fit signal; confirm on film.","Mixed signal; review fit and execution on film."))))))))</f>
        <v>Track only; not enough sample.</v>
      </c>
      <c r="M1381" s="8"/>
      <c r="N1381" s="8"/>
      <c r="O1381" s="8"/>
      <c r="P1381" s="8" t="s">
        <v>465</v>
      </c>
      <c r="Q1381" s="8"/>
      <c r="R1381" s="8" t="s">
        <v>633</v>
      </c>
      <c r="S1381" s="2" t="s">
        <v>650</v>
      </c>
      <c r="T1381" s="2">
        <f>IF(C1381=0,0,IF(C1381&gt;=CALL_LOOKUP_BOARD!$B$7,IF(OR(K1381="Problem Call",K1381="Explosive Alert"),10000000,20000000),0)+IF(C1381&gt;=CALL_LOOKUP_BOARD!$B$7,J1381*1000+MIN(C1381,999),C1381*1000+J1381)+0.00988200)</f>
        <v>1020.009882</v>
      </c>
      <c r="U1381" s="2">
        <f>IF(C1381=0,"",IF(COUNTIFS($S$1264:$S$1440,SUBSTITUTE(SUBSTITUTE(SUBSTITUTE(S1381,"~","~~"),"*","~*"),"?","~?"),$T$1264:$T$1440,"&gt;"&amp;T1381)=0,S1381,""))</f>
        <v/>
      </c>
    </row>
    <row r="1382" spans="1:21" ht="38" customHeight="1">
      <c r="A1382" s="8" t="s">
        <v>465</v>
      </c>
      <c r="B1382" s="8" t="s">
        <v>34</v>
      </c>
      <c r="C1382" s="12">
        <f>COUNTIFS('DEF_SELF_SCOUT_IMPORT'!$L$42:$L$1040,"Y",'DEF_SELF_SCOUT_IMPORT'!$E$42:$E$1040,SUBSTITUTE(SUBSTITUTE(SUBSTITUTE($B1382,"~","~~"),"*","~*"),"?","~?"),'DEF_SELF_SCOUT_IMPORT'!$D$42:$D$1040,SUBSTITUTE(SUBSTITUTE(SUBSTITUTE($P1382,"~","~~"),"*","~*"),"?","~?"))</f>
        <v>2</v>
      </c>
      <c r="D1382" s="10">
        <f>IF($C1382=0,"",SUMIFS('DEF_SELF_SCOUT_IMPORT'!$J$42:$J$1040,'DEF_SELF_SCOUT_IMPORT'!$L$42:$L$1040,"Y",'DEF_SELF_SCOUT_IMPORT'!$E$42:$E$1040,SUBSTITUTE(SUBSTITUTE(SUBSTITUTE($B1382,"~","~~"),"*","~*"),"?","~?"),'DEF_SELF_SCOUT_IMPORT'!$D$42:$D$1040,SUBSTITUTE(SUBSTITUTE(SUBSTITUTE($P1382,"~","~~"),"*","~*"),"?","~?"))/$C1382)</f>
        <v>0.0</v>
      </c>
      <c r="E1382" s="10">
        <f>IF($C1382=0,"",SUMIFS('DEF_SELF_SCOUT_IMPORT'!$K$42:$K$1040,'DEF_SELF_SCOUT_IMPORT'!$L$42:$L$1040,"Y",'DEF_SELF_SCOUT_IMPORT'!$E$42:$E$1040,SUBSTITUTE(SUBSTITUTE(SUBSTITUTE($B1382,"~","~~"),"*","~*"),"?","~?"),'DEF_SELF_SCOUT_IMPORT'!$D$42:$D$1040,SUBSTITUTE(SUBSTITUTE(SUBSTITUTE($P1382,"~","~~"),"*","~*"),"?","~?"))/$C1382)</f>
        <v>0.5</v>
      </c>
      <c r="F1382" s="11">
        <f>IF($C1382=0,"",AVERAGEIFS('DEF_SELF_SCOUT_IMPORT'!$I$42:$I$1040,'DEF_SELF_SCOUT_IMPORT'!$L$42:$L$1040,"Y",'DEF_SELF_SCOUT_IMPORT'!$E$42:$E$1040,SUBSTITUTE(SUBSTITUTE(SUBSTITUTE($B1382,"~","~~"),"*","~*"),"?","~?"),'DEF_SELF_SCOUT_IMPORT'!$D$42:$D$1040,SUBSTITUTE(SUBSTITUTE(SUBSTITUTE($P1382,"~","~~"),"*","~*"),"?","~?")))</f>
        <v>10.5</v>
      </c>
      <c r="G1382" s="10">
        <f>IF($C1382=0,"",COUNTIFS('DEF_SELF_SCOUT_IMPORT'!$L$42:$L$1040,"Y",'DEF_SELF_SCOUT_IMPORT'!$E$42:$E$1040,SUBSTITUTE(SUBSTITUTE(SUBSTITUTE($B1382,"~","~~"),"*","~*"),"?","~?"),'DEF_SELF_SCOUT_IMPORT'!$D$42:$D$1040,SUBSTITUTE(SUBSTITUTE(SUBSTITUTE($P1382,"~","~~"),"*","~*"),"?","~?"),'DEF_SELF_SCOUT_IMPORT'!$H$42:$H$1040,"RUSH")/$C1382)</f>
        <v>1.0</v>
      </c>
      <c r="H1382" s="10">
        <f>IF($C1382=0,"",COUNTIFS('DEF_SELF_SCOUT_IMPORT'!$L$42:$L$1040,"Y",'DEF_SELF_SCOUT_IMPORT'!$E$42:$E$1040,SUBSTITUTE(SUBSTITUTE(SUBSTITUTE($B1382,"~","~~"),"*","~*"),"?","~?"),'DEF_SELF_SCOUT_IMPORT'!$D$42:$D$1040,SUBSTITUTE(SUBSTITUTE(SUBSTITUTE($P1382,"~","~~"),"*","~*"),"?","~?"),'DEF_SELF_SCOUT_IMPORT'!$H$42:$H$1040,"DROPBACK")/$C1382)</f>
        <v>0.0</v>
      </c>
      <c r="I1382" s="14" t="str">
        <f>IF(C1382=0,"",IF(C1382&lt;=2,"TRACK",IF(C1382=3,"LOW",IF(C1382&lt;=6,"MEDIUM","HIGH"))))</f>
        <v>TRACK</v>
      </c>
      <c r="J1382" s="11">
        <f>IF(C1382=0,"",ROUND(D1382*70+(1-E1382)*20+MAX(0,MIN(1,(10-F1382)/10))*10,1))</f>
        <v>10.0</v>
      </c>
      <c r="K1382" s="14" t="str">
        <f>IF(C1382=0,"No Evidence",IF(C1382&lt;=2,IF(E1382&gt;0,"Explosive Alert","Track Only"),IF(C1382=3,"Sample Watch",IF(E1382&gt;=START_HERE!$B$31,"Explosive Alert",IF(J1382&gt;=80,"Strong Candidate",IF(J1382&gt;=65,"Good Candidate",IF(J1382&gt;=50,"Mixed / Review","Problem Call")))))))</f>
        <v>Explosive Alert</v>
      </c>
      <c r="L1382" s="9" t="str">
        <f>IF(COUNTIFS('DEF_SELF_SCOUT_IMPORT'!$L$42:$L$1040,"Y",'DEF_SELF_SCOUT_IMPORT'!$E$42:$E$1040,SUBSTITUTE(SUBSTITUTE(SUBSTITUTE($B1382,"~","~~"),"*","~*"),"?","~?"),'DEF_SELF_SCOUT_IMPORT'!$D$42:$D$1040,SUBSTITUTE(SUBSTITUTE(SUBSTITUTE($P1382,"~","~~"),"*","~*"),"?","~?"),'DEF_SELF_SCOUT_IMPORT'!$J$42:$J$1040,"")&gt;0,"Unscored clean outcome; review result tags before using score.",IF(C1382=0,"No matching defensive reps; film confirmation needed.",IF(K1382="Explosive Alert","Explosive risk; review clips before using as answer.",IF(C1382&lt;=2,"Track only; not enough sample.",IF(C1382=3,IF(E1382&gt;0,"Sample watch with explosive exposure; review clips and build the sample.",IF(J1382&gt;=65,"Good signal, but sample is limited.","Sample watch; review clips and build the sample.")),IF(K1382="Problem Call","Problem area; practice or call-sheet review.",IF(K1382="Strong Candidate","Strong call-fit candidate; confirm on film.",IF(K1382="Good Candidate","Good call-fit signal; confirm on film.","Mixed signal; review fit and execution on film."))))))))</f>
        <v>Explosive risk; review clips before using as answer.</v>
      </c>
      <c r="M1382" s="8"/>
      <c r="N1382" s="8"/>
      <c r="O1382" s="8"/>
      <c r="P1382" s="8" t="s">
        <v>465</v>
      </c>
      <c r="Q1382" s="8"/>
      <c r="R1382" s="8" t="s">
        <v>633</v>
      </c>
      <c r="S1382" s="2" t="s">
        <v>650</v>
      </c>
      <c r="T1382" s="2">
        <f>IF(C1382=0,0,IF(C1382&gt;=CALL_LOOKUP_BOARD!$B$7,IF(OR(K1382="Problem Call",K1382="Explosive Alert"),10000000,20000000),0)+IF(C1382&gt;=CALL_LOOKUP_BOARD!$B$7,J1382*1000+MIN(C1382,999),C1382*1000+J1382)+0.00988100)</f>
        <v>2010.009881</v>
      </c>
      <c r="U1382" s="2">
        <f>IF(C1382=0,"",IF(COUNTIFS($S$1264:$S$1440,SUBSTITUTE(SUBSTITUTE(SUBSTITUTE(S1382,"~","~~"),"*","~*"),"?","~?"),$T$1264:$T$1440,"&gt;"&amp;T1382)=0,S1382,""))</f>
        <v/>
      </c>
    </row>
    <row r="1383" spans="1:21" ht="38" customHeight="1">
      <c r="A1383" s="8" t="s">
        <v>465</v>
      </c>
      <c r="B1383" s="8" t="s">
        <v>80</v>
      </c>
      <c r="C1383" s="12">
        <f>COUNTIFS('DEF_SELF_SCOUT_IMPORT'!$L$42:$L$1040,"Y",'DEF_SELF_SCOUT_IMPORT'!$E$42:$E$1040,SUBSTITUTE(SUBSTITUTE(SUBSTITUTE($B1383,"~","~~"),"*","~*"),"?","~?"),'DEF_SELF_SCOUT_IMPORT'!$D$42:$D$1040,SUBSTITUTE(SUBSTITUTE(SUBSTITUTE($P1383,"~","~~"),"*","~*"),"?","~?"))</f>
        <v>1</v>
      </c>
      <c r="D1383" s="10">
        <f>IF($C1383=0,"",SUMIFS('DEF_SELF_SCOUT_IMPORT'!$J$42:$J$1040,'DEF_SELF_SCOUT_IMPORT'!$L$42:$L$1040,"Y",'DEF_SELF_SCOUT_IMPORT'!$E$42:$E$1040,SUBSTITUTE(SUBSTITUTE(SUBSTITUTE($B1383,"~","~~"),"*","~*"),"?","~?"),'DEF_SELF_SCOUT_IMPORT'!$D$42:$D$1040,SUBSTITUTE(SUBSTITUTE(SUBSTITUTE($P1383,"~","~~"),"*","~*"),"?","~?"))/$C1383)</f>
        <v>0.0</v>
      </c>
      <c r="E1383" s="10">
        <f>IF($C1383=0,"",SUMIFS('DEF_SELF_SCOUT_IMPORT'!$K$42:$K$1040,'DEF_SELF_SCOUT_IMPORT'!$L$42:$L$1040,"Y",'DEF_SELF_SCOUT_IMPORT'!$E$42:$E$1040,SUBSTITUTE(SUBSTITUTE(SUBSTITUTE($B1383,"~","~~"),"*","~*"),"?","~?"),'DEF_SELF_SCOUT_IMPORT'!$D$42:$D$1040,SUBSTITUTE(SUBSTITUTE(SUBSTITUTE($P1383,"~","~~"),"*","~*"),"?","~?"))/$C1383)</f>
        <v>0.0</v>
      </c>
      <c r="F1383" s="11">
        <f>IF($C1383=0,"",AVERAGEIFS('DEF_SELF_SCOUT_IMPORT'!$I$42:$I$1040,'DEF_SELF_SCOUT_IMPORT'!$L$42:$L$1040,"Y",'DEF_SELF_SCOUT_IMPORT'!$E$42:$E$1040,SUBSTITUTE(SUBSTITUTE(SUBSTITUTE($B1383,"~","~~"),"*","~*"),"?","~?"),'DEF_SELF_SCOUT_IMPORT'!$D$42:$D$1040,SUBSTITUTE(SUBSTITUTE(SUBSTITUTE($P1383,"~","~~"),"*","~*"),"?","~?")))</f>
        <v>8.0</v>
      </c>
      <c r="G1383" s="10">
        <f>IF($C1383=0,"",COUNTIFS('DEF_SELF_SCOUT_IMPORT'!$L$42:$L$1040,"Y",'DEF_SELF_SCOUT_IMPORT'!$E$42:$E$1040,SUBSTITUTE(SUBSTITUTE(SUBSTITUTE($B1383,"~","~~"),"*","~*"),"?","~?"),'DEF_SELF_SCOUT_IMPORT'!$D$42:$D$1040,SUBSTITUTE(SUBSTITUTE(SUBSTITUTE($P1383,"~","~~"),"*","~*"),"?","~?"),'DEF_SELF_SCOUT_IMPORT'!$H$42:$H$1040,"RUSH")/$C1383)</f>
        <v>1.0</v>
      </c>
      <c r="H1383" s="10">
        <f>IF($C1383=0,"",COUNTIFS('DEF_SELF_SCOUT_IMPORT'!$L$42:$L$1040,"Y",'DEF_SELF_SCOUT_IMPORT'!$E$42:$E$1040,SUBSTITUTE(SUBSTITUTE(SUBSTITUTE($B1383,"~","~~"),"*","~*"),"?","~?"),'DEF_SELF_SCOUT_IMPORT'!$D$42:$D$1040,SUBSTITUTE(SUBSTITUTE(SUBSTITUTE($P1383,"~","~~"),"*","~*"),"?","~?"),'DEF_SELF_SCOUT_IMPORT'!$H$42:$H$1040,"DROPBACK")/$C1383)</f>
        <v>0.0</v>
      </c>
      <c r="I1383" s="14" t="str">
        <f>IF(C1383=0,"",IF(C1383&lt;=2,"TRACK",IF(C1383=3,"LOW",IF(C1383&lt;=6,"MEDIUM","HIGH"))))</f>
        <v>TRACK</v>
      </c>
      <c r="J1383" s="11">
        <f>IF(C1383=0,"",ROUND(D1383*70+(1-E1383)*20+MAX(0,MIN(1,(10-F1383)/10))*10,1))</f>
        <v>22.0</v>
      </c>
      <c r="K1383" s="14" t="str">
        <f>IF(C1383=0,"No Evidence",IF(C1383&lt;=2,IF(E1383&gt;0,"Explosive Alert","Track Only"),IF(C1383=3,"Sample Watch",IF(E1383&gt;=START_HERE!$B$31,"Explosive Alert",IF(J1383&gt;=80,"Strong Candidate",IF(J1383&gt;=65,"Good Candidate",IF(J1383&gt;=50,"Mixed / Review","Problem Call")))))))</f>
        <v>Track Only</v>
      </c>
      <c r="L1383" s="9" t="str">
        <f>IF(COUNTIFS('DEF_SELF_SCOUT_IMPORT'!$L$42:$L$1040,"Y",'DEF_SELF_SCOUT_IMPORT'!$E$42:$E$1040,SUBSTITUTE(SUBSTITUTE(SUBSTITUTE($B1383,"~","~~"),"*","~*"),"?","~?"),'DEF_SELF_SCOUT_IMPORT'!$D$42:$D$1040,SUBSTITUTE(SUBSTITUTE(SUBSTITUTE($P1383,"~","~~"),"*","~*"),"?","~?"),'DEF_SELF_SCOUT_IMPORT'!$J$42:$J$1040,"")&gt;0,"Unscored clean outcome; review result tags before using score.",IF(C1383=0,"No matching defensive reps; film confirmation needed.",IF(K1383="Explosive Alert","Explosive risk; review clips before using as answer.",IF(C1383&lt;=2,"Track only; not enough sample.",IF(C1383=3,IF(E1383&gt;0,"Sample watch with explosive exposure; review clips and build the sample.",IF(J1383&gt;=65,"Good signal, but sample is limited.","Sample watch; review clips and build the sample.")),IF(K1383="Problem Call","Problem area; practice or call-sheet review.",IF(K1383="Strong Candidate","Strong call-fit candidate; confirm on film.",IF(K1383="Good Candidate","Good call-fit signal; confirm on film.","Mixed signal; review fit and execution on film."))))))))</f>
        <v>Track only; not enough sample.</v>
      </c>
      <c r="M1383" s="8"/>
      <c r="N1383" s="8"/>
      <c r="O1383" s="8"/>
      <c r="P1383" s="8" t="s">
        <v>465</v>
      </c>
      <c r="Q1383" s="8"/>
      <c r="R1383" s="8" t="s">
        <v>633</v>
      </c>
      <c r="S1383" s="2" t="s">
        <v>650</v>
      </c>
      <c r="T1383" s="2">
        <f>IF(C1383=0,0,IF(C1383&gt;=CALL_LOOKUP_BOARD!$B$7,IF(OR(K1383="Problem Call",K1383="Explosive Alert"),10000000,20000000),0)+IF(C1383&gt;=CALL_LOOKUP_BOARD!$B$7,J1383*1000+MIN(C1383,999),C1383*1000+J1383)+0.00988000)</f>
        <v>1022.00988</v>
      </c>
      <c r="U1383" s="2">
        <f>IF(C1383=0,"",IF(COUNTIFS($S$1264:$S$1440,SUBSTITUTE(SUBSTITUTE(SUBSTITUTE(S1383,"~","~~"),"*","~*"),"?","~?"),$T$1264:$T$1440,"&gt;"&amp;T1383)=0,S1383,""))</f>
        <v/>
      </c>
    </row>
    <row r="1384" spans="1:21" ht="38" customHeight="1">
      <c r="A1384" s="8" t="s">
        <v>465</v>
      </c>
      <c r="B1384" s="8" t="s">
        <v>53</v>
      </c>
      <c r="C1384" s="12">
        <f>COUNTIFS('DEF_SELF_SCOUT_IMPORT'!$L$42:$L$1040,"Y",'DEF_SELF_SCOUT_IMPORT'!$E$42:$E$1040,SUBSTITUTE(SUBSTITUTE(SUBSTITUTE($B1384,"~","~~"),"*","~*"),"?","~?"),'DEF_SELF_SCOUT_IMPORT'!$D$42:$D$1040,SUBSTITUTE(SUBSTITUTE(SUBSTITUTE($P1384,"~","~~"),"*","~*"),"?","~?"))</f>
        <v>1</v>
      </c>
      <c r="D1384" s="10">
        <f>IF($C1384=0,"",SUMIFS('DEF_SELF_SCOUT_IMPORT'!$J$42:$J$1040,'DEF_SELF_SCOUT_IMPORT'!$L$42:$L$1040,"Y",'DEF_SELF_SCOUT_IMPORT'!$E$42:$E$1040,SUBSTITUTE(SUBSTITUTE(SUBSTITUTE($B1384,"~","~~"),"*","~*"),"?","~?"),'DEF_SELF_SCOUT_IMPORT'!$D$42:$D$1040,SUBSTITUTE(SUBSTITUTE(SUBSTITUTE($P1384,"~","~~"),"*","~*"),"?","~?"))/$C1384)</f>
        <v>1.0</v>
      </c>
      <c r="E1384" s="10">
        <f>IF($C1384=0,"",SUMIFS('DEF_SELF_SCOUT_IMPORT'!$K$42:$K$1040,'DEF_SELF_SCOUT_IMPORT'!$L$42:$L$1040,"Y",'DEF_SELF_SCOUT_IMPORT'!$E$42:$E$1040,SUBSTITUTE(SUBSTITUTE(SUBSTITUTE($B1384,"~","~~"),"*","~*"),"?","~?"),'DEF_SELF_SCOUT_IMPORT'!$D$42:$D$1040,SUBSTITUTE(SUBSTITUTE(SUBSTITUTE($P1384,"~","~~"),"*","~*"),"?","~?"))/$C1384)</f>
        <v>0.0</v>
      </c>
      <c r="F1384" s="11">
        <f>IF($C1384=0,"",AVERAGEIFS('DEF_SELF_SCOUT_IMPORT'!$I$42:$I$1040,'DEF_SELF_SCOUT_IMPORT'!$L$42:$L$1040,"Y",'DEF_SELF_SCOUT_IMPORT'!$E$42:$E$1040,SUBSTITUTE(SUBSTITUTE(SUBSTITUTE($B1384,"~","~~"),"*","~*"),"?","~?"),'DEF_SELF_SCOUT_IMPORT'!$D$42:$D$1040,SUBSTITUTE(SUBSTITUTE(SUBSTITUTE($P1384,"~","~~"),"*","~*"),"?","~?")))</f>
        <v>-1.0</v>
      </c>
      <c r="G1384" s="10">
        <f>IF($C1384=0,"",COUNTIFS('DEF_SELF_SCOUT_IMPORT'!$L$42:$L$1040,"Y",'DEF_SELF_SCOUT_IMPORT'!$E$42:$E$1040,SUBSTITUTE(SUBSTITUTE(SUBSTITUTE($B1384,"~","~~"),"*","~*"),"?","~?"),'DEF_SELF_SCOUT_IMPORT'!$D$42:$D$1040,SUBSTITUTE(SUBSTITUTE(SUBSTITUTE($P1384,"~","~~"),"*","~*"),"?","~?"),'DEF_SELF_SCOUT_IMPORT'!$H$42:$H$1040,"RUSH")/$C1384)</f>
        <v>1.0</v>
      </c>
      <c r="H1384" s="10">
        <f>IF($C1384=0,"",COUNTIFS('DEF_SELF_SCOUT_IMPORT'!$L$42:$L$1040,"Y",'DEF_SELF_SCOUT_IMPORT'!$E$42:$E$1040,SUBSTITUTE(SUBSTITUTE(SUBSTITUTE($B1384,"~","~~"),"*","~*"),"?","~?"),'DEF_SELF_SCOUT_IMPORT'!$D$42:$D$1040,SUBSTITUTE(SUBSTITUTE(SUBSTITUTE($P1384,"~","~~"),"*","~*"),"?","~?"),'DEF_SELF_SCOUT_IMPORT'!$H$42:$H$1040,"DROPBACK")/$C1384)</f>
        <v>0.0</v>
      </c>
      <c r="I1384" s="14" t="str">
        <f>IF(C1384=0,"",IF(C1384&lt;=2,"TRACK",IF(C1384=3,"LOW",IF(C1384&lt;=6,"MEDIUM","HIGH"))))</f>
        <v>TRACK</v>
      </c>
      <c r="J1384" s="11">
        <f>IF(C1384=0,"",ROUND(D1384*70+(1-E1384)*20+MAX(0,MIN(1,(10-F1384)/10))*10,1))</f>
        <v>100.0</v>
      </c>
      <c r="K1384" s="14" t="str">
        <f>IF(C1384=0,"No Evidence",IF(C1384&lt;=2,IF(E1384&gt;0,"Explosive Alert","Track Only"),IF(C1384=3,"Sample Watch",IF(E1384&gt;=START_HERE!$B$31,"Explosive Alert",IF(J1384&gt;=80,"Strong Candidate",IF(J1384&gt;=65,"Good Candidate",IF(J1384&gt;=50,"Mixed / Review","Problem Call")))))))</f>
        <v>Track Only</v>
      </c>
      <c r="L1384" s="9" t="str">
        <f>IF(COUNTIFS('DEF_SELF_SCOUT_IMPORT'!$L$42:$L$1040,"Y",'DEF_SELF_SCOUT_IMPORT'!$E$42:$E$1040,SUBSTITUTE(SUBSTITUTE(SUBSTITUTE($B1384,"~","~~"),"*","~*"),"?","~?"),'DEF_SELF_SCOUT_IMPORT'!$D$42:$D$1040,SUBSTITUTE(SUBSTITUTE(SUBSTITUTE($P1384,"~","~~"),"*","~*"),"?","~?"),'DEF_SELF_SCOUT_IMPORT'!$J$42:$J$1040,"")&gt;0,"Unscored clean outcome; review result tags before using score.",IF(C1384=0,"No matching defensive reps; film confirmation needed.",IF(K1384="Explosive Alert","Explosive risk; review clips before using as answer.",IF(C1384&lt;=2,"Track only; not enough sample.",IF(C1384=3,IF(E1384&gt;0,"Sample watch with explosive exposure; review clips and build the sample.",IF(J1384&gt;=65,"Good signal, but sample is limited.","Sample watch; review clips and build the sample.")),IF(K1384="Problem Call","Problem area; practice or call-sheet review.",IF(K1384="Strong Candidate","Strong call-fit candidate; confirm on film.",IF(K1384="Good Candidate","Good call-fit signal; confirm on film.","Mixed signal; review fit and execution on film."))))))))</f>
        <v>Track only; not enough sample.</v>
      </c>
      <c r="M1384" s="8"/>
      <c r="N1384" s="8"/>
      <c r="O1384" s="8"/>
      <c r="P1384" s="8" t="s">
        <v>465</v>
      </c>
      <c r="Q1384" s="8"/>
      <c r="R1384" s="8" t="s">
        <v>633</v>
      </c>
      <c r="S1384" s="2" t="s">
        <v>650</v>
      </c>
      <c r="T1384" s="2">
        <f>IF(C1384=0,0,IF(C1384&gt;=CALL_LOOKUP_BOARD!$B$7,IF(OR(K1384="Problem Call",K1384="Explosive Alert"),10000000,20000000),0)+IF(C1384&gt;=CALL_LOOKUP_BOARD!$B$7,J1384*1000+MIN(C1384,999),C1384*1000+J1384)+0.00987900)</f>
        <v>1100.009879</v>
      </c>
      <c r="U1384" s="2">
        <f>IF(C1384=0,"",IF(COUNTIFS($S$1264:$S$1440,SUBSTITUTE(SUBSTITUTE(SUBSTITUTE(S1384,"~","~~"),"*","~*"),"?","~?"),$T$1264:$T$1440,"&gt;"&amp;T1384)=0,S1384,""))</f>
        <v/>
      </c>
    </row>
    <row r="1385" spans="1:21" ht="38" customHeight="1">
      <c r="A1385" s="8" t="s">
        <v>465</v>
      </c>
      <c r="B1385" s="8" t="s">
        <v>55</v>
      </c>
      <c r="C1385" s="12">
        <f>COUNTIFS('DEF_SELF_SCOUT_IMPORT'!$L$42:$L$1040,"Y",'DEF_SELF_SCOUT_IMPORT'!$E$42:$E$1040,SUBSTITUTE(SUBSTITUTE(SUBSTITUTE($B1385,"~","~~"),"*","~*"),"?","~?"),'DEF_SELF_SCOUT_IMPORT'!$D$42:$D$1040,SUBSTITUTE(SUBSTITUTE(SUBSTITUTE($P1385,"~","~~"),"*","~*"),"?","~?"))</f>
        <v>2</v>
      </c>
      <c r="D1385" s="10">
        <f>IF($C1385=0,"",SUMIFS('DEF_SELF_SCOUT_IMPORT'!$J$42:$J$1040,'DEF_SELF_SCOUT_IMPORT'!$L$42:$L$1040,"Y",'DEF_SELF_SCOUT_IMPORT'!$E$42:$E$1040,SUBSTITUTE(SUBSTITUTE(SUBSTITUTE($B1385,"~","~~"),"*","~*"),"?","~?"),'DEF_SELF_SCOUT_IMPORT'!$D$42:$D$1040,SUBSTITUTE(SUBSTITUTE(SUBSTITUTE($P1385,"~","~~"),"*","~*"),"?","~?"))/$C1385)</f>
        <v>0.5</v>
      </c>
      <c r="E1385" s="10">
        <f>IF($C1385=0,"",SUMIFS('DEF_SELF_SCOUT_IMPORT'!$K$42:$K$1040,'DEF_SELF_SCOUT_IMPORT'!$L$42:$L$1040,"Y",'DEF_SELF_SCOUT_IMPORT'!$E$42:$E$1040,SUBSTITUTE(SUBSTITUTE(SUBSTITUTE($B1385,"~","~~"),"*","~*"),"?","~?"),'DEF_SELF_SCOUT_IMPORT'!$D$42:$D$1040,SUBSTITUTE(SUBSTITUTE(SUBSTITUTE($P1385,"~","~~"),"*","~*"),"?","~?"))/$C1385)</f>
        <v>0.0</v>
      </c>
      <c r="F1385" s="11">
        <f>IF($C1385=0,"",AVERAGEIFS('DEF_SELF_SCOUT_IMPORT'!$I$42:$I$1040,'DEF_SELF_SCOUT_IMPORT'!$L$42:$L$1040,"Y",'DEF_SELF_SCOUT_IMPORT'!$E$42:$E$1040,SUBSTITUTE(SUBSTITUTE(SUBSTITUTE($B1385,"~","~~"),"*","~*"),"?","~?"),'DEF_SELF_SCOUT_IMPORT'!$D$42:$D$1040,SUBSTITUTE(SUBSTITUTE(SUBSTITUTE($P1385,"~","~~"),"*","~*"),"?","~?")))</f>
        <v>6.0</v>
      </c>
      <c r="G1385" s="10">
        <f>IF($C1385=0,"",COUNTIFS('DEF_SELF_SCOUT_IMPORT'!$L$42:$L$1040,"Y",'DEF_SELF_SCOUT_IMPORT'!$E$42:$E$1040,SUBSTITUTE(SUBSTITUTE(SUBSTITUTE($B1385,"~","~~"),"*","~*"),"?","~?"),'DEF_SELF_SCOUT_IMPORT'!$D$42:$D$1040,SUBSTITUTE(SUBSTITUTE(SUBSTITUTE($P1385,"~","~~"),"*","~*"),"?","~?"),'DEF_SELF_SCOUT_IMPORT'!$H$42:$H$1040,"RUSH")/$C1385)</f>
        <v>1.0</v>
      </c>
      <c r="H1385" s="10">
        <f>IF($C1385=0,"",COUNTIFS('DEF_SELF_SCOUT_IMPORT'!$L$42:$L$1040,"Y",'DEF_SELF_SCOUT_IMPORT'!$E$42:$E$1040,SUBSTITUTE(SUBSTITUTE(SUBSTITUTE($B1385,"~","~~"),"*","~*"),"?","~?"),'DEF_SELF_SCOUT_IMPORT'!$D$42:$D$1040,SUBSTITUTE(SUBSTITUTE(SUBSTITUTE($P1385,"~","~~"),"*","~*"),"?","~?"),'DEF_SELF_SCOUT_IMPORT'!$H$42:$H$1040,"DROPBACK")/$C1385)</f>
        <v>0.0</v>
      </c>
      <c r="I1385" s="14" t="str">
        <f>IF(C1385=0,"",IF(C1385&lt;=2,"TRACK",IF(C1385=3,"LOW",IF(C1385&lt;=6,"MEDIUM","HIGH"))))</f>
        <v>TRACK</v>
      </c>
      <c r="J1385" s="11">
        <f>IF(C1385=0,"",ROUND(D1385*70+(1-E1385)*20+MAX(0,MIN(1,(10-F1385)/10))*10,1))</f>
        <v>59.0</v>
      </c>
      <c r="K1385" s="14" t="str">
        <f>IF(C1385=0,"No Evidence",IF(C1385&lt;=2,IF(E1385&gt;0,"Explosive Alert","Track Only"),IF(C1385=3,"Sample Watch",IF(E1385&gt;=START_HERE!$B$31,"Explosive Alert",IF(J1385&gt;=80,"Strong Candidate",IF(J1385&gt;=65,"Good Candidate",IF(J1385&gt;=50,"Mixed / Review","Problem Call")))))))</f>
        <v>Track Only</v>
      </c>
      <c r="L1385" s="9" t="str">
        <f>IF(COUNTIFS('DEF_SELF_SCOUT_IMPORT'!$L$42:$L$1040,"Y",'DEF_SELF_SCOUT_IMPORT'!$E$42:$E$1040,SUBSTITUTE(SUBSTITUTE(SUBSTITUTE($B1385,"~","~~"),"*","~*"),"?","~?"),'DEF_SELF_SCOUT_IMPORT'!$D$42:$D$1040,SUBSTITUTE(SUBSTITUTE(SUBSTITUTE($P1385,"~","~~"),"*","~*"),"?","~?"),'DEF_SELF_SCOUT_IMPORT'!$J$42:$J$1040,"")&gt;0,"Unscored clean outcome; review result tags before using score.",IF(C1385=0,"No matching defensive reps; film confirmation needed.",IF(K1385="Explosive Alert","Explosive risk; review clips before using as answer.",IF(C1385&lt;=2,"Track only; not enough sample.",IF(C1385=3,IF(E1385&gt;0,"Sample watch with explosive exposure; review clips and build the sample.",IF(J1385&gt;=65,"Good signal, but sample is limited.","Sample watch; review clips and build the sample.")),IF(K1385="Problem Call","Problem area; practice or call-sheet review.",IF(K1385="Strong Candidate","Strong call-fit candidate; confirm on film.",IF(K1385="Good Candidate","Good call-fit signal; confirm on film.","Mixed signal; review fit and execution on film."))))))))</f>
        <v>Track only; not enough sample.</v>
      </c>
      <c r="M1385" s="8"/>
      <c r="N1385" s="8"/>
      <c r="O1385" s="8"/>
      <c r="P1385" s="8" t="s">
        <v>465</v>
      </c>
      <c r="Q1385" s="8"/>
      <c r="R1385" s="8" t="s">
        <v>633</v>
      </c>
      <c r="S1385" s="2" t="s">
        <v>650</v>
      </c>
      <c r="T1385" s="2">
        <f>IF(C1385=0,0,IF(C1385&gt;=CALL_LOOKUP_BOARD!$B$7,IF(OR(K1385="Problem Call",K1385="Explosive Alert"),10000000,20000000),0)+IF(C1385&gt;=CALL_LOOKUP_BOARD!$B$7,J1385*1000+MIN(C1385,999),C1385*1000+J1385)+0.00987800)</f>
        <v>2059.009878</v>
      </c>
      <c r="U1385" s="2">
        <f>IF(C1385=0,"",IF(COUNTIFS($S$1264:$S$1440,SUBSTITUTE(SUBSTITUTE(SUBSTITUTE(S1385,"~","~~"),"*","~*"),"?","~?"),$T$1264:$T$1440,"&gt;"&amp;T1385)=0,S1385,""))</f>
        <v/>
      </c>
    </row>
    <row r="1386" spans="1:21" ht="38" customHeight="1">
      <c r="A1386" s="8" t="s">
        <v>465</v>
      </c>
      <c r="B1386" s="8" t="s">
        <v>81</v>
      </c>
      <c r="C1386" s="12">
        <f>COUNTIFS('DEF_SELF_SCOUT_IMPORT'!$L$42:$L$1040,"Y",'DEF_SELF_SCOUT_IMPORT'!$E$42:$E$1040,SUBSTITUTE(SUBSTITUTE(SUBSTITUTE($B1386,"~","~~"),"*","~*"),"?","~?"),'DEF_SELF_SCOUT_IMPORT'!$D$42:$D$1040,SUBSTITUTE(SUBSTITUTE(SUBSTITUTE($P1386,"~","~~"),"*","~*"),"?","~?"))</f>
        <v>1</v>
      </c>
      <c r="D1386" s="10">
        <f>IF($C1386=0,"",SUMIFS('DEF_SELF_SCOUT_IMPORT'!$J$42:$J$1040,'DEF_SELF_SCOUT_IMPORT'!$L$42:$L$1040,"Y",'DEF_SELF_SCOUT_IMPORT'!$E$42:$E$1040,SUBSTITUTE(SUBSTITUTE(SUBSTITUTE($B1386,"~","~~"),"*","~*"),"?","~?"),'DEF_SELF_SCOUT_IMPORT'!$D$42:$D$1040,SUBSTITUTE(SUBSTITUTE(SUBSTITUTE($P1386,"~","~~"),"*","~*"),"?","~?"))/$C1386)</f>
        <v>0.0</v>
      </c>
      <c r="E1386" s="10">
        <f>IF($C1386=0,"",SUMIFS('DEF_SELF_SCOUT_IMPORT'!$K$42:$K$1040,'DEF_SELF_SCOUT_IMPORT'!$L$42:$L$1040,"Y",'DEF_SELF_SCOUT_IMPORT'!$E$42:$E$1040,SUBSTITUTE(SUBSTITUTE(SUBSTITUTE($B1386,"~","~~"),"*","~*"),"?","~?"),'DEF_SELF_SCOUT_IMPORT'!$D$42:$D$1040,SUBSTITUTE(SUBSTITUTE(SUBSTITUTE($P1386,"~","~~"),"*","~*"),"?","~?"))/$C1386)</f>
        <v>0.0</v>
      </c>
      <c r="F1386" s="11">
        <f>IF($C1386=0,"",AVERAGEIFS('DEF_SELF_SCOUT_IMPORT'!$I$42:$I$1040,'DEF_SELF_SCOUT_IMPORT'!$L$42:$L$1040,"Y",'DEF_SELF_SCOUT_IMPORT'!$E$42:$E$1040,SUBSTITUTE(SUBSTITUTE(SUBSTITUTE($B1386,"~","~~"),"*","~*"),"?","~?"),'DEF_SELF_SCOUT_IMPORT'!$D$42:$D$1040,SUBSTITUTE(SUBSTITUTE(SUBSTITUTE($P1386,"~","~~"),"*","~*"),"?","~?")))</f>
        <v>4.0</v>
      </c>
      <c r="G1386" s="10">
        <f>IF($C1386=0,"",COUNTIFS('DEF_SELF_SCOUT_IMPORT'!$L$42:$L$1040,"Y",'DEF_SELF_SCOUT_IMPORT'!$E$42:$E$1040,SUBSTITUTE(SUBSTITUTE(SUBSTITUTE($B1386,"~","~~"),"*","~*"),"?","~?"),'DEF_SELF_SCOUT_IMPORT'!$D$42:$D$1040,SUBSTITUTE(SUBSTITUTE(SUBSTITUTE($P1386,"~","~~"),"*","~*"),"?","~?"),'DEF_SELF_SCOUT_IMPORT'!$H$42:$H$1040,"RUSH")/$C1386)</f>
        <v>1.0</v>
      </c>
      <c r="H1386" s="10">
        <f>IF($C1386=0,"",COUNTIFS('DEF_SELF_SCOUT_IMPORT'!$L$42:$L$1040,"Y",'DEF_SELF_SCOUT_IMPORT'!$E$42:$E$1040,SUBSTITUTE(SUBSTITUTE(SUBSTITUTE($B1386,"~","~~"),"*","~*"),"?","~?"),'DEF_SELF_SCOUT_IMPORT'!$D$42:$D$1040,SUBSTITUTE(SUBSTITUTE(SUBSTITUTE($P1386,"~","~~"),"*","~*"),"?","~?"),'DEF_SELF_SCOUT_IMPORT'!$H$42:$H$1040,"DROPBACK")/$C1386)</f>
        <v>0.0</v>
      </c>
      <c r="I1386" s="14" t="str">
        <f>IF(C1386=0,"",IF(C1386&lt;=2,"TRACK",IF(C1386=3,"LOW",IF(C1386&lt;=6,"MEDIUM","HIGH"))))</f>
        <v>TRACK</v>
      </c>
      <c r="J1386" s="11">
        <f>IF(C1386=0,"",ROUND(D1386*70+(1-E1386)*20+MAX(0,MIN(1,(10-F1386)/10))*10,1))</f>
        <v>26.0</v>
      </c>
      <c r="K1386" s="14" t="str">
        <f>IF(C1386=0,"No Evidence",IF(C1386&lt;=2,IF(E1386&gt;0,"Explosive Alert","Track Only"),IF(C1386=3,"Sample Watch",IF(E1386&gt;=START_HERE!$B$31,"Explosive Alert",IF(J1386&gt;=80,"Strong Candidate",IF(J1386&gt;=65,"Good Candidate",IF(J1386&gt;=50,"Mixed / Review","Problem Call")))))))</f>
        <v>Track Only</v>
      </c>
      <c r="L1386" s="9" t="str">
        <f>IF(COUNTIFS('DEF_SELF_SCOUT_IMPORT'!$L$42:$L$1040,"Y",'DEF_SELF_SCOUT_IMPORT'!$E$42:$E$1040,SUBSTITUTE(SUBSTITUTE(SUBSTITUTE($B1386,"~","~~"),"*","~*"),"?","~?"),'DEF_SELF_SCOUT_IMPORT'!$D$42:$D$1040,SUBSTITUTE(SUBSTITUTE(SUBSTITUTE($P1386,"~","~~"),"*","~*"),"?","~?"),'DEF_SELF_SCOUT_IMPORT'!$J$42:$J$1040,"")&gt;0,"Unscored clean outcome; review result tags before using score.",IF(C1386=0,"No matching defensive reps; film confirmation needed.",IF(K1386="Explosive Alert","Explosive risk; review clips before using as answer.",IF(C1386&lt;=2,"Track only; not enough sample.",IF(C1386=3,IF(E1386&gt;0,"Sample watch with explosive exposure; review clips and build the sample.",IF(J1386&gt;=65,"Good signal, but sample is limited.","Sample watch; review clips and build the sample.")),IF(K1386="Problem Call","Problem area; practice or call-sheet review.",IF(K1386="Strong Candidate","Strong call-fit candidate; confirm on film.",IF(K1386="Good Candidate","Good call-fit signal; confirm on film.","Mixed signal; review fit and execution on film."))))))))</f>
        <v>Track only; not enough sample.</v>
      </c>
      <c r="M1386" s="8"/>
      <c r="N1386" s="8"/>
      <c r="O1386" s="8"/>
      <c r="P1386" s="8" t="s">
        <v>465</v>
      </c>
      <c r="Q1386" s="8"/>
      <c r="R1386" s="8" t="s">
        <v>633</v>
      </c>
      <c r="S1386" s="2" t="s">
        <v>650</v>
      </c>
      <c r="T1386" s="2">
        <f>IF(C1386=0,0,IF(C1386&gt;=CALL_LOOKUP_BOARD!$B$7,IF(OR(K1386="Problem Call",K1386="Explosive Alert"),10000000,20000000),0)+IF(C1386&gt;=CALL_LOOKUP_BOARD!$B$7,J1386*1000+MIN(C1386,999),C1386*1000+J1386)+0.00987700)</f>
        <v>1026.009877</v>
      </c>
      <c r="U1386" s="2">
        <f>IF(C1386=0,"",IF(COUNTIFS($S$1264:$S$1440,SUBSTITUTE(SUBSTITUTE(SUBSTITUTE(S1386,"~","~~"),"*","~*"),"?","~?"),$T$1264:$T$1440,"&gt;"&amp;T1386)=0,S1386,""))</f>
        <v/>
      </c>
    </row>
    <row r="1387" spans="1:21" ht="38" customHeight="1">
      <c r="A1387" s="8" t="s">
        <v>465</v>
      </c>
      <c r="B1387" s="8" t="s">
        <v>35</v>
      </c>
      <c r="C1387" s="12">
        <f>COUNTIFS('DEF_SELF_SCOUT_IMPORT'!$L$42:$L$1040,"Y",'DEF_SELF_SCOUT_IMPORT'!$E$42:$E$1040,SUBSTITUTE(SUBSTITUTE(SUBSTITUTE($B1387,"~","~~"),"*","~*"),"?","~?"),'DEF_SELF_SCOUT_IMPORT'!$D$42:$D$1040,SUBSTITUTE(SUBSTITUTE(SUBSTITUTE($P1387,"~","~~"),"*","~*"),"?","~?"))</f>
        <v>2</v>
      </c>
      <c r="D1387" s="10">
        <f>IF($C1387=0,"",SUMIFS('DEF_SELF_SCOUT_IMPORT'!$J$42:$J$1040,'DEF_SELF_SCOUT_IMPORT'!$L$42:$L$1040,"Y",'DEF_SELF_SCOUT_IMPORT'!$E$42:$E$1040,SUBSTITUTE(SUBSTITUTE(SUBSTITUTE($B1387,"~","~~"),"*","~*"),"?","~?"),'DEF_SELF_SCOUT_IMPORT'!$D$42:$D$1040,SUBSTITUTE(SUBSTITUTE(SUBSTITUTE($P1387,"~","~~"),"*","~*"),"?","~?"))/$C1387)</f>
        <v>1.0</v>
      </c>
      <c r="E1387" s="10">
        <f>IF($C1387=0,"",SUMIFS('DEF_SELF_SCOUT_IMPORT'!$K$42:$K$1040,'DEF_SELF_SCOUT_IMPORT'!$L$42:$L$1040,"Y",'DEF_SELF_SCOUT_IMPORT'!$E$42:$E$1040,SUBSTITUTE(SUBSTITUTE(SUBSTITUTE($B1387,"~","~~"),"*","~*"),"?","~?"),'DEF_SELF_SCOUT_IMPORT'!$D$42:$D$1040,SUBSTITUTE(SUBSTITUTE(SUBSTITUTE($P1387,"~","~~"),"*","~*"),"?","~?"))/$C1387)</f>
        <v>0.0</v>
      </c>
      <c r="F1387" s="11">
        <f>IF($C1387=0,"",AVERAGEIFS('DEF_SELF_SCOUT_IMPORT'!$I$42:$I$1040,'DEF_SELF_SCOUT_IMPORT'!$L$42:$L$1040,"Y",'DEF_SELF_SCOUT_IMPORT'!$E$42:$E$1040,SUBSTITUTE(SUBSTITUTE(SUBSTITUTE($B1387,"~","~~"),"*","~*"),"?","~?"),'DEF_SELF_SCOUT_IMPORT'!$D$42:$D$1040,SUBSTITUTE(SUBSTITUTE(SUBSTITUTE($P1387,"~","~~"),"*","~*"),"?","~?")))</f>
        <v>0.0</v>
      </c>
      <c r="G1387" s="10">
        <f>IF($C1387=0,"",COUNTIFS('DEF_SELF_SCOUT_IMPORT'!$L$42:$L$1040,"Y",'DEF_SELF_SCOUT_IMPORT'!$E$42:$E$1040,SUBSTITUTE(SUBSTITUTE(SUBSTITUTE($B1387,"~","~~"),"*","~*"),"?","~?"),'DEF_SELF_SCOUT_IMPORT'!$D$42:$D$1040,SUBSTITUTE(SUBSTITUTE(SUBSTITUTE($P1387,"~","~~"),"*","~*"),"?","~?"),'DEF_SELF_SCOUT_IMPORT'!$H$42:$H$1040,"RUSH")/$C1387)</f>
        <v>1.0</v>
      </c>
      <c r="H1387" s="10">
        <f>IF($C1387=0,"",COUNTIFS('DEF_SELF_SCOUT_IMPORT'!$L$42:$L$1040,"Y",'DEF_SELF_SCOUT_IMPORT'!$E$42:$E$1040,SUBSTITUTE(SUBSTITUTE(SUBSTITUTE($B1387,"~","~~"),"*","~*"),"?","~?"),'DEF_SELF_SCOUT_IMPORT'!$D$42:$D$1040,SUBSTITUTE(SUBSTITUTE(SUBSTITUTE($P1387,"~","~~"),"*","~*"),"?","~?"),'DEF_SELF_SCOUT_IMPORT'!$H$42:$H$1040,"DROPBACK")/$C1387)</f>
        <v>0.0</v>
      </c>
      <c r="I1387" s="14" t="str">
        <f>IF(C1387=0,"",IF(C1387&lt;=2,"TRACK",IF(C1387=3,"LOW",IF(C1387&lt;=6,"MEDIUM","HIGH"))))</f>
        <v>TRACK</v>
      </c>
      <c r="J1387" s="11">
        <f>IF(C1387=0,"",ROUND(D1387*70+(1-E1387)*20+MAX(0,MIN(1,(10-F1387)/10))*10,1))</f>
        <v>100.0</v>
      </c>
      <c r="K1387" s="14" t="str">
        <f>IF(C1387=0,"No Evidence",IF(C1387&lt;=2,IF(E1387&gt;0,"Explosive Alert","Track Only"),IF(C1387=3,"Sample Watch",IF(E1387&gt;=START_HERE!$B$31,"Explosive Alert",IF(J1387&gt;=80,"Strong Candidate",IF(J1387&gt;=65,"Good Candidate",IF(J1387&gt;=50,"Mixed / Review","Problem Call")))))))</f>
        <v>Track Only</v>
      </c>
      <c r="L1387" s="9" t="str">
        <f>IF(COUNTIFS('DEF_SELF_SCOUT_IMPORT'!$L$42:$L$1040,"Y",'DEF_SELF_SCOUT_IMPORT'!$E$42:$E$1040,SUBSTITUTE(SUBSTITUTE(SUBSTITUTE($B1387,"~","~~"),"*","~*"),"?","~?"),'DEF_SELF_SCOUT_IMPORT'!$D$42:$D$1040,SUBSTITUTE(SUBSTITUTE(SUBSTITUTE($P1387,"~","~~"),"*","~*"),"?","~?"),'DEF_SELF_SCOUT_IMPORT'!$J$42:$J$1040,"")&gt;0,"Unscored clean outcome; review result tags before using score.",IF(C1387=0,"No matching defensive reps; film confirmation needed.",IF(K1387="Explosive Alert","Explosive risk; review clips before using as answer.",IF(C1387&lt;=2,"Track only; not enough sample.",IF(C1387=3,IF(E1387&gt;0,"Sample watch with explosive exposure; review clips and build the sample.",IF(J1387&gt;=65,"Good signal, but sample is limited.","Sample watch; review clips and build the sample.")),IF(K1387="Problem Call","Problem area; practice or call-sheet review.",IF(K1387="Strong Candidate","Strong call-fit candidate; confirm on film.",IF(K1387="Good Candidate","Good call-fit signal; confirm on film.","Mixed signal; review fit and execution on film."))))))))</f>
        <v>Track only; not enough sample.</v>
      </c>
      <c r="M1387" s="8"/>
      <c r="N1387" s="8"/>
      <c r="O1387" s="8"/>
      <c r="P1387" s="8" t="s">
        <v>465</v>
      </c>
      <c r="Q1387" s="8"/>
      <c r="R1387" s="8" t="s">
        <v>633</v>
      </c>
      <c r="S1387" s="2" t="s">
        <v>650</v>
      </c>
      <c r="T1387" s="2">
        <f>IF(C1387=0,0,IF(C1387&gt;=CALL_LOOKUP_BOARD!$B$7,IF(OR(K1387="Problem Call",K1387="Explosive Alert"),10000000,20000000),0)+IF(C1387&gt;=CALL_LOOKUP_BOARD!$B$7,J1387*1000+MIN(C1387,999),C1387*1000+J1387)+0.00987600)</f>
        <v>2100.009876</v>
      </c>
      <c r="U1387" s="2">
        <f>IF(C1387=0,"",IF(COUNTIFS($S$1264:$S$1440,SUBSTITUTE(SUBSTITUTE(SUBSTITUTE(S1387,"~","~~"),"*","~*"),"?","~?"),$T$1264:$T$1440,"&gt;"&amp;T1387)=0,S1387,""))</f>
        <v/>
      </c>
    </row>
    <row r="1388" spans="1:21" ht="38" customHeight="1">
      <c r="A1388" s="8" t="s">
        <v>465</v>
      </c>
      <c r="B1388" s="8" t="s">
        <v>60</v>
      </c>
      <c r="C1388" s="12">
        <f>COUNTIFS('DEF_SELF_SCOUT_IMPORT'!$L$42:$L$1040,"Y",'DEF_SELF_SCOUT_IMPORT'!$E$42:$E$1040,SUBSTITUTE(SUBSTITUTE(SUBSTITUTE($B1388,"~","~~"),"*","~*"),"?","~?"),'DEF_SELF_SCOUT_IMPORT'!$D$42:$D$1040,SUBSTITUTE(SUBSTITUTE(SUBSTITUTE($P1388,"~","~~"),"*","~*"),"?","~?"))</f>
        <v>2</v>
      </c>
      <c r="D1388" s="10">
        <f>IF($C1388=0,"",SUMIFS('DEF_SELF_SCOUT_IMPORT'!$J$42:$J$1040,'DEF_SELF_SCOUT_IMPORT'!$L$42:$L$1040,"Y",'DEF_SELF_SCOUT_IMPORT'!$E$42:$E$1040,SUBSTITUTE(SUBSTITUTE(SUBSTITUTE($B1388,"~","~~"),"*","~*"),"?","~?"),'DEF_SELF_SCOUT_IMPORT'!$D$42:$D$1040,SUBSTITUTE(SUBSTITUTE(SUBSTITUTE($P1388,"~","~~"),"*","~*"),"?","~?"))/$C1388)</f>
        <v>0.5</v>
      </c>
      <c r="E1388" s="10">
        <f>IF($C1388=0,"",SUMIFS('DEF_SELF_SCOUT_IMPORT'!$K$42:$K$1040,'DEF_SELF_SCOUT_IMPORT'!$L$42:$L$1040,"Y",'DEF_SELF_SCOUT_IMPORT'!$E$42:$E$1040,SUBSTITUTE(SUBSTITUTE(SUBSTITUTE($B1388,"~","~~"),"*","~*"),"?","~?"),'DEF_SELF_SCOUT_IMPORT'!$D$42:$D$1040,SUBSTITUTE(SUBSTITUTE(SUBSTITUTE($P1388,"~","~~"),"*","~*"),"?","~?"))/$C1388)</f>
        <v>0.5</v>
      </c>
      <c r="F1388" s="11">
        <f>IF($C1388=0,"",AVERAGEIFS('DEF_SELF_SCOUT_IMPORT'!$I$42:$I$1040,'DEF_SELF_SCOUT_IMPORT'!$L$42:$L$1040,"Y",'DEF_SELF_SCOUT_IMPORT'!$E$42:$E$1040,SUBSTITUTE(SUBSTITUTE(SUBSTITUTE($B1388,"~","~~"),"*","~*"),"?","~?"),'DEF_SELF_SCOUT_IMPORT'!$D$42:$D$1040,SUBSTITUTE(SUBSTITUTE(SUBSTITUTE($P1388,"~","~~"),"*","~*"),"?","~?")))</f>
        <v>8.5</v>
      </c>
      <c r="G1388" s="10">
        <f>IF($C1388=0,"",COUNTIFS('DEF_SELF_SCOUT_IMPORT'!$L$42:$L$1040,"Y",'DEF_SELF_SCOUT_IMPORT'!$E$42:$E$1040,SUBSTITUTE(SUBSTITUTE(SUBSTITUTE($B1388,"~","~~"),"*","~*"),"?","~?"),'DEF_SELF_SCOUT_IMPORT'!$D$42:$D$1040,SUBSTITUTE(SUBSTITUTE(SUBSTITUTE($P1388,"~","~~"),"*","~*"),"?","~?"),'DEF_SELF_SCOUT_IMPORT'!$H$42:$H$1040,"RUSH")/$C1388)</f>
        <v>1.0</v>
      </c>
      <c r="H1388" s="10">
        <f>IF($C1388=0,"",COUNTIFS('DEF_SELF_SCOUT_IMPORT'!$L$42:$L$1040,"Y",'DEF_SELF_SCOUT_IMPORT'!$E$42:$E$1040,SUBSTITUTE(SUBSTITUTE(SUBSTITUTE($B1388,"~","~~"),"*","~*"),"?","~?"),'DEF_SELF_SCOUT_IMPORT'!$D$42:$D$1040,SUBSTITUTE(SUBSTITUTE(SUBSTITUTE($P1388,"~","~~"),"*","~*"),"?","~?"),'DEF_SELF_SCOUT_IMPORT'!$H$42:$H$1040,"DROPBACK")/$C1388)</f>
        <v>0.0</v>
      </c>
      <c r="I1388" s="14" t="str">
        <f>IF(C1388=0,"",IF(C1388&lt;=2,"TRACK",IF(C1388=3,"LOW",IF(C1388&lt;=6,"MEDIUM","HIGH"))))</f>
        <v>TRACK</v>
      </c>
      <c r="J1388" s="11">
        <f>IF(C1388=0,"",ROUND(D1388*70+(1-E1388)*20+MAX(0,MIN(1,(10-F1388)/10))*10,1))</f>
        <v>46.5</v>
      </c>
      <c r="K1388" s="14" t="str">
        <f>IF(C1388=0,"No Evidence",IF(C1388&lt;=2,IF(E1388&gt;0,"Explosive Alert","Track Only"),IF(C1388=3,"Sample Watch",IF(E1388&gt;=START_HERE!$B$31,"Explosive Alert",IF(J1388&gt;=80,"Strong Candidate",IF(J1388&gt;=65,"Good Candidate",IF(J1388&gt;=50,"Mixed / Review","Problem Call")))))))</f>
        <v>Explosive Alert</v>
      </c>
      <c r="L1388" s="9" t="str">
        <f>IF(COUNTIFS('DEF_SELF_SCOUT_IMPORT'!$L$42:$L$1040,"Y",'DEF_SELF_SCOUT_IMPORT'!$E$42:$E$1040,SUBSTITUTE(SUBSTITUTE(SUBSTITUTE($B1388,"~","~~"),"*","~*"),"?","~?"),'DEF_SELF_SCOUT_IMPORT'!$D$42:$D$1040,SUBSTITUTE(SUBSTITUTE(SUBSTITUTE($P1388,"~","~~"),"*","~*"),"?","~?"),'DEF_SELF_SCOUT_IMPORT'!$J$42:$J$1040,"")&gt;0,"Unscored clean outcome; review result tags before using score.",IF(C1388=0,"No matching defensive reps; film confirmation needed.",IF(K1388="Explosive Alert","Explosive risk; review clips before using as answer.",IF(C1388&lt;=2,"Track only; not enough sample.",IF(C1388=3,IF(E1388&gt;0,"Sample watch with explosive exposure; review clips and build the sample.",IF(J1388&gt;=65,"Good signal, but sample is limited.","Sample watch; review clips and build the sample.")),IF(K1388="Problem Call","Problem area; practice or call-sheet review.",IF(K1388="Strong Candidate","Strong call-fit candidate; confirm on film.",IF(K1388="Good Candidate","Good call-fit signal; confirm on film.","Mixed signal; review fit and execution on film."))))))))</f>
        <v>Explosive risk; review clips before using as answer.</v>
      </c>
      <c r="M1388" s="8"/>
      <c r="N1388" s="8"/>
      <c r="O1388" s="8"/>
      <c r="P1388" s="8" t="s">
        <v>465</v>
      </c>
      <c r="Q1388" s="8"/>
      <c r="R1388" s="8" t="s">
        <v>633</v>
      </c>
      <c r="S1388" s="2" t="s">
        <v>650</v>
      </c>
      <c r="T1388" s="2">
        <f>IF(C1388=0,0,IF(C1388&gt;=CALL_LOOKUP_BOARD!$B$7,IF(OR(K1388="Problem Call",K1388="Explosive Alert"),10000000,20000000),0)+IF(C1388&gt;=CALL_LOOKUP_BOARD!$B$7,J1388*1000+MIN(C1388,999),C1388*1000+J1388)+0.00987500)</f>
        <v>2046.509875</v>
      </c>
      <c r="U1388" s="2">
        <f>IF(C1388=0,"",IF(COUNTIFS($S$1264:$S$1440,SUBSTITUTE(SUBSTITUTE(SUBSTITUTE(S1388,"~","~~"),"*","~*"),"?","~?"),$T$1264:$T$1440,"&gt;"&amp;T1388)=0,S1388,""))</f>
        <v/>
      </c>
    </row>
    <row r="1389" spans="1:21" ht="38" customHeight="1">
      <c r="A1389" s="8" t="s">
        <v>465</v>
      </c>
      <c r="B1389" s="8" t="s">
        <v>67</v>
      </c>
      <c r="C1389" s="12">
        <f>COUNTIFS('DEF_SELF_SCOUT_IMPORT'!$L$42:$L$1040,"Y",'DEF_SELF_SCOUT_IMPORT'!$E$42:$E$1040,SUBSTITUTE(SUBSTITUTE(SUBSTITUTE($B1389,"~","~~"),"*","~*"),"?","~?"),'DEF_SELF_SCOUT_IMPORT'!$D$42:$D$1040,SUBSTITUTE(SUBSTITUTE(SUBSTITUTE($P1389,"~","~~"),"*","~*"),"?","~?"))</f>
        <v>1</v>
      </c>
      <c r="D1389" s="10">
        <f>IF($C1389=0,"",SUMIFS('DEF_SELF_SCOUT_IMPORT'!$J$42:$J$1040,'DEF_SELF_SCOUT_IMPORT'!$L$42:$L$1040,"Y",'DEF_SELF_SCOUT_IMPORT'!$E$42:$E$1040,SUBSTITUTE(SUBSTITUTE(SUBSTITUTE($B1389,"~","~~"),"*","~*"),"?","~?"),'DEF_SELF_SCOUT_IMPORT'!$D$42:$D$1040,SUBSTITUTE(SUBSTITUTE(SUBSTITUTE($P1389,"~","~~"),"*","~*"),"?","~?"))/$C1389)</f>
        <v>0.0</v>
      </c>
      <c r="E1389" s="10">
        <f>IF($C1389=0,"",SUMIFS('DEF_SELF_SCOUT_IMPORT'!$K$42:$K$1040,'DEF_SELF_SCOUT_IMPORT'!$L$42:$L$1040,"Y",'DEF_SELF_SCOUT_IMPORT'!$E$42:$E$1040,SUBSTITUTE(SUBSTITUTE(SUBSTITUTE($B1389,"~","~~"),"*","~*"),"?","~?"),'DEF_SELF_SCOUT_IMPORT'!$D$42:$D$1040,SUBSTITUTE(SUBSTITUTE(SUBSTITUTE($P1389,"~","~~"),"*","~*"),"?","~?"))/$C1389)</f>
        <v>0.0</v>
      </c>
      <c r="F1389" s="11">
        <f>IF($C1389=0,"",AVERAGEIFS('DEF_SELF_SCOUT_IMPORT'!$I$42:$I$1040,'DEF_SELF_SCOUT_IMPORT'!$L$42:$L$1040,"Y",'DEF_SELF_SCOUT_IMPORT'!$E$42:$E$1040,SUBSTITUTE(SUBSTITUTE(SUBSTITUTE($B1389,"~","~~"),"*","~*"),"?","~?"),'DEF_SELF_SCOUT_IMPORT'!$D$42:$D$1040,SUBSTITUTE(SUBSTITUTE(SUBSTITUTE($P1389,"~","~~"),"*","~*"),"?","~?")))</f>
        <v>4.0</v>
      </c>
      <c r="G1389" s="10">
        <f>IF($C1389=0,"",COUNTIFS('DEF_SELF_SCOUT_IMPORT'!$L$42:$L$1040,"Y",'DEF_SELF_SCOUT_IMPORT'!$E$42:$E$1040,SUBSTITUTE(SUBSTITUTE(SUBSTITUTE($B1389,"~","~~"),"*","~*"),"?","~?"),'DEF_SELF_SCOUT_IMPORT'!$D$42:$D$1040,SUBSTITUTE(SUBSTITUTE(SUBSTITUTE($P1389,"~","~~"),"*","~*"),"?","~?"),'DEF_SELF_SCOUT_IMPORT'!$H$42:$H$1040,"RUSH")/$C1389)</f>
        <v>1.0</v>
      </c>
      <c r="H1389" s="10">
        <f>IF($C1389=0,"",COUNTIFS('DEF_SELF_SCOUT_IMPORT'!$L$42:$L$1040,"Y",'DEF_SELF_SCOUT_IMPORT'!$E$42:$E$1040,SUBSTITUTE(SUBSTITUTE(SUBSTITUTE($B1389,"~","~~"),"*","~*"),"?","~?"),'DEF_SELF_SCOUT_IMPORT'!$D$42:$D$1040,SUBSTITUTE(SUBSTITUTE(SUBSTITUTE($P1389,"~","~~"),"*","~*"),"?","~?"),'DEF_SELF_SCOUT_IMPORT'!$H$42:$H$1040,"DROPBACK")/$C1389)</f>
        <v>0.0</v>
      </c>
      <c r="I1389" s="14" t="str">
        <f>IF(C1389=0,"",IF(C1389&lt;=2,"TRACK",IF(C1389=3,"LOW",IF(C1389&lt;=6,"MEDIUM","HIGH"))))</f>
        <v>TRACK</v>
      </c>
      <c r="J1389" s="11">
        <f>IF(C1389=0,"",ROUND(D1389*70+(1-E1389)*20+MAX(0,MIN(1,(10-F1389)/10))*10,1))</f>
        <v>26.0</v>
      </c>
      <c r="K1389" s="14" t="str">
        <f>IF(C1389=0,"No Evidence",IF(C1389&lt;=2,IF(E1389&gt;0,"Explosive Alert","Track Only"),IF(C1389=3,"Sample Watch",IF(E1389&gt;=START_HERE!$B$31,"Explosive Alert",IF(J1389&gt;=80,"Strong Candidate",IF(J1389&gt;=65,"Good Candidate",IF(J1389&gt;=50,"Mixed / Review","Problem Call")))))))</f>
        <v>Track Only</v>
      </c>
      <c r="L1389" s="9" t="str">
        <f>IF(COUNTIFS('DEF_SELF_SCOUT_IMPORT'!$L$42:$L$1040,"Y",'DEF_SELF_SCOUT_IMPORT'!$E$42:$E$1040,SUBSTITUTE(SUBSTITUTE(SUBSTITUTE($B1389,"~","~~"),"*","~*"),"?","~?"),'DEF_SELF_SCOUT_IMPORT'!$D$42:$D$1040,SUBSTITUTE(SUBSTITUTE(SUBSTITUTE($P1389,"~","~~"),"*","~*"),"?","~?"),'DEF_SELF_SCOUT_IMPORT'!$J$42:$J$1040,"")&gt;0,"Unscored clean outcome; review result tags before using score.",IF(C1389=0,"No matching defensive reps; film confirmation needed.",IF(K1389="Explosive Alert","Explosive risk; review clips before using as answer.",IF(C1389&lt;=2,"Track only; not enough sample.",IF(C1389=3,IF(E1389&gt;0,"Sample watch with explosive exposure; review clips and build the sample.",IF(J1389&gt;=65,"Good signal, but sample is limited.","Sample watch; review clips and build the sample.")),IF(K1389="Problem Call","Problem area; practice or call-sheet review.",IF(K1389="Strong Candidate","Strong call-fit candidate; confirm on film.",IF(K1389="Good Candidate","Good call-fit signal; confirm on film.","Mixed signal; review fit and execution on film."))))))))</f>
        <v>Track only; not enough sample.</v>
      </c>
      <c r="M1389" s="8"/>
      <c r="N1389" s="8"/>
      <c r="O1389" s="8"/>
      <c r="P1389" s="8" t="s">
        <v>465</v>
      </c>
      <c r="Q1389" s="8"/>
      <c r="R1389" s="8" t="s">
        <v>633</v>
      </c>
      <c r="S1389" s="2" t="s">
        <v>650</v>
      </c>
      <c r="T1389" s="2">
        <f>IF(C1389=0,0,IF(C1389&gt;=CALL_LOOKUP_BOARD!$B$7,IF(OR(K1389="Problem Call",K1389="Explosive Alert"),10000000,20000000),0)+IF(C1389&gt;=CALL_LOOKUP_BOARD!$B$7,J1389*1000+MIN(C1389,999),C1389*1000+J1389)+0.00987400)</f>
        <v>1026.009874</v>
      </c>
      <c r="U1389" s="2">
        <f>IF(C1389=0,"",IF(COUNTIFS($S$1264:$S$1440,SUBSTITUTE(SUBSTITUTE(SUBSTITUTE(S1389,"~","~~"),"*","~*"),"?","~?"),$T$1264:$T$1440,"&gt;"&amp;T1389)=0,S1389,""))</f>
        <v/>
      </c>
    </row>
    <row r="1390" spans="1:21" ht="38" customHeight="1">
      <c r="A1390" s="8" t="s">
        <v>465</v>
      </c>
      <c r="B1390" s="8" t="s">
        <v>68</v>
      </c>
      <c r="C1390" s="12">
        <f>COUNTIFS('DEF_SELF_SCOUT_IMPORT'!$L$42:$L$1040,"Y",'DEF_SELF_SCOUT_IMPORT'!$E$42:$E$1040,SUBSTITUTE(SUBSTITUTE(SUBSTITUTE($B1390,"~","~~"),"*","~*"),"?","~?"),'DEF_SELF_SCOUT_IMPORT'!$D$42:$D$1040,SUBSTITUTE(SUBSTITUTE(SUBSTITUTE($P1390,"~","~~"),"*","~*"),"?","~?"))</f>
        <v>1</v>
      </c>
      <c r="D1390" s="10">
        <f>IF($C1390=0,"",SUMIFS('DEF_SELF_SCOUT_IMPORT'!$J$42:$J$1040,'DEF_SELF_SCOUT_IMPORT'!$L$42:$L$1040,"Y",'DEF_SELF_SCOUT_IMPORT'!$E$42:$E$1040,SUBSTITUTE(SUBSTITUTE(SUBSTITUTE($B1390,"~","~~"),"*","~*"),"?","~?"),'DEF_SELF_SCOUT_IMPORT'!$D$42:$D$1040,SUBSTITUTE(SUBSTITUTE(SUBSTITUTE($P1390,"~","~~"),"*","~*"),"?","~?"))/$C1390)</f>
        <v>0.0</v>
      </c>
      <c r="E1390" s="10">
        <f>IF($C1390=0,"",SUMIFS('DEF_SELF_SCOUT_IMPORT'!$K$42:$K$1040,'DEF_SELF_SCOUT_IMPORT'!$L$42:$L$1040,"Y",'DEF_SELF_SCOUT_IMPORT'!$E$42:$E$1040,SUBSTITUTE(SUBSTITUTE(SUBSTITUTE($B1390,"~","~~"),"*","~*"),"?","~?"),'DEF_SELF_SCOUT_IMPORT'!$D$42:$D$1040,SUBSTITUTE(SUBSTITUTE(SUBSTITUTE($P1390,"~","~~"),"*","~*"),"?","~?"))/$C1390)</f>
        <v>0.0</v>
      </c>
      <c r="F1390" s="11">
        <f>IF($C1390=0,"",AVERAGEIFS('DEF_SELF_SCOUT_IMPORT'!$I$42:$I$1040,'DEF_SELF_SCOUT_IMPORT'!$L$42:$L$1040,"Y",'DEF_SELF_SCOUT_IMPORT'!$E$42:$E$1040,SUBSTITUTE(SUBSTITUTE(SUBSTITUTE($B1390,"~","~~"),"*","~*"),"?","~?"),'DEF_SELF_SCOUT_IMPORT'!$D$42:$D$1040,SUBSTITUTE(SUBSTITUTE(SUBSTITUTE($P1390,"~","~~"),"*","~*"),"?","~?")))</f>
        <v>4.0</v>
      </c>
      <c r="G1390" s="10">
        <f>IF($C1390=0,"",COUNTIFS('DEF_SELF_SCOUT_IMPORT'!$L$42:$L$1040,"Y",'DEF_SELF_SCOUT_IMPORT'!$E$42:$E$1040,SUBSTITUTE(SUBSTITUTE(SUBSTITUTE($B1390,"~","~~"),"*","~*"),"?","~?"),'DEF_SELF_SCOUT_IMPORT'!$D$42:$D$1040,SUBSTITUTE(SUBSTITUTE(SUBSTITUTE($P1390,"~","~~"),"*","~*"),"?","~?"),'DEF_SELF_SCOUT_IMPORT'!$H$42:$H$1040,"RUSH")/$C1390)</f>
        <v>1.0</v>
      </c>
      <c r="H1390" s="10">
        <f>IF($C1390=0,"",COUNTIFS('DEF_SELF_SCOUT_IMPORT'!$L$42:$L$1040,"Y",'DEF_SELF_SCOUT_IMPORT'!$E$42:$E$1040,SUBSTITUTE(SUBSTITUTE(SUBSTITUTE($B1390,"~","~~"),"*","~*"),"?","~?"),'DEF_SELF_SCOUT_IMPORT'!$D$42:$D$1040,SUBSTITUTE(SUBSTITUTE(SUBSTITUTE($P1390,"~","~~"),"*","~*"),"?","~?"),'DEF_SELF_SCOUT_IMPORT'!$H$42:$H$1040,"DROPBACK")/$C1390)</f>
        <v>0.0</v>
      </c>
      <c r="I1390" s="14" t="str">
        <f>IF(C1390=0,"",IF(C1390&lt;=2,"TRACK",IF(C1390=3,"LOW",IF(C1390&lt;=6,"MEDIUM","HIGH"))))</f>
        <v>TRACK</v>
      </c>
      <c r="J1390" s="11">
        <f>IF(C1390=0,"",ROUND(D1390*70+(1-E1390)*20+MAX(0,MIN(1,(10-F1390)/10))*10,1))</f>
        <v>26.0</v>
      </c>
      <c r="K1390" s="14" t="str">
        <f>IF(C1390=0,"No Evidence",IF(C1390&lt;=2,IF(E1390&gt;0,"Explosive Alert","Track Only"),IF(C1390=3,"Sample Watch",IF(E1390&gt;=START_HERE!$B$31,"Explosive Alert",IF(J1390&gt;=80,"Strong Candidate",IF(J1390&gt;=65,"Good Candidate",IF(J1390&gt;=50,"Mixed / Review","Problem Call")))))))</f>
        <v>Track Only</v>
      </c>
      <c r="L1390" s="9" t="str">
        <f>IF(COUNTIFS('DEF_SELF_SCOUT_IMPORT'!$L$42:$L$1040,"Y",'DEF_SELF_SCOUT_IMPORT'!$E$42:$E$1040,SUBSTITUTE(SUBSTITUTE(SUBSTITUTE($B1390,"~","~~"),"*","~*"),"?","~?"),'DEF_SELF_SCOUT_IMPORT'!$D$42:$D$1040,SUBSTITUTE(SUBSTITUTE(SUBSTITUTE($P1390,"~","~~"),"*","~*"),"?","~?"),'DEF_SELF_SCOUT_IMPORT'!$J$42:$J$1040,"")&gt;0,"Unscored clean outcome; review result tags before using score.",IF(C1390=0,"No matching defensive reps; film confirmation needed.",IF(K1390="Explosive Alert","Explosive risk; review clips before using as answer.",IF(C1390&lt;=2,"Track only; not enough sample.",IF(C1390=3,IF(E1390&gt;0,"Sample watch with explosive exposure; review clips and build the sample.",IF(J1390&gt;=65,"Good signal, but sample is limited.","Sample watch; review clips and build the sample.")),IF(K1390="Problem Call","Problem area; practice or call-sheet review.",IF(K1390="Strong Candidate","Strong call-fit candidate; confirm on film.",IF(K1390="Good Candidate","Good call-fit signal; confirm on film.","Mixed signal; review fit and execution on film."))))))))</f>
        <v>Track only; not enough sample.</v>
      </c>
      <c r="M1390" s="8"/>
      <c r="N1390" s="8"/>
      <c r="O1390" s="8"/>
      <c r="P1390" s="8" t="s">
        <v>465</v>
      </c>
      <c r="Q1390" s="8"/>
      <c r="R1390" s="8" t="s">
        <v>633</v>
      </c>
      <c r="S1390" s="2" t="s">
        <v>650</v>
      </c>
      <c r="T1390" s="2">
        <f>IF(C1390=0,0,IF(C1390&gt;=CALL_LOOKUP_BOARD!$B$7,IF(OR(K1390="Problem Call",K1390="Explosive Alert"),10000000,20000000),0)+IF(C1390&gt;=CALL_LOOKUP_BOARD!$B$7,J1390*1000+MIN(C1390,999),C1390*1000+J1390)+0.00987300)</f>
        <v>1026.009873</v>
      </c>
      <c r="U1390" s="2">
        <f>IF(C1390=0,"",IF(COUNTIFS($S$1264:$S$1440,SUBSTITUTE(SUBSTITUTE(SUBSTITUTE(S1390,"~","~~"),"*","~*"),"?","~?"),$T$1264:$T$1440,"&gt;"&amp;T1390)=0,S1390,""))</f>
        <v/>
      </c>
    </row>
    <row r="1391" spans="1:21" ht="38" customHeight="1">
      <c r="A1391" s="8" t="s">
        <v>465</v>
      </c>
      <c r="B1391" s="8" t="s">
        <v>69</v>
      </c>
      <c r="C1391" s="12">
        <f>COUNTIFS('DEF_SELF_SCOUT_IMPORT'!$L$42:$L$1040,"Y",'DEF_SELF_SCOUT_IMPORT'!$E$42:$E$1040,SUBSTITUTE(SUBSTITUTE(SUBSTITUTE($B1391,"~","~~"),"*","~*"),"?","~?"),'DEF_SELF_SCOUT_IMPORT'!$D$42:$D$1040,SUBSTITUTE(SUBSTITUTE(SUBSTITUTE($P1391,"~","~~"),"*","~*"),"?","~?"))</f>
        <v>1</v>
      </c>
      <c r="D1391" s="10">
        <f>IF($C1391=0,"",SUMIFS('DEF_SELF_SCOUT_IMPORT'!$J$42:$J$1040,'DEF_SELF_SCOUT_IMPORT'!$L$42:$L$1040,"Y",'DEF_SELF_SCOUT_IMPORT'!$E$42:$E$1040,SUBSTITUTE(SUBSTITUTE(SUBSTITUTE($B1391,"~","~~"),"*","~*"),"?","~?"),'DEF_SELF_SCOUT_IMPORT'!$D$42:$D$1040,SUBSTITUTE(SUBSTITUTE(SUBSTITUTE($P1391,"~","~~"),"*","~*"),"?","~?"))/$C1391)</f>
        <v>1.0</v>
      </c>
      <c r="E1391" s="10">
        <f>IF($C1391=0,"",SUMIFS('DEF_SELF_SCOUT_IMPORT'!$K$42:$K$1040,'DEF_SELF_SCOUT_IMPORT'!$L$42:$L$1040,"Y",'DEF_SELF_SCOUT_IMPORT'!$E$42:$E$1040,SUBSTITUTE(SUBSTITUTE(SUBSTITUTE($B1391,"~","~~"),"*","~*"),"?","~?"),'DEF_SELF_SCOUT_IMPORT'!$D$42:$D$1040,SUBSTITUTE(SUBSTITUTE(SUBSTITUTE($P1391,"~","~~"),"*","~*"),"?","~?"))/$C1391)</f>
        <v>0.0</v>
      </c>
      <c r="F1391" s="11">
        <f>IF($C1391=0,"",AVERAGEIFS('DEF_SELF_SCOUT_IMPORT'!$I$42:$I$1040,'DEF_SELF_SCOUT_IMPORT'!$L$42:$L$1040,"Y",'DEF_SELF_SCOUT_IMPORT'!$E$42:$E$1040,SUBSTITUTE(SUBSTITUTE(SUBSTITUTE($B1391,"~","~~"),"*","~*"),"?","~?"),'DEF_SELF_SCOUT_IMPORT'!$D$42:$D$1040,SUBSTITUTE(SUBSTITUTE(SUBSTITUTE($P1391,"~","~~"),"*","~*"),"?","~?")))</f>
        <v>1.0</v>
      </c>
      <c r="G1391" s="10">
        <f>IF($C1391=0,"",COUNTIFS('DEF_SELF_SCOUT_IMPORT'!$L$42:$L$1040,"Y",'DEF_SELF_SCOUT_IMPORT'!$E$42:$E$1040,SUBSTITUTE(SUBSTITUTE(SUBSTITUTE($B1391,"~","~~"),"*","~*"),"?","~?"),'DEF_SELF_SCOUT_IMPORT'!$D$42:$D$1040,SUBSTITUTE(SUBSTITUTE(SUBSTITUTE($P1391,"~","~~"),"*","~*"),"?","~?"),'DEF_SELF_SCOUT_IMPORT'!$H$42:$H$1040,"RUSH")/$C1391)</f>
        <v>1.0</v>
      </c>
      <c r="H1391" s="10">
        <f>IF($C1391=0,"",COUNTIFS('DEF_SELF_SCOUT_IMPORT'!$L$42:$L$1040,"Y",'DEF_SELF_SCOUT_IMPORT'!$E$42:$E$1040,SUBSTITUTE(SUBSTITUTE(SUBSTITUTE($B1391,"~","~~"),"*","~*"),"?","~?"),'DEF_SELF_SCOUT_IMPORT'!$D$42:$D$1040,SUBSTITUTE(SUBSTITUTE(SUBSTITUTE($P1391,"~","~~"),"*","~*"),"?","~?"),'DEF_SELF_SCOUT_IMPORT'!$H$42:$H$1040,"DROPBACK")/$C1391)</f>
        <v>0.0</v>
      </c>
      <c r="I1391" s="14" t="str">
        <f>IF(C1391=0,"",IF(C1391&lt;=2,"TRACK",IF(C1391=3,"LOW",IF(C1391&lt;=6,"MEDIUM","HIGH"))))</f>
        <v>TRACK</v>
      </c>
      <c r="J1391" s="11">
        <f>IF(C1391=0,"",ROUND(D1391*70+(1-E1391)*20+MAX(0,MIN(1,(10-F1391)/10))*10,1))</f>
        <v>99.0</v>
      </c>
      <c r="K1391" s="14" t="str">
        <f>IF(C1391=0,"No Evidence",IF(C1391&lt;=2,IF(E1391&gt;0,"Explosive Alert","Track Only"),IF(C1391=3,"Sample Watch",IF(E1391&gt;=START_HERE!$B$31,"Explosive Alert",IF(J1391&gt;=80,"Strong Candidate",IF(J1391&gt;=65,"Good Candidate",IF(J1391&gt;=50,"Mixed / Review","Problem Call")))))))</f>
        <v>Track Only</v>
      </c>
      <c r="L1391" s="9" t="str">
        <f>IF(COUNTIFS('DEF_SELF_SCOUT_IMPORT'!$L$42:$L$1040,"Y",'DEF_SELF_SCOUT_IMPORT'!$E$42:$E$1040,SUBSTITUTE(SUBSTITUTE(SUBSTITUTE($B1391,"~","~~"),"*","~*"),"?","~?"),'DEF_SELF_SCOUT_IMPORT'!$D$42:$D$1040,SUBSTITUTE(SUBSTITUTE(SUBSTITUTE($P1391,"~","~~"),"*","~*"),"?","~?"),'DEF_SELF_SCOUT_IMPORT'!$J$42:$J$1040,"")&gt;0,"Unscored clean outcome; review result tags before using score.",IF(C1391=0,"No matching defensive reps; film confirmation needed.",IF(K1391="Explosive Alert","Explosive risk; review clips before using as answer.",IF(C1391&lt;=2,"Track only; not enough sample.",IF(C1391=3,IF(E1391&gt;0,"Sample watch with explosive exposure; review clips and build the sample.",IF(J1391&gt;=65,"Good signal, but sample is limited.","Sample watch; review clips and build the sample.")),IF(K1391="Problem Call","Problem area; practice or call-sheet review.",IF(K1391="Strong Candidate","Strong call-fit candidate; confirm on film.",IF(K1391="Good Candidate","Good call-fit signal; confirm on film.","Mixed signal; review fit and execution on film."))))))))</f>
        <v>Track only; not enough sample.</v>
      </c>
      <c r="M1391" s="8"/>
      <c r="N1391" s="8"/>
      <c r="O1391" s="8"/>
      <c r="P1391" s="8" t="s">
        <v>465</v>
      </c>
      <c r="Q1391" s="8"/>
      <c r="R1391" s="8" t="s">
        <v>633</v>
      </c>
      <c r="S1391" s="2" t="s">
        <v>650</v>
      </c>
      <c r="T1391" s="2">
        <f>IF(C1391=0,0,IF(C1391&gt;=CALL_LOOKUP_BOARD!$B$7,IF(OR(K1391="Problem Call",K1391="Explosive Alert"),10000000,20000000),0)+IF(C1391&gt;=CALL_LOOKUP_BOARD!$B$7,J1391*1000+MIN(C1391,999),C1391*1000+J1391)+0.00987200)</f>
        <v>1099.009872</v>
      </c>
      <c r="U1391" s="2">
        <f>IF(C1391=0,"",IF(COUNTIFS($S$1264:$S$1440,SUBSTITUTE(SUBSTITUTE(SUBSTITUTE(S1391,"~","~~"),"*","~*"),"?","~?"),$T$1264:$T$1440,"&gt;"&amp;T1391)=0,S1391,""))</f>
        <v/>
      </c>
    </row>
    <row r="1392" spans="1:21" ht="38" customHeight="1">
      <c r="A1392" s="8" t="s">
        <v>468</v>
      </c>
      <c r="B1392" s="8" t="s">
        <v>27</v>
      </c>
      <c r="C1392" s="12">
        <f>COUNTIFS('DEF_SELF_SCOUT_IMPORT'!$L$42:$L$1040,"Y",'DEF_SELF_SCOUT_IMPORT'!$E$42:$E$1040,SUBSTITUTE(SUBSTITUTE(SUBSTITUTE($B1392,"~","~~"),"*","~*"),"?","~?"),'DEF_SELF_SCOUT_IMPORT'!$D$42:$D$1040,SUBSTITUTE(SUBSTITUTE(SUBSTITUTE($P1392,"~","~~"),"*","~*"),"?","~?"))</f>
        <v>1</v>
      </c>
      <c r="D1392" s="10">
        <f>IF($C1392=0,"",SUMIFS('DEF_SELF_SCOUT_IMPORT'!$J$42:$J$1040,'DEF_SELF_SCOUT_IMPORT'!$L$42:$L$1040,"Y",'DEF_SELF_SCOUT_IMPORT'!$E$42:$E$1040,SUBSTITUTE(SUBSTITUTE(SUBSTITUTE($B1392,"~","~~"),"*","~*"),"?","~?"),'DEF_SELF_SCOUT_IMPORT'!$D$42:$D$1040,SUBSTITUTE(SUBSTITUTE(SUBSTITUTE($P1392,"~","~~"),"*","~*"),"?","~?"))/$C1392)</f>
        <v>0.0</v>
      </c>
      <c r="E1392" s="10">
        <f>IF($C1392=0,"",SUMIFS('DEF_SELF_SCOUT_IMPORT'!$K$42:$K$1040,'DEF_SELF_SCOUT_IMPORT'!$L$42:$L$1040,"Y",'DEF_SELF_SCOUT_IMPORT'!$E$42:$E$1040,SUBSTITUTE(SUBSTITUTE(SUBSTITUTE($B1392,"~","~~"),"*","~*"),"?","~?"),'DEF_SELF_SCOUT_IMPORT'!$D$42:$D$1040,SUBSTITUTE(SUBSTITUTE(SUBSTITUTE($P1392,"~","~~"),"*","~*"),"?","~?"))/$C1392)</f>
        <v>1.0</v>
      </c>
      <c r="F1392" s="11">
        <f>IF($C1392=0,"",AVERAGEIFS('DEF_SELF_SCOUT_IMPORT'!$I$42:$I$1040,'DEF_SELF_SCOUT_IMPORT'!$L$42:$L$1040,"Y",'DEF_SELF_SCOUT_IMPORT'!$E$42:$E$1040,SUBSTITUTE(SUBSTITUTE(SUBSTITUTE($B1392,"~","~~"),"*","~*"),"?","~?"),'DEF_SELF_SCOUT_IMPORT'!$D$42:$D$1040,SUBSTITUTE(SUBSTITUTE(SUBSTITUTE($P1392,"~","~~"),"*","~*"),"?","~?")))</f>
        <v>23.0</v>
      </c>
      <c r="G1392" s="10">
        <f>IF($C1392=0,"",COUNTIFS('DEF_SELF_SCOUT_IMPORT'!$L$42:$L$1040,"Y",'DEF_SELF_SCOUT_IMPORT'!$E$42:$E$1040,SUBSTITUTE(SUBSTITUTE(SUBSTITUTE($B1392,"~","~~"),"*","~*"),"?","~?"),'DEF_SELF_SCOUT_IMPORT'!$D$42:$D$1040,SUBSTITUTE(SUBSTITUTE(SUBSTITUTE($P1392,"~","~~"),"*","~*"),"?","~?"),'DEF_SELF_SCOUT_IMPORT'!$H$42:$H$1040,"RUSH")/$C1392)</f>
        <v>0.0</v>
      </c>
      <c r="H1392" s="10">
        <f>IF($C1392=0,"",COUNTIFS('DEF_SELF_SCOUT_IMPORT'!$L$42:$L$1040,"Y",'DEF_SELF_SCOUT_IMPORT'!$E$42:$E$1040,SUBSTITUTE(SUBSTITUTE(SUBSTITUTE($B1392,"~","~~"),"*","~*"),"?","~?"),'DEF_SELF_SCOUT_IMPORT'!$D$42:$D$1040,SUBSTITUTE(SUBSTITUTE(SUBSTITUTE($P1392,"~","~~"),"*","~*"),"?","~?"),'DEF_SELF_SCOUT_IMPORT'!$H$42:$H$1040,"DROPBACK")/$C1392)</f>
        <v>1.0</v>
      </c>
      <c r="I1392" s="14" t="str">
        <f>IF(C1392=0,"",IF(C1392&lt;=2,"TRACK",IF(C1392=3,"LOW",IF(C1392&lt;=6,"MEDIUM","HIGH"))))</f>
        <v>TRACK</v>
      </c>
      <c r="J1392" s="11">
        <f>IF(C1392=0,"",ROUND(D1392*70+(1-E1392)*20+MAX(0,MIN(1,(10-F1392)/10))*10,1))</f>
        <v>0.0</v>
      </c>
      <c r="K1392" s="14" t="str">
        <f>IF(C1392=0,"No Evidence",IF(C1392&lt;=2,IF(E1392&gt;0,"Explosive Alert","Track Only"),IF(C1392=3,"Sample Watch",IF(E1392&gt;=START_HERE!$B$31,"Explosive Alert",IF(J1392&gt;=80,"Strong Candidate",IF(J1392&gt;=65,"Good Candidate",IF(J1392&gt;=50,"Mixed / Review","Problem Call")))))))</f>
        <v>Explosive Alert</v>
      </c>
      <c r="L1392" s="9" t="str">
        <f>IF(COUNTIFS('DEF_SELF_SCOUT_IMPORT'!$L$42:$L$1040,"Y",'DEF_SELF_SCOUT_IMPORT'!$E$42:$E$1040,SUBSTITUTE(SUBSTITUTE(SUBSTITUTE($B1392,"~","~~"),"*","~*"),"?","~?"),'DEF_SELF_SCOUT_IMPORT'!$D$42:$D$1040,SUBSTITUTE(SUBSTITUTE(SUBSTITUTE($P1392,"~","~~"),"*","~*"),"?","~?"),'DEF_SELF_SCOUT_IMPORT'!$J$42:$J$1040,"")&gt;0,"Unscored clean outcome; review result tags before using score.",IF(C1392=0,"No matching defensive reps; film confirmation needed.",IF(K1392="Explosive Alert","Explosive risk; review clips before using as answer.",IF(C1392&lt;=2,"Track only; not enough sample.",IF(C1392=3,IF(E1392&gt;0,"Sample watch with explosive exposure; review clips and build the sample.",IF(J1392&gt;=65,"Good signal, but sample is limited.","Sample watch; review clips and build the sample.")),IF(K1392="Problem Call","Problem area; practice or call-sheet review.",IF(K1392="Strong Candidate","Strong call-fit candidate; confirm on film.",IF(K1392="Good Candidate","Good call-fit signal; confirm on film.","Mixed signal; review fit and execution on film."))))))))</f>
        <v>Explosive risk; review clips before using as answer.</v>
      </c>
      <c r="M1392" s="8"/>
      <c r="N1392" s="8"/>
      <c r="O1392" s="8"/>
      <c r="P1392" s="8" t="s">
        <v>468</v>
      </c>
      <c r="Q1392" s="8"/>
      <c r="R1392" s="8" t="s">
        <v>633</v>
      </c>
      <c r="S1392" s="2" t="s">
        <v>651</v>
      </c>
      <c r="T1392" s="2">
        <f>IF(C1392=0,0,IF(C1392&gt;=CALL_LOOKUP_BOARD!$B$7,IF(OR(K1392="Problem Call",K1392="Explosive Alert"),10000000,20000000),0)+IF(C1392&gt;=CALL_LOOKUP_BOARD!$B$7,J1392*1000+MIN(C1392,999),C1392*1000+J1392)+0.00987100)</f>
        <v>1000.009871</v>
      </c>
      <c r="U1392" s="2">
        <f>IF(C1392=0,"",IF(COUNTIFS($S$1264:$S$1440,SUBSTITUTE(SUBSTITUTE(SUBSTITUTE(S1392,"~","~~"),"*","~*"),"?","~?"),$T$1264:$T$1440,"&gt;"&amp;T1392)=0,S1392,""))</f>
        <v/>
      </c>
    </row>
    <row r="1393" spans="1:21" ht="38" customHeight="1">
      <c r="A1393" s="8" t="s">
        <v>468</v>
      </c>
      <c r="B1393" s="8" t="s">
        <v>43</v>
      </c>
      <c r="C1393" s="12">
        <f>COUNTIFS('DEF_SELF_SCOUT_IMPORT'!$L$42:$L$1040,"Y",'DEF_SELF_SCOUT_IMPORT'!$E$42:$E$1040,SUBSTITUTE(SUBSTITUTE(SUBSTITUTE($B1393,"~","~~"),"*","~*"),"?","~?"),'DEF_SELF_SCOUT_IMPORT'!$D$42:$D$1040,SUBSTITUTE(SUBSTITUTE(SUBSTITUTE($P1393,"~","~~"),"*","~*"),"?","~?"))</f>
        <v>1</v>
      </c>
      <c r="D1393" s="10">
        <f>IF($C1393=0,"",SUMIFS('DEF_SELF_SCOUT_IMPORT'!$J$42:$J$1040,'DEF_SELF_SCOUT_IMPORT'!$L$42:$L$1040,"Y",'DEF_SELF_SCOUT_IMPORT'!$E$42:$E$1040,SUBSTITUTE(SUBSTITUTE(SUBSTITUTE($B1393,"~","~~"),"*","~*"),"?","~?"),'DEF_SELF_SCOUT_IMPORT'!$D$42:$D$1040,SUBSTITUTE(SUBSTITUTE(SUBSTITUTE($P1393,"~","~~"),"*","~*"),"?","~?"))/$C1393)</f>
        <v>1.0</v>
      </c>
      <c r="E1393" s="10">
        <f>IF($C1393=0,"",SUMIFS('DEF_SELF_SCOUT_IMPORT'!$K$42:$K$1040,'DEF_SELF_SCOUT_IMPORT'!$L$42:$L$1040,"Y",'DEF_SELF_SCOUT_IMPORT'!$E$42:$E$1040,SUBSTITUTE(SUBSTITUTE(SUBSTITUTE($B1393,"~","~~"),"*","~*"),"?","~?"),'DEF_SELF_SCOUT_IMPORT'!$D$42:$D$1040,SUBSTITUTE(SUBSTITUTE(SUBSTITUTE($P1393,"~","~~"),"*","~*"),"?","~?"))/$C1393)</f>
        <v>0.0</v>
      </c>
      <c r="F1393" s="11">
        <f>IF($C1393=0,"",AVERAGEIFS('DEF_SELF_SCOUT_IMPORT'!$I$42:$I$1040,'DEF_SELF_SCOUT_IMPORT'!$L$42:$L$1040,"Y",'DEF_SELF_SCOUT_IMPORT'!$E$42:$E$1040,SUBSTITUTE(SUBSTITUTE(SUBSTITUTE($B1393,"~","~~"),"*","~*"),"?","~?"),'DEF_SELF_SCOUT_IMPORT'!$D$42:$D$1040,SUBSTITUTE(SUBSTITUTE(SUBSTITUTE($P1393,"~","~~"),"*","~*"),"?","~?")))</f>
        <v>6.0</v>
      </c>
      <c r="G1393" s="10">
        <f>IF($C1393=0,"",COUNTIFS('DEF_SELF_SCOUT_IMPORT'!$L$42:$L$1040,"Y",'DEF_SELF_SCOUT_IMPORT'!$E$42:$E$1040,SUBSTITUTE(SUBSTITUTE(SUBSTITUTE($B1393,"~","~~"),"*","~*"),"?","~?"),'DEF_SELF_SCOUT_IMPORT'!$D$42:$D$1040,SUBSTITUTE(SUBSTITUTE(SUBSTITUTE($P1393,"~","~~"),"*","~*"),"?","~?"),'DEF_SELF_SCOUT_IMPORT'!$H$42:$H$1040,"RUSH")/$C1393)</f>
        <v>0.0</v>
      </c>
      <c r="H1393" s="10">
        <f>IF($C1393=0,"",COUNTIFS('DEF_SELF_SCOUT_IMPORT'!$L$42:$L$1040,"Y",'DEF_SELF_SCOUT_IMPORT'!$E$42:$E$1040,SUBSTITUTE(SUBSTITUTE(SUBSTITUTE($B1393,"~","~~"),"*","~*"),"?","~?"),'DEF_SELF_SCOUT_IMPORT'!$D$42:$D$1040,SUBSTITUTE(SUBSTITUTE(SUBSTITUTE($P1393,"~","~~"),"*","~*"),"?","~?"),'DEF_SELF_SCOUT_IMPORT'!$H$42:$H$1040,"DROPBACK")/$C1393)</f>
        <v>1.0</v>
      </c>
      <c r="I1393" s="14" t="str">
        <f>IF(C1393=0,"",IF(C1393&lt;=2,"TRACK",IF(C1393=3,"LOW",IF(C1393&lt;=6,"MEDIUM","HIGH"))))</f>
        <v>TRACK</v>
      </c>
      <c r="J1393" s="11">
        <f>IF(C1393=0,"",ROUND(D1393*70+(1-E1393)*20+MAX(0,MIN(1,(10-F1393)/10))*10,1))</f>
        <v>94.0</v>
      </c>
      <c r="K1393" s="14" t="str">
        <f>IF(C1393=0,"No Evidence",IF(C1393&lt;=2,IF(E1393&gt;0,"Explosive Alert","Track Only"),IF(C1393=3,"Sample Watch",IF(E1393&gt;=START_HERE!$B$31,"Explosive Alert",IF(J1393&gt;=80,"Strong Candidate",IF(J1393&gt;=65,"Good Candidate",IF(J1393&gt;=50,"Mixed / Review","Problem Call")))))))</f>
        <v>Track Only</v>
      </c>
      <c r="L1393" s="9" t="str">
        <f>IF(COUNTIFS('DEF_SELF_SCOUT_IMPORT'!$L$42:$L$1040,"Y",'DEF_SELF_SCOUT_IMPORT'!$E$42:$E$1040,SUBSTITUTE(SUBSTITUTE(SUBSTITUTE($B1393,"~","~~"),"*","~*"),"?","~?"),'DEF_SELF_SCOUT_IMPORT'!$D$42:$D$1040,SUBSTITUTE(SUBSTITUTE(SUBSTITUTE($P1393,"~","~~"),"*","~*"),"?","~?"),'DEF_SELF_SCOUT_IMPORT'!$J$42:$J$1040,"")&gt;0,"Unscored clean outcome; review result tags before using score.",IF(C1393=0,"No matching defensive reps; film confirmation needed.",IF(K1393="Explosive Alert","Explosive risk; review clips before using as answer.",IF(C1393&lt;=2,"Track only; not enough sample.",IF(C1393=3,IF(E1393&gt;0,"Sample watch with explosive exposure; review clips and build the sample.",IF(J1393&gt;=65,"Good signal, but sample is limited.","Sample watch; review clips and build the sample.")),IF(K1393="Problem Call","Problem area; practice or call-sheet review.",IF(K1393="Strong Candidate","Strong call-fit candidate; confirm on film.",IF(K1393="Good Candidate","Good call-fit signal; confirm on film.","Mixed signal; review fit and execution on film."))))))))</f>
        <v>Track only; not enough sample.</v>
      </c>
      <c r="M1393" s="8"/>
      <c r="N1393" s="8"/>
      <c r="O1393" s="8"/>
      <c r="P1393" s="8" t="s">
        <v>468</v>
      </c>
      <c r="Q1393" s="8"/>
      <c r="R1393" s="8" t="s">
        <v>633</v>
      </c>
      <c r="S1393" s="2" t="s">
        <v>651</v>
      </c>
      <c r="T1393" s="2">
        <f>IF(C1393=0,0,IF(C1393&gt;=CALL_LOOKUP_BOARD!$B$7,IF(OR(K1393="Problem Call",K1393="Explosive Alert"),10000000,20000000),0)+IF(C1393&gt;=CALL_LOOKUP_BOARD!$B$7,J1393*1000+MIN(C1393,999),C1393*1000+J1393)+0.00987000)</f>
        <v>1094.00987</v>
      </c>
      <c r="U1393" s="2">
        <f>IF(C1393=0,"",IF(COUNTIFS($S$1264:$S$1440,SUBSTITUTE(SUBSTITUTE(SUBSTITUTE(S1393,"~","~~"),"*","~*"),"?","~?"),$T$1264:$T$1440,"&gt;"&amp;T1393)=0,S1393,""))</f>
        <v/>
      </c>
    </row>
    <row r="1394" spans="1:21" ht="38" customHeight="1">
      <c r="A1394" s="8" t="s">
        <v>468</v>
      </c>
      <c r="B1394" s="8" t="s">
        <v>44</v>
      </c>
      <c r="C1394" s="12">
        <f>COUNTIFS('DEF_SELF_SCOUT_IMPORT'!$L$42:$L$1040,"Y",'DEF_SELF_SCOUT_IMPORT'!$E$42:$E$1040,SUBSTITUTE(SUBSTITUTE(SUBSTITUTE($B1394,"~","~~"),"*","~*"),"?","~?"),'DEF_SELF_SCOUT_IMPORT'!$D$42:$D$1040,SUBSTITUTE(SUBSTITUTE(SUBSTITUTE($P1394,"~","~~"),"*","~*"),"?","~?"))</f>
        <v>2</v>
      </c>
      <c r="D1394" s="10">
        <f>IF($C1394=0,"",SUMIFS('DEF_SELF_SCOUT_IMPORT'!$J$42:$J$1040,'DEF_SELF_SCOUT_IMPORT'!$L$42:$L$1040,"Y",'DEF_SELF_SCOUT_IMPORT'!$E$42:$E$1040,SUBSTITUTE(SUBSTITUTE(SUBSTITUTE($B1394,"~","~~"),"*","~*"),"?","~?"),'DEF_SELF_SCOUT_IMPORT'!$D$42:$D$1040,SUBSTITUTE(SUBSTITUTE(SUBSTITUTE($P1394,"~","~~"),"*","~*"),"?","~?"))/$C1394)</f>
        <v>0.0</v>
      </c>
      <c r="E1394" s="10">
        <f>IF($C1394=0,"",SUMIFS('DEF_SELF_SCOUT_IMPORT'!$K$42:$K$1040,'DEF_SELF_SCOUT_IMPORT'!$L$42:$L$1040,"Y",'DEF_SELF_SCOUT_IMPORT'!$E$42:$E$1040,SUBSTITUTE(SUBSTITUTE(SUBSTITUTE($B1394,"~","~~"),"*","~*"),"?","~?"),'DEF_SELF_SCOUT_IMPORT'!$D$42:$D$1040,SUBSTITUTE(SUBSTITUTE(SUBSTITUTE($P1394,"~","~~"),"*","~*"),"?","~?"))/$C1394)</f>
        <v>0.5</v>
      </c>
      <c r="F1394" s="11">
        <f>IF($C1394=0,"",AVERAGEIFS('DEF_SELF_SCOUT_IMPORT'!$I$42:$I$1040,'DEF_SELF_SCOUT_IMPORT'!$L$42:$L$1040,"Y",'DEF_SELF_SCOUT_IMPORT'!$E$42:$E$1040,SUBSTITUTE(SUBSTITUTE(SUBSTITUTE($B1394,"~","~~"),"*","~*"),"?","~?"),'DEF_SELF_SCOUT_IMPORT'!$D$42:$D$1040,SUBSTITUTE(SUBSTITUTE(SUBSTITUTE($P1394,"~","~~"),"*","~*"),"?","~?")))</f>
        <v>28.0</v>
      </c>
      <c r="G1394" s="10">
        <f>IF($C1394=0,"",COUNTIFS('DEF_SELF_SCOUT_IMPORT'!$L$42:$L$1040,"Y",'DEF_SELF_SCOUT_IMPORT'!$E$42:$E$1040,SUBSTITUTE(SUBSTITUTE(SUBSTITUTE($B1394,"~","~~"),"*","~*"),"?","~?"),'DEF_SELF_SCOUT_IMPORT'!$D$42:$D$1040,SUBSTITUTE(SUBSTITUTE(SUBSTITUTE($P1394,"~","~~"),"*","~*"),"?","~?"),'DEF_SELF_SCOUT_IMPORT'!$H$42:$H$1040,"RUSH")/$C1394)</f>
        <v>0.0</v>
      </c>
      <c r="H1394" s="10">
        <f>IF($C1394=0,"",COUNTIFS('DEF_SELF_SCOUT_IMPORT'!$L$42:$L$1040,"Y",'DEF_SELF_SCOUT_IMPORT'!$E$42:$E$1040,SUBSTITUTE(SUBSTITUTE(SUBSTITUTE($B1394,"~","~~"),"*","~*"),"?","~?"),'DEF_SELF_SCOUT_IMPORT'!$D$42:$D$1040,SUBSTITUTE(SUBSTITUTE(SUBSTITUTE($P1394,"~","~~"),"*","~*"),"?","~?"),'DEF_SELF_SCOUT_IMPORT'!$H$42:$H$1040,"DROPBACK")/$C1394)</f>
        <v>1.0</v>
      </c>
      <c r="I1394" s="14" t="str">
        <f>IF(C1394=0,"",IF(C1394&lt;=2,"TRACK",IF(C1394=3,"LOW",IF(C1394&lt;=6,"MEDIUM","HIGH"))))</f>
        <v>TRACK</v>
      </c>
      <c r="J1394" s="11">
        <f>IF(C1394=0,"",ROUND(D1394*70+(1-E1394)*20+MAX(0,MIN(1,(10-F1394)/10))*10,1))</f>
        <v>10.0</v>
      </c>
      <c r="K1394" s="14" t="str">
        <f>IF(C1394=0,"No Evidence",IF(C1394&lt;=2,IF(E1394&gt;0,"Explosive Alert","Track Only"),IF(C1394=3,"Sample Watch",IF(E1394&gt;=START_HERE!$B$31,"Explosive Alert",IF(J1394&gt;=80,"Strong Candidate",IF(J1394&gt;=65,"Good Candidate",IF(J1394&gt;=50,"Mixed / Review","Problem Call")))))))</f>
        <v>Explosive Alert</v>
      </c>
      <c r="L1394" s="9" t="str">
        <f>IF(COUNTIFS('DEF_SELF_SCOUT_IMPORT'!$L$42:$L$1040,"Y",'DEF_SELF_SCOUT_IMPORT'!$E$42:$E$1040,SUBSTITUTE(SUBSTITUTE(SUBSTITUTE($B1394,"~","~~"),"*","~*"),"?","~?"),'DEF_SELF_SCOUT_IMPORT'!$D$42:$D$1040,SUBSTITUTE(SUBSTITUTE(SUBSTITUTE($P1394,"~","~~"),"*","~*"),"?","~?"),'DEF_SELF_SCOUT_IMPORT'!$J$42:$J$1040,"")&gt;0,"Unscored clean outcome; review result tags before using score.",IF(C1394=0,"No matching defensive reps; film confirmation needed.",IF(K1394="Explosive Alert","Explosive risk; review clips before using as answer.",IF(C1394&lt;=2,"Track only; not enough sample.",IF(C1394=3,IF(E1394&gt;0,"Sample watch with explosive exposure; review clips and build the sample.",IF(J1394&gt;=65,"Good signal, but sample is limited.","Sample watch; review clips and build the sample.")),IF(K1394="Problem Call","Problem area; practice or call-sheet review.",IF(K1394="Strong Candidate","Strong call-fit candidate; confirm on film.",IF(K1394="Good Candidate","Good call-fit signal; confirm on film.","Mixed signal; review fit and execution on film."))))))))</f>
        <v>Explosive risk; review clips before using as answer.</v>
      </c>
      <c r="M1394" s="8"/>
      <c r="N1394" s="8"/>
      <c r="O1394" s="8"/>
      <c r="P1394" s="8" t="s">
        <v>468</v>
      </c>
      <c r="Q1394" s="8"/>
      <c r="R1394" s="8" t="s">
        <v>633</v>
      </c>
      <c r="S1394" s="2" t="s">
        <v>651</v>
      </c>
      <c r="T1394" s="2">
        <f>IF(C1394=0,0,IF(C1394&gt;=CALL_LOOKUP_BOARD!$B$7,IF(OR(K1394="Problem Call",K1394="Explosive Alert"),10000000,20000000),0)+IF(C1394&gt;=CALL_LOOKUP_BOARD!$B$7,J1394*1000+MIN(C1394,999),C1394*1000+J1394)+0.00986900)</f>
        <v>2010.009869</v>
      </c>
      <c r="U1394" s="2">
        <f>IF(C1394=0,"",IF(COUNTIFS($S$1264:$S$1440,SUBSTITUTE(SUBSTITUTE(SUBSTITUTE(S1394,"~","~~"),"*","~*"),"?","~?"),$T$1264:$T$1440,"&gt;"&amp;T1394)=0,S1394,""))</f>
        <v/>
      </c>
    </row>
    <row r="1395" spans="1:21" ht="38" customHeight="1">
      <c r="A1395" s="8" t="s">
        <v>468</v>
      </c>
      <c r="B1395" s="8" t="s">
        <v>46</v>
      </c>
      <c r="C1395" s="12">
        <f>COUNTIFS('DEF_SELF_SCOUT_IMPORT'!$L$42:$L$1040,"Y",'DEF_SELF_SCOUT_IMPORT'!$E$42:$E$1040,SUBSTITUTE(SUBSTITUTE(SUBSTITUTE($B1395,"~","~~"),"*","~*"),"?","~?"),'DEF_SELF_SCOUT_IMPORT'!$D$42:$D$1040,SUBSTITUTE(SUBSTITUTE(SUBSTITUTE($P1395,"~","~~"),"*","~*"),"?","~?"))</f>
        <v>1</v>
      </c>
      <c r="D1395" s="10">
        <f>IF($C1395=0,"",SUMIFS('DEF_SELF_SCOUT_IMPORT'!$J$42:$J$1040,'DEF_SELF_SCOUT_IMPORT'!$L$42:$L$1040,"Y",'DEF_SELF_SCOUT_IMPORT'!$E$42:$E$1040,SUBSTITUTE(SUBSTITUTE(SUBSTITUTE($B1395,"~","~~"),"*","~*"),"?","~?"),'DEF_SELF_SCOUT_IMPORT'!$D$42:$D$1040,SUBSTITUTE(SUBSTITUTE(SUBSTITUTE($P1395,"~","~~"),"*","~*"),"?","~?"))/$C1395)</f>
        <v>1.0</v>
      </c>
      <c r="E1395" s="10">
        <f>IF($C1395=0,"",SUMIFS('DEF_SELF_SCOUT_IMPORT'!$K$42:$K$1040,'DEF_SELF_SCOUT_IMPORT'!$L$42:$L$1040,"Y",'DEF_SELF_SCOUT_IMPORT'!$E$42:$E$1040,SUBSTITUTE(SUBSTITUTE(SUBSTITUTE($B1395,"~","~~"),"*","~*"),"?","~?"),'DEF_SELF_SCOUT_IMPORT'!$D$42:$D$1040,SUBSTITUTE(SUBSTITUTE(SUBSTITUTE($P1395,"~","~~"),"*","~*"),"?","~?"))/$C1395)</f>
        <v>0.0</v>
      </c>
      <c r="F1395" s="11">
        <f>IF($C1395=0,"",AVERAGEIFS('DEF_SELF_SCOUT_IMPORT'!$I$42:$I$1040,'DEF_SELF_SCOUT_IMPORT'!$L$42:$L$1040,"Y",'DEF_SELF_SCOUT_IMPORT'!$E$42:$E$1040,SUBSTITUTE(SUBSTITUTE(SUBSTITUTE($B1395,"~","~~"),"*","~*"),"?","~?"),'DEF_SELF_SCOUT_IMPORT'!$D$42:$D$1040,SUBSTITUTE(SUBSTITUTE(SUBSTITUTE($P1395,"~","~~"),"*","~*"),"?","~?")))</f>
        <v>0.0</v>
      </c>
      <c r="G1395" s="10">
        <f>IF($C1395=0,"",COUNTIFS('DEF_SELF_SCOUT_IMPORT'!$L$42:$L$1040,"Y",'DEF_SELF_SCOUT_IMPORT'!$E$42:$E$1040,SUBSTITUTE(SUBSTITUTE(SUBSTITUTE($B1395,"~","~~"),"*","~*"),"?","~?"),'DEF_SELF_SCOUT_IMPORT'!$D$42:$D$1040,SUBSTITUTE(SUBSTITUTE(SUBSTITUTE($P1395,"~","~~"),"*","~*"),"?","~?"),'DEF_SELF_SCOUT_IMPORT'!$H$42:$H$1040,"RUSH")/$C1395)</f>
        <v>0.0</v>
      </c>
      <c r="H1395" s="10">
        <f>IF($C1395=0,"",COUNTIFS('DEF_SELF_SCOUT_IMPORT'!$L$42:$L$1040,"Y",'DEF_SELF_SCOUT_IMPORT'!$E$42:$E$1040,SUBSTITUTE(SUBSTITUTE(SUBSTITUTE($B1395,"~","~~"),"*","~*"),"?","~?"),'DEF_SELF_SCOUT_IMPORT'!$D$42:$D$1040,SUBSTITUTE(SUBSTITUTE(SUBSTITUTE($P1395,"~","~~"),"*","~*"),"?","~?"),'DEF_SELF_SCOUT_IMPORT'!$H$42:$H$1040,"DROPBACK")/$C1395)</f>
        <v>1.0</v>
      </c>
      <c r="I1395" s="14" t="str">
        <f>IF(C1395=0,"",IF(C1395&lt;=2,"TRACK",IF(C1395=3,"LOW",IF(C1395&lt;=6,"MEDIUM","HIGH"))))</f>
        <v>TRACK</v>
      </c>
      <c r="J1395" s="11">
        <f>IF(C1395=0,"",ROUND(D1395*70+(1-E1395)*20+MAX(0,MIN(1,(10-F1395)/10))*10,1))</f>
        <v>100.0</v>
      </c>
      <c r="K1395" s="14" t="str">
        <f>IF(C1395=0,"No Evidence",IF(C1395&lt;=2,IF(E1395&gt;0,"Explosive Alert","Track Only"),IF(C1395=3,"Sample Watch",IF(E1395&gt;=START_HERE!$B$31,"Explosive Alert",IF(J1395&gt;=80,"Strong Candidate",IF(J1395&gt;=65,"Good Candidate",IF(J1395&gt;=50,"Mixed / Review","Problem Call")))))))</f>
        <v>Track Only</v>
      </c>
      <c r="L1395" s="9" t="str">
        <f>IF(COUNTIFS('DEF_SELF_SCOUT_IMPORT'!$L$42:$L$1040,"Y",'DEF_SELF_SCOUT_IMPORT'!$E$42:$E$1040,SUBSTITUTE(SUBSTITUTE(SUBSTITUTE($B1395,"~","~~"),"*","~*"),"?","~?"),'DEF_SELF_SCOUT_IMPORT'!$D$42:$D$1040,SUBSTITUTE(SUBSTITUTE(SUBSTITUTE($P1395,"~","~~"),"*","~*"),"?","~?"),'DEF_SELF_SCOUT_IMPORT'!$J$42:$J$1040,"")&gt;0,"Unscored clean outcome; review result tags before using score.",IF(C1395=0,"No matching defensive reps; film confirmation needed.",IF(K1395="Explosive Alert","Explosive risk; review clips before using as answer.",IF(C1395&lt;=2,"Track only; not enough sample.",IF(C1395=3,IF(E1395&gt;0,"Sample watch with explosive exposure; review clips and build the sample.",IF(J1395&gt;=65,"Good signal, but sample is limited.","Sample watch; review clips and build the sample.")),IF(K1395="Problem Call","Problem area; practice or call-sheet review.",IF(K1395="Strong Candidate","Strong call-fit candidate; confirm on film.",IF(K1395="Good Candidate","Good call-fit signal; confirm on film.","Mixed signal; review fit and execution on film."))))))))</f>
        <v>Track only; not enough sample.</v>
      </c>
      <c r="M1395" s="8"/>
      <c r="N1395" s="8"/>
      <c r="O1395" s="8"/>
      <c r="P1395" s="8" t="s">
        <v>468</v>
      </c>
      <c r="Q1395" s="8"/>
      <c r="R1395" s="8" t="s">
        <v>633</v>
      </c>
      <c r="S1395" s="2" t="s">
        <v>651</v>
      </c>
      <c r="T1395" s="2">
        <f>IF(C1395=0,0,IF(C1395&gt;=CALL_LOOKUP_BOARD!$B$7,IF(OR(K1395="Problem Call",K1395="Explosive Alert"),10000000,20000000),0)+IF(C1395&gt;=CALL_LOOKUP_BOARD!$B$7,J1395*1000+MIN(C1395,999),C1395*1000+J1395)+0.00986800)</f>
        <v>1100.009868</v>
      </c>
      <c r="U1395" s="2">
        <f>IF(C1395=0,"",IF(COUNTIFS($S$1264:$S$1440,SUBSTITUTE(SUBSTITUTE(SUBSTITUTE(S1395,"~","~~"),"*","~*"),"?","~?"),$T$1264:$T$1440,"&gt;"&amp;T1395)=0,S1395,""))</f>
        <v/>
      </c>
    </row>
    <row r="1396" spans="1:21" ht="38" customHeight="1">
      <c r="A1396" s="8" t="s">
        <v>468</v>
      </c>
      <c r="B1396" s="8" t="s">
        <v>48</v>
      </c>
      <c r="C1396" s="12">
        <f>COUNTIFS('DEF_SELF_SCOUT_IMPORT'!$L$42:$L$1040,"Y",'DEF_SELF_SCOUT_IMPORT'!$E$42:$E$1040,SUBSTITUTE(SUBSTITUTE(SUBSTITUTE($B1396,"~","~~"),"*","~*"),"?","~?"),'DEF_SELF_SCOUT_IMPORT'!$D$42:$D$1040,SUBSTITUTE(SUBSTITUTE(SUBSTITUTE($P1396,"~","~~"),"*","~*"),"?","~?"))</f>
        <v>1</v>
      </c>
      <c r="D1396" s="10">
        <f>IF($C1396=0,"",SUMIFS('DEF_SELF_SCOUT_IMPORT'!$J$42:$J$1040,'DEF_SELF_SCOUT_IMPORT'!$L$42:$L$1040,"Y",'DEF_SELF_SCOUT_IMPORT'!$E$42:$E$1040,SUBSTITUTE(SUBSTITUTE(SUBSTITUTE($B1396,"~","~~"),"*","~*"),"?","~?"),'DEF_SELF_SCOUT_IMPORT'!$D$42:$D$1040,SUBSTITUTE(SUBSTITUTE(SUBSTITUTE($P1396,"~","~~"),"*","~*"),"?","~?"))/$C1396)</f>
        <v>1.0</v>
      </c>
      <c r="E1396" s="10">
        <f>IF($C1396=0,"",SUMIFS('DEF_SELF_SCOUT_IMPORT'!$K$42:$K$1040,'DEF_SELF_SCOUT_IMPORT'!$L$42:$L$1040,"Y",'DEF_SELF_SCOUT_IMPORT'!$E$42:$E$1040,SUBSTITUTE(SUBSTITUTE(SUBSTITUTE($B1396,"~","~~"),"*","~*"),"?","~?"),'DEF_SELF_SCOUT_IMPORT'!$D$42:$D$1040,SUBSTITUTE(SUBSTITUTE(SUBSTITUTE($P1396,"~","~~"),"*","~*"),"?","~?"))/$C1396)</f>
        <v>0.0</v>
      </c>
      <c r="F1396" s="11">
        <f>IF($C1396=0,"",AVERAGEIFS('DEF_SELF_SCOUT_IMPORT'!$I$42:$I$1040,'DEF_SELF_SCOUT_IMPORT'!$L$42:$L$1040,"Y",'DEF_SELF_SCOUT_IMPORT'!$E$42:$E$1040,SUBSTITUTE(SUBSTITUTE(SUBSTITUTE($B1396,"~","~~"),"*","~*"),"?","~?"),'DEF_SELF_SCOUT_IMPORT'!$D$42:$D$1040,SUBSTITUTE(SUBSTITUTE(SUBSTITUTE($P1396,"~","~~"),"*","~*"),"?","~?")))</f>
        <v>-8.0</v>
      </c>
      <c r="G1396" s="10">
        <f>IF($C1396=0,"",COUNTIFS('DEF_SELF_SCOUT_IMPORT'!$L$42:$L$1040,"Y",'DEF_SELF_SCOUT_IMPORT'!$E$42:$E$1040,SUBSTITUTE(SUBSTITUTE(SUBSTITUTE($B1396,"~","~~"),"*","~*"),"?","~?"),'DEF_SELF_SCOUT_IMPORT'!$D$42:$D$1040,SUBSTITUTE(SUBSTITUTE(SUBSTITUTE($P1396,"~","~~"),"*","~*"),"?","~?"),'DEF_SELF_SCOUT_IMPORT'!$H$42:$H$1040,"RUSH")/$C1396)</f>
        <v>0.0</v>
      </c>
      <c r="H1396" s="10">
        <f>IF($C1396=0,"",COUNTIFS('DEF_SELF_SCOUT_IMPORT'!$L$42:$L$1040,"Y",'DEF_SELF_SCOUT_IMPORT'!$E$42:$E$1040,SUBSTITUTE(SUBSTITUTE(SUBSTITUTE($B1396,"~","~~"),"*","~*"),"?","~?"),'DEF_SELF_SCOUT_IMPORT'!$D$42:$D$1040,SUBSTITUTE(SUBSTITUTE(SUBSTITUTE($P1396,"~","~~"),"*","~*"),"?","~?"),'DEF_SELF_SCOUT_IMPORT'!$H$42:$H$1040,"DROPBACK")/$C1396)</f>
        <v>1.0</v>
      </c>
      <c r="I1396" s="14" t="str">
        <f>IF(C1396=0,"",IF(C1396&lt;=2,"TRACK",IF(C1396=3,"LOW",IF(C1396&lt;=6,"MEDIUM","HIGH"))))</f>
        <v>TRACK</v>
      </c>
      <c r="J1396" s="11">
        <f>IF(C1396=0,"",ROUND(D1396*70+(1-E1396)*20+MAX(0,MIN(1,(10-F1396)/10))*10,1))</f>
        <v>100.0</v>
      </c>
      <c r="K1396" s="14" t="str">
        <f>IF(C1396=0,"No Evidence",IF(C1396&lt;=2,IF(E1396&gt;0,"Explosive Alert","Track Only"),IF(C1396=3,"Sample Watch",IF(E1396&gt;=START_HERE!$B$31,"Explosive Alert",IF(J1396&gt;=80,"Strong Candidate",IF(J1396&gt;=65,"Good Candidate",IF(J1396&gt;=50,"Mixed / Review","Problem Call")))))))</f>
        <v>Track Only</v>
      </c>
      <c r="L1396" s="9" t="str">
        <f>IF(COUNTIFS('DEF_SELF_SCOUT_IMPORT'!$L$42:$L$1040,"Y",'DEF_SELF_SCOUT_IMPORT'!$E$42:$E$1040,SUBSTITUTE(SUBSTITUTE(SUBSTITUTE($B1396,"~","~~"),"*","~*"),"?","~?"),'DEF_SELF_SCOUT_IMPORT'!$D$42:$D$1040,SUBSTITUTE(SUBSTITUTE(SUBSTITUTE($P1396,"~","~~"),"*","~*"),"?","~?"),'DEF_SELF_SCOUT_IMPORT'!$J$42:$J$1040,"")&gt;0,"Unscored clean outcome; review result tags before using score.",IF(C1396=0,"No matching defensive reps; film confirmation needed.",IF(K1396="Explosive Alert","Explosive risk; review clips before using as answer.",IF(C1396&lt;=2,"Track only; not enough sample.",IF(C1396=3,IF(E1396&gt;0,"Sample watch with explosive exposure; review clips and build the sample.",IF(J1396&gt;=65,"Good signal, but sample is limited.","Sample watch; review clips and build the sample.")),IF(K1396="Problem Call","Problem area; practice or call-sheet review.",IF(K1396="Strong Candidate","Strong call-fit candidate; confirm on film.",IF(K1396="Good Candidate","Good call-fit signal; confirm on film.","Mixed signal; review fit and execution on film."))))))))</f>
        <v>Track only; not enough sample.</v>
      </c>
      <c r="M1396" s="8"/>
      <c r="N1396" s="8"/>
      <c r="O1396" s="8"/>
      <c r="P1396" s="8" t="s">
        <v>468</v>
      </c>
      <c r="Q1396" s="8"/>
      <c r="R1396" s="8" t="s">
        <v>633</v>
      </c>
      <c r="S1396" s="2" t="s">
        <v>651</v>
      </c>
      <c r="T1396" s="2">
        <f>IF(C1396=0,0,IF(C1396&gt;=CALL_LOOKUP_BOARD!$B$7,IF(OR(K1396="Problem Call",K1396="Explosive Alert"),10000000,20000000),0)+IF(C1396&gt;=CALL_LOOKUP_BOARD!$B$7,J1396*1000+MIN(C1396,999),C1396*1000+J1396)+0.00986700)</f>
        <v>1100.009867</v>
      </c>
      <c r="U1396" s="2">
        <f>IF(C1396=0,"",IF(COUNTIFS($S$1264:$S$1440,SUBSTITUTE(SUBSTITUTE(SUBSTITUTE(S1396,"~","~~"),"*","~*"),"?","~?"),$T$1264:$T$1440,"&gt;"&amp;T1396)=0,S1396,""))</f>
        <v/>
      </c>
    </row>
    <row r="1397" spans="1:21" ht="38" customHeight="1">
      <c r="A1397" s="8" t="s">
        <v>468</v>
      </c>
      <c r="B1397" s="8" t="s">
        <v>79</v>
      </c>
      <c r="C1397" s="12">
        <f>COUNTIFS('DEF_SELF_SCOUT_IMPORT'!$L$42:$L$1040,"Y",'DEF_SELF_SCOUT_IMPORT'!$E$42:$E$1040,SUBSTITUTE(SUBSTITUTE(SUBSTITUTE($B1397,"~","~~"),"*","~*"),"?","~?"),'DEF_SELF_SCOUT_IMPORT'!$D$42:$D$1040,SUBSTITUTE(SUBSTITUTE(SUBSTITUTE($P1397,"~","~~"),"*","~*"),"?","~?"))</f>
        <v>1</v>
      </c>
      <c r="D1397" s="10">
        <f>IF($C1397=0,"",SUMIFS('DEF_SELF_SCOUT_IMPORT'!$J$42:$J$1040,'DEF_SELF_SCOUT_IMPORT'!$L$42:$L$1040,"Y",'DEF_SELF_SCOUT_IMPORT'!$E$42:$E$1040,SUBSTITUTE(SUBSTITUTE(SUBSTITUTE($B1397,"~","~~"),"*","~*"),"?","~?"),'DEF_SELF_SCOUT_IMPORT'!$D$42:$D$1040,SUBSTITUTE(SUBSTITUTE(SUBSTITUTE($P1397,"~","~~"),"*","~*"),"?","~?"))/$C1397)</f>
        <v>1.0</v>
      </c>
      <c r="E1397" s="10">
        <f>IF($C1397=0,"",SUMIFS('DEF_SELF_SCOUT_IMPORT'!$K$42:$K$1040,'DEF_SELF_SCOUT_IMPORT'!$L$42:$L$1040,"Y",'DEF_SELF_SCOUT_IMPORT'!$E$42:$E$1040,SUBSTITUTE(SUBSTITUTE(SUBSTITUTE($B1397,"~","~~"),"*","~*"),"?","~?"),'DEF_SELF_SCOUT_IMPORT'!$D$42:$D$1040,SUBSTITUTE(SUBSTITUTE(SUBSTITUTE($P1397,"~","~~"),"*","~*"),"?","~?"))/$C1397)</f>
        <v>0.0</v>
      </c>
      <c r="F1397" s="11">
        <f>IF($C1397=0,"",AVERAGEIFS('DEF_SELF_SCOUT_IMPORT'!$I$42:$I$1040,'DEF_SELF_SCOUT_IMPORT'!$L$42:$L$1040,"Y",'DEF_SELF_SCOUT_IMPORT'!$E$42:$E$1040,SUBSTITUTE(SUBSTITUTE(SUBSTITUTE($B1397,"~","~~"),"*","~*"),"?","~?"),'DEF_SELF_SCOUT_IMPORT'!$D$42:$D$1040,SUBSTITUTE(SUBSTITUTE(SUBSTITUTE($P1397,"~","~~"),"*","~*"),"?","~?")))</f>
        <v>5.0</v>
      </c>
      <c r="G1397" s="10">
        <f>IF($C1397=0,"",COUNTIFS('DEF_SELF_SCOUT_IMPORT'!$L$42:$L$1040,"Y",'DEF_SELF_SCOUT_IMPORT'!$E$42:$E$1040,SUBSTITUTE(SUBSTITUTE(SUBSTITUTE($B1397,"~","~~"),"*","~*"),"?","~?"),'DEF_SELF_SCOUT_IMPORT'!$D$42:$D$1040,SUBSTITUTE(SUBSTITUTE(SUBSTITUTE($P1397,"~","~~"),"*","~*"),"?","~?"),'DEF_SELF_SCOUT_IMPORT'!$H$42:$H$1040,"RUSH")/$C1397)</f>
        <v>0.0</v>
      </c>
      <c r="H1397" s="10">
        <f>IF($C1397=0,"",COUNTIFS('DEF_SELF_SCOUT_IMPORT'!$L$42:$L$1040,"Y",'DEF_SELF_SCOUT_IMPORT'!$E$42:$E$1040,SUBSTITUTE(SUBSTITUTE(SUBSTITUTE($B1397,"~","~~"),"*","~*"),"?","~?"),'DEF_SELF_SCOUT_IMPORT'!$D$42:$D$1040,SUBSTITUTE(SUBSTITUTE(SUBSTITUTE($P1397,"~","~~"),"*","~*"),"?","~?"),'DEF_SELF_SCOUT_IMPORT'!$H$42:$H$1040,"DROPBACK")/$C1397)</f>
        <v>1.0</v>
      </c>
      <c r="I1397" s="14" t="str">
        <f>IF(C1397=0,"",IF(C1397&lt;=2,"TRACK",IF(C1397=3,"LOW",IF(C1397&lt;=6,"MEDIUM","HIGH"))))</f>
        <v>TRACK</v>
      </c>
      <c r="J1397" s="11">
        <f>IF(C1397=0,"",ROUND(D1397*70+(1-E1397)*20+MAX(0,MIN(1,(10-F1397)/10))*10,1))</f>
        <v>95.0</v>
      </c>
      <c r="K1397" s="14" t="str">
        <f>IF(C1397=0,"No Evidence",IF(C1397&lt;=2,IF(E1397&gt;0,"Explosive Alert","Track Only"),IF(C1397=3,"Sample Watch",IF(E1397&gt;=START_HERE!$B$31,"Explosive Alert",IF(J1397&gt;=80,"Strong Candidate",IF(J1397&gt;=65,"Good Candidate",IF(J1397&gt;=50,"Mixed / Review","Problem Call")))))))</f>
        <v>Track Only</v>
      </c>
      <c r="L1397" s="9" t="str">
        <f>IF(COUNTIFS('DEF_SELF_SCOUT_IMPORT'!$L$42:$L$1040,"Y",'DEF_SELF_SCOUT_IMPORT'!$E$42:$E$1040,SUBSTITUTE(SUBSTITUTE(SUBSTITUTE($B1397,"~","~~"),"*","~*"),"?","~?"),'DEF_SELF_SCOUT_IMPORT'!$D$42:$D$1040,SUBSTITUTE(SUBSTITUTE(SUBSTITUTE($P1397,"~","~~"),"*","~*"),"?","~?"),'DEF_SELF_SCOUT_IMPORT'!$J$42:$J$1040,"")&gt;0,"Unscored clean outcome; review result tags before using score.",IF(C1397=0,"No matching defensive reps; film confirmation needed.",IF(K1397="Explosive Alert","Explosive risk; review clips before using as answer.",IF(C1397&lt;=2,"Track only; not enough sample.",IF(C1397=3,IF(E1397&gt;0,"Sample watch with explosive exposure; review clips and build the sample.",IF(J1397&gt;=65,"Good signal, but sample is limited.","Sample watch; review clips and build the sample.")),IF(K1397="Problem Call","Problem area; practice or call-sheet review.",IF(K1397="Strong Candidate","Strong call-fit candidate; confirm on film.",IF(K1397="Good Candidate","Good call-fit signal; confirm on film.","Mixed signal; review fit and execution on film."))))))))</f>
        <v>Track only; not enough sample.</v>
      </c>
      <c r="M1397" s="8"/>
      <c r="N1397" s="8"/>
      <c r="O1397" s="8"/>
      <c r="P1397" s="8" t="s">
        <v>468</v>
      </c>
      <c r="Q1397" s="8"/>
      <c r="R1397" s="8" t="s">
        <v>633</v>
      </c>
      <c r="S1397" s="2" t="s">
        <v>651</v>
      </c>
      <c r="T1397" s="2">
        <f>IF(C1397=0,0,IF(C1397&gt;=CALL_LOOKUP_BOARD!$B$7,IF(OR(K1397="Problem Call",K1397="Explosive Alert"),10000000,20000000),0)+IF(C1397&gt;=CALL_LOOKUP_BOARD!$B$7,J1397*1000+MIN(C1397,999),C1397*1000+J1397)+0.00986600)</f>
        <v>1095.009866</v>
      </c>
      <c r="U1397" s="2">
        <f>IF(C1397=0,"",IF(COUNTIFS($S$1264:$S$1440,SUBSTITUTE(SUBSTITUTE(SUBSTITUTE(S1397,"~","~~"),"*","~*"),"?","~?"),$T$1264:$T$1440,"&gt;"&amp;T1397)=0,S1397,""))</f>
        <v/>
      </c>
    </row>
    <row r="1398" spans="1:21" ht="38" customHeight="1">
      <c r="A1398" s="8" t="s">
        <v>468</v>
      </c>
      <c r="B1398" s="8" t="s">
        <v>50</v>
      </c>
      <c r="C1398" s="12">
        <f>COUNTIFS('DEF_SELF_SCOUT_IMPORT'!$L$42:$L$1040,"Y",'DEF_SELF_SCOUT_IMPORT'!$E$42:$E$1040,SUBSTITUTE(SUBSTITUTE(SUBSTITUTE($B1398,"~","~~"),"*","~*"),"?","~?"),'DEF_SELF_SCOUT_IMPORT'!$D$42:$D$1040,SUBSTITUTE(SUBSTITUTE(SUBSTITUTE($P1398,"~","~~"),"*","~*"),"?","~?"))</f>
        <v>1</v>
      </c>
      <c r="D1398" s="10">
        <f>IF($C1398=0,"",SUMIFS('DEF_SELF_SCOUT_IMPORT'!$J$42:$J$1040,'DEF_SELF_SCOUT_IMPORT'!$L$42:$L$1040,"Y",'DEF_SELF_SCOUT_IMPORT'!$E$42:$E$1040,SUBSTITUTE(SUBSTITUTE(SUBSTITUTE($B1398,"~","~~"),"*","~*"),"?","~?"),'DEF_SELF_SCOUT_IMPORT'!$D$42:$D$1040,SUBSTITUTE(SUBSTITUTE(SUBSTITUTE($P1398,"~","~~"),"*","~*"),"?","~?"))/$C1398)</f>
        <v>1.0</v>
      </c>
      <c r="E1398" s="10">
        <f>IF($C1398=0,"",SUMIFS('DEF_SELF_SCOUT_IMPORT'!$K$42:$K$1040,'DEF_SELF_SCOUT_IMPORT'!$L$42:$L$1040,"Y",'DEF_SELF_SCOUT_IMPORT'!$E$42:$E$1040,SUBSTITUTE(SUBSTITUTE(SUBSTITUTE($B1398,"~","~~"),"*","~*"),"?","~?"),'DEF_SELF_SCOUT_IMPORT'!$D$42:$D$1040,SUBSTITUTE(SUBSTITUTE(SUBSTITUTE($P1398,"~","~~"),"*","~*"),"?","~?"))/$C1398)</f>
        <v>0.0</v>
      </c>
      <c r="F1398" s="11">
        <f>IF($C1398=0,"",AVERAGEIFS('DEF_SELF_SCOUT_IMPORT'!$I$42:$I$1040,'DEF_SELF_SCOUT_IMPORT'!$L$42:$L$1040,"Y",'DEF_SELF_SCOUT_IMPORT'!$E$42:$E$1040,SUBSTITUTE(SUBSTITUTE(SUBSTITUTE($B1398,"~","~~"),"*","~*"),"?","~?"),'DEF_SELF_SCOUT_IMPORT'!$D$42:$D$1040,SUBSTITUTE(SUBSTITUTE(SUBSTITUTE($P1398,"~","~~"),"*","~*"),"?","~?")))</f>
        <v>3.0</v>
      </c>
      <c r="G1398" s="10">
        <f>IF($C1398=0,"",COUNTIFS('DEF_SELF_SCOUT_IMPORT'!$L$42:$L$1040,"Y",'DEF_SELF_SCOUT_IMPORT'!$E$42:$E$1040,SUBSTITUTE(SUBSTITUTE(SUBSTITUTE($B1398,"~","~~"),"*","~*"),"?","~?"),'DEF_SELF_SCOUT_IMPORT'!$D$42:$D$1040,SUBSTITUTE(SUBSTITUTE(SUBSTITUTE($P1398,"~","~~"),"*","~*"),"?","~?"),'DEF_SELF_SCOUT_IMPORT'!$H$42:$H$1040,"RUSH")/$C1398)</f>
        <v>0.0</v>
      </c>
      <c r="H1398" s="10">
        <f>IF($C1398=0,"",COUNTIFS('DEF_SELF_SCOUT_IMPORT'!$L$42:$L$1040,"Y",'DEF_SELF_SCOUT_IMPORT'!$E$42:$E$1040,SUBSTITUTE(SUBSTITUTE(SUBSTITUTE($B1398,"~","~~"),"*","~*"),"?","~?"),'DEF_SELF_SCOUT_IMPORT'!$D$42:$D$1040,SUBSTITUTE(SUBSTITUTE(SUBSTITUTE($P1398,"~","~~"),"*","~*"),"?","~?"),'DEF_SELF_SCOUT_IMPORT'!$H$42:$H$1040,"DROPBACK")/$C1398)</f>
        <v>1.0</v>
      </c>
      <c r="I1398" s="14" t="str">
        <f>IF(C1398=0,"",IF(C1398&lt;=2,"TRACK",IF(C1398=3,"LOW",IF(C1398&lt;=6,"MEDIUM","HIGH"))))</f>
        <v>TRACK</v>
      </c>
      <c r="J1398" s="11">
        <f>IF(C1398=0,"",ROUND(D1398*70+(1-E1398)*20+MAX(0,MIN(1,(10-F1398)/10))*10,1))</f>
        <v>97.0</v>
      </c>
      <c r="K1398" s="14" t="str">
        <f>IF(C1398=0,"No Evidence",IF(C1398&lt;=2,IF(E1398&gt;0,"Explosive Alert","Track Only"),IF(C1398=3,"Sample Watch",IF(E1398&gt;=START_HERE!$B$31,"Explosive Alert",IF(J1398&gt;=80,"Strong Candidate",IF(J1398&gt;=65,"Good Candidate",IF(J1398&gt;=50,"Mixed / Review","Problem Call")))))))</f>
        <v>Track Only</v>
      </c>
      <c r="L1398" s="9" t="str">
        <f>IF(COUNTIFS('DEF_SELF_SCOUT_IMPORT'!$L$42:$L$1040,"Y",'DEF_SELF_SCOUT_IMPORT'!$E$42:$E$1040,SUBSTITUTE(SUBSTITUTE(SUBSTITUTE($B1398,"~","~~"),"*","~*"),"?","~?"),'DEF_SELF_SCOUT_IMPORT'!$D$42:$D$1040,SUBSTITUTE(SUBSTITUTE(SUBSTITUTE($P1398,"~","~~"),"*","~*"),"?","~?"),'DEF_SELF_SCOUT_IMPORT'!$J$42:$J$1040,"")&gt;0,"Unscored clean outcome; review result tags before using score.",IF(C1398=0,"No matching defensive reps; film confirmation needed.",IF(K1398="Explosive Alert","Explosive risk; review clips before using as answer.",IF(C1398&lt;=2,"Track only; not enough sample.",IF(C1398=3,IF(E1398&gt;0,"Sample watch with explosive exposure; review clips and build the sample.",IF(J1398&gt;=65,"Good signal, but sample is limited.","Sample watch; review clips and build the sample.")),IF(K1398="Problem Call","Problem area; practice or call-sheet review.",IF(K1398="Strong Candidate","Strong call-fit candidate; confirm on film.",IF(K1398="Good Candidate","Good call-fit signal; confirm on film.","Mixed signal; review fit and execution on film."))))))))</f>
        <v>Track only; not enough sample.</v>
      </c>
      <c r="M1398" s="8"/>
      <c r="N1398" s="8"/>
      <c r="O1398" s="8"/>
      <c r="P1398" s="8" t="s">
        <v>468</v>
      </c>
      <c r="Q1398" s="8"/>
      <c r="R1398" s="8" t="s">
        <v>633</v>
      </c>
      <c r="S1398" s="2" t="s">
        <v>651</v>
      </c>
      <c r="T1398" s="2">
        <f>IF(C1398=0,0,IF(C1398&gt;=CALL_LOOKUP_BOARD!$B$7,IF(OR(K1398="Problem Call",K1398="Explosive Alert"),10000000,20000000),0)+IF(C1398&gt;=CALL_LOOKUP_BOARD!$B$7,J1398*1000+MIN(C1398,999),C1398*1000+J1398)+0.00986500)</f>
        <v>1097.009865</v>
      </c>
      <c r="U1398" s="2">
        <f>IF(C1398=0,"",IF(COUNTIFS($S$1264:$S$1440,SUBSTITUTE(SUBSTITUTE(SUBSTITUTE(S1398,"~","~~"),"*","~*"),"?","~?"),$T$1264:$T$1440,"&gt;"&amp;T1398)=0,S1398,""))</f>
        <v/>
      </c>
    </row>
    <row r="1399" spans="1:21" ht="38" customHeight="1">
      <c r="A1399" s="8" t="s">
        <v>468</v>
      </c>
      <c r="B1399" s="8" t="s">
        <v>51</v>
      </c>
      <c r="C1399" s="12">
        <f>COUNTIFS('DEF_SELF_SCOUT_IMPORT'!$L$42:$L$1040,"Y",'DEF_SELF_SCOUT_IMPORT'!$E$42:$E$1040,SUBSTITUTE(SUBSTITUTE(SUBSTITUTE($B1399,"~","~~"),"*","~*"),"?","~?"),'DEF_SELF_SCOUT_IMPORT'!$D$42:$D$1040,SUBSTITUTE(SUBSTITUTE(SUBSTITUTE($P1399,"~","~~"),"*","~*"),"?","~?"))</f>
        <v>1</v>
      </c>
      <c r="D1399" s="10">
        <f>IF($C1399=0,"",SUMIFS('DEF_SELF_SCOUT_IMPORT'!$J$42:$J$1040,'DEF_SELF_SCOUT_IMPORT'!$L$42:$L$1040,"Y",'DEF_SELF_SCOUT_IMPORT'!$E$42:$E$1040,SUBSTITUTE(SUBSTITUTE(SUBSTITUTE($B1399,"~","~~"),"*","~*"),"?","~?"),'DEF_SELF_SCOUT_IMPORT'!$D$42:$D$1040,SUBSTITUTE(SUBSTITUTE(SUBSTITUTE($P1399,"~","~~"),"*","~*"),"?","~?"))/$C1399)</f>
        <v>0.0</v>
      </c>
      <c r="E1399" s="10">
        <f>IF($C1399=0,"",SUMIFS('DEF_SELF_SCOUT_IMPORT'!$K$42:$K$1040,'DEF_SELF_SCOUT_IMPORT'!$L$42:$L$1040,"Y",'DEF_SELF_SCOUT_IMPORT'!$E$42:$E$1040,SUBSTITUTE(SUBSTITUTE(SUBSTITUTE($B1399,"~","~~"),"*","~*"),"?","~?"),'DEF_SELF_SCOUT_IMPORT'!$D$42:$D$1040,SUBSTITUTE(SUBSTITUTE(SUBSTITUTE($P1399,"~","~~"),"*","~*"),"?","~?"))/$C1399)</f>
        <v>1.0</v>
      </c>
      <c r="F1399" s="11">
        <f>IF($C1399=0,"",AVERAGEIFS('DEF_SELF_SCOUT_IMPORT'!$I$42:$I$1040,'DEF_SELF_SCOUT_IMPORT'!$L$42:$L$1040,"Y",'DEF_SELF_SCOUT_IMPORT'!$E$42:$E$1040,SUBSTITUTE(SUBSTITUTE(SUBSTITUTE($B1399,"~","~~"),"*","~*"),"?","~?"),'DEF_SELF_SCOUT_IMPORT'!$D$42:$D$1040,SUBSTITUTE(SUBSTITUTE(SUBSTITUTE($P1399,"~","~~"),"*","~*"),"?","~?")))</f>
        <v>19.0</v>
      </c>
      <c r="G1399" s="10">
        <f>IF($C1399=0,"",COUNTIFS('DEF_SELF_SCOUT_IMPORT'!$L$42:$L$1040,"Y",'DEF_SELF_SCOUT_IMPORT'!$E$42:$E$1040,SUBSTITUTE(SUBSTITUTE(SUBSTITUTE($B1399,"~","~~"),"*","~*"),"?","~?"),'DEF_SELF_SCOUT_IMPORT'!$D$42:$D$1040,SUBSTITUTE(SUBSTITUTE(SUBSTITUTE($P1399,"~","~~"),"*","~*"),"?","~?"),'DEF_SELF_SCOUT_IMPORT'!$H$42:$H$1040,"RUSH")/$C1399)</f>
        <v>0.0</v>
      </c>
      <c r="H1399" s="10">
        <f>IF($C1399=0,"",COUNTIFS('DEF_SELF_SCOUT_IMPORT'!$L$42:$L$1040,"Y",'DEF_SELF_SCOUT_IMPORT'!$E$42:$E$1040,SUBSTITUTE(SUBSTITUTE(SUBSTITUTE($B1399,"~","~~"),"*","~*"),"?","~?"),'DEF_SELF_SCOUT_IMPORT'!$D$42:$D$1040,SUBSTITUTE(SUBSTITUTE(SUBSTITUTE($P1399,"~","~~"),"*","~*"),"?","~?"),'DEF_SELF_SCOUT_IMPORT'!$H$42:$H$1040,"DROPBACK")/$C1399)</f>
        <v>1.0</v>
      </c>
      <c r="I1399" s="14" t="str">
        <f>IF(C1399=0,"",IF(C1399&lt;=2,"TRACK",IF(C1399=3,"LOW",IF(C1399&lt;=6,"MEDIUM","HIGH"))))</f>
        <v>TRACK</v>
      </c>
      <c r="J1399" s="11">
        <f>IF(C1399=0,"",ROUND(D1399*70+(1-E1399)*20+MAX(0,MIN(1,(10-F1399)/10))*10,1))</f>
        <v>0.0</v>
      </c>
      <c r="K1399" s="14" t="str">
        <f>IF(C1399=0,"No Evidence",IF(C1399&lt;=2,IF(E1399&gt;0,"Explosive Alert","Track Only"),IF(C1399=3,"Sample Watch",IF(E1399&gt;=START_HERE!$B$31,"Explosive Alert",IF(J1399&gt;=80,"Strong Candidate",IF(J1399&gt;=65,"Good Candidate",IF(J1399&gt;=50,"Mixed / Review","Problem Call")))))))</f>
        <v>Explosive Alert</v>
      </c>
      <c r="L1399" s="9" t="str">
        <f>IF(COUNTIFS('DEF_SELF_SCOUT_IMPORT'!$L$42:$L$1040,"Y",'DEF_SELF_SCOUT_IMPORT'!$E$42:$E$1040,SUBSTITUTE(SUBSTITUTE(SUBSTITUTE($B1399,"~","~~"),"*","~*"),"?","~?"),'DEF_SELF_SCOUT_IMPORT'!$D$42:$D$1040,SUBSTITUTE(SUBSTITUTE(SUBSTITUTE($P1399,"~","~~"),"*","~*"),"?","~?"),'DEF_SELF_SCOUT_IMPORT'!$J$42:$J$1040,"")&gt;0,"Unscored clean outcome; review result tags before using score.",IF(C1399=0,"No matching defensive reps; film confirmation needed.",IF(K1399="Explosive Alert","Explosive risk; review clips before using as answer.",IF(C1399&lt;=2,"Track only; not enough sample.",IF(C1399=3,IF(E1399&gt;0,"Sample watch with explosive exposure; review clips and build the sample.",IF(J1399&gt;=65,"Good signal, but sample is limited.","Sample watch; review clips and build the sample.")),IF(K1399="Problem Call","Problem area; practice or call-sheet review.",IF(K1399="Strong Candidate","Strong call-fit candidate; confirm on film.",IF(K1399="Good Candidate","Good call-fit signal; confirm on film.","Mixed signal; review fit and execution on film."))))))))</f>
        <v>Explosive risk; review clips before using as answer.</v>
      </c>
      <c r="M1399" s="8"/>
      <c r="N1399" s="8"/>
      <c r="O1399" s="8"/>
      <c r="P1399" s="8" t="s">
        <v>468</v>
      </c>
      <c r="Q1399" s="8"/>
      <c r="R1399" s="8" t="s">
        <v>633</v>
      </c>
      <c r="S1399" s="2" t="s">
        <v>651</v>
      </c>
      <c r="T1399" s="2">
        <f>IF(C1399=0,0,IF(C1399&gt;=CALL_LOOKUP_BOARD!$B$7,IF(OR(K1399="Problem Call",K1399="Explosive Alert"),10000000,20000000),0)+IF(C1399&gt;=CALL_LOOKUP_BOARD!$B$7,J1399*1000+MIN(C1399,999),C1399*1000+J1399)+0.00986400)</f>
        <v>1000.009864</v>
      </c>
      <c r="U1399" s="2">
        <f>IF(C1399=0,"",IF(COUNTIFS($S$1264:$S$1440,SUBSTITUTE(SUBSTITUTE(SUBSTITUTE(S1399,"~","~~"),"*","~*"),"?","~?"),$T$1264:$T$1440,"&gt;"&amp;T1399)=0,S1399,""))</f>
        <v/>
      </c>
    </row>
    <row r="1400" spans="1:21" ht="38" customHeight="1">
      <c r="A1400" s="8" t="s">
        <v>468</v>
      </c>
      <c r="B1400" s="8" t="s">
        <v>52</v>
      </c>
      <c r="C1400" s="12">
        <f>COUNTIFS('DEF_SELF_SCOUT_IMPORT'!$L$42:$L$1040,"Y",'DEF_SELF_SCOUT_IMPORT'!$E$42:$E$1040,SUBSTITUTE(SUBSTITUTE(SUBSTITUTE($B1400,"~","~~"),"*","~*"),"?","~?"),'DEF_SELF_SCOUT_IMPORT'!$D$42:$D$1040,SUBSTITUTE(SUBSTITUTE(SUBSTITUTE($P1400,"~","~~"),"*","~*"),"?","~?"))</f>
        <v>3</v>
      </c>
      <c r="D1400" s="10">
        <f>IF($C1400=0,"",SUMIFS('DEF_SELF_SCOUT_IMPORT'!$J$42:$J$1040,'DEF_SELF_SCOUT_IMPORT'!$L$42:$L$1040,"Y",'DEF_SELF_SCOUT_IMPORT'!$E$42:$E$1040,SUBSTITUTE(SUBSTITUTE(SUBSTITUTE($B1400,"~","~~"),"*","~*"),"?","~?"),'DEF_SELF_SCOUT_IMPORT'!$D$42:$D$1040,SUBSTITUTE(SUBSTITUTE(SUBSTITUTE($P1400,"~","~~"),"*","~*"),"?","~?"))/$C1400)</f>
        <v>1.0</v>
      </c>
      <c r="E1400" s="10">
        <f>IF($C1400=0,"",SUMIFS('DEF_SELF_SCOUT_IMPORT'!$K$42:$K$1040,'DEF_SELF_SCOUT_IMPORT'!$L$42:$L$1040,"Y",'DEF_SELF_SCOUT_IMPORT'!$E$42:$E$1040,SUBSTITUTE(SUBSTITUTE(SUBSTITUTE($B1400,"~","~~"),"*","~*"),"?","~?"),'DEF_SELF_SCOUT_IMPORT'!$D$42:$D$1040,SUBSTITUTE(SUBSTITUTE(SUBSTITUTE($P1400,"~","~~"),"*","~*"),"?","~?"))/$C1400)</f>
        <v>0.0</v>
      </c>
      <c r="F1400" s="11">
        <f>IF($C1400=0,"",AVERAGEIFS('DEF_SELF_SCOUT_IMPORT'!$I$42:$I$1040,'DEF_SELF_SCOUT_IMPORT'!$L$42:$L$1040,"Y",'DEF_SELF_SCOUT_IMPORT'!$E$42:$E$1040,SUBSTITUTE(SUBSTITUTE(SUBSTITUTE($B1400,"~","~~"),"*","~*"),"?","~?"),'DEF_SELF_SCOUT_IMPORT'!$D$42:$D$1040,SUBSTITUTE(SUBSTITUTE(SUBSTITUTE($P1400,"~","~~"),"*","~*"),"?","~?")))</f>
        <v>-2.3333333333333335</v>
      </c>
      <c r="G1400" s="10">
        <f>IF($C1400=0,"",COUNTIFS('DEF_SELF_SCOUT_IMPORT'!$L$42:$L$1040,"Y",'DEF_SELF_SCOUT_IMPORT'!$E$42:$E$1040,SUBSTITUTE(SUBSTITUTE(SUBSTITUTE($B1400,"~","~~"),"*","~*"),"?","~?"),'DEF_SELF_SCOUT_IMPORT'!$D$42:$D$1040,SUBSTITUTE(SUBSTITUTE(SUBSTITUTE($P1400,"~","~~"),"*","~*"),"?","~?"),'DEF_SELF_SCOUT_IMPORT'!$H$42:$H$1040,"RUSH")/$C1400)</f>
        <v>0.0</v>
      </c>
      <c r="H1400" s="10">
        <f>IF($C1400=0,"",COUNTIFS('DEF_SELF_SCOUT_IMPORT'!$L$42:$L$1040,"Y",'DEF_SELF_SCOUT_IMPORT'!$E$42:$E$1040,SUBSTITUTE(SUBSTITUTE(SUBSTITUTE($B1400,"~","~~"),"*","~*"),"?","~?"),'DEF_SELF_SCOUT_IMPORT'!$D$42:$D$1040,SUBSTITUTE(SUBSTITUTE(SUBSTITUTE($P1400,"~","~~"),"*","~*"),"?","~?"),'DEF_SELF_SCOUT_IMPORT'!$H$42:$H$1040,"DROPBACK")/$C1400)</f>
        <v>1.0</v>
      </c>
      <c r="I1400" s="14" t="str">
        <f>IF(C1400=0,"",IF(C1400&lt;=2,"TRACK",IF(C1400=3,"LOW",IF(C1400&lt;=6,"MEDIUM","HIGH"))))</f>
        <v>LOW</v>
      </c>
      <c r="J1400" s="11">
        <f>IF(C1400=0,"",ROUND(D1400*70+(1-E1400)*20+MAX(0,MIN(1,(10-F1400)/10))*10,1))</f>
        <v>100.0</v>
      </c>
      <c r="K1400" s="14" t="str">
        <f>IF(C1400=0,"No Evidence",IF(C1400&lt;=2,IF(E1400&gt;0,"Explosive Alert","Track Only"),IF(C1400=3,"Sample Watch",IF(E1400&gt;=START_HERE!$B$31,"Explosive Alert",IF(J1400&gt;=80,"Strong Candidate",IF(J1400&gt;=65,"Good Candidate",IF(J1400&gt;=50,"Mixed / Review","Problem Call")))))))</f>
        <v>Sample Watch</v>
      </c>
      <c r="L1400" s="9" t="str">
        <f>IF(COUNTIFS('DEF_SELF_SCOUT_IMPORT'!$L$42:$L$1040,"Y",'DEF_SELF_SCOUT_IMPORT'!$E$42:$E$1040,SUBSTITUTE(SUBSTITUTE(SUBSTITUTE($B1400,"~","~~"),"*","~*"),"?","~?"),'DEF_SELF_SCOUT_IMPORT'!$D$42:$D$1040,SUBSTITUTE(SUBSTITUTE(SUBSTITUTE($P1400,"~","~~"),"*","~*"),"?","~?"),'DEF_SELF_SCOUT_IMPORT'!$J$42:$J$1040,"")&gt;0,"Unscored clean outcome; review result tags before using score.",IF(C1400=0,"No matching defensive reps; film confirmation needed.",IF(K1400="Explosive Alert","Explosive risk; review clips before using as answer.",IF(C1400&lt;=2,"Track only; not enough sample.",IF(C1400=3,IF(E1400&gt;0,"Sample watch with explosive exposure; review clips and build the sample.",IF(J1400&gt;=65,"Good signal, but sample is limited.","Sample watch; review clips and build the sample.")),IF(K1400="Problem Call","Problem area; practice or call-sheet review.",IF(K1400="Strong Candidate","Strong call-fit candidate; confirm on film.",IF(K1400="Good Candidate","Good call-fit signal; confirm on film.","Mixed signal; review fit and execution on film."))))))))</f>
        <v>Good signal, but sample is limited.</v>
      </c>
      <c r="M1400" s="8"/>
      <c r="N1400" s="8"/>
      <c r="O1400" s="8"/>
      <c r="P1400" s="8" t="s">
        <v>468</v>
      </c>
      <c r="Q1400" s="8"/>
      <c r="R1400" s="8" t="s">
        <v>633</v>
      </c>
      <c r="S1400" s="2" t="s">
        <v>651</v>
      </c>
      <c r="T1400" s="2">
        <f>IF(C1400=0,0,IF(C1400&gt;=CALL_LOOKUP_BOARD!$B$7,IF(OR(K1400="Problem Call",K1400="Explosive Alert"),10000000,20000000),0)+IF(C1400&gt;=CALL_LOOKUP_BOARD!$B$7,J1400*1000+MIN(C1400,999),C1400*1000+J1400)+0.00986300)</f>
        <v>3100.009863</v>
      </c>
      <c r="U1400" s="2" t="str">
        <f>IF(C1400=0,"",IF(COUNTIFS($S$1264:$S$1440,SUBSTITUTE(SUBSTITUTE(SUBSTITUTE(S1400,"~","~~"),"*","~*"),"?","~?"),$T$1264:$T$1440,"&gt;"&amp;T1400)=0,S1400,""))</f>
        <v>3:PAP|</v>
      </c>
    </row>
    <row r="1401" spans="1:21" ht="38" customHeight="1">
      <c r="A1401" s="8" t="s">
        <v>468</v>
      </c>
      <c r="B1401" s="8" t="s">
        <v>57</v>
      </c>
      <c r="C1401" s="12">
        <f>COUNTIFS('DEF_SELF_SCOUT_IMPORT'!$L$42:$L$1040,"Y",'DEF_SELF_SCOUT_IMPORT'!$E$42:$E$1040,SUBSTITUTE(SUBSTITUTE(SUBSTITUTE($B1401,"~","~~"),"*","~*"),"?","~?"),'DEF_SELF_SCOUT_IMPORT'!$D$42:$D$1040,SUBSTITUTE(SUBSTITUTE(SUBSTITUTE($P1401,"~","~~"),"*","~*"),"?","~?"))</f>
        <v>1</v>
      </c>
      <c r="D1401" s="10">
        <f>IF($C1401=0,"",SUMIFS('DEF_SELF_SCOUT_IMPORT'!$J$42:$J$1040,'DEF_SELF_SCOUT_IMPORT'!$L$42:$L$1040,"Y",'DEF_SELF_SCOUT_IMPORT'!$E$42:$E$1040,SUBSTITUTE(SUBSTITUTE(SUBSTITUTE($B1401,"~","~~"),"*","~*"),"?","~?"),'DEF_SELF_SCOUT_IMPORT'!$D$42:$D$1040,SUBSTITUTE(SUBSTITUTE(SUBSTITUTE($P1401,"~","~~"),"*","~*"),"?","~?"))/$C1401)</f>
        <v>0.0</v>
      </c>
      <c r="E1401" s="10">
        <f>IF($C1401=0,"",SUMIFS('DEF_SELF_SCOUT_IMPORT'!$K$42:$K$1040,'DEF_SELF_SCOUT_IMPORT'!$L$42:$L$1040,"Y",'DEF_SELF_SCOUT_IMPORT'!$E$42:$E$1040,SUBSTITUTE(SUBSTITUTE(SUBSTITUTE($B1401,"~","~~"),"*","~*"),"?","~?"),'DEF_SELF_SCOUT_IMPORT'!$D$42:$D$1040,SUBSTITUTE(SUBSTITUTE(SUBSTITUTE($P1401,"~","~~"),"*","~*"),"?","~?"))/$C1401)</f>
        <v>0.0</v>
      </c>
      <c r="F1401" s="11">
        <f>IF($C1401=0,"",AVERAGEIFS('DEF_SELF_SCOUT_IMPORT'!$I$42:$I$1040,'DEF_SELF_SCOUT_IMPORT'!$L$42:$L$1040,"Y",'DEF_SELF_SCOUT_IMPORT'!$E$42:$E$1040,SUBSTITUTE(SUBSTITUTE(SUBSTITUTE($B1401,"~","~~"),"*","~*"),"?","~?"),'DEF_SELF_SCOUT_IMPORT'!$D$42:$D$1040,SUBSTITUTE(SUBSTITUTE(SUBSTITUTE($P1401,"~","~~"),"*","~*"),"?","~?")))</f>
        <v>13.0</v>
      </c>
      <c r="G1401" s="10">
        <f>IF($C1401=0,"",COUNTIFS('DEF_SELF_SCOUT_IMPORT'!$L$42:$L$1040,"Y",'DEF_SELF_SCOUT_IMPORT'!$E$42:$E$1040,SUBSTITUTE(SUBSTITUTE(SUBSTITUTE($B1401,"~","~~"),"*","~*"),"?","~?"),'DEF_SELF_SCOUT_IMPORT'!$D$42:$D$1040,SUBSTITUTE(SUBSTITUTE(SUBSTITUTE($P1401,"~","~~"),"*","~*"),"?","~?"),'DEF_SELF_SCOUT_IMPORT'!$H$42:$H$1040,"RUSH")/$C1401)</f>
        <v>0.0</v>
      </c>
      <c r="H1401" s="10">
        <f>IF($C1401=0,"",COUNTIFS('DEF_SELF_SCOUT_IMPORT'!$L$42:$L$1040,"Y",'DEF_SELF_SCOUT_IMPORT'!$E$42:$E$1040,SUBSTITUTE(SUBSTITUTE(SUBSTITUTE($B1401,"~","~~"),"*","~*"),"?","~?"),'DEF_SELF_SCOUT_IMPORT'!$D$42:$D$1040,SUBSTITUTE(SUBSTITUTE(SUBSTITUTE($P1401,"~","~~"),"*","~*"),"?","~?"),'DEF_SELF_SCOUT_IMPORT'!$H$42:$H$1040,"DROPBACK")/$C1401)</f>
        <v>1.0</v>
      </c>
      <c r="I1401" s="14" t="str">
        <f>IF(C1401=0,"",IF(C1401&lt;=2,"TRACK",IF(C1401=3,"LOW",IF(C1401&lt;=6,"MEDIUM","HIGH"))))</f>
        <v>TRACK</v>
      </c>
      <c r="J1401" s="11">
        <f>IF(C1401=0,"",ROUND(D1401*70+(1-E1401)*20+MAX(0,MIN(1,(10-F1401)/10))*10,1))</f>
        <v>20.0</v>
      </c>
      <c r="K1401" s="14" t="str">
        <f>IF(C1401=0,"No Evidence",IF(C1401&lt;=2,IF(E1401&gt;0,"Explosive Alert","Track Only"),IF(C1401=3,"Sample Watch",IF(E1401&gt;=START_HERE!$B$31,"Explosive Alert",IF(J1401&gt;=80,"Strong Candidate",IF(J1401&gt;=65,"Good Candidate",IF(J1401&gt;=50,"Mixed / Review","Problem Call")))))))</f>
        <v>Track Only</v>
      </c>
      <c r="L1401" s="9" t="str">
        <f>IF(COUNTIFS('DEF_SELF_SCOUT_IMPORT'!$L$42:$L$1040,"Y",'DEF_SELF_SCOUT_IMPORT'!$E$42:$E$1040,SUBSTITUTE(SUBSTITUTE(SUBSTITUTE($B1401,"~","~~"),"*","~*"),"?","~?"),'DEF_SELF_SCOUT_IMPORT'!$D$42:$D$1040,SUBSTITUTE(SUBSTITUTE(SUBSTITUTE($P1401,"~","~~"),"*","~*"),"?","~?"),'DEF_SELF_SCOUT_IMPORT'!$J$42:$J$1040,"")&gt;0,"Unscored clean outcome; review result tags before using score.",IF(C1401=0,"No matching defensive reps; film confirmation needed.",IF(K1401="Explosive Alert","Explosive risk; review clips before using as answer.",IF(C1401&lt;=2,"Track only; not enough sample.",IF(C1401=3,IF(E1401&gt;0,"Sample watch with explosive exposure; review clips and build the sample.",IF(J1401&gt;=65,"Good signal, but sample is limited.","Sample watch; review clips and build the sample.")),IF(K1401="Problem Call","Problem area; practice or call-sheet review.",IF(K1401="Strong Candidate","Strong call-fit candidate; confirm on film.",IF(K1401="Good Candidate","Good call-fit signal; confirm on film.","Mixed signal; review fit and execution on film."))))))))</f>
        <v>Track only; not enough sample.</v>
      </c>
      <c r="M1401" s="8"/>
      <c r="N1401" s="8"/>
      <c r="O1401" s="8"/>
      <c r="P1401" s="8" t="s">
        <v>468</v>
      </c>
      <c r="Q1401" s="8"/>
      <c r="R1401" s="8" t="s">
        <v>633</v>
      </c>
      <c r="S1401" s="2" t="s">
        <v>651</v>
      </c>
      <c r="T1401" s="2">
        <f>IF(C1401=0,0,IF(C1401&gt;=CALL_LOOKUP_BOARD!$B$7,IF(OR(K1401="Problem Call",K1401="Explosive Alert"),10000000,20000000),0)+IF(C1401&gt;=CALL_LOOKUP_BOARD!$B$7,J1401*1000+MIN(C1401,999),C1401*1000+J1401)+0.00986200)</f>
        <v>1020.009862</v>
      </c>
      <c r="U1401" s="2">
        <f>IF(C1401=0,"",IF(COUNTIFS($S$1264:$S$1440,SUBSTITUTE(SUBSTITUTE(SUBSTITUTE(S1401,"~","~~"),"*","~*"),"?","~?"),$T$1264:$T$1440,"&gt;"&amp;T1401)=0,S1401,""))</f>
        <v/>
      </c>
    </row>
    <row r="1402" spans="1:21" ht="38" customHeight="1">
      <c r="A1402" s="8" t="s">
        <v>468</v>
      </c>
      <c r="B1402" s="8" t="s">
        <v>35</v>
      </c>
      <c r="C1402" s="12">
        <f>COUNTIFS('DEF_SELF_SCOUT_IMPORT'!$L$42:$L$1040,"Y",'DEF_SELF_SCOUT_IMPORT'!$E$42:$E$1040,SUBSTITUTE(SUBSTITUTE(SUBSTITUTE($B1402,"~","~~"),"*","~*"),"?","~?"),'DEF_SELF_SCOUT_IMPORT'!$D$42:$D$1040,SUBSTITUTE(SUBSTITUTE(SUBSTITUTE($P1402,"~","~~"),"*","~*"),"?","~?"))</f>
        <v>1</v>
      </c>
      <c r="D1402" s="10">
        <f>IF($C1402=0,"",SUMIFS('DEF_SELF_SCOUT_IMPORT'!$J$42:$J$1040,'DEF_SELF_SCOUT_IMPORT'!$L$42:$L$1040,"Y",'DEF_SELF_SCOUT_IMPORT'!$E$42:$E$1040,SUBSTITUTE(SUBSTITUTE(SUBSTITUTE($B1402,"~","~~"),"*","~*"),"?","~?"),'DEF_SELF_SCOUT_IMPORT'!$D$42:$D$1040,SUBSTITUTE(SUBSTITUTE(SUBSTITUTE($P1402,"~","~~"),"*","~*"),"?","~?"))/$C1402)</f>
        <v>1.0</v>
      </c>
      <c r="E1402" s="10">
        <f>IF($C1402=0,"",SUMIFS('DEF_SELF_SCOUT_IMPORT'!$K$42:$K$1040,'DEF_SELF_SCOUT_IMPORT'!$L$42:$L$1040,"Y",'DEF_SELF_SCOUT_IMPORT'!$E$42:$E$1040,SUBSTITUTE(SUBSTITUTE(SUBSTITUTE($B1402,"~","~~"),"*","~*"),"?","~?"),'DEF_SELF_SCOUT_IMPORT'!$D$42:$D$1040,SUBSTITUTE(SUBSTITUTE(SUBSTITUTE($P1402,"~","~~"),"*","~*"),"?","~?"))/$C1402)</f>
        <v>0.0</v>
      </c>
      <c r="F1402" s="11">
        <f>IF($C1402=0,"",AVERAGEIFS('DEF_SELF_SCOUT_IMPORT'!$I$42:$I$1040,'DEF_SELF_SCOUT_IMPORT'!$L$42:$L$1040,"Y",'DEF_SELF_SCOUT_IMPORT'!$E$42:$E$1040,SUBSTITUTE(SUBSTITUTE(SUBSTITUTE($B1402,"~","~~"),"*","~*"),"?","~?"),'DEF_SELF_SCOUT_IMPORT'!$D$42:$D$1040,SUBSTITUTE(SUBSTITUTE(SUBSTITUTE($P1402,"~","~~"),"*","~*"),"?","~?")))</f>
        <v>0.0</v>
      </c>
      <c r="G1402" s="10">
        <f>IF($C1402=0,"",COUNTIFS('DEF_SELF_SCOUT_IMPORT'!$L$42:$L$1040,"Y",'DEF_SELF_SCOUT_IMPORT'!$E$42:$E$1040,SUBSTITUTE(SUBSTITUTE(SUBSTITUTE($B1402,"~","~~"),"*","~*"),"?","~?"),'DEF_SELF_SCOUT_IMPORT'!$D$42:$D$1040,SUBSTITUTE(SUBSTITUTE(SUBSTITUTE($P1402,"~","~~"),"*","~*"),"?","~?"),'DEF_SELF_SCOUT_IMPORT'!$H$42:$H$1040,"RUSH")/$C1402)</f>
        <v>0.0</v>
      </c>
      <c r="H1402" s="10">
        <f>IF($C1402=0,"",COUNTIFS('DEF_SELF_SCOUT_IMPORT'!$L$42:$L$1040,"Y",'DEF_SELF_SCOUT_IMPORT'!$E$42:$E$1040,SUBSTITUTE(SUBSTITUTE(SUBSTITUTE($B1402,"~","~~"),"*","~*"),"?","~?"),'DEF_SELF_SCOUT_IMPORT'!$D$42:$D$1040,SUBSTITUTE(SUBSTITUTE(SUBSTITUTE($P1402,"~","~~"),"*","~*"),"?","~?"),'DEF_SELF_SCOUT_IMPORT'!$H$42:$H$1040,"DROPBACK")/$C1402)</f>
        <v>1.0</v>
      </c>
      <c r="I1402" s="14" t="str">
        <f>IF(C1402=0,"",IF(C1402&lt;=2,"TRACK",IF(C1402=3,"LOW",IF(C1402&lt;=6,"MEDIUM","HIGH"))))</f>
        <v>TRACK</v>
      </c>
      <c r="J1402" s="11">
        <f>IF(C1402=0,"",ROUND(D1402*70+(1-E1402)*20+MAX(0,MIN(1,(10-F1402)/10))*10,1))</f>
        <v>100.0</v>
      </c>
      <c r="K1402" s="14" t="str">
        <f>IF(C1402=0,"No Evidence",IF(C1402&lt;=2,IF(E1402&gt;0,"Explosive Alert","Track Only"),IF(C1402=3,"Sample Watch",IF(E1402&gt;=START_HERE!$B$31,"Explosive Alert",IF(J1402&gt;=80,"Strong Candidate",IF(J1402&gt;=65,"Good Candidate",IF(J1402&gt;=50,"Mixed / Review","Problem Call")))))))</f>
        <v>Track Only</v>
      </c>
      <c r="L1402" s="9" t="str">
        <f>IF(COUNTIFS('DEF_SELF_SCOUT_IMPORT'!$L$42:$L$1040,"Y",'DEF_SELF_SCOUT_IMPORT'!$E$42:$E$1040,SUBSTITUTE(SUBSTITUTE(SUBSTITUTE($B1402,"~","~~"),"*","~*"),"?","~?"),'DEF_SELF_SCOUT_IMPORT'!$D$42:$D$1040,SUBSTITUTE(SUBSTITUTE(SUBSTITUTE($P1402,"~","~~"),"*","~*"),"?","~?"),'DEF_SELF_SCOUT_IMPORT'!$J$42:$J$1040,"")&gt;0,"Unscored clean outcome; review result tags before using score.",IF(C1402=0,"No matching defensive reps; film confirmation needed.",IF(K1402="Explosive Alert","Explosive risk; review clips before using as answer.",IF(C1402&lt;=2,"Track only; not enough sample.",IF(C1402=3,IF(E1402&gt;0,"Sample watch with explosive exposure; review clips and build the sample.",IF(J1402&gt;=65,"Good signal, but sample is limited.","Sample watch; review clips and build the sample.")),IF(K1402="Problem Call","Problem area; practice or call-sheet review.",IF(K1402="Strong Candidate","Strong call-fit candidate; confirm on film.",IF(K1402="Good Candidate","Good call-fit signal; confirm on film.","Mixed signal; review fit and execution on film."))))))))</f>
        <v>Track only; not enough sample.</v>
      </c>
      <c r="M1402" s="8"/>
      <c r="N1402" s="8"/>
      <c r="O1402" s="8"/>
      <c r="P1402" s="8" t="s">
        <v>468</v>
      </c>
      <c r="Q1402" s="8"/>
      <c r="R1402" s="8" t="s">
        <v>633</v>
      </c>
      <c r="S1402" s="2" t="s">
        <v>651</v>
      </c>
      <c r="T1402" s="2">
        <f>IF(C1402=0,0,IF(C1402&gt;=CALL_LOOKUP_BOARD!$B$7,IF(OR(K1402="Problem Call",K1402="Explosive Alert"),10000000,20000000),0)+IF(C1402&gt;=CALL_LOOKUP_BOARD!$B$7,J1402*1000+MIN(C1402,999),C1402*1000+J1402)+0.00986100)</f>
        <v>1100.009861</v>
      </c>
      <c r="U1402" s="2">
        <f>IF(C1402=0,"",IF(COUNTIFS($S$1264:$S$1440,SUBSTITUTE(SUBSTITUTE(SUBSTITUTE(S1402,"~","~~"),"*","~*"),"?","~?"),$T$1264:$T$1440,"&gt;"&amp;T1402)=0,S1402,""))</f>
        <v/>
      </c>
    </row>
    <row r="1403" spans="1:21" ht="38" customHeight="1">
      <c r="A1403" s="8" t="s">
        <v>468</v>
      </c>
      <c r="B1403" s="8" t="s">
        <v>60</v>
      </c>
      <c r="C1403" s="12">
        <f>COUNTIFS('DEF_SELF_SCOUT_IMPORT'!$L$42:$L$1040,"Y",'DEF_SELF_SCOUT_IMPORT'!$E$42:$E$1040,SUBSTITUTE(SUBSTITUTE(SUBSTITUTE($B1403,"~","~~"),"*","~*"),"?","~?"),'DEF_SELF_SCOUT_IMPORT'!$D$42:$D$1040,SUBSTITUTE(SUBSTITUTE(SUBSTITUTE($P1403,"~","~~"),"*","~*"),"?","~?"))</f>
        <v>1</v>
      </c>
      <c r="D1403" s="10">
        <f>IF($C1403=0,"",SUMIFS('DEF_SELF_SCOUT_IMPORT'!$J$42:$J$1040,'DEF_SELF_SCOUT_IMPORT'!$L$42:$L$1040,"Y",'DEF_SELF_SCOUT_IMPORT'!$E$42:$E$1040,SUBSTITUTE(SUBSTITUTE(SUBSTITUTE($B1403,"~","~~"),"*","~*"),"?","~?"),'DEF_SELF_SCOUT_IMPORT'!$D$42:$D$1040,SUBSTITUTE(SUBSTITUTE(SUBSTITUTE($P1403,"~","~~"),"*","~*"),"?","~?"))/$C1403)</f>
        <v>1.0</v>
      </c>
      <c r="E1403" s="10">
        <f>IF($C1403=0,"",SUMIFS('DEF_SELF_SCOUT_IMPORT'!$K$42:$K$1040,'DEF_SELF_SCOUT_IMPORT'!$L$42:$L$1040,"Y",'DEF_SELF_SCOUT_IMPORT'!$E$42:$E$1040,SUBSTITUTE(SUBSTITUTE(SUBSTITUTE($B1403,"~","~~"),"*","~*"),"?","~?"),'DEF_SELF_SCOUT_IMPORT'!$D$42:$D$1040,SUBSTITUTE(SUBSTITUTE(SUBSTITUTE($P1403,"~","~~"),"*","~*"),"?","~?"))/$C1403)</f>
        <v>0.0</v>
      </c>
      <c r="F1403" s="11">
        <f>IF($C1403=0,"",AVERAGEIFS('DEF_SELF_SCOUT_IMPORT'!$I$42:$I$1040,'DEF_SELF_SCOUT_IMPORT'!$L$42:$L$1040,"Y",'DEF_SELF_SCOUT_IMPORT'!$E$42:$E$1040,SUBSTITUTE(SUBSTITUTE(SUBSTITUTE($B1403,"~","~~"),"*","~*"),"?","~?"),'DEF_SELF_SCOUT_IMPORT'!$D$42:$D$1040,SUBSTITUTE(SUBSTITUTE(SUBSTITUTE($P1403,"~","~~"),"*","~*"),"?","~?")))</f>
        <v>0.0</v>
      </c>
      <c r="G1403" s="10">
        <f>IF($C1403=0,"",COUNTIFS('DEF_SELF_SCOUT_IMPORT'!$L$42:$L$1040,"Y",'DEF_SELF_SCOUT_IMPORT'!$E$42:$E$1040,SUBSTITUTE(SUBSTITUTE(SUBSTITUTE($B1403,"~","~~"),"*","~*"),"?","~?"),'DEF_SELF_SCOUT_IMPORT'!$D$42:$D$1040,SUBSTITUTE(SUBSTITUTE(SUBSTITUTE($P1403,"~","~~"),"*","~*"),"?","~?"),'DEF_SELF_SCOUT_IMPORT'!$H$42:$H$1040,"RUSH")/$C1403)</f>
        <v>0.0</v>
      </c>
      <c r="H1403" s="10">
        <f>IF($C1403=0,"",COUNTIFS('DEF_SELF_SCOUT_IMPORT'!$L$42:$L$1040,"Y",'DEF_SELF_SCOUT_IMPORT'!$E$42:$E$1040,SUBSTITUTE(SUBSTITUTE(SUBSTITUTE($B1403,"~","~~"),"*","~*"),"?","~?"),'DEF_SELF_SCOUT_IMPORT'!$D$42:$D$1040,SUBSTITUTE(SUBSTITUTE(SUBSTITUTE($P1403,"~","~~"),"*","~*"),"?","~?"),'DEF_SELF_SCOUT_IMPORT'!$H$42:$H$1040,"DROPBACK")/$C1403)</f>
        <v>1.0</v>
      </c>
      <c r="I1403" s="14" t="str">
        <f>IF(C1403=0,"",IF(C1403&lt;=2,"TRACK",IF(C1403=3,"LOW",IF(C1403&lt;=6,"MEDIUM","HIGH"))))</f>
        <v>TRACK</v>
      </c>
      <c r="J1403" s="11">
        <f>IF(C1403=0,"",ROUND(D1403*70+(1-E1403)*20+MAX(0,MIN(1,(10-F1403)/10))*10,1))</f>
        <v>100.0</v>
      </c>
      <c r="K1403" s="14" t="str">
        <f>IF(C1403=0,"No Evidence",IF(C1403&lt;=2,IF(E1403&gt;0,"Explosive Alert","Track Only"),IF(C1403=3,"Sample Watch",IF(E1403&gt;=START_HERE!$B$31,"Explosive Alert",IF(J1403&gt;=80,"Strong Candidate",IF(J1403&gt;=65,"Good Candidate",IF(J1403&gt;=50,"Mixed / Review","Problem Call")))))))</f>
        <v>Track Only</v>
      </c>
      <c r="L1403" s="9" t="str">
        <f>IF(COUNTIFS('DEF_SELF_SCOUT_IMPORT'!$L$42:$L$1040,"Y",'DEF_SELF_SCOUT_IMPORT'!$E$42:$E$1040,SUBSTITUTE(SUBSTITUTE(SUBSTITUTE($B1403,"~","~~"),"*","~*"),"?","~?"),'DEF_SELF_SCOUT_IMPORT'!$D$42:$D$1040,SUBSTITUTE(SUBSTITUTE(SUBSTITUTE($P1403,"~","~~"),"*","~*"),"?","~?"),'DEF_SELF_SCOUT_IMPORT'!$J$42:$J$1040,"")&gt;0,"Unscored clean outcome; review result tags before using score.",IF(C1403=0,"No matching defensive reps; film confirmation needed.",IF(K1403="Explosive Alert","Explosive risk; review clips before using as answer.",IF(C1403&lt;=2,"Track only; not enough sample.",IF(C1403=3,IF(E1403&gt;0,"Sample watch with explosive exposure; review clips and build the sample.",IF(J1403&gt;=65,"Good signal, but sample is limited.","Sample watch; review clips and build the sample.")),IF(K1403="Problem Call","Problem area; practice or call-sheet review.",IF(K1403="Strong Candidate","Strong call-fit candidate; confirm on film.",IF(K1403="Good Candidate","Good call-fit signal; confirm on film.","Mixed signal; review fit and execution on film."))))))))</f>
        <v>Track only; not enough sample.</v>
      </c>
      <c r="M1403" s="8"/>
      <c r="N1403" s="8"/>
      <c r="O1403" s="8"/>
      <c r="P1403" s="8" t="s">
        <v>468</v>
      </c>
      <c r="Q1403" s="8"/>
      <c r="R1403" s="8" t="s">
        <v>633</v>
      </c>
      <c r="S1403" s="2" t="s">
        <v>651</v>
      </c>
      <c r="T1403" s="2">
        <f>IF(C1403=0,0,IF(C1403&gt;=CALL_LOOKUP_BOARD!$B$7,IF(OR(K1403="Problem Call",K1403="Explosive Alert"),10000000,20000000),0)+IF(C1403&gt;=CALL_LOOKUP_BOARD!$B$7,J1403*1000+MIN(C1403,999),C1403*1000+J1403)+0.00986000)</f>
        <v>1100.00986</v>
      </c>
      <c r="U1403" s="2">
        <f>IF(C1403=0,"",IF(COUNTIFS($S$1264:$S$1440,SUBSTITUTE(SUBSTITUTE(SUBSTITUTE(S1403,"~","~~"),"*","~*"),"?","~?"),$T$1264:$T$1440,"&gt;"&amp;T1403)=0,S1403,""))</f>
        <v/>
      </c>
    </row>
    <row r="1404" spans="1:21" ht="38" customHeight="1">
      <c r="A1404" s="8" t="s">
        <v>468</v>
      </c>
      <c r="B1404" s="8" t="s">
        <v>61</v>
      </c>
      <c r="C1404" s="12">
        <f>COUNTIFS('DEF_SELF_SCOUT_IMPORT'!$L$42:$L$1040,"Y",'DEF_SELF_SCOUT_IMPORT'!$E$42:$E$1040,SUBSTITUTE(SUBSTITUTE(SUBSTITUTE($B1404,"~","~~"),"*","~*"),"?","~?"),'DEF_SELF_SCOUT_IMPORT'!$D$42:$D$1040,SUBSTITUTE(SUBSTITUTE(SUBSTITUTE($P1404,"~","~~"),"*","~*"),"?","~?"))</f>
        <v>1</v>
      </c>
      <c r="D1404" s="10">
        <f>IF($C1404=0,"",SUMIFS('DEF_SELF_SCOUT_IMPORT'!$J$42:$J$1040,'DEF_SELF_SCOUT_IMPORT'!$L$42:$L$1040,"Y",'DEF_SELF_SCOUT_IMPORT'!$E$42:$E$1040,SUBSTITUTE(SUBSTITUTE(SUBSTITUTE($B1404,"~","~~"),"*","~*"),"?","~?"),'DEF_SELF_SCOUT_IMPORT'!$D$42:$D$1040,SUBSTITUTE(SUBSTITUTE(SUBSTITUTE($P1404,"~","~~"),"*","~*"),"?","~?"))/$C1404)</f>
        <v>1.0</v>
      </c>
      <c r="E1404" s="10">
        <f>IF($C1404=0,"",SUMIFS('DEF_SELF_SCOUT_IMPORT'!$K$42:$K$1040,'DEF_SELF_SCOUT_IMPORT'!$L$42:$L$1040,"Y",'DEF_SELF_SCOUT_IMPORT'!$E$42:$E$1040,SUBSTITUTE(SUBSTITUTE(SUBSTITUTE($B1404,"~","~~"),"*","~*"),"?","~?"),'DEF_SELF_SCOUT_IMPORT'!$D$42:$D$1040,SUBSTITUTE(SUBSTITUTE(SUBSTITUTE($P1404,"~","~~"),"*","~*"),"?","~?"))/$C1404)</f>
        <v>0.0</v>
      </c>
      <c r="F1404" s="11">
        <f>IF($C1404=0,"",AVERAGEIFS('DEF_SELF_SCOUT_IMPORT'!$I$42:$I$1040,'DEF_SELF_SCOUT_IMPORT'!$L$42:$L$1040,"Y",'DEF_SELF_SCOUT_IMPORT'!$E$42:$E$1040,SUBSTITUTE(SUBSTITUTE(SUBSTITUTE($B1404,"~","~~"),"*","~*"),"?","~?"),'DEF_SELF_SCOUT_IMPORT'!$D$42:$D$1040,SUBSTITUTE(SUBSTITUTE(SUBSTITUTE($P1404,"~","~~"),"*","~*"),"?","~?")))</f>
        <v>3.0</v>
      </c>
      <c r="G1404" s="10">
        <f>IF($C1404=0,"",COUNTIFS('DEF_SELF_SCOUT_IMPORT'!$L$42:$L$1040,"Y",'DEF_SELF_SCOUT_IMPORT'!$E$42:$E$1040,SUBSTITUTE(SUBSTITUTE(SUBSTITUTE($B1404,"~","~~"),"*","~*"),"?","~?"),'DEF_SELF_SCOUT_IMPORT'!$D$42:$D$1040,SUBSTITUTE(SUBSTITUTE(SUBSTITUTE($P1404,"~","~~"),"*","~*"),"?","~?"),'DEF_SELF_SCOUT_IMPORT'!$H$42:$H$1040,"RUSH")/$C1404)</f>
        <v>0.0</v>
      </c>
      <c r="H1404" s="10">
        <f>IF($C1404=0,"",COUNTIFS('DEF_SELF_SCOUT_IMPORT'!$L$42:$L$1040,"Y",'DEF_SELF_SCOUT_IMPORT'!$E$42:$E$1040,SUBSTITUTE(SUBSTITUTE(SUBSTITUTE($B1404,"~","~~"),"*","~*"),"?","~?"),'DEF_SELF_SCOUT_IMPORT'!$D$42:$D$1040,SUBSTITUTE(SUBSTITUTE(SUBSTITUTE($P1404,"~","~~"),"*","~*"),"?","~?"),'DEF_SELF_SCOUT_IMPORT'!$H$42:$H$1040,"DROPBACK")/$C1404)</f>
        <v>1.0</v>
      </c>
      <c r="I1404" s="14" t="str">
        <f>IF(C1404=0,"",IF(C1404&lt;=2,"TRACK",IF(C1404=3,"LOW",IF(C1404&lt;=6,"MEDIUM","HIGH"))))</f>
        <v>TRACK</v>
      </c>
      <c r="J1404" s="11">
        <f>IF(C1404=0,"",ROUND(D1404*70+(1-E1404)*20+MAX(0,MIN(1,(10-F1404)/10))*10,1))</f>
        <v>97.0</v>
      </c>
      <c r="K1404" s="14" t="str">
        <f>IF(C1404=0,"No Evidence",IF(C1404&lt;=2,IF(E1404&gt;0,"Explosive Alert","Track Only"),IF(C1404=3,"Sample Watch",IF(E1404&gt;=START_HERE!$B$31,"Explosive Alert",IF(J1404&gt;=80,"Strong Candidate",IF(J1404&gt;=65,"Good Candidate",IF(J1404&gt;=50,"Mixed / Review","Problem Call")))))))</f>
        <v>Track Only</v>
      </c>
      <c r="L1404" s="9" t="str">
        <f>IF(COUNTIFS('DEF_SELF_SCOUT_IMPORT'!$L$42:$L$1040,"Y",'DEF_SELF_SCOUT_IMPORT'!$E$42:$E$1040,SUBSTITUTE(SUBSTITUTE(SUBSTITUTE($B1404,"~","~~"),"*","~*"),"?","~?"),'DEF_SELF_SCOUT_IMPORT'!$D$42:$D$1040,SUBSTITUTE(SUBSTITUTE(SUBSTITUTE($P1404,"~","~~"),"*","~*"),"?","~?"),'DEF_SELF_SCOUT_IMPORT'!$J$42:$J$1040,"")&gt;0,"Unscored clean outcome; review result tags before using score.",IF(C1404=0,"No matching defensive reps; film confirmation needed.",IF(K1404="Explosive Alert","Explosive risk; review clips before using as answer.",IF(C1404&lt;=2,"Track only; not enough sample.",IF(C1404=3,IF(E1404&gt;0,"Sample watch with explosive exposure; review clips and build the sample.",IF(J1404&gt;=65,"Good signal, but sample is limited.","Sample watch; review clips and build the sample.")),IF(K1404="Problem Call","Problem area; practice or call-sheet review.",IF(K1404="Strong Candidate","Strong call-fit candidate; confirm on film.",IF(K1404="Good Candidate","Good call-fit signal; confirm on film.","Mixed signal; review fit and execution on film."))))))))</f>
        <v>Track only; not enough sample.</v>
      </c>
      <c r="M1404" s="8"/>
      <c r="N1404" s="8"/>
      <c r="O1404" s="8"/>
      <c r="P1404" s="8" t="s">
        <v>468</v>
      </c>
      <c r="Q1404" s="8"/>
      <c r="R1404" s="8" t="s">
        <v>633</v>
      </c>
      <c r="S1404" s="2" t="s">
        <v>651</v>
      </c>
      <c r="T1404" s="2">
        <f>IF(C1404=0,0,IF(C1404&gt;=CALL_LOOKUP_BOARD!$B$7,IF(OR(K1404="Problem Call",K1404="Explosive Alert"),10000000,20000000),0)+IF(C1404&gt;=CALL_LOOKUP_BOARD!$B$7,J1404*1000+MIN(C1404,999),C1404*1000+J1404)+0.00985900)</f>
        <v>1097.009859</v>
      </c>
      <c r="U1404" s="2">
        <f>IF(C1404=0,"",IF(COUNTIFS($S$1264:$S$1440,SUBSTITUTE(SUBSTITUTE(SUBSTITUTE(S1404,"~","~~"),"*","~*"),"?","~?"),$T$1264:$T$1440,"&gt;"&amp;T1404)=0,S1404,""))</f>
        <v/>
      </c>
    </row>
    <row r="1405" spans="1:21" ht="38" customHeight="1">
      <c r="A1405" s="8" t="s">
        <v>468</v>
      </c>
      <c r="B1405" s="8" t="s">
        <v>63</v>
      </c>
      <c r="C1405" s="12">
        <f>COUNTIFS('DEF_SELF_SCOUT_IMPORT'!$L$42:$L$1040,"Y",'DEF_SELF_SCOUT_IMPORT'!$E$42:$E$1040,SUBSTITUTE(SUBSTITUTE(SUBSTITUTE($B1405,"~","~~"),"*","~*"),"?","~?"),'DEF_SELF_SCOUT_IMPORT'!$D$42:$D$1040,SUBSTITUTE(SUBSTITUTE(SUBSTITUTE($P1405,"~","~~"),"*","~*"),"?","~?"))</f>
        <v>1</v>
      </c>
      <c r="D1405" s="10">
        <f>IF($C1405=0,"",SUMIFS('DEF_SELF_SCOUT_IMPORT'!$J$42:$J$1040,'DEF_SELF_SCOUT_IMPORT'!$L$42:$L$1040,"Y",'DEF_SELF_SCOUT_IMPORT'!$E$42:$E$1040,SUBSTITUTE(SUBSTITUTE(SUBSTITUTE($B1405,"~","~~"),"*","~*"),"?","~?"),'DEF_SELF_SCOUT_IMPORT'!$D$42:$D$1040,SUBSTITUTE(SUBSTITUTE(SUBSTITUTE($P1405,"~","~~"),"*","~*"),"?","~?"))/$C1405)</f>
        <v>0.0</v>
      </c>
      <c r="E1405" s="10">
        <f>IF($C1405=0,"",SUMIFS('DEF_SELF_SCOUT_IMPORT'!$K$42:$K$1040,'DEF_SELF_SCOUT_IMPORT'!$L$42:$L$1040,"Y",'DEF_SELF_SCOUT_IMPORT'!$E$42:$E$1040,SUBSTITUTE(SUBSTITUTE(SUBSTITUTE($B1405,"~","~~"),"*","~*"),"?","~?"),'DEF_SELF_SCOUT_IMPORT'!$D$42:$D$1040,SUBSTITUTE(SUBSTITUTE(SUBSTITUTE($P1405,"~","~~"),"*","~*"),"?","~?"))/$C1405)</f>
        <v>1.0</v>
      </c>
      <c r="F1405" s="11">
        <f>IF($C1405=0,"",AVERAGEIFS('DEF_SELF_SCOUT_IMPORT'!$I$42:$I$1040,'DEF_SELF_SCOUT_IMPORT'!$L$42:$L$1040,"Y",'DEF_SELF_SCOUT_IMPORT'!$E$42:$E$1040,SUBSTITUTE(SUBSTITUTE(SUBSTITUTE($B1405,"~","~~"),"*","~*"),"?","~?"),'DEF_SELF_SCOUT_IMPORT'!$D$42:$D$1040,SUBSTITUTE(SUBSTITUTE(SUBSTITUTE($P1405,"~","~~"),"*","~*"),"?","~?")))</f>
        <v>28.0</v>
      </c>
      <c r="G1405" s="10">
        <f>IF($C1405=0,"",COUNTIFS('DEF_SELF_SCOUT_IMPORT'!$L$42:$L$1040,"Y",'DEF_SELF_SCOUT_IMPORT'!$E$42:$E$1040,SUBSTITUTE(SUBSTITUTE(SUBSTITUTE($B1405,"~","~~"),"*","~*"),"?","~?"),'DEF_SELF_SCOUT_IMPORT'!$D$42:$D$1040,SUBSTITUTE(SUBSTITUTE(SUBSTITUTE($P1405,"~","~~"),"*","~*"),"?","~?"),'DEF_SELF_SCOUT_IMPORT'!$H$42:$H$1040,"RUSH")/$C1405)</f>
        <v>0.0</v>
      </c>
      <c r="H1405" s="10">
        <f>IF($C1405=0,"",COUNTIFS('DEF_SELF_SCOUT_IMPORT'!$L$42:$L$1040,"Y",'DEF_SELF_SCOUT_IMPORT'!$E$42:$E$1040,SUBSTITUTE(SUBSTITUTE(SUBSTITUTE($B1405,"~","~~"),"*","~*"),"?","~?"),'DEF_SELF_SCOUT_IMPORT'!$D$42:$D$1040,SUBSTITUTE(SUBSTITUTE(SUBSTITUTE($P1405,"~","~~"),"*","~*"),"?","~?"),'DEF_SELF_SCOUT_IMPORT'!$H$42:$H$1040,"DROPBACK")/$C1405)</f>
        <v>1.0</v>
      </c>
      <c r="I1405" s="14" t="str">
        <f>IF(C1405=0,"",IF(C1405&lt;=2,"TRACK",IF(C1405=3,"LOW",IF(C1405&lt;=6,"MEDIUM","HIGH"))))</f>
        <v>TRACK</v>
      </c>
      <c r="J1405" s="11">
        <f>IF(C1405=0,"",ROUND(D1405*70+(1-E1405)*20+MAX(0,MIN(1,(10-F1405)/10))*10,1))</f>
        <v>0.0</v>
      </c>
      <c r="K1405" s="14" t="str">
        <f>IF(C1405=0,"No Evidence",IF(C1405&lt;=2,IF(E1405&gt;0,"Explosive Alert","Track Only"),IF(C1405=3,"Sample Watch",IF(E1405&gt;=START_HERE!$B$31,"Explosive Alert",IF(J1405&gt;=80,"Strong Candidate",IF(J1405&gt;=65,"Good Candidate",IF(J1405&gt;=50,"Mixed / Review","Problem Call")))))))</f>
        <v>Explosive Alert</v>
      </c>
      <c r="L1405" s="9" t="str">
        <f>IF(COUNTIFS('DEF_SELF_SCOUT_IMPORT'!$L$42:$L$1040,"Y",'DEF_SELF_SCOUT_IMPORT'!$E$42:$E$1040,SUBSTITUTE(SUBSTITUTE(SUBSTITUTE($B1405,"~","~~"),"*","~*"),"?","~?"),'DEF_SELF_SCOUT_IMPORT'!$D$42:$D$1040,SUBSTITUTE(SUBSTITUTE(SUBSTITUTE($P1405,"~","~~"),"*","~*"),"?","~?"),'DEF_SELF_SCOUT_IMPORT'!$J$42:$J$1040,"")&gt;0,"Unscored clean outcome; review result tags before using score.",IF(C1405=0,"No matching defensive reps; film confirmation needed.",IF(K1405="Explosive Alert","Explosive risk; review clips before using as answer.",IF(C1405&lt;=2,"Track only; not enough sample.",IF(C1405=3,IF(E1405&gt;0,"Sample watch with explosive exposure; review clips and build the sample.",IF(J1405&gt;=65,"Good signal, but sample is limited.","Sample watch; review clips and build the sample.")),IF(K1405="Problem Call","Problem area; practice or call-sheet review.",IF(K1405="Strong Candidate","Strong call-fit candidate; confirm on film.",IF(K1405="Good Candidate","Good call-fit signal; confirm on film.","Mixed signal; review fit and execution on film."))))))))</f>
        <v>Explosive risk; review clips before using as answer.</v>
      </c>
      <c r="M1405" s="8"/>
      <c r="N1405" s="8"/>
      <c r="O1405" s="8"/>
      <c r="P1405" s="8" t="s">
        <v>468</v>
      </c>
      <c r="Q1405" s="8"/>
      <c r="R1405" s="8" t="s">
        <v>633</v>
      </c>
      <c r="S1405" s="2" t="s">
        <v>651</v>
      </c>
      <c r="T1405" s="2">
        <f>IF(C1405=0,0,IF(C1405&gt;=CALL_LOOKUP_BOARD!$B$7,IF(OR(K1405="Problem Call",K1405="Explosive Alert"),10000000,20000000),0)+IF(C1405&gt;=CALL_LOOKUP_BOARD!$B$7,J1405*1000+MIN(C1405,999),C1405*1000+J1405)+0.00985800)</f>
        <v>1000.009858</v>
      </c>
      <c r="U1405" s="2">
        <f>IF(C1405=0,"",IF(COUNTIFS($S$1264:$S$1440,SUBSTITUTE(SUBSTITUTE(SUBSTITUTE(S1405,"~","~~"),"*","~*"),"?","~?"),$T$1264:$T$1440,"&gt;"&amp;T1405)=0,S1405,""))</f>
        <v/>
      </c>
    </row>
    <row r="1406" spans="1:21" ht="38" customHeight="1">
      <c r="A1406" s="8" t="s">
        <v>468</v>
      </c>
      <c r="B1406" s="8" t="s">
        <v>64</v>
      </c>
      <c r="C1406" s="12">
        <f>COUNTIFS('DEF_SELF_SCOUT_IMPORT'!$L$42:$L$1040,"Y",'DEF_SELF_SCOUT_IMPORT'!$E$42:$E$1040,SUBSTITUTE(SUBSTITUTE(SUBSTITUTE($B1406,"~","~~"),"*","~*"),"?","~?"),'DEF_SELF_SCOUT_IMPORT'!$D$42:$D$1040,SUBSTITUTE(SUBSTITUTE(SUBSTITUTE($P1406,"~","~~"),"*","~*"),"?","~?"))</f>
        <v>1</v>
      </c>
      <c r="D1406" s="10">
        <f>IF($C1406=0,"",SUMIFS('DEF_SELF_SCOUT_IMPORT'!$J$42:$J$1040,'DEF_SELF_SCOUT_IMPORT'!$L$42:$L$1040,"Y",'DEF_SELF_SCOUT_IMPORT'!$E$42:$E$1040,SUBSTITUTE(SUBSTITUTE(SUBSTITUTE($B1406,"~","~~"),"*","~*"),"?","~?"),'DEF_SELF_SCOUT_IMPORT'!$D$42:$D$1040,SUBSTITUTE(SUBSTITUTE(SUBSTITUTE($P1406,"~","~~"),"*","~*"),"?","~?"))/$C1406)</f>
        <v>1.0</v>
      </c>
      <c r="E1406" s="10">
        <f>IF($C1406=0,"",SUMIFS('DEF_SELF_SCOUT_IMPORT'!$K$42:$K$1040,'DEF_SELF_SCOUT_IMPORT'!$L$42:$L$1040,"Y",'DEF_SELF_SCOUT_IMPORT'!$E$42:$E$1040,SUBSTITUTE(SUBSTITUTE(SUBSTITUTE($B1406,"~","~~"),"*","~*"),"?","~?"),'DEF_SELF_SCOUT_IMPORT'!$D$42:$D$1040,SUBSTITUTE(SUBSTITUTE(SUBSTITUTE($P1406,"~","~~"),"*","~*"),"?","~?"))/$C1406)</f>
        <v>0.0</v>
      </c>
      <c r="F1406" s="11">
        <f>IF($C1406=0,"",AVERAGEIFS('DEF_SELF_SCOUT_IMPORT'!$I$42:$I$1040,'DEF_SELF_SCOUT_IMPORT'!$L$42:$L$1040,"Y",'DEF_SELF_SCOUT_IMPORT'!$E$42:$E$1040,SUBSTITUTE(SUBSTITUTE(SUBSTITUTE($B1406,"~","~~"),"*","~*"),"?","~?"),'DEF_SELF_SCOUT_IMPORT'!$D$42:$D$1040,SUBSTITUTE(SUBSTITUTE(SUBSTITUTE($P1406,"~","~~"),"*","~*"),"?","~?")))</f>
        <v>1.0</v>
      </c>
      <c r="G1406" s="10">
        <f>IF($C1406=0,"",COUNTIFS('DEF_SELF_SCOUT_IMPORT'!$L$42:$L$1040,"Y",'DEF_SELF_SCOUT_IMPORT'!$E$42:$E$1040,SUBSTITUTE(SUBSTITUTE(SUBSTITUTE($B1406,"~","~~"),"*","~*"),"?","~?"),'DEF_SELF_SCOUT_IMPORT'!$D$42:$D$1040,SUBSTITUTE(SUBSTITUTE(SUBSTITUTE($P1406,"~","~~"),"*","~*"),"?","~?"),'DEF_SELF_SCOUT_IMPORT'!$H$42:$H$1040,"RUSH")/$C1406)</f>
        <v>0.0</v>
      </c>
      <c r="H1406" s="10">
        <f>IF($C1406=0,"",COUNTIFS('DEF_SELF_SCOUT_IMPORT'!$L$42:$L$1040,"Y",'DEF_SELF_SCOUT_IMPORT'!$E$42:$E$1040,SUBSTITUTE(SUBSTITUTE(SUBSTITUTE($B1406,"~","~~"),"*","~*"),"?","~?"),'DEF_SELF_SCOUT_IMPORT'!$D$42:$D$1040,SUBSTITUTE(SUBSTITUTE(SUBSTITUTE($P1406,"~","~~"),"*","~*"),"?","~?"),'DEF_SELF_SCOUT_IMPORT'!$H$42:$H$1040,"DROPBACK")/$C1406)</f>
        <v>1.0</v>
      </c>
      <c r="I1406" s="14" t="str">
        <f>IF(C1406=0,"",IF(C1406&lt;=2,"TRACK",IF(C1406=3,"LOW",IF(C1406&lt;=6,"MEDIUM","HIGH"))))</f>
        <v>TRACK</v>
      </c>
      <c r="J1406" s="11">
        <f>IF(C1406=0,"",ROUND(D1406*70+(1-E1406)*20+MAX(0,MIN(1,(10-F1406)/10))*10,1))</f>
        <v>99.0</v>
      </c>
      <c r="K1406" s="14" t="str">
        <f>IF(C1406=0,"No Evidence",IF(C1406&lt;=2,IF(E1406&gt;0,"Explosive Alert","Track Only"),IF(C1406=3,"Sample Watch",IF(E1406&gt;=START_HERE!$B$31,"Explosive Alert",IF(J1406&gt;=80,"Strong Candidate",IF(J1406&gt;=65,"Good Candidate",IF(J1406&gt;=50,"Mixed / Review","Problem Call")))))))</f>
        <v>Track Only</v>
      </c>
      <c r="L1406" s="9" t="str">
        <f>IF(COUNTIFS('DEF_SELF_SCOUT_IMPORT'!$L$42:$L$1040,"Y",'DEF_SELF_SCOUT_IMPORT'!$E$42:$E$1040,SUBSTITUTE(SUBSTITUTE(SUBSTITUTE($B1406,"~","~~"),"*","~*"),"?","~?"),'DEF_SELF_SCOUT_IMPORT'!$D$42:$D$1040,SUBSTITUTE(SUBSTITUTE(SUBSTITUTE($P1406,"~","~~"),"*","~*"),"?","~?"),'DEF_SELF_SCOUT_IMPORT'!$J$42:$J$1040,"")&gt;0,"Unscored clean outcome; review result tags before using score.",IF(C1406=0,"No matching defensive reps; film confirmation needed.",IF(K1406="Explosive Alert","Explosive risk; review clips before using as answer.",IF(C1406&lt;=2,"Track only; not enough sample.",IF(C1406=3,IF(E1406&gt;0,"Sample watch with explosive exposure; review clips and build the sample.",IF(J1406&gt;=65,"Good signal, but sample is limited.","Sample watch; review clips and build the sample.")),IF(K1406="Problem Call","Problem area; practice or call-sheet review.",IF(K1406="Strong Candidate","Strong call-fit candidate; confirm on film.",IF(K1406="Good Candidate","Good call-fit signal; confirm on film.","Mixed signal; review fit and execution on film."))))))))</f>
        <v>Track only; not enough sample.</v>
      </c>
      <c r="M1406" s="8"/>
      <c r="N1406" s="8"/>
      <c r="O1406" s="8"/>
      <c r="P1406" s="8" t="s">
        <v>468</v>
      </c>
      <c r="Q1406" s="8"/>
      <c r="R1406" s="8" t="s">
        <v>633</v>
      </c>
      <c r="S1406" s="2" t="s">
        <v>651</v>
      </c>
      <c r="T1406" s="2">
        <f>IF(C1406=0,0,IF(C1406&gt;=CALL_LOOKUP_BOARD!$B$7,IF(OR(K1406="Problem Call",K1406="Explosive Alert"),10000000,20000000),0)+IF(C1406&gt;=CALL_LOOKUP_BOARD!$B$7,J1406*1000+MIN(C1406,999),C1406*1000+J1406)+0.00985700)</f>
        <v>1099.009857</v>
      </c>
      <c r="U1406" s="2">
        <f>IF(C1406=0,"",IF(COUNTIFS($S$1264:$S$1440,SUBSTITUTE(SUBSTITUTE(SUBSTITUTE(S1406,"~","~~"),"*","~*"),"?","~?"),$T$1264:$T$1440,"&gt;"&amp;T1406)=0,S1406,""))</f>
        <v/>
      </c>
    </row>
    <row r="1407" spans="1:21" ht="38" customHeight="1">
      <c r="A1407" s="8" t="s">
        <v>468</v>
      </c>
      <c r="B1407" s="8" t="s">
        <v>74</v>
      </c>
      <c r="C1407" s="12">
        <f>COUNTIFS('DEF_SELF_SCOUT_IMPORT'!$L$42:$L$1040,"Y",'DEF_SELF_SCOUT_IMPORT'!$E$42:$E$1040,SUBSTITUTE(SUBSTITUTE(SUBSTITUTE($B1407,"~","~~"),"*","~*"),"?","~?"),'DEF_SELF_SCOUT_IMPORT'!$D$42:$D$1040,SUBSTITUTE(SUBSTITUTE(SUBSTITUTE($P1407,"~","~~"),"*","~*"),"?","~?"))</f>
        <v>1</v>
      </c>
      <c r="D1407" s="10">
        <f>IF($C1407=0,"",SUMIFS('DEF_SELF_SCOUT_IMPORT'!$J$42:$J$1040,'DEF_SELF_SCOUT_IMPORT'!$L$42:$L$1040,"Y",'DEF_SELF_SCOUT_IMPORT'!$E$42:$E$1040,SUBSTITUTE(SUBSTITUTE(SUBSTITUTE($B1407,"~","~~"),"*","~*"),"?","~?"),'DEF_SELF_SCOUT_IMPORT'!$D$42:$D$1040,SUBSTITUTE(SUBSTITUTE(SUBSTITUTE($P1407,"~","~~"),"*","~*"),"?","~?"))/$C1407)</f>
        <v>1.0</v>
      </c>
      <c r="E1407" s="10">
        <f>IF($C1407=0,"",SUMIFS('DEF_SELF_SCOUT_IMPORT'!$K$42:$K$1040,'DEF_SELF_SCOUT_IMPORT'!$L$42:$L$1040,"Y",'DEF_SELF_SCOUT_IMPORT'!$E$42:$E$1040,SUBSTITUTE(SUBSTITUTE(SUBSTITUTE($B1407,"~","~~"),"*","~*"),"?","~?"),'DEF_SELF_SCOUT_IMPORT'!$D$42:$D$1040,SUBSTITUTE(SUBSTITUTE(SUBSTITUTE($P1407,"~","~~"),"*","~*"),"?","~?"))/$C1407)</f>
        <v>0.0</v>
      </c>
      <c r="F1407" s="11">
        <f>IF($C1407=0,"",AVERAGEIFS('DEF_SELF_SCOUT_IMPORT'!$I$42:$I$1040,'DEF_SELF_SCOUT_IMPORT'!$L$42:$L$1040,"Y",'DEF_SELF_SCOUT_IMPORT'!$E$42:$E$1040,SUBSTITUTE(SUBSTITUTE(SUBSTITUTE($B1407,"~","~~"),"*","~*"),"?","~?"),'DEF_SELF_SCOUT_IMPORT'!$D$42:$D$1040,SUBSTITUTE(SUBSTITUTE(SUBSTITUTE($P1407,"~","~~"),"*","~*"),"?","~?")))</f>
        <v>-8.0</v>
      </c>
      <c r="G1407" s="10">
        <f>IF($C1407=0,"",COUNTIFS('DEF_SELF_SCOUT_IMPORT'!$L$42:$L$1040,"Y",'DEF_SELF_SCOUT_IMPORT'!$E$42:$E$1040,SUBSTITUTE(SUBSTITUTE(SUBSTITUTE($B1407,"~","~~"),"*","~*"),"?","~?"),'DEF_SELF_SCOUT_IMPORT'!$D$42:$D$1040,SUBSTITUTE(SUBSTITUTE(SUBSTITUTE($P1407,"~","~~"),"*","~*"),"?","~?"),'DEF_SELF_SCOUT_IMPORT'!$H$42:$H$1040,"RUSH")/$C1407)</f>
        <v>0.0</v>
      </c>
      <c r="H1407" s="10">
        <f>IF($C1407=0,"",COUNTIFS('DEF_SELF_SCOUT_IMPORT'!$L$42:$L$1040,"Y",'DEF_SELF_SCOUT_IMPORT'!$E$42:$E$1040,SUBSTITUTE(SUBSTITUTE(SUBSTITUTE($B1407,"~","~~"),"*","~*"),"?","~?"),'DEF_SELF_SCOUT_IMPORT'!$D$42:$D$1040,SUBSTITUTE(SUBSTITUTE(SUBSTITUTE($P1407,"~","~~"),"*","~*"),"?","~?"),'DEF_SELF_SCOUT_IMPORT'!$H$42:$H$1040,"DROPBACK")/$C1407)</f>
        <v>1.0</v>
      </c>
      <c r="I1407" s="14" t="str">
        <f>IF(C1407=0,"",IF(C1407&lt;=2,"TRACK",IF(C1407=3,"LOW",IF(C1407&lt;=6,"MEDIUM","HIGH"))))</f>
        <v>TRACK</v>
      </c>
      <c r="J1407" s="11">
        <f>IF(C1407=0,"",ROUND(D1407*70+(1-E1407)*20+MAX(0,MIN(1,(10-F1407)/10))*10,1))</f>
        <v>100.0</v>
      </c>
      <c r="K1407" s="14" t="str">
        <f>IF(C1407=0,"No Evidence",IF(C1407&lt;=2,IF(E1407&gt;0,"Explosive Alert","Track Only"),IF(C1407=3,"Sample Watch",IF(E1407&gt;=START_HERE!$B$31,"Explosive Alert",IF(J1407&gt;=80,"Strong Candidate",IF(J1407&gt;=65,"Good Candidate",IF(J1407&gt;=50,"Mixed / Review","Problem Call")))))))</f>
        <v>Track Only</v>
      </c>
      <c r="L1407" s="9" t="str">
        <f>IF(COUNTIFS('DEF_SELF_SCOUT_IMPORT'!$L$42:$L$1040,"Y",'DEF_SELF_SCOUT_IMPORT'!$E$42:$E$1040,SUBSTITUTE(SUBSTITUTE(SUBSTITUTE($B1407,"~","~~"),"*","~*"),"?","~?"),'DEF_SELF_SCOUT_IMPORT'!$D$42:$D$1040,SUBSTITUTE(SUBSTITUTE(SUBSTITUTE($P1407,"~","~~"),"*","~*"),"?","~?"),'DEF_SELF_SCOUT_IMPORT'!$J$42:$J$1040,"")&gt;0,"Unscored clean outcome; review result tags before using score.",IF(C1407=0,"No matching defensive reps; film confirmation needed.",IF(K1407="Explosive Alert","Explosive risk; review clips before using as answer.",IF(C1407&lt;=2,"Track only; not enough sample.",IF(C1407=3,IF(E1407&gt;0,"Sample watch with explosive exposure; review clips and build the sample.",IF(J1407&gt;=65,"Good signal, but sample is limited.","Sample watch; review clips and build the sample.")),IF(K1407="Problem Call","Problem area; practice or call-sheet review.",IF(K1407="Strong Candidate","Strong call-fit candidate; confirm on film.",IF(K1407="Good Candidate","Good call-fit signal; confirm on film.","Mixed signal; review fit and execution on film."))))))))</f>
        <v>Track only; not enough sample.</v>
      </c>
      <c r="M1407" s="8"/>
      <c r="N1407" s="8"/>
      <c r="O1407" s="8"/>
      <c r="P1407" s="8" t="s">
        <v>468</v>
      </c>
      <c r="Q1407" s="8"/>
      <c r="R1407" s="8" t="s">
        <v>633</v>
      </c>
      <c r="S1407" s="2" t="s">
        <v>651</v>
      </c>
      <c r="T1407" s="2">
        <f>IF(C1407=0,0,IF(C1407&gt;=CALL_LOOKUP_BOARD!$B$7,IF(OR(K1407="Problem Call",K1407="Explosive Alert"),10000000,20000000),0)+IF(C1407&gt;=CALL_LOOKUP_BOARD!$B$7,J1407*1000+MIN(C1407,999),C1407*1000+J1407)+0.00985600)</f>
        <v>1100.009856</v>
      </c>
      <c r="U1407" s="2">
        <f>IF(C1407=0,"",IF(COUNTIFS($S$1264:$S$1440,SUBSTITUTE(SUBSTITUTE(SUBSTITUTE(S1407,"~","~~"),"*","~*"),"?","~?"),$T$1264:$T$1440,"&gt;"&amp;T1407)=0,S1407,""))</f>
        <v/>
      </c>
    </row>
    <row r="1408" spans="1:21" ht="38" customHeight="1">
      <c r="A1408" s="8" t="s">
        <v>438</v>
      </c>
      <c r="B1408" s="8" t="s">
        <v>34</v>
      </c>
      <c r="C1408" s="12">
        <f>COUNTIFS('DEF_SELF_SCOUT_IMPORT'!$L$42:$L$1040,"Y",'DEF_SELF_SCOUT_IMPORT'!$E$42:$E$1040,SUBSTITUTE(SUBSTITUTE(SUBSTITUTE($B1408,"~","~~"),"*","~*"),"?","~?"),'DEF_SELF_SCOUT_IMPORT'!$D$42:$D$1040,SUBSTITUTE(SUBSTITUTE(SUBSTITUTE($P1408,"~","~~"),"*","~*"),"?","~?"))</f>
        <v>1</v>
      </c>
      <c r="D1408" s="10">
        <f>IF($C1408=0,"",SUMIFS('DEF_SELF_SCOUT_IMPORT'!$J$42:$J$1040,'DEF_SELF_SCOUT_IMPORT'!$L$42:$L$1040,"Y",'DEF_SELF_SCOUT_IMPORT'!$E$42:$E$1040,SUBSTITUTE(SUBSTITUTE(SUBSTITUTE($B1408,"~","~~"),"*","~*"),"?","~?"),'DEF_SELF_SCOUT_IMPORT'!$D$42:$D$1040,SUBSTITUTE(SUBSTITUTE(SUBSTITUTE($P1408,"~","~~"),"*","~*"),"?","~?"))/$C1408)</f>
        <v>1.0</v>
      </c>
      <c r="E1408" s="10">
        <f>IF($C1408=0,"",SUMIFS('DEF_SELF_SCOUT_IMPORT'!$K$42:$K$1040,'DEF_SELF_SCOUT_IMPORT'!$L$42:$L$1040,"Y",'DEF_SELF_SCOUT_IMPORT'!$E$42:$E$1040,SUBSTITUTE(SUBSTITUTE(SUBSTITUTE($B1408,"~","~~"),"*","~*"),"?","~?"),'DEF_SELF_SCOUT_IMPORT'!$D$42:$D$1040,SUBSTITUTE(SUBSTITUTE(SUBSTITUTE($P1408,"~","~~"),"*","~*"),"?","~?"))/$C1408)</f>
        <v>0.0</v>
      </c>
      <c r="F1408" s="11">
        <f>IF($C1408=0,"",AVERAGEIFS('DEF_SELF_SCOUT_IMPORT'!$I$42:$I$1040,'DEF_SELF_SCOUT_IMPORT'!$L$42:$L$1040,"Y",'DEF_SELF_SCOUT_IMPORT'!$E$42:$E$1040,SUBSTITUTE(SUBSTITUTE(SUBSTITUTE($B1408,"~","~~"),"*","~*"),"?","~?"),'DEF_SELF_SCOUT_IMPORT'!$D$42:$D$1040,SUBSTITUTE(SUBSTITUTE(SUBSTITUTE($P1408,"~","~~"),"*","~*"),"?","~?")))</f>
        <v>3.0</v>
      </c>
      <c r="G1408" s="10">
        <f>IF($C1408=0,"",COUNTIFS('DEF_SELF_SCOUT_IMPORT'!$L$42:$L$1040,"Y",'DEF_SELF_SCOUT_IMPORT'!$E$42:$E$1040,SUBSTITUTE(SUBSTITUTE(SUBSTITUTE($B1408,"~","~~"),"*","~*"),"?","~?"),'DEF_SELF_SCOUT_IMPORT'!$D$42:$D$1040,SUBSTITUTE(SUBSTITUTE(SUBSTITUTE($P1408,"~","~~"),"*","~*"),"?","~?"),'DEF_SELF_SCOUT_IMPORT'!$H$42:$H$1040,"RUSH")/$C1408)</f>
        <v>1.0</v>
      </c>
      <c r="H1408" s="10">
        <f>IF($C1408=0,"",COUNTIFS('DEF_SELF_SCOUT_IMPORT'!$L$42:$L$1040,"Y",'DEF_SELF_SCOUT_IMPORT'!$E$42:$E$1040,SUBSTITUTE(SUBSTITUTE(SUBSTITUTE($B1408,"~","~~"),"*","~*"),"?","~?"),'DEF_SELF_SCOUT_IMPORT'!$D$42:$D$1040,SUBSTITUTE(SUBSTITUTE(SUBSTITUTE($P1408,"~","~~"),"*","~*"),"?","~?"),'DEF_SELF_SCOUT_IMPORT'!$H$42:$H$1040,"DROPBACK")/$C1408)</f>
        <v>0.0</v>
      </c>
      <c r="I1408" s="14" t="str">
        <f>IF(C1408=0,"",IF(C1408&lt;=2,"TRACK",IF(C1408=3,"LOW",IF(C1408&lt;=6,"MEDIUM","HIGH"))))</f>
        <v>TRACK</v>
      </c>
      <c r="J1408" s="11">
        <f>IF(C1408=0,"",ROUND(D1408*70+(1-E1408)*20+MAX(0,MIN(1,(10-F1408)/10))*10,1))</f>
        <v>97.0</v>
      </c>
      <c r="K1408" s="14" t="str">
        <f>IF(C1408=0,"No Evidence",IF(C1408&lt;=2,IF(E1408&gt;0,"Explosive Alert","Track Only"),IF(C1408=3,"Sample Watch",IF(E1408&gt;=START_HERE!$B$31,"Explosive Alert",IF(J1408&gt;=80,"Strong Candidate",IF(J1408&gt;=65,"Good Candidate",IF(J1408&gt;=50,"Mixed / Review","Problem Call")))))))</f>
        <v>Track Only</v>
      </c>
      <c r="L1408" s="9" t="str">
        <f>IF(COUNTIFS('DEF_SELF_SCOUT_IMPORT'!$L$42:$L$1040,"Y",'DEF_SELF_SCOUT_IMPORT'!$E$42:$E$1040,SUBSTITUTE(SUBSTITUTE(SUBSTITUTE($B1408,"~","~~"),"*","~*"),"?","~?"),'DEF_SELF_SCOUT_IMPORT'!$D$42:$D$1040,SUBSTITUTE(SUBSTITUTE(SUBSTITUTE($P1408,"~","~~"),"*","~*"),"?","~?"),'DEF_SELF_SCOUT_IMPORT'!$J$42:$J$1040,"")&gt;0,"Unscored clean outcome; review result tags before using score.",IF(C1408=0,"No matching defensive reps; film confirmation needed.",IF(K1408="Explosive Alert","Explosive risk; review clips before using as answer.",IF(C1408&lt;=2,"Track only; not enough sample.",IF(C1408=3,IF(E1408&gt;0,"Sample watch with explosive exposure; review clips and build the sample.",IF(J1408&gt;=65,"Good signal, but sample is limited.","Sample watch; review clips and build the sample.")),IF(K1408="Problem Call","Problem area; practice or call-sheet review.",IF(K1408="Strong Candidate","Strong call-fit candidate; confirm on film.",IF(K1408="Good Candidate","Good call-fit signal; confirm on film.","Mixed signal; review fit and execution on film."))))))))</f>
        <v>Track only; not enough sample.</v>
      </c>
      <c r="M1408" s="8"/>
      <c r="N1408" s="8"/>
      <c r="O1408" s="8"/>
      <c r="P1408" s="8" t="s">
        <v>438</v>
      </c>
      <c r="Q1408" s="8"/>
      <c r="R1408" s="8" t="s">
        <v>633</v>
      </c>
      <c r="S1408" s="2" t="s">
        <v>652</v>
      </c>
      <c r="T1408" s="2">
        <f>IF(C1408=0,0,IF(C1408&gt;=CALL_LOOKUP_BOARD!$B$7,IF(OR(K1408="Problem Call",K1408="Explosive Alert"),10000000,20000000),0)+IF(C1408&gt;=CALL_LOOKUP_BOARD!$B$7,J1408*1000+MIN(C1408,999),C1408*1000+J1408)+0.00985500)</f>
        <v>1097.009855</v>
      </c>
      <c r="U1408" s="2" t="str">
        <f>IF(C1408=0,"",IF(COUNTIFS($S$1264:$S$1440,SUBSTITUTE(SUBSTITUTE(SUBSTITUTE(S1408,"~","~~"),"*","~*"),"?","~?"),$T$1264:$T$1440,"&gt;"&amp;T1408)=0,S1408,""))</f>
        <v>8:PIN PULL|</v>
      </c>
    </row>
    <row r="1409" spans="1:21" ht="38" customHeight="1">
      <c r="A1409" s="8" t="s">
        <v>541</v>
      </c>
      <c r="B1409" s="8" t="s">
        <v>60</v>
      </c>
      <c r="C1409" s="12">
        <f>COUNTIFS('DEF_SELF_SCOUT_IMPORT'!$L$42:$L$1040,"Y",'DEF_SELF_SCOUT_IMPORT'!$E$42:$E$1040,SUBSTITUTE(SUBSTITUTE(SUBSTITUTE($B1409,"~","~~"),"*","~*"),"?","~?"),'DEF_SELF_SCOUT_IMPORT'!$D$42:$D$1040,SUBSTITUTE(SUBSTITUTE(SUBSTITUTE($P1409,"~","~~"),"*","~*"),"?","~?"))</f>
        <v>1</v>
      </c>
      <c r="D1409" s="10">
        <f>IF($C1409=0,"",SUMIFS('DEF_SELF_SCOUT_IMPORT'!$J$42:$J$1040,'DEF_SELF_SCOUT_IMPORT'!$L$42:$L$1040,"Y",'DEF_SELF_SCOUT_IMPORT'!$E$42:$E$1040,SUBSTITUTE(SUBSTITUTE(SUBSTITUTE($B1409,"~","~~"),"*","~*"),"?","~?"),'DEF_SELF_SCOUT_IMPORT'!$D$42:$D$1040,SUBSTITUTE(SUBSTITUTE(SUBSTITUTE($P1409,"~","~~"),"*","~*"),"?","~?"))/$C1409)</f>
        <v>1.0</v>
      </c>
      <c r="E1409" s="10">
        <f>IF($C1409=0,"",SUMIFS('DEF_SELF_SCOUT_IMPORT'!$K$42:$K$1040,'DEF_SELF_SCOUT_IMPORT'!$L$42:$L$1040,"Y",'DEF_SELF_SCOUT_IMPORT'!$E$42:$E$1040,SUBSTITUTE(SUBSTITUTE(SUBSTITUTE($B1409,"~","~~"),"*","~*"),"?","~?"),'DEF_SELF_SCOUT_IMPORT'!$D$42:$D$1040,SUBSTITUTE(SUBSTITUTE(SUBSTITUTE($P1409,"~","~~"),"*","~*"),"?","~?"))/$C1409)</f>
        <v>0.0</v>
      </c>
      <c r="F1409" s="11">
        <f>IF($C1409=0,"",AVERAGEIFS('DEF_SELF_SCOUT_IMPORT'!$I$42:$I$1040,'DEF_SELF_SCOUT_IMPORT'!$L$42:$L$1040,"Y",'DEF_SELF_SCOUT_IMPORT'!$E$42:$E$1040,SUBSTITUTE(SUBSTITUTE(SUBSTITUTE($B1409,"~","~~"),"*","~*"),"?","~?"),'DEF_SELF_SCOUT_IMPORT'!$D$42:$D$1040,SUBSTITUTE(SUBSTITUTE(SUBSTITUTE($P1409,"~","~~"),"*","~*"),"?","~?")))</f>
        <v>0.0</v>
      </c>
      <c r="G1409" s="10">
        <f>IF($C1409=0,"",COUNTIFS('DEF_SELF_SCOUT_IMPORT'!$L$42:$L$1040,"Y",'DEF_SELF_SCOUT_IMPORT'!$E$42:$E$1040,SUBSTITUTE(SUBSTITUTE(SUBSTITUTE($B1409,"~","~~"),"*","~*"),"?","~?"),'DEF_SELF_SCOUT_IMPORT'!$D$42:$D$1040,SUBSTITUTE(SUBSTITUTE(SUBSTITUTE($P1409,"~","~~"),"*","~*"),"?","~?"),'DEF_SELF_SCOUT_IMPORT'!$H$42:$H$1040,"RUSH")/$C1409)</f>
        <v>1.0</v>
      </c>
      <c r="H1409" s="10">
        <f>IF($C1409=0,"",COUNTIFS('DEF_SELF_SCOUT_IMPORT'!$L$42:$L$1040,"Y",'DEF_SELF_SCOUT_IMPORT'!$E$42:$E$1040,SUBSTITUTE(SUBSTITUTE(SUBSTITUTE($B1409,"~","~~"),"*","~*"),"?","~?"),'DEF_SELF_SCOUT_IMPORT'!$D$42:$D$1040,SUBSTITUTE(SUBSTITUTE(SUBSTITUTE($P1409,"~","~~"),"*","~*"),"?","~?"),'DEF_SELF_SCOUT_IMPORT'!$H$42:$H$1040,"DROPBACK")/$C1409)</f>
        <v>0.0</v>
      </c>
      <c r="I1409" s="14" t="str">
        <f>IF(C1409=0,"",IF(C1409&lt;=2,"TRACK",IF(C1409=3,"LOW",IF(C1409&lt;=6,"MEDIUM","HIGH"))))</f>
        <v>TRACK</v>
      </c>
      <c r="J1409" s="11">
        <f>IF(C1409=0,"",ROUND(D1409*70+(1-E1409)*20+MAX(0,MIN(1,(10-F1409)/10))*10,1))</f>
        <v>100.0</v>
      </c>
      <c r="K1409" s="14" t="str">
        <f>IF(C1409=0,"No Evidence",IF(C1409&lt;=2,IF(E1409&gt;0,"Explosive Alert","Track Only"),IF(C1409=3,"Sample Watch",IF(E1409&gt;=START_HERE!$B$31,"Explosive Alert",IF(J1409&gt;=80,"Strong Candidate",IF(J1409&gt;=65,"Good Candidate",IF(J1409&gt;=50,"Mixed / Review","Problem Call")))))))</f>
        <v>Track Only</v>
      </c>
      <c r="L1409" s="9" t="str">
        <f>IF(COUNTIFS('DEF_SELF_SCOUT_IMPORT'!$L$42:$L$1040,"Y",'DEF_SELF_SCOUT_IMPORT'!$E$42:$E$1040,SUBSTITUTE(SUBSTITUTE(SUBSTITUTE($B1409,"~","~~"),"*","~*"),"?","~?"),'DEF_SELF_SCOUT_IMPORT'!$D$42:$D$1040,SUBSTITUTE(SUBSTITUTE(SUBSTITUTE($P1409,"~","~~"),"*","~*"),"?","~?"),'DEF_SELF_SCOUT_IMPORT'!$J$42:$J$1040,"")&gt;0,"Unscored clean outcome; review result tags before using score.",IF(C1409=0,"No matching defensive reps; film confirmation needed.",IF(K1409="Explosive Alert","Explosive risk; review clips before using as answer.",IF(C1409&lt;=2,"Track only; not enough sample.",IF(C1409=3,IF(E1409&gt;0,"Sample watch with explosive exposure; review clips and build the sample.",IF(J1409&gt;=65,"Good signal, but sample is limited.","Sample watch; review clips and build the sample.")),IF(K1409="Problem Call","Problem area; practice or call-sheet review.",IF(K1409="Strong Candidate","Strong call-fit candidate; confirm on film.",IF(K1409="Good Candidate","Good call-fit signal; confirm on film.","Mixed signal; review fit and execution on film."))))))))</f>
        <v>Track only; not enough sample.</v>
      </c>
      <c r="M1409" s="8"/>
      <c r="N1409" s="8"/>
      <c r="O1409" s="8"/>
      <c r="P1409" s="8" t="s">
        <v>541</v>
      </c>
      <c r="Q1409" s="8"/>
      <c r="R1409" s="8" t="s">
        <v>633</v>
      </c>
      <c r="S1409" s="2" t="s">
        <v>653</v>
      </c>
      <c r="T1409" s="2">
        <f>IF(C1409=0,0,IF(C1409&gt;=CALL_LOOKUP_BOARD!$B$7,IF(OR(K1409="Problem Call",K1409="Explosive Alert"),10000000,20000000),0)+IF(C1409&gt;=CALL_LOOKUP_BOARD!$B$7,J1409*1000+MIN(C1409,999),C1409*1000+J1409)+0.00985400)</f>
        <v>1100.009854</v>
      </c>
      <c r="U1409" s="2" t="str">
        <f>IF(C1409=0,"",IF(COUNTIFS($S$1264:$S$1440,SUBSTITUTE(SUBSTITUTE(SUBSTITUTE(S1409,"~","~~"),"*","~*"),"?","~?"),$T$1264:$T$1440,"&gt;"&amp;T1409)=0,S1409,""))</f>
        <v>5:POWER|</v>
      </c>
    </row>
    <row r="1410" spans="1:21" ht="38" customHeight="1">
      <c r="A1410" s="8" t="s">
        <v>541</v>
      </c>
      <c r="B1410" s="8" t="s">
        <v>68</v>
      </c>
      <c r="C1410" s="12">
        <f>COUNTIFS('DEF_SELF_SCOUT_IMPORT'!$L$42:$L$1040,"Y",'DEF_SELF_SCOUT_IMPORT'!$E$42:$E$1040,SUBSTITUTE(SUBSTITUTE(SUBSTITUTE($B1410,"~","~~"),"*","~*"),"?","~?"),'DEF_SELF_SCOUT_IMPORT'!$D$42:$D$1040,SUBSTITUTE(SUBSTITUTE(SUBSTITUTE($P1410,"~","~~"),"*","~*"),"?","~?"))</f>
        <v>1</v>
      </c>
      <c r="D1410" s="10">
        <f>IF($C1410=0,"",SUMIFS('DEF_SELF_SCOUT_IMPORT'!$J$42:$J$1040,'DEF_SELF_SCOUT_IMPORT'!$L$42:$L$1040,"Y",'DEF_SELF_SCOUT_IMPORT'!$E$42:$E$1040,SUBSTITUTE(SUBSTITUTE(SUBSTITUTE($B1410,"~","~~"),"*","~*"),"?","~?"),'DEF_SELF_SCOUT_IMPORT'!$D$42:$D$1040,SUBSTITUTE(SUBSTITUTE(SUBSTITUTE($P1410,"~","~~"),"*","~*"),"?","~?"))/$C1410)</f>
        <v>1.0</v>
      </c>
      <c r="E1410" s="10">
        <f>IF($C1410=0,"",SUMIFS('DEF_SELF_SCOUT_IMPORT'!$K$42:$K$1040,'DEF_SELF_SCOUT_IMPORT'!$L$42:$L$1040,"Y",'DEF_SELF_SCOUT_IMPORT'!$E$42:$E$1040,SUBSTITUTE(SUBSTITUTE(SUBSTITUTE($B1410,"~","~~"),"*","~*"),"?","~?"),'DEF_SELF_SCOUT_IMPORT'!$D$42:$D$1040,SUBSTITUTE(SUBSTITUTE(SUBSTITUTE($P1410,"~","~~"),"*","~*"),"?","~?"))/$C1410)</f>
        <v>0.0</v>
      </c>
      <c r="F1410" s="11">
        <f>IF($C1410=0,"",AVERAGEIFS('DEF_SELF_SCOUT_IMPORT'!$I$42:$I$1040,'DEF_SELF_SCOUT_IMPORT'!$L$42:$L$1040,"Y",'DEF_SELF_SCOUT_IMPORT'!$E$42:$E$1040,SUBSTITUTE(SUBSTITUTE(SUBSTITUTE($B1410,"~","~~"),"*","~*"),"?","~?"),'DEF_SELF_SCOUT_IMPORT'!$D$42:$D$1040,SUBSTITUTE(SUBSTITUTE(SUBSTITUTE($P1410,"~","~~"),"*","~*"),"?","~?")))</f>
        <v>3.0</v>
      </c>
      <c r="G1410" s="10">
        <f>IF($C1410=0,"",COUNTIFS('DEF_SELF_SCOUT_IMPORT'!$L$42:$L$1040,"Y",'DEF_SELF_SCOUT_IMPORT'!$E$42:$E$1040,SUBSTITUTE(SUBSTITUTE(SUBSTITUTE($B1410,"~","~~"),"*","~*"),"?","~?"),'DEF_SELF_SCOUT_IMPORT'!$D$42:$D$1040,SUBSTITUTE(SUBSTITUTE(SUBSTITUTE($P1410,"~","~~"),"*","~*"),"?","~?"),'DEF_SELF_SCOUT_IMPORT'!$H$42:$H$1040,"RUSH")/$C1410)</f>
        <v>1.0</v>
      </c>
      <c r="H1410" s="10">
        <f>IF($C1410=0,"",COUNTIFS('DEF_SELF_SCOUT_IMPORT'!$L$42:$L$1040,"Y",'DEF_SELF_SCOUT_IMPORT'!$E$42:$E$1040,SUBSTITUTE(SUBSTITUTE(SUBSTITUTE($B1410,"~","~~"),"*","~*"),"?","~?"),'DEF_SELF_SCOUT_IMPORT'!$D$42:$D$1040,SUBSTITUTE(SUBSTITUTE(SUBSTITUTE($P1410,"~","~~"),"*","~*"),"?","~?"),'DEF_SELF_SCOUT_IMPORT'!$H$42:$H$1040,"DROPBACK")/$C1410)</f>
        <v>0.0</v>
      </c>
      <c r="I1410" s="14" t="str">
        <f>IF(C1410=0,"",IF(C1410&lt;=2,"TRACK",IF(C1410=3,"LOW",IF(C1410&lt;=6,"MEDIUM","HIGH"))))</f>
        <v>TRACK</v>
      </c>
      <c r="J1410" s="11">
        <f>IF(C1410=0,"",ROUND(D1410*70+(1-E1410)*20+MAX(0,MIN(1,(10-F1410)/10))*10,1))</f>
        <v>97.0</v>
      </c>
      <c r="K1410" s="14" t="str">
        <f>IF(C1410=0,"No Evidence",IF(C1410&lt;=2,IF(E1410&gt;0,"Explosive Alert","Track Only"),IF(C1410=3,"Sample Watch",IF(E1410&gt;=START_HERE!$B$31,"Explosive Alert",IF(J1410&gt;=80,"Strong Candidate",IF(J1410&gt;=65,"Good Candidate",IF(J1410&gt;=50,"Mixed / Review","Problem Call")))))))</f>
        <v>Track Only</v>
      </c>
      <c r="L1410" s="9" t="str">
        <f>IF(COUNTIFS('DEF_SELF_SCOUT_IMPORT'!$L$42:$L$1040,"Y",'DEF_SELF_SCOUT_IMPORT'!$E$42:$E$1040,SUBSTITUTE(SUBSTITUTE(SUBSTITUTE($B1410,"~","~~"),"*","~*"),"?","~?"),'DEF_SELF_SCOUT_IMPORT'!$D$42:$D$1040,SUBSTITUTE(SUBSTITUTE(SUBSTITUTE($P1410,"~","~~"),"*","~*"),"?","~?"),'DEF_SELF_SCOUT_IMPORT'!$J$42:$J$1040,"")&gt;0,"Unscored clean outcome; review result tags before using score.",IF(C1410=0,"No matching defensive reps; film confirmation needed.",IF(K1410="Explosive Alert","Explosive risk; review clips before using as answer.",IF(C1410&lt;=2,"Track only; not enough sample.",IF(C1410=3,IF(E1410&gt;0,"Sample watch with explosive exposure; review clips and build the sample.",IF(J1410&gt;=65,"Good signal, but sample is limited.","Sample watch; review clips and build the sample.")),IF(K1410="Problem Call","Problem area; practice or call-sheet review.",IF(K1410="Strong Candidate","Strong call-fit candidate; confirm on film.",IF(K1410="Good Candidate","Good call-fit signal; confirm on film.","Mixed signal; review fit and execution on film."))))))))</f>
        <v>Track only; not enough sample.</v>
      </c>
      <c r="M1410" s="8"/>
      <c r="N1410" s="8"/>
      <c r="O1410" s="8"/>
      <c r="P1410" s="8" t="s">
        <v>541</v>
      </c>
      <c r="Q1410" s="8"/>
      <c r="R1410" s="8" t="s">
        <v>633</v>
      </c>
      <c r="S1410" s="2" t="s">
        <v>653</v>
      </c>
      <c r="T1410" s="2">
        <f>IF(C1410=0,0,IF(C1410&gt;=CALL_LOOKUP_BOARD!$B$7,IF(OR(K1410="Problem Call",K1410="Explosive Alert"),10000000,20000000),0)+IF(C1410&gt;=CALL_LOOKUP_BOARD!$B$7,J1410*1000+MIN(C1410,999),C1410*1000+J1410)+0.00985300)</f>
        <v>1097.009853</v>
      </c>
      <c r="U1410" s="2">
        <f>IF(C1410=0,"",IF(COUNTIFS($S$1264:$S$1440,SUBSTITUTE(SUBSTITUTE(SUBSTITUTE(S1410,"~","~~"),"*","~*"),"?","~?"),$T$1264:$T$1440,"&gt;"&amp;T1410)=0,S1410,""))</f>
        <v/>
      </c>
    </row>
    <row r="1411" spans="1:21" ht="38" customHeight="1">
      <c r="A1411" s="8" t="s">
        <v>471</v>
      </c>
      <c r="B1411" s="8" t="s">
        <v>77</v>
      </c>
      <c r="C1411" s="12">
        <f>COUNTIFS('DEF_SELF_SCOUT_IMPORT'!$L$42:$L$1040,"Y",'DEF_SELF_SCOUT_IMPORT'!$E$42:$E$1040,SUBSTITUTE(SUBSTITUTE(SUBSTITUTE($B1411,"~","~~"),"*","~*"),"?","~?"),'DEF_SELF_SCOUT_IMPORT'!$D$42:$D$1040,SUBSTITUTE(SUBSTITUTE(SUBSTITUTE($P1411,"~","~~"),"*","~*"),"?","~?"))</f>
        <v>1</v>
      </c>
      <c r="D1411" s="10">
        <f>IF($C1411=0,"",SUMIFS('DEF_SELF_SCOUT_IMPORT'!$J$42:$J$1040,'DEF_SELF_SCOUT_IMPORT'!$L$42:$L$1040,"Y",'DEF_SELF_SCOUT_IMPORT'!$E$42:$E$1040,SUBSTITUTE(SUBSTITUTE(SUBSTITUTE($B1411,"~","~~"),"*","~*"),"?","~?"),'DEF_SELF_SCOUT_IMPORT'!$D$42:$D$1040,SUBSTITUTE(SUBSTITUTE(SUBSTITUTE($P1411,"~","~~"),"*","~*"),"?","~?"))/$C1411)</f>
        <v>1.0</v>
      </c>
      <c r="E1411" s="10">
        <f>IF($C1411=0,"",SUMIFS('DEF_SELF_SCOUT_IMPORT'!$K$42:$K$1040,'DEF_SELF_SCOUT_IMPORT'!$L$42:$L$1040,"Y",'DEF_SELF_SCOUT_IMPORT'!$E$42:$E$1040,SUBSTITUTE(SUBSTITUTE(SUBSTITUTE($B1411,"~","~~"),"*","~*"),"?","~?"),'DEF_SELF_SCOUT_IMPORT'!$D$42:$D$1040,SUBSTITUTE(SUBSTITUTE(SUBSTITUTE($P1411,"~","~~"),"*","~*"),"?","~?"))/$C1411)</f>
        <v>0.0</v>
      </c>
      <c r="F1411" s="11">
        <f>IF($C1411=0,"",AVERAGEIFS('DEF_SELF_SCOUT_IMPORT'!$I$42:$I$1040,'DEF_SELF_SCOUT_IMPORT'!$L$42:$L$1040,"Y",'DEF_SELF_SCOUT_IMPORT'!$E$42:$E$1040,SUBSTITUTE(SUBSTITUTE(SUBSTITUTE($B1411,"~","~~"),"*","~*"),"?","~?"),'DEF_SELF_SCOUT_IMPORT'!$D$42:$D$1040,SUBSTITUTE(SUBSTITUTE(SUBSTITUTE($P1411,"~","~~"),"*","~*"),"?","~?")))</f>
        <v>5.0</v>
      </c>
      <c r="G1411" s="10">
        <f>IF($C1411=0,"",COUNTIFS('DEF_SELF_SCOUT_IMPORT'!$L$42:$L$1040,"Y",'DEF_SELF_SCOUT_IMPORT'!$E$42:$E$1040,SUBSTITUTE(SUBSTITUTE(SUBSTITUTE($B1411,"~","~~"),"*","~*"),"?","~?"),'DEF_SELF_SCOUT_IMPORT'!$D$42:$D$1040,SUBSTITUTE(SUBSTITUTE(SUBSTITUTE($P1411,"~","~~"),"*","~*"),"?","~?"),'DEF_SELF_SCOUT_IMPORT'!$H$42:$H$1040,"RUSH")/$C1411)</f>
        <v>0.0</v>
      </c>
      <c r="H1411" s="10">
        <f>IF($C1411=0,"",COUNTIFS('DEF_SELF_SCOUT_IMPORT'!$L$42:$L$1040,"Y",'DEF_SELF_SCOUT_IMPORT'!$E$42:$E$1040,SUBSTITUTE(SUBSTITUTE(SUBSTITUTE($B1411,"~","~~"),"*","~*"),"?","~?"),'DEF_SELF_SCOUT_IMPORT'!$D$42:$D$1040,SUBSTITUTE(SUBSTITUTE(SUBSTITUTE($P1411,"~","~~"),"*","~*"),"?","~?"),'DEF_SELF_SCOUT_IMPORT'!$H$42:$H$1040,"DROPBACK")/$C1411)</f>
        <v>1.0</v>
      </c>
      <c r="I1411" s="14" t="str">
        <f>IF(C1411=0,"",IF(C1411&lt;=2,"TRACK",IF(C1411=3,"LOW",IF(C1411&lt;=6,"MEDIUM","HIGH"))))</f>
        <v>TRACK</v>
      </c>
      <c r="J1411" s="11">
        <f>IF(C1411=0,"",ROUND(D1411*70+(1-E1411)*20+MAX(0,MIN(1,(10-F1411)/10))*10,1))</f>
        <v>95.0</v>
      </c>
      <c r="K1411" s="14" t="str">
        <f>IF(C1411=0,"No Evidence",IF(C1411&lt;=2,IF(E1411&gt;0,"Explosive Alert","Track Only"),IF(C1411=3,"Sample Watch",IF(E1411&gt;=START_HERE!$B$31,"Explosive Alert",IF(J1411&gt;=80,"Strong Candidate",IF(J1411&gt;=65,"Good Candidate",IF(J1411&gt;=50,"Mixed / Review","Problem Call")))))))</f>
        <v>Track Only</v>
      </c>
      <c r="L1411" s="9" t="str">
        <f>IF(COUNTIFS('DEF_SELF_SCOUT_IMPORT'!$L$42:$L$1040,"Y",'DEF_SELF_SCOUT_IMPORT'!$E$42:$E$1040,SUBSTITUTE(SUBSTITUTE(SUBSTITUTE($B1411,"~","~~"),"*","~*"),"?","~?"),'DEF_SELF_SCOUT_IMPORT'!$D$42:$D$1040,SUBSTITUTE(SUBSTITUTE(SUBSTITUTE($P1411,"~","~~"),"*","~*"),"?","~?"),'DEF_SELF_SCOUT_IMPORT'!$J$42:$J$1040,"")&gt;0,"Unscored clean outcome; review result tags before using score.",IF(C1411=0,"No matching defensive reps; film confirmation needed.",IF(K1411="Explosive Alert","Explosive risk; review clips before using as answer.",IF(C1411&lt;=2,"Track only; not enough sample.",IF(C1411=3,IF(E1411&gt;0,"Sample watch with explosive exposure; review clips and build the sample.",IF(J1411&gt;=65,"Good signal, but sample is limited.","Sample watch; review clips and build the sample.")),IF(K1411="Problem Call","Problem area; practice or call-sheet review.",IF(K1411="Strong Candidate","Strong call-fit candidate; confirm on film.",IF(K1411="Good Candidate","Good call-fit signal; confirm on film.","Mixed signal; review fit and execution on film."))))))))</f>
        <v>Track only; not enough sample.</v>
      </c>
      <c r="M1411" s="8"/>
      <c r="N1411" s="8"/>
      <c r="O1411" s="8"/>
      <c r="P1411" s="8" t="s">
        <v>471</v>
      </c>
      <c r="Q1411" s="8"/>
      <c r="R1411" s="8" t="s">
        <v>633</v>
      </c>
      <c r="S1411" s="2" t="s">
        <v>654</v>
      </c>
      <c r="T1411" s="2">
        <f>IF(C1411=0,0,IF(C1411&gt;=CALL_LOOKUP_BOARD!$B$7,IF(OR(K1411="Problem Call",K1411="Explosive Alert"),10000000,20000000),0)+IF(C1411&gt;=CALL_LOOKUP_BOARD!$B$7,J1411*1000+MIN(C1411,999),C1411*1000+J1411)+0.00985200)</f>
        <v>1095.009852</v>
      </c>
      <c r="U1411" s="2">
        <f>IF(C1411=0,"",IF(COUNTIFS($S$1264:$S$1440,SUBSTITUTE(SUBSTITUTE(SUBSTITUTE(S1411,"~","~~"),"*","~*"),"?","~?"),$T$1264:$T$1440,"&gt;"&amp;T1411)=0,S1411,""))</f>
        <v/>
      </c>
    </row>
    <row r="1412" spans="1:21" ht="38" customHeight="1">
      <c r="A1412" s="8" t="s">
        <v>471</v>
      </c>
      <c r="B1412" s="8" t="s">
        <v>44</v>
      </c>
      <c r="C1412" s="12">
        <f>COUNTIFS('DEF_SELF_SCOUT_IMPORT'!$L$42:$L$1040,"Y",'DEF_SELF_SCOUT_IMPORT'!$E$42:$E$1040,SUBSTITUTE(SUBSTITUTE(SUBSTITUTE($B1412,"~","~~"),"*","~*"),"?","~?"),'DEF_SELF_SCOUT_IMPORT'!$D$42:$D$1040,SUBSTITUTE(SUBSTITUTE(SUBSTITUTE($P1412,"~","~~"),"*","~*"),"?","~?"))</f>
        <v>1</v>
      </c>
      <c r="D1412" s="10">
        <f>IF($C1412=0,"",SUMIFS('DEF_SELF_SCOUT_IMPORT'!$J$42:$J$1040,'DEF_SELF_SCOUT_IMPORT'!$L$42:$L$1040,"Y",'DEF_SELF_SCOUT_IMPORT'!$E$42:$E$1040,SUBSTITUTE(SUBSTITUTE(SUBSTITUTE($B1412,"~","~~"),"*","~*"),"?","~?"),'DEF_SELF_SCOUT_IMPORT'!$D$42:$D$1040,SUBSTITUTE(SUBSTITUTE(SUBSTITUTE($P1412,"~","~~"),"*","~*"),"?","~?"))/$C1412)</f>
        <v>1.0</v>
      </c>
      <c r="E1412" s="10">
        <f>IF($C1412=0,"",SUMIFS('DEF_SELF_SCOUT_IMPORT'!$K$42:$K$1040,'DEF_SELF_SCOUT_IMPORT'!$L$42:$L$1040,"Y",'DEF_SELF_SCOUT_IMPORT'!$E$42:$E$1040,SUBSTITUTE(SUBSTITUTE(SUBSTITUTE($B1412,"~","~~"),"*","~*"),"?","~?"),'DEF_SELF_SCOUT_IMPORT'!$D$42:$D$1040,SUBSTITUTE(SUBSTITUTE(SUBSTITUTE($P1412,"~","~~"),"*","~*"),"?","~?"))/$C1412)</f>
        <v>0.0</v>
      </c>
      <c r="F1412" s="11">
        <f>IF($C1412=0,"",AVERAGEIFS('DEF_SELF_SCOUT_IMPORT'!$I$42:$I$1040,'DEF_SELF_SCOUT_IMPORT'!$L$42:$L$1040,"Y",'DEF_SELF_SCOUT_IMPORT'!$E$42:$E$1040,SUBSTITUTE(SUBSTITUTE(SUBSTITUTE($B1412,"~","~~"),"*","~*"),"?","~?"),'DEF_SELF_SCOUT_IMPORT'!$D$42:$D$1040,SUBSTITUTE(SUBSTITUTE(SUBSTITUTE($P1412,"~","~~"),"*","~*"),"?","~?")))</f>
        <v>0.0</v>
      </c>
      <c r="G1412" s="10">
        <f>IF($C1412=0,"",COUNTIFS('DEF_SELF_SCOUT_IMPORT'!$L$42:$L$1040,"Y",'DEF_SELF_SCOUT_IMPORT'!$E$42:$E$1040,SUBSTITUTE(SUBSTITUTE(SUBSTITUTE($B1412,"~","~~"),"*","~*"),"?","~?"),'DEF_SELF_SCOUT_IMPORT'!$D$42:$D$1040,SUBSTITUTE(SUBSTITUTE(SUBSTITUTE($P1412,"~","~~"),"*","~*"),"?","~?"),'DEF_SELF_SCOUT_IMPORT'!$H$42:$H$1040,"RUSH")/$C1412)</f>
        <v>0.0</v>
      </c>
      <c r="H1412" s="10">
        <f>IF($C1412=0,"",COUNTIFS('DEF_SELF_SCOUT_IMPORT'!$L$42:$L$1040,"Y",'DEF_SELF_SCOUT_IMPORT'!$E$42:$E$1040,SUBSTITUTE(SUBSTITUTE(SUBSTITUTE($B1412,"~","~~"),"*","~*"),"?","~?"),'DEF_SELF_SCOUT_IMPORT'!$D$42:$D$1040,SUBSTITUTE(SUBSTITUTE(SUBSTITUTE($P1412,"~","~~"),"*","~*"),"?","~?"),'DEF_SELF_SCOUT_IMPORT'!$H$42:$H$1040,"DROPBACK")/$C1412)</f>
        <v>1.0</v>
      </c>
      <c r="I1412" s="14" t="str">
        <f>IF(C1412=0,"",IF(C1412&lt;=2,"TRACK",IF(C1412=3,"LOW",IF(C1412&lt;=6,"MEDIUM","HIGH"))))</f>
        <v>TRACK</v>
      </c>
      <c r="J1412" s="11">
        <f>IF(C1412=0,"",ROUND(D1412*70+(1-E1412)*20+MAX(0,MIN(1,(10-F1412)/10))*10,1))</f>
        <v>100.0</v>
      </c>
      <c r="K1412" s="14" t="str">
        <f>IF(C1412=0,"No Evidence",IF(C1412&lt;=2,IF(E1412&gt;0,"Explosive Alert","Track Only"),IF(C1412=3,"Sample Watch",IF(E1412&gt;=START_HERE!$B$31,"Explosive Alert",IF(J1412&gt;=80,"Strong Candidate",IF(J1412&gt;=65,"Good Candidate",IF(J1412&gt;=50,"Mixed / Review","Problem Call")))))))</f>
        <v>Track Only</v>
      </c>
      <c r="L1412" s="9" t="str">
        <f>IF(COUNTIFS('DEF_SELF_SCOUT_IMPORT'!$L$42:$L$1040,"Y",'DEF_SELF_SCOUT_IMPORT'!$E$42:$E$1040,SUBSTITUTE(SUBSTITUTE(SUBSTITUTE($B1412,"~","~~"),"*","~*"),"?","~?"),'DEF_SELF_SCOUT_IMPORT'!$D$42:$D$1040,SUBSTITUTE(SUBSTITUTE(SUBSTITUTE($P1412,"~","~~"),"*","~*"),"?","~?"),'DEF_SELF_SCOUT_IMPORT'!$J$42:$J$1040,"")&gt;0,"Unscored clean outcome; review result tags before using score.",IF(C1412=0,"No matching defensive reps; film confirmation needed.",IF(K1412="Explosive Alert","Explosive risk; review clips before using as answer.",IF(C1412&lt;=2,"Track only; not enough sample.",IF(C1412=3,IF(E1412&gt;0,"Sample watch with explosive exposure; review clips and build the sample.",IF(J1412&gt;=65,"Good signal, but sample is limited.","Sample watch; review clips and build the sample.")),IF(K1412="Problem Call","Problem area; practice or call-sheet review.",IF(K1412="Strong Candidate","Strong call-fit candidate; confirm on film.",IF(K1412="Good Candidate","Good call-fit signal; confirm on film.","Mixed signal; review fit and execution on film."))))))))</f>
        <v>Track only; not enough sample.</v>
      </c>
      <c r="M1412" s="8"/>
      <c r="N1412" s="8"/>
      <c r="O1412" s="8"/>
      <c r="P1412" s="8" t="s">
        <v>471</v>
      </c>
      <c r="Q1412" s="8"/>
      <c r="R1412" s="8" t="s">
        <v>633</v>
      </c>
      <c r="S1412" s="2" t="s">
        <v>654</v>
      </c>
      <c r="T1412" s="2">
        <f>IF(C1412=0,0,IF(C1412&gt;=CALL_LOOKUP_BOARD!$B$7,IF(OR(K1412="Problem Call",K1412="Explosive Alert"),10000000,20000000),0)+IF(C1412&gt;=CALL_LOOKUP_BOARD!$B$7,J1412*1000+MIN(C1412,999),C1412*1000+J1412)+0.00985100)</f>
        <v>1100.009851</v>
      </c>
      <c r="U1412" s="2">
        <f>IF(C1412=0,"",IF(COUNTIFS($S$1264:$S$1440,SUBSTITUTE(SUBSTITUTE(SUBSTITUTE(S1412,"~","~~"),"*","~*"),"?","~?"),$T$1264:$T$1440,"&gt;"&amp;T1412)=0,S1412,""))</f>
        <v/>
      </c>
    </row>
    <row r="1413" spans="1:21" ht="38" customHeight="1">
      <c r="A1413" s="8" t="s">
        <v>471</v>
      </c>
      <c r="B1413" s="8" t="s">
        <v>46</v>
      </c>
      <c r="C1413" s="12">
        <f>COUNTIFS('DEF_SELF_SCOUT_IMPORT'!$L$42:$L$1040,"Y",'DEF_SELF_SCOUT_IMPORT'!$E$42:$E$1040,SUBSTITUTE(SUBSTITUTE(SUBSTITUTE($B1413,"~","~~"),"*","~*"),"?","~?"),'DEF_SELF_SCOUT_IMPORT'!$D$42:$D$1040,SUBSTITUTE(SUBSTITUTE(SUBSTITUTE($P1413,"~","~~"),"*","~*"),"?","~?"))</f>
        <v>2</v>
      </c>
      <c r="D1413" s="10">
        <f>IF($C1413=0,"",SUMIFS('DEF_SELF_SCOUT_IMPORT'!$J$42:$J$1040,'DEF_SELF_SCOUT_IMPORT'!$L$42:$L$1040,"Y",'DEF_SELF_SCOUT_IMPORT'!$E$42:$E$1040,SUBSTITUTE(SUBSTITUTE(SUBSTITUTE($B1413,"~","~~"),"*","~*"),"?","~?"),'DEF_SELF_SCOUT_IMPORT'!$D$42:$D$1040,SUBSTITUTE(SUBSTITUTE(SUBSTITUTE($P1413,"~","~~"),"*","~*"),"?","~?"))/$C1413)</f>
        <v>0.0</v>
      </c>
      <c r="E1413" s="10">
        <f>IF($C1413=0,"",SUMIFS('DEF_SELF_SCOUT_IMPORT'!$K$42:$K$1040,'DEF_SELF_SCOUT_IMPORT'!$L$42:$L$1040,"Y",'DEF_SELF_SCOUT_IMPORT'!$E$42:$E$1040,SUBSTITUTE(SUBSTITUTE(SUBSTITUTE($B1413,"~","~~"),"*","~*"),"?","~?"),'DEF_SELF_SCOUT_IMPORT'!$D$42:$D$1040,SUBSTITUTE(SUBSTITUTE(SUBSTITUTE($P1413,"~","~~"),"*","~*"),"?","~?"))/$C1413)</f>
        <v>0.5</v>
      </c>
      <c r="F1413" s="11">
        <f>IF($C1413=0,"",AVERAGEIFS('DEF_SELF_SCOUT_IMPORT'!$I$42:$I$1040,'DEF_SELF_SCOUT_IMPORT'!$L$42:$L$1040,"Y",'DEF_SELF_SCOUT_IMPORT'!$E$42:$E$1040,SUBSTITUTE(SUBSTITUTE(SUBSTITUTE($B1413,"~","~~"),"*","~*"),"?","~?"),'DEF_SELF_SCOUT_IMPORT'!$D$42:$D$1040,SUBSTITUTE(SUBSTITUTE(SUBSTITUTE($P1413,"~","~~"),"*","~*"),"?","~?")))</f>
        <v>15.5</v>
      </c>
      <c r="G1413" s="10">
        <f>IF($C1413=0,"",COUNTIFS('DEF_SELF_SCOUT_IMPORT'!$L$42:$L$1040,"Y",'DEF_SELF_SCOUT_IMPORT'!$E$42:$E$1040,SUBSTITUTE(SUBSTITUTE(SUBSTITUTE($B1413,"~","~~"),"*","~*"),"?","~?"),'DEF_SELF_SCOUT_IMPORT'!$D$42:$D$1040,SUBSTITUTE(SUBSTITUTE(SUBSTITUTE($P1413,"~","~~"),"*","~*"),"?","~?"),'DEF_SELF_SCOUT_IMPORT'!$H$42:$H$1040,"RUSH")/$C1413)</f>
        <v>0.0</v>
      </c>
      <c r="H1413" s="10">
        <f>IF($C1413=0,"",COUNTIFS('DEF_SELF_SCOUT_IMPORT'!$L$42:$L$1040,"Y",'DEF_SELF_SCOUT_IMPORT'!$E$42:$E$1040,SUBSTITUTE(SUBSTITUTE(SUBSTITUTE($B1413,"~","~~"),"*","~*"),"?","~?"),'DEF_SELF_SCOUT_IMPORT'!$D$42:$D$1040,SUBSTITUTE(SUBSTITUTE(SUBSTITUTE($P1413,"~","~~"),"*","~*"),"?","~?"),'DEF_SELF_SCOUT_IMPORT'!$H$42:$H$1040,"DROPBACK")/$C1413)</f>
        <v>1.0</v>
      </c>
      <c r="I1413" s="14" t="str">
        <f>IF(C1413=0,"",IF(C1413&lt;=2,"TRACK",IF(C1413=3,"LOW",IF(C1413&lt;=6,"MEDIUM","HIGH"))))</f>
        <v>TRACK</v>
      </c>
      <c r="J1413" s="11">
        <f>IF(C1413=0,"",ROUND(D1413*70+(1-E1413)*20+MAX(0,MIN(1,(10-F1413)/10))*10,1))</f>
        <v>10.0</v>
      </c>
      <c r="K1413" s="14" t="str">
        <f>IF(C1413=0,"No Evidence",IF(C1413&lt;=2,IF(E1413&gt;0,"Explosive Alert","Track Only"),IF(C1413=3,"Sample Watch",IF(E1413&gt;=START_HERE!$B$31,"Explosive Alert",IF(J1413&gt;=80,"Strong Candidate",IF(J1413&gt;=65,"Good Candidate",IF(J1413&gt;=50,"Mixed / Review","Problem Call")))))))</f>
        <v>Explosive Alert</v>
      </c>
      <c r="L1413" s="9" t="str">
        <f>IF(COUNTIFS('DEF_SELF_SCOUT_IMPORT'!$L$42:$L$1040,"Y",'DEF_SELF_SCOUT_IMPORT'!$E$42:$E$1040,SUBSTITUTE(SUBSTITUTE(SUBSTITUTE($B1413,"~","~~"),"*","~*"),"?","~?"),'DEF_SELF_SCOUT_IMPORT'!$D$42:$D$1040,SUBSTITUTE(SUBSTITUTE(SUBSTITUTE($P1413,"~","~~"),"*","~*"),"?","~?"),'DEF_SELF_SCOUT_IMPORT'!$J$42:$J$1040,"")&gt;0,"Unscored clean outcome; review result tags before using score.",IF(C1413=0,"No matching defensive reps; film confirmation needed.",IF(K1413="Explosive Alert","Explosive risk; review clips before using as answer.",IF(C1413&lt;=2,"Track only; not enough sample.",IF(C1413=3,IF(E1413&gt;0,"Sample watch with explosive exposure; review clips and build the sample.",IF(J1413&gt;=65,"Good signal, but sample is limited.","Sample watch; review clips and build the sample.")),IF(K1413="Problem Call","Problem area; practice or call-sheet review.",IF(K1413="Strong Candidate","Strong call-fit candidate; confirm on film.",IF(K1413="Good Candidate","Good call-fit signal; confirm on film.","Mixed signal; review fit and execution on film."))))))))</f>
        <v>Explosive risk; review clips before using as answer.</v>
      </c>
      <c r="M1413" s="8"/>
      <c r="N1413" s="8"/>
      <c r="O1413" s="8"/>
      <c r="P1413" s="8" t="s">
        <v>471</v>
      </c>
      <c r="Q1413" s="8"/>
      <c r="R1413" s="8" t="s">
        <v>633</v>
      </c>
      <c r="S1413" s="2" t="s">
        <v>654</v>
      </c>
      <c r="T1413" s="2">
        <f>IF(C1413=0,0,IF(C1413&gt;=CALL_LOOKUP_BOARD!$B$7,IF(OR(K1413="Problem Call",K1413="Explosive Alert"),10000000,20000000),0)+IF(C1413&gt;=CALL_LOOKUP_BOARD!$B$7,J1413*1000+MIN(C1413,999),C1413*1000+J1413)+0.00985000)</f>
        <v>2010.00985</v>
      </c>
      <c r="U1413" s="2">
        <f>IF(C1413=0,"",IF(COUNTIFS($S$1264:$S$1440,SUBSTITUTE(SUBSTITUTE(SUBSTITUTE(S1413,"~","~~"),"*","~*"),"?","~?"),$T$1264:$T$1440,"&gt;"&amp;T1413)=0,S1413,""))</f>
        <v/>
      </c>
    </row>
    <row r="1414" spans="1:21" ht="38" customHeight="1">
      <c r="A1414" s="8" t="s">
        <v>471</v>
      </c>
      <c r="B1414" s="8" t="s">
        <v>48</v>
      </c>
      <c r="C1414" s="12">
        <f>COUNTIFS('DEF_SELF_SCOUT_IMPORT'!$L$42:$L$1040,"Y",'DEF_SELF_SCOUT_IMPORT'!$E$42:$E$1040,SUBSTITUTE(SUBSTITUTE(SUBSTITUTE($B1414,"~","~~"),"*","~*"),"?","~?"),'DEF_SELF_SCOUT_IMPORT'!$D$42:$D$1040,SUBSTITUTE(SUBSTITUTE(SUBSTITUTE($P1414,"~","~~"),"*","~*"),"?","~?"))</f>
        <v>1</v>
      </c>
      <c r="D1414" s="10">
        <f>IF($C1414=0,"",SUMIFS('DEF_SELF_SCOUT_IMPORT'!$J$42:$J$1040,'DEF_SELF_SCOUT_IMPORT'!$L$42:$L$1040,"Y",'DEF_SELF_SCOUT_IMPORT'!$E$42:$E$1040,SUBSTITUTE(SUBSTITUTE(SUBSTITUTE($B1414,"~","~~"),"*","~*"),"?","~?"),'DEF_SELF_SCOUT_IMPORT'!$D$42:$D$1040,SUBSTITUTE(SUBSTITUTE(SUBSTITUTE($P1414,"~","~~"),"*","~*"),"?","~?"))/$C1414)</f>
        <v>0.0</v>
      </c>
      <c r="E1414" s="10">
        <f>IF($C1414=0,"",SUMIFS('DEF_SELF_SCOUT_IMPORT'!$K$42:$K$1040,'DEF_SELF_SCOUT_IMPORT'!$L$42:$L$1040,"Y",'DEF_SELF_SCOUT_IMPORT'!$E$42:$E$1040,SUBSTITUTE(SUBSTITUTE(SUBSTITUTE($B1414,"~","~~"),"*","~*"),"?","~?"),'DEF_SELF_SCOUT_IMPORT'!$D$42:$D$1040,SUBSTITUTE(SUBSTITUTE(SUBSTITUTE($P1414,"~","~~"),"*","~*"),"?","~?"))/$C1414)</f>
        <v>0.0</v>
      </c>
      <c r="F1414" s="11">
        <f>IF($C1414=0,"",AVERAGEIFS('DEF_SELF_SCOUT_IMPORT'!$I$42:$I$1040,'DEF_SELF_SCOUT_IMPORT'!$L$42:$L$1040,"Y",'DEF_SELF_SCOUT_IMPORT'!$E$42:$E$1040,SUBSTITUTE(SUBSTITUTE(SUBSTITUTE($B1414,"~","~~"),"*","~*"),"?","~?"),'DEF_SELF_SCOUT_IMPORT'!$D$42:$D$1040,SUBSTITUTE(SUBSTITUTE(SUBSTITUTE($P1414,"~","~~"),"*","~*"),"?","~?")))</f>
        <v>10.0</v>
      </c>
      <c r="G1414" s="10">
        <f>IF($C1414=0,"",COUNTIFS('DEF_SELF_SCOUT_IMPORT'!$L$42:$L$1040,"Y",'DEF_SELF_SCOUT_IMPORT'!$E$42:$E$1040,SUBSTITUTE(SUBSTITUTE(SUBSTITUTE($B1414,"~","~~"),"*","~*"),"?","~?"),'DEF_SELF_SCOUT_IMPORT'!$D$42:$D$1040,SUBSTITUTE(SUBSTITUTE(SUBSTITUTE($P1414,"~","~~"),"*","~*"),"?","~?"),'DEF_SELF_SCOUT_IMPORT'!$H$42:$H$1040,"RUSH")/$C1414)</f>
        <v>0.0</v>
      </c>
      <c r="H1414" s="10">
        <f>IF($C1414=0,"",COUNTIFS('DEF_SELF_SCOUT_IMPORT'!$L$42:$L$1040,"Y",'DEF_SELF_SCOUT_IMPORT'!$E$42:$E$1040,SUBSTITUTE(SUBSTITUTE(SUBSTITUTE($B1414,"~","~~"),"*","~*"),"?","~?"),'DEF_SELF_SCOUT_IMPORT'!$D$42:$D$1040,SUBSTITUTE(SUBSTITUTE(SUBSTITUTE($P1414,"~","~~"),"*","~*"),"?","~?"),'DEF_SELF_SCOUT_IMPORT'!$H$42:$H$1040,"DROPBACK")/$C1414)</f>
        <v>1.0</v>
      </c>
      <c r="I1414" s="14" t="str">
        <f>IF(C1414=0,"",IF(C1414&lt;=2,"TRACK",IF(C1414=3,"LOW",IF(C1414&lt;=6,"MEDIUM","HIGH"))))</f>
        <v>TRACK</v>
      </c>
      <c r="J1414" s="11">
        <f>IF(C1414=0,"",ROUND(D1414*70+(1-E1414)*20+MAX(0,MIN(1,(10-F1414)/10))*10,1))</f>
        <v>20.0</v>
      </c>
      <c r="K1414" s="14" t="str">
        <f>IF(C1414=0,"No Evidence",IF(C1414&lt;=2,IF(E1414&gt;0,"Explosive Alert","Track Only"),IF(C1414=3,"Sample Watch",IF(E1414&gt;=START_HERE!$B$31,"Explosive Alert",IF(J1414&gt;=80,"Strong Candidate",IF(J1414&gt;=65,"Good Candidate",IF(J1414&gt;=50,"Mixed / Review","Problem Call")))))))</f>
        <v>Track Only</v>
      </c>
      <c r="L1414" s="9" t="str">
        <f>IF(COUNTIFS('DEF_SELF_SCOUT_IMPORT'!$L$42:$L$1040,"Y",'DEF_SELF_SCOUT_IMPORT'!$E$42:$E$1040,SUBSTITUTE(SUBSTITUTE(SUBSTITUTE($B1414,"~","~~"),"*","~*"),"?","~?"),'DEF_SELF_SCOUT_IMPORT'!$D$42:$D$1040,SUBSTITUTE(SUBSTITUTE(SUBSTITUTE($P1414,"~","~~"),"*","~*"),"?","~?"),'DEF_SELF_SCOUT_IMPORT'!$J$42:$J$1040,"")&gt;0,"Unscored clean outcome; review result tags before using score.",IF(C1414=0,"No matching defensive reps; film confirmation needed.",IF(K1414="Explosive Alert","Explosive risk; review clips before using as answer.",IF(C1414&lt;=2,"Track only; not enough sample.",IF(C1414=3,IF(E1414&gt;0,"Sample watch with explosive exposure; review clips and build the sample.",IF(J1414&gt;=65,"Good signal, but sample is limited.","Sample watch; review clips and build the sample.")),IF(K1414="Problem Call","Problem area; practice or call-sheet review.",IF(K1414="Strong Candidate","Strong call-fit candidate; confirm on film.",IF(K1414="Good Candidate","Good call-fit signal; confirm on film.","Mixed signal; review fit and execution on film."))))))))</f>
        <v>Track only; not enough sample.</v>
      </c>
      <c r="M1414" s="8"/>
      <c r="N1414" s="8"/>
      <c r="O1414" s="8"/>
      <c r="P1414" s="8" t="s">
        <v>471</v>
      </c>
      <c r="Q1414" s="8"/>
      <c r="R1414" s="8" t="s">
        <v>633</v>
      </c>
      <c r="S1414" s="2" t="s">
        <v>654</v>
      </c>
      <c r="T1414" s="2">
        <f>IF(C1414=0,0,IF(C1414&gt;=CALL_LOOKUP_BOARD!$B$7,IF(OR(K1414="Problem Call",K1414="Explosive Alert"),10000000,20000000),0)+IF(C1414&gt;=CALL_LOOKUP_BOARD!$B$7,J1414*1000+MIN(C1414,999),C1414*1000+J1414)+0.00984900)</f>
        <v>1020.009849</v>
      </c>
      <c r="U1414" s="2">
        <f>IF(C1414=0,"",IF(COUNTIFS($S$1264:$S$1440,SUBSTITUTE(SUBSTITUTE(SUBSTITUTE(S1414,"~","~~"),"*","~*"),"?","~?"),$T$1264:$T$1440,"&gt;"&amp;T1414)=0,S1414,""))</f>
        <v/>
      </c>
    </row>
    <row r="1415" spans="1:21" ht="38" customHeight="1">
      <c r="A1415" s="8" t="s">
        <v>471</v>
      </c>
      <c r="B1415" s="8" t="s">
        <v>79</v>
      </c>
      <c r="C1415" s="12">
        <f>COUNTIFS('DEF_SELF_SCOUT_IMPORT'!$L$42:$L$1040,"Y",'DEF_SELF_SCOUT_IMPORT'!$E$42:$E$1040,SUBSTITUTE(SUBSTITUTE(SUBSTITUTE($B1415,"~","~~"),"*","~*"),"?","~?"),'DEF_SELF_SCOUT_IMPORT'!$D$42:$D$1040,SUBSTITUTE(SUBSTITUTE(SUBSTITUTE($P1415,"~","~~"),"*","~*"),"?","~?"))</f>
        <v>1</v>
      </c>
      <c r="D1415" s="10">
        <f>IF($C1415=0,"",SUMIFS('DEF_SELF_SCOUT_IMPORT'!$J$42:$J$1040,'DEF_SELF_SCOUT_IMPORT'!$L$42:$L$1040,"Y",'DEF_SELF_SCOUT_IMPORT'!$E$42:$E$1040,SUBSTITUTE(SUBSTITUTE(SUBSTITUTE($B1415,"~","~~"),"*","~*"),"?","~?"),'DEF_SELF_SCOUT_IMPORT'!$D$42:$D$1040,SUBSTITUTE(SUBSTITUTE(SUBSTITUTE($P1415,"~","~~"),"*","~*"),"?","~?"))/$C1415)</f>
        <v>1.0</v>
      </c>
      <c r="E1415" s="10">
        <f>IF($C1415=0,"",SUMIFS('DEF_SELF_SCOUT_IMPORT'!$K$42:$K$1040,'DEF_SELF_SCOUT_IMPORT'!$L$42:$L$1040,"Y",'DEF_SELF_SCOUT_IMPORT'!$E$42:$E$1040,SUBSTITUTE(SUBSTITUTE(SUBSTITUTE($B1415,"~","~~"),"*","~*"),"?","~?"),'DEF_SELF_SCOUT_IMPORT'!$D$42:$D$1040,SUBSTITUTE(SUBSTITUTE(SUBSTITUTE($P1415,"~","~~"),"*","~*"),"?","~?"))/$C1415)</f>
        <v>0.0</v>
      </c>
      <c r="F1415" s="11">
        <f>IF($C1415=0,"",AVERAGEIFS('DEF_SELF_SCOUT_IMPORT'!$I$42:$I$1040,'DEF_SELF_SCOUT_IMPORT'!$L$42:$L$1040,"Y",'DEF_SELF_SCOUT_IMPORT'!$E$42:$E$1040,SUBSTITUTE(SUBSTITUTE(SUBSTITUTE($B1415,"~","~~"),"*","~*"),"?","~?"),'DEF_SELF_SCOUT_IMPORT'!$D$42:$D$1040,SUBSTITUTE(SUBSTITUTE(SUBSTITUTE($P1415,"~","~~"),"*","~*"),"?","~?")))</f>
        <v>0.0</v>
      </c>
      <c r="G1415" s="10">
        <f>IF($C1415=0,"",COUNTIFS('DEF_SELF_SCOUT_IMPORT'!$L$42:$L$1040,"Y",'DEF_SELF_SCOUT_IMPORT'!$E$42:$E$1040,SUBSTITUTE(SUBSTITUTE(SUBSTITUTE($B1415,"~","~~"),"*","~*"),"?","~?"),'DEF_SELF_SCOUT_IMPORT'!$D$42:$D$1040,SUBSTITUTE(SUBSTITUTE(SUBSTITUTE($P1415,"~","~~"),"*","~*"),"?","~?"),'DEF_SELF_SCOUT_IMPORT'!$H$42:$H$1040,"RUSH")/$C1415)</f>
        <v>0.0</v>
      </c>
      <c r="H1415" s="10">
        <f>IF($C1415=0,"",COUNTIFS('DEF_SELF_SCOUT_IMPORT'!$L$42:$L$1040,"Y",'DEF_SELF_SCOUT_IMPORT'!$E$42:$E$1040,SUBSTITUTE(SUBSTITUTE(SUBSTITUTE($B1415,"~","~~"),"*","~*"),"?","~?"),'DEF_SELF_SCOUT_IMPORT'!$D$42:$D$1040,SUBSTITUTE(SUBSTITUTE(SUBSTITUTE($P1415,"~","~~"),"*","~*"),"?","~?"),'DEF_SELF_SCOUT_IMPORT'!$H$42:$H$1040,"DROPBACK")/$C1415)</f>
        <v>1.0</v>
      </c>
      <c r="I1415" s="14" t="str">
        <f>IF(C1415=0,"",IF(C1415&lt;=2,"TRACK",IF(C1415=3,"LOW",IF(C1415&lt;=6,"MEDIUM","HIGH"))))</f>
        <v>TRACK</v>
      </c>
      <c r="J1415" s="11">
        <f>IF(C1415=0,"",ROUND(D1415*70+(1-E1415)*20+MAX(0,MIN(1,(10-F1415)/10))*10,1))</f>
        <v>100.0</v>
      </c>
      <c r="K1415" s="14" t="str">
        <f>IF(C1415=0,"No Evidence",IF(C1415&lt;=2,IF(E1415&gt;0,"Explosive Alert","Track Only"),IF(C1415=3,"Sample Watch",IF(E1415&gt;=START_HERE!$B$31,"Explosive Alert",IF(J1415&gt;=80,"Strong Candidate",IF(J1415&gt;=65,"Good Candidate",IF(J1415&gt;=50,"Mixed / Review","Problem Call")))))))</f>
        <v>Track Only</v>
      </c>
      <c r="L1415" s="9" t="str">
        <f>IF(COUNTIFS('DEF_SELF_SCOUT_IMPORT'!$L$42:$L$1040,"Y",'DEF_SELF_SCOUT_IMPORT'!$E$42:$E$1040,SUBSTITUTE(SUBSTITUTE(SUBSTITUTE($B1415,"~","~~"),"*","~*"),"?","~?"),'DEF_SELF_SCOUT_IMPORT'!$D$42:$D$1040,SUBSTITUTE(SUBSTITUTE(SUBSTITUTE($P1415,"~","~~"),"*","~*"),"?","~?"),'DEF_SELF_SCOUT_IMPORT'!$J$42:$J$1040,"")&gt;0,"Unscored clean outcome; review result tags before using score.",IF(C1415=0,"No matching defensive reps; film confirmation needed.",IF(K1415="Explosive Alert","Explosive risk; review clips before using as answer.",IF(C1415&lt;=2,"Track only; not enough sample.",IF(C1415=3,IF(E1415&gt;0,"Sample watch with explosive exposure; review clips and build the sample.",IF(J1415&gt;=65,"Good signal, but sample is limited.","Sample watch; review clips and build the sample.")),IF(K1415="Problem Call","Problem area; practice or call-sheet review.",IF(K1415="Strong Candidate","Strong call-fit candidate; confirm on film.",IF(K1415="Good Candidate","Good call-fit signal; confirm on film.","Mixed signal; review fit and execution on film."))))))))</f>
        <v>Track only; not enough sample.</v>
      </c>
      <c r="M1415" s="8"/>
      <c r="N1415" s="8"/>
      <c r="O1415" s="8"/>
      <c r="P1415" s="8" t="s">
        <v>471</v>
      </c>
      <c r="Q1415" s="8"/>
      <c r="R1415" s="8" t="s">
        <v>633</v>
      </c>
      <c r="S1415" s="2" t="s">
        <v>654</v>
      </c>
      <c r="T1415" s="2">
        <f>IF(C1415=0,0,IF(C1415&gt;=CALL_LOOKUP_BOARD!$B$7,IF(OR(K1415="Problem Call",K1415="Explosive Alert"),10000000,20000000),0)+IF(C1415&gt;=CALL_LOOKUP_BOARD!$B$7,J1415*1000+MIN(C1415,999),C1415*1000+J1415)+0.00984800)</f>
        <v>1100.009848</v>
      </c>
      <c r="U1415" s="2">
        <f>IF(C1415=0,"",IF(COUNTIFS($S$1264:$S$1440,SUBSTITUTE(SUBSTITUTE(SUBSTITUTE(S1415,"~","~~"),"*","~*"),"?","~?"),$T$1264:$T$1440,"&gt;"&amp;T1415)=0,S1415,""))</f>
        <v/>
      </c>
    </row>
    <row r="1416" spans="1:21" ht="38" customHeight="1">
      <c r="A1416" s="8" t="s">
        <v>471</v>
      </c>
      <c r="B1416" s="8" t="s">
        <v>51</v>
      </c>
      <c r="C1416" s="12">
        <f>COUNTIFS('DEF_SELF_SCOUT_IMPORT'!$L$42:$L$1040,"Y",'DEF_SELF_SCOUT_IMPORT'!$E$42:$E$1040,SUBSTITUTE(SUBSTITUTE(SUBSTITUTE($B1416,"~","~~"),"*","~*"),"?","~?"),'DEF_SELF_SCOUT_IMPORT'!$D$42:$D$1040,SUBSTITUTE(SUBSTITUTE(SUBSTITUTE($P1416,"~","~~"),"*","~*"),"?","~?"))</f>
        <v>2</v>
      </c>
      <c r="D1416" s="10">
        <f>IF($C1416=0,"",SUMIFS('DEF_SELF_SCOUT_IMPORT'!$J$42:$J$1040,'DEF_SELF_SCOUT_IMPORT'!$L$42:$L$1040,"Y",'DEF_SELF_SCOUT_IMPORT'!$E$42:$E$1040,SUBSTITUTE(SUBSTITUTE(SUBSTITUTE($B1416,"~","~~"),"*","~*"),"?","~?"),'DEF_SELF_SCOUT_IMPORT'!$D$42:$D$1040,SUBSTITUTE(SUBSTITUTE(SUBSTITUTE($P1416,"~","~~"),"*","~*"),"?","~?"))/$C1416)</f>
        <v>0.5</v>
      </c>
      <c r="E1416" s="10">
        <f>IF($C1416=0,"",SUMIFS('DEF_SELF_SCOUT_IMPORT'!$K$42:$K$1040,'DEF_SELF_SCOUT_IMPORT'!$L$42:$L$1040,"Y",'DEF_SELF_SCOUT_IMPORT'!$E$42:$E$1040,SUBSTITUTE(SUBSTITUTE(SUBSTITUTE($B1416,"~","~~"),"*","~*"),"?","~?"),'DEF_SELF_SCOUT_IMPORT'!$D$42:$D$1040,SUBSTITUTE(SUBSTITUTE(SUBSTITUTE($P1416,"~","~~"),"*","~*"),"?","~?"))/$C1416)</f>
        <v>0.0</v>
      </c>
      <c r="F1416" s="11">
        <f>IF($C1416=0,"",AVERAGEIFS('DEF_SELF_SCOUT_IMPORT'!$I$42:$I$1040,'DEF_SELF_SCOUT_IMPORT'!$L$42:$L$1040,"Y",'DEF_SELF_SCOUT_IMPORT'!$E$42:$E$1040,SUBSTITUTE(SUBSTITUTE(SUBSTITUTE($B1416,"~","~~"),"*","~*"),"?","~?"),'DEF_SELF_SCOUT_IMPORT'!$D$42:$D$1040,SUBSTITUTE(SUBSTITUTE(SUBSTITUTE($P1416,"~","~~"),"*","~*"),"?","~?")))</f>
        <v>7.0</v>
      </c>
      <c r="G1416" s="10">
        <f>IF($C1416=0,"",COUNTIFS('DEF_SELF_SCOUT_IMPORT'!$L$42:$L$1040,"Y",'DEF_SELF_SCOUT_IMPORT'!$E$42:$E$1040,SUBSTITUTE(SUBSTITUTE(SUBSTITUTE($B1416,"~","~~"),"*","~*"),"?","~?"),'DEF_SELF_SCOUT_IMPORT'!$D$42:$D$1040,SUBSTITUTE(SUBSTITUTE(SUBSTITUTE($P1416,"~","~~"),"*","~*"),"?","~?"),'DEF_SELF_SCOUT_IMPORT'!$H$42:$H$1040,"RUSH")/$C1416)</f>
        <v>0.0</v>
      </c>
      <c r="H1416" s="10">
        <f>IF($C1416=0,"",COUNTIFS('DEF_SELF_SCOUT_IMPORT'!$L$42:$L$1040,"Y",'DEF_SELF_SCOUT_IMPORT'!$E$42:$E$1040,SUBSTITUTE(SUBSTITUTE(SUBSTITUTE($B1416,"~","~~"),"*","~*"),"?","~?"),'DEF_SELF_SCOUT_IMPORT'!$D$42:$D$1040,SUBSTITUTE(SUBSTITUTE(SUBSTITUTE($P1416,"~","~~"),"*","~*"),"?","~?"),'DEF_SELF_SCOUT_IMPORT'!$H$42:$H$1040,"DROPBACK")/$C1416)</f>
        <v>1.0</v>
      </c>
      <c r="I1416" s="14" t="str">
        <f>IF(C1416=0,"",IF(C1416&lt;=2,"TRACK",IF(C1416=3,"LOW",IF(C1416&lt;=6,"MEDIUM","HIGH"))))</f>
        <v>TRACK</v>
      </c>
      <c r="J1416" s="11">
        <f>IF(C1416=0,"",ROUND(D1416*70+(1-E1416)*20+MAX(0,MIN(1,(10-F1416)/10))*10,1))</f>
        <v>58.0</v>
      </c>
      <c r="K1416" s="14" t="str">
        <f>IF(C1416=0,"No Evidence",IF(C1416&lt;=2,IF(E1416&gt;0,"Explosive Alert","Track Only"),IF(C1416=3,"Sample Watch",IF(E1416&gt;=START_HERE!$B$31,"Explosive Alert",IF(J1416&gt;=80,"Strong Candidate",IF(J1416&gt;=65,"Good Candidate",IF(J1416&gt;=50,"Mixed / Review","Problem Call")))))))</f>
        <v>Track Only</v>
      </c>
      <c r="L1416" s="9" t="str">
        <f>IF(COUNTIFS('DEF_SELF_SCOUT_IMPORT'!$L$42:$L$1040,"Y",'DEF_SELF_SCOUT_IMPORT'!$E$42:$E$1040,SUBSTITUTE(SUBSTITUTE(SUBSTITUTE($B1416,"~","~~"),"*","~*"),"?","~?"),'DEF_SELF_SCOUT_IMPORT'!$D$42:$D$1040,SUBSTITUTE(SUBSTITUTE(SUBSTITUTE($P1416,"~","~~"),"*","~*"),"?","~?"),'DEF_SELF_SCOUT_IMPORT'!$J$42:$J$1040,"")&gt;0,"Unscored clean outcome; review result tags before using score.",IF(C1416=0,"No matching defensive reps; film confirmation needed.",IF(K1416="Explosive Alert","Explosive risk; review clips before using as answer.",IF(C1416&lt;=2,"Track only; not enough sample.",IF(C1416=3,IF(E1416&gt;0,"Sample watch with explosive exposure; review clips and build the sample.",IF(J1416&gt;=65,"Good signal, but sample is limited.","Sample watch; review clips and build the sample.")),IF(K1416="Problem Call","Problem area; practice or call-sheet review.",IF(K1416="Strong Candidate","Strong call-fit candidate; confirm on film.",IF(K1416="Good Candidate","Good call-fit signal; confirm on film.","Mixed signal; review fit and execution on film."))))))))</f>
        <v>Track only; not enough sample.</v>
      </c>
      <c r="M1416" s="8"/>
      <c r="N1416" s="8"/>
      <c r="O1416" s="8"/>
      <c r="P1416" s="8" t="s">
        <v>471</v>
      </c>
      <c r="Q1416" s="8"/>
      <c r="R1416" s="8" t="s">
        <v>633</v>
      </c>
      <c r="S1416" s="2" t="s">
        <v>654</v>
      </c>
      <c r="T1416" s="2">
        <f>IF(C1416=0,0,IF(C1416&gt;=CALL_LOOKUP_BOARD!$B$7,IF(OR(K1416="Problem Call",K1416="Explosive Alert"),10000000,20000000),0)+IF(C1416&gt;=CALL_LOOKUP_BOARD!$B$7,J1416*1000+MIN(C1416,999),C1416*1000+J1416)+0.00984700)</f>
        <v>2058.009847</v>
      </c>
      <c r="U1416" s="2">
        <f>IF(C1416=0,"",IF(COUNTIFS($S$1264:$S$1440,SUBSTITUTE(SUBSTITUTE(SUBSTITUTE(S1416,"~","~~"),"*","~*"),"?","~?"),$T$1264:$T$1440,"&gt;"&amp;T1416)=0,S1416,""))</f>
        <v/>
      </c>
    </row>
    <row r="1417" spans="1:21" ht="38" customHeight="1">
      <c r="A1417" s="8" t="s">
        <v>471</v>
      </c>
      <c r="B1417" s="8" t="s">
        <v>53</v>
      </c>
      <c r="C1417" s="12">
        <f>COUNTIFS('DEF_SELF_SCOUT_IMPORT'!$L$42:$L$1040,"Y",'DEF_SELF_SCOUT_IMPORT'!$E$42:$E$1040,SUBSTITUTE(SUBSTITUTE(SUBSTITUTE($B1417,"~","~~"),"*","~*"),"?","~?"),'DEF_SELF_SCOUT_IMPORT'!$D$42:$D$1040,SUBSTITUTE(SUBSTITUTE(SUBSTITUTE($P1417,"~","~~"),"*","~*"),"?","~?"))</f>
        <v>1</v>
      </c>
      <c r="D1417" s="10">
        <f>IF($C1417=0,"",SUMIFS('DEF_SELF_SCOUT_IMPORT'!$J$42:$J$1040,'DEF_SELF_SCOUT_IMPORT'!$L$42:$L$1040,"Y",'DEF_SELF_SCOUT_IMPORT'!$E$42:$E$1040,SUBSTITUTE(SUBSTITUTE(SUBSTITUTE($B1417,"~","~~"),"*","~*"),"?","~?"),'DEF_SELF_SCOUT_IMPORT'!$D$42:$D$1040,SUBSTITUTE(SUBSTITUTE(SUBSTITUTE($P1417,"~","~~"),"*","~*"),"?","~?"))/$C1417)</f>
        <v>1.0</v>
      </c>
      <c r="E1417" s="10">
        <f>IF($C1417=0,"",SUMIFS('DEF_SELF_SCOUT_IMPORT'!$K$42:$K$1040,'DEF_SELF_SCOUT_IMPORT'!$L$42:$L$1040,"Y",'DEF_SELF_SCOUT_IMPORT'!$E$42:$E$1040,SUBSTITUTE(SUBSTITUTE(SUBSTITUTE($B1417,"~","~~"),"*","~*"),"?","~?"),'DEF_SELF_SCOUT_IMPORT'!$D$42:$D$1040,SUBSTITUTE(SUBSTITUTE(SUBSTITUTE($P1417,"~","~~"),"*","~*"),"?","~?"))/$C1417)</f>
        <v>0.0</v>
      </c>
      <c r="F1417" s="11">
        <f>IF($C1417=0,"",AVERAGEIFS('DEF_SELF_SCOUT_IMPORT'!$I$42:$I$1040,'DEF_SELF_SCOUT_IMPORT'!$L$42:$L$1040,"Y",'DEF_SELF_SCOUT_IMPORT'!$E$42:$E$1040,SUBSTITUTE(SUBSTITUTE(SUBSTITUTE($B1417,"~","~~"),"*","~*"),"?","~?"),'DEF_SELF_SCOUT_IMPORT'!$D$42:$D$1040,SUBSTITUTE(SUBSTITUTE(SUBSTITUTE($P1417,"~","~~"),"*","~*"),"?","~?")))</f>
        <v>6.0</v>
      </c>
      <c r="G1417" s="10">
        <f>IF($C1417=0,"",COUNTIFS('DEF_SELF_SCOUT_IMPORT'!$L$42:$L$1040,"Y",'DEF_SELF_SCOUT_IMPORT'!$E$42:$E$1040,SUBSTITUTE(SUBSTITUTE(SUBSTITUTE($B1417,"~","~~"),"*","~*"),"?","~?"),'DEF_SELF_SCOUT_IMPORT'!$D$42:$D$1040,SUBSTITUTE(SUBSTITUTE(SUBSTITUTE($P1417,"~","~~"),"*","~*"),"?","~?"),'DEF_SELF_SCOUT_IMPORT'!$H$42:$H$1040,"RUSH")/$C1417)</f>
        <v>0.0</v>
      </c>
      <c r="H1417" s="10">
        <f>IF($C1417=0,"",COUNTIFS('DEF_SELF_SCOUT_IMPORT'!$L$42:$L$1040,"Y",'DEF_SELF_SCOUT_IMPORT'!$E$42:$E$1040,SUBSTITUTE(SUBSTITUTE(SUBSTITUTE($B1417,"~","~~"),"*","~*"),"?","~?"),'DEF_SELF_SCOUT_IMPORT'!$D$42:$D$1040,SUBSTITUTE(SUBSTITUTE(SUBSTITUTE($P1417,"~","~~"),"*","~*"),"?","~?"),'DEF_SELF_SCOUT_IMPORT'!$H$42:$H$1040,"DROPBACK")/$C1417)</f>
        <v>1.0</v>
      </c>
      <c r="I1417" s="14" t="str">
        <f>IF(C1417=0,"",IF(C1417&lt;=2,"TRACK",IF(C1417=3,"LOW",IF(C1417&lt;=6,"MEDIUM","HIGH"))))</f>
        <v>TRACK</v>
      </c>
      <c r="J1417" s="11">
        <f>IF(C1417=0,"",ROUND(D1417*70+(1-E1417)*20+MAX(0,MIN(1,(10-F1417)/10))*10,1))</f>
        <v>94.0</v>
      </c>
      <c r="K1417" s="14" t="str">
        <f>IF(C1417=0,"No Evidence",IF(C1417&lt;=2,IF(E1417&gt;0,"Explosive Alert","Track Only"),IF(C1417=3,"Sample Watch",IF(E1417&gt;=START_HERE!$B$31,"Explosive Alert",IF(J1417&gt;=80,"Strong Candidate",IF(J1417&gt;=65,"Good Candidate",IF(J1417&gt;=50,"Mixed / Review","Problem Call")))))))</f>
        <v>Track Only</v>
      </c>
      <c r="L1417" s="9" t="str">
        <f>IF(COUNTIFS('DEF_SELF_SCOUT_IMPORT'!$L$42:$L$1040,"Y",'DEF_SELF_SCOUT_IMPORT'!$E$42:$E$1040,SUBSTITUTE(SUBSTITUTE(SUBSTITUTE($B1417,"~","~~"),"*","~*"),"?","~?"),'DEF_SELF_SCOUT_IMPORT'!$D$42:$D$1040,SUBSTITUTE(SUBSTITUTE(SUBSTITUTE($P1417,"~","~~"),"*","~*"),"?","~?"),'DEF_SELF_SCOUT_IMPORT'!$J$42:$J$1040,"")&gt;0,"Unscored clean outcome; review result tags before using score.",IF(C1417=0,"No matching defensive reps; film confirmation needed.",IF(K1417="Explosive Alert","Explosive risk; review clips before using as answer.",IF(C1417&lt;=2,"Track only; not enough sample.",IF(C1417=3,IF(E1417&gt;0,"Sample watch with explosive exposure; review clips and build the sample.",IF(J1417&gt;=65,"Good signal, but sample is limited.","Sample watch; review clips and build the sample.")),IF(K1417="Problem Call","Problem area; practice or call-sheet review.",IF(K1417="Strong Candidate","Strong call-fit candidate; confirm on film.",IF(K1417="Good Candidate","Good call-fit signal; confirm on film.","Mixed signal; review fit and execution on film."))))))))</f>
        <v>Track only; not enough sample.</v>
      </c>
      <c r="M1417" s="8"/>
      <c r="N1417" s="8"/>
      <c r="O1417" s="8"/>
      <c r="P1417" s="8" t="s">
        <v>471</v>
      </c>
      <c r="Q1417" s="8"/>
      <c r="R1417" s="8" t="s">
        <v>633</v>
      </c>
      <c r="S1417" s="2" t="s">
        <v>654</v>
      </c>
      <c r="T1417" s="2">
        <f>IF(C1417=0,0,IF(C1417&gt;=CALL_LOOKUP_BOARD!$B$7,IF(OR(K1417="Problem Call",K1417="Explosive Alert"),10000000,20000000),0)+IF(C1417&gt;=CALL_LOOKUP_BOARD!$B$7,J1417*1000+MIN(C1417,999),C1417*1000+J1417)+0.00984600)</f>
        <v>1094.009846</v>
      </c>
      <c r="U1417" s="2">
        <f>IF(C1417=0,"",IF(COUNTIFS($S$1264:$S$1440,SUBSTITUTE(SUBSTITUTE(SUBSTITUTE(S1417,"~","~~"),"*","~*"),"?","~?"),$T$1264:$T$1440,"&gt;"&amp;T1417)=0,S1417,""))</f>
        <v/>
      </c>
    </row>
    <row r="1418" spans="1:21" ht="38" customHeight="1">
      <c r="A1418" s="8" t="s">
        <v>471</v>
      </c>
      <c r="B1418" s="8" t="s">
        <v>56</v>
      </c>
      <c r="C1418" s="12">
        <f>COUNTIFS('DEF_SELF_SCOUT_IMPORT'!$L$42:$L$1040,"Y",'DEF_SELF_SCOUT_IMPORT'!$E$42:$E$1040,SUBSTITUTE(SUBSTITUTE(SUBSTITUTE($B1418,"~","~~"),"*","~*"),"?","~?"),'DEF_SELF_SCOUT_IMPORT'!$D$42:$D$1040,SUBSTITUTE(SUBSTITUTE(SUBSTITUTE($P1418,"~","~~"),"*","~*"),"?","~?"))</f>
        <v>2</v>
      </c>
      <c r="D1418" s="10">
        <f>IF($C1418=0,"",SUMIFS('DEF_SELF_SCOUT_IMPORT'!$J$42:$J$1040,'DEF_SELF_SCOUT_IMPORT'!$L$42:$L$1040,"Y",'DEF_SELF_SCOUT_IMPORT'!$E$42:$E$1040,SUBSTITUTE(SUBSTITUTE(SUBSTITUTE($B1418,"~","~~"),"*","~*"),"?","~?"),'DEF_SELF_SCOUT_IMPORT'!$D$42:$D$1040,SUBSTITUTE(SUBSTITUTE(SUBSTITUTE($P1418,"~","~~"),"*","~*"),"?","~?"))/$C1418)</f>
        <v>0.0</v>
      </c>
      <c r="E1418" s="10">
        <f>IF($C1418=0,"",SUMIFS('DEF_SELF_SCOUT_IMPORT'!$K$42:$K$1040,'DEF_SELF_SCOUT_IMPORT'!$L$42:$L$1040,"Y",'DEF_SELF_SCOUT_IMPORT'!$E$42:$E$1040,SUBSTITUTE(SUBSTITUTE(SUBSTITUTE($B1418,"~","~~"),"*","~*"),"?","~?"),'DEF_SELF_SCOUT_IMPORT'!$D$42:$D$1040,SUBSTITUTE(SUBSTITUTE(SUBSTITUTE($P1418,"~","~~"),"*","~*"),"?","~?"))/$C1418)</f>
        <v>0.0</v>
      </c>
      <c r="F1418" s="11">
        <f>IF($C1418=0,"",AVERAGEIFS('DEF_SELF_SCOUT_IMPORT'!$I$42:$I$1040,'DEF_SELF_SCOUT_IMPORT'!$L$42:$L$1040,"Y",'DEF_SELF_SCOUT_IMPORT'!$E$42:$E$1040,SUBSTITUTE(SUBSTITUTE(SUBSTITUTE($B1418,"~","~~"),"*","~*"),"?","~?"),'DEF_SELF_SCOUT_IMPORT'!$D$42:$D$1040,SUBSTITUTE(SUBSTITUTE(SUBSTITUTE($P1418,"~","~~"),"*","~*"),"?","~?")))</f>
        <v>11.0</v>
      </c>
      <c r="G1418" s="10">
        <f>IF($C1418=0,"",COUNTIFS('DEF_SELF_SCOUT_IMPORT'!$L$42:$L$1040,"Y",'DEF_SELF_SCOUT_IMPORT'!$E$42:$E$1040,SUBSTITUTE(SUBSTITUTE(SUBSTITUTE($B1418,"~","~~"),"*","~*"),"?","~?"),'DEF_SELF_SCOUT_IMPORT'!$D$42:$D$1040,SUBSTITUTE(SUBSTITUTE(SUBSTITUTE($P1418,"~","~~"),"*","~*"),"?","~?"),'DEF_SELF_SCOUT_IMPORT'!$H$42:$H$1040,"RUSH")/$C1418)</f>
        <v>0.0</v>
      </c>
      <c r="H1418" s="10">
        <f>IF($C1418=0,"",COUNTIFS('DEF_SELF_SCOUT_IMPORT'!$L$42:$L$1040,"Y",'DEF_SELF_SCOUT_IMPORT'!$E$42:$E$1040,SUBSTITUTE(SUBSTITUTE(SUBSTITUTE($B1418,"~","~~"),"*","~*"),"?","~?"),'DEF_SELF_SCOUT_IMPORT'!$D$42:$D$1040,SUBSTITUTE(SUBSTITUTE(SUBSTITUTE($P1418,"~","~~"),"*","~*"),"?","~?"),'DEF_SELF_SCOUT_IMPORT'!$H$42:$H$1040,"DROPBACK")/$C1418)</f>
        <v>1.0</v>
      </c>
      <c r="I1418" s="14" t="str">
        <f>IF(C1418=0,"",IF(C1418&lt;=2,"TRACK",IF(C1418=3,"LOW",IF(C1418&lt;=6,"MEDIUM","HIGH"))))</f>
        <v>TRACK</v>
      </c>
      <c r="J1418" s="11">
        <f>IF(C1418=0,"",ROUND(D1418*70+(1-E1418)*20+MAX(0,MIN(1,(10-F1418)/10))*10,1))</f>
        <v>20.0</v>
      </c>
      <c r="K1418" s="14" t="str">
        <f>IF(C1418=0,"No Evidence",IF(C1418&lt;=2,IF(E1418&gt;0,"Explosive Alert","Track Only"),IF(C1418=3,"Sample Watch",IF(E1418&gt;=START_HERE!$B$31,"Explosive Alert",IF(J1418&gt;=80,"Strong Candidate",IF(J1418&gt;=65,"Good Candidate",IF(J1418&gt;=50,"Mixed / Review","Problem Call")))))))</f>
        <v>Track Only</v>
      </c>
      <c r="L1418" s="9" t="str">
        <f>IF(COUNTIFS('DEF_SELF_SCOUT_IMPORT'!$L$42:$L$1040,"Y",'DEF_SELF_SCOUT_IMPORT'!$E$42:$E$1040,SUBSTITUTE(SUBSTITUTE(SUBSTITUTE($B1418,"~","~~"),"*","~*"),"?","~?"),'DEF_SELF_SCOUT_IMPORT'!$D$42:$D$1040,SUBSTITUTE(SUBSTITUTE(SUBSTITUTE($P1418,"~","~~"),"*","~*"),"?","~?"),'DEF_SELF_SCOUT_IMPORT'!$J$42:$J$1040,"")&gt;0,"Unscored clean outcome; review result tags before using score.",IF(C1418=0,"No matching defensive reps; film confirmation needed.",IF(K1418="Explosive Alert","Explosive risk; review clips before using as answer.",IF(C1418&lt;=2,"Track only; not enough sample.",IF(C1418=3,IF(E1418&gt;0,"Sample watch with explosive exposure; review clips and build the sample.",IF(J1418&gt;=65,"Good signal, but sample is limited.","Sample watch; review clips and build the sample.")),IF(K1418="Problem Call","Problem area; practice or call-sheet review.",IF(K1418="Strong Candidate","Strong call-fit candidate; confirm on film.",IF(K1418="Good Candidate","Good call-fit signal; confirm on film.","Mixed signal; review fit and execution on film."))))))))</f>
        <v>Track only; not enough sample.</v>
      </c>
      <c r="M1418" s="8"/>
      <c r="N1418" s="8"/>
      <c r="O1418" s="8"/>
      <c r="P1418" s="8" t="s">
        <v>471</v>
      </c>
      <c r="Q1418" s="8"/>
      <c r="R1418" s="8" t="s">
        <v>633</v>
      </c>
      <c r="S1418" s="2" t="s">
        <v>654</v>
      </c>
      <c r="T1418" s="2">
        <f>IF(C1418=0,0,IF(C1418&gt;=CALL_LOOKUP_BOARD!$B$7,IF(OR(K1418="Problem Call",K1418="Explosive Alert"),10000000,20000000),0)+IF(C1418&gt;=CALL_LOOKUP_BOARD!$B$7,J1418*1000+MIN(C1418,999),C1418*1000+J1418)+0.00984500)</f>
        <v>2020.009845</v>
      </c>
      <c r="U1418" s="2">
        <f>IF(C1418=0,"",IF(COUNTIFS($S$1264:$S$1440,SUBSTITUTE(SUBSTITUTE(SUBSTITUTE(S1418,"~","~~"),"*","~*"),"?","~?"),$T$1264:$T$1440,"&gt;"&amp;T1418)=0,S1418,""))</f>
        <v/>
      </c>
    </row>
    <row r="1419" spans="1:21" ht="38" customHeight="1">
      <c r="A1419" s="8" t="s">
        <v>471</v>
      </c>
      <c r="B1419" s="8" t="s">
        <v>35</v>
      </c>
      <c r="C1419" s="12">
        <f>COUNTIFS('DEF_SELF_SCOUT_IMPORT'!$L$42:$L$1040,"Y",'DEF_SELF_SCOUT_IMPORT'!$E$42:$E$1040,SUBSTITUTE(SUBSTITUTE(SUBSTITUTE($B1419,"~","~~"),"*","~*"),"?","~?"),'DEF_SELF_SCOUT_IMPORT'!$D$42:$D$1040,SUBSTITUTE(SUBSTITUTE(SUBSTITUTE($P1419,"~","~~"),"*","~*"),"?","~?"))</f>
        <v>1</v>
      </c>
      <c r="D1419" s="10">
        <f>IF($C1419=0,"",SUMIFS('DEF_SELF_SCOUT_IMPORT'!$J$42:$J$1040,'DEF_SELF_SCOUT_IMPORT'!$L$42:$L$1040,"Y",'DEF_SELF_SCOUT_IMPORT'!$E$42:$E$1040,SUBSTITUTE(SUBSTITUTE(SUBSTITUTE($B1419,"~","~~"),"*","~*"),"?","~?"),'DEF_SELF_SCOUT_IMPORT'!$D$42:$D$1040,SUBSTITUTE(SUBSTITUTE(SUBSTITUTE($P1419,"~","~~"),"*","~*"),"?","~?"))/$C1419)</f>
        <v>0.0</v>
      </c>
      <c r="E1419" s="10">
        <f>IF($C1419=0,"",SUMIFS('DEF_SELF_SCOUT_IMPORT'!$K$42:$K$1040,'DEF_SELF_SCOUT_IMPORT'!$L$42:$L$1040,"Y",'DEF_SELF_SCOUT_IMPORT'!$E$42:$E$1040,SUBSTITUTE(SUBSTITUTE(SUBSTITUTE($B1419,"~","~~"),"*","~*"),"?","~?"),'DEF_SELF_SCOUT_IMPORT'!$D$42:$D$1040,SUBSTITUTE(SUBSTITUTE(SUBSTITUTE($P1419,"~","~~"),"*","~*"),"?","~?"))/$C1419)</f>
        <v>1.0</v>
      </c>
      <c r="F1419" s="11">
        <f>IF($C1419=0,"",AVERAGEIFS('DEF_SELF_SCOUT_IMPORT'!$I$42:$I$1040,'DEF_SELF_SCOUT_IMPORT'!$L$42:$L$1040,"Y",'DEF_SELF_SCOUT_IMPORT'!$E$42:$E$1040,SUBSTITUTE(SUBSTITUTE(SUBSTITUTE($B1419,"~","~~"),"*","~*"),"?","~?"),'DEF_SELF_SCOUT_IMPORT'!$D$42:$D$1040,SUBSTITUTE(SUBSTITUTE(SUBSTITUTE($P1419,"~","~~"),"*","~*"),"?","~?")))</f>
        <v>55.0</v>
      </c>
      <c r="G1419" s="10">
        <f>IF($C1419=0,"",COUNTIFS('DEF_SELF_SCOUT_IMPORT'!$L$42:$L$1040,"Y",'DEF_SELF_SCOUT_IMPORT'!$E$42:$E$1040,SUBSTITUTE(SUBSTITUTE(SUBSTITUTE($B1419,"~","~~"),"*","~*"),"?","~?"),'DEF_SELF_SCOUT_IMPORT'!$D$42:$D$1040,SUBSTITUTE(SUBSTITUTE(SUBSTITUTE($P1419,"~","~~"),"*","~*"),"?","~?"),'DEF_SELF_SCOUT_IMPORT'!$H$42:$H$1040,"RUSH")/$C1419)</f>
        <v>0.0</v>
      </c>
      <c r="H1419" s="10">
        <f>IF($C1419=0,"",COUNTIFS('DEF_SELF_SCOUT_IMPORT'!$L$42:$L$1040,"Y",'DEF_SELF_SCOUT_IMPORT'!$E$42:$E$1040,SUBSTITUTE(SUBSTITUTE(SUBSTITUTE($B1419,"~","~~"),"*","~*"),"?","~?"),'DEF_SELF_SCOUT_IMPORT'!$D$42:$D$1040,SUBSTITUTE(SUBSTITUTE(SUBSTITUTE($P1419,"~","~~"),"*","~*"),"?","~?"),'DEF_SELF_SCOUT_IMPORT'!$H$42:$H$1040,"DROPBACK")/$C1419)</f>
        <v>1.0</v>
      </c>
      <c r="I1419" s="14" t="str">
        <f>IF(C1419=0,"",IF(C1419&lt;=2,"TRACK",IF(C1419=3,"LOW",IF(C1419&lt;=6,"MEDIUM","HIGH"))))</f>
        <v>TRACK</v>
      </c>
      <c r="J1419" s="11">
        <f>IF(C1419=0,"",ROUND(D1419*70+(1-E1419)*20+MAX(0,MIN(1,(10-F1419)/10))*10,1))</f>
        <v>0.0</v>
      </c>
      <c r="K1419" s="14" t="str">
        <f>IF(C1419=0,"No Evidence",IF(C1419&lt;=2,IF(E1419&gt;0,"Explosive Alert","Track Only"),IF(C1419=3,"Sample Watch",IF(E1419&gt;=START_HERE!$B$31,"Explosive Alert",IF(J1419&gt;=80,"Strong Candidate",IF(J1419&gt;=65,"Good Candidate",IF(J1419&gt;=50,"Mixed / Review","Problem Call")))))))</f>
        <v>Explosive Alert</v>
      </c>
      <c r="L1419" s="9" t="str">
        <f>IF(COUNTIFS('DEF_SELF_SCOUT_IMPORT'!$L$42:$L$1040,"Y",'DEF_SELF_SCOUT_IMPORT'!$E$42:$E$1040,SUBSTITUTE(SUBSTITUTE(SUBSTITUTE($B1419,"~","~~"),"*","~*"),"?","~?"),'DEF_SELF_SCOUT_IMPORT'!$D$42:$D$1040,SUBSTITUTE(SUBSTITUTE(SUBSTITUTE($P1419,"~","~~"),"*","~*"),"?","~?"),'DEF_SELF_SCOUT_IMPORT'!$J$42:$J$1040,"")&gt;0,"Unscored clean outcome; review result tags before using score.",IF(C1419=0,"No matching defensive reps; film confirmation needed.",IF(K1419="Explosive Alert","Explosive risk; review clips before using as answer.",IF(C1419&lt;=2,"Track only; not enough sample.",IF(C1419=3,IF(E1419&gt;0,"Sample watch with explosive exposure; review clips and build the sample.",IF(J1419&gt;=65,"Good signal, but sample is limited.","Sample watch; review clips and build the sample.")),IF(K1419="Problem Call","Problem area; practice or call-sheet review.",IF(K1419="Strong Candidate","Strong call-fit candidate; confirm on film.",IF(K1419="Good Candidate","Good call-fit signal; confirm on film.","Mixed signal; review fit and execution on film."))))))))</f>
        <v>Explosive risk; review clips before using as answer.</v>
      </c>
      <c r="M1419" s="8"/>
      <c r="N1419" s="8"/>
      <c r="O1419" s="8"/>
      <c r="P1419" s="8" t="s">
        <v>471</v>
      </c>
      <c r="Q1419" s="8"/>
      <c r="R1419" s="8" t="s">
        <v>633</v>
      </c>
      <c r="S1419" s="2" t="s">
        <v>654</v>
      </c>
      <c r="T1419" s="2">
        <f>IF(C1419=0,0,IF(C1419&gt;=CALL_LOOKUP_BOARD!$B$7,IF(OR(K1419="Problem Call",K1419="Explosive Alert"),10000000,20000000),0)+IF(C1419&gt;=CALL_LOOKUP_BOARD!$B$7,J1419*1000+MIN(C1419,999),C1419*1000+J1419)+0.00984400)</f>
        <v>1000.009844</v>
      </c>
      <c r="U1419" s="2">
        <f>IF(C1419=0,"",IF(COUNTIFS($S$1264:$S$1440,SUBSTITUTE(SUBSTITUTE(SUBSTITUTE(S1419,"~","~~"),"*","~*"),"?","~?"),$T$1264:$T$1440,"&gt;"&amp;T1419)=0,S1419,""))</f>
        <v/>
      </c>
    </row>
    <row r="1420" spans="1:21" ht="38" customHeight="1">
      <c r="A1420" s="8" t="s">
        <v>471</v>
      </c>
      <c r="B1420" s="8" t="s">
        <v>60</v>
      </c>
      <c r="C1420" s="12">
        <f>COUNTIFS('DEF_SELF_SCOUT_IMPORT'!$L$42:$L$1040,"Y",'DEF_SELF_SCOUT_IMPORT'!$E$42:$E$1040,SUBSTITUTE(SUBSTITUTE(SUBSTITUTE($B1420,"~","~~"),"*","~*"),"?","~?"),'DEF_SELF_SCOUT_IMPORT'!$D$42:$D$1040,SUBSTITUTE(SUBSTITUTE(SUBSTITUTE($P1420,"~","~~"),"*","~*"),"?","~?"))</f>
        <v>1</v>
      </c>
      <c r="D1420" s="10">
        <f>IF($C1420=0,"",SUMIFS('DEF_SELF_SCOUT_IMPORT'!$J$42:$J$1040,'DEF_SELF_SCOUT_IMPORT'!$L$42:$L$1040,"Y",'DEF_SELF_SCOUT_IMPORT'!$E$42:$E$1040,SUBSTITUTE(SUBSTITUTE(SUBSTITUTE($B1420,"~","~~"),"*","~*"),"?","~?"),'DEF_SELF_SCOUT_IMPORT'!$D$42:$D$1040,SUBSTITUTE(SUBSTITUTE(SUBSTITUTE($P1420,"~","~~"),"*","~*"),"?","~?"))/$C1420)</f>
        <v>1.0</v>
      </c>
      <c r="E1420" s="10">
        <f>IF($C1420=0,"",SUMIFS('DEF_SELF_SCOUT_IMPORT'!$K$42:$K$1040,'DEF_SELF_SCOUT_IMPORT'!$L$42:$L$1040,"Y",'DEF_SELF_SCOUT_IMPORT'!$E$42:$E$1040,SUBSTITUTE(SUBSTITUTE(SUBSTITUTE($B1420,"~","~~"),"*","~*"),"?","~?"),'DEF_SELF_SCOUT_IMPORT'!$D$42:$D$1040,SUBSTITUTE(SUBSTITUTE(SUBSTITUTE($P1420,"~","~~"),"*","~*"),"?","~?"))/$C1420)</f>
        <v>0.0</v>
      </c>
      <c r="F1420" s="11">
        <f>IF($C1420=0,"",AVERAGEIFS('DEF_SELF_SCOUT_IMPORT'!$I$42:$I$1040,'DEF_SELF_SCOUT_IMPORT'!$L$42:$L$1040,"Y",'DEF_SELF_SCOUT_IMPORT'!$E$42:$E$1040,SUBSTITUTE(SUBSTITUTE(SUBSTITUTE($B1420,"~","~~"),"*","~*"),"?","~?"),'DEF_SELF_SCOUT_IMPORT'!$D$42:$D$1040,SUBSTITUTE(SUBSTITUTE(SUBSTITUTE($P1420,"~","~~"),"*","~*"),"?","~?")))</f>
        <v>7.0</v>
      </c>
      <c r="G1420" s="10">
        <f>IF($C1420=0,"",COUNTIFS('DEF_SELF_SCOUT_IMPORT'!$L$42:$L$1040,"Y",'DEF_SELF_SCOUT_IMPORT'!$E$42:$E$1040,SUBSTITUTE(SUBSTITUTE(SUBSTITUTE($B1420,"~","~~"),"*","~*"),"?","~?"),'DEF_SELF_SCOUT_IMPORT'!$D$42:$D$1040,SUBSTITUTE(SUBSTITUTE(SUBSTITUTE($P1420,"~","~~"),"*","~*"),"?","~?"),'DEF_SELF_SCOUT_IMPORT'!$H$42:$H$1040,"RUSH")/$C1420)</f>
        <v>0.0</v>
      </c>
      <c r="H1420" s="10">
        <f>IF($C1420=0,"",COUNTIFS('DEF_SELF_SCOUT_IMPORT'!$L$42:$L$1040,"Y",'DEF_SELF_SCOUT_IMPORT'!$E$42:$E$1040,SUBSTITUTE(SUBSTITUTE(SUBSTITUTE($B1420,"~","~~"),"*","~*"),"?","~?"),'DEF_SELF_SCOUT_IMPORT'!$D$42:$D$1040,SUBSTITUTE(SUBSTITUTE(SUBSTITUTE($P1420,"~","~~"),"*","~*"),"?","~?"),'DEF_SELF_SCOUT_IMPORT'!$H$42:$H$1040,"DROPBACK")/$C1420)</f>
        <v>1.0</v>
      </c>
      <c r="I1420" s="14" t="str">
        <f>IF(C1420=0,"",IF(C1420&lt;=2,"TRACK",IF(C1420=3,"LOW",IF(C1420&lt;=6,"MEDIUM","HIGH"))))</f>
        <v>TRACK</v>
      </c>
      <c r="J1420" s="11">
        <f>IF(C1420=0,"",ROUND(D1420*70+(1-E1420)*20+MAX(0,MIN(1,(10-F1420)/10))*10,1))</f>
        <v>93.0</v>
      </c>
      <c r="K1420" s="14" t="str">
        <f>IF(C1420=0,"No Evidence",IF(C1420&lt;=2,IF(E1420&gt;0,"Explosive Alert","Track Only"),IF(C1420=3,"Sample Watch",IF(E1420&gt;=START_HERE!$B$31,"Explosive Alert",IF(J1420&gt;=80,"Strong Candidate",IF(J1420&gt;=65,"Good Candidate",IF(J1420&gt;=50,"Mixed / Review","Problem Call")))))))</f>
        <v>Track Only</v>
      </c>
      <c r="L1420" s="9" t="str">
        <f>IF(COUNTIFS('DEF_SELF_SCOUT_IMPORT'!$L$42:$L$1040,"Y",'DEF_SELF_SCOUT_IMPORT'!$E$42:$E$1040,SUBSTITUTE(SUBSTITUTE(SUBSTITUTE($B1420,"~","~~"),"*","~*"),"?","~?"),'DEF_SELF_SCOUT_IMPORT'!$D$42:$D$1040,SUBSTITUTE(SUBSTITUTE(SUBSTITUTE($P1420,"~","~~"),"*","~*"),"?","~?"),'DEF_SELF_SCOUT_IMPORT'!$J$42:$J$1040,"")&gt;0,"Unscored clean outcome; review result tags before using score.",IF(C1420=0,"No matching defensive reps; film confirmation needed.",IF(K1420="Explosive Alert","Explosive risk; review clips before using as answer.",IF(C1420&lt;=2,"Track only; not enough sample.",IF(C1420=3,IF(E1420&gt;0,"Sample watch with explosive exposure; review clips and build the sample.",IF(J1420&gt;=65,"Good signal, but sample is limited.","Sample watch; review clips and build the sample.")),IF(K1420="Problem Call","Problem area; practice or call-sheet review.",IF(K1420="Strong Candidate","Strong call-fit candidate; confirm on film.",IF(K1420="Good Candidate","Good call-fit signal; confirm on film.","Mixed signal; review fit and execution on film."))))))))</f>
        <v>Track only; not enough sample.</v>
      </c>
      <c r="M1420" s="8"/>
      <c r="N1420" s="8"/>
      <c r="O1420" s="8"/>
      <c r="P1420" s="8" t="s">
        <v>471</v>
      </c>
      <c r="Q1420" s="8"/>
      <c r="R1420" s="8" t="s">
        <v>633</v>
      </c>
      <c r="S1420" s="2" t="s">
        <v>654</v>
      </c>
      <c r="T1420" s="2">
        <f>IF(C1420=0,0,IF(C1420&gt;=CALL_LOOKUP_BOARD!$B$7,IF(OR(K1420="Problem Call",K1420="Explosive Alert"),10000000,20000000),0)+IF(C1420&gt;=CALL_LOOKUP_BOARD!$B$7,J1420*1000+MIN(C1420,999),C1420*1000+J1420)+0.00984300)</f>
        <v>1093.009843</v>
      </c>
      <c r="U1420" s="2">
        <f>IF(C1420=0,"",IF(COUNTIFS($S$1264:$S$1440,SUBSTITUTE(SUBSTITUTE(SUBSTITUTE(S1420,"~","~~"),"*","~*"),"?","~?"),$T$1264:$T$1440,"&gt;"&amp;T1420)=0,S1420,""))</f>
        <v/>
      </c>
    </row>
    <row r="1421" spans="1:21" ht="38" customHeight="1">
      <c r="A1421" s="8" t="s">
        <v>471</v>
      </c>
      <c r="B1421" s="8" t="s">
        <v>73</v>
      </c>
      <c r="C1421" s="12">
        <f>COUNTIFS('DEF_SELF_SCOUT_IMPORT'!$L$42:$L$1040,"Y",'DEF_SELF_SCOUT_IMPORT'!$E$42:$E$1040,SUBSTITUTE(SUBSTITUTE(SUBSTITUTE($B1421,"~","~~"),"*","~*"),"?","~?"),'DEF_SELF_SCOUT_IMPORT'!$D$42:$D$1040,SUBSTITUTE(SUBSTITUTE(SUBSTITUTE($P1421,"~","~~"),"*","~*"),"?","~?"))</f>
        <v>1</v>
      </c>
      <c r="D1421" s="10">
        <f>IF($C1421=0,"",SUMIFS('DEF_SELF_SCOUT_IMPORT'!$J$42:$J$1040,'DEF_SELF_SCOUT_IMPORT'!$L$42:$L$1040,"Y",'DEF_SELF_SCOUT_IMPORT'!$E$42:$E$1040,SUBSTITUTE(SUBSTITUTE(SUBSTITUTE($B1421,"~","~~"),"*","~*"),"?","~?"),'DEF_SELF_SCOUT_IMPORT'!$D$42:$D$1040,SUBSTITUTE(SUBSTITUTE(SUBSTITUTE($P1421,"~","~~"),"*","~*"),"?","~?"))/$C1421)</f>
        <v>1.0</v>
      </c>
      <c r="E1421" s="10">
        <f>IF($C1421=0,"",SUMIFS('DEF_SELF_SCOUT_IMPORT'!$K$42:$K$1040,'DEF_SELF_SCOUT_IMPORT'!$L$42:$L$1040,"Y",'DEF_SELF_SCOUT_IMPORT'!$E$42:$E$1040,SUBSTITUTE(SUBSTITUTE(SUBSTITUTE($B1421,"~","~~"),"*","~*"),"?","~?"),'DEF_SELF_SCOUT_IMPORT'!$D$42:$D$1040,SUBSTITUTE(SUBSTITUTE(SUBSTITUTE($P1421,"~","~~"),"*","~*"),"?","~?"))/$C1421)</f>
        <v>0.0</v>
      </c>
      <c r="F1421" s="11">
        <f>IF($C1421=0,"",AVERAGEIFS('DEF_SELF_SCOUT_IMPORT'!$I$42:$I$1040,'DEF_SELF_SCOUT_IMPORT'!$L$42:$L$1040,"Y",'DEF_SELF_SCOUT_IMPORT'!$E$42:$E$1040,SUBSTITUTE(SUBSTITUTE(SUBSTITUTE($B1421,"~","~~"),"*","~*"),"?","~?"),'DEF_SELF_SCOUT_IMPORT'!$D$42:$D$1040,SUBSTITUTE(SUBSTITUTE(SUBSTITUTE($P1421,"~","~~"),"*","~*"),"?","~?")))</f>
        <v>6.0</v>
      </c>
      <c r="G1421" s="10">
        <f>IF($C1421=0,"",COUNTIFS('DEF_SELF_SCOUT_IMPORT'!$L$42:$L$1040,"Y",'DEF_SELF_SCOUT_IMPORT'!$E$42:$E$1040,SUBSTITUTE(SUBSTITUTE(SUBSTITUTE($B1421,"~","~~"),"*","~*"),"?","~?"),'DEF_SELF_SCOUT_IMPORT'!$D$42:$D$1040,SUBSTITUTE(SUBSTITUTE(SUBSTITUTE($P1421,"~","~~"),"*","~*"),"?","~?"),'DEF_SELF_SCOUT_IMPORT'!$H$42:$H$1040,"RUSH")/$C1421)</f>
        <v>0.0</v>
      </c>
      <c r="H1421" s="10">
        <f>IF($C1421=0,"",COUNTIFS('DEF_SELF_SCOUT_IMPORT'!$L$42:$L$1040,"Y",'DEF_SELF_SCOUT_IMPORT'!$E$42:$E$1040,SUBSTITUTE(SUBSTITUTE(SUBSTITUTE($B1421,"~","~~"),"*","~*"),"?","~?"),'DEF_SELF_SCOUT_IMPORT'!$D$42:$D$1040,SUBSTITUTE(SUBSTITUTE(SUBSTITUTE($P1421,"~","~~"),"*","~*"),"?","~?"),'DEF_SELF_SCOUT_IMPORT'!$H$42:$H$1040,"DROPBACK")/$C1421)</f>
        <v>1.0</v>
      </c>
      <c r="I1421" s="14" t="str">
        <f>IF(C1421=0,"",IF(C1421&lt;=2,"TRACK",IF(C1421=3,"LOW",IF(C1421&lt;=6,"MEDIUM","HIGH"))))</f>
        <v>TRACK</v>
      </c>
      <c r="J1421" s="11">
        <f>IF(C1421=0,"",ROUND(D1421*70+(1-E1421)*20+MAX(0,MIN(1,(10-F1421)/10))*10,1))</f>
        <v>94.0</v>
      </c>
      <c r="K1421" s="14" t="str">
        <f>IF(C1421=0,"No Evidence",IF(C1421&lt;=2,IF(E1421&gt;0,"Explosive Alert","Track Only"),IF(C1421=3,"Sample Watch",IF(E1421&gt;=START_HERE!$B$31,"Explosive Alert",IF(J1421&gt;=80,"Strong Candidate",IF(J1421&gt;=65,"Good Candidate",IF(J1421&gt;=50,"Mixed / Review","Problem Call")))))))</f>
        <v>Track Only</v>
      </c>
      <c r="L1421" s="9" t="str">
        <f>IF(COUNTIFS('DEF_SELF_SCOUT_IMPORT'!$L$42:$L$1040,"Y",'DEF_SELF_SCOUT_IMPORT'!$E$42:$E$1040,SUBSTITUTE(SUBSTITUTE(SUBSTITUTE($B1421,"~","~~"),"*","~*"),"?","~?"),'DEF_SELF_SCOUT_IMPORT'!$D$42:$D$1040,SUBSTITUTE(SUBSTITUTE(SUBSTITUTE($P1421,"~","~~"),"*","~*"),"?","~?"),'DEF_SELF_SCOUT_IMPORT'!$J$42:$J$1040,"")&gt;0,"Unscored clean outcome; review result tags before using score.",IF(C1421=0,"No matching defensive reps; film confirmation needed.",IF(K1421="Explosive Alert","Explosive risk; review clips before using as answer.",IF(C1421&lt;=2,"Track only; not enough sample.",IF(C1421=3,IF(E1421&gt;0,"Sample watch with explosive exposure; review clips and build the sample.",IF(J1421&gt;=65,"Good signal, but sample is limited.","Sample watch; review clips and build the sample.")),IF(K1421="Problem Call","Problem area; practice or call-sheet review.",IF(K1421="Strong Candidate","Strong call-fit candidate; confirm on film.",IF(K1421="Good Candidate","Good call-fit signal; confirm on film.","Mixed signal; review fit and execution on film."))))))))</f>
        <v>Track only; not enough sample.</v>
      </c>
      <c r="M1421" s="8"/>
      <c r="N1421" s="8"/>
      <c r="O1421" s="8"/>
      <c r="P1421" s="8" t="s">
        <v>471</v>
      </c>
      <c r="Q1421" s="8"/>
      <c r="R1421" s="8" t="s">
        <v>633</v>
      </c>
      <c r="S1421" s="2" t="s">
        <v>654</v>
      </c>
      <c r="T1421" s="2">
        <f>IF(C1421=0,0,IF(C1421&gt;=CALL_LOOKUP_BOARD!$B$7,IF(OR(K1421="Problem Call",K1421="Explosive Alert"),10000000,20000000),0)+IF(C1421&gt;=CALL_LOOKUP_BOARD!$B$7,J1421*1000+MIN(C1421,999),C1421*1000+J1421)+0.00984200)</f>
        <v>1094.009842</v>
      </c>
      <c r="U1421" s="2">
        <f>IF(C1421=0,"",IF(COUNTIFS($S$1264:$S$1440,SUBSTITUTE(SUBSTITUTE(SUBSTITUTE(S1421,"~","~~"),"*","~*"),"?","~?"),$T$1264:$T$1440,"&gt;"&amp;T1421)=0,S1421,""))</f>
        <v/>
      </c>
    </row>
    <row r="1422" spans="1:21" ht="38" customHeight="1">
      <c r="A1422" s="8" t="s">
        <v>471</v>
      </c>
      <c r="B1422" s="8" t="s">
        <v>62</v>
      </c>
      <c r="C1422" s="12">
        <f>COUNTIFS('DEF_SELF_SCOUT_IMPORT'!$L$42:$L$1040,"Y",'DEF_SELF_SCOUT_IMPORT'!$E$42:$E$1040,SUBSTITUTE(SUBSTITUTE(SUBSTITUTE($B1422,"~","~~"),"*","~*"),"?","~?"),'DEF_SELF_SCOUT_IMPORT'!$D$42:$D$1040,SUBSTITUTE(SUBSTITUTE(SUBSTITUTE($P1422,"~","~~"),"*","~*"),"?","~?"))</f>
        <v>2</v>
      </c>
      <c r="D1422" s="10">
        <f>IF($C1422=0,"",SUMIFS('DEF_SELF_SCOUT_IMPORT'!$J$42:$J$1040,'DEF_SELF_SCOUT_IMPORT'!$L$42:$L$1040,"Y",'DEF_SELF_SCOUT_IMPORT'!$E$42:$E$1040,SUBSTITUTE(SUBSTITUTE(SUBSTITUTE($B1422,"~","~~"),"*","~*"),"?","~?"),'DEF_SELF_SCOUT_IMPORT'!$D$42:$D$1040,SUBSTITUTE(SUBSTITUTE(SUBSTITUTE($P1422,"~","~~"),"*","~*"),"?","~?"))/$C1422)</f>
        <v>0.0</v>
      </c>
      <c r="E1422" s="10">
        <f>IF($C1422=0,"",SUMIFS('DEF_SELF_SCOUT_IMPORT'!$K$42:$K$1040,'DEF_SELF_SCOUT_IMPORT'!$L$42:$L$1040,"Y",'DEF_SELF_SCOUT_IMPORT'!$E$42:$E$1040,SUBSTITUTE(SUBSTITUTE(SUBSTITUTE($B1422,"~","~~"),"*","~*"),"?","~?"),'DEF_SELF_SCOUT_IMPORT'!$D$42:$D$1040,SUBSTITUTE(SUBSTITUTE(SUBSTITUTE($P1422,"~","~~"),"*","~*"),"?","~?"))/$C1422)</f>
        <v>0.5</v>
      </c>
      <c r="F1422" s="11">
        <f>IF($C1422=0,"",AVERAGEIFS('DEF_SELF_SCOUT_IMPORT'!$I$42:$I$1040,'DEF_SELF_SCOUT_IMPORT'!$L$42:$L$1040,"Y",'DEF_SELF_SCOUT_IMPORT'!$E$42:$E$1040,SUBSTITUTE(SUBSTITUTE(SUBSTITUTE($B1422,"~","~~"),"*","~*"),"?","~?"),'DEF_SELF_SCOUT_IMPORT'!$D$42:$D$1040,SUBSTITUTE(SUBSTITUTE(SUBSTITUTE($P1422,"~","~~"),"*","~*"),"?","~?")))</f>
        <v>18.5</v>
      </c>
      <c r="G1422" s="10">
        <f>IF($C1422=0,"",COUNTIFS('DEF_SELF_SCOUT_IMPORT'!$L$42:$L$1040,"Y",'DEF_SELF_SCOUT_IMPORT'!$E$42:$E$1040,SUBSTITUTE(SUBSTITUTE(SUBSTITUTE($B1422,"~","~~"),"*","~*"),"?","~?"),'DEF_SELF_SCOUT_IMPORT'!$D$42:$D$1040,SUBSTITUTE(SUBSTITUTE(SUBSTITUTE($P1422,"~","~~"),"*","~*"),"?","~?"),'DEF_SELF_SCOUT_IMPORT'!$H$42:$H$1040,"RUSH")/$C1422)</f>
        <v>0.0</v>
      </c>
      <c r="H1422" s="10">
        <f>IF($C1422=0,"",COUNTIFS('DEF_SELF_SCOUT_IMPORT'!$L$42:$L$1040,"Y",'DEF_SELF_SCOUT_IMPORT'!$E$42:$E$1040,SUBSTITUTE(SUBSTITUTE(SUBSTITUTE($B1422,"~","~~"),"*","~*"),"?","~?"),'DEF_SELF_SCOUT_IMPORT'!$D$42:$D$1040,SUBSTITUTE(SUBSTITUTE(SUBSTITUTE($P1422,"~","~~"),"*","~*"),"?","~?"),'DEF_SELF_SCOUT_IMPORT'!$H$42:$H$1040,"DROPBACK")/$C1422)</f>
        <v>0.5</v>
      </c>
      <c r="I1422" s="14" t="str">
        <f>IF(C1422=0,"",IF(C1422&lt;=2,"TRACK",IF(C1422=3,"LOW",IF(C1422&lt;=6,"MEDIUM","HIGH"))))</f>
        <v>TRACK</v>
      </c>
      <c r="J1422" s="11">
        <f>IF(C1422=0,"",ROUND(D1422*70+(1-E1422)*20+MAX(0,MIN(1,(10-F1422)/10))*10,1))</f>
        <v>10.0</v>
      </c>
      <c r="K1422" s="14" t="str">
        <f>IF(C1422=0,"No Evidence",IF(C1422&lt;=2,IF(E1422&gt;0,"Explosive Alert","Track Only"),IF(C1422=3,"Sample Watch",IF(E1422&gt;=START_HERE!$B$31,"Explosive Alert",IF(J1422&gt;=80,"Strong Candidate",IF(J1422&gt;=65,"Good Candidate",IF(J1422&gt;=50,"Mixed / Review","Problem Call")))))))</f>
        <v>Explosive Alert</v>
      </c>
      <c r="L1422" s="9" t="str">
        <f>IF(COUNTIFS('DEF_SELF_SCOUT_IMPORT'!$L$42:$L$1040,"Y",'DEF_SELF_SCOUT_IMPORT'!$E$42:$E$1040,SUBSTITUTE(SUBSTITUTE(SUBSTITUTE($B1422,"~","~~"),"*","~*"),"?","~?"),'DEF_SELF_SCOUT_IMPORT'!$D$42:$D$1040,SUBSTITUTE(SUBSTITUTE(SUBSTITUTE($P1422,"~","~~"),"*","~*"),"?","~?"),'DEF_SELF_SCOUT_IMPORT'!$J$42:$J$1040,"")&gt;0,"Unscored clean outcome; review result tags before using score.",IF(C1422=0,"No matching defensive reps; film confirmation needed.",IF(K1422="Explosive Alert","Explosive risk; review clips before using as answer.",IF(C1422&lt;=2,"Track only; not enough sample.",IF(C1422=3,IF(E1422&gt;0,"Sample watch with explosive exposure; review clips and build the sample.",IF(J1422&gt;=65,"Good signal, but sample is limited.","Sample watch; review clips and build the sample.")),IF(K1422="Problem Call","Problem area; practice or call-sheet review.",IF(K1422="Strong Candidate","Strong call-fit candidate; confirm on film.",IF(K1422="Good Candidate","Good call-fit signal; confirm on film.","Mixed signal; review fit and execution on film."))))))))</f>
        <v>Explosive risk; review clips before using as answer.</v>
      </c>
      <c r="M1422" s="8"/>
      <c r="N1422" s="8"/>
      <c r="O1422" s="8"/>
      <c r="P1422" s="8" t="s">
        <v>471</v>
      </c>
      <c r="Q1422" s="8"/>
      <c r="R1422" s="8" t="s">
        <v>633</v>
      </c>
      <c r="S1422" s="2" t="s">
        <v>654</v>
      </c>
      <c r="T1422" s="2">
        <f>IF(C1422=0,0,IF(C1422&gt;=CALL_LOOKUP_BOARD!$B$7,IF(OR(K1422="Problem Call",K1422="Explosive Alert"),10000000,20000000),0)+IF(C1422&gt;=CALL_LOOKUP_BOARD!$B$7,J1422*1000+MIN(C1422,999),C1422*1000+J1422)+0.00984100)</f>
        <v>2010.009841</v>
      </c>
      <c r="U1422" s="2">
        <f>IF(C1422=0,"",IF(COUNTIFS($S$1264:$S$1440,SUBSTITUTE(SUBSTITUTE(SUBSTITUTE(S1422,"~","~~"),"*","~*"),"?","~?"),$T$1264:$T$1440,"&gt;"&amp;T1422)=0,S1422,""))</f>
        <v/>
      </c>
    </row>
    <row r="1423" spans="1:21" ht="38" customHeight="1">
      <c r="A1423" s="8" t="s">
        <v>471</v>
      </c>
      <c r="B1423" s="8" t="s">
        <v>64</v>
      </c>
      <c r="C1423" s="12">
        <f>COUNTIFS('DEF_SELF_SCOUT_IMPORT'!$L$42:$L$1040,"Y",'DEF_SELF_SCOUT_IMPORT'!$E$42:$E$1040,SUBSTITUTE(SUBSTITUTE(SUBSTITUTE($B1423,"~","~~"),"*","~*"),"?","~?"),'DEF_SELF_SCOUT_IMPORT'!$D$42:$D$1040,SUBSTITUTE(SUBSTITUTE(SUBSTITUTE($P1423,"~","~~"),"*","~*"),"?","~?"))</f>
        <v>1</v>
      </c>
      <c r="D1423" s="10">
        <f>IF($C1423=0,"",SUMIFS('DEF_SELF_SCOUT_IMPORT'!$J$42:$J$1040,'DEF_SELF_SCOUT_IMPORT'!$L$42:$L$1040,"Y",'DEF_SELF_SCOUT_IMPORT'!$E$42:$E$1040,SUBSTITUTE(SUBSTITUTE(SUBSTITUTE($B1423,"~","~~"),"*","~*"),"?","~?"),'DEF_SELF_SCOUT_IMPORT'!$D$42:$D$1040,SUBSTITUTE(SUBSTITUTE(SUBSTITUTE($P1423,"~","~~"),"*","~*"),"?","~?"))/$C1423)</f>
        <v>1.0</v>
      </c>
      <c r="E1423" s="10">
        <f>IF($C1423=0,"",SUMIFS('DEF_SELF_SCOUT_IMPORT'!$K$42:$K$1040,'DEF_SELF_SCOUT_IMPORT'!$L$42:$L$1040,"Y",'DEF_SELF_SCOUT_IMPORT'!$E$42:$E$1040,SUBSTITUTE(SUBSTITUTE(SUBSTITUTE($B1423,"~","~~"),"*","~*"),"?","~?"),'DEF_SELF_SCOUT_IMPORT'!$D$42:$D$1040,SUBSTITUTE(SUBSTITUTE(SUBSTITUTE($P1423,"~","~~"),"*","~*"),"?","~?"))/$C1423)</f>
        <v>0.0</v>
      </c>
      <c r="F1423" s="11">
        <f>IF($C1423=0,"",AVERAGEIFS('DEF_SELF_SCOUT_IMPORT'!$I$42:$I$1040,'DEF_SELF_SCOUT_IMPORT'!$L$42:$L$1040,"Y",'DEF_SELF_SCOUT_IMPORT'!$E$42:$E$1040,SUBSTITUTE(SUBSTITUTE(SUBSTITUTE($B1423,"~","~~"),"*","~*"),"?","~?"),'DEF_SELF_SCOUT_IMPORT'!$D$42:$D$1040,SUBSTITUTE(SUBSTITUTE(SUBSTITUTE($P1423,"~","~~"),"*","~*"),"?","~?")))</f>
        <v>5.0</v>
      </c>
      <c r="G1423" s="10">
        <f>IF($C1423=0,"",COUNTIFS('DEF_SELF_SCOUT_IMPORT'!$L$42:$L$1040,"Y",'DEF_SELF_SCOUT_IMPORT'!$E$42:$E$1040,SUBSTITUTE(SUBSTITUTE(SUBSTITUTE($B1423,"~","~~"),"*","~*"),"?","~?"),'DEF_SELF_SCOUT_IMPORT'!$D$42:$D$1040,SUBSTITUTE(SUBSTITUTE(SUBSTITUTE($P1423,"~","~~"),"*","~*"),"?","~?"),'DEF_SELF_SCOUT_IMPORT'!$H$42:$H$1040,"RUSH")/$C1423)</f>
        <v>0.0</v>
      </c>
      <c r="H1423" s="10">
        <f>IF($C1423=0,"",COUNTIFS('DEF_SELF_SCOUT_IMPORT'!$L$42:$L$1040,"Y",'DEF_SELF_SCOUT_IMPORT'!$E$42:$E$1040,SUBSTITUTE(SUBSTITUTE(SUBSTITUTE($B1423,"~","~~"),"*","~*"),"?","~?"),'DEF_SELF_SCOUT_IMPORT'!$D$42:$D$1040,SUBSTITUTE(SUBSTITUTE(SUBSTITUTE($P1423,"~","~~"),"*","~*"),"?","~?"),'DEF_SELF_SCOUT_IMPORT'!$H$42:$H$1040,"DROPBACK")/$C1423)</f>
        <v>1.0</v>
      </c>
      <c r="I1423" s="14" t="str">
        <f>IF(C1423=0,"",IF(C1423&lt;=2,"TRACK",IF(C1423=3,"LOW",IF(C1423&lt;=6,"MEDIUM","HIGH"))))</f>
        <v>TRACK</v>
      </c>
      <c r="J1423" s="11">
        <f>IF(C1423=0,"",ROUND(D1423*70+(1-E1423)*20+MAX(0,MIN(1,(10-F1423)/10))*10,1))</f>
        <v>95.0</v>
      </c>
      <c r="K1423" s="14" t="str">
        <f>IF(C1423=0,"No Evidence",IF(C1423&lt;=2,IF(E1423&gt;0,"Explosive Alert","Track Only"),IF(C1423=3,"Sample Watch",IF(E1423&gt;=START_HERE!$B$31,"Explosive Alert",IF(J1423&gt;=80,"Strong Candidate",IF(J1423&gt;=65,"Good Candidate",IF(J1423&gt;=50,"Mixed / Review","Problem Call")))))))</f>
        <v>Track Only</v>
      </c>
      <c r="L1423" s="9" t="str">
        <f>IF(COUNTIFS('DEF_SELF_SCOUT_IMPORT'!$L$42:$L$1040,"Y",'DEF_SELF_SCOUT_IMPORT'!$E$42:$E$1040,SUBSTITUTE(SUBSTITUTE(SUBSTITUTE($B1423,"~","~~"),"*","~*"),"?","~?"),'DEF_SELF_SCOUT_IMPORT'!$D$42:$D$1040,SUBSTITUTE(SUBSTITUTE(SUBSTITUTE($P1423,"~","~~"),"*","~*"),"?","~?"),'DEF_SELF_SCOUT_IMPORT'!$J$42:$J$1040,"")&gt;0,"Unscored clean outcome; review result tags before using score.",IF(C1423=0,"No matching defensive reps; film confirmation needed.",IF(K1423="Explosive Alert","Explosive risk; review clips before using as answer.",IF(C1423&lt;=2,"Track only; not enough sample.",IF(C1423=3,IF(E1423&gt;0,"Sample watch with explosive exposure; review clips and build the sample.",IF(J1423&gt;=65,"Good signal, but sample is limited.","Sample watch; review clips and build the sample.")),IF(K1423="Problem Call","Problem area; practice or call-sheet review.",IF(K1423="Strong Candidate","Strong call-fit candidate; confirm on film.",IF(K1423="Good Candidate","Good call-fit signal; confirm on film.","Mixed signal; review fit and execution on film."))))))))</f>
        <v>Track only; not enough sample.</v>
      </c>
      <c r="M1423" s="8"/>
      <c r="N1423" s="8"/>
      <c r="O1423" s="8"/>
      <c r="P1423" s="8" t="s">
        <v>471</v>
      </c>
      <c r="Q1423" s="8"/>
      <c r="R1423" s="8" t="s">
        <v>633</v>
      </c>
      <c r="S1423" s="2" t="s">
        <v>654</v>
      </c>
      <c r="T1423" s="2">
        <f>IF(C1423=0,0,IF(C1423&gt;=CALL_LOOKUP_BOARD!$B$7,IF(OR(K1423="Problem Call",K1423="Explosive Alert"),10000000,20000000),0)+IF(C1423&gt;=CALL_LOOKUP_BOARD!$B$7,J1423*1000+MIN(C1423,999),C1423*1000+J1423)+0.00984000)</f>
        <v>1095.00984</v>
      </c>
      <c r="U1423" s="2">
        <f>IF(C1423=0,"",IF(COUNTIFS($S$1264:$S$1440,SUBSTITUTE(SUBSTITUTE(SUBSTITUTE(S1423,"~","~~"),"*","~*"),"?","~?"),$T$1264:$T$1440,"&gt;"&amp;T1423)=0,S1423,""))</f>
        <v/>
      </c>
    </row>
    <row r="1424" spans="1:21" ht="38" customHeight="1">
      <c r="A1424" s="8" t="s">
        <v>471</v>
      </c>
      <c r="B1424" s="8" t="s">
        <v>66</v>
      </c>
      <c r="C1424" s="12">
        <f>COUNTIFS('DEF_SELF_SCOUT_IMPORT'!$L$42:$L$1040,"Y",'DEF_SELF_SCOUT_IMPORT'!$E$42:$E$1040,SUBSTITUTE(SUBSTITUTE(SUBSTITUTE($B1424,"~","~~"),"*","~*"),"?","~?"),'DEF_SELF_SCOUT_IMPORT'!$D$42:$D$1040,SUBSTITUTE(SUBSTITUTE(SUBSTITUTE($P1424,"~","~~"),"*","~*"),"?","~?"))</f>
        <v>1</v>
      </c>
      <c r="D1424" s="10">
        <f>IF($C1424=0,"",SUMIFS('DEF_SELF_SCOUT_IMPORT'!$J$42:$J$1040,'DEF_SELF_SCOUT_IMPORT'!$L$42:$L$1040,"Y",'DEF_SELF_SCOUT_IMPORT'!$E$42:$E$1040,SUBSTITUTE(SUBSTITUTE(SUBSTITUTE($B1424,"~","~~"),"*","~*"),"?","~?"),'DEF_SELF_SCOUT_IMPORT'!$D$42:$D$1040,SUBSTITUTE(SUBSTITUTE(SUBSTITUTE($P1424,"~","~~"),"*","~*"),"?","~?"))/$C1424)</f>
        <v>1.0</v>
      </c>
      <c r="E1424" s="10">
        <f>IF($C1424=0,"",SUMIFS('DEF_SELF_SCOUT_IMPORT'!$K$42:$K$1040,'DEF_SELF_SCOUT_IMPORT'!$L$42:$L$1040,"Y",'DEF_SELF_SCOUT_IMPORT'!$E$42:$E$1040,SUBSTITUTE(SUBSTITUTE(SUBSTITUTE($B1424,"~","~~"),"*","~*"),"?","~?"),'DEF_SELF_SCOUT_IMPORT'!$D$42:$D$1040,SUBSTITUTE(SUBSTITUTE(SUBSTITUTE($P1424,"~","~~"),"*","~*"),"?","~?"))/$C1424)</f>
        <v>0.0</v>
      </c>
      <c r="F1424" s="11">
        <f>IF($C1424=0,"",AVERAGEIFS('DEF_SELF_SCOUT_IMPORT'!$I$42:$I$1040,'DEF_SELF_SCOUT_IMPORT'!$L$42:$L$1040,"Y",'DEF_SELF_SCOUT_IMPORT'!$E$42:$E$1040,SUBSTITUTE(SUBSTITUTE(SUBSTITUTE($B1424,"~","~~"),"*","~*"),"?","~?"),'DEF_SELF_SCOUT_IMPORT'!$D$42:$D$1040,SUBSTITUTE(SUBSTITUTE(SUBSTITUTE($P1424,"~","~~"),"*","~*"),"?","~?")))</f>
        <v>4.0</v>
      </c>
      <c r="G1424" s="10">
        <f>IF($C1424=0,"",COUNTIFS('DEF_SELF_SCOUT_IMPORT'!$L$42:$L$1040,"Y",'DEF_SELF_SCOUT_IMPORT'!$E$42:$E$1040,SUBSTITUTE(SUBSTITUTE(SUBSTITUTE($B1424,"~","~~"),"*","~*"),"?","~?"),'DEF_SELF_SCOUT_IMPORT'!$D$42:$D$1040,SUBSTITUTE(SUBSTITUTE(SUBSTITUTE($P1424,"~","~~"),"*","~*"),"?","~?"),'DEF_SELF_SCOUT_IMPORT'!$H$42:$H$1040,"RUSH")/$C1424)</f>
        <v>0.0</v>
      </c>
      <c r="H1424" s="10">
        <f>IF($C1424=0,"",COUNTIFS('DEF_SELF_SCOUT_IMPORT'!$L$42:$L$1040,"Y",'DEF_SELF_SCOUT_IMPORT'!$E$42:$E$1040,SUBSTITUTE(SUBSTITUTE(SUBSTITUTE($B1424,"~","~~"),"*","~*"),"?","~?"),'DEF_SELF_SCOUT_IMPORT'!$D$42:$D$1040,SUBSTITUTE(SUBSTITUTE(SUBSTITUTE($P1424,"~","~~"),"*","~*"),"?","~?"),'DEF_SELF_SCOUT_IMPORT'!$H$42:$H$1040,"DROPBACK")/$C1424)</f>
        <v>1.0</v>
      </c>
      <c r="I1424" s="14" t="str">
        <f>IF(C1424=0,"",IF(C1424&lt;=2,"TRACK",IF(C1424=3,"LOW",IF(C1424&lt;=6,"MEDIUM","HIGH"))))</f>
        <v>TRACK</v>
      </c>
      <c r="J1424" s="11">
        <f>IF(C1424=0,"",ROUND(D1424*70+(1-E1424)*20+MAX(0,MIN(1,(10-F1424)/10))*10,1))</f>
        <v>96.0</v>
      </c>
      <c r="K1424" s="14" t="str">
        <f>IF(C1424=0,"No Evidence",IF(C1424&lt;=2,IF(E1424&gt;0,"Explosive Alert","Track Only"),IF(C1424=3,"Sample Watch",IF(E1424&gt;=START_HERE!$B$31,"Explosive Alert",IF(J1424&gt;=80,"Strong Candidate",IF(J1424&gt;=65,"Good Candidate",IF(J1424&gt;=50,"Mixed / Review","Problem Call")))))))</f>
        <v>Track Only</v>
      </c>
      <c r="L1424" s="9" t="str">
        <f>IF(COUNTIFS('DEF_SELF_SCOUT_IMPORT'!$L$42:$L$1040,"Y",'DEF_SELF_SCOUT_IMPORT'!$E$42:$E$1040,SUBSTITUTE(SUBSTITUTE(SUBSTITUTE($B1424,"~","~~"),"*","~*"),"?","~?"),'DEF_SELF_SCOUT_IMPORT'!$D$42:$D$1040,SUBSTITUTE(SUBSTITUTE(SUBSTITUTE($P1424,"~","~~"),"*","~*"),"?","~?"),'DEF_SELF_SCOUT_IMPORT'!$J$42:$J$1040,"")&gt;0,"Unscored clean outcome; review result tags before using score.",IF(C1424=0,"No matching defensive reps; film confirmation needed.",IF(K1424="Explosive Alert","Explosive risk; review clips before using as answer.",IF(C1424&lt;=2,"Track only; not enough sample.",IF(C1424=3,IF(E1424&gt;0,"Sample watch with explosive exposure; review clips and build the sample.",IF(J1424&gt;=65,"Good signal, but sample is limited.","Sample watch; review clips and build the sample.")),IF(K1424="Problem Call","Problem area; practice or call-sheet review.",IF(K1424="Strong Candidate","Strong call-fit candidate; confirm on film.",IF(K1424="Good Candidate","Good call-fit signal; confirm on film.","Mixed signal; review fit and execution on film."))))))))</f>
        <v>Track only; not enough sample.</v>
      </c>
      <c r="M1424" s="8"/>
      <c r="N1424" s="8"/>
      <c r="O1424" s="8"/>
      <c r="P1424" s="8" t="s">
        <v>471</v>
      </c>
      <c r="Q1424" s="8"/>
      <c r="R1424" s="8" t="s">
        <v>633</v>
      </c>
      <c r="S1424" s="2" t="s">
        <v>654</v>
      </c>
      <c r="T1424" s="2">
        <f>IF(C1424=0,0,IF(C1424&gt;=CALL_LOOKUP_BOARD!$B$7,IF(OR(K1424="Problem Call",K1424="Explosive Alert"),10000000,20000000),0)+IF(C1424&gt;=CALL_LOOKUP_BOARD!$B$7,J1424*1000+MIN(C1424,999),C1424*1000+J1424)+0.00983900)</f>
        <v>1096.009839</v>
      </c>
      <c r="U1424" s="2">
        <f>IF(C1424=0,"",IF(COUNTIFS($S$1264:$S$1440,SUBSTITUTE(SUBSTITUTE(SUBSTITUTE(S1424,"~","~~"),"*","~*"),"?","~?"),$T$1264:$T$1440,"&gt;"&amp;T1424)=0,S1424,""))</f>
        <v/>
      </c>
    </row>
    <row r="1425" spans="1:21" ht="38" customHeight="1">
      <c r="A1425" s="8" t="s">
        <v>471</v>
      </c>
      <c r="B1425" s="8" t="s">
        <v>68</v>
      </c>
      <c r="C1425" s="12">
        <f>COUNTIFS('DEF_SELF_SCOUT_IMPORT'!$L$42:$L$1040,"Y",'DEF_SELF_SCOUT_IMPORT'!$E$42:$E$1040,SUBSTITUTE(SUBSTITUTE(SUBSTITUTE($B1425,"~","~~"),"*","~*"),"?","~?"),'DEF_SELF_SCOUT_IMPORT'!$D$42:$D$1040,SUBSTITUTE(SUBSTITUTE(SUBSTITUTE($P1425,"~","~~"),"*","~*"),"?","~?"))</f>
        <v>2</v>
      </c>
      <c r="D1425" s="10">
        <f>IF($C1425=0,"",SUMIFS('DEF_SELF_SCOUT_IMPORT'!$J$42:$J$1040,'DEF_SELF_SCOUT_IMPORT'!$L$42:$L$1040,"Y",'DEF_SELF_SCOUT_IMPORT'!$E$42:$E$1040,SUBSTITUTE(SUBSTITUTE(SUBSTITUTE($B1425,"~","~~"),"*","~*"),"?","~?"),'DEF_SELF_SCOUT_IMPORT'!$D$42:$D$1040,SUBSTITUTE(SUBSTITUTE(SUBSTITUTE($P1425,"~","~~"),"*","~*"),"?","~?"))/$C1425)</f>
        <v>1.0</v>
      </c>
      <c r="E1425" s="10">
        <f>IF($C1425=0,"",SUMIFS('DEF_SELF_SCOUT_IMPORT'!$K$42:$K$1040,'DEF_SELF_SCOUT_IMPORT'!$L$42:$L$1040,"Y",'DEF_SELF_SCOUT_IMPORT'!$E$42:$E$1040,SUBSTITUTE(SUBSTITUTE(SUBSTITUTE($B1425,"~","~~"),"*","~*"),"?","~?"),'DEF_SELF_SCOUT_IMPORT'!$D$42:$D$1040,SUBSTITUTE(SUBSTITUTE(SUBSTITUTE($P1425,"~","~~"),"*","~*"),"?","~?"))/$C1425)</f>
        <v>0.0</v>
      </c>
      <c r="F1425" s="11">
        <f>IF($C1425=0,"",AVERAGEIFS('DEF_SELF_SCOUT_IMPORT'!$I$42:$I$1040,'DEF_SELF_SCOUT_IMPORT'!$L$42:$L$1040,"Y",'DEF_SELF_SCOUT_IMPORT'!$E$42:$E$1040,SUBSTITUTE(SUBSTITUTE(SUBSTITUTE($B1425,"~","~~"),"*","~*"),"?","~?"),'DEF_SELF_SCOUT_IMPORT'!$D$42:$D$1040,SUBSTITUTE(SUBSTITUTE(SUBSTITUTE($P1425,"~","~~"),"*","~*"),"?","~?")))</f>
        <v>0.0</v>
      </c>
      <c r="G1425" s="10">
        <f>IF($C1425=0,"",COUNTIFS('DEF_SELF_SCOUT_IMPORT'!$L$42:$L$1040,"Y",'DEF_SELF_SCOUT_IMPORT'!$E$42:$E$1040,SUBSTITUTE(SUBSTITUTE(SUBSTITUTE($B1425,"~","~~"),"*","~*"),"?","~?"),'DEF_SELF_SCOUT_IMPORT'!$D$42:$D$1040,SUBSTITUTE(SUBSTITUTE(SUBSTITUTE($P1425,"~","~~"),"*","~*"),"?","~?"),'DEF_SELF_SCOUT_IMPORT'!$H$42:$H$1040,"RUSH")/$C1425)</f>
        <v>0.0</v>
      </c>
      <c r="H1425" s="10">
        <f>IF($C1425=0,"",COUNTIFS('DEF_SELF_SCOUT_IMPORT'!$L$42:$L$1040,"Y",'DEF_SELF_SCOUT_IMPORT'!$E$42:$E$1040,SUBSTITUTE(SUBSTITUTE(SUBSTITUTE($B1425,"~","~~"),"*","~*"),"?","~?"),'DEF_SELF_SCOUT_IMPORT'!$D$42:$D$1040,SUBSTITUTE(SUBSTITUTE(SUBSTITUTE($P1425,"~","~~"),"*","~*"),"?","~?"),'DEF_SELF_SCOUT_IMPORT'!$H$42:$H$1040,"DROPBACK")/$C1425)</f>
        <v>1.0</v>
      </c>
      <c r="I1425" s="14" t="str">
        <f>IF(C1425=0,"",IF(C1425&lt;=2,"TRACK",IF(C1425=3,"LOW",IF(C1425&lt;=6,"MEDIUM","HIGH"))))</f>
        <v>TRACK</v>
      </c>
      <c r="J1425" s="11">
        <f>IF(C1425=0,"",ROUND(D1425*70+(1-E1425)*20+MAX(0,MIN(1,(10-F1425)/10))*10,1))</f>
        <v>100.0</v>
      </c>
      <c r="K1425" s="14" t="str">
        <f>IF(C1425=0,"No Evidence",IF(C1425&lt;=2,IF(E1425&gt;0,"Explosive Alert","Track Only"),IF(C1425=3,"Sample Watch",IF(E1425&gt;=START_HERE!$B$31,"Explosive Alert",IF(J1425&gt;=80,"Strong Candidate",IF(J1425&gt;=65,"Good Candidate",IF(J1425&gt;=50,"Mixed / Review","Problem Call")))))))</f>
        <v>Track Only</v>
      </c>
      <c r="L1425" s="9" t="str">
        <f>IF(COUNTIFS('DEF_SELF_SCOUT_IMPORT'!$L$42:$L$1040,"Y",'DEF_SELF_SCOUT_IMPORT'!$E$42:$E$1040,SUBSTITUTE(SUBSTITUTE(SUBSTITUTE($B1425,"~","~~"),"*","~*"),"?","~?"),'DEF_SELF_SCOUT_IMPORT'!$D$42:$D$1040,SUBSTITUTE(SUBSTITUTE(SUBSTITUTE($P1425,"~","~~"),"*","~*"),"?","~?"),'DEF_SELF_SCOUT_IMPORT'!$J$42:$J$1040,"")&gt;0,"Unscored clean outcome; review result tags before using score.",IF(C1425=0,"No matching defensive reps; film confirmation needed.",IF(K1425="Explosive Alert","Explosive risk; review clips before using as answer.",IF(C1425&lt;=2,"Track only; not enough sample.",IF(C1425=3,IF(E1425&gt;0,"Sample watch with explosive exposure; review clips and build the sample.",IF(J1425&gt;=65,"Good signal, but sample is limited.","Sample watch; review clips and build the sample.")),IF(K1425="Problem Call","Problem area; practice or call-sheet review.",IF(K1425="Strong Candidate","Strong call-fit candidate; confirm on film.",IF(K1425="Good Candidate","Good call-fit signal; confirm on film.","Mixed signal; review fit and execution on film."))))))))</f>
        <v>Track only; not enough sample.</v>
      </c>
      <c r="M1425" s="8"/>
      <c r="N1425" s="8"/>
      <c r="O1425" s="8"/>
      <c r="P1425" s="8" t="s">
        <v>471</v>
      </c>
      <c r="Q1425" s="8"/>
      <c r="R1425" s="8" t="s">
        <v>633</v>
      </c>
      <c r="S1425" s="2" t="s">
        <v>654</v>
      </c>
      <c r="T1425" s="2">
        <f>IF(C1425=0,0,IF(C1425&gt;=CALL_LOOKUP_BOARD!$B$7,IF(OR(K1425="Problem Call",K1425="Explosive Alert"),10000000,20000000),0)+IF(C1425&gt;=CALL_LOOKUP_BOARD!$B$7,J1425*1000+MIN(C1425,999),C1425*1000+J1425)+0.00983800)</f>
        <v>2100.009838</v>
      </c>
      <c r="U1425" s="2" t="str">
        <f>IF(C1425=0,"",IF(COUNTIFS($S$1264:$S$1440,SUBSTITUTE(SUBSTITUTE(SUBSTITUTE(S1425,"~","~~"),"*","~*"),"?","~?"),$T$1264:$T$1440,"&gt;"&amp;T1425)=0,S1425,""))</f>
        <v>3:RPO|</v>
      </c>
    </row>
    <row r="1426" spans="1:21" ht="38" customHeight="1">
      <c r="A1426" s="8" t="s">
        <v>474</v>
      </c>
      <c r="B1426" s="8" t="s">
        <v>44</v>
      </c>
      <c r="C1426" s="12">
        <f>COUNTIFS('DEF_SELF_SCOUT_IMPORT'!$L$42:$L$1040,"Y",'DEF_SELF_SCOUT_IMPORT'!$E$42:$E$1040,SUBSTITUTE(SUBSTITUTE(SUBSTITUTE($B1426,"~","~~"),"*","~*"),"?","~?"),'DEF_SELF_SCOUT_IMPORT'!$D$42:$D$1040,SUBSTITUTE(SUBSTITUTE(SUBSTITUTE($P1426,"~","~~"),"*","~*"),"?","~?"))</f>
        <v>1</v>
      </c>
      <c r="D1426" s="10">
        <f>IF($C1426=0,"",SUMIFS('DEF_SELF_SCOUT_IMPORT'!$J$42:$J$1040,'DEF_SELF_SCOUT_IMPORT'!$L$42:$L$1040,"Y",'DEF_SELF_SCOUT_IMPORT'!$E$42:$E$1040,SUBSTITUTE(SUBSTITUTE(SUBSTITUTE($B1426,"~","~~"),"*","~*"),"?","~?"),'DEF_SELF_SCOUT_IMPORT'!$D$42:$D$1040,SUBSTITUTE(SUBSTITUTE(SUBSTITUTE($P1426,"~","~~"),"*","~*"),"?","~?"))/$C1426)</f>
        <v>1.0</v>
      </c>
      <c r="E1426" s="10">
        <f>IF($C1426=0,"",SUMIFS('DEF_SELF_SCOUT_IMPORT'!$K$42:$K$1040,'DEF_SELF_SCOUT_IMPORT'!$L$42:$L$1040,"Y",'DEF_SELF_SCOUT_IMPORT'!$E$42:$E$1040,SUBSTITUTE(SUBSTITUTE(SUBSTITUTE($B1426,"~","~~"),"*","~*"),"?","~?"),'DEF_SELF_SCOUT_IMPORT'!$D$42:$D$1040,SUBSTITUTE(SUBSTITUTE(SUBSTITUTE($P1426,"~","~~"),"*","~*"),"?","~?"))/$C1426)</f>
        <v>0.0</v>
      </c>
      <c r="F1426" s="11">
        <f>IF($C1426=0,"",AVERAGEIFS('DEF_SELF_SCOUT_IMPORT'!$I$42:$I$1040,'DEF_SELF_SCOUT_IMPORT'!$L$42:$L$1040,"Y",'DEF_SELF_SCOUT_IMPORT'!$E$42:$E$1040,SUBSTITUTE(SUBSTITUTE(SUBSTITUTE($B1426,"~","~~"),"*","~*"),"?","~?"),'DEF_SELF_SCOUT_IMPORT'!$D$42:$D$1040,SUBSTITUTE(SUBSTITUTE(SUBSTITUTE($P1426,"~","~~"),"*","~*"),"?","~?")))</f>
        <v>0.0</v>
      </c>
      <c r="G1426" s="10">
        <f>IF($C1426=0,"",COUNTIFS('DEF_SELF_SCOUT_IMPORT'!$L$42:$L$1040,"Y",'DEF_SELF_SCOUT_IMPORT'!$E$42:$E$1040,SUBSTITUTE(SUBSTITUTE(SUBSTITUTE($B1426,"~","~~"),"*","~*"),"?","~?"),'DEF_SELF_SCOUT_IMPORT'!$D$42:$D$1040,SUBSTITUTE(SUBSTITUTE(SUBSTITUTE($P1426,"~","~~"),"*","~*"),"?","~?"),'DEF_SELF_SCOUT_IMPORT'!$H$42:$H$1040,"RUSH")/$C1426)</f>
        <v>0.0</v>
      </c>
      <c r="H1426" s="10">
        <f>IF($C1426=0,"",COUNTIFS('DEF_SELF_SCOUT_IMPORT'!$L$42:$L$1040,"Y",'DEF_SELF_SCOUT_IMPORT'!$E$42:$E$1040,SUBSTITUTE(SUBSTITUTE(SUBSTITUTE($B1426,"~","~~"),"*","~*"),"?","~?"),'DEF_SELF_SCOUT_IMPORT'!$D$42:$D$1040,SUBSTITUTE(SUBSTITUTE(SUBSTITUTE($P1426,"~","~~"),"*","~*"),"?","~?"),'DEF_SELF_SCOUT_IMPORT'!$H$42:$H$1040,"DROPBACK")/$C1426)</f>
        <v>1.0</v>
      </c>
      <c r="I1426" s="14" t="str">
        <f>IF(C1426=0,"",IF(C1426&lt;=2,"TRACK",IF(C1426=3,"LOW",IF(C1426&lt;=6,"MEDIUM","HIGH"))))</f>
        <v>TRACK</v>
      </c>
      <c r="J1426" s="11">
        <f>IF(C1426=0,"",ROUND(D1426*70+(1-E1426)*20+MAX(0,MIN(1,(10-F1426)/10))*10,1))</f>
        <v>100.0</v>
      </c>
      <c r="K1426" s="14" t="str">
        <f>IF(C1426=0,"No Evidence",IF(C1426&lt;=2,IF(E1426&gt;0,"Explosive Alert","Track Only"),IF(C1426=3,"Sample Watch",IF(E1426&gt;=START_HERE!$B$31,"Explosive Alert",IF(J1426&gt;=80,"Strong Candidate",IF(J1426&gt;=65,"Good Candidate",IF(J1426&gt;=50,"Mixed / Review","Problem Call")))))))</f>
        <v>Track Only</v>
      </c>
      <c r="L1426" s="9" t="str">
        <f>IF(COUNTIFS('DEF_SELF_SCOUT_IMPORT'!$L$42:$L$1040,"Y",'DEF_SELF_SCOUT_IMPORT'!$E$42:$E$1040,SUBSTITUTE(SUBSTITUTE(SUBSTITUTE($B1426,"~","~~"),"*","~*"),"?","~?"),'DEF_SELF_SCOUT_IMPORT'!$D$42:$D$1040,SUBSTITUTE(SUBSTITUTE(SUBSTITUTE($P1426,"~","~~"),"*","~*"),"?","~?"),'DEF_SELF_SCOUT_IMPORT'!$J$42:$J$1040,"")&gt;0,"Unscored clean outcome; review result tags before using score.",IF(C1426=0,"No matching defensive reps; film confirmation needed.",IF(K1426="Explosive Alert","Explosive risk; review clips before using as answer.",IF(C1426&lt;=2,"Track only; not enough sample.",IF(C1426=3,IF(E1426&gt;0,"Sample watch with explosive exposure; review clips and build the sample.",IF(J1426&gt;=65,"Good signal, but sample is limited.","Sample watch; review clips and build the sample.")),IF(K1426="Problem Call","Problem area; practice or call-sheet review.",IF(K1426="Strong Candidate","Strong call-fit candidate; confirm on film.",IF(K1426="Good Candidate","Good call-fit signal; confirm on film.","Mixed signal; review fit and execution on film."))))))))</f>
        <v>Track only; not enough sample.</v>
      </c>
      <c r="M1426" s="8"/>
      <c r="N1426" s="8"/>
      <c r="O1426" s="8"/>
      <c r="P1426" s="8" t="s">
        <v>474</v>
      </c>
      <c r="Q1426" s="8"/>
      <c r="R1426" s="8" t="s">
        <v>633</v>
      </c>
      <c r="S1426" s="2" t="s">
        <v>655</v>
      </c>
      <c r="T1426" s="2">
        <f>IF(C1426=0,0,IF(C1426&gt;=CALL_LOOKUP_BOARD!$B$7,IF(OR(K1426="Problem Call",K1426="Explosive Alert"),10000000,20000000),0)+IF(C1426&gt;=CALL_LOOKUP_BOARD!$B$7,J1426*1000+MIN(C1426,999),C1426*1000+J1426)+0.00983700)</f>
        <v>1100.009837</v>
      </c>
      <c r="U1426" s="2" t="str">
        <f>IF(C1426=0,"",IF(COUNTIFS($S$1264:$S$1440,SUBSTITUTE(SUBSTITUTE(SUBSTITUTE(S1426,"~","~~"),"*","~*"),"?","~?"),$T$1264:$T$1440,"&gt;"&amp;T1426)=0,S1426,""))</f>
        <v>6:SCREEN|</v>
      </c>
    </row>
    <row r="1427" spans="1:21" ht="38" customHeight="1">
      <c r="A1427" s="8" t="s">
        <v>474</v>
      </c>
      <c r="B1427" s="8" t="s">
        <v>97</v>
      </c>
      <c r="C1427" s="12">
        <f>COUNTIFS('DEF_SELF_SCOUT_IMPORT'!$L$42:$L$1040,"Y",'DEF_SELF_SCOUT_IMPORT'!$E$42:$E$1040,SUBSTITUTE(SUBSTITUTE(SUBSTITUTE($B1427,"~","~~"),"*","~*"),"?","~?"),'DEF_SELF_SCOUT_IMPORT'!$D$42:$D$1040,SUBSTITUTE(SUBSTITUTE(SUBSTITUTE($P1427,"~","~~"),"*","~*"),"?","~?"))</f>
        <v>1</v>
      </c>
      <c r="D1427" s="10">
        <f>IF($C1427=0,"",SUMIFS('DEF_SELF_SCOUT_IMPORT'!$J$42:$J$1040,'DEF_SELF_SCOUT_IMPORT'!$L$42:$L$1040,"Y",'DEF_SELF_SCOUT_IMPORT'!$E$42:$E$1040,SUBSTITUTE(SUBSTITUTE(SUBSTITUTE($B1427,"~","~~"),"*","~*"),"?","~?"),'DEF_SELF_SCOUT_IMPORT'!$D$42:$D$1040,SUBSTITUTE(SUBSTITUTE(SUBSTITUTE($P1427,"~","~~"),"*","~*"),"?","~?"))/$C1427)</f>
        <v>1.0</v>
      </c>
      <c r="E1427" s="10">
        <f>IF($C1427=0,"",SUMIFS('DEF_SELF_SCOUT_IMPORT'!$K$42:$K$1040,'DEF_SELF_SCOUT_IMPORT'!$L$42:$L$1040,"Y",'DEF_SELF_SCOUT_IMPORT'!$E$42:$E$1040,SUBSTITUTE(SUBSTITUTE(SUBSTITUTE($B1427,"~","~~"),"*","~*"),"?","~?"),'DEF_SELF_SCOUT_IMPORT'!$D$42:$D$1040,SUBSTITUTE(SUBSTITUTE(SUBSTITUTE($P1427,"~","~~"),"*","~*"),"?","~?"))/$C1427)</f>
        <v>0.0</v>
      </c>
      <c r="F1427" s="11">
        <f>IF($C1427=0,"",AVERAGEIFS('DEF_SELF_SCOUT_IMPORT'!$I$42:$I$1040,'DEF_SELF_SCOUT_IMPORT'!$L$42:$L$1040,"Y",'DEF_SELF_SCOUT_IMPORT'!$E$42:$E$1040,SUBSTITUTE(SUBSTITUTE(SUBSTITUTE($B1427,"~","~~"),"*","~*"),"?","~?"),'DEF_SELF_SCOUT_IMPORT'!$D$42:$D$1040,SUBSTITUTE(SUBSTITUTE(SUBSTITUTE($P1427,"~","~~"),"*","~*"),"?","~?")))</f>
        <v>4.0</v>
      </c>
      <c r="G1427" s="10">
        <f>IF($C1427=0,"",COUNTIFS('DEF_SELF_SCOUT_IMPORT'!$L$42:$L$1040,"Y",'DEF_SELF_SCOUT_IMPORT'!$E$42:$E$1040,SUBSTITUTE(SUBSTITUTE(SUBSTITUTE($B1427,"~","~~"),"*","~*"),"?","~?"),'DEF_SELF_SCOUT_IMPORT'!$D$42:$D$1040,SUBSTITUTE(SUBSTITUTE(SUBSTITUTE($P1427,"~","~~"),"*","~*"),"?","~?"),'DEF_SELF_SCOUT_IMPORT'!$H$42:$H$1040,"RUSH")/$C1427)</f>
        <v>0.0</v>
      </c>
      <c r="H1427" s="10">
        <f>IF($C1427=0,"",COUNTIFS('DEF_SELF_SCOUT_IMPORT'!$L$42:$L$1040,"Y",'DEF_SELF_SCOUT_IMPORT'!$E$42:$E$1040,SUBSTITUTE(SUBSTITUTE(SUBSTITUTE($B1427,"~","~~"),"*","~*"),"?","~?"),'DEF_SELF_SCOUT_IMPORT'!$D$42:$D$1040,SUBSTITUTE(SUBSTITUTE(SUBSTITUTE($P1427,"~","~~"),"*","~*"),"?","~?"),'DEF_SELF_SCOUT_IMPORT'!$H$42:$H$1040,"DROPBACK")/$C1427)</f>
        <v>1.0</v>
      </c>
      <c r="I1427" s="14" t="str">
        <f>IF(C1427=0,"",IF(C1427&lt;=2,"TRACK",IF(C1427=3,"LOW",IF(C1427&lt;=6,"MEDIUM","HIGH"))))</f>
        <v>TRACK</v>
      </c>
      <c r="J1427" s="11">
        <f>IF(C1427=0,"",ROUND(D1427*70+(1-E1427)*20+MAX(0,MIN(1,(10-F1427)/10))*10,1))</f>
        <v>96.0</v>
      </c>
      <c r="K1427" s="14" t="str">
        <f>IF(C1427=0,"No Evidence",IF(C1427&lt;=2,IF(E1427&gt;0,"Explosive Alert","Track Only"),IF(C1427=3,"Sample Watch",IF(E1427&gt;=START_HERE!$B$31,"Explosive Alert",IF(J1427&gt;=80,"Strong Candidate",IF(J1427&gt;=65,"Good Candidate",IF(J1427&gt;=50,"Mixed / Review","Problem Call")))))))</f>
        <v>Track Only</v>
      </c>
      <c r="L1427" s="9" t="str">
        <f>IF(COUNTIFS('DEF_SELF_SCOUT_IMPORT'!$L$42:$L$1040,"Y",'DEF_SELF_SCOUT_IMPORT'!$E$42:$E$1040,SUBSTITUTE(SUBSTITUTE(SUBSTITUTE($B1427,"~","~~"),"*","~*"),"?","~?"),'DEF_SELF_SCOUT_IMPORT'!$D$42:$D$1040,SUBSTITUTE(SUBSTITUTE(SUBSTITUTE($P1427,"~","~~"),"*","~*"),"?","~?"),'DEF_SELF_SCOUT_IMPORT'!$J$42:$J$1040,"")&gt;0,"Unscored clean outcome; review result tags before using score.",IF(C1427=0,"No matching defensive reps; film confirmation needed.",IF(K1427="Explosive Alert","Explosive risk; review clips before using as answer.",IF(C1427&lt;=2,"Track only; not enough sample.",IF(C1427=3,IF(E1427&gt;0,"Sample watch with explosive exposure; review clips and build the sample.",IF(J1427&gt;=65,"Good signal, but sample is limited.","Sample watch; review clips and build the sample.")),IF(K1427="Problem Call","Problem area; practice or call-sheet review.",IF(K1427="Strong Candidate","Strong call-fit candidate; confirm on film.",IF(K1427="Good Candidate","Good call-fit signal; confirm on film.","Mixed signal; review fit and execution on film."))))))))</f>
        <v>Track only; not enough sample.</v>
      </c>
      <c r="M1427" s="8"/>
      <c r="N1427" s="8"/>
      <c r="O1427" s="8"/>
      <c r="P1427" s="8" t="s">
        <v>474</v>
      </c>
      <c r="Q1427" s="8"/>
      <c r="R1427" s="8" t="s">
        <v>633</v>
      </c>
      <c r="S1427" s="2" t="s">
        <v>655</v>
      </c>
      <c r="T1427" s="2">
        <f>IF(C1427=0,0,IF(C1427&gt;=CALL_LOOKUP_BOARD!$B$7,IF(OR(K1427="Problem Call",K1427="Explosive Alert"),10000000,20000000),0)+IF(C1427&gt;=CALL_LOOKUP_BOARD!$B$7,J1427*1000+MIN(C1427,999),C1427*1000+J1427)+0.00983600)</f>
        <v>1096.009836</v>
      </c>
      <c r="U1427" s="2">
        <f>IF(C1427=0,"",IF(COUNTIFS($S$1264:$S$1440,SUBSTITUTE(SUBSTITUTE(SUBSTITUTE(S1427,"~","~~"),"*","~*"),"?","~?"),$T$1264:$T$1440,"&gt;"&amp;T1427)=0,S1427,""))</f>
        <v/>
      </c>
    </row>
    <row r="1428" spans="1:21" ht="38" customHeight="1">
      <c r="A1428" s="8" t="s">
        <v>474</v>
      </c>
      <c r="B1428" s="8" t="s">
        <v>54</v>
      </c>
      <c r="C1428" s="12">
        <f>COUNTIFS('DEF_SELF_SCOUT_IMPORT'!$L$42:$L$1040,"Y",'DEF_SELF_SCOUT_IMPORT'!$E$42:$E$1040,SUBSTITUTE(SUBSTITUTE(SUBSTITUTE($B1428,"~","~~"),"*","~*"),"?","~?"),'DEF_SELF_SCOUT_IMPORT'!$D$42:$D$1040,SUBSTITUTE(SUBSTITUTE(SUBSTITUTE($P1428,"~","~~"),"*","~*"),"?","~?"))</f>
        <v>1</v>
      </c>
      <c r="D1428" s="10">
        <f>IF($C1428=0,"",SUMIFS('DEF_SELF_SCOUT_IMPORT'!$J$42:$J$1040,'DEF_SELF_SCOUT_IMPORT'!$L$42:$L$1040,"Y",'DEF_SELF_SCOUT_IMPORT'!$E$42:$E$1040,SUBSTITUTE(SUBSTITUTE(SUBSTITUTE($B1428,"~","~~"),"*","~*"),"?","~?"),'DEF_SELF_SCOUT_IMPORT'!$D$42:$D$1040,SUBSTITUTE(SUBSTITUTE(SUBSTITUTE($P1428,"~","~~"),"*","~*"),"?","~?"))/$C1428)</f>
        <v>1.0</v>
      </c>
      <c r="E1428" s="10">
        <f>IF($C1428=0,"",SUMIFS('DEF_SELF_SCOUT_IMPORT'!$K$42:$K$1040,'DEF_SELF_SCOUT_IMPORT'!$L$42:$L$1040,"Y",'DEF_SELF_SCOUT_IMPORT'!$E$42:$E$1040,SUBSTITUTE(SUBSTITUTE(SUBSTITUTE($B1428,"~","~~"),"*","~*"),"?","~?"),'DEF_SELF_SCOUT_IMPORT'!$D$42:$D$1040,SUBSTITUTE(SUBSTITUTE(SUBSTITUTE($P1428,"~","~~"),"*","~*"),"?","~?"))/$C1428)</f>
        <v>0.0</v>
      </c>
      <c r="F1428" s="11">
        <f>IF($C1428=0,"",AVERAGEIFS('DEF_SELF_SCOUT_IMPORT'!$I$42:$I$1040,'DEF_SELF_SCOUT_IMPORT'!$L$42:$L$1040,"Y",'DEF_SELF_SCOUT_IMPORT'!$E$42:$E$1040,SUBSTITUTE(SUBSTITUTE(SUBSTITUTE($B1428,"~","~~"),"*","~*"),"?","~?"),'DEF_SELF_SCOUT_IMPORT'!$D$42:$D$1040,SUBSTITUTE(SUBSTITUTE(SUBSTITUTE($P1428,"~","~~"),"*","~*"),"?","~?")))</f>
        <v>3.0</v>
      </c>
      <c r="G1428" s="10">
        <f>IF($C1428=0,"",COUNTIFS('DEF_SELF_SCOUT_IMPORT'!$L$42:$L$1040,"Y",'DEF_SELF_SCOUT_IMPORT'!$E$42:$E$1040,SUBSTITUTE(SUBSTITUTE(SUBSTITUTE($B1428,"~","~~"),"*","~*"),"?","~?"),'DEF_SELF_SCOUT_IMPORT'!$D$42:$D$1040,SUBSTITUTE(SUBSTITUTE(SUBSTITUTE($P1428,"~","~~"),"*","~*"),"?","~?"),'DEF_SELF_SCOUT_IMPORT'!$H$42:$H$1040,"RUSH")/$C1428)</f>
        <v>0.0</v>
      </c>
      <c r="H1428" s="10">
        <f>IF($C1428=0,"",COUNTIFS('DEF_SELF_SCOUT_IMPORT'!$L$42:$L$1040,"Y",'DEF_SELF_SCOUT_IMPORT'!$E$42:$E$1040,SUBSTITUTE(SUBSTITUTE(SUBSTITUTE($B1428,"~","~~"),"*","~*"),"?","~?"),'DEF_SELF_SCOUT_IMPORT'!$D$42:$D$1040,SUBSTITUTE(SUBSTITUTE(SUBSTITUTE($P1428,"~","~~"),"*","~*"),"?","~?"),'DEF_SELF_SCOUT_IMPORT'!$H$42:$H$1040,"DROPBACK")/$C1428)</f>
        <v>1.0</v>
      </c>
      <c r="I1428" s="14" t="str">
        <f>IF(C1428=0,"",IF(C1428&lt;=2,"TRACK",IF(C1428=3,"LOW",IF(C1428&lt;=6,"MEDIUM","HIGH"))))</f>
        <v>TRACK</v>
      </c>
      <c r="J1428" s="11">
        <f>IF(C1428=0,"",ROUND(D1428*70+(1-E1428)*20+MAX(0,MIN(1,(10-F1428)/10))*10,1))</f>
        <v>97.0</v>
      </c>
      <c r="K1428" s="14" t="str">
        <f>IF(C1428=0,"No Evidence",IF(C1428&lt;=2,IF(E1428&gt;0,"Explosive Alert","Track Only"),IF(C1428=3,"Sample Watch",IF(E1428&gt;=START_HERE!$B$31,"Explosive Alert",IF(J1428&gt;=80,"Strong Candidate",IF(J1428&gt;=65,"Good Candidate",IF(J1428&gt;=50,"Mixed / Review","Problem Call")))))))</f>
        <v>Track Only</v>
      </c>
      <c r="L1428" s="9" t="str">
        <f>IF(COUNTIFS('DEF_SELF_SCOUT_IMPORT'!$L$42:$L$1040,"Y",'DEF_SELF_SCOUT_IMPORT'!$E$42:$E$1040,SUBSTITUTE(SUBSTITUTE(SUBSTITUTE($B1428,"~","~~"),"*","~*"),"?","~?"),'DEF_SELF_SCOUT_IMPORT'!$D$42:$D$1040,SUBSTITUTE(SUBSTITUTE(SUBSTITUTE($P1428,"~","~~"),"*","~*"),"?","~?"),'DEF_SELF_SCOUT_IMPORT'!$J$42:$J$1040,"")&gt;0,"Unscored clean outcome; review result tags before using score.",IF(C1428=0,"No matching defensive reps; film confirmation needed.",IF(K1428="Explosive Alert","Explosive risk; review clips before using as answer.",IF(C1428&lt;=2,"Track only; not enough sample.",IF(C1428=3,IF(E1428&gt;0,"Sample watch with explosive exposure; review clips and build the sample.",IF(J1428&gt;=65,"Good signal, but sample is limited.","Sample watch; review clips and build the sample.")),IF(K1428="Problem Call","Problem area; practice or call-sheet review.",IF(K1428="Strong Candidate","Strong call-fit candidate; confirm on film.",IF(K1428="Good Candidate","Good call-fit signal; confirm on film.","Mixed signal; review fit and execution on film."))))))))</f>
        <v>Track only; not enough sample.</v>
      </c>
      <c r="M1428" s="8"/>
      <c r="N1428" s="8"/>
      <c r="O1428" s="8"/>
      <c r="P1428" s="8" t="s">
        <v>474</v>
      </c>
      <c r="Q1428" s="8"/>
      <c r="R1428" s="8" t="s">
        <v>633</v>
      </c>
      <c r="S1428" s="2" t="s">
        <v>655</v>
      </c>
      <c r="T1428" s="2">
        <f>IF(C1428=0,0,IF(C1428&gt;=CALL_LOOKUP_BOARD!$B$7,IF(OR(K1428="Problem Call",K1428="Explosive Alert"),10000000,20000000),0)+IF(C1428&gt;=CALL_LOOKUP_BOARD!$B$7,J1428*1000+MIN(C1428,999),C1428*1000+J1428)+0.00983500)</f>
        <v>1097.009835</v>
      </c>
      <c r="U1428" s="2">
        <f>IF(C1428=0,"",IF(COUNTIFS($S$1264:$S$1440,SUBSTITUTE(SUBSTITUTE(SUBSTITUTE(S1428,"~","~~"),"*","~*"),"?","~?"),$T$1264:$T$1440,"&gt;"&amp;T1428)=0,S1428,""))</f>
        <v/>
      </c>
    </row>
    <row r="1429" spans="1:21" ht="38" customHeight="1">
      <c r="A1429" s="8" t="s">
        <v>474</v>
      </c>
      <c r="B1429" s="8" t="s">
        <v>102</v>
      </c>
      <c r="C1429" s="12">
        <f>COUNTIFS('DEF_SELF_SCOUT_IMPORT'!$L$42:$L$1040,"Y",'DEF_SELF_SCOUT_IMPORT'!$E$42:$E$1040,SUBSTITUTE(SUBSTITUTE(SUBSTITUTE($B1429,"~","~~"),"*","~*"),"?","~?"),'DEF_SELF_SCOUT_IMPORT'!$D$42:$D$1040,SUBSTITUTE(SUBSTITUTE(SUBSTITUTE($P1429,"~","~~"),"*","~*"),"?","~?"))</f>
        <v>1</v>
      </c>
      <c r="D1429" s="10">
        <f>IF($C1429=0,"",SUMIFS('DEF_SELF_SCOUT_IMPORT'!$J$42:$J$1040,'DEF_SELF_SCOUT_IMPORT'!$L$42:$L$1040,"Y",'DEF_SELF_SCOUT_IMPORT'!$E$42:$E$1040,SUBSTITUTE(SUBSTITUTE(SUBSTITUTE($B1429,"~","~~"),"*","~*"),"?","~?"),'DEF_SELF_SCOUT_IMPORT'!$D$42:$D$1040,SUBSTITUTE(SUBSTITUTE(SUBSTITUTE($P1429,"~","~~"),"*","~*"),"?","~?"))/$C1429)</f>
        <v>1.0</v>
      </c>
      <c r="E1429" s="10">
        <f>IF($C1429=0,"",SUMIFS('DEF_SELF_SCOUT_IMPORT'!$K$42:$K$1040,'DEF_SELF_SCOUT_IMPORT'!$L$42:$L$1040,"Y",'DEF_SELF_SCOUT_IMPORT'!$E$42:$E$1040,SUBSTITUTE(SUBSTITUTE(SUBSTITUTE($B1429,"~","~~"),"*","~*"),"?","~?"),'DEF_SELF_SCOUT_IMPORT'!$D$42:$D$1040,SUBSTITUTE(SUBSTITUTE(SUBSTITUTE($P1429,"~","~~"),"*","~*"),"?","~?"))/$C1429)</f>
        <v>0.0</v>
      </c>
      <c r="F1429" s="11">
        <f>IF($C1429=0,"",AVERAGEIFS('DEF_SELF_SCOUT_IMPORT'!$I$42:$I$1040,'DEF_SELF_SCOUT_IMPORT'!$L$42:$L$1040,"Y",'DEF_SELF_SCOUT_IMPORT'!$E$42:$E$1040,SUBSTITUTE(SUBSTITUTE(SUBSTITUTE($B1429,"~","~~"),"*","~*"),"?","~?"),'DEF_SELF_SCOUT_IMPORT'!$D$42:$D$1040,SUBSTITUTE(SUBSTITUTE(SUBSTITUTE($P1429,"~","~~"),"*","~*"),"?","~?")))</f>
        <v>1.0</v>
      </c>
      <c r="G1429" s="10">
        <f>IF($C1429=0,"",COUNTIFS('DEF_SELF_SCOUT_IMPORT'!$L$42:$L$1040,"Y",'DEF_SELF_SCOUT_IMPORT'!$E$42:$E$1040,SUBSTITUTE(SUBSTITUTE(SUBSTITUTE($B1429,"~","~~"),"*","~*"),"?","~?"),'DEF_SELF_SCOUT_IMPORT'!$D$42:$D$1040,SUBSTITUTE(SUBSTITUTE(SUBSTITUTE($P1429,"~","~~"),"*","~*"),"?","~?"),'DEF_SELF_SCOUT_IMPORT'!$H$42:$H$1040,"RUSH")/$C1429)</f>
        <v>0.0</v>
      </c>
      <c r="H1429" s="10">
        <f>IF($C1429=0,"",COUNTIFS('DEF_SELF_SCOUT_IMPORT'!$L$42:$L$1040,"Y",'DEF_SELF_SCOUT_IMPORT'!$E$42:$E$1040,SUBSTITUTE(SUBSTITUTE(SUBSTITUTE($B1429,"~","~~"),"*","~*"),"?","~?"),'DEF_SELF_SCOUT_IMPORT'!$D$42:$D$1040,SUBSTITUTE(SUBSTITUTE(SUBSTITUTE($P1429,"~","~~"),"*","~*"),"?","~?"),'DEF_SELF_SCOUT_IMPORT'!$H$42:$H$1040,"DROPBACK")/$C1429)</f>
        <v>1.0</v>
      </c>
      <c r="I1429" s="14" t="str">
        <f>IF(C1429=0,"",IF(C1429&lt;=2,"TRACK",IF(C1429=3,"LOW",IF(C1429&lt;=6,"MEDIUM","HIGH"))))</f>
        <v>TRACK</v>
      </c>
      <c r="J1429" s="11">
        <f>IF(C1429=0,"",ROUND(D1429*70+(1-E1429)*20+MAX(0,MIN(1,(10-F1429)/10))*10,1))</f>
        <v>99.0</v>
      </c>
      <c r="K1429" s="14" t="str">
        <f>IF(C1429=0,"No Evidence",IF(C1429&lt;=2,IF(E1429&gt;0,"Explosive Alert","Track Only"),IF(C1429=3,"Sample Watch",IF(E1429&gt;=START_HERE!$B$31,"Explosive Alert",IF(J1429&gt;=80,"Strong Candidate",IF(J1429&gt;=65,"Good Candidate",IF(J1429&gt;=50,"Mixed / Review","Problem Call")))))))</f>
        <v>Track Only</v>
      </c>
      <c r="L1429" s="9" t="str">
        <f>IF(COUNTIFS('DEF_SELF_SCOUT_IMPORT'!$L$42:$L$1040,"Y",'DEF_SELF_SCOUT_IMPORT'!$E$42:$E$1040,SUBSTITUTE(SUBSTITUTE(SUBSTITUTE($B1429,"~","~~"),"*","~*"),"?","~?"),'DEF_SELF_SCOUT_IMPORT'!$D$42:$D$1040,SUBSTITUTE(SUBSTITUTE(SUBSTITUTE($P1429,"~","~~"),"*","~*"),"?","~?"),'DEF_SELF_SCOUT_IMPORT'!$J$42:$J$1040,"")&gt;0,"Unscored clean outcome; review result tags before using score.",IF(C1429=0,"No matching defensive reps; film confirmation needed.",IF(K1429="Explosive Alert","Explosive risk; review clips before using as answer.",IF(C1429&lt;=2,"Track only; not enough sample.",IF(C1429=3,IF(E1429&gt;0,"Sample watch with explosive exposure; review clips and build the sample.",IF(J1429&gt;=65,"Good signal, but sample is limited.","Sample watch; review clips and build the sample.")),IF(K1429="Problem Call","Problem area; practice or call-sheet review.",IF(K1429="Strong Candidate","Strong call-fit candidate; confirm on film.",IF(K1429="Good Candidate","Good call-fit signal; confirm on film.","Mixed signal; review fit and execution on film."))))))))</f>
        <v>Track only; not enough sample.</v>
      </c>
      <c r="M1429" s="8"/>
      <c r="N1429" s="8"/>
      <c r="O1429" s="8"/>
      <c r="P1429" s="8" t="s">
        <v>474</v>
      </c>
      <c r="Q1429" s="8"/>
      <c r="R1429" s="8" t="s">
        <v>633</v>
      </c>
      <c r="S1429" s="2" t="s">
        <v>655</v>
      </c>
      <c r="T1429" s="2">
        <f>IF(C1429=0,0,IF(C1429&gt;=CALL_LOOKUP_BOARD!$B$7,IF(OR(K1429="Problem Call",K1429="Explosive Alert"),10000000,20000000),0)+IF(C1429&gt;=CALL_LOOKUP_BOARD!$B$7,J1429*1000+MIN(C1429,999),C1429*1000+J1429)+0.00983400)</f>
        <v>1099.009834</v>
      </c>
      <c r="U1429" s="2">
        <f>IF(C1429=0,"",IF(COUNTIFS($S$1264:$S$1440,SUBSTITUTE(SUBSTITUTE(SUBSTITUTE(S1429,"~","~~"),"*","~*"),"?","~?"),$T$1264:$T$1440,"&gt;"&amp;T1429)=0,S1429,""))</f>
        <v/>
      </c>
    </row>
    <row r="1430" spans="1:21" ht="38" customHeight="1">
      <c r="A1430" s="8" t="s">
        <v>443</v>
      </c>
      <c r="B1430" s="8" t="s">
        <v>35</v>
      </c>
      <c r="C1430" s="12">
        <f>COUNTIFS('DEF_SELF_SCOUT_IMPORT'!$L$42:$L$1040,"Y",'DEF_SELF_SCOUT_IMPORT'!$E$42:$E$1040,SUBSTITUTE(SUBSTITUTE(SUBSTITUTE($B1430,"~","~~"),"*","~*"),"?","~?"),'DEF_SELF_SCOUT_IMPORT'!$D$42:$D$1040,SUBSTITUTE(SUBSTITUTE(SUBSTITUTE($P1430,"~","~~"),"*","~*"),"?","~?"))</f>
        <v>1</v>
      </c>
      <c r="D1430" s="10">
        <f>IF($C1430=0,"",SUMIFS('DEF_SELF_SCOUT_IMPORT'!$J$42:$J$1040,'DEF_SELF_SCOUT_IMPORT'!$L$42:$L$1040,"Y",'DEF_SELF_SCOUT_IMPORT'!$E$42:$E$1040,SUBSTITUTE(SUBSTITUTE(SUBSTITUTE($B1430,"~","~~"),"*","~*"),"?","~?"),'DEF_SELF_SCOUT_IMPORT'!$D$42:$D$1040,SUBSTITUTE(SUBSTITUTE(SUBSTITUTE($P1430,"~","~~"),"*","~*"),"?","~?"))/$C1430)</f>
        <v>1.0</v>
      </c>
      <c r="E1430" s="10">
        <f>IF($C1430=0,"",SUMIFS('DEF_SELF_SCOUT_IMPORT'!$K$42:$K$1040,'DEF_SELF_SCOUT_IMPORT'!$L$42:$L$1040,"Y",'DEF_SELF_SCOUT_IMPORT'!$E$42:$E$1040,SUBSTITUTE(SUBSTITUTE(SUBSTITUTE($B1430,"~","~~"),"*","~*"),"?","~?"),'DEF_SELF_SCOUT_IMPORT'!$D$42:$D$1040,SUBSTITUTE(SUBSTITUTE(SUBSTITUTE($P1430,"~","~~"),"*","~*"),"?","~?"))/$C1430)</f>
        <v>0.0</v>
      </c>
      <c r="F1430" s="11">
        <f>IF($C1430=0,"",AVERAGEIFS('DEF_SELF_SCOUT_IMPORT'!$I$42:$I$1040,'DEF_SELF_SCOUT_IMPORT'!$L$42:$L$1040,"Y",'DEF_SELF_SCOUT_IMPORT'!$E$42:$E$1040,SUBSTITUTE(SUBSTITUTE(SUBSTITUTE($B1430,"~","~~"),"*","~*"),"?","~?"),'DEF_SELF_SCOUT_IMPORT'!$D$42:$D$1040,SUBSTITUTE(SUBSTITUTE(SUBSTITUTE($P1430,"~","~~"),"*","~*"),"?","~?")))</f>
        <v>5.0</v>
      </c>
      <c r="G1430" s="10">
        <f>IF($C1430=0,"",COUNTIFS('DEF_SELF_SCOUT_IMPORT'!$L$42:$L$1040,"Y",'DEF_SELF_SCOUT_IMPORT'!$E$42:$E$1040,SUBSTITUTE(SUBSTITUTE(SUBSTITUTE($B1430,"~","~~"),"*","~*"),"?","~?"),'DEF_SELF_SCOUT_IMPORT'!$D$42:$D$1040,SUBSTITUTE(SUBSTITUTE(SUBSTITUTE($P1430,"~","~~"),"*","~*"),"?","~?"),'DEF_SELF_SCOUT_IMPORT'!$H$42:$H$1040,"RUSH")/$C1430)</f>
        <v>0.0</v>
      </c>
      <c r="H1430" s="10">
        <f>IF($C1430=0,"",COUNTIFS('DEF_SELF_SCOUT_IMPORT'!$L$42:$L$1040,"Y",'DEF_SELF_SCOUT_IMPORT'!$E$42:$E$1040,SUBSTITUTE(SUBSTITUTE(SUBSTITUTE($B1430,"~","~~"),"*","~*"),"?","~?"),'DEF_SELF_SCOUT_IMPORT'!$D$42:$D$1040,SUBSTITUTE(SUBSTITUTE(SUBSTITUTE($P1430,"~","~~"),"*","~*"),"?","~?"),'DEF_SELF_SCOUT_IMPORT'!$H$42:$H$1040,"DROPBACK")/$C1430)</f>
        <v>1.0</v>
      </c>
      <c r="I1430" s="14" t="str">
        <f>IF(C1430=0,"",IF(C1430&lt;=2,"TRACK",IF(C1430=3,"LOW",IF(C1430&lt;=6,"MEDIUM","HIGH"))))</f>
        <v>TRACK</v>
      </c>
      <c r="J1430" s="11">
        <f>IF(C1430=0,"",ROUND(D1430*70+(1-E1430)*20+MAX(0,MIN(1,(10-F1430)/10))*10,1))</f>
        <v>95.0</v>
      </c>
      <c r="K1430" s="14" t="str">
        <f>IF(C1430=0,"No Evidence",IF(C1430&lt;=2,IF(E1430&gt;0,"Explosive Alert","Track Only"),IF(C1430=3,"Sample Watch",IF(E1430&gt;=START_HERE!$B$31,"Explosive Alert",IF(J1430&gt;=80,"Strong Candidate",IF(J1430&gt;=65,"Good Candidate",IF(J1430&gt;=50,"Mixed / Review","Problem Call")))))))</f>
        <v>Track Only</v>
      </c>
      <c r="L1430" s="9" t="str">
        <f>IF(COUNTIFS('DEF_SELF_SCOUT_IMPORT'!$L$42:$L$1040,"Y",'DEF_SELF_SCOUT_IMPORT'!$E$42:$E$1040,SUBSTITUTE(SUBSTITUTE(SUBSTITUTE($B1430,"~","~~"),"*","~*"),"?","~?"),'DEF_SELF_SCOUT_IMPORT'!$D$42:$D$1040,SUBSTITUTE(SUBSTITUTE(SUBSTITUTE($P1430,"~","~~"),"*","~*"),"?","~?"),'DEF_SELF_SCOUT_IMPORT'!$J$42:$J$1040,"")&gt;0,"Unscored clean outcome; review result tags before using score.",IF(C1430=0,"No matching defensive reps; film confirmation needed.",IF(K1430="Explosive Alert","Explosive risk; review clips before using as answer.",IF(C1430&lt;=2,"Track only; not enough sample.",IF(C1430=3,IF(E1430&gt;0,"Sample watch with explosive exposure; review clips and build the sample.",IF(J1430&gt;=65,"Good signal, but sample is limited.","Sample watch; review clips and build the sample.")),IF(K1430="Problem Call","Problem area; practice or call-sheet review.",IF(K1430="Strong Candidate","Strong call-fit candidate; confirm on film.",IF(K1430="Good Candidate","Good call-fit signal; confirm on film.","Mixed signal; review fit and execution on film."))))))))</f>
        <v>Track only; not enough sample.</v>
      </c>
      <c r="M1430" s="8"/>
      <c r="N1430" s="8"/>
      <c r="O1430" s="8"/>
      <c r="P1430" s="8" t="s">
        <v>443</v>
      </c>
      <c r="Q1430" s="8"/>
      <c r="R1430" s="8" t="s">
        <v>633</v>
      </c>
      <c r="S1430" s="2" t="s">
        <v>656</v>
      </c>
      <c r="T1430" s="2">
        <f>IF(C1430=0,0,IF(C1430&gt;=CALL_LOOKUP_BOARD!$B$7,IF(OR(K1430="Problem Call",K1430="Explosive Alert"),10000000,20000000),0)+IF(C1430&gt;=CALL_LOOKUP_BOARD!$B$7,J1430*1000+MIN(C1430,999),C1430*1000+J1430)+0.00983300)</f>
        <v>1095.009833</v>
      </c>
      <c r="U1430" s="2" t="str">
        <f>IF(C1430=0,"",IF(COUNTIFS($S$1264:$S$1440,SUBSTITUTE(SUBSTITUTE(SUBSTITUTE(S1430,"~","~~"),"*","~*"),"?","~?"),$T$1264:$T$1440,"&gt;"&amp;T1430)=0,S1430,""))</f>
        <v>3:SOP|</v>
      </c>
    </row>
    <row r="1431" spans="1:21" ht="38" customHeight="1">
      <c r="A1431" s="8" t="s">
        <v>477</v>
      </c>
      <c r="B1431" s="8" t="s">
        <v>77</v>
      </c>
      <c r="C1431" s="12">
        <f>COUNTIFS('DEF_SELF_SCOUT_IMPORT'!$L$42:$L$1040,"Y",'DEF_SELF_SCOUT_IMPORT'!$E$42:$E$1040,SUBSTITUTE(SUBSTITUTE(SUBSTITUTE($B1431,"~","~~"),"*","~*"),"?","~?"),'DEF_SELF_SCOUT_IMPORT'!$D$42:$D$1040,SUBSTITUTE(SUBSTITUTE(SUBSTITUTE($P1431,"~","~~"),"*","~*"),"?","~?"))</f>
        <v>1</v>
      </c>
      <c r="D1431" s="10">
        <f>IF($C1431=0,"",SUMIFS('DEF_SELF_SCOUT_IMPORT'!$J$42:$J$1040,'DEF_SELF_SCOUT_IMPORT'!$L$42:$L$1040,"Y",'DEF_SELF_SCOUT_IMPORT'!$E$42:$E$1040,SUBSTITUTE(SUBSTITUTE(SUBSTITUTE($B1431,"~","~~"),"*","~*"),"?","~?"),'DEF_SELF_SCOUT_IMPORT'!$D$42:$D$1040,SUBSTITUTE(SUBSTITUTE(SUBSTITUTE($P1431,"~","~~"),"*","~*"),"?","~?"))/$C1431)</f>
        <v>0.0</v>
      </c>
      <c r="E1431" s="10">
        <f>IF($C1431=0,"",SUMIFS('DEF_SELF_SCOUT_IMPORT'!$K$42:$K$1040,'DEF_SELF_SCOUT_IMPORT'!$L$42:$L$1040,"Y",'DEF_SELF_SCOUT_IMPORT'!$E$42:$E$1040,SUBSTITUTE(SUBSTITUTE(SUBSTITUTE($B1431,"~","~~"),"*","~*"),"?","~?"),'DEF_SELF_SCOUT_IMPORT'!$D$42:$D$1040,SUBSTITUTE(SUBSTITUTE(SUBSTITUTE($P1431,"~","~~"),"*","~*"),"?","~?"))/$C1431)</f>
        <v>0.0</v>
      </c>
      <c r="F1431" s="11">
        <f>IF($C1431=0,"",AVERAGEIFS('DEF_SELF_SCOUT_IMPORT'!$I$42:$I$1040,'DEF_SELF_SCOUT_IMPORT'!$L$42:$L$1040,"Y",'DEF_SELF_SCOUT_IMPORT'!$E$42:$E$1040,SUBSTITUTE(SUBSTITUTE(SUBSTITUTE($B1431,"~","~~"),"*","~*"),"?","~?"),'DEF_SELF_SCOUT_IMPORT'!$D$42:$D$1040,SUBSTITUTE(SUBSTITUTE(SUBSTITUTE($P1431,"~","~~"),"*","~*"),"?","~?")))</f>
        <v>1.0</v>
      </c>
      <c r="G1431" s="10">
        <f>IF($C1431=0,"",COUNTIFS('DEF_SELF_SCOUT_IMPORT'!$L$42:$L$1040,"Y",'DEF_SELF_SCOUT_IMPORT'!$E$42:$E$1040,SUBSTITUTE(SUBSTITUTE(SUBSTITUTE($B1431,"~","~~"),"*","~*"),"?","~?"),'DEF_SELF_SCOUT_IMPORT'!$D$42:$D$1040,SUBSTITUTE(SUBSTITUTE(SUBSTITUTE($P1431,"~","~~"),"*","~*"),"?","~?"),'DEF_SELF_SCOUT_IMPORT'!$H$42:$H$1040,"RUSH")/$C1431)</f>
        <v>1.0</v>
      </c>
      <c r="H1431" s="10">
        <f>IF($C1431=0,"",COUNTIFS('DEF_SELF_SCOUT_IMPORT'!$L$42:$L$1040,"Y",'DEF_SELF_SCOUT_IMPORT'!$E$42:$E$1040,SUBSTITUTE(SUBSTITUTE(SUBSTITUTE($B1431,"~","~~"),"*","~*"),"?","~?"),'DEF_SELF_SCOUT_IMPORT'!$D$42:$D$1040,SUBSTITUTE(SUBSTITUTE(SUBSTITUTE($P1431,"~","~~"),"*","~*"),"?","~?"),'DEF_SELF_SCOUT_IMPORT'!$H$42:$H$1040,"DROPBACK")/$C1431)</f>
        <v>0.0</v>
      </c>
      <c r="I1431" s="14" t="str">
        <f>IF(C1431=0,"",IF(C1431&lt;=2,"TRACK",IF(C1431=3,"LOW",IF(C1431&lt;=6,"MEDIUM","HIGH"))))</f>
        <v>TRACK</v>
      </c>
      <c r="J1431" s="11">
        <f>IF(C1431=0,"",ROUND(D1431*70+(1-E1431)*20+MAX(0,MIN(1,(10-F1431)/10))*10,1))</f>
        <v>29.0</v>
      </c>
      <c r="K1431" s="14" t="str">
        <f>IF(C1431=0,"No Evidence",IF(C1431&lt;=2,IF(E1431&gt;0,"Explosive Alert","Track Only"),IF(C1431=3,"Sample Watch",IF(E1431&gt;=START_HERE!$B$31,"Explosive Alert",IF(J1431&gt;=80,"Strong Candidate",IF(J1431&gt;=65,"Good Candidate",IF(J1431&gt;=50,"Mixed / Review","Problem Call")))))))</f>
        <v>Track Only</v>
      </c>
      <c r="L1431" s="9" t="str">
        <f>IF(COUNTIFS('DEF_SELF_SCOUT_IMPORT'!$L$42:$L$1040,"Y",'DEF_SELF_SCOUT_IMPORT'!$E$42:$E$1040,SUBSTITUTE(SUBSTITUTE(SUBSTITUTE($B1431,"~","~~"),"*","~*"),"?","~?"),'DEF_SELF_SCOUT_IMPORT'!$D$42:$D$1040,SUBSTITUTE(SUBSTITUTE(SUBSTITUTE($P1431,"~","~~"),"*","~*"),"?","~?"),'DEF_SELF_SCOUT_IMPORT'!$J$42:$J$1040,"")&gt;0,"Unscored clean outcome; review result tags before using score.",IF(C1431=0,"No matching defensive reps; film confirmation needed.",IF(K1431="Explosive Alert","Explosive risk; review clips before using as answer.",IF(C1431&lt;=2,"Track only; not enough sample.",IF(C1431=3,IF(E1431&gt;0,"Sample watch with explosive exposure; review clips and build the sample.",IF(J1431&gt;=65,"Good signal, but sample is limited.","Sample watch; review clips and build the sample.")),IF(K1431="Problem Call","Problem area; practice or call-sheet review.",IF(K1431="Strong Candidate","Strong call-fit candidate; confirm on film.",IF(K1431="Good Candidate","Good call-fit signal; confirm on film.","Mixed signal; review fit and execution on film."))))))))</f>
        <v>Track only; not enough sample.</v>
      </c>
      <c r="M1431" s="8"/>
      <c r="N1431" s="8"/>
      <c r="O1431" s="8"/>
      <c r="P1431" s="8" t="s">
        <v>477</v>
      </c>
      <c r="Q1431" s="8"/>
      <c r="R1431" s="8" t="s">
        <v>633</v>
      </c>
      <c r="S1431" s="2" t="s">
        <v>657</v>
      </c>
      <c r="T1431" s="2">
        <f>IF(C1431=0,0,IF(C1431&gt;=CALL_LOOKUP_BOARD!$B$7,IF(OR(K1431="Problem Call",K1431="Explosive Alert"),10000000,20000000),0)+IF(C1431&gt;=CALL_LOOKUP_BOARD!$B$7,J1431*1000+MIN(C1431,999),C1431*1000+J1431)+0.00983200)</f>
        <v>1029.009832</v>
      </c>
      <c r="U1431" s="2">
        <f>IF(C1431=0,"",IF(COUNTIFS($S$1264:$S$1440,SUBSTITUTE(SUBSTITUTE(SUBSTITUTE(S1431,"~","~~"),"*","~*"),"?","~?"),$T$1264:$T$1440,"&gt;"&amp;T1431)=0,S1431,""))</f>
        <v/>
      </c>
    </row>
    <row r="1432" spans="1:21" ht="38" customHeight="1">
      <c r="A1432" s="8" t="s">
        <v>477</v>
      </c>
      <c r="B1432" s="8" t="s">
        <v>52</v>
      </c>
      <c r="C1432" s="12">
        <f>COUNTIFS('DEF_SELF_SCOUT_IMPORT'!$L$42:$L$1040,"Y",'DEF_SELF_SCOUT_IMPORT'!$E$42:$E$1040,SUBSTITUTE(SUBSTITUTE(SUBSTITUTE($B1432,"~","~~"),"*","~*"),"?","~?"),'DEF_SELF_SCOUT_IMPORT'!$D$42:$D$1040,SUBSTITUTE(SUBSTITUTE(SUBSTITUTE($P1432,"~","~~"),"*","~*"),"?","~?"))</f>
        <v>2</v>
      </c>
      <c r="D1432" s="10">
        <f>IF($C1432=0,"",SUMIFS('DEF_SELF_SCOUT_IMPORT'!$J$42:$J$1040,'DEF_SELF_SCOUT_IMPORT'!$L$42:$L$1040,"Y",'DEF_SELF_SCOUT_IMPORT'!$E$42:$E$1040,SUBSTITUTE(SUBSTITUTE(SUBSTITUTE($B1432,"~","~~"),"*","~*"),"?","~?"),'DEF_SELF_SCOUT_IMPORT'!$D$42:$D$1040,SUBSTITUTE(SUBSTITUTE(SUBSTITUTE($P1432,"~","~~"),"*","~*"),"?","~?"))/$C1432)</f>
        <v>0.5</v>
      </c>
      <c r="E1432" s="10">
        <f>IF($C1432=0,"",SUMIFS('DEF_SELF_SCOUT_IMPORT'!$K$42:$K$1040,'DEF_SELF_SCOUT_IMPORT'!$L$42:$L$1040,"Y",'DEF_SELF_SCOUT_IMPORT'!$E$42:$E$1040,SUBSTITUTE(SUBSTITUTE(SUBSTITUTE($B1432,"~","~~"),"*","~*"),"?","~?"),'DEF_SELF_SCOUT_IMPORT'!$D$42:$D$1040,SUBSTITUTE(SUBSTITUTE(SUBSTITUTE($P1432,"~","~~"),"*","~*"),"?","~?"))/$C1432)</f>
        <v>0.0</v>
      </c>
      <c r="F1432" s="11">
        <f>IF($C1432=0,"",AVERAGEIFS('DEF_SELF_SCOUT_IMPORT'!$I$42:$I$1040,'DEF_SELF_SCOUT_IMPORT'!$L$42:$L$1040,"Y",'DEF_SELF_SCOUT_IMPORT'!$E$42:$E$1040,SUBSTITUTE(SUBSTITUTE(SUBSTITUTE($B1432,"~","~~"),"*","~*"),"?","~?"),'DEF_SELF_SCOUT_IMPORT'!$D$42:$D$1040,SUBSTITUTE(SUBSTITUTE(SUBSTITUTE($P1432,"~","~~"),"*","~*"),"?","~?")))</f>
        <v>3.0</v>
      </c>
      <c r="G1432" s="10">
        <f>IF($C1432=0,"",COUNTIFS('DEF_SELF_SCOUT_IMPORT'!$L$42:$L$1040,"Y",'DEF_SELF_SCOUT_IMPORT'!$E$42:$E$1040,SUBSTITUTE(SUBSTITUTE(SUBSTITUTE($B1432,"~","~~"),"*","~*"),"?","~?"),'DEF_SELF_SCOUT_IMPORT'!$D$42:$D$1040,SUBSTITUTE(SUBSTITUTE(SUBSTITUTE($P1432,"~","~~"),"*","~*"),"?","~?"),'DEF_SELF_SCOUT_IMPORT'!$H$42:$H$1040,"RUSH")/$C1432)</f>
        <v>1.0</v>
      </c>
      <c r="H1432" s="10">
        <f>IF($C1432=0,"",COUNTIFS('DEF_SELF_SCOUT_IMPORT'!$L$42:$L$1040,"Y",'DEF_SELF_SCOUT_IMPORT'!$E$42:$E$1040,SUBSTITUTE(SUBSTITUTE(SUBSTITUTE($B1432,"~","~~"),"*","~*"),"?","~?"),'DEF_SELF_SCOUT_IMPORT'!$D$42:$D$1040,SUBSTITUTE(SUBSTITUTE(SUBSTITUTE($P1432,"~","~~"),"*","~*"),"?","~?"),'DEF_SELF_SCOUT_IMPORT'!$H$42:$H$1040,"DROPBACK")/$C1432)</f>
        <v>0.0</v>
      </c>
      <c r="I1432" s="14" t="str">
        <f>IF(C1432=0,"",IF(C1432&lt;=2,"TRACK",IF(C1432=3,"LOW",IF(C1432&lt;=6,"MEDIUM","HIGH"))))</f>
        <v>TRACK</v>
      </c>
      <c r="J1432" s="11">
        <f>IF(C1432=0,"",ROUND(D1432*70+(1-E1432)*20+MAX(0,MIN(1,(10-F1432)/10))*10,1))</f>
        <v>62.0</v>
      </c>
      <c r="K1432" s="14" t="str">
        <f>IF(C1432=0,"No Evidence",IF(C1432&lt;=2,IF(E1432&gt;0,"Explosive Alert","Track Only"),IF(C1432=3,"Sample Watch",IF(E1432&gt;=START_HERE!$B$31,"Explosive Alert",IF(J1432&gt;=80,"Strong Candidate",IF(J1432&gt;=65,"Good Candidate",IF(J1432&gt;=50,"Mixed / Review","Problem Call")))))))</f>
        <v>Track Only</v>
      </c>
      <c r="L1432" s="9" t="str">
        <f>IF(COUNTIFS('DEF_SELF_SCOUT_IMPORT'!$L$42:$L$1040,"Y",'DEF_SELF_SCOUT_IMPORT'!$E$42:$E$1040,SUBSTITUTE(SUBSTITUTE(SUBSTITUTE($B1432,"~","~~"),"*","~*"),"?","~?"),'DEF_SELF_SCOUT_IMPORT'!$D$42:$D$1040,SUBSTITUTE(SUBSTITUTE(SUBSTITUTE($P1432,"~","~~"),"*","~*"),"?","~?"),'DEF_SELF_SCOUT_IMPORT'!$J$42:$J$1040,"")&gt;0,"Unscored clean outcome; review result tags before using score.",IF(C1432=0,"No matching defensive reps; film confirmation needed.",IF(K1432="Explosive Alert","Explosive risk; review clips before using as answer.",IF(C1432&lt;=2,"Track only; not enough sample.",IF(C1432=3,IF(E1432&gt;0,"Sample watch with explosive exposure; review clips and build the sample.",IF(J1432&gt;=65,"Good signal, but sample is limited.","Sample watch; review clips and build the sample.")),IF(K1432="Problem Call","Problem area; practice or call-sheet review.",IF(K1432="Strong Candidate","Strong call-fit candidate; confirm on film.",IF(K1432="Good Candidate","Good call-fit signal; confirm on film.","Mixed signal; review fit and execution on film."))))))))</f>
        <v>Track only; not enough sample.</v>
      </c>
      <c r="M1432" s="8"/>
      <c r="N1432" s="8"/>
      <c r="O1432" s="8"/>
      <c r="P1432" s="8" t="s">
        <v>477</v>
      </c>
      <c r="Q1432" s="8"/>
      <c r="R1432" s="8" t="s">
        <v>633</v>
      </c>
      <c r="S1432" s="2" t="s">
        <v>657</v>
      </c>
      <c r="T1432" s="2">
        <f>IF(C1432=0,0,IF(C1432&gt;=CALL_LOOKUP_BOARD!$B$7,IF(OR(K1432="Problem Call",K1432="Explosive Alert"),10000000,20000000),0)+IF(C1432&gt;=CALL_LOOKUP_BOARD!$B$7,J1432*1000+MIN(C1432,999),C1432*1000+J1432)+0.00983100)</f>
        <v>2062.009831</v>
      </c>
      <c r="U1432" s="2" t="str">
        <f>IF(C1432=0,"",IF(COUNTIFS($S$1264:$S$1440,SUBSTITUTE(SUBSTITUTE(SUBSTITUTE(S1432,"~","~~"),"*","~*"),"?","~?"),$T$1264:$T$1440,"&gt;"&amp;T1432)=0,S1432,""))</f>
        <v>10:SPLIT ZONE|</v>
      </c>
    </row>
    <row r="1433" spans="1:21" ht="38" customHeight="1">
      <c r="A1433" s="8" t="s">
        <v>477</v>
      </c>
      <c r="B1433" s="8" t="s">
        <v>54</v>
      </c>
      <c r="C1433" s="12">
        <f>COUNTIFS('DEF_SELF_SCOUT_IMPORT'!$L$42:$L$1040,"Y",'DEF_SELF_SCOUT_IMPORT'!$E$42:$E$1040,SUBSTITUTE(SUBSTITUTE(SUBSTITUTE($B1433,"~","~~"),"*","~*"),"?","~?"),'DEF_SELF_SCOUT_IMPORT'!$D$42:$D$1040,SUBSTITUTE(SUBSTITUTE(SUBSTITUTE($P1433,"~","~~"),"*","~*"),"?","~?"))</f>
        <v>1</v>
      </c>
      <c r="D1433" s="10">
        <f>IF($C1433=0,"",SUMIFS('DEF_SELF_SCOUT_IMPORT'!$J$42:$J$1040,'DEF_SELF_SCOUT_IMPORT'!$L$42:$L$1040,"Y",'DEF_SELF_SCOUT_IMPORT'!$E$42:$E$1040,SUBSTITUTE(SUBSTITUTE(SUBSTITUTE($B1433,"~","~~"),"*","~*"),"?","~?"),'DEF_SELF_SCOUT_IMPORT'!$D$42:$D$1040,SUBSTITUTE(SUBSTITUTE(SUBSTITUTE($P1433,"~","~~"),"*","~*"),"?","~?"))/$C1433)</f>
        <v>0.0</v>
      </c>
      <c r="E1433" s="10">
        <f>IF($C1433=0,"",SUMIFS('DEF_SELF_SCOUT_IMPORT'!$K$42:$K$1040,'DEF_SELF_SCOUT_IMPORT'!$L$42:$L$1040,"Y",'DEF_SELF_SCOUT_IMPORT'!$E$42:$E$1040,SUBSTITUTE(SUBSTITUTE(SUBSTITUTE($B1433,"~","~~"),"*","~*"),"?","~?"),'DEF_SELF_SCOUT_IMPORT'!$D$42:$D$1040,SUBSTITUTE(SUBSTITUTE(SUBSTITUTE($P1433,"~","~~"),"*","~*"),"?","~?"))/$C1433)</f>
        <v>0.0</v>
      </c>
      <c r="F1433" s="11">
        <f>IF($C1433=0,"",AVERAGEIFS('DEF_SELF_SCOUT_IMPORT'!$I$42:$I$1040,'DEF_SELF_SCOUT_IMPORT'!$L$42:$L$1040,"Y",'DEF_SELF_SCOUT_IMPORT'!$E$42:$E$1040,SUBSTITUTE(SUBSTITUTE(SUBSTITUTE($B1433,"~","~~"),"*","~*"),"?","~?"),'DEF_SELF_SCOUT_IMPORT'!$D$42:$D$1040,SUBSTITUTE(SUBSTITUTE(SUBSTITUTE($P1433,"~","~~"),"*","~*"),"?","~?")))</f>
        <v>6.0</v>
      </c>
      <c r="G1433" s="10">
        <f>IF($C1433=0,"",COUNTIFS('DEF_SELF_SCOUT_IMPORT'!$L$42:$L$1040,"Y",'DEF_SELF_SCOUT_IMPORT'!$E$42:$E$1040,SUBSTITUTE(SUBSTITUTE(SUBSTITUTE($B1433,"~","~~"),"*","~*"),"?","~?"),'DEF_SELF_SCOUT_IMPORT'!$D$42:$D$1040,SUBSTITUTE(SUBSTITUTE(SUBSTITUTE($P1433,"~","~~"),"*","~*"),"?","~?"),'DEF_SELF_SCOUT_IMPORT'!$H$42:$H$1040,"RUSH")/$C1433)</f>
        <v>1.0</v>
      </c>
      <c r="H1433" s="10">
        <f>IF($C1433=0,"",COUNTIFS('DEF_SELF_SCOUT_IMPORT'!$L$42:$L$1040,"Y",'DEF_SELF_SCOUT_IMPORT'!$E$42:$E$1040,SUBSTITUTE(SUBSTITUTE(SUBSTITUTE($B1433,"~","~~"),"*","~*"),"?","~?"),'DEF_SELF_SCOUT_IMPORT'!$D$42:$D$1040,SUBSTITUTE(SUBSTITUTE(SUBSTITUTE($P1433,"~","~~"),"*","~*"),"?","~?"),'DEF_SELF_SCOUT_IMPORT'!$H$42:$H$1040,"DROPBACK")/$C1433)</f>
        <v>0.0</v>
      </c>
      <c r="I1433" s="14" t="str">
        <f>IF(C1433=0,"",IF(C1433&lt;=2,"TRACK",IF(C1433=3,"LOW",IF(C1433&lt;=6,"MEDIUM","HIGH"))))</f>
        <v>TRACK</v>
      </c>
      <c r="J1433" s="11">
        <f>IF(C1433=0,"",ROUND(D1433*70+(1-E1433)*20+MAX(0,MIN(1,(10-F1433)/10))*10,1))</f>
        <v>24.0</v>
      </c>
      <c r="K1433" s="14" t="str">
        <f>IF(C1433=0,"No Evidence",IF(C1433&lt;=2,IF(E1433&gt;0,"Explosive Alert","Track Only"),IF(C1433=3,"Sample Watch",IF(E1433&gt;=START_HERE!$B$31,"Explosive Alert",IF(J1433&gt;=80,"Strong Candidate",IF(J1433&gt;=65,"Good Candidate",IF(J1433&gt;=50,"Mixed / Review","Problem Call")))))))</f>
        <v>Track Only</v>
      </c>
      <c r="L1433" s="9" t="str">
        <f>IF(COUNTIFS('DEF_SELF_SCOUT_IMPORT'!$L$42:$L$1040,"Y",'DEF_SELF_SCOUT_IMPORT'!$E$42:$E$1040,SUBSTITUTE(SUBSTITUTE(SUBSTITUTE($B1433,"~","~~"),"*","~*"),"?","~?"),'DEF_SELF_SCOUT_IMPORT'!$D$42:$D$1040,SUBSTITUTE(SUBSTITUTE(SUBSTITUTE($P1433,"~","~~"),"*","~*"),"?","~?"),'DEF_SELF_SCOUT_IMPORT'!$J$42:$J$1040,"")&gt;0,"Unscored clean outcome; review result tags before using score.",IF(C1433=0,"No matching defensive reps; film confirmation needed.",IF(K1433="Explosive Alert","Explosive risk; review clips before using as answer.",IF(C1433&lt;=2,"Track only; not enough sample.",IF(C1433=3,IF(E1433&gt;0,"Sample watch with explosive exposure; review clips and build the sample.",IF(J1433&gt;=65,"Good signal, but sample is limited.","Sample watch; review clips and build the sample.")),IF(K1433="Problem Call","Problem area; practice or call-sheet review.",IF(K1433="Strong Candidate","Strong call-fit candidate; confirm on film.",IF(K1433="Good Candidate","Good call-fit signal; confirm on film.","Mixed signal; review fit and execution on film."))))))))</f>
        <v>Track only; not enough sample.</v>
      </c>
      <c r="M1433" s="8"/>
      <c r="N1433" s="8"/>
      <c r="O1433" s="8"/>
      <c r="P1433" s="8" t="s">
        <v>477</v>
      </c>
      <c r="Q1433" s="8"/>
      <c r="R1433" s="8" t="s">
        <v>633</v>
      </c>
      <c r="S1433" s="2" t="s">
        <v>657</v>
      </c>
      <c r="T1433" s="2">
        <f>IF(C1433=0,0,IF(C1433&gt;=CALL_LOOKUP_BOARD!$B$7,IF(OR(K1433="Problem Call",K1433="Explosive Alert"),10000000,20000000),0)+IF(C1433&gt;=CALL_LOOKUP_BOARD!$B$7,J1433*1000+MIN(C1433,999),C1433*1000+J1433)+0.00983000)</f>
        <v>1024.00983</v>
      </c>
      <c r="U1433" s="2">
        <f>IF(C1433=0,"",IF(COUNTIFS($S$1264:$S$1440,SUBSTITUTE(SUBSTITUTE(SUBSTITUTE(S1433,"~","~~"),"*","~*"),"?","~?"),$T$1264:$T$1440,"&gt;"&amp;T1433)=0,S1433,""))</f>
        <v/>
      </c>
    </row>
    <row r="1434" spans="1:21" ht="38" customHeight="1">
      <c r="A1434" s="8" t="s">
        <v>477</v>
      </c>
      <c r="B1434" s="8" t="s">
        <v>35</v>
      </c>
      <c r="C1434" s="12">
        <f>COUNTIFS('DEF_SELF_SCOUT_IMPORT'!$L$42:$L$1040,"Y",'DEF_SELF_SCOUT_IMPORT'!$E$42:$E$1040,SUBSTITUTE(SUBSTITUTE(SUBSTITUTE($B1434,"~","~~"),"*","~*"),"?","~?"),'DEF_SELF_SCOUT_IMPORT'!$D$42:$D$1040,SUBSTITUTE(SUBSTITUTE(SUBSTITUTE($P1434,"~","~~"),"*","~*"),"?","~?"))</f>
        <v>1</v>
      </c>
      <c r="D1434" s="10">
        <f>IF($C1434=0,"",SUMIFS('DEF_SELF_SCOUT_IMPORT'!$J$42:$J$1040,'DEF_SELF_SCOUT_IMPORT'!$L$42:$L$1040,"Y",'DEF_SELF_SCOUT_IMPORT'!$E$42:$E$1040,SUBSTITUTE(SUBSTITUTE(SUBSTITUTE($B1434,"~","~~"),"*","~*"),"?","~?"),'DEF_SELF_SCOUT_IMPORT'!$D$42:$D$1040,SUBSTITUTE(SUBSTITUTE(SUBSTITUTE($P1434,"~","~~"),"*","~*"),"?","~?"))/$C1434)</f>
        <v>0.0</v>
      </c>
      <c r="E1434" s="10">
        <f>IF($C1434=0,"",SUMIFS('DEF_SELF_SCOUT_IMPORT'!$K$42:$K$1040,'DEF_SELF_SCOUT_IMPORT'!$L$42:$L$1040,"Y",'DEF_SELF_SCOUT_IMPORT'!$E$42:$E$1040,SUBSTITUTE(SUBSTITUTE(SUBSTITUTE($B1434,"~","~~"),"*","~*"),"?","~?"),'DEF_SELF_SCOUT_IMPORT'!$D$42:$D$1040,SUBSTITUTE(SUBSTITUTE(SUBSTITUTE($P1434,"~","~~"),"*","~*"),"?","~?"))/$C1434)</f>
        <v>0.0</v>
      </c>
      <c r="F1434" s="11">
        <f>IF($C1434=0,"",AVERAGEIFS('DEF_SELF_SCOUT_IMPORT'!$I$42:$I$1040,'DEF_SELF_SCOUT_IMPORT'!$L$42:$L$1040,"Y",'DEF_SELF_SCOUT_IMPORT'!$E$42:$E$1040,SUBSTITUTE(SUBSTITUTE(SUBSTITUTE($B1434,"~","~~"),"*","~*"),"?","~?"),'DEF_SELF_SCOUT_IMPORT'!$D$42:$D$1040,SUBSTITUTE(SUBSTITUTE(SUBSTITUTE($P1434,"~","~~"),"*","~*"),"?","~?")))</f>
        <v>5.0</v>
      </c>
      <c r="G1434" s="10">
        <f>IF($C1434=0,"",COUNTIFS('DEF_SELF_SCOUT_IMPORT'!$L$42:$L$1040,"Y",'DEF_SELF_SCOUT_IMPORT'!$E$42:$E$1040,SUBSTITUTE(SUBSTITUTE(SUBSTITUTE($B1434,"~","~~"),"*","~*"),"?","~?"),'DEF_SELF_SCOUT_IMPORT'!$D$42:$D$1040,SUBSTITUTE(SUBSTITUTE(SUBSTITUTE($P1434,"~","~~"),"*","~*"),"?","~?"),'DEF_SELF_SCOUT_IMPORT'!$H$42:$H$1040,"RUSH")/$C1434)</f>
        <v>1.0</v>
      </c>
      <c r="H1434" s="10">
        <f>IF($C1434=0,"",COUNTIFS('DEF_SELF_SCOUT_IMPORT'!$L$42:$L$1040,"Y",'DEF_SELF_SCOUT_IMPORT'!$E$42:$E$1040,SUBSTITUTE(SUBSTITUTE(SUBSTITUTE($B1434,"~","~~"),"*","~*"),"?","~?"),'DEF_SELF_SCOUT_IMPORT'!$D$42:$D$1040,SUBSTITUTE(SUBSTITUTE(SUBSTITUTE($P1434,"~","~~"),"*","~*"),"?","~?"),'DEF_SELF_SCOUT_IMPORT'!$H$42:$H$1040,"DROPBACK")/$C1434)</f>
        <v>0.0</v>
      </c>
      <c r="I1434" s="14" t="str">
        <f>IF(C1434=0,"",IF(C1434&lt;=2,"TRACK",IF(C1434=3,"LOW",IF(C1434&lt;=6,"MEDIUM","HIGH"))))</f>
        <v>TRACK</v>
      </c>
      <c r="J1434" s="11">
        <f>IF(C1434=0,"",ROUND(D1434*70+(1-E1434)*20+MAX(0,MIN(1,(10-F1434)/10))*10,1))</f>
        <v>25.0</v>
      </c>
      <c r="K1434" s="14" t="str">
        <f>IF(C1434=0,"No Evidence",IF(C1434&lt;=2,IF(E1434&gt;0,"Explosive Alert","Track Only"),IF(C1434=3,"Sample Watch",IF(E1434&gt;=START_HERE!$B$31,"Explosive Alert",IF(J1434&gt;=80,"Strong Candidate",IF(J1434&gt;=65,"Good Candidate",IF(J1434&gt;=50,"Mixed / Review","Problem Call")))))))</f>
        <v>Track Only</v>
      </c>
      <c r="L1434" s="9" t="str">
        <f>IF(COUNTIFS('DEF_SELF_SCOUT_IMPORT'!$L$42:$L$1040,"Y",'DEF_SELF_SCOUT_IMPORT'!$E$42:$E$1040,SUBSTITUTE(SUBSTITUTE(SUBSTITUTE($B1434,"~","~~"),"*","~*"),"?","~?"),'DEF_SELF_SCOUT_IMPORT'!$D$42:$D$1040,SUBSTITUTE(SUBSTITUTE(SUBSTITUTE($P1434,"~","~~"),"*","~*"),"?","~?"),'DEF_SELF_SCOUT_IMPORT'!$J$42:$J$1040,"")&gt;0,"Unscored clean outcome; review result tags before using score.",IF(C1434=0,"No matching defensive reps; film confirmation needed.",IF(K1434="Explosive Alert","Explosive risk; review clips before using as answer.",IF(C1434&lt;=2,"Track only; not enough sample.",IF(C1434=3,IF(E1434&gt;0,"Sample watch with explosive exposure; review clips and build the sample.",IF(J1434&gt;=65,"Good signal, but sample is limited.","Sample watch; review clips and build the sample.")),IF(K1434="Problem Call","Problem area; practice or call-sheet review.",IF(K1434="Strong Candidate","Strong call-fit candidate; confirm on film.",IF(K1434="Good Candidate","Good call-fit signal; confirm on film.","Mixed signal; review fit and execution on film."))))))))</f>
        <v>Track only; not enough sample.</v>
      </c>
      <c r="M1434" s="8"/>
      <c r="N1434" s="8"/>
      <c r="O1434" s="8"/>
      <c r="P1434" s="8" t="s">
        <v>477</v>
      </c>
      <c r="Q1434" s="8"/>
      <c r="R1434" s="8" t="s">
        <v>633</v>
      </c>
      <c r="S1434" s="2" t="s">
        <v>657</v>
      </c>
      <c r="T1434" s="2">
        <f>IF(C1434=0,0,IF(C1434&gt;=CALL_LOOKUP_BOARD!$B$7,IF(OR(K1434="Problem Call",K1434="Explosive Alert"),10000000,20000000),0)+IF(C1434&gt;=CALL_LOOKUP_BOARD!$B$7,J1434*1000+MIN(C1434,999),C1434*1000+J1434)+0.00982900)</f>
        <v>1025.009829</v>
      </c>
      <c r="U1434" s="2">
        <f>IF(C1434=0,"",IF(COUNTIFS($S$1264:$S$1440,SUBSTITUTE(SUBSTITUTE(SUBSTITUTE(S1434,"~","~~"),"*","~*"),"?","~?"),$T$1264:$T$1440,"&gt;"&amp;T1434)=0,S1434,""))</f>
        <v/>
      </c>
    </row>
    <row r="1435" spans="1:21" ht="38" customHeight="1">
      <c r="A1435" s="8" t="s">
        <v>477</v>
      </c>
      <c r="B1435" s="8" t="s">
        <v>60</v>
      </c>
      <c r="C1435" s="12">
        <f>COUNTIFS('DEF_SELF_SCOUT_IMPORT'!$L$42:$L$1040,"Y",'DEF_SELF_SCOUT_IMPORT'!$E$42:$E$1040,SUBSTITUTE(SUBSTITUTE(SUBSTITUTE($B1435,"~","~~"),"*","~*"),"?","~?"),'DEF_SELF_SCOUT_IMPORT'!$D$42:$D$1040,SUBSTITUTE(SUBSTITUTE(SUBSTITUTE($P1435,"~","~~"),"*","~*"),"?","~?"))</f>
        <v>1</v>
      </c>
      <c r="D1435" s="10">
        <f>IF($C1435=0,"",SUMIFS('DEF_SELF_SCOUT_IMPORT'!$J$42:$J$1040,'DEF_SELF_SCOUT_IMPORT'!$L$42:$L$1040,"Y",'DEF_SELF_SCOUT_IMPORT'!$E$42:$E$1040,SUBSTITUTE(SUBSTITUTE(SUBSTITUTE($B1435,"~","~~"),"*","~*"),"?","~?"),'DEF_SELF_SCOUT_IMPORT'!$D$42:$D$1040,SUBSTITUTE(SUBSTITUTE(SUBSTITUTE($P1435,"~","~~"),"*","~*"),"?","~?"))/$C1435)</f>
        <v>0.0</v>
      </c>
      <c r="E1435" s="10">
        <f>IF($C1435=0,"",SUMIFS('DEF_SELF_SCOUT_IMPORT'!$K$42:$K$1040,'DEF_SELF_SCOUT_IMPORT'!$L$42:$L$1040,"Y",'DEF_SELF_SCOUT_IMPORT'!$E$42:$E$1040,SUBSTITUTE(SUBSTITUTE(SUBSTITUTE($B1435,"~","~~"),"*","~*"),"?","~?"),'DEF_SELF_SCOUT_IMPORT'!$D$42:$D$1040,SUBSTITUTE(SUBSTITUTE(SUBSTITUTE($P1435,"~","~~"),"*","~*"),"?","~?"))/$C1435)</f>
        <v>0.0</v>
      </c>
      <c r="F1435" s="11">
        <f>IF($C1435=0,"",AVERAGEIFS('DEF_SELF_SCOUT_IMPORT'!$I$42:$I$1040,'DEF_SELF_SCOUT_IMPORT'!$L$42:$L$1040,"Y",'DEF_SELF_SCOUT_IMPORT'!$E$42:$E$1040,SUBSTITUTE(SUBSTITUTE(SUBSTITUTE($B1435,"~","~~"),"*","~*"),"?","~?"),'DEF_SELF_SCOUT_IMPORT'!$D$42:$D$1040,SUBSTITUTE(SUBSTITUTE(SUBSTITUTE($P1435,"~","~~"),"*","~*"),"?","~?")))</f>
        <v>2.0</v>
      </c>
      <c r="G1435" s="10">
        <f>IF($C1435=0,"",COUNTIFS('DEF_SELF_SCOUT_IMPORT'!$L$42:$L$1040,"Y",'DEF_SELF_SCOUT_IMPORT'!$E$42:$E$1040,SUBSTITUTE(SUBSTITUTE(SUBSTITUTE($B1435,"~","~~"),"*","~*"),"?","~?"),'DEF_SELF_SCOUT_IMPORT'!$D$42:$D$1040,SUBSTITUTE(SUBSTITUTE(SUBSTITUTE($P1435,"~","~~"),"*","~*"),"?","~?"),'DEF_SELF_SCOUT_IMPORT'!$H$42:$H$1040,"RUSH")/$C1435)</f>
        <v>1.0</v>
      </c>
      <c r="H1435" s="10">
        <f>IF($C1435=0,"",COUNTIFS('DEF_SELF_SCOUT_IMPORT'!$L$42:$L$1040,"Y",'DEF_SELF_SCOUT_IMPORT'!$E$42:$E$1040,SUBSTITUTE(SUBSTITUTE(SUBSTITUTE($B1435,"~","~~"),"*","~*"),"?","~?"),'DEF_SELF_SCOUT_IMPORT'!$D$42:$D$1040,SUBSTITUTE(SUBSTITUTE(SUBSTITUTE($P1435,"~","~~"),"*","~*"),"?","~?"),'DEF_SELF_SCOUT_IMPORT'!$H$42:$H$1040,"DROPBACK")/$C1435)</f>
        <v>0.0</v>
      </c>
      <c r="I1435" s="14" t="str">
        <f>IF(C1435=0,"",IF(C1435&lt;=2,"TRACK",IF(C1435=3,"LOW",IF(C1435&lt;=6,"MEDIUM","HIGH"))))</f>
        <v>TRACK</v>
      </c>
      <c r="J1435" s="11">
        <f>IF(C1435=0,"",ROUND(D1435*70+(1-E1435)*20+MAX(0,MIN(1,(10-F1435)/10))*10,1))</f>
        <v>28.0</v>
      </c>
      <c r="K1435" s="14" t="str">
        <f>IF(C1435=0,"No Evidence",IF(C1435&lt;=2,IF(E1435&gt;0,"Explosive Alert","Track Only"),IF(C1435=3,"Sample Watch",IF(E1435&gt;=START_HERE!$B$31,"Explosive Alert",IF(J1435&gt;=80,"Strong Candidate",IF(J1435&gt;=65,"Good Candidate",IF(J1435&gt;=50,"Mixed / Review","Problem Call")))))))</f>
        <v>Track Only</v>
      </c>
      <c r="L1435" s="9" t="str">
        <f>IF(COUNTIFS('DEF_SELF_SCOUT_IMPORT'!$L$42:$L$1040,"Y",'DEF_SELF_SCOUT_IMPORT'!$E$42:$E$1040,SUBSTITUTE(SUBSTITUTE(SUBSTITUTE($B1435,"~","~~"),"*","~*"),"?","~?"),'DEF_SELF_SCOUT_IMPORT'!$D$42:$D$1040,SUBSTITUTE(SUBSTITUTE(SUBSTITUTE($P1435,"~","~~"),"*","~*"),"?","~?"),'DEF_SELF_SCOUT_IMPORT'!$J$42:$J$1040,"")&gt;0,"Unscored clean outcome; review result tags before using score.",IF(C1435=0,"No matching defensive reps; film confirmation needed.",IF(K1435="Explosive Alert","Explosive risk; review clips before using as answer.",IF(C1435&lt;=2,"Track only; not enough sample.",IF(C1435=3,IF(E1435&gt;0,"Sample watch with explosive exposure; review clips and build the sample.",IF(J1435&gt;=65,"Good signal, but sample is limited.","Sample watch; review clips and build the sample.")),IF(K1435="Problem Call","Problem area; practice or call-sheet review.",IF(K1435="Strong Candidate","Strong call-fit candidate; confirm on film.",IF(K1435="Good Candidate","Good call-fit signal; confirm on film.","Mixed signal; review fit and execution on film."))))))))</f>
        <v>Track only; not enough sample.</v>
      </c>
      <c r="M1435" s="8"/>
      <c r="N1435" s="8"/>
      <c r="O1435" s="8"/>
      <c r="P1435" s="8" t="s">
        <v>477</v>
      </c>
      <c r="Q1435" s="8"/>
      <c r="R1435" s="8" t="s">
        <v>633</v>
      </c>
      <c r="S1435" s="2" t="s">
        <v>657</v>
      </c>
      <c r="T1435" s="2">
        <f>IF(C1435=0,0,IF(C1435&gt;=CALL_LOOKUP_BOARD!$B$7,IF(OR(K1435="Problem Call",K1435="Explosive Alert"),10000000,20000000),0)+IF(C1435&gt;=CALL_LOOKUP_BOARD!$B$7,J1435*1000+MIN(C1435,999),C1435*1000+J1435)+0.00982800)</f>
        <v>1028.009828</v>
      </c>
      <c r="U1435" s="2">
        <f>IF(C1435=0,"",IF(COUNTIFS($S$1264:$S$1440,SUBSTITUTE(SUBSTITUTE(SUBSTITUTE(S1435,"~","~~"),"*","~*"),"?","~?"),$T$1264:$T$1440,"&gt;"&amp;T1435)=0,S1435,""))</f>
        <v/>
      </c>
    </row>
    <row r="1436" spans="1:21" ht="38" customHeight="1">
      <c r="A1436" s="8" t="s">
        <v>477</v>
      </c>
      <c r="B1436" s="8" t="s">
        <v>75</v>
      </c>
      <c r="C1436" s="12">
        <f>COUNTIFS('DEF_SELF_SCOUT_IMPORT'!$L$42:$L$1040,"Y",'DEF_SELF_SCOUT_IMPORT'!$E$42:$E$1040,SUBSTITUTE(SUBSTITUTE(SUBSTITUTE($B1436,"~","~~"),"*","~*"),"?","~?"),'DEF_SELF_SCOUT_IMPORT'!$D$42:$D$1040,SUBSTITUTE(SUBSTITUTE(SUBSTITUTE($P1436,"~","~~"),"*","~*"),"?","~?"))</f>
        <v>1</v>
      </c>
      <c r="D1436" s="10">
        <f>IF($C1436=0,"",SUMIFS('DEF_SELF_SCOUT_IMPORT'!$J$42:$J$1040,'DEF_SELF_SCOUT_IMPORT'!$L$42:$L$1040,"Y",'DEF_SELF_SCOUT_IMPORT'!$E$42:$E$1040,SUBSTITUTE(SUBSTITUTE(SUBSTITUTE($B1436,"~","~~"),"*","~*"),"?","~?"),'DEF_SELF_SCOUT_IMPORT'!$D$42:$D$1040,SUBSTITUTE(SUBSTITUTE(SUBSTITUTE($P1436,"~","~~"),"*","~*"),"?","~?"))/$C1436)</f>
        <v>0.0</v>
      </c>
      <c r="E1436" s="10">
        <f>IF($C1436=0,"",SUMIFS('DEF_SELF_SCOUT_IMPORT'!$K$42:$K$1040,'DEF_SELF_SCOUT_IMPORT'!$L$42:$L$1040,"Y",'DEF_SELF_SCOUT_IMPORT'!$E$42:$E$1040,SUBSTITUTE(SUBSTITUTE(SUBSTITUTE($B1436,"~","~~"),"*","~*"),"?","~?"),'DEF_SELF_SCOUT_IMPORT'!$D$42:$D$1040,SUBSTITUTE(SUBSTITUTE(SUBSTITUTE($P1436,"~","~~"),"*","~*"),"?","~?"))/$C1436)</f>
        <v>0.0</v>
      </c>
      <c r="F1436" s="11">
        <f>IF($C1436=0,"",AVERAGEIFS('DEF_SELF_SCOUT_IMPORT'!$I$42:$I$1040,'DEF_SELF_SCOUT_IMPORT'!$L$42:$L$1040,"Y",'DEF_SELF_SCOUT_IMPORT'!$E$42:$E$1040,SUBSTITUTE(SUBSTITUTE(SUBSTITUTE($B1436,"~","~~"),"*","~*"),"?","~?"),'DEF_SELF_SCOUT_IMPORT'!$D$42:$D$1040,SUBSTITUTE(SUBSTITUTE(SUBSTITUTE($P1436,"~","~~"),"*","~*"),"?","~?")))</f>
        <v>9.0</v>
      </c>
      <c r="G1436" s="10">
        <f>IF($C1436=0,"",COUNTIFS('DEF_SELF_SCOUT_IMPORT'!$L$42:$L$1040,"Y",'DEF_SELF_SCOUT_IMPORT'!$E$42:$E$1040,SUBSTITUTE(SUBSTITUTE(SUBSTITUTE($B1436,"~","~~"),"*","~*"),"?","~?"),'DEF_SELF_SCOUT_IMPORT'!$D$42:$D$1040,SUBSTITUTE(SUBSTITUTE(SUBSTITUTE($P1436,"~","~~"),"*","~*"),"?","~?"),'DEF_SELF_SCOUT_IMPORT'!$H$42:$H$1040,"RUSH")/$C1436)</f>
        <v>1.0</v>
      </c>
      <c r="H1436" s="10">
        <f>IF($C1436=0,"",COUNTIFS('DEF_SELF_SCOUT_IMPORT'!$L$42:$L$1040,"Y",'DEF_SELF_SCOUT_IMPORT'!$E$42:$E$1040,SUBSTITUTE(SUBSTITUTE(SUBSTITUTE($B1436,"~","~~"),"*","~*"),"?","~?"),'DEF_SELF_SCOUT_IMPORT'!$D$42:$D$1040,SUBSTITUTE(SUBSTITUTE(SUBSTITUTE($P1436,"~","~~"),"*","~*"),"?","~?"),'DEF_SELF_SCOUT_IMPORT'!$H$42:$H$1040,"DROPBACK")/$C1436)</f>
        <v>0.0</v>
      </c>
      <c r="I1436" s="14" t="str">
        <f>IF(C1436=0,"",IF(C1436&lt;=2,"TRACK",IF(C1436=3,"LOW",IF(C1436&lt;=6,"MEDIUM","HIGH"))))</f>
        <v>TRACK</v>
      </c>
      <c r="J1436" s="11">
        <f>IF(C1436=0,"",ROUND(D1436*70+(1-E1436)*20+MAX(0,MIN(1,(10-F1436)/10))*10,1))</f>
        <v>21.0</v>
      </c>
      <c r="K1436" s="14" t="str">
        <f>IF(C1436=0,"No Evidence",IF(C1436&lt;=2,IF(E1436&gt;0,"Explosive Alert","Track Only"),IF(C1436=3,"Sample Watch",IF(E1436&gt;=START_HERE!$B$31,"Explosive Alert",IF(J1436&gt;=80,"Strong Candidate",IF(J1436&gt;=65,"Good Candidate",IF(J1436&gt;=50,"Mixed / Review","Problem Call")))))))</f>
        <v>Track Only</v>
      </c>
      <c r="L1436" s="9" t="str">
        <f>IF(COUNTIFS('DEF_SELF_SCOUT_IMPORT'!$L$42:$L$1040,"Y",'DEF_SELF_SCOUT_IMPORT'!$E$42:$E$1040,SUBSTITUTE(SUBSTITUTE(SUBSTITUTE($B1436,"~","~~"),"*","~*"),"?","~?"),'DEF_SELF_SCOUT_IMPORT'!$D$42:$D$1040,SUBSTITUTE(SUBSTITUTE(SUBSTITUTE($P1436,"~","~~"),"*","~*"),"?","~?"),'DEF_SELF_SCOUT_IMPORT'!$J$42:$J$1040,"")&gt;0,"Unscored clean outcome; review result tags before using score.",IF(C1436=0,"No matching defensive reps; film confirmation needed.",IF(K1436="Explosive Alert","Explosive risk; review clips before using as answer.",IF(C1436&lt;=2,"Track only; not enough sample.",IF(C1436=3,IF(E1436&gt;0,"Sample watch with explosive exposure; review clips and build the sample.",IF(J1436&gt;=65,"Good signal, but sample is limited.","Sample watch; review clips and build the sample.")),IF(K1436="Problem Call","Problem area; practice or call-sheet review.",IF(K1436="Strong Candidate","Strong call-fit candidate; confirm on film.",IF(K1436="Good Candidate","Good call-fit signal; confirm on film.","Mixed signal; review fit and execution on film."))))))))</f>
        <v>Track only; not enough sample.</v>
      </c>
      <c r="M1436" s="8"/>
      <c r="N1436" s="8"/>
      <c r="O1436" s="8"/>
      <c r="P1436" s="8" t="s">
        <v>477</v>
      </c>
      <c r="Q1436" s="8"/>
      <c r="R1436" s="8" t="s">
        <v>633</v>
      </c>
      <c r="S1436" s="2" t="s">
        <v>657</v>
      </c>
      <c r="T1436" s="2">
        <f>IF(C1436=0,0,IF(C1436&gt;=CALL_LOOKUP_BOARD!$B$7,IF(OR(K1436="Problem Call",K1436="Explosive Alert"),10000000,20000000),0)+IF(C1436&gt;=CALL_LOOKUP_BOARD!$B$7,J1436*1000+MIN(C1436,999),C1436*1000+J1436)+0.00982700)</f>
        <v>1021.009827</v>
      </c>
      <c r="U1436" s="2">
        <f>IF(C1436=0,"",IF(COUNTIFS($S$1264:$S$1440,SUBSTITUTE(SUBSTITUTE(SUBSTITUTE(S1436,"~","~~"),"*","~*"),"?","~?"),$T$1264:$T$1440,"&gt;"&amp;T1436)=0,S1436,""))</f>
        <v/>
      </c>
    </row>
    <row r="1437" spans="1:21" ht="38" customHeight="1">
      <c r="A1437" s="8" t="s">
        <v>477</v>
      </c>
      <c r="B1437" s="8" t="s">
        <v>69</v>
      </c>
      <c r="C1437" s="12">
        <f>COUNTIFS('DEF_SELF_SCOUT_IMPORT'!$L$42:$L$1040,"Y",'DEF_SELF_SCOUT_IMPORT'!$E$42:$E$1040,SUBSTITUTE(SUBSTITUTE(SUBSTITUTE($B1437,"~","~~"),"*","~*"),"?","~?"),'DEF_SELF_SCOUT_IMPORT'!$D$42:$D$1040,SUBSTITUTE(SUBSTITUTE(SUBSTITUTE($P1437,"~","~~"),"*","~*"),"?","~?"))</f>
        <v>1</v>
      </c>
      <c r="D1437" s="10">
        <f>IF($C1437=0,"",SUMIFS('DEF_SELF_SCOUT_IMPORT'!$J$42:$J$1040,'DEF_SELF_SCOUT_IMPORT'!$L$42:$L$1040,"Y",'DEF_SELF_SCOUT_IMPORT'!$E$42:$E$1040,SUBSTITUTE(SUBSTITUTE(SUBSTITUTE($B1437,"~","~~"),"*","~*"),"?","~?"),'DEF_SELF_SCOUT_IMPORT'!$D$42:$D$1040,SUBSTITUTE(SUBSTITUTE(SUBSTITUTE($P1437,"~","~~"),"*","~*"),"?","~?"))/$C1437)</f>
        <v>1.0</v>
      </c>
      <c r="E1437" s="10">
        <f>IF($C1437=0,"",SUMIFS('DEF_SELF_SCOUT_IMPORT'!$K$42:$K$1040,'DEF_SELF_SCOUT_IMPORT'!$L$42:$L$1040,"Y",'DEF_SELF_SCOUT_IMPORT'!$E$42:$E$1040,SUBSTITUTE(SUBSTITUTE(SUBSTITUTE($B1437,"~","~~"),"*","~*"),"?","~?"),'DEF_SELF_SCOUT_IMPORT'!$D$42:$D$1040,SUBSTITUTE(SUBSTITUTE(SUBSTITUTE($P1437,"~","~~"),"*","~*"),"?","~?"))/$C1437)</f>
        <v>0.0</v>
      </c>
      <c r="F1437" s="11">
        <f>IF($C1437=0,"",AVERAGEIFS('DEF_SELF_SCOUT_IMPORT'!$I$42:$I$1040,'DEF_SELF_SCOUT_IMPORT'!$L$42:$L$1040,"Y",'DEF_SELF_SCOUT_IMPORT'!$E$42:$E$1040,SUBSTITUTE(SUBSTITUTE(SUBSTITUTE($B1437,"~","~~"),"*","~*"),"?","~?"),'DEF_SELF_SCOUT_IMPORT'!$D$42:$D$1040,SUBSTITUTE(SUBSTITUTE(SUBSTITUTE($P1437,"~","~~"),"*","~*"),"?","~?")))</f>
        <v>2.0</v>
      </c>
      <c r="G1437" s="10">
        <f>IF($C1437=0,"",COUNTIFS('DEF_SELF_SCOUT_IMPORT'!$L$42:$L$1040,"Y",'DEF_SELF_SCOUT_IMPORT'!$E$42:$E$1040,SUBSTITUTE(SUBSTITUTE(SUBSTITUTE($B1437,"~","~~"),"*","~*"),"?","~?"),'DEF_SELF_SCOUT_IMPORT'!$D$42:$D$1040,SUBSTITUTE(SUBSTITUTE(SUBSTITUTE($P1437,"~","~~"),"*","~*"),"?","~?"),'DEF_SELF_SCOUT_IMPORT'!$H$42:$H$1040,"RUSH")/$C1437)</f>
        <v>1.0</v>
      </c>
      <c r="H1437" s="10">
        <f>IF($C1437=0,"",COUNTIFS('DEF_SELF_SCOUT_IMPORT'!$L$42:$L$1040,"Y",'DEF_SELF_SCOUT_IMPORT'!$E$42:$E$1040,SUBSTITUTE(SUBSTITUTE(SUBSTITUTE($B1437,"~","~~"),"*","~*"),"?","~?"),'DEF_SELF_SCOUT_IMPORT'!$D$42:$D$1040,SUBSTITUTE(SUBSTITUTE(SUBSTITUTE($P1437,"~","~~"),"*","~*"),"?","~?"),'DEF_SELF_SCOUT_IMPORT'!$H$42:$H$1040,"DROPBACK")/$C1437)</f>
        <v>0.0</v>
      </c>
      <c r="I1437" s="14" t="str">
        <f>IF(C1437=0,"",IF(C1437&lt;=2,"TRACK",IF(C1437=3,"LOW",IF(C1437&lt;=6,"MEDIUM","HIGH"))))</f>
        <v>TRACK</v>
      </c>
      <c r="J1437" s="11">
        <f>IF(C1437=0,"",ROUND(D1437*70+(1-E1437)*20+MAX(0,MIN(1,(10-F1437)/10))*10,1))</f>
        <v>98.0</v>
      </c>
      <c r="K1437" s="14" t="str">
        <f>IF(C1437=0,"No Evidence",IF(C1437&lt;=2,IF(E1437&gt;0,"Explosive Alert","Track Only"),IF(C1437=3,"Sample Watch",IF(E1437&gt;=START_HERE!$B$31,"Explosive Alert",IF(J1437&gt;=80,"Strong Candidate",IF(J1437&gt;=65,"Good Candidate",IF(J1437&gt;=50,"Mixed / Review","Problem Call")))))))</f>
        <v>Track Only</v>
      </c>
      <c r="L1437" s="9" t="str">
        <f>IF(COUNTIFS('DEF_SELF_SCOUT_IMPORT'!$L$42:$L$1040,"Y",'DEF_SELF_SCOUT_IMPORT'!$E$42:$E$1040,SUBSTITUTE(SUBSTITUTE(SUBSTITUTE($B1437,"~","~~"),"*","~*"),"?","~?"),'DEF_SELF_SCOUT_IMPORT'!$D$42:$D$1040,SUBSTITUTE(SUBSTITUTE(SUBSTITUTE($P1437,"~","~~"),"*","~*"),"?","~?"),'DEF_SELF_SCOUT_IMPORT'!$J$42:$J$1040,"")&gt;0,"Unscored clean outcome; review result tags before using score.",IF(C1437=0,"No matching defensive reps; film confirmation needed.",IF(K1437="Explosive Alert","Explosive risk; review clips before using as answer.",IF(C1437&lt;=2,"Track only; not enough sample.",IF(C1437=3,IF(E1437&gt;0,"Sample watch with explosive exposure; review clips and build the sample.",IF(J1437&gt;=65,"Good signal, but sample is limited.","Sample watch; review clips and build the sample.")),IF(K1437="Problem Call","Problem area; practice or call-sheet review.",IF(K1437="Strong Candidate","Strong call-fit candidate; confirm on film.",IF(K1437="Good Candidate","Good call-fit signal; confirm on film.","Mixed signal; review fit and execution on film."))))))))</f>
        <v>Track only; not enough sample.</v>
      </c>
      <c r="M1437" s="8"/>
      <c r="N1437" s="8"/>
      <c r="O1437" s="8"/>
      <c r="P1437" s="8" t="s">
        <v>477</v>
      </c>
      <c r="Q1437" s="8"/>
      <c r="R1437" s="8" t="s">
        <v>633</v>
      </c>
      <c r="S1437" s="2" t="s">
        <v>657</v>
      </c>
      <c r="T1437" s="2">
        <f>IF(C1437=0,0,IF(C1437&gt;=CALL_LOOKUP_BOARD!$B$7,IF(OR(K1437="Problem Call",K1437="Explosive Alert"),10000000,20000000),0)+IF(C1437&gt;=CALL_LOOKUP_BOARD!$B$7,J1437*1000+MIN(C1437,999),C1437*1000+J1437)+0.00982600)</f>
        <v>1098.009826</v>
      </c>
      <c r="U1437" s="2">
        <f>IF(C1437=0,"",IF(COUNTIFS($S$1264:$S$1440,SUBSTITUTE(SUBSTITUTE(SUBSTITUTE(S1437,"~","~~"),"*","~*"),"?","~?"),$T$1264:$T$1440,"&gt;"&amp;T1437)=0,S1437,""))</f>
        <v/>
      </c>
    </row>
    <row r="1438" spans="1:21" ht="38" customHeight="1">
      <c r="A1438" s="8" t="s">
        <v>480</v>
      </c>
      <c r="B1438" s="8" t="s">
        <v>51</v>
      </c>
      <c r="C1438" s="12">
        <f>COUNTIFS('DEF_SELF_SCOUT_IMPORT'!$L$42:$L$1040,"Y",'DEF_SELF_SCOUT_IMPORT'!$E$42:$E$1040,SUBSTITUTE(SUBSTITUTE(SUBSTITUTE($B1438,"~","~~"),"*","~*"),"?","~?"),'DEF_SELF_SCOUT_IMPORT'!$D$42:$D$1040,SUBSTITUTE(SUBSTITUTE(SUBSTITUTE($P1438,"~","~~"),"*","~*"),"?","~?"))</f>
        <v>1</v>
      </c>
      <c r="D1438" s="10">
        <f>IF($C1438=0,"",SUMIFS('DEF_SELF_SCOUT_IMPORT'!$J$42:$J$1040,'DEF_SELF_SCOUT_IMPORT'!$L$42:$L$1040,"Y",'DEF_SELF_SCOUT_IMPORT'!$E$42:$E$1040,SUBSTITUTE(SUBSTITUTE(SUBSTITUTE($B1438,"~","~~"),"*","~*"),"?","~?"),'DEF_SELF_SCOUT_IMPORT'!$D$42:$D$1040,SUBSTITUTE(SUBSTITUTE(SUBSTITUTE($P1438,"~","~~"),"*","~*"),"?","~?"))/$C1438)</f>
        <v>1.0</v>
      </c>
      <c r="E1438" s="10">
        <f>IF($C1438=0,"",SUMIFS('DEF_SELF_SCOUT_IMPORT'!$K$42:$K$1040,'DEF_SELF_SCOUT_IMPORT'!$L$42:$L$1040,"Y",'DEF_SELF_SCOUT_IMPORT'!$E$42:$E$1040,SUBSTITUTE(SUBSTITUTE(SUBSTITUTE($B1438,"~","~~"),"*","~*"),"?","~?"),'DEF_SELF_SCOUT_IMPORT'!$D$42:$D$1040,SUBSTITUTE(SUBSTITUTE(SUBSTITUTE($P1438,"~","~~"),"*","~*"),"?","~?"))/$C1438)</f>
        <v>0.0</v>
      </c>
      <c r="F1438" s="11">
        <f>IF($C1438=0,"",AVERAGEIFS('DEF_SELF_SCOUT_IMPORT'!$I$42:$I$1040,'DEF_SELF_SCOUT_IMPORT'!$L$42:$L$1040,"Y",'DEF_SELF_SCOUT_IMPORT'!$E$42:$E$1040,SUBSTITUTE(SUBSTITUTE(SUBSTITUTE($B1438,"~","~~"),"*","~*"),"?","~?"),'DEF_SELF_SCOUT_IMPORT'!$D$42:$D$1040,SUBSTITUTE(SUBSTITUTE(SUBSTITUTE($P1438,"~","~~"),"*","~*"),"?","~?")))</f>
        <v>0.0</v>
      </c>
      <c r="G1438" s="10">
        <f>IF($C1438=0,"",COUNTIFS('DEF_SELF_SCOUT_IMPORT'!$L$42:$L$1040,"Y",'DEF_SELF_SCOUT_IMPORT'!$E$42:$E$1040,SUBSTITUTE(SUBSTITUTE(SUBSTITUTE($B1438,"~","~~"),"*","~*"),"?","~?"),'DEF_SELF_SCOUT_IMPORT'!$D$42:$D$1040,SUBSTITUTE(SUBSTITUTE(SUBSTITUTE($P1438,"~","~~"),"*","~*"),"?","~?"),'DEF_SELF_SCOUT_IMPORT'!$H$42:$H$1040,"RUSH")/$C1438)</f>
        <v>0.0</v>
      </c>
      <c r="H1438" s="10">
        <f>IF($C1438=0,"",COUNTIFS('DEF_SELF_SCOUT_IMPORT'!$L$42:$L$1040,"Y",'DEF_SELF_SCOUT_IMPORT'!$E$42:$E$1040,SUBSTITUTE(SUBSTITUTE(SUBSTITUTE($B1438,"~","~~"),"*","~*"),"?","~?"),'DEF_SELF_SCOUT_IMPORT'!$D$42:$D$1040,SUBSTITUTE(SUBSTITUTE(SUBSTITUTE($P1438,"~","~~"),"*","~*"),"?","~?"),'DEF_SELF_SCOUT_IMPORT'!$H$42:$H$1040,"DROPBACK")/$C1438)</f>
        <v>1.0</v>
      </c>
      <c r="I1438" s="14" t="str">
        <f>IF(C1438=0,"",IF(C1438&lt;=2,"TRACK",IF(C1438=3,"LOW",IF(C1438&lt;=6,"MEDIUM","HIGH"))))</f>
        <v>TRACK</v>
      </c>
      <c r="J1438" s="11">
        <f>IF(C1438=0,"",ROUND(D1438*70+(1-E1438)*20+MAX(0,MIN(1,(10-F1438)/10))*10,1))</f>
        <v>100.0</v>
      </c>
      <c r="K1438" s="14" t="str">
        <f>IF(C1438=0,"No Evidence",IF(C1438&lt;=2,IF(E1438&gt;0,"Explosive Alert","Track Only"),IF(C1438=3,"Sample Watch",IF(E1438&gt;=START_HERE!$B$31,"Explosive Alert",IF(J1438&gt;=80,"Strong Candidate",IF(J1438&gt;=65,"Good Candidate",IF(J1438&gt;=50,"Mixed / Review","Problem Call")))))))</f>
        <v>Track Only</v>
      </c>
      <c r="L1438" s="9" t="str">
        <f>IF(COUNTIFS('DEF_SELF_SCOUT_IMPORT'!$L$42:$L$1040,"Y",'DEF_SELF_SCOUT_IMPORT'!$E$42:$E$1040,SUBSTITUTE(SUBSTITUTE(SUBSTITUTE($B1438,"~","~~"),"*","~*"),"?","~?"),'DEF_SELF_SCOUT_IMPORT'!$D$42:$D$1040,SUBSTITUTE(SUBSTITUTE(SUBSTITUTE($P1438,"~","~~"),"*","~*"),"?","~?"),'DEF_SELF_SCOUT_IMPORT'!$J$42:$J$1040,"")&gt;0,"Unscored clean outcome; review result tags before using score.",IF(C1438=0,"No matching defensive reps; film confirmation needed.",IF(K1438="Explosive Alert","Explosive risk; review clips before using as answer.",IF(C1438&lt;=2,"Track only; not enough sample.",IF(C1438=3,IF(E1438&gt;0,"Sample watch with explosive exposure; review clips and build the sample.",IF(J1438&gt;=65,"Good signal, but sample is limited.","Sample watch; review clips and build the sample.")),IF(K1438="Problem Call","Problem area; practice or call-sheet review.",IF(K1438="Strong Candidate","Strong call-fit candidate; confirm on film.",IF(K1438="Good Candidate","Good call-fit signal; confirm on film.","Mixed signal; review fit and execution on film."))))))))</f>
        <v>Track only; not enough sample.</v>
      </c>
      <c r="M1438" s="8"/>
      <c r="N1438" s="8"/>
      <c r="O1438" s="8"/>
      <c r="P1438" s="8" t="s">
        <v>480</v>
      </c>
      <c r="Q1438" s="8"/>
      <c r="R1438" s="8" t="s">
        <v>633</v>
      </c>
      <c r="S1438" s="2" t="s">
        <v>658</v>
      </c>
      <c r="T1438" s="2">
        <f>IF(C1438=0,0,IF(C1438&gt;=CALL_LOOKUP_BOARD!$B$7,IF(OR(K1438="Problem Call",K1438="Explosive Alert"),10000000,20000000),0)+IF(C1438&gt;=CALL_LOOKUP_BOARD!$B$7,J1438*1000+MIN(C1438,999),C1438*1000+J1438)+0.00982500)</f>
        <v>1100.009825</v>
      </c>
      <c r="U1438" s="2" t="str">
        <f>IF(C1438=0,"",IF(COUNTIFS($S$1264:$S$1440,SUBSTITUTE(SUBSTITUTE(SUBSTITUTE(S1438,"~","~~"),"*","~*"),"?","~?"),$T$1264:$T$1440,"&gt;"&amp;T1438)=0,S1438,""))</f>
        <v>9:TOSS PASS|</v>
      </c>
    </row>
    <row r="1439" spans="1:21" ht="38" customHeight="1">
      <c r="A1439" s="8" t="s">
        <v>480</v>
      </c>
      <c r="B1439" s="8" t="s">
        <v>35</v>
      </c>
      <c r="C1439" s="12">
        <f>COUNTIFS('DEF_SELF_SCOUT_IMPORT'!$L$42:$L$1040,"Y",'DEF_SELF_SCOUT_IMPORT'!$E$42:$E$1040,SUBSTITUTE(SUBSTITUTE(SUBSTITUTE($B1439,"~","~~"),"*","~*"),"?","~?"),'DEF_SELF_SCOUT_IMPORT'!$D$42:$D$1040,SUBSTITUTE(SUBSTITUTE(SUBSTITUTE($P1439,"~","~~"),"*","~*"),"?","~?"))</f>
        <v>1</v>
      </c>
      <c r="D1439" s="10">
        <f>IF($C1439=0,"",SUMIFS('DEF_SELF_SCOUT_IMPORT'!$J$42:$J$1040,'DEF_SELF_SCOUT_IMPORT'!$L$42:$L$1040,"Y",'DEF_SELF_SCOUT_IMPORT'!$E$42:$E$1040,SUBSTITUTE(SUBSTITUTE(SUBSTITUTE($B1439,"~","~~"),"*","~*"),"?","~?"),'DEF_SELF_SCOUT_IMPORT'!$D$42:$D$1040,SUBSTITUTE(SUBSTITUTE(SUBSTITUTE($P1439,"~","~~"),"*","~*"),"?","~?"))/$C1439)</f>
        <v>1.0</v>
      </c>
      <c r="E1439" s="10">
        <f>IF($C1439=0,"",SUMIFS('DEF_SELF_SCOUT_IMPORT'!$K$42:$K$1040,'DEF_SELF_SCOUT_IMPORT'!$L$42:$L$1040,"Y",'DEF_SELF_SCOUT_IMPORT'!$E$42:$E$1040,SUBSTITUTE(SUBSTITUTE(SUBSTITUTE($B1439,"~","~~"),"*","~*"),"?","~?"),'DEF_SELF_SCOUT_IMPORT'!$D$42:$D$1040,SUBSTITUTE(SUBSTITUTE(SUBSTITUTE($P1439,"~","~~"),"*","~*"),"?","~?"))/$C1439)</f>
        <v>0.0</v>
      </c>
      <c r="F1439" s="11">
        <f>IF($C1439=0,"",AVERAGEIFS('DEF_SELF_SCOUT_IMPORT'!$I$42:$I$1040,'DEF_SELF_SCOUT_IMPORT'!$L$42:$L$1040,"Y",'DEF_SELF_SCOUT_IMPORT'!$E$42:$E$1040,SUBSTITUTE(SUBSTITUTE(SUBSTITUTE($B1439,"~","~~"),"*","~*"),"?","~?"),'DEF_SELF_SCOUT_IMPORT'!$D$42:$D$1040,SUBSTITUTE(SUBSTITUTE(SUBSTITUTE($P1439,"~","~~"),"*","~*"),"?","~?")))</f>
        <v>3.0</v>
      </c>
      <c r="G1439" s="10">
        <f>IF($C1439=0,"",COUNTIFS('DEF_SELF_SCOUT_IMPORT'!$L$42:$L$1040,"Y",'DEF_SELF_SCOUT_IMPORT'!$E$42:$E$1040,SUBSTITUTE(SUBSTITUTE(SUBSTITUTE($B1439,"~","~~"),"*","~*"),"?","~?"),'DEF_SELF_SCOUT_IMPORT'!$D$42:$D$1040,SUBSTITUTE(SUBSTITUTE(SUBSTITUTE($P1439,"~","~~"),"*","~*"),"?","~?"),'DEF_SELF_SCOUT_IMPORT'!$H$42:$H$1040,"RUSH")/$C1439)</f>
        <v>0.0</v>
      </c>
      <c r="H1439" s="10">
        <f>IF($C1439=0,"",COUNTIFS('DEF_SELF_SCOUT_IMPORT'!$L$42:$L$1040,"Y",'DEF_SELF_SCOUT_IMPORT'!$E$42:$E$1040,SUBSTITUTE(SUBSTITUTE(SUBSTITUTE($B1439,"~","~~"),"*","~*"),"?","~?"),'DEF_SELF_SCOUT_IMPORT'!$D$42:$D$1040,SUBSTITUTE(SUBSTITUTE(SUBSTITUTE($P1439,"~","~~"),"*","~*"),"?","~?"),'DEF_SELF_SCOUT_IMPORT'!$H$42:$H$1040,"DROPBACK")/$C1439)</f>
        <v>1.0</v>
      </c>
      <c r="I1439" s="14" t="str">
        <f>IF(C1439=0,"",IF(C1439&lt;=2,"TRACK",IF(C1439=3,"LOW",IF(C1439&lt;=6,"MEDIUM","HIGH"))))</f>
        <v>TRACK</v>
      </c>
      <c r="J1439" s="11">
        <f>IF(C1439=0,"",ROUND(D1439*70+(1-E1439)*20+MAX(0,MIN(1,(10-F1439)/10))*10,1))</f>
        <v>97.0</v>
      </c>
      <c r="K1439" s="14" t="str">
        <f>IF(C1439=0,"No Evidence",IF(C1439&lt;=2,IF(E1439&gt;0,"Explosive Alert","Track Only"),IF(C1439=3,"Sample Watch",IF(E1439&gt;=START_HERE!$B$31,"Explosive Alert",IF(J1439&gt;=80,"Strong Candidate",IF(J1439&gt;=65,"Good Candidate",IF(J1439&gt;=50,"Mixed / Review","Problem Call")))))))</f>
        <v>Track Only</v>
      </c>
      <c r="L1439" s="9" t="str">
        <f>IF(COUNTIFS('DEF_SELF_SCOUT_IMPORT'!$L$42:$L$1040,"Y",'DEF_SELF_SCOUT_IMPORT'!$E$42:$E$1040,SUBSTITUTE(SUBSTITUTE(SUBSTITUTE($B1439,"~","~~"),"*","~*"),"?","~?"),'DEF_SELF_SCOUT_IMPORT'!$D$42:$D$1040,SUBSTITUTE(SUBSTITUTE(SUBSTITUTE($P1439,"~","~~"),"*","~*"),"?","~?"),'DEF_SELF_SCOUT_IMPORT'!$J$42:$J$1040,"")&gt;0,"Unscored clean outcome; review result tags before using score.",IF(C1439=0,"No matching defensive reps; film confirmation needed.",IF(K1439="Explosive Alert","Explosive risk; review clips before using as answer.",IF(C1439&lt;=2,"Track only; not enough sample.",IF(C1439=3,IF(E1439&gt;0,"Sample watch with explosive exposure; review clips and build the sample.",IF(J1439&gt;=65,"Good signal, but sample is limited.","Sample watch; review clips and build the sample.")),IF(K1439="Problem Call","Problem area; practice or call-sheet review.",IF(K1439="Strong Candidate","Strong call-fit candidate; confirm on film.",IF(K1439="Good Candidate","Good call-fit signal; confirm on film.","Mixed signal; review fit and execution on film."))))))))</f>
        <v>Track only; not enough sample.</v>
      </c>
      <c r="M1439" s="8"/>
      <c r="N1439" s="8"/>
      <c r="O1439" s="8"/>
      <c r="P1439" s="8" t="s">
        <v>480</v>
      </c>
      <c r="Q1439" s="8"/>
      <c r="R1439" s="8" t="s">
        <v>633</v>
      </c>
      <c r="S1439" s="2" t="s">
        <v>658</v>
      </c>
      <c r="T1439" s="2">
        <f>IF(C1439=0,0,IF(C1439&gt;=CALL_LOOKUP_BOARD!$B$7,IF(OR(K1439="Problem Call",K1439="Explosive Alert"),10000000,20000000),0)+IF(C1439&gt;=CALL_LOOKUP_BOARD!$B$7,J1439*1000+MIN(C1439,999),C1439*1000+J1439)+0.00982400)</f>
        <v>1097.009824</v>
      </c>
      <c r="U1439" s="2">
        <f>IF(C1439=0,"",IF(COUNTIFS($S$1264:$S$1440,SUBSTITUTE(SUBSTITUTE(SUBSTITUTE(S1439,"~","~~"),"*","~*"),"?","~?"),$T$1264:$T$1440,"&gt;"&amp;T1439)=0,S1439,""))</f>
        <v/>
      </c>
    </row>
    <row r="1440" spans="1:21" ht="38" customHeight="1">
      <c r="A1440" s="8" t="s">
        <v>480</v>
      </c>
      <c r="B1440" s="8" t="s">
        <v>89</v>
      </c>
      <c r="C1440" s="12">
        <f>COUNTIFS('DEF_SELF_SCOUT_IMPORT'!$L$42:$L$1040,"Y",'DEF_SELF_SCOUT_IMPORT'!$E$42:$E$1040,SUBSTITUTE(SUBSTITUTE(SUBSTITUTE($B1440,"~","~~"),"*","~*"),"?","~?"),'DEF_SELF_SCOUT_IMPORT'!$D$42:$D$1040,SUBSTITUTE(SUBSTITUTE(SUBSTITUTE($P1440,"~","~~"),"*","~*"),"?","~?"))</f>
        <v>1</v>
      </c>
      <c r="D1440" s="10">
        <f>IF($C1440=0,"",SUMIFS('DEF_SELF_SCOUT_IMPORT'!$J$42:$J$1040,'DEF_SELF_SCOUT_IMPORT'!$L$42:$L$1040,"Y",'DEF_SELF_SCOUT_IMPORT'!$E$42:$E$1040,SUBSTITUTE(SUBSTITUTE(SUBSTITUTE($B1440,"~","~~"),"*","~*"),"?","~?"),'DEF_SELF_SCOUT_IMPORT'!$D$42:$D$1040,SUBSTITUTE(SUBSTITUTE(SUBSTITUTE($P1440,"~","~~"),"*","~*"),"?","~?"))/$C1440)</f>
        <v>1.0</v>
      </c>
      <c r="E1440" s="10">
        <f>IF($C1440=0,"",SUMIFS('DEF_SELF_SCOUT_IMPORT'!$K$42:$K$1040,'DEF_SELF_SCOUT_IMPORT'!$L$42:$L$1040,"Y",'DEF_SELF_SCOUT_IMPORT'!$E$42:$E$1040,SUBSTITUTE(SUBSTITUTE(SUBSTITUTE($B1440,"~","~~"),"*","~*"),"?","~?"),'DEF_SELF_SCOUT_IMPORT'!$D$42:$D$1040,SUBSTITUTE(SUBSTITUTE(SUBSTITUTE($P1440,"~","~~"),"*","~*"),"?","~?"))/$C1440)</f>
        <v>0.0</v>
      </c>
      <c r="F1440" s="11">
        <f>IF($C1440=0,"",AVERAGEIFS('DEF_SELF_SCOUT_IMPORT'!$I$42:$I$1040,'DEF_SELF_SCOUT_IMPORT'!$L$42:$L$1040,"Y",'DEF_SELF_SCOUT_IMPORT'!$E$42:$E$1040,SUBSTITUTE(SUBSTITUTE(SUBSTITUTE($B1440,"~","~~"),"*","~*"),"?","~?"),'DEF_SELF_SCOUT_IMPORT'!$D$42:$D$1040,SUBSTITUTE(SUBSTITUTE(SUBSTITUTE($P1440,"~","~~"),"*","~*"),"?","~?")))</f>
        <v>3.0</v>
      </c>
      <c r="G1440" s="10">
        <f>IF($C1440=0,"",COUNTIFS('DEF_SELF_SCOUT_IMPORT'!$L$42:$L$1040,"Y",'DEF_SELF_SCOUT_IMPORT'!$E$42:$E$1040,SUBSTITUTE(SUBSTITUTE(SUBSTITUTE($B1440,"~","~~"),"*","~*"),"?","~?"),'DEF_SELF_SCOUT_IMPORT'!$D$42:$D$1040,SUBSTITUTE(SUBSTITUTE(SUBSTITUTE($P1440,"~","~~"),"*","~*"),"?","~?"),'DEF_SELF_SCOUT_IMPORT'!$H$42:$H$1040,"RUSH")/$C1440)</f>
        <v>0.0</v>
      </c>
      <c r="H1440" s="10">
        <f>IF($C1440=0,"",COUNTIFS('DEF_SELF_SCOUT_IMPORT'!$L$42:$L$1040,"Y",'DEF_SELF_SCOUT_IMPORT'!$E$42:$E$1040,SUBSTITUTE(SUBSTITUTE(SUBSTITUTE($B1440,"~","~~"),"*","~*"),"?","~?"),'DEF_SELF_SCOUT_IMPORT'!$D$42:$D$1040,SUBSTITUTE(SUBSTITUTE(SUBSTITUTE($P1440,"~","~~"),"*","~*"),"?","~?"),'DEF_SELF_SCOUT_IMPORT'!$H$42:$H$1040,"DROPBACK")/$C1440)</f>
        <v>1.0</v>
      </c>
      <c r="I1440" s="14" t="str">
        <f>IF(C1440=0,"",IF(C1440&lt;=2,"TRACK",IF(C1440=3,"LOW",IF(C1440&lt;=6,"MEDIUM","HIGH"))))</f>
        <v>TRACK</v>
      </c>
      <c r="J1440" s="11">
        <f>IF(C1440=0,"",ROUND(D1440*70+(1-E1440)*20+MAX(0,MIN(1,(10-F1440)/10))*10,1))</f>
        <v>97.0</v>
      </c>
      <c r="K1440" s="14" t="str">
        <f>IF(C1440=0,"No Evidence",IF(C1440&lt;=2,IF(E1440&gt;0,"Explosive Alert","Track Only"),IF(C1440=3,"Sample Watch",IF(E1440&gt;=START_HERE!$B$31,"Explosive Alert",IF(J1440&gt;=80,"Strong Candidate",IF(J1440&gt;=65,"Good Candidate",IF(J1440&gt;=50,"Mixed / Review","Problem Call")))))))</f>
        <v>Track Only</v>
      </c>
      <c r="L1440" s="9" t="str">
        <f>IF(COUNTIFS('DEF_SELF_SCOUT_IMPORT'!$L$42:$L$1040,"Y",'DEF_SELF_SCOUT_IMPORT'!$E$42:$E$1040,SUBSTITUTE(SUBSTITUTE(SUBSTITUTE($B1440,"~","~~"),"*","~*"),"?","~?"),'DEF_SELF_SCOUT_IMPORT'!$D$42:$D$1040,SUBSTITUTE(SUBSTITUTE(SUBSTITUTE($P1440,"~","~~"),"*","~*"),"?","~?"),'DEF_SELF_SCOUT_IMPORT'!$J$42:$J$1040,"")&gt;0,"Unscored clean outcome; review result tags before using score.",IF(C1440=0,"No matching defensive reps; film confirmation needed.",IF(K1440="Explosive Alert","Explosive risk; review clips before using as answer.",IF(C1440&lt;=2,"Track only; not enough sample.",IF(C1440=3,IF(E1440&gt;0,"Sample watch with explosive exposure; review clips and build the sample.",IF(J1440&gt;=65,"Good signal, but sample is limited.","Sample watch; review clips and build the sample.")),IF(K1440="Problem Call","Problem area; practice or call-sheet review.",IF(K1440="Strong Candidate","Strong call-fit candidate; confirm on film.",IF(K1440="Good Candidate","Good call-fit signal; confirm on film.","Mixed signal; review fit and execution on film."))))))))</f>
        <v>Track only; not enough sample.</v>
      </c>
      <c r="M1440" s="8"/>
      <c r="N1440" s="8"/>
      <c r="O1440" s="8"/>
      <c r="P1440" s="8" t="s">
        <v>480</v>
      </c>
      <c r="Q1440" s="8"/>
      <c r="R1440" s="8" t="s">
        <v>633</v>
      </c>
      <c r="S1440" s="2" t="s">
        <v>658</v>
      </c>
      <c r="T1440" s="2">
        <f>IF(C1440=0,0,IF(C1440&gt;=CALL_LOOKUP_BOARD!$B$7,IF(OR(K1440="Problem Call",K1440="Explosive Alert"),10000000,20000000),0)+IF(C1440&gt;=CALL_LOOKUP_BOARD!$B$7,J1440*1000+MIN(C1440,999),C1440*1000+J1440)+0.00982300)</f>
        <v>1097.009823</v>
      </c>
      <c r="U1440" s="2">
        <f>IF(C1440=0,"",IF(COUNTIFS($S$1264:$S$1440,SUBSTITUTE(SUBSTITUTE(SUBSTITUTE(S1440,"~","~~"),"*","~*"),"?","~?"),$T$1264:$T$1440,"&gt;"&amp;T1440)=0,S1440,""))</f>
        <v/>
      </c>
    </row>
    <row r="1445" spans="1:21" ht="27" customHeight="1">
      <c r="A1445" s="5" t="s">
        <v>659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</row>
    <row r="1446" spans="1:21" ht="36" customHeight="1">
      <c r="A1446" s="9" t="s">
        <v>7</v>
      </c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</row>
    <row r="1447" spans="1:21" ht="46" customHeight="1">
      <c r="A1447" s="6" t="s">
        <v>8</v>
      </c>
      <c r="B1447" s="6" t="s">
        <v>9</v>
      </c>
      <c r="C1447" s="6" t="s">
        <v>10</v>
      </c>
      <c r="D1447" s="6" t="s">
        <v>11</v>
      </c>
      <c r="E1447" s="6" t="s">
        <v>12</v>
      </c>
      <c r="F1447" s="6" t="s">
        <v>13</v>
      </c>
      <c r="G1447" s="6" t="s">
        <v>14</v>
      </c>
      <c r="H1447" s="6" t="s">
        <v>15</v>
      </c>
      <c r="I1447" s="6" t="s">
        <v>16</v>
      </c>
      <c r="J1447" s="6" t="s">
        <v>17</v>
      </c>
      <c r="K1447" s="6" t="s">
        <v>18</v>
      </c>
      <c r="L1447" s="6" t="s">
        <v>19</v>
      </c>
      <c r="M1447" s="6" t="s">
        <v>20</v>
      </c>
      <c r="N1447" s="6" t="s">
        <v>21</v>
      </c>
      <c r="O1447" s="6" t="s">
        <v>22</v>
      </c>
      <c r="P1447" s="6" t="s">
        <v>23</v>
      </c>
      <c r="Q1447" s="6" t="s">
        <v>24</v>
      </c>
      <c r="R1447" s="6" t="s">
        <v>25</v>
      </c>
    </row>
    <row r="1448" spans="1:21" ht="38" customHeight="1">
      <c r="A1448" s="8" t="s">
        <v>660</v>
      </c>
      <c r="B1448" s="8" t="s">
        <v>27</v>
      </c>
      <c r="C1448" s="12">
        <f>COUNTIFS('DEF_SELF_SCOUT_IMPORT'!$L$42:$L$1040,"Y",'DEF_SELF_SCOUT_IMPORT'!$E$42:$E$1040,SUBSTITUTE(SUBSTITUTE(SUBSTITUTE($B1448,"~","~~"),"*","~*"),"?","~?"),'DEF_SELF_SCOUT_IMPORT'!$Q$42:$Q$1040,SUBSTITUTE(SUBSTITUTE(SUBSTITUTE($M1448,"~","~~"),"*","~*"),"?","~?"),'DEF_SELF_SCOUT_IMPORT'!$F$42:$F$1040,SUBSTITUTE(SUBSTITUTE(SUBSTITUTE($N1448,"~","~~"),"*","~*"),"?","~?"),'DEF_SELF_SCOUT_IMPORT'!$D$42:$D$1040,SUBSTITUTE(SUBSTITUTE(SUBSTITUTE($P1448,"~","~~"),"*","~*"),"?","~?"))</f>
        <v>1</v>
      </c>
      <c r="D1448" s="10">
        <f>IF($C1448=0,"",SUMIFS('DEF_SELF_SCOUT_IMPORT'!$J$42:$J$1040,'DEF_SELF_SCOUT_IMPORT'!$L$42:$L$1040,"Y",'DEF_SELF_SCOUT_IMPORT'!$E$42:$E$1040,SUBSTITUTE(SUBSTITUTE(SUBSTITUTE($B1448,"~","~~"),"*","~*"),"?","~?"),'DEF_SELF_SCOUT_IMPORT'!$Q$42:$Q$1040,SUBSTITUTE(SUBSTITUTE(SUBSTITUTE($M1448,"~","~~"),"*","~*"),"?","~?"),'DEF_SELF_SCOUT_IMPORT'!$F$42:$F$1040,SUBSTITUTE(SUBSTITUTE(SUBSTITUTE($N1448,"~","~~"),"*","~*"),"?","~?"),'DEF_SELF_SCOUT_IMPORT'!$D$42:$D$1040,SUBSTITUTE(SUBSTITUTE(SUBSTITUTE($P1448,"~","~~"),"*","~*"),"?","~?"))/$C1448)</f>
        <v>0.0</v>
      </c>
      <c r="E1448" s="10">
        <f>IF($C1448=0,"",SUMIFS('DEF_SELF_SCOUT_IMPORT'!$K$42:$K$1040,'DEF_SELF_SCOUT_IMPORT'!$L$42:$L$1040,"Y",'DEF_SELF_SCOUT_IMPORT'!$E$42:$E$1040,SUBSTITUTE(SUBSTITUTE(SUBSTITUTE($B1448,"~","~~"),"*","~*"),"?","~?"),'DEF_SELF_SCOUT_IMPORT'!$Q$42:$Q$1040,SUBSTITUTE(SUBSTITUTE(SUBSTITUTE($M1448,"~","~~"),"*","~*"),"?","~?"),'DEF_SELF_SCOUT_IMPORT'!$F$42:$F$1040,SUBSTITUTE(SUBSTITUTE(SUBSTITUTE($N1448,"~","~~"),"*","~*"),"?","~?"),'DEF_SELF_SCOUT_IMPORT'!$D$42:$D$1040,SUBSTITUTE(SUBSTITUTE(SUBSTITUTE($P1448,"~","~~"),"*","~*"),"?","~?"))/$C1448)</f>
        <v>0.0</v>
      </c>
      <c r="F1448" s="11">
        <f>IF($C1448=0,"",AVERAGEIFS('DEF_SELF_SCOUT_IMPORT'!$I$42:$I$1040,'DEF_SELF_SCOUT_IMPORT'!$L$42:$L$1040,"Y",'DEF_SELF_SCOUT_IMPORT'!$E$42:$E$1040,SUBSTITUTE(SUBSTITUTE(SUBSTITUTE($B1448,"~","~~"),"*","~*"),"?","~?"),'DEF_SELF_SCOUT_IMPORT'!$Q$42:$Q$1040,SUBSTITUTE(SUBSTITUTE(SUBSTITUTE($M1448,"~","~~"),"*","~*"),"?","~?"),'DEF_SELF_SCOUT_IMPORT'!$F$42:$F$1040,SUBSTITUTE(SUBSTITUTE(SUBSTITUTE($N1448,"~","~~"),"*","~*"),"?","~?"),'DEF_SELF_SCOUT_IMPORT'!$D$42:$D$1040,SUBSTITUTE(SUBSTITUTE(SUBSTITUTE($P1448,"~","~~"),"*","~*"),"?","~?")))</f>
        <v>1.0</v>
      </c>
      <c r="G1448" s="10">
        <f>IF($C1448=0,"",COUNTIFS('DEF_SELF_SCOUT_IMPORT'!$L$42:$L$1040,"Y",'DEF_SELF_SCOUT_IMPORT'!$E$42:$E$1040,SUBSTITUTE(SUBSTITUTE(SUBSTITUTE($B1448,"~","~~"),"*","~*"),"?","~?"),'DEF_SELF_SCOUT_IMPORT'!$Q$42:$Q$1040,SUBSTITUTE(SUBSTITUTE(SUBSTITUTE($M1448,"~","~~"),"*","~*"),"?","~?"),'DEF_SELF_SCOUT_IMPORT'!$F$42:$F$1040,SUBSTITUTE(SUBSTITUTE(SUBSTITUTE($N1448,"~","~~"),"*","~*"),"?","~?"),'DEF_SELF_SCOUT_IMPORT'!$D$42:$D$1040,SUBSTITUTE(SUBSTITUTE(SUBSTITUTE($P1448,"~","~~"),"*","~*"),"?","~?"),'DEF_SELF_SCOUT_IMPORT'!$H$42:$H$1040,"RUSH")/$C1448)</f>
        <v>0.0</v>
      </c>
      <c r="H1448" s="10">
        <f>IF($C1448=0,"",COUNTIFS('DEF_SELF_SCOUT_IMPORT'!$L$42:$L$1040,"Y",'DEF_SELF_SCOUT_IMPORT'!$E$42:$E$1040,SUBSTITUTE(SUBSTITUTE(SUBSTITUTE($B1448,"~","~~"),"*","~*"),"?","~?"),'DEF_SELF_SCOUT_IMPORT'!$Q$42:$Q$1040,SUBSTITUTE(SUBSTITUTE(SUBSTITUTE($M1448,"~","~~"),"*","~*"),"?","~?"),'DEF_SELF_SCOUT_IMPORT'!$F$42:$F$1040,SUBSTITUTE(SUBSTITUTE(SUBSTITUTE($N1448,"~","~~"),"*","~*"),"?","~?"),'DEF_SELF_SCOUT_IMPORT'!$D$42:$D$1040,SUBSTITUTE(SUBSTITUTE(SUBSTITUTE($P1448,"~","~~"),"*","~*"),"?","~?"),'DEF_SELF_SCOUT_IMPORT'!$H$42:$H$1040,"DROPBACK")/$C1448)</f>
        <v>0.0</v>
      </c>
      <c r="I1448" s="14" t="str">
        <f>IF(C1448=0,"",IF(C1448&lt;=2,"TRACK",IF(C1448=3,"LOW",IF(C1448&lt;=6,"MEDIUM","HIGH"))))</f>
        <v>TRACK</v>
      </c>
      <c r="J1448" s="11">
        <f>IF(C1448=0,"",ROUND(D1448*70+(1-E1448)*20+MAX(0,MIN(1,(10-F1448)/10))*10,1))</f>
        <v>29.0</v>
      </c>
      <c r="K1448" s="14" t="str">
        <f>IF(C1448=0,"No Evidence",IF(C1448&lt;=2,IF(E1448&gt;0,"Explosive Alert","Track Only"),IF(C1448=3,"Sample Watch",IF(E1448&gt;=START_HERE!$B$31,"Explosive Alert",IF(J1448&gt;=80,"Strong Candidate",IF(J1448&gt;=65,"Good Candidate",IF(J1448&gt;=50,"Mixed / Review","Problem Call")))))))</f>
        <v>Track Only</v>
      </c>
      <c r="L1448" s="9" t="str">
        <f>IF(COUNTIFS('DEF_SELF_SCOUT_IMPORT'!$L$42:$L$1040,"Y",'DEF_SELF_SCOUT_IMPORT'!$E$42:$E$1040,SUBSTITUTE(SUBSTITUTE(SUBSTITUTE($B1448,"~","~~"),"*","~*"),"?","~?"),'DEF_SELF_SCOUT_IMPORT'!$Q$42:$Q$1040,SUBSTITUTE(SUBSTITUTE(SUBSTITUTE($M1448,"~","~~"),"*","~*"),"?","~?"),'DEF_SELF_SCOUT_IMPORT'!$F$42:$F$1040,SUBSTITUTE(SUBSTITUTE(SUBSTITUTE($N1448,"~","~~"),"*","~*"),"?","~?"),'DEF_SELF_SCOUT_IMPORT'!$D$42:$D$1040,SUBSTITUTE(SUBSTITUTE(SUBSTITUTE($P1448,"~","~~"),"*","~*"),"?","~?"),'DEF_SELF_SCOUT_IMPORT'!$J$42:$J$1040,"")&gt;0,"Unscored clean outcome; review result tags before using score.",IF(C1448=0,"No matching defensive reps; film confirmation needed.",IF(K1448="Explosive Alert","Explosive risk; review clips before using as answer.",IF(C1448&lt;=2,"Track only; not enough sample.",IF(C1448=3,IF(E1448&gt;0,"Sample watch with explosive exposure; review clips and build the sample.",IF(J1448&gt;=65,"Good signal, but sample is limited.","Sample watch; review clips and build the sample.")),IF(K1448="Problem Call","Problem area; practice or call-sheet review.",IF(K1448="Strong Candidate","Strong call-fit candidate; confirm on film.",IF(K1448="Good Candidate","Good call-fit signal; confirm on film.","Mixed signal; review fit and execution on film."))))))))</f>
        <v>Track only; not enough sample.</v>
      </c>
      <c r="M1448" s="8" t="s">
        <v>70</v>
      </c>
      <c r="N1448" s="8" t="s">
        <v>123</v>
      </c>
      <c r="O1448" s="8"/>
      <c r="P1448" s="8" t="s">
        <v>428</v>
      </c>
      <c r="Q1448" s="8"/>
      <c r="R1448" s="8" t="s">
        <v>661</v>
      </c>
      <c r="S1448" s="2" t="s">
        <v>662</v>
      </c>
      <c r="T1448" s="2">
        <f>IF(C1448=0,0,IF(C1448&gt;=CALL_LOOKUP_BOARD!$B$7,IF(OR(K1448="Problem Call",K1448="Explosive Alert"),10000000,20000000),0)+IF(C1448&gt;=CALL_LOOKUP_BOARD!$B$7,J1448*1000+MIN(C1448,999),C1448*1000+J1448)+0.00999900)</f>
        <v>1029.009999</v>
      </c>
      <c r="U1448" s="2" t="str">
        <f>IF(C1448=0,"",IF(COUNTIFS($S$1448:$S$1491,SUBSTITUTE(SUBSTITUTE(SUBSTITUTE(S1448,"~","~~"),"*","~*"),"?","~?"),$T$1448:$T$1491,"&gt;"&amp;T1448)=0,S1448,""))</f>
        <v>6:2D 1-3|2:12|0:|11:INSIDE ZONE|</v>
      </c>
    </row>
    <row r="1449" spans="1:21" ht="38" customHeight="1">
      <c r="A1449" s="8" t="s">
        <v>660</v>
      </c>
      <c r="B1449" s="8" t="s">
        <v>35</v>
      </c>
      <c r="C1449" s="12">
        <f>COUNTIFS('DEF_SELF_SCOUT_IMPORT'!$L$42:$L$1040,"Y",'DEF_SELF_SCOUT_IMPORT'!$E$42:$E$1040,SUBSTITUTE(SUBSTITUTE(SUBSTITUTE($B1449,"~","~~"),"*","~*"),"?","~?"),'DEF_SELF_SCOUT_IMPORT'!$Q$42:$Q$1040,SUBSTITUTE(SUBSTITUTE(SUBSTITUTE($M1449,"~","~~"),"*","~*"),"?","~?"),'DEF_SELF_SCOUT_IMPORT'!$F$42:$F$1040,SUBSTITUTE(SUBSTITUTE(SUBSTITUTE($N1449,"~","~~"),"*","~*"),"?","~?"),'DEF_SELF_SCOUT_IMPORT'!$D$42:$D$1040,SUBSTITUTE(SUBSTITUTE(SUBSTITUTE($P1449,"~","~~"),"*","~*"),"?","~?"))</f>
        <v>1</v>
      </c>
      <c r="D1449" s="10">
        <f>IF($C1449=0,"",SUMIFS('DEF_SELF_SCOUT_IMPORT'!$J$42:$J$1040,'DEF_SELF_SCOUT_IMPORT'!$L$42:$L$1040,"Y",'DEF_SELF_SCOUT_IMPORT'!$E$42:$E$1040,SUBSTITUTE(SUBSTITUTE(SUBSTITUTE($B1449,"~","~~"),"*","~*"),"?","~?"),'DEF_SELF_SCOUT_IMPORT'!$Q$42:$Q$1040,SUBSTITUTE(SUBSTITUTE(SUBSTITUTE($M1449,"~","~~"),"*","~*"),"?","~?"),'DEF_SELF_SCOUT_IMPORT'!$F$42:$F$1040,SUBSTITUTE(SUBSTITUTE(SUBSTITUTE($N1449,"~","~~"),"*","~*"),"?","~?"),'DEF_SELF_SCOUT_IMPORT'!$D$42:$D$1040,SUBSTITUTE(SUBSTITUTE(SUBSTITUTE($P1449,"~","~~"),"*","~*"),"?","~?"))/$C1449)</f>
        <v>0.0</v>
      </c>
      <c r="E1449" s="10">
        <f>IF($C1449=0,"",SUMIFS('DEF_SELF_SCOUT_IMPORT'!$K$42:$K$1040,'DEF_SELF_SCOUT_IMPORT'!$L$42:$L$1040,"Y",'DEF_SELF_SCOUT_IMPORT'!$E$42:$E$1040,SUBSTITUTE(SUBSTITUTE(SUBSTITUTE($B1449,"~","~~"),"*","~*"),"?","~?"),'DEF_SELF_SCOUT_IMPORT'!$Q$42:$Q$1040,SUBSTITUTE(SUBSTITUTE(SUBSTITUTE($M1449,"~","~~"),"*","~*"),"?","~?"),'DEF_SELF_SCOUT_IMPORT'!$F$42:$F$1040,SUBSTITUTE(SUBSTITUTE(SUBSTITUTE($N1449,"~","~~"),"*","~*"),"?","~?"),'DEF_SELF_SCOUT_IMPORT'!$D$42:$D$1040,SUBSTITUTE(SUBSTITUTE(SUBSTITUTE($P1449,"~","~~"),"*","~*"),"?","~?"))/$C1449)</f>
        <v>1.0</v>
      </c>
      <c r="F1449" s="11">
        <f>IF($C1449=0,"",AVERAGEIFS('DEF_SELF_SCOUT_IMPORT'!$I$42:$I$1040,'DEF_SELF_SCOUT_IMPORT'!$L$42:$L$1040,"Y",'DEF_SELF_SCOUT_IMPORT'!$E$42:$E$1040,SUBSTITUTE(SUBSTITUTE(SUBSTITUTE($B1449,"~","~~"),"*","~*"),"?","~?"),'DEF_SELF_SCOUT_IMPORT'!$Q$42:$Q$1040,SUBSTITUTE(SUBSTITUTE(SUBSTITUTE($M1449,"~","~~"),"*","~*"),"?","~?"),'DEF_SELF_SCOUT_IMPORT'!$F$42:$F$1040,SUBSTITUTE(SUBSTITUTE(SUBSTITUTE($N1449,"~","~~"),"*","~*"),"?","~?"),'DEF_SELF_SCOUT_IMPORT'!$D$42:$D$1040,SUBSTITUTE(SUBSTITUTE(SUBSTITUTE($P1449,"~","~~"),"*","~*"),"?","~?")))</f>
        <v>16.0</v>
      </c>
      <c r="G1449" s="10">
        <f>IF($C1449=0,"",COUNTIFS('DEF_SELF_SCOUT_IMPORT'!$L$42:$L$1040,"Y",'DEF_SELF_SCOUT_IMPORT'!$E$42:$E$1040,SUBSTITUTE(SUBSTITUTE(SUBSTITUTE($B1449,"~","~~"),"*","~*"),"?","~?"),'DEF_SELF_SCOUT_IMPORT'!$Q$42:$Q$1040,SUBSTITUTE(SUBSTITUTE(SUBSTITUTE($M1449,"~","~~"),"*","~*"),"?","~?"),'DEF_SELF_SCOUT_IMPORT'!$F$42:$F$1040,SUBSTITUTE(SUBSTITUTE(SUBSTITUTE($N1449,"~","~~"),"*","~*"),"?","~?"),'DEF_SELF_SCOUT_IMPORT'!$D$42:$D$1040,SUBSTITUTE(SUBSTITUTE(SUBSTITUTE($P1449,"~","~~"),"*","~*"),"?","~?"),'DEF_SELF_SCOUT_IMPORT'!$H$42:$H$1040,"RUSH")/$C1449)</f>
        <v>1.0</v>
      </c>
      <c r="H1449" s="10">
        <f>IF($C1449=0,"",COUNTIFS('DEF_SELF_SCOUT_IMPORT'!$L$42:$L$1040,"Y",'DEF_SELF_SCOUT_IMPORT'!$E$42:$E$1040,SUBSTITUTE(SUBSTITUTE(SUBSTITUTE($B1449,"~","~~"),"*","~*"),"?","~?"),'DEF_SELF_SCOUT_IMPORT'!$Q$42:$Q$1040,SUBSTITUTE(SUBSTITUTE(SUBSTITUTE($M1449,"~","~~"),"*","~*"),"?","~?"),'DEF_SELF_SCOUT_IMPORT'!$F$42:$F$1040,SUBSTITUTE(SUBSTITUTE(SUBSTITUTE($N1449,"~","~~"),"*","~*"),"?","~?"),'DEF_SELF_SCOUT_IMPORT'!$D$42:$D$1040,SUBSTITUTE(SUBSTITUTE(SUBSTITUTE($P1449,"~","~~"),"*","~*"),"?","~?"),'DEF_SELF_SCOUT_IMPORT'!$H$42:$H$1040,"DROPBACK")/$C1449)</f>
        <v>0.0</v>
      </c>
      <c r="I1449" s="14" t="str">
        <f>IF(C1449=0,"",IF(C1449&lt;=2,"TRACK",IF(C1449=3,"LOW",IF(C1449&lt;=6,"MEDIUM","HIGH"))))</f>
        <v>TRACK</v>
      </c>
      <c r="J1449" s="11">
        <f>IF(C1449=0,"",ROUND(D1449*70+(1-E1449)*20+MAX(0,MIN(1,(10-F1449)/10))*10,1))</f>
        <v>0.0</v>
      </c>
      <c r="K1449" s="14" t="str">
        <f>IF(C1449=0,"No Evidence",IF(C1449&lt;=2,IF(E1449&gt;0,"Explosive Alert","Track Only"),IF(C1449=3,"Sample Watch",IF(E1449&gt;=START_HERE!$B$31,"Explosive Alert",IF(J1449&gt;=80,"Strong Candidate",IF(J1449&gt;=65,"Good Candidate",IF(J1449&gt;=50,"Mixed / Review","Problem Call")))))))</f>
        <v>Explosive Alert</v>
      </c>
      <c r="L1449" s="9" t="str">
        <f>IF(COUNTIFS('DEF_SELF_SCOUT_IMPORT'!$L$42:$L$1040,"Y",'DEF_SELF_SCOUT_IMPORT'!$E$42:$E$1040,SUBSTITUTE(SUBSTITUTE(SUBSTITUTE($B1449,"~","~~"),"*","~*"),"?","~?"),'DEF_SELF_SCOUT_IMPORT'!$Q$42:$Q$1040,SUBSTITUTE(SUBSTITUTE(SUBSTITUTE($M1449,"~","~~"),"*","~*"),"?","~?"),'DEF_SELF_SCOUT_IMPORT'!$F$42:$F$1040,SUBSTITUTE(SUBSTITUTE(SUBSTITUTE($N1449,"~","~~"),"*","~*"),"?","~?"),'DEF_SELF_SCOUT_IMPORT'!$D$42:$D$1040,SUBSTITUTE(SUBSTITUTE(SUBSTITUTE($P1449,"~","~~"),"*","~*"),"?","~?"),'DEF_SELF_SCOUT_IMPORT'!$J$42:$J$1040,"")&gt;0,"Unscored clean outcome; review result tags before using score.",IF(C1449=0,"No matching defensive reps; film confirmation needed.",IF(K1449="Explosive Alert","Explosive risk; review clips before using as answer.",IF(C1449&lt;=2,"Track only; not enough sample.",IF(C1449=3,IF(E1449&gt;0,"Sample watch with explosive exposure; review clips and build the sample.",IF(J1449&gt;=65,"Good signal, but sample is limited.","Sample watch; review clips and build the sample.")),IF(K1449="Problem Call","Problem area; practice or call-sheet review.",IF(K1449="Strong Candidate","Strong call-fit candidate; confirm on film.",IF(K1449="Good Candidate","Good call-fit signal; confirm on film.","Mixed signal; review fit and execution on film."))))))))</f>
        <v>Explosive risk; review clips before using as answer.</v>
      </c>
      <c r="M1449" s="8" t="s">
        <v>70</v>
      </c>
      <c r="N1449" s="8" t="s">
        <v>123</v>
      </c>
      <c r="O1449" s="8"/>
      <c r="P1449" s="8" t="s">
        <v>428</v>
      </c>
      <c r="Q1449" s="8"/>
      <c r="R1449" s="8" t="s">
        <v>661</v>
      </c>
      <c r="S1449" s="2" t="s">
        <v>662</v>
      </c>
      <c r="T1449" s="2">
        <f>IF(C1449=0,0,IF(C1449&gt;=CALL_LOOKUP_BOARD!$B$7,IF(OR(K1449="Problem Call",K1449="Explosive Alert"),10000000,20000000),0)+IF(C1449&gt;=CALL_LOOKUP_BOARD!$B$7,J1449*1000+MIN(C1449,999),C1449*1000+J1449)+0.00999800)</f>
        <v>1000.009998</v>
      </c>
      <c r="U1449" s="2">
        <f>IF(C1449=0,"",IF(COUNTIFS($S$1448:$S$1491,SUBSTITUTE(SUBSTITUTE(SUBSTITUTE(S1449,"~","~~"),"*","~*"),"?","~?"),$T$1448:$T$1491,"&gt;"&amp;T1449)=0,S1449,""))</f>
        <v/>
      </c>
    </row>
    <row r="1450" spans="1:21" ht="38" customHeight="1">
      <c r="A1450" s="8" t="s">
        <v>324</v>
      </c>
      <c r="B1450" s="8" t="s">
        <v>46</v>
      </c>
      <c r="C1450" s="12">
        <f>COUNTIFS('DEF_SELF_SCOUT_IMPORT'!$L$42:$L$1040,"Y",'DEF_SELF_SCOUT_IMPORT'!$E$42:$E$1040,SUBSTITUTE(SUBSTITUTE(SUBSTITUTE($B1450,"~","~~"),"*","~*"),"?","~?"),'DEF_SELF_SCOUT_IMPORT'!$Q$42:$Q$1040,SUBSTITUTE(SUBSTITUTE(SUBSTITUTE($M1450,"~","~~"),"*","~*"),"?","~?"),'DEF_SELF_SCOUT_IMPORT'!$F$42:$F$1040,SUBSTITUTE(SUBSTITUTE(SUBSTITUTE($N1450,"~","~~"),"*","~*"),"?","~?"),'DEF_SELF_SCOUT_IMPORT'!$G$42:$G$1040,SUBSTITUTE(SUBSTITUTE(SUBSTITUTE($O1450,"~","~~"),"*","~*"),"?","~?"))</f>
        <v>1</v>
      </c>
      <c r="D1450" s="10">
        <f>IF($C1450=0,"",SUMIFS('DEF_SELF_SCOUT_IMPORT'!$J$42:$J$1040,'DEF_SELF_SCOUT_IMPORT'!$L$42:$L$1040,"Y",'DEF_SELF_SCOUT_IMPORT'!$E$42:$E$1040,SUBSTITUTE(SUBSTITUTE(SUBSTITUTE($B1450,"~","~~"),"*","~*"),"?","~?"),'DEF_SELF_SCOUT_IMPORT'!$Q$42:$Q$1040,SUBSTITUTE(SUBSTITUTE(SUBSTITUTE($M1450,"~","~~"),"*","~*"),"?","~?"),'DEF_SELF_SCOUT_IMPORT'!$F$42:$F$1040,SUBSTITUTE(SUBSTITUTE(SUBSTITUTE($N1450,"~","~~"),"*","~*"),"?","~?"),'DEF_SELF_SCOUT_IMPORT'!$G$42:$G$1040,SUBSTITUTE(SUBSTITUTE(SUBSTITUTE($O1450,"~","~~"),"*","~*"),"?","~?"))/$C1450)</f>
        <v>1.0</v>
      </c>
      <c r="E1450" s="10">
        <f>IF($C1450=0,"",SUMIFS('DEF_SELF_SCOUT_IMPORT'!$K$42:$K$1040,'DEF_SELF_SCOUT_IMPORT'!$L$42:$L$1040,"Y",'DEF_SELF_SCOUT_IMPORT'!$E$42:$E$1040,SUBSTITUTE(SUBSTITUTE(SUBSTITUTE($B1450,"~","~~"),"*","~*"),"?","~?"),'DEF_SELF_SCOUT_IMPORT'!$Q$42:$Q$1040,SUBSTITUTE(SUBSTITUTE(SUBSTITUTE($M1450,"~","~~"),"*","~*"),"?","~?"),'DEF_SELF_SCOUT_IMPORT'!$F$42:$F$1040,SUBSTITUTE(SUBSTITUTE(SUBSTITUTE($N1450,"~","~~"),"*","~*"),"?","~?"),'DEF_SELF_SCOUT_IMPORT'!$G$42:$G$1040,SUBSTITUTE(SUBSTITUTE(SUBSTITUTE($O1450,"~","~~"),"*","~*"),"?","~?"))/$C1450)</f>
        <v>0.0</v>
      </c>
      <c r="F1450" s="11">
        <f>IF($C1450=0,"",AVERAGEIFS('DEF_SELF_SCOUT_IMPORT'!$I$42:$I$1040,'DEF_SELF_SCOUT_IMPORT'!$L$42:$L$1040,"Y",'DEF_SELF_SCOUT_IMPORT'!$E$42:$E$1040,SUBSTITUTE(SUBSTITUTE(SUBSTITUTE($B1450,"~","~~"),"*","~*"),"?","~?"),'DEF_SELF_SCOUT_IMPORT'!$Q$42:$Q$1040,SUBSTITUTE(SUBSTITUTE(SUBSTITUTE($M1450,"~","~~"),"*","~*"),"?","~?"),'DEF_SELF_SCOUT_IMPORT'!$F$42:$F$1040,SUBSTITUTE(SUBSTITUTE(SUBSTITUTE($N1450,"~","~~"),"*","~*"),"?","~?"),'DEF_SELF_SCOUT_IMPORT'!$G$42:$G$1040,SUBSTITUTE(SUBSTITUTE(SUBSTITUTE($O1450,"~","~~"),"*","~*"),"?","~?")))</f>
        <v>0.0</v>
      </c>
      <c r="G1450" s="10">
        <f>IF($C1450=0,"",COUNTIFS('DEF_SELF_SCOUT_IMPORT'!$L$42:$L$1040,"Y",'DEF_SELF_SCOUT_IMPORT'!$E$42:$E$1040,SUBSTITUTE(SUBSTITUTE(SUBSTITUTE($B1450,"~","~~"),"*","~*"),"?","~?"),'DEF_SELF_SCOUT_IMPORT'!$Q$42:$Q$1040,SUBSTITUTE(SUBSTITUTE(SUBSTITUTE($M1450,"~","~~"),"*","~*"),"?","~?"),'DEF_SELF_SCOUT_IMPORT'!$F$42:$F$1040,SUBSTITUTE(SUBSTITUTE(SUBSTITUTE($N1450,"~","~~"),"*","~*"),"?","~?"),'DEF_SELF_SCOUT_IMPORT'!$G$42:$G$1040,SUBSTITUTE(SUBSTITUTE(SUBSTITUTE($O1450,"~","~~"),"*","~*"),"?","~?"),'DEF_SELF_SCOUT_IMPORT'!$H$42:$H$1040,"RUSH")/$C1450)</f>
        <v>0.0</v>
      </c>
      <c r="H1450" s="10">
        <f>IF($C1450=0,"",COUNTIFS('DEF_SELF_SCOUT_IMPORT'!$L$42:$L$1040,"Y",'DEF_SELF_SCOUT_IMPORT'!$E$42:$E$1040,SUBSTITUTE(SUBSTITUTE(SUBSTITUTE($B1450,"~","~~"),"*","~*"),"?","~?"),'DEF_SELF_SCOUT_IMPORT'!$Q$42:$Q$1040,SUBSTITUTE(SUBSTITUTE(SUBSTITUTE($M1450,"~","~~"),"*","~*"),"?","~?"),'DEF_SELF_SCOUT_IMPORT'!$F$42:$F$1040,SUBSTITUTE(SUBSTITUTE(SUBSTITUTE($N1450,"~","~~"),"*","~*"),"?","~?"),'DEF_SELF_SCOUT_IMPORT'!$G$42:$G$1040,SUBSTITUTE(SUBSTITUTE(SUBSTITUTE($O1450,"~","~~"),"*","~*"),"?","~?"),'DEF_SELF_SCOUT_IMPORT'!$H$42:$H$1040,"DROPBACK")/$C1450)</f>
        <v>1.0</v>
      </c>
      <c r="I1450" s="14" t="str">
        <f>IF(C1450=0,"",IF(C1450&lt;=2,"TRACK",IF(C1450=3,"LOW",IF(C1450&lt;=6,"MEDIUM","HIGH"))))</f>
        <v>TRACK</v>
      </c>
      <c r="J1450" s="11">
        <f>IF(C1450=0,"",ROUND(D1450*70+(1-E1450)*20+MAX(0,MIN(1,(10-F1450)/10))*10,1))</f>
        <v>100.0</v>
      </c>
      <c r="K1450" s="14" t="str">
        <f>IF(C1450=0,"No Evidence",IF(C1450&lt;=2,IF(E1450&gt;0,"Explosive Alert","Track Only"),IF(C1450=3,"Sample Watch",IF(E1450&gt;=START_HERE!$B$31,"Explosive Alert",IF(J1450&gt;=80,"Strong Candidate",IF(J1450&gt;=65,"Good Candidate",IF(J1450&gt;=50,"Mixed / Review","Problem Call")))))))</f>
        <v>Track Only</v>
      </c>
      <c r="L1450" s="9" t="str">
        <f>IF(COUNTIFS('DEF_SELF_SCOUT_IMPORT'!$L$42:$L$1040,"Y",'DEF_SELF_SCOUT_IMPORT'!$E$42:$E$1040,SUBSTITUTE(SUBSTITUTE(SUBSTITUTE($B1450,"~","~~"),"*","~*"),"?","~?"),'DEF_SELF_SCOUT_IMPORT'!$Q$42:$Q$1040,SUBSTITUTE(SUBSTITUTE(SUBSTITUTE($M1450,"~","~~"),"*","~*"),"?","~?"),'DEF_SELF_SCOUT_IMPORT'!$F$42:$F$1040,SUBSTITUTE(SUBSTITUTE(SUBSTITUTE($N1450,"~","~~"),"*","~*"),"?","~?"),'DEF_SELF_SCOUT_IMPORT'!$G$42:$G$1040,SUBSTITUTE(SUBSTITUTE(SUBSTITUTE($O1450,"~","~~"),"*","~*"),"?","~?"),'DEF_SELF_SCOUT_IMPORT'!$J$42:$J$1040,"")&gt;0,"Unscored clean outcome; review result tags before using score.",IF(C1450=0,"No matching defensive reps; film confirmation needed.",IF(K1450="Explosive Alert","Explosive risk; review clips before using as answer.",IF(C1450&lt;=2,"Track only; not enough sample.",IF(C1450=3,IF(E1450&gt;0,"Sample watch with explosive exposure; review clips and build the sample.",IF(J1450&gt;=65,"Good signal, but sample is limited.","Sample watch; review clips and build the sample.")),IF(K1450="Problem Call","Problem area; practice or call-sheet review.",IF(K1450="Strong Candidate","Strong call-fit candidate; confirm on film.",IF(K1450="Good Candidate","Good call-fit signal; confirm on film.","Mixed signal; review fit and execution on film."))))))))</f>
        <v>Track only; not enough sample.</v>
      </c>
      <c r="M1450" s="8" t="s">
        <v>70</v>
      </c>
      <c r="N1450" s="8" t="s">
        <v>120</v>
      </c>
      <c r="O1450" s="8" t="s">
        <v>206</v>
      </c>
      <c r="P1450" s="8"/>
      <c r="Q1450" s="8"/>
      <c r="R1450" s="8" t="s">
        <v>661</v>
      </c>
      <c r="S1450" s="2" t="s">
        <v>663</v>
      </c>
      <c r="T1450" s="2">
        <f>IF(C1450=0,0,IF(C1450&gt;=CALL_LOOKUP_BOARD!$B$7,IF(OR(K1450="Problem Call",K1450="Explosive Alert"),10000000,20000000),0)+IF(C1450&gt;=CALL_LOOKUP_BOARD!$B$7,J1450*1000+MIN(C1450,999),C1450*1000+J1450)+0.00999700)</f>
        <v>1100.009997</v>
      </c>
      <c r="U1450" s="2">
        <f>IF(C1450=0,"",IF(COUNTIFS($S$1448:$S$1491,SUBSTITUTE(SUBSTITUTE(SUBSTITUTE(S1450,"~","~~"),"*","~*"),"?","~?"),$T$1448:$T$1491,"&gt;"&amp;T1450)=0,S1450,""))</f>
        <v/>
      </c>
    </row>
    <row r="1451" spans="1:21" ht="38" customHeight="1">
      <c r="A1451" s="8" t="s">
        <v>324</v>
      </c>
      <c r="B1451" s="8" t="s">
        <v>60</v>
      </c>
      <c r="C1451" s="12">
        <f>COUNTIFS('DEF_SELF_SCOUT_IMPORT'!$L$42:$L$1040,"Y",'DEF_SELF_SCOUT_IMPORT'!$E$42:$E$1040,SUBSTITUTE(SUBSTITUTE(SUBSTITUTE($B1451,"~","~~"),"*","~*"),"?","~?"),'DEF_SELF_SCOUT_IMPORT'!$Q$42:$Q$1040,SUBSTITUTE(SUBSTITUTE(SUBSTITUTE($M1451,"~","~~"),"*","~*"),"?","~?"),'DEF_SELF_SCOUT_IMPORT'!$F$42:$F$1040,SUBSTITUTE(SUBSTITUTE(SUBSTITUTE($N1451,"~","~~"),"*","~*"),"?","~?"),'DEF_SELF_SCOUT_IMPORT'!$G$42:$G$1040,SUBSTITUTE(SUBSTITUTE(SUBSTITUTE($O1451,"~","~~"),"*","~*"),"?","~?"))</f>
        <v>2</v>
      </c>
      <c r="D1451" s="10">
        <f>IF($C1451=0,"",SUMIFS('DEF_SELF_SCOUT_IMPORT'!$J$42:$J$1040,'DEF_SELF_SCOUT_IMPORT'!$L$42:$L$1040,"Y",'DEF_SELF_SCOUT_IMPORT'!$E$42:$E$1040,SUBSTITUTE(SUBSTITUTE(SUBSTITUTE($B1451,"~","~~"),"*","~*"),"?","~?"),'DEF_SELF_SCOUT_IMPORT'!$Q$42:$Q$1040,SUBSTITUTE(SUBSTITUTE(SUBSTITUTE($M1451,"~","~~"),"*","~*"),"?","~?"),'DEF_SELF_SCOUT_IMPORT'!$F$42:$F$1040,SUBSTITUTE(SUBSTITUTE(SUBSTITUTE($N1451,"~","~~"),"*","~*"),"?","~?"),'DEF_SELF_SCOUT_IMPORT'!$G$42:$G$1040,SUBSTITUTE(SUBSTITUTE(SUBSTITUTE($O1451,"~","~~"),"*","~*"),"?","~?"))/$C1451)</f>
        <v>0.5</v>
      </c>
      <c r="E1451" s="10">
        <f>IF($C1451=0,"",SUMIFS('DEF_SELF_SCOUT_IMPORT'!$K$42:$K$1040,'DEF_SELF_SCOUT_IMPORT'!$L$42:$L$1040,"Y",'DEF_SELF_SCOUT_IMPORT'!$E$42:$E$1040,SUBSTITUTE(SUBSTITUTE(SUBSTITUTE($B1451,"~","~~"),"*","~*"),"?","~?"),'DEF_SELF_SCOUT_IMPORT'!$Q$42:$Q$1040,SUBSTITUTE(SUBSTITUTE(SUBSTITUTE($M1451,"~","~~"),"*","~*"),"?","~?"),'DEF_SELF_SCOUT_IMPORT'!$F$42:$F$1040,SUBSTITUTE(SUBSTITUTE(SUBSTITUTE($N1451,"~","~~"),"*","~*"),"?","~?"),'DEF_SELF_SCOUT_IMPORT'!$G$42:$G$1040,SUBSTITUTE(SUBSTITUTE(SUBSTITUTE($O1451,"~","~~"),"*","~*"),"?","~?"))/$C1451)</f>
        <v>0.0</v>
      </c>
      <c r="F1451" s="11">
        <f>IF($C1451=0,"",AVERAGEIFS('DEF_SELF_SCOUT_IMPORT'!$I$42:$I$1040,'DEF_SELF_SCOUT_IMPORT'!$L$42:$L$1040,"Y",'DEF_SELF_SCOUT_IMPORT'!$E$42:$E$1040,SUBSTITUTE(SUBSTITUTE(SUBSTITUTE($B1451,"~","~~"),"*","~*"),"?","~?"),'DEF_SELF_SCOUT_IMPORT'!$Q$42:$Q$1040,SUBSTITUTE(SUBSTITUTE(SUBSTITUTE($M1451,"~","~~"),"*","~*"),"?","~?"),'DEF_SELF_SCOUT_IMPORT'!$F$42:$F$1040,SUBSTITUTE(SUBSTITUTE(SUBSTITUTE($N1451,"~","~~"),"*","~*"),"?","~?"),'DEF_SELF_SCOUT_IMPORT'!$G$42:$G$1040,SUBSTITUTE(SUBSTITUTE(SUBSTITUTE($O1451,"~","~~"),"*","~*"),"?","~?")))</f>
        <v>6.0</v>
      </c>
      <c r="G1451" s="10">
        <f>IF($C1451=0,"",COUNTIFS('DEF_SELF_SCOUT_IMPORT'!$L$42:$L$1040,"Y",'DEF_SELF_SCOUT_IMPORT'!$E$42:$E$1040,SUBSTITUTE(SUBSTITUTE(SUBSTITUTE($B1451,"~","~~"),"*","~*"),"?","~?"),'DEF_SELF_SCOUT_IMPORT'!$Q$42:$Q$1040,SUBSTITUTE(SUBSTITUTE(SUBSTITUTE($M1451,"~","~~"),"*","~*"),"?","~?"),'DEF_SELF_SCOUT_IMPORT'!$F$42:$F$1040,SUBSTITUTE(SUBSTITUTE(SUBSTITUTE($N1451,"~","~~"),"*","~*"),"?","~?"),'DEF_SELF_SCOUT_IMPORT'!$G$42:$G$1040,SUBSTITUTE(SUBSTITUTE(SUBSTITUTE($O1451,"~","~~"),"*","~*"),"?","~?"),'DEF_SELF_SCOUT_IMPORT'!$H$42:$H$1040,"RUSH")/$C1451)</f>
        <v>0.5</v>
      </c>
      <c r="H1451" s="10">
        <f>IF($C1451=0,"",COUNTIFS('DEF_SELF_SCOUT_IMPORT'!$L$42:$L$1040,"Y",'DEF_SELF_SCOUT_IMPORT'!$E$42:$E$1040,SUBSTITUTE(SUBSTITUTE(SUBSTITUTE($B1451,"~","~~"),"*","~*"),"?","~?"),'DEF_SELF_SCOUT_IMPORT'!$Q$42:$Q$1040,SUBSTITUTE(SUBSTITUTE(SUBSTITUTE($M1451,"~","~~"),"*","~*"),"?","~?"),'DEF_SELF_SCOUT_IMPORT'!$F$42:$F$1040,SUBSTITUTE(SUBSTITUTE(SUBSTITUTE($N1451,"~","~~"),"*","~*"),"?","~?"),'DEF_SELF_SCOUT_IMPORT'!$G$42:$G$1040,SUBSTITUTE(SUBSTITUTE(SUBSTITUTE($O1451,"~","~~"),"*","~*"),"?","~?"),'DEF_SELF_SCOUT_IMPORT'!$H$42:$H$1040,"DROPBACK")/$C1451)</f>
        <v>0.5</v>
      </c>
      <c r="I1451" s="14" t="str">
        <f>IF(C1451=0,"",IF(C1451&lt;=2,"TRACK",IF(C1451=3,"LOW",IF(C1451&lt;=6,"MEDIUM","HIGH"))))</f>
        <v>TRACK</v>
      </c>
      <c r="J1451" s="11">
        <f>IF(C1451=0,"",ROUND(D1451*70+(1-E1451)*20+MAX(0,MIN(1,(10-F1451)/10))*10,1))</f>
        <v>59.0</v>
      </c>
      <c r="K1451" s="14" t="str">
        <f>IF(C1451=0,"No Evidence",IF(C1451&lt;=2,IF(E1451&gt;0,"Explosive Alert","Track Only"),IF(C1451=3,"Sample Watch",IF(E1451&gt;=START_HERE!$B$31,"Explosive Alert",IF(J1451&gt;=80,"Strong Candidate",IF(J1451&gt;=65,"Good Candidate",IF(J1451&gt;=50,"Mixed / Review","Problem Call")))))))</f>
        <v>Track Only</v>
      </c>
      <c r="L1451" s="9" t="str">
        <f>IF(COUNTIFS('DEF_SELF_SCOUT_IMPORT'!$L$42:$L$1040,"Y",'DEF_SELF_SCOUT_IMPORT'!$E$42:$E$1040,SUBSTITUTE(SUBSTITUTE(SUBSTITUTE($B1451,"~","~~"),"*","~*"),"?","~?"),'DEF_SELF_SCOUT_IMPORT'!$Q$42:$Q$1040,SUBSTITUTE(SUBSTITUTE(SUBSTITUTE($M1451,"~","~~"),"*","~*"),"?","~?"),'DEF_SELF_SCOUT_IMPORT'!$F$42:$F$1040,SUBSTITUTE(SUBSTITUTE(SUBSTITUTE($N1451,"~","~~"),"*","~*"),"?","~?"),'DEF_SELF_SCOUT_IMPORT'!$G$42:$G$1040,SUBSTITUTE(SUBSTITUTE(SUBSTITUTE($O1451,"~","~~"),"*","~*"),"?","~?"),'DEF_SELF_SCOUT_IMPORT'!$J$42:$J$1040,"")&gt;0,"Unscored clean outcome; review result tags before using score.",IF(C1451=0,"No matching defensive reps; film confirmation needed.",IF(K1451="Explosive Alert","Explosive risk; review clips before using as answer.",IF(C1451&lt;=2,"Track only; not enough sample.",IF(C1451=3,IF(E1451&gt;0,"Sample watch with explosive exposure; review clips and build the sample.",IF(J1451&gt;=65,"Good signal, but sample is limited.","Sample watch; review clips and build the sample.")),IF(K1451="Problem Call","Problem area; practice or call-sheet review.",IF(K1451="Strong Candidate","Strong call-fit candidate; confirm on film.",IF(K1451="Good Candidate","Good call-fit signal; confirm on film.","Mixed signal; review fit and execution on film."))))))))</f>
        <v>Track only; not enough sample.</v>
      </c>
      <c r="M1451" s="8" t="s">
        <v>70</v>
      </c>
      <c r="N1451" s="8" t="s">
        <v>120</v>
      </c>
      <c r="O1451" s="8" t="s">
        <v>206</v>
      </c>
      <c r="P1451" s="8"/>
      <c r="Q1451" s="8"/>
      <c r="R1451" s="8" t="s">
        <v>661</v>
      </c>
      <c r="S1451" s="2" t="s">
        <v>663</v>
      </c>
      <c r="T1451" s="2">
        <f>IF(C1451=0,0,IF(C1451&gt;=CALL_LOOKUP_BOARD!$B$7,IF(OR(K1451="Problem Call",K1451="Explosive Alert"),10000000,20000000),0)+IF(C1451&gt;=CALL_LOOKUP_BOARD!$B$7,J1451*1000+MIN(C1451,999),C1451*1000+J1451)+0.00999600)</f>
        <v>2059.009996</v>
      </c>
      <c r="U1451" s="2" t="str">
        <f>IF(C1451=0,"",IF(COUNTIFS($S$1448:$S$1491,SUBSTITUTE(SUBSTITUTE(SUBSTITUTE(S1451,"~","~~"),"*","~*"),"?","~?"),$T$1448:$T$1491,"&gt;"&amp;T1451)=0,S1451,""))</f>
        <v>6:2D 1-3|2:11|3:3X1|0:|</v>
      </c>
    </row>
    <row r="1452" spans="1:21" ht="38" customHeight="1">
      <c r="A1452" s="8" t="s">
        <v>324</v>
      </c>
      <c r="B1452" s="8" t="s">
        <v>73</v>
      </c>
      <c r="C1452" s="12">
        <f>COUNTIFS('DEF_SELF_SCOUT_IMPORT'!$L$42:$L$1040,"Y",'DEF_SELF_SCOUT_IMPORT'!$E$42:$E$1040,SUBSTITUTE(SUBSTITUTE(SUBSTITUTE($B1452,"~","~~"),"*","~*"),"?","~?"),'DEF_SELF_SCOUT_IMPORT'!$Q$42:$Q$1040,SUBSTITUTE(SUBSTITUTE(SUBSTITUTE($M1452,"~","~~"),"*","~*"),"?","~?"),'DEF_SELF_SCOUT_IMPORT'!$F$42:$F$1040,SUBSTITUTE(SUBSTITUTE(SUBSTITUTE($N1452,"~","~~"),"*","~*"),"?","~?"),'DEF_SELF_SCOUT_IMPORT'!$G$42:$G$1040,SUBSTITUTE(SUBSTITUTE(SUBSTITUTE($O1452,"~","~~"),"*","~*"),"?","~?"))</f>
        <v>1</v>
      </c>
      <c r="D1452" s="10">
        <f>IF($C1452=0,"",SUMIFS('DEF_SELF_SCOUT_IMPORT'!$J$42:$J$1040,'DEF_SELF_SCOUT_IMPORT'!$L$42:$L$1040,"Y",'DEF_SELF_SCOUT_IMPORT'!$E$42:$E$1040,SUBSTITUTE(SUBSTITUTE(SUBSTITUTE($B1452,"~","~~"),"*","~*"),"?","~?"),'DEF_SELF_SCOUT_IMPORT'!$Q$42:$Q$1040,SUBSTITUTE(SUBSTITUTE(SUBSTITUTE($M1452,"~","~~"),"*","~*"),"?","~?"),'DEF_SELF_SCOUT_IMPORT'!$F$42:$F$1040,SUBSTITUTE(SUBSTITUTE(SUBSTITUTE($N1452,"~","~~"),"*","~*"),"?","~?"),'DEF_SELF_SCOUT_IMPORT'!$G$42:$G$1040,SUBSTITUTE(SUBSTITUTE(SUBSTITUTE($O1452,"~","~~"),"*","~*"),"?","~?"))/$C1452)</f>
        <v>1.0</v>
      </c>
      <c r="E1452" s="10">
        <f>IF($C1452=0,"",SUMIFS('DEF_SELF_SCOUT_IMPORT'!$K$42:$K$1040,'DEF_SELF_SCOUT_IMPORT'!$L$42:$L$1040,"Y",'DEF_SELF_SCOUT_IMPORT'!$E$42:$E$1040,SUBSTITUTE(SUBSTITUTE(SUBSTITUTE($B1452,"~","~~"),"*","~*"),"?","~?"),'DEF_SELF_SCOUT_IMPORT'!$Q$42:$Q$1040,SUBSTITUTE(SUBSTITUTE(SUBSTITUTE($M1452,"~","~~"),"*","~*"),"?","~?"),'DEF_SELF_SCOUT_IMPORT'!$F$42:$F$1040,SUBSTITUTE(SUBSTITUTE(SUBSTITUTE($N1452,"~","~~"),"*","~*"),"?","~?"),'DEF_SELF_SCOUT_IMPORT'!$G$42:$G$1040,SUBSTITUTE(SUBSTITUTE(SUBSTITUTE($O1452,"~","~~"),"*","~*"),"?","~?"))/$C1452)</f>
        <v>0.0</v>
      </c>
      <c r="F1452" s="11">
        <f>IF($C1452=0,"",AVERAGEIFS('DEF_SELF_SCOUT_IMPORT'!$I$42:$I$1040,'DEF_SELF_SCOUT_IMPORT'!$L$42:$L$1040,"Y",'DEF_SELF_SCOUT_IMPORT'!$E$42:$E$1040,SUBSTITUTE(SUBSTITUTE(SUBSTITUTE($B1452,"~","~~"),"*","~*"),"?","~?"),'DEF_SELF_SCOUT_IMPORT'!$Q$42:$Q$1040,SUBSTITUTE(SUBSTITUTE(SUBSTITUTE($M1452,"~","~~"),"*","~*"),"?","~?"),'DEF_SELF_SCOUT_IMPORT'!$F$42:$F$1040,SUBSTITUTE(SUBSTITUTE(SUBSTITUTE($N1452,"~","~~"),"*","~*"),"?","~?"),'DEF_SELF_SCOUT_IMPORT'!$G$42:$G$1040,SUBSTITUTE(SUBSTITUTE(SUBSTITUTE($O1452,"~","~~"),"*","~*"),"?","~?")))</f>
        <v>6.0</v>
      </c>
      <c r="G1452" s="10">
        <f>IF($C1452=0,"",COUNTIFS('DEF_SELF_SCOUT_IMPORT'!$L$42:$L$1040,"Y",'DEF_SELF_SCOUT_IMPORT'!$E$42:$E$1040,SUBSTITUTE(SUBSTITUTE(SUBSTITUTE($B1452,"~","~~"),"*","~*"),"?","~?"),'DEF_SELF_SCOUT_IMPORT'!$Q$42:$Q$1040,SUBSTITUTE(SUBSTITUTE(SUBSTITUTE($M1452,"~","~~"),"*","~*"),"?","~?"),'DEF_SELF_SCOUT_IMPORT'!$F$42:$F$1040,SUBSTITUTE(SUBSTITUTE(SUBSTITUTE($N1452,"~","~~"),"*","~*"),"?","~?"),'DEF_SELF_SCOUT_IMPORT'!$G$42:$G$1040,SUBSTITUTE(SUBSTITUTE(SUBSTITUTE($O1452,"~","~~"),"*","~*"),"?","~?"),'DEF_SELF_SCOUT_IMPORT'!$H$42:$H$1040,"RUSH")/$C1452)</f>
        <v>0.0</v>
      </c>
      <c r="H1452" s="10">
        <f>IF($C1452=0,"",COUNTIFS('DEF_SELF_SCOUT_IMPORT'!$L$42:$L$1040,"Y",'DEF_SELF_SCOUT_IMPORT'!$E$42:$E$1040,SUBSTITUTE(SUBSTITUTE(SUBSTITUTE($B1452,"~","~~"),"*","~*"),"?","~?"),'DEF_SELF_SCOUT_IMPORT'!$Q$42:$Q$1040,SUBSTITUTE(SUBSTITUTE(SUBSTITUTE($M1452,"~","~~"),"*","~*"),"?","~?"),'DEF_SELF_SCOUT_IMPORT'!$F$42:$F$1040,SUBSTITUTE(SUBSTITUTE(SUBSTITUTE($N1452,"~","~~"),"*","~*"),"?","~?"),'DEF_SELF_SCOUT_IMPORT'!$G$42:$G$1040,SUBSTITUTE(SUBSTITUTE(SUBSTITUTE($O1452,"~","~~"),"*","~*"),"?","~?"),'DEF_SELF_SCOUT_IMPORT'!$H$42:$H$1040,"DROPBACK")/$C1452)</f>
        <v>1.0</v>
      </c>
      <c r="I1452" s="14" t="str">
        <f>IF(C1452=0,"",IF(C1452&lt;=2,"TRACK",IF(C1452=3,"LOW",IF(C1452&lt;=6,"MEDIUM","HIGH"))))</f>
        <v>TRACK</v>
      </c>
      <c r="J1452" s="11">
        <f>IF(C1452=0,"",ROUND(D1452*70+(1-E1452)*20+MAX(0,MIN(1,(10-F1452)/10))*10,1))</f>
        <v>94.0</v>
      </c>
      <c r="K1452" s="14" t="str">
        <f>IF(C1452=0,"No Evidence",IF(C1452&lt;=2,IF(E1452&gt;0,"Explosive Alert","Track Only"),IF(C1452=3,"Sample Watch",IF(E1452&gt;=START_HERE!$B$31,"Explosive Alert",IF(J1452&gt;=80,"Strong Candidate",IF(J1452&gt;=65,"Good Candidate",IF(J1452&gt;=50,"Mixed / Review","Problem Call")))))))</f>
        <v>Track Only</v>
      </c>
      <c r="L1452" s="9" t="str">
        <f>IF(COUNTIFS('DEF_SELF_SCOUT_IMPORT'!$L$42:$L$1040,"Y",'DEF_SELF_SCOUT_IMPORT'!$E$42:$E$1040,SUBSTITUTE(SUBSTITUTE(SUBSTITUTE($B1452,"~","~~"),"*","~*"),"?","~?"),'DEF_SELF_SCOUT_IMPORT'!$Q$42:$Q$1040,SUBSTITUTE(SUBSTITUTE(SUBSTITUTE($M1452,"~","~~"),"*","~*"),"?","~?"),'DEF_SELF_SCOUT_IMPORT'!$F$42:$F$1040,SUBSTITUTE(SUBSTITUTE(SUBSTITUTE($N1452,"~","~~"),"*","~*"),"?","~?"),'DEF_SELF_SCOUT_IMPORT'!$G$42:$G$1040,SUBSTITUTE(SUBSTITUTE(SUBSTITUTE($O1452,"~","~~"),"*","~*"),"?","~?"),'DEF_SELF_SCOUT_IMPORT'!$J$42:$J$1040,"")&gt;0,"Unscored clean outcome; review result tags before using score.",IF(C1452=0,"No matching defensive reps; film confirmation needed.",IF(K1452="Explosive Alert","Explosive risk; review clips before using as answer.",IF(C1452&lt;=2,"Track only; not enough sample.",IF(C1452=3,IF(E1452&gt;0,"Sample watch with explosive exposure; review clips and build the sample.",IF(J1452&gt;=65,"Good signal, but sample is limited.","Sample watch; review clips and build the sample.")),IF(K1452="Problem Call","Problem area; practice or call-sheet review.",IF(K1452="Strong Candidate","Strong call-fit candidate; confirm on film.",IF(K1452="Good Candidate","Good call-fit signal; confirm on film.","Mixed signal; review fit and execution on film."))))))))</f>
        <v>Track only; not enough sample.</v>
      </c>
      <c r="M1452" s="8" t="s">
        <v>70</v>
      </c>
      <c r="N1452" s="8" t="s">
        <v>120</v>
      </c>
      <c r="O1452" s="8" t="s">
        <v>206</v>
      </c>
      <c r="P1452" s="8"/>
      <c r="Q1452" s="8"/>
      <c r="R1452" s="8" t="s">
        <v>661</v>
      </c>
      <c r="S1452" s="2" t="s">
        <v>663</v>
      </c>
      <c r="T1452" s="2">
        <f>IF(C1452=0,0,IF(C1452&gt;=CALL_LOOKUP_BOARD!$B$7,IF(OR(K1452="Problem Call",K1452="Explosive Alert"),10000000,20000000),0)+IF(C1452&gt;=CALL_LOOKUP_BOARD!$B$7,J1452*1000+MIN(C1452,999),C1452*1000+J1452)+0.00999500)</f>
        <v>1094.009995</v>
      </c>
      <c r="U1452" s="2">
        <f>IF(C1452=0,"",IF(COUNTIFS($S$1448:$S$1491,SUBSTITUTE(SUBSTITUTE(SUBSTITUTE(S1452,"~","~~"),"*","~*"),"?","~?"),$T$1448:$T$1491,"&gt;"&amp;T1452)=0,S1452,""))</f>
        <v/>
      </c>
    </row>
    <row r="1453" spans="1:21" ht="38" customHeight="1">
      <c r="A1453" s="8" t="s">
        <v>324</v>
      </c>
      <c r="B1453" s="8" t="s">
        <v>63</v>
      </c>
      <c r="C1453" s="12">
        <f>COUNTIFS('DEF_SELF_SCOUT_IMPORT'!$L$42:$L$1040,"Y",'DEF_SELF_SCOUT_IMPORT'!$E$42:$E$1040,SUBSTITUTE(SUBSTITUTE(SUBSTITUTE($B1453,"~","~~"),"*","~*"),"?","~?"),'DEF_SELF_SCOUT_IMPORT'!$Q$42:$Q$1040,SUBSTITUTE(SUBSTITUTE(SUBSTITUTE($M1453,"~","~~"),"*","~*"),"?","~?"),'DEF_SELF_SCOUT_IMPORT'!$F$42:$F$1040,SUBSTITUTE(SUBSTITUTE(SUBSTITUTE($N1453,"~","~~"),"*","~*"),"?","~?"),'DEF_SELF_SCOUT_IMPORT'!$G$42:$G$1040,SUBSTITUTE(SUBSTITUTE(SUBSTITUTE($O1453,"~","~~"),"*","~*"),"?","~?"))</f>
        <v>2</v>
      </c>
      <c r="D1453" s="10">
        <f>IF($C1453=0,"",SUMIFS('DEF_SELF_SCOUT_IMPORT'!$J$42:$J$1040,'DEF_SELF_SCOUT_IMPORT'!$L$42:$L$1040,"Y",'DEF_SELF_SCOUT_IMPORT'!$E$42:$E$1040,SUBSTITUTE(SUBSTITUTE(SUBSTITUTE($B1453,"~","~~"),"*","~*"),"?","~?"),'DEF_SELF_SCOUT_IMPORT'!$Q$42:$Q$1040,SUBSTITUTE(SUBSTITUTE(SUBSTITUTE($M1453,"~","~~"),"*","~*"),"?","~?"),'DEF_SELF_SCOUT_IMPORT'!$F$42:$F$1040,SUBSTITUTE(SUBSTITUTE(SUBSTITUTE($N1453,"~","~~"),"*","~*"),"?","~?"),'DEF_SELF_SCOUT_IMPORT'!$G$42:$G$1040,SUBSTITUTE(SUBSTITUTE(SUBSTITUTE($O1453,"~","~~"),"*","~*"),"?","~?"))/$C1453)</f>
        <v>0.0</v>
      </c>
      <c r="E1453" s="10">
        <f>IF($C1453=0,"",SUMIFS('DEF_SELF_SCOUT_IMPORT'!$K$42:$K$1040,'DEF_SELF_SCOUT_IMPORT'!$L$42:$L$1040,"Y",'DEF_SELF_SCOUT_IMPORT'!$E$42:$E$1040,SUBSTITUTE(SUBSTITUTE(SUBSTITUTE($B1453,"~","~~"),"*","~*"),"?","~?"),'DEF_SELF_SCOUT_IMPORT'!$Q$42:$Q$1040,SUBSTITUTE(SUBSTITUTE(SUBSTITUTE($M1453,"~","~~"),"*","~*"),"?","~?"),'DEF_SELF_SCOUT_IMPORT'!$F$42:$F$1040,SUBSTITUTE(SUBSTITUTE(SUBSTITUTE($N1453,"~","~~"),"*","~*"),"?","~?"),'DEF_SELF_SCOUT_IMPORT'!$G$42:$G$1040,SUBSTITUTE(SUBSTITUTE(SUBSTITUTE($O1453,"~","~~"),"*","~*"),"?","~?"))/$C1453)</f>
        <v>0.5</v>
      </c>
      <c r="F1453" s="11">
        <f>IF($C1453=0,"",AVERAGEIFS('DEF_SELF_SCOUT_IMPORT'!$I$42:$I$1040,'DEF_SELF_SCOUT_IMPORT'!$L$42:$L$1040,"Y",'DEF_SELF_SCOUT_IMPORT'!$E$42:$E$1040,SUBSTITUTE(SUBSTITUTE(SUBSTITUTE($B1453,"~","~~"),"*","~*"),"?","~?"),'DEF_SELF_SCOUT_IMPORT'!$Q$42:$Q$1040,SUBSTITUTE(SUBSTITUTE(SUBSTITUTE($M1453,"~","~~"),"*","~*"),"?","~?"),'DEF_SELF_SCOUT_IMPORT'!$F$42:$F$1040,SUBSTITUTE(SUBSTITUTE(SUBSTITUTE($N1453,"~","~~"),"*","~*"),"?","~?"),'DEF_SELF_SCOUT_IMPORT'!$G$42:$G$1040,SUBSTITUTE(SUBSTITUTE(SUBSTITUTE($O1453,"~","~~"),"*","~*"),"?","~?")))</f>
        <v>18.5</v>
      </c>
      <c r="G1453" s="10">
        <f>IF($C1453=0,"",COUNTIFS('DEF_SELF_SCOUT_IMPORT'!$L$42:$L$1040,"Y",'DEF_SELF_SCOUT_IMPORT'!$E$42:$E$1040,SUBSTITUTE(SUBSTITUTE(SUBSTITUTE($B1453,"~","~~"),"*","~*"),"?","~?"),'DEF_SELF_SCOUT_IMPORT'!$Q$42:$Q$1040,SUBSTITUTE(SUBSTITUTE(SUBSTITUTE($M1453,"~","~~"),"*","~*"),"?","~?"),'DEF_SELF_SCOUT_IMPORT'!$F$42:$F$1040,SUBSTITUTE(SUBSTITUTE(SUBSTITUTE($N1453,"~","~~"),"*","~*"),"?","~?"),'DEF_SELF_SCOUT_IMPORT'!$G$42:$G$1040,SUBSTITUTE(SUBSTITUTE(SUBSTITUTE($O1453,"~","~~"),"*","~*"),"?","~?"),'DEF_SELF_SCOUT_IMPORT'!$H$42:$H$1040,"RUSH")/$C1453)</f>
        <v>0.0</v>
      </c>
      <c r="H1453" s="10">
        <f>IF($C1453=0,"",COUNTIFS('DEF_SELF_SCOUT_IMPORT'!$L$42:$L$1040,"Y",'DEF_SELF_SCOUT_IMPORT'!$E$42:$E$1040,SUBSTITUTE(SUBSTITUTE(SUBSTITUTE($B1453,"~","~~"),"*","~*"),"?","~?"),'DEF_SELF_SCOUT_IMPORT'!$Q$42:$Q$1040,SUBSTITUTE(SUBSTITUTE(SUBSTITUTE($M1453,"~","~~"),"*","~*"),"?","~?"),'DEF_SELF_SCOUT_IMPORT'!$F$42:$F$1040,SUBSTITUTE(SUBSTITUTE(SUBSTITUTE($N1453,"~","~~"),"*","~*"),"?","~?"),'DEF_SELF_SCOUT_IMPORT'!$G$42:$G$1040,SUBSTITUTE(SUBSTITUTE(SUBSTITUTE($O1453,"~","~~"),"*","~*"),"?","~?"),'DEF_SELF_SCOUT_IMPORT'!$H$42:$H$1040,"DROPBACK")/$C1453)</f>
        <v>1.0</v>
      </c>
      <c r="I1453" s="14" t="str">
        <f>IF(C1453=0,"",IF(C1453&lt;=2,"TRACK",IF(C1453=3,"LOW",IF(C1453&lt;=6,"MEDIUM","HIGH"))))</f>
        <v>TRACK</v>
      </c>
      <c r="J1453" s="11">
        <f>IF(C1453=0,"",ROUND(D1453*70+(1-E1453)*20+MAX(0,MIN(1,(10-F1453)/10))*10,1))</f>
        <v>10.0</v>
      </c>
      <c r="K1453" s="14" t="str">
        <f>IF(C1453=0,"No Evidence",IF(C1453&lt;=2,IF(E1453&gt;0,"Explosive Alert","Track Only"),IF(C1453=3,"Sample Watch",IF(E1453&gt;=START_HERE!$B$31,"Explosive Alert",IF(J1453&gt;=80,"Strong Candidate",IF(J1453&gt;=65,"Good Candidate",IF(J1453&gt;=50,"Mixed / Review","Problem Call")))))))</f>
        <v>Explosive Alert</v>
      </c>
      <c r="L1453" s="9" t="str">
        <f>IF(COUNTIFS('DEF_SELF_SCOUT_IMPORT'!$L$42:$L$1040,"Y",'DEF_SELF_SCOUT_IMPORT'!$E$42:$E$1040,SUBSTITUTE(SUBSTITUTE(SUBSTITUTE($B1453,"~","~~"),"*","~*"),"?","~?"),'DEF_SELF_SCOUT_IMPORT'!$Q$42:$Q$1040,SUBSTITUTE(SUBSTITUTE(SUBSTITUTE($M1453,"~","~~"),"*","~*"),"?","~?"),'DEF_SELF_SCOUT_IMPORT'!$F$42:$F$1040,SUBSTITUTE(SUBSTITUTE(SUBSTITUTE($N1453,"~","~~"),"*","~*"),"?","~?"),'DEF_SELF_SCOUT_IMPORT'!$G$42:$G$1040,SUBSTITUTE(SUBSTITUTE(SUBSTITUTE($O1453,"~","~~"),"*","~*"),"?","~?"),'DEF_SELF_SCOUT_IMPORT'!$J$42:$J$1040,"")&gt;0,"Unscored clean outcome; review result tags before using score.",IF(C1453=0,"No matching defensive reps; film confirmation needed.",IF(K1453="Explosive Alert","Explosive risk; review clips before using as answer.",IF(C1453&lt;=2,"Track only; not enough sample.",IF(C1453=3,IF(E1453&gt;0,"Sample watch with explosive exposure; review clips and build the sample.",IF(J1453&gt;=65,"Good signal, but sample is limited.","Sample watch; review clips and build the sample.")),IF(K1453="Problem Call","Problem area; practice or call-sheet review.",IF(K1453="Strong Candidate","Strong call-fit candidate; confirm on film.",IF(K1453="Good Candidate","Good call-fit signal; confirm on film.","Mixed signal; review fit and execution on film."))))))))</f>
        <v>Explosive risk; review clips before using as answer.</v>
      </c>
      <c r="M1453" s="8" t="s">
        <v>70</v>
      </c>
      <c r="N1453" s="8" t="s">
        <v>120</v>
      </c>
      <c r="O1453" s="8" t="s">
        <v>206</v>
      </c>
      <c r="P1453" s="8"/>
      <c r="Q1453" s="8"/>
      <c r="R1453" s="8" t="s">
        <v>661</v>
      </c>
      <c r="S1453" s="2" t="s">
        <v>663</v>
      </c>
      <c r="T1453" s="2">
        <f>IF(C1453=0,0,IF(C1453&gt;=CALL_LOOKUP_BOARD!$B$7,IF(OR(K1453="Problem Call",K1453="Explosive Alert"),10000000,20000000),0)+IF(C1453&gt;=CALL_LOOKUP_BOARD!$B$7,J1453*1000+MIN(C1453,999),C1453*1000+J1453)+0.00999400)</f>
        <v>2010.009994</v>
      </c>
      <c r="U1453" s="2">
        <f>IF(C1453=0,"",IF(COUNTIFS($S$1448:$S$1491,SUBSTITUTE(SUBSTITUTE(SUBSTITUTE(S1453,"~","~~"),"*","~*"),"?","~?"),$T$1448:$T$1491,"&gt;"&amp;T1453)=0,S1453,""))</f>
        <v/>
      </c>
    </row>
    <row r="1454" spans="1:21" ht="38" customHeight="1">
      <c r="A1454" s="8" t="s">
        <v>324</v>
      </c>
      <c r="B1454" s="8" t="s">
        <v>74</v>
      </c>
      <c r="C1454" s="12">
        <f>COUNTIFS('DEF_SELF_SCOUT_IMPORT'!$L$42:$L$1040,"Y",'DEF_SELF_SCOUT_IMPORT'!$E$42:$E$1040,SUBSTITUTE(SUBSTITUTE(SUBSTITUTE($B1454,"~","~~"),"*","~*"),"?","~?"),'DEF_SELF_SCOUT_IMPORT'!$Q$42:$Q$1040,SUBSTITUTE(SUBSTITUTE(SUBSTITUTE($M1454,"~","~~"),"*","~*"),"?","~?"),'DEF_SELF_SCOUT_IMPORT'!$F$42:$F$1040,SUBSTITUTE(SUBSTITUTE(SUBSTITUTE($N1454,"~","~~"),"*","~*"),"?","~?"),'DEF_SELF_SCOUT_IMPORT'!$G$42:$G$1040,SUBSTITUTE(SUBSTITUTE(SUBSTITUTE($O1454,"~","~~"),"*","~*"),"?","~?"))</f>
        <v>1</v>
      </c>
      <c r="D1454" s="10">
        <f>IF($C1454=0,"",SUMIFS('DEF_SELF_SCOUT_IMPORT'!$J$42:$J$1040,'DEF_SELF_SCOUT_IMPORT'!$L$42:$L$1040,"Y",'DEF_SELF_SCOUT_IMPORT'!$E$42:$E$1040,SUBSTITUTE(SUBSTITUTE(SUBSTITUTE($B1454,"~","~~"),"*","~*"),"?","~?"),'DEF_SELF_SCOUT_IMPORT'!$Q$42:$Q$1040,SUBSTITUTE(SUBSTITUTE(SUBSTITUTE($M1454,"~","~~"),"*","~*"),"?","~?"),'DEF_SELF_SCOUT_IMPORT'!$F$42:$F$1040,SUBSTITUTE(SUBSTITUTE(SUBSTITUTE($N1454,"~","~~"),"*","~*"),"?","~?"),'DEF_SELF_SCOUT_IMPORT'!$G$42:$G$1040,SUBSTITUTE(SUBSTITUTE(SUBSTITUTE($O1454,"~","~~"),"*","~*"),"?","~?"))/$C1454)</f>
        <v>1.0</v>
      </c>
      <c r="E1454" s="10">
        <f>IF($C1454=0,"",SUMIFS('DEF_SELF_SCOUT_IMPORT'!$K$42:$K$1040,'DEF_SELF_SCOUT_IMPORT'!$L$42:$L$1040,"Y",'DEF_SELF_SCOUT_IMPORT'!$E$42:$E$1040,SUBSTITUTE(SUBSTITUTE(SUBSTITUTE($B1454,"~","~~"),"*","~*"),"?","~?"),'DEF_SELF_SCOUT_IMPORT'!$Q$42:$Q$1040,SUBSTITUTE(SUBSTITUTE(SUBSTITUTE($M1454,"~","~~"),"*","~*"),"?","~?"),'DEF_SELF_SCOUT_IMPORT'!$F$42:$F$1040,SUBSTITUTE(SUBSTITUTE(SUBSTITUTE($N1454,"~","~~"),"*","~*"),"?","~?"),'DEF_SELF_SCOUT_IMPORT'!$G$42:$G$1040,SUBSTITUTE(SUBSTITUTE(SUBSTITUTE($O1454,"~","~~"),"*","~*"),"?","~?"))/$C1454)</f>
        <v>0.0</v>
      </c>
      <c r="F1454" s="11">
        <f>IF($C1454=0,"",AVERAGEIFS('DEF_SELF_SCOUT_IMPORT'!$I$42:$I$1040,'DEF_SELF_SCOUT_IMPORT'!$L$42:$L$1040,"Y",'DEF_SELF_SCOUT_IMPORT'!$E$42:$E$1040,SUBSTITUTE(SUBSTITUTE(SUBSTITUTE($B1454,"~","~~"),"*","~*"),"?","~?"),'DEF_SELF_SCOUT_IMPORT'!$Q$42:$Q$1040,SUBSTITUTE(SUBSTITUTE(SUBSTITUTE($M1454,"~","~~"),"*","~*"),"?","~?"),'DEF_SELF_SCOUT_IMPORT'!$F$42:$F$1040,SUBSTITUTE(SUBSTITUTE(SUBSTITUTE($N1454,"~","~~"),"*","~*"),"?","~?"),'DEF_SELF_SCOUT_IMPORT'!$G$42:$G$1040,SUBSTITUTE(SUBSTITUTE(SUBSTITUTE($O1454,"~","~~"),"*","~*"),"?","~?")))</f>
        <v>-8.0</v>
      </c>
      <c r="G1454" s="10">
        <f>IF($C1454=0,"",COUNTIFS('DEF_SELF_SCOUT_IMPORT'!$L$42:$L$1040,"Y",'DEF_SELF_SCOUT_IMPORT'!$E$42:$E$1040,SUBSTITUTE(SUBSTITUTE(SUBSTITUTE($B1454,"~","~~"),"*","~*"),"?","~?"),'DEF_SELF_SCOUT_IMPORT'!$Q$42:$Q$1040,SUBSTITUTE(SUBSTITUTE(SUBSTITUTE($M1454,"~","~~"),"*","~*"),"?","~?"),'DEF_SELF_SCOUT_IMPORT'!$F$42:$F$1040,SUBSTITUTE(SUBSTITUTE(SUBSTITUTE($N1454,"~","~~"),"*","~*"),"?","~?"),'DEF_SELF_SCOUT_IMPORT'!$G$42:$G$1040,SUBSTITUTE(SUBSTITUTE(SUBSTITUTE($O1454,"~","~~"),"*","~*"),"?","~?"),'DEF_SELF_SCOUT_IMPORT'!$H$42:$H$1040,"RUSH")/$C1454)</f>
        <v>0.0</v>
      </c>
      <c r="H1454" s="10">
        <f>IF($C1454=0,"",COUNTIFS('DEF_SELF_SCOUT_IMPORT'!$L$42:$L$1040,"Y",'DEF_SELF_SCOUT_IMPORT'!$E$42:$E$1040,SUBSTITUTE(SUBSTITUTE(SUBSTITUTE($B1454,"~","~~"),"*","~*"),"?","~?"),'DEF_SELF_SCOUT_IMPORT'!$Q$42:$Q$1040,SUBSTITUTE(SUBSTITUTE(SUBSTITUTE($M1454,"~","~~"),"*","~*"),"?","~?"),'DEF_SELF_SCOUT_IMPORT'!$F$42:$F$1040,SUBSTITUTE(SUBSTITUTE(SUBSTITUTE($N1454,"~","~~"),"*","~*"),"?","~?"),'DEF_SELF_SCOUT_IMPORT'!$G$42:$G$1040,SUBSTITUTE(SUBSTITUTE(SUBSTITUTE($O1454,"~","~~"),"*","~*"),"?","~?"),'DEF_SELF_SCOUT_IMPORT'!$H$42:$H$1040,"DROPBACK")/$C1454)</f>
        <v>1.0</v>
      </c>
      <c r="I1454" s="14" t="str">
        <f>IF(C1454=0,"",IF(C1454&lt;=2,"TRACK",IF(C1454=3,"LOW",IF(C1454&lt;=6,"MEDIUM","HIGH"))))</f>
        <v>TRACK</v>
      </c>
      <c r="J1454" s="11">
        <f>IF(C1454=0,"",ROUND(D1454*70+(1-E1454)*20+MAX(0,MIN(1,(10-F1454)/10))*10,1))</f>
        <v>100.0</v>
      </c>
      <c r="K1454" s="14" t="str">
        <f>IF(C1454=0,"No Evidence",IF(C1454&lt;=2,IF(E1454&gt;0,"Explosive Alert","Track Only"),IF(C1454=3,"Sample Watch",IF(E1454&gt;=START_HERE!$B$31,"Explosive Alert",IF(J1454&gt;=80,"Strong Candidate",IF(J1454&gt;=65,"Good Candidate",IF(J1454&gt;=50,"Mixed / Review","Problem Call")))))))</f>
        <v>Track Only</v>
      </c>
      <c r="L1454" s="9" t="str">
        <f>IF(COUNTIFS('DEF_SELF_SCOUT_IMPORT'!$L$42:$L$1040,"Y",'DEF_SELF_SCOUT_IMPORT'!$E$42:$E$1040,SUBSTITUTE(SUBSTITUTE(SUBSTITUTE($B1454,"~","~~"),"*","~*"),"?","~?"),'DEF_SELF_SCOUT_IMPORT'!$Q$42:$Q$1040,SUBSTITUTE(SUBSTITUTE(SUBSTITUTE($M1454,"~","~~"),"*","~*"),"?","~?"),'DEF_SELF_SCOUT_IMPORT'!$F$42:$F$1040,SUBSTITUTE(SUBSTITUTE(SUBSTITUTE($N1454,"~","~~"),"*","~*"),"?","~?"),'DEF_SELF_SCOUT_IMPORT'!$G$42:$G$1040,SUBSTITUTE(SUBSTITUTE(SUBSTITUTE($O1454,"~","~~"),"*","~*"),"?","~?"),'DEF_SELF_SCOUT_IMPORT'!$J$42:$J$1040,"")&gt;0,"Unscored clean outcome; review result tags before using score.",IF(C1454=0,"No matching defensive reps; film confirmation needed.",IF(K1454="Explosive Alert","Explosive risk; review clips before using as answer.",IF(C1454&lt;=2,"Track only; not enough sample.",IF(C1454=3,IF(E1454&gt;0,"Sample watch with explosive exposure; review clips and build the sample.",IF(J1454&gt;=65,"Good signal, but sample is limited.","Sample watch; review clips and build the sample.")),IF(K1454="Problem Call","Problem area; practice or call-sheet review.",IF(K1454="Strong Candidate","Strong call-fit candidate; confirm on film.",IF(K1454="Good Candidate","Good call-fit signal; confirm on film.","Mixed signal; review fit and execution on film."))))))))</f>
        <v>Track only; not enough sample.</v>
      </c>
      <c r="M1454" s="8" t="s">
        <v>70</v>
      </c>
      <c r="N1454" s="8" t="s">
        <v>120</v>
      </c>
      <c r="O1454" s="8" t="s">
        <v>206</v>
      </c>
      <c r="P1454" s="8"/>
      <c r="Q1454" s="8"/>
      <c r="R1454" s="8" t="s">
        <v>661</v>
      </c>
      <c r="S1454" s="2" t="s">
        <v>663</v>
      </c>
      <c r="T1454" s="2">
        <f>IF(C1454=0,0,IF(C1454&gt;=CALL_LOOKUP_BOARD!$B$7,IF(OR(K1454="Problem Call",K1454="Explosive Alert"),10000000,20000000),0)+IF(C1454&gt;=CALL_LOOKUP_BOARD!$B$7,J1454*1000+MIN(C1454,999),C1454*1000+J1454)+0.00999300)</f>
        <v>1100.009993</v>
      </c>
      <c r="U1454" s="2">
        <f>IF(C1454=0,"",IF(COUNTIFS($S$1448:$S$1491,SUBSTITUTE(SUBSTITUTE(SUBSTITUTE(S1454,"~","~~"),"*","~*"),"?","~?"),$T$1448:$T$1491,"&gt;"&amp;T1454)=0,S1454,""))</f>
        <v/>
      </c>
    </row>
    <row r="1455" spans="1:21" ht="38" customHeight="1">
      <c r="A1455" s="8" t="s">
        <v>324</v>
      </c>
      <c r="B1455" s="8" t="s">
        <v>68</v>
      </c>
      <c r="C1455" s="12">
        <f>COUNTIFS('DEF_SELF_SCOUT_IMPORT'!$L$42:$L$1040,"Y",'DEF_SELF_SCOUT_IMPORT'!$E$42:$E$1040,SUBSTITUTE(SUBSTITUTE(SUBSTITUTE($B1455,"~","~~"),"*","~*"),"?","~?"),'DEF_SELF_SCOUT_IMPORT'!$Q$42:$Q$1040,SUBSTITUTE(SUBSTITUTE(SUBSTITUTE($M1455,"~","~~"),"*","~*"),"?","~?"),'DEF_SELF_SCOUT_IMPORT'!$F$42:$F$1040,SUBSTITUTE(SUBSTITUTE(SUBSTITUTE($N1455,"~","~~"),"*","~*"),"?","~?"),'DEF_SELF_SCOUT_IMPORT'!$G$42:$G$1040,SUBSTITUTE(SUBSTITUTE(SUBSTITUTE($O1455,"~","~~"),"*","~*"),"?","~?"))</f>
        <v>1</v>
      </c>
      <c r="D1455" s="10">
        <f>IF($C1455=0,"",SUMIFS('DEF_SELF_SCOUT_IMPORT'!$J$42:$J$1040,'DEF_SELF_SCOUT_IMPORT'!$L$42:$L$1040,"Y",'DEF_SELF_SCOUT_IMPORT'!$E$42:$E$1040,SUBSTITUTE(SUBSTITUTE(SUBSTITUTE($B1455,"~","~~"),"*","~*"),"?","~?"),'DEF_SELF_SCOUT_IMPORT'!$Q$42:$Q$1040,SUBSTITUTE(SUBSTITUTE(SUBSTITUTE($M1455,"~","~~"),"*","~*"),"?","~?"),'DEF_SELF_SCOUT_IMPORT'!$F$42:$F$1040,SUBSTITUTE(SUBSTITUTE(SUBSTITUTE($N1455,"~","~~"),"*","~*"),"?","~?"),'DEF_SELF_SCOUT_IMPORT'!$G$42:$G$1040,SUBSTITUTE(SUBSTITUTE(SUBSTITUTE($O1455,"~","~~"),"*","~*"),"?","~?"))/$C1455)</f>
        <v>0.0</v>
      </c>
      <c r="E1455" s="10">
        <f>IF($C1455=0,"",SUMIFS('DEF_SELF_SCOUT_IMPORT'!$K$42:$K$1040,'DEF_SELF_SCOUT_IMPORT'!$L$42:$L$1040,"Y",'DEF_SELF_SCOUT_IMPORT'!$E$42:$E$1040,SUBSTITUTE(SUBSTITUTE(SUBSTITUTE($B1455,"~","~~"),"*","~*"),"?","~?"),'DEF_SELF_SCOUT_IMPORT'!$Q$42:$Q$1040,SUBSTITUTE(SUBSTITUTE(SUBSTITUTE($M1455,"~","~~"),"*","~*"),"?","~?"),'DEF_SELF_SCOUT_IMPORT'!$F$42:$F$1040,SUBSTITUTE(SUBSTITUTE(SUBSTITUTE($N1455,"~","~~"),"*","~*"),"?","~?"),'DEF_SELF_SCOUT_IMPORT'!$G$42:$G$1040,SUBSTITUTE(SUBSTITUTE(SUBSTITUTE($O1455,"~","~~"),"*","~*"),"?","~?"))/$C1455)</f>
        <v>0.0</v>
      </c>
      <c r="F1455" s="11">
        <f>IF($C1455=0,"",AVERAGEIFS('DEF_SELF_SCOUT_IMPORT'!$I$42:$I$1040,'DEF_SELF_SCOUT_IMPORT'!$L$42:$L$1040,"Y",'DEF_SELF_SCOUT_IMPORT'!$E$42:$E$1040,SUBSTITUTE(SUBSTITUTE(SUBSTITUTE($B1455,"~","~~"),"*","~*"),"?","~?"),'DEF_SELF_SCOUT_IMPORT'!$Q$42:$Q$1040,SUBSTITUTE(SUBSTITUTE(SUBSTITUTE($M1455,"~","~~"),"*","~*"),"?","~?"),'DEF_SELF_SCOUT_IMPORT'!$F$42:$F$1040,SUBSTITUTE(SUBSTITUTE(SUBSTITUTE($N1455,"~","~~"),"*","~*"),"?","~?"),'DEF_SELF_SCOUT_IMPORT'!$G$42:$G$1040,SUBSTITUTE(SUBSTITUTE(SUBSTITUTE($O1455,"~","~~"),"*","~*"),"?","~?")))</f>
        <v>5.0</v>
      </c>
      <c r="G1455" s="10">
        <f>IF($C1455=0,"",COUNTIFS('DEF_SELF_SCOUT_IMPORT'!$L$42:$L$1040,"Y",'DEF_SELF_SCOUT_IMPORT'!$E$42:$E$1040,SUBSTITUTE(SUBSTITUTE(SUBSTITUTE($B1455,"~","~~"),"*","~*"),"?","~?"),'DEF_SELF_SCOUT_IMPORT'!$Q$42:$Q$1040,SUBSTITUTE(SUBSTITUTE(SUBSTITUTE($M1455,"~","~~"),"*","~*"),"?","~?"),'DEF_SELF_SCOUT_IMPORT'!$F$42:$F$1040,SUBSTITUTE(SUBSTITUTE(SUBSTITUTE($N1455,"~","~~"),"*","~*"),"?","~?"),'DEF_SELF_SCOUT_IMPORT'!$G$42:$G$1040,SUBSTITUTE(SUBSTITUTE(SUBSTITUTE($O1455,"~","~~"),"*","~*"),"?","~?"),'DEF_SELF_SCOUT_IMPORT'!$H$42:$H$1040,"RUSH")/$C1455)</f>
        <v>1.0</v>
      </c>
      <c r="H1455" s="10">
        <f>IF($C1455=0,"",COUNTIFS('DEF_SELF_SCOUT_IMPORT'!$L$42:$L$1040,"Y",'DEF_SELF_SCOUT_IMPORT'!$E$42:$E$1040,SUBSTITUTE(SUBSTITUTE(SUBSTITUTE($B1455,"~","~~"),"*","~*"),"?","~?"),'DEF_SELF_SCOUT_IMPORT'!$Q$42:$Q$1040,SUBSTITUTE(SUBSTITUTE(SUBSTITUTE($M1455,"~","~~"),"*","~*"),"?","~?"),'DEF_SELF_SCOUT_IMPORT'!$F$42:$F$1040,SUBSTITUTE(SUBSTITUTE(SUBSTITUTE($N1455,"~","~~"),"*","~*"),"?","~?"),'DEF_SELF_SCOUT_IMPORT'!$G$42:$G$1040,SUBSTITUTE(SUBSTITUTE(SUBSTITUTE($O1455,"~","~~"),"*","~*"),"?","~?"),'DEF_SELF_SCOUT_IMPORT'!$H$42:$H$1040,"DROPBACK")/$C1455)</f>
        <v>0.0</v>
      </c>
      <c r="I1455" s="14" t="str">
        <f>IF(C1455=0,"",IF(C1455&lt;=2,"TRACK",IF(C1455=3,"LOW",IF(C1455&lt;=6,"MEDIUM","HIGH"))))</f>
        <v>TRACK</v>
      </c>
      <c r="J1455" s="11">
        <f>IF(C1455=0,"",ROUND(D1455*70+(1-E1455)*20+MAX(0,MIN(1,(10-F1455)/10))*10,1))</f>
        <v>25.0</v>
      </c>
      <c r="K1455" s="14" t="str">
        <f>IF(C1455=0,"No Evidence",IF(C1455&lt;=2,IF(E1455&gt;0,"Explosive Alert","Track Only"),IF(C1455=3,"Sample Watch",IF(E1455&gt;=START_HERE!$B$31,"Explosive Alert",IF(J1455&gt;=80,"Strong Candidate",IF(J1455&gt;=65,"Good Candidate",IF(J1455&gt;=50,"Mixed / Review","Problem Call")))))))</f>
        <v>Track Only</v>
      </c>
      <c r="L1455" s="9" t="str">
        <f>IF(COUNTIFS('DEF_SELF_SCOUT_IMPORT'!$L$42:$L$1040,"Y",'DEF_SELF_SCOUT_IMPORT'!$E$42:$E$1040,SUBSTITUTE(SUBSTITUTE(SUBSTITUTE($B1455,"~","~~"),"*","~*"),"?","~?"),'DEF_SELF_SCOUT_IMPORT'!$Q$42:$Q$1040,SUBSTITUTE(SUBSTITUTE(SUBSTITUTE($M1455,"~","~~"),"*","~*"),"?","~?"),'DEF_SELF_SCOUT_IMPORT'!$F$42:$F$1040,SUBSTITUTE(SUBSTITUTE(SUBSTITUTE($N1455,"~","~~"),"*","~*"),"?","~?"),'DEF_SELF_SCOUT_IMPORT'!$G$42:$G$1040,SUBSTITUTE(SUBSTITUTE(SUBSTITUTE($O1455,"~","~~"),"*","~*"),"?","~?"),'DEF_SELF_SCOUT_IMPORT'!$J$42:$J$1040,"")&gt;0,"Unscored clean outcome; review result tags before using score.",IF(C1455=0,"No matching defensive reps; film confirmation needed.",IF(K1455="Explosive Alert","Explosive risk; review clips before using as answer.",IF(C1455&lt;=2,"Track only; not enough sample.",IF(C1455=3,IF(E1455&gt;0,"Sample watch with explosive exposure; review clips and build the sample.",IF(J1455&gt;=65,"Good signal, but sample is limited.","Sample watch; review clips and build the sample.")),IF(K1455="Problem Call","Problem area; practice or call-sheet review.",IF(K1455="Strong Candidate","Strong call-fit candidate; confirm on film.",IF(K1455="Good Candidate","Good call-fit signal; confirm on film.","Mixed signal; review fit and execution on film."))))))))</f>
        <v>Track only; not enough sample.</v>
      </c>
      <c r="M1455" s="8" t="s">
        <v>70</v>
      </c>
      <c r="N1455" s="8" t="s">
        <v>120</v>
      </c>
      <c r="O1455" s="8" t="s">
        <v>206</v>
      </c>
      <c r="P1455" s="8"/>
      <c r="Q1455" s="8"/>
      <c r="R1455" s="8" t="s">
        <v>661</v>
      </c>
      <c r="S1455" s="2" t="s">
        <v>663</v>
      </c>
      <c r="T1455" s="2">
        <f>IF(C1455=0,0,IF(C1455&gt;=CALL_LOOKUP_BOARD!$B$7,IF(OR(K1455="Problem Call",K1455="Explosive Alert"),10000000,20000000),0)+IF(C1455&gt;=CALL_LOOKUP_BOARD!$B$7,J1455*1000+MIN(C1455,999),C1455*1000+J1455)+0.00999200)</f>
        <v>1025.009992</v>
      </c>
      <c r="U1455" s="2">
        <f>IF(C1455=0,"",IF(COUNTIFS($S$1448:$S$1491,SUBSTITUTE(SUBSTITUTE(SUBSTITUTE(S1455,"~","~~"),"*","~*"),"?","~?"),$T$1448:$T$1491,"&gt;"&amp;T1455)=0,S1455,""))</f>
        <v/>
      </c>
    </row>
    <row r="1456" spans="1:21" ht="38" customHeight="1">
      <c r="A1456" s="8" t="s">
        <v>664</v>
      </c>
      <c r="B1456" s="8" t="s">
        <v>27</v>
      </c>
      <c r="C1456" s="12">
        <f>COUNTIFS('DEF_SELF_SCOUT_IMPORT'!$L$42:$L$1040,"Y",'DEF_SELF_SCOUT_IMPORT'!$E$42:$E$1040,SUBSTITUTE(SUBSTITUTE(SUBSTITUTE($B1456,"~","~~"),"*","~*"),"?","~?"),'DEF_SELF_SCOUT_IMPORT'!$Q$42:$Q$1040,SUBSTITUTE(SUBSTITUTE(SUBSTITUTE($M1456,"~","~~"),"*","~*"),"?","~?"),'DEF_SELF_SCOUT_IMPORT'!$F$42:$F$1040,SUBSTITUTE(SUBSTITUTE(SUBSTITUTE($N1456,"~","~~"),"*","~*"),"?","~?"),'DEF_SELF_SCOUT_IMPORT'!$D$42:$D$1040,SUBSTITUTE(SUBSTITUTE(SUBSTITUTE($P1456,"~","~~"),"*","~*"),"?","~?"))</f>
        <v>1</v>
      </c>
      <c r="D1456" s="10">
        <f>IF($C1456=0,"",SUMIFS('DEF_SELF_SCOUT_IMPORT'!$J$42:$J$1040,'DEF_SELF_SCOUT_IMPORT'!$L$42:$L$1040,"Y",'DEF_SELF_SCOUT_IMPORT'!$E$42:$E$1040,SUBSTITUTE(SUBSTITUTE(SUBSTITUTE($B1456,"~","~~"),"*","~*"),"?","~?"),'DEF_SELF_SCOUT_IMPORT'!$Q$42:$Q$1040,SUBSTITUTE(SUBSTITUTE(SUBSTITUTE($M1456,"~","~~"),"*","~*"),"?","~?"),'DEF_SELF_SCOUT_IMPORT'!$F$42:$F$1040,SUBSTITUTE(SUBSTITUTE(SUBSTITUTE($N1456,"~","~~"),"*","~*"),"?","~?"),'DEF_SELF_SCOUT_IMPORT'!$D$42:$D$1040,SUBSTITUTE(SUBSTITUTE(SUBSTITUTE($P1456,"~","~~"),"*","~*"),"?","~?"))/$C1456)</f>
        <v>1.0</v>
      </c>
      <c r="E1456" s="10">
        <f>IF($C1456=0,"",SUMIFS('DEF_SELF_SCOUT_IMPORT'!$K$42:$K$1040,'DEF_SELF_SCOUT_IMPORT'!$L$42:$L$1040,"Y",'DEF_SELF_SCOUT_IMPORT'!$E$42:$E$1040,SUBSTITUTE(SUBSTITUTE(SUBSTITUTE($B1456,"~","~~"),"*","~*"),"?","~?"),'DEF_SELF_SCOUT_IMPORT'!$Q$42:$Q$1040,SUBSTITUTE(SUBSTITUTE(SUBSTITUTE($M1456,"~","~~"),"*","~*"),"?","~?"),'DEF_SELF_SCOUT_IMPORT'!$F$42:$F$1040,SUBSTITUTE(SUBSTITUTE(SUBSTITUTE($N1456,"~","~~"),"*","~*"),"?","~?"),'DEF_SELF_SCOUT_IMPORT'!$D$42:$D$1040,SUBSTITUTE(SUBSTITUTE(SUBSTITUTE($P1456,"~","~~"),"*","~*"),"?","~?"))/$C1456)</f>
        <v>0.0</v>
      </c>
      <c r="F1456" s="11">
        <f>IF($C1456=0,"",AVERAGEIFS('DEF_SELF_SCOUT_IMPORT'!$I$42:$I$1040,'DEF_SELF_SCOUT_IMPORT'!$L$42:$L$1040,"Y",'DEF_SELF_SCOUT_IMPORT'!$E$42:$E$1040,SUBSTITUTE(SUBSTITUTE(SUBSTITUTE($B1456,"~","~~"),"*","~*"),"?","~?"),'DEF_SELF_SCOUT_IMPORT'!$Q$42:$Q$1040,SUBSTITUTE(SUBSTITUTE(SUBSTITUTE($M1456,"~","~~"),"*","~*"),"?","~?"),'DEF_SELF_SCOUT_IMPORT'!$F$42:$F$1040,SUBSTITUTE(SUBSTITUTE(SUBSTITUTE($N1456,"~","~~"),"*","~*"),"?","~?"),'DEF_SELF_SCOUT_IMPORT'!$D$42:$D$1040,SUBSTITUTE(SUBSTITUTE(SUBSTITUTE($P1456,"~","~~"),"*","~*"),"?","~?")))</f>
        <v>0.0</v>
      </c>
      <c r="G1456" s="10">
        <f>IF($C1456=0,"",COUNTIFS('DEF_SELF_SCOUT_IMPORT'!$L$42:$L$1040,"Y",'DEF_SELF_SCOUT_IMPORT'!$E$42:$E$1040,SUBSTITUTE(SUBSTITUTE(SUBSTITUTE($B1456,"~","~~"),"*","~*"),"?","~?"),'DEF_SELF_SCOUT_IMPORT'!$Q$42:$Q$1040,SUBSTITUTE(SUBSTITUTE(SUBSTITUTE($M1456,"~","~~"),"*","~*"),"?","~?"),'DEF_SELF_SCOUT_IMPORT'!$F$42:$F$1040,SUBSTITUTE(SUBSTITUTE(SUBSTITUTE($N1456,"~","~~"),"*","~*"),"?","~?"),'DEF_SELF_SCOUT_IMPORT'!$D$42:$D$1040,SUBSTITUTE(SUBSTITUTE(SUBSTITUTE($P1456,"~","~~"),"*","~*"),"?","~?"),'DEF_SELF_SCOUT_IMPORT'!$H$42:$H$1040,"RUSH")/$C1456)</f>
        <v>1.0</v>
      </c>
      <c r="H1456" s="10">
        <f>IF($C1456=0,"",COUNTIFS('DEF_SELF_SCOUT_IMPORT'!$L$42:$L$1040,"Y",'DEF_SELF_SCOUT_IMPORT'!$E$42:$E$1040,SUBSTITUTE(SUBSTITUTE(SUBSTITUTE($B1456,"~","~~"),"*","~*"),"?","~?"),'DEF_SELF_SCOUT_IMPORT'!$Q$42:$Q$1040,SUBSTITUTE(SUBSTITUTE(SUBSTITUTE($M1456,"~","~~"),"*","~*"),"?","~?"),'DEF_SELF_SCOUT_IMPORT'!$F$42:$F$1040,SUBSTITUTE(SUBSTITUTE(SUBSTITUTE($N1456,"~","~~"),"*","~*"),"?","~?"),'DEF_SELF_SCOUT_IMPORT'!$D$42:$D$1040,SUBSTITUTE(SUBSTITUTE(SUBSTITUTE($P1456,"~","~~"),"*","~*"),"?","~?"),'DEF_SELF_SCOUT_IMPORT'!$H$42:$H$1040,"DROPBACK")/$C1456)</f>
        <v>0.0</v>
      </c>
      <c r="I1456" s="14" t="str">
        <f>IF(C1456=0,"",IF(C1456&lt;=2,"TRACK",IF(C1456=3,"LOW",IF(C1456&lt;=6,"MEDIUM","HIGH"))))</f>
        <v>TRACK</v>
      </c>
      <c r="J1456" s="11">
        <f>IF(C1456=0,"",ROUND(D1456*70+(1-E1456)*20+MAX(0,MIN(1,(10-F1456)/10))*10,1))</f>
        <v>100.0</v>
      </c>
      <c r="K1456" s="14" t="str">
        <f>IF(C1456=0,"No Evidence",IF(C1456&lt;=2,IF(E1456&gt;0,"Explosive Alert","Track Only"),IF(C1456=3,"Sample Watch",IF(E1456&gt;=START_HERE!$B$31,"Explosive Alert",IF(J1456&gt;=80,"Strong Candidate",IF(J1456&gt;=65,"Good Candidate",IF(J1456&gt;=50,"Mixed / Review","Problem Call")))))))</f>
        <v>Track Only</v>
      </c>
      <c r="L1456" s="9" t="str">
        <f>IF(COUNTIFS('DEF_SELF_SCOUT_IMPORT'!$L$42:$L$1040,"Y",'DEF_SELF_SCOUT_IMPORT'!$E$42:$E$1040,SUBSTITUTE(SUBSTITUTE(SUBSTITUTE($B1456,"~","~~"),"*","~*"),"?","~?"),'DEF_SELF_SCOUT_IMPORT'!$Q$42:$Q$1040,SUBSTITUTE(SUBSTITUTE(SUBSTITUTE($M1456,"~","~~"),"*","~*"),"?","~?"),'DEF_SELF_SCOUT_IMPORT'!$F$42:$F$1040,SUBSTITUTE(SUBSTITUTE(SUBSTITUTE($N1456,"~","~~"),"*","~*"),"?","~?"),'DEF_SELF_SCOUT_IMPORT'!$D$42:$D$1040,SUBSTITUTE(SUBSTITUTE(SUBSTITUTE($P1456,"~","~~"),"*","~*"),"?","~?"),'DEF_SELF_SCOUT_IMPORT'!$J$42:$J$1040,"")&gt;0,"Unscored clean outcome; review result tags before using score.",IF(C1456=0,"No matching defensive reps; film confirmation needed.",IF(K1456="Explosive Alert","Explosive risk; review clips before using as answer.",IF(C1456&lt;=2,"Track only; not enough sample.",IF(C1456=3,IF(E1456&gt;0,"Sample watch with explosive exposure; review clips and build the sample.",IF(J1456&gt;=65,"Good signal, but sample is limited.","Sample watch; review clips and build the sample.")),IF(K1456="Problem Call","Problem area; practice or call-sheet review.",IF(K1456="Strong Candidate","Strong call-fit candidate; confirm on film.",IF(K1456="Good Candidate","Good call-fit signal; confirm on film.","Mixed signal; review fit and execution on film."))))))))</f>
        <v>Track only; not enough sample.</v>
      </c>
      <c r="M1456" s="8" t="s">
        <v>82</v>
      </c>
      <c r="N1456" s="8" t="s">
        <v>123</v>
      </c>
      <c r="O1456" s="8"/>
      <c r="P1456" s="8" t="s">
        <v>465</v>
      </c>
      <c r="Q1456" s="8"/>
      <c r="R1456" s="8" t="s">
        <v>661</v>
      </c>
      <c r="S1456" s="2" t="s">
        <v>665</v>
      </c>
      <c r="T1456" s="2">
        <f>IF(C1456=0,0,IF(C1456&gt;=CALL_LOOKUP_BOARD!$B$7,IF(OR(K1456="Problem Call",K1456="Explosive Alert"),10000000,20000000),0)+IF(C1456&gt;=CALL_LOOKUP_BOARD!$B$7,J1456*1000+MIN(C1456,999),C1456*1000+J1456)+0.00999100)</f>
        <v>1100.009991</v>
      </c>
      <c r="U1456" s="2" t="str">
        <f>IF(C1456=0,"",IF(COUNTIFS($S$1448:$S$1491,SUBSTITUTE(SUBSTITUTE(SUBSTITUTE(S1456,"~","~~"),"*","~*"),"?","~?"),$T$1448:$T$1491,"&gt;"&amp;T1456)=0,S1456,""))</f>
        <v>6:2D 4-6|2:12|0:|12:OUTSIDE ZONE|</v>
      </c>
    </row>
    <row r="1457" spans="1:21" ht="38" customHeight="1">
      <c r="A1457" s="8" t="s">
        <v>666</v>
      </c>
      <c r="B1457" s="8" t="s">
        <v>27</v>
      </c>
      <c r="C1457" s="12">
        <f>COUNTIFS('DEF_SELF_SCOUT_IMPORT'!$L$42:$L$1040,"Y",'DEF_SELF_SCOUT_IMPORT'!$E$42:$E$1040,SUBSTITUTE(SUBSTITUTE(SUBSTITUTE($B1457,"~","~~"),"*","~*"),"?","~?"),'DEF_SELF_SCOUT_IMPORT'!$Q$42:$Q$1040,SUBSTITUTE(SUBSTITUTE(SUBSTITUTE($M1457,"~","~~"),"*","~*"),"?","~?"),'DEF_SELF_SCOUT_IMPORT'!$F$42:$F$1040,SUBSTITUTE(SUBSTITUTE(SUBSTITUTE($N1457,"~","~~"),"*","~*"),"?","~?"),'DEF_SELF_SCOUT_IMPORT'!$D$42:$D$1040,SUBSTITUTE(SUBSTITUTE(SUBSTITUTE($P1457,"~","~~"),"*","~*"),"?","~?"))</f>
        <v>1</v>
      </c>
      <c r="D1457" s="10">
        <f>IF($C1457=0,"",SUMIFS('DEF_SELF_SCOUT_IMPORT'!$J$42:$J$1040,'DEF_SELF_SCOUT_IMPORT'!$L$42:$L$1040,"Y",'DEF_SELF_SCOUT_IMPORT'!$E$42:$E$1040,SUBSTITUTE(SUBSTITUTE(SUBSTITUTE($B1457,"~","~~"),"*","~*"),"?","~?"),'DEF_SELF_SCOUT_IMPORT'!$Q$42:$Q$1040,SUBSTITUTE(SUBSTITUTE(SUBSTITUTE($M1457,"~","~~"),"*","~*"),"?","~?"),'DEF_SELF_SCOUT_IMPORT'!$F$42:$F$1040,SUBSTITUTE(SUBSTITUTE(SUBSTITUTE($N1457,"~","~~"),"*","~*"),"?","~?"),'DEF_SELF_SCOUT_IMPORT'!$D$42:$D$1040,SUBSTITUTE(SUBSTITUTE(SUBSTITUTE($P1457,"~","~~"),"*","~*"),"?","~?"))/$C1457)</f>
        <v>1.0</v>
      </c>
      <c r="E1457" s="10">
        <f>IF($C1457=0,"",SUMIFS('DEF_SELF_SCOUT_IMPORT'!$K$42:$K$1040,'DEF_SELF_SCOUT_IMPORT'!$L$42:$L$1040,"Y",'DEF_SELF_SCOUT_IMPORT'!$E$42:$E$1040,SUBSTITUTE(SUBSTITUTE(SUBSTITUTE($B1457,"~","~~"),"*","~*"),"?","~?"),'DEF_SELF_SCOUT_IMPORT'!$Q$42:$Q$1040,SUBSTITUTE(SUBSTITUTE(SUBSTITUTE($M1457,"~","~~"),"*","~*"),"?","~?"),'DEF_SELF_SCOUT_IMPORT'!$F$42:$F$1040,SUBSTITUTE(SUBSTITUTE(SUBSTITUTE($N1457,"~","~~"),"*","~*"),"?","~?"),'DEF_SELF_SCOUT_IMPORT'!$D$42:$D$1040,SUBSTITUTE(SUBSTITUTE(SUBSTITUTE($P1457,"~","~~"),"*","~*"),"?","~?"))/$C1457)</f>
        <v>0.0</v>
      </c>
      <c r="F1457" s="11">
        <f>IF($C1457=0,"",AVERAGEIFS('DEF_SELF_SCOUT_IMPORT'!$I$42:$I$1040,'DEF_SELF_SCOUT_IMPORT'!$L$42:$L$1040,"Y",'DEF_SELF_SCOUT_IMPORT'!$E$42:$E$1040,SUBSTITUTE(SUBSTITUTE(SUBSTITUTE($B1457,"~","~~"),"*","~*"),"?","~?"),'DEF_SELF_SCOUT_IMPORT'!$Q$42:$Q$1040,SUBSTITUTE(SUBSTITUTE(SUBSTITUTE($M1457,"~","~~"),"*","~*"),"?","~?"),'DEF_SELF_SCOUT_IMPORT'!$F$42:$F$1040,SUBSTITUTE(SUBSTITUTE(SUBSTITUTE($N1457,"~","~~"),"*","~*"),"?","~?"),'DEF_SELF_SCOUT_IMPORT'!$D$42:$D$1040,SUBSTITUTE(SUBSTITUTE(SUBSTITUTE($P1457,"~","~~"),"*","~*"),"?","~?")))</f>
        <v>0.0</v>
      </c>
      <c r="G1457" s="10">
        <f>IF($C1457=0,"",COUNTIFS('DEF_SELF_SCOUT_IMPORT'!$L$42:$L$1040,"Y",'DEF_SELF_SCOUT_IMPORT'!$E$42:$E$1040,SUBSTITUTE(SUBSTITUTE(SUBSTITUTE($B1457,"~","~~"),"*","~*"),"?","~?"),'DEF_SELF_SCOUT_IMPORT'!$Q$42:$Q$1040,SUBSTITUTE(SUBSTITUTE(SUBSTITUTE($M1457,"~","~~"),"*","~*"),"?","~?"),'DEF_SELF_SCOUT_IMPORT'!$F$42:$F$1040,SUBSTITUTE(SUBSTITUTE(SUBSTITUTE($N1457,"~","~~"),"*","~*"),"?","~?"),'DEF_SELF_SCOUT_IMPORT'!$D$42:$D$1040,SUBSTITUTE(SUBSTITUTE(SUBSTITUTE($P1457,"~","~~"),"*","~*"),"?","~?"),'DEF_SELF_SCOUT_IMPORT'!$H$42:$H$1040,"RUSH")/$C1457)</f>
        <v>0.0</v>
      </c>
      <c r="H1457" s="10">
        <f>IF($C1457=0,"",COUNTIFS('DEF_SELF_SCOUT_IMPORT'!$L$42:$L$1040,"Y",'DEF_SELF_SCOUT_IMPORT'!$E$42:$E$1040,SUBSTITUTE(SUBSTITUTE(SUBSTITUTE($B1457,"~","~~"),"*","~*"),"?","~?"),'DEF_SELF_SCOUT_IMPORT'!$Q$42:$Q$1040,SUBSTITUTE(SUBSTITUTE(SUBSTITUTE($M1457,"~","~~"),"*","~*"),"?","~?"),'DEF_SELF_SCOUT_IMPORT'!$F$42:$F$1040,SUBSTITUTE(SUBSTITUTE(SUBSTITUTE($N1457,"~","~~"),"*","~*"),"?","~?"),'DEF_SELF_SCOUT_IMPORT'!$D$42:$D$1040,SUBSTITUTE(SUBSTITUTE(SUBSTITUTE($P1457,"~","~~"),"*","~*"),"?","~?"),'DEF_SELF_SCOUT_IMPORT'!$H$42:$H$1040,"DROPBACK")/$C1457)</f>
        <v>1.0</v>
      </c>
      <c r="I1457" s="14" t="str">
        <f>IF(C1457=0,"",IF(C1457&lt;=2,"TRACK",IF(C1457=3,"LOW",IF(C1457&lt;=6,"MEDIUM","HIGH"))))</f>
        <v>TRACK</v>
      </c>
      <c r="J1457" s="11">
        <f>IF(C1457=0,"",ROUND(D1457*70+(1-E1457)*20+MAX(0,MIN(1,(10-F1457)/10))*10,1))</f>
        <v>100.0</v>
      </c>
      <c r="K1457" s="14" t="str">
        <f>IF(C1457=0,"No Evidence",IF(C1457&lt;=2,IF(E1457&gt;0,"Explosive Alert","Track Only"),IF(C1457=3,"Sample Watch",IF(E1457&gt;=START_HERE!$B$31,"Explosive Alert",IF(J1457&gt;=80,"Strong Candidate",IF(J1457&gt;=65,"Good Candidate",IF(J1457&gt;=50,"Mixed / Review","Problem Call")))))))</f>
        <v>Track Only</v>
      </c>
      <c r="L1457" s="9" t="str">
        <f>IF(COUNTIFS('DEF_SELF_SCOUT_IMPORT'!$L$42:$L$1040,"Y",'DEF_SELF_SCOUT_IMPORT'!$E$42:$E$1040,SUBSTITUTE(SUBSTITUTE(SUBSTITUTE($B1457,"~","~~"),"*","~*"),"?","~?"),'DEF_SELF_SCOUT_IMPORT'!$Q$42:$Q$1040,SUBSTITUTE(SUBSTITUTE(SUBSTITUTE($M1457,"~","~~"),"*","~*"),"?","~?"),'DEF_SELF_SCOUT_IMPORT'!$F$42:$F$1040,SUBSTITUTE(SUBSTITUTE(SUBSTITUTE($N1457,"~","~~"),"*","~*"),"?","~?"),'DEF_SELF_SCOUT_IMPORT'!$D$42:$D$1040,SUBSTITUTE(SUBSTITUTE(SUBSTITUTE($P1457,"~","~~"),"*","~*"),"?","~?"),'DEF_SELF_SCOUT_IMPORT'!$J$42:$J$1040,"")&gt;0,"Unscored clean outcome; review result tags before using score.",IF(C1457=0,"No matching defensive reps; film confirmation needed.",IF(K1457="Explosive Alert","Explosive risk; review clips before using as answer.",IF(C1457&lt;=2,"Track only; not enough sample.",IF(C1457=3,IF(E1457&gt;0,"Sample watch with explosive exposure; review clips and build the sample.",IF(J1457&gt;=65,"Good signal, but sample is limited.","Sample watch; review clips and build the sample.")),IF(K1457="Problem Call","Problem area; practice or call-sheet review.",IF(K1457="Strong Candidate","Strong call-fit candidate; confirm on film.",IF(K1457="Good Candidate","Good call-fit signal; confirm on film.","Mixed signal; review fit and execution on film."))))))))</f>
        <v>Track only; not enough sample.</v>
      </c>
      <c r="M1457" s="8" t="s">
        <v>103</v>
      </c>
      <c r="N1457" s="8" t="s">
        <v>120</v>
      </c>
      <c r="O1457" s="8"/>
      <c r="P1457" s="8" t="s">
        <v>449</v>
      </c>
      <c r="Q1457" s="8"/>
      <c r="R1457" s="8" t="s">
        <v>661</v>
      </c>
      <c r="S1457" s="2" t="s">
        <v>667</v>
      </c>
      <c r="T1457" s="2">
        <f>IF(C1457=0,0,IF(C1457&gt;=CALL_LOOKUP_BOARD!$B$7,IF(OR(K1457="Problem Call",K1457="Explosive Alert"),10000000,20000000),0)+IF(C1457&gt;=CALL_LOOKUP_BOARD!$B$7,J1457*1000+MIN(C1457,999),C1457*1000+J1457)+0.00999000)</f>
        <v>1100.00999</v>
      </c>
      <c r="U1457" s="2">
        <f>IF(C1457=0,"",IF(COUNTIFS($S$1448:$S$1491,SUBSTITUTE(SUBSTITUTE(SUBSTITUTE(S1457,"~","~~"),"*","~*"),"?","~?"),$T$1448:$T$1491,"&gt;"&amp;T1457)=0,S1457,""))</f>
        <v/>
      </c>
    </row>
    <row r="1458" spans="1:21" ht="38" customHeight="1">
      <c r="A1458" s="8" t="s">
        <v>666</v>
      </c>
      <c r="B1458" s="8" t="s">
        <v>37</v>
      </c>
      <c r="C1458" s="12">
        <f>COUNTIFS('DEF_SELF_SCOUT_IMPORT'!$L$42:$L$1040,"Y",'DEF_SELF_SCOUT_IMPORT'!$E$42:$E$1040,SUBSTITUTE(SUBSTITUTE(SUBSTITUTE($B1458,"~","~~"),"*","~*"),"?","~?"),'DEF_SELF_SCOUT_IMPORT'!$Q$42:$Q$1040,SUBSTITUTE(SUBSTITUTE(SUBSTITUTE($M1458,"~","~~"),"*","~*"),"?","~?"),'DEF_SELF_SCOUT_IMPORT'!$F$42:$F$1040,SUBSTITUTE(SUBSTITUTE(SUBSTITUTE($N1458,"~","~~"),"*","~*"),"?","~?"),'DEF_SELF_SCOUT_IMPORT'!$D$42:$D$1040,SUBSTITUTE(SUBSTITUTE(SUBSTITUTE($P1458,"~","~~"),"*","~*"),"?","~?"))</f>
        <v>1</v>
      </c>
      <c r="D1458" s="10">
        <f>IF($C1458=0,"",SUMIFS('DEF_SELF_SCOUT_IMPORT'!$J$42:$J$1040,'DEF_SELF_SCOUT_IMPORT'!$L$42:$L$1040,"Y",'DEF_SELF_SCOUT_IMPORT'!$E$42:$E$1040,SUBSTITUTE(SUBSTITUTE(SUBSTITUTE($B1458,"~","~~"),"*","~*"),"?","~?"),'DEF_SELF_SCOUT_IMPORT'!$Q$42:$Q$1040,SUBSTITUTE(SUBSTITUTE(SUBSTITUTE($M1458,"~","~~"),"*","~*"),"?","~?"),'DEF_SELF_SCOUT_IMPORT'!$F$42:$F$1040,SUBSTITUTE(SUBSTITUTE(SUBSTITUTE($N1458,"~","~~"),"*","~*"),"?","~?"),'DEF_SELF_SCOUT_IMPORT'!$D$42:$D$1040,SUBSTITUTE(SUBSTITUTE(SUBSTITUTE($P1458,"~","~~"),"*","~*"),"?","~?"))/$C1458)</f>
        <v>0.0</v>
      </c>
      <c r="E1458" s="10">
        <f>IF($C1458=0,"",SUMIFS('DEF_SELF_SCOUT_IMPORT'!$K$42:$K$1040,'DEF_SELF_SCOUT_IMPORT'!$L$42:$L$1040,"Y",'DEF_SELF_SCOUT_IMPORT'!$E$42:$E$1040,SUBSTITUTE(SUBSTITUTE(SUBSTITUTE($B1458,"~","~~"),"*","~*"),"?","~?"),'DEF_SELF_SCOUT_IMPORT'!$Q$42:$Q$1040,SUBSTITUTE(SUBSTITUTE(SUBSTITUTE($M1458,"~","~~"),"*","~*"),"?","~?"),'DEF_SELF_SCOUT_IMPORT'!$F$42:$F$1040,SUBSTITUTE(SUBSTITUTE(SUBSTITUTE($N1458,"~","~~"),"*","~*"),"?","~?"),'DEF_SELF_SCOUT_IMPORT'!$D$42:$D$1040,SUBSTITUTE(SUBSTITUTE(SUBSTITUTE($P1458,"~","~~"),"*","~*"),"?","~?"))/$C1458)</f>
        <v>0.0</v>
      </c>
      <c r="F1458" s="11">
        <f>IF($C1458=0,"",AVERAGEIFS('DEF_SELF_SCOUT_IMPORT'!$I$42:$I$1040,'DEF_SELF_SCOUT_IMPORT'!$L$42:$L$1040,"Y",'DEF_SELF_SCOUT_IMPORT'!$E$42:$E$1040,SUBSTITUTE(SUBSTITUTE(SUBSTITUTE($B1458,"~","~~"),"*","~*"),"?","~?"),'DEF_SELF_SCOUT_IMPORT'!$Q$42:$Q$1040,SUBSTITUTE(SUBSTITUTE(SUBSTITUTE($M1458,"~","~~"),"*","~*"),"?","~?"),'DEF_SELF_SCOUT_IMPORT'!$F$42:$F$1040,SUBSTITUTE(SUBSTITUTE(SUBSTITUTE($N1458,"~","~~"),"*","~*"),"?","~?"),'DEF_SELF_SCOUT_IMPORT'!$D$42:$D$1040,SUBSTITUTE(SUBSTITUTE(SUBSTITUTE($P1458,"~","~~"),"*","~*"),"?","~?")))</f>
        <v>6.0</v>
      </c>
      <c r="G1458" s="10">
        <f>IF($C1458=0,"",COUNTIFS('DEF_SELF_SCOUT_IMPORT'!$L$42:$L$1040,"Y",'DEF_SELF_SCOUT_IMPORT'!$E$42:$E$1040,SUBSTITUTE(SUBSTITUTE(SUBSTITUTE($B1458,"~","~~"),"*","~*"),"?","~?"),'DEF_SELF_SCOUT_IMPORT'!$Q$42:$Q$1040,SUBSTITUTE(SUBSTITUTE(SUBSTITUTE($M1458,"~","~~"),"*","~*"),"?","~?"),'DEF_SELF_SCOUT_IMPORT'!$F$42:$F$1040,SUBSTITUTE(SUBSTITUTE(SUBSTITUTE($N1458,"~","~~"),"*","~*"),"?","~?"),'DEF_SELF_SCOUT_IMPORT'!$D$42:$D$1040,SUBSTITUTE(SUBSTITUTE(SUBSTITUTE($P1458,"~","~~"),"*","~*"),"?","~?"),'DEF_SELF_SCOUT_IMPORT'!$H$42:$H$1040,"RUSH")/$C1458)</f>
        <v>0.0</v>
      </c>
      <c r="H1458" s="10">
        <f>IF($C1458=0,"",COUNTIFS('DEF_SELF_SCOUT_IMPORT'!$L$42:$L$1040,"Y",'DEF_SELF_SCOUT_IMPORT'!$E$42:$E$1040,SUBSTITUTE(SUBSTITUTE(SUBSTITUTE($B1458,"~","~~"),"*","~*"),"?","~?"),'DEF_SELF_SCOUT_IMPORT'!$Q$42:$Q$1040,SUBSTITUTE(SUBSTITUTE(SUBSTITUTE($M1458,"~","~~"),"*","~*"),"?","~?"),'DEF_SELF_SCOUT_IMPORT'!$F$42:$F$1040,SUBSTITUTE(SUBSTITUTE(SUBSTITUTE($N1458,"~","~~"),"*","~*"),"?","~?"),'DEF_SELF_SCOUT_IMPORT'!$D$42:$D$1040,SUBSTITUTE(SUBSTITUTE(SUBSTITUTE($P1458,"~","~~"),"*","~*"),"?","~?"),'DEF_SELF_SCOUT_IMPORT'!$H$42:$H$1040,"DROPBACK")/$C1458)</f>
        <v>1.0</v>
      </c>
      <c r="I1458" s="14" t="str">
        <f>IF(C1458=0,"",IF(C1458&lt;=2,"TRACK",IF(C1458=3,"LOW",IF(C1458&lt;=6,"MEDIUM","HIGH"))))</f>
        <v>TRACK</v>
      </c>
      <c r="J1458" s="11">
        <f>IF(C1458=0,"",ROUND(D1458*70+(1-E1458)*20+MAX(0,MIN(1,(10-F1458)/10))*10,1))</f>
        <v>24.0</v>
      </c>
      <c r="K1458" s="14" t="str">
        <f>IF(C1458=0,"No Evidence",IF(C1458&lt;=2,IF(E1458&gt;0,"Explosive Alert","Track Only"),IF(C1458=3,"Sample Watch",IF(E1458&gt;=START_HERE!$B$31,"Explosive Alert",IF(J1458&gt;=80,"Strong Candidate",IF(J1458&gt;=65,"Good Candidate",IF(J1458&gt;=50,"Mixed / Review","Problem Call")))))))</f>
        <v>Track Only</v>
      </c>
      <c r="L1458" s="9" t="str">
        <f>IF(COUNTIFS('DEF_SELF_SCOUT_IMPORT'!$L$42:$L$1040,"Y",'DEF_SELF_SCOUT_IMPORT'!$E$42:$E$1040,SUBSTITUTE(SUBSTITUTE(SUBSTITUTE($B1458,"~","~~"),"*","~*"),"?","~?"),'DEF_SELF_SCOUT_IMPORT'!$Q$42:$Q$1040,SUBSTITUTE(SUBSTITUTE(SUBSTITUTE($M1458,"~","~~"),"*","~*"),"?","~?"),'DEF_SELF_SCOUT_IMPORT'!$F$42:$F$1040,SUBSTITUTE(SUBSTITUTE(SUBSTITUTE($N1458,"~","~~"),"*","~*"),"?","~?"),'DEF_SELF_SCOUT_IMPORT'!$D$42:$D$1040,SUBSTITUTE(SUBSTITUTE(SUBSTITUTE($P1458,"~","~~"),"*","~*"),"?","~?"),'DEF_SELF_SCOUT_IMPORT'!$J$42:$J$1040,"")&gt;0,"Unscored clean outcome; review result tags before using score.",IF(C1458=0,"No matching defensive reps; film confirmation needed.",IF(K1458="Explosive Alert","Explosive risk; review clips before using as answer.",IF(C1458&lt;=2,"Track only; not enough sample.",IF(C1458=3,IF(E1458&gt;0,"Sample watch with explosive exposure; review clips and build the sample.",IF(J1458&gt;=65,"Good signal, but sample is limited.","Sample watch; review clips and build the sample.")),IF(K1458="Problem Call","Problem area; practice or call-sheet review.",IF(K1458="Strong Candidate","Strong call-fit candidate; confirm on film.",IF(K1458="Good Candidate","Good call-fit signal; confirm on film.","Mixed signal; review fit and execution on film."))))))))</f>
        <v>Track only; not enough sample.</v>
      </c>
      <c r="M1458" s="8" t="s">
        <v>103</v>
      </c>
      <c r="N1458" s="8" t="s">
        <v>120</v>
      </c>
      <c r="O1458" s="8"/>
      <c r="P1458" s="8" t="s">
        <v>449</v>
      </c>
      <c r="Q1458" s="8"/>
      <c r="R1458" s="8" t="s">
        <v>661</v>
      </c>
      <c r="S1458" s="2" t="s">
        <v>667</v>
      </c>
      <c r="T1458" s="2">
        <f>IF(C1458=0,0,IF(C1458&gt;=CALL_LOOKUP_BOARD!$B$7,IF(OR(K1458="Problem Call",K1458="Explosive Alert"),10000000,20000000),0)+IF(C1458&gt;=CALL_LOOKUP_BOARD!$B$7,J1458*1000+MIN(C1458,999),C1458*1000+J1458)+0.00998900)</f>
        <v>1024.009989</v>
      </c>
      <c r="U1458" s="2">
        <f>IF(C1458=0,"",IF(COUNTIFS($S$1448:$S$1491,SUBSTITUTE(SUBSTITUTE(SUBSTITUTE(S1458,"~","~~"),"*","~*"),"?","~?"),$T$1448:$T$1491,"&gt;"&amp;T1458)=0,S1458,""))</f>
        <v/>
      </c>
    </row>
    <row r="1459" spans="1:21" ht="38" customHeight="1">
      <c r="A1459" s="8" t="s">
        <v>666</v>
      </c>
      <c r="B1459" s="8" t="s">
        <v>42</v>
      </c>
      <c r="C1459" s="12">
        <f>COUNTIFS('DEF_SELF_SCOUT_IMPORT'!$L$42:$L$1040,"Y",'DEF_SELF_SCOUT_IMPORT'!$E$42:$E$1040,SUBSTITUTE(SUBSTITUTE(SUBSTITUTE($B1459,"~","~~"),"*","~*"),"?","~?"),'DEF_SELF_SCOUT_IMPORT'!$Q$42:$Q$1040,SUBSTITUTE(SUBSTITUTE(SUBSTITUTE($M1459,"~","~~"),"*","~*"),"?","~?"),'DEF_SELF_SCOUT_IMPORT'!$F$42:$F$1040,SUBSTITUTE(SUBSTITUTE(SUBSTITUTE($N1459,"~","~~"),"*","~*"),"?","~?"),'DEF_SELF_SCOUT_IMPORT'!$D$42:$D$1040,SUBSTITUTE(SUBSTITUTE(SUBSTITUTE($P1459,"~","~~"),"*","~*"),"?","~?"))</f>
        <v>2</v>
      </c>
      <c r="D1459" s="10">
        <f>IF($C1459=0,"",SUMIFS('DEF_SELF_SCOUT_IMPORT'!$J$42:$J$1040,'DEF_SELF_SCOUT_IMPORT'!$L$42:$L$1040,"Y",'DEF_SELF_SCOUT_IMPORT'!$E$42:$E$1040,SUBSTITUTE(SUBSTITUTE(SUBSTITUTE($B1459,"~","~~"),"*","~*"),"?","~?"),'DEF_SELF_SCOUT_IMPORT'!$Q$42:$Q$1040,SUBSTITUTE(SUBSTITUTE(SUBSTITUTE($M1459,"~","~~"),"*","~*"),"?","~?"),'DEF_SELF_SCOUT_IMPORT'!$F$42:$F$1040,SUBSTITUTE(SUBSTITUTE(SUBSTITUTE($N1459,"~","~~"),"*","~*"),"?","~?"),'DEF_SELF_SCOUT_IMPORT'!$D$42:$D$1040,SUBSTITUTE(SUBSTITUTE(SUBSTITUTE($P1459,"~","~~"),"*","~*"),"?","~?"))/$C1459)</f>
        <v>1.0</v>
      </c>
      <c r="E1459" s="10">
        <f>IF($C1459=0,"",SUMIFS('DEF_SELF_SCOUT_IMPORT'!$K$42:$K$1040,'DEF_SELF_SCOUT_IMPORT'!$L$42:$L$1040,"Y",'DEF_SELF_SCOUT_IMPORT'!$E$42:$E$1040,SUBSTITUTE(SUBSTITUTE(SUBSTITUTE($B1459,"~","~~"),"*","~*"),"?","~?"),'DEF_SELF_SCOUT_IMPORT'!$Q$42:$Q$1040,SUBSTITUTE(SUBSTITUTE(SUBSTITUTE($M1459,"~","~~"),"*","~*"),"?","~?"),'DEF_SELF_SCOUT_IMPORT'!$F$42:$F$1040,SUBSTITUTE(SUBSTITUTE(SUBSTITUTE($N1459,"~","~~"),"*","~*"),"?","~?"),'DEF_SELF_SCOUT_IMPORT'!$D$42:$D$1040,SUBSTITUTE(SUBSTITUTE(SUBSTITUTE($P1459,"~","~~"),"*","~*"),"?","~?"))/$C1459)</f>
        <v>0.0</v>
      </c>
      <c r="F1459" s="11">
        <f>IF($C1459=0,"",AVERAGEIFS('DEF_SELF_SCOUT_IMPORT'!$I$42:$I$1040,'DEF_SELF_SCOUT_IMPORT'!$L$42:$L$1040,"Y",'DEF_SELF_SCOUT_IMPORT'!$E$42:$E$1040,SUBSTITUTE(SUBSTITUTE(SUBSTITUTE($B1459,"~","~~"),"*","~*"),"?","~?"),'DEF_SELF_SCOUT_IMPORT'!$Q$42:$Q$1040,SUBSTITUTE(SUBSTITUTE(SUBSTITUTE($M1459,"~","~~"),"*","~*"),"?","~?"),'DEF_SELF_SCOUT_IMPORT'!$F$42:$F$1040,SUBSTITUTE(SUBSTITUTE(SUBSTITUTE($N1459,"~","~~"),"*","~*"),"?","~?"),'DEF_SELF_SCOUT_IMPORT'!$D$42:$D$1040,SUBSTITUTE(SUBSTITUTE(SUBSTITUTE($P1459,"~","~~"),"*","~*"),"?","~?")))</f>
        <v>-2.0</v>
      </c>
      <c r="G1459" s="10">
        <f>IF($C1459=0,"",COUNTIFS('DEF_SELF_SCOUT_IMPORT'!$L$42:$L$1040,"Y",'DEF_SELF_SCOUT_IMPORT'!$E$42:$E$1040,SUBSTITUTE(SUBSTITUTE(SUBSTITUTE($B1459,"~","~~"),"*","~*"),"?","~?"),'DEF_SELF_SCOUT_IMPORT'!$Q$42:$Q$1040,SUBSTITUTE(SUBSTITUTE(SUBSTITUTE($M1459,"~","~~"),"*","~*"),"?","~?"),'DEF_SELF_SCOUT_IMPORT'!$F$42:$F$1040,SUBSTITUTE(SUBSTITUTE(SUBSTITUTE($N1459,"~","~~"),"*","~*"),"?","~?"),'DEF_SELF_SCOUT_IMPORT'!$D$42:$D$1040,SUBSTITUTE(SUBSTITUTE(SUBSTITUTE($P1459,"~","~~"),"*","~*"),"?","~?"),'DEF_SELF_SCOUT_IMPORT'!$H$42:$H$1040,"RUSH")/$C1459)</f>
        <v>0.0</v>
      </c>
      <c r="H1459" s="10">
        <f>IF($C1459=0,"",COUNTIFS('DEF_SELF_SCOUT_IMPORT'!$L$42:$L$1040,"Y",'DEF_SELF_SCOUT_IMPORT'!$E$42:$E$1040,SUBSTITUTE(SUBSTITUTE(SUBSTITUTE($B1459,"~","~~"),"*","~*"),"?","~?"),'DEF_SELF_SCOUT_IMPORT'!$Q$42:$Q$1040,SUBSTITUTE(SUBSTITUTE(SUBSTITUTE($M1459,"~","~~"),"*","~*"),"?","~?"),'DEF_SELF_SCOUT_IMPORT'!$F$42:$F$1040,SUBSTITUTE(SUBSTITUTE(SUBSTITUTE($N1459,"~","~~"),"*","~*"),"?","~?"),'DEF_SELF_SCOUT_IMPORT'!$D$42:$D$1040,SUBSTITUTE(SUBSTITUTE(SUBSTITUTE($P1459,"~","~~"),"*","~*"),"?","~?"),'DEF_SELF_SCOUT_IMPORT'!$H$42:$H$1040,"DROPBACK")/$C1459)</f>
        <v>1.0</v>
      </c>
      <c r="I1459" s="14" t="str">
        <f>IF(C1459=0,"",IF(C1459&lt;=2,"TRACK",IF(C1459=3,"LOW",IF(C1459&lt;=6,"MEDIUM","HIGH"))))</f>
        <v>TRACK</v>
      </c>
      <c r="J1459" s="11">
        <f>IF(C1459=0,"",ROUND(D1459*70+(1-E1459)*20+MAX(0,MIN(1,(10-F1459)/10))*10,1))</f>
        <v>100.0</v>
      </c>
      <c r="K1459" s="14" t="str">
        <f>IF(C1459=0,"No Evidence",IF(C1459&lt;=2,IF(E1459&gt;0,"Explosive Alert","Track Only"),IF(C1459=3,"Sample Watch",IF(E1459&gt;=START_HERE!$B$31,"Explosive Alert",IF(J1459&gt;=80,"Strong Candidate",IF(J1459&gt;=65,"Good Candidate",IF(J1459&gt;=50,"Mixed / Review","Problem Call")))))))</f>
        <v>Track Only</v>
      </c>
      <c r="L1459" s="9" t="str">
        <f>IF(COUNTIFS('DEF_SELF_SCOUT_IMPORT'!$L$42:$L$1040,"Y",'DEF_SELF_SCOUT_IMPORT'!$E$42:$E$1040,SUBSTITUTE(SUBSTITUTE(SUBSTITUTE($B1459,"~","~~"),"*","~*"),"?","~?"),'DEF_SELF_SCOUT_IMPORT'!$Q$42:$Q$1040,SUBSTITUTE(SUBSTITUTE(SUBSTITUTE($M1459,"~","~~"),"*","~*"),"?","~?"),'DEF_SELF_SCOUT_IMPORT'!$F$42:$F$1040,SUBSTITUTE(SUBSTITUTE(SUBSTITUTE($N1459,"~","~~"),"*","~*"),"?","~?"),'DEF_SELF_SCOUT_IMPORT'!$D$42:$D$1040,SUBSTITUTE(SUBSTITUTE(SUBSTITUTE($P1459,"~","~~"),"*","~*"),"?","~?"),'DEF_SELF_SCOUT_IMPORT'!$J$42:$J$1040,"")&gt;0,"Unscored clean outcome; review result tags before using score.",IF(C1459=0,"No matching defensive reps; film confirmation needed.",IF(K1459="Explosive Alert","Explosive risk; review clips before using as answer.",IF(C1459&lt;=2,"Track only; not enough sample.",IF(C1459=3,IF(E1459&gt;0,"Sample watch with explosive exposure; review clips and build the sample.",IF(J1459&gt;=65,"Good signal, but sample is limited.","Sample watch; review clips and build the sample.")),IF(K1459="Problem Call","Problem area; practice or call-sheet review.",IF(K1459="Strong Candidate","Strong call-fit candidate; confirm on film.",IF(K1459="Good Candidate","Good call-fit signal; confirm on film.","Mixed signal; review fit and execution on film."))))))))</f>
        <v>Track only; not enough sample.</v>
      </c>
      <c r="M1459" s="8" t="s">
        <v>103</v>
      </c>
      <c r="N1459" s="8" t="s">
        <v>120</v>
      </c>
      <c r="O1459" s="8"/>
      <c r="P1459" s="8" t="s">
        <v>449</v>
      </c>
      <c r="Q1459" s="8"/>
      <c r="R1459" s="8" t="s">
        <v>661</v>
      </c>
      <c r="S1459" s="2" t="s">
        <v>667</v>
      </c>
      <c r="T1459" s="2">
        <f>IF(C1459=0,0,IF(C1459&gt;=CALL_LOOKUP_BOARD!$B$7,IF(OR(K1459="Problem Call",K1459="Explosive Alert"),10000000,20000000),0)+IF(C1459&gt;=CALL_LOOKUP_BOARD!$B$7,J1459*1000+MIN(C1459,999),C1459*1000+J1459)+0.00998800)</f>
        <v>2100.009988</v>
      </c>
      <c r="U1459" s="2" t="str">
        <f>IF(C1459=0,"",IF(COUNTIFS($S$1448:$S$1491,SUBSTITUTE(SUBSTITUTE(SUBSTITUTE(S1459,"~","~~"),"*","~*"),"?","~?"),$T$1448:$T$1491,"&gt;"&amp;T1459)=0,S1459,""))</f>
        <v>6:3D 4-6|2:11|0:|6:5 STEP|</v>
      </c>
    </row>
    <row r="1460" spans="1:21" ht="38" customHeight="1">
      <c r="A1460" s="8" t="s">
        <v>666</v>
      </c>
      <c r="B1460" s="8" t="s">
        <v>77</v>
      </c>
      <c r="C1460" s="12">
        <f>COUNTIFS('DEF_SELF_SCOUT_IMPORT'!$L$42:$L$1040,"Y",'DEF_SELF_SCOUT_IMPORT'!$E$42:$E$1040,SUBSTITUTE(SUBSTITUTE(SUBSTITUTE($B1460,"~","~~"),"*","~*"),"?","~?"),'DEF_SELF_SCOUT_IMPORT'!$Q$42:$Q$1040,SUBSTITUTE(SUBSTITUTE(SUBSTITUTE($M1460,"~","~~"),"*","~*"),"?","~?"),'DEF_SELF_SCOUT_IMPORT'!$F$42:$F$1040,SUBSTITUTE(SUBSTITUTE(SUBSTITUTE($N1460,"~","~~"),"*","~*"),"?","~?"),'DEF_SELF_SCOUT_IMPORT'!$D$42:$D$1040,SUBSTITUTE(SUBSTITUTE(SUBSTITUTE($P1460,"~","~~"),"*","~*"),"?","~?"))</f>
        <v>1</v>
      </c>
      <c r="D1460" s="10">
        <f>IF($C1460=0,"",SUMIFS('DEF_SELF_SCOUT_IMPORT'!$J$42:$J$1040,'DEF_SELF_SCOUT_IMPORT'!$L$42:$L$1040,"Y",'DEF_SELF_SCOUT_IMPORT'!$E$42:$E$1040,SUBSTITUTE(SUBSTITUTE(SUBSTITUTE($B1460,"~","~~"),"*","~*"),"?","~?"),'DEF_SELF_SCOUT_IMPORT'!$Q$42:$Q$1040,SUBSTITUTE(SUBSTITUTE(SUBSTITUTE($M1460,"~","~~"),"*","~*"),"?","~?"),'DEF_SELF_SCOUT_IMPORT'!$F$42:$F$1040,SUBSTITUTE(SUBSTITUTE(SUBSTITUTE($N1460,"~","~~"),"*","~*"),"?","~?"),'DEF_SELF_SCOUT_IMPORT'!$D$42:$D$1040,SUBSTITUTE(SUBSTITUTE(SUBSTITUTE($P1460,"~","~~"),"*","~*"),"?","~?"))/$C1460)</f>
        <v>1.0</v>
      </c>
      <c r="E1460" s="10">
        <f>IF($C1460=0,"",SUMIFS('DEF_SELF_SCOUT_IMPORT'!$K$42:$K$1040,'DEF_SELF_SCOUT_IMPORT'!$L$42:$L$1040,"Y",'DEF_SELF_SCOUT_IMPORT'!$E$42:$E$1040,SUBSTITUTE(SUBSTITUTE(SUBSTITUTE($B1460,"~","~~"),"*","~*"),"?","~?"),'DEF_SELF_SCOUT_IMPORT'!$Q$42:$Q$1040,SUBSTITUTE(SUBSTITUTE(SUBSTITUTE($M1460,"~","~~"),"*","~*"),"?","~?"),'DEF_SELF_SCOUT_IMPORT'!$F$42:$F$1040,SUBSTITUTE(SUBSTITUTE(SUBSTITUTE($N1460,"~","~~"),"*","~*"),"?","~?"),'DEF_SELF_SCOUT_IMPORT'!$D$42:$D$1040,SUBSTITUTE(SUBSTITUTE(SUBSTITUTE($P1460,"~","~~"),"*","~*"),"?","~?"))/$C1460)</f>
        <v>0.0</v>
      </c>
      <c r="F1460" s="11">
        <f>IF($C1460=0,"",AVERAGEIFS('DEF_SELF_SCOUT_IMPORT'!$I$42:$I$1040,'DEF_SELF_SCOUT_IMPORT'!$L$42:$L$1040,"Y",'DEF_SELF_SCOUT_IMPORT'!$E$42:$E$1040,SUBSTITUTE(SUBSTITUTE(SUBSTITUTE($B1460,"~","~~"),"*","~*"),"?","~?"),'DEF_SELF_SCOUT_IMPORT'!$Q$42:$Q$1040,SUBSTITUTE(SUBSTITUTE(SUBSTITUTE($M1460,"~","~~"),"*","~*"),"?","~?"),'DEF_SELF_SCOUT_IMPORT'!$F$42:$F$1040,SUBSTITUTE(SUBSTITUTE(SUBSTITUTE($N1460,"~","~~"),"*","~*"),"?","~?"),'DEF_SELF_SCOUT_IMPORT'!$D$42:$D$1040,SUBSTITUTE(SUBSTITUTE(SUBSTITUTE($P1460,"~","~~"),"*","~*"),"?","~?")))</f>
        <v>5.0</v>
      </c>
      <c r="G1460" s="10">
        <f>IF($C1460=0,"",COUNTIFS('DEF_SELF_SCOUT_IMPORT'!$L$42:$L$1040,"Y",'DEF_SELF_SCOUT_IMPORT'!$E$42:$E$1040,SUBSTITUTE(SUBSTITUTE(SUBSTITUTE($B1460,"~","~~"),"*","~*"),"?","~?"),'DEF_SELF_SCOUT_IMPORT'!$Q$42:$Q$1040,SUBSTITUTE(SUBSTITUTE(SUBSTITUTE($M1460,"~","~~"),"*","~*"),"?","~?"),'DEF_SELF_SCOUT_IMPORT'!$F$42:$F$1040,SUBSTITUTE(SUBSTITUTE(SUBSTITUTE($N1460,"~","~~"),"*","~*"),"?","~?"),'DEF_SELF_SCOUT_IMPORT'!$D$42:$D$1040,SUBSTITUTE(SUBSTITUTE(SUBSTITUTE($P1460,"~","~~"),"*","~*"),"?","~?"),'DEF_SELF_SCOUT_IMPORT'!$H$42:$H$1040,"RUSH")/$C1460)</f>
        <v>0.0</v>
      </c>
      <c r="H1460" s="10">
        <f>IF($C1460=0,"",COUNTIFS('DEF_SELF_SCOUT_IMPORT'!$L$42:$L$1040,"Y",'DEF_SELF_SCOUT_IMPORT'!$E$42:$E$1040,SUBSTITUTE(SUBSTITUTE(SUBSTITUTE($B1460,"~","~~"),"*","~*"),"?","~?"),'DEF_SELF_SCOUT_IMPORT'!$Q$42:$Q$1040,SUBSTITUTE(SUBSTITUTE(SUBSTITUTE($M1460,"~","~~"),"*","~*"),"?","~?"),'DEF_SELF_SCOUT_IMPORT'!$F$42:$F$1040,SUBSTITUTE(SUBSTITUTE(SUBSTITUTE($N1460,"~","~~"),"*","~*"),"?","~?"),'DEF_SELF_SCOUT_IMPORT'!$D$42:$D$1040,SUBSTITUTE(SUBSTITUTE(SUBSTITUTE($P1460,"~","~~"),"*","~*"),"?","~?"),'DEF_SELF_SCOUT_IMPORT'!$H$42:$H$1040,"DROPBACK")/$C1460)</f>
        <v>1.0</v>
      </c>
      <c r="I1460" s="14" t="str">
        <f>IF(C1460=0,"",IF(C1460&lt;=2,"TRACK",IF(C1460=3,"LOW",IF(C1460&lt;=6,"MEDIUM","HIGH"))))</f>
        <v>TRACK</v>
      </c>
      <c r="J1460" s="11">
        <f>IF(C1460=0,"",ROUND(D1460*70+(1-E1460)*20+MAX(0,MIN(1,(10-F1460)/10))*10,1))</f>
        <v>95.0</v>
      </c>
      <c r="K1460" s="14" t="str">
        <f>IF(C1460=0,"No Evidence",IF(C1460&lt;=2,IF(E1460&gt;0,"Explosive Alert","Track Only"),IF(C1460=3,"Sample Watch",IF(E1460&gt;=START_HERE!$B$31,"Explosive Alert",IF(J1460&gt;=80,"Strong Candidate",IF(J1460&gt;=65,"Good Candidate",IF(J1460&gt;=50,"Mixed / Review","Problem Call")))))))</f>
        <v>Track Only</v>
      </c>
      <c r="L1460" s="9" t="str">
        <f>IF(COUNTIFS('DEF_SELF_SCOUT_IMPORT'!$L$42:$L$1040,"Y",'DEF_SELF_SCOUT_IMPORT'!$E$42:$E$1040,SUBSTITUTE(SUBSTITUTE(SUBSTITUTE($B1460,"~","~~"),"*","~*"),"?","~?"),'DEF_SELF_SCOUT_IMPORT'!$Q$42:$Q$1040,SUBSTITUTE(SUBSTITUTE(SUBSTITUTE($M1460,"~","~~"),"*","~*"),"?","~?"),'DEF_SELF_SCOUT_IMPORT'!$F$42:$F$1040,SUBSTITUTE(SUBSTITUTE(SUBSTITUTE($N1460,"~","~~"),"*","~*"),"?","~?"),'DEF_SELF_SCOUT_IMPORT'!$D$42:$D$1040,SUBSTITUTE(SUBSTITUTE(SUBSTITUTE($P1460,"~","~~"),"*","~*"),"?","~?"),'DEF_SELF_SCOUT_IMPORT'!$J$42:$J$1040,"")&gt;0,"Unscored clean outcome; review result tags before using score.",IF(C1460=0,"No matching defensive reps; film confirmation needed.",IF(K1460="Explosive Alert","Explosive risk; review clips before using as answer.",IF(C1460&lt;=2,"Track only; not enough sample.",IF(C1460=3,IF(E1460&gt;0,"Sample watch with explosive exposure; review clips and build the sample.",IF(J1460&gt;=65,"Good signal, but sample is limited.","Sample watch; review clips and build the sample.")),IF(K1460="Problem Call","Problem area; practice or call-sheet review.",IF(K1460="Strong Candidate","Strong call-fit candidate; confirm on film.",IF(K1460="Good Candidate","Good call-fit signal; confirm on film.","Mixed signal; review fit and execution on film."))))))))</f>
        <v>Track only; not enough sample.</v>
      </c>
      <c r="M1460" s="8" t="s">
        <v>103</v>
      </c>
      <c r="N1460" s="8" t="s">
        <v>120</v>
      </c>
      <c r="O1460" s="8"/>
      <c r="P1460" s="8" t="s">
        <v>449</v>
      </c>
      <c r="Q1460" s="8"/>
      <c r="R1460" s="8" t="s">
        <v>661</v>
      </c>
      <c r="S1460" s="2" t="s">
        <v>667</v>
      </c>
      <c r="T1460" s="2">
        <f>IF(C1460=0,0,IF(C1460&gt;=CALL_LOOKUP_BOARD!$B$7,IF(OR(K1460="Problem Call",K1460="Explosive Alert"),10000000,20000000),0)+IF(C1460&gt;=CALL_LOOKUP_BOARD!$B$7,J1460*1000+MIN(C1460,999),C1460*1000+J1460)+0.00998700)</f>
        <v>1095.009987</v>
      </c>
      <c r="U1460" s="2">
        <f>IF(C1460=0,"",IF(COUNTIFS($S$1448:$S$1491,SUBSTITUTE(SUBSTITUTE(SUBSTITUTE(S1460,"~","~~"),"*","~*"),"?","~?"),$T$1448:$T$1491,"&gt;"&amp;T1460)=0,S1460,""))</f>
        <v/>
      </c>
    </row>
    <row r="1461" spans="1:21" ht="38" customHeight="1">
      <c r="A1461" s="8" t="s">
        <v>666</v>
      </c>
      <c r="B1461" s="8" t="s">
        <v>48</v>
      </c>
      <c r="C1461" s="12">
        <f>COUNTIFS('DEF_SELF_SCOUT_IMPORT'!$L$42:$L$1040,"Y",'DEF_SELF_SCOUT_IMPORT'!$E$42:$E$1040,SUBSTITUTE(SUBSTITUTE(SUBSTITUTE($B1461,"~","~~"),"*","~*"),"?","~?"),'DEF_SELF_SCOUT_IMPORT'!$Q$42:$Q$1040,SUBSTITUTE(SUBSTITUTE(SUBSTITUTE($M1461,"~","~~"),"*","~*"),"?","~?"),'DEF_SELF_SCOUT_IMPORT'!$F$42:$F$1040,SUBSTITUTE(SUBSTITUTE(SUBSTITUTE($N1461,"~","~~"),"*","~*"),"?","~?"),'DEF_SELF_SCOUT_IMPORT'!$D$42:$D$1040,SUBSTITUTE(SUBSTITUTE(SUBSTITUTE($P1461,"~","~~"),"*","~*"),"?","~?"))</f>
        <v>2</v>
      </c>
      <c r="D1461" s="10">
        <f>IF($C1461=0,"",SUMIFS('DEF_SELF_SCOUT_IMPORT'!$J$42:$J$1040,'DEF_SELF_SCOUT_IMPORT'!$L$42:$L$1040,"Y",'DEF_SELF_SCOUT_IMPORT'!$E$42:$E$1040,SUBSTITUTE(SUBSTITUTE(SUBSTITUTE($B1461,"~","~~"),"*","~*"),"?","~?"),'DEF_SELF_SCOUT_IMPORT'!$Q$42:$Q$1040,SUBSTITUTE(SUBSTITUTE(SUBSTITUTE($M1461,"~","~~"),"*","~*"),"?","~?"),'DEF_SELF_SCOUT_IMPORT'!$F$42:$F$1040,SUBSTITUTE(SUBSTITUTE(SUBSTITUTE($N1461,"~","~~"),"*","~*"),"?","~?"),'DEF_SELF_SCOUT_IMPORT'!$D$42:$D$1040,SUBSTITUTE(SUBSTITUTE(SUBSTITUTE($P1461,"~","~~"),"*","~*"),"?","~?"))/$C1461)</f>
        <v>0.0</v>
      </c>
      <c r="E1461" s="10">
        <f>IF($C1461=0,"",SUMIFS('DEF_SELF_SCOUT_IMPORT'!$K$42:$K$1040,'DEF_SELF_SCOUT_IMPORT'!$L$42:$L$1040,"Y",'DEF_SELF_SCOUT_IMPORT'!$E$42:$E$1040,SUBSTITUTE(SUBSTITUTE(SUBSTITUTE($B1461,"~","~~"),"*","~*"),"?","~?"),'DEF_SELF_SCOUT_IMPORT'!$Q$42:$Q$1040,SUBSTITUTE(SUBSTITUTE(SUBSTITUTE($M1461,"~","~~"),"*","~*"),"?","~?"),'DEF_SELF_SCOUT_IMPORT'!$F$42:$F$1040,SUBSTITUTE(SUBSTITUTE(SUBSTITUTE($N1461,"~","~~"),"*","~*"),"?","~?"),'DEF_SELF_SCOUT_IMPORT'!$D$42:$D$1040,SUBSTITUTE(SUBSTITUTE(SUBSTITUTE($P1461,"~","~~"),"*","~*"),"?","~?"))/$C1461)</f>
        <v>0.0</v>
      </c>
      <c r="F1461" s="11">
        <f>IF($C1461=0,"",AVERAGEIFS('DEF_SELF_SCOUT_IMPORT'!$I$42:$I$1040,'DEF_SELF_SCOUT_IMPORT'!$L$42:$L$1040,"Y",'DEF_SELF_SCOUT_IMPORT'!$E$42:$E$1040,SUBSTITUTE(SUBSTITUTE(SUBSTITUTE($B1461,"~","~~"),"*","~*"),"?","~?"),'DEF_SELF_SCOUT_IMPORT'!$Q$42:$Q$1040,SUBSTITUTE(SUBSTITUTE(SUBSTITUTE($M1461,"~","~~"),"*","~*"),"?","~?"),'DEF_SELF_SCOUT_IMPORT'!$F$42:$F$1040,SUBSTITUTE(SUBSTITUTE(SUBSTITUTE($N1461,"~","~~"),"*","~*"),"?","~?"),'DEF_SELF_SCOUT_IMPORT'!$D$42:$D$1040,SUBSTITUTE(SUBSTITUTE(SUBSTITUTE($P1461,"~","~~"),"*","~*"),"?","~?")))</f>
        <v>10.5</v>
      </c>
      <c r="G1461" s="10">
        <f>IF($C1461=0,"",COUNTIFS('DEF_SELF_SCOUT_IMPORT'!$L$42:$L$1040,"Y",'DEF_SELF_SCOUT_IMPORT'!$E$42:$E$1040,SUBSTITUTE(SUBSTITUTE(SUBSTITUTE($B1461,"~","~~"),"*","~*"),"?","~?"),'DEF_SELF_SCOUT_IMPORT'!$Q$42:$Q$1040,SUBSTITUTE(SUBSTITUTE(SUBSTITUTE($M1461,"~","~~"),"*","~*"),"?","~?"),'DEF_SELF_SCOUT_IMPORT'!$F$42:$F$1040,SUBSTITUTE(SUBSTITUTE(SUBSTITUTE($N1461,"~","~~"),"*","~*"),"?","~?"),'DEF_SELF_SCOUT_IMPORT'!$D$42:$D$1040,SUBSTITUTE(SUBSTITUTE(SUBSTITUTE($P1461,"~","~~"),"*","~*"),"?","~?"),'DEF_SELF_SCOUT_IMPORT'!$H$42:$H$1040,"RUSH")/$C1461)</f>
        <v>0.0</v>
      </c>
      <c r="H1461" s="10">
        <f>IF($C1461=0,"",COUNTIFS('DEF_SELF_SCOUT_IMPORT'!$L$42:$L$1040,"Y",'DEF_SELF_SCOUT_IMPORT'!$E$42:$E$1040,SUBSTITUTE(SUBSTITUTE(SUBSTITUTE($B1461,"~","~~"),"*","~*"),"?","~?"),'DEF_SELF_SCOUT_IMPORT'!$Q$42:$Q$1040,SUBSTITUTE(SUBSTITUTE(SUBSTITUTE($M1461,"~","~~"),"*","~*"),"?","~?"),'DEF_SELF_SCOUT_IMPORT'!$F$42:$F$1040,SUBSTITUTE(SUBSTITUTE(SUBSTITUTE($N1461,"~","~~"),"*","~*"),"?","~?"),'DEF_SELF_SCOUT_IMPORT'!$D$42:$D$1040,SUBSTITUTE(SUBSTITUTE(SUBSTITUTE($P1461,"~","~~"),"*","~*"),"?","~?"),'DEF_SELF_SCOUT_IMPORT'!$H$42:$H$1040,"DROPBACK")/$C1461)</f>
        <v>1.0</v>
      </c>
      <c r="I1461" s="14" t="str">
        <f>IF(C1461=0,"",IF(C1461&lt;=2,"TRACK",IF(C1461=3,"LOW",IF(C1461&lt;=6,"MEDIUM","HIGH"))))</f>
        <v>TRACK</v>
      </c>
      <c r="J1461" s="11">
        <f>IF(C1461=0,"",ROUND(D1461*70+(1-E1461)*20+MAX(0,MIN(1,(10-F1461)/10))*10,1))</f>
        <v>20.0</v>
      </c>
      <c r="K1461" s="14" t="str">
        <f>IF(C1461=0,"No Evidence",IF(C1461&lt;=2,IF(E1461&gt;0,"Explosive Alert","Track Only"),IF(C1461=3,"Sample Watch",IF(E1461&gt;=START_HERE!$B$31,"Explosive Alert",IF(J1461&gt;=80,"Strong Candidate",IF(J1461&gt;=65,"Good Candidate",IF(J1461&gt;=50,"Mixed / Review","Problem Call")))))))</f>
        <v>Track Only</v>
      </c>
      <c r="L1461" s="9" t="str">
        <f>IF(COUNTIFS('DEF_SELF_SCOUT_IMPORT'!$L$42:$L$1040,"Y",'DEF_SELF_SCOUT_IMPORT'!$E$42:$E$1040,SUBSTITUTE(SUBSTITUTE(SUBSTITUTE($B1461,"~","~~"),"*","~*"),"?","~?"),'DEF_SELF_SCOUT_IMPORT'!$Q$42:$Q$1040,SUBSTITUTE(SUBSTITUTE(SUBSTITUTE($M1461,"~","~~"),"*","~*"),"?","~?"),'DEF_SELF_SCOUT_IMPORT'!$F$42:$F$1040,SUBSTITUTE(SUBSTITUTE(SUBSTITUTE($N1461,"~","~~"),"*","~*"),"?","~?"),'DEF_SELF_SCOUT_IMPORT'!$D$42:$D$1040,SUBSTITUTE(SUBSTITUTE(SUBSTITUTE($P1461,"~","~~"),"*","~*"),"?","~?"),'DEF_SELF_SCOUT_IMPORT'!$J$42:$J$1040,"")&gt;0,"Unscored clean outcome; review result tags before using score.",IF(C1461=0,"No matching defensive reps; film confirmation needed.",IF(K1461="Explosive Alert","Explosive risk; review clips before using as answer.",IF(C1461&lt;=2,"Track only; not enough sample.",IF(C1461=3,IF(E1461&gt;0,"Sample watch with explosive exposure; review clips and build the sample.",IF(J1461&gt;=65,"Good signal, but sample is limited.","Sample watch; review clips and build the sample.")),IF(K1461="Problem Call","Problem area; practice or call-sheet review.",IF(K1461="Strong Candidate","Strong call-fit candidate; confirm on film.",IF(K1461="Good Candidate","Good call-fit signal; confirm on film.","Mixed signal; review fit and execution on film."))))))))</f>
        <v>Track only; not enough sample.</v>
      </c>
      <c r="M1461" s="8" t="s">
        <v>103</v>
      </c>
      <c r="N1461" s="8" t="s">
        <v>120</v>
      </c>
      <c r="O1461" s="8"/>
      <c r="P1461" s="8" t="s">
        <v>449</v>
      </c>
      <c r="Q1461" s="8"/>
      <c r="R1461" s="8" t="s">
        <v>661</v>
      </c>
      <c r="S1461" s="2" t="s">
        <v>667</v>
      </c>
      <c r="T1461" s="2">
        <f>IF(C1461=0,0,IF(C1461&gt;=CALL_LOOKUP_BOARD!$B$7,IF(OR(K1461="Problem Call",K1461="Explosive Alert"),10000000,20000000),0)+IF(C1461&gt;=CALL_LOOKUP_BOARD!$B$7,J1461*1000+MIN(C1461,999),C1461*1000+J1461)+0.00998600)</f>
        <v>2020.009986</v>
      </c>
      <c r="U1461" s="2">
        <f>IF(C1461=0,"",IF(COUNTIFS($S$1448:$S$1491,SUBSTITUTE(SUBSTITUTE(SUBSTITUTE(S1461,"~","~~"),"*","~*"),"?","~?"),$T$1448:$T$1491,"&gt;"&amp;T1461)=0,S1461,""))</f>
        <v/>
      </c>
    </row>
    <row r="1462" spans="1:21" ht="38" customHeight="1">
      <c r="A1462" s="8" t="s">
        <v>666</v>
      </c>
      <c r="B1462" s="8" t="s">
        <v>100</v>
      </c>
      <c r="C1462" s="12">
        <f>COUNTIFS('DEF_SELF_SCOUT_IMPORT'!$L$42:$L$1040,"Y",'DEF_SELF_SCOUT_IMPORT'!$E$42:$E$1040,SUBSTITUTE(SUBSTITUTE(SUBSTITUTE($B1462,"~","~~"),"*","~*"),"?","~?"),'DEF_SELF_SCOUT_IMPORT'!$Q$42:$Q$1040,SUBSTITUTE(SUBSTITUTE(SUBSTITUTE($M1462,"~","~~"),"*","~*"),"?","~?"),'DEF_SELF_SCOUT_IMPORT'!$F$42:$F$1040,SUBSTITUTE(SUBSTITUTE(SUBSTITUTE($N1462,"~","~~"),"*","~*"),"?","~?"),'DEF_SELF_SCOUT_IMPORT'!$D$42:$D$1040,SUBSTITUTE(SUBSTITUTE(SUBSTITUTE($P1462,"~","~~"),"*","~*"),"?","~?"))</f>
        <v>1</v>
      </c>
      <c r="D1462" s="10">
        <f>IF($C1462=0,"",SUMIFS('DEF_SELF_SCOUT_IMPORT'!$J$42:$J$1040,'DEF_SELF_SCOUT_IMPORT'!$L$42:$L$1040,"Y",'DEF_SELF_SCOUT_IMPORT'!$E$42:$E$1040,SUBSTITUTE(SUBSTITUTE(SUBSTITUTE($B1462,"~","~~"),"*","~*"),"?","~?"),'DEF_SELF_SCOUT_IMPORT'!$Q$42:$Q$1040,SUBSTITUTE(SUBSTITUTE(SUBSTITUTE($M1462,"~","~~"),"*","~*"),"?","~?"),'DEF_SELF_SCOUT_IMPORT'!$F$42:$F$1040,SUBSTITUTE(SUBSTITUTE(SUBSTITUTE($N1462,"~","~~"),"*","~*"),"?","~?"),'DEF_SELF_SCOUT_IMPORT'!$D$42:$D$1040,SUBSTITUTE(SUBSTITUTE(SUBSTITUTE($P1462,"~","~~"),"*","~*"),"?","~?"))/$C1462)</f>
        <v>1.0</v>
      </c>
      <c r="E1462" s="10">
        <f>IF($C1462=0,"",SUMIFS('DEF_SELF_SCOUT_IMPORT'!$K$42:$K$1040,'DEF_SELF_SCOUT_IMPORT'!$L$42:$L$1040,"Y",'DEF_SELF_SCOUT_IMPORT'!$E$42:$E$1040,SUBSTITUTE(SUBSTITUTE(SUBSTITUTE($B1462,"~","~~"),"*","~*"),"?","~?"),'DEF_SELF_SCOUT_IMPORT'!$Q$42:$Q$1040,SUBSTITUTE(SUBSTITUTE(SUBSTITUTE($M1462,"~","~~"),"*","~*"),"?","~?"),'DEF_SELF_SCOUT_IMPORT'!$F$42:$F$1040,SUBSTITUTE(SUBSTITUTE(SUBSTITUTE($N1462,"~","~~"),"*","~*"),"?","~?"),'DEF_SELF_SCOUT_IMPORT'!$D$42:$D$1040,SUBSTITUTE(SUBSTITUTE(SUBSTITUTE($P1462,"~","~~"),"*","~*"),"?","~?"))/$C1462)</f>
        <v>0.0</v>
      </c>
      <c r="F1462" s="11">
        <f>IF($C1462=0,"",AVERAGEIFS('DEF_SELF_SCOUT_IMPORT'!$I$42:$I$1040,'DEF_SELF_SCOUT_IMPORT'!$L$42:$L$1040,"Y",'DEF_SELF_SCOUT_IMPORT'!$E$42:$E$1040,SUBSTITUTE(SUBSTITUTE(SUBSTITUTE($B1462,"~","~~"),"*","~*"),"?","~?"),'DEF_SELF_SCOUT_IMPORT'!$Q$42:$Q$1040,SUBSTITUTE(SUBSTITUTE(SUBSTITUTE($M1462,"~","~~"),"*","~*"),"?","~?"),'DEF_SELF_SCOUT_IMPORT'!$F$42:$F$1040,SUBSTITUTE(SUBSTITUTE(SUBSTITUTE($N1462,"~","~~"),"*","~*"),"?","~?"),'DEF_SELF_SCOUT_IMPORT'!$D$42:$D$1040,SUBSTITUTE(SUBSTITUTE(SUBSTITUTE($P1462,"~","~~"),"*","~*"),"?","~?")))</f>
        <v>4.0</v>
      </c>
      <c r="G1462" s="10">
        <f>IF($C1462=0,"",COUNTIFS('DEF_SELF_SCOUT_IMPORT'!$L$42:$L$1040,"Y",'DEF_SELF_SCOUT_IMPORT'!$E$42:$E$1040,SUBSTITUTE(SUBSTITUTE(SUBSTITUTE($B1462,"~","~~"),"*","~*"),"?","~?"),'DEF_SELF_SCOUT_IMPORT'!$Q$42:$Q$1040,SUBSTITUTE(SUBSTITUTE(SUBSTITUTE($M1462,"~","~~"),"*","~*"),"?","~?"),'DEF_SELF_SCOUT_IMPORT'!$F$42:$F$1040,SUBSTITUTE(SUBSTITUTE(SUBSTITUTE($N1462,"~","~~"),"*","~*"),"?","~?"),'DEF_SELF_SCOUT_IMPORT'!$D$42:$D$1040,SUBSTITUTE(SUBSTITUTE(SUBSTITUTE($P1462,"~","~~"),"*","~*"),"?","~?"),'DEF_SELF_SCOUT_IMPORT'!$H$42:$H$1040,"RUSH")/$C1462)</f>
        <v>0.0</v>
      </c>
      <c r="H1462" s="10">
        <f>IF($C1462=0,"",COUNTIFS('DEF_SELF_SCOUT_IMPORT'!$L$42:$L$1040,"Y",'DEF_SELF_SCOUT_IMPORT'!$E$42:$E$1040,SUBSTITUTE(SUBSTITUTE(SUBSTITUTE($B1462,"~","~~"),"*","~*"),"?","~?"),'DEF_SELF_SCOUT_IMPORT'!$Q$42:$Q$1040,SUBSTITUTE(SUBSTITUTE(SUBSTITUTE($M1462,"~","~~"),"*","~*"),"?","~?"),'DEF_SELF_SCOUT_IMPORT'!$F$42:$F$1040,SUBSTITUTE(SUBSTITUTE(SUBSTITUTE($N1462,"~","~~"),"*","~*"),"?","~?"),'DEF_SELF_SCOUT_IMPORT'!$D$42:$D$1040,SUBSTITUTE(SUBSTITUTE(SUBSTITUTE($P1462,"~","~~"),"*","~*"),"?","~?"),'DEF_SELF_SCOUT_IMPORT'!$H$42:$H$1040,"DROPBACK")/$C1462)</f>
        <v>1.0</v>
      </c>
      <c r="I1462" s="14" t="str">
        <f>IF(C1462=0,"",IF(C1462&lt;=2,"TRACK",IF(C1462=3,"LOW",IF(C1462&lt;=6,"MEDIUM","HIGH"))))</f>
        <v>TRACK</v>
      </c>
      <c r="J1462" s="11">
        <f>IF(C1462=0,"",ROUND(D1462*70+(1-E1462)*20+MAX(0,MIN(1,(10-F1462)/10))*10,1))</f>
        <v>96.0</v>
      </c>
      <c r="K1462" s="14" t="str">
        <f>IF(C1462=0,"No Evidence",IF(C1462&lt;=2,IF(E1462&gt;0,"Explosive Alert","Track Only"),IF(C1462=3,"Sample Watch",IF(E1462&gt;=START_HERE!$B$31,"Explosive Alert",IF(J1462&gt;=80,"Strong Candidate",IF(J1462&gt;=65,"Good Candidate",IF(J1462&gt;=50,"Mixed / Review","Problem Call")))))))</f>
        <v>Track Only</v>
      </c>
      <c r="L1462" s="9" t="str">
        <f>IF(COUNTIFS('DEF_SELF_SCOUT_IMPORT'!$L$42:$L$1040,"Y",'DEF_SELF_SCOUT_IMPORT'!$E$42:$E$1040,SUBSTITUTE(SUBSTITUTE(SUBSTITUTE($B1462,"~","~~"),"*","~*"),"?","~?"),'DEF_SELF_SCOUT_IMPORT'!$Q$42:$Q$1040,SUBSTITUTE(SUBSTITUTE(SUBSTITUTE($M1462,"~","~~"),"*","~*"),"?","~?"),'DEF_SELF_SCOUT_IMPORT'!$F$42:$F$1040,SUBSTITUTE(SUBSTITUTE(SUBSTITUTE($N1462,"~","~~"),"*","~*"),"?","~?"),'DEF_SELF_SCOUT_IMPORT'!$D$42:$D$1040,SUBSTITUTE(SUBSTITUTE(SUBSTITUTE($P1462,"~","~~"),"*","~*"),"?","~?"),'DEF_SELF_SCOUT_IMPORT'!$J$42:$J$1040,"")&gt;0,"Unscored clean outcome; review result tags before using score.",IF(C1462=0,"No matching defensive reps; film confirmation needed.",IF(K1462="Explosive Alert","Explosive risk; review clips before using as answer.",IF(C1462&lt;=2,"Track only; not enough sample.",IF(C1462=3,IF(E1462&gt;0,"Sample watch with explosive exposure; review clips and build the sample.",IF(J1462&gt;=65,"Good signal, but sample is limited.","Sample watch; review clips and build the sample.")),IF(K1462="Problem Call","Problem area; practice or call-sheet review.",IF(K1462="Strong Candidate","Strong call-fit candidate; confirm on film.",IF(K1462="Good Candidate","Good call-fit signal; confirm on film.","Mixed signal; review fit and execution on film."))))))))</f>
        <v>Track only; not enough sample.</v>
      </c>
      <c r="M1462" s="8" t="s">
        <v>103</v>
      </c>
      <c r="N1462" s="8" t="s">
        <v>120</v>
      </c>
      <c r="O1462" s="8"/>
      <c r="P1462" s="8" t="s">
        <v>449</v>
      </c>
      <c r="Q1462" s="8"/>
      <c r="R1462" s="8" t="s">
        <v>661</v>
      </c>
      <c r="S1462" s="2" t="s">
        <v>667</v>
      </c>
      <c r="T1462" s="2">
        <f>IF(C1462=0,0,IF(C1462&gt;=CALL_LOOKUP_BOARD!$B$7,IF(OR(K1462="Problem Call",K1462="Explosive Alert"),10000000,20000000),0)+IF(C1462&gt;=CALL_LOOKUP_BOARD!$B$7,J1462*1000+MIN(C1462,999),C1462*1000+J1462)+0.00998500)</f>
        <v>1096.009985</v>
      </c>
      <c r="U1462" s="2">
        <f>IF(C1462=0,"",IF(COUNTIFS($S$1448:$S$1491,SUBSTITUTE(SUBSTITUTE(SUBSTITUTE(S1462,"~","~~"),"*","~*"),"?","~?"),$T$1448:$T$1491,"&gt;"&amp;T1462)=0,S1462,""))</f>
        <v/>
      </c>
    </row>
    <row r="1463" spans="1:21" ht="38" customHeight="1">
      <c r="A1463" s="8" t="s">
        <v>666</v>
      </c>
      <c r="B1463" s="8" t="s">
        <v>105</v>
      </c>
      <c r="C1463" s="12">
        <f>COUNTIFS('DEF_SELF_SCOUT_IMPORT'!$L$42:$L$1040,"Y",'DEF_SELF_SCOUT_IMPORT'!$E$42:$E$1040,SUBSTITUTE(SUBSTITUTE(SUBSTITUTE($B1463,"~","~~"),"*","~*"),"?","~?"),'DEF_SELF_SCOUT_IMPORT'!$Q$42:$Q$1040,SUBSTITUTE(SUBSTITUTE(SUBSTITUTE($M1463,"~","~~"),"*","~*"),"?","~?"),'DEF_SELF_SCOUT_IMPORT'!$F$42:$F$1040,SUBSTITUTE(SUBSTITUTE(SUBSTITUTE($N1463,"~","~~"),"*","~*"),"?","~?"),'DEF_SELF_SCOUT_IMPORT'!$D$42:$D$1040,SUBSTITUTE(SUBSTITUTE(SUBSTITUTE($P1463,"~","~~"),"*","~*"),"?","~?"))</f>
        <v>1</v>
      </c>
      <c r="D1463" s="10">
        <f>IF($C1463=0,"",SUMIFS('DEF_SELF_SCOUT_IMPORT'!$J$42:$J$1040,'DEF_SELF_SCOUT_IMPORT'!$L$42:$L$1040,"Y",'DEF_SELF_SCOUT_IMPORT'!$E$42:$E$1040,SUBSTITUTE(SUBSTITUTE(SUBSTITUTE($B1463,"~","~~"),"*","~*"),"?","~?"),'DEF_SELF_SCOUT_IMPORT'!$Q$42:$Q$1040,SUBSTITUTE(SUBSTITUTE(SUBSTITUTE($M1463,"~","~~"),"*","~*"),"?","~?"),'DEF_SELF_SCOUT_IMPORT'!$F$42:$F$1040,SUBSTITUTE(SUBSTITUTE(SUBSTITUTE($N1463,"~","~~"),"*","~*"),"?","~?"),'DEF_SELF_SCOUT_IMPORT'!$D$42:$D$1040,SUBSTITUTE(SUBSTITUTE(SUBSTITUTE($P1463,"~","~~"),"*","~*"),"?","~?"))/$C1463)</f>
        <v>1.0</v>
      </c>
      <c r="E1463" s="10">
        <f>IF($C1463=0,"",SUMIFS('DEF_SELF_SCOUT_IMPORT'!$K$42:$K$1040,'DEF_SELF_SCOUT_IMPORT'!$L$42:$L$1040,"Y",'DEF_SELF_SCOUT_IMPORT'!$E$42:$E$1040,SUBSTITUTE(SUBSTITUTE(SUBSTITUTE($B1463,"~","~~"),"*","~*"),"?","~?"),'DEF_SELF_SCOUT_IMPORT'!$Q$42:$Q$1040,SUBSTITUTE(SUBSTITUTE(SUBSTITUTE($M1463,"~","~~"),"*","~*"),"?","~?"),'DEF_SELF_SCOUT_IMPORT'!$F$42:$F$1040,SUBSTITUTE(SUBSTITUTE(SUBSTITUTE($N1463,"~","~~"),"*","~*"),"?","~?"),'DEF_SELF_SCOUT_IMPORT'!$D$42:$D$1040,SUBSTITUTE(SUBSTITUTE(SUBSTITUTE($P1463,"~","~~"),"*","~*"),"?","~?"))/$C1463)</f>
        <v>0.0</v>
      </c>
      <c r="F1463" s="11">
        <f>IF($C1463=0,"",AVERAGEIFS('DEF_SELF_SCOUT_IMPORT'!$I$42:$I$1040,'DEF_SELF_SCOUT_IMPORT'!$L$42:$L$1040,"Y",'DEF_SELF_SCOUT_IMPORT'!$E$42:$E$1040,SUBSTITUTE(SUBSTITUTE(SUBSTITUTE($B1463,"~","~~"),"*","~*"),"?","~?"),'DEF_SELF_SCOUT_IMPORT'!$Q$42:$Q$1040,SUBSTITUTE(SUBSTITUTE(SUBSTITUTE($M1463,"~","~~"),"*","~*"),"?","~?"),'DEF_SELF_SCOUT_IMPORT'!$F$42:$F$1040,SUBSTITUTE(SUBSTITUTE(SUBSTITUTE($N1463,"~","~~"),"*","~*"),"?","~?"),'DEF_SELF_SCOUT_IMPORT'!$D$42:$D$1040,SUBSTITUTE(SUBSTITUTE(SUBSTITUTE($P1463,"~","~~"),"*","~*"),"?","~?")))</f>
        <v>0.0</v>
      </c>
      <c r="G1463" s="10">
        <f>IF($C1463=0,"",COUNTIFS('DEF_SELF_SCOUT_IMPORT'!$L$42:$L$1040,"Y",'DEF_SELF_SCOUT_IMPORT'!$E$42:$E$1040,SUBSTITUTE(SUBSTITUTE(SUBSTITUTE($B1463,"~","~~"),"*","~*"),"?","~?"),'DEF_SELF_SCOUT_IMPORT'!$Q$42:$Q$1040,SUBSTITUTE(SUBSTITUTE(SUBSTITUTE($M1463,"~","~~"),"*","~*"),"?","~?"),'DEF_SELF_SCOUT_IMPORT'!$F$42:$F$1040,SUBSTITUTE(SUBSTITUTE(SUBSTITUTE($N1463,"~","~~"),"*","~*"),"?","~?"),'DEF_SELF_SCOUT_IMPORT'!$D$42:$D$1040,SUBSTITUTE(SUBSTITUTE(SUBSTITUTE($P1463,"~","~~"),"*","~*"),"?","~?"),'DEF_SELF_SCOUT_IMPORT'!$H$42:$H$1040,"RUSH")/$C1463)</f>
        <v>0.0</v>
      </c>
      <c r="H1463" s="10">
        <f>IF($C1463=0,"",COUNTIFS('DEF_SELF_SCOUT_IMPORT'!$L$42:$L$1040,"Y",'DEF_SELF_SCOUT_IMPORT'!$E$42:$E$1040,SUBSTITUTE(SUBSTITUTE(SUBSTITUTE($B1463,"~","~~"),"*","~*"),"?","~?"),'DEF_SELF_SCOUT_IMPORT'!$Q$42:$Q$1040,SUBSTITUTE(SUBSTITUTE(SUBSTITUTE($M1463,"~","~~"),"*","~*"),"?","~?"),'DEF_SELF_SCOUT_IMPORT'!$F$42:$F$1040,SUBSTITUTE(SUBSTITUTE(SUBSTITUTE($N1463,"~","~~"),"*","~*"),"?","~?"),'DEF_SELF_SCOUT_IMPORT'!$D$42:$D$1040,SUBSTITUTE(SUBSTITUTE(SUBSTITUTE($P1463,"~","~~"),"*","~*"),"?","~?"),'DEF_SELF_SCOUT_IMPORT'!$H$42:$H$1040,"DROPBACK")/$C1463)</f>
        <v>1.0</v>
      </c>
      <c r="I1463" s="14" t="str">
        <f>IF(C1463=0,"",IF(C1463&lt;=2,"TRACK",IF(C1463=3,"LOW",IF(C1463&lt;=6,"MEDIUM","HIGH"))))</f>
        <v>TRACK</v>
      </c>
      <c r="J1463" s="11">
        <f>IF(C1463=0,"",ROUND(D1463*70+(1-E1463)*20+MAX(0,MIN(1,(10-F1463)/10))*10,1))</f>
        <v>100.0</v>
      </c>
      <c r="K1463" s="14" t="str">
        <f>IF(C1463=0,"No Evidence",IF(C1463&lt;=2,IF(E1463&gt;0,"Explosive Alert","Track Only"),IF(C1463=3,"Sample Watch",IF(E1463&gt;=START_HERE!$B$31,"Explosive Alert",IF(J1463&gt;=80,"Strong Candidate",IF(J1463&gt;=65,"Good Candidate",IF(J1463&gt;=50,"Mixed / Review","Problem Call")))))))</f>
        <v>Track Only</v>
      </c>
      <c r="L1463" s="9" t="str">
        <f>IF(COUNTIFS('DEF_SELF_SCOUT_IMPORT'!$L$42:$L$1040,"Y",'DEF_SELF_SCOUT_IMPORT'!$E$42:$E$1040,SUBSTITUTE(SUBSTITUTE(SUBSTITUTE($B1463,"~","~~"),"*","~*"),"?","~?"),'DEF_SELF_SCOUT_IMPORT'!$Q$42:$Q$1040,SUBSTITUTE(SUBSTITUTE(SUBSTITUTE($M1463,"~","~~"),"*","~*"),"?","~?"),'DEF_SELF_SCOUT_IMPORT'!$F$42:$F$1040,SUBSTITUTE(SUBSTITUTE(SUBSTITUTE($N1463,"~","~~"),"*","~*"),"?","~?"),'DEF_SELF_SCOUT_IMPORT'!$D$42:$D$1040,SUBSTITUTE(SUBSTITUTE(SUBSTITUTE($P1463,"~","~~"),"*","~*"),"?","~?"),'DEF_SELF_SCOUT_IMPORT'!$J$42:$J$1040,"")&gt;0,"Unscored clean outcome; review result tags before using score.",IF(C1463=0,"No matching defensive reps; film confirmation needed.",IF(K1463="Explosive Alert","Explosive risk; review clips before using as answer.",IF(C1463&lt;=2,"Track only; not enough sample.",IF(C1463=3,IF(E1463&gt;0,"Sample watch with explosive exposure; review clips and build the sample.",IF(J1463&gt;=65,"Good signal, but sample is limited.","Sample watch; review clips and build the sample.")),IF(K1463="Problem Call","Problem area; practice or call-sheet review.",IF(K1463="Strong Candidate","Strong call-fit candidate; confirm on film.",IF(K1463="Good Candidate","Good call-fit signal; confirm on film.","Mixed signal; review fit and execution on film."))))))))</f>
        <v>Track only; not enough sample.</v>
      </c>
      <c r="M1463" s="8" t="s">
        <v>103</v>
      </c>
      <c r="N1463" s="8" t="s">
        <v>120</v>
      </c>
      <c r="O1463" s="8"/>
      <c r="P1463" s="8" t="s">
        <v>449</v>
      </c>
      <c r="Q1463" s="8"/>
      <c r="R1463" s="8" t="s">
        <v>661</v>
      </c>
      <c r="S1463" s="2" t="s">
        <v>667</v>
      </c>
      <c r="T1463" s="2">
        <f>IF(C1463=0,0,IF(C1463&gt;=CALL_LOOKUP_BOARD!$B$7,IF(OR(K1463="Problem Call",K1463="Explosive Alert"),10000000,20000000),0)+IF(C1463&gt;=CALL_LOOKUP_BOARD!$B$7,J1463*1000+MIN(C1463,999),C1463*1000+J1463)+0.00998400)</f>
        <v>1100.009984</v>
      </c>
      <c r="U1463" s="2">
        <f>IF(C1463=0,"",IF(COUNTIFS($S$1448:$S$1491,SUBSTITUTE(SUBSTITUTE(SUBSTITUTE(S1463,"~","~~"),"*","~*"),"?","~?"),$T$1448:$T$1491,"&gt;"&amp;T1463)=0,S1463,""))</f>
        <v/>
      </c>
    </row>
    <row r="1464" spans="1:21" ht="38" customHeight="1">
      <c r="A1464" s="8" t="s">
        <v>666</v>
      </c>
      <c r="B1464" s="8" t="s">
        <v>95</v>
      </c>
      <c r="C1464" s="12">
        <f>COUNTIFS('DEF_SELF_SCOUT_IMPORT'!$L$42:$L$1040,"Y",'DEF_SELF_SCOUT_IMPORT'!$E$42:$E$1040,SUBSTITUTE(SUBSTITUTE(SUBSTITUTE($B1464,"~","~~"),"*","~*"),"?","~?"),'DEF_SELF_SCOUT_IMPORT'!$Q$42:$Q$1040,SUBSTITUTE(SUBSTITUTE(SUBSTITUTE($M1464,"~","~~"),"*","~*"),"?","~?"),'DEF_SELF_SCOUT_IMPORT'!$F$42:$F$1040,SUBSTITUTE(SUBSTITUTE(SUBSTITUTE($N1464,"~","~~"),"*","~*"),"?","~?"),'DEF_SELF_SCOUT_IMPORT'!$D$42:$D$1040,SUBSTITUTE(SUBSTITUTE(SUBSTITUTE($P1464,"~","~~"),"*","~*"),"?","~?"))</f>
        <v>1</v>
      </c>
      <c r="D1464" s="10">
        <f>IF($C1464=0,"",SUMIFS('DEF_SELF_SCOUT_IMPORT'!$J$42:$J$1040,'DEF_SELF_SCOUT_IMPORT'!$L$42:$L$1040,"Y",'DEF_SELF_SCOUT_IMPORT'!$E$42:$E$1040,SUBSTITUTE(SUBSTITUTE(SUBSTITUTE($B1464,"~","~~"),"*","~*"),"?","~?"),'DEF_SELF_SCOUT_IMPORT'!$Q$42:$Q$1040,SUBSTITUTE(SUBSTITUTE(SUBSTITUTE($M1464,"~","~~"),"*","~*"),"?","~?"),'DEF_SELF_SCOUT_IMPORT'!$F$42:$F$1040,SUBSTITUTE(SUBSTITUTE(SUBSTITUTE($N1464,"~","~~"),"*","~*"),"?","~?"),'DEF_SELF_SCOUT_IMPORT'!$D$42:$D$1040,SUBSTITUTE(SUBSTITUTE(SUBSTITUTE($P1464,"~","~~"),"*","~*"),"?","~?"))/$C1464)</f>
        <v>0.0</v>
      </c>
      <c r="E1464" s="10">
        <f>IF($C1464=0,"",SUMIFS('DEF_SELF_SCOUT_IMPORT'!$K$42:$K$1040,'DEF_SELF_SCOUT_IMPORT'!$L$42:$L$1040,"Y",'DEF_SELF_SCOUT_IMPORT'!$E$42:$E$1040,SUBSTITUTE(SUBSTITUTE(SUBSTITUTE($B1464,"~","~~"),"*","~*"),"?","~?"),'DEF_SELF_SCOUT_IMPORT'!$Q$42:$Q$1040,SUBSTITUTE(SUBSTITUTE(SUBSTITUTE($M1464,"~","~~"),"*","~*"),"?","~?"),'DEF_SELF_SCOUT_IMPORT'!$F$42:$F$1040,SUBSTITUTE(SUBSTITUTE(SUBSTITUTE($N1464,"~","~~"),"*","~*"),"?","~?"),'DEF_SELF_SCOUT_IMPORT'!$D$42:$D$1040,SUBSTITUTE(SUBSTITUTE(SUBSTITUTE($P1464,"~","~~"),"*","~*"),"?","~?"))/$C1464)</f>
        <v>0.0</v>
      </c>
      <c r="F1464" s="11">
        <f>IF($C1464=0,"",AVERAGEIFS('DEF_SELF_SCOUT_IMPORT'!$I$42:$I$1040,'DEF_SELF_SCOUT_IMPORT'!$L$42:$L$1040,"Y",'DEF_SELF_SCOUT_IMPORT'!$E$42:$E$1040,SUBSTITUTE(SUBSTITUTE(SUBSTITUTE($B1464,"~","~~"),"*","~*"),"?","~?"),'DEF_SELF_SCOUT_IMPORT'!$Q$42:$Q$1040,SUBSTITUTE(SUBSTITUTE(SUBSTITUTE($M1464,"~","~~"),"*","~*"),"?","~?"),'DEF_SELF_SCOUT_IMPORT'!$F$42:$F$1040,SUBSTITUTE(SUBSTITUTE(SUBSTITUTE($N1464,"~","~~"),"*","~*"),"?","~?"),'DEF_SELF_SCOUT_IMPORT'!$D$42:$D$1040,SUBSTITUTE(SUBSTITUTE(SUBSTITUTE($P1464,"~","~~"),"*","~*"),"?","~?")))</f>
        <v>10.0</v>
      </c>
      <c r="G1464" s="10">
        <f>IF($C1464=0,"",COUNTIFS('DEF_SELF_SCOUT_IMPORT'!$L$42:$L$1040,"Y",'DEF_SELF_SCOUT_IMPORT'!$E$42:$E$1040,SUBSTITUTE(SUBSTITUTE(SUBSTITUTE($B1464,"~","~~"),"*","~*"),"?","~?"),'DEF_SELF_SCOUT_IMPORT'!$Q$42:$Q$1040,SUBSTITUTE(SUBSTITUTE(SUBSTITUTE($M1464,"~","~~"),"*","~*"),"?","~?"),'DEF_SELF_SCOUT_IMPORT'!$F$42:$F$1040,SUBSTITUTE(SUBSTITUTE(SUBSTITUTE($N1464,"~","~~"),"*","~*"),"?","~?"),'DEF_SELF_SCOUT_IMPORT'!$D$42:$D$1040,SUBSTITUTE(SUBSTITUTE(SUBSTITUTE($P1464,"~","~~"),"*","~*"),"?","~?"),'DEF_SELF_SCOUT_IMPORT'!$H$42:$H$1040,"RUSH")/$C1464)</f>
        <v>0.0</v>
      </c>
      <c r="H1464" s="10">
        <f>IF($C1464=0,"",COUNTIFS('DEF_SELF_SCOUT_IMPORT'!$L$42:$L$1040,"Y",'DEF_SELF_SCOUT_IMPORT'!$E$42:$E$1040,SUBSTITUTE(SUBSTITUTE(SUBSTITUTE($B1464,"~","~~"),"*","~*"),"?","~?"),'DEF_SELF_SCOUT_IMPORT'!$Q$42:$Q$1040,SUBSTITUTE(SUBSTITUTE(SUBSTITUTE($M1464,"~","~~"),"*","~*"),"?","~?"),'DEF_SELF_SCOUT_IMPORT'!$F$42:$F$1040,SUBSTITUTE(SUBSTITUTE(SUBSTITUTE($N1464,"~","~~"),"*","~*"),"?","~?"),'DEF_SELF_SCOUT_IMPORT'!$D$42:$D$1040,SUBSTITUTE(SUBSTITUTE(SUBSTITUTE($P1464,"~","~~"),"*","~*"),"?","~?"),'DEF_SELF_SCOUT_IMPORT'!$H$42:$H$1040,"DROPBACK")/$C1464)</f>
        <v>1.0</v>
      </c>
      <c r="I1464" s="14" t="str">
        <f>IF(C1464=0,"",IF(C1464&lt;=2,"TRACK",IF(C1464=3,"LOW",IF(C1464&lt;=6,"MEDIUM","HIGH"))))</f>
        <v>TRACK</v>
      </c>
      <c r="J1464" s="11">
        <f>IF(C1464=0,"",ROUND(D1464*70+(1-E1464)*20+MAX(0,MIN(1,(10-F1464)/10))*10,1))</f>
        <v>20.0</v>
      </c>
      <c r="K1464" s="14" t="str">
        <f>IF(C1464=0,"No Evidence",IF(C1464&lt;=2,IF(E1464&gt;0,"Explosive Alert","Track Only"),IF(C1464=3,"Sample Watch",IF(E1464&gt;=START_HERE!$B$31,"Explosive Alert",IF(J1464&gt;=80,"Strong Candidate",IF(J1464&gt;=65,"Good Candidate",IF(J1464&gt;=50,"Mixed / Review","Problem Call")))))))</f>
        <v>Track Only</v>
      </c>
      <c r="L1464" s="9" t="str">
        <f>IF(COUNTIFS('DEF_SELF_SCOUT_IMPORT'!$L$42:$L$1040,"Y",'DEF_SELF_SCOUT_IMPORT'!$E$42:$E$1040,SUBSTITUTE(SUBSTITUTE(SUBSTITUTE($B1464,"~","~~"),"*","~*"),"?","~?"),'DEF_SELF_SCOUT_IMPORT'!$Q$42:$Q$1040,SUBSTITUTE(SUBSTITUTE(SUBSTITUTE($M1464,"~","~~"),"*","~*"),"?","~?"),'DEF_SELF_SCOUT_IMPORT'!$F$42:$F$1040,SUBSTITUTE(SUBSTITUTE(SUBSTITUTE($N1464,"~","~~"),"*","~*"),"?","~?"),'DEF_SELF_SCOUT_IMPORT'!$D$42:$D$1040,SUBSTITUTE(SUBSTITUTE(SUBSTITUTE($P1464,"~","~~"),"*","~*"),"?","~?"),'DEF_SELF_SCOUT_IMPORT'!$J$42:$J$1040,"")&gt;0,"Unscored clean outcome; review result tags before using score.",IF(C1464=0,"No matching defensive reps; film confirmation needed.",IF(K1464="Explosive Alert","Explosive risk; review clips before using as answer.",IF(C1464&lt;=2,"Track only; not enough sample.",IF(C1464=3,IF(E1464&gt;0,"Sample watch with explosive exposure; review clips and build the sample.",IF(J1464&gt;=65,"Good signal, but sample is limited.","Sample watch; review clips and build the sample.")),IF(K1464="Problem Call","Problem area; practice or call-sheet review.",IF(K1464="Strong Candidate","Strong call-fit candidate; confirm on film.",IF(K1464="Good Candidate","Good call-fit signal; confirm on film.","Mixed signal; review fit and execution on film."))))))))</f>
        <v>Track only; not enough sample.</v>
      </c>
      <c r="M1464" s="8" t="s">
        <v>103</v>
      </c>
      <c r="N1464" s="8" t="s">
        <v>120</v>
      </c>
      <c r="O1464" s="8"/>
      <c r="P1464" s="8" t="s">
        <v>449</v>
      </c>
      <c r="Q1464" s="8"/>
      <c r="R1464" s="8" t="s">
        <v>661</v>
      </c>
      <c r="S1464" s="2" t="s">
        <v>667</v>
      </c>
      <c r="T1464" s="2">
        <f>IF(C1464=0,0,IF(C1464&gt;=CALL_LOOKUP_BOARD!$B$7,IF(OR(K1464="Problem Call",K1464="Explosive Alert"),10000000,20000000),0)+IF(C1464&gt;=CALL_LOOKUP_BOARD!$B$7,J1464*1000+MIN(C1464,999),C1464*1000+J1464)+0.00998300)</f>
        <v>1020.009983</v>
      </c>
      <c r="U1464" s="2">
        <f>IF(C1464=0,"",IF(COUNTIFS($S$1448:$S$1491,SUBSTITUTE(SUBSTITUTE(SUBSTITUTE(S1464,"~","~~"),"*","~*"),"?","~?"),$T$1448:$T$1491,"&gt;"&amp;T1464)=0,S1464,""))</f>
        <v/>
      </c>
    </row>
    <row r="1465" spans="1:21" ht="38" customHeight="1">
      <c r="A1465" s="8" t="s">
        <v>666</v>
      </c>
      <c r="B1465" s="8" t="s">
        <v>61</v>
      </c>
      <c r="C1465" s="12">
        <f>COUNTIFS('DEF_SELF_SCOUT_IMPORT'!$L$42:$L$1040,"Y",'DEF_SELF_SCOUT_IMPORT'!$E$42:$E$1040,SUBSTITUTE(SUBSTITUTE(SUBSTITUTE($B1465,"~","~~"),"*","~*"),"?","~?"),'DEF_SELF_SCOUT_IMPORT'!$Q$42:$Q$1040,SUBSTITUTE(SUBSTITUTE(SUBSTITUTE($M1465,"~","~~"),"*","~*"),"?","~?"),'DEF_SELF_SCOUT_IMPORT'!$F$42:$F$1040,SUBSTITUTE(SUBSTITUTE(SUBSTITUTE($N1465,"~","~~"),"*","~*"),"?","~?"),'DEF_SELF_SCOUT_IMPORT'!$D$42:$D$1040,SUBSTITUTE(SUBSTITUTE(SUBSTITUTE($P1465,"~","~~"),"*","~*"),"?","~?"))</f>
        <v>1</v>
      </c>
      <c r="D1465" s="10">
        <f>IF($C1465=0,"",SUMIFS('DEF_SELF_SCOUT_IMPORT'!$J$42:$J$1040,'DEF_SELF_SCOUT_IMPORT'!$L$42:$L$1040,"Y",'DEF_SELF_SCOUT_IMPORT'!$E$42:$E$1040,SUBSTITUTE(SUBSTITUTE(SUBSTITUTE($B1465,"~","~~"),"*","~*"),"?","~?"),'DEF_SELF_SCOUT_IMPORT'!$Q$42:$Q$1040,SUBSTITUTE(SUBSTITUTE(SUBSTITUTE($M1465,"~","~~"),"*","~*"),"?","~?"),'DEF_SELF_SCOUT_IMPORT'!$F$42:$F$1040,SUBSTITUTE(SUBSTITUTE(SUBSTITUTE($N1465,"~","~~"),"*","~*"),"?","~?"),'DEF_SELF_SCOUT_IMPORT'!$D$42:$D$1040,SUBSTITUTE(SUBSTITUTE(SUBSTITUTE($P1465,"~","~~"),"*","~*"),"?","~?"))/$C1465)</f>
        <v>0.0</v>
      </c>
      <c r="E1465" s="10">
        <f>IF($C1465=0,"",SUMIFS('DEF_SELF_SCOUT_IMPORT'!$K$42:$K$1040,'DEF_SELF_SCOUT_IMPORT'!$L$42:$L$1040,"Y",'DEF_SELF_SCOUT_IMPORT'!$E$42:$E$1040,SUBSTITUTE(SUBSTITUTE(SUBSTITUTE($B1465,"~","~~"),"*","~*"),"?","~?"),'DEF_SELF_SCOUT_IMPORT'!$Q$42:$Q$1040,SUBSTITUTE(SUBSTITUTE(SUBSTITUTE($M1465,"~","~~"),"*","~*"),"?","~?"),'DEF_SELF_SCOUT_IMPORT'!$F$42:$F$1040,SUBSTITUTE(SUBSTITUTE(SUBSTITUTE($N1465,"~","~~"),"*","~*"),"?","~?"),'DEF_SELF_SCOUT_IMPORT'!$D$42:$D$1040,SUBSTITUTE(SUBSTITUTE(SUBSTITUTE($P1465,"~","~~"),"*","~*"),"?","~?"))/$C1465)</f>
        <v>1.0</v>
      </c>
      <c r="F1465" s="11">
        <f>IF($C1465=0,"",AVERAGEIFS('DEF_SELF_SCOUT_IMPORT'!$I$42:$I$1040,'DEF_SELF_SCOUT_IMPORT'!$L$42:$L$1040,"Y",'DEF_SELF_SCOUT_IMPORT'!$E$42:$E$1040,SUBSTITUTE(SUBSTITUTE(SUBSTITUTE($B1465,"~","~~"),"*","~*"),"?","~?"),'DEF_SELF_SCOUT_IMPORT'!$Q$42:$Q$1040,SUBSTITUTE(SUBSTITUTE(SUBSTITUTE($M1465,"~","~~"),"*","~*"),"?","~?"),'DEF_SELF_SCOUT_IMPORT'!$F$42:$F$1040,SUBSTITUTE(SUBSTITUTE(SUBSTITUTE($N1465,"~","~~"),"*","~*"),"?","~?"),'DEF_SELF_SCOUT_IMPORT'!$D$42:$D$1040,SUBSTITUTE(SUBSTITUTE(SUBSTITUTE($P1465,"~","~~"),"*","~*"),"?","~?")))</f>
        <v>21.0</v>
      </c>
      <c r="G1465" s="10">
        <f>IF($C1465=0,"",COUNTIFS('DEF_SELF_SCOUT_IMPORT'!$L$42:$L$1040,"Y",'DEF_SELF_SCOUT_IMPORT'!$E$42:$E$1040,SUBSTITUTE(SUBSTITUTE(SUBSTITUTE($B1465,"~","~~"),"*","~*"),"?","~?"),'DEF_SELF_SCOUT_IMPORT'!$Q$42:$Q$1040,SUBSTITUTE(SUBSTITUTE(SUBSTITUTE($M1465,"~","~~"),"*","~*"),"?","~?"),'DEF_SELF_SCOUT_IMPORT'!$F$42:$F$1040,SUBSTITUTE(SUBSTITUTE(SUBSTITUTE($N1465,"~","~~"),"*","~*"),"?","~?"),'DEF_SELF_SCOUT_IMPORT'!$D$42:$D$1040,SUBSTITUTE(SUBSTITUTE(SUBSTITUTE($P1465,"~","~~"),"*","~*"),"?","~?"),'DEF_SELF_SCOUT_IMPORT'!$H$42:$H$1040,"RUSH")/$C1465)</f>
        <v>0.0</v>
      </c>
      <c r="H1465" s="10">
        <f>IF($C1465=0,"",COUNTIFS('DEF_SELF_SCOUT_IMPORT'!$L$42:$L$1040,"Y",'DEF_SELF_SCOUT_IMPORT'!$E$42:$E$1040,SUBSTITUTE(SUBSTITUTE(SUBSTITUTE($B1465,"~","~~"),"*","~*"),"?","~?"),'DEF_SELF_SCOUT_IMPORT'!$Q$42:$Q$1040,SUBSTITUTE(SUBSTITUTE(SUBSTITUTE($M1465,"~","~~"),"*","~*"),"?","~?"),'DEF_SELF_SCOUT_IMPORT'!$F$42:$F$1040,SUBSTITUTE(SUBSTITUTE(SUBSTITUTE($N1465,"~","~~"),"*","~*"),"?","~?"),'DEF_SELF_SCOUT_IMPORT'!$D$42:$D$1040,SUBSTITUTE(SUBSTITUTE(SUBSTITUTE($P1465,"~","~~"),"*","~*"),"?","~?"),'DEF_SELF_SCOUT_IMPORT'!$H$42:$H$1040,"DROPBACK")/$C1465)</f>
        <v>1.0</v>
      </c>
      <c r="I1465" s="14" t="str">
        <f>IF(C1465=0,"",IF(C1465&lt;=2,"TRACK",IF(C1465=3,"LOW",IF(C1465&lt;=6,"MEDIUM","HIGH"))))</f>
        <v>TRACK</v>
      </c>
      <c r="J1465" s="11">
        <f>IF(C1465=0,"",ROUND(D1465*70+(1-E1465)*20+MAX(0,MIN(1,(10-F1465)/10))*10,1))</f>
        <v>0.0</v>
      </c>
      <c r="K1465" s="14" t="str">
        <f>IF(C1465=0,"No Evidence",IF(C1465&lt;=2,IF(E1465&gt;0,"Explosive Alert","Track Only"),IF(C1465=3,"Sample Watch",IF(E1465&gt;=START_HERE!$B$31,"Explosive Alert",IF(J1465&gt;=80,"Strong Candidate",IF(J1465&gt;=65,"Good Candidate",IF(J1465&gt;=50,"Mixed / Review","Problem Call")))))))</f>
        <v>Explosive Alert</v>
      </c>
      <c r="L1465" s="9" t="str">
        <f>IF(COUNTIFS('DEF_SELF_SCOUT_IMPORT'!$L$42:$L$1040,"Y",'DEF_SELF_SCOUT_IMPORT'!$E$42:$E$1040,SUBSTITUTE(SUBSTITUTE(SUBSTITUTE($B1465,"~","~~"),"*","~*"),"?","~?"),'DEF_SELF_SCOUT_IMPORT'!$Q$42:$Q$1040,SUBSTITUTE(SUBSTITUTE(SUBSTITUTE($M1465,"~","~~"),"*","~*"),"?","~?"),'DEF_SELF_SCOUT_IMPORT'!$F$42:$F$1040,SUBSTITUTE(SUBSTITUTE(SUBSTITUTE($N1465,"~","~~"),"*","~*"),"?","~?"),'DEF_SELF_SCOUT_IMPORT'!$D$42:$D$1040,SUBSTITUTE(SUBSTITUTE(SUBSTITUTE($P1465,"~","~~"),"*","~*"),"?","~?"),'DEF_SELF_SCOUT_IMPORT'!$J$42:$J$1040,"")&gt;0,"Unscored clean outcome; review result tags before using score.",IF(C1465=0,"No matching defensive reps; film confirmation needed.",IF(K1465="Explosive Alert","Explosive risk; review clips before using as answer.",IF(C1465&lt;=2,"Track only; not enough sample.",IF(C1465=3,IF(E1465&gt;0,"Sample watch with explosive exposure; review clips and build the sample.",IF(J1465&gt;=65,"Good signal, but sample is limited.","Sample watch; review clips and build the sample.")),IF(K1465="Problem Call","Problem area; practice or call-sheet review.",IF(K1465="Strong Candidate","Strong call-fit candidate; confirm on film.",IF(K1465="Good Candidate","Good call-fit signal; confirm on film.","Mixed signal; review fit and execution on film."))))))))</f>
        <v>Explosive risk; review clips before using as answer.</v>
      </c>
      <c r="M1465" s="8" t="s">
        <v>103</v>
      </c>
      <c r="N1465" s="8" t="s">
        <v>120</v>
      </c>
      <c r="O1465" s="8"/>
      <c r="P1465" s="8" t="s">
        <v>449</v>
      </c>
      <c r="Q1465" s="8"/>
      <c r="R1465" s="8" t="s">
        <v>661</v>
      </c>
      <c r="S1465" s="2" t="s">
        <v>667</v>
      </c>
      <c r="T1465" s="2">
        <f>IF(C1465=0,0,IF(C1465&gt;=CALL_LOOKUP_BOARD!$B$7,IF(OR(K1465="Problem Call",K1465="Explosive Alert"),10000000,20000000),0)+IF(C1465&gt;=CALL_LOOKUP_BOARD!$B$7,J1465*1000+MIN(C1465,999),C1465*1000+J1465)+0.00998200)</f>
        <v>1000.009982</v>
      </c>
      <c r="U1465" s="2">
        <f>IF(C1465=0,"",IF(COUNTIFS($S$1448:$S$1491,SUBSTITUTE(SUBSTITUTE(SUBSTITUTE(S1465,"~","~~"),"*","~*"),"?","~?"),$T$1448:$T$1491,"&gt;"&amp;T1465)=0,S1465,""))</f>
        <v/>
      </c>
    </row>
    <row r="1466" spans="1:21" ht="38" customHeight="1">
      <c r="A1466" s="8" t="s">
        <v>666</v>
      </c>
      <c r="B1466" s="8" t="s">
        <v>106</v>
      </c>
      <c r="C1466" s="12">
        <f>COUNTIFS('DEF_SELF_SCOUT_IMPORT'!$L$42:$L$1040,"Y",'DEF_SELF_SCOUT_IMPORT'!$E$42:$E$1040,SUBSTITUTE(SUBSTITUTE(SUBSTITUTE($B1466,"~","~~"),"*","~*"),"?","~?"),'DEF_SELF_SCOUT_IMPORT'!$Q$42:$Q$1040,SUBSTITUTE(SUBSTITUTE(SUBSTITUTE($M1466,"~","~~"),"*","~*"),"?","~?"),'DEF_SELF_SCOUT_IMPORT'!$F$42:$F$1040,SUBSTITUTE(SUBSTITUTE(SUBSTITUTE($N1466,"~","~~"),"*","~*"),"?","~?"),'DEF_SELF_SCOUT_IMPORT'!$D$42:$D$1040,SUBSTITUTE(SUBSTITUTE(SUBSTITUTE($P1466,"~","~~"),"*","~*"),"?","~?"))</f>
        <v>1</v>
      </c>
      <c r="D1466" s="10">
        <f>IF($C1466=0,"",SUMIFS('DEF_SELF_SCOUT_IMPORT'!$J$42:$J$1040,'DEF_SELF_SCOUT_IMPORT'!$L$42:$L$1040,"Y",'DEF_SELF_SCOUT_IMPORT'!$E$42:$E$1040,SUBSTITUTE(SUBSTITUTE(SUBSTITUTE($B1466,"~","~~"),"*","~*"),"?","~?"),'DEF_SELF_SCOUT_IMPORT'!$Q$42:$Q$1040,SUBSTITUTE(SUBSTITUTE(SUBSTITUTE($M1466,"~","~~"),"*","~*"),"?","~?"),'DEF_SELF_SCOUT_IMPORT'!$F$42:$F$1040,SUBSTITUTE(SUBSTITUTE(SUBSTITUTE($N1466,"~","~~"),"*","~*"),"?","~?"),'DEF_SELF_SCOUT_IMPORT'!$D$42:$D$1040,SUBSTITUTE(SUBSTITUTE(SUBSTITUTE($P1466,"~","~~"),"*","~*"),"?","~?"))/$C1466)</f>
        <v>0.0</v>
      </c>
      <c r="E1466" s="10">
        <f>IF($C1466=0,"",SUMIFS('DEF_SELF_SCOUT_IMPORT'!$K$42:$K$1040,'DEF_SELF_SCOUT_IMPORT'!$L$42:$L$1040,"Y",'DEF_SELF_SCOUT_IMPORT'!$E$42:$E$1040,SUBSTITUTE(SUBSTITUTE(SUBSTITUTE($B1466,"~","~~"),"*","~*"),"?","~?"),'DEF_SELF_SCOUT_IMPORT'!$Q$42:$Q$1040,SUBSTITUTE(SUBSTITUTE(SUBSTITUTE($M1466,"~","~~"),"*","~*"),"?","~?"),'DEF_SELF_SCOUT_IMPORT'!$F$42:$F$1040,SUBSTITUTE(SUBSTITUTE(SUBSTITUTE($N1466,"~","~~"),"*","~*"),"?","~?"),'DEF_SELF_SCOUT_IMPORT'!$D$42:$D$1040,SUBSTITUTE(SUBSTITUTE(SUBSTITUTE($P1466,"~","~~"),"*","~*"),"?","~?"))/$C1466)</f>
        <v>1.0</v>
      </c>
      <c r="F1466" s="11">
        <f>IF($C1466=0,"",AVERAGEIFS('DEF_SELF_SCOUT_IMPORT'!$I$42:$I$1040,'DEF_SELF_SCOUT_IMPORT'!$L$42:$L$1040,"Y",'DEF_SELF_SCOUT_IMPORT'!$E$42:$E$1040,SUBSTITUTE(SUBSTITUTE(SUBSTITUTE($B1466,"~","~~"),"*","~*"),"?","~?"),'DEF_SELF_SCOUT_IMPORT'!$Q$42:$Q$1040,SUBSTITUTE(SUBSTITUTE(SUBSTITUTE($M1466,"~","~~"),"*","~*"),"?","~?"),'DEF_SELF_SCOUT_IMPORT'!$F$42:$F$1040,SUBSTITUTE(SUBSTITUTE(SUBSTITUTE($N1466,"~","~~"),"*","~*"),"?","~?"),'DEF_SELF_SCOUT_IMPORT'!$D$42:$D$1040,SUBSTITUTE(SUBSTITUTE(SUBSTITUTE($P1466,"~","~~"),"*","~*"),"?","~?")))</f>
        <v>22.0</v>
      </c>
      <c r="G1466" s="10">
        <f>IF($C1466=0,"",COUNTIFS('DEF_SELF_SCOUT_IMPORT'!$L$42:$L$1040,"Y",'DEF_SELF_SCOUT_IMPORT'!$E$42:$E$1040,SUBSTITUTE(SUBSTITUTE(SUBSTITUTE($B1466,"~","~~"),"*","~*"),"?","~?"),'DEF_SELF_SCOUT_IMPORT'!$Q$42:$Q$1040,SUBSTITUTE(SUBSTITUTE(SUBSTITUTE($M1466,"~","~~"),"*","~*"),"?","~?"),'DEF_SELF_SCOUT_IMPORT'!$F$42:$F$1040,SUBSTITUTE(SUBSTITUTE(SUBSTITUTE($N1466,"~","~~"),"*","~*"),"?","~?"),'DEF_SELF_SCOUT_IMPORT'!$D$42:$D$1040,SUBSTITUTE(SUBSTITUTE(SUBSTITUTE($P1466,"~","~~"),"*","~*"),"?","~?"),'DEF_SELF_SCOUT_IMPORT'!$H$42:$H$1040,"RUSH")/$C1466)</f>
        <v>0.0</v>
      </c>
      <c r="H1466" s="10">
        <f>IF($C1466=0,"",COUNTIFS('DEF_SELF_SCOUT_IMPORT'!$L$42:$L$1040,"Y",'DEF_SELF_SCOUT_IMPORT'!$E$42:$E$1040,SUBSTITUTE(SUBSTITUTE(SUBSTITUTE($B1466,"~","~~"),"*","~*"),"?","~?"),'DEF_SELF_SCOUT_IMPORT'!$Q$42:$Q$1040,SUBSTITUTE(SUBSTITUTE(SUBSTITUTE($M1466,"~","~~"),"*","~*"),"?","~?"),'DEF_SELF_SCOUT_IMPORT'!$F$42:$F$1040,SUBSTITUTE(SUBSTITUTE(SUBSTITUTE($N1466,"~","~~"),"*","~*"),"?","~?"),'DEF_SELF_SCOUT_IMPORT'!$D$42:$D$1040,SUBSTITUTE(SUBSTITUTE(SUBSTITUTE($P1466,"~","~~"),"*","~*"),"?","~?"),'DEF_SELF_SCOUT_IMPORT'!$H$42:$H$1040,"DROPBACK")/$C1466)</f>
        <v>1.0</v>
      </c>
      <c r="I1466" s="14" t="str">
        <f>IF(C1466=0,"",IF(C1466&lt;=2,"TRACK",IF(C1466=3,"LOW",IF(C1466&lt;=6,"MEDIUM","HIGH"))))</f>
        <v>TRACK</v>
      </c>
      <c r="J1466" s="11">
        <f>IF(C1466=0,"",ROUND(D1466*70+(1-E1466)*20+MAX(0,MIN(1,(10-F1466)/10))*10,1))</f>
        <v>0.0</v>
      </c>
      <c r="K1466" s="14" t="str">
        <f>IF(C1466=0,"No Evidence",IF(C1466&lt;=2,IF(E1466&gt;0,"Explosive Alert","Track Only"),IF(C1466=3,"Sample Watch",IF(E1466&gt;=START_HERE!$B$31,"Explosive Alert",IF(J1466&gt;=80,"Strong Candidate",IF(J1466&gt;=65,"Good Candidate",IF(J1466&gt;=50,"Mixed / Review","Problem Call")))))))</f>
        <v>Explosive Alert</v>
      </c>
      <c r="L1466" s="9" t="str">
        <f>IF(COUNTIFS('DEF_SELF_SCOUT_IMPORT'!$L$42:$L$1040,"Y",'DEF_SELF_SCOUT_IMPORT'!$E$42:$E$1040,SUBSTITUTE(SUBSTITUTE(SUBSTITUTE($B1466,"~","~~"),"*","~*"),"?","~?"),'DEF_SELF_SCOUT_IMPORT'!$Q$42:$Q$1040,SUBSTITUTE(SUBSTITUTE(SUBSTITUTE($M1466,"~","~~"),"*","~*"),"?","~?"),'DEF_SELF_SCOUT_IMPORT'!$F$42:$F$1040,SUBSTITUTE(SUBSTITUTE(SUBSTITUTE($N1466,"~","~~"),"*","~*"),"?","~?"),'DEF_SELF_SCOUT_IMPORT'!$D$42:$D$1040,SUBSTITUTE(SUBSTITUTE(SUBSTITUTE($P1466,"~","~~"),"*","~*"),"?","~?"),'DEF_SELF_SCOUT_IMPORT'!$J$42:$J$1040,"")&gt;0,"Unscored clean outcome; review result tags before using score.",IF(C1466=0,"No matching defensive reps; film confirmation needed.",IF(K1466="Explosive Alert","Explosive risk; review clips before using as answer.",IF(C1466&lt;=2,"Track only; not enough sample.",IF(C1466=3,IF(E1466&gt;0,"Sample watch with explosive exposure; review clips and build the sample.",IF(J1466&gt;=65,"Good signal, but sample is limited.","Sample watch; review clips and build the sample.")),IF(K1466="Problem Call","Problem area; practice or call-sheet review.",IF(K1466="Strong Candidate","Strong call-fit candidate; confirm on film.",IF(K1466="Good Candidate","Good call-fit signal; confirm on film.","Mixed signal; review fit and execution on film."))))))))</f>
        <v>Explosive risk; review clips before using as answer.</v>
      </c>
      <c r="M1466" s="8" t="s">
        <v>103</v>
      </c>
      <c r="N1466" s="8" t="s">
        <v>120</v>
      </c>
      <c r="O1466" s="8"/>
      <c r="P1466" s="8" t="s">
        <v>449</v>
      </c>
      <c r="Q1466" s="8"/>
      <c r="R1466" s="8" t="s">
        <v>661</v>
      </c>
      <c r="S1466" s="2" t="s">
        <v>667</v>
      </c>
      <c r="T1466" s="2">
        <f>IF(C1466=0,0,IF(C1466&gt;=CALL_LOOKUP_BOARD!$B$7,IF(OR(K1466="Problem Call",K1466="Explosive Alert"),10000000,20000000),0)+IF(C1466&gt;=CALL_LOOKUP_BOARD!$B$7,J1466*1000+MIN(C1466,999),C1466*1000+J1466)+0.00998100)</f>
        <v>1000.009981</v>
      </c>
      <c r="U1466" s="2">
        <f>IF(C1466=0,"",IF(COUNTIFS($S$1448:$S$1491,SUBSTITUTE(SUBSTITUTE(SUBSTITUTE(S1466,"~","~~"),"*","~*"),"?","~?"),$T$1448:$T$1491,"&gt;"&amp;T1466)=0,S1466,""))</f>
        <v/>
      </c>
    </row>
    <row r="1467" spans="1:21" ht="38" customHeight="1">
      <c r="A1467" s="8" t="s">
        <v>666</v>
      </c>
      <c r="B1467" s="8" t="s">
        <v>84</v>
      </c>
      <c r="C1467" s="12">
        <f>COUNTIFS('DEF_SELF_SCOUT_IMPORT'!$L$42:$L$1040,"Y",'DEF_SELF_SCOUT_IMPORT'!$E$42:$E$1040,SUBSTITUTE(SUBSTITUTE(SUBSTITUTE($B1467,"~","~~"),"*","~*"),"?","~?"),'DEF_SELF_SCOUT_IMPORT'!$Q$42:$Q$1040,SUBSTITUTE(SUBSTITUTE(SUBSTITUTE($M1467,"~","~~"),"*","~*"),"?","~?"),'DEF_SELF_SCOUT_IMPORT'!$F$42:$F$1040,SUBSTITUTE(SUBSTITUTE(SUBSTITUTE($N1467,"~","~~"),"*","~*"),"?","~?"),'DEF_SELF_SCOUT_IMPORT'!$D$42:$D$1040,SUBSTITUTE(SUBSTITUTE(SUBSTITUTE($P1467,"~","~~"),"*","~*"),"?","~?"))</f>
        <v>1</v>
      </c>
      <c r="D1467" s="10">
        <f>IF($C1467=0,"",SUMIFS('DEF_SELF_SCOUT_IMPORT'!$J$42:$J$1040,'DEF_SELF_SCOUT_IMPORT'!$L$42:$L$1040,"Y",'DEF_SELF_SCOUT_IMPORT'!$E$42:$E$1040,SUBSTITUTE(SUBSTITUTE(SUBSTITUTE($B1467,"~","~~"),"*","~*"),"?","~?"),'DEF_SELF_SCOUT_IMPORT'!$Q$42:$Q$1040,SUBSTITUTE(SUBSTITUTE(SUBSTITUTE($M1467,"~","~~"),"*","~*"),"?","~?"),'DEF_SELF_SCOUT_IMPORT'!$F$42:$F$1040,SUBSTITUTE(SUBSTITUTE(SUBSTITUTE($N1467,"~","~~"),"*","~*"),"?","~?"),'DEF_SELF_SCOUT_IMPORT'!$D$42:$D$1040,SUBSTITUTE(SUBSTITUTE(SUBSTITUTE($P1467,"~","~~"),"*","~*"),"?","~?"))/$C1467)</f>
        <v>1.0</v>
      </c>
      <c r="E1467" s="10">
        <f>IF($C1467=0,"",SUMIFS('DEF_SELF_SCOUT_IMPORT'!$K$42:$K$1040,'DEF_SELF_SCOUT_IMPORT'!$L$42:$L$1040,"Y",'DEF_SELF_SCOUT_IMPORT'!$E$42:$E$1040,SUBSTITUTE(SUBSTITUTE(SUBSTITUTE($B1467,"~","~~"),"*","~*"),"?","~?"),'DEF_SELF_SCOUT_IMPORT'!$Q$42:$Q$1040,SUBSTITUTE(SUBSTITUTE(SUBSTITUTE($M1467,"~","~~"),"*","~*"),"?","~?"),'DEF_SELF_SCOUT_IMPORT'!$F$42:$F$1040,SUBSTITUTE(SUBSTITUTE(SUBSTITUTE($N1467,"~","~~"),"*","~*"),"?","~?"),'DEF_SELF_SCOUT_IMPORT'!$D$42:$D$1040,SUBSTITUTE(SUBSTITUTE(SUBSTITUTE($P1467,"~","~~"),"*","~*"),"?","~?"))/$C1467)</f>
        <v>0.0</v>
      </c>
      <c r="F1467" s="11">
        <f>IF($C1467=0,"",AVERAGEIFS('DEF_SELF_SCOUT_IMPORT'!$I$42:$I$1040,'DEF_SELF_SCOUT_IMPORT'!$L$42:$L$1040,"Y",'DEF_SELF_SCOUT_IMPORT'!$E$42:$E$1040,SUBSTITUTE(SUBSTITUTE(SUBSTITUTE($B1467,"~","~~"),"*","~*"),"?","~?"),'DEF_SELF_SCOUT_IMPORT'!$Q$42:$Q$1040,SUBSTITUTE(SUBSTITUTE(SUBSTITUTE($M1467,"~","~~"),"*","~*"),"?","~?"),'DEF_SELF_SCOUT_IMPORT'!$F$42:$F$1040,SUBSTITUTE(SUBSTITUTE(SUBSTITUTE($N1467,"~","~~"),"*","~*"),"?","~?"),'DEF_SELF_SCOUT_IMPORT'!$D$42:$D$1040,SUBSTITUTE(SUBSTITUTE(SUBSTITUTE($P1467,"~","~~"),"*","~*"),"?","~?")))</f>
        <v>0.0</v>
      </c>
      <c r="G1467" s="10">
        <f>IF($C1467=0,"",COUNTIFS('DEF_SELF_SCOUT_IMPORT'!$L$42:$L$1040,"Y",'DEF_SELF_SCOUT_IMPORT'!$E$42:$E$1040,SUBSTITUTE(SUBSTITUTE(SUBSTITUTE($B1467,"~","~~"),"*","~*"),"?","~?"),'DEF_SELF_SCOUT_IMPORT'!$Q$42:$Q$1040,SUBSTITUTE(SUBSTITUTE(SUBSTITUTE($M1467,"~","~~"),"*","~*"),"?","~?"),'DEF_SELF_SCOUT_IMPORT'!$F$42:$F$1040,SUBSTITUTE(SUBSTITUTE(SUBSTITUTE($N1467,"~","~~"),"*","~*"),"?","~?"),'DEF_SELF_SCOUT_IMPORT'!$D$42:$D$1040,SUBSTITUTE(SUBSTITUTE(SUBSTITUTE($P1467,"~","~~"),"*","~*"),"?","~?"),'DEF_SELF_SCOUT_IMPORT'!$H$42:$H$1040,"RUSH")/$C1467)</f>
        <v>0.0</v>
      </c>
      <c r="H1467" s="10">
        <f>IF($C1467=0,"",COUNTIFS('DEF_SELF_SCOUT_IMPORT'!$L$42:$L$1040,"Y",'DEF_SELF_SCOUT_IMPORT'!$E$42:$E$1040,SUBSTITUTE(SUBSTITUTE(SUBSTITUTE($B1467,"~","~~"),"*","~*"),"?","~?"),'DEF_SELF_SCOUT_IMPORT'!$Q$42:$Q$1040,SUBSTITUTE(SUBSTITUTE(SUBSTITUTE($M1467,"~","~~"),"*","~*"),"?","~?"),'DEF_SELF_SCOUT_IMPORT'!$F$42:$F$1040,SUBSTITUTE(SUBSTITUTE(SUBSTITUTE($N1467,"~","~~"),"*","~*"),"?","~?"),'DEF_SELF_SCOUT_IMPORT'!$D$42:$D$1040,SUBSTITUTE(SUBSTITUTE(SUBSTITUTE($P1467,"~","~~"),"*","~*"),"?","~?"),'DEF_SELF_SCOUT_IMPORT'!$H$42:$H$1040,"DROPBACK")/$C1467)</f>
        <v>1.0</v>
      </c>
      <c r="I1467" s="14" t="str">
        <f>IF(C1467=0,"",IF(C1467&lt;=2,"TRACK",IF(C1467=3,"LOW",IF(C1467&lt;=6,"MEDIUM","HIGH"))))</f>
        <v>TRACK</v>
      </c>
      <c r="J1467" s="11">
        <f>IF(C1467=0,"",ROUND(D1467*70+(1-E1467)*20+MAX(0,MIN(1,(10-F1467)/10))*10,1))</f>
        <v>100.0</v>
      </c>
      <c r="K1467" s="14" t="str">
        <f>IF(C1467=0,"No Evidence",IF(C1467&lt;=2,IF(E1467&gt;0,"Explosive Alert","Track Only"),IF(C1467=3,"Sample Watch",IF(E1467&gt;=START_HERE!$B$31,"Explosive Alert",IF(J1467&gt;=80,"Strong Candidate",IF(J1467&gt;=65,"Good Candidate",IF(J1467&gt;=50,"Mixed / Review","Problem Call")))))))</f>
        <v>Track Only</v>
      </c>
      <c r="L1467" s="9" t="str">
        <f>IF(COUNTIFS('DEF_SELF_SCOUT_IMPORT'!$L$42:$L$1040,"Y",'DEF_SELF_SCOUT_IMPORT'!$E$42:$E$1040,SUBSTITUTE(SUBSTITUTE(SUBSTITUTE($B1467,"~","~~"),"*","~*"),"?","~?"),'DEF_SELF_SCOUT_IMPORT'!$Q$42:$Q$1040,SUBSTITUTE(SUBSTITUTE(SUBSTITUTE($M1467,"~","~~"),"*","~*"),"?","~?"),'DEF_SELF_SCOUT_IMPORT'!$F$42:$F$1040,SUBSTITUTE(SUBSTITUTE(SUBSTITUTE($N1467,"~","~~"),"*","~*"),"?","~?"),'DEF_SELF_SCOUT_IMPORT'!$D$42:$D$1040,SUBSTITUTE(SUBSTITUTE(SUBSTITUTE($P1467,"~","~~"),"*","~*"),"?","~?"),'DEF_SELF_SCOUT_IMPORT'!$J$42:$J$1040,"")&gt;0,"Unscored clean outcome; review result tags before using score.",IF(C1467=0,"No matching defensive reps; film confirmation needed.",IF(K1467="Explosive Alert","Explosive risk; review clips before using as answer.",IF(C1467&lt;=2,"Track only; not enough sample.",IF(C1467=3,IF(E1467&gt;0,"Sample watch with explosive exposure; review clips and build the sample.",IF(J1467&gt;=65,"Good signal, but sample is limited.","Sample watch; review clips and build the sample.")),IF(K1467="Problem Call","Problem area; practice or call-sheet review.",IF(K1467="Strong Candidate","Strong call-fit candidate; confirm on film.",IF(K1467="Good Candidate","Good call-fit signal; confirm on film.","Mixed signal; review fit and execution on film."))))))))</f>
        <v>Track only; not enough sample.</v>
      </c>
      <c r="M1467" s="8" t="s">
        <v>103</v>
      </c>
      <c r="N1467" s="8" t="s">
        <v>120</v>
      </c>
      <c r="O1467" s="8"/>
      <c r="P1467" s="8" t="s">
        <v>449</v>
      </c>
      <c r="Q1467" s="8"/>
      <c r="R1467" s="8" t="s">
        <v>661</v>
      </c>
      <c r="S1467" s="2" t="s">
        <v>667</v>
      </c>
      <c r="T1467" s="2">
        <f>IF(C1467=0,0,IF(C1467&gt;=CALL_LOOKUP_BOARD!$B$7,IF(OR(K1467="Problem Call",K1467="Explosive Alert"),10000000,20000000),0)+IF(C1467&gt;=CALL_LOOKUP_BOARD!$B$7,J1467*1000+MIN(C1467,999),C1467*1000+J1467)+0.00998000)</f>
        <v>1100.00998</v>
      </c>
      <c r="U1467" s="2">
        <f>IF(C1467=0,"",IF(COUNTIFS($S$1448:$S$1491,SUBSTITUTE(SUBSTITUTE(SUBSTITUTE(S1467,"~","~~"),"*","~*"),"?","~?"),$T$1448:$T$1491,"&gt;"&amp;T1467)=0,S1467,""))</f>
        <v/>
      </c>
    </row>
    <row r="1468" spans="1:21" ht="38" customHeight="1">
      <c r="A1468" s="8" t="s">
        <v>386</v>
      </c>
      <c r="B1468" s="8" t="s">
        <v>37</v>
      </c>
      <c r="C1468" s="12">
        <f>COUNTIFS('DEF_SELF_SCOUT_IMPORT'!$L$42:$L$1040,"Y",'DEF_SELF_SCOUT_IMPORT'!$E$42:$E$1040,SUBSTITUTE(SUBSTITUTE(SUBSTITUTE($B1468,"~","~~"),"*","~*"),"?","~?"),'DEF_SELF_SCOUT_IMPORT'!$Q$42:$Q$1040,SUBSTITUTE(SUBSTITUTE(SUBSTITUTE($M1468,"~","~~"),"*","~*"),"?","~?"),'DEF_SELF_SCOUT_IMPORT'!$F$42:$F$1040,SUBSTITUTE(SUBSTITUTE(SUBSTITUTE($N1468,"~","~~"),"*","~*"),"?","~?"),'DEF_SELF_SCOUT_IMPORT'!$G$42:$G$1040,SUBSTITUTE(SUBSTITUTE(SUBSTITUTE($O1468,"~","~~"),"*","~*"),"?","~?"))</f>
        <v>1</v>
      </c>
      <c r="D1468" s="10">
        <f>IF($C1468=0,"",SUMIFS('DEF_SELF_SCOUT_IMPORT'!$J$42:$J$1040,'DEF_SELF_SCOUT_IMPORT'!$L$42:$L$1040,"Y",'DEF_SELF_SCOUT_IMPORT'!$E$42:$E$1040,SUBSTITUTE(SUBSTITUTE(SUBSTITUTE($B1468,"~","~~"),"*","~*"),"?","~?"),'DEF_SELF_SCOUT_IMPORT'!$Q$42:$Q$1040,SUBSTITUTE(SUBSTITUTE(SUBSTITUTE($M1468,"~","~~"),"*","~*"),"?","~?"),'DEF_SELF_SCOUT_IMPORT'!$F$42:$F$1040,SUBSTITUTE(SUBSTITUTE(SUBSTITUTE($N1468,"~","~~"),"*","~*"),"?","~?"),'DEF_SELF_SCOUT_IMPORT'!$G$42:$G$1040,SUBSTITUTE(SUBSTITUTE(SUBSTITUTE($O1468,"~","~~"),"*","~*"),"?","~?"))/$C1468)</f>
        <v>0.0</v>
      </c>
      <c r="E1468" s="10">
        <f>IF($C1468=0,"",SUMIFS('DEF_SELF_SCOUT_IMPORT'!$K$42:$K$1040,'DEF_SELF_SCOUT_IMPORT'!$L$42:$L$1040,"Y",'DEF_SELF_SCOUT_IMPORT'!$E$42:$E$1040,SUBSTITUTE(SUBSTITUTE(SUBSTITUTE($B1468,"~","~~"),"*","~*"),"?","~?"),'DEF_SELF_SCOUT_IMPORT'!$Q$42:$Q$1040,SUBSTITUTE(SUBSTITUTE(SUBSTITUTE($M1468,"~","~~"),"*","~*"),"?","~?"),'DEF_SELF_SCOUT_IMPORT'!$F$42:$F$1040,SUBSTITUTE(SUBSTITUTE(SUBSTITUTE($N1468,"~","~~"),"*","~*"),"?","~?"),'DEF_SELF_SCOUT_IMPORT'!$G$42:$G$1040,SUBSTITUTE(SUBSTITUTE(SUBSTITUTE($O1468,"~","~~"),"*","~*"),"?","~?"))/$C1468)</f>
        <v>0.0</v>
      </c>
      <c r="F1468" s="11">
        <f>IF($C1468=0,"",AVERAGEIFS('DEF_SELF_SCOUT_IMPORT'!$I$42:$I$1040,'DEF_SELF_SCOUT_IMPORT'!$L$42:$L$1040,"Y",'DEF_SELF_SCOUT_IMPORT'!$E$42:$E$1040,SUBSTITUTE(SUBSTITUTE(SUBSTITUTE($B1468,"~","~~"),"*","~*"),"?","~?"),'DEF_SELF_SCOUT_IMPORT'!$Q$42:$Q$1040,SUBSTITUTE(SUBSTITUTE(SUBSTITUTE($M1468,"~","~~"),"*","~*"),"?","~?"),'DEF_SELF_SCOUT_IMPORT'!$F$42:$F$1040,SUBSTITUTE(SUBSTITUTE(SUBSTITUTE($N1468,"~","~~"),"*","~*"),"?","~?"),'DEF_SELF_SCOUT_IMPORT'!$G$42:$G$1040,SUBSTITUTE(SUBSTITUTE(SUBSTITUTE($O1468,"~","~~"),"*","~*"),"?","~?")))</f>
        <v>6.0</v>
      </c>
      <c r="G1468" s="10">
        <f>IF($C1468=0,"",COUNTIFS('DEF_SELF_SCOUT_IMPORT'!$L$42:$L$1040,"Y",'DEF_SELF_SCOUT_IMPORT'!$E$42:$E$1040,SUBSTITUTE(SUBSTITUTE(SUBSTITUTE($B1468,"~","~~"),"*","~*"),"?","~?"),'DEF_SELF_SCOUT_IMPORT'!$Q$42:$Q$1040,SUBSTITUTE(SUBSTITUTE(SUBSTITUTE($M1468,"~","~~"),"*","~*"),"?","~?"),'DEF_SELF_SCOUT_IMPORT'!$F$42:$F$1040,SUBSTITUTE(SUBSTITUTE(SUBSTITUTE($N1468,"~","~~"),"*","~*"),"?","~?"),'DEF_SELF_SCOUT_IMPORT'!$G$42:$G$1040,SUBSTITUTE(SUBSTITUTE(SUBSTITUTE($O1468,"~","~~"),"*","~*"),"?","~?"),'DEF_SELF_SCOUT_IMPORT'!$H$42:$H$1040,"RUSH")/$C1468)</f>
        <v>0.0</v>
      </c>
      <c r="H1468" s="10">
        <f>IF($C1468=0,"",COUNTIFS('DEF_SELF_SCOUT_IMPORT'!$L$42:$L$1040,"Y",'DEF_SELF_SCOUT_IMPORT'!$E$42:$E$1040,SUBSTITUTE(SUBSTITUTE(SUBSTITUTE($B1468,"~","~~"),"*","~*"),"?","~?"),'DEF_SELF_SCOUT_IMPORT'!$Q$42:$Q$1040,SUBSTITUTE(SUBSTITUTE(SUBSTITUTE($M1468,"~","~~"),"*","~*"),"?","~?"),'DEF_SELF_SCOUT_IMPORT'!$F$42:$F$1040,SUBSTITUTE(SUBSTITUTE(SUBSTITUTE($N1468,"~","~~"),"*","~*"),"?","~?"),'DEF_SELF_SCOUT_IMPORT'!$G$42:$G$1040,SUBSTITUTE(SUBSTITUTE(SUBSTITUTE($O1468,"~","~~"),"*","~*"),"?","~?"),'DEF_SELF_SCOUT_IMPORT'!$H$42:$H$1040,"DROPBACK")/$C1468)</f>
        <v>1.0</v>
      </c>
      <c r="I1468" s="14" t="str">
        <f>IF(C1468=0,"",IF(C1468&lt;=2,"TRACK",IF(C1468=3,"LOW",IF(C1468&lt;=6,"MEDIUM","HIGH"))))</f>
        <v>TRACK</v>
      </c>
      <c r="J1468" s="11">
        <f>IF(C1468=0,"",ROUND(D1468*70+(1-E1468)*20+MAX(0,MIN(1,(10-F1468)/10))*10,1))</f>
        <v>24.0</v>
      </c>
      <c r="K1468" s="14" t="str">
        <f>IF(C1468=0,"No Evidence",IF(C1468&lt;=2,IF(E1468&gt;0,"Explosive Alert","Track Only"),IF(C1468=3,"Sample Watch",IF(E1468&gt;=START_HERE!$B$31,"Explosive Alert",IF(J1468&gt;=80,"Strong Candidate",IF(J1468&gt;=65,"Good Candidate",IF(J1468&gt;=50,"Mixed / Review","Problem Call")))))))</f>
        <v>Track Only</v>
      </c>
      <c r="L1468" s="9" t="str">
        <f>IF(COUNTIFS('DEF_SELF_SCOUT_IMPORT'!$L$42:$L$1040,"Y",'DEF_SELF_SCOUT_IMPORT'!$E$42:$E$1040,SUBSTITUTE(SUBSTITUTE(SUBSTITUTE($B1468,"~","~~"),"*","~*"),"?","~?"),'DEF_SELF_SCOUT_IMPORT'!$Q$42:$Q$1040,SUBSTITUTE(SUBSTITUTE(SUBSTITUTE($M1468,"~","~~"),"*","~*"),"?","~?"),'DEF_SELF_SCOUT_IMPORT'!$F$42:$F$1040,SUBSTITUTE(SUBSTITUTE(SUBSTITUTE($N1468,"~","~~"),"*","~*"),"?","~?"),'DEF_SELF_SCOUT_IMPORT'!$G$42:$G$1040,SUBSTITUTE(SUBSTITUTE(SUBSTITUTE($O1468,"~","~~"),"*","~*"),"?","~?"),'DEF_SELF_SCOUT_IMPORT'!$J$42:$J$1040,"")&gt;0,"Unscored clean outcome; review result tags before using score.",IF(C1468=0,"No matching defensive reps; film confirmation needed.",IF(K1468="Explosive Alert","Explosive risk; review clips before using as answer.",IF(C1468&lt;=2,"Track only; not enough sample.",IF(C1468=3,IF(E1468&gt;0,"Sample watch with explosive exposure; review clips and build the sample.",IF(J1468&gt;=65,"Good signal, but sample is limited.","Sample watch; review clips and build the sample.")),IF(K1468="Problem Call","Problem area; practice or call-sheet review.",IF(K1468="Strong Candidate","Strong call-fit candidate; confirm on film.",IF(K1468="Good Candidate","Good call-fit signal; confirm on film.","Mixed signal; review fit and execution on film."))))))))</f>
        <v>Track only; not enough sample.</v>
      </c>
      <c r="M1468" s="8" t="s">
        <v>103</v>
      </c>
      <c r="N1468" s="8" t="s">
        <v>120</v>
      </c>
      <c r="O1468" s="8" t="s">
        <v>206</v>
      </c>
      <c r="P1468" s="8"/>
      <c r="Q1468" s="8"/>
      <c r="R1468" s="8" t="s">
        <v>661</v>
      </c>
      <c r="S1468" s="2" t="s">
        <v>668</v>
      </c>
      <c r="T1468" s="2">
        <f>IF(C1468=0,0,IF(C1468&gt;=CALL_LOOKUP_BOARD!$B$7,IF(OR(K1468="Problem Call",K1468="Explosive Alert"),10000000,20000000),0)+IF(C1468&gt;=CALL_LOOKUP_BOARD!$B$7,J1468*1000+MIN(C1468,999),C1468*1000+J1468)+0.00997900)</f>
        <v>1024.009979</v>
      </c>
      <c r="U1468" s="2">
        <f>IF(C1468=0,"",IF(COUNTIFS($S$1448:$S$1491,SUBSTITUTE(SUBSTITUTE(SUBSTITUTE(S1468,"~","~~"),"*","~*"),"?","~?"),$T$1448:$T$1491,"&gt;"&amp;T1468)=0,S1468,""))</f>
        <v/>
      </c>
    </row>
    <row r="1469" spans="1:21" ht="38" customHeight="1">
      <c r="A1469" s="8" t="s">
        <v>386</v>
      </c>
      <c r="B1469" s="8" t="s">
        <v>42</v>
      </c>
      <c r="C1469" s="12">
        <f>COUNTIFS('DEF_SELF_SCOUT_IMPORT'!$L$42:$L$1040,"Y",'DEF_SELF_SCOUT_IMPORT'!$E$42:$E$1040,SUBSTITUTE(SUBSTITUTE(SUBSTITUTE($B1469,"~","~~"),"*","~*"),"?","~?"),'DEF_SELF_SCOUT_IMPORT'!$Q$42:$Q$1040,SUBSTITUTE(SUBSTITUTE(SUBSTITUTE($M1469,"~","~~"),"*","~*"),"?","~?"),'DEF_SELF_SCOUT_IMPORT'!$F$42:$F$1040,SUBSTITUTE(SUBSTITUTE(SUBSTITUTE($N1469,"~","~~"),"*","~*"),"?","~?"),'DEF_SELF_SCOUT_IMPORT'!$G$42:$G$1040,SUBSTITUTE(SUBSTITUTE(SUBSTITUTE($O1469,"~","~~"),"*","~*"),"?","~?"))</f>
        <v>1</v>
      </c>
      <c r="D1469" s="10">
        <f>IF($C1469=0,"",SUMIFS('DEF_SELF_SCOUT_IMPORT'!$J$42:$J$1040,'DEF_SELF_SCOUT_IMPORT'!$L$42:$L$1040,"Y",'DEF_SELF_SCOUT_IMPORT'!$E$42:$E$1040,SUBSTITUTE(SUBSTITUTE(SUBSTITUTE($B1469,"~","~~"),"*","~*"),"?","~?"),'DEF_SELF_SCOUT_IMPORT'!$Q$42:$Q$1040,SUBSTITUTE(SUBSTITUTE(SUBSTITUTE($M1469,"~","~~"),"*","~*"),"?","~?"),'DEF_SELF_SCOUT_IMPORT'!$F$42:$F$1040,SUBSTITUTE(SUBSTITUTE(SUBSTITUTE($N1469,"~","~~"),"*","~*"),"?","~?"),'DEF_SELF_SCOUT_IMPORT'!$G$42:$G$1040,SUBSTITUTE(SUBSTITUTE(SUBSTITUTE($O1469,"~","~~"),"*","~*"),"?","~?"))/$C1469)</f>
        <v>1.0</v>
      </c>
      <c r="E1469" s="10">
        <f>IF($C1469=0,"",SUMIFS('DEF_SELF_SCOUT_IMPORT'!$K$42:$K$1040,'DEF_SELF_SCOUT_IMPORT'!$L$42:$L$1040,"Y",'DEF_SELF_SCOUT_IMPORT'!$E$42:$E$1040,SUBSTITUTE(SUBSTITUTE(SUBSTITUTE($B1469,"~","~~"),"*","~*"),"?","~?"),'DEF_SELF_SCOUT_IMPORT'!$Q$42:$Q$1040,SUBSTITUTE(SUBSTITUTE(SUBSTITUTE($M1469,"~","~~"),"*","~*"),"?","~?"),'DEF_SELF_SCOUT_IMPORT'!$F$42:$F$1040,SUBSTITUTE(SUBSTITUTE(SUBSTITUTE($N1469,"~","~~"),"*","~*"),"?","~?"),'DEF_SELF_SCOUT_IMPORT'!$G$42:$G$1040,SUBSTITUTE(SUBSTITUTE(SUBSTITUTE($O1469,"~","~~"),"*","~*"),"?","~?"))/$C1469)</f>
        <v>0.0</v>
      </c>
      <c r="F1469" s="11">
        <f>IF($C1469=0,"",AVERAGEIFS('DEF_SELF_SCOUT_IMPORT'!$I$42:$I$1040,'DEF_SELF_SCOUT_IMPORT'!$L$42:$L$1040,"Y",'DEF_SELF_SCOUT_IMPORT'!$E$42:$E$1040,SUBSTITUTE(SUBSTITUTE(SUBSTITUTE($B1469,"~","~~"),"*","~*"),"?","~?"),'DEF_SELF_SCOUT_IMPORT'!$Q$42:$Q$1040,SUBSTITUTE(SUBSTITUTE(SUBSTITUTE($M1469,"~","~~"),"*","~*"),"?","~?"),'DEF_SELF_SCOUT_IMPORT'!$F$42:$F$1040,SUBSTITUTE(SUBSTITUTE(SUBSTITUTE($N1469,"~","~~"),"*","~*"),"?","~?"),'DEF_SELF_SCOUT_IMPORT'!$G$42:$G$1040,SUBSTITUTE(SUBSTITUTE(SUBSTITUTE($O1469,"~","~~"),"*","~*"),"?","~?")))</f>
        <v>3.0</v>
      </c>
      <c r="G1469" s="10">
        <f>IF($C1469=0,"",COUNTIFS('DEF_SELF_SCOUT_IMPORT'!$L$42:$L$1040,"Y",'DEF_SELF_SCOUT_IMPORT'!$E$42:$E$1040,SUBSTITUTE(SUBSTITUTE(SUBSTITUTE($B1469,"~","~~"),"*","~*"),"?","~?"),'DEF_SELF_SCOUT_IMPORT'!$Q$42:$Q$1040,SUBSTITUTE(SUBSTITUTE(SUBSTITUTE($M1469,"~","~~"),"*","~*"),"?","~?"),'DEF_SELF_SCOUT_IMPORT'!$F$42:$F$1040,SUBSTITUTE(SUBSTITUTE(SUBSTITUTE($N1469,"~","~~"),"*","~*"),"?","~?"),'DEF_SELF_SCOUT_IMPORT'!$G$42:$G$1040,SUBSTITUTE(SUBSTITUTE(SUBSTITUTE($O1469,"~","~~"),"*","~*"),"?","~?"),'DEF_SELF_SCOUT_IMPORT'!$H$42:$H$1040,"RUSH")/$C1469)</f>
        <v>0.0</v>
      </c>
      <c r="H1469" s="10">
        <f>IF($C1469=0,"",COUNTIFS('DEF_SELF_SCOUT_IMPORT'!$L$42:$L$1040,"Y",'DEF_SELF_SCOUT_IMPORT'!$E$42:$E$1040,SUBSTITUTE(SUBSTITUTE(SUBSTITUTE($B1469,"~","~~"),"*","~*"),"?","~?"),'DEF_SELF_SCOUT_IMPORT'!$Q$42:$Q$1040,SUBSTITUTE(SUBSTITUTE(SUBSTITUTE($M1469,"~","~~"),"*","~*"),"?","~?"),'DEF_SELF_SCOUT_IMPORT'!$F$42:$F$1040,SUBSTITUTE(SUBSTITUTE(SUBSTITUTE($N1469,"~","~~"),"*","~*"),"?","~?"),'DEF_SELF_SCOUT_IMPORT'!$G$42:$G$1040,SUBSTITUTE(SUBSTITUTE(SUBSTITUTE($O1469,"~","~~"),"*","~*"),"?","~?"),'DEF_SELF_SCOUT_IMPORT'!$H$42:$H$1040,"DROPBACK")/$C1469)</f>
        <v>1.0</v>
      </c>
      <c r="I1469" s="14" t="str">
        <f>IF(C1469=0,"",IF(C1469&lt;=2,"TRACK",IF(C1469=3,"LOW",IF(C1469&lt;=6,"MEDIUM","HIGH"))))</f>
        <v>TRACK</v>
      </c>
      <c r="J1469" s="11">
        <f>IF(C1469=0,"",ROUND(D1469*70+(1-E1469)*20+MAX(0,MIN(1,(10-F1469)/10))*10,1))</f>
        <v>97.0</v>
      </c>
      <c r="K1469" s="14" t="str">
        <f>IF(C1469=0,"No Evidence",IF(C1469&lt;=2,IF(E1469&gt;0,"Explosive Alert","Track Only"),IF(C1469=3,"Sample Watch",IF(E1469&gt;=START_HERE!$B$31,"Explosive Alert",IF(J1469&gt;=80,"Strong Candidate",IF(J1469&gt;=65,"Good Candidate",IF(J1469&gt;=50,"Mixed / Review","Problem Call")))))))</f>
        <v>Track Only</v>
      </c>
      <c r="L1469" s="9" t="str">
        <f>IF(COUNTIFS('DEF_SELF_SCOUT_IMPORT'!$L$42:$L$1040,"Y",'DEF_SELF_SCOUT_IMPORT'!$E$42:$E$1040,SUBSTITUTE(SUBSTITUTE(SUBSTITUTE($B1469,"~","~~"),"*","~*"),"?","~?"),'DEF_SELF_SCOUT_IMPORT'!$Q$42:$Q$1040,SUBSTITUTE(SUBSTITUTE(SUBSTITUTE($M1469,"~","~~"),"*","~*"),"?","~?"),'DEF_SELF_SCOUT_IMPORT'!$F$42:$F$1040,SUBSTITUTE(SUBSTITUTE(SUBSTITUTE($N1469,"~","~~"),"*","~*"),"?","~?"),'DEF_SELF_SCOUT_IMPORT'!$G$42:$G$1040,SUBSTITUTE(SUBSTITUTE(SUBSTITUTE($O1469,"~","~~"),"*","~*"),"?","~?"),'DEF_SELF_SCOUT_IMPORT'!$J$42:$J$1040,"")&gt;0,"Unscored clean outcome; review result tags before using score.",IF(C1469=0,"No matching defensive reps; film confirmation needed.",IF(K1469="Explosive Alert","Explosive risk; review clips before using as answer.",IF(C1469&lt;=2,"Track only; not enough sample.",IF(C1469=3,IF(E1469&gt;0,"Sample watch with explosive exposure; review clips and build the sample.",IF(J1469&gt;=65,"Good signal, but sample is limited.","Sample watch; review clips and build the sample.")),IF(K1469="Problem Call","Problem area; practice or call-sheet review.",IF(K1469="Strong Candidate","Strong call-fit candidate; confirm on film.",IF(K1469="Good Candidate","Good call-fit signal; confirm on film.","Mixed signal; review fit and execution on film."))))))))</f>
        <v>Track only; not enough sample.</v>
      </c>
      <c r="M1469" s="8" t="s">
        <v>103</v>
      </c>
      <c r="N1469" s="8" t="s">
        <v>120</v>
      </c>
      <c r="O1469" s="8" t="s">
        <v>206</v>
      </c>
      <c r="P1469" s="8"/>
      <c r="Q1469" s="8"/>
      <c r="R1469" s="8" t="s">
        <v>661</v>
      </c>
      <c r="S1469" s="2" t="s">
        <v>668</v>
      </c>
      <c r="T1469" s="2">
        <f>IF(C1469=0,0,IF(C1469&gt;=CALL_LOOKUP_BOARD!$B$7,IF(OR(K1469="Problem Call",K1469="Explosive Alert"),10000000,20000000),0)+IF(C1469&gt;=CALL_LOOKUP_BOARD!$B$7,J1469*1000+MIN(C1469,999),C1469*1000+J1469)+0.00997800)</f>
        <v>1097.009978</v>
      </c>
      <c r="U1469" s="2">
        <f>IF(C1469=0,"",IF(COUNTIFS($S$1448:$S$1491,SUBSTITUTE(SUBSTITUTE(SUBSTITUTE(S1469,"~","~~"),"*","~*"),"?","~?"),$T$1448:$T$1491,"&gt;"&amp;T1469)=0,S1469,""))</f>
        <v/>
      </c>
    </row>
    <row r="1470" spans="1:21" ht="38" customHeight="1">
      <c r="A1470" s="8" t="s">
        <v>386</v>
      </c>
      <c r="B1470" s="8" t="s">
        <v>77</v>
      </c>
      <c r="C1470" s="12">
        <f>COUNTIFS('DEF_SELF_SCOUT_IMPORT'!$L$42:$L$1040,"Y",'DEF_SELF_SCOUT_IMPORT'!$E$42:$E$1040,SUBSTITUTE(SUBSTITUTE(SUBSTITUTE($B1470,"~","~~"),"*","~*"),"?","~?"),'DEF_SELF_SCOUT_IMPORT'!$Q$42:$Q$1040,SUBSTITUTE(SUBSTITUTE(SUBSTITUTE($M1470,"~","~~"),"*","~*"),"?","~?"),'DEF_SELF_SCOUT_IMPORT'!$F$42:$F$1040,SUBSTITUTE(SUBSTITUTE(SUBSTITUTE($N1470,"~","~~"),"*","~*"),"?","~?"),'DEF_SELF_SCOUT_IMPORT'!$G$42:$G$1040,SUBSTITUTE(SUBSTITUTE(SUBSTITUTE($O1470,"~","~~"),"*","~*"),"?","~?"))</f>
        <v>1</v>
      </c>
      <c r="D1470" s="10">
        <f>IF($C1470=0,"",SUMIFS('DEF_SELF_SCOUT_IMPORT'!$J$42:$J$1040,'DEF_SELF_SCOUT_IMPORT'!$L$42:$L$1040,"Y",'DEF_SELF_SCOUT_IMPORT'!$E$42:$E$1040,SUBSTITUTE(SUBSTITUTE(SUBSTITUTE($B1470,"~","~~"),"*","~*"),"?","~?"),'DEF_SELF_SCOUT_IMPORT'!$Q$42:$Q$1040,SUBSTITUTE(SUBSTITUTE(SUBSTITUTE($M1470,"~","~~"),"*","~*"),"?","~?"),'DEF_SELF_SCOUT_IMPORT'!$F$42:$F$1040,SUBSTITUTE(SUBSTITUTE(SUBSTITUTE($N1470,"~","~~"),"*","~*"),"?","~?"),'DEF_SELF_SCOUT_IMPORT'!$G$42:$G$1040,SUBSTITUTE(SUBSTITUTE(SUBSTITUTE($O1470,"~","~~"),"*","~*"),"?","~?"))/$C1470)</f>
        <v>1.0</v>
      </c>
      <c r="E1470" s="10">
        <f>IF($C1470=0,"",SUMIFS('DEF_SELF_SCOUT_IMPORT'!$K$42:$K$1040,'DEF_SELF_SCOUT_IMPORT'!$L$42:$L$1040,"Y",'DEF_SELF_SCOUT_IMPORT'!$E$42:$E$1040,SUBSTITUTE(SUBSTITUTE(SUBSTITUTE($B1470,"~","~~"),"*","~*"),"?","~?"),'DEF_SELF_SCOUT_IMPORT'!$Q$42:$Q$1040,SUBSTITUTE(SUBSTITUTE(SUBSTITUTE($M1470,"~","~~"),"*","~*"),"?","~?"),'DEF_SELF_SCOUT_IMPORT'!$F$42:$F$1040,SUBSTITUTE(SUBSTITUTE(SUBSTITUTE($N1470,"~","~~"),"*","~*"),"?","~?"),'DEF_SELF_SCOUT_IMPORT'!$G$42:$G$1040,SUBSTITUTE(SUBSTITUTE(SUBSTITUTE($O1470,"~","~~"),"*","~*"),"?","~?"))/$C1470)</f>
        <v>0.0</v>
      </c>
      <c r="F1470" s="11">
        <f>IF($C1470=0,"",AVERAGEIFS('DEF_SELF_SCOUT_IMPORT'!$I$42:$I$1040,'DEF_SELF_SCOUT_IMPORT'!$L$42:$L$1040,"Y",'DEF_SELF_SCOUT_IMPORT'!$E$42:$E$1040,SUBSTITUTE(SUBSTITUTE(SUBSTITUTE($B1470,"~","~~"),"*","~*"),"?","~?"),'DEF_SELF_SCOUT_IMPORT'!$Q$42:$Q$1040,SUBSTITUTE(SUBSTITUTE(SUBSTITUTE($M1470,"~","~~"),"*","~*"),"?","~?"),'DEF_SELF_SCOUT_IMPORT'!$F$42:$F$1040,SUBSTITUTE(SUBSTITUTE(SUBSTITUTE($N1470,"~","~~"),"*","~*"),"?","~?"),'DEF_SELF_SCOUT_IMPORT'!$G$42:$G$1040,SUBSTITUTE(SUBSTITUTE(SUBSTITUTE($O1470,"~","~~"),"*","~*"),"?","~?")))</f>
        <v>5.0</v>
      </c>
      <c r="G1470" s="10">
        <f>IF($C1470=0,"",COUNTIFS('DEF_SELF_SCOUT_IMPORT'!$L$42:$L$1040,"Y",'DEF_SELF_SCOUT_IMPORT'!$E$42:$E$1040,SUBSTITUTE(SUBSTITUTE(SUBSTITUTE($B1470,"~","~~"),"*","~*"),"?","~?"),'DEF_SELF_SCOUT_IMPORT'!$Q$42:$Q$1040,SUBSTITUTE(SUBSTITUTE(SUBSTITUTE($M1470,"~","~~"),"*","~*"),"?","~?"),'DEF_SELF_SCOUT_IMPORT'!$F$42:$F$1040,SUBSTITUTE(SUBSTITUTE(SUBSTITUTE($N1470,"~","~~"),"*","~*"),"?","~?"),'DEF_SELF_SCOUT_IMPORT'!$G$42:$G$1040,SUBSTITUTE(SUBSTITUTE(SUBSTITUTE($O1470,"~","~~"),"*","~*"),"?","~?"),'DEF_SELF_SCOUT_IMPORT'!$H$42:$H$1040,"RUSH")/$C1470)</f>
        <v>0.0</v>
      </c>
      <c r="H1470" s="10">
        <f>IF($C1470=0,"",COUNTIFS('DEF_SELF_SCOUT_IMPORT'!$L$42:$L$1040,"Y",'DEF_SELF_SCOUT_IMPORT'!$E$42:$E$1040,SUBSTITUTE(SUBSTITUTE(SUBSTITUTE($B1470,"~","~~"),"*","~*"),"?","~?"),'DEF_SELF_SCOUT_IMPORT'!$Q$42:$Q$1040,SUBSTITUTE(SUBSTITUTE(SUBSTITUTE($M1470,"~","~~"),"*","~*"),"?","~?"),'DEF_SELF_SCOUT_IMPORT'!$F$42:$F$1040,SUBSTITUTE(SUBSTITUTE(SUBSTITUTE($N1470,"~","~~"),"*","~*"),"?","~?"),'DEF_SELF_SCOUT_IMPORT'!$G$42:$G$1040,SUBSTITUTE(SUBSTITUTE(SUBSTITUTE($O1470,"~","~~"),"*","~*"),"?","~?"),'DEF_SELF_SCOUT_IMPORT'!$H$42:$H$1040,"DROPBACK")/$C1470)</f>
        <v>1.0</v>
      </c>
      <c r="I1470" s="14" t="str">
        <f>IF(C1470=0,"",IF(C1470&lt;=2,"TRACK",IF(C1470=3,"LOW",IF(C1470&lt;=6,"MEDIUM","HIGH"))))</f>
        <v>TRACK</v>
      </c>
      <c r="J1470" s="11">
        <f>IF(C1470=0,"",ROUND(D1470*70+(1-E1470)*20+MAX(0,MIN(1,(10-F1470)/10))*10,1))</f>
        <v>95.0</v>
      </c>
      <c r="K1470" s="14" t="str">
        <f>IF(C1470=0,"No Evidence",IF(C1470&lt;=2,IF(E1470&gt;0,"Explosive Alert","Track Only"),IF(C1470=3,"Sample Watch",IF(E1470&gt;=START_HERE!$B$31,"Explosive Alert",IF(J1470&gt;=80,"Strong Candidate",IF(J1470&gt;=65,"Good Candidate",IF(J1470&gt;=50,"Mixed / Review","Problem Call")))))))</f>
        <v>Track Only</v>
      </c>
      <c r="L1470" s="9" t="str">
        <f>IF(COUNTIFS('DEF_SELF_SCOUT_IMPORT'!$L$42:$L$1040,"Y",'DEF_SELF_SCOUT_IMPORT'!$E$42:$E$1040,SUBSTITUTE(SUBSTITUTE(SUBSTITUTE($B1470,"~","~~"),"*","~*"),"?","~?"),'DEF_SELF_SCOUT_IMPORT'!$Q$42:$Q$1040,SUBSTITUTE(SUBSTITUTE(SUBSTITUTE($M1470,"~","~~"),"*","~*"),"?","~?"),'DEF_SELF_SCOUT_IMPORT'!$F$42:$F$1040,SUBSTITUTE(SUBSTITUTE(SUBSTITUTE($N1470,"~","~~"),"*","~*"),"?","~?"),'DEF_SELF_SCOUT_IMPORT'!$G$42:$G$1040,SUBSTITUTE(SUBSTITUTE(SUBSTITUTE($O1470,"~","~~"),"*","~*"),"?","~?"),'DEF_SELF_SCOUT_IMPORT'!$J$42:$J$1040,"")&gt;0,"Unscored clean outcome; review result tags before using score.",IF(C1470=0,"No matching defensive reps; film confirmation needed.",IF(K1470="Explosive Alert","Explosive risk; review clips before using as answer.",IF(C1470&lt;=2,"Track only; not enough sample.",IF(C1470=3,IF(E1470&gt;0,"Sample watch with explosive exposure; review clips and build the sample.",IF(J1470&gt;=65,"Good signal, but sample is limited.","Sample watch; review clips and build the sample.")),IF(K1470="Problem Call","Problem area; practice or call-sheet review.",IF(K1470="Strong Candidate","Strong call-fit candidate; confirm on film.",IF(K1470="Good Candidate","Good call-fit signal; confirm on film.","Mixed signal; review fit and execution on film."))))))))</f>
        <v>Track only; not enough sample.</v>
      </c>
      <c r="M1470" s="8" t="s">
        <v>103</v>
      </c>
      <c r="N1470" s="8" t="s">
        <v>120</v>
      </c>
      <c r="O1470" s="8" t="s">
        <v>206</v>
      </c>
      <c r="P1470" s="8"/>
      <c r="Q1470" s="8"/>
      <c r="R1470" s="8" t="s">
        <v>661</v>
      </c>
      <c r="S1470" s="2" t="s">
        <v>668</v>
      </c>
      <c r="T1470" s="2">
        <f>IF(C1470=0,0,IF(C1470&gt;=CALL_LOOKUP_BOARD!$B$7,IF(OR(K1470="Problem Call",K1470="Explosive Alert"),10000000,20000000),0)+IF(C1470&gt;=CALL_LOOKUP_BOARD!$B$7,J1470*1000+MIN(C1470,999),C1470*1000+J1470)+0.00997700)</f>
        <v>1095.009977</v>
      </c>
      <c r="U1470" s="2">
        <f>IF(C1470=0,"",IF(COUNTIFS($S$1448:$S$1491,SUBSTITUTE(SUBSTITUTE(SUBSTITUTE(S1470,"~","~~"),"*","~*"),"?","~?"),$T$1448:$T$1491,"&gt;"&amp;T1470)=0,S1470,""))</f>
        <v/>
      </c>
    </row>
    <row r="1471" spans="1:21" ht="38" customHeight="1">
      <c r="A1471" s="8" t="s">
        <v>386</v>
      </c>
      <c r="B1471" s="8" t="s">
        <v>48</v>
      </c>
      <c r="C1471" s="12">
        <f>COUNTIFS('DEF_SELF_SCOUT_IMPORT'!$L$42:$L$1040,"Y",'DEF_SELF_SCOUT_IMPORT'!$E$42:$E$1040,SUBSTITUTE(SUBSTITUTE(SUBSTITUTE($B1471,"~","~~"),"*","~*"),"?","~?"),'DEF_SELF_SCOUT_IMPORT'!$Q$42:$Q$1040,SUBSTITUTE(SUBSTITUTE(SUBSTITUTE($M1471,"~","~~"),"*","~*"),"?","~?"),'DEF_SELF_SCOUT_IMPORT'!$F$42:$F$1040,SUBSTITUTE(SUBSTITUTE(SUBSTITUTE($N1471,"~","~~"),"*","~*"),"?","~?"),'DEF_SELF_SCOUT_IMPORT'!$G$42:$G$1040,SUBSTITUTE(SUBSTITUTE(SUBSTITUTE($O1471,"~","~~"),"*","~*"),"?","~?"))</f>
        <v>1</v>
      </c>
      <c r="D1471" s="10">
        <f>IF($C1471=0,"",SUMIFS('DEF_SELF_SCOUT_IMPORT'!$J$42:$J$1040,'DEF_SELF_SCOUT_IMPORT'!$L$42:$L$1040,"Y",'DEF_SELF_SCOUT_IMPORT'!$E$42:$E$1040,SUBSTITUTE(SUBSTITUTE(SUBSTITUTE($B1471,"~","~~"),"*","~*"),"?","~?"),'DEF_SELF_SCOUT_IMPORT'!$Q$42:$Q$1040,SUBSTITUTE(SUBSTITUTE(SUBSTITUTE($M1471,"~","~~"),"*","~*"),"?","~?"),'DEF_SELF_SCOUT_IMPORT'!$F$42:$F$1040,SUBSTITUTE(SUBSTITUTE(SUBSTITUTE($N1471,"~","~~"),"*","~*"),"?","~?"),'DEF_SELF_SCOUT_IMPORT'!$G$42:$G$1040,SUBSTITUTE(SUBSTITUTE(SUBSTITUTE($O1471,"~","~~"),"*","~*"),"?","~?"))/$C1471)</f>
        <v>0.0</v>
      </c>
      <c r="E1471" s="10">
        <f>IF($C1471=0,"",SUMIFS('DEF_SELF_SCOUT_IMPORT'!$K$42:$K$1040,'DEF_SELF_SCOUT_IMPORT'!$L$42:$L$1040,"Y",'DEF_SELF_SCOUT_IMPORT'!$E$42:$E$1040,SUBSTITUTE(SUBSTITUTE(SUBSTITUTE($B1471,"~","~~"),"*","~*"),"?","~?"),'DEF_SELF_SCOUT_IMPORT'!$Q$42:$Q$1040,SUBSTITUTE(SUBSTITUTE(SUBSTITUTE($M1471,"~","~~"),"*","~*"),"?","~?"),'DEF_SELF_SCOUT_IMPORT'!$F$42:$F$1040,SUBSTITUTE(SUBSTITUTE(SUBSTITUTE($N1471,"~","~~"),"*","~*"),"?","~?"),'DEF_SELF_SCOUT_IMPORT'!$G$42:$G$1040,SUBSTITUTE(SUBSTITUTE(SUBSTITUTE($O1471,"~","~~"),"*","~*"),"?","~?"))/$C1471)</f>
        <v>0.0</v>
      </c>
      <c r="F1471" s="11">
        <f>IF($C1471=0,"",AVERAGEIFS('DEF_SELF_SCOUT_IMPORT'!$I$42:$I$1040,'DEF_SELF_SCOUT_IMPORT'!$L$42:$L$1040,"Y",'DEF_SELF_SCOUT_IMPORT'!$E$42:$E$1040,SUBSTITUTE(SUBSTITUTE(SUBSTITUTE($B1471,"~","~~"),"*","~*"),"?","~?"),'DEF_SELF_SCOUT_IMPORT'!$Q$42:$Q$1040,SUBSTITUTE(SUBSTITUTE(SUBSTITUTE($M1471,"~","~~"),"*","~*"),"?","~?"),'DEF_SELF_SCOUT_IMPORT'!$F$42:$F$1040,SUBSTITUTE(SUBSTITUTE(SUBSTITUTE($N1471,"~","~~"),"*","~*"),"?","~?"),'DEF_SELF_SCOUT_IMPORT'!$G$42:$G$1040,SUBSTITUTE(SUBSTITUTE(SUBSTITUTE($O1471,"~","~~"),"*","~*"),"?","~?")))</f>
        <v>7.0</v>
      </c>
      <c r="G1471" s="10">
        <f>IF($C1471=0,"",COUNTIFS('DEF_SELF_SCOUT_IMPORT'!$L$42:$L$1040,"Y",'DEF_SELF_SCOUT_IMPORT'!$E$42:$E$1040,SUBSTITUTE(SUBSTITUTE(SUBSTITUTE($B1471,"~","~~"),"*","~*"),"?","~?"),'DEF_SELF_SCOUT_IMPORT'!$Q$42:$Q$1040,SUBSTITUTE(SUBSTITUTE(SUBSTITUTE($M1471,"~","~~"),"*","~*"),"?","~?"),'DEF_SELF_SCOUT_IMPORT'!$F$42:$F$1040,SUBSTITUTE(SUBSTITUTE(SUBSTITUTE($N1471,"~","~~"),"*","~*"),"?","~?"),'DEF_SELF_SCOUT_IMPORT'!$G$42:$G$1040,SUBSTITUTE(SUBSTITUTE(SUBSTITUTE($O1471,"~","~~"),"*","~*"),"?","~?"),'DEF_SELF_SCOUT_IMPORT'!$H$42:$H$1040,"RUSH")/$C1471)</f>
        <v>0.0</v>
      </c>
      <c r="H1471" s="10">
        <f>IF($C1471=0,"",COUNTIFS('DEF_SELF_SCOUT_IMPORT'!$L$42:$L$1040,"Y",'DEF_SELF_SCOUT_IMPORT'!$E$42:$E$1040,SUBSTITUTE(SUBSTITUTE(SUBSTITUTE($B1471,"~","~~"),"*","~*"),"?","~?"),'DEF_SELF_SCOUT_IMPORT'!$Q$42:$Q$1040,SUBSTITUTE(SUBSTITUTE(SUBSTITUTE($M1471,"~","~~"),"*","~*"),"?","~?"),'DEF_SELF_SCOUT_IMPORT'!$F$42:$F$1040,SUBSTITUTE(SUBSTITUTE(SUBSTITUTE($N1471,"~","~~"),"*","~*"),"?","~?"),'DEF_SELF_SCOUT_IMPORT'!$G$42:$G$1040,SUBSTITUTE(SUBSTITUTE(SUBSTITUTE($O1471,"~","~~"),"*","~*"),"?","~?"),'DEF_SELF_SCOUT_IMPORT'!$H$42:$H$1040,"DROPBACK")/$C1471)</f>
        <v>1.0</v>
      </c>
      <c r="I1471" s="14" t="str">
        <f>IF(C1471=0,"",IF(C1471&lt;=2,"TRACK",IF(C1471=3,"LOW",IF(C1471&lt;=6,"MEDIUM","HIGH"))))</f>
        <v>TRACK</v>
      </c>
      <c r="J1471" s="11">
        <f>IF(C1471=0,"",ROUND(D1471*70+(1-E1471)*20+MAX(0,MIN(1,(10-F1471)/10))*10,1))</f>
        <v>23.0</v>
      </c>
      <c r="K1471" s="14" t="str">
        <f>IF(C1471=0,"No Evidence",IF(C1471&lt;=2,IF(E1471&gt;0,"Explosive Alert","Track Only"),IF(C1471=3,"Sample Watch",IF(E1471&gt;=START_HERE!$B$31,"Explosive Alert",IF(J1471&gt;=80,"Strong Candidate",IF(J1471&gt;=65,"Good Candidate",IF(J1471&gt;=50,"Mixed / Review","Problem Call")))))))</f>
        <v>Track Only</v>
      </c>
      <c r="L1471" s="9" t="str">
        <f>IF(COUNTIFS('DEF_SELF_SCOUT_IMPORT'!$L$42:$L$1040,"Y",'DEF_SELF_SCOUT_IMPORT'!$E$42:$E$1040,SUBSTITUTE(SUBSTITUTE(SUBSTITUTE($B1471,"~","~~"),"*","~*"),"?","~?"),'DEF_SELF_SCOUT_IMPORT'!$Q$42:$Q$1040,SUBSTITUTE(SUBSTITUTE(SUBSTITUTE($M1471,"~","~~"),"*","~*"),"?","~?"),'DEF_SELF_SCOUT_IMPORT'!$F$42:$F$1040,SUBSTITUTE(SUBSTITUTE(SUBSTITUTE($N1471,"~","~~"),"*","~*"),"?","~?"),'DEF_SELF_SCOUT_IMPORT'!$G$42:$G$1040,SUBSTITUTE(SUBSTITUTE(SUBSTITUTE($O1471,"~","~~"),"*","~*"),"?","~?"),'DEF_SELF_SCOUT_IMPORT'!$J$42:$J$1040,"")&gt;0,"Unscored clean outcome; review result tags before using score.",IF(C1471=0,"No matching defensive reps; film confirmation needed.",IF(K1471="Explosive Alert","Explosive risk; review clips before using as answer.",IF(C1471&lt;=2,"Track only; not enough sample.",IF(C1471=3,IF(E1471&gt;0,"Sample watch with explosive exposure; review clips and build the sample.",IF(J1471&gt;=65,"Good signal, but sample is limited.","Sample watch; review clips and build the sample.")),IF(K1471="Problem Call","Problem area; practice or call-sheet review.",IF(K1471="Strong Candidate","Strong call-fit candidate; confirm on film.",IF(K1471="Good Candidate","Good call-fit signal; confirm on film.","Mixed signal; review fit and execution on film."))))))))</f>
        <v>Track only; not enough sample.</v>
      </c>
      <c r="M1471" s="8" t="s">
        <v>103</v>
      </c>
      <c r="N1471" s="8" t="s">
        <v>120</v>
      </c>
      <c r="O1471" s="8" t="s">
        <v>206</v>
      </c>
      <c r="P1471" s="8"/>
      <c r="Q1471" s="8"/>
      <c r="R1471" s="8" t="s">
        <v>661</v>
      </c>
      <c r="S1471" s="2" t="s">
        <v>668</v>
      </c>
      <c r="T1471" s="2">
        <f>IF(C1471=0,0,IF(C1471&gt;=CALL_LOOKUP_BOARD!$B$7,IF(OR(K1471="Problem Call",K1471="Explosive Alert"),10000000,20000000),0)+IF(C1471&gt;=CALL_LOOKUP_BOARD!$B$7,J1471*1000+MIN(C1471,999),C1471*1000+J1471)+0.00997600)</f>
        <v>1023.009976</v>
      </c>
      <c r="U1471" s="2">
        <f>IF(C1471=0,"",IF(COUNTIFS($S$1448:$S$1491,SUBSTITUTE(SUBSTITUTE(SUBSTITUTE(S1471,"~","~~"),"*","~*"),"?","~?"),$T$1448:$T$1491,"&gt;"&amp;T1471)=0,S1471,""))</f>
        <v/>
      </c>
    </row>
    <row r="1472" spans="1:21" ht="38" customHeight="1">
      <c r="A1472" s="8" t="s">
        <v>386</v>
      </c>
      <c r="B1472" s="8" t="s">
        <v>100</v>
      </c>
      <c r="C1472" s="12">
        <f>COUNTIFS('DEF_SELF_SCOUT_IMPORT'!$L$42:$L$1040,"Y",'DEF_SELF_SCOUT_IMPORT'!$E$42:$E$1040,SUBSTITUTE(SUBSTITUTE(SUBSTITUTE($B1472,"~","~~"),"*","~*"),"?","~?"),'DEF_SELF_SCOUT_IMPORT'!$Q$42:$Q$1040,SUBSTITUTE(SUBSTITUTE(SUBSTITUTE($M1472,"~","~~"),"*","~*"),"?","~?"),'DEF_SELF_SCOUT_IMPORT'!$F$42:$F$1040,SUBSTITUTE(SUBSTITUTE(SUBSTITUTE($N1472,"~","~~"),"*","~*"),"?","~?"),'DEF_SELF_SCOUT_IMPORT'!$G$42:$G$1040,SUBSTITUTE(SUBSTITUTE(SUBSTITUTE($O1472,"~","~~"),"*","~*"),"?","~?"))</f>
        <v>2</v>
      </c>
      <c r="D1472" s="10">
        <f>IF($C1472=0,"",SUMIFS('DEF_SELF_SCOUT_IMPORT'!$J$42:$J$1040,'DEF_SELF_SCOUT_IMPORT'!$L$42:$L$1040,"Y",'DEF_SELF_SCOUT_IMPORT'!$E$42:$E$1040,SUBSTITUTE(SUBSTITUTE(SUBSTITUTE($B1472,"~","~~"),"*","~*"),"?","~?"),'DEF_SELF_SCOUT_IMPORT'!$Q$42:$Q$1040,SUBSTITUTE(SUBSTITUTE(SUBSTITUTE($M1472,"~","~~"),"*","~*"),"?","~?"),'DEF_SELF_SCOUT_IMPORT'!$F$42:$F$1040,SUBSTITUTE(SUBSTITUTE(SUBSTITUTE($N1472,"~","~~"),"*","~*"),"?","~?"),'DEF_SELF_SCOUT_IMPORT'!$G$42:$G$1040,SUBSTITUTE(SUBSTITUTE(SUBSTITUTE($O1472,"~","~~"),"*","~*"),"?","~?"))/$C1472)</f>
        <v>0.5</v>
      </c>
      <c r="E1472" s="10">
        <f>IF($C1472=0,"",SUMIFS('DEF_SELF_SCOUT_IMPORT'!$K$42:$K$1040,'DEF_SELF_SCOUT_IMPORT'!$L$42:$L$1040,"Y",'DEF_SELF_SCOUT_IMPORT'!$E$42:$E$1040,SUBSTITUTE(SUBSTITUTE(SUBSTITUTE($B1472,"~","~~"),"*","~*"),"?","~?"),'DEF_SELF_SCOUT_IMPORT'!$Q$42:$Q$1040,SUBSTITUTE(SUBSTITUTE(SUBSTITUTE($M1472,"~","~~"),"*","~*"),"?","~?"),'DEF_SELF_SCOUT_IMPORT'!$F$42:$F$1040,SUBSTITUTE(SUBSTITUTE(SUBSTITUTE($N1472,"~","~~"),"*","~*"),"?","~?"),'DEF_SELF_SCOUT_IMPORT'!$G$42:$G$1040,SUBSTITUTE(SUBSTITUTE(SUBSTITUTE($O1472,"~","~~"),"*","~*"),"?","~?"))/$C1472)</f>
        <v>0.0</v>
      </c>
      <c r="F1472" s="11">
        <f>IF($C1472=0,"",AVERAGEIFS('DEF_SELF_SCOUT_IMPORT'!$I$42:$I$1040,'DEF_SELF_SCOUT_IMPORT'!$L$42:$L$1040,"Y",'DEF_SELF_SCOUT_IMPORT'!$E$42:$E$1040,SUBSTITUTE(SUBSTITUTE(SUBSTITUTE($B1472,"~","~~"),"*","~*"),"?","~?"),'DEF_SELF_SCOUT_IMPORT'!$Q$42:$Q$1040,SUBSTITUTE(SUBSTITUTE(SUBSTITUTE($M1472,"~","~~"),"*","~*"),"?","~?"),'DEF_SELF_SCOUT_IMPORT'!$F$42:$F$1040,SUBSTITUTE(SUBSTITUTE(SUBSTITUTE($N1472,"~","~~"),"*","~*"),"?","~?"),'DEF_SELF_SCOUT_IMPORT'!$G$42:$G$1040,SUBSTITUTE(SUBSTITUTE(SUBSTITUTE($O1472,"~","~~"),"*","~*"),"?","~?")))</f>
        <v>6.0</v>
      </c>
      <c r="G1472" s="10">
        <f>IF($C1472=0,"",COUNTIFS('DEF_SELF_SCOUT_IMPORT'!$L$42:$L$1040,"Y",'DEF_SELF_SCOUT_IMPORT'!$E$42:$E$1040,SUBSTITUTE(SUBSTITUTE(SUBSTITUTE($B1472,"~","~~"),"*","~*"),"?","~?"),'DEF_SELF_SCOUT_IMPORT'!$Q$42:$Q$1040,SUBSTITUTE(SUBSTITUTE(SUBSTITUTE($M1472,"~","~~"),"*","~*"),"?","~?"),'DEF_SELF_SCOUT_IMPORT'!$F$42:$F$1040,SUBSTITUTE(SUBSTITUTE(SUBSTITUTE($N1472,"~","~~"),"*","~*"),"?","~?"),'DEF_SELF_SCOUT_IMPORT'!$G$42:$G$1040,SUBSTITUTE(SUBSTITUTE(SUBSTITUTE($O1472,"~","~~"),"*","~*"),"?","~?"),'DEF_SELF_SCOUT_IMPORT'!$H$42:$H$1040,"RUSH")/$C1472)</f>
        <v>0.5</v>
      </c>
      <c r="H1472" s="10">
        <f>IF($C1472=0,"",COUNTIFS('DEF_SELF_SCOUT_IMPORT'!$L$42:$L$1040,"Y",'DEF_SELF_SCOUT_IMPORT'!$E$42:$E$1040,SUBSTITUTE(SUBSTITUTE(SUBSTITUTE($B1472,"~","~~"),"*","~*"),"?","~?"),'DEF_SELF_SCOUT_IMPORT'!$Q$42:$Q$1040,SUBSTITUTE(SUBSTITUTE(SUBSTITUTE($M1472,"~","~~"),"*","~*"),"?","~?"),'DEF_SELF_SCOUT_IMPORT'!$F$42:$F$1040,SUBSTITUTE(SUBSTITUTE(SUBSTITUTE($N1472,"~","~~"),"*","~*"),"?","~?"),'DEF_SELF_SCOUT_IMPORT'!$G$42:$G$1040,SUBSTITUTE(SUBSTITUTE(SUBSTITUTE($O1472,"~","~~"),"*","~*"),"?","~?"),'DEF_SELF_SCOUT_IMPORT'!$H$42:$H$1040,"DROPBACK")/$C1472)</f>
        <v>0.5</v>
      </c>
      <c r="I1472" s="14" t="str">
        <f>IF(C1472=0,"",IF(C1472&lt;=2,"TRACK",IF(C1472=3,"LOW",IF(C1472&lt;=6,"MEDIUM","HIGH"))))</f>
        <v>TRACK</v>
      </c>
      <c r="J1472" s="11">
        <f>IF(C1472=0,"",ROUND(D1472*70+(1-E1472)*20+MAX(0,MIN(1,(10-F1472)/10))*10,1))</f>
        <v>59.0</v>
      </c>
      <c r="K1472" s="14" t="str">
        <f>IF(C1472=0,"No Evidence",IF(C1472&lt;=2,IF(E1472&gt;0,"Explosive Alert","Track Only"),IF(C1472=3,"Sample Watch",IF(E1472&gt;=START_HERE!$B$31,"Explosive Alert",IF(J1472&gt;=80,"Strong Candidate",IF(J1472&gt;=65,"Good Candidate",IF(J1472&gt;=50,"Mixed / Review","Problem Call")))))))</f>
        <v>Track Only</v>
      </c>
      <c r="L1472" s="9" t="str">
        <f>IF(COUNTIFS('DEF_SELF_SCOUT_IMPORT'!$L$42:$L$1040,"Y",'DEF_SELF_SCOUT_IMPORT'!$E$42:$E$1040,SUBSTITUTE(SUBSTITUTE(SUBSTITUTE($B1472,"~","~~"),"*","~*"),"?","~?"),'DEF_SELF_SCOUT_IMPORT'!$Q$42:$Q$1040,SUBSTITUTE(SUBSTITUTE(SUBSTITUTE($M1472,"~","~~"),"*","~*"),"?","~?"),'DEF_SELF_SCOUT_IMPORT'!$F$42:$F$1040,SUBSTITUTE(SUBSTITUTE(SUBSTITUTE($N1472,"~","~~"),"*","~*"),"?","~?"),'DEF_SELF_SCOUT_IMPORT'!$G$42:$G$1040,SUBSTITUTE(SUBSTITUTE(SUBSTITUTE($O1472,"~","~~"),"*","~*"),"?","~?"),'DEF_SELF_SCOUT_IMPORT'!$J$42:$J$1040,"")&gt;0,"Unscored clean outcome; review result tags before using score.",IF(C1472=0,"No matching defensive reps; film confirmation needed.",IF(K1472="Explosive Alert","Explosive risk; review clips before using as answer.",IF(C1472&lt;=2,"Track only; not enough sample.",IF(C1472=3,IF(E1472&gt;0,"Sample watch with explosive exposure; review clips and build the sample.",IF(J1472&gt;=65,"Good signal, but sample is limited.","Sample watch; review clips and build the sample.")),IF(K1472="Problem Call","Problem area; practice or call-sheet review.",IF(K1472="Strong Candidate","Strong call-fit candidate; confirm on film.",IF(K1472="Good Candidate","Good call-fit signal; confirm on film.","Mixed signal; review fit and execution on film."))))))))</f>
        <v>Track only; not enough sample.</v>
      </c>
      <c r="M1472" s="8" t="s">
        <v>103</v>
      </c>
      <c r="N1472" s="8" t="s">
        <v>120</v>
      </c>
      <c r="O1472" s="8" t="s">
        <v>206</v>
      </c>
      <c r="P1472" s="8"/>
      <c r="Q1472" s="8"/>
      <c r="R1472" s="8" t="s">
        <v>661</v>
      </c>
      <c r="S1472" s="2" t="s">
        <v>668</v>
      </c>
      <c r="T1472" s="2">
        <f>IF(C1472=0,0,IF(C1472&gt;=CALL_LOOKUP_BOARD!$B$7,IF(OR(K1472="Problem Call",K1472="Explosive Alert"),10000000,20000000),0)+IF(C1472&gt;=CALL_LOOKUP_BOARD!$B$7,J1472*1000+MIN(C1472,999),C1472*1000+J1472)+0.00997500)</f>
        <v>2059.009975</v>
      </c>
      <c r="U1472" s="2" t="str">
        <f>IF(C1472=0,"",IF(COUNTIFS($S$1448:$S$1491,SUBSTITUTE(SUBSTITUTE(SUBSTITUTE(S1472,"~","~~"),"*","~*"),"?","~?"),$T$1448:$T$1491,"&gt;"&amp;T1472)=0,S1472,""))</f>
        <v>6:3D 4-6|2:11|3:3X1|0:|</v>
      </c>
    </row>
    <row r="1473" spans="1:21" ht="38" customHeight="1">
      <c r="A1473" s="8" t="s">
        <v>386</v>
      </c>
      <c r="B1473" s="8" t="s">
        <v>105</v>
      </c>
      <c r="C1473" s="12">
        <f>COUNTIFS('DEF_SELF_SCOUT_IMPORT'!$L$42:$L$1040,"Y",'DEF_SELF_SCOUT_IMPORT'!$E$42:$E$1040,SUBSTITUTE(SUBSTITUTE(SUBSTITUTE($B1473,"~","~~"),"*","~*"),"?","~?"),'DEF_SELF_SCOUT_IMPORT'!$Q$42:$Q$1040,SUBSTITUTE(SUBSTITUTE(SUBSTITUTE($M1473,"~","~~"),"*","~*"),"?","~?"),'DEF_SELF_SCOUT_IMPORT'!$F$42:$F$1040,SUBSTITUTE(SUBSTITUTE(SUBSTITUTE($N1473,"~","~~"),"*","~*"),"?","~?"),'DEF_SELF_SCOUT_IMPORT'!$G$42:$G$1040,SUBSTITUTE(SUBSTITUTE(SUBSTITUTE($O1473,"~","~~"),"*","~*"),"?","~?"))</f>
        <v>1</v>
      </c>
      <c r="D1473" s="10">
        <f>IF($C1473=0,"",SUMIFS('DEF_SELF_SCOUT_IMPORT'!$J$42:$J$1040,'DEF_SELF_SCOUT_IMPORT'!$L$42:$L$1040,"Y",'DEF_SELF_SCOUT_IMPORT'!$E$42:$E$1040,SUBSTITUTE(SUBSTITUTE(SUBSTITUTE($B1473,"~","~~"),"*","~*"),"?","~?"),'DEF_SELF_SCOUT_IMPORT'!$Q$42:$Q$1040,SUBSTITUTE(SUBSTITUTE(SUBSTITUTE($M1473,"~","~~"),"*","~*"),"?","~?"),'DEF_SELF_SCOUT_IMPORT'!$F$42:$F$1040,SUBSTITUTE(SUBSTITUTE(SUBSTITUTE($N1473,"~","~~"),"*","~*"),"?","~?"),'DEF_SELF_SCOUT_IMPORT'!$G$42:$G$1040,SUBSTITUTE(SUBSTITUTE(SUBSTITUTE($O1473,"~","~~"),"*","~*"),"?","~?"))/$C1473)</f>
        <v>1.0</v>
      </c>
      <c r="E1473" s="10">
        <f>IF($C1473=0,"",SUMIFS('DEF_SELF_SCOUT_IMPORT'!$K$42:$K$1040,'DEF_SELF_SCOUT_IMPORT'!$L$42:$L$1040,"Y",'DEF_SELF_SCOUT_IMPORT'!$E$42:$E$1040,SUBSTITUTE(SUBSTITUTE(SUBSTITUTE($B1473,"~","~~"),"*","~*"),"?","~?"),'DEF_SELF_SCOUT_IMPORT'!$Q$42:$Q$1040,SUBSTITUTE(SUBSTITUTE(SUBSTITUTE($M1473,"~","~~"),"*","~*"),"?","~?"),'DEF_SELF_SCOUT_IMPORT'!$F$42:$F$1040,SUBSTITUTE(SUBSTITUTE(SUBSTITUTE($N1473,"~","~~"),"*","~*"),"?","~?"),'DEF_SELF_SCOUT_IMPORT'!$G$42:$G$1040,SUBSTITUTE(SUBSTITUTE(SUBSTITUTE($O1473,"~","~~"),"*","~*"),"?","~?"))/$C1473)</f>
        <v>0.0</v>
      </c>
      <c r="F1473" s="11">
        <f>IF($C1473=0,"",AVERAGEIFS('DEF_SELF_SCOUT_IMPORT'!$I$42:$I$1040,'DEF_SELF_SCOUT_IMPORT'!$L$42:$L$1040,"Y",'DEF_SELF_SCOUT_IMPORT'!$E$42:$E$1040,SUBSTITUTE(SUBSTITUTE(SUBSTITUTE($B1473,"~","~~"),"*","~*"),"?","~?"),'DEF_SELF_SCOUT_IMPORT'!$Q$42:$Q$1040,SUBSTITUTE(SUBSTITUTE(SUBSTITUTE($M1473,"~","~~"),"*","~*"),"?","~?"),'DEF_SELF_SCOUT_IMPORT'!$F$42:$F$1040,SUBSTITUTE(SUBSTITUTE(SUBSTITUTE($N1473,"~","~~"),"*","~*"),"?","~?"),'DEF_SELF_SCOUT_IMPORT'!$G$42:$G$1040,SUBSTITUTE(SUBSTITUTE(SUBSTITUTE($O1473,"~","~~"),"*","~*"),"?","~?")))</f>
        <v>0.0</v>
      </c>
      <c r="G1473" s="10">
        <f>IF($C1473=0,"",COUNTIFS('DEF_SELF_SCOUT_IMPORT'!$L$42:$L$1040,"Y",'DEF_SELF_SCOUT_IMPORT'!$E$42:$E$1040,SUBSTITUTE(SUBSTITUTE(SUBSTITUTE($B1473,"~","~~"),"*","~*"),"?","~?"),'DEF_SELF_SCOUT_IMPORT'!$Q$42:$Q$1040,SUBSTITUTE(SUBSTITUTE(SUBSTITUTE($M1473,"~","~~"),"*","~*"),"?","~?"),'DEF_SELF_SCOUT_IMPORT'!$F$42:$F$1040,SUBSTITUTE(SUBSTITUTE(SUBSTITUTE($N1473,"~","~~"),"*","~*"),"?","~?"),'DEF_SELF_SCOUT_IMPORT'!$G$42:$G$1040,SUBSTITUTE(SUBSTITUTE(SUBSTITUTE($O1473,"~","~~"),"*","~*"),"?","~?"),'DEF_SELF_SCOUT_IMPORT'!$H$42:$H$1040,"RUSH")/$C1473)</f>
        <v>0.0</v>
      </c>
      <c r="H1473" s="10">
        <f>IF($C1473=0,"",COUNTIFS('DEF_SELF_SCOUT_IMPORT'!$L$42:$L$1040,"Y",'DEF_SELF_SCOUT_IMPORT'!$E$42:$E$1040,SUBSTITUTE(SUBSTITUTE(SUBSTITUTE($B1473,"~","~~"),"*","~*"),"?","~?"),'DEF_SELF_SCOUT_IMPORT'!$Q$42:$Q$1040,SUBSTITUTE(SUBSTITUTE(SUBSTITUTE($M1473,"~","~~"),"*","~*"),"?","~?"),'DEF_SELF_SCOUT_IMPORT'!$F$42:$F$1040,SUBSTITUTE(SUBSTITUTE(SUBSTITUTE($N1473,"~","~~"),"*","~*"),"?","~?"),'DEF_SELF_SCOUT_IMPORT'!$G$42:$G$1040,SUBSTITUTE(SUBSTITUTE(SUBSTITUTE($O1473,"~","~~"),"*","~*"),"?","~?"),'DEF_SELF_SCOUT_IMPORT'!$H$42:$H$1040,"DROPBACK")/$C1473)</f>
        <v>1.0</v>
      </c>
      <c r="I1473" s="14" t="str">
        <f>IF(C1473=0,"",IF(C1473&lt;=2,"TRACK",IF(C1473=3,"LOW",IF(C1473&lt;=6,"MEDIUM","HIGH"))))</f>
        <v>TRACK</v>
      </c>
      <c r="J1473" s="11">
        <f>IF(C1473=0,"",ROUND(D1473*70+(1-E1473)*20+MAX(0,MIN(1,(10-F1473)/10))*10,1))</f>
        <v>100.0</v>
      </c>
      <c r="K1473" s="14" t="str">
        <f>IF(C1473=0,"No Evidence",IF(C1473&lt;=2,IF(E1473&gt;0,"Explosive Alert","Track Only"),IF(C1473=3,"Sample Watch",IF(E1473&gt;=START_HERE!$B$31,"Explosive Alert",IF(J1473&gt;=80,"Strong Candidate",IF(J1473&gt;=65,"Good Candidate",IF(J1473&gt;=50,"Mixed / Review","Problem Call")))))))</f>
        <v>Track Only</v>
      </c>
      <c r="L1473" s="9" t="str">
        <f>IF(COUNTIFS('DEF_SELF_SCOUT_IMPORT'!$L$42:$L$1040,"Y",'DEF_SELF_SCOUT_IMPORT'!$E$42:$E$1040,SUBSTITUTE(SUBSTITUTE(SUBSTITUTE($B1473,"~","~~"),"*","~*"),"?","~?"),'DEF_SELF_SCOUT_IMPORT'!$Q$42:$Q$1040,SUBSTITUTE(SUBSTITUTE(SUBSTITUTE($M1473,"~","~~"),"*","~*"),"?","~?"),'DEF_SELF_SCOUT_IMPORT'!$F$42:$F$1040,SUBSTITUTE(SUBSTITUTE(SUBSTITUTE($N1473,"~","~~"),"*","~*"),"?","~?"),'DEF_SELF_SCOUT_IMPORT'!$G$42:$G$1040,SUBSTITUTE(SUBSTITUTE(SUBSTITUTE($O1473,"~","~~"),"*","~*"),"?","~?"),'DEF_SELF_SCOUT_IMPORT'!$J$42:$J$1040,"")&gt;0,"Unscored clean outcome; review result tags before using score.",IF(C1473=0,"No matching defensive reps; film confirmation needed.",IF(K1473="Explosive Alert","Explosive risk; review clips before using as answer.",IF(C1473&lt;=2,"Track only; not enough sample.",IF(C1473=3,IF(E1473&gt;0,"Sample watch with explosive exposure; review clips and build the sample.",IF(J1473&gt;=65,"Good signal, but sample is limited.","Sample watch; review clips and build the sample.")),IF(K1473="Problem Call","Problem area; practice or call-sheet review.",IF(K1473="Strong Candidate","Strong call-fit candidate; confirm on film.",IF(K1473="Good Candidate","Good call-fit signal; confirm on film.","Mixed signal; review fit and execution on film."))))))))</f>
        <v>Track only; not enough sample.</v>
      </c>
      <c r="M1473" s="8" t="s">
        <v>103</v>
      </c>
      <c r="N1473" s="8" t="s">
        <v>120</v>
      </c>
      <c r="O1473" s="8" t="s">
        <v>206</v>
      </c>
      <c r="P1473" s="8"/>
      <c r="Q1473" s="8"/>
      <c r="R1473" s="8" t="s">
        <v>661</v>
      </c>
      <c r="S1473" s="2" t="s">
        <v>668</v>
      </c>
      <c r="T1473" s="2">
        <f>IF(C1473=0,0,IF(C1473&gt;=CALL_LOOKUP_BOARD!$B$7,IF(OR(K1473="Problem Call",K1473="Explosive Alert"),10000000,20000000),0)+IF(C1473&gt;=CALL_LOOKUP_BOARD!$B$7,J1473*1000+MIN(C1473,999),C1473*1000+J1473)+0.00997400)</f>
        <v>1100.009974</v>
      </c>
      <c r="U1473" s="2">
        <f>IF(C1473=0,"",IF(COUNTIFS($S$1448:$S$1491,SUBSTITUTE(SUBSTITUTE(SUBSTITUTE(S1473,"~","~~"),"*","~*"),"?","~?"),$T$1448:$T$1491,"&gt;"&amp;T1473)=0,S1473,""))</f>
        <v/>
      </c>
    </row>
    <row r="1474" spans="1:21" ht="38" customHeight="1">
      <c r="A1474" s="8" t="s">
        <v>386</v>
      </c>
      <c r="B1474" s="8" t="s">
        <v>61</v>
      </c>
      <c r="C1474" s="12">
        <f>COUNTIFS('DEF_SELF_SCOUT_IMPORT'!$L$42:$L$1040,"Y",'DEF_SELF_SCOUT_IMPORT'!$E$42:$E$1040,SUBSTITUTE(SUBSTITUTE(SUBSTITUTE($B1474,"~","~~"),"*","~*"),"?","~?"),'DEF_SELF_SCOUT_IMPORT'!$Q$42:$Q$1040,SUBSTITUTE(SUBSTITUTE(SUBSTITUTE($M1474,"~","~~"),"*","~*"),"?","~?"),'DEF_SELF_SCOUT_IMPORT'!$F$42:$F$1040,SUBSTITUTE(SUBSTITUTE(SUBSTITUTE($N1474,"~","~~"),"*","~*"),"?","~?"),'DEF_SELF_SCOUT_IMPORT'!$G$42:$G$1040,SUBSTITUTE(SUBSTITUTE(SUBSTITUTE($O1474,"~","~~"),"*","~*"),"?","~?"))</f>
        <v>1</v>
      </c>
      <c r="D1474" s="10">
        <f>IF($C1474=0,"",SUMIFS('DEF_SELF_SCOUT_IMPORT'!$J$42:$J$1040,'DEF_SELF_SCOUT_IMPORT'!$L$42:$L$1040,"Y",'DEF_SELF_SCOUT_IMPORT'!$E$42:$E$1040,SUBSTITUTE(SUBSTITUTE(SUBSTITUTE($B1474,"~","~~"),"*","~*"),"?","~?"),'DEF_SELF_SCOUT_IMPORT'!$Q$42:$Q$1040,SUBSTITUTE(SUBSTITUTE(SUBSTITUTE($M1474,"~","~~"),"*","~*"),"?","~?"),'DEF_SELF_SCOUT_IMPORT'!$F$42:$F$1040,SUBSTITUTE(SUBSTITUTE(SUBSTITUTE($N1474,"~","~~"),"*","~*"),"?","~?"),'DEF_SELF_SCOUT_IMPORT'!$G$42:$G$1040,SUBSTITUTE(SUBSTITUTE(SUBSTITUTE($O1474,"~","~~"),"*","~*"),"?","~?"))/$C1474)</f>
        <v>0.0</v>
      </c>
      <c r="E1474" s="10">
        <f>IF($C1474=0,"",SUMIFS('DEF_SELF_SCOUT_IMPORT'!$K$42:$K$1040,'DEF_SELF_SCOUT_IMPORT'!$L$42:$L$1040,"Y",'DEF_SELF_SCOUT_IMPORT'!$E$42:$E$1040,SUBSTITUTE(SUBSTITUTE(SUBSTITUTE($B1474,"~","~~"),"*","~*"),"?","~?"),'DEF_SELF_SCOUT_IMPORT'!$Q$42:$Q$1040,SUBSTITUTE(SUBSTITUTE(SUBSTITUTE($M1474,"~","~~"),"*","~*"),"?","~?"),'DEF_SELF_SCOUT_IMPORT'!$F$42:$F$1040,SUBSTITUTE(SUBSTITUTE(SUBSTITUTE($N1474,"~","~~"),"*","~*"),"?","~?"),'DEF_SELF_SCOUT_IMPORT'!$G$42:$G$1040,SUBSTITUTE(SUBSTITUTE(SUBSTITUTE($O1474,"~","~~"),"*","~*"),"?","~?"))/$C1474)</f>
        <v>1.0</v>
      </c>
      <c r="F1474" s="11">
        <f>IF($C1474=0,"",AVERAGEIFS('DEF_SELF_SCOUT_IMPORT'!$I$42:$I$1040,'DEF_SELF_SCOUT_IMPORT'!$L$42:$L$1040,"Y",'DEF_SELF_SCOUT_IMPORT'!$E$42:$E$1040,SUBSTITUTE(SUBSTITUTE(SUBSTITUTE($B1474,"~","~~"),"*","~*"),"?","~?"),'DEF_SELF_SCOUT_IMPORT'!$Q$42:$Q$1040,SUBSTITUTE(SUBSTITUTE(SUBSTITUTE($M1474,"~","~~"),"*","~*"),"?","~?"),'DEF_SELF_SCOUT_IMPORT'!$F$42:$F$1040,SUBSTITUTE(SUBSTITUTE(SUBSTITUTE($N1474,"~","~~"),"*","~*"),"?","~?"),'DEF_SELF_SCOUT_IMPORT'!$G$42:$G$1040,SUBSTITUTE(SUBSTITUTE(SUBSTITUTE($O1474,"~","~~"),"*","~*"),"?","~?")))</f>
        <v>21.0</v>
      </c>
      <c r="G1474" s="10">
        <f>IF($C1474=0,"",COUNTIFS('DEF_SELF_SCOUT_IMPORT'!$L$42:$L$1040,"Y",'DEF_SELF_SCOUT_IMPORT'!$E$42:$E$1040,SUBSTITUTE(SUBSTITUTE(SUBSTITUTE($B1474,"~","~~"),"*","~*"),"?","~?"),'DEF_SELF_SCOUT_IMPORT'!$Q$42:$Q$1040,SUBSTITUTE(SUBSTITUTE(SUBSTITUTE($M1474,"~","~~"),"*","~*"),"?","~?"),'DEF_SELF_SCOUT_IMPORT'!$F$42:$F$1040,SUBSTITUTE(SUBSTITUTE(SUBSTITUTE($N1474,"~","~~"),"*","~*"),"?","~?"),'DEF_SELF_SCOUT_IMPORT'!$G$42:$G$1040,SUBSTITUTE(SUBSTITUTE(SUBSTITUTE($O1474,"~","~~"),"*","~*"),"?","~?"),'DEF_SELF_SCOUT_IMPORT'!$H$42:$H$1040,"RUSH")/$C1474)</f>
        <v>0.0</v>
      </c>
      <c r="H1474" s="10">
        <f>IF($C1474=0,"",COUNTIFS('DEF_SELF_SCOUT_IMPORT'!$L$42:$L$1040,"Y",'DEF_SELF_SCOUT_IMPORT'!$E$42:$E$1040,SUBSTITUTE(SUBSTITUTE(SUBSTITUTE($B1474,"~","~~"),"*","~*"),"?","~?"),'DEF_SELF_SCOUT_IMPORT'!$Q$42:$Q$1040,SUBSTITUTE(SUBSTITUTE(SUBSTITUTE($M1474,"~","~~"),"*","~*"),"?","~?"),'DEF_SELF_SCOUT_IMPORT'!$F$42:$F$1040,SUBSTITUTE(SUBSTITUTE(SUBSTITUTE($N1474,"~","~~"),"*","~*"),"?","~?"),'DEF_SELF_SCOUT_IMPORT'!$G$42:$G$1040,SUBSTITUTE(SUBSTITUTE(SUBSTITUTE($O1474,"~","~~"),"*","~*"),"?","~?"),'DEF_SELF_SCOUT_IMPORT'!$H$42:$H$1040,"DROPBACK")/$C1474)</f>
        <v>1.0</v>
      </c>
      <c r="I1474" s="14" t="str">
        <f>IF(C1474=0,"",IF(C1474&lt;=2,"TRACK",IF(C1474=3,"LOW",IF(C1474&lt;=6,"MEDIUM","HIGH"))))</f>
        <v>TRACK</v>
      </c>
      <c r="J1474" s="11">
        <f>IF(C1474=0,"",ROUND(D1474*70+(1-E1474)*20+MAX(0,MIN(1,(10-F1474)/10))*10,1))</f>
        <v>0.0</v>
      </c>
      <c r="K1474" s="14" t="str">
        <f>IF(C1474=0,"No Evidence",IF(C1474&lt;=2,IF(E1474&gt;0,"Explosive Alert","Track Only"),IF(C1474=3,"Sample Watch",IF(E1474&gt;=START_HERE!$B$31,"Explosive Alert",IF(J1474&gt;=80,"Strong Candidate",IF(J1474&gt;=65,"Good Candidate",IF(J1474&gt;=50,"Mixed / Review","Problem Call")))))))</f>
        <v>Explosive Alert</v>
      </c>
      <c r="L1474" s="9" t="str">
        <f>IF(COUNTIFS('DEF_SELF_SCOUT_IMPORT'!$L$42:$L$1040,"Y",'DEF_SELF_SCOUT_IMPORT'!$E$42:$E$1040,SUBSTITUTE(SUBSTITUTE(SUBSTITUTE($B1474,"~","~~"),"*","~*"),"?","~?"),'DEF_SELF_SCOUT_IMPORT'!$Q$42:$Q$1040,SUBSTITUTE(SUBSTITUTE(SUBSTITUTE($M1474,"~","~~"),"*","~*"),"?","~?"),'DEF_SELF_SCOUT_IMPORT'!$F$42:$F$1040,SUBSTITUTE(SUBSTITUTE(SUBSTITUTE($N1474,"~","~~"),"*","~*"),"?","~?"),'DEF_SELF_SCOUT_IMPORT'!$G$42:$G$1040,SUBSTITUTE(SUBSTITUTE(SUBSTITUTE($O1474,"~","~~"),"*","~*"),"?","~?"),'DEF_SELF_SCOUT_IMPORT'!$J$42:$J$1040,"")&gt;0,"Unscored clean outcome; review result tags before using score.",IF(C1474=0,"No matching defensive reps; film confirmation needed.",IF(K1474="Explosive Alert","Explosive risk; review clips before using as answer.",IF(C1474&lt;=2,"Track only; not enough sample.",IF(C1474=3,IF(E1474&gt;0,"Sample watch with explosive exposure; review clips and build the sample.",IF(J1474&gt;=65,"Good signal, but sample is limited.","Sample watch; review clips and build the sample.")),IF(K1474="Problem Call","Problem area; practice or call-sheet review.",IF(K1474="Strong Candidate","Strong call-fit candidate; confirm on film.",IF(K1474="Good Candidate","Good call-fit signal; confirm on film.","Mixed signal; review fit and execution on film."))))))))</f>
        <v>Explosive risk; review clips before using as answer.</v>
      </c>
      <c r="M1474" s="8" t="s">
        <v>103</v>
      </c>
      <c r="N1474" s="8" t="s">
        <v>120</v>
      </c>
      <c r="O1474" s="8" t="s">
        <v>206</v>
      </c>
      <c r="P1474" s="8"/>
      <c r="Q1474" s="8"/>
      <c r="R1474" s="8" t="s">
        <v>661</v>
      </c>
      <c r="S1474" s="2" t="s">
        <v>668</v>
      </c>
      <c r="T1474" s="2">
        <f>IF(C1474=0,0,IF(C1474&gt;=CALL_LOOKUP_BOARD!$B$7,IF(OR(K1474="Problem Call",K1474="Explosive Alert"),10000000,20000000),0)+IF(C1474&gt;=CALL_LOOKUP_BOARD!$B$7,J1474*1000+MIN(C1474,999),C1474*1000+J1474)+0.00997300)</f>
        <v>1000.009973</v>
      </c>
      <c r="U1474" s="2">
        <f>IF(C1474=0,"",IF(COUNTIFS($S$1448:$S$1491,SUBSTITUTE(SUBSTITUTE(SUBSTITUTE(S1474,"~","~~"),"*","~*"),"?","~?"),$T$1448:$T$1491,"&gt;"&amp;T1474)=0,S1474,""))</f>
        <v/>
      </c>
    </row>
    <row r="1475" spans="1:21" ht="38" customHeight="1">
      <c r="A1475" s="8" t="s">
        <v>386</v>
      </c>
      <c r="B1475" s="8" t="s">
        <v>106</v>
      </c>
      <c r="C1475" s="12">
        <f>COUNTIFS('DEF_SELF_SCOUT_IMPORT'!$L$42:$L$1040,"Y",'DEF_SELF_SCOUT_IMPORT'!$E$42:$E$1040,SUBSTITUTE(SUBSTITUTE(SUBSTITUTE($B1475,"~","~~"),"*","~*"),"?","~?"),'DEF_SELF_SCOUT_IMPORT'!$Q$42:$Q$1040,SUBSTITUTE(SUBSTITUTE(SUBSTITUTE($M1475,"~","~~"),"*","~*"),"?","~?"),'DEF_SELF_SCOUT_IMPORT'!$F$42:$F$1040,SUBSTITUTE(SUBSTITUTE(SUBSTITUTE($N1475,"~","~~"),"*","~*"),"?","~?"),'DEF_SELF_SCOUT_IMPORT'!$G$42:$G$1040,SUBSTITUTE(SUBSTITUTE(SUBSTITUTE($O1475,"~","~~"),"*","~*"),"?","~?"))</f>
        <v>1</v>
      </c>
      <c r="D1475" s="10">
        <f>IF($C1475=0,"",SUMIFS('DEF_SELF_SCOUT_IMPORT'!$J$42:$J$1040,'DEF_SELF_SCOUT_IMPORT'!$L$42:$L$1040,"Y",'DEF_SELF_SCOUT_IMPORT'!$E$42:$E$1040,SUBSTITUTE(SUBSTITUTE(SUBSTITUTE($B1475,"~","~~"),"*","~*"),"?","~?"),'DEF_SELF_SCOUT_IMPORT'!$Q$42:$Q$1040,SUBSTITUTE(SUBSTITUTE(SUBSTITUTE($M1475,"~","~~"),"*","~*"),"?","~?"),'DEF_SELF_SCOUT_IMPORT'!$F$42:$F$1040,SUBSTITUTE(SUBSTITUTE(SUBSTITUTE($N1475,"~","~~"),"*","~*"),"?","~?"),'DEF_SELF_SCOUT_IMPORT'!$G$42:$G$1040,SUBSTITUTE(SUBSTITUTE(SUBSTITUTE($O1475,"~","~~"),"*","~*"),"?","~?"))/$C1475)</f>
        <v>0.0</v>
      </c>
      <c r="E1475" s="10">
        <f>IF($C1475=0,"",SUMIFS('DEF_SELF_SCOUT_IMPORT'!$K$42:$K$1040,'DEF_SELF_SCOUT_IMPORT'!$L$42:$L$1040,"Y",'DEF_SELF_SCOUT_IMPORT'!$E$42:$E$1040,SUBSTITUTE(SUBSTITUTE(SUBSTITUTE($B1475,"~","~~"),"*","~*"),"?","~?"),'DEF_SELF_SCOUT_IMPORT'!$Q$42:$Q$1040,SUBSTITUTE(SUBSTITUTE(SUBSTITUTE($M1475,"~","~~"),"*","~*"),"?","~?"),'DEF_SELF_SCOUT_IMPORT'!$F$42:$F$1040,SUBSTITUTE(SUBSTITUTE(SUBSTITUTE($N1475,"~","~~"),"*","~*"),"?","~?"),'DEF_SELF_SCOUT_IMPORT'!$G$42:$G$1040,SUBSTITUTE(SUBSTITUTE(SUBSTITUTE($O1475,"~","~~"),"*","~*"),"?","~?"))/$C1475)</f>
        <v>1.0</v>
      </c>
      <c r="F1475" s="11">
        <f>IF($C1475=0,"",AVERAGEIFS('DEF_SELF_SCOUT_IMPORT'!$I$42:$I$1040,'DEF_SELF_SCOUT_IMPORT'!$L$42:$L$1040,"Y",'DEF_SELF_SCOUT_IMPORT'!$E$42:$E$1040,SUBSTITUTE(SUBSTITUTE(SUBSTITUTE($B1475,"~","~~"),"*","~*"),"?","~?"),'DEF_SELF_SCOUT_IMPORT'!$Q$42:$Q$1040,SUBSTITUTE(SUBSTITUTE(SUBSTITUTE($M1475,"~","~~"),"*","~*"),"?","~?"),'DEF_SELF_SCOUT_IMPORT'!$F$42:$F$1040,SUBSTITUTE(SUBSTITUTE(SUBSTITUTE($N1475,"~","~~"),"*","~*"),"?","~?"),'DEF_SELF_SCOUT_IMPORT'!$G$42:$G$1040,SUBSTITUTE(SUBSTITUTE(SUBSTITUTE($O1475,"~","~~"),"*","~*"),"?","~?")))</f>
        <v>22.0</v>
      </c>
      <c r="G1475" s="10">
        <f>IF($C1475=0,"",COUNTIFS('DEF_SELF_SCOUT_IMPORT'!$L$42:$L$1040,"Y",'DEF_SELF_SCOUT_IMPORT'!$E$42:$E$1040,SUBSTITUTE(SUBSTITUTE(SUBSTITUTE($B1475,"~","~~"),"*","~*"),"?","~?"),'DEF_SELF_SCOUT_IMPORT'!$Q$42:$Q$1040,SUBSTITUTE(SUBSTITUTE(SUBSTITUTE($M1475,"~","~~"),"*","~*"),"?","~?"),'DEF_SELF_SCOUT_IMPORT'!$F$42:$F$1040,SUBSTITUTE(SUBSTITUTE(SUBSTITUTE($N1475,"~","~~"),"*","~*"),"?","~?"),'DEF_SELF_SCOUT_IMPORT'!$G$42:$G$1040,SUBSTITUTE(SUBSTITUTE(SUBSTITUTE($O1475,"~","~~"),"*","~*"),"?","~?"),'DEF_SELF_SCOUT_IMPORT'!$H$42:$H$1040,"RUSH")/$C1475)</f>
        <v>0.0</v>
      </c>
      <c r="H1475" s="10">
        <f>IF($C1475=0,"",COUNTIFS('DEF_SELF_SCOUT_IMPORT'!$L$42:$L$1040,"Y",'DEF_SELF_SCOUT_IMPORT'!$E$42:$E$1040,SUBSTITUTE(SUBSTITUTE(SUBSTITUTE($B1475,"~","~~"),"*","~*"),"?","~?"),'DEF_SELF_SCOUT_IMPORT'!$Q$42:$Q$1040,SUBSTITUTE(SUBSTITUTE(SUBSTITUTE($M1475,"~","~~"),"*","~*"),"?","~?"),'DEF_SELF_SCOUT_IMPORT'!$F$42:$F$1040,SUBSTITUTE(SUBSTITUTE(SUBSTITUTE($N1475,"~","~~"),"*","~*"),"?","~?"),'DEF_SELF_SCOUT_IMPORT'!$G$42:$G$1040,SUBSTITUTE(SUBSTITUTE(SUBSTITUTE($O1475,"~","~~"),"*","~*"),"?","~?"),'DEF_SELF_SCOUT_IMPORT'!$H$42:$H$1040,"DROPBACK")/$C1475)</f>
        <v>1.0</v>
      </c>
      <c r="I1475" s="14" t="str">
        <f>IF(C1475=0,"",IF(C1475&lt;=2,"TRACK",IF(C1475=3,"LOW",IF(C1475&lt;=6,"MEDIUM","HIGH"))))</f>
        <v>TRACK</v>
      </c>
      <c r="J1475" s="11">
        <f>IF(C1475=0,"",ROUND(D1475*70+(1-E1475)*20+MAX(0,MIN(1,(10-F1475)/10))*10,1))</f>
        <v>0.0</v>
      </c>
      <c r="K1475" s="14" t="str">
        <f>IF(C1475=0,"No Evidence",IF(C1475&lt;=2,IF(E1475&gt;0,"Explosive Alert","Track Only"),IF(C1475=3,"Sample Watch",IF(E1475&gt;=START_HERE!$B$31,"Explosive Alert",IF(J1475&gt;=80,"Strong Candidate",IF(J1475&gt;=65,"Good Candidate",IF(J1475&gt;=50,"Mixed / Review","Problem Call")))))))</f>
        <v>Explosive Alert</v>
      </c>
      <c r="L1475" s="9" t="str">
        <f>IF(COUNTIFS('DEF_SELF_SCOUT_IMPORT'!$L$42:$L$1040,"Y",'DEF_SELF_SCOUT_IMPORT'!$E$42:$E$1040,SUBSTITUTE(SUBSTITUTE(SUBSTITUTE($B1475,"~","~~"),"*","~*"),"?","~?"),'DEF_SELF_SCOUT_IMPORT'!$Q$42:$Q$1040,SUBSTITUTE(SUBSTITUTE(SUBSTITUTE($M1475,"~","~~"),"*","~*"),"?","~?"),'DEF_SELF_SCOUT_IMPORT'!$F$42:$F$1040,SUBSTITUTE(SUBSTITUTE(SUBSTITUTE($N1475,"~","~~"),"*","~*"),"?","~?"),'DEF_SELF_SCOUT_IMPORT'!$G$42:$G$1040,SUBSTITUTE(SUBSTITUTE(SUBSTITUTE($O1475,"~","~~"),"*","~*"),"?","~?"),'DEF_SELF_SCOUT_IMPORT'!$J$42:$J$1040,"")&gt;0,"Unscored clean outcome; review result tags before using score.",IF(C1475=0,"No matching defensive reps; film confirmation needed.",IF(K1475="Explosive Alert","Explosive risk; review clips before using as answer.",IF(C1475&lt;=2,"Track only; not enough sample.",IF(C1475=3,IF(E1475&gt;0,"Sample watch with explosive exposure; review clips and build the sample.",IF(J1475&gt;=65,"Good signal, but sample is limited.","Sample watch; review clips and build the sample.")),IF(K1475="Problem Call","Problem area; practice or call-sheet review.",IF(K1475="Strong Candidate","Strong call-fit candidate; confirm on film.",IF(K1475="Good Candidate","Good call-fit signal; confirm on film.","Mixed signal; review fit and execution on film."))))))))</f>
        <v>Explosive risk; review clips before using as answer.</v>
      </c>
      <c r="M1475" s="8" t="s">
        <v>103</v>
      </c>
      <c r="N1475" s="8" t="s">
        <v>120</v>
      </c>
      <c r="O1475" s="8" t="s">
        <v>206</v>
      </c>
      <c r="P1475" s="8"/>
      <c r="Q1475" s="8"/>
      <c r="R1475" s="8" t="s">
        <v>661</v>
      </c>
      <c r="S1475" s="2" t="s">
        <v>668</v>
      </c>
      <c r="T1475" s="2">
        <f>IF(C1475=0,0,IF(C1475&gt;=CALL_LOOKUP_BOARD!$B$7,IF(OR(K1475="Problem Call",K1475="Explosive Alert"),10000000,20000000),0)+IF(C1475&gt;=CALL_LOOKUP_BOARD!$B$7,J1475*1000+MIN(C1475,999),C1475*1000+J1475)+0.00997200)</f>
        <v>1000.009972</v>
      </c>
      <c r="U1475" s="2">
        <f>IF(C1475=0,"",IF(COUNTIFS($S$1448:$S$1491,SUBSTITUTE(SUBSTITUTE(SUBSTITUTE(S1475,"~","~~"),"*","~*"),"?","~?"),$T$1448:$T$1491,"&gt;"&amp;T1475)=0,S1475,""))</f>
        <v/>
      </c>
    </row>
    <row r="1476" spans="1:21" ht="38" customHeight="1">
      <c r="A1476" s="8" t="s">
        <v>386</v>
      </c>
      <c r="B1476" s="8" t="s">
        <v>84</v>
      </c>
      <c r="C1476" s="12">
        <f>COUNTIFS('DEF_SELF_SCOUT_IMPORT'!$L$42:$L$1040,"Y",'DEF_SELF_SCOUT_IMPORT'!$E$42:$E$1040,SUBSTITUTE(SUBSTITUTE(SUBSTITUTE($B1476,"~","~~"),"*","~*"),"?","~?"),'DEF_SELF_SCOUT_IMPORT'!$Q$42:$Q$1040,SUBSTITUTE(SUBSTITUTE(SUBSTITUTE($M1476,"~","~~"),"*","~*"),"?","~?"),'DEF_SELF_SCOUT_IMPORT'!$F$42:$F$1040,SUBSTITUTE(SUBSTITUTE(SUBSTITUTE($N1476,"~","~~"),"*","~*"),"?","~?"),'DEF_SELF_SCOUT_IMPORT'!$G$42:$G$1040,SUBSTITUTE(SUBSTITUTE(SUBSTITUTE($O1476,"~","~~"),"*","~*"),"?","~?"))</f>
        <v>1</v>
      </c>
      <c r="D1476" s="10">
        <f>IF($C1476=0,"",SUMIFS('DEF_SELF_SCOUT_IMPORT'!$J$42:$J$1040,'DEF_SELF_SCOUT_IMPORT'!$L$42:$L$1040,"Y",'DEF_SELF_SCOUT_IMPORT'!$E$42:$E$1040,SUBSTITUTE(SUBSTITUTE(SUBSTITUTE($B1476,"~","~~"),"*","~*"),"?","~?"),'DEF_SELF_SCOUT_IMPORT'!$Q$42:$Q$1040,SUBSTITUTE(SUBSTITUTE(SUBSTITUTE($M1476,"~","~~"),"*","~*"),"?","~?"),'DEF_SELF_SCOUT_IMPORT'!$F$42:$F$1040,SUBSTITUTE(SUBSTITUTE(SUBSTITUTE($N1476,"~","~~"),"*","~*"),"?","~?"),'DEF_SELF_SCOUT_IMPORT'!$G$42:$G$1040,SUBSTITUTE(SUBSTITUTE(SUBSTITUTE($O1476,"~","~~"),"*","~*"),"?","~?"))/$C1476)</f>
        <v>1.0</v>
      </c>
      <c r="E1476" s="10">
        <f>IF($C1476=0,"",SUMIFS('DEF_SELF_SCOUT_IMPORT'!$K$42:$K$1040,'DEF_SELF_SCOUT_IMPORT'!$L$42:$L$1040,"Y",'DEF_SELF_SCOUT_IMPORT'!$E$42:$E$1040,SUBSTITUTE(SUBSTITUTE(SUBSTITUTE($B1476,"~","~~"),"*","~*"),"?","~?"),'DEF_SELF_SCOUT_IMPORT'!$Q$42:$Q$1040,SUBSTITUTE(SUBSTITUTE(SUBSTITUTE($M1476,"~","~~"),"*","~*"),"?","~?"),'DEF_SELF_SCOUT_IMPORT'!$F$42:$F$1040,SUBSTITUTE(SUBSTITUTE(SUBSTITUTE($N1476,"~","~~"),"*","~*"),"?","~?"),'DEF_SELF_SCOUT_IMPORT'!$G$42:$G$1040,SUBSTITUTE(SUBSTITUTE(SUBSTITUTE($O1476,"~","~~"),"*","~*"),"?","~?"))/$C1476)</f>
        <v>0.0</v>
      </c>
      <c r="F1476" s="11">
        <f>IF($C1476=0,"",AVERAGEIFS('DEF_SELF_SCOUT_IMPORT'!$I$42:$I$1040,'DEF_SELF_SCOUT_IMPORT'!$L$42:$L$1040,"Y",'DEF_SELF_SCOUT_IMPORT'!$E$42:$E$1040,SUBSTITUTE(SUBSTITUTE(SUBSTITUTE($B1476,"~","~~"),"*","~*"),"?","~?"),'DEF_SELF_SCOUT_IMPORT'!$Q$42:$Q$1040,SUBSTITUTE(SUBSTITUTE(SUBSTITUTE($M1476,"~","~~"),"*","~*"),"?","~?"),'DEF_SELF_SCOUT_IMPORT'!$F$42:$F$1040,SUBSTITUTE(SUBSTITUTE(SUBSTITUTE($N1476,"~","~~"),"*","~*"),"?","~?"),'DEF_SELF_SCOUT_IMPORT'!$G$42:$G$1040,SUBSTITUTE(SUBSTITUTE(SUBSTITUTE($O1476,"~","~~"),"*","~*"),"?","~?")))</f>
        <v>0.0</v>
      </c>
      <c r="G1476" s="10">
        <f>IF($C1476=0,"",COUNTIFS('DEF_SELF_SCOUT_IMPORT'!$L$42:$L$1040,"Y",'DEF_SELF_SCOUT_IMPORT'!$E$42:$E$1040,SUBSTITUTE(SUBSTITUTE(SUBSTITUTE($B1476,"~","~~"),"*","~*"),"?","~?"),'DEF_SELF_SCOUT_IMPORT'!$Q$42:$Q$1040,SUBSTITUTE(SUBSTITUTE(SUBSTITUTE($M1476,"~","~~"),"*","~*"),"?","~?"),'DEF_SELF_SCOUT_IMPORT'!$F$42:$F$1040,SUBSTITUTE(SUBSTITUTE(SUBSTITUTE($N1476,"~","~~"),"*","~*"),"?","~?"),'DEF_SELF_SCOUT_IMPORT'!$G$42:$G$1040,SUBSTITUTE(SUBSTITUTE(SUBSTITUTE($O1476,"~","~~"),"*","~*"),"?","~?"),'DEF_SELF_SCOUT_IMPORT'!$H$42:$H$1040,"RUSH")/$C1476)</f>
        <v>0.0</v>
      </c>
      <c r="H1476" s="10">
        <f>IF($C1476=0,"",COUNTIFS('DEF_SELF_SCOUT_IMPORT'!$L$42:$L$1040,"Y",'DEF_SELF_SCOUT_IMPORT'!$E$42:$E$1040,SUBSTITUTE(SUBSTITUTE(SUBSTITUTE($B1476,"~","~~"),"*","~*"),"?","~?"),'DEF_SELF_SCOUT_IMPORT'!$Q$42:$Q$1040,SUBSTITUTE(SUBSTITUTE(SUBSTITUTE($M1476,"~","~~"),"*","~*"),"?","~?"),'DEF_SELF_SCOUT_IMPORT'!$F$42:$F$1040,SUBSTITUTE(SUBSTITUTE(SUBSTITUTE($N1476,"~","~~"),"*","~*"),"?","~?"),'DEF_SELF_SCOUT_IMPORT'!$G$42:$G$1040,SUBSTITUTE(SUBSTITUTE(SUBSTITUTE($O1476,"~","~~"),"*","~*"),"?","~?"),'DEF_SELF_SCOUT_IMPORT'!$H$42:$H$1040,"DROPBACK")/$C1476)</f>
        <v>1.0</v>
      </c>
      <c r="I1476" s="14" t="str">
        <f>IF(C1476=0,"",IF(C1476&lt;=2,"TRACK",IF(C1476=3,"LOW",IF(C1476&lt;=6,"MEDIUM","HIGH"))))</f>
        <v>TRACK</v>
      </c>
      <c r="J1476" s="11">
        <f>IF(C1476=0,"",ROUND(D1476*70+(1-E1476)*20+MAX(0,MIN(1,(10-F1476)/10))*10,1))</f>
        <v>100.0</v>
      </c>
      <c r="K1476" s="14" t="str">
        <f>IF(C1476=0,"No Evidence",IF(C1476&lt;=2,IF(E1476&gt;0,"Explosive Alert","Track Only"),IF(C1476=3,"Sample Watch",IF(E1476&gt;=START_HERE!$B$31,"Explosive Alert",IF(J1476&gt;=80,"Strong Candidate",IF(J1476&gt;=65,"Good Candidate",IF(J1476&gt;=50,"Mixed / Review","Problem Call")))))))</f>
        <v>Track Only</v>
      </c>
      <c r="L1476" s="9" t="str">
        <f>IF(COUNTIFS('DEF_SELF_SCOUT_IMPORT'!$L$42:$L$1040,"Y",'DEF_SELF_SCOUT_IMPORT'!$E$42:$E$1040,SUBSTITUTE(SUBSTITUTE(SUBSTITUTE($B1476,"~","~~"),"*","~*"),"?","~?"),'DEF_SELF_SCOUT_IMPORT'!$Q$42:$Q$1040,SUBSTITUTE(SUBSTITUTE(SUBSTITUTE($M1476,"~","~~"),"*","~*"),"?","~?"),'DEF_SELF_SCOUT_IMPORT'!$F$42:$F$1040,SUBSTITUTE(SUBSTITUTE(SUBSTITUTE($N1476,"~","~~"),"*","~*"),"?","~?"),'DEF_SELF_SCOUT_IMPORT'!$G$42:$G$1040,SUBSTITUTE(SUBSTITUTE(SUBSTITUTE($O1476,"~","~~"),"*","~*"),"?","~?"),'DEF_SELF_SCOUT_IMPORT'!$J$42:$J$1040,"")&gt;0,"Unscored clean outcome; review result tags before using score.",IF(C1476=0,"No matching defensive reps; film confirmation needed.",IF(K1476="Explosive Alert","Explosive risk; review clips before using as answer.",IF(C1476&lt;=2,"Track only; not enough sample.",IF(C1476=3,IF(E1476&gt;0,"Sample watch with explosive exposure; review clips and build the sample.",IF(J1476&gt;=65,"Good signal, but sample is limited.","Sample watch; review clips and build the sample.")),IF(K1476="Problem Call","Problem area; practice or call-sheet review.",IF(K1476="Strong Candidate","Strong call-fit candidate; confirm on film.",IF(K1476="Good Candidate","Good call-fit signal; confirm on film.","Mixed signal; review fit and execution on film."))))))))</f>
        <v>Track only; not enough sample.</v>
      </c>
      <c r="M1476" s="8" t="s">
        <v>103</v>
      </c>
      <c r="N1476" s="8" t="s">
        <v>120</v>
      </c>
      <c r="O1476" s="8" t="s">
        <v>206</v>
      </c>
      <c r="P1476" s="8"/>
      <c r="Q1476" s="8"/>
      <c r="R1476" s="8" t="s">
        <v>661</v>
      </c>
      <c r="S1476" s="2" t="s">
        <v>668</v>
      </c>
      <c r="T1476" s="2">
        <f>IF(C1476=0,0,IF(C1476&gt;=CALL_LOOKUP_BOARD!$B$7,IF(OR(K1476="Problem Call",K1476="Explosive Alert"),10000000,20000000),0)+IF(C1476&gt;=CALL_LOOKUP_BOARD!$B$7,J1476*1000+MIN(C1476,999),C1476*1000+J1476)+0.00997100)</f>
        <v>1100.009971</v>
      </c>
      <c r="U1476" s="2">
        <f>IF(C1476=0,"",IF(COUNTIFS($S$1448:$S$1491,SUBSTITUTE(SUBSTITUTE(SUBSTITUTE(S1476,"~","~~"),"*","~*"),"?","~?"),$T$1448:$T$1491,"&gt;"&amp;T1476)=0,S1476,""))</f>
        <v/>
      </c>
    </row>
    <row r="1477" spans="1:21" ht="38" customHeight="1">
      <c r="A1477" s="8" t="s">
        <v>386</v>
      </c>
      <c r="B1477" s="8" t="s">
        <v>102</v>
      </c>
      <c r="C1477" s="12">
        <f>COUNTIFS('DEF_SELF_SCOUT_IMPORT'!$L$42:$L$1040,"Y",'DEF_SELF_SCOUT_IMPORT'!$E$42:$E$1040,SUBSTITUTE(SUBSTITUTE(SUBSTITUTE($B1477,"~","~~"),"*","~*"),"?","~?"),'DEF_SELF_SCOUT_IMPORT'!$Q$42:$Q$1040,SUBSTITUTE(SUBSTITUTE(SUBSTITUTE($M1477,"~","~~"),"*","~*"),"?","~?"),'DEF_SELF_SCOUT_IMPORT'!$F$42:$F$1040,SUBSTITUTE(SUBSTITUTE(SUBSTITUTE($N1477,"~","~~"),"*","~*"),"?","~?"),'DEF_SELF_SCOUT_IMPORT'!$G$42:$G$1040,SUBSTITUTE(SUBSTITUTE(SUBSTITUTE($O1477,"~","~~"),"*","~*"),"?","~?"))</f>
        <v>1</v>
      </c>
      <c r="D1477" s="10">
        <f>IF($C1477=0,"",SUMIFS('DEF_SELF_SCOUT_IMPORT'!$J$42:$J$1040,'DEF_SELF_SCOUT_IMPORT'!$L$42:$L$1040,"Y",'DEF_SELF_SCOUT_IMPORT'!$E$42:$E$1040,SUBSTITUTE(SUBSTITUTE(SUBSTITUTE($B1477,"~","~~"),"*","~*"),"?","~?"),'DEF_SELF_SCOUT_IMPORT'!$Q$42:$Q$1040,SUBSTITUTE(SUBSTITUTE(SUBSTITUTE($M1477,"~","~~"),"*","~*"),"?","~?"),'DEF_SELF_SCOUT_IMPORT'!$F$42:$F$1040,SUBSTITUTE(SUBSTITUTE(SUBSTITUTE($N1477,"~","~~"),"*","~*"),"?","~?"),'DEF_SELF_SCOUT_IMPORT'!$G$42:$G$1040,SUBSTITUTE(SUBSTITUTE(SUBSTITUTE($O1477,"~","~~"),"*","~*"),"?","~?"))/$C1477)</f>
        <v>1.0</v>
      </c>
      <c r="E1477" s="10">
        <f>IF($C1477=0,"",SUMIFS('DEF_SELF_SCOUT_IMPORT'!$K$42:$K$1040,'DEF_SELF_SCOUT_IMPORT'!$L$42:$L$1040,"Y",'DEF_SELF_SCOUT_IMPORT'!$E$42:$E$1040,SUBSTITUTE(SUBSTITUTE(SUBSTITUTE($B1477,"~","~~"),"*","~*"),"?","~?"),'DEF_SELF_SCOUT_IMPORT'!$Q$42:$Q$1040,SUBSTITUTE(SUBSTITUTE(SUBSTITUTE($M1477,"~","~~"),"*","~*"),"?","~?"),'DEF_SELF_SCOUT_IMPORT'!$F$42:$F$1040,SUBSTITUTE(SUBSTITUTE(SUBSTITUTE($N1477,"~","~~"),"*","~*"),"?","~?"),'DEF_SELF_SCOUT_IMPORT'!$G$42:$G$1040,SUBSTITUTE(SUBSTITUTE(SUBSTITUTE($O1477,"~","~~"),"*","~*"),"?","~?"))/$C1477)</f>
        <v>0.0</v>
      </c>
      <c r="F1477" s="11">
        <f>IF($C1477=0,"",AVERAGEIFS('DEF_SELF_SCOUT_IMPORT'!$I$42:$I$1040,'DEF_SELF_SCOUT_IMPORT'!$L$42:$L$1040,"Y",'DEF_SELF_SCOUT_IMPORT'!$E$42:$E$1040,SUBSTITUTE(SUBSTITUTE(SUBSTITUTE($B1477,"~","~~"),"*","~*"),"?","~?"),'DEF_SELF_SCOUT_IMPORT'!$Q$42:$Q$1040,SUBSTITUTE(SUBSTITUTE(SUBSTITUTE($M1477,"~","~~"),"*","~*"),"?","~?"),'DEF_SELF_SCOUT_IMPORT'!$F$42:$F$1040,SUBSTITUTE(SUBSTITUTE(SUBSTITUTE($N1477,"~","~~"),"*","~*"),"?","~?"),'DEF_SELF_SCOUT_IMPORT'!$G$42:$G$1040,SUBSTITUTE(SUBSTITUTE(SUBSTITUTE($O1477,"~","~~"),"*","~*"),"?","~?")))</f>
        <v>1.0</v>
      </c>
      <c r="G1477" s="10">
        <f>IF($C1477=0,"",COUNTIFS('DEF_SELF_SCOUT_IMPORT'!$L$42:$L$1040,"Y",'DEF_SELF_SCOUT_IMPORT'!$E$42:$E$1040,SUBSTITUTE(SUBSTITUTE(SUBSTITUTE($B1477,"~","~~"),"*","~*"),"?","~?"),'DEF_SELF_SCOUT_IMPORT'!$Q$42:$Q$1040,SUBSTITUTE(SUBSTITUTE(SUBSTITUTE($M1477,"~","~~"),"*","~*"),"?","~?"),'DEF_SELF_SCOUT_IMPORT'!$F$42:$F$1040,SUBSTITUTE(SUBSTITUTE(SUBSTITUTE($N1477,"~","~~"),"*","~*"),"?","~?"),'DEF_SELF_SCOUT_IMPORT'!$G$42:$G$1040,SUBSTITUTE(SUBSTITUTE(SUBSTITUTE($O1477,"~","~~"),"*","~*"),"?","~?"),'DEF_SELF_SCOUT_IMPORT'!$H$42:$H$1040,"RUSH")/$C1477)</f>
        <v>0.0</v>
      </c>
      <c r="H1477" s="10">
        <f>IF($C1477=0,"",COUNTIFS('DEF_SELF_SCOUT_IMPORT'!$L$42:$L$1040,"Y",'DEF_SELF_SCOUT_IMPORT'!$E$42:$E$1040,SUBSTITUTE(SUBSTITUTE(SUBSTITUTE($B1477,"~","~~"),"*","~*"),"?","~?"),'DEF_SELF_SCOUT_IMPORT'!$Q$42:$Q$1040,SUBSTITUTE(SUBSTITUTE(SUBSTITUTE($M1477,"~","~~"),"*","~*"),"?","~?"),'DEF_SELF_SCOUT_IMPORT'!$F$42:$F$1040,SUBSTITUTE(SUBSTITUTE(SUBSTITUTE($N1477,"~","~~"),"*","~*"),"?","~?"),'DEF_SELF_SCOUT_IMPORT'!$G$42:$G$1040,SUBSTITUTE(SUBSTITUTE(SUBSTITUTE($O1477,"~","~~"),"*","~*"),"?","~?"),'DEF_SELF_SCOUT_IMPORT'!$H$42:$H$1040,"DROPBACK")/$C1477)</f>
        <v>1.0</v>
      </c>
      <c r="I1477" s="14" t="str">
        <f>IF(C1477=0,"",IF(C1477&lt;=2,"TRACK",IF(C1477=3,"LOW",IF(C1477&lt;=6,"MEDIUM","HIGH"))))</f>
        <v>TRACK</v>
      </c>
      <c r="J1477" s="11">
        <f>IF(C1477=0,"",ROUND(D1477*70+(1-E1477)*20+MAX(0,MIN(1,(10-F1477)/10))*10,1))</f>
        <v>99.0</v>
      </c>
      <c r="K1477" s="14" t="str">
        <f>IF(C1477=0,"No Evidence",IF(C1477&lt;=2,IF(E1477&gt;0,"Explosive Alert","Track Only"),IF(C1477=3,"Sample Watch",IF(E1477&gt;=START_HERE!$B$31,"Explosive Alert",IF(J1477&gt;=80,"Strong Candidate",IF(J1477&gt;=65,"Good Candidate",IF(J1477&gt;=50,"Mixed / Review","Problem Call")))))))</f>
        <v>Track Only</v>
      </c>
      <c r="L1477" s="9" t="str">
        <f>IF(COUNTIFS('DEF_SELF_SCOUT_IMPORT'!$L$42:$L$1040,"Y",'DEF_SELF_SCOUT_IMPORT'!$E$42:$E$1040,SUBSTITUTE(SUBSTITUTE(SUBSTITUTE($B1477,"~","~~"),"*","~*"),"?","~?"),'DEF_SELF_SCOUT_IMPORT'!$Q$42:$Q$1040,SUBSTITUTE(SUBSTITUTE(SUBSTITUTE($M1477,"~","~~"),"*","~*"),"?","~?"),'DEF_SELF_SCOUT_IMPORT'!$F$42:$F$1040,SUBSTITUTE(SUBSTITUTE(SUBSTITUTE($N1477,"~","~~"),"*","~*"),"?","~?"),'DEF_SELF_SCOUT_IMPORT'!$G$42:$G$1040,SUBSTITUTE(SUBSTITUTE(SUBSTITUTE($O1477,"~","~~"),"*","~*"),"?","~?"),'DEF_SELF_SCOUT_IMPORT'!$J$42:$J$1040,"")&gt;0,"Unscored clean outcome; review result tags before using score.",IF(C1477=0,"No matching defensive reps; film confirmation needed.",IF(K1477="Explosive Alert","Explosive risk; review clips before using as answer.",IF(C1477&lt;=2,"Track only; not enough sample.",IF(C1477=3,IF(E1477&gt;0,"Sample watch with explosive exposure; review clips and build the sample.",IF(J1477&gt;=65,"Good signal, but sample is limited.","Sample watch; review clips and build the sample.")),IF(K1477="Problem Call","Problem area; practice or call-sheet review.",IF(K1477="Strong Candidate","Strong call-fit candidate; confirm on film.",IF(K1477="Good Candidate","Good call-fit signal; confirm on film.","Mixed signal; review fit and execution on film."))))))))</f>
        <v>Track only; not enough sample.</v>
      </c>
      <c r="M1477" s="8" t="s">
        <v>103</v>
      </c>
      <c r="N1477" s="8" t="s">
        <v>120</v>
      </c>
      <c r="O1477" s="8" t="s">
        <v>206</v>
      </c>
      <c r="P1477" s="8"/>
      <c r="Q1477" s="8"/>
      <c r="R1477" s="8" t="s">
        <v>661</v>
      </c>
      <c r="S1477" s="2" t="s">
        <v>668</v>
      </c>
      <c r="T1477" s="2">
        <f>IF(C1477=0,0,IF(C1477&gt;=CALL_LOOKUP_BOARD!$B$7,IF(OR(K1477="Problem Call",K1477="Explosive Alert"),10000000,20000000),0)+IF(C1477&gt;=CALL_LOOKUP_BOARD!$B$7,J1477*1000+MIN(C1477,999),C1477*1000+J1477)+0.00997000)</f>
        <v>1099.00997</v>
      </c>
      <c r="U1477" s="2">
        <f>IF(C1477=0,"",IF(COUNTIFS($S$1448:$S$1491,SUBSTITUTE(SUBSTITUTE(SUBSTITUTE(S1477,"~","~~"),"*","~*"),"?","~?"),$T$1448:$T$1491,"&gt;"&amp;T1477)=0,S1477,""))</f>
        <v/>
      </c>
    </row>
    <row r="1478" spans="1:21" ht="38" customHeight="1">
      <c r="A1478" s="8" t="s">
        <v>386</v>
      </c>
      <c r="B1478" s="8" t="s">
        <v>65</v>
      </c>
      <c r="C1478" s="12">
        <f>COUNTIFS('DEF_SELF_SCOUT_IMPORT'!$L$42:$L$1040,"Y",'DEF_SELF_SCOUT_IMPORT'!$E$42:$E$1040,SUBSTITUTE(SUBSTITUTE(SUBSTITUTE($B1478,"~","~~"),"*","~*"),"?","~?"),'DEF_SELF_SCOUT_IMPORT'!$Q$42:$Q$1040,SUBSTITUTE(SUBSTITUTE(SUBSTITUTE($M1478,"~","~~"),"*","~*"),"?","~?"),'DEF_SELF_SCOUT_IMPORT'!$F$42:$F$1040,SUBSTITUTE(SUBSTITUTE(SUBSTITUTE($N1478,"~","~~"),"*","~*"),"?","~?"),'DEF_SELF_SCOUT_IMPORT'!$G$42:$G$1040,SUBSTITUTE(SUBSTITUTE(SUBSTITUTE($O1478,"~","~~"),"*","~*"),"?","~?"))</f>
        <v>1</v>
      </c>
      <c r="D1478" s="10">
        <f>IF($C1478=0,"",SUMIFS('DEF_SELF_SCOUT_IMPORT'!$J$42:$J$1040,'DEF_SELF_SCOUT_IMPORT'!$L$42:$L$1040,"Y",'DEF_SELF_SCOUT_IMPORT'!$E$42:$E$1040,SUBSTITUTE(SUBSTITUTE(SUBSTITUTE($B1478,"~","~~"),"*","~*"),"?","~?"),'DEF_SELF_SCOUT_IMPORT'!$Q$42:$Q$1040,SUBSTITUTE(SUBSTITUTE(SUBSTITUTE($M1478,"~","~~"),"*","~*"),"?","~?"),'DEF_SELF_SCOUT_IMPORT'!$F$42:$F$1040,SUBSTITUTE(SUBSTITUTE(SUBSTITUTE($N1478,"~","~~"),"*","~*"),"?","~?"),'DEF_SELF_SCOUT_IMPORT'!$G$42:$G$1040,SUBSTITUTE(SUBSTITUTE(SUBSTITUTE($O1478,"~","~~"),"*","~*"),"?","~?"))/$C1478)</f>
        <v>0.0</v>
      </c>
      <c r="E1478" s="10">
        <f>IF($C1478=0,"",SUMIFS('DEF_SELF_SCOUT_IMPORT'!$K$42:$K$1040,'DEF_SELF_SCOUT_IMPORT'!$L$42:$L$1040,"Y",'DEF_SELF_SCOUT_IMPORT'!$E$42:$E$1040,SUBSTITUTE(SUBSTITUTE(SUBSTITUTE($B1478,"~","~~"),"*","~*"),"?","~?"),'DEF_SELF_SCOUT_IMPORT'!$Q$42:$Q$1040,SUBSTITUTE(SUBSTITUTE(SUBSTITUTE($M1478,"~","~~"),"*","~*"),"?","~?"),'DEF_SELF_SCOUT_IMPORT'!$F$42:$F$1040,SUBSTITUTE(SUBSTITUTE(SUBSTITUTE($N1478,"~","~~"),"*","~*"),"?","~?"),'DEF_SELF_SCOUT_IMPORT'!$G$42:$G$1040,SUBSTITUTE(SUBSTITUTE(SUBSTITUTE($O1478,"~","~~"),"*","~*"),"?","~?"))/$C1478)</f>
        <v>0.0</v>
      </c>
      <c r="F1478" s="11">
        <f>IF($C1478=0,"",AVERAGEIFS('DEF_SELF_SCOUT_IMPORT'!$I$42:$I$1040,'DEF_SELF_SCOUT_IMPORT'!$L$42:$L$1040,"Y",'DEF_SELF_SCOUT_IMPORT'!$E$42:$E$1040,SUBSTITUTE(SUBSTITUTE(SUBSTITUTE($B1478,"~","~~"),"*","~*"),"?","~?"),'DEF_SELF_SCOUT_IMPORT'!$Q$42:$Q$1040,SUBSTITUTE(SUBSTITUTE(SUBSTITUTE($M1478,"~","~~"),"*","~*"),"?","~?"),'DEF_SELF_SCOUT_IMPORT'!$F$42:$F$1040,SUBSTITUTE(SUBSTITUTE(SUBSTITUTE($N1478,"~","~~"),"*","~*"),"?","~?"),'DEF_SELF_SCOUT_IMPORT'!$G$42:$G$1040,SUBSTITUTE(SUBSTITUTE(SUBSTITUTE($O1478,"~","~~"),"*","~*"),"?","~?")))</f>
        <v>5.0</v>
      </c>
      <c r="G1478" s="10">
        <f>IF($C1478=0,"",COUNTIFS('DEF_SELF_SCOUT_IMPORT'!$L$42:$L$1040,"Y",'DEF_SELF_SCOUT_IMPORT'!$E$42:$E$1040,SUBSTITUTE(SUBSTITUTE(SUBSTITUTE($B1478,"~","~~"),"*","~*"),"?","~?"),'DEF_SELF_SCOUT_IMPORT'!$Q$42:$Q$1040,SUBSTITUTE(SUBSTITUTE(SUBSTITUTE($M1478,"~","~~"),"*","~*"),"?","~?"),'DEF_SELF_SCOUT_IMPORT'!$F$42:$F$1040,SUBSTITUTE(SUBSTITUTE(SUBSTITUTE($N1478,"~","~~"),"*","~*"),"?","~?"),'DEF_SELF_SCOUT_IMPORT'!$G$42:$G$1040,SUBSTITUTE(SUBSTITUTE(SUBSTITUTE($O1478,"~","~~"),"*","~*"),"?","~?"),'DEF_SELF_SCOUT_IMPORT'!$H$42:$H$1040,"RUSH")/$C1478)</f>
        <v>0.0</v>
      </c>
      <c r="H1478" s="10">
        <f>IF($C1478=0,"",COUNTIFS('DEF_SELF_SCOUT_IMPORT'!$L$42:$L$1040,"Y",'DEF_SELF_SCOUT_IMPORT'!$E$42:$E$1040,SUBSTITUTE(SUBSTITUTE(SUBSTITUTE($B1478,"~","~~"),"*","~*"),"?","~?"),'DEF_SELF_SCOUT_IMPORT'!$Q$42:$Q$1040,SUBSTITUTE(SUBSTITUTE(SUBSTITUTE($M1478,"~","~~"),"*","~*"),"?","~?"),'DEF_SELF_SCOUT_IMPORT'!$F$42:$F$1040,SUBSTITUTE(SUBSTITUTE(SUBSTITUTE($N1478,"~","~~"),"*","~*"),"?","~?"),'DEF_SELF_SCOUT_IMPORT'!$G$42:$G$1040,SUBSTITUTE(SUBSTITUTE(SUBSTITUTE($O1478,"~","~~"),"*","~*"),"?","~?"),'DEF_SELF_SCOUT_IMPORT'!$H$42:$H$1040,"DROPBACK")/$C1478)</f>
        <v>1.0</v>
      </c>
      <c r="I1478" s="14" t="str">
        <f>IF(C1478=0,"",IF(C1478&lt;=2,"TRACK",IF(C1478=3,"LOW",IF(C1478&lt;=6,"MEDIUM","HIGH"))))</f>
        <v>TRACK</v>
      </c>
      <c r="J1478" s="11">
        <f>IF(C1478=0,"",ROUND(D1478*70+(1-E1478)*20+MAX(0,MIN(1,(10-F1478)/10))*10,1))</f>
        <v>25.0</v>
      </c>
      <c r="K1478" s="14" t="str">
        <f>IF(C1478=0,"No Evidence",IF(C1478&lt;=2,IF(E1478&gt;0,"Explosive Alert","Track Only"),IF(C1478=3,"Sample Watch",IF(E1478&gt;=START_HERE!$B$31,"Explosive Alert",IF(J1478&gt;=80,"Strong Candidate",IF(J1478&gt;=65,"Good Candidate",IF(J1478&gt;=50,"Mixed / Review","Problem Call")))))))</f>
        <v>Track Only</v>
      </c>
      <c r="L1478" s="9" t="str">
        <f>IF(COUNTIFS('DEF_SELF_SCOUT_IMPORT'!$L$42:$L$1040,"Y",'DEF_SELF_SCOUT_IMPORT'!$E$42:$E$1040,SUBSTITUTE(SUBSTITUTE(SUBSTITUTE($B1478,"~","~~"),"*","~*"),"?","~?"),'DEF_SELF_SCOUT_IMPORT'!$Q$42:$Q$1040,SUBSTITUTE(SUBSTITUTE(SUBSTITUTE($M1478,"~","~~"),"*","~*"),"?","~?"),'DEF_SELF_SCOUT_IMPORT'!$F$42:$F$1040,SUBSTITUTE(SUBSTITUTE(SUBSTITUTE($N1478,"~","~~"),"*","~*"),"?","~?"),'DEF_SELF_SCOUT_IMPORT'!$G$42:$G$1040,SUBSTITUTE(SUBSTITUTE(SUBSTITUTE($O1478,"~","~~"),"*","~*"),"?","~?"),'DEF_SELF_SCOUT_IMPORT'!$J$42:$J$1040,"")&gt;0,"Unscored clean outcome; review result tags before using score.",IF(C1478=0,"No matching defensive reps; film confirmation needed.",IF(K1478="Explosive Alert","Explosive risk; review clips before using as answer.",IF(C1478&lt;=2,"Track only; not enough sample.",IF(C1478=3,IF(E1478&gt;0,"Sample watch with explosive exposure; review clips and build the sample.",IF(J1478&gt;=65,"Good signal, but sample is limited.","Sample watch; review clips and build the sample.")),IF(K1478="Problem Call","Problem area; practice or call-sheet review.",IF(K1478="Strong Candidate","Strong call-fit candidate; confirm on film.",IF(K1478="Good Candidate","Good call-fit signal; confirm on film.","Mixed signal; review fit and execution on film."))))))))</f>
        <v>Track only; not enough sample.</v>
      </c>
      <c r="M1478" s="8" t="s">
        <v>103</v>
      </c>
      <c r="N1478" s="8" t="s">
        <v>120</v>
      </c>
      <c r="O1478" s="8" t="s">
        <v>206</v>
      </c>
      <c r="P1478" s="8"/>
      <c r="Q1478" s="8"/>
      <c r="R1478" s="8" t="s">
        <v>661</v>
      </c>
      <c r="S1478" s="2" t="s">
        <v>668</v>
      </c>
      <c r="T1478" s="2">
        <f>IF(C1478=0,0,IF(C1478&gt;=CALL_LOOKUP_BOARD!$B$7,IF(OR(K1478="Problem Call",K1478="Explosive Alert"),10000000,20000000),0)+IF(C1478&gt;=CALL_LOOKUP_BOARD!$B$7,J1478*1000+MIN(C1478,999),C1478*1000+J1478)+0.00996900)</f>
        <v>1025.009969</v>
      </c>
      <c r="U1478" s="2">
        <f>IF(C1478=0,"",IF(COUNTIFS($S$1448:$S$1491,SUBSTITUTE(SUBSTITUTE(SUBSTITUTE(S1478,"~","~~"),"*","~*"),"?","~?"),$T$1448:$T$1491,"&gt;"&amp;T1478)=0,S1478,""))</f>
        <v/>
      </c>
    </row>
    <row r="1479" spans="1:21" ht="38" customHeight="1">
      <c r="A1479" s="8" t="s">
        <v>669</v>
      </c>
      <c r="B1479" s="8" t="s">
        <v>93</v>
      </c>
      <c r="C1479" s="12">
        <f>COUNTIFS('DEF_SELF_SCOUT_IMPORT'!$L$42:$L$1040,"Y",'DEF_SELF_SCOUT_IMPORT'!$E$42:$E$1040,SUBSTITUTE(SUBSTITUTE(SUBSTITUTE($B1479,"~","~~"),"*","~*"),"?","~?"),'DEF_SELF_SCOUT_IMPORT'!$Q$42:$Q$1040,SUBSTITUTE(SUBSTITUTE(SUBSTITUTE($M1479,"~","~~"),"*","~*"),"?","~?"),'DEF_SELF_SCOUT_IMPORT'!$F$42:$F$1040,SUBSTITUTE(SUBSTITUTE(SUBSTITUTE($N1479,"~","~~"),"*","~*"),"?","~?"),'DEF_SELF_SCOUT_IMPORT'!$D$42:$D$1040,SUBSTITUTE(SUBSTITUTE(SUBSTITUTE($P1479,"~","~~"),"*","~*"),"?","~?"))</f>
        <v>1</v>
      </c>
      <c r="D1479" s="10">
        <f>IF($C1479=0,"",SUMIFS('DEF_SELF_SCOUT_IMPORT'!$J$42:$J$1040,'DEF_SELF_SCOUT_IMPORT'!$L$42:$L$1040,"Y",'DEF_SELF_SCOUT_IMPORT'!$E$42:$E$1040,SUBSTITUTE(SUBSTITUTE(SUBSTITUTE($B1479,"~","~~"),"*","~*"),"?","~?"),'DEF_SELF_SCOUT_IMPORT'!$Q$42:$Q$1040,SUBSTITUTE(SUBSTITUTE(SUBSTITUTE($M1479,"~","~~"),"*","~*"),"?","~?"),'DEF_SELF_SCOUT_IMPORT'!$F$42:$F$1040,SUBSTITUTE(SUBSTITUTE(SUBSTITUTE($N1479,"~","~~"),"*","~*"),"?","~?"),'DEF_SELF_SCOUT_IMPORT'!$D$42:$D$1040,SUBSTITUTE(SUBSTITUTE(SUBSTITUTE($P1479,"~","~~"),"*","~*"),"?","~?"))/$C1479)</f>
        <v>0.0</v>
      </c>
      <c r="E1479" s="10">
        <f>IF($C1479=0,"",SUMIFS('DEF_SELF_SCOUT_IMPORT'!$K$42:$K$1040,'DEF_SELF_SCOUT_IMPORT'!$L$42:$L$1040,"Y",'DEF_SELF_SCOUT_IMPORT'!$E$42:$E$1040,SUBSTITUTE(SUBSTITUTE(SUBSTITUTE($B1479,"~","~~"),"*","~*"),"?","~?"),'DEF_SELF_SCOUT_IMPORT'!$Q$42:$Q$1040,SUBSTITUTE(SUBSTITUTE(SUBSTITUTE($M1479,"~","~~"),"*","~*"),"?","~?"),'DEF_SELF_SCOUT_IMPORT'!$F$42:$F$1040,SUBSTITUTE(SUBSTITUTE(SUBSTITUTE($N1479,"~","~~"),"*","~*"),"?","~?"),'DEF_SELF_SCOUT_IMPORT'!$D$42:$D$1040,SUBSTITUTE(SUBSTITUTE(SUBSTITUTE($P1479,"~","~~"),"*","~*"),"?","~?"))/$C1479)</f>
        <v>1.0</v>
      </c>
      <c r="F1479" s="11">
        <f>IF($C1479=0,"",AVERAGEIFS('DEF_SELF_SCOUT_IMPORT'!$I$42:$I$1040,'DEF_SELF_SCOUT_IMPORT'!$L$42:$L$1040,"Y",'DEF_SELF_SCOUT_IMPORT'!$E$42:$E$1040,SUBSTITUTE(SUBSTITUTE(SUBSTITUTE($B1479,"~","~~"),"*","~*"),"?","~?"),'DEF_SELF_SCOUT_IMPORT'!$Q$42:$Q$1040,SUBSTITUTE(SUBSTITUTE(SUBSTITUTE($M1479,"~","~~"),"*","~*"),"?","~?"),'DEF_SELF_SCOUT_IMPORT'!$F$42:$F$1040,SUBSTITUTE(SUBSTITUTE(SUBSTITUTE($N1479,"~","~~"),"*","~*"),"?","~?"),'DEF_SELF_SCOUT_IMPORT'!$D$42:$D$1040,SUBSTITUTE(SUBSTITUTE(SUBSTITUTE($P1479,"~","~~"),"*","~*"),"?","~?")))</f>
        <v>21.0</v>
      </c>
      <c r="G1479" s="10">
        <f>IF($C1479=0,"",COUNTIFS('DEF_SELF_SCOUT_IMPORT'!$L$42:$L$1040,"Y",'DEF_SELF_SCOUT_IMPORT'!$E$42:$E$1040,SUBSTITUTE(SUBSTITUTE(SUBSTITUTE($B1479,"~","~~"),"*","~*"),"?","~?"),'DEF_SELF_SCOUT_IMPORT'!$Q$42:$Q$1040,SUBSTITUTE(SUBSTITUTE(SUBSTITUTE($M1479,"~","~~"),"*","~*"),"?","~?"),'DEF_SELF_SCOUT_IMPORT'!$F$42:$F$1040,SUBSTITUTE(SUBSTITUTE(SUBSTITUTE($N1479,"~","~~"),"*","~*"),"?","~?"),'DEF_SELF_SCOUT_IMPORT'!$D$42:$D$1040,SUBSTITUTE(SUBSTITUTE(SUBSTITUTE($P1479,"~","~~"),"*","~*"),"?","~?"),'DEF_SELF_SCOUT_IMPORT'!$H$42:$H$1040,"RUSH")/$C1479)</f>
        <v>0.0</v>
      </c>
      <c r="H1479" s="10">
        <f>IF($C1479=0,"",COUNTIFS('DEF_SELF_SCOUT_IMPORT'!$L$42:$L$1040,"Y",'DEF_SELF_SCOUT_IMPORT'!$E$42:$E$1040,SUBSTITUTE(SUBSTITUTE(SUBSTITUTE($B1479,"~","~~"),"*","~*"),"?","~?"),'DEF_SELF_SCOUT_IMPORT'!$Q$42:$Q$1040,SUBSTITUTE(SUBSTITUTE(SUBSTITUTE($M1479,"~","~~"),"*","~*"),"?","~?"),'DEF_SELF_SCOUT_IMPORT'!$F$42:$F$1040,SUBSTITUTE(SUBSTITUTE(SUBSTITUTE($N1479,"~","~~"),"*","~*"),"?","~?"),'DEF_SELF_SCOUT_IMPORT'!$D$42:$D$1040,SUBSTITUTE(SUBSTITUTE(SUBSTITUTE($P1479,"~","~~"),"*","~*"),"?","~?"),'DEF_SELF_SCOUT_IMPORT'!$H$42:$H$1040,"DROPBACK")/$C1479)</f>
        <v>1.0</v>
      </c>
      <c r="I1479" s="14" t="str">
        <f>IF(C1479=0,"",IF(C1479&lt;=2,"TRACK",IF(C1479=3,"LOW",IF(C1479&lt;=6,"MEDIUM","HIGH"))))</f>
        <v>TRACK</v>
      </c>
      <c r="J1479" s="11">
        <f>IF(C1479=0,"",ROUND(D1479*70+(1-E1479)*20+MAX(0,MIN(1,(10-F1479)/10))*10,1))</f>
        <v>0.0</v>
      </c>
      <c r="K1479" s="14" t="str">
        <f>IF(C1479=0,"No Evidence",IF(C1479&lt;=2,IF(E1479&gt;0,"Explosive Alert","Track Only"),IF(C1479=3,"Sample Watch",IF(E1479&gt;=START_HERE!$B$31,"Explosive Alert",IF(J1479&gt;=80,"Strong Candidate",IF(J1479&gt;=65,"Good Candidate",IF(J1479&gt;=50,"Mixed / Review","Problem Call")))))))</f>
        <v>Explosive Alert</v>
      </c>
      <c r="L1479" s="9" t="str">
        <f>IF(COUNTIFS('DEF_SELF_SCOUT_IMPORT'!$L$42:$L$1040,"Y",'DEF_SELF_SCOUT_IMPORT'!$E$42:$E$1040,SUBSTITUTE(SUBSTITUTE(SUBSTITUTE($B1479,"~","~~"),"*","~*"),"?","~?"),'DEF_SELF_SCOUT_IMPORT'!$Q$42:$Q$1040,SUBSTITUTE(SUBSTITUTE(SUBSTITUTE($M1479,"~","~~"),"*","~*"),"?","~?"),'DEF_SELF_SCOUT_IMPORT'!$F$42:$F$1040,SUBSTITUTE(SUBSTITUTE(SUBSTITUTE($N1479,"~","~~"),"*","~*"),"?","~?"),'DEF_SELF_SCOUT_IMPORT'!$D$42:$D$1040,SUBSTITUTE(SUBSTITUTE(SUBSTITUTE($P1479,"~","~~"),"*","~*"),"?","~?"),'DEF_SELF_SCOUT_IMPORT'!$J$42:$J$1040,"")&gt;0,"Unscored clean outcome; review result tags before using score.",IF(C1479=0,"No matching defensive reps; film confirmation needed.",IF(K1479="Explosive Alert","Explosive risk; review clips before using as answer.",IF(C1479&lt;=2,"Track only; not enough sample.",IF(C1479=3,IF(E1479&gt;0,"Sample watch with explosive exposure; review clips and build the sample.",IF(J1479&gt;=65,"Good signal, but sample is limited.","Sample watch; review clips and build the sample.")),IF(K1479="Problem Call","Problem area; practice or call-sheet review.",IF(K1479="Strong Candidate","Strong call-fit candidate; confirm on film.",IF(K1479="Good Candidate","Good call-fit signal; confirm on film.","Mixed signal; review fit and execution on film."))))))))</f>
        <v>Explosive risk; review clips before using as answer.</v>
      </c>
      <c r="M1479" s="8" t="s">
        <v>107</v>
      </c>
      <c r="N1479" s="8" t="s">
        <v>120</v>
      </c>
      <c r="O1479" s="8"/>
      <c r="P1479" s="8" t="s">
        <v>449</v>
      </c>
      <c r="Q1479" s="8"/>
      <c r="R1479" s="8" t="s">
        <v>661</v>
      </c>
      <c r="S1479" s="2" t="s">
        <v>670</v>
      </c>
      <c r="T1479" s="2">
        <f>IF(C1479=0,0,IF(C1479&gt;=CALL_LOOKUP_BOARD!$B$7,IF(OR(K1479="Problem Call",K1479="Explosive Alert"),10000000,20000000),0)+IF(C1479&gt;=CALL_LOOKUP_BOARD!$B$7,J1479*1000+MIN(C1479,999),C1479*1000+J1479)+0.00996800)</f>
        <v>1000.009968</v>
      </c>
      <c r="U1479" s="2">
        <f>IF(C1479=0,"",IF(COUNTIFS($S$1448:$S$1491,SUBSTITUTE(SUBSTITUTE(SUBSTITUTE(S1479,"~","~~"),"*","~*"),"?","~?"),$T$1448:$T$1491,"&gt;"&amp;T1479)=0,S1479,""))</f>
        <v/>
      </c>
    </row>
    <row r="1480" spans="1:21" ht="38" customHeight="1">
      <c r="A1480" s="8" t="s">
        <v>669</v>
      </c>
      <c r="B1480" s="8" t="s">
        <v>42</v>
      </c>
      <c r="C1480" s="12">
        <f>COUNTIFS('DEF_SELF_SCOUT_IMPORT'!$L$42:$L$1040,"Y",'DEF_SELF_SCOUT_IMPORT'!$E$42:$E$1040,SUBSTITUTE(SUBSTITUTE(SUBSTITUTE($B1480,"~","~~"),"*","~*"),"?","~?"),'DEF_SELF_SCOUT_IMPORT'!$Q$42:$Q$1040,SUBSTITUTE(SUBSTITUTE(SUBSTITUTE($M1480,"~","~~"),"*","~*"),"?","~?"),'DEF_SELF_SCOUT_IMPORT'!$F$42:$F$1040,SUBSTITUTE(SUBSTITUTE(SUBSTITUTE($N1480,"~","~~"),"*","~*"),"?","~?"),'DEF_SELF_SCOUT_IMPORT'!$D$42:$D$1040,SUBSTITUTE(SUBSTITUTE(SUBSTITUTE($P1480,"~","~~"),"*","~*"),"?","~?"))</f>
        <v>1</v>
      </c>
      <c r="D1480" s="10">
        <f>IF($C1480=0,"",SUMIFS('DEF_SELF_SCOUT_IMPORT'!$J$42:$J$1040,'DEF_SELF_SCOUT_IMPORT'!$L$42:$L$1040,"Y",'DEF_SELF_SCOUT_IMPORT'!$E$42:$E$1040,SUBSTITUTE(SUBSTITUTE(SUBSTITUTE($B1480,"~","~~"),"*","~*"),"?","~?"),'DEF_SELF_SCOUT_IMPORT'!$Q$42:$Q$1040,SUBSTITUTE(SUBSTITUTE(SUBSTITUTE($M1480,"~","~~"),"*","~*"),"?","~?"),'DEF_SELF_SCOUT_IMPORT'!$F$42:$F$1040,SUBSTITUTE(SUBSTITUTE(SUBSTITUTE($N1480,"~","~~"),"*","~*"),"?","~?"),'DEF_SELF_SCOUT_IMPORT'!$D$42:$D$1040,SUBSTITUTE(SUBSTITUTE(SUBSTITUTE($P1480,"~","~~"),"*","~*"),"?","~?"))/$C1480)</f>
        <v>0.0</v>
      </c>
      <c r="E1480" s="10">
        <f>IF($C1480=0,"",SUMIFS('DEF_SELF_SCOUT_IMPORT'!$K$42:$K$1040,'DEF_SELF_SCOUT_IMPORT'!$L$42:$L$1040,"Y",'DEF_SELF_SCOUT_IMPORT'!$E$42:$E$1040,SUBSTITUTE(SUBSTITUTE(SUBSTITUTE($B1480,"~","~~"),"*","~*"),"?","~?"),'DEF_SELF_SCOUT_IMPORT'!$Q$42:$Q$1040,SUBSTITUTE(SUBSTITUTE(SUBSTITUTE($M1480,"~","~~"),"*","~*"),"?","~?"),'DEF_SELF_SCOUT_IMPORT'!$F$42:$F$1040,SUBSTITUTE(SUBSTITUTE(SUBSTITUTE($N1480,"~","~~"),"*","~*"),"?","~?"),'DEF_SELF_SCOUT_IMPORT'!$D$42:$D$1040,SUBSTITUTE(SUBSTITUTE(SUBSTITUTE($P1480,"~","~~"),"*","~*"),"?","~?"))/$C1480)</f>
        <v>0.0</v>
      </c>
      <c r="F1480" s="11">
        <f>IF($C1480=0,"",AVERAGEIFS('DEF_SELF_SCOUT_IMPORT'!$I$42:$I$1040,'DEF_SELF_SCOUT_IMPORT'!$L$42:$L$1040,"Y",'DEF_SELF_SCOUT_IMPORT'!$E$42:$E$1040,SUBSTITUTE(SUBSTITUTE(SUBSTITUTE($B1480,"~","~~"),"*","~*"),"?","~?"),'DEF_SELF_SCOUT_IMPORT'!$Q$42:$Q$1040,SUBSTITUTE(SUBSTITUTE(SUBSTITUTE($M1480,"~","~~"),"*","~*"),"?","~?"),'DEF_SELF_SCOUT_IMPORT'!$F$42:$F$1040,SUBSTITUTE(SUBSTITUTE(SUBSTITUTE($N1480,"~","~~"),"*","~*"),"?","~?"),'DEF_SELF_SCOUT_IMPORT'!$D$42:$D$1040,SUBSTITUTE(SUBSTITUTE(SUBSTITUTE($P1480,"~","~~"),"*","~*"),"?","~?")))</f>
        <v>8.0</v>
      </c>
      <c r="G1480" s="10">
        <f>IF($C1480=0,"",COUNTIFS('DEF_SELF_SCOUT_IMPORT'!$L$42:$L$1040,"Y",'DEF_SELF_SCOUT_IMPORT'!$E$42:$E$1040,SUBSTITUTE(SUBSTITUTE(SUBSTITUTE($B1480,"~","~~"),"*","~*"),"?","~?"),'DEF_SELF_SCOUT_IMPORT'!$Q$42:$Q$1040,SUBSTITUTE(SUBSTITUTE(SUBSTITUTE($M1480,"~","~~"),"*","~*"),"?","~?"),'DEF_SELF_SCOUT_IMPORT'!$F$42:$F$1040,SUBSTITUTE(SUBSTITUTE(SUBSTITUTE($N1480,"~","~~"),"*","~*"),"?","~?"),'DEF_SELF_SCOUT_IMPORT'!$D$42:$D$1040,SUBSTITUTE(SUBSTITUTE(SUBSTITUTE($P1480,"~","~~"),"*","~*"),"?","~?"),'DEF_SELF_SCOUT_IMPORT'!$H$42:$H$1040,"RUSH")/$C1480)</f>
        <v>0.0</v>
      </c>
      <c r="H1480" s="10">
        <f>IF($C1480=0,"",COUNTIFS('DEF_SELF_SCOUT_IMPORT'!$L$42:$L$1040,"Y",'DEF_SELF_SCOUT_IMPORT'!$E$42:$E$1040,SUBSTITUTE(SUBSTITUTE(SUBSTITUTE($B1480,"~","~~"),"*","~*"),"?","~?"),'DEF_SELF_SCOUT_IMPORT'!$Q$42:$Q$1040,SUBSTITUTE(SUBSTITUTE(SUBSTITUTE($M1480,"~","~~"),"*","~*"),"?","~?"),'DEF_SELF_SCOUT_IMPORT'!$F$42:$F$1040,SUBSTITUTE(SUBSTITUTE(SUBSTITUTE($N1480,"~","~~"),"*","~*"),"?","~?"),'DEF_SELF_SCOUT_IMPORT'!$D$42:$D$1040,SUBSTITUTE(SUBSTITUTE(SUBSTITUTE($P1480,"~","~~"),"*","~*"),"?","~?"),'DEF_SELF_SCOUT_IMPORT'!$H$42:$H$1040,"DROPBACK")/$C1480)</f>
        <v>1.0</v>
      </c>
      <c r="I1480" s="14" t="str">
        <f>IF(C1480=0,"",IF(C1480&lt;=2,"TRACK",IF(C1480=3,"LOW",IF(C1480&lt;=6,"MEDIUM","HIGH"))))</f>
        <v>TRACK</v>
      </c>
      <c r="J1480" s="11">
        <f>IF(C1480=0,"",ROUND(D1480*70+(1-E1480)*20+MAX(0,MIN(1,(10-F1480)/10))*10,1))</f>
        <v>22.0</v>
      </c>
      <c r="K1480" s="14" t="str">
        <f>IF(C1480=0,"No Evidence",IF(C1480&lt;=2,IF(E1480&gt;0,"Explosive Alert","Track Only"),IF(C1480=3,"Sample Watch",IF(E1480&gt;=START_HERE!$B$31,"Explosive Alert",IF(J1480&gt;=80,"Strong Candidate",IF(J1480&gt;=65,"Good Candidate",IF(J1480&gt;=50,"Mixed / Review","Problem Call")))))))</f>
        <v>Track Only</v>
      </c>
      <c r="L1480" s="9" t="str">
        <f>IF(COUNTIFS('DEF_SELF_SCOUT_IMPORT'!$L$42:$L$1040,"Y",'DEF_SELF_SCOUT_IMPORT'!$E$42:$E$1040,SUBSTITUTE(SUBSTITUTE(SUBSTITUTE($B1480,"~","~~"),"*","~*"),"?","~?"),'DEF_SELF_SCOUT_IMPORT'!$Q$42:$Q$1040,SUBSTITUTE(SUBSTITUTE(SUBSTITUTE($M1480,"~","~~"),"*","~*"),"?","~?"),'DEF_SELF_SCOUT_IMPORT'!$F$42:$F$1040,SUBSTITUTE(SUBSTITUTE(SUBSTITUTE($N1480,"~","~~"),"*","~*"),"?","~?"),'DEF_SELF_SCOUT_IMPORT'!$D$42:$D$1040,SUBSTITUTE(SUBSTITUTE(SUBSTITUTE($P1480,"~","~~"),"*","~*"),"?","~?"),'DEF_SELF_SCOUT_IMPORT'!$J$42:$J$1040,"")&gt;0,"Unscored clean outcome; review result tags before using score.",IF(C1480=0,"No matching defensive reps; film confirmation needed.",IF(K1480="Explosive Alert","Explosive risk; review clips before using as answer.",IF(C1480&lt;=2,"Track only; not enough sample.",IF(C1480=3,IF(E1480&gt;0,"Sample watch with explosive exposure; review clips and build the sample.",IF(J1480&gt;=65,"Good signal, but sample is limited.","Sample watch; review clips and build the sample.")),IF(K1480="Problem Call","Problem area; practice or call-sheet review.",IF(K1480="Strong Candidate","Strong call-fit candidate; confirm on film.",IF(K1480="Good Candidate","Good call-fit signal; confirm on film.","Mixed signal; review fit and execution on film."))))))))</f>
        <v>Track only; not enough sample.</v>
      </c>
      <c r="M1480" s="8" t="s">
        <v>107</v>
      </c>
      <c r="N1480" s="8" t="s">
        <v>120</v>
      </c>
      <c r="O1480" s="8"/>
      <c r="P1480" s="8" t="s">
        <v>449</v>
      </c>
      <c r="Q1480" s="8"/>
      <c r="R1480" s="8" t="s">
        <v>661</v>
      </c>
      <c r="S1480" s="2" t="s">
        <v>670</v>
      </c>
      <c r="T1480" s="2">
        <f>IF(C1480=0,0,IF(C1480&gt;=CALL_LOOKUP_BOARD!$B$7,IF(OR(K1480="Problem Call",K1480="Explosive Alert"),10000000,20000000),0)+IF(C1480&gt;=CALL_LOOKUP_BOARD!$B$7,J1480*1000+MIN(C1480,999),C1480*1000+J1480)+0.00996700)</f>
        <v>1022.009967</v>
      </c>
      <c r="U1480" s="2">
        <f>IF(C1480=0,"",IF(COUNTIFS($S$1448:$S$1491,SUBSTITUTE(SUBSTITUTE(SUBSTITUTE(S1480,"~","~~"),"*","~*"),"?","~?"),$T$1448:$T$1491,"&gt;"&amp;T1480)=0,S1480,""))</f>
        <v/>
      </c>
    </row>
    <row r="1481" spans="1:21" ht="38" customHeight="1">
      <c r="A1481" s="8" t="s">
        <v>669</v>
      </c>
      <c r="B1481" s="8" t="s">
        <v>97</v>
      </c>
      <c r="C1481" s="12">
        <f>COUNTIFS('DEF_SELF_SCOUT_IMPORT'!$L$42:$L$1040,"Y",'DEF_SELF_SCOUT_IMPORT'!$E$42:$E$1040,SUBSTITUTE(SUBSTITUTE(SUBSTITUTE($B1481,"~","~~"),"*","~*"),"?","~?"),'DEF_SELF_SCOUT_IMPORT'!$Q$42:$Q$1040,SUBSTITUTE(SUBSTITUTE(SUBSTITUTE($M1481,"~","~~"),"*","~*"),"?","~?"),'DEF_SELF_SCOUT_IMPORT'!$F$42:$F$1040,SUBSTITUTE(SUBSTITUTE(SUBSTITUTE($N1481,"~","~~"),"*","~*"),"?","~?"),'DEF_SELF_SCOUT_IMPORT'!$D$42:$D$1040,SUBSTITUTE(SUBSTITUTE(SUBSTITUTE($P1481,"~","~~"),"*","~*"),"?","~?"))</f>
        <v>1</v>
      </c>
      <c r="D1481" s="10">
        <f>IF($C1481=0,"",SUMIFS('DEF_SELF_SCOUT_IMPORT'!$J$42:$J$1040,'DEF_SELF_SCOUT_IMPORT'!$L$42:$L$1040,"Y",'DEF_SELF_SCOUT_IMPORT'!$E$42:$E$1040,SUBSTITUTE(SUBSTITUTE(SUBSTITUTE($B1481,"~","~~"),"*","~*"),"?","~?"),'DEF_SELF_SCOUT_IMPORT'!$Q$42:$Q$1040,SUBSTITUTE(SUBSTITUTE(SUBSTITUTE($M1481,"~","~~"),"*","~*"),"?","~?"),'DEF_SELF_SCOUT_IMPORT'!$F$42:$F$1040,SUBSTITUTE(SUBSTITUTE(SUBSTITUTE($N1481,"~","~~"),"*","~*"),"?","~?"),'DEF_SELF_SCOUT_IMPORT'!$D$42:$D$1040,SUBSTITUTE(SUBSTITUTE(SUBSTITUTE($P1481,"~","~~"),"*","~*"),"?","~?"))/$C1481)</f>
        <v>0.0</v>
      </c>
      <c r="E1481" s="10">
        <f>IF($C1481=0,"",SUMIFS('DEF_SELF_SCOUT_IMPORT'!$K$42:$K$1040,'DEF_SELF_SCOUT_IMPORT'!$L$42:$L$1040,"Y",'DEF_SELF_SCOUT_IMPORT'!$E$42:$E$1040,SUBSTITUTE(SUBSTITUTE(SUBSTITUTE($B1481,"~","~~"),"*","~*"),"?","~?"),'DEF_SELF_SCOUT_IMPORT'!$Q$42:$Q$1040,SUBSTITUTE(SUBSTITUTE(SUBSTITUTE($M1481,"~","~~"),"*","~*"),"?","~?"),'DEF_SELF_SCOUT_IMPORT'!$F$42:$F$1040,SUBSTITUTE(SUBSTITUTE(SUBSTITUTE($N1481,"~","~~"),"*","~*"),"?","~?"),'DEF_SELF_SCOUT_IMPORT'!$D$42:$D$1040,SUBSTITUTE(SUBSTITUTE(SUBSTITUTE($P1481,"~","~~"),"*","~*"),"?","~?"))/$C1481)</f>
        <v>1.0</v>
      </c>
      <c r="F1481" s="11">
        <f>IF($C1481=0,"",AVERAGEIFS('DEF_SELF_SCOUT_IMPORT'!$I$42:$I$1040,'DEF_SELF_SCOUT_IMPORT'!$L$42:$L$1040,"Y",'DEF_SELF_SCOUT_IMPORT'!$E$42:$E$1040,SUBSTITUTE(SUBSTITUTE(SUBSTITUTE($B1481,"~","~~"),"*","~*"),"?","~?"),'DEF_SELF_SCOUT_IMPORT'!$Q$42:$Q$1040,SUBSTITUTE(SUBSTITUTE(SUBSTITUTE($M1481,"~","~~"),"*","~*"),"?","~?"),'DEF_SELF_SCOUT_IMPORT'!$F$42:$F$1040,SUBSTITUTE(SUBSTITUTE(SUBSTITUTE($N1481,"~","~~"),"*","~*"),"?","~?"),'DEF_SELF_SCOUT_IMPORT'!$D$42:$D$1040,SUBSTITUTE(SUBSTITUTE(SUBSTITUTE($P1481,"~","~~"),"*","~*"),"?","~?")))</f>
        <v>26.0</v>
      </c>
      <c r="G1481" s="10">
        <f>IF($C1481=0,"",COUNTIFS('DEF_SELF_SCOUT_IMPORT'!$L$42:$L$1040,"Y",'DEF_SELF_SCOUT_IMPORT'!$E$42:$E$1040,SUBSTITUTE(SUBSTITUTE(SUBSTITUTE($B1481,"~","~~"),"*","~*"),"?","~?"),'DEF_SELF_SCOUT_IMPORT'!$Q$42:$Q$1040,SUBSTITUTE(SUBSTITUTE(SUBSTITUTE($M1481,"~","~~"),"*","~*"),"?","~?"),'DEF_SELF_SCOUT_IMPORT'!$F$42:$F$1040,SUBSTITUTE(SUBSTITUTE(SUBSTITUTE($N1481,"~","~~"),"*","~*"),"?","~?"),'DEF_SELF_SCOUT_IMPORT'!$D$42:$D$1040,SUBSTITUTE(SUBSTITUTE(SUBSTITUTE($P1481,"~","~~"),"*","~*"),"?","~?"),'DEF_SELF_SCOUT_IMPORT'!$H$42:$H$1040,"RUSH")/$C1481)</f>
        <v>0.0</v>
      </c>
      <c r="H1481" s="10">
        <f>IF($C1481=0,"",COUNTIFS('DEF_SELF_SCOUT_IMPORT'!$L$42:$L$1040,"Y",'DEF_SELF_SCOUT_IMPORT'!$E$42:$E$1040,SUBSTITUTE(SUBSTITUTE(SUBSTITUTE($B1481,"~","~~"),"*","~*"),"?","~?"),'DEF_SELF_SCOUT_IMPORT'!$Q$42:$Q$1040,SUBSTITUTE(SUBSTITUTE(SUBSTITUTE($M1481,"~","~~"),"*","~*"),"?","~?"),'DEF_SELF_SCOUT_IMPORT'!$F$42:$F$1040,SUBSTITUTE(SUBSTITUTE(SUBSTITUTE($N1481,"~","~~"),"*","~*"),"?","~?"),'DEF_SELF_SCOUT_IMPORT'!$D$42:$D$1040,SUBSTITUTE(SUBSTITUTE(SUBSTITUTE($P1481,"~","~~"),"*","~*"),"?","~?"),'DEF_SELF_SCOUT_IMPORT'!$H$42:$H$1040,"DROPBACK")/$C1481)</f>
        <v>1.0</v>
      </c>
      <c r="I1481" s="14" t="str">
        <f>IF(C1481=0,"",IF(C1481&lt;=2,"TRACK",IF(C1481=3,"LOW",IF(C1481&lt;=6,"MEDIUM","HIGH"))))</f>
        <v>TRACK</v>
      </c>
      <c r="J1481" s="11">
        <f>IF(C1481=0,"",ROUND(D1481*70+(1-E1481)*20+MAX(0,MIN(1,(10-F1481)/10))*10,1))</f>
        <v>0.0</v>
      </c>
      <c r="K1481" s="14" t="str">
        <f>IF(C1481=0,"No Evidence",IF(C1481&lt;=2,IF(E1481&gt;0,"Explosive Alert","Track Only"),IF(C1481=3,"Sample Watch",IF(E1481&gt;=START_HERE!$B$31,"Explosive Alert",IF(J1481&gt;=80,"Strong Candidate",IF(J1481&gt;=65,"Good Candidate",IF(J1481&gt;=50,"Mixed / Review","Problem Call")))))))</f>
        <v>Explosive Alert</v>
      </c>
      <c r="L1481" s="9" t="str">
        <f>IF(COUNTIFS('DEF_SELF_SCOUT_IMPORT'!$L$42:$L$1040,"Y",'DEF_SELF_SCOUT_IMPORT'!$E$42:$E$1040,SUBSTITUTE(SUBSTITUTE(SUBSTITUTE($B1481,"~","~~"),"*","~*"),"?","~?"),'DEF_SELF_SCOUT_IMPORT'!$Q$42:$Q$1040,SUBSTITUTE(SUBSTITUTE(SUBSTITUTE($M1481,"~","~~"),"*","~*"),"?","~?"),'DEF_SELF_SCOUT_IMPORT'!$F$42:$F$1040,SUBSTITUTE(SUBSTITUTE(SUBSTITUTE($N1481,"~","~~"),"*","~*"),"?","~?"),'DEF_SELF_SCOUT_IMPORT'!$D$42:$D$1040,SUBSTITUTE(SUBSTITUTE(SUBSTITUTE($P1481,"~","~~"),"*","~*"),"?","~?"),'DEF_SELF_SCOUT_IMPORT'!$J$42:$J$1040,"")&gt;0,"Unscored clean outcome; review result tags before using score.",IF(C1481=0,"No matching defensive reps; film confirmation needed.",IF(K1481="Explosive Alert","Explosive risk; review clips before using as answer.",IF(C1481&lt;=2,"Track only; not enough sample.",IF(C1481=3,IF(E1481&gt;0,"Sample watch with explosive exposure; review clips and build the sample.",IF(J1481&gt;=65,"Good signal, but sample is limited.","Sample watch; review clips and build the sample.")),IF(K1481="Problem Call","Problem area; practice or call-sheet review.",IF(K1481="Strong Candidate","Strong call-fit candidate; confirm on film.",IF(K1481="Good Candidate","Good call-fit signal; confirm on film.","Mixed signal; review fit and execution on film."))))))))</f>
        <v>Explosive risk; review clips before using as answer.</v>
      </c>
      <c r="M1481" s="8" t="s">
        <v>107</v>
      </c>
      <c r="N1481" s="8" t="s">
        <v>120</v>
      </c>
      <c r="O1481" s="8"/>
      <c r="P1481" s="8" t="s">
        <v>449</v>
      </c>
      <c r="Q1481" s="8"/>
      <c r="R1481" s="8" t="s">
        <v>661</v>
      </c>
      <c r="S1481" s="2" t="s">
        <v>670</v>
      </c>
      <c r="T1481" s="2">
        <f>IF(C1481=0,0,IF(C1481&gt;=CALL_LOOKUP_BOARD!$B$7,IF(OR(K1481="Problem Call",K1481="Explosive Alert"),10000000,20000000),0)+IF(C1481&gt;=CALL_LOOKUP_BOARD!$B$7,J1481*1000+MIN(C1481,999),C1481*1000+J1481)+0.00996600)</f>
        <v>1000.009966</v>
      </c>
      <c r="U1481" s="2">
        <f>IF(C1481=0,"",IF(COUNTIFS($S$1448:$S$1491,SUBSTITUTE(SUBSTITUTE(SUBSTITUTE(S1481,"~","~~"),"*","~*"),"?","~?"),$T$1448:$T$1491,"&gt;"&amp;T1481)=0,S1481,""))</f>
        <v/>
      </c>
    </row>
    <row r="1482" spans="1:21" ht="38" customHeight="1">
      <c r="A1482" s="8" t="s">
        <v>669</v>
      </c>
      <c r="B1482" s="8" t="s">
        <v>99</v>
      </c>
      <c r="C1482" s="12">
        <f>COUNTIFS('DEF_SELF_SCOUT_IMPORT'!$L$42:$L$1040,"Y",'DEF_SELF_SCOUT_IMPORT'!$E$42:$E$1040,SUBSTITUTE(SUBSTITUTE(SUBSTITUTE($B1482,"~","~~"),"*","~*"),"?","~?"),'DEF_SELF_SCOUT_IMPORT'!$Q$42:$Q$1040,SUBSTITUTE(SUBSTITUTE(SUBSTITUTE($M1482,"~","~~"),"*","~*"),"?","~?"),'DEF_SELF_SCOUT_IMPORT'!$F$42:$F$1040,SUBSTITUTE(SUBSTITUTE(SUBSTITUTE($N1482,"~","~~"),"*","~*"),"?","~?"),'DEF_SELF_SCOUT_IMPORT'!$D$42:$D$1040,SUBSTITUTE(SUBSTITUTE(SUBSTITUTE($P1482,"~","~~"),"*","~*"),"?","~?"))</f>
        <v>1</v>
      </c>
      <c r="D1482" s="10">
        <f>IF($C1482=0,"",SUMIFS('DEF_SELF_SCOUT_IMPORT'!$J$42:$J$1040,'DEF_SELF_SCOUT_IMPORT'!$L$42:$L$1040,"Y",'DEF_SELF_SCOUT_IMPORT'!$E$42:$E$1040,SUBSTITUTE(SUBSTITUTE(SUBSTITUTE($B1482,"~","~~"),"*","~*"),"?","~?"),'DEF_SELF_SCOUT_IMPORT'!$Q$42:$Q$1040,SUBSTITUTE(SUBSTITUTE(SUBSTITUTE($M1482,"~","~~"),"*","~*"),"?","~?"),'DEF_SELF_SCOUT_IMPORT'!$F$42:$F$1040,SUBSTITUTE(SUBSTITUTE(SUBSTITUTE($N1482,"~","~~"),"*","~*"),"?","~?"),'DEF_SELF_SCOUT_IMPORT'!$D$42:$D$1040,SUBSTITUTE(SUBSTITUTE(SUBSTITUTE($P1482,"~","~~"),"*","~*"),"?","~?"))/$C1482)</f>
        <v>0.0</v>
      </c>
      <c r="E1482" s="10">
        <f>IF($C1482=0,"",SUMIFS('DEF_SELF_SCOUT_IMPORT'!$K$42:$K$1040,'DEF_SELF_SCOUT_IMPORT'!$L$42:$L$1040,"Y",'DEF_SELF_SCOUT_IMPORT'!$E$42:$E$1040,SUBSTITUTE(SUBSTITUTE(SUBSTITUTE($B1482,"~","~~"),"*","~*"),"?","~?"),'DEF_SELF_SCOUT_IMPORT'!$Q$42:$Q$1040,SUBSTITUTE(SUBSTITUTE(SUBSTITUTE($M1482,"~","~~"),"*","~*"),"?","~?"),'DEF_SELF_SCOUT_IMPORT'!$F$42:$F$1040,SUBSTITUTE(SUBSTITUTE(SUBSTITUTE($N1482,"~","~~"),"*","~*"),"?","~?"),'DEF_SELF_SCOUT_IMPORT'!$D$42:$D$1040,SUBSTITUTE(SUBSTITUTE(SUBSTITUTE($P1482,"~","~~"),"*","~*"),"?","~?"))/$C1482)</f>
        <v>0.0</v>
      </c>
      <c r="F1482" s="11">
        <f>IF($C1482=0,"",AVERAGEIFS('DEF_SELF_SCOUT_IMPORT'!$I$42:$I$1040,'DEF_SELF_SCOUT_IMPORT'!$L$42:$L$1040,"Y",'DEF_SELF_SCOUT_IMPORT'!$E$42:$E$1040,SUBSTITUTE(SUBSTITUTE(SUBSTITUTE($B1482,"~","~~"),"*","~*"),"?","~?"),'DEF_SELF_SCOUT_IMPORT'!$Q$42:$Q$1040,SUBSTITUTE(SUBSTITUTE(SUBSTITUTE($M1482,"~","~~"),"*","~*"),"?","~?"),'DEF_SELF_SCOUT_IMPORT'!$F$42:$F$1040,SUBSTITUTE(SUBSTITUTE(SUBSTITUTE($N1482,"~","~~"),"*","~*"),"?","~?"),'DEF_SELF_SCOUT_IMPORT'!$D$42:$D$1040,SUBSTITUTE(SUBSTITUTE(SUBSTITUTE($P1482,"~","~~"),"*","~*"),"?","~?")))</f>
        <v>12.0</v>
      </c>
      <c r="G1482" s="10">
        <f>IF($C1482=0,"",COUNTIFS('DEF_SELF_SCOUT_IMPORT'!$L$42:$L$1040,"Y",'DEF_SELF_SCOUT_IMPORT'!$E$42:$E$1040,SUBSTITUTE(SUBSTITUTE(SUBSTITUTE($B1482,"~","~~"),"*","~*"),"?","~?"),'DEF_SELF_SCOUT_IMPORT'!$Q$42:$Q$1040,SUBSTITUTE(SUBSTITUTE(SUBSTITUTE($M1482,"~","~~"),"*","~*"),"?","~?"),'DEF_SELF_SCOUT_IMPORT'!$F$42:$F$1040,SUBSTITUTE(SUBSTITUTE(SUBSTITUTE($N1482,"~","~~"),"*","~*"),"?","~?"),'DEF_SELF_SCOUT_IMPORT'!$D$42:$D$1040,SUBSTITUTE(SUBSTITUTE(SUBSTITUTE($P1482,"~","~~"),"*","~*"),"?","~?"),'DEF_SELF_SCOUT_IMPORT'!$H$42:$H$1040,"RUSH")/$C1482)</f>
        <v>0.0</v>
      </c>
      <c r="H1482" s="10">
        <f>IF($C1482=0,"",COUNTIFS('DEF_SELF_SCOUT_IMPORT'!$L$42:$L$1040,"Y",'DEF_SELF_SCOUT_IMPORT'!$E$42:$E$1040,SUBSTITUTE(SUBSTITUTE(SUBSTITUTE($B1482,"~","~~"),"*","~*"),"?","~?"),'DEF_SELF_SCOUT_IMPORT'!$Q$42:$Q$1040,SUBSTITUTE(SUBSTITUTE(SUBSTITUTE($M1482,"~","~~"),"*","~*"),"?","~?"),'DEF_SELF_SCOUT_IMPORT'!$F$42:$F$1040,SUBSTITUTE(SUBSTITUTE(SUBSTITUTE($N1482,"~","~~"),"*","~*"),"?","~?"),'DEF_SELF_SCOUT_IMPORT'!$D$42:$D$1040,SUBSTITUTE(SUBSTITUTE(SUBSTITUTE($P1482,"~","~~"),"*","~*"),"?","~?"),'DEF_SELF_SCOUT_IMPORT'!$H$42:$H$1040,"DROPBACK")/$C1482)</f>
        <v>1.0</v>
      </c>
      <c r="I1482" s="14" t="str">
        <f>IF(C1482=0,"",IF(C1482&lt;=2,"TRACK",IF(C1482=3,"LOW",IF(C1482&lt;=6,"MEDIUM","HIGH"))))</f>
        <v>TRACK</v>
      </c>
      <c r="J1482" s="11">
        <f>IF(C1482=0,"",ROUND(D1482*70+(1-E1482)*20+MAX(0,MIN(1,(10-F1482)/10))*10,1))</f>
        <v>20.0</v>
      </c>
      <c r="K1482" s="14" t="str">
        <f>IF(C1482=0,"No Evidence",IF(C1482&lt;=2,IF(E1482&gt;0,"Explosive Alert","Track Only"),IF(C1482=3,"Sample Watch",IF(E1482&gt;=START_HERE!$B$31,"Explosive Alert",IF(J1482&gt;=80,"Strong Candidate",IF(J1482&gt;=65,"Good Candidate",IF(J1482&gt;=50,"Mixed / Review","Problem Call")))))))</f>
        <v>Track Only</v>
      </c>
      <c r="L1482" s="9" t="str">
        <f>IF(COUNTIFS('DEF_SELF_SCOUT_IMPORT'!$L$42:$L$1040,"Y",'DEF_SELF_SCOUT_IMPORT'!$E$42:$E$1040,SUBSTITUTE(SUBSTITUTE(SUBSTITUTE($B1482,"~","~~"),"*","~*"),"?","~?"),'DEF_SELF_SCOUT_IMPORT'!$Q$42:$Q$1040,SUBSTITUTE(SUBSTITUTE(SUBSTITUTE($M1482,"~","~~"),"*","~*"),"?","~?"),'DEF_SELF_SCOUT_IMPORT'!$F$42:$F$1040,SUBSTITUTE(SUBSTITUTE(SUBSTITUTE($N1482,"~","~~"),"*","~*"),"?","~?"),'DEF_SELF_SCOUT_IMPORT'!$D$42:$D$1040,SUBSTITUTE(SUBSTITUTE(SUBSTITUTE($P1482,"~","~~"),"*","~*"),"?","~?"),'DEF_SELF_SCOUT_IMPORT'!$J$42:$J$1040,"")&gt;0,"Unscored clean outcome; review result tags before using score.",IF(C1482=0,"No matching defensive reps; film confirmation needed.",IF(K1482="Explosive Alert","Explosive risk; review clips before using as answer.",IF(C1482&lt;=2,"Track only; not enough sample.",IF(C1482=3,IF(E1482&gt;0,"Sample watch with explosive exposure; review clips and build the sample.",IF(J1482&gt;=65,"Good signal, but sample is limited.","Sample watch; review clips and build the sample.")),IF(K1482="Problem Call","Problem area; practice or call-sheet review.",IF(K1482="Strong Candidate","Strong call-fit candidate; confirm on film.",IF(K1482="Good Candidate","Good call-fit signal; confirm on film.","Mixed signal; review fit and execution on film."))))))))</f>
        <v>Track only; not enough sample.</v>
      </c>
      <c r="M1482" s="8" t="s">
        <v>107</v>
      </c>
      <c r="N1482" s="8" t="s">
        <v>120</v>
      </c>
      <c r="O1482" s="8"/>
      <c r="P1482" s="8" t="s">
        <v>449</v>
      </c>
      <c r="Q1482" s="8"/>
      <c r="R1482" s="8" t="s">
        <v>661</v>
      </c>
      <c r="S1482" s="2" t="s">
        <v>670</v>
      </c>
      <c r="T1482" s="2">
        <f>IF(C1482=0,0,IF(C1482&gt;=CALL_LOOKUP_BOARD!$B$7,IF(OR(K1482="Problem Call",K1482="Explosive Alert"),10000000,20000000),0)+IF(C1482&gt;=CALL_LOOKUP_BOARD!$B$7,J1482*1000+MIN(C1482,999),C1482*1000+J1482)+0.00996500)</f>
        <v>1020.009965</v>
      </c>
      <c r="U1482" s="2">
        <f>IF(C1482=0,"",IF(COUNTIFS($S$1448:$S$1491,SUBSTITUTE(SUBSTITUTE(SUBSTITUTE(S1482,"~","~~"),"*","~*"),"?","~?"),$T$1448:$T$1491,"&gt;"&amp;T1482)=0,S1482,""))</f>
        <v/>
      </c>
    </row>
    <row r="1483" spans="1:21" ht="38" customHeight="1">
      <c r="A1483" s="8" t="s">
        <v>669</v>
      </c>
      <c r="B1483" s="8" t="s">
        <v>110</v>
      </c>
      <c r="C1483" s="12">
        <f>COUNTIFS('DEF_SELF_SCOUT_IMPORT'!$L$42:$L$1040,"Y",'DEF_SELF_SCOUT_IMPORT'!$E$42:$E$1040,SUBSTITUTE(SUBSTITUTE(SUBSTITUTE($B1483,"~","~~"),"*","~*"),"?","~?"),'DEF_SELF_SCOUT_IMPORT'!$Q$42:$Q$1040,SUBSTITUTE(SUBSTITUTE(SUBSTITUTE($M1483,"~","~~"),"*","~*"),"?","~?"),'DEF_SELF_SCOUT_IMPORT'!$F$42:$F$1040,SUBSTITUTE(SUBSTITUTE(SUBSTITUTE($N1483,"~","~~"),"*","~*"),"?","~?"),'DEF_SELF_SCOUT_IMPORT'!$D$42:$D$1040,SUBSTITUTE(SUBSTITUTE(SUBSTITUTE($P1483,"~","~~"),"*","~*"),"?","~?"))</f>
        <v>1</v>
      </c>
      <c r="D1483" s="10">
        <f>IF($C1483=0,"",SUMIFS('DEF_SELF_SCOUT_IMPORT'!$J$42:$J$1040,'DEF_SELF_SCOUT_IMPORT'!$L$42:$L$1040,"Y",'DEF_SELF_SCOUT_IMPORT'!$E$42:$E$1040,SUBSTITUTE(SUBSTITUTE(SUBSTITUTE($B1483,"~","~~"),"*","~*"),"?","~?"),'DEF_SELF_SCOUT_IMPORT'!$Q$42:$Q$1040,SUBSTITUTE(SUBSTITUTE(SUBSTITUTE($M1483,"~","~~"),"*","~*"),"?","~?"),'DEF_SELF_SCOUT_IMPORT'!$F$42:$F$1040,SUBSTITUTE(SUBSTITUTE(SUBSTITUTE($N1483,"~","~~"),"*","~*"),"?","~?"),'DEF_SELF_SCOUT_IMPORT'!$D$42:$D$1040,SUBSTITUTE(SUBSTITUTE(SUBSTITUTE($P1483,"~","~~"),"*","~*"),"?","~?"))/$C1483)</f>
        <v>0.0</v>
      </c>
      <c r="E1483" s="10">
        <f>IF($C1483=0,"",SUMIFS('DEF_SELF_SCOUT_IMPORT'!$K$42:$K$1040,'DEF_SELF_SCOUT_IMPORT'!$L$42:$L$1040,"Y",'DEF_SELF_SCOUT_IMPORT'!$E$42:$E$1040,SUBSTITUTE(SUBSTITUTE(SUBSTITUTE($B1483,"~","~~"),"*","~*"),"?","~?"),'DEF_SELF_SCOUT_IMPORT'!$Q$42:$Q$1040,SUBSTITUTE(SUBSTITUTE(SUBSTITUTE($M1483,"~","~~"),"*","~*"),"?","~?"),'DEF_SELF_SCOUT_IMPORT'!$F$42:$F$1040,SUBSTITUTE(SUBSTITUTE(SUBSTITUTE($N1483,"~","~~"),"*","~*"),"?","~?"),'DEF_SELF_SCOUT_IMPORT'!$D$42:$D$1040,SUBSTITUTE(SUBSTITUTE(SUBSTITUTE($P1483,"~","~~"),"*","~*"),"?","~?"))/$C1483)</f>
        <v>1.0</v>
      </c>
      <c r="F1483" s="11">
        <f>IF($C1483=0,"",AVERAGEIFS('DEF_SELF_SCOUT_IMPORT'!$I$42:$I$1040,'DEF_SELF_SCOUT_IMPORT'!$L$42:$L$1040,"Y",'DEF_SELF_SCOUT_IMPORT'!$E$42:$E$1040,SUBSTITUTE(SUBSTITUTE(SUBSTITUTE($B1483,"~","~~"),"*","~*"),"?","~?"),'DEF_SELF_SCOUT_IMPORT'!$Q$42:$Q$1040,SUBSTITUTE(SUBSTITUTE(SUBSTITUTE($M1483,"~","~~"),"*","~*"),"?","~?"),'DEF_SELF_SCOUT_IMPORT'!$F$42:$F$1040,SUBSTITUTE(SUBSTITUTE(SUBSTITUTE($N1483,"~","~~"),"*","~*"),"?","~?"),'DEF_SELF_SCOUT_IMPORT'!$D$42:$D$1040,SUBSTITUTE(SUBSTITUTE(SUBSTITUTE($P1483,"~","~~"),"*","~*"),"?","~?")))</f>
        <v>19.0</v>
      </c>
      <c r="G1483" s="10">
        <f>IF($C1483=0,"",COUNTIFS('DEF_SELF_SCOUT_IMPORT'!$L$42:$L$1040,"Y",'DEF_SELF_SCOUT_IMPORT'!$E$42:$E$1040,SUBSTITUTE(SUBSTITUTE(SUBSTITUTE($B1483,"~","~~"),"*","~*"),"?","~?"),'DEF_SELF_SCOUT_IMPORT'!$Q$42:$Q$1040,SUBSTITUTE(SUBSTITUTE(SUBSTITUTE($M1483,"~","~~"),"*","~*"),"?","~?"),'DEF_SELF_SCOUT_IMPORT'!$F$42:$F$1040,SUBSTITUTE(SUBSTITUTE(SUBSTITUTE($N1483,"~","~~"),"*","~*"),"?","~?"),'DEF_SELF_SCOUT_IMPORT'!$D$42:$D$1040,SUBSTITUTE(SUBSTITUTE(SUBSTITUTE($P1483,"~","~~"),"*","~*"),"?","~?"),'DEF_SELF_SCOUT_IMPORT'!$H$42:$H$1040,"RUSH")/$C1483)</f>
        <v>0.0</v>
      </c>
      <c r="H1483" s="10">
        <f>IF($C1483=0,"",COUNTIFS('DEF_SELF_SCOUT_IMPORT'!$L$42:$L$1040,"Y",'DEF_SELF_SCOUT_IMPORT'!$E$42:$E$1040,SUBSTITUTE(SUBSTITUTE(SUBSTITUTE($B1483,"~","~~"),"*","~*"),"?","~?"),'DEF_SELF_SCOUT_IMPORT'!$Q$42:$Q$1040,SUBSTITUTE(SUBSTITUTE(SUBSTITUTE($M1483,"~","~~"),"*","~*"),"?","~?"),'DEF_SELF_SCOUT_IMPORT'!$F$42:$F$1040,SUBSTITUTE(SUBSTITUTE(SUBSTITUTE($N1483,"~","~~"),"*","~*"),"?","~?"),'DEF_SELF_SCOUT_IMPORT'!$D$42:$D$1040,SUBSTITUTE(SUBSTITUTE(SUBSTITUTE($P1483,"~","~~"),"*","~*"),"?","~?"),'DEF_SELF_SCOUT_IMPORT'!$H$42:$H$1040,"DROPBACK")/$C1483)</f>
        <v>1.0</v>
      </c>
      <c r="I1483" s="14" t="str">
        <f>IF(C1483=0,"",IF(C1483&lt;=2,"TRACK",IF(C1483=3,"LOW",IF(C1483&lt;=6,"MEDIUM","HIGH"))))</f>
        <v>TRACK</v>
      </c>
      <c r="J1483" s="11">
        <f>IF(C1483=0,"",ROUND(D1483*70+(1-E1483)*20+MAX(0,MIN(1,(10-F1483)/10))*10,1))</f>
        <v>0.0</v>
      </c>
      <c r="K1483" s="14" t="str">
        <f>IF(C1483=0,"No Evidence",IF(C1483&lt;=2,IF(E1483&gt;0,"Explosive Alert","Track Only"),IF(C1483=3,"Sample Watch",IF(E1483&gt;=START_HERE!$B$31,"Explosive Alert",IF(J1483&gt;=80,"Strong Candidate",IF(J1483&gt;=65,"Good Candidate",IF(J1483&gt;=50,"Mixed / Review","Problem Call")))))))</f>
        <v>Explosive Alert</v>
      </c>
      <c r="L1483" s="9" t="str">
        <f>IF(COUNTIFS('DEF_SELF_SCOUT_IMPORT'!$L$42:$L$1040,"Y",'DEF_SELF_SCOUT_IMPORT'!$E$42:$E$1040,SUBSTITUTE(SUBSTITUTE(SUBSTITUTE($B1483,"~","~~"),"*","~*"),"?","~?"),'DEF_SELF_SCOUT_IMPORT'!$Q$42:$Q$1040,SUBSTITUTE(SUBSTITUTE(SUBSTITUTE($M1483,"~","~~"),"*","~*"),"?","~?"),'DEF_SELF_SCOUT_IMPORT'!$F$42:$F$1040,SUBSTITUTE(SUBSTITUTE(SUBSTITUTE($N1483,"~","~~"),"*","~*"),"?","~?"),'DEF_SELF_SCOUT_IMPORT'!$D$42:$D$1040,SUBSTITUTE(SUBSTITUTE(SUBSTITUTE($P1483,"~","~~"),"*","~*"),"?","~?"),'DEF_SELF_SCOUT_IMPORT'!$J$42:$J$1040,"")&gt;0,"Unscored clean outcome; review result tags before using score.",IF(C1483=0,"No matching defensive reps; film confirmation needed.",IF(K1483="Explosive Alert","Explosive risk; review clips before using as answer.",IF(C1483&lt;=2,"Track only; not enough sample.",IF(C1483=3,IF(E1483&gt;0,"Sample watch with explosive exposure; review clips and build the sample.",IF(J1483&gt;=65,"Good signal, but sample is limited.","Sample watch; review clips and build the sample.")),IF(K1483="Problem Call","Problem area; practice or call-sheet review.",IF(K1483="Strong Candidate","Strong call-fit candidate; confirm on film.",IF(K1483="Good Candidate","Good call-fit signal; confirm on film.","Mixed signal; review fit and execution on film."))))))))</f>
        <v>Explosive risk; review clips before using as answer.</v>
      </c>
      <c r="M1483" s="8" t="s">
        <v>107</v>
      </c>
      <c r="N1483" s="8" t="s">
        <v>120</v>
      </c>
      <c r="O1483" s="8"/>
      <c r="P1483" s="8" t="s">
        <v>449</v>
      </c>
      <c r="Q1483" s="8"/>
      <c r="R1483" s="8" t="s">
        <v>661</v>
      </c>
      <c r="S1483" s="2" t="s">
        <v>670</v>
      </c>
      <c r="T1483" s="2">
        <f>IF(C1483=0,0,IF(C1483&gt;=CALL_LOOKUP_BOARD!$B$7,IF(OR(K1483="Problem Call",K1483="Explosive Alert"),10000000,20000000),0)+IF(C1483&gt;=CALL_LOOKUP_BOARD!$B$7,J1483*1000+MIN(C1483,999),C1483*1000+J1483)+0.00996400)</f>
        <v>1000.009964</v>
      </c>
      <c r="U1483" s="2">
        <f>IF(C1483=0,"",IF(COUNTIFS($S$1448:$S$1491,SUBSTITUTE(SUBSTITUTE(SUBSTITUTE(S1483,"~","~~"),"*","~*"),"?","~?"),$T$1448:$T$1491,"&gt;"&amp;T1483)=0,S1483,""))</f>
        <v/>
      </c>
    </row>
    <row r="1484" spans="1:21" ht="38" customHeight="1">
      <c r="A1484" s="8" t="s">
        <v>669</v>
      </c>
      <c r="B1484" s="8" t="s">
        <v>61</v>
      </c>
      <c r="C1484" s="12">
        <f>COUNTIFS('DEF_SELF_SCOUT_IMPORT'!$L$42:$L$1040,"Y",'DEF_SELF_SCOUT_IMPORT'!$E$42:$E$1040,SUBSTITUTE(SUBSTITUTE(SUBSTITUTE($B1484,"~","~~"),"*","~*"),"?","~?"),'DEF_SELF_SCOUT_IMPORT'!$Q$42:$Q$1040,SUBSTITUTE(SUBSTITUTE(SUBSTITUTE($M1484,"~","~~"),"*","~*"),"?","~?"),'DEF_SELF_SCOUT_IMPORT'!$F$42:$F$1040,SUBSTITUTE(SUBSTITUTE(SUBSTITUTE($N1484,"~","~~"),"*","~*"),"?","~?"),'DEF_SELF_SCOUT_IMPORT'!$D$42:$D$1040,SUBSTITUTE(SUBSTITUTE(SUBSTITUTE($P1484,"~","~~"),"*","~*"),"?","~?"))</f>
        <v>1</v>
      </c>
      <c r="D1484" s="10">
        <f>IF($C1484=0,"",SUMIFS('DEF_SELF_SCOUT_IMPORT'!$J$42:$J$1040,'DEF_SELF_SCOUT_IMPORT'!$L$42:$L$1040,"Y",'DEF_SELF_SCOUT_IMPORT'!$E$42:$E$1040,SUBSTITUTE(SUBSTITUTE(SUBSTITUTE($B1484,"~","~~"),"*","~*"),"?","~?"),'DEF_SELF_SCOUT_IMPORT'!$Q$42:$Q$1040,SUBSTITUTE(SUBSTITUTE(SUBSTITUTE($M1484,"~","~~"),"*","~*"),"?","~?"),'DEF_SELF_SCOUT_IMPORT'!$F$42:$F$1040,SUBSTITUTE(SUBSTITUTE(SUBSTITUTE($N1484,"~","~~"),"*","~*"),"?","~?"),'DEF_SELF_SCOUT_IMPORT'!$D$42:$D$1040,SUBSTITUTE(SUBSTITUTE(SUBSTITUTE($P1484,"~","~~"),"*","~*"),"?","~?"))/$C1484)</f>
        <v>0.0</v>
      </c>
      <c r="E1484" s="10">
        <f>IF($C1484=0,"",SUMIFS('DEF_SELF_SCOUT_IMPORT'!$K$42:$K$1040,'DEF_SELF_SCOUT_IMPORT'!$L$42:$L$1040,"Y",'DEF_SELF_SCOUT_IMPORT'!$E$42:$E$1040,SUBSTITUTE(SUBSTITUTE(SUBSTITUTE($B1484,"~","~~"),"*","~*"),"?","~?"),'DEF_SELF_SCOUT_IMPORT'!$Q$42:$Q$1040,SUBSTITUTE(SUBSTITUTE(SUBSTITUTE($M1484,"~","~~"),"*","~*"),"?","~?"),'DEF_SELF_SCOUT_IMPORT'!$F$42:$F$1040,SUBSTITUTE(SUBSTITUTE(SUBSTITUTE($N1484,"~","~~"),"*","~*"),"?","~?"),'DEF_SELF_SCOUT_IMPORT'!$D$42:$D$1040,SUBSTITUTE(SUBSTITUTE(SUBSTITUTE($P1484,"~","~~"),"*","~*"),"?","~?"))/$C1484)</f>
        <v>0.0</v>
      </c>
      <c r="F1484" s="11">
        <f>IF($C1484=0,"",AVERAGEIFS('DEF_SELF_SCOUT_IMPORT'!$I$42:$I$1040,'DEF_SELF_SCOUT_IMPORT'!$L$42:$L$1040,"Y",'DEF_SELF_SCOUT_IMPORT'!$E$42:$E$1040,SUBSTITUTE(SUBSTITUTE(SUBSTITUTE($B1484,"~","~~"),"*","~*"),"?","~?"),'DEF_SELF_SCOUT_IMPORT'!$Q$42:$Q$1040,SUBSTITUTE(SUBSTITUTE(SUBSTITUTE($M1484,"~","~~"),"*","~*"),"?","~?"),'DEF_SELF_SCOUT_IMPORT'!$F$42:$F$1040,SUBSTITUTE(SUBSTITUTE(SUBSTITUTE($N1484,"~","~~"),"*","~*"),"?","~?"),'DEF_SELF_SCOUT_IMPORT'!$D$42:$D$1040,SUBSTITUTE(SUBSTITUTE(SUBSTITUTE($P1484,"~","~~"),"*","~*"),"?","~?")))</f>
        <v>13.0</v>
      </c>
      <c r="G1484" s="10">
        <f>IF($C1484=0,"",COUNTIFS('DEF_SELF_SCOUT_IMPORT'!$L$42:$L$1040,"Y",'DEF_SELF_SCOUT_IMPORT'!$E$42:$E$1040,SUBSTITUTE(SUBSTITUTE(SUBSTITUTE($B1484,"~","~~"),"*","~*"),"?","~?"),'DEF_SELF_SCOUT_IMPORT'!$Q$42:$Q$1040,SUBSTITUTE(SUBSTITUTE(SUBSTITUTE($M1484,"~","~~"),"*","~*"),"?","~?"),'DEF_SELF_SCOUT_IMPORT'!$F$42:$F$1040,SUBSTITUTE(SUBSTITUTE(SUBSTITUTE($N1484,"~","~~"),"*","~*"),"?","~?"),'DEF_SELF_SCOUT_IMPORT'!$D$42:$D$1040,SUBSTITUTE(SUBSTITUTE(SUBSTITUTE($P1484,"~","~~"),"*","~*"),"?","~?"),'DEF_SELF_SCOUT_IMPORT'!$H$42:$H$1040,"RUSH")/$C1484)</f>
        <v>0.0</v>
      </c>
      <c r="H1484" s="10">
        <f>IF($C1484=0,"",COUNTIFS('DEF_SELF_SCOUT_IMPORT'!$L$42:$L$1040,"Y",'DEF_SELF_SCOUT_IMPORT'!$E$42:$E$1040,SUBSTITUTE(SUBSTITUTE(SUBSTITUTE($B1484,"~","~~"),"*","~*"),"?","~?"),'DEF_SELF_SCOUT_IMPORT'!$Q$42:$Q$1040,SUBSTITUTE(SUBSTITUTE(SUBSTITUTE($M1484,"~","~~"),"*","~*"),"?","~?"),'DEF_SELF_SCOUT_IMPORT'!$F$42:$F$1040,SUBSTITUTE(SUBSTITUTE(SUBSTITUTE($N1484,"~","~~"),"*","~*"),"?","~?"),'DEF_SELF_SCOUT_IMPORT'!$D$42:$D$1040,SUBSTITUTE(SUBSTITUTE(SUBSTITUTE($P1484,"~","~~"),"*","~*"),"?","~?"),'DEF_SELF_SCOUT_IMPORT'!$H$42:$H$1040,"DROPBACK")/$C1484)</f>
        <v>1.0</v>
      </c>
      <c r="I1484" s="14" t="str">
        <f>IF(C1484=0,"",IF(C1484&lt;=2,"TRACK",IF(C1484=3,"LOW",IF(C1484&lt;=6,"MEDIUM","HIGH"))))</f>
        <v>TRACK</v>
      </c>
      <c r="J1484" s="11">
        <f>IF(C1484=0,"",ROUND(D1484*70+(1-E1484)*20+MAX(0,MIN(1,(10-F1484)/10))*10,1))</f>
        <v>20.0</v>
      </c>
      <c r="K1484" s="14" t="str">
        <f>IF(C1484=0,"No Evidence",IF(C1484&lt;=2,IF(E1484&gt;0,"Explosive Alert","Track Only"),IF(C1484=3,"Sample Watch",IF(E1484&gt;=START_HERE!$B$31,"Explosive Alert",IF(J1484&gt;=80,"Strong Candidate",IF(J1484&gt;=65,"Good Candidate",IF(J1484&gt;=50,"Mixed / Review","Problem Call")))))))</f>
        <v>Track Only</v>
      </c>
      <c r="L1484" s="9" t="str">
        <f>IF(COUNTIFS('DEF_SELF_SCOUT_IMPORT'!$L$42:$L$1040,"Y",'DEF_SELF_SCOUT_IMPORT'!$E$42:$E$1040,SUBSTITUTE(SUBSTITUTE(SUBSTITUTE($B1484,"~","~~"),"*","~*"),"?","~?"),'DEF_SELF_SCOUT_IMPORT'!$Q$42:$Q$1040,SUBSTITUTE(SUBSTITUTE(SUBSTITUTE($M1484,"~","~~"),"*","~*"),"?","~?"),'DEF_SELF_SCOUT_IMPORT'!$F$42:$F$1040,SUBSTITUTE(SUBSTITUTE(SUBSTITUTE($N1484,"~","~~"),"*","~*"),"?","~?"),'DEF_SELF_SCOUT_IMPORT'!$D$42:$D$1040,SUBSTITUTE(SUBSTITUTE(SUBSTITUTE($P1484,"~","~~"),"*","~*"),"?","~?"),'DEF_SELF_SCOUT_IMPORT'!$J$42:$J$1040,"")&gt;0,"Unscored clean outcome; review result tags before using score.",IF(C1484=0,"No matching defensive reps; film confirmation needed.",IF(K1484="Explosive Alert","Explosive risk; review clips before using as answer.",IF(C1484&lt;=2,"Track only; not enough sample.",IF(C1484=3,IF(E1484&gt;0,"Sample watch with explosive exposure; review clips and build the sample.",IF(J1484&gt;=65,"Good signal, but sample is limited.","Sample watch; review clips and build the sample.")),IF(K1484="Problem Call","Problem area; practice or call-sheet review.",IF(K1484="Strong Candidate","Strong call-fit candidate; confirm on film.",IF(K1484="Good Candidate","Good call-fit signal; confirm on film.","Mixed signal; review fit and execution on film."))))))))</f>
        <v>Track only; not enough sample.</v>
      </c>
      <c r="M1484" s="8" t="s">
        <v>107</v>
      </c>
      <c r="N1484" s="8" t="s">
        <v>120</v>
      </c>
      <c r="O1484" s="8"/>
      <c r="P1484" s="8" t="s">
        <v>449</v>
      </c>
      <c r="Q1484" s="8"/>
      <c r="R1484" s="8" t="s">
        <v>661</v>
      </c>
      <c r="S1484" s="2" t="s">
        <v>670</v>
      </c>
      <c r="T1484" s="2">
        <f>IF(C1484=0,0,IF(C1484&gt;=CALL_LOOKUP_BOARD!$B$7,IF(OR(K1484="Problem Call",K1484="Explosive Alert"),10000000,20000000),0)+IF(C1484&gt;=CALL_LOOKUP_BOARD!$B$7,J1484*1000+MIN(C1484,999),C1484*1000+J1484)+0.00996300)</f>
        <v>1020.009963</v>
      </c>
      <c r="U1484" s="2">
        <f>IF(C1484=0,"",IF(COUNTIFS($S$1448:$S$1491,SUBSTITUTE(SUBSTITUTE(SUBSTITUTE(S1484,"~","~~"),"*","~*"),"?","~?"),$T$1448:$T$1491,"&gt;"&amp;T1484)=0,S1484,""))</f>
        <v/>
      </c>
    </row>
    <row r="1485" spans="1:21" ht="38" customHeight="1">
      <c r="A1485" s="8" t="s">
        <v>669</v>
      </c>
      <c r="B1485" s="8" t="s">
        <v>102</v>
      </c>
      <c r="C1485" s="12">
        <f>COUNTIFS('DEF_SELF_SCOUT_IMPORT'!$L$42:$L$1040,"Y",'DEF_SELF_SCOUT_IMPORT'!$E$42:$E$1040,SUBSTITUTE(SUBSTITUTE(SUBSTITUTE($B1485,"~","~~"),"*","~*"),"?","~?"),'DEF_SELF_SCOUT_IMPORT'!$Q$42:$Q$1040,SUBSTITUTE(SUBSTITUTE(SUBSTITUTE($M1485,"~","~~"),"*","~*"),"?","~?"),'DEF_SELF_SCOUT_IMPORT'!$F$42:$F$1040,SUBSTITUTE(SUBSTITUTE(SUBSTITUTE($N1485,"~","~~"),"*","~*"),"?","~?"),'DEF_SELF_SCOUT_IMPORT'!$D$42:$D$1040,SUBSTITUTE(SUBSTITUTE(SUBSTITUTE($P1485,"~","~~"),"*","~*"),"?","~?"))</f>
        <v>1</v>
      </c>
      <c r="D1485" s="10">
        <f>IF($C1485=0,"",SUMIFS('DEF_SELF_SCOUT_IMPORT'!$J$42:$J$1040,'DEF_SELF_SCOUT_IMPORT'!$L$42:$L$1040,"Y",'DEF_SELF_SCOUT_IMPORT'!$E$42:$E$1040,SUBSTITUTE(SUBSTITUTE(SUBSTITUTE($B1485,"~","~~"),"*","~*"),"?","~?"),'DEF_SELF_SCOUT_IMPORT'!$Q$42:$Q$1040,SUBSTITUTE(SUBSTITUTE(SUBSTITUTE($M1485,"~","~~"),"*","~*"),"?","~?"),'DEF_SELF_SCOUT_IMPORT'!$F$42:$F$1040,SUBSTITUTE(SUBSTITUTE(SUBSTITUTE($N1485,"~","~~"),"*","~*"),"?","~?"),'DEF_SELF_SCOUT_IMPORT'!$D$42:$D$1040,SUBSTITUTE(SUBSTITUTE(SUBSTITUTE($P1485,"~","~~"),"*","~*"),"?","~?"))/$C1485)</f>
        <v>1.0</v>
      </c>
      <c r="E1485" s="10">
        <f>IF($C1485=0,"",SUMIFS('DEF_SELF_SCOUT_IMPORT'!$K$42:$K$1040,'DEF_SELF_SCOUT_IMPORT'!$L$42:$L$1040,"Y",'DEF_SELF_SCOUT_IMPORT'!$E$42:$E$1040,SUBSTITUTE(SUBSTITUTE(SUBSTITUTE($B1485,"~","~~"),"*","~*"),"?","~?"),'DEF_SELF_SCOUT_IMPORT'!$Q$42:$Q$1040,SUBSTITUTE(SUBSTITUTE(SUBSTITUTE($M1485,"~","~~"),"*","~*"),"?","~?"),'DEF_SELF_SCOUT_IMPORT'!$F$42:$F$1040,SUBSTITUTE(SUBSTITUTE(SUBSTITUTE($N1485,"~","~~"),"*","~*"),"?","~?"),'DEF_SELF_SCOUT_IMPORT'!$D$42:$D$1040,SUBSTITUTE(SUBSTITUTE(SUBSTITUTE($P1485,"~","~~"),"*","~*"),"?","~?"))/$C1485)</f>
        <v>0.0</v>
      </c>
      <c r="F1485" s="11">
        <f>IF($C1485=0,"",AVERAGEIFS('DEF_SELF_SCOUT_IMPORT'!$I$42:$I$1040,'DEF_SELF_SCOUT_IMPORT'!$L$42:$L$1040,"Y",'DEF_SELF_SCOUT_IMPORT'!$E$42:$E$1040,SUBSTITUTE(SUBSTITUTE(SUBSTITUTE($B1485,"~","~~"),"*","~*"),"?","~?"),'DEF_SELF_SCOUT_IMPORT'!$Q$42:$Q$1040,SUBSTITUTE(SUBSTITUTE(SUBSTITUTE($M1485,"~","~~"),"*","~*"),"?","~?"),'DEF_SELF_SCOUT_IMPORT'!$F$42:$F$1040,SUBSTITUTE(SUBSTITUTE(SUBSTITUTE($N1485,"~","~~"),"*","~*"),"?","~?"),'DEF_SELF_SCOUT_IMPORT'!$D$42:$D$1040,SUBSTITUTE(SUBSTITUTE(SUBSTITUTE($P1485,"~","~~"),"*","~*"),"?","~?")))</f>
        <v>5.0</v>
      </c>
      <c r="G1485" s="10">
        <f>IF($C1485=0,"",COUNTIFS('DEF_SELF_SCOUT_IMPORT'!$L$42:$L$1040,"Y",'DEF_SELF_SCOUT_IMPORT'!$E$42:$E$1040,SUBSTITUTE(SUBSTITUTE(SUBSTITUTE($B1485,"~","~~"),"*","~*"),"?","~?"),'DEF_SELF_SCOUT_IMPORT'!$Q$42:$Q$1040,SUBSTITUTE(SUBSTITUTE(SUBSTITUTE($M1485,"~","~~"),"*","~*"),"?","~?"),'DEF_SELF_SCOUT_IMPORT'!$F$42:$F$1040,SUBSTITUTE(SUBSTITUTE(SUBSTITUTE($N1485,"~","~~"),"*","~*"),"?","~?"),'DEF_SELF_SCOUT_IMPORT'!$D$42:$D$1040,SUBSTITUTE(SUBSTITUTE(SUBSTITUTE($P1485,"~","~~"),"*","~*"),"?","~?"),'DEF_SELF_SCOUT_IMPORT'!$H$42:$H$1040,"RUSH")/$C1485)</f>
        <v>0.0</v>
      </c>
      <c r="H1485" s="10">
        <f>IF($C1485=0,"",COUNTIFS('DEF_SELF_SCOUT_IMPORT'!$L$42:$L$1040,"Y",'DEF_SELF_SCOUT_IMPORT'!$E$42:$E$1040,SUBSTITUTE(SUBSTITUTE(SUBSTITUTE($B1485,"~","~~"),"*","~*"),"?","~?"),'DEF_SELF_SCOUT_IMPORT'!$Q$42:$Q$1040,SUBSTITUTE(SUBSTITUTE(SUBSTITUTE($M1485,"~","~~"),"*","~*"),"?","~?"),'DEF_SELF_SCOUT_IMPORT'!$F$42:$F$1040,SUBSTITUTE(SUBSTITUTE(SUBSTITUTE($N1485,"~","~~"),"*","~*"),"?","~?"),'DEF_SELF_SCOUT_IMPORT'!$D$42:$D$1040,SUBSTITUTE(SUBSTITUTE(SUBSTITUTE($P1485,"~","~~"),"*","~*"),"?","~?"),'DEF_SELF_SCOUT_IMPORT'!$H$42:$H$1040,"DROPBACK")/$C1485)</f>
        <v>1.0</v>
      </c>
      <c r="I1485" s="14" t="str">
        <f>IF(C1485=0,"",IF(C1485&lt;=2,"TRACK",IF(C1485=3,"LOW",IF(C1485&lt;=6,"MEDIUM","HIGH"))))</f>
        <v>TRACK</v>
      </c>
      <c r="J1485" s="11">
        <f>IF(C1485=0,"",ROUND(D1485*70+(1-E1485)*20+MAX(0,MIN(1,(10-F1485)/10))*10,1))</f>
        <v>95.0</v>
      </c>
      <c r="K1485" s="14" t="str">
        <f>IF(C1485=0,"No Evidence",IF(C1485&lt;=2,IF(E1485&gt;0,"Explosive Alert","Track Only"),IF(C1485=3,"Sample Watch",IF(E1485&gt;=START_HERE!$B$31,"Explosive Alert",IF(J1485&gt;=80,"Strong Candidate",IF(J1485&gt;=65,"Good Candidate",IF(J1485&gt;=50,"Mixed / Review","Problem Call")))))))</f>
        <v>Track Only</v>
      </c>
      <c r="L1485" s="9" t="str">
        <f>IF(COUNTIFS('DEF_SELF_SCOUT_IMPORT'!$L$42:$L$1040,"Y",'DEF_SELF_SCOUT_IMPORT'!$E$42:$E$1040,SUBSTITUTE(SUBSTITUTE(SUBSTITUTE($B1485,"~","~~"),"*","~*"),"?","~?"),'DEF_SELF_SCOUT_IMPORT'!$Q$42:$Q$1040,SUBSTITUTE(SUBSTITUTE(SUBSTITUTE($M1485,"~","~~"),"*","~*"),"?","~?"),'DEF_SELF_SCOUT_IMPORT'!$F$42:$F$1040,SUBSTITUTE(SUBSTITUTE(SUBSTITUTE($N1485,"~","~~"),"*","~*"),"?","~?"),'DEF_SELF_SCOUT_IMPORT'!$D$42:$D$1040,SUBSTITUTE(SUBSTITUTE(SUBSTITUTE($P1485,"~","~~"),"*","~*"),"?","~?"),'DEF_SELF_SCOUT_IMPORT'!$J$42:$J$1040,"")&gt;0,"Unscored clean outcome; review result tags before using score.",IF(C1485=0,"No matching defensive reps; film confirmation needed.",IF(K1485="Explosive Alert","Explosive risk; review clips before using as answer.",IF(C1485&lt;=2,"Track only; not enough sample.",IF(C1485=3,IF(E1485&gt;0,"Sample watch with explosive exposure; review clips and build the sample.",IF(J1485&gt;=65,"Good signal, but sample is limited.","Sample watch; review clips and build the sample.")),IF(K1485="Problem Call","Problem area; practice or call-sheet review.",IF(K1485="Strong Candidate","Strong call-fit candidate; confirm on film.",IF(K1485="Good Candidate","Good call-fit signal; confirm on film.","Mixed signal; review fit and execution on film."))))))))</f>
        <v>Track only; not enough sample.</v>
      </c>
      <c r="M1485" s="8" t="s">
        <v>107</v>
      </c>
      <c r="N1485" s="8" t="s">
        <v>120</v>
      </c>
      <c r="O1485" s="8"/>
      <c r="P1485" s="8" t="s">
        <v>449</v>
      </c>
      <c r="Q1485" s="8"/>
      <c r="R1485" s="8" t="s">
        <v>661</v>
      </c>
      <c r="S1485" s="2" t="s">
        <v>670</v>
      </c>
      <c r="T1485" s="2">
        <f>IF(C1485=0,0,IF(C1485&gt;=CALL_LOOKUP_BOARD!$B$7,IF(OR(K1485="Problem Call",K1485="Explosive Alert"),10000000,20000000),0)+IF(C1485&gt;=CALL_LOOKUP_BOARD!$B$7,J1485*1000+MIN(C1485,999),C1485*1000+J1485)+0.00996200)</f>
        <v>1095.009962</v>
      </c>
      <c r="U1485" s="2">
        <f>IF(C1485=0,"",IF(COUNTIFS($S$1448:$S$1491,SUBSTITUTE(SUBSTITUTE(SUBSTITUTE(S1485,"~","~~"),"*","~*"),"?","~?"),$T$1448:$T$1491,"&gt;"&amp;T1485)=0,S1485,""))</f>
        <v/>
      </c>
    </row>
    <row r="1486" spans="1:21" ht="38" customHeight="1">
      <c r="A1486" s="8" t="s">
        <v>669</v>
      </c>
      <c r="B1486" s="8" t="s">
        <v>91</v>
      </c>
      <c r="C1486" s="12">
        <f>COUNTIFS('DEF_SELF_SCOUT_IMPORT'!$L$42:$L$1040,"Y",'DEF_SELF_SCOUT_IMPORT'!$E$42:$E$1040,SUBSTITUTE(SUBSTITUTE(SUBSTITUTE($B1486,"~","~~"),"*","~*"),"?","~?"),'DEF_SELF_SCOUT_IMPORT'!$Q$42:$Q$1040,SUBSTITUTE(SUBSTITUTE(SUBSTITUTE($M1486,"~","~~"),"*","~*"),"?","~?"),'DEF_SELF_SCOUT_IMPORT'!$F$42:$F$1040,SUBSTITUTE(SUBSTITUTE(SUBSTITUTE($N1486,"~","~~"),"*","~*"),"?","~?"),'DEF_SELF_SCOUT_IMPORT'!$D$42:$D$1040,SUBSTITUTE(SUBSTITUTE(SUBSTITUTE($P1486,"~","~~"),"*","~*"),"?","~?"))</f>
        <v>1</v>
      </c>
      <c r="D1486" s="10">
        <f>IF($C1486=0,"",SUMIFS('DEF_SELF_SCOUT_IMPORT'!$J$42:$J$1040,'DEF_SELF_SCOUT_IMPORT'!$L$42:$L$1040,"Y",'DEF_SELF_SCOUT_IMPORT'!$E$42:$E$1040,SUBSTITUTE(SUBSTITUTE(SUBSTITUTE($B1486,"~","~~"),"*","~*"),"?","~?"),'DEF_SELF_SCOUT_IMPORT'!$Q$42:$Q$1040,SUBSTITUTE(SUBSTITUTE(SUBSTITUTE($M1486,"~","~~"),"*","~*"),"?","~?"),'DEF_SELF_SCOUT_IMPORT'!$F$42:$F$1040,SUBSTITUTE(SUBSTITUTE(SUBSTITUTE($N1486,"~","~~"),"*","~*"),"?","~?"),'DEF_SELF_SCOUT_IMPORT'!$D$42:$D$1040,SUBSTITUTE(SUBSTITUTE(SUBSTITUTE($P1486,"~","~~"),"*","~*"),"?","~?"))/$C1486)</f>
        <v>1.0</v>
      </c>
      <c r="E1486" s="10">
        <f>IF($C1486=0,"",SUMIFS('DEF_SELF_SCOUT_IMPORT'!$K$42:$K$1040,'DEF_SELF_SCOUT_IMPORT'!$L$42:$L$1040,"Y",'DEF_SELF_SCOUT_IMPORT'!$E$42:$E$1040,SUBSTITUTE(SUBSTITUTE(SUBSTITUTE($B1486,"~","~~"),"*","~*"),"?","~?"),'DEF_SELF_SCOUT_IMPORT'!$Q$42:$Q$1040,SUBSTITUTE(SUBSTITUTE(SUBSTITUTE($M1486,"~","~~"),"*","~*"),"?","~?"),'DEF_SELF_SCOUT_IMPORT'!$F$42:$F$1040,SUBSTITUTE(SUBSTITUTE(SUBSTITUTE($N1486,"~","~~"),"*","~*"),"?","~?"),'DEF_SELF_SCOUT_IMPORT'!$D$42:$D$1040,SUBSTITUTE(SUBSTITUTE(SUBSTITUTE($P1486,"~","~~"),"*","~*"),"?","~?"))/$C1486)</f>
        <v>0.0</v>
      </c>
      <c r="F1486" s="11">
        <f>IF($C1486=0,"",AVERAGEIFS('DEF_SELF_SCOUT_IMPORT'!$I$42:$I$1040,'DEF_SELF_SCOUT_IMPORT'!$L$42:$L$1040,"Y",'DEF_SELF_SCOUT_IMPORT'!$E$42:$E$1040,SUBSTITUTE(SUBSTITUTE(SUBSTITUTE($B1486,"~","~~"),"*","~*"),"?","~?"),'DEF_SELF_SCOUT_IMPORT'!$Q$42:$Q$1040,SUBSTITUTE(SUBSTITUTE(SUBSTITUTE($M1486,"~","~~"),"*","~*"),"?","~?"),'DEF_SELF_SCOUT_IMPORT'!$F$42:$F$1040,SUBSTITUTE(SUBSTITUTE(SUBSTITUTE($N1486,"~","~~"),"*","~*"),"?","~?"),'DEF_SELF_SCOUT_IMPORT'!$D$42:$D$1040,SUBSTITUTE(SUBSTITUTE(SUBSTITUTE($P1486,"~","~~"),"*","~*"),"?","~?")))</f>
        <v>0.0</v>
      </c>
      <c r="G1486" s="10">
        <f>IF($C1486=0,"",COUNTIFS('DEF_SELF_SCOUT_IMPORT'!$L$42:$L$1040,"Y",'DEF_SELF_SCOUT_IMPORT'!$E$42:$E$1040,SUBSTITUTE(SUBSTITUTE(SUBSTITUTE($B1486,"~","~~"),"*","~*"),"?","~?"),'DEF_SELF_SCOUT_IMPORT'!$Q$42:$Q$1040,SUBSTITUTE(SUBSTITUTE(SUBSTITUTE($M1486,"~","~~"),"*","~*"),"?","~?"),'DEF_SELF_SCOUT_IMPORT'!$F$42:$F$1040,SUBSTITUTE(SUBSTITUTE(SUBSTITUTE($N1486,"~","~~"),"*","~*"),"?","~?"),'DEF_SELF_SCOUT_IMPORT'!$D$42:$D$1040,SUBSTITUTE(SUBSTITUTE(SUBSTITUTE($P1486,"~","~~"),"*","~*"),"?","~?"),'DEF_SELF_SCOUT_IMPORT'!$H$42:$H$1040,"RUSH")/$C1486)</f>
        <v>0.0</v>
      </c>
      <c r="H1486" s="10">
        <f>IF($C1486=0,"",COUNTIFS('DEF_SELF_SCOUT_IMPORT'!$L$42:$L$1040,"Y",'DEF_SELF_SCOUT_IMPORT'!$E$42:$E$1040,SUBSTITUTE(SUBSTITUTE(SUBSTITUTE($B1486,"~","~~"),"*","~*"),"?","~?"),'DEF_SELF_SCOUT_IMPORT'!$Q$42:$Q$1040,SUBSTITUTE(SUBSTITUTE(SUBSTITUTE($M1486,"~","~~"),"*","~*"),"?","~?"),'DEF_SELF_SCOUT_IMPORT'!$F$42:$F$1040,SUBSTITUTE(SUBSTITUTE(SUBSTITUTE($N1486,"~","~~"),"*","~*"),"?","~?"),'DEF_SELF_SCOUT_IMPORT'!$D$42:$D$1040,SUBSTITUTE(SUBSTITUTE(SUBSTITUTE($P1486,"~","~~"),"*","~*"),"?","~?"),'DEF_SELF_SCOUT_IMPORT'!$H$42:$H$1040,"DROPBACK")/$C1486)</f>
        <v>1.0</v>
      </c>
      <c r="I1486" s="14" t="str">
        <f>IF(C1486=0,"",IF(C1486&lt;=2,"TRACK",IF(C1486=3,"LOW",IF(C1486&lt;=6,"MEDIUM","HIGH"))))</f>
        <v>TRACK</v>
      </c>
      <c r="J1486" s="11">
        <f>IF(C1486=0,"",ROUND(D1486*70+(1-E1486)*20+MAX(0,MIN(1,(10-F1486)/10))*10,1))</f>
        <v>100.0</v>
      </c>
      <c r="K1486" s="14" t="str">
        <f>IF(C1486=0,"No Evidence",IF(C1486&lt;=2,IF(E1486&gt;0,"Explosive Alert","Track Only"),IF(C1486=3,"Sample Watch",IF(E1486&gt;=START_HERE!$B$31,"Explosive Alert",IF(J1486&gt;=80,"Strong Candidate",IF(J1486&gt;=65,"Good Candidate",IF(J1486&gt;=50,"Mixed / Review","Problem Call")))))))</f>
        <v>Track Only</v>
      </c>
      <c r="L1486" s="9" t="str">
        <f>IF(COUNTIFS('DEF_SELF_SCOUT_IMPORT'!$L$42:$L$1040,"Y",'DEF_SELF_SCOUT_IMPORT'!$E$42:$E$1040,SUBSTITUTE(SUBSTITUTE(SUBSTITUTE($B1486,"~","~~"),"*","~*"),"?","~?"),'DEF_SELF_SCOUT_IMPORT'!$Q$42:$Q$1040,SUBSTITUTE(SUBSTITUTE(SUBSTITUTE($M1486,"~","~~"),"*","~*"),"?","~?"),'DEF_SELF_SCOUT_IMPORT'!$F$42:$F$1040,SUBSTITUTE(SUBSTITUTE(SUBSTITUTE($N1486,"~","~~"),"*","~*"),"?","~?"),'DEF_SELF_SCOUT_IMPORT'!$D$42:$D$1040,SUBSTITUTE(SUBSTITUTE(SUBSTITUTE($P1486,"~","~~"),"*","~*"),"?","~?"),'DEF_SELF_SCOUT_IMPORT'!$J$42:$J$1040,"")&gt;0,"Unscored clean outcome; review result tags before using score.",IF(C1486=0,"No matching defensive reps; film confirmation needed.",IF(K1486="Explosive Alert","Explosive risk; review clips before using as answer.",IF(C1486&lt;=2,"Track only; not enough sample.",IF(C1486=3,IF(E1486&gt;0,"Sample watch with explosive exposure; review clips and build the sample.",IF(J1486&gt;=65,"Good signal, but sample is limited.","Sample watch; review clips and build the sample.")),IF(K1486="Problem Call","Problem area; practice or call-sheet review.",IF(K1486="Strong Candidate","Strong call-fit candidate; confirm on film.",IF(K1486="Good Candidate","Good call-fit signal; confirm on film.","Mixed signal; review fit and execution on film."))))))))</f>
        <v>Track only; not enough sample.</v>
      </c>
      <c r="M1486" s="8" t="s">
        <v>107</v>
      </c>
      <c r="N1486" s="8" t="s">
        <v>120</v>
      </c>
      <c r="O1486" s="8"/>
      <c r="P1486" s="8" t="s">
        <v>449</v>
      </c>
      <c r="Q1486" s="8"/>
      <c r="R1486" s="8" t="s">
        <v>661</v>
      </c>
      <c r="S1486" s="2" t="s">
        <v>670</v>
      </c>
      <c r="T1486" s="2">
        <f>IF(C1486=0,0,IF(C1486&gt;=CALL_LOOKUP_BOARD!$B$7,IF(OR(K1486="Problem Call",K1486="Explosive Alert"),10000000,20000000),0)+IF(C1486&gt;=CALL_LOOKUP_BOARD!$B$7,J1486*1000+MIN(C1486,999),C1486*1000+J1486)+0.00996100)</f>
        <v>1100.009961</v>
      </c>
      <c r="U1486" s="2" t="str">
        <f>IF(C1486=0,"",IF(COUNTIFS($S$1448:$S$1491,SUBSTITUTE(SUBSTITUTE(SUBSTITUTE(S1486,"~","~~"),"*","~*"),"?","~?"),$T$1448:$T$1491,"&gt;"&amp;T1486)=0,S1486,""))</f>
        <v>7:3D 7-10|2:11|0:|6:5 STEP|</v>
      </c>
    </row>
    <row r="1487" spans="1:21" ht="38" customHeight="1">
      <c r="A1487" s="8" t="s">
        <v>398</v>
      </c>
      <c r="B1487" s="8" t="s">
        <v>99</v>
      </c>
      <c r="C1487" s="12">
        <f>COUNTIFS('DEF_SELF_SCOUT_IMPORT'!$L$42:$L$1040,"Y",'DEF_SELF_SCOUT_IMPORT'!$E$42:$E$1040,SUBSTITUTE(SUBSTITUTE(SUBSTITUTE($B1487,"~","~~"),"*","~*"),"?","~?"),'DEF_SELF_SCOUT_IMPORT'!$Q$42:$Q$1040,SUBSTITUTE(SUBSTITUTE(SUBSTITUTE($M1487,"~","~~"),"*","~*"),"?","~?"),'DEF_SELF_SCOUT_IMPORT'!$F$42:$F$1040,SUBSTITUTE(SUBSTITUTE(SUBSTITUTE($N1487,"~","~~"),"*","~*"),"?","~?"),'DEF_SELF_SCOUT_IMPORT'!$G$42:$G$1040,SUBSTITUTE(SUBSTITUTE(SUBSTITUTE($O1487,"~","~~"),"*","~*"),"?","~?"))</f>
        <v>1</v>
      </c>
      <c r="D1487" s="10">
        <f>IF($C1487=0,"",SUMIFS('DEF_SELF_SCOUT_IMPORT'!$J$42:$J$1040,'DEF_SELF_SCOUT_IMPORT'!$L$42:$L$1040,"Y",'DEF_SELF_SCOUT_IMPORT'!$E$42:$E$1040,SUBSTITUTE(SUBSTITUTE(SUBSTITUTE($B1487,"~","~~"),"*","~*"),"?","~?"),'DEF_SELF_SCOUT_IMPORT'!$Q$42:$Q$1040,SUBSTITUTE(SUBSTITUTE(SUBSTITUTE($M1487,"~","~~"),"*","~*"),"?","~?"),'DEF_SELF_SCOUT_IMPORT'!$F$42:$F$1040,SUBSTITUTE(SUBSTITUTE(SUBSTITUTE($N1487,"~","~~"),"*","~*"),"?","~?"),'DEF_SELF_SCOUT_IMPORT'!$G$42:$G$1040,SUBSTITUTE(SUBSTITUTE(SUBSTITUTE($O1487,"~","~~"),"*","~*"),"?","~?"))/$C1487)</f>
        <v>0.0</v>
      </c>
      <c r="E1487" s="10">
        <f>IF($C1487=0,"",SUMIFS('DEF_SELF_SCOUT_IMPORT'!$K$42:$K$1040,'DEF_SELF_SCOUT_IMPORT'!$L$42:$L$1040,"Y",'DEF_SELF_SCOUT_IMPORT'!$E$42:$E$1040,SUBSTITUTE(SUBSTITUTE(SUBSTITUTE($B1487,"~","~~"),"*","~*"),"?","~?"),'DEF_SELF_SCOUT_IMPORT'!$Q$42:$Q$1040,SUBSTITUTE(SUBSTITUTE(SUBSTITUTE($M1487,"~","~~"),"*","~*"),"?","~?"),'DEF_SELF_SCOUT_IMPORT'!$F$42:$F$1040,SUBSTITUTE(SUBSTITUTE(SUBSTITUTE($N1487,"~","~~"),"*","~*"),"?","~?"),'DEF_SELF_SCOUT_IMPORT'!$G$42:$G$1040,SUBSTITUTE(SUBSTITUTE(SUBSTITUTE($O1487,"~","~~"),"*","~*"),"?","~?"))/$C1487)</f>
        <v>0.0</v>
      </c>
      <c r="F1487" s="11">
        <f>IF($C1487=0,"",AVERAGEIFS('DEF_SELF_SCOUT_IMPORT'!$I$42:$I$1040,'DEF_SELF_SCOUT_IMPORT'!$L$42:$L$1040,"Y",'DEF_SELF_SCOUT_IMPORT'!$E$42:$E$1040,SUBSTITUTE(SUBSTITUTE(SUBSTITUTE($B1487,"~","~~"),"*","~*"),"?","~?"),'DEF_SELF_SCOUT_IMPORT'!$Q$42:$Q$1040,SUBSTITUTE(SUBSTITUTE(SUBSTITUTE($M1487,"~","~~"),"*","~*"),"?","~?"),'DEF_SELF_SCOUT_IMPORT'!$F$42:$F$1040,SUBSTITUTE(SUBSTITUTE(SUBSTITUTE($N1487,"~","~~"),"*","~*"),"?","~?"),'DEF_SELF_SCOUT_IMPORT'!$G$42:$G$1040,SUBSTITUTE(SUBSTITUTE(SUBSTITUTE($O1487,"~","~~"),"*","~*"),"?","~?")))</f>
        <v>12.0</v>
      </c>
      <c r="G1487" s="10">
        <f>IF($C1487=0,"",COUNTIFS('DEF_SELF_SCOUT_IMPORT'!$L$42:$L$1040,"Y",'DEF_SELF_SCOUT_IMPORT'!$E$42:$E$1040,SUBSTITUTE(SUBSTITUTE(SUBSTITUTE($B1487,"~","~~"),"*","~*"),"?","~?"),'DEF_SELF_SCOUT_IMPORT'!$Q$42:$Q$1040,SUBSTITUTE(SUBSTITUTE(SUBSTITUTE($M1487,"~","~~"),"*","~*"),"?","~?"),'DEF_SELF_SCOUT_IMPORT'!$F$42:$F$1040,SUBSTITUTE(SUBSTITUTE(SUBSTITUTE($N1487,"~","~~"),"*","~*"),"?","~?"),'DEF_SELF_SCOUT_IMPORT'!$G$42:$G$1040,SUBSTITUTE(SUBSTITUTE(SUBSTITUTE($O1487,"~","~~"),"*","~*"),"?","~?"),'DEF_SELF_SCOUT_IMPORT'!$H$42:$H$1040,"RUSH")/$C1487)</f>
        <v>0.0</v>
      </c>
      <c r="H1487" s="10">
        <f>IF($C1487=0,"",COUNTIFS('DEF_SELF_SCOUT_IMPORT'!$L$42:$L$1040,"Y",'DEF_SELF_SCOUT_IMPORT'!$E$42:$E$1040,SUBSTITUTE(SUBSTITUTE(SUBSTITUTE($B1487,"~","~~"),"*","~*"),"?","~?"),'DEF_SELF_SCOUT_IMPORT'!$Q$42:$Q$1040,SUBSTITUTE(SUBSTITUTE(SUBSTITUTE($M1487,"~","~~"),"*","~*"),"?","~?"),'DEF_SELF_SCOUT_IMPORT'!$F$42:$F$1040,SUBSTITUTE(SUBSTITUTE(SUBSTITUTE($N1487,"~","~~"),"*","~*"),"?","~?"),'DEF_SELF_SCOUT_IMPORT'!$G$42:$G$1040,SUBSTITUTE(SUBSTITUTE(SUBSTITUTE($O1487,"~","~~"),"*","~*"),"?","~?"),'DEF_SELF_SCOUT_IMPORT'!$H$42:$H$1040,"DROPBACK")/$C1487)</f>
        <v>1.0</v>
      </c>
      <c r="I1487" s="14" t="str">
        <f>IF(C1487=0,"",IF(C1487&lt;=2,"TRACK",IF(C1487=3,"LOW",IF(C1487&lt;=6,"MEDIUM","HIGH"))))</f>
        <v>TRACK</v>
      </c>
      <c r="J1487" s="11">
        <f>IF(C1487=0,"",ROUND(D1487*70+(1-E1487)*20+MAX(0,MIN(1,(10-F1487)/10))*10,1))</f>
        <v>20.0</v>
      </c>
      <c r="K1487" s="14" t="str">
        <f>IF(C1487=0,"No Evidence",IF(C1487&lt;=2,IF(E1487&gt;0,"Explosive Alert","Track Only"),IF(C1487=3,"Sample Watch",IF(E1487&gt;=START_HERE!$B$31,"Explosive Alert",IF(J1487&gt;=80,"Strong Candidate",IF(J1487&gt;=65,"Good Candidate",IF(J1487&gt;=50,"Mixed / Review","Problem Call")))))))</f>
        <v>Track Only</v>
      </c>
      <c r="L1487" s="9" t="str">
        <f>IF(COUNTIFS('DEF_SELF_SCOUT_IMPORT'!$L$42:$L$1040,"Y",'DEF_SELF_SCOUT_IMPORT'!$E$42:$E$1040,SUBSTITUTE(SUBSTITUTE(SUBSTITUTE($B1487,"~","~~"),"*","~*"),"?","~?"),'DEF_SELF_SCOUT_IMPORT'!$Q$42:$Q$1040,SUBSTITUTE(SUBSTITUTE(SUBSTITUTE($M1487,"~","~~"),"*","~*"),"?","~?"),'DEF_SELF_SCOUT_IMPORT'!$F$42:$F$1040,SUBSTITUTE(SUBSTITUTE(SUBSTITUTE($N1487,"~","~~"),"*","~*"),"?","~?"),'DEF_SELF_SCOUT_IMPORT'!$G$42:$G$1040,SUBSTITUTE(SUBSTITUTE(SUBSTITUTE($O1487,"~","~~"),"*","~*"),"?","~?"),'DEF_SELF_SCOUT_IMPORT'!$J$42:$J$1040,"")&gt;0,"Unscored clean outcome; review result tags before using score.",IF(C1487=0,"No matching defensive reps; film confirmation needed.",IF(K1487="Explosive Alert","Explosive risk; review clips before using as answer.",IF(C1487&lt;=2,"Track only; not enough sample.",IF(C1487=3,IF(E1487&gt;0,"Sample watch with explosive exposure; review clips and build the sample.",IF(J1487&gt;=65,"Good signal, but sample is limited.","Sample watch; review clips and build the sample.")),IF(K1487="Problem Call","Problem area; practice or call-sheet review.",IF(K1487="Strong Candidate","Strong call-fit candidate; confirm on film.",IF(K1487="Good Candidate","Good call-fit signal; confirm on film.","Mixed signal; review fit and execution on film."))))))))</f>
        <v>Track only; not enough sample.</v>
      </c>
      <c r="M1487" s="8" t="s">
        <v>107</v>
      </c>
      <c r="N1487" s="8" t="s">
        <v>120</v>
      </c>
      <c r="O1487" s="8" t="s">
        <v>206</v>
      </c>
      <c r="P1487" s="8"/>
      <c r="Q1487" s="8"/>
      <c r="R1487" s="8" t="s">
        <v>661</v>
      </c>
      <c r="S1487" s="2" t="s">
        <v>671</v>
      </c>
      <c r="T1487" s="2">
        <f>IF(C1487=0,0,IF(C1487&gt;=CALL_LOOKUP_BOARD!$B$7,IF(OR(K1487="Problem Call",K1487="Explosive Alert"),10000000,20000000),0)+IF(C1487&gt;=CALL_LOOKUP_BOARD!$B$7,J1487*1000+MIN(C1487,999),C1487*1000+J1487)+0.00996000)</f>
        <v>1020.00996</v>
      </c>
      <c r="U1487" s="2" t="str">
        <f>IF(C1487=0,"",IF(COUNTIFS($S$1448:$S$1491,SUBSTITUTE(SUBSTITUTE(SUBSTITUTE(S1487,"~","~~"),"*","~*"),"?","~?"),$T$1448:$T$1491,"&gt;"&amp;T1487)=0,S1487,""))</f>
        <v>7:3D 7-10|2:11|3:3X1|0:|</v>
      </c>
    </row>
    <row r="1488" spans="1:21" ht="38" customHeight="1">
      <c r="A1488" s="8" t="s">
        <v>398</v>
      </c>
      <c r="B1488" s="8" t="s">
        <v>110</v>
      </c>
      <c r="C1488" s="12">
        <f>COUNTIFS('DEF_SELF_SCOUT_IMPORT'!$L$42:$L$1040,"Y",'DEF_SELF_SCOUT_IMPORT'!$E$42:$E$1040,SUBSTITUTE(SUBSTITUTE(SUBSTITUTE($B1488,"~","~~"),"*","~*"),"?","~?"),'DEF_SELF_SCOUT_IMPORT'!$Q$42:$Q$1040,SUBSTITUTE(SUBSTITUTE(SUBSTITUTE($M1488,"~","~~"),"*","~*"),"?","~?"),'DEF_SELF_SCOUT_IMPORT'!$F$42:$F$1040,SUBSTITUTE(SUBSTITUTE(SUBSTITUTE($N1488,"~","~~"),"*","~*"),"?","~?"),'DEF_SELF_SCOUT_IMPORT'!$G$42:$G$1040,SUBSTITUTE(SUBSTITUTE(SUBSTITUTE($O1488,"~","~~"),"*","~*"),"?","~?"))</f>
        <v>1</v>
      </c>
      <c r="D1488" s="10">
        <f>IF($C1488=0,"",SUMIFS('DEF_SELF_SCOUT_IMPORT'!$J$42:$J$1040,'DEF_SELF_SCOUT_IMPORT'!$L$42:$L$1040,"Y",'DEF_SELF_SCOUT_IMPORT'!$E$42:$E$1040,SUBSTITUTE(SUBSTITUTE(SUBSTITUTE($B1488,"~","~~"),"*","~*"),"?","~?"),'DEF_SELF_SCOUT_IMPORT'!$Q$42:$Q$1040,SUBSTITUTE(SUBSTITUTE(SUBSTITUTE($M1488,"~","~~"),"*","~*"),"?","~?"),'DEF_SELF_SCOUT_IMPORT'!$F$42:$F$1040,SUBSTITUTE(SUBSTITUTE(SUBSTITUTE($N1488,"~","~~"),"*","~*"),"?","~?"),'DEF_SELF_SCOUT_IMPORT'!$G$42:$G$1040,SUBSTITUTE(SUBSTITUTE(SUBSTITUTE($O1488,"~","~~"),"*","~*"),"?","~?"))/$C1488)</f>
        <v>0.0</v>
      </c>
      <c r="E1488" s="10">
        <f>IF($C1488=0,"",SUMIFS('DEF_SELF_SCOUT_IMPORT'!$K$42:$K$1040,'DEF_SELF_SCOUT_IMPORT'!$L$42:$L$1040,"Y",'DEF_SELF_SCOUT_IMPORT'!$E$42:$E$1040,SUBSTITUTE(SUBSTITUTE(SUBSTITUTE($B1488,"~","~~"),"*","~*"),"?","~?"),'DEF_SELF_SCOUT_IMPORT'!$Q$42:$Q$1040,SUBSTITUTE(SUBSTITUTE(SUBSTITUTE($M1488,"~","~~"),"*","~*"),"?","~?"),'DEF_SELF_SCOUT_IMPORT'!$F$42:$F$1040,SUBSTITUTE(SUBSTITUTE(SUBSTITUTE($N1488,"~","~~"),"*","~*"),"?","~?"),'DEF_SELF_SCOUT_IMPORT'!$G$42:$G$1040,SUBSTITUTE(SUBSTITUTE(SUBSTITUTE($O1488,"~","~~"),"*","~*"),"?","~?"))/$C1488)</f>
        <v>1.0</v>
      </c>
      <c r="F1488" s="11">
        <f>IF($C1488=0,"",AVERAGEIFS('DEF_SELF_SCOUT_IMPORT'!$I$42:$I$1040,'DEF_SELF_SCOUT_IMPORT'!$L$42:$L$1040,"Y",'DEF_SELF_SCOUT_IMPORT'!$E$42:$E$1040,SUBSTITUTE(SUBSTITUTE(SUBSTITUTE($B1488,"~","~~"),"*","~*"),"?","~?"),'DEF_SELF_SCOUT_IMPORT'!$Q$42:$Q$1040,SUBSTITUTE(SUBSTITUTE(SUBSTITUTE($M1488,"~","~~"),"*","~*"),"?","~?"),'DEF_SELF_SCOUT_IMPORT'!$F$42:$F$1040,SUBSTITUTE(SUBSTITUTE(SUBSTITUTE($N1488,"~","~~"),"*","~*"),"?","~?"),'DEF_SELF_SCOUT_IMPORT'!$G$42:$G$1040,SUBSTITUTE(SUBSTITUTE(SUBSTITUTE($O1488,"~","~~"),"*","~*"),"?","~?")))</f>
        <v>19.0</v>
      </c>
      <c r="G1488" s="10">
        <f>IF($C1488=0,"",COUNTIFS('DEF_SELF_SCOUT_IMPORT'!$L$42:$L$1040,"Y",'DEF_SELF_SCOUT_IMPORT'!$E$42:$E$1040,SUBSTITUTE(SUBSTITUTE(SUBSTITUTE($B1488,"~","~~"),"*","~*"),"?","~?"),'DEF_SELF_SCOUT_IMPORT'!$Q$42:$Q$1040,SUBSTITUTE(SUBSTITUTE(SUBSTITUTE($M1488,"~","~~"),"*","~*"),"?","~?"),'DEF_SELF_SCOUT_IMPORT'!$F$42:$F$1040,SUBSTITUTE(SUBSTITUTE(SUBSTITUTE($N1488,"~","~~"),"*","~*"),"?","~?"),'DEF_SELF_SCOUT_IMPORT'!$G$42:$G$1040,SUBSTITUTE(SUBSTITUTE(SUBSTITUTE($O1488,"~","~~"),"*","~*"),"?","~?"),'DEF_SELF_SCOUT_IMPORT'!$H$42:$H$1040,"RUSH")/$C1488)</f>
        <v>0.0</v>
      </c>
      <c r="H1488" s="10">
        <f>IF($C1488=0,"",COUNTIFS('DEF_SELF_SCOUT_IMPORT'!$L$42:$L$1040,"Y",'DEF_SELF_SCOUT_IMPORT'!$E$42:$E$1040,SUBSTITUTE(SUBSTITUTE(SUBSTITUTE($B1488,"~","~~"),"*","~*"),"?","~?"),'DEF_SELF_SCOUT_IMPORT'!$Q$42:$Q$1040,SUBSTITUTE(SUBSTITUTE(SUBSTITUTE($M1488,"~","~~"),"*","~*"),"?","~?"),'DEF_SELF_SCOUT_IMPORT'!$F$42:$F$1040,SUBSTITUTE(SUBSTITUTE(SUBSTITUTE($N1488,"~","~~"),"*","~*"),"?","~?"),'DEF_SELF_SCOUT_IMPORT'!$G$42:$G$1040,SUBSTITUTE(SUBSTITUTE(SUBSTITUTE($O1488,"~","~~"),"*","~*"),"?","~?"),'DEF_SELF_SCOUT_IMPORT'!$H$42:$H$1040,"DROPBACK")/$C1488)</f>
        <v>1.0</v>
      </c>
      <c r="I1488" s="14" t="str">
        <f>IF(C1488=0,"",IF(C1488&lt;=2,"TRACK",IF(C1488=3,"LOW",IF(C1488&lt;=6,"MEDIUM","HIGH"))))</f>
        <v>TRACK</v>
      </c>
      <c r="J1488" s="11">
        <f>IF(C1488=0,"",ROUND(D1488*70+(1-E1488)*20+MAX(0,MIN(1,(10-F1488)/10))*10,1))</f>
        <v>0.0</v>
      </c>
      <c r="K1488" s="14" t="str">
        <f>IF(C1488=0,"No Evidence",IF(C1488&lt;=2,IF(E1488&gt;0,"Explosive Alert","Track Only"),IF(C1488=3,"Sample Watch",IF(E1488&gt;=START_HERE!$B$31,"Explosive Alert",IF(J1488&gt;=80,"Strong Candidate",IF(J1488&gt;=65,"Good Candidate",IF(J1488&gt;=50,"Mixed / Review","Problem Call")))))))</f>
        <v>Explosive Alert</v>
      </c>
      <c r="L1488" s="9" t="str">
        <f>IF(COUNTIFS('DEF_SELF_SCOUT_IMPORT'!$L$42:$L$1040,"Y",'DEF_SELF_SCOUT_IMPORT'!$E$42:$E$1040,SUBSTITUTE(SUBSTITUTE(SUBSTITUTE($B1488,"~","~~"),"*","~*"),"?","~?"),'DEF_SELF_SCOUT_IMPORT'!$Q$42:$Q$1040,SUBSTITUTE(SUBSTITUTE(SUBSTITUTE($M1488,"~","~~"),"*","~*"),"?","~?"),'DEF_SELF_SCOUT_IMPORT'!$F$42:$F$1040,SUBSTITUTE(SUBSTITUTE(SUBSTITUTE($N1488,"~","~~"),"*","~*"),"?","~?"),'DEF_SELF_SCOUT_IMPORT'!$G$42:$G$1040,SUBSTITUTE(SUBSTITUTE(SUBSTITUTE($O1488,"~","~~"),"*","~*"),"?","~?"),'DEF_SELF_SCOUT_IMPORT'!$J$42:$J$1040,"")&gt;0,"Unscored clean outcome; review result tags before using score.",IF(C1488=0,"No matching defensive reps; film confirmation needed.",IF(K1488="Explosive Alert","Explosive risk; review clips before using as answer.",IF(C1488&lt;=2,"Track only; not enough sample.",IF(C1488=3,IF(E1488&gt;0,"Sample watch with explosive exposure; review clips and build the sample.",IF(J1488&gt;=65,"Good signal, but sample is limited.","Sample watch; review clips and build the sample.")),IF(K1488="Problem Call","Problem area; practice or call-sheet review.",IF(K1488="Strong Candidate","Strong call-fit candidate; confirm on film.",IF(K1488="Good Candidate","Good call-fit signal; confirm on film.","Mixed signal; review fit and execution on film."))))))))</f>
        <v>Explosive risk; review clips before using as answer.</v>
      </c>
      <c r="M1488" s="8" t="s">
        <v>107</v>
      </c>
      <c r="N1488" s="8" t="s">
        <v>120</v>
      </c>
      <c r="O1488" s="8" t="s">
        <v>206</v>
      </c>
      <c r="P1488" s="8"/>
      <c r="Q1488" s="8"/>
      <c r="R1488" s="8" t="s">
        <v>661</v>
      </c>
      <c r="S1488" s="2" t="s">
        <v>671</v>
      </c>
      <c r="T1488" s="2">
        <f>IF(C1488=0,0,IF(C1488&gt;=CALL_LOOKUP_BOARD!$B$7,IF(OR(K1488="Problem Call",K1488="Explosive Alert"),10000000,20000000),0)+IF(C1488&gt;=CALL_LOOKUP_BOARD!$B$7,J1488*1000+MIN(C1488,999),C1488*1000+J1488)+0.00995900)</f>
        <v>1000.009959</v>
      </c>
      <c r="U1488" s="2">
        <f>IF(C1488=0,"",IF(COUNTIFS($S$1448:$S$1491,SUBSTITUTE(SUBSTITUTE(SUBSTITUTE(S1488,"~","~~"),"*","~*"),"?","~?"),$T$1448:$T$1491,"&gt;"&amp;T1488)=0,S1488,""))</f>
        <v/>
      </c>
    </row>
    <row r="1489" spans="1:21" ht="38" customHeight="1">
      <c r="A1489" s="8" t="s">
        <v>672</v>
      </c>
      <c r="B1489" s="8" t="s">
        <v>93</v>
      </c>
      <c r="C1489" s="12">
        <f>COUNTIFS('DEF_SELF_SCOUT_IMPORT'!$L$42:$L$1040,"Y",'DEF_SELF_SCOUT_IMPORT'!$E$42:$E$1040,SUBSTITUTE(SUBSTITUTE(SUBSTITUTE($B1489,"~","~~"),"*","~*"),"?","~?"),'DEF_SELF_SCOUT_IMPORT'!$Q$42:$Q$1040,SUBSTITUTE(SUBSTITUTE(SUBSTITUTE($M1489,"~","~~"),"*","~*"),"?","~?"),'DEF_SELF_SCOUT_IMPORT'!$G$42:$G$1040,SUBSTITUTE(SUBSTITUTE(SUBSTITUTE($O1489,"~","~~"),"*","~*"),"?","~?"),'DEF_SELF_SCOUT_IMPORT'!$D$42:$D$1040,SUBSTITUTE(SUBSTITUTE(SUBSTITUTE($P1489,"~","~~"),"*","~*"),"?","~?"))</f>
        <v>1</v>
      </c>
      <c r="D1489" s="10">
        <f>IF($C1489=0,"",SUMIFS('DEF_SELF_SCOUT_IMPORT'!$J$42:$J$1040,'DEF_SELF_SCOUT_IMPORT'!$L$42:$L$1040,"Y",'DEF_SELF_SCOUT_IMPORT'!$E$42:$E$1040,SUBSTITUTE(SUBSTITUTE(SUBSTITUTE($B1489,"~","~~"),"*","~*"),"?","~?"),'DEF_SELF_SCOUT_IMPORT'!$Q$42:$Q$1040,SUBSTITUTE(SUBSTITUTE(SUBSTITUTE($M1489,"~","~~"),"*","~*"),"?","~?"),'DEF_SELF_SCOUT_IMPORT'!$G$42:$G$1040,SUBSTITUTE(SUBSTITUTE(SUBSTITUTE($O1489,"~","~~"),"*","~*"),"?","~?"),'DEF_SELF_SCOUT_IMPORT'!$D$42:$D$1040,SUBSTITUTE(SUBSTITUTE(SUBSTITUTE($P1489,"~","~~"),"*","~*"),"?","~?"))/$C1489)</f>
        <v>0.0</v>
      </c>
      <c r="E1489" s="10">
        <f>IF($C1489=0,"",SUMIFS('DEF_SELF_SCOUT_IMPORT'!$K$42:$K$1040,'DEF_SELF_SCOUT_IMPORT'!$L$42:$L$1040,"Y",'DEF_SELF_SCOUT_IMPORT'!$E$42:$E$1040,SUBSTITUTE(SUBSTITUTE(SUBSTITUTE($B1489,"~","~~"),"*","~*"),"?","~?"),'DEF_SELF_SCOUT_IMPORT'!$Q$42:$Q$1040,SUBSTITUTE(SUBSTITUTE(SUBSTITUTE($M1489,"~","~~"),"*","~*"),"?","~?"),'DEF_SELF_SCOUT_IMPORT'!$G$42:$G$1040,SUBSTITUTE(SUBSTITUTE(SUBSTITUTE($O1489,"~","~~"),"*","~*"),"?","~?"),'DEF_SELF_SCOUT_IMPORT'!$D$42:$D$1040,SUBSTITUTE(SUBSTITUTE(SUBSTITUTE($P1489,"~","~~"),"*","~*"),"?","~?"))/$C1489)</f>
        <v>1.0</v>
      </c>
      <c r="F1489" s="11">
        <f>IF($C1489=0,"",AVERAGEIFS('DEF_SELF_SCOUT_IMPORT'!$I$42:$I$1040,'DEF_SELF_SCOUT_IMPORT'!$L$42:$L$1040,"Y",'DEF_SELF_SCOUT_IMPORT'!$E$42:$E$1040,SUBSTITUTE(SUBSTITUTE(SUBSTITUTE($B1489,"~","~~"),"*","~*"),"?","~?"),'DEF_SELF_SCOUT_IMPORT'!$Q$42:$Q$1040,SUBSTITUTE(SUBSTITUTE(SUBSTITUTE($M1489,"~","~~"),"*","~*"),"?","~?"),'DEF_SELF_SCOUT_IMPORT'!$G$42:$G$1040,SUBSTITUTE(SUBSTITUTE(SUBSTITUTE($O1489,"~","~~"),"*","~*"),"?","~?"),'DEF_SELF_SCOUT_IMPORT'!$D$42:$D$1040,SUBSTITUTE(SUBSTITUTE(SUBSTITUTE($P1489,"~","~~"),"*","~*"),"?","~?")))</f>
        <v>21.0</v>
      </c>
      <c r="G1489" s="10">
        <f>IF($C1489=0,"",COUNTIFS('DEF_SELF_SCOUT_IMPORT'!$L$42:$L$1040,"Y",'DEF_SELF_SCOUT_IMPORT'!$E$42:$E$1040,SUBSTITUTE(SUBSTITUTE(SUBSTITUTE($B1489,"~","~~"),"*","~*"),"?","~?"),'DEF_SELF_SCOUT_IMPORT'!$Q$42:$Q$1040,SUBSTITUTE(SUBSTITUTE(SUBSTITUTE($M1489,"~","~~"),"*","~*"),"?","~?"),'DEF_SELF_SCOUT_IMPORT'!$G$42:$G$1040,SUBSTITUTE(SUBSTITUTE(SUBSTITUTE($O1489,"~","~~"),"*","~*"),"?","~?"),'DEF_SELF_SCOUT_IMPORT'!$D$42:$D$1040,SUBSTITUTE(SUBSTITUTE(SUBSTITUTE($P1489,"~","~~"),"*","~*"),"?","~?"),'DEF_SELF_SCOUT_IMPORT'!$H$42:$H$1040,"RUSH")/$C1489)</f>
        <v>0.0</v>
      </c>
      <c r="H1489" s="10">
        <f>IF($C1489=0,"",COUNTIFS('DEF_SELF_SCOUT_IMPORT'!$L$42:$L$1040,"Y",'DEF_SELF_SCOUT_IMPORT'!$E$42:$E$1040,SUBSTITUTE(SUBSTITUTE(SUBSTITUTE($B1489,"~","~~"),"*","~*"),"?","~?"),'DEF_SELF_SCOUT_IMPORT'!$Q$42:$Q$1040,SUBSTITUTE(SUBSTITUTE(SUBSTITUTE($M1489,"~","~~"),"*","~*"),"?","~?"),'DEF_SELF_SCOUT_IMPORT'!$G$42:$G$1040,SUBSTITUTE(SUBSTITUTE(SUBSTITUTE($O1489,"~","~~"),"*","~*"),"?","~?"),'DEF_SELF_SCOUT_IMPORT'!$D$42:$D$1040,SUBSTITUTE(SUBSTITUTE(SUBSTITUTE($P1489,"~","~~"),"*","~*"),"?","~?"),'DEF_SELF_SCOUT_IMPORT'!$H$42:$H$1040,"DROPBACK")/$C1489)</f>
        <v>1.0</v>
      </c>
      <c r="I1489" s="14" t="str">
        <f>IF(C1489=0,"",IF(C1489&lt;=2,"TRACK",IF(C1489=3,"LOW",IF(C1489&lt;=6,"MEDIUM","HIGH"))))</f>
        <v>TRACK</v>
      </c>
      <c r="J1489" s="11">
        <f>IF(C1489=0,"",ROUND(D1489*70+(1-E1489)*20+MAX(0,MIN(1,(10-F1489)/10))*10,1))</f>
        <v>0.0</v>
      </c>
      <c r="K1489" s="14" t="str">
        <f>IF(C1489=0,"No Evidence",IF(C1489&lt;=2,IF(E1489&gt;0,"Explosive Alert","Track Only"),IF(C1489=3,"Sample Watch",IF(E1489&gt;=START_HERE!$B$31,"Explosive Alert",IF(J1489&gt;=80,"Strong Candidate",IF(J1489&gt;=65,"Good Candidate",IF(J1489&gt;=50,"Mixed / Review","Problem Call")))))))</f>
        <v>Explosive Alert</v>
      </c>
      <c r="L1489" s="9" t="str">
        <f>IF(COUNTIFS('DEF_SELF_SCOUT_IMPORT'!$L$42:$L$1040,"Y",'DEF_SELF_SCOUT_IMPORT'!$E$42:$E$1040,SUBSTITUTE(SUBSTITUTE(SUBSTITUTE($B1489,"~","~~"),"*","~*"),"?","~?"),'DEF_SELF_SCOUT_IMPORT'!$Q$42:$Q$1040,SUBSTITUTE(SUBSTITUTE(SUBSTITUTE($M1489,"~","~~"),"*","~*"),"?","~?"),'DEF_SELF_SCOUT_IMPORT'!$G$42:$G$1040,SUBSTITUTE(SUBSTITUTE(SUBSTITUTE($O1489,"~","~~"),"*","~*"),"?","~?"),'DEF_SELF_SCOUT_IMPORT'!$D$42:$D$1040,SUBSTITUTE(SUBSTITUTE(SUBSTITUTE($P1489,"~","~~"),"*","~*"),"?","~?"),'DEF_SELF_SCOUT_IMPORT'!$J$42:$J$1040,"")&gt;0,"Unscored clean outcome; review result tags before using score.",IF(C1489=0,"No matching defensive reps; film confirmation needed.",IF(K1489="Explosive Alert","Explosive risk; review clips before using as answer.",IF(C1489&lt;=2,"Track only; not enough sample.",IF(C1489=3,IF(E1489&gt;0,"Sample watch with explosive exposure; review clips and build the sample.",IF(J1489&gt;=65,"Good signal, but sample is limited.","Sample watch; review clips and build the sample.")),IF(K1489="Problem Call","Problem area; practice or call-sheet review.",IF(K1489="Strong Candidate","Strong call-fit candidate; confirm on film.",IF(K1489="Good Candidate","Good call-fit signal; confirm on film.","Mixed signal; review fit and execution on film."))))))))</f>
        <v>Explosive risk; review clips before using as answer.</v>
      </c>
      <c r="M1489" s="8" t="s">
        <v>107</v>
      </c>
      <c r="N1489" s="8"/>
      <c r="O1489" s="8" t="s">
        <v>203</v>
      </c>
      <c r="P1489" s="8" t="s">
        <v>449</v>
      </c>
      <c r="Q1489" s="8"/>
      <c r="R1489" s="8" t="s">
        <v>661</v>
      </c>
      <c r="S1489" s="2" t="s">
        <v>673</v>
      </c>
      <c r="T1489" s="2">
        <f>IF(C1489=0,0,IF(C1489&gt;=CALL_LOOKUP_BOARD!$B$7,IF(OR(K1489="Problem Call",K1489="Explosive Alert"),10000000,20000000),0)+IF(C1489&gt;=CALL_LOOKUP_BOARD!$B$7,J1489*1000+MIN(C1489,999),C1489*1000+J1489)+0.00995800)</f>
        <v>1000.009958</v>
      </c>
      <c r="U1489" s="2">
        <f>IF(C1489=0,"",IF(COUNTIFS($S$1448:$S$1491,SUBSTITUTE(SUBSTITUTE(SUBSTITUTE(S1489,"~","~~"),"*","~*"),"?","~?"),$T$1448:$T$1491,"&gt;"&amp;T1489)=0,S1489,""))</f>
        <v/>
      </c>
    </row>
    <row r="1490" spans="1:21" ht="38" customHeight="1">
      <c r="A1490" s="8" t="s">
        <v>672</v>
      </c>
      <c r="B1490" s="8" t="s">
        <v>61</v>
      </c>
      <c r="C1490" s="12">
        <f>COUNTIFS('DEF_SELF_SCOUT_IMPORT'!$L$42:$L$1040,"Y",'DEF_SELF_SCOUT_IMPORT'!$E$42:$E$1040,SUBSTITUTE(SUBSTITUTE(SUBSTITUTE($B1490,"~","~~"),"*","~*"),"?","~?"),'DEF_SELF_SCOUT_IMPORT'!$Q$42:$Q$1040,SUBSTITUTE(SUBSTITUTE(SUBSTITUTE($M1490,"~","~~"),"*","~*"),"?","~?"),'DEF_SELF_SCOUT_IMPORT'!$G$42:$G$1040,SUBSTITUTE(SUBSTITUTE(SUBSTITUTE($O1490,"~","~~"),"*","~*"),"?","~?"),'DEF_SELF_SCOUT_IMPORT'!$D$42:$D$1040,SUBSTITUTE(SUBSTITUTE(SUBSTITUTE($P1490,"~","~~"),"*","~*"),"?","~?"))</f>
        <v>1</v>
      </c>
      <c r="D1490" s="10">
        <f>IF($C1490=0,"",SUMIFS('DEF_SELF_SCOUT_IMPORT'!$J$42:$J$1040,'DEF_SELF_SCOUT_IMPORT'!$L$42:$L$1040,"Y",'DEF_SELF_SCOUT_IMPORT'!$E$42:$E$1040,SUBSTITUTE(SUBSTITUTE(SUBSTITUTE($B1490,"~","~~"),"*","~*"),"?","~?"),'DEF_SELF_SCOUT_IMPORT'!$Q$42:$Q$1040,SUBSTITUTE(SUBSTITUTE(SUBSTITUTE($M1490,"~","~~"),"*","~*"),"?","~?"),'DEF_SELF_SCOUT_IMPORT'!$G$42:$G$1040,SUBSTITUTE(SUBSTITUTE(SUBSTITUTE($O1490,"~","~~"),"*","~*"),"?","~?"),'DEF_SELF_SCOUT_IMPORT'!$D$42:$D$1040,SUBSTITUTE(SUBSTITUTE(SUBSTITUTE($P1490,"~","~~"),"*","~*"),"?","~?"))/$C1490)</f>
        <v>0.0</v>
      </c>
      <c r="E1490" s="10">
        <f>IF($C1490=0,"",SUMIFS('DEF_SELF_SCOUT_IMPORT'!$K$42:$K$1040,'DEF_SELF_SCOUT_IMPORT'!$L$42:$L$1040,"Y",'DEF_SELF_SCOUT_IMPORT'!$E$42:$E$1040,SUBSTITUTE(SUBSTITUTE(SUBSTITUTE($B1490,"~","~~"),"*","~*"),"?","~?"),'DEF_SELF_SCOUT_IMPORT'!$Q$42:$Q$1040,SUBSTITUTE(SUBSTITUTE(SUBSTITUTE($M1490,"~","~~"),"*","~*"),"?","~?"),'DEF_SELF_SCOUT_IMPORT'!$G$42:$G$1040,SUBSTITUTE(SUBSTITUTE(SUBSTITUTE($O1490,"~","~~"),"*","~*"),"?","~?"),'DEF_SELF_SCOUT_IMPORT'!$D$42:$D$1040,SUBSTITUTE(SUBSTITUTE(SUBSTITUTE($P1490,"~","~~"),"*","~*"),"?","~?"))/$C1490)</f>
        <v>0.0</v>
      </c>
      <c r="F1490" s="11">
        <f>IF($C1490=0,"",AVERAGEIFS('DEF_SELF_SCOUT_IMPORT'!$I$42:$I$1040,'DEF_SELF_SCOUT_IMPORT'!$L$42:$L$1040,"Y",'DEF_SELF_SCOUT_IMPORT'!$E$42:$E$1040,SUBSTITUTE(SUBSTITUTE(SUBSTITUTE($B1490,"~","~~"),"*","~*"),"?","~?"),'DEF_SELF_SCOUT_IMPORT'!$Q$42:$Q$1040,SUBSTITUTE(SUBSTITUTE(SUBSTITUTE($M1490,"~","~~"),"*","~*"),"?","~?"),'DEF_SELF_SCOUT_IMPORT'!$G$42:$G$1040,SUBSTITUTE(SUBSTITUTE(SUBSTITUTE($O1490,"~","~~"),"*","~*"),"?","~?"),'DEF_SELF_SCOUT_IMPORT'!$D$42:$D$1040,SUBSTITUTE(SUBSTITUTE(SUBSTITUTE($P1490,"~","~~"),"*","~*"),"?","~?")))</f>
        <v>13.0</v>
      </c>
      <c r="G1490" s="10">
        <f>IF($C1490=0,"",COUNTIFS('DEF_SELF_SCOUT_IMPORT'!$L$42:$L$1040,"Y",'DEF_SELF_SCOUT_IMPORT'!$E$42:$E$1040,SUBSTITUTE(SUBSTITUTE(SUBSTITUTE($B1490,"~","~~"),"*","~*"),"?","~?"),'DEF_SELF_SCOUT_IMPORT'!$Q$42:$Q$1040,SUBSTITUTE(SUBSTITUTE(SUBSTITUTE($M1490,"~","~~"),"*","~*"),"?","~?"),'DEF_SELF_SCOUT_IMPORT'!$G$42:$G$1040,SUBSTITUTE(SUBSTITUTE(SUBSTITUTE($O1490,"~","~~"),"*","~*"),"?","~?"),'DEF_SELF_SCOUT_IMPORT'!$D$42:$D$1040,SUBSTITUTE(SUBSTITUTE(SUBSTITUTE($P1490,"~","~~"),"*","~*"),"?","~?"),'DEF_SELF_SCOUT_IMPORT'!$H$42:$H$1040,"RUSH")/$C1490)</f>
        <v>0.0</v>
      </c>
      <c r="H1490" s="10">
        <f>IF($C1490=0,"",COUNTIFS('DEF_SELF_SCOUT_IMPORT'!$L$42:$L$1040,"Y",'DEF_SELF_SCOUT_IMPORT'!$E$42:$E$1040,SUBSTITUTE(SUBSTITUTE(SUBSTITUTE($B1490,"~","~~"),"*","~*"),"?","~?"),'DEF_SELF_SCOUT_IMPORT'!$Q$42:$Q$1040,SUBSTITUTE(SUBSTITUTE(SUBSTITUTE($M1490,"~","~~"),"*","~*"),"?","~?"),'DEF_SELF_SCOUT_IMPORT'!$G$42:$G$1040,SUBSTITUTE(SUBSTITUTE(SUBSTITUTE($O1490,"~","~~"),"*","~*"),"?","~?"),'DEF_SELF_SCOUT_IMPORT'!$D$42:$D$1040,SUBSTITUTE(SUBSTITUTE(SUBSTITUTE($P1490,"~","~~"),"*","~*"),"?","~?"),'DEF_SELF_SCOUT_IMPORT'!$H$42:$H$1040,"DROPBACK")/$C1490)</f>
        <v>1.0</v>
      </c>
      <c r="I1490" s="14" t="str">
        <f>IF(C1490=0,"",IF(C1490&lt;=2,"TRACK",IF(C1490=3,"LOW",IF(C1490&lt;=6,"MEDIUM","HIGH"))))</f>
        <v>TRACK</v>
      </c>
      <c r="J1490" s="11">
        <f>IF(C1490=0,"",ROUND(D1490*70+(1-E1490)*20+MAX(0,MIN(1,(10-F1490)/10))*10,1))</f>
        <v>20.0</v>
      </c>
      <c r="K1490" s="14" t="str">
        <f>IF(C1490=0,"No Evidence",IF(C1490&lt;=2,IF(E1490&gt;0,"Explosive Alert","Track Only"),IF(C1490=3,"Sample Watch",IF(E1490&gt;=START_HERE!$B$31,"Explosive Alert",IF(J1490&gt;=80,"Strong Candidate",IF(J1490&gt;=65,"Good Candidate",IF(J1490&gt;=50,"Mixed / Review","Problem Call")))))))</f>
        <v>Track Only</v>
      </c>
      <c r="L1490" s="9" t="str">
        <f>IF(COUNTIFS('DEF_SELF_SCOUT_IMPORT'!$L$42:$L$1040,"Y",'DEF_SELF_SCOUT_IMPORT'!$E$42:$E$1040,SUBSTITUTE(SUBSTITUTE(SUBSTITUTE($B1490,"~","~~"),"*","~*"),"?","~?"),'DEF_SELF_SCOUT_IMPORT'!$Q$42:$Q$1040,SUBSTITUTE(SUBSTITUTE(SUBSTITUTE($M1490,"~","~~"),"*","~*"),"?","~?"),'DEF_SELF_SCOUT_IMPORT'!$G$42:$G$1040,SUBSTITUTE(SUBSTITUTE(SUBSTITUTE($O1490,"~","~~"),"*","~*"),"?","~?"),'DEF_SELF_SCOUT_IMPORT'!$D$42:$D$1040,SUBSTITUTE(SUBSTITUTE(SUBSTITUTE($P1490,"~","~~"),"*","~*"),"?","~?"),'DEF_SELF_SCOUT_IMPORT'!$J$42:$J$1040,"")&gt;0,"Unscored clean outcome; review result tags before using score.",IF(C1490=0,"No matching defensive reps; film confirmation needed.",IF(K1490="Explosive Alert","Explosive risk; review clips before using as answer.",IF(C1490&lt;=2,"Track only; not enough sample.",IF(C1490=3,IF(E1490&gt;0,"Sample watch with explosive exposure; review clips and build the sample.",IF(J1490&gt;=65,"Good signal, but sample is limited.","Sample watch; review clips and build the sample.")),IF(K1490="Problem Call","Problem area; practice or call-sheet review.",IF(K1490="Strong Candidate","Strong call-fit candidate; confirm on film.",IF(K1490="Good Candidate","Good call-fit signal; confirm on film.","Mixed signal; review fit and execution on film."))))))))</f>
        <v>Track only; not enough sample.</v>
      </c>
      <c r="M1490" s="8" t="s">
        <v>107</v>
      </c>
      <c r="N1490" s="8"/>
      <c r="O1490" s="8" t="s">
        <v>203</v>
      </c>
      <c r="P1490" s="8" t="s">
        <v>449</v>
      </c>
      <c r="Q1490" s="8"/>
      <c r="R1490" s="8" t="s">
        <v>661</v>
      </c>
      <c r="S1490" s="2" t="s">
        <v>673</v>
      </c>
      <c r="T1490" s="2">
        <f>IF(C1490=0,0,IF(C1490&gt;=CALL_LOOKUP_BOARD!$B$7,IF(OR(K1490="Problem Call",K1490="Explosive Alert"),10000000,20000000),0)+IF(C1490&gt;=CALL_LOOKUP_BOARD!$B$7,J1490*1000+MIN(C1490,999),C1490*1000+J1490)+0.00995700)</f>
        <v>1020.009957</v>
      </c>
      <c r="U1490" s="2">
        <f>IF(C1490=0,"",IF(COUNTIFS($S$1448:$S$1491,SUBSTITUTE(SUBSTITUTE(SUBSTITUTE(S1490,"~","~~"),"*","~*"),"?","~?"),$T$1448:$T$1491,"&gt;"&amp;T1490)=0,S1490,""))</f>
        <v/>
      </c>
    </row>
    <row r="1491" spans="1:21" ht="38" customHeight="1">
      <c r="A1491" s="8" t="s">
        <v>672</v>
      </c>
      <c r="B1491" s="8" t="s">
        <v>91</v>
      </c>
      <c r="C1491" s="12">
        <f>COUNTIFS('DEF_SELF_SCOUT_IMPORT'!$L$42:$L$1040,"Y",'DEF_SELF_SCOUT_IMPORT'!$E$42:$E$1040,SUBSTITUTE(SUBSTITUTE(SUBSTITUTE($B1491,"~","~~"),"*","~*"),"?","~?"),'DEF_SELF_SCOUT_IMPORT'!$Q$42:$Q$1040,SUBSTITUTE(SUBSTITUTE(SUBSTITUTE($M1491,"~","~~"),"*","~*"),"?","~?"),'DEF_SELF_SCOUT_IMPORT'!$G$42:$G$1040,SUBSTITUTE(SUBSTITUTE(SUBSTITUTE($O1491,"~","~~"),"*","~*"),"?","~?"),'DEF_SELF_SCOUT_IMPORT'!$D$42:$D$1040,SUBSTITUTE(SUBSTITUTE(SUBSTITUTE($P1491,"~","~~"),"*","~*"),"?","~?"))</f>
        <v>1</v>
      </c>
      <c r="D1491" s="10">
        <f>IF($C1491=0,"",SUMIFS('DEF_SELF_SCOUT_IMPORT'!$J$42:$J$1040,'DEF_SELF_SCOUT_IMPORT'!$L$42:$L$1040,"Y",'DEF_SELF_SCOUT_IMPORT'!$E$42:$E$1040,SUBSTITUTE(SUBSTITUTE(SUBSTITUTE($B1491,"~","~~"),"*","~*"),"?","~?"),'DEF_SELF_SCOUT_IMPORT'!$Q$42:$Q$1040,SUBSTITUTE(SUBSTITUTE(SUBSTITUTE($M1491,"~","~~"),"*","~*"),"?","~?"),'DEF_SELF_SCOUT_IMPORT'!$G$42:$G$1040,SUBSTITUTE(SUBSTITUTE(SUBSTITUTE($O1491,"~","~~"),"*","~*"),"?","~?"),'DEF_SELF_SCOUT_IMPORT'!$D$42:$D$1040,SUBSTITUTE(SUBSTITUTE(SUBSTITUTE($P1491,"~","~~"),"*","~*"),"?","~?"))/$C1491)</f>
        <v>1.0</v>
      </c>
      <c r="E1491" s="10">
        <f>IF($C1491=0,"",SUMIFS('DEF_SELF_SCOUT_IMPORT'!$K$42:$K$1040,'DEF_SELF_SCOUT_IMPORT'!$L$42:$L$1040,"Y",'DEF_SELF_SCOUT_IMPORT'!$E$42:$E$1040,SUBSTITUTE(SUBSTITUTE(SUBSTITUTE($B1491,"~","~~"),"*","~*"),"?","~?"),'DEF_SELF_SCOUT_IMPORT'!$Q$42:$Q$1040,SUBSTITUTE(SUBSTITUTE(SUBSTITUTE($M1491,"~","~~"),"*","~*"),"?","~?"),'DEF_SELF_SCOUT_IMPORT'!$G$42:$G$1040,SUBSTITUTE(SUBSTITUTE(SUBSTITUTE($O1491,"~","~~"),"*","~*"),"?","~?"),'DEF_SELF_SCOUT_IMPORT'!$D$42:$D$1040,SUBSTITUTE(SUBSTITUTE(SUBSTITUTE($P1491,"~","~~"),"*","~*"),"?","~?"))/$C1491)</f>
        <v>0.0</v>
      </c>
      <c r="F1491" s="11">
        <f>IF($C1491=0,"",AVERAGEIFS('DEF_SELF_SCOUT_IMPORT'!$I$42:$I$1040,'DEF_SELF_SCOUT_IMPORT'!$L$42:$L$1040,"Y",'DEF_SELF_SCOUT_IMPORT'!$E$42:$E$1040,SUBSTITUTE(SUBSTITUTE(SUBSTITUTE($B1491,"~","~~"),"*","~*"),"?","~?"),'DEF_SELF_SCOUT_IMPORT'!$Q$42:$Q$1040,SUBSTITUTE(SUBSTITUTE(SUBSTITUTE($M1491,"~","~~"),"*","~*"),"?","~?"),'DEF_SELF_SCOUT_IMPORT'!$G$42:$G$1040,SUBSTITUTE(SUBSTITUTE(SUBSTITUTE($O1491,"~","~~"),"*","~*"),"?","~?"),'DEF_SELF_SCOUT_IMPORT'!$D$42:$D$1040,SUBSTITUTE(SUBSTITUTE(SUBSTITUTE($P1491,"~","~~"),"*","~*"),"?","~?")))</f>
        <v>0.0</v>
      </c>
      <c r="G1491" s="10">
        <f>IF($C1491=0,"",COUNTIFS('DEF_SELF_SCOUT_IMPORT'!$L$42:$L$1040,"Y",'DEF_SELF_SCOUT_IMPORT'!$E$42:$E$1040,SUBSTITUTE(SUBSTITUTE(SUBSTITUTE($B1491,"~","~~"),"*","~*"),"?","~?"),'DEF_SELF_SCOUT_IMPORT'!$Q$42:$Q$1040,SUBSTITUTE(SUBSTITUTE(SUBSTITUTE($M1491,"~","~~"),"*","~*"),"?","~?"),'DEF_SELF_SCOUT_IMPORT'!$G$42:$G$1040,SUBSTITUTE(SUBSTITUTE(SUBSTITUTE($O1491,"~","~~"),"*","~*"),"?","~?"),'DEF_SELF_SCOUT_IMPORT'!$D$42:$D$1040,SUBSTITUTE(SUBSTITUTE(SUBSTITUTE($P1491,"~","~~"),"*","~*"),"?","~?"),'DEF_SELF_SCOUT_IMPORT'!$H$42:$H$1040,"RUSH")/$C1491)</f>
        <v>0.0</v>
      </c>
      <c r="H1491" s="10">
        <f>IF($C1491=0,"",COUNTIFS('DEF_SELF_SCOUT_IMPORT'!$L$42:$L$1040,"Y",'DEF_SELF_SCOUT_IMPORT'!$E$42:$E$1040,SUBSTITUTE(SUBSTITUTE(SUBSTITUTE($B1491,"~","~~"),"*","~*"),"?","~?"),'DEF_SELF_SCOUT_IMPORT'!$Q$42:$Q$1040,SUBSTITUTE(SUBSTITUTE(SUBSTITUTE($M1491,"~","~~"),"*","~*"),"?","~?"),'DEF_SELF_SCOUT_IMPORT'!$G$42:$G$1040,SUBSTITUTE(SUBSTITUTE(SUBSTITUTE($O1491,"~","~~"),"*","~*"),"?","~?"),'DEF_SELF_SCOUT_IMPORT'!$D$42:$D$1040,SUBSTITUTE(SUBSTITUTE(SUBSTITUTE($P1491,"~","~~"),"*","~*"),"?","~?"),'DEF_SELF_SCOUT_IMPORT'!$H$42:$H$1040,"DROPBACK")/$C1491)</f>
        <v>1.0</v>
      </c>
      <c r="I1491" s="14" t="str">
        <f>IF(C1491=0,"",IF(C1491&lt;=2,"TRACK",IF(C1491=3,"LOW",IF(C1491&lt;=6,"MEDIUM","HIGH"))))</f>
        <v>TRACK</v>
      </c>
      <c r="J1491" s="11">
        <f>IF(C1491=0,"",ROUND(D1491*70+(1-E1491)*20+MAX(0,MIN(1,(10-F1491)/10))*10,1))</f>
        <v>100.0</v>
      </c>
      <c r="K1491" s="14" t="str">
        <f>IF(C1491=0,"No Evidence",IF(C1491&lt;=2,IF(E1491&gt;0,"Explosive Alert","Track Only"),IF(C1491=3,"Sample Watch",IF(E1491&gt;=START_HERE!$B$31,"Explosive Alert",IF(J1491&gt;=80,"Strong Candidate",IF(J1491&gt;=65,"Good Candidate",IF(J1491&gt;=50,"Mixed / Review","Problem Call")))))))</f>
        <v>Track Only</v>
      </c>
      <c r="L1491" s="9" t="str">
        <f>IF(COUNTIFS('DEF_SELF_SCOUT_IMPORT'!$L$42:$L$1040,"Y",'DEF_SELF_SCOUT_IMPORT'!$E$42:$E$1040,SUBSTITUTE(SUBSTITUTE(SUBSTITUTE($B1491,"~","~~"),"*","~*"),"?","~?"),'DEF_SELF_SCOUT_IMPORT'!$Q$42:$Q$1040,SUBSTITUTE(SUBSTITUTE(SUBSTITUTE($M1491,"~","~~"),"*","~*"),"?","~?"),'DEF_SELF_SCOUT_IMPORT'!$G$42:$G$1040,SUBSTITUTE(SUBSTITUTE(SUBSTITUTE($O1491,"~","~~"),"*","~*"),"?","~?"),'DEF_SELF_SCOUT_IMPORT'!$D$42:$D$1040,SUBSTITUTE(SUBSTITUTE(SUBSTITUTE($P1491,"~","~~"),"*","~*"),"?","~?"),'DEF_SELF_SCOUT_IMPORT'!$J$42:$J$1040,"")&gt;0,"Unscored clean outcome; review result tags before using score.",IF(C1491=0,"No matching defensive reps; film confirmation needed.",IF(K1491="Explosive Alert","Explosive risk; review clips before using as answer.",IF(C1491&lt;=2,"Track only; not enough sample.",IF(C1491=3,IF(E1491&gt;0,"Sample watch with explosive exposure; review clips and build the sample.",IF(J1491&gt;=65,"Good signal, but sample is limited.","Sample watch; review clips and build the sample.")),IF(K1491="Problem Call","Problem area; practice or call-sheet review.",IF(K1491="Strong Candidate","Strong call-fit candidate; confirm on film.",IF(K1491="Good Candidate","Good call-fit signal; confirm on film.","Mixed signal; review fit and execution on film."))))))))</f>
        <v>Track only; not enough sample.</v>
      </c>
      <c r="M1491" s="8" t="s">
        <v>107</v>
      </c>
      <c r="N1491" s="8"/>
      <c r="O1491" s="8" t="s">
        <v>203</v>
      </c>
      <c r="P1491" s="8" t="s">
        <v>449</v>
      </c>
      <c r="Q1491" s="8"/>
      <c r="R1491" s="8" t="s">
        <v>661</v>
      </c>
      <c r="S1491" s="2" t="s">
        <v>673</v>
      </c>
      <c r="T1491" s="2">
        <f>IF(C1491=0,0,IF(C1491&gt;=CALL_LOOKUP_BOARD!$B$7,IF(OR(K1491="Problem Call",K1491="Explosive Alert"),10000000,20000000),0)+IF(C1491&gt;=CALL_LOOKUP_BOARD!$B$7,J1491*1000+MIN(C1491,999),C1491*1000+J1491)+0.00995600)</f>
        <v>1100.009956</v>
      </c>
      <c r="U1491" s="2" t="str">
        <f>IF(C1491=0,"",IF(COUNTIFS($S$1448:$S$1491,SUBSTITUTE(SUBSTITUTE(SUBSTITUTE(S1491,"~","~~"),"*","~*"),"?","~?"),$T$1448:$T$1491,"&gt;"&amp;T1491)=0,S1491,""))</f>
        <v>7:3D 7-10|0:|3:2X2|6:5 STEP|</v>
      </c>
    </row>
  </sheetData>
  <sheetProtection sheet="1" objects="1" scenarios="1" autoFilter="0"/>
  <mergeCells count="20">
    <mergeCell ref="A1:R1"/>
    <mergeCell ref="A3:R3"/>
    <mergeCell ref="A7:R7"/>
    <mergeCell ref="A8:R8"/>
    <mergeCell ref="A183:R183"/>
    <mergeCell ref="A184:R184"/>
    <mergeCell ref="A372:R372"/>
    <mergeCell ref="A373:R373"/>
    <mergeCell ref="A586:R586"/>
    <mergeCell ref="A587:R587"/>
    <mergeCell ref="A808:R808"/>
    <mergeCell ref="A809:R809"/>
    <mergeCell ref="A1194:R1194"/>
    <mergeCell ref="A1195:R1195"/>
    <mergeCell ref="A1261:R1261"/>
    <mergeCell ref="A1262:R1262"/>
    <mergeCell ref="A1445:R1445"/>
    <mergeCell ref="A1446:R1446"/>
    <mergeCell ref="A1060:R1060"/>
    <mergeCell ref="A1061:R1061"/>
  </mergeCells>
  <conditionalFormatting sqref="A1:R1491">
    <cfRule type="containsText" dxfId="0" priority="1" operator="containsText" text="PASS">
      <formula>NOT(ISERROR(SEARCH("PASS",A1)))</formula>
    </cfRule>
    <cfRule type="containsText" dxfId="0" priority="2" operator="containsText" text="Strong Candidate">
      <formula>NOT(ISERROR(SEARCH("Strong Candidate",A1)))</formula>
    </cfRule>
    <cfRule type="containsText" dxfId="0" priority="3" operator="containsText" text="Good Candidate">
      <formula>NOT(ISERROR(SEARCH("Good Candidate",A1)))</formula>
    </cfRule>
    <cfRule type="containsText" dxfId="0" priority="4" operator="containsText" text="HIGH">
      <formula>NOT(ISERROR(SEARCH("HIGH",A1)))</formula>
    </cfRule>
    <cfRule type="containsText" dxfId="1" priority="5" operator="containsText" text="REVIEW">
      <formula>NOT(ISERROR(SEARCH("REVIEW",A1)))</formula>
    </cfRule>
    <cfRule type="containsText" dxfId="1" priority="6" operator="containsText" text="Sample Watch">
      <formula>NOT(ISERROR(SEARCH("Sample Watch",A1)))</formula>
    </cfRule>
    <cfRule type="containsText" dxfId="1" priority="7" operator="containsText" text="LOW">
      <formula>NOT(ISERROR(SEARCH("LOW",A1)))</formula>
    </cfRule>
    <cfRule type="containsText" dxfId="2" priority="8" operator="containsText" text="TRACK">
      <formula>NOT(ISERROR(SEARCH("TRACK",A1)))</formula>
    </cfRule>
    <cfRule type="containsText" dxfId="2" priority="9" operator="containsText" text="Concept Proxy">
      <formula>NOT(ISERROR(SEARCH("Concept Proxy",A1)))</formula>
    </cfRule>
    <cfRule type="containsText" dxfId="3" priority="10" operator="containsText" text="FAIL">
      <formula>NOT(ISERROR(SEARCH("FAIL",A1)))</formula>
    </cfRule>
    <cfRule type="containsText" dxfId="3" priority="11" operator="containsText" text="Problem Call">
      <formula>NOT(ISERROR(SEARCH("Problem Call",A1)))</formula>
    </cfRule>
    <cfRule type="containsText" dxfId="3" priority="12" operator="containsText" text="Explosive Alert">
      <formula>NOT(ISERROR(SEARCH("Explosive Alert",A1)))</formula>
    </cfRule>
  </conditionalFormatting>
  <hyperlinks>
    <hyperlink ref="A2" location="'START_HERE'!A1" display="START"/>
    <hyperlink ref="C2" location="'CALL_LOOKUP_BOARD'!A1" display="FIND A CALL"/>
    <hyperlink ref="F2" location="'HOT_CALL_RESPONSE_CARD'!A1" display="OPPONENT ALERTS"/>
    <hyperlink ref="I2" location="'PRACTICE_SCRIPT_BOARD'!A1" display="PRACTICE"/>
  </hyperlinks>
  <pageMargins left="0.25" right="0.25" top="0.35" bottom="0.35" header="0.3" footer="0.3"/>
  <pageSetup paperSize="1" fitToHeight="0" orientation="landscape"/>
  <headerFooter>
    <oddHeader>&amp;LWeekly Gameplan&amp;RFilm confirms the numbers</oddHeader>
    <oddFooter>&amp;LConcept call-fit candidates, not automatic calls&amp;RPage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78568"/>
    <pageSetUpPr fitToPage="1"/>
  </sheetPr>
  <dimension ref="A1:Z63"/>
  <sheetViews>
    <sheetView workbookViewId="0"/>
  </sheetViews>
  <sheetFormatPr defaultRowHeight="25" customHeight="1"/>
  <cols>
    <col min="1" max="1" width="17.7109375" customWidth="1"/>
    <col min="2" max="3" width="29.7109375" customWidth="1"/>
    <col min="4" max="4" width="39.7109375" customWidth="1"/>
    <col min="5" max="5" width="29.7109375" customWidth="1"/>
    <col min="6" max="6" width="14.7109375" customWidth="1"/>
    <col min="7" max="8" width="58.7109375" customWidth="1"/>
    <col min="9" max="11" width="15.7109375" customWidth="1"/>
    <col min="12" max="13" width="28.7109375" customWidth="1"/>
    <col min="14" max="17" width="16.7109375" customWidth="1"/>
    <col min="18" max="18" width="14.7109375" customWidth="1"/>
    <col min="19" max="26" width="20.7109375" hidden="1" customWidth="1"/>
  </cols>
  <sheetData>
    <row r="1" spans="1:20" ht="36" customHeight="1">
      <c r="A1" s="1" t="s">
        <v>2860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25" customHeight="1">
      <c r="A2" s="3" t="s">
        <v>1</v>
      </c>
      <c r="C2" s="3" t="s">
        <v>2</v>
      </c>
      <c r="F2" s="3" t="s">
        <v>3</v>
      </c>
      <c r="I2" s="3" t="s">
        <v>4</v>
      </c>
    </row>
    <row r="3" spans="1:20" ht="34" customHeight="1">
      <c r="A3" s="4" t="s">
        <v>2861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6" spans="1:20" ht="46" customHeight="1">
      <c r="A6" s="6" t="s">
        <v>20</v>
      </c>
      <c r="B6" s="6" t="s">
        <v>2862</v>
      </c>
      <c r="C6" s="6" t="s">
        <v>2863</v>
      </c>
      <c r="D6" s="6" t="s">
        <v>2445</v>
      </c>
      <c r="E6" s="6" t="s">
        <v>2864</v>
      </c>
      <c r="F6" s="6" t="s">
        <v>16</v>
      </c>
      <c r="G6" s="6" t="s">
        <v>2865</v>
      </c>
      <c r="H6" s="6" t="s">
        <v>2866</v>
      </c>
      <c r="I6" s="6" t="s">
        <v>2867</v>
      </c>
      <c r="J6" s="6" t="s">
        <v>2868</v>
      </c>
      <c r="K6" s="6" t="s">
        <v>2869</v>
      </c>
      <c r="L6" s="6" t="s">
        <v>2870</v>
      </c>
      <c r="M6" s="6" t="s">
        <v>2871</v>
      </c>
      <c r="N6" s="6" t="s">
        <v>11</v>
      </c>
      <c r="O6" s="6" t="s">
        <v>12</v>
      </c>
      <c r="P6" s="6" t="s">
        <v>13</v>
      </c>
      <c r="Q6" s="6" t="s">
        <v>17</v>
      </c>
      <c r="R6" s="6" t="s">
        <v>2872</v>
      </c>
    </row>
    <row r="8" spans="1:20" ht="68" customHeight="1">
      <c r="A8" s="8" t="s">
        <v>115</v>
      </c>
      <c r="B8" s="8" t="s">
        <v>699</v>
      </c>
      <c r="C8" s="8" t="s">
        <v>465</v>
      </c>
      <c r="D8" s="14" t="str">
        <f>IF(T8=0,"Film Review Required",IF(IF($T8=0,"",INDEX('DEF_CALL_DECISION_SUPPORT'!$A$1:$U$1496,$T8,3))&lt;4,"Sample Watch • ","")&amp;(IF(IFERROR(MATCH("4:P&amp;10|3:12H|0:|12:OUTSIDE ZONE|",'DEF_CALL_DECISION_SUPPORT'!$U$1448:$U$1491,0)+1448-1,0)&gt;0,"Exact Context Match",IF(IFERROR(MATCH("4:P&amp;10|12:OUTSIDE ZONE|",'DEF_CALL_DECISION_SUPPORT'!$U$811:$U$1055,0)+811-1,0)&gt;0,"D&amp;D + Concept Match",IF(IFERROR(MATCH("12:OUTSIDE ZONE|",'DEF_CALL_DECISION_SUPPORT'!$U$1264:$U$1440,0)+1264-1,0)&gt;0,"Broad Concept Proxy","Film Review Required")))))</f>
        <v>Sample Watch • D&amp;D + Concept Match</v>
      </c>
      <c r="E8" s="8" t="str">
        <f>IF($T8=0,"Film Review Required",INDEX('DEF_CALL_DECISION_SUPPORT'!$A$1:$U$1496,$T8,2))</f>
        <v>RAMBO</v>
      </c>
      <c r="F8" s="14" t="str">
        <f>IF($T8=0,"",INDEX('DEF_CALL_DECISION_SUPPORT'!$A$1:$U$1496,$T8,9))</f>
        <v>TRACK</v>
      </c>
      <c r="G8" s="9" t="str">
        <f>IF($T8=0,"No matching defensive sample; film review required.",INDEX('DEF_CALL_DECISION_SUPPORT'!$A$1:$U$1496,$T8,12))</f>
        <v>Track only; not enough sample.</v>
      </c>
      <c r="H8" s="9" t="s">
        <v>2873</v>
      </c>
      <c r="I8" s="10">
        <v>1</v>
      </c>
      <c r="J8" s="11">
        <v>5.962962962962963</v>
      </c>
      <c r="K8" s="15">
        <v>0.001522834227697107</v>
      </c>
      <c r="L8" s="14" t="s">
        <v>700</v>
      </c>
      <c r="M8" s="8" t="s">
        <v>2874</v>
      </c>
      <c r="N8" s="10">
        <f>IF($T8=0,"",INDEX('DEF_CALL_DECISION_SUPPORT'!$A$1:$U$1496,$T8,4))</f>
        <v>1.0</v>
      </c>
      <c r="O8" s="10">
        <f>IF($T8=0,"",INDEX('DEF_CALL_DECISION_SUPPORT'!$A$1:$U$1496,$T8,5))</f>
        <v>0.0</v>
      </c>
      <c r="P8" s="11">
        <f>IF($T8=0,"",INDEX('DEF_CALL_DECISION_SUPPORT'!$A$1:$U$1496,$T8,6))</f>
        <v>-1.0</v>
      </c>
      <c r="Q8" s="11">
        <f>IF($T8=0,"",INDEX('DEF_CALL_DECISION_SUPPORT'!$A$1:$U$1496,$T8,10))</f>
        <v>100.0</v>
      </c>
      <c r="R8" s="12">
        <v>2</v>
      </c>
      <c r="T8" s="2">
        <f>IF(IFERROR(MATCH("4:P&amp;10|3:12H|0:|12:OUTSIDE ZONE|",'DEF_CALL_DECISION_SUPPORT'!$U$1448:$U$1491,0)+1448-1,0)&gt;0,IFERROR(MATCH("4:P&amp;10|3:12H|0:|12:OUTSIDE ZONE|",'DEF_CALL_DECISION_SUPPORT'!$U$1448:$U$1491,0)+1448-1,0),IF(IFERROR(MATCH("4:P&amp;10|12:OUTSIDE ZONE|",'DEF_CALL_DECISION_SUPPORT'!$U$811:$U$1055,0)+811-1,0)&gt;0,IFERROR(MATCH("4:P&amp;10|12:OUTSIDE ZONE|",'DEF_CALL_DECISION_SUPPORT'!$U$811:$U$1055,0)+811-1,0),IF(IFERROR(MATCH("12:OUTSIDE ZONE|",'DEF_CALL_DECISION_SUPPORT'!$U$1264:$U$1440,0)+1264-1,0)&gt;0,IFERROR(MATCH("12:OUTSIDE ZONE|",'DEF_CALL_DECISION_SUPPORT'!$U$1264:$U$1440,0)+1264-1,0),0)))</f>
        <v>1044</v>
      </c>
    </row>
    <row r="9" spans="1:20" ht="68" customHeight="1">
      <c r="A9" s="8" t="s">
        <v>115</v>
      </c>
      <c r="B9" s="8" t="s">
        <v>701</v>
      </c>
      <c r="C9" s="8" t="s">
        <v>2875</v>
      </c>
      <c r="D9" s="14" t="str">
        <f>IF(T9=0,"Film Review Required",IF(IF($T9=0,"",INDEX('DEF_CALL_DECISION_SUPPORT'!$A$1:$U$1496,$T9,3))&lt;4,"Sample Watch • ","")&amp;(IF(IFERROR(MATCH("4:P&amp;10|3:21H|3:2X1|0:|",'DEF_CALL_DECISION_SUPPORT'!$U$1448:$U$1491,0)+1448-1,0)&gt;0,"Exact Context Match",IF(IFERROR(MATCH("4:P&amp;10|3:21H|3:2X1|",'DEF_CALL_DECISION_SUPPORT'!$U$589:$U$803,0)+589-1,0)&gt;0,"D&amp;D + personnel + structure",IF(IFERROR(MATCH("4:P&amp;10|3:2X1|",'DEF_CALL_DECISION_SUPPORT'!$U$375:$U$581,0)+375-1,0)&gt;0,"D&amp;D + structure; personnel not conditioned",IF(IFERROR(MATCH("4:P&amp;10|3:21H|",'DEF_CALL_DECISION_SUPPORT'!$U$186:$U$367,0)+186-1,0)&gt;0,"D&amp;D + personnel; structure not conditioned",IF(IFERROR(MATCH("4:P&amp;10|",'DEF_CALL_DECISION_SUPPORT'!$U$10:$U$178,0)+10-1,0)&gt;0,"D&amp;D only; presentation not conditioned","Film Review Required")))))))</f>
        <v>D&amp;D only; presentation not conditioned</v>
      </c>
      <c r="E9" s="8" t="str">
        <f>IF($T9=0,"Film Review Required",INDEX('DEF_CALL_DECISION_SUPPORT'!$A$1:$U$1496,$T9,2))</f>
        <v>TEX</v>
      </c>
      <c r="F9" s="14" t="str">
        <f>IF($T9=0,"",INDEX('DEF_CALL_DECISION_SUPPORT'!$A$1:$U$1496,$T9,9))</f>
        <v>MEDIUM</v>
      </c>
      <c r="G9" s="9" t="str">
        <f>IF($T9=0,"No matching defensive sample; film review required.",INDEX('DEF_CALL_DECISION_SUPPORT'!$A$1:$U$1496,$T9,12))</f>
        <v>Strong call-fit candidate; confirm on film.</v>
      </c>
      <c r="H9" s="9" t="s">
        <v>2873</v>
      </c>
      <c r="I9" s="10">
        <v>1</v>
      </c>
      <c r="J9" s="11">
        <v>18.22222222222222</v>
      </c>
      <c r="K9" s="15">
        <v>3.145381152968994E-05</v>
      </c>
      <c r="L9" s="14" t="s">
        <v>700</v>
      </c>
      <c r="M9" s="8" t="s">
        <v>2874</v>
      </c>
      <c r="N9" s="10">
        <f>IF($T9=0,"",INDEX('DEF_CALL_DECISION_SUPPORT'!$A$1:$U$1496,$T9,4))</f>
        <v>0.75</v>
      </c>
      <c r="O9" s="10">
        <f>IF($T9=0,"",INDEX('DEF_CALL_DECISION_SUPPORT'!$A$1:$U$1496,$T9,5))</f>
        <v>0.0</v>
      </c>
      <c r="P9" s="11">
        <f>IF($T9=0,"",INDEX('DEF_CALL_DECISION_SUPPORT'!$A$1:$U$1496,$T9,6))</f>
        <v>-0.75</v>
      </c>
      <c r="Q9" s="11">
        <f>IF($T9=0,"",INDEX('DEF_CALL_DECISION_SUPPORT'!$A$1:$U$1496,$T9,10))</f>
        <v>82.5</v>
      </c>
      <c r="R9" s="12">
        <v>1</v>
      </c>
      <c r="T9" s="2">
        <f>IF(IFERROR(MATCH("4:P&amp;10|3:21H|3:2X1|0:|",'DEF_CALL_DECISION_SUPPORT'!$U$1448:$U$1491,0)+1448-1,0)&gt;0,IFERROR(MATCH("4:P&amp;10|3:21H|3:2X1|0:|",'DEF_CALL_DECISION_SUPPORT'!$U$1448:$U$1491,0)+1448-1,0),IF(IFERROR(MATCH("4:P&amp;10|3:21H|3:2X1|",'DEF_CALL_DECISION_SUPPORT'!$U$589:$U$803,0)+589-1,0)&gt;0,IFERROR(MATCH("4:P&amp;10|3:21H|3:2X1|",'DEF_CALL_DECISION_SUPPORT'!$U$589:$U$803,0)+589-1,0),IF(IFERROR(MATCH("4:P&amp;10|3:2X1|",'DEF_CALL_DECISION_SUPPORT'!$U$375:$U$581,0)+375-1,0)&gt;0,IFERROR(MATCH("4:P&amp;10|3:2X1|",'DEF_CALL_DECISION_SUPPORT'!$U$375:$U$581,0)+375-1,0),IF(IFERROR(MATCH("4:P&amp;10|3:21H|",'DEF_CALL_DECISION_SUPPORT'!$U$186:$U$367,0)+186-1,0)&gt;0,IFERROR(MATCH("4:P&amp;10|3:21H|",'DEF_CALL_DECISION_SUPPORT'!$U$186:$U$367,0)+186-1,0),IF(IFERROR(MATCH("4:P&amp;10|",'DEF_CALL_DECISION_SUPPORT'!$U$10:$U$178,0)+10-1,0)&gt;0,IFERROR(MATCH("4:P&amp;10|",'DEF_CALL_DECISION_SUPPORT'!$U$10:$U$178,0)+10-1,0),0)))))</f>
        <v>177</v>
      </c>
    </row>
    <row r="10" spans="1:20" ht="68" customHeight="1">
      <c r="A10" s="8" t="s">
        <v>115</v>
      </c>
      <c r="B10" s="8" t="s">
        <v>702</v>
      </c>
      <c r="C10" s="8" t="s">
        <v>878</v>
      </c>
      <c r="D10" s="14" t="str">
        <f>IF(T10=0,"Film Review Required",IF(IF($T10=0,"",INDEX('DEF_CALL_DECISION_SUPPORT'!$A$1:$U$1496,$T10,3))&lt;4,"Sample Watch • ","")&amp;(IF(IFERROR(MATCH("4:P&amp;10|0:|3:2X1|1:G|",'DEF_CALL_DECISION_SUPPORT'!$U$1448:$U$1491,0)+1448-1,0)&gt;0,"Exact Context Match",IF(IFERROR(MATCH("4:P&amp;10|1:G|",'DEF_CALL_DECISION_SUPPORT'!$U$811:$U$1055,0)+811-1,0)&gt;0,"D&amp;D + Concept Match",IF(IFERROR(MATCH("1:G|",'DEF_CALL_DECISION_SUPPORT'!$U$1264:$U$1440,0)+1264-1,0)&gt;0,"Broad Concept Proxy","Film Review Required")))))</f>
        <v>Film Review Required</v>
      </c>
      <c r="E10" s="8" t="str">
        <f>IF($T10=0,"Film Review Required",INDEX('DEF_CALL_DECISION_SUPPORT'!$A$1:$U$1496,$T10,2))</f>
        <v>Film Review Required</v>
      </c>
      <c r="F10" s="14">
        <f>IF($T10=0,"",INDEX('DEF_CALL_DECISION_SUPPORT'!$A$1:$U$1496,$T10,9))</f>
        <v/>
      </c>
      <c r="G10" s="9" t="str">
        <f>IF($T10=0,"No matching defensive sample; film review required.",INDEX('DEF_CALL_DECISION_SUPPORT'!$A$1:$U$1496,$T10,12))</f>
        <v>No matching defensive sample; film review required.</v>
      </c>
      <c r="H10" s="9" t="s">
        <v>2873</v>
      </c>
      <c r="I10" s="10">
        <v>0.5</v>
      </c>
      <c r="J10" s="11">
        <v>11.42857142857143</v>
      </c>
      <c r="K10" s="15">
        <v>0.001500977678067151</v>
      </c>
      <c r="L10" s="14" t="s">
        <v>700</v>
      </c>
      <c r="M10" s="8" t="s">
        <v>2874</v>
      </c>
      <c r="N10" s="10">
        <f>IF($T10=0,"",INDEX('DEF_CALL_DECISION_SUPPORT'!$A$1:$U$1496,$T10,4))</f>
        <v/>
      </c>
      <c r="O10" s="10">
        <f>IF($T10=0,"",INDEX('DEF_CALL_DECISION_SUPPORT'!$A$1:$U$1496,$T10,5))</f>
        <v/>
      </c>
      <c r="P10" s="11">
        <f>IF($T10=0,"",INDEX('DEF_CALL_DECISION_SUPPORT'!$A$1:$U$1496,$T10,6))</f>
        <v/>
      </c>
      <c r="Q10" s="11">
        <f>IF($T10=0,"",INDEX('DEF_CALL_DECISION_SUPPORT'!$A$1:$U$1496,$T10,10))</f>
        <v/>
      </c>
      <c r="R10" s="12">
        <v>1</v>
      </c>
      <c r="T10" s="2">
        <f>IF(IFERROR(MATCH("4:P&amp;10|0:|3:2X1|1:G|",'DEF_CALL_DECISION_SUPPORT'!$U$1448:$U$1491,0)+1448-1,0)&gt;0,IFERROR(MATCH("4:P&amp;10|0:|3:2X1|1:G|",'DEF_CALL_DECISION_SUPPORT'!$U$1448:$U$1491,0)+1448-1,0),IF(IFERROR(MATCH("4:P&amp;10|1:G|",'DEF_CALL_DECISION_SUPPORT'!$U$811:$U$1055,0)+811-1,0)&gt;0,IFERROR(MATCH("4:P&amp;10|1:G|",'DEF_CALL_DECISION_SUPPORT'!$U$811:$U$1055,0)+811-1,0),IF(IFERROR(MATCH("1:G|",'DEF_CALL_DECISION_SUPPORT'!$U$1264:$U$1440,0)+1264-1,0)&gt;0,IFERROR(MATCH("1:G|",'DEF_CALL_DECISION_SUPPORT'!$U$1264:$U$1440,0)+1264-1,0),0)))</f>
        <v>0</v>
      </c>
    </row>
    <row r="11" spans="1:20" ht="68" customHeight="1">
      <c r="A11" s="8" t="s">
        <v>115</v>
      </c>
      <c r="B11" s="8" t="s">
        <v>703</v>
      </c>
      <c r="C11" s="8" t="s">
        <v>2876</v>
      </c>
      <c r="D11" s="14" t="str">
        <f>IF(T11=0,"Film Review Required",IF(IF($T11=0,"",INDEX('DEF_CALL_DECISION_SUPPORT'!$A$1:$U$1496,$T11,3))&lt;4,"Sample Watch • ","")&amp;(IF(CALL_LOOKUP_BOARD!$L$391="","Film Review Required",IF(IFERROR(MATCH(LEN("P&amp;10")&amp;":"&amp;"P&amp;10"&amp;"|"&amp;LEN(CALL_LOOKUP_BOARD!$L$391)&amp;":"&amp;CALL_LOOKUP_BOARD!$L$391&amp;"|",'DEF_CALL_DECISION_SUPPORT'!$U$811:$U$1055,0)+811-1,0)&gt;0,"D&amp;D + Concept Match • Concept Proxy",IF(IFERROR(MATCH(LEN(CALL_LOOKUP_BOARD!$L$391)&amp;":"&amp;CALL_LOOKUP_BOARD!$L$391&amp;"|",'DEF_CALL_DECISION_SUPPORT'!$U$1264:$U$1440,0)+1264-1,0)&gt;0,"Broad Concept Proxy","Film Review Required")))))</f>
        <v>Sample Watch • D&amp;D + Concept Match • Concept Proxy</v>
      </c>
      <c r="E11" s="8" t="str">
        <f>IF($T11=0,"Film Review Required",INDEX('DEF_CALL_DECISION_SUPPORT'!$A$1:$U$1496,$T11,2))</f>
        <v>RAMBO</v>
      </c>
      <c r="F11" s="14" t="str">
        <f>IF($T11=0,"",INDEX('DEF_CALL_DECISION_SUPPORT'!$A$1:$U$1496,$T11,9))</f>
        <v>TRACK</v>
      </c>
      <c r="G11" s="9" t="str">
        <f>IF($T11=0,"No matching defensive sample; film review required.",INDEX('DEF_CALL_DECISION_SUPPORT'!$A$1:$U$1496,$T11,12))</f>
        <v>Track only; not enough sample.</v>
      </c>
      <c r="H11" s="9" t="s">
        <v>2877</v>
      </c>
      <c r="I11" s="10">
        <v>1</v>
      </c>
      <c r="J11" s="11">
        <v>161</v>
      </c>
      <c r="K11" s="15">
        <v>6.841707543855235E-37</v>
      </c>
      <c r="L11" s="14" t="s">
        <v>704</v>
      </c>
      <c r="M11" s="8" t="s">
        <v>2874</v>
      </c>
      <c r="N11" s="10">
        <f>IF($T11=0,"",INDEX('DEF_CALL_DECISION_SUPPORT'!$A$1:$U$1496,$T11,4))</f>
        <v>1.0</v>
      </c>
      <c r="O11" s="10">
        <f>IF($T11=0,"",INDEX('DEF_CALL_DECISION_SUPPORT'!$A$1:$U$1496,$T11,5))</f>
        <v>0.0</v>
      </c>
      <c r="P11" s="11">
        <f>IF($T11=0,"",INDEX('DEF_CALL_DECISION_SUPPORT'!$A$1:$U$1496,$T11,6))</f>
        <v>2.0</v>
      </c>
      <c r="Q11" s="11">
        <f>IF($T11=0,"",INDEX('DEF_CALL_DECISION_SUPPORT'!$A$1:$U$1496,$T11,10))</f>
        <v>98.0</v>
      </c>
      <c r="R11" s="12">
        <v>1</v>
      </c>
      <c r="T11" s="2">
        <f>IF(CALL_LOOKUP_BOARD!$L$391="",0,IF(IFERROR(MATCH(LEN("P&amp;10")&amp;":"&amp;"P&amp;10"&amp;"|"&amp;LEN(CALL_LOOKUP_BOARD!$L$391)&amp;":"&amp;CALL_LOOKUP_BOARD!$L$391&amp;"|",'DEF_CALL_DECISION_SUPPORT'!$U$811:$U$1055,0)+811-1,0)&gt;0,IFERROR(MATCH(LEN("P&amp;10")&amp;":"&amp;"P&amp;10"&amp;"|"&amp;LEN(CALL_LOOKUP_BOARD!$L$391)&amp;":"&amp;CALL_LOOKUP_BOARD!$L$391&amp;"|",'DEF_CALL_DECISION_SUPPORT'!$U$811:$U$1055,0)+811-1,0),IFERROR(MATCH(LEN(CALL_LOOKUP_BOARD!$L$391)&amp;":"&amp;CALL_LOOKUP_BOARD!$L$391&amp;"|",'DEF_CALL_DECISION_SUPPORT'!$U$1264:$U$1440,0)+1264-1,0)))</f>
        <v>1025</v>
      </c>
    </row>
    <row r="12" spans="1:20" ht="68" customHeight="1">
      <c r="A12" s="8" t="s">
        <v>26</v>
      </c>
      <c r="B12" s="8" t="s">
        <v>707</v>
      </c>
      <c r="C12" s="8" t="s">
        <v>465</v>
      </c>
      <c r="D12" s="14" t="str">
        <f>IF(T12=0,"Film Review Required",IF(IF($T12=0,"",INDEX('DEF_CALL_DECISION_SUPPORT'!$A$1:$U$1496,$T12,3))&lt;4,"Sample Watch • ","")&amp;(IF(IFERROR(MATCH("6:1D 1-3|3:14H|0:|12:OUTSIDE ZONE|",'DEF_CALL_DECISION_SUPPORT'!$U$1448:$U$1491,0)+1448-1,0)&gt;0,"Exact Context Match",IF(IFERROR(MATCH("6:1D 1-3|12:OUTSIDE ZONE|",'DEF_CALL_DECISION_SUPPORT'!$U$811:$U$1055,0)+811-1,0)&gt;0,"D&amp;D + Concept Match",IF(IFERROR(MATCH("12:OUTSIDE ZONE|",'DEF_CALL_DECISION_SUPPORT'!$U$1264:$U$1440,0)+1264-1,0)&gt;0,"Broad Concept Proxy","Film Review Required")))))</f>
        <v>Sample Watch • Broad Concept Proxy</v>
      </c>
      <c r="E12" s="8" t="str">
        <f>IF($T12=0,"Film Review Required",INDEX('DEF_CALL_DECISION_SUPPORT'!$A$1:$U$1496,$T12,2))</f>
        <v>BOURBON</v>
      </c>
      <c r="F12" s="14" t="str">
        <f>IF($T12=0,"",INDEX('DEF_CALL_DECISION_SUPPORT'!$A$1:$U$1496,$T12,9))</f>
        <v>LOW</v>
      </c>
      <c r="G12" s="9" t="str">
        <f>IF($T12=0,"No matching defensive sample; film review required.",INDEX('DEF_CALL_DECISION_SUPPORT'!$A$1:$U$1496,$T12,12))</f>
        <v>Sample watch; review clips and build the sample.</v>
      </c>
      <c r="H12" s="9" t="s">
        <v>2873</v>
      </c>
      <c r="I12" s="10">
        <v>1</v>
      </c>
      <c r="J12" s="11">
        <v>5.962962962962963</v>
      </c>
      <c r="K12" s="15">
        <v>0.02543561912228358</v>
      </c>
      <c r="L12" s="14" t="s">
        <v>700</v>
      </c>
      <c r="M12" s="8" t="s">
        <v>2874</v>
      </c>
      <c r="N12" s="10">
        <f>IF($T12=0,"",INDEX('DEF_CALL_DECISION_SUPPORT'!$A$1:$U$1496,$T12,4))</f>
        <v>0.3333333333333333</v>
      </c>
      <c r="O12" s="10">
        <f>IF($T12=0,"",INDEX('DEF_CALL_DECISION_SUPPORT'!$A$1:$U$1496,$T12,5))</f>
        <v>0.0</v>
      </c>
      <c r="P12" s="11">
        <f>IF($T12=0,"",INDEX('DEF_CALL_DECISION_SUPPORT'!$A$1:$U$1496,$T12,6))</f>
        <v>5.333333333333333</v>
      </c>
      <c r="Q12" s="11">
        <f>IF($T12=0,"",INDEX('DEF_CALL_DECISION_SUPPORT'!$A$1:$U$1496,$T12,10))</f>
        <v>48.0</v>
      </c>
      <c r="R12" s="12">
        <v>1</v>
      </c>
      <c r="T12" s="2">
        <f>IF(IFERROR(MATCH("6:1D 1-3|3:14H|0:|12:OUTSIDE ZONE|",'DEF_CALL_DECISION_SUPPORT'!$U$1448:$U$1491,0)+1448-1,0)&gt;0,IFERROR(MATCH("6:1D 1-3|3:14H|0:|12:OUTSIDE ZONE|",'DEF_CALL_DECISION_SUPPORT'!$U$1448:$U$1491,0)+1448-1,0),IF(IFERROR(MATCH("6:1D 1-3|12:OUTSIDE ZONE|",'DEF_CALL_DECISION_SUPPORT'!$U$811:$U$1055,0)+811-1,0)&gt;0,IFERROR(MATCH("6:1D 1-3|12:OUTSIDE ZONE|",'DEF_CALL_DECISION_SUPPORT'!$U$811:$U$1055,0)+811-1,0),IF(IFERROR(MATCH("12:OUTSIDE ZONE|",'DEF_CALL_DECISION_SUPPORT'!$U$1264:$U$1440,0)+1264-1,0)&gt;0,IFERROR(MATCH("12:OUTSIDE ZONE|",'DEF_CALL_DECISION_SUPPORT'!$U$1264:$U$1440,0)+1264-1,0),0)))</f>
        <v>1380</v>
      </c>
    </row>
    <row r="13" spans="1:20" ht="68" customHeight="1">
      <c r="A13" s="8" t="s">
        <v>26</v>
      </c>
      <c r="B13" s="8" t="s">
        <v>708</v>
      </c>
      <c r="C13" s="8" t="s">
        <v>2875</v>
      </c>
      <c r="D13" s="14" t="str">
        <f>IF(T13=0,"Film Review Required",IF(IF($T13=0,"",INDEX('DEF_CALL_DECISION_SUPPORT'!$A$1:$U$1496,$T13,3))&lt;4,"Sample Watch • ","")&amp;(IF(IFERROR(MATCH("6:1D 1-3|3:14H|3:4X1|0:|",'DEF_CALL_DECISION_SUPPORT'!$U$1448:$U$1491,0)+1448-1,0)&gt;0,"Exact Context Match",IF(IFERROR(MATCH("6:1D 1-3|3:14H|3:4X1|",'DEF_CALL_DECISION_SUPPORT'!$U$589:$U$803,0)+589-1,0)&gt;0,"D&amp;D + personnel + structure",IF(IFERROR(MATCH("6:1D 1-3|3:4X1|",'DEF_CALL_DECISION_SUPPORT'!$U$375:$U$581,0)+375-1,0)&gt;0,"D&amp;D + structure; personnel not conditioned",IF(IFERROR(MATCH("6:1D 1-3|3:14H|",'DEF_CALL_DECISION_SUPPORT'!$U$186:$U$367,0)+186-1,0)&gt;0,"D&amp;D + personnel; structure not conditioned",IF(IFERROR(MATCH("6:1D 1-3|",'DEF_CALL_DECISION_SUPPORT'!$U$10:$U$178,0)+10-1,0)&gt;0,"D&amp;D only; presentation not conditioned","Film Review Required")))))))</f>
        <v>Sample Watch • D&amp;D only; presentation not conditioned</v>
      </c>
      <c r="E13" s="8" t="str">
        <f>IF($T13=0,"Film Review Required",INDEX('DEF_CALL_DECISION_SUPPORT'!$A$1:$U$1496,$T13,2))</f>
        <v>GOLD</v>
      </c>
      <c r="F13" s="14" t="str">
        <f>IF($T13=0,"",INDEX('DEF_CALL_DECISION_SUPPORT'!$A$1:$U$1496,$T13,9))</f>
        <v>TRACK</v>
      </c>
      <c r="G13" s="9" t="str">
        <f>IF($T13=0,"No matching defensive sample; film review required.",INDEX('DEF_CALL_DECISION_SUPPORT'!$A$1:$U$1496,$T13,12))</f>
        <v>Track only; not enough sample.</v>
      </c>
      <c r="H13" s="9" t="s">
        <v>2873</v>
      </c>
      <c r="I13" s="10">
        <v>1</v>
      </c>
      <c r="J13" s="11">
        <v>16.4</v>
      </c>
      <c r="K13" s="15">
        <v>8.274660828710641E-05</v>
      </c>
      <c r="L13" s="14" t="s">
        <v>700</v>
      </c>
      <c r="M13" s="8" t="s">
        <v>2874</v>
      </c>
      <c r="N13" s="10">
        <f>IF($T13=0,"",INDEX('DEF_CALL_DECISION_SUPPORT'!$A$1:$U$1496,$T13,4))</f>
        <v>1.0</v>
      </c>
      <c r="O13" s="10">
        <f>IF($T13=0,"",INDEX('DEF_CALL_DECISION_SUPPORT'!$A$1:$U$1496,$T13,5))</f>
        <v>0.0</v>
      </c>
      <c r="P13" s="11">
        <f>IF($T13=0,"",INDEX('DEF_CALL_DECISION_SUPPORT'!$A$1:$U$1496,$T13,6))</f>
        <v>1.5</v>
      </c>
      <c r="Q13" s="11">
        <f>IF($T13=0,"",INDEX('DEF_CALL_DECISION_SUPPORT'!$A$1:$U$1496,$T13,10))</f>
        <v>98.5</v>
      </c>
      <c r="R13" s="12">
        <v>1</v>
      </c>
      <c r="T13" s="2">
        <f>IF(IFERROR(MATCH("6:1D 1-3|3:14H|3:4X1|0:|",'DEF_CALL_DECISION_SUPPORT'!$U$1448:$U$1491,0)+1448-1,0)&gt;0,IFERROR(MATCH("6:1D 1-3|3:14H|3:4X1|0:|",'DEF_CALL_DECISION_SUPPORT'!$U$1448:$U$1491,0)+1448-1,0),IF(IFERROR(MATCH("6:1D 1-3|3:14H|3:4X1|",'DEF_CALL_DECISION_SUPPORT'!$U$589:$U$803,0)+589-1,0)&gt;0,IFERROR(MATCH("6:1D 1-3|3:14H|3:4X1|",'DEF_CALL_DECISION_SUPPORT'!$U$589:$U$803,0)+589-1,0),IF(IFERROR(MATCH("6:1D 1-3|3:4X1|",'DEF_CALL_DECISION_SUPPORT'!$U$375:$U$581,0)+375-1,0)&gt;0,IFERROR(MATCH("6:1D 1-3|3:4X1|",'DEF_CALL_DECISION_SUPPORT'!$U$375:$U$581,0)+375-1,0),IF(IFERROR(MATCH("6:1D 1-3|3:14H|",'DEF_CALL_DECISION_SUPPORT'!$U$186:$U$367,0)+186-1,0)&gt;0,IFERROR(MATCH("6:1D 1-3|3:14H|",'DEF_CALL_DECISION_SUPPORT'!$U$186:$U$367,0)+186-1,0),IF(IFERROR(MATCH("6:1D 1-3|",'DEF_CALL_DECISION_SUPPORT'!$U$10:$U$178,0)+10-1,0)&gt;0,IFERROR(MATCH("6:1D 1-3|",'DEF_CALL_DECISION_SUPPORT'!$U$10:$U$178,0)+10-1,0),0)))))</f>
        <v>11</v>
      </c>
    </row>
    <row r="14" spans="1:20" ht="68" customHeight="1">
      <c r="A14" s="8" t="s">
        <v>26</v>
      </c>
      <c r="B14" s="8" t="s">
        <v>709</v>
      </c>
      <c r="C14" s="8" t="s">
        <v>465</v>
      </c>
      <c r="D14" s="14" t="str">
        <f>IF(T14=0,"Film Review Required",IF(IF($T14=0,"",INDEX('DEF_CALL_DECISION_SUPPORT'!$A$1:$U$1496,$T14,3))&lt;4,"Sample Watch • ","")&amp;(IF(IFERROR(MATCH("6:1D 1-3|0:|3:4X1|12:OUTSIDE ZONE|",'DEF_CALL_DECISION_SUPPORT'!$U$1448:$U$1491,0)+1448-1,0)&gt;0,"Exact Context Match",IF(IFERROR(MATCH("6:1D 1-3|12:OUTSIDE ZONE|",'DEF_CALL_DECISION_SUPPORT'!$U$811:$U$1055,0)+811-1,0)&gt;0,"D&amp;D + Concept Match",IF(IFERROR(MATCH("12:OUTSIDE ZONE|",'DEF_CALL_DECISION_SUPPORT'!$U$1264:$U$1440,0)+1264-1,0)&gt;0,"Broad Concept Proxy","Film Review Required")))))</f>
        <v>Sample Watch • Broad Concept Proxy</v>
      </c>
      <c r="E14" s="8" t="str">
        <f>IF($T14=0,"Film Review Required",INDEX('DEF_CALL_DECISION_SUPPORT'!$A$1:$U$1496,$T14,2))</f>
        <v>BOURBON</v>
      </c>
      <c r="F14" s="14" t="str">
        <f>IF($T14=0,"",INDEX('DEF_CALL_DECISION_SUPPORT'!$A$1:$U$1496,$T14,9))</f>
        <v>LOW</v>
      </c>
      <c r="G14" s="9" t="str">
        <f>IF($T14=0,"No matching defensive sample; film review required.",INDEX('DEF_CALL_DECISION_SUPPORT'!$A$1:$U$1496,$T14,12))</f>
        <v>Sample watch; review clips and build the sample.</v>
      </c>
      <c r="H14" s="9" t="s">
        <v>2873</v>
      </c>
      <c r="I14" s="10">
        <v>1</v>
      </c>
      <c r="J14" s="11">
        <v>5.925925925925926</v>
      </c>
      <c r="K14" s="15">
        <v>0.02598665456409913</v>
      </c>
      <c r="L14" s="14" t="s">
        <v>700</v>
      </c>
      <c r="M14" s="8" t="s">
        <v>2874</v>
      </c>
      <c r="N14" s="10">
        <f>IF($T14=0,"",INDEX('DEF_CALL_DECISION_SUPPORT'!$A$1:$U$1496,$T14,4))</f>
        <v>0.3333333333333333</v>
      </c>
      <c r="O14" s="10">
        <f>IF($T14=0,"",INDEX('DEF_CALL_DECISION_SUPPORT'!$A$1:$U$1496,$T14,5))</f>
        <v>0.0</v>
      </c>
      <c r="P14" s="11">
        <f>IF($T14=0,"",INDEX('DEF_CALL_DECISION_SUPPORT'!$A$1:$U$1496,$T14,6))</f>
        <v>5.333333333333333</v>
      </c>
      <c r="Q14" s="11">
        <f>IF($T14=0,"",INDEX('DEF_CALL_DECISION_SUPPORT'!$A$1:$U$1496,$T14,10))</f>
        <v>48.0</v>
      </c>
      <c r="R14" s="12">
        <v>1</v>
      </c>
      <c r="T14" s="2">
        <f>IF(IFERROR(MATCH("6:1D 1-3|0:|3:4X1|12:OUTSIDE ZONE|",'DEF_CALL_DECISION_SUPPORT'!$U$1448:$U$1491,0)+1448-1,0)&gt;0,IFERROR(MATCH("6:1D 1-3|0:|3:4X1|12:OUTSIDE ZONE|",'DEF_CALL_DECISION_SUPPORT'!$U$1448:$U$1491,0)+1448-1,0),IF(IFERROR(MATCH("6:1D 1-3|12:OUTSIDE ZONE|",'DEF_CALL_DECISION_SUPPORT'!$U$811:$U$1055,0)+811-1,0)&gt;0,IFERROR(MATCH("6:1D 1-3|12:OUTSIDE ZONE|",'DEF_CALL_DECISION_SUPPORT'!$U$811:$U$1055,0)+811-1,0),IF(IFERROR(MATCH("12:OUTSIDE ZONE|",'DEF_CALL_DECISION_SUPPORT'!$U$1264:$U$1440,0)+1264-1,0)&gt;0,IFERROR(MATCH("12:OUTSIDE ZONE|",'DEF_CALL_DECISION_SUPPORT'!$U$1264:$U$1440,0)+1264-1,0),0)))</f>
        <v>1380</v>
      </c>
    </row>
    <row r="15" spans="1:20" ht="68" customHeight="1">
      <c r="A15" s="8" t="s">
        <v>26</v>
      </c>
      <c r="B15" s="8" t="s">
        <v>710</v>
      </c>
      <c r="C15" s="8" t="s">
        <v>2878</v>
      </c>
      <c r="D15" s="14" t="str">
        <f>IF(T15=0,"Film Review Required",IF(IF($T15=0,"",INDEX('DEF_CALL_DECISION_SUPPORT'!$A$1:$U$1496,$T15,3))&lt;4,"Sample Watch • ","")&amp;(IF(CALL_LOOKUP_BOARD!$L$279="","Film Review Required",IF(IFERROR(MATCH(LEN("1D 1-3")&amp;":"&amp;"1D 1-3"&amp;"|"&amp;LEN(CALL_LOOKUP_BOARD!$L$279)&amp;":"&amp;CALL_LOOKUP_BOARD!$L$279&amp;"|",'DEF_CALL_DECISION_SUPPORT'!$U$811:$U$1055,0)+811-1,0)&gt;0,"D&amp;D + Concept Match • Concept Proxy",IF(IFERROR(MATCH(LEN(CALL_LOOKUP_BOARD!$L$279)&amp;":"&amp;CALL_LOOKUP_BOARD!$L$279&amp;"|",'DEF_CALL_DECISION_SUPPORT'!$U$1264:$U$1440,0)+1264-1,0)&gt;0,"Broad Concept Proxy","Film Review Required")))))</f>
        <v>Sample Watch • Broad Concept Proxy</v>
      </c>
      <c r="E15" s="8" t="str">
        <f>IF($T15=0,"Film Review Required",INDEX('DEF_CALL_DECISION_SUPPORT'!$A$1:$U$1496,$T15,2))</f>
        <v>BOURBON</v>
      </c>
      <c r="F15" s="14" t="str">
        <f>IF($T15=0,"",INDEX('DEF_CALL_DECISION_SUPPORT'!$A$1:$U$1496,$T15,9))</f>
        <v>LOW</v>
      </c>
      <c r="G15" s="9" t="str">
        <f>IF($T15=0,"No matching defensive sample; film review required.",INDEX('DEF_CALL_DECISION_SUPPORT'!$A$1:$U$1496,$T15,12))</f>
        <v>Sample watch; review clips and build the sample.</v>
      </c>
      <c r="H15" s="9" t="s">
        <v>2877</v>
      </c>
      <c r="I15" s="10">
        <v>1</v>
      </c>
      <c r="J15" s="11">
        <v>80.5</v>
      </c>
      <c r="K15" s="15">
        <v>3.750023626405972E-19</v>
      </c>
      <c r="L15" s="14" t="s">
        <v>704</v>
      </c>
      <c r="M15" s="8" t="s">
        <v>2874</v>
      </c>
      <c r="N15" s="10">
        <f>IF($T15=0,"",INDEX('DEF_CALL_DECISION_SUPPORT'!$A$1:$U$1496,$T15,4))</f>
        <v>0.3333333333333333</v>
      </c>
      <c r="O15" s="10">
        <f>IF($T15=0,"",INDEX('DEF_CALL_DECISION_SUPPORT'!$A$1:$U$1496,$T15,5))</f>
        <v>0.0</v>
      </c>
      <c r="P15" s="11">
        <f>IF($T15=0,"",INDEX('DEF_CALL_DECISION_SUPPORT'!$A$1:$U$1496,$T15,6))</f>
        <v>5.333333333333333</v>
      </c>
      <c r="Q15" s="11">
        <f>IF($T15=0,"",INDEX('DEF_CALL_DECISION_SUPPORT'!$A$1:$U$1496,$T15,10))</f>
        <v>48.0</v>
      </c>
      <c r="R15" s="12">
        <v>1</v>
      </c>
      <c r="T15" s="2">
        <f>IF(CALL_LOOKUP_BOARD!$L$279="",0,IF(IFERROR(MATCH(LEN("1D 1-3")&amp;":"&amp;"1D 1-3"&amp;"|"&amp;LEN(CALL_LOOKUP_BOARD!$L$279)&amp;":"&amp;CALL_LOOKUP_BOARD!$L$279&amp;"|",'DEF_CALL_DECISION_SUPPORT'!$U$811:$U$1055,0)+811-1,0)&gt;0,IFERROR(MATCH(LEN("1D 1-3")&amp;":"&amp;"1D 1-3"&amp;"|"&amp;LEN(CALL_LOOKUP_BOARD!$L$279)&amp;":"&amp;CALL_LOOKUP_BOARD!$L$279&amp;"|",'DEF_CALL_DECISION_SUPPORT'!$U$811:$U$1055,0)+811-1,0),IFERROR(MATCH(LEN(CALL_LOOKUP_BOARD!$L$279)&amp;":"&amp;CALL_LOOKUP_BOARD!$L$279&amp;"|",'DEF_CALL_DECISION_SUPPORT'!$U$1264:$U$1440,0)+1264-1,0)))</f>
        <v>1380</v>
      </c>
    </row>
    <row r="16" spans="1:20" ht="68" customHeight="1">
      <c r="A16" s="8" t="s">
        <v>36</v>
      </c>
      <c r="B16" s="8" t="s">
        <v>712</v>
      </c>
      <c r="C16" s="8" t="s">
        <v>541</v>
      </c>
      <c r="D16" s="14" t="str">
        <f>IF(T16=0,"Film Review Required",IF(IF($T16=0,"",INDEX('DEF_CALL_DECISION_SUPPORT'!$A$1:$U$1496,$T16,3))&lt;4,"Sample Watch • ","")&amp;(IF(IFERROR(MATCH("6:1D 4-6|3:12H|0:|5:POWER|",'DEF_CALL_DECISION_SUPPORT'!$U$1448:$U$1491,0)+1448-1,0)&gt;0,"Exact Context Match",IF(IFERROR(MATCH("6:1D 4-6|5:POWER|",'DEF_CALL_DECISION_SUPPORT'!$U$811:$U$1055,0)+811-1,0)&gt;0,"D&amp;D + Concept Match",IF(IFERROR(MATCH("5:POWER|",'DEF_CALL_DECISION_SUPPORT'!$U$1264:$U$1440,0)+1264-1,0)&gt;0,"Broad Concept Proxy","Film Review Required")))))</f>
        <v>Sample Watch • Broad Concept Proxy</v>
      </c>
      <c r="E16" s="8" t="str">
        <f>IF($T16=0,"Film Review Required",INDEX('DEF_CALL_DECISION_SUPPORT'!$A$1:$U$1496,$T16,2))</f>
        <v>REBEL</v>
      </c>
      <c r="F16" s="14" t="str">
        <f>IF($T16=0,"",INDEX('DEF_CALL_DECISION_SUPPORT'!$A$1:$U$1496,$T16,9))</f>
        <v>TRACK</v>
      </c>
      <c r="G16" s="9" t="str">
        <f>IF($T16=0,"No matching defensive sample; film review required.",INDEX('DEF_CALL_DECISION_SUPPORT'!$A$1:$U$1496,$T16,12))</f>
        <v>Track only; not enough sample.</v>
      </c>
      <c r="H16" s="9" t="s">
        <v>2873</v>
      </c>
      <c r="I16" s="10">
        <v>1</v>
      </c>
      <c r="J16" s="11">
        <v>40.25</v>
      </c>
      <c r="K16" s="15">
        <v>3.288478427024823E-10</v>
      </c>
      <c r="L16" s="14" t="s">
        <v>700</v>
      </c>
      <c r="M16" s="8" t="s">
        <v>2874</v>
      </c>
      <c r="N16" s="10">
        <f>IF($T16=0,"",INDEX('DEF_CALL_DECISION_SUPPORT'!$A$1:$U$1496,$T16,4))</f>
        <v>1.0</v>
      </c>
      <c r="O16" s="10">
        <f>IF($T16=0,"",INDEX('DEF_CALL_DECISION_SUPPORT'!$A$1:$U$1496,$T16,5))</f>
        <v>0.0</v>
      </c>
      <c r="P16" s="11">
        <f>IF($T16=0,"",INDEX('DEF_CALL_DECISION_SUPPORT'!$A$1:$U$1496,$T16,6))</f>
        <v>0.0</v>
      </c>
      <c r="Q16" s="11">
        <f>IF($T16=0,"",INDEX('DEF_CALL_DECISION_SUPPORT'!$A$1:$U$1496,$T16,10))</f>
        <v>100.0</v>
      </c>
      <c r="R16" s="12">
        <v>1</v>
      </c>
      <c r="T16" s="2">
        <f>IF(IFERROR(MATCH("6:1D 4-6|3:12H|0:|5:POWER|",'DEF_CALL_DECISION_SUPPORT'!$U$1448:$U$1491,0)+1448-1,0)&gt;0,IFERROR(MATCH("6:1D 4-6|3:12H|0:|5:POWER|",'DEF_CALL_DECISION_SUPPORT'!$U$1448:$U$1491,0)+1448-1,0),IF(IFERROR(MATCH("6:1D 4-6|5:POWER|",'DEF_CALL_DECISION_SUPPORT'!$U$811:$U$1055,0)+811-1,0)&gt;0,IFERROR(MATCH("6:1D 4-6|5:POWER|",'DEF_CALL_DECISION_SUPPORT'!$U$811:$U$1055,0)+811-1,0),IF(IFERROR(MATCH("5:POWER|",'DEF_CALL_DECISION_SUPPORT'!$U$1264:$U$1440,0)+1264-1,0)&gt;0,IFERROR(MATCH("5:POWER|",'DEF_CALL_DECISION_SUPPORT'!$U$1264:$U$1440,0)+1264-1,0),0)))</f>
        <v>1409</v>
      </c>
    </row>
    <row r="17" spans="1:20" ht="68" customHeight="1">
      <c r="A17" s="8" t="s">
        <v>36</v>
      </c>
      <c r="B17" s="8" t="s">
        <v>713</v>
      </c>
      <c r="C17" s="8" t="s">
        <v>2875</v>
      </c>
      <c r="D17" s="14" t="str">
        <f>IF(T17=0,"Film Review Required",IF(IF($T17=0,"",INDEX('DEF_CALL_DECISION_SUPPORT'!$A$1:$U$1496,$T17,3))&lt;4,"Sample Watch • ","")&amp;(IF(IFERROR(MATCH("6:1D 4-6|3:12H|3:4X1|0:|",'DEF_CALL_DECISION_SUPPORT'!$U$1448:$U$1491,0)+1448-1,0)&gt;0,"Exact Context Match",IF(IFERROR(MATCH("6:1D 4-6|3:12H|3:4X1|",'DEF_CALL_DECISION_SUPPORT'!$U$589:$U$803,0)+589-1,0)&gt;0,"D&amp;D + personnel + structure",IF(IFERROR(MATCH("6:1D 4-6|3:4X1|",'DEF_CALL_DECISION_SUPPORT'!$U$375:$U$581,0)+375-1,0)&gt;0,"D&amp;D + structure; personnel not conditioned",IF(IFERROR(MATCH("6:1D 4-6|3:12H|",'DEF_CALL_DECISION_SUPPORT'!$U$186:$U$367,0)+186-1,0)&gt;0,"D&amp;D + personnel; structure not conditioned",IF(IFERROR(MATCH("6:1D 4-6|",'DEF_CALL_DECISION_SUPPORT'!$U$10:$U$178,0)+10-1,0)&gt;0,"D&amp;D only; presentation not conditioned","Film Review Required")))))))</f>
        <v>Sample Watch • D&amp;D + structure; personnel not conditioned</v>
      </c>
      <c r="E17" s="8" t="str">
        <f>IF($T17=0,"Film Review Required",INDEX('DEF_CALL_DECISION_SUPPORT'!$A$1:$U$1496,$T17,2))</f>
        <v>9 LEBO MIKE</v>
      </c>
      <c r="F17" s="14" t="str">
        <f>IF($T17=0,"",INDEX('DEF_CALL_DECISION_SUPPORT'!$A$1:$U$1496,$T17,9))</f>
        <v>TRACK</v>
      </c>
      <c r="G17" s="9" t="str">
        <f>IF($T17=0,"No matching defensive sample; film review required.",INDEX('DEF_CALL_DECISION_SUPPORT'!$A$1:$U$1496,$T17,12))</f>
        <v>Track only; not enough sample.</v>
      </c>
      <c r="H17" s="9" t="s">
        <v>2873</v>
      </c>
      <c r="I17" s="10">
        <v>1</v>
      </c>
      <c r="J17" s="11">
        <v>16.4</v>
      </c>
      <c r="K17" s="15">
        <v>8.274660828710641E-05</v>
      </c>
      <c r="L17" s="14" t="s">
        <v>700</v>
      </c>
      <c r="M17" s="8" t="s">
        <v>2874</v>
      </c>
      <c r="N17" s="10">
        <f>IF($T17=0,"",INDEX('DEF_CALL_DECISION_SUPPORT'!$A$1:$U$1496,$T17,4))</f>
        <v>0.0</v>
      </c>
      <c r="O17" s="10">
        <f>IF($T17=0,"",INDEX('DEF_CALL_DECISION_SUPPORT'!$A$1:$U$1496,$T17,5))</f>
        <v>0.0</v>
      </c>
      <c r="P17" s="11">
        <f>IF($T17=0,"",INDEX('DEF_CALL_DECISION_SUPPORT'!$A$1:$U$1496,$T17,6))</f>
        <v>5.0</v>
      </c>
      <c r="Q17" s="11">
        <f>IF($T17=0,"",INDEX('DEF_CALL_DECISION_SUPPORT'!$A$1:$U$1496,$T17,10))</f>
        <v>25.0</v>
      </c>
      <c r="R17" s="12">
        <v>1</v>
      </c>
      <c r="T17" s="2">
        <f>IF(IFERROR(MATCH("6:1D 4-6|3:12H|3:4X1|0:|",'DEF_CALL_DECISION_SUPPORT'!$U$1448:$U$1491,0)+1448-1,0)&gt;0,IFERROR(MATCH("6:1D 4-6|3:12H|3:4X1|0:|",'DEF_CALL_DECISION_SUPPORT'!$U$1448:$U$1491,0)+1448-1,0),IF(IFERROR(MATCH("6:1D 4-6|3:12H|3:4X1|",'DEF_CALL_DECISION_SUPPORT'!$U$589:$U$803,0)+589-1,0)&gt;0,IFERROR(MATCH("6:1D 4-6|3:12H|3:4X1|",'DEF_CALL_DECISION_SUPPORT'!$U$589:$U$803,0)+589-1,0),IF(IFERROR(MATCH("6:1D 4-6|3:4X1|",'DEF_CALL_DECISION_SUPPORT'!$U$375:$U$581,0)+375-1,0)&gt;0,IFERROR(MATCH("6:1D 4-6|3:4X1|",'DEF_CALL_DECISION_SUPPORT'!$U$375:$U$581,0)+375-1,0),IF(IFERROR(MATCH("6:1D 4-6|3:12H|",'DEF_CALL_DECISION_SUPPORT'!$U$186:$U$367,0)+186-1,0)&gt;0,IFERROR(MATCH("6:1D 4-6|3:12H|",'DEF_CALL_DECISION_SUPPORT'!$U$186:$U$367,0)+186-1,0),IF(IFERROR(MATCH("6:1D 4-6|",'DEF_CALL_DECISION_SUPPORT'!$U$10:$U$178,0)+10-1,0)&gt;0,IFERROR(MATCH("6:1D 4-6|",'DEF_CALL_DECISION_SUPPORT'!$U$10:$U$178,0)+10-1,0),0)))))</f>
        <v>382</v>
      </c>
    </row>
    <row r="18" spans="1:20" ht="68" customHeight="1">
      <c r="A18" s="8" t="s">
        <v>36</v>
      </c>
      <c r="B18" s="8" t="s">
        <v>714</v>
      </c>
      <c r="C18" s="8" t="s">
        <v>541</v>
      </c>
      <c r="D18" s="14" t="str">
        <f>IF(T18=0,"Film Review Required",IF(IF($T18=0,"",INDEX('DEF_CALL_DECISION_SUPPORT'!$A$1:$U$1496,$T18,3))&lt;4,"Sample Watch • ","")&amp;(IF(IFERROR(MATCH("6:1D 4-6|0:|3:4X1|5:POWER|",'DEF_CALL_DECISION_SUPPORT'!$U$1448:$U$1491,0)+1448-1,0)&gt;0,"Exact Context Match",IF(IFERROR(MATCH("6:1D 4-6|5:POWER|",'DEF_CALL_DECISION_SUPPORT'!$U$811:$U$1055,0)+811-1,0)&gt;0,"D&amp;D + Concept Match",IF(IFERROR(MATCH("5:POWER|",'DEF_CALL_DECISION_SUPPORT'!$U$1264:$U$1440,0)+1264-1,0)&gt;0,"Broad Concept Proxy","Film Review Required")))))</f>
        <v>Sample Watch • Broad Concept Proxy</v>
      </c>
      <c r="E18" s="8" t="str">
        <f>IF($T18=0,"Film Review Required",INDEX('DEF_CALL_DECISION_SUPPORT'!$A$1:$U$1496,$T18,2))</f>
        <v>REBEL</v>
      </c>
      <c r="F18" s="14" t="str">
        <f>IF($T18=0,"",INDEX('DEF_CALL_DECISION_SUPPORT'!$A$1:$U$1496,$T18,9))</f>
        <v>TRACK</v>
      </c>
      <c r="G18" s="9" t="str">
        <f>IF($T18=0,"No matching defensive sample; film review required.",INDEX('DEF_CALL_DECISION_SUPPORT'!$A$1:$U$1496,$T18,12))</f>
        <v>Track only; not enough sample.</v>
      </c>
      <c r="H18" s="9" t="s">
        <v>2873</v>
      </c>
      <c r="I18" s="10">
        <v>1</v>
      </c>
      <c r="J18" s="11">
        <v>40</v>
      </c>
      <c r="K18" s="15">
        <v>3.737702567002527E-10</v>
      </c>
      <c r="L18" s="14" t="s">
        <v>700</v>
      </c>
      <c r="M18" s="8" t="s">
        <v>2874</v>
      </c>
      <c r="N18" s="10">
        <f>IF($T18=0,"",INDEX('DEF_CALL_DECISION_SUPPORT'!$A$1:$U$1496,$T18,4))</f>
        <v>1.0</v>
      </c>
      <c r="O18" s="10">
        <f>IF($T18=0,"",INDEX('DEF_CALL_DECISION_SUPPORT'!$A$1:$U$1496,$T18,5))</f>
        <v>0.0</v>
      </c>
      <c r="P18" s="11">
        <f>IF($T18=0,"",INDEX('DEF_CALL_DECISION_SUPPORT'!$A$1:$U$1496,$T18,6))</f>
        <v>0.0</v>
      </c>
      <c r="Q18" s="11">
        <f>IF($T18=0,"",INDEX('DEF_CALL_DECISION_SUPPORT'!$A$1:$U$1496,$T18,10))</f>
        <v>100.0</v>
      </c>
      <c r="R18" s="12">
        <v>1</v>
      </c>
      <c r="T18" s="2">
        <f>IF(IFERROR(MATCH("6:1D 4-6|0:|3:4X1|5:POWER|",'DEF_CALL_DECISION_SUPPORT'!$U$1448:$U$1491,0)+1448-1,0)&gt;0,IFERROR(MATCH("6:1D 4-6|0:|3:4X1|5:POWER|",'DEF_CALL_DECISION_SUPPORT'!$U$1448:$U$1491,0)+1448-1,0),IF(IFERROR(MATCH("6:1D 4-6|5:POWER|",'DEF_CALL_DECISION_SUPPORT'!$U$811:$U$1055,0)+811-1,0)&gt;0,IFERROR(MATCH("6:1D 4-6|5:POWER|",'DEF_CALL_DECISION_SUPPORT'!$U$811:$U$1055,0)+811-1,0),IF(IFERROR(MATCH("5:POWER|",'DEF_CALL_DECISION_SUPPORT'!$U$1264:$U$1440,0)+1264-1,0)&gt;0,IFERROR(MATCH("5:POWER|",'DEF_CALL_DECISION_SUPPORT'!$U$1264:$U$1440,0)+1264-1,0),0)))</f>
        <v>1409</v>
      </c>
    </row>
    <row r="19" spans="1:20" ht="68" customHeight="1">
      <c r="A19" s="8" t="s">
        <v>36</v>
      </c>
      <c r="B19" s="8" t="s">
        <v>715</v>
      </c>
      <c r="C19" s="8" t="s">
        <v>2879</v>
      </c>
      <c r="D19" s="14" t="str">
        <f>IF(T19=0,"Film Review Required",IF(IF($T19=0,"",INDEX('DEF_CALL_DECISION_SUPPORT'!$A$1:$U$1496,$T19,3))&lt;4,"Sample Watch • ","")&amp;(IF(CALL_LOOKUP_BOARD!$L$283="","Film Review Required",IF(IFERROR(MATCH(LEN("1D 4-6")&amp;":"&amp;"1D 4-6"&amp;"|"&amp;LEN(CALL_LOOKUP_BOARD!$L$283)&amp;":"&amp;CALL_LOOKUP_BOARD!$L$283&amp;"|",'DEF_CALL_DECISION_SUPPORT'!$U$811:$U$1055,0)+811-1,0)&gt;0,"D&amp;D + Concept Match • Concept Proxy",IF(IFERROR(MATCH(LEN(CALL_LOOKUP_BOARD!$L$283)&amp;":"&amp;CALL_LOOKUP_BOARD!$L$283&amp;"|",'DEF_CALL_DECISION_SUPPORT'!$U$1264:$U$1440,0)+1264-1,0)&gt;0,"Broad Concept Proxy","Film Review Required")))))</f>
        <v>Sample Watch • Broad Concept Proxy</v>
      </c>
      <c r="E19" s="8" t="str">
        <f>IF($T19=0,"Film Review Required",INDEX('DEF_CALL_DECISION_SUPPORT'!$A$1:$U$1496,$T19,2))</f>
        <v>REBEL</v>
      </c>
      <c r="F19" s="14" t="str">
        <f>IF($T19=0,"",INDEX('DEF_CALL_DECISION_SUPPORT'!$A$1:$U$1496,$T19,9))</f>
        <v>TRACK</v>
      </c>
      <c r="G19" s="9" t="str">
        <f>IF($T19=0,"No matching defensive sample; film review required.",INDEX('DEF_CALL_DECISION_SUPPORT'!$A$1:$U$1496,$T19,12))</f>
        <v>Track only; not enough sample.</v>
      </c>
      <c r="H19" s="9" t="s">
        <v>2877</v>
      </c>
      <c r="I19" s="10">
        <v>1</v>
      </c>
      <c r="J19" s="11">
        <v>80.5</v>
      </c>
      <c r="K19" s="15">
        <v>3.750023626405972E-19</v>
      </c>
      <c r="L19" s="14" t="s">
        <v>704</v>
      </c>
      <c r="M19" s="8" t="s">
        <v>2874</v>
      </c>
      <c r="N19" s="10">
        <f>IF($T19=0,"",INDEX('DEF_CALL_DECISION_SUPPORT'!$A$1:$U$1496,$T19,4))</f>
        <v>1.0</v>
      </c>
      <c r="O19" s="10">
        <f>IF($T19=0,"",INDEX('DEF_CALL_DECISION_SUPPORT'!$A$1:$U$1496,$T19,5))</f>
        <v>0.0</v>
      </c>
      <c r="P19" s="11">
        <f>IF($T19=0,"",INDEX('DEF_CALL_DECISION_SUPPORT'!$A$1:$U$1496,$T19,6))</f>
        <v>0.0</v>
      </c>
      <c r="Q19" s="11">
        <f>IF($T19=0,"",INDEX('DEF_CALL_DECISION_SUPPORT'!$A$1:$U$1496,$T19,10))</f>
        <v>100.0</v>
      </c>
      <c r="R19" s="12">
        <v>1</v>
      </c>
      <c r="T19" s="2">
        <f>IF(CALL_LOOKUP_BOARD!$L$283="",0,IF(IFERROR(MATCH(LEN("1D 4-6")&amp;":"&amp;"1D 4-6"&amp;"|"&amp;LEN(CALL_LOOKUP_BOARD!$L$283)&amp;":"&amp;CALL_LOOKUP_BOARD!$L$283&amp;"|",'DEF_CALL_DECISION_SUPPORT'!$U$811:$U$1055,0)+811-1,0)&gt;0,IFERROR(MATCH(LEN("1D 4-6")&amp;":"&amp;"1D 4-6"&amp;"|"&amp;LEN(CALL_LOOKUP_BOARD!$L$283)&amp;":"&amp;CALL_LOOKUP_BOARD!$L$283&amp;"|",'DEF_CALL_DECISION_SUPPORT'!$U$811:$U$1055,0)+811-1,0),IFERROR(MATCH(LEN(CALL_LOOKUP_BOARD!$L$283)&amp;":"&amp;CALL_LOOKUP_BOARD!$L$283&amp;"|",'DEF_CALL_DECISION_SUPPORT'!$U$1264:$U$1440,0)+1264-1,0)))</f>
        <v>1409</v>
      </c>
    </row>
    <row r="20" spans="1:20" ht="68" customHeight="1">
      <c r="A20" s="8" t="s">
        <v>39</v>
      </c>
      <c r="B20" s="8" t="s">
        <v>717</v>
      </c>
      <c r="C20" s="8" t="s">
        <v>878</v>
      </c>
      <c r="D20" s="14" t="str">
        <f>IF(T20=0,"Film Review Required",IF(IF($T20=0,"",INDEX('DEF_CALL_DECISION_SUPPORT'!$A$1:$U$1496,$T20,3))&lt;4,"Sample Watch • ","")&amp;(IF(IFERROR(MATCH("7:1D 7-10|3:11H|0:|1:G|",'DEF_CALL_DECISION_SUPPORT'!$U$1448:$U$1491,0)+1448-1,0)&gt;0,"Exact Context Match",IF(IFERROR(MATCH("7:1D 7-10|1:G|",'DEF_CALL_DECISION_SUPPORT'!$U$811:$U$1055,0)+811-1,0)&gt;0,"D&amp;D + Concept Match",IF(IFERROR(MATCH("1:G|",'DEF_CALL_DECISION_SUPPORT'!$U$1264:$U$1440,0)+1264-1,0)&gt;0,"Broad Concept Proxy","Film Review Required")))))</f>
        <v>Film Review Required</v>
      </c>
      <c r="E20" s="8" t="str">
        <f>IF($T20=0,"Film Review Required",INDEX('DEF_CALL_DECISION_SUPPORT'!$A$1:$U$1496,$T20,2))</f>
        <v>Film Review Required</v>
      </c>
      <c r="F20" s="14">
        <f>IF($T20=0,"",INDEX('DEF_CALL_DECISION_SUPPORT'!$A$1:$U$1496,$T20,9))</f>
        <v/>
      </c>
      <c r="G20" s="9" t="str">
        <f>IF($T20=0,"No matching defensive sample; film review required.",INDEX('DEF_CALL_DECISION_SUPPORT'!$A$1:$U$1496,$T20,12))</f>
        <v>No matching defensive sample; film review required.</v>
      </c>
      <c r="H20" s="9" t="s">
        <v>2873</v>
      </c>
      <c r="I20" s="10">
        <v>1</v>
      </c>
      <c r="J20" s="11">
        <v>23</v>
      </c>
      <c r="K20" s="15">
        <v>2.538031489740095E-06</v>
      </c>
      <c r="L20" s="14" t="s">
        <v>700</v>
      </c>
      <c r="M20" s="8" t="s">
        <v>2874</v>
      </c>
      <c r="N20" s="10">
        <f>IF($T20=0,"",INDEX('DEF_CALL_DECISION_SUPPORT'!$A$1:$U$1496,$T20,4))</f>
        <v/>
      </c>
      <c r="O20" s="10">
        <f>IF($T20=0,"",INDEX('DEF_CALL_DECISION_SUPPORT'!$A$1:$U$1496,$T20,5))</f>
        <v/>
      </c>
      <c r="P20" s="11">
        <f>IF($T20=0,"",INDEX('DEF_CALL_DECISION_SUPPORT'!$A$1:$U$1496,$T20,6))</f>
        <v/>
      </c>
      <c r="Q20" s="11">
        <f>IF($T20=0,"",INDEX('DEF_CALL_DECISION_SUPPORT'!$A$1:$U$1496,$T20,10))</f>
        <v/>
      </c>
      <c r="R20" s="12">
        <v>1</v>
      </c>
      <c r="T20" s="2">
        <f>IF(IFERROR(MATCH("7:1D 7-10|3:11H|0:|1:G|",'DEF_CALL_DECISION_SUPPORT'!$U$1448:$U$1491,0)+1448-1,0)&gt;0,IFERROR(MATCH("7:1D 7-10|3:11H|0:|1:G|",'DEF_CALL_DECISION_SUPPORT'!$U$1448:$U$1491,0)+1448-1,0),IF(IFERROR(MATCH("7:1D 7-10|1:G|",'DEF_CALL_DECISION_SUPPORT'!$U$811:$U$1055,0)+811-1,0)&gt;0,IFERROR(MATCH("7:1D 7-10|1:G|",'DEF_CALL_DECISION_SUPPORT'!$U$811:$U$1055,0)+811-1,0),IF(IFERROR(MATCH("1:G|",'DEF_CALL_DECISION_SUPPORT'!$U$1264:$U$1440,0)+1264-1,0)&gt;0,IFERROR(MATCH("1:G|",'DEF_CALL_DECISION_SUPPORT'!$U$1264:$U$1440,0)+1264-1,0),0)))</f>
        <v>0</v>
      </c>
    </row>
    <row r="21" spans="1:20" ht="68" customHeight="1">
      <c r="A21" s="8" t="s">
        <v>39</v>
      </c>
      <c r="B21" s="8" t="s">
        <v>713</v>
      </c>
      <c r="C21" s="8" t="s">
        <v>2875</v>
      </c>
      <c r="D21" s="14" t="str">
        <f>IF(T21=0,"Film Review Required",IF(IF($T21=0,"",INDEX('DEF_CALL_DECISION_SUPPORT'!$A$1:$U$1496,$T21,3))&lt;4,"Sample Watch • ","")&amp;(IF(IFERROR(MATCH("7:1D 7-10|3:12H|3:4X1|0:|",'DEF_CALL_DECISION_SUPPORT'!$U$1448:$U$1491,0)+1448-1,0)&gt;0,"Exact Context Match",IF(IFERROR(MATCH("7:1D 7-10|3:12H|3:4X1|",'DEF_CALL_DECISION_SUPPORT'!$U$589:$U$803,0)+589-1,0)&gt;0,"D&amp;D + personnel + structure",IF(IFERROR(MATCH("7:1D 7-10|3:4X1|",'DEF_CALL_DECISION_SUPPORT'!$U$375:$U$581,0)+375-1,0)&gt;0,"D&amp;D + structure; personnel not conditioned",IF(IFERROR(MATCH("7:1D 7-10|3:12H|",'DEF_CALL_DECISION_SUPPORT'!$U$186:$U$367,0)+186-1,0)&gt;0,"D&amp;D + personnel; structure not conditioned",IF(IFERROR(MATCH("7:1D 7-10|",'DEF_CALL_DECISION_SUPPORT'!$U$10:$U$178,0)+10-1,0)&gt;0,"D&amp;D only; presentation not conditioned","Film Review Required")))))))</f>
        <v>Sample Watch • D&amp;D + structure; personnel not conditioned</v>
      </c>
      <c r="E21" s="8" t="str">
        <f>IF($T21=0,"Film Review Required",INDEX('DEF_CALL_DECISION_SUPPORT'!$A$1:$U$1496,$T21,2))</f>
        <v>TEX</v>
      </c>
      <c r="F21" s="14" t="str">
        <f>IF($T21=0,"",INDEX('DEF_CALL_DECISION_SUPPORT'!$A$1:$U$1496,$T21,9))</f>
        <v>TRACK</v>
      </c>
      <c r="G21" s="9" t="str">
        <f>IF($T21=0,"No matching defensive sample; film review required.",INDEX('DEF_CALL_DECISION_SUPPORT'!$A$1:$U$1496,$T21,12))</f>
        <v>Track only; not enough sample.</v>
      </c>
      <c r="H21" s="9" t="s">
        <v>2873</v>
      </c>
      <c r="I21" s="10">
        <v>0.6666666666666666</v>
      </c>
      <c r="J21" s="11">
        <v>10.93333333333333</v>
      </c>
      <c r="K21" s="15">
        <v>9.648331593381932E-06</v>
      </c>
      <c r="L21" s="14" t="s">
        <v>700</v>
      </c>
      <c r="M21" s="8" t="s">
        <v>2874</v>
      </c>
      <c r="N21" s="10">
        <f>IF($T21=0,"",INDEX('DEF_CALL_DECISION_SUPPORT'!$A$1:$U$1496,$T21,4))</f>
        <v>0.0</v>
      </c>
      <c r="O21" s="10">
        <f>IF($T21=0,"",INDEX('DEF_CALL_DECISION_SUPPORT'!$A$1:$U$1496,$T21,5))</f>
        <v>0.0</v>
      </c>
      <c r="P21" s="11">
        <f>IF($T21=0,"",INDEX('DEF_CALL_DECISION_SUPPORT'!$A$1:$U$1496,$T21,6))</f>
        <v>8.0</v>
      </c>
      <c r="Q21" s="11">
        <f>IF($T21=0,"",INDEX('DEF_CALL_DECISION_SUPPORT'!$A$1:$U$1496,$T21,10))</f>
        <v>22.0</v>
      </c>
      <c r="R21" s="12">
        <v>2</v>
      </c>
      <c r="T21" s="2">
        <f>IF(IFERROR(MATCH("7:1D 7-10|3:12H|3:4X1|0:|",'DEF_CALL_DECISION_SUPPORT'!$U$1448:$U$1491,0)+1448-1,0)&gt;0,IFERROR(MATCH("7:1D 7-10|3:12H|3:4X1|0:|",'DEF_CALL_DECISION_SUPPORT'!$U$1448:$U$1491,0)+1448-1,0),IF(IFERROR(MATCH("7:1D 7-10|3:12H|3:4X1|",'DEF_CALL_DECISION_SUPPORT'!$U$589:$U$803,0)+589-1,0)&gt;0,IFERROR(MATCH("7:1D 7-10|3:12H|3:4X1|",'DEF_CALL_DECISION_SUPPORT'!$U$589:$U$803,0)+589-1,0),IF(IFERROR(MATCH("7:1D 7-10|3:4X1|",'DEF_CALL_DECISION_SUPPORT'!$U$375:$U$581,0)+375-1,0)&gt;0,IFERROR(MATCH("7:1D 7-10|3:4X1|",'DEF_CALL_DECISION_SUPPORT'!$U$375:$U$581,0)+375-1,0),IF(IFERROR(MATCH("7:1D 7-10|3:12H|",'DEF_CALL_DECISION_SUPPORT'!$U$186:$U$367,0)+186-1,0)&gt;0,IFERROR(MATCH("7:1D 7-10|3:12H|",'DEF_CALL_DECISION_SUPPORT'!$U$186:$U$367,0)+186-1,0),IF(IFERROR(MATCH("7:1D 7-10|",'DEF_CALL_DECISION_SUPPORT'!$U$10:$U$178,0)+10-1,0)&gt;0,IFERROR(MATCH("7:1D 7-10|",'DEF_CALL_DECISION_SUPPORT'!$U$10:$U$178,0)+10-1,0),0)))))</f>
        <v>425</v>
      </c>
    </row>
    <row r="22" spans="1:20" ht="68" customHeight="1">
      <c r="A22" s="8" t="s">
        <v>39</v>
      </c>
      <c r="B22" s="8" t="s">
        <v>718</v>
      </c>
      <c r="C22" s="8" t="s">
        <v>574</v>
      </c>
      <c r="D22" s="14" t="str">
        <f>IF(T22=0,"Film Review Required",IF(IF($T22=0,"",INDEX('DEF_CALL_DECISION_SUPPORT'!$A$1:$U$1496,$T22,3))&lt;4,"Sample Watch • ","")&amp;(IF(IFERROR(MATCH("7:1D 7-10|0:|3:2X1|6:OPTION|",'DEF_CALL_DECISION_SUPPORT'!$U$1448:$U$1491,0)+1448-1,0)&gt;0,"Exact Context Match",IF(IFERROR(MATCH("7:1D 7-10|6:OPTION|",'DEF_CALL_DECISION_SUPPORT'!$U$811:$U$1055,0)+811-1,0)&gt;0,"D&amp;D + Concept Match",IF(IFERROR(MATCH("6:OPTION|",'DEF_CALL_DECISION_SUPPORT'!$U$1264:$U$1440,0)+1264-1,0)&gt;0,"Broad Concept Proxy","Film Review Required")))))</f>
        <v>Sample Watch • Broad Concept Proxy</v>
      </c>
      <c r="E22" s="8" t="str">
        <f>IF($T22=0,"Film Review Required",INDEX('DEF_CALL_DECISION_SUPPORT'!$A$1:$U$1496,$T22,2))</f>
        <v>Q RAMBO</v>
      </c>
      <c r="F22" s="14" t="str">
        <f>IF($T22=0,"",INDEX('DEF_CALL_DECISION_SUPPORT'!$A$1:$U$1496,$T22,9))</f>
        <v>TRACK</v>
      </c>
      <c r="G22" s="9" t="str">
        <f>IF($T22=0,"No matching defensive sample; film review required.",INDEX('DEF_CALL_DECISION_SUPPORT'!$A$1:$U$1496,$T22,12))</f>
        <v>Track only; not enough sample.</v>
      </c>
      <c r="H22" s="9" t="s">
        <v>2873</v>
      </c>
      <c r="I22" s="10">
        <v>1</v>
      </c>
      <c r="J22" s="11">
        <v>32</v>
      </c>
      <c r="K22" s="15">
        <v>2.333701583830451E-08</v>
      </c>
      <c r="L22" s="14" t="s">
        <v>700</v>
      </c>
      <c r="M22" s="8" t="s">
        <v>2874</v>
      </c>
      <c r="N22" s="10">
        <f>IF($T22=0,"",INDEX('DEF_CALL_DECISION_SUPPORT'!$A$1:$U$1496,$T22,4))</f>
        <v>1.0</v>
      </c>
      <c r="O22" s="10">
        <f>IF($T22=0,"",INDEX('DEF_CALL_DECISION_SUPPORT'!$A$1:$U$1496,$T22,5))</f>
        <v>0.0</v>
      </c>
      <c r="P22" s="11">
        <f>IF($T22=0,"",INDEX('DEF_CALL_DECISION_SUPPORT'!$A$1:$U$1496,$T22,6))</f>
        <v>-1.0</v>
      </c>
      <c r="Q22" s="11">
        <f>IF($T22=0,"",INDEX('DEF_CALL_DECISION_SUPPORT'!$A$1:$U$1496,$T22,10))</f>
        <v>100.0</v>
      </c>
      <c r="R22" s="12">
        <v>1</v>
      </c>
      <c r="T22" s="2">
        <f>IF(IFERROR(MATCH("7:1D 7-10|0:|3:2X1|6:OPTION|",'DEF_CALL_DECISION_SUPPORT'!$U$1448:$U$1491,0)+1448-1,0)&gt;0,IFERROR(MATCH("7:1D 7-10|0:|3:2X1|6:OPTION|",'DEF_CALL_DECISION_SUPPORT'!$U$1448:$U$1491,0)+1448-1,0),IF(IFERROR(MATCH("7:1D 7-10|6:OPTION|",'DEF_CALL_DECISION_SUPPORT'!$U$811:$U$1055,0)+811-1,0)&gt;0,IFERROR(MATCH("7:1D 7-10|6:OPTION|",'DEF_CALL_DECISION_SUPPORT'!$U$811:$U$1055,0)+811-1,0),IF(IFERROR(MATCH("6:OPTION|",'DEF_CALL_DECISION_SUPPORT'!$U$1264:$U$1440,0)+1264-1,0)&gt;0,IFERROR(MATCH("6:OPTION|",'DEF_CALL_DECISION_SUPPORT'!$U$1264:$U$1440,0)+1264-1,0),0)))</f>
        <v>1377</v>
      </c>
    </row>
    <row r="23" spans="1:20" ht="68" customHeight="1">
      <c r="A23" s="8" t="s">
        <v>39</v>
      </c>
      <c r="B23" s="8" t="s">
        <v>719</v>
      </c>
      <c r="C23" s="8" t="s">
        <v>2880</v>
      </c>
      <c r="D23" s="14" t="str">
        <f>IF(T23=0,"Film Review Required",IF(IF($T23=0,"",INDEX('DEF_CALL_DECISION_SUPPORT'!$A$1:$U$1496,$T23,3))&lt;4,"Sample Watch • ","")&amp;(IF(CALL_LOOKUP_BOARD!$L$288="","Film Review Required",IF(IFERROR(MATCH(LEN("1D 7-10")&amp;":"&amp;"1D 7-10"&amp;"|"&amp;LEN(CALL_LOOKUP_BOARD!$L$288)&amp;":"&amp;CALL_LOOKUP_BOARD!$L$288&amp;"|",'DEF_CALL_DECISION_SUPPORT'!$U$811:$U$1055,0)+811-1,0)&gt;0,"D&amp;D + Concept Match • Concept Proxy",IF(IFERROR(MATCH(LEN(CALL_LOOKUP_BOARD!$L$288)&amp;":"&amp;CALL_LOOKUP_BOARD!$L$288&amp;"|",'DEF_CALL_DECISION_SUPPORT'!$U$1264:$U$1440,0)+1264-1,0)&gt;0,"Broad Concept Proxy","Film Review Required")))))</f>
        <v>Film Review Required</v>
      </c>
      <c r="E23" s="8" t="str">
        <f>IF($T23=0,"Film Review Required",INDEX('DEF_CALL_DECISION_SUPPORT'!$A$1:$U$1496,$T23,2))</f>
        <v>Film Review Required</v>
      </c>
      <c r="F23" s="14">
        <f>IF($T23=0,"",INDEX('DEF_CALL_DECISION_SUPPORT'!$A$1:$U$1496,$T23,9))</f>
        <v/>
      </c>
      <c r="G23" s="9" t="str">
        <f>IF($T23=0,"No matching defensive sample; film review required.",INDEX('DEF_CALL_DECISION_SUPPORT'!$A$1:$U$1496,$T23,12))</f>
        <v>No matching defensive sample; film review required.</v>
      </c>
      <c r="H23" s="9" t="s">
        <v>2877</v>
      </c>
      <c r="I23" s="10">
        <v>1</v>
      </c>
      <c r="J23" s="11">
        <v>80.5</v>
      </c>
      <c r="K23" s="15">
        <v>3.750023626405972E-19</v>
      </c>
      <c r="L23" s="14" t="s">
        <v>704</v>
      </c>
      <c r="M23" s="8" t="s">
        <v>2874</v>
      </c>
      <c r="N23" s="10">
        <f>IF($T23=0,"",INDEX('DEF_CALL_DECISION_SUPPORT'!$A$1:$U$1496,$T23,4))</f>
        <v/>
      </c>
      <c r="O23" s="10">
        <f>IF($T23=0,"",INDEX('DEF_CALL_DECISION_SUPPORT'!$A$1:$U$1496,$T23,5))</f>
        <v/>
      </c>
      <c r="P23" s="11">
        <f>IF($T23=0,"",INDEX('DEF_CALL_DECISION_SUPPORT'!$A$1:$U$1496,$T23,6))</f>
        <v/>
      </c>
      <c r="Q23" s="11">
        <f>IF($T23=0,"",INDEX('DEF_CALL_DECISION_SUPPORT'!$A$1:$U$1496,$T23,10))</f>
        <v/>
      </c>
      <c r="R23" s="12">
        <v>1</v>
      </c>
      <c r="T23" s="2">
        <f>IF(CALL_LOOKUP_BOARD!$L$288="",0,IF(IFERROR(MATCH(LEN("1D 7-10")&amp;":"&amp;"1D 7-10"&amp;"|"&amp;LEN(CALL_LOOKUP_BOARD!$L$288)&amp;":"&amp;CALL_LOOKUP_BOARD!$L$288&amp;"|",'DEF_CALL_DECISION_SUPPORT'!$U$811:$U$1055,0)+811-1,0)&gt;0,IFERROR(MATCH(LEN("1D 7-10")&amp;":"&amp;"1D 7-10"&amp;"|"&amp;LEN(CALL_LOOKUP_BOARD!$L$288)&amp;":"&amp;CALL_LOOKUP_BOARD!$L$288&amp;"|",'DEF_CALL_DECISION_SUPPORT'!$U$811:$U$1055,0)+811-1,0),IFERROR(MATCH(LEN(CALL_LOOKUP_BOARD!$L$288)&amp;":"&amp;CALL_LOOKUP_BOARD!$L$288&amp;"|",'DEF_CALL_DECISION_SUPPORT'!$U$1264:$U$1440,0)+1264-1,0)))</f>
        <v>0</v>
      </c>
    </row>
    <row r="24" spans="1:20" ht="68" customHeight="1">
      <c r="A24" s="8" t="s">
        <v>31</v>
      </c>
      <c r="B24" s="8" t="s">
        <v>721</v>
      </c>
      <c r="C24" s="8" t="s">
        <v>428</v>
      </c>
      <c r="D24" s="14" t="str">
        <f>IF(T24=0,"Film Review Required",IF(IF($T24=0,"",INDEX('DEF_CALL_DECISION_SUPPORT'!$A$1:$U$1496,$T24,3))&lt;4,"Sample Watch • ","")&amp;(IF(IFERROR(MATCH("6:1D 11+|3:11H|0:|11:INSIDE ZONE|",'DEF_CALL_DECISION_SUPPORT'!$U$1448:$U$1491,0)+1448-1,0)&gt;0,"Exact Context Match",IF(IFERROR(MATCH("6:1D 11+|11:INSIDE ZONE|",'DEF_CALL_DECISION_SUPPORT'!$U$811:$U$1055,0)+811-1,0)&gt;0,"D&amp;D + Concept Match",IF(IFERROR(MATCH("11:INSIDE ZONE|",'DEF_CALL_DECISION_SUPPORT'!$U$1264:$U$1440,0)+1264-1,0)&gt;0,"Broad Concept Proxy","Film Review Required")))))</f>
        <v>Broad Concept Proxy</v>
      </c>
      <c r="E24" s="8" t="str">
        <f>IF($T24=0,"Film Review Required",INDEX('DEF_CALL_DECISION_SUPPORT'!$A$1:$U$1496,$T24,2))</f>
        <v>STUD</v>
      </c>
      <c r="F24" s="14" t="str">
        <f>IF($T24=0,"",INDEX('DEF_CALL_DECISION_SUPPORT'!$A$1:$U$1496,$T24,9))</f>
        <v>MEDIUM</v>
      </c>
      <c r="G24" s="9" t="str">
        <f>IF($T24=0,"No matching defensive sample; film review required.",INDEX('DEF_CALL_DECISION_SUPPORT'!$A$1:$U$1496,$T24,12))</f>
        <v>Strong call-fit candidate; confirm on film.</v>
      </c>
      <c r="H24" s="9" t="s">
        <v>2873</v>
      </c>
      <c r="I24" s="10">
        <v>1</v>
      </c>
      <c r="J24" s="11">
        <v>3.744186046511628</v>
      </c>
      <c r="K24" s="15">
        <v>0.09656748950022616</v>
      </c>
      <c r="L24" s="14" t="s">
        <v>700</v>
      </c>
      <c r="M24" s="8" t="s">
        <v>2874</v>
      </c>
      <c r="N24" s="10">
        <f>IF($T24=0,"",INDEX('DEF_CALL_DECISION_SUPPORT'!$A$1:$U$1496,$T24,4))</f>
        <v>0.75</v>
      </c>
      <c r="O24" s="10">
        <f>IF($T24=0,"",INDEX('DEF_CALL_DECISION_SUPPORT'!$A$1:$U$1496,$T24,5))</f>
        <v>0.0</v>
      </c>
      <c r="P24" s="11">
        <f>IF($T24=0,"",INDEX('DEF_CALL_DECISION_SUPPORT'!$A$1:$U$1496,$T24,6))</f>
        <v>1.5</v>
      </c>
      <c r="Q24" s="11">
        <f>IF($T24=0,"",INDEX('DEF_CALL_DECISION_SUPPORT'!$A$1:$U$1496,$T24,10))</f>
        <v>81.0</v>
      </c>
      <c r="R24" s="12">
        <v>1</v>
      </c>
      <c r="T24" s="2">
        <f>IF(IFERROR(MATCH("6:1D 11+|3:11H|0:|11:INSIDE ZONE|",'DEF_CALL_DECISION_SUPPORT'!$U$1448:$U$1491,0)+1448-1,0)&gt;0,IFERROR(MATCH("6:1D 11+|3:11H|0:|11:INSIDE ZONE|",'DEF_CALL_DECISION_SUPPORT'!$U$1448:$U$1491,0)+1448-1,0),IF(IFERROR(MATCH("6:1D 11+|11:INSIDE ZONE|",'DEF_CALL_DECISION_SUPPORT'!$U$811:$U$1055,0)+811-1,0)&gt;0,IFERROR(MATCH("6:1D 11+|11:INSIDE ZONE|",'DEF_CALL_DECISION_SUPPORT'!$U$811:$U$1055,0)+811-1,0),IF(IFERROR(MATCH("11:INSIDE ZONE|",'DEF_CALL_DECISION_SUPPORT'!$U$1264:$U$1440,0)+1264-1,0)&gt;0,IFERROR(MATCH("11:INSIDE ZONE|",'DEF_CALL_DECISION_SUPPORT'!$U$1264:$U$1440,0)+1264-1,0),0)))</f>
        <v>1370</v>
      </c>
    </row>
    <row r="25" spans="1:20" ht="68" customHeight="1">
      <c r="A25" s="8" t="s">
        <v>31</v>
      </c>
      <c r="B25" s="8" t="s">
        <v>722</v>
      </c>
      <c r="C25" s="8" t="s">
        <v>2875</v>
      </c>
      <c r="D25" s="14" t="str">
        <f>IF(T25=0,"Film Review Required",IF(IF($T25=0,"",INDEX('DEF_CALL_DECISION_SUPPORT'!$A$1:$U$1496,$T25,3))&lt;4,"Sample Watch • ","")&amp;(IF(IFERROR(MATCH("6:1D 11+|3:11H|3:2X2|0:|",'DEF_CALL_DECISION_SUPPORT'!$U$1448:$U$1491,0)+1448-1,0)&gt;0,"Exact Context Match",IF(IFERROR(MATCH("6:1D 11+|3:11H|3:2X2|",'DEF_CALL_DECISION_SUPPORT'!$U$589:$U$803,0)+589-1,0)&gt;0,"D&amp;D + personnel + structure",IF(IFERROR(MATCH("6:1D 11+|3:2X2|",'DEF_CALL_DECISION_SUPPORT'!$U$375:$U$581,0)+375-1,0)&gt;0,"D&amp;D + structure; personnel not conditioned",IF(IFERROR(MATCH("6:1D 11+|3:11H|",'DEF_CALL_DECISION_SUPPORT'!$U$186:$U$367,0)+186-1,0)&gt;0,"D&amp;D + personnel; structure not conditioned",IF(IFERROR(MATCH("6:1D 11+|",'DEF_CALL_DECISION_SUPPORT'!$U$10:$U$178,0)+10-1,0)&gt;0,"D&amp;D only; presentation not conditioned","Film Review Required")))))))</f>
        <v>Sample Watch • D&amp;D + structure; personnel not conditioned</v>
      </c>
      <c r="E25" s="8" t="str">
        <f>IF($T25=0,"Film Review Required",INDEX('DEF_CALL_DECISION_SUPPORT'!$A$1:$U$1496,$T25,2))</f>
        <v>BOOGIE</v>
      </c>
      <c r="F25" s="14" t="str">
        <f>IF($T25=0,"",INDEX('DEF_CALL_DECISION_SUPPORT'!$A$1:$U$1496,$T25,9))</f>
        <v>TRACK</v>
      </c>
      <c r="G25" s="9" t="str">
        <f>IF($T25=0,"No matching defensive sample; film review required.",INDEX('DEF_CALL_DECISION_SUPPORT'!$A$1:$U$1496,$T25,12))</f>
        <v>Track only; not enough sample.</v>
      </c>
      <c r="H25" s="9" t="s">
        <v>2873</v>
      </c>
      <c r="I25" s="10">
        <v>1</v>
      </c>
      <c r="J25" s="11">
        <v>2.277777777777778</v>
      </c>
      <c r="K25" s="15">
        <v>0.2568572731610193</v>
      </c>
      <c r="L25" s="14" t="s">
        <v>700</v>
      </c>
      <c r="M25" s="8" t="s">
        <v>2874</v>
      </c>
      <c r="N25" s="10">
        <f>IF($T25=0,"",INDEX('DEF_CALL_DECISION_SUPPORT'!$A$1:$U$1496,$T25,4))</f>
        <v>1.0</v>
      </c>
      <c r="O25" s="10">
        <f>IF($T25=0,"",INDEX('DEF_CALL_DECISION_SUPPORT'!$A$1:$U$1496,$T25,5))</f>
        <v>0.0</v>
      </c>
      <c r="P25" s="11">
        <f>IF($T25=0,"",INDEX('DEF_CALL_DECISION_SUPPORT'!$A$1:$U$1496,$T25,6))</f>
        <v>2.0</v>
      </c>
      <c r="Q25" s="11">
        <f>IF($T25=0,"",INDEX('DEF_CALL_DECISION_SUPPORT'!$A$1:$U$1496,$T25,10))</f>
        <v>98.0</v>
      </c>
      <c r="R25" s="12">
        <v>1</v>
      </c>
      <c r="T25" s="2">
        <f>IF(IFERROR(MATCH("6:1D 11+|3:11H|3:2X2|0:|",'DEF_CALL_DECISION_SUPPORT'!$U$1448:$U$1491,0)+1448-1,0)&gt;0,IFERROR(MATCH("6:1D 11+|3:11H|3:2X2|0:|",'DEF_CALL_DECISION_SUPPORT'!$U$1448:$U$1491,0)+1448-1,0),IF(IFERROR(MATCH("6:1D 11+|3:11H|3:2X2|",'DEF_CALL_DECISION_SUPPORT'!$U$589:$U$803,0)+589-1,0)&gt;0,IFERROR(MATCH("6:1D 11+|3:11H|3:2X2|",'DEF_CALL_DECISION_SUPPORT'!$U$589:$U$803,0)+589-1,0),IF(IFERROR(MATCH("6:1D 11+|3:2X2|",'DEF_CALL_DECISION_SUPPORT'!$U$375:$U$581,0)+375-1,0)&gt;0,IFERROR(MATCH("6:1D 11+|3:2X2|",'DEF_CALL_DECISION_SUPPORT'!$U$375:$U$581,0)+375-1,0),IF(IFERROR(MATCH("6:1D 11+|3:11H|",'DEF_CALL_DECISION_SUPPORT'!$U$186:$U$367,0)+186-1,0)&gt;0,IFERROR(MATCH("6:1D 11+|3:11H|",'DEF_CALL_DECISION_SUPPORT'!$U$186:$U$367,0)+186-1,0),IF(IFERROR(MATCH("6:1D 11+|",'DEF_CALL_DECISION_SUPPORT'!$U$10:$U$178,0)+10-1,0)&gt;0,IFERROR(MATCH("6:1D 11+|",'DEF_CALL_DECISION_SUPPORT'!$U$10:$U$178,0)+10-1,0),0)))))</f>
        <v>378</v>
      </c>
    </row>
    <row r="26" spans="1:20" ht="68" customHeight="1">
      <c r="A26" s="8" t="s">
        <v>31</v>
      </c>
      <c r="B26" s="8" t="s">
        <v>723</v>
      </c>
      <c r="C26" s="8" t="s">
        <v>428</v>
      </c>
      <c r="D26" s="14" t="str">
        <f>IF(T26=0,"Film Review Required",IF(IF($T26=0,"",INDEX('DEF_CALL_DECISION_SUPPORT'!$A$1:$U$1496,$T26,3))&lt;4,"Sample Watch • ","")&amp;(IF(IFERROR(MATCH("6:1D 11+|0:|3:2X2|11:INSIDE ZONE|",'DEF_CALL_DECISION_SUPPORT'!$U$1448:$U$1491,0)+1448-1,0)&gt;0,"Exact Context Match",IF(IFERROR(MATCH("6:1D 11+|11:INSIDE ZONE|",'DEF_CALL_DECISION_SUPPORT'!$U$811:$U$1055,0)+811-1,0)&gt;0,"D&amp;D + Concept Match",IF(IFERROR(MATCH("11:INSIDE ZONE|",'DEF_CALL_DECISION_SUPPORT'!$U$1264:$U$1440,0)+1264-1,0)&gt;0,"Broad Concept Proxy","Film Review Required")))))</f>
        <v>Broad Concept Proxy</v>
      </c>
      <c r="E26" s="8" t="str">
        <f>IF($T26=0,"Film Review Required",INDEX('DEF_CALL_DECISION_SUPPORT'!$A$1:$U$1496,$T26,2))</f>
        <v>STUD</v>
      </c>
      <c r="F26" s="14" t="str">
        <f>IF($T26=0,"",INDEX('DEF_CALL_DECISION_SUPPORT'!$A$1:$U$1496,$T26,9))</f>
        <v>MEDIUM</v>
      </c>
      <c r="G26" s="9" t="str">
        <f>IF($T26=0,"No matching defensive sample; film review required.",INDEX('DEF_CALL_DECISION_SUPPORT'!$A$1:$U$1496,$T26,12))</f>
        <v>Strong call-fit candidate; confirm on film.</v>
      </c>
      <c r="H26" s="9" t="s">
        <v>2873</v>
      </c>
      <c r="I26" s="10">
        <v>1</v>
      </c>
      <c r="J26" s="11">
        <v>3.809523809523809</v>
      </c>
      <c r="K26" s="15">
        <v>0.09268017709703066</v>
      </c>
      <c r="L26" s="14" t="s">
        <v>700</v>
      </c>
      <c r="M26" s="8" t="s">
        <v>2874</v>
      </c>
      <c r="N26" s="10">
        <f>IF($T26=0,"",INDEX('DEF_CALL_DECISION_SUPPORT'!$A$1:$U$1496,$T26,4))</f>
        <v>0.75</v>
      </c>
      <c r="O26" s="10">
        <f>IF($T26=0,"",INDEX('DEF_CALL_DECISION_SUPPORT'!$A$1:$U$1496,$T26,5))</f>
        <v>0.0</v>
      </c>
      <c r="P26" s="11">
        <f>IF($T26=0,"",INDEX('DEF_CALL_DECISION_SUPPORT'!$A$1:$U$1496,$T26,6))</f>
        <v>1.5</v>
      </c>
      <c r="Q26" s="11">
        <f>IF($T26=0,"",INDEX('DEF_CALL_DECISION_SUPPORT'!$A$1:$U$1496,$T26,10))</f>
        <v>81.0</v>
      </c>
      <c r="R26" s="12">
        <v>1</v>
      </c>
      <c r="T26" s="2">
        <f>IF(IFERROR(MATCH("6:1D 11+|0:|3:2X2|11:INSIDE ZONE|",'DEF_CALL_DECISION_SUPPORT'!$U$1448:$U$1491,0)+1448-1,0)&gt;0,IFERROR(MATCH("6:1D 11+|0:|3:2X2|11:INSIDE ZONE|",'DEF_CALL_DECISION_SUPPORT'!$U$1448:$U$1491,0)+1448-1,0),IF(IFERROR(MATCH("6:1D 11+|11:INSIDE ZONE|",'DEF_CALL_DECISION_SUPPORT'!$U$811:$U$1055,0)+811-1,0)&gt;0,IFERROR(MATCH("6:1D 11+|11:INSIDE ZONE|",'DEF_CALL_DECISION_SUPPORT'!$U$811:$U$1055,0)+811-1,0),IF(IFERROR(MATCH("11:INSIDE ZONE|",'DEF_CALL_DECISION_SUPPORT'!$U$1264:$U$1440,0)+1264-1,0)&gt;0,IFERROR(MATCH("11:INSIDE ZONE|",'DEF_CALL_DECISION_SUPPORT'!$U$1264:$U$1440,0)+1264-1,0),0)))</f>
        <v>1370</v>
      </c>
    </row>
    <row r="27" spans="1:20" ht="68" customHeight="1">
      <c r="A27" s="8" t="s">
        <v>31</v>
      </c>
      <c r="B27" s="8" t="s">
        <v>724</v>
      </c>
      <c r="C27" s="8" t="s">
        <v>2881</v>
      </c>
      <c r="D27" s="14" t="str">
        <f>IF(T27=0,"Film Review Required",IF(IF($T27=0,"",INDEX('DEF_CALL_DECISION_SUPPORT'!$A$1:$U$1496,$T27,3))&lt;4,"Sample Watch • ","")&amp;(IF(CALL_LOOKUP_BOARD!$L$280="","Film Review Required",IF(IFERROR(MATCH(LEN("1D 11+")&amp;":"&amp;"1D 11+"&amp;"|"&amp;LEN(CALL_LOOKUP_BOARD!$L$280)&amp;":"&amp;CALL_LOOKUP_BOARD!$L$280&amp;"|",'DEF_CALL_DECISION_SUPPORT'!$U$811:$U$1055,0)+811-1,0)&gt;0,"D&amp;D + Concept Match • Concept Proxy",IF(IFERROR(MATCH(LEN(CALL_LOOKUP_BOARD!$L$280)&amp;":"&amp;CALL_LOOKUP_BOARD!$L$280&amp;"|",'DEF_CALL_DECISION_SUPPORT'!$U$1264:$U$1440,0)+1264-1,0)&gt;0,"Broad Concept Proxy","Film Review Required")))))</f>
        <v>Film Review Required</v>
      </c>
      <c r="E27" s="8" t="str">
        <f>IF($T27=0,"Film Review Required",INDEX('DEF_CALL_DECISION_SUPPORT'!$A$1:$U$1496,$T27,2))</f>
        <v>Film Review Required</v>
      </c>
      <c r="F27" s="14">
        <f>IF($T27=0,"",INDEX('DEF_CALL_DECISION_SUPPORT'!$A$1:$U$1496,$T27,9))</f>
        <v/>
      </c>
      <c r="G27" s="9" t="str">
        <f>IF($T27=0,"No matching defensive sample; film review required.",INDEX('DEF_CALL_DECISION_SUPPORT'!$A$1:$U$1496,$T27,12))</f>
        <v>No matching defensive sample; film review required.</v>
      </c>
      <c r="H27" s="9" t="s">
        <v>2877</v>
      </c>
      <c r="I27" s="10">
        <v>1</v>
      </c>
      <c r="J27" s="11">
        <v>6.708333333333333</v>
      </c>
      <c r="K27" s="15">
        <v>0.0165449737638454</v>
      </c>
      <c r="L27" s="14" t="s">
        <v>704</v>
      </c>
      <c r="M27" s="8" t="s">
        <v>2874</v>
      </c>
      <c r="N27" s="10">
        <f>IF($T27=0,"",INDEX('DEF_CALL_DECISION_SUPPORT'!$A$1:$U$1496,$T27,4))</f>
        <v/>
      </c>
      <c r="O27" s="10">
        <f>IF($T27=0,"",INDEX('DEF_CALL_DECISION_SUPPORT'!$A$1:$U$1496,$T27,5))</f>
        <v/>
      </c>
      <c r="P27" s="11">
        <f>IF($T27=0,"",INDEX('DEF_CALL_DECISION_SUPPORT'!$A$1:$U$1496,$T27,6))</f>
        <v/>
      </c>
      <c r="Q27" s="11">
        <f>IF($T27=0,"",INDEX('DEF_CALL_DECISION_SUPPORT'!$A$1:$U$1496,$T27,10))</f>
        <v/>
      </c>
      <c r="R27" s="12">
        <v>1</v>
      </c>
      <c r="T27" s="2">
        <f>IF(CALL_LOOKUP_BOARD!$L$280="",0,IF(IFERROR(MATCH(LEN("1D 11+")&amp;":"&amp;"1D 11+"&amp;"|"&amp;LEN(CALL_LOOKUP_BOARD!$L$280)&amp;":"&amp;CALL_LOOKUP_BOARD!$L$280&amp;"|",'DEF_CALL_DECISION_SUPPORT'!$U$811:$U$1055,0)+811-1,0)&gt;0,IFERROR(MATCH(LEN("1D 11+")&amp;":"&amp;"1D 11+"&amp;"|"&amp;LEN(CALL_LOOKUP_BOARD!$L$280)&amp;":"&amp;CALL_LOOKUP_BOARD!$L$280&amp;"|",'DEF_CALL_DECISION_SUPPORT'!$U$811:$U$1055,0)+811-1,0),IFERROR(MATCH(LEN(CALL_LOOKUP_BOARD!$L$280)&amp;":"&amp;CALL_LOOKUP_BOARD!$L$280&amp;"|",'DEF_CALL_DECISION_SUPPORT'!$U$1264:$U$1440,0)+1264-1,0)))</f>
        <v>0</v>
      </c>
    </row>
    <row r="28" spans="1:20" ht="68" customHeight="1">
      <c r="A28" s="8" t="s">
        <v>70</v>
      </c>
      <c r="B28" s="8" t="s">
        <v>725</v>
      </c>
      <c r="C28" s="8" t="s">
        <v>428</v>
      </c>
      <c r="D28" s="14" t="str">
        <f>IF(T28=0,"Film Review Required",IF(IF($T28=0,"",INDEX('DEF_CALL_DECISION_SUPPORT'!$A$1:$U$1496,$T28,3))&lt;4,"Sample Watch • ","")&amp;(IF(IFERROR(MATCH("6:2D 1-3|2:12|0:|11:INSIDE ZONE|",'DEF_CALL_DECISION_SUPPORT'!$U$1448:$U$1491,0)+1448-1,0)&gt;0,"Exact Context Match",IF(IFERROR(MATCH("6:2D 1-3|11:INSIDE ZONE|",'DEF_CALL_DECISION_SUPPORT'!$U$811:$U$1055,0)+811-1,0)&gt;0,"D&amp;D + Concept Match",IF(IFERROR(MATCH("11:INSIDE ZONE|",'DEF_CALL_DECISION_SUPPORT'!$U$1264:$U$1440,0)+1264-1,0)&gt;0,"Broad Concept Proxy","Film Review Required")))))</f>
        <v>Sample Watch • Exact Context Match</v>
      </c>
      <c r="E28" s="8" t="str">
        <f>IF($T28=0,"Film Review Required",INDEX('DEF_CALL_DECISION_SUPPORT'!$A$1:$U$1496,$T28,2))</f>
        <v>9 DICE</v>
      </c>
      <c r="F28" s="14" t="str">
        <f>IF($T28=0,"",INDEX('DEF_CALL_DECISION_SUPPORT'!$A$1:$U$1496,$T28,9))</f>
        <v>TRACK</v>
      </c>
      <c r="G28" s="9" t="str">
        <f>IF($T28=0,"No matching defensive sample; film review required.",INDEX('DEF_CALL_DECISION_SUPPORT'!$A$1:$U$1496,$T28,12))</f>
        <v>Track only; not enough sample.</v>
      </c>
      <c r="H28" s="9" t="s">
        <v>2873</v>
      </c>
      <c r="I28" s="10">
        <v>1</v>
      </c>
      <c r="J28" s="11">
        <v>3.744186046511628</v>
      </c>
      <c r="K28" s="15">
        <v>0.09656748950022616</v>
      </c>
      <c r="L28" s="14" t="s">
        <v>700</v>
      </c>
      <c r="M28" s="8" t="s">
        <v>2874</v>
      </c>
      <c r="N28" s="10">
        <f>IF($T28=0,"",INDEX('DEF_CALL_DECISION_SUPPORT'!$A$1:$U$1496,$T28,4))</f>
        <v>0.0</v>
      </c>
      <c r="O28" s="10">
        <f>IF($T28=0,"",INDEX('DEF_CALL_DECISION_SUPPORT'!$A$1:$U$1496,$T28,5))</f>
        <v>0.0</v>
      </c>
      <c r="P28" s="11">
        <f>IF($T28=0,"",INDEX('DEF_CALL_DECISION_SUPPORT'!$A$1:$U$1496,$T28,6))</f>
        <v>1.0</v>
      </c>
      <c r="Q28" s="11">
        <f>IF($T28=0,"",INDEX('DEF_CALL_DECISION_SUPPORT'!$A$1:$U$1496,$T28,10))</f>
        <v>29.0</v>
      </c>
      <c r="R28" s="12">
        <v>1</v>
      </c>
      <c r="T28" s="2">
        <f>IF(IFERROR(MATCH("6:2D 1-3|2:12|0:|11:INSIDE ZONE|",'DEF_CALL_DECISION_SUPPORT'!$U$1448:$U$1491,0)+1448-1,0)&gt;0,IFERROR(MATCH("6:2D 1-3|2:12|0:|11:INSIDE ZONE|",'DEF_CALL_DECISION_SUPPORT'!$U$1448:$U$1491,0)+1448-1,0),IF(IFERROR(MATCH("6:2D 1-3|11:INSIDE ZONE|",'DEF_CALL_DECISION_SUPPORT'!$U$811:$U$1055,0)+811-1,0)&gt;0,IFERROR(MATCH("6:2D 1-3|11:INSIDE ZONE|",'DEF_CALL_DECISION_SUPPORT'!$U$811:$U$1055,0)+811-1,0),IF(IFERROR(MATCH("11:INSIDE ZONE|",'DEF_CALL_DECISION_SUPPORT'!$U$1264:$U$1440,0)+1264-1,0)&gt;0,IFERROR(MATCH("11:INSIDE ZONE|",'DEF_CALL_DECISION_SUPPORT'!$U$1264:$U$1440,0)+1264-1,0),0)))</f>
        <v>1448</v>
      </c>
    </row>
    <row r="29" spans="1:20" ht="68" customHeight="1">
      <c r="A29" s="8" t="s">
        <v>70</v>
      </c>
      <c r="B29" s="8" t="s">
        <v>726</v>
      </c>
      <c r="C29" s="8" t="s">
        <v>2875</v>
      </c>
      <c r="D29" s="14" t="str">
        <f>IF(T29=0,"Film Review Required",IF(IF($T29=0,"",INDEX('DEF_CALL_DECISION_SUPPORT'!$A$1:$U$1496,$T29,3))&lt;4,"Sample Watch • ","")&amp;(IF(IFERROR(MATCH("6:2D 1-3|2:11|3:3X1|0:|",'DEF_CALL_DECISION_SUPPORT'!$U$1448:$U$1491,0)+1448-1,0)&gt;0,"Exact Context Match",IF(IFERROR(MATCH("6:2D 1-3|2:11|3:3X1|",'DEF_CALL_DECISION_SUPPORT'!$U$589:$U$803,0)+589-1,0)&gt;0,"D&amp;D + personnel + structure",IF(IFERROR(MATCH("6:2D 1-3|3:3X1|",'DEF_CALL_DECISION_SUPPORT'!$U$375:$U$581,0)+375-1,0)&gt;0,"D&amp;D + structure; personnel not conditioned",IF(IFERROR(MATCH("6:2D 1-3|2:11|",'DEF_CALL_DECISION_SUPPORT'!$U$186:$U$367,0)+186-1,0)&gt;0,"D&amp;D + personnel; structure not conditioned",IF(IFERROR(MATCH("6:2D 1-3|",'DEF_CALL_DECISION_SUPPORT'!$U$10:$U$178,0)+10-1,0)&gt;0,"D&amp;D only; presentation not conditioned","Film Review Required")))))))</f>
        <v>Sample Watch • Exact Context Match</v>
      </c>
      <c r="E29" s="8" t="str">
        <f>IF($T29=0,"Film Review Required",INDEX('DEF_CALL_DECISION_SUPPORT'!$A$1:$U$1496,$T29,2))</f>
        <v>REBEL</v>
      </c>
      <c r="F29" s="14" t="str">
        <f>IF($T29=0,"",INDEX('DEF_CALL_DECISION_SUPPORT'!$A$1:$U$1496,$T29,9))</f>
        <v>TRACK</v>
      </c>
      <c r="G29" s="9" t="str">
        <f>IF($T29=0,"No matching defensive sample; film review required.",INDEX('DEF_CALL_DECISION_SUPPORT'!$A$1:$U$1496,$T29,12))</f>
        <v>Track only; not enough sample.</v>
      </c>
      <c r="H29" s="9" t="s">
        <v>2873</v>
      </c>
      <c r="I29" s="10">
        <v>0.6666666666666666</v>
      </c>
      <c r="J29" s="11">
        <v>1.708333333333333</v>
      </c>
      <c r="K29" s="15">
        <v>0.1573167232431712</v>
      </c>
      <c r="L29" s="14" t="s">
        <v>700</v>
      </c>
      <c r="M29" s="8" t="s">
        <v>2874</v>
      </c>
      <c r="N29" s="10">
        <f>IF($T29=0,"",INDEX('DEF_CALL_DECISION_SUPPORT'!$A$1:$U$1496,$T29,4))</f>
        <v>0.5</v>
      </c>
      <c r="O29" s="10">
        <f>IF($T29=0,"",INDEX('DEF_CALL_DECISION_SUPPORT'!$A$1:$U$1496,$T29,5))</f>
        <v>0.0</v>
      </c>
      <c r="P29" s="11">
        <f>IF($T29=0,"",INDEX('DEF_CALL_DECISION_SUPPORT'!$A$1:$U$1496,$T29,6))</f>
        <v>6.0</v>
      </c>
      <c r="Q29" s="11">
        <f>IF($T29=0,"",INDEX('DEF_CALL_DECISION_SUPPORT'!$A$1:$U$1496,$T29,10))</f>
        <v>59.0</v>
      </c>
      <c r="R29" s="12">
        <v>4</v>
      </c>
      <c r="T29" s="2">
        <f>IF(IFERROR(MATCH("6:2D 1-3|2:11|3:3X1|0:|",'DEF_CALL_DECISION_SUPPORT'!$U$1448:$U$1491,0)+1448-1,0)&gt;0,IFERROR(MATCH("6:2D 1-3|2:11|3:3X1|0:|",'DEF_CALL_DECISION_SUPPORT'!$U$1448:$U$1491,0)+1448-1,0),IF(IFERROR(MATCH("6:2D 1-3|2:11|3:3X1|",'DEF_CALL_DECISION_SUPPORT'!$U$589:$U$803,0)+589-1,0)&gt;0,IFERROR(MATCH("6:2D 1-3|2:11|3:3X1|",'DEF_CALL_DECISION_SUPPORT'!$U$589:$U$803,0)+589-1,0),IF(IFERROR(MATCH("6:2D 1-3|3:3X1|",'DEF_CALL_DECISION_SUPPORT'!$U$375:$U$581,0)+375-1,0)&gt;0,IFERROR(MATCH("6:2D 1-3|3:3X1|",'DEF_CALL_DECISION_SUPPORT'!$U$375:$U$581,0)+375-1,0),IF(IFERROR(MATCH("6:2D 1-3|2:11|",'DEF_CALL_DECISION_SUPPORT'!$U$186:$U$367,0)+186-1,0)&gt;0,IFERROR(MATCH("6:2D 1-3|2:11|",'DEF_CALL_DECISION_SUPPORT'!$U$186:$U$367,0)+186-1,0),IF(IFERROR(MATCH("6:2D 1-3|",'DEF_CALL_DECISION_SUPPORT'!$U$10:$U$178,0)+10-1,0)&gt;0,IFERROR(MATCH("6:2D 1-3|",'DEF_CALL_DECISION_SUPPORT'!$U$10:$U$178,0)+10-1,0),0)))))</f>
        <v>1451</v>
      </c>
    </row>
    <row r="30" spans="1:20" ht="68" customHeight="1">
      <c r="A30" s="8" t="s">
        <v>70</v>
      </c>
      <c r="B30" s="8" t="s">
        <v>727</v>
      </c>
      <c r="C30" s="8" t="s">
        <v>468</v>
      </c>
      <c r="D30" s="14" t="str">
        <f>IF(T30=0,"Film Review Required",IF(IF($T30=0,"",INDEX('DEF_CALL_DECISION_SUPPORT'!$A$1:$U$1496,$T30,3))&lt;4,"Sample Watch • ","")&amp;(IF(IFERROR(MATCH("6:2D 1-3|0:|3:2X2|3:PAP|",'DEF_CALL_DECISION_SUPPORT'!$U$1448:$U$1491,0)+1448-1,0)&gt;0,"Exact Context Match",IF(IFERROR(MATCH("6:2D 1-3|3:PAP|",'DEF_CALL_DECISION_SUPPORT'!$U$811:$U$1055,0)+811-1,0)&gt;0,"D&amp;D + Concept Match",IF(IFERROR(MATCH("3:PAP|",'DEF_CALL_DECISION_SUPPORT'!$U$1264:$U$1440,0)+1264-1,0)&gt;0,"Broad Concept Proxy","Film Review Required")))))</f>
        <v>Sample Watch • D&amp;D + Concept Match</v>
      </c>
      <c r="E30" s="8" t="str">
        <f>IF($T30=0,"Film Review Required",INDEX('DEF_CALL_DECISION_SUPPORT'!$A$1:$U$1496,$T30,2))</f>
        <v>CAPTAIN</v>
      </c>
      <c r="F30" s="14" t="str">
        <f>IF($T30=0,"",INDEX('DEF_CALL_DECISION_SUPPORT'!$A$1:$U$1496,$T30,9))</f>
        <v>TRACK</v>
      </c>
      <c r="G30" s="9" t="str">
        <f>IF($T30=0,"No matching defensive sample; film review required.",INDEX('DEF_CALL_DECISION_SUPPORT'!$A$1:$U$1496,$T30,12))</f>
        <v>Track only; not enough sample.</v>
      </c>
      <c r="H30" s="9" t="s">
        <v>2873</v>
      </c>
      <c r="I30" s="10">
        <v>1</v>
      </c>
      <c r="J30" s="11">
        <v>20</v>
      </c>
      <c r="K30" s="15">
        <v>1.227841633945058E-05</v>
      </c>
      <c r="L30" s="14" t="s">
        <v>700</v>
      </c>
      <c r="M30" s="8" t="s">
        <v>2874</v>
      </c>
      <c r="N30" s="10">
        <f>IF($T30=0,"",INDEX('DEF_CALL_DECISION_SUPPORT'!$A$1:$U$1496,$T30,4))</f>
        <v>1.0</v>
      </c>
      <c r="O30" s="10">
        <f>IF($T30=0,"",INDEX('DEF_CALL_DECISION_SUPPORT'!$A$1:$U$1496,$T30,5))</f>
        <v>0.0</v>
      </c>
      <c r="P30" s="11">
        <f>IF($T30=0,"",INDEX('DEF_CALL_DECISION_SUPPORT'!$A$1:$U$1496,$T30,6))</f>
        <v>0.0</v>
      </c>
      <c r="Q30" s="11">
        <f>IF($T30=0,"",INDEX('DEF_CALL_DECISION_SUPPORT'!$A$1:$U$1496,$T30,10))</f>
        <v>100.0</v>
      </c>
      <c r="R30" s="12">
        <v>1</v>
      </c>
      <c r="T30" s="2">
        <f>IF(IFERROR(MATCH("6:2D 1-3|0:|3:2X2|3:PAP|",'DEF_CALL_DECISION_SUPPORT'!$U$1448:$U$1491,0)+1448-1,0)&gt;0,IFERROR(MATCH("6:2D 1-3|0:|3:2X2|3:PAP|",'DEF_CALL_DECISION_SUPPORT'!$U$1448:$U$1491,0)+1448-1,0),IF(IFERROR(MATCH("6:2D 1-3|3:PAP|",'DEF_CALL_DECISION_SUPPORT'!$U$811:$U$1055,0)+811-1,0)&gt;0,IFERROR(MATCH("6:2D 1-3|3:PAP|",'DEF_CALL_DECISION_SUPPORT'!$U$811:$U$1055,0)+811-1,0),IF(IFERROR(MATCH("3:PAP|",'DEF_CALL_DECISION_SUPPORT'!$U$1264:$U$1440,0)+1264-1,0)&gt;0,IFERROR(MATCH("3:PAP|",'DEF_CALL_DECISION_SUPPORT'!$U$1264:$U$1440,0)+1264-1,0),0)))</f>
        <v>890</v>
      </c>
    </row>
    <row r="31" spans="1:20" ht="68" customHeight="1">
      <c r="A31" s="8" t="s">
        <v>70</v>
      </c>
      <c r="B31" s="8" t="s">
        <v>728</v>
      </c>
      <c r="C31" s="8" t="s">
        <v>2882</v>
      </c>
      <c r="D31" s="14" t="str">
        <f>IF(T31=0,"Film Review Required",IF(IF($T31=0,"",INDEX('DEF_CALL_DECISION_SUPPORT'!$A$1:$U$1496,$T31,3))&lt;4,"Sample Watch • ","")&amp;(IF(CALL_LOOKUP_BOARD!$L$304="","Film Review Required",IF(IFERROR(MATCH(LEN("2D 1-3")&amp;":"&amp;"2D 1-3"&amp;"|"&amp;LEN(CALL_LOOKUP_BOARD!$L$304)&amp;":"&amp;CALL_LOOKUP_BOARD!$L$304&amp;"|",'DEF_CALL_DECISION_SUPPORT'!$U$811:$U$1055,0)+811-1,0)&gt;0,"D&amp;D + Concept Match • Concept Proxy",IF(IFERROR(MATCH(LEN(CALL_LOOKUP_BOARD!$L$304)&amp;":"&amp;CALL_LOOKUP_BOARD!$L$304&amp;"|",'DEF_CALL_DECISION_SUPPORT'!$U$1264:$U$1440,0)+1264-1,0)&gt;0,"Broad Concept Proxy","Film Review Required")))))</f>
        <v>Sample Watch • D&amp;D + Concept Match • Concept Proxy</v>
      </c>
      <c r="E31" s="8" t="str">
        <f>IF($T31=0,"Film Review Required",INDEX('DEF_CALL_DECISION_SUPPORT'!$A$1:$U$1496,$T31,2))</f>
        <v>CAPTAIN</v>
      </c>
      <c r="F31" s="14" t="str">
        <f>IF($T31=0,"",INDEX('DEF_CALL_DECISION_SUPPORT'!$A$1:$U$1496,$T31,9))</f>
        <v>TRACK</v>
      </c>
      <c r="G31" s="9" t="str">
        <f>IF($T31=0,"No matching defensive sample; film review required.",INDEX('DEF_CALL_DECISION_SUPPORT'!$A$1:$U$1496,$T31,12))</f>
        <v>Track only; not enough sample.</v>
      </c>
      <c r="H31" s="9" t="s">
        <v>2877</v>
      </c>
      <c r="I31" s="10">
        <v>1</v>
      </c>
      <c r="J31" s="11">
        <v>80</v>
      </c>
      <c r="K31" s="15">
        <v>4.829934540791119E-19</v>
      </c>
      <c r="L31" s="14" t="s">
        <v>704</v>
      </c>
      <c r="M31" s="8" t="s">
        <v>2874</v>
      </c>
      <c r="N31" s="10">
        <f>IF($T31=0,"",INDEX('DEF_CALL_DECISION_SUPPORT'!$A$1:$U$1496,$T31,4))</f>
        <v>1.0</v>
      </c>
      <c r="O31" s="10">
        <f>IF($T31=0,"",INDEX('DEF_CALL_DECISION_SUPPORT'!$A$1:$U$1496,$T31,5))</f>
        <v>0.0</v>
      </c>
      <c r="P31" s="11">
        <f>IF($T31=0,"",INDEX('DEF_CALL_DECISION_SUPPORT'!$A$1:$U$1496,$T31,6))</f>
        <v>0.0</v>
      </c>
      <c r="Q31" s="11">
        <f>IF($T31=0,"",INDEX('DEF_CALL_DECISION_SUPPORT'!$A$1:$U$1496,$T31,10))</f>
        <v>100.0</v>
      </c>
      <c r="R31" s="12">
        <v>1</v>
      </c>
      <c r="T31" s="2">
        <f>IF(CALL_LOOKUP_BOARD!$L$304="",0,IF(IFERROR(MATCH(LEN("2D 1-3")&amp;":"&amp;"2D 1-3"&amp;"|"&amp;LEN(CALL_LOOKUP_BOARD!$L$304)&amp;":"&amp;CALL_LOOKUP_BOARD!$L$304&amp;"|",'DEF_CALL_DECISION_SUPPORT'!$U$811:$U$1055,0)+811-1,0)&gt;0,IFERROR(MATCH(LEN("2D 1-3")&amp;":"&amp;"2D 1-3"&amp;"|"&amp;LEN(CALL_LOOKUP_BOARD!$L$304)&amp;":"&amp;CALL_LOOKUP_BOARD!$L$304&amp;"|",'DEF_CALL_DECISION_SUPPORT'!$U$811:$U$1055,0)+811-1,0),IFERROR(MATCH(LEN(CALL_LOOKUP_BOARD!$L$304)&amp;":"&amp;CALL_LOOKUP_BOARD!$L$304&amp;"|",'DEF_CALL_DECISION_SUPPORT'!$U$1264:$U$1440,0)+1264-1,0)))</f>
        <v>890</v>
      </c>
    </row>
    <row r="32" spans="1:20" ht="68" customHeight="1">
      <c r="A32" s="8" t="s">
        <v>82</v>
      </c>
      <c r="B32" s="8" t="s">
        <v>729</v>
      </c>
      <c r="C32" s="8" t="s">
        <v>465</v>
      </c>
      <c r="D32" s="14" t="str">
        <f>IF(T32=0,"Film Review Required",IF(IF($T32=0,"",INDEX('DEF_CALL_DECISION_SUPPORT'!$A$1:$U$1496,$T32,3))&lt;4,"Sample Watch • ","")&amp;(IF(IFERROR(MATCH("6:2D 4-6|2:12|0:|12:OUTSIDE ZONE|",'DEF_CALL_DECISION_SUPPORT'!$U$1448:$U$1491,0)+1448-1,0)&gt;0,"Exact Context Match",IF(IFERROR(MATCH("6:2D 4-6|12:OUTSIDE ZONE|",'DEF_CALL_DECISION_SUPPORT'!$U$811:$U$1055,0)+811-1,0)&gt;0,"D&amp;D + Concept Match",IF(IFERROR(MATCH("12:OUTSIDE ZONE|",'DEF_CALL_DECISION_SUPPORT'!$U$1264:$U$1440,0)+1264-1,0)&gt;0,"Broad Concept Proxy","Film Review Required")))))</f>
        <v>Sample Watch • Exact Context Match</v>
      </c>
      <c r="E32" s="8" t="str">
        <f>IF($T32=0,"Film Review Required",INDEX('DEF_CALL_DECISION_SUPPORT'!$A$1:$U$1496,$T32,2))</f>
        <v>9 DICE</v>
      </c>
      <c r="F32" s="14" t="str">
        <f>IF($T32=0,"",INDEX('DEF_CALL_DECISION_SUPPORT'!$A$1:$U$1496,$T32,9))</f>
        <v>TRACK</v>
      </c>
      <c r="G32" s="9" t="str">
        <f>IF($T32=0,"No matching defensive sample; film review required.",INDEX('DEF_CALL_DECISION_SUPPORT'!$A$1:$U$1496,$T32,12))</f>
        <v>Track only; not enough sample.</v>
      </c>
      <c r="H32" s="9" t="s">
        <v>2873</v>
      </c>
      <c r="I32" s="10">
        <v>1</v>
      </c>
      <c r="J32" s="11">
        <v>5.962962962962963</v>
      </c>
      <c r="K32" s="15">
        <v>0.02543561912228358</v>
      </c>
      <c r="L32" s="14" t="s">
        <v>700</v>
      </c>
      <c r="M32" s="8" t="s">
        <v>2874</v>
      </c>
      <c r="N32" s="10">
        <f>IF($T32=0,"",INDEX('DEF_CALL_DECISION_SUPPORT'!$A$1:$U$1496,$T32,4))</f>
        <v>1.0</v>
      </c>
      <c r="O32" s="10">
        <f>IF($T32=0,"",INDEX('DEF_CALL_DECISION_SUPPORT'!$A$1:$U$1496,$T32,5))</f>
        <v>0.0</v>
      </c>
      <c r="P32" s="11">
        <f>IF($T32=0,"",INDEX('DEF_CALL_DECISION_SUPPORT'!$A$1:$U$1496,$T32,6))</f>
        <v>0.0</v>
      </c>
      <c r="Q32" s="11">
        <f>IF($T32=0,"",INDEX('DEF_CALL_DECISION_SUPPORT'!$A$1:$U$1496,$T32,10))</f>
        <v>100.0</v>
      </c>
      <c r="R32" s="12">
        <v>1</v>
      </c>
      <c r="T32" s="2">
        <f>IF(IFERROR(MATCH("6:2D 4-6|2:12|0:|12:OUTSIDE ZONE|",'DEF_CALL_DECISION_SUPPORT'!$U$1448:$U$1491,0)+1448-1,0)&gt;0,IFERROR(MATCH("6:2D 4-6|2:12|0:|12:OUTSIDE ZONE|",'DEF_CALL_DECISION_SUPPORT'!$U$1448:$U$1491,0)+1448-1,0),IF(IFERROR(MATCH("6:2D 4-6|12:OUTSIDE ZONE|",'DEF_CALL_DECISION_SUPPORT'!$U$811:$U$1055,0)+811-1,0)&gt;0,IFERROR(MATCH("6:2D 4-6|12:OUTSIDE ZONE|",'DEF_CALL_DECISION_SUPPORT'!$U$811:$U$1055,0)+811-1,0),IF(IFERROR(MATCH("12:OUTSIDE ZONE|",'DEF_CALL_DECISION_SUPPORT'!$U$1264:$U$1440,0)+1264-1,0)&gt;0,IFERROR(MATCH("12:OUTSIDE ZONE|",'DEF_CALL_DECISION_SUPPORT'!$U$1264:$U$1440,0)+1264-1,0),0)))</f>
        <v>1456</v>
      </c>
    </row>
    <row r="33" spans="1:20" ht="68" customHeight="1">
      <c r="A33" s="8" t="s">
        <v>82</v>
      </c>
      <c r="B33" s="8" t="s">
        <v>730</v>
      </c>
      <c r="C33" s="8" t="s">
        <v>2875</v>
      </c>
      <c r="D33" s="14" t="str">
        <f>IF(T33=0,"Film Review Required",IF(IF($T33=0,"",INDEX('DEF_CALL_DECISION_SUPPORT'!$A$1:$U$1496,$T33,3))&lt;4,"Sample Watch • ","")&amp;(IF(IFERROR(MATCH("6:2D 4-6|3:11H|3:2X1|0:|",'DEF_CALL_DECISION_SUPPORT'!$U$1448:$U$1491,0)+1448-1,0)&gt;0,"Exact Context Match",IF(IFERROR(MATCH("6:2D 4-6|3:11H|3:2X1|",'DEF_CALL_DECISION_SUPPORT'!$U$589:$U$803,0)+589-1,0)&gt;0,"D&amp;D + personnel + structure",IF(IFERROR(MATCH("6:2D 4-6|3:2X1|",'DEF_CALL_DECISION_SUPPORT'!$U$375:$U$581,0)+375-1,0)&gt;0,"D&amp;D + structure; personnel not conditioned",IF(IFERROR(MATCH("6:2D 4-6|3:11H|",'DEF_CALL_DECISION_SUPPORT'!$U$186:$U$367,0)+186-1,0)&gt;0,"D&amp;D + personnel; structure not conditioned",IF(IFERROR(MATCH("6:2D 4-6|",'DEF_CALL_DECISION_SUPPORT'!$U$10:$U$178,0)+10-1,0)&gt;0,"D&amp;D only; presentation not conditioned","Film Review Required")))))))</f>
        <v>Sample Watch • D&amp;D + structure; personnel not conditioned</v>
      </c>
      <c r="E33" s="8" t="str">
        <f>IF($T33=0,"Film Review Required",INDEX('DEF_CALL_DECISION_SUPPORT'!$A$1:$U$1496,$T33,2))</f>
        <v>RAMBO</v>
      </c>
      <c r="F33" s="14" t="str">
        <f>IF($T33=0,"",INDEX('DEF_CALL_DECISION_SUPPORT'!$A$1:$U$1496,$T33,9))</f>
        <v>TRACK</v>
      </c>
      <c r="G33" s="9" t="str">
        <f>IF($T33=0,"No matching defensive sample; film review required.",INDEX('DEF_CALL_DECISION_SUPPORT'!$A$1:$U$1496,$T33,12))</f>
        <v>Track only; not enough sample.</v>
      </c>
      <c r="H33" s="9" t="s">
        <v>2873</v>
      </c>
      <c r="I33" s="10">
        <v>1</v>
      </c>
      <c r="J33" s="11">
        <v>18.22222222222222</v>
      </c>
      <c r="K33" s="15">
        <v>3.145381152968994E-05</v>
      </c>
      <c r="L33" s="14" t="s">
        <v>700</v>
      </c>
      <c r="M33" s="8" t="s">
        <v>2874</v>
      </c>
      <c r="N33" s="10">
        <f>IF($T33=0,"",INDEX('DEF_CALL_DECISION_SUPPORT'!$A$1:$U$1496,$T33,4))</f>
        <v>1.0</v>
      </c>
      <c r="O33" s="10">
        <f>IF($T33=0,"",INDEX('DEF_CALL_DECISION_SUPPORT'!$A$1:$U$1496,$T33,5))</f>
        <v>0.0</v>
      </c>
      <c r="P33" s="11">
        <f>IF($T33=0,"",INDEX('DEF_CALL_DECISION_SUPPORT'!$A$1:$U$1496,$T33,6))</f>
        <v>1.0</v>
      </c>
      <c r="Q33" s="11">
        <f>IF($T33=0,"",INDEX('DEF_CALL_DECISION_SUPPORT'!$A$1:$U$1496,$T33,10))</f>
        <v>99.0</v>
      </c>
      <c r="R33" s="12">
        <v>1</v>
      </c>
      <c r="T33" s="2">
        <f>IF(IFERROR(MATCH("6:2D 4-6|3:11H|3:2X1|0:|",'DEF_CALL_DECISION_SUPPORT'!$U$1448:$U$1491,0)+1448-1,0)&gt;0,IFERROR(MATCH("6:2D 4-6|3:11H|3:2X1|0:|",'DEF_CALL_DECISION_SUPPORT'!$U$1448:$U$1491,0)+1448-1,0),IF(IFERROR(MATCH("6:2D 4-6|3:11H|3:2X1|",'DEF_CALL_DECISION_SUPPORT'!$U$589:$U$803,0)+589-1,0)&gt;0,IFERROR(MATCH("6:2D 4-6|3:11H|3:2X1|",'DEF_CALL_DECISION_SUPPORT'!$U$589:$U$803,0)+589-1,0),IF(IFERROR(MATCH("6:2D 4-6|3:2X1|",'DEF_CALL_DECISION_SUPPORT'!$U$375:$U$581,0)+375-1,0)&gt;0,IFERROR(MATCH("6:2D 4-6|3:2X1|",'DEF_CALL_DECISION_SUPPORT'!$U$375:$U$581,0)+375-1,0),IF(IFERROR(MATCH("6:2D 4-6|3:11H|",'DEF_CALL_DECISION_SUPPORT'!$U$186:$U$367,0)+186-1,0)&gt;0,IFERROR(MATCH("6:2D 4-6|3:11H|",'DEF_CALL_DECISION_SUPPORT'!$U$186:$U$367,0)+186-1,0),IF(IFERROR(MATCH("6:2D 4-6|",'DEF_CALL_DECISION_SUPPORT'!$U$10:$U$178,0)+10-1,0)&gt;0,IFERROR(MATCH("6:2D 4-6|",'DEF_CALL_DECISION_SUPPORT'!$U$10:$U$178,0)+10-1,0),0)))))</f>
        <v>449</v>
      </c>
    </row>
    <row r="34" spans="1:20" ht="68" customHeight="1">
      <c r="A34" s="8" t="s">
        <v>82</v>
      </c>
      <c r="B34" s="8" t="s">
        <v>731</v>
      </c>
      <c r="C34" s="8" t="s">
        <v>449</v>
      </c>
      <c r="D34" s="14" t="str">
        <f>IF(T34=0,"Film Review Required",IF(IF($T34=0,"",INDEX('DEF_CALL_DECISION_SUPPORT'!$A$1:$U$1496,$T34,3))&lt;4,"Sample Watch • ","")&amp;(IF(IFERROR(MATCH("6:2D 4-6|0:|3:3X2|6:5 STEP|",'DEF_CALL_DECISION_SUPPORT'!$U$1448:$U$1491,0)+1448-1,0)&gt;0,"Exact Context Match",IF(IFERROR(MATCH("6:2D 4-6|6:5 STEP|",'DEF_CALL_DECISION_SUPPORT'!$U$811:$U$1055,0)+811-1,0)&gt;0,"D&amp;D + Concept Match",IF(IFERROR(MATCH("6:5 STEP|",'DEF_CALL_DECISION_SUPPORT'!$U$1264:$U$1440,0)+1264-1,0)&gt;0,"Broad Concept Proxy","Film Review Required")))))</f>
        <v>Sample Watch • D&amp;D + Concept Match</v>
      </c>
      <c r="E34" s="8" t="str">
        <f>IF($T34=0,"Film Review Required",INDEX('DEF_CALL_DECISION_SUPPORT'!$A$1:$U$1496,$T34,2))</f>
        <v>HOUND KNIFE</v>
      </c>
      <c r="F34" s="14" t="str">
        <f>IF($T34=0,"",INDEX('DEF_CALL_DECISION_SUPPORT'!$A$1:$U$1496,$T34,9))</f>
        <v>TRACK</v>
      </c>
      <c r="G34" s="9" t="str">
        <f>IF($T34=0,"No matching defensive sample; film review required.",INDEX('DEF_CALL_DECISION_SUPPORT'!$A$1:$U$1496,$T34,12))</f>
        <v>Track only; not enough sample.</v>
      </c>
      <c r="H34" s="9" t="s">
        <v>2873</v>
      </c>
      <c r="I34" s="10">
        <v>1</v>
      </c>
      <c r="J34" s="11">
        <v>5.333333333333333</v>
      </c>
      <c r="K34" s="15">
        <v>0.03677962974044771</v>
      </c>
      <c r="L34" s="14" t="s">
        <v>700</v>
      </c>
      <c r="M34" s="8" t="s">
        <v>2874</v>
      </c>
      <c r="N34" s="10">
        <f>IF($T34=0,"",INDEX('DEF_CALL_DECISION_SUPPORT'!$A$1:$U$1496,$T34,4))</f>
        <v>1.0</v>
      </c>
      <c r="O34" s="10">
        <f>IF($T34=0,"",INDEX('DEF_CALL_DECISION_SUPPORT'!$A$1:$U$1496,$T34,5))</f>
        <v>0.0</v>
      </c>
      <c r="P34" s="11">
        <f>IF($T34=0,"",INDEX('DEF_CALL_DECISION_SUPPORT'!$A$1:$U$1496,$T34,6))</f>
        <v>-1.0</v>
      </c>
      <c r="Q34" s="11">
        <f>IF($T34=0,"",INDEX('DEF_CALL_DECISION_SUPPORT'!$A$1:$U$1496,$T34,10))</f>
        <v>100.0</v>
      </c>
      <c r="R34" s="12">
        <v>1</v>
      </c>
      <c r="T34" s="2">
        <f>IF(IFERROR(MATCH("6:2D 4-6|0:|3:3X2|6:5 STEP|",'DEF_CALL_DECISION_SUPPORT'!$U$1448:$U$1491,0)+1448-1,0)&gt;0,IFERROR(MATCH("6:2D 4-6|0:|3:3X2|6:5 STEP|",'DEF_CALL_DECISION_SUPPORT'!$U$1448:$U$1491,0)+1448-1,0),IF(IFERROR(MATCH("6:2D 4-6|6:5 STEP|",'DEF_CALL_DECISION_SUPPORT'!$U$811:$U$1055,0)+811-1,0)&gt;0,IFERROR(MATCH("6:2D 4-6|6:5 STEP|",'DEF_CALL_DECISION_SUPPORT'!$U$811:$U$1055,0)+811-1,0),IF(IFERROR(MATCH("6:5 STEP|",'DEF_CALL_DECISION_SUPPORT'!$U$1264:$U$1440,0)+1264-1,0)&gt;0,IFERROR(MATCH("6:5 STEP|",'DEF_CALL_DECISION_SUPPORT'!$U$1264:$U$1440,0)+1264-1,0),0)))</f>
        <v>909</v>
      </c>
    </row>
    <row r="35" spans="1:20" ht="68" customHeight="1">
      <c r="A35" s="8" t="s">
        <v>82</v>
      </c>
      <c r="B35" s="8" t="s">
        <v>732</v>
      </c>
      <c r="C35" s="8" t="s">
        <v>2883</v>
      </c>
      <c r="D35" s="14" t="str">
        <f>IF(T35=0,"Film Review Required",IF(IF($T35=0,"",INDEX('DEF_CALL_DECISION_SUPPORT'!$A$1:$U$1496,$T35,3))&lt;4,"Sample Watch • ","")&amp;(IF(CALL_LOOKUP_BOARD!$L$320="","Film Review Required",IF(IFERROR(MATCH(LEN("2D 4-6")&amp;":"&amp;"2D 4-6"&amp;"|"&amp;LEN(CALL_LOOKUP_BOARD!$L$320)&amp;":"&amp;CALL_LOOKUP_BOARD!$L$320&amp;"|",'DEF_CALL_DECISION_SUPPORT'!$U$811:$U$1055,0)+811-1,0)&gt;0,"D&amp;D + Concept Match • Concept Proxy",IF(IFERROR(MATCH(LEN(CALL_LOOKUP_BOARD!$L$320)&amp;":"&amp;CALL_LOOKUP_BOARD!$L$320&amp;"|",'DEF_CALL_DECISION_SUPPORT'!$U$1264:$U$1440,0)+1264-1,0)&gt;0,"Broad Concept Proxy","Film Review Required")))))</f>
        <v>Sample Watch • D&amp;D + Concept Match • Concept Proxy</v>
      </c>
      <c r="E35" s="8" t="str">
        <f>IF($T35=0,"Film Review Required",INDEX('DEF_CALL_DECISION_SUPPORT'!$A$1:$U$1496,$T35,2))</f>
        <v>HOUND KNIFE</v>
      </c>
      <c r="F35" s="14" t="str">
        <f>IF($T35=0,"",INDEX('DEF_CALL_DECISION_SUPPORT'!$A$1:$U$1496,$T35,9))</f>
        <v>TRACK</v>
      </c>
      <c r="G35" s="9" t="str">
        <f>IF($T35=0,"No matching defensive sample; film review required.",INDEX('DEF_CALL_DECISION_SUPPORT'!$A$1:$U$1496,$T35,12))</f>
        <v>Track only; not enough sample.</v>
      </c>
      <c r="H35" s="9" t="s">
        <v>2877</v>
      </c>
      <c r="I35" s="10">
        <v>1</v>
      </c>
      <c r="J35" s="11">
        <v>160</v>
      </c>
      <c r="K35" s="15">
        <v>1.131483790243283E-36</v>
      </c>
      <c r="L35" s="14" t="s">
        <v>704</v>
      </c>
      <c r="M35" s="8" t="s">
        <v>2874</v>
      </c>
      <c r="N35" s="10">
        <f>IF($T35=0,"",INDEX('DEF_CALL_DECISION_SUPPORT'!$A$1:$U$1496,$T35,4))</f>
        <v>1.0</v>
      </c>
      <c r="O35" s="10">
        <f>IF($T35=0,"",INDEX('DEF_CALL_DECISION_SUPPORT'!$A$1:$U$1496,$T35,5))</f>
        <v>0.0</v>
      </c>
      <c r="P35" s="11">
        <f>IF($T35=0,"",INDEX('DEF_CALL_DECISION_SUPPORT'!$A$1:$U$1496,$T35,6))</f>
        <v>-1.0</v>
      </c>
      <c r="Q35" s="11">
        <f>IF($T35=0,"",INDEX('DEF_CALL_DECISION_SUPPORT'!$A$1:$U$1496,$T35,10))</f>
        <v>100.0</v>
      </c>
      <c r="R35" s="12">
        <v>1</v>
      </c>
      <c r="T35" s="2">
        <f>IF(CALL_LOOKUP_BOARD!$L$320="",0,IF(IFERROR(MATCH(LEN("2D 4-6")&amp;":"&amp;"2D 4-6"&amp;"|"&amp;LEN(CALL_LOOKUP_BOARD!$L$320)&amp;":"&amp;CALL_LOOKUP_BOARD!$L$320&amp;"|",'DEF_CALL_DECISION_SUPPORT'!$U$811:$U$1055,0)+811-1,0)&gt;0,IFERROR(MATCH(LEN("2D 4-6")&amp;":"&amp;"2D 4-6"&amp;"|"&amp;LEN(CALL_LOOKUP_BOARD!$L$320)&amp;":"&amp;CALL_LOOKUP_BOARD!$L$320&amp;"|",'DEF_CALL_DECISION_SUPPORT'!$U$811:$U$1055,0)+811-1,0),IFERROR(MATCH(LEN(CALL_LOOKUP_BOARD!$L$320)&amp;":"&amp;CALL_LOOKUP_BOARD!$L$320&amp;"|",'DEF_CALL_DECISION_SUPPORT'!$U$1264:$U$1440,0)+1264-1,0)))</f>
        <v>909</v>
      </c>
    </row>
    <row r="36" spans="1:20" ht="68" customHeight="1">
      <c r="A36" s="8" t="s">
        <v>85</v>
      </c>
      <c r="B36" s="8" t="s">
        <v>733</v>
      </c>
      <c r="C36" s="8" t="s">
        <v>428</v>
      </c>
      <c r="D36" s="14" t="str">
        <f>IF(T36=0,"Film Review Required",IF(IF($T36=0,"",INDEX('DEF_CALL_DECISION_SUPPORT'!$A$1:$U$1496,$T36,3))&lt;4,"Sample Watch • ","")&amp;(IF(IFERROR(MATCH("7:2D 7-10|3:12H|0:|11:INSIDE ZONE|",'DEF_CALL_DECISION_SUPPORT'!$U$1448:$U$1491,0)+1448-1,0)&gt;0,"Exact Context Match",IF(IFERROR(MATCH("7:2D 7-10|11:INSIDE ZONE|",'DEF_CALL_DECISION_SUPPORT'!$U$811:$U$1055,0)+811-1,0)&gt;0,"D&amp;D + Concept Match",IF(IFERROR(MATCH("11:INSIDE ZONE|",'DEF_CALL_DECISION_SUPPORT'!$U$1264:$U$1440,0)+1264-1,0)&gt;0,"Broad Concept Proxy","Film Review Required")))))</f>
        <v>Sample Watch • D&amp;D + Concept Match</v>
      </c>
      <c r="E36" s="8" t="str">
        <f>IF($T36=0,"Film Review Required",INDEX('DEF_CALL_DECISION_SUPPORT'!$A$1:$U$1496,$T36,2))</f>
        <v>STICK TEX</v>
      </c>
      <c r="F36" s="14" t="str">
        <f>IF($T36=0,"",INDEX('DEF_CALL_DECISION_SUPPORT'!$A$1:$U$1496,$T36,9))</f>
        <v>TRACK</v>
      </c>
      <c r="G36" s="9" t="str">
        <f>IF($T36=0,"No matching defensive sample; film review required.",INDEX('DEF_CALL_DECISION_SUPPORT'!$A$1:$U$1496,$T36,12))</f>
        <v>Track only; not enough sample.</v>
      </c>
      <c r="H36" s="9" t="s">
        <v>2873</v>
      </c>
      <c r="I36" s="10">
        <v>1</v>
      </c>
      <c r="J36" s="11">
        <v>3.744186046511628</v>
      </c>
      <c r="K36" s="15">
        <v>0.09656748950022616</v>
      </c>
      <c r="L36" s="14" t="s">
        <v>700</v>
      </c>
      <c r="M36" s="8" t="s">
        <v>2874</v>
      </c>
      <c r="N36" s="10">
        <f>IF($T36=0,"",INDEX('DEF_CALL_DECISION_SUPPORT'!$A$1:$U$1496,$T36,4))</f>
        <v>0.5</v>
      </c>
      <c r="O36" s="10">
        <f>IF($T36=0,"",INDEX('DEF_CALL_DECISION_SUPPORT'!$A$1:$U$1496,$T36,5))</f>
        <v>0.0</v>
      </c>
      <c r="P36" s="11">
        <f>IF($T36=0,"",INDEX('DEF_CALL_DECISION_SUPPORT'!$A$1:$U$1496,$T36,6))</f>
        <v>2.0</v>
      </c>
      <c r="Q36" s="11">
        <f>IF($T36=0,"",INDEX('DEF_CALL_DECISION_SUPPORT'!$A$1:$U$1496,$T36,10))</f>
        <v>63.0</v>
      </c>
      <c r="R36" s="12">
        <v>1</v>
      </c>
      <c r="T36" s="2">
        <f>IF(IFERROR(MATCH("7:2D 7-10|3:12H|0:|11:INSIDE ZONE|",'DEF_CALL_DECISION_SUPPORT'!$U$1448:$U$1491,0)+1448-1,0)&gt;0,IFERROR(MATCH("7:2D 7-10|3:12H|0:|11:INSIDE ZONE|",'DEF_CALL_DECISION_SUPPORT'!$U$1448:$U$1491,0)+1448-1,0),IF(IFERROR(MATCH("7:2D 7-10|11:INSIDE ZONE|",'DEF_CALL_DECISION_SUPPORT'!$U$811:$U$1055,0)+811-1,0)&gt;0,IFERROR(MATCH("7:2D 7-10|11:INSIDE ZONE|",'DEF_CALL_DECISION_SUPPORT'!$U$811:$U$1055,0)+811-1,0),IF(IFERROR(MATCH("11:INSIDE ZONE|",'DEF_CALL_DECISION_SUPPORT'!$U$1264:$U$1440,0)+1264-1,0)&gt;0,IFERROR(MATCH("11:INSIDE ZONE|",'DEF_CALL_DECISION_SUPPORT'!$U$1264:$U$1440,0)+1264-1,0),0)))</f>
        <v>947</v>
      </c>
    </row>
    <row r="37" spans="1:20" ht="68" customHeight="1">
      <c r="A37" s="8" t="s">
        <v>85</v>
      </c>
      <c r="B37" s="8" t="s">
        <v>734</v>
      </c>
      <c r="C37" s="8" t="s">
        <v>2875</v>
      </c>
      <c r="D37" s="14" t="str">
        <f>IF(T37=0,"Film Review Required",IF(IF($T37=0,"",INDEX('DEF_CALL_DECISION_SUPPORT'!$A$1:$U$1496,$T37,3))&lt;4,"Sample Watch • ","")&amp;(IF(IFERROR(MATCH("7:2D 7-10|3:15H|3:3X2|0:|",'DEF_CALL_DECISION_SUPPORT'!$U$1448:$U$1491,0)+1448-1,0)&gt;0,"Exact Context Match",IF(IFERROR(MATCH("7:2D 7-10|3:15H|3:3X2|",'DEF_CALL_DECISION_SUPPORT'!$U$589:$U$803,0)+589-1,0)&gt;0,"D&amp;D + personnel + structure",IF(IFERROR(MATCH("7:2D 7-10|3:3X2|",'DEF_CALL_DECISION_SUPPORT'!$U$375:$U$581,0)+375-1,0)&gt;0,"D&amp;D + structure; personnel not conditioned",IF(IFERROR(MATCH("7:2D 7-10|3:15H|",'DEF_CALL_DECISION_SUPPORT'!$U$186:$U$367,0)+186-1,0)&gt;0,"D&amp;D + personnel; structure not conditioned",IF(IFERROR(MATCH("7:2D 7-10|",'DEF_CALL_DECISION_SUPPORT'!$U$10:$U$178,0)+10-1,0)&gt;0,"D&amp;D only; presentation not conditioned","Film Review Required")))))))</f>
        <v>Sample Watch • D&amp;D + structure; personnel not conditioned</v>
      </c>
      <c r="E37" s="8" t="str">
        <f>IF($T37=0,"Film Review Required",INDEX('DEF_CALL_DECISION_SUPPORT'!$A$1:$U$1496,$T37,2))</f>
        <v>9 DICE</v>
      </c>
      <c r="F37" s="14" t="str">
        <f>IF($T37=0,"",INDEX('DEF_CALL_DECISION_SUPPORT'!$A$1:$U$1496,$T37,9))</f>
        <v>TRACK</v>
      </c>
      <c r="G37" s="9" t="str">
        <f>IF($T37=0,"No matching defensive sample; film review required.",INDEX('DEF_CALL_DECISION_SUPPORT'!$A$1:$U$1496,$T37,12))</f>
        <v>Track only; not enough sample.</v>
      </c>
      <c r="H37" s="9" t="s">
        <v>2873</v>
      </c>
      <c r="I37" s="10">
        <v>1</v>
      </c>
      <c r="J37" s="11">
        <v>23.42857142857143</v>
      </c>
      <c r="K37" s="15">
        <v>2.030284222193764E-06</v>
      </c>
      <c r="L37" s="14" t="s">
        <v>700</v>
      </c>
      <c r="M37" s="8" t="s">
        <v>2874</v>
      </c>
      <c r="N37" s="10">
        <f>IF($T37=0,"",INDEX('DEF_CALL_DECISION_SUPPORT'!$A$1:$U$1496,$T37,4))</f>
        <v>1.0</v>
      </c>
      <c r="O37" s="10">
        <f>IF($T37=0,"",INDEX('DEF_CALL_DECISION_SUPPORT'!$A$1:$U$1496,$T37,5))</f>
        <v>0.0</v>
      </c>
      <c r="P37" s="11">
        <f>IF($T37=0,"",INDEX('DEF_CALL_DECISION_SUPPORT'!$A$1:$U$1496,$T37,6))</f>
        <v>0.0</v>
      </c>
      <c r="Q37" s="11">
        <f>IF($T37=0,"",INDEX('DEF_CALL_DECISION_SUPPORT'!$A$1:$U$1496,$T37,10))</f>
        <v>100.0</v>
      </c>
      <c r="R37" s="12">
        <v>1</v>
      </c>
      <c r="T37" s="2">
        <f>IF(IFERROR(MATCH("7:2D 7-10|3:15H|3:3X2|0:|",'DEF_CALL_DECISION_SUPPORT'!$U$1448:$U$1491,0)+1448-1,0)&gt;0,IFERROR(MATCH("7:2D 7-10|3:15H|3:3X2|0:|",'DEF_CALL_DECISION_SUPPORT'!$U$1448:$U$1491,0)+1448-1,0),IF(IFERROR(MATCH("7:2D 7-10|3:15H|3:3X2|",'DEF_CALL_DECISION_SUPPORT'!$U$589:$U$803,0)+589-1,0)&gt;0,IFERROR(MATCH("7:2D 7-10|3:15H|3:3X2|",'DEF_CALL_DECISION_SUPPORT'!$U$589:$U$803,0)+589-1,0),IF(IFERROR(MATCH("7:2D 7-10|3:3X2|",'DEF_CALL_DECISION_SUPPORT'!$U$375:$U$581,0)+375-1,0)&gt;0,IFERROR(MATCH("7:2D 7-10|3:3X2|",'DEF_CALL_DECISION_SUPPORT'!$U$375:$U$581,0)+375-1,0),IF(IFERROR(MATCH("7:2D 7-10|3:15H|",'DEF_CALL_DECISION_SUPPORT'!$U$186:$U$367,0)+186-1,0)&gt;0,IFERROR(MATCH("7:2D 7-10|3:15H|",'DEF_CALL_DECISION_SUPPORT'!$U$186:$U$367,0)+186-1,0),IF(IFERROR(MATCH("7:2D 7-10|",'DEF_CALL_DECISION_SUPPORT'!$U$10:$U$178,0)+10-1,0)&gt;0,IFERROR(MATCH("7:2D 7-10|",'DEF_CALL_DECISION_SUPPORT'!$U$10:$U$178,0)+10-1,0),0)))))</f>
        <v>500</v>
      </c>
    </row>
    <row r="38" spans="1:20" ht="68" customHeight="1">
      <c r="A38" s="8" t="s">
        <v>85</v>
      </c>
      <c r="B38" s="8" t="s">
        <v>735</v>
      </c>
      <c r="C38" s="8" t="s">
        <v>446</v>
      </c>
      <c r="D38" s="14" t="str">
        <f>IF(T38=0,"Film Review Required",IF(IF($T38=0,"",INDEX('DEF_CALL_DECISION_SUPPORT'!$A$1:$U$1496,$T38,3))&lt;4,"Sample Watch • ","")&amp;(IF(IFERROR(MATCH("7:2D 7-10|0:|3:3X2|6:3 STEP|",'DEF_CALL_DECISION_SUPPORT'!$U$1448:$U$1491,0)+1448-1,0)&gt;0,"Exact Context Match",IF(IFERROR(MATCH("7:2D 7-10|6:3 STEP|",'DEF_CALL_DECISION_SUPPORT'!$U$811:$U$1055,0)+811-1,0)&gt;0,"D&amp;D + Concept Match",IF(IFERROR(MATCH("6:3 STEP|",'DEF_CALL_DECISION_SUPPORT'!$U$1264:$U$1440,0)+1264-1,0)&gt;0,"Broad Concept Proxy","Film Review Required")))))</f>
        <v>Sample Watch • D&amp;D + Concept Match</v>
      </c>
      <c r="E38" s="8" t="str">
        <f>IF($T38=0,"Film Review Required",INDEX('DEF_CALL_DECISION_SUPPORT'!$A$1:$U$1496,$T38,2))</f>
        <v>FALCON</v>
      </c>
      <c r="F38" s="14" t="str">
        <f>IF($T38=0,"",INDEX('DEF_CALL_DECISION_SUPPORT'!$A$1:$U$1496,$T38,9))</f>
        <v>TRACK</v>
      </c>
      <c r="G38" s="9" t="str">
        <f>IF($T38=0,"No matching defensive sample; film review required.",INDEX('DEF_CALL_DECISION_SUPPORT'!$A$1:$U$1496,$T38,12))</f>
        <v>Track only; not enough sample.</v>
      </c>
      <c r="H38" s="9" t="s">
        <v>2873</v>
      </c>
      <c r="I38" s="10">
        <v>1</v>
      </c>
      <c r="J38" s="11">
        <v>32</v>
      </c>
      <c r="K38" s="15">
        <v>2.333701583830451E-08</v>
      </c>
      <c r="L38" s="14" t="s">
        <v>700</v>
      </c>
      <c r="M38" s="8" t="s">
        <v>2874</v>
      </c>
      <c r="N38" s="10">
        <f>IF($T38=0,"",INDEX('DEF_CALL_DECISION_SUPPORT'!$A$1:$U$1496,$T38,4))</f>
        <v>1.0</v>
      </c>
      <c r="O38" s="10">
        <f>IF($T38=0,"",INDEX('DEF_CALL_DECISION_SUPPORT'!$A$1:$U$1496,$T38,5))</f>
        <v>0.0</v>
      </c>
      <c r="P38" s="11">
        <f>IF($T38=0,"",INDEX('DEF_CALL_DECISION_SUPPORT'!$A$1:$U$1496,$T38,6))</f>
        <v>0.0</v>
      </c>
      <c r="Q38" s="11">
        <f>IF($T38=0,"",INDEX('DEF_CALL_DECISION_SUPPORT'!$A$1:$U$1496,$T38,10))</f>
        <v>100.0</v>
      </c>
      <c r="R38" s="12">
        <v>1</v>
      </c>
      <c r="T38" s="2">
        <f>IF(IFERROR(MATCH("7:2D 7-10|0:|3:3X2|6:3 STEP|",'DEF_CALL_DECISION_SUPPORT'!$U$1448:$U$1491,0)+1448-1,0)&gt;0,IFERROR(MATCH("7:2D 7-10|0:|3:3X2|6:3 STEP|",'DEF_CALL_DECISION_SUPPORT'!$U$1448:$U$1491,0)+1448-1,0),IF(IFERROR(MATCH("7:2D 7-10|6:3 STEP|",'DEF_CALL_DECISION_SUPPORT'!$U$811:$U$1055,0)+811-1,0)&gt;0,IFERROR(MATCH("7:2D 7-10|6:3 STEP|",'DEF_CALL_DECISION_SUPPORT'!$U$811:$U$1055,0)+811-1,0),IF(IFERROR(MATCH("6:3 STEP|",'DEF_CALL_DECISION_SUPPORT'!$U$1264:$U$1440,0)+1264-1,0)&gt;0,IFERROR(MATCH("6:3 STEP|",'DEF_CALL_DECISION_SUPPORT'!$U$1264:$U$1440,0)+1264-1,0),0)))</f>
        <v>929</v>
      </c>
    </row>
    <row r="39" spans="1:20" ht="68" customHeight="1">
      <c r="A39" s="8" t="s">
        <v>85</v>
      </c>
      <c r="B39" s="8" t="s">
        <v>736</v>
      </c>
      <c r="C39" s="8" t="s">
        <v>2884</v>
      </c>
      <c r="D39" s="14" t="str">
        <f>IF(T39=0,"Film Review Required",IF(IF($T39=0,"",INDEX('DEF_CALL_DECISION_SUPPORT'!$A$1:$U$1496,$T39,3))&lt;4,"Sample Watch • ","")&amp;(IF(CALL_LOOKUP_BOARD!$L$340="","Film Review Required",IF(IFERROR(MATCH(LEN("2D 7-10")&amp;":"&amp;"2D 7-10"&amp;"|"&amp;LEN(CALL_LOOKUP_BOARD!$L$340)&amp;":"&amp;CALL_LOOKUP_BOARD!$L$340&amp;"|",'DEF_CALL_DECISION_SUPPORT'!$U$811:$U$1055,0)+811-1,0)&gt;0,"D&amp;D + Concept Match • Concept Proxy",IF(IFERROR(MATCH(LEN(CALL_LOOKUP_BOARD!$L$340)&amp;":"&amp;CALL_LOOKUP_BOARD!$L$340&amp;"|",'DEF_CALL_DECISION_SUPPORT'!$U$1264:$U$1440,0)+1264-1,0)&gt;0,"Broad Concept Proxy","Film Review Required")))))</f>
        <v>Sample Watch • D&amp;D + Concept Match • Concept Proxy</v>
      </c>
      <c r="E39" s="8" t="str">
        <f>IF($T39=0,"Film Review Required",INDEX('DEF_CALL_DECISION_SUPPORT'!$A$1:$U$1496,$T39,2))</f>
        <v>FALCON</v>
      </c>
      <c r="F39" s="14" t="str">
        <f>IF($T39=0,"",INDEX('DEF_CALL_DECISION_SUPPORT'!$A$1:$U$1496,$T39,9))</f>
        <v>TRACK</v>
      </c>
      <c r="G39" s="9" t="str">
        <f>IF($T39=0,"No matching defensive sample; film review required.",INDEX('DEF_CALL_DECISION_SUPPORT'!$A$1:$U$1496,$T39,12))</f>
        <v>Track only; not enough sample.</v>
      </c>
      <c r="H39" s="9" t="s">
        <v>2877</v>
      </c>
      <c r="I39" s="10">
        <v>1</v>
      </c>
      <c r="J39" s="11">
        <v>160</v>
      </c>
      <c r="K39" s="15">
        <v>1.131483790243283E-36</v>
      </c>
      <c r="L39" s="14" t="s">
        <v>704</v>
      </c>
      <c r="M39" s="8" t="s">
        <v>2874</v>
      </c>
      <c r="N39" s="10">
        <f>IF($T39=0,"",INDEX('DEF_CALL_DECISION_SUPPORT'!$A$1:$U$1496,$T39,4))</f>
        <v>1.0</v>
      </c>
      <c r="O39" s="10">
        <f>IF($T39=0,"",INDEX('DEF_CALL_DECISION_SUPPORT'!$A$1:$U$1496,$T39,5))</f>
        <v>0.0</v>
      </c>
      <c r="P39" s="11">
        <f>IF($T39=0,"",INDEX('DEF_CALL_DECISION_SUPPORT'!$A$1:$U$1496,$T39,6))</f>
        <v>0.0</v>
      </c>
      <c r="Q39" s="11">
        <f>IF($T39=0,"",INDEX('DEF_CALL_DECISION_SUPPORT'!$A$1:$U$1496,$T39,10))</f>
        <v>100.0</v>
      </c>
      <c r="R39" s="12">
        <v>1</v>
      </c>
      <c r="T39" s="2">
        <f>IF(CALL_LOOKUP_BOARD!$L$340="",0,IF(IFERROR(MATCH(LEN("2D 7-10")&amp;":"&amp;"2D 7-10"&amp;"|"&amp;LEN(CALL_LOOKUP_BOARD!$L$340)&amp;":"&amp;CALL_LOOKUP_BOARD!$L$340&amp;"|",'DEF_CALL_DECISION_SUPPORT'!$U$811:$U$1055,0)+811-1,0)&gt;0,IFERROR(MATCH(LEN("2D 7-10")&amp;":"&amp;"2D 7-10"&amp;"|"&amp;LEN(CALL_LOOKUP_BOARD!$L$340)&amp;":"&amp;CALL_LOOKUP_BOARD!$L$340&amp;"|",'DEF_CALL_DECISION_SUPPORT'!$U$811:$U$1055,0)+811-1,0),IFERROR(MATCH(LEN(CALL_LOOKUP_BOARD!$L$340)&amp;":"&amp;CALL_LOOKUP_BOARD!$L$340&amp;"|",'DEF_CALL_DECISION_SUPPORT'!$U$1264:$U$1440,0)+1264-1,0)))</f>
        <v>929</v>
      </c>
    </row>
    <row r="40" spans="1:20" ht="68" customHeight="1">
      <c r="A40" s="8" t="s">
        <v>76</v>
      </c>
      <c r="B40" s="8" t="s">
        <v>725</v>
      </c>
      <c r="C40" s="8" t="s">
        <v>428</v>
      </c>
      <c r="D40" s="14" t="str">
        <f>IF(T40=0,"Film Review Required",IF(IF($T40=0,"",INDEX('DEF_CALL_DECISION_SUPPORT'!$A$1:$U$1496,$T40,3))&lt;4,"Sample Watch • ","")&amp;(IF(IFERROR(MATCH("6:2D 11+|2:12|0:|11:INSIDE ZONE|",'DEF_CALL_DECISION_SUPPORT'!$U$1448:$U$1491,0)+1448-1,0)&gt;0,"Exact Context Match",IF(IFERROR(MATCH("6:2D 11+|11:INSIDE ZONE|",'DEF_CALL_DECISION_SUPPORT'!$U$811:$U$1055,0)+811-1,0)&gt;0,"D&amp;D + Concept Match",IF(IFERROR(MATCH("11:INSIDE ZONE|",'DEF_CALL_DECISION_SUPPORT'!$U$1264:$U$1440,0)+1264-1,0)&gt;0,"Broad Concept Proxy","Film Review Required")))))</f>
        <v>Sample Watch • D&amp;D + Concept Match</v>
      </c>
      <c r="E40" s="8" t="str">
        <f>IF($T40=0,"Film Review Required",INDEX('DEF_CALL_DECISION_SUPPORT'!$A$1:$U$1496,$T40,2))</f>
        <v>SHINE BUC</v>
      </c>
      <c r="F40" s="14" t="str">
        <f>IF($T40=0,"",INDEX('DEF_CALL_DECISION_SUPPORT'!$A$1:$U$1496,$T40,9))</f>
        <v>TRACK</v>
      </c>
      <c r="G40" s="9" t="str">
        <f>IF($T40=0,"No matching defensive sample; film review required.",INDEX('DEF_CALL_DECISION_SUPPORT'!$A$1:$U$1496,$T40,12))</f>
        <v>Track only; not enough sample.</v>
      </c>
      <c r="H40" s="9" t="s">
        <v>2873</v>
      </c>
      <c r="I40" s="10">
        <v>1</v>
      </c>
      <c r="J40" s="11">
        <v>3.744186046511628</v>
      </c>
      <c r="K40" s="15">
        <v>0.09656748950022616</v>
      </c>
      <c r="L40" s="14" t="s">
        <v>700</v>
      </c>
      <c r="M40" s="8" t="s">
        <v>2874</v>
      </c>
      <c r="N40" s="10">
        <f>IF($T40=0,"",INDEX('DEF_CALL_DECISION_SUPPORT'!$A$1:$U$1496,$T40,4))</f>
        <v>0.0</v>
      </c>
      <c r="O40" s="10">
        <f>IF($T40=0,"",INDEX('DEF_CALL_DECISION_SUPPORT'!$A$1:$U$1496,$T40,5))</f>
        <v>0.0</v>
      </c>
      <c r="P40" s="11">
        <f>IF($T40=0,"",INDEX('DEF_CALL_DECISION_SUPPORT'!$A$1:$U$1496,$T40,6))</f>
        <v>6.5</v>
      </c>
      <c r="Q40" s="11">
        <f>IF($T40=0,"",INDEX('DEF_CALL_DECISION_SUPPORT'!$A$1:$U$1496,$T40,10))</f>
        <v>23.5</v>
      </c>
      <c r="R40" s="12">
        <v>1</v>
      </c>
      <c r="T40" s="2">
        <f>IF(IFERROR(MATCH("6:2D 11+|2:12|0:|11:INSIDE ZONE|",'DEF_CALL_DECISION_SUPPORT'!$U$1448:$U$1491,0)+1448-1,0)&gt;0,IFERROR(MATCH("6:2D 11+|2:12|0:|11:INSIDE ZONE|",'DEF_CALL_DECISION_SUPPORT'!$U$1448:$U$1491,0)+1448-1,0),IF(IFERROR(MATCH("6:2D 11+|11:INSIDE ZONE|",'DEF_CALL_DECISION_SUPPORT'!$U$811:$U$1055,0)+811-1,0)&gt;0,IFERROR(MATCH("6:2D 11+|11:INSIDE ZONE|",'DEF_CALL_DECISION_SUPPORT'!$U$811:$U$1055,0)+811-1,0),IF(IFERROR(MATCH("11:INSIDE ZONE|",'DEF_CALL_DECISION_SUPPORT'!$U$1264:$U$1440,0)+1264-1,0)&gt;0,IFERROR(MATCH("11:INSIDE ZONE|",'DEF_CALL_DECISION_SUPPORT'!$U$1264:$U$1440,0)+1264-1,0),0)))</f>
        <v>902</v>
      </c>
    </row>
    <row r="41" spans="1:20" ht="68" customHeight="1">
      <c r="A41" s="8" t="s">
        <v>76</v>
      </c>
      <c r="B41" s="8" t="s">
        <v>713</v>
      </c>
      <c r="C41" s="8" t="s">
        <v>2875</v>
      </c>
      <c r="D41" s="14" t="str">
        <f>IF(T41=0,"Film Review Required",IF(IF($T41=0,"",INDEX('DEF_CALL_DECISION_SUPPORT'!$A$1:$U$1496,$T41,3))&lt;4,"Sample Watch • ","")&amp;(IF(IFERROR(MATCH("6:2D 11+|3:12H|3:4X1|0:|",'DEF_CALL_DECISION_SUPPORT'!$U$1448:$U$1491,0)+1448-1,0)&gt;0,"Exact Context Match",IF(IFERROR(MATCH("6:2D 11+|3:12H|3:4X1|",'DEF_CALL_DECISION_SUPPORT'!$U$589:$U$803,0)+589-1,0)&gt;0,"D&amp;D + personnel + structure",IF(IFERROR(MATCH("6:2D 11+|3:4X1|",'DEF_CALL_DECISION_SUPPORT'!$U$375:$U$581,0)+375-1,0)&gt;0,"D&amp;D + structure; personnel not conditioned",IF(IFERROR(MATCH("6:2D 11+|3:12H|",'DEF_CALL_DECISION_SUPPORT'!$U$186:$U$367,0)+186-1,0)&gt;0,"D&amp;D + personnel; structure not conditioned",IF(IFERROR(MATCH("6:2D 11+|",'DEF_CALL_DECISION_SUPPORT'!$U$10:$U$178,0)+10-1,0)&gt;0,"D&amp;D only; presentation not conditioned","Film Review Required")))))))</f>
        <v>Sample Watch • D&amp;D only; presentation not conditioned</v>
      </c>
      <c r="E41" s="8" t="str">
        <f>IF($T41=0,"Film Review Required",INDEX('DEF_CALL_DECISION_SUPPORT'!$A$1:$U$1496,$T41,2))</f>
        <v>SHINE BUC</v>
      </c>
      <c r="F41" s="14" t="str">
        <f>IF($T41=0,"",INDEX('DEF_CALL_DECISION_SUPPORT'!$A$1:$U$1496,$T41,9))</f>
        <v>LOW</v>
      </c>
      <c r="G41" s="9" t="str">
        <f>IF($T41=0,"No matching defensive sample; film review required.",INDEX('DEF_CALL_DECISION_SUPPORT'!$A$1:$U$1496,$T41,12))</f>
        <v>Sample watch; review clips and build the sample.</v>
      </c>
      <c r="H41" s="9" t="s">
        <v>2873</v>
      </c>
      <c r="I41" s="10">
        <v>0.5</v>
      </c>
      <c r="J41" s="11">
        <v>8.200000000000001</v>
      </c>
      <c r="K41" s="15">
        <v>0.009036572578603594</v>
      </c>
      <c r="L41" s="14" t="s">
        <v>700</v>
      </c>
      <c r="M41" s="8" t="s">
        <v>2874</v>
      </c>
      <c r="N41" s="10">
        <f>IF($T41=0,"",INDEX('DEF_CALL_DECISION_SUPPORT'!$A$1:$U$1496,$T41,4))</f>
        <v>0.3333333333333333</v>
      </c>
      <c r="O41" s="10">
        <f>IF($T41=0,"",INDEX('DEF_CALL_DECISION_SUPPORT'!$A$1:$U$1496,$T41,5))</f>
        <v>0.0</v>
      </c>
      <c r="P41" s="11">
        <f>IF($T41=0,"",INDEX('DEF_CALL_DECISION_SUPPORT'!$A$1:$U$1496,$T41,6))</f>
        <v>4.333333333333333</v>
      </c>
      <c r="Q41" s="11">
        <f>IF($T41=0,"",INDEX('DEF_CALL_DECISION_SUPPORT'!$A$1:$U$1496,$T41,10))</f>
        <v>49.0</v>
      </c>
      <c r="R41" s="12">
        <v>1</v>
      </c>
      <c r="T41" s="2">
        <f>IF(IFERROR(MATCH("6:2D 11+|3:12H|3:4X1|0:|",'DEF_CALL_DECISION_SUPPORT'!$U$1448:$U$1491,0)+1448-1,0)&gt;0,IFERROR(MATCH("6:2D 11+|3:12H|3:4X1|0:|",'DEF_CALL_DECISION_SUPPORT'!$U$1448:$U$1491,0)+1448-1,0),IF(IFERROR(MATCH("6:2D 11+|3:12H|3:4X1|",'DEF_CALL_DECISION_SUPPORT'!$U$589:$U$803,0)+589-1,0)&gt;0,IFERROR(MATCH("6:2D 11+|3:12H|3:4X1|",'DEF_CALL_DECISION_SUPPORT'!$U$589:$U$803,0)+589-1,0),IF(IFERROR(MATCH("6:2D 11+|3:4X1|",'DEF_CALL_DECISION_SUPPORT'!$U$375:$U$581,0)+375-1,0)&gt;0,IFERROR(MATCH("6:2D 11+|3:4X1|",'DEF_CALL_DECISION_SUPPORT'!$U$375:$U$581,0)+375-1,0),IF(IFERROR(MATCH("6:2D 11+|3:12H|",'DEF_CALL_DECISION_SUPPORT'!$U$186:$U$367,0)+186-1,0)&gt;0,IFERROR(MATCH("6:2D 11+|3:12H|",'DEF_CALL_DECISION_SUPPORT'!$U$186:$U$367,0)+186-1,0),IF(IFERROR(MATCH("6:2D 11+|",'DEF_CALL_DECISION_SUPPORT'!$U$10:$U$178,0)+10-1,0)&gt;0,IFERROR(MATCH("6:2D 11+|",'DEF_CALL_DECISION_SUPPORT'!$U$10:$U$178,0)+10-1,0),0)))))</f>
        <v>65</v>
      </c>
    </row>
    <row r="42" spans="1:20" ht="68" customHeight="1">
      <c r="A42" s="8" t="s">
        <v>76</v>
      </c>
      <c r="B42" s="8" t="s">
        <v>714</v>
      </c>
      <c r="C42" s="8" t="s">
        <v>541</v>
      </c>
      <c r="D42" s="14" t="str">
        <f>IF(T42=0,"Film Review Required",IF(IF($T42=0,"",INDEX('DEF_CALL_DECISION_SUPPORT'!$A$1:$U$1496,$T42,3))&lt;4,"Sample Watch • ","")&amp;(IF(IFERROR(MATCH("6:2D 11+|0:|3:4X1|5:POWER|",'DEF_CALL_DECISION_SUPPORT'!$U$1448:$U$1491,0)+1448-1,0)&gt;0,"Exact Context Match",IF(IFERROR(MATCH("6:2D 11+|5:POWER|",'DEF_CALL_DECISION_SUPPORT'!$U$811:$U$1055,0)+811-1,0)&gt;0,"D&amp;D + Concept Match",IF(IFERROR(MATCH("5:POWER|",'DEF_CALL_DECISION_SUPPORT'!$U$1264:$U$1440,0)+1264-1,0)&gt;0,"Broad Concept Proxy","Film Review Required")))))</f>
        <v>Sample Watch • Broad Concept Proxy</v>
      </c>
      <c r="E42" s="8" t="str">
        <f>IF($T42=0,"Film Review Required",INDEX('DEF_CALL_DECISION_SUPPORT'!$A$1:$U$1496,$T42,2))</f>
        <v>REBEL</v>
      </c>
      <c r="F42" s="14" t="str">
        <f>IF($T42=0,"",INDEX('DEF_CALL_DECISION_SUPPORT'!$A$1:$U$1496,$T42,9))</f>
        <v>TRACK</v>
      </c>
      <c r="G42" s="9" t="str">
        <f>IF($T42=0,"No matching defensive sample; film review required.",INDEX('DEF_CALL_DECISION_SUPPORT'!$A$1:$U$1496,$T42,12))</f>
        <v>Track only; not enough sample.</v>
      </c>
      <c r="H42" s="9" t="s">
        <v>2873</v>
      </c>
      <c r="I42" s="10">
        <v>1</v>
      </c>
      <c r="J42" s="11">
        <v>40</v>
      </c>
      <c r="K42" s="15">
        <v>3.737702567002527E-10</v>
      </c>
      <c r="L42" s="14" t="s">
        <v>700</v>
      </c>
      <c r="M42" s="8" t="s">
        <v>2874</v>
      </c>
      <c r="N42" s="10">
        <f>IF($T42=0,"",INDEX('DEF_CALL_DECISION_SUPPORT'!$A$1:$U$1496,$T42,4))</f>
        <v>1.0</v>
      </c>
      <c r="O42" s="10">
        <f>IF($T42=0,"",INDEX('DEF_CALL_DECISION_SUPPORT'!$A$1:$U$1496,$T42,5))</f>
        <v>0.0</v>
      </c>
      <c r="P42" s="11">
        <f>IF($T42=0,"",INDEX('DEF_CALL_DECISION_SUPPORT'!$A$1:$U$1496,$T42,6))</f>
        <v>0.0</v>
      </c>
      <c r="Q42" s="11">
        <f>IF($T42=0,"",INDEX('DEF_CALL_DECISION_SUPPORT'!$A$1:$U$1496,$T42,10))</f>
        <v>100.0</v>
      </c>
      <c r="R42" s="12">
        <v>1</v>
      </c>
      <c r="T42" s="2">
        <f>IF(IFERROR(MATCH("6:2D 11+|0:|3:4X1|5:POWER|",'DEF_CALL_DECISION_SUPPORT'!$U$1448:$U$1491,0)+1448-1,0)&gt;0,IFERROR(MATCH("6:2D 11+|0:|3:4X1|5:POWER|",'DEF_CALL_DECISION_SUPPORT'!$U$1448:$U$1491,0)+1448-1,0),IF(IFERROR(MATCH("6:2D 11+|5:POWER|",'DEF_CALL_DECISION_SUPPORT'!$U$811:$U$1055,0)+811-1,0)&gt;0,IFERROR(MATCH("6:2D 11+|5:POWER|",'DEF_CALL_DECISION_SUPPORT'!$U$811:$U$1055,0)+811-1,0),IF(IFERROR(MATCH("5:POWER|",'DEF_CALL_DECISION_SUPPORT'!$U$1264:$U$1440,0)+1264-1,0)&gt;0,IFERROR(MATCH("5:POWER|",'DEF_CALL_DECISION_SUPPORT'!$U$1264:$U$1440,0)+1264-1,0),0)))</f>
        <v>1409</v>
      </c>
    </row>
    <row r="43" spans="1:20" ht="68" customHeight="1">
      <c r="A43" s="8" t="s">
        <v>76</v>
      </c>
      <c r="B43" s="8" t="s">
        <v>737</v>
      </c>
      <c r="C43" s="8" t="s">
        <v>2879</v>
      </c>
      <c r="D43" s="14" t="str">
        <f>IF(T43=0,"Film Review Required",IF(IF($T43=0,"",INDEX('DEF_CALL_DECISION_SUPPORT'!$A$1:$U$1496,$T43,3))&lt;4,"Sample Watch • ","")&amp;(IF(CALL_LOOKUP_BOARD!$L$312="","Film Review Required",IF(IFERROR(MATCH(LEN("2D 11+")&amp;":"&amp;"2D 11+"&amp;"|"&amp;LEN(CALL_LOOKUP_BOARD!$L$312)&amp;":"&amp;CALL_LOOKUP_BOARD!$L$312&amp;"|",'DEF_CALL_DECISION_SUPPORT'!$U$811:$U$1055,0)+811-1,0)&gt;0,"D&amp;D + Concept Match • Concept Proxy",IF(IFERROR(MATCH(LEN(CALL_LOOKUP_BOARD!$L$312)&amp;":"&amp;CALL_LOOKUP_BOARD!$L$312&amp;"|",'DEF_CALL_DECISION_SUPPORT'!$U$1264:$U$1440,0)+1264-1,0)&gt;0,"Broad Concept Proxy","Film Review Required")))))</f>
        <v>Sample Watch • Broad Concept Proxy</v>
      </c>
      <c r="E43" s="8" t="str">
        <f>IF($T43=0,"Film Review Required",INDEX('DEF_CALL_DECISION_SUPPORT'!$A$1:$U$1496,$T43,2))</f>
        <v>REBEL</v>
      </c>
      <c r="F43" s="14" t="str">
        <f>IF($T43=0,"",INDEX('DEF_CALL_DECISION_SUPPORT'!$A$1:$U$1496,$T43,9))</f>
        <v>TRACK</v>
      </c>
      <c r="G43" s="9" t="str">
        <f>IF($T43=0,"No matching defensive sample; film review required.",INDEX('DEF_CALL_DECISION_SUPPORT'!$A$1:$U$1496,$T43,12))</f>
        <v>Track only; not enough sample.</v>
      </c>
      <c r="H43" s="9" t="s">
        <v>2877</v>
      </c>
      <c r="I43" s="10">
        <v>1</v>
      </c>
      <c r="J43" s="11">
        <v>80</v>
      </c>
      <c r="K43" s="15">
        <v>4.829934540791119E-19</v>
      </c>
      <c r="L43" s="14" t="s">
        <v>704</v>
      </c>
      <c r="M43" s="8" t="s">
        <v>2874</v>
      </c>
      <c r="N43" s="10">
        <f>IF($T43=0,"",INDEX('DEF_CALL_DECISION_SUPPORT'!$A$1:$U$1496,$T43,4))</f>
        <v>1.0</v>
      </c>
      <c r="O43" s="10">
        <f>IF($T43=0,"",INDEX('DEF_CALL_DECISION_SUPPORT'!$A$1:$U$1496,$T43,5))</f>
        <v>0.0</v>
      </c>
      <c r="P43" s="11">
        <f>IF($T43=0,"",INDEX('DEF_CALL_DECISION_SUPPORT'!$A$1:$U$1496,$T43,6))</f>
        <v>0.0</v>
      </c>
      <c r="Q43" s="11">
        <f>IF($T43=0,"",INDEX('DEF_CALL_DECISION_SUPPORT'!$A$1:$U$1496,$T43,10))</f>
        <v>100.0</v>
      </c>
      <c r="R43" s="12">
        <v>1</v>
      </c>
      <c r="T43" s="2">
        <f>IF(CALL_LOOKUP_BOARD!$L$312="",0,IF(IFERROR(MATCH(LEN("2D 11+")&amp;":"&amp;"2D 11+"&amp;"|"&amp;LEN(CALL_LOOKUP_BOARD!$L$312)&amp;":"&amp;CALL_LOOKUP_BOARD!$L$312&amp;"|",'DEF_CALL_DECISION_SUPPORT'!$U$811:$U$1055,0)+811-1,0)&gt;0,IFERROR(MATCH(LEN("2D 11+")&amp;":"&amp;"2D 11+"&amp;"|"&amp;LEN(CALL_LOOKUP_BOARD!$L$312)&amp;":"&amp;CALL_LOOKUP_BOARD!$L$312&amp;"|",'DEF_CALL_DECISION_SUPPORT'!$U$811:$U$1055,0)+811-1,0),IFERROR(MATCH(LEN(CALL_LOOKUP_BOARD!$L$312)&amp;":"&amp;CALL_LOOKUP_BOARD!$L$312&amp;"|",'DEF_CALL_DECISION_SUPPORT'!$U$1264:$U$1440,0)+1264-1,0)))</f>
        <v>1409</v>
      </c>
    </row>
    <row r="44" spans="1:20" ht="68" customHeight="1">
      <c r="A44" s="8" t="s">
        <v>92</v>
      </c>
      <c r="B44" s="8" t="s">
        <v>738</v>
      </c>
      <c r="C44" s="8" t="s">
        <v>878</v>
      </c>
      <c r="D44" s="14" t="str">
        <f>IF(T44=0,"Film Review Required",IF(IF($T44=0,"",INDEX('DEF_CALL_DECISION_SUPPORT'!$A$1:$U$1496,$T44,3))&lt;4,"Sample Watch • ","")&amp;(IF(IFERROR(MATCH("6:3D 1-3|3:15H|0:|1:G|",'DEF_CALL_DECISION_SUPPORT'!$U$1448:$U$1491,0)+1448-1,0)&gt;0,"Exact Context Match",IF(IFERROR(MATCH("6:3D 1-3|1:G|",'DEF_CALL_DECISION_SUPPORT'!$U$811:$U$1055,0)+811-1,0)&gt;0,"D&amp;D + Concept Match",IF(IFERROR(MATCH("1:G|",'DEF_CALL_DECISION_SUPPORT'!$U$1264:$U$1440,0)+1264-1,0)&gt;0,"Broad Concept Proxy","Film Review Required")))))</f>
        <v>Film Review Required</v>
      </c>
      <c r="E44" s="8" t="str">
        <f>IF($T44=0,"Film Review Required",INDEX('DEF_CALL_DECISION_SUPPORT'!$A$1:$U$1496,$T44,2))</f>
        <v>Film Review Required</v>
      </c>
      <c r="F44" s="14">
        <f>IF($T44=0,"",INDEX('DEF_CALL_DECISION_SUPPORT'!$A$1:$U$1496,$T44,9))</f>
        <v/>
      </c>
      <c r="G44" s="9" t="str">
        <f>IF($T44=0,"No matching defensive sample; film review required.",INDEX('DEF_CALL_DECISION_SUPPORT'!$A$1:$U$1496,$T44,12))</f>
        <v>No matching defensive sample; film review required.</v>
      </c>
      <c r="H44" s="9" t="s">
        <v>2873</v>
      </c>
      <c r="I44" s="10">
        <v>1</v>
      </c>
      <c r="J44" s="11">
        <v>23</v>
      </c>
      <c r="K44" s="15">
        <v>2.538031489740095E-06</v>
      </c>
      <c r="L44" s="14" t="s">
        <v>700</v>
      </c>
      <c r="M44" s="8" t="s">
        <v>2874</v>
      </c>
      <c r="N44" s="10">
        <f>IF($T44=0,"",INDEX('DEF_CALL_DECISION_SUPPORT'!$A$1:$U$1496,$T44,4))</f>
        <v/>
      </c>
      <c r="O44" s="10">
        <f>IF($T44=0,"",INDEX('DEF_CALL_DECISION_SUPPORT'!$A$1:$U$1496,$T44,5))</f>
        <v/>
      </c>
      <c r="P44" s="11">
        <f>IF($T44=0,"",INDEX('DEF_CALL_DECISION_SUPPORT'!$A$1:$U$1496,$T44,6))</f>
        <v/>
      </c>
      <c r="Q44" s="11">
        <f>IF($T44=0,"",INDEX('DEF_CALL_DECISION_SUPPORT'!$A$1:$U$1496,$T44,10))</f>
        <v/>
      </c>
      <c r="R44" s="12">
        <v>1</v>
      </c>
      <c r="T44" s="2">
        <f>IF(IFERROR(MATCH("6:3D 1-3|3:15H|0:|1:G|",'DEF_CALL_DECISION_SUPPORT'!$U$1448:$U$1491,0)+1448-1,0)&gt;0,IFERROR(MATCH("6:3D 1-3|3:15H|0:|1:G|",'DEF_CALL_DECISION_SUPPORT'!$U$1448:$U$1491,0)+1448-1,0),IF(IFERROR(MATCH("6:3D 1-3|1:G|",'DEF_CALL_DECISION_SUPPORT'!$U$811:$U$1055,0)+811-1,0)&gt;0,IFERROR(MATCH("6:3D 1-3|1:G|",'DEF_CALL_DECISION_SUPPORT'!$U$811:$U$1055,0)+811-1,0),IF(IFERROR(MATCH("1:G|",'DEF_CALL_DECISION_SUPPORT'!$U$1264:$U$1440,0)+1264-1,0)&gt;0,IFERROR(MATCH("1:G|",'DEF_CALL_DECISION_SUPPORT'!$U$1264:$U$1440,0)+1264-1,0),0)))</f>
        <v>0</v>
      </c>
    </row>
    <row r="45" spans="1:20" ht="68" customHeight="1">
      <c r="A45" s="8" t="s">
        <v>92</v>
      </c>
      <c r="B45" s="8" t="s">
        <v>739</v>
      </c>
      <c r="C45" s="8" t="s">
        <v>2875</v>
      </c>
      <c r="D45" s="14" t="str">
        <f>IF(T45=0,"Film Review Required",IF(IF($T45=0,"",INDEX('DEF_CALL_DECISION_SUPPORT'!$A$1:$U$1496,$T45,3))&lt;4,"Sample Watch • ","")&amp;(IF(IFERROR(MATCH("6:3D 1-3|3:15H|3:1X1|0:|",'DEF_CALL_DECISION_SUPPORT'!$U$1448:$U$1491,0)+1448-1,0)&gt;0,"Exact Context Match",IF(IFERROR(MATCH("6:3D 1-3|3:15H|3:1X1|",'DEF_CALL_DECISION_SUPPORT'!$U$589:$U$803,0)+589-1,0)&gt;0,"D&amp;D + personnel + structure",IF(IFERROR(MATCH("6:3D 1-3|3:1X1|",'DEF_CALL_DECISION_SUPPORT'!$U$375:$U$581,0)+375-1,0)&gt;0,"D&amp;D + structure; personnel not conditioned",IF(IFERROR(MATCH("6:3D 1-3|3:15H|",'DEF_CALL_DECISION_SUPPORT'!$U$186:$U$367,0)+186-1,0)&gt;0,"D&amp;D + personnel; structure not conditioned",IF(IFERROR(MATCH("6:3D 1-3|",'DEF_CALL_DECISION_SUPPORT'!$U$10:$U$178,0)+10-1,0)&gt;0,"D&amp;D only; presentation not conditioned","Film Review Required")))))))</f>
        <v>Sample Watch • D&amp;D only; presentation not conditioned</v>
      </c>
      <c r="E45" s="8" t="str">
        <f>IF($T45=0,"Film Review Required",INDEX('DEF_CALL_DECISION_SUPPORT'!$A$1:$U$1496,$T45,2))</f>
        <v>$ BANJO POP POP</v>
      </c>
      <c r="F45" s="14" t="str">
        <f>IF($T45=0,"",INDEX('DEF_CALL_DECISION_SUPPORT'!$A$1:$U$1496,$T45,9))</f>
        <v>TRACK</v>
      </c>
      <c r="G45" s="9" t="str">
        <f>IF($T45=0,"No matching defensive sample; film review required.",INDEX('DEF_CALL_DECISION_SUPPORT'!$A$1:$U$1496,$T45,12))</f>
        <v>Track only; not enough sample.</v>
      </c>
      <c r="H45" s="9" t="s">
        <v>2873</v>
      </c>
      <c r="I45" s="10">
        <v>1</v>
      </c>
      <c r="J45" s="11">
        <v>82</v>
      </c>
      <c r="K45" s="15">
        <v>1.755338098826736E-19</v>
      </c>
      <c r="L45" s="14" t="s">
        <v>700</v>
      </c>
      <c r="M45" s="8" t="s">
        <v>2874</v>
      </c>
      <c r="N45" s="10">
        <f>IF($T45=0,"",INDEX('DEF_CALL_DECISION_SUPPORT'!$A$1:$U$1496,$T45,4))</f>
        <v>1.0</v>
      </c>
      <c r="O45" s="10">
        <f>IF($T45=0,"",INDEX('DEF_CALL_DECISION_SUPPORT'!$A$1:$U$1496,$T45,5))</f>
        <v>0.0</v>
      </c>
      <c r="P45" s="11">
        <f>IF($T45=0,"",INDEX('DEF_CALL_DECISION_SUPPORT'!$A$1:$U$1496,$T45,6))</f>
        <v>0.0</v>
      </c>
      <c r="Q45" s="11">
        <f>IF($T45=0,"",INDEX('DEF_CALL_DECISION_SUPPORT'!$A$1:$U$1496,$T45,10))</f>
        <v>100.0</v>
      </c>
      <c r="R45" s="12">
        <v>1</v>
      </c>
      <c r="T45" s="2">
        <f>IF(IFERROR(MATCH("6:3D 1-3|3:15H|3:1X1|0:|",'DEF_CALL_DECISION_SUPPORT'!$U$1448:$U$1491,0)+1448-1,0)&gt;0,IFERROR(MATCH("6:3D 1-3|3:15H|3:1X1|0:|",'DEF_CALL_DECISION_SUPPORT'!$U$1448:$U$1491,0)+1448-1,0),IF(IFERROR(MATCH("6:3D 1-3|3:15H|3:1X1|",'DEF_CALL_DECISION_SUPPORT'!$U$589:$U$803,0)+589-1,0)&gt;0,IFERROR(MATCH("6:3D 1-3|3:15H|3:1X1|",'DEF_CALL_DECISION_SUPPORT'!$U$589:$U$803,0)+589-1,0),IF(IFERROR(MATCH("6:3D 1-3|3:1X1|",'DEF_CALL_DECISION_SUPPORT'!$U$375:$U$581,0)+375-1,0)&gt;0,IFERROR(MATCH("6:3D 1-3|3:1X1|",'DEF_CALL_DECISION_SUPPORT'!$U$375:$U$581,0)+375-1,0),IF(IFERROR(MATCH("6:3D 1-3|3:15H|",'DEF_CALL_DECISION_SUPPORT'!$U$186:$U$367,0)+186-1,0)&gt;0,IFERROR(MATCH("6:3D 1-3|3:15H|",'DEF_CALL_DECISION_SUPPORT'!$U$186:$U$367,0)+186-1,0),IF(IFERROR(MATCH("6:3D 1-3|",'DEF_CALL_DECISION_SUPPORT'!$U$10:$U$178,0)+10-1,0)&gt;0,IFERROR(MATCH("6:3D 1-3|",'DEF_CALL_DECISION_SUPPORT'!$U$10:$U$178,0)+10-1,0),0)))))</f>
        <v>112</v>
      </c>
    </row>
    <row r="46" spans="1:20" ht="68" customHeight="1">
      <c r="A46" s="8" t="s">
        <v>92</v>
      </c>
      <c r="B46" s="8" t="s">
        <v>740</v>
      </c>
      <c r="C46" s="8" t="s">
        <v>878</v>
      </c>
      <c r="D46" s="14" t="str">
        <f>IF(T46=0,"Film Review Required",IF(IF($T46=0,"",INDEX('DEF_CALL_DECISION_SUPPORT'!$A$1:$U$1496,$T46,3))&lt;4,"Sample Watch • ","")&amp;(IF(IFERROR(MATCH("6:3D 1-3|0:|3:1X1|1:G|",'DEF_CALL_DECISION_SUPPORT'!$U$1448:$U$1491,0)+1448-1,0)&gt;0,"Exact Context Match",IF(IFERROR(MATCH("6:3D 1-3|1:G|",'DEF_CALL_DECISION_SUPPORT'!$U$811:$U$1055,0)+811-1,0)&gt;0,"D&amp;D + Concept Match",IF(IFERROR(MATCH("1:G|",'DEF_CALL_DECISION_SUPPORT'!$U$1264:$U$1440,0)+1264-1,0)&gt;0,"Broad Concept Proxy","Film Review Required")))))</f>
        <v>Film Review Required</v>
      </c>
      <c r="E46" s="8" t="str">
        <f>IF($T46=0,"Film Review Required",INDEX('DEF_CALL_DECISION_SUPPORT'!$A$1:$U$1496,$T46,2))</f>
        <v>Film Review Required</v>
      </c>
      <c r="F46" s="14">
        <f>IF($T46=0,"",INDEX('DEF_CALL_DECISION_SUPPORT'!$A$1:$U$1496,$T46,9))</f>
        <v/>
      </c>
      <c r="G46" s="9" t="str">
        <f>IF($T46=0,"No matching defensive sample; film review required.",INDEX('DEF_CALL_DECISION_SUPPORT'!$A$1:$U$1496,$T46,12))</f>
        <v>No matching defensive sample; film review required.</v>
      </c>
      <c r="H46" s="9" t="s">
        <v>2873</v>
      </c>
      <c r="I46" s="10">
        <v>1</v>
      </c>
      <c r="J46" s="11">
        <v>22.85714285714286</v>
      </c>
      <c r="K46" s="15">
        <v>2.734173458838461E-06</v>
      </c>
      <c r="L46" s="14" t="s">
        <v>700</v>
      </c>
      <c r="M46" s="8" t="s">
        <v>2874</v>
      </c>
      <c r="N46" s="10">
        <f>IF($T46=0,"",INDEX('DEF_CALL_DECISION_SUPPORT'!$A$1:$U$1496,$T46,4))</f>
        <v/>
      </c>
      <c r="O46" s="10">
        <f>IF($T46=0,"",INDEX('DEF_CALL_DECISION_SUPPORT'!$A$1:$U$1496,$T46,5))</f>
        <v/>
      </c>
      <c r="P46" s="11">
        <f>IF($T46=0,"",INDEX('DEF_CALL_DECISION_SUPPORT'!$A$1:$U$1496,$T46,6))</f>
        <v/>
      </c>
      <c r="Q46" s="11">
        <f>IF($T46=0,"",INDEX('DEF_CALL_DECISION_SUPPORT'!$A$1:$U$1496,$T46,10))</f>
        <v/>
      </c>
      <c r="R46" s="12">
        <v>1</v>
      </c>
      <c r="T46" s="2">
        <f>IF(IFERROR(MATCH("6:3D 1-3|0:|3:1X1|1:G|",'DEF_CALL_DECISION_SUPPORT'!$U$1448:$U$1491,0)+1448-1,0)&gt;0,IFERROR(MATCH("6:3D 1-3|0:|3:1X1|1:G|",'DEF_CALL_DECISION_SUPPORT'!$U$1448:$U$1491,0)+1448-1,0),IF(IFERROR(MATCH("6:3D 1-3|1:G|",'DEF_CALL_DECISION_SUPPORT'!$U$811:$U$1055,0)+811-1,0)&gt;0,IFERROR(MATCH("6:3D 1-3|1:G|",'DEF_CALL_DECISION_SUPPORT'!$U$811:$U$1055,0)+811-1,0),IF(IFERROR(MATCH("1:G|",'DEF_CALL_DECISION_SUPPORT'!$U$1264:$U$1440,0)+1264-1,0)&gt;0,IFERROR(MATCH("1:G|",'DEF_CALL_DECISION_SUPPORT'!$U$1264:$U$1440,0)+1264-1,0),0)))</f>
        <v>0</v>
      </c>
    </row>
    <row r="47" spans="1:20" ht="68" customHeight="1">
      <c r="A47" s="8" t="s">
        <v>92</v>
      </c>
      <c r="B47" s="8" t="s">
        <v>741</v>
      </c>
      <c r="C47" s="8" t="s">
        <v>2885</v>
      </c>
      <c r="D47" s="14" t="str">
        <f>IF(T47=0,"Film Review Required",IF(IF($T47=0,"",INDEX('DEF_CALL_DECISION_SUPPORT'!$A$1:$U$1496,$T47,3))&lt;4,"Sample Watch • ","")&amp;(IF(CALL_LOOKUP_BOARD!$L$350="","Film Review Required",IF(IFERROR(MATCH(LEN("3D 1-3")&amp;":"&amp;"3D 1-3"&amp;"|"&amp;LEN(CALL_LOOKUP_BOARD!$L$350)&amp;":"&amp;CALL_LOOKUP_BOARD!$L$350&amp;"|",'DEF_CALL_DECISION_SUPPORT'!$U$811:$U$1055,0)+811-1,0)&gt;0,"D&amp;D + Concept Match • Concept Proxy",IF(IFERROR(MATCH(LEN(CALL_LOOKUP_BOARD!$L$350)&amp;":"&amp;CALL_LOOKUP_BOARD!$L$350&amp;"|",'DEF_CALL_DECISION_SUPPORT'!$U$1264:$U$1440,0)+1264-1,0)&gt;0,"Broad Concept Proxy","Film Review Required")))))</f>
        <v>Sample Watch • Broad Concept Proxy</v>
      </c>
      <c r="E47" s="8" t="str">
        <f>IF($T47=0,"Film Review Required",INDEX('DEF_CALL_DECISION_SUPPORT'!$A$1:$U$1496,$T47,2))</f>
        <v>BOURBON</v>
      </c>
      <c r="F47" s="14" t="str">
        <f>IF($T47=0,"",INDEX('DEF_CALL_DECISION_SUPPORT'!$A$1:$U$1496,$T47,9))</f>
        <v>TRACK</v>
      </c>
      <c r="G47" s="9" t="str">
        <f>IF($T47=0,"No matching defensive sample; film review required.",INDEX('DEF_CALL_DECISION_SUPPORT'!$A$1:$U$1496,$T47,12))</f>
        <v>Track only; not enough sample.</v>
      </c>
      <c r="H47" s="9" t="s">
        <v>2877</v>
      </c>
      <c r="I47" s="10">
        <v>1</v>
      </c>
      <c r="J47" s="11">
        <v>161</v>
      </c>
      <c r="K47" s="15">
        <v>6.841707543855235E-37</v>
      </c>
      <c r="L47" s="14" t="s">
        <v>704</v>
      </c>
      <c r="M47" s="8" t="s">
        <v>2874</v>
      </c>
      <c r="N47" s="10">
        <f>IF($T47=0,"",INDEX('DEF_CALL_DECISION_SUPPORT'!$A$1:$U$1496,$T47,4))</f>
        <v>1.0</v>
      </c>
      <c r="O47" s="10">
        <f>IF($T47=0,"",INDEX('DEF_CALL_DECISION_SUPPORT'!$A$1:$U$1496,$T47,5))</f>
        <v>0.0</v>
      </c>
      <c r="P47" s="11">
        <f>IF($T47=0,"",INDEX('DEF_CALL_DECISION_SUPPORT'!$A$1:$U$1496,$T47,6))</f>
        <v>0.0</v>
      </c>
      <c r="Q47" s="11">
        <f>IF($T47=0,"",INDEX('DEF_CALL_DECISION_SUPPORT'!$A$1:$U$1496,$T47,10))</f>
        <v>100.0</v>
      </c>
      <c r="R47" s="12">
        <v>1</v>
      </c>
      <c r="T47" s="2">
        <f>IF(CALL_LOOKUP_BOARD!$L$350="",0,IF(IFERROR(MATCH(LEN("3D 1-3")&amp;":"&amp;"3D 1-3"&amp;"|"&amp;LEN(CALL_LOOKUP_BOARD!$L$350)&amp;":"&amp;CALL_LOOKUP_BOARD!$L$350&amp;"|",'DEF_CALL_DECISION_SUPPORT'!$U$811:$U$1055,0)+811-1,0)&gt;0,IFERROR(MATCH(LEN("3D 1-3")&amp;":"&amp;"3D 1-3"&amp;"|"&amp;LEN(CALL_LOOKUP_BOARD!$L$350)&amp;":"&amp;CALL_LOOKUP_BOARD!$L$350&amp;"|",'DEF_CALL_DECISION_SUPPORT'!$U$811:$U$1055,0)+811-1,0),IFERROR(MATCH(LEN(CALL_LOOKUP_BOARD!$L$350)&amp;":"&amp;CALL_LOOKUP_BOARD!$L$350&amp;"|",'DEF_CALL_DECISION_SUPPORT'!$U$1264:$U$1440,0)+1264-1,0)))</f>
        <v>1426</v>
      </c>
    </row>
    <row r="48" spans="1:20" ht="68" customHeight="1">
      <c r="A48" s="8" t="s">
        <v>103</v>
      </c>
      <c r="B48" s="8" t="s">
        <v>742</v>
      </c>
      <c r="C48" s="8" t="s">
        <v>449</v>
      </c>
      <c r="D48" s="14" t="str">
        <f>IF(T48=0,"Film Review Required",IF(IF($T48=0,"",INDEX('DEF_CALL_DECISION_SUPPORT'!$A$1:$U$1496,$T48,3))&lt;4,"Sample Watch • ","")&amp;(IF(IFERROR(MATCH("6:3D 4-6|2:11|0:|6:5 STEP|",'DEF_CALL_DECISION_SUPPORT'!$U$1448:$U$1491,0)+1448-1,0)&gt;0,"Exact Context Match",IF(IFERROR(MATCH("6:3D 4-6|6:5 STEP|",'DEF_CALL_DECISION_SUPPORT'!$U$811:$U$1055,0)+811-1,0)&gt;0,"D&amp;D + Concept Match",IF(IFERROR(MATCH("6:5 STEP|",'DEF_CALL_DECISION_SUPPORT'!$U$1264:$U$1440,0)+1264-1,0)&gt;0,"Broad Concept Proxy","Film Review Required")))))</f>
        <v>Sample Watch • Exact Context Match</v>
      </c>
      <c r="E48" s="8" t="str">
        <f>IF($T48=0,"Film Review Required",INDEX('DEF_CALL_DECISION_SUPPORT'!$A$1:$U$1496,$T48,2))</f>
        <v>9 MOW</v>
      </c>
      <c r="F48" s="14" t="str">
        <f>IF($T48=0,"",INDEX('DEF_CALL_DECISION_SUPPORT'!$A$1:$U$1496,$T48,9))</f>
        <v>TRACK</v>
      </c>
      <c r="G48" s="9" t="str">
        <f>IF($T48=0,"No matching defensive sample; film review required.",INDEX('DEF_CALL_DECISION_SUPPORT'!$A$1:$U$1496,$T48,12))</f>
        <v>Track only; not enough sample.</v>
      </c>
      <c r="H48" s="9" t="s">
        <v>2873</v>
      </c>
      <c r="I48" s="10">
        <v>0.5454545454545454</v>
      </c>
      <c r="J48" s="11">
        <v>2.927272727272727</v>
      </c>
      <c r="K48" s="15">
        <v>0.001529276580946609</v>
      </c>
      <c r="L48" s="14" t="s">
        <v>700</v>
      </c>
      <c r="M48" s="8" t="s">
        <v>2874</v>
      </c>
      <c r="N48" s="10">
        <f>IF($T48=0,"",INDEX('DEF_CALL_DECISION_SUPPORT'!$A$1:$U$1496,$T48,4))</f>
        <v>1.0</v>
      </c>
      <c r="O48" s="10">
        <f>IF($T48=0,"",INDEX('DEF_CALL_DECISION_SUPPORT'!$A$1:$U$1496,$T48,5))</f>
        <v>0.0</v>
      </c>
      <c r="P48" s="11">
        <f>IF($T48=0,"",INDEX('DEF_CALL_DECISION_SUPPORT'!$A$1:$U$1496,$T48,6))</f>
        <v>-2.0</v>
      </c>
      <c r="Q48" s="11">
        <f>IF($T48=0,"",INDEX('DEF_CALL_DECISION_SUPPORT'!$A$1:$U$1496,$T48,10))</f>
        <v>100.0</v>
      </c>
      <c r="R48" s="12">
        <v>6</v>
      </c>
      <c r="T48" s="2">
        <f>IF(IFERROR(MATCH("6:3D 4-6|2:11|0:|6:5 STEP|",'DEF_CALL_DECISION_SUPPORT'!$U$1448:$U$1491,0)+1448-1,0)&gt;0,IFERROR(MATCH("6:3D 4-6|2:11|0:|6:5 STEP|",'DEF_CALL_DECISION_SUPPORT'!$U$1448:$U$1491,0)+1448-1,0),IF(IFERROR(MATCH("6:3D 4-6|6:5 STEP|",'DEF_CALL_DECISION_SUPPORT'!$U$811:$U$1055,0)+811-1,0)&gt;0,IFERROR(MATCH("6:3D 4-6|6:5 STEP|",'DEF_CALL_DECISION_SUPPORT'!$U$811:$U$1055,0)+811-1,0),IF(IFERROR(MATCH("6:5 STEP|",'DEF_CALL_DECISION_SUPPORT'!$U$1264:$U$1440,0)+1264-1,0)&gt;0,IFERROR(MATCH("6:5 STEP|",'DEF_CALL_DECISION_SUPPORT'!$U$1264:$U$1440,0)+1264-1,0),0)))</f>
        <v>1459</v>
      </c>
    </row>
    <row r="49" spans="1:20" ht="68" customHeight="1">
      <c r="A49" s="8" t="s">
        <v>103</v>
      </c>
      <c r="B49" s="8" t="s">
        <v>726</v>
      </c>
      <c r="C49" s="8" t="s">
        <v>2875</v>
      </c>
      <c r="D49" s="14" t="str">
        <f>IF(T49=0,"Film Review Required",IF(IF($T49=0,"",INDEX('DEF_CALL_DECISION_SUPPORT'!$A$1:$U$1496,$T49,3))&lt;4,"Sample Watch • ","")&amp;(IF(IFERROR(MATCH("6:3D 4-6|2:11|3:3X1|0:|",'DEF_CALL_DECISION_SUPPORT'!$U$1448:$U$1491,0)+1448-1,0)&gt;0,"Exact Context Match",IF(IFERROR(MATCH("6:3D 4-6|2:11|3:3X1|",'DEF_CALL_DECISION_SUPPORT'!$U$589:$U$803,0)+589-1,0)&gt;0,"D&amp;D + personnel + structure",IF(IFERROR(MATCH("6:3D 4-6|3:3X1|",'DEF_CALL_DECISION_SUPPORT'!$U$375:$U$581,0)+375-1,0)&gt;0,"D&amp;D + structure; personnel not conditioned",IF(IFERROR(MATCH("6:3D 4-6|2:11|",'DEF_CALL_DECISION_SUPPORT'!$U$186:$U$367,0)+186-1,0)&gt;0,"D&amp;D + personnel; structure not conditioned",IF(IFERROR(MATCH("6:3D 4-6|",'DEF_CALL_DECISION_SUPPORT'!$U$10:$U$178,0)+10-1,0)&gt;0,"D&amp;D only; presentation not conditioned","Film Review Required")))))))</f>
        <v>Sample Watch • Exact Context Match</v>
      </c>
      <c r="E49" s="8" t="str">
        <f>IF($T49=0,"Film Review Required",INDEX('DEF_CALL_DECISION_SUPPORT'!$A$1:$U$1496,$T49,2))</f>
        <v>PIT FALCON</v>
      </c>
      <c r="F49" s="14" t="str">
        <f>IF($T49=0,"",INDEX('DEF_CALL_DECISION_SUPPORT'!$A$1:$U$1496,$T49,9))</f>
        <v>TRACK</v>
      </c>
      <c r="G49" s="9" t="str">
        <f>IF($T49=0,"No matching defensive sample; film review required.",INDEX('DEF_CALL_DECISION_SUPPORT'!$A$1:$U$1496,$T49,12))</f>
        <v>Track only; not enough sample.</v>
      </c>
      <c r="H49" s="9" t="s">
        <v>2873</v>
      </c>
      <c r="I49" s="10">
        <v>0.8181818181818182</v>
      </c>
      <c r="J49" s="11">
        <v>2.096590909090909</v>
      </c>
      <c r="K49" s="15">
        <v>0.002592231563941484</v>
      </c>
      <c r="L49" s="14" t="s">
        <v>700</v>
      </c>
      <c r="M49" s="8" t="s">
        <v>2874</v>
      </c>
      <c r="N49" s="10">
        <f>IF($T49=0,"",INDEX('DEF_CALL_DECISION_SUPPORT'!$A$1:$U$1496,$T49,4))</f>
        <v>0.5</v>
      </c>
      <c r="O49" s="10">
        <f>IF($T49=0,"",INDEX('DEF_CALL_DECISION_SUPPORT'!$A$1:$U$1496,$T49,5))</f>
        <v>0.0</v>
      </c>
      <c r="P49" s="11">
        <f>IF($T49=0,"",INDEX('DEF_CALL_DECISION_SUPPORT'!$A$1:$U$1496,$T49,6))</f>
        <v>6.0</v>
      </c>
      <c r="Q49" s="11">
        <f>IF($T49=0,"",INDEX('DEF_CALL_DECISION_SUPPORT'!$A$1:$U$1496,$T49,10))</f>
        <v>59.0</v>
      </c>
      <c r="R49" s="12">
        <v>9</v>
      </c>
      <c r="T49" s="2">
        <f>IF(IFERROR(MATCH("6:3D 4-6|2:11|3:3X1|0:|",'DEF_CALL_DECISION_SUPPORT'!$U$1448:$U$1491,0)+1448-1,0)&gt;0,IFERROR(MATCH("6:3D 4-6|2:11|3:3X1|0:|",'DEF_CALL_DECISION_SUPPORT'!$U$1448:$U$1491,0)+1448-1,0),IF(IFERROR(MATCH("6:3D 4-6|2:11|3:3X1|",'DEF_CALL_DECISION_SUPPORT'!$U$589:$U$803,0)+589-1,0)&gt;0,IFERROR(MATCH("6:3D 4-6|2:11|3:3X1|",'DEF_CALL_DECISION_SUPPORT'!$U$589:$U$803,0)+589-1,0),IF(IFERROR(MATCH("6:3D 4-6|3:3X1|",'DEF_CALL_DECISION_SUPPORT'!$U$375:$U$581,0)+375-1,0)&gt;0,IFERROR(MATCH("6:3D 4-6|3:3X1|",'DEF_CALL_DECISION_SUPPORT'!$U$375:$U$581,0)+375-1,0),IF(IFERROR(MATCH("6:3D 4-6|2:11|",'DEF_CALL_DECISION_SUPPORT'!$U$186:$U$367,0)+186-1,0)&gt;0,IFERROR(MATCH("6:3D 4-6|2:11|",'DEF_CALL_DECISION_SUPPORT'!$U$186:$U$367,0)+186-1,0),IF(IFERROR(MATCH("6:3D 4-6|",'DEF_CALL_DECISION_SUPPORT'!$U$10:$U$178,0)+10-1,0)&gt;0,IFERROR(MATCH("6:3D 4-6|",'DEF_CALL_DECISION_SUPPORT'!$U$10:$U$178,0)+10-1,0),0)))))</f>
        <v>1472</v>
      </c>
    </row>
    <row r="50" spans="1:20" ht="68" customHeight="1">
      <c r="A50" s="8" t="s">
        <v>103</v>
      </c>
      <c r="B50" s="8" t="s">
        <v>702</v>
      </c>
      <c r="C50" s="8" t="s">
        <v>878</v>
      </c>
      <c r="D50" s="14" t="str">
        <f>IF(T50=0,"Film Review Required",IF(IF($T50=0,"",INDEX('DEF_CALL_DECISION_SUPPORT'!$A$1:$U$1496,$T50,3))&lt;4,"Sample Watch • ","")&amp;(IF(IFERROR(MATCH("6:3D 4-6|0:|3:2X1|1:G|",'DEF_CALL_DECISION_SUPPORT'!$U$1448:$U$1491,0)+1448-1,0)&gt;0,"Exact Context Match",IF(IFERROR(MATCH("6:3D 4-6|1:G|",'DEF_CALL_DECISION_SUPPORT'!$U$811:$U$1055,0)+811-1,0)&gt;0,"D&amp;D + Concept Match",IF(IFERROR(MATCH("1:G|",'DEF_CALL_DECISION_SUPPORT'!$U$1264:$U$1440,0)+1264-1,0)&gt;0,"Broad Concept Proxy","Film Review Required")))))</f>
        <v>Film Review Required</v>
      </c>
      <c r="E50" s="8" t="str">
        <f>IF($T50=0,"Film Review Required",INDEX('DEF_CALL_DECISION_SUPPORT'!$A$1:$U$1496,$T50,2))</f>
        <v>Film Review Required</v>
      </c>
      <c r="F50" s="14">
        <f>IF($T50=0,"",INDEX('DEF_CALL_DECISION_SUPPORT'!$A$1:$U$1496,$T50,9))</f>
        <v/>
      </c>
      <c r="G50" s="9" t="str">
        <f>IF($T50=0,"No matching defensive sample; film review required.",INDEX('DEF_CALL_DECISION_SUPPORT'!$A$1:$U$1496,$T50,12))</f>
        <v>No matching defensive sample; film review required.</v>
      </c>
      <c r="H50" s="9" t="s">
        <v>2873</v>
      </c>
      <c r="I50" s="10">
        <v>1</v>
      </c>
      <c r="J50" s="11">
        <v>22.85714285714286</v>
      </c>
      <c r="K50" s="15">
        <v>2.734173458838461E-06</v>
      </c>
      <c r="L50" s="14" t="s">
        <v>700</v>
      </c>
      <c r="M50" s="8" t="s">
        <v>2874</v>
      </c>
      <c r="N50" s="10">
        <f>IF($T50=0,"",INDEX('DEF_CALL_DECISION_SUPPORT'!$A$1:$U$1496,$T50,4))</f>
        <v/>
      </c>
      <c r="O50" s="10">
        <f>IF($T50=0,"",INDEX('DEF_CALL_DECISION_SUPPORT'!$A$1:$U$1496,$T50,5))</f>
        <v/>
      </c>
      <c r="P50" s="11">
        <f>IF($T50=0,"",INDEX('DEF_CALL_DECISION_SUPPORT'!$A$1:$U$1496,$T50,6))</f>
        <v/>
      </c>
      <c r="Q50" s="11">
        <f>IF($T50=0,"",INDEX('DEF_CALL_DECISION_SUPPORT'!$A$1:$U$1496,$T50,10))</f>
        <v/>
      </c>
      <c r="R50" s="12">
        <v>1</v>
      </c>
      <c r="T50" s="2">
        <f>IF(IFERROR(MATCH("6:3D 4-6|0:|3:2X1|1:G|",'DEF_CALL_DECISION_SUPPORT'!$U$1448:$U$1491,0)+1448-1,0)&gt;0,IFERROR(MATCH("6:3D 4-6|0:|3:2X1|1:G|",'DEF_CALL_DECISION_SUPPORT'!$U$1448:$U$1491,0)+1448-1,0),IF(IFERROR(MATCH("6:3D 4-6|1:G|",'DEF_CALL_DECISION_SUPPORT'!$U$811:$U$1055,0)+811-1,0)&gt;0,IFERROR(MATCH("6:3D 4-6|1:G|",'DEF_CALL_DECISION_SUPPORT'!$U$811:$U$1055,0)+811-1,0),IF(IFERROR(MATCH("1:G|",'DEF_CALL_DECISION_SUPPORT'!$U$1264:$U$1440,0)+1264-1,0)&gt;0,IFERROR(MATCH("1:G|",'DEF_CALL_DECISION_SUPPORT'!$U$1264:$U$1440,0)+1264-1,0),0)))</f>
        <v>0</v>
      </c>
    </row>
    <row r="51" spans="1:20" ht="68" customHeight="1">
      <c r="A51" s="8" t="s">
        <v>103</v>
      </c>
      <c r="B51" s="8" t="s">
        <v>743</v>
      </c>
      <c r="C51" s="8" t="s">
        <v>2886</v>
      </c>
      <c r="D51" s="14" t="str">
        <f>IF(T51=0,"Film Review Required",IF(IF($T51=0,"",INDEX('DEF_CALL_DECISION_SUPPORT'!$A$1:$U$1496,$T51,3))&lt;4,"Sample Watch • ","")&amp;(IF(CALL_LOOKUP_BOARD!$L$360="","Film Review Required",IF(IFERROR(MATCH(LEN("3D 4-6")&amp;":"&amp;"3D 4-6"&amp;"|"&amp;LEN(CALL_LOOKUP_BOARD!$L$360)&amp;":"&amp;CALL_LOOKUP_BOARD!$L$360&amp;"|",'DEF_CALL_DECISION_SUPPORT'!$U$811:$U$1055,0)+811-1,0)&gt;0,"D&amp;D + Concept Match • Concept Proxy",IF(IFERROR(MATCH(LEN(CALL_LOOKUP_BOARD!$L$360)&amp;":"&amp;CALL_LOOKUP_BOARD!$L$360&amp;"|",'DEF_CALL_DECISION_SUPPORT'!$U$1264:$U$1440,0)+1264-1,0)&gt;0,"Broad Concept Proxy","Film Review Required")))))</f>
        <v>Film Review Required</v>
      </c>
      <c r="E51" s="8" t="str">
        <f>IF($T51=0,"Film Review Required",INDEX('DEF_CALL_DECISION_SUPPORT'!$A$1:$U$1496,$T51,2))</f>
        <v>Film Review Required</v>
      </c>
      <c r="F51" s="14">
        <f>IF($T51=0,"",INDEX('DEF_CALL_DECISION_SUPPORT'!$A$1:$U$1496,$T51,9))</f>
        <v/>
      </c>
      <c r="G51" s="9" t="str">
        <f>IF($T51=0,"No matching defensive sample; film review required.",INDEX('DEF_CALL_DECISION_SUPPORT'!$A$1:$U$1496,$T51,12))</f>
        <v>No matching defensive sample; film review required.</v>
      </c>
      <c r="H51" s="9" t="s">
        <v>2877</v>
      </c>
      <c r="I51" s="10">
        <v>1</v>
      </c>
      <c r="J51" s="11">
        <v>161</v>
      </c>
      <c r="K51" s="15">
        <v>6.841707543855235E-37</v>
      </c>
      <c r="L51" s="14" t="s">
        <v>704</v>
      </c>
      <c r="M51" s="8" t="s">
        <v>2874</v>
      </c>
      <c r="N51" s="10">
        <f>IF($T51=0,"",INDEX('DEF_CALL_DECISION_SUPPORT'!$A$1:$U$1496,$T51,4))</f>
        <v/>
      </c>
      <c r="O51" s="10">
        <f>IF($T51=0,"",INDEX('DEF_CALL_DECISION_SUPPORT'!$A$1:$U$1496,$T51,5))</f>
        <v/>
      </c>
      <c r="P51" s="11">
        <f>IF($T51=0,"",INDEX('DEF_CALL_DECISION_SUPPORT'!$A$1:$U$1496,$T51,6))</f>
        <v/>
      </c>
      <c r="Q51" s="11">
        <f>IF($T51=0,"",INDEX('DEF_CALL_DECISION_SUPPORT'!$A$1:$U$1496,$T51,10))</f>
        <v/>
      </c>
      <c r="R51" s="12">
        <v>1</v>
      </c>
      <c r="T51" s="2">
        <f>IF(CALL_LOOKUP_BOARD!$L$360="",0,IF(IFERROR(MATCH(LEN("3D 4-6")&amp;":"&amp;"3D 4-6"&amp;"|"&amp;LEN(CALL_LOOKUP_BOARD!$L$360)&amp;":"&amp;CALL_LOOKUP_BOARD!$L$360&amp;"|",'DEF_CALL_DECISION_SUPPORT'!$U$811:$U$1055,0)+811-1,0)&gt;0,IFERROR(MATCH(LEN("3D 4-6")&amp;":"&amp;"3D 4-6"&amp;"|"&amp;LEN(CALL_LOOKUP_BOARD!$L$360)&amp;":"&amp;CALL_LOOKUP_BOARD!$L$360&amp;"|",'DEF_CALL_DECISION_SUPPORT'!$U$811:$U$1055,0)+811-1,0),IFERROR(MATCH(LEN(CALL_LOOKUP_BOARD!$L$360)&amp;":"&amp;CALL_LOOKUP_BOARD!$L$360&amp;"|",'DEF_CALL_DECISION_SUPPORT'!$U$1264:$U$1440,0)+1264-1,0)))</f>
        <v>0</v>
      </c>
    </row>
    <row r="52" spans="1:20" ht="68" customHeight="1">
      <c r="A52" s="8" t="s">
        <v>107</v>
      </c>
      <c r="B52" s="8" t="s">
        <v>742</v>
      </c>
      <c r="C52" s="8" t="s">
        <v>449</v>
      </c>
      <c r="D52" s="14" t="str">
        <f>IF(T52=0,"Film Review Required",IF(IF($T52=0,"",INDEX('DEF_CALL_DECISION_SUPPORT'!$A$1:$U$1496,$T52,3))&lt;4,"Sample Watch • ","")&amp;(IF(IFERROR(MATCH("7:3D 7-10|2:11|0:|6:5 STEP|",'DEF_CALL_DECISION_SUPPORT'!$U$1448:$U$1491,0)+1448-1,0)&gt;0,"Exact Context Match",IF(IFERROR(MATCH("7:3D 7-10|6:5 STEP|",'DEF_CALL_DECISION_SUPPORT'!$U$811:$U$1055,0)+811-1,0)&gt;0,"D&amp;D + Concept Match",IF(IFERROR(MATCH("6:5 STEP|",'DEF_CALL_DECISION_SUPPORT'!$U$1264:$U$1440,0)+1264-1,0)&gt;0,"Broad Concept Proxy","Film Review Required")))))</f>
        <v>Sample Watch • Exact Context Match</v>
      </c>
      <c r="E52" s="8" t="str">
        <f>IF($T52=0,"Film Review Required",INDEX('DEF_CALL_DECISION_SUPPORT'!$A$1:$U$1496,$T52,2))</f>
        <v>WALL</v>
      </c>
      <c r="F52" s="14" t="str">
        <f>IF($T52=0,"",INDEX('DEF_CALL_DECISION_SUPPORT'!$A$1:$U$1496,$T52,9))</f>
        <v>TRACK</v>
      </c>
      <c r="G52" s="9" t="str">
        <f>IF($T52=0,"No matching defensive sample; film review required.",INDEX('DEF_CALL_DECISION_SUPPORT'!$A$1:$U$1496,$T52,12))</f>
        <v>Track only; not enough sample.</v>
      </c>
      <c r="H52" s="9" t="s">
        <v>2873</v>
      </c>
      <c r="I52" s="10">
        <v>0.6153846153846154</v>
      </c>
      <c r="J52" s="11">
        <v>3.302564102564103</v>
      </c>
      <c r="K52" s="15">
        <v>3.417160240034174E-05</v>
      </c>
      <c r="L52" s="14" t="s">
        <v>700</v>
      </c>
      <c r="M52" s="8" t="s">
        <v>2887</v>
      </c>
      <c r="N52" s="10">
        <f>IF($T52=0,"",INDEX('DEF_CALL_DECISION_SUPPORT'!$A$1:$U$1496,$T52,4))</f>
        <v>1.0</v>
      </c>
      <c r="O52" s="10">
        <f>IF($T52=0,"",INDEX('DEF_CALL_DECISION_SUPPORT'!$A$1:$U$1496,$T52,5))</f>
        <v>0.0</v>
      </c>
      <c r="P52" s="11">
        <f>IF($T52=0,"",INDEX('DEF_CALL_DECISION_SUPPORT'!$A$1:$U$1496,$T52,6))</f>
        <v>0.0</v>
      </c>
      <c r="Q52" s="11">
        <f>IF($T52=0,"",INDEX('DEF_CALL_DECISION_SUPPORT'!$A$1:$U$1496,$T52,10))</f>
        <v>100.0</v>
      </c>
      <c r="R52" s="12">
        <v>8</v>
      </c>
      <c r="T52" s="2">
        <f>IF(IFERROR(MATCH("7:3D 7-10|2:11|0:|6:5 STEP|",'DEF_CALL_DECISION_SUPPORT'!$U$1448:$U$1491,0)+1448-1,0)&gt;0,IFERROR(MATCH("7:3D 7-10|2:11|0:|6:5 STEP|",'DEF_CALL_DECISION_SUPPORT'!$U$1448:$U$1491,0)+1448-1,0),IF(IFERROR(MATCH("7:3D 7-10|6:5 STEP|",'DEF_CALL_DECISION_SUPPORT'!$U$811:$U$1055,0)+811-1,0)&gt;0,IFERROR(MATCH("7:3D 7-10|6:5 STEP|",'DEF_CALL_DECISION_SUPPORT'!$U$811:$U$1055,0)+811-1,0),IF(IFERROR(MATCH("6:5 STEP|",'DEF_CALL_DECISION_SUPPORT'!$U$1264:$U$1440,0)+1264-1,0)&gt;0,IFERROR(MATCH("6:5 STEP|",'DEF_CALL_DECISION_SUPPORT'!$U$1264:$U$1440,0)+1264-1,0),0)))</f>
        <v>1486</v>
      </c>
    </row>
    <row r="53" spans="1:20" ht="68" customHeight="1">
      <c r="A53" s="8" t="s">
        <v>107</v>
      </c>
      <c r="B53" s="8" t="s">
        <v>726</v>
      </c>
      <c r="C53" s="8" t="s">
        <v>2875</v>
      </c>
      <c r="D53" s="14" t="str">
        <f>IF(T53=0,"Film Review Required",IF(IF($T53=0,"",INDEX('DEF_CALL_DECISION_SUPPORT'!$A$1:$U$1496,$T53,3))&lt;4,"Sample Watch • ","")&amp;(IF(IFERROR(MATCH("7:3D 7-10|2:11|3:3X1|0:|",'DEF_CALL_DECISION_SUPPORT'!$U$1448:$U$1491,0)+1448-1,0)&gt;0,"Exact Context Match",IF(IFERROR(MATCH("7:3D 7-10|2:11|3:3X1|",'DEF_CALL_DECISION_SUPPORT'!$U$589:$U$803,0)+589-1,0)&gt;0,"D&amp;D + personnel + structure",IF(IFERROR(MATCH("7:3D 7-10|3:3X1|",'DEF_CALL_DECISION_SUPPORT'!$U$375:$U$581,0)+375-1,0)&gt;0,"D&amp;D + structure; personnel not conditioned",IF(IFERROR(MATCH("7:3D 7-10|2:11|",'DEF_CALL_DECISION_SUPPORT'!$U$186:$U$367,0)+186-1,0)&gt;0,"D&amp;D + personnel; structure not conditioned",IF(IFERROR(MATCH("7:3D 7-10|",'DEF_CALL_DECISION_SUPPORT'!$U$10:$U$178,0)+10-1,0)&gt;0,"D&amp;D only; presentation not conditioned","Film Review Required")))))))</f>
        <v>Sample Watch • Exact Context Match</v>
      </c>
      <c r="E53" s="8" t="str">
        <f>IF($T53=0,"Film Review Required",INDEX('DEF_CALL_DECISION_SUPPORT'!$A$1:$U$1496,$T53,2))</f>
        <v>MIX SMOKE BUC</v>
      </c>
      <c r="F53" s="14" t="str">
        <f>IF($T53=0,"",INDEX('DEF_CALL_DECISION_SUPPORT'!$A$1:$U$1496,$T53,9))</f>
        <v>TRACK</v>
      </c>
      <c r="G53" s="9" t="str">
        <f>IF($T53=0,"No matching defensive sample; film review required.",INDEX('DEF_CALL_DECISION_SUPPORT'!$A$1:$U$1496,$T53,12))</f>
        <v>Track only; not enough sample.</v>
      </c>
      <c r="H53" s="9" t="s">
        <v>2873</v>
      </c>
      <c r="I53" s="10">
        <v>0.6153846153846154</v>
      </c>
      <c r="J53" s="11">
        <v>1.576923076923077</v>
      </c>
      <c r="K53" s="15">
        <v>0.08287279897969441</v>
      </c>
      <c r="L53" s="14" t="s">
        <v>744</v>
      </c>
      <c r="M53" s="8" t="s">
        <v>2887</v>
      </c>
      <c r="N53" s="10">
        <f>IF($T53=0,"",INDEX('DEF_CALL_DECISION_SUPPORT'!$A$1:$U$1496,$T53,4))</f>
        <v>0.0</v>
      </c>
      <c r="O53" s="10">
        <f>IF($T53=0,"",INDEX('DEF_CALL_DECISION_SUPPORT'!$A$1:$U$1496,$T53,5))</f>
        <v>0.0</v>
      </c>
      <c r="P53" s="11">
        <f>IF($T53=0,"",INDEX('DEF_CALL_DECISION_SUPPORT'!$A$1:$U$1496,$T53,6))</f>
        <v>12.0</v>
      </c>
      <c r="Q53" s="11">
        <f>IF($T53=0,"",INDEX('DEF_CALL_DECISION_SUPPORT'!$A$1:$U$1496,$T53,10))</f>
        <v>20.0</v>
      </c>
      <c r="R53" s="12">
        <v>8</v>
      </c>
      <c r="T53" s="2">
        <f>IF(IFERROR(MATCH("7:3D 7-10|2:11|3:3X1|0:|",'DEF_CALL_DECISION_SUPPORT'!$U$1448:$U$1491,0)+1448-1,0)&gt;0,IFERROR(MATCH("7:3D 7-10|2:11|3:3X1|0:|",'DEF_CALL_DECISION_SUPPORT'!$U$1448:$U$1491,0)+1448-1,0),IF(IFERROR(MATCH("7:3D 7-10|2:11|3:3X1|",'DEF_CALL_DECISION_SUPPORT'!$U$589:$U$803,0)+589-1,0)&gt;0,IFERROR(MATCH("7:3D 7-10|2:11|3:3X1|",'DEF_CALL_DECISION_SUPPORT'!$U$589:$U$803,0)+589-1,0),IF(IFERROR(MATCH("7:3D 7-10|3:3X1|",'DEF_CALL_DECISION_SUPPORT'!$U$375:$U$581,0)+375-1,0)&gt;0,IFERROR(MATCH("7:3D 7-10|3:3X1|",'DEF_CALL_DECISION_SUPPORT'!$U$375:$U$581,0)+375-1,0),IF(IFERROR(MATCH("7:3D 7-10|2:11|",'DEF_CALL_DECISION_SUPPORT'!$U$186:$U$367,0)+186-1,0)&gt;0,IFERROR(MATCH("7:3D 7-10|2:11|",'DEF_CALL_DECISION_SUPPORT'!$U$186:$U$367,0)+186-1,0),IF(IFERROR(MATCH("7:3D 7-10|",'DEF_CALL_DECISION_SUPPORT'!$U$10:$U$178,0)+10-1,0)&gt;0,IFERROR(MATCH("7:3D 7-10|",'DEF_CALL_DECISION_SUPPORT'!$U$10:$U$178,0)+10-1,0),0)))))</f>
        <v>1487</v>
      </c>
    </row>
    <row r="54" spans="1:20" ht="68" customHeight="1">
      <c r="A54" s="8" t="s">
        <v>107</v>
      </c>
      <c r="B54" s="8" t="s">
        <v>745</v>
      </c>
      <c r="C54" s="8" t="s">
        <v>449</v>
      </c>
      <c r="D54" s="14" t="str">
        <f>IF(T54=0,"Film Review Required",IF(IF($T54=0,"",INDEX('DEF_CALL_DECISION_SUPPORT'!$A$1:$U$1496,$T54,3))&lt;4,"Sample Watch • ","")&amp;(IF(IFERROR(MATCH("7:3D 7-10|0:|3:2X2|6:5 STEP|",'DEF_CALL_DECISION_SUPPORT'!$U$1448:$U$1491,0)+1448-1,0)&gt;0,"Exact Context Match",IF(IFERROR(MATCH("7:3D 7-10|6:5 STEP|",'DEF_CALL_DECISION_SUPPORT'!$U$811:$U$1055,0)+811-1,0)&gt;0,"D&amp;D + Concept Match",IF(IFERROR(MATCH("6:5 STEP|",'DEF_CALL_DECISION_SUPPORT'!$U$1264:$U$1440,0)+1264-1,0)&gt;0,"Broad Concept Proxy","Film Review Required")))))</f>
        <v>Sample Watch • Exact Context Match</v>
      </c>
      <c r="E54" s="8" t="str">
        <f>IF($T54=0,"Film Review Required",INDEX('DEF_CALL_DECISION_SUPPORT'!$A$1:$U$1496,$T54,2))</f>
        <v>WALL</v>
      </c>
      <c r="F54" s="14" t="str">
        <f>IF($T54=0,"",INDEX('DEF_CALL_DECISION_SUPPORT'!$A$1:$U$1496,$T54,9))</f>
        <v>TRACK</v>
      </c>
      <c r="G54" s="9" t="str">
        <f>IF($T54=0,"No matching defensive sample; film review required.",INDEX('DEF_CALL_DECISION_SUPPORT'!$A$1:$U$1496,$T54,12))</f>
        <v>Track only; not enough sample.</v>
      </c>
      <c r="H54" s="9" t="s">
        <v>2873</v>
      </c>
      <c r="I54" s="10">
        <v>1</v>
      </c>
      <c r="J54" s="11">
        <v>5.333333333333333</v>
      </c>
      <c r="K54" s="15">
        <v>2.482660633880464E-05</v>
      </c>
      <c r="L54" s="14" t="s">
        <v>700</v>
      </c>
      <c r="M54" s="8" t="s">
        <v>2887</v>
      </c>
      <c r="N54" s="10">
        <f>IF($T54=0,"",INDEX('DEF_CALL_DECISION_SUPPORT'!$A$1:$U$1496,$T54,4))</f>
        <v>1.0</v>
      </c>
      <c r="O54" s="10">
        <f>IF($T54=0,"",INDEX('DEF_CALL_DECISION_SUPPORT'!$A$1:$U$1496,$T54,5))</f>
        <v>0.0</v>
      </c>
      <c r="P54" s="11">
        <f>IF($T54=0,"",INDEX('DEF_CALL_DECISION_SUPPORT'!$A$1:$U$1496,$T54,6))</f>
        <v>0.0</v>
      </c>
      <c r="Q54" s="11">
        <f>IF($T54=0,"",INDEX('DEF_CALL_DECISION_SUPPORT'!$A$1:$U$1496,$T54,10))</f>
        <v>100.0</v>
      </c>
      <c r="R54" s="12">
        <v>4</v>
      </c>
      <c r="T54" s="2">
        <f>IF(IFERROR(MATCH("7:3D 7-10|0:|3:2X2|6:5 STEP|",'DEF_CALL_DECISION_SUPPORT'!$U$1448:$U$1491,0)+1448-1,0)&gt;0,IFERROR(MATCH("7:3D 7-10|0:|3:2X2|6:5 STEP|",'DEF_CALL_DECISION_SUPPORT'!$U$1448:$U$1491,0)+1448-1,0),IF(IFERROR(MATCH("7:3D 7-10|6:5 STEP|",'DEF_CALL_DECISION_SUPPORT'!$U$811:$U$1055,0)+811-1,0)&gt;0,IFERROR(MATCH("7:3D 7-10|6:5 STEP|",'DEF_CALL_DECISION_SUPPORT'!$U$811:$U$1055,0)+811-1,0),IF(IFERROR(MATCH("6:5 STEP|",'DEF_CALL_DECISION_SUPPORT'!$U$1264:$U$1440,0)+1264-1,0)&gt;0,IFERROR(MATCH("6:5 STEP|",'DEF_CALL_DECISION_SUPPORT'!$U$1264:$U$1440,0)+1264-1,0),0)))</f>
        <v>1491</v>
      </c>
    </row>
    <row r="55" spans="1:20" ht="68" customHeight="1">
      <c r="A55" s="8" t="s">
        <v>107</v>
      </c>
      <c r="B55" s="8" t="s">
        <v>746</v>
      </c>
      <c r="C55" s="8" t="s">
        <v>2888</v>
      </c>
      <c r="D55" s="14" t="str">
        <f>IF(T55=0,"Film Review Required",IF(IF($T55=0,"",INDEX('DEF_CALL_DECISION_SUPPORT'!$A$1:$U$1496,$T55,3))&lt;4,"Sample Watch • ","")&amp;(IF(CALL_LOOKUP_BOARD!$L$370="","Film Review Required",IF(IFERROR(MATCH(LEN("3D 7-10")&amp;":"&amp;"3D 7-10"&amp;"|"&amp;LEN(CALL_LOOKUP_BOARD!$L$370)&amp;":"&amp;CALL_LOOKUP_BOARD!$L$370&amp;"|",'DEF_CALL_DECISION_SUPPORT'!$U$811:$U$1055,0)+811-1,0)&gt;0,"D&amp;D + Concept Match • Concept Proxy",IF(IFERROR(MATCH(LEN(CALL_LOOKUP_BOARD!$L$370)&amp;":"&amp;CALL_LOOKUP_BOARD!$L$370&amp;"|",'DEF_CALL_DECISION_SUPPORT'!$U$1264:$U$1440,0)+1264-1,0)&gt;0,"Broad Concept Proxy","Film Review Required")))))</f>
        <v>Film Review Required</v>
      </c>
      <c r="E55" s="8" t="str">
        <f>IF($T55=0,"Film Review Required",INDEX('DEF_CALL_DECISION_SUPPORT'!$A$1:$U$1496,$T55,2))</f>
        <v>Film Review Required</v>
      </c>
      <c r="F55" s="14">
        <f>IF($T55=0,"",INDEX('DEF_CALL_DECISION_SUPPORT'!$A$1:$U$1496,$T55,9))</f>
        <v/>
      </c>
      <c r="G55" s="9" t="str">
        <f>IF($T55=0,"No matching defensive sample; film review required.",INDEX('DEF_CALL_DECISION_SUPPORT'!$A$1:$U$1496,$T55,12))</f>
        <v>No matching defensive sample; film review required.</v>
      </c>
      <c r="H55" s="9" t="s">
        <v>2877</v>
      </c>
      <c r="I55" s="10">
        <v>1</v>
      </c>
      <c r="J55" s="11">
        <v>80</v>
      </c>
      <c r="K55" s="15">
        <v>4.829934540791119E-19</v>
      </c>
      <c r="L55" s="14" t="s">
        <v>704</v>
      </c>
      <c r="M55" s="8" t="s">
        <v>2887</v>
      </c>
      <c r="N55" s="10">
        <f>IF($T55=0,"",INDEX('DEF_CALL_DECISION_SUPPORT'!$A$1:$U$1496,$T55,4))</f>
        <v/>
      </c>
      <c r="O55" s="10">
        <f>IF($T55=0,"",INDEX('DEF_CALL_DECISION_SUPPORT'!$A$1:$U$1496,$T55,5))</f>
        <v/>
      </c>
      <c r="P55" s="11">
        <f>IF($T55=0,"",INDEX('DEF_CALL_DECISION_SUPPORT'!$A$1:$U$1496,$T55,6))</f>
        <v/>
      </c>
      <c r="Q55" s="11">
        <f>IF($T55=0,"",INDEX('DEF_CALL_DECISION_SUPPORT'!$A$1:$U$1496,$T55,10))</f>
        <v/>
      </c>
      <c r="R55" s="12">
        <v>1</v>
      </c>
      <c r="T55" s="2">
        <f>IF(CALL_LOOKUP_BOARD!$L$370="",0,IF(IFERROR(MATCH(LEN("3D 7-10")&amp;":"&amp;"3D 7-10"&amp;"|"&amp;LEN(CALL_LOOKUP_BOARD!$L$370)&amp;":"&amp;CALL_LOOKUP_BOARD!$L$370&amp;"|",'DEF_CALL_DECISION_SUPPORT'!$U$811:$U$1055,0)+811-1,0)&gt;0,IFERROR(MATCH(LEN("3D 7-10")&amp;":"&amp;"3D 7-10"&amp;"|"&amp;LEN(CALL_LOOKUP_BOARD!$L$370)&amp;":"&amp;CALL_LOOKUP_BOARD!$L$370&amp;"|",'DEF_CALL_DECISION_SUPPORT'!$U$811:$U$1055,0)+811-1,0),IFERROR(MATCH(LEN(CALL_LOOKUP_BOARD!$L$370)&amp;":"&amp;CALL_LOOKUP_BOARD!$L$370&amp;"|",'DEF_CALL_DECISION_SUPPORT'!$U$1264:$U$1440,0)+1264-1,0)))</f>
        <v>0</v>
      </c>
    </row>
    <row r="56" spans="1:20" ht="68" customHeight="1">
      <c r="A56" s="8" t="s">
        <v>96</v>
      </c>
      <c r="B56" s="8" t="s">
        <v>749</v>
      </c>
      <c r="C56" s="8" t="s">
        <v>474</v>
      </c>
      <c r="D56" s="14" t="str">
        <f>IF(T56=0,"Film Review Required",IF(IF($T56=0,"",INDEX('DEF_CALL_DECISION_SUPPORT'!$A$1:$U$1496,$T56,3))&lt;4,"Sample Watch • ","")&amp;(IF(IFERROR(MATCH("6:3D 11+|2:12|0:|6:SCREEN|",'DEF_CALL_DECISION_SUPPORT'!$U$1448:$U$1491,0)+1448-1,0)&gt;0,"Exact Context Match",IF(IFERROR(MATCH("6:3D 11+|6:SCREEN|",'DEF_CALL_DECISION_SUPPORT'!$U$811:$U$1055,0)+811-1,0)&gt;0,"D&amp;D + Concept Match",IF(IFERROR(MATCH("6:SCREEN|",'DEF_CALL_DECISION_SUPPORT'!$U$1264:$U$1440,0)+1264-1,0)&gt;0,"Broad Concept Proxy","Film Review Required")))))</f>
        <v>Sample Watch • D&amp;D + Concept Match</v>
      </c>
      <c r="E56" s="8" t="str">
        <f>IF($T56=0,"Film Review Required",INDEX('DEF_CALL_DECISION_SUPPORT'!$A$1:$U$1496,$T56,2))</f>
        <v>GAMES</v>
      </c>
      <c r="F56" s="14" t="str">
        <f>IF($T56=0,"",INDEX('DEF_CALL_DECISION_SUPPORT'!$A$1:$U$1496,$T56,9))</f>
        <v>TRACK</v>
      </c>
      <c r="G56" s="9" t="str">
        <f>IF($T56=0,"No matching defensive sample; film review required.",INDEX('DEF_CALL_DECISION_SUPPORT'!$A$1:$U$1496,$T56,12))</f>
        <v>Track only; not enough sample.</v>
      </c>
      <c r="H56" s="9" t="s">
        <v>2873</v>
      </c>
      <c r="I56" s="10">
        <v>1</v>
      </c>
      <c r="J56" s="11">
        <v>17.88888888888889</v>
      </c>
      <c r="K56" s="15">
        <v>3.748935237268164E-05</v>
      </c>
      <c r="L56" s="14" t="s">
        <v>700</v>
      </c>
      <c r="M56" s="8" t="s">
        <v>2874</v>
      </c>
      <c r="N56" s="10">
        <f>IF($T56=0,"",INDEX('DEF_CALL_DECISION_SUPPORT'!$A$1:$U$1496,$T56,4))</f>
        <v>1.0</v>
      </c>
      <c r="O56" s="10">
        <f>IF($T56=0,"",INDEX('DEF_CALL_DECISION_SUPPORT'!$A$1:$U$1496,$T56,5))</f>
        <v>0.0</v>
      </c>
      <c r="P56" s="11">
        <f>IF($T56=0,"",INDEX('DEF_CALL_DECISION_SUPPORT'!$A$1:$U$1496,$T56,6))</f>
        <v>4.0</v>
      </c>
      <c r="Q56" s="11">
        <f>IF($T56=0,"",INDEX('DEF_CALL_DECISION_SUPPORT'!$A$1:$U$1496,$T56,10))</f>
        <v>96.0</v>
      </c>
      <c r="R56" s="12">
        <v>1</v>
      </c>
      <c r="T56" s="2">
        <f>IF(IFERROR(MATCH("6:3D 11+|2:12|0:|6:SCREEN|",'DEF_CALL_DECISION_SUPPORT'!$U$1448:$U$1491,0)+1448-1,0)&gt;0,IFERROR(MATCH("6:3D 11+|2:12|0:|6:SCREEN|",'DEF_CALL_DECISION_SUPPORT'!$U$1448:$U$1491,0)+1448-1,0),IF(IFERROR(MATCH("6:3D 11+|6:SCREEN|",'DEF_CALL_DECISION_SUPPORT'!$U$811:$U$1055,0)+811-1,0)&gt;0,IFERROR(MATCH("6:3D 11+|6:SCREEN|",'DEF_CALL_DECISION_SUPPORT'!$U$811:$U$1055,0)+811-1,0),IF(IFERROR(MATCH("6:SCREEN|",'DEF_CALL_DECISION_SUPPORT'!$U$1264:$U$1440,0)+1264-1,0)&gt;0,IFERROR(MATCH("6:SCREEN|",'DEF_CALL_DECISION_SUPPORT'!$U$1264:$U$1440,0)+1264-1,0),0)))</f>
        <v>978</v>
      </c>
    </row>
    <row r="57" spans="1:20" ht="68" customHeight="1">
      <c r="A57" s="8" t="s">
        <v>96</v>
      </c>
      <c r="B57" s="8" t="s">
        <v>750</v>
      </c>
      <c r="C57" s="8" t="s">
        <v>2875</v>
      </c>
      <c r="D57" s="14" t="str">
        <f>IF(T57=0,"Film Review Required",IF(IF($T57=0,"",INDEX('DEF_CALL_DECISION_SUPPORT'!$A$1:$U$1496,$T57,3))&lt;4,"Sample Watch • ","")&amp;(IF(IFERROR(MATCH("6:3D 11+|2:10|3:3X1|0:|",'DEF_CALL_DECISION_SUPPORT'!$U$1448:$U$1491,0)+1448-1,0)&gt;0,"Exact Context Match",IF(IFERROR(MATCH("6:3D 11+|2:10|3:3X1|",'DEF_CALL_DECISION_SUPPORT'!$U$589:$U$803,0)+589-1,0)&gt;0,"D&amp;D + personnel + structure",IF(IFERROR(MATCH("6:3D 11+|3:3X1|",'DEF_CALL_DECISION_SUPPORT'!$U$375:$U$581,0)+375-1,0)&gt;0,"D&amp;D + structure; personnel not conditioned",IF(IFERROR(MATCH("6:3D 11+|2:10|",'DEF_CALL_DECISION_SUPPORT'!$U$186:$U$367,0)+186-1,0)&gt;0,"D&amp;D + personnel; structure not conditioned",IF(IFERROR(MATCH("6:3D 11+|",'DEF_CALL_DECISION_SUPPORT'!$U$10:$U$178,0)+10-1,0)&gt;0,"D&amp;D only; presentation not conditioned","Film Review Required")))))))</f>
        <v>Sample Watch • D&amp;D + structure; personnel not conditioned</v>
      </c>
      <c r="E57" s="8" t="str">
        <f>IF($T57=0,"Film Review Required",INDEX('DEF_CALL_DECISION_SUPPORT'!$A$1:$U$1496,$T57,2))</f>
        <v>MIX SMOKE BUC</v>
      </c>
      <c r="F57" s="14" t="str">
        <f>IF($T57=0,"",INDEX('DEF_CALL_DECISION_SUPPORT'!$A$1:$U$1496,$T57,9))</f>
        <v>TRACK</v>
      </c>
      <c r="G57" s="9" t="str">
        <f>IF($T57=0,"No matching defensive sample; film review required.",INDEX('DEF_CALL_DECISION_SUPPORT'!$A$1:$U$1496,$T57,12))</f>
        <v>Track only; not enough sample.</v>
      </c>
      <c r="H57" s="9" t="s">
        <v>2873</v>
      </c>
      <c r="I57" s="10">
        <v>1</v>
      </c>
      <c r="J57" s="11">
        <v>2.5625</v>
      </c>
      <c r="K57" s="15">
        <v>0.07529787958159315</v>
      </c>
      <c r="L57" s="14" t="s">
        <v>700</v>
      </c>
      <c r="M57" s="8" t="s">
        <v>2874</v>
      </c>
      <c r="N57" s="10">
        <f>IF($T57=0,"",INDEX('DEF_CALL_DECISION_SUPPORT'!$A$1:$U$1496,$T57,4))</f>
        <v>0.5</v>
      </c>
      <c r="O57" s="10">
        <f>IF($T57=0,"",INDEX('DEF_CALL_DECISION_SUPPORT'!$A$1:$U$1496,$T57,5))</f>
        <v>0.0</v>
      </c>
      <c r="P57" s="11">
        <f>IF($T57=0,"",INDEX('DEF_CALL_DECISION_SUPPORT'!$A$1:$U$1496,$T57,6))</f>
        <v>7.0</v>
      </c>
      <c r="Q57" s="11">
        <f>IF($T57=0,"",INDEX('DEF_CALL_DECISION_SUPPORT'!$A$1:$U$1496,$T57,10))</f>
        <v>58.0</v>
      </c>
      <c r="R57" s="12">
        <v>2</v>
      </c>
      <c r="T57" s="2">
        <f>IF(IFERROR(MATCH("6:3D 11+|2:10|3:3X1|0:|",'DEF_CALL_DECISION_SUPPORT'!$U$1448:$U$1491,0)+1448-1,0)&gt;0,IFERROR(MATCH("6:3D 11+|2:10|3:3X1|0:|",'DEF_CALL_DECISION_SUPPORT'!$U$1448:$U$1491,0)+1448-1,0),IF(IFERROR(MATCH("6:3D 11+|2:10|3:3X1|",'DEF_CALL_DECISION_SUPPORT'!$U$589:$U$803,0)+589-1,0)&gt;0,IFERROR(MATCH("6:3D 11+|2:10|3:3X1|",'DEF_CALL_DECISION_SUPPORT'!$U$589:$U$803,0)+589-1,0),IF(IFERROR(MATCH("6:3D 11+|3:3X1|",'DEF_CALL_DECISION_SUPPORT'!$U$375:$U$581,0)+375-1,0)&gt;0,IFERROR(MATCH("6:3D 11+|3:3X1|",'DEF_CALL_DECISION_SUPPORT'!$U$375:$U$581,0)+375-1,0),IF(IFERROR(MATCH("6:3D 11+|2:10|",'DEF_CALL_DECISION_SUPPORT'!$U$186:$U$367,0)+186-1,0)&gt;0,IFERROR(MATCH("6:3D 11+|2:10|",'DEF_CALL_DECISION_SUPPORT'!$U$186:$U$367,0)+186-1,0),IF(IFERROR(MATCH("6:3D 11+|",'DEF_CALL_DECISION_SUPPORT'!$U$10:$U$178,0)+10-1,0)&gt;0,IFERROR(MATCH("6:3D 11+|",'DEF_CALL_DECISION_SUPPORT'!$U$10:$U$178,0)+10-1,0),0)))))</f>
        <v>515</v>
      </c>
    </row>
    <row r="58" spans="1:20" ht="68" customHeight="1">
      <c r="A58" s="8" t="s">
        <v>96</v>
      </c>
      <c r="B58" s="8" t="s">
        <v>751</v>
      </c>
      <c r="C58" s="8" t="s">
        <v>465</v>
      </c>
      <c r="D58" s="14" t="str">
        <f>IF(T58=0,"Film Review Required",IF(IF($T58=0,"",INDEX('DEF_CALL_DECISION_SUPPORT'!$A$1:$U$1496,$T58,3))&lt;4,"Sample Watch • ","")&amp;(IF(IFERROR(MATCH("6:3D 11+|0:|3:2X2|12:OUTSIDE ZONE|",'DEF_CALL_DECISION_SUPPORT'!$U$1448:$U$1491,0)+1448-1,0)&gt;0,"Exact Context Match",IF(IFERROR(MATCH("6:3D 11+|12:OUTSIDE ZONE|",'DEF_CALL_DECISION_SUPPORT'!$U$811:$U$1055,0)+811-1,0)&gt;0,"D&amp;D + Concept Match",IF(IFERROR(MATCH("12:OUTSIDE ZONE|",'DEF_CALL_DECISION_SUPPORT'!$U$1264:$U$1440,0)+1264-1,0)&gt;0,"Broad Concept Proxy","Film Review Required")))))</f>
        <v>Sample Watch • Broad Concept Proxy</v>
      </c>
      <c r="E58" s="8" t="str">
        <f>IF($T58=0,"Film Review Required",INDEX('DEF_CALL_DECISION_SUPPORT'!$A$1:$U$1496,$T58,2))</f>
        <v>BOURBON</v>
      </c>
      <c r="F58" s="14" t="str">
        <f>IF($T58=0,"",INDEX('DEF_CALL_DECISION_SUPPORT'!$A$1:$U$1496,$T58,9))</f>
        <v>LOW</v>
      </c>
      <c r="G58" s="9" t="str">
        <f>IF($T58=0,"No matching defensive sample; film review required.",INDEX('DEF_CALL_DECISION_SUPPORT'!$A$1:$U$1496,$T58,12))</f>
        <v>Sample watch; review clips and build the sample.</v>
      </c>
      <c r="H58" s="9" t="s">
        <v>2873</v>
      </c>
      <c r="I58" s="10">
        <v>1</v>
      </c>
      <c r="J58" s="11">
        <v>5.925925925925926</v>
      </c>
      <c r="K58" s="15">
        <v>0.001585457117046235</v>
      </c>
      <c r="L58" s="14" t="s">
        <v>700</v>
      </c>
      <c r="M58" s="8" t="s">
        <v>2874</v>
      </c>
      <c r="N58" s="10">
        <f>IF($T58=0,"",INDEX('DEF_CALL_DECISION_SUPPORT'!$A$1:$U$1496,$T58,4))</f>
        <v>0.3333333333333333</v>
      </c>
      <c r="O58" s="10">
        <f>IF($T58=0,"",INDEX('DEF_CALL_DECISION_SUPPORT'!$A$1:$U$1496,$T58,5))</f>
        <v>0.0</v>
      </c>
      <c r="P58" s="11">
        <f>IF($T58=0,"",INDEX('DEF_CALL_DECISION_SUPPORT'!$A$1:$U$1496,$T58,6))</f>
        <v>5.333333333333333</v>
      </c>
      <c r="Q58" s="11">
        <f>IF($T58=0,"",INDEX('DEF_CALL_DECISION_SUPPORT'!$A$1:$U$1496,$T58,10))</f>
        <v>48.0</v>
      </c>
      <c r="R58" s="12">
        <v>2</v>
      </c>
      <c r="T58" s="2">
        <f>IF(IFERROR(MATCH("6:3D 11+|0:|3:2X2|12:OUTSIDE ZONE|",'DEF_CALL_DECISION_SUPPORT'!$U$1448:$U$1491,0)+1448-1,0)&gt;0,IFERROR(MATCH("6:3D 11+|0:|3:2X2|12:OUTSIDE ZONE|",'DEF_CALL_DECISION_SUPPORT'!$U$1448:$U$1491,0)+1448-1,0),IF(IFERROR(MATCH("6:3D 11+|12:OUTSIDE ZONE|",'DEF_CALL_DECISION_SUPPORT'!$U$811:$U$1055,0)+811-1,0)&gt;0,IFERROR(MATCH("6:3D 11+|12:OUTSIDE ZONE|",'DEF_CALL_DECISION_SUPPORT'!$U$811:$U$1055,0)+811-1,0),IF(IFERROR(MATCH("12:OUTSIDE ZONE|",'DEF_CALL_DECISION_SUPPORT'!$U$1264:$U$1440,0)+1264-1,0)&gt;0,IFERROR(MATCH("12:OUTSIDE ZONE|",'DEF_CALL_DECISION_SUPPORT'!$U$1264:$U$1440,0)+1264-1,0),0)))</f>
        <v>1380</v>
      </c>
    </row>
    <row r="59" spans="1:20" ht="68" customHeight="1">
      <c r="A59" s="8" t="s">
        <v>96</v>
      </c>
      <c r="B59" s="8" t="s">
        <v>752</v>
      </c>
      <c r="C59" s="8" t="s">
        <v>2881</v>
      </c>
      <c r="D59" s="14" t="str">
        <f>IF(T59=0,"Film Review Required",IF(IF($T59=0,"",INDEX('DEF_CALL_DECISION_SUPPORT'!$A$1:$U$1496,$T59,3))&lt;4,"Sample Watch • ","")&amp;(IF(CALL_LOOKUP_BOARD!$L$357="","Film Review Required",IF(IFERROR(MATCH(LEN("3D 11+")&amp;":"&amp;"3D 11+"&amp;"|"&amp;LEN(CALL_LOOKUP_BOARD!$L$357)&amp;":"&amp;CALL_LOOKUP_BOARD!$L$357&amp;"|",'DEF_CALL_DECISION_SUPPORT'!$U$811:$U$1055,0)+811-1,0)&gt;0,"D&amp;D + Concept Match • Concept Proxy",IF(IFERROR(MATCH(LEN(CALL_LOOKUP_BOARD!$L$357)&amp;":"&amp;CALL_LOOKUP_BOARD!$L$357&amp;"|",'DEF_CALL_DECISION_SUPPORT'!$U$1264:$U$1440,0)+1264-1,0)&gt;0,"Broad Concept Proxy","Film Review Required")))))</f>
        <v>Film Review Required</v>
      </c>
      <c r="E59" s="8" t="str">
        <f>IF($T59=0,"Film Review Required",INDEX('DEF_CALL_DECISION_SUPPORT'!$A$1:$U$1496,$T59,2))</f>
        <v>Film Review Required</v>
      </c>
      <c r="F59" s="14">
        <f>IF($T59=0,"",INDEX('DEF_CALL_DECISION_SUPPORT'!$A$1:$U$1496,$T59,9))</f>
        <v/>
      </c>
      <c r="G59" s="9" t="str">
        <f>IF($T59=0,"No matching defensive sample; film review required.",INDEX('DEF_CALL_DECISION_SUPPORT'!$A$1:$U$1496,$T59,12))</f>
        <v>No matching defensive sample; film review required.</v>
      </c>
      <c r="H59" s="9" t="s">
        <v>2877</v>
      </c>
      <c r="I59" s="10">
        <v>1</v>
      </c>
      <c r="J59" s="11">
        <v>6.708333333333333</v>
      </c>
      <c r="K59" s="15">
        <v>0.0006737597666268918</v>
      </c>
      <c r="L59" s="14" t="s">
        <v>704</v>
      </c>
      <c r="M59" s="8" t="s">
        <v>2874</v>
      </c>
      <c r="N59" s="10">
        <f>IF($T59=0,"",INDEX('DEF_CALL_DECISION_SUPPORT'!$A$1:$U$1496,$T59,4))</f>
        <v/>
      </c>
      <c r="O59" s="10">
        <f>IF($T59=0,"",INDEX('DEF_CALL_DECISION_SUPPORT'!$A$1:$U$1496,$T59,5))</f>
        <v/>
      </c>
      <c r="P59" s="11">
        <f>IF($T59=0,"",INDEX('DEF_CALL_DECISION_SUPPORT'!$A$1:$U$1496,$T59,6))</f>
        <v/>
      </c>
      <c r="Q59" s="11">
        <f>IF($T59=0,"",INDEX('DEF_CALL_DECISION_SUPPORT'!$A$1:$U$1496,$T59,10))</f>
        <v/>
      </c>
      <c r="R59" s="12">
        <v>2</v>
      </c>
      <c r="T59" s="2">
        <f>IF(CALL_LOOKUP_BOARD!$L$357="",0,IF(IFERROR(MATCH(LEN("3D 11+")&amp;":"&amp;"3D 11+"&amp;"|"&amp;LEN(CALL_LOOKUP_BOARD!$L$357)&amp;":"&amp;CALL_LOOKUP_BOARD!$L$357&amp;"|",'DEF_CALL_DECISION_SUPPORT'!$U$811:$U$1055,0)+811-1,0)&gt;0,IFERROR(MATCH(LEN("3D 11+")&amp;":"&amp;"3D 11+"&amp;"|"&amp;LEN(CALL_LOOKUP_BOARD!$L$357)&amp;":"&amp;CALL_LOOKUP_BOARD!$L$357&amp;"|",'DEF_CALL_DECISION_SUPPORT'!$U$811:$U$1055,0)+811-1,0),IFERROR(MATCH(LEN(CALL_LOOKUP_BOARD!$L$357)&amp;":"&amp;CALL_LOOKUP_BOARD!$L$357&amp;"|",'DEF_CALL_DECISION_SUPPORT'!$U$1264:$U$1440,0)+1264-1,0)))</f>
        <v>0</v>
      </c>
    </row>
    <row r="60" spans="1:20" ht="68" customHeight="1">
      <c r="A60" s="8" t="s">
        <v>111</v>
      </c>
      <c r="B60" s="8" t="s">
        <v>753</v>
      </c>
      <c r="C60" s="8" t="s">
        <v>1038</v>
      </c>
      <c r="D60" s="14" t="str">
        <f>IF(T60=0,"Film Review Required",IF(IF($T60=0,"",INDEX('DEF_CALL_DECISION_SUPPORT'!$A$1:$U$1496,$T60,3))&lt;4,"Sample Watch • ","")&amp;(IF(IFERROR(MATCH("6:4D 1-3|3:22H|0:|4:WHAM|",'DEF_CALL_DECISION_SUPPORT'!$U$1448:$U$1491,0)+1448-1,0)&gt;0,"Exact Context Match",IF(IFERROR(MATCH("6:4D 1-3|4:WHAM|",'DEF_CALL_DECISION_SUPPORT'!$U$811:$U$1055,0)+811-1,0)&gt;0,"D&amp;D + Concept Match",IF(IFERROR(MATCH("4:WHAM|",'DEF_CALL_DECISION_SUPPORT'!$U$1264:$U$1440,0)+1264-1,0)&gt;0,"Broad Concept Proxy","Film Review Required")))))</f>
        <v>Film Review Required</v>
      </c>
      <c r="E60" s="8" t="str">
        <f>IF($T60=0,"Film Review Required",INDEX('DEF_CALL_DECISION_SUPPORT'!$A$1:$U$1496,$T60,2))</f>
        <v>Film Review Required</v>
      </c>
      <c r="F60" s="14">
        <f>IF($T60=0,"",INDEX('DEF_CALL_DECISION_SUPPORT'!$A$1:$U$1496,$T60,9))</f>
        <v/>
      </c>
      <c r="G60" s="9" t="str">
        <f>IF($T60=0,"No matching defensive sample; film review required.",INDEX('DEF_CALL_DECISION_SUPPORT'!$A$1:$U$1496,$T60,12))</f>
        <v>No matching defensive sample; film review required.</v>
      </c>
      <c r="H60" s="9" t="s">
        <v>2873</v>
      </c>
      <c r="I60" s="10">
        <v>1</v>
      </c>
      <c r="J60" s="11">
        <v>161</v>
      </c>
      <c r="K60" s="15">
        <v>6.841707543855235E-37</v>
      </c>
      <c r="L60" s="14" t="s">
        <v>700</v>
      </c>
      <c r="M60" s="8" t="s">
        <v>2874</v>
      </c>
      <c r="N60" s="10">
        <f>IF($T60=0,"",INDEX('DEF_CALL_DECISION_SUPPORT'!$A$1:$U$1496,$T60,4))</f>
        <v/>
      </c>
      <c r="O60" s="10">
        <f>IF($T60=0,"",INDEX('DEF_CALL_DECISION_SUPPORT'!$A$1:$U$1496,$T60,5))</f>
        <v/>
      </c>
      <c r="P60" s="11">
        <f>IF($T60=0,"",INDEX('DEF_CALL_DECISION_SUPPORT'!$A$1:$U$1496,$T60,6))</f>
        <v/>
      </c>
      <c r="Q60" s="11">
        <f>IF($T60=0,"",INDEX('DEF_CALL_DECISION_SUPPORT'!$A$1:$U$1496,$T60,10))</f>
        <v/>
      </c>
      <c r="R60" s="12">
        <v>1</v>
      </c>
      <c r="T60" s="2">
        <f>IF(IFERROR(MATCH("6:4D 1-3|3:22H|0:|4:WHAM|",'DEF_CALL_DECISION_SUPPORT'!$U$1448:$U$1491,0)+1448-1,0)&gt;0,IFERROR(MATCH("6:4D 1-3|3:22H|0:|4:WHAM|",'DEF_CALL_DECISION_SUPPORT'!$U$1448:$U$1491,0)+1448-1,0),IF(IFERROR(MATCH("6:4D 1-3|4:WHAM|",'DEF_CALL_DECISION_SUPPORT'!$U$811:$U$1055,0)+811-1,0)&gt;0,IFERROR(MATCH("6:4D 1-3|4:WHAM|",'DEF_CALL_DECISION_SUPPORT'!$U$811:$U$1055,0)+811-1,0),IF(IFERROR(MATCH("4:WHAM|",'DEF_CALL_DECISION_SUPPORT'!$U$1264:$U$1440,0)+1264-1,0)&gt;0,IFERROR(MATCH("4:WHAM|",'DEF_CALL_DECISION_SUPPORT'!$U$1264:$U$1440,0)+1264-1,0),0)))</f>
        <v>0</v>
      </c>
    </row>
    <row r="61" spans="1:20" ht="68" customHeight="1">
      <c r="A61" s="8" t="s">
        <v>111</v>
      </c>
      <c r="B61" s="8" t="s">
        <v>754</v>
      </c>
      <c r="C61" s="8" t="s">
        <v>2875</v>
      </c>
      <c r="D61" s="14" t="str">
        <f>IF(T61=0,"Film Review Required",IF(IF($T61=0,"",INDEX('DEF_CALL_DECISION_SUPPORT'!$A$1:$U$1496,$T61,3))&lt;4,"Sample Watch • ","")&amp;(IF(IFERROR(MATCH("6:4D 1-3|3:22H|3:1X1|0:|",'DEF_CALL_DECISION_SUPPORT'!$U$1448:$U$1491,0)+1448-1,0)&gt;0,"Exact Context Match",IF(IFERROR(MATCH("6:4D 1-3|3:22H|3:1X1|",'DEF_CALL_DECISION_SUPPORT'!$U$589:$U$803,0)+589-1,0)&gt;0,"D&amp;D + personnel + structure",IF(IFERROR(MATCH("6:4D 1-3|3:1X1|",'DEF_CALL_DECISION_SUPPORT'!$U$375:$U$581,0)+375-1,0)&gt;0,"D&amp;D + structure; personnel not conditioned",IF(IFERROR(MATCH("6:4D 1-3|3:22H|",'DEF_CALL_DECISION_SUPPORT'!$U$186:$U$367,0)+186-1,0)&gt;0,"D&amp;D + personnel; structure not conditioned",IF(IFERROR(MATCH("6:4D 1-3|",'DEF_CALL_DECISION_SUPPORT'!$U$10:$U$178,0)+10-1,0)&gt;0,"D&amp;D only; presentation not conditioned","Film Review Required")))))))</f>
        <v>Sample Watch • D&amp;D only; presentation not conditioned</v>
      </c>
      <c r="E61" s="8" t="str">
        <f>IF($T61=0,"Film Review Required",INDEX('DEF_CALL_DECISION_SUPPORT'!$A$1:$U$1496,$T61,2))</f>
        <v>9 DICE</v>
      </c>
      <c r="F61" s="14" t="str">
        <f>IF($T61=0,"",INDEX('DEF_CALL_DECISION_SUPPORT'!$A$1:$U$1496,$T61,9))</f>
        <v>TRACK</v>
      </c>
      <c r="G61" s="9" t="str">
        <f>IF($T61=0,"No matching defensive sample; film review required.",INDEX('DEF_CALL_DECISION_SUPPORT'!$A$1:$U$1496,$T61,12))</f>
        <v>Explosive risk; review clips before using as answer.</v>
      </c>
      <c r="H61" s="9" t="s">
        <v>2873</v>
      </c>
      <c r="I61" s="10">
        <v>1</v>
      </c>
      <c r="J61" s="11">
        <v>82</v>
      </c>
      <c r="K61" s="15">
        <v>1.755338098826736E-19</v>
      </c>
      <c r="L61" s="14" t="s">
        <v>700</v>
      </c>
      <c r="M61" s="8" t="s">
        <v>2874</v>
      </c>
      <c r="N61" s="10">
        <f>IF($T61=0,"",INDEX('DEF_CALL_DECISION_SUPPORT'!$A$1:$U$1496,$T61,4))</f>
        <v>0.0</v>
      </c>
      <c r="O61" s="10">
        <f>IF($T61=0,"",INDEX('DEF_CALL_DECISION_SUPPORT'!$A$1:$U$1496,$T61,5))</f>
        <v>0.5</v>
      </c>
      <c r="P61" s="11">
        <f>IF($T61=0,"",INDEX('DEF_CALL_DECISION_SUPPORT'!$A$1:$U$1496,$T61,6))</f>
        <v>13.5</v>
      </c>
      <c r="Q61" s="11">
        <f>IF($T61=0,"",INDEX('DEF_CALL_DECISION_SUPPORT'!$A$1:$U$1496,$T61,10))</f>
        <v>10.0</v>
      </c>
      <c r="R61" s="12">
        <v>1</v>
      </c>
      <c r="T61" s="2">
        <f>IF(IFERROR(MATCH("6:4D 1-3|3:22H|3:1X1|0:|",'DEF_CALL_DECISION_SUPPORT'!$U$1448:$U$1491,0)+1448-1,0)&gt;0,IFERROR(MATCH("6:4D 1-3|3:22H|3:1X1|0:|",'DEF_CALL_DECISION_SUPPORT'!$U$1448:$U$1491,0)+1448-1,0),IF(IFERROR(MATCH("6:4D 1-3|3:22H|3:1X1|",'DEF_CALL_DECISION_SUPPORT'!$U$589:$U$803,0)+589-1,0)&gt;0,IFERROR(MATCH("6:4D 1-3|3:22H|3:1X1|",'DEF_CALL_DECISION_SUPPORT'!$U$589:$U$803,0)+589-1,0),IF(IFERROR(MATCH("6:4D 1-3|3:1X1|",'DEF_CALL_DECISION_SUPPORT'!$U$375:$U$581,0)+375-1,0)&gt;0,IFERROR(MATCH("6:4D 1-3|3:1X1|",'DEF_CALL_DECISION_SUPPORT'!$U$375:$U$581,0)+375-1,0),IF(IFERROR(MATCH("6:4D 1-3|3:22H|",'DEF_CALL_DECISION_SUPPORT'!$U$186:$U$367,0)+186-1,0)&gt;0,IFERROR(MATCH("6:4D 1-3|3:22H|",'DEF_CALL_DECISION_SUPPORT'!$U$186:$U$367,0)+186-1,0),IF(IFERROR(MATCH("6:4D 1-3|",'DEF_CALL_DECISION_SUPPORT'!$U$10:$U$178,0)+10-1,0)&gt;0,IFERROR(MATCH("6:4D 1-3|",'DEF_CALL_DECISION_SUPPORT'!$U$10:$U$178,0)+10-1,0),0)))))</f>
        <v>154</v>
      </c>
    </row>
    <row r="62" spans="1:20" ht="68" customHeight="1">
      <c r="A62" s="8" t="s">
        <v>111</v>
      </c>
      <c r="B62" s="8" t="s">
        <v>755</v>
      </c>
      <c r="C62" s="8" t="s">
        <v>1038</v>
      </c>
      <c r="D62" s="14" t="str">
        <f>IF(T62=0,"Film Review Required",IF(IF($T62=0,"",INDEX('DEF_CALL_DECISION_SUPPORT'!$A$1:$U$1496,$T62,3))&lt;4,"Sample Watch • ","")&amp;(IF(IFERROR(MATCH("6:4D 1-3|0:|3:1X1|4:WHAM|",'DEF_CALL_DECISION_SUPPORT'!$U$1448:$U$1491,0)+1448-1,0)&gt;0,"Exact Context Match",IF(IFERROR(MATCH("6:4D 1-3|4:WHAM|",'DEF_CALL_DECISION_SUPPORT'!$U$811:$U$1055,0)+811-1,0)&gt;0,"D&amp;D + Concept Match",IF(IFERROR(MATCH("4:WHAM|",'DEF_CALL_DECISION_SUPPORT'!$U$1264:$U$1440,0)+1264-1,0)&gt;0,"Broad Concept Proxy","Film Review Required")))))</f>
        <v>Film Review Required</v>
      </c>
      <c r="E62" s="8" t="str">
        <f>IF($T62=0,"Film Review Required",INDEX('DEF_CALL_DECISION_SUPPORT'!$A$1:$U$1496,$T62,2))</f>
        <v>Film Review Required</v>
      </c>
      <c r="F62" s="14">
        <f>IF($T62=0,"",INDEX('DEF_CALL_DECISION_SUPPORT'!$A$1:$U$1496,$T62,9))</f>
        <v/>
      </c>
      <c r="G62" s="9" t="str">
        <f>IF($T62=0,"No matching defensive sample; film review required.",INDEX('DEF_CALL_DECISION_SUPPORT'!$A$1:$U$1496,$T62,12))</f>
        <v>No matching defensive sample; film review required.</v>
      </c>
      <c r="H62" s="9" t="s">
        <v>2873</v>
      </c>
      <c r="I62" s="10">
        <v>1</v>
      </c>
      <c r="J62" s="11">
        <v>160</v>
      </c>
      <c r="K62" s="15">
        <v>1.131483790243283E-36</v>
      </c>
      <c r="L62" s="14" t="s">
        <v>700</v>
      </c>
      <c r="M62" s="8" t="s">
        <v>2874</v>
      </c>
      <c r="N62" s="10">
        <f>IF($T62=0,"",INDEX('DEF_CALL_DECISION_SUPPORT'!$A$1:$U$1496,$T62,4))</f>
        <v/>
      </c>
      <c r="O62" s="10">
        <f>IF($T62=0,"",INDEX('DEF_CALL_DECISION_SUPPORT'!$A$1:$U$1496,$T62,5))</f>
        <v/>
      </c>
      <c r="P62" s="11">
        <f>IF($T62=0,"",INDEX('DEF_CALL_DECISION_SUPPORT'!$A$1:$U$1496,$T62,6))</f>
        <v/>
      </c>
      <c r="Q62" s="11">
        <f>IF($T62=0,"",INDEX('DEF_CALL_DECISION_SUPPORT'!$A$1:$U$1496,$T62,10))</f>
        <v/>
      </c>
      <c r="R62" s="12">
        <v>1</v>
      </c>
      <c r="T62" s="2">
        <f>IF(IFERROR(MATCH("6:4D 1-3|0:|3:1X1|4:WHAM|",'DEF_CALL_DECISION_SUPPORT'!$U$1448:$U$1491,0)+1448-1,0)&gt;0,IFERROR(MATCH("6:4D 1-3|0:|3:1X1|4:WHAM|",'DEF_CALL_DECISION_SUPPORT'!$U$1448:$U$1491,0)+1448-1,0),IF(IFERROR(MATCH("6:4D 1-3|4:WHAM|",'DEF_CALL_DECISION_SUPPORT'!$U$811:$U$1055,0)+811-1,0)&gt;0,IFERROR(MATCH("6:4D 1-3|4:WHAM|",'DEF_CALL_DECISION_SUPPORT'!$U$811:$U$1055,0)+811-1,0),IF(IFERROR(MATCH("4:WHAM|",'DEF_CALL_DECISION_SUPPORT'!$U$1264:$U$1440,0)+1264-1,0)&gt;0,IFERROR(MATCH("4:WHAM|",'DEF_CALL_DECISION_SUPPORT'!$U$1264:$U$1440,0)+1264-1,0),0)))</f>
        <v>0</v>
      </c>
    </row>
    <row r="63" spans="1:20" ht="68" customHeight="1">
      <c r="A63" s="8" t="s">
        <v>111</v>
      </c>
      <c r="B63" s="8" t="s">
        <v>756</v>
      </c>
      <c r="C63" s="8" t="s">
        <v>2889</v>
      </c>
      <c r="D63" s="14" t="str">
        <f>IF(T63=0,"Film Review Required",IF(IF($T63=0,"",INDEX('DEF_CALL_DECISION_SUPPORT'!$A$1:$U$1496,$T63,3))&lt;4,"Sample Watch • ","")&amp;(IF(CALL_LOOKUP_BOARD!$L$382="","Film Review Required",IF(IFERROR(MATCH(LEN("4D 1-3")&amp;":"&amp;"4D 1-3"&amp;"|"&amp;LEN(CALL_LOOKUP_BOARD!$L$382)&amp;":"&amp;CALL_LOOKUP_BOARD!$L$382&amp;"|",'DEF_CALL_DECISION_SUPPORT'!$U$811:$U$1055,0)+811-1,0)&gt;0,"D&amp;D + Concept Match • Concept Proxy",IF(IFERROR(MATCH(LEN(CALL_LOOKUP_BOARD!$L$382)&amp;":"&amp;CALL_LOOKUP_BOARD!$L$382&amp;"|",'DEF_CALL_DECISION_SUPPORT'!$U$1264:$U$1440,0)+1264-1,0)&gt;0,"Broad Concept Proxy","Film Review Required")))))</f>
        <v>Film Review Required</v>
      </c>
      <c r="E63" s="8" t="str">
        <f>IF($T63=0,"Film Review Required",INDEX('DEF_CALL_DECISION_SUPPORT'!$A$1:$U$1496,$T63,2))</f>
        <v>Film Review Required</v>
      </c>
      <c r="F63" s="14">
        <f>IF($T63=0,"",INDEX('DEF_CALL_DECISION_SUPPORT'!$A$1:$U$1496,$T63,9))</f>
        <v/>
      </c>
      <c r="G63" s="9" t="str">
        <f>IF($T63=0,"No matching defensive sample; film review required.",INDEX('DEF_CALL_DECISION_SUPPORT'!$A$1:$U$1496,$T63,12))</f>
        <v>No matching defensive sample; film review required.</v>
      </c>
      <c r="H63" s="9" t="s">
        <v>2877</v>
      </c>
      <c r="I63" s="10">
        <v>1</v>
      </c>
      <c r="J63" s="11">
        <v>161</v>
      </c>
      <c r="K63" s="15">
        <v>6.841707543855235E-37</v>
      </c>
      <c r="L63" s="14" t="s">
        <v>704</v>
      </c>
      <c r="M63" s="8" t="s">
        <v>2874</v>
      </c>
      <c r="N63" s="10">
        <f>IF($T63=0,"",INDEX('DEF_CALL_DECISION_SUPPORT'!$A$1:$U$1496,$T63,4))</f>
        <v/>
      </c>
      <c r="O63" s="10">
        <f>IF($T63=0,"",INDEX('DEF_CALL_DECISION_SUPPORT'!$A$1:$U$1496,$T63,5))</f>
        <v/>
      </c>
      <c r="P63" s="11">
        <f>IF($T63=0,"",INDEX('DEF_CALL_DECISION_SUPPORT'!$A$1:$U$1496,$T63,6))</f>
        <v/>
      </c>
      <c r="Q63" s="11">
        <f>IF($T63=0,"",INDEX('DEF_CALL_DECISION_SUPPORT'!$A$1:$U$1496,$T63,10))</f>
        <v/>
      </c>
      <c r="R63" s="12">
        <v>1</v>
      </c>
      <c r="T63" s="2">
        <f>IF(CALL_LOOKUP_BOARD!$L$382="",0,IF(IFERROR(MATCH(LEN("4D 1-3")&amp;":"&amp;"4D 1-3"&amp;"|"&amp;LEN(CALL_LOOKUP_BOARD!$L$382)&amp;":"&amp;CALL_LOOKUP_BOARD!$L$382&amp;"|",'DEF_CALL_DECISION_SUPPORT'!$U$811:$U$1055,0)+811-1,0)&gt;0,IFERROR(MATCH(LEN("4D 1-3")&amp;":"&amp;"4D 1-3"&amp;"|"&amp;LEN(CALL_LOOKUP_BOARD!$L$382)&amp;":"&amp;CALL_LOOKUP_BOARD!$L$382&amp;"|",'DEF_CALL_DECISION_SUPPORT'!$U$811:$U$1055,0)+811-1,0),IFERROR(MATCH(LEN(CALL_LOOKUP_BOARD!$L$382)&amp;":"&amp;CALL_LOOKUP_BOARD!$L$382&amp;"|",'DEF_CALL_DECISION_SUPPORT'!$U$1264:$U$1440,0)+1264-1,0)))</f>
        <v>0</v>
      </c>
    </row>
  </sheetData>
  <sheetProtection sheet="1" objects="1" scenarios="1" autoFilter="0"/>
  <autoFilter ref="A6:R63"/>
  <mergeCells count="2">
    <mergeCell ref="A1:R1"/>
    <mergeCell ref="A3:R3"/>
  </mergeCells>
  <conditionalFormatting sqref="A1:R63">
    <cfRule type="containsText" dxfId="0" priority="1" operator="containsText" text="PASS">
      <formula>NOT(ISERROR(SEARCH("PASS",A1)))</formula>
    </cfRule>
    <cfRule type="containsText" dxfId="0" priority="2" operator="containsText" text="Strong Candidate">
      <formula>NOT(ISERROR(SEARCH("Strong Candidate",A1)))</formula>
    </cfRule>
    <cfRule type="containsText" dxfId="0" priority="3" operator="containsText" text="Good Candidate">
      <formula>NOT(ISERROR(SEARCH("Good Candidate",A1)))</formula>
    </cfRule>
    <cfRule type="containsText" dxfId="0" priority="4" operator="containsText" text="HIGH">
      <formula>NOT(ISERROR(SEARCH("HIGH",A1)))</formula>
    </cfRule>
    <cfRule type="containsText" dxfId="1" priority="5" operator="containsText" text="REVIEW">
      <formula>NOT(ISERROR(SEARCH("REVIEW",A1)))</formula>
    </cfRule>
    <cfRule type="containsText" dxfId="1" priority="6" operator="containsText" text="Sample Watch">
      <formula>NOT(ISERROR(SEARCH("Sample Watch",A1)))</formula>
    </cfRule>
    <cfRule type="containsText" dxfId="1" priority="7" operator="containsText" text="LOW">
      <formula>NOT(ISERROR(SEARCH("LOW",A1)))</formula>
    </cfRule>
    <cfRule type="containsText" dxfId="2" priority="8" operator="containsText" text="TRACK">
      <formula>NOT(ISERROR(SEARCH("TRACK",A1)))</formula>
    </cfRule>
    <cfRule type="containsText" dxfId="2" priority="9" operator="containsText" text="Concept Proxy">
      <formula>NOT(ISERROR(SEARCH("Concept Proxy",A1)))</formula>
    </cfRule>
    <cfRule type="containsText" dxfId="3" priority="10" operator="containsText" text="FAIL">
      <formula>NOT(ISERROR(SEARCH("FAIL",A1)))</formula>
    </cfRule>
    <cfRule type="containsText" dxfId="3" priority="11" operator="containsText" text="Problem Call">
      <formula>NOT(ISERROR(SEARCH("Problem Call",A1)))</formula>
    </cfRule>
    <cfRule type="containsText" dxfId="3" priority="12" operator="containsText" text="Explosive Alert">
      <formula>NOT(ISERROR(SEARCH("Explosive Alert",A1)))</formula>
    </cfRule>
  </conditionalFormatting>
  <hyperlinks>
    <hyperlink ref="A2" location="'START_HERE'!A1" display="START"/>
    <hyperlink ref="C2" location="'CALL_LOOKUP_BOARD'!A1" display="FIND A CALL"/>
    <hyperlink ref="F2" location="'HOT_CALL_RESPONSE_CARD'!A1" display="OPPONENT ALERTS"/>
    <hyperlink ref="I2" location="'PRACTICE_SCRIPT_BOARD'!A1" display="PRACTICE"/>
  </hyperlinks>
  <pageMargins left="0.25" right="0.25" top="0.35" bottom="0.35" header="0.3" footer="0.3"/>
  <pageSetup paperSize="1" fitToHeight="0" orientation="landscape"/>
  <headerFooter>
    <oddHeader>&amp;LWeekly Gameplan&amp;RFilm confirms the numbers</oddHeader>
    <oddFooter>&amp;LConcept call-fit candidates, not automatic calls&amp;RPage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578568"/>
    <pageSetUpPr fitToPage="1"/>
  </sheetPr>
  <dimension ref="A1:Z52"/>
  <sheetViews>
    <sheetView workbookViewId="0"/>
  </sheetViews>
  <sheetFormatPr defaultRowHeight="25" customHeight="1"/>
  <cols>
    <col min="1" max="1" width="20.7109375" customWidth="1"/>
    <col min="2" max="3" width="25.7109375" customWidth="1"/>
    <col min="4" max="5" width="17.7109375" customWidth="1"/>
    <col min="6" max="6" width="43.7109375" customWidth="1"/>
    <col min="8" max="26" width="20.7109375" hidden="1" customWidth="1"/>
  </cols>
  <sheetData>
    <row r="1" spans="1:6" ht="34" customHeight="1">
      <c r="A1" s="1" t="s">
        <v>2890</v>
      </c>
      <c r="B1" s="1"/>
      <c r="C1" s="1"/>
      <c r="D1" s="1"/>
      <c r="E1" s="1"/>
      <c r="F1" s="1"/>
    </row>
    <row r="2" spans="1:6" ht="18" customHeight="1">
      <c r="A2" s="3" t="s">
        <v>1</v>
      </c>
      <c r="C2" s="3" t="s">
        <v>2</v>
      </c>
      <c r="F2" s="3" t="s">
        <v>3</v>
      </c>
    </row>
    <row r="3" spans="1:6" ht="28" customHeight="1">
      <c r="A3" s="4" t="s">
        <v>2891</v>
      </c>
      <c r="B3" s="4"/>
      <c r="C3" s="4"/>
      <c r="D3" s="4"/>
      <c r="E3" s="4"/>
      <c r="F3" s="4"/>
    </row>
    <row r="4" spans="1:6" ht="7" customHeight="1"/>
    <row r="5" spans="1:6" ht="28" customHeight="1">
      <c r="A5" s="13" t="str">
        <f>START_HERE!B6</f>
        <v>CURRENT IMPORTED SAMPLE</v>
      </c>
      <c r="B5" s="13"/>
      <c r="C5" s="13"/>
      <c r="D5" s="13"/>
      <c r="E5" s="13"/>
      <c r="F5" s="13"/>
    </row>
    <row r="6" spans="1:6" ht="7" customHeight="1"/>
    <row r="7" spans="1:6" ht="22" customHeight="1">
      <c r="A7" s="5" t="s">
        <v>2892</v>
      </c>
      <c r="B7" s="5"/>
      <c r="C7" s="5"/>
      <c r="D7" s="5"/>
      <c r="E7" s="5"/>
      <c r="F7" s="5"/>
    </row>
    <row r="8" spans="1:6" ht="30" customHeight="1">
      <c r="A8" s="8" t="s">
        <v>428</v>
      </c>
      <c r="B8" s="8" t="s">
        <v>2893</v>
      </c>
      <c r="C8" s="8" t="s">
        <v>2894</v>
      </c>
      <c r="D8" s="8" t="s">
        <v>2895</v>
      </c>
      <c r="E8" s="8" t="s">
        <v>804</v>
      </c>
      <c r="F8" s="9" t="s">
        <v>2896</v>
      </c>
    </row>
    <row r="9" spans="1:6" ht="30" customHeight="1">
      <c r="A9" s="8" t="s">
        <v>449</v>
      </c>
      <c r="B9" s="8" t="s">
        <v>2893</v>
      </c>
      <c r="C9" s="8" t="s">
        <v>2897</v>
      </c>
      <c r="D9" s="8" t="s">
        <v>2898</v>
      </c>
      <c r="E9" s="8" t="s">
        <v>804</v>
      </c>
      <c r="F9" s="9" t="s">
        <v>2896</v>
      </c>
    </row>
    <row r="10" spans="1:6" ht="30" customHeight="1">
      <c r="A10" s="8" t="s">
        <v>465</v>
      </c>
      <c r="B10" s="8" t="s">
        <v>2893</v>
      </c>
      <c r="C10" s="8" t="s">
        <v>2899</v>
      </c>
      <c r="D10" s="8" t="s">
        <v>2900</v>
      </c>
      <c r="E10" s="8" t="s">
        <v>804</v>
      </c>
      <c r="F10" s="9" t="s">
        <v>2896</v>
      </c>
    </row>
    <row r="11" spans="1:6" ht="7" customHeight="1"/>
    <row r="12" spans="1:6" ht="22" customHeight="1">
      <c r="A12" s="5" t="s">
        <v>2901</v>
      </c>
      <c r="B12" s="5"/>
      <c r="C12" s="5"/>
      <c r="D12" s="5"/>
      <c r="E12" s="5"/>
      <c r="F12" s="5"/>
    </row>
    <row r="13" spans="1:6" ht="30" customHeight="1">
      <c r="A13" s="8" t="s">
        <v>107</v>
      </c>
      <c r="B13" s="8" t="s">
        <v>726</v>
      </c>
      <c r="C13" s="8" t="s">
        <v>2902</v>
      </c>
      <c r="D13" s="8" t="s">
        <v>744</v>
      </c>
      <c r="E13" s="8" t="str">
        <f>HOT_CALL_RESPONSE_CARD!E53</f>
        <v>MIX SMOKE BUC</v>
      </c>
      <c r="F13" s="9" t="s">
        <v>2903</v>
      </c>
    </row>
    <row r="14" spans="1:6" ht="30" customHeight="1">
      <c r="A14" s="8" t="s">
        <v>103</v>
      </c>
      <c r="B14" s="8" t="s">
        <v>726</v>
      </c>
      <c r="C14" s="8" t="s">
        <v>2902</v>
      </c>
      <c r="D14" s="8" t="s">
        <v>700</v>
      </c>
      <c r="E14" s="8" t="str">
        <f>HOT_CALL_RESPONSE_CARD!E49</f>
        <v>PIT FALCON</v>
      </c>
      <c r="F14" s="9" t="s">
        <v>2903</v>
      </c>
    </row>
    <row r="15" spans="1:6" ht="7" customHeight="1"/>
    <row r="16" spans="1:6" ht="22" customHeight="1">
      <c r="A16" s="5" t="s">
        <v>2904</v>
      </c>
      <c r="B16" s="5"/>
      <c r="C16" s="5"/>
      <c r="D16" s="5"/>
      <c r="E16" s="5"/>
      <c r="F16" s="5"/>
    </row>
    <row r="17" spans="1:6" ht="30" customHeight="1">
      <c r="A17" s="8" t="s">
        <v>107</v>
      </c>
      <c r="B17" s="8" t="s">
        <v>726</v>
      </c>
      <c r="C17" s="8" t="s">
        <v>2905</v>
      </c>
      <c r="D17" s="8" t="s">
        <v>744</v>
      </c>
      <c r="E17" s="8" t="s">
        <v>2906</v>
      </c>
      <c r="F17" s="9" t="s">
        <v>2907</v>
      </c>
    </row>
    <row r="18" spans="1:6" ht="30" customHeight="1">
      <c r="A18" s="8" t="s">
        <v>103</v>
      </c>
      <c r="B18" s="8" t="s">
        <v>726</v>
      </c>
      <c r="C18" s="8" t="s">
        <v>2905</v>
      </c>
      <c r="D18" s="8" t="s">
        <v>700</v>
      </c>
      <c r="E18" s="8" t="s">
        <v>2906</v>
      </c>
      <c r="F18" s="9" t="s">
        <v>2907</v>
      </c>
    </row>
    <row r="19" spans="1:6" ht="7" customHeight="1"/>
    <row r="20" spans="1:6" ht="22" customHeight="1">
      <c r="A20" s="5" t="s">
        <v>2908</v>
      </c>
      <c r="B20" s="5"/>
      <c r="C20" s="5"/>
      <c r="D20" s="5"/>
      <c r="E20" s="5"/>
      <c r="F20" s="5"/>
    </row>
    <row r="21" spans="1:6" ht="30" customHeight="1">
      <c r="A21" s="8" t="s">
        <v>816</v>
      </c>
      <c r="B21" s="8" t="s">
        <v>2909</v>
      </c>
      <c r="C21" s="8" t="s">
        <v>2910</v>
      </c>
      <c r="D21" s="8" t="s">
        <v>2911</v>
      </c>
      <c r="E21" s="8" t="s">
        <v>2711</v>
      </c>
      <c r="F21" s="9" t="s">
        <v>2912</v>
      </c>
    </row>
    <row r="22" spans="1:6" ht="30" customHeight="1">
      <c r="A22" s="8" t="s">
        <v>815</v>
      </c>
      <c r="B22" s="8" t="s">
        <v>2909</v>
      </c>
      <c r="C22" s="8" t="s">
        <v>2913</v>
      </c>
      <c r="D22" s="8" t="s">
        <v>2914</v>
      </c>
      <c r="E22" s="8" t="s">
        <v>2711</v>
      </c>
      <c r="F22" s="9" t="s">
        <v>2912</v>
      </c>
    </row>
    <row r="23" spans="1:6" ht="7" customHeight="1"/>
    <row r="24" spans="1:6" ht="22" customHeight="1">
      <c r="A24" s="5" t="s">
        <v>2915</v>
      </c>
      <c r="B24" s="5"/>
      <c r="C24" s="5"/>
      <c r="D24" s="5"/>
      <c r="E24" s="5"/>
      <c r="F24" s="5"/>
    </row>
    <row r="25" spans="1:6" ht="30" customHeight="1">
      <c r="A25" s="8" t="s">
        <v>102</v>
      </c>
      <c r="B25" s="8" t="s">
        <v>2916</v>
      </c>
      <c r="C25" s="8" t="s">
        <v>2917</v>
      </c>
      <c r="D25" s="8" t="s">
        <v>795</v>
      </c>
      <c r="E25" s="8" t="str">
        <f>DEF_CALL_DECISION_SUPPORT!K1247</f>
        <v>Strong Candidate</v>
      </c>
      <c r="F25" s="9" t="s">
        <v>2918</v>
      </c>
    </row>
    <row r="26" spans="1:6" ht="30" customHeight="1">
      <c r="A26" s="8" t="s">
        <v>43</v>
      </c>
      <c r="B26" s="8" t="s">
        <v>2916</v>
      </c>
      <c r="C26" s="8" t="s">
        <v>2917</v>
      </c>
      <c r="D26" s="8" t="s">
        <v>795</v>
      </c>
      <c r="E26" s="8" t="str">
        <f>DEF_CALL_DECISION_SUPPORT!K1203</f>
        <v>Strong Candidate</v>
      </c>
      <c r="F26" s="9" t="s">
        <v>2918</v>
      </c>
    </row>
    <row r="27" spans="1:6" ht="7" customHeight="1"/>
    <row r="28" spans="1:6" ht="22" customHeight="1">
      <c r="A28" s="5" t="s">
        <v>2919</v>
      </c>
      <c r="B28" s="5"/>
      <c r="C28" s="5"/>
      <c r="D28" s="5"/>
      <c r="E28" s="5"/>
      <c r="F28" s="5"/>
    </row>
    <row r="29" spans="1:6" ht="30" customHeight="1">
      <c r="A29" s="8" t="s">
        <v>428</v>
      </c>
      <c r="B29" s="8" t="str">
        <f>CALL_LOOKUP_BOARD!B45</f>
        <v>STUD</v>
      </c>
      <c r="C29" s="8" t="s">
        <v>2920</v>
      </c>
      <c r="D29" s="8" t="str">
        <f>CALL_LOOKUP_BOARD!H45</f>
        <v>MEDIUM</v>
      </c>
      <c r="E29" s="8" t="str">
        <f>CALL_LOOKUP_BOARD!I45</f>
        <v>Strong Candidate</v>
      </c>
      <c r="F29" s="9" t="s">
        <v>2921</v>
      </c>
    </row>
    <row r="30" spans="1:6" ht="30" customHeight="1">
      <c r="A30" s="8" t="s">
        <v>449</v>
      </c>
      <c r="B30" s="8" t="str">
        <f>CALL_LOOKUP_BOARD!B34</f>
        <v>RAMBO</v>
      </c>
      <c r="C30" s="8" t="s">
        <v>2920</v>
      </c>
      <c r="D30" s="8" t="str">
        <f>CALL_LOOKUP_BOARD!H34</f>
        <v>MEDIUM</v>
      </c>
      <c r="E30" s="8" t="str">
        <f>CALL_LOOKUP_BOARD!I34</f>
        <v>Strong Candidate</v>
      </c>
      <c r="F30" s="9" t="s">
        <v>2921</v>
      </c>
    </row>
    <row r="31" spans="1:6" ht="7" customHeight="1"/>
    <row r="32" spans="1:6" ht="22" customHeight="1">
      <c r="A32" s="5" t="s">
        <v>2922</v>
      </c>
      <c r="B32" s="5"/>
      <c r="C32" s="5"/>
      <c r="D32" s="5"/>
      <c r="E32" s="5"/>
      <c r="F32" s="5"/>
    </row>
    <row r="33" spans="1:6" ht="30" customHeight="1">
      <c r="A33" s="8" t="s">
        <v>815</v>
      </c>
      <c r="B33" s="8" t="str">
        <f>CALL_LOOKUP_BOARD!B96</f>
        <v>BOURBON</v>
      </c>
      <c r="C33" s="8" t="s">
        <v>465</v>
      </c>
      <c r="D33" s="8" t="s">
        <v>2923</v>
      </c>
      <c r="E33" s="8" t="s">
        <v>2924</v>
      </c>
      <c r="F33" s="9" t="s">
        <v>2925</v>
      </c>
    </row>
    <row r="34" spans="1:6" ht="30" customHeight="1">
      <c r="A34" s="8" t="s">
        <v>819</v>
      </c>
      <c r="B34" s="8" t="str">
        <f>CALL_LOOKUP_BOARD!B117</f>
        <v>BOURBON</v>
      </c>
      <c r="C34" s="8" t="s">
        <v>474</v>
      </c>
      <c r="D34" s="8" t="s">
        <v>2923</v>
      </c>
      <c r="E34" s="8" t="s">
        <v>2924</v>
      </c>
      <c r="F34" s="9" t="s">
        <v>2925</v>
      </c>
    </row>
    <row r="35" spans="1:6" ht="7" customHeight="1"/>
    <row r="36" spans="1:6" ht="22" customHeight="1">
      <c r="A36" s="5" t="s">
        <v>2926</v>
      </c>
      <c r="B36" s="5"/>
      <c r="C36" s="5"/>
      <c r="D36" s="5"/>
      <c r="E36" s="5"/>
      <c r="F36" s="5"/>
    </row>
    <row r="37" spans="1:6" ht="30" customHeight="1">
      <c r="A37" s="8" t="s">
        <v>630</v>
      </c>
      <c r="B37" s="8" t="s">
        <v>32</v>
      </c>
      <c r="C37" s="8" t="s">
        <v>2927</v>
      </c>
      <c r="D37" s="8" t="s">
        <v>795</v>
      </c>
      <c r="E37" s="8" t="s">
        <v>2928</v>
      </c>
      <c r="F37" s="9" t="s">
        <v>2929</v>
      </c>
    </row>
    <row r="38" spans="1:6" ht="30" customHeight="1">
      <c r="A38" s="8" t="s">
        <v>115</v>
      </c>
      <c r="B38" s="8" t="s">
        <v>44</v>
      </c>
      <c r="C38" s="8" t="s">
        <v>2930</v>
      </c>
      <c r="D38" s="8" t="s">
        <v>795</v>
      </c>
      <c r="E38" s="8" t="s">
        <v>2928</v>
      </c>
      <c r="F38" s="9" t="s">
        <v>2929</v>
      </c>
    </row>
    <row r="39" spans="1:6" ht="7" customHeight="1"/>
    <row r="40" spans="1:6" ht="22" customHeight="1">
      <c r="A40" s="5" t="s">
        <v>2931</v>
      </c>
      <c r="B40" s="5"/>
      <c r="C40" s="5"/>
      <c r="D40" s="5"/>
      <c r="E40" s="5"/>
      <c r="F40" s="5"/>
    </row>
    <row r="41" spans="1:6" ht="30" customHeight="1">
      <c r="A41" s="8" t="s">
        <v>630</v>
      </c>
      <c r="B41" s="8" t="s">
        <v>32</v>
      </c>
      <c r="C41" s="8" t="s">
        <v>2932</v>
      </c>
      <c r="D41" s="8" t="s">
        <v>2917</v>
      </c>
      <c r="E41" s="8" t="s">
        <v>2928</v>
      </c>
      <c r="F41" s="9" t="s">
        <v>2933</v>
      </c>
    </row>
    <row r="42" spans="1:6" ht="30" customHeight="1">
      <c r="A42" s="8" t="s">
        <v>115</v>
      </c>
      <c r="B42" s="8" t="s">
        <v>44</v>
      </c>
      <c r="C42" s="8" t="s">
        <v>2934</v>
      </c>
      <c r="D42" s="8" t="s">
        <v>2935</v>
      </c>
      <c r="E42" s="8" t="s">
        <v>2928</v>
      </c>
      <c r="F42" s="9" t="s">
        <v>2933</v>
      </c>
    </row>
    <row r="43" spans="1:6" ht="7" customHeight="1"/>
    <row r="44" spans="1:6" ht="22" customHeight="1">
      <c r="A44" s="5" t="s">
        <v>2936</v>
      </c>
      <c r="B44" s="5"/>
      <c r="C44" s="5"/>
      <c r="D44" s="5"/>
      <c r="E44" s="5"/>
      <c r="F44" s="5"/>
    </row>
    <row r="45" spans="1:6" ht="30" customHeight="1">
      <c r="A45" s="8" t="s">
        <v>630</v>
      </c>
      <c r="B45" s="8" t="s">
        <v>109</v>
      </c>
      <c r="C45" s="8" t="s">
        <v>2937</v>
      </c>
      <c r="D45" s="8" t="s">
        <v>791</v>
      </c>
      <c r="E45" s="8" t="s">
        <v>2928</v>
      </c>
      <c r="F45" s="9" t="s">
        <v>2938</v>
      </c>
    </row>
    <row r="46" spans="1:6" ht="30" customHeight="1">
      <c r="A46" s="8" t="s">
        <v>630</v>
      </c>
      <c r="B46" s="8" t="s">
        <v>117</v>
      </c>
      <c r="C46" s="8" t="s">
        <v>2937</v>
      </c>
      <c r="D46" s="8" t="s">
        <v>791</v>
      </c>
      <c r="E46" s="8" t="s">
        <v>2928</v>
      </c>
      <c r="F46" s="9" t="s">
        <v>2938</v>
      </c>
    </row>
    <row r="47" spans="1:6" ht="7" customHeight="1"/>
    <row r="48" spans="1:6" ht="22" customHeight="1">
      <c r="A48" s="5" t="s">
        <v>2939</v>
      </c>
      <c r="B48" s="5"/>
      <c r="C48" s="5"/>
      <c r="D48" s="5"/>
      <c r="E48" s="5"/>
      <c r="F48" s="5"/>
    </row>
    <row r="49" spans="1:6" ht="35" customHeight="1">
      <c r="A49" s="7" t="s">
        <v>2940</v>
      </c>
      <c r="B49" s="7"/>
      <c r="C49" s="7"/>
      <c r="D49" s="7"/>
      <c r="E49" s="7"/>
      <c r="F49" s="7"/>
    </row>
    <row r="50" spans="1:6" ht="35" customHeight="1">
      <c r="A50" s="7" t="s">
        <v>2941</v>
      </c>
      <c r="B50" s="7"/>
      <c r="C50" s="7"/>
      <c r="D50" s="7"/>
      <c r="E50" s="7"/>
      <c r="F50" s="7"/>
    </row>
    <row r="51" spans="1:6" ht="7" customHeight="1"/>
    <row r="52" spans="1:6" ht="7" customHeight="1"/>
  </sheetData>
  <sheetProtection sheet="1" objects="1" scenarios="1" autoFilter="0"/>
  <mergeCells count="16">
    <mergeCell ref="A1:F1"/>
    <mergeCell ref="A3:F3"/>
    <mergeCell ref="A5:F5"/>
    <mergeCell ref="A7:F7"/>
    <mergeCell ref="A12:F12"/>
    <mergeCell ref="A16:F16"/>
    <mergeCell ref="A20:F20"/>
    <mergeCell ref="A24:F24"/>
    <mergeCell ref="A28:F28"/>
    <mergeCell ref="A32:F32"/>
    <mergeCell ref="A36:F36"/>
    <mergeCell ref="A40:F40"/>
    <mergeCell ref="A44:F44"/>
    <mergeCell ref="A48:F48"/>
    <mergeCell ref="A49:F49"/>
    <mergeCell ref="A50:F50"/>
  </mergeCells>
  <hyperlinks>
    <hyperlink ref="A2" location="'START_HERE'!A1" display="START"/>
    <hyperlink ref="C2" location="'CALL_LOOKUP_BOARD'!A1" display="FIND A CALL"/>
    <hyperlink ref="F2" location="'HOT_CALL_RESPONSE_CARD'!A1" display="OPPONENT ALERTS"/>
  </hyperlinks>
  <pageMargins left="0.25" right="0.25" top="0.35" bottom="0.35" header="0.3" footer="0.3"/>
  <pageSetup paperSize="1" fitToHeight="0" orientation="landscape"/>
  <headerFooter>
    <oddHeader>&amp;LWeekly Gameplan&amp;RFilm confirms the numbers</oddHeader>
    <oddFooter>&amp;LConcept call-fit candidates, not automatic calls&amp;RPage &amp;P of &amp;N</oddFooter>
  </headerFooter>
  <rowBreaks count="1" manualBreakCount="1">
    <brk id="2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578568"/>
    <pageSetUpPr fitToPage="1"/>
  </sheetPr>
  <dimension ref="A1:H76"/>
  <sheetViews>
    <sheetView workbookViewId="0"/>
  </sheetViews>
  <sheetFormatPr defaultRowHeight="25" customHeight="1"/>
  <cols>
    <col min="1" max="1" width="22.7109375" customWidth="1"/>
    <col min="2" max="3" width="31.7109375" customWidth="1"/>
    <col min="4" max="4" width="27.7109375" customWidth="1"/>
    <col min="5" max="5" width="32.7109375" customWidth="1"/>
    <col min="6" max="6" width="40.7109375" customWidth="1"/>
    <col min="7" max="7" width="17.7109375" customWidth="1"/>
    <col min="8" max="8" width="55.7109375" customWidth="1"/>
  </cols>
  <sheetData>
    <row r="1" spans="1:8" ht="36" customHeight="1">
      <c r="A1" s="1" t="s">
        <v>2942</v>
      </c>
      <c r="B1" s="1"/>
      <c r="C1" s="1"/>
      <c r="D1" s="1"/>
      <c r="E1" s="1"/>
      <c r="F1" s="1"/>
      <c r="G1" s="1"/>
      <c r="H1" s="1"/>
    </row>
    <row r="2" spans="1:8" ht="25" customHeight="1">
      <c r="A2" s="3" t="s">
        <v>1</v>
      </c>
      <c r="C2" s="3" t="s">
        <v>2</v>
      </c>
      <c r="F2" s="3" t="s">
        <v>3</v>
      </c>
    </row>
    <row r="3" spans="1:8" ht="34" customHeight="1">
      <c r="A3" s="4" t="s">
        <v>2943</v>
      </c>
      <c r="B3" s="4"/>
      <c r="C3" s="4"/>
      <c r="D3" s="4"/>
      <c r="E3" s="4"/>
      <c r="F3" s="4"/>
      <c r="G3" s="4"/>
      <c r="H3" s="4"/>
    </row>
    <row r="6" spans="1:8" ht="27" customHeight="1">
      <c r="A6" s="5" t="s">
        <v>2944</v>
      </c>
      <c r="B6" s="5"/>
      <c r="C6" s="5"/>
      <c r="D6" s="5"/>
      <c r="E6" s="5"/>
      <c r="F6" s="5"/>
      <c r="G6" s="5"/>
      <c r="H6" s="5"/>
    </row>
    <row r="7" spans="1:8" ht="46" customHeight="1">
      <c r="A7" s="6" t="s">
        <v>20</v>
      </c>
      <c r="B7" s="6" t="s">
        <v>2862</v>
      </c>
      <c r="C7" s="6" t="s">
        <v>2945</v>
      </c>
      <c r="D7" s="6" t="s">
        <v>2946</v>
      </c>
      <c r="E7" s="6" t="s">
        <v>2947</v>
      </c>
      <c r="F7" s="6" t="s">
        <v>2948</v>
      </c>
      <c r="G7" s="6" t="s">
        <v>2949</v>
      </c>
      <c r="H7" s="6" t="s">
        <v>19</v>
      </c>
    </row>
    <row r="8" spans="1:8" ht="56" customHeight="1">
      <c r="A8" s="8" t="s">
        <v>107</v>
      </c>
      <c r="B8" s="8" t="s">
        <v>726</v>
      </c>
      <c r="C8" s="8" t="s">
        <v>2905</v>
      </c>
      <c r="D8" s="8" t="str">
        <f>HOT_CALL_RESPONSE_CARD!E53</f>
        <v>MIX SMOKE BUC</v>
      </c>
      <c r="E8" s="8" t="s">
        <v>744</v>
      </c>
      <c r="F8" s="8" t="s">
        <v>2950</v>
      </c>
      <c r="G8" s="14" t="s">
        <v>799</v>
      </c>
      <c r="H8" s="7" t="s">
        <v>2951</v>
      </c>
    </row>
    <row r="9" spans="1:8" ht="56" customHeight="1">
      <c r="A9" s="8" t="s">
        <v>103</v>
      </c>
      <c r="B9" s="8" t="s">
        <v>726</v>
      </c>
      <c r="C9" s="8" t="s">
        <v>2905</v>
      </c>
      <c r="D9" s="8" t="str">
        <f>HOT_CALL_RESPONSE_CARD!E49</f>
        <v>PIT FALCON</v>
      </c>
      <c r="E9" s="8" t="s">
        <v>700</v>
      </c>
      <c r="F9" s="8" t="s">
        <v>2952</v>
      </c>
      <c r="G9" s="14" t="s">
        <v>791</v>
      </c>
      <c r="H9" s="7" t="s">
        <v>2951</v>
      </c>
    </row>
    <row r="10" spans="1:8" ht="56" customHeight="1">
      <c r="A10" s="8" t="s">
        <v>70</v>
      </c>
      <c r="B10" s="8" t="s">
        <v>726</v>
      </c>
      <c r="C10" s="8" t="s">
        <v>2905</v>
      </c>
      <c r="D10" s="8" t="str">
        <f>HOT_CALL_RESPONSE_CARD!E29</f>
        <v>REBEL</v>
      </c>
      <c r="E10" s="8" t="s">
        <v>700</v>
      </c>
      <c r="F10" s="8" t="s">
        <v>2953</v>
      </c>
      <c r="G10" s="14" t="s">
        <v>791</v>
      </c>
      <c r="H10" s="7" t="s">
        <v>2951</v>
      </c>
    </row>
    <row r="11" spans="1:8" ht="56" customHeight="1">
      <c r="A11" s="8" t="s">
        <v>115</v>
      </c>
      <c r="B11" s="8" t="s">
        <v>699</v>
      </c>
      <c r="C11" s="8" t="s">
        <v>465</v>
      </c>
      <c r="D11" s="8" t="str">
        <f>HOT_CALL_RESPONSE_CARD!E8</f>
        <v>RAMBO</v>
      </c>
      <c r="E11" s="8" t="s">
        <v>700</v>
      </c>
      <c r="F11" s="8" t="s">
        <v>2954</v>
      </c>
      <c r="G11" s="14" t="s">
        <v>791</v>
      </c>
      <c r="H11" s="7" t="s">
        <v>2951</v>
      </c>
    </row>
    <row r="12" spans="1:8" ht="56" customHeight="1">
      <c r="A12" s="8" t="s">
        <v>96</v>
      </c>
      <c r="B12" s="8" t="s">
        <v>750</v>
      </c>
      <c r="C12" s="8" t="s">
        <v>2905</v>
      </c>
      <c r="D12" s="8" t="str">
        <f>HOT_CALL_RESPONSE_CARD!E57</f>
        <v>MIX SMOKE BUC</v>
      </c>
      <c r="E12" s="8" t="s">
        <v>700</v>
      </c>
      <c r="F12" s="8" t="s">
        <v>2955</v>
      </c>
      <c r="G12" s="14" t="s">
        <v>791</v>
      </c>
      <c r="H12" s="7" t="s">
        <v>2951</v>
      </c>
    </row>
    <row r="13" spans="1:8" ht="56" customHeight="1">
      <c r="A13" s="8" t="s">
        <v>39</v>
      </c>
      <c r="B13" s="8" t="s">
        <v>713</v>
      </c>
      <c r="C13" s="8" t="s">
        <v>2905</v>
      </c>
      <c r="D13" s="8" t="str">
        <f>HOT_CALL_RESPONSE_CARD!E21</f>
        <v>TEX</v>
      </c>
      <c r="E13" s="8" t="s">
        <v>700</v>
      </c>
      <c r="F13" s="8" t="s">
        <v>2956</v>
      </c>
      <c r="G13" s="14" t="s">
        <v>791</v>
      </c>
      <c r="H13" s="7" t="s">
        <v>2951</v>
      </c>
    </row>
    <row r="17" spans="1:8" ht="27" customHeight="1">
      <c r="A17" s="5" t="s">
        <v>2957</v>
      </c>
      <c r="B17" s="5"/>
      <c r="C17" s="5"/>
      <c r="D17" s="5"/>
      <c r="E17" s="5"/>
      <c r="F17" s="5"/>
      <c r="G17" s="5"/>
      <c r="H17" s="5"/>
    </row>
    <row r="18" spans="1:8" ht="46" customHeight="1">
      <c r="A18" s="6" t="s">
        <v>20</v>
      </c>
      <c r="B18" s="6" t="s">
        <v>2862</v>
      </c>
      <c r="C18" s="6" t="s">
        <v>2945</v>
      </c>
      <c r="D18" s="6" t="s">
        <v>2946</v>
      </c>
      <c r="E18" s="6" t="s">
        <v>2947</v>
      </c>
      <c r="F18" s="6" t="s">
        <v>2948</v>
      </c>
      <c r="G18" s="6" t="s">
        <v>2949</v>
      </c>
      <c r="H18" s="6" t="s">
        <v>19</v>
      </c>
    </row>
    <row r="19" spans="1:8" ht="56" customHeight="1">
      <c r="A19" s="8" t="s">
        <v>2430</v>
      </c>
      <c r="B19" s="8" t="s">
        <v>2893</v>
      </c>
      <c r="C19" s="8" t="s">
        <v>428</v>
      </c>
      <c r="D19" s="8" t="str">
        <f>CALL_LOOKUP_BOARD!B45</f>
        <v>STUD</v>
      </c>
      <c r="E19" s="8" t="s">
        <v>2444</v>
      </c>
      <c r="F19" s="8" t="s">
        <v>2958</v>
      </c>
      <c r="G19" s="14" t="s">
        <v>795</v>
      </c>
      <c r="H19" s="7" t="s">
        <v>2959</v>
      </c>
    </row>
    <row r="20" spans="1:8" ht="56" customHeight="1">
      <c r="A20" s="8" t="s">
        <v>2430</v>
      </c>
      <c r="B20" s="8" t="s">
        <v>2893</v>
      </c>
      <c r="C20" s="8" t="s">
        <v>449</v>
      </c>
      <c r="D20" s="8" t="str">
        <f>CALL_LOOKUP_BOARD!B34</f>
        <v>RAMBO</v>
      </c>
      <c r="E20" s="8" t="s">
        <v>2444</v>
      </c>
      <c r="F20" s="8" t="s">
        <v>2958</v>
      </c>
      <c r="G20" s="14" t="s">
        <v>795</v>
      </c>
      <c r="H20" s="7" t="s">
        <v>2959</v>
      </c>
    </row>
    <row r="21" spans="1:8" ht="56" customHeight="1">
      <c r="A21" s="8" t="s">
        <v>2430</v>
      </c>
      <c r="B21" s="8" t="s">
        <v>2893</v>
      </c>
      <c r="C21" s="8" t="s">
        <v>465</v>
      </c>
      <c r="D21" s="8" t="str">
        <f>CALL_LOOKUP_BOARD!B48</f>
        <v>BOURBON</v>
      </c>
      <c r="E21" s="8" t="s">
        <v>2444</v>
      </c>
      <c r="F21" s="8" t="s">
        <v>2960</v>
      </c>
      <c r="G21" s="14" t="s">
        <v>791</v>
      </c>
      <c r="H21" s="7" t="s">
        <v>2959</v>
      </c>
    </row>
    <row r="22" spans="1:8" ht="56" customHeight="1">
      <c r="A22" s="8" t="s">
        <v>2430</v>
      </c>
      <c r="B22" s="8" t="s">
        <v>2893</v>
      </c>
      <c r="C22" s="8" t="s">
        <v>474</v>
      </c>
      <c r="D22" s="8" t="str">
        <f>CALL_LOOKUP_BOARD!B54</f>
        <v>BOURBON</v>
      </c>
      <c r="E22" s="8" t="s">
        <v>2444</v>
      </c>
      <c r="F22" s="8" t="s">
        <v>2961</v>
      </c>
      <c r="G22" s="14" t="s">
        <v>791</v>
      </c>
      <c r="H22" s="7" t="s">
        <v>2959</v>
      </c>
    </row>
    <row r="23" spans="1:8" ht="56" customHeight="1">
      <c r="A23" s="8" t="s">
        <v>2430</v>
      </c>
      <c r="B23" s="8" t="s">
        <v>2893</v>
      </c>
      <c r="C23" s="8" t="s">
        <v>468</v>
      </c>
      <c r="D23" s="8" t="str">
        <f>CALL_LOOKUP_BOARD!B49</f>
        <v>KEY CAPTAIN</v>
      </c>
      <c r="E23" s="8" t="s">
        <v>2444</v>
      </c>
      <c r="F23" s="8" t="s">
        <v>2960</v>
      </c>
      <c r="G23" s="14" t="s">
        <v>791</v>
      </c>
      <c r="H23" s="7" t="s">
        <v>2959</v>
      </c>
    </row>
    <row r="24" spans="1:8" ht="56" customHeight="1">
      <c r="A24" s="8" t="s">
        <v>2430</v>
      </c>
      <c r="B24" s="8" t="s">
        <v>2893</v>
      </c>
      <c r="C24" s="8" t="s">
        <v>878</v>
      </c>
      <c r="D24" s="8" t="str">
        <f>CALL_LOOKUP_BOARD!B44</f>
        <v>Film Review Required</v>
      </c>
      <c r="E24" s="8" t="s">
        <v>2444</v>
      </c>
      <c r="F24" s="8" t="s">
        <v>2962</v>
      </c>
      <c r="G24" s="14" t="s">
        <v>791</v>
      </c>
      <c r="H24" s="7" t="s">
        <v>2959</v>
      </c>
    </row>
    <row r="28" spans="1:8" ht="27" customHeight="1">
      <c r="A28" s="5" t="s">
        <v>2963</v>
      </c>
      <c r="B28" s="5"/>
      <c r="C28" s="5"/>
      <c r="D28" s="5"/>
      <c r="E28" s="5"/>
      <c r="F28" s="5"/>
      <c r="G28" s="5"/>
      <c r="H28" s="5"/>
    </row>
    <row r="29" spans="1:8" ht="46" customHeight="1">
      <c r="A29" s="6" t="s">
        <v>20</v>
      </c>
      <c r="B29" s="6" t="s">
        <v>2862</v>
      </c>
      <c r="C29" s="6" t="s">
        <v>2945</v>
      </c>
      <c r="D29" s="6" t="s">
        <v>2946</v>
      </c>
      <c r="E29" s="6" t="s">
        <v>2947</v>
      </c>
      <c r="F29" s="6" t="s">
        <v>2948</v>
      </c>
      <c r="G29" s="6" t="s">
        <v>2949</v>
      </c>
      <c r="H29" s="6" t="s">
        <v>19</v>
      </c>
    </row>
    <row r="30" spans="1:8" ht="56" customHeight="1">
      <c r="A30" s="8" t="s">
        <v>2430</v>
      </c>
      <c r="B30" s="8" t="s">
        <v>2909</v>
      </c>
      <c r="C30" s="8" t="s">
        <v>815</v>
      </c>
      <c r="D30" s="8" t="str">
        <f>CALL_LOOKUP_BOARD!B96</f>
        <v>BOURBON</v>
      </c>
      <c r="E30" s="8" t="s">
        <v>2923</v>
      </c>
      <c r="F30" s="8" t="s">
        <v>2964</v>
      </c>
      <c r="G30" s="14" t="s">
        <v>2965</v>
      </c>
      <c r="H30" s="7" t="s">
        <v>2966</v>
      </c>
    </row>
    <row r="31" spans="1:8" ht="56" customHeight="1">
      <c r="A31" s="8" t="s">
        <v>2430</v>
      </c>
      <c r="B31" s="8" t="s">
        <v>2909</v>
      </c>
      <c r="C31" s="8" t="s">
        <v>819</v>
      </c>
      <c r="D31" s="8" t="str">
        <f>CALL_LOOKUP_BOARD!B117</f>
        <v>BOURBON</v>
      </c>
      <c r="E31" s="8" t="s">
        <v>2923</v>
      </c>
      <c r="F31" s="8" t="s">
        <v>2967</v>
      </c>
      <c r="G31" s="14" t="s">
        <v>2965</v>
      </c>
      <c r="H31" s="7" t="s">
        <v>2966</v>
      </c>
    </row>
    <row r="32" spans="1:8" ht="56" customHeight="1">
      <c r="A32" s="8" t="s">
        <v>2430</v>
      </c>
      <c r="B32" s="8" t="s">
        <v>2909</v>
      </c>
      <c r="C32" s="8" t="s">
        <v>823</v>
      </c>
      <c r="D32" s="8" t="str">
        <f>CALL_LOOKUP_BOARD!B131</f>
        <v>STUD</v>
      </c>
      <c r="E32" s="8" t="s">
        <v>2923</v>
      </c>
      <c r="F32" s="8" t="s">
        <v>2968</v>
      </c>
      <c r="G32" s="14" t="s">
        <v>2965</v>
      </c>
      <c r="H32" s="7" t="s">
        <v>2966</v>
      </c>
    </row>
    <row r="33" spans="1:8" ht="56" customHeight="1">
      <c r="A33" s="8" t="s">
        <v>2430</v>
      </c>
      <c r="B33" s="8" t="s">
        <v>2909</v>
      </c>
      <c r="C33" s="8" t="s">
        <v>1398</v>
      </c>
      <c r="D33" s="8" t="str">
        <f>CALL_LOOKUP_BOARD!B97</f>
        <v>BOURBON</v>
      </c>
      <c r="E33" s="8" t="s">
        <v>2923</v>
      </c>
      <c r="F33" s="8" t="s">
        <v>2964</v>
      </c>
      <c r="G33" s="14" t="s">
        <v>2965</v>
      </c>
      <c r="H33" s="7" t="s">
        <v>2966</v>
      </c>
    </row>
    <row r="34" spans="1:8" ht="56" customHeight="1">
      <c r="A34" s="8" t="s">
        <v>2430</v>
      </c>
      <c r="B34" s="8" t="s">
        <v>2909</v>
      </c>
      <c r="C34" s="8" t="s">
        <v>824</v>
      </c>
      <c r="D34" s="8" t="str">
        <f>CALL_LOOKUP_BOARD!B137</f>
        <v>STUD</v>
      </c>
      <c r="E34" s="8" t="s">
        <v>2923</v>
      </c>
      <c r="F34" s="8" t="s">
        <v>2968</v>
      </c>
      <c r="G34" s="14" t="s">
        <v>2965</v>
      </c>
      <c r="H34" s="7" t="s">
        <v>2966</v>
      </c>
    </row>
    <row r="35" spans="1:8" ht="56" customHeight="1">
      <c r="A35" s="8" t="s">
        <v>2430</v>
      </c>
      <c r="B35" s="8" t="s">
        <v>2909</v>
      </c>
      <c r="C35" s="8" t="s">
        <v>818</v>
      </c>
      <c r="D35" s="8" t="str">
        <f>CALL_LOOKUP_BOARD!B130</f>
        <v>STUD</v>
      </c>
      <c r="E35" s="8" t="s">
        <v>2923</v>
      </c>
      <c r="F35" s="8" t="s">
        <v>2968</v>
      </c>
      <c r="G35" s="14" t="s">
        <v>2965</v>
      </c>
      <c r="H35" s="7" t="s">
        <v>2966</v>
      </c>
    </row>
    <row r="39" spans="1:8" ht="27" customHeight="1">
      <c r="A39" s="5" t="s">
        <v>2969</v>
      </c>
      <c r="B39" s="5"/>
      <c r="C39" s="5"/>
      <c r="D39" s="5"/>
      <c r="E39" s="5"/>
      <c r="F39" s="5"/>
      <c r="G39" s="5"/>
      <c r="H39" s="5"/>
    </row>
    <row r="40" spans="1:8" ht="46" customHeight="1">
      <c r="A40" s="6" t="s">
        <v>20</v>
      </c>
      <c r="B40" s="6" t="s">
        <v>2862</v>
      </c>
      <c r="C40" s="6" t="s">
        <v>2945</v>
      </c>
      <c r="D40" s="6" t="s">
        <v>2946</v>
      </c>
      <c r="E40" s="6" t="s">
        <v>2947</v>
      </c>
      <c r="F40" s="6" t="s">
        <v>2948</v>
      </c>
      <c r="G40" s="6" t="s">
        <v>2949</v>
      </c>
      <c r="H40" s="6" t="s">
        <v>19</v>
      </c>
    </row>
    <row r="41" spans="1:8" ht="56" customHeight="1">
      <c r="A41" s="8" t="s">
        <v>630</v>
      </c>
      <c r="B41" s="8" t="s">
        <v>2970</v>
      </c>
      <c r="C41" s="8" t="s">
        <v>2971</v>
      </c>
      <c r="D41" s="8" t="s">
        <v>32</v>
      </c>
      <c r="E41" s="8" t="s">
        <v>2928</v>
      </c>
      <c r="F41" s="8" t="s">
        <v>2972</v>
      </c>
      <c r="G41" s="14" t="s">
        <v>799</v>
      </c>
      <c r="H41" s="7" t="s">
        <v>2973</v>
      </c>
    </row>
    <row r="42" spans="1:8" ht="56" customHeight="1">
      <c r="A42" s="8" t="s">
        <v>115</v>
      </c>
      <c r="B42" s="8" t="s">
        <v>2970</v>
      </c>
      <c r="C42" s="8" t="s">
        <v>2971</v>
      </c>
      <c r="D42" s="8" t="s">
        <v>44</v>
      </c>
      <c r="E42" s="8" t="s">
        <v>2928</v>
      </c>
      <c r="F42" s="8" t="s">
        <v>2974</v>
      </c>
      <c r="G42" s="14" t="s">
        <v>799</v>
      </c>
      <c r="H42" s="7" t="s">
        <v>2973</v>
      </c>
    </row>
    <row r="43" spans="1:8" ht="56" customHeight="1">
      <c r="A43" s="8" t="s">
        <v>630</v>
      </c>
      <c r="B43" s="8" t="s">
        <v>2970</v>
      </c>
      <c r="C43" s="8" t="s">
        <v>2971</v>
      </c>
      <c r="D43" s="8" t="s">
        <v>34</v>
      </c>
      <c r="E43" s="8" t="s">
        <v>2928</v>
      </c>
      <c r="F43" s="8" t="s">
        <v>2975</v>
      </c>
      <c r="G43" s="14" t="s">
        <v>799</v>
      </c>
      <c r="H43" s="7" t="s">
        <v>2973</v>
      </c>
    </row>
    <row r="44" spans="1:8" ht="56" customHeight="1">
      <c r="A44" s="8" t="s">
        <v>39</v>
      </c>
      <c r="B44" s="8" t="s">
        <v>2970</v>
      </c>
      <c r="C44" s="8" t="s">
        <v>2971</v>
      </c>
      <c r="D44" s="8" t="s">
        <v>60</v>
      </c>
      <c r="E44" s="8" t="s">
        <v>2928</v>
      </c>
      <c r="F44" s="8" t="s">
        <v>2976</v>
      </c>
      <c r="G44" s="14" t="s">
        <v>799</v>
      </c>
      <c r="H44" s="7" t="s">
        <v>2973</v>
      </c>
    </row>
    <row r="45" spans="1:8" ht="56" customHeight="1">
      <c r="A45" s="8" t="s">
        <v>557</v>
      </c>
      <c r="B45" s="8" t="s">
        <v>2970</v>
      </c>
      <c r="C45" s="8" t="s">
        <v>449</v>
      </c>
      <c r="D45" s="8" t="s">
        <v>101</v>
      </c>
      <c r="E45" s="8" t="s">
        <v>2928</v>
      </c>
      <c r="F45" s="8" t="s">
        <v>2977</v>
      </c>
      <c r="G45" s="14" t="s">
        <v>799</v>
      </c>
      <c r="H45" s="7" t="s">
        <v>2973</v>
      </c>
    </row>
    <row r="46" spans="1:8" ht="56" customHeight="1">
      <c r="A46" s="8" t="s">
        <v>630</v>
      </c>
      <c r="B46" s="8" t="s">
        <v>2970</v>
      </c>
      <c r="C46" s="8" t="s">
        <v>2971</v>
      </c>
      <c r="D46" s="8" t="s">
        <v>63</v>
      </c>
      <c r="E46" s="8" t="s">
        <v>2928</v>
      </c>
      <c r="F46" s="8" t="s">
        <v>2978</v>
      </c>
      <c r="G46" s="14" t="s">
        <v>799</v>
      </c>
      <c r="H46" s="7" t="s">
        <v>2973</v>
      </c>
    </row>
    <row r="50" spans="1:8" ht="27" customHeight="1">
      <c r="A50" s="5" t="s">
        <v>2979</v>
      </c>
      <c r="B50" s="5"/>
      <c r="C50" s="5"/>
      <c r="D50" s="5"/>
      <c r="E50" s="5"/>
      <c r="F50" s="5"/>
      <c r="G50" s="5"/>
      <c r="H50" s="5"/>
    </row>
    <row r="51" spans="1:8" ht="46" customHeight="1">
      <c r="A51" s="6" t="s">
        <v>20</v>
      </c>
      <c r="B51" s="6" t="s">
        <v>2862</v>
      </c>
      <c r="C51" s="6" t="s">
        <v>2945</v>
      </c>
      <c r="D51" s="6" t="s">
        <v>2946</v>
      </c>
      <c r="E51" s="6" t="s">
        <v>2947</v>
      </c>
      <c r="F51" s="6" t="s">
        <v>2948</v>
      </c>
      <c r="G51" s="6" t="s">
        <v>2949</v>
      </c>
      <c r="H51" s="6" t="s">
        <v>19</v>
      </c>
    </row>
    <row r="52" spans="1:8" ht="56" customHeight="1">
      <c r="A52" s="8" t="s">
        <v>630</v>
      </c>
      <c r="B52" s="8" t="s">
        <v>2980</v>
      </c>
      <c r="C52" s="8" t="s">
        <v>2971</v>
      </c>
      <c r="D52" s="8" t="s">
        <v>32</v>
      </c>
      <c r="E52" s="8" t="s">
        <v>2928</v>
      </c>
      <c r="F52" s="8" t="s">
        <v>2981</v>
      </c>
      <c r="G52" s="14" t="s">
        <v>799</v>
      </c>
      <c r="H52" s="7" t="s">
        <v>2982</v>
      </c>
    </row>
    <row r="53" spans="1:8" ht="56" customHeight="1">
      <c r="A53" s="8" t="s">
        <v>115</v>
      </c>
      <c r="B53" s="8" t="s">
        <v>2980</v>
      </c>
      <c r="C53" s="8" t="s">
        <v>2971</v>
      </c>
      <c r="D53" s="8" t="s">
        <v>44</v>
      </c>
      <c r="E53" s="8" t="s">
        <v>2928</v>
      </c>
      <c r="F53" s="8" t="s">
        <v>2983</v>
      </c>
      <c r="G53" s="14" t="s">
        <v>799</v>
      </c>
      <c r="H53" s="7" t="s">
        <v>2982</v>
      </c>
    </row>
    <row r="54" spans="1:8" ht="56" customHeight="1">
      <c r="A54" s="8" t="s">
        <v>630</v>
      </c>
      <c r="B54" s="8" t="s">
        <v>2980</v>
      </c>
      <c r="C54" s="8" t="s">
        <v>2971</v>
      </c>
      <c r="D54" s="8" t="s">
        <v>34</v>
      </c>
      <c r="E54" s="8" t="s">
        <v>2928</v>
      </c>
      <c r="F54" s="8" t="s">
        <v>2983</v>
      </c>
      <c r="G54" s="14" t="s">
        <v>799</v>
      </c>
      <c r="H54" s="7" t="s">
        <v>2982</v>
      </c>
    </row>
    <row r="55" spans="1:8" ht="56" customHeight="1">
      <c r="A55" s="8" t="s">
        <v>39</v>
      </c>
      <c r="B55" s="8" t="s">
        <v>2980</v>
      </c>
      <c r="C55" s="8" t="s">
        <v>2971</v>
      </c>
      <c r="D55" s="8" t="s">
        <v>60</v>
      </c>
      <c r="E55" s="8" t="s">
        <v>2928</v>
      </c>
      <c r="F55" s="8" t="s">
        <v>2984</v>
      </c>
      <c r="G55" s="14" t="s">
        <v>799</v>
      </c>
      <c r="H55" s="7" t="s">
        <v>2982</v>
      </c>
    </row>
    <row r="56" spans="1:8" ht="56" customHeight="1">
      <c r="A56" s="8" t="s">
        <v>557</v>
      </c>
      <c r="B56" s="8" t="s">
        <v>2980</v>
      </c>
      <c r="C56" s="8" t="s">
        <v>449</v>
      </c>
      <c r="D56" s="8" t="s">
        <v>101</v>
      </c>
      <c r="E56" s="8" t="s">
        <v>2928</v>
      </c>
      <c r="F56" s="8" t="s">
        <v>2984</v>
      </c>
      <c r="G56" s="14" t="s">
        <v>799</v>
      </c>
      <c r="H56" s="7" t="s">
        <v>2982</v>
      </c>
    </row>
    <row r="57" spans="1:8" ht="56" customHeight="1">
      <c r="A57" s="8" t="s">
        <v>630</v>
      </c>
      <c r="B57" s="8" t="s">
        <v>2980</v>
      </c>
      <c r="C57" s="8" t="s">
        <v>2971</v>
      </c>
      <c r="D57" s="8" t="s">
        <v>63</v>
      </c>
      <c r="E57" s="8" t="s">
        <v>2928</v>
      </c>
      <c r="F57" s="8" t="s">
        <v>2985</v>
      </c>
      <c r="G57" s="14" t="s">
        <v>799</v>
      </c>
      <c r="H57" s="7" t="s">
        <v>2982</v>
      </c>
    </row>
    <row r="61" spans="1:8" ht="27" customHeight="1">
      <c r="A61" s="5" t="s">
        <v>2986</v>
      </c>
      <c r="B61" s="5"/>
      <c r="C61" s="5"/>
      <c r="D61" s="5"/>
      <c r="E61" s="5"/>
      <c r="F61" s="5"/>
      <c r="G61" s="5"/>
      <c r="H61" s="5"/>
    </row>
    <row r="62" spans="1:8" ht="46" customHeight="1">
      <c r="A62" s="6" t="s">
        <v>20</v>
      </c>
      <c r="B62" s="6" t="s">
        <v>2862</v>
      </c>
      <c r="C62" s="6" t="s">
        <v>2945</v>
      </c>
      <c r="D62" s="6" t="s">
        <v>2946</v>
      </c>
      <c r="E62" s="6" t="s">
        <v>2947</v>
      </c>
      <c r="F62" s="6" t="s">
        <v>2948</v>
      </c>
      <c r="G62" s="6" t="s">
        <v>2949</v>
      </c>
      <c r="H62" s="6" t="s">
        <v>19</v>
      </c>
    </row>
    <row r="63" spans="1:8" ht="56" customHeight="1">
      <c r="A63" s="8" t="s">
        <v>630</v>
      </c>
      <c r="B63" s="8" t="s">
        <v>2987</v>
      </c>
      <c r="C63" s="8" t="s">
        <v>2971</v>
      </c>
      <c r="D63" s="8" t="s">
        <v>109</v>
      </c>
      <c r="E63" s="8" t="s">
        <v>2928</v>
      </c>
      <c r="F63" s="8" t="s">
        <v>2988</v>
      </c>
      <c r="G63" s="14" t="s">
        <v>2965</v>
      </c>
      <c r="H63" s="7" t="s">
        <v>2989</v>
      </c>
    </row>
    <row r="64" spans="1:8" ht="56" customHeight="1">
      <c r="A64" s="8" t="s">
        <v>630</v>
      </c>
      <c r="B64" s="8" t="s">
        <v>2987</v>
      </c>
      <c r="C64" s="8" t="s">
        <v>2971</v>
      </c>
      <c r="D64" s="8" t="s">
        <v>117</v>
      </c>
      <c r="E64" s="8" t="s">
        <v>2928</v>
      </c>
      <c r="F64" s="8" t="s">
        <v>2988</v>
      </c>
      <c r="G64" s="14" t="s">
        <v>2965</v>
      </c>
      <c r="H64" s="7" t="s">
        <v>2989</v>
      </c>
    </row>
    <row r="65" spans="1:8" ht="56" customHeight="1">
      <c r="A65" s="8" t="s">
        <v>630</v>
      </c>
      <c r="B65" s="8" t="s">
        <v>2987</v>
      </c>
      <c r="C65" s="8" t="s">
        <v>2971</v>
      </c>
      <c r="D65" s="8" t="s">
        <v>59</v>
      </c>
      <c r="E65" s="8" t="s">
        <v>2928</v>
      </c>
      <c r="F65" s="8" t="s">
        <v>2988</v>
      </c>
      <c r="G65" s="14" t="s">
        <v>2965</v>
      </c>
      <c r="H65" s="7" t="s">
        <v>2989</v>
      </c>
    </row>
    <row r="66" spans="1:8" ht="56" customHeight="1">
      <c r="A66" s="8" t="s">
        <v>630</v>
      </c>
      <c r="B66" s="8" t="s">
        <v>2987</v>
      </c>
      <c r="C66" s="8" t="s">
        <v>2971</v>
      </c>
      <c r="D66" s="8" t="s">
        <v>110</v>
      </c>
      <c r="E66" s="8" t="s">
        <v>2928</v>
      </c>
      <c r="F66" s="8" t="s">
        <v>2988</v>
      </c>
      <c r="G66" s="14" t="s">
        <v>2965</v>
      </c>
      <c r="H66" s="7" t="s">
        <v>2989</v>
      </c>
    </row>
    <row r="67" spans="1:8" ht="56" customHeight="1">
      <c r="A67" s="8" t="s">
        <v>630</v>
      </c>
      <c r="B67" s="8" t="s">
        <v>2987</v>
      </c>
      <c r="C67" s="8" t="s">
        <v>2971</v>
      </c>
      <c r="D67" s="8" t="s">
        <v>106</v>
      </c>
      <c r="E67" s="8" t="s">
        <v>2928</v>
      </c>
      <c r="F67" s="8" t="s">
        <v>2988</v>
      </c>
      <c r="G67" s="14" t="s">
        <v>2965</v>
      </c>
      <c r="H67" s="7" t="s">
        <v>2989</v>
      </c>
    </row>
    <row r="68" spans="1:8" ht="56" customHeight="1">
      <c r="A68" s="8" t="s">
        <v>446</v>
      </c>
      <c r="B68" s="8" t="s">
        <v>2987</v>
      </c>
      <c r="C68" s="8" t="s">
        <v>446</v>
      </c>
      <c r="D68" s="8" t="s">
        <v>79</v>
      </c>
      <c r="E68" s="8" t="s">
        <v>2928</v>
      </c>
      <c r="F68" s="8" t="s">
        <v>2988</v>
      </c>
      <c r="G68" s="14" t="s">
        <v>2965</v>
      </c>
      <c r="H68" s="7" t="s">
        <v>2989</v>
      </c>
    </row>
    <row r="72" spans="1:8" ht="27" customHeight="1">
      <c r="A72" s="5" t="s">
        <v>2990</v>
      </c>
      <c r="B72" s="5"/>
      <c r="C72" s="5"/>
      <c r="D72" s="5"/>
      <c r="E72" s="5"/>
      <c r="F72" s="5"/>
      <c r="G72" s="5"/>
      <c r="H72" s="5"/>
    </row>
    <row r="73" spans="1:8" ht="46" customHeight="1">
      <c r="A73" s="6" t="s">
        <v>20</v>
      </c>
      <c r="B73" s="6" t="s">
        <v>2862</v>
      </c>
      <c r="C73" s="6" t="s">
        <v>2945</v>
      </c>
      <c r="D73" s="6" t="s">
        <v>2946</v>
      </c>
      <c r="E73" s="6" t="s">
        <v>2947</v>
      </c>
      <c r="F73" s="6" t="s">
        <v>2948</v>
      </c>
      <c r="G73" s="6" t="s">
        <v>2949</v>
      </c>
      <c r="H73" s="6" t="s">
        <v>19</v>
      </c>
    </row>
    <row r="74" spans="1:8" ht="56" customHeight="1">
      <c r="A74" s="8" t="s">
        <v>2991</v>
      </c>
      <c r="B74" s="8" t="s">
        <v>2992</v>
      </c>
      <c r="C74" s="8" t="s">
        <v>2993</v>
      </c>
      <c r="D74" s="8" t="s">
        <v>2994</v>
      </c>
      <c r="E74" s="8" t="s">
        <v>2995</v>
      </c>
      <c r="F74" s="8" t="s">
        <v>2996</v>
      </c>
      <c r="G74" s="14" t="s">
        <v>795</v>
      </c>
      <c r="H74" s="7" t="s">
        <v>2997</v>
      </c>
    </row>
    <row r="75" spans="1:8" ht="56" customHeight="1">
      <c r="A75" s="8" t="s">
        <v>2998</v>
      </c>
      <c r="B75" s="8" t="s">
        <v>2999</v>
      </c>
      <c r="C75" s="8" t="s">
        <v>3000</v>
      </c>
      <c r="D75" s="8" t="s">
        <v>3001</v>
      </c>
      <c r="E75" s="8" t="s">
        <v>3002</v>
      </c>
      <c r="F75" s="8" t="s">
        <v>3003</v>
      </c>
      <c r="G75" s="14" t="s">
        <v>795</v>
      </c>
      <c r="H75" s="7" t="s">
        <v>3004</v>
      </c>
    </row>
    <row r="76" spans="1:8" ht="56" customHeight="1">
      <c r="A76" s="8" t="s">
        <v>3005</v>
      </c>
      <c r="B76" s="8" t="s">
        <v>2909</v>
      </c>
      <c r="C76" s="8" t="s">
        <v>3006</v>
      </c>
      <c r="D76" s="8" t="s">
        <v>3007</v>
      </c>
      <c r="E76" s="8" t="s">
        <v>2711</v>
      </c>
      <c r="F76" s="8" t="s">
        <v>3008</v>
      </c>
      <c r="G76" s="14" t="s">
        <v>2965</v>
      </c>
      <c r="H76" s="7" t="s">
        <v>3009</v>
      </c>
    </row>
  </sheetData>
  <sheetProtection sheet="1" objects="1" scenarios="1" autoFilter="0"/>
  <mergeCells count="9">
    <mergeCell ref="A1:H1"/>
    <mergeCell ref="A3:H3"/>
    <mergeCell ref="A6:H6"/>
    <mergeCell ref="A17:H17"/>
    <mergeCell ref="A28:H28"/>
    <mergeCell ref="A39:H39"/>
    <mergeCell ref="A50:H50"/>
    <mergeCell ref="A61:H61"/>
    <mergeCell ref="A72:H72"/>
  </mergeCells>
  <conditionalFormatting sqref="A1:R76">
    <cfRule type="containsText" dxfId="0" priority="1" operator="containsText" text="PASS">
      <formula>NOT(ISERROR(SEARCH("PASS",A1)))</formula>
    </cfRule>
    <cfRule type="containsText" dxfId="0" priority="2" operator="containsText" text="Strong Candidate">
      <formula>NOT(ISERROR(SEARCH("Strong Candidate",A1)))</formula>
    </cfRule>
    <cfRule type="containsText" dxfId="0" priority="3" operator="containsText" text="Good Candidate">
      <formula>NOT(ISERROR(SEARCH("Good Candidate",A1)))</formula>
    </cfRule>
    <cfRule type="containsText" dxfId="0" priority="4" operator="containsText" text="HIGH">
      <formula>NOT(ISERROR(SEARCH("HIGH",A1)))</formula>
    </cfRule>
    <cfRule type="containsText" dxfId="1" priority="5" operator="containsText" text="REVIEW">
      <formula>NOT(ISERROR(SEARCH("REVIEW",A1)))</formula>
    </cfRule>
    <cfRule type="containsText" dxfId="1" priority="6" operator="containsText" text="Sample Watch">
      <formula>NOT(ISERROR(SEARCH("Sample Watch",A1)))</formula>
    </cfRule>
    <cfRule type="containsText" dxfId="1" priority="7" operator="containsText" text="LOW">
      <formula>NOT(ISERROR(SEARCH("LOW",A1)))</formula>
    </cfRule>
    <cfRule type="containsText" dxfId="2" priority="8" operator="containsText" text="TRACK">
      <formula>NOT(ISERROR(SEARCH("TRACK",A1)))</formula>
    </cfRule>
    <cfRule type="containsText" dxfId="2" priority="9" operator="containsText" text="Concept Proxy">
      <formula>NOT(ISERROR(SEARCH("Concept Proxy",A1)))</formula>
    </cfRule>
    <cfRule type="containsText" dxfId="3" priority="10" operator="containsText" text="FAIL">
      <formula>NOT(ISERROR(SEARCH("FAIL",A1)))</formula>
    </cfRule>
    <cfRule type="containsText" dxfId="3" priority="11" operator="containsText" text="Problem Call">
      <formula>NOT(ISERROR(SEARCH("Problem Call",A1)))</formula>
    </cfRule>
    <cfRule type="containsText" dxfId="3" priority="12" operator="containsText" text="Explosive Alert">
      <formula>NOT(ISERROR(SEARCH("Explosive Alert",A1)))</formula>
    </cfRule>
  </conditionalFormatting>
  <hyperlinks>
    <hyperlink ref="A2" location="'START_HERE'!A1" display="START"/>
    <hyperlink ref="C2" location="'CALL_LOOKUP_BOARD'!A1" display="FIND A CALL"/>
    <hyperlink ref="F2" location="'HOT_CALL_RESPONSE_CARD'!A1" display="OPPONENT ALERTS"/>
  </hyperlinks>
  <pageMargins left="0.25" right="0.25" top="0.35" bottom="0.35" header="0.3" footer="0.3"/>
  <pageSetup paperSize="1" fitToHeight="0" orientation="landscape"/>
  <headerFooter>
    <oddHeader>&amp;LWeekly Gameplan&amp;RFilm confirms the numbers</oddHeader>
    <oddFooter>&amp;LConcept call-fit candidates, not automatic calls&amp;RPage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B8873B"/>
    <pageSetUpPr fitToPage="1"/>
  </sheetPr>
  <dimension ref="A1:AJ65"/>
  <sheetViews>
    <sheetView workbookViewId="0"/>
  </sheetViews>
  <sheetFormatPr defaultRowHeight="25" customHeight="1"/>
  <cols>
    <col min="1" max="1" width="49.7109375" customWidth="1"/>
    <col min="2" max="2" width="24.7109375" customWidth="1"/>
    <col min="3" max="6" width="27.7109375" customWidth="1"/>
    <col min="27" max="36" width="15.7109375" hidden="1" customWidth="1"/>
  </cols>
  <sheetData>
    <row r="1" spans="1:35" ht="36" customHeight="1">
      <c r="A1" s="1" t="s">
        <v>3010</v>
      </c>
      <c r="B1" s="1"/>
      <c r="C1" s="1"/>
      <c r="D1" s="1"/>
      <c r="E1" s="1"/>
      <c r="F1" s="1"/>
    </row>
    <row r="2" spans="1:35" ht="25" customHeight="1">
      <c r="A2" s="3" t="s">
        <v>1</v>
      </c>
      <c r="C2" s="3" t="s">
        <v>2</v>
      </c>
      <c r="F2" s="3" t="s">
        <v>3</v>
      </c>
    </row>
    <row r="3" spans="1:35" ht="34" customHeight="1">
      <c r="A3" s="4" t="s">
        <v>3011</v>
      </c>
      <c r="B3" s="4"/>
      <c r="C3" s="4"/>
      <c r="D3" s="4"/>
      <c r="E3" s="4"/>
      <c r="F3" s="4"/>
    </row>
    <row r="6" spans="1:35" ht="46" customHeight="1">
      <c r="A6" s="6" t="s">
        <v>3012</v>
      </c>
      <c r="B6" s="6" t="s">
        <v>3013</v>
      </c>
      <c r="C6" s="6" t="s">
        <v>3014</v>
      </c>
      <c r="D6" s="6" t="s">
        <v>3015</v>
      </c>
    </row>
    <row r="8" spans="1:35" ht="44" customHeight="1">
      <c r="A8" s="8" t="s">
        <v>3016</v>
      </c>
      <c r="B8" s="14" t="str">
        <f>IF(COUNTIF(OPPONENT_IMPORT!J42:J1040,1)&gt;0,"PASS","FAIL")</f>
        <v>PASS</v>
      </c>
      <c r="C8" s="12">
        <f>COUNTIF(OPPONENT_IMPORT!J42:J1040,1)</f>
        <v>165</v>
      </c>
      <c r="D8" s="9" t="s">
        <v>3017</v>
      </c>
      <c r="E8" s="9"/>
      <c r="F8" s="9"/>
      <c r="AC8" s="12">
        <v>1</v>
      </c>
      <c r="AD8" s="2" t="str">
        <f>IF(AC8&lt;=2,"TRACK",IF(AC8=3,"LOW",IF(AC8&lt;=6,"MEDIUM","HIGH")))</f>
        <v>TRACK</v>
      </c>
      <c r="AF8" s="2">
        <f>ROUND(AG8*70+(1-AH8)*20+MAX(0,MIN(1,(10-AI8)/10))*10,1)</f>
        <v>100</v>
      </c>
      <c r="AG8" s="8">
        <v>1</v>
      </c>
      <c r="AH8" s="8">
        <v>0</v>
      </c>
      <c r="AI8" s="8">
        <v>0</v>
      </c>
    </row>
    <row r="9" spans="1:35" ht="44" customHeight="1">
      <c r="A9" s="8" t="s">
        <v>3018</v>
      </c>
      <c r="B9" s="14" t="str">
        <f>IF(COUNTIF(DEF_SELF_SCOUT_IMPORT!L42:L1040,"Y")&gt;0,"PASS","FAIL")</f>
        <v>PASS</v>
      </c>
      <c r="C9" s="12">
        <f>COUNTIF(DEF_SELF_SCOUT_IMPORT!L42:L1040,"Y")</f>
        <v>274</v>
      </c>
      <c r="D9" s="9" t="s">
        <v>3019</v>
      </c>
      <c r="E9" s="9"/>
      <c r="F9" s="9"/>
      <c r="AC9" s="12">
        <v>2</v>
      </c>
      <c r="AD9" s="2" t="str">
        <f>IF(AC9&lt;=2,"TRACK",IF(AC9=3,"LOW",IF(AC9&lt;=6,"MEDIUM","HIGH")))</f>
        <v>TRACK</v>
      </c>
      <c r="AF9" s="2">
        <f>ROUND(AG9*70+(1-AH9)*20+MAX(0,MIN(1,(10-AI9)/10))*10,1)</f>
        <v>0</v>
      </c>
      <c r="AG9" s="8">
        <v>0</v>
      </c>
      <c r="AH9" s="8">
        <v>1</v>
      </c>
      <c r="AI9" s="8">
        <v>10</v>
      </c>
    </row>
    <row r="10" spans="1:35" ht="44" customHeight="1">
      <c r="A10" s="8" t="s">
        <v>3020</v>
      </c>
      <c r="B10" s="14" t="str">
        <f>IF(SUM(CALL_LOOKUP_BOARD!C33:C59)&gt;0,"PASS","FAIL")</f>
        <v>PASS</v>
      </c>
      <c r="D10" s="9" t="s">
        <v>3021</v>
      </c>
      <c r="E10" s="9"/>
      <c r="F10" s="9"/>
      <c r="AC10" s="12">
        <v>3</v>
      </c>
      <c r="AD10" s="2" t="str">
        <f>IF(AC10&lt;=2,"TRACK",IF(AC10=3,"LOW",IF(AC10&lt;=6,"MEDIUM","HIGH")))</f>
        <v>LOW</v>
      </c>
      <c r="AF10" s="2">
        <f>ROUND(AG10*70+(1-AH10)*20+MAX(0,MIN(1,(10-AI10)/10))*10,1)</f>
        <v>35</v>
      </c>
      <c r="AG10" s="8">
        <v>0.5</v>
      </c>
      <c r="AH10" s="8">
        <v>1</v>
      </c>
      <c r="AI10" s="8">
        <v>20</v>
      </c>
    </row>
    <row r="11" spans="1:35" ht="44" customHeight="1">
      <c r="A11" s="8" t="s">
        <v>3022</v>
      </c>
      <c r="B11" s="14" t="str">
        <f>IF(SUM(DEF_CALL_DECISION_SUPPORT!C10:C178)&gt;0,"PASS","FAIL")</f>
        <v>PASS</v>
      </c>
      <c r="D11" s="9" t="s">
        <v>3023</v>
      </c>
      <c r="E11" s="9"/>
      <c r="F11" s="9"/>
      <c r="AC11" s="12">
        <v>4</v>
      </c>
      <c r="AD11" s="2" t="str">
        <f>IF(AC11&lt;=2,"TRACK",IF(AC11=3,"LOW",IF(AC11&lt;=6,"MEDIUM","HIGH")))</f>
        <v>MEDIUM</v>
      </c>
      <c r="AF11" s="2">
        <f>ROUND(AG11*70+(1-AH11)*20+MAX(0,MIN(1,(10-AI11)/10))*10,1)</f>
        <v>60</v>
      </c>
      <c r="AG11" s="8">
        <v>0.5</v>
      </c>
      <c r="AH11" s="8">
        <v>0</v>
      </c>
      <c r="AI11" s="8">
        <v>5</v>
      </c>
    </row>
    <row r="12" spans="1:35" ht="44" customHeight="1">
      <c r="A12" s="8" t="s">
        <v>3024</v>
      </c>
      <c r="B12" s="14" t="str">
        <f>IF(COUNTA(HOT_CALL_RESPONSE_CARD!A8:A63)&gt;0,"PASS","FAIL")</f>
        <v>PASS</v>
      </c>
      <c r="C12" s="12">
        <v>56</v>
      </c>
      <c r="D12" s="9" t="s">
        <v>3025</v>
      </c>
      <c r="E12" s="9"/>
      <c r="F12" s="9"/>
      <c r="AC12" s="12">
        <v>6</v>
      </c>
      <c r="AD12" s="2" t="str">
        <f>IF(AC12&lt;=2,"TRACK",IF(AC12=3,"LOW",IF(AC12&lt;=6,"MEDIUM","HIGH")))</f>
        <v>MEDIUM</v>
      </c>
    </row>
    <row r="13" spans="1:35" ht="44" customHeight="1">
      <c r="A13" s="8" t="s">
        <v>3026</v>
      </c>
      <c r="B13" s="14" t="str">
        <f>IF(COUNTA(GAMEPLAN_CHEAT_SHEET!A8:A52)&gt;=11,"PASS","FAIL")</f>
        <v>PASS</v>
      </c>
      <c r="D13" s="9" t="s">
        <v>3027</v>
      </c>
      <c r="E13" s="9"/>
      <c r="F13" s="9"/>
      <c r="AC13" s="12">
        <v>7</v>
      </c>
      <c r="AD13" s="2" t="str">
        <f>IF(AC13&lt;=2,"TRACK",IF(AC13=3,"LOW",IF(AC13&lt;=6,"MEDIUM","HIGH")))</f>
        <v>HIGH</v>
      </c>
    </row>
    <row r="14" spans="1:35" ht="44" customHeight="1">
      <c r="A14" s="8" t="s">
        <v>3028</v>
      </c>
      <c r="B14" s="14" t="str">
        <f>IF(COUNTA(PRACTICE_SCRIPT_BOARD!A8:A80)&gt;0,"PASS","FAIL")</f>
        <v>PASS</v>
      </c>
      <c r="C14" s="12">
        <v>39</v>
      </c>
      <c r="D14" s="9" t="s">
        <v>3029</v>
      </c>
      <c r="E14" s="9"/>
      <c r="F14" s="9"/>
    </row>
    <row r="15" spans="1:35" ht="44" customHeight="1">
      <c r="A15" s="8" t="s">
        <v>3030</v>
      </c>
      <c r="B15" s="14" t="str">
        <f>IFERROR(IF(AND(COUNTA(INDIRECT("'START_HERE'!A1"))=1,COUNTA(INDIRECT("'OPPONENT_IMPORT'!A1"))=1,COUNTA(INDIRECT("'DEF_SELF_SCOUT_IMPORT'!A1"))=1,COUNTA(INDIRECT("'CALL_LOOKUP_BOARD'!A1"))=1,COUNTA(INDIRECT("'DEF_CALL_DECISION_SUPPORT'!A1"))=1,COUNTA(INDIRECT("'HOT_CALL_RESPONSE_CARD'!A1"))=1,COUNTA(INDIRECT("'GAMEPLAN_CHEAT_SHEET'!A1"))=1,COUNTA(INDIRECT("'PRACTICE_SCRIPT_BOARD'!A1"))=1,COUNTA(INDIRECT("'FORMULA_CHECK'!A1"))=1),"PASS","FAIL"),"FAIL")</f>
        <v>PASS</v>
      </c>
      <c r="C15" s="12">
        <v>9</v>
      </c>
      <c r="D15" s="9" t="s">
        <v>3031</v>
      </c>
      <c r="E15" s="9"/>
      <c r="F15" s="9"/>
    </row>
    <row r="16" spans="1:35" ht="44" customHeight="1">
      <c r="A16" s="8" t="s">
        <v>3032</v>
      </c>
      <c r="B16" s="14" t="str">
        <f>IF(AND(COUNTIF('OPPONENT_IMPORT'!$A$8:$A$17,"MASTER_STRATEGY_CARD")=1,COUNTIF('OPPONENT_IMPORT'!$A$8:$A$17,"MASTER_SIGNAL_BOARD")=1,COUNTIF('OPPONENT_IMPORT'!$A$8:$A$17,"MASTER_SNAPSHOT")=1,COUNTIF('OPPONENT_IMPORT'!$A$8:$A$17,"MASTER_IDENTITY_BOARD")=1,COUNTIF('OPPONENT_IMPORT'!$A$8:$A$17,"MASTER_DD_CONCEPT_IDENTITY")=1,COUNTIF('OPPONENT_IMPORT'!$A$8:$A$17,"MASTER_DD_PLAYCALL_IDENTITY")=1,COUNTIF('OPPONENT_IMPORT'!$A$8:$A$17,"MASTER_DD_PERSONNEL_CONCEPT")=1,COUNTIF('OPPONENT_IMPORT'!$A$8:$A$17,"MASTER_DD_STRUCTURE_CONCEPT")=1,COUNTIF('OPPONENT_IMPORT'!$A$8:$A$17,"MASTER_DD_PER_PLAYCALL")=1,COUNTIF('OPPONENT_IMPORT'!$A$8:$A$17,"MASTER_DD_STRUCTURE_PLAYCALL")=1,COUNTIF('DEF_SELF_SCOUT_IMPORT'!$A$8:$A$32,"DEF_INPUT")=1,COUNTIF('DEF_SELF_SCOUT_IMPORT'!$A$8:$A$32,"DEF_SNAPSHOT")=1,COUNTIF('DEF_SELF_SCOUT_IMPORT'!$A$8:$A$32,"DEF_ALL")=1,COUNTIF('DEF_SELF_SCOUT_IMPORT'!$A$8:$A$32,"DEF_D&amp;D")=1,COUNTIF('DEF_SELF_SCOUT_IMPORT'!$A$8:$A$32,"DEF_CONCEPT")=1,COUNTIF('DEF_SELF_SCOUT_IMPORT'!$A$8:$A$32,"DEF_11P_ALL")=1,COUNTIF('DEF_SELF_SCOUT_IMPORT'!$A$8:$A$32,"DEF_11P_3X1")=1,COUNTIF('DEF_SELF_SCOUT_IMPORT'!$A$8:$A$32,"DEF_11P_2X2")=1,COUNTIF('DEF_SELF_SCOUT_IMPORT'!$A$8:$A$32,"DEF_12P_3X1")=1,COUNTIF('DEF_SELF_SCOUT_IMPORT'!$A$8:$A$32,"DEF_12P_2X2")=1,COUNTIF('DEF_SELF_SCOUT_IMPORT'!$A$8:$A$32,"DEF_00P_3X1")=1,COUNTIF('DEF_SELF_SCOUT_IMPORT'!$A$8:$A$32,"DEF_OTHER")=1,COUNTIF('DEF_SELF_SCOUT_IMPORT'!$A$8:$A$32,"DEF_P10_CALLS")=1,COUNTIF('DEF_SELF_SCOUT_IMPORT'!$A$8:$A$32,"DEF_1ST_10")=1,COUNTIF('DEF_SELF_SCOUT_IMPORT'!$A$8:$A$32,"DEF_2ND_1-3")=1,COUNTIF('DEF_SELF_SCOUT_IMPORT'!$A$8:$A$32,"DEF_2ND_4-6(m)")=1,COUNTIF('DEF_SELF_SCOUT_IMPORT'!$A$8:$A$32,"DEF_2ND_7-10")=1,COUNTIF('DEF_SELF_SCOUT_IMPORT'!$A$8:$A$32,"DEF_2ND_11+")=1,COUNTIF('DEF_SELF_SCOUT_IMPORT'!$A$8:$A$32,"DEF_3RD_1-3")=1,COUNTIF('DEF_SELF_SCOUT_IMPORT'!$A$8:$A$32,"DEF_3RD_4-6")=1,COUNTIF('DEF_SELF_SCOUT_IMPORT'!$A$8:$A$32,"DEF_3RD_7-10")=1,COUNTIF('DEF_SELF_SCOUT_IMPORT'!$A$8:$A$32,"DEF_3RD_11+")=1,COUNTIF('DEF_SELF_SCOUT_IMPORT'!$A$8:$A$32,"DEF_3RD_SNAPSHOT")=1,COUNTIF('DEF_SELF_SCOUT_IMPORT'!$A$8:$A$32,"DEF_4TH")=1,COUNTIF('DEF_SELF_SCOUT_IMPORT'!$A$8:$A$32,"DEF_FORMULA_CHECK")=1),"PASS","FAIL")</f>
        <v>PASS</v>
      </c>
      <c r="C16" s="12">
        <v>35</v>
      </c>
      <c r="D16" s="9" t="s">
        <v>3033</v>
      </c>
      <c r="E16" s="9"/>
      <c r="F16" s="9"/>
    </row>
    <row r="17" spans="1:6" ht="44" customHeight="1">
      <c r="A17" s="8" t="s">
        <v>3034</v>
      </c>
      <c r="B17" s="14" t="str">
        <f>IF(C48=0,"PASS","FAIL")</f>
        <v>PASS</v>
      </c>
      <c r="C17" s="12">
        <v>0</v>
      </c>
      <c r="D17" s="9" t="s">
        <v>3035</v>
      </c>
      <c r="E17" s="9"/>
      <c r="F17" s="9"/>
    </row>
    <row r="18" spans="1:6" ht="44" customHeight="1">
      <c r="A18" s="8" t="s">
        <v>3036</v>
      </c>
      <c r="B18" s="14" t="str">
        <f>IF(SUM(C35:C43)=0,"PASS","FAIL")</f>
        <v>PASS</v>
      </c>
      <c r="C18" s="12">
        <f>SUM(C35:C43)</f>
        <v>0</v>
      </c>
      <c r="D18" s="9" t="s">
        <v>3037</v>
      </c>
      <c r="E18" s="9"/>
      <c r="F18" s="9"/>
    </row>
    <row r="19" spans="1:6" ht="44" customHeight="1">
      <c r="A19" s="8" t="s">
        <v>3038</v>
      </c>
      <c r="B19" s="14" t="str">
        <f>IF(C49=0,"PASS","FAIL")</f>
        <v>PASS</v>
      </c>
      <c r="C19" s="12">
        <v>0</v>
      </c>
      <c r="D19" s="9" t="s">
        <v>3039</v>
      </c>
      <c r="E19" s="9"/>
      <c r="F19" s="9"/>
    </row>
    <row r="20" spans="1:6" ht="44" customHeight="1">
      <c r="A20" s="8" t="s">
        <v>3040</v>
      </c>
      <c r="B20" s="14" t="str">
        <f>IF(SUM(DEF_CALL_DECISION_SUPPORT!C10:C178)=COUNTIF(DEF_SELF_SCOUT_IMPORT!L42:L1040,"Y"),"PASS","FAIL")</f>
        <v>PASS</v>
      </c>
      <c r="D20" s="9" t="s">
        <v>3041</v>
      </c>
      <c r="E20" s="9"/>
      <c r="F20" s="9"/>
    </row>
    <row r="21" spans="1:6" ht="44" customHeight="1">
      <c r="A21" s="8" t="s">
        <v>3042</v>
      </c>
      <c r="B21" s="14" t="str">
        <f>IF(COUNTIF(DEF_SELF_SCOUT_IMPORT!R42:R1040,"REVIEW*")=0,"PASS","REVIEW")</f>
        <v>PASS</v>
      </c>
      <c r="D21" s="9" t="s">
        <v>3043</v>
      </c>
      <c r="E21" s="9"/>
      <c r="F21" s="9"/>
    </row>
    <row r="22" spans="1:6" ht="44" customHeight="1">
      <c r="A22" s="8" t="s">
        <v>3044</v>
      </c>
      <c r="B22" s="14" t="str">
        <f>IF(C50=0,"REVIEW","PASS")</f>
        <v>REVIEW</v>
      </c>
      <c r="C22" s="12">
        <v>0</v>
      </c>
      <c r="D22" s="9" t="s">
        <v>3045</v>
      </c>
      <c r="E22" s="9"/>
      <c r="F22" s="9"/>
    </row>
    <row r="23" spans="1:6" ht="44" customHeight="1">
      <c r="A23" s="8" t="s">
        <v>3046</v>
      </c>
      <c r="B23" s="14" t="str">
        <f>IF(C51=0,"PASS","REVIEW")</f>
        <v>REVIEW</v>
      </c>
      <c r="C23" s="12">
        <v>6</v>
      </c>
      <c r="D23" s="9" t="s">
        <v>3047</v>
      </c>
      <c r="E23" s="9"/>
      <c r="F23" s="9"/>
    </row>
    <row r="24" spans="1:6" ht="44" customHeight="1">
      <c r="A24" s="8" t="s">
        <v>3048</v>
      </c>
      <c r="B24" s="14" t="str">
        <f>IF(AND(C52=0,C53=0),"PASS","FAIL")</f>
        <v>PASS</v>
      </c>
      <c r="C24" s="12">
        <v>0</v>
      </c>
      <c r="D24" s="9" t="s">
        <v>3049</v>
      </c>
      <c r="E24" s="9"/>
      <c r="F24" s="9"/>
    </row>
    <row r="25" spans="1:6" ht="44" customHeight="1">
      <c r="A25" s="8" t="s">
        <v>3050</v>
      </c>
      <c r="B25" s="14" t="str">
        <f>IF(C54=0,"PASS","REVIEW")</f>
        <v>REVIEW</v>
      </c>
      <c r="C25" s="12">
        <v>1</v>
      </c>
      <c r="D25" s="9" t="s">
        <v>3051</v>
      </c>
      <c r="E25" s="9"/>
      <c r="F25" s="9"/>
    </row>
    <row r="26" spans="1:6" ht="44" customHeight="1">
      <c r="A26" s="8" t="s">
        <v>3052</v>
      </c>
      <c r="B26" s="14" t="str">
        <f>IF(AND(AD8="TRACK",AD9="TRACK",AD10="LOW",AD11="MEDIUM",AD12="MEDIUM",AD13="HIGH"),"PASS","FAIL")</f>
        <v>PASS</v>
      </c>
      <c r="D26" s="9" t="s">
        <v>3053</v>
      </c>
      <c r="E26" s="9"/>
      <c r="F26" s="9"/>
    </row>
    <row r="27" spans="1:6" ht="44" customHeight="1">
      <c r="A27" s="8" t="s">
        <v>3054</v>
      </c>
      <c r="B27" s="14" t="str">
        <f>IF(AND(AF8=100,AF9=0,AF10=35,AF11=60),"PASS","FAIL")</f>
        <v>PASS</v>
      </c>
      <c r="D27" s="9" t="s">
        <v>3055</v>
      </c>
      <c r="E27" s="9"/>
      <c r="F27" s="9"/>
    </row>
    <row r="34" spans="1:6" ht="46" customHeight="1">
      <c r="A34" s="6" t="s">
        <v>3056</v>
      </c>
      <c r="B34" s="6" t="s">
        <v>3013</v>
      </c>
      <c r="C34" s="6" t="s">
        <v>3057</v>
      </c>
      <c r="D34" s="6" t="s">
        <v>2387</v>
      </c>
    </row>
    <row r="35" spans="1:6" ht="30" customHeight="1">
      <c r="A35" s="8" t="s">
        <v>3058</v>
      </c>
      <c r="B35" s="14" t="str">
        <f>IF(C35=0,"PASS","FAIL")</f>
        <v>PASS</v>
      </c>
      <c r="C35" s="12">
        <f>SUMPRODUCT(--ISERROR('START_HERE'!A1:AE71))</f>
        <v>0</v>
      </c>
      <c r="D35" s="16" t="s">
        <v>3059</v>
      </c>
      <c r="E35" s="16"/>
      <c r="F35" s="16"/>
    </row>
    <row r="36" spans="1:6" ht="30" customHeight="1">
      <c r="A36" s="8" t="s">
        <v>3060</v>
      </c>
      <c r="B36" s="14" t="str">
        <f>IF(C36=0,"PASS","FAIL")</f>
        <v>PASS</v>
      </c>
      <c r="C36" s="12">
        <f>SUMPRODUCT(--ISERROR('OPPONENT_IMPORT'!A1:AE2958))</f>
        <v>0</v>
      </c>
      <c r="D36" s="16" t="s">
        <v>3061</v>
      </c>
      <c r="E36" s="16"/>
      <c r="F36" s="16"/>
    </row>
    <row r="37" spans="1:6" ht="30" customHeight="1">
      <c r="A37" s="8" t="s">
        <v>3062</v>
      </c>
      <c r="B37" s="14" t="str">
        <f>IF(C37=0,"PASS","FAIL")</f>
        <v>PASS</v>
      </c>
      <c r="C37" s="12">
        <f>SUMPRODUCT(--ISERROR('DEF_SELF_SCOUT_IMPORT'!A1:AE2630))</f>
        <v>0</v>
      </c>
      <c r="D37" s="16" t="s">
        <v>3063</v>
      </c>
      <c r="E37" s="16"/>
      <c r="F37" s="16"/>
    </row>
    <row r="38" spans="1:6" ht="30" customHeight="1">
      <c r="A38" s="8" t="s">
        <v>3064</v>
      </c>
      <c r="B38" s="14" t="str">
        <f>IF(C38=0,"PASS","FAIL")</f>
        <v>PASS</v>
      </c>
      <c r="C38" s="12">
        <f>SUMPRODUCT(--ISERROR('CALL_LOOKUP_BOARD'!A1:AE730))</f>
        <v>0</v>
      </c>
      <c r="D38" s="16" t="s">
        <v>3065</v>
      </c>
      <c r="E38" s="16"/>
      <c r="F38" s="16"/>
    </row>
    <row r="39" spans="1:6" ht="30" customHeight="1">
      <c r="A39" s="8" t="s">
        <v>3066</v>
      </c>
      <c r="B39" s="14" t="str">
        <f>IF(C39=0,"PASS","FAIL")</f>
        <v>PASS</v>
      </c>
      <c r="C39" s="12">
        <f>SUMPRODUCT(--ISERROR('DEF_CALL_DECISION_SUPPORT'!A1:AE1491))</f>
        <v>0</v>
      </c>
      <c r="D39" s="16" t="s">
        <v>3067</v>
      </c>
      <c r="E39" s="16"/>
      <c r="F39" s="16"/>
    </row>
    <row r="40" spans="1:6" ht="30" customHeight="1">
      <c r="A40" s="8" t="s">
        <v>3068</v>
      </c>
      <c r="B40" s="14" t="str">
        <f>IF(C40=0,"PASS","FAIL")</f>
        <v>PASS</v>
      </c>
      <c r="C40" s="12">
        <f>SUMPRODUCT(--ISERROR('HOT_CALL_RESPONSE_CARD'!A1:AE63))</f>
        <v>0</v>
      </c>
      <c r="D40" s="16" t="s">
        <v>3069</v>
      </c>
      <c r="E40" s="16"/>
      <c r="F40" s="16"/>
    </row>
    <row r="41" spans="1:6" ht="30" customHeight="1">
      <c r="A41" s="8" t="s">
        <v>3070</v>
      </c>
      <c r="B41" s="14" t="str">
        <f>IF(C41=0,"PASS","FAIL")</f>
        <v>PASS</v>
      </c>
      <c r="C41" s="12">
        <f>SUMPRODUCT(--ISERROR('GAMEPLAN_CHEAT_SHEET'!A1:AE50))</f>
        <v>0</v>
      </c>
      <c r="D41" s="16" t="s">
        <v>3071</v>
      </c>
      <c r="E41" s="16"/>
      <c r="F41" s="16"/>
    </row>
    <row r="42" spans="1:6" ht="30" customHeight="1">
      <c r="A42" s="8" t="s">
        <v>3072</v>
      </c>
      <c r="B42" s="14" t="str">
        <f>IF(C42=0,"PASS","FAIL")</f>
        <v>PASS</v>
      </c>
      <c r="C42" s="12">
        <f>SUMPRODUCT(--ISERROR('PRACTICE_SCRIPT_BOARD'!A1:AE76))</f>
        <v>0</v>
      </c>
      <c r="D42" s="16" t="s">
        <v>3073</v>
      </c>
      <c r="E42" s="16"/>
      <c r="F42" s="16"/>
    </row>
    <row r="43" spans="1:6" ht="30" customHeight="1">
      <c r="A43" s="8" t="s">
        <v>1983</v>
      </c>
      <c r="B43" s="14" t="str">
        <f>IF(C43=0,"PASS","FAIL")</f>
        <v>PASS</v>
      </c>
      <c r="C43" s="12">
        <f>SUMPRODUCT(--ISERROR(FORMULA_CHECK!A1:AI17))+SUMPRODUCT(--ISERROR(FORMULA_CHECK!A19:AI32))</f>
        <v>0</v>
      </c>
      <c r="D43" s="16" t="s">
        <v>3074</v>
      </c>
      <c r="E43" s="16"/>
      <c r="F43" s="16"/>
    </row>
    <row r="47" spans="1:6" ht="46" customHeight="1">
      <c r="A47" s="6" t="s">
        <v>3075</v>
      </c>
      <c r="B47" s="6" t="s">
        <v>3076</v>
      </c>
      <c r="C47" s="6" t="s">
        <v>3077</v>
      </c>
      <c r="D47" s="6" t="s">
        <v>3078</v>
      </c>
    </row>
    <row r="48" spans="1:6" ht="32" customHeight="1">
      <c r="A48" s="8" t="s">
        <v>3079</v>
      </c>
      <c r="B48" s="16" t="s">
        <v>3080</v>
      </c>
      <c r="C48" s="12">
        <v>0</v>
      </c>
      <c r="D48" s="16" t="s">
        <v>3081</v>
      </c>
      <c r="E48" s="16"/>
      <c r="F48" s="16"/>
    </row>
    <row r="49" spans="1:6" ht="32" customHeight="1">
      <c r="A49" s="8" t="s">
        <v>3082</v>
      </c>
      <c r="B49" s="16" t="s">
        <v>3097</v>
      </c>
      <c r="C49" s="12">
        <f>SUM(C58:C65)</f>
        <v>0</v>
      </c>
      <c r="D49" s="16" t="s">
        <v>3083</v>
      </c>
      <c r="E49" s="16"/>
      <c r="F49" s="16"/>
    </row>
    <row r="50" spans="1:6" ht="32" customHeight="1">
      <c r="A50" s="8" t="s">
        <v>3084</v>
      </c>
      <c r="B50" s="16" t="s">
        <v>3080</v>
      </c>
      <c r="C50" s="12">
        <v>0</v>
      </c>
      <c r="D50" s="16" t="s">
        <v>3085</v>
      </c>
      <c r="E50" s="16"/>
      <c r="F50" s="16"/>
    </row>
    <row r="51" spans="1:6" ht="32" customHeight="1">
      <c r="A51" s="8" t="s">
        <v>3086</v>
      </c>
      <c r="B51" s="16" t="s">
        <v>3080</v>
      </c>
      <c r="C51" s="12">
        <v>6</v>
      </c>
      <c r="D51" s="16" t="s">
        <v>3087</v>
      </c>
      <c r="E51" s="16"/>
      <c r="F51" s="16"/>
    </row>
    <row r="52" spans="1:6" ht="32" customHeight="1">
      <c r="A52" s="8" t="s">
        <v>3088</v>
      </c>
      <c r="B52" s="16" t="s">
        <v>3080</v>
      </c>
      <c r="C52" s="12">
        <v>0</v>
      </c>
      <c r="D52" s="16" t="s">
        <v>3089</v>
      </c>
      <c r="E52" s="16"/>
      <c r="F52" s="16"/>
    </row>
    <row r="53" spans="1:6" ht="32" customHeight="1">
      <c r="A53" s="8" t="s">
        <v>3090</v>
      </c>
      <c r="B53" s="16" t="s">
        <v>3080</v>
      </c>
      <c r="C53" s="12">
        <v>0</v>
      </c>
      <c r="D53" s="16" t="s">
        <v>3091</v>
      </c>
      <c r="E53" s="16"/>
      <c r="F53" s="16"/>
    </row>
    <row r="54" spans="1:6" ht="32" customHeight="1">
      <c r="A54" s="8" t="s">
        <v>3092</v>
      </c>
      <c r="B54" s="16" t="s">
        <v>3080</v>
      </c>
      <c r="C54" s="12">
        <v>1</v>
      </c>
      <c r="D54" s="16" t="s">
        <v>3093</v>
      </c>
      <c r="E54" s="16"/>
      <c r="F54" s="16"/>
    </row>
    <row r="57" spans="1:6" ht="46" customHeight="1">
      <c r="A57" s="6" t="s">
        <v>3094</v>
      </c>
      <c r="B57" s="6" t="s">
        <v>3013</v>
      </c>
      <c r="C57" s="6" t="s">
        <v>3095</v>
      </c>
      <c r="D57" s="6" t="s">
        <v>2387</v>
      </c>
    </row>
    <row r="58" spans="1:6" ht="30" customHeight="1">
      <c r="A58" s="8" t="s">
        <v>3058</v>
      </c>
      <c r="B58" s="14" t="str">
        <f>IF(C58=0,"PASS","FAIL")</f>
        <v>PASS</v>
      </c>
      <c r="C58" s="12">
        <f>SUMPRODUCT(--ISNUMBER(SEARCH("DUMMYFUNCTION",IFERROR(_xlfn.FORMULATEXT('START_HERE'!A1:AJ71),""))))+SUMPRODUCT(--ISNUMBER(SEARCH("ARRAYFORMULA",IFERROR(_xlfn.FORMULATEXT('START_HERE'!A1:AJ71),""))))+SUMPRODUCT(--ISNUMBER(SEARCH("TO_TEXT(",IFERROR(_xlfn.FORMULATEXT('START_HERE'!A1:AJ71),""))))+SUMPRODUCT(--ISNUMBER(SEARCH("REGEX",IFERROR(_xlfn.FORMULATEXT('START_HERE'!A1:AJ71),""))))+SUMPRODUCT(--ISNUMBER(SEARCH("QUERY(",IFERROR(_xlfn.FORMULATEXT('START_HERE'!A1:AJ71),""))))</f>
        <v>0</v>
      </c>
      <c r="D58" s="16" t="s">
        <v>3096</v>
      </c>
      <c r="E58" s="16"/>
      <c r="F58" s="16"/>
    </row>
    <row r="59" spans="1:6" ht="30" customHeight="1">
      <c r="A59" s="8" t="s">
        <v>3060</v>
      </c>
      <c r="B59" s="14" t="str">
        <f>IF(C59=0,"PASS","FAIL")</f>
        <v>PASS</v>
      </c>
      <c r="C59" s="12">
        <f>SUMPRODUCT(--ISNUMBER(SEARCH("DUMMYFUNCTION",IFERROR(_xlfn.FORMULATEXT('OPPONENT_IMPORT'!A1:AJ2958),""))))+SUMPRODUCT(--ISNUMBER(SEARCH("ARRAYFORMULA",IFERROR(_xlfn.FORMULATEXT('OPPONENT_IMPORT'!A1:AJ2958),""))))+SUMPRODUCT(--ISNUMBER(SEARCH("TO_TEXT(",IFERROR(_xlfn.FORMULATEXT('OPPONENT_IMPORT'!A1:AJ2958),""))))+SUMPRODUCT(--ISNUMBER(SEARCH("REGEX",IFERROR(_xlfn.FORMULATEXT('OPPONENT_IMPORT'!A1:AJ2958),""))))+SUMPRODUCT(--ISNUMBER(SEARCH("QUERY(",IFERROR(_xlfn.FORMULATEXT('OPPONENT_IMPORT'!A1:AJ2958),""))))</f>
        <v>0</v>
      </c>
      <c r="D59" s="16" t="s">
        <v>3096</v>
      </c>
      <c r="E59" s="16"/>
      <c r="F59" s="16"/>
    </row>
    <row r="60" spans="1:6" ht="30" customHeight="1">
      <c r="A60" s="8" t="s">
        <v>3062</v>
      </c>
      <c r="B60" s="14" t="str">
        <f>IF(C60=0,"PASS","FAIL")</f>
        <v>PASS</v>
      </c>
      <c r="C60" s="12">
        <f>SUMPRODUCT(--ISNUMBER(SEARCH("DUMMYFUNCTION",IFERROR(_xlfn.FORMULATEXT('DEF_SELF_SCOUT_IMPORT'!A1:AJ2630),""))))+SUMPRODUCT(--ISNUMBER(SEARCH("ARRAYFORMULA",IFERROR(_xlfn.FORMULATEXT('DEF_SELF_SCOUT_IMPORT'!A1:AJ2630),""))))+SUMPRODUCT(--ISNUMBER(SEARCH("TO_TEXT(",IFERROR(_xlfn.FORMULATEXT('DEF_SELF_SCOUT_IMPORT'!A1:AJ2630),""))))+SUMPRODUCT(--ISNUMBER(SEARCH("REGEX",IFERROR(_xlfn.FORMULATEXT('DEF_SELF_SCOUT_IMPORT'!A1:AJ2630),""))))+SUMPRODUCT(--ISNUMBER(SEARCH("QUERY(",IFERROR(_xlfn.FORMULATEXT('DEF_SELF_SCOUT_IMPORT'!A1:AJ2630),""))))</f>
        <v>0</v>
      </c>
      <c r="D60" s="16" t="s">
        <v>3096</v>
      </c>
      <c r="E60" s="16"/>
      <c r="F60" s="16"/>
    </row>
    <row r="61" spans="1:6" ht="30" customHeight="1">
      <c r="A61" s="8" t="s">
        <v>3064</v>
      </c>
      <c r="B61" s="14" t="str">
        <f>IF(C61=0,"PASS","FAIL")</f>
        <v>PASS</v>
      </c>
      <c r="C61" s="12">
        <f>SUMPRODUCT(--ISNUMBER(SEARCH("DUMMYFUNCTION",IFERROR(_xlfn.FORMULATEXT('CALL_LOOKUP_BOARD'!A1:AJ730),""))))+SUMPRODUCT(--ISNUMBER(SEARCH("ARRAYFORMULA",IFERROR(_xlfn.FORMULATEXT('CALL_LOOKUP_BOARD'!A1:AJ730),""))))+SUMPRODUCT(--ISNUMBER(SEARCH("TO_TEXT(",IFERROR(_xlfn.FORMULATEXT('CALL_LOOKUP_BOARD'!A1:AJ730),""))))+SUMPRODUCT(--ISNUMBER(SEARCH("REGEX",IFERROR(_xlfn.FORMULATEXT('CALL_LOOKUP_BOARD'!A1:AJ730),""))))+SUMPRODUCT(--ISNUMBER(SEARCH("QUERY(",IFERROR(_xlfn.FORMULATEXT('CALL_LOOKUP_BOARD'!A1:AJ730),""))))</f>
        <v>0</v>
      </c>
      <c r="D61" s="16" t="s">
        <v>3096</v>
      </c>
      <c r="E61" s="16"/>
      <c r="F61" s="16"/>
    </row>
    <row r="62" spans="1:6" ht="30" customHeight="1">
      <c r="A62" s="8" t="s">
        <v>3066</v>
      </c>
      <c r="B62" s="14" t="str">
        <f>IF(C62=0,"PASS","FAIL")</f>
        <v>PASS</v>
      </c>
      <c r="C62" s="12">
        <f>SUMPRODUCT(--ISNUMBER(SEARCH("DUMMYFUNCTION",IFERROR(_xlfn.FORMULATEXT('DEF_CALL_DECISION_SUPPORT'!A1:AJ1491),""))))+SUMPRODUCT(--ISNUMBER(SEARCH("ARRAYFORMULA",IFERROR(_xlfn.FORMULATEXT('DEF_CALL_DECISION_SUPPORT'!A1:AJ1491),""))))+SUMPRODUCT(--ISNUMBER(SEARCH("TO_TEXT(",IFERROR(_xlfn.FORMULATEXT('DEF_CALL_DECISION_SUPPORT'!A1:AJ1491),""))))+SUMPRODUCT(--ISNUMBER(SEARCH("REGEX",IFERROR(_xlfn.FORMULATEXT('DEF_CALL_DECISION_SUPPORT'!A1:AJ1491),""))))+SUMPRODUCT(--ISNUMBER(SEARCH("QUERY(",IFERROR(_xlfn.FORMULATEXT('DEF_CALL_DECISION_SUPPORT'!A1:AJ1491),""))))</f>
        <v>0</v>
      </c>
      <c r="D62" s="16" t="s">
        <v>3096</v>
      </c>
      <c r="E62" s="16"/>
      <c r="F62" s="16"/>
    </row>
    <row r="63" spans="1:6" ht="30" customHeight="1">
      <c r="A63" s="8" t="s">
        <v>3068</v>
      </c>
      <c r="B63" s="14" t="str">
        <f>IF(C63=0,"PASS","FAIL")</f>
        <v>PASS</v>
      </c>
      <c r="C63" s="12">
        <f>SUMPRODUCT(--ISNUMBER(SEARCH("DUMMYFUNCTION",IFERROR(_xlfn.FORMULATEXT('HOT_CALL_RESPONSE_CARD'!A1:AJ63),""))))+SUMPRODUCT(--ISNUMBER(SEARCH("ARRAYFORMULA",IFERROR(_xlfn.FORMULATEXT('HOT_CALL_RESPONSE_CARD'!A1:AJ63),""))))+SUMPRODUCT(--ISNUMBER(SEARCH("TO_TEXT(",IFERROR(_xlfn.FORMULATEXT('HOT_CALL_RESPONSE_CARD'!A1:AJ63),""))))+SUMPRODUCT(--ISNUMBER(SEARCH("REGEX",IFERROR(_xlfn.FORMULATEXT('HOT_CALL_RESPONSE_CARD'!A1:AJ63),""))))+SUMPRODUCT(--ISNUMBER(SEARCH("QUERY(",IFERROR(_xlfn.FORMULATEXT('HOT_CALL_RESPONSE_CARD'!A1:AJ63),""))))</f>
        <v>0</v>
      </c>
      <c r="D63" s="16" t="s">
        <v>3096</v>
      </c>
      <c r="E63" s="16"/>
      <c r="F63" s="16"/>
    </row>
    <row r="64" spans="1:6" ht="30" customHeight="1">
      <c r="A64" s="8" t="s">
        <v>3070</v>
      </c>
      <c r="B64" s="14" t="str">
        <f>IF(C64=0,"PASS","FAIL")</f>
        <v>PASS</v>
      </c>
      <c r="C64" s="12">
        <f>SUMPRODUCT(--ISNUMBER(SEARCH("DUMMYFUNCTION",IFERROR(_xlfn.FORMULATEXT('GAMEPLAN_CHEAT_SHEET'!A1:AJ50),""))))+SUMPRODUCT(--ISNUMBER(SEARCH("ARRAYFORMULA",IFERROR(_xlfn.FORMULATEXT('GAMEPLAN_CHEAT_SHEET'!A1:AJ50),""))))+SUMPRODUCT(--ISNUMBER(SEARCH("TO_TEXT(",IFERROR(_xlfn.FORMULATEXT('GAMEPLAN_CHEAT_SHEET'!A1:AJ50),""))))+SUMPRODUCT(--ISNUMBER(SEARCH("REGEX",IFERROR(_xlfn.FORMULATEXT('GAMEPLAN_CHEAT_SHEET'!A1:AJ50),""))))+SUMPRODUCT(--ISNUMBER(SEARCH("QUERY(",IFERROR(_xlfn.FORMULATEXT('GAMEPLAN_CHEAT_SHEET'!A1:AJ50),""))))</f>
        <v>0</v>
      </c>
      <c r="D64" s="16" t="s">
        <v>3096</v>
      </c>
      <c r="E64" s="16"/>
      <c r="F64" s="16"/>
    </row>
    <row r="65" spans="1:6" ht="30" customHeight="1">
      <c r="A65" s="8" t="s">
        <v>3072</v>
      </c>
      <c r="B65" s="14" t="str">
        <f>IF(C65=0,"PASS","FAIL")</f>
        <v>PASS</v>
      </c>
      <c r="C65" s="12">
        <f>SUMPRODUCT(--ISNUMBER(SEARCH("DUMMYFUNCTION",IFERROR(_xlfn.FORMULATEXT('PRACTICE_SCRIPT_BOARD'!A1:AJ76),""))))+SUMPRODUCT(--ISNUMBER(SEARCH("ARRAYFORMULA",IFERROR(_xlfn.FORMULATEXT('PRACTICE_SCRIPT_BOARD'!A1:AJ76),""))))+SUMPRODUCT(--ISNUMBER(SEARCH("TO_TEXT(",IFERROR(_xlfn.FORMULATEXT('PRACTICE_SCRIPT_BOARD'!A1:AJ76),""))))+SUMPRODUCT(--ISNUMBER(SEARCH("REGEX",IFERROR(_xlfn.FORMULATEXT('PRACTICE_SCRIPT_BOARD'!A1:AJ76),""))))+SUMPRODUCT(--ISNUMBER(SEARCH("QUERY(",IFERROR(_xlfn.FORMULATEXT('PRACTICE_SCRIPT_BOARD'!A1:AJ76),""))))</f>
        <v>0</v>
      </c>
      <c r="D65" s="16" t="s">
        <v>3096</v>
      </c>
      <c r="E65" s="16"/>
      <c r="F65" s="16"/>
    </row>
  </sheetData>
  <sheetProtection sheet="1" objects="1" scenarios="1" autoFilter="0"/>
  <mergeCells count="46">
    <mergeCell ref="A1:F1"/>
    <mergeCell ref="A3:F3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8:F48"/>
    <mergeCell ref="D49:F49"/>
    <mergeCell ref="D50:F50"/>
    <mergeCell ref="D51:F51"/>
    <mergeCell ref="D52:F52"/>
    <mergeCell ref="D53:F53"/>
    <mergeCell ref="D54:F54"/>
    <mergeCell ref="D58:F58"/>
    <mergeCell ref="D59:F59"/>
    <mergeCell ref="D60:F60"/>
    <mergeCell ref="D61:F61"/>
    <mergeCell ref="D62:F62"/>
    <mergeCell ref="D63:F63"/>
    <mergeCell ref="D64:F64"/>
    <mergeCell ref="D65:F65"/>
  </mergeCells>
  <conditionalFormatting sqref="A1:F65">
    <cfRule type="containsText" dxfId="0" priority="1" operator="containsText" text="PASS">
      <formula>NOT(ISERROR(SEARCH("PASS",A1)))</formula>
    </cfRule>
    <cfRule type="containsText" dxfId="0" priority="2" operator="containsText" text="Strong Candidate">
      <formula>NOT(ISERROR(SEARCH("Strong Candidate",A1)))</formula>
    </cfRule>
    <cfRule type="containsText" dxfId="0" priority="3" operator="containsText" text="Good Candidate">
      <formula>NOT(ISERROR(SEARCH("Good Candidate",A1)))</formula>
    </cfRule>
    <cfRule type="containsText" dxfId="0" priority="4" operator="containsText" text="HIGH">
      <formula>NOT(ISERROR(SEARCH("HIGH",A1)))</formula>
    </cfRule>
    <cfRule type="containsText" dxfId="1" priority="5" operator="containsText" text="REVIEW">
      <formula>NOT(ISERROR(SEARCH("REVIEW",A1)))</formula>
    </cfRule>
    <cfRule type="containsText" dxfId="1" priority="6" operator="containsText" text="Sample Watch">
      <formula>NOT(ISERROR(SEARCH("Sample Watch",A1)))</formula>
    </cfRule>
    <cfRule type="containsText" dxfId="1" priority="7" operator="containsText" text="LOW">
      <formula>NOT(ISERROR(SEARCH("LOW",A1)))</formula>
    </cfRule>
    <cfRule type="containsText" dxfId="2" priority="8" operator="containsText" text="TRACK">
      <formula>NOT(ISERROR(SEARCH("TRACK",A1)))</formula>
    </cfRule>
    <cfRule type="containsText" dxfId="2" priority="9" operator="containsText" text="Concept Proxy">
      <formula>NOT(ISERROR(SEARCH("Concept Proxy",A1)))</formula>
    </cfRule>
    <cfRule type="containsText" dxfId="3" priority="10" operator="containsText" text="FAIL">
      <formula>NOT(ISERROR(SEARCH("FAIL",A1)))</formula>
    </cfRule>
    <cfRule type="containsText" dxfId="3" priority="11" operator="containsText" text="Problem Call">
      <formula>NOT(ISERROR(SEARCH("Problem Call",A1)))</formula>
    </cfRule>
    <cfRule type="containsText" dxfId="3" priority="12" operator="containsText" text="Explosive Alert">
      <formula>NOT(ISERROR(SEARCH("Explosive Alert",A1)))</formula>
    </cfRule>
  </conditionalFormatting>
  <hyperlinks>
    <hyperlink ref="A2" location="'START_HERE'!A1" display="START"/>
    <hyperlink ref="C2" location="'CALL_LOOKUP_BOARD'!A1" display="FIND A CALL"/>
    <hyperlink ref="F2" location="'HOT_CALL_RESPONSE_CARD'!A1" display="OPPONENT ALERTS"/>
  </hyperlinks>
  <pageMargins left="0.25" right="0.25" top="0.35" bottom="0.35" header="0.3" footer="0.3"/>
  <pageSetup paperSize="1" fitToHeight="0" orientation="landscape"/>
  <headerFooter>
    <oddHeader>&amp;LWeekly Gameplan&amp;RFilm confirms the numbers</oddHeader>
    <oddFooter>&amp;LConcept call-fit candidates, not automatic calls&amp;RPage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START_HERE</vt:lpstr>
      <vt:lpstr>OPPONENT_IMPORT</vt:lpstr>
      <vt:lpstr>DEF_SELF_SCOUT_IMPORT</vt:lpstr>
      <vt:lpstr>CALL_LOOKUP_BOARD</vt:lpstr>
      <vt:lpstr>DEF_CALL_DECISION_SUPPORT</vt:lpstr>
      <vt:lpstr>HOT_CALL_RESPONSE_CARD</vt:lpstr>
      <vt:lpstr>GAMEPLAN_CHEAT_SHEET</vt:lpstr>
      <vt:lpstr>PRACTICE_SCRIPT_BOARD</vt:lpstr>
      <vt:lpstr>FORMULA_CHECK</vt:lpstr>
      <vt:lpstr>ConceptList</vt:lpstr>
      <vt:lpstr>PlayWatchList</vt:lpstr>
      <vt:lpstr>CALL_LOOKUP_BOARD!Print_Area</vt:lpstr>
      <vt:lpstr>DEF_SELF_SCOUT_IMPORT!Print_Area</vt:lpstr>
      <vt:lpstr>FORMULA_CHECK!Print_Area</vt:lpstr>
      <vt:lpstr>GAMEPLAN_CHEAT_SHEET!Print_Area</vt:lpstr>
      <vt:lpstr>HOT_CALL_RESPONSE_CARD!Print_Area</vt:lpstr>
      <vt:lpstr>OPPONENT_IMPORT!Print_Area</vt:lpstr>
      <vt:lpstr>PRACTICE_SCRIPT_BOARD!Print_Area</vt:lpstr>
      <vt:lpstr>START_HERE!Print_Area</vt:lpstr>
      <vt:lpstr>GAMEPLAN_CHEAT_SHEET!Print_Titles</vt:lpstr>
      <vt:lpstr>SituationList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Gameplan Cheat Sheet</dc:title>
  <dc:subject>Opponent tendencies and defensive concept call-fit candidates</dc:subject>
  <dc:creator>Coach gameplan workspace</dc:creator>
  <dc:description>Standalone value imports; concept evidence is distinguished from opponent-only exact-play watches.</dc:description>
  <cp:lastModifiedBy>Coach gameplan workspace</cp:lastModifiedBy>
  <dcterms:created xsi:type="dcterms:W3CDTF">2026-10-12T22:13:28Z</dcterms:created>
  <dcterms:modified xsi:type="dcterms:W3CDTF">2026-10-12T22:13:28Z</dcterms:modified>
</cp:coreProperties>
</file>